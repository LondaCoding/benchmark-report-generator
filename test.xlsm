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qbsolbra-my.sharepoint.com/personal/juan_perez_quorumsoftware_com/Documents/Documents/Ecopetrol/Reservas/Automatization/"/>
    </mc:Choice>
  </mc:AlternateContent>
  <xr:revisionPtr revIDLastSave="6763" documentId="13_ncr:1_{C2EB1305-F4C9-4419-B766-57672B2FF3EA}" xr6:coauthVersionLast="47" xr6:coauthVersionMax="47" xr10:uidLastSave="{6F8A6166-4C41-41FB-93C6-A9CEFB8A4C08}"/>
  <bookViews>
    <workbookView xWindow="-19310" yWindow="5910" windowWidth="19420" windowHeight="10420" activeTab="1" xr2:uid="{E4BF8A98-1F5E-456D-95E8-8A40D558F7A2}"/>
  </bookViews>
  <sheets>
    <sheet name="Instrucciones" sheetId="6" r:id="rId1"/>
    <sheet name="BM" sheetId="2" r:id="rId2"/>
    <sheet name="Semifijos Activo_Anual" sheetId="7" state="hidden" r:id="rId3"/>
    <sheet name="Lista" sheetId="9" state="hidden" r:id="rId4"/>
    <sheet name="Formulas" sheetId="1" r:id="rId5"/>
    <sheet name="FormulasPS" sheetId="10" r:id="rId6"/>
  </sheets>
  <externalReferences>
    <externalReference r:id="rId7"/>
    <externalReference r:id="rId8"/>
  </externalReferences>
  <definedNames>
    <definedName name="_xlnm._FilterDatabase" localSheetId="1" hidden="1">BM!$A$2:$PC$38</definedName>
    <definedName name="_xlnm._FilterDatabase" localSheetId="4" hidden="1">Formulas!$A$1:$J$4203</definedName>
    <definedName name="_xlnm._FilterDatabase" localSheetId="5" hidden="1">FormulasPS!$A$1:$J$4203</definedName>
    <definedName name="Reserves_Category">Lista!$A$2:$A$6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2" l="1"/>
  <c r="NQ31" i="2"/>
  <c r="ME31" i="2"/>
  <c r="KS31" i="2"/>
  <c r="HU31" i="2"/>
  <c r="GI31" i="2"/>
  <c r="EW31" i="2"/>
  <c r="NQ30" i="2"/>
  <c r="ME30" i="2"/>
  <c r="KS30" i="2"/>
  <c r="HU30" i="2"/>
  <c r="GI30" i="2"/>
  <c r="EW30" i="2"/>
  <c r="NQ28" i="2"/>
  <c r="ME28" i="2"/>
  <c r="KS28" i="2"/>
  <c r="HU28" i="2"/>
  <c r="GI28" i="2"/>
  <c r="EW28" i="2"/>
  <c r="NQ27" i="2"/>
  <c r="ME27" i="2"/>
  <c r="KS27" i="2"/>
  <c r="HU27" i="2"/>
  <c r="GI27" i="2"/>
  <c r="EW27" i="2"/>
  <c r="NQ25" i="2"/>
  <c r="ME25" i="2"/>
  <c r="KS25" i="2"/>
  <c r="HU25" i="2"/>
  <c r="GI25" i="2"/>
  <c r="EW25" i="2"/>
  <c r="NQ24" i="2"/>
  <c r="ME24" i="2"/>
  <c r="KS24" i="2"/>
  <c r="HU24" i="2"/>
  <c r="GI24" i="2"/>
  <c r="EW24" i="2"/>
  <c r="NQ22" i="2"/>
  <c r="ME22" i="2"/>
  <c r="KS22" i="2"/>
  <c r="HU22" i="2"/>
  <c r="GI22" i="2"/>
  <c r="EW22" i="2"/>
  <c r="NQ21" i="2"/>
  <c r="ME21" i="2"/>
  <c r="KS21" i="2"/>
  <c r="HU21" i="2"/>
  <c r="GI21" i="2"/>
  <c r="EW21" i="2"/>
  <c r="NQ19" i="2"/>
  <c r="ME19" i="2"/>
  <c r="KS19" i="2"/>
  <c r="HU19" i="2"/>
  <c r="GI19" i="2"/>
  <c r="EW19" i="2"/>
  <c r="NQ18" i="2"/>
  <c r="ME18" i="2"/>
  <c r="KS18" i="2"/>
  <c r="HU18" i="2"/>
  <c r="GI18" i="2"/>
  <c r="EW18" i="2"/>
  <c r="NQ16" i="2"/>
  <c r="ME16" i="2"/>
  <c r="KS16" i="2"/>
  <c r="HU16" i="2"/>
  <c r="GI16" i="2"/>
  <c r="EW16" i="2"/>
  <c r="NQ15" i="2"/>
  <c r="ME15" i="2"/>
  <c r="KS15" i="2"/>
  <c r="HU15" i="2"/>
  <c r="GI15" i="2"/>
  <c r="EW15" i="2"/>
  <c r="NQ13" i="2"/>
  <c r="ME13" i="2"/>
  <c r="KS13" i="2"/>
  <c r="HU13" i="2"/>
  <c r="GI13" i="2"/>
  <c r="EW13" i="2"/>
  <c r="NQ12" i="2"/>
  <c r="ME12" i="2"/>
  <c r="KS12" i="2"/>
  <c r="HU12" i="2"/>
  <c r="GI12" i="2"/>
  <c r="EW12" i="2"/>
  <c r="NQ10" i="2"/>
  <c r="ME10" i="2"/>
  <c r="KS10" i="2"/>
  <c r="HU10" i="2"/>
  <c r="GI10" i="2"/>
  <c r="EW10" i="2"/>
  <c r="NQ9" i="2"/>
  <c r="ME9" i="2"/>
  <c r="KS9" i="2"/>
  <c r="HU9" i="2"/>
  <c r="GI9" i="2"/>
  <c r="EW9" i="2"/>
  <c r="NQ7" i="2"/>
  <c r="ME7" i="2"/>
  <c r="KS7" i="2"/>
  <c r="HU7" i="2"/>
  <c r="GI7" i="2"/>
  <c r="EW7" i="2"/>
  <c r="NQ6" i="2"/>
  <c r="ME6" i="2"/>
  <c r="KS6" i="2"/>
  <c r="HU6" i="2"/>
  <c r="GI6" i="2"/>
  <c r="EW6" i="2"/>
  <c r="NQ4" i="2"/>
  <c r="ME4" i="2"/>
  <c r="KS4" i="2"/>
  <c r="HU4" i="2"/>
  <c r="GI4" i="2"/>
  <c r="EW4" i="2"/>
  <c r="PC3" i="2"/>
  <c r="NQ3" i="2"/>
  <c r="ME3" i="2"/>
  <c r="KS3" i="2"/>
  <c r="JG3" i="2"/>
  <c r="HU3" i="2"/>
  <c r="GI3" i="2"/>
  <c r="EW3" i="2"/>
  <c r="DK3" i="2"/>
  <c r="BY3" i="2"/>
  <c r="AM3" i="2"/>
  <c r="NR36" i="2"/>
  <c r="MF36" i="2"/>
  <c r="KT36" i="2"/>
  <c r="JH36" i="2"/>
  <c r="HV36" i="2"/>
  <c r="GJ36" i="2"/>
  <c r="EX36" i="2"/>
  <c r="DL36" i="2"/>
  <c r="BZ36" i="2"/>
  <c r="AN36" i="2"/>
  <c r="B36" i="2"/>
  <c r="NR33" i="2"/>
  <c r="MF33" i="2"/>
  <c r="KT33" i="2"/>
  <c r="JH33" i="2"/>
  <c r="HV33" i="2"/>
  <c r="GJ33" i="2"/>
  <c r="EX33" i="2"/>
  <c r="DL33" i="2"/>
  <c r="BZ33" i="2"/>
  <c r="AN33" i="2"/>
  <c r="B33" i="2"/>
  <c r="PB18" i="2"/>
  <c r="PA18" i="2"/>
  <c r="OZ18" i="2"/>
  <c r="OY18" i="2"/>
  <c r="OX18" i="2"/>
  <c r="OW18" i="2"/>
  <c r="OV18" i="2"/>
  <c r="OU18" i="2"/>
  <c r="OT18" i="2"/>
  <c r="OS18" i="2"/>
  <c r="OR18" i="2"/>
  <c r="OQ18" i="2"/>
  <c r="OP18" i="2"/>
  <c r="OO18" i="2"/>
  <c r="ON18" i="2"/>
  <c r="OM18" i="2"/>
  <c r="OL18" i="2"/>
  <c r="OK18" i="2"/>
  <c r="OJ18" i="2"/>
  <c r="OI18" i="2"/>
  <c r="OH18" i="2"/>
  <c r="OG18" i="2"/>
  <c r="OF18" i="2"/>
  <c r="OE18" i="2"/>
  <c r="OD18" i="2"/>
  <c r="OC18" i="2"/>
  <c r="OB18" i="2"/>
  <c r="OA18" i="2"/>
  <c r="NZ18" i="2"/>
  <c r="NY18" i="2"/>
  <c r="NX18" i="2"/>
  <c r="NW18" i="2"/>
  <c r="NV18" i="2"/>
  <c r="NU18" i="2"/>
  <c r="NT18" i="2"/>
  <c r="NS18" i="2"/>
  <c r="NR18" i="2"/>
  <c r="PC18" i="2" s="1"/>
  <c r="JF18" i="2"/>
  <c r="JE18" i="2"/>
  <c r="JD18" i="2"/>
  <c r="JC18" i="2"/>
  <c r="JB18" i="2"/>
  <c r="JA18" i="2"/>
  <c r="IZ18" i="2"/>
  <c r="IY18" i="2"/>
  <c r="IX18" i="2"/>
  <c r="IW18" i="2"/>
  <c r="IV18" i="2"/>
  <c r="IU18" i="2"/>
  <c r="IT18" i="2"/>
  <c r="IS18" i="2"/>
  <c r="IR18" i="2"/>
  <c r="IQ18" i="2"/>
  <c r="IP18" i="2"/>
  <c r="IO18" i="2"/>
  <c r="IN18" i="2"/>
  <c r="IM18" i="2"/>
  <c r="IL18" i="2"/>
  <c r="IK18" i="2"/>
  <c r="IJ18" i="2"/>
  <c r="II18" i="2"/>
  <c r="IH18" i="2"/>
  <c r="IG18" i="2"/>
  <c r="IF18" i="2"/>
  <c r="IE18" i="2"/>
  <c r="ID18" i="2"/>
  <c r="IC18" i="2"/>
  <c r="IB18" i="2"/>
  <c r="IA18" i="2"/>
  <c r="HZ18" i="2"/>
  <c r="HY18" i="2"/>
  <c r="HX18" i="2"/>
  <c r="HW18" i="2"/>
  <c r="JG18" i="2" s="1"/>
  <c r="HV18" i="2"/>
  <c r="DJ18" i="2"/>
  <c r="DI18" i="2"/>
  <c r="DH18" i="2"/>
  <c r="DG18" i="2"/>
  <c r="DF18" i="2"/>
  <c r="DE18" i="2"/>
  <c r="DD18" i="2"/>
  <c r="DC18" i="2"/>
  <c r="DB18" i="2"/>
  <c r="DA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DK18" i="2" s="1"/>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BY18" i="2" s="1"/>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AM18" i="2" s="1"/>
  <c r="E18" i="2"/>
  <c r="D18" i="2"/>
  <c r="C18" i="2"/>
  <c r="B18" i="2"/>
  <c r="PB3" i="2"/>
  <c r="PA3" i="2"/>
  <c r="OZ3" i="2"/>
  <c r="OY3" i="2"/>
  <c r="OX3" i="2"/>
  <c r="OW3" i="2"/>
  <c r="OV3" i="2"/>
  <c r="OU3" i="2"/>
  <c r="OT3" i="2"/>
  <c r="OS3" i="2"/>
  <c r="OR3" i="2"/>
  <c r="OQ3" i="2"/>
  <c r="OP3" i="2"/>
  <c r="OO3" i="2"/>
  <c r="ON3" i="2"/>
  <c r="OM3" i="2"/>
  <c r="OL3" i="2"/>
  <c r="OK3" i="2"/>
  <c r="OJ3" i="2"/>
  <c r="OI3" i="2"/>
  <c r="OH3" i="2"/>
  <c r="OG3" i="2"/>
  <c r="OF3" i="2"/>
  <c r="OE3" i="2"/>
  <c r="OD3" i="2"/>
  <c r="OC3" i="2"/>
  <c r="OB3" i="2"/>
  <c r="OA3" i="2"/>
  <c r="NZ3" i="2"/>
  <c r="NY3" i="2"/>
  <c r="NX3" i="2"/>
  <c r="NW3" i="2"/>
  <c r="NV3" i="2"/>
  <c r="NU3" i="2"/>
  <c r="NT3" i="2"/>
  <c r="NS3" i="2"/>
  <c r="NR3" i="2"/>
  <c r="NP3" i="2"/>
  <c r="NO3" i="2"/>
  <c r="NN3" i="2"/>
  <c r="NM3" i="2"/>
  <c r="NL3" i="2"/>
  <c r="NK3" i="2"/>
  <c r="NJ3" i="2"/>
  <c r="NI3" i="2"/>
  <c r="NH3" i="2"/>
  <c r="NG3" i="2"/>
  <c r="NF3" i="2"/>
  <c r="NE3" i="2"/>
  <c r="ND3" i="2"/>
  <c r="NC3" i="2"/>
  <c r="NB3" i="2"/>
  <c r="NA3" i="2"/>
  <c r="MZ3" i="2"/>
  <c r="MY3" i="2"/>
  <c r="MX3" i="2"/>
  <c r="MW3" i="2"/>
  <c r="MV3" i="2"/>
  <c r="MU3" i="2"/>
  <c r="MT3" i="2"/>
  <c r="MS3" i="2"/>
  <c r="MR3" i="2"/>
  <c r="MQ3" i="2"/>
  <c r="MP3" i="2"/>
  <c r="MO3" i="2"/>
  <c r="MN3" i="2"/>
  <c r="MM3" i="2"/>
  <c r="ML3" i="2"/>
  <c r="MK3" i="2"/>
  <c r="MJ3" i="2"/>
  <c r="MI3" i="2"/>
  <c r="MH3" i="2"/>
  <c r="MG3" i="2"/>
  <c r="MF3" i="2"/>
  <c r="MD3" i="2"/>
  <c r="MC3" i="2"/>
  <c r="MB3" i="2"/>
  <c r="MA3" i="2"/>
  <c r="LZ3" i="2"/>
  <c r="LY3" i="2"/>
  <c r="LX3" i="2"/>
  <c r="LW3" i="2"/>
  <c r="LV3" i="2"/>
  <c r="LU3" i="2"/>
  <c r="LT3" i="2"/>
  <c r="LS3" i="2"/>
  <c r="LR3" i="2"/>
  <c r="LQ3" i="2"/>
  <c r="LP3" i="2"/>
  <c r="LO3" i="2"/>
  <c r="LN3" i="2"/>
  <c r="LM3" i="2"/>
  <c r="LL3" i="2"/>
  <c r="LK3" i="2"/>
  <c r="LJ3" i="2"/>
  <c r="LI3" i="2"/>
  <c r="LH3" i="2"/>
  <c r="LG3" i="2"/>
  <c r="LF3" i="2"/>
  <c r="LE3" i="2"/>
  <c r="LD3" i="2"/>
  <c r="LC3" i="2"/>
  <c r="LB3" i="2"/>
  <c r="LA3" i="2"/>
  <c r="KZ3" i="2"/>
  <c r="KY3" i="2"/>
  <c r="KX3" i="2"/>
  <c r="KW3" i="2"/>
  <c r="KV3" i="2"/>
  <c r="KU3" i="2"/>
  <c r="KT3" i="2"/>
  <c r="KR3" i="2"/>
  <c r="KQ3" i="2"/>
  <c r="KP3" i="2"/>
  <c r="KO3" i="2"/>
  <c r="KN3" i="2"/>
  <c r="KM3" i="2"/>
  <c r="KL3" i="2"/>
  <c r="KK3" i="2"/>
  <c r="KJ3" i="2"/>
  <c r="KI3" i="2"/>
  <c r="KH3" i="2"/>
  <c r="KG3" i="2"/>
  <c r="KF3" i="2"/>
  <c r="KE3" i="2"/>
  <c r="KD3" i="2"/>
  <c r="KC3" i="2"/>
  <c r="KB3" i="2"/>
  <c r="KA3" i="2"/>
  <c r="JZ3" i="2"/>
  <c r="JY3" i="2"/>
  <c r="JX3" i="2"/>
  <c r="JW3" i="2"/>
  <c r="JV3" i="2"/>
  <c r="JU3" i="2"/>
  <c r="JT3" i="2"/>
  <c r="JS3" i="2"/>
  <c r="JR3" i="2"/>
  <c r="JQ3" i="2"/>
  <c r="JP3" i="2"/>
  <c r="JO3" i="2"/>
  <c r="JN3" i="2"/>
  <c r="JM3" i="2"/>
  <c r="JL3" i="2"/>
  <c r="JK3" i="2"/>
  <c r="JJ3" i="2"/>
  <c r="JI3" i="2"/>
  <c r="JH3" i="2"/>
  <c r="JF3" i="2"/>
  <c r="JE3" i="2"/>
  <c r="JD3" i="2"/>
  <c r="JC3" i="2"/>
  <c r="JB3" i="2"/>
  <c r="JA3" i="2"/>
  <c r="IZ3" i="2"/>
  <c r="IY3" i="2"/>
  <c r="IX3" i="2"/>
  <c r="IW3" i="2"/>
  <c r="IV3" i="2"/>
  <c r="IU3" i="2"/>
  <c r="IT3" i="2"/>
  <c r="IS3" i="2"/>
  <c r="IR3" i="2"/>
  <c r="IQ3" i="2"/>
  <c r="IP3" i="2"/>
  <c r="IO3" i="2"/>
  <c r="IN3" i="2"/>
  <c r="IM3" i="2"/>
  <c r="IL3" i="2"/>
  <c r="IK3" i="2"/>
  <c r="IJ3" i="2"/>
  <c r="II3" i="2"/>
  <c r="IH3" i="2"/>
  <c r="IG3" i="2"/>
  <c r="IF3" i="2"/>
  <c r="IE3" i="2"/>
  <c r="ID3" i="2"/>
  <c r="IC3" i="2"/>
  <c r="IB3" i="2"/>
  <c r="IA3" i="2"/>
  <c r="HZ3" i="2"/>
  <c r="HY3" i="2"/>
  <c r="HX3" i="2"/>
  <c r="HW3" i="2"/>
  <c r="HV3" i="2"/>
  <c r="HT3" i="2"/>
  <c r="HS3" i="2"/>
  <c r="HR3" i="2"/>
  <c r="HQ3" i="2"/>
  <c r="HP3" i="2"/>
  <c r="HO3" i="2"/>
  <c r="HN3" i="2"/>
  <c r="HM3" i="2"/>
  <c r="HL3" i="2"/>
  <c r="HK3" i="2"/>
  <c r="HJ3" i="2"/>
  <c r="HI3" i="2"/>
  <c r="HH3" i="2"/>
  <c r="HG3" i="2"/>
  <c r="HF3" i="2"/>
  <c r="HE3" i="2"/>
  <c r="HD3" i="2"/>
  <c r="HC3" i="2"/>
  <c r="HB3" i="2"/>
  <c r="HA3" i="2"/>
  <c r="GZ3" i="2"/>
  <c r="GY3" i="2"/>
  <c r="GX3" i="2"/>
  <c r="GW3" i="2"/>
  <c r="GV3" i="2"/>
  <c r="GU3" i="2"/>
  <c r="GT3" i="2"/>
  <c r="GS3" i="2"/>
  <c r="GR3" i="2"/>
  <c r="GQ3" i="2"/>
  <c r="GP3" i="2"/>
  <c r="GO3" i="2"/>
  <c r="GN3" i="2"/>
  <c r="GM3" i="2"/>
  <c r="GL3" i="2"/>
  <c r="GK3" i="2"/>
  <c r="GJ3" i="2"/>
  <c r="GH3" i="2"/>
  <c r="GG3" i="2"/>
  <c r="GF3" i="2"/>
  <c r="GE3" i="2"/>
  <c r="GD3" i="2"/>
  <c r="GC3" i="2"/>
  <c r="GB3" i="2"/>
  <c r="GA3" i="2"/>
  <c r="FZ3" i="2"/>
  <c r="FY3" i="2"/>
  <c r="FX3" i="2"/>
  <c r="FW3" i="2"/>
  <c r="FV3" i="2"/>
  <c r="FU3" i="2"/>
  <c r="FT3" i="2"/>
  <c r="FS3" i="2"/>
  <c r="FR3" i="2"/>
  <c r="FQ3" i="2"/>
  <c r="FP3" i="2"/>
  <c r="FO3" i="2"/>
  <c r="FN3" i="2"/>
  <c r="FM3" i="2"/>
  <c r="FL3" i="2"/>
  <c r="FK3" i="2"/>
  <c r="FJ3" i="2"/>
  <c r="FI3" i="2"/>
  <c r="FH3" i="2"/>
  <c r="FG3" i="2"/>
  <c r="FF3" i="2"/>
  <c r="FE3" i="2"/>
  <c r="FD3" i="2"/>
  <c r="FC3" i="2"/>
  <c r="FB3" i="2"/>
  <c r="FA3" i="2"/>
  <c r="EZ3" i="2"/>
  <c r="EY3" i="2"/>
  <c r="EX3" i="2"/>
  <c r="EV3" i="2"/>
  <c r="EU3" i="2"/>
  <c r="ET3" i="2"/>
  <c r="ES3" i="2"/>
  <c r="ER3" i="2"/>
  <c r="EQ3" i="2"/>
  <c r="EP3" i="2"/>
  <c r="EO3" i="2"/>
  <c r="EN3" i="2"/>
  <c r="EM3" i="2"/>
  <c r="EL3" i="2"/>
  <c r="EK3" i="2"/>
  <c r="EJ3" i="2"/>
  <c r="EI3" i="2"/>
  <c r="EH3" i="2"/>
  <c r="EG3" i="2"/>
  <c r="EF3" i="2"/>
  <c r="EE3" i="2"/>
  <c r="ED3" i="2"/>
  <c r="EC3" i="2"/>
  <c r="EB3" i="2"/>
  <c r="EA3" i="2"/>
  <c r="DZ3" i="2"/>
  <c r="DY3" i="2"/>
  <c r="DX3" i="2"/>
  <c r="DW3" i="2"/>
  <c r="DV3" i="2"/>
  <c r="DU3" i="2"/>
  <c r="DT3" i="2"/>
  <c r="DS3" i="2"/>
  <c r="DR3" i="2"/>
  <c r="DQ3" i="2"/>
  <c r="DP3" i="2"/>
  <c r="DO3" i="2"/>
  <c r="DN3" i="2"/>
  <c r="DM3" i="2"/>
  <c r="DL3" i="2"/>
  <c r="DJ3" i="2"/>
  <c r="DI3" i="2"/>
  <c r="DH3" i="2"/>
  <c r="DG3" i="2"/>
  <c r="DF3" i="2"/>
  <c r="DE3" i="2"/>
  <c r="DD3" i="2"/>
  <c r="DC3" i="2"/>
  <c r="DB3" i="2"/>
  <c r="DA3" i="2"/>
  <c r="CZ3" i="2"/>
  <c r="CY3" i="2"/>
  <c r="CX3" i="2"/>
  <c r="CW3" i="2"/>
  <c r="CV3" i="2"/>
  <c r="CU3" i="2"/>
  <c r="CT3" i="2"/>
  <c r="CS3" i="2"/>
  <c r="CR3" i="2"/>
  <c r="CQ3" i="2"/>
  <c r="CP3" i="2"/>
  <c r="CO3" i="2"/>
  <c r="CN3" i="2"/>
  <c r="CM3" i="2"/>
  <c r="CL3" i="2"/>
  <c r="CK3" i="2"/>
  <c r="CJ3" i="2"/>
  <c r="CI3" i="2"/>
  <c r="CH3" i="2"/>
  <c r="CG3" i="2"/>
  <c r="CF3" i="2"/>
  <c r="CE3" i="2"/>
  <c r="CD3" i="2"/>
  <c r="CC3" i="2"/>
  <c r="CB3" i="2"/>
  <c r="CA3" i="2"/>
  <c r="BZ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AP3" i="2"/>
  <c r="AO3" i="2"/>
  <c r="AN3" i="2"/>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C3" i="2"/>
  <c r="B3" i="2"/>
  <c r="PB30" i="2"/>
  <c r="PA30" i="2"/>
  <c r="OZ30" i="2"/>
  <c r="OY30" i="2"/>
  <c r="OX30" i="2"/>
  <c r="OW30" i="2"/>
  <c r="OV30" i="2"/>
  <c r="OU30" i="2"/>
  <c r="OT30" i="2"/>
  <c r="OS30" i="2"/>
  <c r="OR30" i="2"/>
  <c r="OQ30" i="2"/>
  <c r="OP30" i="2"/>
  <c r="OO30" i="2"/>
  <c r="ON30" i="2"/>
  <c r="OM30" i="2"/>
  <c r="OL30" i="2"/>
  <c r="OK30" i="2"/>
  <c r="OJ30" i="2"/>
  <c r="OI30" i="2"/>
  <c r="OH30" i="2"/>
  <c r="OG30" i="2"/>
  <c r="OF30" i="2"/>
  <c r="OE30" i="2"/>
  <c r="OD30" i="2"/>
  <c r="OC30" i="2"/>
  <c r="OB30" i="2"/>
  <c r="OA30" i="2"/>
  <c r="NZ30" i="2"/>
  <c r="NY30" i="2"/>
  <c r="NX30" i="2"/>
  <c r="NW30" i="2"/>
  <c r="NV30" i="2"/>
  <c r="PC30" i="2" s="1"/>
  <c r="NU30" i="2"/>
  <c r="NT30" i="2"/>
  <c r="NS30" i="2"/>
  <c r="NR30" i="2"/>
  <c r="JF30" i="2"/>
  <c r="JE30" i="2"/>
  <c r="JD30" i="2"/>
  <c r="JC30" i="2"/>
  <c r="JB30" i="2"/>
  <c r="JA30" i="2"/>
  <c r="IZ30" i="2"/>
  <c r="IY30" i="2"/>
  <c r="IX30" i="2"/>
  <c r="IW30" i="2"/>
  <c r="IV30" i="2"/>
  <c r="IU30" i="2"/>
  <c r="IT30" i="2"/>
  <c r="IS30" i="2"/>
  <c r="IR30" i="2"/>
  <c r="IQ30" i="2"/>
  <c r="IP30" i="2"/>
  <c r="IO30" i="2"/>
  <c r="IN30" i="2"/>
  <c r="IM30" i="2"/>
  <c r="IL30" i="2"/>
  <c r="IK30" i="2"/>
  <c r="IJ30" i="2"/>
  <c r="II30" i="2"/>
  <c r="IH30" i="2"/>
  <c r="IG30" i="2"/>
  <c r="IF30" i="2"/>
  <c r="IE30" i="2"/>
  <c r="ID30" i="2"/>
  <c r="IC30" i="2"/>
  <c r="IB30" i="2"/>
  <c r="IA30" i="2"/>
  <c r="HZ30" i="2"/>
  <c r="HY30" i="2"/>
  <c r="HX30" i="2"/>
  <c r="HW30" i="2"/>
  <c r="HV30" i="2"/>
  <c r="JG30" i="2" s="1"/>
  <c r="DJ30" i="2"/>
  <c r="DI30" i="2"/>
  <c r="DH30" i="2"/>
  <c r="DG30" i="2"/>
  <c r="DF30" i="2"/>
  <c r="DE30" i="2"/>
  <c r="DD30" i="2"/>
  <c r="DC30" i="2"/>
  <c r="DB30" i="2"/>
  <c r="DA30"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DK30" i="2" s="1"/>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BY30" i="2" s="1"/>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AM30" i="2" s="1"/>
  <c r="PB27" i="2"/>
  <c r="PA27" i="2"/>
  <c r="OZ27" i="2"/>
  <c r="OY27" i="2"/>
  <c r="OX27" i="2"/>
  <c r="OW27" i="2"/>
  <c r="OV27" i="2"/>
  <c r="OU27" i="2"/>
  <c r="OT27" i="2"/>
  <c r="OS27" i="2"/>
  <c r="OR27" i="2"/>
  <c r="OQ27" i="2"/>
  <c r="OP27" i="2"/>
  <c r="OO27" i="2"/>
  <c r="ON27" i="2"/>
  <c r="OM27" i="2"/>
  <c r="OL27" i="2"/>
  <c r="OK27" i="2"/>
  <c r="OJ27" i="2"/>
  <c r="OI27" i="2"/>
  <c r="OH27" i="2"/>
  <c r="OG27" i="2"/>
  <c r="OF27" i="2"/>
  <c r="OE27" i="2"/>
  <c r="OD27" i="2"/>
  <c r="OC27" i="2"/>
  <c r="OB27" i="2"/>
  <c r="OA27" i="2"/>
  <c r="NZ27" i="2"/>
  <c r="NY27" i="2"/>
  <c r="NX27" i="2"/>
  <c r="NW27" i="2"/>
  <c r="NV27" i="2"/>
  <c r="NU27" i="2"/>
  <c r="NT27" i="2"/>
  <c r="NS27" i="2"/>
  <c r="NR27" i="2"/>
  <c r="PC27" i="2" s="1"/>
  <c r="JF27" i="2"/>
  <c r="JE27" i="2"/>
  <c r="JD27" i="2"/>
  <c r="JC27" i="2"/>
  <c r="JB27" i="2"/>
  <c r="JA27" i="2"/>
  <c r="IZ27" i="2"/>
  <c r="IY27" i="2"/>
  <c r="IX27" i="2"/>
  <c r="IW27" i="2"/>
  <c r="IV27" i="2"/>
  <c r="IU27" i="2"/>
  <c r="IT27" i="2"/>
  <c r="IS27" i="2"/>
  <c r="IR27" i="2"/>
  <c r="IQ27" i="2"/>
  <c r="IP27" i="2"/>
  <c r="IO27" i="2"/>
  <c r="IN27" i="2"/>
  <c r="IM27" i="2"/>
  <c r="IL27" i="2"/>
  <c r="IK27" i="2"/>
  <c r="IJ27" i="2"/>
  <c r="II27" i="2"/>
  <c r="IH27" i="2"/>
  <c r="IG27" i="2"/>
  <c r="IF27" i="2"/>
  <c r="IE27" i="2"/>
  <c r="ID27" i="2"/>
  <c r="IC27" i="2"/>
  <c r="IB27" i="2"/>
  <c r="IA27" i="2"/>
  <c r="HZ27" i="2"/>
  <c r="HY27" i="2"/>
  <c r="HX27" i="2"/>
  <c r="HW27" i="2"/>
  <c r="HV27" i="2"/>
  <c r="JG27" i="2" s="1"/>
  <c r="DJ27" i="2"/>
  <c r="DI27" i="2"/>
  <c r="DH27" i="2"/>
  <c r="DG27" i="2"/>
  <c r="DF27" i="2"/>
  <c r="DE27" i="2"/>
  <c r="DD27" i="2"/>
  <c r="DC27" i="2"/>
  <c r="DB27" i="2"/>
  <c r="DA27" i="2"/>
  <c r="CZ27" i="2"/>
  <c r="CY27" i="2"/>
  <c r="CX27" i="2"/>
  <c r="CW27" i="2"/>
  <c r="CV27" i="2"/>
  <c r="CU27" i="2"/>
  <c r="CT27" i="2"/>
  <c r="CS27" i="2"/>
  <c r="CR27" i="2"/>
  <c r="CQ27" i="2"/>
  <c r="CP27" i="2"/>
  <c r="CO27" i="2"/>
  <c r="CN27" i="2"/>
  <c r="CM27" i="2"/>
  <c r="CL27" i="2"/>
  <c r="CK27" i="2"/>
  <c r="CJ27" i="2"/>
  <c r="CI27" i="2"/>
  <c r="CH27" i="2"/>
  <c r="CG27" i="2"/>
  <c r="CF27" i="2"/>
  <c r="CE27" i="2"/>
  <c r="CD27" i="2"/>
  <c r="CC27" i="2"/>
  <c r="DK27" i="2" s="1"/>
  <c r="CB27" i="2"/>
  <c r="CA27" i="2"/>
  <c r="BZ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BY27" i="2" s="1"/>
  <c r="AQ27" i="2"/>
  <c r="AP27" i="2"/>
  <c r="AO27" i="2"/>
  <c r="AN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AM27" i="2" s="1"/>
  <c r="PB24" i="2"/>
  <c r="PA24" i="2"/>
  <c r="OZ24" i="2"/>
  <c r="OY24" i="2"/>
  <c r="OX24" i="2"/>
  <c r="OW24" i="2"/>
  <c r="OV24" i="2"/>
  <c r="OU24" i="2"/>
  <c r="OT24" i="2"/>
  <c r="OS24" i="2"/>
  <c r="OR24" i="2"/>
  <c r="OQ24" i="2"/>
  <c r="OP24" i="2"/>
  <c r="OO24" i="2"/>
  <c r="ON24" i="2"/>
  <c r="OM24" i="2"/>
  <c r="OL24" i="2"/>
  <c r="OK24" i="2"/>
  <c r="OJ24" i="2"/>
  <c r="OI24" i="2"/>
  <c r="OH24" i="2"/>
  <c r="OG24" i="2"/>
  <c r="OF24" i="2"/>
  <c r="OE24" i="2"/>
  <c r="OD24" i="2"/>
  <c r="OC24" i="2"/>
  <c r="OB24" i="2"/>
  <c r="OA24" i="2"/>
  <c r="NZ24" i="2"/>
  <c r="NY24" i="2"/>
  <c r="NX24" i="2"/>
  <c r="NW24" i="2"/>
  <c r="NV24" i="2"/>
  <c r="NU24" i="2"/>
  <c r="NT24" i="2"/>
  <c r="NS24" i="2"/>
  <c r="NR24" i="2"/>
  <c r="PC24" i="2" s="1"/>
  <c r="JF24" i="2"/>
  <c r="JE24" i="2"/>
  <c r="JD24" i="2"/>
  <c r="JC24" i="2"/>
  <c r="JB24" i="2"/>
  <c r="JA24" i="2"/>
  <c r="IZ24" i="2"/>
  <c r="IY24" i="2"/>
  <c r="IX24" i="2"/>
  <c r="IW24" i="2"/>
  <c r="IV24" i="2"/>
  <c r="IU24" i="2"/>
  <c r="IT24" i="2"/>
  <c r="IS24" i="2"/>
  <c r="IR24" i="2"/>
  <c r="IQ24" i="2"/>
  <c r="IP24" i="2"/>
  <c r="IO24" i="2"/>
  <c r="IN24" i="2"/>
  <c r="IM24" i="2"/>
  <c r="IL24" i="2"/>
  <c r="IK24" i="2"/>
  <c r="IJ24" i="2"/>
  <c r="II24" i="2"/>
  <c r="IH24" i="2"/>
  <c r="IG24" i="2"/>
  <c r="IF24" i="2"/>
  <c r="IE24" i="2"/>
  <c r="ID24" i="2"/>
  <c r="IC24" i="2"/>
  <c r="JG24" i="2" s="1"/>
  <c r="IB24" i="2"/>
  <c r="IA24" i="2"/>
  <c r="HZ24" i="2"/>
  <c r="HY24" i="2"/>
  <c r="HX24" i="2"/>
  <c r="HW24" i="2"/>
  <c r="HV24" i="2"/>
  <c r="DJ24" i="2"/>
  <c r="DI24" i="2"/>
  <c r="DH24" i="2"/>
  <c r="DG24" i="2"/>
  <c r="DF24" i="2"/>
  <c r="DE24" i="2"/>
  <c r="DD24" i="2"/>
  <c r="DC24" i="2"/>
  <c r="DB24" i="2"/>
  <c r="DA24" i="2"/>
  <c r="CZ24" i="2"/>
  <c r="CY24" i="2"/>
  <c r="CX24" i="2"/>
  <c r="CW24" i="2"/>
  <c r="CV24" i="2"/>
  <c r="CU24" i="2"/>
  <c r="CT24" i="2"/>
  <c r="CS24" i="2"/>
  <c r="CR24" i="2"/>
  <c r="CQ24" i="2"/>
  <c r="CP24" i="2"/>
  <c r="CO24" i="2"/>
  <c r="CN24" i="2"/>
  <c r="CM24" i="2"/>
  <c r="CL24" i="2"/>
  <c r="CK24" i="2"/>
  <c r="CJ24" i="2"/>
  <c r="CI24" i="2"/>
  <c r="CH24" i="2"/>
  <c r="CG24" i="2"/>
  <c r="CF24" i="2"/>
  <c r="CE24" i="2"/>
  <c r="CD24" i="2"/>
  <c r="DK24" i="2" s="1"/>
  <c r="CC24" i="2"/>
  <c r="CB24" i="2"/>
  <c r="CA24" i="2"/>
  <c r="BZ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BY24" i="2" s="1"/>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AM24" i="2" s="1"/>
  <c r="PB21" i="2"/>
  <c r="PA21" i="2"/>
  <c r="OZ21" i="2"/>
  <c r="OY21" i="2"/>
  <c r="OX21" i="2"/>
  <c r="OW21" i="2"/>
  <c r="OV21" i="2"/>
  <c r="OU21" i="2"/>
  <c r="OT21" i="2"/>
  <c r="OS21" i="2"/>
  <c r="OR21" i="2"/>
  <c r="OQ21" i="2"/>
  <c r="OP21" i="2"/>
  <c r="OO21" i="2"/>
  <c r="ON21" i="2"/>
  <c r="OM21" i="2"/>
  <c r="OL21" i="2"/>
  <c r="OK21" i="2"/>
  <c r="OJ21" i="2"/>
  <c r="OI21" i="2"/>
  <c r="OH21" i="2"/>
  <c r="OG21" i="2"/>
  <c r="OF21" i="2"/>
  <c r="OE21" i="2"/>
  <c r="OD21" i="2"/>
  <c r="OC21" i="2"/>
  <c r="OB21" i="2"/>
  <c r="OA21" i="2"/>
  <c r="NZ21" i="2"/>
  <c r="NY21" i="2"/>
  <c r="NX21" i="2"/>
  <c r="NW21" i="2"/>
  <c r="NV21" i="2"/>
  <c r="NU21" i="2"/>
  <c r="NT21" i="2"/>
  <c r="NS21" i="2"/>
  <c r="NR21" i="2"/>
  <c r="PC21" i="2" s="1"/>
  <c r="JF21" i="2"/>
  <c r="JE21" i="2"/>
  <c r="JD21" i="2"/>
  <c r="JC21" i="2"/>
  <c r="JB21" i="2"/>
  <c r="JA21" i="2"/>
  <c r="IZ21" i="2"/>
  <c r="IY21" i="2"/>
  <c r="IX21" i="2"/>
  <c r="IW21" i="2"/>
  <c r="IV21" i="2"/>
  <c r="IU21" i="2"/>
  <c r="IT21" i="2"/>
  <c r="IS21" i="2"/>
  <c r="IR21" i="2"/>
  <c r="IQ21" i="2"/>
  <c r="IP21" i="2"/>
  <c r="IO21" i="2"/>
  <c r="IN21" i="2"/>
  <c r="IM21" i="2"/>
  <c r="IL21" i="2"/>
  <c r="IK21" i="2"/>
  <c r="IJ21" i="2"/>
  <c r="II21" i="2"/>
  <c r="IH21" i="2"/>
  <c r="IG21" i="2"/>
  <c r="IF21" i="2"/>
  <c r="IE21" i="2"/>
  <c r="ID21" i="2"/>
  <c r="IC21" i="2"/>
  <c r="IB21" i="2"/>
  <c r="IA21" i="2"/>
  <c r="HZ21" i="2"/>
  <c r="HY21" i="2"/>
  <c r="HX21" i="2"/>
  <c r="HW21" i="2"/>
  <c r="HV21" i="2"/>
  <c r="JG21" i="2" s="1"/>
  <c r="DJ21" i="2"/>
  <c r="DI21" i="2"/>
  <c r="DH21" i="2"/>
  <c r="DG21" i="2"/>
  <c r="DF21" i="2"/>
  <c r="DE21" i="2"/>
  <c r="DD21" i="2"/>
  <c r="DC21" i="2"/>
  <c r="DB21" i="2"/>
  <c r="DA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DK21" i="2" s="1"/>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BY21" i="2" s="1"/>
  <c r="AO21" i="2"/>
  <c r="AN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AM21" i="2" s="1"/>
  <c r="D21" i="2"/>
  <c r="C21" i="2"/>
  <c r="B21" i="2"/>
  <c r="PB15" i="2"/>
  <c r="PA15" i="2"/>
  <c r="OZ15" i="2"/>
  <c r="OY15" i="2"/>
  <c r="OX15" i="2"/>
  <c r="OW15" i="2"/>
  <c r="OV15" i="2"/>
  <c r="OU15" i="2"/>
  <c r="OT15" i="2"/>
  <c r="OS15" i="2"/>
  <c r="OR15" i="2"/>
  <c r="OQ15" i="2"/>
  <c r="OP15" i="2"/>
  <c r="OO15" i="2"/>
  <c r="ON15" i="2"/>
  <c r="OM15" i="2"/>
  <c r="OL15" i="2"/>
  <c r="OK15" i="2"/>
  <c r="OJ15" i="2"/>
  <c r="OI15" i="2"/>
  <c r="OH15" i="2"/>
  <c r="OG15" i="2"/>
  <c r="OF15" i="2"/>
  <c r="OE15" i="2"/>
  <c r="OD15" i="2"/>
  <c r="OC15" i="2"/>
  <c r="OB15" i="2"/>
  <c r="OA15" i="2"/>
  <c r="NZ15" i="2"/>
  <c r="NY15" i="2"/>
  <c r="NX15" i="2"/>
  <c r="NW15" i="2"/>
  <c r="NV15" i="2"/>
  <c r="PC15" i="2" s="1"/>
  <c r="NU15" i="2"/>
  <c r="NT15" i="2"/>
  <c r="NS15" i="2"/>
  <c r="NR15" i="2"/>
  <c r="JF15" i="2"/>
  <c r="JE15" i="2"/>
  <c r="JD15" i="2"/>
  <c r="JC15" i="2"/>
  <c r="JB15" i="2"/>
  <c r="JA15" i="2"/>
  <c r="IZ15" i="2"/>
  <c r="IY15" i="2"/>
  <c r="IX15" i="2"/>
  <c r="IW15" i="2"/>
  <c r="IV15" i="2"/>
  <c r="IU15" i="2"/>
  <c r="IT15" i="2"/>
  <c r="IS15" i="2"/>
  <c r="IR15" i="2"/>
  <c r="IQ15" i="2"/>
  <c r="IP15" i="2"/>
  <c r="IO15" i="2"/>
  <c r="IN15" i="2"/>
  <c r="IM15" i="2"/>
  <c r="IL15" i="2"/>
  <c r="IK15" i="2"/>
  <c r="IJ15" i="2"/>
  <c r="II15" i="2"/>
  <c r="IH15" i="2"/>
  <c r="IG15" i="2"/>
  <c r="IF15" i="2"/>
  <c r="IE15" i="2"/>
  <c r="ID15" i="2"/>
  <c r="IC15" i="2"/>
  <c r="IB15" i="2"/>
  <c r="IA15" i="2"/>
  <c r="HZ15" i="2"/>
  <c r="HY15" i="2"/>
  <c r="HX15" i="2"/>
  <c r="HW15" i="2"/>
  <c r="HV15" i="2"/>
  <c r="JG15" i="2" s="1"/>
  <c r="DJ15" i="2"/>
  <c r="DI15" i="2"/>
  <c r="DH15" i="2"/>
  <c r="DG15" i="2"/>
  <c r="DF15" i="2"/>
  <c r="DE15" i="2"/>
  <c r="DD15" i="2"/>
  <c r="DC15" i="2"/>
  <c r="DB15" i="2"/>
  <c r="DA15"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DK15" i="2" s="1"/>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BY15" i="2" s="1"/>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AM15" i="2" s="1"/>
  <c r="PB12" i="2"/>
  <c r="PA12" i="2"/>
  <c r="OZ12" i="2"/>
  <c r="OY12" i="2"/>
  <c r="OX12" i="2"/>
  <c r="OW12" i="2"/>
  <c r="OV12" i="2"/>
  <c r="OU12" i="2"/>
  <c r="OT12" i="2"/>
  <c r="OS12" i="2"/>
  <c r="OR12" i="2"/>
  <c r="OQ12" i="2"/>
  <c r="OP12" i="2"/>
  <c r="OO12" i="2"/>
  <c r="ON12" i="2"/>
  <c r="OM12" i="2"/>
  <c r="OL12" i="2"/>
  <c r="OK12" i="2"/>
  <c r="OJ12" i="2"/>
  <c r="OI12" i="2"/>
  <c r="OH12" i="2"/>
  <c r="OG12" i="2"/>
  <c r="OF12" i="2"/>
  <c r="OE12" i="2"/>
  <c r="OD12" i="2"/>
  <c r="OC12" i="2"/>
  <c r="OB12" i="2"/>
  <c r="OA12" i="2"/>
  <c r="NZ12" i="2"/>
  <c r="NY12" i="2"/>
  <c r="NX12" i="2"/>
  <c r="NW12" i="2"/>
  <c r="PC12" i="2" s="1"/>
  <c r="NV12" i="2"/>
  <c r="NU12" i="2"/>
  <c r="NT12" i="2"/>
  <c r="NS12" i="2"/>
  <c r="NR12" i="2"/>
  <c r="JF12" i="2"/>
  <c r="JE12" i="2"/>
  <c r="JD12" i="2"/>
  <c r="JC12" i="2"/>
  <c r="JB12" i="2"/>
  <c r="JA12" i="2"/>
  <c r="IZ12" i="2"/>
  <c r="IY12" i="2"/>
  <c r="IX12" i="2"/>
  <c r="IW12" i="2"/>
  <c r="IV12" i="2"/>
  <c r="IU12" i="2"/>
  <c r="IT12" i="2"/>
  <c r="IS12" i="2"/>
  <c r="IR12" i="2"/>
  <c r="IQ12" i="2"/>
  <c r="IP12" i="2"/>
  <c r="IO12" i="2"/>
  <c r="IN12" i="2"/>
  <c r="IM12" i="2"/>
  <c r="IL12" i="2"/>
  <c r="IK12" i="2"/>
  <c r="IJ12" i="2"/>
  <c r="II12" i="2"/>
  <c r="IH12" i="2"/>
  <c r="IG12" i="2"/>
  <c r="IF12" i="2"/>
  <c r="IE12" i="2"/>
  <c r="ID12" i="2"/>
  <c r="IC12" i="2"/>
  <c r="IB12" i="2"/>
  <c r="IA12" i="2"/>
  <c r="HZ12" i="2"/>
  <c r="HY12" i="2"/>
  <c r="HX12" i="2"/>
  <c r="HW12" i="2"/>
  <c r="HV12" i="2"/>
  <c r="JG12" i="2" s="1"/>
  <c r="DJ12" i="2"/>
  <c r="DI12" i="2"/>
  <c r="DH12" i="2"/>
  <c r="DG12" i="2"/>
  <c r="DF12" i="2"/>
  <c r="DE12" i="2"/>
  <c r="DD12" i="2"/>
  <c r="DC12" i="2"/>
  <c r="DB12" i="2"/>
  <c r="DA12" i="2"/>
  <c r="CZ12" i="2"/>
  <c r="CY12" i="2"/>
  <c r="CX12" i="2"/>
  <c r="CW12" i="2"/>
  <c r="CV12" i="2"/>
  <c r="CU12" i="2"/>
  <c r="CT12" i="2"/>
  <c r="CS12" i="2"/>
  <c r="CR12" i="2"/>
  <c r="CQ12" i="2"/>
  <c r="CP12" i="2"/>
  <c r="CO12" i="2"/>
  <c r="CN12" i="2"/>
  <c r="CM12" i="2"/>
  <c r="CL12" i="2"/>
  <c r="CK12" i="2"/>
  <c r="DK12" i="2" s="1"/>
  <c r="CJ12" i="2"/>
  <c r="CI12" i="2"/>
  <c r="CH12" i="2"/>
  <c r="CG12" i="2"/>
  <c r="CF12" i="2"/>
  <c r="CE12" i="2"/>
  <c r="CD12" i="2"/>
  <c r="CC12" i="2"/>
  <c r="CB12" i="2"/>
  <c r="CA12" i="2"/>
  <c r="BZ12" i="2"/>
  <c r="BX12" i="2"/>
  <c r="BW12" i="2"/>
  <c r="BV12" i="2"/>
  <c r="BU12" i="2"/>
  <c r="BT12" i="2"/>
  <c r="BS12" i="2"/>
  <c r="BR12" i="2"/>
  <c r="BQ12" i="2"/>
  <c r="BP12" i="2"/>
  <c r="BO12" i="2"/>
  <c r="BN12" i="2"/>
  <c r="BM12" i="2"/>
  <c r="BL12" i="2"/>
  <c r="BK12" i="2"/>
  <c r="BJ12" i="2"/>
  <c r="BI12" i="2"/>
  <c r="BH12" i="2"/>
  <c r="BG12" i="2"/>
  <c r="BF12" i="2"/>
  <c r="BE12" i="2"/>
  <c r="BD12" i="2"/>
  <c r="BC12" i="2"/>
  <c r="BB12" i="2"/>
  <c r="BA12" i="2"/>
  <c r="AZ12" i="2"/>
  <c r="AY12" i="2"/>
  <c r="AX12" i="2"/>
  <c r="AW12" i="2"/>
  <c r="AV12" i="2"/>
  <c r="AU12" i="2"/>
  <c r="AT12" i="2"/>
  <c r="AS12" i="2"/>
  <c r="AR12" i="2"/>
  <c r="AQ12" i="2"/>
  <c r="AP12" i="2"/>
  <c r="AO12" i="2"/>
  <c r="AN12" i="2"/>
  <c r="BY12" i="2" s="1"/>
  <c r="AL12" i="2"/>
  <c r="AK12" i="2"/>
  <c r="AJ12" i="2"/>
  <c r="AI12" i="2"/>
  <c r="AH12" i="2"/>
  <c r="AG12" i="2"/>
  <c r="AF12" i="2"/>
  <c r="AE12" i="2"/>
  <c r="AD12" i="2"/>
  <c r="AC12" i="2"/>
  <c r="AB12" i="2"/>
  <c r="AA12" i="2"/>
  <c r="Z12" i="2"/>
  <c r="Y12" i="2"/>
  <c r="X12" i="2"/>
  <c r="W12" i="2"/>
  <c r="V12" i="2"/>
  <c r="U12" i="2"/>
  <c r="T12" i="2"/>
  <c r="S12" i="2"/>
  <c r="R12" i="2"/>
  <c r="Q12" i="2"/>
  <c r="P12" i="2"/>
  <c r="O12" i="2"/>
  <c r="N12" i="2"/>
  <c r="M12" i="2"/>
  <c r="L12" i="2"/>
  <c r="K12" i="2"/>
  <c r="J12" i="2"/>
  <c r="I12" i="2"/>
  <c r="H12" i="2"/>
  <c r="G12" i="2"/>
  <c r="F12" i="2"/>
  <c r="E12" i="2"/>
  <c r="D12" i="2"/>
  <c r="C12" i="2"/>
  <c r="B12" i="2"/>
  <c r="AM12" i="2" s="1"/>
  <c r="PB9" i="2"/>
  <c r="PA9" i="2"/>
  <c r="OZ9" i="2"/>
  <c r="OY9" i="2"/>
  <c r="OX9" i="2"/>
  <c r="OW9" i="2"/>
  <c r="OV9" i="2"/>
  <c r="OU9" i="2"/>
  <c r="OT9" i="2"/>
  <c r="OS9" i="2"/>
  <c r="OR9" i="2"/>
  <c r="OQ9" i="2"/>
  <c r="OP9" i="2"/>
  <c r="OO9" i="2"/>
  <c r="ON9" i="2"/>
  <c r="OM9" i="2"/>
  <c r="OL9" i="2"/>
  <c r="OK9" i="2"/>
  <c r="OJ9" i="2"/>
  <c r="OI9" i="2"/>
  <c r="OH9" i="2"/>
  <c r="OG9" i="2"/>
  <c r="OF9" i="2"/>
  <c r="OE9" i="2"/>
  <c r="OD9" i="2"/>
  <c r="OC9" i="2"/>
  <c r="OB9" i="2"/>
  <c r="OA9" i="2"/>
  <c r="NZ9" i="2"/>
  <c r="NY9" i="2"/>
  <c r="NX9" i="2"/>
  <c r="NW9" i="2"/>
  <c r="NV9" i="2"/>
  <c r="NU9" i="2"/>
  <c r="NT9" i="2"/>
  <c r="NS9" i="2"/>
  <c r="NR9" i="2"/>
  <c r="PC9" i="2" s="1"/>
  <c r="JF9" i="2"/>
  <c r="JE9" i="2"/>
  <c r="JD9" i="2"/>
  <c r="JC9" i="2"/>
  <c r="JB9" i="2"/>
  <c r="JA9" i="2"/>
  <c r="IZ9" i="2"/>
  <c r="IY9" i="2"/>
  <c r="IX9" i="2"/>
  <c r="IW9" i="2"/>
  <c r="IV9" i="2"/>
  <c r="IU9" i="2"/>
  <c r="IT9" i="2"/>
  <c r="IS9" i="2"/>
  <c r="IR9" i="2"/>
  <c r="IQ9" i="2"/>
  <c r="IP9" i="2"/>
  <c r="IO9" i="2"/>
  <c r="IN9" i="2"/>
  <c r="IM9" i="2"/>
  <c r="IL9" i="2"/>
  <c r="IK9" i="2"/>
  <c r="IJ9" i="2"/>
  <c r="II9" i="2"/>
  <c r="IH9" i="2"/>
  <c r="IG9" i="2"/>
  <c r="IF9" i="2"/>
  <c r="IE9" i="2"/>
  <c r="ID9" i="2"/>
  <c r="IC9" i="2"/>
  <c r="IB9" i="2"/>
  <c r="IA9" i="2"/>
  <c r="HZ9" i="2"/>
  <c r="HY9" i="2"/>
  <c r="HX9" i="2"/>
  <c r="HW9" i="2"/>
  <c r="HV9" i="2"/>
  <c r="JG9" i="2" s="1"/>
  <c r="DJ9" i="2"/>
  <c r="DI9" i="2"/>
  <c r="DH9" i="2"/>
  <c r="DG9" i="2"/>
  <c r="DF9" i="2"/>
  <c r="DE9" i="2"/>
  <c r="DD9" i="2"/>
  <c r="DC9" i="2"/>
  <c r="DB9" i="2"/>
  <c r="DA9" i="2"/>
  <c r="CZ9" i="2"/>
  <c r="CY9" i="2"/>
  <c r="CX9" i="2"/>
  <c r="CW9" i="2"/>
  <c r="CV9" i="2"/>
  <c r="CU9" i="2"/>
  <c r="CT9" i="2"/>
  <c r="CS9" i="2"/>
  <c r="CR9" i="2"/>
  <c r="CQ9" i="2"/>
  <c r="CP9" i="2"/>
  <c r="CO9" i="2"/>
  <c r="CN9" i="2"/>
  <c r="CM9" i="2"/>
  <c r="CL9" i="2"/>
  <c r="CK9" i="2"/>
  <c r="CJ9" i="2"/>
  <c r="CI9" i="2"/>
  <c r="CH9" i="2"/>
  <c r="CG9" i="2"/>
  <c r="CF9" i="2"/>
  <c r="CE9" i="2"/>
  <c r="CD9" i="2"/>
  <c r="CC9" i="2"/>
  <c r="CB9" i="2"/>
  <c r="CA9" i="2"/>
  <c r="BZ9" i="2"/>
  <c r="DK9" i="2" s="1"/>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BY9" i="2" s="1"/>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9" i="2"/>
  <c r="B9" i="2"/>
  <c r="AM9" i="2" s="1"/>
  <c r="PB6" i="2"/>
  <c r="PA6" i="2"/>
  <c r="OZ6" i="2"/>
  <c r="OY6" i="2"/>
  <c r="OX6" i="2"/>
  <c r="OW6" i="2"/>
  <c r="OV6" i="2"/>
  <c r="OU6" i="2"/>
  <c r="OT6" i="2"/>
  <c r="OS6" i="2"/>
  <c r="OR6" i="2"/>
  <c r="OQ6" i="2"/>
  <c r="OP6" i="2"/>
  <c r="OO6" i="2"/>
  <c r="ON6" i="2"/>
  <c r="OM6" i="2"/>
  <c r="OL6" i="2"/>
  <c r="OK6" i="2"/>
  <c r="OJ6" i="2"/>
  <c r="OI6" i="2"/>
  <c r="OH6" i="2"/>
  <c r="OG6" i="2"/>
  <c r="OF6" i="2"/>
  <c r="OE6" i="2"/>
  <c r="OD6" i="2"/>
  <c r="OC6" i="2"/>
  <c r="OB6" i="2"/>
  <c r="OA6" i="2"/>
  <c r="NZ6" i="2"/>
  <c r="NY6" i="2"/>
  <c r="NX6" i="2"/>
  <c r="NW6" i="2"/>
  <c r="NV6" i="2"/>
  <c r="NU6" i="2"/>
  <c r="NT6" i="2"/>
  <c r="NS6" i="2"/>
  <c r="NR6" i="2"/>
  <c r="PC6" i="2" s="1"/>
  <c r="JF6" i="2"/>
  <c r="JE6" i="2"/>
  <c r="JD6" i="2"/>
  <c r="JC6" i="2"/>
  <c r="JB6" i="2"/>
  <c r="JA6" i="2"/>
  <c r="IZ6" i="2"/>
  <c r="IY6" i="2"/>
  <c r="IX6" i="2"/>
  <c r="IW6" i="2"/>
  <c r="IV6" i="2"/>
  <c r="IU6" i="2"/>
  <c r="IT6" i="2"/>
  <c r="IS6" i="2"/>
  <c r="IR6" i="2"/>
  <c r="IQ6" i="2"/>
  <c r="IP6" i="2"/>
  <c r="IO6" i="2"/>
  <c r="IN6" i="2"/>
  <c r="IM6" i="2"/>
  <c r="IL6" i="2"/>
  <c r="IK6" i="2"/>
  <c r="IJ6" i="2"/>
  <c r="II6" i="2"/>
  <c r="IH6" i="2"/>
  <c r="IG6" i="2"/>
  <c r="IF6" i="2"/>
  <c r="IE6" i="2"/>
  <c r="ID6" i="2"/>
  <c r="IC6" i="2"/>
  <c r="IB6" i="2"/>
  <c r="IA6" i="2"/>
  <c r="HZ6" i="2"/>
  <c r="HY6" i="2"/>
  <c r="HX6" i="2"/>
  <c r="HW6" i="2"/>
  <c r="HV6" i="2"/>
  <c r="JG6" i="2" s="1"/>
  <c r="DJ6" i="2"/>
  <c r="DI6" i="2"/>
  <c r="DH6" i="2"/>
  <c r="DG6" i="2"/>
  <c r="DF6" i="2"/>
  <c r="DE6" i="2"/>
  <c r="DD6" i="2"/>
  <c r="DC6" i="2"/>
  <c r="DB6" i="2"/>
  <c r="DA6" i="2"/>
  <c r="CZ6" i="2"/>
  <c r="CY6" i="2"/>
  <c r="CX6" i="2"/>
  <c r="CW6" i="2"/>
  <c r="CV6" i="2"/>
  <c r="CU6" i="2"/>
  <c r="CT6" i="2"/>
  <c r="CS6" i="2"/>
  <c r="CR6" i="2"/>
  <c r="CQ6" i="2"/>
  <c r="CP6" i="2"/>
  <c r="CO6" i="2"/>
  <c r="CN6" i="2"/>
  <c r="CM6" i="2"/>
  <c r="CL6" i="2"/>
  <c r="CK6" i="2"/>
  <c r="CJ6" i="2"/>
  <c r="CI6" i="2"/>
  <c r="CH6" i="2"/>
  <c r="CG6" i="2"/>
  <c r="CF6" i="2"/>
  <c r="CE6" i="2"/>
  <c r="DK6" i="2" s="1"/>
  <c r="CD6" i="2"/>
  <c r="CC6" i="2"/>
  <c r="CB6" i="2"/>
  <c r="CA6" i="2"/>
  <c r="BZ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BY6" i="2" s="1"/>
  <c r="AS6" i="2"/>
  <c r="AR6" i="2"/>
  <c r="AQ6" i="2"/>
  <c r="AP6" i="2"/>
  <c r="AO6" i="2"/>
  <c r="AN6" i="2"/>
  <c r="AL6" i="2"/>
  <c r="AK6" i="2"/>
  <c r="AJ6" i="2"/>
  <c r="AI6" i="2"/>
  <c r="AH6" i="2"/>
  <c r="AG6" i="2"/>
  <c r="AF6" i="2"/>
  <c r="AE6" i="2"/>
  <c r="AD6" i="2"/>
  <c r="AC6" i="2"/>
  <c r="AB6" i="2"/>
  <c r="AA6" i="2"/>
  <c r="Z6" i="2"/>
  <c r="Y6" i="2"/>
  <c r="X6" i="2"/>
  <c r="W6" i="2"/>
  <c r="V6" i="2"/>
  <c r="U6" i="2"/>
  <c r="T6" i="2"/>
  <c r="S6" i="2"/>
  <c r="R6" i="2"/>
  <c r="Q6" i="2"/>
  <c r="P6" i="2"/>
  <c r="O6" i="2"/>
  <c r="N6" i="2"/>
  <c r="M6" i="2"/>
  <c r="AM6" i="2" s="1"/>
  <c r="L6" i="2"/>
  <c r="K6" i="2"/>
  <c r="J6" i="2"/>
  <c r="I6" i="2"/>
  <c r="H6" i="2"/>
  <c r="G6" i="2"/>
  <c r="F6" i="2"/>
  <c r="E6" i="2"/>
  <c r="D6" i="2"/>
  <c r="C6" i="2"/>
  <c r="B6" i="2"/>
  <c r="L48" i="2" l="1"/>
  <c r="J48" i="2"/>
  <c r="H48" i="2"/>
  <c r="E48" i="2"/>
  <c r="C48" i="2"/>
  <c r="NR37" i="2"/>
  <c r="KT37" i="2"/>
  <c r="JH37" i="2"/>
  <c r="HV37" i="2"/>
  <c r="EX37" i="2"/>
  <c r="DL37" i="2"/>
  <c r="BZ37" i="2"/>
  <c r="AN37" i="2"/>
  <c r="B37" i="2"/>
  <c r="NR34" i="2"/>
  <c r="KT34" i="2"/>
  <c r="JH34" i="2"/>
  <c r="HV34" i="2"/>
  <c r="EX34" i="2"/>
  <c r="DL34" i="2"/>
  <c r="BZ34" i="2"/>
  <c r="AN34" i="2"/>
  <c r="B34" i="2"/>
  <c r="PB19" i="2"/>
  <c r="PA19" i="2"/>
  <c r="OZ19" i="2"/>
  <c r="OY19" i="2"/>
  <c r="OX19" i="2"/>
  <c r="OW19" i="2"/>
  <c r="OV19" i="2"/>
  <c r="OU19" i="2"/>
  <c r="OT19" i="2"/>
  <c r="OS19" i="2"/>
  <c r="OR19" i="2"/>
  <c r="OQ19" i="2"/>
  <c r="OP19" i="2"/>
  <c r="OO19" i="2"/>
  <c r="ON19" i="2"/>
  <c r="OM19" i="2"/>
  <c r="OL19" i="2"/>
  <c r="OK19" i="2"/>
  <c r="OJ19" i="2"/>
  <c r="OI19" i="2"/>
  <c r="OH19" i="2"/>
  <c r="OG19" i="2"/>
  <c r="OF19" i="2"/>
  <c r="OE19" i="2"/>
  <c r="OD19" i="2"/>
  <c r="OC19" i="2"/>
  <c r="OB19" i="2"/>
  <c r="OA19" i="2"/>
  <c r="NZ19" i="2"/>
  <c r="NY19" i="2"/>
  <c r="NX19" i="2"/>
  <c r="NW19" i="2"/>
  <c r="NV19" i="2"/>
  <c r="NU19" i="2"/>
  <c r="NT19" i="2"/>
  <c r="NS19" i="2"/>
  <c r="NR19" i="2"/>
  <c r="JF19" i="2"/>
  <c r="JE19" i="2"/>
  <c r="JD19" i="2"/>
  <c r="JC19" i="2"/>
  <c r="JB19" i="2"/>
  <c r="JA19" i="2"/>
  <c r="IZ19" i="2"/>
  <c r="IY19" i="2"/>
  <c r="IX19" i="2"/>
  <c r="IW19" i="2"/>
  <c r="IV19" i="2"/>
  <c r="IU19" i="2"/>
  <c r="IT19" i="2"/>
  <c r="IS19" i="2"/>
  <c r="IR19" i="2"/>
  <c r="IQ19" i="2"/>
  <c r="IP19" i="2"/>
  <c r="IO19" i="2"/>
  <c r="IN19" i="2"/>
  <c r="IM19" i="2"/>
  <c r="IL19" i="2"/>
  <c r="IK19" i="2"/>
  <c r="IJ19" i="2"/>
  <c r="II19" i="2"/>
  <c r="IH19" i="2"/>
  <c r="IG19" i="2"/>
  <c r="IF19" i="2"/>
  <c r="IE19" i="2"/>
  <c r="ID19" i="2"/>
  <c r="IC19" i="2"/>
  <c r="IB19" i="2"/>
  <c r="IA19" i="2"/>
  <c r="HZ19" i="2"/>
  <c r="HY19" i="2"/>
  <c r="HX19" i="2"/>
  <c r="HW19" i="2"/>
  <c r="HV19" i="2"/>
  <c r="DJ19" i="2"/>
  <c r="DI19" i="2"/>
  <c r="DH19" i="2"/>
  <c r="DG19" i="2"/>
  <c r="DF19" i="2"/>
  <c r="DE19" i="2"/>
  <c r="DD19" i="2"/>
  <c r="DC19" i="2"/>
  <c r="DB19" i="2"/>
  <c r="DA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PB4" i="2"/>
  <c r="PA4" i="2"/>
  <c r="OZ4" i="2"/>
  <c r="OY4" i="2"/>
  <c r="OX4" i="2"/>
  <c r="OW4" i="2"/>
  <c r="OV4" i="2"/>
  <c r="OU4" i="2"/>
  <c r="OT4" i="2"/>
  <c r="OS4" i="2"/>
  <c r="OR4" i="2"/>
  <c r="OQ4" i="2"/>
  <c r="OP4" i="2"/>
  <c r="OO4" i="2"/>
  <c r="ON4" i="2"/>
  <c r="OM4" i="2"/>
  <c r="OL4" i="2"/>
  <c r="OK4" i="2"/>
  <c r="OJ4" i="2"/>
  <c r="OI4" i="2"/>
  <c r="OH4" i="2"/>
  <c r="OG4" i="2"/>
  <c r="OF4" i="2"/>
  <c r="OE4" i="2"/>
  <c r="OD4" i="2"/>
  <c r="OC4" i="2"/>
  <c r="OB4" i="2"/>
  <c r="OA4" i="2"/>
  <c r="NZ4" i="2"/>
  <c r="NY4" i="2"/>
  <c r="NX4" i="2"/>
  <c r="NW4" i="2"/>
  <c r="NV4" i="2"/>
  <c r="NU4" i="2"/>
  <c r="NT4" i="2"/>
  <c r="NS4" i="2"/>
  <c r="NR4" i="2"/>
  <c r="JF4" i="2"/>
  <c r="JE4" i="2"/>
  <c r="JD4" i="2"/>
  <c r="JC4" i="2"/>
  <c r="JB4" i="2"/>
  <c r="JA4" i="2"/>
  <c r="IZ4" i="2"/>
  <c r="IY4" i="2"/>
  <c r="IX4" i="2"/>
  <c r="IW4" i="2"/>
  <c r="IV4" i="2"/>
  <c r="IU4" i="2"/>
  <c r="IT4" i="2"/>
  <c r="IS4" i="2"/>
  <c r="IR4" i="2"/>
  <c r="IQ4" i="2"/>
  <c r="IP4" i="2"/>
  <c r="IO4" i="2"/>
  <c r="IN4" i="2"/>
  <c r="IM4" i="2"/>
  <c r="IL4" i="2"/>
  <c r="IK4" i="2"/>
  <c r="IJ4" i="2"/>
  <c r="II4" i="2"/>
  <c r="IH4" i="2"/>
  <c r="IG4" i="2"/>
  <c r="IF4" i="2"/>
  <c r="IE4" i="2"/>
  <c r="ID4" i="2"/>
  <c r="IC4" i="2"/>
  <c r="IB4" i="2"/>
  <c r="IA4" i="2"/>
  <c r="HZ4" i="2"/>
  <c r="HY4" i="2"/>
  <c r="HX4" i="2"/>
  <c r="HW4" i="2"/>
  <c r="HV4" i="2"/>
  <c r="DJ4" i="2"/>
  <c r="DI4" i="2"/>
  <c r="DH4" i="2"/>
  <c r="DG4" i="2"/>
  <c r="DF4" i="2"/>
  <c r="DE4" i="2"/>
  <c r="DD4" i="2"/>
  <c r="DC4" i="2"/>
  <c r="DB4" i="2"/>
  <c r="DA4" i="2"/>
  <c r="CZ4" i="2"/>
  <c r="CY4" i="2"/>
  <c r="CX4" i="2"/>
  <c r="CW4" i="2"/>
  <c r="CV4" i="2"/>
  <c r="CU4" i="2"/>
  <c r="CT4" i="2"/>
  <c r="CS4" i="2"/>
  <c r="CR4" i="2"/>
  <c r="CQ4" i="2"/>
  <c r="CP4" i="2"/>
  <c r="CO4" i="2"/>
  <c r="CN4" i="2"/>
  <c r="CM4" i="2"/>
  <c r="CL4" i="2"/>
  <c r="CK4" i="2"/>
  <c r="CJ4" i="2"/>
  <c r="CI4" i="2"/>
  <c r="CH4" i="2"/>
  <c r="CG4" i="2"/>
  <c r="CF4" i="2"/>
  <c r="CE4" i="2"/>
  <c r="CD4" i="2"/>
  <c r="CC4" i="2"/>
  <c r="CB4" i="2"/>
  <c r="CA4" i="2"/>
  <c r="BZ4" i="2"/>
  <c r="BX4" i="2"/>
  <c r="BW4" i="2"/>
  <c r="BV4" i="2"/>
  <c r="BU4" i="2"/>
  <c r="BT4" i="2"/>
  <c r="BS4" i="2"/>
  <c r="BR4" i="2"/>
  <c r="BQ4" i="2"/>
  <c r="BP4" i="2"/>
  <c r="BO4" i="2"/>
  <c r="BN4" i="2"/>
  <c r="BM4" i="2"/>
  <c r="BL4" i="2"/>
  <c r="BK4" i="2"/>
  <c r="BJ4" i="2"/>
  <c r="BI4" i="2"/>
  <c r="BH4" i="2"/>
  <c r="BG4" i="2"/>
  <c r="BF4" i="2"/>
  <c r="BE4" i="2"/>
  <c r="BD4" i="2"/>
  <c r="BC4" i="2"/>
  <c r="BB4" i="2"/>
  <c r="BA4" i="2"/>
  <c r="AZ4" i="2"/>
  <c r="AY4" i="2"/>
  <c r="AX4" i="2"/>
  <c r="AW4" i="2"/>
  <c r="AV4" i="2"/>
  <c r="AU4" i="2"/>
  <c r="AT4" i="2"/>
  <c r="AS4" i="2"/>
  <c r="AR4" i="2"/>
  <c r="AQ4" i="2"/>
  <c r="AP4" i="2"/>
  <c r="AO4" i="2"/>
  <c r="AN4" i="2"/>
  <c r="AL4" i="2"/>
  <c r="AK4" i="2"/>
  <c r="AJ4" i="2"/>
  <c r="AI4"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C4" i="2"/>
  <c r="B4" i="2"/>
  <c r="PB31" i="2"/>
  <c r="PA31" i="2"/>
  <c r="OZ31" i="2"/>
  <c r="OY31" i="2"/>
  <c r="OX31" i="2"/>
  <c r="OW31" i="2"/>
  <c r="OV31" i="2"/>
  <c r="OU31" i="2"/>
  <c r="OT31" i="2"/>
  <c r="OS31" i="2"/>
  <c r="OR31" i="2"/>
  <c r="OQ31" i="2"/>
  <c r="OP31" i="2"/>
  <c r="OO31" i="2"/>
  <c r="ON31" i="2"/>
  <c r="OM31" i="2"/>
  <c r="OL31" i="2"/>
  <c r="OK31" i="2"/>
  <c r="OJ31" i="2"/>
  <c r="OI31" i="2"/>
  <c r="OH31" i="2"/>
  <c r="OG31" i="2"/>
  <c r="OF31" i="2"/>
  <c r="OE31" i="2"/>
  <c r="OD31" i="2"/>
  <c r="OC31" i="2"/>
  <c r="OB31" i="2"/>
  <c r="OA31" i="2"/>
  <c r="NZ31" i="2"/>
  <c r="NY31" i="2"/>
  <c r="NX31" i="2"/>
  <c r="NW31" i="2"/>
  <c r="NV31" i="2"/>
  <c r="NU31" i="2"/>
  <c r="NT31" i="2"/>
  <c r="NS31" i="2"/>
  <c r="NR31" i="2"/>
  <c r="JF31" i="2"/>
  <c r="JE31" i="2"/>
  <c r="JD31" i="2"/>
  <c r="JC31" i="2"/>
  <c r="JB31" i="2"/>
  <c r="JA31" i="2"/>
  <c r="IZ31" i="2"/>
  <c r="IY31" i="2"/>
  <c r="IX31" i="2"/>
  <c r="IW31" i="2"/>
  <c r="IV31" i="2"/>
  <c r="IU31" i="2"/>
  <c r="IT31" i="2"/>
  <c r="IS31" i="2"/>
  <c r="IR31" i="2"/>
  <c r="IQ31" i="2"/>
  <c r="IP31" i="2"/>
  <c r="IO31" i="2"/>
  <c r="IN31" i="2"/>
  <c r="IM31" i="2"/>
  <c r="IL31" i="2"/>
  <c r="IK31" i="2"/>
  <c r="IJ31" i="2"/>
  <c r="II31" i="2"/>
  <c r="IH31" i="2"/>
  <c r="IG31" i="2"/>
  <c r="IF31" i="2"/>
  <c r="IE31" i="2"/>
  <c r="ID31" i="2"/>
  <c r="IC31" i="2"/>
  <c r="IB31" i="2"/>
  <c r="IA31" i="2"/>
  <c r="HZ31" i="2"/>
  <c r="HY31" i="2"/>
  <c r="HX31" i="2"/>
  <c r="HW31" i="2"/>
  <c r="HV31" i="2"/>
  <c r="DJ31" i="2"/>
  <c r="DI31" i="2"/>
  <c r="DH31" i="2"/>
  <c r="DG31" i="2"/>
  <c r="DF31" i="2"/>
  <c r="DE31" i="2"/>
  <c r="DD31" i="2"/>
  <c r="DC31" i="2"/>
  <c r="DB31" i="2"/>
  <c r="DA31"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PB28" i="2"/>
  <c r="PA28" i="2"/>
  <c r="OZ28" i="2"/>
  <c r="OY28" i="2"/>
  <c r="OX28" i="2"/>
  <c r="OW28" i="2"/>
  <c r="OV28" i="2"/>
  <c r="OU28" i="2"/>
  <c r="OT28" i="2"/>
  <c r="OS28" i="2"/>
  <c r="OR28" i="2"/>
  <c r="OQ28" i="2"/>
  <c r="OP28" i="2"/>
  <c r="OO28" i="2"/>
  <c r="ON28" i="2"/>
  <c r="OM28" i="2"/>
  <c r="OL28" i="2"/>
  <c r="OK28" i="2"/>
  <c r="OJ28" i="2"/>
  <c r="OI28" i="2"/>
  <c r="OH28" i="2"/>
  <c r="OG28" i="2"/>
  <c r="OF28" i="2"/>
  <c r="OE28" i="2"/>
  <c r="OD28" i="2"/>
  <c r="OC28" i="2"/>
  <c r="OB28" i="2"/>
  <c r="OA28" i="2"/>
  <c r="NZ28" i="2"/>
  <c r="NY28" i="2"/>
  <c r="NX28" i="2"/>
  <c r="NW28" i="2"/>
  <c r="NV28" i="2"/>
  <c r="NU28" i="2"/>
  <c r="NT28" i="2"/>
  <c r="NS28" i="2"/>
  <c r="NR28" i="2"/>
  <c r="JF28" i="2"/>
  <c r="JE28" i="2"/>
  <c r="JD28" i="2"/>
  <c r="JC28" i="2"/>
  <c r="JB28" i="2"/>
  <c r="JA28" i="2"/>
  <c r="IZ28" i="2"/>
  <c r="IY28" i="2"/>
  <c r="IX28" i="2"/>
  <c r="IW28" i="2"/>
  <c r="IV28" i="2"/>
  <c r="IU28" i="2"/>
  <c r="IT28" i="2"/>
  <c r="IS28" i="2"/>
  <c r="IR28" i="2"/>
  <c r="IQ28" i="2"/>
  <c r="IP28" i="2"/>
  <c r="IO28" i="2"/>
  <c r="IN28" i="2"/>
  <c r="IM28" i="2"/>
  <c r="IL28" i="2"/>
  <c r="IK28" i="2"/>
  <c r="IJ28" i="2"/>
  <c r="II28" i="2"/>
  <c r="IH28" i="2"/>
  <c r="IG28" i="2"/>
  <c r="IF28" i="2"/>
  <c r="IE28" i="2"/>
  <c r="ID28" i="2"/>
  <c r="IC28" i="2"/>
  <c r="IB28" i="2"/>
  <c r="IA28" i="2"/>
  <c r="HZ28" i="2"/>
  <c r="HY28" i="2"/>
  <c r="HX28" i="2"/>
  <c r="HW28" i="2"/>
  <c r="HV28" i="2"/>
  <c r="DJ28" i="2"/>
  <c r="DI28" i="2"/>
  <c r="DH28" i="2"/>
  <c r="DG28" i="2"/>
  <c r="DF28" i="2"/>
  <c r="DE28" i="2"/>
  <c r="DD28" i="2"/>
  <c r="DC28" i="2"/>
  <c r="DB28" i="2"/>
  <c r="DA28"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F49" i="2" s="1"/>
  <c r="E28" i="2"/>
  <c r="D28" i="2"/>
  <c r="C28" i="2"/>
  <c r="B28" i="2"/>
  <c r="PB25" i="2"/>
  <c r="PA25" i="2"/>
  <c r="OZ25" i="2"/>
  <c r="OY25" i="2"/>
  <c r="OX25" i="2"/>
  <c r="OW25" i="2"/>
  <c r="OV25" i="2"/>
  <c r="OU25" i="2"/>
  <c r="OT25" i="2"/>
  <c r="OS25" i="2"/>
  <c r="OR25" i="2"/>
  <c r="OQ25" i="2"/>
  <c r="OP25" i="2"/>
  <c r="OO25" i="2"/>
  <c r="ON25" i="2"/>
  <c r="OM25" i="2"/>
  <c r="OL25" i="2"/>
  <c r="OK25" i="2"/>
  <c r="OJ25" i="2"/>
  <c r="OI25" i="2"/>
  <c r="OH25" i="2"/>
  <c r="OG25" i="2"/>
  <c r="OF25" i="2"/>
  <c r="OE25" i="2"/>
  <c r="OD25" i="2"/>
  <c r="OC25" i="2"/>
  <c r="OB25" i="2"/>
  <c r="OA25" i="2"/>
  <c r="NZ25" i="2"/>
  <c r="NY25" i="2"/>
  <c r="NX25" i="2"/>
  <c r="NW25" i="2"/>
  <c r="NV25" i="2"/>
  <c r="NU25" i="2"/>
  <c r="NT25" i="2"/>
  <c r="NS25" i="2"/>
  <c r="NR25" i="2"/>
  <c r="JF25" i="2"/>
  <c r="JE25" i="2"/>
  <c r="JD25" i="2"/>
  <c r="JC25" i="2"/>
  <c r="JB25" i="2"/>
  <c r="JA25" i="2"/>
  <c r="IZ25" i="2"/>
  <c r="IY25" i="2"/>
  <c r="IX25" i="2"/>
  <c r="IW25" i="2"/>
  <c r="IV25" i="2"/>
  <c r="IU25" i="2"/>
  <c r="IT25" i="2"/>
  <c r="IS25" i="2"/>
  <c r="IR25" i="2"/>
  <c r="IQ25" i="2"/>
  <c r="IP25" i="2"/>
  <c r="IO25" i="2"/>
  <c r="IN25" i="2"/>
  <c r="IM25" i="2"/>
  <c r="IL25" i="2"/>
  <c r="IK25" i="2"/>
  <c r="IJ25" i="2"/>
  <c r="II25" i="2"/>
  <c r="IH25" i="2"/>
  <c r="IG25" i="2"/>
  <c r="IF25" i="2"/>
  <c r="IE25" i="2"/>
  <c r="ID25" i="2"/>
  <c r="IC25" i="2"/>
  <c r="IB25" i="2"/>
  <c r="IA25" i="2"/>
  <c r="HZ25" i="2"/>
  <c r="HY25" i="2"/>
  <c r="HX25" i="2"/>
  <c r="HW25" i="2"/>
  <c r="HV25" i="2"/>
  <c r="DJ25" i="2"/>
  <c r="DI25" i="2"/>
  <c r="DH25" i="2"/>
  <c r="DG25" i="2"/>
  <c r="DF25" i="2"/>
  <c r="DE25" i="2"/>
  <c r="DD25" i="2"/>
  <c r="DC25" i="2"/>
  <c r="DB25" i="2"/>
  <c r="DA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25" i="2"/>
  <c r="B25" i="2"/>
  <c r="PB22" i="2"/>
  <c r="PA22" i="2"/>
  <c r="OZ22" i="2"/>
  <c r="OY22" i="2"/>
  <c r="OX22" i="2"/>
  <c r="OW22" i="2"/>
  <c r="OV22" i="2"/>
  <c r="OU22" i="2"/>
  <c r="OT22" i="2"/>
  <c r="OS22" i="2"/>
  <c r="OR22" i="2"/>
  <c r="OQ22" i="2"/>
  <c r="OP22" i="2"/>
  <c r="OO22" i="2"/>
  <c r="ON22" i="2"/>
  <c r="OM22" i="2"/>
  <c r="OL22" i="2"/>
  <c r="OK22" i="2"/>
  <c r="OJ22" i="2"/>
  <c r="OI22" i="2"/>
  <c r="OH22" i="2"/>
  <c r="OG22" i="2"/>
  <c r="OF22" i="2"/>
  <c r="OE22" i="2"/>
  <c r="OD22" i="2"/>
  <c r="OC22" i="2"/>
  <c r="OB22" i="2"/>
  <c r="OA22" i="2"/>
  <c r="NZ22" i="2"/>
  <c r="NY22" i="2"/>
  <c r="NX22" i="2"/>
  <c r="NW22" i="2"/>
  <c r="NV22" i="2"/>
  <c r="NU22" i="2"/>
  <c r="NT22" i="2"/>
  <c r="NS22" i="2"/>
  <c r="NR22" i="2"/>
  <c r="JF22" i="2"/>
  <c r="JE22" i="2"/>
  <c r="JD22" i="2"/>
  <c r="JC22" i="2"/>
  <c r="JB22" i="2"/>
  <c r="JA22" i="2"/>
  <c r="IZ22" i="2"/>
  <c r="IY22" i="2"/>
  <c r="IX22" i="2"/>
  <c r="IW22" i="2"/>
  <c r="IV22" i="2"/>
  <c r="IU22" i="2"/>
  <c r="IT22" i="2"/>
  <c r="IS22" i="2"/>
  <c r="IR22" i="2"/>
  <c r="IQ22" i="2"/>
  <c r="IP22" i="2"/>
  <c r="IO22" i="2"/>
  <c r="IN22" i="2"/>
  <c r="IM22" i="2"/>
  <c r="IL22" i="2"/>
  <c r="IK22" i="2"/>
  <c r="IJ22" i="2"/>
  <c r="II22" i="2"/>
  <c r="IH22" i="2"/>
  <c r="IG22" i="2"/>
  <c r="IF22" i="2"/>
  <c r="IE22" i="2"/>
  <c r="ID22" i="2"/>
  <c r="IC22" i="2"/>
  <c r="IB22" i="2"/>
  <c r="IA22" i="2"/>
  <c r="HZ22" i="2"/>
  <c r="HY22" i="2"/>
  <c r="HX22" i="2"/>
  <c r="HW22" i="2"/>
  <c r="HV22" i="2"/>
  <c r="DJ22" i="2"/>
  <c r="DI22" i="2"/>
  <c r="DH22" i="2"/>
  <c r="DG22" i="2"/>
  <c r="DF22" i="2"/>
  <c r="DE22" i="2"/>
  <c r="DD22" i="2"/>
  <c r="DC22" i="2"/>
  <c r="DB22" i="2"/>
  <c r="DA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AM22" i="2" s="1"/>
  <c r="PB16" i="2"/>
  <c r="PA16" i="2"/>
  <c r="OZ16" i="2"/>
  <c r="OY16" i="2"/>
  <c r="OX16" i="2"/>
  <c r="OW16" i="2"/>
  <c r="OV16" i="2"/>
  <c r="OU16" i="2"/>
  <c r="OT16" i="2"/>
  <c r="OS16" i="2"/>
  <c r="OR16" i="2"/>
  <c r="OQ16" i="2"/>
  <c r="OP16" i="2"/>
  <c r="OO16" i="2"/>
  <c r="ON16" i="2"/>
  <c r="OM16" i="2"/>
  <c r="OL16" i="2"/>
  <c r="OK16" i="2"/>
  <c r="OJ16" i="2"/>
  <c r="OI16" i="2"/>
  <c r="OH16" i="2"/>
  <c r="OG16" i="2"/>
  <c r="OF16" i="2"/>
  <c r="OE16" i="2"/>
  <c r="OD16" i="2"/>
  <c r="OC16" i="2"/>
  <c r="OB16" i="2"/>
  <c r="OA16" i="2"/>
  <c r="NZ16" i="2"/>
  <c r="NY16" i="2"/>
  <c r="NX16" i="2"/>
  <c r="NW16" i="2"/>
  <c r="NV16" i="2"/>
  <c r="NU16" i="2"/>
  <c r="NT16" i="2"/>
  <c r="NS16" i="2"/>
  <c r="NR16" i="2"/>
  <c r="JF16" i="2"/>
  <c r="JE16" i="2"/>
  <c r="JD16" i="2"/>
  <c r="JC16" i="2"/>
  <c r="JB16" i="2"/>
  <c r="JA16" i="2"/>
  <c r="IZ16" i="2"/>
  <c r="IY16" i="2"/>
  <c r="IX16" i="2"/>
  <c r="IW16" i="2"/>
  <c r="IV16" i="2"/>
  <c r="IU16" i="2"/>
  <c r="IT16" i="2"/>
  <c r="IS16" i="2"/>
  <c r="IR16" i="2"/>
  <c r="IQ16" i="2"/>
  <c r="IP16" i="2"/>
  <c r="IO16" i="2"/>
  <c r="IN16" i="2"/>
  <c r="IM16" i="2"/>
  <c r="IL16" i="2"/>
  <c r="IK16" i="2"/>
  <c r="IJ16" i="2"/>
  <c r="II16" i="2"/>
  <c r="IH16" i="2"/>
  <c r="IG16" i="2"/>
  <c r="IF16" i="2"/>
  <c r="IE16" i="2"/>
  <c r="ID16" i="2"/>
  <c r="IC16" i="2"/>
  <c r="IB16" i="2"/>
  <c r="IA16" i="2"/>
  <c r="HZ16" i="2"/>
  <c r="HY16" i="2"/>
  <c r="HX16" i="2"/>
  <c r="HW16" i="2"/>
  <c r="HV16" i="2"/>
  <c r="DJ16" i="2"/>
  <c r="DI16" i="2"/>
  <c r="DH16" i="2"/>
  <c r="DG16" i="2"/>
  <c r="DF16" i="2"/>
  <c r="DE16" i="2"/>
  <c r="DD16" i="2"/>
  <c r="DC16" i="2"/>
  <c r="DB16" i="2"/>
  <c r="DA16"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PB13" i="2"/>
  <c r="PA13" i="2"/>
  <c r="OZ13" i="2"/>
  <c r="OY13" i="2"/>
  <c r="OX13" i="2"/>
  <c r="OW13" i="2"/>
  <c r="OV13" i="2"/>
  <c r="OU13" i="2"/>
  <c r="OT13" i="2"/>
  <c r="OS13" i="2"/>
  <c r="OR13" i="2"/>
  <c r="OQ13" i="2"/>
  <c r="OP13" i="2"/>
  <c r="OO13" i="2"/>
  <c r="ON13" i="2"/>
  <c r="OM13" i="2"/>
  <c r="OL13" i="2"/>
  <c r="OK13" i="2"/>
  <c r="OJ13" i="2"/>
  <c r="OI13" i="2"/>
  <c r="OH13" i="2"/>
  <c r="OG13" i="2"/>
  <c r="OF13" i="2"/>
  <c r="OE13" i="2"/>
  <c r="OD13" i="2"/>
  <c r="OC13" i="2"/>
  <c r="OB13" i="2"/>
  <c r="OA13" i="2"/>
  <c r="NZ13" i="2"/>
  <c r="NY13" i="2"/>
  <c r="NX13" i="2"/>
  <c r="NW13" i="2"/>
  <c r="NV13" i="2"/>
  <c r="NU13" i="2"/>
  <c r="NT13" i="2"/>
  <c r="NS13" i="2"/>
  <c r="NR13" i="2"/>
  <c r="JF13" i="2"/>
  <c r="JE13" i="2"/>
  <c r="JD13" i="2"/>
  <c r="JC13" i="2"/>
  <c r="JB13" i="2"/>
  <c r="JA13" i="2"/>
  <c r="IZ13" i="2"/>
  <c r="IY13" i="2"/>
  <c r="IX13" i="2"/>
  <c r="IW13" i="2"/>
  <c r="IV13" i="2"/>
  <c r="IU13" i="2"/>
  <c r="IT13" i="2"/>
  <c r="IS13" i="2"/>
  <c r="IR13" i="2"/>
  <c r="IQ13" i="2"/>
  <c r="IP13" i="2"/>
  <c r="IO13" i="2"/>
  <c r="IN13" i="2"/>
  <c r="IM13" i="2"/>
  <c r="IL13" i="2"/>
  <c r="IK13" i="2"/>
  <c r="IJ13" i="2"/>
  <c r="II13" i="2"/>
  <c r="IH13" i="2"/>
  <c r="IG13" i="2"/>
  <c r="IF13" i="2"/>
  <c r="IE13" i="2"/>
  <c r="ID13" i="2"/>
  <c r="IC13" i="2"/>
  <c r="IB13" i="2"/>
  <c r="IA13" i="2"/>
  <c r="HZ13" i="2"/>
  <c r="HY13" i="2"/>
  <c r="HX13" i="2"/>
  <c r="HW13" i="2"/>
  <c r="HV13" i="2"/>
  <c r="DJ13" i="2"/>
  <c r="DI13" i="2"/>
  <c r="DH13" i="2"/>
  <c r="DG13" i="2"/>
  <c r="DF13" i="2"/>
  <c r="DE13" i="2"/>
  <c r="DD13" i="2"/>
  <c r="DC13" i="2"/>
  <c r="DB13" i="2"/>
  <c r="DA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13" i="2"/>
  <c r="B13" i="2"/>
  <c r="PB10" i="2"/>
  <c r="PA10" i="2"/>
  <c r="OZ10" i="2"/>
  <c r="OY10" i="2"/>
  <c r="OX10" i="2"/>
  <c r="OW10" i="2"/>
  <c r="OV10" i="2"/>
  <c r="OU10" i="2"/>
  <c r="OT10" i="2"/>
  <c r="OS10" i="2"/>
  <c r="OR10" i="2"/>
  <c r="OQ10" i="2"/>
  <c r="OP10" i="2"/>
  <c r="OO10" i="2"/>
  <c r="ON10" i="2"/>
  <c r="OM10" i="2"/>
  <c r="OL10" i="2"/>
  <c r="OK10" i="2"/>
  <c r="OJ10" i="2"/>
  <c r="OI10" i="2"/>
  <c r="OH10" i="2"/>
  <c r="OG10" i="2"/>
  <c r="OF10" i="2"/>
  <c r="OE10" i="2"/>
  <c r="OD10" i="2"/>
  <c r="OC10" i="2"/>
  <c r="OB10" i="2"/>
  <c r="OA10" i="2"/>
  <c r="NZ10" i="2"/>
  <c r="NY10" i="2"/>
  <c r="NX10" i="2"/>
  <c r="NW10" i="2"/>
  <c r="NV10" i="2"/>
  <c r="NU10" i="2"/>
  <c r="NT10" i="2"/>
  <c r="NS10" i="2"/>
  <c r="NR10" i="2"/>
  <c r="JF10" i="2"/>
  <c r="JE10" i="2"/>
  <c r="JD10" i="2"/>
  <c r="JC10" i="2"/>
  <c r="JB10" i="2"/>
  <c r="JA10" i="2"/>
  <c r="IZ10" i="2"/>
  <c r="IY10" i="2"/>
  <c r="IX10" i="2"/>
  <c r="IW10" i="2"/>
  <c r="IV10" i="2"/>
  <c r="IU10" i="2"/>
  <c r="IT10" i="2"/>
  <c r="IS10" i="2"/>
  <c r="IR10" i="2"/>
  <c r="IQ10" i="2"/>
  <c r="IP10" i="2"/>
  <c r="IO10" i="2"/>
  <c r="IN10" i="2"/>
  <c r="IM10" i="2"/>
  <c r="IL10" i="2"/>
  <c r="IK10" i="2"/>
  <c r="IJ10" i="2"/>
  <c r="II10" i="2"/>
  <c r="IH10" i="2"/>
  <c r="IG10" i="2"/>
  <c r="IF10" i="2"/>
  <c r="IE10" i="2"/>
  <c r="ID10" i="2"/>
  <c r="IC10" i="2"/>
  <c r="IB10" i="2"/>
  <c r="IA10" i="2"/>
  <c r="HZ10" i="2"/>
  <c r="HY10" i="2"/>
  <c r="HX10" i="2"/>
  <c r="HW10" i="2"/>
  <c r="HV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PB7" i="2"/>
  <c r="PA7" i="2"/>
  <c r="OZ7" i="2"/>
  <c r="OY7" i="2"/>
  <c r="OX7" i="2"/>
  <c r="OW7" i="2"/>
  <c r="OV7" i="2"/>
  <c r="OU7" i="2"/>
  <c r="OT7" i="2"/>
  <c r="OS7" i="2"/>
  <c r="OR7" i="2"/>
  <c r="OQ7" i="2"/>
  <c r="OP7" i="2"/>
  <c r="OO7" i="2"/>
  <c r="ON7" i="2"/>
  <c r="OM7" i="2"/>
  <c r="OL7" i="2"/>
  <c r="OK7" i="2"/>
  <c r="OJ7" i="2"/>
  <c r="OI7" i="2"/>
  <c r="OH7" i="2"/>
  <c r="OG7" i="2"/>
  <c r="OF7" i="2"/>
  <c r="OE7" i="2"/>
  <c r="OD7" i="2"/>
  <c r="OC7" i="2"/>
  <c r="OB7" i="2"/>
  <c r="OA7" i="2"/>
  <c r="NZ7" i="2"/>
  <c r="NY7" i="2"/>
  <c r="NX7" i="2"/>
  <c r="NW7" i="2"/>
  <c r="NV7" i="2"/>
  <c r="NU7" i="2"/>
  <c r="NT7" i="2"/>
  <c r="NS7" i="2"/>
  <c r="NR7" i="2"/>
  <c r="JF7" i="2"/>
  <c r="JE7" i="2"/>
  <c r="JD7" i="2"/>
  <c r="JC7" i="2"/>
  <c r="JB7" i="2"/>
  <c r="JA7" i="2"/>
  <c r="IZ7" i="2"/>
  <c r="IY7" i="2"/>
  <c r="IX7" i="2"/>
  <c r="IW7" i="2"/>
  <c r="IV7" i="2"/>
  <c r="IU7" i="2"/>
  <c r="IT7" i="2"/>
  <c r="IS7" i="2"/>
  <c r="IR7" i="2"/>
  <c r="IQ7" i="2"/>
  <c r="IP7" i="2"/>
  <c r="IO7" i="2"/>
  <c r="IN7" i="2"/>
  <c r="IM7" i="2"/>
  <c r="IL7" i="2"/>
  <c r="IK7" i="2"/>
  <c r="IJ7" i="2"/>
  <c r="II7" i="2"/>
  <c r="IH7" i="2"/>
  <c r="IG7" i="2"/>
  <c r="IF7" i="2"/>
  <c r="IE7" i="2"/>
  <c r="ID7" i="2"/>
  <c r="IC7" i="2"/>
  <c r="IB7" i="2"/>
  <c r="IA7" i="2"/>
  <c r="HZ7" i="2"/>
  <c r="HY7" i="2"/>
  <c r="HX7" i="2"/>
  <c r="HW7" i="2"/>
  <c r="HV7" i="2"/>
  <c r="DJ7" i="2"/>
  <c r="DI7" i="2"/>
  <c r="DH7" i="2"/>
  <c r="DG7" i="2"/>
  <c r="DF7" i="2"/>
  <c r="DE7" i="2"/>
  <c r="DD7" i="2"/>
  <c r="DC7" i="2"/>
  <c r="DB7" i="2"/>
  <c r="DA7" i="2"/>
  <c r="CZ7" i="2"/>
  <c r="CY7" i="2"/>
  <c r="CX7" i="2"/>
  <c r="CW7" i="2"/>
  <c r="CV7" i="2"/>
  <c r="CU7" i="2"/>
  <c r="CT7" i="2"/>
  <c r="CS7" i="2"/>
  <c r="CR7" i="2"/>
  <c r="CQ7" i="2"/>
  <c r="CP7" i="2"/>
  <c r="CO7" i="2"/>
  <c r="CN7" i="2"/>
  <c r="CM7" i="2"/>
  <c r="CL7" i="2"/>
  <c r="CK7" i="2"/>
  <c r="CJ7" i="2"/>
  <c r="CI7" i="2"/>
  <c r="CH7" i="2"/>
  <c r="CG7" i="2"/>
  <c r="CF7" i="2"/>
  <c r="CE7" i="2"/>
  <c r="CD7" i="2"/>
  <c r="CC7" i="2"/>
  <c r="CB7" i="2"/>
  <c r="CA7" i="2"/>
  <c r="BZ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B7" i="2"/>
  <c r="BY25" i="2" l="1"/>
  <c r="JG13" i="2"/>
  <c r="AM10" i="2"/>
  <c r="DK4" i="2"/>
  <c r="PC28" i="2"/>
  <c r="BY28" i="2"/>
  <c r="AM16" i="2"/>
  <c r="JG25" i="2"/>
  <c r="BY31" i="2"/>
  <c r="PC4" i="2"/>
  <c r="DK7" i="2"/>
  <c r="DK10" i="2"/>
  <c r="PC7" i="2"/>
  <c r="DK13" i="2"/>
  <c r="AM25" i="2"/>
  <c r="I49" i="2"/>
  <c r="JG28" i="2"/>
  <c r="BY4" i="2"/>
  <c r="PC19" i="2"/>
  <c r="AM13" i="2"/>
  <c r="PC10" i="2"/>
  <c r="DK16" i="2"/>
  <c r="DK22" i="2"/>
  <c r="AM28" i="2"/>
  <c r="J49" i="2"/>
  <c r="JG31" i="2"/>
  <c r="BY19" i="2"/>
  <c r="BY7" i="2"/>
  <c r="BY10" i="2"/>
  <c r="PC13" i="2"/>
  <c r="DK25" i="2"/>
  <c r="K49" i="2"/>
  <c r="AM31" i="2"/>
  <c r="JG4" i="2"/>
  <c r="JG16" i="2"/>
  <c r="JG22" i="2"/>
  <c r="PC31" i="2"/>
  <c r="DK19" i="2"/>
  <c r="JG7" i="2"/>
  <c r="BY13" i="2"/>
  <c r="PC16" i="2"/>
  <c r="PC22" i="2"/>
  <c r="DK28" i="2"/>
  <c r="AM4" i="2"/>
  <c r="JG19" i="2"/>
  <c r="AM7" i="2"/>
  <c r="JG10" i="2"/>
  <c r="BY16" i="2"/>
  <c r="BY22" i="2"/>
  <c r="PC25" i="2"/>
  <c r="M49" i="2"/>
  <c r="DK31" i="2"/>
  <c r="AM19" i="2"/>
  <c r="L49" i="2"/>
  <c r="L51" i="2" s="1"/>
  <c r="G49" i="2"/>
  <c r="H49" i="2"/>
  <c r="H51" i="2" s="1"/>
  <c r="M48" i="2"/>
  <c r="B48" i="2"/>
  <c r="D48" i="2"/>
  <c r="B49" i="2"/>
  <c r="B41" i="2"/>
  <c r="F48" i="2"/>
  <c r="F51" i="2" s="1"/>
  <c r="C49" i="2"/>
  <c r="C51" i="2" s="1"/>
  <c r="G48" i="2"/>
  <c r="D49" i="2"/>
  <c r="E49" i="2"/>
  <c r="E51" i="2" s="1"/>
  <c r="I48" i="2"/>
  <c r="J51" i="2"/>
  <c r="K48" i="2"/>
  <c r="K51" i="2" s="1"/>
  <c r="PE3" i="2"/>
  <c r="PG3" i="2" s="1"/>
  <c r="H44" i="2"/>
  <c r="I44" i="2"/>
  <c r="G41" i="2"/>
  <c r="F41" i="2"/>
  <c r="E41" i="2"/>
  <c r="D41" i="2"/>
  <c r="C41" i="2"/>
  <c r="L44" i="2"/>
  <c r="K44" i="2"/>
  <c r="J44" i="2"/>
  <c r="G44" i="2"/>
  <c r="F44" i="2"/>
  <c r="E44" i="2"/>
  <c r="D44" i="2"/>
  <c r="C44" i="2"/>
  <c r="L41" i="2"/>
  <c r="K41" i="2"/>
  <c r="J41" i="2"/>
  <c r="I41" i="2"/>
  <c r="H41" i="2"/>
  <c r="I51" i="2" l="1"/>
  <c r="PE4" i="2"/>
  <c r="PG4" i="2" s="1"/>
  <c r="G51" i="2"/>
  <c r="B51" i="2"/>
  <c r="PG5" i="2"/>
  <c r="D51" i="2"/>
  <c r="B44" i="2"/>
  <c r="L45" i="2"/>
  <c r="I45" i="2"/>
  <c r="H45" i="2"/>
  <c r="G45" i="2"/>
  <c r="F45" i="2"/>
  <c r="E45" i="2"/>
  <c r="C45" i="2"/>
  <c r="L42" i="2"/>
  <c r="K42" i="2"/>
  <c r="J42" i="2"/>
  <c r="H42" i="2"/>
  <c r="F42" i="2"/>
  <c r="E42" i="2"/>
  <c r="C42" i="2" l="1"/>
  <c r="J45" i="2"/>
  <c r="D42" i="2"/>
  <c r="K45" i="2"/>
  <c r="G42" i="2"/>
  <c r="B45" i="2"/>
  <c r="I42" i="2"/>
  <c r="D45" i="2"/>
  <c r="B42" i="2"/>
  <c r="PE33" i="2"/>
  <c r="AW40" i="2" l="1"/>
  <c r="PE5" i="2" l="1"/>
  <c r="HV35" i="2"/>
  <c r="AN35" i="2"/>
  <c r="H3688" i="10"/>
  <c r="H3689" i="10" s="1"/>
  <c r="H3650" i="10"/>
  <c r="H3651" i="10" s="1"/>
  <c r="H3652" i="10" s="1"/>
  <c r="H3612" i="10"/>
  <c r="H3613" i="10" s="1"/>
  <c r="H3536" i="10"/>
  <c r="H3537" i="10" s="1"/>
  <c r="H3498" i="10"/>
  <c r="H3499" i="10" s="1"/>
  <c r="H3500" i="10" s="1"/>
  <c r="H3460" i="10"/>
  <c r="H3461" i="10" s="1"/>
  <c r="H3462" i="10" s="1"/>
  <c r="H3463" i="10" s="1"/>
  <c r="H3464" i="10" s="1"/>
  <c r="H3465" i="10" s="1"/>
  <c r="H3466" i="10" s="1"/>
  <c r="H3467" i="10" s="1"/>
  <c r="H3468" i="10" s="1"/>
  <c r="H3469" i="10" s="1"/>
  <c r="H3470" i="10" s="1"/>
  <c r="H3471" i="10" s="1"/>
  <c r="H3472" i="10" s="1"/>
  <c r="H3473" i="10" s="1"/>
  <c r="H3474" i="10" s="1"/>
  <c r="H3475" i="10" s="1"/>
  <c r="H3476" i="10" s="1"/>
  <c r="H3477" i="10" s="1"/>
  <c r="H3478" i="10" s="1"/>
  <c r="H3479" i="10" s="1"/>
  <c r="H3480" i="10" s="1"/>
  <c r="H3481" i="10" s="1"/>
  <c r="H3482" i="10" s="1"/>
  <c r="H3483" i="10" s="1"/>
  <c r="H3484" i="10" s="1"/>
  <c r="H3485" i="10" s="1"/>
  <c r="H3486" i="10" s="1"/>
  <c r="H3487" i="10" s="1"/>
  <c r="H3488" i="10" s="1"/>
  <c r="H3489" i="10" s="1"/>
  <c r="H3490" i="10" s="1"/>
  <c r="H3491" i="10" s="1"/>
  <c r="H3492" i="10" s="1"/>
  <c r="H3493" i="10" s="1"/>
  <c r="H3494" i="10" s="1"/>
  <c r="H3495" i="10" s="1"/>
  <c r="H3496" i="10" s="1"/>
  <c r="PE34" i="2" l="1"/>
  <c r="PE35" i="2" s="1"/>
  <c r="NR35" i="2"/>
  <c r="AW41" i="2"/>
  <c r="H3690" i="10"/>
  <c r="H3653" i="10"/>
  <c r="H3614" i="10"/>
  <c r="H3538" i="10"/>
  <c r="H3501" i="10"/>
  <c r="AX40" i="2" l="1"/>
  <c r="AW43" i="2"/>
  <c r="H3691" i="10"/>
  <c r="H3654" i="10"/>
  <c r="H3615" i="10"/>
  <c r="H3539" i="10"/>
  <c r="H3502" i="10"/>
  <c r="NR5" i="2"/>
  <c r="NS5" i="2"/>
  <c r="NT5" i="2"/>
  <c r="H3692" i="10" l="1"/>
  <c r="H3655" i="10"/>
  <c r="H3616" i="10"/>
  <c r="H3540" i="10"/>
  <c r="H3503" i="10"/>
  <c r="PC5" i="2"/>
  <c r="PC8" i="2"/>
  <c r="BZ38" i="2"/>
  <c r="HV38" i="2"/>
  <c r="H3693" i="10" l="1"/>
  <c r="H3656" i="10"/>
  <c r="H3617" i="10"/>
  <c r="H3541" i="10"/>
  <c r="H3504" i="10"/>
  <c r="NI20" i="2"/>
  <c r="HM26" i="2"/>
  <c r="MA8" i="2"/>
  <c r="GA8" i="2"/>
  <c r="NC5" i="2"/>
  <c r="ND5" i="2"/>
  <c r="NE5" i="2"/>
  <c r="NF5" i="2"/>
  <c r="NG5" i="2"/>
  <c r="NI5" i="2"/>
  <c r="NJ5" i="2"/>
  <c r="NN5" i="2"/>
  <c r="NK5" i="2"/>
  <c r="NL5" i="2"/>
  <c r="NM5" i="2"/>
  <c r="NO5" i="2"/>
  <c r="NE8" i="2"/>
  <c r="NI8" i="2"/>
  <c r="NJ8" i="2"/>
  <c r="NM8" i="2"/>
  <c r="ND8" i="2"/>
  <c r="NL8" i="2"/>
  <c r="NE11" i="2"/>
  <c r="NF11" i="2"/>
  <c r="NJ11" i="2"/>
  <c r="NM11" i="2"/>
  <c r="NN11" i="2"/>
  <c r="NC14" i="2"/>
  <c r="NF14" i="2"/>
  <c r="NG14" i="2"/>
  <c r="NK14" i="2"/>
  <c r="NN14" i="2"/>
  <c r="NO14" i="2"/>
  <c r="NC17" i="2"/>
  <c r="ND17" i="2"/>
  <c r="NF17" i="2"/>
  <c r="NG17" i="2"/>
  <c r="NH17" i="2"/>
  <c r="NJ17" i="2"/>
  <c r="NL17" i="2"/>
  <c r="NN17" i="2"/>
  <c r="NO17" i="2"/>
  <c r="NP17" i="2"/>
  <c r="NC20" i="2"/>
  <c r="ND20" i="2"/>
  <c r="NE20" i="2"/>
  <c r="NF20" i="2"/>
  <c r="NG20" i="2"/>
  <c r="NH20" i="2"/>
  <c r="NJ20" i="2"/>
  <c r="NK20" i="2"/>
  <c r="NL20" i="2"/>
  <c r="NM20" i="2"/>
  <c r="NN20" i="2"/>
  <c r="NO20" i="2"/>
  <c r="NP20" i="2"/>
  <c r="NC23" i="2"/>
  <c r="ND23" i="2"/>
  <c r="NE23" i="2"/>
  <c r="NG23" i="2"/>
  <c r="NH23" i="2"/>
  <c r="NI23" i="2"/>
  <c r="NK23" i="2"/>
  <c r="NL23" i="2"/>
  <c r="NM23" i="2"/>
  <c r="NO23" i="2"/>
  <c r="NP23" i="2"/>
  <c r="ND26" i="2"/>
  <c r="NF26" i="2"/>
  <c r="NH26" i="2"/>
  <c r="NI26" i="2"/>
  <c r="NJ26" i="2"/>
  <c r="NL26" i="2"/>
  <c r="NN26" i="2"/>
  <c r="NP26" i="2"/>
  <c r="ND29" i="2"/>
  <c r="NE29" i="2"/>
  <c r="NG29" i="2"/>
  <c r="NH29" i="2"/>
  <c r="NI29" i="2"/>
  <c r="NJ29" i="2"/>
  <c r="NL29" i="2"/>
  <c r="NO29" i="2"/>
  <c r="NP29" i="2"/>
  <c r="NC29" i="2"/>
  <c r="NK29" i="2"/>
  <c r="NM29" i="2"/>
  <c r="NC32" i="2"/>
  <c r="ND32" i="2"/>
  <c r="NE32" i="2"/>
  <c r="NF32" i="2"/>
  <c r="NH32" i="2"/>
  <c r="NM32" i="2"/>
  <c r="NN32" i="2"/>
  <c r="NP32" i="2"/>
  <c r="NI32" i="2"/>
  <c r="NJ32" i="2"/>
  <c r="NK32" i="2"/>
  <c r="NL32" i="2"/>
  <c r="LQ5" i="2"/>
  <c r="LR5" i="2"/>
  <c r="LT5" i="2"/>
  <c r="LU5" i="2"/>
  <c r="LV5" i="2"/>
  <c r="LX5" i="2"/>
  <c r="LY5" i="2"/>
  <c r="LZ5" i="2"/>
  <c r="MB5" i="2"/>
  <c r="MC5" i="2"/>
  <c r="MD5" i="2"/>
  <c r="LW5" i="2"/>
  <c r="LT8" i="2"/>
  <c r="LX8" i="2"/>
  <c r="LW8" i="2"/>
  <c r="MB8" i="2"/>
  <c r="LQ11" i="2"/>
  <c r="LS11" i="2"/>
  <c r="LT11" i="2"/>
  <c r="LU11" i="2"/>
  <c r="LW11" i="2"/>
  <c r="LX11" i="2"/>
  <c r="LY11" i="2"/>
  <c r="MB11" i="2"/>
  <c r="MC11" i="2"/>
  <c r="MA11" i="2"/>
  <c r="LQ14" i="2"/>
  <c r="LR14" i="2"/>
  <c r="LT14" i="2"/>
  <c r="LU14" i="2"/>
  <c r="LV14" i="2"/>
  <c r="LX14" i="2"/>
  <c r="LY14" i="2"/>
  <c r="LZ14" i="2"/>
  <c r="MB14" i="2"/>
  <c r="MC14" i="2"/>
  <c r="MD14" i="2"/>
  <c r="LQ17" i="2"/>
  <c r="LR17" i="2"/>
  <c r="LU17" i="2"/>
  <c r="LW17" i="2"/>
  <c r="LZ17" i="2"/>
  <c r="MA17" i="2"/>
  <c r="MC17" i="2"/>
  <c r="LS17" i="2"/>
  <c r="LY17" i="2"/>
  <c r="LQ20" i="2"/>
  <c r="LR20" i="2"/>
  <c r="LS20" i="2"/>
  <c r="LU20" i="2"/>
  <c r="LV20" i="2"/>
  <c r="LW20" i="2"/>
  <c r="LX20" i="2"/>
  <c r="LY20" i="2"/>
  <c r="LZ20" i="2"/>
  <c r="MA20" i="2"/>
  <c r="MC20" i="2"/>
  <c r="MD20" i="2"/>
  <c r="LR23" i="2"/>
  <c r="LS23" i="2"/>
  <c r="LT23" i="2"/>
  <c r="LV23" i="2"/>
  <c r="LX23" i="2"/>
  <c r="LZ23" i="2"/>
  <c r="MA23" i="2"/>
  <c r="MB23" i="2"/>
  <c r="MD23" i="2"/>
  <c r="LQ26" i="2"/>
  <c r="LR26" i="2"/>
  <c r="LS26" i="2"/>
  <c r="LT26" i="2"/>
  <c r="LU26" i="2"/>
  <c r="LV26" i="2"/>
  <c r="LW26" i="2"/>
  <c r="LY26" i="2"/>
  <c r="LZ26" i="2"/>
  <c r="MA26" i="2"/>
  <c r="MB26" i="2"/>
  <c r="MC26" i="2"/>
  <c r="MD26" i="2"/>
  <c r="LR29" i="2"/>
  <c r="LS29" i="2"/>
  <c r="LU29" i="2"/>
  <c r="LV29" i="2"/>
  <c r="LW29" i="2"/>
  <c r="LX29" i="2"/>
  <c r="LZ29" i="2"/>
  <c r="MA29" i="2"/>
  <c r="MC29" i="2"/>
  <c r="MD29" i="2"/>
  <c r="LT29" i="2"/>
  <c r="MB29" i="2"/>
  <c r="LQ32" i="2"/>
  <c r="LR32" i="2"/>
  <c r="LS32" i="2"/>
  <c r="LT32" i="2"/>
  <c r="LU32" i="2"/>
  <c r="LV32" i="2"/>
  <c r="LW32" i="2"/>
  <c r="LX32" i="2"/>
  <c r="LY32" i="2"/>
  <c r="LZ32" i="2"/>
  <c r="MA32" i="2"/>
  <c r="MB32" i="2"/>
  <c r="MC32" i="2"/>
  <c r="MD32" i="2"/>
  <c r="KE5" i="2"/>
  <c r="KF5" i="2"/>
  <c r="KG5" i="2"/>
  <c r="KH5" i="2"/>
  <c r="KI5" i="2"/>
  <c r="KJ5" i="2"/>
  <c r="KK5" i="2"/>
  <c r="KL5" i="2"/>
  <c r="KM5" i="2"/>
  <c r="KN5" i="2"/>
  <c r="KO5" i="2"/>
  <c r="KP5" i="2"/>
  <c r="KQ5" i="2"/>
  <c r="KR5" i="2"/>
  <c r="KE8" i="2"/>
  <c r="KH8" i="2"/>
  <c r="KI8" i="2"/>
  <c r="KM8" i="2"/>
  <c r="KP8" i="2"/>
  <c r="KQ8" i="2"/>
  <c r="KF11" i="2"/>
  <c r="KH11" i="2"/>
  <c r="KI11" i="2"/>
  <c r="KJ11" i="2"/>
  <c r="KL11" i="2"/>
  <c r="KN11" i="2"/>
  <c r="KP11" i="2"/>
  <c r="KQ11" i="2"/>
  <c r="KR11" i="2"/>
  <c r="KE14" i="2"/>
  <c r="KG14" i="2"/>
  <c r="KI14" i="2"/>
  <c r="KJ14" i="2"/>
  <c r="KK14" i="2"/>
  <c r="KM14" i="2"/>
  <c r="KO14" i="2"/>
  <c r="KQ14" i="2"/>
  <c r="KR14" i="2"/>
  <c r="KF17" i="2"/>
  <c r="KH17" i="2"/>
  <c r="KJ17" i="2"/>
  <c r="KK17" i="2"/>
  <c r="KL17" i="2"/>
  <c r="KN17" i="2"/>
  <c r="KP17" i="2"/>
  <c r="KR17" i="2"/>
  <c r="KF20" i="2"/>
  <c r="KG20" i="2"/>
  <c r="KH20" i="2"/>
  <c r="KI20" i="2"/>
  <c r="KJ20" i="2"/>
  <c r="KK20" i="2"/>
  <c r="KL20" i="2"/>
  <c r="KN20" i="2"/>
  <c r="KO20" i="2"/>
  <c r="KP20" i="2"/>
  <c r="KQ20" i="2"/>
  <c r="KR20" i="2"/>
  <c r="KE20" i="2"/>
  <c r="KM20" i="2"/>
  <c r="KE23" i="2"/>
  <c r="KG23" i="2"/>
  <c r="KI23" i="2"/>
  <c r="KK23" i="2"/>
  <c r="KL23" i="2"/>
  <c r="KM23" i="2"/>
  <c r="KO23" i="2"/>
  <c r="KQ23" i="2"/>
  <c r="KE26" i="2"/>
  <c r="KF26" i="2"/>
  <c r="KG26" i="2"/>
  <c r="KH26" i="2"/>
  <c r="KJ26" i="2"/>
  <c r="KK26" i="2"/>
  <c r="KL26" i="2"/>
  <c r="KM26" i="2"/>
  <c r="KN26" i="2"/>
  <c r="KO26" i="2"/>
  <c r="KP26" i="2"/>
  <c r="KR26" i="2"/>
  <c r="KE29" i="2"/>
  <c r="KF29" i="2"/>
  <c r="KG29" i="2"/>
  <c r="KH29" i="2"/>
  <c r="KI29" i="2"/>
  <c r="KJ29" i="2"/>
  <c r="KK29" i="2"/>
  <c r="KL29" i="2"/>
  <c r="KM29" i="2"/>
  <c r="KN29" i="2"/>
  <c r="KO29" i="2"/>
  <c r="KP29" i="2"/>
  <c r="KQ29" i="2"/>
  <c r="KR29" i="2"/>
  <c r="KE32" i="2"/>
  <c r="KF32" i="2"/>
  <c r="KG32" i="2"/>
  <c r="KH32" i="2"/>
  <c r="KI32" i="2"/>
  <c r="KJ32" i="2"/>
  <c r="KL32" i="2"/>
  <c r="KM32" i="2"/>
  <c r="KN32" i="2"/>
  <c r="KO32" i="2"/>
  <c r="KP32" i="2"/>
  <c r="KQ32" i="2"/>
  <c r="KR32" i="2"/>
  <c r="HG5" i="2"/>
  <c r="HH5" i="2"/>
  <c r="HI5" i="2"/>
  <c r="HJ5" i="2"/>
  <c r="HK5" i="2"/>
  <c r="HL5" i="2"/>
  <c r="HM5" i="2"/>
  <c r="HN5" i="2"/>
  <c r="HO5" i="2"/>
  <c r="HP5" i="2"/>
  <c r="HQ5" i="2"/>
  <c r="HR5" i="2"/>
  <c r="HS5" i="2"/>
  <c r="HT5" i="2"/>
  <c r="HG8" i="2"/>
  <c r="HI8" i="2"/>
  <c r="HK8" i="2"/>
  <c r="HL8" i="2"/>
  <c r="HO8" i="2"/>
  <c r="HQ8" i="2"/>
  <c r="HS8" i="2"/>
  <c r="HT8" i="2"/>
  <c r="HM8" i="2"/>
  <c r="HH11" i="2"/>
  <c r="HJ11" i="2"/>
  <c r="HL11" i="2"/>
  <c r="HM11" i="2"/>
  <c r="HN11" i="2"/>
  <c r="HP11" i="2"/>
  <c r="HR11" i="2"/>
  <c r="HT11" i="2"/>
  <c r="HG14" i="2"/>
  <c r="HI14" i="2"/>
  <c r="HK14" i="2"/>
  <c r="HM14" i="2"/>
  <c r="HN14" i="2"/>
  <c r="HO14" i="2"/>
  <c r="HQ14" i="2"/>
  <c r="HS14" i="2"/>
  <c r="HG17" i="2"/>
  <c r="HH17" i="2"/>
  <c r="HJ17" i="2"/>
  <c r="HL17" i="2"/>
  <c r="HN17" i="2"/>
  <c r="HO17" i="2"/>
  <c r="HP17" i="2"/>
  <c r="HR17" i="2"/>
  <c r="HT17" i="2"/>
  <c r="HG20" i="2"/>
  <c r="HH20" i="2"/>
  <c r="HI20" i="2"/>
  <c r="HJ20" i="2"/>
  <c r="HK20" i="2"/>
  <c r="HL20" i="2"/>
  <c r="HM20" i="2"/>
  <c r="HN20" i="2"/>
  <c r="HO20" i="2"/>
  <c r="HP20" i="2"/>
  <c r="HQ20" i="2"/>
  <c r="HR20" i="2"/>
  <c r="HS20" i="2"/>
  <c r="HT20" i="2"/>
  <c r="HG23" i="2"/>
  <c r="HH23" i="2"/>
  <c r="HI23" i="2"/>
  <c r="HK23" i="2"/>
  <c r="HM23" i="2"/>
  <c r="HO23" i="2"/>
  <c r="HP23" i="2"/>
  <c r="HQ23" i="2"/>
  <c r="HS23" i="2"/>
  <c r="HG26" i="2"/>
  <c r="HH26" i="2"/>
  <c r="HI26" i="2"/>
  <c r="HJ26" i="2"/>
  <c r="HK26" i="2"/>
  <c r="HL26" i="2"/>
  <c r="HN26" i="2"/>
  <c r="HO26" i="2"/>
  <c r="HP26" i="2"/>
  <c r="HQ26" i="2"/>
  <c r="HR26" i="2"/>
  <c r="HS26" i="2"/>
  <c r="HT26" i="2"/>
  <c r="HG29" i="2"/>
  <c r="HH29" i="2"/>
  <c r="HI29" i="2"/>
  <c r="HJ29" i="2"/>
  <c r="HK29" i="2"/>
  <c r="HL29" i="2"/>
  <c r="HM29" i="2"/>
  <c r="HO29" i="2"/>
  <c r="HP29" i="2"/>
  <c r="HQ29" i="2"/>
  <c r="HR29" i="2"/>
  <c r="HS29" i="2"/>
  <c r="HT29" i="2"/>
  <c r="HG32" i="2"/>
  <c r="HH32" i="2"/>
  <c r="HI32" i="2"/>
  <c r="HJ32" i="2"/>
  <c r="HK32" i="2"/>
  <c r="HL32" i="2"/>
  <c r="HM32" i="2"/>
  <c r="HN32" i="2"/>
  <c r="HO32" i="2"/>
  <c r="HP32" i="2"/>
  <c r="HQ32" i="2"/>
  <c r="HR32" i="2"/>
  <c r="HS32" i="2"/>
  <c r="HT32" i="2"/>
  <c r="FU5" i="2"/>
  <c r="FV5" i="2"/>
  <c r="FX5" i="2"/>
  <c r="FY5" i="2"/>
  <c r="FZ5" i="2"/>
  <c r="GA5" i="2"/>
  <c r="GB5" i="2"/>
  <c r="GC5" i="2"/>
  <c r="GD5" i="2"/>
  <c r="GE5" i="2"/>
  <c r="GF5" i="2"/>
  <c r="GG5" i="2"/>
  <c r="GH5" i="2"/>
  <c r="FV8" i="2"/>
  <c r="FW8" i="2"/>
  <c r="FX8" i="2"/>
  <c r="FZ8" i="2"/>
  <c r="GB8" i="2"/>
  <c r="GD8" i="2"/>
  <c r="GE8" i="2"/>
  <c r="GF8" i="2"/>
  <c r="GH8" i="2"/>
  <c r="FU11" i="2"/>
  <c r="FW11" i="2"/>
  <c r="FX11" i="2"/>
  <c r="FY11" i="2"/>
  <c r="GA11" i="2"/>
  <c r="GC11" i="2"/>
  <c r="GE11" i="2"/>
  <c r="GF11" i="2"/>
  <c r="GG11" i="2"/>
  <c r="FV14" i="2"/>
  <c r="FY14" i="2"/>
  <c r="FZ14" i="2"/>
  <c r="GB14" i="2"/>
  <c r="GD14" i="2"/>
  <c r="GF14" i="2"/>
  <c r="GG14" i="2"/>
  <c r="GH14" i="2"/>
  <c r="FU17" i="2"/>
  <c r="FW17" i="2"/>
  <c r="FY17" i="2"/>
  <c r="FZ17" i="2"/>
  <c r="GA17" i="2"/>
  <c r="GC17" i="2"/>
  <c r="GE17" i="2"/>
  <c r="GG17" i="2"/>
  <c r="GH17" i="2"/>
  <c r="FU20" i="2"/>
  <c r="FV20" i="2"/>
  <c r="FW20" i="2"/>
  <c r="FY20" i="2"/>
  <c r="FZ20" i="2"/>
  <c r="GA20" i="2"/>
  <c r="GB20" i="2"/>
  <c r="GC20" i="2"/>
  <c r="GD20" i="2"/>
  <c r="GE20" i="2"/>
  <c r="GF20" i="2"/>
  <c r="GG20" i="2"/>
  <c r="GH20" i="2"/>
  <c r="FU23" i="2"/>
  <c r="FX23" i="2"/>
  <c r="FY23" i="2"/>
  <c r="FZ23" i="2"/>
  <c r="GA23" i="2"/>
  <c r="GB23" i="2"/>
  <c r="GC23" i="2"/>
  <c r="GD23" i="2"/>
  <c r="GF23" i="2"/>
  <c r="GG23" i="2"/>
  <c r="GH23" i="2"/>
  <c r="FU26" i="2"/>
  <c r="FV26" i="2"/>
  <c r="FW26" i="2"/>
  <c r="FY26" i="2"/>
  <c r="FZ26" i="2"/>
  <c r="GA26" i="2"/>
  <c r="GB26" i="2"/>
  <c r="GC26" i="2"/>
  <c r="GD26" i="2"/>
  <c r="GE26" i="2"/>
  <c r="GF26" i="2"/>
  <c r="GG26" i="2"/>
  <c r="GH26" i="2"/>
  <c r="FU29" i="2"/>
  <c r="FW29" i="2"/>
  <c r="FX29" i="2"/>
  <c r="FY29" i="2"/>
  <c r="FZ29" i="2"/>
  <c r="GA29" i="2"/>
  <c r="GB29" i="2"/>
  <c r="GC29" i="2"/>
  <c r="GD29" i="2"/>
  <c r="GE29" i="2"/>
  <c r="GF29" i="2"/>
  <c r="GG29" i="2"/>
  <c r="GH29" i="2"/>
  <c r="FU32" i="2"/>
  <c r="FV32" i="2"/>
  <c r="FW32" i="2"/>
  <c r="FY32" i="2"/>
  <c r="FZ32" i="2"/>
  <c r="GB32" i="2"/>
  <c r="GC32" i="2"/>
  <c r="GD32" i="2"/>
  <c r="GE32" i="2"/>
  <c r="GF32" i="2"/>
  <c r="GG32" i="2"/>
  <c r="GH32" i="2"/>
  <c r="GA32" i="2"/>
  <c r="EI5" i="2"/>
  <c r="EJ5" i="2"/>
  <c r="EK5" i="2"/>
  <c r="EL5" i="2"/>
  <c r="EM5" i="2"/>
  <c r="EN5" i="2"/>
  <c r="EO5" i="2"/>
  <c r="EI8" i="2"/>
  <c r="EK8" i="2"/>
  <c r="EM8" i="2"/>
  <c r="EO8" i="2"/>
  <c r="EI11" i="2"/>
  <c r="EJ11" i="2"/>
  <c r="EL11" i="2"/>
  <c r="EN11" i="2"/>
  <c r="EI14" i="2"/>
  <c r="EJ14" i="2"/>
  <c r="EK14" i="2"/>
  <c r="EM14" i="2"/>
  <c r="EO14" i="2"/>
  <c r="EJ17" i="2"/>
  <c r="EK17" i="2"/>
  <c r="EL17" i="2"/>
  <c r="EN17" i="2"/>
  <c r="EI20" i="2"/>
  <c r="EJ20" i="2"/>
  <c r="EK20" i="2"/>
  <c r="EL20" i="2"/>
  <c r="EM20" i="2"/>
  <c r="EN20" i="2"/>
  <c r="EO20" i="2"/>
  <c r="EI23" i="2"/>
  <c r="EJ23" i="2"/>
  <c r="EK23" i="2"/>
  <c r="EL23" i="2"/>
  <c r="EM23" i="2"/>
  <c r="EN23" i="2"/>
  <c r="EO23" i="2"/>
  <c r="EI26" i="2"/>
  <c r="EJ26" i="2"/>
  <c r="EK26" i="2"/>
  <c r="EL26" i="2"/>
  <c r="EM26" i="2"/>
  <c r="EN26" i="2"/>
  <c r="EO26" i="2"/>
  <c r="EI29" i="2"/>
  <c r="EJ29" i="2"/>
  <c r="EK29" i="2"/>
  <c r="EL29" i="2"/>
  <c r="EM29" i="2"/>
  <c r="EN29" i="2"/>
  <c r="EO29" i="2"/>
  <c r="EI32" i="2"/>
  <c r="EJ32" i="2"/>
  <c r="EK32" i="2"/>
  <c r="EL32" i="2"/>
  <c r="EM32" i="2"/>
  <c r="EN32" i="2"/>
  <c r="EO32" i="2"/>
  <c r="DA8" i="2"/>
  <c r="DB8" i="2"/>
  <c r="DJ8" i="2"/>
  <c r="H3694" i="10" l="1"/>
  <c r="H3657" i="10"/>
  <c r="H3618" i="10"/>
  <c r="H3542" i="10"/>
  <c r="H3505" i="10"/>
  <c r="EL8" i="2"/>
  <c r="FV29" i="2"/>
  <c r="FX20" i="2"/>
  <c r="GD17" i="2"/>
  <c r="FV17" i="2"/>
  <c r="FX32" i="2"/>
  <c r="HK17" i="2"/>
  <c r="KN14" i="2"/>
  <c r="KF14" i="2"/>
  <c r="HS17" i="2"/>
  <c r="FX26" i="2"/>
  <c r="FV23" i="2"/>
  <c r="FX14" i="2"/>
  <c r="FW5" i="2"/>
  <c r="EO17" i="2"/>
  <c r="KK32" i="2"/>
  <c r="NI11" i="2"/>
  <c r="EM11" i="2"/>
  <c r="HQ11" i="2"/>
  <c r="HI11" i="2"/>
  <c r="HP8" i="2"/>
  <c r="HH8" i="2"/>
  <c r="KL8" i="2"/>
  <c r="NN29" i="2"/>
  <c r="NF29" i="2"/>
  <c r="NJ14" i="2"/>
  <c r="NP8" i="2"/>
  <c r="NH8" i="2"/>
  <c r="NL14" i="2"/>
  <c r="GE23" i="2"/>
  <c r="FW23" i="2"/>
  <c r="HR14" i="2"/>
  <c r="HJ14" i="2"/>
  <c r="KM11" i="2"/>
  <c r="KE11" i="2"/>
  <c r="NM26" i="2"/>
  <c r="NE26" i="2"/>
  <c r="NK17" i="2"/>
  <c r="EN14" i="2"/>
  <c r="KO17" i="2"/>
  <c r="KG17" i="2"/>
  <c r="LY29" i="2"/>
  <c r="LQ29" i="2"/>
  <c r="LX26" i="2"/>
  <c r="LW23" i="2"/>
  <c r="MD17" i="2"/>
  <c r="LV17" i="2"/>
  <c r="GB11" i="2"/>
  <c r="HT23" i="2"/>
  <c r="HL23" i="2"/>
  <c r="KP23" i="2"/>
  <c r="KH23" i="2"/>
  <c r="MB20" i="2"/>
  <c r="LT20" i="2"/>
  <c r="LS8" i="2"/>
  <c r="MA5" i="2"/>
  <c r="LS5" i="2"/>
  <c r="NO32" i="2"/>
  <c r="NG32" i="2"/>
  <c r="NP5" i="2"/>
  <c r="NH5" i="2"/>
  <c r="GC14" i="2"/>
  <c r="FU14" i="2"/>
  <c r="HN29" i="2"/>
  <c r="KQ26" i="2"/>
  <c r="KI26" i="2"/>
  <c r="EL14" i="2"/>
  <c r="KM17" i="2"/>
  <c r="KE17" i="2"/>
  <c r="KO8" i="2"/>
  <c r="KG8" i="2"/>
  <c r="MC23" i="2"/>
  <c r="LU23" i="2"/>
  <c r="MB17" i="2"/>
  <c r="LT17" i="2"/>
  <c r="KQ17" i="2"/>
  <c r="KI17" i="2"/>
  <c r="KK8" i="2"/>
  <c r="LY23" i="2"/>
  <c r="LQ23" i="2"/>
  <c r="LX17" i="2"/>
  <c r="MD8" i="2"/>
  <c r="LV8" i="2"/>
  <c r="NI14" i="2"/>
  <c r="NO8" i="2"/>
  <c r="NG8" i="2"/>
  <c r="NL11" i="2"/>
  <c r="ND11" i="2"/>
  <c r="LZ8" i="2"/>
  <c r="LR8" i="2"/>
  <c r="NM14" i="2"/>
  <c r="NE14" i="2"/>
  <c r="NK8" i="2"/>
  <c r="NC8" i="2"/>
  <c r="NP11" i="2"/>
  <c r="NH11" i="2"/>
  <c r="EO11" i="2"/>
  <c r="GB17" i="2"/>
  <c r="HM17" i="2"/>
  <c r="KP14" i="2"/>
  <c r="KH14" i="2"/>
  <c r="LW14" i="2"/>
  <c r="MD11" i="2"/>
  <c r="LV11" i="2"/>
  <c r="NN23" i="2"/>
  <c r="NF23" i="2"/>
  <c r="EI17" i="2"/>
  <c r="GD11" i="2"/>
  <c r="FV11" i="2"/>
  <c r="GC8" i="2"/>
  <c r="FU8" i="2"/>
  <c r="HN23" i="2"/>
  <c r="HO11" i="2"/>
  <c r="HG11" i="2"/>
  <c r="HN8" i="2"/>
  <c r="KR23" i="2"/>
  <c r="KJ23" i="2"/>
  <c r="KR8" i="2"/>
  <c r="KJ8" i="2"/>
  <c r="MC8" i="2"/>
  <c r="LU8" i="2"/>
  <c r="NO11" i="2"/>
  <c r="NG11" i="2"/>
  <c r="EJ8" i="2"/>
  <c r="GE14" i="2"/>
  <c r="FW14" i="2"/>
  <c r="HP14" i="2"/>
  <c r="HH14" i="2"/>
  <c r="KK11" i="2"/>
  <c r="NK26" i="2"/>
  <c r="NC26" i="2"/>
  <c r="NI17" i="2"/>
  <c r="NP14" i="2"/>
  <c r="NH14" i="2"/>
  <c r="EK11" i="2"/>
  <c r="GF17" i="2"/>
  <c r="FX17" i="2"/>
  <c r="HQ17" i="2"/>
  <c r="HI17" i="2"/>
  <c r="KL14" i="2"/>
  <c r="MA14" i="2"/>
  <c r="LS14" i="2"/>
  <c r="LZ11" i="2"/>
  <c r="LR11" i="2"/>
  <c r="NJ23" i="2"/>
  <c r="NN8" i="2"/>
  <c r="NF8" i="2"/>
  <c r="EM17" i="2"/>
  <c r="GH11" i="2"/>
  <c r="FZ11" i="2"/>
  <c r="GG8" i="2"/>
  <c r="FY8" i="2"/>
  <c r="HR23" i="2"/>
  <c r="HJ23" i="2"/>
  <c r="HS11" i="2"/>
  <c r="HK11" i="2"/>
  <c r="HR8" i="2"/>
  <c r="HJ8" i="2"/>
  <c r="KN23" i="2"/>
  <c r="KF23" i="2"/>
  <c r="KN8" i="2"/>
  <c r="KF8" i="2"/>
  <c r="LY8" i="2"/>
  <c r="LQ8" i="2"/>
  <c r="NK11" i="2"/>
  <c r="NC11" i="2"/>
  <c r="EN8" i="2"/>
  <c r="GA14" i="2"/>
  <c r="HT14" i="2"/>
  <c r="HL14" i="2"/>
  <c r="KO11" i="2"/>
  <c r="KG11" i="2"/>
  <c r="NO26" i="2"/>
  <c r="NG26" i="2"/>
  <c r="NM17" i="2"/>
  <c r="NE17" i="2"/>
  <c r="ND14" i="2"/>
  <c r="DI20" i="2"/>
  <c r="DA20" i="2"/>
  <c r="DC26" i="2"/>
  <c r="DC20" i="2"/>
  <c r="DJ29" i="2"/>
  <c r="BM5" i="2"/>
  <c r="BU5" i="2"/>
  <c r="CZ29" i="2"/>
  <c r="DI17" i="2"/>
  <c r="CX8" i="2"/>
  <c r="DD17" i="2"/>
  <c r="DF5" i="2"/>
  <c r="CX5" i="2"/>
  <c r="DB29" i="2"/>
  <c r="DH5" i="2"/>
  <c r="DF29" i="2"/>
  <c r="CX29" i="2"/>
  <c r="DE23" i="2"/>
  <c r="DC29" i="2"/>
  <c r="DD23" i="2"/>
  <c r="DE17" i="2"/>
  <c r="CW17" i="2"/>
  <c r="CW11" i="2"/>
  <c r="DG29" i="2"/>
  <c r="CY29" i="2"/>
  <c r="BT20" i="2"/>
  <c r="BL20" i="2"/>
  <c r="CY23" i="2"/>
  <c r="DG20" i="2"/>
  <c r="DC17" i="2"/>
  <c r="BU26" i="2"/>
  <c r="DG17" i="2"/>
  <c r="CY17" i="2"/>
  <c r="DG11" i="2"/>
  <c r="CY11" i="2"/>
  <c r="CZ5" i="2"/>
  <c r="DH17" i="2"/>
  <c r="CZ17" i="2"/>
  <c r="DI5" i="2"/>
  <c r="DA5" i="2"/>
  <c r="BP32" i="2"/>
  <c r="BX8" i="2"/>
  <c r="DA29" i="2"/>
  <c r="BL5" i="2"/>
  <c r="DI32" i="2"/>
  <c r="DA32" i="2"/>
  <c r="DF8" i="2"/>
  <c r="DC5" i="2"/>
  <c r="DJ5" i="2"/>
  <c r="BR26" i="2"/>
  <c r="BJ26" i="2"/>
  <c r="BX23" i="2"/>
  <c r="BQ14" i="2"/>
  <c r="CW23" i="2"/>
  <c r="DF11" i="2"/>
  <c r="CX11" i="2"/>
  <c r="DC8" i="2"/>
  <c r="DJ14" i="2"/>
  <c r="DB14" i="2"/>
  <c r="DD8" i="2"/>
  <c r="DI23" i="2"/>
  <c r="DA23" i="2"/>
  <c r="DD11" i="2"/>
  <c r="BV26" i="2"/>
  <c r="BN26" i="2"/>
  <c r="BR20" i="2"/>
  <c r="DG32" i="2"/>
  <c r="CY32" i="2"/>
  <c r="DJ26" i="2"/>
  <c r="DB26" i="2"/>
  <c r="DF20" i="2"/>
  <c r="CX20" i="2"/>
  <c r="DF14" i="2"/>
  <c r="CX14" i="2"/>
  <c r="DE11" i="2"/>
  <c r="DH8" i="2"/>
  <c r="CZ8" i="2"/>
  <c r="DF32" i="2"/>
  <c r="CX32" i="2"/>
  <c r="DG23" i="2"/>
  <c r="DG8" i="2"/>
  <c r="CY8" i="2"/>
  <c r="BU14" i="2"/>
  <c r="BN5" i="2"/>
  <c r="DI11" i="2"/>
  <c r="DA11" i="2"/>
  <c r="BW32" i="2"/>
  <c r="BS26" i="2"/>
  <c r="BK26" i="2"/>
  <c r="BW20" i="2"/>
  <c r="BO20" i="2"/>
  <c r="DI26" i="2"/>
  <c r="DA26" i="2"/>
  <c r="CY20" i="2"/>
  <c r="DG14" i="2"/>
  <c r="CY14" i="2"/>
  <c r="BR17" i="2"/>
  <c r="BJ17" i="2"/>
  <c r="DI29" i="2"/>
  <c r="DE20" i="2"/>
  <c r="CW20" i="2"/>
  <c r="DA17" i="2"/>
  <c r="DE14" i="2"/>
  <c r="CW14" i="2"/>
  <c r="DD5" i="2"/>
  <c r="BV29" i="2"/>
  <c r="BN29" i="2"/>
  <c r="BS23" i="2"/>
  <c r="BK23" i="2"/>
  <c r="BQ17" i="2"/>
  <c r="BW14" i="2"/>
  <c r="BO14" i="2"/>
  <c r="BK8" i="2"/>
  <c r="BR5" i="2"/>
  <c r="DD32" i="2"/>
  <c r="DH29" i="2"/>
  <c r="BV32" i="2"/>
  <c r="BN32" i="2"/>
  <c r="DH32" i="2"/>
  <c r="CZ32" i="2"/>
  <c r="DC23" i="2"/>
  <c r="DJ11" i="2"/>
  <c r="DB11" i="2"/>
  <c r="DH11" i="2"/>
  <c r="CZ11" i="2"/>
  <c r="DI8" i="2"/>
  <c r="BQ26" i="2"/>
  <c r="BT14" i="2"/>
  <c r="DE26" i="2"/>
  <c r="CW26" i="2"/>
  <c r="DC14" i="2"/>
  <c r="BW29" i="2"/>
  <c r="BO29" i="2"/>
  <c r="BU23" i="2"/>
  <c r="BK17" i="2"/>
  <c r="BW11" i="2"/>
  <c r="BO11" i="2"/>
  <c r="BM26" i="2"/>
  <c r="BX14" i="2"/>
  <c r="BS5" i="2"/>
  <c r="BK5" i="2"/>
  <c r="BJ5" i="2"/>
  <c r="DH14" i="2"/>
  <c r="CZ14" i="2"/>
  <c r="DB5" i="2"/>
  <c r="BU29" i="2"/>
  <c r="BM29" i="2"/>
  <c r="BT26" i="2"/>
  <c r="BL26" i="2"/>
  <c r="BS20" i="2"/>
  <c r="BK20" i="2"/>
  <c r="BJ20" i="2"/>
  <c r="DF17" i="2"/>
  <c r="CX17" i="2"/>
  <c r="BQ20" i="2"/>
  <c r="BV14" i="2"/>
  <c r="BN14" i="2"/>
  <c r="BT11" i="2"/>
  <c r="BL11" i="2"/>
  <c r="DE32" i="2"/>
  <c r="CW32" i="2"/>
  <c r="DG26" i="2"/>
  <c r="CY26" i="2"/>
  <c r="DJ23" i="2"/>
  <c r="DB23" i="2"/>
  <c r="DH23" i="2"/>
  <c r="CZ23" i="2"/>
  <c r="DD20" i="2"/>
  <c r="DJ20" i="2"/>
  <c r="DB20" i="2"/>
  <c r="DD14" i="2"/>
  <c r="BL14" i="2"/>
  <c r="BW5" i="2"/>
  <c r="BO5" i="2"/>
  <c r="DE29" i="2"/>
  <c r="CW29" i="2"/>
  <c r="DH26" i="2"/>
  <c r="CZ26" i="2"/>
  <c r="DF26" i="2"/>
  <c r="CX26" i="2"/>
  <c r="DJ17" i="2"/>
  <c r="DB17" i="2"/>
  <c r="DG5" i="2"/>
  <c r="CY5" i="2"/>
  <c r="BR29" i="2"/>
  <c r="BQ29" i="2"/>
  <c r="BX20" i="2"/>
  <c r="BP20" i="2"/>
  <c r="BV17" i="2"/>
  <c r="BN17" i="2"/>
  <c r="BW8" i="2"/>
  <c r="BV5" i="2"/>
  <c r="DC32" i="2"/>
  <c r="DD29" i="2"/>
  <c r="DF23" i="2"/>
  <c r="CX23" i="2"/>
  <c r="DH20" i="2"/>
  <c r="CZ20" i="2"/>
  <c r="DC11" i="2"/>
  <c r="DE8" i="2"/>
  <c r="CW8" i="2"/>
  <c r="BX29" i="2"/>
  <c r="BP29" i="2"/>
  <c r="BT17" i="2"/>
  <c r="BL17" i="2"/>
  <c r="BR14" i="2"/>
  <c r="BX11" i="2"/>
  <c r="BP11" i="2"/>
  <c r="DJ32" i="2"/>
  <c r="DB32" i="2"/>
  <c r="DD26" i="2"/>
  <c r="DI14" i="2"/>
  <c r="DA14" i="2"/>
  <c r="DE5" i="2"/>
  <c r="CW5" i="2"/>
  <c r="BX32" i="2"/>
  <c r="BS29" i="2"/>
  <c r="BK29" i="2"/>
  <c r="BJ29" i="2"/>
  <c r="BS17" i="2"/>
  <c r="BS14" i="2"/>
  <c r="BK14" i="2"/>
  <c r="BU11" i="2"/>
  <c r="BM11" i="2"/>
  <c r="BV8" i="2"/>
  <c r="BN8" i="2"/>
  <c r="BU8" i="2"/>
  <c r="BM8" i="2"/>
  <c r="BX5" i="2"/>
  <c r="BP5" i="2"/>
  <c r="BO32" i="2"/>
  <c r="BJ14" i="2"/>
  <c r="BP23" i="2"/>
  <c r="BW23" i="2"/>
  <c r="BO23" i="2"/>
  <c r="BP14" i="2"/>
  <c r="BQ11" i="2"/>
  <c r="BS8" i="2"/>
  <c r="BR8" i="2"/>
  <c r="BT32" i="2"/>
  <c r="BL32" i="2"/>
  <c r="BS32" i="2"/>
  <c r="BK32" i="2"/>
  <c r="BM23" i="2"/>
  <c r="BP8" i="2"/>
  <c r="BR32" i="2"/>
  <c r="BJ32" i="2"/>
  <c r="BT29" i="2"/>
  <c r="BL29" i="2"/>
  <c r="BT23" i="2"/>
  <c r="BL23" i="2"/>
  <c r="BU20" i="2"/>
  <c r="BM20" i="2"/>
  <c r="BM14" i="2"/>
  <c r="BV11" i="2"/>
  <c r="BN11" i="2"/>
  <c r="BO8" i="2"/>
  <c r="BQ5" i="2"/>
  <c r="BW17" i="2"/>
  <c r="BO17" i="2"/>
  <c r="BQ32" i="2"/>
  <c r="BR23" i="2"/>
  <c r="BJ23" i="2"/>
  <c r="BU17" i="2"/>
  <c r="BM17" i="2"/>
  <c r="BT8" i="2"/>
  <c r="BL8" i="2"/>
  <c r="BJ8" i="2"/>
  <c r="BQ23" i="2"/>
  <c r="BV20" i="2"/>
  <c r="BN20" i="2"/>
  <c r="BQ8" i="2"/>
  <c r="BU32" i="2"/>
  <c r="BM32" i="2"/>
  <c r="BX26" i="2"/>
  <c r="BP26" i="2"/>
  <c r="BV23" i="2"/>
  <c r="BN23" i="2"/>
  <c r="BS11" i="2"/>
  <c r="BK11" i="2"/>
  <c r="BT5" i="2"/>
  <c r="BW26" i="2"/>
  <c r="BO26" i="2"/>
  <c r="BX17" i="2"/>
  <c r="BP17" i="2"/>
  <c r="BR11" i="2"/>
  <c r="BJ11" i="2"/>
  <c r="H3695" i="10" l="1"/>
  <c r="H3658" i="10"/>
  <c r="H3619" i="10"/>
  <c r="H3543" i="10"/>
  <c r="H3506" i="10"/>
  <c r="Z8" i="2"/>
  <c r="AB8" i="2"/>
  <c r="AH8" i="2"/>
  <c r="AJ8" i="2"/>
  <c r="AI23" i="2"/>
  <c r="AC26" i="2"/>
  <c r="E4165" i="10"/>
  <c r="F4165" i="10" s="1"/>
  <c r="E4166" i="10"/>
  <c r="F4166" i="10" s="1"/>
  <c r="E4167" i="10"/>
  <c r="F4167" i="10" s="1"/>
  <c r="E4168" i="10"/>
  <c r="F4168" i="10" s="1"/>
  <c r="E4169" i="10"/>
  <c r="F4169" i="10" s="1"/>
  <c r="E4170" i="10"/>
  <c r="F4170" i="10" s="1"/>
  <c r="E4171" i="10"/>
  <c r="F4171" i="10" s="1"/>
  <c r="E4172" i="10"/>
  <c r="F4172" i="10" s="1"/>
  <c r="E4173" i="10"/>
  <c r="F4173" i="10" s="1"/>
  <c r="E4174" i="10"/>
  <c r="F4174" i="10" s="1"/>
  <c r="E4175" i="10"/>
  <c r="F4175" i="10" s="1"/>
  <c r="E4176" i="10"/>
  <c r="F4176" i="10" s="1"/>
  <c r="E4177" i="10"/>
  <c r="F4177" i="10" s="1"/>
  <c r="E4178" i="10"/>
  <c r="F4178" i="10" s="1"/>
  <c r="E4179" i="10"/>
  <c r="F4179" i="10" s="1"/>
  <c r="E4180" i="10"/>
  <c r="F4180" i="10" s="1"/>
  <c r="E4127" i="10"/>
  <c r="F4127" i="10" s="1"/>
  <c r="E4128" i="10"/>
  <c r="F4128" i="10" s="1"/>
  <c r="E4129" i="10"/>
  <c r="F4129" i="10" s="1"/>
  <c r="E4130" i="10"/>
  <c r="F4130" i="10" s="1"/>
  <c r="E4131" i="10"/>
  <c r="F4131" i="10" s="1"/>
  <c r="E4132" i="10"/>
  <c r="F4132" i="10" s="1"/>
  <c r="E4133" i="10"/>
  <c r="F4133" i="10" s="1"/>
  <c r="E4134" i="10"/>
  <c r="F4134" i="10" s="1"/>
  <c r="E4135" i="10"/>
  <c r="F4135" i="10" s="1"/>
  <c r="E4136" i="10"/>
  <c r="F4136" i="10" s="1"/>
  <c r="E4137" i="10"/>
  <c r="F4137" i="10" s="1"/>
  <c r="E4138" i="10"/>
  <c r="F4138" i="10" s="1"/>
  <c r="E4139" i="10"/>
  <c r="F4139" i="10" s="1"/>
  <c r="E4140" i="10"/>
  <c r="F4140" i="10" s="1"/>
  <c r="E4141" i="10"/>
  <c r="F4141" i="10" s="1"/>
  <c r="E4142" i="10"/>
  <c r="F4142" i="10" s="1"/>
  <c r="E4089" i="10"/>
  <c r="F4089" i="10" s="1"/>
  <c r="E4090" i="10"/>
  <c r="F4090" i="10" s="1"/>
  <c r="E4091" i="10"/>
  <c r="F4091" i="10" s="1"/>
  <c r="E4092" i="10"/>
  <c r="F4092" i="10" s="1"/>
  <c r="E4093" i="10"/>
  <c r="F4093" i="10" s="1"/>
  <c r="E4094" i="10"/>
  <c r="F4094" i="10" s="1"/>
  <c r="E4095" i="10"/>
  <c r="F4095" i="10" s="1"/>
  <c r="E4096" i="10"/>
  <c r="F4096" i="10" s="1"/>
  <c r="E4097" i="10"/>
  <c r="F4097" i="10" s="1"/>
  <c r="E4098" i="10"/>
  <c r="F4098" i="10" s="1"/>
  <c r="E4099" i="10"/>
  <c r="F4099" i="10" s="1"/>
  <c r="E4100" i="10"/>
  <c r="F4100" i="10" s="1"/>
  <c r="E4101" i="10"/>
  <c r="F4101" i="10" s="1"/>
  <c r="E4102" i="10"/>
  <c r="F4102" i="10" s="1"/>
  <c r="E4103" i="10"/>
  <c r="F4103" i="10" s="1"/>
  <c r="E4104" i="10"/>
  <c r="F4104" i="10" s="1"/>
  <c r="E4051" i="10"/>
  <c r="F4051" i="10" s="1"/>
  <c r="E4052" i="10"/>
  <c r="F4052" i="10" s="1"/>
  <c r="E4053" i="10"/>
  <c r="F4053" i="10" s="1"/>
  <c r="E4054" i="10"/>
  <c r="F4054" i="10" s="1"/>
  <c r="E4055" i="10"/>
  <c r="F4055" i="10" s="1"/>
  <c r="E4056" i="10"/>
  <c r="F4056" i="10" s="1"/>
  <c r="E4057" i="10"/>
  <c r="F4057" i="10" s="1"/>
  <c r="E4058" i="10"/>
  <c r="F4058" i="10" s="1"/>
  <c r="E4059" i="10"/>
  <c r="F4059" i="10" s="1"/>
  <c r="E4060" i="10"/>
  <c r="F4060" i="10" s="1"/>
  <c r="E4061" i="10"/>
  <c r="F4061" i="10" s="1"/>
  <c r="E4062" i="10"/>
  <c r="F4062" i="10" s="1"/>
  <c r="E4063" i="10"/>
  <c r="F4063" i="10" s="1"/>
  <c r="E4064" i="10"/>
  <c r="F4064" i="10" s="1"/>
  <c r="E4065" i="10"/>
  <c r="F4065" i="10" s="1"/>
  <c r="E4066" i="10"/>
  <c r="F4066" i="10" s="1"/>
  <c r="E4013" i="10"/>
  <c r="F4013" i="10" s="1"/>
  <c r="E4014" i="10"/>
  <c r="F4014" i="10" s="1"/>
  <c r="E4015" i="10"/>
  <c r="F4015" i="10" s="1"/>
  <c r="E4016" i="10"/>
  <c r="F4016" i="10" s="1"/>
  <c r="E4017" i="10"/>
  <c r="F4017" i="10" s="1"/>
  <c r="E4018" i="10"/>
  <c r="F4018" i="10" s="1"/>
  <c r="E4019" i="10"/>
  <c r="F4019" i="10" s="1"/>
  <c r="E4020" i="10"/>
  <c r="F4020" i="10" s="1"/>
  <c r="E4021" i="10"/>
  <c r="F4021" i="10" s="1"/>
  <c r="E4022" i="10"/>
  <c r="F4022" i="10" s="1"/>
  <c r="E4023" i="10"/>
  <c r="F4023" i="10" s="1"/>
  <c r="E4024" i="10"/>
  <c r="F4024" i="10" s="1"/>
  <c r="E4025" i="10"/>
  <c r="F4025" i="10" s="1"/>
  <c r="E4026" i="10"/>
  <c r="F4026" i="10" s="1"/>
  <c r="E4027" i="10"/>
  <c r="F4027" i="10" s="1"/>
  <c r="E4028" i="10"/>
  <c r="F4028" i="10" s="1"/>
  <c r="E3975" i="10"/>
  <c r="F3975" i="10" s="1"/>
  <c r="E3976" i="10"/>
  <c r="F3976" i="10" s="1"/>
  <c r="E3977" i="10"/>
  <c r="F3977" i="10" s="1"/>
  <c r="E3978" i="10"/>
  <c r="F3978" i="10" s="1"/>
  <c r="E3979" i="10"/>
  <c r="F3979" i="10" s="1"/>
  <c r="E3980" i="10"/>
  <c r="F3980" i="10" s="1"/>
  <c r="E3981" i="10"/>
  <c r="F3981" i="10" s="1"/>
  <c r="E3982" i="10"/>
  <c r="F3982" i="10" s="1"/>
  <c r="E3983" i="10"/>
  <c r="F3983" i="10" s="1"/>
  <c r="E3984" i="10"/>
  <c r="F3984" i="10" s="1"/>
  <c r="E3985" i="10"/>
  <c r="F3985" i="10" s="1"/>
  <c r="E3986" i="10"/>
  <c r="F3986" i="10" s="1"/>
  <c r="E3987" i="10"/>
  <c r="F3987" i="10" s="1"/>
  <c r="E3988" i="10"/>
  <c r="F3988" i="10" s="1"/>
  <c r="E3989" i="10"/>
  <c r="F3989" i="10" s="1"/>
  <c r="E3990" i="10"/>
  <c r="F3990" i="10" s="1"/>
  <c r="E3937" i="10"/>
  <c r="F3937" i="10" s="1"/>
  <c r="E3938" i="10"/>
  <c r="F3938" i="10" s="1"/>
  <c r="E3939" i="10"/>
  <c r="F3939" i="10" s="1"/>
  <c r="E3940" i="10"/>
  <c r="F3940" i="10" s="1"/>
  <c r="E3941" i="10"/>
  <c r="F3941" i="10" s="1"/>
  <c r="E3942" i="10"/>
  <c r="F3942" i="10" s="1"/>
  <c r="E3943" i="10"/>
  <c r="F3943" i="10" s="1"/>
  <c r="E3944" i="10"/>
  <c r="F3944" i="10" s="1"/>
  <c r="E3945" i="10"/>
  <c r="F3945" i="10" s="1"/>
  <c r="E3946" i="10"/>
  <c r="F3946" i="10" s="1"/>
  <c r="E3947" i="10"/>
  <c r="F3947" i="10" s="1"/>
  <c r="E3948" i="10"/>
  <c r="F3948" i="10" s="1"/>
  <c r="E3949" i="10"/>
  <c r="F3949" i="10" s="1"/>
  <c r="E3950" i="10"/>
  <c r="F3950" i="10" s="1"/>
  <c r="E3951" i="10"/>
  <c r="F3951" i="10" s="1"/>
  <c r="E3952" i="10"/>
  <c r="F3952" i="10" s="1"/>
  <c r="E3899" i="10"/>
  <c r="F3899" i="10" s="1"/>
  <c r="E3900" i="10"/>
  <c r="F3900" i="10" s="1"/>
  <c r="E3901" i="10"/>
  <c r="F3901" i="10" s="1"/>
  <c r="E3902" i="10"/>
  <c r="F3902" i="10" s="1"/>
  <c r="E3903" i="10"/>
  <c r="F3903" i="10" s="1"/>
  <c r="E3904" i="10"/>
  <c r="F3904" i="10" s="1"/>
  <c r="E3905" i="10"/>
  <c r="F3905" i="10" s="1"/>
  <c r="E3906" i="10"/>
  <c r="F3906" i="10" s="1"/>
  <c r="E3907" i="10"/>
  <c r="F3907" i="10" s="1"/>
  <c r="E3908" i="10"/>
  <c r="F3908" i="10" s="1"/>
  <c r="E3909" i="10"/>
  <c r="F3909" i="10" s="1"/>
  <c r="E3910" i="10"/>
  <c r="F3910" i="10" s="1"/>
  <c r="E3911" i="10"/>
  <c r="F3911" i="10" s="1"/>
  <c r="E3912" i="10"/>
  <c r="F3912" i="10" s="1"/>
  <c r="E3913" i="10"/>
  <c r="F3913" i="10" s="1"/>
  <c r="E3914" i="10"/>
  <c r="F3914" i="10" s="1"/>
  <c r="E3861" i="10"/>
  <c r="F3861" i="10" s="1"/>
  <c r="E3862" i="10"/>
  <c r="F3862" i="10" s="1"/>
  <c r="E3863" i="10"/>
  <c r="F3863" i="10" s="1"/>
  <c r="E3864" i="10"/>
  <c r="F3864" i="10" s="1"/>
  <c r="E3865" i="10"/>
  <c r="F3865" i="10" s="1"/>
  <c r="E3866" i="10"/>
  <c r="F3866" i="10" s="1"/>
  <c r="E3867" i="10"/>
  <c r="F3867" i="10" s="1"/>
  <c r="E3868" i="10"/>
  <c r="F3868" i="10" s="1"/>
  <c r="E3869" i="10"/>
  <c r="F3869" i="10" s="1"/>
  <c r="E3870" i="10"/>
  <c r="F3870" i="10" s="1"/>
  <c r="E3871" i="10"/>
  <c r="F3871" i="10" s="1"/>
  <c r="E3872" i="10"/>
  <c r="F3872" i="10" s="1"/>
  <c r="E3873" i="10"/>
  <c r="F3873" i="10" s="1"/>
  <c r="E3874" i="10"/>
  <c r="F3874" i="10" s="1"/>
  <c r="E3875" i="10"/>
  <c r="F3875" i="10" s="1"/>
  <c r="E3876" i="10"/>
  <c r="F3876" i="10" s="1"/>
  <c r="E3823" i="10"/>
  <c r="F3823" i="10" s="1"/>
  <c r="E3824" i="10"/>
  <c r="F3824" i="10" s="1"/>
  <c r="E3825" i="10"/>
  <c r="F3825" i="10" s="1"/>
  <c r="E3826" i="10"/>
  <c r="F3826" i="10" s="1"/>
  <c r="E3827" i="10"/>
  <c r="F3827" i="10" s="1"/>
  <c r="E3828" i="10"/>
  <c r="F3828" i="10" s="1"/>
  <c r="E3829" i="10"/>
  <c r="F3829" i="10" s="1"/>
  <c r="E3830" i="10"/>
  <c r="F3830" i="10" s="1"/>
  <c r="E3831" i="10"/>
  <c r="F3831" i="10" s="1"/>
  <c r="E3832" i="10"/>
  <c r="F3832" i="10" s="1"/>
  <c r="E3833" i="10"/>
  <c r="F3833" i="10" s="1"/>
  <c r="E3834" i="10"/>
  <c r="F3834" i="10" s="1"/>
  <c r="E3835" i="10"/>
  <c r="F3835" i="10" s="1"/>
  <c r="E3836" i="10"/>
  <c r="F3836" i="10" s="1"/>
  <c r="E3837" i="10"/>
  <c r="F3837" i="10" s="1"/>
  <c r="E3838" i="10"/>
  <c r="F3838" i="10" s="1"/>
  <c r="E3785" i="10"/>
  <c r="F3785" i="10" s="1"/>
  <c r="E3786" i="10"/>
  <c r="F3786" i="10" s="1"/>
  <c r="E3787" i="10"/>
  <c r="F3787" i="10" s="1"/>
  <c r="E3788" i="10"/>
  <c r="F3788" i="10" s="1"/>
  <c r="E3789" i="10"/>
  <c r="F3789" i="10" s="1"/>
  <c r="E3790" i="10"/>
  <c r="F3790" i="10" s="1"/>
  <c r="E3791" i="10"/>
  <c r="F3791" i="10" s="1"/>
  <c r="E3792" i="10"/>
  <c r="F3792" i="10" s="1"/>
  <c r="E3793" i="10"/>
  <c r="F3793" i="10" s="1"/>
  <c r="E3794" i="10"/>
  <c r="F3794" i="10" s="1"/>
  <c r="E3795" i="10"/>
  <c r="F3795" i="10" s="1"/>
  <c r="E3796" i="10"/>
  <c r="F3796" i="10" s="1"/>
  <c r="E3797" i="10"/>
  <c r="F3797" i="10" s="1"/>
  <c r="E3798" i="10"/>
  <c r="F3798" i="10" s="1"/>
  <c r="E3799" i="10"/>
  <c r="F3799" i="10" s="1"/>
  <c r="E3800" i="10"/>
  <c r="F3800" i="10" s="1"/>
  <c r="E3747" i="10"/>
  <c r="F3747" i="10" s="1"/>
  <c r="E3748" i="10"/>
  <c r="F3748" i="10" s="1"/>
  <c r="E3749" i="10"/>
  <c r="F3749" i="10" s="1"/>
  <c r="E3750" i="10"/>
  <c r="F3750" i="10" s="1"/>
  <c r="E3751" i="10"/>
  <c r="F3751" i="10" s="1"/>
  <c r="E3752" i="10"/>
  <c r="F3752" i="10" s="1"/>
  <c r="E3753" i="10"/>
  <c r="F3753" i="10" s="1"/>
  <c r="E3754" i="10"/>
  <c r="F3754" i="10" s="1"/>
  <c r="E3755" i="10"/>
  <c r="F3755" i="10" s="1"/>
  <c r="E3756" i="10"/>
  <c r="F3756" i="10" s="1"/>
  <c r="E3757" i="10"/>
  <c r="F3757" i="10" s="1"/>
  <c r="E3758" i="10"/>
  <c r="F3758" i="10" s="1"/>
  <c r="E3759" i="10"/>
  <c r="F3759" i="10" s="1"/>
  <c r="E3760" i="10"/>
  <c r="F3760" i="10" s="1"/>
  <c r="E3761" i="10"/>
  <c r="F3761" i="10" s="1"/>
  <c r="E3762" i="10"/>
  <c r="F3762" i="10" s="1"/>
  <c r="E3709" i="10"/>
  <c r="F3709" i="10" s="1"/>
  <c r="E3710" i="10"/>
  <c r="F3710" i="10" s="1"/>
  <c r="E3711" i="10"/>
  <c r="F3711" i="10" s="1"/>
  <c r="E3712" i="10"/>
  <c r="F3712" i="10" s="1"/>
  <c r="E3713" i="10"/>
  <c r="F3713" i="10" s="1"/>
  <c r="E3714" i="10"/>
  <c r="F3714" i="10" s="1"/>
  <c r="E3715" i="10"/>
  <c r="F3715" i="10" s="1"/>
  <c r="E3716" i="10"/>
  <c r="F3716" i="10" s="1"/>
  <c r="E3717" i="10"/>
  <c r="F3717" i="10" s="1"/>
  <c r="E3718" i="10"/>
  <c r="F3718" i="10" s="1"/>
  <c r="E3719" i="10"/>
  <c r="F3719" i="10" s="1"/>
  <c r="E3720" i="10"/>
  <c r="F3720" i="10" s="1"/>
  <c r="E3721" i="10"/>
  <c r="F3721" i="10" s="1"/>
  <c r="E3722" i="10"/>
  <c r="F3722" i="10" s="1"/>
  <c r="E3723" i="10"/>
  <c r="F3723" i="10" s="1"/>
  <c r="E3724" i="10"/>
  <c r="F3724" i="10" s="1"/>
  <c r="E3671" i="10"/>
  <c r="F3671" i="10" s="1"/>
  <c r="E3672" i="10"/>
  <c r="F3672" i="10" s="1"/>
  <c r="E3673" i="10"/>
  <c r="F3673" i="10" s="1"/>
  <c r="E3674" i="10"/>
  <c r="F3674" i="10" s="1"/>
  <c r="E3675" i="10"/>
  <c r="F3675" i="10" s="1"/>
  <c r="E3676" i="10"/>
  <c r="F3676" i="10" s="1"/>
  <c r="E3677" i="10"/>
  <c r="F3677" i="10" s="1"/>
  <c r="E3678" i="10"/>
  <c r="F3678" i="10" s="1"/>
  <c r="E3679" i="10"/>
  <c r="F3679" i="10" s="1"/>
  <c r="E3680" i="10"/>
  <c r="F3680" i="10" s="1"/>
  <c r="E3681" i="10"/>
  <c r="F3681" i="10" s="1"/>
  <c r="E3682" i="10"/>
  <c r="F3682" i="10" s="1"/>
  <c r="E3683" i="10"/>
  <c r="F3683" i="10" s="1"/>
  <c r="E3684" i="10"/>
  <c r="F3684" i="10" s="1"/>
  <c r="E3685" i="10"/>
  <c r="F3685" i="10" s="1"/>
  <c r="E3686" i="10"/>
  <c r="F3686" i="10" s="1"/>
  <c r="E3633" i="10"/>
  <c r="F3633" i="10" s="1"/>
  <c r="E3634" i="10"/>
  <c r="F3634" i="10" s="1"/>
  <c r="E3635" i="10"/>
  <c r="F3635" i="10" s="1"/>
  <c r="E3636" i="10"/>
  <c r="F3636" i="10" s="1"/>
  <c r="E3637" i="10"/>
  <c r="F3637" i="10" s="1"/>
  <c r="E3638" i="10"/>
  <c r="F3638" i="10" s="1"/>
  <c r="E3639" i="10"/>
  <c r="F3639" i="10" s="1"/>
  <c r="E3640" i="10"/>
  <c r="F3640" i="10" s="1"/>
  <c r="E3641" i="10"/>
  <c r="F3641" i="10" s="1"/>
  <c r="E3642" i="10"/>
  <c r="F3642" i="10" s="1"/>
  <c r="E3643" i="10"/>
  <c r="F3643" i="10" s="1"/>
  <c r="E3644" i="10"/>
  <c r="F3644" i="10" s="1"/>
  <c r="E3645" i="10"/>
  <c r="F3645" i="10" s="1"/>
  <c r="E3646" i="10"/>
  <c r="F3646" i="10" s="1"/>
  <c r="E3647" i="10"/>
  <c r="F3647" i="10" s="1"/>
  <c r="E3648" i="10"/>
  <c r="F3648" i="10" s="1"/>
  <c r="E3595" i="10"/>
  <c r="F3595" i="10" s="1"/>
  <c r="E3596" i="10"/>
  <c r="F3596" i="10" s="1"/>
  <c r="E3597" i="10"/>
  <c r="F3597" i="10" s="1"/>
  <c r="E3598" i="10"/>
  <c r="F3598" i="10" s="1"/>
  <c r="E3599" i="10"/>
  <c r="F3599" i="10" s="1"/>
  <c r="E3600" i="10"/>
  <c r="F3600" i="10" s="1"/>
  <c r="E3601" i="10"/>
  <c r="F3601" i="10" s="1"/>
  <c r="E3602" i="10"/>
  <c r="F3602" i="10" s="1"/>
  <c r="E3603" i="10"/>
  <c r="F3603" i="10" s="1"/>
  <c r="E3604" i="10"/>
  <c r="F3604" i="10" s="1"/>
  <c r="E3605" i="10"/>
  <c r="F3605" i="10" s="1"/>
  <c r="E3606" i="10"/>
  <c r="F3606" i="10" s="1"/>
  <c r="E3607" i="10"/>
  <c r="F3607" i="10" s="1"/>
  <c r="E3608" i="10"/>
  <c r="F3608" i="10" s="1"/>
  <c r="E3609" i="10"/>
  <c r="F3609" i="10" s="1"/>
  <c r="E3610" i="10"/>
  <c r="F3610" i="10" s="1"/>
  <c r="E3557" i="10"/>
  <c r="F3557" i="10" s="1"/>
  <c r="E3558" i="10"/>
  <c r="F3558" i="10" s="1"/>
  <c r="E3559" i="10"/>
  <c r="F3559" i="10" s="1"/>
  <c r="E3560" i="10"/>
  <c r="F3560" i="10" s="1"/>
  <c r="E3561" i="10"/>
  <c r="F3561" i="10" s="1"/>
  <c r="E3562" i="10"/>
  <c r="F3562" i="10" s="1"/>
  <c r="E3563" i="10"/>
  <c r="F3563" i="10" s="1"/>
  <c r="E3564" i="10"/>
  <c r="F3564" i="10" s="1"/>
  <c r="E3565" i="10"/>
  <c r="F3565" i="10" s="1"/>
  <c r="E3566" i="10"/>
  <c r="F3566" i="10" s="1"/>
  <c r="E3567" i="10"/>
  <c r="F3567" i="10" s="1"/>
  <c r="E3568" i="10"/>
  <c r="F3568" i="10" s="1"/>
  <c r="E3569" i="10"/>
  <c r="F3569" i="10" s="1"/>
  <c r="E3570" i="10"/>
  <c r="F3570" i="10" s="1"/>
  <c r="E3571" i="10"/>
  <c r="F3571" i="10" s="1"/>
  <c r="E3572" i="10"/>
  <c r="F3572" i="10" s="1"/>
  <c r="E3519" i="10"/>
  <c r="F3519" i="10" s="1"/>
  <c r="E3520" i="10"/>
  <c r="F3520" i="10" s="1"/>
  <c r="E3521" i="10"/>
  <c r="F3521" i="10" s="1"/>
  <c r="E3522" i="10"/>
  <c r="F3522" i="10" s="1"/>
  <c r="E3523" i="10"/>
  <c r="F3523" i="10" s="1"/>
  <c r="E3524" i="10"/>
  <c r="F3524" i="10" s="1"/>
  <c r="E3525" i="10"/>
  <c r="F3525" i="10" s="1"/>
  <c r="E3526" i="10"/>
  <c r="F3526" i="10" s="1"/>
  <c r="E3527" i="10"/>
  <c r="F3527" i="10" s="1"/>
  <c r="E3528" i="10"/>
  <c r="F3528" i="10" s="1"/>
  <c r="E3529" i="10"/>
  <c r="F3529" i="10" s="1"/>
  <c r="E3530" i="10"/>
  <c r="F3530" i="10" s="1"/>
  <c r="E3531" i="10"/>
  <c r="F3531" i="10" s="1"/>
  <c r="E3532" i="10"/>
  <c r="F3532" i="10" s="1"/>
  <c r="E3533" i="10"/>
  <c r="F3533" i="10" s="1"/>
  <c r="E3534" i="10"/>
  <c r="F3534" i="10" s="1"/>
  <c r="E3481" i="10"/>
  <c r="F3481" i="10" s="1"/>
  <c r="I3481" i="10" s="1"/>
  <c r="E3482" i="10"/>
  <c r="F3482" i="10" s="1"/>
  <c r="I3482" i="10" s="1"/>
  <c r="E3483" i="10"/>
  <c r="F3483" i="10" s="1"/>
  <c r="I3483" i="10" s="1"/>
  <c r="E3484" i="10"/>
  <c r="F3484" i="10" s="1"/>
  <c r="I3484" i="10" s="1"/>
  <c r="E3485" i="10"/>
  <c r="F3485" i="10" s="1"/>
  <c r="I3485" i="10" s="1"/>
  <c r="E3486" i="10"/>
  <c r="F3486" i="10" s="1"/>
  <c r="I3486" i="10" s="1"/>
  <c r="E3487" i="10"/>
  <c r="F3487" i="10" s="1"/>
  <c r="I3487" i="10" s="1"/>
  <c r="E3488" i="10"/>
  <c r="F3488" i="10" s="1"/>
  <c r="I3488" i="10" s="1"/>
  <c r="E3489" i="10"/>
  <c r="F3489" i="10" s="1"/>
  <c r="I3489" i="10" s="1"/>
  <c r="E3490" i="10"/>
  <c r="F3490" i="10" s="1"/>
  <c r="I3490" i="10" s="1"/>
  <c r="E3491" i="10"/>
  <c r="F3491" i="10" s="1"/>
  <c r="I3491" i="10" s="1"/>
  <c r="E3492" i="10"/>
  <c r="F3492" i="10" s="1"/>
  <c r="I3492" i="10" s="1"/>
  <c r="E3493" i="10"/>
  <c r="F3493" i="10" s="1"/>
  <c r="I3493" i="10" s="1"/>
  <c r="E3494" i="10"/>
  <c r="F3494" i="10" s="1"/>
  <c r="I3494" i="10" s="1"/>
  <c r="E3495" i="10"/>
  <c r="F3495" i="10" s="1"/>
  <c r="I3495" i="10" s="1"/>
  <c r="E3496" i="10"/>
  <c r="F3496" i="10" s="1"/>
  <c r="I3496" i="10" s="1"/>
  <c r="E3443" i="10"/>
  <c r="F3443" i="10" s="1"/>
  <c r="E3444" i="10"/>
  <c r="F3444" i="10" s="1"/>
  <c r="E3445" i="10"/>
  <c r="F3445" i="10" s="1"/>
  <c r="E3446" i="10"/>
  <c r="F3446" i="10" s="1"/>
  <c r="E3447" i="10"/>
  <c r="F3447" i="10" s="1"/>
  <c r="E3448" i="10"/>
  <c r="F3448" i="10" s="1"/>
  <c r="E3449" i="10"/>
  <c r="F3449" i="10" s="1"/>
  <c r="E3450" i="10"/>
  <c r="F3450" i="10" s="1"/>
  <c r="E3451" i="10"/>
  <c r="F3451" i="10" s="1"/>
  <c r="E3452" i="10"/>
  <c r="F3452" i="10" s="1"/>
  <c r="E3453" i="10"/>
  <c r="F3453" i="10" s="1"/>
  <c r="E3454" i="10"/>
  <c r="F3454" i="10" s="1"/>
  <c r="E3455" i="10"/>
  <c r="F3455" i="10" s="1"/>
  <c r="E3456" i="10"/>
  <c r="F3456" i="10" s="1"/>
  <c r="E3457" i="10"/>
  <c r="F3457" i="10" s="1"/>
  <c r="E3458" i="10"/>
  <c r="F3458" i="10" s="1"/>
  <c r="E3405" i="10"/>
  <c r="F3405" i="10" s="1"/>
  <c r="E3406" i="10"/>
  <c r="F3406" i="10" s="1"/>
  <c r="E3407" i="10"/>
  <c r="F3407" i="10" s="1"/>
  <c r="E3408" i="10"/>
  <c r="F3408" i="10" s="1"/>
  <c r="E3409" i="10"/>
  <c r="F3409" i="10" s="1"/>
  <c r="E3410" i="10"/>
  <c r="F3410" i="10" s="1"/>
  <c r="E3411" i="10"/>
  <c r="F3411" i="10" s="1"/>
  <c r="E3412" i="10"/>
  <c r="F3412" i="10" s="1"/>
  <c r="E3413" i="10"/>
  <c r="F3413" i="10" s="1"/>
  <c r="E3414" i="10"/>
  <c r="F3414" i="10" s="1"/>
  <c r="E3415" i="10"/>
  <c r="F3415" i="10" s="1"/>
  <c r="E3416" i="10"/>
  <c r="F3416" i="10" s="1"/>
  <c r="E3417" i="10"/>
  <c r="F3417" i="10" s="1"/>
  <c r="E3418" i="10"/>
  <c r="F3418" i="10" s="1"/>
  <c r="E3419" i="10"/>
  <c r="F3419" i="10" s="1"/>
  <c r="E3420" i="10"/>
  <c r="F3420" i="10" s="1"/>
  <c r="E3367" i="10"/>
  <c r="F3367" i="10" s="1"/>
  <c r="E3368" i="10"/>
  <c r="F3368" i="10" s="1"/>
  <c r="E3369" i="10"/>
  <c r="F3369" i="10" s="1"/>
  <c r="E3370" i="10"/>
  <c r="F3370" i="10" s="1"/>
  <c r="E3371" i="10"/>
  <c r="F3371" i="10" s="1"/>
  <c r="E3372" i="10"/>
  <c r="F3372" i="10" s="1"/>
  <c r="E3373" i="10"/>
  <c r="F3373" i="10" s="1"/>
  <c r="E3374" i="10"/>
  <c r="F3374" i="10" s="1"/>
  <c r="E3375" i="10"/>
  <c r="F3375" i="10" s="1"/>
  <c r="E3376" i="10"/>
  <c r="F3376" i="10" s="1"/>
  <c r="E3377" i="10"/>
  <c r="F3377" i="10" s="1"/>
  <c r="E3378" i="10"/>
  <c r="F3378" i="10" s="1"/>
  <c r="E3379" i="10"/>
  <c r="F3379" i="10" s="1"/>
  <c r="E3380" i="10"/>
  <c r="F3380" i="10" s="1"/>
  <c r="E3381" i="10"/>
  <c r="F3381" i="10" s="1"/>
  <c r="E3382" i="10"/>
  <c r="F3382" i="10" s="1"/>
  <c r="E3329" i="10"/>
  <c r="F3329" i="10" s="1"/>
  <c r="E3330" i="10"/>
  <c r="F3330" i="10" s="1"/>
  <c r="E3331" i="10"/>
  <c r="F3331" i="10" s="1"/>
  <c r="E3332" i="10"/>
  <c r="F3332" i="10" s="1"/>
  <c r="E3333" i="10"/>
  <c r="F3333" i="10" s="1"/>
  <c r="E3334" i="10"/>
  <c r="F3334" i="10" s="1"/>
  <c r="E3335" i="10"/>
  <c r="F3335" i="10" s="1"/>
  <c r="E3336" i="10"/>
  <c r="F3336" i="10" s="1"/>
  <c r="E3337" i="10"/>
  <c r="F3337" i="10" s="1"/>
  <c r="E3338" i="10"/>
  <c r="F3338" i="10" s="1"/>
  <c r="E3339" i="10"/>
  <c r="F3339" i="10" s="1"/>
  <c r="E3340" i="10"/>
  <c r="F3340" i="10" s="1"/>
  <c r="E3341" i="10"/>
  <c r="F3341" i="10" s="1"/>
  <c r="E3342" i="10"/>
  <c r="F3342" i="10" s="1"/>
  <c r="E3343" i="10"/>
  <c r="F3343" i="10" s="1"/>
  <c r="E3344" i="10"/>
  <c r="F3344" i="10" s="1"/>
  <c r="E3291" i="10"/>
  <c r="F3291" i="10" s="1"/>
  <c r="E3292" i="10"/>
  <c r="F3292" i="10" s="1"/>
  <c r="E3293" i="10"/>
  <c r="F3293" i="10" s="1"/>
  <c r="E3294" i="10"/>
  <c r="F3294" i="10" s="1"/>
  <c r="E3295" i="10"/>
  <c r="F3295" i="10" s="1"/>
  <c r="E3296" i="10"/>
  <c r="F3296" i="10" s="1"/>
  <c r="E3297" i="10"/>
  <c r="F3297" i="10" s="1"/>
  <c r="E3298" i="10"/>
  <c r="F3298" i="10" s="1"/>
  <c r="E3299" i="10"/>
  <c r="F3299" i="10" s="1"/>
  <c r="E3300" i="10"/>
  <c r="F3300" i="10" s="1"/>
  <c r="E3301" i="10"/>
  <c r="F3301" i="10" s="1"/>
  <c r="E3302" i="10"/>
  <c r="F3302" i="10" s="1"/>
  <c r="E3303" i="10"/>
  <c r="F3303" i="10" s="1"/>
  <c r="E3304" i="10"/>
  <c r="F3304" i="10" s="1"/>
  <c r="E3305" i="10"/>
  <c r="F3305" i="10" s="1"/>
  <c r="E3306" i="10"/>
  <c r="F3306" i="10" s="1"/>
  <c r="E3253" i="10"/>
  <c r="F3253" i="10" s="1"/>
  <c r="E3254" i="10"/>
  <c r="F3254" i="10" s="1"/>
  <c r="E3255" i="10"/>
  <c r="F3255" i="10" s="1"/>
  <c r="E3256" i="10"/>
  <c r="F3256" i="10" s="1"/>
  <c r="E3257" i="10"/>
  <c r="F3257" i="10" s="1"/>
  <c r="E3258" i="10"/>
  <c r="F3258" i="10" s="1"/>
  <c r="E3259" i="10"/>
  <c r="F3259" i="10" s="1"/>
  <c r="E3260" i="10"/>
  <c r="F3260" i="10" s="1"/>
  <c r="E3261" i="10"/>
  <c r="F3261" i="10" s="1"/>
  <c r="E3262" i="10"/>
  <c r="F3262" i="10" s="1"/>
  <c r="E3263" i="10"/>
  <c r="F3263" i="10" s="1"/>
  <c r="E3264" i="10"/>
  <c r="F3264" i="10" s="1"/>
  <c r="E3265" i="10"/>
  <c r="F3265" i="10" s="1"/>
  <c r="E3266" i="10"/>
  <c r="F3266" i="10" s="1"/>
  <c r="E3267" i="10"/>
  <c r="F3267" i="10" s="1"/>
  <c r="E3268" i="10"/>
  <c r="F3268" i="10" s="1"/>
  <c r="E3215" i="10"/>
  <c r="F3215" i="10" s="1"/>
  <c r="E3216" i="10"/>
  <c r="F3216" i="10" s="1"/>
  <c r="E3217" i="10"/>
  <c r="F3217" i="10" s="1"/>
  <c r="E3218" i="10"/>
  <c r="F3218" i="10" s="1"/>
  <c r="E3219" i="10"/>
  <c r="F3219" i="10" s="1"/>
  <c r="E3220" i="10"/>
  <c r="F3220" i="10" s="1"/>
  <c r="E3221" i="10"/>
  <c r="F3221" i="10" s="1"/>
  <c r="E3222" i="10"/>
  <c r="F3222" i="10" s="1"/>
  <c r="E3223" i="10"/>
  <c r="F3223" i="10" s="1"/>
  <c r="E3224" i="10"/>
  <c r="F3224" i="10" s="1"/>
  <c r="E3225" i="10"/>
  <c r="F3225" i="10" s="1"/>
  <c r="E3226" i="10"/>
  <c r="F3226" i="10" s="1"/>
  <c r="E3227" i="10"/>
  <c r="F3227" i="10" s="1"/>
  <c r="E3228" i="10"/>
  <c r="F3228" i="10" s="1"/>
  <c r="E3229" i="10"/>
  <c r="F3229" i="10" s="1"/>
  <c r="E3230" i="10"/>
  <c r="F3230" i="10" s="1"/>
  <c r="E3177" i="10"/>
  <c r="F3177" i="10" s="1"/>
  <c r="E3178" i="10"/>
  <c r="F3178" i="10" s="1"/>
  <c r="E3179" i="10"/>
  <c r="F3179" i="10" s="1"/>
  <c r="E3180" i="10"/>
  <c r="F3180" i="10" s="1"/>
  <c r="E3181" i="10"/>
  <c r="F3181" i="10" s="1"/>
  <c r="E3182" i="10"/>
  <c r="F3182" i="10" s="1"/>
  <c r="E3183" i="10"/>
  <c r="F3183" i="10" s="1"/>
  <c r="E3184" i="10"/>
  <c r="F3184" i="10" s="1"/>
  <c r="E3185" i="10"/>
  <c r="F3185" i="10" s="1"/>
  <c r="E3186" i="10"/>
  <c r="F3186" i="10" s="1"/>
  <c r="E3187" i="10"/>
  <c r="F3187" i="10" s="1"/>
  <c r="E3188" i="10"/>
  <c r="F3188" i="10" s="1"/>
  <c r="E3189" i="10"/>
  <c r="F3189" i="10" s="1"/>
  <c r="E3190" i="10"/>
  <c r="F3190" i="10" s="1"/>
  <c r="E3191" i="10"/>
  <c r="F3191" i="10" s="1"/>
  <c r="E3192" i="10"/>
  <c r="F3192" i="10" s="1"/>
  <c r="E3139" i="10"/>
  <c r="F3139" i="10" s="1"/>
  <c r="E3140" i="10"/>
  <c r="F3140" i="10" s="1"/>
  <c r="E3141" i="10"/>
  <c r="F3141" i="10" s="1"/>
  <c r="E3142" i="10"/>
  <c r="F3142" i="10" s="1"/>
  <c r="E3143" i="10"/>
  <c r="F3143" i="10" s="1"/>
  <c r="E3144" i="10"/>
  <c r="F3144" i="10" s="1"/>
  <c r="E3145" i="10"/>
  <c r="F3145" i="10" s="1"/>
  <c r="E3146" i="10"/>
  <c r="F3146" i="10" s="1"/>
  <c r="E3147" i="10"/>
  <c r="F3147" i="10" s="1"/>
  <c r="E3148" i="10"/>
  <c r="F3148" i="10" s="1"/>
  <c r="E3149" i="10"/>
  <c r="F3149" i="10" s="1"/>
  <c r="E3150" i="10"/>
  <c r="F3150" i="10" s="1"/>
  <c r="E3151" i="10"/>
  <c r="F3151" i="10" s="1"/>
  <c r="E3152" i="10"/>
  <c r="F3152" i="10" s="1"/>
  <c r="E3153" i="10"/>
  <c r="F3153" i="10" s="1"/>
  <c r="E3154" i="10"/>
  <c r="F3154" i="10" s="1"/>
  <c r="E3101" i="10"/>
  <c r="F3101" i="10" s="1"/>
  <c r="E3102" i="10"/>
  <c r="F3102" i="10" s="1"/>
  <c r="E3103" i="10"/>
  <c r="F3103" i="10" s="1"/>
  <c r="E3104" i="10"/>
  <c r="F3104" i="10" s="1"/>
  <c r="E3105" i="10"/>
  <c r="F3105" i="10" s="1"/>
  <c r="E3106" i="10"/>
  <c r="F3106" i="10" s="1"/>
  <c r="E3107" i="10"/>
  <c r="F3107" i="10" s="1"/>
  <c r="E3108" i="10"/>
  <c r="F3108" i="10" s="1"/>
  <c r="E3109" i="10"/>
  <c r="F3109" i="10" s="1"/>
  <c r="E3110" i="10"/>
  <c r="F3110" i="10" s="1"/>
  <c r="E3111" i="10"/>
  <c r="F3111" i="10" s="1"/>
  <c r="E3112" i="10"/>
  <c r="F3112" i="10" s="1"/>
  <c r="E3113" i="10"/>
  <c r="F3113" i="10" s="1"/>
  <c r="E3114" i="10"/>
  <c r="F3114" i="10" s="1"/>
  <c r="E3115" i="10"/>
  <c r="F3115" i="10" s="1"/>
  <c r="E3116" i="10"/>
  <c r="F3116" i="10" s="1"/>
  <c r="E3063" i="10"/>
  <c r="F3063" i="10" s="1"/>
  <c r="E3064" i="10"/>
  <c r="F3064" i="10" s="1"/>
  <c r="E3065" i="10"/>
  <c r="F3065" i="10" s="1"/>
  <c r="E3066" i="10"/>
  <c r="F3066" i="10" s="1"/>
  <c r="E3067" i="10"/>
  <c r="F3067" i="10" s="1"/>
  <c r="E3068" i="10"/>
  <c r="F3068" i="10" s="1"/>
  <c r="E3069" i="10"/>
  <c r="F3069" i="10" s="1"/>
  <c r="E3070" i="10"/>
  <c r="F3070" i="10" s="1"/>
  <c r="E3071" i="10"/>
  <c r="F3071" i="10" s="1"/>
  <c r="E3072" i="10"/>
  <c r="F3072" i="10" s="1"/>
  <c r="E3073" i="10"/>
  <c r="F3073" i="10" s="1"/>
  <c r="E3074" i="10"/>
  <c r="F3074" i="10" s="1"/>
  <c r="E3075" i="10"/>
  <c r="F3075" i="10" s="1"/>
  <c r="E3076" i="10"/>
  <c r="F3076" i="10" s="1"/>
  <c r="E3077" i="10"/>
  <c r="F3077" i="10" s="1"/>
  <c r="E3078" i="10"/>
  <c r="F3078" i="10" s="1"/>
  <c r="E3025" i="10"/>
  <c r="F3025" i="10" s="1"/>
  <c r="E3026" i="10"/>
  <c r="F3026" i="10" s="1"/>
  <c r="E3027" i="10"/>
  <c r="F3027" i="10" s="1"/>
  <c r="E3028" i="10"/>
  <c r="F3028" i="10" s="1"/>
  <c r="E3029" i="10"/>
  <c r="F3029" i="10" s="1"/>
  <c r="E3030" i="10"/>
  <c r="F3030" i="10" s="1"/>
  <c r="E3031" i="10"/>
  <c r="F3031" i="10" s="1"/>
  <c r="E3032" i="10"/>
  <c r="F3032" i="10" s="1"/>
  <c r="E3033" i="10"/>
  <c r="F3033" i="10" s="1"/>
  <c r="E3034" i="10"/>
  <c r="F3034" i="10" s="1"/>
  <c r="E3035" i="10"/>
  <c r="F3035" i="10" s="1"/>
  <c r="E3036" i="10"/>
  <c r="F3036" i="10" s="1"/>
  <c r="E3037" i="10"/>
  <c r="F3037" i="10" s="1"/>
  <c r="E3038" i="10"/>
  <c r="F3038" i="10" s="1"/>
  <c r="E3039" i="10"/>
  <c r="F3039" i="10" s="1"/>
  <c r="E3040" i="10"/>
  <c r="F3040" i="10" s="1"/>
  <c r="E2987" i="10"/>
  <c r="F2987" i="10" s="1"/>
  <c r="E2988" i="10"/>
  <c r="F2988" i="10" s="1"/>
  <c r="E2989" i="10"/>
  <c r="F2989" i="10" s="1"/>
  <c r="E2990" i="10"/>
  <c r="F2990" i="10" s="1"/>
  <c r="E2991" i="10"/>
  <c r="F2991" i="10" s="1"/>
  <c r="E2992" i="10"/>
  <c r="F2992" i="10" s="1"/>
  <c r="E2993" i="10"/>
  <c r="F2993" i="10" s="1"/>
  <c r="E2994" i="10"/>
  <c r="F2994" i="10" s="1"/>
  <c r="E2995" i="10"/>
  <c r="F2995" i="10" s="1"/>
  <c r="E2996" i="10"/>
  <c r="F2996" i="10" s="1"/>
  <c r="E2997" i="10"/>
  <c r="F2997" i="10" s="1"/>
  <c r="E2998" i="10"/>
  <c r="F2998" i="10" s="1"/>
  <c r="E2999" i="10"/>
  <c r="F2999" i="10" s="1"/>
  <c r="E3000" i="10"/>
  <c r="F3000" i="10" s="1"/>
  <c r="E3001" i="10"/>
  <c r="F3001" i="10" s="1"/>
  <c r="E3002" i="10"/>
  <c r="F3002" i="10" s="1"/>
  <c r="E2949" i="10"/>
  <c r="F2949" i="10" s="1"/>
  <c r="E2950" i="10"/>
  <c r="F2950" i="10" s="1"/>
  <c r="E2951" i="10"/>
  <c r="F2951" i="10" s="1"/>
  <c r="E2952" i="10"/>
  <c r="F2952" i="10" s="1"/>
  <c r="E2953" i="10"/>
  <c r="F2953" i="10" s="1"/>
  <c r="E2954" i="10"/>
  <c r="F2954" i="10" s="1"/>
  <c r="E2955" i="10"/>
  <c r="F2955" i="10" s="1"/>
  <c r="E2956" i="10"/>
  <c r="F2956" i="10" s="1"/>
  <c r="E2957" i="10"/>
  <c r="F2957" i="10" s="1"/>
  <c r="E2958" i="10"/>
  <c r="F2958" i="10" s="1"/>
  <c r="E2959" i="10"/>
  <c r="F2959" i="10" s="1"/>
  <c r="E2960" i="10"/>
  <c r="F2960" i="10" s="1"/>
  <c r="E2961" i="10"/>
  <c r="F2961" i="10" s="1"/>
  <c r="E2962" i="10"/>
  <c r="F2962" i="10" s="1"/>
  <c r="E2963" i="10"/>
  <c r="F2963" i="10" s="1"/>
  <c r="E2964" i="10"/>
  <c r="F2964" i="10" s="1"/>
  <c r="E2911" i="10"/>
  <c r="F2911" i="10" s="1"/>
  <c r="E2912" i="10"/>
  <c r="F2912" i="10" s="1"/>
  <c r="E2913" i="10"/>
  <c r="F2913" i="10" s="1"/>
  <c r="E2914" i="10"/>
  <c r="F2914" i="10" s="1"/>
  <c r="E2915" i="10"/>
  <c r="F2915" i="10" s="1"/>
  <c r="E2916" i="10"/>
  <c r="F2916" i="10" s="1"/>
  <c r="E2917" i="10"/>
  <c r="F2917" i="10" s="1"/>
  <c r="E2918" i="10"/>
  <c r="F2918" i="10" s="1"/>
  <c r="E2919" i="10"/>
  <c r="F2919" i="10" s="1"/>
  <c r="E2920" i="10"/>
  <c r="F2920" i="10" s="1"/>
  <c r="E2921" i="10"/>
  <c r="F2921" i="10" s="1"/>
  <c r="E2922" i="10"/>
  <c r="F2922" i="10" s="1"/>
  <c r="E2923" i="10"/>
  <c r="F2923" i="10" s="1"/>
  <c r="E2924" i="10"/>
  <c r="F2924" i="10" s="1"/>
  <c r="E2925" i="10"/>
  <c r="F2925" i="10" s="1"/>
  <c r="E2926" i="10"/>
  <c r="F2926" i="10" s="1"/>
  <c r="E2873" i="10"/>
  <c r="F2873" i="10" s="1"/>
  <c r="E2874" i="10"/>
  <c r="F2874" i="10" s="1"/>
  <c r="E2875" i="10"/>
  <c r="F2875" i="10" s="1"/>
  <c r="E2876" i="10"/>
  <c r="F2876" i="10" s="1"/>
  <c r="E2877" i="10"/>
  <c r="F2877" i="10" s="1"/>
  <c r="E2878" i="10"/>
  <c r="F2878" i="10" s="1"/>
  <c r="E2879" i="10"/>
  <c r="F2879" i="10" s="1"/>
  <c r="E2880" i="10"/>
  <c r="F2880" i="10" s="1"/>
  <c r="E2881" i="10"/>
  <c r="F2881" i="10" s="1"/>
  <c r="E2882" i="10"/>
  <c r="F2882" i="10" s="1"/>
  <c r="E2883" i="10"/>
  <c r="F2883" i="10" s="1"/>
  <c r="E2884" i="10"/>
  <c r="F2884" i="10" s="1"/>
  <c r="E2885" i="10"/>
  <c r="F2885" i="10" s="1"/>
  <c r="E2886" i="10"/>
  <c r="F2886" i="10" s="1"/>
  <c r="E2887" i="10"/>
  <c r="F2887" i="10" s="1"/>
  <c r="E2888" i="10"/>
  <c r="F2888" i="10" s="1"/>
  <c r="E2835" i="10"/>
  <c r="F2835" i="10" s="1"/>
  <c r="E2836" i="10"/>
  <c r="F2836" i="10" s="1"/>
  <c r="E2837" i="10"/>
  <c r="F2837" i="10" s="1"/>
  <c r="E2838" i="10"/>
  <c r="F2838" i="10" s="1"/>
  <c r="E2839" i="10"/>
  <c r="F2839" i="10" s="1"/>
  <c r="E2840" i="10"/>
  <c r="F2840" i="10" s="1"/>
  <c r="E2841" i="10"/>
  <c r="F2841" i="10" s="1"/>
  <c r="E2842" i="10"/>
  <c r="F2842" i="10" s="1"/>
  <c r="E2843" i="10"/>
  <c r="F2843" i="10" s="1"/>
  <c r="E2844" i="10"/>
  <c r="F2844" i="10" s="1"/>
  <c r="E2845" i="10"/>
  <c r="F2845" i="10" s="1"/>
  <c r="E2846" i="10"/>
  <c r="F2846" i="10" s="1"/>
  <c r="E2847" i="10"/>
  <c r="F2847" i="10" s="1"/>
  <c r="E2848" i="10"/>
  <c r="F2848" i="10" s="1"/>
  <c r="E2849" i="10"/>
  <c r="F2849" i="10" s="1"/>
  <c r="E2850" i="10"/>
  <c r="F2850" i="10" s="1"/>
  <c r="E2797" i="10"/>
  <c r="F2797" i="10" s="1"/>
  <c r="E2798" i="10"/>
  <c r="F2798" i="10" s="1"/>
  <c r="E2799" i="10"/>
  <c r="F2799" i="10" s="1"/>
  <c r="E2800" i="10"/>
  <c r="F2800" i="10" s="1"/>
  <c r="E2801" i="10"/>
  <c r="F2801" i="10" s="1"/>
  <c r="E2802" i="10"/>
  <c r="F2802" i="10" s="1"/>
  <c r="E2803" i="10"/>
  <c r="F2803" i="10" s="1"/>
  <c r="E2804" i="10"/>
  <c r="F2804" i="10" s="1"/>
  <c r="E2805" i="10"/>
  <c r="F2805" i="10" s="1"/>
  <c r="E2806" i="10"/>
  <c r="F2806" i="10" s="1"/>
  <c r="E2807" i="10"/>
  <c r="F2807" i="10" s="1"/>
  <c r="E2808" i="10"/>
  <c r="F2808" i="10" s="1"/>
  <c r="E2809" i="10"/>
  <c r="F2809" i="10" s="1"/>
  <c r="E2810" i="10"/>
  <c r="F2810" i="10" s="1"/>
  <c r="E2811" i="10"/>
  <c r="F2811" i="10" s="1"/>
  <c r="E2812" i="10"/>
  <c r="F2812" i="10" s="1"/>
  <c r="E2759" i="10"/>
  <c r="F2759" i="10" s="1"/>
  <c r="E2760" i="10"/>
  <c r="F2760" i="10" s="1"/>
  <c r="E2761" i="10"/>
  <c r="F2761" i="10" s="1"/>
  <c r="E2762" i="10"/>
  <c r="F2762" i="10" s="1"/>
  <c r="E2763" i="10"/>
  <c r="F2763" i="10" s="1"/>
  <c r="E2764" i="10"/>
  <c r="F2764" i="10" s="1"/>
  <c r="E2765" i="10"/>
  <c r="F2765" i="10" s="1"/>
  <c r="E2766" i="10"/>
  <c r="F2766" i="10" s="1"/>
  <c r="E2767" i="10"/>
  <c r="F2767" i="10" s="1"/>
  <c r="E2768" i="10"/>
  <c r="F2768" i="10" s="1"/>
  <c r="E2769" i="10"/>
  <c r="F2769" i="10" s="1"/>
  <c r="E2770" i="10"/>
  <c r="F2770" i="10" s="1"/>
  <c r="E2771" i="10"/>
  <c r="F2771" i="10" s="1"/>
  <c r="E2772" i="10"/>
  <c r="F2772" i="10" s="1"/>
  <c r="E2773" i="10"/>
  <c r="F2773" i="10" s="1"/>
  <c r="E2774" i="10"/>
  <c r="F2774" i="10" s="1"/>
  <c r="E2721" i="10"/>
  <c r="F2721" i="10" s="1"/>
  <c r="E2722" i="10"/>
  <c r="F2722" i="10" s="1"/>
  <c r="E2723" i="10"/>
  <c r="F2723" i="10" s="1"/>
  <c r="E2724" i="10"/>
  <c r="F2724" i="10" s="1"/>
  <c r="E2725" i="10"/>
  <c r="F2725" i="10" s="1"/>
  <c r="E2726" i="10"/>
  <c r="F2726" i="10" s="1"/>
  <c r="E2727" i="10"/>
  <c r="F2727" i="10" s="1"/>
  <c r="E2728" i="10"/>
  <c r="F2728" i="10" s="1"/>
  <c r="E2729" i="10"/>
  <c r="F2729" i="10" s="1"/>
  <c r="E2730" i="10"/>
  <c r="F2730" i="10" s="1"/>
  <c r="E2731" i="10"/>
  <c r="F2731" i="10" s="1"/>
  <c r="E2732" i="10"/>
  <c r="F2732" i="10" s="1"/>
  <c r="E2733" i="10"/>
  <c r="F2733" i="10" s="1"/>
  <c r="E2734" i="10"/>
  <c r="F2734" i="10" s="1"/>
  <c r="E2735" i="10"/>
  <c r="F2735" i="10" s="1"/>
  <c r="E2736" i="10"/>
  <c r="F2736" i="10" s="1"/>
  <c r="E2683" i="10"/>
  <c r="F2683" i="10" s="1"/>
  <c r="E2684" i="10"/>
  <c r="F2684" i="10" s="1"/>
  <c r="E2685" i="10"/>
  <c r="F2685" i="10" s="1"/>
  <c r="E2686" i="10"/>
  <c r="F2686" i="10" s="1"/>
  <c r="E2687" i="10"/>
  <c r="F2687" i="10" s="1"/>
  <c r="E2688" i="10"/>
  <c r="F2688" i="10" s="1"/>
  <c r="E2689" i="10"/>
  <c r="F2689" i="10" s="1"/>
  <c r="E2690" i="10"/>
  <c r="F2690" i="10" s="1"/>
  <c r="E2691" i="10"/>
  <c r="F2691" i="10" s="1"/>
  <c r="E2692" i="10"/>
  <c r="F2692" i="10" s="1"/>
  <c r="E2693" i="10"/>
  <c r="F2693" i="10" s="1"/>
  <c r="E2694" i="10"/>
  <c r="F2694" i="10" s="1"/>
  <c r="E2695" i="10"/>
  <c r="F2695" i="10" s="1"/>
  <c r="E2696" i="10"/>
  <c r="F2696" i="10" s="1"/>
  <c r="E2697" i="10"/>
  <c r="F2697" i="10" s="1"/>
  <c r="E2698" i="10"/>
  <c r="F2698" i="10" s="1"/>
  <c r="E2645" i="10"/>
  <c r="F2645" i="10" s="1"/>
  <c r="E2646" i="10"/>
  <c r="F2646" i="10" s="1"/>
  <c r="E2647" i="10"/>
  <c r="F2647" i="10" s="1"/>
  <c r="E2648" i="10"/>
  <c r="F2648" i="10" s="1"/>
  <c r="E2649" i="10"/>
  <c r="F2649" i="10" s="1"/>
  <c r="E2650" i="10"/>
  <c r="F2650" i="10" s="1"/>
  <c r="E2651" i="10"/>
  <c r="F2651" i="10" s="1"/>
  <c r="E2652" i="10"/>
  <c r="F2652" i="10" s="1"/>
  <c r="E2653" i="10"/>
  <c r="F2653" i="10" s="1"/>
  <c r="E2654" i="10"/>
  <c r="F2654" i="10" s="1"/>
  <c r="E2655" i="10"/>
  <c r="F2655" i="10" s="1"/>
  <c r="E2656" i="10"/>
  <c r="F2656" i="10" s="1"/>
  <c r="E2657" i="10"/>
  <c r="F2657" i="10" s="1"/>
  <c r="E2658" i="10"/>
  <c r="F2658" i="10" s="1"/>
  <c r="E2659" i="10"/>
  <c r="F2659" i="10" s="1"/>
  <c r="E2660" i="10"/>
  <c r="F2660" i="10" s="1"/>
  <c r="E2607" i="10"/>
  <c r="F2607" i="10" s="1"/>
  <c r="E2608" i="10"/>
  <c r="F2608" i="10" s="1"/>
  <c r="E2609" i="10"/>
  <c r="F2609" i="10" s="1"/>
  <c r="E2610" i="10"/>
  <c r="F2610" i="10" s="1"/>
  <c r="E2611" i="10"/>
  <c r="F2611" i="10" s="1"/>
  <c r="E2612" i="10"/>
  <c r="F2612" i="10" s="1"/>
  <c r="E2613" i="10"/>
  <c r="F2613" i="10" s="1"/>
  <c r="E2614" i="10"/>
  <c r="F2614" i="10" s="1"/>
  <c r="E2615" i="10"/>
  <c r="F2615" i="10" s="1"/>
  <c r="E2616" i="10"/>
  <c r="F2616" i="10" s="1"/>
  <c r="E2617" i="10"/>
  <c r="F2617" i="10" s="1"/>
  <c r="E2618" i="10"/>
  <c r="F2618" i="10" s="1"/>
  <c r="E2619" i="10"/>
  <c r="F2619" i="10" s="1"/>
  <c r="E2620" i="10"/>
  <c r="F2620" i="10" s="1"/>
  <c r="E2621" i="10"/>
  <c r="F2621" i="10" s="1"/>
  <c r="E2622" i="10"/>
  <c r="F2622" i="10" s="1"/>
  <c r="E2569" i="10"/>
  <c r="F2569" i="10" s="1"/>
  <c r="E2570" i="10"/>
  <c r="F2570" i="10" s="1"/>
  <c r="E2571" i="10"/>
  <c r="F2571" i="10" s="1"/>
  <c r="E2572" i="10"/>
  <c r="F2572" i="10" s="1"/>
  <c r="E2573" i="10"/>
  <c r="F2573" i="10" s="1"/>
  <c r="E2574" i="10"/>
  <c r="F2574" i="10" s="1"/>
  <c r="E2575" i="10"/>
  <c r="F2575" i="10" s="1"/>
  <c r="E2576" i="10"/>
  <c r="F2576" i="10" s="1"/>
  <c r="E2577" i="10"/>
  <c r="F2577" i="10" s="1"/>
  <c r="E2578" i="10"/>
  <c r="F2578" i="10" s="1"/>
  <c r="E2579" i="10"/>
  <c r="F2579" i="10" s="1"/>
  <c r="E2580" i="10"/>
  <c r="F2580" i="10" s="1"/>
  <c r="E2581" i="10"/>
  <c r="F2581" i="10" s="1"/>
  <c r="E2582" i="10"/>
  <c r="F2582" i="10" s="1"/>
  <c r="E2583" i="10"/>
  <c r="F2583" i="10" s="1"/>
  <c r="E2584" i="10"/>
  <c r="F2584" i="10" s="1"/>
  <c r="E2531" i="10"/>
  <c r="F2531" i="10" s="1"/>
  <c r="E2532" i="10"/>
  <c r="F2532" i="10" s="1"/>
  <c r="E2533" i="10"/>
  <c r="F2533" i="10" s="1"/>
  <c r="E2534" i="10"/>
  <c r="F2534" i="10" s="1"/>
  <c r="E2535" i="10"/>
  <c r="F2535" i="10" s="1"/>
  <c r="E2536" i="10"/>
  <c r="F2536" i="10" s="1"/>
  <c r="E2537" i="10"/>
  <c r="F2537" i="10" s="1"/>
  <c r="E2538" i="10"/>
  <c r="F2538" i="10" s="1"/>
  <c r="E2539" i="10"/>
  <c r="F2539" i="10" s="1"/>
  <c r="E2540" i="10"/>
  <c r="F2540" i="10" s="1"/>
  <c r="E2541" i="10"/>
  <c r="F2541" i="10" s="1"/>
  <c r="E2542" i="10"/>
  <c r="F2542" i="10" s="1"/>
  <c r="E2543" i="10"/>
  <c r="F2543" i="10" s="1"/>
  <c r="E2544" i="10"/>
  <c r="F2544" i="10" s="1"/>
  <c r="E2545" i="10"/>
  <c r="F2545" i="10" s="1"/>
  <c r="E2546" i="10"/>
  <c r="F2546" i="10" s="1"/>
  <c r="E2493" i="10"/>
  <c r="F2493" i="10" s="1"/>
  <c r="E2494" i="10"/>
  <c r="F2494" i="10" s="1"/>
  <c r="E2495" i="10"/>
  <c r="F2495" i="10" s="1"/>
  <c r="E2496" i="10"/>
  <c r="F2496" i="10" s="1"/>
  <c r="E2497" i="10"/>
  <c r="F2497" i="10" s="1"/>
  <c r="E2498" i="10"/>
  <c r="F2498" i="10" s="1"/>
  <c r="E2499" i="10"/>
  <c r="F2499" i="10" s="1"/>
  <c r="E2500" i="10"/>
  <c r="F2500" i="10" s="1"/>
  <c r="E2501" i="10"/>
  <c r="F2501" i="10" s="1"/>
  <c r="E2502" i="10"/>
  <c r="F2502" i="10" s="1"/>
  <c r="E2503" i="10"/>
  <c r="F2503" i="10" s="1"/>
  <c r="E2504" i="10"/>
  <c r="F2504" i="10" s="1"/>
  <c r="E2505" i="10"/>
  <c r="F2505" i="10" s="1"/>
  <c r="E2506" i="10"/>
  <c r="F2506" i="10" s="1"/>
  <c r="E2507" i="10"/>
  <c r="F2507" i="10" s="1"/>
  <c r="E2508" i="10"/>
  <c r="F2508" i="10" s="1"/>
  <c r="F2455" i="10"/>
  <c r="F2456" i="10"/>
  <c r="F2457" i="10"/>
  <c r="F2458" i="10"/>
  <c r="F2459" i="10"/>
  <c r="F2460" i="10"/>
  <c r="F2461" i="10"/>
  <c r="F2462" i="10"/>
  <c r="F2463" i="10"/>
  <c r="F2464" i="10"/>
  <c r="F2465" i="10"/>
  <c r="F2466" i="10"/>
  <c r="F2467" i="10"/>
  <c r="F2468" i="10"/>
  <c r="F2469" i="10"/>
  <c r="F2470" i="10"/>
  <c r="F2417" i="10"/>
  <c r="F2418" i="10"/>
  <c r="F2419" i="10"/>
  <c r="F2420" i="10"/>
  <c r="F2421" i="10"/>
  <c r="F2422" i="10"/>
  <c r="F2423" i="10"/>
  <c r="F2424" i="10"/>
  <c r="F2425" i="10"/>
  <c r="F2426" i="10"/>
  <c r="F2427" i="10"/>
  <c r="F2428" i="10"/>
  <c r="F2429" i="10"/>
  <c r="F2430" i="10"/>
  <c r="F2431" i="10"/>
  <c r="F2432" i="10"/>
  <c r="F2379" i="10"/>
  <c r="F2380" i="10"/>
  <c r="F2381" i="10"/>
  <c r="F2382" i="10"/>
  <c r="F2383" i="10"/>
  <c r="F2384" i="10"/>
  <c r="F2385" i="10"/>
  <c r="F2386" i="10"/>
  <c r="F2387" i="10"/>
  <c r="F2388" i="10"/>
  <c r="F2389" i="10"/>
  <c r="F2390" i="10"/>
  <c r="F2391" i="10"/>
  <c r="F2392" i="10"/>
  <c r="F2393" i="10"/>
  <c r="F2394" i="10"/>
  <c r="E2341" i="10"/>
  <c r="F2341" i="10" s="1"/>
  <c r="E2342" i="10"/>
  <c r="F2342" i="10" s="1"/>
  <c r="E2343" i="10"/>
  <c r="F2343" i="10" s="1"/>
  <c r="E2344" i="10"/>
  <c r="F2344" i="10" s="1"/>
  <c r="E2345" i="10"/>
  <c r="F2345" i="10" s="1"/>
  <c r="E2346" i="10"/>
  <c r="F2346" i="10" s="1"/>
  <c r="E2347" i="10"/>
  <c r="F2347" i="10" s="1"/>
  <c r="E2348" i="10"/>
  <c r="F2348" i="10" s="1"/>
  <c r="E2349" i="10"/>
  <c r="F2349" i="10" s="1"/>
  <c r="E2350" i="10"/>
  <c r="F2350" i="10" s="1"/>
  <c r="E2351" i="10"/>
  <c r="F2351" i="10" s="1"/>
  <c r="E2352" i="10"/>
  <c r="F2352" i="10" s="1"/>
  <c r="E2353" i="10"/>
  <c r="F2353" i="10" s="1"/>
  <c r="E2354" i="10"/>
  <c r="F2354" i="10" s="1"/>
  <c r="E2355" i="10"/>
  <c r="F2355" i="10" s="1"/>
  <c r="E2356" i="10"/>
  <c r="F2356" i="10" s="1"/>
  <c r="E2303" i="10"/>
  <c r="F2303" i="10" s="1"/>
  <c r="E2304" i="10"/>
  <c r="F2304" i="10" s="1"/>
  <c r="E2305" i="10"/>
  <c r="F2305" i="10" s="1"/>
  <c r="E2306" i="10"/>
  <c r="F2306" i="10" s="1"/>
  <c r="E2307" i="10"/>
  <c r="F2307" i="10" s="1"/>
  <c r="E2308" i="10"/>
  <c r="F2308" i="10" s="1"/>
  <c r="E2309" i="10"/>
  <c r="F2309" i="10" s="1"/>
  <c r="E2310" i="10"/>
  <c r="F2310" i="10" s="1"/>
  <c r="E2311" i="10"/>
  <c r="F2311" i="10" s="1"/>
  <c r="E2312" i="10"/>
  <c r="F2312" i="10" s="1"/>
  <c r="E2313" i="10"/>
  <c r="F2313" i="10" s="1"/>
  <c r="E2314" i="10"/>
  <c r="F2314" i="10" s="1"/>
  <c r="E2315" i="10"/>
  <c r="F2315" i="10" s="1"/>
  <c r="E2316" i="10"/>
  <c r="F2316" i="10" s="1"/>
  <c r="E2317" i="10"/>
  <c r="F2317" i="10" s="1"/>
  <c r="E2318" i="10"/>
  <c r="F2318" i="10" s="1"/>
  <c r="E2265" i="10"/>
  <c r="F2265" i="10" s="1"/>
  <c r="E2266" i="10"/>
  <c r="F2266" i="10" s="1"/>
  <c r="E2267" i="10"/>
  <c r="F2267" i="10" s="1"/>
  <c r="E2268" i="10"/>
  <c r="F2268" i="10" s="1"/>
  <c r="E2269" i="10"/>
  <c r="F2269" i="10" s="1"/>
  <c r="E2270" i="10"/>
  <c r="F2270" i="10" s="1"/>
  <c r="E2271" i="10"/>
  <c r="F2271" i="10" s="1"/>
  <c r="E2272" i="10"/>
  <c r="F2272" i="10" s="1"/>
  <c r="E2273" i="10"/>
  <c r="F2273" i="10" s="1"/>
  <c r="E2274" i="10"/>
  <c r="F2274" i="10" s="1"/>
  <c r="E2275" i="10"/>
  <c r="F2275" i="10" s="1"/>
  <c r="E2276" i="10"/>
  <c r="F2276" i="10" s="1"/>
  <c r="E2277" i="10"/>
  <c r="F2277" i="10" s="1"/>
  <c r="E2278" i="10"/>
  <c r="F2278" i="10" s="1"/>
  <c r="E2279" i="10"/>
  <c r="F2279" i="10" s="1"/>
  <c r="E2280" i="10"/>
  <c r="F2280" i="10" s="1"/>
  <c r="E2227" i="10"/>
  <c r="F2227" i="10" s="1"/>
  <c r="E2228" i="10"/>
  <c r="F2228" i="10" s="1"/>
  <c r="E2229" i="10"/>
  <c r="F2229" i="10" s="1"/>
  <c r="E2230" i="10"/>
  <c r="F2230" i="10" s="1"/>
  <c r="E2231" i="10"/>
  <c r="F2231" i="10" s="1"/>
  <c r="E2232" i="10"/>
  <c r="F2232" i="10" s="1"/>
  <c r="E2233" i="10"/>
  <c r="F2233" i="10" s="1"/>
  <c r="E2234" i="10"/>
  <c r="F2234" i="10" s="1"/>
  <c r="E2235" i="10"/>
  <c r="F2235" i="10" s="1"/>
  <c r="E2236" i="10"/>
  <c r="F2236" i="10" s="1"/>
  <c r="E2237" i="10"/>
  <c r="F2237" i="10" s="1"/>
  <c r="E2238" i="10"/>
  <c r="F2238" i="10" s="1"/>
  <c r="E2239" i="10"/>
  <c r="F2239" i="10" s="1"/>
  <c r="E2240" i="10"/>
  <c r="F2240" i="10" s="1"/>
  <c r="E2241" i="10"/>
  <c r="F2241" i="10" s="1"/>
  <c r="E2242" i="10"/>
  <c r="F2242" i="10" s="1"/>
  <c r="E2189" i="10"/>
  <c r="F2189" i="10" s="1"/>
  <c r="E2190" i="10"/>
  <c r="F2190" i="10" s="1"/>
  <c r="E2191" i="10"/>
  <c r="F2191" i="10" s="1"/>
  <c r="E2192" i="10"/>
  <c r="F2192" i="10" s="1"/>
  <c r="E2193" i="10"/>
  <c r="F2193" i="10" s="1"/>
  <c r="E2194" i="10"/>
  <c r="F2194" i="10" s="1"/>
  <c r="E2195" i="10"/>
  <c r="F2195" i="10" s="1"/>
  <c r="E2196" i="10"/>
  <c r="F2196" i="10" s="1"/>
  <c r="E2197" i="10"/>
  <c r="F2197" i="10" s="1"/>
  <c r="E2198" i="10"/>
  <c r="F2198" i="10" s="1"/>
  <c r="E2199" i="10"/>
  <c r="F2199" i="10" s="1"/>
  <c r="E2200" i="10"/>
  <c r="F2200" i="10" s="1"/>
  <c r="E2201" i="10"/>
  <c r="F2201" i="10" s="1"/>
  <c r="E2202" i="10"/>
  <c r="F2202" i="10" s="1"/>
  <c r="E2203" i="10"/>
  <c r="F2203" i="10" s="1"/>
  <c r="E2204" i="10"/>
  <c r="F2204" i="10" s="1"/>
  <c r="E2151" i="10"/>
  <c r="F2151" i="10" s="1"/>
  <c r="E2152" i="10"/>
  <c r="F2152" i="10" s="1"/>
  <c r="E2153" i="10"/>
  <c r="F2153" i="10" s="1"/>
  <c r="E2154" i="10"/>
  <c r="F2154" i="10" s="1"/>
  <c r="E2155" i="10"/>
  <c r="F2155" i="10" s="1"/>
  <c r="E2156" i="10"/>
  <c r="F2156" i="10" s="1"/>
  <c r="E2157" i="10"/>
  <c r="F2157" i="10" s="1"/>
  <c r="E2158" i="10"/>
  <c r="F2158" i="10" s="1"/>
  <c r="E2159" i="10"/>
  <c r="F2159" i="10" s="1"/>
  <c r="E2160" i="10"/>
  <c r="F2160" i="10" s="1"/>
  <c r="E2161" i="10"/>
  <c r="F2161" i="10" s="1"/>
  <c r="E2162" i="10"/>
  <c r="F2162" i="10" s="1"/>
  <c r="E2163" i="10"/>
  <c r="F2163" i="10" s="1"/>
  <c r="E2164" i="10"/>
  <c r="F2164" i="10" s="1"/>
  <c r="E2165" i="10"/>
  <c r="F2165" i="10" s="1"/>
  <c r="E2166" i="10"/>
  <c r="F2166" i="10" s="1"/>
  <c r="E2113" i="10"/>
  <c r="F2113" i="10" s="1"/>
  <c r="E2114" i="10"/>
  <c r="F2114" i="10" s="1"/>
  <c r="E2115" i="10"/>
  <c r="F2115" i="10" s="1"/>
  <c r="E2116" i="10"/>
  <c r="F2116" i="10" s="1"/>
  <c r="E2117" i="10"/>
  <c r="F2117" i="10" s="1"/>
  <c r="E2118" i="10"/>
  <c r="F2118" i="10" s="1"/>
  <c r="E2119" i="10"/>
  <c r="F2119" i="10" s="1"/>
  <c r="E2120" i="10"/>
  <c r="F2120" i="10" s="1"/>
  <c r="E2121" i="10"/>
  <c r="F2121" i="10" s="1"/>
  <c r="E2122" i="10"/>
  <c r="F2122" i="10" s="1"/>
  <c r="E2123" i="10"/>
  <c r="F2123" i="10" s="1"/>
  <c r="E2124" i="10"/>
  <c r="F2124" i="10" s="1"/>
  <c r="E2125" i="10"/>
  <c r="F2125" i="10" s="1"/>
  <c r="E2126" i="10"/>
  <c r="F2126" i="10" s="1"/>
  <c r="E2127" i="10"/>
  <c r="F2127" i="10" s="1"/>
  <c r="E2128" i="10"/>
  <c r="F2128" i="10" s="1"/>
  <c r="E2075" i="10"/>
  <c r="F2075" i="10" s="1"/>
  <c r="E2076" i="10"/>
  <c r="F2076" i="10" s="1"/>
  <c r="E2077" i="10"/>
  <c r="F2077" i="10" s="1"/>
  <c r="E2078" i="10"/>
  <c r="F2078" i="10" s="1"/>
  <c r="E2079" i="10"/>
  <c r="F2079" i="10" s="1"/>
  <c r="E2080" i="10"/>
  <c r="F2080" i="10" s="1"/>
  <c r="E2081" i="10"/>
  <c r="F2081" i="10" s="1"/>
  <c r="E2082" i="10"/>
  <c r="F2082" i="10" s="1"/>
  <c r="E2083" i="10"/>
  <c r="F2083" i="10" s="1"/>
  <c r="E2084" i="10"/>
  <c r="F2084" i="10" s="1"/>
  <c r="E2085" i="10"/>
  <c r="F2085" i="10" s="1"/>
  <c r="E2086" i="10"/>
  <c r="F2086" i="10" s="1"/>
  <c r="E2087" i="10"/>
  <c r="F2087" i="10" s="1"/>
  <c r="E2088" i="10"/>
  <c r="F2088" i="10" s="1"/>
  <c r="E2089" i="10"/>
  <c r="F2089" i="10" s="1"/>
  <c r="E2090" i="10"/>
  <c r="F2090" i="10" s="1"/>
  <c r="E2037" i="10"/>
  <c r="F2037" i="10" s="1"/>
  <c r="E2038" i="10"/>
  <c r="F2038" i="10" s="1"/>
  <c r="E2039" i="10"/>
  <c r="F2039" i="10" s="1"/>
  <c r="E2040" i="10"/>
  <c r="F2040" i="10" s="1"/>
  <c r="E2041" i="10"/>
  <c r="F2041" i="10" s="1"/>
  <c r="E2042" i="10"/>
  <c r="F2042" i="10" s="1"/>
  <c r="E2043" i="10"/>
  <c r="F2043" i="10" s="1"/>
  <c r="E2044" i="10"/>
  <c r="F2044" i="10" s="1"/>
  <c r="E2045" i="10"/>
  <c r="F2045" i="10" s="1"/>
  <c r="E2046" i="10"/>
  <c r="F2046" i="10" s="1"/>
  <c r="E2047" i="10"/>
  <c r="F2047" i="10" s="1"/>
  <c r="E2048" i="10"/>
  <c r="F2048" i="10" s="1"/>
  <c r="E2049" i="10"/>
  <c r="F2049" i="10" s="1"/>
  <c r="E2050" i="10"/>
  <c r="F2050" i="10" s="1"/>
  <c r="E2051" i="10"/>
  <c r="F2051" i="10" s="1"/>
  <c r="E2052" i="10"/>
  <c r="F2052" i="10" s="1"/>
  <c r="E1999" i="10"/>
  <c r="F1999" i="10" s="1"/>
  <c r="E2000" i="10"/>
  <c r="F2000" i="10" s="1"/>
  <c r="E2001" i="10"/>
  <c r="F2001" i="10" s="1"/>
  <c r="E2002" i="10"/>
  <c r="F2002" i="10" s="1"/>
  <c r="E2003" i="10"/>
  <c r="F2003" i="10" s="1"/>
  <c r="E2004" i="10"/>
  <c r="F2004" i="10" s="1"/>
  <c r="E2005" i="10"/>
  <c r="F2005" i="10" s="1"/>
  <c r="E2006" i="10"/>
  <c r="F2006" i="10" s="1"/>
  <c r="E2007" i="10"/>
  <c r="F2007" i="10" s="1"/>
  <c r="E2008" i="10"/>
  <c r="F2008" i="10" s="1"/>
  <c r="E2009" i="10"/>
  <c r="F2009" i="10" s="1"/>
  <c r="E2010" i="10"/>
  <c r="F2010" i="10" s="1"/>
  <c r="E2011" i="10"/>
  <c r="F2011" i="10" s="1"/>
  <c r="E2012" i="10"/>
  <c r="F2012" i="10" s="1"/>
  <c r="E2013" i="10"/>
  <c r="F2013" i="10" s="1"/>
  <c r="E2014" i="10"/>
  <c r="F2014" i="10" s="1"/>
  <c r="E1961" i="10"/>
  <c r="F1961" i="10" s="1"/>
  <c r="E1962" i="10"/>
  <c r="F1962" i="10" s="1"/>
  <c r="E1963" i="10"/>
  <c r="F1963" i="10" s="1"/>
  <c r="E1964" i="10"/>
  <c r="F1964" i="10" s="1"/>
  <c r="E1965" i="10"/>
  <c r="F1965" i="10" s="1"/>
  <c r="E1966" i="10"/>
  <c r="F1966" i="10" s="1"/>
  <c r="E1967" i="10"/>
  <c r="F1967" i="10" s="1"/>
  <c r="E1968" i="10"/>
  <c r="F1968" i="10" s="1"/>
  <c r="E1969" i="10"/>
  <c r="F1969" i="10" s="1"/>
  <c r="E1970" i="10"/>
  <c r="F1970" i="10" s="1"/>
  <c r="E1971" i="10"/>
  <c r="F1971" i="10" s="1"/>
  <c r="E1972" i="10"/>
  <c r="F1972" i="10" s="1"/>
  <c r="E1973" i="10"/>
  <c r="F1973" i="10" s="1"/>
  <c r="E1974" i="10"/>
  <c r="F1974" i="10" s="1"/>
  <c r="E1975" i="10"/>
  <c r="F1975" i="10" s="1"/>
  <c r="E1976" i="10"/>
  <c r="F1976" i="10" s="1"/>
  <c r="E1923" i="10"/>
  <c r="F1923" i="10" s="1"/>
  <c r="E1924" i="10"/>
  <c r="F1924" i="10" s="1"/>
  <c r="E1925" i="10"/>
  <c r="F1925" i="10" s="1"/>
  <c r="E1926" i="10"/>
  <c r="F1926" i="10" s="1"/>
  <c r="E1927" i="10"/>
  <c r="F1927" i="10" s="1"/>
  <c r="E1928" i="10"/>
  <c r="F1928" i="10" s="1"/>
  <c r="E1929" i="10"/>
  <c r="F1929" i="10" s="1"/>
  <c r="E1930" i="10"/>
  <c r="F1930" i="10" s="1"/>
  <c r="E1931" i="10"/>
  <c r="F1931" i="10" s="1"/>
  <c r="E1932" i="10"/>
  <c r="F1932" i="10" s="1"/>
  <c r="E1933" i="10"/>
  <c r="F1933" i="10" s="1"/>
  <c r="E1934" i="10"/>
  <c r="F1934" i="10" s="1"/>
  <c r="E1935" i="10"/>
  <c r="F1935" i="10" s="1"/>
  <c r="E1936" i="10"/>
  <c r="F1936" i="10" s="1"/>
  <c r="E1937" i="10"/>
  <c r="F1937" i="10" s="1"/>
  <c r="E1938" i="10"/>
  <c r="F1938" i="10" s="1"/>
  <c r="E1885" i="10"/>
  <c r="F1885" i="10" s="1"/>
  <c r="E1886" i="10"/>
  <c r="F1886" i="10" s="1"/>
  <c r="E1887" i="10"/>
  <c r="F1887" i="10" s="1"/>
  <c r="E1888" i="10"/>
  <c r="F1888" i="10" s="1"/>
  <c r="E1889" i="10"/>
  <c r="F1889" i="10" s="1"/>
  <c r="E1890" i="10"/>
  <c r="F1890" i="10" s="1"/>
  <c r="E1891" i="10"/>
  <c r="F1891" i="10" s="1"/>
  <c r="E1892" i="10"/>
  <c r="F1892" i="10" s="1"/>
  <c r="E1893" i="10"/>
  <c r="F1893" i="10" s="1"/>
  <c r="E1894" i="10"/>
  <c r="F1894" i="10" s="1"/>
  <c r="E1895" i="10"/>
  <c r="F1895" i="10" s="1"/>
  <c r="E1896" i="10"/>
  <c r="F1896" i="10" s="1"/>
  <c r="E1897" i="10"/>
  <c r="F1897" i="10" s="1"/>
  <c r="E1898" i="10"/>
  <c r="F1898" i="10" s="1"/>
  <c r="E1899" i="10"/>
  <c r="F1899" i="10" s="1"/>
  <c r="E1900" i="10"/>
  <c r="F1900" i="10" s="1"/>
  <c r="E1847" i="10"/>
  <c r="F1847" i="10" s="1"/>
  <c r="E1848" i="10"/>
  <c r="F1848" i="10" s="1"/>
  <c r="E1849" i="10"/>
  <c r="F1849" i="10" s="1"/>
  <c r="E1850" i="10"/>
  <c r="F1850" i="10" s="1"/>
  <c r="E1851" i="10"/>
  <c r="F1851" i="10" s="1"/>
  <c r="E1852" i="10"/>
  <c r="F1852" i="10" s="1"/>
  <c r="E1853" i="10"/>
  <c r="F1853" i="10" s="1"/>
  <c r="E1854" i="10"/>
  <c r="F1854" i="10" s="1"/>
  <c r="E1855" i="10"/>
  <c r="F1855" i="10" s="1"/>
  <c r="E1856" i="10"/>
  <c r="F1856" i="10" s="1"/>
  <c r="E1857" i="10"/>
  <c r="F1857" i="10" s="1"/>
  <c r="E1858" i="10"/>
  <c r="F1858" i="10" s="1"/>
  <c r="E1859" i="10"/>
  <c r="F1859" i="10" s="1"/>
  <c r="E1860" i="10"/>
  <c r="F1860" i="10" s="1"/>
  <c r="E1861" i="10"/>
  <c r="F1861" i="10" s="1"/>
  <c r="E1862" i="10"/>
  <c r="F1862" i="10" s="1"/>
  <c r="E1809" i="10"/>
  <c r="F1809" i="10" s="1"/>
  <c r="E1810" i="10"/>
  <c r="F1810" i="10" s="1"/>
  <c r="E1811" i="10"/>
  <c r="F1811" i="10" s="1"/>
  <c r="E1812" i="10"/>
  <c r="F1812" i="10" s="1"/>
  <c r="E1813" i="10"/>
  <c r="F1813" i="10" s="1"/>
  <c r="E1814" i="10"/>
  <c r="F1814" i="10" s="1"/>
  <c r="E1815" i="10"/>
  <c r="F1815" i="10" s="1"/>
  <c r="E1816" i="10"/>
  <c r="F1816" i="10" s="1"/>
  <c r="E1817" i="10"/>
  <c r="F1817" i="10" s="1"/>
  <c r="E1818" i="10"/>
  <c r="F1818" i="10" s="1"/>
  <c r="E1819" i="10"/>
  <c r="F1819" i="10" s="1"/>
  <c r="E1820" i="10"/>
  <c r="F1820" i="10" s="1"/>
  <c r="E1821" i="10"/>
  <c r="F1821" i="10" s="1"/>
  <c r="E1822" i="10"/>
  <c r="F1822" i="10" s="1"/>
  <c r="E1823" i="10"/>
  <c r="F1823" i="10" s="1"/>
  <c r="E1824" i="10"/>
  <c r="F1824" i="10" s="1"/>
  <c r="E1771" i="10"/>
  <c r="F1771" i="10" s="1"/>
  <c r="E1772" i="10"/>
  <c r="F1772" i="10" s="1"/>
  <c r="E1773" i="10"/>
  <c r="F1773" i="10" s="1"/>
  <c r="E1774" i="10"/>
  <c r="F1774" i="10" s="1"/>
  <c r="E1775" i="10"/>
  <c r="F1775" i="10" s="1"/>
  <c r="E1776" i="10"/>
  <c r="F1776" i="10" s="1"/>
  <c r="E1777" i="10"/>
  <c r="F1777" i="10" s="1"/>
  <c r="E1778" i="10"/>
  <c r="F1778" i="10" s="1"/>
  <c r="E1779" i="10"/>
  <c r="F1779" i="10" s="1"/>
  <c r="E1780" i="10"/>
  <c r="F1780" i="10" s="1"/>
  <c r="E1781" i="10"/>
  <c r="F1781" i="10" s="1"/>
  <c r="E1782" i="10"/>
  <c r="F1782" i="10" s="1"/>
  <c r="E1783" i="10"/>
  <c r="F1783" i="10" s="1"/>
  <c r="E1784" i="10"/>
  <c r="F1784" i="10" s="1"/>
  <c r="E1785" i="10"/>
  <c r="F1785" i="10" s="1"/>
  <c r="E1786" i="10"/>
  <c r="F1786" i="10" s="1"/>
  <c r="E1733" i="10"/>
  <c r="F1733" i="10" s="1"/>
  <c r="E1734" i="10"/>
  <c r="F1734" i="10" s="1"/>
  <c r="E1735" i="10"/>
  <c r="F1735" i="10" s="1"/>
  <c r="E1736" i="10"/>
  <c r="F1736" i="10" s="1"/>
  <c r="E1737" i="10"/>
  <c r="F1737" i="10" s="1"/>
  <c r="E1738" i="10"/>
  <c r="F1738" i="10" s="1"/>
  <c r="E1739" i="10"/>
  <c r="F1739" i="10" s="1"/>
  <c r="E1740" i="10"/>
  <c r="F1740" i="10" s="1"/>
  <c r="E1741" i="10"/>
  <c r="F1741" i="10" s="1"/>
  <c r="E1742" i="10"/>
  <c r="F1742" i="10" s="1"/>
  <c r="E1743" i="10"/>
  <c r="F1743" i="10" s="1"/>
  <c r="E1744" i="10"/>
  <c r="F1744" i="10" s="1"/>
  <c r="E1745" i="10"/>
  <c r="F1745" i="10" s="1"/>
  <c r="E1746" i="10"/>
  <c r="F1746" i="10" s="1"/>
  <c r="E1747" i="10"/>
  <c r="F1747" i="10" s="1"/>
  <c r="E1748" i="10"/>
  <c r="F1748" i="10" s="1"/>
  <c r="E1695" i="10"/>
  <c r="F1695" i="10" s="1"/>
  <c r="E1696" i="10"/>
  <c r="F1696" i="10" s="1"/>
  <c r="E1697" i="10"/>
  <c r="F1697" i="10" s="1"/>
  <c r="E1698" i="10"/>
  <c r="F1698" i="10" s="1"/>
  <c r="E1699" i="10"/>
  <c r="F1699" i="10" s="1"/>
  <c r="E1700" i="10"/>
  <c r="F1700" i="10" s="1"/>
  <c r="E1701" i="10"/>
  <c r="F1701" i="10" s="1"/>
  <c r="E1702" i="10"/>
  <c r="F1702" i="10" s="1"/>
  <c r="E1703" i="10"/>
  <c r="F1703" i="10" s="1"/>
  <c r="E1704" i="10"/>
  <c r="F1704" i="10" s="1"/>
  <c r="E1705" i="10"/>
  <c r="F1705" i="10" s="1"/>
  <c r="E1706" i="10"/>
  <c r="F1706" i="10" s="1"/>
  <c r="E1707" i="10"/>
  <c r="F1707" i="10" s="1"/>
  <c r="E1708" i="10"/>
  <c r="F1708" i="10" s="1"/>
  <c r="E1709" i="10"/>
  <c r="F1709" i="10" s="1"/>
  <c r="E1710" i="10"/>
  <c r="F1710" i="10" s="1"/>
  <c r="E1657" i="10"/>
  <c r="F1657" i="10" s="1"/>
  <c r="E1658" i="10"/>
  <c r="F1658" i="10" s="1"/>
  <c r="E1659" i="10"/>
  <c r="F1659" i="10" s="1"/>
  <c r="E1660" i="10"/>
  <c r="F1660" i="10" s="1"/>
  <c r="E1661" i="10"/>
  <c r="F1661" i="10" s="1"/>
  <c r="E1662" i="10"/>
  <c r="F1662" i="10" s="1"/>
  <c r="E1663" i="10"/>
  <c r="F1663" i="10" s="1"/>
  <c r="E1664" i="10"/>
  <c r="F1664" i="10" s="1"/>
  <c r="E1665" i="10"/>
  <c r="F1665" i="10" s="1"/>
  <c r="E1666" i="10"/>
  <c r="F1666" i="10" s="1"/>
  <c r="E1667" i="10"/>
  <c r="F1667" i="10" s="1"/>
  <c r="E1668" i="10"/>
  <c r="F1668" i="10" s="1"/>
  <c r="E1669" i="10"/>
  <c r="F1669" i="10" s="1"/>
  <c r="E1670" i="10"/>
  <c r="F1670" i="10" s="1"/>
  <c r="E1671" i="10"/>
  <c r="F1671" i="10" s="1"/>
  <c r="E1672" i="10"/>
  <c r="F1672" i="10" s="1"/>
  <c r="E1619" i="10"/>
  <c r="F1619" i="10" s="1"/>
  <c r="E1620" i="10"/>
  <c r="F1620" i="10" s="1"/>
  <c r="E1621" i="10"/>
  <c r="F1621" i="10" s="1"/>
  <c r="E1622" i="10"/>
  <c r="F1622" i="10" s="1"/>
  <c r="E1623" i="10"/>
  <c r="F1623" i="10" s="1"/>
  <c r="E1624" i="10"/>
  <c r="F1624" i="10" s="1"/>
  <c r="E1625" i="10"/>
  <c r="F1625" i="10" s="1"/>
  <c r="E1626" i="10"/>
  <c r="F1626" i="10" s="1"/>
  <c r="E1627" i="10"/>
  <c r="F1627" i="10" s="1"/>
  <c r="E1628" i="10"/>
  <c r="F1628" i="10" s="1"/>
  <c r="E1629" i="10"/>
  <c r="F1629" i="10" s="1"/>
  <c r="E1630" i="10"/>
  <c r="F1630" i="10" s="1"/>
  <c r="E1631" i="10"/>
  <c r="F1631" i="10" s="1"/>
  <c r="E1632" i="10"/>
  <c r="F1632" i="10" s="1"/>
  <c r="E1633" i="10"/>
  <c r="F1633" i="10" s="1"/>
  <c r="E1634" i="10"/>
  <c r="F1634" i="10" s="1"/>
  <c r="E1581" i="10"/>
  <c r="F1581" i="10" s="1"/>
  <c r="E1582" i="10"/>
  <c r="F1582" i="10" s="1"/>
  <c r="E1583" i="10"/>
  <c r="F1583" i="10" s="1"/>
  <c r="E1584" i="10"/>
  <c r="F1584" i="10" s="1"/>
  <c r="E1585" i="10"/>
  <c r="F1585" i="10" s="1"/>
  <c r="E1586" i="10"/>
  <c r="F1586" i="10" s="1"/>
  <c r="E1587" i="10"/>
  <c r="F1587" i="10" s="1"/>
  <c r="E1588" i="10"/>
  <c r="F1588" i="10" s="1"/>
  <c r="E1589" i="10"/>
  <c r="F1589" i="10" s="1"/>
  <c r="E1590" i="10"/>
  <c r="F1590" i="10" s="1"/>
  <c r="E1591" i="10"/>
  <c r="F1591" i="10" s="1"/>
  <c r="E1592" i="10"/>
  <c r="F1592" i="10" s="1"/>
  <c r="E1593" i="10"/>
  <c r="F1593" i="10" s="1"/>
  <c r="E1594" i="10"/>
  <c r="F1594" i="10" s="1"/>
  <c r="E1595" i="10"/>
  <c r="F1595" i="10" s="1"/>
  <c r="E1596" i="10"/>
  <c r="F1596" i="10" s="1"/>
  <c r="E1543" i="10"/>
  <c r="F1543" i="10" s="1"/>
  <c r="E1544" i="10"/>
  <c r="F1544" i="10" s="1"/>
  <c r="E1545" i="10"/>
  <c r="F1545" i="10" s="1"/>
  <c r="E1546" i="10"/>
  <c r="F1546" i="10" s="1"/>
  <c r="E1547" i="10"/>
  <c r="F1547" i="10" s="1"/>
  <c r="E1548" i="10"/>
  <c r="F1548" i="10" s="1"/>
  <c r="E1549" i="10"/>
  <c r="F1549" i="10" s="1"/>
  <c r="E1550" i="10"/>
  <c r="F1550" i="10" s="1"/>
  <c r="E1551" i="10"/>
  <c r="F1551" i="10" s="1"/>
  <c r="E1552" i="10"/>
  <c r="F1552" i="10" s="1"/>
  <c r="E1553" i="10"/>
  <c r="F1553" i="10" s="1"/>
  <c r="E1554" i="10"/>
  <c r="F1554" i="10" s="1"/>
  <c r="E1555" i="10"/>
  <c r="F1555" i="10" s="1"/>
  <c r="E1556" i="10"/>
  <c r="F1556" i="10" s="1"/>
  <c r="E1557" i="10"/>
  <c r="F1557" i="10" s="1"/>
  <c r="E1558" i="10"/>
  <c r="F1558" i="10" s="1"/>
  <c r="E1505" i="10"/>
  <c r="F1505" i="10" s="1"/>
  <c r="E1506" i="10"/>
  <c r="F1506" i="10" s="1"/>
  <c r="E1507" i="10"/>
  <c r="F1507" i="10" s="1"/>
  <c r="E1508" i="10"/>
  <c r="F1508" i="10" s="1"/>
  <c r="E1509" i="10"/>
  <c r="F1509" i="10" s="1"/>
  <c r="E1510" i="10"/>
  <c r="F1510" i="10" s="1"/>
  <c r="E1511" i="10"/>
  <c r="F1511" i="10" s="1"/>
  <c r="E1512" i="10"/>
  <c r="F1512" i="10" s="1"/>
  <c r="E1513" i="10"/>
  <c r="F1513" i="10" s="1"/>
  <c r="E1514" i="10"/>
  <c r="F1514" i="10" s="1"/>
  <c r="E1515" i="10"/>
  <c r="F1515" i="10" s="1"/>
  <c r="E1516" i="10"/>
  <c r="F1516" i="10" s="1"/>
  <c r="E1517" i="10"/>
  <c r="F1517" i="10" s="1"/>
  <c r="E1518" i="10"/>
  <c r="F1518" i="10" s="1"/>
  <c r="E1519" i="10"/>
  <c r="F1519" i="10" s="1"/>
  <c r="E1520" i="10"/>
  <c r="F1520" i="10" s="1"/>
  <c r="E1467" i="10"/>
  <c r="F1467" i="10" s="1"/>
  <c r="E1468" i="10"/>
  <c r="F1468" i="10" s="1"/>
  <c r="E1469" i="10"/>
  <c r="F1469" i="10" s="1"/>
  <c r="E1470" i="10"/>
  <c r="F1470" i="10" s="1"/>
  <c r="E1471" i="10"/>
  <c r="F1471" i="10" s="1"/>
  <c r="E1472" i="10"/>
  <c r="F1472" i="10" s="1"/>
  <c r="E1473" i="10"/>
  <c r="F1473" i="10" s="1"/>
  <c r="E1474" i="10"/>
  <c r="F1474" i="10" s="1"/>
  <c r="E1475" i="10"/>
  <c r="F1475" i="10" s="1"/>
  <c r="E1476" i="10"/>
  <c r="F1476" i="10" s="1"/>
  <c r="E1477" i="10"/>
  <c r="F1477" i="10" s="1"/>
  <c r="E1478" i="10"/>
  <c r="F1478" i="10" s="1"/>
  <c r="E1479" i="10"/>
  <c r="F1479" i="10" s="1"/>
  <c r="E1480" i="10"/>
  <c r="F1480" i="10" s="1"/>
  <c r="E1481" i="10"/>
  <c r="F1481" i="10" s="1"/>
  <c r="E1482" i="10"/>
  <c r="F1482" i="10" s="1"/>
  <c r="E1429" i="10"/>
  <c r="F1429" i="10" s="1"/>
  <c r="E1430" i="10"/>
  <c r="F1430" i="10" s="1"/>
  <c r="E1431" i="10"/>
  <c r="F1431" i="10" s="1"/>
  <c r="E1432" i="10"/>
  <c r="F1432" i="10" s="1"/>
  <c r="E1433" i="10"/>
  <c r="F1433" i="10" s="1"/>
  <c r="E1434" i="10"/>
  <c r="F1434" i="10" s="1"/>
  <c r="E1435" i="10"/>
  <c r="F1435" i="10" s="1"/>
  <c r="E1436" i="10"/>
  <c r="F1436" i="10" s="1"/>
  <c r="E1437" i="10"/>
  <c r="F1437" i="10" s="1"/>
  <c r="E1438" i="10"/>
  <c r="F1438" i="10" s="1"/>
  <c r="E1439" i="10"/>
  <c r="F1439" i="10" s="1"/>
  <c r="E1440" i="10"/>
  <c r="F1440" i="10" s="1"/>
  <c r="E1441" i="10"/>
  <c r="F1441" i="10" s="1"/>
  <c r="E1442" i="10"/>
  <c r="F1442" i="10" s="1"/>
  <c r="E1443" i="10"/>
  <c r="F1443" i="10" s="1"/>
  <c r="E1444" i="10"/>
  <c r="F1444" i="10" s="1"/>
  <c r="E1391" i="10"/>
  <c r="F1391" i="10" s="1"/>
  <c r="E1392" i="10"/>
  <c r="F1392" i="10" s="1"/>
  <c r="E1393" i="10"/>
  <c r="F1393" i="10" s="1"/>
  <c r="E1394" i="10"/>
  <c r="F1394" i="10" s="1"/>
  <c r="E1395" i="10"/>
  <c r="F1395" i="10" s="1"/>
  <c r="E1396" i="10"/>
  <c r="F1396" i="10" s="1"/>
  <c r="E1397" i="10"/>
  <c r="F1397" i="10" s="1"/>
  <c r="E1398" i="10"/>
  <c r="F1398" i="10" s="1"/>
  <c r="E1399" i="10"/>
  <c r="F1399" i="10" s="1"/>
  <c r="E1400" i="10"/>
  <c r="F1400" i="10" s="1"/>
  <c r="E1401" i="10"/>
  <c r="F1401" i="10" s="1"/>
  <c r="E1402" i="10"/>
  <c r="F1402" i="10" s="1"/>
  <c r="E1403" i="10"/>
  <c r="F1403" i="10" s="1"/>
  <c r="E1404" i="10"/>
  <c r="F1404" i="10" s="1"/>
  <c r="E1405" i="10"/>
  <c r="F1405" i="10" s="1"/>
  <c r="E1406" i="10"/>
  <c r="F1406" i="10" s="1"/>
  <c r="E1353" i="10"/>
  <c r="F1353" i="10" s="1"/>
  <c r="E1354" i="10"/>
  <c r="F1354" i="10" s="1"/>
  <c r="E1355" i="10"/>
  <c r="F1355" i="10" s="1"/>
  <c r="E1356" i="10"/>
  <c r="F1356" i="10" s="1"/>
  <c r="E1357" i="10"/>
  <c r="F1357" i="10" s="1"/>
  <c r="E1358" i="10"/>
  <c r="F1358" i="10" s="1"/>
  <c r="E1359" i="10"/>
  <c r="F1359" i="10" s="1"/>
  <c r="E1360" i="10"/>
  <c r="F1360" i="10" s="1"/>
  <c r="E1361" i="10"/>
  <c r="F1361" i="10" s="1"/>
  <c r="E1362" i="10"/>
  <c r="F1362" i="10" s="1"/>
  <c r="E1363" i="10"/>
  <c r="F1363" i="10" s="1"/>
  <c r="E1364" i="10"/>
  <c r="F1364" i="10" s="1"/>
  <c r="E1365" i="10"/>
  <c r="F1365" i="10" s="1"/>
  <c r="E1366" i="10"/>
  <c r="F1366" i="10" s="1"/>
  <c r="E1367" i="10"/>
  <c r="F1367" i="10" s="1"/>
  <c r="E1368" i="10"/>
  <c r="F1368" i="10" s="1"/>
  <c r="E1315" i="10"/>
  <c r="F1315" i="10" s="1"/>
  <c r="E1316" i="10"/>
  <c r="F1316" i="10" s="1"/>
  <c r="E1317" i="10"/>
  <c r="F1317" i="10" s="1"/>
  <c r="E1318" i="10"/>
  <c r="F1318" i="10" s="1"/>
  <c r="E1319" i="10"/>
  <c r="F1319" i="10" s="1"/>
  <c r="E1320" i="10"/>
  <c r="F1320" i="10" s="1"/>
  <c r="E1321" i="10"/>
  <c r="F1321" i="10" s="1"/>
  <c r="E1322" i="10"/>
  <c r="F1322" i="10" s="1"/>
  <c r="E1323" i="10"/>
  <c r="F1323" i="10" s="1"/>
  <c r="E1324" i="10"/>
  <c r="F1324" i="10" s="1"/>
  <c r="E1325" i="10"/>
  <c r="F1325" i="10" s="1"/>
  <c r="E1326" i="10"/>
  <c r="F1326" i="10" s="1"/>
  <c r="E1327" i="10"/>
  <c r="F1327" i="10" s="1"/>
  <c r="E1328" i="10"/>
  <c r="F1328" i="10" s="1"/>
  <c r="E1329" i="10"/>
  <c r="F1329" i="10" s="1"/>
  <c r="E1330" i="10"/>
  <c r="F1330" i="10" s="1"/>
  <c r="E1277" i="10"/>
  <c r="F1277" i="10" s="1"/>
  <c r="E1278" i="10"/>
  <c r="F1278" i="10" s="1"/>
  <c r="E1279" i="10"/>
  <c r="F1279" i="10" s="1"/>
  <c r="E1280" i="10"/>
  <c r="F1280" i="10" s="1"/>
  <c r="E1281" i="10"/>
  <c r="F1281" i="10" s="1"/>
  <c r="E1282" i="10"/>
  <c r="F1282" i="10" s="1"/>
  <c r="E1283" i="10"/>
  <c r="F1283" i="10" s="1"/>
  <c r="E1284" i="10"/>
  <c r="F1284" i="10" s="1"/>
  <c r="E1285" i="10"/>
  <c r="F1285" i="10" s="1"/>
  <c r="E1286" i="10"/>
  <c r="F1286" i="10" s="1"/>
  <c r="E1287" i="10"/>
  <c r="F1287" i="10" s="1"/>
  <c r="E1288" i="10"/>
  <c r="F1288" i="10" s="1"/>
  <c r="E1289" i="10"/>
  <c r="F1289" i="10" s="1"/>
  <c r="E1290" i="10"/>
  <c r="F1290" i="10" s="1"/>
  <c r="E1291" i="10"/>
  <c r="F1291" i="10" s="1"/>
  <c r="E1292" i="10"/>
  <c r="F1292" i="10" s="1"/>
  <c r="E1239" i="10"/>
  <c r="F1239" i="10" s="1"/>
  <c r="E1240" i="10"/>
  <c r="F1240" i="10" s="1"/>
  <c r="E1241" i="10"/>
  <c r="F1241" i="10" s="1"/>
  <c r="E1242" i="10"/>
  <c r="F1242" i="10" s="1"/>
  <c r="E1243" i="10"/>
  <c r="F1243" i="10" s="1"/>
  <c r="E1244" i="10"/>
  <c r="F1244" i="10" s="1"/>
  <c r="E1245" i="10"/>
  <c r="F1245" i="10" s="1"/>
  <c r="E1246" i="10"/>
  <c r="F1246" i="10" s="1"/>
  <c r="E1247" i="10"/>
  <c r="F1247" i="10" s="1"/>
  <c r="E1248" i="10"/>
  <c r="F1248" i="10" s="1"/>
  <c r="E1249" i="10"/>
  <c r="F1249" i="10" s="1"/>
  <c r="E1250" i="10"/>
  <c r="F1250" i="10" s="1"/>
  <c r="E1251" i="10"/>
  <c r="F1251" i="10" s="1"/>
  <c r="E1252" i="10"/>
  <c r="F1252" i="10" s="1"/>
  <c r="E1253" i="10"/>
  <c r="F1253" i="10" s="1"/>
  <c r="E1254" i="10"/>
  <c r="F1254" i="10" s="1"/>
  <c r="E1201" i="10"/>
  <c r="F1201" i="10" s="1"/>
  <c r="E1202" i="10"/>
  <c r="F1202" i="10" s="1"/>
  <c r="E1203" i="10"/>
  <c r="F1203" i="10" s="1"/>
  <c r="E1204" i="10"/>
  <c r="F1204" i="10" s="1"/>
  <c r="E1205" i="10"/>
  <c r="F1205" i="10" s="1"/>
  <c r="E1206" i="10"/>
  <c r="F1206" i="10" s="1"/>
  <c r="E1207" i="10"/>
  <c r="F1207" i="10" s="1"/>
  <c r="E1208" i="10"/>
  <c r="F1208" i="10" s="1"/>
  <c r="E1209" i="10"/>
  <c r="F1209" i="10" s="1"/>
  <c r="E1210" i="10"/>
  <c r="F1210" i="10" s="1"/>
  <c r="E1211" i="10"/>
  <c r="F1211" i="10" s="1"/>
  <c r="E1212" i="10"/>
  <c r="F1212" i="10" s="1"/>
  <c r="E1213" i="10"/>
  <c r="F1213" i="10" s="1"/>
  <c r="E1214" i="10"/>
  <c r="F1214" i="10" s="1"/>
  <c r="E1215" i="10"/>
  <c r="F1215" i="10" s="1"/>
  <c r="E1216" i="10"/>
  <c r="F1216" i="10" s="1"/>
  <c r="E1163" i="10"/>
  <c r="F1163" i="10" s="1"/>
  <c r="E1164" i="10"/>
  <c r="F1164" i="10" s="1"/>
  <c r="E1165" i="10"/>
  <c r="F1165" i="10" s="1"/>
  <c r="E1166" i="10"/>
  <c r="F1166" i="10" s="1"/>
  <c r="E1167" i="10"/>
  <c r="F1167" i="10" s="1"/>
  <c r="E1168" i="10"/>
  <c r="F1168" i="10" s="1"/>
  <c r="E1169" i="10"/>
  <c r="F1169" i="10" s="1"/>
  <c r="E1170" i="10"/>
  <c r="F1170" i="10" s="1"/>
  <c r="E1171" i="10"/>
  <c r="F1171" i="10" s="1"/>
  <c r="E1172" i="10"/>
  <c r="F1172" i="10" s="1"/>
  <c r="E1173" i="10"/>
  <c r="F1173" i="10" s="1"/>
  <c r="E1174" i="10"/>
  <c r="F1174" i="10" s="1"/>
  <c r="E1175" i="10"/>
  <c r="F1175" i="10" s="1"/>
  <c r="E1176" i="10"/>
  <c r="F1176" i="10" s="1"/>
  <c r="E1177" i="10"/>
  <c r="F1177" i="10" s="1"/>
  <c r="E1178" i="10"/>
  <c r="F1178" i="10" s="1"/>
  <c r="E1125" i="10"/>
  <c r="F1125" i="10" s="1"/>
  <c r="E1126" i="10"/>
  <c r="F1126" i="10" s="1"/>
  <c r="E1127" i="10"/>
  <c r="F1127" i="10" s="1"/>
  <c r="E1128" i="10"/>
  <c r="F1128" i="10" s="1"/>
  <c r="E1129" i="10"/>
  <c r="F1129" i="10" s="1"/>
  <c r="E1130" i="10"/>
  <c r="F1130" i="10" s="1"/>
  <c r="E1131" i="10"/>
  <c r="F1131" i="10" s="1"/>
  <c r="E1132" i="10"/>
  <c r="F1132" i="10" s="1"/>
  <c r="E1133" i="10"/>
  <c r="F1133" i="10" s="1"/>
  <c r="E1134" i="10"/>
  <c r="F1134" i="10" s="1"/>
  <c r="E1135" i="10"/>
  <c r="F1135" i="10" s="1"/>
  <c r="E1136" i="10"/>
  <c r="F1136" i="10" s="1"/>
  <c r="E1137" i="10"/>
  <c r="F1137" i="10" s="1"/>
  <c r="E1138" i="10"/>
  <c r="F1138" i="10" s="1"/>
  <c r="E1139" i="10"/>
  <c r="F1139" i="10" s="1"/>
  <c r="E1140" i="10"/>
  <c r="F1140" i="10" s="1"/>
  <c r="E1087" i="10"/>
  <c r="F1087" i="10" s="1"/>
  <c r="E1088" i="10"/>
  <c r="F1088" i="10" s="1"/>
  <c r="E1089" i="10"/>
  <c r="F1089" i="10" s="1"/>
  <c r="E1090" i="10"/>
  <c r="F1090" i="10" s="1"/>
  <c r="E1091" i="10"/>
  <c r="F1091" i="10" s="1"/>
  <c r="E1092" i="10"/>
  <c r="F1092" i="10" s="1"/>
  <c r="E1093" i="10"/>
  <c r="F1093" i="10" s="1"/>
  <c r="E1094" i="10"/>
  <c r="F1094" i="10" s="1"/>
  <c r="E1095" i="10"/>
  <c r="F1095" i="10" s="1"/>
  <c r="E1096" i="10"/>
  <c r="F1096" i="10" s="1"/>
  <c r="E1097" i="10"/>
  <c r="F1097" i="10" s="1"/>
  <c r="E1098" i="10"/>
  <c r="F1098" i="10" s="1"/>
  <c r="E1099" i="10"/>
  <c r="F1099" i="10" s="1"/>
  <c r="E1100" i="10"/>
  <c r="F1100" i="10" s="1"/>
  <c r="E1101" i="10"/>
  <c r="F1101" i="10" s="1"/>
  <c r="E1102" i="10"/>
  <c r="F1102" i="10" s="1"/>
  <c r="E1049" i="10"/>
  <c r="F1049" i="10" s="1"/>
  <c r="E1050" i="10"/>
  <c r="F1050" i="10" s="1"/>
  <c r="E1051" i="10"/>
  <c r="F1051" i="10" s="1"/>
  <c r="E1052" i="10"/>
  <c r="F1052" i="10" s="1"/>
  <c r="E1053" i="10"/>
  <c r="F1053" i="10" s="1"/>
  <c r="E1054" i="10"/>
  <c r="F1054" i="10" s="1"/>
  <c r="E1055" i="10"/>
  <c r="F1055" i="10" s="1"/>
  <c r="E1056" i="10"/>
  <c r="F1056" i="10" s="1"/>
  <c r="E1057" i="10"/>
  <c r="F1057" i="10" s="1"/>
  <c r="E1058" i="10"/>
  <c r="F1058" i="10" s="1"/>
  <c r="E1059" i="10"/>
  <c r="F1059" i="10" s="1"/>
  <c r="E1060" i="10"/>
  <c r="F1060" i="10" s="1"/>
  <c r="E1061" i="10"/>
  <c r="F1061" i="10" s="1"/>
  <c r="E1062" i="10"/>
  <c r="F1062" i="10" s="1"/>
  <c r="E1063" i="10"/>
  <c r="F1063" i="10" s="1"/>
  <c r="E1064" i="10"/>
  <c r="F1064" i="10" s="1"/>
  <c r="E1011" i="10"/>
  <c r="F1011" i="10" s="1"/>
  <c r="E1012" i="10"/>
  <c r="F1012" i="10" s="1"/>
  <c r="E1013" i="10"/>
  <c r="F1013" i="10" s="1"/>
  <c r="E1014" i="10"/>
  <c r="F1014" i="10" s="1"/>
  <c r="E1015" i="10"/>
  <c r="F1015" i="10" s="1"/>
  <c r="E1016" i="10"/>
  <c r="F1016" i="10" s="1"/>
  <c r="E1017" i="10"/>
  <c r="F1017" i="10" s="1"/>
  <c r="E1018" i="10"/>
  <c r="F1018" i="10" s="1"/>
  <c r="E1019" i="10"/>
  <c r="F1019" i="10" s="1"/>
  <c r="E1020" i="10"/>
  <c r="F1020" i="10" s="1"/>
  <c r="E1021" i="10"/>
  <c r="F1021" i="10" s="1"/>
  <c r="E1022" i="10"/>
  <c r="F1022" i="10" s="1"/>
  <c r="E1023" i="10"/>
  <c r="F1023" i="10" s="1"/>
  <c r="E1024" i="10"/>
  <c r="F1024" i="10" s="1"/>
  <c r="E1025" i="10"/>
  <c r="F1025" i="10" s="1"/>
  <c r="E1026" i="10"/>
  <c r="F1026" i="10" s="1"/>
  <c r="E973" i="10"/>
  <c r="F973" i="10" s="1"/>
  <c r="E974" i="10"/>
  <c r="F974" i="10" s="1"/>
  <c r="E975" i="10"/>
  <c r="F975" i="10" s="1"/>
  <c r="E976" i="10"/>
  <c r="F976" i="10" s="1"/>
  <c r="E977" i="10"/>
  <c r="F977" i="10" s="1"/>
  <c r="E978" i="10"/>
  <c r="F978" i="10" s="1"/>
  <c r="E979" i="10"/>
  <c r="F979" i="10" s="1"/>
  <c r="E980" i="10"/>
  <c r="F980" i="10" s="1"/>
  <c r="E981" i="10"/>
  <c r="F981" i="10" s="1"/>
  <c r="E982" i="10"/>
  <c r="F982" i="10" s="1"/>
  <c r="E983" i="10"/>
  <c r="F983" i="10" s="1"/>
  <c r="E984" i="10"/>
  <c r="F984" i="10" s="1"/>
  <c r="E985" i="10"/>
  <c r="F985" i="10" s="1"/>
  <c r="E986" i="10"/>
  <c r="F986" i="10" s="1"/>
  <c r="E987" i="10"/>
  <c r="F987" i="10" s="1"/>
  <c r="E988" i="10"/>
  <c r="F988" i="10" s="1"/>
  <c r="E935" i="10"/>
  <c r="F935" i="10" s="1"/>
  <c r="E936" i="10"/>
  <c r="F936" i="10" s="1"/>
  <c r="E937" i="10"/>
  <c r="F937" i="10" s="1"/>
  <c r="E938" i="10"/>
  <c r="F938" i="10" s="1"/>
  <c r="E939" i="10"/>
  <c r="F939" i="10" s="1"/>
  <c r="E940" i="10"/>
  <c r="F940" i="10" s="1"/>
  <c r="E941" i="10"/>
  <c r="F941" i="10" s="1"/>
  <c r="E942" i="10"/>
  <c r="F942" i="10" s="1"/>
  <c r="E943" i="10"/>
  <c r="F943" i="10" s="1"/>
  <c r="E944" i="10"/>
  <c r="F944" i="10" s="1"/>
  <c r="E945" i="10"/>
  <c r="F945" i="10" s="1"/>
  <c r="E946" i="10"/>
  <c r="F946" i="10" s="1"/>
  <c r="E947" i="10"/>
  <c r="F947" i="10" s="1"/>
  <c r="E948" i="10"/>
  <c r="F948" i="10" s="1"/>
  <c r="E949" i="10"/>
  <c r="F949" i="10" s="1"/>
  <c r="E950" i="10"/>
  <c r="F950" i="10" s="1"/>
  <c r="E897" i="10"/>
  <c r="F897" i="10" s="1"/>
  <c r="E898" i="10"/>
  <c r="F898" i="10" s="1"/>
  <c r="E899" i="10"/>
  <c r="F899" i="10" s="1"/>
  <c r="E900" i="10"/>
  <c r="F900" i="10" s="1"/>
  <c r="E901" i="10"/>
  <c r="F901" i="10" s="1"/>
  <c r="E902" i="10"/>
  <c r="F902" i="10" s="1"/>
  <c r="E903" i="10"/>
  <c r="F903" i="10" s="1"/>
  <c r="E904" i="10"/>
  <c r="F904" i="10" s="1"/>
  <c r="E905" i="10"/>
  <c r="F905" i="10" s="1"/>
  <c r="E906" i="10"/>
  <c r="F906" i="10" s="1"/>
  <c r="E907" i="10"/>
  <c r="F907" i="10" s="1"/>
  <c r="E908" i="10"/>
  <c r="F908" i="10" s="1"/>
  <c r="E909" i="10"/>
  <c r="F909" i="10" s="1"/>
  <c r="E910" i="10"/>
  <c r="F910" i="10" s="1"/>
  <c r="E911" i="10"/>
  <c r="F911" i="10" s="1"/>
  <c r="E912" i="10"/>
  <c r="F912" i="10" s="1"/>
  <c r="E859" i="10"/>
  <c r="F859" i="10" s="1"/>
  <c r="E860" i="10"/>
  <c r="F860" i="10" s="1"/>
  <c r="E861" i="10"/>
  <c r="F861" i="10" s="1"/>
  <c r="E862" i="10"/>
  <c r="F862" i="10" s="1"/>
  <c r="E863" i="10"/>
  <c r="F863" i="10" s="1"/>
  <c r="E864" i="10"/>
  <c r="F864" i="10" s="1"/>
  <c r="E865" i="10"/>
  <c r="F865" i="10" s="1"/>
  <c r="E866" i="10"/>
  <c r="F866" i="10" s="1"/>
  <c r="E867" i="10"/>
  <c r="F867" i="10" s="1"/>
  <c r="E868" i="10"/>
  <c r="F868" i="10" s="1"/>
  <c r="E869" i="10"/>
  <c r="F869" i="10" s="1"/>
  <c r="E870" i="10"/>
  <c r="F870" i="10" s="1"/>
  <c r="E871" i="10"/>
  <c r="F871" i="10" s="1"/>
  <c r="E872" i="10"/>
  <c r="F872" i="10" s="1"/>
  <c r="E873" i="10"/>
  <c r="F873" i="10" s="1"/>
  <c r="E874" i="10"/>
  <c r="F874" i="10" s="1"/>
  <c r="E821" i="10"/>
  <c r="F821" i="10" s="1"/>
  <c r="E822" i="10"/>
  <c r="F822" i="10" s="1"/>
  <c r="E823" i="10"/>
  <c r="F823" i="10" s="1"/>
  <c r="E824" i="10"/>
  <c r="F824" i="10" s="1"/>
  <c r="E825" i="10"/>
  <c r="F825" i="10" s="1"/>
  <c r="E826" i="10"/>
  <c r="F826" i="10" s="1"/>
  <c r="E827" i="10"/>
  <c r="F827" i="10" s="1"/>
  <c r="E828" i="10"/>
  <c r="F828" i="10" s="1"/>
  <c r="E829" i="10"/>
  <c r="F829" i="10" s="1"/>
  <c r="E830" i="10"/>
  <c r="F830" i="10" s="1"/>
  <c r="E831" i="10"/>
  <c r="F831" i="10" s="1"/>
  <c r="E832" i="10"/>
  <c r="F832" i="10" s="1"/>
  <c r="E833" i="10"/>
  <c r="F833" i="10" s="1"/>
  <c r="E834" i="10"/>
  <c r="F834" i="10" s="1"/>
  <c r="E835" i="10"/>
  <c r="F835" i="10" s="1"/>
  <c r="E836" i="10"/>
  <c r="F836" i="10" s="1"/>
  <c r="E783" i="10"/>
  <c r="F783" i="10" s="1"/>
  <c r="E784" i="10"/>
  <c r="F784" i="10" s="1"/>
  <c r="E785" i="10"/>
  <c r="F785" i="10" s="1"/>
  <c r="E786" i="10"/>
  <c r="F786" i="10" s="1"/>
  <c r="E787" i="10"/>
  <c r="F787" i="10" s="1"/>
  <c r="E788" i="10"/>
  <c r="F788" i="10" s="1"/>
  <c r="E789" i="10"/>
  <c r="F789" i="10" s="1"/>
  <c r="E790" i="10"/>
  <c r="F790" i="10" s="1"/>
  <c r="E791" i="10"/>
  <c r="F791" i="10" s="1"/>
  <c r="E792" i="10"/>
  <c r="F792" i="10" s="1"/>
  <c r="E793" i="10"/>
  <c r="F793" i="10" s="1"/>
  <c r="E794" i="10"/>
  <c r="F794" i="10" s="1"/>
  <c r="E795" i="10"/>
  <c r="F795" i="10" s="1"/>
  <c r="E796" i="10"/>
  <c r="F796" i="10" s="1"/>
  <c r="E797" i="10"/>
  <c r="F797" i="10" s="1"/>
  <c r="E798" i="10"/>
  <c r="F798" i="10" s="1"/>
  <c r="E745" i="10"/>
  <c r="F745" i="10" s="1"/>
  <c r="E746" i="10"/>
  <c r="F746" i="10" s="1"/>
  <c r="E747" i="10"/>
  <c r="F747" i="10" s="1"/>
  <c r="E748" i="10"/>
  <c r="F748" i="10" s="1"/>
  <c r="E749" i="10"/>
  <c r="F749" i="10" s="1"/>
  <c r="E750" i="10"/>
  <c r="F750" i="10" s="1"/>
  <c r="E751" i="10"/>
  <c r="F751" i="10" s="1"/>
  <c r="E752" i="10"/>
  <c r="F752" i="10" s="1"/>
  <c r="E753" i="10"/>
  <c r="F753" i="10" s="1"/>
  <c r="E754" i="10"/>
  <c r="F754" i="10" s="1"/>
  <c r="E755" i="10"/>
  <c r="F755" i="10" s="1"/>
  <c r="E756" i="10"/>
  <c r="F756" i="10" s="1"/>
  <c r="E757" i="10"/>
  <c r="F757" i="10" s="1"/>
  <c r="E758" i="10"/>
  <c r="F758" i="10" s="1"/>
  <c r="E759" i="10"/>
  <c r="F759" i="10" s="1"/>
  <c r="E760" i="10"/>
  <c r="F760" i="10" s="1"/>
  <c r="E707" i="10"/>
  <c r="F707" i="10" s="1"/>
  <c r="E708" i="10"/>
  <c r="F708" i="10" s="1"/>
  <c r="E709" i="10"/>
  <c r="F709" i="10" s="1"/>
  <c r="E710" i="10"/>
  <c r="F710" i="10" s="1"/>
  <c r="E711" i="10"/>
  <c r="F711" i="10" s="1"/>
  <c r="E712" i="10"/>
  <c r="F712" i="10" s="1"/>
  <c r="E713" i="10"/>
  <c r="F713" i="10" s="1"/>
  <c r="E714" i="10"/>
  <c r="F714" i="10" s="1"/>
  <c r="E715" i="10"/>
  <c r="F715" i="10" s="1"/>
  <c r="E716" i="10"/>
  <c r="F716" i="10" s="1"/>
  <c r="E717" i="10"/>
  <c r="F717" i="10" s="1"/>
  <c r="E718" i="10"/>
  <c r="F718" i="10" s="1"/>
  <c r="E719" i="10"/>
  <c r="F719" i="10" s="1"/>
  <c r="E720" i="10"/>
  <c r="F720" i="10" s="1"/>
  <c r="E721" i="10"/>
  <c r="F721" i="10" s="1"/>
  <c r="E722" i="10"/>
  <c r="F722" i="10" s="1"/>
  <c r="E669" i="10"/>
  <c r="F669" i="10" s="1"/>
  <c r="E670" i="10"/>
  <c r="F670" i="10" s="1"/>
  <c r="E671" i="10"/>
  <c r="F671" i="10" s="1"/>
  <c r="E672" i="10"/>
  <c r="F672" i="10" s="1"/>
  <c r="E673" i="10"/>
  <c r="F673" i="10" s="1"/>
  <c r="E674" i="10"/>
  <c r="F674" i="10" s="1"/>
  <c r="E675" i="10"/>
  <c r="F675" i="10" s="1"/>
  <c r="E676" i="10"/>
  <c r="F676" i="10" s="1"/>
  <c r="E677" i="10"/>
  <c r="F677" i="10" s="1"/>
  <c r="E678" i="10"/>
  <c r="F678" i="10" s="1"/>
  <c r="E679" i="10"/>
  <c r="F679" i="10" s="1"/>
  <c r="E680" i="10"/>
  <c r="F680" i="10" s="1"/>
  <c r="E681" i="10"/>
  <c r="F681" i="10" s="1"/>
  <c r="E682" i="10"/>
  <c r="F682" i="10" s="1"/>
  <c r="E683" i="10"/>
  <c r="F683" i="10" s="1"/>
  <c r="E684" i="10"/>
  <c r="F684" i="10" s="1"/>
  <c r="E631" i="10"/>
  <c r="F631" i="10" s="1"/>
  <c r="E632" i="10"/>
  <c r="F632" i="10" s="1"/>
  <c r="E633" i="10"/>
  <c r="F633" i="10" s="1"/>
  <c r="E634" i="10"/>
  <c r="F634" i="10" s="1"/>
  <c r="E635" i="10"/>
  <c r="F635" i="10" s="1"/>
  <c r="E636" i="10"/>
  <c r="F636" i="10" s="1"/>
  <c r="E637" i="10"/>
  <c r="F637" i="10" s="1"/>
  <c r="E638" i="10"/>
  <c r="F638" i="10" s="1"/>
  <c r="E639" i="10"/>
  <c r="F639" i="10" s="1"/>
  <c r="E640" i="10"/>
  <c r="F640" i="10" s="1"/>
  <c r="E641" i="10"/>
  <c r="F641" i="10" s="1"/>
  <c r="E642" i="10"/>
  <c r="F642" i="10" s="1"/>
  <c r="E643" i="10"/>
  <c r="F643" i="10" s="1"/>
  <c r="E644" i="10"/>
  <c r="F644" i="10" s="1"/>
  <c r="E645" i="10"/>
  <c r="F645" i="10" s="1"/>
  <c r="E646" i="10"/>
  <c r="F646" i="10" s="1"/>
  <c r="E593" i="10"/>
  <c r="F593" i="10" s="1"/>
  <c r="E594" i="10"/>
  <c r="F594" i="10" s="1"/>
  <c r="E595" i="10"/>
  <c r="F595" i="10" s="1"/>
  <c r="E596" i="10"/>
  <c r="F596" i="10" s="1"/>
  <c r="E597" i="10"/>
  <c r="F597" i="10" s="1"/>
  <c r="E598" i="10"/>
  <c r="F598" i="10" s="1"/>
  <c r="E599" i="10"/>
  <c r="F599" i="10" s="1"/>
  <c r="E600" i="10"/>
  <c r="F600" i="10" s="1"/>
  <c r="E601" i="10"/>
  <c r="F601" i="10" s="1"/>
  <c r="E602" i="10"/>
  <c r="F602" i="10" s="1"/>
  <c r="E603" i="10"/>
  <c r="F603" i="10" s="1"/>
  <c r="E604" i="10"/>
  <c r="F604" i="10" s="1"/>
  <c r="E605" i="10"/>
  <c r="F605" i="10" s="1"/>
  <c r="E606" i="10"/>
  <c r="F606" i="10" s="1"/>
  <c r="E607" i="10"/>
  <c r="F607" i="10" s="1"/>
  <c r="E608" i="10"/>
  <c r="F608" i="10" s="1"/>
  <c r="E555" i="10"/>
  <c r="F555" i="10" s="1"/>
  <c r="E556" i="10"/>
  <c r="F556" i="10" s="1"/>
  <c r="E557" i="10"/>
  <c r="F557" i="10" s="1"/>
  <c r="E558" i="10"/>
  <c r="F558" i="10" s="1"/>
  <c r="E559" i="10"/>
  <c r="F559" i="10" s="1"/>
  <c r="E560" i="10"/>
  <c r="F560" i="10" s="1"/>
  <c r="E561" i="10"/>
  <c r="F561" i="10" s="1"/>
  <c r="E562" i="10"/>
  <c r="F562" i="10" s="1"/>
  <c r="E563" i="10"/>
  <c r="F563" i="10" s="1"/>
  <c r="E564" i="10"/>
  <c r="F564" i="10" s="1"/>
  <c r="E565" i="10"/>
  <c r="F565" i="10" s="1"/>
  <c r="E566" i="10"/>
  <c r="F566" i="10" s="1"/>
  <c r="E567" i="10"/>
  <c r="F567" i="10" s="1"/>
  <c r="E568" i="10"/>
  <c r="F568" i="10" s="1"/>
  <c r="E569" i="10"/>
  <c r="F569" i="10" s="1"/>
  <c r="E570" i="10"/>
  <c r="F570" i="10" s="1"/>
  <c r="E517" i="10"/>
  <c r="F517" i="10" s="1"/>
  <c r="E518" i="10"/>
  <c r="F518" i="10" s="1"/>
  <c r="E519" i="10"/>
  <c r="F519" i="10" s="1"/>
  <c r="E520" i="10"/>
  <c r="F520" i="10" s="1"/>
  <c r="E521" i="10"/>
  <c r="F521" i="10" s="1"/>
  <c r="E522" i="10"/>
  <c r="F522" i="10" s="1"/>
  <c r="E523" i="10"/>
  <c r="F523" i="10" s="1"/>
  <c r="E524" i="10"/>
  <c r="F524" i="10" s="1"/>
  <c r="E525" i="10"/>
  <c r="F525" i="10" s="1"/>
  <c r="E526" i="10"/>
  <c r="F526" i="10" s="1"/>
  <c r="E527" i="10"/>
  <c r="F527" i="10" s="1"/>
  <c r="E528" i="10"/>
  <c r="F528" i="10" s="1"/>
  <c r="E529" i="10"/>
  <c r="F529" i="10" s="1"/>
  <c r="E530" i="10"/>
  <c r="F530" i="10" s="1"/>
  <c r="E531" i="10"/>
  <c r="F531" i="10" s="1"/>
  <c r="E532" i="10"/>
  <c r="F532" i="10" s="1"/>
  <c r="E479" i="10"/>
  <c r="F479" i="10" s="1"/>
  <c r="E480" i="10"/>
  <c r="F480" i="10" s="1"/>
  <c r="E481" i="10"/>
  <c r="F481" i="10" s="1"/>
  <c r="E482" i="10"/>
  <c r="F482" i="10" s="1"/>
  <c r="E483" i="10"/>
  <c r="F483" i="10" s="1"/>
  <c r="E484" i="10"/>
  <c r="F484" i="10" s="1"/>
  <c r="E485" i="10"/>
  <c r="F485" i="10" s="1"/>
  <c r="E486" i="10"/>
  <c r="F486" i="10" s="1"/>
  <c r="E487" i="10"/>
  <c r="F487" i="10" s="1"/>
  <c r="E488" i="10"/>
  <c r="F488" i="10" s="1"/>
  <c r="E489" i="10"/>
  <c r="F489" i="10" s="1"/>
  <c r="E490" i="10"/>
  <c r="F490" i="10" s="1"/>
  <c r="E491" i="10"/>
  <c r="F491" i="10" s="1"/>
  <c r="E492" i="10"/>
  <c r="F492" i="10" s="1"/>
  <c r="E493" i="10"/>
  <c r="F493" i="10" s="1"/>
  <c r="E494" i="10"/>
  <c r="F494" i="10" s="1"/>
  <c r="E441" i="10"/>
  <c r="F441" i="10" s="1"/>
  <c r="E442" i="10"/>
  <c r="F442" i="10" s="1"/>
  <c r="E443" i="10"/>
  <c r="F443" i="10" s="1"/>
  <c r="E444" i="10"/>
  <c r="F444" i="10" s="1"/>
  <c r="E445" i="10"/>
  <c r="F445" i="10" s="1"/>
  <c r="E446" i="10"/>
  <c r="F446" i="10" s="1"/>
  <c r="E447" i="10"/>
  <c r="F447" i="10" s="1"/>
  <c r="E448" i="10"/>
  <c r="F448" i="10" s="1"/>
  <c r="E449" i="10"/>
  <c r="F449" i="10" s="1"/>
  <c r="E450" i="10"/>
  <c r="F450" i="10" s="1"/>
  <c r="E451" i="10"/>
  <c r="F451" i="10" s="1"/>
  <c r="E452" i="10"/>
  <c r="F452" i="10" s="1"/>
  <c r="E453" i="10"/>
  <c r="F453" i="10" s="1"/>
  <c r="E454" i="10"/>
  <c r="F454" i="10" s="1"/>
  <c r="E455" i="10"/>
  <c r="F455" i="10" s="1"/>
  <c r="E456" i="10"/>
  <c r="F456" i="10" s="1"/>
  <c r="E403" i="10"/>
  <c r="F403" i="10" s="1"/>
  <c r="E404" i="10"/>
  <c r="F404" i="10" s="1"/>
  <c r="E405" i="10"/>
  <c r="F405" i="10" s="1"/>
  <c r="E406" i="10"/>
  <c r="F406" i="10" s="1"/>
  <c r="E407" i="10"/>
  <c r="F407" i="10" s="1"/>
  <c r="E408" i="10"/>
  <c r="F408" i="10" s="1"/>
  <c r="E409" i="10"/>
  <c r="F409" i="10" s="1"/>
  <c r="E410" i="10"/>
  <c r="F410" i="10" s="1"/>
  <c r="E411" i="10"/>
  <c r="F411" i="10" s="1"/>
  <c r="E412" i="10"/>
  <c r="F412" i="10" s="1"/>
  <c r="E413" i="10"/>
  <c r="F413" i="10" s="1"/>
  <c r="E414" i="10"/>
  <c r="F414" i="10" s="1"/>
  <c r="E415" i="10"/>
  <c r="F415" i="10" s="1"/>
  <c r="E416" i="10"/>
  <c r="F416" i="10" s="1"/>
  <c r="E417" i="10"/>
  <c r="F417" i="10" s="1"/>
  <c r="E418" i="10"/>
  <c r="F418" i="10" s="1"/>
  <c r="E365" i="10"/>
  <c r="F365" i="10" s="1"/>
  <c r="E366" i="10"/>
  <c r="F366" i="10" s="1"/>
  <c r="E367" i="10"/>
  <c r="F367" i="10" s="1"/>
  <c r="E368" i="10"/>
  <c r="F368" i="10" s="1"/>
  <c r="E369" i="10"/>
  <c r="F369" i="10" s="1"/>
  <c r="E370" i="10"/>
  <c r="F370" i="10" s="1"/>
  <c r="E371" i="10"/>
  <c r="F371" i="10" s="1"/>
  <c r="E372" i="10"/>
  <c r="F372" i="10" s="1"/>
  <c r="E373" i="10"/>
  <c r="F373" i="10" s="1"/>
  <c r="E374" i="10"/>
  <c r="F374" i="10" s="1"/>
  <c r="E375" i="10"/>
  <c r="F375" i="10" s="1"/>
  <c r="E376" i="10"/>
  <c r="F376" i="10" s="1"/>
  <c r="E377" i="10"/>
  <c r="F377" i="10" s="1"/>
  <c r="E378" i="10"/>
  <c r="F378" i="10" s="1"/>
  <c r="E379" i="10"/>
  <c r="F379" i="10" s="1"/>
  <c r="E380" i="10"/>
  <c r="F380" i="10" s="1"/>
  <c r="E327" i="10"/>
  <c r="F327" i="10" s="1"/>
  <c r="E328" i="10"/>
  <c r="F328" i="10" s="1"/>
  <c r="E329" i="10"/>
  <c r="F329" i="10" s="1"/>
  <c r="E330" i="10"/>
  <c r="F330" i="10" s="1"/>
  <c r="E331" i="10"/>
  <c r="F331" i="10" s="1"/>
  <c r="E332" i="10"/>
  <c r="F332" i="10" s="1"/>
  <c r="E333" i="10"/>
  <c r="F333" i="10" s="1"/>
  <c r="E334" i="10"/>
  <c r="F334" i="10" s="1"/>
  <c r="E335" i="10"/>
  <c r="F335" i="10" s="1"/>
  <c r="E336" i="10"/>
  <c r="F336" i="10" s="1"/>
  <c r="E337" i="10"/>
  <c r="F337" i="10" s="1"/>
  <c r="E338" i="10"/>
  <c r="F338" i="10" s="1"/>
  <c r="E339" i="10"/>
  <c r="F339" i="10" s="1"/>
  <c r="E340" i="10"/>
  <c r="F340" i="10" s="1"/>
  <c r="E341" i="10"/>
  <c r="F341" i="10" s="1"/>
  <c r="E342" i="10"/>
  <c r="F342" i="10" s="1"/>
  <c r="E343" i="10"/>
  <c r="E289" i="10"/>
  <c r="F289" i="10" s="1"/>
  <c r="E290" i="10"/>
  <c r="F290" i="10" s="1"/>
  <c r="E291" i="10"/>
  <c r="F291" i="10" s="1"/>
  <c r="E292" i="10"/>
  <c r="F292" i="10" s="1"/>
  <c r="E293" i="10"/>
  <c r="F293" i="10" s="1"/>
  <c r="E294" i="10"/>
  <c r="F294" i="10" s="1"/>
  <c r="E295" i="10"/>
  <c r="F295" i="10" s="1"/>
  <c r="E296" i="10"/>
  <c r="F296" i="10" s="1"/>
  <c r="E297" i="10"/>
  <c r="F297" i="10" s="1"/>
  <c r="E298" i="10"/>
  <c r="F298" i="10" s="1"/>
  <c r="E299" i="10"/>
  <c r="F299" i="10" s="1"/>
  <c r="E300" i="10"/>
  <c r="F300" i="10" s="1"/>
  <c r="E301" i="10"/>
  <c r="F301" i="10" s="1"/>
  <c r="E302" i="10"/>
  <c r="F302" i="10" s="1"/>
  <c r="E303" i="10"/>
  <c r="F303" i="10" s="1"/>
  <c r="E304" i="10"/>
  <c r="F304" i="10" s="1"/>
  <c r="E251" i="10"/>
  <c r="F251" i="10" s="1"/>
  <c r="E252" i="10"/>
  <c r="F252" i="10" s="1"/>
  <c r="E253" i="10"/>
  <c r="F253" i="10" s="1"/>
  <c r="E254" i="10"/>
  <c r="F254" i="10" s="1"/>
  <c r="E255" i="10"/>
  <c r="F255" i="10" s="1"/>
  <c r="E256" i="10"/>
  <c r="F256" i="10" s="1"/>
  <c r="E257" i="10"/>
  <c r="F257" i="10" s="1"/>
  <c r="E258" i="10"/>
  <c r="F258" i="10" s="1"/>
  <c r="E259" i="10"/>
  <c r="F259" i="10" s="1"/>
  <c r="E260" i="10"/>
  <c r="F260" i="10" s="1"/>
  <c r="E261" i="10"/>
  <c r="F261" i="10" s="1"/>
  <c r="E262" i="10"/>
  <c r="F262" i="10" s="1"/>
  <c r="E263" i="10"/>
  <c r="F263" i="10" s="1"/>
  <c r="E264" i="10"/>
  <c r="F264" i="10" s="1"/>
  <c r="E265" i="10"/>
  <c r="F265" i="10" s="1"/>
  <c r="E266" i="10"/>
  <c r="F266" i="10" s="1"/>
  <c r="E213" i="10"/>
  <c r="F213" i="10" s="1"/>
  <c r="E214" i="10"/>
  <c r="F214" i="10" s="1"/>
  <c r="E215" i="10"/>
  <c r="F215" i="10" s="1"/>
  <c r="E216" i="10"/>
  <c r="F216" i="10" s="1"/>
  <c r="E217" i="10"/>
  <c r="F217" i="10" s="1"/>
  <c r="E218" i="10"/>
  <c r="F218" i="10" s="1"/>
  <c r="E219" i="10"/>
  <c r="F219" i="10" s="1"/>
  <c r="E220" i="10"/>
  <c r="F220" i="10" s="1"/>
  <c r="E221" i="10"/>
  <c r="F221" i="10" s="1"/>
  <c r="E222" i="10"/>
  <c r="F222" i="10" s="1"/>
  <c r="E223" i="10"/>
  <c r="F223" i="10" s="1"/>
  <c r="E224" i="10"/>
  <c r="F224" i="10" s="1"/>
  <c r="E225" i="10"/>
  <c r="F225" i="10" s="1"/>
  <c r="E226" i="10"/>
  <c r="F226" i="10" s="1"/>
  <c r="E227" i="10"/>
  <c r="F227" i="10" s="1"/>
  <c r="E228" i="10"/>
  <c r="F228" i="10" s="1"/>
  <c r="E175" i="10"/>
  <c r="F175" i="10" s="1"/>
  <c r="E176" i="10"/>
  <c r="F176" i="10" s="1"/>
  <c r="E177" i="10"/>
  <c r="F177" i="10" s="1"/>
  <c r="E178" i="10"/>
  <c r="F178" i="10" s="1"/>
  <c r="E179" i="10"/>
  <c r="F179" i="10" s="1"/>
  <c r="E180" i="10"/>
  <c r="F180" i="10" s="1"/>
  <c r="E181" i="10"/>
  <c r="F181" i="10" s="1"/>
  <c r="E182" i="10"/>
  <c r="F182" i="10" s="1"/>
  <c r="E183" i="10"/>
  <c r="F183" i="10" s="1"/>
  <c r="E184" i="10"/>
  <c r="F184" i="10" s="1"/>
  <c r="E185" i="10"/>
  <c r="F185" i="10" s="1"/>
  <c r="E186" i="10"/>
  <c r="F186" i="10" s="1"/>
  <c r="E187" i="10"/>
  <c r="F187" i="10" s="1"/>
  <c r="E188" i="10"/>
  <c r="F188" i="10" s="1"/>
  <c r="E189" i="10"/>
  <c r="F189" i="10" s="1"/>
  <c r="E190" i="10"/>
  <c r="F190" i="10" s="1"/>
  <c r="E137" i="10"/>
  <c r="F137" i="10" s="1"/>
  <c r="E138" i="10"/>
  <c r="F138" i="10" s="1"/>
  <c r="E139" i="10"/>
  <c r="F139" i="10" s="1"/>
  <c r="E140" i="10"/>
  <c r="F140" i="10" s="1"/>
  <c r="E141" i="10"/>
  <c r="F141" i="10" s="1"/>
  <c r="E142" i="10"/>
  <c r="F142" i="10" s="1"/>
  <c r="E143" i="10"/>
  <c r="F143" i="10" s="1"/>
  <c r="E144" i="10"/>
  <c r="F144" i="10" s="1"/>
  <c r="E145" i="10"/>
  <c r="F145" i="10" s="1"/>
  <c r="E146" i="10"/>
  <c r="F146" i="10" s="1"/>
  <c r="E147" i="10"/>
  <c r="F147" i="10" s="1"/>
  <c r="E148" i="10"/>
  <c r="F148" i="10" s="1"/>
  <c r="E149" i="10"/>
  <c r="F149" i="10" s="1"/>
  <c r="E150" i="10"/>
  <c r="F150" i="10" s="1"/>
  <c r="E151" i="10"/>
  <c r="F151" i="10" s="1"/>
  <c r="E152" i="10"/>
  <c r="F152" i="10" s="1"/>
  <c r="E99" i="10"/>
  <c r="F99" i="10" s="1"/>
  <c r="E100" i="10"/>
  <c r="F100" i="10" s="1"/>
  <c r="E101" i="10"/>
  <c r="F101" i="10" s="1"/>
  <c r="E102" i="10"/>
  <c r="F102" i="10" s="1"/>
  <c r="E103" i="10"/>
  <c r="F103" i="10" s="1"/>
  <c r="E104" i="10"/>
  <c r="F104" i="10" s="1"/>
  <c r="E105" i="10"/>
  <c r="F105" i="10" s="1"/>
  <c r="E106" i="10"/>
  <c r="F106" i="10" s="1"/>
  <c r="E107" i="10"/>
  <c r="F107" i="10" s="1"/>
  <c r="E108" i="10"/>
  <c r="F108" i="10" s="1"/>
  <c r="E109" i="10"/>
  <c r="F109" i="10" s="1"/>
  <c r="E110" i="10"/>
  <c r="F110" i="10" s="1"/>
  <c r="E111" i="10"/>
  <c r="F111" i="10" s="1"/>
  <c r="E112" i="10"/>
  <c r="F112" i="10" s="1"/>
  <c r="E113" i="10"/>
  <c r="F113" i="10" s="1"/>
  <c r="E114" i="10"/>
  <c r="F114" i="10" s="1"/>
  <c r="E61" i="10"/>
  <c r="F61" i="10" s="1"/>
  <c r="E62" i="10"/>
  <c r="F62" i="10" s="1"/>
  <c r="E63" i="10"/>
  <c r="F63" i="10" s="1"/>
  <c r="E64" i="10"/>
  <c r="F64" i="10" s="1"/>
  <c r="E65" i="10"/>
  <c r="F65" i="10" s="1"/>
  <c r="E66" i="10"/>
  <c r="F66" i="10" s="1"/>
  <c r="E67" i="10"/>
  <c r="F67" i="10" s="1"/>
  <c r="E68" i="10"/>
  <c r="F68" i="10" s="1"/>
  <c r="E69" i="10"/>
  <c r="F69" i="10" s="1"/>
  <c r="E70" i="10"/>
  <c r="F70" i="10" s="1"/>
  <c r="E71" i="10"/>
  <c r="F71" i="10" s="1"/>
  <c r="E72" i="10"/>
  <c r="F72" i="10" s="1"/>
  <c r="E73" i="10"/>
  <c r="F73" i="10" s="1"/>
  <c r="E74" i="10"/>
  <c r="F74" i="10" s="1"/>
  <c r="E75" i="10"/>
  <c r="F75" i="10" s="1"/>
  <c r="E76" i="10"/>
  <c r="F76" i="10" s="1"/>
  <c r="E23" i="10"/>
  <c r="F23" i="10" s="1"/>
  <c r="E24" i="10"/>
  <c r="F24" i="10" s="1"/>
  <c r="E25" i="10"/>
  <c r="F25" i="10" s="1"/>
  <c r="E26" i="10"/>
  <c r="F26" i="10" s="1"/>
  <c r="E27" i="10"/>
  <c r="F27" i="10" s="1"/>
  <c r="E28" i="10"/>
  <c r="F28" i="10" s="1"/>
  <c r="E29" i="10"/>
  <c r="F29" i="10" s="1"/>
  <c r="E30" i="10"/>
  <c r="F30" i="10" s="1"/>
  <c r="E31" i="10"/>
  <c r="F31" i="10" s="1"/>
  <c r="E32" i="10"/>
  <c r="F32" i="10" s="1"/>
  <c r="E33" i="10"/>
  <c r="F33" i="10" s="1"/>
  <c r="E34" i="10"/>
  <c r="F34" i="10" s="1"/>
  <c r="E35" i="10"/>
  <c r="F35" i="10" s="1"/>
  <c r="E36" i="10"/>
  <c r="F36" i="10" s="1"/>
  <c r="E37" i="10"/>
  <c r="F37" i="10" s="1"/>
  <c r="E38" i="10"/>
  <c r="F38" i="10" s="1"/>
  <c r="E63" i="1"/>
  <c r="F63" i="1" s="1"/>
  <c r="E64" i="1"/>
  <c r="F64" i="1" s="1"/>
  <c r="E65" i="1"/>
  <c r="F65" i="1" s="1"/>
  <c r="E66" i="1"/>
  <c r="F66" i="1" s="1"/>
  <c r="E67" i="1"/>
  <c r="F67" i="1" s="1"/>
  <c r="E68" i="1"/>
  <c r="F68" i="1" s="1"/>
  <c r="E69" i="1"/>
  <c r="F69" i="1" s="1"/>
  <c r="E70" i="1"/>
  <c r="F70" i="1" s="1"/>
  <c r="E71" i="1"/>
  <c r="F71" i="1" s="1"/>
  <c r="E72" i="1"/>
  <c r="F72" i="1" s="1"/>
  <c r="E73" i="1"/>
  <c r="F73" i="1" s="1"/>
  <c r="E74" i="1"/>
  <c r="F74" i="1" s="1"/>
  <c r="E75" i="1"/>
  <c r="F75" i="1" s="1"/>
  <c r="E76" i="1"/>
  <c r="F76" i="1" s="1"/>
  <c r="E25" i="1"/>
  <c r="F25" i="1" s="1"/>
  <c r="E26" i="1"/>
  <c r="F26" i="1" s="1"/>
  <c r="E27" i="1"/>
  <c r="F27" i="1" s="1"/>
  <c r="E28" i="1"/>
  <c r="F28" i="1" s="1"/>
  <c r="E29" i="1"/>
  <c r="F29" i="1" s="1"/>
  <c r="E30" i="1"/>
  <c r="F30" i="1" s="1"/>
  <c r="E31" i="1"/>
  <c r="F31" i="1" s="1"/>
  <c r="E32" i="1"/>
  <c r="F32" i="1" s="1"/>
  <c r="E33" i="1"/>
  <c r="F33" i="1" s="1"/>
  <c r="E34" i="1"/>
  <c r="F34" i="1" s="1"/>
  <c r="E35" i="1"/>
  <c r="F35" i="1" s="1"/>
  <c r="E36" i="1"/>
  <c r="F36" i="1" s="1"/>
  <c r="E37" i="1"/>
  <c r="F37" i="1" s="1"/>
  <c r="E38" i="1"/>
  <c r="F38" i="1" s="1"/>
  <c r="E3481" i="1"/>
  <c r="F3481" i="1" s="1"/>
  <c r="E3482" i="1"/>
  <c r="F3482" i="1" s="1"/>
  <c r="E3483" i="1"/>
  <c r="F3483" i="1" s="1"/>
  <c r="E3484" i="1"/>
  <c r="F3484" i="1" s="1"/>
  <c r="E3485" i="1"/>
  <c r="F3485" i="1" s="1"/>
  <c r="E3486" i="1"/>
  <c r="F3486" i="1" s="1"/>
  <c r="E3487" i="1"/>
  <c r="F3487" i="1" s="1"/>
  <c r="E3488" i="1"/>
  <c r="F3488" i="1" s="1"/>
  <c r="E3489" i="1"/>
  <c r="F3489" i="1" s="1"/>
  <c r="E3490" i="1"/>
  <c r="F3490" i="1" s="1"/>
  <c r="E3491" i="1"/>
  <c r="F3491" i="1" s="1"/>
  <c r="E3492" i="1"/>
  <c r="F3492" i="1" s="1"/>
  <c r="E3493" i="1"/>
  <c r="F3493" i="1" s="1"/>
  <c r="E3494" i="1"/>
  <c r="F3494" i="1" s="1"/>
  <c r="E3495" i="1"/>
  <c r="F3495" i="1" s="1"/>
  <c r="E3496" i="1"/>
  <c r="F3496" i="1" s="1"/>
  <c r="E2835" i="1"/>
  <c r="F2835" i="1" s="1"/>
  <c r="E2836" i="1"/>
  <c r="F2836" i="1" s="1"/>
  <c r="E2837" i="1"/>
  <c r="F2837" i="1" s="1"/>
  <c r="E2838" i="1"/>
  <c r="F2838" i="1" s="1"/>
  <c r="E2839" i="1"/>
  <c r="F2839" i="1" s="1"/>
  <c r="E2840" i="1"/>
  <c r="F2840" i="1" s="1"/>
  <c r="E2841" i="1"/>
  <c r="F2841" i="1" s="1"/>
  <c r="E2842" i="1"/>
  <c r="F2842" i="1" s="1"/>
  <c r="E2843" i="1"/>
  <c r="F2843" i="1" s="1"/>
  <c r="E2844" i="1"/>
  <c r="F2844" i="1" s="1"/>
  <c r="E2845" i="1"/>
  <c r="F2845" i="1" s="1"/>
  <c r="E2846" i="1"/>
  <c r="F2846" i="1" s="1"/>
  <c r="E2847" i="1"/>
  <c r="F2847" i="1" s="1"/>
  <c r="E2848" i="1"/>
  <c r="F2848" i="1" s="1"/>
  <c r="E2849" i="1"/>
  <c r="F2849" i="1" s="1"/>
  <c r="E2850" i="1"/>
  <c r="F2850" i="1" s="1"/>
  <c r="E4165" i="1"/>
  <c r="F4165" i="1" s="1"/>
  <c r="E4166" i="1"/>
  <c r="F4166" i="1" s="1"/>
  <c r="E4167" i="1"/>
  <c r="F4167" i="1" s="1"/>
  <c r="E4168" i="1"/>
  <c r="F4168" i="1" s="1"/>
  <c r="E4169" i="1"/>
  <c r="F4169" i="1" s="1"/>
  <c r="E4170" i="1"/>
  <c r="F4170" i="1" s="1"/>
  <c r="E4171" i="1"/>
  <c r="F4171" i="1" s="1"/>
  <c r="E4172" i="1"/>
  <c r="F4172" i="1" s="1"/>
  <c r="E4173" i="1"/>
  <c r="F4173" i="1" s="1"/>
  <c r="E4174" i="1"/>
  <c r="F4174" i="1" s="1"/>
  <c r="E4175" i="1"/>
  <c r="F4175" i="1" s="1"/>
  <c r="E4176" i="1"/>
  <c r="F4176" i="1" s="1"/>
  <c r="E4177" i="1"/>
  <c r="F4177" i="1" s="1"/>
  <c r="E4178" i="1"/>
  <c r="F4178" i="1" s="1"/>
  <c r="E4179" i="1"/>
  <c r="F4179" i="1" s="1"/>
  <c r="E4180" i="1"/>
  <c r="F4180" i="1" s="1"/>
  <c r="E4127" i="1"/>
  <c r="F4127" i="1" s="1"/>
  <c r="E4128" i="1"/>
  <c r="F4128" i="1" s="1"/>
  <c r="E4129" i="1"/>
  <c r="F4129" i="1" s="1"/>
  <c r="E4130" i="1"/>
  <c r="F4130" i="1" s="1"/>
  <c r="E4131" i="1"/>
  <c r="F4131" i="1" s="1"/>
  <c r="E4132" i="1"/>
  <c r="F4132" i="1" s="1"/>
  <c r="E4133" i="1"/>
  <c r="F4133" i="1" s="1"/>
  <c r="E4134" i="1"/>
  <c r="F4134" i="1" s="1"/>
  <c r="E4135" i="1"/>
  <c r="F4135" i="1" s="1"/>
  <c r="E4136" i="1"/>
  <c r="F4136" i="1" s="1"/>
  <c r="E4137" i="1"/>
  <c r="F4137" i="1" s="1"/>
  <c r="E4138" i="1"/>
  <c r="F4138" i="1" s="1"/>
  <c r="E4139" i="1"/>
  <c r="F4139" i="1" s="1"/>
  <c r="E4140" i="1"/>
  <c r="F4140" i="1" s="1"/>
  <c r="E4141" i="1"/>
  <c r="F4141" i="1" s="1"/>
  <c r="E4142" i="1"/>
  <c r="F4142" i="1" s="1"/>
  <c r="E4089" i="1"/>
  <c r="F4089" i="1" s="1"/>
  <c r="E4090" i="1"/>
  <c r="F4090" i="1" s="1"/>
  <c r="E4091" i="1"/>
  <c r="F4091" i="1" s="1"/>
  <c r="E4092" i="1"/>
  <c r="F4092" i="1" s="1"/>
  <c r="E4093" i="1"/>
  <c r="F4093" i="1" s="1"/>
  <c r="E4094" i="1"/>
  <c r="F4094" i="1" s="1"/>
  <c r="E4095" i="1"/>
  <c r="F4095" i="1" s="1"/>
  <c r="E4096" i="1"/>
  <c r="F4096" i="1" s="1"/>
  <c r="E4097" i="1"/>
  <c r="F4097" i="1" s="1"/>
  <c r="E4098" i="1"/>
  <c r="F4098" i="1" s="1"/>
  <c r="E4099" i="1"/>
  <c r="F4099" i="1" s="1"/>
  <c r="E4100" i="1"/>
  <c r="F4100" i="1" s="1"/>
  <c r="E4101" i="1"/>
  <c r="F4101" i="1" s="1"/>
  <c r="E4102" i="1"/>
  <c r="F4102" i="1" s="1"/>
  <c r="E4103" i="1"/>
  <c r="F4103" i="1" s="1"/>
  <c r="E4104" i="1"/>
  <c r="F4104" i="1" s="1"/>
  <c r="E4051" i="1"/>
  <c r="F4051" i="1" s="1"/>
  <c r="E4052" i="1"/>
  <c r="F4052" i="1" s="1"/>
  <c r="E4053" i="1"/>
  <c r="F4053" i="1" s="1"/>
  <c r="E4054" i="1"/>
  <c r="F4054" i="1" s="1"/>
  <c r="E4055" i="1"/>
  <c r="F4055" i="1" s="1"/>
  <c r="E4056" i="1"/>
  <c r="F4056" i="1" s="1"/>
  <c r="E4057" i="1"/>
  <c r="F4057" i="1" s="1"/>
  <c r="E4058" i="1"/>
  <c r="F4058" i="1" s="1"/>
  <c r="E4059" i="1"/>
  <c r="F4059" i="1" s="1"/>
  <c r="E4060" i="1"/>
  <c r="F4060" i="1" s="1"/>
  <c r="E4061" i="1"/>
  <c r="F4061" i="1" s="1"/>
  <c r="E4062" i="1"/>
  <c r="F4062" i="1" s="1"/>
  <c r="E4063" i="1"/>
  <c r="F4063" i="1" s="1"/>
  <c r="E4064" i="1"/>
  <c r="F4064" i="1" s="1"/>
  <c r="E4065" i="1"/>
  <c r="F4065" i="1" s="1"/>
  <c r="E4066" i="1"/>
  <c r="F4066" i="1" s="1"/>
  <c r="E4013" i="1"/>
  <c r="F4013" i="1" s="1"/>
  <c r="E4014" i="1"/>
  <c r="F4014" i="1" s="1"/>
  <c r="E4015" i="1"/>
  <c r="F4015" i="1" s="1"/>
  <c r="E4016" i="1"/>
  <c r="F4016" i="1" s="1"/>
  <c r="E4017" i="1"/>
  <c r="F4017" i="1" s="1"/>
  <c r="E4018" i="1"/>
  <c r="F4018" i="1" s="1"/>
  <c r="E4019" i="1"/>
  <c r="F4019" i="1" s="1"/>
  <c r="E4020" i="1"/>
  <c r="F4020" i="1" s="1"/>
  <c r="E4021" i="1"/>
  <c r="F4021" i="1" s="1"/>
  <c r="E4022" i="1"/>
  <c r="F4022" i="1" s="1"/>
  <c r="E4023" i="1"/>
  <c r="F4023" i="1" s="1"/>
  <c r="E4024" i="1"/>
  <c r="F4024" i="1" s="1"/>
  <c r="E4025" i="1"/>
  <c r="F4025" i="1" s="1"/>
  <c r="E4026" i="1"/>
  <c r="F4026" i="1" s="1"/>
  <c r="E4027" i="1"/>
  <c r="F4027" i="1" s="1"/>
  <c r="E4028" i="1"/>
  <c r="F4028" i="1" s="1"/>
  <c r="E3975" i="1"/>
  <c r="F3975" i="1" s="1"/>
  <c r="E3976" i="1"/>
  <c r="F3976" i="1" s="1"/>
  <c r="E3977" i="1"/>
  <c r="F3977" i="1" s="1"/>
  <c r="E3978" i="1"/>
  <c r="F3978" i="1" s="1"/>
  <c r="E3979" i="1"/>
  <c r="F3979" i="1" s="1"/>
  <c r="E3980" i="1"/>
  <c r="F3980" i="1" s="1"/>
  <c r="E3981" i="1"/>
  <c r="F3981" i="1" s="1"/>
  <c r="E3982" i="1"/>
  <c r="F3982" i="1" s="1"/>
  <c r="E3983" i="1"/>
  <c r="F3983" i="1" s="1"/>
  <c r="E3984" i="1"/>
  <c r="F3984" i="1" s="1"/>
  <c r="E3985" i="1"/>
  <c r="F3985" i="1" s="1"/>
  <c r="E3986" i="1"/>
  <c r="F3986" i="1" s="1"/>
  <c r="E3987" i="1"/>
  <c r="F3987" i="1" s="1"/>
  <c r="E3988" i="1"/>
  <c r="F3988" i="1" s="1"/>
  <c r="E3989" i="1"/>
  <c r="F3989" i="1" s="1"/>
  <c r="E3990" i="1"/>
  <c r="F3990" i="1" s="1"/>
  <c r="E3937" i="1"/>
  <c r="F3937" i="1" s="1"/>
  <c r="E3938" i="1"/>
  <c r="F3938" i="1" s="1"/>
  <c r="E3939" i="1"/>
  <c r="F3939" i="1" s="1"/>
  <c r="E3940" i="1"/>
  <c r="F3940" i="1" s="1"/>
  <c r="E3941" i="1"/>
  <c r="F3941" i="1" s="1"/>
  <c r="E3942" i="1"/>
  <c r="F3942" i="1" s="1"/>
  <c r="E3943" i="1"/>
  <c r="F3943" i="1" s="1"/>
  <c r="E3944" i="1"/>
  <c r="F3944" i="1" s="1"/>
  <c r="E3945" i="1"/>
  <c r="F3945" i="1" s="1"/>
  <c r="E3946" i="1"/>
  <c r="F3946" i="1" s="1"/>
  <c r="E3947" i="1"/>
  <c r="F3947" i="1" s="1"/>
  <c r="E3948" i="1"/>
  <c r="F3948" i="1" s="1"/>
  <c r="E3949" i="1"/>
  <c r="F3949" i="1" s="1"/>
  <c r="E3950" i="1"/>
  <c r="F3950" i="1" s="1"/>
  <c r="E3951" i="1"/>
  <c r="F3951" i="1" s="1"/>
  <c r="E3952" i="1"/>
  <c r="F3952" i="1" s="1"/>
  <c r="E3899" i="1"/>
  <c r="F3899" i="1" s="1"/>
  <c r="E3900" i="1"/>
  <c r="F3900" i="1" s="1"/>
  <c r="E3901" i="1"/>
  <c r="F3901" i="1" s="1"/>
  <c r="E3902" i="1"/>
  <c r="F3902" i="1" s="1"/>
  <c r="E3903" i="1"/>
  <c r="F3903" i="1" s="1"/>
  <c r="E3904" i="1"/>
  <c r="F3904" i="1" s="1"/>
  <c r="E3905" i="1"/>
  <c r="F3905" i="1" s="1"/>
  <c r="E3906" i="1"/>
  <c r="F3906" i="1" s="1"/>
  <c r="E3907" i="1"/>
  <c r="F3907" i="1" s="1"/>
  <c r="E3908" i="1"/>
  <c r="F3908" i="1" s="1"/>
  <c r="E3909" i="1"/>
  <c r="F3909" i="1" s="1"/>
  <c r="E3910" i="1"/>
  <c r="F3910" i="1" s="1"/>
  <c r="E3911" i="1"/>
  <c r="F3911" i="1" s="1"/>
  <c r="E3912" i="1"/>
  <c r="F3912" i="1" s="1"/>
  <c r="E3913" i="1"/>
  <c r="F3913" i="1" s="1"/>
  <c r="E3914" i="1"/>
  <c r="F3914" i="1" s="1"/>
  <c r="E3861" i="1"/>
  <c r="F3861" i="1" s="1"/>
  <c r="E3862" i="1"/>
  <c r="F3862" i="1" s="1"/>
  <c r="E3863" i="1"/>
  <c r="F3863" i="1" s="1"/>
  <c r="E3864" i="1"/>
  <c r="F3864" i="1" s="1"/>
  <c r="E3865" i="1"/>
  <c r="F3865" i="1" s="1"/>
  <c r="E3866" i="1"/>
  <c r="F3866" i="1" s="1"/>
  <c r="E3867" i="1"/>
  <c r="F3867" i="1" s="1"/>
  <c r="E3868" i="1"/>
  <c r="F3868" i="1" s="1"/>
  <c r="E3869" i="1"/>
  <c r="F3869" i="1" s="1"/>
  <c r="E3870" i="1"/>
  <c r="F3870" i="1" s="1"/>
  <c r="E3871" i="1"/>
  <c r="F3871" i="1" s="1"/>
  <c r="E3872" i="1"/>
  <c r="F3872" i="1" s="1"/>
  <c r="E3873" i="1"/>
  <c r="F3873" i="1" s="1"/>
  <c r="E3874" i="1"/>
  <c r="F3874" i="1" s="1"/>
  <c r="E3875" i="1"/>
  <c r="F3875" i="1" s="1"/>
  <c r="E3876" i="1"/>
  <c r="F3876" i="1" s="1"/>
  <c r="E3823" i="1"/>
  <c r="F3823" i="1" s="1"/>
  <c r="E3824" i="1"/>
  <c r="F3824" i="1" s="1"/>
  <c r="E3825" i="1"/>
  <c r="F3825" i="1" s="1"/>
  <c r="E3826" i="1"/>
  <c r="F3826" i="1" s="1"/>
  <c r="E3827" i="1"/>
  <c r="F3827" i="1" s="1"/>
  <c r="E3828" i="1"/>
  <c r="F3828" i="1" s="1"/>
  <c r="E3829" i="1"/>
  <c r="F3829" i="1" s="1"/>
  <c r="E3830" i="1"/>
  <c r="F3830" i="1" s="1"/>
  <c r="E3831" i="1"/>
  <c r="F3831" i="1" s="1"/>
  <c r="E3832" i="1"/>
  <c r="F3832" i="1" s="1"/>
  <c r="E3833" i="1"/>
  <c r="F3833" i="1" s="1"/>
  <c r="E3834" i="1"/>
  <c r="F3834" i="1" s="1"/>
  <c r="E3835" i="1"/>
  <c r="F3835" i="1" s="1"/>
  <c r="E3836" i="1"/>
  <c r="F3836" i="1" s="1"/>
  <c r="E3837" i="1"/>
  <c r="F3837" i="1" s="1"/>
  <c r="E3838" i="1"/>
  <c r="F3838" i="1" s="1"/>
  <c r="E3785" i="1"/>
  <c r="F3785" i="1" s="1"/>
  <c r="E3786" i="1"/>
  <c r="F3786" i="1" s="1"/>
  <c r="E3787" i="1"/>
  <c r="F3787" i="1" s="1"/>
  <c r="E3788" i="1"/>
  <c r="F3788" i="1" s="1"/>
  <c r="E3789" i="1"/>
  <c r="F3789" i="1" s="1"/>
  <c r="E3790" i="1"/>
  <c r="F3790" i="1" s="1"/>
  <c r="E3791" i="1"/>
  <c r="F3791" i="1" s="1"/>
  <c r="E3792" i="1"/>
  <c r="F3792" i="1" s="1"/>
  <c r="E3793" i="1"/>
  <c r="F3793" i="1" s="1"/>
  <c r="E3794" i="1"/>
  <c r="F3794" i="1" s="1"/>
  <c r="E3795" i="1"/>
  <c r="F3795" i="1" s="1"/>
  <c r="E3796" i="1"/>
  <c r="F3796" i="1" s="1"/>
  <c r="E3797" i="1"/>
  <c r="F3797" i="1" s="1"/>
  <c r="E3798" i="1"/>
  <c r="F3798" i="1" s="1"/>
  <c r="E3799" i="1"/>
  <c r="F3799" i="1" s="1"/>
  <c r="E3800" i="1"/>
  <c r="F3800" i="1" s="1"/>
  <c r="E3747" i="1"/>
  <c r="F3747" i="1" s="1"/>
  <c r="E3748" i="1"/>
  <c r="F3748" i="1" s="1"/>
  <c r="E3749" i="1"/>
  <c r="F3749" i="1" s="1"/>
  <c r="E3750" i="1"/>
  <c r="F3750" i="1" s="1"/>
  <c r="E3751" i="1"/>
  <c r="F3751" i="1" s="1"/>
  <c r="E3752" i="1"/>
  <c r="F3752" i="1" s="1"/>
  <c r="E3753" i="1"/>
  <c r="F3753" i="1" s="1"/>
  <c r="E3754" i="1"/>
  <c r="F3754" i="1" s="1"/>
  <c r="E3755" i="1"/>
  <c r="F3755" i="1" s="1"/>
  <c r="E3756" i="1"/>
  <c r="F3756" i="1" s="1"/>
  <c r="E3757" i="1"/>
  <c r="F3757" i="1" s="1"/>
  <c r="E3758" i="1"/>
  <c r="F3758" i="1" s="1"/>
  <c r="E3759" i="1"/>
  <c r="F3759" i="1" s="1"/>
  <c r="E3760" i="1"/>
  <c r="F3760" i="1" s="1"/>
  <c r="E3761" i="1"/>
  <c r="F3761" i="1" s="1"/>
  <c r="E3762" i="1"/>
  <c r="F3762" i="1" s="1"/>
  <c r="E3709" i="1"/>
  <c r="F3709" i="1" s="1"/>
  <c r="E3710" i="1"/>
  <c r="F3710" i="1" s="1"/>
  <c r="E3711" i="1"/>
  <c r="F3711" i="1" s="1"/>
  <c r="E3712" i="1"/>
  <c r="F3712" i="1" s="1"/>
  <c r="E3713" i="1"/>
  <c r="F3713" i="1" s="1"/>
  <c r="E3714" i="1"/>
  <c r="F3714" i="1" s="1"/>
  <c r="E3715" i="1"/>
  <c r="F3715" i="1" s="1"/>
  <c r="E3716" i="1"/>
  <c r="F3716" i="1" s="1"/>
  <c r="E3717" i="1"/>
  <c r="F3717" i="1" s="1"/>
  <c r="E3718" i="1"/>
  <c r="F3718" i="1" s="1"/>
  <c r="E3719" i="1"/>
  <c r="F3719" i="1" s="1"/>
  <c r="E3720" i="1"/>
  <c r="F3720" i="1" s="1"/>
  <c r="E3721" i="1"/>
  <c r="F3721" i="1" s="1"/>
  <c r="E3722" i="1"/>
  <c r="F3722" i="1" s="1"/>
  <c r="E3723" i="1"/>
  <c r="F3723" i="1" s="1"/>
  <c r="E3724" i="1"/>
  <c r="F3724" i="1" s="1"/>
  <c r="E3671" i="1"/>
  <c r="F3671" i="1" s="1"/>
  <c r="E3672" i="1"/>
  <c r="F3672" i="1" s="1"/>
  <c r="E3673" i="1"/>
  <c r="F3673" i="1" s="1"/>
  <c r="E3674" i="1"/>
  <c r="F3674" i="1" s="1"/>
  <c r="E3675" i="1"/>
  <c r="F3675" i="1" s="1"/>
  <c r="E3676" i="1"/>
  <c r="F3676" i="1" s="1"/>
  <c r="E3677" i="1"/>
  <c r="F3677" i="1" s="1"/>
  <c r="E3678" i="1"/>
  <c r="F3678" i="1" s="1"/>
  <c r="E3679" i="1"/>
  <c r="F3679" i="1" s="1"/>
  <c r="E3680" i="1"/>
  <c r="F3680" i="1" s="1"/>
  <c r="E3681" i="1"/>
  <c r="F3681" i="1" s="1"/>
  <c r="E3682" i="1"/>
  <c r="F3682" i="1" s="1"/>
  <c r="E3683" i="1"/>
  <c r="F3683" i="1" s="1"/>
  <c r="E3684" i="1"/>
  <c r="F3684" i="1" s="1"/>
  <c r="E3685" i="1"/>
  <c r="F3685" i="1" s="1"/>
  <c r="E3686" i="1"/>
  <c r="F3686" i="1" s="1"/>
  <c r="E3633" i="1"/>
  <c r="F3633" i="1" s="1"/>
  <c r="E3634" i="1"/>
  <c r="F3634" i="1" s="1"/>
  <c r="E3635" i="1"/>
  <c r="F3635" i="1" s="1"/>
  <c r="E3636" i="1"/>
  <c r="F3636" i="1" s="1"/>
  <c r="E3637" i="1"/>
  <c r="F3637" i="1" s="1"/>
  <c r="E3638" i="1"/>
  <c r="F3638" i="1" s="1"/>
  <c r="E3639" i="1"/>
  <c r="F3639" i="1" s="1"/>
  <c r="E3640" i="1"/>
  <c r="F3640" i="1" s="1"/>
  <c r="E3641" i="1"/>
  <c r="F3641" i="1" s="1"/>
  <c r="E3642" i="1"/>
  <c r="F3642" i="1" s="1"/>
  <c r="E3643" i="1"/>
  <c r="F3643" i="1" s="1"/>
  <c r="E3644" i="1"/>
  <c r="F3644" i="1" s="1"/>
  <c r="E3645" i="1"/>
  <c r="F3645" i="1" s="1"/>
  <c r="E3646" i="1"/>
  <c r="F3646" i="1" s="1"/>
  <c r="E3647" i="1"/>
  <c r="F3647" i="1" s="1"/>
  <c r="E3648" i="1"/>
  <c r="F3648" i="1" s="1"/>
  <c r="E3595" i="1"/>
  <c r="F3595" i="1" s="1"/>
  <c r="E3596" i="1"/>
  <c r="F3596" i="1" s="1"/>
  <c r="E3597" i="1"/>
  <c r="F3597" i="1" s="1"/>
  <c r="E3598" i="1"/>
  <c r="F3598" i="1" s="1"/>
  <c r="E3599" i="1"/>
  <c r="F3599" i="1" s="1"/>
  <c r="E3600" i="1"/>
  <c r="F3600" i="1" s="1"/>
  <c r="E3601" i="1"/>
  <c r="F3601" i="1" s="1"/>
  <c r="E3602" i="1"/>
  <c r="F3602" i="1" s="1"/>
  <c r="E3603" i="1"/>
  <c r="F3603" i="1" s="1"/>
  <c r="E3604" i="1"/>
  <c r="F3604" i="1" s="1"/>
  <c r="E3605" i="1"/>
  <c r="F3605" i="1" s="1"/>
  <c r="E3606" i="1"/>
  <c r="F3606" i="1" s="1"/>
  <c r="E3607" i="1"/>
  <c r="F3607" i="1" s="1"/>
  <c r="E3608" i="1"/>
  <c r="F3608" i="1" s="1"/>
  <c r="E3609" i="1"/>
  <c r="F3609" i="1" s="1"/>
  <c r="E3610" i="1"/>
  <c r="F3610" i="1" s="1"/>
  <c r="E3557" i="1"/>
  <c r="F3557" i="1" s="1"/>
  <c r="E3558" i="1"/>
  <c r="F3558" i="1" s="1"/>
  <c r="E3559" i="1"/>
  <c r="F3559" i="1" s="1"/>
  <c r="E3560" i="1"/>
  <c r="F3560" i="1" s="1"/>
  <c r="E3561" i="1"/>
  <c r="F3561" i="1" s="1"/>
  <c r="E3562" i="1"/>
  <c r="F3562" i="1" s="1"/>
  <c r="E3563" i="1"/>
  <c r="F3563" i="1" s="1"/>
  <c r="E3564" i="1"/>
  <c r="F3564" i="1" s="1"/>
  <c r="E3565" i="1"/>
  <c r="F3565" i="1" s="1"/>
  <c r="E3566" i="1"/>
  <c r="F3566" i="1" s="1"/>
  <c r="E3567" i="1"/>
  <c r="F3567" i="1" s="1"/>
  <c r="E3568" i="1"/>
  <c r="F3568" i="1" s="1"/>
  <c r="E3569" i="1"/>
  <c r="F3569" i="1" s="1"/>
  <c r="E3570" i="1"/>
  <c r="F3570" i="1" s="1"/>
  <c r="E3571" i="1"/>
  <c r="F3571" i="1" s="1"/>
  <c r="E3572" i="1"/>
  <c r="F3572" i="1" s="1"/>
  <c r="E3519" i="1"/>
  <c r="F3519" i="1" s="1"/>
  <c r="E3520" i="1"/>
  <c r="F3520" i="1" s="1"/>
  <c r="E3521" i="1"/>
  <c r="F3521" i="1" s="1"/>
  <c r="E3522" i="1"/>
  <c r="F3522" i="1" s="1"/>
  <c r="E3523" i="1"/>
  <c r="F3523" i="1" s="1"/>
  <c r="E3524" i="1"/>
  <c r="F3524" i="1" s="1"/>
  <c r="E3525" i="1"/>
  <c r="F3525" i="1" s="1"/>
  <c r="E3526" i="1"/>
  <c r="F3526" i="1" s="1"/>
  <c r="E3527" i="1"/>
  <c r="F3527" i="1" s="1"/>
  <c r="E3528" i="1"/>
  <c r="F3528" i="1" s="1"/>
  <c r="E3529" i="1"/>
  <c r="F3529" i="1" s="1"/>
  <c r="E3530" i="1"/>
  <c r="F3530" i="1" s="1"/>
  <c r="E3531" i="1"/>
  <c r="F3531" i="1" s="1"/>
  <c r="E3532" i="1"/>
  <c r="F3532" i="1" s="1"/>
  <c r="E3533" i="1"/>
  <c r="F3533" i="1" s="1"/>
  <c r="E3534" i="1"/>
  <c r="F3534" i="1" s="1"/>
  <c r="E3443" i="1"/>
  <c r="F3443" i="1" s="1"/>
  <c r="E3444" i="1"/>
  <c r="F3444" i="1" s="1"/>
  <c r="E3445" i="1"/>
  <c r="F3445" i="1" s="1"/>
  <c r="E3446" i="1"/>
  <c r="F3446" i="1" s="1"/>
  <c r="E3447" i="1"/>
  <c r="F3447" i="1" s="1"/>
  <c r="E3448" i="1"/>
  <c r="F3448" i="1" s="1"/>
  <c r="E3449" i="1"/>
  <c r="F3449" i="1" s="1"/>
  <c r="E3450" i="1"/>
  <c r="F3450" i="1" s="1"/>
  <c r="E3451" i="1"/>
  <c r="F3451" i="1" s="1"/>
  <c r="E3452" i="1"/>
  <c r="F3452" i="1" s="1"/>
  <c r="E3453" i="1"/>
  <c r="F3453" i="1" s="1"/>
  <c r="E3454" i="1"/>
  <c r="F3454" i="1" s="1"/>
  <c r="E3455" i="1"/>
  <c r="F3455" i="1" s="1"/>
  <c r="E3456" i="1"/>
  <c r="F3456" i="1" s="1"/>
  <c r="E3457" i="1"/>
  <c r="F3457" i="1" s="1"/>
  <c r="E3458" i="1"/>
  <c r="F3458" i="1" s="1"/>
  <c r="E3405" i="1"/>
  <c r="F3405" i="1" s="1"/>
  <c r="E3406" i="1"/>
  <c r="F3406" i="1" s="1"/>
  <c r="E3407" i="1"/>
  <c r="F3407" i="1" s="1"/>
  <c r="E3408" i="1"/>
  <c r="F3408" i="1" s="1"/>
  <c r="E3409" i="1"/>
  <c r="F3409" i="1" s="1"/>
  <c r="E3410" i="1"/>
  <c r="F3410" i="1" s="1"/>
  <c r="E3411" i="1"/>
  <c r="F3411" i="1" s="1"/>
  <c r="E3412" i="1"/>
  <c r="F3412" i="1" s="1"/>
  <c r="E3413" i="1"/>
  <c r="F3413" i="1" s="1"/>
  <c r="E3414" i="1"/>
  <c r="F3414" i="1" s="1"/>
  <c r="E3415" i="1"/>
  <c r="F3415" i="1" s="1"/>
  <c r="E3416" i="1"/>
  <c r="F3416" i="1" s="1"/>
  <c r="E3417" i="1"/>
  <c r="F3417" i="1" s="1"/>
  <c r="E3418" i="1"/>
  <c r="F3418" i="1" s="1"/>
  <c r="E3419" i="1"/>
  <c r="F3419" i="1" s="1"/>
  <c r="E3420" i="1"/>
  <c r="F3420" i="1" s="1"/>
  <c r="E3367" i="1"/>
  <c r="F3367" i="1" s="1"/>
  <c r="E3368" i="1"/>
  <c r="F3368" i="1" s="1"/>
  <c r="E3369" i="1"/>
  <c r="F3369" i="1" s="1"/>
  <c r="E3370" i="1"/>
  <c r="F3370" i="1" s="1"/>
  <c r="E3371" i="1"/>
  <c r="F3371" i="1" s="1"/>
  <c r="E3372" i="1"/>
  <c r="F3372" i="1" s="1"/>
  <c r="E3373" i="1"/>
  <c r="F3373" i="1" s="1"/>
  <c r="E3374" i="1"/>
  <c r="F3374" i="1" s="1"/>
  <c r="E3375" i="1"/>
  <c r="F3375" i="1" s="1"/>
  <c r="E3376" i="1"/>
  <c r="F3376" i="1" s="1"/>
  <c r="E3377" i="1"/>
  <c r="F3377" i="1" s="1"/>
  <c r="E3378" i="1"/>
  <c r="F3378" i="1" s="1"/>
  <c r="E3379" i="1"/>
  <c r="F3379" i="1" s="1"/>
  <c r="E3380" i="1"/>
  <c r="F3380" i="1" s="1"/>
  <c r="E3381" i="1"/>
  <c r="F3381" i="1" s="1"/>
  <c r="E3382" i="1"/>
  <c r="F3382" i="1" s="1"/>
  <c r="E3329" i="1"/>
  <c r="F3329" i="1" s="1"/>
  <c r="E3330" i="1"/>
  <c r="F3330" i="1" s="1"/>
  <c r="E3331" i="1"/>
  <c r="F3331" i="1" s="1"/>
  <c r="E3332" i="1"/>
  <c r="F3332" i="1" s="1"/>
  <c r="E3333" i="1"/>
  <c r="F3333" i="1" s="1"/>
  <c r="E3334" i="1"/>
  <c r="F3334" i="1" s="1"/>
  <c r="E3335" i="1"/>
  <c r="F3335" i="1" s="1"/>
  <c r="E3336" i="1"/>
  <c r="F3336" i="1" s="1"/>
  <c r="E3337" i="1"/>
  <c r="F3337" i="1" s="1"/>
  <c r="E3338" i="1"/>
  <c r="F3338" i="1" s="1"/>
  <c r="E3339" i="1"/>
  <c r="F3339" i="1" s="1"/>
  <c r="E3340" i="1"/>
  <c r="F3340" i="1" s="1"/>
  <c r="E3341" i="1"/>
  <c r="F3341" i="1" s="1"/>
  <c r="E3342" i="1"/>
  <c r="F3342" i="1" s="1"/>
  <c r="E3343" i="1"/>
  <c r="F3343" i="1" s="1"/>
  <c r="E3344" i="1"/>
  <c r="F3344" i="1" s="1"/>
  <c r="E3291" i="1"/>
  <c r="F3291" i="1" s="1"/>
  <c r="E3292" i="1"/>
  <c r="F3292" i="1" s="1"/>
  <c r="E3293" i="1"/>
  <c r="F3293" i="1" s="1"/>
  <c r="E3294" i="1"/>
  <c r="F3294" i="1" s="1"/>
  <c r="E3295" i="1"/>
  <c r="F3295" i="1" s="1"/>
  <c r="E3296" i="1"/>
  <c r="F3296" i="1" s="1"/>
  <c r="E3297" i="1"/>
  <c r="F3297" i="1" s="1"/>
  <c r="E3298" i="1"/>
  <c r="F3298" i="1" s="1"/>
  <c r="E3299" i="1"/>
  <c r="F3299" i="1" s="1"/>
  <c r="E3300" i="1"/>
  <c r="F3300" i="1" s="1"/>
  <c r="E3301" i="1"/>
  <c r="F3301" i="1" s="1"/>
  <c r="E3302" i="1"/>
  <c r="F3302" i="1" s="1"/>
  <c r="E3303" i="1"/>
  <c r="F3303" i="1" s="1"/>
  <c r="E3304" i="1"/>
  <c r="F3304" i="1" s="1"/>
  <c r="E3305" i="1"/>
  <c r="F3305" i="1" s="1"/>
  <c r="E3306" i="1"/>
  <c r="F3306" i="1" s="1"/>
  <c r="E3253" i="1"/>
  <c r="F3253" i="1" s="1"/>
  <c r="E3254" i="1"/>
  <c r="F3254" i="1" s="1"/>
  <c r="E3255" i="1"/>
  <c r="F3255" i="1" s="1"/>
  <c r="E3256" i="1"/>
  <c r="F3256" i="1" s="1"/>
  <c r="E3257" i="1"/>
  <c r="F3257" i="1" s="1"/>
  <c r="E3258" i="1"/>
  <c r="F3258" i="1" s="1"/>
  <c r="E3259" i="1"/>
  <c r="F3259" i="1" s="1"/>
  <c r="E3260" i="1"/>
  <c r="F3260" i="1" s="1"/>
  <c r="E3261" i="1"/>
  <c r="F3261" i="1" s="1"/>
  <c r="E3262" i="1"/>
  <c r="F3262" i="1" s="1"/>
  <c r="E3263" i="1"/>
  <c r="F3263" i="1" s="1"/>
  <c r="E3264" i="1"/>
  <c r="F3264" i="1" s="1"/>
  <c r="E3265" i="1"/>
  <c r="F3265" i="1" s="1"/>
  <c r="E3266" i="1"/>
  <c r="F3266" i="1" s="1"/>
  <c r="E3267" i="1"/>
  <c r="F3267" i="1" s="1"/>
  <c r="E3268" i="1"/>
  <c r="F3268" i="1" s="1"/>
  <c r="E3215" i="1"/>
  <c r="F3215" i="1" s="1"/>
  <c r="E3216" i="1"/>
  <c r="F3216" i="1" s="1"/>
  <c r="E3217" i="1"/>
  <c r="F3217" i="1" s="1"/>
  <c r="E3218" i="1"/>
  <c r="F3218" i="1" s="1"/>
  <c r="E3219" i="1"/>
  <c r="F3219" i="1" s="1"/>
  <c r="E3220" i="1"/>
  <c r="F3220" i="1" s="1"/>
  <c r="E3221" i="1"/>
  <c r="F3221" i="1" s="1"/>
  <c r="E3222" i="1"/>
  <c r="F3222" i="1" s="1"/>
  <c r="E3223" i="1"/>
  <c r="F3223" i="1" s="1"/>
  <c r="E3224" i="1"/>
  <c r="F3224" i="1" s="1"/>
  <c r="E3225" i="1"/>
  <c r="F3225" i="1" s="1"/>
  <c r="E3226" i="1"/>
  <c r="F3226" i="1" s="1"/>
  <c r="E3227" i="1"/>
  <c r="F3227" i="1" s="1"/>
  <c r="E3228" i="1"/>
  <c r="F3228" i="1" s="1"/>
  <c r="E3229" i="1"/>
  <c r="F3229" i="1" s="1"/>
  <c r="E3230" i="1"/>
  <c r="F3230" i="1" s="1"/>
  <c r="E3177" i="1"/>
  <c r="F3177" i="1" s="1"/>
  <c r="E3178" i="1"/>
  <c r="F3178" i="1" s="1"/>
  <c r="E3179" i="1"/>
  <c r="F3179" i="1" s="1"/>
  <c r="E3180" i="1"/>
  <c r="F3180" i="1" s="1"/>
  <c r="E3181" i="1"/>
  <c r="F3181" i="1" s="1"/>
  <c r="E3182" i="1"/>
  <c r="F3182" i="1" s="1"/>
  <c r="E3183" i="1"/>
  <c r="F3183" i="1" s="1"/>
  <c r="E3184" i="1"/>
  <c r="F3184" i="1" s="1"/>
  <c r="E3185" i="1"/>
  <c r="F3185" i="1" s="1"/>
  <c r="E3186" i="1"/>
  <c r="F3186" i="1" s="1"/>
  <c r="E3187" i="1"/>
  <c r="F3187" i="1" s="1"/>
  <c r="E3188" i="1"/>
  <c r="F3188" i="1" s="1"/>
  <c r="E3189" i="1"/>
  <c r="F3189" i="1" s="1"/>
  <c r="E3190" i="1"/>
  <c r="F3190" i="1" s="1"/>
  <c r="E3191" i="1"/>
  <c r="F3191" i="1" s="1"/>
  <c r="E3192" i="1"/>
  <c r="F3192" i="1" s="1"/>
  <c r="E3139" i="1"/>
  <c r="F3139" i="1" s="1"/>
  <c r="E3140" i="1"/>
  <c r="F3140" i="1" s="1"/>
  <c r="E3141" i="1"/>
  <c r="F3141" i="1" s="1"/>
  <c r="E3142" i="1"/>
  <c r="F3142" i="1" s="1"/>
  <c r="E3143" i="1"/>
  <c r="F3143" i="1" s="1"/>
  <c r="E3144" i="1"/>
  <c r="F3144" i="1" s="1"/>
  <c r="E3145" i="1"/>
  <c r="F3145" i="1" s="1"/>
  <c r="E3146" i="1"/>
  <c r="F3146" i="1" s="1"/>
  <c r="E3147" i="1"/>
  <c r="F3147" i="1" s="1"/>
  <c r="E3148" i="1"/>
  <c r="F3148" i="1" s="1"/>
  <c r="E3149" i="1"/>
  <c r="F3149" i="1" s="1"/>
  <c r="E3150" i="1"/>
  <c r="F3150" i="1" s="1"/>
  <c r="E3151" i="1"/>
  <c r="F3151" i="1" s="1"/>
  <c r="E3152" i="1"/>
  <c r="F3152" i="1" s="1"/>
  <c r="E3153" i="1"/>
  <c r="F3153" i="1" s="1"/>
  <c r="E3154" i="1"/>
  <c r="F3154" i="1" s="1"/>
  <c r="E3101" i="1"/>
  <c r="F3101" i="1" s="1"/>
  <c r="E3102" i="1"/>
  <c r="F3102" i="1" s="1"/>
  <c r="E3103" i="1"/>
  <c r="F3103" i="1" s="1"/>
  <c r="E3104" i="1"/>
  <c r="F3104" i="1" s="1"/>
  <c r="E3105" i="1"/>
  <c r="F3105" i="1" s="1"/>
  <c r="E3106" i="1"/>
  <c r="F3106" i="1" s="1"/>
  <c r="E3107" i="1"/>
  <c r="F3107" i="1" s="1"/>
  <c r="E3108" i="1"/>
  <c r="F3108" i="1" s="1"/>
  <c r="E3109" i="1"/>
  <c r="F3109" i="1" s="1"/>
  <c r="E3110" i="1"/>
  <c r="F3110" i="1" s="1"/>
  <c r="E3111" i="1"/>
  <c r="F3111" i="1" s="1"/>
  <c r="E3112" i="1"/>
  <c r="F3112" i="1" s="1"/>
  <c r="E3113" i="1"/>
  <c r="F3113" i="1" s="1"/>
  <c r="E3114" i="1"/>
  <c r="F3114" i="1" s="1"/>
  <c r="E3115" i="1"/>
  <c r="F3115" i="1" s="1"/>
  <c r="E3116" i="1"/>
  <c r="F3116" i="1" s="1"/>
  <c r="E3063" i="1"/>
  <c r="F3063" i="1" s="1"/>
  <c r="E3064" i="1"/>
  <c r="F3064" i="1" s="1"/>
  <c r="E3065" i="1"/>
  <c r="F3065" i="1" s="1"/>
  <c r="E3066" i="1"/>
  <c r="F3066" i="1" s="1"/>
  <c r="E3067" i="1"/>
  <c r="F3067" i="1" s="1"/>
  <c r="E3068" i="1"/>
  <c r="F3068" i="1" s="1"/>
  <c r="E3069" i="1"/>
  <c r="F3069" i="1" s="1"/>
  <c r="E3070" i="1"/>
  <c r="F3070" i="1" s="1"/>
  <c r="E3071" i="1"/>
  <c r="F3071" i="1" s="1"/>
  <c r="E3072" i="1"/>
  <c r="F3072" i="1" s="1"/>
  <c r="E3073" i="1"/>
  <c r="F3073" i="1" s="1"/>
  <c r="E3074" i="1"/>
  <c r="F3074" i="1" s="1"/>
  <c r="E3075" i="1"/>
  <c r="F3075" i="1" s="1"/>
  <c r="E3076" i="1"/>
  <c r="F3076" i="1" s="1"/>
  <c r="E3077" i="1"/>
  <c r="F3077" i="1" s="1"/>
  <c r="E3078" i="1"/>
  <c r="F3078" i="1" s="1"/>
  <c r="E3025" i="1"/>
  <c r="F3025" i="1" s="1"/>
  <c r="E3026" i="1"/>
  <c r="F3026" i="1" s="1"/>
  <c r="E3027" i="1"/>
  <c r="F3027" i="1" s="1"/>
  <c r="E3028" i="1"/>
  <c r="F3028" i="1" s="1"/>
  <c r="E3029" i="1"/>
  <c r="F3029" i="1" s="1"/>
  <c r="E3030" i="1"/>
  <c r="F3030" i="1" s="1"/>
  <c r="E3031" i="1"/>
  <c r="F3031" i="1" s="1"/>
  <c r="E3032" i="1"/>
  <c r="F3032" i="1" s="1"/>
  <c r="E3033" i="1"/>
  <c r="F3033" i="1" s="1"/>
  <c r="E3034" i="1"/>
  <c r="F3034" i="1" s="1"/>
  <c r="E3035" i="1"/>
  <c r="F3035" i="1" s="1"/>
  <c r="E3036" i="1"/>
  <c r="F3036" i="1" s="1"/>
  <c r="E3037" i="1"/>
  <c r="F3037" i="1" s="1"/>
  <c r="E3038" i="1"/>
  <c r="F3038" i="1" s="1"/>
  <c r="E3039" i="1"/>
  <c r="F3039" i="1" s="1"/>
  <c r="E3040" i="1"/>
  <c r="F3040" i="1" s="1"/>
  <c r="E2987" i="1"/>
  <c r="F2987" i="1" s="1"/>
  <c r="E2988" i="1"/>
  <c r="F2988" i="1" s="1"/>
  <c r="E2989" i="1"/>
  <c r="F2989" i="1" s="1"/>
  <c r="E2990" i="1"/>
  <c r="F2990" i="1" s="1"/>
  <c r="E2991" i="1"/>
  <c r="F2991" i="1" s="1"/>
  <c r="E2992" i="1"/>
  <c r="F2992" i="1" s="1"/>
  <c r="E2993" i="1"/>
  <c r="F2993" i="1" s="1"/>
  <c r="E2994" i="1"/>
  <c r="F2994" i="1" s="1"/>
  <c r="E2995" i="1"/>
  <c r="F2995" i="1" s="1"/>
  <c r="E2996" i="1"/>
  <c r="F2996" i="1" s="1"/>
  <c r="E2997" i="1"/>
  <c r="F2997" i="1" s="1"/>
  <c r="E2998" i="1"/>
  <c r="F2998" i="1" s="1"/>
  <c r="E2999" i="1"/>
  <c r="F2999" i="1" s="1"/>
  <c r="E3000" i="1"/>
  <c r="F3000" i="1" s="1"/>
  <c r="E3001" i="1"/>
  <c r="F3001" i="1" s="1"/>
  <c r="E3002" i="1"/>
  <c r="F3002" i="1" s="1"/>
  <c r="E2949" i="1"/>
  <c r="F2949" i="1" s="1"/>
  <c r="E2950" i="1"/>
  <c r="F2950" i="1" s="1"/>
  <c r="E2951" i="1"/>
  <c r="F2951" i="1" s="1"/>
  <c r="E2952" i="1"/>
  <c r="F2952" i="1" s="1"/>
  <c r="E2953" i="1"/>
  <c r="F2953" i="1" s="1"/>
  <c r="E2954" i="1"/>
  <c r="F2954" i="1" s="1"/>
  <c r="E2955" i="1"/>
  <c r="F2955" i="1" s="1"/>
  <c r="E2956" i="1"/>
  <c r="F2956" i="1" s="1"/>
  <c r="E2957" i="1"/>
  <c r="F2957" i="1" s="1"/>
  <c r="E2958" i="1"/>
  <c r="F2958" i="1" s="1"/>
  <c r="E2959" i="1"/>
  <c r="F2959" i="1" s="1"/>
  <c r="E2960" i="1"/>
  <c r="F2960" i="1" s="1"/>
  <c r="E2961" i="1"/>
  <c r="F2961" i="1" s="1"/>
  <c r="E2962" i="1"/>
  <c r="F2962" i="1" s="1"/>
  <c r="E2963" i="1"/>
  <c r="F2963" i="1" s="1"/>
  <c r="E2964" i="1"/>
  <c r="F2964" i="1" s="1"/>
  <c r="E2911" i="1"/>
  <c r="F2911" i="1" s="1"/>
  <c r="E2912" i="1"/>
  <c r="F2912" i="1" s="1"/>
  <c r="E2913" i="1"/>
  <c r="F2913" i="1" s="1"/>
  <c r="E2914" i="1"/>
  <c r="F2914" i="1" s="1"/>
  <c r="E2915" i="1"/>
  <c r="F2915" i="1" s="1"/>
  <c r="E2916" i="1"/>
  <c r="F2916" i="1" s="1"/>
  <c r="E2917" i="1"/>
  <c r="F2917" i="1" s="1"/>
  <c r="E2918" i="1"/>
  <c r="F2918" i="1" s="1"/>
  <c r="E2919" i="1"/>
  <c r="F2919" i="1" s="1"/>
  <c r="E2920" i="1"/>
  <c r="F2920" i="1" s="1"/>
  <c r="E2921" i="1"/>
  <c r="F2921" i="1" s="1"/>
  <c r="E2922" i="1"/>
  <c r="F2922" i="1" s="1"/>
  <c r="E2923" i="1"/>
  <c r="F2923" i="1" s="1"/>
  <c r="E2924" i="1"/>
  <c r="F2924" i="1" s="1"/>
  <c r="E2925" i="1"/>
  <c r="F2925" i="1" s="1"/>
  <c r="E2926" i="1"/>
  <c r="F2926" i="1" s="1"/>
  <c r="E2873" i="1"/>
  <c r="F2873" i="1" s="1"/>
  <c r="E2874" i="1"/>
  <c r="F2874" i="1" s="1"/>
  <c r="E2875" i="1"/>
  <c r="F2875" i="1" s="1"/>
  <c r="E2876" i="1"/>
  <c r="F2876" i="1" s="1"/>
  <c r="E2877" i="1"/>
  <c r="F2877" i="1" s="1"/>
  <c r="E2878" i="1"/>
  <c r="F2878" i="1" s="1"/>
  <c r="E2879" i="1"/>
  <c r="F2879" i="1" s="1"/>
  <c r="E2880" i="1"/>
  <c r="F2880" i="1" s="1"/>
  <c r="E2881" i="1"/>
  <c r="F2881" i="1" s="1"/>
  <c r="E2882" i="1"/>
  <c r="F2882" i="1" s="1"/>
  <c r="E2883" i="1"/>
  <c r="F2883" i="1" s="1"/>
  <c r="E2884" i="1"/>
  <c r="F2884" i="1" s="1"/>
  <c r="E2885" i="1"/>
  <c r="F2885" i="1" s="1"/>
  <c r="E2886" i="1"/>
  <c r="F2886" i="1" s="1"/>
  <c r="E2887" i="1"/>
  <c r="F2887" i="1" s="1"/>
  <c r="E2888" i="1"/>
  <c r="F2888" i="1" s="1"/>
  <c r="E2797" i="1"/>
  <c r="F2797" i="1" s="1"/>
  <c r="E2798" i="1"/>
  <c r="F2798" i="1" s="1"/>
  <c r="E2799" i="1"/>
  <c r="F2799" i="1" s="1"/>
  <c r="E2800" i="1"/>
  <c r="F2800" i="1" s="1"/>
  <c r="E2801" i="1"/>
  <c r="F2801" i="1" s="1"/>
  <c r="E2802" i="1"/>
  <c r="F2802" i="1" s="1"/>
  <c r="E2803" i="1"/>
  <c r="F2803" i="1" s="1"/>
  <c r="E2804" i="1"/>
  <c r="F2804" i="1" s="1"/>
  <c r="E2805" i="1"/>
  <c r="F2805" i="1" s="1"/>
  <c r="E2806" i="1"/>
  <c r="F2806" i="1" s="1"/>
  <c r="E2807" i="1"/>
  <c r="F2807" i="1" s="1"/>
  <c r="E2808" i="1"/>
  <c r="F2808" i="1" s="1"/>
  <c r="E2809" i="1"/>
  <c r="F2809" i="1" s="1"/>
  <c r="E2810" i="1"/>
  <c r="F2810" i="1" s="1"/>
  <c r="E2811" i="1"/>
  <c r="F2811" i="1" s="1"/>
  <c r="E2812" i="1"/>
  <c r="F2812" i="1" s="1"/>
  <c r="E2759" i="1"/>
  <c r="F2759" i="1" s="1"/>
  <c r="E2760" i="1"/>
  <c r="F2760" i="1" s="1"/>
  <c r="E2761" i="1"/>
  <c r="F2761" i="1" s="1"/>
  <c r="E2762" i="1"/>
  <c r="F2762" i="1" s="1"/>
  <c r="E2763" i="1"/>
  <c r="F2763" i="1" s="1"/>
  <c r="E2764" i="1"/>
  <c r="F2764" i="1" s="1"/>
  <c r="E2765" i="1"/>
  <c r="F2765" i="1" s="1"/>
  <c r="E2766" i="1"/>
  <c r="F2766" i="1" s="1"/>
  <c r="E2767" i="1"/>
  <c r="F2767" i="1" s="1"/>
  <c r="E2768" i="1"/>
  <c r="F2768" i="1" s="1"/>
  <c r="E2769" i="1"/>
  <c r="F2769" i="1" s="1"/>
  <c r="E2770" i="1"/>
  <c r="F2770" i="1" s="1"/>
  <c r="E2771" i="1"/>
  <c r="F2771" i="1" s="1"/>
  <c r="E2772" i="1"/>
  <c r="F2772" i="1" s="1"/>
  <c r="E2773" i="1"/>
  <c r="F2773" i="1" s="1"/>
  <c r="E2774" i="1"/>
  <c r="F2774" i="1" s="1"/>
  <c r="E2721" i="1"/>
  <c r="F2721" i="1" s="1"/>
  <c r="E2722" i="1"/>
  <c r="F2722" i="1" s="1"/>
  <c r="E2723" i="1"/>
  <c r="F2723" i="1" s="1"/>
  <c r="E2724" i="1"/>
  <c r="F2724" i="1" s="1"/>
  <c r="E2725" i="1"/>
  <c r="F2725" i="1" s="1"/>
  <c r="E2726" i="1"/>
  <c r="F2726" i="1" s="1"/>
  <c r="E2727" i="1"/>
  <c r="F2727" i="1" s="1"/>
  <c r="E2728" i="1"/>
  <c r="F2728" i="1" s="1"/>
  <c r="E2729" i="1"/>
  <c r="F2729" i="1" s="1"/>
  <c r="E2730" i="1"/>
  <c r="F2730" i="1" s="1"/>
  <c r="E2731" i="1"/>
  <c r="F2731" i="1" s="1"/>
  <c r="E2732" i="1"/>
  <c r="F2732" i="1" s="1"/>
  <c r="E2733" i="1"/>
  <c r="F2733" i="1" s="1"/>
  <c r="E2734" i="1"/>
  <c r="F2734" i="1" s="1"/>
  <c r="E2735" i="1"/>
  <c r="F2735" i="1" s="1"/>
  <c r="E2736" i="1"/>
  <c r="F2736" i="1" s="1"/>
  <c r="E2683" i="1"/>
  <c r="F2683" i="1" s="1"/>
  <c r="E2684" i="1"/>
  <c r="F2684" i="1" s="1"/>
  <c r="E2685" i="1"/>
  <c r="F2685" i="1" s="1"/>
  <c r="E2686" i="1"/>
  <c r="F2686" i="1" s="1"/>
  <c r="E2687" i="1"/>
  <c r="F2687" i="1" s="1"/>
  <c r="E2688" i="1"/>
  <c r="F2688" i="1" s="1"/>
  <c r="E2689" i="1"/>
  <c r="F2689" i="1" s="1"/>
  <c r="E2690" i="1"/>
  <c r="F2690" i="1" s="1"/>
  <c r="E2691" i="1"/>
  <c r="F2691" i="1" s="1"/>
  <c r="E2692" i="1"/>
  <c r="F2692" i="1" s="1"/>
  <c r="E2693" i="1"/>
  <c r="F2693" i="1" s="1"/>
  <c r="E2694" i="1"/>
  <c r="F2694" i="1" s="1"/>
  <c r="E2695" i="1"/>
  <c r="F2695" i="1" s="1"/>
  <c r="E2696" i="1"/>
  <c r="F2696" i="1" s="1"/>
  <c r="E2697" i="1"/>
  <c r="F2697" i="1" s="1"/>
  <c r="E2698" i="1"/>
  <c r="F2698" i="1" s="1"/>
  <c r="E2645" i="1"/>
  <c r="F2645" i="1" s="1"/>
  <c r="E2646" i="1"/>
  <c r="F2646" i="1" s="1"/>
  <c r="E2647" i="1"/>
  <c r="F2647" i="1" s="1"/>
  <c r="E2648" i="1"/>
  <c r="F2648" i="1" s="1"/>
  <c r="E2649" i="1"/>
  <c r="F2649" i="1" s="1"/>
  <c r="E2650" i="1"/>
  <c r="F2650" i="1" s="1"/>
  <c r="E2651" i="1"/>
  <c r="F2651" i="1" s="1"/>
  <c r="E2652" i="1"/>
  <c r="F2652" i="1" s="1"/>
  <c r="E2653" i="1"/>
  <c r="F2653" i="1" s="1"/>
  <c r="E2654" i="1"/>
  <c r="F2654" i="1" s="1"/>
  <c r="E2655" i="1"/>
  <c r="F2655" i="1" s="1"/>
  <c r="E2656" i="1"/>
  <c r="F2656" i="1" s="1"/>
  <c r="E2657" i="1"/>
  <c r="F2657" i="1" s="1"/>
  <c r="E2658" i="1"/>
  <c r="F2658" i="1" s="1"/>
  <c r="E2659" i="1"/>
  <c r="F2659" i="1" s="1"/>
  <c r="E2660" i="1"/>
  <c r="F2660" i="1" s="1"/>
  <c r="E2607" i="1"/>
  <c r="F2607" i="1" s="1"/>
  <c r="E2608" i="1"/>
  <c r="F2608" i="1" s="1"/>
  <c r="E2609" i="1"/>
  <c r="F2609" i="1" s="1"/>
  <c r="E2610" i="1"/>
  <c r="F2610" i="1" s="1"/>
  <c r="E2611" i="1"/>
  <c r="F2611" i="1" s="1"/>
  <c r="E2612" i="1"/>
  <c r="F2612" i="1" s="1"/>
  <c r="E2613" i="1"/>
  <c r="F2613" i="1" s="1"/>
  <c r="E2614" i="1"/>
  <c r="F2614" i="1" s="1"/>
  <c r="E2615" i="1"/>
  <c r="F2615" i="1" s="1"/>
  <c r="E2616" i="1"/>
  <c r="F2616" i="1" s="1"/>
  <c r="E2617" i="1"/>
  <c r="F2617" i="1" s="1"/>
  <c r="E2618" i="1"/>
  <c r="F2618" i="1" s="1"/>
  <c r="E2619" i="1"/>
  <c r="F2619" i="1" s="1"/>
  <c r="E2620" i="1"/>
  <c r="F2620" i="1" s="1"/>
  <c r="E2621" i="1"/>
  <c r="F2621" i="1" s="1"/>
  <c r="E2622" i="1"/>
  <c r="F2622" i="1" s="1"/>
  <c r="E2569" i="1"/>
  <c r="F2569" i="1" s="1"/>
  <c r="E2570" i="1"/>
  <c r="F2570" i="1" s="1"/>
  <c r="E2571" i="1"/>
  <c r="F2571" i="1" s="1"/>
  <c r="E2572" i="1"/>
  <c r="F2572" i="1" s="1"/>
  <c r="E2573" i="1"/>
  <c r="F2573" i="1" s="1"/>
  <c r="E2574" i="1"/>
  <c r="F2574" i="1" s="1"/>
  <c r="E2575" i="1"/>
  <c r="F2575" i="1" s="1"/>
  <c r="E2576" i="1"/>
  <c r="F2576" i="1" s="1"/>
  <c r="E2577" i="1"/>
  <c r="F2577" i="1" s="1"/>
  <c r="E2578" i="1"/>
  <c r="F2578" i="1" s="1"/>
  <c r="E2579" i="1"/>
  <c r="F2579" i="1" s="1"/>
  <c r="E2580" i="1"/>
  <c r="F2580" i="1" s="1"/>
  <c r="E2581" i="1"/>
  <c r="F2581" i="1" s="1"/>
  <c r="E2582" i="1"/>
  <c r="F2582" i="1" s="1"/>
  <c r="E2583" i="1"/>
  <c r="F2583" i="1" s="1"/>
  <c r="E2584" i="1"/>
  <c r="F2584" i="1" s="1"/>
  <c r="E2531" i="1"/>
  <c r="F2531" i="1" s="1"/>
  <c r="E2532" i="1"/>
  <c r="F2532" i="1" s="1"/>
  <c r="E2533" i="1"/>
  <c r="F2533" i="1" s="1"/>
  <c r="E2534" i="1"/>
  <c r="F2534" i="1" s="1"/>
  <c r="E2535" i="1"/>
  <c r="F2535" i="1" s="1"/>
  <c r="E2536" i="1"/>
  <c r="F2536" i="1" s="1"/>
  <c r="E2537" i="1"/>
  <c r="F2537" i="1" s="1"/>
  <c r="E2538" i="1"/>
  <c r="F2538" i="1" s="1"/>
  <c r="E2539" i="1"/>
  <c r="F2539" i="1" s="1"/>
  <c r="E2540" i="1"/>
  <c r="F2540" i="1" s="1"/>
  <c r="E2541" i="1"/>
  <c r="F2541" i="1" s="1"/>
  <c r="E2542" i="1"/>
  <c r="F2542" i="1" s="1"/>
  <c r="E2543" i="1"/>
  <c r="F2543" i="1" s="1"/>
  <c r="E2544" i="1"/>
  <c r="F2544" i="1" s="1"/>
  <c r="E2545" i="1"/>
  <c r="F2545" i="1" s="1"/>
  <c r="E2546" i="1"/>
  <c r="F2546" i="1" s="1"/>
  <c r="E2493" i="1"/>
  <c r="F2493" i="1" s="1"/>
  <c r="E2494" i="1"/>
  <c r="F2494" i="1" s="1"/>
  <c r="E2495" i="1"/>
  <c r="F2495" i="1" s="1"/>
  <c r="E2496" i="1"/>
  <c r="F2496" i="1" s="1"/>
  <c r="E2497" i="1"/>
  <c r="F2497" i="1" s="1"/>
  <c r="E2498" i="1"/>
  <c r="F2498" i="1" s="1"/>
  <c r="E2499" i="1"/>
  <c r="F2499" i="1" s="1"/>
  <c r="E2500" i="1"/>
  <c r="F2500" i="1" s="1"/>
  <c r="E2501" i="1"/>
  <c r="F2501" i="1" s="1"/>
  <c r="E2502" i="1"/>
  <c r="F2502" i="1" s="1"/>
  <c r="E2503" i="1"/>
  <c r="F2503" i="1" s="1"/>
  <c r="E2504" i="1"/>
  <c r="F2504" i="1" s="1"/>
  <c r="E2505" i="1"/>
  <c r="F2505" i="1" s="1"/>
  <c r="E2506" i="1"/>
  <c r="F2506" i="1" s="1"/>
  <c r="E2507" i="1"/>
  <c r="F2507" i="1" s="1"/>
  <c r="E2508" i="1"/>
  <c r="F2508" i="1" s="1"/>
  <c r="F2455" i="1"/>
  <c r="F2456" i="1"/>
  <c r="F2457" i="1"/>
  <c r="F2458" i="1"/>
  <c r="F2459" i="1"/>
  <c r="F2460" i="1"/>
  <c r="F2461" i="1"/>
  <c r="F2462" i="1"/>
  <c r="F2463" i="1"/>
  <c r="F2464" i="1"/>
  <c r="F2465" i="1"/>
  <c r="F2466" i="1"/>
  <c r="F2467" i="1"/>
  <c r="F2468" i="1"/>
  <c r="F2469" i="1"/>
  <c r="F2470" i="1"/>
  <c r="F2417" i="1"/>
  <c r="F2418" i="1"/>
  <c r="F2419" i="1"/>
  <c r="F2420" i="1"/>
  <c r="F2421" i="1"/>
  <c r="F2422" i="1"/>
  <c r="F2423" i="1"/>
  <c r="F2424" i="1"/>
  <c r="F2425" i="1"/>
  <c r="F2426" i="1"/>
  <c r="F2427" i="1"/>
  <c r="F2428" i="1"/>
  <c r="F2429" i="1"/>
  <c r="F2430" i="1"/>
  <c r="F2431" i="1"/>
  <c r="F2432" i="1"/>
  <c r="F2379" i="1"/>
  <c r="F2380" i="1"/>
  <c r="F2381" i="1"/>
  <c r="F2382" i="1"/>
  <c r="F2383" i="1"/>
  <c r="F2384" i="1"/>
  <c r="F2385" i="1"/>
  <c r="F2386" i="1"/>
  <c r="F2387" i="1"/>
  <c r="F2388" i="1"/>
  <c r="F2389" i="1"/>
  <c r="F2390" i="1"/>
  <c r="F2391" i="1"/>
  <c r="F2392" i="1"/>
  <c r="F2393" i="1"/>
  <c r="F2394" i="1"/>
  <c r="E2341" i="1"/>
  <c r="F2341" i="1" s="1"/>
  <c r="E2342" i="1"/>
  <c r="F2342" i="1" s="1"/>
  <c r="E2343" i="1"/>
  <c r="F2343" i="1" s="1"/>
  <c r="E2344" i="1"/>
  <c r="F2344" i="1" s="1"/>
  <c r="E2345" i="1"/>
  <c r="F2345" i="1" s="1"/>
  <c r="E2346" i="1"/>
  <c r="F2346" i="1" s="1"/>
  <c r="E2347" i="1"/>
  <c r="F2347" i="1" s="1"/>
  <c r="E2348" i="1"/>
  <c r="F2348" i="1" s="1"/>
  <c r="E2349" i="1"/>
  <c r="F2349" i="1" s="1"/>
  <c r="E2350" i="1"/>
  <c r="F2350" i="1" s="1"/>
  <c r="E2351" i="1"/>
  <c r="F2351" i="1" s="1"/>
  <c r="E2352" i="1"/>
  <c r="F2352" i="1" s="1"/>
  <c r="E2353" i="1"/>
  <c r="F2353" i="1" s="1"/>
  <c r="E2354" i="1"/>
  <c r="F2354" i="1" s="1"/>
  <c r="E2355" i="1"/>
  <c r="F2355" i="1" s="1"/>
  <c r="E2356" i="1"/>
  <c r="F2356" i="1" s="1"/>
  <c r="E2303" i="1"/>
  <c r="F2303" i="1" s="1"/>
  <c r="E2304" i="1"/>
  <c r="F2304" i="1" s="1"/>
  <c r="E2305" i="1"/>
  <c r="F2305" i="1" s="1"/>
  <c r="E2306" i="1"/>
  <c r="F2306" i="1" s="1"/>
  <c r="E2307" i="1"/>
  <c r="F2307" i="1" s="1"/>
  <c r="E2308" i="1"/>
  <c r="F2308" i="1" s="1"/>
  <c r="E2309" i="1"/>
  <c r="F2309" i="1" s="1"/>
  <c r="E2310" i="1"/>
  <c r="F2310" i="1" s="1"/>
  <c r="E2311" i="1"/>
  <c r="F2311" i="1" s="1"/>
  <c r="E2312" i="1"/>
  <c r="F2312" i="1" s="1"/>
  <c r="E2313" i="1"/>
  <c r="F2313" i="1" s="1"/>
  <c r="E2314" i="1"/>
  <c r="F2314" i="1" s="1"/>
  <c r="E2315" i="1"/>
  <c r="F2315" i="1" s="1"/>
  <c r="E2316" i="1"/>
  <c r="F2316" i="1" s="1"/>
  <c r="E2317" i="1"/>
  <c r="F2317" i="1" s="1"/>
  <c r="E2318" i="1"/>
  <c r="F2318" i="1" s="1"/>
  <c r="E2265" i="1"/>
  <c r="F2265" i="1" s="1"/>
  <c r="E2266" i="1"/>
  <c r="F2266" i="1" s="1"/>
  <c r="E2267" i="1"/>
  <c r="F2267" i="1" s="1"/>
  <c r="E2268" i="1"/>
  <c r="F2268" i="1" s="1"/>
  <c r="E2269" i="1"/>
  <c r="F2269" i="1" s="1"/>
  <c r="E2270" i="1"/>
  <c r="F2270" i="1" s="1"/>
  <c r="E2271" i="1"/>
  <c r="F2271" i="1" s="1"/>
  <c r="E2272" i="1"/>
  <c r="F2272" i="1" s="1"/>
  <c r="E2273" i="1"/>
  <c r="F2273" i="1" s="1"/>
  <c r="E2274" i="1"/>
  <c r="F2274" i="1" s="1"/>
  <c r="E2275" i="1"/>
  <c r="F2275" i="1" s="1"/>
  <c r="E2276" i="1"/>
  <c r="F2276" i="1" s="1"/>
  <c r="E2277" i="1"/>
  <c r="F2277" i="1" s="1"/>
  <c r="E2278" i="1"/>
  <c r="F2278" i="1" s="1"/>
  <c r="E2279" i="1"/>
  <c r="F2279" i="1" s="1"/>
  <c r="E2280" i="1"/>
  <c r="F2280" i="1" s="1"/>
  <c r="E2227" i="1"/>
  <c r="F2227" i="1" s="1"/>
  <c r="E2228" i="1"/>
  <c r="F2228" i="1" s="1"/>
  <c r="E2229" i="1"/>
  <c r="F2229" i="1" s="1"/>
  <c r="E2230" i="1"/>
  <c r="F2230" i="1" s="1"/>
  <c r="E2231" i="1"/>
  <c r="F2231" i="1" s="1"/>
  <c r="E2232" i="1"/>
  <c r="F2232" i="1" s="1"/>
  <c r="E2233" i="1"/>
  <c r="F2233" i="1" s="1"/>
  <c r="E2234" i="1"/>
  <c r="F2234" i="1" s="1"/>
  <c r="E2235" i="1"/>
  <c r="F2235" i="1" s="1"/>
  <c r="E2236" i="1"/>
  <c r="F2236" i="1" s="1"/>
  <c r="E2237" i="1"/>
  <c r="F2237" i="1" s="1"/>
  <c r="E2238" i="1"/>
  <c r="F2238" i="1" s="1"/>
  <c r="E2239" i="1"/>
  <c r="F2239" i="1" s="1"/>
  <c r="E2240" i="1"/>
  <c r="F2240" i="1" s="1"/>
  <c r="E2241" i="1"/>
  <c r="F2241" i="1" s="1"/>
  <c r="E2242" i="1"/>
  <c r="F2242" i="1" s="1"/>
  <c r="E2189" i="1"/>
  <c r="F2189" i="1" s="1"/>
  <c r="E2190" i="1"/>
  <c r="F2190" i="1" s="1"/>
  <c r="E2191" i="1"/>
  <c r="F2191" i="1" s="1"/>
  <c r="E2192" i="1"/>
  <c r="F2192" i="1" s="1"/>
  <c r="E2193" i="1"/>
  <c r="F2193" i="1" s="1"/>
  <c r="E2194" i="1"/>
  <c r="F2194" i="1" s="1"/>
  <c r="E2195" i="1"/>
  <c r="F2195" i="1" s="1"/>
  <c r="E2196" i="1"/>
  <c r="F2196" i="1" s="1"/>
  <c r="E2197" i="1"/>
  <c r="F2197" i="1" s="1"/>
  <c r="E2198" i="1"/>
  <c r="F2198" i="1" s="1"/>
  <c r="E2199" i="1"/>
  <c r="F2199" i="1" s="1"/>
  <c r="E2200" i="1"/>
  <c r="F2200" i="1" s="1"/>
  <c r="E2201" i="1"/>
  <c r="F2201" i="1" s="1"/>
  <c r="E2202" i="1"/>
  <c r="F2202" i="1" s="1"/>
  <c r="E2203" i="1"/>
  <c r="F2203" i="1" s="1"/>
  <c r="E2204" i="1"/>
  <c r="F2204" i="1" s="1"/>
  <c r="E2151" i="1"/>
  <c r="F2151" i="1" s="1"/>
  <c r="E2152" i="1"/>
  <c r="F2152" i="1" s="1"/>
  <c r="E2153" i="1"/>
  <c r="F2153" i="1" s="1"/>
  <c r="E2154" i="1"/>
  <c r="F2154" i="1" s="1"/>
  <c r="E2155" i="1"/>
  <c r="F2155" i="1" s="1"/>
  <c r="E2156" i="1"/>
  <c r="F2156" i="1" s="1"/>
  <c r="E2157" i="1"/>
  <c r="F2157" i="1" s="1"/>
  <c r="E2158" i="1"/>
  <c r="F2158" i="1" s="1"/>
  <c r="E2159" i="1"/>
  <c r="F2159" i="1" s="1"/>
  <c r="E2160" i="1"/>
  <c r="F2160" i="1" s="1"/>
  <c r="E2161" i="1"/>
  <c r="F2161" i="1" s="1"/>
  <c r="E2162" i="1"/>
  <c r="F2162" i="1" s="1"/>
  <c r="E2163" i="1"/>
  <c r="F2163" i="1" s="1"/>
  <c r="E2164" i="1"/>
  <c r="F2164" i="1" s="1"/>
  <c r="E2165" i="1"/>
  <c r="F2165" i="1" s="1"/>
  <c r="E2166" i="1"/>
  <c r="F2166" i="1" s="1"/>
  <c r="E2113" i="1"/>
  <c r="F2113" i="1" s="1"/>
  <c r="E2114" i="1"/>
  <c r="F2114" i="1" s="1"/>
  <c r="E2115" i="1"/>
  <c r="F2115" i="1" s="1"/>
  <c r="E2116" i="1"/>
  <c r="F2116" i="1" s="1"/>
  <c r="E2117" i="1"/>
  <c r="F2117" i="1" s="1"/>
  <c r="E2118" i="1"/>
  <c r="F2118" i="1" s="1"/>
  <c r="E2119" i="1"/>
  <c r="F2119" i="1" s="1"/>
  <c r="E2120" i="1"/>
  <c r="F2120" i="1" s="1"/>
  <c r="E2121" i="1"/>
  <c r="F2121" i="1" s="1"/>
  <c r="E2122" i="1"/>
  <c r="F2122" i="1" s="1"/>
  <c r="E2123" i="1"/>
  <c r="F2123" i="1" s="1"/>
  <c r="E2124" i="1"/>
  <c r="F2124" i="1" s="1"/>
  <c r="E2125" i="1"/>
  <c r="F2125" i="1" s="1"/>
  <c r="E2126" i="1"/>
  <c r="F2126" i="1" s="1"/>
  <c r="E2127" i="1"/>
  <c r="F2127" i="1" s="1"/>
  <c r="E2128" i="1"/>
  <c r="F2128" i="1" s="1"/>
  <c r="E2075" i="1"/>
  <c r="F2075" i="1" s="1"/>
  <c r="E2076" i="1"/>
  <c r="F2076" i="1" s="1"/>
  <c r="E2077" i="1"/>
  <c r="F2077" i="1" s="1"/>
  <c r="E2078" i="1"/>
  <c r="F2078" i="1" s="1"/>
  <c r="E2079" i="1"/>
  <c r="F2079" i="1" s="1"/>
  <c r="E2080" i="1"/>
  <c r="F2080" i="1" s="1"/>
  <c r="E2081" i="1"/>
  <c r="F2081" i="1" s="1"/>
  <c r="E2082" i="1"/>
  <c r="F2082" i="1" s="1"/>
  <c r="E2083" i="1"/>
  <c r="F2083" i="1" s="1"/>
  <c r="E2084" i="1"/>
  <c r="F2084" i="1" s="1"/>
  <c r="E2085" i="1"/>
  <c r="F2085" i="1" s="1"/>
  <c r="E2086" i="1"/>
  <c r="F2086" i="1" s="1"/>
  <c r="E2087" i="1"/>
  <c r="F2087" i="1" s="1"/>
  <c r="E2088" i="1"/>
  <c r="F2088" i="1" s="1"/>
  <c r="E2089" i="1"/>
  <c r="F2089" i="1" s="1"/>
  <c r="E2090" i="1"/>
  <c r="F2090" i="1" s="1"/>
  <c r="E2037" i="1"/>
  <c r="F2037" i="1" s="1"/>
  <c r="E2038" i="1"/>
  <c r="F2038" i="1" s="1"/>
  <c r="E2039" i="1"/>
  <c r="F2039" i="1" s="1"/>
  <c r="E2040" i="1"/>
  <c r="F2040" i="1" s="1"/>
  <c r="E2041" i="1"/>
  <c r="F2041" i="1" s="1"/>
  <c r="E2042" i="1"/>
  <c r="F2042" i="1" s="1"/>
  <c r="E2043" i="1"/>
  <c r="F2043" i="1" s="1"/>
  <c r="E2044" i="1"/>
  <c r="F2044" i="1" s="1"/>
  <c r="E2045" i="1"/>
  <c r="F2045" i="1" s="1"/>
  <c r="E2046" i="1"/>
  <c r="F2046" i="1" s="1"/>
  <c r="E2047" i="1"/>
  <c r="F2047" i="1" s="1"/>
  <c r="E2048" i="1"/>
  <c r="F2048" i="1" s="1"/>
  <c r="E2049" i="1"/>
  <c r="F2049" i="1" s="1"/>
  <c r="E2050" i="1"/>
  <c r="F2050" i="1" s="1"/>
  <c r="E2051" i="1"/>
  <c r="F2051" i="1" s="1"/>
  <c r="E2052" i="1"/>
  <c r="F2052" i="1" s="1"/>
  <c r="E1999" i="1"/>
  <c r="F1999" i="1" s="1"/>
  <c r="E2000" i="1"/>
  <c r="F2000" i="1" s="1"/>
  <c r="E2001" i="1"/>
  <c r="F2001" i="1" s="1"/>
  <c r="E2002" i="1"/>
  <c r="F2002" i="1" s="1"/>
  <c r="E2003" i="1"/>
  <c r="F2003" i="1" s="1"/>
  <c r="E2004" i="1"/>
  <c r="F2004" i="1" s="1"/>
  <c r="E2005" i="1"/>
  <c r="F2005" i="1" s="1"/>
  <c r="E2006" i="1"/>
  <c r="F2006" i="1" s="1"/>
  <c r="E2007" i="1"/>
  <c r="F2007" i="1" s="1"/>
  <c r="E2008" i="1"/>
  <c r="F2008" i="1" s="1"/>
  <c r="E2009" i="1"/>
  <c r="F2009" i="1" s="1"/>
  <c r="E2010" i="1"/>
  <c r="F2010" i="1" s="1"/>
  <c r="E2011" i="1"/>
  <c r="F2011" i="1" s="1"/>
  <c r="E2012" i="1"/>
  <c r="F2012" i="1" s="1"/>
  <c r="E2013" i="1"/>
  <c r="F2013" i="1" s="1"/>
  <c r="E2014" i="1"/>
  <c r="F2014" i="1" s="1"/>
  <c r="E1961" i="1"/>
  <c r="F1961" i="1" s="1"/>
  <c r="E1962" i="1"/>
  <c r="F1962" i="1" s="1"/>
  <c r="E1963" i="1"/>
  <c r="F1963" i="1" s="1"/>
  <c r="E1964" i="1"/>
  <c r="F1964" i="1" s="1"/>
  <c r="E1965" i="1"/>
  <c r="F1965" i="1" s="1"/>
  <c r="E1966" i="1"/>
  <c r="F1966" i="1" s="1"/>
  <c r="E1967" i="1"/>
  <c r="F1967" i="1" s="1"/>
  <c r="E1968" i="1"/>
  <c r="F1968" i="1" s="1"/>
  <c r="E1969" i="1"/>
  <c r="F1969" i="1" s="1"/>
  <c r="E1970" i="1"/>
  <c r="F1970" i="1" s="1"/>
  <c r="E1971" i="1"/>
  <c r="F1971" i="1" s="1"/>
  <c r="E1972" i="1"/>
  <c r="F1972" i="1" s="1"/>
  <c r="E1973" i="1"/>
  <c r="F1973" i="1" s="1"/>
  <c r="E1974" i="1"/>
  <c r="F1974" i="1" s="1"/>
  <c r="E1975" i="1"/>
  <c r="F1975" i="1" s="1"/>
  <c r="E1976" i="1"/>
  <c r="F1976" i="1" s="1"/>
  <c r="E1923" i="1"/>
  <c r="F1923" i="1" s="1"/>
  <c r="E1924" i="1"/>
  <c r="F1924" i="1" s="1"/>
  <c r="E1925" i="1"/>
  <c r="F1925" i="1" s="1"/>
  <c r="E1926" i="1"/>
  <c r="F1926" i="1" s="1"/>
  <c r="E1927" i="1"/>
  <c r="F1927" i="1" s="1"/>
  <c r="E1928" i="1"/>
  <c r="F1928" i="1" s="1"/>
  <c r="E1929" i="1"/>
  <c r="F1929" i="1" s="1"/>
  <c r="E1930" i="1"/>
  <c r="F1930" i="1" s="1"/>
  <c r="E1931" i="1"/>
  <c r="F1931" i="1" s="1"/>
  <c r="E1932" i="1"/>
  <c r="F1932" i="1" s="1"/>
  <c r="E1933" i="1"/>
  <c r="F1933" i="1" s="1"/>
  <c r="E1934" i="1"/>
  <c r="F1934" i="1" s="1"/>
  <c r="E1935" i="1"/>
  <c r="F1935" i="1" s="1"/>
  <c r="E1936" i="1"/>
  <c r="F1936" i="1" s="1"/>
  <c r="E1937" i="1"/>
  <c r="F1937" i="1" s="1"/>
  <c r="E1938" i="1"/>
  <c r="F1938" i="1" s="1"/>
  <c r="E1885" i="1"/>
  <c r="F1885" i="1" s="1"/>
  <c r="E1886" i="1"/>
  <c r="F1886" i="1" s="1"/>
  <c r="E1887" i="1"/>
  <c r="F1887" i="1" s="1"/>
  <c r="E1888" i="1"/>
  <c r="F1888" i="1" s="1"/>
  <c r="E1889" i="1"/>
  <c r="F1889" i="1" s="1"/>
  <c r="E1890" i="1"/>
  <c r="F1890" i="1" s="1"/>
  <c r="E1891" i="1"/>
  <c r="F1891" i="1" s="1"/>
  <c r="E1892" i="1"/>
  <c r="F1892" i="1" s="1"/>
  <c r="E1893" i="1"/>
  <c r="F1893" i="1" s="1"/>
  <c r="E1894" i="1"/>
  <c r="F1894" i="1" s="1"/>
  <c r="E1895" i="1"/>
  <c r="F1895" i="1" s="1"/>
  <c r="E1896" i="1"/>
  <c r="F1896" i="1" s="1"/>
  <c r="E1897" i="1"/>
  <c r="F1897" i="1" s="1"/>
  <c r="E1898" i="1"/>
  <c r="F1898" i="1" s="1"/>
  <c r="E1899" i="1"/>
  <c r="F1899" i="1" s="1"/>
  <c r="E1900" i="1"/>
  <c r="F1900" i="1" s="1"/>
  <c r="E1847" i="1"/>
  <c r="F1847" i="1" s="1"/>
  <c r="E1848" i="1"/>
  <c r="F1848" i="1" s="1"/>
  <c r="E1849" i="1"/>
  <c r="F1849" i="1" s="1"/>
  <c r="E1850" i="1"/>
  <c r="F1850" i="1" s="1"/>
  <c r="E1851" i="1"/>
  <c r="F1851" i="1" s="1"/>
  <c r="E1852" i="1"/>
  <c r="F1852" i="1" s="1"/>
  <c r="E1853" i="1"/>
  <c r="F1853" i="1" s="1"/>
  <c r="E1854" i="1"/>
  <c r="F1854" i="1" s="1"/>
  <c r="E1855" i="1"/>
  <c r="F1855" i="1" s="1"/>
  <c r="E1856" i="1"/>
  <c r="F1856" i="1" s="1"/>
  <c r="E1857" i="1"/>
  <c r="F1857" i="1" s="1"/>
  <c r="E1858" i="1"/>
  <c r="F1858" i="1" s="1"/>
  <c r="E1859" i="1"/>
  <c r="F1859" i="1" s="1"/>
  <c r="E1860" i="1"/>
  <c r="F1860" i="1" s="1"/>
  <c r="E1861" i="1"/>
  <c r="F1861" i="1" s="1"/>
  <c r="E1862" i="1"/>
  <c r="F1862" i="1" s="1"/>
  <c r="E1809" i="1"/>
  <c r="F1809" i="1" s="1"/>
  <c r="E1810" i="1"/>
  <c r="F1810" i="1" s="1"/>
  <c r="E1811" i="1"/>
  <c r="F1811" i="1" s="1"/>
  <c r="E1812" i="1"/>
  <c r="F1812" i="1" s="1"/>
  <c r="E1813" i="1"/>
  <c r="F1813" i="1" s="1"/>
  <c r="E1814" i="1"/>
  <c r="F1814" i="1" s="1"/>
  <c r="E1815" i="1"/>
  <c r="F1815" i="1" s="1"/>
  <c r="E1816" i="1"/>
  <c r="F1816" i="1" s="1"/>
  <c r="E1817" i="1"/>
  <c r="F1817" i="1" s="1"/>
  <c r="E1818" i="1"/>
  <c r="F1818" i="1" s="1"/>
  <c r="E1819" i="1"/>
  <c r="F1819" i="1" s="1"/>
  <c r="E1820" i="1"/>
  <c r="F1820" i="1" s="1"/>
  <c r="E1821" i="1"/>
  <c r="F1821" i="1" s="1"/>
  <c r="E1822" i="1"/>
  <c r="F1822" i="1" s="1"/>
  <c r="E1823" i="1"/>
  <c r="F1823" i="1" s="1"/>
  <c r="E1824" i="1"/>
  <c r="F1824" i="1" s="1"/>
  <c r="E1771" i="1"/>
  <c r="F1771" i="1" s="1"/>
  <c r="E1772" i="1"/>
  <c r="F1772" i="1" s="1"/>
  <c r="E1773" i="1"/>
  <c r="F1773" i="1" s="1"/>
  <c r="E1774" i="1"/>
  <c r="F1774" i="1" s="1"/>
  <c r="E1775" i="1"/>
  <c r="F1775" i="1" s="1"/>
  <c r="E1776" i="1"/>
  <c r="F1776" i="1" s="1"/>
  <c r="E1777" i="1"/>
  <c r="F1777" i="1" s="1"/>
  <c r="E1778" i="1"/>
  <c r="F1778" i="1" s="1"/>
  <c r="E1779" i="1"/>
  <c r="F1779" i="1" s="1"/>
  <c r="E1780" i="1"/>
  <c r="F1780" i="1" s="1"/>
  <c r="E1781" i="1"/>
  <c r="F1781" i="1" s="1"/>
  <c r="E1782" i="1"/>
  <c r="F1782" i="1" s="1"/>
  <c r="E1783" i="1"/>
  <c r="F1783" i="1" s="1"/>
  <c r="E1784" i="1"/>
  <c r="F1784" i="1" s="1"/>
  <c r="E1785" i="1"/>
  <c r="F1785" i="1" s="1"/>
  <c r="E1786" i="1"/>
  <c r="F1786" i="1" s="1"/>
  <c r="E1733" i="1"/>
  <c r="F1733" i="1" s="1"/>
  <c r="E1734" i="1"/>
  <c r="F1734" i="1" s="1"/>
  <c r="E1735" i="1"/>
  <c r="F1735" i="1" s="1"/>
  <c r="E1736" i="1"/>
  <c r="F1736" i="1" s="1"/>
  <c r="E1737" i="1"/>
  <c r="F1737" i="1" s="1"/>
  <c r="E1738" i="1"/>
  <c r="F1738" i="1" s="1"/>
  <c r="E1739" i="1"/>
  <c r="F1739" i="1" s="1"/>
  <c r="E1740" i="1"/>
  <c r="F1740" i="1" s="1"/>
  <c r="E1741" i="1"/>
  <c r="F1741" i="1" s="1"/>
  <c r="E1742" i="1"/>
  <c r="F1742" i="1" s="1"/>
  <c r="E1743" i="1"/>
  <c r="F1743" i="1" s="1"/>
  <c r="E1744" i="1"/>
  <c r="F1744" i="1" s="1"/>
  <c r="E1745" i="1"/>
  <c r="F1745" i="1" s="1"/>
  <c r="E1746" i="1"/>
  <c r="F1746" i="1" s="1"/>
  <c r="E1747" i="1"/>
  <c r="F1747" i="1" s="1"/>
  <c r="E1748" i="1"/>
  <c r="F1748" i="1" s="1"/>
  <c r="E1695" i="1"/>
  <c r="F1695" i="1" s="1"/>
  <c r="E1696" i="1"/>
  <c r="F1696" i="1" s="1"/>
  <c r="E1697" i="1"/>
  <c r="F1697" i="1" s="1"/>
  <c r="E1698" i="1"/>
  <c r="F1698" i="1" s="1"/>
  <c r="E1699" i="1"/>
  <c r="F1699" i="1" s="1"/>
  <c r="E1700" i="1"/>
  <c r="F1700" i="1" s="1"/>
  <c r="E1701" i="1"/>
  <c r="F1701" i="1" s="1"/>
  <c r="E1702" i="1"/>
  <c r="F1702" i="1" s="1"/>
  <c r="E1703" i="1"/>
  <c r="F1703" i="1" s="1"/>
  <c r="E1704" i="1"/>
  <c r="F1704" i="1" s="1"/>
  <c r="E1705" i="1"/>
  <c r="F1705" i="1" s="1"/>
  <c r="E1706" i="1"/>
  <c r="F1706" i="1" s="1"/>
  <c r="E1707" i="1"/>
  <c r="F1707" i="1" s="1"/>
  <c r="E1708" i="1"/>
  <c r="F1708" i="1" s="1"/>
  <c r="E1709" i="1"/>
  <c r="F1709" i="1" s="1"/>
  <c r="E1710" i="1"/>
  <c r="F1710" i="1" s="1"/>
  <c r="E1657" i="1"/>
  <c r="F1657" i="1" s="1"/>
  <c r="E1658" i="1"/>
  <c r="F1658" i="1" s="1"/>
  <c r="E1659" i="1"/>
  <c r="F1659" i="1" s="1"/>
  <c r="E1660" i="1"/>
  <c r="F1660" i="1" s="1"/>
  <c r="E1661" i="1"/>
  <c r="F1661" i="1" s="1"/>
  <c r="E1662" i="1"/>
  <c r="F1662" i="1" s="1"/>
  <c r="E1663" i="1"/>
  <c r="F1663" i="1" s="1"/>
  <c r="E1664" i="1"/>
  <c r="F1664" i="1" s="1"/>
  <c r="E1665" i="1"/>
  <c r="F1665" i="1" s="1"/>
  <c r="E1666" i="1"/>
  <c r="F1666" i="1" s="1"/>
  <c r="E1667" i="1"/>
  <c r="F1667" i="1" s="1"/>
  <c r="E1668" i="1"/>
  <c r="F1668" i="1" s="1"/>
  <c r="E1669" i="1"/>
  <c r="F1669" i="1" s="1"/>
  <c r="E1670" i="1"/>
  <c r="F1670" i="1" s="1"/>
  <c r="E1671" i="1"/>
  <c r="F1671" i="1" s="1"/>
  <c r="E1672" i="1"/>
  <c r="F1672" i="1" s="1"/>
  <c r="E1619" i="1"/>
  <c r="F1619" i="1" s="1"/>
  <c r="E1620" i="1"/>
  <c r="F1620" i="1" s="1"/>
  <c r="E1621" i="1"/>
  <c r="F1621" i="1" s="1"/>
  <c r="E1622" i="1"/>
  <c r="F1622" i="1" s="1"/>
  <c r="E1623" i="1"/>
  <c r="F1623" i="1" s="1"/>
  <c r="E1624" i="1"/>
  <c r="F1624" i="1" s="1"/>
  <c r="E1625" i="1"/>
  <c r="F1625" i="1" s="1"/>
  <c r="E1626" i="1"/>
  <c r="F1626" i="1" s="1"/>
  <c r="E1627" i="1"/>
  <c r="F1627" i="1" s="1"/>
  <c r="E1628" i="1"/>
  <c r="F1628" i="1" s="1"/>
  <c r="E1629" i="1"/>
  <c r="F1629" i="1" s="1"/>
  <c r="E1630" i="1"/>
  <c r="F1630" i="1" s="1"/>
  <c r="E1631" i="1"/>
  <c r="F1631" i="1" s="1"/>
  <c r="E1632" i="1"/>
  <c r="F1632" i="1" s="1"/>
  <c r="E1633" i="1"/>
  <c r="F1633" i="1" s="1"/>
  <c r="E1634" i="1"/>
  <c r="F1634" i="1" s="1"/>
  <c r="E1581" i="1"/>
  <c r="F1581" i="1" s="1"/>
  <c r="E1582" i="1"/>
  <c r="F1582" i="1" s="1"/>
  <c r="E1583" i="1"/>
  <c r="F1583" i="1" s="1"/>
  <c r="E1584" i="1"/>
  <c r="F1584" i="1" s="1"/>
  <c r="E1585" i="1"/>
  <c r="F1585" i="1" s="1"/>
  <c r="E1586" i="1"/>
  <c r="F1586" i="1" s="1"/>
  <c r="E1587" i="1"/>
  <c r="F1587" i="1" s="1"/>
  <c r="E1588" i="1"/>
  <c r="F1588" i="1" s="1"/>
  <c r="E1589" i="1"/>
  <c r="F1589" i="1" s="1"/>
  <c r="E1590" i="1"/>
  <c r="F1590" i="1" s="1"/>
  <c r="E1591" i="1"/>
  <c r="F1591" i="1" s="1"/>
  <c r="E1592" i="1"/>
  <c r="F1592" i="1" s="1"/>
  <c r="E1593" i="1"/>
  <c r="F1593" i="1" s="1"/>
  <c r="E1594" i="1"/>
  <c r="F1594" i="1" s="1"/>
  <c r="E1595" i="1"/>
  <c r="F1595" i="1" s="1"/>
  <c r="E1596" i="1"/>
  <c r="F1596" i="1" s="1"/>
  <c r="E1543" i="1"/>
  <c r="F1543" i="1" s="1"/>
  <c r="E1544" i="1"/>
  <c r="F1544" i="1" s="1"/>
  <c r="E1545" i="1"/>
  <c r="F1545" i="1" s="1"/>
  <c r="E1546" i="1"/>
  <c r="F1546" i="1" s="1"/>
  <c r="E1547" i="1"/>
  <c r="F1547" i="1" s="1"/>
  <c r="E1548" i="1"/>
  <c r="F1548" i="1" s="1"/>
  <c r="E1549" i="1"/>
  <c r="F1549" i="1" s="1"/>
  <c r="E1550" i="1"/>
  <c r="F1550" i="1" s="1"/>
  <c r="E1551" i="1"/>
  <c r="F1551" i="1" s="1"/>
  <c r="E1552" i="1"/>
  <c r="F1552" i="1" s="1"/>
  <c r="E1553" i="1"/>
  <c r="F1553" i="1" s="1"/>
  <c r="E1554" i="1"/>
  <c r="F1554" i="1" s="1"/>
  <c r="E1555" i="1"/>
  <c r="F1555" i="1" s="1"/>
  <c r="E1556" i="1"/>
  <c r="F1556" i="1" s="1"/>
  <c r="E1557" i="1"/>
  <c r="F1557" i="1" s="1"/>
  <c r="E1558" i="1"/>
  <c r="F1558" i="1" s="1"/>
  <c r="E1505" i="1"/>
  <c r="F1505" i="1" s="1"/>
  <c r="E1506" i="1"/>
  <c r="F1506" i="1" s="1"/>
  <c r="E1507" i="1"/>
  <c r="F1507" i="1" s="1"/>
  <c r="E1508" i="1"/>
  <c r="F1508" i="1" s="1"/>
  <c r="E1509" i="1"/>
  <c r="F1509" i="1" s="1"/>
  <c r="E1510" i="1"/>
  <c r="F1510" i="1" s="1"/>
  <c r="E1511" i="1"/>
  <c r="F1511" i="1" s="1"/>
  <c r="E1512" i="1"/>
  <c r="F1512" i="1" s="1"/>
  <c r="E1513" i="1"/>
  <c r="F1513" i="1" s="1"/>
  <c r="E1514" i="1"/>
  <c r="F1514" i="1" s="1"/>
  <c r="E1515" i="1"/>
  <c r="F1515" i="1" s="1"/>
  <c r="E1516" i="1"/>
  <c r="F1516" i="1" s="1"/>
  <c r="E1517" i="1"/>
  <c r="F1517" i="1" s="1"/>
  <c r="E1518" i="1"/>
  <c r="F1518" i="1" s="1"/>
  <c r="E1519" i="1"/>
  <c r="F1519" i="1" s="1"/>
  <c r="E1520" i="1"/>
  <c r="F1520" i="1" s="1"/>
  <c r="E1467" i="1"/>
  <c r="F1467" i="1" s="1"/>
  <c r="E1468" i="1"/>
  <c r="F1468" i="1" s="1"/>
  <c r="E1469" i="1"/>
  <c r="F1469" i="1" s="1"/>
  <c r="E1470" i="1"/>
  <c r="F1470" i="1" s="1"/>
  <c r="E1471" i="1"/>
  <c r="F1471" i="1" s="1"/>
  <c r="E1472" i="1"/>
  <c r="F1472" i="1" s="1"/>
  <c r="E1473" i="1"/>
  <c r="F1473" i="1" s="1"/>
  <c r="E1474" i="1"/>
  <c r="F1474" i="1" s="1"/>
  <c r="E1475" i="1"/>
  <c r="F1475" i="1" s="1"/>
  <c r="E1476" i="1"/>
  <c r="F1476" i="1" s="1"/>
  <c r="E1477" i="1"/>
  <c r="F1477" i="1" s="1"/>
  <c r="E1478" i="1"/>
  <c r="F1478" i="1" s="1"/>
  <c r="E1479" i="1"/>
  <c r="F1479" i="1" s="1"/>
  <c r="E1480" i="1"/>
  <c r="F1480" i="1" s="1"/>
  <c r="E1481" i="1"/>
  <c r="F1481" i="1" s="1"/>
  <c r="E1482" i="1"/>
  <c r="F1482" i="1" s="1"/>
  <c r="E1429" i="1"/>
  <c r="F1429" i="1" s="1"/>
  <c r="E1430" i="1"/>
  <c r="F1430" i="1" s="1"/>
  <c r="E1431" i="1"/>
  <c r="F1431" i="1" s="1"/>
  <c r="E1432" i="1"/>
  <c r="F1432" i="1" s="1"/>
  <c r="E1433" i="1"/>
  <c r="F1433" i="1" s="1"/>
  <c r="E1434" i="1"/>
  <c r="F1434" i="1" s="1"/>
  <c r="E1435" i="1"/>
  <c r="F1435" i="1" s="1"/>
  <c r="E1436" i="1"/>
  <c r="F1436" i="1" s="1"/>
  <c r="E1437" i="1"/>
  <c r="F1437" i="1" s="1"/>
  <c r="E1438" i="1"/>
  <c r="F1438" i="1" s="1"/>
  <c r="E1439" i="1"/>
  <c r="F1439" i="1" s="1"/>
  <c r="E1440" i="1"/>
  <c r="F1440" i="1" s="1"/>
  <c r="E1441" i="1"/>
  <c r="F1441" i="1" s="1"/>
  <c r="E1442" i="1"/>
  <c r="F1442" i="1" s="1"/>
  <c r="E1443" i="1"/>
  <c r="F1443" i="1" s="1"/>
  <c r="E1444" i="1"/>
  <c r="F1444" i="1" s="1"/>
  <c r="E1391" i="1"/>
  <c r="F1391" i="1" s="1"/>
  <c r="E1392" i="1"/>
  <c r="F1392" i="1" s="1"/>
  <c r="E1393" i="1"/>
  <c r="F1393" i="1" s="1"/>
  <c r="E1394" i="1"/>
  <c r="F1394" i="1" s="1"/>
  <c r="E1395" i="1"/>
  <c r="F1395" i="1" s="1"/>
  <c r="E1396" i="1"/>
  <c r="F1396" i="1" s="1"/>
  <c r="E1397" i="1"/>
  <c r="F1397" i="1" s="1"/>
  <c r="E1398" i="1"/>
  <c r="F1398" i="1" s="1"/>
  <c r="E1399" i="1"/>
  <c r="F1399" i="1" s="1"/>
  <c r="E1400" i="1"/>
  <c r="F1400" i="1" s="1"/>
  <c r="E1401" i="1"/>
  <c r="F1401" i="1" s="1"/>
  <c r="E1402" i="1"/>
  <c r="F1402" i="1" s="1"/>
  <c r="E1403" i="1"/>
  <c r="F1403" i="1" s="1"/>
  <c r="E1404" i="1"/>
  <c r="F1404" i="1" s="1"/>
  <c r="E1405" i="1"/>
  <c r="F1405" i="1" s="1"/>
  <c r="E1406" i="1"/>
  <c r="F1406" i="1" s="1"/>
  <c r="E1353" i="1"/>
  <c r="F1353" i="1" s="1"/>
  <c r="E1354" i="1"/>
  <c r="F1354" i="1" s="1"/>
  <c r="E1355" i="1"/>
  <c r="F1355" i="1" s="1"/>
  <c r="E1356" i="1"/>
  <c r="F1356" i="1" s="1"/>
  <c r="E1357" i="1"/>
  <c r="F1357" i="1" s="1"/>
  <c r="E1358" i="1"/>
  <c r="F1358" i="1" s="1"/>
  <c r="E1359" i="1"/>
  <c r="F1359" i="1" s="1"/>
  <c r="E1360" i="1"/>
  <c r="F1360" i="1" s="1"/>
  <c r="E1361" i="1"/>
  <c r="F1361" i="1" s="1"/>
  <c r="E1362" i="1"/>
  <c r="F1362" i="1" s="1"/>
  <c r="E1363" i="1"/>
  <c r="F1363" i="1" s="1"/>
  <c r="E1364" i="1"/>
  <c r="F1364" i="1" s="1"/>
  <c r="E1365" i="1"/>
  <c r="F1365" i="1" s="1"/>
  <c r="E1366" i="1"/>
  <c r="F1366" i="1" s="1"/>
  <c r="E1367" i="1"/>
  <c r="F1367" i="1" s="1"/>
  <c r="E1368" i="1"/>
  <c r="F1368" i="1" s="1"/>
  <c r="E1315" i="1"/>
  <c r="F1315" i="1" s="1"/>
  <c r="E1316" i="1"/>
  <c r="F1316" i="1" s="1"/>
  <c r="E1317" i="1"/>
  <c r="F1317" i="1" s="1"/>
  <c r="E1318" i="1"/>
  <c r="F1318" i="1" s="1"/>
  <c r="E1319" i="1"/>
  <c r="F1319" i="1" s="1"/>
  <c r="E1320" i="1"/>
  <c r="F1320" i="1" s="1"/>
  <c r="E1321" i="1"/>
  <c r="F1321" i="1" s="1"/>
  <c r="E1322" i="1"/>
  <c r="F1322" i="1" s="1"/>
  <c r="E1323" i="1"/>
  <c r="F1323" i="1" s="1"/>
  <c r="E1324" i="1"/>
  <c r="F1324" i="1" s="1"/>
  <c r="E1325" i="1"/>
  <c r="F1325" i="1" s="1"/>
  <c r="E1326" i="1"/>
  <c r="F1326" i="1" s="1"/>
  <c r="E1327" i="1"/>
  <c r="F1327" i="1" s="1"/>
  <c r="E1328" i="1"/>
  <c r="F1328" i="1" s="1"/>
  <c r="E1329" i="1"/>
  <c r="F1329" i="1" s="1"/>
  <c r="E1330" i="1"/>
  <c r="F1330" i="1" s="1"/>
  <c r="E1277" i="1"/>
  <c r="F1277" i="1" s="1"/>
  <c r="E1278" i="1"/>
  <c r="F1278" i="1" s="1"/>
  <c r="E1279" i="1"/>
  <c r="F1279" i="1" s="1"/>
  <c r="E1280" i="1"/>
  <c r="F1280" i="1" s="1"/>
  <c r="E1281" i="1"/>
  <c r="F1281" i="1" s="1"/>
  <c r="E1282" i="1"/>
  <c r="F1282" i="1" s="1"/>
  <c r="E1283" i="1"/>
  <c r="F1283" i="1" s="1"/>
  <c r="E1284" i="1"/>
  <c r="F1284" i="1" s="1"/>
  <c r="E1285" i="1"/>
  <c r="F1285" i="1" s="1"/>
  <c r="E1286" i="1"/>
  <c r="F1286" i="1" s="1"/>
  <c r="E1287" i="1"/>
  <c r="F1287" i="1" s="1"/>
  <c r="E1288" i="1"/>
  <c r="F1288" i="1" s="1"/>
  <c r="E1289" i="1"/>
  <c r="F1289" i="1" s="1"/>
  <c r="E1290" i="1"/>
  <c r="F1290" i="1" s="1"/>
  <c r="E1291" i="1"/>
  <c r="F1291" i="1" s="1"/>
  <c r="E1292" i="1"/>
  <c r="F1292" i="1" s="1"/>
  <c r="E1239" i="1"/>
  <c r="F1239" i="1" s="1"/>
  <c r="E1240" i="1"/>
  <c r="F1240" i="1" s="1"/>
  <c r="E1241" i="1"/>
  <c r="F1241" i="1" s="1"/>
  <c r="E1242" i="1"/>
  <c r="F1242" i="1" s="1"/>
  <c r="E1243" i="1"/>
  <c r="F1243" i="1" s="1"/>
  <c r="E1244" i="1"/>
  <c r="F1244" i="1" s="1"/>
  <c r="E1245" i="1"/>
  <c r="F1245" i="1" s="1"/>
  <c r="E1246" i="1"/>
  <c r="F1246" i="1" s="1"/>
  <c r="E1247" i="1"/>
  <c r="F1247" i="1" s="1"/>
  <c r="E1248" i="1"/>
  <c r="F1248" i="1" s="1"/>
  <c r="E1249" i="1"/>
  <c r="F1249" i="1" s="1"/>
  <c r="E1250" i="1"/>
  <c r="F1250" i="1" s="1"/>
  <c r="E1251" i="1"/>
  <c r="F1251" i="1" s="1"/>
  <c r="E1252" i="1"/>
  <c r="F1252" i="1" s="1"/>
  <c r="E1253" i="1"/>
  <c r="F1253" i="1" s="1"/>
  <c r="E1254" i="1"/>
  <c r="F1254" i="1" s="1"/>
  <c r="E1201" i="1"/>
  <c r="F1201" i="1" s="1"/>
  <c r="E1202" i="1"/>
  <c r="F1202" i="1" s="1"/>
  <c r="E1203" i="1"/>
  <c r="F1203" i="1" s="1"/>
  <c r="E1204" i="1"/>
  <c r="F1204" i="1" s="1"/>
  <c r="E1205" i="1"/>
  <c r="F1205" i="1" s="1"/>
  <c r="E1206" i="1"/>
  <c r="F1206" i="1" s="1"/>
  <c r="E1207" i="1"/>
  <c r="F1207" i="1" s="1"/>
  <c r="E1208" i="1"/>
  <c r="F1208" i="1" s="1"/>
  <c r="E1209" i="1"/>
  <c r="F1209" i="1" s="1"/>
  <c r="E1210" i="1"/>
  <c r="F1210" i="1" s="1"/>
  <c r="E1211" i="1"/>
  <c r="F1211" i="1" s="1"/>
  <c r="E1212" i="1"/>
  <c r="F1212" i="1" s="1"/>
  <c r="E1213" i="1"/>
  <c r="F1213" i="1" s="1"/>
  <c r="E1214" i="1"/>
  <c r="F1214" i="1" s="1"/>
  <c r="E1215" i="1"/>
  <c r="F1215" i="1" s="1"/>
  <c r="E1216" i="1"/>
  <c r="F1216" i="1" s="1"/>
  <c r="E1163" i="1"/>
  <c r="F1163" i="1" s="1"/>
  <c r="E1164" i="1"/>
  <c r="F1164" i="1" s="1"/>
  <c r="E1165" i="1"/>
  <c r="F1165" i="1" s="1"/>
  <c r="E1166" i="1"/>
  <c r="F1166" i="1" s="1"/>
  <c r="E1167" i="1"/>
  <c r="F1167" i="1" s="1"/>
  <c r="E1168" i="1"/>
  <c r="F1168" i="1" s="1"/>
  <c r="E1169" i="1"/>
  <c r="F1169" i="1" s="1"/>
  <c r="E1170" i="1"/>
  <c r="F1170" i="1" s="1"/>
  <c r="E1171" i="1"/>
  <c r="F1171" i="1" s="1"/>
  <c r="E1172" i="1"/>
  <c r="F1172" i="1" s="1"/>
  <c r="E1173" i="1"/>
  <c r="F1173" i="1" s="1"/>
  <c r="E1174" i="1"/>
  <c r="F1174" i="1" s="1"/>
  <c r="E1175" i="1"/>
  <c r="F1175" i="1" s="1"/>
  <c r="E1176" i="1"/>
  <c r="F1176" i="1" s="1"/>
  <c r="E1177" i="1"/>
  <c r="F1177" i="1" s="1"/>
  <c r="E1178" i="1"/>
  <c r="F1178" i="1" s="1"/>
  <c r="E1125" i="1"/>
  <c r="F1125" i="1" s="1"/>
  <c r="E1126" i="1"/>
  <c r="F1126" i="1" s="1"/>
  <c r="E1127" i="1"/>
  <c r="F1127" i="1" s="1"/>
  <c r="E1128" i="1"/>
  <c r="F1128" i="1" s="1"/>
  <c r="E1129" i="1"/>
  <c r="F1129" i="1" s="1"/>
  <c r="E1130" i="1"/>
  <c r="F1130" i="1" s="1"/>
  <c r="E1131" i="1"/>
  <c r="F1131" i="1" s="1"/>
  <c r="E1132" i="1"/>
  <c r="F1132" i="1" s="1"/>
  <c r="E1133" i="1"/>
  <c r="F1133" i="1" s="1"/>
  <c r="E1134" i="1"/>
  <c r="F1134" i="1" s="1"/>
  <c r="E1135" i="1"/>
  <c r="F1135" i="1" s="1"/>
  <c r="E1136" i="1"/>
  <c r="F1136" i="1" s="1"/>
  <c r="E1137" i="1"/>
  <c r="F1137" i="1" s="1"/>
  <c r="E1138" i="1"/>
  <c r="F1138" i="1" s="1"/>
  <c r="E1139" i="1"/>
  <c r="F1139" i="1" s="1"/>
  <c r="E1140" i="1"/>
  <c r="F1140" i="1" s="1"/>
  <c r="E1087" i="1"/>
  <c r="F1087" i="1" s="1"/>
  <c r="E1088" i="1"/>
  <c r="F1088" i="1" s="1"/>
  <c r="E1089" i="1"/>
  <c r="F1089" i="1" s="1"/>
  <c r="E1090" i="1"/>
  <c r="F1090" i="1" s="1"/>
  <c r="E1091" i="1"/>
  <c r="F1091" i="1" s="1"/>
  <c r="E1092" i="1"/>
  <c r="F1092" i="1" s="1"/>
  <c r="E1093" i="1"/>
  <c r="F1093" i="1" s="1"/>
  <c r="E1094" i="1"/>
  <c r="F1094" i="1" s="1"/>
  <c r="E1095" i="1"/>
  <c r="F1095" i="1" s="1"/>
  <c r="E1096" i="1"/>
  <c r="F1096" i="1" s="1"/>
  <c r="E1097" i="1"/>
  <c r="F1097" i="1" s="1"/>
  <c r="E1098" i="1"/>
  <c r="F1098" i="1" s="1"/>
  <c r="E1099" i="1"/>
  <c r="F1099" i="1" s="1"/>
  <c r="E1100" i="1"/>
  <c r="F1100" i="1" s="1"/>
  <c r="E1101" i="1"/>
  <c r="F1101" i="1" s="1"/>
  <c r="E1102" i="1"/>
  <c r="F1102" i="1" s="1"/>
  <c r="E1049" i="1"/>
  <c r="F1049" i="1" s="1"/>
  <c r="E1050" i="1"/>
  <c r="F1050" i="1" s="1"/>
  <c r="E1051" i="1"/>
  <c r="F1051" i="1" s="1"/>
  <c r="E1052" i="1"/>
  <c r="F1052" i="1" s="1"/>
  <c r="E1053" i="1"/>
  <c r="F1053" i="1" s="1"/>
  <c r="E1054" i="1"/>
  <c r="F1054" i="1" s="1"/>
  <c r="E1055" i="1"/>
  <c r="F1055" i="1" s="1"/>
  <c r="E1056" i="1"/>
  <c r="F1056" i="1" s="1"/>
  <c r="E1057" i="1"/>
  <c r="F1057" i="1" s="1"/>
  <c r="E1058" i="1"/>
  <c r="F1058" i="1" s="1"/>
  <c r="E1059" i="1"/>
  <c r="F1059" i="1" s="1"/>
  <c r="E1060" i="1"/>
  <c r="F1060" i="1" s="1"/>
  <c r="E1061" i="1"/>
  <c r="F1061" i="1" s="1"/>
  <c r="E1062" i="1"/>
  <c r="F1062" i="1" s="1"/>
  <c r="E1063" i="1"/>
  <c r="F1063" i="1" s="1"/>
  <c r="E1064" i="1"/>
  <c r="F1064" i="1" s="1"/>
  <c r="E1011" i="1"/>
  <c r="F1011" i="1" s="1"/>
  <c r="E1012" i="1"/>
  <c r="F1012" i="1" s="1"/>
  <c r="E1013" i="1"/>
  <c r="F1013" i="1" s="1"/>
  <c r="E1014" i="1"/>
  <c r="F1014" i="1" s="1"/>
  <c r="E1015" i="1"/>
  <c r="F1015" i="1" s="1"/>
  <c r="E1016" i="1"/>
  <c r="F1016" i="1" s="1"/>
  <c r="E1017" i="1"/>
  <c r="F1017" i="1" s="1"/>
  <c r="E1018" i="1"/>
  <c r="F1018" i="1" s="1"/>
  <c r="E1019" i="1"/>
  <c r="F1019" i="1" s="1"/>
  <c r="E1020" i="1"/>
  <c r="F1020" i="1" s="1"/>
  <c r="E1021" i="1"/>
  <c r="F1021" i="1" s="1"/>
  <c r="E1022" i="1"/>
  <c r="F1022" i="1" s="1"/>
  <c r="E1023" i="1"/>
  <c r="F1023" i="1" s="1"/>
  <c r="E1024" i="1"/>
  <c r="F1024" i="1" s="1"/>
  <c r="E1025" i="1"/>
  <c r="F1025" i="1" s="1"/>
  <c r="E1026" i="1"/>
  <c r="F1026" i="1" s="1"/>
  <c r="E973" i="1"/>
  <c r="F973" i="1" s="1"/>
  <c r="E974" i="1"/>
  <c r="F974" i="1" s="1"/>
  <c r="E975" i="1"/>
  <c r="F975" i="1" s="1"/>
  <c r="E976" i="1"/>
  <c r="F976" i="1" s="1"/>
  <c r="E977" i="1"/>
  <c r="F977" i="1" s="1"/>
  <c r="E978" i="1"/>
  <c r="F978" i="1" s="1"/>
  <c r="E979" i="1"/>
  <c r="F979" i="1" s="1"/>
  <c r="E980" i="1"/>
  <c r="F980" i="1" s="1"/>
  <c r="E981" i="1"/>
  <c r="F981" i="1" s="1"/>
  <c r="E982" i="1"/>
  <c r="F982" i="1" s="1"/>
  <c r="E983" i="1"/>
  <c r="F983" i="1" s="1"/>
  <c r="E984" i="1"/>
  <c r="F984" i="1" s="1"/>
  <c r="E985" i="1"/>
  <c r="F985" i="1" s="1"/>
  <c r="E986" i="1"/>
  <c r="F986" i="1" s="1"/>
  <c r="E987" i="1"/>
  <c r="F987" i="1" s="1"/>
  <c r="E988" i="1"/>
  <c r="F988" i="1" s="1"/>
  <c r="E935" i="1"/>
  <c r="F935" i="1" s="1"/>
  <c r="E936" i="1"/>
  <c r="F936" i="1" s="1"/>
  <c r="E937" i="1"/>
  <c r="F937" i="1" s="1"/>
  <c r="E938" i="1"/>
  <c r="F938" i="1" s="1"/>
  <c r="E939" i="1"/>
  <c r="F939" i="1" s="1"/>
  <c r="E940" i="1"/>
  <c r="F940" i="1" s="1"/>
  <c r="E941" i="1"/>
  <c r="F941" i="1" s="1"/>
  <c r="E942" i="1"/>
  <c r="F942" i="1" s="1"/>
  <c r="E943" i="1"/>
  <c r="F943" i="1" s="1"/>
  <c r="E944" i="1"/>
  <c r="F944" i="1" s="1"/>
  <c r="E945" i="1"/>
  <c r="F945" i="1" s="1"/>
  <c r="E946" i="1"/>
  <c r="F946" i="1" s="1"/>
  <c r="E947" i="1"/>
  <c r="F947" i="1" s="1"/>
  <c r="E948" i="1"/>
  <c r="F948" i="1" s="1"/>
  <c r="E949" i="1"/>
  <c r="F949" i="1" s="1"/>
  <c r="E950" i="1"/>
  <c r="F950" i="1" s="1"/>
  <c r="E897" i="1"/>
  <c r="F897" i="1" s="1"/>
  <c r="E898" i="1"/>
  <c r="F898" i="1" s="1"/>
  <c r="E899" i="1"/>
  <c r="F899" i="1" s="1"/>
  <c r="E900" i="1"/>
  <c r="F900" i="1" s="1"/>
  <c r="E901" i="1"/>
  <c r="F901" i="1" s="1"/>
  <c r="E902" i="1"/>
  <c r="F902" i="1" s="1"/>
  <c r="E903" i="1"/>
  <c r="F903" i="1" s="1"/>
  <c r="E904" i="1"/>
  <c r="F904" i="1" s="1"/>
  <c r="E905" i="1"/>
  <c r="F905" i="1" s="1"/>
  <c r="E906" i="1"/>
  <c r="F906" i="1" s="1"/>
  <c r="E907" i="1"/>
  <c r="F907" i="1" s="1"/>
  <c r="E908" i="1"/>
  <c r="F908" i="1" s="1"/>
  <c r="E909" i="1"/>
  <c r="F909" i="1" s="1"/>
  <c r="E910" i="1"/>
  <c r="F910" i="1" s="1"/>
  <c r="E911" i="1"/>
  <c r="F911" i="1" s="1"/>
  <c r="E912" i="1"/>
  <c r="F912" i="1" s="1"/>
  <c r="E859" i="1"/>
  <c r="F859" i="1" s="1"/>
  <c r="E860" i="1"/>
  <c r="F860" i="1" s="1"/>
  <c r="E861" i="1"/>
  <c r="F861" i="1" s="1"/>
  <c r="E862" i="1"/>
  <c r="F862" i="1" s="1"/>
  <c r="E863" i="1"/>
  <c r="F863" i="1" s="1"/>
  <c r="E864" i="1"/>
  <c r="F864" i="1" s="1"/>
  <c r="E865" i="1"/>
  <c r="F865" i="1" s="1"/>
  <c r="E866" i="1"/>
  <c r="F866" i="1" s="1"/>
  <c r="E867" i="1"/>
  <c r="F867" i="1" s="1"/>
  <c r="E868" i="1"/>
  <c r="F868" i="1" s="1"/>
  <c r="E869" i="1"/>
  <c r="F869" i="1" s="1"/>
  <c r="E870" i="1"/>
  <c r="F870" i="1" s="1"/>
  <c r="E871" i="1"/>
  <c r="F871" i="1" s="1"/>
  <c r="E872" i="1"/>
  <c r="F872" i="1" s="1"/>
  <c r="E873" i="1"/>
  <c r="F873" i="1" s="1"/>
  <c r="E874" i="1"/>
  <c r="F874" i="1" s="1"/>
  <c r="E821" i="1"/>
  <c r="F821" i="1" s="1"/>
  <c r="E822" i="1"/>
  <c r="F822" i="1" s="1"/>
  <c r="E823" i="1"/>
  <c r="F823" i="1" s="1"/>
  <c r="E824" i="1"/>
  <c r="F824" i="1" s="1"/>
  <c r="E825" i="1"/>
  <c r="F825" i="1" s="1"/>
  <c r="E826" i="1"/>
  <c r="F826" i="1" s="1"/>
  <c r="E827" i="1"/>
  <c r="F827" i="1" s="1"/>
  <c r="E828" i="1"/>
  <c r="F828" i="1" s="1"/>
  <c r="E829" i="1"/>
  <c r="F829" i="1" s="1"/>
  <c r="E830" i="1"/>
  <c r="F830" i="1" s="1"/>
  <c r="E831" i="1"/>
  <c r="F831" i="1" s="1"/>
  <c r="E832" i="1"/>
  <c r="F832" i="1" s="1"/>
  <c r="E833" i="1"/>
  <c r="F833" i="1" s="1"/>
  <c r="E834" i="1"/>
  <c r="F834" i="1" s="1"/>
  <c r="E835" i="1"/>
  <c r="F835" i="1" s="1"/>
  <c r="E836" i="1"/>
  <c r="F836" i="1" s="1"/>
  <c r="E783" i="1"/>
  <c r="F783" i="1" s="1"/>
  <c r="E784" i="1"/>
  <c r="F784" i="1" s="1"/>
  <c r="E785" i="1"/>
  <c r="F785" i="1" s="1"/>
  <c r="E786" i="1"/>
  <c r="F786" i="1" s="1"/>
  <c r="E787" i="1"/>
  <c r="F787" i="1" s="1"/>
  <c r="E788" i="1"/>
  <c r="F788" i="1" s="1"/>
  <c r="E789" i="1"/>
  <c r="F789" i="1" s="1"/>
  <c r="E790" i="1"/>
  <c r="F790" i="1" s="1"/>
  <c r="E791" i="1"/>
  <c r="F791" i="1" s="1"/>
  <c r="E792" i="1"/>
  <c r="F792" i="1" s="1"/>
  <c r="E793" i="1"/>
  <c r="F793" i="1" s="1"/>
  <c r="E794" i="1"/>
  <c r="F794" i="1" s="1"/>
  <c r="E795" i="1"/>
  <c r="F795" i="1" s="1"/>
  <c r="E796" i="1"/>
  <c r="F796" i="1" s="1"/>
  <c r="E797" i="1"/>
  <c r="F797" i="1" s="1"/>
  <c r="E798" i="1"/>
  <c r="F798" i="1" s="1"/>
  <c r="E745" i="1"/>
  <c r="F745" i="1" s="1"/>
  <c r="E746" i="1"/>
  <c r="F746" i="1" s="1"/>
  <c r="E747" i="1"/>
  <c r="F747" i="1" s="1"/>
  <c r="E748" i="1"/>
  <c r="F748" i="1" s="1"/>
  <c r="E749" i="1"/>
  <c r="F749" i="1" s="1"/>
  <c r="E750" i="1"/>
  <c r="F750" i="1" s="1"/>
  <c r="E751" i="1"/>
  <c r="F751" i="1" s="1"/>
  <c r="E752" i="1"/>
  <c r="F752" i="1" s="1"/>
  <c r="E753" i="1"/>
  <c r="F753" i="1" s="1"/>
  <c r="E754" i="1"/>
  <c r="F754" i="1" s="1"/>
  <c r="E755" i="1"/>
  <c r="F755" i="1" s="1"/>
  <c r="E756" i="1"/>
  <c r="F756" i="1" s="1"/>
  <c r="E757" i="1"/>
  <c r="F757" i="1" s="1"/>
  <c r="E758" i="1"/>
  <c r="F758" i="1" s="1"/>
  <c r="E759" i="1"/>
  <c r="F759" i="1" s="1"/>
  <c r="E760" i="1"/>
  <c r="F760" i="1" s="1"/>
  <c r="E707" i="1"/>
  <c r="F707" i="1" s="1"/>
  <c r="E708" i="1"/>
  <c r="F708" i="1" s="1"/>
  <c r="E709" i="1"/>
  <c r="F709" i="1" s="1"/>
  <c r="E710" i="1"/>
  <c r="F710" i="1" s="1"/>
  <c r="E711" i="1"/>
  <c r="F711" i="1" s="1"/>
  <c r="E712" i="1"/>
  <c r="F712" i="1" s="1"/>
  <c r="E713" i="1"/>
  <c r="F713" i="1" s="1"/>
  <c r="E714" i="1"/>
  <c r="F714" i="1" s="1"/>
  <c r="E715" i="1"/>
  <c r="F715" i="1" s="1"/>
  <c r="E716" i="1"/>
  <c r="F716" i="1" s="1"/>
  <c r="E717" i="1"/>
  <c r="F717" i="1" s="1"/>
  <c r="E718" i="1"/>
  <c r="F718" i="1" s="1"/>
  <c r="E719" i="1"/>
  <c r="F719" i="1" s="1"/>
  <c r="E720" i="1"/>
  <c r="F720" i="1" s="1"/>
  <c r="E721" i="1"/>
  <c r="F721" i="1" s="1"/>
  <c r="E722" i="1"/>
  <c r="F722" i="1" s="1"/>
  <c r="E669" i="1"/>
  <c r="F669" i="1" s="1"/>
  <c r="E670" i="1"/>
  <c r="F670" i="1" s="1"/>
  <c r="E671" i="1"/>
  <c r="F671" i="1" s="1"/>
  <c r="E672" i="1"/>
  <c r="F672" i="1" s="1"/>
  <c r="E673" i="1"/>
  <c r="F673" i="1" s="1"/>
  <c r="E674" i="1"/>
  <c r="F674" i="1" s="1"/>
  <c r="E675" i="1"/>
  <c r="F675" i="1" s="1"/>
  <c r="E676" i="1"/>
  <c r="F676" i="1" s="1"/>
  <c r="E677" i="1"/>
  <c r="F677" i="1" s="1"/>
  <c r="E678" i="1"/>
  <c r="F678" i="1" s="1"/>
  <c r="E679" i="1"/>
  <c r="F679" i="1" s="1"/>
  <c r="E680" i="1"/>
  <c r="F680" i="1" s="1"/>
  <c r="E681" i="1"/>
  <c r="F681" i="1" s="1"/>
  <c r="E682" i="1"/>
  <c r="F682" i="1" s="1"/>
  <c r="E683" i="1"/>
  <c r="F683" i="1" s="1"/>
  <c r="E684" i="1"/>
  <c r="F684" i="1" s="1"/>
  <c r="E631" i="1"/>
  <c r="F631" i="1" s="1"/>
  <c r="E632" i="1"/>
  <c r="F632" i="1" s="1"/>
  <c r="E633" i="1"/>
  <c r="F633" i="1" s="1"/>
  <c r="E634" i="1"/>
  <c r="F634" i="1" s="1"/>
  <c r="E635" i="1"/>
  <c r="F635" i="1" s="1"/>
  <c r="E636" i="1"/>
  <c r="F636" i="1" s="1"/>
  <c r="E637" i="1"/>
  <c r="F637" i="1" s="1"/>
  <c r="E638" i="1"/>
  <c r="F638" i="1" s="1"/>
  <c r="E639" i="1"/>
  <c r="F639" i="1" s="1"/>
  <c r="E640" i="1"/>
  <c r="F640" i="1" s="1"/>
  <c r="E641" i="1"/>
  <c r="F641" i="1" s="1"/>
  <c r="E642" i="1"/>
  <c r="F642" i="1" s="1"/>
  <c r="E643" i="1"/>
  <c r="F643" i="1" s="1"/>
  <c r="E644" i="1"/>
  <c r="F644" i="1" s="1"/>
  <c r="E645" i="1"/>
  <c r="F645" i="1" s="1"/>
  <c r="E646" i="1"/>
  <c r="F646" i="1" s="1"/>
  <c r="E593" i="1"/>
  <c r="F593" i="1" s="1"/>
  <c r="E594" i="1"/>
  <c r="F594" i="1" s="1"/>
  <c r="E595" i="1"/>
  <c r="F595" i="1" s="1"/>
  <c r="E596" i="1"/>
  <c r="F596" i="1" s="1"/>
  <c r="E597" i="1"/>
  <c r="F597" i="1" s="1"/>
  <c r="E598" i="1"/>
  <c r="F598" i="1" s="1"/>
  <c r="E599" i="1"/>
  <c r="F599" i="1" s="1"/>
  <c r="E600" i="1"/>
  <c r="F600" i="1" s="1"/>
  <c r="E601" i="1"/>
  <c r="F601" i="1" s="1"/>
  <c r="E602" i="1"/>
  <c r="F602" i="1" s="1"/>
  <c r="E603" i="1"/>
  <c r="F603" i="1" s="1"/>
  <c r="E604" i="1"/>
  <c r="F604" i="1" s="1"/>
  <c r="E605" i="1"/>
  <c r="F605" i="1" s="1"/>
  <c r="E606" i="1"/>
  <c r="F606" i="1" s="1"/>
  <c r="E607" i="1"/>
  <c r="F607" i="1" s="1"/>
  <c r="E608" i="1"/>
  <c r="F608" i="1" s="1"/>
  <c r="E555" i="1"/>
  <c r="F555" i="1" s="1"/>
  <c r="E556" i="1"/>
  <c r="F556" i="1" s="1"/>
  <c r="E557" i="1"/>
  <c r="F557" i="1" s="1"/>
  <c r="E558" i="1"/>
  <c r="F558" i="1" s="1"/>
  <c r="E559" i="1"/>
  <c r="F559" i="1" s="1"/>
  <c r="E560" i="1"/>
  <c r="F560" i="1" s="1"/>
  <c r="E561" i="1"/>
  <c r="F561" i="1" s="1"/>
  <c r="E562" i="1"/>
  <c r="F562" i="1" s="1"/>
  <c r="E563" i="1"/>
  <c r="F563" i="1" s="1"/>
  <c r="E564" i="1"/>
  <c r="F564" i="1" s="1"/>
  <c r="E565" i="1"/>
  <c r="F565" i="1" s="1"/>
  <c r="E566" i="1"/>
  <c r="F566" i="1" s="1"/>
  <c r="E567" i="1"/>
  <c r="F567" i="1" s="1"/>
  <c r="E568" i="1"/>
  <c r="F568" i="1" s="1"/>
  <c r="E569" i="1"/>
  <c r="F569" i="1" s="1"/>
  <c r="E570" i="1"/>
  <c r="F570" i="1" s="1"/>
  <c r="E517" i="1"/>
  <c r="F517" i="1" s="1"/>
  <c r="E518" i="1"/>
  <c r="F518" i="1" s="1"/>
  <c r="E519" i="1"/>
  <c r="F519" i="1" s="1"/>
  <c r="E520" i="1"/>
  <c r="F520" i="1" s="1"/>
  <c r="E521" i="1"/>
  <c r="F521" i="1" s="1"/>
  <c r="E522" i="1"/>
  <c r="F522" i="1" s="1"/>
  <c r="E523" i="1"/>
  <c r="F523" i="1" s="1"/>
  <c r="E524" i="1"/>
  <c r="F524" i="1" s="1"/>
  <c r="E525" i="1"/>
  <c r="F525" i="1" s="1"/>
  <c r="E526" i="1"/>
  <c r="F526" i="1" s="1"/>
  <c r="E527" i="1"/>
  <c r="F527" i="1" s="1"/>
  <c r="E528" i="1"/>
  <c r="F528" i="1" s="1"/>
  <c r="E529" i="1"/>
  <c r="F529" i="1" s="1"/>
  <c r="E530" i="1"/>
  <c r="F530" i="1" s="1"/>
  <c r="E531" i="1"/>
  <c r="F531" i="1" s="1"/>
  <c r="E532" i="1"/>
  <c r="F532" i="1" s="1"/>
  <c r="E479" i="1"/>
  <c r="F479" i="1" s="1"/>
  <c r="E480" i="1"/>
  <c r="F480" i="1" s="1"/>
  <c r="E481" i="1"/>
  <c r="F481" i="1" s="1"/>
  <c r="E482" i="1"/>
  <c r="F482" i="1" s="1"/>
  <c r="E483" i="1"/>
  <c r="F483" i="1" s="1"/>
  <c r="E484" i="1"/>
  <c r="F484" i="1" s="1"/>
  <c r="E485" i="1"/>
  <c r="F485" i="1" s="1"/>
  <c r="E486" i="1"/>
  <c r="F486" i="1" s="1"/>
  <c r="E487" i="1"/>
  <c r="F487" i="1" s="1"/>
  <c r="E488" i="1"/>
  <c r="F488" i="1" s="1"/>
  <c r="E489" i="1"/>
  <c r="F489" i="1" s="1"/>
  <c r="E490" i="1"/>
  <c r="F490" i="1" s="1"/>
  <c r="E491" i="1"/>
  <c r="F491" i="1" s="1"/>
  <c r="E492" i="1"/>
  <c r="F492" i="1" s="1"/>
  <c r="E493" i="1"/>
  <c r="F493" i="1" s="1"/>
  <c r="E494" i="1"/>
  <c r="F494" i="1" s="1"/>
  <c r="E441" i="1"/>
  <c r="F441" i="1" s="1"/>
  <c r="E442" i="1"/>
  <c r="F442" i="1" s="1"/>
  <c r="E443" i="1"/>
  <c r="F443" i="1" s="1"/>
  <c r="E444" i="1"/>
  <c r="F444" i="1" s="1"/>
  <c r="E445" i="1"/>
  <c r="F445" i="1" s="1"/>
  <c r="E446" i="1"/>
  <c r="F446" i="1" s="1"/>
  <c r="E447" i="1"/>
  <c r="F447" i="1" s="1"/>
  <c r="E448" i="1"/>
  <c r="F448" i="1" s="1"/>
  <c r="E449" i="1"/>
  <c r="F449" i="1" s="1"/>
  <c r="E450" i="1"/>
  <c r="F450" i="1" s="1"/>
  <c r="E451" i="1"/>
  <c r="F451" i="1" s="1"/>
  <c r="E452" i="1"/>
  <c r="F452" i="1" s="1"/>
  <c r="E453" i="1"/>
  <c r="F453" i="1" s="1"/>
  <c r="E454" i="1"/>
  <c r="F454" i="1" s="1"/>
  <c r="E455" i="1"/>
  <c r="F455" i="1" s="1"/>
  <c r="E456" i="1"/>
  <c r="F456" i="1" s="1"/>
  <c r="E403" i="1"/>
  <c r="F403" i="1" s="1"/>
  <c r="E404" i="1"/>
  <c r="F404" i="1" s="1"/>
  <c r="E405" i="1"/>
  <c r="F405" i="1" s="1"/>
  <c r="E406" i="1"/>
  <c r="F406" i="1" s="1"/>
  <c r="E407" i="1"/>
  <c r="F407" i="1" s="1"/>
  <c r="E408" i="1"/>
  <c r="F408" i="1" s="1"/>
  <c r="E409" i="1"/>
  <c r="F409" i="1" s="1"/>
  <c r="E410" i="1"/>
  <c r="F410" i="1" s="1"/>
  <c r="E411" i="1"/>
  <c r="F411" i="1" s="1"/>
  <c r="E412" i="1"/>
  <c r="F412" i="1" s="1"/>
  <c r="E413" i="1"/>
  <c r="F413" i="1" s="1"/>
  <c r="E414" i="1"/>
  <c r="F414" i="1" s="1"/>
  <c r="E415" i="1"/>
  <c r="F415" i="1" s="1"/>
  <c r="E416" i="1"/>
  <c r="F416" i="1" s="1"/>
  <c r="E417" i="1"/>
  <c r="F417" i="1" s="1"/>
  <c r="E418" i="1"/>
  <c r="F418" i="1" s="1"/>
  <c r="E365" i="1"/>
  <c r="F365" i="1" s="1"/>
  <c r="E366" i="1"/>
  <c r="F366" i="1" s="1"/>
  <c r="E367" i="1"/>
  <c r="F367" i="1" s="1"/>
  <c r="E368" i="1"/>
  <c r="F368" i="1" s="1"/>
  <c r="E369" i="1"/>
  <c r="F369" i="1" s="1"/>
  <c r="E370" i="1"/>
  <c r="F370" i="1" s="1"/>
  <c r="E371" i="1"/>
  <c r="F371" i="1" s="1"/>
  <c r="E372" i="1"/>
  <c r="F372" i="1" s="1"/>
  <c r="E373" i="1"/>
  <c r="F373" i="1" s="1"/>
  <c r="E374" i="1"/>
  <c r="F374" i="1" s="1"/>
  <c r="E375" i="1"/>
  <c r="F375" i="1" s="1"/>
  <c r="E376" i="1"/>
  <c r="F376" i="1" s="1"/>
  <c r="E377" i="1"/>
  <c r="F377" i="1" s="1"/>
  <c r="E378" i="1"/>
  <c r="F378" i="1" s="1"/>
  <c r="E379" i="1"/>
  <c r="F379" i="1" s="1"/>
  <c r="E380" i="1"/>
  <c r="F380" i="1" s="1"/>
  <c r="E327" i="1"/>
  <c r="F327" i="1" s="1"/>
  <c r="E328" i="1"/>
  <c r="F328" i="1" s="1"/>
  <c r="E329" i="1"/>
  <c r="F329" i="1" s="1"/>
  <c r="E330" i="1"/>
  <c r="F330" i="1" s="1"/>
  <c r="E331" i="1"/>
  <c r="F331" i="1" s="1"/>
  <c r="E332" i="1"/>
  <c r="F332" i="1" s="1"/>
  <c r="E333" i="1"/>
  <c r="F333" i="1" s="1"/>
  <c r="E334" i="1"/>
  <c r="F334" i="1" s="1"/>
  <c r="E335" i="1"/>
  <c r="F335" i="1" s="1"/>
  <c r="E336" i="1"/>
  <c r="F336" i="1" s="1"/>
  <c r="E337" i="1"/>
  <c r="F337" i="1" s="1"/>
  <c r="E338" i="1"/>
  <c r="F338" i="1" s="1"/>
  <c r="E339" i="1"/>
  <c r="F339" i="1" s="1"/>
  <c r="E340" i="1"/>
  <c r="F340" i="1" s="1"/>
  <c r="E341" i="1"/>
  <c r="F341" i="1" s="1"/>
  <c r="E342" i="1"/>
  <c r="F342" i="1" s="1"/>
  <c r="E289" i="1"/>
  <c r="F289" i="1" s="1"/>
  <c r="E290" i="1"/>
  <c r="F290" i="1" s="1"/>
  <c r="E291" i="1"/>
  <c r="F291" i="1" s="1"/>
  <c r="E292" i="1"/>
  <c r="F292" i="1" s="1"/>
  <c r="E293" i="1"/>
  <c r="F293" i="1" s="1"/>
  <c r="E294" i="1"/>
  <c r="F294" i="1" s="1"/>
  <c r="E295" i="1"/>
  <c r="F295" i="1" s="1"/>
  <c r="E296" i="1"/>
  <c r="F296" i="1" s="1"/>
  <c r="E297" i="1"/>
  <c r="F297" i="1" s="1"/>
  <c r="E298" i="1"/>
  <c r="F298" i="1" s="1"/>
  <c r="E299" i="1"/>
  <c r="F299" i="1" s="1"/>
  <c r="E300" i="1"/>
  <c r="F300" i="1" s="1"/>
  <c r="E301" i="1"/>
  <c r="F301" i="1" s="1"/>
  <c r="E302" i="1"/>
  <c r="F302" i="1" s="1"/>
  <c r="E303" i="1"/>
  <c r="F303" i="1" s="1"/>
  <c r="E304" i="1"/>
  <c r="F304" i="1" s="1"/>
  <c r="E251" i="1"/>
  <c r="F251" i="1" s="1"/>
  <c r="E252" i="1"/>
  <c r="F252" i="1" s="1"/>
  <c r="E253" i="1"/>
  <c r="F253" i="1" s="1"/>
  <c r="E254" i="1"/>
  <c r="F254" i="1" s="1"/>
  <c r="E255" i="1"/>
  <c r="F255" i="1" s="1"/>
  <c r="E256" i="1"/>
  <c r="F256" i="1" s="1"/>
  <c r="E257" i="1"/>
  <c r="F257" i="1" s="1"/>
  <c r="E258" i="1"/>
  <c r="F258" i="1" s="1"/>
  <c r="E259" i="1"/>
  <c r="F259" i="1" s="1"/>
  <c r="E260" i="1"/>
  <c r="F260" i="1" s="1"/>
  <c r="E261" i="1"/>
  <c r="F261" i="1" s="1"/>
  <c r="E262" i="1"/>
  <c r="F262" i="1" s="1"/>
  <c r="E263" i="1"/>
  <c r="F263" i="1" s="1"/>
  <c r="E264" i="1"/>
  <c r="F264" i="1" s="1"/>
  <c r="E265" i="1"/>
  <c r="F265" i="1" s="1"/>
  <c r="E266" i="1"/>
  <c r="F266"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175" i="1"/>
  <c r="F175" i="1" s="1"/>
  <c r="E176" i="1"/>
  <c r="F176" i="1" s="1"/>
  <c r="E177" i="1"/>
  <c r="F177" i="1" s="1"/>
  <c r="E178" i="1"/>
  <c r="F178" i="1" s="1"/>
  <c r="E179" i="1"/>
  <c r="F179" i="1" s="1"/>
  <c r="E180" i="1"/>
  <c r="F180" i="1" s="1"/>
  <c r="E181" i="1"/>
  <c r="F181" i="1" s="1"/>
  <c r="E182" i="1"/>
  <c r="F182" i="1" s="1"/>
  <c r="E183" i="1"/>
  <c r="F183" i="1" s="1"/>
  <c r="E184" i="1"/>
  <c r="F184" i="1" s="1"/>
  <c r="E185" i="1"/>
  <c r="F185" i="1" s="1"/>
  <c r="E186" i="1"/>
  <c r="F186" i="1" s="1"/>
  <c r="E187" i="1"/>
  <c r="F187" i="1" s="1"/>
  <c r="E188" i="1"/>
  <c r="F188" i="1" s="1"/>
  <c r="E189" i="1"/>
  <c r="F189" i="1" s="1"/>
  <c r="E190" i="1"/>
  <c r="F190" i="1" s="1"/>
  <c r="E137" i="1"/>
  <c r="F137" i="1" s="1"/>
  <c r="E138" i="1"/>
  <c r="F138" i="1" s="1"/>
  <c r="E139" i="1"/>
  <c r="F139" i="1" s="1"/>
  <c r="E140" i="1"/>
  <c r="F140" i="1" s="1"/>
  <c r="E141" i="1"/>
  <c r="F141" i="1" s="1"/>
  <c r="E142" i="1"/>
  <c r="F142" i="1" s="1"/>
  <c r="E143" i="1"/>
  <c r="F143" i="1" s="1"/>
  <c r="E144" i="1"/>
  <c r="F144" i="1" s="1"/>
  <c r="E145" i="1"/>
  <c r="F145" i="1" s="1"/>
  <c r="E146" i="1"/>
  <c r="F146" i="1" s="1"/>
  <c r="E147" i="1"/>
  <c r="F147" i="1" s="1"/>
  <c r="E148" i="1"/>
  <c r="F148" i="1" s="1"/>
  <c r="E149" i="1"/>
  <c r="F149" i="1" s="1"/>
  <c r="E150" i="1"/>
  <c r="F150" i="1" s="1"/>
  <c r="E151" i="1"/>
  <c r="F151" i="1" s="1"/>
  <c r="E152" i="1"/>
  <c r="F152"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E111" i="1"/>
  <c r="F111" i="1" s="1"/>
  <c r="E112" i="1"/>
  <c r="F112" i="1" s="1"/>
  <c r="E113" i="1"/>
  <c r="F113" i="1" s="1"/>
  <c r="E114" i="1"/>
  <c r="F114" i="1" s="1"/>
  <c r="ER20" i="2"/>
  <c r="EQ20" i="2"/>
  <c r="EP20" i="2"/>
  <c r="EV20" i="2"/>
  <c r="EU20" i="2"/>
  <c r="EQ5" i="2"/>
  <c r="EP5" i="2"/>
  <c r="EU5" i="2"/>
  <c r="EP32" i="2"/>
  <c r="EV32" i="2"/>
  <c r="EU32" i="2"/>
  <c r="ER29" i="2"/>
  <c r="EV29" i="2"/>
  <c r="EU29" i="2"/>
  <c r="ER26" i="2"/>
  <c r="EQ26" i="2"/>
  <c r="EV26" i="2"/>
  <c r="EU26" i="2"/>
  <c r="EQ23" i="2"/>
  <c r="EP23" i="2"/>
  <c r="EV23" i="2"/>
  <c r="EU23" i="2"/>
  <c r="ER17" i="2"/>
  <c r="EP17" i="2"/>
  <c r="EU17" i="2"/>
  <c r="ER14" i="2"/>
  <c r="EQ14" i="2"/>
  <c r="EV14" i="2"/>
  <c r="EQ11" i="2"/>
  <c r="EP11" i="2"/>
  <c r="EV11" i="2"/>
  <c r="EU11" i="2"/>
  <c r="ER8" i="2"/>
  <c r="EP8" i="2"/>
  <c r="EU8" i="2"/>
  <c r="H3696" i="10" l="1"/>
  <c r="H3659" i="10"/>
  <c r="H3620" i="10"/>
  <c r="H3544" i="10"/>
  <c r="H3507" i="10"/>
  <c r="IS26" i="2"/>
  <c r="ET32" i="2"/>
  <c r="ES14" i="2"/>
  <c r="EV8" i="2"/>
  <c r="EP14" i="2"/>
  <c r="EQ17" i="2"/>
  <c r="ER23" i="2"/>
  <c r="IS23" i="2"/>
  <c r="ET29" i="2"/>
  <c r="EV5" i="2"/>
  <c r="ET26" i="2"/>
  <c r="ET8" i="2"/>
  <c r="IS14" i="2"/>
  <c r="ET23" i="2"/>
  <c r="EQ8" i="2"/>
  <c r="ER11" i="2"/>
  <c r="IS11" i="2"/>
  <c r="ET17" i="2"/>
  <c r="IS20" i="2"/>
  <c r="IS8" i="2"/>
  <c r="ET14" i="2"/>
  <c r="EP29" i="2"/>
  <c r="EQ32" i="2"/>
  <c r="ER5" i="2"/>
  <c r="ET5" i="2"/>
  <c r="ET11" i="2"/>
  <c r="EU14" i="2"/>
  <c r="EV17" i="2"/>
  <c r="EP26" i="2"/>
  <c r="EQ29" i="2"/>
  <c r="ER32" i="2"/>
  <c r="IS32" i="2"/>
  <c r="ET20" i="2"/>
  <c r="AA23" i="2"/>
  <c r="AF11" i="2"/>
  <c r="OT26" i="2"/>
  <c r="PB26" i="2"/>
  <c r="OU26" i="2"/>
  <c r="OV26" i="2"/>
  <c r="PA26" i="2"/>
  <c r="OO26" i="2"/>
  <c r="OW26" i="2"/>
  <c r="OP26" i="2"/>
  <c r="OX26" i="2"/>
  <c r="OQ26" i="2"/>
  <c r="OY26" i="2"/>
  <c r="OR26" i="2"/>
  <c r="OZ26" i="2"/>
  <c r="OS26" i="2"/>
  <c r="OV20" i="2"/>
  <c r="OO20" i="2"/>
  <c r="OW20" i="2"/>
  <c r="OP20" i="2"/>
  <c r="OX20" i="2"/>
  <c r="OU20" i="2"/>
  <c r="OQ20" i="2"/>
  <c r="OY20" i="2"/>
  <c r="OR20" i="2"/>
  <c r="OZ20" i="2"/>
  <c r="OS20" i="2"/>
  <c r="PA20" i="2"/>
  <c r="OT20" i="2"/>
  <c r="PB20" i="2"/>
  <c r="OV8" i="2"/>
  <c r="OO8" i="2"/>
  <c r="OW8" i="2"/>
  <c r="OP8" i="2"/>
  <c r="OX8" i="2"/>
  <c r="OQ8" i="2"/>
  <c r="OY8" i="2"/>
  <c r="OR8" i="2"/>
  <c r="OZ8" i="2"/>
  <c r="OS8" i="2"/>
  <c r="PA8" i="2"/>
  <c r="OT8" i="2"/>
  <c r="PB8" i="2"/>
  <c r="OU8" i="2"/>
  <c r="OT23" i="2"/>
  <c r="PB23" i="2"/>
  <c r="OU23" i="2"/>
  <c r="OV23" i="2"/>
  <c r="PA23" i="2"/>
  <c r="OO23" i="2"/>
  <c r="OW23" i="2"/>
  <c r="OP23" i="2"/>
  <c r="OX23" i="2"/>
  <c r="OQ23" i="2"/>
  <c r="OY23" i="2"/>
  <c r="OR23" i="2"/>
  <c r="OZ23" i="2"/>
  <c r="OS23" i="2"/>
  <c r="OP5" i="2"/>
  <c r="OX5" i="2"/>
  <c r="OQ5" i="2"/>
  <c r="OY5" i="2"/>
  <c r="OR5" i="2"/>
  <c r="OZ5" i="2"/>
  <c r="OS5" i="2"/>
  <c r="PA5" i="2"/>
  <c r="OT5" i="2"/>
  <c r="PB5" i="2"/>
  <c r="OU5" i="2"/>
  <c r="OV5" i="2"/>
  <c r="OO5" i="2"/>
  <c r="OW5" i="2"/>
  <c r="OQ11" i="2"/>
  <c r="OY11" i="2"/>
  <c r="OR11" i="2"/>
  <c r="OZ11" i="2"/>
  <c r="OS11" i="2"/>
  <c r="PA11" i="2"/>
  <c r="OX11" i="2"/>
  <c r="OT11" i="2"/>
  <c r="PB11" i="2"/>
  <c r="OU11" i="2"/>
  <c r="OV11" i="2"/>
  <c r="OO11" i="2"/>
  <c r="OW11" i="2"/>
  <c r="OP11" i="2"/>
  <c r="OP17" i="2"/>
  <c r="OX17" i="2"/>
  <c r="OQ17" i="2"/>
  <c r="OY17" i="2"/>
  <c r="OR17" i="2"/>
  <c r="OZ17" i="2"/>
  <c r="OS17" i="2"/>
  <c r="PA17" i="2"/>
  <c r="OT17" i="2"/>
  <c r="PB17" i="2"/>
  <c r="OU17" i="2"/>
  <c r="OV17" i="2"/>
  <c r="OO17" i="2"/>
  <c r="OW17" i="2"/>
  <c r="OQ32" i="2"/>
  <c r="OY32" i="2"/>
  <c r="OX32" i="2"/>
  <c r="OR32" i="2"/>
  <c r="OZ32" i="2"/>
  <c r="OS32" i="2"/>
  <c r="PA32" i="2"/>
  <c r="OT32" i="2"/>
  <c r="PB32" i="2"/>
  <c r="OU32" i="2"/>
  <c r="OV32" i="2"/>
  <c r="OO32" i="2"/>
  <c r="OW32" i="2"/>
  <c r="OP32" i="2"/>
  <c r="OQ14" i="2"/>
  <c r="OY14" i="2"/>
  <c r="OR14" i="2"/>
  <c r="OZ14" i="2"/>
  <c r="OS14" i="2"/>
  <c r="PA14" i="2"/>
  <c r="OT14" i="2"/>
  <c r="PB14" i="2"/>
  <c r="OU14" i="2"/>
  <c r="OV14" i="2"/>
  <c r="OO14" i="2"/>
  <c r="OW14" i="2"/>
  <c r="OP14" i="2"/>
  <c r="OX14" i="2"/>
  <c r="OS29" i="2"/>
  <c r="PA29" i="2"/>
  <c r="OT29" i="2"/>
  <c r="PB29" i="2"/>
  <c r="OU29" i="2"/>
  <c r="OZ29" i="2"/>
  <c r="OV29" i="2"/>
  <c r="OO29" i="2"/>
  <c r="OW29" i="2"/>
  <c r="OR29" i="2"/>
  <c r="OP29" i="2"/>
  <c r="OX29" i="2"/>
  <c r="OQ29" i="2"/>
  <c r="OY29" i="2"/>
  <c r="JE11" i="2"/>
  <c r="JF11" i="2"/>
  <c r="JE26" i="2"/>
  <c r="JF26" i="2"/>
  <c r="JE20" i="2"/>
  <c r="JF20" i="2"/>
  <c r="JF8" i="2"/>
  <c r="JE8" i="2"/>
  <c r="JE23" i="2"/>
  <c r="JF23" i="2"/>
  <c r="IS5" i="2"/>
  <c r="JE5" i="2"/>
  <c r="JF5" i="2"/>
  <c r="JE17" i="2"/>
  <c r="JF17" i="2"/>
  <c r="IS17" i="2"/>
  <c r="JF32" i="2"/>
  <c r="JE32" i="2"/>
  <c r="JF14" i="2"/>
  <c r="JE14" i="2"/>
  <c r="IS29" i="2"/>
  <c r="JE29" i="2"/>
  <c r="JF29" i="2"/>
  <c r="AI26" i="2"/>
  <c r="AA26" i="2"/>
  <c r="AE23" i="2"/>
  <c r="AA20" i="2"/>
  <c r="AJ17" i="2"/>
  <c r="AF14" i="2"/>
  <c r="AH32" i="2"/>
  <c r="AJ5" i="2"/>
  <c r="AB5" i="2"/>
  <c r="AK14" i="2"/>
  <c r="AC14" i="2"/>
  <c r="AG11" i="2"/>
  <c r="Y11" i="2"/>
  <c r="AL5" i="2"/>
  <c r="AD5" i="2"/>
  <c r="AG14" i="2"/>
  <c r="Y14" i="2"/>
  <c r="AK11" i="2"/>
  <c r="AC11" i="2"/>
  <c r="AJ29" i="2"/>
  <c r="AB29" i="2"/>
  <c r="AE26" i="2"/>
  <c r="AE29" i="2"/>
  <c r="AF23" i="2"/>
  <c r="Z32" i="2"/>
  <c r="AI5" i="2"/>
  <c r="AA5" i="2"/>
  <c r="AH5" i="2"/>
  <c r="Z5" i="2"/>
  <c r="AK26" i="2"/>
  <c r="Y23" i="2"/>
  <c r="AL20" i="2"/>
  <c r="AD20" i="2"/>
  <c r="AA17" i="2"/>
  <c r="AK5" i="2"/>
  <c r="AH11" i="2"/>
  <c r="Z11" i="2"/>
  <c r="AL23" i="2"/>
  <c r="AD23" i="2"/>
  <c r="AI20" i="2"/>
  <c r="AJ14" i="2"/>
  <c r="AB14" i="2"/>
  <c r="AL26" i="2"/>
  <c r="AG8" i="2"/>
  <c r="Y8" i="2"/>
  <c r="AI32" i="2"/>
  <c r="AA32" i="2"/>
  <c r="AE14" i="2"/>
  <c r="AH17" i="2"/>
  <c r="AL14" i="2"/>
  <c r="AD14" i="2"/>
  <c r="AK29" i="2"/>
  <c r="AC29" i="2"/>
  <c r="AI29" i="2"/>
  <c r="AA29" i="2"/>
  <c r="AH20" i="2"/>
  <c r="Z20" i="2"/>
  <c r="AE17" i="2"/>
  <c r="AI8" i="2"/>
  <c r="AA8" i="2"/>
  <c r="IU29" i="2"/>
  <c r="AD26" i="2"/>
  <c r="AG20" i="2"/>
  <c r="Y20" i="2"/>
  <c r="AE8" i="2"/>
  <c r="IY11" i="2"/>
  <c r="AF8" i="2"/>
  <c r="AG32" i="2"/>
  <c r="Y32" i="2"/>
  <c r="AE20" i="2"/>
  <c r="AB17" i="2"/>
  <c r="AH14" i="2"/>
  <c r="Z14" i="2"/>
  <c r="AE11" i="2"/>
  <c r="AC5" i="2"/>
  <c r="AG23" i="2"/>
  <c r="AF20" i="2"/>
  <c r="AK17" i="2"/>
  <c r="AC17" i="2"/>
  <c r="AF26" i="2"/>
  <c r="AK20" i="2"/>
  <c r="AC20" i="2"/>
  <c r="AK23" i="2"/>
  <c r="AC23" i="2"/>
  <c r="AI17" i="2"/>
  <c r="AG17" i="2"/>
  <c r="Y17" i="2"/>
  <c r="AL11" i="2"/>
  <c r="AD11" i="2"/>
  <c r="X5" i="2"/>
  <c r="AK32" i="2"/>
  <c r="AC32" i="2"/>
  <c r="AJ23" i="2"/>
  <c r="AB23" i="2"/>
  <c r="Z17" i="2"/>
  <c r="AF17" i="2"/>
  <c r="AJ32" i="2"/>
  <c r="AB32" i="2"/>
  <c r="AL29" i="2"/>
  <c r="AD29" i="2"/>
  <c r="AJ11" i="2"/>
  <c r="AB11" i="2"/>
  <c r="AL8" i="2"/>
  <c r="AD8" i="2"/>
  <c r="AF5" i="2"/>
  <c r="AI14" i="2"/>
  <c r="AA14" i="2"/>
  <c r="AI11" i="2"/>
  <c r="AA11" i="2"/>
  <c r="AK8" i="2"/>
  <c r="AC8" i="2"/>
  <c r="AG5" i="2"/>
  <c r="Y5" i="2"/>
  <c r="AE5" i="2"/>
  <c r="HU20" i="2"/>
  <c r="AE32" i="2"/>
  <c r="AG29" i="2"/>
  <c r="Y29" i="2"/>
  <c r="AJ26" i="2"/>
  <c r="AB26" i="2"/>
  <c r="AH26" i="2"/>
  <c r="Z26" i="2"/>
  <c r="AH23" i="2"/>
  <c r="Z23" i="2"/>
  <c r="AJ20" i="2"/>
  <c r="AB20" i="2"/>
  <c r="AL17" i="2"/>
  <c r="AD17" i="2"/>
  <c r="AF32" i="2"/>
  <c r="AL32" i="2"/>
  <c r="AD32" i="2"/>
  <c r="AH29" i="2"/>
  <c r="Z29" i="2"/>
  <c r="AF29" i="2"/>
  <c r="AG26" i="2"/>
  <c r="Y26" i="2"/>
  <c r="JA5" i="2"/>
  <c r="JB8" i="2"/>
  <c r="JA17" i="2"/>
  <c r="KS20" i="2"/>
  <c r="IY29" i="2"/>
  <c r="IV11" i="2"/>
  <c r="IV8" i="2"/>
  <c r="NQ20" i="2"/>
  <c r="B38" i="2"/>
  <c r="NR38" i="2"/>
  <c r="E4203" i="1"/>
  <c r="F4203" i="1" s="1"/>
  <c r="I4203" i="1" s="1"/>
  <c r="E4202" i="1"/>
  <c r="E4201" i="1"/>
  <c r="F4201" i="1" s="1"/>
  <c r="I4201" i="1" s="1"/>
  <c r="E4200" i="1"/>
  <c r="F4200" i="1" s="1"/>
  <c r="I4200" i="1" s="1"/>
  <c r="E4199" i="1"/>
  <c r="F4199" i="1" s="1"/>
  <c r="I4199" i="1" s="1"/>
  <c r="E4198" i="1"/>
  <c r="E4197" i="1"/>
  <c r="F4197" i="1" s="1"/>
  <c r="I4197" i="1" s="1"/>
  <c r="E4196" i="1"/>
  <c r="F4196" i="1" s="1"/>
  <c r="I4196" i="1" s="1"/>
  <c r="E4195" i="1"/>
  <c r="F4195" i="1" s="1"/>
  <c r="I4195" i="1" s="1"/>
  <c r="E4194" i="1"/>
  <c r="F4194" i="1" s="1"/>
  <c r="E4193" i="1"/>
  <c r="F4193" i="1" s="1"/>
  <c r="E4192" i="1"/>
  <c r="F4192" i="1" s="1"/>
  <c r="E4191" i="1"/>
  <c r="E4190" i="1"/>
  <c r="F4190" i="1" s="1"/>
  <c r="E4189" i="1"/>
  <c r="F4189" i="1" s="1"/>
  <c r="E4188" i="1"/>
  <c r="F4188" i="1" s="1"/>
  <c r="E4187" i="1"/>
  <c r="E4186" i="1"/>
  <c r="F4186" i="1" s="1"/>
  <c r="E4185" i="1"/>
  <c r="F4185" i="1" s="1"/>
  <c r="E4184" i="1"/>
  <c r="F4184" i="1" s="1"/>
  <c r="E4183" i="1"/>
  <c r="F4183" i="1" s="1"/>
  <c r="E4182" i="1"/>
  <c r="F4182" i="1" s="1"/>
  <c r="I4182" i="1" s="1"/>
  <c r="AN38" i="2"/>
  <c r="F2454" i="1"/>
  <c r="F2453" i="1"/>
  <c r="F2452" i="1"/>
  <c r="F2451" i="1"/>
  <c r="F2450" i="1"/>
  <c r="F2449" i="1"/>
  <c r="F2448" i="1"/>
  <c r="F2447" i="1"/>
  <c r="F2446" i="1"/>
  <c r="F2445" i="1"/>
  <c r="F2444" i="1"/>
  <c r="F2443" i="1"/>
  <c r="F2442" i="1"/>
  <c r="F2441" i="1"/>
  <c r="F2440" i="1"/>
  <c r="F2439" i="1"/>
  <c r="F2438" i="1"/>
  <c r="F2437" i="1"/>
  <c r="F2436" i="1"/>
  <c r="F2435" i="1"/>
  <c r="F2434" i="1"/>
  <c r="F2416" i="1"/>
  <c r="F2415" i="1"/>
  <c r="F2414" i="1"/>
  <c r="F2413" i="1"/>
  <c r="F2412" i="1"/>
  <c r="F2411" i="1"/>
  <c r="F2410" i="1"/>
  <c r="F2409" i="1"/>
  <c r="F2408" i="1"/>
  <c r="F2407" i="1"/>
  <c r="F2406" i="1"/>
  <c r="F2405" i="1"/>
  <c r="F2404" i="1"/>
  <c r="F2403" i="1"/>
  <c r="F2402" i="1"/>
  <c r="F2401" i="1"/>
  <c r="F2400" i="1"/>
  <c r="F2399" i="1"/>
  <c r="F2398" i="1"/>
  <c r="F2397" i="1"/>
  <c r="F2396" i="1"/>
  <c r="F2378" i="1"/>
  <c r="F2377" i="1"/>
  <c r="F2376" i="1"/>
  <c r="F2375" i="1"/>
  <c r="F2374" i="1"/>
  <c r="F2373" i="1"/>
  <c r="F2372" i="1"/>
  <c r="F2371" i="1"/>
  <c r="F2370" i="1"/>
  <c r="F2369" i="1"/>
  <c r="F2368" i="1"/>
  <c r="F2367" i="1"/>
  <c r="F2366" i="1"/>
  <c r="F2365" i="1"/>
  <c r="F2364" i="1"/>
  <c r="F2363" i="1"/>
  <c r="F2362" i="1"/>
  <c r="F2361" i="1"/>
  <c r="F2360" i="1"/>
  <c r="F2359" i="1"/>
  <c r="F2358" i="1"/>
  <c r="F1407" i="1"/>
  <c r="F1369" i="1"/>
  <c r="F1331" i="1"/>
  <c r="F1293" i="1"/>
  <c r="F1255" i="1"/>
  <c r="F1217" i="1"/>
  <c r="F1179" i="1"/>
  <c r="F1141" i="1"/>
  <c r="F1103" i="1"/>
  <c r="F1065" i="1"/>
  <c r="F1027" i="1"/>
  <c r="F989" i="1"/>
  <c r="F951" i="1"/>
  <c r="F39" i="1"/>
  <c r="F77" i="1"/>
  <c r="F115" i="1"/>
  <c r="F153" i="1"/>
  <c r="F191" i="1"/>
  <c r="F267" i="1"/>
  <c r="F305" i="1"/>
  <c r="F343" i="1"/>
  <c r="F381" i="1"/>
  <c r="F419" i="1"/>
  <c r="F457" i="1"/>
  <c r="F495" i="1"/>
  <c r="H3697" i="10" l="1"/>
  <c r="H3660" i="10"/>
  <c r="H3621" i="10"/>
  <c r="H3545" i="10"/>
  <c r="H3508" i="10"/>
  <c r="ES26" i="2"/>
  <c r="ES23" i="2"/>
  <c r="ES32" i="2"/>
  <c r="ES5" i="2"/>
  <c r="ES8" i="2"/>
  <c r="ES17" i="2"/>
  <c r="ES29" i="2"/>
  <c r="EW20" i="2"/>
  <c r="ES20" i="2"/>
  <c r="ES11" i="2"/>
  <c r="JC32" i="2"/>
  <c r="IY20" i="2"/>
  <c r="IZ23" i="2"/>
  <c r="JD14" i="2"/>
  <c r="IW26" i="2"/>
  <c r="IW17" i="2"/>
  <c r="JD32" i="2"/>
  <c r="IX11" i="2"/>
  <c r="IU32" i="2"/>
  <c r="IW14" i="2"/>
  <c r="JB26" i="2"/>
  <c r="IZ17" i="2"/>
  <c r="JD17" i="2"/>
  <c r="JA26" i="2"/>
  <c r="IY32" i="2"/>
  <c r="JB17" i="2"/>
  <c r="JA14" i="2"/>
  <c r="IV26" i="2"/>
  <c r="JA23" i="2"/>
  <c r="IZ8" i="2"/>
  <c r="JC11" i="2"/>
  <c r="JC26" i="2"/>
  <c r="IX14" i="2"/>
  <c r="IX5" i="2"/>
  <c r="IZ20" i="2"/>
  <c r="IW5" i="2"/>
  <c r="JA32" i="2"/>
  <c r="IY26" i="2"/>
  <c r="IZ5" i="2"/>
  <c r="JD23" i="2"/>
  <c r="IZ14" i="2"/>
  <c r="JD5" i="2"/>
  <c r="JA8" i="2"/>
  <c r="IY5" i="2"/>
  <c r="IW11" i="2"/>
  <c r="IX26" i="2"/>
  <c r="IW32" i="2"/>
  <c r="JA20" i="2"/>
  <c r="IU17" i="2"/>
  <c r="IW29" i="2"/>
  <c r="IX32" i="2"/>
  <c r="IV32" i="2"/>
  <c r="IU5" i="2"/>
  <c r="IU14" i="2"/>
  <c r="JA11" i="2"/>
  <c r="JD20" i="2"/>
  <c r="JB5" i="2"/>
  <c r="IX23" i="2"/>
  <c r="IX29" i="2"/>
  <c r="IW20" i="2"/>
  <c r="IV5" i="2"/>
  <c r="IY17" i="2"/>
  <c r="JA29" i="2"/>
  <c r="IV20" i="2"/>
  <c r="IU8" i="2"/>
  <c r="IZ29" i="2"/>
  <c r="IZ32" i="2"/>
  <c r="IV17" i="2"/>
  <c r="JB14" i="2"/>
  <c r="IU23" i="2"/>
  <c r="IU20" i="2"/>
  <c r="IX17" i="2"/>
  <c r="JB11" i="2"/>
  <c r="JB23" i="2"/>
  <c r="IZ11" i="2"/>
  <c r="JB29" i="2"/>
  <c r="JD8" i="2"/>
  <c r="IZ26" i="2"/>
  <c r="JD11" i="2"/>
  <c r="JD29" i="2"/>
  <c r="IV23" i="2"/>
  <c r="IU11" i="2"/>
  <c r="JD26" i="2"/>
  <c r="IX8" i="2"/>
  <c r="IY14" i="2"/>
  <c r="IW8" i="2"/>
  <c r="JB32" i="2"/>
  <c r="IV14" i="2"/>
  <c r="JB20" i="2"/>
  <c r="IW23" i="2"/>
  <c r="IY8" i="2"/>
  <c r="JC5" i="2"/>
  <c r="JC20" i="2"/>
  <c r="IT5" i="2"/>
  <c r="IT17" i="2"/>
  <c r="IT32" i="2"/>
  <c r="IT14" i="2"/>
  <c r="IT29" i="2"/>
  <c r="IT8" i="2"/>
  <c r="IT20" i="2"/>
  <c r="IT11" i="2"/>
  <c r="IT26" i="2"/>
  <c r="IT23" i="2"/>
  <c r="BY20" i="2"/>
  <c r="DK20" i="2"/>
  <c r="AM20" i="2"/>
  <c r="PC20" i="2"/>
  <c r="GI20" i="2"/>
  <c r="ME20" i="2"/>
  <c r="I4183" i="1"/>
  <c r="I4188" i="1"/>
  <c r="I4184" i="1"/>
  <c r="I4185" i="1"/>
  <c r="I4186" i="1"/>
  <c r="E47" i="10"/>
  <c r="F47" i="10" s="1"/>
  <c r="H3698" i="10" l="1"/>
  <c r="H3661" i="10"/>
  <c r="H3622" i="10"/>
  <c r="H3546" i="10"/>
  <c r="H3509" i="10"/>
  <c r="JC8" i="2"/>
  <c r="JC14" i="2"/>
  <c r="JG20" i="2"/>
  <c r="JC23" i="2"/>
  <c r="IU26" i="2"/>
  <c r="JC17" i="2"/>
  <c r="IX20" i="2"/>
  <c r="IY23" i="2"/>
  <c r="IV29" i="2"/>
  <c r="JC29" i="2"/>
  <c r="I4189" i="1"/>
  <c r="BZ20" i="2"/>
  <c r="B20" i="2"/>
  <c r="KT20" i="2"/>
  <c r="AN20" i="2"/>
  <c r="MF20" i="2"/>
  <c r="GJ20" i="2"/>
  <c r="EX20" i="2"/>
  <c r="DL20" i="2"/>
  <c r="H3699" i="10" l="1"/>
  <c r="H3662" i="10"/>
  <c r="H3623" i="10"/>
  <c r="H3547" i="10"/>
  <c r="H3510" i="10"/>
  <c r="I4190" i="1"/>
  <c r="NR20" i="2"/>
  <c r="JH20" i="2"/>
  <c r="HV20" i="2"/>
  <c r="CB20" i="2"/>
  <c r="KV20" i="2"/>
  <c r="EY20" i="2"/>
  <c r="MG20" i="2"/>
  <c r="DM20" i="2"/>
  <c r="JJ20" i="2"/>
  <c r="EZ20" i="2"/>
  <c r="JI20" i="2"/>
  <c r="GL20" i="2"/>
  <c r="AP20" i="2"/>
  <c r="CA20" i="2"/>
  <c r="DN20" i="2"/>
  <c r="AO20" i="2"/>
  <c r="MH20" i="2"/>
  <c r="KU20" i="2"/>
  <c r="C20" i="2"/>
  <c r="GK20" i="2"/>
  <c r="D20" i="2"/>
  <c r="H3700" i="10" l="1"/>
  <c r="H3663" i="10"/>
  <c r="H3624" i="10"/>
  <c r="H3548" i="10"/>
  <c r="H3511" i="10"/>
  <c r="I4192" i="1"/>
  <c r="NT20" i="2"/>
  <c r="HW20" i="2"/>
  <c r="HX20" i="2"/>
  <c r="NS20" i="2"/>
  <c r="AQ20" i="2"/>
  <c r="MI20" i="2"/>
  <c r="FA20" i="2"/>
  <c r="E20" i="2"/>
  <c r="JK20" i="2"/>
  <c r="CC20" i="2"/>
  <c r="GM20" i="2"/>
  <c r="DO20" i="2"/>
  <c r="KW20" i="2"/>
  <c r="H3701" i="10" l="1"/>
  <c r="H3664" i="10"/>
  <c r="H3625" i="10"/>
  <c r="H3549" i="10"/>
  <c r="H3512" i="10"/>
  <c r="I4194" i="1"/>
  <c r="I4193" i="1"/>
  <c r="NU20" i="2"/>
  <c r="HY20" i="2"/>
  <c r="CD20" i="2"/>
  <c r="AR20" i="2"/>
  <c r="KX20" i="2"/>
  <c r="JL20" i="2"/>
  <c r="GN20" i="2"/>
  <c r="FB20" i="2"/>
  <c r="MJ20" i="2"/>
  <c r="F20" i="2"/>
  <c r="DP20" i="2"/>
  <c r="H3702" i="10" l="1"/>
  <c r="H3665" i="10"/>
  <c r="H3626" i="10"/>
  <c r="H3550" i="10"/>
  <c r="H3513" i="10"/>
  <c r="HZ20" i="2"/>
  <c r="NV20" i="2"/>
  <c r="G20" i="2"/>
  <c r="AS20" i="2"/>
  <c r="MK20" i="2"/>
  <c r="FC20" i="2"/>
  <c r="GO20" i="2"/>
  <c r="JM20" i="2"/>
  <c r="CE20" i="2"/>
  <c r="KY20" i="2"/>
  <c r="DQ20" i="2"/>
  <c r="H3703" i="10" l="1"/>
  <c r="H3666" i="10"/>
  <c r="H3627" i="10"/>
  <c r="H3551" i="10"/>
  <c r="H3514" i="10"/>
  <c r="IA20" i="2"/>
  <c r="NW20" i="2"/>
  <c r="KZ20" i="2"/>
  <c r="JN20" i="2"/>
  <c r="CF20" i="2"/>
  <c r="DR20" i="2"/>
  <c r="ML20" i="2"/>
  <c r="AT20" i="2"/>
  <c r="FD20" i="2"/>
  <c r="H20" i="2"/>
  <c r="GP20" i="2"/>
  <c r="H3704" i="10" l="1"/>
  <c r="H3667" i="10"/>
  <c r="H3628" i="10"/>
  <c r="H3552" i="10"/>
  <c r="H3515" i="10"/>
  <c r="NX20" i="2"/>
  <c r="IB20" i="2"/>
  <c r="LA20" i="2"/>
  <c r="AU20" i="2"/>
  <c r="DS20" i="2"/>
  <c r="JO20" i="2"/>
  <c r="I20" i="2"/>
  <c r="MM20" i="2"/>
  <c r="CG20" i="2"/>
  <c r="GQ20" i="2"/>
  <c r="FE20" i="2"/>
  <c r="H3705" i="10" l="1"/>
  <c r="H3668" i="10"/>
  <c r="H3629" i="10"/>
  <c r="H3553" i="10"/>
  <c r="H3516" i="10"/>
  <c r="IC20" i="2"/>
  <c r="NY20" i="2"/>
  <c r="MN20" i="2"/>
  <c r="J20" i="2"/>
  <c r="FF20" i="2"/>
  <c r="AV20" i="2"/>
  <c r="GR20" i="2"/>
  <c r="JP20" i="2"/>
  <c r="DT20" i="2"/>
  <c r="CH20" i="2"/>
  <c r="LB20" i="2"/>
  <c r="H3706" i="10" l="1"/>
  <c r="H3669" i="10"/>
  <c r="H3630" i="10"/>
  <c r="H3554" i="10"/>
  <c r="H3517" i="10"/>
  <c r="ID20" i="2"/>
  <c r="NZ20" i="2"/>
  <c r="FG20" i="2"/>
  <c r="AW20" i="2"/>
  <c r="MO20" i="2"/>
  <c r="CI20" i="2"/>
  <c r="K20" i="2"/>
  <c r="DU20" i="2"/>
  <c r="LC20" i="2"/>
  <c r="GS20" i="2"/>
  <c r="H3707" i="10" l="1"/>
  <c r="H3670" i="10"/>
  <c r="H3631" i="10"/>
  <c r="H3555" i="10"/>
  <c r="H3518" i="10"/>
  <c r="OA20" i="2"/>
  <c r="JQ20" i="2"/>
  <c r="IE20" i="2"/>
  <c r="AX20" i="2"/>
  <c r="MP20" i="2"/>
  <c r="L20" i="2"/>
  <c r="CJ20" i="2"/>
  <c r="FH20" i="2"/>
  <c r="LD20" i="2"/>
  <c r="GT20" i="2"/>
  <c r="JR20" i="2"/>
  <c r="DV20" i="2"/>
  <c r="H3708" i="10" l="1"/>
  <c r="H3671" i="10"/>
  <c r="H3632" i="10"/>
  <c r="H3556" i="10"/>
  <c r="H3519" i="10"/>
  <c r="IF20" i="2"/>
  <c r="OB20" i="2"/>
  <c r="FI20" i="2"/>
  <c r="M20" i="2"/>
  <c r="JS20" i="2"/>
  <c r="AY20" i="2"/>
  <c r="LE20" i="2"/>
  <c r="MQ20" i="2"/>
  <c r="GU20" i="2"/>
  <c r="CK20" i="2"/>
  <c r="H3709" i="10" l="1"/>
  <c r="I3671" i="10"/>
  <c r="H3672" i="10"/>
  <c r="H3633" i="10"/>
  <c r="H3557" i="10"/>
  <c r="H3520" i="10"/>
  <c r="I3519" i="10"/>
  <c r="IG20" i="2"/>
  <c r="DW20" i="2"/>
  <c r="OC20" i="2"/>
  <c r="LF20" i="2"/>
  <c r="CL20" i="2"/>
  <c r="N20" i="2"/>
  <c r="DX20" i="2"/>
  <c r="GV20" i="2"/>
  <c r="JT20" i="2"/>
  <c r="MR20" i="2"/>
  <c r="AZ20" i="2"/>
  <c r="FJ20" i="2"/>
  <c r="I3709" i="10" l="1"/>
  <c r="H3710" i="10"/>
  <c r="I3672" i="10"/>
  <c r="H3673" i="10"/>
  <c r="H3634" i="10"/>
  <c r="I3633" i="10"/>
  <c r="H3558" i="10"/>
  <c r="I3557" i="10"/>
  <c r="H3521" i="10"/>
  <c r="I3520" i="10"/>
  <c r="IH20" i="2"/>
  <c r="OD20" i="2"/>
  <c r="O20" i="2"/>
  <c r="LG20" i="2"/>
  <c r="DY20" i="2"/>
  <c r="BA20" i="2"/>
  <c r="GW20" i="2"/>
  <c r="JU20" i="2"/>
  <c r="MS20" i="2"/>
  <c r="CM20" i="2"/>
  <c r="FK20" i="2"/>
  <c r="H3711" i="10" l="1"/>
  <c r="I3710" i="10"/>
  <c r="H3674" i="10"/>
  <c r="I3673" i="10"/>
  <c r="H3635" i="10"/>
  <c r="I3634" i="10"/>
  <c r="H3559" i="10"/>
  <c r="I3558" i="10"/>
  <c r="H3522" i="10"/>
  <c r="I3521" i="10"/>
  <c r="OE20" i="2"/>
  <c r="II20" i="2"/>
  <c r="BB20" i="2"/>
  <c r="GX20" i="2"/>
  <c r="FL20" i="2"/>
  <c r="JV20" i="2"/>
  <c r="MT20" i="2"/>
  <c r="LH20" i="2"/>
  <c r="CN20" i="2"/>
  <c r="P20" i="2"/>
  <c r="DZ20" i="2"/>
  <c r="H3712" i="10" l="1"/>
  <c r="I3711" i="10"/>
  <c r="I3674" i="10"/>
  <c r="H3675" i="10"/>
  <c r="I3635" i="10"/>
  <c r="H3636" i="10"/>
  <c r="H3560" i="10"/>
  <c r="I3559" i="10"/>
  <c r="H3523" i="10"/>
  <c r="I3522" i="10"/>
  <c r="OF20" i="2"/>
  <c r="IJ20" i="2"/>
  <c r="Q20" i="2"/>
  <c r="CO20" i="2"/>
  <c r="BC20" i="2"/>
  <c r="LI20" i="2"/>
  <c r="FM20" i="2"/>
  <c r="GY20" i="2"/>
  <c r="EA20" i="2"/>
  <c r="MU20" i="2"/>
  <c r="I3712" i="10" l="1"/>
  <c r="H3713" i="10"/>
  <c r="H3676" i="10"/>
  <c r="I3675" i="10"/>
  <c r="I3636" i="10"/>
  <c r="H3637" i="10"/>
  <c r="I3560" i="10"/>
  <c r="H3561" i="10"/>
  <c r="H3524" i="10"/>
  <c r="I3523" i="10"/>
  <c r="OG20" i="2"/>
  <c r="JW20" i="2"/>
  <c r="IK20" i="2"/>
  <c r="R20" i="2"/>
  <c r="BD20" i="2"/>
  <c r="GZ20" i="2"/>
  <c r="EB20" i="2"/>
  <c r="CP20" i="2"/>
  <c r="LJ20" i="2"/>
  <c r="FN20" i="2"/>
  <c r="MV20" i="2"/>
  <c r="I3713" i="10" l="1"/>
  <c r="H3714" i="10"/>
  <c r="H3677" i="10"/>
  <c r="I3676" i="10"/>
  <c r="H3638" i="10"/>
  <c r="I3637" i="10"/>
  <c r="H3562" i="10"/>
  <c r="I3561" i="10"/>
  <c r="H3525" i="10"/>
  <c r="I3524" i="10"/>
  <c r="OH20" i="2"/>
  <c r="JX20" i="2"/>
  <c r="IL20" i="2"/>
  <c r="FO20" i="2"/>
  <c r="CQ20" i="2"/>
  <c r="JY20" i="2"/>
  <c r="EC20" i="2"/>
  <c r="LK20" i="2"/>
  <c r="MW20" i="2"/>
  <c r="S20" i="2"/>
  <c r="HA20" i="2"/>
  <c r="BE20" i="2"/>
  <c r="H3715" i="10" l="1"/>
  <c r="I3714" i="10"/>
  <c r="H3678" i="10"/>
  <c r="I3677" i="10"/>
  <c r="H3639" i="10"/>
  <c r="I3638" i="10"/>
  <c r="H3563" i="10"/>
  <c r="I3562" i="10"/>
  <c r="H3526" i="10"/>
  <c r="I3525" i="10"/>
  <c r="OI20" i="2"/>
  <c r="IM20" i="2"/>
  <c r="LL20" i="2"/>
  <c r="JZ20" i="2"/>
  <c r="CR20" i="2"/>
  <c r="FP20" i="2"/>
  <c r="MX20" i="2"/>
  <c r="HB20" i="2"/>
  <c r="BF20" i="2"/>
  <c r="T20" i="2"/>
  <c r="H3716" i="10" l="1"/>
  <c r="I3715" i="10"/>
  <c r="I3678" i="10"/>
  <c r="H3679" i="10"/>
  <c r="I3639" i="10"/>
  <c r="H3640" i="10"/>
  <c r="H3564" i="10"/>
  <c r="I3563" i="10"/>
  <c r="I3526" i="10"/>
  <c r="H3527" i="10"/>
  <c r="IN20" i="2"/>
  <c r="ED20" i="2"/>
  <c r="OJ20" i="2"/>
  <c r="MY20" i="2"/>
  <c r="U20" i="2"/>
  <c r="CS20" i="2"/>
  <c r="LM20" i="2"/>
  <c r="BG20" i="2"/>
  <c r="HC20" i="2"/>
  <c r="FQ20" i="2"/>
  <c r="EE20" i="2"/>
  <c r="KA20" i="2"/>
  <c r="I3716" i="10" l="1"/>
  <c r="H3717" i="10"/>
  <c r="I3679" i="10"/>
  <c r="H3680" i="10"/>
  <c r="H3641" i="10"/>
  <c r="I3640" i="10"/>
  <c r="I3564" i="10"/>
  <c r="H3565" i="10"/>
  <c r="H3528" i="10"/>
  <c r="I3527" i="10"/>
  <c r="OK20" i="2"/>
  <c r="IO20" i="2"/>
  <c r="BH20" i="2"/>
  <c r="HD20" i="2"/>
  <c r="MZ20" i="2"/>
  <c r="LN20" i="2"/>
  <c r="CT20" i="2"/>
  <c r="EF20" i="2"/>
  <c r="V20" i="2"/>
  <c r="KB20" i="2"/>
  <c r="FR20" i="2"/>
  <c r="H3718" i="10" l="1"/>
  <c r="I3717" i="10"/>
  <c r="H3681" i="10"/>
  <c r="I3680" i="10"/>
  <c r="H3642" i="10"/>
  <c r="I3641" i="10"/>
  <c r="I3565" i="10"/>
  <c r="H3566" i="10"/>
  <c r="H3529" i="10"/>
  <c r="I3528" i="10"/>
  <c r="OL20" i="2"/>
  <c r="IP20" i="2"/>
  <c r="EG20" i="2"/>
  <c r="NA20" i="2"/>
  <c r="LO20" i="2"/>
  <c r="BI20" i="2"/>
  <c r="KC20" i="2"/>
  <c r="CU20" i="2"/>
  <c r="HE20" i="2"/>
  <c r="FS20" i="2"/>
  <c r="W20" i="2"/>
  <c r="H3719" i="10" l="1"/>
  <c r="I3718" i="10"/>
  <c r="H3682" i="10"/>
  <c r="I3681" i="10"/>
  <c r="H3643" i="10"/>
  <c r="I3642" i="10"/>
  <c r="H3567" i="10"/>
  <c r="I3566" i="10"/>
  <c r="H3530" i="10"/>
  <c r="I3529" i="10"/>
  <c r="OM20" i="2"/>
  <c r="IQ20" i="2"/>
  <c r="EH20" i="2"/>
  <c r="X20" i="2"/>
  <c r="CV20" i="2"/>
  <c r="KD20" i="2"/>
  <c r="FT20" i="2"/>
  <c r="HF20" i="2"/>
  <c r="NB20" i="2"/>
  <c r="LP20" i="2"/>
  <c r="H3720" i="10" l="1"/>
  <c r="I3719" i="10"/>
  <c r="I3682" i="10"/>
  <c r="H3683" i="10"/>
  <c r="I3643" i="10"/>
  <c r="H3644" i="10"/>
  <c r="H3568" i="10"/>
  <c r="I3567" i="10"/>
  <c r="I3530" i="10"/>
  <c r="H3531" i="10"/>
  <c r="ON20" i="2"/>
  <c r="IR20" i="2"/>
  <c r="I3720" i="10" l="1"/>
  <c r="H3721" i="10"/>
  <c r="H3684" i="10"/>
  <c r="I3683" i="10"/>
  <c r="H3645" i="10"/>
  <c r="I3644" i="10"/>
  <c r="I3568" i="10"/>
  <c r="H3569" i="10"/>
  <c r="H3532" i="10"/>
  <c r="I3531" i="10"/>
  <c r="H4193" i="10"/>
  <c r="H4194" i="10" s="1"/>
  <c r="E4183" i="10"/>
  <c r="F4183" i="10" s="1"/>
  <c r="E4184" i="10"/>
  <c r="F4184" i="10" s="1"/>
  <c r="I4184" i="10" s="1"/>
  <c r="E4185" i="10"/>
  <c r="F4185" i="10" s="1"/>
  <c r="I4185" i="10" s="1"/>
  <c r="E4186" i="10"/>
  <c r="F4186" i="10" s="1"/>
  <c r="I4186" i="10" s="1"/>
  <c r="E4187" i="10"/>
  <c r="F4187" i="10" s="1"/>
  <c r="I4187" i="10" s="1"/>
  <c r="E4188" i="10"/>
  <c r="F4188" i="10" s="1"/>
  <c r="I4188" i="10" s="1"/>
  <c r="E4189" i="10"/>
  <c r="F4189" i="10" s="1"/>
  <c r="I4189" i="10" s="1"/>
  <c r="E4190" i="10"/>
  <c r="F4190" i="10" s="1"/>
  <c r="I4190" i="10" s="1"/>
  <c r="E4191" i="10"/>
  <c r="F4191" i="10" s="1"/>
  <c r="I4191" i="10" s="1"/>
  <c r="E4192" i="10"/>
  <c r="F4192" i="10" s="1"/>
  <c r="I4192" i="10" s="1"/>
  <c r="E4193" i="10"/>
  <c r="F4193" i="10" s="1"/>
  <c r="E4194" i="10"/>
  <c r="F4194" i="10" s="1"/>
  <c r="E4195" i="10"/>
  <c r="F4195" i="10" s="1"/>
  <c r="I4195" i="10" s="1"/>
  <c r="E4196" i="10"/>
  <c r="F4196" i="10" s="1"/>
  <c r="I4196" i="10" s="1"/>
  <c r="E4197" i="10"/>
  <c r="F4197" i="10" s="1"/>
  <c r="I4197" i="10" s="1"/>
  <c r="E4198" i="10"/>
  <c r="F4198" i="10" s="1"/>
  <c r="I4198" i="10" s="1"/>
  <c r="E4199" i="10"/>
  <c r="F4199" i="10" s="1"/>
  <c r="I4199" i="10" s="1"/>
  <c r="E4200" i="10"/>
  <c r="F4200" i="10" s="1"/>
  <c r="I4200" i="10" s="1"/>
  <c r="E4201" i="10"/>
  <c r="F4201" i="10" s="1"/>
  <c r="I4201" i="10" s="1"/>
  <c r="E4202" i="10"/>
  <c r="F4202" i="10" s="1"/>
  <c r="I4202" i="10" s="1"/>
  <c r="E4203" i="10"/>
  <c r="F4203" i="10" s="1"/>
  <c r="I4203" i="10" s="1"/>
  <c r="E4182" i="10"/>
  <c r="F4182" i="10" s="1"/>
  <c r="H4182" i="10"/>
  <c r="H4183" i="10" s="1"/>
  <c r="H3309" i="10"/>
  <c r="H3310" i="10" s="1"/>
  <c r="H3157" i="10"/>
  <c r="H3005" i="10"/>
  <c r="H3006" i="10" s="1"/>
  <c r="H2967" i="10"/>
  <c r="H2968" i="10" s="1"/>
  <c r="H2969" i="10" s="1"/>
  <c r="H2929" i="10"/>
  <c r="H2930" i="10" s="1"/>
  <c r="H2891" i="10"/>
  <c r="H2892" i="10" s="1"/>
  <c r="H2739" i="10"/>
  <c r="H2740" i="10" s="1"/>
  <c r="H2587" i="10"/>
  <c r="H2588" i="10" s="1"/>
  <c r="H2549" i="10"/>
  <c r="H2550" i="10" s="1"/>
  <c r="H2511" i="10"/>
  <c r="H2512" i="10" s="1"/>
  <c r="H2513" i="10" s="1"/>
  <c r="F2454" i="10"/>
  <c r="F2453" i="10"/>
  <c r="F2452" i="10"/>
  <c r="F2451" i="10"/>
  <c r="F2450" i="10"/>
  <c r="F2449" i="10"/>
  <c r="F2448" i="10"/>
  <c r="F2447" i="10"/>
  <c r="F2446" i="10"/>
  <c r="F2445" i="10"/>
  <c r="F2444" i="10"/>
  <c r="F2443" i="10"/>
  <c r="F2442" i="10"/>
  <c r="F2441" i="10"/>
  <c r="F2440" i="10"/>
  <c r="F2439" i="10"/>
  <c r="F2438" i="10"/>
  <c r="F2437" i="10"/>
  <c r="F2436" i="10"/>
  <c r="F2435" i="10"/>
  <c r="F2434" i="10"/>
  <c r="F2416" i="10"/>
  <c r="F2415" i="10"/>
  <c r="F2414" i="10"/>
  <c r="F2413" i="10"/>
  <c r="F2412" i="10"/>
  <c r="F2411" i="10"/>
  <c r="F2410" i="10"/>
  <c r="F2409" i="10"/>
  <c r="F2408" i="10"/>
  <c r="F2407" i="10"/>
  <c r="F2406" i="10"/>
  <c r="F2405" i="10"/>
  <c r="F2404" i="10"/>
  <c r="F2403" i="10"/>
  <c r="F2402" i="10"/>
  <c r="F2401" i="10"/>
  <c r="F2400" i="10"/>
  <c r="F2399" i="10"/>
  <c r="F2398" i="10"/>
  <c r="F2397" i="10"/>
  <c r="F2396" i="10"/>
  <c r="F2378" i="10"/>
  <c r="F2377" i="10"/>
  <c r="F2376" i="10"/>
  <c r="F2375" i="10"/>
  <c r="F2374" i="10"/>
  <c r="F2373" i="10"/>
  <c r="F2372" i="10"/>
  <c r="F2371" i="10"/>
  <c r="F2370" i="10"/>
  <c r="F2369" i="10"/>
  <c r="F2368" i="10"/>
  <c r="F2367" i="10"/>
  <c r="F2366" i="10"/>
  <c r="F2365" i="10"/>
  <c r="F2364" i="10"/>
  <c r="F2363" i="10"/>
  <c r="F2362" i="10"/>
  <c r="F2361" i="10"/>
  <c r="F2360" i="10"/>
  <c r="F2359" i="10"/>
  <c r="F2358" i="10"/>
  <c r="H2473" i="10"/>
  <c r="H2474" i="10" s="1"/>
  <c r="H2475" i="10" s="1"/>
  <c r="H2476" i="10" s="1"/>
  <c r="H2477" i="10" s="1"/>
  <c r="H2478" i="10" s="1"/>
  <c r="H2479" i="10" s="1"/>
  <c r="H2480" i="10" s="1"/>
  <c r="H2481" i="10" s="1"/>
  <c r="H2482" i="10" s="1"/>
  <c r="H2483" i="10" s="1"/>
  <c r="H2484" i="10" s="1"/>
  <c r="H2485" i="10" s="1"/>
  <c r="H2486" i="10" s="1"/>
  <c r="H2487" i="10" s="1"/>
  <c r="H2488" i="10" s="1"/>
  <c r="H2489" i="10" s="1"/>
  <c r="H2490" i="10" s="1"/>
  <c r="H2491" i="10" s="1"/>
  <c r="H2492" i="10" s="1"/>
  <c r="H2493" i="10" s="1"/>
  <c r="H2321" i="10"/>
  <c r="H2322" i="10" s="1"/>
  <c r="H2323" i="10" s="1"/>
  <c r="H2324" i="10" s="1"/>
  <c r="H2325" i="10" s="1"/>
  <c r="H2326" i="10" s="1"/>
  <c r="H2327" i="10" s="1"/>
  <c r="H2328" i="10" s="1"/>
  <c r="H2329" i="10" s="1"/>
  <c r="H2330" i="10" s="1"/>
  <c r="H2331" i="10" s="1"/>
  <c r="H2332" i="10" s="1"/>
  <c r="H2333" i="10" s="1"/>
  <c r="H2334" i="10" s="1"/>
  <c r="H2335" i="10" s="1"/>
  <c r="H2336" i="10" s="1"/>
  <c r="H2337" i="10" s="1"/>
  <c r="H2338" i="10" s="1"/>
  <c r="H2339" i="10" s="1"/>
  <c r="H2340" i="10" s="1"/>
  <c r="H2341" i="10" s="1"/>
  <c r="H2169" i="10"/>
  <c r="H2170" i="10" s="1"/>
  <c r="H2171" i="10" s="1"/>
  <c r="H2172" i="10" s="1"/>
  <c r="H2173" i="10" s="1"/>
  <c r="H2174" i="10" s="1"/>
  <c r="H2175" i="10" s="1"/>
  <c r="H2176" i="10" s="1"/>
  <c r="H2177" i="10" s="1"/>
  <c r="H2178" i="10" s="1"/>
  <c r="H2179" i="10" s="1"/>
  <c r="H2180" i="10" s="1"/>
  <c r="H2181" i="10" s="1"/>
  <c r="H2182" i="10" s="1"/>
  <c r="H2183" i="10" s="1"/>
  <c r="H2184" i="10" s="1"/>
  <c r="H2185" i="10" s="1"/>
  <c r="H2186" i="10" s="1"/>
  <c r="H2187" i="10" s="1"/>
  <c r="H2188" i="10" s="1"/>
  <c r="H2189" i="10" s="1"/>
  <c r="H2131" i="10"/>
  <c r="H2132" i="10" s="1"/>
  <c r="H2133" i="10" s="1"/>
  <c r="H2134" i="10" s="1"/>
  <c r="H2135" i="10" s="1"/>
  <c r="H2136" i="10" s="1"/>
  <c r="H2137" i="10" s="1"/>
  <c r="H2138" i="10" s="1"/>
  <c r="H2139" i="10" s="1"/>
  <c r="H2140" i="10" s="1"/>
  <c r="H2141" i="10" s="1"/>
  <c r="H2142" i="10" s="1"/>
  <c r="H2143" i="10" s="1"/>
  <c r="H2144" i="10" s="1"/>
  <c r="H2145" i="10" s="1"/>
  <c r="H2146" i="10" s="1"/>
  <c r="H2147" i="10" s="1"/>
  <c r="H2148" i="10" s="1"/>
  <c r="H2149" i="10" s="1"/>
  <c r="H2150" i="10" s="1"/>
  <c r="H2151" i="10" s="1"/>
  <c r="H2093" i="10"/>
  <c r="H2094" i="10" s="1"/>
  <c r="H2095" i="10" s="1"/>
  <c r="H2096" i="10" s="1"/>
  <c r="H2097" i="10" s="1"/>
  <c r="H2098" i="10" s="1"/>
  <c r="H2099" i="10" s="1"/>
  <c r="H2100" i="10" s="1"/>
  <c r="H2101" i="10" s="1"/>
  <c r="H2102" i="10" s="1"/>
  <c r="H2103" i="10" s="1"/>
  <c r="H2104" i="10" s="1"/>
  <c r="H2105" i="10" s="1"/>
  <c r="H2106" i="10" s="1"/>
  <c r="H2107" i="10" s="1"/>
  <c r="H2108" i="10" s="1"/>
  <c r="H2109" i="10" s="1"/>
  <c r="H2110" i="10" s="1"/>
  <c r="H2111" i="10" s="1"/>
  <c r="H2112" i="10" s="1"/>
  <c r="H2113" i="10" s="1"/>
  <c r="H2055" i="10"/>
  <c r="H2056" i="10" s="1"/>
  <c r="H2057" i="10" s="1"/>
  <c r="H2058" i="10" s="1"/>
  <c r="H1903" i="10"/>
  <c r="H1904" i="10" s="1"/>
  <c r="H1751" i="10"/>
  <c r="H1752" i="10" s="1"/>
  <c r="H1753" i="10" s="1"/>
  <c r="H1713" i="10"/>
  <c r="H1714" i="10" s="1"/>
  <c r="H1675" i="10"/>
  <c r="H4145" i="10"/>
  <c r="H4146" i="10" s="1"/>
  <c r="H4147" i="10" s="1"/>
  <c r="H4148" i="10" s="1"/>
  <c r="H3993" i="10"/>
  <c r="H3994" i="10" s="1"/>
  <c r="H3841" i="10"/>
  <c r="H3842" i="10" s="1"/>
  <c r="H3843" i="10" s="1"/>
  <c r="H3844" i="10" s="1"/>
  <c r="H3803" i="10"/>
  <c r="H3804" i="10" s="1"/>
  <c r="H3765" i="10"/>
  <c r="H3766" i="10" s="1"/>
  <c r="H3767" i="10" s="1"/>
  <c r="H1637" i="10"/>
  <c r="H1638" i="10" s="1"/>
  <c r="H1639" i="10" s="1"/>
  <c r="H1640" i="10" s="1"/>
  <c r="H1641" i="10" s="1"/>
  <c r="H1642" i="10" s="1"/>
  <c r="H1643" i="10" s="1"/>
  <c r="H1644" i="10" s="1"/>
  <c r="H1645" i="10" s="1"/>
  <c r="H1646" i="10" s="1"/>
  <c r="H1647" i="10" s="1"/>
  <c r="H1648" i="10" s="1"/>
  <c r="H1649" i="10" s="1"/>
  <c r="H1650" i="10" s="1"/>
  <c r="H1651" i="10" s="1"/>
  <c r="H1652" i="10" s="1"/>
  <c r="H1653" i="10" s="1"/>
  <c r="H1654" i="10" s="1"/>
  <c r="H1655" i="10" s="1"/>
  <c r="H1656" i="10" s="1"/>
  <c r="H1657" i="10" s="1"/>
  <c r="H1485" i="10"/>
  <c r="H1486" i="10" s="1"/>
  <c r="H1487" i="10" s="1"/>
  <c r="H1488" i="10" s="1"/>
  <c r="H1489" i="10" s="1"/>
  <c r="H1490" i="10" s="1"/>
  <c r="H1491" i="10" s="1"/>
  <c r="H1492" i="10" s="1"/>
  <c r="H1493" i="10" s="1"/>
  <c r="H1494" i="10" s="1"/>
  <c r="H1495" i="10" s="1"/>
  <c r="H1496" i="10" s="1"/>
  <c r="H1497" i="10" s="1"/>
  <c r="H1498" i="10" s="1"/>
  <c r="H1499" i="10" s="1"/>
  <c r="H1500" i="10" s="1"/>
  <c r="H1501" i="10" s="1"/>
  <c r="H1502" i="10" s="1"/>
  <c r="H1503" i="10" s="1"/>
  <c r="H1504" i="10" s="1"/>
  <c r="H1505" i="10" s="1"/>
  <c r="H1333" i="10"/>
  <c r="H1334" i="10" s="1"/>
  <c r="H1335" i="10" s="1"/>
  <c r="H1336" i="10" s="1"/>
  <c r="H1337" i="10" s="1"/>
  <c r="H1338" i="10" s="1"/>
  <c r="H1339" i="10" s="1"/>
  <c r="H1340" i="10" s="1"/>
  <c r="H1341" i="10" s="1"/>
  <c r="H1342" i="10" s="1"/>
  <c r="H1343" i="10" s="1"/>
  <c r="H1344" i="10" s="1"/>
  <c r="H1345" i="10" s="1"/>
  <c r="H1346" i="10" s="1"/>
  <c r="H1347" i="10" s="1"/>
  <c r="H1348" i="10" s="1"/>
  <c r="H1349" i="10" s="1"/>
  <c r="H1350" i="10" s="1"/>
  <c r="H1351" i="10" s="1"/>
  <c r="H1352" i="10" s="1"/>
  <c r="H1353" i="10" s="1"/>
  <c r="H1295" i="10"/>
  <c r="H1296" i="10" s="1"/>
  <c r="H1297" i="10" s="1"/>
  <c r="H1298" i="10" s="1"/>
  <c r="H1299" i="10" s="1"/>
  <c r="H1300" i="10" s="1"/>
  <c r="H1301" i="10" s="1"/>
  <c r="H1302" i="10" s="1"/>
  <c r="H1303" i="10" s="1"/>
  <c r="H1304" i="10" s="1"/>
  <c r="H1305" i="10" s="1"/>
  <c r="H1306" i="10" s="1"/>
  <c r="H1307" i="10" s="1"/>
  <c r="H1308" i="10" s="1"/>
  <c r="H1309" i="10" s="1"/>
  <c r="H1310" i="10" s="1"/>
  <c r="H1311" i="10" s="1"/>
  <c r="H1312" i="10" s="1"/>
  <c r="H1313" i="10" s="1"/>
  <c r="H1314" i="10" s="1"/>
  <c r="H1315" i="10" s="1"/>
  <c r="H1257" i="10"/>
  <c r="H1258" i="10" s="1"/>
  <c r="H1259" i="10" s="1"/>
  <c r="H1260" i="10" s="1"/>
  <c r="H1261" i="10" s="1"/>
  <c r="H1262" i="10" s="1"/>
  <c r="H1263" i="10" s="1"/>
  <c r="H1264" i="10" s="1"/>
  <c r="H1265" i="10" s="1"/>
  <c r="H1266" i="10" s="1"/>
  <c r="H1267" i="10" s="1"/>
  <c r="H1268" i="10" s="1"/>
  <c r="H1269" i="10" s="1"/>
  <c r="H1270" i="10" s="1"/>
  <c r="H1271" i="10" s="1"/>
  <c r="H1272" i="10" s="1"/>
  <c r="H1273" i="10" s="1"/>
  <c r="H1274" i="10" s="1"/>
  <c r="H1275" i="10" s="1"/>
  <c r="H1276" i="10" s="1"/>
  <c r="H1277" i="10" s="1"/>
  <c r="AM14" i="2"/>
  <c r="AM17" i="2"/>
  <c r="AM23" i="2"/>
  <c r="AM26" i="2"/>
  <c r="AM29" i="2"/>
  <c r="AM32" i="2"/>
  <c r="H1219" i="10"/>
  <c r="H1220" i="10" s="1"/>
  <c r="H1221" i="10" s="1"/>
  <c r="H1222" i="10" s="1"/>
  <c r="H1223" i="10" s="1"/>
  <c r="H1224" i="10" s="1"/>
  <c r="H1225" i="10" s="1"/>
  <c r="H1226" i="10" s="1"/>
  <c r="H1227" i="10" s="1"/>
  <c r="H1228" i="10" s="1"/>
  <c r="H1229" i="10" s="1"/>
  <c r="H1230" i="10" s="1"/>
  <c r="H1231" i="10" s="1"/>
  <c r="H1232" i="10" s="1"/>
  <c r="H1233" i="10" s="1"/>
  <c r="H1234" i="10" s="1"/>
  <c r="H1235" i="10" s="1"/>
  <c r="H1236" i="10" s="1"/>
  <c r="H1237" i="10" s="1"/>
  <c r="H1238" i="10" s="1"/>
  <c r="H1239" i="10" s="1"/>
  <c r="H1067" i="10"/>
  <c r="H1068" i="10" s="1"/>
  <c r="H1069" i="10" s="1"/>
  <c r="H1070" i="10" s="1"/>
  <c r="H1071" i="10" s="1"/>
  <c r="H1072" i="10" s="1"/>
  <c r="H1073" i="10" s="1"/>
  <c r="H1074" i="10" s="1"/>
  <c r="H1075" i="10" s="1"/>
  <c r="H1076" i="10" s="1"/>
  <c r="H1077" i="10" s="1"/>
  <c r="H1078" i="10" s="1"/>
  <c r="H1079" i="10" s="1"/>
  <c r="H1080" i="10" s="1"/>
  <c r="H1081" i="10" s="1"/>
  <c r="H1082" i="10" s="1"/>
  <c r="H1083" i="10" s="1"/>
  <c r="H1084" i="10" s="1"/>
  <c r="H1085" i="10" s="1"/>
  <c r="H1086" i="10" s="1"/>
  <c r="H1087" i="10" s="1"/>
  <c r="H915" i="10"/>
  <c r="H916" i="10" s="1"/>
  <c r="H917" i="10" s="1"/>
  <c r="H918" i="10" s="1"/>
  <c r="H919" i="10" s="1"/>
  <c r="H920" i="10" s="1"/>
  <c r="H921" i="10" s="1"/>
  <c r="H922" i="10" s="1"/>
  <c r="H923" i="10" s="1"/>
  <c r="H924" i="10" s="1"/>
  <c r="H925" i="10" s="1"/>
  <c r="H926" i="10" s="1"/>
  <c r="H927" i="10" s="1"/>
  <c r="H928" i="10" s="1"/>
  <c r="H929" i="10" s="1"/>
  <c r="H930" i="10" s="1"/>
  <c r="H931" i="10" s="1"/>
  <c r="H932" i="10" s="1"/>
  <c r="H933" i="10" s="1"/>
  <c r="H934" i="10" s="1"/>
  <c r="H935" i="10" s="1"/>
  <c r="H877" i="10"/>
  <c r="H878" i="10" s="1"/>
  <c r="H879" i="10" s="1"/>
  <c r="H880" i="10" s="1"/>
  <c r="H881" i="10" s="1"/>
  <c r="H882" i="10" s="1"/>
  <c r="H883" i="10" s="1"/>
  <c r="H884" i="10" s="1"/>
  <c r="H885" i="10" s="1"/>
  <c r="H886" i="10" s="1"/>
  <c r="H887" i="10" s="1"/>
  <c r="H888" i="10" s="1"/>
  <c r="H889" i="10" s="1"/>
  <c r="H890" i="10" s="1"/>
  <c r="H891" i="10" s="1"/>
  <c r="H892" i="10" s="1"/>
  <c r="H893" i="10" s="1"/>
  <c r="H894" i="10" s="1"/>
  <c r="H895" i="10" s="1"/>
  <c r="H896" i="10" s="1"/>
  <c r="H897" i="10" s="1"/>
  <c r="H839" i="10"/>
  <c r="H840" i="10" s="1"/>
  <c r="H841" i="10" s="1"/>
  <c r="H842" i="10" s="1"/>
  <c r="H843" i="10" s="1"/>
  <c r="H844" i="10" s="1"/>
  <c r="H845" i="10" s="1"/>
  <c r="H846" i="10" s="1"/>
  <c r="H847" i="10" s="1"/>
  <c r="H848" i="10" s="1"/>
  <c r="H849" i="10" s="1"/>
  <c r="H850" i="10" s="1"/>
  <c r="H851" i="10" s="1"/>
  <c r="H852" i="10" s="1"/>
  <c r="H853" i="10" s="1"/>
  <c r="H854" i="10" s="1"/>
  <c r="H855" i="10" s="1"/>
  <c r="H856" i="10" s="1"/>
  <c r="H857" i="10" s="1"/>
  <c r="H858" i="10" s="1"/>
  <c r="H859" i="10" s="1"/>
  <c r="H801" i="10"/>
  <c r="H802" i="10" s="1"/>
  <c r="H803" i="10" s="1"/>
  <c r="H804" i="10" s="1"/>
  <c r="H805" i="10" s="1"/>
  <c r="H806" i="10" s="1"/>
  <c r="H807" i="10" s="1"/>
  <c r="H808" i="10" s="1"/>
  <c r="H809" i="10" s="1"/>
  <c r="H810" i="10" s="1"/>
  <c r="H811" i="10" s="1"/>
  <c r="H812" i="10" s="1"/>
  <c r="H813" i="10" s="1"/>
  <c r="H814" i="10" s="1"/>
  <c r="H815" i="10" s="1"/>
  <c r="H816" i="10" s="1"/>
  <c r="H817" i="10" s="1"/>
  <c r="H818" i="10" s="1"/>
  <c r="H819" i="10" s="1"/>
  <c r="H820" i="10" s="1"/>
  <c r="H821" i="10" s="1"/>
  <c r="H649" i="10"/>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3722" i="10" l="1"/>
  <c r="I3721" i="10"/>
  <c r="H3685" i="10"/>
  <c r="I3684" i="10"/>
  <c r="H3646" i="10"/>
  <c r="I3645" i="10"/>
  <c r="I3569" i="10"/>
  <c r="H3570" i="10"/>
  <c r="H3533" i="10"/>
  <c r="I3532" i="10"/>
  <c r="H2494" i="10"/>
  <c r="I2493" i="10"/>
  <c r="H2342" i="10"/>
  <c r="I2341" i="10"/>
  <c r="H2190" i="10"/>
  <c r="I2189" i="10"/>
  <c r="H2152" i="10"/>
  <c r="I2151" i="10"/>
  <c r="H2114" i="10"/>
  <c r="I2113" i="10"/>
  <c r="H1658" i="10"/>
  <c r="I1657" i="10"/>
  <c r="H1506" i="10"/>
  <c r="I1505" i="10"/>
  <c r="H1354" i="10"/>
  <c r="I1353" i="10"/>
  <c r="H1316" i="10"/>
  <c r="I1315" i="10"/>
  <c r="H1278" i="10"/>
  <c r="I1277" i="10"/>
  <c r="H1240" i="10"/>
  <c r="I1239" i="10"/>
  <c r="H1088" i="10"/>
  <c r="I1087" i="10"/>
  <c r="H936" i="10"/>
  <c r="I935" i="10"/>
  <c r="H898" i="10"/>
  <c r="I897" i="10"/>
  <c r="H860" i="10"/>
  <c r="I859" i="10"/>
  <c r="H822" i="10"/>
  <c r="I821" i="10"/>
  <c r="H670" i="10"/>
  <c r="I669" i="10"/>
  <c r="I4194" i="10"/>
  <c r="I4193" i="10"/>
  <c r="I4182" i="10"/>
  <c r="I4183" i="10"/>
  <c r="H3158" i="10"/>
  <c r="H2970" i="10"/>
  <c r="H3007" i="10"/>
  <c r="H3311" i="10"/>
  <c r="H2931" i="10"/>
  <c r="H2741" i="10"/>
  <c r="H2514" i="10"/>
  <c r="H2589" i="10"/>
  <c r="H2551" i="10"/>
  <c r="H2893" i="10"/>
  <c r="H1676" i="10"/>
  <c r="H1677" i="10" s="1"/>
  <c r="H1678" i="10" s="1"/>
  <c r="H1679" i="10" s="1"/>
  <c r="H1715" i="10"/>
  <c r="H1905" i="10"/>
  <c r="H1754" i="10"/>
  <c r="H2059" i="10"/>
  <c r="H3995" i="10"/>
  <c r="H3768" i="10"/>
  <c r="H3845" i="10"/>
  <c r="H3805" i="10"/>
  <c r="H4149" i="10"/>
  <c r="H3723" i="10" l="1"/>
  <c r="I3722" i="10"/>
  <c r="H3686" i="10"/>
  <c r="I3686" i="10" s="1"/>
  <c r="I3685" i="10"/>
  <c r="H3647" i="10"/>
  <c r="I3646" i="10"/>
  <c r="H3571" i="10"/>
  <c r="I3570" i="10"/>
  <c r="H3534" i="10"/>
  <c r="I3534" i="10" s="1"/>
  <c r="I3533" i="10"/>
  <c r="H2495" i="10"/>
  <c r="I2494" i="10"/>
  <c r="H2343" i="10"/>
  <c r="I2342" i="10"/>
  <c r="H2191" i="10"/>
  <c r="I2190" i="10"/>
  <c r="H2153" i="10"/>
  <c r="I2152" i="10"/>
  <c r="H2115" i="10"/>
  <c r="I2114" i="10"/>
  <c r="H1659" i="10"/>
  <c r="I1658" i="10"/>
  <c r="H1507" i="10"/>
  <c r="I1506" i="10"/>
  <c r="I1354" i="10"/>
  <c r="H1355" i="10"/>
  <c r="H1317" i="10"/>
  <c r="I1316" i="10"/>
  <c r="H1279" i="10"/>
  <c r="I1278" i="10"/>
  <c r="H1241" i="10"/>
  <c r="I1240" i="10"/>
  <c r="H1089" i="10"/>
  <c r="I1088" i="10"/>
  <c r="H937" i="10"/>
  <c r="I936" i="10"/>
  <c r="H899" i="10"/>
  <c r="I898" i="10"/>
  <c r="H861" i="10"/>
  <c r="I860" i="10"/>
  <c r="H823" i="10"/>
  <c r="I822" i="10"/>
  <c r="H671" i="10"/>
  <c r="I670" i="10"/>
  <c r="H2971" i="10"/>
  <c r="H3008" i="10"/>
  <c r="H3159" i="10"/>
  <c r="H2932" i="10"/>
  <c r="H3312" i="10"/>
  <c r="H2590" i="10"/>
  <c r="H2894" i="10"/>
  <c r="H2515" i="10"/>
  <c r="H2552" i="10"/>
  <c r="H2742" i="10"/>
  <c r="H1906" i="10"/>
  <c r="H2060" i="10"/>
  <c r="H1755" i="10"/>
  <c r="H1680" i="10"/>
  <c r="H1716" i="10"/>
  <c r="H3846" i="10"/>
  <c r="H4150" i="10"/>
  <c r="H3769" i="10"/>
  <c r="H3806" i="10"/>
  <c r="H3996" i="10"/>
  <c r="H3724" i="10" l="1"/>
  <c r="I3724" i="10" s="1"/>
  <c r="I3723" i="10"/>
  <c r="H3648" i="10"/>
  <c r="I3648" i="10" s="1"/>
  <c r="I3647" i="10"/>
  <c r="H3572" i="10"/>
  <c r="I3572" i="10" s="1"/>
  <c r="I3571" i="10"/>
  <c r="H2496" i="10"/>
  <c r="I2495" i="10"/>
  <c r="H2344" i="10"/>
  <c r="I2343" i="10"/>
  <c r="H2192" i="10"/>
  <c r="I2191" i="10"/>
  <c r="H2154" i="10"/>
  <c r="I2153" i="10"/>
  <c r="H2116" i="10"/>
  <c r="I2115" i="10"/>
  <c r="H1660" i="10"/>
  <c r="I1659" i="10"/>
  <c r="H1508" i="10"/>
  <c r="I1507" i="10"/>
  <c r="H1356" i="10"/>
  <c r="I1355" i="10"/>
  <c r="H1318" i="10"/>
  <c r="I1317" i="10"/>
  <c r="H1280" i="10"/>
  <c r="I1279" i="10"/>
  <c r="H1242" i="10"/>
  <c r="I1241" i="10"/>
  <c r="H1090" i="10"/>
  <c r="I1089" i="10"/>
  <c r="H938" i="10"/>
  <c r="I937" i="10"/>
  <c r="H900" i="10"/>
  <c r="I899" i="10"/>
  <c r="H862" i="10"/>
  <c r="I861" i="10"/>
  <c r="H824" i="10"/>
  <c r="I823" i="10"/>
  <c r="H672" i="10"/>
  <c r="I671" i="10"/>
  <c r="H3009" i="10"/>
  <c r="H2933" i="10"/>
  <c r="H2972" i="10"/>
  <c r="H3160" i="10"/>
  <c r="H3313" i="10"/>
  <c r="H2895" i="10"/>
  <c r="H2743" i="10"/>
  <c r="H2591" i="10"/>
  <c r="H2516" i="10"/>
  <c r="H2553" i="10"/>
  <c r="H1907" i="10"/>
  <c r="H1717" i="10"/>
  <c r="H1681" i="10"/>
  <c r="H1756" i="10"/>
  <c r="H2061" i="10"/>
  <c r="H3997" i="10"/>
  <c r="H3807" i="10"/>
  <c r="H4151" i="10"/>
  <c r="H3770" i="10"/>
  <c r="H3847" i="10"/>
  <c r="H2497" i="10" l="1"/>
  <c r="I2496" i="10"/>
  <c r="H2345" i="10"/>
  <c r="I2344" i="10"/>
  <c r="H2193" i="10"/>
  <c r="I2192" i="10"/>
  <c r="I2154" i="10"/>
  <c r="H2155" i="10"/>
  <c r="H2117" i="10"/>
  <c r="I2116" i="10"/>
  <c r="H1661" i="10"/>
  <c r="I1660" i="10"/>
  <c r="H1509" i="10"/>
  <c r="I1508" i="10"/>
  <c r="H1357" i="10"/>
  <c r="I1356" i="10"/>
  <c r="H1319" i="10"/>
  <c r="I1318" i="10"/>
  <c r="H1281" i="10"/>
  <c r="I1280" i="10"/>
  <c r="H1243" i="10"/>
  <c r="I1242" i="10"/>
  <c r="I1090" i="10"/>
  <c r="H1091" i="10"/>
  <c r="I938" i="10"/>
  <c r="H939" i="10"/>
  <c r="H901" i="10"/>
  <c r="I900" i="10"/>
  <c r="H863" i="10"/>
  <c r="I862" i="10"/>
  <c r="H825" i="10"/>
  <c r="I824" i="10"/>
  <c r="H673" i="10"/>
  <c r="I672" i="10"/>
  <c r="H2973" i="10"/>
  <c r="H2934" i="10"/>
  <c r="H3161" i="10"/>
  <c r="H3314" i="10"/>
  <c r="H3010" i="10"/>
  <c r="H2592" i="10"/>
  <c r="H2554" i="10"/>
  <c r="H2896" i="10"/>
  <c r="H2744" i="10"/>
  <c r="H2517" i="10"/>
  <c r="H1757" i="10"/>
  <c r="H2062" i="10"/>
  <c r="H1718" i="10"/>
  <c r="H1908" i="10"/>
  <c r="H1682" i="10"/>
  <c r="H3998" i="10"/>
  <c r="H3848" i="10"/>
  <c r="H3808" i="10"/>
  <c r="H3771" i="10"/>
  <c r="H4152" i="10"/>
  <c r="H2498" i="10" l="1"/>
  <c r="I2497" i="10"/>
  <c r="H2346" i="10"/>
  <c r="I2345" i="10"/>
  <c r="H2194" i="10"/>
  <c r="I2193" i="10"/>
  <c r="H2156" i="10"/>
  <c r="I2155" i="10"/>
  <c r="H2118" i="10"/>
  <c r="I2117" i="10"/>
  <c r="H1662" i="10"/>
  <c r="I1661" i="10"/>
  <c r="H1510" i="10"/>
  <c r="I1509" i="10"/>
  <c r="H1358" i="10"/>
  <c r="I1357" i="10"/>
  <c r="H1320" i="10"/>
  <c r="I1319" i="10"/>
  <c r="H1282" i="10"/>
  <c r="I1281" i="10"/>
  <c r="H1244" i="10"/>
  <c r="I1243" i="10"/>
  <c r="H1092" i="10"/>
  <c r="I1091" i="10"/>
  <c r="H940" i="10"/>
  <c r="I939" i="10"/>
  <c r="H902" i="10"/>
  <c r="I901" i="10"/>
  <c r="H864" i="10"/>
  <c r="I863" i="10"/>
  <c r="H826" i="10"/>
  <c r="I825" i="10"/>
  <c r="H674" i="10"/>
  <c r="I673" i="10"/>
  <c r="H2935" i="10"/>
  <c r="H2974" i="10"/>
  <c r="H3011" i="10"/>
  <c r="H3315" i="10"/>
  <c r="H3162" i="10"/>
  <c r="H2745" i="10"/>
  <c r="H2897" i="10"/>
  <c r="H2518" i="10"/>
  <c r="H2593" i="10"/>
  <c r="H2555" i="10"/>
  <c r="H1758" i="10"/>
  <c r="H1683" i="10"/>
  <c r="H1719" i="10"/>
  <c r="H1909" i="10"/>
  <c r="H2063" i="10"/>
  <c r="H3999" i="10"/>
  <c r="H3772" i="10"/>
  <c r="H4153" i="10"/>
  <c r="H3849" i="10"/>
  <c r="H3809" i="10"/>
  <c r="H2499" i="10" l="1"/>
  <c r="I2498" i="10"/>
  <c r="I2346" i="10"/>
  <c r="H2347" i="10"/>
  <c r="H2195" i="10"/>
  <c r="I2194" i="10"/>
  <c r="H2157" i="10"/>
  <c r="I2156" i="10"/>
  <c r="H2119" i="10"/>
  <c r="I2118" i="10"/>
  <c r="H1663" i="10"/>
  <c r="I1662" i="10"/>
  <c r="H1511" i="10"/>
  <c r="I1510" i="10"/>
  <c r="H1359" i="10"/>
  <c r="I1358" i="10"/>
  <c r="H1321" i="10"/>
  <c r="I1320" i="10"/>
  <c r="H1283" i="10"/>
  <c r="I1282" i="10"/>
  <c r="H1245" i="10"/>
  <c r="I1244" i="10"/>
  <c r="I1092" i="10"/>
  <c r="H1093" i="10"/>
  <c r="H941" i="10"/>
  <c r="I940" i="10"/>
  <c r="H903" i="10"/>
  <c r="I902" i="10"/>
  <c r="H865" i="10"/>
  <c r="I864" i="10"/>
  <c r="H827" i="10"/>
  <c r="I826" i="10"/>
  <c r="H675" i="10"/>
  <c r="I674" i="10"/>
  <c r="H3163" i="10"/>
  <c r="H2975" i="10"/>
  <c r="H3316" i="10"/>
  <c r="H3012" i="10"/>
  <c r="H2936" i="10"/>
  <c r="H2519" i="10"/>
  <c r="H2898" i="10"/>
  <c r="H2594" i="10"/>
  <c r="H2556" i="10"/>
  <c r="H2746" i="10"/>
  <c r="H2064" i="10"/>
  <c r="H1910" i="10"/>
  <c r="H1720" i="10"/>
  <c r="H1759" i="10"/>
  <c r="H1684" i="10"/>
  <c r="H3850" i="10"/>
  <c r="H4000" i="10"/>
  <c r="H3810" i="10"/>
  <c r="H4154" i="10"/>
  <c r="H3773" i="10"/>
  <c r="H2500" i="10" l="1"/>
  <c r="I2499" i="10"/>
  <c r="H2348" i="10"/>
  <c r="I2347" i="10"/>
  <c r="H2196" i="10"/>
  <c r="I2195" i="10"/>
  <c r="I2157" i="10"/>
  <c r="H2158" i="10"/>
  <c r="H2120" i="10"/>
  <c r="I2119" i="10"/>
  <c r="H1664" i="10"/>
  <c r="I1663" i="10"/>
  <c r="H1512" i="10"/>
  <c r="I1511" i="10"/>
  <c r="H1360" i="10"/>
  <c r="I1359" i="10"/>
  <c r="H1322" i="10"/>
  <c r="I1321" i="10"/>
  <c r="I1283" i="10"/>
  <c r="H1284" i="10"/>
  <c r="H1246" i="10"/>
  <c r="I1245" i="10"/>
  <c r="I1093" i="10"/>
  <c r="H1094" i="10"/>
  <c r="H942" i="10"/>
  <c r="I941" i="10"/>
  <c r="H904" i="10"/>
  <c r="I903" i="10"/>
  <c r="H866" i="10"/>
  <c r="I865" i="10"/>
  <c r="H828" i="10"/>
  <c r="I827" i="10"/>
  <c r="H676" i="10"/>
  <c r="I675" i="10"/>
  <c r="H2937" i="10"/>
  <c r="H3013" i="10"/>
  <c r="H2976" i="10"/>
  <c r="H3164" i="10"/>
  <c r="H3317" i="10"/>
  <c r="H2557" i="10"/>
  <c r="H2747" i="10"/>
  <c r="H2595" i="10"/>
  <c r="H2899" i="10"/>
  <c r="H2520" i="10"/>
  <c r="H1721" i="10"/>
  <c r="H1760" i="10"/>
  <c r="H1685" i="10"/>
  <c r="H2065" i="10"/>
  <c r="H1911" i="10"/>
  <c r="H4155" i="10"/>
  <c r="H3851" i="10"/>
  <c r="H4001" i="10"/>
  <c r="H3774" i="10"/>
  <c r="H3811" i="10"/>
  <c r="H2501" i="10" l="1"/>
  <c r="I2500" i="10"/>
  <c r="H2349" i="10"/>
  <c r="I2348" i="10"/>
  <c r="H2197" i="10"/>
  <c r="I2196" i="10"/>
  <c r="H2159" i="10"/>
  <c r="I2158" i="10"/>
  <c r="H2121" i="10"/>
  <c r="I2120" i="10"/>
  <c r="H1665" i="10"/>
  <c r="I1664" i="10"/>
  <c r="H1513" i="10"/>
  <c r="I1512" i="10"/>
  <c r="H1361" i="10"/>
  <c r="I1360" i="10"/>
  <c r="H1323" i="10"/>
  <c r="I1322" i="10"/>
  <c r="H1285" i="10"/>
  <c r="I1284" i="10"/>
  <c r="H1247" i="10"/>
  <c r="I1246" i="10"/>
  <c r="H1095" i="10"/>
  <c r="I1094" i="10"/>
  <c r="H943" i="10"/>
  <c r="I942" i="10"/>
  <c r="H905" i="10"/>
  <c r="I904" i="10"/>
  <c r="H867" i="10"/>
  <c r="I866" i="10"/>
  <c r="H829" i="10"/>
  <c r="I828" i="10"/>
  <c r="H677" i="10"/>
  <c r="I676" i="10"/>
  <c r="H2938" i="10"/>
  <c r="H3165" i="10"/>
  <c r="H3318" i="10"/>
  <c r="H3014" i="10"/>
  <c r="H2977" i="10"/>
  <c r="H2748" i="10"/>
  <c r="H2521" i="10"/>
  <c r="H2596" i="10"/>
  <c r="H2900" i="10"/>
  <c r="H2558" i="10"/>
  <c r="H1686" i="10"/>
  <c r="H1761" i="10"/>
  <c r="H2066" i="10"/>
  <c r="H1722" i="10"/>
  <c r="H1912" i="10"/>
  <c r="H4156" i="10"/>
  <c r="H3852" i="10"/>
  <c r="H3812" i="10"/>
  <c r="H4002" i="10"/>
  <c r="H3775" i="10"/>
  <c r="H2502" i="10" l="1"/>
  <c r="I2501" i="10"/>
  <c r="H2350" i="10"/>
  <c r="I2349" i="10"/>
  <c r="I2197" i="10"/>
  <c r="H2198" i="10"/>
  <c r="H2160" i="10"/>
  <c r="I2159" i="10"/>
  <c r="H2122" i="10"/>
  <c r="I2121" i="10"/>
  <c r="H1666" i="10"/>
  <c r="I1665" i="10"/>
  <c r="H1514" i="10"/>
  <c r="I1513" i="10"/>
  <c r="H1362" i="10"/>
  <c r="I1361" i="10"/>
  <c r="H1324" i="10"/>
  <c r="I1323" i="10"/>
  <c r="I1285" i="10"/>
  <c r="H1286" i="10"/>
  <c r="H1248" i="10"/>
  <c r="I1247" i="10"/>
  <c r="H1096" i="10"/>
  <c r="I1095" i="10"/>
  <c r="I943" i="10"/>
  <c r="H944" i="10"/>
  <c r="H906" i="10"/>
  <c r="I905" i="10"/>
  <c r="H868" i="10"/>
  <c r="I867" i="10"/>
  <c r="H830" i="10"/>
  <c r="I829" i="10"/>
  <c r="H678" i="10"/>
  <c r="I677" i="10"/>
  <c r="H3015" i="10"/>
  <c r="H3166" i="10"/>
  <c r="H2978" i="10"/>
  <c r="H3319" i="10"/>
  <c r="H2939" i="10"/>
  <c r="H2597" i="10"/>
  <c r="H2522" i="10"/>
  <c r="H2559" i="10"/>
  <c r="H2901" i="10"/>
  <c r="H2749" i="10"/>
  <c r="H1723" i="10"/>
  <c r="H1913" i="10"/>
  <c r="H2067" i="10"/>
  <c r="H1762" i="10"/>
  <c r="H1687" i="10"/>
  <c r="H3853" i="10"/>
  <c r="H4003" i="10"/>
  <c r="H3776" i="10"/>
  <c r="H4157" i="10"/>
  <c r="H3813" i="10"/>
  <c r="H2503" i="10" l="1"/>
  <c r="I2502" i="10"/>
  <c r="H2351" i="10"/>
  <c r="I2350" i="10"/>
  <c r="I2198" i="10"/>
  <c r="H2199" i="10"/>
  <c r="H2161" i="10"/>
  <c r="I2160" i="10"/>
  <c r="H2123" i="10"/>
  <c r="I2122" i="10"/>
  <c r="H1667" i="10"/>
  <c r="I1666" i="10"/>
  <c r="H1515" i="10"/>
  <c r="I1514" i="10"/>
  <c r="H1363" i="10"/>
  <c r="I1362" i="10"/>
  <c r="H1325" i="10"/>
  <c r="I1324" i="10"/>
  <c r="I1286" i="10"/>
  <c r="H1287" i="10"/>
  <c r="H1249" i="10"/>
  <c r="I1248" i="10"/>
  <c r="H1097" i="10"/>
  <c r="I1096" i="10"/>
  <c r="H945" i="10"/>
  <c r="I944" i="10"/>
  <c r="H907" i="10"/>
  <c r="I906" i="10"/>
  <c r="H869" i="10"/>
  <c r="I868" i="10"/>
  <c r="H831" i="10"/>
  <c r="I830" i="10"/>
  <c r="H679" i="10"/>
  <c r="I678" i="10"/>
  <c r="H3320" i="10"/>
  <c r="H3167" i="10"/>
  <c r="H2979" i="10"/>
  <c r="H2940" i="10"/>
  <c r="H3016" i="10"/>
  <c r="H2523" i="10"/>
  <c r="H2750" i="10"/>
  <c r="H2598" i="10"/>
  <c r="H2560" i="10"/>
  <c r="H2902" i="10"/>
  <c r="H1688" i="10"/>
  <c r="H1763" i="10"/>
  <c r="H1914" i="10"/>
  <c r="H2068" i="10"/>
  <c r="H1724" i="10"/>
  <c r="H3777" i="10"/>
  <c r="H4158" i="10"/>
  <c r="H3814" i="10"/>
  <c r="H4004" i="10"/>
  <c r="H3854" i="10"/>
  <c r="H2504" i="10" l="1"/>
  <c r="I2503" i="10"/>
  <c r="H2352" i="10"/>
  <c r="I2351" i="10"/>
  <c r="I2199" i="10"/>
  <c r="H2200" i="10"/>
  <c r="H2162" i="10"/>
  <c r="I2161" i="10"/>
  <c r="H2124" i="10"/>
  <c r="I2123" i="10"/>
  <c r="H1668" i="10"/>
  <c r="I1667" i="10"/>
  <c r="H1516" i="10"/>
  <c r="I1515" i="10"/>
  <c r="I1363" i="10"/>
  <c r="H1364" i="10"/>
  <c r="H1326" i="10"/>
  <c r="I1325" i="10"/>
  <c r="H1288" i="10"/>
  <c r="I1287" i="10"/>
  <c r="H1250" i="10"/>
  <c r="I1249" i="10"/>
  <c r="H1098" i="10"/>
  <c r="I1097" i="10"/>
  <c r="H946" i="10"/>
  <c r="I945" i="10"/>
  <c r="H908" i="10"/>
  <c r="I907" i="10"/>
  <c r="H870" i="10"/>
  <c r="I869" i="10"/>
  <c r="H832" i="10"/>
  <c r="I831" i="10"/>
  <c r="H680" i="10"/>
  <c r="I679" i="10"/>
  <c r="H2980" i="10"/>
  <c r="H3017" i="10"/>
  <c r="H2941" i="10"/>
  <c r="H3168" i="10"/>
  <c r="H3321" i="10"/>
  <c r="H2903" i="10"/>
  <c r="H2751" i="10"/>
  <c r="H2599" i="10"/>
  <c r="H2561" i="10"/>
  <c r="H2524" i="10"/>
  <c r="H2069" i="10"/>
  <c r="H1725" i="10"/>
  <c r="H1915" i="10"/>
  <c r="H1764" i="10"/>
  <c r="H1689" i="10"/>
  <c r="H3855" i="10"/>
  <c r="H4159" i="10"/>
  <c r="H3778" i="10"/>
  <c r="H3815" i="10"/>
  <c r="H4005" i="10"/>
  <c r="H2505" i="10" l="1"/>
  <c r="I2504" i="10"/>
  <c r="H2353" i="10"/>
  <c r="I2352" i="10"/>
  <c r="I2200" i="10"/>
  <c r="H2201" i="10"/>
  <c r="H2163" i="10"/>
  <c r="I2162" i="10"/>
  <c r="H2125" i="10"/>
  <c r="I2124" i="10"/>
  <c r="H1669" i="10"/>
  <c r="I1668" i="10"/>
  <c r="H1517" i="10"/>
  <c r="I1516" i="10"/>
  <c r="H1365" i="10"/>
  <c r="I1364" i="10"/>
  <c r="H1327" i="10"/>
  <c r="I1326" i="10"/>
  <c r="I1288" i="10"/>
  <c r="H1289" i="10"/>
  <c r="H1251" i="10"/>
  <c r="I1250" i="10"/>
  <c r="H1099" i="10"/>
  <c r="I1098" i="10"/>
  <c r="H947" i="10"/>
  <c r="I946" i="10"/>
  <c r="H909" i="10"/>
  <c r="I908" i="10"/>
  <c r="H871" i="10"/>
  <c r="I870" i="10"/>
  <c r="H833" i="10"/>
  <c r="I832" i="10"/>
  <c r="H681" i="10"/>
  <c r="I680" i="10"/>
  <c r="H3322" i="10"/>
  <c r="H3018" i="10"/>
  <c r="H3169" i="10"/>
  <c r="H2942" i="10"/>
  <c r="H2981" i="10"/>
  <c r="H2600" i="10"/>
  <c r="H2752" i="10"/>
  <c r="H2525" i="10"/>
  <c r="H2562" i="10"/>
  <c r="H2904" i="10"/>
  <c r="H1765" i="10"/>
  <c r="H1726" i="10"/>
  <c r="H2070" i="10"/>
  <c r="H1916" i="10"/>
  <c r="H1690" i="10"/>
  <c r="H4006" i="10"/>
  <c r="H4160" i="10"/>
  <c r="H3779" i="10"/>
  <c r="H3856" i="10"/>
  <c r="H3816" i="10"/>
  <c r="H2506" i="10" l="1"/>
  <c r="I2505" i="10"/>
  <c r="H2354" i="10"/>
  <c r="I2353" i="10"/>
  <c r="H2202" i="10"/>
  <c r="I2201" i="10"/>
  <c r="H2164" i="10"/>
  <c r="I2163" i="10"/>
  <c r="H2126" i="10"/>
  <c r="I2125" i="10"/>
  <c r="H1670" i="10"/>
  <c r="I1669" i="10"/>
  <c r="H1518" i="10"/>
  <c r="I1517" i="10"/>
  <c r="H1366" i="10"/>
  <c r="I1365" i="10"/>
  <c r="H1328" i="10"/>
  <c r="I1327" i="10"/>
  <c r="I1289" i="10"/>
  <c r="H1290" i="10"/>
  <c r="H1252" i="10"/>
  <c r="I1251" i="10"/>
  <c r="H1100" i="10"/>
  <c r="I1099" i="10"/>
  <c r="I947" i="10"/>
  <c r="H948" i="10"/>
  <c r="H910" i="10"/>
  <c r="I909" i="10"/>
  <c r="H872" i="10"/>
  <c r="I871" i="10"/>
  <c r="H834" i="10"/>
  <c r="I833" i="10"/>
  <c r="H682" i="10"/>
  <c r="I681" i="10"/>
  <c r="H2943" i="10"/>
  <c r="H2982" i="10"/>
  <c r="H3323" i="10"/>
  <c r="H3170" i="10"/>
  <c r="H3019" i="10"/>
  <c r="H2526" i="10"/>
  <c r="H2905" i="10"/>
  <c r="H2601" i="10"/>
  <c r="H2563" i="10"/>
  <c r="H2753" i="10"/>
  <c r="H1691" i="10"/>
  <c r="H1766" i="10"/>
  <c r="H1727" i="10"/>
  <c r="H2071" i="10"/>
  <c r="H1917" i="10"/>
  <c r="H3857" i="10"/>
  <c r="H3780" i="10"/>
  <c r="H4161" i="10"/>
  <c r="H3817" i="10"/>
  <c r="H4007" i="10"/>
  <c r="H2507" i="10" l="1"/>
  <c r="I2506" i="10"/>
  <c r="H2355" i="10"/>
  <c r="I2354" i="10"/>
  <c r="H2203" i="10"/>
  <c r="I2202" i="10"/>
  <c r="H2165" i="10"/>
  <c r="I2164" i="10"/>
  <c r="H2127" i="10"/>
  <c r="I2126" i="10"/>
  <c r="H1671" i="10"/>
  <c r="I1670" i="10"/>
  <c r="H1519" i="10"/>
  <c r="I1518" i="10"/>
  <c r="H1367" i="10"/>
  <c r="I1366" i="10"/>
  <c r="H1329" i="10"/>
  <c r="I1328" i="10"/>
  <c r="H1291" i="10"/>
  <c r="I1290" i="10"/>
  <c r="H1253" i="10"/>
  <c r="I1252" i="10"/>
  <c r="I1100" i="10"/>
  <c r="H1101" i="10"/>
  <c r="I948" i="10"/>
  <c r="H949" i="10"/>
  <c r="H911" i="10"/>
  <c r="I910" i="10"/>
  <c r="H873" i="10"/>
  <c r="I872" i="10"/>
  <c r="H835" i="10"/>
  <c r="I834" i="10"/>
  <c r="H683" i="10"/>
  <c r="I682" i="10"/>
  <c r="H2983" i="10"/>
  <c r="H3020" i="10"/>
  <c r="H2944" i="10"/>
  <c r="H3171" i="10"/>
  <c r="H3324" i="10"/>
  <c r="H2754" i="10"/>
  <c r="H2906" i="10"/>
  <c r="H2602" i="10"/>
  <c r="H2527" i="10"/>
  <c r="H2564" i="10"/>
  <c r="H1728" i="10"/>
  <c r="H1692" i="10"/>
  <c r="H1918" i="10"/>
  <c r="H2072" i="10"/>
  <c r="H1767" i="10"/>
  <c r="H3818" i="10"/>
  <c r="H4008" i="10"/>
  <c r="H3781" i="10"/>
  <c r="H4162" i="10"/>
  <c r="H3858" i="10"/>
  <c r="H2508" i="10" l="1"/>
  <c r="I2508" i="10" s="1"/>
  <c r="I2507" i="10"/>
  <c r="H2356" i="10"/>
  <c r="I2356" i="10" s="1"/>
  <c r="I2355" i="10"/>
  <c r="H2204" i="10"/>
  <c r="I2204" i="10" s="1"/>
  <c r="I2203" i="10"/>
  <c r="I2165" i="10"/>
  <c r="H2166" i="10"/>
  <c r="I2166" i="10" s="1"/>
  <c r="H2128" i="10"/>
  <c r="I2128" i="10" s="1"/>
  <c r="I2127" i="10"/>
  <c r="H1672" i="10"/>
  <c r="I1672" i="10" s="1"/>
  <c r="I1671" i="10"/>
  <c r="H1520" i="10"/>
  <c r="I1520" i="10" s="1"/>
  <c r="I1519" i="10"/>
  <c r="H1368" i="10"/>
  <c r="I1368" i="10" s="1"/>
  <c r="I1367" i="10"/>
  <c r="H1330" i="10"/>
  <c r="I1330" i="10" s="1"/>
  <c r="I1329" i="10"/>
  <c r="I1291" i="10"/>
  <c r="H1292" i="10"/>
  <c r="I1292" i="10" s="1"/>
  <c r="H1254" i="10"/>
  <c r="I1254" i="10" s="1"/>
  <c r="I1253" i="10"/>
  <c r="H1102" i="10"/>
  <c r="I1102" i="10" s="1"/>
  <c r="I1101" i="10"/>
  <c r="H950" i="10"/>
  <c r="I950" i="10" s="1"/>
  <c r="I949" i="10"/>
  <c r="H912" i="10"/>
  <c r="I912" i="10" s="1"/>
  <c r="I911" i="10"/>
  <c r="H874" i="10"/>
  <c r="I874" i="10" s="1"/>
  <c r="I873" i="10"/>
  <c r="H836" i="10"/>
  <c r="I836" i="10" s="1"/>
  <c r="I835" i="10"/>
  <c r="H684" i="10"/>
  <c r="I684" i="10" s="1"/>
  <c r="I683" i="10"/>
  <c r="H2984" i="10"/>
  <c r="H3172" i="10"/>
  <c r="H2945" i="10"/>
  <c r="H3325" i="10"/>
  <c r="H3021" i="10"/>
  <c r="H2565" i="10"/>
  <c r="H2907" i="10"/>
  <c r="H2528" i="10"/>
  <c r="H2603" i="10"/>
  <c r="H2755" i="10"/>
  <c r="H1768" i="10"/>
  <c r="H1919" i="10"/>
  <c r="H1729" i="10"/>
  <c r="H2073" i="10"/>
  <c r="H1693" i="10"/>
  <c r="H3859" i="10"/>
  <c r="H4009" i="10"/>
  <c r="H3782" i="10"/>
  <c r="H3819" i="10"/>
  <c r="H4163" i="10"/>
  <c r="H3326" i="10" l="1"/>
  <c r="H2985" i="10"/>
  <c r="H3173" i="10"/>
  <c r="H2946" i="10"/>
  <c r="H3022" i="10"/>
  <c r="H2908" i="10"/>
  <c r="H2529" i="10"/>
  <c r="H2566" i="10"/>
  <c r="H2756" i="10"/>
  <c r="H2604" i="10"/>
  <c r="H1920" i="10"/>
  <c r="H1769" i="10"/>
  <c r="H1694" i="10"/>
  <c r="H1695" i="10" s="1"/>
  <c r="H2074" i="10"/>
  <c r="H2075" i="10" s="1"/>
  <c r="H1730" i="10"/>
  <c r="H3783" i="10"/>
  <c r="H4164" i="10"/>
  <c r="H4165" i="10" s="1"/>
  <c r="H4010" i="10"/>
  <c r="H3860" i="10"/>
  <c r="H3861" i="10" s="1"/>
  <c r="H3820" i="10"/>
  <c r="H4166" i="10" l="1"/>
  <c r="I4165" i="10"/>
  <c r="H3862" i="10"/>
  <c r="I3861" i="10"/>
  <c r="H2076" i="10"/>
  <c r="I2075" i="10"/>
  <c r="H1696" i="10"/>
  <c r="I1695" i="10"/>
  <c r="H3174" i="10"/>
  <c r="H2947" i="10"/>
  <c r="H2986" i="10"/>
  <c r="H2987" i="10" s="1"/>
  <c r="H3023" i="10"/>
  <c r="H3327" i="10"/>
  <c r="H2909" i="10"/>
  <c r="H2757" i="10"/>
  <c r="H2530" i="10"/>
  <c r="H2531" i="10" s="1"/>
  <c r="H2567" i="10"/>
  <c r="H2605" i="10"/>
  <c r="H1731" i="10"/>
  <c r="H1770" i="10"/>
  <c r="H1771" i="10" s="1"/>
  <c r="H1921" i="10"/>
  <c r="H4011" i="10"/>
  <c r="H3821" i="10"/>
  <c r="H3784" i="10"/>
  <c r="H3785" i="10" s="1"/>
  <c r="H4167" i="10" l="1"/>
  <c r="I4166" i="10"/>
  <c r="H3863" i="10"/>
  <c r="I3862" i="10"/>
  <c r="H3786" i="10"/>
  <c r="I3785" i="10"/>
  <c r="H2988" i="10"/>
  <c r="I2987" i="10"/>
  <c r="H2532" i="10"/>
  <c r="I2531" i="10"/>
  <c r="I2076" i="10"/>
  <c r="H2077" i="10"/>
  <c r="H1772" i="10"/>
  <c r="I1771" i="10"/>
  <c r="H1697" i="10"/>
  <c r="I1696" i="10"/>
  <c r="H3175" i="10"/>
  <c r="H3328" i="10"/>
  <c r="H3329" i="10" s="1"/>
  <c r="H3024" i="10"/>
  <c r="H3025" i="10" s="1"/>
  <c r="H2948" i="10"/>
  <c r="H2949" i="10" s="1"/>
  <c r="H2568" i="10"/>
  <c r="H2569" i="10" s="1"/>
  <c r="H2910" i="10"/>
  <c r="H2911" i="10" s="1"/>
  <c r="H2606" i="10"/>
  <c r="H2607" i="10" s="1"/>
  <c r="H2758" i="10"/>
  <c r="H2759" i="10" s="1"/>
  <c r="H1732" i="10"/>
  <c r="H1733" i="10" s="1"/>
  <c r="H1922" i="10"/>
  <c r="H1923" i="10" s="1"/>
  <c r="H4012" i="10"/>
  <c r="H4013" i="10" s="1"/>
  <c r="H3822" i="10"/>
  <c r="H3823" i="10" s="1"/>
  <c r="H4168" i="10" l="1"/>
  <c r="I4167" i="10"/>
  <c r="H4014" i="10"/>
  <c r="I4013" i="10"/>
  <c r="H3864" i="10"/>
  <c r="I3863" i="10"/>
  <c r="H3824" i="10"/>
  <c r="I3823" i="10"/>
  <c r="H3787" i="10"/>
  <c r="I3786" i="10"/>
  <c r="H3330" i="10"/>
  <c r="I3329" i="10"/>
  <c r="H3026" i="10"/>
  <c r="I3025" i="10"/>
  <c r="H2989" i="10"/>
  <c r="I2988" i="10"/>
  <c r="H2950" i="10"/>
  <c r="I2949" i="10"/>
  <c r="H2912" i="10"/>
  <c r="I2911" i="10"/>
  <c r="H2760" i="10"/>
  <c r="I2759" i="10"/>
  <c r="H2608" i="10"/>
  <c r="I2607" i="10"/>
  <c r="H2570" i="10"/>
  <c r="I2569" i="10"/>
  <c r="H2533" i="10"/>
  <c r="I2532" i="10"/>
  <c r="H2078" i="10"/>
  <c r="I2077" i="10"/>
  <c r="H1924" i="10"/>
  <c r="I1923" i="10"/>
  <c r="H1773" i="10"/>
  <c r="I1772" i="10"/>
  <c r="H1734" i="10"/>
  <c r="I1733" i="10"/>
  <c r="H1698" i="10"/>
  <c r="I1697" i="10"/>
  <c r="H3176" i="10"/>
  <c r="H3177" i="10" s="1"/>
  <c r="H4169" i="10" l="1"/>
  <c r="I4168" i="10"/>
  <c r="H4015" i="10"/>
  <c r="I4014" i="10"/>
  <c r="H3865" i="10"/>
  <c r="I3864" i="10"/>
  <c r="H3825" i="10"/>
  <c r="I3824" i="10"/>
  <c r="H3788" i="10"/>
  <c r="I3787" i="10"/>
  <c r="H3331" i="10"/>
  <c r="I3330" i="10"/>
  <c r="H3178" i="10"/>
  <c r="I3177" i="10"/>
  <c r="H3027" i="10"/>
  <c r="I3026" i="10"/>
  <c r="H2990" i="10"/>
  <c r="I2989" i="10"/>
  <c r="H2951" i="10"/>
  <c r="I2950" i="10"/>
  <c r="H2913" i="10"/>
  <c r="I2912" i="10"/>
  <c r="H2761" i="10"/>
  <c r="I2760" i="10"/>
  <c r="H2609" i="10"/>
  <c r="I2608" i="10"/>
  <c r="H2571" i="10"/>
  <c r="I2570" i="10"/>
  <c r="H2534" i="10"/>
  <c r="I2533" i="10"/>
  <c r="H2079" i="10"/>
  <c r="I2078" i="10"/>
  <c r="H1925" i="10"/>
  <c r="I1924" i="10"/>
  <c r="H1774" i="10"/>
  <c r="I1773" i="10"/>
  <c r="H1735" i="10"/>
  <c r="I1734" i="10"/>
  <c r="H1699" i="10"/>
  <c r="I1698" i="10"/>
  <c r="H4170" i="10" l="1"/>
  <c r="I4169" i="10"/>
  <c r="H4016" i="10"/>
  <c r="I4015" i="10"/>
  <c r="H3866" i="10"/>
  <c r="I3865" i="10"/>
  <c r="H3826" i="10"/>
  <c r="I3825" i="10"/>
  <c r="H3789" i="10"/>
  <c r="I3788" i="10"/>
  <c r="H3332" i="10"/>
  <c r="I3331" i="10"/>
  <c r="H3179" i="10"/>
  <c r="I3178" i="10"/>
  <c r="H3028" i="10"/>
  <c r="I3027" i="10"/>
  <c r="I2990" i="10"/>
  <c r="H2991" i="10"/>
  <c r="H2952" i="10"/>
  <c r="I2951" i="10"/>
  <c r="H2914" i="10"/>
  <c r="I2913" i="10"/>
  <c r="H2762" i="10"/>
  <c r="I2761" i="10"/>
  <c r="H2610" i="10"/>
  <c r="I2609" i="10"/>
  <c r="H2572" i="10"/>
  <c r="I2571" i="10"/>
  <c r="H2535" i="10"/>
  <c r="I2534" i="10"/>
  <c r="H2080" i="10"/>
  <c r="I2079" i="10"/>
  <c r="H1926" i="10"/>
  <c r="I1925" i="10"/>
  <c r="H1775" i="10"/>
  <c r="I1774" i="10"/>
  <c r="H1736" i="10"/>
  <c r="I1735" i="10"/>
  <c r="H1700" i="10"/>
  <c r="I1699" i="10"/>
  <c r="H4171" i="10" l="1"/>
  <c r="I4170" i="10"/>
  <c r="H4017" i="10"/>
  <c r="I4016" i="10"/>
  <c r="H3867" i="10"/>
  <c r="I3866" i="10"/>
  <c r="H3827" i="10"/>
  <c r="I3826" i="10"/>
  <c r="H3790" i="10"/>
  <c r="I3789" i="10"/>
  <c r="H3333" i="10"/>
  <c r="I3332" i="10"/>
  <c r="H3180" i="10"/>
  <c r="I3179" i="10"/>
  <c r="H3029" i="10"/>
  <c r="I3028" i="10"/>
  <c r="H2992" i="10"/>
  <c r="I2991" i="10"/>
  <c r="H2953" i="10"/>
  <c r="I2952" i="10"/>
  <c r="H2915" i="10"/>
  <c r="I2914" i="10"/>
  <c r="H2763" i="10"/>
  <c r="I2762" i="10"/>
  <c r="H2611" i="10"/>
  <c r="I2610" i="10"/>
  <c r="H2573" i="10"/>
  <c r="I2572" i="10"/>
  <c r="H2536" i="10"/>
  <c r="I2535" i="10"/>
  <c r="H2081" i="10"/>
  <c r="I2080" i="10"/>
  <c r="H1927" i="10"/>
  <c r="I1926" i="10"/>
  <c r="H1776" i="10"/>
  <c r="I1775" i="10"/>
  <c r="H1737" i="10"/>
  <c r="I1736" i="10"/>
  <c r="H1701" i="10"/>
  <c r="I1700" i="10"/>
  <c r="AM11" i="2"/>
  <c r="H497" i="10"/>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459" i="10"/>
  <c r="H460" i="10" s="1"/>
  <c r="H461" i="10" s="1"/>
  <c r="H462" i="10" s="1"/>
  <c r="H463" i="10" s="1"/>
  <c r="H464" i="10" s="1"/>
  <c r="H465" i="10" s="1"/>
  <c r="H466" i="10" s="1"/>
  <c r="H467" i="10" s="1"/>
  <c r="H468" i="10" s="1"/>
  <c r="H469" i="10" s="1"/>
  <c r="H470" i="10" s="1"/>
  <c r="H471" i="10" s="1"/>
  <c r="H472" i="10" s="1"/>
  <c r="H473" i="10" s="1"/>
  <c r="H474" i="10" s="1"/>
  <c r="H475" i="10" s="1"/>
  <c r="H476" i="10" s="1"/>
  <c r="H477" i="10" s="1"/>
  <c r="H478" i="10" s="1"/>
  <c r="H479" i="10" s="1"/>
  <c r="H421" i="10"/>
  <c r="H422" i="10" s="1"/>
  <c r="H423" i="10" s="1"/>
  <c r="H424" i="10" s="1"/>
  <c r="H425" i="10" s="1"/>
  <c r="H426" i="10" s="1"/>
  <c r="H427" i="10" s="1"/>
  <c r="H428" i="10" s="1"/>
  <c r="H429" i="10" s="1"/>
  <c r="H430" i="10" s="1"/>
  <c r="H431" i="10" s="1"/>
  <c r="H432" i="10" s="1"/>
  <c r="H433" i="10" s="1"/>
  <c r="H434" i="10" s="1"/>
  <c r="H435" i="10" s="1"/>
  <c r="H436" i="10" s="1"/>
  <c r="H437" i="10" s="1"/>
  <c r="H438" i="10" s="1"/>
  <c r="H439" i="10" s="1"/>
  <c r="H440" i="10" s="1"/>
  <c r="H441" i="10" s="1"/>
  <c r="H383" i="10"/>
  <c r="H384" i="10" s="1"/>
  <c r="H385" i="10" s="1"/>
  <c r="H386" i="10" s="1"/>
  <c r="H387" i="10" s="1"/>
  <c r="H388" i="10" s="1"/>
  <c r="H389" i="10" s="1"/>
  <c r="H390" i="10" s="1"/>
  <c r="H391" i="10" s="1"/>
  <c r="H392" i="10" s="1"/>
  <c r="H393" i="10" s="1"/>
  <c r="H394" i="10" s="1"/>
  <c r="H395" i="10" s="1"/>
  <c r="H396" i="10" s="1"/>
  <c r="H397" i="10" s="1"/>
  <c r="H398" i="10" s="1"/>
  <c r="H399" i="10" s="1"/>
  <c r="H400" i="10" s="1"/>
  <c r="H401" i="10" s="1"/>
  <c r="H402" i="10" s="1"/>
  <c r="H403" i="10" s="1"/>
  <c r="H231" i="10"/>
  <c r="H232" i="10" s="1"/>
  <c r="H233" i="10" s="1"/>
  <c r="H234" i="10" s="1"/>
  <c r="H235" i="10" s="1"/>
  <c r="H236" i="10" s="1"/>
  <c r="H237" i="10" s="1"/>
  <c r="H238" i="10" s="1"/>
  <c r="H239" i="10" s="1"/>
  <c r="H240" i="10" s="1"/>
  <c r="H241" i="10" s="1"/>
  <c r="H242" i="10" s="1"/>
  <c r="H243" i="10" s="1"/>
  <c r="H244" i="10" s="1"/>
  <c r="H245" i="10" s="1"/>
  <c r="H246" i="10" s="1"/>
  <c r="H247" i="10" s="1"/>
  <c r="H248" i="10" s="1"/>
  <c r="H249" i="10" s="1"/>
  <c r="H250" i="10" s="1"/>
  <c r="H251" i="10" s="1"/>
  <c r="H79" i="10"/>
  <c r="H80" i="10" s="1"/>
  <c r="H81" i="10" s="1"/>
  <c r="H82" i="10" s="1"/>
  <c r="H83" i="10" s="1"/>
  <c r="H84" i="10" s="1"/>
  <c r="H85" i="10" s="1"/>
  <c r="H86" i="10" s="1"/>
  <c r="H87" i="10" s="1"/>
  <c r="H88" i="10" s="1"/>
  <c r="H89" i="10" s="1"/>
  <c r="H90" i="10" s="1"/>
  <c r="H91" i="10" s="1"/>
  <c r="H92" i="10" s="1"/>
  <c r="H93" i="10" s="1"/>
  <c r="H94" i="10" s="1"/>
  <c r="H95" i="10" s="1"/>
  <c r="H96" i="10" s="1"/>
  <c r="H97" i="10" s="1"/>
  <c r="H98" i="10" s="1"/>
  <c r="H99" i="10" s="1"/>
  <c r="H41" i="10"/>
  <c r="H42" i="10" s="1"/>
  <c r="H43" i="10" s="1"/>
  <c r="H44" i="10" s="1"/>
  <c r="H45" i="10" s="1"/>
  <c r="H46" i="10" s="1"/>
  <c r="H3" i="10"/>
  <c r="H4" i="10" s="1"/>
  <c r="H5" i="10" s="1"/>
  <c r="H6" i="10" s="1"/>
  <c r="H7" i="10" s="1"/>
  <c r="H8" i="10" s="1"/>
  <c r="H9" i="10" s="1"/>
  <c r="H10" i="10" s="1"/>
  <c r="H11" i="10" s="1"/>
  <c r="H12" i="10" s="1"/>
  <c r="H13" i="10" s="1"/>
  <c r="H14" i="10" s="1"/>
  <c r="H15" i="10" s="1"/>
  <c r="H16" i="10" s="1"/>
  <c r="H17" i="10" s="1"/>
  <c r="H18" i="10" s="1"/>
  <c r="H19" i="10" s="1"/>
  <c r="H20" i="10" s="1"/>
  <c r="H21" i="10" s="1"/>
  <c r="H22" i="10" s="1"/>
  <c r="H23" i="10" s="1"/>
  <c r="H4172" i="10" l="1"/>
  <c r="I4171" i="10"/>
  <c r="H4018" i="10"/>
  <c r="I4017" i="10"/>
  <c r="I3867" i="10"/>
  <c r="H3868" i="10"/>
  <c r="H3828" i="10"/>
  <c r="I3827" i="10"/>
  <c r="H3791" i="10"/>
  <c r="I3790" i="10"/>
  <c r="H3334" i="10"/>
  <c r="I3333" i="10"/>
  <c r="H3181" i="10"/>
  <c r="I3180" i="10"/>
  <c r="H3030" i="10"/>
  <c r="I3029" i="10"/>
  <c r="H2993" i="10"/>
  <c r="I2992" i="10"/>
  <c r="H2954" i="10"/>
  <c r="I2953" i="10"/>
  <c r="H2916" i="10"/>
  <c r="I2915" i="10"/>
  <c r="H2764" i="10"/>
  <c r="I2763" i="10"/>
  <c r="H2612" i="10"/>
  <c r="I2611" i="10"/>
  <c r="H2574" i="10"/>
  <c r="I2573" i="10"/>
  <c r="H2537" i="10"/>
  <c r="I2536" i="10"/>
  <c r="H2082" i="10"/>
  <c r="I2081" i="10"/>
  <c r="H1928" i="10"/>
  <c r="I1927" i="10"/>
  <c r="H1777" i="10"/>
  <c r="I1776" i="10"/>
  <c r="H1738" i="10"/>
  <c r="I1737" i="10"/>
  <c r="H1702" i="10"/>
  <c r="I1701" i="10"/>
  <c r="H518" i="10"/>
  <c r="I517" i="10"/>
  <c r="H480" i="10"/>
  <c r="I479" i="10"/>
  <c r="H442" i="10"/>
  <c r="I441" i="10"/>
  <c r="H404" i="10"/>
  <c r="I403" i="10"/>
  <c r="H252" i="10"/>
  <c r="I251" i="10"/>
  <c r="H100" i="10"/>
  <c r="I99" i="10"/>
  <c r="H24" i="10"/>
  <c r="I23" i="10"/>
  <c r="H47" i="10"/>
  <c r="I47" i="10" s="1"/>
  <c r="H3726" i="10"/>
  <c r="H3727" i="10" s="1"/>
  <c r="H3728" i="10" s="1"/>
  <c r="H3729" i="10" s="1"/>
  <c r="H3730" i="10" s="1"/>
  <c r="H3731" i="10" s="1"/>
  <c r="H3732" i="10" s="1"/>
  <c r="H3733" i="10" s="1"/>
  <c r="H3734" i="10" s="1"/>
  <c r="H3735" i="10" s="1"/>
  <c r="H3736" i="10" s="1"/>
  <c r="H3737" i="10" s="1"/>
  <c r="H3738" i="10" s="1"/>
  <c r="H3739" i="10" s="1"/>
  <c r="H3740" i="10" s="1"/>
  <c r="H3741" i="10" s="1"/>
  <c r="H3742" i="10" s="1"/>
  <c r="H3743" i="10" s="1"/>
  <c r="H3744" i="10" s="1"/>
  <c r="H3745" i="10" s="1"/>
  <c r="H3746" i="10" s="1"/>
  <c r="H3747" i="10" s="1"/>
  <c r="H3574" i="10"/>
  <c r="H3575" i="10" s="1"/>
  <c r="H3576" i="10" s="1"/>
  <c r="H3577" i="10" s="1"/>
  <c r="H3578" i="10" s="1"/>
  <c r="H3579" i="10" s="1"/>
  <c r="H3580" i="10" s="1"/>
  <c r="H3581" i="10" s="1"/>
  <c r="H3582" i="10" s="1"/>
  <c r="H3583" i="10" s="1"/>
  <c r="H3584" i="10" s="1"/>
  <c r="H3585" i="10" s="1"/>
  <c r="H3586" i="10" s="1"/>
  <c r="H3587" i="10" s="1"/>
  <c r="H3588" i="10" s="1"/>
  <c r="H3589" i="10" s="1"/>
  <c r="H3590" i="10" s="1"/>
  <c r="H3591" i="10" s="1"/>
  <c r="H3592" i="10" s="1"/>
  <c r="H3593" i="10" s="1"/>
  <c r="H3594" i="10" s="1"/>
  <c r="H3595" i="10" s="1"/>
  <c r="H3422" i="10"/>
  <c r="H3423" i="10" s="1"/>
  <c r="H3424" i="10" s="1"/>
  <c r="H3425" i="10" s="1"/>
  <c r="H3426" i="10" s="1"/>
  <c r="H3427" i="10" s="1"/>
  <c r="H3428" i="10" s="1"/>
  <c r="H3384" i="10"/>
  <c r="H3385" i="10" s="1"/>
  <c r="H3346" i="10"/>
  <c r="H3347" i="10" s="1"/>
  <c r="H3348" i="10" s="1"/>
  <c r="E4164" i="10"/>
  <c r="F4164" i="10" s="1"/>
  <c r="I4164" i="10" s="1"/>
  <c r="E4163" i="10"/>
  <c r="F4163" i="10" s="1"/>
  <c r="I4163" i="10" s="1"/>
  <c r="E4162" i="10"/>
  <c r="F4162" i="10" s="1"/>
  <c r="I4162" i="10" s="1"/>
  <c r="E4161" i="10"/>
  <c r="F4161" i="10" s="1"/>
  <c r="I4161" i="10" s="1"/>
  <c r="E4160" i="10"/>
  <c r="F4160" i="10" s="1"/>
  <c r="I4160" i="10" s="1"/>
  <c r="E4159" i="10"/>
  <c r="F4159" i="10" s="1"/>
  <c r="I4159" i="10" s="1"/>
  <c r="E4158" i="10"/>
  <c r="F4158" i="10" s="1"/>
  <c r="I4158" i="10" s="1"/>
  <c r="E4157" i="10"/>
  <c r="F4157" i="10" s="1"/>
  <c r="I4157" i="10" s="1"/>
  <c r="E4156" i="10"/>
  <c r="F4156" i="10" s="1"/>
  <c r="I4156" i="10" s="1"/>
  <c r="E4155" i="10"/>
  <c r="F4155" i="10" s="1"/>
  <c r="I4155" i="10" s="1"/>
  <c r="E4154" i="10"/>
  <c r="F4154" i="10" s="1"/>
  <c r="I4154" i="10" s="1"/>
  <c r="E4153" i="10"/>
  <c r="F4153" i="10" s="1"/>
  <c r="I4153" i="10" s="1"/>
  <c r="E4152" i="10"/>
  <c r="F4152" i="10" s="1"/>
  <c r="I4152" i="10" s="1"/>
  <c r="E4151" i="10"/>
  <c r="F4151" i="10" s="1"/>
  <c r="I4151" i="10" s="1"/>
  <c r="E4150" i="10"/>
  <c r="F4150" i="10" s="1"/>
  <c r="I4150" i="10" s="1"/>
  <c r="E4149" i="10"/>
  <c r="F4149" i="10" s="1"/>
  <c r="I4149" i="10" s="1"/>
  <c r="E4148" i="10"/>
  <c r="F4148" i="10" s="1"/>
  <c r="I4148" i="10" s="1"/>
  <c r="E4147" i="10"/>
  <c r="F4147" i="10" s="1"/>
  <c r="I4147" i="10" s="1"/>
  <c r="E4146" i="10"/>
  <c r="F4146" i="10" s="1"/>
  <c r="I4146" i="10" s="1"/>
  <c r="E4145" i="10"/>
  <c r="F4145" i="10" s="1"/>
  <c r="I4145" i="10" s="1"/>
  <c r="B4145" i="10"/>
  <c r="B4146" i="10" s="1"/>
  <c r="B4147" i="10" s="1"/>
  <c r="B4148" i="10" s="1"/>
  <c r="B4149" i="10" s="1"/>
  <c r="B4150" i="10" s="1"/>
  <c r="B4151" i="10" s="1"/>
  <c r="B4152" i="10" s="1"/>
  <c r="B4153" i="10" s="1"/>
  <c r="B4154" i="10" s="1"/>
  <c r="B4155" i="10" s="1"/>
  <c r="B4156" i="10" s="1"/>
  <c r="B4157" i="10" s="1"/>
  <c r="B4158" i="10" s="1"/>
  <c r="B4159" i="10" s="1"/>
  <c r="B4160" i="10" s="1"/>
  <c r="B4161" i="10" s="1"/>
  <c r="B4162" i="10" s="1"/>
  <c r="B4163" i="10" s="1"/>
  <c r="B4164" i="10" s="1"/>
  <c r="B4165" i="10" s="1"/>
  <c r="B4166" i="10" s="1"/>
  <c r="B4167" i="10" s="1"/>
  <c r="B4168" i="10" s="1"/>
  <c r="B4169" i="10" s="1"/>
  <c r="B4170" i="10" s="1"/>
  <c r="B4171" i="10" s="1"/>
  <c r="B4172" i="10" s="1"/>
  <c r="B4173" i="10" s="1"/>
  <c r="B4174" i="10" s="1"/>
  <c r="B4175" i="10" s="1"/>
  <c r="B4176" i="10" s="1"/>
  <c r="B4177" i="10" s="1"/>
  <c r="B4178" i="10" s="1"/>
  <c r="B4179" i="10" s="1"/>
  <c r="B4180" i="10" s="1"/>
  <c r="E4144" i="10"/>
  <c r="F4144" i="10" s="1"/>
  <c r="I4144" i="10" s="1"/>
  <c r="E4126" i="10"/>
  <c r="F4126" i="10" s="1"/>
  <c r="E4125" i="10"/>
  <c r="F4125" i="10" s="1"/>
  <c r="E4124" i="10"/>
  <c r="F4124" i="10" s="1"/>
  <c r="E4123" i="10"/>
  <c r="F4123" i="10" s="1"/>
  <c r="E4122" i="10"/>
  <c r="F4122" i="10" s="1"/>
  <c r="E4121" i="10"/>
  <c r="F4121" i="10" s="1"/>
  <c r="E4120" i="10"/>
  <c r="F4120" i="10" s="1"/>
  <c r="E4119" i="10"/>
  <c r="F4119" i="10" s="1"/>
  <c r="E4118" i="10"/>
  <c r="F4118" i="10" s="1"/>
  <c r="E4117" i="10"/>
  <c r="F4117" i="10" s="1"/>
  <c r="E4116" i="10"/>
  <c r="F4116" i="10" s="1"/>
  <c r="E4115" i="10"/>
  <c r="F4115" i="10" s="1"/>
  <c r="E4114" i="10"/>
  <c r="F4114" i="10" s="1"/>
  <c r="E4113" i="10"/>
  <c r="F4113" i="10" s="1"/>
  <c r="E4112" i="10"/>
  <c r="F4112" i="10" s="1"/>
  <c r="E4111" i="10"/>
  <c r="F4111" i="10" s="1"/>
  <c r="E4110" i="10"/>
  <c r="F4110" i="10" s="1"/>
  <c r="E4109" i="10"/>
  <c r="F4109" i="10" s="1"/>
  <c r="E4108" i="10"/>
  <c r="F4108" i="10" s="1"/>
  <c r="E4107" i="10"/>
  <c r="F4107" i="10" s="1"/>
  <c r="B4107" i="10"/>
  <c r="B4108" i="10" s="1"/>
  <c r="B4109" i="10" s="1"/>
  <c r="B4110" i="10" s="1"/>
  <c r="B4111" i="10" s="1"/>
  <c r="B4112" i="10" s="1"/>
  <c r="B4113" i="10" s="1"/>
  <c r="B4114" i="10" s="1"/>
  <c r="B4115" i="10" s="1"/>
  <c r="B4116" i="10" s="1"/>
  <c r="B4117" i="10" s="1"/>
  <c r="B4118" i="10" s="1"/>
  <c r="B4119" i="10" s="1"/>
  <c r="B4120" i="10" s="1"/>
  <c r="B4121" i="10" s="1"/>
  <c r="B4122" i="10" s="1"/>
  <c r="B4123" i="10" s="1"/>
  <c r="B4124" i="10" s="1"/>
  <c r="B4125" i="10" s="1"/>
  <c r="B4126" i="10" s="1"/>
  <c r="B4127" i="10" s="1"/>
  <c r="B4128" i="10" s="1"/>
  <c r="B4129" i="10" s="1"/>
  <c r="B4130" i="10" s="1"/>
  <c r="B4131" i="10" s="1"/>
  <c r="B4132" i="10" s="1"/>
  <c r="B4133" i="10" s="1"/>
  <c r="B4134" i="10" s="1"/>
  <c r="B4135" i="10" s="1"/>
  <c r="B4136" i="10" s="1"/>
  <c r="B4137" i="10" s="1"/>
  <c r="B4138" i="10" s="1"/>
  <c r="B4139" i="10" s="1"/>
  <c r="B4140" i="10" s="1"/>
  <c r="B4141" i="10" s="1"/>
  <c r="B4142" i="10" s="1"/>
  <c r="E4106" i="10"/>
  <c r="F4106" i="10" s="1"/>
  <c r="E4088" i="10"/>
  <c r="F4088" i="10" s="1"/>
  <c r="E4087" i="10"/>
  <c r="F4087" i="10" s="1"/>
  <c r="E4086" i="10"/>
  <c r="F4086" i="10" s="1"/>
  <c r="E4085" i="10"/>
  <c r="F4085" i="10" s="1"/>
  <c r="E4084" i="10"/>
  <c r="F4084" i="10" s="1"/>
  <c r="E4083" i="10"/>
  <c r="F4083" i="10" s="1"/>
  <c r="E4082" i="10"/>
  <c r="F4082" i="10" s="1"/>
  <c r="E4081" i="10"/>
  <c r="F4081" i="10" s="1"/>
  <c r="E4080" i="10"/>
  <c r="F4080" i="10" s="1"/>
  <c r="E4079" i="10"/>
  <c r="F4079" i="10" s="1"/>
  <c r="E4078" i="10"/>
  <c r="F4078" i="10" s="1"/>
  <c r="E4077" i="10"/>
  <c r="F4077" i="10" s="1"/>
  <c r="E4076" i="10"/>
  <c r="F4076" i="10" s="1"/>
  <c r="E4075" i="10"/>
  <c r="F4075" i="10" s="1"/>
  <c r="E4074" i="10"/>
  <c r="F4074" i="10" s="1"/>
  <c r="E4073" i="10"/>
  <c r="F4073" i="10" s="1"/>
  <c r="E4072" i="10"/>
  <c r="F4072" i="10" s="1"/>
  <c r="E4071" i="10"/>
  <c r="F4071" i="10" s="1"/>
  <c r="E4070" i="10"/>
  <c r="F4070" i="10" s="1"/>
  <c r="E4069" i="10"/>
  <c r="F4069" i="10" s="1"/>
  <c r="B4069" i="10"/>
  <c r="B4070" i="10" s="1"/>
  <c r="B4071" i="10" s="1"/>
  <c r="B4072" i="10" s="1"/>
  <c r="B4073" i="10" s="1"/>
  <c r="B4074" i="10" s="1"/>
  <c r="B4075" i="10" s="1"/>
  <c r="B4076" i="10" s="1"/>
  <c r="B4077" i="10" s="1"/>
  <c r="B4078" i="10" s="1"/>
  <c r="B4079" i="10" s="1"/>
  <c r="B4080" i="10" s="1"/>
  <c r="B4081" i="10" s="1"/>
  <c r="B4082" i="10" s="1"/>
  <c r="B4083" i="10" s="1"/>
  <c r="B4084" i="10" s="1"/>
  <c r="B4085" i="10" s="1"/>
  <c r="B4086" i="10" s="1"/>
  <c r="B4087" i="10" s="1"/>
  <c r="B4088" i="10" s="1"/>
  <c r="B4089" i="10" s="1"/>
  <c r="B4090" i="10" s="1"/>
  <c r="B4091" i="10" s="1"/>
  <c r="B4092" i="10" s="1"/>
  <c r="B4093" i="10" s="1"/>
  <c r="B4094" i="10" s="1"/>
  <c r="B4095" i="10" s="1"/>
  <c r="B4096" i="10" s="1"/>
  <c r="B4097" i="10" s="1"/>
  <c r="B4098" i="10" s="1"/>
  <c r="B4099" i="10" s="1"/>
  <c r="B4100" i="10" s="1"/>
  <c r="B4101" i="10" s="1"/>
  <c r="B4102" i="10" s="1"/>
  <c r="B4103" i="10" s="1"/>
  <c r="B4104" i="10" s="1"/>
  <c r="E4068" i="10"/>
  <c r="F4068" i="10" s="1"/>
  <c r="E4050" i="10"/>
  <c r="F4050" i="10" s="1"/>
  <c r="E4049" i="10"/>
  <c r="F4049" i="10" s="1"/>
  <c r="E4048" i="10"/>
  <c r="F4048" i="10" s="1"/>
  <c r="E4047" i="10"/>
  <c r="F4047" i="10" s="1"/>
  <c r="E4046" i="10"/>
  <c r="F4046" i="10" s="1"/>
  <c r="E4045" i="10"/>
  <c r="F4045" i="10" s="1"/>
  <c r="E4044" i="10"/>
  <c r="F4044" i="10" s="1"/>
  <c r="E4043" i="10"/>
  <c r="F4043" i="10" s="1"/>
  <c r="E4042" i="10"/>
  <c r="F4042" i="10" s="1"/>
  <c r="E4041" i="10"/>
  <c r="F4041" i="10" s="1"/>
  <c r="E4040" i="10"/>
  <c r="F4040" i="10" s="1"/>
  <c r="E4039" i="10"/>
  <c r="F4039" i="10" s="1"/>
  <c r="E4038" i="10"/>
  <c r="F4038" i="10" s="1"/>
  <c r="E4037" i="10"/>
  <c r="F4037" i="10" s="1"/>
  <c r="E4036" i="10"/>
  <c r="F4036" i="10" s="1"/>
  <c r="E4035" i="10"/>
  <c r="F4035" i="10" s="1"/>
  <c r="E4034" i="10"/>
  <c r="F4034" i="10" s="1"/>
  <c r="E4033" i="10"/>
  <c r="F4033" i="10" s="1"/>
  <c r="E4032" i="10"/>
  <c r="F4032" i="10" s="1"/>
  <c r="E4031" i="10"/>
  <c r="F4031" i="10" s="1"/>
  <c r="B4031" i="10"/>
  <c r="B4032" i="10" s="1"/>
  <c r="B4033" i="10" s="1"/>
  <c r="B4034" i="10" s="1"/>
  <c r="B4035" i="10" s="1"/>
  <c r="B4036" i="10" s="1"/>
  <c r="B4037" i="10" s="1"/>
  <c r="B4038" i="10" s="1"/>
  <c r="B4039" i="10" s="1"/>
  <c r="B4040" i="10" s="1"/>
  <c r="B4041" i="10" s="1"/>
  <c r="B4042" i="10" s="1"/>
  <c r="B4043" i="10" s="1"/>
  <c r="B4044" i="10" s="1"/>
  <c r="B4045" i="10" s="1"/>
  <c r="B4046" i="10" s="1"/>
  <c r="B4047" i="10" s="1"/>
  <c r="B4048" i="10" s="1"/>
  <c r="B4049" i="10" s="1"/>
  <c r="B4050" i="10" s="1"/>
  <c r="B4051" i="10" s="1"/>
  <c r="B4052" i="10" s="1"/>
  <c r="B4053" i="10" s="1"/>
  <c r="B4054" i="10" s="1"/>
  <c r="B4055" i="10" s="1"/>
  <c r="B4056" i="10" s="1"/>
  <c r="B4057" i="10" s="1"/>
  <c r="B4058" i="10" s="1"/>
  <c r="B4059" i="10" s="1"/>
  <c r="B4060" i="10" s="1"/>
  <c r="B4061" i="10" s="1"/>
  <c r="B4062" i="10" s="1"/>
  <c r="B4063" i="10" s="1"/>
  <c r="B4064" i="10" s="1"/>
  <c r="B4065" i="10" s="1"/>
  <c r="B4066" i="10" s="1"/>
  <c r="E4030" i="10"/>
  <c r="F4030" i="10" s="1"/>
  <c r="E4012" i="10"/>
  <c r="F4012" i="10" s="1"/>
  <c r="I4012" i="10" s="1"/>
  <c r="E4011" i="10"/>
  <c r="F4011" i="10" s="1"/>
  <c r="I4011" i="10" s="1"/>
  <c r="E4010" i="10"/>
  <c r="F4010" i="10" s="1"/>
  <c r="I4010" i="10" s="1"/>
  <c r="E4009" i="10"/>
  <c r="F4009" i="10" s="1"/>
  <c r="I4009" i="10" s="1"/>
  <c r="E4008" i="10"/>
  <c r="F4008" i="10" s="1"/>
  <c r="I4008" i="10" s="1"/>
  <c r="E4007" i="10"/>
  <c r="F4007" i="10" s="1"/>
  <c r="I4007" i="10" s="1"/>
  <c r="E4006" i="10"/>
  <c r="F4006" i="10" s="1"/>
  <c r="I4006" i="10" s="1"/>
  <c r="E4005" i="10"/>
  <c r="F4005" i="10" s="1"/>
  <c r="I4005" i="10" s="1"/>
  <c r="E4004" i="10"/>
  <c r="F4004" i="10" s="1"/>
  <c r="I4004" i="10" s="1"/>
  <c r="E4003" i="10"/>
  <c r="F4003" i="10" s="1"/>
  <c r="I4003" i="10" s="1"/>
  <c r="E4002" i="10"/>
  <c r="F4002" i="10" s="1"/>
  <c r="I4002" i="10" s="1"/>
  <c r="E4001" i="10"/>
  <c r="F4001" i="10" s="1"/>
  <c r="I4001" i="10" s="1"/>
  <c r="E4000" i="10"/>
  <c r="F4000" i="10" s="1"/>
  <c r="I4000" i="10" s="1"/>
  <c r="E3999" i="10"/>
  <c r="F3999" i="10" s="1"/>
  <c r="I3999" i="10" s="1"/>
  <c r="E3998" i="10"/>
  <c r="F3998" i="10" s="1"/>
  <c r="I3998" i="10" s="1"/>
  <c r="E3997" i="10"/>
  <c r="F3997" i="10" s="1"/>
  <c r="I3997" i="10" s="1"/>
  <c r="E3996" i="10"/>
  <c r="F3996" i="10" s="1"/>
  <c r="I3996" i="10" s="1"/>
  <c r="E3995" i="10"/>
  <c r="F3995" i="10" s="1"/>
  <c r="I3995" i="10" s="1"/>
  <c r="E3994" i="10"/>
  <c r="F3994" i="10" s="1"/>
  <c r="I3994" i="10" s="1"/>
  <c r="E3993" i="10"/>
  <c r="F3993" i="10" s="1"/>
  <c r="I3993" i="10" s="1"/>
  <c r="B3993" i="10"/>
  <c r="B3994" i="10" s="1"/>
  <c r="B3995" i="10" s="1"/>
  <c r="B3996" i="10" s="1"/>
  <c r="B3997" i="10" s="1"/>
  <c r="B3998" i="10" s="1"/>
  <c r="B3999" i="10" s="1"/>
  <c r="B4000" i="10" s="1"/>
  <c r="B4001" i="10" s="1"/>
  <c r="B4002" i="10" s="1"/>
  <c r="B4003" i="10" s="1"/>
  <c r="B4004" i="10" s="1"/>
  <c r="B4005" i="10" s="1"/>
  <c r="B4006" i="10" s="1"/>
  <c r="B4007" i="10" s="1"/>
  <c r="B4008" i="10" s="1"/>
  <c r="B4009" i="10" s="1"/>
  <c r="B4010" i="10" s="1"/>
  <c r="B4011" i="10" s="1"/>
  <c r="B4012" i="10" s="1"/>
  <c r="B4013" i="10" s="1"/>
  <c r="B4014" i="10" s="1"/>
  <c r="B4015" i="10" s="1"/>
  <c r="B4016" i="10" s="1"/>
  <c r="B4017" i="10" s="1"/>
  <c r="B4018" i="10" s="1"/>
  <c r="B4019" i="10" s="1"/>
  <c r="B4020" i="10" s="1"/>
  <c r="B4021" i="10" s="1"/>
  <c r="B4022" i="10" s="1"/>
  <c r="B4023" i="10" s="1"/>
  <c r="B4024" i="10" s="1"/>
  <c r="B4025" i="10" s="1"/>
  <c r="B4026" i="10" s="1"/>
  <c r="B4027" i="10" s="1"/>
  <c r="B4028" i="10" s="1"/>
  <c r="E3992" i="10"/>
  <c r="F3992" i="10" s="1"/>
  <c r="I3992" i="10" s="1"/>
  <c r="E3974" i="10"/>
  <c r="F3974" i="10" s="1"/>
  <c r="E3973" i="10"/>
  <c r="F3973" i="10" s="1"/>
  <c r="E3972" i="10"/>
  <c r="F3972" i="10" s="1"/>
  <c r="E3971" i="10"/>
  <c r="F3971" i="10" s="1"/>
  <c r="E3970" i="10"/>
  <c r="F3970" i="10" s="1"/>
  <c r="E3969" i="10"/>
  <c r="F3969" i="10" s="1"/>
  <c r="E3968" i="10"/>
  <c r="F3968" i="10" s="1"/>
  <c r="E3967" i="10"/>
  <c r="F3967" i="10" s="1"/>
  <c r="E3966" i="10"/>
  <c r="F3966" i="10" s="1"/>
  <c r="E3965" i="10"/>
  <c r="F3965" i="10" s="1"/>
  <c r="E3964" i="10"/>
  <c r="F3964" i="10" s="1"/>
  <c r="E3963" i="10"/>
  <c r="F3963" i="10" s="1"/>
  <c r="E3962" i="10"/>
  <c r="F3962" i="10" s="1"/>
  <c r="E3961" i="10"/>
  <c r="F3961" i="10" s="1"/>
  <c r="E3960" i="10"/>
  <c r="F3960" i="10" s="1"/>
  <c r="E3959" i="10"/>
  <c r="F3959" i="10" s="1"/>
  <c r="E3958" i="10"/>
  <c r="F3958" i="10" s="1"/>
  <c r="E3957" i="10"/>
  <c r="F3957" i="10" s="1"/>
  <c r="E3956" i="10"/>
  <c r="F3956" i="10" s="1"/>
  <c r="E3955" i="10"/>
  <c r="F3955" i="10" s="1"/>
  <c r="B3955" i="10"/>
  <c r="B3956" i="10" s="1"/>
  <c r="B3957" i="10" s="1"/>
  <c r="B3958" i="10" s="1"/>
  <c r="B3959" i="10" s="1"/>
  <c r="B3960" i="10" s="1"/>
  <c r="B3961" i="10" s="1"/>
  <c r="B3962" i="10" s="1"/>
  <c r="B3963" i="10" s="1"/>
  <c r="B3964" i="10" s="1"/>
  <c r="B3965" i="10" s="1"/>
  <c r="B3966" i="10" s="1"/>
  <c r="B3967" i="10" s="1"/>
  <c r="B3968" i="10" s="1"/>
  <c r="B3969" i="10" s="1"/>
  <c r="B3970" i="10" s="1"/>
  <c r="B3971" i="10" s="1"/>
  <c r="B3972" i="10" s="1"/>
  <c r="B3973" i="10" s="1"/>
  <c r="B3974" i="10" s="1"/>
  <c r="B3975" i="10" s="1"/>
  <c r="B3976" i="10" s="1"/>
  <c r="B3977" i="10" s="1"/>
  <c r="B3978" i="10" s="1"/>
  <c r="B3979" i="10" s="1"/>
  <c r="B3980" i="10" s="1"/>
  <c r="B3981" i="10" s="1"/>
  <c r="B3982" i="10" s="1"/>
  <c r="B3983" i="10" s="1"/>
  <c r="B3984" i="10" s="1"/>
  <c r="B3985" i="10" s="1"/>
  <c r="B3986" i="10" s="1"/>
  <c r="B3987" i="10" s="1"/>
  <c r="B3988" i="10" s="1"/>
  <c r="B3989" i="10" s="1"/>
  <c r="B3990" i="10" s="1"/>
  <c r="E3954" i="10"/>
  <c r="F3954" i="10" s="1"/>
  <c r="E3936" i="10"/>
  <c r="F3936" i="10" s="1"/>
  <c r="E3935" i="10"/>
  <c r="F3935" i="10" s="1"/>
  <c r="E3934" i="10"/>
  <c r="F3934" i="10" s="1"/>
  <c r="E3933" i="10"/>
  <c r="F3933" i="10" s="1"/>
  <c r="E3932" i="10"/>
  <c r="F3932" i="10" s="1"/>
  <c r="E3931" i="10"/>
  <c r="F3931" i="10" s="1"/>
  <c r="E3930" i="10"/>
  <c r="F3930" i="10" s="1"/>
  <c r="E3929" i="10"/>
  <c r="F3929" i="10" s="1"/>
  <c r="E3928" i="10"/>
  <c r="F3928" i="10" s="1"/>
  <c r="E3927" i="10"/>
  <c r="F3927" i="10" s="1"/>
  <c r="E3926" i="10"/>
  <c r="F3926" i="10" s="1"/>
  <c r="E3925" i="10"/>
  <c r="F3925" i="10" s="1"/>
  <c r="E3924" i="10"/>
  <c r="F3924" i="10" s="1"/>
  <c r="E3923" i="10"/>
  <c r="F3923" i="10" s="1"/>
  <c r="E3922" i="10"/>
  <c r="F3922" i="10" s="1"/>
  <c r="E3921" i="10"/>
  <c r="F3921" i="10" s="1"/>
  <c r="E3920" i="10"/>
  <c r="F3920" i="10" s="1"/>
  <c r="E3919" i="10"/>
  <c r="F3919" i="10" s="1"/>
  <c r="E3918" i="10"/>
  <c r="F3918" i="10" s="1"/>
  <c r="E3917" i="10"/>
  <c r="F3917" i="10" s="1"/>
  <c r="B3917" i="10"/>
  <c r="B3918" i="10" s="1"/>
  <c r="B3919" i="10" s="1"/>
  <c r="B3920" i="10" s="1"/>
  <c r="B3921" i="10" s="1"/>
  <c r="B3922" i="10" s="1"/>
  <c r="B3923" i="10" s="1"/>
  <c r="B3924" i="10" s="1"/>
  <c r="B3925" i="10" s="1"/>
  <c r="B3926" i="10" s="1"/>
  <c r="B3927" i="10" s="1"/>
  <c r="B3928" i="10" s="1"/>
  <c r="B3929" i="10" s="1"/>
  <c r="B3930" i="10" s="1"/>
  <c r="B3931" i="10" s="1"/>
  <c r="B3932" i="10" s="1"/>
  <c r="B3933" i="10" s="1"/>
  <c r="B3934" i="10" s="1"/>
  <c r="B3935" i="10" s="1"/>
  <c r="B3936" i="10" s="1"/>
  <c r="B3937" i="10" s="1"/>
  <c r="B3938" i="10" s="1"/>
  <c r="B3939" i="10" s="1"/>
  <c r="B3940" i="10" s="1"/>
  <c r="B3941" i="10" s="1"/>
  <c r="B3942" i="10" s="1"/>
  <c r="B3943" i="10" s="1"/>
  <c r="B3944" i="10" s="1"/>
  <c r="B3945" i="10" s="1"/>
  <c r="B3946" i="10" s="1"/>
  <c r="B3947" i="10" s="1"/>
  <c r="B3948" i="10" s="1"/>
  <c r="B3949" i="10" s="1"/>
  <c r="B3950" i="10" s="1"/>
  <c r="B3951" i="10" s="1"/>
  <c r="B3952" i="10" s="1"/>
  <c r="E3916" i="10"/>
  <c r="F3916" i="10" s="1"/>
  <c r="E3898" i="10"/>
  <c r="F3898" i="10" s="1"/>
  <c r="E3897" i="10"/>
  <c r="F3897" i="10" s="1"/>
  <c r="E3896" i="10"/>
  <c r="F3896" i="10" s="1"/>
  <c r="E3895" i="10"/>
  <c r="F3895" i="10" s="1"/>
  <c r="E3894" i="10"/>
  <c r="F3894" i="10" s="1"/>
  <c r="E3893" i="10"/>
  <c r="F3893" i="10" s="1"/>
  <c r="E3892" i="10"/>
  <c r="F3892" i="10" s="1"/>
  <c r="E3891" i="10"/>
  <c r="F3891" i="10" s="1"/>
  <c r="E3890" i="10"/>
  <c r="F3890" i="10" s="1"/>
  <c r="E3889" i="10"/>
  <c r="F3889" i="10" s="1"/>
  <c r="E3888" i="10"/>
  <c r="F3888" i="10" s="1"/>
  <c r="E3887" i="10"/>
  <c r="F3887" i="10" s="1"/>
  <c r="E3886" i="10"/>
  <c r="F3886" i="10" s="1"/>
  <c r="E3885" i="10"/>
  <c r="F3885" i="10" s="1"/>
  <c r="E3884" i="10"/>
  <c r="F3884" i="10" s="1"/>
  <c r="E3883" i="10"/>
  <c r="F3883" i="10" s="1"/>
  <c r="E3882" i="10"/>
  <c r="F3882" i="10" s="1"/>
  <c r="E3881" i="10"/>
  <c r="F3881" i="10" s="1"/>
  <c r="E3880" i="10"/>
  <c r="F3880" i="10" s="1"/>
  <c r="E3879" i="10"/>
  <c r="F3879" i="10" s="1"/>
  <c r="B3879" i="10"/>
  <c r="B3880" i="10" s="1"/>
  <c r="B3881" i="10" s="1"/>
  <c r="B3882" i="10" s="1"/>
  <c r="B3883" i="10" s="1"/>
  <c r="B3884" i="10" s="1"/>
  <c r="B3885" i="10" s="1"/>
  <c r="B3886" i="10" s="1"/>
  <c r="B3887" i="10" s="1"/>
  <c r="B3888" i="10" s="1"/>
  <c r="B3889" i="10" s="1"/>
  <c r="B3890" i="10" s="1"/>
  <c r="B3891" i="10" s="1"/>
  <c r="B3892" i="10" s="1"/>
  <c r="B3893" i="10" s="1"/>
  <c r="B3894" i="10" s="1"/>
  <c r="B3895" i="10" s="1"/>
  <c r="B3896" i="10" s="1"/>
  <c r="B3897" i="10" s="1"/>
  <c r="B3898" i="10" s="1"/>
  <c r="B3899" i="10" s="1"/>
  <c r="B3900" i="10" s="1"/>
  <c r="B3901" i="10" s="1"/>
  <c r="B3902" i="10" s="1"/>
  <c r="B3903" i="10" s="1"/>
  <c r="B3904" i="10" s="1"/>
  <c r="B3905" i="10" s="1"/>
  <c r="B3906" i="10" s="1"/>
  <c r="B3907" i="10" s="1"/>
  <c r="B3908" i="10" s="1"/>
  <c r="B3909" i="10" s="1"/>
  <c r="B3910" i="10" s="1"/>
  <c r="B3911" i="10" s="1"/>
  <c r="B3912" i="10" s="1"/>
  <c r="B3913" i="10" s="1"/>
  <c r="B3914" i="10" s="1"/>
  <c r="E3878" i="10"/>
  <c r="F3878" i="10" s="1"/>
  <c r="E3860" i="10"/>
  <c r="F3860" i="10" s="1"/>
  <c r="I3860" i="10" s="1"/>
  <c r="E3859" i="10"/>
  <c r="F3859" i="10" s="1"/>
  <c r="I3859" i="10" s="1"/>
  <c r="E3858" i="10"/>
  <c r="F3858" i="10" s="1"/>
  <c r="I3858" i="10" s="1"/>
  <c r="E3857" i="10"/>
  <c r="F3857" i="10" s="1"/>
  <c r="I3857" i="10" s="1"/>
  <c r="E3856" i="10"/>
  <c r="F3856" i="10" s="1"/>
  <c r="I3856" i="10" s="1"/>
  <c r="E3855" i="10"/>
  <c r="F3855" i="10" s="1"/>
  <c r="I3855" i="10" s="1"/>
  <c r="E3854" i="10"/>
  <c r="F3854" i="10" s="1"/>
  <c r="I3854" i="10" s="1"/>
  <c r="E3853" i="10"/>
  <c r="F3853" i="10" s="1"/>
  <c r="I3853" i="10" s="1"/>
  <c r="E3852" i="10"/>
  <c r="F3852" i="10" s="1"/>
  <c r="I3852" i="10" s="1"/>
  <c r="E3851" i="10"/>
  <c r="F3851" i="10" s="1"/>
  <c r="I3851" i="10" s="1"/>
  <c r="E3850" i="10"/>
  <c r="F3850" i="10" s="1"/>
  <c r="I3850" i="10" s="1"/>
  <c r="E3849" i="10"/>
  <c r="F3849" i="10" s="1"/>
  <c r="I3849" i="10" s="1"/>
  <c r="E3848" i="10"/>
  <c r="F3848" i="10" s="1"/>
  <c r="I3848" i="10" s="1"/>
  <c r="E3847" i="10"/>
  <c r="F3847" i="10" s="1"/>
  <c r="I3847" i="10" s="1"/>
  <c r="E3846" i="10"/>
  <c r="F3846" i="10" s="1"/>
  <c r="I3846" i="10" s="1"/>
  <c r="E3845" i="10"/>
  <c r="F3845" i="10" s="1"/>
  <c r="I3845" i="10" s="1"/>
  <c r="E3844" i="10"/>
  <c r="F3844" i="10" s="1"/>
  <c r="I3844" i="10" s="1"/>
  <c r="E3843" i="10"/>
  <c r="F3843" i="10" s="1"/>
  <c r="I3843" i="10" s="1"/>
  <c r="E3842" i="10"/>
  <c r="F3842" i="10" s="1"/>
  <c r="I3842" i="10" s="1"/>
  <c r="E3841" i="10"/>
  <c r="F3841" i="10" s="1"/>
  <c r="I3841" i="10" s="1"/>
  <c r="B3841" i="10"/>
  <c r="B3842" i="10" s="1"/>
  <c r="B3843" i="10" s="1"/>
  <c r="B3844" i="10" s="1"/>
  <c r="B3845" i="10" s="1"/>
  <c r="B3846" i="10" s="1"/>
  <c r="B3847" i="10" s="1"/>
  <c r="B3848" i="10" s="1"/>
  <c r="B3849" i="10" s="1"/>
  <c r="B3850" i="10" s="1"/>
  <c r="B3851" i="10" s="1"/>
  <c r="B3852" i="10" s="1"/>
  <c r="B3853" i="10" s="1"/>
  <c r="B3854" i="10" s="1"/>
  <c r="B3855" i="10" s="1"/>
  <c r="B3856" i="10" s="1"/>
  <c r="B3857" i="10" s="1"/>
  <c r="B3858" i="10" s="1"/>
  <c r="B3859" i="10" s="1"/>
  <c r="B3860" i="10" s="1"/>
  <c r="B3861" i="10" s="1"/>
  <c r="B3862" i="10" s="1"/>
  <c r="B3863" i="10" s="1"/>
  <c r="B3864" i="10" s="1"/>
  <c r="B3865" i="10" s="1"/>
  <c r="B3866" i="10" s="1"/>
  <c r="B3867" i="10" s="1"/>
  <c r="B3868" i="10" s="1"/>
  <c r="B3869" i="10" s="1"/>
  <c r="B3870" i="10" s="1"/>
  <c r="B3871" i="10" s="1"/>
  <c r="B3872" i="10" s="1"/>
  <c r="B3873" i="10" s="1"/>
  <c r="B3874" i="10" s="1"/>
  <c r="B3875" i="10" s="1"/>
  <c r="B3876" i="10" s="1"/>
  <c r="E3840" i="10"/>
  <c r="F3840" i="10" s="1"/>
  <c r="I3840" i="10" s="1"/>
  <c r="E3822" i="10"/>
  <c r="F3822" i="10" s="1"/>
  <c r="I3822" i="10" s="1"/>
  <c r="E3821" i="10"/>
  <c r="F3821" i="10" s="1"/>
  <c r="I3821" i="10" s="1"/>
  <c r="E3820" i="10"/>
  <c r="F3820" i="10" s="1"/>
  <c r="I3820" i="10" s="1"/>
  <c r="E3819" i="10"/>
  <c r="F3819" i="10" s="1"/>
  <c r="I3819" i="10" s="1"/>
  <c r="E3818" i="10"/>
  <c r="F3818" i="10" s="1"/>
  <c r="I3818" i="10" s="1"/>
  <c r="E3817" i="10"/>
  <c r="F3817" i="10" s="1"/>
  <c r="I3817" i="10" s="1"/>
  <c r="E3816" i="10"/>
  <c r="F3816" i="10" s="1"/>
  <c r="I3816" i="10" s="1"/>
  <c r="E3815" i="10"/>
  <c r="F3815" i="10" s="1"/>
  <c r="I3815" i="10" s="1"/>
  <c r="E3814" i="10"/>
  <c r="F3814" i="10" s="1"/>
  <c r="I3814" i="10" s="1"/>
  <c r="E3813" i="10"/>
  <c r="F3813" i="10" s="1"/>
  <c r="I3813" i="10" s="1"/>
  <c r="E3812" i="10"/>
  <c r="F3812" i="10" s="1"/>
  <c r="I3812" i="10" s="1"/>
  <c r="E3811" i="10"/>
  <c r="F3811" i="10" s="1"/>
  <c r="I3811" i="10" s="1"/>
  <c r="E3810" i="10"/>
  <c r="F3810" i="10" s="1"/>
  <c r="I3810" i="10" s="1"/>
  <c r="E3809" i="10"/>
  <c r="F3809" i="10" s="1"/>
  <c r="I3809" i="10" s="1"/>
  <c r="E3808" i="10"/>
  <c r="F3808" i="10" s="1"/>
  <c r="I3808" i="10" s="1"/>
  <c r="E3807" i="10"/>
  <c r="F3807" i="10" s="1"/>
  <c r="I3807" i="10" s="1"/>
  <c r="E3806" i="10"/>
  <c r="F3806" i="10" s="1"/>
  <c r="I3806" i="10" s="1"/>
  <c r="E3805" i="10"/>
  <c r="F3805" i="10" s="1"/>
  <c r="I3805" i="10" s="1"/>
  <c r="E3804" i="10"/>
  <c r="F3804" i="10" s="1"/>
  <c r="I3804" i="10" s="1"/>
  <c r="E3803" i="10"/>
  <c r="F3803" i="10" s="1"/>
  <c r="I3803" i="10" s="1"/>
  <c r="B3803" i="10"/>
  <c r="B3804" i="10" s="1"/>
  <c r="B3805" i="10" s="1"/>
  <c r="B3806" i="10" s="1"/>
  <c r="B3807" i="10" s="1"/>
  <c r="B3808" i="10" s="1"/>
  <c r="B3809" i="10" s="1"/>
  <c r="B3810" i="10" s="1"/>
  <c r="B3811" i="10" s="1"/>
  <c r="B3812" i="10" s="1"/>
  <c r="B3813" i="10" s="1"/>
  <c r="B3814" i="10" s="1"/>
  <c r="B3815" i="10" s="1"/>
  <c r="B3816" i="10" s="1"/>
  <c r="B3817" i="10" s="1"/>
  <c r="B3818" i="10" s="1"/>
  <c r="B3819" i="10" s="1"/>
  <c r="B3820" i="10" s="1"/>
  <c r="B3821" i="10" s="1"/>
  <c r="B3822" i="10" s="1"/>
  <c r="B3823" i="10" s="1"/>
  <c r="B3824" i="10" s="1"/>
  <c r="B3825" i="10" s="1"/>
  <c r="B3826" i="10" s="1"/>
  <c r="B3827" i="10" s="1"/>
  <c r="B3828" i="10" s="1"/>
  <c r="B3829" i="10" s="1"/>
  <c r="B3830" i="10" s="1"/>
  <c r="B3831" i="10" s="1"/>
  <c r="B3832" i="10" s="1"/>
  <c r="B3833" i="10" s="1"/>
  <c r="B3834" i="10" s="1"/>
  <c r="B3835" i="10" s="1"/>
  <c r="B3836" i="10" s="1"/>
  <c r="B3837" i="10" s="1"/>
  <c r="B3838" i="10" s="1"/>
  <c r="E3802" i="10"/>
  <c r="F3802" i="10" s="1"/>
  <c r="I3802" i="10" s="1"/>
  <c r="E3801" i="10"/>
  <c r="E3784" i="10"/>
  <c r="F3784" i="10" s="1"/>
  <c r="I3784" i="10" s="1"/>
  <c r="E3783" i="10"/>
  <c r="F3783" i="10" s="1"/>
  <c r="I3783" i="10" s="1"/>
  <c r="E3782" i="10"/>
  <c r="F3782" i="10" s="1"/>
  <c r="I3782" i="10" s="1"/>
  <c r="E3781" i="10"/>
  <c r="F3781" i="10" s="1"/>
  <c r="I3781" i="10" s="1"/>
  <c r="E3780" i="10"/>
  <c r="F3780" i="10" s="1"/>
  <c r="I3780" i="10" s="1"/>
  <c r="E3779" i="10"/>
  <c r="F3779" i="10" s="1"/>
  <c r="I3779" i="10" s="1"/>
  <c r="E3778" i="10"/>
  <c r="F3778" i="10" s="1"/>
  <c r="I3778" i="10" s="1"/>
  <c r="E3777" i="10"/>
  <c r="F3777" i="10" s="1"/>
  <c r="I3777" i="10" s="1"/>
  <c r="E3776" i="10"/>
  <c r="F3776" i="10" s="1"/>
  <c r="I3776" i="10" s="1"/>
  <c r="E3775" i="10"/>
  <c r="F3775" i="10" s="1"/>
  <c r="I3775" i="10" s="1"/>
  <c r="E3774" i="10"/>
  <c r="F3774" i="10" s="1"/>
  <c r="I3774" i="10" s="1"/>
  <c r="E3773" i="10"/>
  <c r="F3773" i="10" s="1"/>
  <c r="I3773" i="10" s="1"/>
  <c r="E3772" i="10"/>
  <c r="F3772" i="10" s="1"/>
  <c r="I3772" i="10" s="1"/>
  <c r="E3771" i="10"/>
  <c r="F3771" i="10" s="1"/>
  <c r="I3771" i="10" s="1"/>
  <c r="E3770" i="10"/>
  <c r="F3770" i="10" s="1"/>
  <c r="I3770" i="10" s="1"/>
  <c r="E3769" i="10"/>
  <c r="F3769" i="10" s="1"/>
  <c r="I3769" i="10" s="1"/>
  <c r="E3768" i="10"/>
  <c r="F3768" i="10" s="1"/>
  <c r="I3768" i="10" s="1"/>
  <c r="E3767" i="10"/>
  <c r="F3767" i="10" s="1"/>
  <c r="I3767" i="10" s="1"/>
  <c r="E3766" i="10"/>
  <c r="F3766" i="10" s="1"/>
  <c r="I3766" i="10" s="1"/>
  <c r="E3765" i="10"/>
  <c r="F3765" i="10" s="1"/>
  <c r="I3765" i="10" s="1"/>
  <c r="B3765" i="10"/>
  <c r="B3766" i="10" s="1"/>
  <c r="B3767" i="10" s="1"/>
  <c r="B3768" i="10" s="1"/>
  <c r="B3769" i="10" s="1"/>
  <c r="B3770" i="10" s="1"/>
  <c r="B3771" i="10" s="1"/>
  <c r="B3772" i="10" s="1"/>
  <c r="B3773" i="10" s="1"/>
  <c r="B3774" i="10" s="1"/>
  <c r="B3775" i="10" s="1"/>
  <c r="B3776" i="10" s="1"/>
  <c r="B3777" i="10" s="1"/>
  <c r="B3778" i="10" s="1"/>
  <c r="B3779" i="10" s="1"/>
  <c r="B3780" i="10" s="1"/>
  <c r="B3781" i="10" s="1"/>
  <c r="B3782" i="10" s="1"/>
  <c r="B3783" i="10" s="1"/>
  <c r="B3784" i="10" s="1"/>
  <c r="B3785" i="10" s="1"/>
  <c r="B3786" i="10" s="1"/>
  <c r="B3787" i="10" s="1"/>
  <c r="B3788" i="10" s="1"/>
  <c r="B3789" i="10" s="1"/>
  <c r="B3790" i="10" s="1"/>
  <c r="B3791" i="10" s="1"/>
  <c r="B3792" i="10" s="1"/>
  <c r="B3793" i="10" s="1"/>
  <c r="B3794" i="10" s="1"/>
  <c r="B3795" i="10" s="1"/>
  <c r="B3796" i="10" s="1"/>
  <c r="B3797" i="10" s="1"/>
  <c r="B3798" i="10" s="1"/>
  <c r="B3799" i="10" s="1"/>
  <c r="B3800" i="10" s="1"/>
  <c r="E3764" i="10"/>
  <c r="F3764" i="10" s="1"/>
  <c r="I3764" i="10" s="1"/>
  <c r="E3746" i="10"/>
  <c r="F3746" i="10" s="1"/>
  <c r="E3745" i="10"/>
  <c r="F3745" i="10" s="1"/>
  <c r="E3744" i="10"/>
  <c r="F3744" i="10" s="1"/>
  <c r="E3743" i="10"/>
  <c r="F3743" i="10" s="1"/>
  <c r="E3742" i="10"/>
  <c r="F3742" i="10" s="1"/>
  <c r="E3741" i="10"/>
  <c r="F3741" i="10" s="1"/>
  <c r="E3740" i="10"/>
  <c r="F3740" i="10" s="1"/>
  <c r="E3739" i="10"/>
  <c r="F3739" i="10" s="1"/>
  <c r="E3738" i="10"/>
  <c r="F3738" i="10" s="1"/>
  <c r="E3737" i="10"/>
  <c r="F3737" i="10" s="1"/>
  <c r="E3736" i="10"/>
  <c r="F3736" i="10" s="1"/>
  <c r="E3735" i="10"/>
  <c r="F3735" i="10" s="1"/>
  <c r="E3734" i="10"/>
  <c r="F3734" i="10" s="1"/>
  <c r="E3733" i="10"/>
  <c r="F3733" i="10" s="1"/>
  <c r="E3732" i="10"/>
  <c r="F3732" i="10" s="1"/>
  <c r="E3731" i="10"/>
  <c r="F3731" i="10" s="1"/>
  <c r="E3730" i="10"/>
  <c r="F3730" i="10" s="1"/>
  <c r="E3729" i="10"/>
  <c r="F3729" i="10" s="1"/>
  <c r="E3728" i="10"/>
  <c r="F3728" i="10" s="1"/>
  <c r="E3727" i="10"/>
  <c r="F3727" i="10" s="1"/>
  <c r="B3727" i="10"/>
  <c r="B3728" i="10" s="1"/>
  <c r="B3729" i="10" s="1"/>
  <c r="B3730" i="10" s="1"/>
  <c r="B3731" i="10" s="1"/>
  <c r="B3732" i="10" s="1"/>
  <c r="B3733" i="10" s="1"/>
  <c r="B3734" i="10" s="1"/>
  <c r="B3735" i="10" s="1"/>
  <c r="B3736" i="10" s="1"/>
  <c r="B3737" i="10" s="1"/>
  <c r="B3738" i="10" s="1"/>
  <c r="B3739" i="10" s="1"/>
  <c r="B3740" i="10" s="1"/>
  <c r="B3741" i="10" s="1"/>
  <c r="B3742" i="10" s="1"/>
  <c r="B3743" i="10" s="1"/>
  <c r="B3744" i="10" s="1"/>
  <c r="B3745" i="10" s="1"/>
  <c r="B3746" i="10" s="1"/>
  <c r="B3747" i="10" s="1"/>
  <c r="B3748" i="10" s="1"/>
  <c r="B3749" i="10" s="1"/>
  <c r="B3750" i="10" s="1"/>
  <c r="B3751" i="10" s="1"/>
  <c r="B3752" i="10" s="1"/>
  <c r="B3753" i="10" s="1"/>
  <c r="B3754" i="10" s="1"/>
  <c r="B3755" i="10" s="1"/>
  <c r="B3756" i="10" s="1"/>
  <c r="B3757" i="10" s="1"/>
  <c r="B3758" i="10" s="1"/>
  <c r="B3759" i="10" s="1"/>
  <c r="B3760" i="10" s="1"/>
  <c r="B3761" i="10" s="1"/>
  <c r="B3762" i="10" s="1"/>
  <c r="E3726" i="10"/>
  <c r="F3726" i="10" s="1"/>
  <c r="E3708" i="10"/>
  <c r="F3708" i="10" s="1"/>
  <c r="I3708" i="10" s="1"/>
  <c r="E3707" i="10"/>
  <c r="F3707" i="10" s="1"/>
  <c r="I3707" i="10" s="1"/>
  <c r="E3706" i="10"/>
  <c r="F3706" i="10" s="1"/>
  <c r="I3706" i="10" s="1"/>
  <c r="E3705" i="10"/>
  <c r="F3705" i="10" s="1"/>
  <c r="I3705" i="10" s="1"/>
  <c r="E3704" i="10"/>
  <c r="F3704" i="10" s="1"/>
  <c r="I3704" i="10" s="1"/>
  <c r="E3703" i="10"/>
  <c r="F3703" i="10" s="1"/>
  <c r="I3703" i="10" s="1"/>
  <c r="E3702" i="10"/>
  <c r="F3702" i="10" s="1"/>
  <c r="I3702" i="10" s="1"/>
  <c r="E3701" i="10"/>
  <c r="F3701" i="10" s="1"/>
  <c r="I3701" i="10" s="1"/>
  <c r="E3700" i="10"/>
  <c r="F3700" i="10" s="1"/>
  <c r="I3700" i="10" s="1"/>
  <c r="E3699" i="10"/>
  <c r="F3699" i="10" s="1"/>
  <c r="I3699" i="10" s="1"/>
  <c r="E3698" i="10"/>
  <c r="F3698" i="10" s="1"/>
  <c r="I3698" i="10" s="1"/>
  <c r="E3697" i="10"/>
  <c r="F3697" i="10" s="1"/>
  <c r="I3697" i="10" s="1"/>
  <c r="E3696" i="10"/>
  <c r="F3696" i="10" s="1"/>
  <c r="I3696" i="10" s="1"/>
  <c r="E3695" i="10"/>
  <c r="F3695" i="10" s="1"/>
  <c r="I3695" i="10" s="1"/>
  <c r="E3694" i="10"/>
  <c r="F3694" i="10" s="1"/>
  <c r="I3694" i="10" s="1"/>
  <c r="E3693" i="10"/>
  <c r="F3693" i="10" s="1"/>
  <c r="I3693" i="10" s="1"/>
  <c r="E3692" i="10"/>
  <c r="F3692" i="10" s="1"/>
  <c r="I3692" i="10" s="1"/>
  <c r="E3691" i="10"/>
  <c r="F3691" i="10" s="1"/>
  <c r="I3691" i="10" s="1"/>
  <c r="E3690" i="10"/>
  <c r="F3690" i="10" s="1"/>
  <c r="I3690" i="10" s="1"/>
  <c r="E3689" i="10"/>
  <c r="F3689" i="10" s="1"/>
  <c r="I3689" i="10" s="1"/>
  <c r="B3689" i="10"/>
  <c r="B3690" i="10" s="1"/>
  <c r="B3691" i="10" s="1"/>
  <c r="B3692" i="10" s="1"/>
  <c r="B3693" i="10" s="1"/>
  <c r="B3694" i="10" s="1"/>
  <c r="B3695" i="10" s="1"/>
  <c r="B3696" i="10" s="1"/>
  <c r="B3697" i="10" s="1"/>
  <c r="B3698" i="10" s="1"/>
  <c r="B3699" i="10" s="1"/>
  <c r="B3700" i="10" s="1"/>
  <c r="B3701" i="10" s="1"/>
  <c r="B3702" i="10" s="1"/>
  <c r="B3703" i="10" s="1"/>
  <c r="B3704" i="10" s="1"/>
  <c r="B3705" i="10" s="1"/>
  <c r="B3706" i="10" s="1"/>
  <c r="B3707" i="10" s="1"/>
  <c r="B3708" i="10" s="1"/>
  <c r="B3709" i="10" s="1"/>
  <c r="B3710" i="10" s="1"/>
  <c r="B3711" i="10" s="1"/>
  <c r="B3712" i="10" s="1"/>
  <c r="B3713" i="10" s="1"/>
  <c r="B3714" i="10" s="1"/>
  <c r="B3715" i="10" s="1"/>
  <c r="B3716" i="10" s="1"/>
  <c r="B3717" i="10" s="1"/>
  <c r="B3718" i="10" s="1"/>
  <c r="B3719" i="10" s="1"/>
  <c r="B3720" i="10" s="1"/>
  <c r="B3721" i="10" s="1"/>
  <c r="B3722" i="10" s="1"/>
  <c r="B3723" i="10" s="1"/>
  <c r="B3724" i="10" s="1"/>
  <c r="E3688" i="10"/>
  <c r="F3688" i="10" s="1"/>
  <c r="I3688" i="10" s="1"/>
  <c r="E3670" i="10"/>
  <c r="F3670" i="10" s="1"/>
  <c r="I3670" i="10" s="1"/>
  <c r="E3669" i="10"/>
  <c r="F3669" i="10" s="1"/>
  <c r="I3669" i="10" s="1"/>
  <c r="E3668" i="10"/>
  <c r="F3668" i="10" s="1"/>
  <c r="I3668" i="10" s="1"/>
  <c r="E3667" i="10"/>
  <c r="F3667" i="10" s="1"/>
  <c r="I3667" i="10" s="1"/>
  <c r="E3666" i="10"/>
  <c r="F3666" i="10" s="1"/>
  <c r="I3666" i="10" s="1"/>
  <c r="E3665" i="10"/>
  <c r="F3665" i="10" s="1"/>
  <c r="I3665" i="10" s="1"/>
  <c r="E3664" i="10"/>
  <c r="F3664" i="10" s="1"/>
  <c r="I3664" i="10" s="1"/>
  <c r="E3663" i="10"/>
  <c r="F3663" i="10" s="1"/>
  <c r="I3663" i="10" s="1"/>
  <c r="E3662" i="10"/>
  <c r="F3662" i="10" s="1"/>
  <c r="I3662" i="10" s="1"/>
  <c r="E3661" i="10"/>
  <c r="F3661" i="10" s="1"/>
  <c r="I3661" i="10" s="1"/>
  <c r="E3660" i="10"/>
  <c r="F3660" i="10" s="1"/>
  <c r="I3660" i="10" s="1"/>
  <c r="E3659" i="10"/>
  <c r="F3659" i="10" s="1"/>
  <c r="I3659" i="10" s="1"/>
  <c r="E3658" i="10"/>
  <c r="F3658" i="10" s="1"/>
  <c r="I3658" i="10" s="1"/>
  <c r="E3657" i="10"/>
  <c r="F3657" i="10" s="1"/>
  <c r="I3657" i="10" s="1"/>
  <c r="E3656" i="10"/>
  <c r="F3656" i="10" s="1"/>
  <c r="I3656" i="10" s="1"/>
  <c r="E3655" i="10"/>
  <c r="F3655" i="10" s="1"/>
  <c r="I3655" i="10" s="1"/>
  <c r="E3654" i="10"/>
  <c r="F3654" i="10" s="1"/>
  <c r="I3654" i="10" s="1"/>
  <c r="E3653" i="10"/>
  <c r="F3653" i="10" s="1"/>
  <c r="I3653" i="10" s="1"/>
  <c r="E3652" i="10"/>
  <c r="F3652" i="10" s="1"/>
  <c r="I3652" i="10" s="1"/>
  <c r="E3651" i="10"/>
  <c r="F3651" i="10" s="1"/>
  <c r="I3651" i="10" s="1"/>
  <c r="B3651" i="10"/>
  <c r="B3652" i="10" s="1"/>
  <c r="B3653" i="10" s="1"/>
  <c r="B3654" i="10" s="1"/>
  <c r="B3655" i="10" s="1"/>
  <c r="B3656" i="10" s="1"/>
  <c r="B3657" i="10" s="1"/>
  <c r="B3658" i="10" s="1"/>
  <c r="B3659" i="10" s="1"/>
  <c r="B3660" i="10" s="1"/>
  <c r="B3661" i="10" s="1"/>
  <c r="B3662" i="10" s="1"/>
  <c r="B3663" i="10" s="1"/>
  <c r="B3664" i="10" s="1"/>
  <c r="B3665" i="10" s="1"/>
  <c r="B3666" i="10" s="1"/>
  <c r="B3667" i="10" s="1"/>
  <c r="B3668" i="10" s="1"/>
  <c r="B3669" i="10" s="1"/>
  <c r="B3670" i="10" s="1"/>
  <c r="B3671" i="10" s="1"/>
  <c r="B3672" i="10" s="1"/>
  <c r="B3673" i="10" s="1"/>
  <c r="B3674" i="10" s="1"/>
  <c r="B3675" i="10" s="1"/>
  <c r="B3676" i="10" s="1"/>
  <c r="B3677" i="10" s="1"/>
  <c r="B3678" i="10" s="1"/>
  <c r="B3679" i="10" s="1"/>
  <c r="B3680" i="10" s="1"/>
  <c r="B3681" i="10" s="1"/>
  <c r="B3682" i="10" s="1"/>
  <c r="B3683" i="10" s="1"/>
  <c r="B3684" i="10" s="1"/>
  <c r="B3685" i="10" s="1"/>
  <c r="B3686" i="10" s="1"/>
  <c r="E3650" i="10"/>
  <c r="F3650" i="10" s="1"/>
  <c r="I3650" i="10" s="1"/>
  <c r="E3632" i="10"/>
  <c r="F3632" i="10" s="1"/>
  <c r="I3632" i="10" s="1"/>
  <c r="E3631" i="10"/>
  <c r="F3631" i="10" s="1"/>
  <c r="I3631" i="10" s="1"/>
  <c r="E3630" i="10"/>
  <c r="F3630" i="10" s="1"/>
  <c r="I3630" i="10" s="1"/>
  <c r="E3629" i="10"/>
  <c r="F3629" i="10" s="1"/>
  <c r="I3629" i="10" s="1"/>
  <c r="E3628" i="10"/>
  <c r="F3628" i="10" s="1"/>
  <c r="I3628" i="10" s="1"/>
  <c r="E3627" i="10"/>
  <c r="F3627" i="10" s="1"/>
  <c r="I3627" i="10" s="1"/>
  <c r="E3626" i="10"/>
  <c r="F3626" i="10" s="1"/>
  <c r="I3626" i="10" s="1"/>
  <c r="E3625" i="10"/>
  <c r="F3625" i="10" s="1"/>
  <c r="I3625" i="10" s="1"/>
  <c r="E3624" i="10"/>
  <c r="F3624" i="10" s="1"/>
  <c r="I3624" i="10" s="1"/>
  <c r="E3623" i="10"/>
  <c r="F3623" i="10" s="1"/>
  <c r="I3623" i="10" s="1"/>
  <c r="E3622" i="10"/>
  <c r="F3622" i="10" s="1"/>
  <c r="I3622" i="10" s="1"/>
  <c r="E3621" i="10"/>
  <c r="F3621" i="10" s="1"/>
  <c r="I3621" i="10" s="1"/>
  <c r="E3620" i="10"/>
  <c r="F3620" i="10" s="1"/>
  <c r="I3620" i="10" s="1"/>
  <c r="E3619" i="10"/>
  <c r="F3619" i="10" s="1"/>
  <c r="I3619" i="10" s="1"/>
  <c r="E3618" i="10"/>
  <c r="F3618" i="10" s="1"/>
  <c r="I3618" i="10" s="1"/>
  <c r="E3617" i="10"/>
  <c r="F3617" i="10" s="1"/>
  <c r="I3617" i="10" s="1"/>
  <c r="E3616" i="10"/>
  <c r="F3616" i="10" s="1"/>
  <c r="I3616" i="10" s="1"/>
  <c r="E3615" i="10"/>
  <c r="F3615" i="10" s="1"/>
  <c r="I3615" i="10" s="1"/>
  <c r="E3614" i="10"/>
  <c r="F3614" i="10" s="1"/>
  <c r="I3614" i="10" s="1"/>
  <c r="E3613" i="10"/>
  <c r="F3613" i="10" s="1"/>
  <c r="I3613" i="10" s="1"/>
  <c r="B3613" i="10"/>
  <c r="B3614" i="10" s="1"/>
  <c r="B3615" i="10" s="1"/>
  <c r="B3616" i="10" s="1"/>
  <c r="B3617" i="10" s="1"/>
  <c r="B3618" i="10" s="1"/>
  <c r="B3619" i="10" s="1"/>
  <c r="B3620" i="10" s="1"/>
  <c r="B3621" i="10" s="1"/>
  <c r="B3622" i="10" s="1"/>
  <c r="B3623" i="10" s="1"/>
  <c r="B3624" i="10" s="1"/>
  <c r="B3625" i="10" s="1"/>
  <c r="B3626" i="10" s="1"/>
  <c r="B3627" i="10" s="1"/>
  <c r="B3628" i="10" s="1"/>
  <c r="B3629" i="10" s="1"/>
  <c r="B3630" i="10" s="1"/>
  <c r="B3631" i="10" s="1"/>
  <c r="B3632" i="10" s="1"/>
  <c r="B3633" i="10" s="1"/>
  <c r="B3634" i="10" s="1"/>
  <c r="B3635" i="10" s="1"/>
  <c r="B3636" i="10" s="1"/>
  <c r="B3637" i="10" s="1"/>
  <c r="B3638" i="10" s="1"/>
  <c r="B3639" i="10" s="1"/>
  <c r="B3640" i="10" s="1"/>
  <c r="B3641" i="10" s="1"/>
  <c r="B3642" i="10" s="1"/>
  <c r="B3643" i="10" s="1"/>
  <c r="B3644" i="10" s="1"/>
  <c r="B3645" i="10" s="1"/>
  <c r="B3646" i="10" s="1"/>
  <c r="B3647" i="10" s="1"/>
  <c r="B3648" i="10" s="1"/>
  <c r="E3612" i="10"/>
  <c r="F3612" i="10" s="1"/>
  <c r="I3612" i="10" s="1"/>
  <c r="E3594" i="10"/>
  <c r="F3594" i="10" s="1"/>
  <c r="E3593" i="10"/>
  <c r="F3593" i="10" s="1"/>
  <c r="E3592" i="10"/>
  <c r="F3592" i="10" s="1"/>
  <c r="E3591" i="10"/>
  <c r="F3591" i="10" s="1"/>
  <c r="E3590" i="10"/>
  <c r="F3590" i="10" s="1"/>
  <c r="E3589" i="10"/>
  <c r="F3589" i="10" s="1"/>
  <c r="E3588" i="10"/>
  <c r="F3588" i="10" s="1"/>
  <c r="E3587" i="10"/>
  <c r="F3587" i="10" s="1"/>
  <c r="E3586" i="10"/>
  <c r="F3586" i="10" s="1"/>
  <c r="E3585" i="10"/>
  <c r="F3585" i="10" s="1"/>
  <c r="E3584" i="10"/>
  <c r="F3584" i="10" s="1"/>
  <c r="E3583" i="10"/>
  <c r="F3583" i="10" s="1"/>
  <c r="E3582" i="10"/>
  <c r="F3582" i="10" s="1"/>
  <c r="E3581" i="10"/>
  <c r="F3581" i="10" s="1"/>
  <c r="E3580" i="10"/>
  <c r="F3580" i="10" s="1"/>
  <c r="E3579" i="10"/>
  <c r="F3579" i="10" s="1"/>
  <c r="E3578" i="10"/>
  <c r="F3578" i="10" s="1"/>
  <c r="E3577" i="10"/>
  <c r="F3577" i="10" s="1"/>
  <c r="E3576" i="10"/>
  <c r="F3576" i="10" s="1"/>
  <c r="E3575" i="10"/>
  <c r="F3575" i="10" s="1"/>
  <c r="B3575" i="10"/>
  <c r="B3576" i="10" s="1"/>
  <c r="B3577" i="10" s="1"/>
  <c r="B3578" i="10" s="1"/>
  <c r="B3579" i="10" s="1"/>
  <c r="B3580" i="10" s="1"/>
  <c r="B3581" i="10" s="1"/>
  <c r="B3582" i="10" s="1"/>
  <c r="B3583" i="10" s="1"/>
  <c r="B3584" i="10" s="1"/>
  <c r="B3585" i="10" s="1"/>
  <c r="B3586" i="10" s="1"/>
  <c r="B3587" i="10" s="1"/>
  <c r="B3588" i="10" s="1"/>
  <c r="B3589" i="10" s="1"/>
  <c r="B3590" i="10" s="1"/>
  <c r="B3591" i="10" s="1"/>
  <c r="B3592" i="10" s="1"/>
  <c r="B3593" i="10" s="1"/>
  <c r="B3594" i="10" s="1"/>
  <c r="B3595" i="10" s="1"/>
  <c r="B3596" i="10" s="1"/>
  <c r="B3597" i="10" s="1"/>
  <c r="B3598" i="10" s="1"/>
  <c r="B3599" i="10" s="1"/>
  <c r="B3600" i="10" s="1"/>
  <c r="B3601" i="10" s="1"/>
  <c r="B3602" i="10" s="1"/>
  <c r="B3603" i="10" s="1"/>
  <c r="B3604" i="10" s="1"/>
  <c r="B3605" i="10" s="1"/>
  <c r="B3606" i="10" s="1"/>
  <c r="B3607" i="10" s="1"/>
  <c r="B3608" i="10" s="1"/>
  <c r="B3609" i="10" s="1"/>
  <c r="B3610" i="10" s="1"/>
  <c r="E3574" i="10"/>
  <c r="F3574" i="10" s="1"/>
  <c r="E3556" i="10"/>
  <c r="F3556" i="10" s="1"/>
  <c r="I3556" i="10" s="1"/>
  <c r="E3555" i="10"/>
  <c r="F3555" i="10" s="1"/>
  <c r="I3555" i="10" s="1"/>
  <c r="E3554" i="10"/>
  <c r="F3554" i="10" s="1"/>
  <c r="I3554" i="10" s="1"/>
  <c r="E3553" i="10"/>
  <c r="F3553" i="10" s="1"/>
  <c r="I3553" i="10" s="1"/>
  <c r="E3552" i="10"/>
  <c r="F3552" i="10" s="1"/>
  <c r="I3552" i="10" s="1"/>
  <c r="E3551" i="10"/>
  <c r="F3551" i="10" s="1"/>
  <c r="I3551" i="10" s="1"/>
  <c r="E3550" i="10"/>
  <c r="F3550" i="10" s="1"/>
  <c r="I3550" i="10" s="1"/>
  <c r="E3549" i="10"/>
  <c r="F3549" i="10" s="1"/>
  <c r="I3549" i="10" s="1"/>
  <c r="E3548" i="10"/>
  <c r="F3548" i="10" s="1"/>
  <c r="I3548" i="10" s="1"/>
  <c r="E3547" i="10"/>
  <c r="F3547" i="10" s="1"/>
  <c r="I3547" i="10" s="1"/>
  <c r="E3546" i="10"/>
  <c r="F3546" i="10" s="1"/>
  <c r="I3546" i="10" s="1"/>
  <c r="E3545" i="10"/>
  <c r="F3545" i="10" s="1"/>
  <c r="I3545" i="10" s="1"/>
  <c r="E3544" i="10"/>
  <c r="F3544" i="10" s="1"/>
  <c r="I3544" i="10" s="1"/>
  <c r="E3543" i="10"/>
  <c r="F3543" i="10" s="1"/>
  <c r="I3543" i="10" s="1"/>
  <c r="E3542" i="10"/>
  <c r="F3542" i="10" s="1"/>
  <c r="I3542" i="10" s="1"/>
  <c r="E3541" i="10"/>
  <c r="F3541" i="10" s="1"/>
  <c r="I3541" i="10" s="1"/>
  <c r="E3540" i="10"/>
  <c r="F3540" i="10" s="1"/>
  <c r="I3540" i="10" s="1"/>
  <c r="E3539" i="10"/>
  <c r="F3539" i="10" s="1"/>
  <c r="I3539" i="10" s="1"/>
  <c r="E3538" i="10"/>
  <c r="F3538" i="10" s="1"/>
  <c r="I3538" i="10" s="1"/>
  <c r="E3537" i="10"/>
  <c r="F3537" i="10" s="1"/>
  <c r="I3537" i="10" s="1"/>
  <c r="B3537" i="10"/>
  <c r="B3538" i="10" s="1"/>
  <c r="B3539" i="10" s="1"/>
  <c r="B3540" i="10" s="1"/>
  <c r="B3541" i="10" s="1"/>
  <c r="B3542" i="10" s="1"/>
  <c r="B3543" i="10" s="1"/>
  <c r="B3544" i="10" s="1"/>
  <c r="B3545" i="10" s="1"/>
  <c r="B3546" i="10" s="1"/>
  <c r="B3547" i="10" s="1"/>
  <c r="B3548" i="10" s="1"/>
  <c r="B3549" i="10" s="1"/>
  <c r="B3550" i="10" s="1"/>
  <c r="B3551" i="10" s="1"/>
  <c r="B3552" i="10" s="1"/>
  <c r="B3553" i="10" s="1"/>
  <c r="B3554" i="10" s="1"/>
  <c r="B3555" i="10" s="1"/>
  <c r="B3556" i="10" s="1"/>
  <c r="B3557" i="10" s="1"/>
  <c r="B3558" i="10" s="1"/>
  <c r="B3559" i="10" s="1"/>
  <c r="B3560" i="10" s="1"/>
  <c r="B3561" i="10" s="1"/>
  <c r="B3562" i="10" s="1"/>
  <c r="B3563" i="10" s="1"/>
  <c r="B3564" i="10" s="1"/>
  <c r="B3565" i="10" s="1"/>
  <c r="B3566" i="10" s="1"/>
  <c r="B3567" i="10" s="1"/>
  <c r="B3568" i="10" s="1"/>
  <c r="B3569" i="10" s="1"/>
  <c r="B3570" i="10" s="1"/>
  <c r="B3571" i="10" s="1"/>
  <c r="B3572" i="10" s="1"/>
  <c r="E3536" i="10"/>
  <c r="F3536" i="10" s="1"/>
  <c r="I3536" i="10" s="1"/>
  <c r="E3518" i="10"/>
  <c r="F3518" i="10" s="1"/>
  <c r="I3518" i="10" s="1"/>
  <c r="E3517" i="10"/>
  <c r="F3517" i="10" s="1"/>
  <c r="I3517" i="10" s="1"/>
  <c r="E3516" i="10"/>
  <c r="F3516" i="10" s="1"/>
  <c r="I3516" i="10" s="1"/>
  <c r="E3515" i="10"/>
  <c r="F3515" i="10" s="1"/>
  <c r="I3515" i="10" s="1"/>
  <c r="E3514" i="10"/>
  <c r="F3514" i="10" s="1"/>
  <c r="I3514" i="10" s="1"/>
  <c r="E3513" i="10"/>
  <c r="F3513" i="10" s="1"/>
  <c r="I3513" i="10" s="1"/>
  <c r="E3512" i="10"/>
  <c r="F3512" i="10" s="1"/>
  <c r="I3512" i="10" s="1"/>
  <c r="E3511" i="10"/>
  <c r="F3511" i="10" s="1"/>
  <c r="I3511" i="10" s="1"/>
  <c r="E3510" i="10"/>
  <c r="F3510" i="10" s="1"/>
  <c r="I3510" i="10" s="1"/>
  <c r="E3509" i="10"/>
  <c r="F3509" i="10" s="1"/>
  <c r="I3509" i="10" s="1"/>
  <c r="E3508" i="10"/>
  <c r="F3508" i="10" s="1"/>
  <c r="I3508" i="10" s="1"/>
  <c r="E3507" i="10"/>
  <c r="F3507" i="10" s="1"/>
  <c r="I3507" i="10" s="1"/>
  <c r="E3506" i="10"/>
  <c r="F3506" i="10" s="1"/>
  <c r="I3506" i="10" s="1"/>
  <c r="E3505" i="10"/>
  <c r="F3505" i="10" s="1"/>
  <c r="I3505" i="10" s="1"/>
  <c r="E3504" i="10"/>
  <c r="F3504" i="10" s="1"/>
  <c r="I3504" i="10" s="1"/>
  <c r="E3503" i="10"/>
  <c r="F3503" i="10" s="1"/>
  <c r="I3503" i="10" s="1"/>
  <c r="E3502" i="10"/>
  <c r="F3502" i="10" s="1"/>
  <c r="I3502" i="10" s="1"/>
  <c r="E3501" i="10"/>
  <c r="F3501" i="10" s="1"/>
  <c r="I3501" i="10" s="1"/>
  <c r="E3500" i="10"/>
  <c r="F3500" i="10" s="1"/>
  <c r="I3500" i="10" s="1"/>
  <c r="E3499" i="10"/>
  <c r="F3499" i="10" s="1"/>
  <c r="I3499" i="10" s="1"/>
  <c r="B3499" i="10"/>
  <c r="B3500" i="10" s="1"/>
  <c r="B3501" i="10" s="1"/>
  <c r="B3502" i="10" s="1"/>
  <c r="B3503" i="10" s="1"/>
  <c r="B3504" i="10" s="1"/>
  <c r="B3505" i="10" s="1"/>
  <c r="B3506" i="10" s="1"/>
  <c r="B3507" i="10" s="1"/>
  <c r="B3508" i="10" s="1"/>
  <c r="B3509" i="10" s="1"/>
  <c r="B3510" i="10" s="1"/>
  <c r="B3511" i="10" s="1"/>
  <c r="B3512" i="10" s="1"/>
  <c r="B3513" i="10" s="1"/>
  <c r="B3514" i="10" s="1"/>
  <c r="B3515" i="10" s="1"/>
  <c r="B3516" i="10" s="1"/>
  <c r="B3517" i="10" s="1"/>
  <c r="B3518" i="10" s="1"/>
  <c r="B3519" i="10" s="1"/>
  <c r="B3520" i="10" s="1"/>
  <c r="B3521" i="10" s="1"/>
  <c r="B3522" i="10" s="1"/>
  <c r="B3523" i="10" s="1"/>
  <c r="B3524" i="10" s="1"/>
  <c r="B3525" i="10" s="1"/>
  <c r="B3526" i="10" s="1"/>
  <c r="B3527" i="10" s="1"/>
  <c r="B3528" i="10" s="1"/>
  <c r="B3529" i="10" s="1"/>
  <c r="B3530" i="10" s="1"/>
  <c r="B3531" i="10" s="1"/>
  <c r="B3532" i="10" s="1"/>
  <c r="B3533" i="10" s="1"/>
  <c r="B3534" i="10" s="1"/>
  <c r="E3498" i="10"/>
  <c r="F3498" i="10" s="1"/>
  <c r="I3498" i="10" s="1"/>
  <c r="E3480" i="10"/>
  <c r="F3480" i="10" s="1"/>
  <c r="I3480" i="10" s="1"/>
  <c r="E3479" i="10"/>
  <c r="F3479" i="10" s="1"/>
  <c r="I3479" i="10" s="1"/>
  <c r="E3478" i="10"/>
  <c r="F3478" i="10" s="1"/>
  <c r="I3478" i="10" s="1"/>
  <c r="E3477" i="10"/>
  <c r="F3477" i="10" s="1"/>
  <c r="I3477" i="10" s="1"/>
  <c r="E3476" i="10"/>
  <c r="F3476" i="10" s="1"/>
  <c r="I3476" i="10" s="1"/>
  <c r="E3475" i="10"/>
  <c r="F3475" i="10" s="1"/>
  <c r="I3475" i="10" s="1"/>
  <c r="E3474" i="10"/>
  <c r="F3474" i="10" s="1"/>
  <c r="I3474" i="10" s="1"/>
  <c r="E3473" i="10"/>
  <c r="F3473" i="10" s="1"/>
  <c r="I3473" i="10" s="1"/>
  <c r="E3472" i="10"/>
  <c r="F3472" i="10" s="1"/>
  <c r="I3472" i="10" s="1"/>
  <c r="E3471" i="10"/>
  <c r="F3471" i="10" s="1"/>
  <c r="I3471" i="10" s="1"/>
  <c r="E3470" i="10"/>
  <c r="F3470" i="10" s="1"/>
  <c r="I3470" i="10" s="1"/>
  <c r="E3469" i="10"/>
  <c r="F3469" i="10" s="1"/>
  <c r="I3469" i="10" s="1"/>
  <c r="E3468" i="10"/>
  <c r="F3468" i="10" s="1"/>
  <c r="I3468" i="10" s="1"/>
  <c r="E3467" i="10"/>
  <c r="F3467" i="10" s="1"/>
  <c r="I3467" i="10" s="1"/>
  <c r="E3466" i="10"/>
  <c r="F3466" i="10" s="1"/>
  <c r="I3466" i="10" s="1"/>
  <c r="E3465" i="10"/>
  <c r="F3465" i="10" s="1"/>
  <c r="I3465" i="10" s="1"/>
  <c r="E3464" i="10"/>
  <c r="F3464" i="10" s="1"/>
  <c r="I3464" i="10" s="1"/>
  <c r="E3463" i="10"/>
  <c r="F3463" i="10" s="1"/>
  <c r="I3463" i="10" s="1"/>
  <c r="E3462" i="10"/>
  <c r="F3462" i="10" s="1"/>
  <c r="I3462" i="10" s="1"/>
  <c r="E3461" i="10"/>
  <c r="F3461" i="10" s="1"/>
  <c r="I3461" i="10" s="1"/>
  <c r="B3461" i="10"/>
  <c r="B3462" i="10" s="1"/>
  <c r="B3463" i="10" s="1"/>
  <c r="B3464" i="10" s="1"/>
  <c r="B3465" i="10" s="1"/>
  <c r="B3466" i="10" s="1"/>
  <c r="B3467" i="10" s="1"/>
  <c r="B3468" i="10" s="1"/>
  <c r="B3469" i="10" s="1"/>
  <c r="B3470" i="10" s="1"/>
  <c r="B3471" i="10" s="1"/>
  <c r="B3472" i="10" s="1"/>
  <c r="B3473" i="10" s="1"/>
  <c r="B3474" i="10" s="1"/>
  <c r="B3475" i="10" s="1"/>
  <c r="B3476" i="10" s="1"/>
  <c r="B3477" i="10" s="1"/>
  <c r="B3478" i="10" s="1"/>
  <c r="B3479" i="10" s="1"/>
  <c r="B3480" i="10" s="1"/>
  <c r="B3481" i="10" s="1"/>
  <c r="B3482" i="10" s="1"/>
  <c r="B3483" i="10" s="1"/>
  <c r="B3484" i="10" s="1"/>
  <c r="B3485" i="10" s="1"/>
  <c r="B3486" i="10" s="1"/>
  <c r="B3487" i="10" s="1"/>
  <c r="B3488" i="10" s="1"/>
  <c r="B3489" i="10" s="1"/>
  <c r="B3490" i="10" s="1"/>
  <c r="B3491" i="10" s="1"/>
  <c r="B3492" i="10" s="1"/>
  <c r="B3493" i="10" s="1"/>
  <c r="B3494" i="10" s="1"/>
  <c r="B3495" i="10" s="1"/>
  <c r="B3496" i="10" s="1"/>
  <c r="E3460" i="10"/>
  <c r="F3460" i="10" s="1"/>
  <c r="I3460" i="10" s="1"/>
  <c r="E3442" i="10"/>
  <c r="F3442" i="10" s="1"/>
  <c r="E3441" i="10"/>
  <c r="F3441" i="10" s="1"/>
  <c r="E3440" i="10"/>
  <c r="F3440" i="10" s="1"/>
  <c r="E3439" i="10"/>
  <c r="F3439" i="10" s="1"/>
  <c r="E3438" i="10"/>
  <c r="F3438" i="10" s="1"/>
  <c r="E3437" i="10"/>
  <c r="F3437" i="10" s="1"/>
  <c r="E3436" i="10"/>
  <c r="F3436" i="10" s="1"/>
  <c r="E3435" i="10"/>
  <c r="F3435" i="10" s="1"/>
  <c r="E3434" i="10"/>
  <c r="F3434" i="10" s="1"/>
  <c r="E3433" i="10"/>
  <c r="F3433" i="10" s="1"/>
  <c r="E3432" i="10"/>
  <c r="F3432" i="10" s="1"/>
  <c r="E3431" i="10"/>
  <c r="F3431" i="10" s="1"/>
  <c r="E3430" i="10"/>
  <c r="F3430" i="10" s="1"/>
  <c r="E3429" i="10"/>
  <c r="F3429" i="10" s="1"/>
  <c r="E3428" i="10"/>
  <c r="F3428" i="10" s="1"/>
  <c r="E3427" i="10"/>
  <c r="F3427" i="10" s="1"/>
  <c r="E3426" i="10"/>
  <c r="F3426" i="10" s="1"/>
  <c r="E3425" i="10"/>
  <c r="F3425" i="10" s="1"/>
  <c r="E3424" i="10"/>
  <c r="F3424" i="10" s="1"/>
  <c r="E3423" i="10"/>
  <c r="F3423" i="10" s="1"/>
  <c r="B3423" i="10"/>
  <c r="B3424" i="10" s="1"/>
  <c r="B3425" i="10" s="1"/>
  <c r="B3426" i="10" s="1"/>
  <c r="B3427" i="10" s="1"/>
  <c r="B3428" i="10" s="1"/>
  <c r="B3429" i="10" s="1"/>
  <c r="B3430" i="10" s="1"/>
  <c r="B3431" i="10" s="1"/>
  <c r="B3432" i="10" s="1"/>
  <c r="B3433" i="10" s="1"/>
  <c r="B3434" i="10" s="1"/>
  <c r="B3435" i="10" s="1"/>
  <c r="B3436" i="10" s="1"/>
  <c r="B3437" i="10" s="1"/>
  <c r="B3438" i="10" s="1"/>
  <c r="B3439" i="10" s="1"/>
  <c r="B3440" i="10" s="1"/>
  <c r="B3441" i="10" s="1"/>
  <c r="B3442" i="10" s="1"/>
  <c r="B3443" i="10" s="1"/>
  <c r="B3444" i="10" s="1"/>
  <c r="B3445" i="10" s="1"/>
  <c r="B3446" i="10" s="1"/>
  <c r="B3447" i="10" s="1"/>
  <c r="B3448" i="10" s="1"/>
  <c r="B3449" i="10" s="1"/>
  <c r="B3450" i="10" s="1"/>
  <c r="B3451" i="10" s="1"/>
  <c r="B3452" i="10" s="1"/>
  <c r="B3453" i="10" s="1"/>
  <c r="B3454" i="10" s="1"/>
  <c r="B3455" i="10" s="1"/>
  <c r="B3456" i="10" s="1"/>
  <c r="B3457" i="10" s="1"/>
  <c r="B3458" i="10" s="1"/>
  <c r="E3422" i="10"/>
  <c r="F3422" i="10" s="1"/>
  <c r="E3404" i="10"/>
  <c r="F3404" i="10" s="1"/>
  <c r="E3403" i="10"/>
  <c r="F3403" i="10" s="1"/>
  <c r="E3402" i="10"/>
  <c r="F3402" i="10" s="1"/>
  <c r="E3401" i="10"/>
  <c r="F3401" i="10" s="1"/>
  <c r="E3400" i="10"/>
  <c r="F3400" i="10" s="1"/>
  <c r="E3399" i="10"/>
  <c r="F3399" i="10" s="1"/>
  <c r="E3398" i="10"/>
  <c r="F3398" i="10" s="1"/>
  <c r="E3397" i="10"/>
  <c r="F3397" i="10" s="1"/>
  <c r="E3396" i="10"/>
  <c r="F3396" i="10" s="1"/>
  <c r="E3395" i="10"/>
  <c r="F3395" i="10" s="1"/>
  <c r="E3394" i="10"/>
  <c r="F3394" i="10" s="1"/>
  <c r="E3393" i="10"/>
  <c r="F3393" i="10" s="1"/>
  <c r="E3392" i="10"/>
  <c r="F3392" i="10" s="1"/>
  <c r="E3391" i="10"/>
  <c r="F3391" i="10" s="1"/>
  <c r="E3390" i="10"/>
  <c r="F3390" i="10" s="1"/>
  <c r="E3389" i="10"/>
  <c r="F3389" i="10" s="1"/>
  <c r="E3388" i="10"/>
  <c r="F3388" i="10" s="1"/>
  <c r="E3387" i="10"/>
  <c r="F3387" i="10" s="1"/>
  <c r="E3386" i="10"/>
  <c r="F3386" i="10" s="1"/>
  <c r="E3385" i="10"/>
  <c r="F3385" i="10" s="1"/>
  <c r="B3385" i="10"/>
  <c r="B3386" i="10" s="1"/>
  <c r="B3387" i="10" s="1"/>
  <c r="B3388" i="10" s="1"/>
  <c r="B3389" i="10" s="1"/>
  <c r="B3390" i="10" s="1"/>
  <c r="B3391" i="10" s="1"/>
  <c r="B3392" i="10" s="1"/>
  <c r="B3393" i="10" s="1"/>
  <c r="B3394" i="10" s="1"/>
  <c r="B3395" i="10" s="1"/>
  <c r="B3396" i="10" s="1"/>
  <c r="B3397" i="10" s="1"/>
  <c r="B3398" i="10" s="1"/>
  <c r="B3399" i="10" s="1"/>
  <c r="B3400" i="10" s="1"/>
  <c r="B3401" i="10" s="1"/>
  <c r="B3402" i="10" s="1"/>
  <c r="B3403" i="10" s="1"/>
  <c r="B3404" i="10" s="1"/>
  <c r="B3405" i="10" s="1"/>
  <c r="B3406" i="10" s="1"/>
  <c r="B3407" i="10" s="1"/>
  <c r="B3408" i="10" s="1"/>
  <c r="B3409" i="10" s="1"/>
  <c r="B3410" i="10" s="1"/>
  <c r="B3411" i="10" s="1"/>
  <c r="B3412" i="10" s="1"/>
  <c r="B3413" i="10" s="1"/>
  <c r="B3414" i="10" s="1"/>
  <c r="B3415" i="10" s="1"/>
  <c r="B3416" i="10" s="1"/>
  <c r="B3417" i="10" s="1"/>
  <c r="B3418" i="10" s="1"/>
  <c r="B3419" i="10" s="1"/>
  <c r="B3420" i="10" s="1"/>
  <c r="E3384" i="10"/>
  <c r="F3384" i="10" s="1"/>
  <c r="E3383" i="10"/>
  <c r="E3366" i="10"/>
  <c r="F3366" i="10" s="1"/>
  <c r="E3365" i="10"/>
  <c r="F3365" i="10" s="1"/>
  <c r="E3364" i="10"/>
  <c r="F3364" i="10" s="1"/>
  <c r="E3363" i="10"/>
  <c r="F3363" i="10" s="1"/>
  <c r="E3362" i="10"/>
  <c r="F3362" i="10" s="1"/>
  <c r="E3361" i="10"/>
  <c r="F3361" i="10" s="1"/>
  <c r="E3360" i="10"/>
  <c r="F3360" i="10" s="1"/>
  <c r="E3359" i="10"/>
  <c r="F3359" i="10" s="1"/>
  <c r="E3358" i="10"/>
  <c r="F3358" i="10" s="1"/>
  <c r="E3357" i="10"/>
  <c r="F3357" i="10" s="1"/>
  <c r="E3356" i="10"/>
  <c r="F3356" i="10" s="1"/>
  <c r="E3355" i="10"/>
  <c r="F3355" i="10" s="1"/>
  <c r="E3354" i="10"/>
  <c r="F3354" i="10" s="1"/>
  <c r="E3353" i="10"/>
  <c r="F3353" i="10" s="1"/>
  <c r="E3352" i="10"/>
  <c r="F3352" i="10" s="1"/>
  <c r="E3351" i="10"/>
  <c r="F3351" i="10" s="1"/>
  <c r="E3350" i="10"/>
  <c r="F3350" i="10" s="1"/>
  <c r="E3349" i="10"/>
  <c r="F3349" i="10" s="1"/>
  <c r="E3348" i="10"/>
  <c r="F3348" i="10" s="1"/>
  <c r="E3347" i="10"/>
  <c r="F3347" i="10" s="1"/>
  <c r="B3347" i="10"/>
  <c r="B3348" i="10" s="1"/>
  <c r="B3349" i="10" s="1"/>
  <c r="B3350" i="10" s="1"/>
  <c r="B3351" i="10" s="1"/>
  <c r="B3352" i="10" s="1"/>
  <c r="B3353" i="10" s="1"/>
  <c r="B3354" i="10" s="1"/>
  <c r="B3355" i="10" s="1"/>
  <c r="B3356" i="10" s="1"/>
  <c r="B3357" i="10" s="1"/>
  <c r="B3358" i="10" s="1"/>
  <c r="B3359" i="10" s="1"/>
  <c r="B3360" i="10" s="1"/>
  <c r="B3361" i="10" s="1"/>
  <c r="B3362" i="10" s="1"/>
  <c r="B3363" i="10" s="1"/>
  <c r="B3364" i="10" s="1"/>
  <c r="B3365" i="10" s="1"/>
  <c r="B3366" i="10" s="1"/>
  <c r="B3367" i="10" s="1"/>
  <c r="B3368" i="10" s="1"/>
  <c r="B3369" i="10" s="1"/>
  <c r="B3370" i="10" s="1"/>
  <c r="B3371" i="10" s="1"/>
  <c r="B3372" i="10" s="1"/>
  <c r="B3373" i="10" s="1"/>
  <c r="B3374" i="10" s="1"/>
  <c r="B3375" i="10" s="1"/>
  <c r="B3376" i="10" s="1"/>
  <c r="B3377" i="10" s="1"/>
  <c r="B3378" i="10" s="1"/>
  <c r="B3379" i="10" s="1"/>
  <c r="B3380" i="10" s="1"/>
  <c r="B3381" i="10" s="1"/>
  <c r="B3382" i="10" s="1"/>
  <c r="E3346" i="10"/>
  <c r="F3346" i="10" s="1"/>
  <c r="E3345" i="10"/>
  <c r="E3328" i="10"/>
  <c r="F3328" i="10" s="1"/>
  <c r="I3328" i="10" s="1"/>
  <c r="E3327" i="10"/>
  <c r="F3327" i="10" s="1"/>
  <c r="I3327" i="10" s="1"/>
  <c r="E3326" i="10"/>
  <c r="F3326" i="10" s="1"/>
  <c r="I3326" i="10" s="1"/>
  <c r="E3325" i="10"/>
  <c r="F3325" i="10" s="1"/>
  <c r="I3325" i="10" s="1"/>
  <c r="E3324" i="10"/>
  <c r="F3324" i="10" s="1"/>
  <c r="I3324" i="10" s="1"/>
  <c r="E3323" i="10"/>
  <c r="F3323" i="10" s="1"/>
  <c r="I3323" i="10" s="1"/>
  <c r="E3322" i="10"/>
  <c r="F3322" i="10" s="1"/>
  <c r="I3322" i="10" s="1"/>
  <c r="E3321" i="10"/>
  <c r="F3321" i="10" s="1"/>
  <c r="I3321" i="10" s="1"/>
  <c r="E3320" i="10"/>
  <c r="F3320" i="10" s="1"/>
  <c r="I3320" i="10" s="1"/>
  <c r="E3319" i="10"/>
  <c r="F3319" i="10" s="1"/>
  <c r="I3319" i="10" s="1"/>
  <c r="E3318" i="10"/>
  <c r="F3318" i="10" s="1"/>
  <c r="I3318" i="10" s="1"/>
  <c r="E3317" i="10"/>
  <c r="F3317" i="10" s="1"/>
  <c r="I3317" i="10" s="1"/>
  <c r="E3316" i="10"/>
  <c r="F3316" i="10" s="1"/>
  <c r="I3316" i="10" s="1"/>
  <c r="E3315" i="10"/>
  <c r="F3315" i="10" s="1"/>
  <c r="I3315" i="10" s="1"/>
  <c r="E3314" i="10"/>
  <c r="F3314" i="10" s="1"/>
  <c r="I3314" i="10" s="1"/>
  <c r="E3313" i="10"/>
  <c r="F3313" i="10" s="1"/>
  <c r="I3313" i="10" s="1"/>
  <c r="E3312" i="10"/>
  <c r="F3312" i="10" s="1"/>
  <c r="I3312" i="10" s="1"/>
  <c r="E3311" i="10"/>
  <c r="F3311" i="10" s="1"/>
  <c r="I3311" i="10" s="1"/>
  <c r="E3310" i="10"/>
  <c r="F3310" i="10" s="1"/>
  <c r="I3310" i="10" s="1"/>
  <c r="E3309" i="10"/>
  <c r="F3309" i="10" s="1"/>
  <c r="I3309" i="10" s="1"/>
  <c r="B3309" i="10"/>
  <c r="B3310" i="10" s="1"/>
  <c r="B3311" i="10" s="1"/>
  <c r="B3312" i="10" s="1"/>
  <c r="B3313" i="10" s="1"/>
  <c r="B3314" i="10" s="1"/>
  <c r="B3315" i="10" s="1"/>
  <c r="B3316" i="10" s="1"/>
  <c r="B3317" i="10" s="1"/>
  <c r="B3318" i="10" s="1"/>
  <c r="B3319" i="10" s="1"/>
  <c r="B3320" i="10" s="1"/>
  <c r="B3321" i="10" s="1"/>
  <c r="B3322" i="10" s="1"/>
  <c r="B3323" i="10" s="1"/>
  <c r="B3324" i="10" s="1"/>
  <c r="B3325" i="10" s="1"/>
  <c r="B3326" i="10" s="1"/>
  <c r="B3327" i="10" s="1"/>
  <c r="B3328" i="10" s="1"/>
  <c r="B3329" i="10" s="1"/>
  <c r="B3330" i="10" s="1"/>
  <c r="B3331" i="10" s="1"/>
  <c r="B3332" i="10" s="1"/>
  <c r="B3333" i="10" s="1"/>
  <c r="B3334" i="10" s="1"/>
  <c r="B3335" i="10" s="1"/>
  <c r="B3336" i="10" s="1"/>
  <c r="B3337" i="10" s="1"/>
  <c r="B3338" i="10" s="1"/>
  <c r="B3339" i="10" s="1"/>
  <c r="B3340" i="10" s="1"/>
  <c r="B3341" i="10" s="1"/>
  <c r="B3342" i="10" s="1"/>
  <c r="B3343" i="10" s="1"/>
  <c r="B3344" i="10" s="1"/>
  <c r="E3308" i="10"/>
  <c r="F3308" i="10" s="1"/>
  <c r="I3308" i="10" s="1"/>
  <c r="E3307" i="10"/>
  <c r="E3290" i="10"/>
  <c r="F3290" i="10" s="1"/>
  <c r="E3289" i="10"/>
  <c r="F3289" i="10" s="1"/>
  <c r="E3288" i="10"/>
  <c r="F3288" i="10" s="1"/>
  <c r="E3287" i="10"/>
  <c r="F3287" i="10" s="1"/>
  <c r="E3286" i="10"/>
  <c r="F3286" i="10" s="1"/>
  <c r="E3285" i="10"/>
  <c r="F3285" i="10" s="1"/>
  <c r="E3284" i="10"/>
  <c r="F3284" i="10" s="1"/>
  <c r="E3283" i="10"/>
  <c r="F3283" i="10" s="1"/>
  <c r="E3282" i="10"/>
  <c r="F3282" i="10" s="1"/>
  <c r="E3281" i="10"/>
  <c r="F3281" i="10" s="1"/>
  <c r="E3280" i="10"/>
  <c r="F3280" i="10" s="1"/>
  <c r="E3279" i="10"/>
  <c r="F3279" i="10" s="1"/>
  <c r="E3278" i="10"/>
  <c r="F3278" i="10" s="1"/>
  <c r="E3277" i="10"/>
  <c r="F3277" i="10" s="1"/>
  <c r="E3276" i="10"/>
  <c r="F3276" i="10" s="1"/>
  <c r="E3275" i="10"/>
  <c r="F3275" i="10" s="1"/>
  <c r="E3274" i="10"/>
  <c r="F3274" i="10" s="1"/>
  <c r="E3273" i="10"/>
  <c r="F3273" i="10" s="1"/>
  <c r="E3272" i="10"/>
  <c r="F3272" i="10" s="1"/>
  <c r="E3271" i="10"/>
  <c r="F3271" i="10" s="1"/>
  <c r="B3271" i="10"/>
  <c r="B3272" i="10" s="1"/>
  <c r="B3273" i="10" s="1"/>
  <c r="B3274" i="10" s="1"/>
  <c r="B3275" i="10" s="1"/>
  <c r="B3276" i="10" s="1"/>
  <c r="B3277" i="10" s="1"/>
  <c r="B3278" i="10" s="1"/>
  <c r="B3279" i="10" s="1"/>
  <c r="B3280" i="10" s="1"/>
  <c r="B3281" i="10" s="1"/>
  <c r="B3282" i="10" s="1"/>
  <c r="B3283" i="10" s="1"/>
  <c r="B3284" i="10" s="1"/>
  <c r="B3285" i="10" s="1"/>
  <c r="B3286" i="10" s="1"/>
  <c r="B3287" i="10" s="1"/>
  <c r="B3288" i="10" s="1"/>
  <c r="B3289" i="10" s="1"/>
  <c r="B3290" i="10" s="1"/>
  <c r="B3291" i="10" s="1"/>
  <c r="B3292" i="10" s="1"/>
  <c r="B3293" i="10" s="1"/>
  <c r="B3294" i="10" s="1"/>
  <c r="B3295" i="10" s="1"/>
  <c r="B3296" i="10" s="1"/>
  <c r="B3297" i="10" s="1"/>
  <c r="B3298" i="10" s="1"/>
  <c r="B3299" i="10" s="1"/>
  <c r="B3300" i="10" s="1"/>
  <c r="B3301" i="10" s="1"/>
  <c r="B3302" i="10" s="1"/>
  <c r="B3303" i="10" s="1"/>
  <c r="B3304" i="10" s="1"/>
  <c r="B3305" i="10" s="1"/>
  <c r="B3306" i="10" s="1"/>
  <c r="E3270" i="10"/>
  <c r="F3270" i="10" s="1"/>
  <c r="E3269" i="10"/>
  <c r="E3252" i="10"/>
  <c r="F3252" i="10" s="1"/>
  <c r="E3251" i="10"/>
  <c r="F3251" i="10" s="1"/>
  <c r="E3250" i="10"/>
  <c r="F3250" i="10" s="1"/>
  <c r="E3249" i="10"/>
  <c r="F3249" i="10" s="1"/>
  <c r="E3248" i="10"/>
  <c r="F3248" i="10" s="1"/>
  <c r="E3247" i="10"/>
  <c r="F3247" i="10" s="1"/>
  <c r="E3246" i="10"/>
  <c r="F3246" i="10" s="1"/>
  <c r="E3245" i="10"/>
  <c r="F3245" i="10" s="1"/>
  <c r="E3244" i="10"/>
  <c r="F3244" i="10" s="1"/>
  <c r="E3243" i="10"/>
  <c r="F3243" i="10" s="1"/>
  <c r="E3242" i="10"/>
  <c r="F3242" i="10" s="1"/>
  <c r="E3241" i="10"/>
  <c r="F3241" i="10" s="1"/>
  <c r="E3240" i="10"/>
  <c r="F3240" i="10" s="1"/>
  <c r="E3239" i="10"/>
  <c r="F3239" i="10" s="1"/>
  <c r="E3238" i="10"/>
  <c r="F3238" i="10" s="1"/>
  <c r="E3237" i="10"/>
  <c r="F3237" i="10" s="1"/>
  <c r="E3236" i="10"/>
  <c r="F3236" i="10" s="1"/>
  <c r="E3235" i="10"/>
  <c r="F3235" i="10" s="1"/>
  <c r="E3234" i="10"/>
  <c r="F3234" i="10" s="1"/>
  <c r="E3233" i="10"/>
  <c r="F3233" i="10" s="1"/>
  <c r="B3233" i="10"/>
  <c r="B3234" i="10" s="1"/>
  <c r="B3235" i="10" s="1"/>
  <c r="B3236" i="10" s="1"/>
  <c r="B3237" i="10" s="1"/>
  <c r="B3238" i="10" s="1"/>
  <c r="B3239" i="10" s="1"/>
  <c r="B3240" i="10" s="1"/>
  <c r="B3241" i="10" s="1"/>
  <c r="B3242" i="10" s="1"/>
  <c r="B3243" i="10" s="1"/>
  <c r="B3244" i="10" s="1"/>
  <c r="B3245" i="10" s="1"/>
  <c r="B3246" i="10" s="1"/>
  <c r="B3247" i="10" s="1"/>
  <c r="B3248" i="10" s="1"/>
  <c r="B3249" i="10" s="1"/>
  <c r="B3250" i="10" s="1"/>
  <c r="B3251" i="10" s="1"/>
  <c r="B3252" i="10" s="1"/>
  <c r="B3253" i="10" s="1"/>
  <c r="B3254" i="10" s="1"/>
  <c r="B3255" i="10" s="1"/>
  <c r="B3256" i="10" s="1"/>
  <c r="B3257" i="10" s="1"/>
  <c r="B3258" i="10" s="1"/>
  <c r="B3259" i="10" s="1"/>
  <c r="B3260" i="10" s="1"/>
  <c r="B3261" i="10" s="1"/>
  <c r="B3262" i="10" s="1"/>
  <c r="B3263" i="10" s="1"/>
  <c r="B3264" i="10" s="1"/>
  <c r="B3265" i="10" s="1"/>
  <c r="B3266" i="10" s="1"/>
  <c r="B3267" i="10" s="1"/>
  <c r="B3268" i="10" s="1"/>
  <c r="E3232" i="10"/>
  <c r="F3232" i="10" s="1"/>
  <c r="E3231" i="10"/>
  <c r="E3214" i="10"/>
  <c r="F3214" i="10" s="1"/>
  <c r="E3213" i="10"/>
  <c r="F3213" i="10" s="1"/>
  <c r="E3212" i="10"/>
  <c r="F3212" i="10" s="1"/>
  <c r="E3211" i="10"/>
  <c r="F3211" i="10" s="1"/>
  <c r="E3210" i="10"/>
  <c r="F3210" i="10" s="1"/>
  <c r="E3209" i="10"/>
  <c r="F3209" i="10" s="1"/>
  <c r="E3208" i="10"/>
  <c r="F3208" i="10" s="1"/>
  <c r="E3207" i="10"/>
  <c r="F3207" i="10" s="1"/>
  <c r="E3206" i="10"/>
  <c r="F3206" i="10" s="1"/>
  <c r="E3205" i="10"/>
  <c r="F3205" i="10" s="1"/>
  <c r="E3204" i="10"/>
  <c r="F3204" i="10" s="1"/>
  <c r="E3203" i="10"/>
  <c r="F3203" i="10" s="1"/>
  <c r="E3202" i="10"/>
  <c r="F3202" i="10" s="1"/>
  <c r="E3201" i="10"/>
  <c r="F3201" i="10" s="1"/>
  <c r="E3200" i="10"/>
  <c r="F3200" i="10" s="1"/>
  <c r="E3199" i="10"/>
  <c r="F3199" i="10" s="1"/>
  <c r="E3198" i="10"/>
  <c r="F3198" i="10" s="1"/>
  <c r="E3197" i="10"/>
  <c r="F3197" i="10" s="1"/>
  <c r="E3196" i="10"/>
  <c r="F3196" i="10" s="1"/>
  <c r="E3195" i="10"/>
  <c r="F3195" i="10" s="1"/>
  <c r="B3195" i="10"/>
  <c r="B3196" i="10" s="1"/>
  <c r="B3197" i="10" s="1"/>
  <c r="B3198" i="10" s="1"/>
  <c r="B3199" i="10" s="1"/>
  <c r="B3200" i="10" s="1"/>
  <c r="B3201" i="10" s="1"/>
  <c r="B3202" i="10" s="1"/>
  <c r="B3203" i="10" s="1"/>
  <c r="B3204" i="10" s="1"/>
  <c r="B3205" i="10" s="1"/>
  <c r="B3206" i="10" s="1"/>
  <c r="B3207" i="10" s="1"/>
  <c r="B3208" i="10" s="1"/>
  <c r="B3209" i="10" s="1"/>
  <c r="B3210" i="10" s="1"/>
  <c r="B3211" i="10" s="1"/>
  <c r="B3212" i="10" s="1"/>
  <c r="B3213" i="10" s="1"/>
  <c r="B3214" i="10" s="1"/>
  <c r="B3215" i="10" s="1"/>
  <c r="B3216" i="10" s="1"/>
  <c r="B3217" i="10" s="1"/>
  <c r="B3218" i="10" s="1"/>
  <c r="B3219" i="10" s="1"/>
  <c r="B3220" i="10" s="1"/>
  <c r="B3221" i="10" s="1"/>
  <c r="B3222" i="10" s="1"/>
  <c r="B3223" i="10" s="1"/>
  <c r="B3224" i="10" s="1"/>
  <c r="B3225" i="10" s="1"/>
  <c r="B3226" i="10" s="1"/>
  <c r="B3227" i="10" s="1"/>
  <c r="B3228" i="10" s="1"/>
  <c r="B3229" i="10" s="1"/>
  <c r="B3230" i="10" s="1"/>
  <c r="E3194" i="10"/>
  <c r="F3194" i="10" s="1"/>
  <c r="E3176" i="10"/>
  <c r="F3176" i="10" s="1"/>
  <c r="I3176" i="10" s="1"/>
  <c r="E3175" i="10"/>
  <c r="F3175" i="10" s="1"/>
  <c r="I3175" i="10" s="1"/>
  <c r="E3174" i="10"/>
  <c r="F3174" i="10" s="1"/>
  <c r="I3174" i="10" s="1"/>
  <c r="E3173" i="10"/>
  <c r="F3173" i="10" s="1"/>
  <c r="I3173" i="10" s="1"/>
  <c r="E3172" i="10"/>
  <c r="F3172" i="10" s="1"/>
  <c r="I3172" i="10" s="1"/>
  <c r="E3171" i="10"/>
  <c r="F3171" i="10" s="1"/>
  <c r="I3171" i="10" s="1"/>
  <c r="E3170" i="10"/>
  <c r="F3170" i="10" s="1"/>
  <c r="I3170" i="10" s="1"/>
  <c r="E3169" i="10"/>
  <c r="F3169" i="10" s="1"/>
  <c r="I3169" i="10" s="1"/>
  <c r="E3168" i="10"/>
  <c r="F3168" i="10" s="1"/>
  <c r="I3168" i="10" s="1"/>
  <c r="E3167" i="10"/>
  <c r="F3167" i="10" s="1"/>
  <c r="I3167" i="10" s="1"/>
  <c r="E3166" i="10"/>
  <c r="F3166" i="10" s="1"/>
  <c r="I3166" i="10" s="1"/>
  <c r="E3165" i="10"/>
  <c r="F3165" i="10" s="1"/>
  <c r="I3165" i="10" s="1"/>
  <c r="E3164" i="10"/>
  <c r="F3164" i="10" s="1"/>
  <c r="I3164" i="10" s="1"/>
  <c r="E3163" i="10"/>
  <c r="F3163" i="10" s="1"/>
  <c r="I3163" i="10" s="1"/>
  <c r="E3162" i="10"/>
  <c r="F3162" i="10" s="1"/>
  <c r="I3162" i="10" s="1"/>
  <c r="E3161" i="10"/>
  <c r="F3161" i="10" s="1"/>
  <c r="I3161" i="10" s="1"/>
  <c r="E3160" i="10"/>
  <c r="F3160" i="10" s="1"/>
  <c r="I3160" i="10" s="1"/>
  <c r="E3159" i="10"/>
  <c r="F3159" i="10" s="1"/>
  <c r="I3159" i="10" s="1"/>
  <c r="E3158" i="10"/>
  <c r="F3158" i="10" s="1"/>
  <c r="I3158" i="10" s="1"/>
  <c r="E3157" i="10"/>
  <c r="F3157" i="10" s="1"/>
  <c r="I3157" i="10" s="1"/>
  <c r="B3157" i="10"/>
  <c r="B3158" i="10" s="1"/>
  <c r="B3159" i="10" s="1"/>
  <c r="B3160" i="10" s="1"/>
  <c r="B3161" i="10" s="1"/>
  <c r="B3162" i="10" s="1"/>
  <c r="B3163" i="10" s="1"/>
  <c r="B3164" i="10" s="1"/>
  <c r="B3165" i="10" s="1"/>
  <c r="B3166" i="10" s="1"/>
  <c r="B3167" i="10" s="1"/>
  <c r="B3168" i="10" s="1"/>
  <c r="B3169" i="10" s="1"/>
  <c r="B3170" i="10" s="1"/>
  <c r="B3171" i="10" s="1"/>
  <c r="B3172" i="10" s="1"/>
  <c r="B3173" i="10" s="1"/>
  <c r="B3174" i="10" s="1"/>
  <c r="B3175" i="10" s="1"/>
  <c r="B3176" i="10" s="1"/>
  <c r="B3177" i="10" s="1"/>
  <c r="B3178" i="10" s="1"/>
  <c r="B3179" i="10" s="1"/>
  <c r="B3180" i="10" s="1"/>
  <c r="B3181" i="10" s="1"/>
  <c r="B3182" i="10" s="1"/>
  <c r="B3183" i="10" s="1"/>
  <c r="B3184" i="10" s="1"/>
  <c r="B3185" i="10" s="1"/>
  <c r="B3186" i="10" s="1"/>
  <c r="B3187" i="10" s="1"/>
  <c r="B3188" i="10" s="1"/>
  <c r="B3189" i="10" s="1"/>
  <c r="B3190" i="10" s="1"/>
  <c r="B3191" i="10" s="1"/>
  <c r="B3192" i="10" s="1"/>
  <c r="E3156" i="10"/>
  <c r="F3156" i="10" s="1"/>
  <c r="I3156" i="10" s="1"/>
  <c r="E3138" i="10"/>
  <c r="F3138" i="10" s="1"/>
  <c r="E3137" i="10"/>
  <c r="F3137" i="10" s="1"/>
  <c r="E3136" i="10"/>
  <c r="F3136" i="10" s="1"/>
  <c r="E3135" i="10"/>
  <c r="F3135" i="10" s="1"/>
  <c r="E3134" i="10"/>
  <c r="F3134" i="10" s="1"/>
  <c r="E3133" i="10"/>
  <c r="F3133" i="10" s="1"/>
  <c r="E3132" i="10"/>
  <c r="F3132" i="10" s="1"/>
  <c r="E3131" i="10"/>
  <c r="F3131" i="10" s="1"/>
  <c r="E3130" i="10"/>
  <c r="F3130" i="10" s="1"/>
  <c r="E3129" i="10"/>
  <c r="F3129" i="10" s="1"/>
  <c r="E3128" i="10"/>
  <c r="F3128" i="10" s="1"/>
  <c r="E3127" i="10"/>
  <c r="F3127" i="10" s="1"/>
  <c r="E3126" i="10"/>
  <c r="F3126" i="10" s="1"/>
  <c r="E3125" i="10"/>
  <c r="F3125" i="10" s="1"/>
  <c r="E3124" i="10"/>
  <c r="F3124" i="10" s="1"/>
  <c r="E3123" i="10"/>
  <c r="F3123" i="10" s="1"/>
  <c r="E3122" i="10"/>
  <c r="F3122" i="10" s="1"/>
  <c r="E3121" i="10"/>
  <c r="F3121" i="10" s="1"/>
  <c r="E3120" i="10"/>
  <c r="F3120" i="10" s="1"/>
  <c r="E3119" i="10"/>
  <c r="F3119" i="10" s="1"/>
  <c r="B3119" i="10"/>
  <c r="B3120" i="10" s="1"/>
  <c r="B3121" i="10" s="1"/>
  <c r="B3122" i="10" s="1"/>
  <c r="B3123" i="10" s="1"/>
  <c r="B3124" i="10" s="1"/>
  <c r="B3125" i="10" s="1"/>
  <c r="B3126" i="10" s="1"/>
  <c r="B3127" i="10" s="1"/>
  <c r="B3128" i="10" s="1"/>
  <c r="B3129" i="10" s="1"/>
  <c r="B3130" i="10" s="1"/>
  <c r="B3131" i="10" s="1"/>
  <c r="B3132" i="10" s="1"/>
  <c r="B3133" i="10" s="1"/>
  <c r="B3134" i="10" s="1"/>
  <c r="B3135" i="10" s="1"/>
  <c r="B3136" i="10" s="1"/>
  <c r="B3137" i="10" s="1"/>
  <c r="B3138" i="10" s="1"/>
  <c r="B3139" i="10" s="1"/>
  <c r="B3140" i="10" s="1"/>
  <c r="B3141" i="10" s="1"/>
  <c r="B3142" i="10" s="1"/>
  <c r="B3143" i="10" s="1"/>
  <c r="B3144" i="10" s="1"/>
  <c r="B3145" i="10" s="1"/>
  <c r="B3146" i="10" s="1"/>
  <c r="B3147" i="10" s="1"/>
  <c r="B3148" i="10" s="1"/>
  <c r="B3149" i="10" s="1"/>
  <c r="B3150" i="10" s="1"/>
  <c r="B3151" i="10" s="1"/>
  <c r="B3152" i="10" s="1"/>
  <c r="B3153" i="10" s="1"/>
  <c r="B3154" i="10" s="1"/>
  <c r="E3118" i="10"/>
  <c r="F3118" i="10" s="1"/>
  <c r="E3100" i="10"/>
  <c r="F3100" i="10" s="1"/>
  <c r="E3099" i="10"/>
  <c r="F3099" i="10" s="1"/>
  <c r="E3098" i="10"/>
  <c r="F3098" i="10" s="1"/>
  <c r="E3097" i="10"/>
  <c r="F3097" i="10" s="1"/>
  <c r="E3096" i="10"/>
  <c r="F3096" i="10" s="1"/>
  <c r="E3095" i="10"/>
  <c r="F3095" i="10" s="1"/>
  <c r="E3094" i="10"/>
  <c r="F3094" i="10" s="1"/>
  <c r="E3093" i="10"/>
  <c r="F3093" i="10" s="1"/>
  <c r="E3092" i="10"/>
  <c r="F3092" i="10" s="1"/>
  <c r="E3091" i="10"/>
  <c r="F3091" i="10" s="1"/>
  <c r="E3090" i="10"/>
  <c r="F3090" i="10" s="1"/>
  <c r="E3089" i="10"/>
  <c r="F3089" i="10" s="1"/>
  <c r="E3088" i="10"/>
  <c r="F3088" i="10" s="1"/>
  <c r="E3087" i="10"/>
  <c r="F3087" i="10" s="1"/>
  <c r="E3086" i="10"/>
  <c r="F3086" i="10" s="1"/>
  <c r="E3085" i="10"/>
  <c r="F3085" i="10" s="1"/>
  <c r="E3084" i="10"/>
  <c r="F3084" i="10" s="1"/>
  <c r="E3083" i="10"/>
  <c r="F3083" i="10" s="1"/>
  <c r="E3082" i="10"/>
  <c r="F3082" i="10" s="1"/>
  <c r="E3081" i="10"/>
  <c r="F3081" i="10" s="1"/>
  <c r="B3081" i="10"/>
  <c r="B3082" i="10" s="1"/>
  <c r="B3083" i="10" s="1"/>
  <c r="B3084" i="10" s="1"/>
  <c r="B3085" i="10" s="1"/>
  <c r="B3086" i="10" s="1"/>
  <c r="B3087" i="10" s="1"/>
  <c r="B3088" i="10" s="1"/>
  <c r="B3089" i="10" s="1"/>
  <c r="B3090" i="10" s="1"/>
  <c r="B3091" i="10" s="1"/>
  <c r="B3092" i="10" s="1"/>
  <c r="B3093" i="10" s="1"/>
  <c r="B3094" i="10" s="1"/>
  <c r="B3095" i="10" s="1"/>
  <c r="B3096" i="10" s="1"/>
  <c r="B3097" i="10" s="1"/>
  <c r="B3098" i="10" s="1"/>
  <c r="B3099" i="10" s="1"/>
  <c r="B3100" i="10" s="1"/>
  <c r="B3101" i="10" s="1"/>
  <c r="B3102" i="10" s="1"/>
  <c r="B3103" i="10" s="1"/>
  <c r="B3104" i="10" s="1"/>
  <c r="B3105" i="10" s="1"/>
  <c r="B3106" i="10" s="1"/>
  <c r="B3107" i="10" s="1"/>
  <c r="B3108" i="10" s="1"/>
  <c r="B3109" i="10" s="1"/>
  <c r="B3110" i="10" s="1"/>
  <c r="B3111" i="10" s="1"/>
  <c r="B3112" i="10" s="1"/>
  <c r="B3113" i="10" s="1"/>
  <c r="B3114" i="10" s="1"/>
  <c r="B3115" i="10" s="1"/>
  <c r="B3116" i="10" s="1"/>
  <c r="E3080" i="10"/>
  <c r="F3080" i="10" s="1"/>
  <c r="E3062" i="10"/>
  <c r="F3062" i="10" s="1"/>
  <c r="E3061" i="10"/>
  <c r="F3061" i="10" s="1"/>
  <c r="E3060" i="10"/>
  <c r="F3060" i="10" s="1"/>
  <c r="E3059" i="10"/>
  <c r="F3059" i="10" s="1"/>
  <c r="E3058" i="10"/>
  <c r="F3058" i="10" s="1"/>
  <c r="E3057" i="10"/>
  <c r="F3057" i="10" s="1"/>
  <c r="E3056" i="10"/>
  <c r="F3056" i="10" s="1"/>
  <c r="E3055" i="10"/>
  <c r="F3055" i="10" s="1"/>
  <c r="E3054" i="10"/>
  <c r="F3054" i="10" s="1"/>
  <c r="E3053" i="10"/>
  <c r="F3053" i="10" s="1"/>
  <c r="E3052" i="10"/>
  <c r="F3052" i="10" s="1"/>
  <c r="E3051" i="10"/>
  <c r="F3051" i="10" s="1"/>
  <c r="E3050" i="10"/>
  <c r="F3050" i="10" s="1"/>
  <c r="E3049" i="10"/>
  <c r="F3049" i="10" s="1"/>
  <c r="E3048" i="10"/>
  <c r="F3048" i="10" s="1"/>
  <c r="E3047" i="10"/>
  <c r="F3047" i="10" s="1"/>
  <c r="E3046" i="10"/>
  <c r="F3046" i="10" s="1"/>
  <c r="E3045" i="10"/>
  <c r="F3045" i="10" s="1"/>
  <c r="E3044" i="10"/>
  <c r="F3044" i="10" s="1"/>
  <c r="E3043" i="10"/>
  <c r="F3043" i="10" s="1"/>
  <c r="B3043" i="10"/>
  <c r="B3044" i="10" s="1"/>
  <c r="B3045" i="10" s="1"/>
  <c r="B3046" i="10" s="1"/>
  <c r="B3047" i="10" s="1"/>
  <c r="B3048" i="10" s="1"/>
  <c r="B3049" i="10" s="1"/>
  <c r="B3050" i="10" s="1"/>
  <c r="B3051" i="10" s="1"/>
  <c r="B3052" i="10" s="1"/>
  <c r="B3053" i="10" s="1"/>
  <c r="B3054" i="10" s="1"/>
  <c r="B3055" i="10" s="1"/>
  <c r="B3056" i="10" s="1"/>
  <c r="B3057" i="10" s="1"/>
  <c r="B3058" i="10" s="1"/>
  <c r="B3059" i="10" s="1"/>
  <c r="B3060" i="10" s="1"/>
  <c r="B3061" i="10" s="1"/>
  <c r="B3062" i="10" s="1"/>
  <c r="B3063" i="10" s="1"/>
  <c r="B3064" i="10" s="1"/>
  <c r="B3065" i="10" s="1"/>
  <c r="B3066" i="10" s="1"/>
  <c r="B3067" i="10" s="1"/>
  <c r="B3068" i="10" s="1"/>
  <c r="B3069" i="10" s="1"/>
  <c r="B3070" i="10" s="1"/>
  <c r="B3071" i="10" s="1"/>
  <c r="B3072" i="10" s="1"/>
  <c r="B3073" i="10" s="1"/>
  <c r="B3074" i="10" s="1"/>
  <c r="B3075" i="10" s="1"/>
  <c r="B3076" i="10" s="1"/>
  <c r="B3077" i="10" s="1"/>
  <c r="B3078" i="10" s="1"/>
  <c r="E3042" i="10"/>
  <c r="F3042" i="10" s="1"/>
  <c r="E3024" i="10"/>
  <c r="F3024" i="10" s="1"/>
  <c r="I3024" i="10" s="1"/>
  <c r="E3023" i="10"/>
  <c r="F3023" i="10" s="1"/>
  <c r="I3023" i="10" s="1"/>
  <c r="E3022" i="10"/>
  <c r="F3022" i="10" s="1"/>
  <c r="I3022" i="10" s="1"/>
  <c r="E3021" i="10"/>
  <c r="F3021" i="10" s="1"/>
  <c r="I3021" i="10" s="1"/>
  <c r="E3020" i="10"/>
  <c r="F3020" i="10" s="1"/>
  <c r="I3020" i="10" s="1"/>
  <c r="E3019" i="10"/>
  <c r="F3019" i="10" s="1"/>
  <c r="I3019" i="10" s="1"/>
  <c r="E3018" i="10"/>
  <c r="F3018" i="10" s="1"/>
  <c r="I3018" i="10" s="1"/>
  <c r="E3017" i="10"/>
  <c r="F3017" i="10" s="1"/>
  <c r="I3017" i="10" s="1"/>
  <c r="E3016" i="10"/>
  <c r="F3016" i="10" s="1"/>
  <c r="I3016" i="10" s="1"/>
  <c r="E3015" i="10"/>
  <c r="F3015" i="10" s="1"/>
  <c r="I3015" i="10" s="1"/>
  <c r="E3014" i="10"/>
  <c r="F3014" i="10" s="1"/>
  <c r="I3014" i="10" s="1"/>
  <c r="E3013" i="10"/>
  <c r="F3013" i="10" s="1"/>
  <c r="I3013" i="10" s="1"/>
  <c r="E3012" i="10"/>
  <c r="F3012" i="10" s="1"/>
  <c r="I3012" i="10" s="1"/>
  <c r="E3011" i="10"/>
  <c r="F3011" i="10" s="1"/>
  <c r="I3011" i="10" s="1"/>
  <c r="E3010" i="10"/>
  <c r="F3010" i="10" s="1"/>
  <c r="I3010" i="10" s="1"/>
  <c r="E3009" i="10"/>
  <c r="F3009" i="10" s="1"/>
  <c r="I3009" i="10" s="1"/>
  <c r="E3008" i="10"/>
  <c r="F3008" i="10" s="1"/>
  <c r="I3008" i="10" s="1"/>
  <c r="E3007" i="10"/>
  <c r="F3007" i="10" s="1"/>
  <c r="I3007" i="10" s="1"/>
  <c r="E3006" i="10"/>
  <c r="F3006" i="10" s="1"/>
  <c r="I3006" i="10" s="1"/>
  <c r="E3005" i="10"/>
  <c r="F3005" i="10" s="1"/>
  <c r="I3005" i="10" s="1"/>
  <c r="B3005" i="10"/>
  <c r="B3006" i="10" s="1"/>
  <c r="B3007" i="10" s="1"/>
  <c r="B3008" i="10" s="1"/>
  <c r="B3009" i="10" s="1"/>
  <c r="B3010" i="10" s="1"/>
  <c r="B3011" i="10" s="1"/>
  <c r="B3012" i="10" s="1"/>
  <c r="B3013" i="10" s="1"/>
  <c r="B3014" i="10" s="1"/>
  <c r="B3015" i="10" s="1"/>
  <c r="B3016" i="10" s="1"/>
  <c r="B3017" i="10" s="1"/>
  <c r="B3018" i="10" s="1"/>
  <c r="B3019" i="10" s="1"/>
  <c r="B3020" i="10" s="1"/>
  <c r="B3021" i="10" s="1"/>
  <c r="B3022" i="10" s="1"/>
  <c r="B3023" i="10" s="1"/>
  <c r="B3024" i="10" s="1"/>
  <c r="B3025" i="10" s="1"/>
  <c r="B3026" i="10" s="1"/>
  <c r="B3027" i="10" s="1"/>
  <c r="B3028" i="10" s="1"/>
  <c r="B3029" i="10" s="1"/>
  <c r="B3030" i="10" s="1"/>
  <c r="B3031" i="10" s="1"/>
  <c r="B3032" i="10" s="1"/>
  <c r="B3033" i="10" s="1"/>
  <c r="B3034" i="10" s="1"/>
  <c r="B3035" i="10" s="1"/>
  <c r="B3036" i="10" s="1"/>
  <c r="B3037" i="10" s="1"/>
  <c r="B3038" i="10" s="1"/>
  <c r="B3039" i="10" s="1"/>
  <c r="B3040" i="10" s="1"/>
  <c r="E3004" i="10"/>
  <c r="F3004" i="10" s="1"/>
  <c r="I3004" i="10" s="1"/>
  <c r="E2986" i="10"/>
  <c r="F2986" i="10" s="1"/>
  <c r="I2986" i="10" s="1"/>
  <c r="E2985" i="10"/>
  <c r="F2985" i="10" s="1"/>
  <c r="I2985" i="10" s="1"/>
  <c r="E2984" i="10"/>
  <c r="F2984" i="10" s="1"/>
  <c r="I2984" i="10" s="1"/>
  <c r="E2983" i="10"/>
  <c r="F2983" i="10" s="1"/>
  <c r="I2983" i="10" s="1"/>
  <c r="E2982" i="10"/>
  <c r="F2982" i="10" s="1"/>
  <c r="I2982" i="10" s="1"/>
  <c r="E2981" i="10"/>
  <c r="F2981" i="10" s="1"/>
  <c r="I2981" i="10" s="1"/>
  <c r="E2980" i="10"/>
  <c r="F2980" i="10" s="1"/>
  <c r="I2980" i="10" s="1"/>
  <c r="E2979" i="10"/>
  <c r="F2979" i="10" s="1"/>
  <c r="I2979" i="10" s="1"/>
  <c r="E2978" i="10"/>
  <c r="F2978" i="10" s="1"/>
  <c r="I2978" i="10" s="1"/>
  <c r="E2977" i="10"/>
  <c r="F2977" i="10" s="1"/>
  <c r="I2977" i="10" s="1"/>
  <c r="E2976" i="10"/>
  <c r="F2976" i="10" s="1"/>
  <c r="I2976" i="10" s="1"/>
  <c r="E2975" i="10"/>
  <c r="F2975" i="10" s="1"/>
  <c r="I2975" i="10" s="1"/>
  <c r="E2974" i="10"/>
  <c r="F2974" i="10" s="1"/>
  <c r="I2974" i="10" s="1"/>
  <c r="E2973" i="10"/>
  <c r="F2973" i="10" s="1"/>
  <c r="I2973" i="10" s="1"/>
  <c r="E2972" i="10"/>
  <c r="F2972" i="10" s="1"/>
  <c r="I2972" i="10" s="1"/>
  <c r="E2971" i="10"/>
  <c r="F2971" i="10" s="1"/>
  <c r="I2971" i="10" s="1"/>
  <c r="E2970" i="10"/>
  <c r="F2970" i="10" s="1"/>
  <c r="I2970" i="10" s="1"/>
  <c r="E2969" i="10"/>
  <c r="F2969" i="10" s="1"/>
  <c r="I2969" i="10" s="1"/>
  <c r="E2968" i="10"/>
  <c r="F2968" i="10" s="1"/>
  <c r="I2968" i="10" s="1"/>
  <c r="E2967" i="10"/>
  <c r="F2967" i="10" s="1"/>
  <c r="I2967" i="10" s="1"/>
  <c r="B2967" i="10"/>
  <c r="B2968" i="10" s="1"/>
  <c r="B2969" i="10" s="1"/>
  <c r="B2970" i="10" s="1"/>
  <c r="B2971" i="10" s="1"/>
  <c r="B2972" i="10" s="1"/>
  <c r="B2973" i="10" s="1"/>
  <c r="B2974" i="10" s="1"/>
  <c r="B2975" i="10" s="1"/>
  <c r="B2976" i="10" s="1"/>
  <c r="B2977" i="10" s="1"/>
  <c r="B2978" i="10" s="1"/>
  <c r="B2979" i="10" s="1"/>
  <c r="B2980" i="10" s="1"/>
  <c r="B2981" i="10" s="1"/>
  <c r="B2982" i="10" s="1"/>
  <c r="B2983" i="10" s="1"/>
  <c r="B2984" i="10" s="1"/>
  <c r="B2985" i="10" s="1"/>
  <c r="B2986" i="10" s="1"/>
  <c r="B2987" i="10" s="1"/>
  <c r="B2988" i="10" s="1"/>
  <c r="B2989" i="10" s="1"/>
  <c r="B2990" i="10" s="1"/>
  <c r="B2991" i="10" s="1"/>
  <c r="B2992" i="10" s="1"/>
  <c r="B2993" i="10" s="1"/>
  <c r="B2994" i="10" s="1"/>
  <c r="B2995" i="10" s="1"/>
  <c r="B2996" i="10" s="1"/>
  <c r="B2997" i="10" s="1"/>
  <c r="B2998" i="10" s="1"/>
  <c r="B2999" i="10" s="1"/>
  <c r="B3000" i="10" s="1"/>
  <c r="B3001" i="10" s="1"/>
  <c r="B3002" i="10" s="1"/>
  <c r="E2966" i="10"/>
  <c r="F2966" i="10" s="1"/>
  <c r="I2966" i="10" s="1"/>
  <c r="E2948" i="10"/>
  <c r="F2948" i="10" s="1"/>
  <c r="I2948" i="10" s="1"/>
  <c r="E2947" i="10"/>
  <c r="F2947" i="10" s="1"/>
  <c r="I2947" i="10" s="1"/>
  <c r="E2946" i="10"/>
  <c r="F2946" i="10" s="1"/>
  <c r="I2946" i="10" s="1"/>
  <c r="E2945" i="10"/>
  <c r="F2945" i="10" s="1"/>
  <c r="I2945" i="10" s="1"/>
  <c r="E2944" i="10"/>
  <c r="F2944" i="10" s="1"/>
  <c r="I2944" i="10" s="1"/>
  <c r="E2943" i="10"/>
  <c r="F2943" i="10" s="1"/>
  <c r="I2943" i="10" s="1"/>
  <c r="E2942" i="10"/>
  <c r="F2942" i="10" s="1"/>
  <c r="I2942" i="10" s="1"/>
  <c r="E2941" i="10"/>
  <c r="F2941" i="10" s="1"/>
  <c r="I2941" i="10" s="1"/>
  <c r="E2940" i="10"/>
  <c r="F2940" i="10" s="1"/>
  <c r="I2940" i="10" s="1"/>
  <c r="E2939" i="10"/>
  <c r="F2939" i="10" s="1"/>
  <c r="I2939" i="10" s="1"/>
  <c r="E2938" i="10"/>
  <c r="F2938" i="10" s="1"/>
  <c r="I2938" i="10" s="1"/>
  <c r="E2937" i="10"/>
  <c r="F2937" i="10" s="1"/>
  <c r="I2937" i="10" s="1"/>
  <c r="E2936" i="10"/>
  <c r="F2936" i="10" s="1"/>
  <c r="I2936" i="10" s="1"/>
  <c r="E2935" i="10"/>
  <c r="F2935" i="10" s="1"/>
  <c r="I2935" i="10" s="1"/>
  <c r="E2934" i="10"/>
  <c r="F2934" i="10" s="1"/>
  <c r="I2934" i="10" s="1"/>
  <c r="E2933" i="10"/>
  <c r="F2933" i="10" s="1"/>
  <c r="I2933" i="10" s="1"/>
  <c r="E2932" i="10"/>
  <c r="F2932" i="10" s="1"/>
  <c r="I2932" i="10" s="1"/>
  <c r="E2931" i="10"/>
  <c r="F2931" i="10" s="1"/>
  <c r="I2931" i="10" s="1"/>
  <c r="E2930" i="10"/>
  <c r="F2930" i="10" s="1"/>
  <c r="I2930" i="10" s="1"/>
  <c r="E2929" i="10"/>
  <c r="F2929" i="10" s="1"/>
  <c r="I2929" i="10" s="1"/>
  <c r="B2929" i="10"/>
  <c r="B2930" i="10" s="1"/>
  <c r="B2931" i="10" s="1"/>
  <c r="B2932" i="10" s="1"/>
  <c r="B2933" i="10" s="1"/>
  <c r="B2934" i="10" s="1"/>
  <c r="B2935" i="10" s="1"/>
  <c r="B2936" i="10" s="1"/>
  <c r="B2937" i="10" s="1"/>
  <c r="B2938" i="10" s="1"/>
  <c r="B2939" i="10" s="1"/>
  <c r="B2940" i="10" s="1"/>
  <c r="B2941" i="10" s="1"/>
  <c r="B2942" i="10" s="1"/>
  <c r="B2943" i="10" s="1"/>
  <c r="B2944" i="10" s="1"/>
  <c r="B2945" i="10" s="1"/>
  <c r="B2946" i="10" s="1"/>
  <c r="B2947" i="10" s="1"/>
  <c r="B2948" i="10" s="1"/>
  <c r="B2949" i="10" s="1"/>
  <c r="B2950" i="10" s="1"/>
  <c r="B2951" i="10" s="1"/>
  <c r="B2952" i="10" s="1"/>
  <c r="B2953" i="10" s="1"/>
  <c r="B2954" i="10" s="1"/>
  <c r="B2955" i="10" s="1"/>
  <c r="B2956" i="10" s="1"/>
  <c r="B2957" i="10" s="1"/>
  <c r="B2958" i="10" s="1"/>
  <c r="B2959" i="10" s="1"/>
  <c r="B2960" i="10" s="1"/>
  <c r="B2961" i="10" s="1"/>
  <c r="B2962" i="10" s="1"/>
  <c r="B2963" i="10" s="1"/>
  <c r="B2964" i="10" s="1"/>
  <c r="E2928" i="10"/>
  <c r="F2928" i="10" s="1"/>
  <c r="I2928" i="10" s="1"/>
  <c r="E2910" i="10"/>
  <c r="F2910" i="10" s="1"/>
  <c r="I2910" i="10" s="1"/>
  <c r="E2909" i="10"/>
  <c r="F2909" i="10" s="1"/>
  <c r="I2909" i="10" s="1"/>
  <c r="E2908" i="10"/>
  <c r="F2908" i="10" s="1"/>
  <c r="I2908" i="10" s="1"/>
  <c r="E2907" i="10"/>
  <c r="F2907" i="10" s="1"/>
  <c r="I2907" i="10" s="1"/>
  <c r="E2906" i="10"/>
  <c r="F2906" i="10" s="1"/>
  <c r="I2906" i="10" s="1"/>
  <c r="E2905" i="10"/>
  <c r="F2905" i="10" s="1"/>
  <c r="I2905" i="10" s="1"/>
  <c r="E2904" i="10"/>
  <c r="F2904" i="10" s="1"/>
  <c r="I2904" i="10" s="1"/>
  <c r="E2903" i="10"/>
  <c r="F2903" i="10" s="1"/>
  <c r="I2903" i="10" s="1"/>
  <c r="E2902" i="10"/>
  <c r="F2902" i="10" s="1"/>
  <c r="I2902" i="10" s="1"/>
  <c r="E2901" i="10"/>
  <c r="F2901" i="10" s="1"/>
  <c r="I2901" i="10" s="1"/>
  <c r="E2900" i="10"/>
  <c r="F2900" i="10" s="1"/>
  <c r="I2900" i="10" s="1"/>
  <c r="E2899" i="10"/>
  <c r="F2899" i="10" s="1"/>
  <c r="I2899" i="10" s="1"/>
  <c r="E2898" i="10"/>
  <c r="F2898" i="10" s="1"/>
  <c r="I2898" i="10" s="1"/>
  <c r="E2897" i="10"/>
  <c r="F2897" i="10" s="1"/>
  <c r="I2897" i="10" s="1"/>
  <c r="E2896" i="10"/>
  <c r="F2896" i="10" s="1"/>
  <c r="I2896" i="10" s="1"/>
  <c r="E2895" i="10"/>
  <c r="F2895" i="10" s="1"/>
  <c r="I2895" i="10" s="1"/>
  <c r="E2894" i="10"/>
  <c r="F2894" i="10" s="1"/>
  <c r="I2894" i="10" s="1"/>
  <c r="E2893" i="10"/>
  <c r="F2893" i="10" s="1"/>
  <c r="I2893" i="10" s="1"/>
  <c r="E2892" i="10"/>
  <c r="F2892" i="10" s="1"/>
  <c r="I2892" i="10" s="1"/>
  <c r="E2891" i="10"/>
  <c r="F2891" i="10" s="1"/>
  <c r="I2891" i="10" s="1"/>
  <c r="B2891" i="10"/>
  <c r="B2892" i="10" s="1"/>
  <c r="B2893" i="10" s="1"/>
  <c r="B2894" i="10" s="1"/>
  <c r="B2895" i="10" s="1"/>
  <c r="B2896" i="10" s="1"/>
  <c r="B2897" i="10" s="1"/>
  <c r="B2898" i="10" s="1"/>
  <c r="B2899" i="10" s="1"/>
  <c r="B2900" i="10" s="1"/>
  <c r="B2901" i="10" s="1"/>
  <c r="B2902" i="10" s="1"/>
  <c r="B2903" i="10" s="1"/>
  <c r="B2904" i="10" s="1"/>
  <c r="B2905" i="10" s="1"/>
  <c r="B2906" i="10" s="1"/>
  <c r="B2907" i="10" s="1"/>
  <c r="B2908" i="10" s="1"/>
  <c r="B2909" i="10" s="1"/>
  <c r="B2910" i="10" s="1"/>
  <c r="B2911" i="10" s="1"/>
  <c r="B2912" i="10" s="1"/>
  <c r="B2913" i="10" s="1"/>
  <c r="B2914" i="10" s="1"/>
  <c r="B2915" i="10" s="1"/>
  <c r="B2916" i="10" s="1"/>
  <c r="B2917" i="10" s="1"/>
  <c r="B2918" i="10" s="1"/>
  <c r="B2919" i="10" s="1"/>
  <c r="B2920" i="10" s="1"/>
  <c r="B2921" i="10" s="1"/>
  <c r="B2922" i="10" s="1"/>
  <c r="B2923" i="10" s="1"/>
  <c r="B2924" i="10" s="1"/>
  <c r="B2925" i="10" s="1"/>
  <c r="B2926" i="10" s="1"/>
  <c r="E2890" i="10"/>
  <c r="F2890" i="10" s="1"/>
  <c r="I2890" i="10" s="1"/>
  <c r="E2872" i="10"/>
  <c r="F2872" i="10" s="1"/>
  <c r="E2871" i="10"/>
  <c r="F2871" i="10" s="1"/>
  <c r="E2870" i="10"/>
  <c r="F2870" i="10" s="1"/>
  <c r="E2869" i="10"/>
  <c r="F2869" i="10" s="1"/>
  <c r="E2868" i="10"/>
  <c r="F2868" i="10" s="1"/>
  <c r="E2867" i="10"/>
  <c r="F2867" i="10" s="1"/>
  <c r="E2866" i="10"/>
  <c r="F2866" i="10" s="1"/>
  <c r="E2865" i="10"/>
  <c r="F2865" i="10" s="1"/>
  <c r="E2864" i="10"/>
  <c r="F2864" i="10" s="1"/>
  <c r="E2863" i="10"/>
  <c r="F2863" i="10" s="1"/>
  <c r="E2862" i="10"/>
  <c r="F2862" i="10" s="1"/>
  <c r="E2861" i="10"/>
  <c r="F2861" i="10" s="1"/>
  <c r="E2860" i="10"/>
  <c r="F2860" i="10" s="1"/>
  <c r="E2859" i="10"/>
  <c r="F2859" i="10" s="1"/>
  <c r="E2858" i="10"/>
  <c r="F2858" i="10" s="1"/>
  <c r="E2857" i="10"/>
  <c r="F2857" i="10" s="1"/>
  <c r="E2856" i="10"/>
  <c r="F2856" i="10" s="1"/>
  <c r="E2855" i="10"/>
  <c r="F2855" i="10" s="1"/>
  <c r="E2854" i="10"/>
  <c r="F2854" i="10" s="1"/>
  <c r="E2853" i="10"/>
  <c r="F2853" i="10" s="1"/>
  <c r="B2853" i="10"/>
  <c r="B2854" i="10" s="1"/>
  <c r="B2855" i="10" s="1"/>
  <c r="B2856" i="10" s="1"/>
  <c r="B2857" i="10" s="1"/>
  <c r="B2858" i="10" s="1"/>
  <c r="B2859" i="10" s="1"/>
  <c r="B2860" i="10" s="1"/>
  <c r="B2861" i="10" s="1"/>
  <c r="B2862" i="10" s="1"/>
  <c r="B2863" i="10" s="1"/>
  <c r="B2864" i="10" s="1"/>
  <c r="B2865" i="10" s="1"/>
  <c r="B2866" i="10" s="1"/>
  <c r="B2867" i="10" s="1"/>
  <c r="B2868" i="10" s="1"/>
  <c r="B2869" i="10" s="1"/>
  <c r="B2870" i="10" s="1"/>
  <c r="B2871" i="10" s="1"/>
  <c r="B2872" i="10" s="1"/>
  <c r="B2873" i="10" s="1"/>
  <c r="B2874" i="10" s="1"/>
  <c r="B2875" i="10" s="1"/>
  <c r="B2876" i="10" s="1"/>
  <c r="B2877" i="10" s="1"/>
  <c r="B2878" i="10" s="1"/>
  <c r="B2879" i="10" s="1"/>
  <c r="B2880" i="10" s="1"/>
  <c r="B2881" i="10" s="1"/>
  <c r="B2882" i="10" s="1"/>
  <c r="B2883" i="10" s="1"/>
  <c r="B2884" i="10" s="1"/>
  <c r="B2885" i="10" s="1"/>
  <c r="B2886" i="10" s="1"/>
  <c r="B2887" i="10" s="1"/>
  <c r="B2888" i="10" s="1"/>
  <c r="E2852" i="10"/>
  <c r="F2852" i="10" s="1"/>
  <c r="E2834" i="10"/>
  <c r="F2834" i="10" s="1"/>
  <c r="E2833" i="10"/>
  <c r="F2833" i="10" s="1"/>
  <c r="E2832" i="10"/>
  <c r="F2832" i="10" s="1"/>
  <c r="E2831" i="10"/>
  <c r="F2831" i="10" s="1"/>
  <c r="E2830" i="10"/>
  <c r="F2830" i="10" s="1"/>
  <c r="E2829" i="10"/>
  <c r="F2829" i="10" s="1"/>
  <c r="E2828" i="10"/>
  <c r="F2828" i="10" s="1"/>
  <c r="E2827" i="10"/>
  <c r="F2827" i="10" s="1"/>
  <c r="E2826" i="10"/>
  <c r="F2826" i="10" s="1"/>
  <c r="E2825" i="10"/>
  <c r="F2825" i="10" s="1"/>
  <c r="E2824" i="10"/>
  <c r="F2824" i="10" s="1"/>
  <c r="E2823" i="10"/>
  <c r="F2823" i="10" s="1"/>
  <c r="E2822" i="10"/>
  <c r="F2822" i="10" s="1"/>
  <c r="E2821" i="10"/>
  <c r="F2821" i="10" s="1"/>
  <c r="E2820" i="10"/>
  <c r="F2820" i="10" s="1"/>
  <c r="E2819" i="10"/>
  <c r="F2819" i="10" s="1"/>
  <c r="E2818" i="10"/>
  <c r="F2818" i="10" s="1"/>
  <c r="E2817" i="10"/>
  <c r="F2817" i="10" s="1"/>
  <c r="E2816" i="10"/>
  <c r="F2816" i="10" s="1"/>
  <c r="E2815" i="10"/>
  <c r="F2815" i="10" s="1"/>
  <c r="B2815" i="10"/>
  <c r="B2816" i="10" s="1"/>
  <c r="B2817" i="10" s="1"/>
  <c r="B2818" i="10" s="1"/>
  <c r="B2819" i="10" s="1"/>
  <c r="B2820" i="10" s="1"/>
  <c r="B2821" i="10" s="1"/>
  <c r="B2822" i="10" s="1"/>
  <c r="B2823" i="10" s="1"/>
  <c r="B2824" i="10" s="1"/>
  <c r="B2825" i="10" s="1"/>
  <c r="B2826" i="10" s="1"/>
  <c r="B2827" i="10" s="1"/>
  <c r="B2828" i="10" s="1"/>
  <c r="B2829" i="10" s="1"/>
  <c r="B2830" i="10" s="1"/>
  <c r="B2831" i="10" s="1"/>
  <c r="B2832" i="10" s="1"/>
  <c r="B2833" i="10" s="1"/>
  <c r="B2834" i="10" s="1"/>
  <c r="B2835" i="10" s="1"/>
  <c r="B2836" i="10" s="1"/>
  <c r="B2837" i="10" s="1"/>
  <c r="B2838" i="10" s="1"/>
  <c r="B2839" i="10" s="1"/>
  <c r="B2840" i="10" s="1"/>
  <c r="B2841" i="10" s="1"/>
  <c r="B2842" i="10" s="1"/>
  <c r="B2843" i="10" s="1"/>
  <c r="B2844" i="10" s="1"/>
  <c r="B2845" i="10" s="1"/>
  <c r="B2846" i="10" s="1"/>
  <c r="B2847" i="10" s="1"/>
  <c r="B2848" i="10" s="1"/>
  <c r="B2849" i="10" s="1"/>
  <c r="B2850" i="10" s="1"/>
  <c r="E2814" i="10"/>
  <c r="F2814" i="10" s="1"/>
  <c r="E2796" i="10"/>
  <c r="F2796" i="10" s="1"/>
  <c r="E2795" i="10"/>
  <c r="F2795" i="10" s="1"/>
  <c r="E2794" i="10"/>
  <c r="F2794" i="10" s="1"/>
  <c r="E2793" i="10"/>
  <c r="F2793" i="10" s="1"/>
  <c r="E2792" i="10"/>
  <c r="F2792" i="10" s="1"/>
  <c r="E2791" i="10"/>
  <c r="F2791" i="10" s="1"/>
  <c r="E2790" i="10"/>
  <c r="F2790" i="10" s="1"/>
  <c r="E2789" i="10"/>
  <c r="F2789" i="10" s="1"/>
  <c r="E2788" i="10"/>
  <c r="F2788" i="10" s="1"/>
  <c r="E2787" i="10"/>
  <c r="F2787" i="10" s="1"/>
  <c r="E2786" i="10"/>
  <c r="F2786" i="10" s="1"/>
  <c r="E2785" i="10"/>
  <c r="F2785" i="10" s="1"/>
  <c r="E2784" i="10"/>
  <c r="F2784" i="10" s="1"/>
  <c r="E2783" i="10"/>
  <c r="F2783" i="10" s="1"/>
  <c r="E2782" i="10"/>
  <c r="F2782" i="10" s="1"/>
  <c r="E2781" i="10"/>
  <c r="F2781" i="10" s="1"/>
  <c r="E2780" i="10"/>
  <c r="F2780" i="10" s="1"/>
  <c r="E2779" i="10"/>
  <c r="F2779" i="10" s="1"/>
  <c r="E2778" i="10"/>
  <c r="F2778" i="10" s="1"/>
  <c r="E2777" i="10"/>
  <c r="F2777" i="10" s="1"/>
  <c r="B2777" i="10"/>
  <c r="B2778" i="10" s="1"/>
  <c r="B2779" i="10" s="1"/>
  <c r="B2780" i="10" s="1"/>
  <c r="B2781" i="10" s="1"/>
  <c r="B2782" i="10" s="1"/>
  <c r="B2783" i="10" s="1"/>
  <c r="B2784" i="10" s="1"/>
  <c r="B2785" i="10" s="1"/>
  <c r="B2786" i="10" s="1"/>
  <c r="B2787" i="10" s="1"/>
  <c r="B2788" i="10" s="1"/>
  <c r="B2789" i="10" s="1"/>
  <c r="B2790" i="10" s="1"/>
  <c r="B2791" i="10" s="1"/>
  <c r="B2792" i="10" s="1"/>
  <c r="B2793" i="10" s="1"/>
  <c r="B2794" i="10" s="1"/>
  <c r="B2795" i="10" s="1"/>
  <c r="B2796" i="10" s="1"/>
  <c r="B2797" i="10" s="1"/>
  <c r="B2798" i="10" s="1"/>
  <c r="B2799" i="10" s="1"/>
  <c r="B2800" i="10" s="1"/>
  <c r="B2801" i="10" s="1"/>
  <c r="B2802" i="10" s="1"/>
  <c r="B2803" i="10" s="1"/>
  <c r="B2804" i="10" s="1"/>
  <c r="B2805" i="10" s="1"/>
  <c r="B2806" i="10" s="1"/>
  <c r="B2807" i="10" s="1"/>
  <c r="B2808" i="10" s="1"/>
  <c r="B2809" i="10" s="1"/>
  <c r="B2810" i="10" s="1"/>
  <c r="B2811" i="10" s="1"/>
  <c r="B2812" i="10" s="1"/>
  <c r="E2776" i="10"/>
  <c r="F2776" i="10" s="1"/>
  <c r="E2758" i="10"/>
  <c r="F2758" i="10" s="1"/>
  <c r="I2758" i="10" s="1"/>
  <c r="E2757" i="10"/>
  <c r="F2757" i="10" s="1"/>
  <c r="I2757" i="10" s="1"/>
  <c r="E2756" i="10"/>
  <c r="F2756" i="10" s="1"/>
  <c r="I2756" i="10" s="1"/>
  <c r="E2755" i="10"/>
  <c r="F2755" i="10" s="1"/>
  <c r="I2755" i="10" s="1"/>
  <c r="E2754" i="10"/>
  <c r="F2754" i="10" s="1"/>
  <c r="I2754" i="10" s="1"/>
  <c r="E2753" i="10"/>
  <c r="F2753" i="10" s="1"/>
  <c r="I2753" i="10" s="1"/>
  <c r="E2752" i="10"/>
  <c r="F2752" i="10" s="1"/>
  <c r="I2752" i="10" s="1"/>
  <c r="E2751" i="10"/>
  <c r="F2751" i="10" s="1"/>
  <c r="I2751" i="10" s="1"/>
  <c r="E2750" i="10"/>
  <c r="F2750" i="10" s="1"/>
  <c r="I2750" i="10" s="1"/>
  <c r="E2749" i="10"/>
  <c r="F2749" i="10" s="1"/>
  <c r="I2749" i="10" s="1"/>
  <c r="E2748" i="10"/>
  <c r="F2748" i="10" s="1"/>
  <c r="I2748" i="10" s="1"/>
  <c r="E2747" i="10"/>
  <c r="F2747" i="10" s="1"/>
  <c r="I2747" i="10" s="1"/>
  <c r="E2746" i="10"/>
  <c r="F2746" i="10" s="1"/>
  <c r="I2746" i="10" s="1"/>
  <c r="E2745" i="10"/>
  <c r="F2745" i="10" s="1"/>
  <c r="I2745" i="10" s="1"/>
  <c r="E2744" i="10"/>
  <c r="F2744" i="10" s="1"/>
  <c r="I2744" i="10" s="1"/>
  <c r="E2743" i="10"/>
  <c r="F2743" i="10" s="1"/>
  <c r="I2743" i="10" s="1"/>
  <c r="E2742" i="10"/>
  <c r="F2742" i="10" s="1"/>
  <c r="I2742" i="10" s="1"/>
  <c r="E2741" i="10"/>
  <c r="F2741" i="10" s="1"/>
  <c r="I2741" i="10" s="1"/>
  <c r="E2740" i="10"/>
  <c r="F2740" i="10" s="1"/>
  <c r="I2740" i="10" s="1"/>
  <c r="E2739" i="10"/>
  <c r="F2739" i="10" s="1"/>
  <c r="I2739" i="10" s="1"/>
  <c r="B2739" i="10"/>
  <c r="B2740" i="10" s="1"/>
  <c r="B2741" i="10" s="1"/>
  <c r="B2742" i="10" s="1"/>
  <c r="B2743" i="10" s="1"/>
  <c r="B2744" i="10" s="1"/>
  <c r="B2745" i="10" s="1"/>
  <c r="B2746" i="10" s="1"/>
  <c r="B2747" i="10" s="1"/>
  <c r="B2748" i="10" s="1"/>
  <c r="B2749" i="10" s="1"/>
  <c r="B2750" i="10" s="1"/>
  <c r="B2751" i="10" s="1"/>
  <c r="B2752" i="10" s="1"/>
  <c r="B2753" i="10" s="1"/>
  <c r="B2754" i="10" s="1"/>
  <c r="B2755" i="10" s="1"/>
  <c r="B2756" i="10" s="1"/>
  <c r="B2757" i="10" s="1"/>
  <c r="B2758" i="10" s="1"/>
  <c r="B2759" i="10" s="1"/>
  <c r="B2760" i="10" s="1"/>
  <c r="B2761" i="10" s="1"/>
  <c r="B2762" i="10" s="1"/>
  <c r="B2763" i="10" s="1"/>
  <c r="B2764" i="10" s="1"/>
  <c r="B2765" i="10" s="1"/>
  <c r="B2766" i="10" s="1"/>
  <c r="B2767" i="10" s="1"/>
  <c r="B2768" i="10" s="1"/>
  <c r="B2769" i="10" s="1"/>
  <c r="B2770" i="10" s="1"/>
  <c r="B2771" i="10" s="1"/>
  <c r="B2772" i="10" s="1"/>
  <c r="B2773" i="10" s="1"/>
  <c r="B2774" i="10" s="1"/>
  <c r="E2738" i="10"/>
  <c r="F2738" i="10" s="1"/>
  <c r="I2738" i="10" s="1"/>
  <c r="E2720" i="10"/>
  <c r="F2720" i="10" s="1"/>
  <c r="E2719" i="10"/>
  <c r="F2719" i="10" s="1"/>
  <c r="E2718" i="10"/>
  <c r="F2718" i="10" s="1"/>
  <c r="E2717" i="10"/>
  <c r="F2717" i="10" s="1"/>
  <c r="E2716" i="10"/>
  <c r="F2716" i="10" s="1"/>
  <c r="E2715" i="10"/>
  <c r="F2715" i="10" s="1"/>
  <c r="E2714" i="10"/>
  <c r="F2714" i="10" s="1"/>
  <c r="E2713" i="10"/>
  <c r="F2713" i="10" s="1"/>
  <c r="E2712" i="10"/>
  <c r="F2712" i="10" s="1"/>
  <c r="E2711" i="10"/>
  <c r="F2711" i="10" s="1"/>
  <c r="E2710" i="10"/>
  <c r="F2710" i="10" s="1"/>
  <c r="E2709" i="10"/>
  <c r="F2709" i="10" s="1"/>
  <c r="E2708" i="10"/>
  <c r="F2708" i="10" s="1"/>
  <c r="E2707" i="10"/>
  <c r="F2707" i="10" s="1"/>
  <c r="E2706" i="10"/>
  <c r="F2706" i="10" s="1"/>
  <c r="E2705" i="10"/>
  <c r="F2705" i="10" s="1"/>
  <c r="E2704" i="10"/>
  <c r="F2704" i="10" s="1"/>
  <c r="E2703" i="10"/>
  <c r="F2703" i="10" s="1"/>
  <c r="E2702" i="10"/>
  <c r="F2702" i="10" s="1"/>
  <c r="E2701" i="10"/>
  <c r="F2701" i="10" s="1"/>
  <c r="B2701" i="10"/>
  <c r="B2702" i="10" s="1"/>
  <c r="B2703" i="10" s="1"/>
  <c r="B2704" i="10" s="1"/>
  <c r="B2705" i="10" s="1"/>
  <c r="B2706" i="10" s="1"/>
  <c r="B2707" i="10" s="1"/>
  <c r="B2708" i="10" s="1"/>
  <c r="B2709" i="10" s="1"/>
  <c r="B2710" i="10" s="1"/>
  <c r="B2711" i="10" s="1"/>
  <c r="B2712" i="10" s="1"/>
  <c r="B2713" i="10" s="1"/>
  <c r="B2714" i="10" s="1"/>
  <c r="B2715" i="10" s="1"/>
  <c r="B2716" i="10" s="1"/>
  <c r="B2717" i="10" s="1"/>
  <c r="B2718" i="10" s="1"/>
  <c r="B2719" i="10" s="1"/>
  <c r="B2720" i="10" s="1"/>
  <c r="B2721" i="10" s="1"/>
  <c r="B2722" i="10" s="1"/>
  <c r="B2723" i="10" s="1"/>
  <c r="B2724" i="10" s="1"/>
  <c r="B2725" i="10" s="1"/>
  <c r="B2726" i="10" s="1"/>
  <c r="B2727" i="10" s="1"/>
  <c r="B2728" i="10" s="1"/>
  <c r="B2729" i="10" s="1"/>
  <c r="B2730" i="10" s="1"/>
  <c r="B2731" i="10" s="1"/>
  <c r="B2732" i="10" s="1"/>
  <c r="B2733" i="10" s="1"/>
  <c r="B2734" i="10" s="1"/>
  <c r="B2735" i="10" s="1"/>
  <c r="B2736" i="10" s="1"/>
  <c r="E2700" i="10"/>
  <c r="F2700" i="10" s="1"/>
  <c r="E2682" i="10"/>
  <c r="F2682" i="10" s="1"/>
  <c r="E2681" i="10"/>
  <c r="F2681" i="10" s="1"/>
  <c r="E2680" i="10"/>
  <c r="F2680" i="10" s="1"/>
  <c r="E2679" i="10"/>
  <c r="F2679" i="10" s="1"/>
  <c r="E2678" i="10"/>
  <c r="F2678" i="10" s="1"/>
  <c r="E2677" i="10"/>
  <c r="F2677" i="10" s="1"/>
  <c r="E2676" i="10"/>
  <c r="F2676" i="10" s="1"/>
  <c r="E2675" i="10"/>
  <c r="F2675" i="10" s="1"/>
  <c r="E2674" i="10"/>
  <c r="F2674" i="10" s="1"/>
  <c r="E2673" i="10"/>
  <c r="F2673" i="10" s="1"/>
  <c r="E2672" i="10"/>
  <c r="F2672" i="10" s="1"/>
  <c r="E2671" i="10"/>
  <c r="F2671" i="10" s="1"/>
  <c r="E2670" i="10"/>
  <c r="F2670" i="10" s="1"/>
  <c r="E2669" i="10"/>
  <c r="F2669" i="10" s="1"/>
  <c r="E2668" i="10"/>
  <c r="F2668" i="10" s="1"/>
  <c r="E2667" i="10"/>
  <c r="F2667" i="10" s="1"/>
  <c r="E2666" i="10"/>
  <c r="F2666" i="10" s="1"/>
  <c r="E2665" i="10"/>
  <c r="F2665" i="10" s="1"/>
  <c r="E2664" i="10"/>
  <c r="F2664" i="10" s="1"/>
  <c r="E2663" i="10"/>
  <c r="F2663" i="10" s="1"/>
  <c r="B2663" i="10"/>
  <c r="B2664" i="10" s="1"/>
  <c r="B2665" i="10" s="1"/>
  <c r="B2666" i="10" s="1"/>
  <c r="B2667" i="10" s="1"/>
  <c r="B2668" i="10" s="1"/>
  <c r="B2669" i="10" s="1"/>
  <c r="B2670" i="10" s="1"/>
  <c r="B2671" i="10" s="1"/>
  <c r="B2672" i="10" s="1"/>
  <c r="B2673" i="10" s="1"/>
  <c r="B2674" i="10" s="1"/>
  <c r="B2675" i="10" s="1"/>
  <c r="B2676" i="10" s="1"/>
  <c r="B2677" i="10" s="1"/>
  <c r="B2678" i="10" s="1"/>
  <c r="B2679" i="10" s="1"/>
  <c r="B2680" i="10" s="1"/>
  <c r="B2681" i="10" s="1"/>
  <c r="B2682" i="10" s="1"/>
  <c r="B2683" i="10" s="1"/>
  <c r="B2684" i="10" s="1"/>
  <c r="B2685" i="10" s="1"/>
  <c r="B2686" i="10" s="1"/>
  <c r="B2687" i="10" s="1"/>
  <c r="B2688" i="10" s="1"/>
  <c r="B2689" i="10" s="1"/>
  <c r="B2690" i="10" s="1"/>
  <c r="B2691" i="10" s="1"/>
  <c r="B2692" i="10" s="1"/>
  <c r="B2693" i="10" s="1"/>
  <c r="B2694" i="10" s="1"/>
  <c r="B2695" i="10" s="1"/>
  <c r="B2696" i="10" s="1"/>
  <c r="B2697" i="10" s="1"/>
  <c r="B2698" i="10" s="1"/>
  <c r="E2662" i="10"/>
  <c r="F2662" i="10" s="1"/>
  <c r="E2644" i="10"/>
  <c r="F2644" i="10" s="1"/>
  <c r="E2643" i="10"/>
  <c r="F2643" i="10" s="1"/>
  <c r="E2642" i="10"/>
  <c r="F2642" i="10" s="1"/>
  <c r="E2641" i="10"/>
  <c r="F2641" i="10" s="1"/>
  <c r="E2640" i="10"/>
  <c r="F2640" i="10" s="1"/>
  <c r="E2639" i="10"/>
  <c r="F2639" i="10" s="1"/>
  <c r="E2638" i="10"/>
  <c r="F2638" i="10" s="1"/>
  <c r="E2637" i="10"/>
  <c r="F2637" i="10" s="1"/>
  <c r="E2636" i="10"/>
  <c r="F2636" i="10" s="1"/>
  <c r="E2635" i="10"/>
  <c r="F2635" i="10" s="1"/>
  <c r="E2634" i="10"/>
  <c r="F2634" i="10" s="1"/>
  <c r="E2633" i="10"/>
  <c r="F2633" i="10" s="1"/>
  <c r="E2632" i="10"/>
  <c r="F2632" i="10" s="1"/>
  <c r="E2631" i="10"/>
  <c r="F2631" i="10" s="1"/>
  <c r="E2630" i="10"/>
  <c r="F2630" i="10" s="1"/>
  <c r="E2629" i="10"/>
  <c r="F2629" i="10" s="1"/>
  <c r="E2628" i="10"/>
  <c r="F2628" i="10" s="1"/>
  <c r="E2627" i="10"/>
  <c r="F2627" i="10" s="1"/>
  <c r="E2626" i="10"/>
  <c r="F2626" i="10" s="1"/>
  <c r="E2625" i="10"/>
  <c r="F2625" i="10" s="1"/>
  <c r="B2625" i="10"/>
  <c r="B2626" i="10" s="1"/>
  <c r="B2627" i="10" s="1"/>
  <c r="B2628" i="10" s="1"/>
  <c r="B2629" i="10" s="1"/>
  <c r="B2630" i="10" s="1"/>
  <c r="B2631" i="10" s="1"/>
  <c r="B2632" i="10" s="1"/>
  <c r="B2633" i="10" s="1"/>
  <c r="B2634" i="10" s="1"/>
  <c r="B2635" i="10" s="1"/>
  <c r="B2636" i="10" s="1"/>
  <c r="B2637" i="10" s="1"/>
  <c r="B2638" i="10" s="1"/>
  <c r="B2639" i="10" s="1"/>
  <c r="B2640" i="10" s="1"/>
  <c r="B2641" i="10" s="1"/>
  <c r="B2642" i="10" s="1"/>
  <c r="B2643" i="10" s="1"/>
  <c r="B2644" i="10" s="1"/>
  <c r="B2645" i="10" s="1"/>
  <c r="B2646" i="10" s="1"/>
  <c r="B2647" i="10" s="1"/>
  <c r="B2648" i="10" s="1"/>
  <c r="B2649" i="10" s="1"/>
  <c r="B2650" i="10" s="1"/>
  <c r="B2651" i="10" s="1"/>
  <c r="B2652" i="10" s="1"/>
  <c r="B2653" i="10" s="1"/>
  <c r="B2654" i="10" s="1"/>
  <c r="B2655" i="10" s="1"/>
  <c r="B2656" i="10" s="1"/>
  <c r="B2657" i="10" s="1"/>
  <c r="B2658" i="10" s="1"/>
  <c r="B2659" i="10" s="1"/>
  <c r="B2660" i="10" s="1"/>
  <c r="E2624" i="10"/>
  <c r="F2624" i="10" s="1"/>
  <c r="E2606" i="10"/>
  <c r="F2606" i="10" s="1"/>
  <c r="I2606" i="10" s="1"/>
  <c r="E2605" i="10"/>
  <c r="F2605" i="10" s="1"/>
  <c r="I2605" i="10" s="1"/>
  <c r="E2604" i="10"/>
  <c r="F2604" i="10" s="1"/>
  <c r="I2604" i="10" s="1"/>
  <c r="E2603" i="10"/>
  <c r="F2603" i="10" s="1"/>
  <c r="I2603" i="10" s="1"/>
  <c r="E2602" i="10"/>
  <c r="F2602" i="10" s="1"/>
  <c r="I2602" i="10" s="1"/>
  <c r="E2601" i="10"/>
  <c r="F2601" i="10" s="1"/>
  <c r="I2601" i="10" s="1"/>
  <c r="E2600" i="10"/>
  <c r="F2600" i="10" s="1"/>
  <c r="I2600" i="10" s="1"/>
  <c r="E2599" i="10"/>
  <c r="F2599" i="10" s="1"/>
  <c r="I2599" i="10" s="1"/>
  <c r="E2598" i="10"/>
  <c r="F2598" i="10" s="1"/>
  <c r="I2598" i="10" s="1"/>
  <c r="E2597" i="10"/>
  <c r="F2597" i="10" s="1"/>
  <c r="I2597" i="10" s="1"/>
  <c r="E2596" i="10"/>
  <c r="F2596" i="10" s="1"/>
  <c r="I2596" i="10" s="1"/>
  <c r="E2595" i="10"/>
  <c r="F2595" i="10" s="1"/>
  <c r="I2595" i="10" s="1"/>
  <c r="E2594" i="10"/>
  <c r="F2594" i="10" s="1"/>
  <c r="I2594" i="10" s="1"/>
  <c r="E2593" i="10"/>
  <c r="F2593" i="10" s="1"/>
  <c r="I2593" i="10" s="1"/>
  <c r="E2592" i="10"/>
  <c r="F2592" i="10" s="1"/>
  <c r="I2592" i="10" s="1"/>
  <c r="E2591" i="10"/>
  <c r="F2591" i="10" s="1"/>
  <c r="I2591" i="10" s="1"/>
  <c r="E2590" i="10"/>
  <c r="F2590" i="10" s="1"/>
  <c r="I2590" i="10" s="1"/>
  <c r="E2589" i="10"/>
  <c r="F2589" i="10" s="1"/>
  <c r="I2589" i="10" s="1"/>
  <c r="E2588" i="10"/>
  <c r="F2588" i="10" s="1"/>
  <c r="I2588" i="10" s="1"/>
  <c r="E2587" i="10"/>
  <c r="F2587" i="10" s="1"/>
  <c r="I2587" i="10" s="1"/>
  <c r="B2587" i="10"/>
  <c r="B2588" i="10" s="1"/>
  <c r="B2589" i="10" s="1"/>
  <c r="B2590" i="10" s="1"/>
  <c r="B2591" i="10" s="1"/>
  <c r="B2592" i="10" s="1"/>
  <c r="B2593" i="10" s="1"/>
  <c r="B2594" i="10" s="1"/>
  <c r="B2595" i="10" s="1"/>
  <c r="B2596" i="10" s="1"/>
  <c r="B2597" i="10" s="1"/>
  <c r="B2598" i="10" s="1"/>
  <c r="B2599" i="10" s="1"/>
  <c r="B2600" i="10" s="1"/>
  <c r="B2601" i="10" s="1"/>
  <c r="B2602" i="10" s="1"/>
  <c r="B2603" i="10" s="1"/>
  <c r="B2604" i="10" s="1"/>
  <c r="B2605" i="10" s="1"/>
  <c r="B2606" i="10" s="1"/>
  <c r="B2607" i="10" s="1"/>
  <c r="B2608" i="10" s="1"/>
  <c r="B2609" i="10" s="1"/>
  <c r="B2610" i="10" s="1"/>
  <c r="B2611" i="10" s="1"/>
  <c r="B2612" i="10" s="1"/>
  <c r="B2613" i="10" s="1"/>
  <c r="B2614" i="10" s="1"/>
  <c r="B2615" i="10" s="1"/>
  <c r="B2616" i="10" s="1"/>
  <c r="B2617" i="10" s="1"/>
  <c r="B2618" i="10" s="1"/>
  <c r="B2619" i="10" s="1"/>
  <c r="B2620" i="10" s="1"/>
  <c r="B2621" i="10" s="1"/>
  <c r="B2622" i="10" s="1"/>
  <c r="E2586" i="10"/>
  <c r="F2586" i="10" s="1"/>
  <c r="I2586" i="10" s="1"/>
  <c r="E2568" i="10"/>
  <c r="F2568" i="10" s="1"/>
  <c r="I2568" i="10" s="1"/>
  <c r="E2567" i="10"/>
  <c r="F2567" i="10" s="1"/>
  <c r="I2567" i="10" s="1"/>
  <c r="E2566" i="10"/>
  <c r="F2566" i="10" s="1"/>
  <c r="I2566" i="10" s="1"/>
  <c r="E2565" i="10"/>
  <c r="F2565" i="10" s="1"/>
  <c r="I2565" i="10" s="1"/>
  <c r="E2564" i="10"/>
  <c r="F2564" i="10" s="1"/>
  <c r="I2564" i="10" s="1"/>
  <c r="E2563" i="10"/>
  <c r="F2563" i="10" s="1"/>
  <c r="I2563" i="10" s="1"/>
  <c r="E2562" i="10"/>
  <c r="F2562" i="10" s="1"/>
  <c r="I2562" i="10" s="1"/>
  <c r="E2561" i="10"/>
  <c r="F2561" i="10" s="1"/>
  <c r="I2561" i="10" s="1"/>
  <c r="E2560" i="10"/>
  <c r="F2560" i="10" s="1"/>
  <c r="I2560" i="10" s="1"/>
  <c r="E2559" i="10"/>
  <c r="F2559" i="10" s="1"/>
  <c r="I2559" i="10" s="1"/>
  <c r="E2558" i="10"/>
  <c r="F2558" i="10" s="1"/>
  <c r="I2558" i="10" s="1"/>
  <c r="E2557" i="10"/>
  <c r="F2557" i="10" s="1"/>
  <c r="I2557" i="10" s="1"/>
  <c r="E2556" i="10"/>
  <c r="F2556" i="10" s="1"/>
  <c r="I2556" i="10" s="1"/>
  <c r="E2555" i="10"/>
  <c r="F2555" i="10" s="1"/>
  <c r="I2555" i="10" s="1"/>
  <c r="E2554" i="10"/>
  <c r="F2554" i="10" s="1"/>
  <c r="I2554" i="10" s="1"/>
  <c r="E2553" i="10"/>
  <c r="F2553" i="10" s="1"/>
  <c r="I2553" i="10" s="1"/>
  <c r="E2552" i="10"/>
  <c r="F2552" i="10" s="1"/>
  <c r="I2552" i="10" s="1"/>
  <c r="E2551" i="10"/>
  <c r="F2551" i="10" s="1"/>
  <c r="I2551" i="10" s="1"/>
  <c r="E2550" i="10"/>
  <c r="F2550" i="10" s="1"/>
  <c r="I2550" i="10" s="1"/>
  <c r="E2549" i="10"/>
  <c r="F2549" i="10" s="1"/>
  <c r="I2549" i="10" s="1"/>
  <c r="B2549" i="10"/>
  <c r="B2550" i="10" s="1"/>
  <c r="B2551" i="10" s="1"/>
  <c r="B2552" i="10" s="1"/>
  <c r="B2553" i="10" s="1"/>
  <c r="B2554" i="10" s="1"/>
  <c r="B2555" i="10" s="1"/>
  <c r="B2556" i="10" s="1"/>
  <c r="B2557" i="10" s="1"/>
  <c r="B2558" i="10" s="1"/>
  <c r="B2559" i="10" s="1"/>
  <c r="B2560" i="10" s="1"/>
  <c r="B2561" i="10" s="1"/>
  <c r="B2562" i="10" s="1"/>
  <c r="B2563" i="10" s="1"/>
  <c r="B2564" i="10" s="1"/>
  <c r="B2565" i="10" s="1"/>
  <c r="B2566" i="10" s="1"/>
  <c r="B2567" i="10" s="1"/>
  <c r="B2568" i="10" s="1"/>
  <c r="B2569" i="10" s="1"/>
  <c r="B2570" i="10" s="1"/>
  <c r="B2571" i="10" s="1"/>
  <c r="B2572" i="10" s="1"/>
  <c r="B2573" i="10" s="1"/>
  <c r="B2574" i="10" s="1"/>
  <c r="B2575" i="10" s="1"/>
  <c r="B2576" i="10" s="1"/>
  <c r="B2577" i="10" s="1"/>
  <c r="B2578" i="10" s="1"/>
  <c r="B2579" i="10" s="1"/>
  <c r="B2580" i="10" s="1"/>
  <c r="B2581" i="10" s="1"/>
  <c r="B2582" i="10" s="1"/>
  <c r="B2583" i="10" s="1"/>
  <c r="B2584" i="10" s="1"/>
  <c r="E2548" i="10"/>
  <c r="F2548" i="10" s="1"/>
  <c r="I2548" i="10" s="1"/>
  <c r="E2530" i="10"/>
  <c r="F2530" i="10" s="1"/>
  <c r="I2530" i="10" s="1"/>
  <c r="E2529" i="10"/>
  <c r="F2529" i="10" s="1"/>
  <c r="I2529" i="10" s="1"/>
  <c r="E2528" i="10"/>
  <c r="F2528" i="10" s="1"/>
  <c r="I2528" i="10" s="1"/>
  <c r="E2527" i="10"/>
  <c r="F2527" i="10" s="1"/>
  <c r="I2527" i="10" s="1"/>
  <c r="E2526" i="10"/>
  <c r="F2526" i="10" s="1"/>
  <c r="I2526" i="10" s="1"/>
  <c r="E2525" i="10"/>
  <c r="F2525" i="10" s="1"/>
  <c r="I2525" i="10" s="1"/>
  <c r="E2524" i="10"/>
  <c r="F2524" i="10" s="1"/>
  <c r="I2524" i="10" s="1"/>
  <c r="E2523" i="10"/>
  <c r="F2523" i="10" s="1"/>
  <c r="I2523" i="10" s="1"/>
  <c r="E2522" i="10"/>
  <c r="F2522" i="10" s="1"/>
  <c r="I2522" i="10" s="1"/>
  <c r="E2521" i="10"/>
  <c r="F2521" i="10" s="1"/>
  <c r="I2521" i="10" s="1"/>
  <c r="E2520" i="10"/>
  <c r="F2520" i="10" s="1"/>
  <c r="I2520" i="10" s="1"/>
  <c r="E2519" i="10"/>
  <c r="F2519" i="10" s="1"/>
  <c r="I2519" i="10" s="1"/>
  <c r="E2518" i="10"/>
  <c r="F2518" i="10" s="1"/>
  <c r="I2518" i="10" s="1"/>
  <c r="E2517" i="10"/>
  <c r="F2517" i="10" s="1"/>
  <c r="I2517" i="10" s="1"/>
  <c r="E2516" i="10"/>
  <c r="F2516" i="10" s="1"/>
  <c r="I2516" i="10" s="1"/>
  <c r="E2515" i="10"/>
  <c r="F2515" i="10" s="1"/>
  <c r="I2515" i="10" s="1"/>
  <c r="E2514" i="10"/>
  <c r="F2514" i="10" s="1"/>
  <c r="I2514" i="10" s="1"/>
  <c r="E2513" i="10"/>
  <c r="F2513" i="10" s="1"/>
  <c r="I2513" i="10" s="1"/>
  <c r="E2512" i="10"/>
  <c r="F2512" i="10" s="1"/>
  <c r="I2512" i="10" s="1"/>
  <c r="E2511" i="10"/>
  <c r="F2511" i="10" s="1"/>
  <c r="I2511" i="10" s="1"/>
  <c r="B2511" i="10"/>
  <c r="B2512" i="10" s="1"/>
  <c r="B2513" i="10" s="1"/>
  <c r="B2514" i="10" s="1"/>
  <c r="B2515" i="10" s="1"/>
  <c r="B2516" i="10" s="1"/>
  <c r="B2517" i="10" s="1"/>
  <c r="B2518" i="10" s="1"/>
  <c r="B2519" i="10" s="1"/>
  <c r="B2520" i="10" s="1"/>
  <c r="B2521" i="10" s="1"/>
  <c r="B2522" i="10" s="1"/>
  <c r="B2523" i="10" s="1"/>
  <c r="B2524" i="10" s="1"/>
  <c r="B2525" i="10" s="1"/>
  <c r="B2526" i="10" s="1"/>
  <c r="B2527" i="10" s="1"/>
  <c r="B2528" i="10" s="1"/>
  <c r="B2529" i="10" s="1"/>
  <c r="B2530" i="10" s="1"/>
  <c r="B2531" i="10" s="1"/>
  <c r="B2532" i="10" s="1"/>
  <c r="B2533" i="10" s="1"/>
  <c r="B2534" i="10" s="1"/>
  <c r="B2535" i="10" s="1"/>
  <c r="B2536" i="10" s="1"/>
  <c r="B2537" i="10" s="1"/>
  <c r="B2538" i="10" s="1"/>
  <c r="B2539" i="10" s="1"/>
  <c r="B2540" i="10" s="1"/>
  <c r="B2541" i="10" s="1"/>
  <c r="B2542" i="10" s="1"/>
  <c r="B2543" i="10" s="1"/>
  <c r="B2544" i="10" s="1"/>
  <c r="B2545" i="10" s="1"/>
  <c r="B2546" i="10" s="1"/>
  <c r="E2510" i="10"/>
  <c r="F2510" i="10" s="1"/>
  <c r="I2510" i="10" s="1"/>
  <c r="E2492" i="10"/>
  <c r="F2492" i="10" s="1"/>
  <c r="I2492" i="10" s="1"/>
  <c r="E2491" i="10"/>
  <c r="F2491" i="10" s="1"/>
  <c r="I2491" i="10" s="1"/>
  <c r="E2490" i="10"/>
  <c r="F2490" i="10" s="1"/>
  <c r="I2490" i="10" s="1"/>
  <c r="E2489" i="10"/>
  <c r="F2489" i="10" s="1"/>
  <c r="I2489" i="10" s="1"/>
  <c r="E2488" i="10"/>
  <c r="F2488" i="10" s="1"/>
  <c r="I2488" i="10" s="1"/>
  <c r="E2487" i="10"/>
  <c r="F2487" i="10" s="1"/>
  <c r="I2487" i="10" s="1"/>
  <c r="E2486" i="10"/>
  <c r="F2486" i="10" s="1"/>
  <c r="I2486" i="10" s="1"/>
  <c r="E2485" i="10"/>
  <c r="F2485" i="10" s="1"/>
  <c r="I2485" i="10" s="1"/>
  <c r="E2484" i="10"/>
  <c r="F2484" i="10" s="1"/>
  <c r="I2484" i="10" s="1"/>
  <c r="E2483" i="10"/>
  <c r="F2483" i="10" s="1"/>
  <c r="I2483" i="10" s="1"/>
  <c r="E2482" i="10"/>
  <c r="F2482" i="10" s="1"/>
  <c r="I2482" i="10" s="1"/>
  <c r="E2481" i="10"/>
  <c r="F2481" i="10" s="1"/>
  <c r="I2481" i="10" s="1"/>
  <c r="E2480" i="10"/>
  <c r="F2480" i="10" s="1"/>
  <c r="I2480" i="10" s="1"/>
  <c r="E2479" i="10"/>
  <c r="F2479" i="10" s="1"/>
  <c r="I2479" i="10" s="1"/>
  <c r="E2478" i="10"/>
  <c r="F2478" i="10" s="1"/>
  <c r="I2478" i="10" s="1"/>
  <c r="E2477" i="10"/>
  <c r="F2477" i="10" s="1"/>
  <c r="I2477" i="10" s="1"/>
  <c r="E2476" i="10"/>
  <c r="F2476" i="10" s="1"/>
  <c r="I2476" i="10" s="1"/>
  <c r="E2475" i="10"/>
  <c r="F2475" i="10" s="1"/>
  <c r="I2475" i="10" s="1"/>
  <c r="E2474" i="10"/>
  <c r="F2474" i="10" s="1"/>
  <c r="I2474" i="10" s="1"/>
  <c r="E2473" i="10"/>
  <c r="F2473" i="10" s="1"/>
  <c r="I2473" i="10" s="1"/>
  <c r="B2473" i="10"/>
  <c r="B2474" i="10" s="1"/>
  <c r="B2475" i="10" s="1"/>
  <c r="B2476" i="10" s="1"/>
  <c r="B2477" i="10" s="1"/>
  <c r="B2478" i="10" s="1"/>
  <c r="B2479" i="10" s="1"/>
  <c r="B2480" i="10" s="1"/>
  <c r="B2481" i="10" s="1"/>
  <c r="B2482" i="10" s="1"/>
  <c r="B2483" i="10" s="1"/>
  <c r="B2484" i="10" s="1"/>
  <c r="B2485" i="10" s="1"/>
  <c r="B2486" i="10" s="1"/>
  <c r="B2487" i="10" s="1"/>
  <c r="B2488" i="10" s="1"/>
  <c r="B2489" i="10" s="1"/>
  <c r="B2490" i="10" s="1"/>
  <c r="B2491" i="10" s="1"/>
  <c r="B2492" i="10" s="1"/>
  <c r="B2493" i="10" s="1"/>
  <c r="B2494" i="10" s="1"/>
  <c r="B2495" i="10" s="1"/>
  <c r="B2496" i="10" s="1"/>
  <c r="B2497" i="10" s="1"/>
  <c r="B2498" i="10" s="1"/>
  <c r="B2499" i="10" s="1"/>
  <c r="B2500" i="10" s="1"/>
  <c r="B2501" i="10" s="1"/>
  <c r="B2502" i="10" s="1"/>
  <c r="B2503" i="10" s="1"/>
  <c r="B2504" i="10" s="1"/>
  <c r="B2505" i="10" s="1"/>
  <c r="B2506" i="10" s="1"/>
  <c r="B2507" i="10" s="1"/>
  <c r="B2508" i="10" s="1"/>
  <c r="E2472" i="10"/>
  <c r="F2472" i="10" s="1"/>
  <c r="I2472" i="10" s="1"/>
  <c r="E2340" i="10"/>
  <c r="F2340" i="10" s="1"/>
  <c r="I2340" i="10" s="1"/>
  <c r="E2339" i="10"/>
  <c r="F2339" i="10" s="1"/>
  <c r="I2339" i="10" s="1"/>
  <c r="E2338" i="10"/>
  <c r="F2338" i="10" s="1"/>
  <c r="I2338" i="10" s="1"/>
  <c r="E2337" i="10"/>
  <c r="F2337" i="10" s="1"/>
  <c r="I2337" i="10" s="1"/>
  <c r="E2336" i="10"/>
  <c r="F2336" i="10" s="1"/>
  <c r="I2336" i="10" s="1"/>
  <c r="E2335" i="10"/>
  <c r="F2335" i="10" s="1"/>
  <c r="I2335" i="10" s="1"/>
  <c r="E2334" i="10"/>
  <c r="F2334" i="10" s="1"/>
  <c r="I2334" i="10" s="1"/>
  <c r="E2333" i="10"/>
  <c r="F2333" i="10" s="1"/>
  <c r="I2333" i="10" s="1"/>
  <c r="E2332" i="10"/>
  <c r="F2332" i="10" s="1"/>
  <c r="I2332" i="10" s="1"/>
  <c r="E2331" i="10"/>
  <c r="F2331" i="10" s="1"/>
  <c r="I2331" i="10" s="1"/>
  <c r="E2330" i="10"/>
  <c r="F2330" i="10" s="1"/>
  <c r="I2330" i="10" s="1"/>
  <c r="E2329" i="10"/>
  <c r="F2329" i="10" s="1"/>
  <c r="I2329" i="10" s="1"/>
  <c r="E2328" i="10"/>
  <c r="F2328" i="10" s="1"/>
  <c r="I2328" i="10" s="1"/>
  <c r="E2327" i="10"/>
  <c r="F2327" i="10" s="1"/>
  <c r="I2327" i="10" s="1"/>
  <c r="E2326" i="10"/>
  <c r="F2326" i="10" s="1"/>
  <c r="I2326" i="10" s="1"/>
  <c r="E2325" i="10"/>
  <c r="F2325" i="10" s="1"/>
  <c r="I2325" i="10" s="1"/>
  <c r="E2324" i="10"/>
  <c r="F2324" i="10" s="1"/>
  <c r="I2324" i="10" s="1"/>
  <c r="E2323" i="10"/>
  <c r="F2323" i="10" s="1"/>
  <c r="I2323" i="10" s="1"/>
  <c r="E2322" i="10"/>
  <c r="F2322" i="10" s="1"/>
  <c r="I2322" i="10" s="1"/>
  <c r="E2321" i="10"/>
  <c r="F2321" i="10" s="1"/>
  <c r="I2321" i="10" s="1"/>
  <c r="B2321" i="10"/>
  <c r="B2322" i="10" s="1"/>
  <c r="B2323" i="10" s="1"/>
  <c r="B2324" i="10" s="1"/>
  <c r="B2325" i="10" s="1"/>
  <c r="B2326" i="10" s="1"/>
  <c r="B2327" i="10" s="1"/>
  <c r="B2328" i="10" s="1"/>
  <c r="B2329" i="10" s="1"/>
  <c r="B2330" i="10" s="1"/>
  <c r="B2331" i="10" s="1"/>
  <c r="B2332" i="10" s="1"/>
  <c r="B2333" i="10" s="1"/>
  <c r="B2334" i="10" s="1"/>
  <c r="B2335" i="10" s="1"/>
  <c r="B2336" i="10" s="1"/>
  <c r="B2337" i="10" s="1"/>
  <c r="B2338" i="10" s="1"/>
  <c r="B2339" i="10" s="1"/>
  <c r="B2340" i="10" s="1"/>
  <c r="B2341" i="10" s="1"/>
  <c r="B2342" i="10" s="1"/>
  <c r="B2343" i="10" s="1"/>
  <c r="B2344" i="10" s="1"/>
  <c r="B2345" i="10" s="1"/>
  <c r="B2346" i="10" s="1"/>
  <c r="B2347" i="10" s="1"/>
  <c r="B2348" i="10" s="1"/>
  <c r="B2349" i="10" s="1"/>
  <c r="B2350" i="10" s="1"/>
  <c r="B2351" i="10" s="1"/>
  <c r="B2352" i="10" s="1"/>
  <c r="B2353" i="10" s="1"/>
  <c r="B2354" i="10" s="1"/>
  <c r="B2355" i="10" s="1"/>
  <c r="B2356" i="10" s="1"/>
  <c r="E2320" i="10"/>
  <c r="F2320" i="10" s="1"/>
  <c r="I2320" i="10" s="1"/>
  <c r="E2302" i="10"/>
  <c r="F2302" i="10" s="1"/>
  <c r="E2301" i="10"/>
  <c r="F2301" i="10" s="1"/>
  <c r="E2300" i="10"/>
  <c r="F2300" i="10" s="1"/>
  <c r="E2299" i="10"/>
  <c r="F2299" i="10" s="1"/>
  <c r="E2298" i="10"/>
  <c r="F2298" i="10" s="1"/>
  <c r="E2297" i="10"/>
  <c r="F2297" i="10" s="1"/>
  <c r="E2296" i="10"/>
  <c r="F2296" i="10" s="1"/>
  <c r="E2295" i="10"/>
  <c r="F2295" i="10" s="1"/>
  <c r="E2294" i="10"/>
  <c r="F2294" i="10" s="1"/>
  <c r="E2293" i="10"/>
  <c r="F2293" i="10" s="1"/>
  <c r="E2292" i="10"/>
  <c r="F2292" i="10" s="1"/>
  <c r="E2291" i="10"/>
  <c r="F2291" i="10" s="1"/>
  <c r="E2290" i="10"/>
  <c r="F2290" i="10" s="1"/>
  <c r="E2289" i="10"/>
  <c r="F2289" i="10" s="1"/>
  <c r="E2288" i="10"/>
  <c r="F2288" i="10" s="1"/>
  <c r="E2287" i="10"/>
  <c r="F2287" i="10" s="1"/>
  <c r="E2286" i="10"/>
  <c r="F2286" i="10" s="1"/>
  <c r="E2285" i="10"/>
  <c r="F2285" i="10" s="1"/>
  <c r="E2284" i="10"/>
  <c r="F2284" i="10" s="1"/>
  <c r="E2283" i="10"/>
  <c r="F2283" i="10" s="1"/>
  <c r="B2283" i="10"/>
  <c r="B2284" i="10" s="1"/>
  <c r="B2285" i="10" s="1"/>
  <c r="B2286" i="10" s="1"/>
  <c r="B2287" i="10" s="1"/>
  <c r="B2288" i="10" s="1"/>
  <c r="B2289" i="10" s="1"/>
  <c r="B2290" i="10" s="1"/>
  <c r="B2291" i="10" s="1"/>
  <c r="B2292" i="10" s="1"/>
  <c r="B2293" i="10" s="1"/>
  <c r="B2294" i="10" s="1"/>
  <c r="B2295" i="10" s="1"/>
  <c r="B2296" i="10" s="1"/>
  <c r="B2297" i="10" s="1"/>
  <c r="B2298" i="10" s="1"/>
  <c r="B2299" i="10" s="1"/>
  <c r="B2300" i="10" s="1"/>
  <c r="B2301" i="10" s="1"/>
  <c r="B2302" i="10" s="1"/>
  <c r="B2303" i="10" s="1"/>
  <c r="B2304" i="10" s="1"/>
  <c r="B2305" i="10" s="1"/>
  <c r="B2306" i="10" s="1"/>
  <c r="B2307" i="10" s="1"/>
  <c r="B2308" i="10" s="1"/>
  <c r="B2309" i="10" s="1"/>
  <c r="B2310" i="10" s="1"/>
  <c r="B2311" i="10" s="1"/>
  <c r="B2312" i="10" s="1"/>
  <c r="B2313" i="10" s="1"/>
  <c r="B2314" i="10" s="1"/>
  <c r="B2315" i="10" s="1"/>
  <c r="B2316" i="10" s="1"/>
  <c r="B2317" i="10" s="1"/>
  <c r="B2318" i="10" s="1"/>
  <c r="E2282" i="10"/>
  <c r="F2282" i="10" s="1"/>
  <c r="E2264" i="10"/>
  <c r="F2264" i="10" s="1"/>
  <c r="E2263" i="10"/>
  <c r="F2263" i="10" s="1"/>
  <c r="E2262" i="10"/>
  <c r="F2262" i="10" s="1"/>
  <c r="E2261" i="10"/>
  <c r="F2261" i="10" s="1"/>
  <c r="E2260" i="10"/>
  <c r="F2260" i="10" s="1"/>
  <c r="E2259" i="10"/>
  <c r="F2259" i="10" s="1"/>
  <c r="E2258" i="10"/>
  <c r="F2258" i="10" s="1"/>
  <c r="E2257" i="10"/>
  <c r="F2257" i="10" s="1"/>
  <c r="E2256" i="10"/>
  <c r="F2256" i="10" s="1"/>
  <c r="E2255" i="10"/>
  <c r="F2255" i="10" s="1"/>
  <c r="E2254" i="10"/>
  <c r="F2254" i="10" s="1"/>
  <c r="E2253" i="10"/>
  <c r="F2253" i="10" s="1"/>
  <c r="E2252" i="10"/>
  <c r="F2252" i="10" s="1"/>
  <c r="E2251" i="10"/>
  <c r="F2251" i="10" s="1"/>
  <c r="E2250" i="10"/>
  <c r="F2250" i="10" s="1"/>
  <c r="E2249" i="10"/>
  <c r="F2249" i="10" s="1"/>
  <c r="E2248" i="10"/>
  <c r="F2248" i="10" s="1"/>
  <c r="E2247" i="10"/>
  <c r="F2247" i="10" s="1"/>
  <c r="E2246" i="10"/>
  <c r="F2246" i="10" s="1"/>
  <c r="E2245" i="10"/>
  <c r="F2245" i="10" s="1"/>
  <c r="B2245" i="10"/>
  <c r="B2246" i="10" s="1"/>
  <c r="B2247" i="10" s="1"/>
  <c r="B2248" i="10" s="1"/>
  <c r="B2249" i="10" s="1"/>
  <c r="B2250" i="10" s="1"/>
  <c r="B2251" i="10" s="1"/>
  <c r="B2252" i="10" s="1"/>
  <c r="B2253" i="10" s="1"/>
  <c r="B2254" i="10" s="1"/>
  <c r="B2255" i="10" s="1"/>
  <c r="B2256" i="10" s="1"/>
  <c r="B2257" i="10" s="1"/>
  <c r="B2258" i="10" s="1"/>
  <c r="B2259" i="10" s="1"/>
  <c r="B2260" i="10" s="1"/>
  <c r="B2261" i="10" s="1"/>
  <c r="B2262" i="10" s="1"/>
  <c r="B2263" i="10" s="1"/>
  <c r="B2264" i="10" s="1"/>
  <c r="B2265" i="10" s="1"/>
  <c r="B2266" i="10" s="1"/>
  <c r="B2267" i="10" s="1"/>
  <c r="B2268" i="10" s="1"/>
  <c r="B2269" i="10" s="1"/>
  <c r="B2270" i="10" s="1"/>
  <c r="B2271" i="10" s="1"/>
  <c r="B2272" i="10" s="1"/>
  <c r="B2273" i="10" s="1"/>
  <c r="B2274" i="10" s="1"/>
  <c r="B2275" i="10" s="1"/>
  <c r="B2276" i="10" s="1"/>
  <c r="B2277" i="10" s="1"/>
  <c r="B2278" i="10" s="1"/>
  <c r="B2279" i="10" s="1"/>
  <c r="B2280" i="10" s="1"/>
  <c r="E2244" i="10"/>
  <c r="F2244" i="10" s="1"/>
  <c r="E2226" i="10"/>
  <c r="F2226" i="10" s="1"/>
  <c r="E2225" i="10"/>
  <c r="F2225" i="10" s="1"/>
  <c r="E2224" i="10"/>
  <c r="F2224" i="10" s="1"/>
  <c r="E2223" i="10"/>
  <c r="F2223" i="10" s="1"/>
  <c r="E2222" i="10"/>
  <c r="F2222" i="10" s="1"/>
  <c r="E2221" i="10"/>
  <c r="F2221" i="10" s="1"/>
  <c r="E2220" i="10"/>
  <c r="F2220" i="10" s="1"/>
  <c r="E2219" i="10"/>
  <c r="F2219" i="10" s="1"/>
  <c r="E2218" i="10"/>
  <c r="F2218" i="10" s="1"/>
  <c r="E2217" i="10"/>
  <c r="F2217" i="10" s="1"/>
  <c r="E2216" i="10"/>
  <c r="F2216" i="10" s="1"/>
  <c r="E2215" i="10"/>
  <c r="F2215" i="10" s="1"/>
  <c r="E2214" i="10"/>
  <c r="F2214" i="10" s="1"/>
  <c r="E2213" i="10"/>
  <c r="F2213" i="10" s="1"/>
  <c r="E2212" i="10"/>
  <c r="F2212" i="10" s="1"/>
  <c r="E2211" i="10"/>
  <c r="F2211" i="10" s="1"/>
  <c r="E2210" i="10"/>
  <c r="F2210" i="10" s="1"/>
  <c r="E2209" i="10"/>
  <c r="F2209" i="10" s="1"/>
  <c r="E2208" i="10"/>
  <c r="F2208" i="10" s="1"/>
  <c r="E2207" i="10"/>
  <c r="F2207" i="10" s="1"/>
  <c r="B2207" i="10"/>
  <c r="B2208" i="10" s="1"/>
  <c r="B2209" i="10" s="1"/>
  <c r="B2210" i="10" s="1"/>
  <c r="B2211" i="10" s="1"/>
  <c r="B2212" i="10" s="1"/>
  <c r="B2213" i="10" s="1"/>
  <c r="B2214" i="10" s="1"/>
  <c r="B2215" i="10" s="1"/>
  <c r="B2216" i="10" s="1"/>
  <c r="B2217" i="10" s="1"/>
  <c r="B2218" i="10" s="1"/>
  <c r="B2219" i="10" s="1"/>
  <c r="B2220" i="10" s="1"/>
  <c r="B2221" i="10" s="1"/>
  <c r="B2222" i="10" s="1"/>
  <c r="B2223" i="10" s="1"/>
  <c r="B2224" i="10" s="1"/>
  <c r="B2225" i="10" s="1"/>
  <c r="B2226" i="10" s="1"/>
  <c r="B2227" i="10" s="1"/>
  <c r="B2228" i="10" s="1"/>
  <c r="B2229" i="10" s="1"/>
  <c r="B2230" i="10" s="1"/>
  <c r="B2231" i="10" s="1"/>
  <c r="B2232" i="10" s="1"/>
  <c r="B2233" i="10" s="1"/>
  <c r="B2234" i="10" s="1"/>
  <c r="B2235" i="10" s="1"/>
  <c r="B2236" i="10" s="1"/>
  <c r="B2237" i="10" s="1"/>
  <c r="B2238" i="10" s="1"/>
  <c r="B2239" i="10" s="1"/>
  <c r="B2240" i="10" s="1"/>
  <c r="B2241" i="10" s="1"/>
  <c r="B2242" i="10" s="1"/>
  <c r="E2206" i="10"/>
  <c r="F2206" i="10" s="1"/>
  <c r="E2188" i="10"/>
  <c r="F2188" i="10" s="1"/>
  <c r="I2188" i="10" s="1"/>
  <c r="E2187" i="10"/>
  <c r="F2187" i="10" s="1"/>
  <c r="I2187" i="10" s="1"/>
  <c r="E2186" i="10"/>
  <c r="F2186" i="10" s="1"/>
  <c r="I2186" i="10" s="1"/>
  <c r="E2185" i="10"/>
  <c r="F2185" i="10" s="1"/>
  <c r="I2185" i="10" s="1"/>
  <c r="E2184" i="10"/>
  <c r="F2184" i="10" s="1"/>
  <c r="I2184" i="10" s="1"/>
  <c r="E2183" i="10"/>
  <c r="F2183" i="10" s="1"/>
  <c r="I2183" i="10" s="1"/>
  <c r="E2182" i="10"/>
  <c r="F2182" i="10" s="1"/>
  <c r="I2182" i="10" s="1"/>
  <c r="E2181" i="10"/>
  <c r="F2181" i="10" s="1"/>
  <c r="I2181" i="10" s="1"/>
  <c r="E2180" i="10"/>
  <c r="F2180" i="10" s="1"/>
  <c r="I2180" i="10" s="1"/>
  <c r="E2179" i="10"/>
  <c r="F2179" i="10" s="1"/>
  <c r="I2179" i="10" s="1"/>
  <c r="E2178" i="10"/>
  <c r="F2178" i="10" s="1"/>
  <c r="I2178" i="10" s="1"/>
  <c r="E2177" i="10"/>
  <c r="F2177" i="10" s="1"/>
  <c r="I2177" i="10" s="1"/>
  <c r="E2176" i="10"/>
  <c r="F2176" i="10" s="1"/>
  <c r="I2176" i="10" s="1"/>
  <c r="E2175" i="10"/>
  <c r="F2175" i="10" s="1"/>
  <c r="I2175" i="10" s="1"/>
  <c r="E2174" i="10"/>
  <c r="F2174" i="10" s="1"/>
  <c r="I2174" i="10" s="1"/>
  <c r="E2173" i="10"/>
  <c r="F2173" i="10" s="1"/>
  <c r="I2173" i="10" s="1"/>
  <c r="E2172" i="10"/>
  <c r="F2172" i="10" s="1"/>
  <c r="I2172" i="10" s="1"/>
  <c r="E2171" i="10"/>
  <c r="F2171" i="10" s="1"/>
  <c r="I2171" i="10" s="1"/>
  <c r="E2170" i="10"/>
  <c r="F2170" i="10" s="1"/>
  <c r="I2170" i="10" s="1"/>
  <c r="E2169" i="10"/>
  <c r="F2169" i="10" s="1"/>
  <c r="I2169" i="10" s="1"/>
  <c r="B2169" i="10"/>
  <c r="B2170" i="10" s="1"/>
  <c r="B2171" i="10" s="1"/>
  <c r="B2172" i="10" s="1"/>
  <c r="B2173" i="10" s="1"/>
  <c r="B2174" i="10" s="1"/>
  <c r="B2175" i="10" s="1"/>
  <c r="B2176" i="10" s="1"/>
  <c r="B2177" i="10" s="1"/>
  <c r="B2178" i="10" s="1"/>
  <c r="B2179" i="10" s="1"/>
  <c r="B2180" i="10" s="1"/>
  <c r="B2181" i="10" s="1"/>
  <c r="B2182" i="10" s="1"/>
  <c r="B2183" i="10" s="1"/>
  <c r="B2184" i="10" s="1"/>
  <c r="B2185" i="10" s="1"/>
  <c r="B2186" i="10" s="1"/>
  <c r="B2187" i="10" s="1"/>
  <c r="B2188" i="10" s="1"/>
  <c r="B2189" i="10" s="1"/>
  <c r="B2190" i="10" s="1"/>
  <c r="B2191" i="10" s="1"/>
  <c r="B2192" i="10" s="1"/>
  <c r="B2193" i="10" s="1"/>
  <c r="B2194" i="10" s="1"/>
  <c r="B2195" i="10" s="1"/>
  <c r="B2196" i="10" s="1"/>
  <c r="B2197" i="10" s="1"/>
  <c r="B2198" i="10" s="1"/>
  <c r="B2199" i="10" s="1"/>
  <c r="B2200" i="10" s="1"/>
  <c r="B2201" i="10" s="1"/>
  <c r="B2202" i="10" s="1"/>
  <c r="B2203" i="10" s="1"/>
  <c r="B2204" i="10" s="1"/>
  <c r="E2168" i="10"/>
  <c r="F2168" i="10" s="1"/>
  <c r="I2168" i="10" s="1"/>
  <c r="E2150" i="10"/>
  <c r="F2150" i="10" s="1"/>
  <c r="I2150" i="10" s="1"/>
  <c r="E2149" i="10"/>
  <c r="F2149" i="10" s="1"/>
  <c r="I2149" i="10" s="1"/>
  <c r="E2148" i="10"/>
  <c r="F2148" i="10" s="1"/>
  <c r="I2148" i="10" s="1"/>
  <c r="E2147" i="10"/>
  <c r="F2147" i="10" s="1"/>
  <c r="I2147" i="10" s="1"/>
  <c r="E2146" i="10"/>
  <c r="F2146" i="10" s="1"/>
  <c r="I2146" i="10" s="1"/>
  <c r="E2145" i="10"/>
  <c r="F2145" i="10" s="1"/>
  <c r="I2145" i="10" s="1"/>
  <c r="E2144" i="10"/>
  <c r="F2144" i="10" s="1"/>
  <c r="I2144" i="10" s="1"/>
  <c r="E2143" i="10"/>
  <c r="F2143" i="10" s="1"/>
  <c r="I2143" i="10" s="1"/>
  <c r="E2142" i="10"/>
  <c r="F2142" i="10" s="1"/>
  <c r="I2142" i="10" s="1"/>
  <c r="E2141" i="10"/>
  <c r="F2141" i="10" s="1"/>
  <c r="I2141" i="10" s="1"/>
  <c r="E2140" i="10"/>
  <c r="F2140" i="10" s="1"/>
  <c r="I2140" i="10" s="1"/>
  <c r="E2139" i="10"/>
  <c r="F2139" i="10" s="1"/>
  <c r="I2139" i="10" s="1"/>
  <c r="E2138" i="10"/>
  <c r="F2138" i="10" s="1"/>
  <c r="I2138" i="10" s="1"/>
  <c r="E2137" i="10"/>
  <c r="F2137" i="10" s="1"/>
  <c r="I2137" i="10" s="1"/>
  <c r="E2136" i="10"/>
  <c r="F2136" i="10" s="1"/>
  <c r="I2136" i="10" s="1"/>
  <c r="E2135" i="10"/>
  <c r="F2135" i="10" s="1"/>
  <c r="I2135" i="10" s="1"/>
  <c r="E2134" i="10"/>
  <c r="F2134" i="10" s="1"/>
  <c r="I2134" i="10" s="1"/>
  <c r="E2133" i="10"/>
  <c r="F2133" i="10" s="1"/>
  <c r="I2133" i="10" s="1"/>
  <c r="E2132" i="10"/>
  <c r="F2132" i="10" s="1"/>
  <c r="I2132" i="10" s="1"/>
  <c r="E2131" i="10"/>
  <c r="F2131" i="10" s="1"/>
  <c r="I2131" i="10" s="1"/>
  <c r="B2131" i="10"/>
  <c r="B2132" i="10" s="1"/>
  <c r="B2133" i="10" s="1"/>
  <c r="B2134" i="10" s="1"/>
  <c r="B2135" i="10" s="1"/>
  <c r="B2136" i="10" s="1"/>
  <c r="B2137" i="10" s="1"/>
  <c r="B2138" i="10" s="1"/>
  <c r="B2139" i="10" s="1"/>
  <c r="B2140" i="10" s="1"/>
  <c r="B2141" i="10" s="1"/>
  <c r="B2142" i="10" s="1"/>
  <c r="B2143" i="10" s="1"/>
  <c r="B2144" i="10" s="1"/>
  <c r="B2145" i="10" s="1"/>
  <c r="B2146" i="10" s="1"/>
  <c r="B2147" i="10" s="1"/>
  <c r="B2148" i="10" s="1"/>
  <c r="B2149" i="10" s="1"/>
  <c r="B2150" i="10" s="1"/>
  <c r="B2151" i="10" s="1"/>
  <c r="B2152" i="10" s="1"/>
  <c r="B2153" i="10" s="1"/>
  <c r="B2154" i="10" s="1"/>
  <c r="B2155" i="10" s="1"/>
  <c r="B2156" i="10" s="1"/>
  <c r="B2157" i="10" s="1"/>
  <c r="B2158" i="10" s="1"/>
  <c r="B2159" i="10" s="1"/>
  <c r="B2160" i="10" s="1"/>
  <c r="B2161" i="10" s="1"/>
  <c r="B2162" i="10" s="1"/>
  <c r="B2163" i="10" s="1"/>
  <c r="B2164" i="10" s="1"/>
  <c r="B2165" i="10" s="1"/>
  <c r="B2166" i="10" s="1"/>
  <c r="E2130" i="10"/>
  <c r="F2130" i="10" s="1"/>
  <c r="I2130" i="10" s="1"/>
  <c r="E2112" i="10"/>
  <c r="F2112" i="10" s="1"/>
  <c r="I2112" i="10" s="1"/>
  <c r="E2111" i="10"/>
  <c r="F2111" i="10" s="1"/>
  <c r="I2111" i="10" s="1"/>
  <c r="E2110" i="10"/>
  <c r="F2110" i="10" s="1"/>
  <c r="I2110" i="10" s="1"/>
  <c r="E2109" i="10"/>
  <c r="F2109" i="10" s="1"/>
  <c r="I2109" i="10" s="1"/>
  <c r="E2108" i="10"/>
  <c r="F2108" i="10" s="1"/>
  <c r="I2108" i="10" s="1"/>
  <c r="E2107" i="10"/>
  <c r="F2107" i="10" s="1"/>
  <c r="I2107" i="10" s="1"/>
  <c r="E2106" i="10"/>
  <c r="F2106" i="10" s="1"/>
  <c r="I2106" i="10" s="1"/>
  <c r="E2105" i="10"/>
  <c r="F2105" i="10" s="1"/>
  <c r="I2105" i="10" s="1"/>
  <c r="E2104" i="10"/>
  <c r="F2104" i="10" s="1"/>
  <c r="I2104" i="10" s="1"/>
  <c r="E2103" i="10"/>
  <c r="F2103" i="10" s="1"/>
  <c r="I2103" i="10" s="1"/>
  <c r="E2102" i="10"/>
  <c r="F2102" i="10" s="1"/>
  <c r="I2102" i="10" s="1"/>
  <c r="E2101" i="10"/>
  <c r="F2101" i="10" s="1"/>
  <c r="I2101" i="10" s="1"/>
  <c r="E2100" i="10"/>
  <c r="F2100" i="10" s="1"/>
  <c r="I2100" i="10" s="1"/>
  <c r="E2099" i="10"/>
  <c r="F2099" i="10" s="1"/>
  <c r="I2099" i="10" s="1"/>
  <c r="E2098" i="10"/>
  <c r="F2098" i="10" s="1"/>
  <c r="I2098" i="10" s="1"/>
  <c r="E2097" i="10"/>
  <c r="F2097" i="10" s="1"/>
  <c r="I2097" i="10" s="1"/>
  <c r="E2096" i="10"/>
  <c r="F2096" i="10" s="1"/>
  <c r="I2096" i="10" s="1"/>
  <c r="E2095" i="10"/>
  <c r="F2095" i="10" s="1"/>
  <c r="I2095" i="10" s="1"/>
  <c r="E2094" i="10"/>
  <c r="F2094" i="10" s="1"/>
  <c r="I2094" i="10" s="1"/>
  <c r="E2093" i="10"/>
  <c r="F2093" i="10" s="1"/>
  <c r="I2093" i="10" s="1"/>
  <c r="B2093" i="10"/>
  <c r="B2094" i="10" s="1"/>
  <c r="B2095" i="10" s="1"/>
  <c r="B2096" i="10" s="1"/>
  <c r="B2097" i="10" s="1"/>
  <c r="B2098" i="10" s="1"/>
  <c r="B2099" i="10" s="1"/>
  <c r="B2100" i="10" s="1"/>
  <c r="B2101" i="10" s="1"/>
  <c r="B2102" i="10" s="1"/>
  <c r="B2103" i="10" s="1"/>
  <c r="B2104" i="10" s="1"/>
  <c r="B2105" i="10" s="1"/>
  <c r="B2106" i="10" s="1"/>
  <c r="B2107" i="10" s="1"/>
  <c r="B2108" i="10" s="1"/>
  <c r="B2109" i="10" s="1"/>
  <c r="B2110" i="10" s="1"/>
  <c r="B2111" i="10" s="1"/>
  <c r="B2112" i="10" s="1"/>
  <c r="B2113" i="10" s="1"/>
  <c r="B2114" i="10" s="1"/>
  <c r="B2115" i="10" s="1"/>
  <c r="B2116" i="10" s="1"/>
  <c r="B2117" i="10" s="1"/>
  <c r="B2118" i="10" s="1"/>
  <c r="B2119" i="10" s="1"/>
  <c r="B2120" i="10" s="1"/>
  <c r="B2121" i="10" s="1"/>
  <c r="B2122" i="10" s="1"/>
  <c r="B2123" i="10" s="1"/>
  <c r="B2124" i="10" s="1"/>
  <c r="B2125" i="10" s="1"/>
  <c r="B2126" i="10" s="1"/>
  <c r="B2127" i="10" s="1"/>
  <c r="B2128" i="10" s="1"/>
  <c r="E2092" i="10"/>
  <c r="F2092" i="10" s="1"/>
  <c r="I2092" i="10" s="1"/>
  <c r="E2074" i="10"/>
  <c r="F2074" i="10" s="1"/>
  <c r="I2074" i="10" s="1"/>
  <c r="E2073" i="10"/>
  <c r="F2073" i="10" s="1"/>
  <c r="I2073" i="10" s="1"/>
  <c r="E2072" i="10"/>
  <c r="F2072" i="10" s="1"/>
  <c r="I2072" i="10" s="1"/>
  <c r="E2071" i="10"/>
  <c r="F2071" i="10" s="1"/>
  <c r="I2071" i="10" s="1"/>
  <c r="E2070" i="10"/>
  <c r="F2070" i="10" s="1"/>
  <c r="I2070" i="10" s="1"/>
  <c r="E2069" i="10"/>
  <c r="F2069" i="10" s="1"/>
  <c r="I2069" i="10" s="1"/>
  <c r="E2068" i="10"/>
  <c r="F2068" i="10" s="1"/>
  <c r="I2068" i="10" s="1"/>
  <c r="E2067" i="10"/>
  <c r="F2067" i="10" s="1"/>
  <c r="I2067" i="10" s="1"/>
  <c r="E2066" i="10"/>
  <c r="F2066" i="10" s="1"/>
  <c r="I2066" i="10" s="1"/>
  <c r="E2065" i="10"/>
  <c r="F2065" i="10" s="1"/>
  <c r="I2065" i="10" s="1"/>
  <c r="E2064" i="10"/>
  <c r="F2064" i="10" s="1"/>
  <c r="I2064" i="10" s="1"/>
  <c r="E2063" i="10"/>
  <c r="F2063" i="10" s="1"/>
  <c r="I2063" i="10" s="1"/>
  <c r="E2062" i="10"/>
  <c r="F2062" i="10" s="1"/>
  <c r="I2062" i="10" s="1"/>
  <c r="E2061" i="10"/>
  <c r="F2061" i="10" s="1"/>
  <c r="I2061" i="10" s="1"/>
  <c r="E2060" i="10"/>
  <c r="F2060" i="10" s="1"/>
  <c r="I2060" i="10" s="1"/>
  <c r="E2059" i="10"/>
  <c r="F2059" i="10" s="1"/>
  <c r="I2059" i="10" s="1"/>
  <c r="E2058" i="10"/>
  <c r="F2058" i="10" s="1"/>
  <c r="I2058" i="10" s="1"/>
  <c r="E2057" i="10"/>
  <c r="F2057" i="10" s="1"/>
  <c r="I2057" i="10" s="1"/>
  <c r="E2056" i="10"/>
  <c r="F2056" i="10" s="1"/>
  <c r="I2056" i="10" s="1"/>
  <c r="E2055" i="10"/>
  <c r="F2055" i="10" s="1"/>
  <c r="I2055" i="10" s="1"/>
  <c r="B2055" i="10"/>
  <c r="B2056" i="10" s="1"/>
  <c r="B2057" i="10" s="1"/>
  <c r="B2058" i="10" s="1"/>
  <c r="B2059" i="10" s="1"/>
  <c r="B2060" i="10" s="1"/>
  <c r="B2061" i="10" s="1"/>
  <c r="B2062" i="10" s="1"/>
  <c r="B2063" i="10" s="1"/>
  <c r="B2064" i="10" s="1"/>
  <c r="B2065" i="10" s="1"/>
  <c r="B2066" i="10" s="1"/>
  <c r="B2067" i="10" s="1"/>
  <c r="B2068" i="10" s="1"/>
  <c r="B2069" i="10" s="1"/>
  <c r="B2070" i="10" s="1"/>
  <c r="B2071" i="10" s="1"/>
  <c r="B2072" i="10" s="1"/>
  <c r="B2073" i="10" s="1"/>
  <c r="B2074" i="10" s="1"/>
  <c r="B2075" i="10" s="1"/>
  <c r="B2076" i="10" s="1"/>
  <c r="B2077" i="10" s="1"/>
  <c r="B2078" i="10" s="1"/>
  <c r="B2079" i="10" s="1"/>
  <c r="B2080" i="10" s="1"/>
  <c r="B2081" i="10" s="1"/>
  <c r="B2082" i="10" s="1"/>
  <c r="B2083" i="10" s="1"/>
  <c r="B2084" i="10" s="1"/>
  <c r="B2085" i="10" s="1"/>
  <c r="B2086" i="10" s="1"/>
  <c r="B2087" i="10" s="1"/>
  <c r="B2088" i="10" s="1"/>
  <c r="B2089" i="10" s="1"/>
  <c r="B2090" i="10" s="1"/>
  <c r="E2054" i="10"/>
  <c r="F2054" i="10" s="1"/>
  <c r="I2054" i="10" s="1"/>
  <c r="E2036" i="10"/>
  <c r="F2036" i="10" s="1"/>
  <c r="E2035" i="10"/>
  <c r="F2035" i="10" s="1"/>
  <c r="E2034" i="10"/>
  <c r="F2034" i="10" s="1"/>
  <c r="E2033" i="10"/>
  <c r="F2033" i="10" s="1"/>
  <c r="E2032" i="10"/>
  <c r="F2032" i="10" s="1"/>
  <c r="E2031" i="10"/>
  <c r="F2031" i="10" s="1"/>
  <c r="E2030" i="10"/>
  <c r="F2030" i="10" s="1"/>
  <c r="E2029" i="10"/>
  <c r="F2029" i="10" s="1"/>
  <c r="E2028" i="10"/>
  <c r="F2028" i="10" s="1"/>
  <c r="E2027" i="10"/>
  <c r="F2027" i="10" s="1"/>
  <c r="E2026" i="10"/>
  <c r="F2026" i="10" s="1"/>
  <c r="E2025" i="10"/>
  <c r="F2025" i="10" s="1"/>
  <c r="E2024" i="10"/>
  <c r="F2024" i="10" s="1"/>
  <c r="E2023" i="10"/>
  <c r="F2023" i="10" s="1"/>
  <c r="E2022" i="10"/>
  <c r="F2022" i="10" s="1"/>
  <c r="E2021" i="10"/>
  <c r="F2021" i="10" s="1"/>
  <c r="E2020" i="10"/>
  <c r="F2020" i="10" s="1"/>
  <c r="E2019" i="10"/>
  <c r="F2019" i="10" s="1"/>
  <c r="E2018" i="10"/>
  <c r="F2018" i="10" s="1"/>
  <c r="E2017" i="10"/>
  <c r="F2017" i="10" s="1"/>
  <c r="B2017" i="10"/>
  <c r="B2018" i="10" s="1"/>
  <c r="B2019" i="10" s="1"/>
  <c r="B2020" i="10" s="1"/>
  <c r="B2021" i="10" s="1"/>
  <c r="B2022" i="10" s="1"/>
  <c r="B2023" i="10" s="1"/>
  <c r="B2024" i="10" s="1"/>
  <c r="B2025" i="10" s="1"/>
  <c r="B2026" i="10" s="1"/>
  <c r="B2027" i="10" s="1"/>
  <c r="B2028" i="10" s="1"/>
  <c r="B2029" i="10" s="1"/>
  <c r="B2030" i="10" s="1"/>
  <c r="B2031" i="10" s="1"/>
  <c r="B2032" i="10" s="1"/>
  <c r="B2033" i="10" s="1"/>
  <c r="B2034" i="10" s="1"/>
  <c r="B2035" i="10" s="1"/>
  <c r="B2036" i="10" s="1"/>
  <c r="B2037" i="10" s="1"/>
  <c r="B2038" i="10" s="1"/>
  <c r="B2039" i="10" s="1"/>
  <c r="B2040" i="10" s="1"/>
  <c r="B2041" i="10" s="1"/>
  <c r="B2042" i="10" s="1"/>
  <c r="B2043" i="10" s="1"/>
  <c r="B2044" i="10" s="1"/>
  <c r="B2045" i="10" s="1"/>
  <c r="B2046" i="10" s="1"/>
  <c r="B2047" i="10" s="1"/>
  <c r="B2048" i="10" s="1"/>
  <c r="B2049" i="10" s="1"/>
  <c r="B2050" i="10" s="1"/>
  <c r="B2051" i="10" s="1"/>
  <c r="B2052" i="10" s="1"/>
  <c r="E2016" i="10"/>
  <c r="F2016" i="10" s="1"/>
  <c r="E1998" i="10"/>
  <c r="F1998" i="10" s="1"/>
  <c r="E1997" i="10"/>
  <c r="F1997" i="10" s="1"/>
  <c r="E1996" i="10"/>
  <c r="F1996" i="10" s="1"/>
  <c r="E1995" i="10"/>
  <c r="F1995" i="10" s="1"/>
  <c r="E1994" i="10"/>
  <c r="F1994" i="10" s="1"/>
  <c r="E1993" i="10"/>
  <c r="F1993" i="10" s="1"/>
  <c r="E1992" i="10"/>
  <c r="F1992" i="10" s="1"/>
  <c r="E1991" i="10"/>
  <c r="F1991" i="10" s="1"/>
  <c r="E1990" i="10"/>
  <c r="F1990" i="10" s="1"/>
  <c r="E1989" i="10"/>
  <c r="F1989" i="10" s="1"/>
  <c r="E1988" i="10"/>
  <c r="F1988" i="10" s="1"/>
  <c r="E1987" i="10"/>
  <c r="F1987" i="10" s="1"/>
  <c r="E1986" i="10"/>
  <c r="F1986" i="10" s="1"/>
  <c r="E1985" i="10"/>
  <c r="F1985" i="10" s="1"/>
  <c r="E1984" i="10"/>
  <c r="F1984" i="10" s="1"/>
  <c r="E1983" i="10"/>
  <c r="F1983" i="10" s="1"/>
  <c r="E1982" i="10"/>
  <c r="F1982" i="10" s="1"/>
  <c r="E1981" i="10"/>
  <c r="F1981" i="10" s="1"/>
  <c r="E1980" i="10"/>
  <c r="F1980" i="10" s="1"/>
  <c r="E1979" i="10"/>
  <c r="F1979" i="10" s="1"/>
  <c r="B1979" i="10"/>
  <c r="B1980" i="10" s="1"/>
  <c r="B1981" i="10" s="1"/>
  <c r="B1982" i="10" s="1"/>
  <c r="B1983" i="10" s="1"/>
  <c r="B1984" i="10" s="1"/>
  <c r="B1985" i="10" s="1"/>
  <c r="B1986" i="10" s="1"/>
  <c r="B1987" i="10" s="1"/>
  <c r="B1988" i="10" s="1"/>
  <c r="B1989" i="10" s="1"/>
  <c r="B1990" i="10" s="1"/>
  <c r="B1991" i="10" s="1"/>
  <c r="B1992" i="10" s="1"/>
  <c r="B1993" i="10" s="1"/>
  <c r="B1994" i="10" s="1"/>
  <c r="B1995" i="10" s="1"/>
  <c r="B1996" i="10" s="1"/>
  <c r="B1997" i="10" s="1"/>
  <c r="B1998" i="10" s="1"/>
  <c r="B1999" i="10" s="1"/>
  <c r="B2000" i="10" s="1"/>
  <c r="B2001" i="10" s="1"/>
  <c r="B2002" i="10" s="1"/>
  <c r="B2003" i="10" s="1"/>
  <c r="B2004" i="10" s="1"/>
  <c r="B2005" i="10" s="1"/>
  <c r="B2006" i="10" s="1"/>
  <c r="B2007" i="10" s="1"/>
  <c r="B2008" i="10" s="1"/>
  <c r="B2009" i="10" s="1"/>
  <c r="B2010" i="10" s="1"/>
  <c r="B2011" i="10" s="1"/>
  <c r="B2012" i="10" s="1"/>
  <c r="B2013" i="10" s="1"/>
  <c r="B2014" i="10" s="1"/>
  <c r="E1978" i="10"/>
  <c r="F1978" i="10" s="1"/>
  <c r="E1960" i="10"/>
  <c r="F1960" i="10" s="1"/>
  <c r="E1959" i="10"/>
  <c r="F1959" i="10" s="1"/>
  <c r="E1958" i="10"/>
  <c r="F1958" i="10" s="1"/>
  <c r="E1957" i="10"/>
  <c r="F1957" i="10" s="1"/>
  <c r="E1956" i="10"/>
  <c r="F1956" i="10" s="1"/>
  <c r="E1955" i="10"/>
  <c r="F1955" i="10" s="1"/>
  <c r="E1954" i="10"/>
  <c r="F1954" i="10" s="1"/>
  <c r="E1953" i="10"/>
  <c r="F1953" i="10" s="1"/>
  <c r="E1952" i="10"/>
  <c r="F1952" i="10" s="1"/>
  <c r="E1951" i="10"/>
  <c r="F1951" i="10" s="1"/>
  <c r="E1950" i="10"/>
  <c r="F1950" i="10" s="1"/>
  <c r="E1949" i="10"/>
  <c r="F1949" i="10" s="1"/>
  <c r="E1948" i="10"/>
  <c r="F1948" i="10" s="1"/>
  <c r="E1947" i="10"/>
  <c r="F1947" i="10" s="1"/>
  <c r="E1946" i="10"/>
  <c r="F1946" i="10" s="1"/>
  <c r="E1945" i="10"/>
  <c r="F1945" i="10" s="1"/>
  <c r="E1944" i="10"/>
  <c r="F1944" i="10" s="1"/>
  <c r="E1943" i="10"/>
  <c r="F1943" i="10" s="1"/>
  <c r="E1942" i="10"/>
  <c r="F1942" i="10" s="1"/>
  <c r="E1941" i="10"/>
  <c r="F1941" i="10" s="1"/>
  <c r="B1941" i="10"/>
  <c r="B1942" i="10" s="1"/>
  <c r="B1943" i="10" s="1"/>
  <c r="B1944" i="10" s="1"/>
  <c r="B1945" i="10" s="1"/>
  <c r="B1946" i="10" s="1"/>
  <c r="B1947" i="10" s="1"/>
  <c r="B1948" i="10" s="1"/>
  <c r="B1949" i="10" s="1"/>
  <c r="B1950" i="10" s="1"/>
  <c r="B1951" i="10" s="1"/>
  <c r="B1952" i="10" s="1"/>
  <c r="B1953" i="10" s="1"/>
  <c r="B1954" i="10" s="1"/>
  <c r="B1955" i="10" s="1"/>
  <c r="B1956" i="10" s="1"/>
  <c r="B1957" i="10" s="1"/>
  <c r="B1958" i="10" s="1"/>
  <c r="B1959" i="10" s="1"/>
  <c r="B1960" i="10" s="1"/>
  <c r="B1961" i="10" s="1"/>
  <c r="B1962" i="10" s="1"/>
  <c r="B1963" i="10" s="1"/>
  <c r="B1964" i="10" s="1"/>
  <c r="B1965" i="10" s="1"/>
  <c r="B1966" i="10" s="1"/>
  <c r="B1967" i="10" s="1"/>
  <c r="B1968" i="10" s="1"/>
  <c r="B1969" i="10" s="1"/>
  <c r="B1970" i="10" s="1"/>
  <c r="B1971" i="10" s="1"/>
  <c r="B1972" i="10" s="1"/>
  <c r="B1973" i="10" s="1"/>
  <c r="B1974" i="10" s="1"/>
  <c r="B1975" i="10" s="1"/>
  <c r="B1976" i="10" s="1"/>
  <c r="E1940" i="10"/>
  <c r="F1940" i="10" s="1"/>
  <c r="E1922" i="10"/>
  <c r="F1922" i="10" s="1"/>
  <c r="I1922" i="10" s="1"/>
  <c r="E1921" i="10"/>
  <c r="F1921" i="10" s="1"/>
  <c r="I1921" i="10" s="1"/>
  <c r="E1920" i="10"/>
  <c r="F1920" i="10" s="1"/>
  <c r="I1920" i="10" s="1"/>
  <c r="E1919" i="10"/>
  <c r="F1919" i="10" s="1"/>
  <c r="I1919" i="10" s="1"/>
  <c r="E1918" i="10"/>
  <c r="F1918" i="10" s="1"/>
  <c r="I1918" i="10" s="1"/>
  <c r="E1917" i="10"/>
  <c r="F1917" i="10" s="1"/>
  <c r="I1917" i="10" s="1"/>
  <c r="E1916" i="10"/>
  <c r="F1916" i="10" s="1"/>
  <c r="I1916" i="10" s="1"/>
  <c r="E1915" i="10"/>
  <c r="F1915" i="10" s="1"/>
  <c r="I1915" i="10" s="1"/>
  <c r="E1914" i="10"/>
  <c r="F1914" i="10" s="1"/>
  <c r="I1914" i="10" s="1"/>
  <c r="E1913" i="10"/>
  <c r="F1913" i="10" s="1"/>
  <c r="I1913" i="10" s="1"/>
  <c r="E1912" i="10"/>
  <c r="F1912" i="10" s="1"/>
  <c r="I1912" i="10" s="1"/>
  <c r="E1911" i="10"/>
  <c r="F1911" i="10" s="1"/>
  <c r="I1911" i="10" s="1"/>
  <c r="E1910" i="10"/>
  <c r="F1910" i="10" s="1"/>
  <c r="I1910" i="10" s="1"/>
  <c r="E1909" i="10"/>
  <c r="F1909" i="10" s="1"/>
  <c r="I1909" i="10" s="1"/>
  <c r="E1908" i="10"/>
  <c r="F1908" i="10" s="1"/>
  <c r="I1908" i="10" s="1"/>
  <c r="E1907" i="10"/>
  <c r="F1907" i="10" s="1"/>
  <c r="I1907" i="10" s="1"/>
  <c r="E1906" i="10"/>
  <c r="F1906" i="10" s="1"/>
  <c r="I1906" i="10" s="1"/>
  <c r="E1905" i="10"/>
  <c r="F1905" i="10" s="1"/>
  <c r="I1905" i="10" s="1"/>
  <c r="E1904" i="10"/>
  <c r="F1904" i="10" s="1"/>
  <c r="I1904" i="10" s="1"/>
  <c r="E1903" i="10"/>
  <c r="F1903" i="10" s="1"/>
  <c r="I1903" i="10" s="1"/>
  <c r="B1903" i="10"/>
  <c r="B1904" i="10" s="1"/>
  <c r="B1905" i="10" s="1"/>
  <c r="B1906" i="10" s="1"/>
  <c r="B1907" i="10" s="1"/>
  <c r="B1908" i="10" s="1"/>
  <c r="B1909" i="10" s="1"/>
  <c r="B1910" i="10" s="1"/>
  <c r="B1911" i="10" s="1"/>
  <c r="B1912" i="10" s="1"/>
  <c r="B1913" i="10" s="1"/>
  <c r="B1914" i="10" s="1"/>
  <c r="B1915" i="10" s="1"/>
  <c r="B1916" i="10" s="1"/>
  <c r="B1917" i="10" s="1"/>
  <c r="B1918" i="10" s="1"/>
  <c r="B1919" i="10" s="1"/>
  <c r="B1920" i="10" s="1"/>
  <c r="B1921" i="10" s="1"/>
  <c r="B1922" i="10" s="1"/>
  <c r="B1923" i="10" s="1"/>
  <c r="B1924" i="10" s="1"/>
  <c r="B1925" i="10" s="1"/>
  <c r="B1926" i="10" s="1"/>
  <c r="B1927" i="10" s="1"/>
  <c r="B1928" i="10" s="1"/>
  <c r="B1929" i="10" s="1"/>
  <c r="B1930" i="10" s="1"/>
  <c r="B1931" i="10" s="1"/>
  <c r="B1932" i="10" s="1"/>
  <c r="B1933" i="10" s="1"/>
  <c r="B1934" i="10" s="1"/>
  <c r="B1935" i="10" s="1"/>
  <c r="B1936" i="10" s="1"/>
  <c r="B1937" i="10" s="1"/>
  <c r="B1938" i="10" s="1"/>
  <c r="E1902" i="10"/>
  <c r="F1902" i="10" s="1"/>
  <c r="I1902" i="10" s="1"/>
  <c r="E1884" i="10"/>
  <c r="F1884" i="10" s="1"/>
  <c r="E1883" i="10"/>
  <c r="F1883" i="10" s="1"/>
  <c r="E1882" i="10"/>
  <c r="F1882" i="10" s="1"/>
  <c r="E1881" i="10"/>
  <c r="F1881" i="10" s="1"/>
  <c r="E1880" i="10"/>
  <c r="F1880" i="10" s="1"/>
  <c r="E1879" i="10"/>
  <c r="F1879" i="10" s="1"/>
  <c r="E1878" i="10"/>
  <c r="F1878" i="10" s="1"/>
  <c r="E1877" i="10"/>
  <c r="F1877" i="10" s="1"/>
  <c r="E1876" i="10"/>
  <c r="F1876" i="10" s="1"/>
  <c r="E1875" i="10"/>
  <c r="F1875" i="10" s="1"/>
  <c r="E1874" i="10"/>
  <c r="F1874" i="10" s="1"/>
  <c r="E1873" i="10"/>
  <c r="F1873" i="10" s="1"/>
  <c r="E1872" i="10"/>
  <c r="F1872" i="10" s="1"/>
  <c r="E1871" i="10"/>
  <c r="F1871" i="10" s="1"/>
  <c r="E1870" i="10"/>
  <c r="F1870" i="10" s="1"/>
  <c r="E1869" i="10"/>
  <c r="F1869" i="10" s="1"/>
  <c r="E1868" i="10"/>
  <c r="F1868" i="10" s="1"/>
  <c r="E1867" i="10"/>
  <c r="F1867" i="10" s="1"/>
  <c r="E1866" i="10"/>
  <c r="F1866" i="10" s="1"/>
  <c r="E1865" i="10"/>
  <c r="F1865" i="10" s="1"/>
  <c r="B1865" i="10"/>
  <c r="B1866" i="10" s="1"/>
  <c r="B1867" i="10" s="1"/>
  <c r="B1868" i="10" s="1"/>
  <c r="B1869" i="10" s="1"/>
  <c r="B1870" i="10" s="1"/>
  <c r="B1871" i="10" s="1"/>
  <c r="B1872" i="10" s="1"/>
  <c r="B1873" i="10" s="1"/>
  <c r="B1874" i="10" s="1"/>
  <c r="B1875" i="10" s="1"/>
  <c r="B1876" i="10" s="1"/>
  <c r="B1877" i="10" s="1"/>
  <c r="B1878" i="10" s="1"/>
  <c r="B1879" i="10" s="1"/>
  <c r="B1880" i="10" s="1"/>
  <c r="B1881" i="10" s="1"/>
  <c r="B1882" i="10" s="1"/>
  <c r="B1883" i="10" s="1"/>
  <c r="B1884" i="10" s="1"/>
  <c r="B1885" i="10" s="1"/>
  <c r="B1886" i="10" s="1"/>
  <c r="B1887" i="10" s="1"/>
  <c r="B1888" i="10" s="1"/>
  <c r="B1889" i="10" s="1"/>
  <c r="B1890" i="10" s="1"/>
  <c r="B1891" i="10" s="1"/>
  <c r="B1892" i="10" s="1"/>
  <c r="B1893" i="10" s="1"/>
  <c r="B1894" i="10" s="1"/>
  <c r="B1895" i="10" s="1"/>
  <c r="B1896" i="10" s="1"/>
  <c r="B1897" i="10" s="1"/>
  <c r="B1898" i="10" s="1"/>
  <c r="B1899" i="10" s="1"/>
  <c r="B1900" i="10" s="1"/>
  <c r="E1864" i="10"/>
  <c r="F1864" i="10" s="1"/>
  <c r="E1846" i="10"/>
  <c r="F1846" i="10" s="1"/>
  <c r="E1845" i="10"/>
  <c r="F1845" i="10" s="1"/>
  <c r="E1844" i="10"/>
  <c r="F1844" i="10" s="1"/>
  <c r="E1843" i="10"/>
  <c r="F1843" i="10" s="1"/>
  <c r="E1842" i="10"/>
  <c r="F1842" i="10" s="1"/>
  <c r="E1841" i="10"/>
  <c r="F1841" i="10" s="1"/>
  <c r="E1840" i="10"/>
  <c r="F1840" i="10" s="1"/>
  <c r="E1839" i="10"/>
  <c r="F1839" i="10" s="1"/>
  <c r="E1838" i="10"/>
  <c r="F1838" i="10" s="1"/>
  <c r="E1837" i="10"/>
  <c r="F1837" i="10" s="1"/>
  <c r="E1836" i="10"/>
  <c r="F1836" i="10" s="1"/>
  <c r="E1835" i="10"/>
  <c r="F1835" i="10" s="1"/>
  <c r="E1834" i="10"/>
  <c r="F1834" i="10" s="1"/>
  <c r="E1833" i="10"/>
  <c r="F1833" i="10" s="1"/>
  <c r="E1832" i="10"/>
  <c r="F1832" i="10" s="1"/>
  <c r="E1831" i="10"/>
  <c r="F1831" i="10" s="1"/>
  <c r="E1830" i="10"/>
  <c r="F1830" i="10" s="1"/>
  <c r="E1829" i="10"/>
  <c r="F1829" i="10" s="1"/>
  <c r="E1828" i="10"/>
  <c r="F1828" i="10" s="1"/>
  <c r="E1827" i="10"/>
  <c r="F1827" i="10" s="1"/>
  <c r="B1827" i="10"/>
  <c r="B1828" i="10" s="1"/>
  <c r="B1829" i="10" s="1"/>
  <c r="B1830" i="10" s="1"/>
  <c r="B1831" i="10" s="1"/>
  <c r="B1832" i="10" s="1"/>
  <c r="B1833" i="10" s="1"/>
  <c r="B1834" i="10" s="1"/>
  <c r="B1835" i="10" s="1"/>
  <c r="B1836" i="10" s="1"/>
  <c r="B1837" i="10" s="1"/>
  <c r="B1838" i="10" s="1"/>
  <c r="B1839" i="10" s="1"/>
  <c r="B1840" i="10" s="1"/>
  <c r="B1841" i="10" s="1"/>
  <c r="B1842" i="10" s="1"/>
  <c r="B1843" i="10" s="1"/>
  <c r="B1844" i="10" s="1"/>
  <c r="B1845" i="10" s="1"/>
  <c r="B1846" i="10" s="1"/>
  <c r="B1847" i="10" s="1"/>
  <c r="B1848" i="10" s="1"/>
  <c r="B1849" i="10" s="1"/>
  <c r="B1850" i="10" s="1"/>
  <c r="B1851" i="10" s="1"/>
  <c r="B1852" i="10" s="1"/>
  <c r="B1853" i="10" s="1"/>
  <c r="B1854" i="10" s="1"/>
  <c r="B1855" i="10" s="1"/>
  <c r="B1856" i="10" s="1"/>
  <c r="B1857" i="10" s="1"/>
  <c r="B1858" i="10" s="1"/>
  <c r="B1859" i="10" s="1"/>
  <c r="B1860" i="10" s="1"/>
  <c r="B1861" i="10" s="1"/>
  <c r="B1862" i="10" s="1"/>
  <c r="E1826" i="10"/>
  <c r="F1826" i="10" s="1"/>
  <c r="E1808" i="10"/>
  <c r="F1808" i="10" s="1"/>
  <c r="E1807" i="10"/>
  <c r="F1807" i="10" s="1"/>
  <c r="E1806" i="10"/>
  <c r="F1806" i="10" s="1"/>
  <c r="E1805" i="10"/>
  <c r="F1805" i="10" s="1"/>
  <c r="E1804" i="10"/>
  <c r="F1804" i="10" s="1"/>
  <c r="E1803" i="10"/>
  <c r="F1803" i="10" s="1"/>
  <c r="E1802" i="10"/>
  <c r="F1802" i="10" s="1"/>
  <c r="E1801" i="10"/>
  <c r="F1801" i="10" s="1"/>
  <c r="E1800" i="10"/>
  <c r="F1800" i="10" s="1"/>
  <c r="E1799" i="10"/>
  <c r="F1799" i="10" s="1"/>
  <c r="E1798" i="10"/>
  <c r="F1798" i="10" s="1"/>
  <c r="E1797" i="10"/>
  <c r="F1797" i="10" s="1"/>
  <c r="E1796" i="10"/>
  <c r="F1796" i="10" s="1"/>
  <c r="E1795" i="10"/>
  <c r="F1795" i="10" s="1"/>
  <c r="E1794" i="10"/>
  <c r="F1794" i="10" s="1"/>
  <c r="E1793" i="10"/>
  <c r="F1793" i="10" s="1"/>
  <c r="E1792" i="10"/>
  <c r="F1792" i="10" s="1"/>
  <c r="E1791" i="10"/>
  <c r="F1791" i="10" s="1"/>
  <c r="E1790" i="10"/>
  <c r="F1790" i="10" s="1"/>
  <c r="E1789" i="10"/>
  <c r="F1789" i="10" s="1"/>
  <c r="B1789" i="10"/>
  <c r="B1790" i="10" s="1"/>
  <c r="B1791" i="10" s="1"/>
  <c r="B1792" i="10" s="1"/>
  <c r="B1793" i="10" s="1"/>
  <c r="B1794" i="10" s="1"/>
  <c r="B1795" i="10" s="1"/>
  <c r="B1796" i="10" s="1"/>
  <c r="B1797" i="10" s="1"/>
  <c r="B1798" i="10" s="1"/>
  <c r="B1799" i="10" s="1"/>
  <c r="B1800" i="10" s="1"/>
  <c r="B1801" i="10" s="1"/>
  <c r="B1802" i="10" s="1"/>
  <c r="B1803" i="10" s="1"/>
  <c r="B1804" i="10" s="1"/>
  <c r="B1805" i="10" s="1"/>
  <c r="B1806" i="10" s="1"/>
  <c r="B1807" i="10" s="1"/>
  <c r="B1808" i="10" s="1"/>
  <c r="B1809" i="10" s="1"/>
  <c r="B1810" i="10" s="1"/>
  <c r="B1811" i="10" s="1"/>
  <c r="B1812" i="10" s="1"/>
  <c r="B1813" i="10" s="1"/>
  <c r="B1814" i="10" s="1"/>
  <c r="B1815" i="10" s="1"/>
  <c r="B1816" i="10" s="1"/>
  <c r="B1817" i="10" s="1"/>
  <c r="B1818" i="10" s="1"/>
  <c r="B1819" i="10" s="1"/>
  <c r="B1820" i="10" s="1"/>
  <c r="B1821" i="10" s="1"/>
  <c r="B1822" i="10" s="1"/>
  <c r="B1823" i="10" s="1"/>
  <c r="B1824" i="10" s="1"/>
  <c r="E1788" i="10"/>
  <c r="F1788" i="10" s="1"/>
  <c r="E1770" i="10"/>
  <c r="F1770" i="10" s="1"/>
  <c r="I1770" i="10" s="1"/>
  <c r="E1769" i="10"/>
  <c r="F1769" i="10" s="1"/>
  <c r="I1769" i="10" s="1"/>
  <c r="E1768" i="10"/>
  <c r="F1768" i="10" s="1"/>
  <c r="I1768" i="10" s="1"/>
  <c r="E1767" i="10"/>
  <c r="F1767" i="10" s="1"/>
  <c r="I1767" i="10" s="1"/>
  <c r="E1766" i="10"/>
  <c r="F1766" i="10" s="1"/>
  <c r="I1766" i="10" s="1"/>
  <c r="E1765" i="10"/>
  <c r="F1765" i="10" s="1"/>
  <c r="I1765" i="10" s="1"/>
  <c r="E1764" i="10"/>
  <c r="F1764" i="10" s="1"/>
  <c r="I1764" i="10" s="1"/>
  <c r="E1763" i="10"/>
  <c r="F1763" i="10" s="1"/>
  <c r="I1763" i="10" s="1"/>
  <c r="E1762" i="10"/>
  <c r="F1762" i="10" s="1"/>
  <c r="I1762" i="10" s="1"/>
  <c r="E1761" i="10"/>
  <c r="F1761" i="10" s="1"/>
  <c r="I1761" i="10" s="1"/>
  <c r="E1760" i="10"/>
  <c r="F1760" i="10" s="1"/>
  <c r="I1760" i="10" s="1"/>
  <c r="E1759" i="10"/>
  <c r="F1759" i="10" s="1"/>
  <c r="I1759" i="10" s="1"/>
  <c r="E1758" i="10"/>
  <c r="F1758" i="10" s="1"/>
  <c r="I1758" i="10" s="1"/>
  <c r="E1757" i="10"/>
  <c r="F1757" i="10" s="1"/>
  <c r="I1757" i="10" s="1"/>
  <c r="E1756" i="10"/>
  <c r="F1756" i="10" s="1"/>
  <c r="I1756" i="10" s="1"/>
  <c r="E1755" i="10"/>
  <c r="F1755" i="10" s="1"/>
  <c r="I1755" i="10" s="1"/>
  <c r="E1754" i="10"/>
  <c r="F1754" i="10" s="1"/>
  <c r="I1754" i="10" s="1"/>
  <c r="E1753" i="10"/>
  <c r="F1753" i="10" s="1"/>
  <c r="I1753" i="10" s="1"/>
  <c r="E1752" i="10"/>
  <c r="F1752" i="10" s="1"/>
  <c r="I1752" i="10" s="1"/>
  <c r="E1751" i="10"/>
  <c r="F1751" i="10" s="1"/>
  <c r="I1751" i="10" s="1"/>
  <c r="B1751" i="10"/>
  <c r="B1752" i="10" s="1"/>
  <c r="B1753" i="10" s="1"/>
  <c r="B1754" i="10" s="1"/>
  <c r="B1755" i="10" s="1"/>
  <c r="B1756" i="10" s="1"/>
  <c r="B1757" i="10" s="1"/>
  <c r="B1758" i="10" s="1"/>
  <c r="B1759" i="10" s="1"/>
  <c r="B1760" i="10" s="1"/>
  <c r="B1761" i="10" s="1"/>
  <c r="B1762" i="10" s="1"/>
  <c r="B1763" i="10" s="1"/>
  <c r="B1764" i="10" s="1"/>
  <c r="B1765" i="10" s="1"/>
  <c r="B1766" i="10" s="1"/>
  <c r="B1767" i="10" s="1"/>
  <c r="B1768" i="10" s="1"/>
  <c r="B1769" i="10" s="1"/>
  <c r="B1770" i="10" s="1"/>
  <c r="B1771" i="10" s="1"/>
  <c r="B1772" i="10" s="1"/>
  <c r="B1773" i="10" s="1"/>
  <c r="B1774" i="10" s="1"/>
  <c r="B1775" i="10" s="1"/>
  <c r="B1776" i="10" s="1"/>
  <c r="B1777" i="10" s="1"/>
  <c r="B1778" i="10" s="1"/>
  <c r="B1779" i="10" s="1"/>
  <c r="B1780" i="10" s="1"/>
  <c r="B1781" i="10" s="1"/>
  <c r="B1782" i="10" s="1"/>
  <c r="B1783" i="10" s="1"/>
  <c r="B1784" i="10" s="1"/>
  <c r="B1785" i="10" s="1"/>
  <c r="B1786" i="10" s="1"/>
  <c r="E1750" i="10"/>
  <c r="F1750" i="10" s="1"/>
  <c r="I1750" i="10" s="1"/>
  <c r="E1732" i="10"/>
  <c r="F1732" i="10" s="1"/>
  <c r="I1732" i="10" s="1"/>
  <c r="E1731" i="10"/>
  <c r="F1731" i="10" s="1"/>
  <c r="I1731" i="10" s="1"/>
  <c r="E1730" i="10"/>
  <c r="F1730" i="10" s="1"/>
  <c r="I1730" i="10" s="1"/>
  <c r="E1729" i="10"/>
  <c r="F1729" i="10" s="1"/>
  <c r="I1729" i="10" s="1"/>
  <c r="E1728" i="10"/>
  <c r="F1728" i="10" s="1"/>
  <c r="I1728" i="10" s="1"/>
  <c r="E1727" i="10"/>
  <c r="F1727" i="10" s="1"/>
  <c r="I1727" i="10" s="1"/>
  <c r="E1726" i="10"/>
  <c r="F1726" i="10" s="1"/>
  <c r="I1726" i="10" s="1"/>
  <c r="E1725" i="10"/>
  <c r="F1725" i="10" s="1"/>
  <c r="I1725" i="10" s="1"/>
  <c r="E1724" i="10"/>
  <c r="F1724" i="10" s="1"/>
  <c r="I1724" i="10" s="1"/>
  <c r="E1723" i="10"/>
  <c r="F1723" i="10" s="1"/>
  <c r="I1723" i="10" s="1"/>
  <c r="E1722" i="10"/>
  <c r="F1722" i="10" s="1"/>
  <c r="I1722" i="10" s="1"/>
  <c r="E1721" i="10"/>
  <c r="F1721" i="10" s="1"/>
  <c r="I1721" i="10" s="1"/>
  <c r="E1720" i="10"/>
  <c r="F1720" i="10" s="1"/>
  <c r="I1720" i="10" s="1"/>
  <c r="E1719" i="10"/>
  <c r="F1719" i="10" s="1"/>
  <c r="I1719" i="10" s="1"/>
  <c r="E1718" i="10"/>
  <c r="F1718" i="10" s="1"/>
  <c r="I1718" i="10" s="1"/>
  <c r="E1717" i="10"/>
  <c r="F1717" i="10" s="1"/>
  <c r="I1717" i="10" s="1"/>
  <c r="E1716" i="10"/>
  <c r="F1716" i="10" s="1"/>
  <c r="I1716" i="10" s="1"/>
  <c r="E1715" i="10"/>
  <c r="F1715" i="10" s="1"/>
  <c r="I1715" i="10" s="1"/>
  <c r="E1714" i="10"/>
  <c r="F1714" i="10" s="1"/>
  <c r="I1714" i="10" s="1"/>
  <c r="E1713" i="10"/>
  <c r="F1713" i="10" s="1"/>
  <c r="I1713" i="10" s="1"/>
  <c r="B1713" i="10"/>
  <c r="B1714" i="10" s="1"/>
  <c r="B1715" i="10" s="1"/>
  <c r="B1716" i="10" s="1"/>
  <c r="B1717" i="10" s="1"/>
  <c r="B1718" i="10" s="1"/>
  <c r="B1719" i="10" s="1"/>
  <c r="B1720" i="10" s="1"/>
  <c r="B1721" i="10" s="1"/>
  <c r="B1722" i="10" s="1"/>
  <c r="B1723" i="10" s="1"/>
  <c r="B1724" i="10" s="1"/>
  <c r="B1725" i="10" s="1"/>
  <c r="B1726" i="10" s="1"/>
  <c r="B1727" i="10" s="1"/>
  <c r="B1728" i="10" s="1"/>
  <c r="B1729" i="10" s="1"/>
  <c r="B1730" i="10" s="1"/>
  <c r="B1731" i="10" s="1"/>
  <c r="B1732" i="10" s="1"/>
  <c r="B1733" i="10" s="1"/>
  <c r="B1734" i="10" s="1"/>
  <c r="B1735" i="10" s="1"/>
  <c r="B1736" i="10" s="1"/>
  <c r="B1737" i="10" s="1"/>
  <c r="B1738" i="10" s="1"/>
  <c r="B1739" i="10" s="1"/>
  <c r="B1740" i="10" s="1"/>
  <c r="B1741" i="10" s="1"/>
  <c r="B1742" i="10" s="1"/>
  <c r="B1743" i="10" s="1"/>
  <c r="B1744" i="10" s="1"/>
  <c r="B1745" i="10" s="1"/>
  <c r="B1746" i="10" s="1"/>
  <c r="B1747" i="10" s="1"/>
  <c r="B1748" i="10" s="1"/>
  <c r="E1712" i="10"/>
  <c r="F1712" i="10" s="1"/>
  <c r="I1712" i="10" s="1"/>
  <c r="E1694" i="10"/>
  <c r="F1694" i="10" s="1"/>
  <c r="I1694" i="10" s="1"/>
  <c r="E1693" i="10"/>
  <c r="F1693" i="10" s="1"/>
  <c r="I1693" i="10" s="1"/>
  <c r="E1692" i="10"/>
  <c r="F1692" i="10" s="1"/>
  <c r="I1692" i="10" s="1"/>
  <c r="E1691" i="10"/>
  <c r="F1691" i="10" s="1"/>
  <c r="I1691" i="10" s="1"/>
  <c r="E1690" i="10"/>
  <c r="F1690" i="10" s="1"/>
  <c r="I1690" i="10" s="1"/>
  <c r="E1689" i="10"/>
  <c r="F1689" i="10" s="1"/>
  <c r="I1689" i="10" s="1"/>
  <c r="E1688" i="10"/>
  <c r="F1688" i="10" s="1"/>
  <c r="I1688" i="10" s="1"/>
  <c r="E1687" i="10"/>
  <c r="F1687" i="10" s="1"/>
  <c r="I1687" i="10" s="1"/>
  <c r="E1686" i="10"/>
  <c r="F1686" i="10" s="1"/>
  <c r="I1686" i="10" s="1"/>
  <c r="E1685" i="10"/>
  <c r="F1685" i="10" s="1"/>
  <c r="I1685" i="10" s="1"/>
  <c r="E1684" i="10"/>
  <c r="F1684" i="10" s="1"/>
  <c r="I1684" i="10" s="1"/>
  <c r="E1683" i="10"/>
  <c r="F1683" i="10" s="1"/>
  <c r="I1683" i="10" s="1"/>
  <c r="E1682" i="10"/>
  <c r="F1682" i="10" s="1"/>
  <c r="I1682" i="10" s="1"/>
  <c r="E1681" i="10"/>
  <c r="F1681" i="10" s="1"/>
  <c r="I1681" i="10" s="1"/>
  <c r="E1680" i="10"/>
  <c r="F1680" i="10" s="1"/>
  <c r="I1680" i="10" s="1"/>
  <c r="E1679" i="10"/>
  <c r="F1679" i="10" s="1"/>
  <c r="I1679" i="10" s="1"/>
  <c r="E1678" i="10"/>
  <c r="F1678" i="10" s="1"/>
  <c r="I1678" i="10" s="1"/>
  <c r="E1677" i="10"/>
  <c r="F1677" i="10" s="1"/>
  <c r="I1677" i="10" s="1"/>
  <c r="E1676" i="10"/>
  <c r="F1676" i="10" s="1"/>
  <c r="I1676" i="10" s="1"/>
  <c r="E1675" i="10"/>
  <c r="F1675" i="10" s="1"/>
  <c r="I1675" i="10" s="1"/>
  <c r="B1675" i="10"/>
  <c r="B1676" i="10" s="1"/>
  <c r="B1677" i="10" s="1"/>
  <c r="B1678" i="10" s="1"/>
  <c r="B1679" i="10" s="1"/>
  <c r="B1680" i="10" s="1"/>
  <c r="B1681" i="10" s="1"/>
  <c r="B1682" i="10" s="1"/>
  <c r="B1683" i="10" s="1"/>
  <c r="B1684" i="10" s="1"/>
  <c r="B1685" i="10" s="1"/>
  <c r="B1686" i="10" s="1"/>
  <c r="B1687" i="10" s="1"/>
  <c r="B1688" i="10" s="1"/>
  <c r="B1689" i="10" s="1"/>
  <c r="B1690" i="10" s="1"/>
  <c r="B1691" i="10" s="1"/>
  <c r="B1692" i="10" s="1"/>
  <c r="B1693" i="10" s="1"/>
  <c r="B1694" i="10" s="1"/>
  <c r="B1695" i="10" s="1"/>
  <c r="B1696" i="10" s="1"/>
  <c r="B1697" i="10" s="1"/>
  <c r="B1698" i="10" s="1"/>
  <c r="B1699" i="10" s="1"/>
  <c r="B1700" i="10" s="1"/>
  <c r="B1701" i="10" s="1"/>
  <c r="B1702" i="10" s="1"/>
  <c r="B1703" i="10" s="1"/>
  <c r="B1704" i="10" s="1"/>
  <c r="B1705" i="10" s="1"/>
  <c r="B1706" i="10" s="1"/>
  <c r="B1707" i="10" s="1"/>
  <c r="B1708" i="10" s="1"/>
  <c r="B1709" i="10" s="1"/>
  <c r="B1710" i="10" s="1"/>
  <c r="E1674" i="10"/>
  <c r="F1674" i="10" s="1"/>
  <c r="I1674" i="10" s="1"/>
  <c r="E1656" i="10"/>
  <c r="F1656" i="10" s="1"/>
  <c r="I1656" i="10" s="1"/>
  <c r="E1655" i="10"/>
  <c r="F1655" i="10" s="1"/>
  <c r="I1655" i="10" s="1"/>
  <c r="E1654" i="10"/>
  <c r="F1654" i="10" s="1"/>
  <c r="I1654" i="10" s="1"/>
  <c r="E1653" i="10"/>
  <c r="F1653" i="10" s="1"/>
  <c r="I1653" i="10" s="1"/>
  <c r="E1652" i="10"/>
  <c r="F1652" i="10" s="1"/>
  <c r="I1652" i="10" s="1"/>
  <c r="E1651" i="10"/>
  <c r="F1651" i="10" s="1"/>
  <c r="I1651" i="10" s="1"/>
  <c r="E1650" i="10"/>
  <c r="F1650" i="10" s="1"/>
  <c r="I1650" i="10" s="1"/>
  <c r="E1649" i="10"/>
  <c r="F1649" i="10" s="1"/>
  <c r="I1649" i="10" s="1"/>
  <c r="E1648" i="10"/>
  <c r="F1648" i="10" s="1"/>
  <c r="I1648" i="10" s="1"/>
  <c r="E1647" i="10"/>
  <c r="F1647" i="10" s="1"/>
  <c r="I1647" i="10" s="1"/>
  <c r="E1646" i="10"/>
  <c r="F1646" i="10" s="1"/>
  <c r="I1646" i="10" s="1"/>
  <c r="E1645" i="10"/>
  <c r="F1645" i="10" s="1"/>
  <c r="I1645" i="10" s="1"/>
  <c r="E1644" i="10"/>
  <c r="F1644" i="10" s="1"/>
  <c r="I1644" i="10" s="1"/>
  <c r="E1643" i="10"/>
  <c r="F1643" i="10" s="1"/>
  <c r="I1643" i="10" s="1"/>
  <c r="E1642" i="10"/>
  <c r="F1642" i="10" s="1"/>
  <c r="I1642" i="10" s="1"/>
  <c r="E1641" i="10"/>
  <c r="F1641" i="10" s="1"/>
  <c r="I1641" i="10" s="1"/>
  <c r="E1640" i="10"/>
  <c r="F1640" i="10" s="1"/>
  <c r="I1640" i="10" s="1"/>
  <c r="E1639" i="10"/>
  <c r="F1639" i="10" s="1"/>
  <c r="I1639" i="10" s="1"/>
  <c r="E1638" i="10"/>
  <c r="F1638" i="10" s="1"/>
  <c r="I1638" i="10" s="1"/>
  <c r="E1637" i="10"/>
  <c r="F1637" i="10" s="1"/>
  <c r="I1637" i="10" s="1"/>
  <c r="B1637" i="10"/>
  <c r="B1638" i="10" s="1"/>
  <c r="B1639" i="10" s="1"/>
  <c r="B1640" i="10" s="1"/>
  <c r="B1641" i="10" s="1"/>
  <c r="B1642" i="10" s="1"/>
  <c r="B1643" i="10" s="1"/>
  <c r="B1644" i="10" s="1"/>
  <c r="B1645" i="10" s="1"/>
  <c r="B1646" i="10" s="1"/>
  <c r="B1647" i="10" s="1"/>
  <c r="B1648" i="10" s="1"/>
  <c r="B1649" i="10" s="1"/>
  <c r="B1650" i="10" s="1"/>
  <c r="B1651" i="10" s="1"/>
  <c r="B1652" i="10" s="1"/>
  <c r="B1653" i="10" s="1"/>
  <c r="B1654" i="10" s="1"/>
  <c r="B1655" i="10" s="1"/>
  <c r="B1656" i="10" s="1"/>
  <c r="B1657" i="10" s="1"/>
  <c r="B1658" i="10" s="1"/>
  <c r="B1659" i="10" s="1"/>
  <c r="B1660" i="10" s="1"/>
  <c r="B1661" i="10" s="1"/>
  <c r="B1662" i="10" s="1"/>
  <c r="B1663" i="10" s="1"/>
  <c r="B1664" i="10" s="1"/>
  <c r="B1665" i="10" s="1"/>
  <c r="B1666" i="10" s="1"/>
  <c r="B1667" i="10" s="1"/>
  <c r="B1668" i="10" s="1"/>
  <c r="B1669" i="10" s="1"/>
  <c r="B1670" i="10" s="1"/>
  <c r="B1671" i="10" s="1"/>
  <c r="B1672" i="10" s="1"/>
  <c r="E1636" i="10"/>
  <c r="F1636" i="10" s="1"/>
  <c r="I1636" i="10" s="1"/>
  <c r="E1618" i="10"/>
  <c r="F1618" i="10" s="1"/>
  <c r="E1617" i="10"/>
  <c r="F1617" i="10" s="1"/>
  <c r="E1616" i="10"/>
  <c r="F1616" i="10" s="1"/>
  <c r="E1615" i="10"/>
  <c r="F1615" i="10" s="1"/>
  <c r="E1614" i="10"/>
  <c r="F1614" i="10" s="1"/>
  <c r="E1613" i="10"/>
  <c r="F1613" i="10" s="1"/>
  <c r="E1612" i="10"/>
  <c r="F1612" i="10" s="1"/>
  <c r="E1611" i="10"/>
  <c r="F1611" i="10" s="1"/>
  <c r="E1610" i="10"/>
  <c r="F1610" i="10" s="1"/>
  <c r="E1609" i="10"/>
  <c r="F1609" i="10" s="1"/>
  <c r="E1608" i="10"/>
  <c r="F1608" i="10" s="1"/>
  <c r="E1607" i="10"/>
  <c r="F1607" i="10" s="1"/>
  <c r="E1606" i="10"/>
  <c r="F1606" i="10" s="1"/>
  <c r="E1605" i="10"/>
  <c r="F1605" i="10" s="1"/>
  <c r="E1604" i="10"/>
  <c r="F1604" i="10" s="1"/>
  <c r="E1603" i="10"/>
  <c r="F1603" i="10" s="1"/>
  <c r="E1602" i="10"/>
  <c r="F1602" i="10" s="1"/>
  <c r="E1601" i="10"/>
  <c r="F1601" i="10" s="1"/>
  <c r="E1600" i="10"/>
  <c r="F1600" i="10" s="1"/>
  <c r="E1599" i="10"/>
  <c r="F1599" i="10" s="1"/>
  <c r="B1599" i="10"/>
  <c r="B1600" i="10" s="1"/>
  <c r="B1601" i="10" s="1"/>
  <c r="B1602" i="10" s="1"/>
  <c r="B1603" i="10" s="1"/>
  <c r="B1604" i="10" s="1"/>
  <c r="B1605" i="10" s="1"/>
  <c r="B1606" i="10" s="1"/>
  <c r="B1607" i="10" s="1"/>
  <c r="B1608" i="10" s="1"/>
  <c r="B1609" i="10" s="1"/>
  <c r="B1610" i="10" s="1"/>
  <c r="B1611" i="10" s="1"/>
  <c r="B1612" i="10" s="1"/>
  <c r="B1613" i="10" s="1"/>
  <c r="B1614" i="10" s="1"/>
  <c r="B1615" i="10" s="1"/>
  <c r="B1616" i="10" s="1"/>
  <c r="B1617" i="10" s="1"/>
  <c r="B1618" i="10" s="1"/>
  <c r="B1619" i="10" s="1"/>
  <c r="B1620" i="10" s="1"/>
  <c r="B1621" i="10" s="1"/>
  <c r="B1622" i="10" s="1"/>
  <c r="B1623" i="10" s="1"/>
  <c r="B1624" i="10" s="1"/>
  <c r="B1625" i="10" s="1"/>
  <c r="B1626" i="10" s="1"/>
  <c r="B1627" i="10" s="1"/>
  <c r="B1628" i="10" s="1"/>
  <c r="B1629" i="10" s="1"/>
  <c r="B1630" i="10" s="1"/>
  <c r="B1631" i="10" s="1"/>
  <c r="B1632" i="10" s="1"/>
  <c r="B1633" i="10" s="1"/>
  <c r="B1634" i="10" s="1"/>
  <c r="E1598" i="10"/>
  <c r="F1598" i="10" s="1"/>
  <c r="E1580" i="10"/>
  <c r="F1580" i="10" s="1"/>
  <c r="E1579" i="10"/>
  <c r="F1579" i="10" s="1"/>
  <c r="E1578" i="10"/>
  <c r="F1578" i="10" s="1"/>
  <c r="E1577" i="10"/>
  <c r="F1577" i="10" s="1"/>
  <c r="E1576" i="10"/>
  <c r="F1576" i="10" s="1"/>
  <c r="E1575" i="10"/>
  <c r="F1575" i="10" s="1"/>
  <c r="E1574" i="10"/>
  <c r="F1574" i="10" s="1"/>
  <c r="E1573" i="10"/>
  <c r="F1573" i="10" s="1"/>
  <c r="E1572" i="10"/>
  <c r="F1572" i="10" s="1"/>
  <c r="E1571" i="10"/>
  <c r="F1571" i="10" s="1"/>
  <c r="E1570" i="10"/>
  <c r="F1570" i="10" s="1"/>
  <c r="E1569" i="10"/>
  <c r="F1569" i="10" s="1"/>
  <c r="E1568" i="10"/>
  <c r="F1568" i="10" s="1"/>
  <c r="E1567" i="10"/>
  <c r="F1567" i="10" s="1"/>
  <c r="E1566" i="10"/>
  <c r="F1566" i="10" s="1"/>
  <c r="E1565" i="10"/>
  <c r="F1565" i="10" s="1"/>
  <c r="E1564" i="10"/>
  <c r="F1564" i="10" s="1"/>
  <c r="E1563" i="10"/>
  <c r="F1563" i="10" s="1"/>
  <c r="E1562" i="10"/>
  <c r="F1562" i="10" s="1"/>
  <c r="E1561" i="10"/>
  <c r="F1561" i="10" s="1"/>
  <c r="B1561" i="10"/>
  <c r="B1562" i="10" s="1"/>
  <c r="B1563" i="10" s="1"/>
  <c r="B1564" i="10" s="1"/>
  <c r="B1565" i="10" s="1"/>
  <c r="B1566" i="10" s="1"/>
  <c r="B1567" i="10" s="1"/>
  <c r="B1568" i="10" s="1"/>
  <c r="B1569" i="10" s="1"/>
  <c r="B1570" i="10" s="1"/>
  <c r="B1571" i="10" s="1"/>
  <c r="B1572" i="10" s="1"/>
  <c r="B1573" i="10" s="1"/>
  <c r="B1574" i="10" s="1"/>
  <c r="B1575" i="10" s="1"/>
  <c r="B1576" i="10" s="1"/>
  <c r="B1577" i="10" s="1"/>
  <c r="B1578" i="10" s="1"/>
  <c r="B1579" i="10" s="1"/>
  <c r="B1580" i="10" s="1"/>
  <c r="B1581" i="10" s="1"/>
  <c r="B1582" i="10" s="1"/>
  <c r="B1583" i="10" s="1"/>
  <c r="B1584" i="10" s="1"/>
  <c r="B1585" i="10" s="1"/>
  <c r="B1586" i="10" s="1"/>
  <c r="B1587" i="10" s="1"/>
  <c r="B1588" i="10" s="1"/>
  <c r="B1589" i="10" s="1"/>
  <c r="B1590" i="10" s="1"/>
  <c r="B1591" i="10" s="1"/>
  <c r="B1592" i="10" s="1"/>
  <c r="B1593" i="10" s="1"/>
  <c r="B1594" i="10" s="1"/>
  <c r="B1595" i="10" s="1"/>
  <c r="B1596" i="10" s="1"/>
  <c r="E1560" i="10"/>
  <c r="F1560" i="10" s="1"/>
  <c r="E1542" i="10"/>
  <c r="F1542" i="10" s="1"/>
  <c r="E1541" i="10"/>
  <c r="F1541" i="10" s="1"/>
  <c r="E1540" i="10"/>
  <c r="F1540" i="10" s="1"/>
  <c r="E1539" i="10"/>
  <c r="F1539" i="10" s="1"/>
  <c r="E1538" i="10"/>
  <c r="F1538" i="10" s="1"/>
  <c r="E1537" i="10"/>
  <c r="F1537" i="10" s="1"/>
  <c r="E1536" i="10"/>
  <c r="F1536" i="10" s="1"/>
  <c r="E1535" i="10"/>
  <c r="F1535" i="10" s="1"/>
  <c r="E1534" i="10"/>
  <c r="F1534" i="10" s="1"/>
  <c r="E1533" i="10"/>
  <c r="F1533" i="10" s="1"/>
  <c r="E1532" i="10"/>
  <c r="F1532" i="10" s="1"/>
  <c r="E1531" i="10"/>
  <c r="F1531" i="10" s="1"/>
  <c r="E1530" i="10"/>
  <c r="F1530" i="10" s="1"/>
  <c r="E1529" i="10"/>
  <c r="F1529" i="10" s="1"/>
  <c r="E1528" i="10"/>
  <c r="F1528" i="10" s="1"/>
  <c r="E1527" i="10"/>
  <c r="F1527" i="10" s="1"/>
  <c r="E1526" i="10"/>
  <c r="F1526" i="10" s="1"/>
  <c r="E1525" i="10"/>
  <c r="F1525" i="10" s="1"/>
  <c r="E1524" i="10"/>
  <c r="F1524" i="10" s="1"/>
  <c r="E1523" i="10"/>
  <c r="F1523" i="10" s="1"/>
  <c r="B1523" i="10"/>
  <c r="B1524" i="10" s="1"/>
  <c r="B1525" i="10" s="1"/>
  <c r="B1526" i="10" s="1"/>
  <c r="B1527" i="10" s="1"/>
  <c r="B1528" i="10" s="1"/>
  <c r="B1529" i="10" s="1"/>
  <c r="B1530" i="10" s="1"/>
  <c r="B1531" i="10" s="1"/>
  <c r="B1532" i="10" s="1"/>
  <c r="B1533" i="10" s="1"/>
  <c r="B1534" i="10" s="1"/>
  <c r="B1535" i="10" s="1"/>
  <c r="B1536" i="10" s="1"/>
  <c r="B1537" i="10" s="1"/>
  <c r="B1538" i="10" s="1"/>
  <c r="B1539" i="10" s="1"/>
  <c r="B1540" i="10" s="1"/>
  <c r="B1541" i="10" s="1"/>
  <c r="B1542" i="10" s="1"/>
  <c r="B1543" i="10" s="1"/>
  <c r="B1544" i="10" s="1"/>
  <c r="B1545" i="10" s="1"/>
  <c r="B1546" i="10" s="1"/>
  <c r="B1547" i="10" s="1"/>
  <c r="B1548" i="10" s="1"/>
  <c r="B1549" i="10" s="1"/>
  <c r="B1550" i="10" s="1"/>
  <c r="B1551" i="10" s="1"/>
  <c r="B1552" i="10" s="1"/>
  <c r="B1553" i="10" s="1"/>
  <c r="B1554" i="10" s="1"/>
  <c r="B1555" i="10" s="1"/>
  <c r="B1556" i="10" s="1"/>
  <c r="B1557" i="10" s="1"/>
  <c r="B1558" i="10" s="1"/>
  <c r="E1522" i="10"/>
  <c r="F1522" i="10" s="1"/>
  <c r="E1504" i="10"/>
  <c r="F1504" i="10" s="1"/>
  <c r="I1504" i="10" s="1"/>
  <c r="E1503" i="10"/>
  <c r="F1503" i="10" s="1"/>
  <c r="I1503" i="10" s="1"/>
  <c r="E1502" i="10"/>
  <c r="F1502" i="10" s="1"/>
  <c r="I1502" i="10" s="1"/>
  <c r="E1501" i="10"/>
  <c r="F1501" i="10" s="1"/>
  <c r="I1501" i="10" s="1"/>
  <c r="E1500" i="10"/>
  <c r="F1500" i="10" s="1"/>
  <c r="I1500" i="10" s="1"/>
  <c r="E1499" i="10"/>
  <c r="F1499" i="10" s="1"/>
  <c r="I1499" i="10" s="1"/>
  <c r="E1498" i="10"/>
  <c r="F1498" i="10" s="1"/>
  <c r="I1498" i="10" s="1"/>
  <c r="E1497" i="10"/>
  <c r="F1497" i="10" s="1"/>
  <c r="I1497" i="10" s="1"/>
  <c r="E1496" i="10"/>
  <c r="F1496" i="10" s="1"/>
  <c r="I1496" i="10" s="1"/>
  <c r="E1495" i="10"/>
  <c r="F1495" i="10" s="1"/>
  <c r="I1495" i="10" s="1"/>
  <c r="E1494" i="10"/>
  <c r="F1494" i="10" s="1"/>
  <c r="I1494" i="10" s="1"/>
  <c r="E1493" i="10"/>
  <c r="F1493" i="10" s="1"/>
  <c r="I1493" i="10" s="1"/>
  <c r="E1492" i="10"/>
  <c r="F1492" i="10" s="1"/>
  <c r="I1492" i="10" s="1"/>
  <c r="E1491" i="10"/>
  <c r="F1491" i="10" s="1"/>
  <c r="I1491" i="10" s="1"/>
  <c r="E1490" i="10"/>
  <c r="F1490" i="10" s="1"/>
  <c r="I1490" i="10" s="1"/>
  <c r="E1489" i="10"/>
  <c r="F1489" i="10" s="1"/>
  <c r="I1489" i="10" s="1"/>
  <c r="E1488" i="10"/>
  <c r="F1488" i="10" s="1"/>
  <c r="I1488" i="10" s="1"/>
  <c r="E1487" i="10"/>
  <c r="F1487" i="10" s="1"/>
  <c r="I1487" i="10" s="1"/>
  <c r="E1486" i="10"/>
  <c r="F1486" i="10" s="1"/>
  <c r="I1486" i="10" s="1"/>
  <c r="E1485" i="10"/>
  <c r="F1485" i="10" s="1"/>
  <c r="I1485" i="10" s="1"/>
  <c r="B1485" i="10"/>
  <c r="B1486" i="10" s="1"/>
  <c r="B1487" i="10" s="1"/>
  <c r="B1488" i="10" s="1"/>
  <c r="B1489" i="10" s="1"/>
  <c r="B1490" i="10" s="1"/>
  <c r="B1491" i="10" s="1"/>
  <c r="B1492" i="10" s="1"/>
  <c r="B1493" i="10" s="1"/>
  <c r="B1494" i="10" s="1"/>
  <c r="B1495" i="10" s="1"/>
  <c r="B1496" i="10" s="1"/>
  <c r="B1497" i="10" s="1"/>
  <c r="B1498" i="10" s="1"/>
  <c r="B1499" i="10" s="1"/>
  <c r="B1500" i="10" s="1"/>
  <c r="B1501" i="10" s="1"/>
  <c r="B1502" i="10" s="1"/>
  <c r="B1503" i="10" s="1"/>
  <c r="B1504" i="10" s="1"/>
  <c r="B1505" i="10" s="1"/>
  <c r="B1506" i="10" s="1"/>
  <c r="B1507" i="10" s="1"/>
  <c r="B1508" i="10" s="1"/>
  <c r="B1509" i="10" s="1"/>
  <c r="B1510" i="10" s="1"/>
  <c r="B1511" i="10" s="1"/>
  <c r="B1512" i="10" s="1"/>
  <c r="B1513" i="10" s="1"/>
  <c r="B1514" i="10" s="1"/>
  <c r="B1515" i="10" s="1"/>
  <c r="B1516" i="10" s="1"/>
  <c r="B1517" i="10" s="1"/>
  <c r="B1518" i="10" s="1"/>
  <c r="B1519" i="10" s="1"/>
  <c r="B1520" i="10" s="1"/>
  <c r="E1484" i="10"/>
  <c r="F1484" i="10" s="1"/>
  <c r="I1484" i="10" s="1"/>
  <c r="E1466" i="10"/>
  <c r="F1466" i="10" s="1"/>
  <c r="E1465" i="10"/>
  <c r="F1465" i="10" s="1"/>
  <c r="E1464" i="10"/>
  <c r="F1464" i="10" s="1"/>
  <c r="E1463" i="10"/>
  <c r="F1463" i="10" s="1"/>
  <c r="E1462" i="10"/>
  <c r="F1462" i="10" s="1"/>
  <c r="E1461" i="10"/>
  <c r="F1461" i="10" s="1"/>
  <c r="E1460" i="10"/>
  <c r="F1460" i="10" s="1"/>
  <c r="E1459" i="10"/>
  <c r="F1459" i="10" s="1"/>
  <c r="E1458" i="10"/>
  <c r="F1458" i="10" s="1"/>
  <c r="E1457" i="10"/>
  <c r="F1457" i="10" s="1"/>
  <c r="E1456" i="10"/>
  <c r="F1456" i="10" s="1"/>
  <c r="E1455" i="10"/>
  <c r="F1455" i="10" s="1"/>
  <c r="E1454" i="10"/>
  <c r="F1454" i="10" s="1"/>
  <c r="E1453" i="10"/>
  <c r="F1453" i="10" s="1"/>
  <c r="E1452" i="10"/>
  <c r="F1452" i="10" s="1"/>
  <c r="E1451" i="10"/>
  <c r="F1451" i="10" s="1"/>
  <c r="E1450" i="10"/>
  <c r="F1450" i="10" s="1"/>
  <c r="E1449" i="10"/>
  <c r="F1449" i="10" s="1"/>
  <c r="E1448" i="10"/>
  <c r="F1448" i="10" s="1"/>
  <c r="E1447" i="10"/>
  <c r="F1447" i="10" s="1"/>
  <c r="B1447" i="10"/>
  <c r="B1448" i="10" s="1"/>
  <c r="B1449" i="10" s="1"/>
  <c r="B1450" i="10" s="1"/>
  <c r="B1451" i="10" s="1"/>
  <c r="B1452" i="10" s="1"/>
  <c r="B1453" i="10" s="1"/>
  <c r="B1454" i="10" s="1"/>
  <c r="B1455" i="10" s="1"/>
  <c r="B1456" i="10" s="1"/>
  <c r="B1457" i="10" s="1"/>
  <c r="B1458" i="10" s="1"/>
  <c r="B1459" i="10" s="1"/>
  <c r="B1460" i="10" s="1"/>
  <c r="B1461" i="10" s="1"/>
  <c r="B1462" i="10" s="1"/>
  <c r="B1463" i="10" s="1"/>
  <c r="B1464" i="10" s="1"/>
  <c r="B1465" i="10" s="1"/>
  <c r="B1466" i="10" s="1"/>
  <c r="B1467" i="10" s="1"/>
  <c r="B1468" i="10" s="1"/>
  <c r="B1469" i="10" s="1"/>
  <c r="B1470" i="10" s="1"/>
  <c r="B1471" i="10" s="1"/>
  <c r="B1472" i="10" s="1"/>
  <c r="B1473" i="10" s="1"/>
  <c r="B1474" i="10" s="1"/>
  <c r="B1475" i="10" s="1"/>
  <c r="B1476" i="10" s="1"/>
  <c r="B1477" i="10" s="1"/>
  <c r="B1478" i="10" s="1"/>
  <c r="B1479" i="10" s="1"/>
  <c r="B1480" i="10" s="1"/>
  <c r="B1481" i="10" s="1"/>
  <c r="B1482" i="10" s="1"/>
  <c r="E1446" i="10"/>
  <c r="F1446" i="10" s="1"/>
  <c r="E1428" i="10"/>
  <c r="F1428" i="10" s="1"/>
  <c r="E1427" i="10"/>
  <c r="F1427" i="10" s="1"/>
  <c r="E1426" i="10"/>
  <c r="F1426" i="10" s="1"/>
  <c r="E1425" i="10"/>
  <c r="F1425" i="10" s="1"/>
  <c r="E1424" i="10"/>
  <c r="F1424" i="10" s="1"/>
  <c r="E1423" i="10"/>
  <c r="F1423" i="10" s="1"/>
  <c r="E1422" i="10"/>
  <c r="F1422" i="10" s="1"/>
  <c r="E1421" i="10"/>
  <c r="F1421" i="10" s="1"/>
  <c r="E1420" i="10"/>
  <c r="F1420" i="10" s="1"/>
  <c r="E1419" i="10"/>
  <c r="F1419" i="10" s="1"/>
  <c r="E1418" i="10"/>
  <c r="F1418" i="10" s="1"/>
  <c r="E1417" i="10"/>
  <c r="F1417" i="10" s="1"/>
  <c r="E1416" i="10"/>
  <c r="F1416" i="10" s="1"/>
  <c r="E1415" i="10"/>
  <c r="F1415" i="10" s="1"/>
  <c r="E1414" i="10"/>
  <c r="F1414" i="10" s="1"/>
  <c r="E1413" i="10"/>
  <c r="F1413" i="10" s="1"/>
  <c r="E1412" i="10"/>
  <c r="F1412" i="10" s="1"/>
  <c r="E1411" i="10"/>
  <c r="F1411" i="10" s="1"/>
  <c r="E1410" i="10"/>
  <c r="F1410" i="10" s="1"/>
  <c r="E1409" i="10"/>
  <c r="F1409" i="10" s="1"/>
  <c r="B1409" i="10"/>
  <c r="B1410" i="10" s="1"/>
  <c r="B1411" i="10" s="1"/>
  <c r="B1412" i="10" s="1"/>
  <c r="B1413" i="10" s="1"/>
  <c r="B1414" i="10" s="1"/>
  <c r="B1415" i="10" s="1"/>
  <c r="B1416" i="10" s="1"/>
  <c r="B1417" i="10" s="1"/>
  <c r="B1418" i="10" s="1"/>
  <c r="B1419" i="10" s="1"/>
  <c r="B1420" i="10" s="1"/>
  <c r="B1421" i="10" s="1"/>
  <c r="B1422" i="10" s="1"/>
  <c r="B1423" i="10" s="1"/>
  <c r="B1424" i="10" s="1"/>
  <c r="B1425" i="10" s="1"/>
  <c r="B1426" i="10" s="1"/>
  <c r="B1427" i="10" s="1"/>
  <c r="B1428" i="10" s="1"/>
  <c r="B1429" i="10" s="1"/>
  <c r="B1430" i="10" s="1"/>
  <c r="B1431" i="10" s="1"/>
  <c r="B1432" i="10" s="1"/>
  <c r="B1433" i="10" s="1"/>
  <c r="B1434" i="10" s="1"/>
  <c r="B1435" i="10" s="1"/>
  <c r="B1436" i="10" s="1"/>
  <c r="B1437" i="10" s="1"/>
  <c r="B1438" i="10" s="1"/>
  <c r="B1439" i="10" s="1"/>
  <c r="B1440" i="10" s="1"/>
  <c r="B1441" i="10" s="1"/>
  <c r="B1442" i="10" s="1"/>
  <c r="B1443" i="10" s="1"/>
  <c r="B1444" i="10" s="1"/>
  <c r="E1408" i="10"/>
  <c r="F1408" i="10" s="1"/>
  <c r="E1390" i="10"/>
  <c r="F1390" i="10" s="1"/>
  <c r="E1389" i="10"/>
  <c r="F1389" i="10" s="1"/>
  <c r="E1388" i="10"/>
  <c r="F1388" i="10" s="1"/>
  <c r="E1387" i="10"/>
  <c r="F1387" i="10" s="1"/>
  <c r="E1386" i="10"/>
  <c r="F1386" i="10" s="1"/>
  <c r="E1385" i="10"/>
  <c r="F1385" i="10" s="1"/>
  <c r="E1384" i="10"/>
  <c r="F1384" i="10" s="1"/>
  <c r="E1383" i="10"/>
  <c r="F1383" i="10" s="1"/>
  <c r="E1382" i="10"/>
  <c r="F1382" i="10" s="1"/>
  <c r="E1381" i="10"/>
  <c r="F1381" i="10" s="1"/>
  <c r="E1380" i="10"/>
  <c r="F1380" i="10" s="1"/>
  <c r="E1379" i="10"/>
  <c r="F1379" i="10" s="1"/>
  <c r="E1378" i="10"/>
  <c r="F1378" i="10" s="1"/>
  <c r="E1377" i="10"/>
  <c r="F1377" i="10" s="1"/>
  <c r="E1376" i="10"/>
  <c r="F1376" i="10" s="1"/>
  <c r="E1375" i="10"/>
  <c r="F1375" i="10" s="1"/>
  <c r="E1374" i="10"/>
  <c r="F1374" i="10" s="1"/>
  <c r="E1373" i="10"/>
  <c r="F1373" i="10" s="1"/>
  <c r="E1372" i="10"/>
  <c r="F1372" i="10" s="1"/>
  <c r="E1371" i="10"/>
  <c r="F1371" i="10" s="1"/>
  <c r="B1371" i="10"/>
  <c r="B1372" i="10" s="1"/>
  <c r="B1373" i="10" s="1"/>
  <c r="B1374" i="10" s="1"/>
  <c r="B1375" i="10" s="1"/>
  <c r="B1376" i="10" s="1"/>
  <c r="B1377" i="10" s="1"/>
  <c r="B1378" i="10" s="1"/>
  <c r="B1379" i="10" s="1"/>
  <c r="B1380" i="10" s="1"/>
  <c r="B1381" i="10" s="1"/>
  <c r="B1382" i="10" s="1"/>
  <c r="B1383" i="10" s="1"/>
  <c r="B1384" i="10" s="1"/>
  <c r="B1385" i="10" s="1"/>
  <c r="B1386" i="10" s="1"/>
  <c r="B1387" i="10" s="1"/>
  <c r="B1388" i="10" s="1"/>
  <c r="B1389" i="10" s="1"/>
  <c r="B1390" i="10" s="1"/>
  <c r="B1391" i="10" s="1"/>
  <c r="B1392" i="10" s="1"/>
  <c r="B1393" i="10" s="1"/>
  <c r="B1394" i="10" s="1"/>
  <c r="B1395" i="10" s="1"/>
  <c r="B1396" i="10" s="1"/>
  <c r="B1397" i="10" s="1"/>
  <c r="B1398" i="10" s="1"/>
  <c r="B1399" i="10" s="1"/>
  <c r="B1400" i="10" s="1"/>
  <c r="B1401" i="10" s="1"/>
  <c r="B1402" i="10" s="1"/>
  <c r="B1403" i="10" s="1"/>
  <c r="B1404" i="10" s="1"/>
  <c r="B1405" i="10" s="1"/>
  <c r="B1406" i="10" s="1"/>
  <c r="E1370" i="10"/>
  <c r="F1370" i="10" s="1"/>
  <c r="E1352" i="10"/>
  <c r="F1352" i="10" s="1"/>
  <c r="I1352" i="10" s="1"/>
  <c r="E1351" i="10"/>
  <c r="F1351" i="10" s="1"/>
  <c r="I1351" i="10" s="1"/>
  <c r="E1350" i="10"/>
  <c r="F1350" i="10" s="1"/>
  <c r="I1350" i="10" s="1"/>
  <c r="E1349" i="10"/>
  <c r="F1349" i="10" s="1"/>
  <c r="I1349" i="10" s="1"/>
  <c r="E1348" i="10"/>
  <c r="F1348" i="10" s="1"/>
  <c r="I1348" i="10" s="1"/>
  <c r="E1347" i="10"/>
  <c r="F1347" i="10" s="1"/>
  <c r="I1347" i="10" s="1"/>
  <c r="E1346" i="10"/>
  <c r="F1346" i="10" s="1"/>
  <c r="I1346" i="10" s="1"/>
  <c r="E1345" i="10"/>
  <c r="F1345" i="10" s="1"/>
  <c r="I1345" i="10" s="1"/>
  <c r="E1344" i="10"/>
  <c r="F1344" i="10" s="1"/>
  <c r="I1344" i="10" s="1"/>
  <c r="E1343" i="10"/>
  <c r="F1343" i="10" s="1"/>
  <c r="I1343" i="10" s="1"/>
  <c r="E1342" i="10"/>
  <c r="F1342" i="10" s="1"/>
  <c r="I1342" i="10" s="1"/>
  <c r="E1341" i="10"/>
  <c r="F1341" i="10" s="1"/>
  <c r="I1341" i="10" s="1"/>
  <c r="E1340" i="10"/>
  <c r="F1340" i="10" s="1"/>
  <c r="I1340" i="10" s="1"/>
  <c r="E1339" i="10"/>
  <c r="F1339" i="10" s="1"/>
  <c r="I1339" i="10" s="1"/>
  <c r="E1338" i="10"/>
  <c r="F1338" i="10" s="1"/>
  <c r="I1338" i="10" s="1"/>
  <c r="E1337" i="10"/>
  <c r="F1337" i="10" s="1"/>
  <c r="I1337" i="10" s="1"/>
  <c r="E1336" i="10"/>
  <c r="F1336" i="10" s="1"/>
  <c r="I1336" i="10" s="1"/>
  <c r="E1335" i="10"/>
  <c r="F1335" i="10" s="1"/>
  <c r="I1335" i="10" s="1"/>
  <c r="E1334" i="10"/>
  <c r="F1334" i="10" s="1"/>
  <c r="I1334" i="10" s="1"/>
  <c r="E1333" i="10"/>
  <c r="F1333" i="10" s="1"/>
  <c r="I1333" i="10" s="1"/>
  <c r="B1333" i="10"/>
  <c r="B1334" i="10" s="1"/>
  <c r="B1335" i="10" s="1"/>
  <c r="B1336" i="10" s="1"/>
  <c r="B1337" i="10" s="1"/>
  <c r="B1338" i="10" s="1"/>
  <c r="B1339" i="10" s="1"/>
  <c r="B1340" i="10" s="1"/>
  <c r="B1341" i="10" s="1"/>
  <c r="B1342" i="10" s="1"/>
  <c r="B1343" i="10" s="1"/>
  <c r="B1344" i="10" s="1"/>
  <c r="B1345" i="10" s="1"/>
  <c r="B1346" i="10" s="1"/>
  <c r="B1347" i="10" s="1"/>
  <c r="B1348" i="10" s="1"/>
  <c r="B1349" i="10" s="1"/>
  <c r="B1350" i="10" s="1"/>
  <c r="B1351" i="10" s="1"/>
  <c r="B1352" i="10" s="1"/>
  <c r="B1353" i="10" s="1"/>
  <c r="B1354" i="10" s="1"/>
  <c r="B1355" i="10" s="1"/>
  <c r="B1356" i="10" s="1"/>
  <c r="B1357" i="10" s="1"/>
  <c r="B1358" i="10" s="1"/>
  <c r="B1359" i="10" s="1"/>
  <c r="B1360" i="10" s="1"/>
  <c r="B1361" i="10" s="1"/>
  <c r="B1362" i="10" s="1"/>
  <c r="B1363" i="10" s="1"/>
  <c r="B1364" i="10" s="1"/>
  <c r="B1365" i="10" s="1"/>
  <c r="B1366" i="10" s="1"/>
  <c r="B1367" i="10" s="1"/>
  <c r="B1368" i="10" s="1"/>
  <c r="E1332" i="10"/>
  <c r="F1332" i="10" s="1"/>
  <c r="I1332" i="10" s="1"/>
  <c r="E1314" i="10"/>
  <c r="F1314" i="10" s="1"/>
  <c r="I1314" i="10" s="1"/>
  <c r="E1313" i="10"/>
  <c r="F1313" i="10" s="1"/>
  <c r="I1313" i="10" s="1"/>
  <c r="E1312" i="10"/>
  <c r="F1312" i="10" s="1"/>
  <c r="I1312" i="10" s="1"/>
  <c r="E1311" i="10"/>
  <c r="F1311" i="10" s="1"/>
  <c r="I1311" i="10" s="1"/>
  <c r="E1310" i="10"/>
  <c r="F1310" i="10" s="1"/>
  <c r="I1310" i="10" s="1"/>
  <c r="E1309" i="10"/>
  <c r="F1309" i="10" s="1"/>
  <c r="I1309" i="10" s="1"/>
  <c r="E1308" i="10"/>
  <c r="F1308" i="10" s="1"/>
  <c r="I1308" i="10" s="1"/>
  <c r="E1307" i="10"/>
  <c r="F1307" i="10" s="1"/>
  <c r="I1307" i="10" s="1"/>
  <c r="E1306" i="10"/>
  <c r="F1306" i="10" s="1"/>
  <c r="I1306" i="10" s="1"/>
  <c r="E1305" i="10"/>
  <c r="F1305" i="10" s="1"/>
  <c r="I1305" i="10" s="1"/>
  <c r="E1304" i="10"/>
  <c r="F1304" i="10" s="1"/>
  <c r="I1304" i="10" s="1"/>
  <c r="E1303" i="10"/>
  <c r="F1303" i="10" s="1"/>
  <c r="I1303" i="10" s="1"/>
  <c r="E1302" i="10"/>
  <c r="F1302" i="10" s="1"/>
  <c r="I1302" i="10" s="1"/>
  <c r="E1301" i="10"/>
  <c r="F1301" i="10" s="1"/>
  <c r="I1301" i="10" s="1"/>
  <c r="E1300" i="10"/>
  <c r="F1300" i="10" s="1"/>
  <c r="I1300" i="10" s="1"/>
  <c r="E1299" i="10"/>
  <c r="F1299" i="10" s="1"/>
  <c r="I1299" i="10" s="1"/>
  <c r="E1298" i="10"/>
  <c r="F1298" i="10" s="1"/>
  <c r="I1298" i="10" s="1"/>
  <c r="E1297" i="10"/>
  <c r="F1297" i="10" s="1"/>
  <c r="I1297" i="10" s="1"/>
  <c r="E1296" i="10"/>
  <c r="F1296" i="10" s="1"/>
  <c r="I1296" i="10" s="1"/>
  <c r="E1295" i="10"/>
  <c r="F1295" i="10" s="1"/>
  <c r="I1295" i="10" s="1"/>
  <c r="B1295" i="10"/>
  <c r="B1296" i="10" s="1"/>
  <c r="B1297" i="10" s="1"/>
  <c r="B1298" i="10" s="1"/>
  <c r="B1299" i="10" s="1"/>
  <c r="B1300" i="10" s="1"/>
  <c r="B1301" i="10" s="1"/>
  <c r="B1302" i="10" s="1"/>
  <c r="B1303" i="10" s="1"/>
  <c r="B1304" i="10" s="1"/>
  <c r="B1305" i="10" s="1"/>
  <c r="B1306" i="10" s="1"/>
  <c r="B1307" i="10" s="1"/>
  <c r="B1308" i="10" s="1"/>
  <c r="B1309" i="10" s="1"/>
  <c r="B1310" i="10" s="1"/>
  <c r="B1311" i="10" s="1"/>
  <c r="B1312" i="10" s="1"/>
  <c r="B1313" i="10" s="1"/>
  <c r="B1314" i="10" s="1"/>
  <c r="B1315" i="10" s="1"/>
  <c r="B1316" i="10" s="1"/>
  <c r="B1317" i="10" s="1"/>
  <c r="B1318" i="10" s="1"/>
  <c r="B1319" i="10" s="1"/>
  <c r="B1320" i="10" s="1"/>
  <c r="B1321" i="10" s="1"/>
  <c r="B1322" i="10" s="1"/>
  <c r="B1323" i="10" s="1"/>
  <c r="B1324" i="10" s="1"/>
  <c r="B1325" i="10" s="1"/>
  <c r="B1326" i="10" s="1"/>
  <c r="B1327" i="10" s="1"/>
  <c r="B1328" i="10" s="1"/>
  <c r="B1329" i="10" s="1"/>
  <c r="B1330" i="10" s="1"/>
  <c r="E1294" i="10"/>
  <c r="F1294" i="10" s="1"/>
  <c r="I1294" i="10" s="1"/>
  <c r="E1276" i="10"/>
  <c r="F1276" i="10" s="1"/>
  <c r="I1276" i="10" s="1"/>
  <c r="E1275" i="10"/>
  <c r="F1275" i="10" s="1"/>
  <c r="I1275" i="10" s="1"/>
  <c r="E1274" i="10"/>
  <c r="F1274" i="10" s="1"/>
  <c r="I1274" i="10" s="1"/>
  <c r="E1273" i="10"/>
  <c r="F1273" i="10" s="1"/>
  <c r="I1273" i="10" s="1"/>
  <c r="E1272" i="10"/>
  <c r="F1272" i="10" s="1"/>
  <c r="I1272" i="10" s="1"/>
  <c r="E1271" i="10"/>
  <c r="F1271" i="10" s="1"/>
  <c r="I1271" i="10" s="1"/>
  <c r="E1270" i="10"/>
  <c r="F1270" i="10" s="1"/>
  <c r="I1270" i="10" s="1"/>
  <c r="E1269" i="10"/>
  <c r="F1269" i="10" s="1"/>
  <c r="I1269" i="10" s="1"/>
  <c r="E1268" i="10"/>
  <c r="F1268" i="10" s="1"/>
  <c r="I1268" i="10" s="1"/>
  <c r="E1267" i="10"/>
  <c r="F1267" i="10" s="1"/>
  <c r="I1267" i="10" s="1"/>
  <c r="E1266" i="10"/>
  <c r="F1266" i="10" s="1"/>
  <c r="I1266" i="10" s="1"/>
  <c r="E1265" i="10"/>
  <c r="F1265" i="10" s="1"/>
  <c r="I1265" i="10" s="1"/>
  <c r="E1264" i="10"/>
  <c r="F1264" i="10" s="1"/>
  <c r="I1264" i="10" s="1"/>
  <c r="E1263" i="10"/>
  <c r="F1263" i="10" s="1"/>
  <c r="I1263" i="10" s="1"/>
  <c r="E1262" i="10"/>
  <c r="F1262" i="10" s="1"/>
  <c r="I1262" i="10" s="1"/>
  <c r="E1261" i="10"/>
  <c r="F1261" i="10" s="1"/>
  <c r="I1261" i="10" s="1"/>
  <c r="E1260" i="10"/>
  <c r="F1260" i="10" s="1"/>
  <c r="I1260" i="10" s="1"/>
  <c r="E1259" i="10"/>
  <c r="F1259" i="10" s="1"/>
  <c r="I1259" i="10" s="1"/>
  <c r="E1258" i="10"/>
  <c r="F1258" i="10" s="1"/>
  <c r="I1258" i="10" s="1"/>
  <c r="E1257" i="10"/>
  <c r="F1257" i="10" s="1"/>
  <c r="I1257" i="10" s="1"/>
  <c r="B1257" i="10"/>
  <c r="B1258" i="10" s="1"/>
  <c r="B1259" i="10" s="1"/>
  <c r="B1260" i="10" s="1"/>
  <c r="B1261" i="10" s="1"/>
  <c r="B1262" i="10" s="1"/>
  <c r="B1263" i="10" s="1"/>
  <c r="B1264" i="10" s="1"/>
  <c r="B1265" i="10" s="1"/>
  <c r="B1266" i="10" s="1"/>
  <c r="B1267" i="10" s="1"/>
  <c r="B1268" i="10" s="1"/>
  <c r="B1269" i="10" s="1"/>
  <c r="B1270" i="10" s="1"/>
  <c r="B1271" i="10" s="1"/>
  <c r="B1272" i="10" s="1"/>
  <c r="B1273" i="10" s="1"/>
  <c r="B1274" i="10" s="1"/>
  <c r="B1275" i="10" s="1"/>
  <c r="B1276" i="10" s="1"/>
  <c r="B1277" i="10" s="1"/>
  <c r="B1278" i="10" s="1"/>
  <c r="B1279" i="10" s="1"/>
  <c r="B1280" i="10" s="1"/>
  <c r="B1281" i="10" s="1"/>
  <c r="B1282" i="10" s="1"/>
  <c r="B1283" i="10" s="1"/>
  <c r="B1284" i="10" s="1"/>
  <c r="B1285" i="10" s="1"/>
  <c r="B1286" i="10" s="1"/>
  <c r="B1287" i="10" s="1"/>
  <c r="B1288" i="10" s="1"/>
  <c r="B1289" i="10" s="1"/>
  <c r="B1290" i="10" s="1"/>
  <c r="B1291" i="10" s="1"/>
  <c r="B1292" i="10" s="1"/>
  <c r="E1256" i="10"/>
  <c r="F1256" i="10" s="1"/>
  <c r="I1256" i="10" s="1"/>
  <c r="E1238" i="10"/>
  <c r="F1238" i="10" s="1"/>
  <c r="E1237" i="10"/>
  <c r="F1237" i="10" s="1"/>
  <c r="E1236" i="10"/>
  <c r="F1236" i="10" s="1"/>
  <c r="E1235" i="10"/>
  <c r="F1235" i="10" s="1"/>
  <c r="E1234" i="10"/>
  <c r="F1234" i="10" s="1"/>
  <c r="E1233" i="10"/>
  <c r="F1233" i="10" s="1"/>
  <c r="E1232" i="10"/>
  <c r="F1232" i="10" s="1"/>
  <c r="E1231" i="10"/>
  <c r="F1231" i="10" s="1"/>
  <c r="E1230" i="10"/>
  <c r="F1230" i="10" s="1"/>
  <c r="E1229" i="10"/>
  <c r="F1229" i="10" s="1"/>
  <c r="E1228" i="10"/>
  <c r="F1228" i="10" s="1"/>
  <c r="E1227" i="10"/>
  <c r="F1227" i="10" s="1"/>
  <c r="E1226" i="10"/>
  <c r="F1226" i="10" s="1"/>
  <c r="E1225" i="10"/>
  <c r="F1225" i="10" s="1"/>
  <c r="E1224" i="10"/>
  <c r="F1224" i="10" s="1"/>
  <c r="E1223" i="10"/>
  <c r="F1223" i="10" s="1"/>
  <c r="E1222" i="10"/>
  <c r="F1222" i="10" s="1"/>
  <c r="E1221" i="10"/>
  <c r="F1221" i="10" s="1"/>
  <c r="E1220" i="10"/>
  <c r="F1220" i="10" s="1"/>
  <c r="E1219" i="10"/>
  <c r="F1219" i="10" s="1"/>
  <c r="B1219" i="10"/>
  <c r="B1220" i="10" s="1"/>
  <c r="B1221" i="10" s="1"/>
  <c r="B1222" i="10" s="1"/>
  <c r="B1223" i="10" s="1"/>
  <c r="B1224" i="10" s="1"/>
  <c r="B1225" i="10" s="1"/>
  <c r="B1226" i="10" s="1"/>
  <c r="B1227" i="10" s="1"/>
  <c r="B1228" i="10" s="1"/>
  <c r="B1229" i="10" s="1"/>
  <c r="B1230" i="10" s="1"/>
  <c r="B1231" i="10" s="1"/>
  <c r="B1232" i="10" s="1"/>
  <c r="B1233" i="10" s="1"/>
  <c r="B1234" i="10" s="1"/>
  <c r="B1235" i="10" s="1"/>
  <c r="B1236" i="10" s="1"/>
  <c r="B1237" i="10" s="1"/>
  <c r="B1238" i="10" s="1"/>
  <c r="B1239" i="10" s="1"/>
  <c r="B1240" i="10" s="1"/>
  <c r="B1241" i="10" s="1"/>
  <c r="B1242" i="10" s="1"/>
  <c r="B1243" i="10" s="1"/>
  <c r="B1244" i="10" s="1"/>
  <c r="B1245" i="10" s="1"/>
  <c r="B1246" i="10" s="1"/>
  <c r="B1247" i="10" s="1"/>
  <c r="B1248" i="10" s="1"/>
  <c r="B1249" i="10" s="1"/>
  <c r="B1250" i="10" s="1"/>
  <c r="B1251" i="10" s="1"/>
  <c r="B1252" i="10" s="1"/>
  <c r="B1253" i="10" s="1"/>
  <c r="B1254" i="10" s="1"/>
  <c r="E1218" i="10"/>
  <c r="F1218" i="10" s="1"/>
  <c r="E1200" i="10"/>
  <c r="F1200" i="10" s="1"/>
  <c r="E1199" i="10"/>
  <c r="F1199" i="10" s="1"/>
  <c r="E1198" i="10"/>
  <c r="F1198" i="10" s="1"/>
  <c r="E1197" i="10"/>
  <c r="F1197" i="10" s="1"/>
  <c r="E1196" i="10"/>
  <c r="F1196" i="10" s="1"/>
  <c r="E1195" i="10"/>
  <c r="F1195" i="10" s="1"/>
  <c r="E1194" i="10"/>
  <c r="F1194" i="10" s="1"/>
  <c r="E1193" i="10"/>
  <c r="F1193" i="10" s="1"/>
  <c r="E1192" i="10"/>
  <c r="F1192" i="10" s="1"/>
  <c r="E1191" i="10"/>
  <c r="F1191" i="10" s="1"/>
  <c r="E1190" i="10"/>
  <c r="F1190" i="10" s="1"/>
  <c r="E1189" i="10"/>
  <c r="F1189" i="10" s="1"/>
  <c r="E1188" i="10"/>
  <c r="F1188" i="10" s="1"/>
  <c r="E1187" i="10"/>
  <c r="F1187" i="10" s="1"/>
  <c r="E1186" i="10"/>
  <c r="F1186" i="10" s="1"/>
  <c r="E1185" i="10"/>
  <c r="F1185" i="10" s="1"/>
  <c r="E1184" i="10"/>
  <c r="F1184" i="10" s="1"/>
  <c r="E1183" i="10"/>
  <c r="F1183" i="10" s="1"/>
  <c r="E1182" i="10"/>
  <c r="F1182" i="10" s="1"/>
  <c r="E1181" i="10"/>
  <c r="F1181" i="10" s="1"/>
  <c r="B1181" i="10"/>
  <c r="B1182" i="10" s="1"/>
  <c r="B1183" i="10" s="1"/>
  <c r="B1184" i="10" s="1"/>
  <c r="B1185" i="10" s="1"/>
  <c r="B1186" i="10" s="1"/>
  <c r="B1187" i="10" s="1"/>
  <c r="B1188" i="10" s="1"/>
  <c r="B1189" i="10" s="1"/>
  <c r="B1190" i="10" s="1"/>
  <c r="B1191" i="10" s="1"/>
  <c r="B1192" i="10" s="1"/>
  <c r="B1193" i="10" s="1"/>
  <c r="B1194" i="10" s="1"/>
  <c r="B1195" i="10" s="1"/>
  <c r="B1196" i="10" s="1"/>
  <c r="B1197" i="10" s="1"/>
  <c r="B1198" i="10" s="1"/>
  <c r="B1199" i="10" s="1"/>
  <c r="B1200" i="10" s="1"/>
  <c r="B1201" i="10" s="1"/>
  <c r="B1202" i="10" s="1"/>
  <c r="B1203" i="10" s="1"/>
  <c r="B1204" i="10" s="1"/>
  <c r="B1205" i="10" s="1"/>
  <c r="B1206" i="10" s="1"/>
  <c r="B1207" i="10" s="1"/>
  <c r="B1208" i="10" s="1"/>
  <c r="B1209" i="10" s="1"/>
  <c r="B1210" i="10" s="1"/>
  <c r="B1211" i="10" s="1"/>
  <c r="B1212" i="10" s="1"/>
  <c r="B1213" i="10" s="1"/>
  <c r="B1214" i="10" s="1"/>
  <c r="B1215" i="10" s="1"/>
  <c r="B1216" i="10" s="1"/>
  <c r="E1180" i="10"/>
  <c r="F1180" i="10" s="1"/>
  <c r="E1162" i="10"/>
  <c r="F1162" i="10" s="1"/>
  <c r="E1161" i="10"/>
  <c r="F1161" i="10" s="1"/>
  <c r="E1160" i="10"/>
  <c r="F1160" i="10" s="1"/>
  <c r="E1159" i="10"/>
  <c r="F1159" i="10" s="1"/>
  <c r="E1158" i="10"/>
  <c r="F1158" i="10" s="1"/>
  <c r="E1157" i="10"/>
  <c r="F1157" i="10" s="1"/>
  <c r="E1156" i="10"/>
  <c r="F1156" i="10" s="1"/>
  <c r="E1155" i="10"/>
  <c r="F1155" i="10" s="1"/>
  <c r="E1154" i="10"/>
  <c r="F1154" i="10" s="1"/>
  <c r="E1153" i="10"/>
  <c r="F1153" i="10" s="1"/>
  <c r="E1152" i="10"/>
  <c r="F1152" i="10" s="1"/>
  <c r="E1151" i="10"/>
  <c r="F1151" i="10" s="1"/>
  <c r="E1150" i="10"/>
  <c r="F1150" i="10" s="1"/>
  <c r="E1149" i="10"/>
  <c r="F1149" i="10" s="1"/>
  <c r="E1148" i="10"/>
  <c r="F1148" i="10" s="1"/>
  <c r="E1147" i="10"/>
  <c r="F1147" i="10" s="1"/>
  <c r="E1146" i="10"/>
  <c r="F1146" i="10" s="1"/>
  <c r="E1145" i="10"/>
  <c r="F1145" i="10" s="1"/>
  <c r="E1144" i="10"/>
  <c r="F1144" i="10" s="1"/>
  <c r="E1143" i="10"/>
  <c r="F1143" i="10" s="1"/>
  <c r="B1143" i="10"/>
  <c r="B1144" i="10" s="1"/>
  <c r="B1145" i="10" s="1"/>
  <c r="B1146" i="10" s="1"/>
  <c r="B1147" i="10" s="1"/>
  <c r="B1148" i="10" s="1"/>
  <c r="B1149" i="10" s="1"/>
  <c r="B1150" i="10" s="1"/>
  <c r="B1151" i="10" s="1"/>
  <c r="B1152" i="10" s="1"/>
  <c r="B1153" i="10" s="1"/>
  <c r="B1154" i="10" s="1"/>
  <c r="B1155" i="10" s="1"/>
  <c r="B1156" i="10" s="1"/>
  <c r="B1157" i="10" s="1"/>
  <c r="B1158" i="10" s="1"/>
  <c r="B1159" i="10" s="1"/>
  <c r="B1160" i="10" s="1"/>
  <c r="B1161" i="10" s="1"/>
  <c r="B1162" i="10" s="1"/>
  <c r="B1163" i="10" s="1"/>
  <c r="B1164" i="10" s="1"/>
  <c r="B1165" i="10" s="1"/>
  <c r="B1166" i="10" s="1"/>
  <c r="B1167" i="10" s="1"/>
  <c r="B1168" i="10" s="1"/>
  <c r="B1169" i="10" s="1"/>
  <c r="B1170" i="10" s="1"/>
  <c r="B1171" i="10" s="1"/>
  <c r="B1172" i="10" s="1"/>
  <c r="B1173" i="10" s="1"/>
  <c r="B1174" i="10" s="1"/>
  <c r="B1175" i="10" s="1"/>
  <c r="B1176" i="10" s="1"/>
  <c r="B1177" i="10" s="1"/>
  <c r="B1178" i="10" s="1"/>
  <c r="E1142" i="10"/>
  <c r="F1142" i="10" s="1"/>
  <c r="E1124" i="10"/>
  <c r="F1124" i="10" s="1"/>
  <c r="E1123" i="10"/>
  <c r="F1123" i="10" s="1"/>
  <c r="E1122" i="10"/>
  <c r="F1122" i="10" s="1"/>
  <c r="E1121" i="10"/>
  <c r="F1121" i="10" s="1"/>
  <c r="E1120" i="10"/>
  <c r="F1120" i="10" s="1"/>
  <c r="E1119" i="10"/>
  <c r="F1119" i="10" s="1"/>
  <c r="E1118" i="10"/>
  <c r="F1118" i="10" s="1"/>
  <c r="E1117" i="10"/>
  <c r="F1117" i="10" s="1"/>
  <c r="E1116" i="10"/>
  <c r="F1116" i="10" s="1"/>
  <c r="E1115" i="10"/>
  <c r="F1115" i="10" s="1"/>
  <c r="E1114" i="10"/>
  <c r="F1114" i="10" s="1"/>
  <c r="E1113" i="10"/>
  <c r="F1113" i="10" s="1"/>
  <c r="E1112" i="10"/>
  <c r="F1112" i="10" s="1"/>
  <c r="E1111" i="10"/>
  <c r="F1111" i="10" s="1"/>
  <c r="E1110" i="10"/>
  <c r="F1110" i="10" s="1"/>
  <c r="E1109" i="10"/>
  <c r="F1109" i="10" s="1"/>
  <c r="E1108" i="10"/>
  <c r="F1108" i="10" s="1"/>
  <c r="E1107" i="10"/>
  <c r="F1107" i="10" s="1"/>
  <c r="E1106" i="10"/>
  <c r="F1106" i="10" s="1"/>
  <c r="E1105" i="10"/>
  <c r="F1105" i="10" s="1"/>
  <c r="B1105" i="10"/>
  <c r="B1106" i="10" s="1"/>
  <c r="B1107" i="10" s="1"/>
  <c r="B1108" i="10" s="1"/>
  <c r="B1109" i="10" s="1"/>
  <c r="B1110" i="10" s="1"/>
  <c r="B1111" i="10" s="1"/>
  <c r="B1112" i="10" s="1"/>
  <c r="B1113" i="10" s="1"/>
  <c r="B1114" i="10" s="1"/>
  <c r="B1115" i="10" s="1"/>
  <c r="B1116" i="10" s="1"/>
  <c r="B1117" i="10" s="1"/>
  <c r="B1118" i="10" s="1"/>
  <c r="B1119" i="10" s="1"/>
  <c r="B1120" i="10" s="1"/>
  <c r="B1121" i="10" s="1"/>
  <c r="B1122" i="10" s="1"/>
  <c r="B1123" i="10" s="1"/>
  <c r="B1124" i="10" s="1"/>
  <c r="B1125" i="10" s="1"/>
  <c r="B1126" i="10" s="1"/>
  <c r="B1127" i="10" s="1"/>
  <c r="B1128" i="10" s="1"/>
  <c r="B1129" i="10" s="1"/>
  <c r="B1130" i="10" s="1"/>
  <c r="B1131" i="10" s="1"/>
  <c r="B1132" i="10" s="1"/>
  <c r="B1133" i="10" s="1"/>
  <c r="B1134" i="10" s="1"/>
  <c r="B1135" i="10" s="1"/>
  <c r="B1136" i="10" s="1"/>
  <c r="B1137" i="10" s="1"/>
  <c r="B1138" i="10" s="1"/>
  <c r="B1139" i="10" s="1"/>
  <c r="B1140" i="10" s="1"/>
  <c r="E1104" i="10"/>
  <c r="F1104" i="10" s="1"/>
  <c r="E1086" i="10"/>
  <c r="F1086" i="10" s="1"/>
  <c r="E1085" i="10"/>
  <c r="F1085" i="10" s="1"/>
  <c r="E1084" i="10"/>
  <c r="F1084" i="10" s="1"/>
  <c r="E1083" i="10"/>
  <c r="F1083" i="10" s="1"/>
  <c r="E1082" i="10"/>
  <c r="F1082" i="10" s="1"/>
  <c r="E1081" i="10"/>
  <c r="F1081" i="10" s="1"/>
  <c r="E1080" i="10"/>
  <c r="F1080" i="10" s="1"/>
  <c r="E1079" i="10"/>
  <c r="F1079" i="10" s="1"/>
  <c r="E1078" i="10"/>
  <c r="F1078" i="10" s="1"/>
  <c r="E1077" i="10"/>
  <c r="F1077" i="10" s="1"/>
  <c r="E1076" i="10"/>
  <c r="F1076" i="10" s="1"/>
  <c r="E1075" i="10"/>
  <c r="F1075" i="10" s="1"/>
  <c r="E1074" i="10"/>
  <c r="F1074" i="10" s="1"/>
  <c r="E1073" i="10"/>
  <c r="F1073" i="10" s="1"/>
  <c r="E1072" i="10"/>
  <c r="F1072" i="10" s="1"/>
  <c r="E1071" i="10"/>
  <c r="F1071" i="10" s="1"/>
  <c r="E1070" i="10"/>
  <c r="F1070" i="10" s="1"/>
  <c r="E1069" i="10"/>
  <c r="F1069" i="10" s="1"/>
  <c r="E1068" i="10"/>
  <c r="F1068" i="10" s="1"/>
  <c r="E1067" i="10"/>
  <c r="F1067" i="10" s="1"/>
  <c r="B1067" i="10"/>
  <c r="B1068" i="10" s="1"/>
  <c r="B1069" i="10" s="1"/>
  <c r="B1070" i="10" s="1"/>
  <c r="B1071" i="10" s="1"/>
  <c r="B1072" i="10" s="1"/>
  <c r="B1073" i="10" s="1"/>
  <c r="B1074" i="10" s="1"/>
  <c r="B1075" i="10" s="1"/>
  <c r="B1076" i="10" s="1"/>
  <c r="B1077" i="10" s="1"/>
  <c r="B1078" i="10" s="1"/>
  <c r="B1079" i="10" s="1"/>
  <c r="B1080" i="10" s="1"/>
  <c r="B1081" i="10" s="1"/>
  <c r="B1082" i="10" s="1"/>
  <c r="B1083" i="10" s="1"/>
  <c r="B1084" i="10" s="1"/>
  <c r="B1085" i="10" s="1"/>
  <c r="B1086" i="10" s="1"/>
  <c r="B1087" i="10" s="1"/>
  <c r="B1088" i="10" s="1"/>
  <c r="B1089" i="10" s="1"/>
  <c r="B1090" i="10" s="1"/>
  <c r="B1091" i="10" s="1"/>
  <c r="B1092" i="10" s="1"/>
  <c r="B1093" i="10" s="1"/>
  <c r="B1094" i="10" s="1"/>
  <c r="B1095" i="10" s="1"/>
  <c r="B1096" i="10" s="1"/>
  <c r="B1097" i="10" s="1"/>
  <c r="B1098" i="10" s="1"/>
  <c r="B1099" i="10" s="1"/>
  <c r="B1100" i="10" s="1"/>
  <c r="B1101" i="10" s="1"/>
  <c r="B1102" i="10" s="1"/>
  <c r="E1066" i="10"/>
  <c r="F1066" i="10" s="1"/>
  <c r="E1048" i="10"/>
  <c r="F1048" i="10" s="1"/>
  <c r="E1047" i="10"/>
  <c r="F1047" i="10" s="1"/>
  <c r="E1046" i="10"/>
  <c r="F1046" i="10" s="1"/>
  <c r="E1045" i="10"/>
  <c r="F1045" i="10" s="1"/>
  <c r="E1044" i="10"/>
  <c r="F1044" i="10" s="1"/>
  <c r="E1043" i="10"/>
  <c r="F1043" i="10" s="1"/>
  <c r="E1042" i="10"/>
  <c r="F1042" i="10" s="1"/>
  <c r="E1041" i="10"/>
  <c r="F1041" i="10" s="1"/>
  <c r="E1040" i="10"/>
  <c r="F1040" i="10" s="1"/>
  <c r="E1039" i="10"/>
  <c r="F1039" i="10" s="1"/>
  <c r="E1038" i="10"/>
  <c r="F1038" i="10" s="1"/>
  <c r="E1037" i="10"/>
  <c r="F1037" i="10" s="1"/>
  <c r="E1036" i="10"/>
  <c r="F1036" i="10" s="1"/>
  <c r="E1035" i="10"/>
  <c r="F1035" i="10" s="1"/>
  <c r="E1034" i="10"/>
  <c r="F1034" i="10" s="1"/>
  <c r="E1033" i="10"/>
  <c r="F1033" i="10" s="1"/>
  <c r="E1032" i="10"/>
  <c r="F1032" i="10" s="1"/>
  <c r="E1031" i="10"/>
  <c r="F1031" i="10" s="1"/>
  <c r="E1030" i="10"/>
  <c r="F1030" i="10" s="1"/>
  <c r="E1029" i="10"/>
  <c r="F1029" i="10" s="1"/>
  <c r="B1029" i="10"/>
  <c r="B1030" i="10" s="1"/>
  <c r="B1031" i="10" s="1"/>
  <c r="B1032" i="10" s="1"/>
  <c r="B1033" i="10" s="1"/>
  <c r="B1034" i="10" s="1"/>
  <c r="B1035" i="10" s="1"/>
  <c r="B1036" i="10" s="1"/>
  <c r="B1037" i="10" s="1"/>
  <c r="B1038" i="10" s="1"/>
  <c r="B1039" i="10" s="1"/>
  <c r="B1040" i="10" s="1"/>
  <c r="B1041" i="10" s="1"/>
  <c r="B1042" i="10" s="1"/>
  <c r="B1043" i="10" s="1"/>
  <c r="B1044" i="10" s="1"/>
  <c r="B1045" i="10" s="1"/>
  <c r="B1046" i="10" s="1"/>
  <c r="B1047" i="10" s="1"/>
  <c r="B1048" i="10" s="1"/>
  <c r="B1049" i="10" s="1"/>
  <c r="B1050" i="10" s="1"/>
  <c r="B1051" i="10" s="1"/>
  <c r="B1052" i="10" s="1"/>
  <c r="B1053" i="10" s="1"/>
  <c r="B1054" i="10" s="1"/>
  <c r="B1055" i="10" s="1"/>
  <c r="B1056" i="10" s="1"/>
  <c r="B1057" i="10" s="1"/>
  <c r="B1058" i="10" s="1"/>
  <c r="B1059" i="10" s="1"/>
  <c r="B1060" i="10" s="1"/>
  <c r="B1061" i="10" s="1"/>
  <c r="B1062" i="10" s="1"/>
  <c r="B1063" i="10" s="1"/>
  <c r="B1064" i="10" s="1"/>
  <c r="E1028" i="10"/>
  <c r="F1028" i="10" s="1"/>
  <c r="E1010" i="10"/>
  <c r="F1010" i="10" s="1"/>
  <c r="E1009" i="10"/>
  <c r="F1009" i="10" s="1"/>
  <c r="E1008" i="10"/>
  <c r="F1008" i="10" s="1"/>
  <c r="E1007" i="10"/>
  <c r="F1007" i="10" s="1"/>
  <c r="E1006" i="10"/>
  <c r="F1006" i="10" s="1"/>
  <c r="E1005" i="10"/>
  <c r="F1005" i="10" s="1"/>
  <c r="E1004" i="10"/>
  <c r="F1004" i="10" s="1"/>
  <c r="E1003" i="10"/>
  <c r="F1003" i="10" s="1"/>
  <c r="E1002" i="10"/>
  <c r="F1002" i="10" s="1"/>
  <c r="E1001" i="10"/>
  <c r="F1001" i="10" s="1"/>
  <c r="E1000" i="10"/>
  <c r="F1000" i="10" s="1"/>
  <c r="E999" i="10"/>
  <c r="F999" i="10" s="1"/>
  <c r="E998" i="10"/>
  <c r="F998" i="10" s="1"/>
  <c r="E997" i="10"/>
  <c r="F997" i="10" s="1"/>
  <c r="E996" i="10"/>
  <c r="F996" i="10" s="1"/>
  <c r="E995" i="10"/>
  <c r="F995" i="10" s="1"/>
  <c r="E994" i="10"/>
  <c r="F994" i="10" s="1"/>
  <c r="E993" i="10"/>
  <c r="F993" i="10" s="1"/>
  <c r="E992" i="10"/>
  <c r="F992" i="10" s="1"/>
  <c r="E991" i="10"/>
  <c r="F991" i="10" s="1"/>
  <c r="B991" i="10"/>
  <c r="B992" i="10" s="1"/>
  <c r="B993" i="10" s="1"/>
  <c r="B994" i="10" s="1"/>
  <c r="B995" i="10" s="1"/>
  <c r="B996" i="10" s="1"/>
  <c r="B997" i="10" s="1"/>
  <c r="B998" i="10" s="1"/>
  <c r="B999" i="10" s="1"/>
  <c r="B1000" i="10" s="1"/>
  <c r="B1001" i="10" s="1"/>
  <c r="B1002" i="10" s="1"/>
  <c r="B1003" i="10" s="1"/>
  <c r="B1004" i="10" s="1"/>
  <c r="B1005" i="10" s="1"/>
  <c r="B1006" i="10" s="1"/>
  <c r="B1007" i="10" s="1"/>
  <c r="B1008" i="10" s="1"/>
  <c r="B1009" i="10" s="1"/>
  <c r="B1010" i="10" s="1"/>
  <c r="B1011" i="10" s="1"/>
  <c r="B1012" i="10" s="1"/>
  <c r="B1013" i="10" s="1"/>
  <c r="B1014" i="10" s="1"/>
  <c r="B1015" i="10" s="1"/>
  <c r="B1016" i="10" s="1"/>
  <c r="B1017" i="10" s="1"/>
  <c r="B1018" i="10" s="1"/>
  <c r="B1019" i="10" s="1"/>
  <c r="B1020" i="10" s="1"/>
  <c r="B1021" i="10" s="1"/>
  <c r="B1022" i="10" s="1"/>
  <c r="B1023" i="10" s="1"/>
  <c r="B1024" i="10" s="1"/>
  <c r="B1025" i="10" s="1"/>
  <c r="B1026" i="10" s="1"/>
  <c r="E990" i="10"/>
  <c r="F990" i="10" s="1"/>
  <c r="E972" i="10"/>
  <c r="F972" i="10" s="1"/>
  <c r="E971" i="10"/>
  <c r="F971" i="10" s="1"/>
  <c r="E970" i="10"/>
  <c r="F970" i="10" s="1"/>
  <c r="E969" i="10"/>
  <c r="F969" i="10" s="1"/>
  <c r="E968" i="10"/>
  <c r="F968" i="10" s="1"/>
  <c r="E967" i="10"/>
  <c r="F967" i="10" s="1"/>
  <c r="E966" i="10"/>
  <c r="F966" i="10" s="1"/>
  <c r="E965" i="10"/>
  <c r="F965" i="10" s="1"/>
  <c r="E964" i="10"/>
  <c r="F964" i="10" s="1"/>
  <c r="E963" i="10"/>
  <c r="F963" i="10" s="1"/>
  <c r="E962" i="10"/>
  <c r="F962" i="10" s="1"/>
  <c r="E961" i="10"/>
  <c r="F961" i="10" s="1"/>
  <c r="E960" i="10"/>
  <c r="F960" i="10" s="1"/>
  <c r="E959" i="10"/>
  <c r="F959" i="10" s="1"/>
  <c r="E958" i="10"/>
  <c r="F958" i="10" s="1"/>
  <c r="E957" i="10"/>
  <c r="F957" i="10" s="1"/>
  <c r="E956" i="10"/>
  <c r="F956" i="10" s="1"/>
  <c r="E955" i="10"/>
  <c r="F955" i="10" s="1"/>
  <c r="E954" i="10"/>
  <c r="F954" i="10" s="1"/>
  <c r="E953" i="10"/>
  <c r="F953" i="10" s="1"/>
  <c r="B953" i="10"/>
  <c r="B954" i="10" s="1"/>
  <c r="B955" i="10" s="1"/>
  <c r="B956" i="10" s="1"/>
  <c r="B957" i="10" s="1"/>
  <c r="B958" i="10" s="1"/>
  <c r="B959" i="10" s="1"/>
  <c r="B960" i="10" s="1"/>
  <c r="B961" i="10" s="1"/>
  <c r="B962" i="10" s="1"/>
  <c r="B963" i="10" s="1"/>
  <c r="B964" i="10" s="1"/>
  <c r="B965" i="10" s="1"/>
  <c r="B966" i="10" s="1"/>
  <c r="B967" i="10" s="1"/>
  <c r="B968" i="10" s="1"/>
  <c r="B969" i="10" s="1"/>
  <c r="B970" i="10" s="1"/>
  <c r="B971" i="10" s="1"/>
  <c r="B972" i="10" s="1"/>
  <c r="B973" i="10" s="1"/>
  <c r="B974" i="10" s="1"/>
  <c r="B975" i="10" s="1"/>
  <c r="B976" i="10" s="1"/>
  <c r="B977" i="10" s="1"/>
  <c r="B978" i="10" s="1"/>
  <c r="B979" i="10" s="1"/>
  <c r="B980" i="10" s="1"/>
  <c r="B981" i="10" s="1"/>
  <c r="B982" i="10" s="1"/>
  <c r="B983" i="10" s="1"/>
  <c r="B984" i="10" s="1"/>
  <c r="B985" i="10" s="1"/>
  <c r="B986" i="10" s="1"/>
  <c r="B987" i="10" s="1"/>
  <c r="B988" i="10" s="1"/>
  <c r="E952" i="10"/>
  <c r="F952" i="10" s="1"/>
  <c r="E934" i="10"/>
  <c r="F934" i="10" s="1"/>
  <c r="E933" i="10"/>
  <c r="F933" i="10" s="1"/>
  <c r="E932" i="10"/>
  <c r="F932" i="10" s="1"/>
  <c r="E931" i="10"/>
  <c r="F931" i="10" s="1"/>
  <c r="E930" i="10"/>
  <c r="F930" i="10" s="1"/>
  <c r="E929" i="10"/>
  <c r="F929" i="10" s="1"/>
  <c r="E928" i="10"/>
  <c r="F928" i="10" s="1"/>
  <c r="E927" i="10"/>
  <c r="F927" i="10" s="1"/>
  <c r="E926" i="10"/>
  <c r="F926" i="10" s="1"/>
  <c r="E925" i="10"/>
  <c r="F925" i="10" s="1"/>
  <c r="E924" i="10"/>
  <c r="F924" i="10" s="1"/>
  <c r="E923" i="10"/>
  <c r="F923" i="10" s="1"/>
  <c r="E922" i="10"/>
  <c r="F922" i="10" s="1"/>
  <c r="E921" i="10"/>
  <c r="F921" i="10" s="1"/>
  <c r="E920" i="10"/>
  <c r="F920" i="10" s="1"/>
  <c r="E919" i="10"/>
  <c r="F919" i="10" s="1"/>
  <c r="E918" i="10"/>
  <c r="F918" i="10" s="1"/>
  <c r="E917" i="10"/>
  <c r="F917" i="10" s="1"/>
  <c r="E916" i="10"/>
  <c r="F916" i="10" s="1"/>
  <c r="E915" i="10"/>
  <c r="F915" i="10" s="1"/>
  <c r="B915" i="10"/>
  <c r="B916" i="10" s="1"/>
  <c r="B917" i="10" s="1"/>
  <c r="B918" i="10" s="1"/>
  <c r="B919" i="10" s="1"/>
  <c r="B920" i="10" s="1"/>
  <c r="B921" i="10" s="1"/>
  <c r="B922" i="10" s="1"/>
  <c r="B923" i="10" s="1"/>
  <c r="B924" i="10" s="1"/>
  <c r="B925" i="10" s="1"/>
  <c r="B926" i="10" s="1"/>
  <c r="B927" i="10" s="1"/>
  <c r="B928" i="10" s="1"/>
  <c r="B929" i="10" s="1"/>
  <c r="B930" i="10" s="1"/>
  <c r="B931" i="10" s="1"/>
  <c r="B932" i="10" s="1"/>
  <c r="B933" i="10" s="1"/>
  <c r="B934" i="10" s="1"/>
  <c r="B935" i="10" s="1"/>
  <c r="B936" i="10" s="1"/>
  <c r="B937" i="10" s="1"/>
  <c r="B938" i="10" s="1"/>
  <c r="B939" i="10" s="1"/>
  <c r="B940" i="10" s="1"/>
  <c r="B941" i="10" s="1"/>
  <c r="B942" i="10" s="1"/>
  <c r="B943" i="10" s="1"/>
  <c r="B944" i="10" s="1"/>
  <c r="B945" i="10" s="1"/>
  <c r="B946" i="10" s="1"/>
  <c r="B947" i="10" s="1"/>
  <c r="B948" i="10" s="1"/>
  <c r="B949" i="10" s="1"/>
  <c r="B950" i="10" s="1"/>
  <c r="E914" i="10"/>
  <c r="F914" i="10" s="1"/>
  <c r="E896" i="10"/>
  <c r="F896" i="10" s="1"/>
  <c r="E895" i="10"/>
  <c r="F895" i="10" s="1"/>
  <c r="E894" i="10"/>
  <c r="F894" i="10" s="1"/>
  <c r="E893" i="10"/>
  <c r="F893" i="10" s="1"/>
  <c r="E892" i="10"/>
  <c r="F892" i="10" s="1"/>
  <c r="E891" i="10"/>
  <c r="F891" i="10" s="1"/>
  <c r="E890" i="10"/>
  <c r="F890" i="10" s="1"/>
  <c r="E889" i="10"/>
  <c r="F889" i="10" s="1"/>
  <c r="E888" i="10"/>
  <c r="F888" i="10" s="1"/>
  <c r="E887" i="10"/>
  <c r="F887" i="10" s="1"/>
  <c r="E886" i="10"/>
  <c r="F886" i="10" s="1"/>
  <c r="E885" i="10"/>
  <c r="F885" i="10" s="1"/>
  <c r="E884" i="10"/>
  <c r="F884" i="10" s="1"/>
  <c r="E883" i="10"/>
  <c r="F883" i="10" s="1"/>
  <c r="E882" i="10"/>
  <c r="F882" i="10" s="1"/>
  <c r="E881" i="10"/>
  <c r="F881" i="10" s="1"/>
  <c r="E880" i="10"/>
  <c r="F880" i="10" s="1"/>
  <c r="E879" i="10"/>
  <c r="F879" i="10" s="1"/>
  <c r="E878" i="10"/>
  <c r="F878" i="10" s="1"/>
  <c r="E877" i="10"/>
  <c r="F877" i="10" s="1"/>
  <c r="B877" i="10"/>
  <c r="B878" i="10" s="1"/>
  <c r="B879" i="10" s="1"/>
  <c r="B880" i="10" s="1"/>
  <c r="B881" i="10" s="1"/>
  <c r="B882" i="10" s="1"/>
  <c r="B883" i="10" s="1"/>
  <c r="B884" i="10" s="1"/>
  <c r="B885" i="10" s="1"/>
  <c r="B886" i="10" s="1"/>
  <c r="B887" i="10" s="1"/>
  <c r="B888" i="10" s="1"/>
  <c r="B889" i="10" s="1"/>
  <c r="B890" i="10" s="1"/>
  <c r="B891" i="10" s="1"/>
  <c r="B892" i="10" s="1"/>
  <c r="B893" i="10" s="1"/>
  <c r="B894" i="10" s="1"/>
  <c r="B895" i="10" s="1"/>
  <c r="B896" i="10" s="1"/>
  <c r="B897" i="10" s="1"/>
  <c r="B898" i="10" s="1"/>
  <c r="B899" i="10" s="1"/>
  <c r="B900" i="10" s="1"/>
  <c r="B901" i="10" s="1"/>
  <c r="B902" i="10" s="1"/>
  <c r="B903" i="10" s="1"/>
  <c r="B904" i="10" s="1"/>
  <c r="B905" i="10" s="1"/>
  <c r="B906" i="10" s="1"/>
  <c r="B907" i="10" s="1"/>
  <c r="B908" i="10" s="1"/>
  <c r="B909" i="10" s="1"/>
  <c r="B910" i="10" s="1"/>
  <c r="B911" i="10" s="1"/>
  <c r="B912" i="10" s="1"/>
  <c r="E876" i="10"/>
  <c r="F876" i="10" s="1"/>
  <c r="E858" i="10"/>
  <c r="F858" i="10" s="1"/>
  <c r="E857" i="10"/>
  <c r="F857" i="10" s="1"/>
  <c r="E856" i="10"/>
  <c r="F856" i="10" s="1"/>
  <c r="E855" i="10"/>
  <c r="F855" i="10" s="1"/>
  <c r="E854" i="10"/>
  <c r="F854" i="10" s="1"/>
  <c r="E853" i="10"/>
  <c r="F853" i="10" s="1"/>
  <c r="E852" i="10"/>
  <c r="F852" i="10" s="1"/>
  <c r="E851" i="10"/>
  <c r="F851" i="10" s="1"/>
  <c r="E850" i="10"/>
  <c r="F850" i="10" s="1"/>
  <c r="E849" i="10"/>
  <c r="F849" i="10" s="1"/>
  <c r="E848" i="10"/>
  <c r="F848" i="10" s="1"/>
  <c r="E847" i="10"/>
  <c r="F847" i="10" s="1"/>
  <c r="E846" i="10"/>
  <c r="F846" i="10" s="1"/>
  <c r="E845" i="10"/>
  <c r="F845" i="10" s="1"/>
  <c r="E844" i="10"/>
  <c r="F844" i="10" s="1"/>
  <c r="E843" i="10"/>
  <c r="F843" i="10" s="1"/>
  <c r="E842" i="10"/>
  <c r="F842" i="10" s="1"/>
  <c r="E841" i="10"/>
  <c r="F841" i="10" s="1"/>
  <c r="E840" i="10"/>
  <c r="F840" i="10" s="1"/>
  <c r="E839" i="10"/>
  <c r="F839" i="10" s="1"/>
  <c r="B839" i="10"/>
  <c r="B840" i="10" s="1"/>
  <c r="B841" i="10" s="1"/>
  <c r="B842" i="10" s="1"/>
  <c r="B843" i="10" s="1"/>
  <c r="B844" i="10" s="1"/>
  <c r="B845" i="10" s="1"/>
  <c r="B846" i="10" s="1"/>
  <c r="B847" i="10" s="1"/>
  <c r="B848" i="10" s="1"/>
  <c r="B849" i="10" s="1"/>
  <c r="B850" i="10" s="1"/>
  <c r="B851" i="10" s="1"/>
  <c r="B852" i="10" s="1"/>
  <c r="B853" i="10" s="1"/>
  <c r="B854" i="10" s="1"/>
  <c r="B855" i="10" s="1"/>
  <c r="B856" i="10" s="1"/>
  <c r="B857" i="10" s="1"/>
  <c r="B858" i="10" s="1"/>
  <c r="B859" i="10" s="1"/>
  <c r="B860" i="10" s="1"/>
  <c r="B861" i="10" s="1"/>
  <c r="B862" i="10" s="1"/>
  <c r="B863" i="10" s="1"/>
  <c r="B864" i="10" s="1"/>
  <c r="B865" i="10" s="1"/>
  <c r="B866" i="10" s="1"/>
  <c r="B867" i="10" s="1"/>
  <c r="B868" i="10" s="1"/>
  <c r="B869" i="10" s="1"/>
  <c r="B870" i="10" s="1"/>
  <c r="B871" i="10" s="1"/>
  <c r="B872" i="10" s="1"/>
  <c r="B873" i="10" s="1"/>
  <c r="B874" i="10" s="1"/>
  <c r="E838" i="10"/>
  <c r="F838" i="10" s="1"/>
  <c r="E820" i="10"/>
  <c r="F820" i="10" s="1"/>
  <c r="E819" i="10"/>
  <c r="F819" i="10" s="1"/>
  <c r="E818" i="10"/>
  <c r="F818" i="10" s="1"/>
  <c r="E817" i="10"/>
  <c r="F817" i="10" s="1"/>
  <c r="E816" i="10"/>
  <c r="F816" i="10" s="1"/>
  <c r="E815" i="10"/>
  <c r="F815" i="10" s="1"/>
  <c r="E814" i="10"/>
  <c r="F814" i="10" s="1"/>
  <c r="E813" i="10"/>
  <c r="F813" i="10" s="1"/>
  <c r="E812" i="10"/>
  <c r="F812" i="10" s="1"/>
  <c r="E811" i="10"/>
  <c r="F811" i="10" s="1"/>
  <c r="E810" i="10"/>
  <c r="F810" i="10" s="1"/>
  <c r="E809" i="10"/>
  <c r="F809" i="10" s="1"/>
  <c r="E808" i="10"/>
  <c r="F808" i="10" s="1"/>
  <c r="E807" i="10"/>
  <c r="F807" i="10" s="1"/>
  <c r="E806" i="10"/>
  <c r="F806" i="10" s="1"/>
  <c r="E805" i="10"/>
  <c r="F805" i="10" s="1"/>
  <c r="E804" i="10"/>
  <c r="F804" i="10" s="1"/>
  <c r="E803" i="10"/>
  <c r="F803" i="10" s="1"/>
  <c r="E802" i="10"/>
  <c r="F802" i="10" s="1"/>
  <c r="E801" i="10"/>
  <c r="F801" i="10" s="1"/>
  <c r="B801" i="10"/>
  <c r="B802" i="10" s="1"/>
  <c r="B803" i="10" s="1"/>
  <c r="B804" i="10" s="1"/>
  <c r="B805" i="10" s="1"/>
  <c r="B806" i="10" s="1"/>
  <c r="B807" i="10" s="1"/>
  <c r="B808" i="10" s="1"/>
  <c r="B809" i="10" s="1"/>
  <c r="B810" i="10" s="1"/>
  <c r="B811" i="10" s="1"/>
  <c r="B812" i="10" s="1"/>
  <c r="B813" i="10" s="1"/>
  <c r="B814" i="10" s="1"/>
  <c r="B815" i="10" s="1"/>
  <c r="B816" i="10" s="1"/>
  <c r="B817" i="10" s="1"/>
  <c r="B818" i="10" s="1"/>
  <c r="B819" i="10" s="1"/>
  <c r="B820" i="10" s="1"/>
  <c r="B821" i="10" s="1"/>
  <c r="B822" i="10" s="1"/>
  <c r="B823" i="10" s="1"/>
  <c r="B824" i="10" s="1"/>
  <c r="B825" i="10" s="1"/>
  <c r="B826" i="10" s="1"/>
  <c r="B827" i="10" s="1"/>
  <c r="B828" i="10" s="1"/>
  <c r="B829" i="10" s="1"/>
  <c r="B830" i="10" s="1"/>
  <c r="B831" i="10" s="1"/>
  <c r="B832" i="10" s="1"/>
  <c r="B833" i="10" s="1"/>
  <c r="B834" i="10" s="1"/>
  <c r="B835" i="10" s="1"/>
  <c r="B836" i="10" s="1"/>
  <c r="E800" i="10"/>
  <c r="F800" i="10" s="1"/>
  <c r="E782" i="10"/>
  <c r="F782" i="10" s="1"/>
  <c r="E781" i="10"/>
  <c r="F781" i="10" s="1"/>
  <c r="E780" i="10"/>
  <c r="F780" i="10" s="1"/>
  <c r="E779" i="10"/>
  <c r="F779" i="10" s="1"/>
  <c r="E778" i="10"/>
  <c r="F778" i="10" s="1"/>
  <c r="E777" i="10"/>
  <c r="F777" i="10" s="1"/>
  <c r="E776" i="10"/>
  <c r="F776" i="10" s="1"/>
  <c r="E775" i="10"/>
  <c r="F775" i="10" s="1"/>
  <c r="E774" i="10"/>
  <c r="F774" i="10" s="1"/>
  <c r="E773" i="10"/>
  <c r="F773" i="10" s="1"/>
  <c r="E772" i="10"/>
  <c r="F772" i="10" s="1"/>
  <c r="E771" i="10"/>
  <c r="F771" i="10" s="1"/>
  <c r="E770" i="10"/>
  <c r="F770" i="10" s="1"/>
  <c r="E769" i="10"/>
  <c r="F769" i="10" s="1"/>
  <c r="E768" i="10"/>
  <c r="F768" i="10" s="1"/>
  <c r="E767" i="10"/>
  <c r="F767" i="10" s="1"/>
  <c r="E766" i="10"/>
  <c r="F766" i="10" s="1"/>
  <c r="E765" i="10"/>
  <c r="F765" i="10" s="1"/>
  <c r="E764" i="10"/>
  <c r="F764" i="10" s="1"/>
  <c r="E763" i="10"/>
  <c r="F763" i="10" s="1"/>
  <c r="B763" i="10"/>
  <c r="B764" i="10" s="1"/>
  <c r="B765" i="10" s="1"/>
  <c r="B766" i="10" s="1"/>
  <c r="B767" i="10" s="1"/>
  <c r="B768" i="10" s="1"/>
  <c r="B769" i="10" s="1"/>
  <c r="B770" i="10" s="1"/>
  <c r="B771" i="10" s="1"/>
  <c r="B772" i="10" s="1"/>
  <c r="B773" i="10" s="1"/>
  <c r="B774" i="10" s="1"/>
  <c r="B775" i="10" s="1"/>
  <c r="B776" i="10" s="1"/>
  <c r="B777" i="10" s="1"/>
  <c r="B778" i="10" s="1"/>
  <c r="B779" i="10" s="1"/>
  <c r="B780" i="10" s="1"/>
  <c r="B781" i="10" s="1"/>
  <c r="B782" i="10" s="1"/>
  <c r="B783" i="10" s="1"/>
  <c r="B784" i="10" s="1"/>
  <c r="B785" i="10" s="1"/>
  <c r="B786" i="10" s="1"/>
  <c r="B787" i="10" s="1"/>
  <c r="B788" i="10" s="1"/>
  <c r="B789" i="10" s="1"/>
  <c r="B790" i="10" s="1"/>
  <c r="B791" i="10" s="1"/>
  <c r="B792" i="10" s="1"/>
  <c r="B793" i="10" s="1"/>
  <c r="B794" i="10" s="1"/>
  <c r="B795" i="10" s="1"/>
  <c r="B796" i="10" s="1"/>
  <c r="B797" i="10" s="1"/>
  <c r="B798" i="10" s="1"/>
  <c r="E762" i="10"/>
  <c r="F762" i="10" s="1"/>
  <c r="E744" i="10"/>
  <c r="F744" i="10" s="1"/>
  <c r="E743" i="10"/>
  <c r="F743" i="10" s="1"/>
  <c r="E742" i="10"/>
  <c r="F742" i="10" s="1"/>
  <c r="E741" i="10"/>
  <c r="F741" i="10" s="1"/>
  <c r="E740" i="10"/>
  <c r="F740" i="10" s="1"/>
  <c r="E739" i="10"/>
  <c r="F739" i="10" s="1"/>
  <c r="E738" i="10"/>
  <c r="F738" i="10" s="1"/>
  <c r="E737" i="10"/>
  <c r="F737" i="10" s="1"/>
  <c r="E736" i="10"/>
  <c r="F736" i="10" s="1"/>
  <c r="E735" i="10"/>
  <c r="F735" i="10" s="1"/>
  <c r="E734" i="10"/>
  <c r="F734" i="10" s="1"/>
  <c r="E733" i="10"/>
  <c r="F733" i="10" s="1"/>
  <c r="E732" i="10"/>
  <c r="F732" i="10" s="1"/>
  <c r="E731" i="10"/>
  <c r="F731" i="10" s="1"/>
  <c r="E730" i="10"/>
  <c r="F730" i="10" s="1"/>
  <c r="E729" i="10"/>
  <c r="F729" i="10" s="1"/>
  <c r="E728" i="10"/>
  <c r="F728" i="10" s="1"/>
  <c r="E727" i="10"/>
  <c r="F727" i="10" s="1"/>
  <c r="E726" i="10"/>
  <c r="F726" i="10" s="1"/>
  <c r="E725" i="10"/>
  <c r="F725" i="10" s="1"/>
  <c r="B725" i="10"/>
  <c r="B726" i="10" s="1"/>
  <c r="B727" i="10" s="1"/>
  <c r="B728" i="10" s="1"/>
  <c r="B729" i="10" s="1"/>
  <c r="B730" i="10" s="1"/>
  <c r="B731" i="10" s="1"/>
  <c r="B732" i="10" s="1"/>
  <c r="B733" i="10" s="1"/>
  <c r="B734" i="10" s="1"/>
  <c r="B735" i="10" s="1"/>
  <c r="B736" i="10" s="1"/>
  <c r="B737" i="10" s="1"/>
  <c r="B738" i="10" s="1"/>
  <c r="B739" i="10" s="1"/>
  <c r="B740" i="10" s="1"/>
  <c r="B741" i="10" s="1"/>
  <c r="B742" i="10" s="1"/>
  <c r="B743" i="10" s="1"/>
  <c r="B744" i="10" s="1"/>
  <c r="B745" i="10" s="1"/>
  <c r="B746" i="10" s="1"/>
  <c r="B747" i="10" s="1"/>
  <c r="B748" i="10" s="1"/>
  <c r="B749" i="10" s="1"/>
  <c r="B750" i="10" s="1"/>
  <c r="B751" i="10" s="1"/>
  <c r="B752" i="10" s="1"/>
  <c r="B753" i="10" s="1"/>
  <c r="B754" i="10" s="1"/>
  <c r="B755" i="10" s="1"/>
  <c r="B756" i="10" s="1"/>
  <c r="B757" i="10" s="1"/>
  <c r="B758" i="10" s="1"/>
  <c r="B759" i="10" s="1"/>
  <c r="B760" i="10" s="1"/>
  <c r="E724" i="10"/>
  <c r="F724" i="10" s="1"/>
  <c r="E706" i="10"/>
  <c r="F706" i="10" s="1"/>
  <c r="E705" i="10"/>
  <c r="F705" i="10" s="1"/>
  <c r="E704" i="10"/>
  <c r="F704" i="10" s="1"/>
  <c r="E703" i="10"/>
  <c r="F703" i="10" s="1"/>
  <c r="E702" i="10"/>
  <c r="F702" i="10" s="1"/>
  <c r="E701" i="10"/>
  <c r="F701" i="10" s="1"/>
  <c r="E700" i="10"/>
  <c r="F700" i="10" s="1"/>
  <c r="E699" i="10"/>
  <c r="F699" i="10" s="1"/>
  <c r="E698" i="10"/>
  <c r="F698" i="10" s="1"/>
  <c r="E697" i="10"/>
  <c r="F697" i="10" s="1"/>
  <c r="E696" i="10"/>
  <c r="F696" i="10" s="1"/>
  <c r="E695" i="10"/>
  <c r="F695" i="10" s="1"/>
  <c r="E694" i="10"/>
  <c r="F694" i="10" s="1"/>
  <c r="E693" i="10"/>
  <c r="F693" i="10" s="1"/>
  <c r="E692" i="10"/>
  <c r="F692" i="10" s="1"/>
  <c r="E691" i="10"/>
  <c r="F691" i="10" s="1"/>
  <c r="E690" i="10"/>
  <c r="F690" i="10" s="1"/>
  <c r="E689" i="10"/>
  <c r="F689" i="10" s="1"/>
  <c r="E688" i="10"/>
  <c r="F688" i="10" s="1"/>
  <c r="E687" i="10"/>
  <c r="F687" i="10" s="1"/>
  <c r="B687" i="10"/>
  <c r="B688" i="10" s="1"/>
  <c r="B689" i="10" s="1"/>
  <c r="B690" i="10" s="1"/>
  <c r="B691" i="10" s="1"/>
  <c r="B692" i="10" s="1"/>
  <c r="B693" i="10" s="1"/>
  <c r="B694" i="10" s="1"/>
  <c r="B695" i="10" s="1"/>
  <c r="B696" i="10" s="1"/>
  <c r="B697" i="10" s="1"/>
  <c r="B698" i="10" s="1"/>
  <c r="B699" i="10" s="1"/>
  <c r="B700" i="10" s="1"/>
  <c r="B701" i="10" s="1"/>
  <c r="B702" i="10" s="1"/>
  <c r="B703" i="10" s="1"/>
  <c r="B704" i="10" s="1"/>
  <c r="B705" i="10" s="1"/>
  <c r="B706" i="10" s="1"/>
  <c r="B707" i="10" s="1"/>
  <c r="B708" i="10" s="1"/>
  <c r="B709" i="10" s="1"/>
  <c r="B710" i="10" s="1"/>
  <c r="B711" i="10" s="1"/>
  <c r="B712" i="10" s="1"/>
  <c r="B713" i="10" s="1"/>
  <c r="B714" i="10" s="1"/>
  <c r="B715" i="10" s="1"/>
  <c r="B716" i="10" s="1"/>
  <c r="B717" i="10" s="1"/>
  <c r="B718" i="10" s="1"/>
  <c r="B719" i="10" s="1"/>
  <c r="B720" i="10" s="1"/>
  <c r="B721" i="10" s="1"/>
  <c r="B722" i="10" s="1"/>
  <c r="E686" i="10"/>
  <c r="F686" i="10" s="1"/>
  <c r="E668" i="10"/>
  <c r="F668" i="10" s="1"/>
  <c r="E667" i="10"/>
  <c r="F667" i="10" s="1"/>
  <c r="E666" i="10"/>
  <c r="F666" i="10" s="1"/>
  <c r="E665" i="10"/>
  <c r="F665" i="10" s="1"/>
  <c r="E664" i="10"/>
  <c r="F664" i="10" s="1"/>
  <c r="E663" i="10"/>
  <c r="F663" i="10" s="1"/>
  <c r="E662" i="10"/>
  <c r="F662" i="10" s="1"/>
  <c r="E661" i="10"/>
  <c r="F661" i="10" s="1"/>
  <c r="E660" i="10"/>
  <c r="F660" i="10" s="1"/>
  <c r="E659" i="10"/>
  <c r="F659" i="10" s="1"/>
  <c r="E658" i="10"/>
  <c r="F658" i="10" s="1"/>
  <c r="E657" i="10"/>
  <c r="F657" i="10" s="1"/>
  <c r="E656" i="10"/>
  <c r="F656" i="10" s="1"/>
  <c r="E655" i="10"/>
  <c r="F655" i="10" s="1"/>
  <c r="E654" i="10"/>
  <c r="F654" i="10" s="1"/>
  <c r="E653" i="10"/>
  <c r="F653" i="10" s="1"/>
  <c r="E652" i="10"/>
  <c r="F652" i="10" s="1"/>
  <c r="E651" i="10"/>
  <c r="F651" i="10" s="1"/>
  <c r="E650" i="10"/>
  <c r="F650" i="10" s="1"/>
  <c r="E649" i="10"/>
  <c r="F649" i="10" s="1"/>
  <c r="B649" i="10"/>
  <c r="B650" i="10" s="1"/>
  <c r="B651" i="10" s="1"/>
  <c r="B652" i="10" s="1"/>
  <c r="B653" i="10" s="1"/>
  <c r="B654" i="10" s="1"/>
  <c r="B655" i="10" s="1"/>
  <c r="B656" i="10" s="1"/>
  <c r="B657" i="10" s="1"/>
  <c r="B658" i="10" s="1"/>
  <c r="B659" i="10" s="1"/>
  <c r="B660" i="10" s="1"/>
  <c r="B661" i="10" s="1"/>
  <c r="B662" i="10" s="1"/>
  <c r="B663" i="10" s="1"/>
  <c r="B664" i="10" s="1"/>
  <c r="B665" i="10" s="1"/>
  <c r="B666" i="10" s="1"/>
  <c r="B667" i="10" s="1"/>
  <c r="B668" i="10" s="1"/>
  <c r="B669" i="10" s="1"/>
  <c r="B670" i="10" s="1"/>
  <c r="B671" i="10" s="1"/>
  <c r="B672" i="10" s="1"/>
  <c r="B673" i="10" s="1"/>
  <c r="B674" i="10" s="1"/>
  <c r="B675" i="10" s="1"/>
  <c r="B676" i="10" s="1"/>
  <c r="B677" i="10" s="1"/>
  <c r="B678" i="10" s="1"/>
  <c r="B679" i="10" s="1"/>
  <c r="B680" i="10" s="1"/>
  <c r="B681" i="10" s="1"/>
  <c r="B682" i="10" s="1"/>
  <c r="B683" i="10" s="1"/>
  <c r="B684" i="10" s="1"/>
  <c r="E648" i="10"/>
  <c r="F648" i="10" s="1"/>
  <c r="E630" i="10"/>
  <c r="F630" i="10" s="1"/>
  <c r="E629" i="10"/>
  <c r="F629" i="10" s="1"/>
  <c r="E628" i="10"/>
  <c r="F628" i="10" s="1"/>
  <c r="E627" i="10"/>
  <c r="F627" i="10" s="1"/>
  <c r="E626" i="10"/>
  <c r="F626" i="10" s="1"/>
  <c r="E625" i="10"/>
  <c r="F625" i="10" s="1"/>
  <c r="E624" i="10"/>
  <c r="F624" i="10" s="1"/>
  <c r="E623" i="10"/>
  <c r="F623" i="10" s="1"/>
  <c r="E622" i="10"/>
  <c r="F622" i="10" s="1"/>
  <c r="E621" i="10"/>
  <c r="F621" i="10" s="1"/>
  <c r="E620" i="10"/>
  <c r="F620" i="10" s="1"/>
  <c r="E619" i="10"/>
  <c r="F619" i="10" s="1"/>
  <c r="E618" i="10"/>
  <c r="F618" i="10" s="1"/>
  <c r="E617" i="10"/>
  <c r="F617" i="10" s="1"/>
  <c r="E616" i="10"/>
  <c r="F616" i="10" s="1"/>
  <c r="E615" i="10"/>
  <c r="F615" i="10" s="1"/>
  <c r="E614" i="10"/>
  <c r="F614" i="10" s="1"/>
  <c r="E613" i="10"/>
  <c r="F613" i="10" s="1"/>
  <c r="E612" i="10"/>
  <c r="F612" i="10" s="1"/>
  <c r="E611" i="10"/>
  <c r="F611" i="10" s="1"/>
  <c r="B611" i="10"/>
  <c r="B612" i="10" s="1"/>
  <c r="B613" i="10" s="1"/>
  <c r="B614" i="10" s="1"/>
  <c r="B615" i="10" s="1"/>
  <c r="B616" i="10" s="1"/>
  <c r="B617" i="10" s="1"/>
  <c r="B618" i="10" s="1"/>
  <c r="B619" i="10" s="1"/>
  <c r="B620" i="10" s="1"/>
  <c r="B621" i="10" s="1"/>
  <c r="B622" i="10" s="1"/>
  <c r="B623" i="10" s="1"/>
  <c r="B624" i="10" s="1"/>
  <c r="B625" i="10" s="1"/>
  <c r="B626" i="10" s="1"/>
  <c r="B627" i="10" s="1"/>
  <c r="B628" i="10" s="1"/>
  <c r="B629" i="10" s="1"/>
  <c r="B630" i="10" s="1"/>
  <c r="B631" i="10" s="1"/>
  <c r="B632" i="10" s="1"/>
  <c r="B633" i="10" s="1"/>
  <c r="B634" i="10" s="1"/>
  <c r="B635" i="10" s="1"/>
  <c r="B636" i="10" s="1"/>
  <c r="B637" i="10" s="1"/>
  <c r="B638" i="10" s="1"/>
  <c r="B639" i="10" s="1"/>
  <c r="B640" i="10" s="1"/>
  <c r="B641" i="10" s="1"/>
  <c r="B642" i="10" s="1"/>
  <c r="B643" i="10" s="1"/>
  <c r="B644" i="10" s="1"/>
  <c r="B645" i="10" s="1"/>
  <c r="B646" i="10" s="1"/>
  <c r="E610" i="10"/>
  <c r="F610" i="10" s="1"/>
  <c r="E592" i="10"/>
  <c r="F592" i="10" s="1"/>
  <c r="E591" i="10"/>
  <c r="F591" i="10" s="1"/>
  <c r="E590" i="10"/>
  <c r="F590" i="10" s="1"/>
  <c r="E589" i="10"/>
  <c r="F589" i="10" s="1"/>
  <c r="E588" i="10"/>
  <c r="F588" i="10" s="1"/>
  <c r="E587" i="10"/>
  <c r="F587" i="10" s="1"/>
  <c r="E586" i="10"/>
  <c r="F586" i="10" s="1"/>
  <c r="E585" i="10"/>
  <c r="F585" i="10" s="1"/>
  <c r="E584" i="10"/>
  <c r="F584" i="10" s="1"/>
  <c r="E583" i="10"/>
  <c r="F583" i="10" s="1"/>
  <c r="E582" i="10"/>
  <c r="F582" i="10" s="1"/>
  <c r="E581" i="10"/>
  <c r="F581" i="10" s="1"/>
  <c r="E580" i="10"/>
  <c r="F580" i="10" s="1"/>
  <c r="E579" i="10"/>
  <c r="F579" i="10" s="1"/>
  <c r="E578" i="10"/>
  <c r="F578" i="10" s="1"/>
  <c r="E577" i="10"/>
  <c r="F577" i="10" s="1"/>
  <c r="E576" i="10"/>
  <c r="F576" i="10" s="1"/>
  <c r="E575" i="10"/>
  <c r="F575" i="10" s="1"/>
  <c r="E574" i="10"/>
  <c r="F574" i="10" s="1"/>
  <c r="E573" i="10"/>
  <c r="F573" i="10" s="1"/>
  <c r="B573" i="10"/>
  <c r="B574" i="10" s="1"/>
  <c r="B575" i="10" s="1"/>
  <c r="B576" i="10" s="1"/>
  <c r="B577" i="10" s="1"/>
  <c r="B578" i="10" s="1"/>
  <c r="B579" i="10" s="1"/>
  <c r="B580" i="10" s="1"/>
  <c r="B581" i="10" s="1"/>
  <c r="B582" i="10" s="1"/>
  <c r="B583" i="10" s="1"/>
  <c r="B584" i="10" s="1"/>
  <c r="B585" i="10" s="1"/>
  <c r="B586" i="10" s="1"/>
  <c r="B587" i="10" s="1"/>
  <c r="B588" i="10" s="1"/>
  <c r="B589" i="10" s="1"/>
  <c r="B590" i="10" s="1"/>
  <c r="B591" i="10" s="1"/>
  <c r="B592" i="10" s="1"/>
  <c r="B593" i="10" s="1"/>
  <c r="B594" i="10" s="1"/>
  <c r="B595" i="10" s="1"/>
  <c r="B596" i="10" s="1"/>
  <c r="B597" i="10" s="1"/>
  <c r="B598" i="10" s="1"/>
  <c r="B599" i="10" s="1"/>
  <c r="B600" i="10" s="1"/>
  <c r="B601" i="10" s="1"/>
  <c r="B602" i="10" s="1"/>
  <c r="B603" i="10" s="1"/>
  <c r="B604" i="10" s="1"/>
  <c r="B605" i="10" s="1"/>
  <c r="B606" i="10" s="1"/>
  <c r="B607" i="10" s="1"/>
  <c r="B608" i="10" s="1"/>
  <c r="E572" i="10"/>
  <c r="F572" i="10" s="1"/>
  <c r="E554" i="10"/>
  <c r="F554" i="10" s="1"/>
  <c r="E553" i="10"/>
  <c r="F553" i="10" s="1"/>
  <c r="E552" i="10"/>
  <c r="F552" i="10" s="1"/>
  <c r="E551" i="10"/>
  <c r="F551" i="10" s="1"/>
  <c r="E550" i="10"/>
  <c r="F550" i="10" s="1"/>
  <c r="E549" i="10"/>
  <c r="F549" i="10" s="1"/>
  <c r="E548" i="10"/>
  <c r="F548" i="10" s="1"/>
  <c r="E547" i="10"/>
  <c r="F547" i="10" s="1"/>
  <c r="E546" i="10"/>
  <c r="F546" i="10" s="1"/>
  <c r="E545" i="10"/>
  <c r="F545" i="10" s="1"/>
  <c r="E544" i="10"/>
  <c r="F544" i="10" s="1"/>
  <c r="E543" i="10"/>
  <c r="F543" i="10" s="1"/>
  <c r="E542" i="10"/>
  <c r="F542" i="10" s="1"/>
  <c r="E541" i="10"/>
  <c r="F541" i="10" s="1"/>
  <c r="E540" i="10"/>
  <c r="F540" i="10" s="1"/>
  <c r="E539" i="10"/>
  <c r="F539" i="10" s="1"/>
  <c r="E538" i="10"/>
  <c r="F538" i="10" s="1"/>
  <c r="E537" i="10"/>
  <c r="F537" i="10" s="1"/>
  <c r="E536" i="10"/>
  <c r="F536" i="10" s="1"/>
  <c r="E535" i="10"/>
  <c r="F535" i="10" s="1"/>
  <c r="B535" i="10"/>
  <c r="B536" i="10" s="1"/>
  <c r="B537" i="10" s="1"/>
  <c r="B538" i="10" s="1"/>
  <c r="B539" i="10" s="1"/>
  <c r="B540" i="10" s="1"/>
  <c r="B541" i="10" s="1"/>
  <c r="B542" i="10" s="1"/>
  <c r="B543" i="10" s="1"/>
  <c r="B544" i="10" s="1"/>
  <c r="B545" i="10" s="1"/>
  <c r="B546" i="10" s="1"/>
  <c r="B547" i="10" s="1"/>
  <c r="B548" i="10" s="1"/>
  <c r="B549" i="10" s="1"/>
  <c r="B550" i="10" s="1"/>
  <c r="B551" i="10" s="1"/>
  <c r="B552" i="10" s="1"/>
  <c r="B553" i="10" s="1"/>
  <c r="B554" i="10" s="1"/>
  <c r="B555" i="10" s="1"/>
  <c r="B556" i="10" s="1"/>
  <c r="B557" i="10" s="1"/>
  <c r="B558" i="10" s="1"/>
  <c r="B559" i="10" s="1"/>
  <c r="B560" i="10" s="1"/>
  <c r="B561" i="10" s="1"/>
  <c r="B562" i="10" s="1"/>
  <c r="B563" i="10" s="1"/>
  <c r="B564" i="10" s="1"/>
  <c r="B565" i="10" s="1"/>
  <c r="B566" i="10" s="1"/>
  <c r="B567" i="10" s="1"/>
  <c r="B568" i="10" s="1"/>
  <c r="B569" i="10" s="1"/>
  <c r="B570" i="10" s="1"/>
  <c r="E534" i="10"/>
  <c r="F534" i="10" s="1"/>
  <c r="E516" i="10"/>
  <c r="F516" i="10" s="1"/>
  <c r="I516" i="10" s="1"/>
  <c r="E515" i="10"/>
  <c r="F515" i="10" s="1"/>
  <c r="I515" i="10" s="1"/>
  <c r="E514" i="10"/>
  <c r="F514" i="10" s="1"/>
  <c r="I514" i="10" s="1"/>
  <c r="E513" i="10"/>
  <c r="F513" i="10" s="1"/>
  <c r="I513" i="10" s="1"/>
  <c r="E512" i="10"/>
  <c r="F512" i="10" s="1"/>
  <c r="I512" i="10" s="1"/>
  <c r="E511" i="10"/>
  <c r="F511" i="10" s="1"/>
  <c r="I511" i="10" s="1"/>
  <c r="E510" i="10"/>
  <c r="F510" i="10" s="1"/>
  <c r="I510" i="10" s="1"/>
  <c r="E509" i="10"/>
  <c r="F509" i="10" s="1"/>
  <c r="I509" i="10" s="1"/>
  <c r="E508" i="10"/>
  <c r="F508" i="10" s="1"/>
  <c r="I508" i="10" s="1"/>
  <c r="E507" i="10"/>
  <c r="F507" i="10" s="1"/>
  <c r="I507" i="10" s="1"/>
  <c r="E506" i="10"/>
  <c r="F506" i="10" s="1"/>
  <c r="I506" i="10" s="1"/>
  <c r="E505" i="10"/>
  <c r="F505" i="10" s="1"/>
  <c r="I505" i="10" s="1"/>
  <c r="E504" i="10"/>
  <c r="F504" i="10" s="1"/>
  <c r="I504" i="10" s="1"/>
  <c r="E503" i="10"/>
  <c r="F503" i="10" s="1"/>
  <c r="I503" i="10" s="1"/>
  <c r="E502" i="10"/>
  <c r="F502" i="10" s="1"/>
  <c r="I502" i="10" s="1"/>
  <c r="E501" i="10"/>
  <c r="F501" i="10" s="1"/>
  <c r="I501" i="10" s="1"/>
  <c r="E500" i="10"/>
  <c r="F500" i="10" s="1"/>
  <c r="I500" i="10" s="1"/>
  <c r="E499" i="10"/>
  <c r="F499" i="10" s="1"/>
  <c r="I499" i="10" s="1"/>
  <c r="E498" i="10"/>
  <c r="F498" i="10" s="1"/>
  <c r="I498" i="10" s="1"/>
  <c r="E497" i="10"/>
  <c r="F497" i="10" s="1"/>
  <c r="I497" i="10" s="1"/>
  <c r="B497" i="10"/>
  <c r="B498" i="10" s="1"/>
  <c r="B499" i="10" s="1"/>
  <c r="B500" i="10" s="1"/>
  <c r="B501" i="10" s="1"/>
  <c r="B502" i="10" s="1"/>
  <c r="B503" i="10" s="1"/>
  <c r="B504" i="10" s="1"/>
  <c r="B505" i="10" s="1"/>
  <c r="B506" i="10" s="1"/>
  <c r="B507" i="10" s="1"/>
  <c r="B508" i="10" s="1"/>
  <c r="B509" i="10" s="1"/>
  <c r="B510" i="10" s="1"/>
  <c r="B511" i="10" s="1"/>
  <c r="B512" i="10" s="1"/>
  <c r="B513" i="10" s="1"/>
  <c r="B514" i="10" s="1"/>
  <c r="B515" i="10" s="1"/>
  <c r="B516" i="10" s="1"/>
  <c r="B517" i="10" s="1"/>
  <c r="B518" i="10" s="1"/>
  <c r="B519" i="10" s="1"/>
  <c r="B520" i="10" s="1"/>
  <c r="B521" i="10" s="1"/>
  <c r="B522" i="10" s="1"/>
  <c r="B523" i="10" s="1"/>
  <c r="B524" i="10" s="1"/>
  <c r="B525" i="10" s="1"/>
  <c r="B526" i="10" s="1"/>
  <c r="B527" i="10" s="1"/>
  <c r="B528" i="10" s="1"/>
  <c r="B529" i="10" s="1"/>
  <c r="B530" i="10" s="1"/>
  <c r="B531" i="10" s="1"/>
  <c r="B532" i="10" s="1"/>
  <c r="E496" i="10"/>
  <c r="F496" i="10" s="1"/>
  <c r="I496" i="10" s="1"/>
  <c r="E478" i="10"/>
  <c r="F478" i="10" s="1"/>
  <c r="I478" i="10" s="1"/>
  <c r="E477" i="10"/>
  <c r="F477" i="10" s="1"/>
  <c r="I477" i="10" s="1"/>
  <c r="E476" i="10"/>
  <c r="F476" i="10" s="1"/>
  <c r="I476" i="10" s="1"/>
  <c r="E475" i="10"/>
  <c r="F475" i="10" s="1"/>
  <c r="I475" i="10" s="1"/>
  <c r="E474" i="10"/>
  <c r="F474" i="10" s="1"/>
  <c r="I474" i="10" s="1"/>
  <c r="E473" i="10"/>
  <c r="F473" i="10" s="1"/>
  <c r="I473" i="10" s="1"/>
  <c r="E472" i="10"/>
  <c r="F472" i="10" s="1"/>
  <c r="I472" i="10" s="1"/>
  <c r="E471" i="10"/>
  <c r="F471" i="10" s="1"/>
  <c r="I471" i="10" s="1"/>
  <c r="E470" i="10"/>
  <c r="F470" i="10" s="1"/>
  <c r="I470" i="10" s="1"/>
  <c r="E469" i="10"/>
  <c r="F469" i="10" s="1"/>
  <c r="I469" i="10" s="1"/>
  <c r="E468" i="10"/>
  <c r="F468" i="10" s="1"/>
  <c r="I468" i="10" s="1"/>
  <c r="E467" i="10"/>
  <c r="F467" i="10" s="1"/>
  <c r="I467" i="10" s="1"/>
  <c r="E466" i="10"/>
  <c r="F466" i="10" s="1"/>
  <c r="I466" i="10" s="1"/>
  <c r="E465" i="10"/>
  <c r="F465" i="10" s="1"/>
  <c r="I465" i="10" s="1"/>
  <c r="E464" i="10"/>
  <c r="F464" i="10" s="1"/>
  <c r="I464" i="10" s="1"/>
  <c r="E463" i="10"/>
  <c r="F463" i="10" s="1"/>
  <c r="I463" i="10" s="1"/>
  <c r="E462" i="10"/>
  <c r="F462" i="10" s="1"/>
  <c r="I462" i="10" s="1"/>
  <c r="E461" i="10"/>
  <c r="F461" i="10" s="1"/>
  <c r="I461" i="10" s="1"/>
  <c r="E460" i="10"/>
  <c r="F460" i="10" s="1"/>
  <c r="I460" i="10" s="1"/>
  <c r="E459" i="10"/>
  <c r="F459" i="10" s="1"/>
  <c r="I459" i="10" s="1"/>
  <c r="B459" i="10"/>
  <c r="B460" i="10" s="1"/>
  <c r="B461" i="10" s="1"/>
  <c r="B462" i="10" s="1"/>
  <c r="B463" i="10" s="1"/>
  <c r="B464" i="10" s="1"/>
  <c r="B465" i="10" s="1"/>
  <c r="B466" i="10" s="1"/>
  <c r="B467" i="10" s="1"/>
  <c r="B468" i="10" s="1"/>
  <c r="B469" i="10" s="1"/>
  <c r="B470" i="10" s="1"/>
  <c r="B471" i="10" s="1"/>
  <c r="B472" i="10" s="1"/>
  <c r="B473" i="10" s="1"/>
  <c r="B474" i="10" s="1"/>
  <c r="B475" i="10" s="1"/>
  <c r="B476" i="10" s="1"/>
  <c r="B477" i="10" s="1"/>
  <c r="B478" i="10" s="1"/>
  <c r="B479" i="10" s="1"/>
  <c r="B480" i="10" s="1"/>
  <c r="B481" i="10" s="1"/>
  <c r="B482" i="10" s="1"/>
  <c r="B483" i="10" s="1"/>
  <c r="B484" i="10" s="1"/>
  <c r="B485" i="10" s="1"/>
  <c r="B486" i="10" s="1"/>
  <c r="B487" i="10" s="1"/>
  <c r="B488" i="10" s="1"/>
  <c r="B489" i="10" s="1"/>
  <c r="B490" i="10" s="1"/>
  <c r="B491" i="10" s="1"/>
  <c r="B492" i="10" s="1"/>
  <c r="B493" i="10" s="1"/>
  <c r="B494" i="10" s="1"/>
  <c r="E458" i="10"/>
  <c r="F458" i="10" s="1"/>
  <c r="I458" i="10" s="1"/>
  <c r="E440" i="10"/>
  <c r="F440" i="10" s="1"/>
  <c r="I440" i="10" s="1"/>
  <c r="E439" i="10"/>
  <c r="F439" i="10" s="1"/>
  <c r="I439" i="10" s="1"/>
  <c r="E438" i="10"/>
  <c r="F438" i="10" s="1"/>
  <c r="I438" i="10" s="1"/>
  <c r="E437" i="10"/>
  <c r="F437" i="10" s="1"/>
  <c r="I437" i="10" s="1"/>
  <c r="E436" i="10"/>
  <c r="F436" i="10" s="1"/>
  <c r="I436" i="10" s="1"/>
  <c r="E435" i="10"/>
  <c r="F435" i="10" s="1"/>
  <c r="I435" i="10" s="1"/>
  <c r="E434" i="10"/>
  <c r="F434" i="10" s="1"/>
  <c r="I434" i="10" s="1"/>
  <c r="E433" i="10"/>
  <c r="F433" i="10" s="1"/>
  <c r="I433" i="10" s="1"/>
  <c r="E432" i="10"/>
  <c r="F432" i="10" s="1"/>
  <c r="I432" i="10" s="1"/>
  <c r="E431" i="10"/>
  <c r="F431" i="10" s="1"/>
  <c r="I431" i="10" s="1"/>
  <c r="E430" i="10"/>
  <c r="F430" i="10" s="1"/>
  <c r="I430" i="10" s="1"/>
  <c r="E429" i="10"/>
  <c r="F429" i="10" s="1"/>
  <c r="I429" i="10" s="1"/>
  <c r="E428" i="10"/>
  <c r="F428" i="10" s="1"/>
  <c r="I428" i="10" s="1"/>
  <c r="E427" i="10"/>
  <c r="F427" i="10" s="1"/>
  <c r="I427" i="10" s="1"/>
  <c r="E426" i="10"/>
  <c r="F426" i="10" s="1"/>
  <c r="I426" i="10" s="1"/>
  <c r="E425" i="10"/>
  <c r="F425" i="10" s="1"/>
  <c r="I425" i="10" s="1"/>
  <c r="E424" i="10"/>
  <c r="F424" i="10" s="1"/>
  <c r="I424" i="10" s="1"/>
  <c r="E423" i="10"/>
  <c r="F423" i="10" s="1"/>
  <c r="I423" i="10" s="1"/>
  <c r="E422" i="10"/>
  <c r="F422" i="10" s="1"/>
  <c r="I422" i="10" s="1"/>
  <c r="E421" i="10"/>
  <c r="F421" i="10" s="1"/>
  <c r="I421" i="10" s="1"/>
  <c r="B421" i="10"/>
  <c r="B422" i="10" s="1"/>
  <c r="B423" i="10" s="1"/>
  <c r="B424" i="10" s="1"/>
  <c r="B425" i="10" s="1"/>
  <c r="B426" i="10" s="1"/>
  <c r="B427" i="10" s="1"/>
  <c r="B428" i="10" s="1"/>
  <c r="B429" i="10" s="1"/>
  <c r="B430" i="10" s="1"/>
  <c r="B431" i="10" s="1"/>
  <c r="B432" i="10" s="1"/>
  <c r="B433" i="10" s="1"/>
  <c r="B434" i="10" s="1"/>
  <c r="B435" i="10" s="1"/>
  <c r="B436" i="10" s="1"/>
  <c r="B437" i="10" s="1"/>
  <c r="B438" i="10" s="1"/>
  <c r="B439" i="10" s="1"/>
  <c r="B440" i="10" s="1"/>
  <c r="B441" i="10" s="1"/>
  <c r="B442" i="10" s="1"/>
  <c r="B443" i="10" s="1"/>
  <c r="B444" i="10" s="1"/>
  <c r="B445" i="10" s="1"/>
  <c r="B446" i="10" s="1"/>
  <c r="B447" i="10" s="1"/>
  <c r="B448" i="10" s="1"/>
  <c r="B449" i="10" s="1"/>
  <c r="B450" i="10" s="1"/>
  <c r="B451" i="10" s="1"/>
  <c r="B452" i="10" s="1"/>
  <c r="B453" i="10" s="1"/>
  <c r="B454" i="10" s="1"/>
  <c r="B455" i="10" s="1"/>
  <c r="B456" i="10" s="1"/>
  <c r="E420" i="10"/>
  <c r="F420" i="10" s="1"/>
  <c r="I420" i="10" s="1"/>
  <c r="E402" i="10"/>
  <c r="F402" i="10" s="1"/>
  <c r="E401" i="10"/>
  <c r="F401" i="10" s="1"/>
  <c r="E400" i="10"/>
  <c r="F400" i="10" s="1"/>
  <c r="E399" i="10"/>
  <c r="F399" i="10" s="1"/>
  <c r="E398" i="10"/>
  <c r="F398" i="10" s="1"/>
  <c r="E397" i="10"/>
  <c r="F397" i="10" s="1"/>
  <c r="E396" i="10"/>
  <c r="F396" i="10" s="1"/>
  <c r="E395" i="10"/>
  <c r="F395" i="10" s="1"/>
  <c r="E394" i="10"/>
  <c r="F394" i="10" s="1"/>
  <c r="E393" i="10"/>
  <c r="F393" i="10" s="1"/>
  <c r="E392" i="10"/>
  <c r="F392" i="10" s="1"/>
  <c r="E391" i="10"/>
  <c r="F391" i="10" s="1"/>
  <c r="E390" i="10"/>
  <c r="F390" i="10" s="1"/>
  <c r="E389" i="10"/>
  <c r="F389" i="10" s="1"/>
  <c r="E388" i="10"/>
  <c r="F388" i="10" s="1"/>
  <c r="E387" i="10"/>
  <c r="F387" i="10" s="1"/>
  <c r="E386" i="10"/>
  <c r="F386" i="10" s="1"/>
  <c r="E385" i="10"/>
  <c r="F385" i="10" s="1"/>
  <c r="E384" i="10"/>
  <c r="F384" i="10" s="1"/>
  <c r="E383" i="10"/>
  <c r="F383" i="10" s="1"/>
  <c r="B383" i="10"/>
  <c r="B384" i="10" s="1"/>
  <c r="B385" i="10" s="1"/>
  <c r="B386" i="10" s="1"/>
  <c r="B387" i="10" s="1"/>
  <c r="B388" i="10" s="1"/>
  <c r="B389" i="10" s="1"/>
  <c r="B390" i="10" s="1"/>
  <c r="B391" i="10" s="1"/>
  <c r="B392" i="10" s="1"/>
  <c r="B393" i="10" s="1"/>
  <c r="B394" i="10" s="1"/>
  <c r="B395" i="10" s="1"/>
  <c r="B396" i="10" s="1"/>
  <c r="B397" i="10" s="1"/>
  <c r="B398" i="10" s="1"/>
  <c r="B399" i="10" s="1"/>
  <c r="B400" i="10" s="1"/>
  <c r="B401" i="10" s="1"/>
  <c r="B402" i="10" s="1"/>
  <c r="B403" i="10" s="1"/>
  <c r="B404" i="10" s="1"/>
  <c r="B405" i="10" s="1"/>
  <c r="B406" i="10" s="1"/>
  <c r="B407" i="10" s="1"/>
  <c r="B408" i="10" s="1"/>
  <c r="B409" i="10" s="1"/>
  <c r="B410" i="10" s="1"/>
  <c r="B411" i="10" s="1"/>
  <c r="B412" i="10" s="1"/>
  <c r="B413" i="10" s="1"/>
  <c r="B414" i="10" s="1"/>
  <c r="B415" i="10" s="1"/>
  <c r="B416" i="10" s="1"/>
  <c r="B417" i="10" s="1"/>
  <c r="B418" i="10" s="1"/>
  <c r="E382" i="10"/>
  <c r="F382" i="10" s="1"/>
  <c r="E364" i="10"/>
  <c r="F364" i="10" s="1"/>
  <c r="E363" i="10"/>
  <c r="F363" i="10" s="1"/>
  <c r="E362" i="10"/>
  <c r="F362" i="10" s="1"/>
  <c r="E361" i="10"/>
  <c r="F361" i="10" s="1"/>
  <c r="E360" i="10"/>
  <c r="F360" i="10" s="1"/>
  <c r="E359" i="10"/>
  <c r="F359" i="10" s="1"/>
  <c r="E358" i="10"/>
  <c r="F358" i="10" s="1"/>
  <c r="E357" i="10"/>
  <c r="F357" i="10" s="1"/>
  <c r="E356" i="10"/>
  <c r="F356" i="10" s="1"/>
  <c r="E355" i="10"/>
  <c r="F355" i="10" s="1"/>
  <c r="E354" i="10"/>
  <c r="F354" i="10" s="1"/>
  <c r="E353" i="10"/>
  <c r="F353" i="10" s="1"/>
  <c r="E352" i="10"/>
  <c r="F352" i="10" s="1"/>
  <c r="E351" i="10"/>
  <c r="F351" i="10" s="1"/>
  <c r="E350" i="10"/>
  <c r="F350" i="10" s="1"/>
  <c r="E349" i="10"/>
  <c r="F349" i="10" s="1"/>
  <c r="E348" i="10"/>
  <c r="F348" i="10" s="1"/>
  <c r="E347" i="10"/>
  <c r="F347" i="10" s="1"/>
  <c r="E346" i="10"/>
  <c r="F346" i="10" s="1"/>
  <c r="E345" i="10"/>
  <c r="F345" i="10" s="1"/>
  <c r="B345" i="10"/>
  <c r="B346" i="10" s="1"/>
  <c r="B347" i="10" s="1"/>
  <c r="B348" i="10" s="1"/>
  <c r="B349" i="10" s="1"/>
  <c r="B350" i="10" s="1"/>
  <c r="B351" i="10" s="1"/>
  <c r="B352" i="10" s="1"/>
  <c r="B353" i="10" s="1"/>
  <c r="B354" i="10" s="1"/>
  <c r="B355" i="10" s="1"/>
  <c r="B356" i="10" s="1"/>
  <c r="B357" i="10" s="1"/>
  <c r="B358" i="10" s="1"/>
  <c r="B359" i="10" s="1"/>
  <c r="B360" i="10" s="1"/>
  <c r="B361" i="10" s="1"/>
  <c r="B362" i="10" s="1"/>
  <c r="B363" i="10" s="1"/>
  <c r="B364" i="10" s="1"/>
  <c r="B365" i="10" s="1"/>
  <c r="B366" i="10" s="1"/>
  <c r="B367" i="10" s="1"/>
  <c r="B368" i="10" s="1"/>
  <c r="B369" i="10" s="1"/>
  <c r="B370" i="10" s="1"/>
  <c r="B371" i="10" s="1"/>
  <c r="B372" i="10" s="1"/>
  <c r="B373" i="10" s="1"/>
  <c r="B374" i="10" s="1"/>
  <c r="B375" i="10" s="1"/>
  <c r="B376" i="10" s="1"/>
  <c r="B377" i="10" s="1"/>
  <c r="B378" i="10" s="1"/>
  <c r="B379" i="10" s="1"/>
  <c r="B380" i="10" s="1"/>
  <c r="E344" i="10"/>
  <c r="F344" i="10" s="1"/>
  <c r="E326" i="10"/>
  <c r="F326" i="10" s="1"/>
  <c r="E325" i="10"/>
  <c r="F325" i="10" s="1"/>
  <c r="E324" i="10"/>
  <c r="F324" i="10" s="1"/>
  <c r="E323" i="10"/>
  <c r="F323" i="10" s="1"/>
  <c r="E322" i="10"/>
  <c r="F322" i="10" s="1"/>
  <c r="E321" i="10"/>
  <c r="F321" i="10" s="1"/>
  <c r="E320" i="10"/>
  <c r="F320" i="10" s="1"/>
  <c r="E319" i="10"/>
  <c r="F319" i="10" s="1"/>
  <c r="E318" i="10"/>
  <c r="F318" i="10" s="1"/>
  <c r="E317" i="10"/>
  <c r="F317" i="10" s="1"/>
  <c r="E316" i="10"/>
  <c r="F316" i="10" s="1"/>
  <c r="E315" i="10"/>
  <c r="F315" i="10" s="1"/>
  <c r="E314" i="10"/>
  <c r="F314" i="10" s="1"/>
  <c r="E313" i="10"/>
  <c r="F313" i="10" s="1"/>
  <c r="E312" i="10"/>
  <c r="F312" i="10" s="1"/>
  <c r="E311" i="10"/>
  <c r="F311" i="10" s="1"/>
  <c r="E310" i="10"/>
  <c r="F310" i="10" s="1"/>
  <c r="E309" i="10"/>
  <c r="F309" i="10" s="1"/>
  <c r="E308" i="10"/>
  <c r="F308" i="10" s="1"/>
  <c r="E307" i="10"/>
  <c r="F307" i="10" s="1"/>
  <c r="B307" i="10"/>
  <c r="B308" i="10" s="1"/>
  <c r="B309" i="10" s="1"/>
  <c r="B310" i="10" s="1"/>
  <c r="B311" i="10" s="1"/>
  <c r="B312" i="10" s="1"/>
  <c r="B313" i="10" s="1"/>
  <c r="B314" i="10" s="1"/>
  <c r="B315" i="10" s="1"/>
  <c r="B316" i="10" s="1"/>
  <c r="B317" i="10" s="1"/>
  <c r="B318" i="10" s="1"/>
  <c r="B319" i="10" s="1"/>
  <c r="B320" i="10" s="1"/>
  <c r="B321" i="10" s="1"/>
  <c r="B322" i="10" s="1"/>
  <c r="B323" i="10" s="1"/>
  <c r="B324" i="10" s="1"/>
  <c r="B325" i="10" s="1"/>
  <c r="B326" i="10" s="1"/>
  <c r="B327" i="10" s="1"/>
  <c r="B328" i="10" s="1"/>
  <c r="B329" i="10" s="1"/>
  <c r="B330" i="10" s="1"/>
  <c r="B331" i="10" s="1"/>
  <c r="B332" i="10" s="1"/>
  <c r="B333" i="10" s="1"/>
  <c r="B334" i="10" s="1"/>
  <c r="B335" i="10" s="1"/>
  <c r="B336" i="10" s="1"/>
  <c r="B337" i="10" s="1"/>
  <c r="B338" i="10" s="1"/>
  <c r="B339" i="10" s="1"/>
  <c r="B340" i="10" s="1"/>
  <c r="B341" i="10" s="1"/>
  <c r="B342" i="10" s="1"/>
  <c r="E306" i="10"/>
  <c r="F306" i="10" s="1"/>
  <c r="E288" i="10"/>
  <c r="F288" i="10" s="1"/>
  <c r="E287" i="10"/>
  <c r="F287" i="10" s="1"/>
  <c r="E286" i="10"/>
  <c r="F286" i="10" s="1"/>
  <c r="E285" i="10"/>
  <c r="F285" i="10" s="1"/>
  <c r="E284" i="10"/>
  <c r="F284" i="10" s="1"/>
  <c r="E283" i="10"/>
  <c r="F283" i="10" s="1"/>
  <c r="E282" i="10"/>
  <c r="F282" i="10" s="1"/>
  <c r="E281" i="10"/>
  <c r="F281" i="10" s="1"/>
  <c r="E280" i="10"/>
  <c r="F280" i="10" s="1"/>
  <c r="E279" i="10"/>
  <c r="F279" i="10" s="1"/>
  <c r="E278" i="10"/>
  <c r="F278" i="10" s="1"/>
  <c r="E277" i="10"/>
  <c r="F277" i="10" s="1"/>
  <c r="E276" i="10"/>
  <c r="F276" i="10" s="1"/>
  <c r="E275" i="10"/>
  <c r="F275" i="10" s="1"/>
  <c r="E274" i="10"/>
  <c r="F274" i="10" s="1"/>
  <c r="E273" i="10"/>
  <c r="F273" i="10" s="1"/>
  <c r="E272" i="10"/>
  <c r="F272" i="10" s="1"/>
  <c r="E271" i="10"/>
  <c r="F271" i="10" s="1"/>
  <c r="E270" i="10"/>
  <c r="F270" i="10" s="1"/>
  <c r="E269" i="10"/>
  <c r="F269" i="10" s="1"/>
  <c r="B269" i="10"/>
  <c r="B270" i="10" s="1"/>
  <c r="B271" i="10" s="1"/>
  <c r="B272" i="10" s="1"/>
  <c r="B273" i="10" s="1"/>
  <c r="B274" i="10" s="1"/>
  <c r="B275" i="10" s="1"/>
  <c r="B276" i="10" s="1"/>
  <c r="B277" i="10" s="1"/>
  <c r="B278" i="10" s="1"/>
  <c r="B279" i="10" s="1"/>
  <c r="B280" i="10" s="1"/>
  <c r="B281" i="10" s="1"/>
  <c r="B282" i="10" s="1"/>
  <c r="B283" i="10" s="1"/>
  <c r="B284" i="10" s="1"/>
  <c r="B285" i="10" s="1"/>
  <c r="B286" i="10" s="1"/>
  <c r="B287" i="10" s="1"/>
  <c r="B288" i="10" s="1"/>
  <c r="B289" i="10" s="1"/>
  <c r="B290" i="10" s="1"/>
  <c r="B291" i="10" s="1"/>
  <c r="B292" i="10" s="1"/>
  <c r="B293" i="10" s="1"/>
  <c r="B294" i="10" s="1"/>
  <c r="B295" i="10" s="1"/>
  <c r="B296" i="10" s="1"/>
  <c r="B297" i="10" s="1"/>
  <c r="B298" i="10" s="1"/>
  <c r="B299" i="10" s="1"/>
  <c r="B300" i="10" s="1"/>
  <c r="B301" i="10" s="1"/>
  <c r="B302" i="10" s="1"/>
  <c r="B303" i="10" s="1"/>
  <c r="B304" i="10" s="1"/>
  <c r="E268" i="10"/>
  <c r="F268" i="10" s="1"/>
  <c r="E250" i="10"/>
  <c r="F250" i="10" s="1"/>
  <c r="E249" i="10"/>
  <c r="F249" i="10" s="1"/>
  <c r="E248" i="10"/>
  <c r="F248" i="10" s="1"/>
  <c r="E247" i="10"/>
  <c r="F247" i="10" s="1"/>
  <c r="E246" i="10"/>
  <c r="F246" i="10" s="1"/>
  <c r="E245" i="10"/>
  <c r="F245" i="10" s="1"/>
  <c r="E244" i="10"/>
  <c r="F244" i="10" s="1"/>
  <c r="E243" i="10"/>
  <c r="F243" i="10" s="1"/>
  <c r="E242" i="10"/>
  <c r="F242" i="10" s="1"/>
  <c r="E241" i="10"/>
  <c r="F241" i="10" s="1"/>
  <c r="E240" i="10"/>
  <c r="F240" i="10" s="1"/>
  <c r="E239" i="10"/>
  <c r="F239" i="10" s="1"/>
  <c r="E238" i="10"/>
  <c r="F238" i="10" s="1"/>
  <c r="E237" i="10"/>
  <c r="F237" i="10" s="1"/>
  <c r="E236" i="10"/>
  <c r="F236" i="10" s="1"/>
  <c r="E235" i="10"/>
  <c r="F235" i="10" s="1"/>
  <c r="E234" i="10"/>
  <c r="F234" i="10" s="1"/>
  <c r="E233" i="10"/>
  <c r="F233" i="10" s="1"/>
  <c r="E232" i="10"/>
  <c r="F232" i="10" s="1"/>
  <c r="E231" i="10"/>
  <c r="F231" i="10" s="1"/>
  <c r="B231" i="10"/>
  <c r="B232" i="10" s="1"/>
  <c r="B233" i="10" s="1"/>
  <c r="B234" i="10" s="1"/>
  <c r="B235" i="10" s="1"/>
  <c r="B236" i="10" s="1"/>
  <c r="B237" i="10" s="1"/>
  <c r="B238" i="10" s="1"/>
  <c r="B239" i="10" s="1"/>
  <c r="B240" i="10" s="1"/>
  <c r="B241" i="10" s="1"/>
  <c r="B242" i="10" s="1"/>
  <c r="B243" i="10" s="1"/>
  <c r="B244" i="10" s="1"/>
  <c r="B245" i="10" s="1"/>
  <c r="B246" i="10" s="1"/>
  <c r="B247" i="10" s="1"/>
  <c r="B248" i="10" s="1"/>
  <c r="B249" i="10" s="1"/>
  <c r="B250" i="10" s="1"/>
  <c r="B251" i="10" s="1"/>
  <c r="B252" i="10" s="1"/>
  <c r="B253" i="10" s="1"/>
  <c r="B254" i="10" s="1"/>
  <c r="B255" i="10" s="1"/>
  <c r="B256" i="10" s="1"/>
  <c r="B257" i="10" s="1"/>
  <c r="B258" i="10" s="1"/>
  <c r="B259" i="10" s="1"/>
  <c r="B260" i="10" s="1"/>
  <c r="B261" i="10" s="1"/>
  <c r="B262" i="10" s="1"/>
  <c r="B263" i="10" s="1"/>
  <c r="B264" i="10" s="1"/>
  <c r="B265" i="10" s="1"/>
  <c r="B266" i="10" s="1"/>
  <c r="E230" i="10"/>
  <c r="F230" i="10" s="1"/>
  <c r="E212" i="10"/>
  <c r="F212" i="10" s="1"/>
  <c r="E211" i="10"/>
  <c r="F211" i="10" s="1"/>
  <c r="E210" i="10"/>
  <c r="F210" i="10" s="1"/>
  <c r="E209" i="10"/>
  <c r="F209" i="10" s="1"/>
  <c r="E208" i="10"/>
  <c r="F208" i="10" s="1"/>
  <c r="E207" i="10"/>
  <c r="F207" i="10" s="1"/>
  <c r="E206" i="10"/>
  <c r="F206" i="10" s="1"/>
  <c r="E205" i="10"/>
  <c r="F205" i="10" s="1"/>
  <c r="E204" i="10"/>
  <c r="F204" i="10" s="1"/>
  <c r="E203" i="10"/>
  <c r="F203" i="10" s="1"/>
  <c r="E202" i="10"/>
  <c r="F202" i="10" s="1"/>
  <c r="E201" i="10"/>
  <c r="F201" i="10" s="1"/>
  <c r="E200" i="10"/>
  <c r="F200" i="10" s="1"/>
  <c r="E199" i="10"/>
  <c r="F199" i="10" s="1"/>
  <c r="E198" i="10"/>
  <c r="F198" i="10" s="1"/>
  <c r="E197" i="10"/>
  <c r="F197" i="10" s="1"/>
  <c r="E196" i="10"/>
  <c r="F196" i="10" s="1"/>
  <c r="E195" i="10"/>
  <c r="F195" i="10" s="1"/>
  <c r="E194" i="10"/>
  <c r="F194" i="10" s="1"/>
  <c r="E193" i="10"/>
  <c r="F193" i="10" s="1"/>
  <c r="B193" i="10"/>
  <c r="B194" i="10" s="1"/>
  <c r="B195" i="10" s="1"/>
  <c r="B196" i="10" s="1"/>
  <c r="B197" i="10" s="1"/>
  <c r="B198" i="10" s="1"/>
  <c r="B199" i="10" s="1"/>
  <c r="B200" i="10" s="1"/>
  <c r="B201" i="10" s="1"/>
  <c r="B202" i="10" s="1"/>
  <c r="B203" i="10" s="1"/>
  <c r="B204" i="10" s="1"/>
  <c r="B205" i="10" s="1"/>
  <c r="B206" i="10" s="1"/>
  <c r="B207" i="10" s="1"/>
  <c r="B208" i="10" s="1"/>
  <c r="B209" i="10" s="1"/>
  <c r="B210" i="10" s="1"/>
  <c r="B211" i="10" s="1"/>
  <c r="B212" i="10" s="1"/>
  <c r="B213" i="10" s="1"/>
  <c r="B214" i="10" s="1"/>
  <c r="B215" i="10" s="1"/>
  <c r="B216" i="10" s="1"/>
  <c r="B217" i="10" s="1"/>
  <c r="B218" i="10" s="1"/>
  <c r="B219" i="10" s="1"/>
  <c r="B220" i="10" s="1"/>
  <c r="B221" i="10" s="1"/>
  <c r="B222" i="10" s="1"/>
  <c r="B223" i="10" s="1"/>
  <c r="B224" i="10" s="1"/>
  <c r="B225" i="10" s="1"/>
  <c r="B226" i="10" s="1"/>
  <c r="B227" i="10" s="1"/>
  <c r="B228" i="10" s="1"/>
  <c r="E192" i="10"/>
  <c r="F192" i="10" s="1"/>
  <c r="E174" i="10"/>
  <c r="F174" i="10" s="1"/>
  <c r="E173" i="10"/>
  <c r="F173" i="10" s="1"/>
  <c r="E172" i="10"/>
  <c r="F172" i="10" s="1"/>
  <c r="E171" i="10"/>
  <c r="F171" i="10" s="1"/>
  <c r="E170" i="10"/>
  <c r="F170" i="10" s="1"/>
  <c r="E169" i="10"/>
  <c r="F169" i="10" s="1"/>
  <c r="E168" i="10"/>
  <c r="F168" i="10" s="1"/>
  <c r="E167" i="10"/>
  <c r="F167" i="10" s="1"/>
  <c r="E166" i="10"/>
  <c r="F166" i="10" s="1"/>
  <c r="E165" i="10"/>
  <c r="F165" i="10" s="1"/>
  <c r="E164" i="10"/>
  <c r="F164" i="10" s="1"/>
  <c r="E163" i="10"/>
  <c r="F163" i="10" s="1"/>
  <c r="E162" i="10"/>
  <c r="F162" i="10" s="1"/>
  <c r="E161" i="10"/>
  <c r="F161" i="10" s="1"/>
  <c r="E160" i="10"/>
  <c r="F160" i="10" s="1"/>
  <c r="E159" i="10"/>
  <c r="F159" i="10" s="1"/>
  <c r="E158" i="10"/>
  <c r="F158" i="10" s="1"/>
  <c r="E157" i="10"/>
  <c r="F157" i="10" s="1"/>
  <c r="E156" i="10"/>
  <c r="F156" i="10" s="1"/>
  <c r="E155" i="10"/>
  <c r="F155" i="10" s="1"/>
  <c r="B155" i="10"/>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E154" i="10"/>
  <c r="F154" i="10" s="1"/>
  <c r="E136" i="10"/>
  <c r="F136" i="10" s="1"/>
  <c r="E135" i="10"/>
  <c r="F135" i="10" s="1"/>
  <c r="E134" i="10"/>
  <c r="F134" i="10" s="1"/>
  <c r="E133" i="10"/>
  <c r="F133" i="10" s="1"/>
  <c r="E132" i="10"/>
  <c r="F132" i="10" s="1"/>
  <c r="E131" i="10"/>
  <c r="F131" i="10" s="1"/>
  <c r="E130" i="10"/>
  <c r="F130" i="10" s="1"/>
  <c r="E129" i="10"/>
  <c r="F129" i="10" s="1"/>
  <c r="E128" i="10"/>
  <c r="F128" i="10" s="1"/>
  <c r="E127" i="10"/>
  <c r="F127" i="10" s="1"/>
  <c r="E126" i="10"/>
  <c r="F126" i="10" s="1"/>
  <c r="E125" i="10"/>
  <c r="F125" i="10" s="1"/>
  <c r="E124" i="10"/>
  <c r="F124" i="10" s="1"/>
  <c r="E123" i="10"/>
  <c r="F123" i="10" s="1"/>
  <c r="E122" i="10"/>
  <c r="F122" i="10" s="1"/>
  <c r="E121" i="10"/>
  <c r="F121" i="10" s="1"/>
  <c r="E120" i="10"/>
  <c r="F120" i="10" s="1"/>
  <c r="E119" i="10"/>
  <c r="F119" i="10" s="1"/>
  <c r="E118" i="10"/>
  <c r="F118" i="10" s="1"/>
  <c r="E117" i="10"/>
  <c r="F117" i="10" s="1"/>
  <c r="B117" i="10"/>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E116" i="10"/>
  <c r="F116" i="10" s="1"/>
  <c r="E98" i="10"/>
  <c r="F98" i="10" s="1"/>
  <c r="E97" i="10"/>
  <c r="F97" i="10" s="1"/>
  <c r="E96" i="10"/>
  <c r="F96" i="10" s="1"/>
  <c r="E95" i="10"/>
  <c r="F95" i="10" s="1"/>
  <c r="E94" i="10"/>
  <c r="F94" i="10" s="1"/>
  <c r="E93" i="10"/>
  <c r="F93" i="10" s="1"/>
  <c r="E92" i="10"/>
  <c r="F92" i="10" s="1"/>
  <c r="E91" i="10"/>
  <c r="F91" i="10" s="1"/>
  <c r="E90" i="10"/>
  <c r="F90" i="10" s="1"/>
  <c r="E89" i="10"/>
  <c r="F89" i="10" s="1"/>
  <c r="E88" i="10"/>
  <c r="F88" i="10" s="1"/>
  <c r="E87" i="10"/>
  <c r="F87" i="10" s="1"/>
  <c r="E86" i="10"/>
  <c r="F86" i="10" s="1"/>
  <c r="E85" i="10"/>
  <c r="F85" i="10" s="1"/>
  <c r="E84" i="10"/>
  <c r="F84" i="10" s="1"/>
  <c r="E83" i="10"/>
  <c r="F83" i="10" s="1"/>
  <c r="E82" i="10"/>
  <c r="F82" i="10" s="1"/>
  <c r="E81" i="10"/>
  <c r="F81" i="10" s="1"/>
  <c r="E80" i="10"/>
  <c r="F80" i="10" s="1"/>
  <c r="E79" i="10"/>
  <c r="F79" i="10" s="1"/>
  <c r="B79" i="10"/>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E78" i="10"/>
  <c r="F78" i="10" s="1"/>
  <c r="E60" i="10"/>
  <c r="F60" i="10" s="1"/>
  <c r="E59" i="10"/>
  <c r="F59" i="10" s="1"/>
  <c r="E58" i="10"/>
  <c r="F58" i="10" s="1"/>
  <c r="E57" i="10"/>
  <c r="F57" i="10" s="1"/>
  <c r="E56" i="10"/>
  <c r="F56" i="10" s="1"/>
  <c r="E55" i="10"/>
  <c r="F55" i="10" s="1"/>
  <c r="E54" i="10"/>
  <c r="F54" i="10" s="1"/>
  <c r="E53" i="10"/>
  <c r="F53" i="10" s="1"/>
  <c r="E52" i="10"/>
  <c r="F52" i="10" s="1"/>
  <c r="E51" i="10"/>
  <c r="F51" i="10" s="1"/>
  <c r="E50" i="10"/>
  <c r="F50" i="10" s="1"/>
  <c r="E49" i="10"/>
  <c r="F49" i="10" s="1"/>
  <c r="E48" i="10"/>
  <c r="F48" i="10" s="1"/>
  <c r="E46" i="10"/>
  <c r="F46" i="10" s="1"/>
  <c r="E45" i="10"/>
  <c r="F45" i="10" s="1"/>
  <c r="E44" i="10"/>
  <c r="F44" i="10" s="1"/>
  <c r="E43" i="10"/>
  <c r="F43" i="10" s="1"/>
  <c r="E42" i="10"/>
  <c r="F42" i="10" s="1"/>
  <c r="E41" i="10"/>
  <c r="F41" i="10" s="1"/>
  <c r="I41" i="10" s="1"/>
  <c r="B41" i="10"/>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E40" i="10"/>
  <c r="F40" i="10" s="1"/>
  <c r="E22" i="10"/>
  <c r="F22" i="10" s="1"/>
  <c r="E21" i="10"/>
  <c r="F21" i="10" s="1"/>
  <c r="E20" i="10"/>
  <c r="F20" i="10" s="1"/>
  <c r="E19" i="10"/>
  <c r="F19" i="10" s="1"/>
  <c r="E18" i="10"/>
  <c r="F18" i="10" s="1"/>
  <c r="E17" i="10"/>
  <c r="F17" i="10" s="1"/>
  <c r="E16" i="10"/>
  <c r="F16" i="10" s="1"/>
  <c r="E15" i="10"/>
  <c r="F15" i="10" s="1"/>
  <c r="E14" i="10"/>
  <c r="F14" i="10" s="1"/>
  <c r="E13" i="10"/>
  <c r="F13" i="10" s="1"/>
  <c r="E12" i="10"/>
  <c r="F12" i="10" s="1"/>
  <c r="E11" i="10"/>
  <c r="F11" i="10" s="1"/>
  <c r="E10" i="10"/>
  <c r="F10" i="10" s="1"/>
  <c r="E9" i="10"/>
  <c r="F9" i="10" s="1"/>
  <c r="E8" i="10"/>
  <c r="F8" i="10" s="1"/>
  <c r="E7" i="10"/>
  <c r="F7" i="10" s="1"/>
  <c r="E6" i="10"/>
  <c r="F6" i="10" s="1"/>
  <c r="E5" i="10"/>
  <c r="F5" i="10" s="1"/>
  <c r="E4" i="10"/>
  <c r="F4" i="10" s="1"/>
  <c r="E3" i="10"/>
  <c r="F3" i="10" s="1"/>
  <c r="B3" i="10"/>
  <c r="B4" i="10" s="1"/>
  <c r="B5" i="10" s="1"/>
  <c r="B6" i="10" s="1"/>
  <c r="B7" i="10" s="1"/>
  <c r="B8" i="10" s="1"/>
  <c r="B9" i="10" s="1"/>
  <c r="B10"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10"/>
  <c r="F2" i="10" s="1"/>
  <c r="I2" i="10" s="1"/>
  <c r="I3580" i="10" l="1"/>
  <c r="I3588" i="10"/>
  <c r="H4173" i="10"/>
  <c r="I4172" i="10"/>
  <c r="H4019" i="10"/>
  <c r="I4018" i="10"/>
  <c r="I3868" i="10"/>
  <c r="H3869" i="10"/>
  <c r="H3829" i="10"/>
  <c r="I3828" i="10"/>
  <c r="H3792" i="10"/>
  <c r="I3791" i="10"/>
  <c r="H3748" i="10"/>
  <c r="I3747" i="10"/>
  <c r="I3728" i="10"/>
  <c r="I3736" i="10"/>
  <c r="I3744" i="10"/>
  <c r="H3596" i="10"/>
  <c r="I3595" i="10"/>
  <c r="H3335" i="10"/>
  <c r="I3334" i="10"/>
  <c r="H3182" i="10"/>
  <c r="I3181" i="10"/>
  <c r="H3031" i="10"/>
  <c r="I3030" i="10"/>
  <c r="I2993" i="10"/>
  <c r="H2994" i="10"/>
  <c r="H2955" i="10"/>
  <c r="I2954" i="10"/>
  <c r="H2917" i="10"/>
  <c r="I2916" i="10"/>
  <c r="H2765" i="10"/>
  <c r="I2764" i="10"/>
  <c r="H2613" i="10"/>
  <c r="I2612" i="10"/>
  <c r="H2575" i="10"/>
  <c r="I2574" i="10"/>
  <c r="H2538" i="10"/>
  <c r="I2537" i="10"/>
  <c r="I2082" i="10"/>
  <c r="H2083" i="10"/>
  <c r="I3730" i="10"/>
  <c r="I3738" i="10"/>
  <c r="H1929" i="10"/>
  <c r="I1928" i="10"/>
  <c r="H1778" i="10"/>
  <c r="I1777" i="10"/>
  <c r="H1739" i="10"/>
  <c r="I1738" i="10"/>
  <c r="H1703" i="10"/>
  <c r="I1702" i="10"/>
  <c r="H519" i="10"/>
  <c r="I518" i="10"/>
  <c r="H481" i="10"/>
  <c r="I480" i="10"/>
  <c r="H443" i="10"/>
  <c r="I442" i="10"/>
  <c r="H405" i="10"/>
  <c r="I404" i="10"/>
  <c r="I3727" i="10"/>
  <c r="I3735" i="10"/>
  <c r="H253" i="10"/>
  <c r="I252" i="10"/>
  <c r="H101" i="10"/>
  <c r="I100" i="10"/>
  <c r="I3574" i="10"/>
  <c r="I3581" i="10"/>
  <c r="I3589" i="10"/>
  <c r="I3582" i="10"/>
  <c r="I3590" i="10"/>
  <c r="I3575" i="10"/>
  <c r="I3583" i="10"/>
  <c r="I3591" i="10"/>
  <c r="I3576" i="10"/>
  <c r="I3584" i="10"/>
  <c r="I3592" i="10"/>
  <c r="I3577" i="10"/>
  <c r="I3585" i="10"/>
  <c r="I3593" i="10"/>
  <c r="I3578" i="10"/>
  <c r="I3586" i="10"/>
  <c r="I3594" i="10"/>
  <c r="I3579" i="10"/>
  <c r="I3587" i="10"/>
  <c r="H25" i="10"/>
  <c r="I24" i="10"/>
  <c r="H48" i="10"/>
  <c r="H49" i="10" s="1"/>
  <c r="H50" i="10" s="1"/>
  <c r="H51" i="10" s="1"/>
  <c r="H52" i="10" s="1"/>
  <c r="H53" i="10" s="1"/>
  <c r="H54" i="10" s="1"/>
  <c r="H55" i="10" s="1"/>
  <c r="H56" i="10" s="1"/>
  <c r="H57" i="10" s="1"/>
  <c r="H58" i="10" s="1"/>
  <c r="H59" i="10" s="1"/>
  <c r="H60" i="10" s="1"/>
  <c r="H61" i="10" s="1"/>
  <c r="I3729" i="10"/>
  <c r="I3737" i="10"/>
  <c r="I3731" i="10"/>
  <c r="I3739" i="10"/>
  <c r="I3732" i="10"/>
  <c r="I3740" i="10"/>
  <c r="I3726" i="10"/>
  <c r="I3733" i="10"/>
  <c r="I3741" i="10"/>
  <c r="I3734" i="10"/>
  <c r="I3742" i="10"/>
  <c r="I3346" i="10"/>
  <c r="I3347" i="10"/>
  <c r="I3428" i="10"/>
  <c r="I648" i="10"/>
  <c r="I3348" i="10"/>
  <c r="I1066" i="10"/>
  <c r="I800" i="10"/>
  <c r="I3743" i="10"/>
  <c r="I1224" i="10"/>
  <c r="I3745" i="10"/>
  <c r="I876" i="10"/>
  <c r="I3746" i="10"/>
  <c r="I804" i="10"/>
  <c r="I651" i="10"/>
  <c r="I4" i="10"/>
  <c r="I1221" i="10"/>
  <c r="I5" i="10"/>
  <c r="I808" i="10"/>
  <c r="I652" i="10"/>
  <c r="I668" i="10"/>
  <c r="I40" i="10"/>
  <c r="I649" i="10"/>
  <c r="I1223" i="10"/>
  <c r="I3422" i="10"/>
  <c r="I382" i="10"/>
  <c r="I914" i="10"/>
  <c r="I3423" i="10"/>
  <c r="I3424" i="10"/>
  <c r="I78" i="10"/>
  <c r="I803" i="10"/>
  <c r="I879" i="10"/>
  <c r="I231" i="10"/>
  <c r="I877" i="10"/>
  <c r="I878" i="10"/>
  <c r="I806" i="10"/>
  <c r="I819" i="10"/>
  <c r="I915" i="10"/>
  <c r="I1068" i="10"/>
  <c r="I820" i="10"/>
  <c r="I385" i="10"/>
  <c r="I814" i="10"/>
  <c r="I9" i="10"/>
  <c r="I81" i="10"/>
  <c r="I815" i="10"/>
  <c r="I839" i="10"/>
  <c r="I230" i="10"/>
  <c r="I801" i="10"/>
  <c r="I11" i="10"/>
  <c r="I383" i="10"/>
  <c r="I10" i="10"/>
  <c r="I3" i="10"/>
  <c r="I79" i="10"/>
  <c r="I817" i="10"/>
  <c r="I6" i="10"/>
  <c r="I234" i="10"/>
  <c r="I807" i="10"/>
  <c r="I812" i="10"/>
  <c r="I1067" i="10"/>
  <c r="H3386" i="10"/>
  <c r="H3387" i="10" s="1"/>
  <c r="H3388" i="10" s="1"/>
  <c r="H3389" i="10" s="1"/>
  <c r="I3385" i="10"/>
  <c r="I809" i="10"/>
  <c r="I7" i="10"/>
  <c r="I384" i="10"/>
  <c r="I838" i="10"/>
  <c r="I1220" i="10"/>
  <c r="I1225" i="10"/>
  <c r="I3384" i="10"/>
  <c r="I42" i="10"/>
  <c r="I235" i="10"/>
  <c r="I12" i="10"/>
  <c r="I8" i="10"/>
  <c r="I232" i="10"/>
  <c r="I43" i="10"/>
  <c r="I233" i="10"/>
  <c r="I82" i="10"/>
  <c r="I80" i="10"/>
  <c r="I805" i="10"/>
  <c r="I810" i="10"/>
  <c r="I918" i="10"/>
  <c r="I811" i="10"/>
  <c r="I816" i="10"/>
  <c r="I1072" i="10"/>
  <c r="I1071" i="10"/>
  <c r="I650" i="10"/>
  <c r="I802" i="10"/>
  <c r="I813" i="10"/>
  <c r="I818" i="10"/>
  <c r="I840" i="10"/>
  <c r="I919" i="10"/>
  <c r="I1218" i="10"/>
  <c r="I916" i="10"/>
  <c r="I1069" i="10"/>
  <c r="I1219" i="10"/>
  <c r="I1222" i="10"/>
  <c r="I917" i="10"/>
  <c r="I1070" i="10"/>
  <c r="H3349" i="10"/>
  <c r="H3350" i="10" s="1"/>
  <c r="H3351" i="10" s="1"/>
  <c r="H3352" i="10" s="1"/>
  <c r="I3352" i="10" s="1"/>
  <c r="H3429" i="10"/>
  <c r="I3426" i="10"/>
  <c r="I3427" i="10"/>
  <c r="I3425" i="10"/>
  <c r="H4174" i="10" l="1"/>
  <c r="I4173" i="10"/>
  <c r="H4020" i="10"/>
  <c r="I4019" i="10"/>
  <c r="I3869" i="10"/>
  <c r="H3870" i="10"/>
  <c r="H3830" i="10"/>
  <c r="I3829" i="10"/>
  <c r="H3793" i="10"/>
  <c r="I3792" i="10"/>
  <c r="H3749" i="10"/>
  <c r="I3748" i="10"/>
  <c r="H3597" i="10"/>
  <c r="I3596" i="10"/>
  <c r="H3336" i="10"/>
  <c r="I3335" i="10"/>
  <c r="H3183" i="10"/>
  <c r="I3182" i="10"/>
  <c r="H3032" i="10"/>
  <c r="I3031" i="10"/>
  <c r="I2994" i="10"/>
  <c r="H2995" i="10"/>
  <c r="H2956" i="10"/>
  <c r="I2955" i="10"/>
  <c r="H2918" i="10"/>
  <c r="I2917" i="10"/>
  <c r="H2766" i="10"/>
  <c r="I2765" i="10"/>
  <c r="H2614" i="10"/>
  <c r="I2613" i="10"/>
  <c r="H2576" i="10"/>
  <c r="I2575" i="10"/>
  <c r="H2539" i="10"/>
  <c r="I2538" i="10"/>
  <c r="H2084" i="10"/>
  <c r="I2083" i="10"/>
  <c r="I1929" i="10"/>
  <c r="H1930" i="10"/>
  <c r="H1779" i="10"/>
  <c r="I1778" i="10"/>
  <c r="I1739" i="10"/>
  <c r="H1740" i="10"/>
  <c r="H1704" i="10"/>
  <c r="I1703" i="10"/>
  <c r="H520" i="10"/>
  <c r="I519" i="10"/>
  <c r="H482" i="10"/>
  <c r="I481" i="10"/>
  <c r="H444" i="10"/>
  <c r="I443" i="10"/>
  <c r="H406" i="10"/>
  <c r="I405" i="10"/>
  <c r="H254" i="10"/>
  <c r="I253" i="10"/>
  <c r="H102" i="10"/>
  <c r="I101" i="10"/>
  <c r="H62" i="10"/>
  <c r="I61" i="10"/>
  <c r="H26" i="10"/>
  <c r="I25" i="10"/>
  <c r="I653" i="10"/>
  <c r="I658" i="10"/>
  <c r="I654" i="10"/>
  <c r="I1074" i="10"/>
  <c r="I666" i="10"/>
  <c r="I665" i="10"/>
  <c r="I656" i="10"/>
  <c r="I661" i="10"/>
  <c r="I664" i="10"/>
  <c r="I1227" i="10"/>
  <c r="I19" i="10"/>
  <c r="I14" i="10"/>
  <c r="I15" i="10"/>
  <c r="I3350" i="10"/>
  <c r="I18" i="10"/>
  <c r="I44" i="10"/>
  <c r="I17" i="10"/>
  <c r="I3351" i="10"/>
  <c r="I3349" i="10"/>
  <c r="I13" i="10"/>
  <c r="I1073" i="10"/>
  <c r="I663" i="10"/>
  <c r="I50" i="10"/>
  <c r="I881" i="10"/>
  <c r="I655" i="10"/>
  <c r="I659" i="10"/>
  <c r="I1075" i="10"/>
  <c r="I3387" i="10"/>
  <c r="I882" i="10"/>
  <c r="I49" i="10"/>
  <c r="I657" i="10"/>
  <c r="I880" i="10"/>
  <c r="I667" i="10"/>
  <c r="I662" i="10"/>
  <c r="I45" i="10"/>
  <c r="I16" i="10"/>
  <c r="I660" i="10"/>
  <c r="I390" i="10"/>
  <c r="I389" i="10"/>
  <c r="I3389" i="10"/>
  <c r="H3390" i="10"/>
  <c r="I3388" i="10"/>
  <c r="I3386" i="10"/>
  <c r="I387" i="10"/>
  <c r="I1226" i="10"/>
  <c r="I83" i="10"/>
  <c r="I84" i="10"/>
  <c r="I386" i="10"/>
  <c r="I388" i="10"/>
  <c r="H3353" i="10"/>
  <c r="I3353" i="10" s="1"/>
  <c r="I883" i="10"/>
  <c r="I1229" i="10"/>
  <c r="I1228" i="10"/>
  <c r="I85" i="10"/>
  <c r="I841" i="10"/>
  <c r="I236" i="10"/>
  <c r="I922" i="10"/>
  <c r="I921" i="10"/>
  <c r="I920" i="10"/>
  <c r="H3430" i="10"/>
  <c r="I3429" i="10"/>
  <c r="I1076" i="10"/>
  <c r="I48" i="10"/>
  <c r="I46" i="10"/>
  <c r="I87" i="10"/>
  <c r="I20" i="10"/>
  <c r="I89" i="10"/>
  <c r="I88" i="10"/>
  <c r="I86" i="10"/>
  <c r="I90" i="10"/>
  <c r="I51" i="10"/>
  <c r="H4175" i="10" l="1"/>
  <c r="I4174" i="10"/>
  <c r="H4021" i="10"/>
  <c r="I4020" i="10"/>
  <c r="H3871" i="10"/>
  <c r="I3870" i="10"/>
  <c r="H3831" i="10"/>
  <c r="I3830" i="10"/>
  <c r="H3794" i="10"/>
  <c r="I3793" i="10"/>
  <c r="H3750" i="10"/>
  <c r="I3749" i="10"/>
  <c r="H3598" i="10"/>
  <c r="I3597" i="10"/>
  <c r="H3337" i="10"/>
  <c r="I3336" i="10"/>
  <c r="H3184" i="10"/>
  <c r="I3183" i="10"/>
  <c r="H3033" i="10"/>
  <c r="I3032" i="10"/>
  <c r="H2996" i="10"/>
  <c r="I2995" i="10"/>
  <c r="H2957" i="10"/>
  <c r="I2956" i="10"/>
  <c r="H2919" i="10"/>
  <c r="I2918" i="10"/>
  <c r="H2767" i="10"/>
  <c r="I2766" i="10"/>
  <c r="H2615" i="10"/>
  <c r="I2614" i="10"/>
  <c r="H2577" i="10"/>
  <c r="I2576" i="10"/>
  <c r="H2540" i="10"/>
  <c r="I2539" i="10"/>
  <c r="H2085" i="10"/>
  <c r="I2084" i="10"/>
  <c r="H1931" i="10"/>
  <c r="I1930" i="10"/>
  <c r="H1780" i="10"/>
  <c r="I1779" i="10"/>
  <c r="H1741" i="10"/>
  <c r="I1740" i="10"/>
  <c r="H1705" i="10"/>
  <c r="I1704" i="10"/>
  <c r="H521" i="10"/>
  <c r="I520" i="10"/>
  <c r="H483" i="10"/>
  <c r="I482" i="10"/>
  <c r="H445" i="10"/>
  <c r="I444" i="10"/>
  <c r="H407" i="10"/>
  <c r="I406" i="10"/>
  <c r="H255" i="10"/>
  <c r="I254" i="10"/>
  <c r="H103" i="10"/>
  <c r="I102" i="10"/>
  <c r="H63" i="10"/>
  <c r="I62" i="10"/>
  <c r="H27" i="10"/>
  <c r="I26" i="10"/>
  <c r="H3391" i="10"/>
  <c r="I3390" i="10"/>
  <c r="I391" i="10"/>
  <c r="I91" i="10"/>
  <c r="H3431" i="10"/>
  <c r="I3430" i="10"/>
  <c r="I842" i="10"/>
  <c r="I1077" i="10"/>
  <c r="I923" i="10"/>
  <c r="I237" i="10"/>
  <c r="I52" i="10"/>
  <c r="H3354" i="10"/>
  <c r="I3354" i="10" s="1"/>
  <c r="I884" i="10"/>
  <c r="I21" i="10"/>
  <c r="I1230" i="10"/>
  <c r="H4176" i="10" l="1"/>
  <c r="I4175" i="10"/>
  <c r="H4022" i="10"/>
  <c r="I4021" i="10"/>
  <c r="H3872" i="10"/>
  <c r="I3871" i="10"/>
  <c r="H3832" i="10"/>
  <c r="I3831" i="10"/>
  <c r="H3795" i="10"/>
  <c r="I3794" i="10"/>
  <c r="H3751" i="10"/>
  <c r="I3750" i="10"/>
  <c r="H3599" i="10"/>
  <c r="I3598" i="10"/>
  <c r="H3338" i="10"/>
  <c r="I3337" i="10"/>
  <c r="H3185" i="10"/>
  <c r="I3184" i="10"/>
  <c r="H3034" i="10"/>
  <c r="I3033" i="10"/>
  <c r="I2996" i="10"/>
  <c r="H2997" i="10"/>
  <c r="H2958" i="10"/>
  <c r="I2957" i="10"/>
  <c r="H2920" i="10"/>
  <c r="I2919" i="10"/>
  <c r="H2768" i="10"/>
  <c r="I2767" i="10"/>
  <c r="H2616" i="10"/>
  <c r="I2615" i="10"/>
  <c r="H2578" i="10"/>
  <c r="I2577" i="10"/>
  <c r="H2541" i="10"/>
  <c r="I2540" i="10"/>
  <c r="H2086" i="10"/>
  <c r="I2085" i="10"/>
  <c r="H1932" i="10"/>
  <c r="I1931" i="10"/>
  <c r="H1781" i="10"/>
  <c r="I1780" i="10"/>
  <c r="I1741" i="10"/>
  <c r="H1742" i="10"/>
  <c r="H1706" i="10"/>
  <c r="I1705" i="10"/>
  <c r="H522" i="10"/>
  <c r="I521" i="10"/>
  <c r="H484" i="10"/>
  <c r="I483" i="10"/>
  <c r="H446" i="10"/>
  <c r="I445" i="10"/>
  <c r="H408" i="10"/>
  <c r="I407" i="10"/>
  <c r="H256" i="10"/>
  <c r="I255" i="10"/>
  <c r="H104" i="10"/>
  <c r="I103" i="10"/>
  <c r="H64" i="10"/>
  <c r="I63" i="10"/>
  <c r="H28" i="10"/>
  <c r="I27" i="10"/>
  <c r="I392" i="10"/>
  <c r="H3392" i="10"/>
  <c r="I3391" i="10"/>
  <c r="H3355" i="10"/>
  <c r="I3355" i="10" s="1"/>
  <c r="I1078" i="10"/>
  <c r="I885" i="10"/>
  <c r="I238" i="10"/>
  <c r="H3432" i="10"/>
  <c r="I3431" i="10"/>
  <c r="I22" i="10"/>
  <c r="I843" i="10"/>
  <c r="I1231" i="10"/>
  <c r="I53" i="10"/>
  <c r="I924" i="10"/>
  <c r="I92" i="10"/>
  <c r="H4177" i="10" l="1"/>
  <c r="I4176" i="10"/>
  <c r="H4023" i="10"/>
  <c r="I4022" i="10"/>
  <c r="H3873" i="10"/>
  <c r="I3872" i="10"/>
  <c r="H3833" i="10"/>
  <c r="I3832" i="10"/>
  <c r="H3796" i="10"/>
  <c r="I3795" i="10"/>
  <c r="H3752" i="10"/>
  <c r="I3751" i="10"/>
  <c r="H3600" i="10"/>
  <c r="I3599" i="10"/>
  <c r="H3339" i="10"/>
  <c r="I3338" i="10"/>
  <c r="H3186" i="10"/>
  <c r="I3185" i="10"/>
  <c r="H3035" i="10"/>
  <c r="I3034" i="10"/>
  <c r="H2998" i="10"/>
  <c r="I2997" i="10"/>
  <c r="H2959" i="10"/>
  <c r="I2958" i="10"/>
  <c r="H2921" i="10"/>
  <c r="I2920" i="10"/>
  <c r="H2769" i="10"/>
  <c r="I2768" i="10"/>
  <c r="H2617" i="10"/>
  <c r="I2616" i="10"/>
  <c r="H2579" i="10"/>
  <c r="I2578" i="10"/>
  <c r="H2542" i="10"/>
  <c r="I2541" i="10"/>
  <c r="H2087" i="10"/>
  <c r="I2086" i="10"/>
  <c r="H1933" i="10"/>
  <c r="I1932" i="10"/>
  <c r="H1782" i="10"/>
  <c r="I1781" i="10"/>
  <c r="I1742" i="10"/>
  <c r="H1743" i="10"/>
  <c r="H1707" i="10"/>
  <c r="I1706" i="10"/>
  <c r="H523" i="10"/>
  <c r="I522" i="10"/>
  <c r="H485" i="10"/>
  <c r="I484" i="10"/>
  <c r="H447" i="10"/>
  <c r="I446" i="10"/>
  <c r="H409" i="10"/>
  <c r="I408" i="10"/>
  <c r="H257" i="10"/>
  <c r="I256" i="10"/>
  <c r="H105" i="10"/>
  <c r="I104" i="10"/>
  <c r="H65" i="10"/>
  <c r="I64" i="10"/>
  <c r="H29" i="10"/>
  <c r="I28" i="10"/>
  <c r="H3393" i="10"/>
  <c r="I3392" i="10"/>
  <c r="I393" i="10"/>
  <c r="I239" i="10"/>
  <c r="I54" i="10"/>
  <c r="I1232" i="10"/>
  <c r="I1079" i="10"/>
  <c r="H3356" i="10"/>
  <c r="I3356" i="10" s="1"/>
  <c r="I93" i="10"/>
  <c r="I844" i="10"/>
  <c r="I925" i="10"/>
  <c r="H3433" i="10"/>
  <c r="I3432" i="10"/>
  <c r="I886" i="10"/>
  <c r="H4178" i="10" l="1"/>
  <c r="I4177" i="10"/>
  <c r="H4024" i="10"/>
  <c r="I4023" i="10"/>
  <c r="I3873" i="10"/>
  <c r="H3874" i="10"/>
  <c r="H3834" i="10"/>
  <c r="I3833" i="10"/>
  <c r="H3797" i="10"/>
  <c r="I3796" i="10"/>
  <c r="H3753" i="10"/>
  <c r="I3752" i="10"/>
  <c r="H3601" i="10"/>
  <c r="I3600" i="10"/>
  <c r="H3340" i="10"/>
  <c r="I3339" i="10"/>
  <c r="H3187" i="10"/>
  <c r="I3186" i="10"/>
  <c r="H3036" i="10"/>
  <c r="I3035" i="10"/>
  <c r="H2999" i="10"/>
  <c r="I2998" i="10"/>
  <c r="H2960" i="10"/>
  <c r="I2959" i="10"/>
  <c r="H2922" i="10"/>
  <c r="I2921" i="10"/>
  <c r="H2770" i="10"/>
  <c r="I2769" i="10"/>
  <c r="H2618" i="10"/>
  <c r="I2617" i="10"/>
  <c r="H2580" i="10"/>
  <c r="I2579" i="10"/>
  <c r="H2543" i="10"/>
  <c r="I2542" i="10"/>
  <c r="H2088" i="10"/>
  <c r="I2087" i="10"/>
  <c r="H1934" i="10"/>
  <c r="I1933" i="10"/>
  <c r="H1783" i="10"/>
  <c r="I1782" i="10"/>
  <c r="H1744" i="10"/>
  <c r="I1743" i="10"/>
  <c r="H1708" i="10"/>
  <c r="I1707" i="10"/>
  <c r="H524" i="10"/>
  <c r="I523" i="10"/>
  <c r="H486" i="10"/>
  <c r="I485" i="10"/>
  <c r="I447" i="10"/>
  <c r="H448" i="10"/>
  <c r="H410" i="10"/>
  <c r="I409" i="10"/>
  <c r="H258" i="10"/>
  <c r="I257" i="10"/>
  <c r="H106" i="10"/>
  <c r="I105" i="10"/>
  <c r="H66" i="10"/>
  <c r="I65" i="10"/>
  <c r="H30" i="10"/>
  <c r="I29" i="10"/>
  <c r="I394" i="10"/>
  <c r="H3394" i="10"/>
  <c r="I3393" i="10"/>
  <c r="I845" i="10"/>
  <c r="I926" i="10"/>
  <c r="I240" i="10"/>
  <c r="I887" i="10"/>
  <c r="H3357" i="10"/>
  <c r="I3357" i="10" s="1"/>
  <c r="I1233" i="10"/>
  <c r="H3434" i="10"/>
  <c r="I3433" i="10"/>
  <c r="I94" i="10"/>
  <c r="I1080" i="10"/>
  <c r="I55" i="10"/>
  <c r="H4179" i="10" l="1"/>
  <c r="I4178" i="10"/>
  <c r="H4025" i="10"/>
  <c r="I4024" i="10"/>
  <c r="I3874" i="10"/>
  <c r="H3875" i="10"/>
  <c r="H3835" i="10"/>
  <c r="I3834" i="10"/>
  <c r="H3798" i="10"/>
  <c r="I3797" i="10"/>
  <c r="H3754" i="10"/>
  <c r="I3753" i="10"/>
  <c r="H3602" i="10"/>
  <c r="I3601" i="10"/>
  <c r="H3341" i="10"/>
  <c r="I3340" i="10"/>
  <c r="H3188" i="10"/>
  <c r="I3187" i="10"/>
  <c r="H3037" i="10"/>
  <c r="I3036" i="10"/>
  <c r="H3000" i="10"/>
  <c r="I2999" i="10"/>
  <c r="H2961" i="10"/>
  <c r="I2960" i="10"/>
  <c r="H2923" i="10"/>
  <c r="I2922" i="10"/>
  <c r="H2771" i="10"/>
  <c r="I2770" i="10"/>
  <c r="H2619" i="10"/>
  <c r="I2618" i="10"/>
  <c r="H2581" i="10"/>
  <c r="I2580" i="10"/>
  <c r="H2544" i="10"/>
  <c r="I2543" i="10"/>
  <c r="H2089" i="10"/>
  <c r="I2088" i="10"/>
  <c r="H1935" i="10"/>
  <c r="I1934" i="10"/>
  <c r="H1784" i="10"/>
  <c r="I1783" i="10"/>
  <c r="I1744" i="10"/>
  <c r="H1745" i="10"/>
  <c r="H1709" i="10"/>
  <c r="I1708" i="10"/>
  <c r="H525" i="10"/>
  <c r="I524" i="10"/>
  <c r="H487" i="10"/>
  <c r="I486" i="10"/>
  <c r="I448" i="10"/>
  <c r="H449" i="10"/>
  <c r="H411" i="10"/>
  <c r="I410" i="10"/>
  <c r="H259" i="10"/>
  <c r="I258" i="10"/>
  <c r="H107" i="10"/>
  <c r="I106" i="10"/>
  <c r="H67" i="10"/>
  <c r="I66" i="10"/>
  <c r="H31" i="10"/>
  <c r="I30" i="10"/>
  <c r="H3395" i="10"/>
  <c r="I3394" i="10"/>
  <c r="I395" i="10"/>
  <c r="I927" i="10"/>
  <c r="I1081" i="10"/>
  <c r="H3358" i="10"/>
  <c r="I3358" i="10" s="1"/>
  <c r="I95" i="10"/>
  <c r="H3435" i="10"/>
  <c r="I3434" i="10"/>
  <c r="I241" i="10"/>
  <c r="I1234" i="10"/>
  <c r="I888" i="10"/>
  <c r="I56" i="10"/>
  <c r="I846" i="10"/>
  <c r="H4180" i="10" l="1"/>
  <c r="I4180" i="10" s="1"/>
  <c r="I4179" i="10"/>
  <c r="H4026" i="10"/>
  <c r="I4025" i="10"/>
  <c r="H3876" i="10"/>
  <c r="I3876" i="10" s="1"/>
  <c r="I3875" i="10"/>
  <c r="H3836" i="10"/>
  <c r="I3835" i="10"/>
  <c r="H3799" i="10"/>
  <c r="I3798" i="10"/>
  <c r="H3755" i="10"/>
  <c r="I3754" i="10"/>
  <c r="H3603" i="10"/>
  <c r="I3602" i="10"/>
  <c r="H3342" i="10"/>
  <c r="I3341" i="10"/>
  <c r="H3189" i="10"/>
  <c r="I3188" i="10"/>
  <c r="H3038" i="10"/>
  <c r="I3037" i="10"/>
  <c r="H3001" i="10"/>
  <c r="I3000" i="10"/>
  <c r="H2962" i="10"/>
  <c r="I2961" i="10"/>
  <c r="H2924" i="10"/>
  <c r="I2923" i="10"/>
  <c r="H2772" i="10"/>
  <c r="I2771" i="10"/>
  <c r="H2620" i="10"/>
  <c r="I2619" i="10"/>
  <c r="H2582" i="10"/>
  <c r="I2581" i="10"/>
  <c r="H2545" i="10"/>
  <c r="I2544" i="10"/>
  <c r="H2090" i="10"/>
  <c r="I2090" i="10" s="1"/>
  <c r="I2089" i="10"/>
  <c r="H1936" i="10"/>
  <c r="I1935" i="10"/>
  <c r="H1785" i="10"/>
  <c r="I1784" i="10"/>
  <c r="H1746" i="10"/>
  <c r="I1745" i="10"/>
  <c r="H1710" i="10"/>
  <c r="I1710" i="10" s="1"/>
  <c r="I1709" i="10"/>
  <c r="H526" i="10"/>
  <c r="I525" i="10"/>
  <c r="H488" i="10"/>
  <c r="I487" i="10"/>
  <c r="H450" i="10"/>
  <c r="I449" i="10"/>
  <c r="H412" i="10"/>
  <c r="I411" i="10"/>
  <c r="H260" i="10"/>
  <c r="I259" i="10"/>
  <c r="H108" i="10"/>
  <c r="I107" i="10"/>
  <c r="H68" i="10"/>
  <c r="I67" i="10"/>
  <c r="H32" i="10"/>
  <c r="I31" i="10"/>
  <c r="I396" i="10"/>
  <c r="H3396" i="10"/>
  <c r="I3395" i="10"/>
  <c r="H3436" i="10"/>
  <c r="I3435" i="10"/>
  <c r="I928" i="10"/>
  <c r="I847" i="10"/>
  <c r="I57" i="10"/>
  <c r="I96" i="10"/>
  <c r="I889" i="10"/>
  <c r="I242" i="10"/>
  <c r="H3359" i="10"/>
  <c r="I3359" i="10" s="1"/>
  <c r="I1082" i="10"/>
  <c r="I1235" i="10"/>
  <c r="H4027" i="10" l="1"/>
  <c r="I4026" i="10"/>
  <c r="H3837" i="10"/>
  <c r="I3836" i="10"/>
  <c r="H3800" i="10"/>
  <c r="I3800" i="10" s="1"/>
  <c r="I3799" i="10"/>
  <c r="H3756" i="10"/>
  <c r="I3755" i="10"/>
  <c r="H3604" i="10"/>
  <c r="I3603" i="10"/>
  <c r="H3343" i="10"/>
  <c r="I3342" i="10"/>
  <c r="H3190" i="10"/>
  <c r="I3189" i="10"/>
  <c r="H3039" i="10"/>
  <c r="I3038" i="10"/>
  <c r="H3002" i="10"/>
  <c r="I3002" i="10" s="1"/>
  <c r="I3001" i="10"/>
  <c r="H2963" i="10"/>
  <c r="I2962" i="10"/>
  <c r="H2925" i="10"/>
  <c r="I2924" i="10"/>
  <c r="H2773" i="10"/>
  <c r="I2772" i="10"/>
  <c r="H2621" i="10"/>
  <c r="I2620" i="10"/>
  <c r="H2583" i="10"/>
  <c r="I2582" i="10"/>
  <c r="H2546" i="10"/>
  <c r="I2546" i="10" s="1"/>
  <c r="I2545" i="10"/>
  <c r="H1937" i="10"/>
  <c r="I1936" i="10"/>
  <c r="H1786" i="10"/>
  <c r="I1786" i="10" s="1"/>
  <c r="I1785" i="10"/>
  <c r="H1747" i="10"/>
  <c r="I1746" i="10"/>
  <c r="H527" i="10"/>
  <c r="I526" i="10"/>
  <c r="H489" i="10"/>
  <c r="I488" i="10"/>
  <c r="H451" i="10"/>
  <c r="I450" i="10"/>
  <c r="H413" i="10"/>
  <c r="I412" i="10"/>
  <c r="H261" i="10"/>
  <c r="I260" i="10"/>
  <c r="H109" i="10"/>
  <c r="I108" i="10"/>
  <c r="H69" i="10"/>
  <c r="I68" i="10"/>
  <c r="H33" i="10"/>
  <c r="I32" i="10"/>
  <c r="H3397" i="10"/>
  <c r="I3396" i="10"/>
  <c r="I397" i="10"/>
  <c r="H3360" i="10"/>
  <c r="I3360" i="10" s="1"/>
  <c r="I890" i="10"/>
  <c r="I97" i="10"/>
  <c r="I1236" i="10"/>
  <c r="I848" i="10"/>
  <c r="I929" i="10"/>
  <c r="I1083" i="10"/>
  <c r="I243" i="10"/>
  <c r="I58" i="10"/>
  <c r="H3437" i="10"/>
  <c r="I3436" i="10"/>
  <c r="H4028" i="10" l="1"/>
  <c r="I4028" i="10" s="1"/>
  <c r="I4027" i="10"/>
  <c r="H3838" i="10"/>
  <c r="I3838" i="10" s="1"/>
  <c r="I3837" i="10"/>
  <c r="H3757" i="10"/>
  <c r="I3756" i="10"/>
  <c r="H3605" i="10"/>
  <c r="I3604" i="10"/>
  <c r="H3344" i="10"/>
  <c r="I3344" i="10" s="1"/>
  <c r="I3343" i="10"/>
  <c r="H3191" i="10"/>
  <c r="I3190" i="10"/>
  <c r="H3040" i="10"/>
  <c r="I3040" i="10" s="1"/>
  <c r="I3039" i="10"/>
  <c r="H2964" i="10"/>
  <c r="I2964" i="10" s="1"/>
  <c r="I2963" i="10"/>
  <c r="H2926" i="10"/>
  <c r="I2926" i="10" s="1"/>
  <c r="I2925" i="10"/>
  <c r="H2774" i="10"/>
  <c r="I2774" i="10" s="1"/>
  <c r="I2773" i="10"/>
  <c r="H2622" i="10"/>
  <c r="I2622" i="10" s="1"/>
  <c r="I2621" i="10"/>
  <c r="H2584" i="10"/>
  <c r="I2584" i="10" s="1"/>
  <c r="I2583" i="10"/>
  <c r="H1938" i="10"/>
  <c r="I1938" i="10" s="1"/>
  <c r="I1937" i="10"/>
  <c r="H1748" i="10"/>
  <c r="I1748" i="10" s="1"/>
  <c r="I1747" i="10"/>
  <c r="H528" i="10"/>
  <c r="I527" i="10"/>
  <c r="H490" i="10"/>
  <c r="I489" i="10"/>
  <c r="I451" i="10"/>
  <c r="H452" i="10"/>
  <c r="H414" i="10"/>
  <c r="I413" i="10"/>
  <c r="H262" i="10"/>
  <c r="I261" i="10"/>
  <c r="H110" i="10"/>
  <c r="I109" i="10"/>
  <c r="H70" i="10"/>
  <c r="I69" i="10"/>
  <c r="H34" i="10"/>
  <c r="I33" i="10"/>
  <c r="I398" i="10"/>
  <c r="H3398" i="10"/>
  <c r="I3397" i="10"/>
  <c r="I3437" i="10"/>
  <c r="H3438" i="10"/>
  <c r="I930" i="10"/>
  <c r="I98" i="10"/>
  <c r="I244" i="10"/>
  <c r="I849" i="10"/>
  <c r="I59" i="10"/>
  <c r="I1084" i="10"/>
  <c r="I891" i="10"/>
  <c r="I1237" i="10"/>
  <c r="H3361" i="10"/>
  <c r="I3361" i="10" s="1"/>
  <c r="H3758" i="10" l="1"/>
  <c r="I3757" i="10"/>
  <c r="H3606" i="10"/>
  <c r="I3605" i="10"/>
  <c r="H3192" i="10"/>
  <c r="I3192" i="10" s="1"/>
  <c r="I3191" i="10"/>
  <c r="H529" i="10"/>
  <c r="I528" i="10"/>
  <c r="H491" i="10"/>
  <c r="I490" i="10"/>
  <c r="I452" i="10"/>
  <c r="H453" i="10"/>
  <c r="H415" i="10"/>
  <c r="I414" i="10"/>
  <c r="H263" i="10"/>
  <c r="I262" i="10"/>
  <c r="H111" i="10"/>
  <c r="I110" i="10"/>
  <c r="H71" i="10"/>
  <c r="I70" i="10"/>
  <c r="H35" i="10"/>
  <c r="I34" i="10"/>
  <c r="I3398" i="10"/>
  <c r="H3399" i="10"/>
  <c r="I399" i="10"/>
  <c r="I1085" i="10"/>
  <c r="I245" i="10"/>
  <c r="I931" i="10"/>
  <c r="H3362" i="10"/>
  <c r="I3362" i="10" s="1"/>
  <c r="I60" i="10"/>
  <c r="H3439" i="10"/>
  <c r="I3438" i="10"/>
  <c r="I1238" i="10"/>
  <c r="I892" i="10"/>
  <c r="I850" i="10"/>
  <c r="H3759" i="10" l="1"/>
  <c r="I3758" i="10"/>
  <c r="H3607" i="10"/>
  <c r="I3606" i="10"/>
  <c r="H530" i="10"/>
  <c r="I529" i="10"/>
  <c r="H492" i="10"/>
  <c r="I491" i="10"/>
  <c r="I453" i="10"/>
  <c r="H454" i="10"/>
  <c r="H416" i="10"/>
  <c r="I415" i="10"/>
  <c r="H264" i="10"/>
  <c r="I263" i="10"/>
  <c r="H112" i="10"/>
  <c r="I111" i="10"/>
  <c r="H72" i="10"/>
  <c r="I71" i="10"/>
  <c r="H36" i="10"/>
  <c r="I35" i="10"/>
  <c r="I400" i="10"/>
  <c r="H3400" i="10"/>
  <c r="I3399" i="10"/>
  <c r="I246" i="10"/>
  <c r="I893" i="10"/>
  <c r="I932" i="10"/>
  <c r="I851" i="10"/>
  <c r="H3440" i="10"/>
  <c r="I3439" i="10"/>
  <c r="H3363" i="10"/>
  <c r="I3363" i="10" s="1"/>
  <c r="I1086" i="10"/>
  <c r="H3760" i="10" l="1"/>
  <c r="I3759" i="10"/>
  <c r="H3608" i="10"/>
  <c r="I3607" i="10"/>
  <c r="H531" i="10"/>
  <c r="I530" i="10"/>
  <c r="H493" i="10"/>
  <c r="I492" i="10"/>
  <c r="I454" i="10"/>
  <c r="H455" i="10"/>
  <c r="H417" i="10"/>
  <c r="I416" i="10"/>
  <c r="H265" i="10"/>
  <c r="I264" i="10"/>
  <c r="H113" i="10"/>
  <c r="I112" i="10"/>
  <c r="H73" i="10"/>
  <c r="I72" i="10"/>
  <c r="H37" i="10"/>
  <c r="I36" i="10"/>
  <c r="H3401" i="10"/>
  <c r="I3400" i="10"/>
  <c r="I401" i="10"/>
  <c r="I852" i="10"/>
  <c r="I247" i="10"/>
  <c r="I894" i="10"/>
  <c r="H3364" i="10"/>
  <c r="I3364" i="10" s="1"/>
  <c r="I933" i="10"/>
  <c r="H3441" i="10"/>
  <c r="I3440" i="10"/>
  <c r="H3761" i="10" l="1"/>
  <c r="I3760" i="10"/>
  <c r="H3609" i="10"/>
  <c r="I3608" i="10"/>
  <c r="H532" i="10"/>
  <c r="I532" i="10" s="1"/>
  <c r="I531" i="10"/>
  <c r="H494" i="10"/>
  <c r="I494" i="10" s="1"/>
  <c r="I493" i="10"/>
  <c r="I455" i="10"/>
  <c r="H456" i="10"/>
  <c r="I456" i="10" s="1"/>
  <c r="H418" i="10"/>
  <c r="I418" i="10" s="1"/>
  <c r="I417" i="10"/>
  <c r="H266" i="10"/>
  <c r="I266" i="10" s="1"/>
  <c r="I265" i="10"/>
  <c r="H114" i="10"/>
  <c r="I114" i="10" s="1"/>
  <c r="I113" i="10"/>
  <c r="H74" i="10"/>
  <c r="I73" i="10"/>
  <c r="H38" i="10"/>
  <c r="I38" i="10" s="1"/>
  <c r="I37" i="10"/>
  <c r="I402" i="10"/>
  <c r="H3402" i="10"/>
  <c r="I3401" i="10"/>
  <c r="I3441" i="10"/>
  <c r="H3442" i="10"/>
  <c r="H3443" i="10" s="1"/>
  <c r="H3365" i="10"/>
  <c r="I3365" i="10" s="1"/>
  <c r="I853" i="10"/>
  <c r="I934" i="10"/>
  <c r="I248" i="10"/>
  <c r="I895" i="10"/>
  <c r="H3762" i="10" l="1"/>
  <c r="I3762" i="10" s="1"/>
  <c r="I3761" i="10"/>
  <c r="H3610" i="10"/>
  <c r="I3610" i="10" s="1"/>
  <c r="I3609" i="10"/>
  <c r="H3444" i="10"/>
  <c r="I3443" i="10"/>
  <c r="H75" i="10"/>
  <c r="I74" i="10"/>
  <c r="I3402" i="10"/>
  <c r="H3403" i="10"/>
  <c r="I249" i="10"/>
  <c r="H3366" i="10"/>
  <c r="I854" i="10"/>
  <c r="I3442" i="10"/>
  <c r="I896" i="10"/>
  <c r="H3445" i="10" l="1"/>
  <c r="I3444" i="10"/>
  <c r="I3366" i="10"/>
  <c r="H3367" i="10"/>
  <c r="H76" i="10"/>
  <c r="I76" i="10" s="1"/>
  <c r="I75" i="10"/>
  <c r="H3404" i="10"/>
  <c r="H3405" i="10" s="1"/>
  <c r="I3403" i="10"/>
  <c r="I855" i="10"/>
  <c r="I250" i="10"/>
  <c r="H3446" i="10" l="1"/>
  <c r="I3445" i="10"/>
  <c r="H3406" i="10"/>
  <c r="I3405" i="10"/>
  <c r="H3368" i="10"/>
  <c r="I3367" i="10"/>
  <c r="I3404" i="10"/>
  <c r="I856" i="10"/>
  <c r="H3447" i="10" l="1"/>
  <c r="I3446" i="10"/>
  <c r="H3407" i="10"/>
  <c r="I3406" i="10"/>
  <c r="H3369" i="10"/>
  <c r="I3368" i="10"/>
  <c r="I857" i="10"/>
  <c r="H3448" i="10" l="1"/>
  <c r="I3447" i="10"/>
  <c r="H3408" i="10"/>
  <c r="I3407" i="10"/>
  <c r="H3370" i="10"/>
  <c r="I3369" i="10"/>
  <c r="I858" i="10"/>
  <c r="H3449" i="10" l="1"/>
  <c r="I3448" i="10"/>
  <c r="H3409" i="10"/>
  <c r="I3408" i="10"/>
  <c r="H3371" i="10"/>
  <c r="I3370" i="10"/>
  <c r="KS32" i="2"/>
  <c r="KS29" i="2"/>
  <c r="KS26" i="2"/>
  <c r="KS23" i="2"/>
  <c r="KS17" i="2"/>
  <c r="KS14" i="2"/>
  <c r="KS11" i="2"/>
  <c r="KS8" i="2"/>
  <c r="ME32" i="2"/>
  <c r="ME29" i="2"/>
  <c r="ME23" i="2"/>
  <c r="ME17" i="2"/>
  <c r="ME14" i="2"/>
  <c r="ME11" i="2"/>
  <c r="ME8" i="2"/>
  <c r="NQ32" i="2"/>
  <c r="NQ29" i="2"/>
  <c r="NQ26" i="2"/>
  <c r="NQ23" i="2"/>
  <c r="NQ17" i="2"/>
  <c r="NQ14" i="2"/>
  <c r="NQ11" i="2"/>
  <c r="NQ8" i="2"/>
  <c r="NQ5" i="2"/>
  <c r="EW32" i="2"/>
  <c r="EW29" i="2"/>
  <c r="EW26" i="2"/>
  <c r="EW23" i="2"/>
  <c r="EW17" i="2"/>
  <c r="EW14" i="2"/>
  <c r="EW11" i="2"/>
  <c r="EW8" i="2"/>
  <c r="EW5" i="2"/>
  <c r="GI32" i="2"/>
  <c r="GI29" i="2"/>
  <c r="GI26" i="2"/>
  <c r="GI23" i="2"/>
  <c r="GI17" i="2"/>
  <c r="GI14" i="2"/>
  <c r="GI11" i="2"/>
  <c r="GI8" i="2"/>
  <c r="GI5" i="2"/>
  <c r="HU32" i="2"/>
  <c r="HU29" i="2"/>
  <c r="HU26" i="2"/>
  <c r="HU23" i="2"/>
  <c r="HU17" i="2"/>
  <c r="HU14" i="2"/>
  <c r="HU11" i="2"/>
  <c r="HU8" i="2"/>
  <c r="HU5" i="2"/>
  <c r="E4050" i="1"/>
  <c r="F4050" i="1" s="1"/>
  <c r="E4049" i="1"/>
  <c r="F4049" i="1" s="1"/>
  <c r="E4048" i="1"/>
  <c r="F4048" i="1" s="1"/>
  <c r="E4047" i="1"/>
  <c r="F4047" i="1" s="1"/>
  <c r="E4046" i="1"/>
  <c r="F4046" i="1" s="1"/>
  <c r="E4045" i="1"/>
  <c r="F4045" i="1" s="1"/>
  <c r="E4044" i="1"/>
  <c r="F4044" i="1" s="1"/>
  <c r="E4043" i="1"/>
  <c r="F4043" i="1" s="1"/>
  <c r="E4042" i="1"/>
  <c r="F4042" i="1" s="1"/>
  <c r="E4041" i="1"/>
  <c r="F4041" i="1" s="1"/>
  <c r="E4040" i="1"/>
  <c r="F4040" i="1" s="1"/>
  <c r="E4039" i="1"/>
  <c r="F4039" i="1" s="1"/>
  <c r="E4038" i="1"/>
  <c r="F4038" i="1" s="1"/>
  <c r="E4037" i="1"/>
  <c r="F4037" i="1" s="1"/>
  <c r="E4036" i="1"/>
  <c r="F4036" i="1" s="1"/>
  <c r="E4035" i="1"/>
  <c r="F4035" i="1" s="1"/>
  <c r="E4034" i="1"/>
  <c r="F4034" i="1" s="1"/>
  <c r="E4033" i="1"/>
  <c r="F4033" i="1" s="1"/>
  <c r="E4032" i="1"/>
  <c r="F4032" i="1" s="1"/>
  <c r="E4031" i="1"/>
  <c r="F4031" i="1" s="1"/>
  <c r="B4031" i="1"/>
  <c r="B4032" i="1" s="1"/>
  <c r="B4033" i="1" s="1"/>
  <c r="B4034" i="1" s="1"/>
  <c r="B4035" i="1" s="1"/>
  <c r="B4036" i="1" s="1"/>
  <c r="B4037" i="1" s="1"/>
  <c r="B4038" i="1" s="1"/>
  <c r="B4039" i="1" s="1"/>
  <c r="B4040" i="1" s="1"/>
  <c r="B4041" i="1" s="1"/>
  <c r="B4042" i="1" s="1"/>
  <c r="B4043" i="1" s="1"/>
  <c r="B4044" i="1" s="1"/>
  <c r="B4045" i="1" s="1"/>
  <c r="B4046" i="1" s="1"/>
  <c r="B4047" i="1" s="1"/>
  <c r="B4048" i="1" s="1"/>
  <c r="B4049" i="1" s="1"/>
  <c r="B4050" i="1" s="1"/>
  <c r="B4051" i="1" s="1"/>
  <c r="B4052" i="1" s="1"/>
  <c r="B4053" i="1" s="1"/>
  <c r="B4054" i="1" s="1"/>
  <c r="B4055" i="1" s="1"/>
  <c r="B4056" i="1" s="1"/>
  <c r="B4057" i="1" s="1"/>
  <c r="B4058" i="1" s="1"/>
  <c r="B4059" i="1" s="1"/>
  <c r="B4060" i="1" s="1"/>
  <c r="B4061" i="1" s="1"/>
  <c r="B4062" i="1" s="1"/>
  <c r="B4063" i="1" s="1"/>
  <c r="B4064" i="1" s="1"/>
  <c r="B4065" i="1" s="1"/>
  <c r="B4066" i="1" s="1"/>
  <c r="E4030" i="1"/>
  <c r="F4030" i="1" s="1"/>
  <c r="E4088" i="1"/>
  <c r="F4088" i="1" s="1"/>
  <c r="E4087" i="1"/>
  <c r="F4087" i="1" s="1"/>
  <c r="E4086" i="1"/>
  <c r="F4086" i="1" s="1"/>
  <c r="E4085" i="1"/>
  <c r="F4085" i="1" s="1"/>
  <c r="E4084" i="1"/>
  <c r="F4084" i="1" s="1"/>
  <c r="E4083" i="1"/>
  <c r="F4083" i="1" s="1"/>
  <c r="E4082" i="1"/>
  <c r="F4082" i="1" s="1"/>
  <c r="E4081" i="1"/>
  <c r="F4081" i="1" s="1"/>
  <c r="E4080" i="1"/>
  <c r="F4080" i="1" s="1"/>
  <c r="E4079" i="1"/>
  <c r="F4079" i="1" s="1"/>
  <c r="E4078" i="1"/>
  <c r="F4078" i="1" s="1"/>
  <c r="E4077" i="1"/>
  <c r="F4077" i="1" s="1"/>
  <c r="E4076" i="1"/>
  <c r="F4076" i="1" s="1"/>
  <c r="E4075" i="1"/>
  <c r="F4075" i="1" s="1"/>
  <c r="E4074" i="1"/>
  <c r="F4074" i="1" s="1"/>
  <c r="E4073" i="1"/>
  <c r="F4073" i="1" s="1"/>
  <c r="E4072" i="1"/>
  <c r="F4072" i="1" s="1"/>
  <c r="E4071" i="1"/>
  <c r="F4071" i="1" s="1"/>
  <c r="E4070" i="1"/>
  <c r="F4070" i="1" s="1"/>
  <c r="E4069" i="1"/>
  <c r="F4069" i="1" s="1"/>
  <c r="B4069" i="1"/>
  <c r="B4070" i="1" s="1"/>
  <c r="B4071" i="1" s="1"/>
  <c r="B4072" i="1" s="1"/>
  <c r="B4073" i="1" s="1"/>
  <c r="B4074" i="1" s="1"/>
  <c r="B4075" i="1" s="1"/>
  <c r="B4076" i="1" s="1"/>
  <c r="B4077" i="1" s="1"/>
  <c r="B4078" i="1" s="1"/>
  <c r="B4079" i="1" s="1"/>
  <c r="B4080" i="1" s="1"/>
  <c r="B4081" i="1" s="1"/>
  <c r="B4082" i="1" s="1"/>
  <c r="B4083" i="1" s="1"/>
  <c r="B4084" i="1" s="1"/>
  <c r="B4085" i="1" s="1"/>
  <c r="B4086" i="1" s="1"/>
  <c r="B4087" i="1" s="1"/>
  <c r="B4088" i="1" s="1"/>
  <c r="B4089" i="1" s="1"/>
  <c r="B4090" i="1" s="1"/>
  <c r="B4091" i="1" s="1"/>
  <c r="B4092" i="1" s="1"/>
  <c r="B4093" i="1" s="1"/>
  <c r="B4094" i="1" s="1"/>
  <c r="B4095" i="1" s="1"/>
  <c r="B4096" i="1" s="1"/>
  <c r="B4097" i="1" s="1"/>
  <c r="B4098" i="1" s="1"/>
  <c r="B4099" i="1" s="1"/>
  <c r="B4100" i="1" s="1"/>
  <c r="B4101" i="1" s="1"/>
  <c r="B4102" i="1" s="1"/>
  <c r="B4103" i="1" s="1"/>
  <c r="B4104" i="1" s="1"/>
  <c r="E4068" i="1"/>
  <c r="F4068" i="1" s="1"/>
  <c r="E4126" i="1"/>
  <c r="F4126" i="1" s="1"/>
  <c r="E4125" i="1"/>
  <c r="F4125" i="1" s="1"/>
  <c r="E4124" i="1"/>
  <c r="F4124" i="1" s="1"/>
  <c r="E4123" i="1"/>
  <c r="F4123" i="1" s="1"/>
  <c r="E4122" i="1"/>
  <c r="F4122" i="1" s="1"/>
  <c r="E4121" i="1"/>
  <c r="F4121" i="1" s="1"/>
  <c r="E4120" i="1"/>
  <c r="F4120" i="1" s="1"/>
  <c r="E4119" i="1"/>
  <c r="F4119" i="1" s="1"/>
  <c r="E4118" i="1"/>
  <c r="F4118" i="1" s="1"/>
  <c r="E4117" i="1"/>
  <c r="F4117" i="1" s="1"/>
  <c r="E4116" i="1"/>
  <c r="F4116" i="1" s="1"/>
  <c r="E4115" i="1"/>
  <c r="F4115" i="1" s="1"/>
  <c r="E4114" i="1"/>
  <c r="F4114" i="1" s="1"/>
  <c r="E4113" i="1"/>
  <c r="F4113" i="1" s="1"/>
  <c r="E4112" i="1"/>
  <c r="F4112" i="1" s="1"/>
  <c r="E4111" i="1"/>
  <c r="F4111" i="1" s="1"/>
  <c r="E4110" i="1"/>
  <c r="F4110" i="1" s="1"/>
  <c r="E4109" i="1"/>
  <c r="F4109" i="1" s="1"/>
  <c r="E4108" i="1"/>
  <c r="F4108" i="1" s="1"/>
  <c r="E4107" i="1"/>
  <c r="F4107" i="1" s="1"/>
  <c r="B4107" i="1"/>
  <c r="B4108" i="1" s="1"/>
  <c r="B4109" i="1" s="1"/>
  <c r="B4110" i="1" s="1"/>
  <c r="B4111" i="1" s="1"/>
  <c r="B4112" i="1" s="1"/>
  <c r="B4113" i="1" s="1"/>
  <c r="B4114" i="1" s="1"/>
  <c r="B4115" i="1" s="1"/>
  <c r="B4116" i="1" s="1"/>
  <c r="B4117" i="1" s="1"/>
  <c r="B4118" i="1" s="1"/>
  <c r="B4119" i="1" s="1"/>
  <c r="B4120" i="1" s="1"/>
  <c r="B4121" i="1" s="1"/>
  <c r="B4122" i="1" s="1"/>
  <c r="B4123" i="1" s="1"/>
  <c r="B4124" i="1" s="1"/>
  <c r="B4125" i="1" s="1"/>
  <c r="B4126" i="1" s="1"/>
  <c r="B4127" i="1" s="1"/>
  <c r="B4128" i="1" s="1"/>
  <c r="B4129" i="1" s="1"/>
  <c r="B4130" i="1" s="1"/>
  <c r="B4131" i="1" s="1"/>
  <c r="B4132" i="1" s="1"/>
  <c r="B4133" i="1" s="1"/>
  <c r="B4134" i="1" s="1"/>
  <c r="B4135" i="1" s="1"/>
  <c r="B4136" i="1" s="1"/>
  <c r="B4137" i="1" s="1"/>
  <c r="B4138" i="1" s="1"/>
  <c r="B4139" i="1" s="1"/>
  <c r="B4140" i="1" s="1"/>
  <c r="B4141" i="1" s="1"/>
  <c r="B4142" i="1" s="1"/>
  <c r="E4106" i="1"/>
  <c r="F4106" i="1" s="1"/>
  <c r="E3898" i="1"/>
  <c r="F3898" i="1" s="1"/>
  <c r="E3897" i="1"/>
  <c r="F3897" i="1" s="1"/>
  <c r="E3896" i="1"/>
  <c r="F3896" i="1" s="1"/>
  <c r="E3895" i="1"/>
  <c r="F3895" i="1" s="1"/>
  <c r="E3894" i="1"/>
  <c r="F3894" i="1" s="1"/>
  <c r="E3893" i="1"/>
  <c r="F3893" i="1" s="1"/>
  <c r="E3892" i="1"/>
  <c r="F3892" i="1" s="1"/>
  <c r="E3891" i="1"/>
  <c r="F3891" i="1" s="1"/>
  <c r="E3890" i="1"/>
  <c r="F3890" i="1" s="1"/>
  <c r="E3889" i="1"/>
  <c r="F3889" i="1" s="1"/>
  <c r="E3888" i="1"/>
  <c r="F3888" i="1" s="1"/>
  <c r="E3887" i="1"/>
  <c r="F3887" i="1" s="1"/>
  <c r="E3886" i="1"/>
  <c r="F3886" i="1" s="1"/>
  <c r="E3885" i="1"/>
  <c r="F3885" i="1" s="1"/>
  <c r="E3884" i="1"/>
  <c r="F3884" i="1" s="1"/>
  <c r="E3883" i="1"/>
  <c r="F3883" i="1" s="1"/>
  <c r="E3882" i="1"/>
  <c r="F3882" i="1" s="1"/>
  <c r="E3881" i="1"/>
  <c r="F3881" i="1" s="1"/>
  <c r="E3880" i="1"/>
  <c r="F3880" i="1" s="1"/>
  <c r="E3879" i="1"/>
  <c r="F3879" i="1" s="1"/>
  <c r="B3879" i="1"/>
  <c r="B3880" i="1" s="1"/>
  <c r="B3881" i="1" s="1"/>
  <c r="B3882" i="1" s="1"/>
  <c r="B3883" i="1" s="1"/>
  <c r="B3884" i="1" s="1"/>
  <c r="B3885" i="1" s="1"/>
  <c r="B3886" i="1" s="1"/>
  <c r="B3887" i="1" s="1"/>
  <c r="B3888" i="1" s="1"/>
  <c r="B3889" i="1" s="1"/>
  <c r="B3890" i="1" s="1"/>
  <c r="B3891" i="1" s="1"/>
  <c r="B3892" i="1" s="1"/>
  <c r="B3893" i="1" s="1"/>
  <c r="B3894" i="1" s="1"/>
  <c r="B3895" i="1" s="1"/>
  <c r="B3896" i="1" s="1"/>
  <c r="B3897" i="1" s="1"/>
  <c r="B3898" i="1" s="1"/>
  <c r="B3899" i="1" s="1"/>
  <c r="B3900" i="1" s="1"/>
  <c r="B3901" i="1" s="1"/>
  <c r="B3902" i="1" s="1"/>
  <c r="B3903" i="1" s="1"/>
  <c r="B3904" i="1" s="1"/>
  <c r="B3905" i="1" s="1"/>
  <c r="B3906" i="1" s="1"/>
  <c r="B3907" i="1" s="1"/>
  <c r="B3908" i="1" s="1"/>
  <c r="B3909" i="1" s="1"/>
  <c r="B3910" i="1" s="1"/>
  <c r="B3911" i="1" s="1"/>
  <c r="B3912" i="1" s="1"/>
  <c r="B3913" i="1" s="1"/>
  <c r="B3914" i="1" s="1"/>
  <c r="E3878" i="1"/>
  <c r="F3878" i="1" s="1"/>
  <c r="E3936" i="1"/>
  <c r="F3936" i="1" s="1"/>
  <c r="E3935" i="1"/>
  <c r="F3935" i="1" s="1"/>
  <c r="E3934" i="1"/>
  <c r="F3934" i="1" s="1"/>
  <c r="E3933" i="1"/>
  <c r="F3933" i="1" s="1"/>
  <c r="E3932" i="1"/>
  <c r="F3932" i="1" s="1"/>
  <c r="E3931" i="1"/>
  <c r="F3931" i="1" s="1"/>
  <c r="E3930" i="1"/>
  <c r="F3930" i="1" s="1"/>
  <c r="E3929" i="1"/>
  <c r="F3929" i="1" s="1"/>
  <c r="E3928" i="1"/>
  <c r="F3928" i="1" s="1"/>
  <c r="E3927" i="1"/>
  <c r="F3927" i="1" s="1"/>
  <c r="E3926" i="1"/>
  <c r="F3926" i="1" s="1"/>
  <c r="E3925" i="1"/>
  <c r="F3925" i="1" s="1"/>
  <c r="E3924" i="1"/>
  <c r="F3924" i="1" s="1"/>
  <c r="E3923" i="1"/>
  <c r="F3923" i="1" s="1"/>
  <c r="E3922" i="1"/>
  <c r="F3922" i="1" s="1"/>
  <c r="E3921" i="1"/>
  <c r="F3921" i="1" s="1"/>
  <c r="E3920" i="1"/>
  <c r="F3920" i="1" s="1"/>
  <c r="E3919" i="1"/>
  <c r="F3919" i="1" s="1"/>
  <c r="E3918" i="1"/>
  <c r="F3918" i="1" s="1"/>
  <c r="E3917" i="1"/>
  <c r="F3917" i="1" s="1"/>
  <c r="B3917" i="1"/>
  <c r="B3918" i="1" s="1"/>
  <c r="B3919" i="1" s="1"/>
  <c r="B3920" i="1" s="1"/>
  <c r="B3921" i="1" s="1"/>
  <c r="B3922" i="1" s="1"/>
  <c r="B3923" i="1" s="1"/>
  <c r="B3924" i="1" s="1"/>
  <c r="B3925" i="1" s="1"/>
  <c r="B3926" i="1" s="1"/>
  <c r="B3927" i="1" s="1"/>
  <c r="B3928" i="1" s="1"/>
  <c r="B3929" i="1" s="1"/>
  <c r="B3930" i="1" s="1"/>
  <c r="B3931" i="1" s="1"/>
  <c r="B3932" i="1" s="1"/>
  <c r="B3933" i="1" s="1"/>
  <c r="B3934" i="1" s="1"/>
  <c r="B3935" i="1" s="1"/>
  <c r="B3936" i="1" s="1"/>
  <c r="B3937" i="1" s="1"/>
  <c r="B3938" i="1" s="1"/>
  <c r="B3939" i="1" s="1"/>
  <c r="B3940" i="1" s="1"/>
  <c r="B3941" i="1" s="1"/>
  <c r="B3942" i="1" s="1"/>
  <c r="B3943" i="1" s="1"/>
  <c r="B3944" i="1" s="1"/>
  <c r="B3945" i="1" s="1"/>
  <c r="B3946" i="1" s="1"/>
  <c r="B3947" i="1" s="1"/>
  <c r="B3948" i="1" s="1"/>
  <c r="B3949" i="1" s="1"/>
  <c r="B3950" i="1" s="1"/>
  <c r="B3951" i="1" s="1"/>
  <c r="B3952" i="1" s="1"/>
  <c r="E3916" i="1"/>
  <c r="F3916" i="1" s="1"/>
  <c r="E3974" i="1"/>
  <c r="F3974" i="1" s="1"/>
  <c r="E3973" i="1"/>
  <c r="F3973" i="1" s="1"/>
  <c r="E3972" i="1"/>
  <c r="F3972" i="1" s="1"/>
  <c r="E3971" i="1"/>
  <c r="F3971" i="1" s="1"/>
  <c r="E3970" i="1"/>
  <c r="F3970" i="1" s="1"/>
  <c r="E3969" i="1"/>
  <c r="F3969" i="1" s="1"/>
  <c r="E3968" i="1"/>
  <c r="F3968" i="1" s="1"/>
  <c r="E3967" i="1"/>
  <c r="F3967" i="1" s="1"/>
  <c r="E3966" i="1"/>
  <c r="F3966" i="1" s="1"/>
  <c r="E3965" i="1"/>
  <c r="F3965" i="1" s="1"/>
  <c r="E3964" i="1"/>
  <c r="F3964" i="1" s="1"/>
  <c r="E3963" i="1"/>
  <c r="F3963" i="1" s="1"/>
  <c r="E3962" i="1"/>
  <c r="F3962" i="1" s="1"/>
  <c r="E3961" i="1"/>
  <c r="F3961" i="1" s="1"/>
  <c r="E3960" i="1"/>
  <c r="F3960" i="1" s="1"/>
  <c r="E3959" i="1"/>
  <c r="F3959" i="1" s="1"/>
  <c r="E3958" i="1"/>
  <c r="F3958" i="1" s="1"/>
  <c r="E3957" i="1"/>
  <c r="F3957" i="1" s="1"/>
  <c r="E3956" i="1"/>
  <c r="F3956" i="1" s="1"/>
  <c r="E3955" i="1"/>
  <c r="F3955" i="1" s="1"/>
  <c r="B3955" i="1"/>
  <c r="B3956" i="1" s="1"/>
  <c r="B3957" i="1" s="1"/>
  <c r="B3958" i="1" s="1"/>
  <c r="B3959" i="1" s="1"/>
  <c r="B3960" i="1" s="1"/>
  <c r="B3961" i="1" s="1"/>
  <c r="B3962" i="1" s="1"/>
  <c r="B3963" i="1" s="1"/>
  <c r="B3964" i="1" s="1"/>
  <c r="B3965" i="1" s="1"/>
  <c r="B3966" i="1" s="1"/>
  <c r="B3967" i="1" s="1"/>
  <c r="B3968" i="1" s="1"/>
  <c r="B3969" i="1" s="1"/>
  <c r="B3970" i="1" s="1"/>
  <c r="B3971" i="1" s="1"/>
  <c r="B3972" i="1" s="1"/>
  <c r="B3973" i="1" s="1"/>
  <c r="B3974" i="1" s="1"/>
  <c r="B3975" i="1" s="1"/>
  <c r="B3976" i="1" s="1"/>
  <c r="B3977" i="1" s="1"/>
  <c r="B3978" i="1" s="1"/>
  <c r="B3979" i="1" s="1"/>
  <c r="B3980" i="1" s="1"/>
  <c r="B3981" i="1" s="1"/>
  <c r="B3982" i="1" s="1"/>
  <c r="B3983" i="1" s="1"/>
  <c r="B3984" i="1" s="1"/>
  <c r="B3985" i="1" s="1"/>
  <c r="B3986" i="1" s="1"/>
  <c r="B3987" i="1" s="1"/>
  <c r="B3988" i="1" s="1"/>
  <c r="B3989" i="1" s="1"/>
  <c r="B3990" i="1" s="1"/>
  <c r="E3954" i="1"/>
  <c r="F3954" i="1" s="1"/>
  <c r="E3632" i="1"/>
  <c r="F3632" i="1" s="1"/>
  <c r="E3631" i="1"/>
  <c r="F3631" i="1" s="1"/>
  <c r="E3630" i="1"/>
  <c r="F3630" i="1" s="1"/>
  <c r="E3629" i="1"/>
  <c r="F3629" i="1" s="1"/>
  <c r="E3628" i="1"/>
  <c r="F3628" i="1" s="1"/>
  <c r="E3627" i="1"/>
  <c r="F3627" i="1" s="1"/>
  <c r="E3626" i="1"/>
  <c r="F3626" i="1" s="1"/>
  <c r="E3625" i="1"/>
  <c r="F3625" i="1" s="1"/>
  <c r="E3624" i="1"/>
  <c r="F3624" i="1" s="1"/>
  <c r="E3623" i="1"/>
  <c r="F3623" i="1" s="1"/>
  <c r="E3622" i="1"/>
  <c r="F3622" i="1" s="1"/>
  <c r="E3621" i="1"/>
  <c r="F3621" i="1" s="1"/>
  <c r="E3620" i="1"/>
  <c r="F3620" i="1" s="1"/>
  <c r="E3619" i="1"/>
  <c r="F3619" i="1" s="1"/>
  <c r="E3618" i="1"/>
  <c r="F3618" i="1" s="1"/>
  <c r="E3617" i="1"/>
  <c r="F3617" i="1" s="1"/>
  <c r="E3616" i="1"/>
  <c r="F3616" i="1" s="1"/>
  <c r="E3615" i="1"/>
  <c r="F3615" i="1" s="1"/>
  <c r="E3614" i="1"/>
  <c r="F3614" i="1" s="1"/>
  <c r="E3613" i="1"/>
  <c r="F3613" i="1" s="1"/>
  <c r="B3613" i="1"/>
  <c r="B3614" i="1" s="1"/>
  <c r="B3615" i="1" s="1"/>
  <c r="B3616" i="1" s="1"/>
  <c r="B3617" i="1" s="1"/>
  <c r="B3618" i="1" s="1"/>
  <c r="B3619" i="1" s="1"/>
  <c r="B3620" i="1" s="1"/>
  <c r="B3621" i="1" s="1"/>
  <c r="B3622" i="1" s="1"/>
  <c r="B3623" i="1" s="1"/>
  <c r="B3624" i="1" s="1"/>
  <c r="B3625" i="1" s="1"/>
  <c r="B3626" i="1" s="1"/>
  <c r="B3627" i="1" s="1"/>
  <c r="B3628" i="1" s="1"/>
  <c r="B3629" i="1" s="1"/>
  <c r="B3630" i="1" s="1"/>
  <c r="B3631" i="1" s="1"/>
  <c r="B3632" i="1" s="1"/>
  <c r="B3633" i="1" s="1"/>
  <c r="B3634" i="1" s="1"/>
  <c r="B3635" i="1" s="1"/>
  <c r="B3636" i="1" s="1"/>
  <c r="B3637" i="1" s="1"/>
  <c r="B3638" i="1" s="1"/>
  <c r="B3639" i="1" s="1"/>
  <c r="B3640" i="1" s="1"/>
  <c r="B3641" i="1" s="1"/>
  <c r="B3642" i="1" s="1"/>
  <c r="B3643" i="1" s="1"/>
  <c r="B3644" i="1" s="1"/>
  <c r="B3645" i="1" s="1"/>
  <c r="B3646" i="1" s="1"/>
  <c r="B3647" i="1" s="1"/>
  <c r="B3648" i="1" s="1"/>
  <c r="E3612" i="1"/>
  <c r="F3612" i="1" s="1"/>
  <c r="E3670" i="1"/>
  <c r="F3670" i="1" s="1"/>
  <c r="E3669" i="1"/>
  <c r="F3669" i="1" s="1"/>
  <c r="E3668" i="1"/>
  <c r="F3668" i="1" s="1"/>
  <c r="E3667" i="1"/>
  <c r="F3667" i="1" s="1"/>
  <c r="E3666" i="1"/>
  <c r="F3666" i="1" s="1"/>
  <c r="E3665" i="1"/>
  <c r="F3665" i="1" s="1"/>
  <c r="E3664" i="1"/>
  <c r="F3664" i="1" s="1"/>
  <c r="E3663" i="1"/>
  <c r="F3663" i="1" s="1"/>
  <c r="E3662" i="1"/>
  <c r="F3662" i="1" s="1"/>
  <c r="E3661" i="1"/>
  <c r="F3661" i="1" s="1"/>
  <c r="E3660" i="1"/>
  <c r="F3660" i="1" s="1"/>
  <c r="E3659" i="1"/>
  <c r="F3659" i="1" s="1"/>
  <c r="E3658" i="1"/>
  <c r="F3658" i="1" s="1"/>
  <c r="E3657" i="1"/>
  <c r="F3657" i="1" s="1"/>
  <c r="E3656" i="1"/>
  <c r="F3656" i="1" s="1"/>
  <c r="E3655" i="1"/>
  <c r="F3655" i="1" s="1"/>
  <c r="E3654" i="1"/>
  <c r="F3654" i="1" s="1"/>
  <c r="E3653" i="1"/>
  <c r="F3653" i="1" s="1"/>
  <c r="E3652" i="1"/>
  <c r="F3652" i="1" s="1"/>
  <c r="E3651" i="1"/>
  <c r="F3651" i="1" s="1"/>
  <c r="B3651" i="1"/>
  <c r="B3652" i="1" s="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E3650" i="1"/>
  <c r="F3650" i="1" s="1"/>
  <c r="E3708" i="1"/>
  <c r="F3708" i="1" s="1"/>
  <c r="E3707" i="1"/>
  <c r="F3707" i="1" s="1"/>
  <c r="E3706" i="1"/>
  <c r="F3706" i="1" s="1"/>
  <c r="E3705" i="1"/>
  <c r="F3705" i="1" s="1"/>
  <c r="E3704" i="1"/>
  <c r="F3704" i="1" s="1"/>
  <c r="E3703" i="1"/>
  <c r="F3703" i="1" s="1"/>
  <c r="E3702" i="1"/>
  <c r="F3702" i="1" s="1"/>
  <c r="E3701" i="1"/>
  <c r="F3701" i="1" s="1"/>
  <c r="E3700" i="1"/>
  <c r="F3700" i="1" s="1"/>
  <c r="E3699" i="1"/>
  <c r="F3699" i="1" s="1"/>
  <c r="E3698" i="1"/>
  <c r="F3698" i="1" s="1"/>
  <c r="E3697" i="1"/>
  <c r="F3697" i="1" s="1"/>
  <c r="E3696" i="1"/>
  <c r="F3696" i="1" s="1"/>
  <c r="E3695" i="1"/>
  <c r="F3695" i="1" s="1"/>
  <c r="E3694" i="1"/>
  <c r="F3694" i="1" s="1"/>
  <c r="E3693" i="1"/>
  <c r="F3693" i="1" s="1"/>
  <c r="E3692" i="1"/>
  <c r="F3692" i="1" s="1"/>
  <c r="E3691" i="1"/>
  <c r="F3691" i="1" s="1"/>
  <c r="E3690" i="1"/>
  <c r="F3690" i="1" s="1"/>
  <c r="E3689" i="1"/>
  <c r="F3689" i="1" s="1"/>
  <c r="B3689" i="1"/>
  <c r="B3690" i="1" s="1"/>
  <c r="B3691" i="1" s="1"/>
  <c r="B3692" i="1" s="1"/>
  <c r="B3693" i="1" s="1"/>
  <c r="B3694" i="1" s="1"/>
  <c r="B3695" i="1" s="1"/>
  <c r="B3696" i="1" s="1"/>
  <c r="B3697" i="1" s="1"/>
  <c r="B3698" i="1" s="1"/>
  <c r="B3699" i="1" s="1"/>
  <c r="B3700" i="1" s="1"/>
  <c r="B3701" i="1" s="1"/>
  <c r="B3702" i="1" s="1"/>
  <c r="B3703" i="1" s="1"/>
  <c r="B3704" i="1" s="1"/>
  <c r="B3705" i="1" s="1"/>
  <c r="B3706" i="1" s="1"/>
  <c r="B3707" i="1" s="1"/>
  <c r="B3708" i="1" s="1"/>
  <c r="B3709" i="1" s="1"/>
  <c r="B3710" i="1" s="1"/>
  <c r="B3711" i="1" s="1"/>
  <c r="B3712" i="1" s="1"/>
  <c r="B3713" i="1" s="1"/>
  <c r="B3714" i="1" s="1"/>
  <c r="B3715" i="1" s="1"/>
  <c r="B3716" i="1" s="1"/>
  <c r="B3717" i="1" s="1"/>
  <c r="B3718" i="1" s="1"/>
  <c r="B3719" i="1" s="1"/>
  <c r="B3720" i="1" s="1"/>
  <c r="B3721" i="1" s="1"/>
  <c r="B3722" i="1" s="1"/>
  <c r="B3723" i="1" s="1"/>
  <c r="B3724" i="1" s="1"/>
  <c r="E3688" i="1"/>
  <c r="F3688" i="1" s="1"/>
  <c r="E3480" i="1"/>
  <c r="F3480" i="1" s="1"/>
  <c r="E3479" i="1"/>
  <c r="F3479" i="1" s="1"/>
  <c r="E3478" i="1"/>
  <c r="F3478" i="1" s="1"/>
  <c r="E3477" i="1"/>
  <c r="F3477" i="1" s="1"/>
  <c r="E3476" i="1"/>
  <c r="F3476" i="1" s="1"/>
  <c r="E3475" i="1"/>
  <c r="F3475" i="1" s="1"/>
  <c r="E3474" i="1"/>
  <c r="F3474" i="1" s="1"/>
  <c r="E3473" i="1"/>
  <c r="F3473" i="1" s="1"/>
  <c r="E3472" i="1"/>
  <c r="F3472" i="1" s="1"/>
  <c r="E3471" i="1"/>
  <c r="F3471" i="1" s="1"/>
  <c r="E3470" i="1"/>
  <c r="F3470" i="1" s="1"/>
  <c r="E3469" i="1"/>
  <c r="F3469" i="1" s="1"/>
  <c r="E3468" i="1"/>
  <c r="F3468" i="1" s="1"/>
  <c r="E3467" i="1"/>
  <c r="F3467" i="1" s="1"/>
  <c r="E3466" i="1"/>
  <c r="F3466" i="1" s="1"/>
  <c r="E3465" i="1"/>
  <c r="F3465" i="1" s="1"/>
  <c r="E3464" i="1"/>
  <c r="F3464" i="1" s="1"/>
  <c r="E3463" i="1"/>
  <c r="F3463" i="1" s="1"/>
  <c r="E3462" i="1"/>
  <c r="F3462" i="1" s="1"/>
  <c r="E3461" i="1"/>
  <c r="F3461" i="1" s="1"/>
  <c r="B3461" i="1"/>
  <c r="B3462" i="1" s="1"/>
  <c r="B3463" i="1" s="1"/>
  <c r="B3464" i="1" s="1"/>
  <c r="B3465" i="1" s="1"/>
  <c r="B3466" i="1" s="1"/>
  <c r="B3467" i="1" s="1"/>
  <c r="B3468" i="1" s="1"/>
  <c r="B3469" i="1" s="1"/>
  <c r="B3470" i="1" s="1"/>
  <c r="B3471" i="1" s="1"/>
  <c r="B3472" i="1" s="1"/>
  <c r="B3473" i="1" s="1"/>
  <c r="B3474" i="1" s="1"/>
  <c r="B3475" i="1" s="1"/>
  <c r="B3476" i="1" s="1"/>
  <c r="B3477" i="1" s="1"/>
  <c r="B3478" i="1" s="1"/>
  <c r="B3479" i="1" s="1"/>
  <c r="B3480" i="1" s="1"/>
  <c r="B3481" i="1" s="1"/>
  <c r="B3482" i="1" s="1"/>
  <c r="B3483" i="1" s="1"/>
  <c r="B3484" i="1" s="1"/>
  <c r="B3485" i="1" s="1"/>
  <c r="B3486" i="1" s="1"/>
  <c r="B3487" i="1" s="1"/>
  <c r="B3488" i="1" s="1"/>
  <c r="B3489" i="1" s="1"/>
  <c r="B3490" i="1" s="1"/>
  <c r="B3491" i="1" s="1"/>
  <c r="B3492" i="1" s="1"/>
  <c r="B3493" i="1" s="1"/>
  <c r="B3494" i="1" s="1"/>
  <c r="B3495" i="1" s="1"/>
  <c r="B3496" i="1" s="1"/>
  <c r="E3460" i="1"/>
  <c r="F3460" i="1" s="1"/>
  <c r="E3518" i="1"/>
  <c r="F3518" i="1" s="1"/>
  <c r="E3517" i="1"/>
  <c r="F3517" i="1" s="1"/>
  <c r="E3516" i="1"/>
  <c r="F3516" i="1" s="1"/>
  <c r="E3515" i="1"/>
  <c r="F3515" i="1" s="1"/>
  <c r="E3514" i="1"/>
  <c r="F3514" i="1" s="1"/>
  <c r="E3513" i="1"/>
  <c r="F3513" i="1" s="1"/>
  <c r="E3512" i="1"/>
  <c r="F3512" i="1" s="1"/>
  <c r="E3511" i="1"/>
  <c r="F3511" i="1" s="1"/>
  <c r="E3510" i="1"/>
  <c r="F3510" i="1" s="1"/>
  <c r="E3509" i="1"/>
  <c r="F3509" i="1" s="1"/>
  <c r="E3508" i="1"/>
  <c r="F3508" i="1" s="1"/>
  <c r="E3507" i="1"/>
  <c r="F3507" i="1" s="1"/>
  <c r="E3506" i="1"/>
  <c r="F3506" i="1" s="1"/>
  <c r="E3505" i="1"/>
  <c r="F3505" i="1" s="1"/>
  <c r="E3504" i="1"/>
  <c r="F3504" i="1" s="1"/>
  <c r="E3503" i="1"/>
  <c r="F3503" i="1" s="1"/>
  <c r="E3502" i="1"/>
  <c r="F3502" i="1" s="1"/>
  <c r="E3501" i="1"/>
  <c r="F3501" i="1" s="1"/>
  <c r="E3500" i="1"/>
  <c r="F3500" i="1" s="1"/>
  <c r="E3499" i="1"/>
  <c r="F3499" i="1" s="1"/>
  <c r="B3499" i="1"/>
  <c r="B3500" i="1" s="1"/>
  <c r="B3501" i="1" s="1"/>
  <c r="B3502" i="1" s="1"/>
  <c r="B3503" i="1" s="1"/>
  <c r="B3504" i="1" s="1"/>
  <c r="B3505" i="1" s="1"/>
  <c r="B3506" i="1" s="1"/>
  <c r="B3507" i="1" s="1"/>
  <c r="B3508" i="1" s="1"/>
  <c r="B3509" i="1" s="1"/>
  <c r="B3510" i="1" s="1"/>
  <c r="B3511" i="1" s="1"/>
  <c r="B3512" i="1" s="1"/>
  <c r="B3513" i="1" s="1"/>
  <c r="B3514" i="1" s="1"/>
  <c r="B3515" i="1" s="1"/>
  <c r="B3516" i="1" s="1"/>
  <c r="B3517" i="1" s="1"/>
  <c r="B3518" i="1" s="1"/>
  <c r="B3519" i="1" s="1"/>
  <c r="B3520" i="1" s="1"/>
  <c r="B3521" i="1" s="1"/>
  <c r="B3522" i="1" s="1"/>
  <c r="B3523" i="1" s="1"/>
  <c r="B3524" i="1" s="1"/>
  <c r="B3525" i="1" s="1"/>
  <c r="B3526" i="1" s="1"/>
  <c r="B3527" i="1" s="1"/>
  <c r="B3528" i="1" s="1"/>
  <c r="B3529" i="1" s="1"/>
  <c r="B3530" i="1" s="1"/>
  <c r="B3531" i="1" s="1"/>
  <c r="B3532" i="1" s="1"/>
  <c r="B3533" i="1" s="1"/>
  <c r="B3534" i="1" s="1"/>
  <c r="E3498" i="1"/>
  <c r="F3498" i="1" s="1"/>
  <c r="E3556" i="1"/>
  <c r="F3556" i="1" s="1"/>
  <c r="E3555" i="1"/>
  <c r="F3555" i="1" s="1"/>
  <c r="E3554" i="1"/>
  <c r="F3554" i="1" s="1"/>
  <c r="E3553" i="1"/>
  <c r="F3553" i="1" s="1"/>
  <c r="E3552" i="1"/>
  <c r="F3552" i="1" s="1"/>
  <c r="E3551" i="1"/>
  <c r="F3551" i="1" s="1"/>
  <c r="E3550" i="1"/>
  <c r="F3550" i="1" s="1"/>
  <c r="E3549" i="1"/>
  <c r="F3549" i="1" s="1"/>
  <c r="E3548" i="1"/>
  <c r="F3548" i="1" s="1"/>
  <c r="E3547" i="1"/>
  <c r="F3547" i="1" s="1"/>
  <c r="E3546" i="1"/>
  <c r="F3546" i="1" s="1"/>
  <c r="E3545" i="1"/>
  <c r="F3545" i="1" s="1"/>
  <c r="E3544" i="1"/>
  <c r="F3544" i="1" s="1"/>
  <c r="E3543" i="1"/>
  <c r="F3543" i="1" s="1"/>
  <c r="E3542" i="1"/>
  <c r="F3542" i="1" s="1"/>
  <c r="E3541" i="1"/>
  <c r="F3541" i="1" s="1"/>
  <c r="E3540" i="1"/>
  <c r="F3540" i="1" s="1"/>
  <c r="E3539" i="1"/>
  <c r="F3539" i="1" s="1"/>
  <c r="E3538" i="1"/>
  <c r="F3538" i="1" s="1"/>
  <c r="E3537" i="1"/>
  <c r="F3537" i="1" s="1"/>
  <c r="B3537" i="1"/>
  <c r="B3538" i="1" s="1"/>
  <c r="B3539" i="1" s="1"/>
  <c r="B3540" i="1" s="1"/>
  <c r="B3541" i="1" s="1"/>
  <c r="B3542" i="1" s="1"/>
  <c r="B3543" i="1" s="1"/>
  <c r="B3544" i="1" s="1"/>
  <c r="B3545" i="1" s="1"/>
  <c r="B3546" i="1" s="1"/>
  <c r="B3547" i="1" s="1"/>
  <c r="B3548" i="1" s="1"/>
  <c r="B3549" i="1" s="1"/>
  <c r="B3550" i="1" s="1"/>
  <c r="B3551" i="1" s="1"/>
  <c r="B3552" i="1" s="1"/>
  <c r="B3553" i="1" s="1"/>
  <c r="B3554" i="1" s="1"/>
  <c r="B3555" i="1" s="1"/>
  <c r="B3556" i="1" s="1"/>
  <c r="B3557" i="1" s="1"/>
  <c r="B3558" i="1" s="1"/>
  <c r="B3559" i="1" s="1"/>
  <c r="B3560" i="1" s="1"/>
  <c r="B3561" i="1" s="1"/>
  <c r="B3562" i="1" s="1"/>
  <c r="B3563" i="1" s="1"/>
  <c r="B3564" i="1" s="1"/>
  <c r="B3565" i="1" s="1"/>
  <c r="B3566" i="1" s="1"/>
  <c r="B3567" i="1" s="1"/>
  <c r="B3568" i="1" s="1"/>
  <c r="B3569" i="1" s="1"/>
  <c r="B3570" i="1" s="1"/>
  <c r="B3571" i="1" s="1"/>
  <c r="B3572" i="1" s="1"/>
  <c r="E3536" i="1"/>
  <c r="F3536" i="1" s="1"/>
  <c r="E3231" i="1"/>
  <c r="E3214" i="1"/>
  <c r="F3214" i="1" s="1"/>
  <c r="E3213" i="1"/>
  <c r="F3213" i="1" s="1"/>
  <c r="E3212" i="1"/>
  <c r="F3212" i="1" s="1"/>
  <c r="E3211" i="1"/>
  <c r="F3211" i="1" s="1"/>
  <c r="E3210" i="1"/>
  <c r="F3210" i="1" s="1"/>
  <c r="E3209" i="1"/>
  <c r="F3209" i="1" s="1"/>
  <c r="E3208" i="1"/>
  <c r="F3208" i="1" s="1"/>
  <c r="E3207" i="1"/>
  <c r="F3207" i="1" s="1"/>
  <c r="E3206" i="1"/>
  <c r="F3206" i="1" s="1"/>
  <c r="E3205" i="1"/>
  <c r="F3205" i="1" s="1"/>
  <c r="E3204" i="1"/>
  <c r="F3204" i="1" s="1"/>
  <c r="E3203" i="1"/>
  <c r="F3203" i="1" s="1"/>
  <c r="E3202" i="1"/>
  <c r="F3202" i="1" s="1"/>
  <c r="E3201" i="1"/>
  <c r="F3201" i="1" s="1"/>
  <c r="E3200" i="1"/>
  <c r="F3200" i="1" s="1"/>
  <c r="E3199" i="1"/>
  <c r="F3199" i="1" s="1"/>
  <c r="E3198" i="1"/>
  <c r="F3198" i="1" s="1"/>
  <c r="E3197" i="1"/>
  <c r="F3197" i="1" s="1"/>
  <c r="E3196" i="1"/>
  <c r="F3196" i="1" s="1"/>
  <c r="E3195" i="1"/>
  <c r="F3195" i="1" s="1"/>
  <c r="B3195" i="1"/>
  <c r="B3196" i="1" s="1"/>
  <c r="B3197" i="1" s="1"/>
  <c r="B3198" i="1" s="1"/>
  <c r="B3199" i="1" s="1"/>
  <c r="B3200" i="1" s="1"/>
  <c r="B3201" i="1" s="1"/>
  <c r="B3202" i="1" s="1"/>
  <c r="B3203" i="1" s="1"/>
  <c r="B3204" i="1" s="1"/>
  <c r="B3205" i="1" s="1"/>
  <c r="B3206" i="1" s="1"/>
  <c r="B3207" i="1" s="1"/>
  <c r="B3208" i="1" s="1"/>
  <c r="B3209" i="1" s="1"/>
  <c r="B3210" i="1" s="1"/>
  <c r="B3211" i="1" s="1"/>
  <c r="B3212" i="1" s="1"/>
  <c r="B3213" i="1" s="1"/>
  <c r="B3214" i="1" s="1"/>
  <c r="B3215" i="1" s="1"/>
  <c r="B3216" i="1" s="1"/>
  <c r="B3217" i="1" s="1"/>
  <c r="B3218" i="1" s="1"/>
  <c r="B3219" i="1" s="1"/>
  <c r="B3220" i="1" s="1"/>
  <c r="B3221" i="1" s="1"/>
  <c r="B3222" i="1" s="1"/>
  <c r="B3223" i="1" s="1"/>
  <c r="B3224" i="1" s="1"/>
  <c r="B3225" i="1" s="1"/>
  <c r="B3226" i="1" s="1"/>
  <c r="B3227" i="1" s="1"/>
  <c r="B3228" i="1" s="1"/>
  <c r="B3229" i="1" s="1"/>
  <c r="B3230" i="1" s="1"/>
  <c r="E3194" i="1"/>
  <c r="F3194" i="1" s="1"/>
  <c r="E3269" i="1"/>
  <c r="E3252" i="1"/>
  <c r="F3252" i="1" s="1"/>
  <c r="E3251" i="1"/>
  <c r="F3251" i="1" s="1"/>
  <c r="E3250" i="1"/>
  <c r="F3250" i="1" s="1"/>
  <c r="E3249" i="1"/>
  <c r="F3249" i="1" s="1"/>
  <c r="E3248" i="1"/>
  <c r="F3248" i="1" s="1"/>
  <c r="E3247" i="1"/>
  <c r="F3247" i="1" s="1"/>
  <c r="E3246" i="1"/>
  <c r="F3246" i="1" s="1"/>
  <c r="E3245" i="1"/>
  <c r="F3245" i="1" s="1"/>
  <c r="E3244" i="1"/>
  <c r="F3244" i="1" s="1"/>
  <c r="E3243" i="1"/>
  <c r="F3243" i="1" s="1"/>
  <c r="E3242" i="1"/>
  <c r="F3242" i="1" s="1"/>
  <c r="E3241" i="1"/>
  <c r="F3241" i="1" s="1"/>
  <c r="E3240" i="1"/>
  <c r="F3240" i="1" s="1"/>
  <c r="E3239" i="1"/>
  <c r="F3239" i="1" s="1"/>
  <c r="E3238" i="1"/>
  <c r="F3238" i="1" s="1"/>
  <c r="E3237" i="1"/>
  <c r="F3237" i="1" s="1"/>
  <c r="E3236" i="1"/>
  <c r="F3236" i="1" s="1"/>
  <c r="E3235" i="1"/>
  <c r="F3235" i="1" s="1"/>
  <c r="E3234" i="1"/>
  <c r="F3234" i="1" s="1"/>
  <c r="E3233" i="1"/>
  <c r="F3233" i="1" s="1"/>
  <c r="B3233" i="1"/>
  <c r="B3234" i="1" s="1"/>
  <c r="B3235" i="1" s="1"/>
  <c r="B3236" i="1" s="1"/>
  <c r="B3237" i="1" s="1"/>
  <c r="B3238" i="1" s="1"/>
  <c r="B3239" i="1" s="1"/>
  <c r="B3240" i="1" s="1"/>
  <c r="B3241" i="1" s="1"/>
  <c r="B3242" i="1" s="1"/>
  <c r="B3243" i="1" s="1"/>
  <c r="B3244" i="1" s="1"/>
  <c r="B3245" i="1" s="1"/>
  <c r="B3246" i="1" s="1"/>
  <c r="B3247" i="1" s="1"/>
  <c r="B3248" i="1" s="1"/>
  <c r="B3249" i="1" s="1"/>
  <c r="B3250" i="1" s="1"/>
  <c r="B3251" i="1" s="1"/>
  <c r="B3252" i="1" s="1"/>
  <c r="B3253" i="1" s="1"/>
  <c r="B3254" i="1" s="1"/>
  <c r="B3255" i="1" s="1"/>
  <c r="B3256" i="1" s="1"/>
  <c r="B3257" i="1" s="1"/>
  <c r="B3258" i="1" s="1"/>
  <c r="B3259" i="1" s="1"/>
  <c r="B3260" i="1" s="1"/>
  <c r="B3261" i="1" s="1"/>
  <c r="B3262" i="1" s="1"/>
  <c r="B3263" i="1" s="1"/>
  <c r="B3264" i="1" s="1"/>
  <c r="B3265" i="1" s="1"/>
  <c r="B3266" i="1" s="1"/>
  <c r="B3267" i="1" s="1"/>
  <c r="B3268" i="1" s="1"/>
  <c r="E3232" i="1"/>
  <c r="F3232" i="1" s="1"/>
  <c r="E3307" i="1"/>
  <c r="E3290" i="1"/>
  <c r="F3290" i="1" s="1"/>
  <c r="E3289" i="1"/>
  <c r="F3289" i="1" s="1"/>
  <c r="E3288" i="1"/>
  <c r="F3288" i="1" s="1"/>
  <c r="E3287" i="1"/>
  <c r="F3287" i="1" s="1"/>
  <c r="E3286" i="1"/>
  <c r="F3286" i="1" s="1"/>
  <c r="E3285" i="1"/>
  <c r="F3285" i="1" s="1"/>
  <c r="E3284" i="1"/>
  <c r="F3284" i="1" s="1"/>
  <c r="E3283" i="1"/>
  <c r="F3283" i="1" s="1"/>
  <c r="E3282" i="1"/>
  <c r="F3282" i="1" s="1"/>
  <c r="E3281" i="1"/>
  <c r="F3281" i="1" s="1"/>
  <c r="E3280" i="1"/>
  <c r="F3280" i="1" s="1"/>
  <c r="E3279" i="1"/>
  <c r="F3279" i="1" s="1"/>
  <c r="E3278" i="1"/>
  <c r="F3278" i="1" s="1"/>
  <c r="E3277" i="1"/>
  <c r="F3277" i="1" s="1"/>
  <c r="E3276" i="1"/>
  <c r="F3276" i="1" s="1"/>
  <c r="E3275" i="1"/>
  <c r="F3275" i="1" s="1"/>
  <c r="E3274" i="1"/>
  <c r="F3274" i="1" s="1"/>
  <c r="E3273" i="1"/>
  <c r="F3273" i="1" s="1"/>
  <c r="E3272" i="1"/>
  <c r="F3272" i="1" s="1"/>
  <c r="E3271" i="1"/>
  <c r="F3271" i="1" s="1"/>
  <c r="B3271" i="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E3270" i="1"/>
  <c r="F3270" i="1" s="1"/>
  <c r="E3062" i="1"/>
  <c r="F3062" i="1" s="1"/>
  <c r="E3061" i="1"/>
  <c r="F3061" i="1" s="1"/>
  <c r="E3060" i="1"/>
  <c r="F3060" i="1" s="1"/>
  <c r="E3059" i="1"/>
  <c r="F3059" i="1" s="1"/>
  <c r="E3058" i="1"/>
  <c r="F3058" i="1" s="1"/>
  <c r="E3057" i="1"/>
  <c r="F3057" i="1" s="1"/>
  <c r="E3056" i="1"/>
  <c r="F3056" i="1" s="1"/>
  <c r="E3055" i="1"/>
  <c r="F3055" i="1" s="1"/>
  <c r="E3054" i="1"/>
  <c r="F3054" i="1" s="1"/>
  <c r="E3053" i="1"/>
  <c r="F3053" i="1" s="1"/>
  <c r="E3052" i="1"/>
  <c r="F3052" i="1" s="1"/>
  <c r="E3051" i="1"/>
  <c r="F3051" i="1" s="1"/>
  <c r="E3050" i="1"/>
  <c r="F3050" i="1" s="1"/>
  <c r="E3049" i="1"/>
  <c r="F3049" i="1" s="1"/>
  <c r="E3048" i="1"/>
  <c r="F3048" i="1" s="1"/>
  <c r="E3047" i="1"/>
  <c r="F3047" i="1" s="1"/>
  <c r="E3046" i="1"/>
  <c r="F3046" i="1" s="1"/>
  <c r="E3045" i="1"/>
  <c r="F3045" i="1" s="1"/>
  <c r="E3044" i="1"/>
  <c r="F3044" i="1" s="1"/>
  <c r="E3043" i="1"/>
  <c r="F3043" i="1" s="1"/>
  <c r="B3043" i="1"/>
  <c r="B3044" i="1" s="1"/>
  <c r="B3045" i="1" s="1"/>
  <c r="B3046" i="1" s="1"/>
  <c r="B3047" i="1" s="1"/>
  <c r="B3048" i="1" s="1"/>
  <c r="B3049" i="1" s="1"/>
  <c r="B3050" i="1" s="1"/>
  <c r="B3051" i="1" s="1"/>
  <c r="B3052" i="1" s="1"/>
  <c r="B3053" i="1" s="1"/>
  <c r="B3054" i="1" s="1"/>
  <c r="B3055" i="1" s="1"/>
  <c r="B3056" i="1" s="1"/>
  <c r="B3057" i="1" s="1"/>
  <c r="B3058" i="1" s="1"/>
  <c r="B3059" i="1" s="1"/>
  <c r="B3060" i="1" s="1"/>
  <c r="B3061" i="1" s="1"/>
  <c r="B3062" i="1" s="1"/>
  <c r="B3063" i="1" s="1"/>
  <c r="B3064" i="1" s="1"/>
  <c r="B3065" i="1" s="1"/>
  <c r="B3066" i="1" s="1"/>
  <c r="B3067" i="1" s="1"/>
  <c r="B3068" i="1" s="1"/>
  <c r="B3069" i="1" s="1"/>
  <c r="B3070" i="1" s="1"/>
  <c r="B3071" i="1" s="1"/>
  <c r="B3072" i="1" s="1"/>
  <c r="B3073" i="1" s="1"/>
  <c r="B3074" i="1" s="1"/>
  <c r="B3075" i="1" s="1"/>
  <c r="B3076" i="1" s="1"/>
  <c r="B3077" i="1" s="1"/>
  <c r="B3078" i="1" s="1"/>
  <c r="E3042" i="1"/>
  <c r="F3042" i="1" s="1"/>
  <c r="E3100" i="1"/>
  <c r="F3100" i="1" s="1"/>
  <c r="E3099" i="1"/>
  <c r="F3099" i="1" s="1"/>
  <c r="E3098" i="1"/>
  <c r="F3098" i="1" s="1"/>
  <c r="E3097" i="1"/>
  <c r="F3097" i="1" s="1"/>
  <c r="E3096" i="1"/>
  <c r="F3096" i="1" s="1"/>
  <c r="E3095" i="1"/>
  <c r="F3095" i="1" s="1"/>
  <c r="E3094" i="1"/>
  <c r="F3094" i="1" s="1"/>
  <c r="E3093" i="1"/>
  <c r="F3093" i="1" s="1"/>
  <c r="E3092" i="1"/>
  <c r="F3092" i="1" s="1"/>
  <c r="E3091" i="1"/>
  <c r="F3091" i="1" s="1"/>
  <c r="E3090" i="1"/>
  <c r="F3090" i="1" s="1"/>
  <c r="E3089" i="1"/>
  <c r="F3089" i="1" s="1"/>
  <c r="E3088" i="1"/>
  <c r="F3088" i="1" s="1"/>
  <c r="E3087" i="1"/>
  <c r="F3087" i="1" s="1"/>
  <c r="E3086" i="1"/>
  <c r="F3086" i="1" s="1"/>
  <c r="E3085" i="1"/>
  <c r="F3085" i="1" s="1"/>
  <c r="E3084" i="1"/>
  <c r="F3084" i="1" s="1"/>
  <c r="E3083" i="1"/>
  <c r="F3083" i="1" s="1"/>
  <c r="E3082" i="1"/>
  <c r="F3082" i="1" s="1"/>
  <c r="E3081" i="1"/>
  <c r="F3081" i="1" s="1"/>
  <c r="B3081" i="1"/>
  <c r="B3082" i="1" s="1"/>
  <c r="B3083" i="1" s="1"/>
  <c r="B3084" i="1" s="1"/>
  <c r="B3085" i="1" s="1"/>
  <c r="B3086" i="1" s="1"/>
  <c r="B3087" i="1" s="1"/>
  <c r="B3088" i="1" s="1"/>
  <c r="B3089" i="1" s="1"/>
  <c r="B3090" i="1" s="1"/>
  <c r="B3091" i="1" s="1"/>
  <c r="B3092" i="1" s="1"/>
  <c r="B3093" i="1" s="1"/>
  <c r="B3094" i="1" s="1"/>
  <c r="B3095" i="1" s="1"/>
  <c r="B3096" i="1" s="1"/>
  <c r="B3097" i="1" s="1"/>
  <c r="B3098" i="1" s="1"/>
  <c r="B3099" i="1" s="1"/>
  <c r="B3100" i="1" s="1"/>
  <c r="B3101" i="1" s="1"/>
  <c r="B3102" i="1" s="1"/>
  <c r="B3103" i="1" s="1"/>
  <c r="B3104" i="1" s="1"/>
  <c r="B3105" i="1" s="1"/>
  <c r="B3106" i="1" s="1"/>
  <c r="B3107" i="1" s="1"/>
  <c r="B3108" i="1" s="1"/>
  <c r="B3109" i="1" s="1"/>
  <c r="B3110" i="1" s="1"/>
  <c r="B3111" i="1" s="1"/>
  <c r="B3112" i="1" s="1"/>
  <c r="B3113" i="1" s="1"/>
  <c r="B3114" i="1" s="1"/>
  <c r="B3115" i="1" s="1"/>
  <c r="B3116" i="1" s="1"/>
  <c r="E3080" i="1"/>
  <c r="F3080" i="1" s="1"/>
  <c r="E3138" i="1"/>
  <c r="F3138" i="1" s="1"/>
  <c r="E3137" i="1"/>
  <c r="F3137" i="1" s="1"/>
  <c r="E3136" i="1"/>
  <c r="F3136" i="1" s="1"/>
  <c r="E3135" i="1"/>
  <c r="F3135" i="1" s="1"/>
  <c r="E3134" i="1"/>
  <c r="F3134" i="1" s="1"/>
  <c r="E3133" i="1"/>
  <c r="F3133" i="1" s="1"/>
  <c r="E3132" i="1"/>
  <c r="F3132" i="1" s="1"/>
  <c r="E3131" i="1"/>
  <c r="F3131" i="1" s="1"/>
  <c r="E3130" i="1"/>
  <c r="F3130" i="1" s="1"/>
  <c r="E3129" i="1"/>
  <c r="F3129" i="1" s="1"/>
  <c r="E3128" i="1"/>
  <c r="F3128" i="1" s="1"/>
  <c r="E3127" i="1"/>
  <c r="F3127" i="1" s="1"/>
  <c r="E3126" i="1"/>
  <c r="F3126" i="1" s="1"/>
  <c r="E3125" i="1"/>
  <c r="F3125" i="1" s="1"/>
  <c r="E3124" i="1"/>
  <c r="F3124" i="1" s="1"/>
  <c r="E3123" i="1"/>
  <c r="F3123" i="1" s="1"/>
  <c r="E3122" i="1"/>
  <c r="F3122" i="1" s="1"/>
  <c r="E3121" i="1"/>
  <c r="F3121" i="1" s="1"/>
  <c r="E3120" i="1"/>
  <c r="F3120" i="1" s="1"/>
  <c r="E3119" i="1"/>
  <c r="F3119" i="1" s="1"/>
  <c r="B3119" i="1"/>
  <c r="B3120" i="1" s="1"/>
  <c r="B3121" i="1" s="1"/>
  <c r="B3122" i="1" s="1"/>
  <c r="B3123" i="1" s="1"/>
  <c r="B3124" i="1" s="1"/>
  <c r="B3125" i="1" s="1"/>
  <c r="B3126" i="1" s="1"/>
  <c r="B3127" i="1" s="1"/>
  <c r="B3128" i="1" s="1"/>
  <c r="B3129" i="1" s="1"/>
  <c r="B3130" i="1" s="1"/>
  <c r="B3131" i="1" s="1"/>
  <c r="B3132" i="1" s="1"/>
  <c r="B3133" i="1" s="1"/>
  <c r="B3134" i="1" s="1"/>
  <c r="B3135" i="1" s="1"/>
  <c r="B3136" i="1" s="1"/>
  <c r="B3137" i="1" s="1"/>
  <c r="B3138" i="1" s="1"/>
  <c r="B3139" i="1" s="1"/>
  <c r="B3140" i="1" s="1"/>
  <c r="B3141" i="1" s="1"/>
  <c r="B3142" i="1" s="1"/>
  <c r="B3143" i="1" s="1"/>
  <c r="B3144" i="1" s="1"/>
  <c r="B3145" i="1" s="1"/>
  <c r="B3146" i="1" s="1"/>
  <c r="B3147" i="1" s="1"/>
  <c r="B3148" i="1" s="1"/>
  <c r="B3149" i="1" s="1"/>
  <c r="B3150" i="1" s="1"/>
  <c r="B3151" i="1" s="1"/>
  <c r="B3152" i="1" s="1"/>
  <c r="B3153" i="1" s="1"/>
  <c r="B3154" i="1" s="1"/>
  <c r="E3118" i="1"/>
  <c r="F3118" i="1" s="1"/>
  <c r="E2796" i="1"/>
  <c r="F2796" i="1" s="1"/>
  <c r="E2795" i="1"/>
  <c r="F2795" i="1" s="1"/>
  <c r="E2794" i="1"/>
  <c r="F2794" i="1" s="1"/>
  <c r="E2793" i="1"/>
  <c r="F2793" i="1" s="1"/>
  <c r="E2792" i="1"/>
  <c r="F2792" i="1" s="1"/>
  <c r="E2791" i="1"/>
  <c r="F2791" i="1" s="1"/>
  <c r="E2790" i="1"/>
  <c r="F2790" i="1" s="1"/>
  <c r="E2789" i="1"/>
  <c r="F2789" i="1" s="1"/>
  <c r="E2788" i="1"/>
  <c r="F2788" i="1" s="1"/>
  <c r="E2787" i="1"/>
  <c r="F2787" i="1" s="1"/>
  <c r="E2786" i="1"/>
  <c r="F2786" i="1" s="1"/>
  <c r="E2785" i="1"/>
  <c r="F2785" i="1" s="1"/>
  <c r="E2784" i="1"/>
  <c r="F2784" i="1" s="1"/>
  <c r="E2783" i="1"/>
  <c r="F2783" i="1" s="1"/>
  <c r="E2782" i="1"/>
  <c r="F2782" i="1" s="1"/>
  <c r="E2781" i="1"/>
  <c r="F2781" i="1" s="1"/>
  <c r="E2780" i="1"/>
  <c r="F2780" i="1" s="1"/>
  <c r="E2779" i="1"/>
  <c r="F2779" i="1" s="1"/>
  <c r="E2778" i="1"/>
  <c r="F2778" i="1" s="1"/>
  <c r="E2777" i="1"/>
  <c r="F2777" i="1" s="1"/>
  <c r="B2777" i="1"/>
  <c r="B2778" i="1" s="1"/>
  <c r="B2779" i="1" s="1"/>
  <c r="B2780" i="1" s="1"/>
  <c r="B2781" i="1" s="1"/>
  <c r="B2782" i="1" s="1"/>
  <c r="B2783" i="1" s="1"/>
  <c r="B2784"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E2776" i="1"/>
  <c r="F2776" i="1" s="1"/>
  <c r="E2834" i="1"/>
  <c r="F2834" i="1" s="1"/>
  <c r="E2833" i="1"/>
  <c r="F2833" i="1" s="1"/>
  <c r="E2832" i="1"/>
  <c r="F2832" i="1" s="1"/>
  <c r="E2831" i="1"/>
  <c r="F2831" i="1" s="1"/>
  <c r="E2830" i="1"/>
  <c r="F2830" i="1" s="1"/>
  <c r="E2829" i="1"/>
  <c r="F2829" i="1" s="1"/>
  <c r="E2828" i="1"/>
  <c r="F2828" i="1" s="1"/>
  <c r="E2827" i="1"/>
  <c r="F2827" i="1" s="1"/>
  <c r="E2826" i="1"/>
  <c r="F2826" i="1" s="1"/>
  <c r="E2825" i="1"/>
  <c r="F2825" i="1" s="1"/>
  <c r="E2824" i="1"/>
  <c r="F2824" i="1" s="1"/>
  <c r="E2823" i="1"/>
  <c r="F2823" i="1" s="1"/>
  <c r="E2822" i="1"/>
  <c r="F2822" i="1" s="1"/>
  <c r="E2821" i="1"/>
  <c r="F2821" i="1" s="1"/>
  <c r="E2820" i="1"/>
  <c r="F2820" i="1" s="1"/>
  <c r="E2819" i="1"/>
  <c r="F2819" i="1" s="1"/>
  <c r="E2818" i="1"/>
  <c r="F2818" i="1" s="1"/>
  <c r="E2817" i="1"/>
  <c r="F2817" i="1" s="1"/>
  <c r="E2816" i="1"/>
  <c r="F2816" i="1" s="1"/>
  <c r="E2815" i="1"/>
  <c r="F2815" i="1" s="1"/>
  <c r="B2815" i="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4" i="1" s="1"/>
  <c r="B2845" i="1" s="1"/>
  <c r="B2846" i="1" s="1"/>
  <c r="B2847" i="1" s="1"/>
  <c r="B2848" i="1" s="1"/>
  <c r="B2849" i="1" s="1"/>
  <c r="B2850" i="1" s="1"/>
  <c r="E2814" i="1"/>
  <c r="F2814" i="1" s="1"/>
  <c r="E2872" i="1"/>
  <c r="F2872" i="1" s="1"/>
  <c r="E2871" i="1"/>
  <c r="F2871" i="1" s="1"/>
  <c r="E2870" i="1"/>
  <c r="F2870" i="1" s="1"/>
  <c r="E2869" i="1"/>
  <c r="F2869" i="1" s="1"/>
  <c r="E2868" i="1"/>
  <c r="F2868" i="1" s="1"/>
  <c r="E2867" i="1"/>
  <c r="F2867" i="1" s="1"/>
  <c r="E2866" i="1"/>
  <c r="F2866" i="1" s="1"/>
  <c r="E2865" i="1"/>
  <c r="F2865" i="1" s="1"/>
  <c r="E2864" i="1"/>
  <c r="F2864" i="1" s="1"/>
  <c r="E2863" i="1"/>
  <c r="F2863" i="1" s="1"/>
  <c r="E2862" i="1"/>
  <c r="F2862" i="1" s="1"/>
  <c r="E2861" i="1"/>
  <c r="F2861" i="1" s="1"/>
  <c r="E2860" i="1"/>
  <c r="F2860" i="1" s="1"/>
  <c r="E2859" i="1"/>
  <c r="F2859" i="1" s="1"/>
  <c r="E2858" i="1"/>
  <c r="F2858" i="1" s="1"/>
  <c r="E2857" i="1"/>
  <c r="F2857" i="1" s="1"/>
  <c r="E2856" i="1"/>
  <c r="F2856" i="1" s="1"/>
  <c r="E2855" i="1"/>
  <c r="F2855" i="1" s="1"/>
  <c r="E2854" i="1"/>
  <c r="F2854" i="1" s="1"/>
  <c r="E2853" i="1"/>
  <c r="F2853" i="1" s="1"/>
  <c r="B2853" i="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B2875" i="1" s="1"/>
  <c r="B2876" i="1" s="1"/>
  <c r="B2877" i="1" s="1"/>
  <c r="B2878" i="1" s="1"/>
  <c r="B2879" i="1" s="1"/>
  <c r="B2880" i="1" s="1"/>
  <c r="B2881" i="1" s="1"/>
  <c r="B2882" i="1" s="1"/>
  <c r="B2883" i="1" s="1"/>
  <c r="B2884" i="1" s="1"/>
  <c r="B2885" i="1" s="1"/>
  <c r="B2886" i="1" s="1"/>
  <c r="B2887" i="1" s="1"/>
  <c r="B2888" i="1" s="1"/>
  <c r="E2852" i="1"/>
  <c r="F2852" i="1" s="1"/>
  <c r="E2644" i="1"/>
  <c r="F2644" i="1" s="1"/>
  <c r="E2643" i="1"/>
  <c r="F2643" i="1" s="1"/>
  <c r="E2642" i="1"/>
  <c r="F2642" i="1" s="1"/>
  <c r="E2641" i="1"/>
  <c r="F2641" i="1" s="1"/>
  <c r="E2640" i="1"/>
  <c r="F2640" i="1" s="1"/>
  <c r="E2639" i="1"/>
  <c r="F2639" i="1" s="1"/>
  <c r="E2638" i="1"/>
  <c r="F2638" i="1" s="1"/>
  <c r="E2637" i="1"/>
  <c r="F2637" i="1" s="1"/>
  <c r="E2636" i="1"/>
  <c r="F2636" i="1" s="1"/>
  <c r="E2635" i="1"/>
  <c r="F2635" i="1" s="1"/>
  <c r="E2634" i="1"/>
  <c r="F2634" i="1" s="1"/>
  <c r="E2633" i="1"/>
  <c r="F2633" i="1" s="1"/>
  <c r="E2632" i="1"/>
  <c r="F2632" i="1" s="1"/>
  <c r="E2631" i="1"/>
  <c r="F2631" i="1" s="1"/>
  <c r="E2630" i="1"/>
  <c r="F2630" i="1" s="1"/>
  <c r="E2629" i="1"/>
  <c r="F2629" i="1" s="1"/>
  <c r="E2628" i="1"/>
  <c r="F2628" i="1" s="1"/>
  <c r="E2627" i="1"/>
  <c r="F2627" i="1" s="1"/>
  <c r="E2626" i="1"/>
  <c r="F2626" i="1" s="1"/>
  <c r="E2625" i="1"/>
  <c r="F2625" i="1" s="1"/>
  <c r="B2625" i="1"/>
  <c r="B2626"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E2624" i="1"/>
  <c r="F2624" i="1" s="1"/>
  <c r="E2682" i="1"/>
  <c r="F2682" i="1" s="1"/>
  <c r="E2681" i="1"/>
  <c r="F2681" i="1" s="1"/>
  <c r="E2680" i="1"/>
  <c r="F2680" i="1" s="1"/>
  <c r="E2679" i="1"/>
  <c r="F2679" i="1" s="1"/>
  <c r="E2678" i="1"/>
  <c r="F2678" i="1" s="1"/>
  <c r="E2677" i="1"/>
  <c r="F2677" i="1" s="1"/>
  <c r="E2676" i="1"/>
  <c r="F2676" i="1" s="1"/>
  <c r="E2675" i="1"/>
  <c r="F2675" i="1" s="1"/>
  <c r="E2674" i="1"/>
  <c r="F2674" i="1" s="1"/>
  <c r="E2673" i="1"/>
  <c r="F2673" i="1" s="1"/>
  <c r="E2672" i="1"/>
  <c r="F2672" i="1" s="1"/>
  <c r="E2671" i="1"/>
  <c r="F2671" i="1" s="1"/>
  <c r="E2670" i="1"/>
  <c r="F2670" i="1" s="1"/>
  <c r="E2669" i="1"/>
  <c r="F2669" i="1" s="1"/>
  <c r="E2668" i="1"/>
  <c r="F2668" i="1" s="1"/>
  <c r="E2667" i="1"/>
  <c r="F2667" i="1" s="1"/>
  <c r="E2666" i="1"/>
  <c r="F2666" i="1" s="1"/>
  <c r="E2665" i="1"/>
  <c r="F2665" i="1" s="1"/>
  <c r="E2664" i="1"/>
  <c r="F2664" i="1" s="1"/>
  <c r="E2663" i="1"/>
  <c r="F2663" i="1" s="1"/>
  <c r="B2663" i="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4" i="1" s="1"/>
  <c r="B2695" i="1" s="1"/>
  <c r="B2696" i="1" s="1"/>
  <c r="B2697" i="1" s="1"/>
  <c r="B2698" i="1" s="1"/>
  <c r="E2662" i="1"/>
  <c r="F2662" i="1" s="1"/>
  <c r="E2720" i="1"/>
  <c r="F2720" i="1" s="1"/>
  <c r="E2719" i="1"/>
  <c r="F2719" i="1" s="1"/>
  <c r="E2718" i="1"/>
  <c r="F2718" i="1" s="1"/>
  <c r="E2717" i="1"/>
  <c r="F2717" i="1" s="1"/>
  <c r="E2716" i="1"/>
  <c r="F2716" i="1" s="1"/>
  <c r="E2715" i="1"/>
  <c r="F2715" i="1" s="1"/>
  <c r="E2714" i="1"/>
  <c r="F2714" i="1" s="1"/>
  <c r="E2713" i="1"/>
  <c r="F2713" i="1" s="1"/>
  <c r="E2712" i="1"/>
  <c r="F2712" i="1" s="1"/>
  <c r="E2711" i="1"/>
  <c r="F2711" i="1" s="1"/>
  <c r="E2710" i="1"/>
  <c r="F2710" i="1" s="1"/>
  <c r="E2709" i="1"/>
  <c r="F2709" i="1" s="1"/>
  <c r="E2708" i="1"/>
  <c r="F2708" i="1" s="1"/>
  <c r="E2707" i="1"/>
  <c r="F2707" i="1" s="1"/>
  <c r="E2706" i="1"/>
  <c r="F2706" i="1" s="1"/>
  <c r="E2705" i="1"/>
  <c r="F2705" i="1" s="1"/>
  <c r="E2704" i="1"/>
  <c r="F2704" i="1" s="1"/>
  <c r="E2703" i="1"/>
  <c r="F2703" i="1" s="1"/>
  <c r="E2702" i="1"/>
  <c r="F2702" i="1" s="1"/>
  <c r="E2701" i="1"/>
  <c r="F2701" i="1" s="1"/>
  <c r="B2701" i="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E2700" i="1"/>
  <c r="F2700" i="1" s="1"/>
  <c r="E2530" i="1"/>
  <c r="F2530" i="1" s="1"/>
  <c r="E2529" i="1"/>
  <c r="F2529" i="1" s="1"/>
  <c r="E2528" i="1"/>
  <c r="F2528" i="1" s="1"/>
  <c r="E2527" i="1"/>
  <c r="F2527" i="1" s="1"/>
  <c r="E2526" i="1"/>
  <c r="F2526" i="1" s="1"/>
  <c r="E2525" i="1"/>
  <c r="F2525" i="1" s="1"/>
  <c r="E2524" i="1"/>
  <c r="F2524" i="1" s="1"/>
  <c r="E2523" i="1"/>
  <c r="F2523" i="1" s="1"/>
  <c r="E2522" i="1"/>
  <c r="F2522" i="1" s="1"/>
  <c r="E2521" i="1"/>
  <c r="F2521" i="1" s="1"/>
  <c r="E2520" i="1"/>
  <c r="F2520" i="1" s="1"/>
  <c r="E2519" i="1"/>
  <c r="F2519" i="1" s="1"/>
  <c r="E2518" i="1"/>
  <c r="F2518" i="1" s="1"/>
  <c r="E2517" i="1"/>
  <c r="F2517" i="1" s="1"/>
  <c r="E2516" i="1"/>
  <c r="F2516" i="1" s="1"/>
  <c r="E2515" i="1"/>
  <c r="F2515" i="1" s="1"/>
  <c r="E2514" i="1"/>
  <c r="F2514" i="1" s="1"/>
  <c r="E2513" i="1"/>
  <c r="F2513" i="1" s="1"/>
  <c r="E2512" i="1"/>
  <c r="F2512" i="1" s="1"/>
  <c r="E2511" i="1"/>
  <c r="F2511" i="1" s="1"/>
  <c r="B2511" i="1"/>
  <c r="B2512" i="1" s="1"/>
  <c r="B2513" i="1" s="1"/>
  <c r="B2514" i="1" s="1"/>
  <c r="B2515" i="1" s="1"/>
  <c r="B2516" i="1" s="1"/>
  <c r="B2517" i="1" s="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4" i="1" s="1"/>
  <c r="B2545" i="1" s="1"/>
  <c r="B2546" i="1" s="1"/>
  <c r="H2510" i="1"/>
  <c r="H2511" i="1" s="1"/>
  <c r="H2512" i="1" s="1"/>
  <c r="H2513" i="1" s="1"/>
  <c r="H2514" i="1" s="1"/>
  <c r="H2515" i="1" s="1"/>
  <c r="H2516" i="1" s="1"/>
  <c r="H2517" i="1" s="1"/>
  <c r="H2518" i="1" s="1"/>
  <c r="H2519" i="1" s="1"/>
  <c r="H2520" i="1" s="1"/>
  <c r="H2521" i="1" s="1"/>
  <c r="H2522" i="1" s="1"/>
  <c r="H2523" i="1" s="1"/>
  <c r="H2524" i="1" s="1"/>
  <c r="H2525" i="1" s="1"/>
  <c r="H2526" i="1" s="1"/>
  <c r="H2527" i="1" s="1"/>
  <c r="H2528" i="1" s="1"/>
  <c r="H2529" i="1" s="1"/>
  <c r="H2530" i="1" s="1"/>
  <c r="H2531" i="1" s="1"/>
  <c r="E2510" i="1"/>
  <c r="F2510" i="1" s="1"/>
  <c r="E2548" i="1"/>
  <c r="F2548" i="1" s="1"/>
  <c r="H2548" i="1"/>
  <c r="H2549" i="1" s="1"/>
  <c r="H2550" i="1" s="1"/>
  <c r="B2549" i="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E2549" i="1"/>
  <c r="F2549" i="1" s="1"/>
  <c r="E2550" i="1"/>
  <c r="F2550" i="1" s="1"/>
  <c r="E2551" i="1"/>
  <c r="F2551" i="1" s="1"/>
  <c r="E2552" i="1"/>
  <c r="F2552" i="1" s="1"/>
  <c r="E2553" i="1"/>
  <c r="F2553" i="1" s="1"/>
  <c r="E2554" i="1"/>
  <c r="F2554" i="1" s="1"/>
  <c r="E2555" i="1"/>
  <c r="F2555" i="1" s="1"/>
  <c r="E2556" i="1"/>
  <c r="F2556" i="1" s="1"/>
  <c r="E2557" i="1"/>
  <c r="F2557" i="1" s="1"/>
  <c r="E2558" i="1"/>
  <c r="F2558" i="1" s="1"/>
  <c r="E2559" i="1"/>
  <c r="F2559" i="1" s="1"/>
  <c r="E2560" i="1"/>
  <c r="F2560" i="1" s="1"/>
  <c r="E2561" i="1"/>
  <c r="F2561" i="1" s="1"/>
  <c r="E2562" i="1"/>
  <c r="F2562" i="1" s="1"/>
  <c r="E2563" i="1"/>
  <c r="F2563" i="1" s="1"/>
  <c r="E2564" i="1"/>
  <c r="F2564" i="1" s="1"/>
  <c r="E2565" i="1"/>
  <c r="F2565" i="1" s="1"/>
  <c r="E2566" i="1"/>
  <c r="F2566" i="1" s="1"/>
  <c r="E2567" i="1"/>
  <c r="F2567" i="1" s="1"/>
  <c r="E2568" i="1"/>
  <c r="F2568" i="1" s="1"/>
  <c r="E2492" i="1"/>
  <c r="F2492" i="1" s="1"/>
  <c r="E2491" i="1"/>
  <c r="F2491" i="1" s="1"/>
  <c r="E2490" i="1"/>
  <c r="F2490" i="1" s="1"/>
  <c r="E2489" i="1"/>
  <c r="F2489" i="1" s="1"/>
  <c r="E2488" i="1"/>
  <c r="F2488" i="1" s="1"/>
  <c r="E2487" i="1"/>
  <c r="F2487" i="1" s="1"/>
  <c r="E2486" i="1"/>
  <c r="F2486" i="1" s="1"/>
  <c r="E2485" i="1"/>
  <c r="F2485" i="1" s="1"/>
  <c r="E2484" i="1"/>
  <c r="F2484" i="1" s="1"/>
  <c r="E2483" i="1"/>
  <c r="F2483" i="1" s="1"/>
  <c r="E2482" i="1"/>
  <c r="F2482" i="1" s="1"/>
  <c r="E2481" i="1"/>
  <c r="F2481" i="1" s="1"/>
  <c r="E2480" i="1"/>
  <c r="F2480" i="1" s="1"/>
  <c r="E2479" i="1"/>
  <c r="F2479" i="1" s="1"/>
  <c r="E2478" i="1"/>
  <c r="F2478" i="1" s="1"/>
  <c r="E2477" i="1"/>
  <c r="F2477" i="1" s="1"/>
  <c r="E2476" i="1"/>
  <c r="F2476" i="1" s="1"/>
  <c r="E2475" i="1"/>
  <c r="F2475" i="1" s="1"/>
  <c r="E2474" i="1"/>
  <c r="F2474" i="1" s="1"/>
  <c r="E2473" i="1"/>
  <c r="F2473" i="1" s="1"/>
  <c r="B2473" i="1"/>
  <c r="B2474" i="1" s="1"/>
  <c r="B2475" i="1" s="1"/>
  <c r="B2476" i="1" s="1"/>
  <c r="B2477" i="1" s="1"/>
  <c r="B2478" i="1" s="1"/>
  <c r="B2479" i="1" s="1"/>
  <c r="B2480" i="1" s="1"/>
  <c r="B2481" i="1" s="1"/>
  <c r="B2482" i="1" s="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8" i="1" s="1"/>
  <c r="H2472" i="1"/>
  <c r="H2473" i="1" s="1"/>
  <c r="H2474" i="1" s="1"/>
  <c r="H2475" i="1" s="1"/>
  <c r="H2476" i="1" s="1"/>
  <c r="H2477" i="1" s="1"/>
  <c r="H2478" i="1" s="1"/>
  <c r="H2479" i="1" s="1"/>
  <c r="H2480" i="1" s="1"/>
  <c r="E2472" i="1"/>
  <c r="F2472" i="1" s="1"/>
  <c r="E2302" i="1"/>
  <c r="F2302" i="1" s="1"/>
  <c r="E2301" i="1"/>
  <c r="F2301" i="1" s="1"/>
  <c r="E2300" i="1"/>
  <c r="F2300" i="1" s="1"/>
  <c r="E2299" i="1"/>
  <c r="F2299" i="1" s="1"/>
  <c r="E2298" i="1"/>
  <c r="F2298" i="1" s="1"/>
  <c r="E2297" i="1"/>
  <c r="F2297" i="1" s="1"/>
  <c r="E2296" i="1"/>
  <c r="F2296" i="1" s="1"/>
  <c r="E2295" i="1"/>
  <c r="F2295" i="1" s="1"/>
  <c r="E2294" i="1"/>
  <c r="F2294" i="1" s="1"/>
  <c r="E2293" i="1"/>
  <c r="F2293" i="1" s="1"/>
  <c r="E2292" i="1"/>
  <c r="F2292" i="1" s="1"/>
  <c r="E2291" i="1"/>
  <c r="F2291" i="1" s="1"/>
  <c r="E2290" i="1"/>
  <c r="F2290" i="1" s="1"/>
  <c r="E2289" i="1"/>
  <c r="F2289" i="1" s="1"/>
  <c r="E2288" i="1"/>
  <c r="F2288" i="1" s="1"/>
  <c r="E2287" i="1"/>
  <c r="F2287" i="1" s="1"/>
  <c r="E2286" i="1"/>
  <c r="F2286" i="1" s="1"/>
  <c r="E2285" i="1"/>
  <c r="F2285" i="1" s="1"/>
  <c r="E2284" i="1"/>
  <c r="F2284" i="1" s="1"/>
  <c r="E2283" i="1"/>
  <c r="F2283" i="1" s="1"/>
  <c r="B2283" i="1"/>
  <c r="B2284" i="1" s="1"/>
  <c r="B2285" i="1" s="1"/>
  <c r="B2286" i="1" s="1"/>
  <c r="B2287" i="1" s="1"/>
  <c r="B2288" i="1" s="1"/>
  <c r="B2289" i="1" s="1"/>
  <c r="B2290" i="1" s="1"/>
  <c r="B2291" i="1" s="1"/>
  <c r="B2292" i="1" s="1"/>
  <c r="B2293" i="1" s="1"/>
  <c r="B2294" i="1" s="1"/>
  <c r="B2295" i="1" s="1"/>
  <c r="B2296" i="1" s="1"/>
  <c r="B2297" i="1" s="1"/>
  <c r="B2298" i="1" s="1"/>
  <c r="B2299" i="1" s="1"/>
  <c r="B2300" i="1" s="1"/>
  <c r="B2301" i="1" s="1"/>
  <c r="B2302" i="1" s="1"/>
  <c r="B2303" i="1" s="1"/>
  <c r="B2304" i="1" s="1"/>
  <c r="B2305" i="1" s="1"/>
  <c r="B2306" i="1" s="1"/>
  <c r="B2307" i="1" s="1"/>
  <c r="B2308" i="1" s="1"/>
  <c r="B2309" i="1" s="1"/>
  <c r="B2310" i="1" s="1"/>
  <c r="B2311" i="1" s="1"/>
  <c r="B2312" i="1" s="1"/>
  <c r="B2313" i="1" s="1"/>
  <c r="B2314" i="1" s="1"/>
  <c r="B2315" i="1" s="1"/>
  <c r="B2316" i="1" s="1"/>
  <c r="B2317" i="1" s="1"/>
  <c r="B2318" i="1" s="1"/>
  <c r="E2282" i="1"/>
  <c r="F2282" i="1" s="1"/>
  <c r="E2264" i="1"/>
  <c r="F2264" i="1" s="1"/>
  <c r="E2263" i="1"/>
  <c r="F2263" i="1" s="1"/>
  <c r="E2262" i="1"/>
  <c r="F2262" i="1" s="1"/>
  <c r="E2261" i="1"/>
  <c r="F2261" i="1" s="1"/>
  <c r="E2260" i="1"/>
  <c r="F2260" i="1" s="1"/>
  <c r="E2259" i="1"/>
  <c r="F2259" i="1" s="1"/>
  <c r="E2258" i="1"/>
  <c r="F2258" i="1" s="1"/>
  <c r="E2257" i="1"/>
  <c r="F2257" i="1" s="1"/>
  <c r="E2256" i="1"/>
  <c r="F2256" i="1" s="1"/>
  <c r="E2255" i="1"/>
  <c r="F2255" i="1" s="1"/>
  <c r="E2254" i="1"/>
  <c r="F2254" i="1" s="1"/>
  <c r="E2253" i="1"/>
  <c r="F2253" i="1" s="1"/>
  <c r="E2252" i="1"/>
  <c r="F2252" i="1" s="1"/>
  <c r="E2251" i="1"/>
  <c r="F2251" i="1" s="1"/>
  <c r="E2250" i="1"/>
  <c r="F2250" i="1" s="1"/>
  <c r="E2249" i="1"/>
  <c r="F2249" i="1" s="1"/>
  <c r="E2248" i="1"/>
  <c r="F2248" i="1" s="1"/>
  <c r="E2247" i="1"/>
  <c r="F2247" i="1" s="1"/>
  <c r="E2246" i="1"/>
  <c r="F2246" i="1" s="1"/>
  <c r="E2245" i="1"/>
  <c r="F2245" i="1" s="1"/>
  <c r="B2245" i="1"/>
  <c r="B2246" i="1" s="1"/>
  <c r="B2247" i="1" s="1"/>
  <c r="B2248" i="1" s="1"/>
  <c r="B2249" i="1" s="1"/>
  <c r="B2250" i="1" s="1"/>
  <c r="B2251" i="1" s="1"/>
  <c r="B2252" i="1" s="1"/>
  <c r="B2253" i="1" s="1"/>
  <c r="B2254" i="1" s="1"/>
  <c r="B2255" i="1" s="1"/>
  <c r="B2256" i="1" s="1"/>
  <c r="B2257" i="1" s="1"/>
  <c r="B2258" i="1" s="1"/>
  <c r="B2259" i="1" s="1"/>
  <c r="B2260" i="1" s="1"/>
  <c r="B2261" i="1" s="1"/>
  <c r="B2262" i="1" s="1"/>
  <c r="B2263" i="1" s="1"/>
  <c r="B2264" i="1" s="1"/>
  <c r="B2265" i="1" s="1"/>
  <c r="B2266" i="1" s="1"/>
  <c r="B2267" i="1" s="1"/>
  <c r="B2268" i="1" s="1"/>
  <c r="B2269" i="1" s="1"/>
  <c r="B2270" i="1" s="1"/>
  <c r="B2271" i="1" s="1"/>
  <c r="B2272" i="1" s="1"/>
  <c r="B2273" i="1" s="1"/>
  <c r="B2274" i="1" s="1"/>
  <c r="B2275" i="1" s="1"/>
  <c r="B2276" i="1" s="1"/>
  <c r="B2277" i="1" s="1"/>
  <c r="B2278" i="1" s="1"/>
  <c r="B2279" i="1" s="1"/>
  <c r="B2280" i="1" s="1"/>
  <c r="E2244" i="1"/>
  <c r="F2244" i="1" s="1"/>
  <c r="E2226" i="1"/>
  <c r="F2226" i="1" s="1"/>
  <c r="E2225" i="1"/>
  <c r="F2225" i="1" s="1"/>
  <c r="E2224" i="1"/>
  <c r="F2224" i="1" s="1"/>
  <c r="E2223" i="1"/>
  <c r="F2223" i="1" s="1"/>
  <c r="E2222" i="1"/>
  <c r="F2222" i="1" s="1"/>
  <c r="E2221" i="1"/>
  <c r="F2221" i="1" s="1"/>
  <c r="E2220" i="1"/>
  <c r="F2220" i="1" s="1"/>
  <c r="E2219" i="1"/>
  <c r="F2219" i="1" s="1"/>
  <c r="E2218" i="1"/>
  <c r="F2218" i="1" s="1"/>
  <c r="E2217" i="1"/>
  <c r="F2217" i="1" s="1"/>
  <c r="E2216" i="1"/>
  <c r="F2216" i="1" s="1"/>
  <c r="E2215" i="1"/>
  <c r="F2215" i="1" s="1"/>
  <c r="E2214" i="1"/>
  <c r="F2214" i="1" s="1"/>
  <c r="E2213" i="1"/>
  <c r="F2213" i="1" s="1"/>
  <c r="E2212" i="1"/>
  <c r="F2212" i="1" s="1"/>
  <c r="E2211" i="1"/>
  <c r="F2211" i="1" s="1"/>
  <c r="E2210" i="1"/>
  <c r="F2210" i="1" s="1"/>
  <c r="E2209" i="1"/>
  <c r="F2209" i="1" s="1"/>
  <c r="E2208" i="1"/>
  <c r="F2208" i="1" s="1"/>
  <c r="E2207" i="1"/>
  <c r="F2207" i="1" s="1"/>
  <c r="B2207" i="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8" i="1" s="1"/>
  <c r="B2229" i="1" s="1"/>
  <c r="B2230" i="1" s="1"/>
  <c r="B2231" i="1" s="1"/>
  <c r="B2232" i="1" s="1"/>
  <c r="B2233" i="1" s="1"/>
  <c r="B2234" i="1" s="1"/>
  <c r="B2235" i="1" s="1"/>
  <c r="B2236" i="1" s="1"/>
  <c r="B2237" i="1" s="1"/>
  <c r="B2238" i="1" s="1"/>
  <c r="B2239" i="1" s="1"/>
  <c r="B2240" i="1" s="1"/>
  <c r="B2241" i="1" s="1"/>
  <c r="B2242" i="1" s="1"/>
  <c r="E2206" i="1"/>
  <c r="F2206" i="1" s="1"/>
  <c r="E2320" i="1"/>
  <c r="F2320" i="1" s="1"/>
  <c r="H2320" i="1"/>
  <c r="H2321" i="1" s="1"/>
  <c r="H2322" i="1" s="1"/>
  <c r="H2323" i="1" s="1"/>
  <c r="H2324" i="1" s="1"/>
  <c r="B2321" i="1"/>
  <c r="B2322" i="1" s="1"/>
  <c r="B2323" i="1" s="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2" i="1" s="1"/>
  <c r="B2353" i="1" s="1"/>
  <c r="B2354" i="1" s="1"/>
  <c r="B2355" i="1" s="1"/>
  <c r="B2356" i="1" s="1"/>
  <c r="E2321" i="1"/>
  <c r="F2321" i="1" s="1"/>
  <c r="E2322" i="1"/>
  <c r="F2322" i="1" s="1"/>
  <c r="E2323" i="1"/>
  <c r="F2323" i="1" s="1"/>
  <c r="E2324" i="1"/>
  <c r="F2324" i="1" s="1"/>
  <c r="E2325" i="1"/>
  <c r="F2325" i="1" s="1"/>
  <c r="E2326" i="1"/>
  <c r="F2326" i="1" s="1"/>
  <c r="E2327" i="1"/>
  <c r="F2327" i="1" s="1"/>
  <c r="E2328" i="1"/>
  <c r="F2328" i="1" s="1"/>
  <c r="E2329" i="1"/>
  <c r="F2329" i="1" s="1"/>
  <c r="E2330" i="1"/>
  <c r="F2330" i="1" s="1"/>
  <c r="E2331" i="1"/>
  <c r="F2331" i="1" s="1"/>
  <c r="E2332" i="1"/>
  <c r="F2332" i="1" s="1"/>
  <c r="E2333" i="1"/>
  <c r="F2333" i="1" s="1"/>
  <c r="E2334" i="1"/>
  <c r="F2334" i="1" s="1"/>
  <c r="E2335" i="1"/>
  <c r="F2335" i="1" s="1"/>
  <c r="E2336" i="1"/>
  <c r="F2336" i="1" s="1"/>
  <c r="E2337" i="1"/>
  <c r="F2337" i="1" s="1"/>
  <c r="E2338" i="1"/>
  <c r="F2338" i="1" s="1"/>
  <c r="E2339" i="1"/>
  <c r="F2339" i="1" s="1"/>
  <c r="E2340" i="1"/>
  <c r="F2340" i="1" s="1"/>
  <c r="E2036" i="1"/>
  <c r="F2036" i="1" s="1"/>
  <c r="E2035" i="1"/>
  <c r="F2035" i="1" s="1"/>
  <c r="E2034" i="1"/>
  <c r="F2034" i="1" s="1"/>
  <c r="E2033" i="1"/>
  <c r="F2033" i="1" s="1"/>
  <c r="E2032" i="1"/>
  <c r="F2032" i="1" s="1"/>
  <c r="E2031" i="1"/>
  <c r="F2031" i="1" s="1"/>
  <c r="E2030" i="1"/>
  <c r="F2030" i="1" s="1"/>
  <c r="E2029" i="1"/>
  <c r="F2029" i="1" s="1"/>
  <c r="E2028" i="1"/>
  <c r="F2028" i="1" s="1"/>
  <c r="E2027" i="1"/>
  <c r="F2027" i="1" s="1"/>
  <c r="E2026" i="1"/>
  <c r="F2026" i="1" s="1"/>
  <c r="E2025" i="1"/>
  <c r="F2025" i="1" s="1"/>
  <c r="E2024" i="1"/>
  <c r="F2024" i="1" s="1"/>
  <c r="E2023" i="1"/>
  <c r="F2023" i="1" s="1"/>
  <c r="E2022" i="1"/>
  <c r="F2022" i="1" s="1"/>
  <c r="E2021" i="1"/>
  <c r="F2021" i="1" s="1"/>
  <c r="E2020" i="1"/>
  <c r="F2020" i="1" s="1"/>
  <c r="E2019" i="1"/>
  <c r="F2019" i="1" s="1"/>
  <c r="E2018" i="1"/>
  <c r="F2018" i="1" s="1"/>
  <c r="E2017" i="1"/>
  <c r="F2017" i="1" s="1"/>
  <c r="B2017" i="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E2016" i="1"/>
  <c r="F2016" i="1" s="1"/>
  <c r="E1998" i="1"/>
  <c r="F1998" i="1" s="1"/>
  <c r="E1997" i="1"/>
  <c r="F1997" i="1" s="1"/>
  <c r="E1996" i="1"/>
  <c r="F1996" i="1" s="1"/>
  <c r="E1995" i="1"/>
  <c r="F1995" i="1" s="1"/>
  <c r="E1994" i="1"/>
  <c r="F1994" i="1" s="1"/>
  <c r="E1993" i="1"/>
  <c r="F1993" i="1" s="1"/>
  <c r="E1992" i="1"/>
  <c r="F1992" i="1" s="1"/>
  <c r="E1991" i="1"/>
  <c r="F1991" i="1" s="1"/>
  <c r="E1990" i="1"/>
  <c r="F1990" i="1" s="1"/>
  <c r="E1989" i="1"/>
  <c r="F1989" i="1" s="1"/>
  <c r="E1988" i="1"/>
  <c r="F1988" i="1" s="1"/>
  <c r="E1987" i="1"/>
  <c r="F1987" i="1" s="1"/>
  <c r="E1986" i="1"/>
  <c r="F1986" i="1" s="1"/>
  <c r="E1985" i="1"/>
  <c r="F1985" i="1" s="1"/>
  <c r="E1984" i="1"/>
  <c r="F1984" i="1" s="1"/>
  <c r="E1983" i="1"/>
  <c r="F1983" i="1" s="1"/>
  <c r="E1982" i="1"/>
  <c r="F1982" i="1" s="1"/>
  <c r="E1981" i="1"/>
  <c r="F1981" i="1" s="1"/>
  <c r="E1980" i="1"/>
  <c r="F1980" i="1" s="1"/>
  <c r="E1979" i="1"/>
  <c r="F1979" i="1" s="1"/>
  <c r="B1979" i="1"/>
  <c r="B1980" i="1" s="1"/>
  <c r="B1981" i="1" s="1"/>
  <c r="B1982" i="1" s="1"/>
  <c r="B1983" i="1" s="1"/>
  <c r="B1984" i="1" s="1"/>
  <c r="B1985" i="1" s="1"/>
  <c r="B1986" i="1" s="1"/>
  <c r="B1987" i="1" s="1"/>
  <c r="B1988" i="1" s="1"/>
  <c r="B1989" i="1" s="1"/>
  <c r="B1990"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E1978" i="1"/>
  <c r="F1978" i="1" s="1"/>
  <c r="E1960" i="1"/>
  <c r="F1960" i="1" s="1"/>
  <c r="E1959" i="1"/>
  <c r="F1959" i="1" s="1"/>
  <c r="E1958" i="1"/>
  <c r="F1958" i="1" s="1"/>
  <c r="E1957" i="1"/>
  <c r="F1957" i="1" s="1"/>
  <c r="E1956" i="1"/>
  <c r="F1956" i="1" s="1"/>
  <c r="E1955" i="1"/>
  <c r="F1955" i="1" s="1"/>
  <c r="E1954" i="1"/>
  <c r="F1954" i="1" s="1"/>
  <c r="E1953" i="1"/>
  <c r="F1953" i="1" s="1"/>
  <c r="E1952" i="1"/>
  <c r="F1952" i="1" s="1"/>
  <c r="E1951" i="1"/>
  <c r="F1951" i="1" s="1"/>
  <c r="E1950" i="1"/>
  <c r="F1950" i="1" s="1"/>
  <c r="E1949" i="1"/>
  <c r="F1949" i="1" s="1"/>
  <c r="E1948" i="1"/>
  <c r="F1948" i="1" s="1"/>
  <c r="E1947" i="1"/>
  <c r="F1947" i="1" s="1"/>
  <c r="E1946" i="1"/>
  <c r="F1946" i="1" s="1"/>
  <c r="E1945" i="1"/>
  <c r="F1945" i="1" s="1"/>
  <c r="E1944" i="1"/>
  <c r="F1944" i="1" s="1"/>
  <c r="E1943" i="1"/>
  <c r="F1943" i="1" s="1"/>
  <c r="E1942" i="1"/>
  <c r="F1942" i="1" s="1"/>
  <c r="E1941" i="1"/>
  <c r="F1941" i="1" s="1"/>
  <c r="B1941" i="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2" i="1" s="1"/>
  <c r="B1963" i="1" s="1"/>
  <c r="B1964" i="1" s="1"/>
  <c r="B1965" i="1" s="1"/>
  <c r="B1966" i="1" s="1"/>
  <c r="B1967" i="1" s="1"/>
  <c r="B1968" i="1" s="1"/>
  <c r="B1969" i="1" s="1"/>
  <c r="B1970" i="1" s="1"/>
  <c r="B1971" i="1" s="1"/>
  <c r="B1972" i="1" s="1"/>
  <c r="B1973" i="1" s="1"/>
  <c r="B1974" i="1" s="1"/>
  <c r="B1975" i="1" s="1"/>
  <c r="B1976" i="1" s="1"/>
  <c r="E1940" i="1"/>
  <c r="F1940" i="1" s="1"/>
  <c r="E1884" i="1"/>
  <c r="F1884" i="1" s="1"/>
  <c r="E1883" i="1"/>
  <c r="F1883" i="1" s="1"/>
  <c r="E1882" i="1"/>
  <c r="F1882" i="1" s="1"/>
  <c r="E1881" i="1"/>
  <c r="F1881" i="1" s="1"/>
  <c r="E1880" i="1"/>
  <c r="F1880" i="1" s="1"/>
  <c r="E1879" i="1"/>
  <c r="F1879" i="1" s="1"/>
  <c r="E1878" i="1"/>
  <c r="F1878" i="1" s="1"/>
  <c r="E1877" i="1"/>
  <c r="F1877" i="1" s="1"/>
  <c r="E1876" i="1"/>
  <c r="F1876" i="1" s="1"/>
  <c r="E1875" i="1"/>
  <c r="F1875" i="1" s="1"/>
  <c r="E1874" i="1"/>
  <c r="F1874" i="1" s="1"/>
  <c r="E1873" i="1"/>
  <c r="F1873" i="1" s="1"/>
  <c r="E1872" i="1"/>
  <c r="F1872" i="1" s="1"/>
  <c r="E1871" i="1"/>
  <c r="F1871" i="1" s="1"/>
  <c r="E1870" i="1"/>
  <c r="F1870" i="1" s="1"/>
  <c r="E1869" i="1"/>
  <c r="F1869" i="1" s="1"/>
  <c r="E1868" i="1"/>
  <c r="F1868" i="1" s="1"/>
  <c r="E1867" i="1"/>
  <c r="F1867" i="1" s="1"/>
  <c r="E1866" i="1"/>
  <c r="F1866" i="1" s="1"/>
  <c r="E1865" i="1"/>
  <c r="F1865" i="1" s="1"/>
  <c r="B1865" i="1"/>
  <c r="B1866" i="1" s="1"/>
  <c r="B1867" i="1" s="1"/>
  <c r="B1868" i="1" s="1"/>
  <c r="B1869" i="1" s="1"/>
  <c r="B1870"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E1864" i="1"/>
  <c r="F1864" i="1" s="1"/>
  <c r="E1846" i="1"/>
  <c r="F1846" i="1" s="1"/>
  <c r="E1845" i="1"/>
  <c r="F1845" i="1" s="1"/>
  <c r="E1844" i="1"/>
  <c r="F1844" i="1" s="1"/>
  <c r="E1843" i="1"/>
  <c r="F1843" i="1" s="1"/>
  <c r="E1842" i="1"/>
  <c r="F1842" i="1" s="1"/>
  <c r="E1841" i="1"/>
  <c r="F1841" i="1" s="1"/>
  <c r="E1840" i="1"/>
  <c r="F1840" i="1" s="1"/>
  <c r="E1839" i="1"/>
  <c r="F1839" i="1" s="1"/>
  <c r="E1838" i="1"/>
  <c r="F1838" i="1" s="1"/>
  <c r="E1837" i="1"/>
  <c r="F1837" i="1" s="1"/>
  <c r="E1836" i="1"/>
  <c r="F1836" i="1" s="1"/>
  <c r="E1835" i="1"/>
  <c r="F1835" i="1" s="1"/>
  <c r="E1834" i="1"/>
  <c r="F1834" i="1" s="1"/>
  <c r="E1833" i="1"/>
  <c r="F1833" i="1" s="1"/>
  <c r="E1832" i="1"/>
  <c r="F1832" i="1" s="1"/>
  <c r="E1831" i="1"/>
  <c r="F1831" i="1" s="1"/>
  <c r="E1830" i="1"/>
  <c r="F1830" i="1" s="1"/>
  <c r="E1829" i="1"/>
  <c r="F1829" i="1" s="1"/>
  <c r="E1828" i="1"/>
  <c r="F1828" i="1" s="1"/>
  <c r="E1827" i="1"/>
  <c r="F1827" i="1" s="1"/>
  <c r="B1827" i="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E1826" i="1"/>
  <c r="F1826" i="1" s="1"/>
  <c r="E1808" i="1"/>
  <c r="F1808" i="1" s="1"/>
  <c r="E1807" i="1"/>
  <c r="F1807" i="1" s="1"/>
  <c r="E1806" i="1"/>
  <c r="F1806" i="1" s="1"/>
  <c r="E1805" i="1"/>
  <c r="F1805" i="1" s="1"/>
  <c r="E1804" i="1"/>
  <c r="F1804" i="1" s="1"/>
  <c r="E1803" i="1"/>
  <c r="F1803" i="1" s="1"/>
  <c r="E1802" i="1"/>
  <c r="F1802" i="1" s="1"/>
  <c r="E1801" i="1"/>
  <c r="F1801" i="1" s="1"/>
  <c r="E1800" i="1"/>
  <c r="F1800" i="1" s="1"/>
  <c r="E1799" i="1"/>
  <c r="F1799" i="1" s="1"/>
  <c r="E1798" i="1"/>
  <c r="F1798" i="1" s="1"/>
  <c r="E1797" i="1"/>
  <c r="F1797" i="1" s="1"/>
  <c r="E1796" i="1"/>
  <c r="F1796" i="1" s="1"/>
  <c r="E1795" i="1"/>
  <c r="F1795" i="1" s="1"/>
  <c r="E1794" i="1"/>
  <c r="F1794" i="1" s="1"/>
  <c r="E1793" i="1"/>
  <c r="F1793" i="1" s="1"/>
  <c r="E1792" i="1"/>
  <c r="F1792" i="1" s="1"/>
  <c r="E1791" i="1"/>
  <c r="F1791" i="1" s="1"/>
  <c r="E1790" i="1"/>
  <c r="F1790" i="1" s="1"/>
  <c r="E1789" i="1"/>
  <c r="F1789" i="1" s="1"/>
  <c r="B1789" i="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2" i="1" s="1"/>
  <c r="B1813" i="1" s="1"/>
  <c r="B1814" i="1" s="1"/>
  <c r="B1815" i="1" s="1"/>
  <c r="B1816" i="1" s="1"/>
  <c r="B1817" i="1" s="1"/>
  <c r="B1818" i="1" s="1"/>
  <c r="B1819" i="1" s="1"/>
  <c r="B1820" i="1" s="1"/>
  <c r="B1821" i="1" s="1"/>
  <c r="B1822" i="1" s="1"/>
  <c r="B1823" i="1" s="1"/>
  <c r="B1824" i="1" s="1"/>
  <c r="E1788" i="1"/>
  <c r="F1788" i="1" s="1"/>
  <c r="E1618" i="1"/>
  <c r="F1618" i="1" s="1"/>
  <c r="E1617" i="1"/>
  <c r="F1617" i="1" s="1"/>
  <c r="E1616" i="1"/>
  <c r="F1616" i="1" s="1"/>
  <c r="E1615" i="1"/>
  <c r="F1615" i="1" s="1"/>
  <c r="E1614" i="1"/>
  <c r="F1614" i="1" s="1"/>
  <c r="E1613" i="1"/>
  <c r="F1613" i="1" s="1"/>
  <c r="E1612" i="1"/>
  <c r="F1612" i="1" s="1"/>
  <c r="E1611" i="1"/>
  <c r="F1611" i="1" s="1"/>
  <c r="E1610" i="1"/>
  <c r="F1610" i="1" s="1"/>
  <c r="E1609" i="1"/>
  <c r="F1609" i="1" s="1"/>
  <c r="E1608" i="1"/>
  <c r="F1608" i="1" s="1"/>
  <c r="E1607" i="1"/>
  <c r="F1607" i="1" s="1"/>
  <c r="E1606" i="1"/>
  <c r="F1606" i="1" s="1"/>
  <c r="E1605" i="1"/>
  <c r="F1605" i="1" s="1"/>
  <c r="E1604" i="1"/>
  <c r="F1604" i="1" s="1"/>
  <c r="E1603" i="1"/>
  <c r="F1603" i="1" s="1"/>
  <c r="E1602" i="1"/>
  <c r="F1602" i="1" s="1"/>
  <c r="E1601" i="1"/>
  <c r="F1601" i="1" s="1"/>
  <c r="E1600" i="1"/>
  <c r="F1600" i="1" s="1"/>
  <c r="E1599" i="1"/>
  <c r="F1599" i="1" s="1"/>
  <c r="B1599" i="1"/>
  <c r="B1600"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2" i="1" s="1"/>
  <c r="B1633" i="1" s="1"/>
  <c r="B1634" i="1" s="1"/>
  <c r="E1598" i="1"/>
  <c r="F1598" i="1" s="1"/>
  <c r="E1580" i="1"/>
  <c r="F1580" i="1" s="1"/>
  <c r="E1579" i="1"/>
  <c r="F1579" i="1" s="1"/>
  <c r="E1578" i="1"/>
  <c r="F1578" i="1" s="1"/>
  <c r="E1577" i="1"/>
  <c r="F1577" i="1" s="1"/>
  <c r="E1576" i="1"/>
  <c r="F1576" i="1" s="1"/>
  <c r="E1575" i="1"/>
  <c r="F1575" i="1" s="1"/>
  <c r="E1574" i="1"/>
  <c r="F1574" i="1" s="1"/>
  <c r="E1573" i="1"/>
  <c r="F1573" i="1" s="1"/>
  <c r="E1572" i="1"/>
  <c r="F1572" i="1" s="1"/>
  <c r="E1571" i="1"/>
  <c r="F1571" i="1" s="1"/>
  <c r="E1570" i="1"/>
  <c r="F1570" i="1" s="1"/>
  <c r="E1569" i="1"/>
  <c r="F1569" i="1" s="1"/>
  <c r="E1568" i="1"/>
  <c r="F1568" i="1" s="1"/>
  <c r="E1567" i="1"/>
  <c r="F1567" i="1" s="1"/>
  <c r="E1566" i="1"/>
  <c r="F1566" i="1" s="1"/>
  <c r="E1565" i="1"/>
  <c r="F1565" i="1" s="1"/>
  <c r="E1564" i="1"/>
  <c r="F1564" i="1" s="1"/>
  <c r="E1563" i="1"/>
  <c r="F1563" i="1" s="1"/>
  <c r="E1562" i="1"/>
  <c r="F1562" i="1" s="1"/>
  <c r="E1561" i="1"/>
  <c r="F1561" i="1" s="1"/>
  <c r="B1561" i="1"/>
  <c r="B1562" i="1" s="1"/>
  <c r="B1563" i="1" s="1"/>
  <c r="B1564" i="1" s="1"/>
  <c r="B1565" i="1" s="1"/>
  <c r="B1566" i="1" s="1"/>
  <c r="B1567" i="1" s="1"/>
  <c r="B1568" i="1" s="1"/>
  <c r="B1569" i="1" s="1"/>
  <c r="B1570"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E1560" i="1"/>
  <c r="F1560" i="1" s="1"/>
  <c r="E1542" i="1"/>
  <c r="F1542" i="1" s="1"/>
  <c r="E1541" i="1"/>
  <c r="F1541" i="1" s="1"/>
  <c r="E1540" i="1"/>
  <c r="F1540" i="1" s="1"/>
  <c r="E1539" i="1"/>
  <c r="F1539" i="1" s="1"/>
  <c r="E1538" i="1"/>
  <c r="F1538" i="1" s="1"/>
  <c r="E1537" i="1"/>
  <c r="F1537" i="1" s="1"/>
  <c r="E1536" i="1"/>
  <c r="F1536" i="1" s="1"/>
  <c r="E1535" i="1"/>
  <c r="F1535" i="1" s="1"/>
  <c r="E1534" i="1"/>
  <c r="F1534" i="1" s="1"/>
  <c r="E1533" i="1"/>
  <c r="F1533" i="1" s="1"/>
  <c r="E1532" i="1"/>
  <c r="F1532" i="1" s="1"/>
  <c r="E1531" i="1"/>
  <c r="F1531" i="1" s="1"/>
  <c r="E1530" i="1"/>
  <c r="F1530" i="1" s="1"/>
  <c r="E1529" i="1"/>
  <c r="F1529" i="1" s="1"/>
  <c r="E1528" i="1"/>
  <c r="F1528" i="1" s="1"/>
  <c r="E1527" i="1"/>
  <c r="F1527" i="1" s="1"/>
  <c r="E1526" i="1"/>
  <c r="F1526" i="1" s="1"/>
  <c r="E1525" i="1"/>
  <c r="F1525" i="1" s="1"/>
  <c r="E1524" i="1"/>
  <c r="F1524" i="1" s="1"/>
  <c r="E1523" i="1"/>
  <c r="F1523" i="1" s="1"/>
  <c r="B1523" i="1"/>
  <c r="B1524" i="1" s="1"/>
  <c r="B1525" i="1" s="1"/>
  <c r="B1526" i="1" s="1"/>
  <c r="B1527" i="1" s="1"/>
  <c r="B1528" i="1" s="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E1522" i="1"/>
  <c r="F1522" i="1" s="1"/>
  <c r="E1466" i="1"/>
  <c r="F1466" i="1" s="1"/>
  <c r="E1465" i="1"/>
  <c r="F1465" i="1" s="1"/>
  <c r="E1464" i="1"/>
  <c r="F1464" i="1" s="1"/>
  <c r="E1463" i="1"/>
  <c r="F1463" i="1" s="1"/>
  <c r="E1462" i="1"/>
  <c r="F1462" i="1" s="1"/>
  <c r="E1461" i="1"/>
  <c r="F1461" i="1" s="1"/>
  <c r="E1460" i="1"/>
  <c r="F1460" i="1" s="1"/>
  <c r="E1459" i="1"/>
  <c r="F1459" i="1" s="1"/>
  <c r="E1458" i="1"/>
  <c r="F1458" i="1" s="1"/>
  <c r="E1457" i="1"/>
  <c r="F1457" i="1" s="1"/>
  <c r="E1456" i="1"/>
  <c r="F1456" i="1" s="1"/>
  <c r="E1455" i="1"/>
  <c r="F1455" i="1" s="1"/>
  <c r="E1454" i="1"/>
  <c r="F1454" i="1" s="1"/>
  <c r="E1453" i="1"/>
  <c r="F1453" i="1" s="1"/>
  <c r="E1452" i="1"/>
  <c r="F1452" i="1" s="1"/>
  <c r="E1451" i="1"/>
  <c r="F1451" i="1" s="1"/>
  <c r="E1450" i="1"/>
  <c r="F1450" i="1" s="1"/>
  <c r="E1449" i="1"/>
  <c r="F1449" i="1" s="1"/>
  <c r="E1448" i="1"/>
  <c r="F1448" i="1" s="1"/>
  <c r="E1447" i="1"/>
  <c r="F1447" i="1" s="1"/>
  <c r="B1447" i="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2" i="1" s="1"/>
  <c r="E1446" i="1"/>
  <c r="F1446" i="1" s="1"/>
  <c r="E1428" i="1"/>
  <c r="F1428" i="1" s="1"/>
  <c r="E1427" i="1"/>
  <c r="F1427" i="1" s="1"/>
  <c r="E1426" i="1"/>
  <c r="F1426" i="1" s="1"/>
  <c r="E1425" i="1"/>
  <c r="F1425" i="1" s="1"/>
  <c r="E1424" i="1"/>
  <c r="F1424" i="1" s="1"/>
  <c r="E1423" i="1"/>
  <c r="F1423" i="1" s="1"/>
  <c r="E1422" i="1"/>
  <c r="F1422" i="1" s="1"/>
  <c r="E1421" i="1"/>
  <c r="F1421" i="1" s="1"/>
  <c r="E1420" i="1"/>
  <c r="F1420" i="1" s="1"/>
  <c r="E1419" i="1"/>
  <c r="F1419" i="1" s="1"/>
  <c r="E1418" i="1"/>
  <c r="F1418" i="1" s="1"/>
  <c r="E1417" i="1"/>
  <c r="F1417" i="1" s="1"/>
  <c r="E1416" i="1"/>
  <c r="F1416" i="1" s="1"/>
  <c r="E1415" i="1"/>
  <c r="F1415" i="1" s="1"/>
  <c r="E1414" i="1"/>
  <c r="F1414" i="1" s="1"/>
  <c r="E1413" i="1"/>
  <c r="F1413" i="1" s="1"/>
  <c r="E1412" i="1"/>
  <c r="F1412" i="1" s="1"/>
  <c r="E1411" i="1"/>
  <c r="F1411" i="1" s="1"/>
  <c r="E1410" i="1"/>
  <c r="F1410" i="1" s="1"/>
  <c r="E1409" i="1"/>
  <c r="F1409" i="1" s="1"/>
  <c r="B1409" i="1"/>
  <c r="B1410" i="1" s="1"/>
  <c r="B1411" i="1" s="1"/>
  <c r="B1412" i="1" s="1"/>
  <c r="B1413" i="1" s="1"/>
  <c r="B1414" i="1" s="1"/>
  <c r="B1415" i="1" s="1"/>
  <c r="B1416" i="1" s="1"/>
  <c r="B1417" i="1" s="1"/>
  <c r="B1418" i="1" s="1"/>
  <c r="B1419" i="1" s="1"/>
  <c r="B1420"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E1408" i="1"/>
  <c r="F1408" i="1" s="1"/>
  <c r="E1390" i="1"/>
  <c r="F1390" i="1" s="1"/>
  <c r="E1389" i="1"/>
  <c r="F1389" i="1" s="1"/>
  <c r="E1388" i="1"/>
  <c r="F1388" i="1" s="1"/>
  <c r="E1387" i="1"/>
  <c r="F1387" i="1" s="1"/>
  <c r="E1386" i="1"/>
  <c r="F1386" i="1" s="1"/>
  <c r="E1385" i="1"/>
  <c r="F1385" i="1" s="1"/>
  <c r="E1384" i="1"/>
  <c r="F1384" i="1" s="1"/>
  <c r="E1383" i="1"/>
  <c r="F1383" i="1" s="1"/>
  <c r="E1382" i="1"/>
  <c r="F1382" i="1" s="1"/>
  <c r="E1381" i="1"/>
  <c r="F1381" i="1" s="1"/>
  <c r="E1380" i="1"/>
  <c r="F1380" i="1" s="1"/>
  <c r="E1379" i="1"/>
  <c r="F1379" i="1" s="1"/>
  <c r="E1378" i="1"/>
  <c r="F1378" i="1" s="1"/>
  <c r="E1377" i="1"/>
  <c r="F1377" i="1" s="1"/>
  <c r="E1376" i="1"/>
  <c r="F1376" i="1" s="1"/>
  <c r="E1375" i="1"/>
  <c r="F1375" i="1" s="1"/>
  <c r="E1374" i="1"/>
  <c r="F1374" i="1" s="1"/>
  <c r="E1373" i="1"/>
  <c r="F1373" i="1" s="1"/>
  <c r="E1372" i="1"/>
  <c r="F1372" i="1" s="1"/>
  <c r="E1371" i="1"/>
  <c r="F1371" i="1" s="1"/>
  <c r="B1371" i="1"/>
  <c r="B1372" i="1" s="1"/>
  <c r="B1373" i="1" s="1"/>
  <c r="B1374" i="1" s="1"/>
  <c r="B1375" i="1" s="1"/>
  <c r="B1376" i="1" s="1"/>
  <c r="B1377" i="1" s="1"/>
  <c r="B1378" i="1" s="1"/>
  <c r="B1379" i="1" s="1"/>
  <c r="B1380" i="1" s="1"/>
  <c r="B1381" i="1" s="1"/>
  <c r="B1382" i="1" s="1"/>
  <c r="B1383" i="1" s="1"/>
  <c r="B1384" i="1" s="1"/>
  <c r="B1385" i="1" s="1"/>
  <c r="B1386" i="1" s="1"/>
  <c r="B1387" i="1" s="1"/>
  <c r="B1388" i="1" s="1"/>
  <c r="B1389" i="1" s="1"/>
  <c r="B1390" i="1" s="1"/>
  <c r="B1391" i="1" s="1"/>
  <c r="B1392" i="1" s="1"/>
  <c r="B1393" i="1" s="1"/>
  <c r="B1394" i="1" s="1"/>
  <c r="B1395" i="1" s="1"/>
  <c r="B1396" i="1" s="1"/>
  <c r="B1397" i="1" s="1"/>
  <c r="B1398" i="1" s="1"/>
  <c r="B1399" i="1" s="1"/>
  <c r="B1400" i="1" s="1"/>
  <c r="B1401" i="1" s="1"/>
  <c r="B1402" i="1" s="1"/>
  <c r="B1403" i="1" s="1"/>
  <c r="B1404" i="1" s="1"/>
  <c r="B1405" i="1" s="1"/>
  <c r="B1406" i="1" s="1"/>
  <c r="E1370" i="1"/>
  <c r="F1370" i="1" s="1"/>
  <c r="E1200" i="1"/>
  <c r="F1200" i="1" s="1"/>
  <c r="E1199" i="1"/>
  <c r="F1199" i="1" s="1"/>
  <c r="E1198" i="1"/>
  <c r="F1198" i="1" s="1"/>
  <c r="E1197" i="1"/>
  <c r="F1197" i="1" s="1"/>
  <c r="E1196" i="1"/>
  <c r="F1196" i="1" s="1"/>
  <c r="E1195" i="1"/>
  <c r="F1195" i="1" s="1"/>
  <c r="E1194" i="1"/>
  <c r="F1194" i="1" s="1"/>
  <c r="E1193" i="1"/>
  <c r="F1193" i="1" s="1"/>
  <c r="E1192" i="1"/>
  <c r="F1192" i="1" s="1"/>
  <c r="E1191" i="1"/>
  <c r="F1191" i="1" s="1"/>
  <c r="E1190" i="1"/>
  <c r="F1190" i="1" s="1"/>
  <c r="E1189" i="1"/>
  <c r="F1189" i="1" s="1"/>
  <c r="E1188" i="1"/>
  <c r="F1188" i="1" s="1"/>
  <c r="E1187" i="1"/>
  <c r="F1187" i="1" s="1"/>
  <c r="E1186" i="1"/>
  <c r="F1186" i="1" s="1"/>
  <c r="E1185" i="1"/>
  <c r="F1185" i="1" s="1"/>
  <c r="E1184" i="1"/>
  <c r="F1184" i="1" s="1"/>
  <c r="E1183" i="1"/>
  <c r="F1183" i="1" s="1"/>
  <c r="E1182" i="1"/>
  <c r="F1182" i="1" s="1"/>
  <c r="E1181" i="1"/>
  <c r="F1181" i="1" s="1"/>
  <c r="B1181" i="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E1180" i="1"/>
  <c r="F1180" i="1" s="1"/>
  <c r="E1162" i="1"/>
  <c r="F1162" i="1" s="1"/>
  <c r="E1161" i="1"/>
  <c r="F1161" i="1" s="1"/>
  <c r="E1160" i="1"/>
  <c r="F1160" i="1" s="1"/>
  <c r="E1159" i="1"/>
  <c r="F1159" i="1" s="1"/>
  <c r="E1158" i="1"/>
  <c r="F1158" i="1" s="1"/>
  <c r="E1157" i="1"/>
  <c r="F1157" i="1" s="1"/>
  <c r="E1156" i="1"/>
  <c r="F1156" i="1" s="1"/>
  <c r="E1155" i="1"/>
  <c r="F1155" i="1" s="1"/>
  <c r="E1154" i="1"/>
  <c r="F1154" i="1" s="1"/>
  <c r="E1153" i="1"/>
  <c r="F1153" i="1" s="1"/>
  <c r="E1152" i="1"/>
  <c r="F1152" i="1" s="1"/>
  <c r="E1151" i="1"/>
  <c r="F1151" i="1" s="1"/>
  <c r="E1150" i="1"/>
  <c r="F1150" i="1" s="1"/>
  <c r="E1149" i="1"/>
  <c r="F1149" i="1" s="1"/>
  <c r="E1148" i="1"/>
  <c r="F1148" i="1" s="1"/>
  <c r="E1147" i="1"/>
  <c r="F1147" i="1" s="1"/>
  <c r="E1146" i="1"/>
  <c r="F1146" i="1" s="1"/>
  <c r="E1145" i="1"/>
  <c r="F1145" i="1" s="1"/>
  <c r="E1144" i="1"/>
  <c r="F1144" i="1" s="1"/>
  <c r="E1143" i="1"/>
  <c r="F1143" i="1" s="1"/>
  <c r="B1143" i="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E1142" i="1"/>
  <c r="F1142" i="1" s="1"/>
  <c r="E1124" i="1"/>
  <c r="F1124" i="1" s="1"/>
  <c r="E1123" i="1"/>
  <c r="F1123" i="1" s="1"/>
  <c r="E1122" i="1"/>
  <c r="F1122" i="1" s="1"/>
  <c r="E1121" i="1"/>
  <c r="F1121" i="1" s="1"/>
  <c r="E1120" i="1"/>
  <c r="F1120" i="1" s="1"/>
  <c r="E1119" i="1"/>
  <c r="F1119" i="1" s="1"/>
  <c r="E1118" i="1"/>
  <c r="F1118" i="1" s="1"/>
  <c r="E1117" i="1"/>
  <c r="F1117" i="1" s="1"/>
  <c r="E1116" i="1"/>
  <c r="F1116" i="1" s="1"/>
  <c r="E1115" i="1"/>
  <c r="F1115" i="1" s="1"/>
  <c r="E1114" i="1"/>
  <c r="F1114" i="1" s="1"/>
  <c r="E1113" i="1"/>
  <c r="F1113" i="1" s="1"/>
  <c r="E1112" i="1"/>
  <c r="F1112" i="1" s="1"/>
  <c r="E1111" i="1"/>
  <c r="F1111" i="1" s="1"/>
  <c r="E1110" i="1"/>
  <c r="F1110" i="1" s="1"/>
  <c r="E1109" i="1"/>
  <c r="F1109" i="1" s="1"/>
  <c r="E1108" i="1"/>
  <c r="F1108" i="1" s="1"/>
  <c r="E1107" i="1"/>
  <c r="F1107" i="1" s="1"/>
  <c r="E1106" i="1"/>
  <c r="F1106" i="1" s="1"/>
  <c r="E1105" i="1"/>
  <c r="F1105" i="1" s="1"/>
  <c r="B1105" i="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E1104" i="1"/>
  <c r="F1104" i="1" s="1"/>
  <c r="E1048" i="1"/>
  <c r="F1048" i="1" s="1"/>
  <c r="E1047" i="1"/>
  <c r="F1047" i="1" s="1"/>
  <c r="E1046" i="1"/>
  <c r="F1046" i="1" s="1"/>
  <c r="E1045" i="1"/>
  <c r="F1045" i="1" s="1"/>
  <c r="E1044" i="1"/>
  <c r="F1044" i="1" s="1"/>
  <c r="E1043" i="1"/>
  <c r="F1043" i="1" s="1"/>
  <c r="E1042" i="1"/>
  <c r="F1042" i="1" s="1"/>
  <c r="E1041" i="1"/>
  <c r="F1041" i="1" s="1"/>
  <c r="E1040" i="1"/>
  <c r="F1040" i="1" s="1"/>
  <c r="E1039" i="1"/>
  <c r="F1039" i="1" s="1"/>
  <c r="E1038" i="1"/>
  <c r="F1038" i="1" s="1"/>
  <c r="E1037" i="1"/>
  <c r="F1037" i="1" s="1"/>
  <c r="E1036" i="1"/>
  <c r="F1036" i="1" s="1"/>
  <c r="E1035" i="1"/>
  <c r="F1035" i="1" s="1"/>
  <c r="E1034" i="1"/>
  <c r="F1034" i="1" s="1"/>
  <c r="E1033" i="1"/>
  <c r="F1033" i="1" s="1"/>
  <c r="E1032" i="1"/>
  <c r="F1032" i="1" s="1"/>
  <c r="E1031" i="1"/>
  <c r="F1031" i="1" s="1"/>
  <c r="E1030" i="1"/>
  <c r="F1030" i="1" s="1"/>
  <c r="E1029" i="1"/>
  <c r="F1029" i="1" s="1"/>
  <c r="B1029" i="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E1028" i="1"/>
  <c r="F1028" i="1" s="1"/>
  <c r="E1010" i="1"/>
  <c r="F1010" i="1" s="1"/>
  <c r="E1009" i="1"/>
  <c r="F1009" i="1" s="1"/>
  <c r="E1008" i="1"/>
  <c r="F1008" i="1" s="1"/>
  <c r="E1007" i="1"/>
  <c r="F1007" i="1" s="1"/>
  <c r="E1006" i="1"/>
  <c r="F1006" i="1" s="1"/>
  <c r="E1005" i="1"/>
  <c r="F1005" i="1" s="1"/>
  <c r="E1004" i="1"/>
  <c r="F1004" i="1" s="1"/>
  <c r="E1003" i="1"/>
  <c r="F1003" i="1" s="1"/>
  <c r="E1002" i="1"/>
  <c r="F1002" i="1" s="1"/>
  <c r="E1001" i="1"/>
  <c r="F1001" i="1" s="1"/>
  <c r="E1000" i="1"/>
  <c r="F1000" i="1" s="1"/>
  <c r="E999" i="1"/>
  <c r="F999" i="1" s="1"/>
  <c r="E998" i="1"/>
  <c r="F998" i="1" s="1"/>
  <c r="E997" i="1"/>
  <c r="F997" i="1" s="1"/>
  <c r="E996" i="1"/>
  <c r="F996" i="1" s="1"/>
  <c r="E995" i="1"/>
  <c r="F995" i="1" s="1"/>
  <c r="E994" i="1"/>
  <c r="F994" i="1" s="1"/>
  <c r="E993" i="1"/>
  <c r="F993" i="1" s="1"/>
  <c r="E992" i="1"/>
  <c r="F992" i="1" s="1"/>
  <c r="E991" i="1"/>
  <c r="F991" i="1" s="1"/>
  <c r="B991" i="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E990" i="1"/>
  <c r="F990" i="1" s="1"/>
  <c r="E972" i="1"/>
  <c r="F972" i="1" s="1"/>
  <c r="E971" i="1"/>
  <c r="F971" i="1" s="1"/>
  <c r="E970" i="1"/>
  <c r="F970" i="1" s="1"/>
  <c r="E969" i="1"/>
  <c r="F969" i="1" s="1"/>
  <c r="E968" i="1"/>
  <c r="F968" i="1" s="1"/>
  <c r="E967" i="1"/>
  <c r="F967" i="1" s="1"/>
  <c r="E966" i="1"/>
  <c r="F966" i="1" s="1"/>
  <c r="E965" i="1"/>
  <c r="F965" i="1" s="1"/>
  <c r="E964" i="1"/>
  <c r="F964" i="1" s="1"/>
  <c r="E963" i="1"/>
  <c r="F963" i="1" s="1"/>
  <c r="E962" i="1"/>
  <c r="F962" i="1" s="1"/>
  <c r="E961" i="1"/>
  <c r="F961" i="1" s="1"/>
  <c r="E960" i="1"/>
  <c r="F960" i="1" s="1"/>
  <c r="E959" i="1"/>
  <c r="F959" i="1" s="1"/>
  <c r="E958" i="1"/>
  <c r="F958" i="1" s="1"/>
  <c r="E957" i="1"/>
  <c r="F957" i="1" s="1"/>
  <c r="E956" i="1"/>
  <c r="F956" i="1" s="1"/>
  <c r="E955" i="1"/>
  <c r="F955" i="1" s="1"/>
  <c r="E954" i="1"/>
  <c r="F954" i="1" s="1"/>
  <c r="E953" i="1"/>
  <c r="F953" i="1" s="1"/>
  <c r="B953" i="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E952" i="1"/>
  <c r="F952" i="1" s="1"/>
  <c r="E782" i="1"/>
  <c r="F782" i="1" s="1"/>
  <c r="E781" i="1"/>
  <c r="F781" i="1" s="1"/>
  <c r="E780" i="1"/>
  <c r="F780" i="1" s="1"/>
  <c r="E779" i="1"/>
  <c r="F779" i="1" s="1"/>
  <c r="E778" i="1"/>
  <c r="F778" i="1" s="1"/>
  <c r="E777" i="1"/>
  <c r="F777" i="1" s="1"/>
  <c r="E776" i="1"/>
  <c r="F776" i="1" s="1"/>
  <c r="E775" i="1"/>
  <c r="F775" i="1" s="1"/>
  <c r="E774" i="1"/>
  <c r="F774" i="1" s="1"/>
  <c r="E773" i="1"/>
  <c r="F773" i="1" s="1"/>
  <c r="E772" i="1"/>
  <c r="F772" i="1" s="1"/>
  <c r="E771" i="1"/>
  <c r="F771" i="1" s="1"/>
  <c r="E770" i="1"/>
  <c r="F770" i="1" s="1"/>
  <c r="E769" i="1"/>
  <c r="F769" i="1" s="1"/>
  <c r="E768" i="1"/>
  <c r="F768" i="1" s="1"/>
  <c r="E767" i="1"/>
  <c r="F767" i="1" s="1"/>
  <c r="E766" i="1"/>
  <c r="F766" i="1" s="1"/>
  <c r="E765" i="1"/>
  <c r="F765" i="1" s="1"/>
  <c r="E764" i="1"/>
  <c r="F764" i="1" s="1"/>
  <c r="E763" i="1"/>
  <c r="F763" i="1" s="1"/>
  <c r="B763" i="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E762" i="1"/>
  <c r="F762" i="1" s="1"/>
  <c r="E744" i="1"/>
  <c r="F744" i="1" s="1"/>
  <c r="E743" i="1"/>
  <c r="F743" i="1" s="1"/>
  <c r="E742" i="1"/>
  <c r="F742" i="1" s="1"/>
  <c r="E741" i="1"/>
  <c r="F741" i="1" s="1"/>
  <c r="E740" i="1"/>
  <c r="F740" i="1" s="1"/>
  <c r="E739" i="1"/>
  <c r="F739" i="1" s="1"/>
  <c r="E738" i="1"/>
  <c r="F738" i="1" s="1"/>
  <c r="E737" i="1"/>
  <c r="F737" i="1" s="1"/>
  <c r="E736" i="1"/>
  <c r="F736" i="1" s="1"/>
  <c r="E735" i="1"/>
  <c r="F735" i="1" s="1"/>
  <c r="E734" i="1"/>
  <c r="F734" i="1" s="1"/>
  <c r="E733" i="1"/>
  <c r="F733" i="1" s="1"/>
  <c r="E732" i="1"/>
  <c r="F732" i="1" s="1"/>
  <c r="E731" i="1"/>
  <c r="F731" i="1" s="1"/>
  <c r="E730" i="1"/>
  <c r="F730" i="1" s="1"/>
  <c r="E729" i="1"/>
  <c r="F729" i="1" s="1"/>
  <c r="E728" i="1"/>
  <c r="F728" i="1" s="1"/>
  <c r="E727" i="1"/>
  <c r="F727" i="1" s="1"/>
  <c r="E726" i="1"/>
  <c r="F726" i="1" s="1"/>
  <c r="E725" i="1"/>
  <c r="F725" i="1" s="1"/>
  <c r="B725" i="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E724" i="1"/>
  <c r="F724" i="1" s="1"/>
  <c r="E706" i="1"/>
  <c r="F706" i="1" s="1"/>
  <c r="E705" i="1"/>
  <c r="F705" i="1" s="1"/>
  <c r="E704" i="1"/>
  <c r="F704" i="1" s="1"/>
  <c r="E703" i="1"/>
  <c r="F703" i="1" s="1"/>
  <c r="E702" i="1"/>
  <c r="F702" i="1" s="1"/>
  <c r="E701" i="1"/>
  <c r="F701" i="1" s="1"/>
  <c r="E700" i="1"/>
  <c r="F700" i="1" s="1"/>
  <c r="E699" i="1"/>
  <c r="F699" i="1" s="1"/>
  <c r="E698" i="1"/>
  <c r="F698" i="1" s="1"/>
  <c r="E697" i="1"/>
  <c r="F697" i="1" s="1"/>
  <c r="E696" i="1"/>
  <c r="F696" i="1" s="1"/>
  <c r="E695" i="1"/>
  <c r="F695" i="1" s="1"/>
  <c r="E694" i="1"/>
  <c r="F694" i="1" s="1"/>
  <c r="E693" i="1"/>
  <c r="F693" i="1" s="1"/>
  <c r="E692" i="1"/>
  <c r="F692" i="1" s="1"/>
  <c r="E691" i="1"/>
  <c r="F691" i="1" s="1"/>
  <c r="E690" i="1"/>
  <c r="F690" i="1" s="1"/>
  <c r="E689" i="1"/>
  <c r="F689" i="1" s="1"/>
  <c r="E688" i="1"/>
  <c r="F688" i="1" s="1"/>
  <c r="E687" i="1"/>
  <c r="F687" i="1" s="1"/>
  <c r="B687" i="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E686" i="1"/>
  <c r="F686" i="1" s="1"/>
  <c r="E630" i="1"/>
  <c r="F630" i="1" s="1"/>
  <c r="E629" i="1"/>
  <c r="F629" i="1" s="1"/>
  <c r="E628" i="1"/>
  <c r="F628" i="1" s="1"/>
  <c r="E627" i="1"/>
  <c r="F627" i="1" s="1"/>
  <c r="E626" i="1"/>
  <c r="F626" i="1" s="1"/>
  <c r="E625" i="1"/>
  <c r="F625" i="1" s="1"/>
  <c r="E624" i="1"/>
  <c r="F624" i="1" s="1"/>
  <c r="E623" i="1"/>
  <c r="F623" i="1" s="1"/>
  <c r="E622" i="1"/>
  <c r="F622" i="1" s="1"/>
  <c r="E621" i="1"/>
  <c r="F621" i="1" s="1"/>
  <c r="E620" i="1"/>
  <c r="F620" i="1" s="1"/>
  <c r="E619" i="1"/>
  <c r="F619" i="1" s="1"/>
  <c r="E618" i="1"/>
  <c r="F618" i="1" s="1"/>
  <c r="E617" i="1"/>
  <c r="F617" i="1" s="1"/>
  <c r="E616" i="1"/>
  <c r="F616" i="1" s="1"/>
  <c r="E615" i="1"/>
  <c r="F615" i="1" s="1"/>
  <c r="E614" i="1"/>
  <c r="F614" i="1" s="1"/>
  <c r="E613" i="1"/>
  <c r="F613" i="1" s="1"/>
  <c r="E612" i="1"/>
  <c r="F612" i="1" s="1"/>
  <c r="E611" i="1"/>
  <c r="F611" i="1" s="1"/>
  <c r="B611" i="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E610" i="1"/>
  <c r="F610" i="1" s="1"/>
  <c r="E592" i="1"/>
  <c r="F592" i="1" s="1"/>
  <c r="E591" i="1"/>
  <c r="F591" i="1" s="1"/>
  <c r="E590" i="1"/>
  <c r="F590" i="1" s="1"/>
  <c r="E589" i="1"/>
  <c r="F589" i="1" s="1"/>
  <c r="E588" i="1"/>
  <c r="F588" i="1" s="1"/>
  <c r="E587" i="1"/>
  <c r="F587" i="1" s="1"/>
  <c r="E586" i="1"/>
  <c r="F586" i="1" s="1"/>
  <c r="E585" i="1"/>
  <c r="F585" i="1" s="1"/>
  <c r="E584" i="1"/>
  <c r="F584" i="1" s="1"/>
  <c r="E583" i="1"/>
  <c r="F583" i="1" s="1"/>
  <c r="E582" i="1"/>
  <c r="F582" i="1" s="1"/>
  <c r="E581" i="1"/>
  <c r="F581" i="1" s="1"/>
  <c r="E580" i="1"/>
  <c r="F580" i="1" s="1"/>
  <c r="E579" i="1"/>
  <c r="F579" i="1" s="1"/>
  <c r="E578" i="1"/>
  <c r="F578" i="1" s="1"/>
  <c r="E577" i="1"/>
  <c r="F577" i="1" s="1"/>
  <c r="E576" i="1"/>
  <c r="F576" i="1" s="1"/>
  <c r="E575" i="1"/>
  <c r="F575" i="1" s="1"/>
  <c r="E574" i="1"/>
  <c r="F574" i="1" s="1"/>
  <c r="E573" i="1"/>
  <c r="F573" i="1" s="1"/>
  <c r="B573" i="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E572" i="1"/>
  <c r="F572" i="1" s="1"/>
  <c r="E554" i="1"/>
  <c r="F554" i="1" s="1"/>
  <c r="E553" i="1"/>
  <c r="F553" i="1" s="1"/>
  <c r="E552" i="1"/>
  <c r="F552" i="1" s="1"/>
  <c r="E551" i="1"/>
  <c r="F551" i="1" s="1"/>
  <c r="E550" i="1"/>
  <c r="F550" i="1" s="1"/>
  <c r="E549" i="1"/>
  <c r="F549" i="1" s="1"/>
  <c r="E548" i="1"/>
  <c r="F548" i="1" s="1"/>
  <c r="E547" i="1"/>
  <c r="F547" i="1" s="1"/>
  <c r="E546" i="1"/>
  <c r="F546" i="1" s="1"/>
  <c r="E545" i="1"/>
  <c r="F545" i="1" s="1"/>
  <c r="E544" i="1"/>
  <c r="F544" i="1" s="1"/>
  <c r="E543" i="1"/>
  <c r="F543" i="1" s="1"/>
  <c r="E542" i="1"/>
  <c r="F542" i="1" s="1"/>
  <c r="E541" i="1"/>
  <c r="F541" i="1" s="1"/>
  <c r="E540" i="1"/>
  <c r="F540" i="1" s="1"/>
  <c r="E539" i="1"/>
  <c r="F539" i="1" s="1"/>
  <c r="E538" i="1"/>
  <c r="F538" i="1" s="1"/>
  <c r="E537" i="1"/>
  <c r="F537" i="1" s="1"/>
  <c r="E536" i="1"/>
  <c r="F536" i="1" s="1"/>
  <c r="E535" i="1"/>
  <c r="F535" i="1" s="1"/>
  <c r="B535" i="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E534" i="1"/>
  <c r="F534"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B269" i="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E268" i="1"/>
  <c r="F268" i="1" s="1"/>
  <c r="E326" i="1"/>
  <c r="F326" i="1" s="1"/>
  <c r="E325" i="1"/>
  <c r="F325" i="1" s="1"/>
  <c r="E324" i="1"/>
  <c r="F324" i="1" s="1"/>
  <c r="E323" i="1"/>
  <c r="F323" i="1" s="1"/>
  <c r="E322" i="1"/>
  <c r="F322" i="1" s="1"/>
  <c r="E321" i="1"/>
  <c r="F321" i="1" s="1"/>
  <c r="E320" i="1"/>
  <c r="F320" i="1" s="1"/>
  <c r="E319" i="1"/>
  <c r="F319" i="1" s="1"/>
  <c r="E318" i="1"/>
  <c r="F318" i="1" s="1"/>
  <c r="E317" i="1"/>
  <c r="F317" i="1" s="1"/>
  <c r="E316" i="1"/>
  <c r="F316" i="1" s="1"/>
  <c r="E315" i="1"/>
  <c r="F315" i="1" s="1"/>
  <c r="E314" i="1"/>
  <c r="F314" i="1" s="1"/>
  <c r="E313" i="1"/>
  <c r="F313" i="1" s="1"/>
  <c r="E312" i="1"/>
  <c r="F312" i="1" s="1"/>
  <c r="E311" i="1"/>
  <c r="F311" i="1" s="1"/>
  <c r="E310" i="1"/>
  <c r="F310" i="1" s="1"/>
  <c r="E309" i="1"/>
  <c r="F309" i="1" s="1"/>
  <c r="E308" i="1"/>
  <c r="F308" i="1" s="1"/>
  <c r="E307" i="1"/>
  <c r="F307" i="1" s="1"/>
  <c r="B307" i="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E306" i="1"/>
  <c r="F306" i="1" s="1"/>
  <c r="E364" i="1"/>
  <c r="F364" i="1" s="1"/>
  <c r="E363" i="1"/>
  <c r="F363" i="1" s="1"/>
  <c r="E362" i="1"/>
  <c r="F362" i="1" s="1"/>
  <c r="E361" i="1"/>
  <c r="F361" i="1" s="1"/>
  <c r="E360" i="1"/>
  <c r="F360" i="1" s="1"/>
  <c r="E359" i="1"/>
  <c r="F359" i="1" s="1"/>
  <c r="E358" i="1"/>
  <c r="F358" i="1" s="1"/>
  <c r="E357" i="1"/>
  <c r="F357" i="1" s="1"/>
  <c r="E356" i="1"/>
  <c r="F356" i="1" s="1"/>
  <c r="E355" i="1"/>
  <c r="F355" i="1" s="1"/>
  <c r="E354" i="1"/>
  <c r="F354" i="1" s="1"/>
  <c r="E353" i="1"/>
  <c r="F353" i="1" s="1"/>
  <c r="E352" i="1"/>
  <c r="F352" i="1" s="1"/>
  <c r="E351" i="1"/>
  <c r="F351" i="1" s="1"/>
  <c r="E350" i="1"/>
  <c r="F350" i="1" s="1"/>
  <c r="E349" i="1"/>
  <c r="F349" i="1" s="1"/>
  <c r="E348" i="1"/>
  <c r="F348" i="1" s="1"/>
  <c r="E347" i="1"/>
  <c r="F347" i="1" s="1"/>
  <c r="E346" i="1"/>
  <c r="F346" i="1" s="1"/>
  <c r="E345" i="1"/>
  <c r="F345" i="1" s="1"/>
  <c r="B345" i="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E344" i="1"/>
  <c r="F344"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B117" i="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E116" i="1"/>
  <c r="F116" i="1" s="1"/>
  <c r="E174" i="1"/>
  <c r="F174" i="1" s="1"/>
  <c r="E173" i="1"/>
  <c r="F173" i="1" s="1"/>
  <c r="E172" i="1"/>
  <c r="F172" i="1" s="1"/>
  <c r="E171" i="1"/>
  <c r="F171" i="1" s="1"/>
  <c r="E170" i="1"/>
  <c r="F170" i="1" s="1"/>
  <c r="E169" i="1"/>
  <c r="F169" i="1" s="1"/>
  <c r="E168" i="1"/>
  <c r="F168" i="1" s="1"/>
  <c r="E167" i="1"/>
  <c r="F167" i="1" s="1"/>
  <c r="E166" i="1"/>
  <c r="F166" i="1" s="1"/>
  <c r="E165" i="1"/>
  <c r="F165" i="1" s="1"/>
  <c r="E164" i="1"/>
  <c r="F164" i="1" s="1"/>
  <c r="E163" i="1"/>
  <c r="F163" i="1" s="1"/>
  <c r="E162" i="1"/>
  <c r="F162" i="1" s="1"/>
  <c r="E161" i="1"/>
  <c r="F161" i="1" s="1"/>
  <c r="E160" i="1"/>
  <c r="F160" i="1" s="1"/>
  <c r="E159" i="1"/>
  <c r="F159" i="1" s="1"/>
  <c r="E158" i="1"/>
  <c r="F158" i="1" s="1"/>
  <c r="E157" i="1"/>
  <c r="F157" i="1" s="1"/>
  <c r="E156" i="1"/>
  <c r="F156" i="1" s="1"/>
  <c r="E155" i="1"/>
  <c r="F155" i="1" s="1"/>
  <c r="B155" i="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E154" i="1"/>
  <c r="F154" i="1" s="1"/>
  <c r="E212" i="1"/>
  <c r="F212" i="1" s="1"/>
  <c r="E211" i="1"/>
  <c r="F211" i="1" s="1"/>
  <c r="E210" i="1"/>
  <c r="F210" i="1" s="1"/>
  <c r="E209" i="1"/>
  <c r="F209" i="1" s="1"/>
  <c r="E208" i="1"/>
  <c r="F208" i="1" s="1"/>
  <c r="E207" i="1"/>
  <c r="F207" i="1" s="1"/>
  <c r="E206" i="1"/>
  <c r="F206" i="1" s="1"/>
  <c r="E205" i="1"/>
  <c r="F205" i="1" s="1"/>
  <c r="E204" i="1"/>
  <c r="F204" i="1" s="1"/>
  <c r="E203" i="1"/>
  <c r="F203" i="1" s="1"/>
  <c r="E202" i="1"/>
  <c r="F202" i="1" s="1"/>
  <c r="E201" i="1"/>
  <c r="F201" i="1" s="1"/>
  <c r="E200" i="1"/>
  <c r="F200" i="1" s="1"/>
  <c r="E199" i="1"/>
  <c r="F199" i="1" s="1"/>
  <c r="E198" i="1"/>
  <c r="F198" i="1" s="1"/>
  <c r="E197" i="1"/>
  <c r="F197" i="1" s="1"/>
  <c r="E196" i="1"/>
  <c r="F196" i="1" s="1"/>
  <c r="E195" i="1"/>
  <c r="F195" i="1" s="1"/>
  <c r="E194" i="1"/>
  <c r="F194" i="1" s="1"/>
  <c r="E193" i="1"/>
  <c r="F193" i="1" s="1"/>
  <c r="B193" i="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E192" i="1"/>
  <c r="F192" i="1" s="1"/>
  <c r="E4164" i="1"/>
  <c r="F4164" i="1" s="1"/>
  <c r="E4163" i="1"/>
  <c r="F4163" i="1" s="1"/>
  <c r="E4162" i="1"/>
  <c r="F4162" i="1" s="1"/>
  <c r="E4161" i="1"/>
  <c r="F4161" i="1" s="1"/>
  <c r="E4160" i="1"/>
  <c r="F4160" i="1" s="1"/>
  <c r="E4159" i="1"/>
  <c r="F4159" i="1" s="1"/>
  <c r="E4158" i="1"/>
  <c r="F4158" i="1" s="1"/>
  <c r="E4157" i="1"/>
  <c r="F4157" i="1" s="1"/>
  <c r="E4156" i="1"/>
  <c r="F4156" i="1" s="1"/>
  <c r="E4155" i="1"/>
  <c r="F4155" i="1" s="1"/>
  <c r="E4154" i="1"/>
  <c r="F4154" i="1" s="1"/>
  <c r="E4153" i="1"/>
  <c r="F4153" i="1" s="1"/>
  <c r="E4152" i="1"/>
  <c r="F4152" i="1" s="1"/>
  <c r="E4151" i="1"/>
  <c r="F4151" i="1" s="1"/>
  <c r="E4150" i="1"/>
  <c r="F4150" i="1" s="1"/>
  <c r="E4149" i="1"/>
  <c r="F4149" i="1" s="1"/>
  <c r="E4148" i="1"/>
  <c r="F4148" i="1" s="1"/>
  <c r="E4147" i="1"/>
  <c r="F4147" i="1" s="1"/>
  <c r="E4146" i="1"/>
  <c r="F4146" i="1" s="1"/>
  <c r="E4145" i="1"/>
  <c r="F4145" i="1" s="1"/>
  <c r="B4145" i="1"/>
  <c r="B4146" i="1" s="1"/>
  <c r="B4147" i="1" s="1"/>
  <c r="B4148" i="1" s="1"/>
  <c r="B4149" i="1" s="1"/>
  <c r="B4150" i="1" s="1"/>
  <c r="B4151" i="1" s="1"/>
  <c r="B4152" i="1" s="1"/>
  <c r="B4153" i="1" s="1"/>
  <c r="B4154" i="1" s="1"/>
  <c r="B4155" i="1" s="1"/>
  <c r="B4156" i="1" s="1"/>
  <c r="B4157" i="1" s="1"/>
  <c r="B4158" i="1" s="1"/>
  <c r="B4159" i="1" s="1"/>
  <c r="B4160" i="1" s="1"/>
  <c r="B4161" i="1" s="1"/>
  <c r="B4162" i="1" s="1"/>
  <c r="B4163" i="1" s="1"/>
  <c r="B4164" i="1" s="1"/>
  <c r="B4165" i="1" s="1"/>
  <c r="B4166" i="1" s="1"/>
  <c r="B4167" i="1" s="1"/>
  <c r="B4168" i="1" s="1"/>
  <c r="B4169" i="1" s="1"/>
  <c r="B4170" i="1" s="1"/>
  <c r="B4171" i="1" s="1"/>
  <c r="B4172" i="1" s="1"/>
  <c r="B4173" i="1" s="1"/>
  <c r="B4174" i="1" s="1"/>
  <c r="B4175" i="1" s="1"/>
  <c r="B4176" i="1" s="1"/>
  <c r="B4177" i="1" s="1"/>
  <c r="B4178" i="1" s="1"/>
  <c r="B4179" i="1" s="1"/>
  <c r="B4180" i="1" s="1"/>
  <c r="H4144" i="1"/>
  <c r="H4145" i="1" s="1"/>
  <c r="H4146" i="1" s="1"/>
  <c r="H4147" i="1" s="1"/>
  <c r="H4148" i="1" s="1"/>
  <c r="H4149" i="1" s="1"/>
  <c r="H4150" i="1" s="1"/>
  <c r="H4151" i="1" s="1"/>
  <c r="H4152" i="1" s="1"/>
  <c r="E4144" i="1"/>
  <c r="F4144" i="1" s="1"/>
  <c r="E4012" i="1"/>
  <c r="F4012" i="1" s="1"/>
  <c r="E4011" i="1"/>
  <c r="F4011" i="1" s="1"/>
  <c r="E4010" i="1"/>
  <c r="F4010" i="1" s="1"/>
  <c r="E4009" i="1"/>
  <c r="F4009" i="1" s="1"/>
  <c r="E4008" i="1"/>
  <c r="F4008" i="1" s="1"/>
  <c r="E4007" i="1"/>
  <c r="F4007" i="1" s="1"/>
  <c r="E4006" i="1"/>
  <c r="F4006" i="1" s="1"/>
  <c r="E4005" i="1"/>
  <c r="F4005" i="1" s="1"/>
  <c r="E4004" i="1"/>
  <c r="F4004" i="1" s="1"/>
  <c r="E4003" i="1"/>
  <c r="F4003" i="1" s="1"/>
  <c r="E4002" i="1"/>
  <c r="F4002" i="1" s="1"/>
  <c r="E4001" i="1"/>
  <c r="F4001" i="1" s="1"/>
  <c r="E4000" i="1"/>
  <c r="F4000" i="1" s="1"/>
  <c r="E3999" i="1"/>
  <c r="F3999" i="1" s="1"/>
  <c r="E3998" i="1"/>
  <c r="F3998" i="1" s="1"/>
  <c r="E3997" i="1"/>
  <c r="F3997" i="1" s="1"/>
  <c r="E3996" i="1"/>
  <c r="F3996" i="1" s="1"/>
  <c r="E3995" i="1"/>
  <c r="F3995" i="1" s="1"/>
  <c r="E3994" i="1"/>
  <c r="F3994" i="1" s="1"/>
  <c r="E3993" i="1"/>
  <c r="F3993" i="1" s="1"/>
  <c r="B3993" i="1"/>
  <c r="B3994" i="1" s="1"/>
  <c r="B3995" i="1" s="1"/>
  <c r="B3996" i="1" s="1"/>
  <c r="B3997" i="1" s="1"/>
  <c r="B3998" i="1" s="1"/>
  <c r="B3999" i="1" s="1"/>
  <c r="B4000" i="1" s="1"/>
  <c r="B4001" i="1" s="1"/>
  <c r="B4002" i="1" s="1"/>
  <c r="B4003" i="1" s="1"/>
  <c r="B4004" i="1" s="1"/>
  <c r="B4005" i="1" s="1"/>
  <c r="B4006" i="1" s="1"/>
  <c r="B4007" i="1" s="1"/>
  <c r="B4008" i="1" s="1"/>
  <c r="B4009" i="1" s="1"/>
  <c r="B4010" i="1" s="1"/>
  <c r="B4011" i="1" s="1"/>
  <c r="B4012" i="1" s="1"/>
  <c r="B4013" i="1" s="1"/>
  <c r="B4014" i="1" s="1"/>
  <c r="B4015" i="1" s="1"/>
  <c r="B4016" i="1" s="1"/>
  <c r="B4017" i="1" s="1"/>
  <c r="B4018" i="1" s="1"/>
  <c r="B4019" i="1" s="1"/>
  <c r="B4020" i="1" s="1"/>
  <c r="B4021" i="1" s="1"/>
  <c r="B4022" i="1" s="1"/>
  <c r="B4023" i="1" s="1"/>
  <c r="B4024" i="1" s="1"/>
  <c r="B4025" i="1" s="1"/>
  <c r="B4026" i="1" s="1"/>
  <c r="B4027" i="1" s="1"/>
  <c r="B4028" i="1" s="1"/>
  <c r="H3992" i="1"/>
  <c r="H3993" i="1" s="1"/>
  <c r="H3994" i="1" s="1"/>
  <c r="H3995" i="1" s="1"/>
  <c r="H3996" i="1" s="1"/>
  <c r="H3997" i="1" s="1"/>
  <c r="H3998" i="1" s="1"/>
  <c r="H3999" i="1" s="1"/>
  <c r="E3992" i="1"/>
  <c r="F3992" i="1" s="1"/>
  <c r="E3860" i="1"/>
  <c r="F3860" i="1" s="1"/>
  <c r="E3859" i="1"/>
  <c r="F3859" i="1" s="1"/>
  <c r="E3858" i="1"/>
  <c r="F3858" i="1" s="1"/>
  <c r="E3857" i="1"/>
  <c r="F3857" i="1" s="1"/>
  <c r="E3856" i="1"/>
  <c r="F3856" i="1" s="1"/>
  <c r="E3855" i="1"/>
  <c r="F3855" i="1" s="1"/>
  <c r="E3854" i="1"/>
  <c r="F3854" i="1" s="1"/>
  <c r="E3853" i="1"/>
  <c r="F3853" i="1" s="1"/>
  <c r="E3852" i="1"/>
  <c r="F3852" i="1" s="1"/>
  <c r="E3851" i="1"/>
  <c r="F3851" i="1" s="1"/>
  <c r="E3850" i="1"/>
  <c r="F3850" i="1" s="1"/>
  <c r="E3849" i="1"/>
  <c r="F3849" i="1" s="1"/>
  <c r="E3848" i="1"/>
  <c r="F3848" i="1" s="1"/>
  <c r="E3847" i="1"/>
  <c r="F3847" i="1" s="1"/>
  <c r="E3846" i="1"/>
  <c r="F3846" i="1" s="1"/>
  <c r="E3845" i="1"/>
  <c r="F3845" i="1" s="1"/>
  <c r="E3844" i="1"/>
  <c r="F3844" i="1" s="1"/>
  <c r="E3843" i="1"/>
  <c r="F3843" i="1" s="1"/>
  <c r="E3842" i="1"/>
  <c r="F3842" i="1" s="1"/>
  <c r="E3841" i="1"/>
  <c r="F3841" i="1" s="1"/>
  <c r="B3841" i="1"/>
  <c r="B3842" i="1" s="1"/>
  <c r="B3843" i="1" s="1"/>
  <c r="B3844" i="1" s="1"/>
  <c r="B3845" i="1" s="1"/>
  <c r="B3846" i="1" s="1"/>
  <c r="B3847" i="1" s="1"/>
  <c r="B3848" i="1" s="1"/>
  <c r="B3849" i="1" s="1"/>
  <c r="B3850" i="1" s="1"/>
  <c r="B3851" i="1" s="1"/>
  <c r="B3852" i="1" s="1"/>
  <c r="B3853" i="1" s="1"/>
  <c r="B3854" i="1" s="1"/>
  <c r="B3855" i="1" s="1"/>
  <c r="B3856" i="1" s="1"/>
  <c r="B3857" i="1" s="1"/>
  <c r="B3858" i="1" s="1"/>
  <c r="B3859" i="1" s="1"/>
  <c r="B3860" i="1" s="1"/>
  <c r="B3861" i="1" s="1"/>
  <c r="B3862" i="1" s="1"/>
  <c r="B3863" i="1" s="1"/>
  <c r="B3864" i="1" s="1"/>
  <c r="B3865" i="1" s="1"/>
  <c r="B3866" i="1" s="1"/>
  <c r="B3867" i="1" s="1"/>
  <c r="B3868" i="1" s="1"/>
  <c r="B3869" i="1" s="1"/>
  <c r="B3870" i="1" s="1"/>
  <c r="B3871" i="1" s="1"/>
  <c r="B3872" i="1" s="1"/>
  <c r="B3873" i="1" s="1"/>
  <c r="B3874" i="1" s="1"/>
  <c r="B3875" i="1" s="1"/>
  <c r="B3876" i="1" s="1"/>
  <c r="H3840" i="1"/>
  <c r="H3841" i="1" s="1"/>
  <c r="H3842" i="1" s="1"/>
  <c r="H3843" i="1" s="1"/>
  <c r="H3844" i="1" s="1"/>
  <c r="H3845" i="1" s="1"/>
  <c r="H3846" i="1" s="1"/>
  <c r="E3840" i="1"/>
  <c r="F3840" i="1" s="1"/>
  <c r="E3822" i="1"/>
  <c r="F3822" i="1" s="1"/>
  <c r="E3821" i="1"/>
  <c r="F3821" i="1" s="1"/>
  <c r="E3820" i="1"/>
  <c r="F3820" i="1" s="1"/>
  <c r="E3819" i="1"/>
  <c r="F3819" i="1" s="1"/>
  <c r="E3818" i="1"/>
  <c r="F3818" i="1" s="1"/>
  <c r="E3817" i="1"/>
  <c r="F3817" i="1" s="1"/>
  <c r="E3816" i="1"/>
  <c r="F3816" i="1" s="1"/>
  <c r="E3815" i="1"/>
  <c r="F3815" i="1" s="1"/>
  <c r="E3814" i="1"/>
  <c r="F3814" i="1" s="1"/>
  <c r="E3813" i="1"/>
  <c r="F3813" i="1" s="1"/>
  <c r="E3812" i="1"/>
  <c r="F3812" i="1" s="1"/>
  <c r="E3811" i="1"/>
  <c r="F3811" i="1" s="1"/>
  <c r="E3810" i="1"/>
  <c r="F3810" i="1" s="1"/>
  <c r="E3809" i="1"/>
  <c r="F3809" i="1" s="1"/>
  <c r="E3808" i="1"/>
  <c r="F3808" i="1" s="1"/>
  <c r="E3807" i="1"/>
  <c r="F3807" i="1" s="1"/>
  <c r="E3806" i="1"/>
  <c r="F3806" i="1" s="1"/>
  <c r="E3805" i="1"/>
  <c r="F3805" i="1" s="1"/>
  <c r="E3804" i="1"/>
  <c r="F3804" i="1" s="1"/>
  <c r="E3803" i="1"/>
  <c r="F3803" i="1" s="1"/>
  <c r="B3803" i="1"/>
  <c r="B3804" i="1" s="1"/>
  <c r="B3805" i="1" s="1"/>
  <c r="B3806" i="1" s="1"/>
  <c r="B3807" i="1" s="1"/>
  <c r="B3808" i="1" s="1"/>
  <c r="B3809" i="1" s="1"/>
  <c r="B3810" i="1" s="1"/>
  <c r="B3811" i="1" s="1"/>
  <c r="B3812" i="1" s="1"/>
  <c r="B3813" i="1" s="1"/>
  <c r="B3814" i="1" s="1"/>
  <c r="B3815" i="1" s="1"/>
  <c r="B3816" i="1" s="1"/>
  <c r="B3817" i="1" s="1"/>
  <c r="B3818" i="1" s="1"/>
  <c r="B3819" i="1" s="1"/>
  <c r="B3820" i="1" s="1"/>
  <c r="B3821" i="1" s="1"/>
  <c r="B3822" i="1" s="1"/>
  <c r="B3823" i="1" s="1"/>
  <c r="B3824" i="1" s="1"/>
  <c r="B3825" i="1" s="1"/>
  <c r="B3826" i="1" s="1"/>
  <c r="B3827" i="1" s="1"/>
  <c r="B3828" i="1" s="1"/>
  <c r="B3829" i="1" s="1"/>
  <c r="B3830" i="1" s="1"/>
  <c r="B3831" i="1" s="1"/>
  <c r="B3832" i="1" s="1"/>
  <c r="B3833" i="1" s="1"/>
  <c r="B3834" i="1" s="1"/>
  <c r="B3835" i="1" s="1"/>
  <c r="B3836" i="1" s="1"/>
  <c r="B3837" i="1" s="1"/>
  <c r="B3838" i="1" s="1"/>
  <c r="H3802" i="1"/>
  <c r="H3803" i="1" s="1"/>
  <c r="H3804" i="1" s="1"/>
  <c r="H3805" i="1" s="1"/>
  <c r="H3806" i="1" s="1"/>
  <c r="H3807" i="1" s="1"/>
  <c r="E3802" i="1"/>
  <c r="F3802" i="1" s="1"/>
  <c r="E3801" i="1"/>
  <c r="E3784" i="1"/>
  <c r="F3784" i="1" s="1"/>
  <c r="E3783" i="1"/>
  <c r="F3783" i="1" s="1"/>
  <c r="E3782" i="1"/>
  <c r="F3782" i="1" s="1"/>
  <c r="E3781" i="1"/>
  <c r="F3781" i="1" s="1"/>
  <c r="E3780" i="1"/>
  <c r="F3780" i="1" s="1"/>
  <c r="E3779" i="1"/>
  <c r="F3779" i="1" s="1"/>
  <c r="E3778" i="1"/>
  <c r="F3778" i="1" s="1"/>
  <c r="E3777" i="1"/>
  <c r="F3777" i="1" s="1"/>
  <c r="E3776" i="1"/>
  <c r="F3776" i="1" s="1"/>
  <c r="E3775" i="1"/>
  <c r="F3775" i="1" s="1"/>
  <c r="E3774" i="1"/>
  <c r="F3774" i="1" s="1"/>
  <c r="E3773" i="1"/>
  <c r="F3773" i="1" s="1"/>
  <c r="E3772" i="1"/>
  <c r="F3772" i="1" s="1"/>
  <c r="E3771" i="1"/>
  <c r="F3771" i="1" s="1"/>
  <c r="E3770" i="1"/>
  <c r="F3770" i="1" s="1"/>
  <c r="E3769" i="1"/>
  <c r="F3769" i="1" s="1"/>
  <c r="E3768" i="1"/>
  <c r="F3768" i="1" s="1"/>
  <c r="E3767" i="1"/>
  <c r="F3767" i="1" s="1"/>
  <c r="E3766" i="1"/>
  <c r="F3766" i="1" s="1"/>
  <c r="E3765" i="1"/>
  <c r="F3765" i="1" s="1"/>
  <c r="B3765" i="1"/>
  <c r="B3766" i="1" s="1"/>
  <c r="B3767" i="1" s="1"/>
  <c r="B3768" i="1" s="1"/>
  <c r="B3769" i="1" s="1"/>
  <c r="B3770" i="1" s="1"/>
  <c r="B3771" i="1" s="1"/>
  <c r="B3772" i="1" s="1"/>
  <c r="B3773" i="1" s="1"/>
  <c r="B3774" i="1" s="1"/>
  <c r="B3775" i="1" s="1"/>
  <c r="B3776" i="1" s="1"/>
  <c r="B3777" i="1" s="1"/>
  <c r="B3778" i="1" s="1"/>
  <c r="B3779" i="1" s="1"/>
  <c r="B3780" i="1" s="1"/>
  <c r="B3781" i="1" s="1"/>
  <c r="B3782" i="1" s="1"/>
  <c r="B3783" i="1" s="1"/>
  <c r="B3784" i="1" s="1"/>
  <c r="B3785" i="1" s="1"/>
  <c r="B3786" i="1" s="1"/>
  <c r="B3787" i="1" s="1"/>
  <c r="B3788" i="1" s="1"/>
  <c r="B3789" i="1" s="1"/>
  <c r="B3790" i="1" s="1"/>
  <c r="B3791" i="1" s="1"/>
  <c r="B3792" i="1" s="1"/>
  <c r="B3793" i="1" s="1"/>
  <c r="B3794" i="1" s="1"/>
  <c r="B3795" i="1" s="1"/>
  <c r="B3796" i="1" s="1"/>
  <c r="B3797" i="1" s="1"/>
  <c r="B3798" i="1" s="1"/>
  <c r="B3799" i="1" s="1"/>
  <c r="B3800" i="1" s="1"/>
  <c r="H3764" i="1"/>
  <c r="H3765" i="1" s="1"/>
  <c r="H3766" i="1" s="1"/>
  <c r="H3767" i="1" s="1"/>
  <c r="H3768" i="1" s="1"/>
  <c r="E3764" i="1"/>
  <c r="F3764" i="1" s="1"/>
  <c r="E3746" i="1"/>
  <c r="F3746" i="1" s="1"/>
  <c r="E3745" i="1"/>
  <c r="F3745" i="1" s="1"/>
  <c r="E3744" i="1"/>
  <c r="F3744" i="1" s="1"/>
  <c r="E3743" i="1"/>
  <c r="F3743" i="1" s="1"/>
  <c r="E3742" i="1"/>
  <c r="F3742" i="1" s="1"/>
  <c r="E3741" i="1"/>
  <c r="F3741" i="1" s="1"/>
  <c r="E3740" i="1"/>
  <c r="F3740" i="1" s="1"/>
  <c r="E3739" i="1"/>
  <c r="F3739" i="1" s="1"/>
  <c r="E3738" i="1"/>
  <c r="F3738" i="1" s="1"/>
  <c r="E3737" i="1"/>
  <c r="F3737" i="1" s="1"/>
  <c r="E3736" i="1"/>
  <c r="F3736" i="1" s="1"/>
  <c r="E3735" i="1"/>
  <c r="F3735" i="1" s="1"/>
  <c r="E3734" i="1"/>
  <c r="F3734" i="1" s="1"/>
  <c r="E3733" i="1"/>
  <c r="F3733" i="1" s="1"/>
  <c r="E3732" i="1"/>
  <c r="F3732" i="1" s="1"/>
  <c r="E3731" i="1"/>
  <c r="F3731" i="1" s="1"/>
  <c r="E3730" i="1"/>
  <c r="F3730" i="1" s="1"/>
  <c r="E3729" i="1"/>
  <c r="F3729" i="1" s="1"/>
  <c r="E3728" i="1"/>
  <c r="F3728" i="1" s="1"/>
  <c r="E3727" i="1"/>
  <c r="F3727" i="1" s="1"/>
  <c r="B3727" i="1"/>
  <c r="B3728" i="1" s="1"/>
  <c r="B3729" i="1" s="1"/>
  <c r="B3730" i="1" s="1"/>
  <c r="B3731" i="1" s="1"/>
  <c r="B3732" i="1" s="1"/>
  <c r="B3733" i="1" s="1"/>
  <c r="B3734" i="1" s="1"/>
  <c r="B3735" i="1" s="1"/>
  <c r="B3736" i="1" s="1"/>
  <c r="B3737" i="1" s="1"/>
  <c r="B3738" i="1" s="1"/>
  <c r="B3739" i="1" s="1"/>
  <c r="B3740" i="1" s="1"/>
  <c r="B3741" i="1" s="1"/>
  <c r="B3742" i="1" s="1"/>
  <c r="B3743" i="1" s="1"/>
  <c r="B3744" i="1" s="1"/>
  <c r="B3745" i="1" s="1"/>
  <c r="B3746" i="1" s="1"/>
  <c r="B3747" i="1" s="1"/>
  <c r="B3748" i="1" s="1"/>
  <c r="B3749" i="1" s="1"/>
  <c r="B3750" i="1" s="1"/>
  <c r="B3751" i="1" s="1"/>
  <c r="B3752" i="1" s="1"/>
  <c r="B3753" i="1" s="1"/>
  <c r="B3754" i="1" s="1"/>
  <c r="B3755" i="1" s="1"/>
  <c r="B3756" i="1" s="1"/>
  <c r="B3757" i="1" s="1"/>
  <c r="B3758" i="1" s="1"/>
  <c r="B3759" i="1" s="1"/>
  <c r="B3760" i="1" s="1"/>
  <c r="B3761" i="1" s="1"/>
  <c r="B3762" i="1" s="1"/>
  <c r="H3726" i="1"/>
  <c r="E3726" i="1"/>
  <c r="F3726" i="1" s="1"/>
  <c r="E3594" i="1"/>
  <c r="F3594" i="1" s="1"/>
  <c r="E3593" i="1"/>
  <c r="F3593" i="1" s="1"/>
  <c r="E3592" i="1"/>
  <c r="F3592" i="1" s="1"/>
  <c r="E3591" i="1"/>
  <c r="F3591" i="1" s="1"/>
  <c r="E3590" i="1"/>
  <c r="F3590" i="1" s="1"/>
  <c r="E3589" i="1"/>
  <c r="F3589" i="1" s="1"/>
  <c r="E3588" i="1"/>
  <c r="F3588" i="1" s="1"/>
  <c r="E3587" i="1"/>
  <c r="F3587" i="1" s="1"/>
  <c r="E3586" i="1"/>
  <c r="F3586" i="1" s="1"/>
  <c r="E3585" i="1"/>
  <c r="F3585" i="1" s="1"/>
  <c r="E3584" i="1"/>
  <c r="F3584" i="1" s="1"/>
  <c r="E3583" i="1"/>
  <c r="F3583" i="1" s="1"/>
  <c r="E3582" i="1"/>
  <c r="F3582" i="1" s="1"/>
  <c r="E3581" i="1"/>
  <c r="F3581" i="1" s="1"/>
  <c r="E3580" i="1"/>
  <c r="F3580" i="1" s="1"/>
  <c r="E3579" i="1"/>
  <c r="F3579" i="1" s="1"/>
  <c r="E3578" i="1"/>
  <c r="F3578" i="1" s="1"/>
  <c r="E3577" i="1"/>
  <c r="F3577" i="1" s="1"/>
  <c r="E3576" i="1"/>
  <c r="F3576" i="1" s="1"/>
  <c r="E3575" i="1"/>
  <c r="F3575" i="1" s="1"/>
  <c r="B3575" i="1"/>
  <c r="B3576" i="1" s="1"/>
  <c r="B3577" i="1" s="1"/>
  <c r="B3578" i="1" s="1"/>
  <c r="B3579" i="1" s="1"/>
  <c r="B3580" i="1" s="1"/>
  <c r="B3581" i="1" s="1"/>
  <c r="B3582" i="1" s="1"/>
  <c r="B3583" i="1" s="1"/>
  <c r="B3584" i="1" s="1"/>
  <c r="B3585" i="1" s="1"/>
  <c r="B3586" i="1" s="1"/>
  <c r="B3587" i="1" s="1"/>
  <c r="B3588" i="1" s="1"/>
  <c r="B3589" i="1" s="1"/>
  <c r="B3590" i="1" s="1"/>
  <c r="B3591" i="1" s="1"/>
  <c r="B3592" i="1" s="1"/>
  <c r="B3593" i="1" s="1"/>
  <c r="B3594" i="1" s="1"/>
  <c r="B3595" i="1" s="1"/>
  <c r="B3596" i="1" s="1"/>
  <c r="B3597" i="1" s="1"/>
  <c r="B3598" i="1" s="1"/>
  <c r="B3599" i="1" s="1"/>
  <c r="B3600" i="1" s="1"/>
  <c r="B3601" i="1" s="1"/>
  <c r="B3602" i="1" s="1"/>
  <c r="B3603" i="1" s="1"/>
  <c r="B3604" i="1" s="1"/>
  <c r="B3605" i="1" s="1"/>
  <c r="B3606" i="1" s="1"/>
  <c r="B3607" i="1" s="1"/>
  <c r="B3608" i="1" s="1"/>
  <c r="B3609" i="1" s="1"/>
  <c r="B3610" i="1" s="1"/>
  <c r="H3574" i="1"/>
  <c r="H3575" i="1" s="1"/>
  <c r="H3576" i="1" s="1"/>
  <c r="E3574" i="1"/>
  <c r="F3574" i="1" s="1"/>
  <c r="E3442" i="1"/>
  <c r="F3442" i="1" s="1"/>
  <c r="E3441" i="1"/>
  <c r="F3441" i="1" s="1"/>
  <c r="E3440" i="1"/>
  <c r="F3440" i="1" s="1"/>
  <c r="E3439" i="1"/>
  <c r="F3439" i="1" s="1"/>
  <c r="E3438" i="1"/>
  <c r="F3438" i="1" s="1"/>
  <c r="E3437" i="1"/>
  <c r="F3437" i="1" s="1"/>
  <c r="E3436" i="1"/>
  <c r="F3436" i="1" s="1"/>
  <c r="E3435" i="1"/>
  <c r="F3435" i="1" s="1"/>
  <c r="E3434" i="1"/>
  <c r="F3434" i="1" s="1"/>
  <c r="E3433" i="1"/>
  <c r="F3433" i="1" s="1"/>
  <c r="E3432" i="1"/>
  <c r="F3432" i="1" s="1"/>
  <c r="E3431" i="1"/>
  <c r="F3431" i="1" s="1"/>
  <c r="E3430" i="1"/>
  <c r="F3430" i="1" s="1"/>
  <c r="E3429" i="1"/>
  <c r="F3429" i="1" s="1"/>
  <c r="E3428" i="1"/>
  <c r="F3428" i="1" s="1"/>
  <c r="E3427" i="1"/>
  <c r="F3427" i="1" s="1"/>
  <c r="E3426" i="1"/>
  <c r="F3426" i="1" s="1"/>
  <c r="E3425" i="1"/>
  <c r="F3425" i="1" s="1"/>
  <c r="E3424" i="1"/>
  <c r="F3424" i="1" s="1"/>
  <c r="E3423" i="1"/>
  <c r="F3423" i="1" s="1"/>
  <c r="B3423" i="1"/>
  <c r="B3424" i="1" s="1"/>
  <c r="B3425" i="1" s="1"/>
  <c r="B3426" i="1" s="1"/>
  <c r="B3427" i="1" s="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H3422" i="1"/>
  <c r="E3422" i="1"/>
  <c r="F3422" i="1" s="1"/>
  <c r="E3404" i="1"/>
  <c r="F3404" i="1" s="1"/>
  <c r="E3403" i="1"/>
  <c r="F3403" i="1" s="1"/>
  <c r="E3402" i="1"/>
  <c r="F3402" i="1" s="1"/>
  <c r="E3401" i="1"/>
  <c r="F3401" i="1" s="1"/>
  <c r="E3400" i="1"/>
  <c r="F3400" i="1" s="1"/>
  <c r="E3399" i="1"/>
  <c r="F3399" i="1" s="1"/>
  <c r="E3398" i="1"/>
  <c r="F3398" i="1" s="1"/>
  <c r="E3397" i="1"/>
  <c r="F3397" i="1" s="1"/>
  <c r="E3396" i="1"/>
  <c r="F3396" i="1" s="1"/>
  <c r="E3395" i="1"/>
  <c r="F3395" i="1" s="1"/>
  <c r="E3394" i="1"/>
  <c r="F3394" i="1" s="1"/>
  <c r="E3393" i="1"/>
  <c r="F3393" i="1" s="1"/>
  <c r="E3392" i="1"/>
  <c r="F3392" i="1" s="1"/>
  <c r="E3391" i="1"/>
  <c r="F3391" i="1" s="1"/>
  <c r="E3390" i="1"/>
  <c r="F3390" i="1" s="1"/>
  <c r="E3389" i="1"/>
  <c r="F3389" i="1" s="1"/>
  <c r="E3388" i="1"/>
  <c r="F3388" i="1" s="1"/>
  <c r="E3387" i="1"/>
  <c r="F3387" i="1" s="1"/>
  <c r="E3386" i="1"/>
  <c r="F3386" i="1" s="1"/>
  <c r="E3385" i="1"/>
  <c r="F3385" i="1" s="1"/>
  <c r="B3385" i="1"/>
  <c r="B3386" i="1" s="1"/>
  <c r="B3387" i="1" s="1"/>
  <c r="B3388" i="1" s="1"/>
  <c r="B3389" i="1" s="1"/>
  <c r="B3390" i="1" s="1"/>
  <c r="B3391" i="1" s="1"/>
  <c r="B3392" i="1" s="1"/>
  <c r="B3393" i="1" s="1"/>
  <c r="B3394" i="1" s="1"/>
  <c r="B3395" i="1" s="1"/>
  <c r="B3396" i="1" s="1"/>
  <c r="B3397" i="1" s="1"/>
  <c r="B3398" i="1" s="1"/>
  <c r="B3399" i="1" s="1"/>
  <c r="B3400" i="1" s="1"/>
  <c r="B3401" i="1" s="1"/>
  <c r="B3402" i="1" s="1"/>
  <c r="B3403" i="1" s="1"/>
  <c r="B3404" i="1" s="1"/>
  <c r="B3405" i="1" s="1"/>
  <c r="B3406" i="1" s="1"/>
  <c r="B3407" i="1" s="1"/>
  <c r="B3408" i="1" s="1"/>
  <c r="B3409" i="1" s="1"/>
  <c r="B3410" i="1" s="1"/>
  <c r="B3411" i="1" s="1"/>
  <c r="B3412" i="1" s="1"/>
  <c r="B3413" i="1" s="1"/>
  <c r="B3414" i="1" s="1"/>
  <c r="B3415" i="1" s="1"/>
  <c r="B3416" i="1" s="1"/>
  <c r="B3417" i="1" s="1"/>
  <c r="B3418" i="1" s="1"/>
  <c r="B3419" i="1" s="1"/>
  <c r="B3420" i="1" s="1"/>
  <c r="H3384" i="1"/>
  <c r="H3385" i="1" s="1"/>
  <c r="H3386" i="1" s="1"/>
  <c r="E3384" i="1"/>
  <c r="F3384" i="1" s="1"/>
  <c r="E3383" i="1"/>
  <c r="E3366" i="1"/>
  <c r="F3366" i="1" s="1"/>
  <c r="E3365" i="1"/>
  <c r="F3365" i="1" s="1"/>
  <c r="E3364" i="1"/>
  <c r="F3364" i="1" s="1"/>
  <c r="E3363" i="1"/>
  <c r="F3363" i="1" s="1"/>
  <c r="E3362" i="1"/>
  <c r="F3362" i="1" s="1"/>
  <c r="E3361" i="1"/>
  <c r="F3361" i="1" s="1"/>
  <c r="E3360" i="1"/>
  <c r="F3360" i="1" s="1"/>
  <c r="E3359" i="1"/>
  <c r="F3359" i="1" s="1"/>
  <c r="E3358" i="1"/>
  <c r="F3358" i="1" s="1"/>
  <c r="E3357" i="1"/>
  <c r="F3357" i="1" s="1"/>
  <c r="E3356" i="1"/>
  <c r="F3356" i="1" s="1"/>
  <c r="E3355" i="1"/>
  <c r="F3355" i="1" s="1"/>
  <c r="E3354" i="1"/>
  <c r="F3354" i="1" s="1"/>
  <c r="E3353" i="1"/>
  <c r="F3353" i="1" s="1"/>
  <c r="E3352" i="1"/>
  <c r="F3352" i="1" s="1"/>
  <c r="E3351" i="1"/>
  <c r="F3351" i="1" s="1"/>
  <c r="E3350" i="1"/>
  <c r="F3350" i="1" s="1"/>
  <c r="E3349" i="1"/>
  <c r="F3349" i="1" s="1"/>
  <c r="E3348" i="1"/>
  <c r="F3348" i="1" s="1"/>
  <c r="E3347" i="1"/>
  <c r="F3347" i="1" s="1"/>
  <c r="B3347" i="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H3346" i="1"/>
  <c r="H3347" i="1" s="1"/>
  <c r="H3348" i="1" s="1"/>
  <c r="H3349" i="1" s="1"/>
  <c r="H3350" i="1" s="1"/>
  <c r="E3346" i="1"/>
  <c r="F3346" i="1" s="1"/>
  <c r="H3450" i="10" l="1"/>
  <c r="I3449" i="10"/>
  <c r="H3410" i="10"/>
  <c r="I3409" i="10"/>
  <c r="H3372" i="10"/>
  <c r="I3371" i="10"/>
  <c r="H2532" i="1"/>
  <c r="I2531" i="1"/>
  <c r="I2548" i="1"/>
  <c r="I2510" i="1"/>
  <c r="I2549" i="1"/>
  <c r="I2528" i="1"/>
  <c r="I2522" i="1"/>
  <c r="I2517" i="1"/>
  <c r="I2523" i="1"/>
  <c r="I2512" i="1"/>
  <c r="I2527" i="1"/>
  <c r="I2513" i="1"/>
  <c r="I2529" i="1"/>
  <c r="I2518" i="1"/>
  <c r="I2524" i="1"/>
  <c r="I2514" i="1"/>
  <c r="I2519" i="1"/>
  <c r="I2511" i="1"/>
  <c r="I2530" i="1"/>
  <c r="I2520" i="1"/>
  <c r="I2525" i="1"/>
  <c r="I2515" i="1"/>
  <c r="I2521" i="1"/>
  <c r="I2516" i="1"/>
  <c r="I2526" i="1"/>
  <c r="I2550" i="1"/>
  <c r="H2551" i="1"/>
  <c r="H2552" i="1" s="1"/>
  <c r="I2476" i="1"/>
  <c r="I2477" i="1"/>
  <c r="I2479" i="1"/>
  <c r="H2481" i="1"/>
  <c r="H2482" i="1" s="1"/>
  <c r="H2483" i="1" s="1"/>
  <c r="H2484" i="1" s="1"/>
  <c r="H2485" i="1" s="1"/>
  <c r="H2486" i="1" s="1"/>
  <c r="H2487" i="1" s="1"/>
  <c r="H2488" i="1" s="1"/>
  <c r="I2480" i="1"/>
  <c r="I2478" i="1"/>
  <c r="I2473" i="1"/>
  <c r="I2474" i="1"/>
  <c r="I2475" i="1"/>
  <c r="I2472" i="1"/>
  <c r="I2320" i="1"/>
  <c r="I2321" i="1"/>
  <c r="H2325" i="1"/>
  <c r="H2326" i="1" s="1"/>
  <c r="H2327" i="1" s="1"/>
  <c r="H2328" i="1" s="1"/>
  <c r="I2324" i="1"/>
  <c r="I2323" i="1"/>
  <c r="I2322" i="1"/>
  <c r="I3346" i="1"/>
  <c r="I3384" i="1"/>
  <c r="I3995" i="1"/>
  <c r="I3843" i="1"/>
  <c r="I4146" i="1"/>
  <c r="I3992" i="1"/>
  <c r="I3841" i="1"/>
  <c r="I4150" i="1"/>
  <c r="I3386" i="1"/>
  <c r="I3996" i="1"/>
  <c r="I3803" i="1"/>
  <c r="I3767" i="1"/>
  <c r="I3802" i="1"/>
  <c r="I3845" i="1"/>
  <c r="I3840" i="1"/>
  <c r="I3993" i="1"/>
  <c r="I3844" i="1"/>
  <c r="I3385" i="1"/>
  <c r="I3575" i="1"/>
  <c r="I3994" i="1"/>
  <c r="I3997" i="1"/>
  <c r="H3387" i="1"/>
  <c r="H3388" i="1" s="1"/>
  <c r="H3389" i="1" s="1"/>
  <c r="H3390" i="1" s="1"/>
  <c r="H3391" i="1" s="1"/>
  <c r="H3392" i="1" s="1"/>
  <c r="H3393" i="1" s="1"/>
  <c r="I3842" i="1"/>
  <c r="I3574" i="1"/>
  <c r="I3764" i="1"/>
  <c r="I3766" i="1"/>
  <c r="I3804" i="1"/>
  <c r="H3808" i="1"/>
  <c r="H3809" i="1" s="1"/>
  <c r="H3810" i="1" s="1"/>
  <c r="I3807" i="1"/>
  <c r="I3805" i="1"/>
  <c r="I4151" i="1"/>
  <c r="I3806" i="1"/>
  <c r="I4147" i="1"/>
  <c r="H4153" i="1"/>
  <c r="H4154" i="1" s="1"/>
  <c r="H4155" i="1" s="1"/>
  <c r="H4156" i="1" s="1"/>
  <c r="H4157" i="1" s="1"/>
  <c r="H4158" i="1" s="1"/>
  <c r="H4159" i="1" s="1"/>
  <c r="H4160" i="1" s="1"/>
  <c r="I4152" i="1"/>
  <c r="H3769" i="1"/>
  <c r="H3770" i="1" s="1"/>
  <c r="H3771" i="1" s="1"/>
  <c r="H3772" i="1" s="1"/>
  <c r="H3773" i="1" s="1"/>
  <c r="I3768" i="1"/>
  <c r="H4000" i="1"/>
  <c r="H4001" i="1" s="1"/>
  <c r="H4002" i="1" s="1"/>
  <c r="H4003" i="1" s="1"/>
  <c r="H4004" i="1" s="1"/>
  <c r="H4005" i="1" s="1"/>
  <c r="H4006" i="1" s="1"/>
  <c r="H4007" i="1" s="1"/>
  <c r="I3999" i="1"/>
  <c r="I4148" i="1"/>
  <c r="I4145" i="1"/>
  <c r="H3847" i="1"/>
  <c r="H3848" i="1" s="1"/>
  <c r="H3849" i="1" s="1"/>
  <c r="I3846" i="1"/>
  <c r="I3998" i="1"/>
  <c r="I4149" i="1"/>
  <c r="I4144" i="1"/>
  <c r="I3765" i="1"/>
  <c r="H3351" i="1"/>
  <c r="I3350" i="1"/>
  <c r="I3422" i="1"/>
  <c r="H3423" i="1"/>
  <c r="H3424" i="1" s="1"/>
  <c r="H3425" i="1" s="1"/>
  <c r="H3426" i="1" s="1"/>
  <c r="I3347" i="1"/>
  <c r="I3348" i="1"/>
  <c r="H3577" i="1"/>
  <c r="H3578" i="1" s="1"/>
  <c r="H3579" i="1" s="1"/>
  <c r="H3580" i="1" s="1"/>
  <c r="I3576" i="1"/>
  <c r="H3727" i="1"/>
  <c r="H3728" i="1" s="1"/>
  <c r="H3729" i="1" s="1"/>
  <c r="H3730" i="1" s="1"/>
  <c r="I3726" i="1"/>
  <c r="I3349" i="1"/>
  <c r="H3451" i="10" l="1"/>
  <c r="I3450" i="10"/>
  <c r="H3411" i="10"/>
  <c r="I3410" i="10"/>
  <c r="H3373" i="10"/>
  <c r="I3372" i="10"/>
  <c r="H2533" i="1"/>
  <c r="I2532" i="1"/>
  <c r="I2484" i="1"/>
  <c r="I2486" i="1"/>
  <c r="I2552" i="1"/>
  <c r="H2553" i="1"/>
  <c r="I2551" i="1"/>
  <c r="I2481" i="1"/>
  <c r="I2485" i="1"/>
  <c r="H2489" i="1"/>
  <c r="I2488" i="1"/>
  <c r="I2487" i="1"/>
  <c r="I2482" i="1"/>
  <c r="I2483" i="1"/>
  <c r="H2329" i="1"/>
  <c r="I2328" i="1"/>
  <c r="I2325" i="1"/>
  <c r="I2326" i="1"/>
  <c r="I2327" i="1"/>
  <c r="I3769" i="1"/>
  <c r="I3772" i="1"/>
  <c r="I3770" i="1"/>
  <c r="I3388" i="1"/>
  <c r="I4003" i="1"/>
  <c r="I4156" i="1"/>
  <c r="I4154" i="1"/>
  <c r="I3727" i="1"/>
  <c r="I3390" i="1"/>
  <c r="I3389" i="1"/>
  <c r="I3729" i="1"/>
  <c r="I3728" i="1"/>
  <c r="I3387" i="1"/>
  <c r="I4000" i="1"/>
  <c r="I4005" i="1"/>
  <c r="I3810" i="1"/>
  <c r="H3811" i="1"/>
  <c r="I3848" i="1"/>
  <c r="I4002" i="1"/>
  <c r="H3850" i="1"/>
  <c r="I3849" i="1"/>
  <c r="I4158" i="1"/>
  <c r="I4155" i="1"/>
  <c r="I3808" i="1"/>
  <c r="H4008" i="1"/>
  <c r="I4007" i="1"/>
  <c r="I4004" i="1"/>
  <c r="H4161" i="1"/>
  <c r="I4160" i="1"/>
  <c r="I3847" i="1"/>
  <c r="I4159" i="1"/>
  <c r="I3809" i="1"/>
  <c r="I4153" i="1"/>
  <c r="I4001" i="1"/>
  <c r="H3774" i="1"/>
  <c r="I3773" i="1"/>
  <c r="I4006" i="1"/>
  <c r="I4157" i="1"/>
  <c r="I3771" i="1"/>
  <c r="I3392" i="1"/>
  <c r="I3393" i="1"/>
  <c r="H3394" i="1"/>
  <c r="H3427" i="1"/>
  <c r="I3426" i="1"/>
  <c r="I3578" i="1"/>
  <c r="I3424" i="1"/>
  <c r="I3391" i="1"/>
  <c r="I3730" i="1"/>
  <c r="H3731" i="1"/>
  <c r="I3425" i="1"/>
  <c r="I3580" i="1"/>
  <c r="H3581" i="1"/>
  <c r="I3579" i="1"/>
  <c r="I3577" i="1"/>
  <c r="I3423" i="1"/>
  <c r="H3352" i="1"/>
  <c r="I3351" i="1"/>
  <c r="H3452" i="10" l="1"/>
  <c r="I3451" i="10"/>
  <c r="H3412" i="10"/>
  <c r="I3411" i="10"/>
  <c r="H3374" i="10"/>
  <c r="I3373" i="10"/>
  <c r="H2534" i="1"/>
  <c r="I2533" i="1"/>
  <c r="H2554" i="1"/>
  <c r="I2553" i="1"/>
  <c r="H2490" i="1"/>
  <c r="I2489" i="1"/>
  <c r="H2330" i="1"/>
  <c r="I2329" i="1"/>
  <c r="H4162" i="1"/>
  <c r="I4161" i="1"/>
  <c r="H3775" i="1"/>
  <c r="I3774" i="1"/>
  <c r="H4009" i="1"/>
  <c r="I4008" i="1"/>
  <c r="H3812" i="1"/>
  <c r="I3811" i="1"/>
  <c r="H3851" i="1"/>
  <c r="I3850" i="1"/>
  <c r="H3582" i="1"/>
  <c r="I3581" i="1"/>
  <c r="H3428" i="1"/>
  <c r="I3427" i="1"/>
  <c r="I3394" i="1"/>
  <c r="H3395" i="1"/>
  <c r="H3732" i="1"/>
  <c r="I3731" i="1"/>
  <c r="H3353" i="1"/>
  <c r="I3352" i="1"/>
  <c r="H3453" i="10" l="1"/>
  <c r="I3452" i="10"/>
  <c r="I3412" i="10"/>
  <c r="H3413" i="10"/>
  <c r="H3375" i="10"/>
  <c r="I3374" i="10"/>
  <c r="H2535" i="1"/>
  <c r="I2534" i="1"/>
  <c r="H2555" i="1"/>
  <c r="I2554" i="1"/>
  <c r="H2491" i="1"/>
  <c r="I2490" i="1"/>
  <c r="H2331" i="1"/>
  <c r="I2330" i="1"/>
  <c r="H3776" i="1"/>
  <c r="I3775" i="1"/>
  <c r="H3813" i="1"/>
  <c r="I3812" i="1"/>
  <c r="H4010" i="1"/>
  <c r="I4009" i="1"/>
  <c r="H3852" i="1"/>
  <c r="I3851" i="1"/>
  <c r="H4163" i="1"/>
  <c r="I4162" i="1"/>
  <c r="H3429" i="1"/>
  <c r="I3428" i="1"/>
  <c r="H3396" i="1"/>
  <c r="I3395" i="1"/>
  <c r="H3733" i="1"/>
  <c r="I3732" i="1"/>
  <c r="H3354" i="1"/>
  <c r="I3353" i="1"/>
  <c r="H3583" i="1"/>
  <c r="I3582" i="1"/>
  <c r="H3454" i="10" l="1"/>
  <c r="I3453" i="10"/>
  <c r="I3413" i="10"/>
  <c r="H3414" i="10"/>
  <c r="H3376" i="10"/>
  <c r="I3375" i="10"/>
  <c r="H2536" i="1"/>
  <c r="I2535" i="1"/>
  <c r="I2555" i="1"/>
  <c r="H2556" i="1"/>
  <c r="H2492" i="1"/>
  <c r="H2493" i="1" s="1"/>
  <c r="I2491" i="1"/>
  <c r="H2332" i="1"/>
  <c r="I2331" i="1"/>
  <c r="H3853" i="1"/>
  <c r="I3852" i="1"/>
  <c r="H3777" i="1"/>
  <c r="I3776" i="1"/>
  <c r="H4011" i="1"/>
  <c r="I4010" i="1"/>
  <c r="H4164" i="1"/>
  <c r="H4165" i="1" s="1"/>
  <c r="I4163" i="1"/>
  <c r="H3814" i="1"/>
  <c r="I3813" i="1"/>
  <c r="H3355" i="1"/>
  <c r="I3354" i="1"/>
  <c r="H3584" i="1"/>
  <c r="I3583" i="1"/>
  <c r="H3430" i="1"/>
  <c r="I3429" i="1"/>
  <c r="H3734" i="1"/>
  <c r="I3733" i="1"/>
  <c r="H3397" i="1"/>
  <c r="I3396" i="1"/>
  <c r="H3455" i="10" l="1"/>
  <c r="I3454" i="10"/>
  <c r="H3415" i="10"/>
  <c r="I3414" i="10"/>
  <c r="H3377" i="10"/>
  <c r="I3376" i="10"/>
  <c r="H4166" i="1"/>
  <c r="I4165" i="1"/>
  <c r="H2537" i="1"/>
  <c r="I2536" i="1"/>
  <c r="H2494" i="1"/>
  <c r="I2493" i="1"/>
  <c r="H2557" i="1"/>
  <c r="I2556" i="1"/>
  <c r="I2492" i="1"/>
  <c r="H2333" i="1"/>
  <c r="I2332" i="1"/>
  <c r="I4164" i="1"/>
  <c r="H4012" i="1"/>
  <c r="H4013" i="1" s="1"/>
  <c r="I4011" i="1"/>
  <c r="H3778" i="1"/>
  <c r="I3777" i="1"/>
  <c r="H3815" i="1"/>
  <c r="I3814" i="1"/>
  <c r="H3854" i="1"/>
  <c r="I3853" i="1"/>
  <c r="H3398" i="1"/>
  <c r="I3397" i="1"/>
  <c r="I3355" i="1"/>
  <c r="H3356" i="1"/>
  <c r="H3735" i="1"/>
  <c r="I3734" i="1"/>
  <c r="I3430" i="1"/>
  <c r="H3431" i="1"/>
  <c r="H3585" i="1"/>
  <c r="I3584" i="1"/>
  <c r="H3456" i="10" l="1"/>
  <c r="I3455" i="10"/>
  <c r="H3416" i="10"/>
  <c r="I3415" i="10"/>
  <c r="H3378" i="10"/>
  <c r="I3377" i="10"/>
  <c r="H4167" i="1"/>
  <c r="I4166" i="1"/>
  <c r="H4014" i="1"/>
  <c r="I4013" i="1"/>
  <c r="H2538" i="1"/>
  <c r="I2537" i="1"/>
  <c r="H2495" i="1"/>
  <c r="I2494" i="1"/>
  <c r="H2558" i="1"/>
  <c r="I2557" i="1"/>
  <c r="H2334" i="1"/>
  <c r="I2333" i="1"/>
  <c r="H3816" i="1"/>
  <c r="I3815" i="1"/>
  <c r="H3779" i="1"/>
  <c r="I3778" i="1"/>
  <c r="I4012" i="1"/>
  <c r="H3855" i="1"/>
  <c r="I3854" i="1"/>
  <c r="H3432" i="1"/>
  <c r="I3431" i="1"/>
  <c r="H3736" i="1"/>
  <c r="I3735" i="1"/>
  <c r="H3357" i="1"/>
  <c r="I3356" i="1"/>
  <c r="H3586" i="1"/>
  <c r="I3585" i="1"/>
  <c r="H3399" i="1"/>
  <c r="I3398" i="1"/>
  <c r="H3457" i="10" l="1"/>
  <c r="I3456" i="10"/>
  <c r="H3417" i="10"/>
  <c r="I3416" i="10"/>
  <c r="H3379" i="10"/>
  <c r="I3378" i="10"/>
  <c r="H4168" i="1"/>
  <c r="I4167" i="1"/>
  <c r="H4015" i="1"/>
  <c r="I4014" i="1"/>
  <c r="H2539" i="1"/>
  <c r="I2538" i="1"/>
  <c r="H2496" i="1"/>
  <c r="I2495" i="1"/>
  <c r="I2558" i="1"/>
  <c r="H2559" i="1"/>
  <c r="H2335" i="1"/>
  <c r="I2334" i="1"/>
  <c r="H3817" i="1"/>
  <c r="I3816" i="1"/>
  <c r="H3856" i="1"/>
  <c r="I3855" i="1"/>
  <c r="H3780" i="1"/>
  <c r="I3779" i="1"/>
  <c r="H3587" i="1"/>
  <c r="I3586" i="1"/>
  <c r="H3358" i="1"/>
  <c r="I3357" i="1"/>
  <c r="H3737" i="1"/>
  <c r="I3736" i="1"/>
  <c r="H3400" i="1"/>
  <c r="I3399" i="1"/>
  <c r="H3433" i="1"/>
  <c r="I3432" i="1"/>
  <c r="H3458" i="10" l="1"/>
  <c r="I3458" i="10" s="1"/>
  <c r="I3457" i="10"/>
  <c r="H3418" i="10"/>
  <c r="I3417" i="10"/>
  <c r="H3380" i="10"/>
  <c r="I3379" i="10"/>
  <c r="H4169" i="1"/>
  <c r="I4168" i="1"/>
  <c r="H4016" i="1"/>
  <c r="I4015" i="1"/>
  <c r="H2540" i="1"/>
  <c r="I2539" i="1"/>
  <c r="H2497" i="1"/>
  <c r="I2496" i="1"/>
  <c r="H2560" i="1"/>
  <c r="I2559" i="1"/>
  <c r="H2336" i="1"/>
  <c r="I2335" i="1"/>
  <c r="H3781" i="1"/>
  <c r="I3780" i="1"/>
  <c r="H3857" i="1"/>
  <c r="I3856" i="1"/>
  <c r="H3818" i="1"/>
  <c r="I3817" i="1"/>
  <c r="H3401" i="1"/>
  <c r="I3400" i="1"/>
  <c r="H3434" i="1"/>
  <c r="I3433" i="1"/>
  <c r="H3588" i="1"/>
  <c r="I3587" i="1"/>
  <c r="H3738" i="1"/>
  <c r="I3737" i="1"/>
  <c r="H3359" i="1"/>
  <c r="I3358" i="1"/>
  <c r="I3418" i="10" l="1"/>
  <c r="H3419" i="10"/>
  <c r="H3381" i="10"/>
  <c r="I3380" i="10"/>
  <c r="H4170" i="1"/>
  <c r="I4169" i="1"/>
  <c r="I4016" i="1"/>
  <c r="H4017" i="1"/>
  <c r="H2541" i="1"/>
  <c r="I2540" i="1"/>
  <c r="H2498" i="1"/>
  <c r="I2497" i="1"/>
  <c r="I2560" i="1"/>
  <c r="H2561" i="1"/>
  <c r="H2337" i="1"/>
  <c r="I2336" i="1"/>
  <c r="H3819" i="1"/>
  <c r="I3818" i="1"/>
  <c r="H3858" i="1"/>
  <c r="I3857" i="1"/>
  <c r="H3782" i="1"/>
  <c r="I3781" i="1"/>
  <c r="I3738" i="1"/>
  <c r="H3739" i="1"/>
  <c r="H3402" i="1"/>
  <c r="I3401" i="1"/>
  <c r="I3588" i="1"/>
  <c r="H3589" i="1"/>
  <c r="H3360" i="1"/>
  <c r="I3359" i="1"/>
  <c r="H3435" i="1"/>
  <c r="I3434" i="1"/>
  <c r="H3420" i="10" l="1"/>
  <c r="I3420" i="10" s="1"/>
  <c r="I3419" i="10"/>
  <c r="H3382" i="10"/>
  <c r="I3382" i="10" s="1"/>
  <c r="I3381" i="10"/>
  <c r="H4171" i="1"/>
  <c r="I4170" i="1"/>
  <c r="H4018" i="1"/>
  <c r="I4017" i="1"/>
  <c r="H2542" i="1"/>
  <c r="I2541" i="1"/>
  <c r="H2499" i="1"/>
  <c r="I2498" i="1"/>
  <c r="H2562" i="1"/>
  <c r="I2561" i="1"/>
  <c r="H2338" i="1"/>
  <c r="I2337" i="1"/>
  <c r="H3783" i="1"/>
  <c r="I3782" i="1"/>
  <c r="H3859" i="1"/>
  <c r="I3858" i="1"/>
  <c r="H3820" i="1"/>
  <c r="I3819" i="1"/>
  <c r="H3361" i="1"/>
  <c r="I3360" i="1"/>
  <c r="H3590" i="1"/>
  <c r="I3589" i="1"/>
  <c r="I3402" i="1"/>
  <c r="H3403" i="1"/>
  <c r="H3740" i="1"/>
  <c r="I3739" i="1"/>
  <c r="H3436" i="1"/>
  <c r="I3435" i="1"/>
  <c r="H4172" i="1" l="1"/>
  <c r="I4171" i="1"/>
  <c r="I4018" i="1"/>
  <c r="H4019" i="1"/>
  <c r="H2543" i="1"/>
  <c r="I2542" i="1"/>
  <c r="H2500" i="1"/>
  <c r="I2499" i="1"/>
  <c r="H2563" i="1"/>
  <c r="I2562" i="1"/>
  <c r="H2339" i="1"/>
  <c r="I2338" i="1"/>
  <c r="H3821" i="1"/>
  <c r="I3820" i="1"/>
  <c r="H3860" i="1"/>
  <c r="H3861" i="1" s="1"/>
  <c r="I3859" i="1"/>
  <c r="H3784" i="1"/>
  <c r="H3785" i="1" s="1"/>
  <c r="I3783" i="1"/>
  <c r="H3741" i="1"/>
  <c r="I3740" i="1"/>
  <c r="H3404" i="1"/>
  <c r="H3405" i="1" s="1"/>
  <c r="I3403" i="1"/>
  <c r="H3591" i="1"/>
  <c r="I3590" i="1"/>
  <c r="H3437" i="1"/>
  <c r="I3436" i="1"/>
  <c r="H3362" i="1"/>
  <c r="I3361" i="1"/>
  <c r="I4172" i="1" l="1"/>
  <c r="H4173" i="1"/>
  <c r="H4020" i="1"/>
  <c r="I4019" i="1"/>
  <c r="H3862" i="1"/>
  <c r="I3861" i="1"/>
  <c r="H3786" i="1"/>
  <c r="I3785" i="1"/>
  <c r="H3406" i="1"/>
  <c r="I3405" i="1"/>
  <c r="H2544" i="1"/>
  <c r="I2543" i="1"/>
  <c r="H2501" i="1"/>
  <c r="I2500" i="1"/>
  <c r="I2563" i="1"/>
  <c r="H2564" i="1"/>
  <c r="H2340" i="1"/>
  <c r="H2341" i="1" s="1"/>
  <c r="I2339" i="1"/>
  <c r="I3784" i="1"/>
  <c r="I3860" i="1"/>
  <c r="H3822" i="1"/>
  <c r="H3823" i="1" s="1"/>
  <c r="I3821" i="1"/>
  <c r="H3438" i="1"/>
  <c r="I3437" i="1"/>
  <c r="H3592" i="1"/>
  <c r="I3591" i="1"/>
  <c r="I3404" i="1"/>
  <c r="H3363" i="1"/>
  <c r="I3362" i="1"/>
  <c r="H3742" i="1"/>
  <c r="I3741" i="1"/>
  <c r="H4174" i="1" l="1"/>
  <c r="I4173" i="1"/>
  <c r="H4021" i="1"/>
  <c r="I4020" i="1"/>
  <c r="H3863" i="1"/>
  <c r="I3862" i="1"/>
  <c r="H3824" i="1"/>
  <c r="I3823" i="1"/>
  <c r="H3787" i="1"/>
  <c r="I3786" i="1"/>
  <c r="H3407" i="1"/>
  <c r="I3406" i="1"/>
  <c r="H2545" i="1"/>
  <c r="I2544" i="1"/>
  <c r="H2502" i="1"/>
  <c r="I2501" i="1"/>
  <c r="H2342" i="1"/>
  <c r="I2341" i="1"/>
  <c r="H2565" i="1"/>
  <c r="I2564" i="1"/>
  <c r="I2340" i="1"/>
  <c r="I3822" i="1"/>
  <c r="I3363" i="1"/>
  <c r="H3364" i="1"/>
  <c r="H3593" i="1"/>
  <c r="I3592" i="1"/>
  <c r="H3743" i="1"/>
  <c r="I3742" i="1"/>
  <c r="I3438" i="1"/>
  <c r="H3439" i="1"/>
  <c r="H4175" i="1" l="1"/>
  <c r="I4174" i="1"/>
  <c r="I4021" i="1"/>
  <c r="H4022" i="1"/>
  <c r="H3864" i="1"/>
  <c r="I3863" i="1"/>
  <c r="H3825" i="1"/>
  <c r="I3824" i="1"/>
  <c r="H3788" i="1"/>
  <c r="I3787" i="1"/>
  <c r="H3408" i="1"/>
  <c r="I3407" i="1"/>
  <c r="H2546" i="1"/>
  <c r="I2546" i="1" s="1"/>
  <c r="I2545" i="1"/>
  <c r="H2503" i="1"/>
  <c r="I2502" i="1"/>
  <c r="H2343" i="1"/>
  <c r="I2342" i="1"/>
  <c r="H2566" i="1"/>
  <c r="I2565" i="1"/>
  <c r="H3744" i="1"/>
  <c r="I3743" i="1"/>
  <c r="H3594" i="1"/>
  <c r="H3595" i="1" s="1"/>
  <c r="I3593" i="1"/>
  <c r="H3440" i="1"/>
  <c r="I3439" i="1"/>
  <c r="H3365" i="1"/>
  <c r="I3364" i="1"/>
  <c r="H4176" i="1" l="1"/>
  <c r="I4175" i="1"/>
  <c r="H4023" i="1"/>
  <c r="I4022" i="1"/>
  <c r="H3865" i="1"/>
  <c r="I3864" i="1"/>
  <c r="H3826" i="1"/>
  <c r="I3825" i="1"/>
  <c r="H3789" i="1"/>
  <c r="I3788" i="1"/>
  <c r="H3596" i="1"/>
  <c r="I3595" i="1"/>
  <c r="H3409" i="1"/>
  <c r="I3408" i="1"/>
  <c r="H2504" i="1"/>
  <c r="I2503" i="1"/>
  <c r="H2344" i="1"/>
  <c r="I2343" i="1"/>
  <c r="H2567" i="1"/>
  <c r="I2566" i="1"/>
  <c r="H3366" i="1"/>
  <c r="H3367" i="1" s="1"/>
  <c r="I3365" i="1"/>
  <c r="H3441" i="1"/>
  <c r="I3440" i="1"/>
  <c r="I3594" i="1"/>
  <c r="H3745" i="1"/>
  <c r="I3744" i="1"/>
  <c r="H4177" i="1" l="1"/>
  <c r="I4176" i="1"/>
  <c r="H4024" i="1"/>
  <c r="I4023" i="1"/>
  <c r="H3866" i="1"/>
  <c r="I3865" i="1"/>
  <c r="H3827" i="1"/>
  <c r="I3826" i="1"/>
  <c r="H3790" i="1"/>
  <c r="I3789" i="1"/>
  <c r="H3597" i="1"/>
  <c r="I3596" i="1"/>
  <c r="H3410" i="1"/>
  <c r="I3409" i="1"/>
  <c r="H3368" i="1"/>
  <c r="I3367" i="1"/>
  <c r="H2505" i="1"/>
  <c r="I2504" i="1"/>
  <c r="H2345" i="1"/>
  <c r="I2344" i="1"/>
  <c r="H2568" i="1"/>
  <c r="H2569" i="1" s="1"/>
  <c r="I2567" i="1"/>
  <c r="H3746" i="1"/>
  <c r="H3747" i="1" s="1"/>
  <c r="I3745" i="1"/>
  <c r="H3442" i="1"/>
  <c r="H3443" i="1" s="1"/>
  <c r="I3441" i="1"/>
  <c r="I3366" i="1"/>
  <c r="H4178" i="1" l="1"/>
  <c r="I4177" i="1"/>
  <c r="H4025" i="1"/>
  <c r="I4024" i="1"/>
  <c r="H3867" i="1"/>
  <c r="I3866" i="1"/>
  <c r="H3828" i="1"/>
  <c r="I3827" i="1"/>
  <c r="H3791" i="1"/>
  <c r="I3790" i="1"/>
  <c r="H3748" i="1"/>
  <c r="I3747" i="1"/>
  <c r="H3598" i="1"/>
  <c r="I3597" i="1"/>
  <c r="H3444" i="1"/>
  <c r="I3443" i="1"/>
  <c r="H3411" i="1"/>
  <c r="I3410" i="1"/>
  <c r="H3369" i="1"/>
  <c r="I3368" i="1"/>
  <c r="H2570" i="1"/>
  <c r="I2569" i="1"/>
  <c r="H2506" i="1"/>
  <c r="I2505" i="1"/>
  <c r="H2346" i="1"/>
  <c r="I2345" i="1"/>
  <c r="I2568" i="1"/>
  <c r="I3442" i="1"/>
  <c r="I3746" i="1"/>
  <c r="I4178" i="1" l="1"/>
  <c r="H4179" i="1"/>
  <c r="H4026" i="1"/>
  <c r="I4025" i="1"/>
  <c r="H3868" i="1"/>
  <c r="I3867" i="1"/>
  <c r="H3829" i="1"/>
  <c r="I3828" i="1"/>
  <c r="H3792" i="1"/>
  <c r="I3791" i="1"/>
  <c r="H3749" i="1"/>
  <c r="I3748" i="1"/>
  <c r="H3599" i="1"/>
  <c r="I3598" i="1"/>
  <c r="H3445" i="1"/>
  <c r="I3444" i="1"/>
  <c r="H3412" i="1"/>
  <c r="I3411" i="1"/>
  <c r="H3370" i="1"/>
  <c r="I3369" i="1"/>
  <c r="H2571" i="1"/>
  <c r="I2570" i="1"/>
  <c r="H2507" i="1"/>
  <c r="I2506" i="1"/>
  <c r="I2346" i="1"/>
  <c r="H2347" i="1"/>
  <c r="H4180" i="1" l="1"/>
  <c r="I4180" i="1" s="1"/>
  <c r="I4179" i="1"/>
  <c r="H4027" i="1"/>
  <c r="I4026" i="1"/>
  <c r="H3869" i="1"/>
  <c r="I3868" i="1"/>
  <c r="H3830" i="1"/>
  <c r="I3829" i="1"/>
  <c r="H3793" i="1"/>
  <c r="I3792" i="1"/>
  <c r="H3750" i="1"/>
  <c r="I3749" i="1"/>
  <c r="H3600" i="1"/>
  <c r="I3599" i="1"/>
  <c r="H3446" i="1"/>
  <c r="I3445" i="1"/>
  <c r="H3413" i="1"/>
  <c r="I3412" i="1"/>
  <c r="I3370" i="1"/>
  <c r="H3371" i="1"/>
  <c r="H2572" i="1"/>
  <c r="I2571" i="1"/>
  <c r="H2508" i="1"/>
  <c r="I2508" i="1" s="1"/>
  <c r="I2507" i="1"/>
  <c r="H2348" i="1"/>
  <c r="I2347" i="1"/>
  <c r="DK8" i="2"/>
  <c r="DK11" i="2"/>
  <c r="DK32" i="2"/>
  <c r="BY8" i="2"/>
  <c r="BY32" i="2"/>
  <c r="BY14" i="2"/>
  <c r="PC17" i="2"/>
  <c r="E3345" i="1"/>
  <c r="H4028" i="1" l="1"/>
  <c r="I4028" i="1" s="1"/>
  <c r="I4027" i="1"/>
  <c r="H3870" i="1"/>
  <c r="I3869" i="1"/>
  <c r="H3831" i="1"/>
  <c r="I3830" i="1"/>
  <c r="H3794" i="1"/>
  <c r="I3793" i="1"/>
  <c r="H3751" i="1"/>
  <c r="I3750" i="1"/>
  <c r="H3601" i="1"/>
  <c r="I3600" i="1"/>
  <c r="H3447" i="1"/>
  <c r="I3446" i="1"/>
  <c r="H3414" i="1"/>
  <c r="I3413" i="1"/>
  <c r="H3372" i="1"/>
  <c r="I3371" i="1"/>
  <c r="H2573" i="1"/>
  <c r="I2572" i="1"/>
  <c r="H2349" i="1"/>
  <c r="I2348" i="1"/>
  <c r="PC32" i="2"/>
  <c r="BY11" i="2"/>
  <c r="JG8" i="2"/>
  <c r="BY5" i="2"/>
  <c r="DK5" i="2"/>
  <c r="JG5" i="2"/>
  <c r="DK17" i="2"/>
  <c r="BY29" i="2"/>
  <c r="BY17" i="2"/>
  <c r="PC29" i="2"/>
  <c r="DK29" i="2"/>
  <c r="DK14" i="2"/>
  <c r="PC14" i="2"/>
  <c r="JG11" i="2"/>
  <c r="JG17" i="2"/>
  <c r="H3871" i="1" l="1"/>
  <c r="I3870" i="1"/>
  <c r="H3832" i="1"/>
  <c r="I3831" i="1"/>
  <c r="H3795" i="1"/>
  <c r="I3794" i="1"/>
  <c r="H3752" i="1"/>
  <c r="I3751" i="1"/>
  <c r="H3602" i="1"/>
  <c r="I3601" i="1"/>
  <c r="H3448" i="1"/>
  <c r="I3447" i="1"/>
  <c r="H3415" i="1"/>
  <c r="I3414" i="1"/>
  <c r="I3372" i="1"/>
  <c r="H3373" i="1"/>
  <c r="H2574" i="1"/>
  <c r="I2573" i="1"/>
  <c r="H2350" i="1"/>
  <c r="I2349" i="1"/>
  <c r="JG32" i="2"/>
  <c r="BY23" i="2"/>
  <c r="BY26" i="2"/>
  <c r="JG29" i="2"/>
  <c r="JG14" i="2"/>
  <c r="H3872" i="1" l="1"/>
  <c r="I3871" i="1"/>
  <c r="H3833" i="1"/>
  <c r="I3832" i="1"/>
  <c r="H3796" i="1"/>
  <c r="I3795" i="1"/>
  <c r="H3753" i="1"/>
  <c r="I3752" i="1"/>
  <c r="H3603" i="1"/>
  <c r="I3602" i="1"/>
  <c r="H3449" i="1"/>
  <c r="I3448" i="1"/>
  <c r="H3416" i="1"/>
  <c r="I3415" i="1"/>
  <c r="H3374" i="1"/>
  <c r="I3373" i="1"/>
  <c r="H2575" i="1"/>
  <c r="I2574" i="1"/>
  <c r="I2350" i="1"/>
  <c r="H2351" i="1"/>
  <c r="DK26" i="2"/>
  <c r="PC26" i="2"/>
  <c r="PC23" i="2"/>
  <c r="DK23" i="2"/>
  <c r="H3873" i="1" l="1"/>
  <c r="I3872" i="1"/>
  <c r="H3834" i="1"/>
  <c r="I3833" i="1"/>
  <c r="H3797" i="1"/>
  <c r="I3796" i="1"/>
  <c r="H3754" i="1"/>
  <c r="I3753" i="1"/>
  <c r="I3603" i="1"/>
  <c r="H3604" i="1"/>
  <c r="H3450" i="1"/>
  <c r="I3449" i="1"/>
  <c r="H3417" i="1"/>
  <c r="I3416" i="1"/>
  <c r="H3375" i="1"/>
  <c r="I3374" i="1"/>
  <c r="H2576" i="1"/>
  <c r="I2575" i="1"/>
  <c r="H2352" i="1"/>
  <c r="I2351" i="1"/>
  <c r="JG23" i="2"/>
  <c r="JG26" i="2"/>
  <c r="H3874" i="1" l="1"/>
  <c r="I3873" i="1"/>
  <c r="H3835" i="1"/>
  <c r="I3834" i="1"/>
  <c r="H3798" i="1"/>
  <c r="I3797" i="1"/>
  <c r="H3755" i="1"/>
  <c r="I3754" i="1"/>
  <c r="I3604" i="1"/>
  <c r="H3605" i="1"/>
  <c r="H3451" i="1"/>
  <c r="I3450" i="1"/>
  <c r="H3418" i="1"/>
  <c r="I3417" i="1"/>
  <c r="I3375" i="1"/>
  <c r="H3376" i="1"/>
  <c r="H2577" i="1"/>
  <c r="I2576" i="1"/>
  <c r="H2353" i="1"/>
  <c r="I2352" i="1"/>
  <c r="E3328" i="1"/>
  <c r="F3328" i="1" s="1"/>
  <c r="E3327" i="1"/>
  <c r="F3327" i="1" s="1"/>
  <c r="E3326" i="1"/>
  <c r="F3326" i="1" s="1"/>
  <c r="E3325" i="1"/>
  <c r="F3325" i="1" s="1"/>
  <c r="E3324" i="1"/>
  <c r="F3324" i="1" s="1"/>
  <c r="E3323" i="1"/>
  <c r="F3323" i="1" s="1"/>
  <c r="E3322" i="1"/>
  <c r="F3322" i="1" s="1"/>
  <c r="E3321" i="1"/>
  <c r="F3321" i="1" s="1"/>
  <c r="E3320" i="1"/>
  <c r="F3320" i="1" s="1"/>
  <c r="E3319" i="1"/>
  <c r="F3319" i="1" s="1"/>
  <c r="E3318" i="1"/>
  <c r="F3318" i="1" s="1"/>
  <c r="E3317" i="1"/>
  <c r="F3317" i="1" s="1"/>
  <c r="E3316" i="1"/>
  <c r="F3316" i="1" s="1"/>
  <c r="E3315" i="1"/>
  <c r="F3315" i="1" s="1"/>
  <c r="E3314" i="1"/>
  <c r="F3314" i="1" s="1"/>
  <c r="E3313" i="1"/>
  <c r="F3313" i="1" s="1"/>
  <c r="E3312" i="1"/>
  <c r="F3312" i="1" s="1"/>
  <c r="E3311" i="1"/>
  <c r="F3311" i="1" s="1"/>
  <c r="E3310" i="1"/>
  <c r="F3310" i="1" s="1"/>
  <c r="E3309" i="1"/>
  <c r="F3309" i="1" s="1"/>
  <c r="B3309" i="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H3308" i="1"/>
  <c r="H3309" i="1" s="1"/>
  <c r="H3310" i="1" s="1"/>
  <c r="H3311" i="1" s="1"/>
  <c r="H3312" i="1" s="1"/>
  <c r="H3313" i="1" s="1"/>
  <c r="H3314" i="1" s="1"/>
  <c r="H3315" i="1" s="1"/>
  <c r="H3316" i="1" s="1"/>
  <c r="E3308" i="1"/>
  <c r="F3308" i="1" s="1"/>
  <c r="E3176" i="1"/>
  <c r="F3176" i="1" s="1"/>
  <c r="E3175" i="1"/>
  <c r="F3175" i="1" s="1"/>
  <c r="E3174" i="1"/>
  <c r="F3174" i="1" s="1"/>
  <c r="E3173" i="1"/>
  <c r="F3173" i="1" s="1"/>
  <c r="E3172" i="1"/>
  <c r="F3172" i="1" s="1"/>
  <c r="E3171" i="1"/>
  <c r="F3171" i="1" s="1"/>
  <c r="E3170" i="1"/>
  <c r="F3170" i="1" s="1"/>
  <c r="E3169" i="1"/>
  <c r="F3169" i="1" s="1"/>
  <c r="E3168" i="1"/>
  <c r="F3168" i="1" s="1"/>
  <c r="E3167" i="1"/>
  <c r="F3167" i="1" s="1"/>
  <c r="E3166" i="1"/>
  <c r="F3166" i="1" s="1"/>
  <c r="E3165" i="1"/>
  <c r="F3165" i="1" s="1"/>
  <c r="E3164" i="1"/>
  <c r="F3164" i="1" s="1"/>
  <c r="E3163" i="1"/>
  <c r="F3163" i="1" s="1"/>
  <c r="E3162" i="1"/>
  <c r="F3162" i="1" s="1"/>
  <c r="E3161" i="1"/>
  <c r="F3161" i="1" s="1"/>
  <c r="E3160" i="1"/>
  <c r="F3160" i="1" s="1"/>
  <c r="E3159" i="1"/>
  <c r="F3159" i="1" s="1"/>
  <c r="E3158" i="1"/>
  <c r="F3158" i="1" s="1"/>
  <c r="E3157" i="1"/>
  <c r="F3157" i="1" s="1"/>
  <c r="B3157" i="1"/>
  <c r="B3158" i="1" s="1"/>
  <c r="B3159" i="1" s="1"/>
  <c r="B3160" i="1" s="1"/>
  <c r="B3161" i="1" s="1"/>
  <c r="B3162" i="1" s="1"/>
  <c r="B3163" i="1" s="1"/>
  <c r="B3164" i="1" s="1"/>
  <c r="B3165" i="1" s="1"/>
  <c r="B3166" i="1" s="1"/>
  <c r="B3167" i="1" s="1"/>
  <c r="B3168" i="1" s="1"/>
  <c r="B3169" i="1" s="1"/>
  <c r="B3170" i="1" s="1"/>
  <c r="B3171" i="1" s="1"/>
  <c r="B3172" i="1" s="1"/>
  <c r="B3173" i="1" s="1"/>
  <c r="B3174" i="1" s="1"/>
  <c r="B3175" i="1" s="1"/>
  <c r="B3176" i="1" s="1"/>
  <c r="B3177" i="1" s="1"/>
  <c r="B3178" i="1" s="1"/>
  <c r="B3179" i="1" s="1"/>
  <c r="B3180" i="1" s="1"/>
  <c r="B3181" i="1" s="1"/>
  <c r="B3182" i="1" s="1"/>
  <c r="B3183" i="1" s="1"/>
  <c r="B3184" i="1" s="1"/>
  <c r="B3185" i="1" s="1"/>
  <c r="B3186" i="1" s="1"/>
  <c r="B3187" i="1" s="1"/>
  <c r="B3188" i="1" s="1"/>
  <c r="B3189" i="1" s="1"/>
  <c r="B3190" i="1" s="1"/>
  <c r="B3191" i="1" s="1"/>
  <c r="B3192" i="1" s="1"/>
  <c r="H3156" i="1"/>
  <c r="H3157" i="1" s="1"/>
  <c r="H3158" i="1" s="1"/>
  <c r="H3159" i="1" s="1"/>
  <c r="H3160" i="1" s="1"/>
  <c r="H3161" i="1" s="1"/>
  <c r="H3162" i="1" s="1"/>
  <c r="H3163" i="1" s="1"/>
  <c r="H3164" i="1" s="1"/>
  <c r="H3165" i="1" s="1"/>
  <c r="H3166" i="1" s="1"/>
  <c r="E3156" i="1"/>
  <c r="F3156" i="1" s="1"/>
  <c r="E3024" i="1"/>
  <c r="F3024" i="1" s="1"/>
  <c r="E3023" i="1"/>
  <c r="F3023" i="1" s="1"/>
  <c r="E3022" i="1"/>
  <c r="F3022" i="1" s="1"/>
  <c r="E3021" i="1"/>
  <c r="F3021" i="1" s="1"/>
  <c r="E3020" i="1"/>
  <c r="F3020" i="1" s="1"/>
  <c r="E3019" i="1"/>
  <c r="F3019" i="1" s="1"/>
  <c r="E3018" i="1"/>
  <c r="F3018" i="1" s="1"/>
  <c r="E3017" i="1"/>
  <c r="F3017" i="1" s="1"/>
  <c r="E3016" i="1"/>
  <c r="F3016" i="1" s="1"/>
  <c r="E3015" i="1"/>
  <c r="F3015" i="1" s="1"/>
  <c r="E3014" i="1"/>
  <c r="F3014" i="1" s="1"/>
  <c r="E3013" i="1"/>
  <c r="F3013" i="1" s="1"/>
  <c r="E3012" i="1"/>
  <c r="F3012" i="1" s="1"/>
  <c r="E3011" i="1"/>
  <c r="F3011" i="1" s="1"/>
  <c r="E3010" i="1"/>
  <c r="F3010" i="1" s="1"/>
  <c r="E3009" i="1"/>
  <c r="F3009" i="1" s="1"/>
  <c r="E3008" i="1"/>
  <c r="F3008" i="1" s="1"/>
  <c r="E3007" i="1"/>
  <c r="F3007" i="1" s="1"/>
  <c r="E3006" i="1"/>
  <c r="F3006" i="1" s="1"/>
  <c r="E3005" i="1"/>
  <c r="F3005" i="1" s="1"/>
  <c r="B3005" i="1"/>
  <c r="B3006" i="1" s="1"/>
  <c r="B3007" i="1" s="1"/>
  <c r="B3008" i="1" s="1"/>
  <c r="B3009" i="1" s="1"/>
  <c r="B3010" i="1" s="1"/>
  <c r="B3011" i="1" s="1"/>
  <c r="B3012" i="1" s="1"/>
  <c r="B3013" i="1" s="1"/>
  <c r="B3014" i="1" s="1"/>
  <c r="B3015" i="1" s="1"/>
  <c r="B3016" i="1" s="1"/>
  <c r="B3017" i="1" s="1"/>
  <c r="B3018" i="1" s="1"/>
  <c r="B3019" i="1" s="1"/>
  <c r="B3020" i="1" s="1"/>
  <c r="B3021" i="1" s="1"/>
  <c r="B3022" i="1" s="1"/>
  <c r="B3023" i="1" s="1"/>
  <c r="B3024" i="1" s="1"/>
  <c r="B3025" i="1" s="1"/>
  <c r="B3026" i="1" s="1"/>
  <c r="B3027" i="1" s="1"/>
  <c r="B3028" i="1" s="1"/>
  <c r="B3029" i="1" s="1"/>
  <c r="B3030" i="1" s="1"/>
  <c r="B3031" i="1" s="1"/>
  <c r="B3032" i="1" s="1"/>
  <c r="B3033" i="1" s="1"/>
  <c r="B3034" i="1" s="1"/>
  <c r="B3035" i="1" s="1"/>
  <c r="B3036" i="1" s="1"/>
  <c r="B3037" i="1" s="1"/>
  <c r="B3038" i="1" s="1"/>
  <c r="B3039" i="1" s="1"/>
  <c r="B3040" i="1" s="1"/>
  <c r="H3004" i="1"/>
  <c r="H3005" i="1" s="1"/>
  <c r="H3006" i="1" s="1"/>
  <c r="H3007" i="1" s="1"/>
  <c r="H3008" i="1" s="1"/>
  <c r="H3009" i="1" s="1"/>
  <c r="H3010" i="1" s="1"/>
  <c r="H3011" i="1" s="1"/>
  <c r="H3012" i="1" s="1"/>
  <c r="H3013" i="1" s="1"/>
  <c r="H3014" i="1" s="1"/>
  <c r="H3015" i="1" s="1"/>
  <c r="H3016" i="1" s="1"/>
  <c r="E3004" i="1"/>
  <c r="F3004" i="1" s="1"/>
  <c r="E2986" i="1"/>
  <c r="F2986" i="1" s="1"/>
  <c r="E2985" i="1"/>
  <c r="F2985" i="1" s="1"/>
  <c r="E2984" i="1"/>
  <c r="F2984" i="1" s="1"/>
  <c r="E2983" i="1"/>
  <c r="F2983" i="1" s="1"/>
  <c r="E2982" i="1"/>
  <c r="F2982" i="1" s="1"/>
  <c r="E2981" i="1"/>
  <c r="F2981" i="1" s="1"/>
  <c r="E2980" i="1"/>
  <c r="F2980" i="1" s="1"/>
  <c r="E2979" i="1"/>
  <c r="F2979" i="1" s="1"/>
  <c r="E2978" i="1"/>
  <c r="F2978" i="1" s="1"/>
  <c r="E2977" i="1"/>
  <c r="F2977" i="1" s="1"/>
  <c r="E2976" i="1"/>
  <c r="F2976" i="1" s="1"/>
  <c r="E2975" i="1"/>
  <c r="F2975" i="1" s="1"/>
  <c r="E2974" i="1"/>
  <c r="F2974" i="1" s="1"/>
  <c r="E2973" i="1"/>
  <c r="F2973" i="1" s="1"/>
  <c r="E2972" i="1"/>
  <c r="F2972" i="1" s="1"/>
  <c r="E2971" i="1"/>
  <c r="F2971" i="1" s="1"/>
  <c r="E2970" i="1"/>
  <c r="F2970" i="1" s="1"/>
  <c r="E2969" i="1"/>
  <c r="F2969" i="1" s="1"/>
  <c r="E2968" i="1"/>
  <c r="F2968" i="1" s="1"/>
  <c r="E2967" i="1"/>
  <c r="F2967" i="1" s="1"/>
  <c r="B2967" i="1"/>
  <c r="B2968" i="1" s="1"/>
  <c r="B2969" i="1" s="1"/>
  <c r="B2970" i="1" s="1"/>
  <c r="B2971" i="1" s="1"/>
  <c r="B2972" i="1" s="1"/>
  <c r="B2973" i="1" s="1"/>
  <c r="B2974" i="1" s="1"/>
  <c r="B2975" i="1" s="1"/>
  <c r="B2976" i="1" s="1"/>
  <c r="B2977" i="1" s="1"/>
  <c r="B2978" i="1" s="1"/>
  <c r="B2979" i="1" s="1"/>
  <c r="B2980" i="1" s="1"/>
  <c r="B2981" i="1" s="1"/>
  <c r="B2982" i="1" s="1"/>
  <c r="B2983" i="1" s="1"/>
  <c r="B2984" i="1" s="1"/>
  <c r="B2985" i="1" s="1"/>
  <c r="B2986" i="1" s="1"/>
  <c r="B2987" i="1" s="1"/>
  <c r="B2988" i="1" s="1"/>
  <c r="B2989" i="1" s="1"/>
  <c r="B2990" i="1" s="1"/>
  <c r="B2991" i="1" s="1"/>
  <c r="B2992" i="1" s="1"/>
  <c r="B2993" i="1" s="1"/>
  <c r="B2994" i="1" s="1"/>
  <c r="B2995" i="1" s="1"/>
  <c r="B2996" i="1" s="1"/>
  <c r="B2997" i="1" s="1"/>
  <c r="B2998" i="1" s="1"/>
  <c r="B2999" i="1" s="1"/>
  <c r="B3000" i="1" s="1"/>
  <c r="B3001" i="1" s="1"/>
  <c r="B3002" i="1" s="1"/>
  <c r="H2966" i="1"/>
  <c r="H2967" i="1" s="1"/>
  <c r="H2968" i="1" s="1"/>
  <c r="H2969" i="1" s="1"/>
  <c r="H2970" i="1" s="1"/>
  <c r="H2971" i="1" s="1"/>
  <c r="H2972" i="1" s="1"/>
  <c r="H2973" i="1" s="1"/>
  <c r="H2974" i="1" s="1"/>
  <c r="H2975" i="1" s="1"/>
  <c r="H2976" i="1" s="1"/>
  <c r="H2977" i="1" s="1"/>
  <c r="H2978" i="1" s="1"/>
  <c r="H2979" i="1" s="1"/>
  <c r="H2980" i="1" s="1"/>
  <c r="H2981" i="1" s="1"/>
  <c r="H2982" i="1" s="1"/>
  <c r="H2983" i="1" s="1"/>
  <c r="H2984" i="1" s="1"/>
  <c r="H2985" i="1" s="1"/>
  <c r="H2986" i="1" s="1"/>
  <c r="H2987" i="1" s="1"/>
  <c r="E2966" i="1"/>
  <c r="F2966" i="1" s="1"/>
  <c r="E2948" i="1"/>
  <c r="F2948" i="1" s="1"/>
  <c r="E2947" i="1"/>
  <c r="F2947" i="1" s="1"/>
  <c r="E2946" i="1"/>
  <c r="F2946" i="1" s="1"/>
  <c r="E2945" i="1"/>
  <c r="F2945" i="1" s="1"/>
  <c r="E2944" i="1"/>
  <c r="F2944" i="1" s="1"/>
  <c r="E2943" i="1"/>
  <c r="F2943" i="1" s="1"/>
  <c r="E2942" i="1"/>
  <c r="F2942" i="1" s="1"/>
  <c r="E2941" i="1"/>
  <c r="F2941" i="1" s="1"/>
  <c r="E2940" i="1"/>
  <c r="F2940" i="1" s="1"/>
  <c r="E2939" i="1"/>
  <c r="F2939" i="1" s="1"/>
  <c r="E2938" i="1"/>
  <c r="F2938" i="1" s="1"/>
  <c r="E2937" i="1"/>
  <c r="F2937" i="1" s="1"/>
  <c r="E2936" i="1"/>
  <c r="F2936" i="1" s="1"/>
  <c r="E2935" i="1"/>
  <c r="F2935" i="1" s="1"/>
  <c r="E2934" i="1"/>
  <c r="F2934" i="1" s="1"/>
  <c r="E2933" i="1"/>
  <c r="F2933" i="1" s="1"/>
  <c r="E2932" i="1"/>
  <c r="F2932" i="1" s="1"/>
  <c r="E2931" i="1"/>
  <c r="F2931" i="1" s="1"/>
  <c r="E2930" i="1"/>
  <c r="F2930" i="1" s="1"/>
  <c r="E2929" i="1"/>
  <c r="F2929" i="1" s="1"/>
  <c r="B2929" i="1"/>
  <c r="B2930" i="1" s="1"/>
  <c r="B2931" i="1" s="1"/>
  <c r="B2932" i="1" s="1"/>
  <c r="B2933" i="1" s="1"/>
  <c r="B2934" i="1" s="1"/>
  <c r="B2935" i="1" s="1"/>
  <c r="B2936" i="1" s="1"/>
  <c r="B2937" i="1" s="1"/>
  <c r="B2938" i="1" s="1"/>
  <c r="B2939" i="1" s="1"/>
  <c r="B2940" i="1" s="1"/>
  <c r="B2941" i="1" s="1"/>
  <c r="B2942" i="1" s="1"/>
  <c r="B2943" i="1" s="1"/>
  <c r="B2944" i="1" s="1"/>
  <c r="B2945" i="1" s="1"/>
  <c r="B2946" i="1" s="1"/>
  <c r="B2947" i="1" s="1"/>
  <c r="B2948" i="1" s="1"/>
  <c r="B2949" i="1" s="1"/>
  <c r="B2950" i="1" s="1"/>
  <c r="B2951" i="1" s="1"/>
  <c r="B2952" i="1" s="1"/>
  <c r="B2953" i="1" s="1"/>
  <c r="B2954" i="1" s="1"/>
  <c r="B2955" i="1" s="1"/>
  <c r="B2956" i="1" s="1"/>
  <c r="B2957" i="1" s="1"/>
  <c r="B2958" i="1" s="1"/>
  <c r="B2959" i="1" s="1"/>
  <c r="B2960" i="1" s="1"/>
  <c r="B2961" i="1" s="1"/>
  <c r="B2962" i="1" s="1"/>
  <c r="B2963" i="1" s="1"/>
  <c r="B2964" i="1" s="1"/>
  <c r="H2928" i="1"/>
  <c r="H2929" i="1" s="1"/>
  <c r="H2930" i="1" s="1"/>
  <c r="H2931" i="1" s="1"/>
  <c r="H2932" i="1" s="1"/>
  <c r="H2933" i="1" s="1"/>
  <c r="H2934" i="1" s="1"/>
  <c r="H2935" i="1" s="1"/>
  <c r="H2936" i="1" s="1"/>
  <c r="H2937" i="1" s="1"/>
  <c r="H2938" i="1" s="1"/>
  <c r="H2939" i="1" s="1"/>
  <c r="H2940" i="1" s="1"/>
  <c r="H2941" i="1" s="1"/>
  <c r="H2942" i="1" s="1"/>
  <c r="H2943" i="1" s="1"/>
  <c r="H2944" i="1" s="1"/>
  <c r="H2945" i="1" s="1"/>
  <c r="H2946" i="1" s="1"/>
  <c r="H2947" i="1" s="1"/>
  <c r="H2948" i="1" s="1"/>
  <c r="H2949" i="1" s="1"/>
  <c r="E2928" i="1"/>
  <c r="F2928" i="1" s="1"/>
  <c r="E2910" i="1"/>
  <c r="F2910" i="1" s="1"/>
  <c r="E2909" i="1"/>
  <c r="F2909" i="1" s="1"/>
  <c r="E2908" i="1"/>
  <c r="F2908" i="1" s="1"/>
  <c r="E2907" i="1"/>
  <c r="F2907" i="1" s="1"/>
  <c r="E2906" i="1"/>
  <c r="F2906" i="1" s="1"/>
  <c r="E2905" i="1"/>
  <c r="F2905" i="1" s="1"/>
  <c r="E2904" i="1"/>
  <c r="F2904" i="1" s="1"/>
  <c r="E2903" i="1"/>
  <c r="F2903" i="1" s="1"/>
  <c r="E2902" i="1"/>
  <c r="F2902" i="1" s="1"/>
  <c r="E2901" i="1"/>
  <c r="F2901" i="1" s="1"/>
  <c r="E2900" i="1"/>
  <c r="F2900" i="1" s="1"/>
  <c r="E2899" i="1"/>
  <c r="F2899" i="1" s="1"/>
  <c r="E2898" i="1"/>
  <c r="F2898" i="1" s="1"/>
  <c r="E2897" i="1"/>
  <c r="F2897" i="1" s="1"/>
  <c r="E2896" i="1"/>
  <c r="F2896" i="1" s="1"/>
  <c r="E2895" i="1"/>
  <c r="F2895" i="1" s="1"/>
  <c r="E2894" i="1"/>
  <c r="F2894" i="1" s="1"/>
  <c r="E2893" i="1"/>
  <c r="F2893" i="1" s="1"/>
  <c r="E2892" i="1"/>
  <c r="F2892" i="1" s="1"/>
  <c r="E2891" i="1"/>
  <c r="F2891" i="1" s="1"/>
  <c r="B2891" i="1"/>
  <c r="B2892" i="1" s="1"/>
  <c r="B2893" i="1" s="1"/>
  <c r="B2894" i="1" s="1"/>
  <c r="B2895" i="1" s="1"/>
  <c r="B2896" i="1" s="1"/>
  <c r="B2897" i="1" s="1"/>
  <c r="B2898" i="1" s="1"/>
  <c r="B2899" i="1" s="1"/>
  <c r="B2900" i="1" s="1"/>
  <c r="B2901" i="1" s="1"/>
  <c r="B2902" i="1" s="1"/>
  <c r="B2903" i="1" s="1"/>
  <c r="B2904" i="1" s="1"/>
  <c r="B2905" i="1" s="1"/>
  <c r="B2906" i="1" s="1"/>
  <c r="B2907" i="1" s="1"/>
  <c r="B2908" i="1" s="1"/>
  <c r="B2909" i="1" s="1"/>
  <c r="B2910" i="1" s="1"/>
  <c r="B2911" i="1" s="1"/>
  <c r="B2912" i="1" s="1"/>
  <c r="B2913" i="1" s="1"/>
  <c r="B2914" i="1" s="1"/>
  <c r="B2915" i="1" s="1"/>
  <c r="B2916" i="1" s="1"/>
  <c r="B2917" i="1" s="1"/>
  <c r="B2918" i="1" s="1"/>
  <c r="B2919" i="1" s="1"/>
  <c r="B2920" i="1" s="1"/>
  <c r="B2921" i="1" s="1"/>
  <c r="B2922" i="1" s="1"/>
  <c r="B2923" i="1" s="1"/>
  <c r="B2924" i="1" s="1"/>
  <c r="B2925" i="1" s="1"/>
  <c r="B2926" i="1" s="1"/>
  <c r="H2890" i="1"/>
  <c r="E2890" i="1"/>
  <c r="F2890" i="1" s="1"/>
  <c r="E2758" i="1"/>
  <c r="F2758" i="1" s="1"/>
  <c r="E2757" i="1"/>
  <c r="F2757" i="1" s="1"/>
  <c r="E2756" i="1"/>
  <c r="F2756" i="1" s="1"/>
  <c r="E2755" i="1"/>
  <c r="F2755" i="1" s="1"/>
  <c r="E2754" i="1"/>
  <c r="F2754" i="1" s="1"/>
  <c r="E2753" i="1"/>
  <c r="F2753" i="1" s="1"/>
  <c r="E2752" i="1"/>
  <c r="F2752" i="1" s="1"/>
  <c r="E2751" i="1"/>
  <c r="F2751" i="1" s="1"/>
  <c r="E2750" i="1"/>
  <c r="F2750" i="1" s="1"/>
  <c r="E2749" i="1"/>
  <c r="F2749" i="1" s="1"/>
  <c r="E2748" i="1"/>
  <c r="F2748" i="1" s="1"/>
  <c r="E2747" i="1"/>
  <c r="F2747" i="1" s="1"/>
  <c r="E2746" i="1"/>
  <c r="F2746" i="1" s="1"/>
  <c r="E2745" i="1"/>
  <c r="F2745" i="1" s="1"/>
  <c r="E2744" i="1"/>
  <c r="F2744" i="1" s="1"/>
  <c r="E2743" i="1"/>
  <c r="F2743" i="1" s="1"/>
  <c r="E2742" i="1"/>
  <c r="F2742" i="1" s="1"/>
  <c r="E2741" i="1"/>
  <c r="F2741" i="1" s="1"/>
  <c r="E2740" i="1"/>
  <c r="F2740" i="1" s="1"/>
  <c r="E2739" i="1"/>
  <c r="F2739" i="1" s="1"/>
  <c r="B2739" i="1"/>
  <c r="B2740" i="1" s="1"/>
  <c r="B2741" i="1" s="1"/>
  <c r="B2742" i="1" s="1"/>
  <c r="B2743" i="1" s="1"/>
  <c r="B2744" i="1" s="1"/>
  <c r="B2745" i="1" s="1"/>
  <c r="B2746" i="1" s="1"/>
  <c r="B2747" i="1" s="1"/>
  <c r="B2748" i="1" s="1"/>
  <c r="B2749" i="1" s="1"/>
  <c r="B2750" i="1" s="1"/>
  <c r="B2751" i="1" s="1"/>
  <c r="B2752" i="1" s="1"/>
  <c r="B2753" i="1" s="1"/>
  <c r="B2754"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H2738" i="1"/>
  <c r="H2739" i="1" s="1"/>
  <c r="H2740" i="1" s="1"/>
  <c r="E2738" i="1"/>
  <c r="F2738" i="1" s="1"/>
  <c r="E2606" i="1"/>
  <c r="F2606" i="1" s="1"/>
  <c r="E2605" i="1"/>
  <c r="F2605" i="1" s="1"/>
  <c r="E2604" i="1"/>
  <c r="F2604" i="1" s="1"/>
  <c r="E2603" i="1"/>
  <c r="F2603" i="1" s="1"/>
  <c r="E2602" i="1"/>
  <c r="F2602" i="1" s="1"/>
  <c r="E2601" i="1"/>
  <c r="F2601" i="1" s="1"/>
  <c r="E2600" i="1"/>
  <c r="F2600" i="1" s="1"/>
  <c r="E2599" i="1"/>
  <c r="F2599" i="1" s="1"/>
  <c r="E2598" i="1"/>
  <c r="F2598" i="1" s="1"/>
  <c r="E2597" i="1"/>
  <c r="F2597" i="1" s="1"/>
  <c r="E2596" i="1"/>
  <c r="F2596" i="1" s="1"/>
  <c r="E2595" i="1"/>
  <c r="F2595" i="1" s="1"/>
  <c r="E2594" i="1"/>
  <c r="F2594" i="1" s="1"/>
  <c r="E2593" i="1"/>
  <c r="F2593" i="1" s="1"/>
  <c r="E2592" i="1"/>
  <c r="F2592" i="1" s="1"/>
  <c r="E2591" i="1"/>
  <c r="F2591" i="1" s="1"/>
  <c r="E2590" i="1"/>
  <c r="F2590" i="1" s="1"/>
  <c r="E2589" i="1"/>
  <c r="F2589" i="1" s="1"/>
  <c r="E2588" i="1"/>
  <c r="F2588" i="1" s="1"/>
  <c r="E2587" i="1"/>
  <c r="F2587" i="1" s="1"/>
  <c r="B2587" i="1"/>
  <c r="B2588" i="1" s="1"/>
  <c r="B2589" i="1" s="1"/>
  <c r="B2590" i="1" s="1"/>
  <c r="B2591" i="1" s="1"/>
  <c r="B2592" i="1" s="1"/>
  <c r="B2593" i="1" s="1"/>
  <c r="B2594" i="1" s="1"/>
  <c r="B2595" i="1" s="1"/>
  <c r="B2596"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H2586" i="1"/>
  <c r="H2587" i="1" s="1"/>
  <c r="H2588" i="1" s="1"/>
  <c r="E2586" i="1"/>
  <c r="F2586" i="1" s="1"/>
  <c r="E2188" i="1"/>
  <c r="F2188" i="1" s="1"/>
  <c r="E2187" i="1"/>
  <c r="F2187" i="1" s="1"/>
  <c r="E2186" i="1"/>
  <c r="F2186" i="1" s="1"/>
  <c r="E2185" i="1"/>
  <c r="F2185" i="1" s="1"/>
  <c r="E2184" i="1"/>
  <c r="F2184" i="1" s="1"/>
  <c r="E2183" i="1"/>
  <c r="F2183" i="1" s="1"/>
  <c r="E2182" i="1"/>
  <c r="F2182" i="1" s="1"/>
  <c r="E2181" i="1"/>
  <c r="F2181" i="1" s="1"/>
  <c r="E2180" i="1"/>
  <c r="F2180" i="1" s="1"/>
  <c r="E2179" i="1"/>
  <c r="F2179" i="1" s="1"/>
  <c r="E2178" i="1"/>
  <c r="F2178" i="1" s="1"/>
  <c r="E2177" i="1"/>
  <c r="F2177" i="1" s="1"/>
  <c r="E2176" i="1"/>
  <c r="F2176" i="1" s="1"/>
  <c r="E2175" i="1"/>
  <c r="F2175" i="1" s="1"/>
  <c r="E2174" i="1"/>
  <c r="F2174" i="1" s="1"/>
  <c r="E2173" i="1"/>
  <c r="F2173" i="1" s="1"/>
  <c r="E2172" i="1"/>
  <c r="F2172" i="1" s="1"/>
  <c r="E2171" i="1"/>
  <c r="F2171" i="1" s="1"/>
  <c r="E2170" i="1"/>
  <c r="F2170" i="1" s="1"/>
  <c r="E2169" i="1"/>
  <c r="F2169" i="1" s="1"/>
  <c r="B2169" i="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H2168" i="1"/>
  <c r="H2169" i="1" s="1"/>
  <c r="H2170" i="1" s="1"/>
  <c r="H2171" i="1" s="1"/>
  <c r="H2172" i="1" s="1"/>
  <c r="E2168" i="1"/>
  <c r="F2168" i="1" s="1"/>
  <c r="E2150" i="1"/>
  <c r="F2150" i="1" s="1"/>
  <c r="E2149" i="1"/>
  <c r="F2149" i="1" s="1"/>
  <c r="E2148" i="1"/>
  <c r="F2148" i="1" s="1"/>
  <c r="E2147" i="1"/>
  <c r="F2147" i="1" s="1"/>
  <c r="E2146" i="1"/>
  <c r="F2146" i="1" s="1"/>
  <c r="E2145" i="1"/>
  <c r="F2145" i="1" s="1"/>
  <c r="E2144" i="1"/>
  <c r="F2144" i="1" s="1"/>
  <c r="E2143" i="1"/>
  <c r="F2143" i="1" s="1"/>
  <c r="E2142" i="1"/>
  <c r="F2142" i="1" s="1"/>
  <c r="E2141" i="1"/>
  <c r="F2141" i="1" s="1"/>
  <c r="E2140" i="1"/>
  <c r="F2140" i="1" s="1"/>
  <c r="E2139" i="1"/>
  <c r="F2139" i="1" s="1"/>
  <c r="E2138" i="1"/>
  <c r="F2138" i="1" s="1"/>
  <c r="E2137" i="1"/>
  <c r="F2137" i="1" s="1"/>
  <c r="E2136" i="1"/>
  <c r="F2136" i="1" s="1"/>
  <c r="E2135" i="1"/>
  <c r="F2135" i="1" s="1"/>
  <c r="E2134" i="1"/>
  <c r="F2134" i="1" s="1"/>
  <c r="E2133" i="1"/>
  <c r="F2133" i="1" s="1"/>
  <c r="E2132" i="1"/>
  <c r="F2132" i="1" s="1"/>
  <c r="E2131" i="1"/>
  <c r="F2131" i="1" s="1"/>
  <c r="B2131" i="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H2130" i="1"/>
  <c r="H2131" i="1" s="1"/>
  <c r="H2132" i="1" s="1"/>
  <c r="E2130" i="1"/>
  <c r="F2130" i="1" s="1"/>
  <c r="E2112" i="1"/>
  <c r="F2112" i="1" s="1"/>
  <c r="E2111" i="1"/>
  <c r="F2111" i="1" s="1"/>
  <c r="E2110" i="1"/>
  <c r="F2110" i="1" s="1"/>
  <c r="E2109" i="1"/>
  <c r="F2109" i="1" s="1"/>
  <c r="E2108" i="1"/>
  <c r="F2108" i="1" s="1"/>
  <c r="E2107" i="1"/>
  <c r="F2107" i="1" s="1"/>
  <c r="E2106" i="1"/>
  <c r="F2106" i="1" s="1"/>
  <c r="E2105" i="1"/>
  <c r="F2105" i="1" s="1"/>
  <c r="E2104" i="1"/>
  <c r="F2104" i="1" s="1"/>
  <c r="E2103" i="1"/>
  <c r="F2103" i="1" s="1"/>
  <c r="E2102" i="1"/>
  <c r="F2102" i="1" s="1"/>
  <c r="E2101" i="1"/>
  <c r="F2101" i="1" s="1"/>
  <c r="E2100" i="1"/>
  <c r="F2100" i="1" s="1"/>
  <c r="E2099" i="1"/>
  <c r="F2099" i="1" s="1"/>
  <c r="E2098" i="1"/>
  <c r="F2098" i="1" s="1"/>
  <c r="E2097" i="1"/>
  <c r="F2097" i="1" s="1"/>
  <c r="E2096" i="1"/>
  <c r="F2096" i="1" s="1"/>
  <c r="E2095" i="1"/>
  <c r="F2095" i="1" s="1"/>
  <c r="E2094" i="1"/>
  <c r="F2094" i="1" s="1"/>
  <c r="E2093" i="1"/>
  <c r="F2093" i="1" s="1"/>
  <c r="B2093" i="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H2092" i="1"/>
  <c r="H2093" i="1" s="1"/>
  <c r="H2094" i="1" s="1"/>
  <c r="H2095" i="1" s="1"/>
  <c r="H2096" i="1" s="1"/>
  <c r="E2092" i="1"/>
  <c r="F2092" i="1" s="1"/>
  <c r="E2074" i="1"/>
  <c r="F2074" i="1" s="1"/>
  <c r="E2073" i="1"/>
  <c r="F2073" i="1" s="1"/>
  <c r="E2072" i="1"/>
  <c r="F2072" i="1" s="1"/>
  <c r="E2071" i="1"/>
  <c r="F2071" i="1" s="1"/>
  <c r="E2070" i="1"/>
  <c r="F2070" i="1" s="1"/>
  <c r="E2069" i="1"/>
  <c r="F2069" i="1" s="1"/>
  <c r="E2068" i="1"/>
  <c r="F2068" i="1" s="1"/>
  <c r="E2067" i="1"/>
  <c r="F2067" i="1" s="1"/>
  <c r="E2066" i="1"/>
  <c r="F2066" i="1" s="1"/>
  <c r="E2065" i="1"/>
  <c r="F2065" i="1" s="1"/>
  <c r="E2064" i="1"/>
  <c r="F2064" i="1" s="1"/>
  <c r="E2063" i="1"/>
  <c r="F2063" i="1" s="1"/>
  <c r="E2062" i="1"/>
  <c r="F2062" i="1" s="1"/>
  <c r="E2061" i="1"/>
  <c r="F2061" i="1" s="1"/>
  <c r="E2060" i="1"/>
  <c r="F2060" i="1" s="1"/>
  <c r="E2059" i="1"/>
  <c r="F2059" i="1" s="1"/>
  <c r="E2058" i="1"/>
  <c r="F2058" i="1" s="1"/>
  <c r="E2057" i="1"/>
  <c r="F2057" i="1" s="1"/>
  <c r="E2056" i="1"/>
  <c r="F2056" i="1" s="1"/>
  <c r="E2055" i="1"/>
  <c r="F2055" i="1" s="1"/>
  <c r="B2055" i="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H2054" i="1"/>
  <c r="H2055" i="1" s="1"/>
  <c r="H2056" i="1" s="1"/>
  <c r="H2057" i="1" s="1"/>
  <c r="H2058" i="1" s="1"/>
  <c r="H2059" i="1" s="1"/>
  <c r="H2060" i="1" s="1"/>
  <c r="H2061" i="1" s="1"/>
  <c r="H2062" i="1" s="1"/>
  <c r="E2054" i="1"/>
  <c r="F2054" i="1" s="1"/>
  <c r="E1922" i="1"/>
  <c r="F1922" i="1" s="1"/>
  <c r="E1921" i="1"/>
  <c r="F1921" i="1" s="1"/>
  <c r="E1920" i="1"/>
  <c r="F1920" i="1" s="1"/>
  <c r="E1919" i="1"/>
  <c r="F1919" i="1" s="1"/>
  <c r="E1918" i="1"/>
  <c r="F1918" i="1" s="1"/>
  <c r="E1917" i="1"/>
  <c r="F1917" i="1" s="1"/>
  <c r="E1916" i="1"/>
  <c r="F1916" i="1" s="1"/>
  <c r="E1915" i="1"/>
  <c r="F1915" i="1" s="1"/>
  <c r="E1914" i="1"/>
  <c r="F1914" i="1" s="1"/>
  <c r="E1913" i="1"/>
  <c r="F1913" i="1" s="1"/>
  <c r="E1912" i="1"/>
  <c r="F1912" i="1" s="1"/>
  <c r="E1911" i="1"/>
  <c r="F1911" i="1" s="1"/>
  <c r="E1910" i="1"/>
  <c r="F1910" i="1" s="1"/>
  <c r="E1909" i="1"/>
  <c r="F1909" i="1" s="1"/>
  <c r="E1908" i="1"/>
  <c r="F1908" i="1" s="1"/>
  <c r="E1907" i="1"/>
  <c r="F1907" i="1" s="1"/>
  <c r="E1906" i="1"/>
  <c r="F1906" i="1" s="1"/>
  <c r="E1905" i="1"/>
  <c r="F1905" i="1" s="1"/>
  <c r="E1904" i="1"/>
  <c r="F1904" i="1" s="1"/>
  <c r="E1903" i="1"/>
  <c r="F1903" i="1" s="1"/>
  <c r="B1903" i="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H1902" i="1"/>
  <c r="H1903" i="1" s="1"/>
  <c r="H1904" i="1" s="1"/>
  <c r="E1902" i="1"/>
  <c r="F1902" i="1" s="1"/>
  <c r="E1770" i="1"/>
  <c r="F1770" i="1" s="1"/>
  <c r="E1769" i="1"/>
  <c r="F1769" i="1" s="1"/>
  <c r="E1768" i="1"/>
  <c r="F1768" i="1" s="1"/>
  <c r="E1767" i="1"/>
  <c r="F1767" i="1" s="1"/>
  <c r="E1766" i="1"/>
  <c r="F1766" i="1" s="1"/>
  <c r="E1765" i="1"/>
  <c r="F1765" i="1" s="1"/>
  <c r="E1764" i="1"/>
  <c r="F1764" i="1" s="1"/>
  <c r="E1763" i="1"/>
  <c r="F1763" i="1" s="1"/>
  <c r="E1762" i="1"/>
  <c r="F1762" i="1" s="1"/>
  <c r="E1761" i="1"/>
  <c r="F1761" i="1" s="1"/>
  <c r="E1760" i="1"/>
  <c r="F1760" i="1" s="1"/>
  <c r="E1759" i="1"/>
  <c r="F1759" i="1" s="1"/>
  <c r="E1758" i="1"/>
  <c r="F1758" i="1" s="1"/>
  <c r="E1757" i="1"/>
  <c r="F1757" i="1" s="1"/>
  <c r="E1756" i="1"/>
  <c r="F1756" i="1" s="1"/>
  <c r="E1755" i="1"/>
  <c r="F1755" i="1" s="1"/>
  <c r="E1754" i="1"/>
  <c r="F1754" i="1" s="1"/>
  <c r="E1753" i="1"/>
  <c r="F1753" i="1" s="1"/>
  <c r="E1752" i="1"/>
  <c r="F1752" i="1" s="1"/>
  <c r="E1751" i="1"/>
  <c r="F1751" i="1" s="1"/>
  <c r="B1751" i="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2" i="1" s="1"/>
  <c r="B1783" i="1" s="1"/>
  <c r="B1784" i="1" s="1"/>
  <c r="B1785" i="1" s="1"/>
  <c r="B1786" i="1" s="1"/>
  <c r="H1750" i="1"/>
  <c r="H1751" i="1" s="1"/>
  <c r="H1752" i="1" s="1"/>
  <c r="H1753" i="1" s="1"/>
  <c r="H1754" i="1" s="1"/>
  <c r="E1750" i="1"/>
  <c r="F1750" i="1" s="1"/>
  <c r="E1732" i="1"/>
  <c r="F1732" i="1" s="1"/>
  <c r="E1731" i="1"/>
  <c r="F1731" i="1" s="1"/>
  <c r="E1730" i="1"/>
  <c r="F1730" i="1" s="1"/>
  <c r="E1729" i="1"/>
  <c r="F1729" i="1" s="1"/>
  <c r="E1728" i="1"/>
  <c r="F1728" i="1" s="1"/>
  <c r="E1727" i="1"/>
  <c r="F1727" i="1" s="1"/>
  <c r="E1726" i="1"/>
  <c r="F1726" i="1" s="1"/>
  <c r="E1725" i="1"/>
  <c r="F1725" i="1" s="1"/>
  <c r="E1724" i="1"/>
  <c r="F1724" i="1" s="1"/>
  <c r="E1723" i="1"/>
  <c r="F1723" i="1" s="1"/>
  <c r="E1722" i="1"/>
  <c r="F1722" i="1" s="1"/>
  <c r="E1721" i="1"/>
  <c r="F1721" i="1" s="1"/>
  <c r="E1720" i="1"/>
  <c r="F1720" i="1" s="1"/>
  <c r="E1719" i="1"/>
  <c r="F1719" i="1" s="1"/>
  <c r="E1718" i="1"/>
  <c r="F1718" i="1" s="1"/>
  <c r="E1717" i="1"/>
  <c r="F1717" i="1" s="1"/>
  <c r="E1716" i="1"/>
  <c r="F1716" i="1" s="1"/>
  <c r="E1715" i="1"/>
  <c r="F1715" i="1" s="1"/>
  <c r="E1714" i="1"/>
  <c r="F1714" i="1" s="1"/>
  <c r="E1713" i="1"/>
  <c r="F1713" i="1" s="1"/>
  <c r="B1713" i="1"/>
  <c r="B1714" i="1" s="1"/>
  <c r="B1715" i="1" s="1"/>
  <c r="B1716" i="1" s="1"/>
  <c r="B1717" i="1" s="1"/>
  <c r="B1718" i="1" s="1"/>
  <c r="B1719" i="1" s="1"/>
  <c r="B1720"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H1712" i="1"/>
  <c r="H1713" i="1" s="1"/>
  <c r="H1714" i="1" s="1"/>
  <c r="H1715" i="1" s="1"/>
  <c r="H1716" i="1" s="1"/>
  <c r="H1717" i="1" s="1"/>
  <c r="H1718" i="1" s="1"/>
  <c r="E1712" i="1"/>
  <c r="F1712" i="1" s="1"/>
  <c r="E1694" i="1"/>
  <c r="F1694" i="1" s="1"/>
  <c r="E1693" i="1"/>
  <c r="F1693" i="1" s="1"/>
  <c r="E1692" i="1"/>
  <c r="F1692" i="1" s="1"/>
  <c r="E1691" i="1"/>
  <c r="F1691" i="1" s="1"/>
  <c r="E1690" i="1"/>
  <c r="F1690" i="1" s="1"/>
  <c r="E1689" i="1"/>
  <c r="F1689" i="1" s="1"/>
  <c r="E1688" i="1"/>
  <c r="F1688" i="1" s="1"/>
  <c r="E1687" i="1"/>
  <c r="F1687" i="1" s="1"/>
  <c r="E1686" i="1"/>
  <c r="F1686" i="1" s="1"/>
  <c r="E1685" i="1"/>
  <c r="F1685" i="1" s="1"/>
  <c r="E1684" i="1"/>
  <c r="F1684" i="1" s="1"/>
  <c r="E1683" i="1"/>
  <c r="F1683" i="1" s="1"/>
  <c r="E1682" i="1"/>
  <c r="F1682" i="1" s="1"/>
  <c r="E1681" i="1"/>
  <c r="F1681" i="1" s="1"/>
  <c r="E1680" i="1"/>
  <c r="F1680" i="1" s="1"/>
  <c r="E1679" i="1"/>
  <c r="F1679" i="1" s="1"/>
  <c r="E1678" i="1"/>
  <c r="F1678" i="1" s="1"/>
  <c r="E1677" i="1"/>
  <c r="F1677" i="1" s="1"/>
  <c r="E1676" i="1"/>
  <c r="F1676" i="1" s="1"/>
  <c r="E1675" i="1"/>
  <c r="F1675" i="1" s="1"/>
  <c r="B1675" i="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H1674" i="1"/>
  <c r="H1675" i="1" s="1"/>
  <c r="H1676" i="1" s="1"/>
  <c r="H1677" i="1" s="1"/>
  <c r="H1678" i="1" s="1"/>
  <c r="H1679" i="1" s="1"/>
  <c r="H1680" i="1" s="1"/>
  <c r="H1681" i="1" s="1"/>
  <c r="H1682" i="1" s="1"/>
  <c r="E1674" i="1"/>
  <c r="F1674" i="1" s="1"/>
  <c r="E1656" i="1"/>
  <c r="F1656" i="1" s="1"/>
  <c r="E1655" i="1"/>
  <c r="F1655" i="1" s="1"/>
  <c r="E1654" i="1"/>
  <c r="F1654" i="1" s="1"/>
  <c r="E1653" i="1"/>
  <c r="F1653" i="1" s="1"/>
  <c r="E1652" i="1"/>
  <c r="F1652" i="1" s="1"/>
  <c r="E1651" i="1"/>
  <c r="F1651" i="1" s="1"/>
  <c r="E1650" i="1"/>
  <c r="F1650" i="1" s="1"/>
  <c r="E1649" i="1"/>
  <c r="F1649" i="1" s="1"/>
  <c r="E1648" i="1"/>
  <c r="F1648" i="1" s="1"/>
  <c r="E1647" i="1"/>
  <c r="F1647" i="1" s="1"/>
  <c r="E1646" i="1"/>
  <c r="F1646" i="1" s="1"/>
  <c r="E1645" i="1"/>
  <c r="F1645" i="1" s="1"/>
  <c r="E1644" i="1"/>
  <c r="F1644" i="1" s="1"/>
  <c r="E1643" i="1"/>
  <c r="F1643" i="1" s="1"/>
  <c r="E1642" i="1"/>
  <c r="F1642" i="1" s="1"/>
  <c r="E1641" i="1"/>
  <c r="F1641" i="1" s="1"/>
  <c r="E1640" i="1"/>
  <c r="F1640" i="1" s="1"/>
  <c r="E1639" i="1"/>
  <c r="F1639" i="1" s="1"/>
  <c r="E1638" i="1"/>
  <c r="F1638" i="1" s="1"/>
  <c r="E1637" i="1"/>
  <c r="F1637" i="1" s="1"/>
  <c r="B1637" i="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672" i="1" s="1"/>
  <c r="H1636" i="1"/>
  <c r="E1636" i="1"/>
  <c r="F1636" i="1" s="1"/>
  <c r="E1504" i="1"/>
  <c r="F1504" i="1" s="1"/>
  <c r="E1503" i="1"/>
  <c r="F1503" i="1" s="1"/>
  <c r="E1502" i="1"/>
  <c r="F1502" i="1" s="1"/>
  <c r="E1501" i="1"/>
  <c r="F1501" i="1" s="1"/>
  <c r="E1500" i="1"/>
  <c r="F1500" i="1" s="1"/>
  <c r="E1499" i="1"/>
  <c r="F1499" i="1" s="1"/>
  <c r="E1498" i="1"/>
  <c r="F1498" i="1" s="1"/>
  <c r="E1497" i="1"/>
  <c r="F1497" i="1" s="1"/>
  <c r="E1496" i="1"/>
  <c r="F1496" i="1" s="1"/>
  <c r="E1495" i="1"/>
  <c r="F1495" i="1" s="1"/>
  <c r="E1494" i="1"/>
  <c r="F1494" i="1" s="1"/>
  <c r="E1493" i="1"/>
  <c r="F1493" i="1" s="1"/>
  <c r="E1492" i="1"/>
  <c r="F1492" i="1" s="1"/>
  <c r="E1491" i="1"/>
  <c r="F1491" i="1" s="1"/>
  <c r="E1490" i="1"/>
  <c r="F1490" i="1" s="1"/>
  <c r="E1489" i="1"/>
  <c r="F1489" i="1" s="1"/>
  <c r="E1488" i="1"/>
  <c r="F1488" i="1" s="1"/>
  <c r="E1487" i="1"/>
  <c r="F1487" i="1" s="1"/>
  <c r="E1486" i="1"/>
  <c r="F1486" i="1" s="1"/>
  <c r="E1485" i="1"/>
  <c r="F1485" i="1" s="1"/>
  <c r="B1485" i="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2" i="1" s="1"/>
  <c r="B1513" i="1" s="1"/>
  <c r="B1514" i="1" s="1"/>
  <c r="B1515" i="1" s="1"/>
  <c r="B1516" i="1" s="1"/>
  <c r="B1517" i="1" s="1"/>
  <c r="B1518" i="1" s="1"/>
  <c r="B1519" i="1" s="1"/>
  <c r="B1520" i="1" s="1"/>
  <c r="H1484" i="1"/>
  <c r="H1485" i="1" s="1"/>
  <c r="H1486" i="1" s="1"/>
  <c r="E1484" i="1"/>
  <c r="F1484" i="1" s="1"/>
  <c r="E1352" i="1"/>
  <c r="F1352" i="1" s="1"/>
  <c r="E1351" i="1"/>
  <c r="F1351" i="1" s="1"/>
  <c r="E1350" i="1"/>
  <c r="F1350" i="1" s="1"/>
  <c r="E1349" i="1"/>
  <c r="F1349" i="1" s="1"/>
  <c r="E1348" i="1"/>
  <c r="F1348" i="1" s="1"/>
  <c r="E1347" i="1"/>
  <c r="F1347" i="1" s="1"/>
  <c r="E1346" i="1"/>
  <c r="F1346" i="1" s="1"/>
  <c r="E1345" i="1"/>
  <c r="F1345" i="1" s="1"/>
  <c r="E1344" i="1"/>
  <c r="F1344" i="1" s="1"/>
  <c r="E1343" i="1"/>
  <c r="F1343" i="1" s="1"/>
  <c r="E1342" i="1"/>
  <c r="F1342" i="1" s="1"/>
  <c r="E1341" i="1"/>
  <c r="F1341" i="1" s="1"/>
  <c r="E1340" i="1"/>
  <c r="F1340" i="1" s="1"/>
  <c r="E1339" i="1"/>
  <c r="F1339" i="1" s="1"/>
  <c r="E1338" i="1"/>
  <c r="F1338" i="1" s="1"/>
  <c r="E1337" i="1"/>
  <c r="F1337" i="1" s="1"/>
  <c r="E1336" i="1"/>
  <c r="F1336" i="1" s="1"/>
  <c r="E1335" i="1"/>
  <c r="F1335" i="1" s="1"/>
  <c r="E1334" i="1"/>
  <c r="F1334" i="1" s="1"/>
  <c r="E1333" i="1"/>
  <c r="F1333" i="1" s="1"/>
  <c r="B1333" i="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H1332" i="1"/>
  <c r="H1333" i="1" s="1"/>
  <c r="H1334" i="1" s="1"/>
  <c r="H1335" i="1" s="1"/>
  <c r="H1336" i="1" s="1"/>
  <c r="H1337" i="1" s="1"/>
  <c r="H1338" i="1" s="1"/>
  <c r="H1339" i="1" s="1"/>
  <c r="H1340" i="1" s="1"/>
  <c r="H1341" i="1" s="1"/>
  <c r="H1342" i="1" s="1"/>
  <c r="H1343" i="1" s="1"/>
  <c r="H1344" i="1" s="1"/>
  <c r="H1345" i="1" s="1"/>
  <c r="H1346" i="1" s="1"/>
  <c r="H1347" i="1" s="1"/>
  <c r="H1348" i="1" s="1"/>
  <c r="H1349" i="1" s="1"/>
  <c r="H1350" i="1" s="1"/>
  <c r="H1351" i="1" s="1"/>
  <c r="H1352" i="1" s="1"/>
  <c r="H1353" i="1" s="1"/>
  <c r="E1332" i="1"/>
  <c r="F1332" i="1" s="1"/>
  <c r="E1314" i="1"/>
  <c r="F1314" i="1" s="1"/>
  <c r="E1313" i="1"/>
  <c r="F1313" i="1" s="1"/>
  <c r="E1312" i="1"/>
  <c r="F1312" i="1" s="1"/>
  <c r="E1311" i="1"/>
  <c r="F1311" i="1" s="1"/>
  <c r="E1310" i="1"/>
  <c r="F1310" i="1" s="1"/>
  <c r="E1309" i="1"/>
  <c r="F1309" i="1" s="1"/>
  <c r="E1308" i="1"/>
  <c r="F1308" i="1" s="1"/>
  <c r="E1307" i="1"/>
  <c r="F1307" i="1" s="1"/>
  <c r="E1306" i="1"/>
  <c r="F1306" i="1" s="1"/>
  <c r="E1305" i="1"/>
  <c r="F1305" i="1" s="1"/>
  <c r="E1304" i="1"/>
  <c r="F1304" i="1" s="1"/>
  <c r="E1303" i="1"/>
  <c r="F1303" i="1" s="1"/>
  <c r="E1302" i="1"/>
  <c r="F1302" i="1" s="1"/>
  <c r="E1301" i="1"/>
  <c r="F1301" i="1" s="1"/>
  <c r="E1300" i="1"/>
  <c r="F1300" i="1" s="1"/>
  <c r="E1299" i="1"/>
  <c r="F1299" i="1" s="1"/>
  <c r="E1298" i="1"/>
  <c r="F1298" i="1" s="1"/>
  <c r="E1297" i="1"/>
  <c r="F1297" i="1" s="1"/>
  <c r="E1296" i="1"/>
  <c r="F1296" i="1" s="1"/>
  <c r="E1295" i="1"/>
  <c r="F1295" i="1" s="1"/>
  <c r="B1295" i="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H1294" i="1"/>
  <c r="H1295" i="1" s="1"/>
  <c r="H1296" i="1" s="1"/>
  <c r="H1297" i="1" s="1"/>
  <c r="H1298" i="1" s="1"/>
  <c r="H1299" i="1" s="1"/>
  <c r="H1300" i="1" s="1"/>
  <c r="E1294" i="1"/>
  <c r="F1294" i="1" s="1"/>
  <c r="E1276" i="1"/>
  <c r="F1276" i="1" s="1"/>
  <c r="E1275" i="1"/>
  <c r="F1275" i="1" s="1"/>
  <c r="E1274" i="1"/>
  <c r="F1274" i="1" s="1"/>
  <c r="E1273" i="1"/>
  <c r="F1273" i="1" s="1"/>
  <c r="E1272" i="1"/>
  <c r="F1272" i="1" s="1"/>
  <c r="E1271" i="1"/>
  <c r="F1271" i="1" s="1"/>
  <c r="E1270" i="1"/>
  <c r="F1270" i="1" s="1"/>
  <c r="E1269" i="1"/>
  <c r="F1269" i="1" s="1"/>
  <c r="E1268" i="1"/>
  <c r="F1268" i="1" s="1"/>
  <c r="E1267" i="1"/>
  <c r="F1267" i="1" s="1"/>
  <c r="E1266" i="1"/>
  <c r="F1266" i="1" s="1"/>
  <c r="E1265" i="1"/>
  <c r="F1265" i="1" s="1"/>
  <c r="E1264" i="1"/>
  <c r="F1264" i="1" s="1"/>
  <c r="E1263" i="1"/>
  <c r="F1263" i="1" s="1"/>
  <c r="E1262" i="1"/>
  <c r="F1262" i="1" s="1"/>
  <c r="E1261" i="1"/>
  <c r="F1261" i="1" s="1"/>
  <c r="E1260" i="1"/>
  <c r="F1260" i="1" s="1"/>
  <c r="E1259" i="1"/>
  <c r="F1259" i="1" s="1"/>
  <c r="E1258" i="1"/>
  <c r="F1258" i="1" s="1"/>
  <c r="E1257" i="1"/>
  <c r="F1257" i="1" s="1"/>
  <c r="B1257" i="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H1256" i="1"/>
  <c r="H1257" i="1" s="1"/>
  <c r="H1258" i="1" s="1"/>
  <c r="H1259" i="1" s="1"/>
  <c r="H1260" i="1" s="1"/>
  <c r="H1261" i="1" s="1"/>
  <c r="H1262" i="1" s="1"/>
  <c r="H1263" i="1" s="1"/>
  <c r="H1264" i="1" s="1"/>
  <c r="H1265" i="1" s="1"/>
  <c r="H1266" i="1" s="1"/>
  <c r="H1267" i="1" s="1"/>
  <c r="E1256" i="1"/>
  <c r="F1256" i="1" s="1"/>
  <c r="E1238" i="1"/>
  <c r="F1238" i="1" s="1"/>
  <c r="E1237" i="1"/>
  <c r="F1237" i="1" s="1"/>
  <c r="E1236" i="1"/>
  <c r="F1236" i="1" s="1"/>
  <c r="E1235" i="1"/>
  <c r="F1235" i="1" s="1"/>
  <c r="E1234" i="1"/>
  <c r="F1234" i="1" s="1"/>
  <c r="E1233" i="1"/>
  <c r="F1233" i="1" s="1"/>
  <c r="E1232" i="1"/>
  <c r="F1232" i="1" s="1"/>
  <c r="E1231" i="1"/>
  <c r="F1231" i="1" s="1"/>
  <c r="E1230" i="1"/>
  <c r="F1230" i="1" s="1"/>
  <c r="E1229" i="1"/>
  <c r="F1229" i="1" s="1"/>
  <c r="E1228" i="1"/>
  <c r="F1228" i="1" s="1"/>
  <c r="E1227" i="1"/>
  <c r="F1227" i="1" s="1"/>
  <c r="E1226" i="1"/>
  <c r="F1226" i="1" s="1"/>
  <c r="E1225" i="1"/>
  <c r="F1225" i="1" s="1"/>
  <c r="E1224" i="1"/>
  <c r="F1224" i="1" s="1"/>
  <c r="E1223" i="1"/>
  <c r="F1223" i="1" s="1"/>
  <c r="E1222" i="1"/>
  <c r="F1222" i="1" s="1"/>
  <c r="E1221" i="1"/>
  <c r="F1221" i="1" s="1"/>
  <c r="E1220" i="1"/>
  <c r="F1220" i="1" s="1"/>
  <c r="E1219" i="1"/>
  <c r="F1219" i="1" s="1"/>
  <c r="B1219" i="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H1218" i="1"/>
  <c r="H1219" i="1" s="1"/>
  <c r="H1220" i="1" s="1"/>
  <c r="H1221" i="1" s="1"/>
  <c r="H1222" i="1" s="1"/>
  <c r="H1223" i="1" s="1"/>
  <c r="H1224" i="1" s="1"/>
  <c r="H1225" i="1" s="1"/>
  <c r="H1226" i="1" s="1"/>
  <c r="E1218" i="1"/>
  <c r="F1218" i="1" s="1"/>
  <c r="E1086" i="1"/>
  <c r="F1086" i="1" s="1"/>
  <c r="E1085" i="1"/>
  <c r="F1085" i="1" s="1"/>
  <c r="E1084" i="1"/>
  <c r="F1084" i="1" s="1"/>
  <c r="E1083" i="1"/>
  <c r="F1083" i="1" s="1"/>
  <c r="E1082" i="1"/>
  <c r="F1082" i="1" s="1"/>
  <c r="E1081" i="1"/>
  <c r="F1081" i="1" s="1"/>
  <c r="E1080" i="1"/>
  <c r="F1080" i="1" s="1"/>
  <c r="E1079" i="1"/>
  <c r="F1079" i="1" s="1"/>
  <c r="E1078" i="1"/>
  <c r="F1078" i="1" s="1"/>
  <c r="E1077" i="1"/>
  <c r="F1077" i="1" s="1"/>
  <c r="E1076" i="1"/>
  <c r="F1076" i="1" s="1"/>
  <c r="E1075" i="1"/>
  <c r="F1075" i="1" s="1"/>
  <c r="E1074" i="1"/>
  <c r="F1074" i="1" s="1"/>
  <c r="E1073" i="1"/>
  <c r="F1073" i="1" s="1"/>
  <c r="E1072" i="1"/>
  <c r="F1072" i="1" s="1"/>
  <c r="E1071" i="1"/>
  <c r="F1071" i="1" s="1"/>
  <c r="E1070" i="1"/>
  <c r="F1070" i="1" s="1"/>
  <c r="E1069" i="1"/>
  <c r="F1069" i="1" s="1"/>
  <c r="E1068" i="1"/>
  <c r="F1068" i="1" s="1"/>
  <c r="E1067" i="1"/>
  <c r="F1067" i="1" s="1"/>
  <c r="B1067" i="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H1066" i="1"/>
  <c r="H1067" i="1" s="1"/>
  <c r="H1068" i="1" s="1"/>
  <c r="H1069" i="1" s="1"/>
  <c r="H1070" i="1" s="1"/>
  <c r="H1071" i="1" s="1"/>
  <c r="H1072" i="1" s="1"/>
  <c r="H1073" i="1" s="1"/>
  <c r="H1074" i="1" s="1"/>
  <c r="H1075" i="1" s="1"/>
  <c r="H1076" i="1" s="1"/>
  <c r="E1066" i="1"/>
  <c r="F1066" i="1" s="1"/>
  <c r="E934" i="1"/>
  <c r="F934" i="1" s="1"/>
  <c r="E933" i="1"/>
  <c r="F933" i="1" s="1"/>
  <c r="E932" i="1"/>
  <c r="F932" i="1" s="1"/>
  <c r="E931" i="1"/>
  <c r="F931" i="1" s="1"/>
  <c r="E930" i="1"/>
  <c r="F930" i="1" s="1"/>
  <c r="E929" i="1"/>
  <c r="F929" i="1" s="1"/>
  <c r="E928" i="1"/>
  <c r="F928" i="1" s="1"/>
  <c r="E927" i="1"/>
  <c r="F927" i="1" s="1"/>
  <c r="E926" i="1"/>
  <c r="F926" i="1" s="1"/>
  <c r="E925" i="1"/>
  <c r="F925" i="1" s="1"/>
  <c r="E924" i="1"/>
  <c r="F924" i="1" s="1"/>
  <c r="E923" i="1"/>
  <c r="F923" i="1" s="1"/>
  <c r="E922" i="1"/>
  <c r="F922" i="1" s="1"/>
  <c r="E921" i="1"/>
  <c r="F921" i="1" s="1"/>
  <c r="E920" i="1"/>
  <c r="F920" i="1" s="1"/>
  <c r="E919" i="1"/>
  <c r="F919" i="1" s="1"/>
  <c r="E918" i="1"/>
  <c r="F918" i="1" s="1"/>
  <c r="E917" i="1"/>
  <c r="F917" i="1" s="1"/>
  <c r="E916" i="1"/>
  <c r="F916" i="1" s="1"/>
  <c r="E915" i="1"/>
  <c r="F915" i="1" s="1"/>
  <c r="B915" i="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H914" i="1"/>
  <c r="H915" i="1" s="1"/>
  <c r="H916" i="1" s="1"/>
  <c r="H917" i="1" s="1"/>
  <c r="H918" i="1" s="1"/>
  <c r="E914" i="1"/>
  <c r="F914" i="1" s="1"/>
  <c r="E896" i="1"/>
  <c r="F896" i="1" s="1"/>
  <c r="E895" i="1"/>
  <c r="F895" i="1" s="1"/>
  <c r="E894" i="1"/>
  <c r="F894" i="1" s="1"/>
  <c r="E893" i="1"/>
  <c r="F893" i="1" s="1"/>
  <c r="E892" i="1"/>
  <c r="F892" i="1" s="1"/>
  <c r="E891" i="1"/>
  <c r="F891" i="1" s="1"/>
  <c r="E890" i="1"/>
  <c r="F890" i="1" s="1"/>
  <c r="E889" i="1"/>
  <c r="F889" i="1" s="1"/>
  <c r="E888" i="1"/>
  <c r="F888" i="1" s="1"/>
  <c r="E887" i="1"/>
  <c r="F887" i="1" s="1"/>
  <c r="E886" i="1"/>
  <c r="F886" i="1" s="1"/>
  <c r="E885" i="1"/>
  <c r="F885" i="1" s="1"/>
  <c r="E884" i="1"/>
  <c r="F884" i="1" s="1"/>
  <c r="E883" i="1"/>
  <c r="F883" i="1" s="1"/>
  <c r="E882" i="1"/>
  <c r="F882" i="1" s="1"/>
  <c r="E881" i="1"/>
  <c r="F881" i="1" s="1"/>
  <c r="E880" i="1"/>
  <c r="F880" i="1" s="1"/>
  <c r="E879" i="1"/>
  <c r="F879" i="1" s="1"/>
  <c r="E878" i="1"/>
  <c r="F878" i="1" s="1"/>
  <c r="E877" i="1"/>
  <c r="F877" i="1" s="1"/>
  <c r="B877" i="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H876" i="1"/>
  <c r="H877" i="1" s="1"/>
  <c r="H878" i="1" s="1"/>
  <c r="H879" i="1" s="1"/>
  <c r="H880" i="1" s="1"/>
  <c r="E876" i="1"/>
  <c r="F876" i="1" s="1"/>
  <c r="E858" i="1"/>
  <c r="F858" i="1" s="1"/>
  <c r="E857" i="1"/>
  <c r="F857" i="1" s="1"/>
  <c r="E856" i="1"/>
  <c r="F856" i="1" s="1"/>
  <c r="E855" i="1"/>
  <c r="F855" i="1" s="1"/>
  <c r="E854" i="1"/>
  <c r="F854" i="1" s="1"/>
  <c r="E853" i="1"/>
  <c r="F853" i="1" s="1"/>
  <c r="E852" i="1"/>
  <c r="F852" i="1" s="1"/>
  <c r="E851" i="1"/>
  <c r="F851" i="1" s="1"/>
  <c r="E850" i="1"/>
  <c r="F850" i="1" s="1"/>
  <c r="E849" i="1"/>
  <c r="F849" i="1" s="1"/>
  <c r="E848" i="1"/>
  <c r="F848" i="1" s="1"/>
  <c r="E847" i="1"/>
  <c r="F847" i="1" s="1"/>
  <c r="E846" i="1"/>
  <c r="F846" i="1" s="1"/>
  <c r="E845" i="1"/>
  <c r="F845" i="1" s="1"/>
  <c r="E844" i="1"/>
  <c r="F844" i="1" s="1"/>
  <c r="E843" i="1"/>
  <c r="F843" i="1" s="1"/>
  <c r="E842" i="1"/>
  <c r="F842" i="1" s="1"/>
  <c r="E841" i="1"/>
  <c r="F841" i="1" s="1"/>
  <c r="E840" i="1"/>
  <c r="F840" i="1" s="1"/>
  <c r="E839" i="1"/>
  <c r="F839" i="1" s="1"/>
  <c r="B839" i="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H838" i="1"/>
  <c r="H839" i="1" s="1"/>
  <c r="H840" i="1" s="1"/>
  <c r="H841" i="1" s="1"/>
  <c r="H842" i="1" s="1"/>
  <c r="H843" i="1" s="1"/>
  <c r="H844" i="1" s="1"/>
  <c r="E838" i="1"/>
  <c r="F838" i="1" s="1"/>
  <c r="E820" i="1"/>
  <c r="F820" i="1" s="1"/>
  <c r="E819" i="1"/>
  <c r="F819" i="1" s="1"/>
  <c r="E818" i="1"/>
  <c r="F818" i="1" s="1"/>
  <c r="E817" i="1"/>
  <c r="F817" i="1" s="1"/>
  <c r="E816" i="1"/>
  <c r="F816" i="1" s="1"/>
  <c r="E815" i="1"/>
  <c r="F815" i="1" s="1"/>
  <c r="E814" i="1"/>
  <c r="F814" i="1" s="1"/>
  <c r="E813" i="1"/>
  <c r="F813" i="1" s="1"/>
  <c r="E812" i="1"/>
  <c r="F812" i="1" s="1"/>
  <c r="E811" i="1"/>
  <c r="F811" i="1" s="1"/>
  <c r="E810" i="1"/>
  <c r="F810" i="1" s="1"/>
  <c r="E809" i="1"/>
  <c r="F809" i="1" s="1"/>
  <c r="E808" i="1"/>
  <c r="F808" i="1" s="1"/>
  <c r="E807" i="1"/>
  <c r="F807" i="1" s="1"/>
  <c r="E806" i="1"/>
  <c r="F806" i="1" s="1"/>
  <c r="E805" i="1"/>
  <c r="F805" i="1" s="1"/>
  <c r="E804" i="1"/>
  <c r="F804" i="1" s="1"/>
  <c r="E803" i="1"/>
  <c r="F803" i="1" s="1"/>
  <c r="E802" i="1"/>
  <c r="F802" i="1" s="1"/>
  <c r="E801" i="1"/>
  <c r="F801" i="1" s="1"/>
  <c r="B801" i="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H800" i="1"/>
  <c r="H801" i="1" s="1"/>
  <c r="H802" i="1" s="1"/>
  <c r="H803" i="1" s="1"/>
  <c r="H804" i="1" s="1"/>
  <c r="H805" i="1" s="1"/>
  <c r="H806" i="1" s="1"/>
  <c r="H807" i="1" s="1"/>
  <c r="H808" i="1" s="1"/>
  <c r="H809" i="1" s="1"/>
  <c r="H810" i="1" s="1"/>
  <c r="H811" i="1" s="1"/>
  <c r="H812" i="1" s="1"/>
  <c r="H813" i="1" s="1"/>
  <c r="H814" i="1" s="1"/>
  <c r="H815" i="1" s="1"/>
  <c r="H816" i="1" s="1"/>
  <c r="H817" i="1" s="1"/>
  <c r="H818" i="1" s="1"/>
  <c r="H819" i="1" s="1"/>
  <c r="H820" i="1" s="1"/>
  <c r="H821" i="1" s="1"/>
  <c r="E800" i="1"/>
  <c r="F800" i="1" s="1"/>
  <c r="E668" i="1"/>
  <c r="F668" i="1" s="1"/>
  <c r="E667" i="1"/>
  <c r="F667" i="1" s="1"/>
  <c r="E666" i="1"/>
  <c r="F666" i="1" s="1"/>
  <c r="E665" i="1"/>
  <c r="F665" i="1" s="1"/>
  <c r="E664" i="1"/>
  <c r="F664" i="1" s="1"/>
  <c r="E663" i="1"/>
  <c r="F663" i="1" s="1"/>
  <c r="E662" i="1"/>
  <c r="F662" i="1" s="1"/>
  <c r="E661" i="1"/>
  <c r="F661" i="1" s="1"/>
  <c r="E660" i="1"/>
  <c r="F660" i="1" s="1"/>
  <c r="E659" i="1"/>
  <c r="F659" i="1" s="1"/>
  <c r="E658" i="1"/>
  <c r="F658" i="1" s="1"/>
  <c r="E657" i="1"/>
  <c r="F657" i="1" s="1"/>
  <c r="E656" i="1"/>
  <c r="F656" i="1" s="1"/>
  <c r="E655" i="1"/>
  <c r="F655" i="1" s="1"/>
  <c r="E654" i="1"/>
  <c r="F654" i="1" s="1"/>
  <c r="E653" i="1"/>
  <c r="F653" i="1" s="1"/>
  <c r="E652" i="1"/>
  <c r="F652" i="1" s="1"/>
  <c r="E651" i="1"/>
  <c r="F651" i="1" s="1"/>
  <c r="E650" i="1"/>
  <c r="F650" i="1" s="1"/>
  <c r="E649" i="1"/>
  <c r="F649" i="1" s="1"/>
  <c r="B649" i="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H648" i="1"/>
  <c r="H649" i="1" s="1"/>
  <c r="H650" i="1" s="1"/>
  <c r="H651" i="1" s="1"/>
  <c r="H652" i="1" s="1"/>
  <c r="H653" i="1" s="1"/>
  <c r="H654" i="1" s="1"/>
  <c r="H655" i="1" s="1"/>
  <c r="H656" i="1" s="1"/>
  <c r="H657" i="1" s="1"/>
  <c r="H658" i="1" s="1"/>
  <c r="H659" i="1" s="1"/>
  <c r="H660" i="1" s="1"/>
  <c r="H661" i="1" s="1"/>
  <c r="H662" i="1" s="1"/>
  <c r="H663" i="1" s="1"/>
  <c r="H664" i="1" s="1"/>
  <c r="H665" i="1" s="1"/>
  <c r="H666" i="1" s="1"/>
  <c r="H667" i="1" s="1"/>
  <c r="H668" i="1" s="1"/>
  <c r="H669" i="1" s="1"/>
  <c r="E648" i="1"/>
  <c r="F648" i="1" s="1"/>
  <c r="E516" i="1"/>
  <c r="F516" i="1" s="1"/>
  <c r="E515" i="1"/>
  <c r="F515" i="1" s="1"/>
  <c r="E514" i="1"/>
  <c r="F514" i="1" s="1"/>
  <c r="E513" i="1"/>
  <c r="F513" i="1" s="1"/>
  <c r="E512" i="1"/>
  <c r="F512" i="1" s="1"/>
  <c r="E511" i="1"/>
  <c r="F511" i="1" s="1"/>
  <c r="E510" i="1"/>
  <c r="F510" i="1" s="1"/>
  <c r="E509" i="1"/>
  <c r="F509" i="1" s="1"/>
  <c r="E508" i="1"/>
  <c r="F508" i="1" s="1"/>
  <c r="E507" i="1"/>
  <c r="F507" i="1" s="1"/>
  <c r="E506" i="1"/>
  <c r="F506" i="1" s="1"/>
  <c r="E505" i="1"/>
  <c r="F505" i="1" s="1"/>
  <c r="E504" i="1"/>
  <c r="F504" i="1" s="1"/>
  <c r="E503" i="1"/>
  <c r="F503" i="1" s="1"/>
  <c r="E502" i="1"/>
  <c r="F502" i="1" s="1"/>
  <c r="E501" i="1"/>
  <c r="F501" i="1" s="1"/>
  <c r="E500" i="1"/>
  <c r="F500" i="1" s="1"/>
  <c r="E499" i="1"/>
  <c r="F499" i="1" s="1"/>
  <c r="E498" i="1"/>
  <c r="F498" i="1" s="1"/>
  <c r="E497" i="1"/>
  <c r="F497" i="1" s="1"/>
  <c r="B497" i="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H496" i="1"/>
  <c r="H497" i="1" s="1"/>
  <c r="H498" i="1" s="1"/>
  <c r="H499" i="1" s="1"/>
  <c r="H500" i="1" s="1"/>
  <c r="H501" i="1" s="1"/>
  <c r="H502" i="1" s="1"/>
  <c r="H503" i="1" s="1"/>
  <c r="H504" i="1" s="1"/>
  <c r="H505" i="1" s="1"/>
  <c r="H506" i="1" s="1"/>
  <c r="H507" i="1" s="1"/>
  <c r="H508" i="1" s="1"/>
  <c r="H509" i="1" s="1"/>
  <c r="H510" i="1" s="1"/>
  <c r="H511" i="1" s="1"/>
  <c r="H512" i="1" s="1"/>
  <c r="H513" i="1" s="1"/>
  <c r="H514" i="1" s="1"/>
  <c r="H515" i="1" s="1"/>
  <c r="H516" i="1" s="1"/>
  <c r="H517" i="1" s="1"/>
  <c r="E496" i="1"/>
  <c r="F496" i="1" s="1"/>
  <c r="E478" i="1"/>
  <c r="F478" i="1" s="1"/>
  <c r="E477" i="1"/>
  <c r="F477" i="1" s="1"/>
  <c r="E476" i="1"/>
  <c r="F476" i="1" s="1"/>
  <c r="E475" i="1"/>
  <c r="F475" i="1" s="1"/>
  <c r="E474" i="1"/>
  <c r="F474" i="1" s="1"/>
  <c r="E473" i="1"/>
  <c r="F473" i="1" s="1"/>
  <c r="E472" i="1"/>
  <c r="F472" i="1" s="1"/>
  <c r="E471" i="1"/>
  <c r="F471" i="1" s="1"/>
  <c r="E470" i="1"/>
  <c r="F470" i="1" s="1"/>
  <c r="E469" i="1"/>
  <c r="F469" i="1" s="1"/>
  <c r="E468" i="1"/>
  <c r="F468" i="1" s="1"/>
  <c r="E467" i="1"/>
  <c r="F467" i="1" s="1"/>
  <c r="E466" i="1"/>
  <c r="F466" i="1" s="1"/>
  <c r="E465" i="1"/>
  <c r="F465" i="1" s="1"/>
  <c r="E464" i="1"/>
  <c r="F464" i="1" s="1"/>
  <c r="E463" i="1"/>
  <c r="F463" i="1" s="1"/>
  <c r="E462" i="1"/>
  <c r="F462" i="1" s="1"/>
  <c r="E461" i="1"/>
  <c r="F461" i="1" s="1"/>
  <c r="E460" i="1"/>
  <c r="F460" i="1" s="1"/>
  <c r="E459" i="1"/>
  <c r="F459" i="1" s="1"/>
  <c r="B459" i="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H458" i="1"/>
  <c r="H459" i="1" s="1"/>
  <c r="H460" i="1" s="1"/>
  <c r="H461" i="1" s="1"/>
  <c r="H462" i="1" s="1"/>
  <c r="H463" i="1" s="1"/>
  <c r="H464" i="1" s="1"/>
  <c r="H465" i="1" s="1"/>
  <c r="H466" i="1" s="1"/>
  <c r="H467" i="1" s="1"/>
  <c r="H468" i="1" s="1"/>
  <c r="H469" i="1" s="1"/>
  <c r="H470" i="1" s="1"/>
  <c r="H471" i="1" s="1"/>
  <c r="H472" i="1" s="1"/>
  <c r="H473" i="1" s="1"/>
  <c r="H474" i="1" s="1"/>
  <c r="H475" i="1" s="1"/>
  <c r="H476" i="1" s="1"/>
  <c r="H477" i="1" s="1"/>
  <c r="H478" i="1" s="1"/>
  <c r="H479" i="1" s="1"/>
  <c r="E458" i="1"/>
  <c r="F458" i="1" s="1"/>
  <c r="E440" i="1"/>
  <c r="F440" i="1" s="1"/>
  <c r="E439" i="1"/>
  <c r="F439" i="1" s="1"/>
  <c r="E438" i="1"/>
  <c r="F438" i="1" s="1"/>
  <c r="E437" i="1"/>
  <c r="F437" i="1" s="1"/>
  <c r="E436" i="1"/>
  <c r="F436" i="1" s="1"/>
  <c r="E435" i="1"/>
  <c r="F435" i="1" s="1"/>
  <c r="E434" i="1"/>
  <c r="F434" i="1" s="1"/>
  <c r="E433" i="1"/>
  <c r="F433" i="1" s="1"/>
  <c r="E432" i="1"/>
  <c r="F432" i="1" s="1"/>
  <c r="E431" i="1"/>
  <c r="F431" i="1" s="1"/>
  <c r="E430" i="1"/>
  <c r="F430" i="1" s="1"/>
  <c r="E429" i="1"/>
  <c r="F429" i="1" s="1"/>
  <c r="E428" i="1"/>
  <c r="F428" i="1" s="1"/>
  <c r="E427" i="1"/>
  <c r="F427" i="1" s="1"/>
  <c r="E426" i="1"/>
  <c r="F426" i="1" s="1"/>
  <c r="E425" i="1"/>
  <c r="F425" i="1" s="1"/>
  <c r="E424" i="1"/>
  <c r="F424" i="1" s="1"/>
  <c r="E423" i="1"/>
  <c r="F423" i="1" s="1"/>
  <c r="E422" i="1"/>
  <c r="F422" i="1" s="1"/>
  <c r="E421" i="1"/>
  <c r="F421" i="1" s="1"/>
  <c r="B421" i="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H420" i="1"/>
  <c r="H421" i="1" s="1"/>
  <c r="H422" i="1" s="1"/>
  <c r="H423" i="1" s="1"/>
  <c r="H424" i="1" s="1"/>
  <c r="H425" i="1" s="1"/>
  <c r="H426" i="1" s="1"/>
  <c r="H427" i="1" s="1"/>
  <c r="H428" i="1" s="1"/>
  <c r="H429" i="1" s="1"/>
  <c r="H430" i="1" s="1"/>
  <c r="H431" i="1" s="1"/>
  <c r="H432" i="1" s="1"/>
  <c r="H433" i="1" s="1"/>
  <c r="H434" i="1" s="1"/>
  <c r="H435" i="1" s="1"/>
  <c r="H436" i="1" s="1"/>
  <c r="H437" i="1" s="1"/>
  <c r="H438" i="1" s="1"/>
  <c r="H439" i="1" s="1"/>
  <c r="H440" i="1" s="1"/>
  <c r="H441" i="1" s="1"/>
  <c r="E420" i="1"/>
  <c r="F420" i="1" s="1"/>
  <c r="E402" i="1"/>
  <c r="F402" i="1" s="1"/>
  <c r="E401" i="1"/>
  <c r="F401" i="1" s="1"/>
  <c r="E400" i="1"/>
  <c r="F400" i="1" s="1"/>
  <c r="E399" i="1"/>
  <c r="F399" i="1" s="1"/>
  <c r="E398" i="1"/>
  <c r="F398" i="1" s="1"/>
  <c r="E397" i="1"/>
  <c r="F397" i="1" s="1"/>
  <c r="E396" i="1"/>
  <c r="F396" i="1" s="1"/>
  <c r="E395" i="1"/>
  <c r="F395" i="1" s="1"/>
  <c r="E394" i="1"/>
  <c r="F394" i="1" s="1"/>
  <c r="E393" i="1"/>
  <c r="F393" i="1" s="1"/>
  <c r="E392" i="1"/>
  <c r="F392" i="1" s="1"/>
  <c r="E391" i="1"/>
  <c r="F391" i="1" s="1"/>
  <c r="E390" i="1"/>
  <c r="F390" i="1" s="1"/>
  <c r="E389" i="1"/>
  <c r="F389" i="1" s="1"/>
  <c r="E388" i="1"/>
  <c r="F388" i="1" s="1"/>
  <c r="E387" i="1"/>
  <c r="F387" i="1" s="1"/>
  <c r="E386" i="1"/>
  <c r="F386" i="1" s="1"/>
  <c r="E385" i="1"/>
  <c r="F385" i="1" s="1"/>
  <c r="E384" i="1"/>
  <c r="F384" i="1" s="1"/>
  <c r="E383" i="1"/>
  <c r="F383" i="1" s="1"/>
  <c r="B383" i="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H382" i="1"/>
  <c r="H383" i="1" s="1"/>
  <c r="H384" i="1" s="1"/>
  <c r="H385" i="1" s="1"/>
  <c r="H386" i="1" s="1"/>
  <c r="E382" i="1"/>
  <c r="F382"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B231" i="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H230" i="1"/>
  <c r="H231" i="1" s="1"/>
  <c r="E230" i="1"/>
  <c r="F230" i="1" s="1"/>
  <c r="E98" i="1"/>
  <c r="F98" i="1" s="1"/>
  <c r="E97" i="1"/>
  <c r="F97" i="1" s="1"/>
  <c r="E96" i="1"/>
  <c r="F96" i="1" s="1"/>
  <c r="E95" i="1"/>
  <c r="F95" i="1" s="1"/>
  <c r="E94" i="1"/>
  <c r="F94" i="1" s="1"/>
  <c r="E93" i="1"/>
  <c r="F93" i="1" s="1"/>
  <c r="E92" i="1"/>
  <c r="F92" i="1" s="1"/>
  <c r="E91" i="1"/>
  <c r="F91" i="1" s="1"/>
  <c r="E90" i="1"/>
  <c r="F90" i="1" s="1"/>
  <c r="E89" i="1"/>
  <c r="F89" i="1" s="1"/>
  <c r="E88" i="1"/>
  <c r="F88" i="1" s="1"/>
  <c r="E87" i="1"/>
  <c r="F87" i="1" s="1"/>
  <c r="E86" i="1"/>
  <c r="F86" i="1" s="1"/>
  <c r="E85" i="1"/>
  <c r="F85" i="1" s="1"/>
  <c r="E84" i="1"/>
  <c r="F84" i="1" s="1"/>
  <c r="E83" i="1"/>
  <c r="F83" i="1" s="1"/>
  <c r="E82" i="1"/>
  <c r="F82" i="1" s="1"/>
  <c r="E81" i="1"/>
  <c r="F81" i="1" s="1"/>
  <c r="E80" i="1"/>
  <c r="F80" i="1" s="1"/>
  <c r="E79" i="1"/>
  <c r="F79" i="1" s="1"/>
  <c r="B79" i="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H78" i="1"/>
  <c r="H79" i="1" s="1"/>
  <c r="H80" i="1" s="1"/>
  <c r="E78" i="1"/>
  <c r="F78" i="1" s="1"/>
  <c r="E62" i="1"/>
  <c r="F62" i="1" s="1"/>
  <c r="E61" i="1"/>
  <c r="F61" i="1" s="1"/>
  <c r="E60" i="1"/>
  <c r="F60" i="1" s="1"/>
  <c r="E59" i="1"/>
  <c r="F59" i="1" s="1"/>
  <c r="E58" i="1"/>
  <c r="F58" i="1" s="1"/>
  <c r="E57" i="1"/>
  <c r="F57" i="1" s="1"/>
  <c r="E56" i="1"/>
  <c r="F56" i="1" s="1"/>
  <c r="E55" i="1"/>
  <c r="F55" i="1" s="1"/>
  <c r="E54" i="1"/>
  <c r="F54" i="1" s="1"/>
  <c r="E53" i="1"/>
  <c r="F53" i="1" s="1"/>
  <c r="E52" i="1"/>
  <c r="F52" i="1" s="1"/>
  <c r="E51" i="1"/>
  <c r="F51" i="1" s="1"/>
  <c r="E50" i="1"/>
  <c r="F50" i="1" s="1"/>
  <c r="E49" i="1"/>
  <c r="F49" i="1" s="1"/>
  <c r="E48" i="1"/>
  <c r="F48" i="1" s="1"/>
  <c r="E47" i="1"/>
  <c r="F47" i="1" s="1"/>
  <c r="E46" i="1"/>
  <c r="F46" i="1" s="1"/>
  <c r="E45" i="1"/>
  <c r="F45" i="1" s="1"/>
  <c r="E44" i="1"/>
  <c r="F44" i="1" s="1"/>
  <c r="E43" i="1"/>
  <c r="F43" i="1" s="1"/>
  <c r="E42" i="1"/>
  <c r="F42" i="1" s="1"/>
  <c r="E41" i="1"/>
  <c r="F41" i="1" s="1"/>
  <c r="B41" i="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H40" i="1"/>
  <c r="H41" i="1" s="1"/>
  <c r="H42" i="1" s="1"/>
  <c r="E40" i="1"/>
  <c r="F40" i="1" s="1"/>
  <c r="E24" i="1"/>
  <c r="F24" i="1" s="1"/>
  <c r="E23" i="1"/>
  <c r="F23" i="1" s="1"/>
  <c r="E22" i="1"/>
  <c r="F22" i="1" s="1"/>
  <c r="E21" i="1"/>
  <c r="F21" i="1" s="1"/>
  <c r="E20" i="1"/>
  <c r="F20" i="1" s="1"/>
  <c r="E19" i="1"/>
  <c r="F19" i="1" s="1"/>
  <c r="E18" i="1"/>
  <c r="F18" i="1" s="1"/>
  <c r="E17" i="1"/>
  <c r="F17" i="1" s="1"/>
  <c r="E16" i="1"/>
  <c r="F16" i="1" s="1"/>
  <c r="E15" i="1"/>
  <c r="F15" i="1" s="1"/>
  <c r="E14" i="1"/>
  <c r="F14" i="1" s="1"/>
  <c r="E13" i="1"/>
  <c r="F13" i="1" s="1"/>
  <c r="E12" i="1"/>
  <c r="F12" i="1" s="1"/>
  <c r="E11" i="1"/>
  <c r="F11" i="1" s="1"/>
  <c r="E10" i="1"/>
  <c r="F10" i="1" s="1"/>
  <c r="E9" i="1"/>
  <c r="F9" i="1" s="1"/>
  <c r="E8" i="1"/>
  <c r="F8" i="1" s="1"/>
  <c r="E7" i="1"/>
  <c r="F7" i="1" s="1"/>
  <c r="E6" i="1"/>
  <c r="F6" i="1" s="1"/>
  <c r="E5" i="1"/>
  <c r="F5" i="1" s="1"/>
  <c r="E4" i="1"/>
  <c r="F4" i="1" s="1"/>
  <c r="E3" i="1"/>
  <c r="F3" i="1" s="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H3" i="1"/>
  <c r="H4" i="1" s="1"/>
  <c r="H5" i="1" s="1"/>
  <c r="H6" i="1" s="1"/>
  <c r="E2" i="1"/>
  <c r="F2" i="1" s="1"/>
  <c r="I2" i="1" s="1"/>
  <c r="H3875" i="1" l="1"/>
  <c r="I3874" i="1"/>
  <c r="H3836" i="1"/>
  <c r="I3835" i="1"/>
  <c r="H3799" i="1"/>
  <c r="I3798" i="1"/>
  <c r="H3756" i="1"/>
  <c r="I3755" i="1"/>
  <c r="H3606" i="1"/>
  <c r="I3605" i="1"/>
  <c r="H3452" i="1"/>
  <c r="I3451" i="1"/>
  <c r="H3419" i="1"/>
  <c r="I3418" i="1"/>
  <c r="H3377" i="1"/>
  <c r="I3376" i="1"/>
  <c r="H2988" i="1"/>
  <c r="I2987" i="1"/>
  <c r="H2950" i="1"/>
  <c r="I2949" i="1"/>
  <c r="H2578" i="1"/>
  <c r="I2577" i="1"/>
  <c r="H2354" i="1"/>
  <c r="I2353" i="1"/>
  <c r="H1354" i="1"/>
  <c r="I1353" i="1"/>
  <c r="H822" i="1"/>
  <c r="I821" i="1"/>
  <c r="H670" i="1"/>
  <c r="I669" i="1"/>
  <c r="H518" i="1"/>
  <c r="I517" i="1"/>
  <c r="H480" i="1"/>
  <c r="I479" i="1"/>
  <c r="H442" i="1"/>
  <c r="I441" i="1"/>
  <c r="I3005" i="1"/>
  <c r="I1256" i="1"/>
  <c r="I2168" i="1"/>
  <c r="I878" i="1"/>
  <c r="I2928" i="1"/>
  <c r="I1715" i="1"/>
  <c r="I1259" i="1"/>
  <c r="I2738" i="1"/>
  <c r="I839" i="1"/>
  <c r="I914" i="1"/>
  <c r="I842" i="1"/>
  <c r="I423" i="1"/>
  <c r="I420" i="1"/>
  <c r="I843" i="1"/>
  <c r="I1332" i="1"/>
  <c r="I2130" i="1"/>
  <c r="I499" i="1"/>
  <c r="I503" i="1"/>
  <c r="I428" i="1"/>
  <c r="I2059" i="1"/>
  <c r="I231" i="1"/>
  <c r="I1679" i="1"/>
  <c r="I1484" i="1"/>
  <c r="I1485" i="1"/>
  <c r="I78" i="1"/>
  <c r="I1676" i="1"/>
  <c r="I2170" i="1"/>
  <c r="I815" i="1"/>
  <c r="I1258" i="1"/>
  <c r="I1295" i="1"/>
  <c r="I876" i="1"/>
  <c r="I915" i="1"/>
  <c r="I1712" i="1"/>
  <c r="I1751" i="1"/>
  <c r="I3156" i="1"/>
  <c r="I800" i="1"/>
  <c r="I1333" i="1"/>
  <c r="I1678" i="1"/>
  <c r="I2060" i="1"/>
  <c r="I2930" i="1"/>
  <c r="I3004" i="1"/>
  <c r="I79" i="1"/>
  <c r="I2055" i="1"/>
  <c r="I916" i="1"/>
  <c r="I2056" i="1"/>
  <c r="I3313" i="1"/>
  <c r="H232" i="1"/>
  <c r="H233" i="1" s="1"/>
  <c r="H234" i="1" s="1"/>
  <c r="H235" i="1" s="1"/>
  <c r="H236" i="1" s="1"/>
  <c r="I236" i="1" s="1"/>
  <c r="I382" i="1"/>
  <c r="I1294" i="1"/>
  <c r="I1296" i="1"/>
  <c r="I1680" i="1"/>
  <c r="I879" i="1"/>
  <c r="I1072" i="1"/>
  <c r="I1675" i="1"/>
  <c r="I2586" i="1"/>
  <c r="I2890" i="1"/>
  <c r="I2095" i="1"/>
  <c r="I803" i="1"/>
  <c r="I809" i="1"/>
  <c r="I2092" i="1"/>
  <c r="I651" i="1"/>
  <c r="I1299" i="1"/>
  <c r="I3163" i="1"/>
  <c r="I430" i="1"/>
  <c r="I467" i="1"/>
  <c r="I230" i="1"/>
  <c r="I425" i="1"/>
  <c r="I458" i="1"/>
  <c r="I463" i="1"/>
  <c r="I667" i="1"/>
  <c r="I2966" i="1"/>
  <c r="I436" i="1"/>
  <c r="I1347" i="1"/>
  <c r="I421" i="1"/>
  <c r="I801" i="1"/>
  <c r="I1067" i="1"/>
  <c r="I1073" i="1"/>
  <c r="I1902" i="1"/>
  <c r="I661" i="1"/>
  <c r="H1301" i="1"/>
  <c r="H1302" i="1" s="1"/>
  <c r="H1303" i="1" s="1"/>
  <c r="I1300" i="1"/>
  <c r="I1336" i="1"/>
  <c r="I3159" i="1"/>
  <c r="I433" i="1"/>
  <c r="I438" i="1"/>
  <c r="I459" i="1"/>
  <c r="I819" i="1"/>
  <c r="I40" i="1"/>
  <c r="I432" i="1"/>
  <c r="I462" i="1"/>
  <c r="I478" i="1"/>
  <c r="I498" i="1"/>
  <c r="I514" i="1"/>
  <c r="I648" i="1"/>
  <c r="I657" i="1"/>
  <c r="I814" i="1"/>
  <c r="I1071" i="1"/>
  <c r="I1335" i="1"/>
  <c r="I2169" i="1"/>
  <c r="I41" i="1"/>
  <c r="I840" i="1"/>
  <c r="I917" i="1"/>
  <c r="I1681" i="1"/>
  <c r="I2739" i="1"/>
  <c r="I2935" i="1"/>
  <c r="I2947" i="1"/>
  <c r="I3160" i="1"/>
  <c r="I3310" i="1"/>
  <c r="I424" i="1"/>
  <c r="I496" i="1"/>
  <c r="I841" i="1"/>
  <c r="I1713" i="1"/>
  <c r="I2941" i="1"/>
  <c r="I2967" i="1"/>
  <c r="I3161" i="1"/>
  <c r="I3311" i="1"/>
  <c r="I807" i="1"/>
  <c r="I811" i="1"/>
  <c r="I817" i="1"/>
  <c r="I1343" i="1"/>
  <c r="I2093" i="1"/>
  <c r="I2171" i="1"/>
  <c r="I2587" i="1"/>
  <c r="I3157" i="1"/>
  <c r="I877" i="1"/>
  <c r="I1066" i="1"/>
  <c r="I1069" i="1"/>
  <c r="I1075" i="1"/>
  <c r="I1334" i="1"/>
  <c r="I1750" i="1"/>
  <c r="I2131" i="1"/>
  <c r="I4" i="1"/>
  <c r="I422" i="1"/>
  <c r="I802" i="1"/>
  <c r="I1297" i="1"/>
  <c r="I1714" i="1"/>
  <c r="I2970" i="1"/>
  <c r="I2976" i="1"/>
  <c r="I3010" i="1"/>
  <c r="I2939" i="1"/>
  <c r="I2944" i="1"/>
  <c r="I2968" i="1"/>
  <c r="I2974" i="1"/>
  <c r="I2985" i="1"/>
  <c r="I3013" i="1"/>
  <c r="I2933" i="1"/>
  <c r="I2945" i="1"/>
  <c r="I2975" i="1"/>
  <c r="I2980" i="1"/>
  <c r="I2986" i="1"/>
  <c r="I3008" i="1"/>
  <c r="I3014" i="1"/>
  <c r="H3167" i="1"/>
  <c r="H3168" i="1" s="1"/>
  <c r="H3169" i="1" s="1"/>
  <c r="H3170" i="1" s="1"/>
  <c r="H3171" i="1" s="1"/>
  <c r="H3172" i="1" s="1"/>
  <c r="H3173" i="1" s="1"/>
  <c r="H3174" i="1" s="1"/>
  <c r="I3166" i="1"/>
  <c r="I3164" i="1"/>
  <c r="I3309" i="1"/>
  <c r="I3314" i="1"/>
  <c r="I2929" i="1"/>
  <c r="I2934" i="1"/>
  <c r="I2940" i="1"/>
  <c r="I2946" i="1"/>
  <c r="I2969" i="1"/>
  <c r="I2981" i="1"/>
  <c r="I3009" i="1"/>
  <c r="I3015" i="1"/>
  <c r="I3165" i="1"/>
  <c r="I3315" i="1"/>
  <c r="I2977" i="1"/>
  <c r="I3006" i="1"/>
  <c r="H3017" i="1"/>
  <c r="H3018" i="1" s="1"/>
  <c r="H3019" i="1" s="1"/>
  <c r="H3020" i="1" s="1"/>
  <c r="H3021" i="1" s="1"/>
  <c r="H3022" i="1" s="1"/>
  <c r="H3023" i="1" s="1"/>
  <c r="H3024" i="1" s="1"/>
  <c r="H3025" i="1" s="1"/>
  <c r="I3016" i="1"/>
  <c r="I2971" i="1"/>
  <c r="I2931" i="1"/>
  <c r="I2936" i="1"/>
  <c r="I2942" i="1"/>
  <c r="I2948" i="1"/>
  <c r="I2937" i="1"/>
  <c r="I2943" i="1"/>
  <c r="I2972" i="1"/>
  <c r="I2978" i="1"/>
  <c r="I2984" i="1"/>
  <c r="I3012" i="1"/>
  <c r="I3162" i="1"/>
  <c r="I3312" i="1"/>
  <c r="I2982" i="1"/>
  <c r="I2983" i="1"/>
  <c r="I3011" i="1"/>
  <c r="I2932" i="1"/>
  <c r="I2938" i="1"/>
  <c r="I2973" i="1"/>
  <c r="I2979" i="1"/>
  <c r="I3007" i="1"/>
  <c r="H3317" i="1"/>
  <c r="H3318" i="1" s="1"/>
  <c r="H3319" i="1" s="1"/>
  <c r="H3320" i="1" s="1"/>
  <c r="H3321" i="1" s="1"/>
  <c r="H3322" i="1" s="1"/>
  <c r="H3323" i="1" s="1"/>
  <c r="H3324" i="1" s="1"/>
  <c r="I3316" i="1"/>
  <c r="I3158" i="1"/>
  <c r="I3308" i="1"/>
  <c r="H2741" i="1"/>
  <c r="H2742" i="1" s="1"/>
  <c r="H2743" i="1" s="1"/>
  <c r="H2744" i="1" s="1"/>
  <c r="H2745" i="1" s="1"/>
  <c r="H2746" i="1" s="1"/>
  <c r="I2740" i="1"/>
  <c r="I2588" i="1"/>
  <c r="H2589" i="1"/>
  <c r="H2590" i="1" s="1"/>
  <c r="H2891" i="1"/>
  <c r="H2892" i="1" s="1"/>
  <c r="H2893" i="1" s="1"/>
  <c r="H2894" i="1" s="1"/>
  <c r="H2895" i="1" s="1"/>
  <c r="H2896" i="1" s="1"/>
  <c r="H2897" i="1" s="1"/>
  <c r="H2898" i="1" s="1"/>
  <c r="I2096" i="1"/>
  <c r="H2097" i="1"/>
  <c r="H2098" i="1" s="1"/>
  <c r="H2099" i="1" s="1"/>
  <c r="H2100" i="1" s="1"/>
  <c r="I2132" i="1"/>
  <c r="H2133" i="1"/>
  <c r="H2134" i="1" s="1"/>
  <c r="H2135" i="1" s="1"/>
  <c r="H2136" i="1" s="1"/>
  <c r="I2094" i="1"/>
  <c r="H2173" i="1"/>
  <c r="H2174" i="1" s="1"/>
  <c r="H2175" i="1" s="1"/>
  <c r="H2176" i="1" s="1"/>
  <c r="I2172" i="1"/>
  <c r="I2061" i="1"/>
  <c r="H1905" i="1"/>
  <c r="H1906" i="1" s="1"/>
  <c r="H1907" i="1" s="1"/>
  <c r="H1908" i="1" s="1"/>
  <c r="H1909" i="1" s="1"/>
  <c r="H1910" i="1" s="1"/>
  <c r="H1911" i="1" s="1"/>
  <c r="H1912" i="1" s="1"/>
  <c r="I1904" i="1"/>
  <c r="H1719" i="1"/>
  <c r="H1720" i="1" s="1"/>
  <c r="H1721" i="1" s="1"/>
  <c r="H1722" i="1" s="1"/>
  <c r="H1723" i="1" s="1"/>
  <c r="H1724" i="1" s="1"/>
  <c r="H1725" i="1" s="1"/>
  <c r="H1726" i="1" s="1"/>
  <c r="I1718" i="1"/>
  <c r="H1755" i="1"/>
  <c r="H1756" i="1" s="1"/>
  <c r="H1757" i="1" s="1"/>
  <c r="H1758" i="1" s="1"/>
  <c r="H1759" i="1" s="1"/>
  <c r="H1760" i="1" s="1"/>
  <c r="H1761" i="1" s="1"/>
  <c r="H1762" i="1" s="1"/>
  <c r="I1754" i="1"/>
  <c r="I2057" i="1"/>
  <c r="I1716" i="1"/>
  <c r="I1752" i="1"/>
  <c r="I1903" i="1"/>
  <c r="H2063" i="1"/>
  <c r="H2064" i="1" s="1"/>
  <c r="H2065" i="1" s="1"/>
  <c r="H2066" i="1" s="1"/>
  <c r="H2067" i="1" s="1"/>
  <c r="H2068" i="1" s="1"/>
  <c r="H2069" i="1" s="1"/>
  <c r="H2070" i="1" s="1"/>
  <c r="I2062" i="1"/>
  <c r="I1677" i="1"/>
  <c r="I1717" i="1"/>
  <c r="I1753" i="1"/>
  <c r="I2058" i="1"/>
  <c r="H1683" i="1"/>
  <c r="H1684" i="1" s="1"/>
  <c r="H1685" i="1" s="1"/>
  <c r="H1686" i="1" s="1"/>
  <c r="H1687" i="1" s="1"/>
  <c r="H1688" i="1" s="1"/>
  <c r="H1689" i="1" s="1"/>
  <c r="H1690" i="1" s="1"/>
  <c r="I1682" i="1"/>
  <c r="I1674" i="1"/>
  <c r="I2054" i="1"/>
  <c r="I1352" i="1"/>
  <c r="I1266" i="1"/>
  <c r="H1268" i="1"/>
  <c r="H1269" i="1" s="1"/>
  <c r="H1270" i="1" s="1"/>
  <c r="H1271" i="1" s="1"/>
  <c r="H1272" i="1" s="1"/>
  <c r="I1267" i="1"/>
  <c r="I1264" i="1"/>
  <c r="H1637" i="1"/>
  <c r="H1638" i="1" s="1"/>
  <c r="H1639" i="1" s="1"/>
  <c r="I1636" i="1"/>
  <c r="I1262" i="1"/>
  <c r="I1339" i="1"/>
  <c r="I1344" i="1"/>
  <c r="I1348" i="1"/>
  <c r="I1257" i="1"/>
  <c r="I1263" i="1"/>
  <c r="I1340" i="1"/>
  <c r="I1345" i="1"/>
  <c r="I1349" i="1"/>
  <c r="H1487" i="1"/>
  <c r="H1488" i="1" s="1"/>
  <c r="H1489" i="1" s="1"/>
  <c r="I1486" i="1"/>
  <c r="I1265" i="1"/>
  <c r="I1346" i="1"/>
  <c r="I1350" i="1"/>
  <c r="I1261" i="1"/>
  <c r="I1260" i="1"/>
  <c r="I1298" i="1"/>
  <c r="I1337" i="1"/>
  <c r="I1341" i="1"/>
  <c r="I1338" i="1"/>
  <c r="I1342" i="1"/>
  <c r="I1351" i="1"/>
  <c r="H1227" i="1"/>
  <c r="H1228" i="1" s="1"/>
  <c r="H1229" i="1" s="1"/>
  <c r="H1230" i="1" s="1"/>
  <c r="H1231" i="1" s="1"/>
  <c r="H1232" i="1" s="1"/>
  <c r="H1233" i="1" s="1"/>
  <c r="H1234" i="1" s="1"/>
  <c r="I1226" i="1"/>
  <c r="I1223" i="1"/>
  <c r="I1224" i="1"/>
  <c r="H1077" i="1"/>
  <c r="H1078" i="1" s="1"/>
  <c r="H1079" i="1" s="1"/>
  <c r="H1080" i="1" s="1"/>
  <c r="H1081" i="1" s="1"/>
  <c r="H1082" i="1" s="1"/>
  <c r="H1083" i="1" s="1"/>
  <c r="H1084" i="1" s="1"/>
  <c r="I1076" i="1"/>
  <c r="I1074" i="1"/>
  <c r="I1219" i="1"/>
  <c r="I1225" i="1"/>
  <c r="I844" i="1"/>
  <c r="H845" i="1"/>
  <c r="H846" i="1" s="1"/>
  <c r="I880" i="1"/>
  <c r="H881" i="1"/>
  <c r="H882" i="1" s="1"/>
  <c r="H919" i="1"/>
  <c r="H920" i="1" s="1"/>
  <c r="H921" i="1" s="1"/>
  <c r="H922" i="1" s="1"/>
  <c r="H923" i="1" s="1"/>
  <c r="H924" i="1" s="1"/>
  <c r="H925" i="1" s="1"/>
  <c r="H926" i="1" s="1"/>
  <c r="I918" i="1"/>
  <c r="I1070" i="1"/>
  <c r="I1220" i="1"/>
  <c r="I1221" i="1"/>
  <c r="I1222" i="1"/>
  <c r="I838" i="1"/>
  <c r="I1068" i="1"/>
  <c r="I1218" i="1"/>
  <c r="I465" i="1"/>
  <c r="I471" i="1"/>
  <c r="I475" i="1"/>
  <c r="I507" i="1"/>
  <c r="I511" i="1"/>
  <c r="I654" i="1"/>
  <c r="I426" i="1"/>
  <c r="I460" i="1"/>
  <c r="I476" i="1"/>
  <c r="I512" i="1"/>
  <c r="I650" i="1"/>
  <c r="I655" i="1"/>
  <c r="I660" i="1"/>
  <c r="I666" i="1"/>
  <c r="I812" i="1"/>
  <c r="I501" i="1"/>
  <c r="I427" i="1"/>
  <c r="I431" i="1"/>
  <c r="I437" i="1"/>
  <c r="I461" i="1"/>
  <c r="I466" i="1"/>
  <c r="I472" i="1"/>
  <c r="I477" i="1"/>
  <c r="I497" i="1"/>
  <c r="I502" i="1"/>
  <c r="I508" i="1"/>
  <c r="I513" i="1"/>
  <c r="I656" i="1"/>
  <c r="I808" i="1"/>
  <c r="I813" i="1"/>
  <c r="I818" i="1"/>
  <c r="I509" i="1"/>
  <c r="I662" i="1"/>
  <c r="I434" i="1"/>
  <c r="I468" i="1"/>
  <c r="I504" i="1"/>
  <c r="I652" i="1"/>
  <c r="I658" i="1"/>
  <c r="I663" i="1"/>
  <c r="I668" i="1"/>
  <c r="I804" i="1"/>
  <c r="I820" i="1"/>
  <c r="I429" i="1"/>
  <c r="I435" i="1"/>
  <c r="I439" i="1"/>
  <c r="I464" i="1"/>
  <c r="I469" i="1"/>
  <c r="I474" i="1"/>
  <c r="I500" i="1"/>
  <c r="I505" i="1"/>
  <c r="I510" i="1"/>
  <c r="I516" i="1"/>
  <c r="I649" i="1"/>
  <c r="I664" i="1"/>
  <c r="I805" i="1"/>
  <c r="I810" i="1"/>
  <c r="I816" i="1"/>
  <c r="I473" i="1"/>
  <c r="I515" i="1"/>
  <c r="I440" i="1"/>
  <c r="I470" i="1"/>
  <c r="I506" i="1"/>
  <c r="I653" i="1"/>
  <c r="I659" i="1"/>
  <c r="I665" i="1"/>
  <c r="I806" i="1"/>
  <c r="I386" i="1"/>
  <c r="H387" i="1"/>
  <c r="H388" i="1" s="1"/>
  <c r="H389" i="1" s="1"/>
  <c r="I5" i="1"/>
  <c r="I80" i="1"/>
  <c r="H81" i="1"/>
  <c r="I384" i="1"/>
  <c r="I383" i="1"/>
  <c r="I42" i="1"/>
  <c r="H43" i="1"/>
  <c r="H44" i="1" s="1"/>
  <c r="I385" i="1"/>
  <c r="I6" i="1"/>
  <c r="H7" i="1"/>
  <c r="H8" i="1" s="1"/>
  <c r="I3" i="1"/>
  <c r="H3876" i="1" l="1"/>
  <c r="I3876" i="1" s="1"/>
  <c r="I3875" i="1"/>
  <c r="H3837" i="1"/>
  <c r="I3836" i="1"/>
  <c r="H3800" i="1"/>
  <c r="I3800" i="1" s="1"/>
  <c r="I3799" i="1"/>
  <c r="H3757" i="1"/>
  <c r="I3756" i="1"/>
  <c r="H3607" i="1"/>
  <c r="I3606" i="1"/>
  <c r="H3453" i="1"/>
  <c r="I3452" i="1"/>
  <c r="H3420" i="1"/>
  <c r="I3420" i="1" s="1"/>
  <c r="I3419" i="1"/>
  <c r="H3378" i="1"/>
  <c r="I3377" i="1"/>
  <c r="H3026" i="1"/>
  <c r="I3025" i="1"/>
  <c r="H2989" i="1"/>
  <c r="I2988" i="1"/>
  <c r="H2951" i="1"/>
  <c r="I2950" i="1"/>
  <c r="H2579" i="1"/>
  <c r="I2578" i="1"/>
  <c r="H2355" i="1"/>
  <c r="I2354" i="1"/>
  <c r="H1355" i="1"/>
  <c r="I1354" i="1"/>
  <c r="H823" i="1"/>
  <c r="I822" i="1"/>
  <c r="H671" i="1"/>
  <c r="I670" i="1"/>
  <c r="H519" i="1"/>
  <c r="I518" i="1"/>
  <c r="H481" i="1"/>
  <c r="I480" i="1"/>
  <c r="H443" i="1"/>
  <c r="I442" i="1"/>
  <c r="I232" i="1"/>
  <c r="I3172" i="1"/>
  <c r="I1638" i="1"/>
  <c r="I1689" i="1"/>
  <c r="I3018" i="1"/>
  <c r="I3023" i="1"/>
  <c r="I3017" i="1"/>
  <c r="I1908" i="1"/>
  <c r="I3169" i="1"/>
  <c r="I1910" i="1"/>
  <c r="I3019" i="1"/>
  <c r="I3170" i="1"/>
  <c r="I3022" i="1"/>
  <c r="I1271" i="1"/>
  <c r="I1720" i="1"/>
  <c r="H237" i="1"/>
  <c r="H238" i="1" s="1"/>
  <c r="H239" i="1" s="1"/>
  <c r="I239" i="1" s="1"/>
  <c r="I234" i="1"/>
  <c r="I1723" i="1"/>
  <c r="I3167" i="1"/>
  <c r="I235" i="1"/>
  <c r="I1227" i="1"/>
  <c r="I1721" i="1"/>
  <c r="I233" i="1"/>
  <c r="I924" i="1"/>
  <c r="I1684" i="1"/>
  <c r="I1268" i="1"/>
  <c r="I925" i="1"/>
  <c r="I923" i="1"/>
  <c r="I1270" i="1"/>
  <c r="I1687" i="1"/>
  <c r="I920" i="1"/>
  <c r="I3323" i="1"/>
  <c r="H1304" i="1"/>
  <c r="I1303" i="1"/>
  <c r="I845" i="1"/>
  <c r="I1081" i="1"/>
  <c r="I2894" i="1"/>
  <c r="I1906" i="1"/>
  <c r="I2741" i="1"/>
  <c r="I1688" i="1"/>
  <c r="I1722" i="1"/>
  <c r="I1685" i="1"/>
  <c r="I2174" i="1"/>
  <c r="I2175" i="1"/>
  <c r="I3168" i="1"/>
  <c r="I1302" i="1"/>
  <c r="I1301" i="1"/>
  <c r="I2895" i="1"/>
  <c r="I1082" i="1"/>
  <c r="I1905" i="1"/>
  <c r="I7" i="1"/>
  <c r="I921" i="1"/>
  <c r="I2065" i="1"/>
  <c r="I1911" i="1"/>
  <c r="I1907" i="1"/>
  <c r="I2173" i="1"/>
  <c r="I2893" i="1"/>
  <c r="I3171" i="1"/>
  <c r="I1909" i="1"/>
  <c r="I2897" i="1"/>
  <c r="I922" i="1"/>
  <c r="I1228" i="1"/>
  <c r="I1269" i="1"/>
  <c r="I2064" i="1"/>
  <c r="I2063" i="1"/>
  <c r="I2069" i="1"/>
  <c r="I2134" i="1"/>
  <c r="I2892" i="1"/>
  <c r="I3173" i="1"/>
  <c r="I3020" i="1"/>
  <c r="I3021" i="1"/>
  <c r="I3317" i="1"/>
  <c r="I3319" i="1"/>
  <c r="I3318" i="1"/>
  <c r="I3321" i="1"/>
  <c r="H3325" i="1"/>
  <c r="I3324" i="1"/>
  <c r="I3322" i="1"/>
  <c r="H3175" i="1"/>
  <c r="I3174" i="1"/>
  <c r="I3024" i="1"/>
  <c r="I3320" i="1"/>
  <c r="I2589" i="1"/>
  <c r="I2746" i="1"/>
  <c r="H2747" i="1"/>
  <c r="I2744" i="1"/>
  <c r="I2742" i="1"/>
  <c r="H2899" i="1"/>
  <c r="I2898" i="1"/>
  <c r="I2743" i="1"/>
  <c r="H2591" i="1"/>
  <c r="I2590" i="1"/>
  <c r="I2745" i="1"/>
  <c r="I2891" i="1"/>
  <c r="I2896" i="1"/>
  <c r="I2176" i="1"/>
  <c r="H2177" i="1"/>
  <c r="H2137" i="1"/>
  <c r="I2136" i="1"/>
  <c r="I2097" i="1"/>
  <c r="I2098" i="1"/>
  <c r="I2135" i="1"/>
  <c r="I2133" i="1"/>
  <c r="H2101" i="1"/>
  <c r="I2100" i="1"/>
  <c r="I2099" i="1"/>
  <c r="I1759" i="1"/>
  <c r="I2068" i="1"/>
  <c r="H2071" i="1"/>
  <c r="I2070" i="1"/>
  <c r="I2067" i="1"/>
  <c r="H1763" i="1"/>
  <c r="I1762" i="1"/>
  <c r="H1727" i="1"/>
  <c r="I1726" i="1"/>
  <c r="I1686" i="1"/>
  <c r="I1760" i="1"/>
  <c r="I1755" i="1"/>
  <c r="I1756" i="1"/>
  <c r="H1691" i="1"/>
  <c r="I1690" i="1"/>
  <c r="I1758" i="1"/>
  <c r="I1757" i="1"/>
  <c r="I2066" i="1"/>
  <c r="H1913" i="1"/>
  <c r="I1912" i="1"/>
  <c r="I1725" i="1"/>
  <c r="I1761" i="1"/>
  <c r="I1724" i="1"/>
  <c r="I1719" i="1"/>
  <c r="I1683" i="1"/>
  <c r="I1488" i="1"/>
  <c r="I1487" i="1"/>
  <c r="H1490" i="1"/>
  <c r="I1489" i="1"/>
  <c r="H1640" i="1"/>
  <c r="I1639" i="1"/>
  <c r="H1273" i="1"/>
  <c r="I1272" i="1"/>
  <c r="I1637" i="1"/>
  <c r="H883" i="1"/>
  <c r="I882" i="1"/>
  <c r="I1083" i="1"/>
  <c r="H1235" i="1"/>
  <c r="I1234" i="1"/>
  <c r="H847" i="1"/>
  <c r="I846" i="1"/>
  <c r="I1232" i="1"/>
  <c r="H927" i="1"/>
  <c r="I926" i="1"/>
  <c r="I1080" i="1"/>
  <c r="I1077" i="1"/>
  <c r="I1078" i="1"/>
  <c r="I1233" i="1"/>
  <c r="I1230" i="1"/>
  <c r="I1229" i="1"/>
  <c r="I919" i="1"/>
  <c r="I881" i="1"/>
  <c r="I1231" i="1"/>
  <c r="I1079" i="1"/>
  <c r="H1085" i="1"/>
  <c r="I1084" i="1"/>
  <c r="I388" i="1"/>
  <c r="I8" i="1"/>
  <c r="H9" i="1"/>
  <c r="I44" i="1"/>
  <c r="H45" i="1"/>
  <c r="I81" i="1"/>
  <c r="H82" i="1"/>
  <c r="I387" i="1"/>
  <c r="I389" i="1"/>
  <c r="H390" i="1"/>
  <c r="I43" i="1"/>
  <c r="H3838" i="1" l="1"/>
  <c r="I3838" i="1" s="1"/>
  <c r="I3837" i="1"/>
  <c r="H3758" i="1"/>
  <c r="I3757" i="1"/>
  <c r="H3608" i="1"/>
  <c r="I3607" i="1"/>
  <c r="H3454" i="1"/>
  <c r="I3453" i="1"/>
  <c r="H3379" i="1"/>
  <c r="I3378" i="1"/>
  <c r="H3027" i="1"/>
  <c r="I3026" i="1"/>
  <c r="H2990" i="1"/>
  <c r="I2989" i="1"/>
  <c r="H2952" i="1"/>
  <c r="I2951" i="1"/>
  <c r="H2580" i="1"/>
  <c r="I2579" i="1"/>
  <c r="H2356" i="1"/>
  <c r="I2356" i="1" s="1"/>
  <c r="I2355" i="1"/>
  <c r="H1356" i="1"/>
  <c r="I1355" i="1"/>
  <c r="H824" i="1"/>
  <c r="I823" i="1"/>
  <c r="H672" i="1"/>
  <c r="I671" i="1"/>
  <c r="H520" i="1"/>
  <c r="I519" i="1"/>
  <c r="H482" i="1"/>
  <c r="I481" i="1"/>
  <c r="H444" i="1"/>
  <c r="I443" i="1"/>
  <c r="I237" i="1"/>
  <c r="I238" i="1"/>
  <c r="H240" i="1"/>
  <c r="I240" i="1" s="1"/>
  <c r="H1305" i="1"/>
  <c r="I1304" i="1"/>
  <c r="H3326" i="1"/>
  <c r="I3325" i="1"/>
  <c r="H3176" i="1"/>
  <c r="H3177" i="1" s="1"/>
  <c r="I3175" i="1"/>
  <c r="H2592" i="1"/>
  <c r="I2591" i="1"/>
  <c r="H2748" i="1"/>
  <c r="I2747" i="1"/>
  <c r="H2900" i="1"/>
  <c r="I2899" i="1"/>
  <c r="H2102" i="1"/>
  <c r="I2101" i="1"/>
  <c r="H2138" i="1"/>
  <c r="I2137" i="1"/>
  <c r="H2178" i="1"/>
  <c r="I2177" i="1"/>
  <c r="H1764" i="1"/>
  <c r="I1763" i="1"/>
  <c r="H1728" i="1"/>
  <c r="I1727" i="1"/>
  <c r="H2072" i="1"/>
  <c r="I2071" i="1"/>
  <c r="H1692" i="1"/>
  <c r="I1691" i="1"/>
  <c r="H1914" i="1"/>
  <c r="I1913" i="1"/>
  <c r="H1491" i="1"/>
  <c r="I1490" i="1"/>
  <c r="H1641" i="1"/>
  <c r="I1640" i="1"/>
  <c r="H1274" i="1"/>
  <c r="I1273" i="1"/>
  <c r="H848" i="1"/>
  <c r="I847" i="1"/>
  <c r="H1086" i="1"/>
  <c r="H1087" i="1" s="1"/>
  <c r="I1085" i="1"/>
  <c r="H1236" i="1"/>
  <c r="I1235" i="1"/>
  <c r="H928" i="1"/>
  <c r="I927" i="1"/>
  <c r="H884" i="1"/>
  <c r="I883" i="1"/>
  <c r="I45" i="1"/>
  <c r="H46" i="1"/>
  <c r="H391" i="1"/>
  <c r="I390" i="1"/>
  <c r="I9" i="1"/>
  <c r="H10" i="1"/>
  <c r="H83" i="1"/>
  <c r="I82" i="1"/>
  <c r="H3759" i="1" l="1"/>
  <c r="I3758" i="1"/>
  <c r="I3608" i="1"/>
  <c r="H3609" i="1"/>
  <c r="H3455" i="1"/>
  <c r="I3454" i="1"/>
  <c r="I3379" i="1"/>
  <c r="H3380" i="1"/>
  <c r="H3178" i="1"/>
  <c r="I3177" i="1"/>
  <c r="H3028" i="1"/>
  <c r="I3027" i="1"/>
  <c r="H2991" i="1"/>
  <c r="I2990" i="1"/>
  <c r="H2953" i="1"/>
  <c r="I2952" i="1"/>
  <c r="H2581" i="1"/>
  <c r="I2580" i="1"/>
  <c r="H1357" i="1"/>
  <c r="I1356" i="1"/>
  <c r="H1088" i="1"/>
  <c r="I1087" i="1"/>
  <c r="H825" i="1"/>
  <c r="I824" i="1"/>
  <c r="H673" i="1"/>
  <c r="I672" i="1"/>
  <c r="H521" i="1"/>
  <c r="I520" i="1"/>
  <c r="H483" i="1"/>
  <c r="I482" i="1"/>
  <c r="H445" i="1"/>
  <c r="I444" i="1"/>
  <c r="H241" i="1"/>
  <c r="H242" i="1" s="1"/>
  <c r="H1306" i="1"/>
  <c r="I1305" i="1"/>
  <c r="I3176" i="1"/>
  <c r="H3327" i="1"/>
  <c r="I3326" i="1"/>
  <c r="H2749" i="1"/>
  <c r="I2748" i="1"/>
  <c r="H2593" i="1"/>
  <c r="I2592" i="1"/>
  <c r="H2901" i="1"/>
  <c r="I2900" i="1"/>
  <c r="H2139" i="1"/>
  <c r="I2138" i="1"/>
  <c r="H2179" i="1"/>
  <c r="I2178" i="1"/>
  <c r="H2103" i="1"/>
  <c r="I2102" i="1"/>
  <c r="H1693" i="1"/>
  <c r="I1692" i="1"/>
  <c r="H1729" i="1"/>
  <c r="I1728" i="1"/>
  <c r="H2073" i="1"/>
  <c r="I2072" i="1"/>
  <c r="H1915" i="1"/>
  <c r="I1914" i="1"/>
  <c r="H1765" i="1"/>
  <c r="I1764" i="1"/>
  <c r="H1275" i="1"/>
  <c r="I1274" i="1"/>
  <c r="H1642" i="1"/>
  <c r="I1641" i="1"/>
  <c r="H1492" i="1"/>
  <c r="I1491" i="1"/>
  <c r="I1086" i="1"/>
  <c r="H929" i="1"/>
  <c r="I928" i="1"/>
  <c r="H1237" i="1"/>
  <c r="I1236" i="1"/>
  <c r="H885" i="1"/>
  <c r="I884" i="1"/>
  <c r="H849" i="1"/>
  <c r="I848" i="1"/>
  <c r="H11" i="1"/>
  <c r="I10" i="1"/>
  <c r="H392" i="1"/>
  <c r="I391" i="1"/>
  <c r="H47" i="1"/>
  <c r="I46" i="1"/>
  <c r="H84" i="1"/>
  <c r="I83" i="1"/>
  <c r="H3760" i="1" l="1"/>
  <c r="I3759" i="1"/>
  <c r="H3610" i="1"/>
  <c r="I3610" i="1" s="1"/>
  <c r="I3609" i="1"/>
  <c r="H3456" i="1"/>
  <c r="I3455" i="1"/>
  <c r="H3381" i="1"/>
  <c r="I3380" i="1"/>
  <c r="H3179" i="1"/>
  <c r="I3178" i="1"/>
  <c r="H3029" i="1"/>
  <c r="I3028" i="1"/>
  <c r="H2992" i="1"/>
  <c r="I2991" i="1"/>
  <c r="H2954" i="1"/>
  <c r="I2953" i="1"/>
  <c r="H2582" i="1"/>
  <c r="I2581" i="1"/>
  <c r="H1358" i="1"/>
  <c r="I1357" i="1"/>
  <c r="H1089" i="1"/>
  <c r="I1088" i="1"/>
  <c r="H826" i="1"/>
  <c r="I825" i="1"/>
  <c r="H674" i="1"/>
  <c r="I673" i="1"/>
  <c r="H522" i="1"/>
  <c r="I521" i="1"/>
  <c r="H484" i="1"/>
  <c r="I483" i="1"/>
  <c r="H446" i="1"/>
  <c r="I445" i="1"/>
  <c r="I241" i="1"/>
  <c r="H1307" i="1"/>
  <c r="I1306" i="1"/>
  <c r="H3328" i="1"/>
  <c r="H3329" i="1" s="1"/>
  <c r="I3327" i="1"/>
  <c r="H2902" i="1"/>
  <c r="I2901" i="1"/>
  <c r="H2594" i="1"/>
  <c r="I2593" i="1"/>
  <c r="H2750" i="1"/>
  <c r="I2749" i="1"/>
  <c r="H2180" i="1"/>
  <c r="I2179" i="1"/>
  <c r="H2140" i="1"/>
  <c r="I2139" i="1"/>
  <c r="H2104" i="1"/>
  <c r="I2103" i="1"/>
  <c r="H1730" i="1"/>
  <c r="I1729" i="1"/>
  <c r="H2074" i="1"/>
  <c r="H2075" i="1" s="1"/>
  <c r="I2073" i="1"/>
  <c r="H1916" i="1"/>
  <c r="I1915" i="1"/>
  <c r="H1766" i="1"/>
  <c r="I1765" i="1"/>
  <c r="H1694" i="1"/>
  <c r="H1695" i="1" s="1"/>
  <c r="I1693" i="1"/>
  <c r="H1493" i="1"/>
  <c r="I1492" i="1"/>
  <c r="H1643" i="1"/>
  <c r="I1642" i="1"/>
  <c r="H1276" i="1"/>
  <c r="H1277" i="1" s="1"/>
  <c r="I1275" i="1"/>
  <c r="H886" i="1"/>
  <c r="I885" i="1"/>
  <c r="H1238" i="1"/>
  <c r="H1239" i="1" s="1"/>
  <c r="I1237" i="1"/>
  <c r="H930" i="1"/>
  <c r="I929" i="1"/>
  <c r="H850" i="1"/>
  <c r="I849" i="1"/>
  <c r="H393" i="1"/>
  <c r="I392" i="1"/>
  <c r="H48" i="1"/>
  <c r="I47" i="1"/>
  <c r="H243" i="1"/>
  <c r="I242" i="1"/>
  <c r="H85" i="1"/>
  <c r="I84" i="1"/>
  <c r="H12" i="1"/>
  <c r="I11" i="1"/>
  <c r="H3761" i="1" l="1"/>
  <c r="I3760" i="1"/>
  <c r="H3457" i="1"/>
  <c r="I3456" i="1"/>
  <c r="I3381" i="1"/>
  <c r="H3382" i="1"/>
  <c r="I3382" i="1" s="1"/>
  <c r="H3330" i="1"/>
  <c r="I3329" i="1"/>
  <c r="H3180" i="1"/>
  <c r="I3179" i="1"/>
  <c r="H3030" i="1"/>
  <c r="I3029" i="1"/>
  <c r="H2993" i="1"/>
  <c r="I2992" i="1"/>
  <c r="H2955" i="1"/>
  <c r="I2954" i="1"/>
  <c r="H2583" i="1"/>
  <c r="I2582" i="1"/>
  <c r="H2076" i="1"/>
  <c r="I2075" i="1"/>
  <c r="H1696" i="1"/>
  <c r="I1695" i="1"/>
  <c r="I1358" i="1"/>
  <c r="H1359" i="1"/>
  <c r="H1278" i="1"/>
  <c r="I1277" i="1"/>
  <c r="H1240" i="1"/>
  <c r="I1239" i="1"/>
  <c r="H1090" i="1"/>
  <c r="I1089" i="1"/>
  <c r="H827" i="1"/>
  <c r="I826" i="1"/>
  <c r="H675" i="1"/>
  <c r="I674" i="1"/>
  <c r="H523" i="1"/>
  <c r="I522" i="1"/>
  <c r="H485" i="1"/>
  <c r="I484" i="1"/>
  <c r="H447" i="1"/>
  <c r="I446" i="1"/>
  <c r="H1308" i="1"/>
  <c r="I1307" i="1"/>
  <c r="I3328" i="1"/>
  <c r="H2595" i="1"/>
  <c r="I2594" i="1"/>
  <c r="H2751" i="1"/>
  <c r="I2750" i="1"/>
  <c r="H2903" i="1"/>
  <c r="I2902" i="1"/>
  <c r="I2104" i="1"/>
  <c r="H2105" i="1"/>
  <c r="I2140" i="1"/>
  <c r="H2141" i="1"/>
  <c r="H2181" i="1"/>
  <c r="I2180" i="1"/>
  <c r="H1767" i="1"/>
  <c r="I1766" i="1"/>
  <c r="H1917" i="1"/>
  <c r="I1916" i="1"/>
  <c r="I2074" i="1"/>
  <c r="I1694" i="1"/>
  <c r="H1731" i="1"/>
  <c r="I1730" i="1"/>
  <c r="I1276" i="1"/>
  <c r="H1644" i="1"/>
  <c r="I1643" i="1"/>
  <c r="H1494" i="1"/>
  <c r="I1493" i="1"/>
  <c r="H851" i="1"/>
  <c r="I850" i="1"/>
  <c r="H931" i="1"/>
  <c r="I930" i="1"/>
  <c r="I1238" i="1"/>
  <c r="H887" i="1"/>
  <c r="I886" i="1"/>
  <c r="H394" i="1"/>
  <c r="I393" i="1"/>
  <c r="H86" i="1"/>
  <c r="I85" i="1"/>
  <c r="H13" i="1"/>
  <c r="I12" i="1"/>
  <c r="H49" i="1"/>
  <c r="I48" i="1"/>
  <c r="H244" i="1"/>
  <c r="I243" i="1"/>
  <c r="H3762" i="1" l="1"/>
  <c r="I3762" i="1" s="1"/>
  <c r="I3761" i="1"/>
  <c r="H3458" i="1"/>
  <c r="I3458" i="1" s="1"/>
  <c r="I3457" i="1"/>
  <c r="H3331" i="1"/>
  <c r="I3330" i="1"/>
  <c r="H3181" i="1"/>
  <c r="I3180" i="1"/>
  <c r="I3030" i="1"/>
  <c r="H3031" i="1"/>
  <c r="H2994" i="1"/>
  <c r="I2993" i="1"/>
  <c r="H2956" i="1"/>
  <c r="I2955" i="1"/>
  <c r="H2584" i="1"/>
  <c r="I2584" i="1" s="1"/>
  <c r="I2583" i="1"/>
  <c r="H2077" i="1"/>
  <c r="I2076" i="1"/>
  <c r="H1697" i="1"/>
  <c r="I1696" i="1"/>
  <c r="I1359" i="1"/>
  <c r="H1360" i="1"/>
  <c r="H1279" i="1"/>
  <c r="I1278" i="1"/>
  <c r="H1241" i="1"/>
  <c r="I1240" i="1"/>
  <c r="H1091" i="1"/>
  <c r="I1090" i="1"/>
  <c r="H828" i="1"/>
  <c r="I827" i="1"/>
  <c r="H676" i="1"/>
  <c r="I675" i="1"/>
  <c r="H524" i="1"/>
  <c r="I523" i="1"/>
  <c r="H486" i="1"/>
  <c r="I485" i="1"/>
  <c r="H448" i="1"/>
  <c r="I447" i="1"/>
  <c r="H1309" i="1"/>
  <c r="I1308" i="1"/>
  <c r="H2752" i="1"/>
  <c r="I2751" i="1"/>
  <c r="H2596" i="1"/>
  <c r="I2595" i="1"/>
  <c r="H2904" i="1"/>
  <c r="I2903" i="1"/>
  <c r="H2142" i="1"/>
  <c r="I2141" i="1"/>
  <c r="H2106" i="1"/>
  <c r="I2105" i="1"/>
  <c r="H2182" i="1"/>
  <c r="I2181" i="1"/>
  <c r="H1918" i="1"/>
  <c r="I1917" i="1"/>
  <c r="H1732" i="1"/>
  <c r="H1733" i="1" s="1"/>
  <c r="I1731" i="1"/>
  <c r="H1768" i="1"/>
  <c r="I1767" i="1"/>
  <c r="H1645" i="1"/>
  <c r="I1644" i="1"/>
  <c r="H1495" i="1"/>
  <c r="I1494" i="1"/>
  <c r="H888" i="1"/>
  <c r="I887" i="1"/>
  <c r="H932" i="1"/>
  <c r="I931" i="1"/>
  <c r="H852" i="1"/>
  <c r="I851" i="1"/>
  <c r="H50" i="1"/>
  <c r="I49" i="1"/>
  <c r="I86" i="1"/>
  <c r="H87" i="1"/>
  <c r="H14" i="1"/>
  <c r="I13" i="1"/>
  <c r="I244" i="1"/>
  <c r="H245" i="1"/>
  <c r="I394" i="1"/>
  <c r="H395" i="1"/>
  <c r="H3332" i="1" l="1"/>
  <c r="I3331" i="1"/>
  <c r="H3182" i="1"/>
  <c r="I3181" i="1"/>
  <c r="H3032" i="1"/>
  <c r="I3031" i="1"/>
  <c r="H2995" i="1"/>
  <c r="I2994" i="1"/>
  <c r="H2957" i="1"/>
  <c r="I2956" i="1"/>
  <c r="H2078" i="1"/>
  <c r="I2077" i="1"/>
  <c r="H1734" i="1"/>
  <c r="I1733" i="1"/>
  <c r="H1698" i="1"/>
  <c r="I1697" i="1"/>
  <c r="I1360" i="1"/>
  <c r="H1361" i="1"/>
  <c r="H1280" i="1"/>
  <c r="I1279" i="1"/>
  <c r="H1242" i="1"/>
  <c r="I1241" i="1"/>
  <c r="H1092" i="1"/>
  <c r="I1091" i="1"/>
  <c r="H829" i="1"/>
  <c r="I828" i="1"/>
  <c r="H677" i="1"/>
  <c r="I676" i="1"/>
  <c r="I524" i="1"/>
  <c r="H525" i="1"/>
  <c r="H487" i="1"/>
  <c r="I486" i="1"/>
  <c r="H449" i="1"/>
  <c r="I448" i="1"/>
  <c r="H1310" i="1"/>
  <c r="I1309" i="1"/>
  <c r="H2905" i="1"/>
  <c r="I2904" i="1"/>
  <c r="I2596" i="1"/>
  <c r="H2597" i="1"/>
  <c r="H2753" i="1"/>
  <c r="I2752" i="1"/>
  <c r="H2107" i="1"/>
  <c r="I2106" i="1"/>
  <c r="H2143" i="1"/>
  <c r="I2142" i="1"/>
  <c r="H2183" i="1"/>
  <c r="I2182" i="1"/>
  <c r="I1732" i="1"/>
  <c r="H1919" i="1"/>
  <c r="I1918" i="1"/>
  <c r="H1769" i="1"/>
  <c r="I1768" i="1"/>
  <c r="H1496" i="1"/>
  <c r="I1495" i="1"/>
  <c r="H1646" i="1"/>
  <c r="I1645" i="1"/>
  <c r="I852" i="1"/>
  <c r="H853" i="1"/>
  <c r="H933" i="1"/>
  <c r="I932" i="1"/>
  <c r="I888" i="1"/>
  <c r="H889" i="1"/>
  <c r="H246" i="1"/>
  <c r="I245" i="1"/>
  <c r="H88" i="1"/>
  <c r="I87" i="1"/>
  <c r="H396" i="1"/>
  <c r="I395" i="1"/>
  <c r="I14" i="1"/>
  <c r="H15" i="1"/>
  <c r="I50" i="1"/>
  <c r="H51" i="1"/>
  <c r="H3333" i="1" l="1"/>
  <c r="I3332" i="1"/>
  <c r="H3183" i="1"/>
  <c r="I3182" i="1"/>
  <c r="H3033" i="1"/>
  <c r="I3032" i="1"/>
  <c r="H2996" i="1"/>
  <c r="I2995" i="1"/>
  <c r="H2958" i="1"/>
  <c r="I2957" i="1"/>
  <c r="H2079" i="1"/>
  <c r="I2078" i="1"/>
  <c r="H1735" i="1"/>
  <c r="I1734" i="1"/>
  <c r="H1699" i="1"/>
  <c r="I1698" i="1"/>
  <c r="I1361" i="1"/>
  <c r="H1362" i="1"/>
  <c r="I1280" i="1"/>
  <c r="H1281" i="1"/>
  <c r="H1243" i="1"/>
  <c r="I1242" i="1"/>
  <c r="H1093" i="1"/>
  <c r="I1092" i="1"/>
  <c r="H830" i="1"/>
  <c r="I829" i="1"/>
  <c r="H678" i="1"/>
  <c r="I677" i="1"/>
  <c r="H526" i="1"/>
  <c r="I525" i="1"/>
  <c r="H488" i="1"/>
  <c r="I487" i="1"/>
  <c r="H450" i="1"/>
  <c r="I449" i="1"/>
  <c r="H1311" i="1"/>
  <c r="I1310" i="1"/>
  <c r="H2598" i="1"/>
  <c r="I2597" i="1"/>
  <c r="H2754" i="1"/>
  <c r="I2753" i="1"/>
  <c r="H2906" i="1"/>
  <c r="I2905" i="1"/>
  <c r="H2184" i="1"/>
  <c r="I2183" i="1"/>
  <c r="H2144" i="1"/>
  <c r="I2143" i="1"/>
  <c r="H2108" i="1"/>
  <c r="I2107" i="1"/>
  <c r="H1770" i="1"/>
  <c r="H1771" i="1" s="1"/>
  <c r="I1769" i="1"/>
  <c r="H1920" i="1"/>
  <c r="I1919" i="1"/>
  <c r="H1647" i="1"/>
  <c r="I1646" i="1"/>
  <c r="H1497" i="1"/>
  <c r="I1496" i="1"/>
  <c r="H890" i="1"/>
  <c r="I889" i="1"/>
  <c r="H934" i="1"/>
  <c r="H935" i="1" s="1"/>
  <c r="I933" i="1"/>
  <c r="H854" i="1"/>
  <c r="I853" i="1"/>
  <c r="H16" i="1"/>
  <c r="I15" i="1"/>
  <c r="I88" i="1"/>
  <c r="H89" i="1"/>
  <c r="H397" i="1"/>
  <c r="I396" i="1"/>
  <c r="H52" i="1"/>
  <c r="I51" i="1"/>
  <c r="H247" i="1"/>
  <c r="I246" i="1"/>
  <c r="H3334" i="1" l="1"/>
  <c r="I3333" i="1"/>
  <c r="H3184" i="1"/>
  <c r="I3183" i="1"/>
  <c r="H3034" i="1"/>
  <c r="I3033" i="1"/>
  <c r="H2997" i="1"/>
  <c r="I2996" i="1"/>
  <c r="H2959" i="1"/>
  <c r="I2958" i="1"/>
  <c r="H2080" i="1"/>
  <c r="I2079" i="1"/>
  <c r="H1772" i="1"/>
  <c r="I1771" i="1"/>
  <c r="H1736" i="1"/>
  <c r="I1735" i="1"/>
  <c r="H1700" i="1"/>
  <c r="I1699" i="1"/>
  <c r="H1363" i="1"/>
  <c r="I1362" i="1"/>
  <c r="H1282" i="1"/>
  <c r="I1281" i="1"/>
  <c r="H1244" i="1"/>
  <c r="I1243" i="1"/>
  <c r="H1094" i="1"/>
  <c r="I1093" i="1"/>
  <c r="H936" i="1"/>
  <c r="I935" i="1"/>
  <c r="H831" i="1"/>
  <c r="I830" i="1"/>
  <c r="H679" i="1"/>
  <c r="I678" i="1"/>
  <c r="I526" i="1"/>
  <c r="H527" i="1"/>
  <c r="H489" i="1"/>
  <c r="I488" i="1"/>
  <c r="H451" i="1"/>
  <c r="I450" i="1"/>
  <c r="H1312" i="1"/>
  <c r="I1311" i="1"/>
  <c r="I2754" i="1"/>
  <c r="H2755" i="1"/>
  <c r="H2907" i="1"/>
  <c r="I2906" i="1"/>
  <c r="I2598" i="1"/>
  <c r="H2599" i="1"/>
  <c r="H2145" i="1"/>
  <c r="I2144" i="1"/>
  <c r="H2109" i="1"/>
  <c r="I2108" i="1"/>
  <c r="I2184" i="1"/>
  <c r="H2185" i="1"/>
  <c r="H1921" i="1"/>
  <c r="I1920" i="1"/>
  <c r="I1770" i="1"/>
  <c r="H1498" i="1"/>
  <c r="I1497" i="1"/>
  <c r="H1648" i="1"/>
  <c r="I1647" i="1"/>
  <c r="H855" i="1"/>
  <c r="I854" i="1"/>
  <c r="I934" i="1"/>
  <c r="H891" i="1"/>
  <c r="I890" i="1"/>
  <c r="I52" i="1"/>
  <c r="H53" i="1"/>
  <c r="I89" i="1"/>
  <c r="H90" i="1"/>
  <c r="I397" i="1"/>
  <c r="H398" i="1"/>
  <c r="I247" i="1"/>
  <c r="H248" i="1"/>
  <c r="I16" i="1"/>
  <c r="H17" i="1"/>
  <c r="H3335" i="1" l="1"/>
  <c r="I3334" i="1"/>
  <c r="I3184" i="1"/>
  <c r="H3185" i="1"/>
  <c r="H3035" i="1"/>
  <c r="I3034" i="1"/>
  <c r="H2998" i="1"/>
  <c r="I2997" i="1"/>
  <c r="H2960" i="1"/>
  <c r="I2959" i="1"/>
  <c r="H2081" i="1"/>
  <c r="I2080" i="1"/>
  <c r="H1773" i="1"/>
  <c r="I1772" i="1"/>
  <c r="H1737" i="1"/>
  <c r="I1736" i="1"/>
  <c r="H1701" i="1"/>
  <c r="I1700" i="1"/>
  <c r="H1364" i="1"/>
  <c r="I1363" i="1"/>
  <c r="H1283" i="1"/>
  <c r="I1282" i="1"/>
  <c r="H1245" i="1"/>
  <c r="I1244" i="1"/>
  <c r="H1095" i="1"/>
  <c r="I1094" i="1"/>
  <c r="H937" i="1"/>
  <c r="I936" i="1"/>
  <c r="H832" i="1"/>
  <c r="I831" i="1"/>
  <c r="H680" i="1"/>
  <c r="I679" i="1"/>
  <c r="H528" i="1"/>
  <c r="I527" i="1"/>
  <c r="H490" i="1"/>
  <c r="I489" i="1"/>
  <c r="H452" i="1"/>
  <c r="I451" i="1"/>
  <c r="H1313" i="1"/>
  <c r="I1312" i="1"/>
  <c r="H2908" i="1"/>
  <c r="I2907" i="1"/>
  <c r="H2756" i="1"/>
  <c r="I2755" i="1"/>
  <c r="H2600" i="1"/>
  <c r="I2599" i="1"/>
  <c r="H2110" i="1"/>
  <c r="I2109" i="1"/>
  <c r="H2146" i="1"/>
  <c r="I2145" i="1"/>
  <c r="H2186" i="1"/>
  <c r="I2185" i="1"/>
  <c r="H1922" i="1"/>
  <c r="H1923" i="1" s="1"/>
  <c r="I1921" i="1"/>
  <c r="H1649" i="1"/>
  <c r="I1648" i="1"/>
  <c r="H1499" i="1"/>
  <c r="I1498" i="1"/>
  <c r="H892" i="1"/>
  <c r="I891" i="1"/>
  <c r="H856" i="1"/>
  <c r="I855" i="1"/>
  <c r="H249" i="1"/>
  <c r="I248" i="1"/>
  <c r="H399" i="1"/>
  <c r="I398" i="1"/>
  <c r="H91" i="1"/>
  <c r="I90" i="1"/>
  <c r="I17" i="1"/>
  <c r="H18" i="1"/>
  <c r="I53" i="1"/>
  <c r="H54" i="1"/>
  <c r="H3336" i="1" l="1"/>
  <c r="I3335" i="1"/>
  <c r="H3186" i="1"/>
  <c r="I3185" i="1"/>
  <c r="H3036" i="1"/>
  <c r="I3035" i="1"/>
  <c r="H2999" i="1"/>
  <c r="I2998" i="1"/>
  <c r="H2961" i="1"/>
  <c r="I2960" i="1"/>
  <c r="H2082" i="1"/>
  <c r="I2081" i="1"/>
  <c r="H1924" i="1"/>
  <c r="I1923" i="1"/>
  <c r="H1774" i="1"/>
  <c r="I1773" i="1"/>
  <c r="H1738" i="1"/>
  <c r="I1737" i="1"/>
  <c r="H1702" i="1"/>
  <c r="I1701" i="1"/>
  <c r="I1364" i="1"/>
  <c r="H1365" i="1"/>
  <c r="I1283" i="1"/>
  <c r="H1284" i="1"/>
  <c r="I1245" i="1"/>
  <c r="H1246" i="1"/>
  <c r="H1096" i="1"/>
  <c r="I1095" i="1"/>
  <c r="H938" i="1"/>
  <c r="I937" i="1"/>
  <c r="H833" i="1"/>
  <c r="I832" i="1"/>
  <c r="H681" i="1"/>
  <c r="I680" i="1"/>
  <c r="I528" i="1"/>
  <c r="H529" i="1"/>
  <c r="H491" i="1"/>
  <c r="I490" i="1"/>
  <c r="H453" i="1"/>
  <c r="I452" i="1"/>
  <c r="H1314" i="1"/>
  <c r="H1315" i="1" s="1"/>
  <c r="I1313" i="1"/>
  <c r="H2757" i="1"/>
  <c r="I2756" i="1"/>
  <c r="H2601" i="1"/>
  <c r="I2600" i="1"/>
  <c r="H2909" i="1"/>
  <c r="I2908" i="1"/>
  <c r="H2187" i="1"/>
  <c r="I2186" i="1"/>
  <c r="H2147" i="1"/>
  <c r="I2146" i="1"/>
  <c r="H2111" i="1"/>
  <c r="I2110" i="1"/>
  <c r="I1922" i="1"/>
  <c r="H1500" i="1"/>
  <c r="I1499" i="1"/>
  <c r="H1650" i="1"/>
  <c r="I1649" i="1"/>
  <c r="H857" i="1"/>
  <c r="I856" i="1"/>
  <c r="H893" i="1"/>
  <c r="I892" i="1"/>
  <c r="H19" i="1"/>
  <c r="I18" i="1"/>
  <c r="H92" i="1"/>
  <c r="I91" i="1"/>
  <c r="H400" i="1"/>
  <c r="I399" i="1"/>
  <c r="H55" i="1"/>
  <c r="I54" i="1"/>
  <c r="H250" i="1"/>
  <c r="H251" i="1" s="1"/>
  <c r="I249" i="1"/>
  <c r="H3337" i="1" l="1"/>
  <c r="I3336" i="1"/>
  <c r="I3186" i="1"/>
  <c r="H3187" i="1"/>
  <c r="I3036" i="1"/>
  <c r="H3037" i="1"/>
  <c r="H3000" i="1"/>
  <c r="I2999" i="1"/>
  <c r="H2962" i="1"/>
  <c r="I2961" i="1"/>
  <c r="H2083" i="1"/>
  <c r="I2082" i="1"/>
  <c r="H1925" i="1"/>
  <c r="I1924" i="1"/>
  <c r="H1775" i="1"/>
  <c r="I1774" i="1"/>
  <c r="H1739" i="1"/>
  <c r="I1738" i="1"/>
  <c r="H1703" i="1"/>
  <c r="I1702" i="1"/>
  <c r="H1366" i="1"/>
  <c r="I1365" i="1"/>
  <c r="H1316" i="1"/>
  <c r="I1315" i="1"/>
  <c r="H1285" i="1"/>
  <c r="I1284" i="1"/>
  <c r="I1246" i="1"/>
  <c r="H1247" i="1"/>
  <c r="H1097" i="1"/>
  <c r="I1096" i="1"/>
  <c r="H939" i="1"/>
  <c r="I938" i="1"/>
  <c r="H834" i="1"/>
  <c r="I833" i="1"/>
  <c r="H682" i="1"/>
  <c r="I681" i="1"/>
  <c r="H530" i="1"/>
  <c r="I529" i="1"/>
  <c r="H492" i="1"/>
  <c r="I491" i="1"/>
  <c r="H454" i="1"/>
  <c r="I453" i="1"/>
  <c r="H252" i="1"/>
  <c r="I251" i="1"/>
  <c r="I1314" i="1"/>
  <c r="H2602" i="1"/>
  <c r="I2601" i="1"/>
  <c r="H2910" i="1"/>
  <c r="H2911" i="1" s="1"/>
  <c r="I2909" i="1"/>
  <c r="H2758" i="1"/>
  <c r="H2759" i="1" s="1"/>
  <c r="I2757" i="1"/>
  <c r="H2148" i="1"/>
  <c r="I2147" i="1"/>
  <c r="H2112" i="1"/>
  <c r="H2113" i="1" s="1"/>
  <c r="I2111" i="1"/>
  <c r="H2188" i="1"/>
  <c r="H2189" i="1" s="1"/>
  <c r="I2187" i="1"/>
  <c r="H1651" i="1"/>
  <c r="I1650" i="1"/>
  <c r="H1501" i="1"/>
  <c r="I1500" i="1"/>
  <c r="H894" i="1"/>
  <c r="I893" i="1"/>
  <c r="H858" i="1"/>
  <c r="H859" i="1" s="1"/>
  <c r="I857" i="1"/>
  <c r="H56" i="1"/>
  <c r="I55" i="1"/>
  <c r="H401" i="1"/>
  <c r="I400" i="1"/>
  <c r="H93" i="1"/>
  <c r="I92" i="1"/>
  <c r="I250" i="1"/>
  <c r="H20" i="1"/>
  <c r="I19" i="1"/>
  <c r="H3338" i="1" l="1"/>
  <c r="I3337" i="1"/>
  <c r="H3188" i="1"/>
  <c r="I3187" i="1"/>
  <c r="H3038" i="1"/>
  <c r="I3037" i="1"/>
  <c r="H3001" i="1"/>
  <c r="I3000" i="1"/>
  <c r="H2963" i="1"/>
  <c r="I2962" i="1"/>
  <c r="H2912" i="1"/>
  <c r="I2911" i="1"/>
  <c r="H2760" i="1"/>
  <c r="I2759" i="1"/>
  <c r="H2190" i="1"/>
  <c r="I2189" i="1"/>
  <c r="H2114" i="1"/>
  <c r="I2113" i="1"/>
  <c r="H2084" i="1"/>
  <c r="I2083" i="1"/>
  <c r="H1926" i="1"/>
  <c r="I1925" i="1"/>
  <c r="H1776" i="1"/>
  <c r="I1775" i="1"/>
  <c r="H1740" i="1"/>
  <c r="I1739" i="1"/>
  <c r="H1704" i="1"/>
  <c r="I1703" i="1"/>
  <c r="I1366" i="1"/>
  <c r="H1367" i="1"/>
  <c r="H1317" i="1"/>
  <c r="I1316" i="1"/>
  <c r="H1286" i="1"/>
  <c r="I1285" i="1"/>
  <c r="H1248" i="1"/>
  <c r="I1247" i="1"/>
  <c r="H1098" i="1"/>
  <c r="I1097" i="1"/>
  <c r="H940" i="1"/>
  <c r="I939" i="1"/>
  <c r="H860" i="1"/>
  <c r="I859" i="1"/>
  <c r="H835" i="1"/>
  <c r="I834" i="1"/>
  <c r="H683" i="1"/>
  <c r="I682" i="1"/>
  <c r="I530" i="1"/>
  <c r="H531" i="1"/>
  <c r="H493" i="1"/>
  <c r="I492" i="1"/>
  <c r="H455" i="1"/>
  <c r="I454" i="1"/>
  <c r="H253" i="1"/>
  <c r="I252" i="1"/>
  <c r="I2910" i="1"/>
  <c r="H2603" i="1"/>
  <c r="I2602" i="1"/>
  <c r="I2758" i="1"/>
  <c r="I2112" i="1"/>
  <c r="I2148" i="1"/>
  <c r="H2149" i="1"/>
  <c r="I2188" i="1"/>
  <c r="H1502" i="1"/>
  <c r="I1501" i="1"/>
  <c r="H1652" i="1"/>
  <c r="I1651" i="1"/>
  <c r="I858" i="1"/>
  <c r="H895" i="1"/>
  <c r="I894" i="1"/>
  <c r="H94" i="1"/>
  <c r="I93" i="1"/>
  <c r="H402" i="1"/>
  <c r="H403" i="1" s="1"/>
  <c r="I401" i="1"/>
  <c r="H21" i="1"/>
  <c r="I20" i="1"/>
  <c r="H57" i="1"/>
  <c r="I56" i="1"/>
  <c r="H3339" i="1" l="1"/>
  <c r="I3338" i="1"/>
  <c r="I3188" i="1"/>
  <c r="H3189" i="1"/>
  <c r="I3038" i="1"/>
  <c r="H3039" i="1"/>
  <c r="H3002" i="1"/>
  <c r="I3002" i="1" s="1"/>
  <c r="I3001" i="1"/>
  <c r="H2964" i="1"/>
  <c r="I2964" i="1" s="1"/>
  <c r="I2963" i="1"/>
  <c r="H2913" i="1"/>
  <c r="I2912" i="1"/>
  <c r="I2760" i="1"/>
  <c r="H2761" i="1"/>
  <c r="H2191" i="1"/>
  <c r="I2190" i="1"/>
  <c r="I2114" i="1"/>
  <c r="H2115" i="1"/>
  <c r="H2085" i="1"/>
  <c r="I2084" i="1"/>
  <c r="H1927" i="1"/>
  <c r="I1926" i="1"/>
  <c r="I1776" i="1"/>
  <c r="H1777" i="1"/>
  <c r="H1741" i="1"/>
  <c r="I1740" i="1"/>
  <c r="H1705" i="1"/>
  <c r="I1704" i="1"/>
  <c r="H1368" i="1"/>
  <c r="I1368" i="1" s="1"/>
  <c r="I1367" i="1"/>
  <c r="H1318" i="1"/>
  <c r="I1317" i="1"/>
  <c r="I1286" i="1"/>
  <c r="H1287" i="1"/>
  <c r="H1249" i="1"/>
  <c r="I1248" i="1"/>
  <c r="H1099" i="1"/>
  <c r="I1098" i="1"/>
  <c r="H941" i="1"/>
  <c r="I940" i="1"/>
  <c r="H861" i="1"/>
  <c r="I860" i="1"/>
  <c r="H836" i="1"/>
  <c r="I836" i="1" s="1"/>
  <c r="I835" i="1"/>
  <c r="H684" i="1"/>
  <c r="I684" i="1" s="1"/>
  <c r="I683" i="1"/>
  <c r="H532" i="1"/>
  <c r="I532" i="1" s="1"/>
  <c r="I531" i="1"/>
  <c r="H494" i="1"/>
  <c r="I494" i="1" s="1"/>
  <c r="I493" i="1"/>
  <c r="H456" i="1"/>
  <c r="I456" i="1" s="1"/>
  <c r="I455" i="1"/>
  <c r="H404" i="1"/>
  <c r="I403" i="1"/>
  <c r="H254" i="1"/>
  <c r="I253" i="1"/>
  <c r="H2604" i="1"/>
  <c r="I2603" i="1"/>
  <c r="H2150" i="1"/>
  <c r="H2151" i="1" s="1"/>
  <c r="I2149" i="1"/>
  <c r="H1653" i="1"/>
  <c r="I1652" i="1"/>
  <c r="H1503" i="1"/>
  <c r="I1502" i="1"/>
  <c r="H896" i="1"/>
  <c r="H897" i="1" s="1"/>
  <c r="I895" i="1"/>
  <c r="H22" i="1"/>
  <c r="I21" i="1"/>
  <c r="I402" i="1"/>
  <c r="I94" i="1"/>
  <c r="H95" i="1"/>
  <c r="H58" i="1"/>
  <c r="I57" i="1"/>
  <c r="H3340" i="1" l="1"/>
  <c r="I3339" i="1"/>
  <c r="H3190" i="1"/>
  <c r="I3189" i="1"/>
  <c r="H3040" i="1"/>
  <c r="I3040" i="1" s="1"/>
  <c r="I3039" i="1"/>
  <c r="H2914" i="1"/>
  <c r="I2913" i="1"/>
  <c r="H2762" i="1"/>
  <c r="I2761" i="1"/>
  <c r="H2192" i="1"/>
  <c r="I2191" i="1"/>
  <c r="H2152" i="1"/>
  <c r="I2151" i="1"/>
  <c r="H2116" i="1"/>
  <c r="I2115" i="1"/>
  <c r="H2086" i="1"/>
  <c r="I2085" i="1"/>
  <c r="H1928" i="1"/>
  <c r="I1927" i="1"/>
  <c r="I1777" i="1"/>
  <c r="H1778" i="1"/>
  <c r="H1742" i="1"/>
  <c r="I1741" i="1"/>
  <c r="H1706" i="1"/>
  <c r="I1705" i="1"/>
  <c r="H1319" i="1"/>
  <c r="I1318" i="1"/>
  <c r="H1288" i="1"/>
  <c r="I1287" i="1"/>
  <c r="H1250" i="1"/>
  <c r="I1249" i="1"/>
  <c r="H1100" i="1"/>
  <c r="I1099" i="1"/>
  <c r="H942" i="1"/>
  <c r="I941" i="1"/>
  <c r="H898" i="1"/>
  <c r="I897" i="1"/>
  <c r="H862" i="1"/>
  <c r="I861" i="1"/>
  <c r="H405" i="1"/>
  <c r="I404" i="1"/>
  <c r="H255" i="1"/>
  <c r="I254" i="1"/>
  <c r="I2604" i="1"/>
  <c r="H2605" i="1"/>
  <c r="I2150" i="1"/>
  <c r="H1504" i="1"/>
  <c r="H1505" i="1" s="1"/>
  <c r="I1503" i="1"/>
  <c r="H1654" i="1"/>
  <c r="I1653" i="1"/>
  <c r="I896" i="1"/>
  <c r="I58" i="1"/>
  <c r="H59" i="1"/>
  <c r="H96" i="1"/>
  <c r="I95" i="1"/>
  <c r="I22" i="1"/>
  <c r="H23" i="1"/>
  <c r="H3341" i="1" l="1"/>
  <c r="I3340" i="1"/>
  <c r="I3190" i="1"/>
  <c r="H3191" i="1"/>
  <c r="H2915" i="1"/>
  <c r="I2914" i="1"/>
  <c r="H2763" i="1"/>
  <c r="I2762" i="1"/>
  <c r="H2193" i="1"/>
  <c r="I2192" i="1"/>
  <c r="H2153" i="1"/>
  <c r="I2152" i="1"/>
  <c r="I2116" i="1"/>
  <c r="H2117" i="1"/>
  <c r="I2086" i="1"/>
  <c r="H2087" i="1"/>
  <c r="H1929" i="1"/>
  <c r="I1928" i="1"/>
  <c r="H1779" i="1"/>
  <c r="I1778" i="1"/>
  <c r="H1743" i="1"/>
  <c r="I1742" i="1"/>
  <c r="H1707" i="1"/>
  <c r="I1706" i="1"/>
  <c r="H1506" i="1"/>
  <c r="I1505" i="1"/>
  <c r="H1320" i="1"/>
  <c r="I1319" i="1"/>
  <c r="I1288" i="1"/>
  <c r="H1289" i="1"/>
  <c r="I1250" i="1"/>
  <c r="H1251" i="1"/>
  <c r="H1101" i="1"/>
  <c r="I1100" i="1"/>
  <c r="I942" i="1"/>
  <c r="H943" i="1"/>
  <c r="H899" i="1"/>
  <c r="I898" i="1"/>
  <c r="I862" i="1"/>
  <c r="H863" i="1"/>
  <c r="H406" i="1"/>
  <c r="I405" i="1"/>
  <c r="H256" i="1"/>
  <c r="I255" i="1"/>
  <c r="H2606" i="1"/>
  <c r="H2607" i="1" s="1"/>
  <c r="I2605" i="1"/>
  <c r="H1655" i="1"/>
  <c r="I1654" i="1"/>
  <c r="I1504" i="1"/>
  <c r="H24" i="1"/>
  <c r="I23" i="1"/>
  <c r="H60" i="1"/>
  <c r="I59" i="1"/>
  <c r="H97" i="1"/>
  <c r="I96" i="1"/>
  <c r="I24" i="1" l="1"/>
  <c r="H25" i="1"/>
  <c r="H3342" i="1"/>
  <c r="I3341" i="1"/>
  <c r="H3192" i="1"/>
  <c r="I3192" i="1" s="1"/>
  <c r="I3191" i="1"/>
  <c r="H2916" i="1"/>
  <c r="I2915" i="1"/>
  <c r="H2764" i="1"/>
  <c r="I2763" i="1"/>
  <c r="H2608" i="1"/>
  <c r="I2607" i="1"/>
  <c r="H2194" i="1"/>
  <c r="I2193" i="1"/>
  <c r="H2154" i="1"/>
  <c r="I2153" i="1"/>
  <c r="H2118" i="1"/>
  <c r="I2117" i="1"/>
  <c r="I2087" i="1"/>
  <c r="H2088" i="1"/>
  <c r="H1930" i="1"/>
  <c r="I1929" i="1"/>
  <c r="H1780" i="1"/>
  <c r="I1779" i="1"/>
  <c r="H1744" i="1"/>
  <c r="I1743" i="1"/>
  <c r="H1708" i="1"/>
  <c r="I1707" i="1"/>
  <c r="H1507" i="1"/>
  <c r="I1506" i="1"/>
  <c r="H1321" i="1"/>
  <c r="I1320" i="1"/>
  <c r="H1290" i="1"/>
  <c r="I1289" i="1"/>
  <c r="H1252" i="1"/>
  <c r="I1251" i="1"/>
  <c r="H1102" i="1"/>
  <c r="I1102" i="1" s="1"/>
  <c r="I1101" i="1"/>
  <c r="H944" i="1"/>
  <c r="I943" i="1"/>
  <c r="H900" i="1"/>
  <c r="I899" i="1"/>
  <c r="H864" i="1"/>
  <c r="I863" i="1"/>
  <c r="H407" i="1"/>
  <c r="I406" i="1"/>
  <c r="H257" i="1"/>
  <c r="I256" i="1"/>
  <c r="I2606" i="1"/>
  <c r="H1656" i="1"/>
  <c r="H1657" i="1" s="1"/>
  <c r="I1655" i="1"/>
  <c r="I60" i="1"/>
  <c r="H61" i="1"/>
  <c r="I97" i="1"/>
  <c r="H98" i="1"/>
  <c r="H99" i="1" s="1"/>
  <c r="H26" i="1" l="1"/>
  <c r="I25" i="1"/>
  <c r="H3343" i="1"/>
  <c r="I3342" i="1"/>
  <c r="H2917" i="1"/>
  <c r="I2916" i="1"/>
  <c r="I2764" i="1"/>
  <c r="H2765" i="1"/>
  <c r="H2609" i="1"/>
  <c r="I2608" i="1"/>
  <c r="H2195" i="1"/>
  <c r="I2194" i="1"/>
  <c r="H2155" i="1"/>
  <c r="I2154" i="1"/>
  <c r="I2118" i="1"/>
  <c r="H2119" i="1"/>
  <c r="H2089" i="1"/>
  <c r="I2088" i="1"/>
  <c r="H1931" i="1"/>
  <c r="I1930" i="1"/>
  <c r="H1781" i="1"/>
  <c r="I1780" i="1"/>
  <c r="H1745" i="1"/>
  <c r="I1744" i="1"/>
  <c r="H1709" i="1"/>
  <c r="I1708" i="1"/>
  <c r="H1658" i="1"/>
  <c r="I1657" i="1"/>
  <c r="H1508" i="1"/>
  <c r="I1507" i="1"/>
  <c r="H1322" i="1"/>
  <c r="I1321" i="1"/>
  <c r="H1291" i="1"/>
  <c r="I1290" i="1"/>
  <c r="H1253" i="1"/>
  <c r="I1252" i="1"/>
  <c r="H945" i="1"/>
  <c r="I944" i="1"/>
  <c r="I900" i="1"/>
  <c r="H901" i="1"/>
  <c r="H865" i="1"/>
  <c r="I864" i="1"/>
  <c r="H408" i="1"/>
  <c r="I407" i="1"/>
  <c r="H258" i="1"/>
  <c r="I257" i="1"/>
  <c r="H100" i="1"/>
  <c r="I99" i="1"/>
  <c r="I1656" i="1"/>
  <c r="I98" i="1"/>
  <c r="I61" i="1"/>
  <c r="H62" i="1"/>
  <c r="H27" i="1" l="1"/>
  <c r="I26" i="1"/>
  <c r="I62" i="1"/>
  <c r="H63" i="1"/>
  <c r="H3344" i="1"/>
  <c r="I3344" i="1" s="1"/>
  <c r="I3343" i="1"/>
  <c r="H2918" i="1"/>
  <c r="I2917" i="1"/>
  <c r="H2766" i="1"/>
  <c r="I2765" i="1"/>
  <c r="H2610" i="1"/>
  <c r="I2609" i="1"/>
  <c r="H2196" i="1"/>
  <c r="I2195" i="1"/>
  <c r="H2156" i="1"/>
  <c r="I2155" i="1"/>
  <c r="I2119" i="1"/>
  <c r="H2120" i="1"/>
  <c r="I2089" i="1"/>
  <c r="H2090" i="1"/>
  <c r="I2090" i="1" s="1"/>
  <c r="H1932" i="1"/>
  <c r="I1931" i="1"/>
  <c r="I1781" i="1"/>
  <c r="H1782" i="1"/>
  <c r="H1746" i="1"/>
  <c r="I1745" i="1"/>
  <c r="H1710" i="1"/>
  <c r="I1710" i="1" s="1"/>
  <c r="I1709" i="1"/>
  <c r="H1659" i="1"/>
  <c r="I1658" i="1"/>
  <c r="H1509" i="1"/>
  <c r="I1508" i="1"/>
  <c r="I1322" i="1"/>
  <c r="H1323" i="1"/>
  <c r="H1292" i="1"/>
  <c r="I1292" i="1" s="1"/>
  <c r="I1291" i="1"/>
  <c r="H1254" i="1"/>
  <c r="I1254" i="1" s="1"/>
  <c r="I1253" i="1"/>
  <c r="H946" i="1"/>
  <c r="I945" i="1"/>
  <c r="H902" i="1"/>
  <c r="I901" i="1"/>
  <c r="H866" i="1"/>
  <c r="I865" i="1"/>
  <c r="H409" i="1"/>
  <c r="I408" i="1"/>
  <c r="H259" i="1"/>
  <c r="I258" i="1"/>
  <c r="H101" i="1"/>
  <c r="I100" i="1"/>
  <c r="H64" i="1" l="1"/>
  <c r="I63" i="1"/>
  <c r="H28" i="1"/>
  <c r="I27" i="1"/>
  <c r="H2919" i="1"/>
  <c r="I2918" i="1"/>
  <c r="I2766" i="1"/>
  <c r="H2767" i="1"/>
  <c r="H2611" i="1"/>
  <c r="I2610" i="1"/>
  <c r="H2197" i="1"/>
  <c r="I2196" i="1"/>
  <c r="H2157" i="1"/>
  <c r="I2156" i="1"/>
  <c r="H2121" i="1"/>
  <c r="I2120" i="1"/>
  <c r="H1933" i="1"/>
  <c r="I1932" i="1"/>
  <c r="I1782" i="1"/>
  <c r="H1783" i="1"/>
  <c r="H1747" i="1"/>
  <c r="I1746" i="1"/>
  <c r="H1660" i="1"/>
  <c r="I1659" i="1"/>
  <c r="H1510" i="1"/>
  <c r="I1509" i="1"/>
  <c r="H1324" i="1"/>
  <c r="I1323" i="1"/>
  <c r="H947" i="1"/>
  <c r="I946" i="1"/>
  <c r="H903" i="1"/>
  <c r="I902" i="1"/>
  <c r="H867" i="1"/>
  <c r="I866" i="1"/>
  <c r="H410" i="1"/>
  <c r="I409" i="1"/>
  <c r="H260" i="1"/>
  <c r="I259" i="1"/>
  <c r="H102" i="1"/>
  <c r="I101" i="1"/>
  <c r="KU26" i="2"/>
  <c r="KT26" i="2"/>
  <c r="MG26" i="2"/>
  <c r="HV29" i="2"/>
  <c r="HW23" i="2"/>
  <c r="HV8" i="2"/>
  <c r="KU23" i="2"/>
  <c r="C26" i="2"/>
  <c r="GK23" i="2"/>
  <c r="C17" i="2"/>
  <c r="JI23" i="2"/>
  <c r="BZ23" i="2"/>
  <c r="MG32" i="2"/>
  <c r="JH11" i="2"/>
  <c r="C23" i="2"/>
  <c r="DM26" i="2"/>
  <c r="AN26" i="2"/>
  <c r="GK14" i="2"/>
  <c r="AN11" i="2"/>
  <c r="C29" i="2"/>
  <c r="DM11" i="2"/>
  <c r="HV17" i="2"/>
  <c r="BZ26" i="2"/>
  <c r="HV5" i="2"/>
  <c r="JI14" i="2"/>
  <c r="KT32" i="2"/>
  <c r="AO5" i="2"/>
  <c r="EX29" i="2"/>
  <c r="KT11" i="2"/>
  <c r="EX14" i="2"/>
  <c r="NR23" i="2"/>
  <c r="B29" i="2"/>
  <c r="EY17" i="2"/>
  <c r="MF32" i="2"/>
  <c r="KT23" i="2"/>
  <c r="EX8" i="2"/>
  <c r="EX11" i="2"/>
  <c r="BZ17" i="2"/>
  <c r="EY26" i="2"/>
  <c r="BZ8" i="2"/>
  <c r="AO23" i="2"/>
  <c r="GK26" i="2"/>
  <c r="MG11" i="2"/>
  <c r="DL8" i="2"/>
  <c r="GK11" i="2"/>
  <c r="EY14" i="2"/>
  <c r="AN29" i="2"/>
  <c r="GJ14" i="2"/>
  <c r="JI32" i="2"/>
  <c r="GJ17" i="2"/>
  <c r="MF11" i="2"/>
  <c r="JH8" i="2"/>
  <c r="NR32" i="2"/>
  <c r="BZ29" i="2"/>
  <c r="KU32" i="2"/>
  <c r="MF8" i="2"/>
  <c r="AN17" i="2"/>
  <c r="C8" i="2"/>
  <c r="GJ32" i="2"/>
  <c r="MF17" i="2"/>
  <c r="AN23" i="2"/>
  <c r="JH17" i="2"/>
  <c r="GJ26" i="2"/>
  <c r="EX5" i="2"/>
  <c r="CA14" i="2"/>
  <c r="GJ11" i="2"/>
  <c r="EY23" i="2"/>
  <c r="HW26" i="2"/>
  <c r="B26" i="2"/>
  <c r="GJ5" i="2"/>
  <c r="MG14" i="2"/>
  <c r="HW5" i="2"/>
  <c r="C14" i="2"/>
  <c r="MG23" i="2"/>
  <c r="EY32" i="2"/>
  <c r="GJ29" i="2"/>
  <c r="CA17" i="2"/>
  <c r="JH29" i="2"/>
  <c r="JH32" i="2"/>
  <c r="C5" i="2"/>
  <c r="AO29" i="2"/>
  <c r="AO14" i="2"/>
  <c r="DM17" i="2"/>
  <c r="B17" i="2"/>
  <c r="KU14" i="2"/>
  <c r="DM8" i="2"/>
  <c r="AO11" i="2"/>
  <c r="KU11" i="2"/>
  <c r="KT17" i="2"/>
  <c r="DL29" i="2"/>
  <c r="GK32" i="2"/>
  <c r="DL26" i="2"/>
  <c r="AN8" i="2"/>
  <c r="BZ32" i="2"/>
  <c r="GK8" i="2"/>
  <c r="NR14" i="2"/>
  <c r="AO8" i="2"/>
  <c r="AO17" i="2"/>
  <c r="BZ14" i="2"/>
  <c r="MF14" i="2"/>
  <c r="EX23" i="2"/>
  <c r="CA29" i="2"/>
  <c r="BZ5" i="2"/>
  <c r="C11" i="2"/>
  <c r="DM32" i="2"/>
  <c r="AO32" i="2"/>
  <c r="DL17" i="2"/>
  <c r="EX26" i="2"/>
  <c r="DL5" i="2"/>
  <c r="JI11" i="2"/>
  <c r="AO26" i="2"/>
  <c r="HW29" i="2"/>
  <c r="HV14" i="2"/>
  <c r="NR8" i="2"/>
  <c r="KU29" i="2"/>
  <c r="MG17" i="2"/>
  <c r="CA8" i="2"/>
  <c r="B23" i="2"/>
  <c r="DL14" i="2"/>
  <c r="C32" i="2"/>
  <c r="KU8" i="2"/>
  <c r="JI17" i="2"/>
  <c r="DM5" i="2"/>
  <c r="DL23" i="2"/>
  <c r="HW32" i="2"/>
  <c r="B32" i="2"/>
  <c r="GK5" i="2"/>
  <c r="HV23" i="2"/>
  <c r="HV26" i="2"/>
  <c r="AN32" i="2"/>
  <c r="B11" i="2"/>
  <c r="GJ8" i="2"/>
  <c r="HW17" i="2"/>
  <c r="HV11" i="2"/>
  <c r="KT29" i="2"/>
  <c r="B14" i="2"/>
  <c r="EY8" i="2"/>
  <c r="JH23" i="2"/>
  <c r="MF5" i="2"/>
  <c r="DM29" i="2"/>
  <c r="MF29" i="2"/>
  <c r="AN14" i="2"/>
  <c r="EY29" i="2"/>
  <c r="KT14" i="2"/>
  <c r="CA11" i="2"/>
  <c r="HW14" i="2"/>
  <c r="EY5" i="2"/>
  <c r="KT8" i="2"/>
  <c r="DM23" i="2"/>
  <c r="JI8" i="2"/>
  <c r="GK17" i="2"/>
  <c r="JI29" i="2"/>
  <c r="HW11" i="2"/>
  <c r="MF23" i="2"/>
  <c r="CA23" i="2"/>
  <c r="HW8" i="2"/>
  <c r="BZ11" i="2"/>
  <c r="AN5" i="2"/>
  <c r="EY11" i="2"/>
  <c r="DM14" i="2"/>
  <c r="EX17" i="2"/>
  <c r="HV32" i="2"/>
  <c r="GJ23" i="2"/>
  <c r="CA26" i="2"/>
  <c r="MG8" i="2"/>
  <c r="DL11" i="2"/>
  <c r="DL32" i="2"/>
  <c r="CA5" i="2"/>
  <c r="CA32" i="2"/>
  <c r="EX32" i="2"/>
  <c r="MG5" i="2"/>
  <c r="GK29" i="2"/>
  <c r="JH14" i="2"/>
  <c r="H29" i="1" l="1"/>
  <c r="I28" i="1"/>
  <c r="H65" i="1"/>
  <c r="I64" i="1"/>
  <c r="H2920" i="1"/>
  <c r="I2919" i="1"/>
  <c r="H2768" i="1"/>
  <c r="I2767" i="1"/>
  <c r="H2612" i="1"/>
  <c r="I2611" i="1"/>
  <c r="H2198" i="1"/>
  <c r="I2197" i="1"/>
  <c r="I2157" i="1"/>
  <c r="H2158" i="1"/>
  <c r="H2122" i="1"/>
  <c r="I2121" i="1"/>
  <c r="H1934" i="1"/>
  <c r="I1933" i="1"/>
  <c r="I1783" i="1"/>
  <c r="H1784" i="1"/>
  <c r="H1748" i="1"/>
  <c r="I1748" i="1" s="1"/>
  <c r="I1747" i="1"/>
  <c r="H1661" i="1"/>
  <c r="I1660" i="1"/>
  <c r="H1511" i="1"/>
  <c r="I1510" i="1"/>
  <c r="H1325" i="1"/>
  <c r="I1324" i="1"/>
  <c r="H948" i="1"/>
  <c r="I947" i="1"/>
  <c r="I903" i="1"/>
  <c r="H904" i="1"/>
  <c r="H868" i="1"/>
  <c r="I867" i="1"/>
  <c r="H411" i="1"/>
  <c r="I410" i="1"/>
  <c r="H261" i="1"/>
  <c r="I260" i="1"/>
  <c r="H103" i="1"/>
  <c r="I102" i="1"/>
  <c r="MI26" i="2"/>
  <c r="KW26" i="2"/>
  <c r="KV26" i="2"/>
  <c r="JH26" i="2"/>
  <c r="JI26" i="2"/>
  <c r="KV32" i="2"/>
  <c r="NU11" i="2"/>
  <c r="KV17" i="2"/>
  <c r="DO32" i="2"/>
  <c r="AP5" i="2"/>
  <c r="CC14" i="2"/>
  <c r="GM5" i="2"/>
  <c r="NT23" i="2"/>
  <c r="HX14" i="2"/>
  <c r="HY8" i="2"/>
  <c r="FA26" i="2"/>
  <c r="AQ5" i="2"/>
  <c r="CB26" i="2"/>
  <c r="KV14" i="2"/>
  <c r="MI14" i="2"/>
  <c r="EZ11" i="2"/>
  <c r="CC23" i="2"/>
  <c r="CB32" i="2"/>
  <c r="CB11" i="2"/>
  <c r="EZ17" i="2"/>
  <c r="DN5" i="2"/>
  <c r="NU14" i="2"/>
  <c r="NT32" i="2"/>
  <c r="JK23" i="2"/>
  <c r="MH29" i="2"/>
  <c r="AP14" i="2"/>
  <c r="NU5" i="2"/>
  <c r="CC26" i="2"/>
  <c r="EZ5" i="2"/>
  <c r="MH32" i="2"/>
  <c r="MI11" i="2"/>
  <c r="HY11" i="2"/>
  <c r="GL5" i="2"/>
  <c r="HX5" i="2"/>
  <c r="AQ11" i="2"/>
  <c r="CB29" i="2"/>
  <c r="E32" i="2"/>
  <c r="GL17" i="2"/>
  <c r="CB5" i="2"/>
  <c r="DN8" i="2"/>
  <c r="GM32" i="2"/>
  <c r="E17" i="2"/>
  <c r="E26" i="2"/>
  <c r="DO23" i="2"/>
  <c r="E8" i="2"/>
  <c r="MI8" i="2"/>
  <c r="CC11" i="2"/>
  <c r="DO26" i="2"/>
  <c r="D23" i="2"/>
  <c r="DN11" i="2"/>
  <c r="FA23" i="2"/>
  <c r="MI17" i="2"/>
  <c r="HY32" i="2"/>
  <c r="NU29" i="2"/>
  <c r="HX32" i="2"/>
  <c r="NT8" i="2"/>
  <c r="CC5" i="2"/>
  <c r="DN26" i="2"/>
  <c r="NU8" i="2"/>
  <c r="EZ23" i="2"/>
  <c r="E23" i="2"/>
  <c r="MI5" i="2"/>
  <c r="EZ26" i="2"/>
  <c r="FA8" i="2"/>
  <c r="JJ8" i="2"/>
  <c r="AQ8" i="2"/>
  <c r="EZ8" i="2"/>
  <c r="GM17" i="2"/>
  <c r="EZ29" i="2"/>
  <c r="EZ14" i="2"/>
  <c r="NU32" i="2"/>
  <c r="MH17" i="2"/>
  <c r="CC29" i="2"/>
  <c r="NT14" i="2"/>
  <c r="E14" i="2"/>
  <c r="KV29" i="2"/>
  <c r="JK32" i="2"/>
  <c r="JJ32" i="2"/>
  <c r="JK11" i="2"/>
  <c r="D26" i="2"/>
  <c r="NU17" i="2"/>
  <c r="DN17" i="2"/>
  <c r="GM8" i="2"/>
  <c r="KV8" i="2"/>
  <c r="CB8" i="2"/>
  <c r="KW23" i="2"/>
  <c r="D17" i="2"/>
  <c r="CB14" i="2"/>
  <c r="GM11" i="2"/>
  <c r="DO14" i="2"/>
  <c r="HX11" i="2"/>
  <c r="DN29" i="2"/>
  <c r="DN14" i="2"/>
  <c r="E11" i="2"/>
  <c r="AP32" i="2"/>
  <c r="FA32" i="2"/>
  <c r="HY17" i="2"/>
  <c r="HY14" i="2"/>
  <c r="KW8" i="2"/>
  <c r="KW11" i="2"/>
  <c r="JJ17" i="2"/>
  <c r="D29" i="2"/>
  <c r="MH23" i="2"/>
  <c r="HX26" i="2"/>
  <c r="MH11" i="2"/>
  <c r="HY23" i="2"/>
  <c r="DN23" i="2"/>
  <c r="AQ26" i="2"/>
  <c r="NU23" i="2"/>
  <c r="MH5" i="2"/>
  <c r="MH8" i="2"/>
  <c r="KW14" i="2"/>
  <c r="D11" i="2"/>
  <c r="AP17" i="2"/>
  <c r="MI23" i="2"/>
  <c r="EZ32" i="2"/>
  <c r="FA11" i="2"/>
  <c r="AP29" i="2"/>
  <c r="GL11" i="2"/>
  <c r="AQ23" i="2"/>
  <c r="FA5" i="2"/>
  <c r="GM14" i="2"/>
  <c r="KV11" i="2"/>
  <c r="GL32" i="2"/>
  <c r="KV5" i="2"/>
  <c r="AQ32" i="2"/>
  <c r="GL23" i="2"/>
  <c r="GM26" i="2"/>
  <c r="D32" i="2"/>
  <c r="MH14" i="2"/>
  <c r="DO5" i="2"/>
  <c r="GL29" i="2"/>
  <c r="JK14" i="2"/>
  <c r="HY5" i="2"/>
  <c r="GL26" i="2"/>
  <c r="HY29" i="2"/>
  <c r="AQ17" i="2"/>
  <c r="HY26" i="2"/>
  <c r="D5" i="2"/>
  <c r="E29" i="2"/>
  <c r="AP23" i="2"/>
  <c r="D14" i="2"/>
  <c r="AQ29" i="2"/>
  <c r="HX23" i="2"/>
  <c r="FA14" i="2"/>
  <c r="GM29" i="2"/>
  <c r="CB23" i="2"/>
  <c r="GL8" i="2"/>
  <c r="JK8" i="2"/>
  <c r="KW17" i="2"/>
  <c r="MI32" i="2"/>
  <c r="HX17" i="2"/>
  <c r="CC17" i="2"/>
  <c r="KW29" i="2"/>
  <c r="HX29" i="2"/>
  <c r="JK17" i="2"/>
  <c r="JJ29" i="2"/>
  <c r="CC8" i="2"/>
  <c r="D8" i="2"/>
  <c r="HX8" i="2"/>
  <c r="DO11" i="2"/>
  <c r="AP26" i="2"/>
  <c r="JJ11" i="2"/>
  <c r="DN32" i="2"/>
  <c r="KW32" i="2"/>
  <c r="GM23" i="2"/>
  <c r="AP8" i="2"/>
  <c r="AP11" i="2"/>
  <c r="MI29" i="2"/>
  <c r="JJ23" i="2"/>
  <c r="AQ14" i="2"/>
  <c r="GL14" i="2"/>
  <c r="DO17" i="2"/>
  <c r="DO29" i="2"/>
  <c r="E5" i="2"/>
  <c r="CB17" i="2"/>
  <c r="FA17" i="2"/>
  <c r="FA29" i="2"/>
  <c r="KV23" i="2"/>
  <c r="JK29" i="2"/>
  <c r="CC32" i="2"/>
  <c r="JJ14" i="2"/>
  <c r="NT11" i="2"/>
  <c r="DO8" i="2"/>
  <c r="NR11" i="2"/>
  <c r="B5" i="2"/>
  <c r="B8" i="2"/>
  <c r="H66" i="1" l="1"/>
  <c r="I65" i="1"/>
  <c r="H30" i="1"/>
  <c r="I29" i="1"/>
  <c r="H2921" i="1"/>
  <c r="I2920" i="1"/>
  <c r="I2768" i="1"/>
  <c r="H2769" i="1"/>
  <c r="H2613" i="1"/>
  <c r="I2612" i="1"/>
  <c r="H2199" i="1"/>
  <c r="I2198" i="1"/>
  <c r="H2159" i="1"/>
  <c r="I2158" i="1"/>
  <c r="H2123" i="1"/>
  <c r="I2122" i="1"/>
  <c r="H1935" i="1"/>
  <c r="I1934" i="1"/>
  <c r="I1784" i="1"/>
  <c r="H1785" i="1"/>
  <c r="H1662" i="1"/>
  <c r="I1661" i="1"/>
  <c r="H1512" i="1"/>
  <c r="I1511" i="1"/>
  <c r="H1326" i="1"/>
  <c r="I1325" i="1"/>
  <c r="H949" i="1"/>
  <c r="I948" i="1"/>
  <c r="H905" i="1"/>
  <c r="I904" i="1"/>
  <c r="I868" i="1"/>
  <c r="H869" i="1"/>
  <c r="H412" i="1"/>
  <c r="I411" i="1"/>
  <c r="H262" i="1"/>
  <c r="I261" i="1"/>
  <c r="H104" i="1"/>
  <c r="I103" i="1"/>
  <c r="NU26" i="2"/>
  <c r="KX26" i="2"/>
  <c r="MJ26" i="2"/>
  <c r="JK26" i="2"/>
  <c r="JJ26" i="2"/>
  <c r="CD8" i="2"/>
  <c r="CD5" i="2"/>
  <c r="DP32" i="2"/>
  <c r="GN5" i="2"/>
  <c r="DP11" i="2"/>
  <c r="FB23" i="2"/>
  <c r="HZ32" i="2"/>
  <c r="HZ5" i="2"/>
  <c r="AR14" i="2"/>
  <c r="KX14" i="2"/>
  <c r="AR11" i="2"/>
  <c r="MJ32" i="2"/>
  <c r="CD26" i="2"/>
  <c r="HZ29" i="2"/>
  <c r="F26" i="2"/>
  <c r="GN32" i="2"/>
  <c r="MJ5" i="2"/>
  <c r="JL32" i="2"/>
  <c r="FB11" i="2"/>
  <c r="KX29" i="2"/>
  <c r="KX11" i="2"/>
  <c r="NV8" i="2"/>
  <c r="AR17" i="2"/>
  <c r="FB8" i="2"/>
  <c r="JL29" i="2"/>
  <c r="DP14" i="2"/>
  <c r="FB32" i="2"/>
  <c r="F11" i="2"/>
  <c r="HZ26" i="2"/>
  <c r="JL11" i="2"/>
  <c r="DP26" i="2"/>
  <c r="CD32" i="2"/>
  <c r="HZ11" i="2"/>
  <c r="MJ17" i="2"/>
  <c r="DP5" i="2"/>
  <c r="KX32" i="2"/>
  <c r="MJ11" i="2"/>
  <c r="JL23" i="2"/>
  <c r="NV14" i="2"/>
  <c r="NV32" i="2"/>
  <c r="GN26" i="2"/>
  <c r="F23" i="2"/>
  <c r="AR8" i="2"/>
  <c r="MJ14" i="2"/>
  <c r="FB29" i="2"/>
  <c r="FB14" i="2"/>
  <c r="GN29" i="2"/>
  <c r="CD23" i="2"/>
  <c r="AR23" i="2"/>
  <c r="GN23" i="2"/>
  <c r="JL17" i="2"/>
  <c r="DP8" i="2"/>
  <c r="FB17" i="2"/>
  <c r="GN11" i="2"/>
  <c r="KX5" i="2"/>
  <c r="HZ17" i="2"/>
  <c r="F32" i="2"/>
  <c r="F8" i="2"/>
  <c r="F14" i="2"/>
  <c r="CD14" i="2"/>
  <c r="HZ8" i="2"/>
  <c r="F17" i="2"/>
  <c r="AR26" i="2"/>
  <c r="JL8" i="2"/>
  <c r="DP23" i="2"/>
  <c r="MJ8" i="2"/>
  <c r="F29" i="2"/>
  <c r="NV23" i="2"/>
  <c r="FB26" i="2"/>
  <c r="KX8" i="2"/>
  <c r="GN17" i="2"/>
  <c r="HZ23" i="2"/>
  <c r="CD17" i="2"/>
  <c r="DP29" i="2"/>
  <c r="HZ14" i="2"/>
  <c r="FB5" i="2"/>
  <c r="DP17" i="2"/>
  <c r="KX23" i="2"/>
  <c r="GN8" i="2"/>
  <c r="AR29" i="2"/>
  <c r="GN14" i="2"/>
  <c r="MJ23" i="2"/>
  <c r="AR32" i="2"/>
  <c r="CD11" i="2"/>
  <c r="AR5" i="2"/>
  <c r="CD29" i="2"/>
  <c r="JL14" i="2"/>
  <c r="H67" i="1" l="1"/>
  <c r="I66" i="1"/>
  <c r="H31" i="1"/>
  <c r="I30" i="1"/>
  <c r="H2922" i="1"/>
  <c r="I2921" i="1"/>
  <c r="H2770" i="1"/>
  <c r="I2769" i="1"/>
  <c r="H2614" i="1"/>
  <c r="I2613" i="1"/>
  <c r="H2200" i="1"/>
  <c r="I2199" i="1"/>
  <c r="H2160" i="1"/>
  <c r="I2159" i="1"/>
  <c r="H2124" i="1"/>
  <c r="I2123" i="1"/>
  <c r="H1936" i="1"/>
  <c r="I1935" i="1"/>
  <c r="H1786" i="1"/>
  <c r="I1786" i="1" s="1"/>
  <c r="I1785" i="1"/>
  <c r="H1663" i="1"/>
  <c r="I1662" i="1"/>
  <c r="H1513" i="1"/>
  <c r="I1512" i="1"/>
  <c r="I1326" i="1"/>
  <c r="H1327" i="1"/>
  <c r="H950" i="1"/>
  <c r="I950" i="1" s="1"/>
  <c r="I949" i="1"/>
  <c r="H906" i="1"/>
  <c r="I905" i="1"/>
  <c r="I869" i="1"/>
  <c r="H870" i="1"/>
  <c r="H413" i="1"/>
  <c r="I412" i="1"/>
  <c r="H263" i="1"/>
  <c r="I262" i="1"/>
  <c r="H105" i="1"/>
  <c r="I104" i="1"/>
  <c r="NV26" i="2"/>
  <c r="MK26" i="2"/>
  <c r="KY26" i="2"/>
  <c r="JL26" i="2"/>
  <c r="G11" i="2"/>
  <c r="CE5" i="2"/>
  <c r="FC11" i="2"/>
  <c r="CE11" i="2"/>
  <c r="MK23" i="2"/>
  <c r="G8" i="2"/>
  <c r="NW14" i="2"/>
  <c r="IA26" i="2"/>
  <c r="CE8" i="2"/>
  <c r="FC5" i="2"/>
  <c r="IA32" i="2"/>
  <c r="FC32" i="2"/>
  <c r="IA5" i="2"/>
  <c r="AS17" i="2"/>
  <c r="DQ11" i="2"/>
  <c r="KY29" i="2"/>
  <c r="GO32" i="2"/>
  <c r="GO11" i="2"/>
  <c r="DQ23" i="2"/>
  <c r="DQ17" i="2"/>
  <c r="IA14" i="2"/>
  <c r="GO29" i="2"/>
  <c r="FC23" i="2"/>
  <c r="JM11" i="2"/>
  <c r="KY8" i="2"/>
  <c r="AS11" i="2"/>
  <c r="MK29" i="2"/>
  <c r="G14" i="2"/>
  <c r="AS8" i="2"/>
  <c r="KY11" i="2"/>
  <c r="NW29" i="2"/>
  <c r="CE14" i="2"/>
  <c r="MK17" i="2"/>
  <c r="MK5" i="2"/>
  <c r="G29" i="2"/>
  <c r="JM8" i="2"/>
  <c r="AS32" i="2"/>
  <c r="AS23" i="2"/>
  <c r="DQ14" i="2"/>
  <c r="KY23" i="2"/>
  <c r="DQ29" i="2"/>
  <c r="JM14" i="2"/>
  <c r="AS5" i="2"/>
  <c r="G26" i="2"/>
  <c r="FC8" i="2"/>
  <c r="NW11" i="2"/>
  <c r="GO23" i="2"/>
  <c r="KY14" i="2"/>
  <c r="G23" i="2"/>
  <c r="FC14" i="2"/>
  <c r="MK11" i="2"/>
  <c r="DQ26" i="2"/>
  <c r="IA17" i="2"/>
  <c r="JM32" i="2"/>
  <c r="KY17" i="2"/>
  <c r="NW23" i="2"/>
  <c r="NW17" i="2"/>
  <c r="MK14" i="2"/>
  <c r="GO8" i="2"/>
  <c r="GO5" i="2"/>
  <c r="GO17" i="2"/>
  <c r="G17" i="2"/>
  <c r="IA8" i="2"/>
  <c r="IA11" i="2"/>
  <c r="IA29" i="2"/>
  <c r="IA23" i="2"/>
  <c r="DQ32" i="2"/>
  <c r="G32" i="2"/>
  <c r="JM29" i="2"/>
  <c r="CE26" i="2"/>
  <c r="FC26" i="2"/>
  <c r="CE29" i="2"/>
  <c r="CE32" i="2"/>
  <c r="NW5" i="2"/>
  <c r="KY32" i="2"/>
  <c r="MK32" i="2"/>
  <c r="MK8" i="2"/>
  <c r="CE23" i="2"/>
  <c r="FC29" i="2"/>
  <c r="AS14" i="2"/>
  <c r="G5" i="2"/>
  <c r="JM23" i="2"/>
  <c r="CE17" i="2"/>
  <c r="AS26" i="2"/>
  <c r="AS29" i="2"/>
  <c r="NW32" i="2"/>
  <c r="GO14" i="2"/>
  <c r="DQ5" i="2"/>
  <c r="FC17" i="2"/>
  <c r="GO26" i="2"/>
  <c r="DQ8" i="2"/>
  <c r="JM17" i="2"/>
  <c r="NV11" i="2"/>
  <c r="F5" i="2"/>
  <c r="H68" i="1" l="1"/>
  <c r="I67" i="1"/>
  <c r="H32" i="1"/>
  <c r="I31" i="1"/>
  <c r="H2923" i="1"/>
  <c r="I2922" i="1"/>
  <c r="I2770" i="1"/>
  <c r="H2771" i="1"/>
  <c r="H2615" i="1"/>
  <c r="I2614" i="1"/>
  <c r="H2201" i="1"/>
  <c r="I2200" i="1"/>
  <c r="H2161" i="1"/>
  <c r="I2160" i="1"/>
  <c r="H2125" i="1"/>
  <c r="I2124" i="1"/>
  <c r="H1937" i="1"/>
  <c r="I1936" i="1"/>
  <c r="H1664" i="1"/>
  <c r="I1663" i="1"/>
  <c r="H1514" i="1"/>
  <c r="I1513" i="1"/>
  <c r="H1328" i="1"/>
  <c r="I1327" i="1"/>
  <c r="I906" i="1"/>
  <c r="H907" i="1"/>
  <c r="I870" i="1"/>
  <c r="H871" i="1"/>
  <c r="H414" i="1"/>
  <c r="I413" i="1"/>
  <c r="H264" i="1"/>
  <c r="I263" i="1"/>
  <c r="H106" i="1"/>
  <c r="I105" i="1"/>
  <c r="NW26" i="2"/>
  <c r="KZ26" i="2"/>
  <c r="ML26" i="2"/>
  <c r="JM26" i="2"/>
  <c r="ML23" i="2"/>
  <c r="AT26" i="2"/>
  <c r="AT8" i="2"/>
  <c r="CF17" i="2"/>
  <c r="DR26" i="2"/>
  <c r="CF8" i="2"/>
  <c r="GP26" i="2"/>
  <c r="JN29" i="2"/>
  <c r="KZ8" i="2"/>
  <c r="KZ29" i="2"/>
  <c r="H14" i="2"/>
  <c r="KZ5" i="2"/>
  <c r="GP32" i="2"/>
  <c r="CF11" i="2"/>
  <c r="AT14" i="2"/>
  <c r="GP17" i="2"/>
  <c r="AT5" i="2"/>
  <c r="DR14" i="2"/>
  <c r="DR5" i="2"/>
  <c r="GP5" i="2"/>
  <c r="IB32" i="2"/>
  <c r="AT11" i="2"/>
  <c r="NX17" i="2"/>
  <c r="FD23" i="2"/>
  <c r="H29" i="2"/>
  <c r="IB14" i="2"/>
  <c r="DR8" i="2"/>
  <c r="NX11" i="2"/>
  <c r="AT17" i="2"/>
  <c r="JN23" i="2"/>
  <c r="FD32" i="2"/>
  <c r="AT29" i="2"/>
  <c r="FD26" i="2"/>
  <c r="IB8" i="2"/>
  <c r="DR32" i="2"/>
  <c r="DR11" i="2"/>
  <c r="CF5" i="2"/>
  <c r="KZ32" i="2"/>
  <c r="IB23" i="2"/>
  <c r="CF14" i="2"/>
  <c r="IB29" i="2"/>
  <c r="KZ14" i="2"/>
  <c r="H17" i="2"/>
  <c r="GP23" i="2"/>
  <c r="NX14" i="2"/>
  <c r="FD14" i="2"/>
  <c r="KZ17" i="2"/>
  <c r="ML5" i="2"/>
  <c r="H11" i="2"/>
  <c r="ML17" i="2"/>
  <c r="JN32" i="2"/>
  <c r="CF23" i="2"/>
  <c r="IB26" i="2"/>
  <c r="GP29" i="2"/>
  <c r="H32" i="2"/>
  <c r="CF26" i="2"/>
  <c r="ML11" i="2"/>
  <c r="DR17" i="2"/>
  <c r="NX23" i="2"/>
  <c r="FD29" i="2"/>
  <c r="AT23" i="2"/>
  <c r="IB11" i="2"/>
  <c r="FD8" i="2"/>
  <c r="JN8" i="2"/>
  <c r="GP14" i="2"/>
  <c r="FD5" i="2"/>
  <c r="FD11" i="2"/>
  <c r="CF29" i="2"/>
  <c r="JN14" i="2"/>
  <c r="FD17" i="2"/>
  <c r="JN17" i="2"/>
  <c r="IB5" i="2"/>
  <c r="H5" i="2"/>
  <c r="KZ11" i="2"/>
  <c r="H8" i="2"/>
  <c r="AT32" i="2"/>
  <c r="DR29" i="2"/>
  <c r="ML14" i="2"/>
  <c r="GP8" i="2"/>
  <c r="ML32" i="2"/>
  <c r="H23" i="2"/>
  <c r="NX5" i="2"/>
  <c r="GP11" i="2"/>
  <c r="KZ23" i="2"/>
  <c r="JN11" i="2"/>
  <c r="IB17" i="2"/>
  <c r="DR23" i="2"/>
  <c r="CF32" i="2"/>
  <c r="H26" i="2"/>
  <c r="NX32" i="2"/>
  <c r="I68" i="1" l="1"/>
  <c r="H69" i="1"/>
  <c r="H33" i="1"/>
  <c r="I32" i="1"/>
  <c r="H2924" i="1"/>
  <c r="I2923" i="1"/>
  <c r="I2771" i="1"/>
  <c r="H2772" i="1"/>
  <c r="H2616" i="1"/>
  <c r="I2615" i="1"/>
  <c r="H2202" i="1"/>
  <c r="I2201" i="1"/>
  <c r="H2162" i="1"/>
  <c r="I2161" i="1"/>
  <c r="H2126" i="1"/>
  <c r="I2125" i="1"/>
  <c r="H1938" i="1"/>
  <c r="I1938" i="1" s="1"/>
  <c r="I1937" i="1"/>
  <c r="I1664" i="1"/>
  <c r="H1665" i="1"/>
  <c r="H1515" i="1"/>
  <c r="I1514" i="1"/>
  <c r="H1329" i="1"/>
  <c r="I1328" i="1"/>
  <c r="H908" i="1"/>
  <c r="I907" i="1"/>
  <c r="I871" i="1"/>
  <c r="H872" i="1"/>
  <c r="H415" i="1"/>
  <c r="I414" i="1"/>
  <c r="H265" i="1"/>
  <c r="I264" i="1"/>
  <c r="H107" i="1"/>
  <c r="I106" i="1"/>
  <c r="NX26" i="2"/>
  <c r="MM26" i="2"/>
  <c r="LA26" i="2"/>
  <c r="JN26" i="2"/>
  <c r="MM11" i="2"/>
  <c r="AU32" i="2"/>
  <c r="GQ11" i="2"/>
  <c r="CG8" i="2"/>
  <c r="LA29" i="2"/>
  <c r="NY23" i="2"/>
  <c r="DS23" i="2"/>
  <c r="JO17" i="2"/>
  <c r="IC29" i="2"/>
  <c r="GQ14" i="2"/>
  <c r="DS8" i="2"/>
  <c r="DS29" i="2"/>
  <c r="DS14" i="2"/>
  <c r="AU23" i="2"/>
  <c r="I23" i="2"/>
  <c r="MM8" i="2"/>
  <c r="JO29" i="2"/>
  <c r="AU5" i="2"/>
  <c r="NY29" i="2"/>
  <c r="NY14" i="2"/>
  <c r="NY32" i="2"/>
  <c r="FE26" i="2"/>
  <c r="GQ23" i="2"/>
  <c r="I32" i="2"/>
  <c r="CG14" i="2"/>
  <c r="NY17" i="2"/>
  <c r="CG26" i="2"/>
  <c r="JO11" i="2"/>
  <c r="AU11" i="2"/>
  <c r="JO23" i="2"/>
  <c r="GQ17" i="2"/>
  <c r="I11" i="2"/>
  <c r="MM17" i="2"/>
  <c r="LA8" i="2"/>
  <c r="AU17" i="2"/>
  <c r="JO14" i="2"/>
  <c r="JO32" i="2"/>
  <c r="CG23" i="2"/>
  <c r="FE8" i="2"/>
  <c r="GQ8" i="2"/>
  <c r="FE23" i="2"/>
  <c r="CG32" i="2"/>
  <c r="GQ29" i="2"/>
  <c r="AU26" i="2"/>
  <c r="LA23" i="2"/>
  <c r="I17" i="2"/>
  <c r="CG11" i="2"/>
  <c r="LA14" i="2"/>
  <c r="IC17" i="2"/>
  <c r="IC11" i="2"/>
  <c r="GQ32" i="2"/>
  <c r="LA17" i="2"/>
  <c r="IC23" i="2"/>
  <c r="FE32" i="2"/>
  <c r="IC8" i="2"/>
  <c r="NY8" i="2"/>
  <c r="MM29" i="2"/>
  <c r="FE14" i="2"/>
  <c r="CG5" i="2"/>
  <c r="I14" i="2"/>
  <c r="GQ26" i="2"/>
  <c r="AU8" i="2"/>
  <c r="NY5" i="2"/>
  <c r="DS11" i="2"/>
  <c r="AU29" i="2"/>
  <c r="IC32" i="2"/>
  <c r="DS32" i="2"/>
  <c r="FE5" i="2"/>
  <c r="CG29" i="2"/>
  <c r="AU14" i="2"/>
  <c r="GQ5" i="2"/>
  <c r="LA11" i="2"/>
  <c r="FE29" i="2"/>
  <c r="CG17" i="2"/>
  <c r="MM23" i="2"/>
  <c r="DS5" i="2"/>
  <c r="DS26" i="2"/>
  <c r="MM14" i="2"/>
  <c r="DS17" i="2"/>
  <c r="IC14" i="2"/>
  <c r="FE17" i="2"/>
  <c r="IC5" i="2"/>
  <c r="FE11" i="2"/>
  <c r="IC26" i="2"/>
  <c r="LA32" i="2"/>
  <c r="I26" i="2"/>
  <c r="I29" i="2"/>
  <c r="H70" i="1" l="1"/>
  <c r="I69" i="1"/>
  <c r="H34" i="1"/>
  <c r="I33" i="1"/>
  <c r="H2925" i="1"/>
  <c r="I2924" i="1"/>
  <c r="H2773" i="1"/>
  <c r="I2772" i="1"/>
  <c r="H2617" i="1"/>
  <c r="I2616" i="1"/>
  <c r="H2203" i="1"/>
  <c r="I2202" i="1"/>
  <c r="I2162" i="1"/>
  <c r="H2163" i="1"/>
  <c r="I2126" i="1"/>
  <c r="H2127" i="1"/>
  <c r="H1666" i="1"/>
  <c r="I1665" i="1"/>
  <c r="H1516" i="1"/>
  <c r="I1515" i="1"/>
  <c r="H1330" i="1"/>
  <c r="I1330" i="1" s="1"/>
  <c r="I1329" i="1"/>
  <c r="H909" i="1"/>
  <c r="I908" i="1"/>
  <c r="H873" i="1"/>
  <c r="I872" i="1"/>
  <c r="H416" i="1"/>
  <c r="I415" i="1"/>
  <c r="H266" i="1"/>
  <c r="I266" i="1" s="1"/>
  <c r="I265" i="1"/>
  <c r="H108" i="1"/>
  <c r="I107" i="1"/>
  <c r="LB26" i="2"/>
  <c r="MN26" i="2"/>
  <c r="NY26" i="2"/>
  <c r="JO26" i="2"/>
  <c r="JP8" i="2"/>
  <c r="AV26" i="2"/>
  <c r="J32" i="2"/>
  <c r="DT29" i="2"/>
  <c r="ID14" i="2"/>
  <c r="GR32" i="2"/>
  <c r="FF11" i="2"/>
  <c r="NZ5" i="2"/>
  <c r="CH26" i="2"/>
  <c r="CH8" i="2"/>
  <c r="CH32" i="2"/>
  <c r="AV8" i="2"/>
  <c r="FF26" i="2"/>
  <c r="DT23" i="2"/>
  <c r="FF32" i="2"/>
  <c r="JP11" i="2"/>
  <c r="CH5" i="2"/>
  <c r="CH11" i="2"/>
  <c r="DT5" i="2"/>
  <c r="MN23" i="2"/>
  <c r="DT8" i="2"/>
  <c r="J5" i="2"/>
  <c r="AV32" i="2"/>
  <c r="ID32" i="2"/>
  <c r="AV11" i="2"/>
  <c r="MN5" i="2"/>
  <c r="AV14" i="2"/>
  <c r="ID11" i="2"/>
  <c r="LB8" i="2"/>
  <c r="J29" i="2"/>
  <c r="ID29" i="2"/>
  <c r="CH17" i="2"/>
  <c r="J23" i="2"/>
  <c r="CH14" i="2"/>
  <c r="JP23" i="2"/>
  <c r="DT11" i="2"/>
  <c r="LB32" i="2"/>
  <c r="J17" i="2"/>
  <c r="AV29" i="2"/>
  <c r="GR14" i="2"/>
  <c r="DT32" i="2"/>
  <c r="AV17" i="2"/>
  <c r="CH29" i="2"/>
  <c r="JP14" i="2"/>
  <c r="LB14" i="2"/>
  <c r="JP32" i="2"/>
  <c r="GR29" i="2"/>
  <c r="NZ14" i="2"/>
  <c r="MN17" i="2"/>
  <c r="J8" i="2"/>
  <c r="GR23" i="2"/>
  <c r="JP29" i="2"/>
  <c r="DT14" i="2"/>
  <c r="AV23" i="2"/>
  <c r="DT26" i="2"/>
  <c r="DT17" i="2"/>
  <c r="MN32" i="2"/>
  <c r="FF17" i="2"/>
  <c r="MN14" i="2"/>
  <c r="FF29" i="2"/>
  <c r="LB29" i="2"/>
  <c r="J14" i="2"/>
  <c r="GR26" i="2"/>
  <c r="FF23" i="2"/>
  <c r="ID5" i="2"/>
  <c r="ID26" i="2"/>
  <c r="ID17" i="2"/>
  <c r="LB17" i="2"/>
  <c r="GR17" i="2"/>
  <c r="J26" i="2"/>
  <c r="NZ23" i="2"/>
  <c r="MN11" i="2"/>
  <c r="JP17" i="2"/>
  <c r="ID23" i="2"/>
  <c r="GR11" i="2"/>
  <c r="AV5" i="2"/>
  <c r="MN8" i="2"/>
  <c r="NZ17" i="2"/>
  <c r="LB23" i="2"/>
  <c r="ID8" i="2"/>
  <c r="LB11" i="2"/>
  <c r="CH23" i="2"/>
  <c r="NZ8" i="2"/>
  <c r="NZ11" i="2"/>
  <c r="FF8" i="2"/>
  <c r="J11" i="2"/>
  <c r="GR8" i="2"/>
  <c r="FF5" i="2"/>
  <c r="GR5" i="2"/>
  <c r="NZ32" i="2"/>
  <c r="FF14" i="2"/>
  <c r="NY11" i="2"/>
  <c r="I8" i="2"/>
  <c r="I5" i="2"/>
  <c r="H71" i="1" l="1"/>
  <c r="I70" i="1"/>
  <c r="H35" i="1"/>
  <c r="I34" i="1"/>
  <c r="H2926" i="1"/>
  <c r="I2926" i="1" s="1"/>
  <c r="I2925" i="1"/>
  <c r="H2774" i="1"/>
  <c r="I2774" i="1" s="1"/>
  <c r="I2773" i="1"/>
  <c r="H2618" i="1"/>
  <c r="I2617" i="1"/>
  <c r="H2204" i="1"/>
  <c r="I2204" i="1" s="1"/>
  <c r="I2203" i="1"/>
  <c r="I2163" i="1"/>
  <c r="H2164" i="1"/>
  <c r="H2128" i="1"/>
  <c r="I2128" i="1" s="1"/>
  <c r="I2127" i="1"/>
  <c r="H1667" i="1"/>
  <c r="I1666" i="1"/>
  <c r="H1517" i="1"/>
  <c r="I1516" i="1"/>
  <c r="H910" i="1"/>
  <c r="I909" i="1"/>
  <c r="I873" i="1"/>
  <c r="H874" i="1"/>
  <c r="I874" i="1" s="1"/>
  <c r="H417" i="1"/>
  <c r="I416" i="1"/>
  <c r="H109" i="1"/>
  <c r="I108" i="1"/>
  <c r="NZ26" i="2"/>
  <c r="LC26" i="2"/>
  <c r="MO26" i="2"/>
  <c r="JP26" i="2"/>
  <c r="AW17" i="2"/>
  <c r="OA29" i="2"/>
  <c r="AW29" i="2"/>
  <c r="AW32" i="2"/>
  <c r="GS11" i="2"/>
  <c r="GS17" i="2"/>
  <c r="GS26" i="2"/>
  <c r="AW26" i="2"/>
  <c r="CI17" i="2"/>
  <c r="IE23" i="2"/>
  <c r="DU32" i="2"/>
  <c r="IE29" i="2"/>
  <c r="K23" i="2"/>
  <c r="CI32" i="2"/>
  <c r="JQ29" i="2"/>
  <c r="LC17" i="2"/>
  <c r="MO11" i="2"/>
  <c r="FG14" i="2"/>
  <c r="JQ17" i="2"/>
  <c r="GS14" i="2"/>
  <c r="DU29" i="2"/>
  <c r="IE11" i="2"/>
  <c r="MO23" i="2"/>
  <c r="K32" i="2"/>
  <c r="OA14" i="2"/>
  <c r="CI26" i="2"/>
  <c r="DU5" i="2"/>
  <c r="GS32" i="2"/>
  <c r="MO8" i="2"/>
  <c r="GS8" i="2"/>
  <c r="K29" i="2"/>
  <c r="AW14" i="2"/>
  <c r="FG23" i="2"/>
  <c r="OA17" i="2"/>
  <c r="IE32" i="2"/>
  <c r="FG11" i="2"/>
  <c r="AW8" i="2"/>
  <c r="DU11" i="2"/>
  <c r="OA8" i="2"/>
  <c r="AW11" i="2"/>
  <c r="CI14" i="2"/>
  <c r="IE26" i="2"/>
  <c r="IE14" i="2"/>
  <c r="K26" i="2"/>
  <c r="DU14" i="2"/>
  <c r="MO5" i="2"/>
  <c r="AW5" i="2"/>
  <c r="FG26" i="2"/>
  <c r="CI5" i="2"/>
  <c r="GS5" i="2"/>
  <c r="DU8" i="2"/>
  <c r="OA5" i="2"/>
  <c r="JQ11" i="2"/>
  <c r="FG17" i="2"/>
  <c r="DU23" i="2"/>
  <c r="CI29" i="2"/>
  <c r="CI23" i="2"/>
  <c r="K17" i="2"/>
  <c r="DU26" i="2"/>
  <c r="DU17" i="2"/>
  <c r="GS29" i="2"/>
  <c r="MO29" i="2"/>
  <c r="K8" i="2"/>
  <c r="MO17" i="2"/>
  <c r="K14" i="2"/>
  <c r="OA23" i="2"/>
  <c r="FG32" i="2"/>
  <c r="IE8" i="2"/>
  <c r="IE17" i="2"/>
  <c r="CI8" i="2"/>
  <c r="LC32" i="2"/>
  <c r="FG5" i="2"/>
  <c r="FG8" i="2"/>
  <c r="LC11" i="2"/>
  <c r="K11" i="2"/>
  <c r="JQ23" i="2"/>
  <c r="MO32" i="2"/>
  <c r="LC29" i="2"/>
  <c r="LC5" i="2"/>
  <c r="CI11" i="2"/>
  <c r="JQ14" i="2"/>
  <c r="MO14" i="2"/>
  <c r="IE5" i="2"/>
  <c r="LC8" i="2"/>
  <c r="LC14" i="2"/>
  <c r="JQ32" i="2"/>
  <c r="AW23" i="2"/>
  <c r="OA32" i="2"/>
  <c r="GS23" i="2"/>
  <c r="FG29" i="2"/>
  <c r="LC23" i="2"/>
  <c r="JQ8" i="2"/>
  <c r="H36" i="1" l="1"/>
  <c r="I35" i="1"/>
  <c r="H72" i="1"/>
  <c r="I71" i="1"/>
  <c r="H2619" i="1"/>
  <c r="I2618" i="1"/>
  <c r="I2164" i="1"/>
  <c r="H2165" i="1"/>
  <c r="H1668" i="1"/>
  <c r="I1667" i="1"/>
  <c r="H1518" i="1"/>
  <c r="I1517" i="1"/>
  <c r="I910" i="1"/>
  <c r="H911" i="1"/>
  <c r="H418" i="1"/>
  <c r="I418" i="1" s="1"/>
  <c r="I417" i="1"/>
  <c r="H110" i="1"/>
  <c r="I109" i="1"/>
  <c r="LD26" i="2"/>
  <c r="MP26" i="2"/>
  <c r="OA26" i="2"/>
  <c r="JQ26" i="2"/>
  <c r="L11" i="2"/>
  <c r="CJ11" i="2"/>
  <c r="DV17" i="2"/>
  <c r="IF8" i="2"/>
  <c r="OB17" i="2"/>
  <c r="CJ5" i="2"/>
  <c r="GT26" i="2"/>
  <c r="GT14" i="2"/>
  <c r="LD14" i="2"/>
  <c r="LD32" i="2"/>
  <c r="IF11" i="2"/>
  <c r="AX17" i="2"/>
  <c r="FH32" i="2"/>
  <c r="CJ8" i="2"/>
  <c r="CJ23" i="2"/>
  <c r="CJ26" i="2"/>
  <c r="DV23" i="2"/>
  <c r="FH11" i="2"/>
  <c r="AX29" i="2"/>
  <c r="FH8" i="2"/>
  <c r="GT23" i="2"/>
  <c r="CJ17" i="2"/>
  <c r="MP11" i="2"/>
  <c r="DV32" i="2"/>
  <c r="AX26" i="2"/>
  <c r="DV11" i="2"/>
  <c r="FH14" i="2"/>
  <c r="LD11" i="2"/>
  <c r="DV14" i="2"/>
  <c r="L8" i="2"/>
  <c r="AX23" i="2"/>
  <c r="AX5" i="2"/>
  <c r="LD5" i="2"/>
  <c r="JR29" i="2"/>
  <c r="AX32" i="2"/>
  <c r="FH23" i="2"/>
  <c r="GT32" i="2"/>
  <c r="L29" i="2"/>
  <c r="OB14" i="2"/>
  <c r="CJ32" i="2"/>
  <c r="MP14" i="2"/>
  <c r="JR23" i="2"/>
  <c r="GT17" i="2"/>
  <c r="FH17" i="2"/>
  <c r="MP23" i="2"/>
  <c r="JR11" i="2"/>
  <c r="DV26" i="2"/>
  <c r="FH26" i="2"/>
  <c r="AX14" i="2"/>
  <c r="IF23" i="2"/>
  <c r="DV5" i="2"/>
  <c r="IF29" i="2"/>
  <c r="CJ14" i="2"/>
  <c r="GT8" i="2"/>
  <c r="L23" i="2"/>
  <c r="LD8" i="2"/>
  <c r="MP17" i="2"/>
  <c r="GT5" i="2"/>
  <c r="IF17" i="2"/>
  <c r="LD29" i="2"/>
  <c r="IF5" i="2"/>
  <c r="DV8" i="2"/>
  <c r="OB23" i="2"/>
  <c r="CJ29" i="2"/>
  <c r="LD23" i="2"/>
  <c r="GT29" i="2"/>
  <c r="MP5" i="2"/>
  <c r="L26" i="2"/>
  <c r="AX8" i="2"/>
  <c r="LD17" i="2"/>
  <c r="FH29" i="2"/>
  <c r="JR17" i="2"/>
  <c r="MP29" i="2"/>
  <c r="OB29" i="2"/>
  <c r="DV29" i="2"/>
  <c r="GT11" i="2"/>
  <c r="MP8" i="2"/>
  <c r="L17" i="2"/>
  <c r="L14" i="2"/>
  <c r="L32" i="2"/>
  <c r="JR14" i="2"/>
  <c r="JR32" i="2"/>
  <c r="OB5" i="2"/>
  <c r="IF14" i="2"/>
  <c r="IF32" i="2"/>
  <c r="AX11" i="2"/>
  <c r="FH5" i="2"/>
  <c r="L5" i="2"/>
  <c r="OB11" i="2"/>
  <c r="IF26" i="2"/>
  <c r="OA11" i="2"/>
  <c r="K5" i="2"/>
  <c r="H37" i="1" l="1"/>
  <c r="I36" i="1"/>
  <c r="I72" i="1"/>
  <c r="H73" i="1"/>
  <c r="H2620" i="1"/>
  <c r="I2619" i="1"/>
  <c r="H2166" i="1"/>
  <c r="I2166" i="1" s="1"/>
  <c r="I2165" i="1"/>
  <c r="H1669" i="1"/>
  <c r="I1668" i="1"/>
  <c r="H1519" i="1"/>
  <c r="I1518" i="1"/>
  <c r="H912" i="1"/>
  <c r="I912" i="1" s="1"/>
  <c r="I911" i="1"/>
  <c r="H111" i="1"/>
  <c r="I110" i="1"/>
  <c r="OB26" i="2"/>
  <c r="MQ26" i="2"/>
  <c r="LE26" i="2"/>
  <c r="JR26" i="2"/>
  <c r="DW23" i="2"/>
  <c r="FI8" i="2"/>
  <c r="CK23" i="2"/>
  <c r="OC17" i="2"/>
  <c r="IG26" i="2"/>
  <c r="JS32" i="2"/>
  <c r="IG5" i="2"/>
  <c r="JS11" i="2"/>
  <c r="MQ17" i="2"/>
  <c r="OC5" i="2"/>
  <c r="M32" i="2"/>
  <c r="DW14" i="2"/>
  <c r="AY23" i="2"/>
  <c r="LE11" i="2"/>
  <c r="CK14" i="2"/>
  <c r="DW8" i="2"/>
  <c r="IG23" i="2"/>
  <c r="CK11" i="2"/>
  <c r="GU26" i="2"/>
  <c r="DW29" i="2"/>
  <c r="OC8" i="2"/>
  <c r="M26" i="2"/>
  <c r="JS17" i="2"/>
  <c r="OC32" i="2"/>
  <c r="M5" i="2"/>
  <c r="GU23" i="2"/>
  <c r="AY32" i="2"/>
  <c r="JS14" i="2"/>
  <c r="AY8" i="2"/>
  <c r="IG11" i="2"/>
  <c r="JS23" i="2"/>
  <c r="AY17" i="2"/>
  <c r="DW17" i="2"/>
  <c r="FI11" i="2"/>
  <c r="FI17" i="2"/>
  <c r="DW26" i="2"/>
  <c r="CK8" i="2"/>
  <c r="DW5" i="2"/>
  <c r="CK26" i="2"/>
  <c r="GU32" i="2"/>
  <c r="FI14" i="2"/>
  <c r="FI29" i="2"/>
  <c r="CK5" i="2"/>
  <c r="M29" i="2"/>
  <c r="GU8" i="2"/>
  <c r="MQ11" i="2"/>
  <c r="MQ29" i="2"/>
  <c r="IG8" i="2"/>
  <c r="DW11" i="2"/>
  <c r="GU11" i="2"/>
  <c r="GU17" i="2"/>
  <c r="MQ23" i="2"/>
  <c r="DW32" i="2"/>
  <c r="LE23" i="2"/>
  <c r="LE32" i="2"/>
  <c r="CK17" i="2"/>
  <c r="AY5" i="2"/>
  <c r="OC23" i="2"/>
  <c r="OC11" i="2"/>
  <c r="LE14" i="2"/>
  <c r="M8" i="2"/>
  <c r="AY14" i="2"/>
  <c r="FI26" i="2"/>
  <c r="M11" i="2"/>
  <c r="M17" i="2"/>
  <c r="M23" i="2"/>
  <c r="MQ32" i="2"/>
  <c r="AY29" i="2"/>
  <c r="IG29" i="2"/>
  <c r="CK32" i="2"/>
  <c r="MQ14" i="2"/>
  <c r="JS8" i="2"/>
  <c r="JS29" i="2"/>
  <c r="GU14" i="2"/>
  <c r="FI32" i="2"/>
  <c r="FI5" i="2"/>
  <c r="AY26" i="2"/>
  <c r="IG17" i="2"/>
  <c r="LE17" i="2"/>
  <c r="GU29" i="2"/>
  <c r="MQ5" i="2"/>
  <c r="OC29" i="2"/>
  <c r="OC14" i="2"/>
  <c r="MQ8" i="2"/>
  <c r="LE29" i="2"/>
  <c r="AY11" i="2"/>
  <c r="IG14" i="2"/>
  <c r="IG32" i="2"/>
  <c r="GU5" i="2"/>
  <c r="FI23" i="2"/>
  <c r="M14" i="2"/>
  <c r="LE8" i="2"/>
  <c r="CK29" i="2"/>
  <c r="H38" i="1" l="1"/>
  <c r="I38" i="1" s="1"/>
  <c r="I37" i="1"/>
  <c r="H74" i="1"/>
  <c r="I73" i="1"/>
  <c r="I2620" i="1"/>
  <c r="H2621" i="1"/>
  <c r="H1670" i="1"/>
  <c r="I1669" i="1"/>
  <c r="H1520" i="1"/>
  <c r="I1520" i="1" s="1"/>
  <c r="I1519" i="1"/>
  <c r="H112" i="1"/>
  <c r="I111" i="1"/>
  <c r="OC26" i="2"/>
  <c r="MR26" i="2"/>
  <c r="LF26" i="2"/>
  <c r="JS26" i="2"/>
  <c r="MR17" i="2"/>
  <c r="CL17" i="2"/>
  <c r="N5" i="2"/>
  <c r="LF11" i="2"/>
  <c r="AZ29" i="2"/>
  <c r="N29" i="2"/>
  <c r="DX23" i="2"/>
  <c r="MR29" i="2"/>
  <c r="JT32" i="2"/>
  <c r="AZ32" i="2"/>
  <c r="JT29" i="2"/>
  <c r="CL29" i="2"/>
  <c r="IH26" i="2"/>
  <c r="GV17" i="2"/>
  <c r="DX26" i="2"/>
  <c r="N14" i="2"/>
  <c r="CL5" i="2"/>
  <c r="CL8" i="2"/>
  <c r="GV23" i="2"/>
  <c r="DX29" i="2"/>
  <c r="OD5" i="2"/>
  <c r="CL14" i="2"/>
  <c r="FJ29" i="2"/>
  <c r="AZ23" i="2"/>
  <c r="LF23" i="2"/>
  <c r="N8" i="2"/>
  <c r="CL26" i="2"/>
  <c r="FJ17" i="2"/>
  <c r="OD17" i="2"/>
  <c r="IH5" i="2"/>
  <c r="CL23" i="2"/>
  <c r="MR8" i="2"/>
  <c r="LF8" i="2"/>
  <c r="IH29" i="2"/>
  <c r="GV29" i="2"/>
  <c r="JT11" i="2"/>
  <c r="LF17" i="2"/>
  <c r="N23" i="2"/>
  <c r="DX8" i="2"/>
  <c r="CL32" i="2"/>
  <c r="LF29" i="2"/>
  <c r="GV8" i="2"/>
  <c r="IH11" i="2"/>
  <c r="AZ5" i="2"/>
  <c r="JT8" i="2"/>
  <c r="OD23" i="2"/>
  <c r="IH17" i="2"/>
  <c r="GV14" i="2"/>
  <c r="LF5" i="2"/>
  <c r="AZ8" i="2"/>
  <c r="GV11" i="2"/>
  <c r="N17" i="2"/>
  <c r="FJ23" i="2"/>
  <c r="AZ14" i="2"/>
  <c r="N26" i="2"/>
  <c r="IH14" i="2"/>
  <c r="GV5" i="2"/>
  <c r="CL11" i="2"/>
  <c r="MR23" i="2"/>
  <c r="FJ5" i="2"/>
  <c r="DX14" i="2"/>
  <c r="DX32" i="2"/>
  <c r="FJ14" i="2"/>
  <c r="OD11" i="2"/>
  <c r="DX11" i="2"/>
  <c r="N32" i="2"/>
  <c r="DX17" i="2"/>
  <c r="JT17" i="2"/>
  <c r="DX5" i="2"/>
  <c r="IH23" i="2"/>
  <c r="GV26" i="2"/>
  <c r="LF14" i="2"/>
  <c r="IH32" i="2"/>
  <c r="AZ11" i="2"/>
  <c r="OD14" i="2"/>
  <c r="AZ26" i="2"/>
  <c r="MR14" i="2"/>
  <c r="FJ32" i="2"/>
  <c r="GV32" i="2"/>
  <c r="JT14" i="2"/>
  <c r="MR5" i="2"/>
  <c r="IH8" i="2"/>
  <c r="AZ17" i="2"/>
  <c r="LF32" i="2"/>
  <c r="FJ26" i="2"/>
  <c r="OD8" i="2"/>
  <c r="JT23" i="2"/>
  <c r="FJ8" i="2"/>
  <c r="MR11" i="2"/>
  <c r="OD29" i="2"/>
  <c r="N11" i="2"/>
  <c r="FJ11" i="2"/>
  <c r="H75" i="1" l="1"/>
  <c r="I74" i="1"/>
  <c r="H2622" i="1"/>
  <c r="I2622" i="1" s="1"/>
  <c r="I2621" i="1"/>
  <c r="H1671" i="1"/>
  <c r="I1670" i="1"/>
  <c r="H113" i="1"/>
  <c r="I112" i="1"/>
  <c r="OD26" i="2"/>
  <c r="LG26" i="2"/>
  <c r="MS26" i="2"/>
  <c r="JT26" i="2"/>
  <c r="FK11" i="2"/>
  <c r="LG17" i="2"/>
  <c r="DY17" i="2"/>
  <c r="MS5" i="2"/>
  <c r="OE23" i="2"/>
  <c r="DY23" i="2"/>
  <c r="II17" i="2"/>
  <c r="BA14" i="2"/>
  <c r="FK23" i="2"/>
  <c r="GW26" i="2"/>
  <c r="DY26" i="2"/>
  <c r="MS17" i="2"/>
  <c r="OE29" i="2"/>
  <c r="CM5" i="2"/>
  <c r="MS29" i="2"/>
  <c r="MS14" i="2"/>
  <c r="BA32" i="2"/>
  <c r="JU32" i="2"/>
  <c r="JU8" i="2"/>
  <c r="CM29" i="2"/>
  <c r="MS11" i="2"/>
  <c r="II26" i="2"/>
  <c r="CM8" i="2"/>
  <c r="BA8" i="2"/>
  <c r="LG29" i="2"/>
  <c r="GW32" i="2"/>
  <c r="BA17" i="2"/>
  <c r="BA5" i="2"/>
  <c r="LG8" i="2"/>
  <c r="JU29" i="2"/>
  <c r="DY32" i="2"/>
  <c r="II11" i="2"/>
  <c r="GW29" i="2"/>
  <c r="CM23" i="2"/>
  <c r="OE32" i="2"/>
  <c r="GW14" i="2"/>
  <c r="FK8" i="2"/>
  <c r="II29" i="2"/>
  <c r="OE14" i="2"/>
  <c r="DY8" i="2"/>
  <c r="DY29" i="2"/>
  <c r="FK29" i="2"/>
  <c r="CM17" i="2"/>
  <c r="CM14" i="2"/>
  <c r="O8" i="2"/>
  <c r="DY11" i="2"/>
  <c r="II23" i="2"/>
  <c r="CM26" i="2"/>
  <c r="LG5" i="2"/>
  <c r="FK17" i="2"/>
  <c r="II5" i="2"/>
  <c r="O32" i="2"/>
  <c r="GW5" i="2"/>
  <c r="JU23" i="2"/>
  <c r="O5" i="2"/>
  <c r="JU17" i="2"/>
  <c r="O23" i="2"/>
  <c r="LG11" i="2"/>
  <c r="MS23" i="2"/>
  <c r="GW8" i="2"/>
  <c r="OE11" i="2"/>
  <c r="LG32" i="2"/>
  <c r="GW17" i="2"/>
  <c r="OE5" i="2"/>
  <c r="CM11" i="2"/>
  <c r="JU14" i="2"/>
  <c r="O17" i="2"/>
  <c r="DY5" i="2"/>
  <c r="BA29" i="2"/>
  <c r="II32" i="2"/>
  <c r="FK5" i="2"/>
  <c r="BA26" i="2"/>
  <c r="FK26" i="2"/>
  <c r="OE17" i="2"/>
  <c r="O14" i="2"/>
  <c r="GW11" i="2"/>
  <c r="CM32" i="2"/>
  <c r="FK32" i="2"/>
  <c r="FK14" i="2"/>
  <c r="MS32" i="2"/>
  <c r="LG14" i="2"/>
  <c r="BA23" i="2"/>
  <c r="MS8" i="2"/>
  <c r="O29" i="2"/>
  <c r="II14" i="2"/>
  <c r="DY14" i="2"/>
  <c r="II8" i="2"/>
  <c r="O11" i="2"/>
  <c r="GW23" i="2"/>
  <c r="O26" i="2"/>
  <c r="BA11" i="2"/>
  <c r="H76" i="1" l="1"/>
  <c r="I76" i="1" s="1"/>
  <c r="I75" i="1"/>
  <c r="I1671" i="1"/>
  <c r="H1672" i="1"/>
  <c r="I1672" i="1" s="1"/>
  <c r="H114" i="1"/>
  <c r="I114" i="1" s="1"/>
  <c r="I113" i="1"/>
  <c r="LH26" i="2"/>
  <c r="MT26" i="2"/>
  <c r="OE26" i="2"/>
  <c r="JU26" i="2"/>
  <c r="GX32" i="2"/>
  <c r="DZ26" i="2"/>
  <c r="P11" i="2"/>
  <c r="IJ29" i="2"/>
  <c r="LH14" i="2"/>
  <c r="GX23" i="2"/>
  <c r="BB32" i="2"/>
  <c r="DZ8" i="2"/>
  <c r="BB17" i="2"/>
  <c r="CN32" i="2"/>
  <c r="IJ17" i="2"/>
  <c r="DZ11" i="2"/>
  <c r="JV32" i="2"/>
  <c r="OF23" i="2"/>
  <c r="FL5" i="2"/>
  <c r="BB8" i="2"/>
  <c r="BB5" i="2"/>
  <c r="P29" i="2"/>
  <c r="DZ14" i="2"/>
  <c r="CN29" i="2"/>
  <c r="CN17" i="2"/>
  <c r="JV8" i="2"/>
  <c r="DZ5" i="2"/>
  <c r="MT17" i="2"/>
  <c r="GX26" i="2"/>
  <c r="IJ8" i="2"/>
  <c r="CN11" i="2"/>
  <c r="MT14" i="2"/>
  <c r="JV23" i="2"/>
  <c r="FL17" i="2"/>
  <c r="BB29" i="2"/>
  <c r="GX14" i="2"/>
  <c r="MT5" i="2"/>
  <c r="OF11" i="2"/>
  <c r="LH29" i="2"/>
  <c r="P14" i="2"/>
  <c r="OF17" i="2"/>
  <c r="JV14" i="2"/>
  <c r="FL26" i="2"/>
  <c r="MT23" i="2"/>
  <c r="IJ32" i="2"/>
  <c r="BB11" i="2"/>
  <c r="FL8" i="2"/>
  <c r="IJ5" i="2"/>
  <c r="GX8" i="2"/>
  <c r="OF5" i="2"/>
  <c r="BB26" i="2"/>
  <c r="LH23" i="2"/>
  <c r="FL32" i="2"/>
  <c r="CN23" i="2"/>
  <c r="GX17" i="2"/>
  <c r="GX5" i="2"/>
  <c r="DZ29" i="2"/>
  <c r="OF29" i="2"/>
  <c r="MT29" i="2"/>
  <c r="BB14" i="2"/>
  <c r="FL23" i="2"/>
  <c r="LH32" i="2"/>
  <c r="LH8" i="2"/>
  <c r="LH5" i="2"/>
  <c r="LH17" i="2"/>
  <c r="CN5" i="2"/>
  <c r="IJ11" i="2"/>
  <c r="GX11" i="2"/>
  <c r="IJ23" i="2"/>
  <c r="CN8" i="2"/>
  <c r="P5" i="2"/>
  <c r="JV17" i="2"/>
  <c r="DZ23" i="2"/>
  <c r="JV29" i="2"/>
  <c r="FL14" i="2"/>
  <c r="DZ32" i="2"/>
  <c r="P8" i="2"/>
  <c r="P17" i="2"/>
  <c r="FL11" i="2"/>
  <c r="FL29" i="2"/>
  <c r="OF14" i="2"/>
  <c r="CN26" i="2"/>
  <c r="MT11" i="2"/>
  <c r="BB23" i="2"/>
  <c r="P32" i="2"/>
  <c r="GX29" i="2"/>
  <c r="IJ14" i="2"/>
  <c r="DZ17" i="2"/>
  <c r="JV11" i="2"/>
  <c r="CN14" i="2"/>
  <c r="P23" i="2"/>
  <c r="P26" i="2"/>
  <c r="LH11" i="2"/>
  <c r="IJ26" i="2"/>
  <c r="OF26" i="2" l="1"/>
  <c r="LI26" i="2"/>
  <c r="MU26" i="2"/>
  <c r="JV26" i="2"/>
  <c r="Q8" i="2"/>
  <c r="GY26" i="2"/>
  <c r="LI8" i="2"/>
  <c r="JW17" i="2"/>
  <c r="JW29" i="2"/>
  <c r="Q11" i="2"/>
  <c r="OG5" i="2"/>
  <c r="BC17" i="2"/>
  <c r="LI14" i="2"/>
  <c r="Q32" i="2"/>
  <c r="GY32" i="2"/>
  <c r="JW23" i="2"/>
  <c r="IK14" i="2"/>
  <c r="MU29" i="2"/>
  <c r="JW8" i="2"/>
  <c r="BC32" i="2"/>
  <c r="CO32" i="2"/>
  <c r="EA23" i="2"/>
  <c r="IK32" i="2"/>
  <c r="GY29" i="2"/>
  <c r="BC14" i="2"/>
  <c r="FM26" i="2"/>
  <c r="CO26" i="2"/>
  <c r="LI32" i="2"/>
  <c r="IK23" i="2"/>
  <c r="IK8" i="2"/>
  <c r="BC23" i="2"/>
  <c r="MU17" i="2"/>
  <c r="Q29" i="2"/>
  <c r="BC11" i="2"/>
  <c r="FM5" i="2"/>
  <c r="OG17" i="2"/>
  <c r="BC5" i="2"/>
  <c r="Q5" i="2"/>
  <c r="Q14" i="2"/>
  <c r="FM17" i="2"/>
  <c r="IK26" i="2"/>
  <c r="BC29" i="2"/>
  <c r="EA11" i="2"/>
  <c r="EA14" i="2"/>
  <c r="IK5" i="2"/>
  <c r="Q26" i="2"/>
  <c r="CO8" i="2"/>
  <c r="GY23" i="2"/>
  <c r="CO14" i="2"/>
  <c r="JW32" i="2"/>
  <c r="CO29" i="2"/>
  <c r="LI11" i="2"/>
  <c r="GY8" i="2"/>
  <c r="CO5" i="2"/>
  <c r="OG29" i="2"/>
  <c r="IK29" i="2"/>
  <c r="GY11" i="2"/>
  <c r="JW14" i="2"/>
  <c r="EA26" i="2"/>
  <c r="EA8" i="2"/>
  <c r="EA32" i="2"/>
  <c r="OG32" i="2"/>
  <c r="IK17" i="2"/>
  <c r="FM32" i="2"/>
  <c r="MU14" i="2"/>
  <c r="MU23" i="2"/>
  <c r="MU11" i="2"/>
  <c r="GY14" i="2"/>
  <c r="MU32" i="2"/>
  <c r="Q23" i="2"/>
  <c r="FM11" i="2"/>
  <c r="EA29" i="2"/>
  <c r="GY17" i="2"/>
  <c r="BC8" i="2"/>
  <c r="Q17" i="2"/>
  <c r="FM29" i="2"/>
  <c r="FM14" i="2"/>
  <c r="FM23" i="2"/>
  <c r="LI29" i="2"/>
  <c r="BC26" i="2"/>
  <c r="OG8" i="2"/>
  <c r="LI23" i="2"/>
  <c r="OG11" i="2"/>
  <c r="OG14" i="2"/>
  <c r="CO11" i="2"/>
  <c r="OG23" i="2"/>
  <c r="MU8" i="2"/>
  <c r="CO17" i="2"/>
  <c r="GY5" i="2"/>
  <c r="EA17" i="2"/>
  <c r="JW11" i="2"/>
  <c r="EA5" i="2"/>
  <c r="LI17" i="2"/>
  <c r="FM8" i="2"/>
  <c r="CO23" i="2"/>
  <c r="IK11" i="2"/>
  <c r="LJ26" i="2" l="1"/>
  <c r="MV26" i="2"/>
  <c r="OG26" i="2"/>
  <c r="JW26" i="2"/>
  <c r="EB26" i="2"/>
  <c r="GZ14" i="2"/>
  <c r="MV29" i="2"/>
  <c r="BD14" i="2"/>
  <c r="OH5" i="2"/>
  <c r="FN26" i="2"/>
  <c r="IL17" i="2"/>
  <c r="CP8" i="2"/>
  <c r="LJ29" i="2"/>
  <c r="GZ8" i="2"/>
  <c r="IL26" i="2"/>
  <c r="MV14" i="2"/>
  <c r="BD11" i="2"/>
  <c r="JX29" i="2"/>
  <c r="FN14" i="2"/>
  <c r="R23" i="2"/>
  <c r="FN8" i="2"/>
  <c r="R8" i="2"/>
  <c r="CP5" i="2"/>
  <c r="FN5" i="2"/>
  <c r="R26" i="2"/>
  <c r="R5" i="2"/>
  <c r="CP26" i="2"/>
  <c r="R11" i="2"/>
  <c r="EB17" i="2"/>
  <c r="FN32" i="2"/>
  <c r="GZ26" i="2"/>
  <c r="LJ17" i="2"/>
  <c r="FN17" i="2"/>
  <c r="EB23" i="2"/>
  <c r="BD32" i="2"/>
  <c r="IL11" i="2"/>
  <c r="OH17" i="2"/>
  <c r="JX23" i="2"/>
  <c r="BD23" i="2"/>
  <c r="R14" i="2"/>
  <c r="JX14" i="2"/>
  <c r="GZ29" i="2"/>
  <c r="IL14" i="2"/>
  <c r="BD17" i="2"/>
  <c r="EB5" i="2"/>
  <c r="JX8" i="2"/>
  <c r="GZ11" i="2"/>
  <c r="FN29" i="2"/>
  <c r="OH14" i="2"/>
  <c r="R32" i="2"/>
  <c r="CP11" i="2"/>
  <c r="OH8" i="2"/>
  <c r="MV23" i="2"/>
  <c r="FN23" i="2"/>
  <c r="BD26" i="2"/>
  <c r="CP29" i="2"/>
  <c r="MV8" i="2"/>
  <c r="CP32" i="2"/>
  <c r="IL29" i="2"/>
  <c r="LJ14" i="2"/>
  <c r="MV5" i="2"/>
  <c r="OH32" i="2"/>
  <c r="CP14" i="2"/>
  <c r="EB11" i="2"/>
  <c r="BD8" i="2"/>
  <c r="EB8" i="2"/>
  <c r="IL23" i="2"/>
  <c r="BD29" i="2"/>
  <c r="LJ8" i="2"/>
  <c r="GZ32" i="2"/>
  <c r="FN11" i="2"/>
  <c r="GZ23" i="2"/>
  <c r="GZ17" i="2"/>
  <c r="MV11" i="2"/>
  <c r="IL5" i="2"/>
  <c r="MV32" i="2"/>
  <c r="CP23" i="2"/>
  <c r="EB32" i="2"/>
  <c r="JX32" i="2"/>
  <c r="LJ11" i="2"/>
  <c r="CP17" i="2"/>
  <c r="R17" i="2"/>
  <c r="BD5" i="2"/>
  <c r="EB29" i="2"/>
  <c r="JX17" i="2"/>
  <c r="LJ32" i="2"/>
  <c r="OH29" i="2"/>
  <c r="IL8" i="2"/>
  <c r="R29" i="2"/>
  <c r="EB14" i="2"/>
  <c r="GZ5" i="2"/>
  <c r="IL32" i="2"/>
  <c r="MV17" i="2"/>
  <c r="OH26" i="2" l="1"/>
  <c r="LK26" i="2"/>
  <c r="MW26" i="2"/>
  <c r="JX26" i="2"/>
  <c r="HA11" i="2"/>
  <c r="BE14" i="2"/>
  <c r="LK14" i="2"/>
  <c r="MW32" i="2"/>
  <c r="OI29" i="2"/>
  <c r="MW11" i="2"/>
  <c r="MW8" i="2"/>
  <c r="IM29" i="2"/>
  <c r="MW29" i="2"/>
  <c r="HA5" i="2"/>
  <c r="FO5" i="2"/>
  <c r="BE11" i="2"/>
  <c r="LK8" i="2"/>
  <c r="EC11" i="2"/>
  <c r="BE26" i="2"/>
  <c r="EC8" i="2"/>
  <c r="FO29" i="2"/>
  <c r="CQ11" i="2"/>
  <c r="S26" i="2"/>
  <c r="OI11" i="2"/>
  <c r="FO26" i="2"/>
  <c r="MW14" i="2"/>
  <c r="HA26" i="2"/>
  <c r="EC26" i="2"/>
  <c r="S14" i="2"/>
  <c r="LK29" i="2"/>
  <c r="CQ29" i="2"/>
  <c r="BE8" i="2"/>
  <c r="IM5" i="2"/>
  <c r="OI5" i="2"/>
  <c r="FO17" i="2"/>
  <c r="IM26" i="2"/>
  <c r="CQ8" i="2"/>
  <c r="JY29" i="2"/>
  <c r="S17" i="2"/>
  <c r="CQ17" i="2"/>
  <c r="EC14" i="2"/>
  <c r="CQ5" i="2"/>
  <c r="IM11" i="2"/>
  <c r="JY14" i="2"/>
  <c r="MW5" i="2"/>
  <c r="CQ23" i="2"/>
  <c r="EC17" i="2"/>
  <c r="OI23" i="2"/>
  <c r="MW23" i="2"/>
  <c r="LK32" i="2"/>
  <c r="CQ14" i="2"/>
  <c r="BE29" i="2"/>
  <c r="OI17" i="2"/>
  <c r="JY23" i="2"/>
  <c r="BE32" i="2"/>
  <c r="LK11" i="2"/>
  <c r="EC29" i="2"/>
  <c r="HA14" i="2"/>
  <c r="LK5" i="2"/>
  <c r="BE5" i="2"/>
  <c r="BE23" i="2"/>
  <c r="IM17" i="2"/>
  <c r="IM14" i="2"/>
  <c r="FO14" i="2"/>
  <c r="OI14" i="2"/>
  <c r="MW17" i="2"/>
  <c r="HA23" i="2"/>
  <c r="HA32" i="2"/>
  <c r="LK17" i="2"/>
  <c r="IM32" i="2"/>
  <c r="S23" i="2"/>
  <c r="JY32" i="2"/>
  <c r="S11" i="2"/>
  <c r="JY8" i="2"/>
  <c r="JY11" i="2"/>
  <c r="S8" i="2"/>
  <c r="S5" i="2"/>
  <c r="LK23" i="2"/>
  <c r="FO23" i="2"/>
  <c r="S32" i="2"/>
  <c r="BE17" i="2"/>
  <c r="EC23" i="2"/>
  <c r="FO8" i="2"/>
  <c r="EC32" i="2"/>
  <c r="FO32" i="2"/>
  <c r="EC5" i="2"/>
  <c r="HA17" i="2"/>
  <c r="OI8" i="2"/>
  <c r="OI32" i="2"/>
  <c r="HA29" i="2"/>
  <c r="FO11" i="2"/>
  <c r="IM8" i="2"/>
  <c r="HA8" i="2"/>
  <c r="CQ26" i="2"/>
  <c r="IM23" i="2"/>
  <c r="CQ32" i="2"/>
  <c r="JY17" i="2"/>
  <c r="S29" i="2"/>
  <c r="OI26" i="2" l="1"/>
  <c r="MX26" i="2"/>
  <c r="JY26" i="2"/>
  <c r="JZ29" i="2"/>
  <c r="T23" i="2"/>
  <c r="LL11" i="2"/>
  <c r="OJ29" i="2"/>
  <c r="CR32" i="2"/>
  <c r="MX29" i="2"/>
  <c r="CR14" i="2"/>
  <c r="CR11" i="2"/>
  <c r="FP17" i="2"/>
  <c r="JZ23" i="2"/>
  <c r="IN8" i="2"/>
  <c r="LL14" i="2"/>
  <c r="ED11" i="2"/>
  <c r="BF8" i="2"/>
  <c r="T26" i="2"/>
  <c r="OJ23" i="2"/>
  <c r="OJ8" i="2"/>
  <c r="FP8" i="2"/>
  <c r="HB14" i="2"/>
  <c r="BF23" i="2"/>
  <c r="HB29" i="2"/>
  <c r="IN17" i="2"/>
  <c r="JZ14" i="2"/>
  <c r="IN11" i="2"/>
  <c r="HB32" i="2"/>
  <c r="FP23" i="2"/>
  <c r="ED5" i="2"/>
  <c r="MX5" i="2"/>
  <c r="BF29" i="2"/>
  <c r="OJ32" i="2"/>
  <c r="HB17" i="2"/>
  <c r="ED32" i="2"/>
  <c r="JZ8" i="2"/>
  <c r="ED26" i="2"/>
  <c r="CR29" i="2"/>
  <c r="FP5" i="2"/>
  <c r="MX32" i="2"/>
  <c r="MX8" i="2"/>
  <c r="BF5" i="2"/>
  <c r="ED23" i="2"/>
  <c r="OJ5" i="2"/>
  <c r="HB26" i="2"/>
  <c r="T29" i="2"/>
  <c r="OJ17" i="2"/>
  <c r="IN14" i="2"/>
  <c r="LL29" i="2"/>
  <c r="LL32" i="2"/>
  <c r="HB8" i="2"/>
  <c r="CR8" i="2"/>
  <c r="CR23" i="2"/>
  <c r="IN23" i="2"/>
  <c r="BF17" i="2"/>
  <c r="T5" i="2"/>
  <c r="ED29" i="2"/>
  <c r="CR17" i="2"/>
  <c r="IN5" i="2"/>
  <c r="FP26" i="2"/>
  <c r="MX23" i="2"/>
  <c r="CR5" i="2"/>
  <c r="ED14" i="2"/>
  <c r="T11" i="2"/>
  <c r="FP29" i="2"/>
  <c r="LL17" i="2"/>
  <c r="FP11" i="2"/>
  <c r="T32" i="2"/>
  <c r="ED17" i="2"/>
  <c r="MX17" i="2"/>
  <c r="BF26" i="2"/>
  <c r="IN32" i="2"/>
  <c r="MX11" i="2"/>
  <c r="IN26" i="2"/>
  <c r="T8" i="2"/>
  <c r="LL23" i="2"/>
  <c r="IN29" i="2"/>
  <c r="LL5" i="2"/>
  <c r="BF11" i="2"/>
  <c r="LL8" i="2"/>
  <c r="MX14" i="2"/>
  <c r="JZ32" i="2"/>
  <c r="FP14" i="2"/>
  <c r="JZ11" i="2"/>
  <c r="OJ11" i="2"/>
  <c r="OJ14" i="2"/>
  <c r="HB11" i="2"/>
  <c r="ED8" i="2"/>
  <c r="HB5" i="2"/>
  <c r="JZ17" i="2"/>
  <c r="BF32" i="2"/>
  <c r="CR26" i="2"/>
  <c r="BF14" i="2"/>
  <c r="FP32" i="2"/>
  <c r="HB23" i="2"/>
  <c r="T17" i="2"/>
  <c r="T14" i="2"/>
  <c r="OJ26" i="2" l="1"/>
  <c r="MY26" i="2"/>
  <c r="JZ26" i="2"/>
  <c r="LL26" i="2"/>
  <c r="HC29" i="2"/>
  <c r="BG26" i="2"/>
  <c r="EE8" i="2"/>
  <c r="BG5" i="2"/>
  <c r="OK8" i="2"/>
  <c r="OK23" i="2"/>
  <c r="FQ17" i="2"/>
  <c r="U11" i="2"/>
  <c r="U29" i="2"/>
  <c r="U14" i="2"/>
  <c r="U17" i="2"/>
  <c r="CS5" i="2"/>
  <c r="IO32" i="2"/>
  <c r="EE26" i="2"/>
  <c r="IO17" i="2"/>
  <c r="IO5" i="2"/>
  <c r="EE17" i="2"/>
  <c r="HC11" i="2"/>
  <c r="CS17" i="2"/>
  <c r="LM32" i="2"/>
  <c r="HC14" i="2"/>
  <c r="FQ14" i="2"/>
  <c r="EE29" i="2"/>
  <c r="EE14" i="2"/>
  <c r="EE23" i="2"/>
  <c r="HC32" i="2"/>
  <c r="LM17" i="2"/>
  <c r="MY11" i="2"/>
  <c r="FQ8" i="2"/>
  <c r="BG23" i="2"/>
  <c r="BG8" i="2"/>
  <c r="BG32" i="2"/>
  <c r="LM5" i="2"/>
  <c r="OK29" i="2"/>
  <c r="OK14" i="2"/>
  <c r="IO29" i="2"/>
  <c r="HC8" i="2"/>
  <c r="EE32" i="2"/>
  <c r="OK11" i="2"/>
  <c r="HC23" i="2"/>
  <c r="MY29" i="2"/>
  <c r="IO14" i="2"/>
  <c r="U5" i="2"/>
  <c r="MY32" i="2"/>
  <c r="FQ5" i="2"/>
  <c r="U8" i="2"/>
  <c r="MY17" i="2"/>
  <c r="FQ26" i="2"/>
  <c r="LM29" i="2"/>
  <c r="CS14" i="2"/>
  <c r="LM11" i="2"/>
  <c r="BG11" i="2"/>
  <c r="HC5" i="2"/>
  <c r="EE5" i="2"/>
  <c r="MY23" i="2"/>
  <c r="IO8" i="2"/>
  <c r="U32" i="2"/>
  <c r="CS11" i="2"/>
  <c r="OK17" i="2"/>
  <c r="FQ11" i="2"/>
  <c r="OK5" i="2"/>
  <c r="IO23" i="2"/>
  <c r="CS8" i="2"/>
  <c r="IO26" i="2"/>
  <c r="OK32" i="2"/>
  <c r="IO11" i="2"/>
  <c r="HC26" i="2"/>
  <c r="KA32" i="2"/>
  <c r="EE11" i="2"/>
  <c r="FQ29" i="2"/>
  <c r="LM23" i="2"/>
  <c r="MY8" i="2"/>
  <c r="CS23" i="2"/>
  <c r="HC17" i="2"/>
  <c r="BG14" i="2"/>
  <c r="BG17" i="2"/>
  <c r="MY5" i="2"/>
  <c r="BG29" i="2"/>
  <c r="KA29" i="2"/>
  <c r="LM14" i="2"/>
  <c r="FQ23" i="2"/>
  <c r="LM8" i="2"/>
  <c r="KA17" i="2"/>
  <c r="U26" i="2"/>
  <c r="FQ32" i="2"/>
  <c r="CS29" i="2"/>
  <c r="MY14" i="2"/>
  <c r="KA8" i="2"/>
  <c r="U23" i="2"/>
  <c r="CS26" i="2"/>
  <c r="KA23" i="2"/>
  <c r="CS32" i="2"/>
  <c r="KA11" i="2"/>
  <c r="OK26" i="2" l="1"/>
  <c r="MZ26" i="2"/>
  <c r="KA26" i="2"/>
  <c r="HD11" i="2"/>
  <c r="FR14" i="2"/>
  <c r="HD14" i="2"/>
  <c r="EF17" i="2"/>
  <c r="BH23" i="2"/>
  <c r="MZ17" i="2"/>
  <c r="IP8" i="2"/>
  <c r="V29" i="2"/>
  <c r="EF14" i="2"/>
  <c r="KB17" i="2"/>
  <c r="V8" i="2"/>
  <c r="MZ29" i="2"/>
  <c r="BH14" i="2"/>
  <c r="FR23" i="2"/>
  <c r="CT8" i="2"/>
  <c r="FR29" i="2"/>
  <c r="OL14" i="2"/>
  <c r="HD5" i="2"/>
  <c r="MZ14" i="2"/>
  <c r="V5" i="2"/>
  <c r="V26" i="2"/>
  <c r="BH17" i="2"/>
  <c r="LN23" i="2"/>
  <c r="IP26" i="2"/>
  <c r="EF5" i="2"/>
  <c r="IP23" i="2"/>
  <c r="CT14" i="2"/>
  <c r="EF8" i="2"/>
  <c r="IP11" i="2"/>
  <c r="MZ5" i="2"/>
  <c r="FR17" i="2"/>
  <c r="EF26" i="2"/>
  <c r="EF11" i="2"/>
  <c r="HD23" i="2"/>
  <c r="V32" i="2"/>
  <c r="V23" i="2"/>
  <c r="OL8" i="2"/>
  <c r="BH8" i="2"/>
  <c r="BH26" i="2"/>
  <c r="KB8" i="2"/>
  <c r="EF29" i="2"/>
  <c r="EF32" i="2"/>
  <c r="EF23" i="2"/>
  <c r="IP17" i="2"/>
  <c r="HD32" i="2"/>
  <c r="OL23" i="2"/>
  <c r="FR11" i="2"/>
  <c r="BH5" i="2"/>
  <c r="HD8" i="2"/>
  <c r="CT29" i="2"/>
  <c r="KB14" i="2"/>
  <c r="KB29" i="2"/>
  <c r="MZ32" i="2"/>
  <c r="MZ23" i="2"/>
  <c r="MZ8" i="2"/>
  <c r="OL29" i="2"/>
  <c r="IP14" i="2"/>
  <c r="V17" i="2"/>
  <c r="V11" i="2"/>
  <c r="KB23" i="2"/>
  <c r="KB11" i="2"/>
  <c r="LN8" i="2"/>
  <c r="LN29" i="2"/>
  <c r="V14" i="2"/>
  <c r="MZ11" i="2"/>
  <c r="OL5" i="2"/>
  <c r="IP5" i="2"/>
  <c r="OL32" i="2"/>
  <c r="LN11" i="2"/>
  <c r="CT5" i="2"/>
  <c r="BH29" i="2"/>
  <c r="LN17" i="2"/>
  <c r="IP29" i="2"/>
  <c r="HD17" i="2"/>
  <c r="HD26" i="2"/>
  <c r="BH32" i="2"/>
  <c r="FR5" i="2"/>
  <c r="OL17" i="2"/>
  <c r="FR26" i="2"/>
  <c r="IP32" i="2"/>
  <c r="BH11" i="2"/>
  <c r="LN5" i="2"/>
  <c r="CT32" i="2"/>
  <c r="FR8" i="2"/>
  <c r="CT17" i="2"/>
  <c r="LN14" i="2"/>
  <c r="KB32" i="2"/>
  <c r="CT26" i="2"/>
  <c r="HD29" i="2"/>
  <c r="LN32" i="2"/>
  <c r="CT23" i="2"/>
  <c r="FR32" i="2"/>
  <c r="CT11" i="2"/>
  <c r="LO26" i="2" l="1"/>
  <c r="NA26" i="2"/>
  <c r="OL26" i="2"/>
  <c r="KB26" i="2"/>
  <c r="LN26" i="2"/>
  <c r="W8" i="2"/>
  <c r="FS23" i="2"/>
  <c r="LO11" i="2"/>
  <c r="KC32" i="2"/>
  <c r="LO17" i="2"/>
  <c r="KC14" i="2"/>
  <c r="OM14" i="2"/>
  <c r="IQ8" i="2"/>
  <c r="OM5" i="2"/>
  <c r="NA23" i="2"/>
  <c r="BI32" i="2"/>
  <c r="KC17" i="2"/>
  <c r="KC11" i="2"/>
  <c r="HE29" i="2"/>
  <c r="W29" i="2"/>
  <c r="LO8" i="2"/>
  <c r="KC29" i="2"/>
  <c r="EG32" i="2"/>
  <c r="BI26" i="2"/>
  <c r="FS14" i="2"/>
  <c r="IQ32" i="2"/>
  <c r="CU26" i="2"/>
  <c r="W11" i="2"/>
  <c r="EG29" i="2"/>
  <c r="IQ5" i="2"/>
  <c r="CU23" i="2"/>
  <c r="FS11" i="2"/>
  <c r="CU29" i="2"/>
  <c r="W5" i="2"/>
  <c r="OM23" i="2"/>
  <c r="FS29" i="2"/>
  <c r="EG26" i="2"/>
  <c r="NA17" i="2"/>
  <c r="W26" i="2"/>
  <c r="HE14" i="2"/>
  <c r="CU8" i="2"/>
  <c r="KC23" i="2"/>
  <c r="EG11" i="2"/>
  <c r="CU5" i="2"/>
  <c r="IQ11" i="2"/>
  <c r="EG5" i="2"/>
  <c r="IQ23" i="2"/>
  <c r="FS5" i="2"/>
  <c r="HE17" i="2"/>
  <c r="HE32" i="2"/>
  <c r="W14" i="2"/>
  <c r="OM17" i="2"/>
  <c r="BI14" i="2"/>
  <c r="HE23" i="2"/>
  <c r="FS8" i="2"/>
  <c r="OM29" i="2"/>
  <c r="CU32" i="2"/>
  <c r="NA14" i="2"/>
  <c r="BI17" i="2"/>
  <c r="BI8" i="2"/>
  <c r="W17" i="2"/>
  <c r="OM32" i="2"/>
  <c r="EG14" i="2"/>
  <c r="LO29" i="2"/>
  <c r="W32" i="2"/>
  <c r="NA29" i="2"/>
  <c r="BI5" i="2"/>
  <c r="IQ26" i="2"/>
  <c r="IQ29" i="2"/>
  <c r="KC8" i="2"/>
  <c r="NA32" i="2"/>
  <c r="HE26" i="2"/>
  <c r="IQ14" i="2"/>
  <c r="LO23" i="2"/>
  <c r="FS26" i="2"/>
  <c r="CU11" i="2"/>
  <c r="BI23" i="2"/>
  <c r="FS32" i="2"/>
  <c r="HE11" i="2"/>
  <c r="EG8" i="2"/>
  <c r="FS17" i="2"/>
  <c r="CU14" i="2"/>
  <c r="EG23" i="2"/>
  <c r="BI11" i="2"/>
  <c r="BI29" i="2"/>
  <c r="LO5" i="2"/>
  <c r="CU17" i="2"/>
  <c r="NA5" i="2"/>
  <c r="W23" i="2"/>
  <c r="OM11" i="2"/>
  <c r="NA11" i="2"/>
  <c r="IQ17" i="2"/>
  <c r="HE5" i="2"/>
  <c r="EG17" i="2"/>
  <c r="LO14" i="2"/>
  <c r="LO32" i="2"/>
  <c r="HE8" i="2"/>
  <c r="NB26" i="2" l="1"/>
  <c r="OM26" i="2"/>
  <c r="KC26" i="2"/>
  <c r="ME26" i="2"/>
  <c r="FT8" i="2"/>
  <c r="IR26" i="2"/>
  <c r="X32" i="2"/>
  <c r="LP5" i="2"/>
  <c r="X11" i="2"/>
  <c r="CV5" i="2"/>
  <c r="KD11" i="2"/>
  <c r="KD17" i="2"/>
  <c r="ON17" i="2"/>
  <c r="X26" i="2"/>
  <c r="NB32" i="2"/>
  <c r="X29" i="2"/>
  <c r="EH14" i="2"/>
  <c r="ON23" i="2"/>
  <c r="LP29" i="2"/>
  <c r="X14" i="2"/>
  <c r="KD32" i="2"/>
  <c r="ON29" i="2"/>
  <c r="LP23" i="2"/>
  <c r="EH26" i="2"/>
  <c r="EH29" i="2"/>
  <c r="CV23" i="2"/>
  <c r="FT32" i="2"/>
  <c r="NB11" i="2"/>
  <c r="NB14" i="2"/>
  <c r="CV26" i="2"/>
  <c r="CV29" i="2"/>
  <c r="NB29" i="2"/>
  <c r="X23" i="2"/>
  <c r="FT5" i="2"/>
  <c r="ON32" i="2"/>
  <c r="LP11" i="2"/>
  <c r="FT23" i="2"/>
  <c r="KD8" i="2"/>
  <c r="FT14" i="2"/>
  <c r="HF8" i="2"/>
  <c r="FT17" i="2"/>
  <c r="IR8" i="2"/>
  <c r="KD29" i="2"/>
  <c r="CV32" i="2"/>
  <c r="FT29" i="2"/>
  <c r="IR23" i="2"/>
  <c r="EH8" i="2"/>
  <c r="EH11" i="2"/>
  <c r="EH5" i="2"/>
  <c r="CV11" i="2"/>
  <c r="IR17" i="2"/>
  <c r="HF26" i="2"/>
  <c r="CV14" i="2"/>
  <c r="X17" i="2"/>
  <c r="CV8" i="2"/>
  <c r="NB5" i="2"/>
  <c r="IR32" i="2"/>
  <c r="EH17" i="2"/>
  <c r="HF32" i="2"/>
  <c r="HF14" i="2"/>
  <c r="KD23" i="2"/>
  <c r="LP17" i="2"/>
  <c r="CV17" i="2"/>
  <c r="NB17" i="2"/>
  <c r="FT26" i="2"/>
  <c r="LP32" i="2"/>
  <c r="HF29" i="2"/>
  <c r="IR14" i="2"/>
  <c r="EH23" i="2"/>
  <c r="ON8" i="2"/>
  <c r="HF5" i="2"/>
  <c r="IR11" i="2"/>
  <c r="HF11" i="2"/>
  <c r="IR5" i="2"/>
  <c r="ON5" i="2"/>
  <c r="FT11" i="2"/>
  <c r="IR29" i="2"/>
  <c r="LP14" i="2"/>
  <c r="NB23" i="2"/>
  <c r="HF17" i="2"/>
  <c r="EH32" i="2"/>
  <c r="HF23" i="2"/>
  <c r="KD26" i="2" l="1"/>
  <c r="ON11" i="2"/>
  <c r="PC11" i="2"/>
  <c r="X8" i="2"/>
  <c r="AM8" i="2"/>
  <c r="AM5" i="2"/>
  <c r="B35" i="2" l="1"/>
  <c r="JO8" i="2"/>
  <c r="JU11" i="2"/>
  <c r="LG23" i="2"/>
  <c r="LM26" i="2"/>
  <c r="KA14" i="2"/>
  <c r="MG29" i="2"/>
  <c r="KU17" i="2"/>
  <c r="MM32" i="2"/>
  <c r="LJ5" i="2"/>
  <c r="OF8" i="2"/>
  <c r="LB5" i="2"/>
  <c r="NX8" i="2"/>
  <c r="NB8" i="2"/>
  <c r="OL11" i="2"/>
  <c r="LP8" i="2"/>
  <c r="ML8" i="2"/>
  <c r="MT8" i="2"/>
  <c r="JU5" i="2"/>
  <c r="KB5" i="2"/>
  <c r="JY5" i="2"/>
  <c r="JT5" i="2"/>
  <c r="KA5" i="2"/>
  <c r="KC5" i="2"/>
  <c r="JW5" i="2"/>
  <c r="JM5" i="2"/>
  <c r="JV5" i="2"/>
  <c r="JS5" i="2"/>
  <c r="JQ5" i="2"/>
  <c r="JN5" i="2"/>
  <c r="JX5" i="2"/>
  <c r="JO5" i="2"/>
  <c r="JZ5" i="2"/>
  <c r="JP5" i="2"/>
  <c r="KD5" i="2"/>
  <c r="JK5" i="2"/>
  <c r="KT5" i="2"/>
  <c r="JR5" i="2"/>
  <c r="JJ5" i="2"/>
  <c r="JI5" i="2"/>
  <c r="JH5" i="2"/>
  <c r="KW5" i="2" l="1"/>
  <c r="KY5" i="2"/>
  <c r="LE5" i="2"/>
  <c r="MM5" i="2"/>
  <c r="LI5" i="2"/>
  <c r="LA5" i="2"/>
  <c r="ME5" i="2"/>
  <c r="KU5" i="2"/>
  <c r="MU5" i="2"/>
  <c r="NR17" i="2"/>
  <c r="NS23" i="2"/>
  <c r="NS11" i="2"/>
  <c r="NS17" i="2"/>
  <c r="NS29" i="2"/>
  <c r="NT29" i="2"/>
  <c r="NS8" i="2"/>
  <c r="NS26" i="2"/>
  <c r="NS14" i="2"/>
  <c r="NS32" i="2"/>
  <c r="OE8" i="2"/>
  <c r="NW8" i="2"/>
  <c r="NR29" i="2"/>
  <c r="NT17" i="2"/>
  <c r="KS5" i="2"/>
  <c r="NX29" i="2"/>
  <c r="ON14" i="2"/>
  <c r="OB8" i="2"/>
  <c r="OH23" i="2"/>
  <c r="NT26" i="2"/>
  <c r="NZ29" i="2"/>
  <c r="KX17" i="2"/>
  <c r="JR8" i="2"/>
  <c r="OD32" i="2"/>
  <c r="NV29" i="2"/>
  <c r="KD14" i="2"/>
  <c r="ON26" i="2"/>
  <c r="NA8" i="2"/>
  <c r="MR32" i="2"/>
  <c r="MP32" i="2"/>
  <c r="OF32" i="2"/>
  <c r="MH26" i="2"/>
  <c r="LJ23" i="2"/>
  <c r="OB32" i="2"/>
  <c r="LP26" i="2"/>
  <c r="MT32" i="2"/>
  <c r="NV17" i="2"/>
  <c r="MN29" i="2"/>
  <c r="MJ29" i="2"/>
  <c r="ML29" i="2"/>
  <c r="NV5" i="2"/>
  <c r="NR26" i="2"/>
  <c r="JX11" i="2"/>
  <c r="OH11" i="2"/>
  <c r="OM8" i="2"/>
  <c r="MF26" i="2"/>
  <c r="JL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tc={B639EA58-7981-42E9-9E3D-4A31ABA20DC5}</author>
    <author>tc={AE73E385-1AAF-4AD3-ADBA-A9B823016565}</author>
    <author>tc={808AF26C-3735-47A3-8575-CBC3F7875DC2}</author>
    <author>tc={54032A5F-3797-4DFA-B87C-1F2F9959179C}</author>
    <author>tc={32126470-47D7-48ED-B0FF-B7F77579C2C6}</author>
    <author>tc={423665AA-0FB8-4A6B-8202-251CB6646F50}</author>
    <author>tc={7D1909C1-B4E8-40D2-99E6-5FB592612B41}</author>
    <author>tc={B3430717-75E4-41B6-A4B9-D686C7123710}</author>
    <author>tc={185F81EB-CC5A-4093-AE70-5930C863032A}</author>
    <author>tc={467CD750-35CE-43AC-AA7D-681BCCBA7745}</author>
    <author>tc={94BCC2B9-DCBC-4726-BB2E-D956437176EE}</author>
    <author>tc={E8D803B5-E683-4601-93EA-74C524A52051}</author>
    <author>tc={9221E3EE-8604-4768-BC8F-BBC4F367BD6E}</author>
    <author>tc={634F85C2-930C-44BD-BED6-02594E8B26A4}</author>
    <author>tc={CB47723D-2D30-4E73-AC4D-47C771B5F15D}</author>
    <author>tc={3420913B-1319-437F-997B-2BDBE447957F}</author>
    <author>tc={D2EF1578-8FD2-4105-A756-EF5644E63E57}</author>
    <author>tc={615D5276-06D5-4184-A900-D025B965B03A}</author>
    <author>tc={45F9C39A-B957-48EB-9BD4-86DB18A02654}</author>
    <author>tc={8B5C516B-4A5A-4B77-A6FA-070403A3BF80}</author>
    <author>tc={D9548883-15FD-4EC6-838C-1ED7A0B41A73}</author>
    <author>tc={090372CE-E3C3-4853-A4B8-E244E17983EB}</author>
    <author>tc={2BB79548-91B4-494E-9808-1D606380102D}</author>
    <author>tc={5D0AF4FF-BF6C-4463-A5FE-10FFFDCA342C}</author>
    <author>tc={98A8644C-2883-4750-B977-F46CA86E345D}</author>
    <author>tc={487AEDAE-9D59-4C2F-B0AC-8A483E702367}</author>
    <author>tc={41FB26E2-C7F0-4BE0-B8B4-4949551A9DCE}</author>
    <author>tc={1A396680-6D97-4E45-9CBF-A0DE43E16948}</author>
  </authors>
  <commentList>
    <comment ref="L4" authorId="0" shapeId="0" xr:uid="{B639EA58-7981-42E9-9E3D-4A31ABA20DC5}">
      <text>
        <t>[Threaded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t>
      </text>
    </comment>
    <comment ref="AT4" authorId="1" shapeId="0" xr:uid="{AE73E385-1AAF-4AD3-ADBA-A9B823016565}">
      <text>
        <t>[Threaded comment]
Your version of Excel allows you to read this threaded comment; however, any edits to it will get removed if the file is opened in a newer version of Excel. Learn more: https://go.microsoft.com/fwlink/?linkid=870924
Comment:
    El auditor, al cortar antes la PDP, trae la cola de PDP a PNP. La metodología RSC que es la utilizada por PlanningSpace no hace moviento de colas entre wedges</t>
      </text>
    </comment>
    <comment ref="AV4" authorId="2" shapeId="0" xr:uid="{808AF26C-3735-47A3-8575-CBC3F7875DC2}">
      <text>
        <t>[Threaded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t>
      </text>
    </comment>
    <comment ref="CG4" authorId="3" shapeId="0" xr:uid="{54032A5F-3797-4DFA-B87C-1F2F9959179C}">
      <text>
        <t>[Threaded comment]
Your version of Excel allows you to read this threaded comment; however, any edits to it will get removed if the file is opened in a newer version of Excel. Learn more: https://go.microsoft.com/fwlink/?linkid=870924
Comment:
    El auditor, al cortar antes la PDP y la PNP y trae las colas a la PND. La metodología RSC que es la utilizada por PlanningSpace no hace movimiento de colas entre wedges</t>
      </text>
    </comment>
    <comment ref="CJ4" authorId="4" shapeId="0" xr:uid="{32126470-47D7-48ED-B0FF-B7F77579C2C6}">
      <text>
        <t xml:space="preserve">[Threaded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
</t>
      </text>
    </comment>
    <comment ref="IE4" authorId="5" shapeId="0" xr:uid="{423665AA-0FB8-4A6B-8202-251CB6646F50}">
      <text>
        <t>[Threaded comment]
Your version of Excel allows you to read this threaded comment; however, any edits to it will get removed if the file is opened in a newer version of Excel. Learn more: https://go.microsoft.com/fwlink/?linkid=870924
Comment:
    El auditor corta las reservas de probadas en diciembre de 2031, por lo cual trae la cola a Probables desde enero de 2032. Como PlanningSpace corta más adelante, no trae dicha cola</t>
      </text>
    </comment>
    <comment ref="IF4" authorId="6" shapeId="0" xr:uid="{7D1909C1-B4E8-40D2-99E6-5FB592612B41}">
      <text>
        <t>[Threaded comment]
Your version of Excel allows you to read this threaded comment; however, any edits to it will get removed if the file is opened in a newer version of Excel. Learn more: https://go.microsoft.com/fwlink/?linkid=870924
Comment:
    PlanningSpace, al calcular el flujo de caja mensualizado, determina que el límite económico es julio de 2033. En cambio el auditor, al hacer el cálculo anualizado, corta en diciembre de 2032</t>
      </text>
    </comment>
    <comment ref="NZ4" authorId="7" shapeId="0" xr:uid="{B3430717-75E4-41B6-A4B9-D686C7123710}">
      <text>
        <t>[Threaded comment]
Your version of Excel allows you to read this threaded comment; however, any edits to it will get removed if the file is opened in a newer version of Excel. Learn more: https://go.microsoft.com/fwlink/?linkid=870924
Comment:
    El auditor no considera el cambio de WI en diciembre del 2031 (el 21 de diciembre) para el cálculo del WI de ese año</t>
      </text>
    </comment>
    <comment ref="OG4" authorId="8" shapeId="0" xr:uid="{185F81EB-CC5A-4093-AE70-5930C863032A}">
      <text>
        <t>[Threaded comment]
Your version of Excel allows you to read this threaded comment; however, any edits to it will get removed if the file is opened in a newer version of Excel. Learn more: https://go.microsoft.com/fwlink/?linkid=870924
Comment:
    El auditor cortó el EL de probadas en diciembre de 2038 y PS en octubre 2038, por lo cual el PS trae un mes adicional de colas</t>
      </text>
    </comment>
    <comment ref="OK4" authorId="9" shapeId="0" xr:uid="{467CD750-35CE-43AC-AA7D-681BCCBA7745}">
      <text>
        <t xml:space="preserve">[Threaded comment]
Your version of Excel allows you to read this threaded comment; however, any edits to it will get removed if the file is opened in a newer version of Excel. Learn more: https://go.microsoft.com/fwlink/?linkid=870924
Comment:
    El auditor hace el cálculo del límite económico tomando el flujo de caja anual, mientras que PlanningSpace lo hace mensualmente. Por esta razón el auditor corta en diciembre 2042 mientras que en PlanningSpace corta en mayo 2042
</t>
      </text>
    </comment>
    <comment ref="AN7" authorId="10" shapeId="0" xr:uid="{94BCC2B9-DCBC-4726-BB2E-D956437176EE}">
      <text>
        <t>[Threaded comment]
Your version of Excel allows you to read this threaded comment; however, any edits to it will get removed if the file is opened in a newer version of Excel. Learn more: https://go.microsoft.com/fwlink/?linkid=870924
Comment:
    Cambios importantes en la curva. El auditor toma el % de regalías promedio del año, y PlanningSpace calcula el % mes a mes y lo aplica</t>
      </text>
    </comment>
    <comment ref="NZ7" authorId="11" shapeId="0" xr:uid="{E8D803B5-E683-4601-93EA-74C524A52051}">
      <text>
        <t>[Threaded comment]
Your version of Excel allows you to read this threaded comment; however, any edits to it will get removed if the file is opened in a newer version of Excel. Learn more: https://go.microsoft.com/fwlink/?linkid=870924
Comment:
    El auditor no considera el pago de extension royalties los 10 días del mes de diciembre luego de la fecha de finalización del contrato</t>
      </text>
    </comment>
    <comment ref="B13" authorId="12" shapeId="0" xr:uid="{9221E3EE-8604-4768-BC8F-BBC4F367BD6E}">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AN13" authorId="13" shapeId="0" xr:uid="{634F85C2-930C-44BD-BED6-02594E8B26A4}">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BZ13" authorId="14" shapeId="0" xr:uid="{CB47723D-2D30-4E73-AC4D-47C771B5F15D}">
      <text>
        <t xml:space="preserve">[Threaded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
</t>
      </text>
    </comment>
    <comment ref="IE13" authorId="15" shapeId="0" xr:uid="{3420913B-1319-437F-997B-2BDBE447957F}">
      <text>
        <t>[Threaded comment]
Your version of Excel allows you to read this threaded comment; however, any edits to it will get removed if the file is opened in a newer version of Excel. Learn more: https://go.microsoft.com/fwlink/?linkid=870924
Comment:
    El auditor, al cortar antes las reservas de Probadas, asigna el pago del OPEX fijo a Probables. Como PS corta mucho después, no asigna OPEX fijo a probables</t>
      </text>
    </comment>
    <comment ref="B16" authorId="16" shapeId="0" xr:uid="{D2EF1578-8FD2-4105-A756-EF5644E63E57}">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AN16" authorId="17" shapeId="0" xr:uid="{615D5276-06D5-4184-A900-D025B965B03A}">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BZ16" authorId="18" shapeId="0" xr:uid="{45F9C39A-B957-48EB-9BD4-86DB18A02654}">
      <text>
        <t xml:space="preserve">[Threaded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
</t>
      </text>
    </comment>
    <comment ref="IE16" authorId="19" shapeId="0" xr:uid="{8B5C516B-4A5A-4B77-A6FA-070403A3BF80}">
      <text>
        <t>[Threaded comment]
Your version of Excel allows you to read this threaded comment; however, any edits to it will get removed if the file is opened in a newer version of Excel. Learn more: https://go.microsoft.com/fwlink/?linkid=870924
Comment:
    El auditor, al cortar antes las reservas de Probadas, asigna el pago del OPEX semifijo a Probables. Como PS corta mucho después, no asigna OPEX semifijo a probables</t>
      </text>
    </comment>
    <comment ref="B19" authorId="20" shapeId="0" xr:uid="{D9548883-15FD-4EC6-838C-1ED7A0B41A73}">
      <text>
        <t>[Threaded comment]
Your version of Excel allows you to read this threaded comment; however, any edits to it will get removed if the file is opened in a newer version of Excel. Learn more: https://go.microsoft.com/fwlink/?linkid=870924
Comment:
    El conteo de pozos es variable mes a mes, dando un promedio anual de 33.58 pozos al año.
El auditor toma el máximo número de pozos del año, que fue 2
34, para calcular el OPEX por pozo. En cambio PS hace el cálculo mes a mes y el número de pozos activos cambia, promediando el mencionado. Esta diferencia se evidencia en otros períodos siguientes</t>
      </text>
    </comment>
    <comment ref="HV19" authorId="21" shapeId="0" xr:uid="{090372CE-E3C3-4853-A4B8-E244E17983EB}">
      <text>
        <t xml:space="preserve">[Threaded comment]
Your version of Excel allows you to read this threaded comment; however, any edits to it will get removed if the file is opened in a newer version of Excel. Learn more: https://go.microsoft.com/fwlink/?linkid=870924
Comment:
    El conteo de pozos es variable mes a mes, dando un promedio anual de 4.58 pozos al año.
El auditor toma el máximo número de pozos del año, que fue 7, para calcular el OPEX por pozo. En cambio PS hace el cálculo mes a mes y el número de pozos activos cambia, promediando el mencionado. Esta diferencia se evidencia en otros períodos siguientes
</t>
      </text>
    </comment>
    <comment ref="NR19" authorId="22" shapeId="0" xr:uid="{2BB79548-91B4-494E-9808-1D606380102D}">
      <text>
        <t>[Threaded comment]
Your version of Excel allows you to read this threaded comment; however, any edits to it will get removed if the file is opened in a newer version of Excel. Learn more: https://go.microsoft.com/fwlink/?linkid=870924
Comment:
    Difernecias en conteos de pozos. PS toma un promedio de 1.75 al año y el auditor toma 2. Esto ocurre en otros meses</t>
      </text>
    </comment>
    <comment ref="B22" authorId="23" shapeId="0" xr:uid="{5D0AF4FF-BF6C-4463-A5FE-10FFFDCA342C}">
      <text>
        <t>[Threaded comment]
Your version of Excel allows you to read this threaded comment; however, any edits to it will get removed if the file is opened in a newer version of Excel. Learn more: https://go.microsoft.com/fwlink/?linkid=870924
Comment:
    Diferencias se arrastran por explicaciones de puntos anteriores</t>
      </text>
    </comment>
    <comment ref="AN22" authorId="24" shapeId="0" xr:uid="{98A8644C-2883-4750-B977-F46CA86E345D}">
      <text>
        <t>[Threaded comment]
Your version of Excel allows you to read this threaded comment; however, any edits to it will get removed if the file is opened in a newer version of Excel. Learn more: https://go.microsoft.com/fwlink/?linkid=870924
Comment:
    Diferencias arrastradas de los comentarios anteriores</t>
      </text>
    </comment>
    <comment ref="HV22" authorId="25" shapeId="0" xr:uid="{487AEDAE-9D59-4C2F-B0AC-8A483E702367}">
      <text>
        <t>[Threaded comment]
Your version of Excel allows you to read this threaded comment; however, any edits to it will get removed if the file is opened in a newer version of Excel. Learn more: https://go.microsoft.com/fwlink/?linkid=870924
Comment:
    Diferencias arrastradas de lo antes explicado</t>
      </text>
    </comment>
    <comment ref="H31" authorId="26" shapeId="0" xr:uid="{41FB26E2-C7F0-4BE0-B8B4-4949551A9DCE}">
      <text>
        <t>[Threaded comment]
Your version of Excel allows you to read this threaded comment; however, any edits to it will get removed if the file is opened in a newer version of Excel. Learn more: https://go.microsoft.com/fwlink/?linkid=870924
Comment:
    Diferencias en la fecha de aplicación del abando por diferencias en las fechas de límite económico. Los abandonos están OK los montos</t>
      </text>
    </comment>
    <comment ref="IL31" authorId="27" shapeId="0" xr:uid="{1A396680-6D97-4E45-9CBF-A0DE43E16948}">
      <text>
        <t xml:space="preserve">[Threaded comment]
Your version of Excel allows you to read this threaded comment; however, any edits to it will get removed if the file is opened in a newer version of Excel. Learn more: https://go.microsoft.com/fwlink/?linkid=870924
Comment:
    El auditor aplica el 100% del Abandono en la fecha de EL, en cambio PS lo asigna 12 meses después por requerimiento de ECP
</t>
      </text>
    </comment>
  </commentList>
</comments>
</file>

<file path=xl/sharedStrings.xml><?xml version="1.0" encoding="utf-8"?>
<sst xmlns="http://schemas.openxmlformats.org/spreadsheetml/2006/main" count="37560" uniqueCount="4094">
  <si>
    <t>Variable</t>
  </si>
  <si>
    <t>PDP</t>
  </si>
  <si>
    <t>PNP</t>
  </si>
  <si>
    <t>PND</t>
  </si>
  <si>
    <t>PRB</t>
  </si>
  <si>
    <t>Periodo</t>
  </si>
  <si>
    <t>Variacion Regalias ECP</t>
  </si>
  <si>
    <t>Revenue PS</t>
  </si>
  <si>
    <t>Revenue FC</t>
  </si>
  <si>
    <t xml:space="preserve">Variacion Revenue </t>
  </si>
  <si>
    <t>Fijo PS</t>
  </si>
  <si>
    <t>Fijo FC</t>
  </si>
  <si>
    <t xml:space="preserve">Variacion Fijo </t>
  </si>
  <si>
    <t>Semifijo PS</t>
  </si>
  <si>
    <t>Semifijo FC</t>
  </si>
  <si>
    <t xml:space="preserve">Variacion Semifijo </t>
  </si>
  <si>
    <t>OpEX Ecopetrol PS</t>
  </si>
  <si>
    <t>OpEX Ecopetrol FC</t>
  </si>
  <si>
    <t>Variación OpEX Ecopetrol</t>
  </si>
  <si>
    <t>Total Capex PS</t>
  </si>
  <si>
    <t>Total Capex FC</t>
  </si>
  <si>
    <t>Variación Total Capex</t>
  </si>
  <si>
    <t>FC Operativo ECP PS</t>
  </si>
  <si>
    <t>FC Operativo ECP FC</t>
  </si>
  <si>
    <t>Variación FC Operativo ECP</t>
  </si>
  <si>
    <t>Abandono Gross PS</t>
  </si>
  <si>
    <t>Abandono Gross FC</t>
  </si>
  <si>
    <t>Variacion Abandono</t>
  </si>
  <si>
    <t>Total</t>
  </si>
  <si>
    <t>Nombre Hoja</t>
  </si>
  <si>
    <t>Columna</t>
  </si>
  <si>
    <t>Fila</t>
  </si>
  <si>
    <t>Concatenación</t>
  </si>
  <si>
    <t>Categoria</t>
  </si>
  <si>
    <t>PS</t>
  </si>
  <si>
    <t>Nombre Archivo</t>
  </si>
  <si>
    <t>$BT$</t>
  </si>
  <si>
    <t>$BW$</t>
  </si>
  <si>
    <t>$BX$</t>
  </si>
  <si>
    <t>$BU$</t>
  </si>
  <si>
    <t>$CT$</t>
  </si>
  <si>
    <t>$DN$</t>
  </si>
  <si>
    <t>Abandono Gross</t>
  </si>
  <si>
    <t>$DI$</t>
  </si>
  <si>
    <t>Active la funcion "Show Formulas".</t>
  </si>
  <si>
    <t>Reemplace el nombre del archivo por el nombre de su archivo (Use la opción Replace).</t>
  </si>
  <si>
    <t>Inactive la opciones "Show Formulas".</t>
  </si>
  <si>
    <t>$AY$</t>
  </si>
  <si>
    <t>Reservas Netas ECP (Oil) bbl PS</t>
  </si>
  <si>
    <t>Reservas Netas ECP (Oil) bbl FC</t>
  </si>
  <si>
    <t>Regalias ECP(Oil) bbl PS</t>
  </si>
  <si>
    <t>Regalias ECP(Oil) bbl FC</t>
  </si>
  <si>
    <t>Variacion Reservas Netas</t>
  </si>
  <si>
    <t xml:space="preserve">Variacion Reservas Netas ECP (Liquido) </t>
  </si>
  <si>
    <t>Reservas Netas ECP  (Liquido) PS</t>
  </si>
  <si>
    <t>Reservas Netas ECP  (Liquido) FC</t>
  </si>
  <si>
    <t>Reservas Netas ECP  (Gas) PS</t>
  </si>
  <si>
    <t>Reservas Netas ECP  (Gas) FC</t>
  </si>
  <si>
    <t xml:space="preserve">Variacion Reservas Netas ECP (Gas) </t>
  </si>
  <si>
    <t>$BB$</t>
  </si>
  <si>
    <t>$BY$</t>
  </si>
  <si>
    <t>Copie y Pegue la hoja "BM" en su archivo de FC.</t>
  </si>
  <si>
    <t>Campos del Activo</t>
  </si>
  <si>
    <t>Campo 1</t>
  </si>
  <si>
    <t>Campo 2</t>
  </si>
  <si>
    <t>Reserves Category</t>
  </si>
  <si>
    <t>Period</t>
  </si>
  <si>
    <t>POS</t>
  </si>
  <si>
    <t>Campo 1_PDP_ECP</t>
  </si>
  <si>
    <t>Campo 1_PNP_ECP</t>
  </si>
  <si>
    <t>Campo 1_PND_ECP</t>
  </si>
  <si>
    <t>Campo 1_PRB_ECP</t>
  </si>
  <si>
    <t>Campo 1_PDP_PS</t>
  </si>
  <si>
    <t>Campo 1_PDP_Dif</t>
  </si>
  <si>
    <t>Campo 1_PNP_PS</t>
  </si>
  <si>
    <t>Campo 1_PNP_Dif</t>
  </si>
  <si>
    <t>Campo 1_PND_PS</t>
  </si>
  <si>
    <t>Campo 1_PND_Dif</t>
  </si>
  <si>
    <t>Campo 1_PRB_PS</t>
  </si>
  <si>
    <t>Campo 1_PRB_Dif</t>
  </si>
  <si>
    <t>Campo 2_PDP_PS</t>
  </si>
  <si>
    <t>Campo 2_PDP_ECP</t>
  </si>
  <si>
    <t>Campo 2_PDP_Dif</t>
  </si>
  <si>
    <t>Campo 2_PND_PS</t>
  </si>
  <si>
    <t>Campo 2_PND_ECP</t>
  </si>
  <si>
    <t>Campo 2_PND_Dif</t>
  </si>
  <si>
    <t>Campo 2_PRB_PS</t>
  </si>
  <si>
    <t>Campo 2_PRB_ECP</t>
  </si>
  <si>
    <t>Campo 2_PRB_Dif</t>
  </si>
  <si>
    <t>Campo 2_POS_PS</t>
  </si>
  <si>
    <t>Campo 2_POS_ECP</t>
  </si>
  <si>
    <t>Campo 2_POS_Dif</t>
  </si>
  <si>
    <t>Escriba los nombres de los campos del activo.</t>
  </si>
  <si>
    <t>Seleccione las categorias que requiere para cada campo.</t>
  </si>
  <si>
    <t>Ejecute la Macro "GenerarEncabezados"</t>
  </si>
  <si>
    <t>Copie y Pegue los valores de PS y de FC.</t>
  </si>
  <si>
    <t>Costos Semifijos Activo Annual</t>
  </si>
  <si>
    <t>Plantilla BM General</t>
  </si>
  <si>
    <t>Ejecute la Macro "Porcentaje de Variacion".</t>
  </si>
  <si>
    <t>PRBDP</t>
  </si>
  <si>
    <t>PRBNP</t>
  </si>
  <si>
    <t>PRBND</t>
  </si>
  <si>
    <t>PSDP</t>
  </si>
  <si>
    <t>PSNP</t>
  </si>
  <si>
    <t>PSND</t>
  </si>
  <si>
    <t>PSDP'!</t>
  </si>
  <si>
    <t>PSNP'!</t>
  </si>
  <si>
    <t>PSND'!</t>
  </si>
  <si>
    <t>Opex Variable PS</t>
  </si>
  <si>
    <t>Opex Variable FC</t>
  </si>
  <si>
    <t>NA</t>
  </si>
  <si>
    <t>$BE$</t>
  </si>
  <si>
    <t>$BZ$</t>
  </si>
  <si>
    <t>$CA$</t>
  </si>
  <si>
    <t>$CB$</t>
  </si>
  <si>
    <t>$DC$</t>
  </si>
  <si>
    <t>$EA$</t>
  </si>
  <si>
    <t>$DT$</t>
  </si>
  <si>
    <t>Reservas Netas Liq Consolidado</t>
  </si>
  <si>
    <t>Reservas Netas Gas Consolidado</t>
  </si>
  <si>
    <t>Consolidado</t>
  </si>
  <si>
    <t>$L$</t>
  </si>
  <si>
    <t>$J$</t>
  </si>
  <si>
    <t>Escribir la ruta del reporte de PS en la celda B20, haga click en el botón y aguarde.</t>
  </si>
  <si>
    <t>Variación OpEX Variable</t>
  </si>
  <si>
    <t>Escribir la ruta de FC en la celda B16, haga click en el botón y aguarde.</t>
  </si>
  <si>
    <t>C:\Users\jaime.benazar\Quorum Business Solutions\Ecopetrol Prometeo - Documents\Planning Space Implementation\3. Analysis &amp; Design\Design\FC22\DRR Jaime\QUIFA-CAJÚA\Cajua\VAS_CAJUA_CF_SEC_20230125.xlsx</t>
  </si>
  <si>
    <t>C:\Users\jaime.benazar\Quorum Business Solutions\Ecopetrol Prometeo - Documents\Planning Space Implementation\3. Analysis &amp; Design\Design\FC22\DRR Jaime\QUIFA-CAJÚA\Cajua\[VAS_CAJUA_CF_SEC_20230125.xlsx]</t>
  </si>
  <si>
    <t>C:\Users\jaime.benazar\Quorum Business Solutions\Ecopetrol Prometeo - Documents\Planning Space Implementation\3. Analysis &amp; Design\Design\FC22\DRR Jaime\QUIFA-CAJÚA\Cajua\[VAS_CAJUA_CF_SEC_20230125.xlsx]CF</t>
  </si>
  <si>
    <t>='C:\Users\jaime.benazar\Quorum Business Solutions\Ecopetrol Prometeo - Documents\Planning Space Implementation\3. Analysis &amp; Design\Design\FC22\DRR Jaime\QUIFA-CAJÚA\Cajua\[VAS_CAJUA_CF_SEC_20230125.xlsx]CF PDP'!$AY$36</t>
  </si>
  <si>
    <t>='C:\Users\jaime.benazar\Quorum Business Solutions\Ecopetrol Prometeo - Documents\Planning Space Implementation\3. Analysis &amp; Design\Design\FC22\DRR Jaime\QUIFA-CAJÚA\Cajua\[VAS_CAJUA_CF_SEC_20230125.xlsx]CF PDP'!$AY$37</t>
  </si>
  <si>
    <t>='C:\Users\jaime.benazar\Quorum Business Solutions\Ecopetrol Prometeo - Documents\Planning Space Implementation\3. Analysis &amp; Design\Design\FC22\DRR Jaime\QUIFA-CAJÚA\Cajua\[VAS_CAJUA_CF_SEC_20230125.xlsx]CF PDP'!$AY$38</t>
  </si>
  <si>
    <t>='C:\Users\jaime.benazar\Quorum Business Solutions\Ecopetrol Prometeo - Documents\Planning Space Implementation\3. Analysis &amp; Design\Design\FC22\DRR Jaime\QUIFA-CAJÚA\Cajua\[VAS_CAJUA_CF_SEC_20230125.xlsx]CF PDP'!$AY$39</t>
  </si>
  <si>
    <t>='C:\Users\jaime.benazar\Quorum Business Solutions\Ecopetrol Prometeo - Documents\Planning Space Implementation\3. Analysis &amp; Design\Design\FC22\DRR Jaime\QUIFA-CAJÚA\Cajua\[VAS_CAJUA_CF_SEC_20230125.xlsx]CF PDP'!$AY$40</t>
  </si>
  <si>
    <t>='C:\Users\jaime.benazar\Quorum Business Solutions\Ecopetrol Prometeo - Documents\Planning Space Implementation\3. Analysis &amp; Design\Design\FC22\DRR Jaime\QUIFA-CAJÚA\Cajua\[VAS_CAJUA_CF_SEC_20230125.xlsx]CF PDP'!$AY$41</t>
  </si>
  <si>
    <t>='C:\Users\jaime.benazar\Quorum Business Solutions\Ecopetrol Prometeo - Documents\Planning Space Implementation\3. Analysis &amp; Design\Design\FC22\DRR Jaime\QUIFA-CAJÚA\Cajua\[VAS_CAJUA_CF_SEC_20230125.xlsx]CF PDP'!$AY$42</t>
  </si>
  <si>
    <t>='C:\Users\jaime.benazar\Quorum Business Solutions\Ecopetrol Prometeo - Documents\Planning Space Implementation\3. Analysis &amp; Design\Design\FC22\DRR Jaime\QUIFA-CAJÚA\Cajua\[VAS_CAJUA_CF_SEC_20230125.xlsx]CF PDP'!$AY$43</t>
  </si>
  <si>
    <t>='C:\Users\jaime.benazar\Quorum Business Solutions\Ecopetrol Prometeo - Documents\Planning Space Implementation\3. Analysis &amp; Design\Design\FC22\DRR Jaime\QUIFA-CAJÚA\Cajua\[VAS_CAJUA_CF_SEC_20230125.xlsx]CF PDP'!$AY$44</t>
  </si>
  <si>
    <t>='C:\Users\jaime.benazar\Quorum Business Solutions\Ecopetrol Prometeo - Documents\Planning Space Implementation\3. Analysis &amp; Design\Design\FC22\DRR Jaime\QUIFA-CAJÚA\Cajua\[VAS_CAJUA_CF_SEC_20230125.xlsx]CF PDP'!$AY$45</t>
  </si>
  <si>
    <t>='C:\Users\jaime.benazar\Quorum Business Solutions\Ecopetrol Prometeo - Documents\Planning Space Implementation\3. Analysis &amp; Design\Design\FC22\DRR Jaime\QUIFA-CAJÚA\Cajua\[VAS_CAJUA_CF_SEC_20230125.xlsx]CF PDP'!$AY$46</t>
  </si>
  <si>
    <t>='C:\Users\jaime.benazar\Quorum Business Solutions\Ecopetrol Prometeo - Documents\Planning Space Implementation\3. Analysis &amp; Design\Design\FC22\DRR Jaime\QUIFA-CAJÚA\Cajua\[VAS_CAJUA_CF_SEC_20230125.xlsx]CF PDP'!$AY$47</t>
  </si>
  <si>
    <t>='C:\Users\jaime.benazar\Quorum Business Solutions\Ecopetrol Prometeo - Documents\Planning Space Implementation\3. Analysis &amp; Design\Design\FC22\DRR Jaime\QUIFA-CAJÚA\Cajua\[VAS_CAJUA_CF_SEC_20230125.xlsx]CF PDP'!$AY$48</t>
  </si>
  <si>
    <t>='C:\Users\jaime.benazar\Quorum Business Solutions\Ecopetrol Prometeo - Documents\Planning Space Implementation\3. Analysis &amp; Design\Design\FC22\DRR Jaime\QUIFA-CAJÚA\Cajua\[VAS_CAJUA_CF_SEC_20230125.xlsx]CF PDP'!$AY$49</t>
  </si>
  <si>
    <t>='C:\Users\jaime.benazar\Quorum Business Solutions\Ecopetrol Prometeo - Documents\Planning Space Implementation\3. Analysis &amp; Design\Design\FC22\DRR Jaime\QUIFA-CAJÚA\Cajua\[VAS_CAJUA_CF_SEC_20230125.xlsx]CF PDP'!$AY$50</t>
  </si>
  <si>
    <t>='C:\Users\jaime.benazar\Quorum Business Solutions\Ecopetrol Prometeo - Documents\Planning Space Implementation\3. Analysis &amp; Design\Design\FC22\DRR Jaime\QUIFA-CAJÚA\Cajua\[VAS_CAJUA_CF_SEC_20230125.xlsx]CF PDP'!$AY$51</t>
  </si>
  <si>
    <t>='C:\Users\jaime.benazar\Quorum Business Solutions\Ecopetrol Prometeo - Documents\Planning Space Implementation\3. Analysis &amp; Design\Design\FC22\DRR Jaime\QUIFA-CAJÚA\Cajua\[VAS_CAJUA_CF_SEC_20230125.xlsx]CF PDP'!$AY$52</t>
  </si>
  <si>
    <t>='C:\Users\jaime.benazar\Quorum Business Solutions\Ecopetrol Prometeo - Documents\Planning Space Implementation\3. Analysis &amp; Design\Design\FC22\DRR Jaime\QUIFA-CAJÚA\Cajua\[VAS_CAJUA_CF_SEC_20230125.xlsx]CF PDP'!$AY$53</t>
  </si>
  <si>
    <t>='C:\Users\jaime.benazar\Quorum Business Solutions\Ecopetrol Prometeo - Documents\Planning Space Implementation\3. Analysis &amp; Design\Design\FC22\DRR Jaime\QUIFA-CAJÚA\Cajua\[VAS_CAJUA_CF_SEC_20230125.xlsx]CF PDP'!$AY$54</t>
  </si>
  <si>
    <t>='C:\Users\jaime.benazar\Quorum Business Solutions\Ecopetrol Prometeo - Documents\Planning Space Implementation\3. Analysis &amp; Design\Design\FC22\DRR Jaime\QUIFA-CAJÚA\Cajua\[VAS_CAJUA_CF_SEC_20230125.xlsx]CF PDP'!$AY$55</t>
  </si>
  <si>
    <t>='C:\Users\jaime.benazar\Quorum Business Solutions\Ecopetrol Prometeo - Documents\Planning Space Implementation\3. Analysis &amp; Design\Design\FC22\DRR Jaime\QUIFA-CAJÚA\Cajua\[VAS_CAJUA_CF_SEC_20230125.xlsx]CF PDP'!$AY$56</t>
  </si>
  <si>
    <t>='C:\Users\jaime.benazar\Quorum Business Solutions\Ecopetrol Prometeo - Documents\Planning Space Implementation\3. Analysis &amp; Design\Design\FC22\DRR Jaime\QUIFA-CAJÚA\Cajua\[VAS_CAJUA_CF_SEC_20230125.xlsx]CF PDP'!$AY$57</t>
  </si>
  <si>
    <t>='C:\Users\jaime.benazar\Quorum Business Solutions\Ecopetrol Prometeo - Documents\Planning Space Implementation\3. Analysis &amp; Design\Design\FC22\DRR Jaime\QUIFA-CAJÚA\Cajua\[VAS_CAJUA_CF_SEC_20230125.xlsx]CF PDP'!$AY$58</t>
  </si>
  <si>
    <t>='C:\Users\jaime.benazar\Quorum Business Solutions\Ecopetrol Prometeo - Documents\Planning Space Implementation\3. Analysis &amp; Design\Design\FC22\DRR Jaime\QUIFA-CAJÚA\Cajua\[VAS_CAJUA_CF_SEC_20230125.xlsx]CF PDP'!$AY$59</t>
  </si>
  <si>
    <t>='C:\Users\jaime.benazar\Quorum Business Solutions\Ecopetrol Prometeo - Documents\Planning Space Implementation\3. Analysis &amp; Design\Design\FC22\DRR Jaime\QUIFA-CAJÚA\Cajua\[VAS_CAJUA_CF_SEC_20230125.xlsx]CF PDP'!$AY$60</t>
  </si>
  <si>
    <t>='C:\Users\jaime.benazar\Quorum Business Solutions\Ecopetrol Prometeo - Documents\Planning Space Implementation\3. Analysis &amp; Design\Design\FC22\DRR Jaime\QUIFA-CAJÚA\Cajua\[VAS_CAJUA_CF_SEC_20230125.xlsx]CF PDP'!$AY$61</t>
  </si>
  <si>
    <t>='C:\Users\jaime.benazar\Quorum Business Solutions\Ecopetrol Prometeo - Documents\Planning Space Implementation\3. Analysis &amp; Design\Design\FC22\DRR Jaime\QUIFA-CAJÚA\Cajua\[VAS_CAJUA_CF_SEC_20230125.xlsx]CF PDP'!$AY$62</t>
  </si>
  <si>
    <t>='C:\Users\jaime.benazar\Quorum Business Solutions\Ecopetrol Prometeo - Documents\Planning Space Implementation\3. Analysis &amp; Design\Design\FC22\DRR Jaime\QUIFA-CAJÚA\Cajua\[VAS_CAJUA_CF_SEC_20230125.xlsx]CF PDP'!$AY$63</t>
  </si>
  <si>
    <t>='C:\Users\jaime.benazar\Quorum Business Solutions\Ecopetrol Prometeo - Documents\Planning Space Implementation\3. Analysis &amp; Design\Design\FC22\DRR Jaime\QUIFA-CAJÚA\Cajua\[VAS_CAJUA_CF_SEC_20230125.xlsx]CF PDP'!$AY$64</t>
  </si>
  <si>
    <t>='C:\Users\jaime.benazar\Quorum Business Solutions\Ecopetrol Prometeo - Documents\Planning Space Implementation\3. Analysis &amp; Design\Design\FC22\DRR Jaime\QUIFA-CAJÚA\Cajua\[VAS_CAJUA_CF_SEC_20230125.xlsx]CF PDP'!$AY$65</t>
  </si>
  <si>
    <t>='C:\Users\jaime.benazar\Quorum Business Solutions\Ecopetrol Prometeo - Documents\Planning Space Implementation\3. Analysis &amp; Design\Design\FC22\DRR Jaime\QUIFA-CAJÚA\Cajua\[VAS_CAJUA_CF_SEC_20230125.xlsx]CF PDP'!$AY$66</t>
  </si>
  <si>
    <t>='C:\Users\jaime.benazar\Quorum Business Solutions\Ecopetrol Prometeo - Documents\Planning Space Implementation\3. Analysis &amp; Design\Design\FC22\DRR Jaime\QUIFA-CAJÚA\Cajua\[VAS_CAJUA_CF_SEC_20230125.xlsx]CF PDP'!$AY$67</t>
  </si>
  <si>
    <t>='C:\Users\jaime.benazar\Quorum Business Solutions\Ecopetrol Prometeo - Documents\Planning Space Implementation\3. Analysis &amp; Design\Design\FC22\DRR Jaime\QUIFA-CAJÚA\Cajua\[VAS_CAJUA_CF_SEC_20230125.xlsx]CF PDP'!$AY$68</t>
  </si>
  <si>
    <t>='C:\Users\jaime.benazar\Quorum Business Solutions\Ecopetrol Prometeo - Documents\Planning Space Implementation\3. Analysis &amp; Design\Design\FC22\DRR Jaime\QUIFA-CAJÚA\Cajua\[VAS_CAJUA_CF_SEC_20230125.xlsx]CF PDP'!$AY$69</t>
  </si>
  <si>
    <t>='C:\Users\jaime.benazar\Quorum Business Solutions\Ecopetrol Prometeo - Documents\Planning Space Implementation\3. Analysis &amp; Design\Design\FC22\DRR Jaime\QUIFA-CAJÚA\Cajua\[VAS_CAJUA_CF_SEC_20230125.xlsx]CF PDP'!$AY$70</t>
  </si>
  <si>
    <t>='C:\Users\jaime.benazar\Quorum Business Solutions\Ecopetrol Prometeo - Documents\Planning Space Implementation\3. Analysis &amp; Design\Design\FC22\DRR Jaime\QUIFA-CAJÚA\Cajua\[VAS_CAJUA_CF_SEC_20230125.xlsx]CF PDP'!$AY$71</t>
  </si>
  <si>
    <t>='C:\Users\jaime.benazar\Quorum Business Solutions\Ecopetrol Prometeo - Documents\Planning Space Implementation\3. Analysis &amp; Design\Design\FC22\DRR Jaime\QUIFA-CAJÚA\Cajua\[VAS_CAJUA_CF_SEC_20230125.xlsx]CF PDP'!$AY$72</t>
  </si>
  <si>
    <t>='C:\Users\jaime.benazar\Quorum Business Solutions\Ecopetrol Prometeo - Documents\Planning Space Implementation\3. Analysis &amp; Design\Design\FC22\DRR Jaime\QUIFA-CAJÚA\Cajua\[VAS_CAJUA_CF_SEC_20230125.xlsx]CF PNP'!$AY$36</t>
  </si>
  <si>
    <t>='C:\Users\jaime.benazar\Quorum Business Solutions\Ecopetrol Prometeo - Documents\Planning Space Implementation\3. Analysis &amp; Design\Design\FC22\DRR Jaime\QUIFA-CAJÚA\Cajua\[VAS_CAJUA_CF_SEC_20230125.xlsx]CF PNP'!$AY$37</t>
  </si>
  <si>
    <t>='C:\Users\jaime.benazar\Quorum Business Solutions\Ecopetrol Prometeo - Documents\Planning Space Implementation\3. Analysis &amp; Design\Design\FC22\DRR Jaime\QUIFA-CAJÚA\Cajua\[VAS_CAJUA_CF_SEC_20230125.xlsx]CF PNP'!$AY$38</t>
  </si>
  <si>
    <t>='C:\Users\jaime.benazar\Quorum Business Solutions\Ecopetrol Prometeo - Documents\Planning Space Implementation\3. Analysis &amp; Design\Design\FC22\DRR Jaime\QUIFA-CAJÚA\Cajua\[VAS_CAJUA_CF_SEC_20230125.xlsx]CF PNP'!$AY$39</t>
  </si>
  <si>
    <t>='C:\Users\jaime.benazar\Quorum Business Solutions\Ecopetrol Prometeo - Documents\Planning Space Implementation\3. Analysis &amp; Design\Design\FC22\DRR Jaime\QUIFA-CAJÚA\Cajua\[VAS_CAJUA_CF_SEC_20230125.xlsx]CF PNP'!$AY$40</t>
  </si>
  <si>
    <t>='C:\Users\jaime.benazar\Quorum Business Solutions\Ecopetrol Prometeo - Documents\Planning Space Implementation\3. Analysis &amp; Design\Design\FC22\DRR Jaime\QUIFA-CAJÚA\Cajua\[VAS_CAJUA_CF_SEC_20230125.xlsx]CF PNP'!$AY$41</t>
  </si>
  <si>
    <t>='C:\Users\jaime.benazar\Quorum Business Solutions\Ecopetrol Prometeo - Documents\Planning Space Implementation\3. Analysis &amp; Design\Design\FC22\DRR Jaime\QUIFA-CAJÚA\Cajua\[VAS_CAJUA_CF_SEC_20230125.xlsx]CF PNP'!$AY$42</t>
  </si>
  <si>
    <t>='C:\Users\jaime.benazar\Quorum Business Solutions\Ecopetrol Prometeo - Documents\Planning Space Implementation\3. Analysis &amp; Design\Design\FC22\DRR Jaime\QUIFA-CAJÚA\Cajua\[VAS_CAJUA_CF_SEC_20230125.xlsx]CF PNP'!$AY$43</t>
  </si>
  <si>
    <t>='C:\Users\jaime.benazar\Quorum Business Solutions\Ecopetrol Prometeo - Documents\Planning Space Implementation\3. Analysis &amp; Design\Design\FC22\DRR Jaime\QUIFA-CAJÚA\Cajua\[VAS_CAJUA_CF_SEC_20230125.xlsx]CF PNP'!$AY$44</t>
  </si>
  <si>
    <t>='C:\Users\jaime.benazar\Quorum Business Solutions\Ecopetrol Prometeo - Documents\Planning Space Implementation\3. Analysis &amp; Design\Design\FC22\DRR Jaime\QUIFA-CAJÚA\Cajua\[VAS_CAJUA_CF_SEC_20230125.xlsx]CF PNP'!$AY$45</t>
  </si>
  <si>
    <t>='C:\Users\jaime.benazar\Quorum Business Solutions\Ecopetrol Prometeo - Documents\Planning Space Implementation\3. Analysis &amp; Design\Design\FC22\DRR Jaime\QUIFA-CAJÚA\Cajua\[VAS_CAJUA_CF_SEC_20230125.xlsx]CF PNP'!$AY$46</t>
  </si>
  <si>
    <t>='C:\Users\jaime.benazar\Quorum Business Solutions\Ecopetrol Prometeo - Documents\Planning Space Implementation\3. Analysis &amp; Design\Design\FC22\DRR Jaime\QUIFA-CAJÚA\Cajua\[VAS_CAJUA_CF_SEC_20230125.xlsx]CF PNP'!$AY$47</t>
  </si>
  <si>
    <t>='C:\Users\jaime.benazar\Quorum Business Solutions\Ecopetrol Prometeo - Documents\Planning Space Implementation\3. Analysis &amp; Design\Design\FC22\DRR Jaime\QUIFA-CAJÚA\Cajua\[VAS_CAJUA_CF_SEC_20230125.xlsx]CF PNP'!$AY$48</t>
  </si>
  <si>
    <t>='C:\Users\jaime.benazar\Quorum Business Solutions\Ecopetrol Prometeo - Documents\Planning Space Implementation\3. Analysis &amp; Design\Design\FC22\DRR Jaime\QUIFA-CAJÚA\Cajua\[VAS_CAJUA_CF_SEC_20230125.xlsx]CF PNP'!$AY$49</t>
  </si>
  <si>
    <t>='C:\Users\jaime.benazar\Quorum Business Solutions\Ecopetrol Prometeo - Documents\Planning Space Implementation\3. Analysis &amp; Design\Design\FC22\DRR Jaime\QUIFA-CAJÚA\Cajua\[VAS_CAJUA_CF_SEC_20230125.xlsx]CF PNP'!$AY$50</t>
  </si>
  <si>
    <t>='C:\Users\jaime.benazar\Quorum Business Solutions\Ecopetrol Prometeo - Documents\Planning Space Implementation\3. Analysis &amp; Design\Design\FC22\DRR Jaime\QUIFA-CAJÚA\Cajua\[VAS_CAJUA_CF_SEC_20230125.xlsx]CF PNP'!$AY$51</t>
  </si>
  <si>
    <t>='C:\Users\jaime.benazar\Quorum Business Solutions\Ecopetrol Prometeo - Documents\Planning Space Implementation\3. Analysis &amp; Design\Design\FC22\DRR Jaime\QUIFA-CAJÚA\Cajua\[VAS_CAJUA_CF_SEC_20230125.xlsx]CF PNP'!$AY$52</t>
  </si>
  <si>
    <t>='C:\Users\jaime.benazar\Quorum Business Solutions\Ecopetrol Prometeo - Documents\Planning Space Implementation\3. Analysis &amp; Design\Design\FC22\DRR Jaime\QUIFA-CAJÚA\Cajua\[VAS_CAJUA_CF_SEC_20230125.xlsx]CF PNP'!$AY$53</t>
  </si>
  <si>
    <t>='C:\Users\jaime.benazar\Quorum Business Solutions\Ecopetrol Prometeo - Documents\Planning Space Implementation\3. Analysis &amp; Design\Design\FC22\DRR Jaime\QUIFA-CAJÚA\Cajua\[VAS_CAJUA_CF_SEC_20230125.xlsx]CF PNP'!$AY$54</t>
  </si>
  <si>
    <t>='C:\Users\jaime.benazar\Quorum Business Solutions\Ecopetrol Prometeo - Documents\Planning Space Implementation\3. Analysis &amp; Design\Design\FC22\DRR Jaime\QUIFA-CAJÚA\Cajua\[VAS_CAJUA_CF_SEC_20230125.xlsx]CF PNP'!$AY$55</t>
  </si>
  <si>
    <t>='C:\Users\jaime.benazar\Quorum Business Solutions\Ecopetrol Prometeo - Documents\Planning Space Implementation\3. Analysis &amp; Design\Design\FC22\DRR Jaime\QUIFA-CAJÚA\Cajua\[VAS_CAJUA_CF_SEC_20230125.xlsx]CF PNP'!$AY$56</t>
  </si>
  <si>
    <t>='C:\Users\jaime.benazar\Quorum Business Solutions\Ecopetrol Prometeo - Documents\Planning Space Implementation\3. Analysis &amp; Design\Design\FC22\DRR Jaime\QUIFA-CAJÚA\Cajua\[VAS_CAJUA_CF_SEC_20230125.xlsx]CF PNP'!$AY$57</t>
  </si>
  <si>
    <t>='C:\Users\jaime.benazar\Quorum Business Solutions\Ecopetrol Prometeo - Documents\Planning Space Implementation\3. Analysis &amp; Design\Design\FC22\DRR Jaime\QUIFA-CAJÚA\Cajua\[VAS_CAJUA_CF_SEC_20230125.xlsx]CF PNP'!$AY$58</t>
  </si>
  <si>
    <t>='C:\Users\jaime.benazar\Quorum Business Solutions\Ecopetrol Prometeo - Documents\Planning Space Implementation\3. Analysis &amp; Design\Design\FC22\DRR Jaime\QUIFA-CAJÚA\Cajua\[VAS_CAJUA_CF_SEC_20230125.xlsx]CF PNP'!$AY$59</t>
  </si>
  <si>
    <t>='C:\Users\jaime.benazar\Quorum Business Solutions\Ecopetrol Prometeo - Documents\Planning Space Implementation\3. Analysis &amp; Design\Design\FC22\DRR Jaime\QUIFA-CAJÚA\Cajua\[VAS_CAJUA_CF_SEC_20230125.xlsx]CF PNP'!$AY$60</t>
  </si>
  <si>
    <t>='C:\Users\jaime.benazar\Quorum Business Solutions\Ecopetrol Prometeo - Documents\Planning Space Implementation\3. Analysis &amp; Design\Design\FC22\DRR Jaime\QUIFA-CAJÚA\Cajua\[VAS_CAJUA_CF_SEC_20230125.xlsx]CF PNP'!$AY$61</t>
  </si>
  <si>
    <t>='C:\Users\jaime.benazar\Quorum Business Solutions\Ecopetrol Prometeo - Documents\Planning Space Implementation\3. Analysis &amp; Design\Design\FC22\DRR Jaime\QUIFA-CAJÚA\Cajua\[VAS_CAJUA_CF_SEC_20230125.xlsx]CF PNP'!$AY$62</t>
  </si>
  <si>
    <t>='C:\Users\jaime.benazar\Quorum Business Solutions\Ecopetrol Prometeo - Documents\Planning Space Implementation\3. Analysis &amp; Design\Design\FC22\DRR Jaime\QUIFA-CAJÚA\Cajua\[VAS_CAJUA_CF_SEC_20230125.xlsx]CF PNP'!$AY$63</t>
  </si>
  <si>
    <t>='C:\Users\jaime.benazar\Quorum Business Solutions\Ecopetrol Prometeo - Documents\Planning Space Implementation\3. Analysis &amp; Design\Design\FC22\DRR Jaime\QUIFA-CAJÚA\Cajua\[VAS_CAJUA_CF_SEC_20230125.xlsx]CF PNP'!$AY$64</t>
  </si>
  <si>
    <t>='C:\Users\jaime.benazar\Quorum Business Solutions\Ecopetrol Prometeo - Documents\Planning Space Implementation\3. Analysis &amp; Design\Design\FC22\DRR Jaime\QUIFA-CAJÚA\Cajua\[VAS_CAJUA_CF_SEC_20230125.xlsx]CF PNP'!$AY$65</t>
  </si>
  <si>
    <t>='C:\Users\jaime.benazar\Quorum Business Solutions\Ecopetrol Prometeo - Documents\Planning Space Implementation\3. Analysis &amp; Design\Design\FC22\DRR Jaime\QUIFA-CAJÚA\Cajua\[VAS_CAJUA_CF_SEC_20230125.xlsx]CF PNP'!$AY$66</t>
  </si>
  <si>
    <t>='C:\Users\jaime.benazar\Quorum Business Solutions\Ecopetrol Prometeo - Documents\Planning Space Implementation\3. Analysis &amp; Design\Design\FC22\DRR Jaime\QUIFA-CAJÚA\Cajua\[VAS_CAJUA_CF_SEC_20230125.xlsx]CF PNP'!$AY$67</t>
  </si>
  <si>
    <t>='C:\Users\jaime.benazar\Quorum Business Solutions\Ecopetrol Prometeo - Documents\Planning Space Implementation\3. Analysis &amp; Design\Design\FC22\DRR Jaime\QUIFA-CAJÚA\Cajua\[VAS_CAJUA_CF_SEC_20230125.xlsx]CF PNP'!$AY$68</t>
  </si>
  <si>
    <t>='C:\Users\jaime.benazar\Quorum Business Solutions\Ecopetrol Prometeo - Documents\Planning Space Implementation\3. Analysis &amp; Design\Design\FC22\DRR Jaime\QUIFA-CAJÚA\Cajua\[VAS_CAJUA_CF_SEC_20230125.xlsx]CF PNP'!$AY$69</t>
  </si>
  <si>
    <t>='C:\Users\jaime.benazar\Quorum Business Solutions\Ecopetrol Prometeo - Documents\Planning Space Implementation\3. Analysis &amp; Design\Design\FC22\DRR Jaime\QUIFA-CAJÚA\Cajua\[VAS_CAJUA_CF_SEC_20230125.xlsx]CF PNP'!$AY$70</t>
  </si>
  <si>
    <t>='C:\Users\jaime.benazar\Quorum Business Solutions\Ecopetrol Prometeo - Documents\Planning Space Implementation\3. Analysis &amp; Design\Design\FC22\DRR Jaime\QUIFA-CAJÚA\Cajua\[VAS_CAJUA_CF_SEC_20230125.xlsx]CF PNP'!$AY$71</t>
  </si>
  <si>
    <t>='C:\Users\jaime.benazar\Quorum Business Solutions\Ecopetrol Prometeo - Documents\Planning Space Implementation\3. Analysis &amp; Design\Design\FC22\DRR Jaime\QUIFA-CAJÚA\Cajua\[VAS_CAJUA_CF_SEC_20230125.xlsx]CF PNP'!$AY$72</t>
  </si>
  <si>
    <t>='C:\Users\jaime.benazar\Quorum Business Solutions\Ecopetrol Prometeo - Documents\Planning Space Implementation\3. Analysis &amp; Design\Design\FC22\DRR Jaime\QUIFA-CAJÚA\Cajua\[VAS_CAJUA_CF_SEC_20230125.xlsx]CF PND'!$AY$36</t>
  </si>
  <si>
    <t>='C:\Users\jaime.benazar\Quorum Business Solutions\Ecopetrol Prometeo - Documents\Planning Space Implementation\3. Analysis &amp; Design\Design\FC22\DRR Jaime\QUIFA-CAJÚA\Cajua\[VAS_CAJUA_CF_SEC_20230125.xlsx]CF PND'!$AY$37</t>
  </si>
  <si>
    <t>='C:\Users\jaime.benazar\Quorum Business Solutions\Ecopetrol Prometeo - Documents\Planning Space Implementation\3. Analysis &amp; Design\Design\FC22\DRR Jaime\QUIFA-CAJÚA\Cajua\[VAS_CAJUA_CF_SEC_20230125.xlsx]CF PND'!$AY$38</t>
  </si>
  <si>
    <t>='C:\Users\jaime.benazar\Quorum Business Solutions\Ecopetrol Prometeo - Documents\Planning Space Implementation\3. Analysis &amp; Design\Design\FC22\DRR Jaime\QUIFA-CAJÚA\Cajua\[VAS_CAJUA_CF_SEC_20230125.xlsx]CF PND'!$AY$39</t>
  </si>
  <si>
    <t>='C:\Users\jaime.benazar\Quorum Business Solutions\Ecopetrol Prometeo - Documents\Planning Space Implementation\3. Analysis &amp; Design\Design\FC22\DRR Jaime\QUIFA-CAJÚA\Cajua\[VAS_CAJUA_CF_SEC_20230125.xlsx]CF PND'!$AY$40</t>
  </si>
  <si>
    <t>='C:\Users\jaime.benazar\Quorum Business Solutions\Ecopetrol Prometeo - Documents\Planning Space Implementation\3. Analysis &amp; Design\Design\FC22\DRR Jaime\QUIFA-CAJÚA\Cajua\[VAS_CAJUA_CF_SEC_20230125.xlsx]CF PND'!$AY$41</t>
  </si>
  <si>
    <t>='C:\Users\jaime.benazar\Quorum Business Solutions\Ecopetrol Prometeo - Documents\Planning Space Implementation\3. Analysis &amp; Design\Design\FC22\DRR Jaime\QUIFA-CAJÚA\Cajua\[VAS_CAJUA_CF_SEC_20230125.xlsx]CF PND'!$AY$42</t>
  </si>
  <si>
    <t>='C:\Users\jaime.benazar\Quorum Business Solutions\Ecopetrol Prometeo - Documents\Planning Space Implementation\3. Analysis &amp; Design\Design\FC22\DRR Jaime\QUIFA-CAJÚA\Cajua\[VAS_CAJUA_CF_SEC_20230125.xlsx]CF PND'!$AY$43</t>
  </si>
  <si>
    <t>='C:\Users\jaime.benazar\Quorum Business Solutions\Ecopetrol Prometeo - Documents\Planning Space Implementation\3. Analysis &amp; Design\Design\FC22\DRR Jaime\QUIFA-CAJÚA\Cajua\[VAS_CAJUA_CF_SEC_20230125.xlsx]CF PND'!$AY$44</t>
  </si>
  <si>
    <t>='C:\Users\jaime.benazar\Quorum Business Solutions\Ecopetrol Prometeo - Documents\Planning Space Implementation\3. Analysis &amp; Design\Design\FC22\DRR Jaime\QUIFA-CAJÚA\Cajua\[VAS_CAJUA_CF_SEC_20230125.xlsx]CF PND'!$AY$45</t>
  </si>
  <si>
    <t>='C:\Users\jaime.benazar\Quorum Business Solutions\Ecopetrol Prometeo - Documents\Planning Space Implementation\3. Analysis &amp; Design\Design\FC22\DRR Jaime\QUIFA-CAJÚA\Cajua\[VAS_CAJUA_CF_SEC_20230125.xlsx]CF PND'!$AY$46</t>
  </si>
  <si>
    <t>='C:\Users\jaime.benazar\Quorum Business Solutions\Ecopetrol Prometeo - Documents\Planning Space Implementation\3. Analysis &amp; Design\Design\FC22\DRR Jaime\QUIFA-CAJÚA\Cajua\[VAS_CAJUA_CF_SEC_20230125.xlsx]CF PND'!$AY$47</t>
  </si>
  <si>
    <t>='C:\Users\jaime.benazar\Quorum Business Solutions\Ecopetrol Prometeo - Documents\Planning Space Implementation\3. Analysis &amp; Design\Design\FC22\DRR Jaime\QUIFA-CAJÚA\Cajua\[VAS_CAJUA_CF_SEC_20230125.xlsx]CF PND'!$AY$48</t>
  </si>
  <si>
    <t>='C:\Users\jaime.benazar\Quorum Business Solutions\Ecopetrol Prometeo - Documents\Planning Space Implementation\3. Analysis &amp; Design\Design\FC22\DRR Jaime\QUIFA-CAJÚA\Cajua\[VAS_CAJUA_CF_SEC_20230125.xlsx]CF PND'!$AY$49</t>
  </si>
  <si>
    <t>='C:\Users\jaime.benazar\Quorum Business Solutions\Ecopetrol Prometeo - Documents\Planning Space Implementation\3. Analysis &amp; Design\Design\FC22\DRR Jaime\QUIFA-CAJÚA\Cajua\[VAS_CAJUA_CF_SEC_20230125.xlsx]CF PND'!$AY$50</t>
  </si>
  <si>
    <t>='C:\Users\jaime.benazar\Quorum Business Solutions\Ecopetrol Prometeo - Documents\Planning Space Implementation\3. Analysis &amp; Design\Design\FC22\DRR Jaime\QUIFA-CAJÚA\Cajua\[VAS_CAJUA_CF_SEC_20230125.xlsx]CF PND'!$AY$51</t>
  </si>
  <si>
    <t>='C:\Users\jaime.benazar\Quorum Business Solutions\Ecopetrol Prometeo - Documents\Planning Space Implementation\3. Analysis &amp; Design\Design\FC22\DRR Jaime\QUIFA-CAJÚA\Cajua\[VAS_CAJUA_CF_SEC_20230125.xlsx]CF PND'!$AY$52</t>
  </si>
  <si>
    <t>='C:\Users\jaime.benazar\Quorum Business Solutions\Ecopetrol Prometeo - Documents\Planning Space Implementation\3. Analysis &amp; Design\Design\FC22\DRR Jaime\QUIFA-CAJÚA\Cajua\[VAS_CAJUA_CF_SEC_20230125.xlsx]CF PND'!$AY$53</t>
  </si>
  <si>
    <t>='C:\Users\jaime.benazar\Quorum Business Solutions\Ecopetrol Prometeo - Documents\Planning Space Implementation\3. Analysis &amp; Design\Design\FC22\DRR Jaime\QUIFA-CAJÚA\Cajua\[VAS_CAJUA_CF_SEC_20230125.xlsx]CF PND'!$AY$54</t>
  </si>
  <si>
    <t>='C:\Users\jaime.benazar\Quorum Business Solutions\Ecopetrol Prometeo - Documents\Planning Space Implementation\3. Analysis &amp; Design\Design\FC22\DRR Jaime\QUIFA-CAJÚA\Cajua\[VAS_CAJUA_CF_SEC_20230125.xlsx]CF PND'!$AY$55</t>
  </si>
  <si>
    <t>='C:\Users\jaime.benazar\Quorum Business Solutions\Ecopetrol Prometeo - Documents\Planning Space Implementation\3. Analysis &amp; Design\Design\FC22\DRR Jaime\QUIFA-CAJÚA\Cajua\[VAS_CAJUA_CF_SEC_20230125.xlsx]CF PND'!$AY$56</t>
  </si>
  <si>
    <t>='C:\Users\jaime.benazar\Quorum Business Solutions\Ecopetrol Prometeo - Documents\Planning Space Implementation\3. Analysis &amp; Design\Design\FC22\DRR Jaime\QUIFA-CAJÚA\Cajua\[VAS_CAJUA_CF_SEC_20230125.xlsx]CF PND'!$AY$57</t>
  </si>
  <si>
    <t>='C:\Users\jaime.benazar\Quorum Business Solutions\Ecopetrol Prometeo - Documents\Planning Space Implementation\3. Analysis &amp; Design\Design\FC22\DRR Jaime\QUIFA-CAJÚA\Cajua\[VAS_CAJUA_CF_SEC_20230125.xlsx]CF PND'!$AY$58</t>
  </si>
  <si>
    <t>='C:\Users\jaime.benazar\Quorum Business Solutions\Ecopetrol Prometeo - Documents\Planning Space Implementation\3. Analysis &amp; Design\Design\FC22\DRR Jaime\QUIFA-CAJÚA\Cajua\[VAS_CAJUA_CF_SEC_20230125.xlsx]CF PND'!$AY$59</t>
  </si>
  <si>
    <t>='C:\Users\jaime.benazar\Quorum Business Solutions\Ecopetrol Prometeo - Documents\Planning Space Implementation\3. Analysis &amp; Design\Design\FC22\DRR Jaime\QUIFA-CAJÚA\Cajua\[VAS_CAJUA_CF_SEC_20230125.xlsx]CF PND'!$AY$60</t>
  </si>
  <si>
    <t>='C:\Users\jaime.benazar\Quorum Business Solutions\Ecopetrol Prometeo - Documents\Planning Space Implementation\3. Analysis &amp; Design\Design\FC22\DRR Jaime\QUIFA-CAJÚA\Cajua\[VAS_CAJUA_CF_SEC_20230125.xlsx]CF PND'!$AY$61</t>
  </si>
  <si>
    <t>='C:\Users\jaime.benazar\Quorum Business Solutions\Ecopetrol Prometeo - Documents\Planning Space Implementation\3. Analysis &amp; Design\Design\FC22\DRR Jaime\QUIFA-CAJÚA\Cajua\[VAS_CAJUA_CF_SEC_20230125.xlsx]CF PND'!$AY$62</t>
  </si>
  <si>
    <t>='C:\Users\jaime.benazar\Quorum Business Solutions\Ecopetrol Prometeo - Documents\Planning Space Implementation\3. Analysis &amp; Design\Design\FC22\DRR Jaime\QUIFA-CAJÚA\Cajua\[VAS_CAJUA_CF_SEC_20230125.xlsx]CF PND'!$AY$63</t>
  </si>
  <si>
    <t>='C:\Users\jaime.benazar\Quorum Business Solutions\Ecopetrol Prometeo - Documents\Planning Space Implementation\3. Analysis &amp; Design\Design\FC22\DRR Jaime\QUIFA-CAJÚA\Cajua\[VAS_CAJUA_CF_SEC_20230125.xlsx]CF PND'!$AY$64</t>
  </si>
  <si>
    <t>='C:\Users\jaime.benazar\Quorum Business Solutions\Ecopetrol Prometeo - Documents\Planning Space Implementation\3. Analysis &amp; Design\Design\FC22\DRR Jaime\QUIFA-CAJÚA\Cajua\[VAS_CAJUA_CF_SEC_20230125.xlsx]CF PND'!$AY$65</t>
  </si>
  <si>
    <t>='C:\Users\jaime.benazar\Quorum Business Solutions\Ecopetrol Prometeo - Documents\Planning Space Implementation\3. Analysis &amp; Design\Design\FC22\DRR Jaime\QUIFA-CAJÚA\Cajua\[VAS_CAJUA_CF_SEC_20230125.xlsx]CF PND'!$AY$66</t>
  </si>
  <si>
    <t>='C:\Users\jaime.benazar\Quorum Business Solutions\Ecopetrol Prometeo - Documents\Planning Space Implementation\3. Analysis &amp; Design\Design\FC22\DRR Jaime\QUIFA-CAJÚA\Cajua\[VAS_CAJUA_CF_SEC_20230125.xlsx]CF PND'!$AY$67</t>
  </si>
  <si>
    <t>='C:\Users\jaime.benazar\Quorum Business Solutions\Ecopetrol Prometeo - Documents\Planning Space Implementation\3. Analysis &amp; Design\Design\FC22\DRR Jaime\QUIFA-CAJÚA\Cajua\[VAS_CAJUA_CF_SEC_20230125.xlsx]CF PND'!$AY$68</t>
  </si>
  <si>
    <t>='C:\Users\jaime.benazar\Quorum Business Solutions\Ecopetrol Prometeo - Documents\Planning Space Implementation\3. Analysis &amp; Design\Design\FC22\DRR Jaime\QUIFA-CAJÚA\Cajua\[VAS_CAJUA_CF_SEC_20230125.xlsx]CF PND'!$AY$69</t>
  </si>
  <si>
    <t>='C:\Users\jaime.benazar\Quorum Business Solutions\Ecopetrol Prometeo - Documents\Planning Space Implementation\3. Analysis &amp; Design\Design\FC22\DRR Jaime\QUIFA-CAJÚA\Cajua\[VAS_CAJUA_CF_SEC_20230125.xlsx]CF PND'!$AY$70</t>
  </si>
  <si>
    <t>='C:\Users\jaime.benazar\Quorum Business Solutions\Ecopetrol Prometeo - Documents\Planning Space Implementation\3. Analysis &amp; Design\Design\FC22\DRR Jaime\QUIFA-CAJÚA\Cajua\[VAS_CAJUA_CF_SEC_20230125.xlsx]CF PND'!$AY$71</t>
  </si>
  <si>
    <t>='C:\Users\jaime.benazar\Quorum Business Solutions\Ecopetrol Prometeo - Documents\Planning Space Implementation\3. Analysis &amp; Design\Design\FC22\DRR Jaime\QUIFA-CAJÚA\Cajua\[VAS_CAJUA_CF_SEC_20230125.xlsx]CF PND'!$AY$72</t>
  </si>
  <si>
    <t>='C:\Users\jaime.benazar\Quorum Business Solutions\Ecopetrol Prometeo - Documents\Planning Space Implementation\3. Analysis &amp; Design\Design\FC22\DRR Jaime\QUIFA-CAJÚA\Cajua\[VAS_CAJUA_CF_SEC_20230125.xlsx]CF PRB'!$AY$36</t>
  </si>
  <si>
    <t>='C:\Users\jaime.benazar\Quorum Business Solutions\Ecopetrol Prometeo - Documents\Planning Space Implementation\3. Analysis &amp; Design\Design\FC22\DRR Jaime\QUIFA-CAJÚA\Cajua\[VAS_CAJUA_CF_SEC_20230125.xlsx]CF PRB'!$AY$37</t>
  </si>
  <si>
    <t>='C:\Users\jaime.benazar\Quorum Business Solutions\Ecopetrol Prometeo - Documents\Planning Space Implementation\3. Analysis &amp; Design\Design\FC22\DRR Jaime\QUIFA-CAJÚA\Cajua\[VAS_CAJUA_CF_SEC_20230125.xlsx]CF PRB'!$AY$38</t>
  </si>
  <si>
    <t>='C:\Users\jaime.benazar\Quorum Business Solutions\Ecopetrol Prometeo - Documents\Planning Space Implementation\3. Analysis &amp; Design\Design\FC22\DRR Jaime\QUIFA-CAJÚA\Cajua\[VAS_CAJUA_CF_SEC_20230125.xlsx]CF PRB'!$AY$39</t>
  </si>
  <si>
    <t>='C:\Users\jaime.benazar\Quorum Business Solutions\Ecopetrol Prometeo - Documents\Planning Space Implementation\3. Analysis &amp; Design\Design\FC22\DRR Jaime\QUIFA-CAJÚA\Cajua\[VAS_CAJUA_CF_SEC_20230125.xlsx]CF PRB'!$AY$40</t>
  </si>
  <si>
    <t>='C:\Users\jaime.benazar\Quorum Business Solutions\Ecopetrol Prometeo - Documents\Planning Space Implementation\3. Analysis &amp; Design\Design\FC22\DRR Jaime\QUIFA-CAJÚA\Cajua\[VAS_CAJUA_CF_SEC_20230125.xlsx]CF PRB'!$AY$41</t>
  </si>
  <si>
    <t>='C:\Users\jaime.benazar\Quorum Business Solutions\Ecopetrol Prometeo - Documents\Planning Space Implementation\3. Analysis &amp; Design\Design\FC22\DRR Jaime\QUIFA-CAJÚA\Cajua\[VAS_CAJUA_CF_SEC_20230125.xlsx]CF PRB'!$AY$42</t>
  </si>
  <si>
    <t>='C:\Users\jaime.benazar\Quorum Business Solutions\Ecopetrol Prometeo - Documents\Planning Space Implementation\3. Analysis &amp; Design\Design\FC22\DRR Jaime\QUIFA-CAJÚA\Cajua\[VAS_CAJUA_CF_SEC_20230125.xlsx]CF PRB'!$AY$43</t>
  </si>
  <si>
    <t>='C:\Users\jaime.benazar\Quorum Business Solutions\Ecopetrol Prometeo - Documents\Planning Space Implementation\3. Analysis &amp; Design\Design\FC22\DRR Jaime\QUIFA-CAJÚA\Cajua\[VAS_CAJUA_CF_SEC_20230125.xlsx]CF PRB'!$AY$44</t>
  </si>
  <si>
    <t>='C:\Users\jaime.benazar\Quorum Business Solutions\Ecopetrol Prometeo - Documents\Planning Space Implementation\3. Analysis &amp; Design\Design\FC22\DRR Jaime\QUIFA-CAJÚA\Cajua\[VAS_CAJUA_CF_SEC_20230125.xlsx]CF PRB'!$AY$45</t>
  </si>
  <si>
    <t>='C:\Users\jaime.benazar\Quorum Business Solutions\Ecopetrol Prometeo - Documents\Planning Space Implementation\3. Analysis &amp; Design\Design\FC22\DRR Jaime\QUIFA-CAJÚA\Cajua\[VAS_CAJUA_CF_SEC_20230125.xlsx]CF PRB'!$AY$46</t>
  </si>
  <si>
    <t>='C:\Users\jaime.benazar\Quorum Business Solutions\Ecopetrol Prometeo - Documents\Planning Space Implementation\3. Analysis &amp; Design\Design\FC22\DRR Jaime\QUIFA-CAJÚA\Cajua\[VAS_CAJUA_CF_SEC_20230125.xlsx]CF PRB'!$AY$47</t>
  </si>
  <si>
    <t>='C:\Users\jaime.benazar\Quorum Business Solutions\Ecopetrol Prometeo - Documents\Planning Space Implementation\3. Analysis &amp; Design\Design\FC22\DRR Jaime\QUIFA-CAJÚA\Cajua\[VAS_CAJUA_CF_SEC_20230125.xlsx]CF PRB'!$AY$48</t>
  </si>
  <si>
    <t>='C:\Users\jaime.benazar\Quorum Business Solutions\Ecopetrol Prometeo - Documents\Planning Space Implementation\3. Analysis &amp; Design\Design\FC22\DRR Jaime\QUIFA-CAJÚA\Cajua\[VAS_CAJUA_CF_SEC_20230125.xlsx]CF PRB'!$AY$49</t>
  </si>
  <si>
    <t>='C:\Users\jaime.benazar\Quorum Business Solutions\Ecopetrol Prometeo - Documents\Planning Space Implementation\3. Analysis &amp; Design\Design\FC22\DRR Jaime\QUIFA-CAJÚA\Cajua\[VAS_CAJUA_CF_SEC_20230125.xlsx]CF PRB'!$AY$50</t>
  </si>
  <si>
    <t>='C:\Users\jaime.benazar\Quorum Business Solutions\Ecopetrol Prometeo - Documents\Planning Space Implementation\3. Analysis &amp; Design\Design\FC22\DRR Jaime\QUIFA-CAJÚA\Cajua\[VAS_CAJUA_CF_SEC_20230125.xlsx]CF PRB'!$AY$51</t>
  </si>
  <si>
    <t>='C:\Users\jaime.benazar\Quorum Business Solutions\Ecopetrol Prometeo - Documents\Planning Space Implementation\3. Analysis &amp; Design\Design\FC22\DRR Jaime\QUIFA-CAJÚA\Cajua\[VAS_CAJUA_CF_SEC_20230125.xlsx]CF PRB'!$AY$52</t>
  </si>
  <si>
    <t>='C:\Users\jaime.benazar\Quorum Business Solutions\Ecopetrol Prometeo - Documents\Planning Space Implementation\3. Analysis &amp; Design\Design\FC22\DRR Jaime\QUIFA-CAJÚA\Cajua\[VAS_CAJUA_CF_SEC_20230125.xlsx]CF PRB'!$AY$53</t>
  </si>
  <si>
    <t>='C:\Users\jaime.benazar\Quorum Business Solutions\Ecopetrol Prometeo - Documents\Planning Space Implementation\3. Analysis &amp; Design\Design\FC22\DRR Jaime\QUIFA-CAJÚA\Cajua\[VAS_CAJUA_CF_SEC_20230125.xlsx]CF PRB'!$AY$54</t>
  </si>
  <si>
    <t>='C:\Users\jaime.benazar\Quorum Business Solutions\Ecopetrol Prometeo - Documents\Planning Space Implementation\3. Analysis &amp; Design\Design\FC22\DRR Jaime\QUIFA-CAJÚA\Cajua\[VAS_CAJUA_CF_SEC_20230125.xlsx]CF PRB'!$AY$55</t>
  </si>
  <si>
    <t>='C:\Users\jaime.benazar\Quorum Business Solutions\Ecopetrol Prometeo - Documents\Planning Space Implementation\3. Analysis &amp; Design\Design\FC22\DRR Jaime\QUIFA-CAJÚA\Cajua\[VAS_CAJUA_CF_SEC_20230125.xlsx]CF PRB'!$AY$56</t>
  </si>
  <si>
    <t>='C:\Users\jaime.benazar\Quorum Business Solutions\Ecopetrol Prometeo - Documents\Planning Space Implementation\3. Analysis &amp; Design\Design\FC22\DRR Jaime\QUIFA-CAJÚA\Cajua\[VAS_CAJUA_CF_SEC_20230125.xlsx]CF PRB'!$AY$57</t>
  </si>
  <si>
    <t>='C:\Users\jaime.benazar\Quorum Business Solutions\Ecopetrol Prometeo - Documents\Planning Space Implementation\3. Analysis &amp; Design\Design\FC22\DRR Jaime\QUIFA-CAJÚA\Cajua\[VAS_CAJUA_CF_SEC_20230125.xlsx]CF PRB'!$AY$58</t>
  </si>
  <si>
    <t>='C:\Users\jaime.benazar\Quorum Business Solutions\Ecopetrol Prometeo - Documents\Planning Space Implementation\3. Analysis &amp; Design\Design\FC22\DRR Jaime\QUIFA-CAJÚA\Cajua\[VAS_CAJUA_CF_SEC_20230125.xlsx]CF PRB'!$AY$59</t>
  </si>
  <si>
    <t>='C:\Users\jaime.benazar\Quorum Business Solutions\Ecopetrol Prometeo - Documents\Planning Space Implementation\3. Analysis &amp; Design\Design\FC22\DRR Jaime\QUIFA-CAJÚA\Cajua\[VAS_CAJUA_CF_SEC_20230125.xlsx]CF PRB'!$AY$60</t>
  </si>
  <si>
    <t>='C:\Users\jaime.benazar\Quorum Business Solutions\Ecopetrol Prometeo - Documents\Planning Space Implementation\3. Analysis &amp; Design\Design\FC22\DRR Jaime\QUIFA-CAJÚA\Cajua\[VAS_CAJUA_CF_SEC_20230125.xlsx]CF PRB'!$AY$61</t>
  </si>
  <si>
    <t>='C:\Users\jaime.benazar\Quorum Business Solutions\Ecopetrol Prometeo - Documents\Planning Space Implementation\3. Analysis &amp; Design\Design\FC22\DRR Jaime\QUIFA-CAJÚA\Cajua\[VAS_CAJUA_CF_SEC_20230125.xlsx]CF PRB'!$AY$62</t>
  </si>
  <si>
    <t>='C:\Users\jaime.benazar\Quorum Business Solutions\Ecopetrol Prometeo - Documents\Planning Space Implementation\3. Analysis &amp; Design\Design\FC22\DRR Jaime\QUIFA-CAJÚA\Cajua\[VAS_CAJUA_CF_SEC_20230125.xlsx]CF PRB'!$AY$63</t>
  </si>
  <si>
    <t>='C:\Users\jaime.benazar\Quorum Business Solutions\Ecopetrol Prometeo - Documents\Planning Space Implementation\3. Analysis &amp; Design\Design\FC22\DRR Jaime\QUIFA-CAJÚA\Cajua\[VAS_CAJUA_CF_SEC_20230125.xlsx]CF PRB'!$AY$64</t>
  </si>
  <si>
    <t>='C:\Users\jaime.benazar\Quorum Business Solutions\Ecopetrol Prometeo - Documents\Planning Space Implementation\3. Analysis &amp; Design\Design\FC22\DRR Jaime\QUIFA-CAJÚA\Cajua\[VAS_CAJUA_CF_SEC_20230125.xlsx]CF PRB'!$AY$65</t>
  </si>
  <si>
    <t>='C:\Users\jaime.benazar\Quorum Business Solutions\Ecopetrol Prometeo - Documents\Planning Space Implementation\3. Analysis &amp; Design\Design\FC22\DRR Jaime\QUIFA-CAJÚA\Cajua\[VAS_CAJUA_CF_SEC_20230125.xlsx]CF PRB'!$AY$66</t>
  </si>
  <si>
    <t>='C:\Users\jaime.benazar\Quorum Business Solutions\Ecopetrol Prometeo - Documents\Planning Space Implementation\3. Analysis &amp; Design\Design\FC22\DRR Jaime\QUIFA-CAJÚA\Cajua\[VAS_CAJUA_CF_SEC_20230125.xlsx]CF PRB'!$AY$67</t>
  </si>
  <si>
    <t>='C:\Users\jaime.benazar\Quorum Business Solutions\Ecopetrol Prometeo - Documents\Planning Space Implementation\3. Analysis &amp; Design\Design\FC22\DRR Jaime\QUIFA-CAJÚA\Cajua\[VAS_CAJUA_CF_SEC_20230125.xlsx]CF PRB'!$AY$68</t>
  </si>
  <si>
    <t>='C:\Users\jaime.benazar\Quorum Business Solutions\Ecopetrol Prometeo - Documents\Planning Space Implementation\3. Analysis &amp; Design\Design\FC22\DRR Jaime\QUIFA-CAJÚA\Cajua\[VAS_CAJUA_CF_SEC_20230125.xlsx]CF PRB'!$AY$69</t>
  </si>
  <si>
    <t>='C:\Users\jaime.benazar\Quorum Business Solutions\Ecopetrol Prometeo - Documents\Planning Space Implementation\3. Analysis &amp; Design\Design\FC22\DRR Jaime\QUIFA-CAJÚA\Cajua\[VAS_CAJUA_CF_SEC_20230125.xlsx]CF PRB'!$AY$70</t>
  </si>
  <si>
    <t>='C:\Users\jaime.benazar\Quorum Business Solutions\Ecopetrol Prometeo - Documents\Planning Space Implementation\3. Analysis &amp; Design\Design\FC22\DRR Jaime\QUIFA-CAJÚA\Cajua\[VAS_CAJUA_CF_SEC_20230125.xlsx]CF PRB'!$AY$71</t>
  </si>
  <si>
    <t>='C:\Users\jaime.benazar\Quorum Business Solutions\Ecopetrol Prometeo - Documents\Planning Space Implementation\3. Analysis &amp; Design\Design\FC22\DRR Jaime\QUIFA-CAJÚA\Cajua\[VAS_CAJUA_CF_SEC_20230125.xlsx]CF PRB'!$AY$72</t>
  </si>
  <si>
    <t>='C:\Users\jaime.benazar\Quorum Business Solutions\Ecopetrol Prometeo - Documents\Planning Space Implementation\3. Analysis &amp; Design\Design\FC22\DRR Jaime\QUIFA-CAJÚA\Cajua\[VAS_CAJUA_CF_SEC_20230125.xlsx]CF PS'!$AY$36</t>
  </si>
  <si>
    <t>='C:\Users\jaime.benazar\Quorum Business Solutions\Ecopetrol Prometeo - Documents\Planning Space Implementation\3. Analysis &amp; Design\Design\FC22\DRR Jaime\QUIFA-CAJÚA\Cajua\[VAS_CAJUA_CF_SEC_20230125.xlsx]CF PS'!$AY$37</t>
  </si>
  <si>
    <t>='C:\Users\jaime.benazar\Quorum Business Solutions\Ecopetrol Prometeo - Documents\Planning Space Implementation\3. Analysis &amp; Design\Design\FC22\DRR Jaime\QUIFA-CAJÚA\Cajua\[VAS_CAJUA_CF_SEC_20230125.xlsx]CF PS'!$AY$38</t>
  </si>
  <si>
    <t>='C:\Users\jaime.benazar\Quorum Business Solutions\Ecopetrol Prometeo - Documents\Planning Space Implementation\3. Analysis &amp; Design\Design\FC22\DRR Jaime\QUIFA-CAJÚA\Cajua\[VAS_CAJUA_CF_SEC_20230125.xlsx]CF PS'!$AY$39</t>
  </si>
  <si>
    <t>='C:\Users\jaime.benazar\Quorum Business Solutions\Ecopetrol Prometeo - Documents\Planning Space Implementation\3. Analysis &amp; Design\Design\FC22\DRR Jaime\QUIFA-CAJÚA\Cajua\[VAS_CAJUA_CF_SEC_20230125.xlsx]CF PS'!$AY$40</t>
  </si>
  <si>
    <t>='C:\Users\jaime.benazar\Quorum Business Solutions\Ecopetrol Prometeo - Documents\Planning Space Implementation\3. Analysis &amp; Design\Design\FC22\DRR Jaime\QUIFA-CAJÚA\Cajua\[VAS_CAJUA_CF_SEC_20230125.xlsx]CF PS'!$AY$41</t>
  </si>
  <si>
    <t>='C:\Users\jaime.benazar\Quorum Business Solutions\Ecopetrol Prometeo - Documents\Planning Space Implementation\3. Analysis &amp; Design\Design\FC22\DRR Jaime\QUIFA-CAJÚA\Cajua\[VAS_CAJUA_CF_SEC_20230125.xlsx]CF PS'!$AY$42</t>
  </si>
  <si>
    <t>='C:\Users\jaime.benazar\Quorum Business Solutions\Ecopetrol Prometeo - Documents\Planning Space Implementation\3. Analysis &amp; Design\Design\FC22\DRR Jaime\QUIFA-CAJÚA\Cajua\[VAS_CAJUA_CF_SEC_20230125.xlsx]CF PS'!$AY$43</t>
  </si>
  <si>
    <t>='C:\Users\jaime.benazar\Quorum Business Solutions\Ecopetrol Prometeo - Documents\Planning Space Implementation\3. Analysis &amp; Design\Design\FC22\DRR Jaime\QUIFA-CAJÚA\Cajua\[VAS_CAJUA_CF_SEC_20230125.xlsx]CF PS'!$AY$44</t>
  </si>
  <si>
    <t>='C:\Users\jaime.benazar\Quorum Business Solutions\Ecopetrol Prometeo - Documents\Planning Space Implementation\3. Analysis &amp; Design\Design\FC22\DRR Jaime\QUIFA-CAJÚA\Cajua\[VAS_CAJUA_CF_SEC_20230125.xlsx]CF PS'!$AY$45</t>
  </si>
  <si>
    <t>='C:\Users\jaime.benazar\Quorum Business Solutions\Ecopetrol Prometeo - Documents\Planning Space Implementation\3. Analysis &amp; Design\Design\FC22\DRR Jaime\QUIFA-CAJÚA\Cajua\[VAS_CAJUA_CF_SEC_20230125.xlsx]CF PS'!$AY$46</t>
  </si>
  <si>
    <t>='C:\Users\jaime.benazar\Quorum Business Solutions\Ecopetrol Prometeo - Documents\Planning Space Implementation\3. Analysis &amp; Design\Design\FC22\DRR Jaime\QUIFA-CAJÚA\Cajua\[VAS_CAJUA_CF_SEC_20230125.xlsx]CF PS'!$AY$47</t>
  </si>
  <si>
    <t>='C:\Users\jaime.benazar\Quorum Business Solutions\Ecopetrol Prometeo - Documents\Planning Space Implementation\3. Analysis &amp; Design\Design\FC22\DRR Jaime\QUIFA-CAJÚA\Cajua\[VAS_CAJUA_CF_SEC_20230125.xlsx]CF PS'!$AY$48</t>
  </si>
  <si>
    <t>='C:\Users\jaime.benazar\Quorum Business Solutions\Ecopetrol Prometeo - Documents\Planning Space Implementation\3. Analysis &amp; Design\Design\FC22\DRR Jaime\QUIFA-CAJÚA\Cajua\[VAS_CAJUA_CF_SEC_20230125.xlsx]CF PS'!$AY$49</t>
  </si>
  <si>
    <t>='C:\Users\jaime.benazar\Quorum Business Solutions\Ecopetrol Prometeo - Documents\Planning Space Implementation\3. Analysis &amp; Design\Design\FC22\DRR Jaime\QUIFA-CAJÚA\Cajua\[VAS_CAJUA_CF_SEC_20230125.xlsx]CF PS'!$AY$50</t>
  </si>
  <si>
    <t>='C:\Users\jaime.benazar\Quorum Business Solutions\Ecopetrol Prometeo - Documents\Planning Space Implementation\3. Analysis &amp; Design\Design\FC22\DRR Jaime\QUIFA-CAJÚA\Cajua\[VAS_CAJUA_CF_SEC_20230125.xlsx]CF PS'!$AY$51</t>
  </si>
  <si>
    <t>='C:\Users\jaime.benazar\Quorum Business Solutions\Ecopetrol Prometeo - Documents\Planning Space Implementation\3. Analysis &amp; Design\Design\FC22\DRR Jaime\QUIFA-CAJÚA\Cajua\[VAS_CAJUA_CF_SEC_20230125.xlsx]CF PS'!$AY$52</t>
  </si>
  <si>
    <t>='C:\Users\jaime.benazar\Quorum Business Solutions\Ecopetrol Prometeo - Documents\Planning Space Implementation\3. Analysis &amp; Design\Design\FC22\DRR Jaime\QUIFA-CAJÚA\Cajua\[VAS_CAJUA_CF_SEC_20230125.xlsx]CF PS'!$AY$53</t>
  </si>
  <si>
    <t>='C:\Users\jaime.benazar\Quorum Business Solutions\Ecopetrol Prometeo - Documents\Planning Space Implementation\3. Analysis &amp; Design\Design\FC22\DRR Jaime\QUIFA-CAJÚA\Cajua\[VAS_CAJUA_CF_SEC_20230125.xlsx]CF PS'!$AY$54</t>
  </si>
  <si>
    <t>='C:\Users\jaime.benazar\Quorum Business Solutions\Ecopetrol Prometeo - Documents\Planning Space Implementation\3. Analysis &amp; Design\Design\FC22\DRR Jaime\QUIFA-CAJÚA\Cajua\[VAS_CAJUA_CF_SEC_20230125.xlsx]CF PS'!$AY$55</t>
  </si>
  <si>
    <t>='C:\Users\jaime.benazar\Quorum Business Solutions\Ecopetrol Prometeo - Documents\Planning Space Implementation\3. Analysis &amp; Design\Design\FC22\DRR Jaime\QUIFA-CAJÚA\Cajua\[VAS_CAJUA_CF_SEC_20230125.xlsx]CF PS'!$AY$56</t>
  </si>
  <si>
    <t>='C:\Users\jaime.benazar\Quorum Business Solutions\Ecopetrol Prometeo - Documents\Planning Space Implementation\3. Analysis &amp; Design\Design\FC22\DRR Jaime\QUIFA-CAJÚA\Cajua\[VAS_CAJUA_CF_SEC_20230125.xlsx]CF PS'!$AY$57</t>
  </si>
  <si>
    <t>='C:\Users\jaime.benazar\Quorum Business Solutions\Ecopetrol Prometeo - Documents\Planning Space Implementation\3. Analysis &amp; Design\Design\FC22\DRR Jaime\QUIFA-CAJÚA\Cajua\[VAS_CAJUA_CF_SEC_20230125.xlsx]CF PS'!$AY$58</t>
  </si>
  <si>
    <t>='C:\Users\jaime.benazar\Quorum Business Solutions\Ecopetrol Prometeo - Documents\Planning Space Implementation\3. Analysis &amp; Design\Design\FC22\DRR Jaime\QUIFA-CAJÚA\Cajua\[VAS_CAJUA_CF_SEC_20230125.xlsx]CF PS'!$AY$59</t>
  </si>
  <si>
    <t>='C:\Users\jaime.benazar\Quorum Business Solutions\Ecopetrol Prometeo - Documents\Planning Space Implementation\3. Analysis &amp; Design\Design\FC22\DRR Jaime\QUIFA-CAJÚA\Cajua\[VAS_CAJUA_CF_SEC_20230125.xlsx]CF PS'!$AY$60</t>
  </si>
  <si>
    <t>='C:\Users\jaime.benazar\Quorum Business Solutions\Ecopetrol Prometeo - Documents\Planning Space Implementation\3. Analysis &amp; Design\Design\FC22\DRR Jaime\QUIFA-CAJÚA\Cajua\[VAS_CAJUA_CF_SEC_20230125.xlsx]CF PS'!$AY$61</t>
  </si>
  <si>
    <t>='C:\Users\jaime.benazar\Quorum Business Solutions\Ecopetrol Prometeo - Documents\Planning Space Implementation\3. Analysis &amp; Design\Design\FC22\DRR Jaime\QUIFA-CAJÚA\Cajua\[VAS_CAJUA_CF_SEC_20230125.xlsx]CF PS'!$AY$62</t>
  </si>
  <si>
    <t>='C:\Users\jaime.benazar\Quorum Business Solutions\Ecopetrol Prometeo - Documents\Planning Space Implementation\3. Analysis &amp; Design\Design\FC22\DRR Jaime\QUIFA-CAJÚA\Cajua\[VAS_CAJUA_CF_SEC_20230125.xlsx]CF PS'!$AY$63</t>
  </si>
  <si>
    <t>='C:\Users\jaime.benazar\Quorum Business Solutions\Ecopetrol Prometeo - Documents\Planning Space Implementation\3. Analysis &amp; Design\Design\FC22\DRR Jaime\QUIFA-CAJÚA\Cajua\[VAS_CAJUA_CF_SEC_20230125.xlsx]CF PS'!$AY$64</t>
  </si>
  <si>
    <t>='C:\Users\jaime.benazar\Quorum Business Solutions\Ecopetrol Prometeo - Documents\Planning Space Implementation\3. Analysis &amp; Design\Design\FC22\DRR Jaime\QUIFA-CAJÚA\Cajua\[VAS_CAJUA_CF_SEC_20230125.xlsx]CF PS'!$AY$65</t>
  </si>
  <si>
    <t>='C:\Users\jaime.benazar\Quorum Business Solutions\Ecopetrol Prometeo - Documents\Planning Space Implementation\3. Analysis &amp; Design\Design\FC22\DRR Jaime\QUIFA-CAJÚA\Cajua\[VAS_CAJUA_CF_SEC_20230125.xlsx]CF PS'!$AY$66</t>
  </si>
  <si>
    <t>='C:\Users\jaime.benazar\Quorum Business Solutions\Ecopetrol Prometeo - Documents\Planning Space Implementation\3. Analysis &amp; Design\Design\FC22\DRR Jaime\QUIFA-CAJÚA\Cajua\[VAS_CAJUA_CF_SEC_20230125.xlsx]CF PS'!$AY$67</t>
  </si>
  <si>
    <t>='C:\Users\jaime.benazar\Quorum Business Solutions\Ecopetrol Prometeo - Documents\Planning Space Implementation\3. Analysis &amp; Design\Design\FC22\DRR Jaime\QUIFA-CAJÚA\Cajua\[VAS_CAJUA_CF_SEC_20230125.xlsx]CF PS'!$AY$68</t>
  </si>
  <si>
    <t>='C:\Users\jaime.benazar\Quorum Business Solutions\Ecopetrol Prometeo - Documents\Planning Space Implementation\3. Analysis &amp; Design\Design\FC22\DRR Jaime\QUIFA-CAJÚA\Cajua\[VAS_CAJUA_CF_SEC_20230125.xlsx]CF PS'!$AY$69</t>
  </si>
  <si>
    <t>='C:\Users\jaime.benazar\Quorum Business Solutions\Ecopetrol Prometeo - Documents\Planning Space Implementation\3. Analysis &amp; Design\Design\FC22\DRR Jaime\QUIFA-CAJÚA\Cajua\[VAS_CAJUA_CF_SEC_20230125.xlsx]CF PS'!$AY$70</t>
  </si>
  <si>
    <t>='C:\Users\jaime.benazar\Quorum Business Solutions\Ecopetrol Prometeo - Documents\Planning Space Implementation\3. Analysis &amp; Design\Design\FC22\DRR Jaime\QUIFA-CAJÚA\Cajua\[VAS_CAJUA_CF_SEC_20230125.xlsx]CF PS'!$AY$71</t>
  </si>
  <si>
    <t>='C:\Users\jaime.benazar\Quorum Business Solutions\Ecopetrol Prometeo - Documents\Planning Space Implementation\3. Analysis &amp; Design\Design\FC22\DRR Jaime\QUIFA-CAJÚA\Cajua\[VAS_CAJUA_CF_SEC_20230125.xlsx]CF PS'!$AY$72</t>
  </si>
  <si>
    <t>='C:\Users\jaime.benazar\Quorum Business Solutions\Ecopetrol Prometeo - Documents\Planning Space Implementation\3. Analysis &amp; Design\Design\FC22\DRR Jaime\QUIFA-CAJÚA\Cajua\[VAS_CAJUA_CF_SEC_20230125.xlsx]CF PDP'!$BT$36</t>
  </si>
  <si>
    <t>='C:\Users\jaime.benazar\Quorum Business Solutions\Ecopetrol Prometeo - Documents\Planning Space Implementation\3. Analysis &amp; Design\Design\FC22\DRR Jaime\QUIFA-CAJÚA\Cajua\[VAS_CAJUA_CF_SEC_20230125.xlsx]CF PDP'!$BT$37</t>
  </si>
  <si>
    <t>='C:\Users\jaime.benazar\Quorum Business Solutions\Ecopetrol Prometeo - Documents\Planning Space Implementation\3. Analysis &amp; Design\Design\FC22\DRR Jaime\QUIFA-CAJÚA\Cajua\[VAS_CAJUA_CF_SEC_20230125.xlsx]CF PDP'!$BT$38</t>
  </si>
  <si>
    <t>='C:\Users\jaime.benazar\Quorum Business Solutions\Ecopetrol Prometeo - Documents\Planning Space Implementation\3. Analysis &amp; Design\Design\FC22\DRR Jaime\QUIFA-CAJÚA\Cajua\[VAS_CAJUA_CF_SEC_20230125.xlsx]CF PDP'!$BT$39</t>
  </si>
  <si>
    <t>='C:\Users\jaime.benazar\Quorum Business Solutions\Ecopetrol Prometeo - Documents\Planning Space Implementation\3. Analysis &amp; Design\Design\FC22\DRR Jaime\QUIFA-CAJÚA\Cajua\[VAS_CAJUA_CF_SEC_20230125.xlsx]CF PDP'!$BT$40</t>
  </si>
  <si>
    <t>='C:\Users\jaime.benazar\Quorum Business Solutions\Ecopetrol Prometeo - Documents\Planning Space Implementation\3. Analysis &amp; Design\Design\FC22\DRR Jaime\QUIFA-CAJÚA\Cajua\[VAS_CAJUA_CF_SEC_20230125.xlsx]CF PDP'!$BT$41</t>
  </si>
  <si>
    <t>='C:\Users\jaime.benazar\Quorum Business Solutions\Ecopetrol Prometeo - Documents\Planning Space Implementation\3. Analysis &amp; Design\Design\FC22\DRR Jaime\QUIFA-CAJÚA\Cajua\[VAS_CAJUA_CF_SEC_20230125.xlsx]CF PDP'!$BT$42</t>
  </si>
  <si>
    <t>='C:\Users\jaime.benazar\Quorum Business Solutions\Ecopetrol Prometeo - Documents\Planning Space Implementation\3. Analysis &amp; Design\Design\FC22\DRR Jaime\QUIFA-CAJÚA\Cajua\[VAS_CAJUA_CF_SEC_20230125.xlsx]CF PDP'!$BT$43</t>
  </si>
  <si>
    <t>='C:\Users\jaime.benazar\Quorum Business Solutions\Ecopetrol Prometeo - Documents\Planning Space Implementation\3. Analysis &amp; Design\Design\FC22\DRR Jaime\QUIFA-CAJÚA\Cajua\[VAS_CAJUA_CF_SEC_20230125.xlsx]CF PDP'!$BT$44</t>
  </si>
  <si>
    <t>='C:\Users\jaime.benazar\Quorum Business Solutions\Ecopetrol Prometeo - Documents\Planning Space Implementation\3. Analysis &amp; Design\Design\FC22\DRR Jaime\QUIFA-CAJÚA\Cajua\[VAS_CAJUA_CF_SEC_20230125.xlsx]CF PDP'!$BT$45</t>
  </si>
  <si>
    <t>='C:\Users\jaime.benazar\Quorum Business Solutions\Ecopetrol Prometeo - Documents\Planning Space Implementation\3. Analysis &amp; Design\Design\FC22\DRR Jaime\QUIFA-CAJÚA\Cajua\[VAS_CAJUA_CF_SEC_20230125.xlsx]CF PDP'!$BT$46</t>
  </si>
  <si>
    <t>='C:\Users\jaime.benazar\Quorum Business Solutions\Ecopetrol Prometeo - Documents\Planning Space Implementation\3. Analysis &amp; Design\Design\FC22\DRR Jaime\QUIFA-CAJÚA\Cajua\[VAS_CAJUA_CF_SEC_20230125.xlsx]CF PDP'!$BT$47</t>
  </si>
  <si>
    <t>='C:\Users\jaime.benazar\Quorum Business Solutions\Ecopetrol Prometeo - Documents\Planning Space Implementation\3. Analysis &amp; Design\Design\FC22\DRR Jaime\QUIFA-CAJÚA\Cajua\[VAS_CAJUA_CF_SEC_20230125.xlsx]CF PDP'!$BT$48</t>
  </si>
  <si>
    <t>='C:\Users\jaime.benazar\Quorum Business Solutions\Ecopetrol Prometeo - Documents\Planning Space Implementation\3. Analysis &amp; Design\Design\FC22\DRR Jaime\QUIFA-CAJÚA\Cajua\[VAS_CAJUA_CF_SEC_20230125.xlsx]CF PDP'!$BT$49</t>
  </si>
  <si>
    <t>='C:\Users\jaime.benazar\Quorum Business Solutions\Ecopetrol Prometeo - Documents\Planning Space Implementation\3. Analysis &amp; Design\Design\FC22\DRR Jaime\QUIFA-CAJÚA\Cajua\[VAS_CAJUA_CF_SEC_20230125.xlsx]CF PDP'!$BT$50</t>
  </si>
  <si>
    <t>='C:\Users\jaime.benazar\Quorum Business Solutions\Ecopetrol Prometeo - Documents\Planning Space Implementation\3. Analysis &amp; Design\Design\FC22\DRR Jaime\QUIFA-CAJÚA\Cajua\[VAS_CAJUA_CF_SEC_20230125.xlsx]CF PDP'!$BT$51</t>
  </si>
  <si>
    <t>='C:\Users\jaime.benazar\Quorum Business Solutions\Ecopetrol Prometeo - Documents\Planning Space Implementation\3. Analysis &amp; Design\Design\FC22\DRR Jaime\QUIFA-CAJÚA\Cajua\[VAS_CAJUA_CF_SEC_20230125.xlsx]CF PDP'!$BT$52</t>
  </si>
  <si>
    <t>='C:\Users\jaime.benazar\Quorum Business Solutions\Ecopetrol Prometeo - Documents\Planning Space Implementation\3. Analysis &amp; Design\Design\FC22\DRR Jaime\QUIFA-CAJÚA\Cajua\[VAS_CAJUA_CF_SEC_20230125.xlsx]CF PDP'!$BT$53</t>
  </si>
  <si>
    <t>='C:\Users\jaime.benazar\Quorum Business Solutions\Ecopetrol Prometeo - Documents\Planning Space Implementation\3. Analysis &amp; Design\Design\FC22\DRR Jaime\QUIFA-CAJÚA\Cajua\[VAS_CAJUA_CF_SEC_20230125.xlsx]CF PDP'!$BT$54</t>
  </si>
  <si>
    <t>='C:\Users\jaime.benazar\Quorum Business Solutions\Ecopetrol Prometeo - Documents\Planning Space Implementation\3. Analysis &amp; Design\Design\FC22\DRR Jaime\QUIFA-CAJÚA\Cajua\[VAS_CAJUA_CF_SEC_20230125.xlsx]CF PDP'!$BT$55</t>
  </si>
  <si>
    <t>='C:\Users\jaime.benazar\Quorum Business Solutions\Ecopetrol Prometeo - Documents\Planning Space Implementation\3. Analysis &amp; Design\Design\FC22\DRR Jaime\QUIFA-CAJÚA\Cajua\[VAS_CAJUA_CF_SEC_20230125.xlsx]CF PDP'!$BT$56</t>
  </si>
  <si>
    <t>='C:\Users\jaime.benazar\Quorum Business Solutions\Ecopetrol Prometeo - Documents\Planning Space Implementation\3. Analysis &amp; Design\Design\FC22\DRR Jaime\QUIFA-CAJÚA\Cajua\[VAS_CAJUA_CF_SEC_20230125.xlsx]CF PDP'!$BT$57</t>
  </si>
  <si>
    <t>='C:\Users\jaime.benazar\Quorum Business Solutions\Ecopetrol Prometeo - Documents\Planning Space Implementation\3. Analysis &amp; Design\Design\FC22\DRR Jaime\QUIFA-CAJÚA\Cajua\[VAS_CAJUA_CF_SEC_20230125.xlsx]CF PDP'!$BT$58</t>
  </si>
  <si>
    <t>='C:\Users\jaime.benazar\Quorum Business Solutions\Ecopetrol Prometeo - Documents\Planning Space Implementation\3. Analysis &amp; Design\Design\FC22\DRR Jaime\QUIFA-CAJÚA\Cajua\[VAS_CAJUA_CF_SEC_20230125.xlsx]CF PDP'!$BT$59</t>
  </si>
  <si>
    <t>='C:\Users\jaime.benazar\Quorum Business Solutions\Ecopetrol Prometeo - Documents\Planning Space Implementation\3. Analysis &amp; Design\Design\FC22\DRR Jaime\QUIFA-CAJÚA\Cajua\[VAS_CAJUA_CF_SEC_20230125.xlsx]CF PDP'!$BT$60</t>
  </si>
  <si>
    <t>='C:\Users\jaime.benazar\Quorum Business Solutions\Ecopetrol Prometeo - Documents\Planning Space Implementation\3. Analysis &amp; Design\Design\FC22\DRR Jaime\QUIFA-CAJÚA\Cajua\[VAS_CAJUA_CF_SEC_20230125.xlsx]CF PDP'!$BT$61</t>
  </si>
  <si>
    <t>='C:\Users\jaime.benazar\Quorum Business Solutions\Ecopetrol Prometeo - Documents\Planning Space Implementation\3. Analysis &amp; Design\Design\FC22\DRR Jaime\QUIFA-CAJÚA\Cajua\[VAS_CAJUA_CF_SEC_20230125.xlsx]CF PDP'!$BT$62</t>
  </si>
  <si>
    <t>='C:\Users\jaime.benazar\Quorum Business Solutions\Ecopetrol Prometeo - Documents\Planning Space Implementation\3. Analysis &amp; Design\Design\FC22\DRR Jaime\QUIFA-CAJÚA\Cajua\[VAS_CAJUA_CF_SEC_20230125.xlsx]CF PDP'!$BT$63</t>
  </si>
  <si>
    <t>='C:\Users\jaime.benazar\Quorum Business Solutions\Ecopetrol Prometeo - Documents\Planning Space Implementation\3. Analysis &amp; Design\Design\FC22\DRR Jaime\QUIFA-CAJÚA\Cajua\[VAS_CAJUA_CF_SEC_20230125.xlsx]CF PDP'!$BT$64</t>
  </si>
  <si>
    <t>='C:\Users\jaime.benazar\Quorum Business Solutions\Ecopetrol Prometeo - Documents\Planning Space Implementation\3. Analysis &amp; Design\Design\FC22\DRR Jaime\QUIFA-CAJÚA\Cajua\[VAS_CAJUA_CF_SEC_20230125.xlsx]CF PDP'!$BT$65</t>
  </si>
  <si>
    <t>='C:\Users\jaime.benazar\Quorum Business Solutions\Ecopetrol Prometeo - Documents\Planning Space Implementation\3. Analysis &amp; Design\Design\FC22\DRR Jaime\QUIFA-CAJÚA\Cajua\[VAS_CAJUA_CF_SEC_20230125.xlsx]CF PDP'!$BT$66</t>
  </si>
  <si>
    <t>='C:\Users\jaime.benazar\Quorum Business Solutions\Ecopetrol Prometeo - Documents\Planning Space Implementation\3. Analysis &amp; Design\Design\FC22\DRR Jaime\QUIFA-CAJÚA\Cajua\[VAS_CAJUA_CF_SEC_20230125.xlsx]CF PDP'!$BT$67</t>
  </si>
  <si>
    <t>='C:\Users\jaime.benazar\Quorum Business Solutions\Ecopetrol Prometeo - Documents\Planning Space Implementation\3. Analysis &amp; Design\Design\FC22\DRR Jaime\QUIFA-CAJÚA\Cajua\[VAS_CAJUA_CF_SEC_20230125.xlsx]CF PDP'!$BT$68</t>
  </si>
  <si>
    <t>='C:\Users\jaime.benazar\Quorum Business Solutions\Ecopetrol Prometeo - Documents\Planning Space Implementation\3. Analysis &amp; Design\Design\FC22\DRR Jaime\QUIFA-CAJÚA\Cajua\[VAS_CAJUA_CF_SEC_20230125.xlsx]CF PDP'!$BT$69</t>
  </si>
  <si>
    <t>='C:\Users\jaime.benazar\Quorum Business Solutions\Ecopetrol Prometeo - Documents\Planning Space Implementation\3. Analysis &amp; Design\Design\FC22\DRR Jaime\QUIFA-CAJÚA\Cajua\[VAS_CAJUA_CF_SEC_20230125.xlsx]CF PDP'!$BT$70</t>
  </si>
  <si>
    <t>='C:\Users\jaime.benazar\Quorum Business Solutions\Ecopetrol Prometeo - Documents\Planning Space Implementation\3. Analysis &amp; Design\Design\FC22\DRR Jaime\QUIFA-CAJÚA\Cajua\[VAS_CAJUA_CF_SEC_20230125.xlsx]CF PDP'!$BT$71</t>
  </si>
  <si>
    <t>='C:\Users\jaime.benazar\Quorum Business Solutions\Ecopetrol Prometeo - Documents\Planning Space Implementation\3. Analysis &amp; Design\Design\FC22\DRR Jaime\QUIFA-CAJÚA\Cajua\[VAS_CAJUA_CF_SEC_20230125.xlsx]CF PDP'!$BT$72</t>
  </si>
  <si>
    <t>='C:\Users\jaime.benazar\Quorum Business Solutions\Ecopetrol Prometeo - Documents\Planning Space Implementation\3. Analysis &amp; Design\Design\FC22\DRR Jaime\QUIFA-CAJÚA\Cajua\[VAS_CAJUA_CF_SEC_20230125.xlsx]CF PNP'!$BT$36</t>
  </si>
  <si>
    <t>='C:\Users\jaime.benazar\Quorum Business Solutions\Ecopetrol Prometeo - Documents\Planning Space Implementation\3. Analysis &amp; Design\Design\FC22\DRR Jaime\QUIFA-CAJÚA\Cajua\[VAS_CAJUA_CF_SEC_20230125.xlsx]CF PNP'!$BT$37</t>
  </si>
  <si>
    <t>='C:\Users\jaime.benazar\Quorum Business Solutions\Ecopetrol Prometeo - Documents\Planning Space Implementation\3. Analysis &amp; Design\Design\FC22\DRR Jaime\QUIFA-CAJÚA\Cajua\[VAS_CAJUA_CF_SEC_20230125.xlsx]CF PNP'!$BT$38</t>
  </si>
  <si>
    <t>='C:\Users\jaime.benazar\Quorum Business Solutions\Ecopetrol Prometeo - Documents\Planning Space Implementation\3. Analysis &amp; Design\Design\FC22\DRR Jaime\QUIFA-CAJÚA\Cajua\[VAS_CAJUA_CF_SEC_20230125.xlsx]CF PNP'!$BT$39</t>
  </si>
  <si>
    <t>='C:\Users\jaime.benazar\Quorum Business Solutions\Ecopetrol Prometeo - Documents\Planning Space Implementation\3. Analysis &amp; Design\Design\FC22\DRR Jaime\QUIFA-CAJÚA\Cajua\[VAS_CAJUA_CF_SEC_20230125.xlsx]CF PNP'!$BT$40</t>
  </si>
  <si>
    <t>='C:\Users\jaime.benazar\Quorum Business Solutions\Ecopetrol Prometeo - Documents\Planning Space Implementation\3. Analysis &amp; Design\Design\FC22\DRR Jaime\QUIFA-CAJÚA\Cajua\[VAS_CAJUA_CF_SEC_20230125.xlsx]CF PNP'!$BT$41</t>
  </si>
  <si>
    <t>='C:\Users\jaime.benazar\Quorum Business Solutions\Ecopetrol Prometeo - Documents\Planning Space Implementation\3. Analysis &amp; Design\Design\FC22\DRR Jaime\QUIFA-CAJÚA\Cajua\[VAS_CAJUA_CF_SEC_20230125.xlsx]CF PNP'!$BT$42</t>
  </si>
  <si>
    <t>='C:\Users\jaime.benazar\Quorum Business Solutions\Ecopetrol Prometeo - Documents\Planning Space Implementation\3. Analysis &amp; Design\Design\FC22\DRR Jaime\QUIFA-CAJÚA\Cajua\[VAS_CAJUA_CF_SEC_20230125.xlsx]CF PNP'!$BT$43</t>
  </si>
  <si>
    <t>='C:\Users\jaime.benazar\Quorum Business Solutions\Ecopetrol Prometeo - Documents\Planning Space Implementation\3. Analysis &amp; Design\Design\FC22\DRR Jaime\QUIFA-CAJÚA\Cajua\[VAS_CAJUA_CF_SEC_20230125.xlsx]CF PNP'!$BT$44</t>
  </si>
  <si>
    <t>='C:\Users\jaime.benazar\Quorum Business Solutions\Ecopetrol Prometeo - Documents\Planning Space Implementation\3. Analysis &amp; Design\Design\FC22\DRR Jaime\QUIFA-CAJÚA\Cajua\[VAS_CAJUA_CF_SEC_20230125.xlsx]CF PNP'!$BT$45</t>
  </si>
  <si>
    <t>='C:\Users\jaime.benazar\Quorum Business Solutions\Ecopetrol Prometeo - Documents\Planning Space Implementation\3. Analysis &amp; Design\Design\FC22\DRR Jaime\QUIFA-CAJÚA\Cajua\[VAS_CAJUA_CF_SEC_20230125.xlsx]CF PNP'!$BT$46</t>
  </si>
  <si>
    <t>='C:\Users\jaime.benazar\Quorum Business Solutions\Ecopetrol Prometeo - Documents\Planning Space Implementation\3. Analysis &amp; Design\Design\FC22\DRR Jaime\QUIFA-CAJÚA\Cajua\[VAS_CAJUA_CF_SEC_20230125.xlsx]CF PNP'!$BT$47</t>
  </si>
  <si>
    <t>='C:\Users\jaime.benazar\Quorum Business Solutions\Ecopetrol Prometeo - Documents\Planning Space Implementation\3. Analysis &amp; Design\Design\FC22\DRR Jaime\QUIFA-CAJÚA\Cajua\[VAS_CAJUA_CF_SEC_20230125.xlsx]CF PNP'!$BT$48</t>
  </si>
  <si>
    <t>='C:\Users\jaime.benazar\Quorum Business Solutions\Ecopetrol Prometeo - Documents\Planning Space Implementation\3. Analysis &amp; Design\Design\FC22\DRR Jaime\QUIFA-CAJÚA\Cajua\[VAS_CAJUA_CF_SEC_20230125.xlsx]CF PNP'!$BT$49</t>
  </si>
  <si>
    <t>='C:\Users\jaime.benazar\Quorum Business Solutions\Ecopetrol Prometeo - Documents\Planning Space Implementation\3. Analysis &amp; Design\Design\FC22\DRR Jaime\QUIFA-CAJÚA\Cajua\[VAS_CAJUA_CF_SEC_20230125.xlsx]CF PNP'!$BT$50</t>
  </si>
  <si>
    <t>='C:\Users\jaime.benazar\Quorum Business Solutions\Ecopetrol Prometeo - Documents\Planning Space Implementation\3. Analysis &amp; Design\Design\FC22\DRR Jaime\QUIFA-CAJÚA\Cajua\[VAS_CAJUA_CF_SEC_20230125.xlsx]CF PNP'!$BT$51</t>
  </si>
  <si>
    <t>='C:\Users\jaime.benazar\Quorum Business Solutions\Ecopetrol Prometeo - Documents\Planning Space Implementation\3. Analysis &amp; Design\Design\FC22\DRR Jaime\QUIFA-CAJÚA\Cajua\[VAS_CAJUA_CF_SEC_20230125.xlsx]CF PNP'!$BT$52</t>
  </si>
  <si>
    <t>='C:\Users\jaime.benazar\Quorum Business Solutions\Ecopetrol Prometeo - Documents\Planning Space Implementation\3. Analysis &amp; Design\Design\FC22\DRR Jaime\QUIFA-CAJÚA\Cajua\[VAS_CAJUA_CF_SEC_20230125.xlsx]CF PNP'!$BT$53</t>
  </si>
  <si>
    <t>='C:\Users\jaime.benazar\Quorum Business Solutions\Ecopetrol Prometeo - Documents\Planning Space Implementation\3. Analysis &amp; Design\Design\FC22\DRR Jaime\QUIFA-CAJÚA\Cajua\[VAS_CAJUA_CF_SEC_20230125.xlsx]CF PNP'!$BT$54</t>
  </si>
  <si>
    <t>='C:\Users\jaime.benazar\Quorum Business Solutions\Ecopetrol Prometeo - Documents\Planning Space Implementation\3. Analysis &amp; Design\Design\FC22\DRR Jaime\QUIFA-CAJÚA\Cajua\[VAS_CAJUA_CF_SEC_20230125.xlsx]CF PNP'!$BT$55</t>
  </si>
  <si>
    <t>='C:\Users\jaime.benazar\Quorum Business Solutions\Ecopetrol Prometeo - Documents\Planning Space Implementation\3. Analysis &amp; Design\Design\FC22\DRR Jaime\QUIFA-CAJÚA\Cajua\[VAS_CAJUA_CF_SEC_20230125.xlsx]CF PNP'!$BT$56</t>
  </si>
  <si>
    <t>='C:\Users\jaime.benazar\Quorum Business Solutions\Ecopetrol Prometeo - Documents\Planning Space Implementation\3. Analysis &amp; Design\Design\FC22\DRR Jaime\QUIFA-CAJÚA\Cajua\[VAS_CAJUA_CF_SEC_20230125.xlsx]CF PNP'!$BT$57</t>
  </si>
  <si>
    <t>='C:\Users\jaime.benazar\Quorum Business Solutions\Ecopetrol Prometeo - Documents\Planning Space Implementation\3. Analysis &amp; Design\Design\FC22\DRR Jaime\QUIFA-CAJÚA\Cajua\[VAS_CAJUA_CF_SEC_20230125.xlsx]CF PNP'!$BT$58</t>
  </si>
  <si>
    <t>='C:\Users\jaime.benazar\Quorum Business Solutions\Ecopetrol Prometeo - Documents\Planning Space Implementation\3. Analysis &amp; Design\Design\FC22\DRR Jaime\QUIFA-CAJÚA\Cajua\[VAS_CAJUA_CF_SEC_20230125.xlsx]CF PNP'!$BT$59</t>
  </si>
  <si>
    <t>='C:\Users\jaime.benazar\Quorum Business Solutions\Ecopetrol Prometeo - Documents\Planning Space Implementation\3. Analysis &amp; Design\Design\FC22\DRR Jaime\QUIFA-CAJÚA\Cajua\[VAS_CAJUA_CF_SEC_20230125.xlsx]CF PNP'!$BT$60</t>
  </si>
  <si>
    <t>='C:\Users\jaime.benazar\Quorum Business Solutions\Ecopetrol Prometeo - Documents\Planning Space Implementation\3. Analysis &amp; Design\Design\FC22\DRR Jaime\QUIFA-CAJÚA\Cajua\[VAS_CAJUA_CF_SEC_20230125.xlsx]CF PNP'!$BT$61</t>
  </si>
  <si>
    <t>='C:\Users\jaime.benazar\Quorum Business Solutions\Ecopetrol Prometeo - Documents\Planning Space Implementation\3. Analysis &amp; Design\Design\FC22\DRR Jaime\QUIFA-CAJÚA\Cajua\[VAS_CAJUA_CF_SEC_20230125.xlsx]CF PNP'!$BT$62</t>
  </si>
  <si>
    <t>='C:\Users\jaime.benazar\Quorum Business Solutions\Ecopetrol Prometeo - Documents\Planning Space Implementation\3. Analysis &amp; Design\Design\FC22\DRR Jaime\QUIFA-CAJÚA\Cajua\[VAS_CAJUA_CF_SEC_20230125.xlsx]CF PNP'!$BT$63</t>
  </si>
  <si>
    <t>='C:\Users\jaime.benazar\Quorum Business Solutions\Ecopetrol Prometeo - Documents\Planning Space Implementation\3. Analysis &amp; Design\Design\FC22\DRR Jaime\QUIFA-CAJÚA\Cajua\[VAS_CAJUA_CF_SEC_20230125.xlsx]CF PNP'!$BT$64</t>
  </si>
  <si>
    <t>='C:\Users\jaime.benazar\Quorum Business Solutions\Ecopetrol Prometeo - Documents\Planning Space Implementation\3. Analysis &amp; Design\Design\FC22\DRR Jaime\QUIFA-CAJÚA\Cajua\[VAS_CAJUA_CF_SEC_20230125.xlsx]CF PNP'!$BT$65</t>
  </si>
  <si>
    <t>='C:\Users\jaime.benazar\Quorum Business Solutions\Ecopetrol Prometeo - Documents\Planning Space Implementation\3. Analysis &amp; Design\Design\FC22\DRR Jaime\QUIFA-CAJÚA\Cajua\[VAS_CAJUA_CF_SEC_20230125.xlsx]CF PNP'!$BT$66</t>
  </si>
  <si>
    <t>='C:\Users\jaime.benazar\Quorum Business Solutions\Ecopetrol Prometeo - Documents\Planning Space Implementation\3. Analysis &amp; Design\Design\FC22\DRR Jaime\QUIFA-CAJÚA\Cajua\[VAS_CAJUA_CF_SEC_20230125.xlsx]CF PNP'!$BT$67</t>
  </si>
  <si>
    <t>='C:\Users\jaime.benazar\Quorum Business Solutions\Ecopetrol Prometeo - Documents\Planning Space Implementation\3. Analysis &amp; Design\Design\FC22\DRR Jaime\QUIFA-CAJÚA\Cajua\[VAS_CAJUA_CF_SEC_20230125.xlsx]CF PNP'!$BT$68</t>
  </si>
  <si>
    <t>='C:\Users\jaime.benazar\Quorum Business Solutions\Ecopetrol Prometeo - Documents\Planning Space Implementation\3. Analysis &amp; Design\Design\FC22\DRR Jaime\QUIFA-CAJÚA\Cajua\[VAS_CAJUA_CF_SEC_20230125.xlsx]CF PNP'!$BT$69</t>
  </si>
  <si>
    <t>='C:\Users\jaime.benazar\Quorum Business Solutions\Ecopetrol Prometeo - Documents\Planning Space Implementation\3. Analysis &amp; Design\Design\FC22\DRR Jaime\QUIFA-CAJÚA\Cajua\[VAS_CAJUA_CF_SEC_20230125.xlsx]CF PNP'!$BT$70</t>
  </si>
  <si>
    <t>='C:\Users\jaime.benazar\Quorum Business Solutions\Ecopetrol Prometeo - Documents\Planning Space Implementation\3. Analysis &amp; Design\Design\FC22\DRR Jaime\QUIFA-CAJÚA\Cajua\[VAS_CAJUA_CF_SEC_20230125.xlsx]CF PNP'!$BT$71</t>
  </si>
  <si>
    <t>='C:\Users\jaime.benazar\Quorum Business Solutions\Ecopetrol Prometeo - Documents\Planning Space Implementation\3. Analysis &amp; Design\Design\FC22\DRR Jaime\QUIFA-CAJÚA\Cajua\[VAS_CAJUA_CF_SEC_20230125.xlsx]CF PNP'!$BT$72</t>
  </si>
  <si>
    <t>='C:\Users\jaime.benazar\Quorum Business Solutions\Ecopetrol Prometeo - Documents\Planning Space Implementation\3. Analysis &amp; Design\Design\FC22\DRR Jaime\QUIFA-CAJÚA\Cajua\[VAS_CAJUA_CF_SEC_20230125.xlsx]CF PND'!$BT$36</t>
  </si>
  <si>
    <t>='C:\Users\jaime.benazar\Quorum Business Solutions\Ecopetrol Prometeo - Documents\Planning Space Implementation\3. Analysis &amp; Design\Design\FC22\DRR Jaime\QUIFA-CAJÚA\Cajua\[VAS_CAJUA_CF_SEC_20230125.xlsx]CF PND'!$BT$37</t>
  </si>
  <si>
    <t>='C:\Users\jaime.benazar\Quorum Business Solutions\Ecopetrol Prometeo - Documents\Planning Space Implementation\3. Analysis &amp; Design\Design\FC22\DRR Jaime\QUIFA-CAJÚA\Cajua\[VAS_CAJUA_CF_SEC_20230125.xlsx]CF PND'!$BT$38</t>
  </si>
  <si>
    <t>='C:\Users\jaime.benazar\Quorum Business Solutions\Ecopetrol Prometeo - Documents\Planning Space Implementation\3. Analysis &amp; Design\Design\FC22\DRR Jaime\QUIFA-CAJÚA\Cajua\[VAS_CAJUA_CF_SEC_20230125.xlsx]CF PND'!$BT$39</t>
  </si>
  <si>
    <t>='C:\Users\jaime.benazar\Quorum Business Solutions\Ecopetrol Prometeo - Documents\Planning Space Implementation\3. Analysis &amp; Design\Design\FC22\DRR Jaime\QUIFA-CAJÚA\Cajua\[VAS_CAJUA_CF_SEC_20230125.xlsx]CF PND'!$BT$40</t>
  </si>
  <si>
    <t>='C:\Users\jaime.benazar\Quorum Business Solutions\Ecopetrol Prometeo - Documents\Planning Space Implementation\3. Analysis &amp; Design\Design\FC22\DRR Jaime\QUIFA-CAJÚA\Cajua\[VAS_CAJUA_CF_SEC_20230125.xlsx]CF PND'!$BT$41</t>
  </si>
  <si>
    <t>='C:\Users\jaime.benazar\Quorum Business Solutions\Ecopetrol Prometeo - Documents\Planning Space Implementation\3. Analysis &amp; Design\Design\FC22\DRR Jaime\QUIFA-CAJÚA\Cajua\[VAS_CAJUA_CF_SEC_20230125.xlsx]CF PND'!$BT$42</t>
  </si>
  <si>
    <t>='C:\Users\jaime.benazar\Quorum Business Solutions\Ecopetrol Prometeo - Documents\Planning Space Implementation\3. Analysis &amp; Design\Design\FC22\DRR Jaime\QUIFA-CAJÚA\Cajua\[VAS_CAJUA_CF_SEC_20230125.xlsx]CF PND'!$BT$43</t>
  </si>
  <si>
    <t>='C:\Users\jaime.benazar\Quorum Business Solutions\Ecopetrol Prometeo - Documents\Planning Space Implementation\3. Analysis &amp; Design\Design\FC22\DRR Jaime\QUIFA-CAJÚA\Cajua\[VAS_CAJUA_CF_SEC_20230125.xlsx]CF PND'!$BT$44</t>
  </si>
  <si>
    <t>='C:\Users\jaime.benazar\Quorum Business Solutions\Ecopetrol Prometeo - Documents\Planning Space Implementation\3. Analysis &amp; Design\Design\FC22\DRR Jaime\QUIFA-CAJÚA\Cajua\[VAS_CAJUA_CF_SEC_20230125.xlsx]CF PND'!$BT$45</t>
  </si>
  <si>
    <t>='C:\Users\jaime.benazar\Quorum Business Solutions\Ecopetrol Prometeo - Documents\Planning Space Implementation\3. Analysis &amp; Design\Design\FC22\DRR Jaime\QUIFA-CAJÚA\Cajua\[VAS_CAJUA_CF_SEC_20230125.xlsx]CF PND'!$BT$46</t>
  </si>
  <si>
    <t>='C:\Users\jaime.benazar\Quorum Business Solutions\Ecopetrol Prometeo - Documents\Planning Space Implementation\3. Analysis &amp; Design\Design\FC22\DRR Jaime\QUIFA-CAJÚA\Cajua\[VAS_CAJUA_CF_SEC_20230125.xlsx]CF PND'!$BT$47</t>
  </si>
  <si>
    <t>='C:\Users\jaime.benazar\Quorum Business Solutions\Ecopetrol Prometeo - Documents\Planning Space Implementation\3. Analysis &amp; Design\Design\FC22\DRR Jaime\QUIFA-CAJÚA\Cajua\[VAS_CAJUA_CF_SEC_20230125.xlsx]CF PND'!$BT$48</t>
  </si>
  <si>
    <t>='C:\Users\jaime.benazar\Quorum Business Solutions\Ecopetrol Prometeo - Documents\Planning Space Implementation\3. Analysis &amp; Design\Design\FC22\DRR Jaime\QUIFA-CAJÚA\Cajua\[VAS_CAJUA_CF_SEC_20230125.xlsx]CF PND'!$BT$49</t>
  </si>
  <si>
    <t>='C:\Users\jaime.benazar\Quorum Business Solutions\Ecopetrol Prometeo - Documents\Planning Space Implementation\3. Analysis &amp; Design\Design\FC22\DRR Jaime\QUIFA-CAJÚA\Cajua\[VAS_CAJUA_CF_SEC_20230125.xlsx]CF PND'!$BT$50</t>
  </si>
  <si>
    <t>='C:\Users\jaime.benazar\Quorum Business Solutions\Ecopetrol Prometeo - Documents\Planning Space Implementation\3. Analysis &amp; Design\Design\FC22\DRR Jaime\QUIFA-CAJÚA\Cajua\[VAS_CAJUA_CF_SEC_20230125.xlsx]CF PND'!$BT$51</t>
  </si>
  <si>
    <t>='C:\Users\jaime.benazar\Quorum Business Solutions\Ecopetrol Prometeo - Documents\Planning Space Implementation\3. Analysis &amp; Design\Design\FC22\DRR Jaime\QUIFA-CAJÚA\Cajua\[VAS_CAJUA_CF_SEC_20230125.xlsx]CF PND'!$BT$52</t>
  </si>
  <si>
    <t>='C:\Users\jaime.benazar\Quorum Business Solutions\Ecopetrol Prometeo - Documents\Planning Space Implementation\3. Analysis &amp; Design\Design\FC22\DRR Jaime\QUIFA-CAJÚA\Cajua\[VAS_CAJUA_CF_SEC_20230125.xlsx]CF PND'!$BT$53</t>
  </si>
  <si>
    <t>='C:\Users\jaime.benazar\Quorum Business Solutions\Ecopetrol Prometeo - Documents\Planning Space Implementation\3. Analysis &amp; Design\Design\FC22\DRR Jaime\QUIFA-CAJÚA\Cajua\[VAS_CAJUA_CF_SEC_20230125.xlsx]CF PND'!$BT$54</t>
  </si>
  <si>
    <t>='C:\Users\jaime.benazar\Quorum Business Solutions\Ecopetrol Prometeo - Documents\Planning Space Implementation\3. Analysis &amp; Design\Design\FC22\DRR Jaime\QUIFA-CAJÚA\Cajua\[VAS_CAJUA_CF_SEC_20230125.xlsx]CF PND'!$BT$55</t>
  </si>
  <si>
    <t>='C:\Users\jaime.benazar\Quorum Business Solutions\Ecopetrol Prometeo - Documents\Planning Space Implementation\3. Analysis &amp; Design\Design\FC22\DRR Jaime\QUIFA-CAJÚA\Cajua\[VAS_CAJUA_CF_SEC_20230125.xlsx]CF PND'!$BT$56</t>
  </si>
  <si>
    <t>='C:\Users\jaime.benazar\Quorum Business Solutions\Ecopetrol Prometeo - Documents\Planning Space Implementation\3. Analysis &amp; Design\Design\FC22\DRR Jaime\QUIFA-CAJÚA\Cajua\[VAS_CAJUA_CF_SEC_20230125.xlsx]CF PND'!$BT$57</t>
  </si>
  <si>
    <t>='C:\Users\jaime.benazar\Quorum Business Solutions\Ecopetrol Prometeo - Documents\Planning Space Implementation\3. Analysis &amp; Design\Design\FC22\DRR Jaime\QUIFA-CAJÚA\Cajua\[VAS_CAJUA_CF_SEC_20230125.xlsx]CF PND'!$BT$58</t>
  </si>
  <si>
    <t>='C:\Users\jaime.benazar\Quorum Business Solutions\Ecopetrol Prometeo - Documents\Planning Space Implementation\3. Analysis &amp; Design\Design\FC22\DRR Jaime\QUIFA-CAJÚA\Cajua\[VAS_CAJUA_CF_SEC_20230125.xlsx]CF PND'!$BT$59</t>
  </si>
  <si>
    <t>='C:\Users\jaime.benazar\Quorum Business Solutions\Ecopetrol Prometeo - Documents\Planning Space Implementation\3. Analysis &amp; Design\Design\FC22\DRR Jaime\QUIFA-CAJÚA\Cajua\[VAS_CAJUA_CF_SEC_20230125.xlsx]CF PND'!$BT$60</t>
  </si>
  <si>
    <t>='C:\Users\jaime.benazar\Quorum Business Solutions\Ecopetrol Prometeo - Documents\Planning Space Implementation\3. Analysis &amp; Design\Design\FC22\DRR Jaime\QUIFA-CAJÚA\Cajua\[VAS_CAJUA_CF_SEC_20230125.xlsx]CF PND'!$BT$61</t>
  </si>
  <si>
    <t>='C:\Users\jaime.benazar\Quorum Business Solutions\Ecopetrol Prometeo - Documents\Planning Space Implementation\3. Analysis &amp; Design\Design\FC22\DRR Jaime\QUIFA-CAJÚA\Cajua\[VAS_CAJUA_CF_SEC_20230125.xlsx]CF PND'!$BT$62</t>
  </si>
  <si>
    <t>='C:\Users\jaime.benazar\Quorum Business Solutions\Ecopetrol Prometeo - Documents\Planning Space Implementation\3. Analysis &amp; Design\Design\FC22\DRR Jaime\QUIFA-CAJÚA\Cajua\[VAS_CAJUA_CF_SEC_20230125.xlsx]CF PND'!$BT$63</t>
  </si>
  <si>
    <t>='C:\Users\jaime.benazar\Quorum Business Solutions\Ecopetrol Prometeo - Documents\Planning Space Implementation\3. Analysis &amp; Design\Design\FC22\DRR Jaime\QUIFA-CAJÚA\Cajua\[VAS_CAJUA_CF_SEC_20230125.xlsx]CF PND'!$BT$64</t>
  </si>
  <si>
    <t>='C:\Users\jaime.benazar\Quorum Business Solutions\Ecopetrol Prometeo - Documents\Planning Space Implementation\3. Analysis &amp; Design\Design\FC22\DRR Jaime\QUIFA-CAJÚA\Cajua\[VAS_CAJUA_CF_SEC_20230125.xlsx]CF PND'!$BT$65</t>
  </si>
  <si>
    <t>='C:\Users\jaime.benazar\Quorum Business Solutions\Ecopetrol Prometeo - Documents\Planning Space Implementation\3. Analysis &amp; Design\Design\FC22\DRR Jaime\QUIFA-CAJÚA\Cajua\[VAS_CAJUA_CF_SEC_20230125.xlsx]CF PND'!$BT$66</t>
  </si>
  <si>
    <t>='C:\Users\jaime.benazar\Quorum Business Solutions\Ecopetrol Prometeo - Documents\Planning Space Implementation\3. Analysis &amp; Design\Design\FC22\DRR Jaime\QUIFA-CAJÚA\Cajua\[VAS_CAJUA_CF_SEC_20230125.xlsx]CF PND'!$BT$67</t>
  </si>
  <si>
    <t>='C:\Users\jaime.benazar\Quorum Business Solutions\Ecopetrol Prometeo - Documents\Planning Space Implementation\3. Analysis &amp; Design\Design\FC22\DRR Jaime\QUIFA-CAJÚA\Cajua\[VAS_CAJUA_CF_SEC_20230125.xlsx]CF PND'!$BT$68</t>
  </si>
  <si>
    <t>='C:\Users\jaime.benazar\Quorum Business Solutions\Ecopetrol Prometeo - Documents\Planning Space Implementation\3. Analysis &amp; Design\Design\FC22\DRR Jaime\QUIFA-CAJÚA\Cajua\[VAS_CAJUA_CF_SEC_20230125.xlsx]CF PND'!$BT$69</t>
  </si>
  <si>
    <t>='C:\Users\jaime.benazar\Quorum Business Solutions\Ecopetrol Prometeo - Documents\Planning Space Implementation\3. Analysis &amp; Design\Design\FC22\DRR Jaime\QUIFA-CAJÚA\Cajua\[VAS_CAJUA_CF_SEC_20230125.xlsx]CF PND'!$BT$70</t>
  </si>
  <si>
    <t>='C:\Users\jaime.benazar\Quorum Business Solutions\Ecopetrol Prometeo - Documents\Planning Space Implementation\3. Analysis &amp; Design\Design\FC22\DRR Jaime\QUIFA-CAJÚA\Cajua\[VAS_CAJUA_CF_SEC_20230125.xlsx]CF PND'!$BT$71</t>
  </si>
  <si>
    <t>='C:\Users\jaime.benazar\Quorum Business Solutions\Ecopetrol Prometeo - Documents\Planning Space Implementation\3. Analysis &amp; Design\Design\FC22\DRR Jaime\QUIFA-CAJÚA\Cajua\[VAS_CAJUA_CF_SEC_20230125.xlsx]CF PND'!$BT$72</t>
  </si>
  <si>
    <t>='C:\Users\jaime.benazar\Quorum Business Solutions\Ecopetrol Prometeo - Documents\Planning Space Implementation\3. Analysis &amp; Design\Design\FC22\DRR Jaime\QUIFA-CAJÚA\Cajua\[VAS_CAJUA_CF_SEC_20230125.xlsx]CF PRB'!$BT$36</t>
  </si>
  <si>
    <t>='C:\Users\jaime.benazar\Quorum Business Solutions\Ecopetrol Prometeo - Documents\Planning Space Implementation\3. Analysis &amp; Design\Design\FC22\DRR Jaime\QUIFA-CAJÚA\Cajua\[VAS_CAJUA_CF_SEC_20230125.xlsx]CF PRB'!$BT$37</t>
  </si>
  <si>
    <t>='C:\Users\jaime.benazar\Quorum Business Solutions\Ecopetrol Prometeo - Documents\Planning Space Implementation\3. Analysis &amp; Design\Design\FC22\DRR Jaime\QUIFA-CAJÚA\Cajua\[VAS_CAJUA_CF_SEC_20230125.xlsx]CF PRB'!$BT$38</t>
  </si>
  <si>
    <t>='C:\Users\jaime.benazar\Quorum Business Solutions\Ecopetrol Prometeo - Documents\Planning Space Implementation\3. Analysis &amp; Design\Design\FC22\DRR Jaime\QUIFA-CAJÚA\Cajua\[VAS_CAJUA_CF_SEC_20230125.xlsx]CF PRB'!$BT$39</t>
  </si>
  <si>
    <t>='C:\Users\jaime.benazar\Quorum Business Solutions\Ecopetrol Prometeo - Documents\Planning Space Implementation\3. Analysis &amp; Design\Design\FC22\DRR Jaime\QUIFA-CAJÚA\Cajua\[VAS_CAJUA_CF_SEC_20230125.xlsx]CF PRB'!$BT$40</t>
  </si>
  <si>
    <t>='C:\Users\jaime.benazar\Quorum Business Solutions\Ecopetrol Prometeo - Documents\Planning Space Implementation\3. Analysis &amp; Design\Design\FC22\DRR Jaime\QUIFA-CAJÚA\Cajua\[VAS_CAJUA_CF_SEC_20230125.xlsx]CF PRB'!$BT$41</t>
  </si>
  <si>
    <t>='C:\Users\jaime.benazar\Quorum Business Solutions\Ecopetrol Prometeo - Documents\Planning Space Implementation\3. Analysis &amp; Design\Design\FC22\DRR Jaime\QUIFA-CAJÚA\Cajua\[VAS_CAJUA_CF_SEC_20230125.xlsx]CF PRB'!$BT$42</t>
  </si>
  <si>
    <t>='C:\Users\jaime.benazar\Quorum Business Solutions\Ecopetrol Prometeo - Documents\Planning Space Implementation\3. Analysis &amp; Design\Design\FC22\DRR Jaime\QUIFA-CAJÚA\Cajua\[VAS_CAJUA_CF_SEC_20230125.xlsx]CF PRB'!$BT$43</t>
  </si>
  <si>
    <t>='C:\Users\jaime.benazar\Quorum Business Solutions\Ecopetrol Prometeo - Documents\Planning Space Implementation\3. Analysis &amp; Design\Design\FC22\DRR Jaime\QUIFA-CAJÚA\Cajua\[VAS_CAJUA_CF_SEC_20230125.xlsx]CF PRB'!$BT$44</t>
  </si>
  <si>
    <t>='C:\Users\jaime.benazar\Quorum Business Solutions\Ecopetrol Prometeo - Documents\Planning Space Implementation\3. Analysis &amp; Design\Design\FC22\DRR Jaime\QUIFA-CAJÚA\Cajua\[VAS_CAJUA_CF_SEC_20230125.xlsx]CF PRB'!$BT$45</t>
  </si>
  <si>
    <t>='C:\Users\jaime.benazar\Quorum Business Solutions\Ecopetrol Prometeo - Documents\Planning Space Implementation\3. Analysis &amp; Design\Design\FC22\DRR Jaime\QUIFA-CAJÚA\Cajua\[VAS_CAJUA_CF_SEC_20230125.xlsx]CF PRB'!$BT$46</t>
  </si>
  <si>
    <t>='C:\Users\jaime.benazar\Quorum Business Solutions\Ecopetrol Prometeo - Documents\Planning Space Implementation\3. Analysis &amp; Design\Design\FC22\DRR Jaime\QUIFA-CAJÚA\Cajua\[VAS_CAJUA_CF_SEC_20230125.xlsx]CF PRB'!$BT$47</t>
  </si>
  <si>
    <t>='C:\Users\jaime.benazar\Quorum Business Solutions\Ecopetrol Prometeo - Documents\Planning Space Implementation\3. Analysis &amp; Design\Design\FC22\DRR Jaime\QUIFA-CAJÚA\Cajua\[VAS_CAJUA_CF_SEC_20230125.xlsx]CF PRB'!$BT$48</t>
  </si>
  <si>
    <t>='C:\Users\jaime.benazar\Quorum Business Solutions\Ecopetrol Prometeo - Documents\Planning Space Implementation\3. Analysis &amp; Design\Design\FC22\DRR Jaime\QUIFA-CAJÚA\Cajua\[VAS_CAJUA_CF_SEC_20230125.xlsx]CF PRB'!$BT$49</t>
  </si>
  <si>
    <t>='C:\Users\jaime.benazar\Quorum Business Solutions\Ecopetrol Prometeo - Documents\Planning Space Implementation\3. Analysis &amp; Design\Design\FC22\DRR Jaime\QUIFA-CAJÚA\Cajua\[VAS_CAJUA_CF_SEC_20230125.xlsx]CF PRB'!$BT$50</t>
  </si>
  <si>
    <t>='C:\Users\jaime.benazar\Quorum Business Solutions\Ecopetrol Prometeo - Documents\Planning Space Implementation\3. Analysis &amp; Design\Design\FC22\DRR Jaime\QUIFA-CAJÚA\Cajua\[VAS_CAJUA_CF_SEC_20230125.xlsx]CF PRB'!$BT$51</t>
  </si>
  <si>
    <t>='C:\Users\jaime.benazar\Quorum Business Solutions\Ecopetrol Prometeo - Documents\Planning Space Implementation\3. Analysis &amp; Design\Design\FC22\DRR Jaime\QUIFA-CAJÚA\Cajua\[VAS_CAJUA_CF_SEC_20230125.xlsx]CF PRB'!$BT$52</t>
  </si>
  <si>
    <t>='C:\Users\jaime.benazar\Quorum Business Solutions\Ecopetrol Prometeo - Documents\Planning Space Implementation\3. Analysis &amp; Design\Design\FC22\DRR Jaime\QUIFA-CAJÚA\Cajua\[VAS_CAJUA_CF_SEC_20230125.xlsx]CF PRB'!$BT$53</t>
  </si>
  <si>
    <t>='C:\Users\jaime.benazar\Quorum Business Solutions\Ecopetrol Prometeo - Documents\Planning Space Implementation\3. Analysis &amp; Design\Design\FC22\DRR Jaime\QUIFA-CAJÚA\Cajua\[VAS_CAJUA_CF_SEC_20230125.xlsx]CF PRB'!$BT$54</t>
  </si>
  <si>
    <t>='C:\Users\jaime.benazar\Quorum Business Solutions\Ecopetrol Prometeo - Documents\Planning Space Implementation\3. Analysis &amp; Design\Design\FC22\DRR Jaime\QUIFA-CAJÚA\Cajua\[VAS_CAJUA_CF_SEC_20230125.xlsx]CF PRB'!$BT$55</t>
  </si>
  <si>
    <t>='C:\Users\jaime.benazar\Quorum Business Solutions\Ecopetrol Prometeo - Documents\Planning Space Implementation\3. Analysis &amp; Design\Design\FC22\DRR Jaime\QUIFA-CAJÚA\Cajua\[VAS_CAJUA_CF_SEC_20230125.xlsx]CF PRB'!$BT$56</t>
  </si>
  <si>
    <t>='C:\Users\jaime.benazar\Quorum Business Solutions\Ecopetrol Prometeo - Documents\Planning Space Implementation\3. Analysis &amp; Design\Design\FC22\DRR Jaime\QUIFA-CAJÚA\Cajua\[VAS_CAJUA_CF_SEC_20230125.xlsx]CF PRB'!$BT$57</t>
  </si>
  <si>
    <t>='C:\Users\jaime.benazar\Quorum Business Solutions\Ecopetrol Prometeo - Documents\Planning Space Implementation\3. Analysis &amp; Design\Design\FC22\DRR Jaime\QUIFA-CAJÚA\Cajua\[VAS_CAJUA_CF_SEC_20230125.xlsx]CF PRB'!$BT$58</t>
  </si>
  <si>
    <t>='C:\Users\jaime.benazar\Quorum Business Solutions\Ecopetrol Prometeo - Documents\Planning Space Implementation\3. Analysis &amp; Design\Design\FC22\DRR Jaime\QUIFA-CAJÚA\Cajua\[VAS_CAJUA_CF_SEC_20230125.xlsx]CF PRB'!$BT$59</t>
  </si>
  <si>
    <t>='C:\Users\jaime.benazar\Quorum Business Solutions\Ecopetrol Prometeo - Documents\Planning Space Implementation\3. Analysis &amp; Design\Design\FC22\DRR Jaime\QUIFA-CAJÚA\Cajua\[VAS_CAJUA_CF_SEC_20230125.xlsx]CF PRB'!$BT$60</t>
  </si>
  <si>
    <t>='C:\Users\jaime.benazar\Quorum Business Solutions\Ecopetrol Prometeo - Documents\Planning Space Implementation\3. Analysis &amp; Design\Design\FC22\DRR Jaime\QUIFA-CAJÚA\Cajua\[VAS_CAJUA_CF_SEC_20230125.xlsx]CF PRB'!$BT$61</t>
  </si>
  <si>
    <t>='C:\Users\jaime.benazar\Quorum Business Solutions\Ecopetrol Prometeo - Documents\Planning Space Implementation\3. Analysis &amp; Design\Design\FC22\DRR Jaime\QUIFA-CAJÚA\Cajua\[VAS_CAJUA_CF_SEC_20230125.xlsx]CF PRB'!$BT$62</t>
  </si>
  <si>
    <t>='C:\Users\jaime.benazar\Quorum Business Solutions\Ecopetrol Prometeo - Documents\Planning Space Implementation\3. Analysis &amp; Design\Design\FC22\DRR Jaime\QUIFA-CAJÚA\Cajua\[VAS_CAJUA_CF_SEC_20230125.xlsx]CF PRB'!$BT$63</t>
  </si>
  <si>
    <t>='C:\Users\jaime.benazar\Quorum Business Solutions\Ecopetrol Prometeo - Documents\Planning Space Implementation\3. Analysis &amp; Design\Design\FC22\DRR Jaime\QUIFA-CAJÚA\Cajua\[VAS_CAJUA_CF_SEC_20230125.xlsx]CF PRB'!$BT$64</t>
  </si>
  <si>
    <t>='C:\Users\jaime.benazar\Quorum Business Solutions\Ecopetrol Prometeo - Documents\Planning Space Implementation\3. Analysis &amp; Design\Design\FC22\DRR Jaime\QUIFA-CAJÚA\Cajua\[VAS_CAJUA_CF_SEC_20230125.xlsx]CF PRB'!$BT$65</t>
  </si>
  <si>
    <t>='C:\Users\jaime.benazar\Quorum Business Solutions\Ecopetrol Prometeo - Documents\Planning Space Implementation\3. Analysis &amp; Design\Design\FC22\DRR Jaime\QUIFA-CAJÚA\Cajua\[VAS_CAJUA_CF_SEC_20230125.xlsx]CF PRB'!$BT$66</t>
  </si>
  <si>
    <t>='C:\Users\jaime.benazar\Quorum Business Solutions\Ecopetrol Prometeo - Documents\Planning Space Implementation\3. Analysis &amp; Design\Design\FC22\DRR Jaime\QUIFA-CAJÚA\Cajua\[VAS_CAJUA_CF_SEC_20230125.xlsx]CF PRB'!$BT$67</t>
  </si>
  <si>
    <t>='C:\Users\jaime.benazar\Quorum Business Solutions\Ecopetrol Prometeo - Documents\Planning Space Implementation\3. Analysis &amp; Design\Design\FC22\DRR Jaime\QUIFA-CAJÚA\Cajua\[VAS_CAJUA_CF_SEC_20230125.xlsx]CF PRB'!$BT$68</t>
  </si>
  <si>
    <t>='C:\Users\jaime.benazar\Quorum Business Solutions\Ecopetrol Prometeo - Documents\Planning Space Implementation\3. Analysis &amp; Design\Design\FC22\DRR Jaime\QUIFA-CAJÚA\Cajua\[VAS_CAJUA_CF_SEC_20230125.xlsx]CF PRB'!$BT$69</t>
  </si>
  <si>
    <t>='C:\Users\jaime.benazar\Quorum Business Solutions\Ecopetrol Prometeo - Documents\Planning Space Implementation\3. Analysis &amp; Design\Design\FC22\DRR Jaime\QUIFA-CAJÚA\Cajua\[VAS_CAJUA_CF_SEC_20230125.xlsx]CF PRB'!$BT$70</t>
  </si>
  <si>
    <t>='C:\Users\jaime.benazar\Quorum Business Solutions\Ecopetrol Prometeo - Documents\Planning Space Implementation\3. Analysis &amp; Design\Design\FC22\DRR Jaime\QUIFA-CAJÚA\Cajua\[VAS_CAJUA_CF_SEC_20230125.xlsx]CF PRB'!$BT$71</t>
  </si>
  <si>
    <t>='C:\Users\jaime.benazar\Quorum Business Solutions\Ecopetrol Prometeo - Documents\Planning Space Implementation\3. Analysis &amp; Design\Design\FC22\DRR Jaime\QUIFA-CAJÚA\Cajua\[VAS_CAJUA_CF_SEC_20230125.xlsx]CF PRB'!$BT$72</t>
  </si>
  <si>
    <t>='C:\Users\jaime.benazar\Quorum Business Solutions\Ecopetrol Prometeo - Documents\Planning Space Implementation\3. Analysis &amp; Design\Design\FC22\DRR Jaime\QUIFA-CAJÚA\Cajua\[VAS_CAJUA_CF_SEC_20230125.xlsx]CF PS'!$BT$36</t>
  </si>
  <si>
    <t>='C:\Users\jaime.benazar\Quorum Business Solutions\Ecopetrol Prometeo - Documents\Planning Space Implementation\3. Analysis &amp; Design\Design\FC22\DRR Jaime\QUIFA-CAJÚA\Cajua\[VAS_CAJUA_CF_SEC_20230125.xlsx]CF PS'!$BT$37</t>
  </si>
  <si>
    <t>='C:\Users\jaime.benazar\Quorum Business Solutions\Ecopetrol Prometeo - Documents\Planning Space Implementation\3. Analysis &amp; Design\Design\FC22\DRR Jaime\QUIFA-CAJÚA\Cajua\[VAS_CAJUA_CF_SEC_20230125.xlsx]CF PS'!$BT$38</t>
  </si>
  <si>
    <t>='C:\Users\jaime.benazar\Quorum Business Solutions\Ecopetrol Prometeo - Documents\Planning Space Implementation\3. Analysis &amp; Design\Design\FC22\DRR Jaime\QUIFA-CAJÚA\Cajua\[VAS_CAJUA_CF_SEC_20230125.xlsx]CF PS'!$BT$39</t>
  </si>
  <si>
    <t>='C:\Users\jaime.benazar\Quorum Business Solutions\Ecopetrol Prometeo - Documents\Planning Space Implementation\3. Analysis &amp; Design\Design\FC22\DRR Jaime\QUIFA-CAJÚA\Cajua\[VAS_CAJUA_CF_SEC_20230125.xlsx]CF PS'!$BT$40</t>
  </si>
  <si>
    <t>='C:\Users\jaime.benazar\Quorum Business Solutions\Ecopetrol Prometeo - Documents\Planning Space Implementation\3. Analysis &amp; Design\Design\FC22\DRR Jaime\QUIFA-CAJÚA\Cajua\[VAS_CAJUA_CF_SEC_20230125.xlsx]CF PS'!$BT$41</t>
  </si>
  <si>
    <t>='C:\Users\jaime.benazar\Quorum Business Solutions\Ecopetrol Prometeo - Documents\Planning Space Implementation\3. Analysis &amp; Design\Design\FC22\DRR Jaime\QUIFA-CAJÚA\Cajua\[VAS_CAJUA_CF_SEC_20230125.xlsx]CF PS'!$BT$42</t>
  </si>
  <si>
    <t>='C:\Users\jaime.benazar\Quorum Business Solutions\Ecopetrol Prometeo - Documents\Planning Space Implementation\3. Analysis &amp; Design\Design\FC22\DRR Jaime\QUIFA-CAJÚA\Cajua\[VAS_CAJUA_CF_SEC_20230125.xlsx]CF PS'!$BT$43</t>
  </si>
  <si>
    <t>='C:\Users\jaime.benazar\Quorum Business Solutions\Ecopetrol Prometeo - Documents\Planning Space Implementation\3. Analysis &amp; Design\Design\FC22\DRR Jaime\QUIFA-CAJÚA\Cajua\[VAS_CAJUA_CF_SEC_20230125.xlsx]CF PS'!$BT$44</t>
  </si>
  <si>
    <t>='C:\Users\jaime.benazar\Quorum Business Solutions\Ecopetrol Prometeo - Documents\Planning Space Implementation\3. Analysis &amp; Design\Design\FC22\DRR Jaime\QUIFA-CAJÚA\Cajua\[VAS_CAJUA_CF_SEC_20230125.xlsx]CF PS'!$BT$45</t>
  </si>
  <si>
    <t>='C:\Users\jaime.benazar\Quorum Business Solutions\Ecopetrol Prometeo - Documents\Planning Space Implementation\3. Analysis &amp; Design\Design\FC22\DRR Jaime\QUIFA-CAJÚA\Cajua\[VAS_CAJUA_CF_SEC_20230125.xlsx]CF PS'!$BT$46</t>
  </si>
  <si>
    <t>='C:\Users\jaime.benazar\Quorum Business Solutions\Ecopetrol Prometeo - Documents\Planning Space Implementation\3. Analysis &amp; Design\Design\FC22\DRR Jaime\QUIFA-CAJÚA\Cajua\[VAS_CAJUA_CF_SEC_20230125.xlsx]CF PS'!$BT$47</t>
  </si>
  <si>
    <t>='C:\Users\jaime.benazar\Quorum Business Solutions\Ecopetrol Prometeo - Documents\Planning Space Implementation\3. Analysis &amp; Design\Design\FC22\DRR Jaime\QUIFA-CAJÚA\Cajua\[VAS_CAJUA_CF_SEC_20230125.xlsx]CF PS'!$BT$48</t>
  </si>
  <si>
    <t>='C:\Users\jaime.benazar\Quorum Business Solutions\Ecopetrol Prometeo - Documents\Planning Space Implementation\3. Analysis &amp; Design\Design\FC22\DRR Jaime\QUIFA-CAJÚA\Cajua\[VAS_CAJUA_CF_SEC_20230125.xlsx]CF PS'!$BT$49</t>
  </si>
  <si>
    <t>='C:\Users\jaime.benazar\Quorum Business Solutions\Ecopetrol Prometeo - Documents\Planning Space Implementation\3. Analysis &amp; Design\Design\FC22\DRR Jaime\QUIFA-CAJÚA\Cajua\[VAS_CAJUA_CF_SEC_20230125.xlsx]CF PS'!$BT$50</t>
  </si>
  <si>
    <t>='C:\Users\jaime.benazar\Quorum Business Solutions\Ecopetrol Prometeo - Documents\Planning Space Implementation\3. Analysis &amp; Design\Design\FC22\DRR Jaime\QUIFA-CAJÚA\Cajua\[VAS_CAJUA_CF_SEC_20230125.xlsx]CF PS'!$BT$51</t>
  </si>
  <si>
    <t>='C:\Users\jaime.benazar\Quorum Business Solutions\Ecopetrol Prometeo - Documents\Planning Space Implementation\3. Analysis &amp; Design\Design\FC22\DRR Jaime\QUIFA-CAJÚA\Cajua\[VAS_CAJUA_CF_SEC_20230125.xlsx]CF PS'!$BT$52</t>
  </si>
  <si>
    <t>='C:\Users\jaime.benazar\Quorum Business Solutions\Ecopetrol Prometeo - Documents\Planning Space Implementation\3. Analysis &amp; Design\Design\FC22\DRR Jaime\QUIFA-CAJÚA\Cajua\[VAS_CAJUA_CF_SEC_20230125.xlsx]CF PS'!$BT$53</t>
  </si>
  <si>
    <t>='C:\Users\jaime.benazar\Quorum Business Solutions\Ecopetrol Prometeo - Documents\Planning Space Implementation\3. Analysis &amp; Design\Design\FC22\DRR Jaime\QUIFA-CAJÚA\Cajua\[VAS_CAJUA_CF_SEC_20230125.xlsx]CF PS'!$BT$54</t>
  </si>
  <si>
    <t>='C:\Users\jaime.benazar\Quorum Business Solutions\Ecopetrol Prometeo - Documents\Planning Space Implementation\3. Analysis &amp; Design\Design\FC22\DRR Jaime\QUIFA-CAJÚA\Cajua\[VAS_CAJUA_CF_SEC_20230125.xlsx]CF PS'!$BT$55</t>
  </si>
  <si>
    <t>='C:\Users\jaime.benazar\Quorum Business Solutions\Ecopetrol Prometeo - Documents\Planning Space Implementation\3. Analysis &amp; Design\Design\FC22\DRR Jaime\QUIFA-CAJÚA\Cajua\[VAS_CAJUA_CF_SEC_20230125.xlsx]CF PS'!$BT$56</t>
  </si>
  <si>
    <t>='C:\Users\jaime.benazar\Quorum Business Solutions\Ecopetrol Prometeo - Documents\Planning Space Implementation\3. Analysis &amp; Design\Design\FC22\DRR Jaime\QUIFA-CAJÚA\Cajua\[VAS_CAJUA_CF_SEC_20230125.xlsx]CF PS'!$BT$57</t>
  </si>
  <si>
    <t>='C:\Users\jaime.benazar\Quorum Business Solutions\Ecopetrol Prometeo - Documents\Planning Space Implementation\3. Analysis &amp; Design\Design\FC22\DRR Jaime\QUIFA-CAJÚA\Cajua\[VAS_CAJUA_CF_SEC_20230125.xlsx]CF PS'!$BT$58</t>
  </si>
  <si>
    <t>='C:\Users\jaime.benazar\Quorum Business Solutions\Ecopetrol Prometeo - Documents\Planning Space Implementation\3. Analysis &amp; Design\Design\FC22\DRR Jaime\QUIFA-CAJÚA\Cajua\[VAS_CAJUA_CF_SEC_20230125.xlsx]CF PS'!$BT$59</t>
  </si>
  <si>
    <t>='C:\Users\jaime.benazar\Quorum Business Solutions\Ecopetrol Prometeo - Documents\Planning Space Implementation\3. Analysis &amp; Design\Design\FC22\DRR Jaime\QUIFA-CAJÚA\Cajua\[VAS_CAJUA_CF_SEC_20230125.xlsx]CF PS'!$BT$60</t>
  </si>
  <si>
    <t>='C:\Users\jaime.benazar\Quorum Business Solutions\Ecopetrol Prometeo - Documents\Planning Space Implementation\3. Analysis &amp; Design\Design\FC22\DRR Jaime\QUIFA-CAJÚA\Cajua\[VAS_CAJUA_CF_SEC_20230125.xlsx]CF PS'!$BT$61</t>
  </si>
  <si>
    <t>='C:\Users\jaime.benazar\Quorum Business Solutions\Ecopetrol Prometeo - Documents\Planning Space Implementation\3. Analysis &amp; Design\Design\FC22\DRR Jaime\QUIFA-CAJÚA\Cajua\[VAS_CAJUA_CF_SEC_20230125.xlsx]CF PS'!$BT$62</t>
  </si>
  <si>
    <t>='C:\Users\jaime.benazar\Quorum Business Solutions\Ecopetrol Prometeo - Documents\Planning Space Implementation\3. Analysis &amp; Design\Design\FC22\DRR Jaime\QUIFA-CAJÚA\Cajua\[VAS_CAJUA_CF_SEC_20230125.xlsx]CF PS'!$BT$63</t>
  </si>
  <si>
    <t>='C:\Users\jaime.benazar\Quorum Business Solutions\Ecopetrol Prometeo - Documents\Planning Space Implementation\3. Analysis &amp; Design\Design\FC22\DRR Jaime\QUIFA-CAJÚA\Cajua\[VAS_CAJUA_CF_SEC_20230125.xlsx]CF PS'!$BT$64</t>
  </si>
  <si>
    <t>='C:\Users\jaime.benazar\Quorum Business Solutions\Ecopetrol Prometeo - Documents\Planning Space Implementation\3. Analysis &amp; Design\Design\FC22\DRR Jaime\QUIFA-CAJÚA\Cajua\[VAS_CAJUA_CF_SEC_20230125.xlsx]CF PS'!$BT$65</t>
  </si>
  <si>
    <t>='C:\Users\jaime.benazar\Quorum Business Solutions\Ecopetrol Prometeo - Documents\Planning Space Implementation\3. Analysis &amp; Design\Design\FC22\DRR Jaime\QUIFA-CAJÚA\Cajua\[VAS_CAJUA_CF_SEC_20230125.xlsx]CF PS'!$BT$66</t>
  </si>
  <si>
    <t>='C:\Users\jaime.benazar\Quorum Business Solutions\Ecopetrol Prometeo - Documents\Planning Space Implementation\3. Analysis &amp; Design\Design\FC22\DRR Jaime\QUIFA-CAJÚA\Cajua\[VAS_CAJUA_CF_SEC_20230125.xlsx]CF PS'!$BT$67</t>
  </si>
  <si>
    <t>='C:\Users\jaime.benazar\Quorum Business Solutions\Ecopetrol Prometeo - Documents\Planning Space Implementation\3. Analysis &amp; Design\Design\FC22\DRR Jaime\QUIFA-CAJÚA\Cajua\[VAS_CAJUA_CF_SEC_20230125.xlsx]CF PS'!$BT$68</t>
  </si>
  <si>
    <t>='C:\Users\jaime.benazar\Quorum Business Solutions\Ecopetrol Prometeo - Documents\Planning Space Implementation\3. Analysis &amp; Design\Design\FC22\DRR Jaime\QUIFA-CAJÚA\Cajua\[VAS_CAJUA_CF_SEC_20230125.xlsx]CF PS'!$BT$69</t>
  </si>
  <si>
    <t>='C:\Users\jaime.benazar\Quorum Business Solutions\Ecopetrol Prometeo - Documents\Planning Space Implementation\3. Analysis &amp; Design\Design\FC22\DRR Jaime\QUIFA-CAJÚA\Cajua\[VAS_CAJUA_CF_SEC_20230125.xlsx]CF PS'!$BT$70</t>
  </si>
  <si>
    <t>='C:\Users\jaime.benazar\Quorum Business Solutions\Ecopetrol Prometeo - Documents\Planning Space Implementation\3. Analysis &amp; Design\Design\FC22\DRR Jaime\QUIFA-CAJÚA\Cajua\[VAS_CAJUA_CF_SEC_20230125.xlsx]CF PS'!$BT$71</t>
  </si>
  <si>
    <t>='C:\Users\jaime.benazar\Quorum Business Solutions\Ecopetrol Prometeo - Documents\Planning Space Implementation\3. Analysis &amp; Design\Design\FC22\DRR Jaime\QUIFA-CAJÚA\Cajua\[VAS_CAJUA_CF_SEC_20230125.xlsx]CF PS'!$BT$72</t>
  </si>
  <si>
    <t>='C:\Users\jaime.benazar\Quorum Business Solutions\Ecopetrol Prometeo - Documents\Planning Space Implementation\3. Analysis &amp; Design\Design\FC22\DRR Jaime\QUIFA-CAJÚA\Cajua\[VAS_CAJUA_CF_SEC_20230125.xlsx]CF PDP'!$BW$36</t>
  </si>
  <si>
    <t>='C:\Users\jaime.benazar\Quorum Business Solutions\Ecopetrol Prometeo - Documents\Planning Space Implementation\3. Analysis &amp; Design\Design\FC22\DRR Jaime\QUIFA-CAJÚA\Cajua\[VAS_CAJUA_CF_SEC_20230125.xlsx]CF PDP'!$BW$37</t>
  </si>
  <si>
    <t>='C:\Users\jaime.benazar\Quorum Business Solutions\Ecopetrol Prometeo - Documents\Planning Space Implementation\3. Analysis &amp; Design\Design\FC22\DRR Jaime\QUIFA-CAJÚA\Cajua\[VAS_CAJUA_CF_SEC_20230125.xlsx]CF PDP'!$BW$38</t>
  </si>
  <si>
    <t>='C:\Users\jaime.benazar\Quorum Business Solutions\Ecopetrol Prometeo - Documents\Planning Space Implementation\3. Analysis &amp; Design\Design\FC22\DRR Jaime\QUIFA-CAJÚA\Cajua\[VAS_CAJUA_CF_SEC_20230125.xlsx]CF PDP'!$BW$39</t>
  </si>
  <si>
    <t>='C:\Users\jaime.benazar\Quorum Business Solutions\Ecopetrol Prometeo - Documents\Planning Space Implementation\3. Analysis &amp; Design\Design\FC22\DRR Jaime\QUIFA-CAJÚA\Cajua\[VAS_CAJUA_CF_SEC_20230125.xlsx]CF PDP'!$BW$40</t>
  </si>
  <si>
    <t>='C:\Users\jaime.benazar\Quorum Business Solutions\Ecopetrol Prometeo - Documents\Planning Space Implementation\3. Analysis &amp; Design\Design\FC22\DRR Jaime\QUIFA-CAJÚA\Cajua\[VAS_CAJUA_CF_SEC_20230125.xlsx]CF PDP'!$BW$41</t>
  </si>
  <si>
    <t>='C:\Users\jaime.benazar\Quorum Business Solutions\Ecopetrol Prometeo - Documents\Planning Space Implementation\3. Analysis &amp; Design\Design\FC22\DRR Jaime\QUIFA-CAJÚA\Cajua\[VAS_CAJUA_CF_SEC_20230125.xlsx]CF PDP'!$BW$42</t>
  </si>
  <si>
    <t>='C:\Users\jaime.benazar\Quorum Business Solutions\Ecopetrol Prometeo - Documents\Planning Space Implementation\3. Analysis &amp; Design\Design\FC22\DRR Jaime\QUIFA-CAJÚA\Cajua\[VAS_CAJUA_CF_SEC_20230125.xlsx]CF PDP'!$BW$43</t>
  </si>
  <si>
    <t>='C:\Users\jaime.benazar\Quorum Business Solutions\Ecopetrol Prometeo - Documents\Planning Space Implementation\3. Analysis &amp; Design\Design\FC22\DRR Jaime\QUIFA-CAJÚA\Cajua\[VAS_CAJUA_CF_SEC_20230125.xlsx]CF PDP'!$BW$44</t>
  </si>
  <si>
    <t>='C:\Users\jaime.benazar\Quorum Business Solutions\Ecopetrol Prometeo - Documents\Planning Space Implementation\3. Analysis &amp; Design\Design\FC22\DRR Jaime\QUIFA-CAJÚA\Cajua\[VAS_CAJUA_CF_SEC_20230125.xlsx]CF PDP'!$BW$45</t>
  </si>
  <si>
    <t>='C:\Users\jaime.benazar\Quorum Business Solutions\Ecopetrol Prometeo - Documents\Planning Space Implementation\3. Analysis &amp; Design\Design\FC22\DRR Jaime\QUIFA-CAJÚA\Cajua\[VAS_CAJUA_CF_SEC_20230125.xlsx]CF PDP'!$BW$46</t>
  </si>
  <si>
    <t>='C:\Users\jaime.benazar\Quorum Business Solutions\Ecopetrol Prometeo - Documents\Planning Space Implementation\3. Analysis &amp; Design\Design\FC22\DRR Jaime\QUIFA-CAJÚA\Cajua\[VAS_CAJUA_CF_SEC_20230125.xlsx]CF PDP'!$BW$47</t>
  </si>
  <si>
    <t>='C:\Users\jaime.benazar\Quorum Business Solutions\Ecopetrol Prometeo - Documents\Planning Space Implementation\3. Analysis &amp; Design\Design\FC22\DRR Jaime\QUIFA-CAJÚA\Cajua\[VAS_CAJUA_CF_SEC_20230125.xlsx]CF PDP'!$BW$48</t>
  </si>
  <si>
    <t>='C:\Users\jaime.benazar\Quorum Business Solutions\Ecopetrol Prometeo - Documents\Planning Space Implementation\3. Analysis &amp; Design\Design\FC22\DRR Jaime\QUIFA-CAJÚA\Cajua\[VAS_CAJUA_CF_SEC_20230125.xlsx]CF PDP'!$BW$49</t>
  </si>
  <si>
    <t>='C:\Users\jaime.benazar\Quorum Business Solutions\Ecopetrol Prometeo - Documents\Planning Space Implementation\3. Analysis &amp; Design\Design\FC22\DRR Jaime\QUIFA-CAJÚA\Cajua\[VAS_CAJUA_CF_SEC_20230125.xlsx]CF PDP'!$BW$50</t>
  </si>
  <si>
    <t>='C:\Users\jaime.benazar\Quorum Business Solutions\Ecopetrol Prometeo - Documents\Planning Space Implementation\3. Analysis &amp; Design\Design\FC22\DRR Jaime\QUIFA-CAJÚA\Cajua\[VAS_CAJUA_CF_SEC_20230125.xlsx]CF PDP'!$BW$51</t>
  </si>
  <si>
    <t>='C:\Users\jaime.benazar\Quorum Business Solutions\Ecopetrol Prometeo - Documents\Planning Space Implementation\3. Analysis &amp; Design\Design\FC22\DRR Jaime\QUIFA-CAJÚA\Cajua\[VAS_CAJUA_CF_SEC_20230125.xlsx]CF PDP'!$BW$52</t>
  </si>
  <si>
    <t>='C:\Users\jaime.benazar\Quorum Business Solutions\Ecopetrol Prometeo - Documents\Planning Space Implementation\3. Analysis &amp; Design\Design\FC22\DRR Jaime\QUIFA-CAJÚA\Cajua\[VAS_CAJUA_CF_SEC_20230125.xlsx]CF PDP'!$BW$53</t>
  </si>
  <si>
    <t>='C:\Users\jaime.benazar\Quorum Business Solutions\Ecopetrol Prometeo - Documents\Planning Space Implementation\3. Analysis &amp; Design\Design\FC22\DRR Jaime\QUIFA-CAJÚA\Cajua\[VAS_CAJUA_CF_SEC_20230125.xlsx]CF PDP'!$BW$54</t>
  </si>
  <si>
    <t>='C:\Users\jaime.benazar\Quorum Business Solutions\Ecopetrol Prometeo - Documents\Planning Space Implementation\3. Analysis &amp; Design\Design\FC22\DRR Jaime\QUIFA-CAJÚA\Cajua\[VAS_CAJUA_CF_SEC_20230125.xlsx]CF PDP'!$BW$55</t>
  </si>
  <si>
    <t>='C:\Users\jaime.benazar\Quorum Business Solutions\Ecopetrol Prometeo - Documents\Planning Space Implementation\3. Analysis &amp; Design\Design\FC22\DRR Jaime\QUIFA-CAJÚA\Cajua\[VAS_CAJUA_CF_SEC_20230125.xlsx]CF PDP'!$BW$56</t>
  </si>
  <si>
    <t>='C:\Users\jaime.benazar\Quorum Business Solutions\Ecopetrol Prometeo - Documents\Planning Space Implementation\3. Analysis &amp; Design\Design\FC22\DRR Jaime\QUIFA-CAJÚA\Cajua\[VAS_CAJUA_CF_SEC_20230125.xlsx]CF PDP'!$BW$57</t>
  </si>
  <si>
    <t>='C:\Users\jaime.benazar\Quorum Business Solutions\Ecopetrol Prometeo - Documents\Planning Space Implementation\3. Analysis &amp; Design\Design\FC22\DRR Jaime\QUIFA-CAJÚA\Cajua\[VAS_CAJUA_CF_SEC_20230125.xlsx]CF PDP'!$BW$58</t>
  </si>
  <si>
    <t>='C:\Users\jaime.benazar\Quorum Business Solutions\Ecopetrol Prometeo - Documents\Planning Space Implementation\3. Analysis &amp; Design\Design\FC22\DRR Jaime\QUIFA-CAJÚA\Cajua\[VAS_CAJUA_CF_SEC_20230125.xlsx]CF PDP'!$BW$59</t>
  </si>
  <si>
    <t>='C:\Users\jaime.benazar\Quorum Business Solutions\Ecopetrol Prometeo - Documents\Planning Space Implementation\3. Analysis &amp; Design\Design\FC22\DRR Jaime\QUIFA-CAJÚA\Cajua\[VAS_CAJUA_CF_SEC_20230125.xlsx]CF PDP'!$BW$60</t>
  </si>
  <si>
    <t>='C:\Users\jaime.benazar\Quorum Business Solutions\Ecopetrol Prometeo - Documents\Planning Space Implementation\3. Analysis &amp; Design\Design\FC22\DRR Jaime\QUIFA-CAJÚA\Cajua\[VAS_CAJUA_CF_SEC_20230125.xlsx]CF PDP'!$BW$61</t>
  </si>
  <si>
    <t>='C:\Users\jaime.benazar\Quorum Business Solutions\Ecopetrol Prometeo - Documents\Planning Space Implementation\3. Analysis &amp; Design\Design\FC22\DRR Jaime\QUIFA-CAJÚA\Cajua\[VAS_CAJUA_CF_SEC_20230125.xlsx]CF PDP'!$BW$62</t>
  </si>
  <si>
    <t>='C:\Users\jaime.benazar\Quorum Business Solutions\Ecopetrol Prometeo - Documents\Planning Space Implementation\3. Analysis &amp; Design\Design\FC22\DRR Jaime\QUIFA-CAJÚA\Cajua\[VAS_CAJUA_CF_SEC_20230125.xlsx]CF PDP'!$BW$63</t>
  </si>
  <si>
    <t>='C:\Users\jaime.benazar\Quorum Business Solutions\Ecopetrol Prometeo - Documents\Planning Space Implementation\3. Analysis &amp; Design\Design\FC22\DRR Jaime\QUIFA-CAJÚA\Cajua\[VAS_CAJUA_CF_SEC_20230125.xlsx]CF PDP'!$BW$64</t>
  </si>
  <si>
    <t>='C:\Users\jaime.benazar\Quorum Business Solutions\Ecopetrol Prometeo - Documents\Planning Space Implementation\3. Analysis &amp; Design\Design\FC22\DRR Jaime\QUIFA-CAJÚA\Cajua\[VAS_CAJUA_CF_SEC_20230125.xlsx]CF PDP'!$BW$65</t>
  </si>
  <si>
    <t>='C:\Users\jaime.benazar\Quorum Business Solutions\Ecopetrol Prometeo - Documents\Planning Space Implementation\3. Analysis &amp; Design\Design\FC22\DRR Jaime\QUIFA-CAJÚA\Cajua\[VAS_CAJUA_CF_SEC_20230125.xlsx]CF PDP'!$BW$66</t>
  </si>
  <si>
    <t>='C:\Users\jaime.benazar\Quorum Business Solutions\Ecopetrol Prometeo - Documents\Planning Space Implementation\3. Analysis &amp; Design\Design\FC22\DRR Jaime\QUIFA-CAJÚA\Cajua\[VAS_CAJUA_CF_SEC_20230125.xlsx]CF PDP'!$BW$67</t>
  </si>
  <si>
    <t>='C:\Users\jaime.benazar\Quorum Business Solutions\Ecopetrol Prometeo - Documents\Planning Space Implementation\3. Analysis &amp; Design\Design\FC22\DRR Jaime\QUIFA-CAJÚA\Cajua\[VAS_CAJUA_CF_SEC_20230125.xlsx]CF PDP'!$BW$68</t>
  </si>
  <si>
    <t>='C:\Users\jaime.benazar\Quorum Business Solutions\Ecopetrol Prometeo - Documents\Planning Space Implementation\3. Analysis &amp; Design\Design\FC22\DRR Jaime\QUIFA-CAJÚA\Cajua\[VAS_CAJUA_CF_SEC_20230125.xlsx]CF PDP'!$BW$69</t>
  </si>
  <si>
    <t>='C:\Users\jaime.benazar\Quorum Business Solutions\Ecopetrol Prometeo - Documents\Planning Space Implementation\3. Analysis &amp; Design\Design\FC22\DRR Jaime\QUIFA-CAJÚA\Cajua\[VAS_CAJUA_CF_SEC_20230125.xlsx]CF PDP'!$BW$70</t>
  </si>
  <si>
    <t>='C:\Users\jaime.benazar\Quorum Business Solutions\Ecopetrol Prometeo - Documents\Planning Space Implementation\3. Analysis &amp; Design\Design\FC22\DRR Jaime\QUIFA-CAJÚA\Cajua\[VAS_CAJUA_CF_SEC_20230125.xlsx]CF PDP'!$BW$71</t>
  </si>
  <si>
    <t>='C:\Users\jaime.benazar\Quorum Business Solutions\Ecopetrol Prometeo - Documents\Planning Space Implementation\3. Analysis &amp; Design\Design\FC22\DRR Jaime\QUIFA-CAJÚA\Cajua\[VAS_CAJUA_CF_SEC_20230125.xlsx]CF PDP'!$BW$72</t>
  </si>
  <si>
    <t>='C:\Users\jaime.benazar\Quorum Business Solutions\Ecopetrol Prometeo - Documents\Planning Space Implementation\3. Analysis &amp; Design\Design\FC22\DRR Jaime\QUIFA-CAJÚA\Cajua\[VAS_CAJUA_CF_SEC_20230125.xlsx]CF PNP'!$BW$36</t>
  </si>
  <si>
    <t>='C:\Users\jaime.benazar\Quorum Business Solutions\Ecopetrol Prometeo - Documents\Planning Space Implementation\3. Analysis &amp; Design\Design\FC22\DRR Jaime\QUIFA-CAJÚA\Cajua\[VAS_CAJUA_CF_SEC_20230125.xlsx]CF PNP'!$BW$37</t>
  </si>
  <si>
    <t>='C:\Users\jaime.benazar\Quorum Business Solutions\Ecopetrol Prometeo - Documents\Planning Space Implementation\3. Analysis &amp; Design\Design\FC22\DRR Jaime\QUIFA-CAJÚA\Cajua\[VAS_CAJUA_CF_SEC_20230125.xlsx]CF PNP'!$BW$38</t>
  </si>
  <si>
    <t>='C:\Users\jaime.benazar\Quorum Business Solutions\Ecopetrol Prometeo - Documents\Planning Space Implementation\3. Analysis &amp; Design\Design\FC22\DRR Jaime\QUIFA-CAJÚA\Cajua\[VAS_CAJUA_CF_SEC_20230125.xlsx]CF PNP'!$BW$39</t>
  </si>
  <si>
    <t>='C:\Users\jaime.benazar\Quorum Business Solutions\Ecopetrol Prometeo - Documents\Planning Space Implementation\3. Analysis &amp; Design\Design\FC22\DRR Jaime\QUIFA-CAJÚA\Cajua\[VAS_CAJUA_CF_SEC_20230125.xlsx]CF PNP'!$BW$40</t>
  </si>
  <si>
    <t>='C:\Users\jaime.benazar\Quorum Business Solutions\Ecopetrol Prometeo - Documents\Planning Space Implementation\3. Analysis &amp; Design\Design\FC22\DRR Jaime\QUIFA-CAJÚA\Cajua\[VAS_CAJUA_CF_SEC_20230125.xlsx]CF PNP'!$BW$41</t>
  </si>
  <si>
    <t>='C:\Users\jaime.benazar\Quorum Business Solutions\Ecopetrol Prometeo - Documents\Planning Space Implementation\3. Analysis &amp; Design\Design\FC22\DRR Jaime\QUIFA-CAJÚA\Cajua\[VAS_CAJUA_CF_SEC_20230125.xlsx]CF PNP'!$BW$42</t>
  </si>
  <si>
    <t>='C:\Users\jaime.benazar\Quorum Business Solutions\Ecopetrol Prometeo - Documents\Planning Space Implementation\3. Analysis &amp; Design\Design\FC22\DRR Jaime\QUIFA-CAJÚA\Cajua\[VAS_CAJUA_CF_SEC_20230125.xlsx]CF PNP'!$BW$43</t>
  </si>
  <si>
    <t>='C:\Users\jaime.benazar\Quorum Business Solutions\Ecopetrol Prometeo - Documents\Planning Space Implementation\3. Analysis &amp; Design\Design\FC22\DRR Jaime\QUIFA-CAJÚA\Cajua\[VAS_CAJUA_CF_SEC_20230125.xlsx]CF PNP'!$BW$44</t>
  </si>
  <si>
    <t>='C:\Users\jaime.benazar\Quorum Business Solutions\Ecopetrol Prometeo - Documents\Planning Space Implementation\3. Analysis &amp; Design\Design\FC22\DRR Jaime\QUIFA-CAJÚA\Cajua\[VAS_CAJUA_CF_SEC_20230125.xlsx]CF PNP'!$BW$45</t>
  </si>
  <si>
    <t>='C:\Users\jaime.benazar\Quorum Business Solutions\Ecopetrol Prometeo - Documents\Planning Space Implementation\3. Analysis &amp; Design\Design\FC22\DRR Jaime\QUIFA-CAJÚA\Cajua\[VAS_CAJUA_CF_SEC_20230125.xlsx]CF PNP'!$BW$46</t>
  </si>
  <si>
    <t>='C:\Users\jaime.benazar\Quorum Business Solutions\Ecopetrol Prometeo - Documents\Planning Space Implementation\3. Analysis &amp; Design\Design\FC22\DRR Jaime\QUIFA-CAJÚA\Cajua\[VAS_CAJUA_CF_SEC_20230125.xlsx]CF PNP'!$BW$47</t>
  </si>
  <si>
    <t>='C:\Users\jaime.benazar\Quorum Business Solutions\Ecopetrol Prometeo - Documents\Planning Space Implementation\3. Analysis &amp; Design\Design\FC22\DRR Jaime\QUIFA-CAJÚA\Cajua\[VAS_CAJUA_CF_SEC_20230125.xlsx]CF PNP'!$BW$48</t>
  </si>
  <si>
    <t>='C:\Users\jaime.benazar\Quorum Business Solutions\Ecopetrol Prometeo - Documents\Planning Space Implementation\3. Analysis &amp; Design\Design\FC22\DRR Jaime\QUIFA-CAJÚA\Cajua\[VAS_CAJUA_CF_SEC_20230125.xlsx]CF PNP'!$BW$49</t>
  </si>
  <si>
    <t>='C:\Users\jaime.benazar\Quorum Business Solutions\Ecopetrol Prometeo - Documents\Planning Space Implementation\3. Analysis &amp; Design\Design\FC22\DRR Jaime\QUIFA-CAJÚA\Cajua\[VAS_CAJUA_CF_SEC_20230125.xlsx]CF PNP'!$BW$50</t>
  </si>
  <si>
    <t>='C:\Users\jaime.benazar\Quorum Business Solutions\Ecopetrol Prometeo - Documents\Planning Space Implementation\3. Analysis &amp; Design\Design\FC22\DRR Jaime\QUIFA-CAJÚA\Cajua\[VAS_CAJUA_CF_SEC_20230125.xlsx]CF PNP'!$BW$51</t>
  </si>
  <si>
    <t>='C:\Users\jaime.benazar\Quorum Business Solutions\Ecopetrol Prometeo - Documents\Planning Space Implementation\3. Analysis &amp; Design\Design\FC22\DRR Jaime\QUIFA-CAJÚA\Cajua\[VAS_CAJUA_CF_SEC_20230125.xlsx]CF PNP'!$BW$52</t>
  </si>
  <si>
    <t>='C:\Users\jaime.benazar\Quorum Business Solutions\Ecopetrol Prometeo - Documents\Planning Space Implementation\3. Analysis &amp; Design\Design\FC22\DRR Jaime\QUIFA-CAJÚA\Cajua\[VAS_CAJUA_CF_SEC_20230125.xlsx]CF PNP'!$BW$53</t>
  </si>
  <si>
    <t>='C:\Users\jaime.benazar\Quorum Business Solutions\Ecopetrol Prometeo - Documents\Planning Space Implementation\3. Analysis &amp; Design\Design\FC22\DRR Jaime\QUIFA-CAJÚA\Cajua\[VAS_CAJUA_CF_SEC_20230125.xlsx]CF PNP'!$BW$54</t>
  </si>
  <si>
    <t>='C:\Users\jaime.benazar\Quorum Business Solutions\Ecopetrol Prometeo - Documents\Planning Space Implementation\3. Analysis &amp; Design\Design\FC22\DRR Jaime\QUIFA-CAJÚA\Cajua\[VAS_CAJUA_CF_SEC_20230125.xlsx]CF PNP'!$BW$55</t>
  </si>
  <si>
    <t>='C:\Users\jaime.benazar\Quorum Business Solutions\Ecopetrol Prometeo - Documents\Planning Space Implementation\3. Analysis &amp; Design\Design\FC22\DRR Jaime\QUIFA-CAJÚA\Cajua\[VAS_CAJUA_CF_SEC_20230125.xlsx]CF PNP'!$BW$56</t>
  </si>
  <si>
    <t>='C:\Users\jaime.benazar\Quorum Business Solutions\Ecopetrol Prometeo - Documents\Planning Space Implementation\3. Analysis &amp; Design\Design\FC22\DRR Jaime\QUIFA-CAJÚA\Cajua\[VAS_CAJUA_CF_SEC_20230125.xlsx]CF PNP'!$BW$57</t>
  </si>
  <si>
    <t>='C:\Users\jaime.benazar\Quorum Business Solutions\Ecopetrol Prometeo - Documents\Planning Space Implementation\3. Analysis &amp; Design\Design\FC22\DRR Jaime\QUIFA-CAJÚA\Cajua\[VAS_CAJUA_CF_SEC_20230125.xlsx]CF PNP'!$BW$58</t>
  </si>
  <si>
    <t>='C:\Users\jaime.benazar\Quorum Business Solutions\Ecopetrol Prometeo - Documents\Planning Space Implementation\3. Analysis &amp; Design\Design\FC22\DRR Jaime\QUIFA-CAJÚA\Cajua\[VAS_CAJUA_CF_SEC_20230125.xlsx]CF PNP'!$BW$59</t>
  </si>
  <si>
    <t>='C:\Users\jaime.benazar\Quorum Business Solutions\Ecopetrol Prometeo - Documents\Planning Space Implementation\3. Analysis &amp; Design\Design\FC22\DRR Jaime\QUIFA-CAJÚA\Cajua\[VAS_CAJUA_CF_SEC_20230125.xlsx]CF PNP'!$BW$60</t>
  </si>
  <si>
    <t>='C:\Users\jaime.benazar\Quorum Business Solutions\Ecopetrol Prometeo - Documents\Planning Space Implementation\3. Analysis &amp; Design\Design\FC22\DRR Jaime\QUIFA-CAJÚA\Cajua\[VAS_CAJUA_CF_SEC_20230125.xlsx]CF PNP'!$BW$61</t>
  </si>
  <si>
    <t>='C:\Users\jaime.benazar\Quorum Business Solutions\Ecopetrol Prometeo - Documents\Planning Space Implementation\3. Analysis &amp; Design\Design\FC22\DRR Jaime\QUIFA-CAJÚA\Cajua\[VAS_CAJUA_CF_SEC_20230125.xlsx]CF PNP'!$BW$62</t>
  </si>
  <si>
    <t>='C:\Users\jaime.benazar\Quorum Business Solutions\Ecopetrol Prometeo - Documents\Planning Space Implementation\3. Analysis &amp; Design\Design\FC22\DRR Jaime\QUIFA-CAJÚA\Cajua\[VAS_CAJUA_CF_SEC_20230125.xlsx]CF PNP'!$BW$63</t>
  </si>
  <si>
    <t>='C:\Users\jaime.benazar\Quorum Business Solutions\Ecopetrol Prometeo - Documents\Planning Space Implementation\3. Analysis &amp; Design\Design\FC22\DRR Jaime\QUIFA-CAJÚA\Cajua\[VAS_CAJUA_CF_SEC_20230125.xlsx]CF PNP'!$BW$64</t>
  </si>
  <si>
    <t>='C:\Users\jaime.benazar\Quorum Business Solutions\Ecopetrol Prometeo - Documents\Planning Space Implementation\3. Analysis &amp; Design\Design\FC22\DRR Jaime\QUIFA-CAJÚA\Cajua\[VAS_CAJUA_CF_SEC_20230125.xlsx]CF PNP'!$BW$65</t>
  </si>
  <si>
    <t>='C:\Users\jaime.benazar\Quorum Business Solutions\Ecopetrol Prometeo - Documents\Planning Space Implementation\3. Analysis &amp; Design\Design\FC22\DRR Jaime\QUIFA-CAJÚA\Cajua\[VAS_CAJUA_CF_SEC_20230125.xlsx]CF PNP'!$BW$66</t>
  </si>
  <si>
    <t>='C:\Users\jaime.benazar\Quorum Business Solutions\Ecopetrol Prometeo - Documents\Planning Space Implementation\3. Analysis &amp; Design\Design\FC22\DRR Jaime\QUIFA-CAJÚA\Cajua\[VAS_CAJUA_CF_SEC_20230125.xlsx]CF PNP'!$BW$67</t>
  </si>
  <si>
    <t>='C:\Users\jaime.benazar\Quorum Business Solutions\Ecopetrol Prometeo - Documents\Planning Space Implementation\3. Analysis &amp; Design\Design\FC22\DRR Jaime\QUIFA-CAJÚA\Cajua\[VAS_CAJUA_CF_SEC_20230125.xlsx]CF PNP'!$BW$68</t>
  </si>
  <si>
    <t>='C:\Users\jaime.benazar\Quorum Business Solutions\Ecopetrol Prometeo - Documents\Planning Space Implementation\3. Analysis &amp; Design\Design\FC22\DRR Jaime\QUIFA-CAJÚA\Cajua\[VAS_CAJUA_CF_SEC_20230125.xlsx]CF PNP'!$BW$69</t>
  </si>
  <si>
    <t>='C:\Users\jaime.benazar\Quorum Business Solutions\Ecopetrol Prometeo - Documents\Planning Space Implementation\3. Analysis &amp; Design\Design\FC22\DRR Jaime\QUIFA-CAJÚA\Cajua\[VAS_CAJUA_CF_SEC_20230125.xlsx]CF PNP'!$BW$70</t>
  </si>
  <si>
    <t>='C:\Users\jaime.benazar\Quorum Business Solutions\Ecopetrol Prometeo - Documents\Planning Space Implementation\3. Analysis &amp; Design\Design\FC22\DRR Jaime\QUIFA-CAJÚA\Cajua\[VAS_CAJUA_CF_SEC_20230125.xlsx]CF PNP'!$BW$71</t>
  </si>
  <si>
    <t>='C:\Users\jaime.benazar\Quorum Business Solutions\Ecopetrol Prometeo - Documents\Planning Space Implementation\3. Analysis &amp; Design\Design\FC22\DRR Jaime\QUIFA-CAJÚA\Cajua\[VAS_CAJUA_CF_SEC_20230125.xlsx]CF PNP'!$BW$72</t>
  </si>
  <si>
    <t>='C:\Users\jaime.benazar\Quorum Business Solutions\Ecopetrol Prometeo - Documents\Planning Space Implementation\3. Analysis &amp; Design\Design\FC22\DRR Jaime\QUIFA-CAJÚA\Cajua\[VAS_CAJUA_CF_SEC_20230125.xlsx]CF PND'!$BW$36</t>
  </si>
  <si>
    <t>='C:\Users\jaime.benazar\Quorum Business Solutions\Ecopetrol Prometeo - Documents\Planning Space Implementation\3. Analysis &amp; Design\Design\FC22\DRR Jaime\QUIFA-CAJÚA\Cajua\[VAS_CAJUA_CF_SEC_20230125.xlsx]CF PND'!$BW$37</t>
  </si>
  <si>
    <t>='C:\Users\jaime.benazar\Quorum Business Solutions\Ecopetrol Prometeo - Documents\Planning Space Implementation\3. Analysis &amp; Design\Design\FC22\DRR Jaime\QUIFA-CAJÚA\Cajua\[VAS_CAJUA_CF_SEC_20230125.xlsx]CF PND'!$BW$38</t>
  </si>
  <si>
    <t>='C:\Users\jaime.benazar\Quorum Business Solutions\Ecopetrol Prometeo - Documents\Planning Space Implementation\3. Analysis &amp; Design\Design\FC22\DRR Jaime\QUIFA-CAJÚA\Cajua\[VAS_CAJUA_CF_SEC_20230125.xlsx]CF PND'!$BW$39</t>
  </si>
  <si>
    <t>='C:\Users\jaime.benazar\Quorum Business Solutions\Ecopetrol Prometeo - Documents\Planning Space Implementation\3. Analysis &amp; Design\Design\FC22\DRR Jaime\QUIFA-CAJÚA\Cajua\[VAS_CAJUA_CF_SEC_20230125.xlsx]CF PND'!$BW$40</t>
  </si>
  <si>
    <t>='C:\Users\jaime.benazar\Quorum Business Solutions\Ecopetrol Prometeo - Documents\Planning Space Implementation\3. Analysis &amp; Design\Design\FC22\DRR Jaime\QUIFA-CAJÚA\Cajua\[VAS_CAJUA_CF_SEC_20230125.xlsx]CF PND'!$BW$41</t>
  </si>
  <si>
    <t>='C:\Users\jaime.benazar\Quorum Business Solutions\Ecopetrol Prometeo - Documents\Planning Space Implementation\3. Analysis &amp; Design\Design\FC22\DRR Jaime\QUIFA-CAJÚA\Cajua\[VAS_CAJUA_CF_SEC_20230125.xlsx]CF PND'!$BW$42</t>
  </si>
  <si>
    <t>='C:\Users\jaime.benazar\Quorum Business Solutions\Ecopetrol Prometeo - Documents\Planning Space Implementation\3. Analysis &amp; Design\Design\FC22\DRR Jaime\QUIFA-CAJÚA\Cajua\[VAS_CAJUA_CF_SEC_20230125.xlsx]CF PND'!$BW$43</t>
  </si>
  <si>
    <t>='C:\Users\jaime.benazar\Quorum Business Solutions\Ecopetrol Prometeo - Documents\Planning Space Implementation\3. Analysis &amp; Design\Design\FC22\DRR Jaime\QUIFA-CAJÚA\Cajua\[VAS_CAJUA_CF_SEC_20230125.xlsx]CF PND'!$BW$44</t>
  </si>
  <si>
    <t>='C:\Users\jaime.benazar\Quorum Business Solutions\Ecopetrol Prometeo - Documents\Planning Space Implementation\3. Analysis &amp; Design\Design\FC22\DRR Jaime\QUIFA-CAJÚA\Cajua\[VAS_CAJUA_CF_SEC_20230125.xlsx]CF PND'!$BW$45</t>
  </si>
  <si>
    <t>='C:\Users\jaime.benazar\Quorum Business Solutions\Ecopetrol Prometeo - Documents\Planning Space Implementation\3. Analysis &amp; Design\Design\FC22\DRR Jaime\QUIFA-CAJÚA\Cajua\[VAS_CAJUA_CF_SEC_20230125.xlsx]CF PND'!$BW$46</t>
  </si>
  <si>
    <t>='C:\Users\jaime.benazar\Quorum Business Solutions\Ecopetrol Prometeo - Documents\Planning Space Implementation\3. Analysis &amp; Design\Design\FC22\DRR Jaime\QUIFA-CAJÚA\Cajua\[VAS_CAJUA_CF_SEC_20230125.xlsx]CF PND'!$BW$47</t>
  </si>
  <si>
    <t>='C:\Users\jaime.benazar\Quorum Business Solutions\Ecopetrol Prometeo - Documents\Planning Space Implementation\3. Analysis &amp; Design\Design\FC22\DRR Jaime\QUIFA-CAJÚA\Cajua\[VAS_CAJUA_CF_SEC_20230125.xlsx]CF PND'!$BW$48</t>
  </si>
  <si>
    <t>='C:\Users\jaime.benazar\Quorum Business Solutions\Ecopetrol Prometeo - Documents\Planning Space Implementation\3. Analysis &amp; Design\Design\FC22\DRR Jaime\QUIFA-CAJÚA\Cajua\[VAS_CAJUA_CF_SEC_20230125.xlsx]CF PND'!$BW$49</t>
  </si>
  <si>
    <t>='C:\Users\jaime.benazar\Quorum Business Solutions\Ecopetrol Prometeo - Documents\Planning Space Implementation\3. Analysis &amp; Design\Design\FC22\DRR Jaime\QUIFA-CAJÚA\Cajua\[VAS_CAJUA_CF_SEC_20230125.xlsx]CF PND'!$BW$50</t>
  </si>
  <si>
    <t>='C:\Users\jaime.benazar\Quorum Business Solutions\Ecopetrol Prometeo - Documents\Planning Space Implementation\3. Analysis &amp; Design\Design\FC22\DRR Jaime\QUIFA-CAJÚA\Cajua\[VAS_CAJUA_CF_SEC_20230125.xlsx]CF PND'!$BW$51</t>
  </si>
  <si>
    <t>='C:\Users\jaime.benazar\Quorum Business Solutions\Ecopetrol Prometeo - Documents\Planning Space Implementation\3. Analysis &amp; Design\Design\FC22\DRR Jaime\QUIFA-CAJÚA\Cajua\[VAS_CAJUA_CF_SEC_20230125.xlsx]CF PND'!$BW$52</t>
  </si>
  <si>
    <t>='C:\Users\jaime.benazar\Quorum Business Solutions\Ecopetrol Prometeo - Documents\Planning Space Implementation\3. Analysis &amp; Design\Design\FC22\DRR Jaime\QUIFA-CAJÚA\Cajua\[VAS_CAJUA_CF_SEC_20230125.xlsx]CF PND'!$BW$53</t>
  </si>
  <si>
    <t>='C:\Users\jaime.benazar\Quorum Business Solutions\Ecopetrol Prometeo - Documents\Planning Space Implementation\3. Analysis &amp; Design\Design\FC22\DRR Jaime\QUIFA-CAJÚA\Cajua\[VAS_CAJUA_CF_SEC_20230125.xlsx]CF PND'!$BW$54</t>
  </si>
  <si>
    <t>='C:\Users\jaime.benazar\Quorum Business Solutions\Ecopetrol Prometeo - Documents\Planning Space Implementation\3. Analysis &amp; Design\Design\FC22\DRR Jaime\QUIFA-CAJÚA\Cajua\[VAS_CAJUA_CF_SEC_20230125.xlsx]CF PND'!$BW$55</t>
  </si>
  <si>
    <t>='C:\Users\jaime.benazar\Quorum Business Solutions\Ecopetrol Prometeo - Documents\Planning Space Implementation\3. Analysis &amp; Design\Design\FC22\DRR Jaime\QUIFA-CAJÚA\Cajua\[VAS_CAJUA_CF_SEC_20230125.xlsx]CF PND'!$BW$56</t>
  </si>
  <si>
    <t>='C:\Users\jaime.benazar\Quorum Business Solutions\Ecopetrol Prometeo - Documents\Planning Space Implementation\3. Analysis &amp; Design\Design\FC22\DRR Jaime\QUIFA-CAJÚA\Cajua\[VAS_CAJUA_CF_SEC_20230125.xlsx]CF PND'!$BW$57</t>
  </si>
  <si>
    <t>='C:\Users\jaime.benazar\Quorum Business Solutions\Ecopetrol Prometeo - Documents\Planning Space Implementation\3. Analysis &amp; Design\Design\FC22\DRR Jaime\QUIFA-CAJÚA\Cajua\[VAS_CAJUA_CF_SEC_20230125.xlsx]CF PND'!$BW$58</t>
  </si>
  <si>
    <t>='C:\Users\jaime.benazar\Quorum Business Solutions\Ecopetrol Prometeo - Documents\Planning Space Implementation\3. Analysis &amp; Design\Design\FC22\DRR Jaime\QUIFA-CAJÚA\Cajua\[VAS_CAJUA_CF_SEC_20230125.xlsx]CF PND'!$BW$59</t>
  </si>
  <si>
    <t>='C:\Users\jaime.benazar\Quorum Business Solutions\Ecopetrol Prometeo - Documents\Planning Space Implementation\3. Analysis &amp; Design\Design\FC22\DRR Jaime\QUIFA-CAJÚA\Cajua\[VAS_CAJUA_CF_SEC_20230125.xlsx]CF PND'!$BW$60</t>
  </si>
  <si>
    <t>='C:\Users\jaime.benazar\Quorum Business Solutions\Ecopetrol Prometeo - Documents\Planning Space Implementation\3. Analysis &amp; Design\Design\FC22\DRR Jaime\QUIFA-CAJÚA\Cajua\[VAS_CAJUA_CF_SEC_20230125.xlsx]CF PND'!$BW$61</t>
  </si>
  <si>
    <t>='C:\Users\jaime.benazar\Quorum Business Solutions\Ecopetrol Prometeo - Documents\Planning Space Implementation\3. Analysis &amp; Design\Design\FC22\DRR Jaime\QUIFA-CAJÚA\Cajua\[VAS_CAJUA_CF_SEC_20230125.xlsx]CF PND'!$BW$62</t>
  </si>
  <si>
    <t>='C:\Users\jaime.benazar\Quorum Business Solutions\Ecopetrol Prometeo - Documents\Planning Space Implementation\3. Analysis &amp; Design\Design\FC22\DRR Jaime\QUIFA-CAJÚA\Cajua\[VAS_CAJUA_CF_SEC_20230125.xlsx]CF PND'!$BW$63</t>
  </si>
  <si>
    <t>='C:\Users\jaime.benazar\Quorum Business Solutions\Ecopetrol Prometeo - Documents\Planning Space Implementation\3. Analysis &amp; Design\Design\FC22\DRR Jaime\QUIFA-CAJÚA\Cajua\[VAS_CAJUA_CF_SEC_20230125.xlsx]CF PND'!$BW$64</t>
  </si>
  <si>
    <t>='C:\Users\jaime.benazar\Quorum Business Solutions\Ecopetrol Prometeo - Documents\Planning Space Implementation\3. Analysis &amp; Design\Design\FC22\DRR Jaime\QUIFA-CAJÚA\Cajua\[VAS_CAJUA_CF_SEC_20230125.xlsx]CF PND'!$BW$65</t>
  </si>
  <si>
    <t>='C:\Users\jaime.benazar\Quorum Business Solutions\Ecopetrol Prometeo - Documents\Planning Space Implementation\3. Analysis &amp; Design\Design\FC22\DRR Jaime\QUIFA-CAJÚA\Cajua\[VAS_CAJUA_CF_SEC_20230125.xlsx]CF PND'!$BW$66</t>
  </si>
  <si>
    <t>='C:\Users\jaime.benazar\Quorum Business Solutions\Ecopetrol Prometeo - Documents\Planning Space Implementation\3. Analysis &amp; Design\Design\FC22\DRR Jaime\QUIFA-CAJÚA\Cajua\[VAS_CAJUA_CF_SEC_20230125.xlsx]CF PND'!$BW$67</t>
  </si>
  <si>
    <t>='C:\Users\jaime.benazar\Quorum Business Solutions\Ecopetrol Prometeo - Documents\Planning Space Implementation\3. Analysis &amp; Design\Design\FC22\DRR Jaime\QUIFA-CAJÚA\Cajua\[VAS_CAJUA_CF_SEC_20230125.xlsx]CF PND'!$BW$68</t>
  </si>
  <si>
    <t>='C:\Users\jaime.benazar\Quorum Business Solutions\Ecopetrol Prometeo - Documents\Planning Space Implementation\3. Analysis &amp; Design\Design\FC22\DRR Jaime\QUIFA-CAJÚA\Cajua\[VAS_CAJUA_CF_SEC_20230125.xlsx]CF PND'!$BW$69</t>
  </si>
  <si>
    <t>='C:\Users\jaime.benazar\Quorum Business Solutions\Ecopetrol Prometeo - Documents\Planning Space Implementation\3. Analysis &amp; Design\Design\FC22\DRR Jaime\QUIFA-CAJÚA\Cajua\[VAS_CAJUA_CF_SEC_20230125.xlsx]CF PND'!$BW$70</t>
  </si>
  <si>
    <t>='C:\Users\jaime.benazar\Quorum Business Solutions\Ecopetrol Prometeo - Documents\Planning Space Implementation\3. Analysis &amp; Design\Design\FC22\DRR Jaime\QUIFA-CAJÚA\Cajua\[VAS_CAJUA_CF_SEC_20230125.xlsx]CF PND'!$BW$71</t>
  </si>
  <si>
    <t>='C:\Users\jaime.benazar\Quorum Business Solutions\Ecopetrol Prometeo - Documents\Planning Space Implementation\3. Analysis &amp; Design\Design\FC22\DRR Jaime\QUIFA-CAJÚA\Cajua\[VAS_CAJUA_CF_SEC_20230125.xlsx]CF PND'!$BW$72</t>
  </si>
  <si>
    <t>='C:\Users\jaime.benazar\Quorum Business Solutions\Ecopetrol Prometeo - Documents\Planning Space Implementation\3. Analysis &amp; Design\Design\FC22\DRR Jaime\QUIFA-CAJÚA\Cajua\[VAS_CAJUA_CF_SEC_20230125.xlsx]CF PRB'!$BW$36</t>
  </si>
  <si>
    <t>='C:\Users\jaime.benazar\Quorum Business Solutions\Ecopetrol Prometeo - Documents\Planning Space Implementation\3. Analysis &amp; Design\Design\FC22\DRR Jaime\QUIFA-CAJÚA\Cajua\[VAS_CAJUA_CF_SEC_20230125.xlsx]CF PRB'!$BW$37</t>
  </si>
  <si>
    <t>='C:\Users\jaime.benazar\Quorum Business Solutions\Ecopetrol Prometeo - Documents\Planning Space Implementation\3. Analysis &amp; Design\Design\FC22\DRR Jaime\QUIFA-CAJÚA\Cajua\[VAS_CAJUA_CF_SEC_20230125.xlsx]CF PRB'!$BW$38</t>
  </si>
  <si>
    <t>='C:\Users\jaime.benazar\Quorum Business Solutions\Ecopetrol Prometeo - Documents\Planning Space Implementation\3. Analysis &amp; Design\Design\FC22\DRR Jaime\QUIFA-CAJÚA\Cajua\[VAS_CAJUA_CF_SEC_20230125.xlsx]CF PRB'!$BW$39</t>
  </si>
  <si>
    <t>='C:\Users\jaime.benazar\Quorum Business Solutions\Ecopetrol Prometeo - Documents\Planning Space Implementation\3. Analysis &amp; Design\Design\FC22\DRR Jaime\QUIFA-CAJÚA\Cajua\[VAS_CAJUA_CF_SEC_20230125.xlsx]CF PRB'!$BW$40</t>
  </si>
  <si>
    <t>='C:\Users\jaime.benazar\Quorum Business Solutions\Ecopetrol Prometeo - Documents\Planning Space Implementation\3. Analysis &amp; Design\Design\FC22\DRR Jaime\QUIFA-CAJÚA\Cajua\[VAS_CAJUA_CF_SEC_20230125.xlsx]CF PRB'!$BW$41</t>
  </si>
  <si>
    <t>='C:\Users\jaime.benazar\Quorum Business Solutions\Ecopetrol Prometeo - Documents\Planning Space Implementation\3. Analysis &amp; Design\Design\FC22\DRR Jaime\QUIFA-CAJÚA\Cajua\[VAS_CAJUA_CF_SEC_20230125.xlsx]CF PRB'!$BW$42</t>
  </si>
  <si>
    <t>='C:\Users\jaime.benazar\Quorum Business Solutions\Ecopetrol Prometeo - Documents\Planning Space Implementation\3. Analysis &amp; Design\Design\FC22\DRR Jaime\QUIFA-CAJÚA\Cajua\[VAS_CAJUA_CF_SEC_20230125.xlsx]CF PRB'!$BW$43</t>
  </si>
  <si>
    <t>='C:\Users\jaime.benazar\Quorum Business Solutions\Ecopetrol Prometeo - Documents\Planning Space Implementation\3. Analysis &amp; Design\Design\FC22\DRR Jaime\QUIFA-CAJÚA\Cajua\[VAS_CAJUA_CF_SEC_20230125.xlsx]CF PRB'!$BW$44</t>
  </si>
  <si>
    <t>='C:\Users\jaime.benazar\Quorum Business Solutions\Ecopetrol Prometeo - Documents\Planning Space Implementation\3. Analysis &amp; Design\Design\FC22\DRR Jaime\QUIFA-CAJÚA\Cajua\[VAS_CAJUA_CF_SEC_20230125.xlsx]CF PRB'!$BW$45</t>
  </si>
  <si>
    <t>='C:\Users\jaime.benazar\Quorum Business Solutions\Ecopetrol Prometeo - Documents\Planning Space Implementation\3. Analysis &amp; Design\Design\FC22\DRR Jaime\QUIFA-CAJÚA\Cajua\[VAS_CAJUA_CF_SEC_20230125.xlsx]CF PRB'!$BW$46</t>
  </si>
  <si>
    <t>='C:\Users\jaime.benazar\Quorum Business Solutions\Ecopetrol Prometeo - Documents\Planning Space Implementation\3. Analysis &amp; Design\Design\FC22\DRR Jaime\QUIFA-CAJÚA\Cajua\[VAS_CAJUA_CF_SEC_20230125.xlsx]CF PRB'!$BW$47</t>
  </si>
  <si>
    <t>='C:\Users\jaime.benazar\Quorum Business Solutions\Ecopetrol Prometeo - Documents\Planning Space Implementation\3. Analysis &amp; Design\Design\FC22\DRR Jaime\QUIFA-CAJÚA\Cajua\[VAS_CAJUA_CF_SEC_20230125.xlsx]CF PRB'!$BW$48</t>
  </si>
  <si>
    <t>='C:\Users\jaime.benazar\Quorum Business Solutions\Ecopetrol Prometeo - Documents\Planning Space Implementation\3. Analysis &amp; Design\Design\FC22\DRR Jaime\QUIFA-CAJÚA\Cajua\[VAS_CAJUA_CF_SEC_20230125.xlsx]CF PRB'!$BW$49</t>
  </si>
  <si>
    <t>='C:\Users\jaime.benazar\Quorum Business Solutions\Ecopetrol Prometeo - Documents\Planning Space Implementation\3. Analysis &amp; Design\Design\FC22\DRR Jaime\QUIFA-CAJÚA\Cajua\[VAS_CAJUA_CF_SEC_20230125.xlsx]CF PRB'!$BW$50</t>
  </si>
  <si>
    <t>='C:\Users\jaime.benazar\Quorum Business Solutions\Ecopetrol Prometeo - Documents\Planning Space Implementation\3. Analysis &amp; Design\Design\FC22\DRR Jaime\QUIFA-CAJÚA\Cajua\[VAS_CAJUA_CF_SEC_20230125.xlsx]CF PRB'!$BW$51</t>
  </si>
  <si>
    <t>='C:\Users\jaime.benazar\Quorum Business Solutions\Ecopetrol Prometeo - Documents\Planning Space Implementation\3. Analysis &amp; Design\Design\FC22\DRR Jaime\QUIFA-CAJÚA\Cajua\[VAS_CAJUA_CF_SEC_20230125.xlsx]CF PRB'!$BW$52</t>
  </si>
  <si>
    <t>='C:\Users\jaime.benazar\Quorum Business Solutions\Ecopetrol Prometeo - Documents\Planning Space Implementation\3. Analysis &amp; Design\Design\FC22\DRR Jaime\QUIFA-CAJÚA\Cajua\[VAS_CAJUA_CF_SEC_20230125.xlsx]CF PRB'!$BW$53</t>
  </si>
  <si>
    <t>='C:\Users\jaime.benazar\Quorum Business Solutions\Ecopetrol Prometeo - Documents\Planning Space Implementation\3. Analysis &amp; Design\Design\FC22\DRR Jaime\QUIFA-CAJÚA\Cajua\[VAS_CAJUA_CF_SEC_20230125.xlsx]CF PRB'!$BW$54</t>
  </si>
  <si>
    <t>='C:\Users\jaime.benazar\Quorum Business Solutions\Ecopetrol Prometeo - Documents\Planning Space Implementation\3. Analysis &amp; Design\Design\FC22\DRR Jaime\QUIFA-CAJÚA\Cajua\[VAS_CAJUA_CF_SEC_20230125.xlsx]CF PRB'!$BW$55</t>
  </si>
  <si>
    <t>='C:\Users\jaime.benazar\Quorum Business Solutions\Ecopetrol Prometeo - Documents\Planning Space Implementation\3. Analysis &amp; Design\Design\FC22\DRR Jaime\QUIFA-CAJÚA\Cajua\[VAS_CAJUA_CF_SEC_20230125.xlsx]CF PRB'!$BW$56</t>
  </si>
  <si>
    <t>='C:\Users\jaime.benazar\Quorum Business Solutions\Ecopetrol Prometeo - Documents\Planning Space Implementation\3. Analysis &amp; Design\Design\FC22\DRR Jaime\QUIFA-CAJÚA\Cajua\[VAS_CAJUA_CF_SEC_20230125.xlsx]CF PRB'!$BW$57</t>
  </si>
  <si>
    <t>='C:\Users\jaime.benazar\Quorum Business Solutions\Ecopetrol Prometeo - Documents\Planning Space Implementation\3. Analysis &amp; Design\Design\FC22\DRR Jaime\QUIFA-CAJÚA\Cajua\[VAS_CAJUA_CF_SEC_20230125.xlsx]CF PRB'!$BW$58</t>
  </si>
  <si>
    <t>='C:\Users\jaime.benazar\Quorum Business Solutions\Ecopetrol Prometeo - Documents\Planning Space Implementation\3. Analysis &amp; Design\Design\FC22\DRR Jaime\QUIFA-CAJÚA\Cajua\[VAS_CAJUA_CF_SEC_20230125.xlsx]CF PRB'!$BW$59</t>
  </si>
  <si>
    <t>='C:\Users\jaime.benazar\Quorum Business Solutions\Ecopetrol Prometeo - Documents\Planning Space Implementation\3. Analysis &amp; Design\Design\FC22\DRR Jaime\QUIFA-CAJÚA\Cajua\[VAS_CAJUA_CF_SEC_20230125.xlsx]CF PRB'!$BW$60</t>
  </si>
  <si>
    <t>='C:\Users\jaime.benazar\Quorum Business Solutions\Ecopetrol Prometeo - Documents\Planning Space Implementation\3. Analysis &amp; Design\Design\FC22\DRR Jaime\QUIFA-CAJÚA\Cajua\[VAS_CAJUA_CF_SEC_20230125.xlsx]CF PRB'!$BW$61</t>
  </si>
  <si>
    <t>='C:\Users\jaime.benazar\Quorum Business Solutions\Ecopetrol Prometeo - Documents\Planning Space Implementation\3. Analysis &amp; Design\Design\FC22\DRR Jaime\QUIFA-CAJÚA\Cajua\[VAS_CAJUA_CF_SEC_20230125.xlsx]CF PRB'!$BW$62</t>
  </si>
  <si>
    <t>='C:\Users\jaime.benazar\Quorum Business Solutions\Ecopetrol Prometeo - Documents\Planning Space Implementation\3. Analysis &amp; Design\Design\FC22\DRR Jaime\QUIFA-CAJÚA\Cajua\[VAS_CAJUA_CF_SEC_20230125.xlsx]CF PRB'!$BW$63</t>
  </si>
  <si>
    <t>='C:\Users\jaime.benazar\Quorum Business Solutions\Ecopetrol Prometeo - Documents\Planning Space Implementation\3. Analysis &amp; Design\Design\FC22\DRR Jaime\QUIFA-CAJÚA\Cajua\[VAS_CAJUA_CF_SEC_20230125.xlsx]CF PRB'!$BW$64</t>
  </si>
  <si>
    <t>='C:\Users\jaime.benazar\Quorum Business Solutions\Ecopetrol Prometeo - Documents\Planning Space Implementation\3. Analysis &amp; Design\Design\FC22\DRR Jaime\QUIFA-CAJÚA\Cajua\[VAS_CAJUA_CF_SEC_20230125.xlsx]CF PRB'!$BW$65</t>
  </si>
  <si>
    <t>='C:\Users\jaime.benazar\Quorum Business Solutions\Ecopetrol Prometeo - Documents\Planning Space Implementation\3. Analysis &amp; Design\Design\FC22\DRR Jaime\QUIFA-CAJÚA\Cajua\[VAS_CAJUA_CF_SEC_20230125.xlsx]CF PRB'!$BW$66</t>
  </si>
  <si>
    <t>='C:\Users\jaime.benazar\Quorum Business Solutions\Ecopetrol Prometeo - Documents\Planning Space Implementation\3. Analysis &amp; Design\Design\FC22\DRR Jaime\QUIFA-CAJÚA\Cajua\[VAS_CAJUA_CF_SEC_20230125.xlsx]CF PRB'!$BW$67</t>
  </si>
  <si>
    <t>='C:\Users\jaime.benazar\Quorum Business Solutions\Ecopetrol Prometeo - Documents\Planning Space Implementation\3. Analysis &amp; Design\Design\FC22\DRR Jaime\QUIFA-CAJÚA\Cajua\[VAS_CAJUA_CF_SEC_20230125.xlsx]CF PRB'!$BW$68</t>
  </si>
  <si>
    <t>='C:\Users\jaime.benazar\Quorum Business Solutions\Ecopetrol Prometeo - Documents\Planning Space Implementation\3. Analysis &amp; Design\Design\FC22\DRR Jaime\QUIFA-CAJÚA\Cajua\[VAS_CAJUA_CF_SEC_20230125.xlsx]CF PRB'!$BW$69</t>
  </si>
  <si>
    <t>='C:\Users\jaime.benazar\Quorum Business Solutions\Ecopetrol Prometeo - Documents\Planning Space Implementation\3. Analysis &amp; Design\Design\FC22\DRR Jaime\QUIFA-CAJÚA\Cajua\[VAS_CAJUA_CF_SEC_20230125.xlsx]CF PRB'!$BW$70</t>
  </si>
  <si>
    <t>='C:\Users\jaime.benazar\Quorum Business Solutions\Ecopetrol Prometeo - Documents\Planning Space Implementation\3. Analysis &amp; Design\Design\FC22\DRR Jaime\QUIFA-CAJÚA\Cajua\[VAS_CAJUA_CF_SEC_20230125.xlsx]CF PRB'!$BW$71</t>
  </si>
  <si>
    <t>='C:\Users\jaime.benazar\Quorum Business Solutions\Ecopetrol Prometeo - Documents\Planning Space Implementation\3. Analysis &amp; Design\Design\FC22\DRR Jaime\QUIFA-CAJÚA\Cajua\[VAS_CAJUA_CF_SEC_20230125.xlsx]CF PRB'!$BW$72</t>
  </si>
  <si>
    <t>='C:\Users\jaime.benazar\Quorum Business Solutions\Ecopetrol Prometeo - Documents\Planning Space Implementation\3. Analysis &amp; Design\Design\FC22\DRR Jaime\QUIFA-CAJÚA\Cajua\[VAS_CAJUA_CF_SEC_20230125.xlsx]CF PS'!$BW$36</t>
  </si>
  <si>
    <t>='C:\Users\jaime.benazar\Quorum Business Solutions\Ecopetrol Prometeo - Documents\Planning Space Implementation\3. Analysis &amp; Design\Design\FC22\DRR Jaime\QUIFA-CAJÚA\Cajua\[VAS_CAJUA_CF_SEC_20230125.xlsx]CF PS'!$BW$37</t>
  </si>
  <si>
    <t>='C:\Users\jaime.benazar\Quorum Business Solutions\Ecopetrol Prometeo - Documents\Planning Space Implementation\3. Analysis &amp; Design\Design\FC22\DRR Jaime\QUIFA-CAJÚA\Cajua\[VAS_CAJUA_CF_SEC_20230125.xlsx]CF PS'!$BW$38</t>
  </si>
  <si>
    <t>='C:\Users\jaime.benazar\Quorum Business Solutions\Ecopetrol Prometeo - Documents\Planning Space Implementation\3. Analysis &amp; Design\Design\FC22\DRR Jaime\QUIFA-CAJÚA\Cajua\[VAS_CAJUA_CF_SEC_20230125.xlsx]CF PS'!$BW$39</t>
  </si>
  <si>
    <t>='C:\Users\jaime.benazar\Quorum Business Solutions\Ecopetrol Prometeo - Documents\Planning Space Implementation\3. Analysis &amp; Design\Design\FC22\DRR Jaime\QUIFA-CAJÚA\Cajua\[VAS_CAJUA_CF_SEC_20230125.xlsx]CF PS'!$BW$40</t>
  </si>
  <si>
    <t>='C:\Users\jaime.benazar\Quorum Business Solutions\Ecopetrol Prometeo - Documents\Planning Space Implementation\3. Analysis &amp; Design\Design\FC22\DRR Jaime\QUIFA-CAJÚA\Cajua\[VAS_CAJUA_CF_SEC_20230125.xlsx]CF PS'!$BW$41</t>
  </si>
  <si>
    <t>='C:\Users\jaime.benazar\Quorum Business Solutions\Ecopetrol Prometeo - Documents\Planning Space Implementation\3. Analysis &amp; Design\Design\FC22\DRR Jaime\QUIFA-CAJÚA\Cajua\[VAS_CAJUA_CF_SEC_20230125.xlsx]CF PS'!$BW$42</t>
  </si>
  <si>
    <t>='C:\Users\jaime.benazar\Quorum Business Solutions\Ecopetrol Prometeo - Documents\Planning Space Implementation\3. Analysis &amp; Design\Design\FC22\DRR Jaime\QUIFA-CAJÚA\Cajua\[VAS_CAJUA_CF_SEC_20230125.xlsx]CF PS'!$BW$43</t>
  </si>
  <si>
    <t>='C:\Users\jaime.benazar\Quorum Business Solutions\Ecopetrol Prometeo - Documents\Planning Space Implementation\3. Analysis &amp; Design\Design\FC22\DRR Jaime\QUIFA-CAJÚA\Cajua\[VAS_CAJUA_CF_SEC_20230125.xlsx]CF PS'!$BW$44</t>
  </si>
  <si>
    <t>='C:\Users\jaime.benazar\Quorum Business Solutions\Ecopetrol Prometeo - Documents\Planning Space Implementation\3. Analysis &amp; Design\Design\FC22\DRR Jaime\QUIFA-CAJÚA\Cajua\[VAS_CAJUA_CF_SEC_20230125.xlsx]CF PS'!$BW$45</t>
  </si>
  <si>
    <t>='C:\Users\jaime.benazar\Quorum Business Solutions\Ecopetrol Prometeo - Documents\Planning Space Implementation\3. Analysis &amp; Design\Design\FC22\DRR Jaime\QUIFA-CAJÚA\Cajua\[VAS_CAJUA_CF_SEC_20230125.xlsx]CF PS'!$BW$46</t>
  </si>
  <si>
    <t>='C:\Users\jaime.benazar\Quorum Business Solutions\Ecopetrol Prometeo - Documents\Planning Space Implementation\3. Analysis &amp; Design\Design\FC22\DRR Jaime\QUIFA-CAJÚA\Cajua\[VAS_CAJUA_CF_SEC_20230125.xlsx]CF PS'!$BW$47</t>
  </si>
  <si>
    <t>='C:\Users\jaime.benazar\Quorum Business Solutions\Ecopetrol Prometeo - Documents\Planning Space Implementation\3. Analysis &amp; Design\Design\FC22\DRR Jaime\QUIFA-CAJÚA\Cajua\[VAS_CAJUA_CF_SEC_20230125.xlsx]CF PS'!$BW$48</t>
  </si>
  <si>
    <t>='C:\Users\jaime.benazar\Quorum Business Solutions\Ecopetrol Prometeo - Documents\Planning Space Implementation\3. Analysis &amp; Design\Design\FC22\DRR Jaime\QUIFA-CAJÚA\Cajua\[VAS_CAJUA_CF_SEC_20230125.xlsx]CF PS'!$BW$49</t>
  </si>
  <si>
    <t>='C:\Users\jaime.benazar\Quorum Business Solutions\Ecopetrol Prometeo - Documents\Planning Space Implementation\3. Analysis &amp; Design\Design\FC22\DRR Jaime\QUIFA-CAJÚA\Cajua\[VAS_CAJUA_CF_SEC_20230125.xlsx]CF PS'!$BW$50</t>
  </si>
  <si>
    <t>='C:\Users\jaime.benazar\Quorum Business Solutions\Ecopetrol Prometeo - Documents\Planning Space Implementation\3. Analysis &amp; Design\Design\FC22\DRR Jaime\QUIFA-CAJÚA\Cajua\[VAS_CAJUA_CF_SEC_20230125.xlsx]CF PS'!$BW$51</t>
  </si>
  <si>
    <t>='C:\Users\jaime.benazar\Quorum Business Solutions\Ecopetrol Prometeo - Documents\Planning Space Implementation\3. Analysis &amp; Design\Design\FC22\DRR Jaime\QUIFA-CAJÚA\Cajua\[VAS_CAJUA_CF_SEC_20230125.xlsx]CF PS'!$BW$52</t>
  </si>
  <si>
    <t>='C:\Users\jaime.benazar\Quorum Business Solutions\Ecopetrol Prometeo - Documents\Planning Space Implementation\3. Analysis &amp; Design\Design\FC22\DRR Jaime\QUIFA-CAJÚA\Cajua\[VAS_CAJUA_CF_SEC_20230125.xlsx]CF PS'!$BW$53</t>
  </si>
  <si>
    <t>='C:\Users\jaime.benazar\Quorum Business Solutions\Ecopetrol Prometeo - Documents\Planning Space Implementation\3. Analysis &amp; Design\Design\FC22\DRR Jaime\QUIFA-CAJÚA\Cajua\[VAS_CAJUA_CF_SEC_20230125.xlsx]CF PS'!$BW$54</t>
  </si>
  <si>
    <t>='C:\Users\jaime.benazar\Quorum Business Solutions\Ecopetrol Prometeo - Documents\Planning Space Implementation\3. Analysis &amp; Design\Design\FC22\DRR Jaime\QUIFA-CAJÚA\Cajua\[VAS_CAJUA_CF_SEC_20230125.xlsx]CF PS'!$BW$55</t>
  </si>
  <si>
    <t>='C:\Users\jaime.benazar\Quorum Business Solutions\Ecopetrol Prometeo - Documents\Planning Space Implementation\3. Analysis &amp; Design\Design\FC22\DRR Jaime\QUIFA-CAJÚA\Cajua\[VAS_CAJUA_CF_SEC_20230125.xlsx]CF PS'!$BW$56</t>
  </si>
  <si>
    <t>='C:\Users\jaime.benazar\Quorum Business Solutions\Ecopetrol Prometeo - Documents\Planning Space Implementation\3. Analysis &amp; Design\Design\FC22\DRR Jaime\QUIFA-CAJÚA\Cajua\[VAS_CAJUA_CF_SEC_20230125.xlsx]CF PS'!$BW$57</t>
  </si>
  <si>
    <t>='C:\Users\jaime.benazar\Quorum Business Solutions\Ecopetrol Prometeo - Documents\Planning Space Implementation\3. Analysis &amp; Design\Design\FC22\DRR Jaime\QUIFA-CAJÚA\Cajua\[VAS_CAJUA_CF_SEC_20230125.xlsx]CF PS'!$BW$58</t>
  </si>
  <si>
    <t>='C:\Users\jaime.benazar\Quorum Business Solutions\Ecopetrol Prometeo - Documents\Planning Space Implementation\3. Analysis &amp; Design\Design\FC22\DRR Jaime\QUIFA-CAJÚA\Cajua\[VAS_CAJUA_CF_SEC_20230125.xlsx]CF PS'!$BW$59</t>
  </si>
  <si>
    <t>='C:\Users\jaime.benazar\Quorum Business Solutions\Ecopetrol Prometeo - Documents\Planning Space Implementation\3. Analysis &amp; Design\Design\FC22\DRR Jaime\QUIFA-CAJÚA\Cajua\[VAS_CAJUA_CF_SEC_20230125.xlsx]CF PS'!$BW$60</t>
  </si>
  <si>
    <t>='C:\Users\jaime.benazar\Quorum Business Solutions\Ecopetrol Prometeo - Documents\Planning Space Implementation\3. Analysis &amp; Design\Design\FC22\DRR Jaime\QUIFA-CAJÚA\Cajua\[VAS_CAJUA_CF_SEC_20230125.xlsx]CF PS'!$BW$61</t>
  </si>
  <si>
    <t>='C:\Users\jaime.benazar\Quorum Business Solutions\Ecopetrol Prometeo - Documents\Planning Space Implementation\3. Analysis &amp; Design\Design\FC22\DRR Jaime\QUIFA-CAJÚA\Cajua\[VAS_CAJUA_CF_SEC_20230125.xlsx]CF PS'!$BW$62</t>
  </si>
  <si>
    <t>='C:\Users\jaime.benazar\Quorum Business Solutions\Ecopetrol Prometeo - Documents\Planning Space Implementation\3. Analysis &amp; Design\Design\FC22\DRR Jaime\QUIFA-CAJÚA\Cajua\[VAS_CAJUA_CF_SEC_20230125.xlsx]CF PS'!$BW$63</t>
  </si>
  <si>
    <t>='C:\Users\jaime.benazar\Quorum Business Solutions\Ecopetrol Prometeo - Documents\Planning Space Implementation\3. Analysis &amp; Design\Design\FC22\DRR Jaime\QUIFA-CAJÚA\Cajua\[VAS_CAJUA_CF_SEC_20230125.xlsx]CF PS'!$BW$64</t>
  </si>
  <si>
    <t>='C:\Users\jaime.benazar\Quorum Business Solutions\Ecopetrol Prometeo - Documents\Planning Space Implementation\3. Analysis &amp; Design\Design\FC22\DRR Jaime\QUIFA-CAJÚA\Cajua\[VAS_CAJUA_CF_SEC_20230125.xlsx]CF PS'!$BW$65</t>
  </si>
  <si>
    <t>='C:\Users\jaime.benazar\Quorum Business Solutions\Ecopetrol Prometeo - Documents\Planning Space Implementation\3. Analysis &amp; Design\Design\FC22\DRR Jaime\QUIFA-CAJÚA\Cajua\[VAS_CAJUA_CF_SEC_20230125.xlsx]CF PS'!$BW$66</t>
  </si>
  <si>
    <t>='C:\Users\jaime.benazar\Quorum Business Solutions\Ecopetrol Prometeo - Documents\Planning Space Implementation\3. Analysis &amp; Design\Design\FC22\DRR Jaime\QUIFA-CAJÚA\Cajua\[VAS_CAJUA_CF_SEC_20230125.xlsx]CF PS'!$BW$67</t>
  </si>
  <si>
    <t>='C:\Users\jaime.benazar\Quorum Business Solutions\Ecopetrol Prometeo - Documents\Planning Space Implementation\3. Analysis &amp; Design\Design\FC22\DRR Jaime\QUIFA-CAJÚA\Cajua\[VAS_CAJUA_CF_SEC_20230125.xlsx]CF PS'!$BW$68</t>
  </si>
  <si>
    <t>='C:\Users\jaime.benazar\Quorum Business Solutions\Ecopetrol Prometeo - Documents\Planning Space Implementation\3. Analysis &amp; Design\Design\FC22\DRR Jaime\QUIFA-CAJÚA\Cajua\[VAS_CAJUA_CF_SEC_20230125.xlsx]CF PS'!$BW$69</t>
  </si>
  <si>
    <t>='C:\Users\jaime.benazar\Quorum Business Solutions\Ecopetrol Prometeo - Documents\Planning Space Implementation\3. Analysis &amp; Design\Design\FC22\DRR Jaime\QUIFA-CAJÚA\Cajua\[VAS_CAJUA_CF_SEC_20230125.xlsx]CF PS'!$BW$70</t>
  </si>
  <si>
    <t>='C:\Users\jaime.benazar\Quorum Business Solutions\Ecopetrol Prometeo - Documents\Planning Space Implementation\3. Analysis &amp; Design\Design\FC22\DRR Jaime\QUIFA-CAJÚA\Cajua\[VAS_CAJUA_CF_SEC_20230125.xlsx]CF PS'!$BW$71</t>
  </si>
  <si>
    <t>='C:\Users\jaime.benazar\Quorum Business Solutions\Ecopetrol Prometeo - Documents\Planning Space Implementation\3. Analysis &amp; Design\Design\FC22\DRR Jaime\QUIFA-CAJÚA\Cajua\[VAS_CAJUA_CF_SEC_20230125.xlsx]CF PS'!$BW$72</t>
  </si>
  <si>
    <t>='C:\Users\jaime.benazar\Quorum Business Solutions\Ecopetrol Prometeo - Documents\Planning Space Implementation\3. Analysis &amp; Design\Design\FC22\DRR Jaime\QUIFA-CAJÚA\Cajua\[VAS_CAJUA_CF_SEC_20230125.xlsx]CF PDP'!$BX$36</t>
  </si>
  <si>
    <t>='C:\Users\jaime.benazar\Quorum Business Solutions\Ecopetrol Prometeo - Documents\Planning Space Implementation\3. Analysis &amp; Design\Design\FC22\DRR Jaime\QUIFA-CAJÚA\Cajua\[VAS_CAJUA_CF_SEC_20230125.xlsx]CF PDP'!$BX$37</t>
  </si>
  <si>
    <t>='C:\Users\jaime.benazar\Quorum Business Solutions\Ecopetrol Prometeo - Documents\Planning Space Implementation\3. Analysis &amp; Design\Design\FC22\DRR Jaime\QUIFA-CAJÚA\Cajua\[VAS_CAJUA_CF_SEC_20230125.xlsx]CF PDP'!$BX$38</t>
  </si>
  <si>
    <t>='C:\Users\jaime.benazar\Quorum Business Solutions\Ecopetrol Prometeo - Documents\Planning Space Implementation\3. Analysis &amp; Design\Design\FC22\DRR Jaime\QUIFA-CAJÚA\Cajua\[VAS_CAJUA_CF_SEC_20230125.xlsx]CF PDP'!$BX$39</t>
  </si>
  <si>
    <t>='C:\Users\jaime.benazar\Quorum Business Solutions\Ecopetrol Prometeo - Documents\Planning Space Implementation\3. Analysis &amp; Design\Design\FC22\DRR Jaime\QUIFA-CAJÚA\Cajua\[VAS_CAJUA_CF_SEC_20230125.xlsx]CF PDP'!$BX$40</t>
  </si>
  <si>
    <t>='C:\Users\jaime.benazar\Quorum Business Solutions\Ecopetrol Prometeo - Documents\Planning Space Implementation\3. Analysis &amp; Design\Design\FC22\DRR Jaime\QUIFA-CAJÚA\Cajua\[VAS_CAJUA_CF_SEC_20230125.xlsx]CF PDP'!$BX$41</t>
  </si>
  <si>
    <t>='C:\Users\jaime.benazar\Quorum Business Solutions\Ecopetrol Prometeo - Documents\Planning Space Implementation\3. Analysis &amp; Design\Design\FC22\DRR Jaime\QUIFA-CAJÚA\Cajua\[VAS_CAJUA_CF_SEC_20230125.xlsx]CF PDP'!$BX$42</t>
  </si>
  <si>
    <t>='C:\Users\jaime.benazar\Quorum Business Solutions\Ecopetrol Prometeo - Documents\Planning Space Implementation\3. Analysis &amp; Design\Design\FC22\DRR Jaime\QUIFA-CAJÚA\Cajua\[VAS_CAJUA_CF_SEC_20230125.xlsx]CF PDP'!$BX$43</t>
  </si>
  <si>
    <t>='C:\Users\jaime.benazar\Quorum Business Solutions\Ecopetrol Prometeo - Documents\Planning Space Implementation\3. Analysis &amp; Design\Design\FC22\DRR Jaime\QUIFA-CAJÚA\Cajua\[VAS_CAJUA_CF_SEC_20230125.xlsx]CF PDP'!$BX$44</t>
  </si>
  <si>
    <t>='C:\Users\jaime.benazar\Quorum Business Solutions\Ecopetrol Prometeo - Documents\Planning Space Implementation\3. Analysis &amp; Design\Design\FC22\DRR Jaime\QUIFA-CAJÚA\Cajua\[VAS_CAJUA_CF_SEC_20230125.xlsx]CF PDP'!$BX$45</t>
  </si>
  <si>
    <t>='C:\Users\jaime.benazar\Quorum Business Solutions\Ecopetrol Prometeo - Documents\Planning Space Implementation\3. Analysis &amp; Design\Design\FC22\DRR Jaime\QUIFA-CAJÚA\Cajua\[VAS_CAJUA_CF_SEC_20230125.xlsx]CF PDP'!$BX$46</t>
  </si>
  <si>
    <t>='C:\Users\jaime.benazar\Quorum Business Solutions\Ecopetrol Prometeo - Documents\Planning Space Implementation\3. Analysis &amp; Design\Design\FC22\DRR Jaime\QUIFA-CAJÚA\Cajua\[VAS_CAJUA_CF_SEC_20230125.xlsx]CF PDP'!$BX$47</t>
  </si>
  <si>
    <t>='C:\Users\jaime.benazar\Quorum Business Solutions\Ecopetrol Prometeo - Documents\Planning Space Implementation\3. Analysis &amp; Design\Design\FC22\DRR Jaime\QUIFA-CAJÚA\Cajua\[VAS_CAJUA_CF_SEC_20230125.xlsx]CF PDP'!$BX$48</t>
  </si>
  <si>
    <t>='C:\Users\jaime.benazar\Quorum Business Solutions\Ecopetrol Prometeo - Documents\Planning Space Implementation\3. Analysis &amp; Design\Design\FC22\DRR Jaime\QUIFA-CAJÚA\Cajua\[VAS_CAJUA_CF_SEC_20230125.xlsx]CF PDP'!$BX$49</t>
  </si>
  <si>
    <t>='C:\Users\jaime.benazar\Quorum Business Solutions\Ecopetrol Prometeo - Documents\Planning Space Implementation\3. Analysis &amp; Design\Design\FC22\DRR Jaime\QUIFA-CAJÚA\Cajua\[VAS_CAJUA_CF_SEC_20230125.xlsx]CF PDP'!$BX$50</t>
  </si>
  <si>
    <t>='C:\Users\jaime.benazar\Quorum Business Solutions\Ecopetrol Prometeo - Documents\Planning Space Implementation\3. Analysis &amp; Design\Design\FC22\DRR Jaime\QUIFA-CAJÚA\Cajua\[VAS_CAJUA_CF_SEC_20230125.xlsx]CF PDP'!$BX$51</t>
  </si>
  <si>
    <t>='C:\Users\jaime.benazar\Quorum Business Solutions\Ecopetrol Prometeo - Documents\Planning Space Implementation\3. Analysis &amp; Design\Design\FC22\DRR Jaime\QUIFA-CAJÚA\Cajua\[VAS_CAJUA_CF_SEC_20230125.xlsx]CF PDP'!$BX$52</t>
  </si>
  <si>
    <t>='C:\Users\jaime.benazar\Quorum Business Solutions\Ecopetrol Prometeo - Documents\Planning Space Implementation\3. Analysis &amp; Design\Design\FC22\DRR Jaime\QUIFA-CAJÚA\Cajua\[VAS_CAJUA_CF_SEC_20230125.xlsx]CF PDP'!$BX$53</t>
  </si>
  <si>
    <t>='C:\Users\jaime.benazar\Quorum Business Solutions\Ecopetrol Prometeo - Documents\Planning Space Implementation\3. Analysis &amp; Design\Design\FC22\DRR Jaime\QUIFA-CAJÚA\Cajua\[VAS_CAJUA_CF_SEC_20230125.xlsx]CF PDP'!$BX$54</t>
  </si>
  <si>
    <t>='C:\Users\jaime.benazar\Quorum Business Solutions\Ecopetrol Prometeo - Documents\Planning Space Implementation\3. Analysis &amp; Design\Design\FC22\DRR Jaime\QUIFA-CAJÚA\Cajua\[VAS_CAJUA_CF_SEC_20230125.xlsx]CF PDP'!$BX$55</t>
  </si>
  <si>
    <t>='C:\Users\jaime.benazar\Quorum Business Solutions\Ecopetrol Prometeo - Documents\Planning Space Implementation\3. Analysis &amp; Design\Design\FC22\DRR Jaime\QUIFA-CAJÚA\Cajua\[VAS_CAJUA_CF_SEC_20230125.xlsx]CF PDP'!$BX$56</t>
  </si>
  <si>
    <t>='C:\Users\jaime.benazar\Quorum Business Solutions\Ecopetrol Prometeo - Documents\Planning Space Implementation\3. Analysis &amp; Design\Design\FC22\DRR Jaime\QUIFA-CAJÚA\Cajua\[VAS_CAJUA_CF_SEC_20230125.xlsx]CF PDP'!$BX$57</t>
  </si>
  <si>
    <t>='C:\Users\jaime.benazar\Quorum Business Solutions\Ecopetrol Prometeo - Documents\Planning Space Implementation\3. Analysis &amp; Design\Design\FC22\DRR Jaime\QUIFA-CAJÚA\Cajua\[VAS_CAJUA_CF_SEC_20230125.xlsx]CF PDP'!$BX$58</t>
  </si>
  <si>
    <t>='C:\Users\jaime.benazar\Quorum Business Solutions\Ecopetrol Prometeo - Documents\Planning Space Implementation\3. Analysis &amp; Design\Design\FC22\DRR Jaime\QUIFA-CAJÚA\Cajua\[VAS_CAJUA_CF_SEC_20230125.xlsx]CF PDP'!$BX$59</t>
  </si>
  <si>
    <t>='C:\Users\jaime.benazar\Quorum Business Solutions\Ecopetrol Prometeo - Documents\Planning Space Implementation\3. Analysis &amp; Design\Design\FC22\DRR Jaime\QUIFA-CAJÚA\Cajua\[VAS_CAJUA_CF_SEC_20230125.xlsx]CF PDP'!$BX$60</t>
  </si>
  <si>
    <t>='C:\Users\jaime.benazar\Quorum Business Solutions\Ecopetrol Prometeo - Documents\Planning Space Implementation\3. Analysis &amp; Design\Design\FC22\DRR Jaime\QUIFA-CAJÚA\Cajua\[VAS_CAJUA_CF_SEC_20230125.xlsx]CF PDP'!$BX$61</t>
  </si>
  <si>
    <t>='C:\Users\jaime.benazar\Quorum Business Solutions\Ecopetrol Prometeo - Documents\Planning Space Implementation\3. Analysis &amp; Design\Design\FC22\DRR Jaime\QUIFA-CAJÚA\Cajua\[VAS_CAJUA_CF_SEC_20230125.xlsx]CF PDP'!$BX$62</t>
  </si>
  <si>
    <t>='C:\Users\jaime.benazar\Quorum Business Solutions\Ecopetrol Prometeo - Documents\Planning Space Implementation\3. Analysis &amp; Design\Design\FC22\DRR Jaime\QUIFA-CAJÚA\Cajua\[VAS_CAJUA_CF_SEC_20230125.xlsx]CF PDP'!$BX$63</t>
  </si>
  <si>
    <t>='C:\Users\jaime.benazar\Quorum Business Solutions\Ecopetrol Prometeo - Documents\Planning Space Implementation\3. Analysis &amp; Design\Design\FC22\DRR Jaime\QUIFA-CAJÚA\Cajua\[VAS_CAJUA_CF_SEC_20230125.xlsx]CF PDP'!$BX$64</t>
  </si>
  <si>
    <t>='C:\Users\jaime.benazar\Quorum Business Solutions\Ecopetrol Prometeo - Documents\Planning Space Implementation\3. Analysis &amp; Design\Design\FC22\DRR Jaime\QUIFA-CAJÚA\Cajua\[VAS_CAJUA_CF_SEC_20230125.xlsx]CF PDP'!$BX$65</t>
  </si>
  <si>
    <t>='C:\Users\jaime.benazar\Quorum Business Solutions\Ecopetrol Prometeo - Documents\Planning Space Implementation\3. Analysis &amp; Design\Design\FC22\DRR Jaime\QUIFA-CAJÚA\Cajua\[VAS_CAJUA_CF_SEC_20230125.xlsx]CF PDP'!$BX$66</t>
  </si>
  <si>
    <t>='C:\Users\jaime.benazar\Quorum Business Solutions\Ecopetrol Prometeo - Documents\Planning Space Implementation\3. Analysis &amp; Design\Design\FC22\DRR Jaime\QUIFA-CAJÚA\Cajua\[VAS_CAJUA_CF_SEC_20230125.xlsx]CF PDP'!$BX$67</t>
  </si>
  <si>
    <t>='C:\Users\jaime.benazar\Quorum Business Solutions\Ecopetrol Prometeo - Documents\Planning Space Implementation\3. Analysis &amp; Design\Design\FC22\DRR Jaime\QUIFA-CAJÚA\Cajua\[VAS_CAJUA_CF_SEC_20230125.xlsx]CF PDP'!$BX$68</t>
  </si>
  <si>
    <t>='C:\Users\jaime.benazar\Quorum Business Solutions\Ecopetrol Prometeo - Documents\Planning Space Implementation\3. Analysis &amp; Design\Design\FC22\DRR Jaime\QUIFA-CAJÚA\Cajua\[VAS_CAJUA_CF_SEC_20230125.xlsx]CF PDP'!$BX$69</t>
  </si>
  <si>
    <t>='C:\Users\jaime.benazar\Quorum Business Solutions\Ecopetrol Prometeo - Documents\Planning Space Implementation\3. Analysis &amp; Design\Design\FC22\DRR Jaime\QUIFA-CAJÚA\Cajua\[VAS_CAJUA_CF_SEC_20230125.xlsx]CF PDP'!$BX$70</t>
  </si>
  <si>
    <t>='C:\Users\jaime.benazar\Quorum Business Solutions\Ecopetrol Prometeo - Documents\Planning Space Implementation\3. Analysis &amp; Design\Design\FC22\DRR Jaime\QUIFA-CAJÚA\Cajua\[VAS_CAJUA_CF_SEC_20230125.xlsx]CF PDP'!$BX$71</t>
  </si>
  <si>
    <t>='C:\Users\jaime.benazar\Quorum Business Solutions\Ecopetrol Prometeo - Documents\Planning Space Implementation\3. Analysis &amp; Design\Design\FC22\DRR Jaime\QUIFA-CAJÚA\Cajua\[VAS_CAJUA_CF_SEC_20230125.xlsx]CF PDP'!$BX$72</t>
  </si>
  <si>
    <t>='C:\Users\jaime.benazar\Quorum Business Solutions\Ecopetrol Prometeo - Documents\Planning Space Implementation\3. Analysis &amp; Design\Design\FC22\DRR Jaime\QUIFA-CAJÚA\Cajua\[VAS_CAJUA_CF_SEC_20230125.xlsx]CF PNP'!$BX$36</t>
  </si>
  <si>
    <t>='C:\Users\jaime.benazar\Quorum Business Solutions\Ecopetrol Prometeo - Documents\Planning Space Implementation\3. Analysis &amp; Design\Design\FC22\DRR Jaime\QUIFA-CAJÚA\Cajua\[VAS_CAJUA_CF_SEC_20230125.xlsx]CF PNP'!$BX$37</t>
  </si>
  <si>
    <t>='C:\Users\jaime.benazar\Quorum Business Solutions\Ecopetrol Prometeo - Documents\Planning Space Implementation\3. Analysis &amp; Design\Design\FC22\DRR Jaime\QUIFA-CAJÚA\Cajua\[VAS_CAJUA_CF_SEC_20230125.xlsx]CF PNP'!$BX$38</t>
  </si>
  <si>
    <t>='C:\Users\jaime.benazar\Quorum Business Solutions\Ecopetrol Prometeo - Documents\Planning Space Implementation\3. Analysis &amp; Design\Design\FC22\DRR Jaime\QUIFA-CAJÚA\Cajua\[VAS_CAJUA_CF_SEC_20230125.xlsx]CF PNP'!$BX$39</t>
  </si>
  <si>
    <t>='C:\Users\jaime.benazar\Quorum Business Solutions\Ecopetrol Prometeo - Documents\Planning Space Implementation\3. Analysis &amp; Design\Design\FC22\DRR Jaime\QUIFA-CAJÚA\Cajua\[VAS_CAJUA_CF_SEC_20230125.xlsx]CF PNP'!$BX$40</t>
  </si>
  <si>
    <t>='C:\Users\jaime.benazar\Quorum Business Solutions\Ecopetrol Prometeo - Documents\Planning Space Implementation\3. Analysis &amp; Design\Design\FC22\DRR Jaime\QUIFA-CAJÚA\Cajua\[VAS_CAJUA_CF_SEC_20230125.xlsx]CF PNP'!$BX$41</t>
  </si>
  <si>
    <t>='C:\Users\jaime.benazar\Quorum Business Solutions\Ecopetrol Prometeo - Documents\Planning Space Implementation\3. Analysis &amp; Design\Design\FC22\DRR Jaime\QUIFA-CAJÚA\Cajua\[VAS_CAJUA_CF_SEC_20230125.xlsx]CF PNP'!$BX$42</t>
  </si>
  <si>
    <t>='C:\Users\jaime.benazar\Quorum Business Solutions\Ecopetrol Prometeo - Documents\Planning Space Implementation\3. Analysis &amp; Design\Design\FC22\DRR Jaime\QUIFA-CAJÚA\Cajua\[VAS_CAJUA_CF_SEC_20230125.xlsx]CF PNP'!$BX$43</t>
  </si>
  <si>
    <t>='C:\Users\jaime.benazar\Quorum Business Solutions\Ecopetrol Prometeo - Documents\Planning Space Implementation\3. Analysis &amp; Design\Design\FC22\DRR Jaime\QUIFA-CAJÚA\Cajua\[VAS_CAJUA_CF_SEC_20230125.xlsx]CF PNP'!$BX$44</t>
  </si>
  <si>
    <t>='C:\Users\jaime.benazar\Quorum Business Solutions\Ecopetrol Prometeo - Documents\Planning Space Implementation\3. Analysis &amp; Design\Design\FC22\DRR Jaime\QUIFA-CAJÚA\Cajua\[VAS_CAJUA_CF_SEC_20230125.xlsx]CF PNP'!$BX$45</t>
  </si>
  <si>
    <t>='C:\Users\jaime.benazar\Quorum Business Solutions\Ecopetrol Prometeo - Documents\Planning Space Implementation\3. Analysis &amp; Design\Design\FC22\DRR Jaime\QUIFA-CAJÚA\Cajua\[VAS_CAJUA_CF_SEC_20230125.xlsx]CF PNP'!$BX$46</t>
  </si>
  <si>
    <t>='C:\Users\jaime.benazar\Quorum Business Solutions\Ecopetrol Prometeo - Documents\Planning Space Implementation\3. Analysis &amp; Design\Design\FC22\DRR Jaime\QUIFA-CAJÚA\Cajua\[VAS_CAJUA_CF_SEC_20230125.xlsx]CF PNP'!$BX$47</t>
  </si>
  <si>
    <t>='C:\Users\jaime.benazar\Quorum Business Solutions\Ecopetrol Prometeo - Documents\Planning Space Implementation\3. Analysis &amp; Design\Design\FC22\DRR Jaime\QUIFA-CAJÚA\Cajua\[VAS_CAJUA_CF_SEC_20230125.xlsx]CF PNP'!$BX$48</t>
  </si>
  <si>
    <t>='C:\Users\jaime.benazar\Quorum Business Solutions\Ecopetrol Prometeo - Documents\Planning Space Implementation\3. Analysis &amp; Design\Design\FC22\DRR Jaime\QUIFA-CAJÚA\Cajua\[VAS_CAJUA_CF_SEC_20230125.xlsx]CF PNP'!$BX$49</t>
  </si>
  <si>
    <t>='C:\Users\jaime.benazar\Quorum Business Solutions\Ecopetrol Prometeo - Documents\Planning Space Implementation\3. Analysis &amp; Design\Design\FC22\DRR Jaime\QUIFA-CAJÚA\Cajua\[VAS_CAJUA_CF_SEC_20230125.xlsx]CF PNP'!$BX$50</t>
  </si>
  <si>
    <t>='C:\Users\jaime.benazar\Quorum Business Solutions\Ecopetrol Prometeo - Documents\Planning Space Implementation\3. Analysis &amp; Design\Design\FC22\DRR Jaime\QUIFA-CAJÚA\Cajua\[VAS_CAJUA_CF_SEC_20230125.xlsx]CF PNP'!$BX$51</t>
  </si>
  <si>
    <t>='C:\Users\jaime.benazar\Quorum Business Solutions\Ecopetrol Prometeo - Documents\Planning Space Implementation\3. Analysis &amp; Design\Design\FC22\DRR Jaime\QUIFA-CAJÚA\Cajua\[VAS_CAJUA_CF_SEC_20230125.xlsx]CF PNP'!$BX$52</t>
  </si>
  <si>
    <t>='C:\Users\jaime.benazar\Quorum Business Solutions\Ecopetrol Prometeo - Documents\Planning Space Implementation\3. Analysis &amp; Design\Design\FC22\DRR Jaime\QUIFA-CAJÚA\Cajua\[VAS_CAJUA_CF_SEC_20230125.xlsx]CF PNP'!$BX$53</t>
  </si>
  <si>
    <t>='C:\Users\jaime.benazar\Quorum Business Solutions\Ecopetrol Prometeo - Documents\Planning Space Implementation\3. Analysis &amp; Design\Design\FC22\DRR Jaime\QUIFA-CAJÚA\Cajua\[VAS_CAJUA_CF_SEC_20230125.xlsx]CF PNP'!$BX$54</t>
  </si>
  <si>
    <t>='C:\Users\jaime.benazar\Quorum Business Solutions\Ecopetrol Prometeo - Documents\Planning Space Implementation\3. Analysis &amp; Design\Design\FC22\DRR Jaime\QUIFA-CAJÚA\Cajua\[VAS_CAJUA_CF_SEC_20230125.xlsx]CF PNP'!$BX$55</t>
  </si>
  <si>
    <t>='C:\Users\jaime.benazar\Quorum Business Solutions\Ecopetrol Prometeo - Documents\Planning Space Implementation\3. Analysis &amp; Design\Design\FC22\DRR Jaime\QUIFA-CAJÚA\Cajua\[VAS_CAJUA_CF_SEC_20230125.xlsx]CF PNP'!$BX$56</t>
  </si>
  <si>
    <t>='C:\Users\jaime.benazar\Quorum Business Solutions\Ecopetrol Prometeo - Documents\Planning Space Implementation\3. Analysis &amp; Design\Design\FC22\DRR Jaime\QUIFA-CAJÚA\Cajua\[VAS_CAJUA_CF_SEC_20230125.xlsx]CF PNP'!$BX$57</t>
  </si>
  <si>
    <t>='C:\Users\jaime.benazar\Quorum Business Solutions\Ecopetrol Prometeo - Documents\Planning Space Implementation\3. Analysis &amp; Design\Design\FC22\DRR Jaime\QUIFA-CAJÚA\Cajua\[VAS_CAJUA_CF_SEC_20230125.xlsx]CF PNP'!$BX$58</t>
  </si>
  <si>
    <t>='C:\Users\jaime.benazar\Quorum Business Solutions\Ecopetrol Prometeo - Documents\Planning Space Implementation\3. Analysis &amp; Design\Design\FC22\DRR Jaime\QUIFA-CAJÚA\Cajua\[VAS_CAJUA_CF_SEC_20230125.xlsx]CF PNP'!$BX$59</t>
  </si>
  <si>
    <t>='C:\Users\jaime.benazar\Quorum Business Solutions\Ecopetrol Prometeo - Documents\Planning Space Implementation\3. Analysis &amp; Design\Design\FC22\DRR Jaime\QUIFA-CAJÚA\Cajua\[VAS_CAJUA_CF_SEC_20230125.xlsx]CF PNP'!$BX$60</t>
  </si>
  <si>
    <t>='C:\Users\jaime.benazar\Quorum Business Solutions\Ecopetrol Prometeo - Documents\Planning Space Implementation\3. Analysis &amp; Design\Design\FC22\DRR Jaime\QUIFA-CAJÚA\Cajua\[VAS_CAJUA_CF_SEC_20230125.xlsx]CF PNP'!$BX$61</t>
  </si>
  <si>
    <t>='C:\Users\jaime.benazar\Quorum Business Solutions\Ecopetrol Prometeo - Documents\Planning Space Implementation\3. Analysis &amp; Design\Design\FC22\DRR Jaime\QUIFA-CAJÚA\Cajua\[VAS_CAJUA_CF_SEC_20230125.xlsx]CF PNP'!$BX$62</t>
  </si>
  <si>
    <t>='C:\Users\jaime.benazar\Quorum Business Solutions\Ecopetrol Prometeo - Documents\Planning Space Implementation\3. Analysis &amp; Design\Design\FC22\DRR Jaime\QUIFA-CAJÚA\Cajua\[VAS_CAJUA_CF_SEC_20230125.xlsx]CF PNP'!$BX$63</t>
  </si>
  <si>
    <t>='C:\Users\jaime.benazar\Quorum Business Solutions\Ecopetrol Prometeo - Documents\Planning Space Implementation\3. Analysis &amp; Design\Design\FC22\DRR Jaime\QUIFA-CAJÚA\Cajua\[VAS_CAJUA_CF_SEC_20230125.xlsx]CF PNP'!$BX$64</t>
  </si>
  <si>
    <t>='C:\Users\jaime.benazar\Quorum Business Solutions\Ecopetrol Prometeo - Documents\Planning Space Implementation\3. Analysis &amp; Design\Design\FC22\DRR Jaime\QUIFA-CAJÚA\Cajua\[VAS_CAJUA_CF_SEC_20230125.xlsx]CF PNP'!$BX$65</t>
  </si>
  <si>
    <t>='C:\Users\jaime.benazar\Quorum Business Solutions\Ecopetrol Prometeo - Documents\Planning Space Implementation\3. Analysis &amp; Design\Design\FC22\DRR Jaime\QUIFA-CAJÚA\Cajua\[VAS_CAJUA_CF_SEC_20230125.xlsx]CF PNP'!$BX$66</t>
  </si>
  <si>
    <t>='C:\Users\jaime.benazar\Quorum Business Solutions\Ecopetrol Prometeo - Documents\Planning Space Implementation\3. Analysis &amp; Design\Design\FC22\DRR Jaime\QUIFA-CAJÚA\Cajua\[VAS_CAJUA_CF_SEC_20230125.xlsx]CF PNP'!$BX$67</t>
  </si>
  <si>
    <t>='C:\Users\jaime.benazar\Quorum Business Solutions\Ecopetrol Prometeo - Documents\Planning Space Implementation\3. Analysis &amp; Design\Design\FC22\DRR Jaime\QUIFA-CAJÚA\Cajua\[VAS_CAJUA_CF_SEC_20230125.xlsx]CF PNP'!$BX$68</t>
  </si>
  <si>
    <t>='C:\Users\jaime.benazar\Quorum Business Solutions\Ecopetrol Prometeo - Documents\Planning Space Implementation\3. Analysis &amp; Design\Design\FC22\DRR Jaime\QUIFA-CAJÚA\Cajua\[VAS_CAJUA_CF_SEC_20230125.xlsx]CF PNP'!$BX$69</t>
  </si>
  <si>
    <t>='C:\Users\jaime.benazar\Quorum Business Solutions\Ecopetrol Prometeo - Documents\Planning Space Implementation\3. Analysis &amp; Design\Design\FC22\DRR Jaime\QUIFA-CAJÚA\Cajua\[VAS_CAJUA_CF_SEC_20230125.xlsx]CF PNP'!$BX$70</t>
  </si>
  <si>
    <t>='C:\Users\jaime.benazar\Quorum Business Solutions\Ecopetrol Prometeo - Documents\Planning Space Implementation\3. Analysis &amp; Design\Design\FC22\DRR Jaime\QUIFA-CAJÚA\Cajua\[VAS_CAJUA_CF_SEC_20230125.xlsx]CF PNP'!$BX$71</t>
  </si>
  <si>
    <t>='C:\Users\jaime.benazar\Quorum Business Solutions\Ecopetrol Prometeo - Documents\Planning Space Implementation\3. Analysis &amp; Design\Design\FC22\DRR Jaime\QUIFA-CAJÚA\Cajua\[VAS_CAJUA_CF_SEC_20230125.xlsx]CF PNP'!$BX$72</t>
  </si>
  <si>
    <t>='C:\Users\jaime.benazar\Quorum Business Solutions\Ecopetrol Prometeo - Documents\Planning Space Implementation\3. Analysis &amp; Design\Design\FC22\DRR Jaime\QUIFA-CAJÚA\Cajua\[VAS_CAJUA_CF_SEC_20230125.xlsx]CF PND'!$BX$36</t>
  </si>
  <si>
    <t>='C:\Users\jaime.benazar\Quorum Business Solutions\Ecopetrol Prometeo - Documents\Planning Space Implementation\3. Analysis &amp; Design\Design\FC22\DRR Jaime\QUIFA-CAJÚA\Cajua\[VAS_CAJUA_CF_SEC_20230125.xlsx]CF PND'!$BX$37</t>
  </si>
  <si>
    <t>='C:\Users\jaime.benazar\Quorum Business Solutions\Ecopetrol Prometeo - Documents\Planning Space Implementation\3. Analysis &amp; Design\Design\FC22\DRR Jaime\QUIFA-CAJÚA\Cajua\[VAS_CAJUA_CF_SEC_20230125.xlsx]CF PND'!$BX$38</t>
  </si>
  <si>
    <t>='C:\Users\jaime.benazar\Quorum Business Solutions\Ecopetrol Prometeo - Documents\Planning Space Implementation\3. Analysis &amp; Design\Design\FC22\DRR Jaime\QUIFA-CAJÚA\Cajua\[VAS_CAJUA_CF_SEC_20230125.xlsx]CF PND'!$BX$39</t>
  </si>
  <si>
    <t>='C:\Users\jaime.benazar\Quorum Business Solutions\Ecopetrol Prometeo - Documents\Planning Space Implementation\3. Analysis &amp; Design\Design\FC22\DRR Jaime\QUIFA-CAJÚA\Cajua\[VAS_CAJUA_CF_SEC_20230125.xlsx]CF PND'!$BX$40</t>
  </si>
  <si>
    <t>='C:\Users\jaime.benazar\Quorum Business Solutions\Ecopetrol Prometeo - Documents\Planning Space Implementation\3. Analysis &amp; Design\Design\FC22\DRR Jaime\QUIFA-CAJÚA\Cajua\[VAS_CAJUA_CF_SEC_20230125.xlsx]CF PND'!$BX$41</t>
  </si>
  <si>
    <t>='C:\Users\jaime.benazar\Quorum Business Solutions\Ecopetrol Prometeo - Documents\Planning Space Implementation\3. Analysis &amp; Design\Design\FC22\DRR Jaime\QUIFA-CAJÚA\Cajua\[VAS_CAJUA_CF_SEC_20230125.xlsx]CF PND'!$BX$42</t>
  </si>
  <si>
    <t>='C:\Users\jaime.benazar\Quorum Business Solutions\Ecopetrol Prometeo - Documents\Planning Space Implementation\3. Analysis &amp; Design\Design\FC22\DRR Jaime\QUIFA-CAJÚA\Cajua\[VAS_CAJUA_CF_SEC_20230125.xlsx]CF PND'!$BX$43</t>
  </si>
  <si>
    <t>='C:\Users\jaime.benazar\Quorum Business Solutions\Ecopetrol Prometeo - Documents\Planning Space Implementation\3. Analysis &amp; Design\Design\FC22\DRR Jaime\QUIFA-CAJÚA\Cajua\[VAS_CAJUA_CF_SEC_20230125.xlsx]CF PND'!$BX$44</t>
  </si>
  <si>
    <t>='C:\Users\jaime.benazar\Quorum Business Solutions\Ecopetrol Prometeo - Documents\Planning Space Implementation\3. Analysis &amp; Design\Design\FC22\DRR Jaime\QUIFA-CAJÚA\Cajua\[VAS_CAJUA_CF_SEC_20230125.xlsx]CF PND'!$BX$45</t>
  </si>
  <si>
    <t>='C:\Users\jaime.benazar\Quorum Business Solutions\Ecopetrol Prometeo - Documents\Planning Space Implementation\3. Analysis &amp; Design\Design\FC22\DRR Jaime\QUIFA-CAJÚA\Cajua\[VAS_CAJUA_CF_SEC_20230125.xlsx]CF PND'!$BX$46</t>
  </si>
  <si>
    <t>='C:\Users\jaime.benazar\Quorum Business Solutions\Ecopetrol Prometeo - Documents\Planning Space Implementation\3. Analysis &amp; Design\Design\FC22\DRR Jaime\QUIFA-CAJÚA\Cajua\[VAS_CAJUA_CF_SEC_20230125.xlsx]CF PND'!$BX$47</t>
  </si>
  <si>
    <t>='C:\Users\jaime.benazar\Quorum Business Solutions\Ecopetrol Prometeo - Documents\Planning Space Implementation\3. Analysis &amp; Design\Design\FC22\DRR Jaime\QUIFA-CAJÚA\Cajua\[VAS_CAJUA_CF_SEC_20230125.xlsx]CF PND'!$BX$48</t>
  </si>
  <si>
    <t>='C:\Users\jaime.benazar\Quorum Business Solutions\Ecopetrol Prometeo - Documents\Planning Space Implementation\3. Analysis &amp; Design\Design\FC22\DRR Jaime\QUIFA-CAJÚA\Cajua\[VAS_CAJUA_CF_SEC_20230125.xlsx]CF PND'!$BX$49</t>
  </si>
  <si>
    <t>='C:\Users\jaime.benazar\Quorum Business Solutions\Ecopetrol Prometeo - Documents\Planning Space Implementation\3. Analysis &amp; Design\Design\FC22\DRR Jaime\QUIFA-CAJÚA\Cajua\[VAS_CAJUA_CF_SEC_20230125.xlsx]CF PND'!$BX$50</t>
  </si>
  <si>
    <t>='C:\Users\jaime.benazar\Quorum Business Solutions\Ecopetrol Prometeo - Documents\Planning Space Implementation\3. Analysis &amp; Design\Design\FC22\DRR Jaime\QUIFA-CAJÚA\Cajua\[VAS_CAJUA_CF_SEC_20230125.xlsx]CF PND'!$BX$51</t>
  </si>
  <si>
    <t>='C:\Users\jaime.benazar\Quorum Business Solutions\Ecopetrol Prometeo - Documents\Planning Space Implementation\3. Analysis &amp; Design\Design\FC22\DRR Jaime\QUIFA-CAJÚA\Cajua\[VAS_CAJUA_CF_SEC_20230125.xlsx]CF PND'!$BX$52</t>
  </si>
  <si>
    <t>='C:\Users\jaime.benazar\Quorum Business Solutions\Ecopetrol Prometeo - Documents\Planning Space Implementation\3. Analysis &amp; Design\Design\FC22\DRR Jaime\QUIFA-CAJÚA\Cajua\[VAS_CAJUA_CF_SEC_20230125.xlsx]CF PND'!$BX$53</t>
  </si>
  <si>
    <t>='C:\Users\jaime.benazar\Quorum Business Solutions\Ecopetrol Prometeo - Documents\Planning Space Implementation\3. Analysis &amp; Design\Design\FC22\DRR Jaime\QUIFA-CAJÚA\Cajua\[VAS_CAJUA_CF_SEC_20230125.xlsx]CF PND'!$BX$54</t>
  </si>
  <si>
    <t>='C:\Users\jaime.benazar\Quorum Business Solutions\Ecopetrol Prometeo - Documents\Planning Space Implementation\3. Analysis &amp; Design\Design\FC22\DRR Jaime\QUIFA-CAJÚA\Cajua\[VAS_CAJUA_CF_SEC_20230125.xlsx]CF PND'!$BX$55</t>
  </si>
  <si>
    <t>='C:\Users\jaime.benazar\Quorum Business Solutions\Ecopetrol Prometeo - Documents\Planning Space Implementation\3. Analysis &amp; Design\Design\FC22\DRR Jaime\QUIFA-CAJÚA\Cajua\[VAS_CAJUA_CF_SEC_20230125.xlsx]CF PND'!$BX$56</t>
  </si>
  <si>
    <t>='C:\Users\jaime.benazar\Quorum Business Solutions\Ecopetrol Prometeo - Documents\Planning Space Implementation\3. Analysis &amp; Design\Design\FC22\DRR Jaime\QUIFA-CAJÚA\Cajua\[VAS_CAJUA_CF_SEC_20230125.xlsx]CF PND'!$BX$57</t>
  </si>
  <si>
    <t>='C:\Users\jaime.benazar\Quorum Business Solutions\Ecopetrol Prometeo - Documents\Planning Space Implementation\3. Analysis &amp; Design\Design\FC22\DRR Jaime\QUIFA-CAJÚA\Cajua\[VAS_CAJUA_CF_SEC_20230125.xlsx]CF PND'!$BX$58</t>
  </si>
  <si>
    <t>='C:\Users\jaime.benazar\Quorum Business Solutions\Ecopetrol Prometeo - Documents\Planning Space Implementation\3. Analysis &amp; Design\Design\FC22\DRR Jaime\QUIFA-CAJÚA\Cajua\[VAS_CAJUA_CF_SEC_20230125.xlsx]CF PND'!$BX$59</t>
  </si>
  <si>
    <t>='C:\Users\jaime.benazar\Quorum Business Solutions\Ecopetrol Prometeo - Documents\Planning Space Implementation\3. Analysis &amp; Design\Design\FC22\DRR Jaime\QUIFA-CAJÚA\Cajua\[VAS_CAJUA_CF_SEC_20230125.xlsx]CF PND'!$BX$60</t>
  </si>
  <si>
    <t>='C:\Users\jaime.benazar\Quorum Business Solutions\Ecopetrol Prometeo - Documents\Planning Space Implementation\3. Analysis &amp; Design\Design\FC22\DRR Jaime\QUIFA-CAJÚA\Cajua\[VAS_CAJUA_CF_SEC_20230125.xlsx]CF PND'!$BX$61</t>
  </si>
  <si>
    <t>='C:\Users\jaime.benazar\Quorum Business Solutions\Ecopetrol Prometeo - Documents\Planning Space Implementation\3. Analysis &amp; Design\Design\FC22\DRR Jaime\QUIFA-CAJÚA\Cajua\[VAS_CAJUA_CF_SEC_20230125.xlsx]CF PND'!$BX$62</t>
  </si>
  <si>
    <t>='C:\Users\jaime.benazar\Quorum Business Solutions\Ecopetrol Prometeo - Documents\Planning Space Implementation\3. Analysis &amp; Design\Design\FC22\DRR Jaime\QUIFA-CAJÚA\Cajua\[VAS_CAJUA_CF_SEC_20230125.xlsx]CF PND'!$BX$63</t>
  </si>
  <si>
    <t>='C:\Users\jaime.benazar\Quorum Business Solutions\Ecopetrol Prometeo - Documents\Planning Space Implementation\3. Analysis &amp; Design\Design\FC22\DRR Jaime\QUIFA-CAJÚA\Cajua\[VAS_CAJUA_CF_SEC_20230125.xlsx]CF PND'!$BX$64</t>
  </si>
  <si>
    <t>='C:\Users\jaime.benazar\Quorum Business Solutions\Ecopetrol Prometeo - Documents\Planning Space Implementation\3. Analysis &amp; Design\Design\FC22\DRR Jaime\QUIFA-CAJÚA\Cajua\[VAS_CAJUA_CF_SEC_20230125.xlsx]CF PND'!$BX$65</t>
  </si>
  <si>
    <t>='C:\Users\jaime.benazar\Quorum Business Solutions\Ecopetrol Prometeo - Documents\Planning Space Implementation\3. Analysis &amp; Design\Design\FC22\DRR Jaime\QUIFA-CAJÚA\Cajua\[VAS_CAJUA_CF_SEC_20230125.xlsx]CF PND'!$BX$66</t>
  </si>
  <si>
    <t>='C:\Users\jaime.benazar\Quorum Business Solutions\Ecopetrol Prometeo - Documents\Planning Space Implementation\3. Analysis &amp; Design\Design\FC22\DRR Jaime\QUIFA-CAJÚA\Cajua\[VAS_CAJUA_CF_SEC_20230125.xlsx]CF PND'!$BX$67</t>
  </si>
  <si>
    <t>='C:\Users\jaime.benazar\Quorum Business Solutions\Ecopetrol Prometeo - Documents\Planning Space Implementation\3. Analysis &amp; Design\Design\FC22\DRR Jaime\QUIFA-CAJÚA\Cajua\[VAS_CAJUA_CF_SEC_20230125.xlsx]CF PND'!$BX$68</t>
  </si>
  <si>
    <t>='C:\Users\jaime.benazar\Quorum Business Solutions\Ecopetrol Prometeo - Documents\Planning Space Implementation\3. Analysis &amp; Design\Design\FC22\DRR Jaime\QUIFA-CAJÚA\Cajua\[VAS_CAJUA_CF_SEC_20230125.xlsx]CF PND'!$BX$69</t>
  </si>
  <si>
    <t>='C:\Users\jaime.benazar\Quorum Business Solutions\Ecopetrol Prometeo - Documents\Planning Space Implementation\3. Analysis &amp; Design\Design\FC22\DRR Jaime\QUIFA-CAJÚA\Cajua\[VAS_CAJUA_CF_SEC_20230125.xlsx]CF PND'!$BX$70</t>
  </si>
  <si>
    <t>='C:\Users\jaime.benazar\Quorum Business Solutions\Ecopetrol Prometeo - Documents\Planning Space Implementation\3. Analysis &amp; Design\Design\FC22\DRR Jaime\QUIFA-CAJÚA\Cajua\[VAS_CAJUA_CF_SEC_20230125.xlsx]CF PND'!$BX$71</t>
  </si>
  <si>
    <t>='C:\Users\jaime.benazar\Quorum Business Solutions\Ecopetrol Prometeo - Documents\Planning Space Implementation\3. Analysis &amp; Design\Design\FC22\DRR Jaime\QUIFA-CAJÚA\Cajua\[VAS_CAJUA_CF_SEC_20230125.xlsx]CF PND'!$BX$72</t>
  </si>
  <si>
    <t>='C:\Users\jaime.benazar\Quorum Business Solutions\Ecopetrol Prometeo - Documents\Planning Space Implementation\3. Analysis &amp; Design\Design\FC22\DRR Jaime\QUIFA-CAJÚA\Cajua\[VAS_CAJUA_CF_SEC_20230125.xlsx]CF PRB'!$BX$36</t>
  </si>
  <si>
    <t>='C:\Users\jaime.benazar\Quorum Business Solutions\Ecopetrol Prometeo - Documents\Planning Space Implementation\3. Analysis &amp; Design\Design\FC22\DRR Jaime\QUIFA-CAJÚA\Cajua\[VAS_CAJUA_CF_SEC_20230125.xlsx]CF PRB'!$BX$37</t>
  </si>
  <si>
    <t>='C:\Users\jaime.benazar\Quorum Business Solutions\Ecopetrol Prometeo - Documents\Planning Space Implementation\3. Analysis &amp; Design\Design\FC22\DRR Jaime\QUIFA-CAJÚA\Cajua\[VAS_CAJUA_CF_SEC_20230125.xlsx]CF PRB'!$BX$38</t>
  </si>
  <si>
    <t>='C:\Users\jaime.benazar\Quorum Business Solutions\Ecopetrol Prometeo - Documents\Planning Space Implementation\3. Analysis &amp; Design\Design\FC22\DRR Jaime\QUIFA-CAJÚA\Cajua\[VAS_CAJUA_CF_SEC_20230125.xlsx]CF PRB'!$BX$39</t>
  </si>
  <si>
    <t>='C:\Users\jaime.benazar\Quorum Business Solutions\Ecopetrol Prometeo - Documents\Planning Space Implementation\3. Analysis &amp; Design\Design\FC22\DRR Jaime\QUIFA-CAJÚA\Cajua\[VAS_CAJUA_CF_SEC_20230125.xlsx]CF PRB'!$BX$40</t>
  </si>
  <si>
    <t>='C:\Users\jaime.benazar\Quorum Business Solutions\Ecopetrol Prometeo - Documents\Planning Space Implementation\3. Analysis &amp; Design\Design\FC22\DRR Jaime\QUIFA-CAJÚA\Cajua\[VAS_CAJUA_CF_SEC_20230125.xlsx]CF PRB'!$BX$41</t>
  </si>
  <si>
    <t>='C:\Users\jaime.benazar\Quorum Business Solutions\Ecopetrol Prometeo - Documents\Planning Space Implementation\3. Analysis &amp; Design\Design\FC22\DRR Jaime\QUIFA-CAJÚA\Cajua\[VAS_CAJUA_CF_SEC_20230125.xlsx]CF PRB'!$BX$42</t>
  </si>
  <si>
    <t>='C:\Users\jaime.benazar\Quorum Business Solutions\Ecopetrol Prometeo - Documents\Planning Space Implementation\3. Analysis &amp; Design\Design\FC22\DRR Jaime\QUIFA-CAJÚA\Cajua\[VAS_CAJUA_CF_SEC_20230125.xlsx]CF PRB'!$BX$43</t>
  </si>
  <si>
    <t>='C:\Users\jaime.benazar\Quorum Business Solutions\Ecopetrol Prometeo - Documents\Planning Space Implementation\3. Analysis &amp; Design\Design\FC22\DRR Jaime\QUIFA-CAJÚA\Cajua\[VAS_CAJUA_CF_SEC_20230125.xlsx]CF PRB'!$BX$44</t>
  </si>
  <si>
    <t>='C:\Users\jaime.benazar\Quorum Business Solutions\Ecopetrol Prometeo - Documents\Planning Space Implementation\3. Analysis &amp; Design\Design\FC22\DRR Jaime\QUIFA-CAJÚA\Cajua\[VAS_CAJUA_CF_SEC_20230125.xlsx]CF PRB'!$BX$45</t>
  </si>
  <si>
    <t>='C:\Users\jaime.benazar\Quorum Business Solutions\Ecopetrol Prometeo - Documents\Planning Space Implementation\3. Analysis &amp; Design\Design\FC22\DRR Jaime\QUIFA-CAJÚA\Cajua\[VAS_CAJUA_CF_SEC_20230125.xlsx]CF PRB'!$BX$46</t>
  </si>
  <si>
    <t>='C:\Users\jaime.benazar\Quorum Business Solutions\Ecopetrol Prometeo - Documents\Planning Space Implementation\3. Analysis &amp; Design\Design\FC22\DRR Jaime\QUIFA-CAJÚA\Cajua\[VAS_CAJUA_CF_SEC_20230125.xlsx]CF PRB'!$BX$47</t>
  </si>
  <si>
    <t>='C:\Users\jaime.benazar\Quorum Business Solutions\Ecopetrol Prometeo - Documents\Planning Space Implementation\3. Analysis &amp; Design\Design\FC22\DRR Jaime\QUIFA-CAJÚA\Cajua\[VAS_CAJUA_CF_SEC_20230125.xlsx]CF PRB'!$BX$48</t>
  </si>
  <si>
    <t>='C:\Users\jaime.benazar\Quorum Business Solutions\Ecopetrol Prometeo - Documents\Planning Space Implementation\3. Analysis &amp; Design\Design\FC22\DRR Jaime\QUIFA-CAJÚA\Cajua\[VAS_CAJUA_CF_SEC_20230125.xlsx]CF PRB'!$BX$49</t>
  </si>
  <si>
    <t>='C:\Users\jaime.benazar\Quorum Business Solutions\Ecopetrol Prometeo - Documents\Planning Space Implementation\3. Analysis &amp; Design\Design\FC22\DRR Jaime\QUIFA-CAJÚA\Cajua\[VAS_CAJUA_CF_SEC_20230125.xlsx]CF PRB'!$BX$50</t>
  </si>
  <si>
    <t>='C:\Users\jaime.benazar\Quorum Business Solutions\Ecopetrol Prometeo - Documents\Planning Space Implementation\3. Analysis &amp; Design\Design\FC22\DRR Jaime\QUIFA-CAJÚA\Cajua\[VAS_CAJUA_CF_SEC_20230125.xlsx]CF PRB'!$BX$51</t>
  </si>
  <si>
    <t>='C:\Users\jaime.benazar\Quorum Business Solutions\Ecopetrol Prometeo - Documents\Planning Space Implementation\3. Analysis &amp; Design\Design\FC22\DRR Jaime\QUIFA-CAJÚA\Cajua\[VAS_CAJUA_CF_SEC_20230125.xlsx]CF PRB'!$BX$52</t>
  </si>
  <si>
    <t>='C:\Users\jaime.benazar\Quorum Business Solutions\Ecopetrol Prometeo - Documents\Planning Space Implementation\3. Analysis &amp; Design\Design\FC22\DRR Jaime\QUIFA-CAJÚA\Cajua\[VAS_CAJUA_CF_SEC_20230125.xlsx]CF PRB'!$BX$53</t>
  </si>
  <si>
    <t>='C:\Users\jaime.benazar\Quorum Business Solutions\Ecopetrol Prometeo - Documents\Planning Space Implementation\3. Analysis &amp; Design\Design\FC22\DRR Jaime\QUIFA-CAJÚA\Cajua\[VAS_CAJUA_CF_SEC_20230125.xlsx]CF PRB'!$BX$54</t>
  </si>
  <si>
    <t>='C:\Users\jaime.benazar\Quorum Business Solutions\Ecopetrol Prometeo - Documents\Planning Space Implementation\3. Analysis &amp; Design\Design\FC22\DRR Jaime\QUIFA-CAJÚA\Cajua\[VAS_CAJUA_CF_SEC_20230125.xlsx]CF PRB'!$BX$55</t>
  </si>
  <si>
    <t>='C:\Users\jaime.benazar\Quorum Business Solutions\Ecopetrol Prometeo - Documents\Planning Space Implementation\3. Analysis &amp; Design\Design\FC22\DRR Jaime\QUIFA-CAJÚA\Cajua\[VAS_CAJUA_CF_SEC_20230125.xlsx]CF PRB'!$BX$56</t>
  </si>
  <si>
    <t>='C:\Users\jaime.benazar\Quorum Business Solutions\Ecopetrol Prometeo - Documents\Planning Space Implementation\3. Analysis &amp; Design\Design\FC22\DRR Jaime\QUIFA-CAJÚA\Cajua\[VAS_CAJUA_CF_SEC_20230125.xlsx]CF PRB'!$BX$57</t>
  </si>
  <si>
    <t>='C:\Users\jaime.benazar\Quorum Business Solutions\Ecopetrol Prometeo - Documents\Planning Space Implementation\3. Analysis &amp; Design\Design\FC22\DRR Jaime\QUIFA-CAJÚA\Cajua\[VAS_CAJUA_CF_SEC_20230125.xlsx]CF PRB'!$BX$58</t>
  </si>
  <si>
    <t>='C:\Users\jaime.benazar\Quorum Business Solutions\Ecopetrol Prometeo - Documents\Planning Space Implementation\3. Analysis &amp; Design\Design\FC22\DRR Jaime\QUIFA-CAJÚA\Cajua\[VAS_CAJUA_CF_SEC_20230125.xlsx]CF PRB'!$BX$59</t>
  </si>
  <si>
    <t>='C:\Users\jaime.benazar\Quorum Business Solutions\Ecopetrol Prometeo - Documents\Planning Space Implementation\3. Analysis &amp; Design\Design\FC22\DRR Jaime\QUIFA-CAJÚA\Cajua\[VAS_CAJUA_CF_SEC_20230125.xlsx]CF PRB'!$BX$60</t>
  </si>
  <si>
    <t>='C:\Users\jaime.benazar\Quorum Business Solutions\Ecopetrol Prometeo - Documents\Planning Space Implementation\3. Analysis &amp; Design\Design\FC22\DRR Jaime\QUIFA-CAJÚA\Cajua\[VAS_CAJUA_CF_SEC_20230125.xlsx]CF PRB'!$BX$61</t>
  </si>
  <si>
    <t>='C:\Users\jaime.benazar\Quorum Business Solutions\Ecopetrol Prometeo - Documents\Planning Space Implementation\3. Analysis &amp; Design\Design\FC22\DRR Jaime\QUIFA-CAJÚA\Cajua\[VAS_CAJUA_CF_SEC_20230125.xlsx]CF PRB'!$BX$62</t>
  </si>
  <si>
    <t>='C:\Users\jaime.benazar\Quorum Business Solutions\Ecopetrol Prometeo - Documents\Planning Space Implementation\3. Analysis &amp; Design\Design\FC22\DRR Jaime\QUIFA-CAJÚA\Cajua\[VAS_CAJUA_CF_SEC_20230125.xlsx]CF PRB'!$BX$63</t>
  </si>
  <si>
    <t>='C:\Users\jaime.benazar\Quorum Business Solutions\Ecopetrol Prometeo - Documents\Planning Space Implementation\3. Analysis &amp; Design\Design\FC22\DRR Jaime\QUIFA-CAJÚA\Cajua\[VAS_CAJUA_CF_SEC_20230125.xlsx]CF PRB'!$BX$64</t>
  </si>
  <si>
    <t>='C:\Users\jaime.benazar\Quorum Business Solutions\Ecopetrol Prometeo - Documents\Planning Space Implementation\3. Analysis &amp; Design\Design\FC22\DRR Jaime\QUIFA-CAJÚA\Cajua\[VAS_CAJUA_CF_SEC_20230125.xlsx]CF PRB'!$BX$65</t>
  </si>
  <si>
    <t>='C:\Users\jaime.benazar\Quorum Business Solutions\Ecopetrol Prometeo - Documents\Planning Space Implementation\3. Analysis &amp; Design\Design\FC22\DRR Jaime\QUIFA-CAJÚA\Cajua\[VAS_CAJUA_CF_SEC_20230125.xlsx]CF PRB'!$BX$66</t>
  </si>
  <si>
    <t>='C:\Users\jaime.benazar\Quorum Business Solutions\Ecopetrol Prometeo - Documents\Planning Space Implementation\3. Analysis &amp; Design\Design\FC22\DRR Jaime\QUIFA-CAJÚA\Cajua\[VAS_CAJUA_CF_SEC_20230125.xlsx]CF PRB'!$BX$67</t>
  </si>
  <si>
    <t>='C:\Users\jaime.benazar\Quorum Business Solutions\Ecopetrol Prometeo - Documents\Planning Space Implementation\3. Analysis &amp; Design\Design\FC22\DRR Jaime\QUIFA-CAJÚA\Cajua\[VAS_CAJUA_CF_SEC_20230125.xlsx]CF PRB'!$BX$68</t>
  </si>
  <si>
    <t>='C:\Users\jaime.benazar\Quorum Business Solutions\Ecopetrol Prometeo - Documents\Planning Space Implementation\3. Analysis &amp; Design\Design\FC22\DRR Jaime\QUIFA-CAJÚA\Cajua\[VAS_CAJUA_CF_SEC_20230125.xlsx]CF PRB'!$BX$69</t>
  </si>
  <si>
    <t>='C:\Users\jaime.benazar\Quorum Business Solutions\Ecopetrol Prometeo - Documents\Planning Space Implementation\3. Analysis &amp; Design\Design\FC22\DRR Jaime\QUIFA-CAJÚA\Cajua\[VAS_CAJUA_CF_SEC_20230125.xlsx]CF PRB'!$BX$70</t>
  </si>
  <si>
    <t>='C:\Users\jaime.benazar\Quorum Business Solutions\Ecopetrol Prometeo - Documents\Planning Space Implementation\3. Analysis &amp; Design\Design\FC22\DRR Jaime\QUIFA-CAJÚA\Cajua\[VAS_CAJUA_CF_SEC_20230125.xlsx]CF PRB'!$BX$71</t>
  </si>
  <si>
    <t>='C:\Users\jaime.benazar\Quorum Business Solutions\Ecopetrol Prometeo - Documents\Planning Space Implementation\3. Analysis &amp; Design\Design\FC22\DRR Jaime\QUIFA-CAJÚA\Cajua\[VAS_CAJUA_CF_SEC_20230125.xlsx]CF PRB'!$BX$72</t>
  </si>
  <si>
    <t>='C:\Users\jaime.benazar\Quorum Business Solutions\Ecopetrol Prometeo - Documents\Planning Space Implementation\3. Analysis &amp; Design\Design\FC22\DRR Jaime\QUIFA-CAJÚA\Cajua\[VAS_CAJUA_CF_SEC_20230125.xlsx]CF PS'!$BX$36</t>
  </si>
  <si>
    <t>='C:\Users\jaime.benazar\Quorum Business Solutions\Ecopetrol Prometeo - Documents\Planning Space Implementation\3. Analysis &amp; Design\Design\FC22\DRR Jaime\QUIFA-CAJÚA\Cajua\[VAS_CAJUA_CF_SEC_20230125.xlsx]CF PS'!$BX$37</t>
  </si>
  <si>
    <t>='C:\Users\jaime.benazar\Quorum Business Solutions\Ecopetrol Prometeo - Documents\Planning Space Implementation\3. Analysis &amp; Design\Design\FC22\DRR Jaime\QUIFA-CAJÚA\Cajua\[VAS_CAJUA_CF_SEC_20230125.xlsx]CF PS'!$BX$38</t>
  </si>
  <si>
    <t>='C:\Users\jaime.benazar\Quorum Business Solutions\Ecopetrol Prometeo - Documents\Planning Space Implementation\3. Analysis &amp; Design\Design\FC22\DRR Jaime\QUIFA-CAJÚA\Cajua\[VAS_CAJUA_CF_SEC_20230125.xlsx]CF PS'!$BX$39</t>
  </si>
  <si>
    <t>='C:\Users\jaime.benazar\Quorum Business Solutions\Ecopetrol Prometeo - Documents\Planning Space Implementation\3. Analysis &amp; Design\Design\FC22\DRR Jaime\QUIFA-CAJÚA\Cajua\[VAS_CAJUA_CF_SEC_20230125.xlsx]CF PS'!$BX$40</t>
  </si>
  <si>
    <t>='C:\Users\jaime.benazar\Quorum Business Solutions\Ecopetrol Prometeo - Documents\Planning Space Implementation\3. Analysis &amp; Design\Design\FC22\DRR Jaime\QUIFA-CAJÚA\Cajua\[VAS_CAJUA_CF_SEC_20230125.xlsx]CF PS'!$BX$41</t>
  </si>
  <si>
    <t>='C:\Users\jaime.benazar\Quorum Business Solutions\Ecopetrol Prometeo - Documents\Planning Space Implementation\3. Analysis &amp; Design\Design\FC22\DRR Jaime\QUIFA-CAJÚA\Cajua\[VAS_CAJUA_CF_SEC_20230125.xlsx]CF PS'!$BX$42</t>
  </si>
  <si>
    <t>='C:\Users\jaime.benazar\Quorum Business Solutions\Ecopetrol Prometeo - Documents\Planning Space Implementation\3. Analysis &amp; Design\Design\FC22\DRR Jaime\QUIFA-CAJÚA\Cajua\[VAS_CAJUA_CF_SEC_20230125.xlsx]CF PS'!$BX$43</t>
  </si>
  <si>
    <t>='C:\Users\jaime.benazar\Quorum Business Solutions\Ecopetrol Prometeo - Documents\Planning Space Implementation\3. Analysis &amp; Design\Design\FC22\DRR Jaime\QUIFA-CAJÚA\Cajua\[VAS_CAJUA_CF_SEC_20230125.xlsx]CF PS'!$BX$44</t>
  </si>
  <si>
    <t>='C:\Users\jaime.benazar\Quorum Business Solutions\Ecopetrol Prometeo - Documents\Planning Space Implementation\3. Analysis &amp; Design\Design\FC22\DRR Jaime\QUIFA-CAJÚA\Cajua\[VAS_CAJUA_CF_SEC_20230125.xlsx]CF PS'!$BX$45</t>
  </si>
  <si>
    <t>='C:\Users\jaime.benazar\Quorum Business Solutions\Ecopetrol Prometeo - Documents\Planning Space Implementation\3. Analysis &amp; Design\Design\FC22\DRR Jaime\QUIFA-CAJÚA\Cajua\[VAS_CAJUA_CF_SEC_20230125.xlsx]CF PS'!$BX$46</t>
  </si>
  <si>
    <t>='C:\Users\jaime.benazar\Quorum Business Solutions\Ecopetrol Prometeo - Documents\Planning Space Implementation\3. Analysis &amp; Design\Design\FC22\DRR Jaime\QUIFA-CAJÚA\Cajua\[VAS_CAJUA_CF_SEC_20230125.xlsx]CF PS'!$BX$47</t>
  </si>
  <si>
    <t>='C:\Users\jaime.benazar\Quorum Business Solutions\Ecopetrol Prometeo - Documents\Planning Space Implementation\3. Analysis &amp; Design\Design\FC22\DRR Jaime\QUIFA-CAJÚA\Cajua\[VAS_CAJUA_CF_SEC_20230125.xlsx]CF PS'!$BX$48</t>
  </si>
  <si>
    <t>='C:\Users\jaime.benazar\Quorum Business Solutions\Ecopetrol Prometeo - Documents\Planning Space Implementation\3. Analysis &amp; Design\Design\FC22\DRR Jaime\QUIFA-CAJÚA\Cajua\[VAS_CAJUA_CF_SEC_20230125.xlsx]CF PS'!$BX$49</t>
  </si>
  <si>
    <t>='C:\Users\jaime.benazar\Quorum Business Solutions\Ecopetrol Prometeo - Documents\Planning Space Implementation\3. Analysis &amp; Design\Design\FC22\DRR Jaime\QUIFA-CAJÚA\Cajua\[VAS_CAJUA_CF_SEC_20230125.xlsx]CF PS'!$BX$50</t>
  </si>
  <si>
    <t>='C:\Users\jaime.benazar\Quorum Business Solutions\Ecopetrol Prometeo - Documents\Planning Space Implementation\3. Analysis &amp; Design\Design\FC22\DRR Jaime\QUIFA-CAJÚA\Cajua\[VAS_CAJUA_CF_SEC_20230125.xlsx]CF PS'!$BX$51</t>
  </si>
  <si>
    <t>='C:\Users\jaime.benazar\Quorum Business Solutions\Ecopetrol Prometeo - Documents\Planning Space Implementation\3. Analysis &amp; Design\Design\FC22\DRR Jaime\QUIFA-CAJÚA\Cajua\[VAS_CAJUA_CF_SEC_20230125.xlsx]CF PS'!$BX$52</t>
  </si>
  <si>
    <t>='C:\Users\jaime.benazar\Quorum Business Solutions\Ecopetrol Prometeo - Documents\Planning Space Implementation\3. Analysis &amp; Design\Design\FC22\DRR Jaime\QUIFA-CAJÚA\Cajua\[VAS_CAJUA_CF_SEC_20230125.xlsx]CF PS'!$BX$53</t>
  </si>
  <si>
    <t>='C:\Users\jaime.benazar\Quorum Business Solutions\Ecopetrol Prometeo - Documents\Planning Space Implementation\3. Analysis &amp; Design\Design\FC22\DRR Jaime\QUIFA-CAJÚA\Cajua\[VAS_CAJUA_CF_SEC_20230125.xlsx]CF PS'!$BX$54</t>
  </si>
  <si>
    <t>='C:\Users\jaime.benazar\Quorum Business Solutions\Ecopetrol Prometeo - Documents\Planning Space Implementation\3. Analysis &amp; Design\Design\FC22\DRR Jaime\QUIFA-CAJÚA\Cajua\[VAS_CAJUA_CF_SEC_20230125.xlsx]CF PS'!$BX$55</t>
  </si>
  <si>
    <t>='C:\Users\jaime.benazar\Quorum Business Solutions\Ecopetrol Prometeo - Documents\Planning Space Implementation\3. Analysis &amp; Design\Design\FC22\DRR Jaime\QUIFA-CAJÚA\Cajua\[VAS_CAJUA_CF_SEC_20230125.xlsx]CF PS'!$BX$56</t>
  </si>
  <si>
    <t>='C:\Users\jaime.benazar\Quorum Business Solutions\Ecopetrol Prometeo - Documents\Planning Space Implementation\3. Analysis &amp; Design\Design\FC22\DRR Jaime\QUIFA-CAJÚA\Cajua\[VAS_CAJUA_CF_SEC_20230125.xlsx]CF PS'!$BX$57</t>
  </si>
  <si>
    <t>='C:\Users\jaime.benazar\Quorum Business Solutions\Ecopetrol Prometeo - Documents\Planning Space Implementation\3. Analysis &amp; Design\Design\FC22\DRR Jaime\QUIFA-CAJÚA\Cajua\[VAS_CAJUA_CF_SEC_20230125.xlsx]CF PS'!$BX$58</t>
  </si>
  <si>
    <t>='C:\Users\jaime.benazar\Quorum Business Solutions\Ecopetrol Prometeo - Documents\Planning Space Implementation\3. Analysis &amp; Design\Design\FC22\DRR Jaime\QUIFA-CAJÚA\Cajua\[VAS_CAJUA_CF_SEC_20230125.xlsx]CF PS'!$BX$59</t>
  </si>
  <si>
    <t>='C:\Users\jaime.benazar\Quorum Business Solutions\Ecopetrol Prometeo - Documents\Planning Space Implementation\3. Analysis &amp; Design\Design\FC22\DRR Jaime\QUIFA-CAJÚA\Cajua\[VAS_CAJUA_CF_SEC_20230125.xlsx]CF PS'!$BX$60</t>
  </si>
  <si>
    <t>='C:\Users\jaime.benazar\Quorum Business Solutions\Ecopetrol Prometeo - Documents\Planning Space Implementation\3. Analysis &amp; Design\Design\FC22\DRR Jaime\QUIFA-CAJÚA\Cajua\[VAS_CAJUA_CF_SEC_20230125.xlsx]CF PS'!$BX$61</t>
  </si>
  <si>
    <t>='C:\Users\jaime.benazar\Quorum Business Solutions\Ecopetrol Prometeo - Documents\Planning Space Implementation\3. Analysis &amp; Design\Design\FC22\DRR Jaime\QUIFA-CAJÚA\Cajua\[VAS_CAJUA_CF_SEC_20230125.xlsx]CF PS'!$BX$62</t>
  </si>
  <si>
    <t>='C:\Users\jaime.benazar\Quorum Business Solutions\Ecopetrol Prometeo - Documents\Planning Space Implementation\3. Analysis &amp; Design\Design\FC22\DRR Jaime\QUIFA-CAJÚA\Cajua\[VAS_CAJUA_CF_SEC_20230125.xlsx]CF PS'!$BX$63</t>
  </si>
  <si>
    <t>='C:\Users\jaime.benazar\Quorum Business Solutions\Ecopetrol Prometeo - Documents\Planning Space Implementation\3. Analysis &amp; Design\Design\FC22\DRR Jaime\QUIFA-CAJÚA\Cajua\[VAS_CAJUA_CF_SEC_20230125.xlsx]CF PS'!$BX$64</t>
  </si>
  <si>
    <t>='C:\Users\jaime.benazar\Quorum Business Solutions\Ecopetrol Prometeo - Documents\Planning Space Implementation\3. Analysis &amp; Design\Design\FC22\DRR Jaime\QUIFA-CAJÚA\Cajua\[VAS_CAJUA_CF_SEC_20230125.xlsx]CF PS'!$BX$65</t>
  </si>
  <si>
    <t>='C:\Users\jaime.benazar\Quorum Business Solutions\Ecopetrol Prometeo - Documents\Planning Space Implementation\3. Analysis &amp; Design\Design\FC22\DRR Jaime\QUIFA-CAJÚA\Cajua\[VAS_CAJUA_CF_SEC_20230125.xlsx]CF PS'!$BX$66</t>
  </si>
  <si>
    <t>='C:\Users\jaime.benazar\Quorum Business Solutions\Ecopetrol Prometeo - Documents\Planning Space Implementation\3. Analysis &amp; Design\Design\FC22\DRR Jaime\QUIFA-CAJÚA\Cajua\[VAS_CAJUA_CF_SEC_20230125.xlsx]CF PS'!$BX$67</t>
  </si>
  <si>
    <t>='C:\Users\jaime.benazar\Quorum Business Solutions\Ecopetrol Prometeo - Documents\Planning Space Implementation\3. Analysis &amp; Design\Design\FC22\DRR Jaime\QUIFA-CAJÚA\Cajua\[VAS_CAJUA_CF_SEC_20230125.xlsx]CF PS'!$BX$68</t>
  </si>
  <si>
    <t>='C:\Users\jaime.benazar\Quorum Business Solutions\Ecopetrol Prometeo - Documents\Planning Space Implementation\3. Analysis &amp; Design\Design\FC22\DRR Jaime\QUIFA-CAJÚA\Cajua\[VAS_CAJUA_CF_SEC_20230125.xlsx]CF PS'!$BX$69</t>
  </si>
  <si>
    <t>='C:\Users\jaime.benazar\Quorum Business Solutions\Ecopetrol Prometeo - Documents\Planning Space Implementation\3. Analysis &amp; Design\Design\FC22\DRR Jaime\QUIFA-CAJÚA\Cajua\[VAS_CAJUA_CF_SEC_20230125.xlsx]CF PS'!$BX$70</t>
  </si>
  <si>
    <t>='C:\Users\jaime.benazar\Quorum Business Solutions\Ecopetrol Prometeo - Documents\Planning Space Implementation\3. Analysis &amp; Design\Design\FC22\DRR Jaime\QUIFA-CAJÚA\Cajua\[VAS_CAJUA_CF_SEC_20230125.xlsx]CF PS'!$BX$71</t>
  </si>
  <si>
    <t>='C:\Users\jaime.benazar\Quorum Business Solutions\Ecopetrol Prometeo - Documents\Planning Space Implementation\3. Analysis &amp; Design\Design\FC22\DRR Jaime\QUIFA-CAJÚA\Cajua\[VAS_CAJUA_CF_SEC_20230125.xlsx]CF PS'!$BX$72</t>
  </si>
  <si>
    <t>='C:\Users\jaime.benazar\Quorum Business Solutions\Ecopetrol Prometeo - Documents\Planning Space Implementation\3. Analysis &amp; Design\Design\FC22\DRR Jaime\QUIFA-CAJÚA\Cajua\[VAS_CAJUA_CF_SEC_20230125.xlsx]CF PDP'!$BU$36</t>
  </si>
  <si>
    <t>='C:\Users\jaime.benazar\Quorum Business Solutions\Ecopetrol Prometeo - Documents\Planning Space Implementation\3. Analysis &amp; Design\Design\FC22\DRR Jaime\QUIFA-CAJÚA\Cajua\[VAS_CAJUA_CF_SEC_20230125.xlsx]CF PDP'!$BU$37</t>
  </si>
  <si>
    <t>='C:\Users\jaime.benazar\Quorum Business Solutions\Ecopetrol Prometeo - Documents\Planning Space Implementation\3. Analysis &amp; Design\Design\FC22\DRR Jaime\QUIFA-CAJÚA\Cajua\[VAS_CAJUA_CF_SEC_20230125.xlsx]CF PDP'!$BU$38</t>
  </si>
  <si>
    <t>='C:\Users\jaime.benazar\Quorum Business Solutions\Ecopetrol Prometeo - Documents\Planning Space Implementation\3. Analysis &amp; Design\Design\FC22\DRR Jaime\QUIFA-CAJÚA\Cajua\[VAS_CAJUA_CF_SEC_20230125.xlsx]CF PDP'!$BU$39</t>
  </si>
  <si>
    <t>='C:\Users\jaime.benazar\Quorum Business Solutions\Ecopetrol Prometeo - Documents\Planning Space Implementation\3. Analysis &amp; Design\Design\FC22\DRR Jaime\QUIFA-CAJÚA\Cajua\[VAS_CAJUA_CF_SEC_20230125.xlsx]CF PDP'!$BU$40</t>
  </si>
  <si>
    <t>='C:\Users\jaime.benazar\Quorum Business Solutions\Ecopetrol Prometeo - Documents\Planning Space Implementation\3. Analysis &amp; Design\Design\FC22\DRR Jaime\QUIFA-CAJÚA\Cajua\[VAS_CAJUA_CF_SEC_20230125.xlsx]CF PDP'!$BU$41</t>
  </si>
  <si>
    <t>='C:\Users\jaime.benazar\Quorum Business Solutions\Ecopetrol Prometeo - Documents\Planning Space Implementation\3. Analysis &amp; Design\Design\FC22\DRR Jaime\QUIFA-CAJÚA\Cajua\[VAS_CAJUA_CF_SEC_20230125.xlsx]CF PDP'!$BU$42</t>
  </si>
  <si>
    <t>='C:\Users\jaime.benazar\Quorum Business Solutions\Ecopetrol Prometeo - Documents\Planning Space Implementation\3. Analysis &amp; Design\Design\FC22\DRR Jaime\QUIFA-CAJÚA\Cajua\[VAS_CAJUA_CF_SEC_20230125.xlsx]CF PDP'!$BU$43</t>
  </si>
  <si>
    <t>='C:\Users\jaime.benazar\Quorum Business Solutions\Ecopetrol Prometeo - Documents\Planning Space Implementation\3. Analysis &amp; Design\Design\FC22\DRR Jaime\QUIFA-CAJÚA\Cajua\[VAS_CAJUA_CF_SEC_20230125.xlsx]CF PDP'!$BU$44</t>
  </si>
  <si>
    <t>='C:\Users\jaime.benazar\Quorum Business Solutions\Ecopetrol Prometeo - Documents\Planning Space Implementation\3. Analysis &amp; Design\Design\FC22\DRR Jaime\QUIFA-CAJÚA\Cajua\[VAS_CAJUA_CF_SEC_20230125.xlsx]CF PDP'!$BU$45</t>
  </si>
  <si>
    <t>='C:\Users\jaime.benazar\Quorum Business Solutions\Ecopetrol Prometeo - Documents\Planning Space Implementation\3. Analysis &amp; Design\Design\FC22\DRR Jaime\QUIFA-CAJÚA\Cajua\[VAS_CAJUA_CF_SEC_20230125.xlsx]CF PDP'!$BU$46</t>
  </si>
  <si>
    <t>='C:\Users\jaime.benazar\Quorum Business Solutions\Ecopetrol Prometeo - Documents\Planning Space Implementation\3. Analysis &amp; Design\Design\FC22\DRR Jaime\QUIFA-CAJÚA\Cajua\[VAS_CAJUA_CF_SEC_20230125.xlsx]CF PDP'!$BU$47</t>
  </si>
  <si>
    <t>='C:\Users\jaime.benazar\Quorum Business Solutions\Ecopetrol Prometeo - Documents\Planning Space Implementation\3. Analysis &amp; Design\Design\FC22\DRR Jaime\QUIFA-CAJÚA\Cajua\[VAS_CAJUA_CF_SEC_20230125.xlsx]CF PDP'!$BU$48</t>
  </si>
  <si>
    <t>='C:\Users\jaime.benazar\Quorum Business Solutions\Ecopetrol Prometeo - Documents\Planning Space Implementation\3. Analysis &amp; Design\Design\FC22\DRR Jaime\QUIFA-CAJÚA\Cajua\[VAS_CAJUA_CF_SEC_20230125.xlsx]CF PDP'!$BU$49</t>
  </si>
  <si>
    <t>='C:\Users\jaime.benazar\Quorum Business Solutions\Ecopetrol Prometeo - Documents\Planning Space Implementation\3. Analysis &amp; Design\Design\FC22\DRR Jaime\QUIFA-CAJÚA\Cajua\[VAS_CAJUA_CF_SEC_20230125.xlsx]CF PDP'!$BU$50</t>
  </si>
  <si>
    <t>='C:\Users\jaime.benazar\Quorum Business Solutions\Ecopetrol Prometeo - Documents\Planning Space Implementation\3. Analysis &amp; Design\Design\FC22\DRR Jaime\QUIFA-CAJÚA\Cajua\[VAS_CAJUA_CF_SEC_20230125.xlsx]CF PDP'!$BU$51</t>
  </si>
  <si>
    <t>='C:\Users\jaime.benazar\Quorum Business Solutions\Ecopetrol Prometeo - Documents\Planning Space Implementation\3. Analysis &amp; Design\Design\FC22\DRR Jaime\QUIFA-CAJÚA\Cajua\[VAS_CAJUA_CF_SEC_20230125.xlsx]CF PDP'!$BU$52</t>
  </si>
  <si>
    <t>='C:\Users\jaime.benazar\Quorum Business Solutions\Ecopetrol Prometeo - Documents\Planning Space Implementation\3. Analysis &amp; Design\Design\FC22\DRR Jaime\QUIFA-CAJÚA\Cajua\[VAS_CAJUA_CF_SEC_20230125.xlsx]CF PDP'!$BU$53</t>
  </si>
  <si>
    <t>='C:\Users\jaime.benazar\Quorum Business Solutions\Ecopetrol Prometeo - Documents\Planning Space Implementation\3. Analysis &amp; Design\Design\FC22\DRR Jaime\QUIFA-CAJÚA\Cajua\[VAS_CAJUA_CF_SEC_20230125.xlsx]CF PDP'!$BU$54</t>
  </si>
  <si>
    <t>='C:\Users\jaime.benazar\Quorum Business Solutions\Ecopetrol Prometeo - Documents\Planning Space Implementation\3. Analysis &amp; Design\Design\FC22\DRR Jaime\QUIFA-CAJÚA\Cajua\[VAS_CAJUA_CF_SEC_20230125.xlsx]CF PDP'!$BU$55</t>
  </si>
  <si>
    <t>='C:\Users\jaime.benazar\Quorum Business Solutions\Ecopetrol Prometeo - Documents\Planning Space Implementation\3. Analysis &amp; Design\Design\FC22\DRR Jaime\QUIFA-CAJÚA\Cajua\[VAS_CAJUA_CF_SEC_20230125.xlsx]CF PDP'!$BU$56</t>
  </si>
  <si>
    <t>='C:\Users\jaime.benazar\Quorum Business Solutions\Ecopetrol Prometeo - Documents\Planning Space Implementation\3. Analysis &amp; Design\Design\FC22\DRR Jaime\QUIFA-CAJÚA\Cajua\[VAS_CAJUA_CF_SEC_20230125.xlsx]CF PDP'!$BU$57</t>
  </si>
  <si>
    <t>='C:\Users\jaime.benazar\Quorum Business Solutions\Ecopetrol Prometeo - Documents\Planning Space Implementation\3. Analysis &amp; Design\Design\FC22\DRR Jaime\QUIFA-CAJÚA\Cajua\[VAS_CAJUA_CF_SEC_20230125.xlsx]CF PDP'!$BU$58</t>
  </si>
  <si>
    <t>='C:\Users\jaime.benazar\Quorum Business Solutions\Ecopetrol Prometeo - Documents\Planning Space Implementation\3. Analysis &amp; Design\Design\FC22\DRR Jaime\QUIFA-CAJÚA\Cajua\[VAS_CAJUA_CF_SEC_20230125.xlsx]CF PDP'!$BU$59</t>
  </si>
  <si>
    <t>='C:\Users\jaime.benazar\Quorum Business Solutions\Ecopetrol Prometeo - Documents\Planning Space Implementation\3. Analysis &amp; Design\Design\FC22\DRR Jaime\QUIFA-CAJÚA\Cajua\[VAS_CAJUA_CF_SEC_20230125.xlsx]CF PDP'!$BU$60</t>
  </si>
  <si>
    <t>='C:\Users\jaime.benazar\Quorum Business Solutions\Ecopetrol Prometeo - Documents\Planning Space Implementation\3. Analysis &amp; Design\Design\FC22\DRR Jaime\QUIFA-CAJÚA\Cajua\[VAS_CAJUA_CF_SEC_20230125.xlsx]CF PDP'!$BU$61</t>
  </si>
  <si>
    <t>='C:\Users\jaime.benazar\Quorum Business Solutions\Ecopetrol Prometeo - Documents\Planning Space Implementation\3. Analysis &amp; Design\Design\FC22\DRR Jaime\QUIFA-CAJÚA\Cajua\[VAS_CAJUA_CF_SEC_20230125.xlsx]CF PDP'!$BU$62</t>
  </si>
  <si>
    <t>='C:\Users\jaime.benazar\Quorum Business Solutions\Ecopetrol Prometeo - Documents\Planning Space Implementation\3. Analysis &amp; Design\Design\FC22\DRR Jaime\QUIFA-CAJÚA\Cajua\[VAS_CAJUA_CF_SEC_20230125.xlsx]CF PDP'!$BU$63</t>
  </si>
  <si>
    <t>='C:\Users\jaime.benazar\Quorum Business Solutions\Ecopetrol Prometeo - Documents\Planning Space Implementation\3. Analysis &amp; Design\Design\FC22\DRR Jaime\QUIFA-CAJÚA\Cajua\[VAS_CAJUA_CF_SEC_20230125.xlsx]CF PDP'!$BU$64</t>
  </si>
  <si>
    <t>='C:\Users\jaime.benazar\Quorum Business Solutions\Ecopetrol Prometeo - Documents\Planning Space Implementation\3. Analysis &amp; Design\Design\FC22\DRR Jaime\QUIFA-CAJÚA\Cajua\[VAS_CAJUA_CF_SEC_20230125.xlsx]CF PDP'!$BU$65</t>
  </si>
  <si>
    <t>='C:\Users\jaime.benazar\Quorum Business Solutions\Ecopetrol Prometeo - Documents\Planning Space Implementation\3. Analysis &amp; Design\Design\FC22\DRR Jaime\QUIFA-CAJÚA\Cajua\[VAS_CAJUA_CF_SEC_20230125.xlsx]CF PDP'!$BU$66</t>
  </si>
  <si>
    <t>='C:\Users\jaime.benazar\Quorum Business Solutions\Ecopetrol Prometeo - Documents\Planning Space Implementation\3. Analysis &amp; Design\Design\FC22\DRR Jaime\QUIFA-CAJÚA\Cajua\[VAS_CAJUA_CF_SEC_20230125.xlsx]CF PDP'!$BU$67</t>
  </si>
  <si>
    <t>='C:\Users\jaime.benazar\Quorum Business Solutions\Ecopetrol Prometeo - Documents\Planning Space Implementation\3. Analysis &amp; Design\Design\FC22\DRR Jaime\QUIFA-CAJÚA\Cajua\[VAS_CAJUA_CF_SEC_20230125.xlsx]CF PDP'!$BU$68</t>
  </si>
  <si>
    <t>='C:\Users\jaime.benazar\Quorum Business Solutions\Ecopetrol Prometeo - Documents\Planning Space Implementation\3. Analysis &amp; Design\Design\FC22\DRR Jaime\QUIFA-CAJÚA\Cajua\[VAS_CAJUA_CF_SEC_20230125.xlsx]CF PDP'!$BU$69</t>
  </si>
  <si>
    <t>='C:\Users\jaime.benazar\Quorum Business Solutions\Ecopetrol Prometeo - Documents\Planning Space Implementation\3. Analysis &amp; Design\Design\FC22\DRR Jaime\QUIFA-CAJÚA\Cajua\[VAS_CAJUA_CF_SEC_20230125.xlsx]CF PDP'!$BU$70</t>
  </si>
  <si>
    <t>='C:\Users\jaime.benazar\Quorum Business Solutions\Ecopetrol Prometeo - Documents\Planning Space Implementation\3. Analysis &amp; Design\Design\FC22\DRR Jaime\QUIFA-CAJÚA\Cajua\[VAS_CAJUA_CF_SEC_20230125.xlsx]CF PDP'!$BU$71</t>
  </si>
  <si>
    <t>='C:\Users\jaime.benazar\Quorum Business Solutions\Ecopetrol Prometeo - Documents\Planning Space Implementation\3. Analysis &amp; Design\Design\FC22\DRR Jaime\QUIFA-CAJÚA\Cajua\[VAS_CAJUA_CF_SEC_20230125.xlsx]CF PDP'!$BU$72</t>
  </si>
  <si>
    <t>='C:\Users\jaime.benazar\Quorum Business Solutions\Ecopetrol Prometeo - Documents\Planning Space Implementation\3. Analysis &amp; Design\Design\FC22\DRR Jaime\QUIFA-CAJÚA\Cajua\[VAS_CAJUA_CF_SEC_20230125.xlsx]CF PNP'!$BU$36</t>
  </si>
  <si>
    <t>='C:\Users\jaime.benazar\Quorum Business Solutions\Ecopetrol Prometeo - Documents\Planning Space Implementation\3. Analysis &amp; Design\Design\FC22\DRR Jaime\QUIFA-CAJÚA\Cajua\[VAS_CAJUA_CF_SEC_20230125.xlsx]CF PNP'!$BU$37</t>
  </si>
  <si>
    <t>='C:\Users\jaime.benazar\Quorum Business Solutions\Ecopetrol Prometeo - Documents\Planning Space Implementation\3. Analysis &amp; Design\Design\FC22\DRR Jaime\QUIFA-CAJÚA\Cajua\[VAS_CAJUA_CF_SEC_20230125.xlsx]CF PNP'!$BU$38</t>
  </si>
  <si>
    <t>='C:\Users\jaime.benazar\Quorum Business Solutions\Ecopetrol Prometeo - Documents\Planning Space Implementation\3. Analysis &amp; Design\Design\FC22\DRR Jaime\QUIFA-CAJÚA\Cajua\[VAS_CAJUA_CF_SEC_20230125.xlsx]CF PNP'!$BU$39</t>
  </si>
  <si>
    <t>='C:\Users\jaime.benazar\Quorum Business Solutions\Ecopetrol Prometeo - Documents\Planning Space Implementation\3. Analysis &amp; Design\Design\FC22\DRR Jaime\QUIFA-CAJÚA\Cajua\[VAS_CAJUA_CF_SEC_20230125.xlsx]CF PNP'!$BU$40</t>
  </si>
  <si>
    <t>='C:\Users\jaime.benazar\Quorum Business Solutions\Ecopetrol Prometeo - Documents\Planning Space Implementation\3. Analysis &amp; Design\Design\FC22\DRR Jaime\QUIFA-CAJÚA\Cajua\[VAS_CAJUA_CF_SEC_20230125.xlsx]CF PNP'!$BU$41</t>
  </si>
  <si>
    <t>='C:\Users\jaime.benazar\Quorum Business Solutions\Ecopetrol Prometeo - Documents\Planning Space Implementation\3. Analysis &amp; Design\Design\FC22\DRR Jaime\QUIFA-CAJÚA\Cajua\[VAS_CAJUA_CF_SEC_20230125.xlsx]CF PNP'!$BU$42</t>
  </si>
  <si>
    <t>='C:\Users\jaime.benazar\Quorum Business Solutions\Ecopetrol Prometeo - Documents\Planning Space Implementation\3. Analysis &amp; Design\Design\FC22\DRR Jaime\QUIFA-CAJÚA\Cajua\[VAS_CAJUA_CF_SEC_20230125.xlsx]CF PNP'!$BU$43</t>
  </si>
  <si>
    <t>='C:\Users\jaime.benazar\Quorum Business Solutions\Ecopetrol Prometeo - Documents\Planning Space Implementation\3. Analysis &amp; Design\Design\FC22\DRR Jaime\QUIFA-CAJÚA\Cajua\[VAS_CAJUA_CF_SEC_20230125.xlsx]CF PNP'!$BU$44</t>
  </si>
  <si>
    <t>='C:\Users\jaime.benazar\Quorum Business Solutions\Ecopetrol Prometeo - Documents\Planning Space Implementation\3. Analysis &amp; Design\Design\FC22\DRR Jaime\QUIFA-CAJÚA\Cajua\[VAS_CAJUA_CF_SEC_20230125.xlsx]CF PNP'!$BU$45</t>
  </si>
  <si>
    <t>='C:\Users\jaime.benazar\Quorum Business Solutions\Ecopetrol Prometeo - Documents\Planning Space Implementation\3. Analysis &amp; Design\Design\FC22\DRR Jaime\QUIFA-CAJÚA\Cajua\[VAS_CAJUA_CF_SEC_20230125.xlsx]CF PNP'!$BU$46</t>
  </si>
  <si>
    <t>='C:\Users\jaime.benazar\Quorum Business Solutions\Ecopetrol Prometeo - Documents\Planning Space Implementation\3. Analysis &amp; Design\Design\FC22\DRR Jaime\QUIFA-CAJÚA\Cajua\[VAS_CAJUA_CF_SEC_20230125.xlsx]CF PNP'!$BU$47</t>
  </si>
  <si>
    <t>='C:\Users\jaime.benazar\Quorum Business Solutions\Ecopetrol Prometeo - Documents\Planning Space Implementation\3. Analysis &amp; Design\Design\FC22\DRR Jaime\QUIFA-CAJÚA\Cajua\[VAS_CAJUA_CF_SEC_20230125.xlsx]CF PNP'!$BU$48</t>
  </si>
  <si>
    <t>='C:\Users\jaime.benazar\Quorum Business Solutions\Ecopetrol Prometeo - Documents\Planning Space Implementation\3. Analysis &amp; Design\Design\FC22\DRR Jaime\QUIFA-CAJÚA\Cajua\[VAS_CAJUA_CF_SEC_20230125.xlsx]CF PNP'!$BU$49</t>
  </si>
  <si>
    <t>='C:\Users\jaime.benazar\Quorum Business Solutions\Ecopetrol Prometeo - Documents\Planning Space Implementation\3. Analysis &amp; Design\Design\FC22\DRR Jaime\QUIFA-CAJÚA\Cajua\[VAS_CAJUA_CF_SEC_20230125.xlsx]CF PNP'!$BU$50</t>
  </si>
  <si>
    <t>='C:\Users\jaime.benazar\Quorum Business Solutions\Ecopetrol Prometeo - Documents\Planning Space Implementation\3. Analysis &amp; Design\Design\FC22\DRR Jaime\QUIFA-CAJÚA\Cajua\[VAS_CAJUA_CF_SEC_20230125.xlsx]CF PNP'!$BU$51</t>
  </si>
  <si>
    <t>='C:\Users\jaime.benazar\Quorum Business Solutions\Ecopetrol Prometeo - Documents\Planning Space Implementation\3. Analysis &amp; Design\Design\FC22\DRR Jaime\QUIFA-CAJÚA\Cajua\[VAS_CAJUA_CF_SEC_20230125.xlsx]CF PNP'!$BU$52</t>
  </si>
  <si>
    <t>='C:\Users\jaime.benazar\Quorum Business Solutions\Ecopetrol Prometeo - Documents\Planning Space Implementation\3. Analysis &amp; Design\Design\FC22\DRR Jaime\QUIFA-CAJÚA\Cajua\[VAS_CAJUA_CF_SEC_20230125.xlsx]CF PNP'!$BU$53</t>
  </si>
  <si>
    <t>='C:\Users\jaime.benazar\Quorum Business Solutions\Ecopetrol Prometeo - Documents\Planning Space Implementation\3. Analysis &amp; Design\Design\FC22\DRR Jaime\QUIFA-CAJÚA\Cajua\[VAS_CAJUA_CF_SEC_20230125.xlsx]CF PNP'!$BU$54</t>
  </si>
  <si>
    <t>='C:\Users\jaime.benazar\Quorum Business Solutions\Ecopetrol Prometeo - Documents\Planning Space Implementation\3. Analysis &amp; Design\Design\FC22\DRR Jaime\QUIFA-CAJÚA\Cajua\[VAS_CAJUA_CF_SEC_20230125.xlsx]CF PNP'!$BU$55</t>
  </si>
  <si>
    <t>='C:\Users\jaime.benazar\Quorum Business Solutions\Ecopetrol Prometeo - Documents\Planning Space Implementation\3. Analysis &amp; Design\Design\FC22\DRR Jaime\QUIFA-CAJÚA\Cajua\[VAS_CAJUA_CF_SEC_20230125.xlsx]CF PNP'!$BU$56</t>
  </si>
  <si>
    <t>='C:\Users\jaime.benazar\Quorum Business Solutions\Ecopetrol Prometeo - Documents\Planning Space Implementation\3. Analysis &amp; Design\Design\FC22\DRR Jaime\QUIFA-CAJÚA\Cajua\[VAS_CAJUA_CF_SEC_20230125.xlsx]CF PNP'!$BU$57</t>
  </si>
  <si>
    <t>='C:\Users\jaime.benazar\Quorum Business Solutions\Ecopetrol Prometeo - Documents\Planning Space Implementation\3. Analysis &amp; Design\Design\FC22\DRR Jaime\QUIFA-CAJÚA\Cajua\[VAS_CAJUA_CF_SEC_20230125.xlsx]CF PNP'!$BU$58</t>
  </si>
  <si>
    <t>='C:\Users\jaime.benazar\Quorum Business Solutions\Ecopetrol Prometeo - Documents\Planning Space Implementation\3. Analysis &amp; Design\Design\FC22\DRR Jaime\QUIFA-CAJÚA\Cajua\[VAS_CAJUA_CF_SEC_20230125.xlsx]CF PNP'!$BU$59</t>
  </si>
  <si>
    <t>='C:\Users\jaime.benazar\Quorum Business Solutions\Ecopetrol Prometeo - Documents\Planning Space Implementation\3. Analysis &amp; Design\Design\FC22\DRR Jaime\QUIFA-CAJÚA\Cajua\[VAS_CAJUA_CF_SEC_20230125.xlsx]CF PNP'!$BU$60</t>
  </si>
  <si>
    <t>='C:\Users\jaime.benazar\Quorum Business Solutions\Ecopetrol Prometeo - Documents\Planning Space Implementation\3. Analysis &amp; Design\Design\FC22\DRR Jaime\QUIFA-CAJÚA\Cajua\[VAS_CAJUA_CF_SEC_20230125.xlsx]CF PNP'!$BU$61</t>
  </si>
  <si>
    <t>='C:\Users\jaime.benazar\Quorum Business Solutions\Ecopetrol Prometeo - Documents\Planning Space Implementation\3. Analysis &amp; Design\Design\FC22\DRR Jaime\QUIFA-CAJÚA\Cajua\[VAS_CAJUA_CF_SEC_20230125.xlsx]CF PNP'!$BU$62</t>
  </si>
  <si>
    <t>='C:\Users\jaime.benazar\Quorum Business Solutions\Ecopetrol Prometeo - Documents\Planning Space Implementation\3. Analysis &amp; Design\Design\FC22\DRR Jaime\QUIFA-CAJÚA\Cajua\[VAS_CAJUA_CF_SEC_20230125.xlsx]CF PNP'!$BU$63</t>
  </si>
  <si>
    <t>='C:\Users\jaime.benazar\Quorum Business Solutions\Ecopetrol Prometeo - Documents\Planning Space Implementation\3. Analysis &amp; Design\Design\FC22\DRR Jaime\QUIFA-CAJÚA\Cajua\[VAS_CAJUA_CF_SEC_20230125.xlsx]CF PNP'!$BU$64</t>
  </si>
  <si>
    <t>='C:\Users\jaime.benazar\Quorum Business Solutions\Ecopetrol Prometeo - Documents\Planning Space Implementation\3. Analysis &amp; Design\Design\FC22\DRR Jaime\QUIFA-CAJÚA\Cajua\[VAS_CAJUA_CF_SEC_20230125.xlsx]CF PNP'!$BU$65</t>
  </si>
  <si>
    <t>='C:\Users\jaime.benazar\Quorum Business Solutions\Ecopetrol Prometeo - Documents\Planning Space Implementation\3. Analysis &amp; Design\Design\FC22\DRR Jaime\QUIFA-CAJÚA\Cajua\[VAS_CAJUA_CF_SEC_20230125.xlsx]CF PNP'!$BU$66</t>
  </si>
  <si>
    <t>='C:\Users\jaime.benazar\Quorum Business Solutions\Ecopetrol Prometeo - Documents\Planning Space Implementation\3. Analysis &amp; Design\Design\FC22\DRR Jaime\QUIFA-CAJÚA\Cajua\[VAS_CAJUA_CF_SEC_20230125.xlsx]CF PNP'!$BU$67</t>
  </si>
  <si>
    <t>='C:\Users\jaime.benazar\Quorum Business Solutions\Ecopetrol Prometeo - Documents\Planning Space Implementation\3. Analysis &amp; Design\Design\FC22\DRR Jaime\QUIFA-CAJÚA\Cajua\[VAS_CAJUA_CF_SEC_20230125.xlsx]CF PNP'!$BU$68</t>
  </si>
  <si>
    <t>='C:\Users\jaime.benazar\Quorum Business Solutions\Ecopetrol Prometeo - Documents\Planning Space Implementation\3. Analysis &amp; Design\Design\FC22\DRR Jaime\QUIFA-CAJÚA\Cajua\[VAS_CAJUA_CF_SEC_20230125.xlsx]CF PNP'!$BU$69</t>
  </si>
  <si>
    <t>='C:\Users\jaime.benazar\Quorum Business Solutions\Ecopetrol Prometeo - Documents\Planning Space Implementation\3. Analysis &amp; Design\Design\FC22\DRR Jaime\QUIFA-CAJÚA\Cajua\[VAS_CAJUA_CF_SEC_20230125.xlsx]CF PNP'!$BU$70</t>
  </si>
  <si>
    <t>='C:\Users\jaime.benazar\Quorum Business Solutions\Ecopetrol Prometeo - Documents\Planning Space Implementation\3. Analysis &amp; Design\Design\FC22\DRR Jaime\QUIFA-CAJÚA\Cajua\[VAS_CAJUA_CF_SEC_20230125.xlsx]CF PNP'!$BU$71</t>
  </si>
  <si>
    <t>='C:\Users\jaime.benazar\Quorum Business Solutions\Ecopetrol Prometeo - Documents\Planning Space Implementation\3. Analysis &amp; Design\Design\FC22\DRR Jaime\QUIFA-CAJÚA\Cajua\[VAS_CAJUA_CF_SEC_20230125.xlsx]CF PNP'!$BU$72</t>
  </si>
  <si>
    <t>='C:\Users\jaime.benazar\Quorum Business Solutions\Ecopetrol Prometeo - Documents\Planning Space Implementation\3. Analysis &amp; Design\Design\FC22\DRR Jaime\QUIFA-CAJÚA\Cajua\[VAS_CAJUA_CF_SEC_20230125.xlsx]CF PND'!$BU$36</t>
  </si>
  <si>
    <t>='C:\Users\jaime.benazar\Quorum Business Solutions\Ecopetrol Prometeo - Documents\Planning Space Implementation\3. Analysis &amp; Design\Design\FC22\DRR Jaime\QUIFA-CAJÚA\Cajua\[VAS_CAJUA_CF_SEC_20230125.xlsx]CF PND'!$BU$37</t>
  </si>
  <si>
    <t>='C:\Users\jaime.benazar\Quorum Business Solutions\Ecopetrol Prometeo - Documents\Planning Space Implementation\3. Analysis &amp; Design\Design\FC22\DRR Jaime\QUIFA-CAJÚA\Cajua\[VAS_CAJUA_CF_SEC_20230125.xlsx]CF PND'!$BU$38</t>
  </si>
  <si>
    <t>='C:\Users\jaime.benazar\Quorum Business Solutions\Ecopetrol Prometeo - Documents\Planning Space Implementation\3. Analysis &amp; Design\Design\FC22\DRR Jaime\QUIFA-CAJÚA\Cajua\[VAS_CAJUA_CF_SEC_20230125.xlsx]CF PND'!$BU$39</t>
  </si>
  <si>
    <t>='C:\Users\jaime.benazar\Quorum Business Solutions\Ecopetrol Prometeo - Documents\Planning Space Implementation\3. Analysis &amp; Design\Design\FC22\DRR Jaime\QUIFA-CAJÚA\Cajua\[VAS_CAJUA_CF_SEC_20230125.xlsx]CF PND'!$BU$40</t>
  </si>
  <si>
    <t>='C:\Users\jaime.benazar\Quorum Business Solutions\Ecopetrol Prometeo - Documents\Planning Space Implementation\3. Analysis &amp; Design\Design\FC22\DRR Jaime\QUIFA-CAJÚA\Cajua\[VAS_CAJUA_CF_SEC_20230125.xlsx]CF PND'!$BU$41</t>
  </si>
  <si>
    <t>='C:\Users\jaime.benazar\Quorum Business Solutions\Ecopetrol Prometeo - Documents\Planning Space Implementation\3. Analysis &amp; Design\Design\FC22\DRR Jaime\QUIFA-CAJÚA\Cajua\[VAS_CAJUA_CF_SEC_20230125.xlsx]CF PND'!$BU$42</t>
  </si>
  <si>
    <t>='C:\Users\jaime.benazar\Quorum Business Solutions\Ecopetrol Prometeo - Documents\Planning Space Implementation\3. Analysis &amp; Design\Design\FC22\DRR Jaime\QUIFA-CAJÚA\Cajua\[VAS_CAJUA_CF_SEC_20230125.xlsx]CF PND'!$BU$43</t>
  </si>
  <si>
    <t>='C:\Users\jaime.benazar\Quorum Business Solutions\Ecopetrol Prometeo - Documents\Planning Space Implementation\3. Analysis &amp; Design\Design\FC22\DRR Jaime\QUIFA-CAJÚA\Cajua\[VAS_CAJUA_CF_SEC_20230125.xlsx]CF PND'!$BU$44</t>
  </si>
  <si>
    <t>='C:\Users\jaime.benazar\Quorum Business Solutions\Ecopetrol Prometeo - Documents\Planning Space Implementation\3. Analysis &amp; Design\Design\FC22\DRR Jaime\QUIFA-CAJÚA\Cajua\[VAS_CAJUA_CF_SEC_20230125.xlsx]CF PND'!$BU$45</t>
  </si>
  <si>
    <t>='C:\Users\jaime.benazar\Quorum Business Solutions\Ecopetrol Prometeo - Documents\Planning Space Implementation\3. Analysis &amp; Design\Design\FC22\DRR Jaime\QUIFA-CAJÚA\Cajua\[VAS_CAJUA_CF_SEC_20230125.xlsx]CF PND'!$BU$46</t>
  </si>
  <si>
    <t>='C:\Users\jaime.benazar\Quorum Business Solutions\Ecopetrol Prometeo - Documents\Planning Space Implementation\3. Analysis &amp; Design\Design\FC22\DRR Jaime\QUIFA-CAJÚA\Cajua\[VAS_CAJUA_CF_SEC_20230125.xlsx]CF PND'!$BU$47</t>
  </si>
  <si>
    <t>='C:\Users\jaime.benazar\Quorum Business Solutions\Ecopetrol Prometeo - Documents\Planning Space Implementation\3. Analysis &amp; Design\Design\FC22\DRR Jaime\QUIFA-CAJÚA\Cajua\[VAS_CAJUA_CF_SEC_20230125.xlsx]CF PND'!$BU$48</t>
  </si>
  <si>
    <t>='C:\Users\jaime.benazar\Quorum Business Solutions\Ecopetrol Prometeo - Documents\Planning Space Implementation\3. Analysis &amp; Design\Design\FC22\DRR Jaime\QUIFA-CAJÚA\Cajua\[VAS_CAJUA_CF_SEC_20230125.xlsx]CF PND'!$BU$49</t>
  </si>
  <si>
    <t>='C:\Users\jaime.benazar\Quorum Business Solutions\Ecopetrol Prometeo - Documents\Planning Space Implementation\3. Analysis &amp; Design\Design\FC22\DRR Jaime\QUIFA-CAJÚA\Cajua\[VAS_CAJUA_CF_SEC_20230125.xlsx]CF PND'!$BU$50</t>
  </si>
  <si>
    <t>='C:\Users\jaime.benazar\Quorum Business Solutions\Ecopetrol Prometeo - Documents\Planning Space Implementation\3. Analysis &amp; Design\Design\FC22\DRR Jaime\QUIFA-CAJÚA\Cajua\[VAS_CAJUA_CF_SEC_20230125.xlsx]CF PND'!$BU$51</t>
  </si>
  <si>
    <t>='C:\Users\jaime.benazar\Quorum Business Solutions\Ecopetrol Prometeo - Documents\Planning Space Implementation\3. Analysis &amp; Design\Design\FC22\DRR Jaime\QUIFA-CAJÚA\Cajua\[VAS_CAJUA_CF_SEC_20230125.xlsx]CF PND'!$BU$52</t>
  </si>
  <si>
    <t>='C:\Users\jaime.benazar\Quorum Business Solutions\Ecopetrol Prometeo - Documents\Planning Space Implementation\3. Analysis &amp; Design\Design\FC22\DRR Jaime\QUIFA-CAJÚA\Cajua\[VAS_CAJUA_CF_SEC_20230125.xlsx]CF PND'!$BU$53</t>
  </si>
  <si>
    <t>='C:\Users\jaime.benazar\Quorum Business Solutions\Ecopetrol Prometeo - Documents\Planning Space Implementation\3. Analysis &amp; Design\Design\FC22\DRR Jaime\QUIFA-CAJÚA\Cajua\[VAS_CAJUA_CF_SEC_20230125.xlsx]CF PND'!$BU$54</t>
  </si>
  <si>
    <t>='C:\Users\jaime.benazar\Quorum Business Solutions\Ecopetrol Prometeo - Documents\Planning Space Implementation\3. Analysis &amp; Design\Design\FC22\DRR Jaime\QUIFA-CAJÚA\Cajua\[VAS_CAJUA_CF_SEC_20230125.xlsx]CF PND'!$BU$55</t>
  </si>
  <si>
    <t>='C:\Users\jaime.benazar\Quorum Business Solutions\Ecopetrol Prometeo - Documents\Planning Space Implementation\3. Analysis &amp; Design\Design\FC22\DRR Jaime\QUIFA-CAJÚA\Cajua\[VAS_CAJUA_CF_SEC_20230125.xlsx]CF PND'!$BU$56</t>
  </si>
  <si>
    <t>='C:\Users\jaime.benazar\Quorum Business Solutions\Ecopetrol Prometeo - Documents\Planning Space Implementation\3. Analysis &amp; Design\Design\FC22\DRR Jaime\QUIFA-CAJÚA\Cajua\[VAS_CAJUA_CF_SEC_20230125.xlsx]CF PND'!$BU$57</t>
  </si>
  <si>
    <t>='C:\Users\jaime.benazar\Quorum Business Solutions\Ecopetrol Prometeo - Documents\Planning Space Implementation\3. Analysis &amp; Design\Design\FC22\DRR Jaime\QUIFA-CAJÚA\Cajua\[VAS_CAJUA_CF_SEC_20230125.xlsx]CF PND'!$BU$58</t>
  </si>
  <si>
    <t>='C:\Users\jaime.benazar\Quorum Business Solutions\Ecopetrol Prometeo - Documents\Planning Space Implementation\3. Analysis &amp; Design\Design\FC22\DRR Jaime\QUIFA-CAJÚA\Cajua\[VAS_CAJUA_CF_SEC_20230125.xlsx]CF PND'!$BU$59</t>
  </si>
  <si>
    <t>='C:\Users\jaime.benazar\Quorum Business Solutions\Ecopetrol Prometeo - Documents\Planning Space Implementation\3. Analysis &amp; Design\Design\FC22\DRR Jaime\QUIFA-CAJÚA\Cajua\[VAS_CAJUA_CF_SEC_20230125.xlsx]CF PND'!$BU$60</t>
  </si>
  <si>
    <t>='C:\Users\jaime.benazar\Quorum Business Solutions\Ecopetrol Prometeo - Documents\Planning Space Implementation\3. Analysis &amp; Design\Design\FC22\DRR Jaime\QUIFA-CAJÚA\Cajua\[VAS_CAJUA_CF_SEC_20230125.xlsx]CF PND'!$BU$61</t>
  </si>
  <si>
    <t>='C:\Users\jaime.benazar\Quorum Business Solutions\Ecopetrol Prometeo - Documents\Planning Space Implementation\3. Analysis &amp; Design\Design\FC22\DRR Jaime\QUIFA-CAJÚA\Cajua\[VAS_CAJUA_CF_SEC_20230125.xlsx]CF PND'!$BU$62</t>
  </si>
  <si>
    <t>='C:\Users\jaime.benazar\Quorum Business Solutions\Ecopetrol Prometeo - Documents\Planning Space Implementation\3. Analysis &amp; Design\Design\FC22\DRR Jaime\QUIFA-CAJÚA\Cajua\[VAS_CAJUA_CF_SEC_20230125.xlsx]CF PND'!$BU$63</t>
  </si>
  <si>
    <t>='C:\Users\jaime.benazar\Quorum Business Solutions\Ecopetrol Prometeo - Documents\Planning Space Implementation\3. Analysis &amp; Design\Design\FC22\DRR Jaime\QUIFA-CAJÚA\Cajua\[VAS_CAJUA_CF_SEC_20230125.xlsx]CF PND'!$BU$64</t>
  </si>
  <si>
    <t>='C:\Users\jaime.benazar\Quorum Business Solutions\Ecopetrol Prometeo - Documents\Planning Space Implementation\3. Analysis &amp; Design\Design\FC22\DRR Jaime\QUIFA-CAJÚA\Cajua\[VAS_CAJUA_CF_SEC_20230125.xlsx]CF PND'!$BU$65</t>
  </si>
  <si>
    <t>='C:\Users\jaime.benazar\Quorum Business Solutions\Ecopetrol Prometeo - Documents\Planning Space Implementation\3. Analysis &amp; Design\Design\FC22\DRR Jaime\QUIFA-CAJÚA\Cajua\[VAS_CAJUA_CF_SEC_20230125.xlsx]CF PND'!$BU$66</t>
  </si>
  <si>
    <t>='C:\Users\jaime.benazar\Quorum Business Solutions\Ecopetrol Prometeo - Documents\Planning Space Implementation\3. Analysis &amp; Design\Design\FC22\DRR Jaime\QUIFA-CAJÚA\Cajua\[VAS_CAJUA_CF_SEC_20230125.xlsx]CF PND'!$BU$67</t>
  </si>
  <si>
    <t>='C:\Users\jaime.benazar\Quorum Business Solutions\Ecopetrol Prometeo - Documents\Planning Space Implementation\3. Analysis &amp; Design\Design\FC22\DRR Jaime\QUIFA-CAJÚA\Cajua\[VAS_CAJUA_CF_SEC_20230125.xlsx]CF PND'!$BU$68</t>
  </si>
  <si>
    <t>='C:\Users\jaime.benazar\Quorum Business Solutions\Ecopetrol Prometeo - Documents\Planning Space Implementation\3. Analysis &amp; Design\Design\FC22\DRR Jaime\QUIFA-CAJÚA\Cajua\[VAS_CAJUA_CF_SEC_20230125.xlsx]CF PND'!$BU$69</t>
  </si>
  <si>
    <t>='C:\Users\jaime.benazar\Quorum Business Solutions\Ecopetrol Prometeo - Documents\Planning Space Implementation\3. Analysis &amp; Design\Design\FC22\DRR Jaime\QUIFA-CAJÚA\Cajua\[VAS_CAJUA_CF_SEC_20230125.xlsx]CF PND'!$BU$70</t>
  </si>
  <si>
    <t>='C:\Users\jaime.benazar\Quorum Business Solutions\Ecopetrol Prometeo - Documents\Planning Space Implementation\3. Analysis &amp; Design\Design\FC22\DRR Jaime\QUIFA-CAJÚA\Cajua\[VAS_CAJUA_CF_SEC_20230125.xlsx]CF PND'!$BU$71</t>
  </si>
  <si>
    <t>='C:\Users\jaime.benazar\Quorum Business Solutions\Ecopetrol Prometeo - Documents\Planning Space Implementation\3. Analysis &amp; Design\Design\FC22\DRR Jaime\QUIFA-CAJÚA\Cajua\[VAS_CAJUA_CF_SEC_20230125.xlsx]CF PND'!$BU$72</t>
  </si>
  <si>
    <t>='C:\Users\jaime.benazar\Quorum Business Solutions\Ecopetrol Prometeo - Documents\Planning Space Implementation\3. Analysis &amp; Design\Design\FC22\DRR Jaime\QUIFA-CAJÚA\Cajua\[VAS_CAJUA_CF_SEC_20230125.xlsx]CF PRB'!$BU$36</t>
  </si>
  <si>
    <t>='C:\Users\jaime.benazar\Quorum Business Solutions\Ecopetrol Prometeo - Documents\Planning Space Implementation\3. Analysis &amp; Design\Design\FC22\DRR Jaime\QUIFA-CAJÚA\Cajua\[VAS_CAJUA_CF_SEC_20230125.xlsx]CF PRB'!$BU$37</t>
  </si>
  <si>
    <t>='C:\Users\jaime.benazar\Quorum Business Solutions\Ecopetrol Prometeo - Documents\Planning Space Implementation\3. Analysis &amp; Design\Design\FC22\DRR Jaime\QUIFA-CAJÚA\Cajua\[VAS_CAJUA_CF_SEC_20230125.xlsx]CF PRB'!$BU$38</t>
  </si>
  <si>
    <t>='C:\Users\jaime.benazar\Quorum Business Solutions\Ecopetrol Prometeo - Documents\Planning Space Implementation\3. Analysis &amp; Design\Design\FC22\DRR Jaime\QUIFA-CAJÚA\Cajua\[VAS_CAJUA_CF_SEC_20230125.xlsx]CF PRB'!$BU$39</t>
  </si>
  <si>
    <t>='C:\Users\jaime.benazar\Quorum Business Solutions\Ecopetrol Prometeo - Documents\Planning Space Implementation\3. Analysis &amp; Design\Design\FC22\DRR Jaime\QUIFA-CAJÚA\Cajua\[VAS_CAJUA_CF_SEC_20230125.xlsx]CF PRB'!$BU$40</t>
  </si>
  <si>
    <t>='C:\Users\jaime.benazar\Quorum Business Solutions\Ecopetrol Prometeo - Documents\Planning Space Implementation\3. Analysis &amp; Design\Design\FC22\DRR Jaime\QUIFA-CAJÚA\Cajua\[VAS_CAJUA_CF_SEC_20230125.xlsx]CF PRB'!$BU$41</t>
  </si>
  <si>
    <t>='C:\Users\jaime.benazar\Quorum Business Solutions\Ecopetrol Prometeo - Documents\Planning Space Implementation\3. Analysis &amp; Design\Design\FC22\DRR Jaime\QUIFA-CAJÚA\Cajua\[VAS_CAJUA_CF_SEC_20230125.xlsx]CF PRB'!$BU$42</t>
  </si>
  <si>
    <t>='C:\Users\jaime.benazar\Quorum Business Solutions\Ecopetrol Prometeo - Documents\Planning Space Implementation\3. Analysis &amp; Design\Design\FC22\DRR Jaime\QUIFA-CAJÚA\Cajua\[VAS_CAJUA_CF_SEC_20230125.xlsx]CF PRB'!$BU$43</t>
  </si>
  <si>
    <t>='C:\Users\jaime.benazar\Quorum Business Solutions\Ecopetrol Prometeo - Documents\Planning Space Implementation\3. Analysis &amp; Design\Design\FC22\DRR Jaime\QUIFA-CAJÚA\Cajua\[VAS_CAJUA_CF_SEC_20230125.xlsx]CF PRB'!$BU$44</t>
  </si>
  <si>
    <t>='C:\Users\jaime.benazar\Quorum Business Solutions\Ecopetrol Prometeo - Documents\Planning Space Implementation\3. Analysis &amp; Design\Design\FC22\DRR Jaime\QUIFA-CAJÚA\Cajua\[VAS_CAJUA_CF_SEC_20230125.xlsx]CF PRB'!$BU$45</t>
  </si>
  <si>
    <t>='C:\Users\jaime.benazar\Quorum Business Solutions\Ecopetrol Prometeo - Documents\Planning Space Implementation\3. Analysis &amp; Design\Design\FC22\DRR Jaime\QUIFA-CAJÚA\Cajua\[VAS_CAJUA_CF_SEC_20230125.xlsx]CF PRB'!$BU$46</t>
  </si>
  <si>
    <t>='C:\Users\jaime.benazar\Quorum Business Solutions\Ecopetrol Prometeo - Documents\Planning Space Implementation\3. Analysis &amp; Design\Design\FC22\DRR Jaime\QUIFA-CAJÚA\Cajua\[VAS_CAJUA_CF_SEC_20230125.xlsx]CF PRB'!$BU$47</t>
  </si>
  <si>
    <t>='C:\Users\jaime.benazar\Quorum Business Solutions\Ecopetrol Prometeo - Documents\Planning Space Implementation\3. Analysis &amp; Design\Design\FC22\DRR Jaime\QUIFA-CAJÚA\Cajua\[VAS_CAJUA_CF_SEC_20230125.xlsx]CF PRB'!$BU$48</t>
  </si>
  <si>
    <t>='C:\Users\jaime.benazar\Quorum Business Solutions\Ecopetrol Prometeo - Documents\Planning Space Implementation\3. Analysis &amp; Design\Design\FC22\DRR Jaime\QUIFA-CAJÚA\Cajua\[VAS_CAJUA_CF_SEC_20230125.xlsx]CF PRB'!$BU$49</t>
  </si>
  <si>
    <t>='C:\Users\jaime.benazar\Quorum Business Solutions\Ecopetrol Prometeo - Documents\Planning Space Implementation\3. Analysis &amp; Design\Design\FC22\DRR Jaime\QUIFA-CAJÚA\Cajua\[VAS_CAJUA_CF_SEC_20230125.xlsx]CF PRB'!$BU$50</t>
  </si>
  <si>
    <t>='C:\Users\jaime.benazar\Quorum Business Solutions\Ecopetrol Prometeo - Documents\Planning Space Implementation\3. Analysis &amp; Design\Design\FC22\DRR Jaime\QUIFA-CAJÚA\Cajua\[VAS_CAJUA_CF_SEC_20230125.xlsx]CF PRB'!$BU$51</t>
  </si>
  <si>
    <t>='C:\Users\jaime.benazar\Quorum Business Solutions\Ecopetrol Prometeo - Documents\Planning Space Implementation\3. Analysis &amp; Design\Design\FC22\DRR Jaime\QUIFA-CAJÚA\Cajua\[VAS_CAJUA_CF_SEC_20230125.xlsx]CF PRB'!$BU$52</t>
  </si>
  <si>
    <t>='C:\Users\jaime.benazar\Quorum Business Solutions\Ecopetrol Prometeo - Documents\Planning Space Implementation\3. Analysis &amp; Design\Design\FC22\DRR Jaime\QUIFA-CAJÚA\Cajua\[VAS_CAJUA_CF_SEC_20230125.xlsx]CF PRB'!$BU$53</t>
  </si>
  <si>
    <t>='C:\Users\jaime.benazar\Quorum Business Solutions\Ecopetrol Prometeo - Documents\Planning Space Implementation\3. Analysis &amp; Design\Design\FC22\DRR Jaime\QUIFA-CAJÚA\Cajua\[VAS_CAJUA_CF_SEC_20230125.xlsx]CF PRB'!$BU$54</t>
  </si>
  <si>
    <t>='C:\Users\jaime.benazar\Quorum Business Solutions\Ecopetrol Prometeo - Documents\Planning Space Implementation\3. Analysis &amp; Design\Design\FC22\DRR Jaime\QUIFA-CAJÚA\Cajua\[VAS_CAJUA_CF_SEC_20230125.xlsx]CF PRB'!$BU$55</t>
  </si>
  <si>
    <t>='C:\Users\jaime.benazar\Quorum Business Solutions\Ecopetrol Prometeo - Documents\Planning Space Implementation\3. Analysis &amp; Design\Design\FC22\DRR Jaime\QUIFA-CAJÚA\Cajua\[VAS_CAJUA_CF_SEC_20230125.xlsx]CF PRB'!$BU$56</t>
  </si>
  <si>
    <t>='C:\Users\jaime.benazar\Quorum Business Solutions\Ecopetrol Prometeo - Documents\Planning Space Implementation\3. Analysis &amp; Design\Design\FC22\DRR Jaime\QUIFA-CAJÚA\Cajua\[VAS_CAJUA_CF_SEC_20230125.xlsx]CF PRB'!$BU$57</t>
  </si>
  <si>
    <t>='C:\Users\jaime.benazar\Quorum Business Solutions\Ecopetrol Prometeo - Documents\Planning Space Implementation\3. Analysis &amp; Design\Design\FC22\DRR Jaime\QUIFA-CAJÚA\Cajua\[VAS_CAJUA_CF_SEC_20230125.xlsx]CF PRB'!$BU$58</t>
  </si>
  <si>
    <t>='C:\Users\jaime.benazar\Quorum Business Solutions\Ecopetrol Prometeo - Documents\Planning Space Implementation\3. Analysis &amp; Design\Design\FC22\DRR Jaime\QUIFA-CAJÚA\Cajua\[VAS_CAJUA_CF_SEC_20230125.xlsx]CF PRB'!$BU$59</t>
  </si>
  <si>
    <t>='C:\Users\jaime.benazar\Quorum Business Solutions\Ecopetrol Prometeo - Documents\Planning Space Implementation\3. Analysis &amp; Design\Design\FC22\DRR Jaime\QUIFA-CAJÚA\Cajua\[VAS_CAJUA_CF_SEC_20230125.xlsx]CF PRB'!$BU$60</t>
  </si>
  <si>
    <t>='C:\Users\jaime.benazar\Quorum Business Solutions\Ecopetrol Prometeo - Documents\Planning Space Implementation\3. Analysis &amp; Design\Design\FC22\DRR Jaime\QUIFA-CAJÚA\Cajua\[VAS_CAJUA_CF_SEC_20230125.xlsx]CF PRB'!$BU$61</t>
  </si>
  <si>
    <t>='C:\Users\jaime.benazar\Quorum Business Solutions\Ecopetrol Prometeo - Documents\Planning Space Implementation\3. Analysis &amp; Design\Design\FC22\DRR Jaime\QUIFA-CAJÚA\Cajua\[VAS_CAJUA_CF_SEC_20230125.xlsx]CF PRB'!$BU$62</t>
  </si>
  <si>
    <t>='C:\Users\jaime.benazar\Quorum Business Solutions\Ecopetrol Prometeo - Documents\Planning Space Implementation\3. Analysis &amp; Design\Design\FC22\DRR Jaime\QUIFA-CAJÚA\Cajua\[VAS_CAJUA_CF_SEC_20230125.xlsx]CF PRB'!$BU$63</t>
  </si>
  <si>
    <t>='C:\Users\jaime.benazar\Quorum Business Solutions\Ecopetrol Prometeo - Documents\Planning Space Implementation\3. Analysis &amp; Design\Design\FC22\DRR Jaime\QUIFA-CAJÚA\Cajua\[VAS_CAJUA_CF_SEC_20230125.xlsx]CF PRB'!$BU$64</t>
  </si>
  <si>
    <t>='C:\Users\jaime.benazar\Quorum Business Solutions\Ecopetrol Prometeo - Documents\Planning Space Implementation\3. Analysis &amp; Design\Design\FC22\DRR Jaime\QUIFA-CAJÚA\Cajua\[VAS_CAJUA_CF_SEC_20230125.xlsx]CF PRB'!$BU$65</t>
  </si>
  <si>
    <t>='C:\Users\jaime.benazar\Quorum Business Solutions\Ecopetrol Prometeo - Documents\Planning Space Implementation\3. Analysis &amp; Design\Design\FC22\DRR Jaime\QUIFA-CAJÚA\Cajua\[VAS_CAJUA_CF_SEC_20230125.xlsx]CF PRB'!$BU$66</t>
  </si>
  <si>
    <t>='C:\Users\jaime.benazar\Quorum Business Solutions\Ecopetrol Prometeo - Documents\Planning Space Implementation\3. Analysis &amp; Design\Design\FC22\DRR Jaime\QUIFA-CAJÚA\Cajua\[VAS_CAJUA_CF_SEC_20230125.xlsx]CF PRB'!$BU$67</t>
  </si>
  <si>
    <t>='C:\Users\jaime.benazar\Quorum Business Solutions\Ecopetrol Prometeo - Documents\Planning Space Implementation\3. Analysis &amp; Design\Design\FC22\DRR Jaime\QUIFA-CAJÚA\Cajua\[VAS_CAJUA_CF_SEC_20230125.xlsx]CF PRB'!$BU$68</t>
  </si>
  <si>
    <t>='C:\Users\jaime.benazar\Quorum Business Solutions\Ecopetrol Prometeo - Documents\Planning Space Implementation\3. Analysis &amp; Design\Design\FC22\DRR Jaime\QUIFA-CAJÚA\Cajua\[VAS_CAJUA_CF_SEC_20230125.xlsx]CF PRB'!$BU$69</t>
  </si>
  <si>
    <t>='C:\Users\jaime.benazar\Quorum Business Solutions\Ecopetrol Prometeo - Documents\Planning Space Implementation\3. Analysis &amp; Design\Design\FC22\DRR Jaime\QUIFA-CAJÚA\Cajua\[VAS_CAJUA_CF_SEC_20230125.xlsx]CF PRB'!$BU$70</t>
  </si>
  <si>
    <t>='C:\Users\jaime.benazar\Quorum Business Solutions\Ecopetrol Prometeo - Documents\Planning Space Implementation\3. Analysis &amp; Design\Design\FC22\DRR Jaime\QUIFA-CAJÚA\Cajua\[VAS_CAJUA_CF_SEC_20230125.xlsx]CF PRB'!$BU$71</t>
  </si>
  <si>
    <t>='C:\Users\jaime.benazar\Quorum Business Solutions\Ecopetrol Prometeo - Documents\Planning Space Implementation\3. Analysis &amp; Design\Design\FC22\DRR Jaime\QUIFA-CAJÚA\Cajua\[VAS_CAJUA_CF_SEC_20230125.xlsx]CF PRB'!$BU$72</t>
  </si>
  <si>
    <t>='C:\Users\jaime.benazar\Quorum Business Solutions\Ecopetrol Prometeo - Documents\Planning Space Implementation\3. Analysis &amp; Design\Design\FC22\DRR Jaime\QUIFA-CAJÚA\Cajua\[VAS_CAJUA_CF_SEC_20230125.xlsx]CF PS'!$BU$36</t>
  </si>
  <si>
    <t>='C:\Users\jaime.benazar\Quorum Business Solutions\Ecopetrol Prometeo - Documents\Planning Space Implementation\3. Analysis &amp; Design\Design\FC22\DRR Jaime\QUIFA-CAJÚA\Cajua\[VAS_CAJUA_CF_SEC_20230125.xlsx]CF PS'!$BU$37</t>
  </si>
  <si>
    <t>='C:\Users\jaime.benazar\Quorum Business Solutions\Ecopetrol Prometeo - Documents\Planning Space Implementation\3. Analysis &amp; Design\Design\FC22\DRR Jaime\QUIFA-CAJÚA\Cajua\[VAS_CAJUA_CF_SEC_20230125.xlsx]CF PS'!$BU$38</t>
  </si>
  <si>
    <t>='C:\Users\jaime.benazar\Quorum Business Solutions\Ecopetrol Prometeo - Documents\Planning Space Implementation\3. Analysis &amp; Design\Design\FC22\DRR Jaime\QUIFA-CAJÚA\Cajua\[VAS_CAJUA_CF_SEC_20230125.xlsx]CF PS'!$BU$39</t>
  </si>
  <si>
    <t>='C:\Users\jaime.benazar\Quorum Business Solutions\Ecopetrol Prometeo - Documents\Planning Space Implementation\3. Analysis &amp; Design\Design\FC22\DRR Jaime\QUIFA-CAJÚA\Cajua\[VAS_CAJUA_CF_SEC_20230125.xlsx]CF PS'!$BU$40</t>
  </si>
  <si>
    <t>='C:\Users\jaime.benazar\Quorum Business Solutions\Ecopetrol Prometeo - Documents\Planning Space Implementation\3. Analysis &amp; Design\Design\FC22\DRR Jaime\QUIFA-CAJÚA\Cajua\[VAS_CAJUA_CF_SEC_20230125.xlsx]CF PS'!$BU$41</t>
  </si>
  <si>
    <t>='C:\Users\jaime.benazar\Quorum Business Solutions\Ecopetrol Prometeo - Documents\Planning Space Implementation\3. Analysis &amp; Design\Design\FC22\DRR Jaime\QUIFA-CAJÚA\Cajua\[VAS_CAJUA_CF_SEC_20230125.xlsx]CF PS'!$BU$42</t>
  </si>
  <si>
    <t>='C:\Users\jaime.benazar\Quorum Business Solutions\Ecopetrol Prometeo - Documents\Planning Space Implementation\3. Analysis &amp; Design\Design\FC22\DRR Jaime\QUIFA-CAJÚA\Cajua\[VAS_CAJUA_CF_SEC_20230125.xlsx]CF PS'!$BU$43</t>
  </si>
  <si>
    <t>='C:\Users\jaime.benazar\Quorum Business Solutions\Ecopetrol Prometeo - Documents\Planning Space Implementation\3. Analysis &amp; Design\Design\FC22\DRR Jaime\QUIFA-CAJÚA\Cajua\[VAS_CAJUA_CF_SEC_20230125.xlsx]CF PS'!$BU$44</t>
  </si>
  <si>
    <t>='C:\Users\jaime.benazar\Quorum Business Solutions\Ecopetrol Prometeo - Documents\Planning Space Implementation\3. Analysis &amp; Design\Design\FC22\DRR Jaime\QUIFA-CAJÚA\Cajua\[VAS_CAJUA_CF_SEC_20230125.xlsx]CF PS'!$BU$45</t>
  </si>
  <si>
    <t>='C:\Users\jaime.benazar\Quorum Business Solutions\Ecopetrol Prometeo - Documents\Planning Space Implementation\3. Analysis &amp; Design\Design\FC22\DRR Jaime\QUIFA-CAJÚA\Cajua\[VAS_CAJUA_CF_SEC_20230125.xlsx]CF PS'!$BU$46</t>
  </si>
  <si>
    <t>='C:\Users\jaime.benazar\Quorum Business Solutions\Ecopetrol Prometeo - Documents\Planning Space Implementation\3. Analysis &amp; Design\Design\FC22\DRR Jaime\QUIFA-CAJÚA\Cajua\[VAS_CAJUA_CF_SEC_20230125.xlsx]CF PS'!$BU$47</t>
  </si>
  <si>
    <t>='C:\Users\jaime.benazar\Quorum Business Solutions\Ecopetrol Prometeo - Documents\Planning Space Implementation\3. Analysis &amp; Design\Design\FC22\DRR Jaime\QUIFA-CAJÚA\Cajua\[VAS_CAJUA_CF_SEC_20230125.xlsx]CF PS'!$BU$48</t>
  </si>
  <si>
    <t>='C:\Users\jaime.benazar\Quorum Business Solutions\Ecopetrol Prometeo - Documents\Planning Space Implementation\3. Analysis &amp; Design\Design\FC22\DRR Jaime\QUIFA-CAJÚA\Cajua\[VAS_CAJUA_CF_SEC_20230125.xlsx]CF PS'!$BU$49</t>
  </si>
  <si>
    <t>='C:\Users\jaime.benazar\Quorum Business Solutions\Ecopetrol Prometeo - Documents\Planning Space Implementation\3. Analysis &amp; Design\Design\FC22\DRR Jaime\QUIFA-CAJÚA\Cajua\[VAS_CAJUA_CF_SEC_20230125.xlsx]CF PS'!$BU$50</t>
  </si>
  <si>
    <t>='C:\Users\jaime.benazar\Quorum Business Solutions\Ecopetrol Prometeo - Documents\Planning Space Implementation\3. Analysis &amp; Design\Design\FC22\DRR Jaime\QUIFA-CAJÚA\Cajua\[VAS_CAJUA_CF_SEC_20230125.xlsx]CF PS'!$BU$51</t>
  </si>
  <si>
    <t>='C:\Users\jaime.benazar\Quorum Business Solutions\Ecopetrol Prometeo - Documents\Planning Space Implementation\3. Analysis &amp; Design\Design\FC22\DRR Jaime\QUIFA-CAJÚA\Cajua\[VAS_CAJUA_CF_SEC_20230125.xlsx]CF PS'!$BU$52</t>
  </si>
  <si>
    <t>='C:\Users\jaime.benazar\Quorum Business Solutions\Ecopetrol Prometeo - Documents\Planning Space Implementation\3. Analysis &amp; Design\Design\FC22\DRR Jaime\QUIFA-CAJÚA\Cajua\[VAS_CAJUA_CF_SEC_20230125.xlsx]CF PS'!$BU$53</t>
  </si>
  <si>
    <t>='C:\Users\jaime.benazar\Quorum Business Solutions\Ecopetrol Prometeo - Documents\Planning Space Implementation\3. Analysis &amp; Design\Design\FC22\DRR Jaime\QUIFA-CAJÚA\Cajua\[VAS_CAJUA_CF_SEC_20230125.xlsx]CF PS'!$BU$54</t>
  </si>
  <si>
    <t>='C:\Users\jaime.benazar\Quorum Business Solutions\Ecopetrol Prometeo - Documents\Planning Space Implementation\3. Analysis &amp; Design\Design\FC22\DRR Jaime\QUIFA-CAJÚA\Cajua\[VAS_CAJUA_CF_SEC_20230125.xlsx]CF PS'!$BU$55</t>
  </si>
  <si>
    <t>='C:\Users\jaime.benazar\Quorum Business Solutions\Ecopetrol Prometeo - Documents\Planning Space Implementation\3. Analysis &amp; Design\Design\FC22\DRR Jaime\QUIFA-CAJÚA\Cajua\[VAS_CAJUA_CF_SEC_20230125.xlsx]CF PS'!$BU$56</t>
  </si>
  <si>
    <t>='C:\Users\jaime.benazar\Quorum Business Solutions\Ecopetrol Prometeo - Documents\Planning Space Implementation\3. Analysis &amp; Design\Design\FC22\DRR Jaime\QUIFA-CAJÚA\Cajua\[VAS_CAJUA_CF_SEC_20230125.xlsx]CF PS'!$BU$57</t>
  </si>
  <si>
    <t>='C:\Users\jaime.benazar\Quorum Business Solutions\Ecopetrol Prometeo - Documents\Planning Space Implementation\3. Analysis &amp; Design\Design\FC22\DRR Jaime\QUIFA-CAJÚA\Cajua\[VAS_CAJUA_CF_SEC_20230125.xlsx]CF PS'!$BU$58</t>
  </si>
  <si>
    <t>='C:\Users\jaime.benazar\Quorum Business Solutions\Ecopetrol Prometeo - Documents\Planning Space Implementation\3. Analysis &amp; Design\Design\FC22\DRR Jaime\QUIFA-CAJÚA\Cajua\[VAS_CAJUA_CF_SEC_20230125.xlsx]CF PS'!$BU$59</t>
  </si>
  <si>
    <t>='C:\Users\jaime.benazar\Quorum Business Solutions\Ecopetrol Prometeo - Documents\Planning Space Implementation\3. Analysis &amp; Design\Design\FC22\DRR Jaime\QUIFA-CAJÚA\Cajua\[VAS_CAJUA_CF_SEC_20230125.xlsx]CF PS'!$BU$60</t>
  </si>
  <si>
    <t>='C:\Users\jaime.benazar\Quorum Business Solutions\Ecopetrol Prometeo - Documents\Planning Space Implementation\3. Analysis &amp; Design\Design\FC22\DRR Jaime\QUIFA-CAJÚA\Cajua\[VAS_CAJUA_CF_SEC_20230125.xlsx]CF PS'!$BU$61</t>
  </si>
  <si>
    <t>='C:\Users\jaime.benazar\Quorum Business Solutions\Ecopetrol Prometeo - Documents\Planning Space Implementation\3. Analysis &amp; Design\Design\FC22\DRR Jaime\QUIFA-CAJÚA\Cajua\[VAS_CAJUA_CF_SEC_20230125.xlsx]CF PS'!$BU$62</t>
  </si>
  <si>
    <t>='C:\Users\jaime.benazar\Quorum Business Solutions\Ecopetrol Prometeo - Documents\Planning Space Implementation\3. Analysis &amp; Design\Design\FC22\DRR Jaime\QUIFA-CAJÚA\Cajua\[VAS_CAJUA_CF_SEC_20230125.xlsx]CF PS'!$BU$63</t>
  </si>
  <si>
    <t>='C:\Users\jaime.benazar\Quorum Business Solutions\Ecopetrol Prometeo - Documents\Planning Space Implementation\3. Analysis &amp; Design\Design\FC22\DRR Jaime\QUIFA-CAJÚA\Cajua\[VAS_CAJUA_CF_SEC_20230125.xlsx]CF PS'!$BU$64</t>
  </si>
  <si>
    <t>='C:\Users\jaime.benazar\Quorum Business Solutions\Ecopetrol Prometeo - Documents\Planning Space Implementation\3. Analysis &amp; Design\Design\FC22\DRR Jaime\QUIFA-CAJÚA\Cajua\[VAS_CAJUA_CF_SEC_20230125.xlsx]CF PS'!$BU$65</t>
  </si>
  <si>
    <t>='C:\Users\jaime.benazar\Quorum Business Solutions\Ecopetrol Prometeo - Documents\Planning Space Implementation\3. Analysis &amp; Design\Design\FC22\DRR Jaime\QUIFA-CAJÚA\Cajua\[VAS_CAJUA_CF_SEC_20230125.xlsx]CF PS'!$BU$66</t>
  </si>
  <si>
    <t>='C:\Users\jaime.benazar\Quorum Business Solutions\Ecopetrol Prometeo - Documents\Planning Space Implementation\3. Analysis &amp; Design\Design\FC22\DRR Jaime\QUIFA-CAJÚA\Cajua\[VAS_CAJUA_CF_SEC_20230125.xlsx]CF PS'!$BU$67</t>
  </si>
  <si>
    <t>='C:\Users\jaime.benazar\Quorum Business Solutions\Ecopetrol Prometeo - Documents\Planning Space Implementation\3. Analysis &amp; Design\Design\FC22\DRR Jaime\QUIFA-CAJÚA\Cajua\[VAS_CAJUA_CF_SEC_20230125.xlsx]CF PS'!$BU$68</t>
  </si>
  <si>
    <t>='C:\Users\jaime.benazar\Quorum Business Solutions\Ecopetrol Prometeo - Documents\Planning Space Implementation\3. Analysis &amp; Design\Design\FC22\DRR Jaime\QUIFA-CAJÚA\Cajua\[VAS_CAJUA_CF_SEC_20230125.xlsx]CF PS'!$BU$69</t>
  </si>
  <si>
    <t>='C:\Users\jaime.benazar\Quorum Business Solutions\Ecopetrol Prometeo - Documents\Planning Space Implementation\3. Analysis &amp; Design\Design\FC22\DRR Jaime\QUIFA-CAJÚA\Cajua\[VAS_CAJUA_CF_SEC_20230125.xlsx]CF PS'!$BU$70</t>
  </si>
  <si>
    <t>='C:\Users\jaime.benazar\Quorum Business Solutions\Ecopetrol Prometeo - Documents\Planning Space Implementation\3. Analysis &amp; Design\Design\FC22\DRR Jaime\QUIFA-CAJÚA\Cajua\[VAS_CAJUA_CF_SEC_20230125.xlsx]CF PS'!$BU$71</t>
  </si>
  <si>
    <t>='C:\Users\jaime.benazar\Quorum Business Solutions\Ecopetrol Prometeo - Documents\Planning Space Implementation\3. Analysis &amp; Design\Design\FC22\DRR Jaime\QUIFA-CAJÚA\Cajua\[VAS_CAJUA_CF_SEC_20230125.xlsx]CF PS'!$BU$72</t>
  </si>
  <si>
    <t>='C:\Users\jaime.benazar\Quorum Business Solutions\Ecopetrol Prometeo - Documents\Planning Space Implementation\3. Analysis &amp; Design\Design\FC22\DRR Jaime\QUIFA-CAJÚA\Cajua\[VAS_CAJUA_CF_SEC_20230125.xlsx]CF PDP'!$CT$36</t>
  </si>
  <si>
    <t>='C:\Users\jaime.benazar\Quorum Business Solutions\Ecopetrol Prometeo - Documents\Planning Space Implementation\3. Analysis &amp; Design\Design\FC22\DRR Jaime\QUIFA-CAJÚA\Cajua\[VAS_CAJUA_CF_SEC_20230125.xlsx]CF PDP'!$CT$37</t>
  </si>
  <si>
    <t>='C:\Users\jaime.benazar\Quorum Business Solutions\Ecopetrol Prometeo - Documents\Planning Space Implementation\3. Analysis &amp; Design\Design\FC22\DRR Jaime\QUIFA-CAJÚA\Cajua\[VAS_CAJUA_CF_SEC_20230125.xlsx]CF PDP'!$CT$38</t>
  </si>
  <si>
    <t>='C:\Users\jaime.benazar\Quorum Business Solutions\Ecopetrol Prometeo - Documents\Planning Space Implementation\3. Analysis &amp; Design\Design\FC22\DRR Jaime\QUIFA-CAJÚA\Cajua\[VAS_CAJUA_CF_SEC_20230125.xlsx]CF PDP'!$CT$39</t>
  </si>
  <si>
    <t>='C:\Users\jaime.benazar\Quorum Business Solutions\Ecopetrol Prometeo - Documents\Planning Space Implementation\3. Analysis &amp; Design\Design\FC22\DRR Jaime\QUIFA-CAJÚA\Cajua\[VAS_CAJUA_CF_SEC_20230125.xlsx]CF PDP'!$CT$40</t>
  </si>
  <si>
    <t>='C:\Users\jaime.benazar\Quorum Business Solutions\Ecopetrol Prometeo - Documents\Planning Space Implementation\3. Analysis &amp; Design\Design\FC22\DRR Jaime\QUIFA-CAJÚA\Cajua\[VAS_CAJUA_CF_SEC_20230125.xlsx]CF PDP'!$CT$41</t>
  </si>
  <si>
    <t>='C:\Users\jaime.benazar\Quorum Business Solutions\Ecopetrol Prometeo - Documents\Planning Space Implementation\3. Analysis &amp; Design\Design\FC22\DRR Jaime\QUIFA-CAJÚA\Cajua\[VAS_CAJUA_CF_SEC_20230125.xlsx]CF PDP'!$CT$42</t>
  </si>
  <si>
    <t>='C:\Users\jaime.benazar\Quorum Business Solutions\Ecopetrol Prometeo - Documents\Planning Space Implementation\3. Analysis &amp; Design\Design\FC22\DRR Jaime\QUIFA-CAJÚA\Cajua\[VAS_CAJUA_CF_SEC_20230125.xlsx]CF PDP'!$CT$43</t>
  </si>
  <si>
    <t>='C:\Users\jaime.benazar\Quorum Business Solutions\Ecopetrol Prometeo - Documents\Planning Space Implementation\3. Analysis &amp; Design\Design\FC22\DRR Jaime\QUIFA-CAJÚA\Cajua\[VAS_CAJUA_CF_SEC_20230125.xlsx]CF PDP'!$CT$44</t>
  </si>
  <si>
    <t>='C:\Users\jaime.benazar\Quorum Business Solutions\Ecopetrol Prometeo - Documents\Planning Space Implementation\3. Analysis &amp; Design\Design\FC22\DRR Jaime\QUIFA-CAJÚA\Cajua\[VAS_CAJUA_CF_SEC_20230125.xlsx]CF PDP'!$CT$45</t>
  </si>
  <si>
    <t>='C:\Users\jaime.benazar\Quorum Business Solutions\Ecopetrol Prometeo - Documents\Planning Space Implementation\3. Analysis &amp; Design\Design\FC22\DRR Jaime\QUIFA-CAJÚA\Cajua\[VAS_CAJUA_CF_SEC_20230125.xlsx]CF PDP'!$CT$46</t>
  </si>
  <si>
    <t>='C:\Users\jaime.benazar\Quorum Business Solutions\Ecopetrol Prometeo - Documents\Planning Space Implementation\3. Analysis &amp; Design\Design\FC22\DRR Jaime\QUIFA-CAJÚA\Cajua\[VAS_CAJUA_CF_SEC_20230125.xlsx]CF PDP'!$CT$47</t>
  </si>
  <si>
    <t>='C:\Users\jaime.benazar\Quorum Business Solutions\Ecopetrol Prometeo - Documents\Planning Space Implementation\3. Analysis &amp; Design\Design\FC22\DRR Jaime\QUIFA-CAJÚA\Cajua\[VAS_CAJUA_CF_SEC_20230125.xlsx]CF PDP'!$CT$48</t>
  </si>
  <si>
    <t>='C:\Users\jaime.benazar\Quorum Business Solutions\Ecopetrol Prometeo - Documents\Planning Space Implementation\3. Analysis &amp; Design\Design\FC22\DRR Jaime\QUIFA-CAJÚA\Cajua\[VAS_CAJUA_CF_SEC_20230125.xlsx]CF PDP'!$CT$49</t>
  </si>
  <si>
    <t>='C:\Users\jaime.benazar\Quorum Business Solutions\Ecopetrol Prometeo - Documents\Planning Space Implementation\3. Analysis &amp; Design\Design\FC22\DRR Jaime\QUIFA-CAJÚA\Cajua\[VAS_CAJUA_CF_SEC_20230125.xlsx]CF PDP'!$CT$50</t>
  </si>
  <si>
    <t>='C:\Users\jaime.benazar\Quorum Business Solutions\Ecopetrol Prometeo - Documents\Planning Space Implementation\3. Analysis &amp; Design\Design\FC22\DRR Jaime\QUIFA-CAJÚA\Cajua\[VAS_CAJUA_CF_SEC_20230125.xlsx]CF PDP'!$CT$51</t>
  </si>
  <si>
    <t>='C:\Users\jaime.benazar\Quorum Business Solutions\Ecopetrol Prometeo - Documents\Planning Space Implementation\3. Analysis &amp; Design\Design\FC22\DRR Jaime\QUIFA-CAJÚA\Cajua\[VAS_CAJUA_CF_SEC_20230125.xlsx]CF PDP'!$CT$52</t>
  </si>
  <si>
    <t>='C:\Users\jaime.benazar\Quorum Business Solutions\Ecopetrol Prometeo - Documents\Planning Space Implementation\3. Analysis &amp; Design\Design\FC22\DRR Jaime\QUIFA-CAJÚA\Cajua\[VAS_CAJUA_CF_SEC_20230125.xlsx]CF PDP'!$CT$53</t>
  </si>
  <si>
    <t>='C:\Users\jaime.benazar\Quorum Business Solutions\Ecopetrol Prometeo - Documents\Planning Space Implementation\3. Analysis &amp; Design\Design\FC22\DRR Jaime\QUIFA-CAJÚA\Cajua\[VAS_CAJUA_CF_SEC_20230125.xlsx]CF PDP'!$CT$54</t>
  </si>
  <si>
    <t>='C:\Users\jaime.benazar\Quorum Business Solutions\Ecopetrol Prometeo - Documents\Planning Space Implementation\3. Analysis &amp; Design\Design\FC22\DRR Jaime\QUIFA-CAJÚA\Cajua\[VAS_CAJUA_CF_SEC_20230125.xlsx]CF PDP'!$CT$55</t>
  </si>
  <si>
    <t>='C:\Users\jaime.benazar\Quorum Business Solutions\Ecopetrol Prometeo - Documents\Planning Space Implementation\3. Analysis &amp; Design\Design\FC22\DRR Jaime\QUIFA-CAJÚA\Cajua\[VAS_CAJUA_CF_SEC_20230125.xlsx]CF PDP'!$CT$56</t>
  </si>
  <si>
    <t>='C:\Users\jaime.benazar\Quorum Business Solutions\Ecopetrol Prometeo - Documents\Planning Space Implementation\3. Analysis &amp; Design\Design\FC22\DRR Jaime\QUIFA-CAJÚA\Cajua\[VAS_CAJUA_CF_SEC_20230125.xlsx]CF PDP'!$CT$57</t>
  </si>
  <si>
    <t>='C:\Users\jaime.benazar\Quorum Business Solutions\Ecopetrol Prometeo - Documents\Planning Space Implementation\3. Analysis &amp; Design\Design\FC22\DRR Jaime\QUIFA-CAJÚA\Cajua\[VAS_CAJUA_CF_SEC_20230125.xlsx]CF PDP'!$CT$58</t>
  </si>
  <si>
    <t>='C:\Users\jaime.benazar\Quorum Business Solutions\Ecopetrol Prometeo - Documents\Planning Space Implementation\3. Analysis &amp; Design\Design\FC22\DRR Jaime\QUIFA-CAJÚA\Cajua\[VAS_CAJUA_CF_SEC_20230125.xlsx]CF PDP'!$CT$59</t>
  </si>
  <si>
    <t>='C:\Users\jaime.benazar\Quorum Business Solutions\Ecopetrol Prometeo - Documents\Planning Space Implementation\3. Analysis &amp; Design\Design\FC22\DRR Jaime\QUIFA-CAJÚA\Cajua\[VAS_CAJUA_CF_SEC_20230125.xlsx]CF PDP'!$CT$60</t>
  </si>
  <si>
    <t>='C:\Users\jaime.benazar\Quorum Business Solutions\Ecopetrol Prometeo - Documents\Planning Space Implementation\3. Analysis &amp; Design\Design\FC22\DRR Jaime\QUIFA-CAJÚA\Cajua\[VAS_CAJUA_CF_SEC_20230125.xlsx]CF PDP'!$CT$61</t>
  </si>
  <si>
    <t>='C:\Users\jaime.benazar\Quorum Business Solutions\Ecopetrol Prometeo - Documents\Planning Space Implementation\3. Analysis &amp; Design\Design\FC22\DRR Jaime\QUIFA-CAJÚA\Cajua\[VAS_CAJUA_CF_SEC_20230125.xlsx]CF PDP'!$CT$62</t>
  </si>
  <si>
    <t>='C:\Users\jaime.benazar\Quorum Business Solutions\Ecopetrol Prometeo - Documents\Planning Space Implementation\3. Analysis &amp; Design\Design\FC22\DRR Jaime\QUIFA-CAJÚA\Cajua\[VAS_CAJUA_CF_SEC_20230125.xlsx]CF PDP'!$CT$63</t>
  </si>
  <si>
    <t>='C:\Users\jaime.benazar\Quorum Business Solutions\Ecopetrol Prometeo - Documents\Planning Space Implementation\3. Analysis &amp; Design\Design\FC22\DRR Jaime\QUIFA-CAJÚA\Cajua\[VAS_CAJUA_CF_SEC_20230125.xlsx]CF PDP'!$CT$64</t>
  </si>
  <si>
    <t>='C:\Users\jaime.benazar\Quorum Business Solutions\Ecopetrol Prometeo - Documents\Planning Space Implementation\3. Analysis &amp; Design\Design\FC22\DRR Jaime\QUIFA-CAJÚA\Cajua\[VAS_CAJUA_CF_SEC_20230125.xlsx]CF PDP'!$CT$65</t>
  </si>
  <si>
    <t>='C:\Users\jaime.benazar\Quorum Business Solutions\Ecopetrol Prometeo - Documents\Planning Space Implementation\3. Analysis &amp; Design\Design\FC22\DRR Jaime\QUIFA-CAJÚA\Cajua\[VAS_CAJUA_CF_SEC_20230125.xlsx]CF PDP'!$CT$66</t>
  </si>
  <si>
    <t>='C:\Users\jaime.benazar\Quorum Business Solutions\Ecopetrol Prometeo - Documents\Planning Space Implementation\3. Analysis &amp; Design\Design\FC22\DRR Jaime\QUIFA-CAJÚA\Cajua\[VAS_CAJUA_CF_SEC_20230125.xlsx]CF PDP'!$CT$67</t>
  </si>
  <si>
    <t>='C:\Users\jaime.benazar\Quorum Business Solutions\Ecopetrol Prometeo - Documents\Planning Space Implementation\3. Analysis &amp; Design\Design\FC22\DRR Jaime\QUIFA-CAJÚA\Cajua\[VAS_CAJUA_CF_SEC_20230125.xlsx]CF PDP'!$CT$68</t>
  </si>
  <si>
    <t>='C:\Users\jaime.benazar\Quorum Business Solutions\Ecopetrol Prometeo - Documents\Planning Space Implementation\3. Analysis &amp; Design\Design\FC22\DRR Jaime\QUIFA-CAJÚA\Cajua\[VAS_CAJUA_CF_SEC_20230125.xlsx]CF PDP'!$CT$69</t>
  </si>
  <si>
    <t>='C:\Users\jaime.benazar\Quorum Business Solutions\Ecopetrol Prometeo - Documents\Planning Space Implementation\3. Analysis &amp; Design\Design\FC22\DRR Jaime\QUIFA-CAJÚA\Cajua\[VAS_CAJUA_CF_SEC_20230125.xlsx]CF PDP'!$CT$70</t>
  </si>
  <si>
    <t>='C:\Users\jaime.benazar\Quorum Business Solutions\Ecopetrol Prometeo - Documents\Planning Space Implementation\3. Analysis &amp; Design\Design\FC22\DRR Jaime\QUIFA-CAJÚA\Cajua\[VAS_CAJUA_CF_SEC_20230125.xlsx]CF PDP'!$CT$71</t>
  </si>
  <si>
    <t>='C:\Users\jaime.benazar\Quorum Business Solutions\Ecopetrol Prometeo - Documents\Planning Space Implementation\3. Analysis &amp; Design\Design\FC22\DRR Jaime\QUIFA-CAJÚA\Cajua\[VAS_CAJUA_CF_SEC_20230125.xlsx]CF PDP'!$CT$72</t>
  </si>
  <si>
    <t>='C:\Users\jaime.benazar\Quorum Business Solutions\Ecopetrol Prometeo - Documents\Planning Space Implementation\3. Analysis &amp; Design\Design\FC22\DRR Jaime\QUIFA-CAJÚA\Cajua\[VAS_CAJUA_CF_SEC_20230125.xlsx]CF PNP'!$CT$36</t>
  </si>
  <si>
    <t>='C:\Users\jaime.benazar\Quorum Business Solutions\Ecopetrol Prometeo - Documents\Planning Space Implementation\3. Analysis &amp; Design\Design\FC22\DRR Jaime\QUIFA-CAJÚA\Cajua\[VAS_CAJUA_CF_SEC_20230125.xlsx]CF PNP'!$CT$37</t>
  </si>
  <si>
    <t>='C:\Users\jaime.benazar\Quorum Business Solutions\Ecopetrol Prometeo - Documents\Planning Space Implementation\3. Analysis &amp; Design\Design\FC22\DRR Jaime\QUIFA-CAJÚA\Cajua\[VAS_CAJUA_CF_SEC_20230125.xlsx]CF PNP'!$CT$38</t>
  </si>
  <si>
    <t>='C:\Users\jaime.benazar\Quorum Business Solutions\Ecopetrol Prometeo - Documents\Planning Space Implementation\3. Analysis &amp; Design\Design\FC22\DRR Jaime\QUIFA-CAJÚA\Cajua\[VAS_CAJUA_CF_SEC_20230125.xlsx]CF PNP'!$CT$39</t>
  </si>
  <si>
    <t>='C:\Users\jaime.benazar\Quorum Business Solutions\Ecopetrol Prometeo - Documents\Planning Space Implementation\3. Analysis &amp; Design\Design\FC22\DRR Jaime\QUIFA-CAJÚA\Cajua\[VAS_CAJUA_CF_SEC_20230125.xlsx]CF PNP'!$CT$40</t>
  </si>
  <si>
    <t>='C:\Users\jaime.benazar\Quorum Business Solutions\Ecopetrol Prometeo - Documents\Planning Space Implementation\3. Analysis &amp; Design\Design\FC22\DRR Jaime\QUIFA-CAJÚA\Cajua\[VAS_CAJUA_CF_SEC_20230125.xlsx]CF PNP'!$CT$41</t>
  </si>
  <si>
    <t>='C:\Users\jaime.benazar\Quorum Business Solutions\Ecopetrol Prometeo - Documents\Planning Space Implementation\3. Analysis &amp; Design\Design\FC22\DRR Jaime\QUIFA-CAJÚA\Cajua\[VAS_CAJUA_CF_SEC_20230125.xlsx]CF PNP'!$CT$42</t>
  </si>
  <si>
    <t>='C:\Users\jaime.benazar\Quorum Business Solutions\Ecopetrol Prometeo - Documents\Planning Space Implementation\3. Analysis &amp; Design\Design\FC22\DRR Jaime\QUIFA-CAJÚA\Cajua\[VAS_CAJUA_CF_SEC_20230125.xlsx]CF PNP'!$CT$43</t>
  </si>
  <si>
    <t>='C:\Users\jaime.benazar\Quorum Business Solutions\Ecopetrol Prometeo - Documents\Planning Space Implementation\3. Analysis &amp; Design\Design\FC22\DRR Jaime\QUIFA-CAJÚA\Cajua\[VAS_CAJUA_CF_SEC_20230125.xlsx]CF PNP'!$CT$44</t>
  </si>
  <si>
    <t>='C:\Users\jaime.benazar\Quorum Business Solutions\Ecopetrol Prometeo - Documents\Planning Space Implementation\3. Analysis &amp; Design\Design\FC22\DRR Jaime\QUIFA-CAJÚA\Cajua\[VAS_CAJUA_CF_SEC_20230125.xlsx]CF PNP'!$CT$45</t>
  </si>
  <si>
    <t>='C:\Users\jaime.benazar\Quorum Business Solutions\Ecopetrol Prometeo - Documents\Planning Space Implementation\3. Analysis &amp; Design\Design\FC22\DRR Jaime\QUIFA-CAJÚA\Cajua\[VAS_CAJUA_CF_SEC_20230125.xlsx]CF PNP'!$CT$46</t>
  </si>
  <si>
    <t>='C:\Users\jaime.benazar\Quorum Business Solutions\Ecopetrol Prometeo - Documents\Planning Space Implementation\3. Analysis &amp; Design\Design\FC22\DRR Jaime\QUIFA-CAJÚA\Cajua\[VAS_CAJUA_CF_SEC_20230125.xlsx]CF PNP'!$CT$47</t>
  </si>
  <si>
    <t>='C:\Users\jaime.benazar\Quorum Business Solutions\Ecopetrol Prometeo - Documents\Planning Space Implementation\3. Analysis &amp; Design\Design\FC22\DRR Jaime\QUIFA-CAJÚA\Cajua\[VAS_CAJUA_CF_SEC_20230125.xlsx]CF PNP'!$CT$48</t>
  </si>
  <si>
    <t>='C:\Users\jaime.benazar\Quorum Business Solutions\Ecopetrol Prometeo - Documents\Planning Space Implementation\3. Analysis &amp; Design\Design\FC22\DRR Jaime\QUIFA-CAJÚA\Cajua\[VAS_CAJUA_CF_SEC_20230125.xlsx]CF PNP'!$CT$49</t>
  </si>
  <si>
    <t>='C:\Users\jaime.benazar\Quorum Business Solutions\Ecopetrol Prometeo - Documents\Planning Space Implementation\3. Analysis &amp; Design\Design\FC22\DRR Jaime\QUIFA-CAJÚA\Cajua\[VAS_CAJUA_CF_SEC_20230125.xlsx]CF PNP'!$CT$50</t>
  </si>
  <si>
    <t>='C:\Users\jaime.benazar\Quorum Business Solutions\Ecopetrol Prometeo - Documents\Planning Space Implementation\3. Analysis &amp; Design\Design\FC22\DRR Jaime\QUIFA-CAJÚA\Cajua\[VAS_CAJUA_CF_SEC_20230125.xlsx]CF PNP'!$CT$51</t>
  </si>
  <si>
    <t>='C:\Users\jaime.benazar\Quorum Business Solutions\Ecopetrol Prometeo - Documents\Planning Space Implementation\3. Analysis &amp; Design\Design\FC22\DRR Jaime\QUIFA-CAJÚA\Cajua\[VAS_CAJUA_CF_SEC_20230125.xlsx]CF PNP'!$CT$52</t>
  </si>
  <si>
    <t>='C:\Users\jaime.benazar\Quorum Business Solutions\Ecopetrol Prometeo - Documents\Planning Space Implementation\3. Analysis &amp; Design\Design\FC22\DRR Jaime\QUIFA-CAJÚA\Cajua\[VAS_CAJUA_CF_SEC_20230125.xlsx]CF PNP'!$CT$53</t>
  </si>
  <si>
    <t>='C:\Users\jaime.benazar\Quorum Business Solutions\Ecopetrol Prometeo - Documents\Planning Space Implementation\3. Analysis &amp; Design\Design\FC22\DRR Jaime\QUIFA-CAJÚA\Cajua\[VAS_CAJUA_CF_SEC_20230125.xlsx]CF PNP'!$CT$54</t>
  </si>
  <si>
    <t>='C:\Users\jaime.benazar\Quorum Business Solutions\Ecopetrol Prometeo - Documents\Planning Space Implementation\3. Analysis &amp; Design\Design\FC22\DRR Jaime\QUIFA-CAJÚA\Cajua\[VAS_CAJUA_CF_SEC_20230125.xlsx]CF PNP'!$CT$55</t>
  </si>
  <si>
    <t>='C:\Users\jaime.benazar\Quorum Business Solutions\Ecopetrol Prometeo - Documents\Planning Space Implementation\3. Analysis &amp; Design\Design\FC22\DRR Jaime\QUIFA-CAJÚA\Cajua\[VAS_CAJUA_CF_SEC_20230125.xlsx]CF PNP'!$CT$56</t>
  </si>
  <si>
    <t>='C:\Users\jaime.benazar\Quorum Business Solutions\Ecopetrol Prometeo - Documents\Planning Space Implementation\3. Analysis &amp; Design\Design\FC22\DRR Jaime\QUIFA-CAJÚA\Cajua\[VAS_CAJUA_CF_SEC_20230125.xlsx]CF PNP'!$CT$57</t>
  </si>
  <si>
    <t>='C:\Users\jaime.benazar\Quorum Business Solutions\Ecopetrol Prometeo - Documents\Planning Space Implementation\3. Analysis &amp; Design\Design\FC22\DRR Jaime\QUIFA-CAJÚA\Cajua\[VAS_CAJUA_CF_SEC_20230125.xlsx]CF PNP'!$CT$58</t>
  </si>
  <si>
    <t>='C:\Users\jaime.benazar\Quorum Business Solutions\Ecopetrol Prometeo - Documents\Planning Space Implementation\3. Analysis &amp; Design\Design\FC22\DRR Jaime\QUIFA-CAJÚA\Cajua\[VAS_CAJUA_CF_SEC_20230125.xlsx]CF PNP'!$CT$59</t>
  </si>
  <si>
    <t>='C:\Users\jaime.benazar\Quorum Business Solutions\Ecopetrol Prometeo - Documents\Planning Space Implementation\3. Analysis &amp; Design\Design\FC22\DRR Jaime\QUIFA-CAJÚA\Cajua\[VAS_CAJUA_CF_SEC_20230125.xlsx]CF PNP'!$CT$60</t>
  </si>
  <si>
    <t>='C:\Users\jaime.benazar\Quorum Business Solutions\Ecopetrol Prometeo - Documents\Planning Space Implementation\3. Analysis &amp; Design\Design\FC22\DRR Jaime\QUIFA-CAJÚA\Cajua\[VAS_CAJUA_CF_SEC_20230125.xlsx]CF PNP'!$CT$61</t>
  </si>
  <si>
    <t>='C:\Users\jaime.benazar\Quorum Business Solutions\Ecopetrol Prometeo - Documents\Planning Space Implementation\3. Analysis &amp; Design\Design\FC22\DRR Jaime\QUIFA-CAJÚA\Cajua\[VAS_CAJUA_CF_SEC_20230125.xlsx]CF PNP'!$CT$62</t>
  </si>
  <si>
    <t>='C:\Users\jaime.benazar\Quorum Business Solutions\Ecopetrol Prometeo - Documents\Planning Space Implementation\3. Analysis &amp; Design\Design\FC22\DRR Jaime\QUIFA-CAJÚA\Cajua\[VAS_CAJUA_CF_SEC_20230125.xlsx]CF PNP'!$CT$63</t>
  </si>
  <si>
    <t>='C:\Users\jaime.benazar\Quorum Business Solutions\Ecopetrol Prometeo - Documents\Planning Space Implementation\3. Analysis &amp; Design\Design\FC22\DRR Jaime\QUIFA-CAJÚA\Cajua\[VAS_CAJUA_CF_SEC_20230125.xlsx]CF PNP'!$CT$64</t>
  </si>
  <si>
    <t>='C:\Users\jaime.benazar\Quorum Business Solutions\Ecopetrol Prometeo - Documents\Planning Space Implementation\3. Analysis &amp; Design\Design\FC22\DRR Jaime\QUIFA-CAJÚA\Cajua\[VAS_CAJUA_CF_SEC_20230125.xlsx]CF PNP'!$CT$65</t>
  </si>
  <si>
    <t>='C:\Users\jaime.benazar\Quorum Business Solutions\Ecopetrol Prometeo - Documents\Planning Space Implementation\3. Analysis &amp; Design\Design\FC22\DRR Jaime\QUIFA-CAJÚA\Cajua\[VAS_CAJUA_CF_SEC_20230125.xlsx]CF PNP'!$CT$66</t>
  </si>
  <si>
    <t>='C:\Users\jaime.benazar\Quorum Business Solutions\Ecopetrol Prometeo - Documents\Planning Space Implementation\3. Analysis &amp; Design\Design\FC22\DRR Jaime\QUIFA-CAJÚA\Cajua\[VAS_CAJUA_CF_SEC_20230125.xlsx]CF PNP'!$CT$67</t>
  </si>
  <si>
    <t>='C:\Users\jaime.benazar\Quorum Business Solutions\Ecopetrol Prometeo - Documents\Planning Space Implementation\3. Analysis &amp; Design\Design\FC22\DRR Jaime\QUIFA-CAJÚA\Cajua\[VAS_CAJUA_CF_SEC_20230125.xlsx]CF PNP'!$CT$68</t>
  </si>
  <si>
    <t>='C:\Users\jaime.benazar\Quorum Business Solutions\Ecopetrol Prometeo - Documents\Planning Space Implementation\3. Analysis &amp; Design\Design\FC22\DRR Jaime\QUIFA-CAJÚA\Cajua\[VAS_CAJUA_CF_SEC_20230125.xlsx]CF PNP'!$CT$69</t>
  </si>
  <si>
    <t>='C:\Users\jaime.benazar\Quorum Business Solutions\Ecopetrol Prometeo - Documents\Planning Space Implementation\3. Analysis &amp; Design\Design\FC22\DRR Jaime\QUIFA-CAJÚA\Cajua\[VAS_CAJUA_CF_SEC_20230125.xlsx]CF PNP'!$CT$70</t>
  </si>
  <si>
    <t>='C:\Users\jaime.benazar\Quorum Business Solutions\Ecopetrol Prometeo - Documents\Planning Space Implementation\3. Analysis &amp; Design\Design\FC22\DRR Jaime\QUIFA-CAJÚA\Cajua\[VAS_CAJUA_CF_SEC_20230125.xlsx]CF PNP'!$CT$71</t>
  </si>
  <si>
    <t>='C:\Users\jaime.benazar\Quorum Business Solutions\Ecopetrol Prometeo - Documents\Planning Space Implementation\3. Analysis &amp; Design\Design\FC22\DRR Jaime\QUIFA-CAJÚA\Cajua\[VAS_CAJUA_CF_SEC_20230125.xlsx]CF PNP'!$CT$72</t>
  </si>
  <si>
    <t>='C:\Users\jaime.benazar\Quorum Business Solutions\Ecopetrol Prometeo - Documents\Planning Space Implementation\3. Analysis &amp; Design\Design\FC22\DRR Jaime\QUIFA-CAJÚA\Cajua\[VAS_CAJUA_CF_SEC_20230125.xlsx]CF PND'!$CT$36</t>
  </si>
  <si>
    <t>='C:\Users\jaime.benazar\Quorum Business Solutions\Ecopetrol Prometeo - Documents\Planning Space Implementation\3. Analysis &amp; Design\Design\FC22\DRR Jaime\QUIFA-CAJÚA\Cajua\[VAS_CAJUA_CF_SEC_20230125.xlsx]CF PND'!$CT$37</t>
  </si>
  <si>
    <t>='C:\Users\jaime.benazar\Quorum Business Solutions\Ecopetrol Prometeo - Documents\Planning Space Implementation\3. Analysis &amp; Design\Design\FC22\DRR Jaime\QUIFA-CAJÚA\Cajua\[VAS_CAJUA_CF_SEC_20230125.xlsx]CF PND'!$CT$38</t>
  </si>
  <si>
    <t>='C:\Users\jaime.benazar\Quorum Business Solutions\Ecopetrol Prometeo - Documents\Planning Space Implementation\3. Analysis &amp; Design\Design\FC22\DRR Jaime\QUIFA-CAJÚA\Cajua\[VAS_CAJUA_CF_SEC_20230125.xlsx]CF PND'!$CT$39</t>
  </si>
  <si>
    <t>='C:\Users\jaime.benazar\Quorum Business Solutions\Ecopetrol Prometeo - Documents\Planning Space Implementation\3. Analysis &amp; Design\Design\FC22\DRR Jaime\QUIFA-CAJÚA\Cajua\[VAS_CAJUA_CF_SEC_20230125.xlsx]CF PND'!$CT$40</t>
  </si>
  <si>
    <t>='C:\Users\jaime.benazar\Quorum Business Solutions\Ecopetrol Prometeo - Documents\Planning Space Implementation\3. Analysis &amp; Design\Design\FC22\DRR Jaime\QUIFA-CAJÚA\Cajua\[VAS_CAJUA_CF_SEC_20230125.xlsx]CF PND'!$CT$41</t>
  </si>
  <si>
    <t>='C:\Users\jaime.benazar\Quorum Business Solutions\Ecopetrol Prometeo - Documents\Planning Space Implementation\3. Analysis &amp; Design\Design\FC22\DRR Jaime\QUIFA-CAJÚA\Cajua\[VAS_CAJUA_CF_SEC_20230125.xlsx]CF PND'!$CT$42</t>
  </si>
  <si>
    <t>='C:\Users\jaime.benazar\Quorum Business Solutions\Ecopetrol Prometeo - Documents\Planning Space Implementation\3. Analysis &amp; Design\Design\FC22\DRR Jaime\QUIFA-CAJÚA\Cajua\[VAS_CAJUA_CF_SEC_20230125.xlsx]CF PND'!$CT$43</t>
  </si>
  <si>
    <t>='C:\Users\jaime.benazar\Quorum Business Solutions\Ecopetrol Prometeo - Documents\Planning Space Implementation\3. Analysis &amp; Design\Design\FC22\DRR Jaime\QUIFA-CAJÚA\Cajua\[VAS_CAJUA_CF_SEC_20230125.xlsx]CF PND'!$CT$44</t>
  </si>
  <si>
    <t>='C:\Users\jaime.benazar\Quorum Business Solutions\Ecopetrol Prometeo - Documents\Planning Space Implementation\3. Analysis &amp; Design\Design\FC22\DRR Jaime\QUIFA-CAJÚA\Cajua\[VAS_CAJUA_CF_SEC_20230125.xlsx]CF PND'!$CT$45</t>
  </si>
  <si>
    <t>='C:\Users\jaime.benazar\Quorum Business Solutions\Ecopetrol Prometeo - Documents\Planning Space Implementation\3. Analysis &amp; Design\Design\FC22\DRR Jaime\QUIFA-CAJÚA\Cajua\[VAS_CAJUA_CF_SEC_20230125.xlsx]CF PND'!$CT$46</t>
  </si>
  <si>
    <t>='C:\Users\jaime.benazar\Quorum Business Solutions\Ecopetrol Prometeo - Documents\Planning Space Implementation\3. Analysis &amp; Design\Design\FC22\DRR Jaime\QUIFA-CAJÚA\Cajua\[VAS_CAJUA_CF_SEC_20230125.xlsx]CF PND'!$CT$47</t>
  </si>
  <si>
    <t>='C:\Users\jaime.benazar\Quorum Business Solutions\Ecopetrol Prometeo - Documents\Planning Space Implementation\3. Analysis &amp; Design\Design\FC22\DRR Jaime\QUIFA-CAJÚA\Cajua\[VAS_CAJUA_CF_SEC_20230125.xlsx]CF PND'!$CT$48</t>
  </si>
  <si>
    <t>='C:\Users\jaime.benazar\Quorum Business Solutions\Ecopetrol Prometeo - Documents\Planning Space Implementation\3. Analysis &amp; Design\Design\FC22\DRR Jaime\QUIFA-CAJÚA\Cajua\[VAS_CAJUA_CF_SEC_20230125.xlsx]CF PND'!$CT$49</t>
  </si>
  <si>
    <t>='C:\Users\jaime.benazar\Quorum Business Solutions\Ecopetrol Prometeo - Documents\Planning Space Implementation\3. Analysis &amp; Design\Design\FC22\DRR Jaime\QUIFA-CAJÚA\Cajua\[VAS_CAJUA_CF_SEC_20230125.xlsx]CF PND'!$CT$50</t>
  </si>
  <si>
    <t>='C:\Users\jaime.benazar\Quorum Business Solutions\Ecopetrol Prometeo - Documents\Planning Space Implementation\3. Analysis &amp; Design\Design\FC22\DRR Jaime\QUIFA-CAJÚA\Cajua\[VAS_CAJUA_CF_SEC_20230125.xlsx]CF PND'!$CT$51</t>
  </si>
  <si>
    <t>='C:\Users\jaime.benazar\Quorum Business Solutions\Ecopetrol Prometeo - Documents\Planning Space Implementation\3. Analysis &amp; Design\Design\FC22\DRR Jaime\QUIFA-CAJÚA\Cajua\[VAS_CAJUA_CF_SEC_20230125.xlsx]CF PND'!$CT$52</t>
  </si>
  <si>
    <t>='C:\Users\jaime.benazar\Quorum Business Solutions\Ecopetrol Prometeo - Documents\Planning Space Implementation\3. Analysis &amp; Design\Design\FC22\DRR Jaime\QUIFA-CAJÚA\Cajua\[VAS_CAJUA_CF_SEC_20230125.xlsx]CF PND'!$CT$53</t>
  </si>
  <si>
    <t>='C:\Users\jaime.benazar\Quorum Business Solutions\Ecopetrol Prometeo - Documents\Planning Space Implementation\3. Analysis &amp; Design\Design\FC22\DRR Jaime\QUIFA-CAJÚA\Cajua\[VAS_CAJUA_CF_SEC_20230125.xlsx]CF PND'!$CT$54</t>
  </si>
  <si>
    <t>='C:\Users\jaime.benazar\Quorum Business Solutions\Ecopetrol Prometeo - Documents\Planning Space Implementation\3. Analysis &amp; Design\Design\FC22\DRR Jaime\QUIFA-CAJÚA\Cajua\[VAS_CAJUA_CF_SEC_20230125.xlsx]CF PND'!$CT$55</t>
  </si>
  <si>
    <t>='C:\Users\jaime.benazar\Quorum Business Solutions\Ecopetrol Prometeo - Documents\Planning Space Implementation\3. Analysis &amp; Design\Design\FC22\DRR Jaime\QUIFA-CAJÚA\Cajua\[VAS_CAJUA_CF_SEC_20230125.xlsx]CF PND'!$CT$56</t>
  </si>
  <si>
    <t>='C:\Users\jaime.benazar\Quorum Business Solutions\Ecopetrol Prometeo - Documents\Planning Space Implementation\3. Analysis &amp; Design\Design\FC22\DRR Jaime\QUIFA-CAJÚA\Cajua\[VAS_CAJUA_CF_SEC_20230125.xlsx]CF PND'!$CT$57</t>
  </si>
  <si>
    <t>='C:\Users\jaime.benazar\Quorum Business Solutions\Ecopetrol Prometeo - Documents\Planning Space Implementation\3. Analysis &amp; Design\Design\FC22\DRR Jaime\QUIFA-CAJÚA\Cajua\[VAS_CAJUA_CF_SEC_20230125.xlsx]CF PND'!$CT$58</t>
  </si>
  <si>
    <t>='C:\Users\jaime.benazar\Quorum Business Solutions\Ecopetrol Prometeo - Documents\Planning Space Implementation\3. Analysis &amp; Design\Design\FC22\DRR Jaime\QUIFA-CAJÚA\Cajua\[VAS_CAJUA_CF_SEC_20230125.xlsx]CF PND'!$CT$59</t>
  </si>
  <si>
    <t>='C:\Users\jaime.benazar\Quorum Business Solutions\Ecopetrol Prometeo - Documents\Planning Space Implementation\3. Analysis &amp; Design\Design\FC22\DRR Jaime\QUIFA-CAJÚA\Cajua\[VAS_CAJUA_CF_SEC_20230125.xlsx]CF PND'!$CT$60</t>
  </si>
  <si>
    <t>='C:\Users\jaime.benazar\Quorum Business Solutions\Ecopetrol Prometeo - Documents\Planning Space Implementation\3. Analysis &amp; Design\Design\FC22\DRR Jaime\QUIFA-CAJÚA\Cajua\[VAS_CAJUA_CF_SEC_20230125.xlsx]CF PND'!$CT$61</t>
  </si>
  <si>
    <t>='C:\Users\jaime.benazar\Quorum Business Solutions\Ecopetrol Prometeo - Documents\Planning Space Implementation\3. Analysis &amp; Design\Design\FC22\DRR Jaime\QUIFA-CAJÚA\Cajua\[VAS_CAJUA_CF_SEC_20230125.xlsx]CF PND'!$CT$62</t>
  </si>
  <si>
    <t>='C:\Users\jaime.benazar\Quorum Business Solutions\Ecopetrol Prometeo - Documents\Planning Space Implementation\3. Analysis &amp; Design\Design\FC22\DRR Jaime\QUIFA-CAJÚA\Cajua\[VAS_CAJUA_CF_SEC_20230125.xlsx]CF PND'!$CT$63</t>
  </si>
  <si>
    <t>='C:\Users\jaime.benazar\Quorum Business Solutions\Ecopetrol Prometeo - Documents\Planning Space Implementation\3. Analysis &amp; Design\Design\FC22\DRR Jaime\QUIFA-CAJÚA\Cajua\[VAS_CAJUA_CF_SEC_20230125.xlsx]CF PND'!$CT$64</t>
  </si>
  <si>
    <t>='C:\Users\jaime.benazar\Quorum Business Solutions\Ecopetrol Prometeo - Documents\Planning Space Implementation\3. Analysis &amp; Design\Design\FC22\DRR Jaime\QUIFA-CAJÚA\Cajua\[VAS_CAJUA_CF_SEC_20230125.xlsx]CF PND'!$CT$65</t>
  </si>
  <si>
    <t>='C:\Users\jaime.benazar\Quorum Business Solutions\Ecopetrol Prometeo - Documents\Planning Space Implementation\3. Analysis &amp; Design\Design\FC22\DRR Jaime\QUIFA-CAJÚA\Cajua\[VAS_CAJUA_CF_SEC_20230125.xlsx]CF PND'!$CT$66</t>
  </si>
  <si>
    <t>='C:\Users\jaime.benazar\Quorum Business Solutions\Ecopetrol Prometeo - Documents\Planning Space Implementation\3. Analysis &amp; Design\Design\FC22\DRR Jaime\QUIFA-CAJÚA\Cajua\[VAS_CAJUA_CF_SEC_20230125.xlsx]CF PND'!$CT$67</t>
  </si>
  <si>
    <t>='C:\Users\jaime.benazar\Quorum Business Solutions\Ecopetrol Prometeo - Documents\Planning Space Implementation\3. Analysis &amp; Design\Design\FC22\DRR Jaime\QUIFA-CAJÚA\Cajua\[VAS_CAJUA_CF_SEC_20230125.xlsx]CF PND'!$CT$68</t>
  </si>
  <si>
    <t>='C:\Users\jaime.benazar\Quorum Business Solutions\Ecopetrol Prometeo - Documents\Planning Space Implementation\3. Analysis &amp; Design\Design\FC22\DRR Jaime\QUIFA-CAJÚA\Cajua\[VAS_CAJUA_CF_SEC_20230125.xlsx]CF PND'!$CT$69</t>
  </si>
  <si>
    <t>='C:\Users\jaime.benazar\Quorum Business Solutions\Ecopetrol Prometeo - Documents\Planning Space Implementation\3. Analysis &amp; Design\Design\FC22\DRR Jaime\QUIFA-CAJÚA\Cajua\[VAS_CAJUA_CF_SEC_20230125.xlsx]CF PND'!$CT$70</t>
  </si>
  <si>
    <t>='C:\Users\jaime.benazar\Quorum Business Solutions\Ecopetrol Prometeo - Documents\Planning Space Implementation\3. Analysis &amp; Design\Design\FC22\DRR Jaime\QUIFA-CAJÚA\Cajua\[VAS_CAJUA_CF_SEC_20230125.xlsx]CF PND'!$CT$71</t>
  </si>
  <si>
    <t>='C:\Users\jaime.benazar\Quorum Business Solutions\Ecopetrol Prometeo - Documents\Planning Space Implementation\3. Analysis &amp; Design\Design\FC22\DRR Jaime\QUIFA-CAJÚA\Cajua\[VAS_CAJUA_CF_SEC_20230125.xlsx]CF PND'!$CT$72</t>
  </si>
  <si>
    <t>='C:\Users\jaime.benazar\Quorum Business Solutions\Ecopetrol Prometeo - Documents\Planning Space Implementation\3. Analysis &amp; Design\Design\FC22\DRR Jaime\QUIFA-CAJÚA\Cajua\[VAS_CAJUA_CF_SEC_20230125.xlsx]CF PRB'!$CT$36</t>
  </si>
  <si>
    <t>='C:\Users\jaime.benazar\Quorum Business Solutions\Ecopetrol Prometeo - Documents\Planning Space Implementation\3. Analysis &amp; Design\Design\FC22\DRR Jaime\QUIFA-CAJÚA\Cajua\[VAS_CAJUA_CF_SEC_20230125.xlsx]CF PRB'!$CT$37</t>
  </si>
  <si>
    <t>='C:\Users\jaime.benazar\Quorum Business Solutions\Ecopetrol Prometeo - Documents\Planning Space Implementation\3. Analysis &amp; Design\Design\FC22\DRR Jaime\QUIFA-CAJÚA\Cajua\[VAS_CAJUA_CF_SEC_20230125.xlsx]CF PRB'!$CT$38</t>
  </si>
  <si>
    <t>='C:\Users\jaime.benazar\Quorum Business Solutions\Ecopetrol Prometeo - Documents\Planning Space Implementation\3. Analysis &amp; Design\Design\FC22\DRR Jaime\QUIFA-CAJÚA\Cajua\[VAS_CAJUA_CF_SEC_20230125.xlsx]CF PRB'!$CT$39</t>
  </si>
  <si>
    <t>='C:\Users\jaime.benazar\Quorum Business Solutions\Ecopetrol Prometeo - Documents\Planning Space Implementation\3. Analysis &amp; Design\Design\FC22\DRR Jaime\QUIFA-CAJÚA\Cajua\[VAS_CAJUA_CF_SEC_20230125.xlsx]CF PRB'!$CT$40</t>
  </si>
  <si>
    <t>='C:\Users\jaime.benazar\Quorum Business Solutions\Ecopetrol Prometeo - Documents\Planning Space Implementation\3. Analysis &amp; Design\Design\FC22\DRR Jaime\QUIFA-CAJÚA\Cajua\[VAS_CAJUA_CF_SEC_20230125.xlsx]CF PRB'!$CT$41</t>
  </si>
  <si>
    <t>='C:\Users\jaime.benazar\Quorum Business Solutions\Ecopetrol Prometeo - Documents\Planning Space Implementation\3. Analysis &amp; Design\Design\FC22\DRR Jaime\QUIFA-CAJÚA\Cajua\[VAS_CAJUA_CF_SEC_20230125.xlsx]CF PRB'!$CT$42</t>
  </si>
  <si>
    <t>='C:\Users\jaime.benazar\Quorum Business Solutions\Ecopetrol Prometeo - Documents\Planning Space Implementation\3. Analysis &amp; Design\Design\FC22\DRR Jaime\QUIFA-CAJÚA\Cajua\[VAS_CAJUA_CF_SEC_20230125.xlsx]CF PRB'!$CT$43</t>
  </si>
  <si>
    <t>='C:\Users\jaime.benazar\Quorum Business Solutions\Ecopetrol Prometeo - Documents\Planning Space Implementation\3. Analysis &amp; Design\Design\FC22\DRR Jaime\QUIFA-CAJÚA\Cajua\[VAS_CAJUA_CF_SEC_20230125.xlsx]CF PRB'!$CT$44</t>
  </si>
  <si>
    <t>='C:\Users\jaime.benazar\Quorum Business Solutions\Ecopetrol Prometeo - Documents\Planning Space Implementation\3. Analysis &amp; Design\Design\FC22\DRR Jaime\QUIFA-CAJÚA\Cajua\[VAS_CAJUA_CF_SEC_20230125.xlsx]CF PRB'!$CT$45</t>
  </si>
  <si>
    <t>='C:\Users\jaime.benazar\Quorum Business Solutions\Ecopetrol Prometeo - Documents\Planning Space Implementation\3. Analysis &amp; Design\Design\FC22\DRR Jaime\QUIFA-CAJÚA\Cajua\[VAS_CAJUA_CF_SEC_20230125.xlsx]CF PRB'!$CT$46</t>
  </si>
  <si>
    <t>='C:\Users\jaime.benazar\Quorum Business Solutions\Ecopetrol Prometeo - Documents\Planning Space Implementation\3. Analysis &amp; Design\Design\FC22\DRR Jaime\QUIFA-CAJÚA\Cajua\[VAS_CAJUA_CF_SEC_20230125.xlsx]CF PRB'!$CT$47</t>
  </si>
  <si>
    <t>='C:\Users\jaime.benazar\Quorum Business Solutions\Ecopetrol Prometeo - Documents\Planning Space Implementation\3. Analysis &amp; Design\Design\FC22\DRR Jaime\QUIFA-CAJÚA\Cajua\[VAS_CAJUA_CF_SEC_20230125.xlsx]CF PRB'!$CT$48</t>
  </si>
  <si>
    <t>='C:\Users\jaime.benazar\Quorum Business Solutions\Ecopetrol Prometeo - Documents\Planning Space Implementation\3. Analysis &amp; Design\Design\FC22\DRR Jaime\QUIFA-CAJÚA\Cajua\[VAS_CAJUA_CF_SEC_20230125.xlsx]CF PRB'!$CT$49</t>
  </si>
  <si>
    <t>='C:\Users\jaime.benazar\Quorum Business Solutions\Ecopetrol Prometeo - Documents\Planning Space Implementation\3. Analysis &amp; Design\Design\FC22\DRR Jaime\QUIFA-CAJÚA\Cajua\[VAS_CAJUA_CF_SEC_20230125.xlsx]CF PRB'!$CT$50</t>
  </si>
  <si>
    <t>='C:\Users\jaime.benazar\Quorum Business Solutions\Ecopetrol Prometeo - Documents\Planning Space Implementation\3. Analysis &amp; Design\Design\FC22\DRR Jaime\QUIFA-CAJÚA\Cajua\[VAS_CAJUA_CF_SEC_20230125.xlsx]CF PRB'!$CT$51</t>
  </si>
  <si>
    <t>='C:\Users\jaime.benazar\Quorum Business Solutions\Ecopetrol Prometeo - Documents\Planning Space Implementation\3. Analysis &amp; Design\Design\FC22\DRR Jaime\QUIFA-CAJÚA\Cajua\[VAS_CAJUA_CF_SEC_20230125.xlsx]CF PRB'!$CT$52</t>
  </si>
  <si>
    <t>='C:\Users\jaime.benazar\Quorum Business Solutions\Ecopetrol Prometeo - Documents\Planning Space Implementation\3. Analysis &amp; Design\Design\FC22\DRR Jaime\QUIFA-CAJÚA\Cajua\[VAS_CAJUA_CF_SEC_20230125.xlsx]CF PRB'!$CT$53</t>
  </si>
  <si>
    <t>='C:\Users\jaime.benazar\Quorum Business Solutions\Ecopetrol Prometeo - Documents\Planning Space Implementation\3. Analysis &amp; Design\Design\FC22\DRR Jaime\QUIFA-CAJÚA\Cajua\[VAS_CAJUA_CF_SEC_20230125.xlsx]CF PRB'!$CT$54</t>
  </si>
  <si>
    <t>='C:\Users\jaime.benazar\Quorum Business Solutions\Ecopetrol Prometeo - Documents\Planning Space Implementation\3. Analysis &amp; Design\Design\FC22\DRR Jaime\QUIFA-CAJÚA\Cajua\[VAS_CAJUA_CF_SEC_20230125.xlsx]CF PRB'!$CT$55</t>
  </si>
  <si>
    <t>='C:\Users\jaime.benazar\Quorum Business Solutions\Ecopetrol Prometeo - Documents\Planning Space Implementation\3. Analysis &amp; Design\Design\FC22\DRR Jaime\QUIFA-CAJÚA\Cajua\[VAS_CAJUA_CF_SEC_20230125.xlsx]CF PRB'!$CT$56</t>
  </si>
  <si>
    <t>='C:\Users\jaime.benazar\Quorum Business Solutions\Ecopetrol Prometeo - Documents\Planning Space Implementation\3. Analysis &amp; Design\Design\FC22\DRR Jaime\QUIFA-CAJÚA\Cajua\[VAS_CAJUA_CF_SEC_20230125.xlsx]CF PRB'!$CT$57</t>
  </si>
  <si>
    <t>='C:\Users\jaime.benazar\Quorum Business Solutions\Ecopetrol Prometeo - Documents\Planning Space Implementation\3. Analysis &amp; Design\Design\FC22\DRR Jaime\QUIFA-CAJÚA\Cajua\[VAS_CAJUA_CF_SEC_20230125.xlsx]CF PRB'!$CT$58</t>
  </si>
  <si>
    <t>='C:\Users\jaime.benazar\Quorum Business Solutions\Ecopetrol Prometeo - Documents\Planning Space Implementation\3. Analysis &amp; Design\Design\FC22\DRR Jaime\QUIFA-CAJÚA\Cajua\[VAS_CAJUA_CF_SEC_20230125.xlsx]CF PRB'!$CT$59</t>
  </si>
  <si>
    <t>='C:\Users\jaime.benazar\Quorum Business Solutions\Ecopetrol Prometeo - Documents\Planning Space Implementation\3. Analysis &amp; Design\Design\FC22\DRR Jaime\QUIFA-CAJÚA\Cajua\[VAS_CAJUA_CF_SEC_20230125.xlsx]CF PRB'!$CT$60</t>
  </si>
  <si>
    <t>='C:\Users\jaime.benazar\Quorum Business Solutions\Ecopetrol Prometeo - Documents\Planning Space Implementation\3. Analysis &amp; Design\Design\FC22\DRR Jaime\QUIFA-CAJÚA\Cajua\[VAS_CAJUA_CF_SEC_20230125.xlsx]CF PRB'!$CT$61</t>
  </si>
  <si>
    <t>='C:\Users\jaime.benazar\Quorum Business Solutions\Ecopetrol Prometeo - Documents\Planning Space Implementation\3. Analysis &amp; Design\Design\FC22\DRR Jaime\QUIFA-CAJÚA\Cajua\[VAS_CAJUA_CF_SEC_20230125.xlsx]CF PRB'!$CT$62</t>
  </si>
  <si>
    <t>='C:\Users\jaime.benazar\Quorum Business Solutions\Ecopetrol Prometeo - Documents\Planning Space Implementation\3. Analysis &amp; Design\Design\FC22\DRR Jaime\QUIFA-CAJÚA\Cajua\[VAS_CAJUA_CF_SEC_20230125.xlsx]CF PRB'!$CT$63</t>
  </si>
  <si>
    <t>='C:\Users\jaime.benazar\Quorum Business Solutions\Ecopetrol Prometeo - Documents\Planning Space Implementation\3. Analysis &amp; Design\Design\FC22\DRR Jaime\QUIFA-CAJÚA\Cajua\[VAS_CAJUA_CF_SEC_20230125.xlsx]CF PRB'!$CT$64</t>
  </si>
  <si>
    <t>='C:\Users\jaime.benazar\Quorum Business Solutions\Ecopetrol Prometeo - Documents\Planning Space Implementation\3. Analysis &amp; Design\Design\FC22\DRR Jaime\QUIFA-CAJÚA\Cajua\[VAS_CAJUA_CF_SEC_20230125.xlsx]CF PRB'!$CT$65</t>
  </si>
  <si>
    <t>='C:\Users\jaime.benazar\Quorum Business Solutions\Ecopetrol Prometeo - Documents\Planning Space Implementation\3. Analysis &amp; Design\Design\FC22\DRR Jaime\QUIFA-CAJÚA\Cajua\[VAS_CAJUA_CF_SEC_20230125.xlsx]CF PRB'!$CT$66</t>
  </si>
  <si>
    <t>='C:\Users\jaime.benazar\Quorum Business Solutions\Ecopetrol Prometeo - Documents\Planning Space Implementation\3. Analysis &amp; Design\Design\FC22\DRR Jaime\QUIFA-CAJÚA\Cajua\[VAS_CAJUA_CF_SEC_20230125.xlsx]CF PRB'!$CT$67</t>
  </si>
  <si>
    <t>='C:\Users\jaime.benazar\Quorum Business Solutions\Ecopetrol Prometeo - Documents\Planning Space Implementation\3. Analysis &amp; Design\Design\FC22\DRR Jaime\QUIFA-CAJÚA\Cajua\[VAS_CAJUA_CF_SEC_20230125.xlsx]CF PRB'!$CT$68</t>
  </si>
  <si>
    <t>='C:\Users\jaime.benazar\Quorum Business Solutions\Ecopetrol Prometeo - Documents\Planning Space Implementation\3. Analysis &amp; Design\Design\FC22\DRR Jaime\QUIFA-CAJÚA\Cajua\[VAS_CAJUA_CF_SEC_20230125.xlsx]CF PRB'!$CT$69</t>
  </si>
  <si>
    <t>='C:\Users\jaime.benazar\Quorum Business Solutions\Ecopetrol Prometeo - Documents\Planning Space Implementation\3. Analysis &amp; Design\Design\FC22\DRR Jaime\QUIFA-CAJÚA\Cajua\[VAS_CAJUA_CF_SEC_20230125.xlsx]CF PRB'!$CT$70</t>
  </si>
  <si>
    <t>='C:\Users\jaime.benazar\Quorum Business Solutions\Ecopetrol Prometeo - Documents\Planning Space Implementation\3. Analysis &amp; Design\Design\FC22\DRR Jaime\QUIFA-CAJÚA\Cajua\[VAS_CAJUA_CF_SEC_20230125.xlsx]CF PRB'!$CT$71</t>
  </si>
  <si>
    <t>='C:\Users\jaime.benazar\Quorum Business Solutions\Ecopetrol Prometeo - Documents\Planning Space Implementation\3. Analysis &amp; Design\Design\FC22\DRR Jaime\QUIFA-CAJÚA\Cajua\[VAS_CAJUA_CF_SEC_20230125.xlsx]CF PRB'!$CT$72</t>
  </si>
  <si>
    <t>='C:\Users\jaime.benazar\Quorum Business Solutions\Ecopetrol Prometeo - Documents\Planning Space Implementation\3. Analysis &amp; Design\Design\FC22\DRR Jaime\QUIFA-CAJÚA\Cajua\[VAS_CAJUA_CF_SEC_20230125.xlsx]CF PS'!$CT$36</t>
  </si>
  <si>
    <t>='C:\Users\jaime.benazar\Quorum Business Solutions\Ecopetrol Prometeo - Documents\Planning Space Implementation\3. Analysis &amp; Design\Design\FC22\DRR Jaime\QUIFA-CAJÚA\Cajua\[VAS_CAJUA_CF_SEC_20230125.xlsx]CF PS'!$CT$37</t>
  </si>
  <si>
    <t>='C:\Users\jaime.benazar\Quorum Business Solutions\Ecopetrol Prometeo - Documents\Planning Space Implementation\3. Analysis &amp; Design\Design\FC22\DRR Jaime\QUIFA-CAJÚA\Cajua\[VAS_CAJUA_CF_SEC_20230125.xlsx]CF PS'!$CT$38</t>
  </si>
  <si>
    <t>='C:\Users\jaime.benazar\Quorum Business Solutions\Ecopetrol Prometeo - Documents\Planning Space Implementation\3. Analysis &amp; Design\Design\FC22\DRR Jaime\QUIFA-CAJÚA\Cajua\[VAS_CAJUA_CF_SEC_20230125.xlsx]CF PS'!$CT$39</t>
  </si>
  <si>
    <t>='C:\Users\jaime.benazar\Quorum Business Solutions\Ecopetrol Prometeo - Documents\Planning Space Implementation\3. Analysis &amp; Design\Design\FC22\DRR Jaime\QUIFA-CAJÚA\Cajua\[VAS_CAJUA_CF_SEC_20230125.xlsx]CF PS'!$CT$40</t>
  </si>
  <si>
    <t>='C:\Users\jaime.benazar\Quorum Business Solutions\Ecopetrol Prometeo - Documents\Planning Space Implementation\3. Analysis &amp; Design\Design\FC22\DRR Jaime\QUIFA-CAJÚA\Cajua\[VAS_CAJUA_CF_SEC_20230125.xlsx]CF PS'!$CT$41</t>
  </si>
  <si>
    <t>='C:\Users\jaime.benazar\Quorum Business Solutions\Ecopetrol Prometeo - Documents\Planning Space Implementation\3. Analysis &amp; Design\Design\FC22\DRR Jaime\QUIFA-CAJÚA\Cajua\[VAS_CAJUA_CF_SEC_20230125.xlsx]CF PS'!$CT$42</t>
  </si>
  <si>
    <t>='C:\Users\jaime.benazar\Quorum Business Solutions\Ecopetrol Prometeo - Documents\Planning Space Implementation\3. Analysis &amp; Design\Design\FC22\DRR Jaime\QUIFA-CAJÚA\Cajua\[VAS_CAJUA_CF_SEC_20230125.xlsx]CF PS'!$CT$43</t>
  </si>
  <si>
    <t>='C:\Users\jaime.benazar\Quorum Business Solutions\Ecopetrol Prometeo - Documents\Planning Space Implementation\3. Analysis &amp; Design\Design\FC22\DRR Jaime\QUIFA-CAJÚA\Cajua\[VAS_CAJUA_CF_SEC_20230125.xlsx]CF PS'!$CT$44</t>
  </si>
  <si>
    <t>='C:\Users\jaime.benazar\Quorum Business Solutions\Ecopetrol Prometeo - Documents\Planning Space Implementation\3. Analysis &amp; Design\Design\FC22\DRR Jaime\QUIFA-CAJÚA\Cajua\[VAS_CAJUA_CF_SEC_20230125.xlsx]CF PS'!$CT$45</t>
  </si>
  <si>
    <t>='C:\Users\jaime.benazar\Quorum Business Solutions\Ecopetrol Prometeo - Documents\Planning Space Implementation\3. Analysis &amp; Design\Design\FC22\DRR Jaime\QUIFA-CAJÚA\Cajua\[VAS_CAJUA_CF_SEC_20230125.xlsx]CF PS'!$CT$46</t>
  </si>
  <si>
    <t>='C:\Users\jaime.benazar\Quorum Business Solutions\Ecopetrol Prometeo - Documents\Planning Space Implementation\3. Analysis &amp; Design\Design\FC22\DRR Jaime\QUIFA-CAJÚA\Cajua\[VAS_CAJUA_CF_SEC_20230125.xlsx]CF PS'!$CT$47</t>
  </si>
  <si>
    <t>='C:\Users\jaime.benazar\Quorum Business Solutions\Ecopetrol Prometeo - Documents\Planning Space Implementation\3. Analysis &amp; Design\Design\FC22\DRR Jaime\QUIFA-CAJÚA\Cajua\[VAS_CAJUA_CF_SEC_20230125.xlsx]CF PS'!$CT$48</t>
  </si>
  <si>
    <t>='C:\Users\jaime.benazar\Quorum Business Solutions\Ecopetrol Prometeo - Documents\Planning Space Implementation\3. Analysis &amp; Design\Design\FC22\DRR Jaime\QUIFA-CAJÚA\Cajua\[VAS_CAJUA_CF_SEC_20230125.xlsx]CF PS'!$CT$49</t>
  </si>
  <si>
    <t>='C:\Users\jaime.benazar\Quorum Business Solutions\Ecopetrol Prometeo - Documents\Planning Space Implementation\3. Analysis &amp; Design\Design\FC22\DRR Jaime\QUIFA-CAJÚA\Cajua\[VAS_CAJUA_CF_SEC_20230125.xlsx]CF PS'!$CT$50</t>
  </si>
  <si>
    <t>='C:\Users\jaime.benazar\Quorum Business Solutions\Ecopetrol Prometeo - Documents\Planning Space Implementation\3. Analysis &amp; Design\Design\FC22\DRR Jaime\QUIFA-CAJÚA\Cajua\[VAS_CAJUA_CF_SEC_20230125.xlsx]CF PS'!$CT$51</t>
  </si>
  <si>
    <t>='C:\Users\jaime.benazar\Quorum Business Solutions\Ecopetrol Prometeo - Documents\Planning Space Implementation\3. Analysis &amp; Design\Design\FC22\DRR Jaime\QUIFA-CAJÚA\Cajua\[VAS_CAJUA_CF_SEC_20230125.xlsx]CF PS'!$CT$52</t>
  </si>
  <si>
    <t>='C:\Users\jaime.benazar\Quorum Business Solutions\Ecopetrol Prometeo - Documents\Planning Space Implementation\3. Analysis &amp; Design\Design\FC22\DRR Jaime\QUIFA-CAJÚA\Cajua\[VAS_CAJUA_CF_SEC_20230125.xlsx]CF PS'!$CT$53</t>
  </si>
  <si>
    <t>='C:\Users\jaime.benazar\Quorum Business Solutions\Ecopetrol Prometeo - Documents\Planning Space Implementation\3. Analysis &amp; Design\Design\FC22\DRR Jaime\QUIFA-CAJÚA\Cajua\[VAS_CAJUA_CF_SEC_20230125.xlsx]CF PS'!$CT$54</t>
  </si>
  <si>
    <t>='C:\Users\jaime.benazar\Quorum Business Solutions\Ecopetrol Prometeo - Documents\Planning Space Implementation\3. Analysis &amp; Design\Design\FC22\DRR Jaime\QUIFA-CAJÚA\Cajua\[VAS_CAJUA_CF_SEC_20230125.xlsx]CF PS'!$CT$55</t>
  </si>
  <si>
    <t>='C:\Users\jaime.benazar\Quorum Business Solutions\Ecopetrol Prometeo - Documents\Planning Space Implementation\3. Analysis &amp; Design\Design\FC22\DRR Jaime\QUIFA-CAJÚA\Cajua\[VAS_CAJUA_CF_SEC_20230125.xlsx]CF PS'!$CT$56</t>
  </si>
  <si>
    <t>='C:\Users\jaime.benazar\Quorum Business Solutions\Ecopetrol Prometeo - Documents\Planning Space Implementation\3. Analysis &amp; Design\Design\FC22\DRR Jaime\QUIFA-CAJÚA\Cajua\[VAS_CAJUA_CF_SEC_20230125.xlsx]CF PS'!$CT$57</t>
  </si>
  <si>
    <t>='C:\Users\jaime.benazar\Quorum Business Solutions\Ecopetrol Prometeo - Documents\Planning Space Implementation\3. Analysis &amp; Design\Design\FC22\DRR Jaime\QUIFA-CAJÚA\Cajua\[VAS_CAJUA_CF_SEC_20230125.xlsx]CF PS'!$CT$58</t>
  </si>
  <si>
    <t>='C:\Users\jaime.benazar\Quorum Business Solutions\Ecopetrol Prometeo - Documents\Planning Space Implementation\3. Analysis &amp; Design\Design\FC22\DRR Jaime\QUIFA-CAJÚA\Cajua\[VAS_CAJUA_CF_SEC_20230125.xlsx]CF PS'!$CT$59</t>
  </si>
  <si>
    <t>='C:\Users\jaime.benazar\Quorum Business Solutions\Ecopetrol Prometeo - Documents\Planning Space Implementation\3. Analysis &amp; Design\Design\FC22\DRR Jaime\QUIFA-CAJÚA\Cajua\[VAS_CAJUA_CF_SEC_20230125.xlsx]CF PS'!$CT$60</t>
  </si>
  <si>
    <t>='C:\Users\jaime.benazar\Quorum Business Solutions\Ecopetrol Prometeo - Documents\Planning Space Implementation\3. Analysis &amp; Design\Design\FC22\DRR Jaime\QUIFA-CAJÚA\Cajua\[VAS_CAJUA_CF_SEC_20230125.xlsx]CF PS'!$CT$61</t>
  </si>
  <si>
    <t>='C:\Users\jaime.benazar\Quorum Business Solutions\Ecopetrol Prometeo - Documents\Planning Space Implementation\3. Analysis &amp; Design\Design\FC22\DRR Jaime\QUIFA-CAJÚA\Cajua\[VAS_CAJUA_CF_SEC_20230125.xlsx]CF PS'!$CT$62</t>
  </si>
  <si>
    <t>='C:\Users\jaime.benazar\Quorum Business Solutions\Ecopetrol Prometeo - Documents\Planning Space Implementation\3. Analysis &amp; Design\Design\FC22\DRR Jaime\QUIFA-CAJÚA\Cajua\[VAS_CAJUA_CF_SEC_20230125.xlsx]CF PS'!$CT$63</t>
  </si>
  <si>
    <t>='C:\Users\jaime.benazar\Quorum Business Solutions\Ecopetrol Prometeo - Documents\Planning Space Implementation\3. Analysis &amp; Design\Design\FC22\DRR Jaime\QUIFA-CAJÚA\Cajua\[VAS_CAJUA_CF_SEC_20230125.xlsx]CF PS'!$CT$64</t>
  </si>
  <si>
    <t>='C:\Users\jaime.benazar\Quorum Business Solutions\Ecopetrol Prometeo - Documents\Planning Space Implementation\3. Analysis &amp; Design\Design\FC22\DRR Jaime\QUIFA-CAJÚA\Cajua\[VAS_CAJUA_CF_SEC_20230125.xlsx]CF PS'!$CT$65</t>
  </si>
  <si>
    <t>='C:\Users\jaime.benazar\Quorum Business Solutions\Ecopetrol Prometeo - Documents\Planning Space Implementation\3. Analysis &amp; Design\Design\FC22\DRR Jaime\QUIFA-CAJÚA\Cajua\[VAS_CAJUA_CF_SEC_20230125.xlsx]CF PS'!$CT$66</t>
  </si>
  <si>
    <t>='C:\Users\jaime.benazar\Quorum Business Solutions\Ecopetrol Prometeo - Documents\Planning Space Implementation\3. Analysis &amp; Design\Design\FC22\DRR Jaime\QUIFA-CAJÚA\Cajua\[VAS_CAJUA_CF_SEC_20230125.xlsx]CF PS'!$CT$67</t>
  </si>
  <si>
    <t>='C:\Users\jaime.benazar\Quorum Business Solutions\Ecopetrol Prometeo - Documents\Planning Space Implementation\3. Analysis &amp; Design\Design\FC22\DRR Jaime\QUIFA-CAJÚA\Cajua\[VAS_CAJUA_CF_SEC_20230125.xlsx]CF PS'!$CT$68</t>
  </si>
  <si>
    <t>='C:\Users\jaime.benazar\Quorum Business Solutions\Ecopetrol Prometeo - Documents\Planning Space Implementation\3. Analysis &amp; Design\Design\FC22\DRR Jaime\QUIFA-CAJÚA\Cajua\[VAS_CAJUA_CF_SEC_20230125.xlsx]CF PS'!$CT$69</t>
  </si>
  <si>
    <t>='C:\Users\jaime.benazar\Quorum Business Solutions\Ecopetrol Prometeo - Documents\Planning Space Implementation\3. Analysis &amp; Design\Design\FC22\DRR Jaime\QUIFA-CAJÚA\Cajua\[VAS_CAJUA_CF_SEC_20230125.xlsx]CF PS'!$CT$70</t>
  </si>
  <si>
    <t>='C:\Users\jaime.benazar\Quorum Business Solutions\Ecopetrol Prometeo - Documents\Planning Space Implementation\3. Analysis &amp; Design\Design\FC22\DRR Jaime\QUIFA-CAJÚA\Cajua\[VAS_CAJUA_CF_SEC_20230125.xlsx]CF PS'!$CT$71</t>
  </si>
  <si>
    <t>='C:\Users\jaime.benazar\Quorum Business Solutions\Ecopetrol Prometeo - Documents\Planning Space Implementation\3. Analysis &amp; Design\Design\FC22\DRR Jaime\QUIFA-CAJÚA\Cajua\[VAS_CAJUA_CF_SEC_20230125.xlsx]CF PS'!$CT$72</t>
  </si>
  <si>
    <t>='C:\Users\jaime.benazar\Quorum Business Solutions\Ecopetrol Prometeo - Documents\Planning Space Implementation\3. Analysis &amp; Design\Design\FC22\DRR Jaime\QUIFA-CAJÚA\Cajua\[VAS_CAJUA_CF_SEC_20230125.xlsx]CF PDP'!$DN$36</t>
  </si>
  <si>
    <t>='C:\Users\jaime.benazar\Quorum Business Solutions\Ecopetrol Prometeo - Documents\Planning Space Implementation\3. Analysis &amp; Design\Design\FC22\DRR Jaime\QUIFA-CAJÚA\Cajua\[VAS_CAJUA_CF_SEC_20230125.xlsx]CF PDP'!$DN$37</t>
  </si>
  <si>
    <t>='C:\Users\jaime.benazar\Quorum Business Solutions\Ecopetrol Prometeo - Documents\Planning Space Implementation\3. Analysis &amp; Design\Design\FC22\DRR Jaime\QUIFA-CAJÚA\Cajua\[VAS_CAJUA_CF_SEC_20230125.xlsx]CF PDP'!$DN$38</t>
  </si>
  <si>
    <t>='C:\Users\jaime.benazar\Quorum Business Solutions\Ecopetrol Prometeo - Documents\Planning Space Implementation\3. Analysis &amp; Design\Design\FC22\DRR Jaime\QUIFA-CAJÚA\Cajua\[VAS_CAJUA_CF_SEC_20230125.xlsx]CF PDP'!$DN$39</t>
  </si>
  <si>
    <t>='C:\Users\jaime.benazar\Quorum Business Solutions\Ecopetrol Prometeo - Documents\Planning Space Implementation\3. Analysis &amp; Design\Design\FC22\DRR Jaime\QUIFA-CAJÚA\Cajua\[VAS_CAJUA_CF_SEC_20230125.xlsx]CF PDP'!$DN$40</t>
  </si>
  <si>
    <t>='C:\Users\jaime.benazar\Quorum Business Solutions\Ecopetrol Prometeo - Documents\Planning Space Implementation\3. Analysis &amp; Design\Design\FC22\DRR Jaime\QUIFA-CAJÚA\Cajua\[VAS_CAJUA_CF_SEC_20230125.xlsx]CF PDP'!$DN$41</t>
  </si>
  <si>
    <t>='C:\Users\jaime.benazar\Quorum Business Solutions\Ecopetrol Prometeo - Documents\Planning Space Implementation\3. Analysis &amp; Design\Design\FC22\DRR Jaime\QUIFA-CAJÚA\Cajua\[VAS_CAJUA_CF_SEC_20230125.xlsx]CF PDP'!$DN$42</t>
  </si>
  <si>
    <t>='C:\Users\jaime.benazar\Quorum Business Solutions\Ecopetrol Prometeo - Documents\Planning Space Implementation\3. Analysis &amp; Design\Design\FC22\DRR Jaime\QUIFA-CAJÚA\Cajua\[VAS_CAJUA_CF_SEC_20230125.xlsx]CF PDP'!$DN$43</t>
  </si>
  <si>
    <t>='C:\Users\jaime.benazar\Quorum Business Solutions\Ecopetrol Prometeo - Documents\Planning Space Implementation\3. Analysis &amp; Design\Design\FC22\DRR Jaime\QUIFA-CAJÚA\Cajua\[VAS_CAJUA_CF_SEC_20230125.xlsx]CF PDP'!$DN$44</t>
  </si>
  <si>
    <t>='C:\Users\jaime.benazar\Quorum Business Solutions\Ecopetrol Prometeo - Documents\Planning Space Implementation\3. Analysis &amp; Design\Design\FC22\DRR Jaime\QUIFA-CAJÚA\Cajua\[VAS_CAJUA_CF_SEC_20230125.xlsx]CF PDP'!$DN$45</t>
  </si>
  <si>
    <t>='C:\Users\jaime.benazar\Quorum Business Solutions\Ecopetrol Prometeo - Documents\Planning Space Implementation\3. Analysis &amp; Design\Design\FC22\DRR Jaime\QUIFA-CAJÚA\Cajua\[VAS_CAJUA_CF_SEC_20230125.xlsx]CF PDP'!$DN$46</t>
  </si>
  <si>
    <t>='C:\Users\jaime.benazar\Quorum Business Solutions\Ecopetrol Prometeo - Documents\Planning Space Implementation\3. Analysis &amp; Design\Design\FC22\DRR Jaime\QUIFA-CAJÚA\Cajua\[VAS_CAJUA_CF_SEC_20230125.xlsx]CF PDP'!$DN$47</t>
  </si>
  <si>
    <t>='C:\Users\jaime.benazar\Quorum Business Solutions\Ecopetrol Prometeo - Documents\Planning Space Implementation\3. Analysis &amp; Design\Design\FC22\DRR Jaime\QUIFA-CAJÚA\Cajua\[VAS_CAJUA_CF_SEC_20230125.xlsx]CF PDP'!$DN$48</t>
  </si>
  <si>
    <t>='C:\Users\jaime.benazar\Quorum Business Solutions\Ecopetrol Prometeo - Documents\Planning Space Implementation\3. Analysis &amp; Design\Design\FC22\DRR Jaime\QUIFA-CAJÚA\Cajua\[VAS_CAJUA_CF_SEC_20230125.xlsx]CF PDP'!$DN$49</t>
  </si>
  <si>
    <t>='C:\Users\jaime.benazar\Quorum Business Solutions\Ecopetrol Prometeo - Documents\Planning Space Implementation\3. Analysis &amp; Design\Design\FC22\DRR Jaime\QUIFA-CAJÚA\Cajua\[VAS_CAJUA_CF_SEC_20230125.xlsx]CF PDP'!$DN$50</t>
  </si>
  <si>
    <t>='C:\Users\jaime.benazar\Quorum Business Solutions\Ecopetrol Prometeo - Documents\Planning Space Implementation\3. Analysis &amp; Design\Design\FC22\DRR Jaime\QUIFA-CAJÚA\Cajua\[VAS_CAJUA_CF_SEC_20230125.xlsx]CF PDP'!$DN$51</t>
  </si>
  <si>
    <t>='C:\Users\jaime.benazar\Quorum Business Solutions\Ecopetrol Prometeo - Documents\Planning Space Implementation\3. Analysis &amp; Design\Design\FC22\DRR Jaime\QUIFA-CAJÚA\Cajua\[VAS_CAJUA_CF_SEC_20230125.xlsx]CF PDP'!$DN$52</t>
  </si>
  <si>
    <t>='C:\Users\jaime.benazar\Quorum Business Solutions\Ecopetrol Prometeo - Documents\Planning Space Implementation\3. Analysis &amp; Design\Design\FC22\DRR Jaime\QUIFA-CAJÚA\Cajua\[VAS_CAJUA_CF_SEC_20230125.xlsx]CF PDP'!$DN$53</t>
  </si>
  <si>
    <t>='C:\Users\jaime.benazar\Quorum Business Solutions\Ecopetrol Prometeo - Documents\Planning Space Implementation\3. Analysis &amp; Design\Design\FC22\DRR Jaime\QUIFA-CAJÚA\Cajua\[VAS_CAJUA_CF_SEC_20230125.xlsx]CF PDP'!$DN$54</t>
  </si>
  <si>
    <t>='C:\Users\jaime.benazar\Quorum Business Solutions\Ecopetrol Prometeo - Documents\Planning Space Implementation\3. Analysis &amp; Design\Design\FC22\DRR Jaime\QUIFA-CAJÚA\Cajua\[VAS_CAJUA_CF_SEC_20230125.xlsx]CF PDP'!$DN$55</t>
  </si>
  <si>
    <t>='C:\Users\jaime.benazar\Quorum Business Solutions\Ecopetrol Prometeo - Documents\Planning Space Implementation\3. Analysis &amp; Design\Design\FC22\DRR Jaime\QUIFA-CAJÚA\Cajua\[VAS_CAJUA_CF_SEC_20230125.xlsx]CF PDP'!$DN$56</t>
  </si>
  <si>
    <t>='C:\Users\jaime.benazar\Quorum Business Solutions\Ecopetrol Prometeo - Documents\Planning Space Implementation\3. Analysis &amp; Design\Design\FC22\DRR Jaime\QUIFA-CAJÚA\Cajua\[VAS_CAJUA_CF_SEC_20230125.xlsx]CF PDP'!$DN$57</t>
  </si>
  <si>
    <t>='C:\Users\jaime.benazar\Quorum Business Solutions\Ecopetrol Prometeo - Documents\Planning Space Implementation\3. Analysis &amp; Design\Design\FC22\DRR Jaime\QUIFA-CAJÚA\Cajua\[VAS_CAJUA_CF_SEC_20230125.xlsx]CF PDP'!$DN$58</t>
  </si>
  <si>
    <t>='C:\Users\jaime.benazar\Quorum Business Solutions\Ecopetrol Prometeo - Documents\Planning Space Implementation\3. Analysis &amp; Design\Design\FC22\DRR Jaime\QUIFA-CAJÚA\Cajua\[VAS_CAJUA_CF_SEC_20230125.xlsx]CF PDP'!$DN$59</t>
  </si>
  <si>
    <t>='C:\Users\jaime.benazar\Quorum Business Solutions\Ecopetrol Prometeo - Documents\Planning Space Implementation\3. Analysis &amp; Design\Design\FC22\DRR Jaime\QUIFA-CAJÚA\Cajua\[VAS_CAJUA_CF_SEC_20230125.xlsx]CF PDP'!$DN$60</t>
  </si>
  <si>
    <t>='C:\Users\jaime.benazar\Quorum Business Solutions\Ecopetrol Prometeo - Documents\Planning Space Implementation\3. Analysis &amp; Design\Design\FC22\DRR Jaime\QUIFA-CAJÚA\Cajua\[VAS_CAJUA_CF_SEC_20230125.xlsx]CF PDP'!$DN$61</t>
  </si>
  <si>
    <t>='C:\Users\jaime.benazar\Quorum Business Solutions\Ecopetrol Prometeo - Documents\Planning Space Implementation\3. Analysis &amp; Design\Design\FC22\DRR Jaime\QUIFA-CAJÚA\Cajua\[VAS_CAJUA_CF_SEC_20230125.xlsx]CF PDP'!$DN$62</t>
  </si>
  <si>
    <t>='C:\Users\jaime.benazar\Quorum Business Solutions\Ecopetrol Prometeo - Documents\Planning Space Implementation\3. Analysis &amp; Design\Design\FC22\DRR Jaime\QUIFA-CAJÚA\Cajua\[VAS_CAJUA_CF_SEC_20230125.xlsx]CF PDP'!$DN$63</t>
  </si>
  <si>
    <t>='C:\Users\jaime.benazar\Quorum Business Solutions\Ecopetrol Prometeo - Documents\Planning Space Implementation\3. Analysis &amp; Design\Design\FC22\DRR Jaime\QUIFA-CAJÚA\Cajua\[VAS_CAJUA_CF_SEC_20230125.xlsx]CF PDP'!$DN$64</t>
  </si>
  <si>
    <t>='C:\Users\jaime.benazar\Quorum Business Solutions\Ecopetrol Prometeo - Documents\Planning Space Implementation\3. Analysis &amp; Design\Design\FC22\DRR Jaime\QUIFA-CAJÚA\Cajua\[VAS_CAJUA_CF_SEC_20230125.xlsx]CF PDP'!$DN$65</t>
  </si>
  <si>
    <t>='C:\Users\jaime.benazar\Quorum Business Solutions\Ecopetrol Prometeo - Documents\Planning Space Implementation\3. Analysis &amp; Design\Design\FC22\DRR Jaime\QUIFA-CAJÚA\Cajua\[VAS_CAJUA_CF_SEC_20230125.xlsx]CF PDP'!$DN$66</t>
  </si>
  <si>
    <t>='C:\Users\jaime.benazar\Quorum Business Solutions\Ecopetrol Prometeo - Documents\Planning Space Implementation\3. Analysis &amp; Design\Design\FC22\DRR Jaime\QUIFA-CAJÚA\Cajua\[VAS_CAJUA_CF_SEC_20230125.xlsx]CF PDP'!$DN$67</t>
  </si>
  <si>
    <t>='C:\Users\jaime.benazar\Quorum Business Solutions\Ecopetrol Prometeo - Documents\Planning Space Implementation\3. Analysis &amp; Design\Design\FC22\DRR Jaime\QUIFA-CAJÚA\Cajua\[VAS_CAJUA_CF_SEC_20230125.xlsx]CF PDP'!$DN$68</t>
  </si>
  <si>
    <t>='C:\Users\jaime.benazar\Quorum Business Solutions\Ecopetrol Prometeo - Documents\Planning Space Implementation\3. Analysis &amp; Design\Design\FC22\DRR Jaime\QUIFA-CAJÚA\Cajua\[VAS_CAJUA_CF_SEC_20230125.xlsx]CF PDP'!$DN$69</t>
  </si>
  <si>
    <t>='C:\Users\jaime.benazar\Quorum Business Solutions\Ecopetrol Prometeo - Documents\Planning Space Implementation\3. Analysis &amp; Design\Design\FC22\DRR Jaime\QUIFA-CAJÚA\Cajua\[VAS_CAJUA_CF_SEC_20230125.xlsx]CF PDP'!$DN$70</t>
  </si>
  <si>
    <t>='C:\Users\jaime.benazar\Quorum Business Solutions\Ecopetrol Prometeo - Documents\Planning Space Implementation\3. Analysis &amp; Design\Design\FC22\DRR Jaime\QUIFA-CAJÚA\Cajua\[VAS_CAJUA_CF_SEC_20230125.xlsx]CF PDP'!$DN$71</t>
  </si>
  <si>
    <t>='C:\Users\jaime.benazar\Quorum Business Solutions\Ecopetrol Prometeo - Documents\Planning Space Implementation\3. Analysis &amp; Design\Design\FC22\DRR Jaime\QUIFA-CAJÚA\Cajua\[VAS_CAJUA_CF_SEC_20230125.xlsx]CF PDP'!$DN$72</t>
  </si>
  <si>
    <t>='C:\Users\jaime.benazar\Quorum Business Solutions\Ecopetrol Prometeo - Documents\Planning Space Implementation\3. Analysis &amp; Design\Design\FC22\DRR Jaime\QUIFA-CAJÚA\Cajua\[VAS_CAJUA_CF_SEC_20230125.xlsx]CF PNP'!$DN$36</t>
  </si>
  <si>
    <t>='C:\Users\jaime.benazar\Quorum Business Solutions\Ecopetrol Prometeo - Documents\Planning Space Implementation\3. Analysis &amp; Design\Design\FC22\DRR Jaime\QUIFA-CAJÚA\Cajua\[VAS_CAJUA_CF_SEC_20230125.xlsx]CF PNP'!$DN$37</t>
  </si>
  <si>
    <t>='C:\Users\jaime.benazar\Quorum Business Solutions\Ecopetrol Prometeo - Documents\Planning Space Implementation\3. Analysis &amp; Design\Design\FC22\DRR Jaime\QUIFA-CAJÚA\Cajua\[VAS_CAJUA_CF_SEC_20230125.xlsx]CF PNP'!$DN$38</t>
  </si>
  <si>
    <t>='C:\Users\jaime.benazar\Quorum Business Solutions\Ecopetrol Prometeo - Documents\Planning Space Implementation\3. Analysis &amp; Design\Design\FC22\DRR Jaime\QUIFA-CAJÚA\Cajua\[VAS_CAJUA_CF_SEC_20230125.xlsx]CF PNP'!$DN$39</t>
  </si>
  <si>
    <t>='C:\Users\jaime.benazar\Quorum Business Solutions\Ecopetrol Prometeo - Documents\Planning Space Implementation\3. Analysis &amp; Design\Design\FC22\DRR Jaime\QUIFA-CAJÚA\Cajua\[VAS_CAJUA_CF_SEC_20230125.xlsx]CF PNP'!$DN$40</t>
  </si>
  <si>
    <t>='C:\Users\jaime.benazar\Quorum Business Solutions\Ecopetrol Prometeo - Documents\Planning Space Implementation\3. Analysis &amp; Design\Design\FC22\DRR Jaime\QUIFA-CAJÚA\Cajua\[VAS_CAJUA_CF_SEC_20230125.xlsx]CF PNP'!$DN$41</t>
  </si>
  <si>
    <t>='C:\Users\jaime.benazar\Quorum Business Solutions\Ecopetrol Prometeo - Documents\Planning Space Implementation\3. Analysis &amp; Design\Design\FC22\DRR Jaime\QUIFA-CAJÚA\Cajua\[VAS_CAJUA_CF_SEC_20230125.xlsx]CF PNP'!$DN$42</t>
  </si>
  <si>
    <t>='C:\Users\jaime.benazar\Quorum Business Solutions\Ecopetrol Prometeo - Documents\Planning Space Implementation\3. Analysis &amp; Design\Design\FC22\DRR Jaime\QUIFA-CAJÚA\Cajua\[VAS_CAJUA_CF_SEC_20230125.xlsx]CF PNP'!$DN$43</t>
  </si>
  <si>
    <t>='C:\Users\jaime.benazar\Quorum Business Solutions\Ecopetrol Prometeo - Documents\Planning Space Implementation\3. Analysis &amp; Design\Design\FC22\DRR Jaime\QUIFA-CAJÚA\Cajua\[VAS_CAJUA_CF_SEC_20230125.xlsx]CF PNP'!$DN$44</t>
  </si>
  <si>
    <t>='C:\Users\jaime.benazar\Quorum Business Solutions\Ecopetrol Prometeo - Documents\Planning Space Implementation\3. Analysis &amp; Design\Design\FC22\DRR Jaime\QUIFA-CAJÚA\Cajua\[VAS_CAJUA_CF_SEC_20230125.xlsx]CF PNP'!$DN$45</t>
  </si>
  <si>
    <t>='C:\Users\jaime.benazar\Quorum Business Solutions\Ecopetrol Prometeo - Documents\Planning Space Implementation\3. Analysis &amp; Design\Design\FC22\DRR Jaime\QUIFA-CAJÚA\Cajua\[VAS_CAJUA_CF_SEC_20230125.xlsx]CF PNP'!$DN$46</t>
  </si>
  <si>
    <t>='C:\Users\jaime.benazar\Quorum Business Solutions\Ecopetrol Prometeo - Documents\Planning Space Implementation\3. Analysis &amp; Design\Design\FC22\DRR Jaime\QUIFA-CAJÚA\Cajua\[VAS_CAJUA_CF_SEC_20230125.xlsx]CF PNP'!$DN$47</t>
  </si>
  <si>
    <t>='C:\Users\jaime.benazar\Quorum Business Solutions\Ecopetrol Prometeo - Documents\Planning Space Implementation\3. Analysis &amp; Design\Design\FC22\DRR Jaime\QUIFA-CAJÚA\Cajua\[VAS_CAJUA_CF_SEC_20230125.xlsx]CF PNP'!$DN$48</t>
  </si>
  <si>
    <t>='C:\Users\jaime.benazar\Quorum Business Solutions\Ecopetrol Prometeo - Documents\Planning Space Implementation\3. Analysis &amp; Design\Design\FC22\DRR Jaime\QUIFA-CAJÚA\Cajua\[VAS_CAJUA_CF_SEC_20230125.xlsx]CF PNP'!$DN$49</t>
  </si>
  <si>
    <t>='C:\Users\jaime.benazar\Quorum Business Solutions\Ecopetrol Prometeo - Documents\Planning Space Implementation\3. Analysis &amp; Design\Design\FC22\DRR Jaime\QUIFA-CAJÚA\Cajua\[VAS_CAJUA_CF_SEC_20230125.xlsx]CF PNP'!$DN$50</t>
  </si>
  <si>
    <t>='C:\Users\jaime.benazar\Quorum Business Solutions\Ecopetrol Prometeo - Documents\Planning Space Implementation\3. Analysis &amp; Design\Design\FC22\DRR Jaime\QUIFA-CAJÚA\Cajua\[VAS_CAJUA_CF_SEC_20230125.xlsx]CF PNP'!$DN$51</t>
  </si>
  <si>
    <t>='C:\Users\jaime.benazar\Quorum Business Solutions\Ecopetrol Prometeo - Documents\Planning Space Implementation\3. Analysis &amp; Design\Design\FC22\DRR Jaime\QUIFA-CAJÚA\Cajua\[VAS_CAJUA_CF_SEC_20230125.xlsx]CF PNP'!$DN$52</t>
  </si>
  <si>
    <t>='C:\Users\jaime.benazar\Quorum Business Solutions\Ecopetrol Prometeo - Documents\Planning Space Implementation\3. Analysis &amp; Design\Design\FC22\DRR Jaime\QUIFA-CAJÚA\Cajua\[VAS_CAJUA_CF_SEC_20230125.xlsx]CF PNP'!$DN$53</t>
  </si>
  <si>
    <t>='C:\Users\jaime.benazar\Quorum Business Solutions\Ecopetrol Prometeo - Documents\Planning Space Implementation\3. Analysis &amp; Design\Design\FC22\DRR Jaime\QUIFA-CAJÚA\Cajua\[VAS_CAJUA_CF_SEC_20230125.xlsx]CF PNP'!$DN$54</t>
  </si>
  <si>
    <t>='C:\Users\jaime.benazar\Quorum Business Solutions\Ecopetrol Prometeo - Documents\Planning Space Implementation\3. Analysis &amp; Design\Design\FC22\DRR Jaime\QUIFA-CAJÚA\Cajua\[VAS_CAJUA_CF_SEC_20230125.xlsx]CF PNP'!$DN$55</t>
  </si>
  <si>
    <t>='C:\Users\jaime.benazar\Quorum Business Solutions\Ecopetrol Prometeo - Documents\Planning Space Implementation\3. Analysis &amp; Design\Design\FC22\DRR Jaime\QUIFA-CAJÚA\Cajua\[VAS_CAJUA_CF_SEC_20230125.xlsx]CF PNP'!$DN$56</t>
  </si>
  <si>
    <t>='C:\Users\jaime.benazar\Quorum Business Solutions\Ecopetrol Prometeo - Documents\Planning Space Implementation\3. Analysis &amp; Design\Design\FC22\DRR Jaime\QUIFA-CAJÚA\Cajua\[VAS_CAJUA_CF_SEC_20230125.xlsx]CF PNP'!$DN$57</t>
  </si>
  <si>
    <t>='C:\Users\jaime.benazar\Quorum Business Solutions\Ecopetrol Prometeo - Documents\Planning Space Implementation\3. Analysis &amp; Design\Design\FC22\DRR Jaime\QUIFA-CAJÚA\Cajua\[VAS_CAJUA_CF_SEC_20230125.xlsx]CF PNP'!$DN$58</t>
  </si>
  <si>
    <t>='C:\Users\jaime.benazar\Quorum Business Solutions\Ecopetrol Prometeo - Documents\Planning Space Implementation\3. Analysis &amp; Design\Design\FC22\DRR Jaime\QUIFA-CAJÚA\Cajua\[VAS_CAJUA_CF_SEC_20230125.xlsx]CF PNP'!$DN$59</t>
  </si>
  <si>
    <t>='C:\Users\jaime.benazar\Quorum Business Solutions\Ecopetrol Prometeo - Documents\Planning Space Implementation\3. Analysis &amp; Design\Design\FC22\DRR Jaime\QUIFA-CAJÚA\Cajua\[VAS_CAJUA_CF_SEC_20230125.xlsx]CF PNP'!$DN$60</t>
  </si>
  <si>
    <t>='C:\Users\jaime.benazar\Quorum Business Solutions\Ecopetrol Prometeo - Documents\Planning Space Implementation\3. Analysis &amp; Design\Design\FC22\DRR Jaime\QUIFA-CAJÚA\Cajua\[VAS_CAJUA_CF_SEC_20230125.xlsx]CF PNP'!$DN$61</t>
  </si>
  <si>
    <t>='C:\Users\jaime.benazar\Quorum Business Solutions\Ecopetrol Prometeo - Documents\Planning Space Implementation\3. Analysis &amp; Design\Design\FC22\DRR Jaime\QUIFA-CAJÚA\Cajua\[VAS_CAJUA_CF_SEC_20230125.xlsx]CF PNP'!$DN$62</t>
  </si>
  <si>
    <t>='C:\Users\jaime.benazar\Quorum Business Solutions\Ecopetrol Prometeo - Documents\Planning Space Implementation\3. Analysis &amp; Design\Design\FC22\DRR Jaime\QUIFA-CAJÚA\Cajua\[VAS_CAJUA_CF_SEC_20230125.xlsx]CF PNP'!$DN$63</t>
  </si>
  <si>
    <t>='C:\Users\jaime.benazar\Quorum Business Solutions\Ecopetrol Prometeo - Documents\Planning Space Implementation\3. Analysis &amp; Design\Design\FC22\DRR Jaime\QUIFA-CAJÚA\Cajua\[VAS_CAJUA_CF_SEC_20230125.xlsx]CF PNP'!$DN$64</t>
  </si>
  <si>
    <t>='C:\Users\jaime.benazar\Quorum Business Solutions\Ecopetrol Prometeo - Documents\Planning Space Implementation\3. Analysis &amp; Design\Design\FC22\DRR Jaime\QUIFA-CAJÚA\Cajua\[VAS_CAJUA_CF_SEC_20230125.xlsx]CF PNP'!$DN$65</t>
  </si>
  <si>
    <t>='C:\Users\jaime.benazar\Quorum Business Solutions\Ecopetrol Prometeo - Documents\Planning Space Implementation\3. Analysis &amp; Design\Design\FC22\DRR Jaime\QUIFA-CAJÚA\Cajua\[VAS_CAJUA_CF_SEC_20230125.xlsx]CF PNP'!$DN$66</t>
  </si>
  <si>
    <t>='C:\Users\jaime.benazar\Quorum Business Solutions\Ecopetrol Prometeo - Documents\Planning Space Implementation\3. Analysis &amp; Design\Design\FC22\DRR Jaime\QUIFA-CAJÚA\Cajua\[VAS_CAJUA_CF_SEC_20230125.xlsx]CF PNP'!$DN$67</t>
  </si>
  <si>
    <t>='C:\Users\jaime.benazar\Quorum Business Solutions\Ecopetrol Prometeo - Documents\Planning Space Implementation\3. Analysis &amp; Design\Design\FC22\DRR Jaime\QUIFA-CAJÚA\Cajua\[VAS_CAJUA_CF_SEC_20230125.xlsx]CF PNP'!$DN$68</t>
  </si>
  <si>
    <t>='C:\Users\jaime.benazar\Quorum Business Solutions\Ecopetrol Prometeo - Documents\Planning Space Implementation\3. Analysis &amp; Design\Design\FC22\DRR Jaime\QUIFA-CAJÚA\Cajua\[VAS_CAJUA_CF_SEC_20230125.xlsx]CF PNP'!$DN$69</t>
  </si>
  <si>
    <t>='C:\Users\jaime.benazar\Quorum Business Solutions\Ecopetrol Prometeo - Documents\Planning Space Implementation\3. Analysis &amp; Design\Design\FC22\DRR Jaime\QUIFA-CAJÚA\Cajua\[VAS_CAJUA_CF_SEC_20230125.xlsx]CF PNP'!$DN$70</t>
  </si>
  <si>
    <t>='C:\Users\jaime.benazar\Quorum Business Solutions\Ecopetrol Prometeo - Documents\Planning Space Implementation\3. Analysis &amp; Design\Design\FC22\DRR Jaime\QUIFA-CAJÚA\Cajua\[VAS_CAJUA_CF_SEC_20230125.xlsx]CF PNP'!$DN$71</t>
  </si>
  <si>
    <t>='C:\Users\jaime.benazar\Quorum Business Solutions\Ecopetrol Prometeo - Documents\Planning Space Implementation\3. Analysis &amp; Design\Design\FC22\DRR Jaime\QUIFA-CAJÚA\Cajua\[VAS_CAJUA_CF_SEC_20230125.xlsx]CF PNP'!$DN$72</t>
  </si>
  <si>
    <t>='C:\Users\jaime.benazar\Quorum Business Solutions\Ecopetrol Prometeo - Documents\Planning Space Implementation\3. Analysis &amp; Design\Design\FC22\DRR Jaime\QUIFA-CAJÚA\Cajua\[VAS_CAJUA_CF_SEC_20230125.xlsx]CF PND'!$DN$36</t>
  </si>
  <si>
    <t>='C:\Users\jaime.benazar\Quorum Business Solutions\Ecopetrol Prometeo - Documents\Planning Space Implementation\3. Analysis &amp; Design\Design\FC22\DRR Jaime\QUIFA-CAJÚA\Cajua\[VAS_CAJUA_CF_SEC_20230125.xlsx]CF PND'!$DN$37</t>
  </si>
  <si>
    <t>='C:\Users\jaime.benazar\Quorum Business Solutions\Ecopetrol Prometeo - Documents\Planning Space Implementation\3. Analysis &amp; Design\Design\FC22\DRR Jaime\QUIFA-CAJÚA\Cajua\[VAS_CAJUA_CF_SEC_20230125.xlsx]CF PND'!$DN$38</t>
  </si>
  <si>
    <t>='C:\Users\jaime.benazar\Quorum Business Solutions\Ecopetrol Prometeo - Documents\Planning Space Implementation\3. Analysis &amp; Design\Design\FC22\DRR Jaime\QUIFA-CAJÚA\Cajua\[VAS_CAJUA_CF_SEC_20230125.xlsx]CF PND'!$DN$39</t>
  </si>
  <si>
    <t>='C:\Users\jaime.benazar\Quorum Business Solutions\Ecopetrol Prometeo - Documents\Planning Space Implementation\3. Analysis &amp; Design\Design\FC22\DRR Jaime\QUIFA-CAJÚA\Cajua\[VAS_CAJUA_CF_SEC_20230125.xlsx]CF PND'!$DN$40</t>
  </si>
  <si>
    <t>='C:\Users\jaime.benazar\Quorum Business Solutions\Ecopetrol Prometeo - Documents\Planning Space Implementation\3. Analysis &amp; Design\Design\FC22\DRR Jaime\QUIFA-CAJÚA\Cajua\[VAS_CAJUA_CF_SEC_20230125.xlsx]CF PND'!$DN$41</t>
  </si>
  <si>
    <t>='C:\Users\jaime.benazar\Quorum Business Solutions\Ecopetrol Prometeo - Documents\Planning Space Implementation\3. Analysis &amp; Design\Design\FC22\DRR Jaime\QUIFA-CAJÚA\Cajua\[VAS_CAJUA_CF_SEC_20230125.xlsx]CF PND'!$DN$42</t>
  </si>
  <si>
    <t>='C:\Users\jaime.benazar\Quorum Business Solutions\Ecopetrol Prometeo - Documents\Planning Space Implementation\3. Analysis &amp; Design\Design\FC22\DRR Jaime\QUIFA-CAJÚA\Cajua\[VAS_CAJUA_CF_SEC_20230125.xlsx]CF PND'!$DN$43</t>
  </si>
  <si>
    <t>='C:\Users\jaime.benazar\Quorum Business Solutions\Ecopetrol Prometeo - Documents\Planning Space Implementation\3. Analysis &amp; Design\Design\FC22\DRR Jaime\QUIFA-CAJÚA\Cajua\[VAS_CAJUA_CF_SEC_20230125.xlsx]CF PND'!$DN$44</t>
  </si>
  <si>
    <t>='C:\Users\jaime.benazar\Quorum Business Solutions\Ecopetrol Prometeo - Documents\Planning Space Implementation\3. Analysis &amp; Design\Design\FC22\DRR Jaime\QUIFA-CAJÚA\Cajua\[VAS_CAJUA_CF_SEC_20230125.xlsx]CF PND'!$DN$45</t>
  </si>
  <si>
    <t>='C:\Users\jaime.benazar\Quorum Business Solutions\Ecopetrol Prometeo - Documents\Planning Space Implementation\3. Analysis &amp; Design\Design\FC22\DRR Jaime\QUIFA-CAJÚA\Cajua\[VAS_CAJUA_CF_SEC_20230125.xlsx]CF PND'!$DN$46</t>
  </si>
  <si>
    <t>='C:\Users\jaime.benazar\Quorum Business Solutions\Ecopetrol Prometeo - Documents\Planning Space Implementation\3. Analysis &amp; Design\Design\FC22\DRR Jaime\QUIFA-CAJÚA\Cajua\[VAS_CAJUA_CF_SEC_20230125.xlsx]CF PND'!$DN$47</t>
  </si>
  <si>
    <t>='C:\Users\jaime.benazar\Quorum Business Solutions\Ecopetrol Prometeo - Documents\Planning Space Implementation\3. Analysis &amp; Design\Design\FC22\DRR Jaime\QUIFA-CAJÚA\Cajua\[VAS_CAJUA_CF_SEC_20230125.xlsx]CF PND'!$DN$48</t>
  </si>
  <si>
    <t>='C:\Users\jaime.benazar\Quorum Business Solutions\Ecopetrol Prometeo - Documents\Planning Space Implementation\3. Analysis &amp; Design\Design\FC22\DRR Jaime\QUIFA-CAJÚA\Cajua\[VAS_CAJUA_CF_SEC_20230125.xlsx]CF PND'!$DN$49</t>
  </si>
  <si>
    <t>='C:\Users\jaime.benazar\Quorum Business Solutions\Ecopetrol Prometeo - Documents\Planning Space Implementation\3. Analysis &amp; Design\Design\FC22\DRR Jaime\QUIFA-CAJÚA\Cajua\[VAS_CAJUA_CF_SEC_20230125.xlsx]CF PND'!$DN$50</t>
  </si>
  <si>
    <t>='C:\Users\jaime.benazar\Quorum Business Solutions\Ecopetrol Prometeo - Documents\Planning Space Implementation\3. Analysis &amp; Design\Design\FC22\DRR Jaime\QUIFA-CAJÚA\Cajua\[VAS_CAJUA_CF_SEC_20230125.xlsx]CF PND'!$DN$51</t>
  </si>
  <si>
    <t>='C:\Users\jaime.benazar\Quorum Business Solutions\Ecopetrol Prometeo - Documents\Planning Space Implementation\3. Analysis &amp; Design\Design\FC22\DRR Jaime\QUIFA-CAJÚA\Cajua\[VAS_CAJUA_CF_SEC_20230125.xlsx]CF PND'!$DN$52</t>
  </si>
  <si>
    <t>='C:\Users\jaime.benazar\Quorum Business Solutions\Ecopetrol Prometeo - Documents\Planning Space Implementation\3. Analysis &amp; Design\Design\FC22\DRR Jaime\QUIFA-CAJÚA\Cajua\[VAS_CAJUA_CF_SEC_20230125.xlsx]CF PND'!$DN$53</t>
  </si>
  <si>
    <t>='C:\Users\jaime.benazar\Quorum Business Solutions\Ecopetrol Prometeo - Documents\Planning Space Implementation\3. Analysis &amp; Design\Design\FC22\DRR Jaime\QUIFA-CAJÚA\Cajua\[VAS_CAJUA_CF_SEC_20230125.xlsx]CF PND'!$DN$54</t>
  </si>
  <si>
    <t>='C:\Users\jaime.benazar\Quorum Business Solutions\Ecopetrol Prometeo - Documents\Planning Space Implementation\3. Analysis &amp; Design\Design\FC22\DRR Jaime\QUIFA-CAJÚA\Cajua\[VAS_CAJUA_CF_SEC_20230125.xlsx]CF PND'!$DN$55</t>
  </si>
  <si>
    <t>='C:\Users\jaime.benazar\Quorum Business Solutions\Ecopetrol Prometeo - Documents\Planning Space Implementation\3. Analysis &amp; Design\Design\FC22\DRR Jaime\QUIFA-CAJÚA\Cajua\[VAS_CAJUA_CF_SEC_20230125.xlsx]CF PND'!$DN$56</t>
  </si>
  <si>
    <t>='C:\Users\jaime.benazar\Quorum Business Solutions\Ecopetrol Prometeo - Documents\Planning Space Implementation\3. Analysis &amp; Design\Design\FC22\DRR Jaime\QUIFA-CAJÚA\Cajua\[VAS_CAJUA_CF_SEC_20230125.xlsx]CF PND'!$DN$57</t>
  </si>
  <si>
    <t>='C:\Users\jaime.benazar\Quorum Business Solutions\Ecopetrol Prometeo - Documents\Planning Space Implementation\3. Analysis &amp; Design\Design\FC22\DRR Jaime\QUIFA-CAJÚA\Cajua\[VAS_CAJUA_CF_SEC_20230125.xlsx]CF PND'!$DN$58</t>
  </si>
  <si>
    <t>='C:\Users\jaime.benazar\Quorum Business Solutions\Ecopetrol Prometeo - Documents\Planning Space Implementation\3. Analysis &amp; Design\Design\FC22\DRR Jaime\QUIFA-CAJÚA\Cajua\[VAS_CAJUA_CF_SEC_20230125.xlsx]CF PND'!$DN$59</t>
  </si>
  <si>
    <t>='C:\Users\jaime.benazar\Quorum Business Solutions\Ecopetrol Prometeo - Documents\Planning Space Implementation\3. Analysis &amp; Design\Design\FC22\DRR Jaime\QUIFA-CAJÚA\Cajua\[VAS_CAJUA_CF_SEC_20230125.xlsx]CF PND'!$DN$60</t>
  </si>
  <si>
    <t>='C:\Users\jaime.benazar\Quorum Business Solutions\Ecopetrol Prometeo - Documents\Planning Space Implementation\3. Analysis &amp; Design\Design\FC22\DRR Jaime\QUIFA-CAJÚA\Cajua\[VAS_CAJUA_CF_SEC_20230125.xlsx]CF PND'!$DN$61</t>
  </si>
  <si>
    <t>='C:\Users\jaime.benazar\Quorum Business Solutions\Ecopetrol Prometeo - Documents\Planning Space Implementation\3. Analysis &amp; Design\Design\FC22\DRR Jaime\QUIFA-CAJÚA\Cajua\[VAS_CAJUA_CF_SEC_20230125.xlsx]CF PND'!$DN$62</t>
  </si>
  <si>
    <t>='C:\Users\jaime.benazar\Quorum Business Solutions\Ecopetrol Prometeo - Documents\Planning Space Implementation\3. Analysis &amp; Design\Design\FC22\DRR Jaime\QUIFA-CAJÚA\Cajua\[VAS_CAJUA_CF_SEC_20230125.xlsx]CF PND'!$DN$63</t>
  </si>
  <si>
    <t>='C:\Users\jaime.benazar\Quorum Business Solutions\Ecopetrol Prometeo - Documents\Planning Space Implementation\3. Analysis &amp; Design\Design\FC22\DRR Jaime\QUIFA-CAJÚA\Cajua\[VAS_CAJUA_CF_SEC_20230125.xlsx]CF PND'!$DN$64</t>
  </si>
  <si>
    <t>='C:\Users\jaime.benazar\Quorum Business Solutions\Ecopetrol Prometeo - Documents\Planning Space Implementation\3. Analysis &amp; Design\Design\FC22\DRR Jaime\QUIFA-CAJÚA\Cajua\[VAS_CAJUA_CF_SEC_20230125.xlsx]CF PND'!$DN$65</t>
  </si>
  <si>
    <t>='C:\Users\jaime.benazar\Quorum Business Solutions\Ecopetrol Prometeo - Documents\Planning Space Implementation\3. Analysis &amp; Design\Design\FC22\DRR Jaime\QUIFA-CAJÚA\Cajua\[VAS_CAJUA_CF_SEC_20230125.xlsx]CF PND'!$DN$66</t>
  </si>
  <si>
    <t>='C:\Users\jaime.benazar\Quorum Business Solutions\Ecopetrol Prometeo - Documents\Planning Space Implementation\3. Analysis &amp; Design\Design\FC22\DRR Jaime\QUIFA-CAJÚA\Cajua\[VAS_CAJUA_CF_SEC_20230125.xlsx]CF PND'!$DN$67</t>
  </si>
  <si>
    <t>='C:\Users\jaime.benazar\Quorum Business Solutions\Ecopetrol Prometeo - Documents\Planning Space Implementation\3. Analysis &amp; Design\Design\FC22\DRR Jaime\QUIFA-CAJÚA\Cajua\[VAS_CAJUA_CF_SEC_20230125.xlsx]CF PND'!$DN$68</t>
  </si>
  <si>
    <t>='C:\Users\jaime.benazar\Quorum Business Solutions\Ecopetrol Prometeo - Documents\Planning Space Implementation\3. Analysis &amp; Design\Design\FC22\DRR Jaime\QUIFA-CAJÚA\Cajua\[VAS_CAJUA_CF_SEC_20230125.xlsx]CF PND'!$DN$69</t>
  </si>
  <si>
    <t>='C:\Users\jaime.benazar\Quorum Business Solutions\Ecopetrol Prometeo - Documents\Planning Space Implementation\3. Analysis &amp; Design\Design\FC22\DRR Jaime\QUIFA-CAJÚA\Cajua\[VAS_CAJUA_CF_SEC_20230125.xlsx]CF PND'!$DN$70</t>
  </si>
  <si>
    <t>='C:\Users\jaime.benazar\Quorum Business Solutions\Ecopetrol Prometeo - Documents\Planning Space Implementation\3. Analysis &amp; Design\Design\FC22\DRR Jaime\QUIFA-CAJÚA\Cajua\[VAS_CAJUA_CF_SEC_20230125.xlsx]CF PND'!$DN$71</t>
  </si>
  <si>
    <t>='C:\Users\jaime.benazar\Quorum Business Solutions\Ecopetrol Prometeo - Documents\Planning Space Implementation\3. Analysis &amp; Design\Design\FC22\DRR Jaime\QUIFA-CAJÚA\Cajua\[VAS_CAJUA_CF_SEC_20230125.xlsx]CF PND'!$DN$72</t>
  </si>
  <si>
    <t>='C:\Users\jaime.benazar\Quorum Business Solutions\Ecopetrol Prometeo - Documents\Planning Space Implementation\3. Analysis &amp; Design\Design\FC22\DRR Jaime\QUIFA-CAJÚA\Cajua\[VAS_CAJUA_CF_SEC_20230125.xlsx]CF PRB'!$DN$36</t>
  </si>
  <si>
    <t>='C:\Users\jaime.benazar\Quorum Business Solutions\Ecopetrol Prometeo - Documents\Planning Space Implementation\3. Analysis &amp; Design\Design\FC22\DRR Jaime\QUIFA-CAJÚA\Cajua\[VAS_CAJUA_CF_SEC_20230125.xlsx]CF PRB'!$DN$37</t>
  </si>
  <si>
    <t>='C:\Users\jaime.benazar\Quorum Business Solutions\Ecopetrol Prometeo - Documents\Planning Space Implementation\3. Analysis &amp; Design\Design\FC22\DRR Jaime\QUIFA-CAJÚA\Cajua\[VAS_CAJUA_CF_SEC_20230125.xlsx]CF PRB'!$DN$38</t>
  </si>
  <si>
    <t>='C:\Users\jaime.benazar\Quorum Business Solutions\Ecopetrol Prometeo - Documents\Planning Space Implementation\3. Analysis &amp; Design\Design\FC22\DRR Jaime\QUIFA-CAJÚA\Cajua\[VAS_CAJUA_CF_SEC_20230125.xlsx]CF PRB'!$DN$39</t>
  </si>
  <si>
    <t>='C:\Users\jaime.benazar\Quorum Business Solutions\Ecopetrol Prometeo - Documents\Planning Space Implementation\3. Analysis &amp; Design\Design\FC22\DRR Jaime\QUIFA-CAJÚA\Cajua\[VAS_CAJUA_CF_SEC_20230125.xlsx]CF PRB'!$DN$40</t>
  </si>
  <si>
    <t>='C:\Users\jaime.benazar\Quorum Business Solutions\Ecopetrol Prometeo - Documents\Planning Space Implementation\3. Analysis &amp; Design\Design\FC22\DRR Jaime\QUIFA-CAJÚA\Cajua\[VAS_CAJUA_CF_SEC_20230125.xlsx]CF PRB'!$DN$41</t>
  </si>
  <si>
    <t>='C:\Users\jaime.benazar\Quorum Business Solutions\Ecopetrol Prometeo - Documents\Planning Space Implementation\3. Analysis &amp; Design\Design\FC22\DRR Jaime\QUIFA-CAJÚA\Cajua\[VAS_CAJUA_CF_SEC_20230125.xlsx]CF PRB'!$DN$42</t>
  </si>
  <si>
    <t>='C:\Users\jaime.benazar\Quorum Business Solutions\Ecopetrol Prometeo - Documents\Planning Space Implementation\3. Analysis &amp; Design\Design\FC22\DRR Jaime\QUIFA-CAJÚA\Cajua\[VAS_CAJUA_CF_SEC_20230125.xlsx]CF PRB'!$DN$43</t>
  </si>
  <si>
    <t>='C:\Users\jaime.benazar\Quorum Business Solutions\Ecopetrol Prometeo - Documents\Planning Space Implementation\3. Analysis &amp; Design\Design\FC22\DRR Jaime\QUIFA-CAJÚA\Cajua\[VAS_CAJUA_CF_SEC_20230125.xlsx]CF PRB'!$DN$44</t>
  </si>
  <si>
    <t>='C:\Users\jaime.benazar\Quorum Business Solutions\Ecopetrol Prometeo - Documents\Planning Space Implementation\3. Analysis &amp; Design\Design\FC22\DRR Jaime\QUIFA-CAJÚA\Cajua\[VAS_CAJUA_CF_SEC_20230125.xlsx]CF PRB'!$DN$45</t>
  </si>
  <si>
    <t>='C:\Users\jaime.benazar\Quorum Business Solutions\Ecopetrol Prometeo - Documents\Planning Space Implementation\3. Analysis &amp; Design\Design\FC22\DRR Jaime\QUIFA-CAJÚA\Cajua\[VAS_CAJUA_CF_SEC_20230125.xlsx]CF PRB'!$DN$46</t>
  </si>
  <si>
    <t>='C:\Users\jaime.benazar\Quorum Business Solutions\Ecopetrol Prometeo - Documents\Planning Space Implementation\3. Analysis &amp; Design\Design\FC22\DRR Jaime\QUIFA-CAJÚA\Cajua\[VAS_CAJUA_CF_SEC_20230125.xlsx]CF PRB'!$DN$47</t>
  </si>
  <si>
    <t>='C:\Users\jaime.benazar\Quorum Business Solutions\Ecopetrol Prometeo - Documents\Planning Space Implementation\3. Analysis &amp; Design\Design\FC22\DRR Jaime\QUIFA-CAJÚA\Cajua\[VAS_CAJUA_CF_SEC_20230125.xlsx]CF PRB'!$DN$48</t>
  </si>
  <si>
    <t>='C:\Users\jaime.benazar\Quorum Business Solutions\Ecopetrol Prometeo - Documents\Planning Space Implementation\3. Analysis &amp; Design\Design\FC22\DRR Jaime\QUIFA-CAJÚA\Cajua\[VAS_CAJUA_CF_SEC_20230125.xlsx]CF PRB'!$DN$49</t>
  </si>
  <si>
    <t>='C:\Users\jaime.benazar\Quorum Business Solutions\Ecopetrol Prometeo - Documents\Planning Space Implementation\3. Analysis &amp; Design\Design\FC22\DRR Jaime\QUIFA-CAJÚA\Cajua\[VAS_CAJUA_CF_SEC_20230125.xlsx]CF PRB'!$DN$50</t>
  </si>
  <si>
    <t>='C:\Users\jaime.benazar\Quorum Business Solutions\Ecopetrol Prometeo - Documents\Planning Space Implementation\3. Analysis &amp; Design\Design\FC22\DRR Jaime\QUIFA-CAJÚA\Cajua\[VAS_CAJUA_CF_SEC_20230125.xlsx]CF PRB'!$DN$51</t>
  </si>
  <si>
    <t>='C:\Users\jaime.benazar\Quorum Business Solutions\Ecopetrol Prometeo - Documents\Planning Space Implementation\3. Analysis &amp; Design\Design\FC22\DRR Jaime\QUIFA-CAJÚA\Cajua\[VAS_CAJUA_CF_SEC_20230125.xlsx]CF PRB'!$DN$52</t>
  </si>
  <si>
    <t>='C:\Users\jaime.benazar\Quorum Business Solutions\Ecopetrol Prometeo - Documents\Planning Space Implementation\3. Analysis &amp; Design\Design\FC22\DRR Jaime\QUIFA-CAJÚA\Cajua\[VAS_CAJUA_CF_SEC_20230125.xlsx]CF PRB'!$DN$53</t>
  </si>
  <si>
    <t>='C:\Users\jaime.benazar\Quorum Business Solutions\Ecopetrol Prometeo - Documents\Planning Space Implementation\3. Analysis &amp; Design\Design\FC22\DRR Jaime\QUIFA-CAJÚA\Cajua\[VAS_CAJUA_CF_SEC_20230125.xlsx]CF PRB'!$DN$54</t>
  </si>
  <si>
    <t>='C:\Users\jaime.benazar\Quorum Business Solutions\Ecopetrol Prometeo - Documents\Planning Space Implementation\3. Analysis &amp; Design\Design\FC22\DRR Jaime\QUIFA-CAJÚA\Cajua\[VAS_CAJUA_CF_SEC_20230125.xlsx]CF PRB'!$DN$55</t>
  </si>
  <si>
    <t>='C:\Users\jaime.benazar\Quorum Business Solutions\Ecopetrol Prometeo - Documents\Planning Space Implementation\3. Analysis &amp; Design\Design\FC22\DRR Jaime\QUIFA-CAJÚA\Cajua\[VAS_CAJUA_CF_SEC_20230125.xlsx]CF PRB'!$DN$56</t>
  </si>
  <si>
    <t>='C:\Users\jaime.benazar\Quorum Business Solutions\Ecopetrol Prometeo - Documents\Planning Space Implementation\3. Analysis &amp; Design\Design\FC22\DRR Jaime\QUIFA-CAJÚA\Cajua\[VAS_CAJUA_CF_SEC_20230125.xlsx]CF PRB'!$DN$57</t>
  </si>
  <si>
    <t>='C:\Users\jaime.benazar\Quorum Business Solutions\Ecopetrol Prometeo - Documents\Planning Space Implementation\3. Analysis &amp; Design\Design\FC22\DRR Jaime\QUIFA-CAJÚA\Cajua\[VAS_CAJUA_CF_SEC_20230125.xlsx]CF PRB'!$DN$58</t>
  </si>
  <si>
    <t>='C:\Users\jaime.benazar\Quorum Business Solutions\Ecopetrol Prometeo - Documents\Planning Space Implementation\3. Analysis &amp; Design\Design\FC22\DRR Jaime\QUIFA-CAJÚA\Cajua\[VAS_CAJUA_CF_SEC_20230125.xlsx]CF PRB'!$DN$59</t>
  </si>
  <si>
    <t>='C:\Users\jaime.benazar\Quorum Business Solutions\Ecopetrol Prometeo - Documents\Planning Space Implementation\3. Analysis &amp; Design\Design\FC22\DRR Jaime\QUIFA-CAJÚA\Cajua\[VAS_CAJUA_CF_SEC_20230125.xlsx]CF PRB'!$DN$60</t>
  </si>
  <si>
    <t>='C:\Users\jaime.benazar\Quorum Business Solutions\Ecopetrol Prometeo - Documents\Planning Space Implementation\3. Analysis &amp; Design\Design\FC22\DRR Jaime\QUIFA-CAJÚA\Cajua\[VAS_CAJUA_CF_SEC_20230125.xlsx]CF PRB'!$DN$61</t>
  </si>
  <si>
    <t>='C:\Users\jaime.benazar\Quorum Business Solutions\Ecopetrol Prometeo - Documents\Planning Space Implementation\3. Analysis &amp; Design\Design\FC22\DRR Jaime\QUIFA-CAJÚA\Cajua\[VAS_CAJUA_CF_SEC_20230125.xlsx]CF PRB'!$DN$62</t>
  </si>
  <si>
    <t>='C:\Users\jaime.benazar\Quorum Business Solutions\Ecopetrol Prometeo - Documents\Planning Space Implementation\3. Analysis &amp; Design\Design\FC22\DRR Jaime\QUIFA-CAJÚA\Cajua\[VAS_CAJUA_CF_SEC_20230125.xlsx]CF PRB'!$DN$63</t>
  </si>
  <si>
    <t>='C:\Users\jaime.benazar\Quorum Business Solutions\Ecopetrol Prometeo - Documents\Planning Space Implementation\3. Analysis &amp; Design\Design\FC22\DRR Jaime\QUIFA-CAJÚA\Cajua\[VAS_CAJUA_CF_SEC_20230125.xlsx]CF PRB'!$DN$64</t>
  </si>
  <si>
    <t>='C:\Users\jaime.benazar\Quorum Business Solutions\Ecopetrol Prometeo - Documents\Planning Space Implementation\3. Analysis &amp; Design\Design\FC22\DRR Jaime\QUIFA-CAJÚA\Cajua\[VAS_CAJUA_CF_SEC_20230125.xlsx]CF PRB'!$DN$65</t>
  </si>
  <si>
    <t>='C:\Users\jaime.benazar\Quorum Business Solutions\Ecopetrol Prometeo - Documents\Planning Space Implementation\3. Analysis &amp; Design\Design\FC22\DRR Jaime\QUIFA-CAJÚA\Cajua\[VAS_CAJUA_CF_SEC_20230125.xlsx]CF PRB'!$DN$66</t>
  </si>
  <si>
    <t>='C:\Users\jaime.benazar\Quorum Business Solutions\Ecopetrol Prometeo - Documents\Planning Space Implementation\3. Analysis &amp; Design\Design\FC22\DRR Jaime\QUIFA-CAJÚA\Cajua\[VAS_CAJUA_CF_SEC_20230125.xlsx]CF PRB'!$DN$67</t>
  </si>
  <si>
    <t>='C:\Users\jaime.benazar\Quorum Business Solutions\Ecopetrol Prometeo - Documents\Planning Space Implementation\3. Analysis &amp; Design\Design\FC22\DRR Jaime\QUIFA-CAJÚA\Cajua\[VAS_CAJUA_CF_SEC_20230125.xlsx]CF PRB'!$DN$68</t>
  </si>
  <si>
    <t>='C:\Users\jaime.benazar\Quorum Business Solutions\Ecopetrol Prometeo - Documents\Planning Space Implementation\3. Analysis &amp; Design\Design\FC22\DRR Jaime\QUIFA-CAJÚA\Cajua\[VAS_CAJUA_CF_SEC_20230125.xlsx]CF PRB'!$DN$69</t>
  </si>
  <si>
    <t>='C:\Users\jaime.benazar\Quorum Business Solutions\Ecopetrol Prometeo - Documents\Planning Space Implementation\3. Analysis &amp; Design\Design\FC22\DRR Jaime\QUIFA-CAJÚA\Cajua\[VAS_CAJUA_CF_SEC_20230125.xlsx]CF PRB'!$DN$70</t>
  </si>
  <si>
    <t>='C:\Users\jaime.benazar\Quorum Business Solutions\Ecopetrol Prometeo - Documents\Planning Space Implementation\3. Analysis &amp; Design\Design\FC22\DRR Jaime\QUIFA-CAJÚA\Cajua\[VAS_CAJUA_CF_SEC_20230125.xlsx]CF PRB'!$DN$71</t>
  </si>
  <si>
    <t>='C:\Users\jaime.benazar\Quorum Business Solutions\Ecopetrol Prometeo - Documents\Planning Space Implementation\3. Analysis &amp; Design\Design\FC22\DRR Jaime\QUIFA-CAJÚA\Cajua\[VAS_CAJUA_CF_SEC_20230125.xlsx]CF PRB'!$DN$72</t>
  </si>
  <si>
    <t>='C:\Users\jaime.benazar\Quorum Business Solutions\Ecopetrol Prometeo - Documents\Planning Space Implementation\3. Analysis &amp; Design\Design\FC22\DRR Jaime\QUIFA-CAJÚA\Cajua\[VAS_CAJUA_CF_SEC_20230125.xlsx]CF PS'!$DN$36</t>
  </si>
  <si>
    <t>='C:\Users\jaime.benazar\Quorum Business Solutions\Ecopetrol Prometeo - Documents\Planning Space Implementation\3. Analysis &amp; Design\Design\FC22\DRR Jaime\QUIFA-CAJÚA\Cajua\[VAS_CAJUA_CF_SEC_20230125.xlsx]CF PS'!$DN$37</t>
  </si>
  <si>
    <t>='C:\Users\jaime.benazar\Quorum Business Solutions\Ecopetrol Prometeo - Documents\Planning Space Implementation\3. Analysis &amp; Design\Design\FC22\DRR Jaime\QUIFA-CAJÚA\Cajua\[VAS_CAJUA_CF_SEC_20230125.xlsx]CF PS'!$DN$38</t>
  </si>
  <si>
    <t>='C:\Users\jaime.benazar\Quorum Business Solutions\Ecopetrol Prometeo - Documents\Planning Space Implementation\3. Analysis &amp; Design\Design\FC22\DRR Jaime\QUIFA-CAJÚA\Cajua\[VAS_CAJUA_CF_SEC_20230125.xlsx]CF PS'!$DN$39</t>
  </si>
  <si>
    <t>='C:\Users\jaime.benazar\Quorum Business Solutions\Ecopetrol Prometeo - Documents\Planning Space Implementation\3. Analysis &amp; Design\Design\FC22\DRR Jaime\QUIFA-CAJÚA\Cajua\[VAS_CAJUA_CF_SEC_20230125.xlsx]CF PS'!$DN$40</t>
  </si>
  <si>
    <t>='C:\Users\jaime.benazar\Quorum Business Solutions\Ecopetrol Prometeo - Documents\Planning Space Implementation\3. Analysis &amp; Design\Design\FC22\DRR Jaime\QUIFA-CAJÚA\Cajua\[VAS_CAJUA_CF_SEC_20230125.xlsx]CF PS'!$DN$41</t>
  </si>
  <si>
    <t>='C:\Users\jaime.benazar\Quorum Business Solutions\Ecopetrol Prometeo - Documents\Planning Space Implementation\3. Analysis &amp; Design\Design\FC22\DRR Jaime\QUIFA-CAJÚA\Cajua\[VAS_CAJUA_CF_SEC_20230125.xlsx]CF PS'!$DN$42</t>
  </si>
  <si>
    <t>='C:\Users\jaime.benazar\Quorum Business Solutions\Ecopetrol Prometeo - Documents\Planning Space Implementation\3. Analysis &amp; Design\Design\FC22\DRR Jaime\QUIFA-CAJÚA\Cajua\[VAS_CAJUA_CF_SEC_20230125.xlsx]CF PS'!$DN$43</t>
  </si>
  <si>
    <t>='C:\Users\jaime.benazar\Quorum Business Solutions\Ecopetrol Prometeo - Documents\Planning Space Implementation\3. Analysis &amp; Design\Design\FC22\DRR Jaime\QUIFA-CAJÚA\Cajua\[VAS_CAJUA_CF_SEC_20230125.xlsx]CF PS'!$DN$44</t>
  </si>
  <si>
    <t>='C:\Users\jaime.benazar\Quorum Business Solutions\Ecopetrol Prometeo - Documents\Planning Space Implementation\3. Analysis &amp; Design\Design\FC22\DRR Jaime\QUIFA-CAJÚA\Cajua\[VAS_CAJUA_CF_SEC_20230125.xlsx]CF PS'!$DN$45</t>
  </si>
  <si>
    <t>='C:\Users\jaime.benazar\Quorum Business Solutions\Ecopetrol Prometeo - Documents\Planning Space Implementation\3. Analysis &amp; Design\Design\FC22\DRR Jaime\QUIFA-CAJÚA\Cajua\[VAS_CAJUA_CF_SEC_20230125.xlsx]CF PS'!$DN$46</t>
  </si>
  <si>
    <t>='C:\Users\jaime.benazar\Quorum Business Solutions\Ecopetrol Prometeo - Documents\Planning Space Implementation\3. Analysis &amp; Design\Design\FC22\DRR Jaime\QUIFA-CAJÚA\Cajua\[VAS_CAJUA_CF_SEC_20230125.xlsx]CF PS'!$DN$47</t>
  </si>
  <si>
    <t>='C:\Users\jaime.benazar\Quorum Business Solutions\Ecopetrol Prometeo - Documents\Planning Space Implementation\3. Analysis &amp; Design\Design\FC22\DRR Jaime\QUIFA-CAJÚA\Cajua\[VAS_CAJUA_CF_SEC_20230125.xlsx]CF PS'!$DN$48</t>
  </si>
  <si>
    <t>='C:\Users\jaime.benazar\Quorum Business Solutions\Ecopetrol Prometeo - Documents\Planning Space Implementation\3. Analysis &amp; Design\Design\FC22\DRR Jaime\QUIFA-CAJÚA\Cajua\[VAS_CAJUA_CF_SEC_20230125.xlsx]CF PS'!$DN$49</t>
  </si>
  <si>
    <t>='C:\Users\jaime.benazar\Quorum Business Solutions\Ecopetrol Prometeo - Documents\Planning Space Implementation\3. Analysis &amp; Design\Design\FC22\DRR Jaime\QUIFA-CAJÚA\Cajua\[VAS_CAJUA_CF_SEC_20230125.xlsx]CF PS'!$DN$50</t>
  </si>
  <si>
    <t>='C:\Users\jaime.benazar\Quorum Business Solutions\Ecopetrol Prometeo - Documents\Planning Space Implementation\3. Analysis &amp; Design\Design\FC22\DRR Jaime\QUIFA-CAJÚA\Cajua\[VAS_CAJUA_CF_SEC_20230125.xlsx]CF PS'!$DN$51</t>
  </si>
  <si>
    <t>='C:\Users\jaime.benazar\Quorum Business Solutions\Ecopetrol Prometeo - Documents\Planning Space Implementation\3. Analysis &amp; Design\Design\FC22\DRR Jaime\QUIFA-CAJÚA\Cajua\[VAS_CAJUA_CF_SEC_20230125.xlsx]CF PS'!$DN$52</t>
  </si>
  <si>
    <t>='C:\Users\jaime.benazar\Quorum Business Solutions\Ecopetrol Prometeo - Documents\Planning Space Implementation\3. Analysis &amp; Design\Design\FC22\DRR Jaime\QUIFA-CAJÚA\Cajua\[VAS_CAJUA_CF_SEC_20230125.xlsx]CF PS'!$DN$53</t>
  </si>
  <si>
    <t>='C:\Users\jaime.benazar\Quorum Business Solutions\Ecopetrol Prometeo - Documents\Planning Space Implementation\3. Analysis &amp; Design\Design\FC22\DRR Jaime\QUIFA-CAJÚA\Cajua\[VAS_CAJUA_CF_SEC_20230125.xlsx]CF PS'!$DN$54</t>
  </si>
  <si>
    <t>='C:\Users\jaime.benazar\Quorum Business Solutions\Ecopetrol Prometeo - Documents\Planning Space Implementation\3. Analysis &amp; Design\Design\FC22\DRR Jaime\QUIFA-CAJÚA\Cajua\[VAS_CAJUA_CF_SEC_20230125.xlsx]CF PS'!$DN$55</t>
  </si>
  <si>
    <t>='C:\Users\jaime.benazar\Quorum Business Solutions\Ecopetrol Prometeo - Documents\Planning Space Implementation\3. Analysis &amp; Design\Design\FC22\DRR Jaime\QUIFA-CAJÚA\Cajua\[VAS_CAJUA_CF_SEC_20230125.xlsx]CF PS'!$DN$56</t>
  </si>
  <si>
    <t>='C:\Users\jaime.benazar\Quorum Business Solutions\Ecopetrol Prometeo - Documents\Planning Space Implementation\3. Analysis &amp; Design\Design\FC22\DRR Jaime\QUIFA-CAJÚA\Cajua\[VAS_CAJUA_CF_SEC_20230125.xlsx]CF PS'!$DN$57</t>
  </si>
  <si>
    <t>='C:\Users\jaime.benazar\Quorum Business Solutions\Ecopetrol Prometeo - Documents\Planning Space Implementation\3. Analysis &amp; Design\Design\FC22\DRR Jaime\QUIFA-CAJÚA\Cajua\[VAS_CAJUA_CF_SEC_20230125.xlsx]CF PS'!$DN$58</t>
  </si>
  <si>
    <t>='C:\Users\jaime.benazar\Quorum Business Solutions\Ecopetrol Prometeo - Documents\Planning Space Implementation\3. Analysis &amp; Design\Design\FC22\DRR Jaime\QUIFA-CAJÚA\Cajua\[VAS_CAJUA_CF_SEC_20230125.xlsx]CF PS'!$DN$59</t>
  </si>
  <si>
    <t>='C:\Users\jaime.benazar\Quorum Business Solutions\Ecopetrol Prometeo - Documents\Planning Space Implementation\3. Analysis &amp; Design\Design\FC22\DRR Jaime\QUIFA-CAJÚA\Cajua\[VAS_CAJUA_CF_SEC_20230125.xlsx]CF PS'!$DN$60</t>
  </si>
  <si>
    <t>='C:\Users\jaime.benazar\Quorum Business Solutions\Ecopetrol Prometeo - Documents\Planning Space Implementation\3. Analysis &amp; Design\Design\FC22\DRR Jaime\QUIFA-CAJÚA\Cajua\[VAS_CAJUA_CF_SEC_20230125.xlsx]CF PS'!$DN$61</t>
  </si>
  <si>
    <t>='C:\Users\jaime.benazar\Quorum Business Solutions\Ecopetrol Prometeo - Documents\Planning Space Implementation\3. Analysis &amp; Design\Design\FC22\DRR Jaime\QUIFA-CAJÚA\Cajua\[VAS_CAJUA_CF_SEC_20230125.xlsx]CF PS'!$DN$62</t>
  </si>
  <si>
    <t>='C:\Users\jaime.benazar\Quorum Business Solutions\Ecopetrol Prometeo - Documents\Planning Space Implementation\3. Analysis &amp; Design\Design\FC22\DRR Jaime\QUIFA-CAJÚA\Cajua\[VAS_CAJUA_CF_SEC_20230125.xlsx]CF PS'!$DN$63</t>
  </si>
  <si>
    <t>='C:\Users\jaime.benazar\Quorum Business Solutions\Ecopetrol Prometeo - Documents\Planning Space Implementation\3. Analysis &amp; Design\Design\FC22\DRR Jaime\QUIFA-CAJÚA\Cajua\[VAS_CAJUA_CF_SEC_20230125.xlsx]CF PS'!$DN$64</t>
  </si>
  <si>
    <t>='C:\Users\jaime.benazar\Quorum Business Solutions\Ecopetrol Prometeo - Documents\Planning Space Implementation\3. Analysis &amp; Design\Design\FC22\DRR Jaime\QUIFA-CAJÚA\Cajua\[VAS_CAJUA_CF_SEC_20230125.xlsx]CF PS'!$DN$65</t>
  </si>
  <si>
    <t>='C:\Users\jaime.benazar\Quorum Business Solutions\Ecopetrol Prometeo - Documents\Planning Space Implementation\3. Analysis &amp; Design\Design\FC22\DRR Jaime\QUIFA-CAJÚA\Cajua\[VAS_CAJUA_CF_SEC_20230125.xlsx]CF PS'!$DN$66</t>
  </si>
  <si>
    <t>='C:\Users\jaime.benazar\Quorum Business Solutions\Ecopetrol Prometeo - Documents\Planning Space Implementation\3. Analysis &amp; Design\Design\FC22\DRR Jaime\QUIFA-CAJÚA\Cajua\[VAS_CAJUA_CF_SEC_20230125.xlsx]CF PS'!$DN$67</t>
  </si>
  <si>
    <t>='C:\Users\jaime.benazar\Quorum Business Solutions\Ecopetrol Prometeo - Documents\Planning Space Implementation\3. Analysis &amp; Design\Design\FC22\DRR Jaime\QUIFA-CAJÚA\Cajua\[VAS_CAJUA_CF_SEC_20230125.xlsx]CF PS'!$DN$68</t>
  </si>
  <si>
    <t>='C:\Users\jaime.benazar\Quorum Business Solutions\Ecopetrol Prometeo - Documents\Planning Space Implementation\3. Analysis &amp; Design\Design\FC22\DRR Jaime\QUIFA-CAJÚA\Cajua\[VAS_CAJUA_CF_SEC_20230125.xlsx]CF PS'!$DN$69</t>
  </si>
  <si>
    <t>='C:\Users\jaime.benazar\Quorum Business Solutions\Ecopetrol Prometeo - Documents\Planning Space Implementation\3. Analysis &amp; Design\Design\FC22\DRR Jaime\QUIFA-CAJÚA\Cajua\[VAS_CAJUA_CF_SEC_20230125.xlsx]CF PS'!$DN$70</t>
  </si>
  <si>
    <t>='C:\Users\jaime.benazar\Quorum Business Solutions\Ecopetrol Prometeo - Documents\Planning Space Implementation\3. Analysis &amp; Design\Design\FC22\DRR Jaime\QUIFA-CAJÚA\Cajua\[VAS_CAJUA_CF_SEC_20230125.xlsx]CF PS'!$DN$71</t>
  </si>
  <si>
    <t>='C:\Users\jaime.benazar\Quorum Business Solutions\Ecopetrol Prometeo - Documents\Planning Space Implementation\3. Analysis &amp; Design\Design\FC22\DRR Jaime\QUIFA-CAJÚA\Cajua\[VAS_CAJUA_CF_SEC_20230125.xlsx]CF PS'!$DN$72</t>
  </si>
  <si>
    <t>='C:\Users\jaime.benazar\Quorum Business Solutions\Ecopetrol Prometeo - Documents\Planning Space Implementation\3. Analysis &amp; Design\Design\FC22\DRR Jaime\QUIFA-CAJÚA\Cajua\[VAS_CAJUA_CF_SEC_20230125.xlsx]CF PDP'!$DI$36</t>
  </si>
  <si>
    <t>='C:\Users\jaime.benazar\Quorum Business Solutions\Ecopetrol Prometeo - Documents\Planning Space Implementation\3. Analysis &amp; Design\Design\FC22\DRR Jaime\QUIFA-CAJÚA\Cajua\[VAS_CAJUA_CF_SEC_20230125.xlsx]CF PDP'!$DI$37</t>
  </si>
  <si>
    <t>='C:\Users\jaime.benazar\Quorum Business Solutions\Ecopetrol Prometeo - Documents\Planning Space Implementation\3. Analysis &amp; Design\Design\FC22\DRR Jaime\QUIFA-CAJÚA\Cajua\[VAS_CAJUA_CF_SEC_20230125.xlsx]CF PDP'!$DI$38</t>
  </si>
  <si>
    <t>='C:\Users\jaime.benazar\Quorum Business Solutions\Ecopetrol Prometeo - Documents\Planning Space Implementation\3. Analysis &amp; Design\Design\FC22\DRR Jaime\QUIFA-CAJÚA\Cajua\[VAS_CAJUA_CF_SEC_20230125.xlsx]CF PDP'!$DI$39</t>
  </si>
  <si>
    <t>='C:\Users\jaime.benazar\Quorum Business Solutions\Ecopetrol Prometeo - Documents\Planning Space Implementation\3. Analysis &amp; Design\Design\FC22\DRR Jaime\QUIFA-CAJÚA\Cajua\[VAS_CAJUA_CF_SEC_20230125.xlsx]CF PDP'!$DI$40</t>
  </si>
  <si>
    <t>='C:\Users\jaime.benazar\Quorum Business Solutions\Ecopetrol Prometeo - Documents\Planning Space Implementation\3. Analysis &amp; Design\Design\FC22\DRR Jaime\QUIFA-CAJÚA\Cajua\[VAS_CAJUA_CF_SEC_20230125.xlsx]CF PDP'!$DI$41</t>
  </si>
  <si>
    <t>='C:\Users\jaime.benazar\Quorum Business Solutions\Ecopetrol Prometeo - Documents\Planning Space Implementation\3. Analysis &amp; Design\Design\FC22\DRR Jaime\QUIFA-CAJÚA\Cajua\[VAS_CAJUA_CF_SEC_20230125.xlsx]CF PDP'!$DI$42</t>
  </si>
  <si>
    <t>='C:\Users\jaime.benazar\Quorum Business Solutions\Ecopetrol Prometeo - Documents\Planning Space Implementation\3. Analysis &amp; Design\Design\FC22\DRR Jaime\QUIFA-CAJÚA\Cajua\[VAS_CAJUA_CF_SEC_20230125.xlsx]CF PDP'!$DI$43</t>
  </si>
  <si>
    <t>='C:\Users\jaime.benazar\Quorum Business Solutions\Ecopetrol Prometeo - Documents\Planning Space Implementation\3. Analysis &amp; Design\Design\FC22\DRR Jaime\QUIFA-CAJÚA\Cajua\[VAS_CAJUA_CF_SEC_20230125.xlsx]CF PDP'!$DI$44</t>
  </si>
  <si>
    <t>='C:\Users\jaime.benazar\Quorum Business Solutions\Ecopetrol Prometeo - Documents\Planning Space Implementation\3. Analysis &amp; Design\Design\FC22\DRR Jaime\QUIFA-CAJÚA\Cajua\[VAS_CAJUA_CF_SEC_20230125.xlsx]CF PDP'!$DI$45</t>
  </si>
  <si>
    <t>='C:\Users\jaime.benazar\Quorum Business Solutions\Ecopetrol Prometeo - Documents\Planning Space Implementation\3. Analysis &amp; Design\Design\FC22\DRR Jaime\QUIFA-CAJÚA\Cajua\[VAS_CAJUA_CF_SEC_20230125.xlsx]CF PDP'!$DI$46</t>
  </si>
  <si>
    <t>='C:\Users\jaime.benazar\Quorum Business Solutions\Ecopetrol Prometeo - Documents\Planning Space Implementation\3. Analysis &amp; Design\Design\FC22\DRR Jaime\QUIFA-CAJÚA\Cajua\[VAS_CAJUA_CF_SEC_20230125.xlsx]CF PDP'!$DI$47</t>
  </si>
  <si>
    <t>='C:\Users\jaime.benazar\Quorum Business Solutions\Ecopetrol Prometeo - Documents\Planning Space Implementation\3. Analysis &amp; Design\Design\FC22\DRR Jaime\QUIFA-CAJÚA\Cajua\[VAS_CAJUA_CF_SEC_20230125.xlsx]CF PDP'!$DI$48</t>
  </si>
  <si>
    <t>='C:\Users\jaime.benazar\Quorum Business Solutions\Ecopetrol Prometeo - Documents\Planning Space Implementation\3. Analysis &amp; Design\Design\FC22\DRR Jaime\QUIFA-CAJÚA\Cajua\[VAS_CAJUA_CF_SEC_20230125.xlsx]CF PDP'!$DI$49</t>
  </si>
  <si>
    <t>='C:\Users\jaime.benazar\Quorum Business Solutions\Ecopetrol Prometeo - Documents\Planning Space Implementation\3. Analysis &amp; Design\Design\FC22\DRR Jaime\QUIFA-CAJÚA\Cajua\[VAS_CAJUA_CF_SEC_20230125.xlsx]CF PDP'!$DI$50</t>
  </si>
  <si>
    <t>='C:\Users\jaime.benazar\Quorum Business Solutions\Ecopetrol Prometeo - Documents\Planning Space Implementation\3. Analysis &amp; Design\Design\FC22\DRR Jaime\QUIFA-CAJÚA\Cajua\[VAS_CAJUA_CF_SEC_20230125.xlsx]CF PDP'!$DI$51</t>
  </si>
  <si>
    <t>='C:\Users\jaime.benazar\Quorum Business Solutions\Ecopetrol Prometeo - Documents\Planning Space Implementation\3. Analysis &amp; Design\Design\FC22\DRR Jaime\QUIFA-CAJÚA\Cajua\[VAS_CAJUA_CF_SEC_20230125.xlsx]CF PDP'!$DI$52</t>
  </si>
  <si>
    <t>='C:\Users\jaime.benazar\Quorum Business Solutions\Ecopetrol Prometeo - Documents\Planning Space Implementation\3. Analysis &amp; Design\Design\FC22\DRR Jaime\QUIFA-CAJÚA\Cajua\[VAS_CAJUA_CF_SEC_20230125.xlsx]CF PDP'!$DI$53</t>
  </si>
  <si>
    <t>='C:\Users\jaime.benazar\Quorum Business Solutions\Ecopetrol Prometeo - Documents\Planning Space Implementation\3. Analysis &amp; Design\Design\FC22\DRR Jaime\QUIFA-CAJÚA\Cajua\[VAS_CAJUA_CF_SEC_20230125.xlsx]CF PDP'!$DI$54</t>
  </si>
  <si>
    <t>='C:\Users\jaime.benazar\Quorum Business Solutions\Ecopetrol Prometeo - Documents\Planning Space Implementation\3. Analysis &amp; Design\Design\FC22\DRR Jaime\QUIFA-CAJÚA\Cajua\[VAS_CAJUA_CF_SEC_20230125.xlsx]CF PDP'!$DI$55</t>
  </si>
  <si>
    <t>='C:\Users\jaime.benazar\Quorum Business Solutions\Ecopetrol Prometeo - Documents\Planning Space Implementation\3. Analysis &amp; Design\Design\FC22\DRR Jaime\QUIFA-CAJÚA\Cajua\[VAS_CAJUA_CF_SEC_20230125.xlsx]CF PDP'!$DI$56</t>
  </si>
  <si>
    <t>='C:\Users\jaime.benazar\Quorum Business Solutions\Ecopetrol Prometeo - Documents\Planning Space Implementation\3. Analysis &amp; Design\Design\FC22\DRR Jaime\QUIFA-CAJÚA\Cajua\[VAS_CAJUA_CF_SEC_20230125.xlsx]CF PDP'!$DI$57</t>
  </si>
  <si>
    <t>='C:\Users\jaime.benazar\Quorum Business Solutions\Ecopetrol Prometeo - Documents\Planning Space Implementation\3. Analysis &amp; Design\Design\FC22\DRR Jaime\QUIFA-CAJÚA\Cajua\[VAS_CAJUA_CF_SEC_20230125.xlsx]CF PDP'!$DI$58</t>
  </si>
  <si>
    <t>='C:\Users\jaime.benazar\Quorum Business Solutions\Ecopetrol Prometeo - Documents\Planning Space Implementation\3. Analysis &amp; Design\Design\FC22\DRR Jaime\QUIFA-CAJÚA\Cajua\[VAS_CAJUA_CF_SEC_20230125.xlsx]CF PDP'!$DI$59</t>
  </si>
  <si>
    <t>='C:\Users\jaime.benazar\Quorum Business Solutions\Ecopetrol Prometeo - Documents\Planning Space Implementation\3. Analysis &amp; Design\Design\FC22\DRR Jaime\QUIFA-CAJÚA\Cajua\[VAS_CAJUA_CF_SEC_20230125.xlsx]CF PDP'!$DI$60</t>
  </si>
  <si>
    <t>='C:\Users\jaime.benazar\Quorum Business Solutions\Ecopetrol Prometeo - Documents\Planning Space Implementation\3. Analysis &amp; Design\Design\FC22\DRR Jaime\QUIFA-CAJÚA\Cajua\[VAS_CAJUA_CF_SEC_20230125.xlsx]CF PDP'!$DI$61</t>
  </si>
  <si>
    <t>='C:\Users\jaime.benazar\Quorum Business Solutions\Ecopetrol Prometeo - Documents\Planning Space Implementation\3. Analysis &amp; Design\Design\FC22\DRR Jaime\QUIFA-CAJÚA\Cajua\[VAS_CAJUA_CF_SEC_20230125.xlsx]CF PDP'!$DI$62</t>
  </si>
  <si>
    <t>='C:\Users\jaime.benazar\Quorum Business Solutions\Ecopetrol Prometeo - Documents\Planning Space Implementation\3. Analysis &amp; Design\Design\FC22\DRR Jaime\QUIFA-CAJÚA\Cajua\[VAS_CAJUA_CF_SEC_20230125.xlsx]CF PDP'!$DI$63</t>
  </si>
  <si>
    <t>='C:\Users\jaime.benazar\Quorum Business Solutions\Ecopetrol Prometeo - Documents\Planning Space Implementation\3. Analysis &amp; Design\Design\FC22\DRR Jaime\QUIFA-CAJÚA\Cajua\[VAS_CAJUA_CF_SEC_20230125.xlsx]CF PDP'!$DI$64</t>
  </si>
  <si>
    <t>='C:\Users\jaime.benazar\Quorum Business Solutions\Ecopetrol Prometeo - Documents\Planning Space Implementation\3. Analysis &amp; Design\Design\FC22\DRR Jaime\QUIFA-CAJÚA\Cajua\[VAS_CAJUA_CF_SEC_20230125.xlsx]CF PDP'!$DI$65</t>
  </si>
  <si>
    <t>='C:\Users\jaime.benazar\Quorum Business Solutions\Ecopetrol Prometeo - Documents\Planning Space Implementation\3. Analysis &amp; Design\Design\FC22\DRR Jaime\QUIFA-CAJÚA\Cajua\[VAS_CAJUA_CF_SEC_20230125.xlsx]CF PDP'!$DI$66</t>
  </si>
  <si>
    <t>='C:\Users\jaime.benazar\Quorum Business Solutions\Ecopetrol Prometeo - Documents\Planning Space Implementation\3. Analysis &amp; Design\Design\FC22\DRR Jaime\QUIFA-CAJÚA\Cajua\[VAS_CAJUA_CF_SEC_20230125.xlsx]CF PDP'!$DI$67</t>
  </si>
  <si>
    <t>='C:\Users\jaime.benazar\Quorum Business Solutions\Ecopetrol Prometeo - Documents\Planning Space Implementation\3. Analysis &amp; Design\Design\FC22\DRR Jaime\QUIFA-CAJÚA\Cajua\[VAS_CAJUA_CF_SEC_20230125.xlsx]CF PDP'!$DI$68</t>
  </si>
  <si>
    <t>='C:\Users\jaime.benazar\Quorum Business Solutions\Ecopetrol Prometeo - Documents\Planning Space Implementation\3. Analysis &amp; Design\Design\FC22\DRR Jaime\QUIFA-CAJÚA\Cajua\[VAS_CAJUA_CF_SEC_20230125.xlsx]CF PDP'!$DI$69</t>
  </si>
  <si>
    <t>='C:\Users\jaime.benazar\Quorum Business Solutions\Ecopetrol Prometeo - Documents\Planning Space Implementation\3. Analysis &amp; Design\Design\FC22\DRR Jaime\QUIFA-CAJÚA\Cajua\[VAS_CAJUA_CF_SEC_20230125.xlsx]CF PDP'!$DI$70</t>
  </si>
  <si>
    <t>='C:\Users\jaime.benazar\Quorum Business Solutions\Ecopetrol Prometeo - Documents\Planning Space Implementation\3. Analysis &amp; Design\Design\FC22\DRR Jaime\QUIFA-CAJÚA\Cajua\[VAS_CAJUA_CF_SEC_20230125.xlsx]CF PDP'!$DI$71</t>
  </si>
  <si>
    <t>='C:\Users\jaime.benazar\Quorum Business Solutions\Ecopetrol Prometeo - Documents\Planning Space Implementation\3. Analysis &amp; Design\Design\FC22\DRR Jaime\QUIFA-CAJÚA\Cajua\[VAS_CAJUA_CF_SEC_20230125.xlsx]CF PDP'!$DI$72</t>
  </si>
  <si>
    <t>='C:\Users\jaime.benazar\Quorum Business Solutions\Ecopetrol Prometeo - Documents\Planning Space Implementation\3. Analysis &amp; Design\Design\FC22\DRR Jaime\QUIFA-CAJÚA\Cajua\[VAS_CAJUA_CF_SEC_20230125.xlsx]CF PNP'!$DI$36</t>
  </si>
  <si>
    <t>='C:\Users\jaime.benazar\Quorum Business Solutions\Ecopetrol Prometeo - Documents\Planning Space Implementation\3. Analysis &amp; Design\Design\FC22\DRR Jaime\QUIFA-CAJÚA\Cajua\[VAS_CAJUA_CF_SEC_20230125.xlsx]CF PNP'!$DI$37</t>
  </si>
  <si>
    <t>='C:\Users\jaime.benazar\Quorum Business Solutions\Ecopetrol Prometeo - Documents\Planning Space Implementation\3. Analysis &amp; Design\Design\FC22\DRR Jaime\QUIFA-CAJÚA\Cajua\[VAS_CAJUA_CF_SEC_20230125.xlsx]CF PNP'!$DI$38</t>
  </si>
  <si>
    <t>='C:\Users\jaime.benazar\Quorum Business Solutions\Ecopetrol Prometeo - Documents\Planning Space Implementation\3. Analysis &amp; Design\Design\FC22\DRR Jaime\QUIFA-CAJÚA\Cajua\[VAS_CAJUA_CF_SEC_20230125.xlsx]CF PNP'!$DI$39</t>
  </si>
  <si>
    <t>='C:\Users\jaime.benazar\Quorum Business Solutions\Ecopetrol Prometeo - Documents\Planning Space Implementation\3. Analysis &amp; Design\Design\FC22\DRR Jaime\QUIFA-CAJÚA\Cajua\[VAS_CAJUA_CF_SEC_20230125.xlsx]CF PNP'!$DI$40</t>
  </si>
  <si>
    <t>='C:\Users\jaime.benazar\Quorum Business Solutions\Ecopetrol Prometeo - Documents\Planning Space Implementation\3. Analysis &amp; Design\Design\FC22\DRR Jaime\QUIFA-CAJÚA\Cajua\[VAS_CAJUA_CF_SEC_20230125.xlsx]CF PNP'!$DI$41</t>
  </si>
  <si>
    <t>='C:\Users\jaime.benazar\Quorum Business Solutions\Ecopetrol Prometeo - Documents\Planning Space Implementation\3. Analysis &amp; Design\Design\FC22\DRR Jaime\QUIFA-CAJÚA\Cajua\[VAS_CAJUA_CF_SEC_20230125.xlsx]CF PNP'!$DI$42</t>
  </si>
  <si>
    <t>='C:\Users\jaime.benazar\Quorum Business Solutions\Ecopetrol Prometeo - Documents\Planning Space Implementation\3. Analysis &amp; Design\Design\FC22\DRR Jaime\QUIFA-CAJÚA\Cajua\[VAS_CAJUA_CF_SEC_20230125.xlsx]CF PNP'!$DI$43</t>
  </si>
  <si>
    <t>='C:\Users\jaime.benazar\Quorum Business Solutions\Ecopetrol Prometeo - Documents\Planning Space Implementation\3. Analysis &amp; Design\Design\FC22\DRR Jaime\QUIFA-CAJÚA\Cajua\[VAS_CAJUA_CF_SEC_20230125.xlsx]CF PNP'!$DI$44</t>
  </si>
  <si>
    <t>='C:\Users\jaime.benazar\Quorum Business Solutions\Ecopetrol Prometeo - Documents\Planning Space Implementation\3. Analysis &amp; Design\Design\FC22\DRR Jaime\QUIFA-CAJÚA\Cajua\[VAS_CAJUA_CF_SEC_20230125.xlsx]CF PNP'!$DI$45</t>
  </si>
  <si>
    <t>='C:\Users\jaime.benazar\Quorum Business Solutions\Ecopetrol Prometeo - Documents\Planning Space Implementation\3. Analysis &amp; Design\Design\FC22\DRR Jaime\QUIFA-CAJÚA\Cajua\[VAS_CAJUA_CF_SEC_20230125.xlsx]CF PNP'!$DI$46</t>
  </si>
  <si>
    <t>='C:\Users\jaime.benazar\Quorum Business Solutions\Ecopetrol Prometeo - Documents\Planning Space Implementation\3. Analysis &amp; Design\Design\FC22\DRR Jaime\QUIFA-CAJÚA\Cajua\[VAS_CAJUA_CF_SEC_20230125.xlsx]CF PNP'!$DI$47</t>
  </si>
  <si>
    <t>='C:\Users\jaime.benazar\Quorum Business Solutions\Ecopetrol Prometeo - Documents\Planning Space Implementation\3. Analysis &amp; Design\Design\FC22\DRR Jaime\QUIFA-CAJÚA\Cajua\[VAS_CAJUA_CF_SEC_20230125.xlsx]CF PNP'!$DI$48</t>
  </si>
  <si>
    <t>='C:\Users\jaime.benazar\Quorum Business Solutions\Ecopetrol Prometeo - Documents\Planning Space Implementation\3. Analysis &amp; Design\Design\FC22\DRR Jaime\QUIFA-CAJÚA\Cajua\[VAS_CAJUA_CF_SEC_20230125.xlsx]CF PNP'!$DI$49</t>
  </si>
  <si>
    <t>='C:\Users\jaime.benazar\Quorum Business Solutions\Ecopetrol Prometeo - Documents\Planning Space Implementation\3. Analysis &amp; Design\Design\FC22\DRR Jaime\QUIFA-CAJÚA\Cajua\[VAS_CAJUA_CF_SEC_20230125.xlsx]CF PNP'!$DI$50</t>
  </si>
  <si>
    <t>='C:\Users\jaime.benazar\Quorum Business Solutions\Ecopetrol Prometeo - Documents\Planning Space Implementation\3. Analysis &amp; Design\Design\FC22\DRR Jaime\QUIFA-CAJÚA\Cajua\[VAS_CAJUA_CF_SEC_20230125.xlsx]CF PNP'!$DI$51</t>
  </si>
  <si>
    <t>='C:\Users\jaime.benazar\Quorum Business Solutions\Ecopetrol Prometeo - Documents\Planning Space Implementation\3. Analysis &amp; Design\Design\FC22\DRR Jaime\QUIFA-CAJÚA\Cajua\[VAS_CAJUA_CF_SEC_20230125.xlsx]CF PNP'!$DI$52</t>
  </si>
  <si>
    <t>='C:\Users\jaime.benazar\Quorum Business Solutions\Ecopetrol Prometeo - Documents\Planning Space Implementation\3. Analysis &amp; Design\Design\FC22\DRR Jaime\QUIFA-CAJÚA\Cajua\[VAS_CAJUA_CF_SEC_20230125.xlsx]CF PNP'!$DI$53</t>
  </si>
  <si>
    <t>='C:\Users\jaime.benazar\Quorum Business Solutions\Ecopetrol Prometeo - Documents\Planning Space Implementation\3. Analysis &amp; Design\Design\FC22\DRR Jaime\QUIFA-CAJÚA\Cajua\[VAS_CAJUA_CF_SEC_20230125.xlsx]CF PNP'!$DI$54</t>
  </si>
  <si>
    <t>='C:\Users\jaime.benazar\Quorum Business Solutions\Ecopetrol Prometeo - Documents\Planning Space Implementation\3. Analysis &amp; Design\Design\FC22\DRR Jaime\QUIFA-CAJÚA\Cajua\[VAS_CAJUA_CF_SEC_20230125.xlsx]CF PNP'!$DI$55</t>
  </si>
  <si>
    <t>='C:\Users\jaime.benazar\Quorum Business Solutions\Ecopetrol Prometeo - Documents\Planning Space Implementation\3. Analysis &amp; Design\Design\FC22\DRR Jaime\QUIFA-CAJÚA\Cajua\[VAS_CAJUA_CF_SEC_20230125.xlsx]CF PNP'!$DI$56</t>
  </si>
  <si>
    <t>='C:\Users\jaime.benazar\Quorum Business Solutions\Ecopetrol Prometeo - Documents\Planning Space Implementation\3. Analysis &amp; Design\Design\FC22\DRR Jaime\QUIFA-CAJÚA\Cajua\[VAS_CAJUA_CF_SEC_20230125.xlsx]CF PNP'!$DI$57</t>
  </si>
  <si>
    <t>='C:\Users\jaime.benazar\Quorum Business Solutions\Ecopetrol Prometeo - Documents\Planning Space Implementation\3. Analysis &amp; Design\Design\FC22\DRR Jaime\QUIFA-CAJÚA\Cajua\[VAS_CAJUA_CF_SEC_20230125.xlsx]CF PNP'!$DI$58</t>
  </si>
  <si>
    <t>='C:\Users\jaime.benazar\Quorum Business Solutions\Ecopetrol Prometeo - Documents\Planning Space Implementation\3. Analysis &amp; Design\Design\FC22\DRR Jaime\QUIFA-CAJÚA\Cajua\[VAS_CAJUA_CF_SEC_20230125.xlsx]CF PNP'!$DI$59</t>
  </si>
  <si>
    <t>='C:\Users\jaime.benazar\Quorum Business Solutions\Ecopetrol Prometeo - Documents\Planning Space Implementation\3. Analysis &amp; Design\Design\FC22\DRR Jaime\QUIFA-CAJÚA\Cajua\[VAS_CAJUA_CF_SEC_20230125.xlsx]CF PNP'!$DI$60</t>
  </si>
  <si>
    <t>='C:\Users\jaime.benazar\Quorum Business Solutions\Ecopetrol Prometeo - Documents\Planning Space Implementation\3. Analysis &amp; Design\Design\FC22\DRR Jaime\QUIFA-CAJÚA\Cajua\[VAS_CAJUA_CF_SEC_20230125.xlsx]CF PNP'!$DI$61</t>
  </si>
  <si>
    <t>='C:\Users\jaime.benazar\Quorum Business Solutions\Ecopetrol Prometeo - Documents\Planning Space Implementation\3. Analysis &amp; Design\Design\FC22\DRR Jaime\QUIFA-CAJÚA\Cajua\[VAS_CAJUA_CF_SEC_20230125.xlsx]CF PNP'!$DI$62</t>
  </si>
  <si>
    <t>='C:\Users\jaime.benazar\Quorum Business Solutions\Ecopetrol Prometeo - Documents\Planning Space Implementation\3. Analysis &amp; Design\Design\FC22\DRR Jaime\QUIFA-CAJÚA\Cajua\[VAS_CAJUA_CF_SEC_20230125.xlsx]CF PNP'!$DI$63</t>
  </si>
  <si>
    <t>='C:\Users\jaime.benazar\Quorum Business Solutions\Ecopetrol Prometeo - Documents\Planning Space Implementation\3. Analysis &amp; Design\Design\FC22\DRR Jaime\QUIFA-CAJÚA\Cajua\[VAS_CAJUA_CF_SEC_20230125.xlsx]CF PNP'!$DI$64</t>
  </si>
  <si>
    <t>='C:\Users\jaime.benazar\Quorum Business Solutions\Ecopetrol Prometeo - Documents\Planning Space Implementation\3. Analysis &amp; Design\Design\FC22\DRR Jaime\QUIFA-CAJÚA\Cajua\[VAS_CAJUA_CF_SEC_20230125.xlsx]CF PNP'!$DI$65</t>
  </si>
  <si>
    <t>='C:\Users\jaime.benazar\Quorum Business Solutions\Ecopetrol Prometeo - Documents\Planning Space Implementation\3. Analysis &amp; Design\Design\FC22\DRR Jaime\QUIFA-CAJÚA\Cajua\[VAS_CAJUA_CF_SEC_20230125.xlsx]CF PNP'!$DI$66</t>
  </si>
  <si>
    <t>='C:\Users\jaime.benazar\Quorum Business Solutions\Ecopetrol Prometeo - Documents\Planning Space Implementation\3. Analysis &amp; Design\Design\FC22\DRR Jaime\QUIFA-CAJÚA\Cajua\[VAS_CAJUA_CF_SEC_20230125.xlsx]CF PNP'!$DI$67</t>
  </si>
  <si>
    <t>='C:\Users\jaime.benazar\Quorum Business Solutions\Ecopetrol Prometeo - Documents\Planning Space Implementation\3. Analysis &amp; Design\Design\FC22\DRR Jaime\QUIFA-CAJÚA\Cajua\[VAS_CAJUA_CF_SEC_20230125.xlsx]CF PNP'!$DI$68</t>
  </si>
  <si>
    <t>='C:\Users\jaime.benazar\Quorum Business Solutions\Ecopetrol Prometeo - Documents\Planning Space Implementation\3. Analysis &amp; Design\Design\FC22\DRR Jaime\QUIFA-CAJÚA\Cajua\[VAS_CAJUA_CF_SEC_20230125.xlsx]CF PNP'!$DI$69</t>
  </si>
  <si>
    <t>='C:\Users\jaime.benazar\Quorum Business Solutions\Ecopetrol Prometeo - Documents\Planning Space Implementation\3. Analysis &amp; Design\Design\FC22\DRR Jaime\QUIFA-CAJÚA\Cajua\[VAS_CAJUA_CF_SEC_20230125.xlsx]CF PNP'!$DI$70</t>
  </si>
  <si>
    <t>='C:\Users\jaime.benazar\Quorum Business Solutions\Ecopetrol Prometeo - Documents\Planning Space Implementation\3. Analysis &amp; Design\Design\FC22\DRR Jaime\QUIFA-CAJÚA\Cajua\[VAS_CAJUA_CF_SEC_20230125.xlsx]CF PNP'!$DI$71</t>
  </si>
  <si>
    <t>='C:\Users\jaime.benazar\Quorum Business Solutions\Ecopetrol Prometeo - Documents\Planning Space Implementation\3. Analysis &amp; Design\Design\FC22\DRR Jaime\QUIFA-CAJÚA\Cajua\[VAS_CAJUA_CF_SEC_20230125.xlsx]CF PNP'!$DI$72</t>
  </si>
  <si>
    <t>='C:\Users\jaime.benazar\Quorum Business Solutions\Ecopetrol Prometeo - Documents\Planning Space Implementation\3. Analysis &amp; Design\Design\FC22\DRR Jaime\QUIFA-CAJÚA\Cajua\[VAS_CAJUA_CF_SEC_20230125.xlsx]CF PND'!$DI$36</t>
  </si>
  <si>
    <t>='C:\Users\jaime.benazar\Quorum Business Solutions\Ecopetrol Prometeo - Documents\Planning Space Implementation\3. Analysis &amp; Design\Design\FC22\DRR Jaime\QUIFA-CAJÚA\Cajua\[VAS_CAJUA_CF_SEC_20230125.xlsx]CF PND'!$DI$37</t>
  </si>
  <si>
    <t>='C:\Users\jaime.benazar\Quorum Business Solutions\Ecopetrol Prometeo - Documents\Planning Space Implementation\3. Analysis &amp; Design\Design\FC22\DRR Jaime\QUIFA-CAJÚA\Cajua\[VAS_CAJUA_CF_SEC_20230125.xlsx]CF PND'!$DI$38</t>
  </si>
  <si>
    <t>='C:\Users\jaime.benazar\Quorum Business Solutions\Ecopetrol Prometeo - Documents\Planning Space Implementation\3. Analysis &amp; Design\Design\FC22\DRR Jaime\QUIFA-CAJÚA\Cajua\[VAS_CAJUA_CF_SEC_20230125.xlsx]CF PND'!$DI$39</t>
  </si>
  <si>
    <t>='C:\Users\jaime.benazar\Quorum Business Solutions\Ecopetrol Prometeo - Documents\Planning Space Implementation\3. Analysis &amp; Design\Design\FC22\DRR Jaime\QUIFA-CAJÚA\Cajua\[VAS_CAJUA_CF_SEC_20230125.xlsx]CF PND'!$DI$40</t>
  </si>
  <si>
    <t>='C:\Users\jaime.benazar\Quorum Business Solutions\Ecopetrol Prometeo - Documents\Planning Space Implementation\3. Analysis &amp; Design\Design\FC22\DRR Jaime\QUIFA-CAJÚA\Cajua\[VAS_CAJUA_CF_SEC_20230125.xlsx]CF PND'!$DI$41</t>
  </si>
  <si>
    <t>='C:\Users\jaime.benazar\Quorum Business Solutions\Ecopetrol Prometeo - Documents\Planning Space Implementation\3. Analysis &amp; Design\Design\FC22\DRR Jaime\QUIFA-CAJÚA\Cajua\[VAS_CAJUA_CF_SEC_20230125.xlsx]CF PND'!$DI$42</t>
  </si>
  <si>
    <t>='C:\Users\jaime.benazar\Quorum Business Solutions\Ecopetrol Prometeo - Documents\Planning Space Implementation\3. Analysis &amp; Design\Design\FC22\DRR Jaime\QUIFA-CAJÚA\Cajua\[VAS_CAJUA_CF_SEC_20230125.xlsx]CF PND'!$DI$43</t>
  </si>
  <si>
    <t>='C:\Users\jaime.benazar\Quorum Business Solutions\Ecopetrol Prometeo - Documents\Planning Space Implementation\3. Analysis &amp; Design\Design\FC22\DRR Jaime\QUIFA-CAJÚA\Cajua\[VAS_CAJUA_CF_SEC_20230125.xlsx]CF PND'!$DI$44</t>
  </si>
  <si>
    <t>='C:\Users\jaime.benazar\Quorum Business Solutions\Ecopetrol Prometeo - Documents\Planning Space Implementation\3. Analysis &amp; Design\Design\FC22\DRR Jaime\QUIFA-CAJÚA\Cajua\[VAS_CAJUA_CF_SEC_20230125.xlsx]CF PND'!$DI$45</t>
  </si>
  <si>
    <t>='C:\Users\jaime.benazar\Quorum Business Solutions\Ecopetrol Prometeo - Documents\Planning Space Implementation\3. Analysis &amp; Design\Design\FC22\DRR Jaime\QUIFA-CAJÚA\Cajua\[VAS_CAJUA_CF_SEC_20230125.xlsx]CF PND'!$DI$46</t>
  </si>
  <si>
    <t>='C:\Users\jaime.benazar\Quorum Business Solutions\Ecopetrol Prometeo - Documents\Planning Space Implementation\3. Analysis &amp; Design\Design\FC22\DRR Jaime\QUIFA-CAJÚA\Cajua\[VAS_CAJUA_CF_SEC_20230125.xlsx]CF PND'!$DI$47</t>
  </si>
  <si>
    <t>='C:\Users\jaime.benazar\Quorum Business Solutions\Ecopetrol Prometeo - Documents\Planning Space Implementation\3. Analysis &amp; Design\Design\FC22\DRR Jaime\QUIFA-CAJÚA\Cajua\[VAS_CAJUA_CF_SEC_20230125.xlsx]CF PND'!$DI$48</t>
  </si>
  <si>
    <t>='C:\Users\jaime.benazar\Quorum Business Solutions\Ecopetrol Prometeo - Documents\Planning Space Implementation\3. Analysis &amp; Design\Design\FC22\DRR Jaime\QUIFA-CAJÚA\Cajua\[VAS_CAJUA_CF_SEC_20230125.xlsx]CF PND'!$DI$49</t>
  </si>
  <si>
    <t>='C:\Users\jaime.benazar\Quorum Business Solutions\Ecopetrol Prometeo - Documents\Planning Space Implementation\3. Analysis &amp; Design\Design\FC22\DRR Jaime\QUIFA-CAJÚA\Cajua\[VAS_CAJUA_CF_SEC_20230125.xlsx]CF PND'!$DI$50</t>
  </si>
  <si>
    <t>='C:\Users\jaime.benazar\Quorum Business Solutions\Ecopetrol Prometeo - Documents\Planning Space Implementation\3. Analysis &amp; Design\Design\FC22\DRR Jaime\QUIFA-CAJÚA\Cajua\[VAS_CAJUA_CF_SEC_20230125.xlsx]CF PND'!$DI$51</t>
  </si>
  <si>
    <t>='C:\Users\jaime.benazar\Quorum Business Solutions\Ecopetrol Prometeo - Documents\Planning Space Implementation\3. Analysis &amp; Design\Design\FC22\DRR Jaime\QUIFA-CAJÚA\Cajua\[VAS_CAJUA_CF_SEC_20230125.xlsx]CF PND'!$DI$52</t>
  </si>
  <si>
    <t>='C:\Users\jaime.benazar\Quorum Business Solutions\Ecopetrol Prometeo - Documents\Planning Space Implementation\3. Analysis &amp; Design\Design\FC22\DRR Jaime\QUIFA-CAJÚA\Cajua\[VAS_CAJUA_CF_SEC_20230125.xlsx]CF PND'!$DI$53</t>
  </si>
  <si>
    <t>='C:\Users\jaime.benazar\Quorum Business Solutions\Ecopetrol Prometeo - Documents\Planning Space Implementation\3. Analysis &amp; Design\Design\FC22\DRR Jaime\QUIFA-CAJÚA\Cajua\[VAS_CAJUA_CF_SEC_20230125.xlsx]CF PND'!$DI$54</t>
  </si>
  <si>
    <t>='C:\Users\jaime.benazar\Quorum Business Solutions\Ecopetrol Prometeo - Documents\Planning Space Implementation\3. Analysis &amp; Design\Design\FC22\DRR Jaime\QUIFA-CAJÚA\Cajua\[VAS_CAJUA_CF_SEC_20230125.xlsx]CF PND'!$DI$55</t>
  </si>
  <si>
    <t>='C:\Users\jaime.benazar\Quorum Business Solutions\Ecopetrol Prometeo - Documents\Planning Space Implementation\3. Analysis &amp; Design\Design\FC22\DRR Jaime\QUIFA-CAJÚA\Cajua\[VAS_CAJUA_CF_SEC_20230125.xlsx]CF PND'!$DI$56</t>
  </si>
  <si>
    <t>='C:\Users\jaime.benazar\Quorum Business Solutions\Ecopetrol Prometeo - Documents\Planning Space Implementation\3. Analysis &amp; Design\Design\FC22\DRR Jaime\QUIFA-CAJÚA\Cajua\[VAS_CAJUA_CF_SEC_20230125.xlsx]CF PND'!$DI$57</t>
  </si>
  <si>
    <t>='C:\Users\jaime.benazar\Quorum Business Solutions\Ecopetrol Prometeo - Documents\Planning Space Implementation\3. Analysis &amp; Design\Design\FC22\DRR Jaime\QUIFA-CAJÚA\Cajua\[VAS_CAJUA_CF_SEC_20230125.xlsx]CF PND'!$DI$58</t>
  </si>
  <si>
    <t>='C:\Users\jaime.benazar\Quorum Business Solutions\Ecopetrol Prometeo - Documents\Planning Space Implementation\3. Analysis &amp; Design\Design\FC22\DRR Jaime\QUIFA-CAJÚA\Cajua\[VAS_CAJUA_CF_SEC_20230125.xlsx]CF PND'!$DI$59</t>
  </si>
  <si>
    <t>='C:\Users\jaime.benazar\Quorum Business Solutions\Ecopetrol Prometeo - Documents\Planning Space Implementation\3. Analysis &amp; Design\Design\FC22\DRR Jaime\QUIFA-CAJÚA\Cajua\[VAS_CAJUA_CF_SEC_20230125.xlsx]CF PND'!$DI$60</t>
  </si>
  <si>
    <t>='C:\Users\jaime.benazar\Quorum Business Solutions\Ecopetrol Prometeo - Documents\Planning Space Implementation\3. Analysis &amp; Design\Design\FC22\DRR Jaime\QUIFA-CAJÚA\Cajua\[VAS_CAJUA_CF_SEC_20230125.xlsx]CF PND'!$DI$61</t>
  </si>
  <si>
    <t>='C:\Users\jaime.benazar\Quorum Business Solutions\Ecopetrol Prometeo - Documents\Planning Space Implementation\3. Analysis &amp; Design\Design\FC22\DRR Jaime\QUIFA-CAJÚA\Cajua\[VAS_CAJUA_CF_SEC_20230125.xlsx]CF PND'!$DI$62</t>
  </si>
  <si>
    <t>='C:\Users\jaime.benazar\Quorum Business Solutions\Ecopetrol Prometeo - Documents\Planning Space Implementation\3. Analysis &amp; Design\Design\FC22\DRR Jaime\QUIFA-CAJÚA\Cajua\[VAS_CAJUA_CF_SEC_20230125.xlsx]CF PND'!$DI$63</t>
  </si>
  <si>
    <t>='C:\Users\jaime.benazar\Quorum Business Solutions\Ecopetrol Prometeo - Documents\Planning Space Implementation\3. Analysis &amp; Design\Design\FC22\DRR Jaime\QUIFA-CAJÚA\Cajua\[VAS_CAJUA_CF_SEC_20230125.xlsx]CF PND'!$DI$64</t>
  </si>
  <si>
    <t>='C:\Users\jaime.benazar\Quorum Business Solutions\Ecopetrol Prometeo - Documents\Planning Space Implementation\3. Analysis &amp; Design\Design\FC22\DRR Jaime\QUIFA-CAJÚA\Cajua\[VAS_CAJUA_CF_SEC_20230125.xlsx]CF PND'!$DI$65</t>
  </si>
  <si>
    <t>='C:\Users\jaime.benazar\Quorum Business Solutions\Ecopetrol Prometeo - Documents\Planning Space Implementation\3. Analysis &amp; Design\Design\FC22\DRR Jaime\QUIFA-CAJÚA\Cajua\[VAS_CAJUA_CF_SEC_20230125.xlsx]CF PND'!$DI$66</t>
  </si>
  <si>
    <t>='C:\Users\jaime.benazar\Quorum Business Solutions\Ecopetrol Prometeo - Documents\Planning Space Implementation\3. Analysis &amp; Design\Design\FC22\DRR Jaime\QUIFA-CAJÚA\Cajua\[VAS_CAJUA_CF_SEC_20230125.xlsx]CF PND'!$DI$67</t>
  </si>
  <si>
    <t>='C:\Users\jaime.benazar\Quorum Business Solutions\Ecopetrol Prometeo - Documents\Planning Space Implementation\3. Analysis &amp; Design\Design\FC22\DRR Jaime\QUIFA-CAJÚA\Cajua\[VAS_CAJUA_CF_SEC_20230125.xlsx]CF PND'!$DI$68</t>
  </si>
  <si>
    <t>='C:\Users\jaime.benazar\Quorum Business Solutions\Ecopetrol Prometeo - Documents\Planning Space Implementation\3. Analysis &amp; Design\Design\FC22\DRR Jaime\QUIFA-CAJÚA\Cajua\[VAS_CAJUA_CF_SEC_20230125.xlsx]CF PND'!$DI$69</t>
  </si>
  <si>
    <t>='C:\Users\jaime.benazar\Quorum Business Solutions\Ecopetrol Prometeo - Documents\Planning Space Implementation\3. Analysis &amp; Design\Design\FC22\DRR Jaime\QUIFA-CAJÚA\Cajua\[VAS_CAJUA_CF_SEC_20230125.xlsx]CF PND'!$DI$70</t>
  </si>
  <si>
    <t>='C:\Users\jaime.benazar\Quorum Business Solutions\Ecopetrol Prometeo - Documents\Planning Space Implementation\3. Analysis &amp; Design\Design\FC22\DRR Jaime\QUIFA-CAJÚA\Cajua\[VAS_CAJUA_CF_SEC_20230125.xlsx]CF PND'!$DI$71</t>
  </si>
  <si>
    <t>='C:\Users\jaime.benazar\Quorum Business Solutions\Ecopetrol Prometeo - Documents\Planning Space Implementation\3. Analysis &amp; Design\Design\FC22\DRR Jaime\QUIFA-CAJÚA\Cajua\[VAS_CAJUA_CF_SEC_20230125.xlsx]CF PND'!$DI$72</t>
  </si>
  <si>
    <t>='C:\Users\jaime.benazar\Quorum Business Solutions\Ecopetrol Prometeo - Documents\Planning Space Implementation\3. Analysis &amp; Design\Design\FC22\DRR Jaime\QUIFA-CAJÚA\Cajua\[VAS_CAJUA_CF_SEC_20230125.xlsx]CF PRB'!$DI$36</t>
  </si>
  <si>
    <t>='C:\Users\jaime.benazar\Quorum Business Solutions\Ecopetrol Prometeo - Documents\Planning Space Implementation\3. Analysis &amp; Design\Design\FC22\DRR Jaime\QUIFA-CAJÚA\Cajua\[VAS_CAJUA_CF_SEC_20230125.xlsx]CF PRB'!$DI$37</t>
  </si>
  <si>
    <t>='C:\Users\jaime.benazar\Quorum Business Solutions\Ecopetrol Prometeo - Documents\Planning Space Implementation\3. Analysis &amp; Design\Design\FC22\DRR Jaime\QUIFA-CAJÚA\Cajua\[VAS_CAJUA_CF_SEC_20230125.xlsx]CF PRB'!$DI$38</t>
  </si>
  <si>
    <t>='C:\Users\jaime.benazar\Quorum Business Solutions\Ecopetrol Prometeo - Documents\Planning Space Implementation\3. Analysis &amp; Design\Design\FC22\DRR Jaime\QUIFA-CAJÚA\Cajua\[VAS_CAJUA_CF_SEC_20230125.xlsx]CF PRB'!$DI$39</t>
  </si>
  <si>
    <t>='C:\Users\jaime.benazar\Quorum Business Solutions\Ecopetrol Prometeo - Documents\Planning Space Implementation\3. Analysis &amp; Design\Design\FC22\DRR Jaime\QUIFA-CAJÚA\Cajua\[VAS_CAJUA_CF_SEC_20230125.xlsx]CF PRB'!$DI$40</t>
  </si>
  <si>
    <t>='C:\Users\jaime.benazar\Quorum Business Solutions\Ecopetrol Prometeo - Documents\Planning Space Implementation\3. Analysis &amp; Design\Design\FC22\DRR Jaime\QUIFA-CAJÚA\Cajua\[VAS_CAJUA_CF_SEC_20230125.xlsx]CF PRB'!$DI$41</t>
  </si>
  <si>
    <t>='C:\Users\jaime.benazar\Quorum Business Solutions\Ecopetrol Prometeo - Documents\Planning Space Implementation\3. Analysis &amp; Design\Design\FC22\DRR Jaime\QUIFA-CAJÚA\Cajua\[VAS_CAJUA_CF_SEC_20230125.xlsx]CF PRB'!$DI$42</t>
  </si>
  <si>
    <t>='C:\Users\jaime.benazar\Quorum Business Solutions\Ecopetrol Prometeo - Documents\Planning Space Implementation\3. Analysis &amp; Design\Design\FC22\DRR Jaime\QUIFA-CAJÚA\Cajua\[VAS_CAJUA_CF_SEC_20230125.xlsx]CF PRB'!$DI$43</t>
  </si>
  <si>
    <t>='C:\Users\jaime.benazar\Quorum Business Solutions\Ecopetrol Prometeo - Documents\Planning Space Implementation\3. Analysis &amp; Design\Design\FC22\DRR Jaime\QUIFA-CAJÚA\Cajua\[VAS_CAJUA_CF_SEC_20230125.xlsx]CF PRB'!$DI$44</t>
  </si>
  <si>
    <t>='C:\Users\jaime.benazar\Quorum Business Solutions\Ecopetrol Prometeo - Documents\Planning Space Implementation\3. Analysis &amp; Design\Design\FC22\DRR Jaime\QUIFA-CAJÚA\Cajua\[VAS_CAJUA_CF_SEC_20230125.xlsx]CF PRB'!$DI$45</t>
  </si>
  <si>
    <t>='C:\Users\jaime.benazar\Quorum Business Solutions\Ecopetrol Prometeo - Documents\Planning Space Implementation\3. Analysis &amp; Design\Design\FC22\DRR Jaime\QUIFA-CAJÚA\Cajua\[VAS_CAJUA_CF_SEC_20230125.xlsx]CF PRB'!$DI$46</t>
  </si>
  <si>
    <t>='C:\Users\jaime.benazar\Quorum Business Solutions\Ecopetrol Prometeo - Documents\Planning Space Implementation\3. Analysis &amp; Design\Design\FC22\DRR Jaime\QUIFA-CAJÚA\Cajua\[VAS_CAJUA_CF_SEC_20230125.xlsx]CF PRB'!$DI$47</t>
  </si>
  <si>
    <t>='C:\Users\jaime.benazar\Quorum Business Solutions\Ecopetrol Prometeo - Documents\Planning Space Implementation\3. Analysis &amp; Design\Design\FC22\DRR Jaime\QUIFA-CAJÚA\Cajua\[VAS_CAJUA_CF_SEC_20230125.xlsx]CF PRB'!$DI$48</t>
  </si>
  <si>
    <t>='C:\Users\jaime.benazar\Quorum Business Solutions\Ecopetrol Prometeo - Documents\Planning Space Implementation\3. Analysis &amp; Design\Design\FC22\DRR Jaime\QUIFA-CAJÚA\Cajua\[VAS_CAJUA_CF_SEC_20230125.xlsx]CF PRB'!$DI$49</t>
  </si>
  <si>
    <t>='C:\Users\jaime.benazar\Quorum Business Solutions\Ecopetrol Prometeo - Documents\Planning Space Implementation\3. Analysis &amp; Design\Design\FC22\DRR Jaime\QUIFA-CAJÚA\Cajua\[VAS_CAJUA_CF_SEC_20230125.xlsx]CF PRB'!$DI$50</t>
  </si>
  <si>
    <t>='C:\Users\jaime.benazar\Quorum Business Solutions\Ecopetrol Prometeo - Documents\Planning Space Implementation\3. Analysis &amp; Design\Design\FC22\DRR Jaime\QUIFA-CAJÚA\Cajua\[VAS_CAJUA_CF_SEC_20230125.xlsx]CF PRB'!$DI$51</t>
  </si>
  <si>
    <t>='C:\Users\jaime.benazar\Quorum Business Solutions\Ecopetrol Prometeo - Documents\Planning Space Implementation\3. Analysis &amp; Design\Design\FC22\DRR Jaime\QUIFA-CAJÚA\Cajua\[VAS_CAJUA_CF_SEC_20230125.xlsx]CF PRB'!$DI$52</t>
  </si>
  <si>
    <t>='C:\Users\jaime.benazar\Quorum Business Solutions\Ecopetrol Prometeo - Documents\Planning Space Implementation\3. Analysis &amp; Design\Design\FC22\DRR Jaime\QUIFA-CAJÚA\Cajua\[VAS_CAJUA_CF_SEC_20230125.xlsx]CF PRB'!$DI$53</t>
  </si>
  <si>
    <t>='C:\Users\jaime.benazar\Quorum Business Solutions\Ecopetrol Prometeo - Documents\Planning Space Implementation\3. Analysis &amp; Design\Design\FC22\DRR Jaime\QUIFA-CAJÚA\Cajua\[VAS_CAJUA_CF_SEC_20230125.xlsx]CF PRB'!$DI$54</t>
  </si>
  <si>
    <t>='C:\Users\jaime.benazar\Quorum Business Solutions\Ecopetrol Prometeo - Documents\Planning Space Implementation\3. Analysis &amp; Design\Design\FC22\DRR Jaime\QUIFA-CAJÚA\Cajua\[VAS_CAJUA_CF_SEC_20230125.xlsx]CF PRB'!$DI$55</t>
  </si>
  <si>
    <t>='C:\Users\jaime.benazar\Quorum Business Solutions\Ecopetrol Prometeo - Documents\Planning Space Implementation\3. Analysis &amp; Design\Design\FC22\DRR Jaime\QUIFA-CAJÚA\Cajua\[VAS_CAJUA_CF_SEC_20230125.xlsx]CF PRB'!$DI$56</t>
  </si>
  <si>
    <t>='C:\Users\jaime.benazar\Quorum Business Solutions\Ecopetrol Prometeo - Documents\Planning Space Implementation\3. Analysis &amp; Design\Design\FC22\DRR Jaime\QUIFA-CAJÚA\Cajua\[VAS_CAJUA_CF_SEC_20230125.xlsx]CF PRB'!$DI$57</t>
  </si>
  <si>
    <t>='C:\Users\jaime.benazar\Quorum Business Solutions\Ecopetrol Prometeo - Documents\Planning Space Implementation\3. Analysis &amp; Design\Design\FC22\DRR Jaime\QUIFA-CAJÚA\Cajua\[VAS_CAJUA_CF_SEC_20230125.xlsx]CF PRB'!$DI$58</t>
  </si>
  <si>
    <t>='C:\Users\jaime.benazar\Quorum Business Solutions\Ecopetrol Prometeo - Documents\Planning Space Implementation\3. Analysis &amp; Design\Design\FC22\DRR Jaime\QUIFA-CAJÚA\Cajua\[VAS_CAJUA_CF_SEC_20230125.xlsx]CF PRB'!$DI$59</t>
  </si>
  <si>
    <t>='C:\Users\jaime.benazar\Quorum Business Solutions\Ecopetrol Prometeo - Documents\Planning Space Implementation\3. Analysis &amp; Design\Design\FC22\DRR Jaime\QUIFA-CAJÚA\Cajua\[VAS_CAJUA_CF_SEC_20230125.xlsx]CF PRB'!$DI$60</t>
  </si>
  <si>
    <t>='C:\Users\jaime.benazar\Quorum Business Solutions\Ecopetrol Prometeo - Documents\Planning Space Implementation\3. Analysis &amp; Design\Design\FC22\DRR Jaime\QUIFA-CAJÚA\Cajua\[VAS_CAJUA_CF_SEC_20230125.xlsx]CF PRB'!$DI$61</t>
  </si>
  <si>
    <t>='C:\Users\jaime.benazar\Quorum Business Solutions\Ecopetrol Prometeo - Documents\Planning Space Implementation\3. Analysis &amp; Design\Design\FC22\DRR Jaime\QUIFA-CAJÚA\Cajua\[VAS_CAJUA_CF_SEC_20230125.xlsx]CF PRB'!$DI$62</t>
  </si>
  <si>
    <t>='C:\Users\jaime.benazar\Quorum Business Solutions\Ecopetrol Prometeo - Documents\Planning Space Implementation\3. Analysis &amp; Design\Design\FC22\DRR Jaime\QUIFA-CAJÚA\Cajua\[VAS_CAJUA_CF_SEC_20230125.xlsx]CF PRB'!$DI$63</t>
  </si>
  <si>
    <t>='C:\Users\jaime.benazar\Quorum Business Solutions\Ecopetrol Prometeo - Documents\Planning Space Implementation\3. Analysis &amp; Design\Design\FC22\DRR Jaime\QUIFA-CAJÚA\Cajua\[VAS_CAJUA_CF_SEC_20230125.xlsx]CF PRB'!$DI$64</t>
  </si>
  <si>
    <t>='C:\Users\jaime.benazar\Quorum Business Solutions\Ecopetrol Prometeo - Documents\Planning Space Implementation\3. Analysis &amp; Design\Design\FC22\DRR Jaime\QUIFA-CAJÚA\Cajua\[VAS_CAJUA_CF_SEC_20230125.xlsx]CF PRB'!$DI$65</t>
  </si>
  <si>
    <t>='C:\Users\jaime.benazar\Quorum Business Solutions\Ecopetrol Prometeo - Documents\Planning Space Implementation\3. Analysis &amp; Design\Design\FC22\DRR Jaime\QUIFA-CAJÚA\Cajua\[VAS_CAJUA_CF_SEC_20230125.xlsx]CF PRB'!$DI$66</t>
  </si>
  <si>
    <t>='C:\Users\jaime.benazar\Quorum Business Solutions\Ecopetrol Prometeo - Documents\Planning Space Implementation\3. Analysis &amp; Design\Design\FC22\DRR Jaime\QUIFA-CAJÚA\Cajua\[VAS_CAJUA_CF_SEC_20230125.xlsx]CF PRB'!$DI$67</t>
  </si>
  <si>
    <t>='C:\Users\jaime.benazar\Quorum Business Solutions\Ecopetrol Prometeo - Documents\Planning Space Implementation\3. Analysis &amp; Design\Design\FC22\DRR Jaime\QUIFA-CAJÚA\Cajua\[VAS_CAJUA_CF_SEC_20230125.xlsx]CF PRB'!$DI$68</t>
  </si>
  <si>
    <t>='C:\Users\jaime.benazar\Quorum Business Solutions\Ecopetrol Prometeo - Documents\Planning Space Implementation\3. Analysis &amp; Design\Design\FC22\DRR Jaime\QUIFA-CAJÚA\Cajua\[VAS_CAJUA_CF_SEC_20230125.xlsx]CF PRB'!$DI$69</t>
  </si>
  <si>
    <t>='C:\Users\jaime.benazar\Quorum Business Solutions\Ecopetrol Prometeo - Documents\Planning Space Implementation\3. Analysis &amp; Design\Design\FC22\DRR Jaime\QUIFA-CAJÚA\Cajua\[VAS_CAJUA_CF_SEC_20230125.xlsx]CF PRB'!$DI$70</t>
  </si>
  <si>
    <t>='C:\Users\jaime.benazar\Quorum Business Solutions\Ecopetrol Prometeo - Documents\Planning Space Implementation\3. Analysis &amp; Design\Design\FC22\DRR Jaime\QUIFA-CAJÚA\Cajua\[VAS_CAJUA_CF_SEC_20230125.xlsx]CF PRB'!$DI$71</t>
  </si>
  <si>
    <t>='C:\Users\jaime.benazar\Quorum Business Solutions\Ecopetrol Prometeo - Documents\Planning Space Implementation\3. Analysis &amp; Design\Design\FC22\DRR Jaime\QUIFA-CAJÚA\Cajua\[VAS_CAJUA_CF_SEC_20230125.xlsx]CF PRB'!$DI$72</t>
  </si>
  <si>
    <t>='C:\Users\jaime.benazar\Quorum Business Solutions\Ecopetrol Prometeo - Documents\Planning Space Implementation\3. Analysis &amp; Design\Design\FC22\DRR Jaime\QUIFA-CAJÚA\Cajua\[VAS_CAJUA_CF_SEC_20230125.xlsx]CF PS'!$DI$36</t>
  </si>
  <si>
    <t>='C:\Users\jaime.benazar\Quorum Business Solutions\Ecopetrol Prometeo - Documents\Planning Space Implementation\3. Analysis &amp; Design\Design\FC22\DRR Jaime\QUIFA-CAJÚA\Cajua\[VAS_CAJUA_CF_SEC_20230125.xlsx]CF PS'!$DI$37</t>
  </si>
  <si>
    <t>='C:\Users\jaime.benazar\Quorum Business Solutions\Ecopetrol Prometeo - Documents\Planning Space Implementation\3. Analysis &amp; Design\Design\FC22\DRR Jaime\QUIFA-CAJÚA\Cajua\[VAS_CAJUA_CF_SEC_20230125.xlsx]CF PS'!$DI$38</t>
  </si>
  <si>
    <t>='C:\Users\jaime.benazar\Quorum Business Solutions\Ecopetrol Prometeo - Documents\Planning Space Implementation\3. Analysis &amp; Design\Design\FC22\DRR Jaime\QUIFA-CAJÚA\Cajua\[VAS_CAJUA_CF_SEC_20230125.xlsx]CF PS'!$DI$39</t>
  </si>
  <si>
    <t>='C:\Users\jaime.benazar\Quorum Business Solutions\Ecopetrol Prometeo - Documents\Planning Space Implementation\3. Analysis &amp; Design\Design\FC22\DRR Jaime\QUIFA-CAJÚA\Cajua\[VAS_CAJUA_CF_SEC_20230125.xlsx]CF PS'!$DI$40</t>
  </si>
  <si>
    <t>='C:\Users\jaime.benazar\Quorum Business Solutions\Ecopetrol Prometeo - Documents\Planning Space Implementation\3. Analysis &amp; Design\Design\FC22\DRR Jaime\QUIFA-CAJÚA\Cajua\[VAS_CAJUA_CF_SEC_20230125.xlsx]CF PS'!$DI$41</t>
  </si>
  <si>
    <t>='C:\Users\jaime.benazar\Quorum Business Solutions\Ecopetrol Prometeo - Documents\Planning Space Implementation\3. Analysis &amp; Design\Design\FC22\DRR Jaime\QUIFA-CAJÚA\Cajua\[VAS_CAJUA_CF_SEC_20230125.xlsx]CF PS'!$DI$42</t>
  </si>
  <si>
    <t>='C:\Users\jaime.benazar\Quorum Business Solutions\Ecopetrol Prometeo - Documents\Planning Space Implementation\3. Analysis &amp; Design\Design\FC22\DRR Jaime\QUIFA-CAJÚA\Cajua\[VAS_CAJUA_CF_SEC_20230125.xlsx]CF PS'!$DI$43</t>
  </si>
  <si>
    <t>='C:\Users\jaime.benazar\Quorum Business Solutions\Ecopetrol Prometeo - Documents\Planning Space Implementation\3. Analysis &amp; Design\Design\FC22\DRR Jaime\QUIFA-CAJÚA\Cajua\[VAS_CAJUA_CF_SEC_20230125.xlsx]CF PS'!$DI$44</t>
  </si>
  <si>
    <t>='C:\Users\jaime.benazar\Quorum Business Solutions\Ecopetrol Prometeo - Documents\Planning Space Implementation\3. Analysis &amp; Design\Design\FC22\DRR Jaime\QUIFA-CAJÚA\Cajua\[VAS_CAJUA_CF_SEC_20230125.xlsx]CF PS'!$DI$45</t>
  </si>
  <si>
    <t>='C:\Users\jaime.benazar\Quorum Business Solutions\Ecopetrol Prometeo - Documents\Planning Space Implementation\3. Analysis &amp; Design\Design\FC22\DRR Jaime\QUIFA-CAJÚA\Cajua\[VAS_CAJUA_CF_SEC_20230125.xlsx]CF PS'!$DI$46</t>
  </si>
  <si>
    <t>='C:\Users\jaime.benazar\Quorum Business Solutions\Ecopetrol Prometeo - Documents\Planning Space Implementation\3. Analysis &amp; Design\Design\FC22\DRR Jaime\QUIFA-CAJÚA\Cajua\[VAS_CAJUA_CF_SEC_20230125.xlsx]CF PS'!$DI$47</t>
  </si>
  <si>
    <t>='C:\Users\jaime.benazar\Quorum Business Solutions\Ecopetrol Prometeo - Documents\Planning Space Implementation\3. Analysis &amp; Design\Design\FC22\DRR Jaime\QUIFA-CAJÚA\Cajua\[VAS_CAJUA_CF_SEC_20230125.xlsx]CF PS'!$DI$48</t>
  </si>
  <si>
    <t>='C:\Users\jaime.benazar\Quorum Business Solutions\Ecopetrol Prometeo - Documents\Planning Space Implementation\3. Analysis &amp; Design\Design\FC22\DRR Jaime\QUIFA-CAJÚA\Cajua\[VAS_CAJUA_CF_SEC_20230125.xlsx]CF PS'!$DI$49</t>
  </si>
  <si>
    <t>='C:\Users\jaime.benazar\Quorum Business Solutions\Ecopetrol Prometeo - Documents\Planning Space Implementation\3. Analysis &amp; Design\Design\FC22\DRR Jaime\QUIFA-CAJÚA\Cajua\[VAS_CAJUA_CF_SEC_20230125.xlsx]CF PS'!$DI$50</t>
  </si>
  <si>
    <t>='C:\Users\jaime.benazar\Quorum Business Solutions\Ecopetrol Prometeo - Documents\Planning Space Implementation\3. Analysis &amp; Design\Design\FC22\DRR Jaime\QUIFA-CAJÚA\Cajua\[VAS_CAJUA_CF_SEC_20230125.xlsx]CF PS'!$DI$51</t>
  </si>
  <si>
    <t>='C:\Users\jaime.benazar\Quorum Business Solutions\Ecopetrol Prometeo - Documents\Planning Space Implementation\3. Analysis &amp; Design\Design\FC22\DRR Jaime\QUIFA-CAJÚA\Cajua\[VAS_CAJUA_CF_SEC_20230125.xlsx]CF PS'!$DI$52</t>
  </si>
  <si>
    <t>='C:\Users\jaime.benazar\Quorum Business Solutions\Ecopetrol Prometeo - Documents\Planning Space Implementation\3. Analysis &amp; Design\Design\FC22\DRR Jaime\QUIFA-CAJÚA\Cajua\[VAS_CAJUA_CF_SEC_20230125.xlsx]CF PS'!$DI$53</t>
  </si>
  <si>
    <t>='C:\Users\jaime.benazar\Quorum Business Solutions\Ecopetrol Prometeo - Documents\Planning Space Implementation\3. Analysis &amp; Design\Design\FC22\DRR Jaime\QUIFA-CAJÚA\Cajua\[VAS_CAJUA_CF_SEC_20230125.xlsx]CF PS'!$DI$54</t>
  </si>
  <si>
    <t>='C:\Users\jaime.benazar\Quorum Business Solutions\Ecopetrol Prometeo - Documents\Planning Space Implementation\3. Analysis &amp; Design\Design\FC22\DRR Jaime\QUIFA-CAJÚA\Cajua\[VAS_CAJUA_CF_SEC_20230125.xlsx]CF PS'!$DI$55</t>
  </si>
  <si>
    <t>='C:\Users\jaime.benazar\Quorum Business Solutions\Ecopetrol Prometeo - Documents\Planning Space Implementation\3. Analysis &amp; Design\Design\FC22\DRR Jaime\QUIFA-CAJÚA\Cajua\[VAS_CAJUA_CF_SEC_20230125.xlsx]CF PS'!$DI$56</t>
  </si>
  <si>
    <t>='C:\Users\jaime.benazar\Quorum Business Solutions\Ecopetrol Prometeo - Documents\Planning Space Implementation\3. Analysis &amp; Design\Design\FC22\DRR Jaime\QUIFA-CAJÚA\Cajua\[VAS_CAJUA_CF_SEC_20230125.xlsx]CF PS'!$DI$57</t>
  </si>
  <si>
    <t>='C:\Users\jaime.benazar\Quorum Business Solutions\Ecopetrol Prometeo - Documents\Planning Space Implementation\3. Analysis &amp; Design\Design\FC22\DRR Jaime\QUIFA-CAJÚA\Cajua\[VAS_CAJUA_CF_SEC_20230125.xlsx]CF PS'!$DI$58</t>
  </si>
  <si>
    <t>='C:\Users\jaime.benazar\Quorum Business Solutions\Ecopetrol Prometeo - Documents\Planning Space Implementation\3. Analysis &amp; Design\Design\FC22\DRR Jaime\QUIFA-CAJÚA\Cajua\[VAS_CAJUA_CF_SEC_20230125.xlsx]CF PS'!$DI$59</t>
  </si>
  <si>
    <t>='C:\Users\jaime.benazar\Quorum Business Solutions\Ecopetrol Prometeo - Documents\Planning Space Implementation\3. Analysis &amp; Design\Design\FC22\DRR Jaime\QUIFA-CAJÚA\Cajua\[VAS_CAJUA_CF_SEC_20230125.xlsx]CF PS'!$DI$60</t>
  </si>
  <si>
    <t>='C:\Users\jaime.benazar\Quorum Business Solutions\Ecopetrol Prometeo - Documents\Planning Space Implementation\3. Analysis &amp; Design\Design\FC22\DRR Jaime\QUIFA-CAJÚA\Cajua\[VAS_CAJUA_CF_SEC_20230125.xlsx]CF PS'!$DI$61</t>
  </si>
  <si>
    <t>='C:\Users\jaime.benazar\Quorum Business Solutions\Ecopetrol Prometeo - Documents\Planning Space Implementation\3. Analysis &amp; Design\Design\FC22\DRR Jaime\QUIFA-CAJÚA\Cajua\[VAS_CAJUA_CF_SEC_20230125.xlsx]CF PS'!$DI$62</t>
  </si>
  <si>
    <t>='C:\Users\jaime.benazar\Quorum Business Solutions\Ecopetrol Prometeo - Documents\Planning Space Implementation\3. Analysis &amp; Design\Design\FC22\DRR Jaime\QUIFA-CAJÚA\Cajua\[VAS_CAJUA_CF_SEC_20230125.xlsx]CF PS'!$DI$63</t>
  </si>
  <si>
    <t>='C:\Users\jaime.benazar\Quorum Business Solutions\Ecopetrol Prometeo - Documents\Planning Space Implementation\3. Analysis &amp; Design\Design\FC22\DRR Jaime\QUIFA-CAJÚA\Cajua\[VAS_CAJUA_CF_SEC_20230125.xlsx]CF PS'!$DI$64</t>
  </si>
  <si>
    <t>='C:\Users\jaime.benazar\Quorum Business Solutions\Ecopetrol Prometeo - Documents\Planning Space Implementation\3. Analysis &amp; Design\Design\FC22\DRR Jaime\QUIFA-CAJÚA\Cajua\[VAS_CAJUA_CF_SEC_20230125.xlsx]CF PS'!$DI$65</t>
  </si>
  <si>
    <t>='C:\Users\jaime.benazar\Quorum Business Solutions\Ecopetrol Prometeo - Documents\Planning Space Implementation\3. Analysis &amp; Design\Design\FC22\DRR Jaime\QUIFA-CAJÚA\Cajua\[VAS_CAJUA_CF_SEC_20230125.xlsx]CF PS'!$DI$66</t>
  </si>
  <si>
    <t>='C:\Users\jaime.benazar\Quorum Business Solutions\Ecopetrol Prometeo - Documents\Planning Space Implementation\3. Analysis &amp; Design\Design\FC22\DRR Jaime\QUIFA-CAJÚA\Cajua\[VAS_CAJUA_CF_SEC_20230125.xlsx]CF PS'!$DI$67</t>
  </si>
  <si>
    <t>='C:\Users\jaime.benazar\Quorum Business Solutions\Ecopetrol Prometeo - Documents\Planning Space Implementation\3. Analysis &amp; Design\Design\FC22\DRR Jaime\QUIFA-CAJÚA\Cajua\[VAS_CAJUA_CF_SEC_20230125.xlsx]CF PS'!$DI$68</t>
  </si>
  <si>
    <t>='C:\Users\jaime.benazar\Quorum Business Solutions\Ecopetrol Prometeo - Documents\Planning Space Implementation\3. Analysis &amp; Design\Design\FC22\DRR Jaime\QUIFA-CAJÚA\Cajua\[VAS_CAJUA_CF_SEC_20230125.xlsx]CF PS'!$DI$69</t>
  </si>
  <si>
    <t>='C:\Users\jaime.benazar\Quorum Business Solutions\Ecopetrol Prometeo - Documents\Planning Space Implementation\3. Analysis &amp; Design\Design\FC22\DRR Jaime\QUIFA-CAJÚA\Cajua\[VAS_CAJUA_CF_SEC_20230125.xlsx]CF PS'!$DI$70</t>
  </si>
  <si>
    <t>='C:\Users\jaime.benazar\Quorum Business Solutions\Ecopetrol Prometeo - Documents\Planning Space Implementation\3. Analysis &amp; Design\Design\FC22\DRR Jaime\QUIFA-CAJÚA\Cajua\[VAS_CAJUA_CF_SEC_20230125.xlsx]CF PS'!$DI$71</t>
  </si>
  <si>
    <t>='C:\Users\jaime.benazar\Quorum Business Solutions\Ecopetrol Prometeo - Documents\Planning Space Implementation\3. Analysis &amp; Design\Design\FC22\DRR Jaime\QUIFA-CAJÚA\Cajua\[VAS_CAJUA_CF_SEC_20230125.xlsx]CF PS'!$DI$72</t>
  </si>
  <si>
    <t>='C:\Users\jaime.benazar\Quorum Business Solutions\Ecopetrol Prometeo - Documents\Planning Space Implementation\3. Analysis &amp; Design\Design\FC22\DRR Jaime\QUIFA-CAJÚA\Cajua\[VAS_CAJUA_CF_SEC_20230125.xlsx]CF PDP'!$BB$36</t>
  </si>
  <si>
    <t>='C:\Users\jaime.benazar\Quorum Business Solutions\Ecopetrol Prometeo - Documents\Planning Space Implementation\3. Analysis &amp; Design\Design\FC22\DRR Jaime\QUIFA-CAJÚA\Cajua\[VAS_CAJUA_CF_SEC_20230125.xlsx]CF PDP'!$BB$37</t>
  </si>
  <si>
    <t>='C:\Users\jaime.benazar\Quorum Business Solutions\Ecopetrol Prometeo - Documents\Planning Space Implementation\3. Analysis &amp; Design\Design\FC22\DRR Jaime\QUIFA-CAJÚA\Cajua\[VAS_CAJUA_CF_SEC_20230125.xlsx]CF PDP'!$BB$38</t>
  </si>
  <si>
    <t>='C:\Users\jaime.benazar\Quorum Business Solutions\Ecopetrol Prometeo - Documents\Planning Space Implementation\3. Analysis &amp; Design\Design\FC22\DRR Jaime\QUIFA-CAJÚA\Cajua\[VAS_CAJUA_CF_SEC_20230125.xlsx]CF PDP'!$BB$39</t>
  </si>
  <si>
    <t>='C:\Users\jaime.benazar\Quorum Business Solutions\Ecopetrol Prometeo - Documents\Planning Space Implementation\3. Analysis &amp; Design\Design\FC22\DRR Jaime\QUIFA-CAJÚA\Cajua\[VAS_CAJUA_CF_SEC_20230125.xlsx]CF PDP'!$BB$40</t>
  </si>
  <si>
    <t>='C:\Users\jaime.benazar\Quorum Business Solutions\Ecopetrol Prometeo - Documents\Planning Space Implementation\3. Analysis &amp; Design\Design\FC22\DRR Jaime\QUIFA-CAJÚA\Cajua\[VAS_CAJUA_CF_SEC_20230125.xlsx]CF PDP'!$BB$41</t>
  </si>
  <si>
    <t>='C:\Users\jaime.benazar\Quorum Business Solutions\Ecopetrol Prometeo - Documents\Planning Space Implementation\3. Analysis &amp; Design\Design\FC22\DRR Jaime\QUIFA-CAJÚA\Cajua\[VAS_CAJUA_CF_SEC_20230125.xlsx]CF PDP'!$BB$42</t>
  </si>
  <si>
    <t>='C:\Users\jaime.benazar\Quorum Business Solutions\Ecopetrol Prometeo - Documents\Planning Space Implementation\3. Analysis &amp; Design\Design\FC22\DRR Jaime\QUIFA-CAJÚA\Cajua\[VAS_CAJUA_CF_SEC_20230125.xlsx]CF PDP'!$BB$43</t>
  </si>
  <si>
    <t>='C:\Users\jaime.benazar\Quorum Business Solutions\Ecopetrol Prometeo - Documents\Planning Space Implementation\3. Analysis &amp; Design\Design\FC22\DRR Jaime\QUIFA-CAJÚA\Cajua\[VAS_CAJUA_CF_SEC_20230125.xlsx]CF PDP'!$BB$44</t>
  </si>
  <si>
    <t>='C:\Users\jaime.benazar\Quorum Business Solutions\Ecopetrol Prometeo - Documents\Planning Space Implementation\3. Analysis &amp; Design\Design\FC22\DRR Jaime\QUIFA-CAJÚA\Cajua\[VAS_CAJUA_CF_SEC_20230125.xlsx]CF PDP'!$BB$45</t>
  </si>
  <si>
    <t>='C:\Users\jaime.benazar\Quorum Business Solutions\Ecopetrol Prometeo - Documents\Planning Space Implementation\3. Analysis &amp; Design\Design\FC22\DRR Jaime\QUIFA-CAJÚA\Cajua\[VAS_CAJUA_CF_SEC_20230125.xlsx]CF PDP'!$BB$46</t>
  </si>
  <si>
    <t>='C:\Users\jaime.benazar\Quorum Business Solutions\Ecopetrol Prometeo - Documents\Planning Space Implementation\3. Analysis &amp; Design\Design\FC22\DRR Jaime\QUIFA-CAJÚA\Cajua\[VAS_CAJUA_CF_SEC_20230125.xlsx]CF PDP'!$BB$47</t>
  </si>
  <si>
    <t>='C:\Users\jaime.benazar\Quorum Business Solutions\Ecopetrol Prometeo - Documents\Planning Space Implementation\3. Analysis &amp; Design\Design\FC22\DRR Jaime\QUIFA-CAJÚA\Cajua\[VAS_CAJUA_CF_SEC_20230125.xlsx]CF PDP'!$BB$48</t>
  </si>
  <si>
    <t>='C:\Users\jaime.benazar\Quorum Business Solutions\Ecopetrol Prometeo - Documents\Planning Space Implementation\3. Analysis &amp; Design\Design\FC22\DRR Jaime\QUIFA-CAJÚA\Cajua\[VAS_CAJUA_CF_SEC_20230125.xlsx]CF PDP'!$BB$49</t>
  </si>
  <si>
    <t>='C:\Users\jaime.benazar\Quorum Business Solutions\Ecopetrol Prometeo - Documents\Planning Space Implementation\3. Analysis &amp; Design\Design\FC22\DRR Jaime\QUIFA-CAJÚA\Cajua\[VAS_CAJUA_CF_SEC_20230125.xlsx]CF PDP'!$BB$50</t>
  </si>
  <si>
    <t>='C:\Users\jaime.benazar\Quorum Business Solutions\Ecopetrol Prometeo - Documents\Planning Space Implementation\3. Analysis &amp; Design\Design\FC22\DRR Jaime\QUIFA-CAJÚA\Cajua\[VAS_CAJUA_CF_SEC_20230125.xlsx]CF PDP'!$BB$51</t>
  </si>
  <si>
    <t>='C:\Users\jaime.benazar\Quorum Business Solutions\Ecopetrol Prometeo - Documents\Planning Space Implementation\3. Analysis &amp; Design\Design\FC22\DRR Jaime\QUIFA-CAJÚA\Cajua\[VAS_CAJUA_CF_SEC_20230125.xlsx]CF PDP'!$BB$52</t>
  </si>
  <si>
    <t>='C:\Users\jaime.benazar\Quorum Business Solutions\Ecopetrol Prometeo - Documents\Planning Space Implementation\3. Analysis &amp; Design\Design\FC22\DRR Jaime\QUIFA-CAJÚA\Cajua\[VAS_CAJUA_CF_SEC_20230125.xlsx]CF PDP'!$BB$53</t>
  </si>
  <si>
    <t>='C:\Users\jaime.benazar\Quorum Business Solutions\Ecopetrol Prometeo - Documents\Planning Space Implementation\3. Analysis &amp; Design\Design\FC22\DRR Jaime\QUIFA-CAJÚA\Cajua\[VAS_CAJUA_CF_SEC_20230125.xlsx]CF PDP'!$BB$54</t>
  </si>
  <si>
    <t>='C:\Users\jaime.benazar\Quorum Business Solutions\Ecopetrol Prometeo - Documents\Planning Space Implementation\3. Analysis &amp; Design\Design\FC22\DRR Jaime\QUIFA-CAJÚA\Cajua\[VAS_CAJUA_CF_SEC_20230125.xlsx]CF PDP'!$BB$55</t>
  </si>
  <si>
    <t>='C:\Users\jaime.benazar\Quorum Business Solutions\Ecopetrol Prometeo - Documents\Planning Space Implementation\3. Analysis &amp; Design\Design\FC22\DRR Jaime\QUIFA-CAJÚA\Cajua\[VAS_CAJUA_CF_SEC_20230125.xlsx]CF PDP'!$BB$56</t>
  </si>
  <si>
    <t>='C:\Users\jaime.benazar\Quorum Business Solutions\Ecopetrol Prometeo - Documents\Planning Space Implementation\3. Analysis &amp; Design\Design\FC22\DRR Jaime\QUIFA-CAJÚA\Cajua\[VAS_CAJUA_CF_SEC_20230125.xlsx]CF PDP'!$BB$57</t>
  </si>
  <si>
    <t>='C:\Users\jaime.benazar\Quorum Business Solutions\Ecopetrol Prometeo - Documents\Planning Space Implementation\3. Analysis &amp; Design\Design\FC22\DRR Jaime\QUIFA-CAJÚA\Cajua\[VAS_CAJUA_CF_SEC_20230125.xlsx]CF PDP'!$BB$58</t>
  </si>
  <si>
    <t>='C:\Users\jaime.benazar\Quorum Business Solutions\Ecopetrol Prometeo - Documents\Planning Space Implementation\3. Analysis &amp; Design\Design\FC22\DRR Jaime\QUIFA-CAJÚA\Cajua\[VAS_CAJUA_CF_SEC_20230125.xlsx]CF PDP'!$BB$59</t>
  </si>
  <si>
    <t>='C:\Users\jaime.benazar\Quorum Business Solutions\Ecopetrol Prometeo - Documents\Planning Space Implementation\3. Analysis &amp; Design\Design\FC22\DRR Jaime\QUIFA-CAJÚA\Cajua\[VAS_CAJUA_CF_SEC_20230125.xlsx]CF PDP'!$BB$60</t>
  </si>
  <si>
    <t>='C:\Users\jaime.benazar\Quorum Business Solutions\Ecopetrol Prometeo - Documents\Planning Space Implementation\3. Analysis &amp; Design\Design\FC22\DRR Jaime\QUIFA-CAJÚA\Cajua\[VAS_CAJUA_CF_SEC_20230125.xlsx]CF PDP'!$BB$61</t>
  </si>
  <si>
    <t>='C:\Users\jaime.benazar\Quorum Business Solutions\Ecopetrol Prometeo - Documents\Planning Space Implementation\3. Analysis &amp; Design\Design\FC22\DRR Jaime\QUIFA-CAJÚA\Cajua\[VAS_CAJUA_CF_SEC_20230125.xlsx]CF PDP'!$BB$62</t>
  </si>
  <si>
    <t>='C:\Users\jaime.benazar\Quorum Business Solutions\Ecopetrol Prometeo - Documents\Planning Space Implementation\3. Analysis &amp; Design\Design\FC22\DRR Jaime\QUIFA-CAJÚA\Cajua\[VAS_CAJUA_CF_SEC_20230125.xlsx]CF PDP'!$BB$63</t>
  </si>
  <si>
    <t>='C:\Users\jaime.benazar\Quorum Business Solutions\Ecopetrol Prometeo - Documents\Planning Space Implementation\3. Analysis &amp; Design\Design\FC22\DRR Jaime\QUIFA-CAJÚA\Cajua\[VAS_CAJUA_CF_SEC_20230125.xlsx]CF PDP'!$BB$64</t>
  </si>
  <si>
    <t>='C:\Users\jaime.benazar\Quorum Business Solutions\Ecopetrol Prometeo - Documents\Planning Space Implementation\3. Analysis &amp; Design\Design\FC22\DRR Jaime\QUIFA-CAJÚA\Cajua\[VAS_CAJUA_CF_SEC_20230125.xlsx]CF PDP'!$BB$65</t>
  </si>
  <si>
    <t>='C:\Users\jaime.benazar\Quorum Business Solutions\Ecopetrol Prometeo - Documents\Planning Space Implementation\3. Analysis &amp; Design\Design\FC22\DRR Jaime\QUIFA-CAJÚA\Cajua\[VAS_CAJUA_CF_SEC_20230125.xlsx]CF PDP'!$BB$66</t>
  </si>
  <si>
    <t>='C:\Users\jaime.benazar\Quorum Business Solutions\Ecopetrol Prometeo - Documents\Planning Space Implementation\3. Analysis &amp; Design\Design\FC22\DRR Jaime\QUIFA-CAJÚA\Cajua\[VAS_CAJUA_CF_SEC_20230125.xlsx]CF PDP'!$BB$67</t>
  </si>
  <si>
    <t>='C:\Users\jaime.benazar\Quorum Business Solutions\Ecopetrol Prometeo - Documents\Planning Space Implementation\3. Analysis &amp; Design\Design\FC22\DRR Jaime\QUIFA-CAJÚA\Cajua\[VAS_CAJUA_CF_SEC_20230125.xlsx]CF PDP'!$BB$68</t>
  </si>
  <si>
    <t>='C:\Users\jaime.benazar\Quorum Business Solutions\Ecopetrol Prometeo - Documents\Planning Space Implementation\3. Analysis &amp; Design\Design\FC22\DRR Jaime\QUIFA-CAJÚA\Cajua\[VAS_CAJUA_CF_SEC_20230125.xlsx]CF PDP'!$BB$69</t>
  </si>
  <si>
    <t>='C:\Users\jaime.benazar\Quorum Business Solutions\Ecopetrol Prometeo - Documents\Planning Space Implementation\3. Analysis &amp; Design\Design\FC22\DRR Jaime\QUIFA-CAJÚA\Cajua\[VAS_CAJUA_CF_SEC_20230125.xlsx]CF PDP'!$BB$70</t>
  </si>
  <si>
    <t>='C:\Users\jaime.benazar\Quorum Business Solutions\Ecopetrol Prometeo - Documents\Planning Space Implementation\3. Analysis &amp; Design\Design\FC22\DRR Jaime\QUIFA-CAJÚA\Cajua\[VAS_CAJUA_CF_SEC_20230125.xlsx]CF PDP'!$BB$71</t>
  </si>
  <si>
    <t>='C:\Users\jaime.benazar\Quorum Business Solutions\Ecopetrol Prometeo - Documents\Planning Space Implementation\3. Analysis &amp; Design\Design\FC22\DRR Jaime\QUIFA-CAJÚA\Cajua\[VAS_CAJUA_CF_SEC_20230125.xlsx]CF PDP'!$BB$72</t>
  </si>
  <si>
    <t>='C:\Users\jaime.benazar\Quorum Business Solutions\Ecopetrol Prometeo - Documents\Planning Space Implementation\3. Analysis &amp; Design\Design\FC22\DRR Jaime\QUIFA-CAJÚA\Cajua\[VAS_CAJUA_CF_SEC_20230125.xlsx]CF PNP'!$BB$36</t>
  </si>
  <si>
    <t>='C:\Users\jaime.benazar\Quorum Business Solutions\Ecopetrol Prometeo - Documents\Planning Space Implementation\3. Analysis &amp; Design\Design\FC22\DRR Jaime\QUIFA-CAJÚA\Cajua\[VAS_CAJUA_CF_SEC_20230125.xlsx]CF PNP'!$BB$37</t>
  </si>
  <si>
    <t>='C:\Users\jaime.benazar\Quorum Business Solutions\Ecopetrol Prometeo - Documents\Planning Space Implementation\3. Analysis &amp; Design\Design\FC22\DRR Jaime\QUIFA-CAJÚA\Cajua\[VAS_CAJUA_CF_SEC_20230125.xlsx]CF PNP'!$BB$38</t>
  </si>
  <si>
    <t>='C:\Users\jaime.benazar\Quorum Business Solutions\Ecopetrol Prometeo - Documents\Planning Space Implementation\3. Analysis &amp; Design\Design\FC22\DRR Jaime\QUIFA-CAJÚA\Cajua\[VAS_CAJUA_CF_SEC_20230125.xlsx]CF PNP'!$BB$39</t>
  </si>
  <si>
    <t>='C:\Users\jaime.benazar\Quorum Business Solutions\Ecopetrol Prometeo - Documents\Planning Space Implementation\3. Analysis &amp; Design\Design\FC22\DRR Jaime\QUIFA-CAJÚA\Cajua\[VAS_CAJUA_CF_SEC_20230125.xlsx]CF PNP'!$BB$40</t>
  </si>
  <si>
    <t>='C:\Users\jaime.benazar\Quorum Business Solutions\Ecopetrol Prometeo - Documents\Planning Space Implementation\3. Analysis &amp; Design\Design\FC22\DRR Jaime\QUIFA-CAJÚA\Cajua\[VAS_CAJUA_CF_SEC_20230125.xlsx]CF PNP'!$BB$41</t>
  </si>
  <si>
    <t>='C:\Users\jaime.benazar\Quorum Business Solutions\Ecopetrol Prometeo - Documents\Planning Space Implementation\3. Analysis &amp; Design\Design\FC22\DRR Jaime\QUIFA-CAJÚA\Cajua\[VAS_CAJUA_CF_SEC_20230125.xlsx]CF PNP'!$BB$42</t>
  </si>
  <si>
    <t>='C:\Users\jaime.benazar\Quorum Business Solutions\Ecopetrol Prometeo - Documents\Planning Space Implementation\3. Analysis &amp; Design\Design\FC22\DRR Jaime\QUIFA-CAJÚA\Cajua\[VAS_CAJUA_CF_SEC_20230125.xlsx]CF PNP'!$BB$43</t>
  </si>
  <si>
    <t>='C:\Users\jaime.benazar\Quorum Business Solutions\Ecopetrol Prometeo - Documents\Planning Space Implementation\3. Analysis &amp; Design\Design\FC22\DRR Jaime\QUIFA-CAJÚA\Cajua\[VAS_CAJUA_CF_SEC_20230125.xlsx]CF PNP'!$BB$44</t>
  </si>
  <si>
    <t>='C:\Users\jaime.benazar\Quorum Business Solutions\Ecopetrol Prometeo - Documents\Planning Space Implementation\3. Analysis &amp; Design\Design\FC22\DRR Jaime\QUIFA-CAJÚA\Cajua\[VAS_CAJUA_CF_SEC_20230125.xlsx]CF PNP'!$BB$45</t>
  </si>
  <si>
    <t>='C:\Users\jaime.benazar\Quorum Business Solutions\Ecopetrol Prometeo - Documents\Planning Space Implementation\3. Analysis &amp; Design\Design\FC22\DRR Jaime\QUIFA-CAJÚA\Cajua\[VAS_CAJUA_CF_SEC_20230125.xlsx]CF PNP'!$BB$46</t>
  </si>
  <si>
    <t>='C:\Users\jaime.benazar\Quorum Business Solutions\Ecopetrol Prometeo - Documents\Planning Space Implementation\3. Analysis &amp; Design\Design\FC22\DRR Jaime\QUIFA-CAJÚA\Cajua\[VAS_CAJUA_CF_SEC_20230125.xlsx]CF PNP'!$BB$47</t>
  </si>
  <si>
    <t>='C:\Users\jaime.benazar\Quorum Business Solutions\Ecopetrol Prometeo - Documents\Planning Space Implementation\3. Analysis &amp; Design\Design\FC22\DRR Jaime\QUIFA-CAJÚA\Cajua\[VAS_CAJUA_CF_SEC_20230125.xlsx]CF PNP'!$BB$48</t>
  </si>
  <si>
    <t>='C:\Users\jaime.benazar\Quorum Business Solutions\Ecopetrol Prometeo - Documents\Planning Space Implementation\3. Analysis &amp; Design\Design\FC22\DRR Jaime\QUIFA-CAJÚA\Cajua\[VAS_CAJUA_CF_SEC_20230125.xlsx]CF PNP'!$BB$49</t>
  </si>
  <si>
    <t>='C:\Users\jaime.benazar\Quorum Business Solutions\Ecopetrol Prometeo - Documents\Planning Space Implementation\3. Analysis &amp; Design\Design\FC22\DRR Jaime\QUIFA-CAJÚA\Cajua\[VAS_CAJUA_CF_SEC_20230125.xlsx]CF PNP'!$BB$50</t>
  </si>
  <si>
    <t>='C:\Users\jaime.benazar\Quorum Business Solutions\Ecopetrol Prometeo - Documents\Planning Space Implementation\3. Analysis &amp; Design\Design\FC22\DRR Jaime\QUIFA-CAJÚA\Cajua\[VAS_CAJUA_CF_SEC_20230125.xlsx]CF PNP'!$BB$51</t>
  </si>
  <si>
    <t>='C:\Users\jaime.benazar\Quorum Business Solutions\Ecopetrol Prometeo - Documents\Planning Space Implementation\3. Analysis &amp; Design\Design\FC22\DRR Jaime\QUIFA-CAJÚA\Cajua\[VAS_CAJUA_CF_SEC_20230125.xlsx]CF PNP'!$BB$52</t>
  </si>
  <si>
    <t>='C:\Users\jaime.benazar\Quorum Business Solutions\Ecopetrol Prometeo - Documents\Planning Space Implementation\3. Analysis &amp; Design\Design\FC22\DRR Jaime\QUIFA-CAJÚA\Cajua\[VAS_CAJUA_CF_SEC_20230125.xlsx]CF PNP'!$BB$53</t>
  </si>
  <si>
    <t>='C:\Users\jaime.benazar\Quorum Business Solutions\Ecopetrol Prometeo - Documents\Planning Space Implementation\3. Analysis &amp; Design\Design\FC22\DRR Jaime\QUIFA-CAJÚA\Cajua\[VAS_CAJUA_CF_SEC_20230125.xlsx]CF PNP'!$BB$54</t>
  </si>
  <si>
    <t>='C:\Users\jaime.benazar\Quorum Business Solutions\Ecopetrol Prometeo - Documents\Planning Space Implementation\3. Analysis &amp; Design\Design\FC22\DRR Jaime\QUIFA-CAJÚA\Cajua\[VAS_CAJUA_CF_SEC_20230125.xlsx]CF PNP'!$BB$55</t>
  </si>
  <si>
    <t>='C:\Users\jaime.benazar\Quorum Business Solutions\Ecopetrol Prometeo - Documents\Planning Space Implementation\3. Analysis &amp; Design\Design\FC22\DRR Jaime\QUIFA-CAJÚA\Cajua\[VAS_CAJUA_CF_SEC_20230125.xlsx]CF PNP'!$BB$56</t>
  </si>
  <si>
    <t>='C:\Users\jaime.benazar\Quorum Business Solutions\Ecopetrol Prometeo - Documents\Planning Space Implementation\3. Analysis &amp; Design\Design\FC22\DRR Jaime\QUIFA-CAJÚA\Cajua\[VAS_CAJUA_CF_SEC_20230125.xlsx]CF PNP'!$BB$57</t>
  </si>
  <si>
    <t>='C:\Users\jaime.benazar\Quorum Business Solutions\Ecopetrol Prometeo - Documents\Planning Space Implementation\3. Analysis &amp; Design\Design\FC22\DRR Jaime\QUIFA-CAJÚA\Cajua\[VAS_CAJUA_CF_SEC_20230125.xlsx]CF PNP'!$BB$58</t>
  </si>
  <si>
    <t>='C:\Users\jaime.benazar\Quorum Business Solutions\Ecopetrol Prometeo - Documents\Planning Space Implementation\3. Analysis &amp; Design\Design\FC22\DRR Jaime\QUIFA-CAJÚA\Cajua\[VAS_CAJUA_CF_SEC_20230125.xlsx]CF PNP'!$BB$59</t>
  </si>
  <si>
    <t>='C:\Users\jaime.benazar\Quorum Business Solutions\Ecopetrol Prometeo - Documents\Planning Space Implementation\3. Analysis &amp; Design\Design\FC22\DRR Jaime\QUIFA-CAJÚA\Cajua\[VAS_CAJUA_CF_SEC_20230125.xlsx]CF PNP'!$BB$60</t>
  </si>
  <si>
    <t>='C:\Users\jaime.benazar\Quorum Business Solutions\Ecopetrol Prometeo - Documents\Planning Space Implementation\3. Analysis &amp; Design\Design\FC22\DRR Jaime\QUIFA-CAJÚA\Cajua\[VAS_CAJUA_CF_SEC_20230125.xlsx]CF PNP'!$BB$61</t>
  </si>
  <si>
    <t>='C:\Users\jaime.benazar\Quorum Business Solutions\Ecopetrol Prometeo - Documents\Planning Space Implementation\3. Analysis &amp; Design\Design\FC22\DRR Jaime\QUIFA-CAJÚA\Cajua\[VAS_CAJUA_CF_SEC_20230125.xlsx]CF PNP'!$BB$62</t>
  </si>
  <si>
    <t>='C:\Users\jaime.benazar\Quorum Business Solutions\Ecopetrol Prometeo - Documents\Planning Space Implementation\3. Analysis &amp; Design\Design\FC22\DRR Jaime\QUIFA-CAJÚA\Cajua\[VAS_CAJUA_CF_SEC_20230125.xlsx]CF PNP'!$BB$63</t>
  </si>
  <si>
    <t>='C:\Users\jaime.benazar\Quorum Business Solutions\Ecopetrol Prometeo - Documents\Planning Space Implementation\3. Analysis &amp; Design\Design\FC22\DRR Jaime\QUIFA-CAJÚA\Cajua\[VAS_CAJUA_CF_SEC_20230125.xlsx]CF PNP'!$BB$64</t>
  </si>
  <si>
    <t>='C:\Users\jaime.benazar\Quorum Business Solutions\Ecopetrol Prometeo - Documents\Planning Space Implementation\3. Analysis &amp; Design\Design\FC22\DRR Jaime\QUIFA-CAJÚA\Cajua\[VAS_CAJUA_CF_SEC_20230125.xlsx]CF PNP'!$BB$65</t>
  </si>
  <si>
    <t>='C:\Users\jaime.benazar\Quorum Business Solutions\Ecopetrol Prometeo - Documents\Planning Space Implementation\3. Analysis &amp; Design\Design\FC22\DRR Jaime\QUIFA-CAJÚA\Cajua\[VAS_CAJUA_CF_SEC_20230125.xlsx]CF PNP'!$BB$66</t>
  </si>
  <si>
    <t>='C:\Users\jaime.benazar\Quorum Business Solutions\Ecopetrol Prometeo - Documents\Planning Space Implementation\3. Analysis &amp; Design\Design\FC22\DRR Jaime\QUIFA-CAJÚA\Cajua\[VAS_CAJUA_CF_SEC_20230125.xlsx]CF PNP'!$BB$67</t>
  </si>
  <si>
    <t>='C:\Users\jaime.benazar\Quorum Business Solutions\Ecopetrol Prometeo - Documents\Planning Space Implementation\3. Analysis &amp; Design\Design\FC22\DRR Jaime\QUIFA-CAJÚA\Cajua\[VAS_CAJUA_CF_SEC_20230125.xlsx]CF PNP'!$BB$68</t>
  </si>
  <si>
    <t>='C:\Users\jaime.benazar\Quorum Business Solutions\Ecopetrol Prometeo - Documents\Planning Space Implementation\3. Analysis &amp; Design\Design\FC22\DRR Jaime\QUIFA-CAJÚA\Cajua\[VAS_CAJUA_CF_SEC_20230125.xlsx]CF PNP'!$BB$69</t>
  </si>
  <si>
    <t>='C:\Users\jaime.benazar\Quorum Business Solutions\Ecopetrol Prometeo - Documents\Planning Space Implementation\3. Analysis &amp; Design\Design\FC22\DRR Jaime\QUIFA-CAJÚA\Cajua\[VAS_CAJUA_CF_SEC_20230125.xlsx]CF PNP'!$BB$70</t>
  </si>
  <si>
    <t>='C:\Users\jaime.benazar\Quorum Business Solutions\Ecopetrol Prometeo - Documents\Planning Space Implementation\3. Analysis &amp; Design\Design\FC22\DRR Jaime\QUIFA-CAJÚA\Cajua\[VAS_CAJUA_CF_SEC_20230125.xlsx]CF PNP'!$BB$71</t>
  </si>
  <si>
    <t>='C:\Users\jaime.benazar\Quorum Business Solutions\Ecopetrol Prometeo - Documents\Planning Space Implementation\3. Analysis &amp; Design\Design\FC22\DRR Jaime\QUIFA-CAJÚA\Cajua\[VAS_CAJUA_CF_SEC_20230125.xlsx]CF PNP'!$BB$72</t>
  </si>
  <si>
    <t>='C:\Users\jaime.benazar\Quorum Business Solutions\Ecopetrol Prometeo - Documents\Planning Space Implementation\3. Analysis &amp; Design\Design\FC22\DRR Jaime\QUIFA-CAJÚA\Cajua\[VAS_CAJUA_CF_SEC_20230125.xlsx]CF PND'!$BB$36</t>
  </si>
  <si>
    <t>='C:\Users\jaime.benazar\Quorum Business Solutions\Ecopetrol Prometeo - Documents\Planning Space Implementation\3. Analysis &amp; Design\Design\FC22\DRR Jaime\QUIFA-CAJÚA\Cajua\[VAS_CAJUA_CF_SEC_20230125.xlsx]CF PND'!$BB$37</t>
  </si>
  <si>
    <t>='C:\Users\jaime.benazar\Quorum Business Solutions\Ecopetrol Prometeo - Documents\Planning Space Implementation\3. Analysis &amp; Design\Design\FC22\DRR Jaime\QUIFA-CAJÚA\Cajua\[VAS_CAJUA_CF_SEC_20230125.xlsx]CF PND'!$BB$38</t>
  </si>
  <si>
    <t>='C:\Users\jaime.benazar\Quorum Business Solutions\Ecopetrol Prometeo - Documents\Planning Space Implementation\3. Analysis &amp; Design\Design\FC22\DRR Jaime\QUIFA-CAJÚA\Cajua\[VAS_CAJUA_CF_SEC_20230125.xlsx]CF PND'!$BB$39</t>
  </si>
  <si>
    <t>='C:\Users\jaime.benazar\Quorum Business Solutions\Ecopetrol Prometeo - Documents\Planning Space Implementation\3. Analysis &amp; Design\Design\FC22\DRR Jaime\QUIFA-CAJÚA\Cajua\[VAS_CAJUA_CF_SEC_20230125.xlsx]CF PND'!$BB$40</t>
  </si>
  <si>
    <t>='C:\Users\jaime.benazar\Quorum Business Solutions\Ecopetrol Prometeo - Documents\Planning Space Implementation\3. Analysis &amp; Design\Design\FC22\DRR Jaime\QUIFA-CAJÚA\Cajua\[VAS_CAJUA_CF_SEC_20230125.xlsx]CF PND'!$BB$41</t>
  </si>
  <si>
    <t>='C:\Users\jaime.benazar\Quorum Business Solutions\Ecopetrol Prometeo - Documents\Planning Space Implementation\3. Analysis &amp; Design\Design\FC22\DRR Jaime\QUIFA-CAJÚA\Cajua\[VAS_CAJUA_CF_SEC_20230125.xlsx]CF PND'!$BB$42</t>
  </si>
  <si>
    <t>='C:\Users\jaime.benazar\Quorum Business Solutions\Ecopetrol Prometeo - Documents\Planning Space Implementation\3. Analysis &amp; Design\Design\FC22\DRR Jaime\QUIFA-CAJÚA\Cajua\[VAS_CAJUA_CF_SEC_20230125.xlsx]CF PND'!$BB$43</t>
  </si>
  <si>
    <t>='C:\Users\jaime.benazar\Quorum Business Solutions\Ecopetrol Prometeo - Documents\Planning Space Implementation\3. Analysis &amp; Design\Design\FC22\DRR Jaime\QUIFA-CAJÚA\Cajua\[VAS_CAJUA_CF_SEC_20230125.xlsx]CF PND'!$BB$44</t>
  </si>
  <si>
    <t>='C:\Users\jaime.benazar\Quorum Business Solutions\Ecopetrol Prometeo - Documents\Planning Space Implementation\3. Analysis &amp; Design\Design\FC22\DRR Jaime\QUIFA-CAJÚA\Cajua\[VAS_CAJUA_CF_SEC_20230125.xlsx]CF PND'!$BB$45</t>
  </si>
  <si>
    <t>='C:\Users\jaime.benazar\Quorum Business Solutions\Ecopetrol Prometeo - Documents\Planning Space Implementation\3. Analysis &amp; Design\Design\FC22\DRR Jaime\QUIFA-CAJÚA\Cajua\[VAS_CAJUA_CF_SEC_20230125.xlsx]CF PND'!$BB$46</t>
  </si>
  <si>
    <t>='C:\Users\jaime.benazar\Quorum Business Solutions\Ecopetrol Prometeo - Documents\Planning Space Implementation\3. Analysis &amp; Design\Design\FC22\DRR Jaime\QUIFA-CAJÚA\Cajua\[VAS_CAJUA_CF_SEC_20230125.xlsx]CF PND'!$BB$47</t>
  </si>
  <si>
    <t>='C:\Users\jaime.benazar\Quorum Business Solutions\Ecopetrol Prometeo - Documents\Planning Space Implementation\3. Analysis &amp; Design\Design\FC22\DRR Jaime\QUIFA-CAJÚA\Cajua\[VAS_CAJUA_CF_SEC_20230125.xlsx]CF PND'!$BB$48</t>
  </si>
  <si>
    <t>='C:\Users\jaime.benazar\Quorum Business Solutions\Ecopetrol Prometeo - Documents\Planning Space Implementation\3. Analysis &amp; Design\Design\FC22\DRR Jaime\QUIFA-CAJÚA\Cajua\[VAS_CAJUA_CF_SEC_20230125.xlsx]CF PND'!$BB$49</t>
  </si>
  <si>
    <t>='C:\Users\jaime.benazar\Quorum Business Solutions\Ecopetrol Prometeo - Documents\Planning Space Implementation\3. Analysis &amp; Design\Design\FC22\DRR Jaime\QUIFA-CAJÚA\Cajua\[VAS_CAJUA_CF_SEC_20230125.xlsx]CF PND'!$BB$50</t>
  </si>
  <si>
    <t>='C:\Users\jaime.benazar\Quorum Business Solutions\Ecopetrol Prometeo - Documents\Planning Space Implementation\3. Analysis &amp; Design\Design\FC22\DRR Jaime\QUIFA-CAJÚA\Cajua\[VAS_CAJUA_CF_SEC_20230125.xlsx]CF PND'!$BB$51</t>
  </si>
  <si>
    <t>='C:\Users\jaime.benazar\Quorum Business Solutions\Ecopetrol Prometeo - Documents\Planning Space Implementation\3. Analysis &amp; Design\Design\FC22\DRR Jaime\QUIFA-CAJÚA\Cajua\[VAS_CAJUA_CF_SEC_20230125.xlsx]CF PND'!$BB$52</t>
  </si>
  <si>
    <t>='C:\Users\jaime.benazar\Quorum Business Solutions\Ecopetrol Prometeo - Documents\Planning Space Implementation\3. Analysis &amp; Design\Design\FC22\DRR Jaime\QUIFA-CAJÚA\Cajua\[VAS_CAJUA_CF_SEC_20230125.xlsx]CF PND'!$BB$53</t>
  </si>
  <si>
    <t>='C:\Users\jaime.benazar\Quorum Business Solutions\Ecopetrol Prometeo - Documents\Planning Space Implementation\3. Analysis &amp; Design\Design\FC22\DRR Jaime\QUIFA-CAJÚA\Cajua\[VAS_CAJUA_CF_SEC_20230125.xlsx]CF PND'!$BB$54</t>
  </si>
  <si>
    <t>='C:\Users\jaime.benazar\Quorum Business Solutions\Ecopetrol Prometeo - Documents\Planning Space Implementation\3. Analysis &amp; Design\Design\FC22\DRR Jaime\QUIFA-CAJÚA\Cajua\[VAS_CAJUA_CF_SEC_20230125.xlsx]CF PND'!$BB$55</t>
  </si>
  <si>
    <t>='C:\Users\jaime.benazar\Quorum Business Solutions\Ecopetrol Prometeo - Documents\Planning Space Implementation\3. Analysis &amp; Design\Design\FC22\DRR Jaime\QUIFA-CAJÚA\Cajua\[VAS_CAJUA_CF_SEC_20230125.xlsx]CF PND'!$BB$56</t>
  </si>
  <si>
    <t>='C:\Users\jaime.benazar\Quorum Business Solutions\Ecopetrol Prometeo - Documents\Planning Space Implementation\3. Analysis &amp; Design\Design\FC22\DRR Jaime\QUIFA-CAJÚA\Cajua\[VAS_CAJUA_CF_SEC_20230125.xlsx]CF PND'!$BB$57</t>
  </si>
  <si>
    <t>='C:\Users\jaime.benazar\Quorum Business Solutions\Ecopetrol Prometeo - Documents\Planning Space Implementation\3. Analysis &amp; Design\Design\FC22\DRR Jaime\QUIFA-CAJÚA\Cajua\[VAS_CAJUA_CF_SEC_20230125.xlsx]CF PND'!$BB$58</t>
  </si>
  <si>
    <t>='C:\Users\jaime.benazar\Quorum Business Solutions\Ecopetrol Prometeo - Documents\Planning Space Implementation\3. Analysis &amp; Design\Design\FC22\DRR Jaime\QUIFA-CAJÚA\Cajua\[VAS_CAJUA_CF_SEC_20230125.xlsx]CF PND'!$BB$59</t>
  </si>
  <si>
    <t>='C:\Users\jaime.benazar\Quorum Business Solutions\Ecopetrol Prometeo - Documents\Planning Space Implementation\3. Analysis &amp; Design\Design\FC22\DRR Jaime\QUIFA-CAJÚA\Cajua\[VAS_CAJUA_CF_SEC_20230125.xlsx]CF PND'!$BB$60</t>
  </si>
  <si>
    <t>='C:\Users\jaime.benazar\Quorum Business Solutions\Ecopetrol Prometeo - Documents\Planning Space Implementation\3. Analysis &amp; Design\Design\FC22\DRR Jaime\QUIFA-CAJÚA\Cajua\[VAS_CAJUA_CF_SEC_20230125.xlsx]CF PND'!$BB$61</t>
  </si>
  <si>
    <t>='C:\Users\jaime.benazar\Quorum Business Solutions\Ecopetrol Prometeo - Documents\Planning Space Implementation\3. Analysis &amp; Design\Design\FC22\DRR Jaime\QUIFA-CAJÚA\Cajua\[VAS_CAJUA_CF_SEC_20230125.xlsx]CF PND'!$BB$62</t>
  </si>
  <si>
    <t>='C:\Users\jaime.benazar\Quorum Business Solutions\Ecopetrol Prometeo - Documents\Planning Space Implementation\3. Analysis &amp; Design\Design\FC22\DRR Jaime\QUIFA-CAJÚA\Cajua\[VAS_CAJUA_CF_SEC_20230125.xlsx]CF PND'!$BB$63</t>
  </si>
  <si>
    <t>='C:\Users\jaime.benazar\Quorum Business Solutions\Ecopetrol Prometeo - Documents\Planning Space Implementation\3. Analysis &amp; Design\Design\FC22\DRR Jaime\QUIFA-CAJÚA\Cajua\[VAS_CAJUA_CF_SEC_20230125.xlsx]CF PND'!$BB$64</t>
  </si>
  <si>
    <t>='C:\Users\jaime.benazar\Quorum Business Solutions\Ecopetrol Prometeo - Documents\Planning Space Implementation\3. Analysis &amp; Design\Design\FC22\DRR Jaime\QUIFA-CAJÚA\Cajua\[VAS_CAJUA_CF_SEC_20230125.xlsx]CF PND'!$BB$65</t>
  </si>
  <si>
    <t>='C:\Users\jaime.benazar\Quorum Business Solutions\Ecopetrol Prometeo - Documents\Planning Space Implementation\3. Analysis &amp; Design\Design\FC22\DRR Jaime\QUIFA-CAJÚA\Cajua\[VAS_CAJUA_CF_SEC_20230125.xlsx]CF PND'!$BB$66</t>
  </si>
  <si>
    <t>='C:\Users\jaime.benazar\Quorum Business Solutions\Ecopetrol Prometeo - Documents\Planning Space Implementation\3. Analysis &amp; Design\Design\FC22\DRR Jaime\QUIFA-CAJÚA\Cajua\[VAS_CAJUA_CF_SEC_20230125.xlsx]CF PND'!$BB$67</t>
  </si>
  <si>
    <t>='C:\Users\jaime.benazar\Quorum Business Solutions\Ecopetrol Prometeo - Documents\Planning Space Implementation\3. Analysis &amp; Design\Design\FC22\DRR Jaime\QUIFA-CAJÚA\Cajua\[VAS_CAJUA_CF_SEC_20230125.xlsx]CF PND'!$BB$68</t>
  </si>
  <si>
    <t>='C:\Users\jaime.benazar\Quorum Business Solutions\Ecopetrol Prometeo - Documents\Planning Space Implementation\3. Analysis &amp; Design\Design\FC22\DRR Jaime\QUIFA-CAJÚA\Cajua\[VAS_CAJUA_CF_SEC_20230125.xlsx]CF PND'!$BB$69</t>
  </si>
  <si>
    <t>='C:\Users\jaime.benazar\Quorum Business Solutions\Ecopetrol Prometeo - Documents\Planning Space Implementation\3. Analysis &amp; Design\Design\FC22\DRR Jaime\QUIFA-CAJÚA\Cajua\[VAS_CAJUA_CF_SEC_20230125.xlsx]CF PND'!$BB$70</t>
  </si>
  <si>
    <t>='C:\Users\jaime.benazar\Quorum Business Solutions\Ecopetrol Prometeo - Documents\Planning Space Implementation\3. Analysis &amp; Design\Design\FC22\DRR Jaime\QUIFA-CAJÚA\Cajua\[VAS_CAJUA_CF_SEC_20230125.xlsx]CF PND'!$BB$71</t>
  </si>
  <si>
    <t>='C:\Users\jaime.benazar\Quorum Business Solutions\Ecopetrol Prometeo - Documents\Planning Space Implementation\3. Analysis &amp; Design\Design\FC22\DRR Jaime\QUIFA-CAJÚA\Cajua\[VAS_CAJUA_CF_SEC_20230125.xlsx]CF PND'!$BB$72</t>
  </si>
  <si>
    <t>='C:\Users\jaime.benazar\Quorum Business Solutions\Ecopetrol Prometeo - Documents\Planning Space Implementation\3. Analysis &amp; Design\Design\FC22\DRR Jaime\QUIFA-CAJÚA\Cajua\[VAS_CAJUA_CF_SEC_20230125.xlsx]CF PRB'!$BB$36</t>
  </si>
  <si>
    <t>='C:\Users\jaime.benazar\Quorum Business Solutions\Ecopetrol Prometeo - Documents\Planning Space Implementation\3. Analysis &amp; Design\Design\FC22\DRR Jaime\QUIFA-CAJÚA\Cajua\[VAS_CAJUA_CF_SEC_20230125.xlsx]CF PRB'!$BB$37</t>
  </si>
  <si>
    <t>='C:\Users\jaime.benazar\Quorum Business Solutions\Ecopetrol Prometeo - Documents\Planning Space Implementation\3. Analysis &amp; Design\Design\FC22\DRR Jaime\QUIFA-CAJÚA\Cajua\[VAS_CAJUA_CF_SEC_20230125.xlsx]CF PRB'!$BB$38</t>
  </si>
  <si>
    <t>='C:\Users\jaime.benazar\Quorum Business Solutions\Ecopetrol Prometeo - Documents\Planning Space Implementation\3. Analysis &amp; Design\Design\FC22\DRR Jaime\QUIFA-CAJÚA\Cajua\[VAS_CAJUA_CF_SEC_20230125.xlsx]CF PRB'!$BB$39</t>
  </si>
  <si>
    <t>='C:\Users\jaime.benazar\Quorum Business Solutions\Ecopetrol Prometeo - Documents\Planning Space Implementation\3. Analysis &amp; Design\Design\FC22\DRR Jaime\QUIFA-CAJÚA\Cajua\[VAS_CAJUA_CF_SEC_20230125.xlsx]CF PRB'!$BB$40</t>
  </si>
  <si>
    <t>='C:\Users\jaime.benazar\Quorum Business Solutions\Ecopetrol Prometeo - Documents\Planning Space Implementation\3. Analysis &amp; Design\Design\FC22\DRR Jaime\QUIFA-CAJÚA\Cajua\[VAS_CAJUA_CF_SEC_20230125.xlsx]CF PRB'!$BB$41</t>
  </si>
  <si>
    <t>='C:\Users\jaime.benazar\Quorum Business Solutions\Ecopetrol Prometeo - Documents\Planning Space Implementation\3. Analysis &amp; Design\Design\FC22\DRR Jaime\QUIFA-CAJÚA\Cajua\[VAS_CAJUA_CF_SEC_20230125.xlsx]CF PRB'!$BB$42</t>
  </si>
  <si>
    <t>='C:\Users\jaime.benazar\Quorum Business Solutions\Ecopetrol Prometeo - Documents\Planning Space Implementation\3. Analysis &amp; Design\Design\FC22\DRR Jaime\QUIFA-CAJÚA\Cajua\[VAS_CAJUA_CF_SEC_20230125.xlsx]CF PRB'!$BB$43</t>
  </si>
  <si>
    <t>='C:\Users\jaime.benazar\Quorum Business Solutions\Ecopetrol Prometeo - Documents\Planning Space Implementation\3. Analysis &amp; Design\Design\FC22\DRR Jaime\QUIFA-CAJÚA\Cajua\[VAS_CAJUA_CF_SEC_20230125.xlsx]CF PRB'!$BB$44</t>
  </si>
  <si>
    <t>='C:\Users\jaime.benazar\Quorum Business Solutions\Ecopetrol Prometeo - Documents\Planning Space Implementation\3. Analysis &amp; Design\Design\FC22\DRR Jaime\QUIFA-CAJÚA\Cajua\[VAS_CAJUA_CF_SEC_20230125.xlsx]CF PRB'!$BB$45</t>
  </si>
  <si>
    <t>='C:\Users\jaime.benazar\Quorum Business Solutions\Ecopetrol Prometeo - Documents\Planning Space Implementation\3. Analysis &amp; Design\Design\FC22\DRR Jaime\QUIFA-CAJÚA\Cajua\[VAS_CAJUA_CF_SEC_20230125.xlsx]CF PRB'!$BB$46</t>
  </si>
  <si>
    <t>='C:\Users\jaime.benazar\Quorum Business Solutions\Ecopetrol Prometeo - Documents\Planning Space Implementation\3. Analysis &amp; Design\Design\FC22\DRR Jaime\QUIFA-CAJÚA\Cajua\[VAS_CAJUA_CF_SEC_20230125.xlsx]CF PRB'!$BB$47</t>
  </si>
  <si>
    <t>='C:\Users\jaime.benazar\Quorum Business Solutions\Ecopetrol Prometeo - Documents\Planning Space Implementation\3. Analysis &amp; Design\Design\FC22\DRR Jaime\QUIFA-CAJÚA\Cajua\[VAS_CAJUA_CF_SEC_20230125.xlsx]CF PRB'!$BB$48</t>
  </si>
  <si>
    <t>='C:\Users\jaime.benazar\Quorum Business Solutions\Ecopetrol Prometeo - Documents\Planning Space Implementation\3. Analysis &amp; Design\Design\FC22\DRR Jaime\QUIFA-CAJÚA\Cajua\[VAS_CAJUA_CF_SEC_20230125.xlsx]CF PRB'!$BB$49</t>
  </si>
  <si>
    <t>='C:\Users\jaime.benazar\Quorum Business Solutions\Ecopetrol Prometeo - Documents\Planning Space Implementation\3. Analysis &amp; Design\Design\FC22\DRR Jaime\QUIFA-CAJÚA\Cajua\[VAS_CAJUA_CF_SEC_20230125.xlsx]CF PRB'!$BB$50</t>
  </si>
  <si>
    <t>='C:\Users\jaime.benazar\Quorum Business Solutions\Ecopetrol Prometeo - Documents\Planning Space Implementation\3. Analysis &amp; Design\Design\FC22\DRR Jaime\QUIFA-CAJÚA\Cajua\[VAS_CAJUA_CF_SEC_20230125.xlsx]CF PRB'!$BB$51</t>
  </si>
  <si>
    <t>='C:\Users\jaime.benazar\Quorum Business Solutions\Ecopetrol Prometeo - Documents\Planning Space Implementation\3. Analysis &amp; Design\Design\FC22\DRR Jaime\QUIFA-CAJÚA\Cajua\[VAS_CAJUA_CF_SEC_20230125.xlsx]CF PRB'!$BB$52</t>
  </si>
  <si>
    <t>='C:\Users\jaime.benazar\Quorum Business Solutions\Ecopetrol Prometeo - Documents\Planning Space Implementation\3. Analysis &amp; Design\Design\FC22\DRR Jaime\QUIFA-CAJÚA\Cajua\[VAS_CAJUA_CF_SEC_20230125.xlsx]CF PRB'!$BB$53</t>
  </si>
  <si>
    <t>='C:\Users\jaime.benazar\Quorum Business Solutions\Ecopetrol Prometeo - Documents\Planning Space Implementation\3. Analysis &amp; Design\Design\FC22\DRR Jaime\QUIFA-CAJÚA\Cajua\[VAS_CAJUA_CF_SEC_20230125.xlsx]CF PRB'!$BB$54</t>
  </si>
  <si>
    <t>='C:\Users\jaime.benazar\Quorum Business Solutions\Ecopetrol Prometeo - Documents\Planning Space Implementation\3. Analysis &amp; Design\Design\FC22\DRR Jaime\QUIFA-CAJÚA\Cajua\[VAS_CAJUA_CF_SEC_20230125.xlsx]CF PRB'!$BB$55</t>
  </si>
  <si>
    <t>='C:\Users\jaime.benazar\Quorum Business Solutions\Ecopetrol Prometeo - Documents\Planning Space Implementation\3. Analysis &amp; Design\Design\FC22\DRR Jaime\QUIFA-CAJÚA\Cajua\[VAS_CAJUA_CF_SEC_20230125.xlsx]CF PRB'!$BB$56</t>
  </si>
  <si>
    <t>='C:\Users\jaime.benazar\Quorum Business Solutions\Ecopetrol Prometeo - Documents\Planning Space Implementation\3. Analysis &amp; Design\Design\FC22\DRR Jaime\QUIFA-CAJÚA\Cajua\[VAS_CAJUA_CF_SEC_20230125.xlsx]CF PRB'!$BB$57</t>
  </si>
  <si>
    <t>='C:\Users\jaime.benazar\Quorum Business Solutions\Ecopetrol Prometeo - Documents\Planning Space Implementation\3. Analysis &amp; Design\Design\FC22\DRR Jaime\QUIFA-CAJÚA\Cajua\[VAS_CAJUA_CF_SEC_20230125.xlsx]CF PRB'!$BB$58</t>
  </si>
  <si>
    <t>='C:\Users\jaime.benazar\Quorum Business Solutions\Ecopetrol Prometeo - Documents\Planning Space Implementation\3. Analysis &amp; Design\Design\FC22\DRR Jaime\QUIFA-CAJÚA\Cajua\[VAS_CAJUA_CF_SEC_20230125.xlsx]CF PRB'!$BB$59</t>
  </si>
  <si>
    <t>='C:\Users\jaime.benazar\Quorum Business Solutions\Ecopetrol Prometeo - Documents\Planning Space Implementation\3. Analysis &amp; Design\Design\FC22\DRR Jaime\QUIFA-CAJÚA\Cajua\[VAS_CAJUA_CF_SEC_20230125.xlsx]CF PRB'!$BB$60</t>
  </si>
  <si>
    <t>='C:\Users\jaime.benazar\Quorum Business Solutions\Ecopetrol Prometeo - Documents\Planning Space Implementation\3. Analysis &amp; Design\Design\FC22\DRR Jaime\QUIFA-CAJÚA\Cajua\[VAS_CAJUA_CF_SEC_20230125.xlsx]CF PRB'!$BB$61</t>
  </si>
  <si>
    <t>='C:\Users\jaime.benazar\Quorum Business Solutions\Ecopetrol Prometeo - Documents\Planning Space Implementation\3. Analysis &amp; Design\Design\FC22\DRR Jaime\QUIFA-CAJÚA\Cajua\[VAS_CAJUA_CF_SEC_20230125.xlsx]CF PRB'!$BB$62</t>
  </si>
  <si>
    <t>='C:\Users\jaime.benazar\Quorum Business Solutions\Ecopetrol Prometeo - Documents\Planning Space Implementation\3. Analysis &amp; Design\Design\FC22\DRR Jaime\QUIFA-CAJÚA\Cajua\[VAS_CAJUA_CF_SEC_20230125.xlsx]CF PRB'!$BB$63</t>
  </si>
  <si>
    <t>='C:\Users\jaime.benazar\Quorum Business Solutions\Ecopetrol Prometeo - Documents\Planning Space Implementation\3. Analysis &amp; Design\Design\FC22\DRR Jaime\QUIFA-CAJÚA\Cajua\[VAS_CAJUA_CF_SEC_20230125.xlsx]CF PRB'!$BB$64</t>
  </si>
  <si>
    <t>='C:\Users\jaime.benazar\Quorum Business Solutions\Ecopetrol Prometeo - Documents\Planning Space Implementation\3. Analysis &amp; Design\Design\FC22\DRR Jaime\QUIFA-CAJÚA\Cajua\[VAS_CAJUA_CF_SEC_20230125.xlsx]CF PRB'!$BB$65</t>
  </si>
  <si>
    <t>='C:\Users\jaime.benazar\Quorum Business Solutions\Ecopetrol Prometeo - Documents\Planning Space Implementation\3. Analysis &amp; Design\Design\FC22\DRR Jaime\QUIFA-CAJÚA\Cajua\[VAS_CAJUA_CF_SEC_20230125.xlsx]CF PRB'!$BB$66</t>
  </si>
  <si>
    <t>='C:\Users\jaime.benazar\Quorum Business Solutions\Ecopetrol Prometeo - Documents\Planning Space Implementation\3. Analysis &amp; Design\Design\FC22\DRR Jaime\QUIFA-CAJÚA\Cajua\[VAS_CAJUA_CF_SEC_20230125.xlsx]CF PRB'!$BB$67</t>
  </si>
  <si>
    <t>='C:\Users\jaime.benazar\Quorum Business Solutions\Ecopetrol Prometeo - Documents\Planning Space Implementation\3. Analysis &amp; Design\Design\FC22\DRR Jaime\QUIFA-CAJÚA\Cajua\[VAS_CAJUA_CF_SEC_20230125.xlsx]CF PRB'!$BB$68</t>
  </si>
  <si>
    <t>='C:\Users\jaime.benazar\Quorum Business Solutions\Ecopetrol Prometeo - Documents\Planning Space Implementation\3. Analysis &amp; Design\Design\FC22\DRR Jaime\QUIFA-CAJÚA\Cajua\[VAS_CAJUA_CF_SEC_20230125.xlsx]CF PRB'!$BB$69</t>
  </si>
  <si>
    <t>='C:\Users\jaime.benazar\Quorum Business Solutions\Ecopetrol Prometeo - Documents\Planning Space Implementation\3. Analysis &amp; Design\Design\FC22\DRR Jaime\QUIFA-CAJÚA\Cajua\[VAS_CAJUA_CF_SEC_20230125.xlsx]CF PRB'!$BB$70</t>
  </si>
  <si>
    <t>='C:\Users\jaime.benazar\Quorum Business Solutions\Ecopetrol Prometeo - Documents\Planning Space Implementation\3. Analysis &amp; Design\Design\FC22\DRR Jaime\QUIFA-CAJÚA\Cajua\[VAS_CAJUA_CF_SEC_20230125.xlsx]CF PRB'!$BB$71</t>
  </si>
  <si>
    <t>='C:\Users\jaime.benazar\Quorum Business Solutions\Ecopetrol Prometeo - Documents\Planning Space Implementation\3. Analysis &amp; Design\Design\FC22\DRR Jaime\QUIFA-CAJÚA\Cajua\[VAS_CAJUA_CF_SEC_20230125.xlsx]CF PRB'!$BB$72</t>
  </si>
  <si>
    <t>='C:\Users\jaime.benazar\Quorum Business Solutions\Ecopetrol Prometeo - Documents\Planning Space Implementation\3. Analysis &amp; Design\Design\FC22\DRR Jaime\QUIFA-CAJÚA\Cajua\[VAS_CAJUA_CF_SEC_20230125.xlsx]CF PS'!$BB$36</t>
  </si>
  <si>
    <t>='C:\Users\jaime.benazar\Quorum Business Solutions\Ecopetrol Prometeo - Documents\Planning Space Implementation\3. Analysis &amp; Design\Design\FC22\DRR Jaime\QUIFA-CAJÚA\Cajua\[VAS_CAJUA_CF_SEC_20230125.xlsx]CF PS'!$BB$37</t>
  </si>
  <si>
    <t>='C:\Users\jaime.benazar\Quorum Business Solutions\Ecopetrol Prometeo - Documents\Planning Space Implementation\3. Analysis &amp; Design\Design\FC22\DRR Jaime\QUIFA-CAJÚA\Cajua\[VAS_CAJUA_CF_SEC_20230125.xlsx]CF PS'!$BB$38</t>
  </si>
  <si>
    <t>='C:\Users\jaime.benazar\Quorum Business Solutions\Ecopetrol Prometeo - Documents\Planning Space Implementation\3. Analysis &amp; Design\Design\FC22\DRR Jaime\QUIFA-CAJÚA\Cajua\[VAS_CAJUA_CF_SEC_20230125.xlsx]CF PS'!$BB$39</t>
  </si>
  <si>
    <t>='C:\Users\jaime.benazar\Quorum Business Solutions\Ecopetrol Prometeo - Documents\Planning Space Implementation\3. Analysis &amp; Design\Design\FC22\DRR Jaime\QUIFA-CAJÚA\Cajua\[VAS_CAJUA_CF_SEC_20230125.xlsx]CF PS'!$BB$40</t>
  </si>
  <si>
    <t>='C:\Users\jaime.benazar\Quorum Business Solutions\Ecopetrol Prometeo - Documents\Planning Space Implementation\3. Analysis &amp; Design\Design\FC22\DRR Jaime\QUIFA-CAJÚA\Cajua\[VAS_CAJUA_CF_SEC_20230125.xlsx]CF PS'!$BB$41</t>
  </si>
  <si>
    <t>='C:\Users\jaime.benazar\Quorum Business Solutions\Ecopetrol Prometeo - Documents\Planning Space Implementation\3. Analysis &amp; Design\Design\FC22\DRR Jaime\QUIFA-CAJÚA\Cajua\[VAS_CAJUA_CF_SEC_20230125.xlsx]CF PS'!$BB$42</t>
  </si>
  <si>
    <t>='C:\Users\jaime.benazar\Quorum Business Solutions\Ecopetrol Prometeo - Documents\Planning Space Implementation\3. Analysis &amp; Design\Design\FC22\DRR Jaime\QUIFA-CAJÚA\Cajua\[VAS_CAJUA_CF_SEC_20230125.xlsx]CF PS'!$BB$43</t>
  </si>
  <si>
    <t>='C:\Users\jaime.benazar\Quorum Business Solutions\Ecopetrol Prometeo - Documents\Planning Space Implementation\3. Analysis &amp; Design\Design\FC22\DRR Jaime\QUIFA-CAJÚA\Cajua\[VAS_CAJUA_CF_SEC_20230125.xlsx]CF PS'!$BB$44</t>
  </si>
  <si>
    <t>='C:\Users\jaime.benazar\Quorum Business Solutions\Ecopetrol Prometeo - Documents\Planning Space Implementation\3. Analysis &amp; Design\Design\FC22\DRR Jaime\QUIFA-CAJÚA\Cajua\[VAS_CAJUA_CF_SEC_20230125.xlsx]CF PS'!$BB$45</t>
  </si>
  <si>
    <t>='C:\Users\jaime.benazar\Quorum Business Solutions\Ecopetrol Prometeo - Documents\Planning Space Implementation\3. Analysis &amp; Design\Design\FC22\DRR Jaime\QUIFA-CAJÚA\Cajua\[VAS_CAJUA_CF_SEC_20230125.xlsx]CF PS'!$BB$46</t>
  </si>
  <si>
    <t>='C:\Users\jaime.benazar\Quorum Business Solutions\Ecopetrol Prometeo - Documents\Planning Space Implementation\3. Analysis &amp; Design\Design\FC22\DRR Jaime\QUIFA-CAJÚA\Cajua\[VAS_CAJUA_CF_SEC_20230125.xlsx]CF PS'!$BB$47</t>
  </si>
  <si>
    <t>='C:\Users\jaime.benazar\Quorum Business Solutions\Ecopetrol Prometeo - Documents\Planning Space Implementation\3. Analysis &amp; Design\Design\FC22\DRR Jaime\QUIFA-CAJÚA\Cajua\[VAS_CAJUA_CF_SEC_20230125.xlsx]CF PS'!$BB$48</t>
  </si>
  <si>
    <t>='C:\Users\jaime.benazar\Quorum Business Solutions\Ecopetrol Prometeo - Documents\Planning Space Implementation\3. Analysis &amp; Design\Design\FC22\DRR Jaime\QUIFA-CAJÚA\Cajua\[VAS_CAJUA_CF_SEC_20230125.xlsx]CF PS'!$BB$49</t>
  </si>
  <si>
    <t>='C:\Users\jaime.benazar\Quorum Business Solutions\Ecopetrol Prometeo - Documents\Planning Space Implementation\3. Analysis &amp; Design\Design\FC22\DRR Jaime\QUIFA-CAJÚA\Cajua\[VAS_CAJUA_CF_SEC_20230125.xlsx]CF PS'!$BB$50</t>
  </si>
  <si>
    <t>='C:\Users\jaime.benazar\Quorum Business Solutions\Ecopetrol Prometeo - Documents\Planning Space Implementation\3. Analysis &amp; Design\Design\FC22\DRR Jaime\QUIFA-CAJÚA\Cajua\[VAS_CAJUA_CF_SEC_20230125.xlsx]CF PS'!$BB$51</t>
  </si>
  <si>
    <t>='C:\Users\jaime.benazar\Quorum Business Solutions\Ecopetrol Prometeo - Documents\Planning Space Implementation\3. Analysis &amp; Design\Design\FC22\DRR Jaime\QUIFA-CAJÚA\Cajua\[VAS_CAJUA_CF_SEC_20230125.xlsx]CF PS'!$BB$52</t>
  </si>
  <si>
    <t>='C:\Users\jaime.benazar\Quorum Business Solutions\Ecopetrol Prometeo - Documents\Planning Space Implementation\3. Analysis &amp; Design\Design\FC22\DRR Jaime\QUIFA-CAJÚA\Cajua\[VAS_CAJUA_CF_SEC_20230125.xlsx]CF PS'!$BB$53</t>
  </si>
  <si>
    <t>='C:\Users\jaime.benazar\Quorum Business Solutions\Ecopetrol Prometeo - Documents\Planning Space Implementation\3. Analysis &amp; Design\Design\FC22\DRR Jaime\QUIFA-CAJÚA\Cajua\[VAS_CAJUA_CF_SEC_20230125.xlsx]CF PS'!$BB$54</t>
  </si>
  <si>
    <t>='C:\Users\jaime.benazar\Quorum Business Solutions\Ecopetrol Prometeo - Documents\Planning Space Implementation\3. Analysis &amp; Design\Design\FC22\DRR Jaime\QUIFA-CAJÚA\Cajua\[VAS_CAJUA_CF_SEC_20230125.xlsx]CF PS'!$BB$55</t>
  </si>
  <si>
    <t>='C:\Users\jaime.benazar\Quorum Business Solutions\Ecopetrol Prometeo - Documents\Planning Space Implementation\3. Analysis &amp; Design\Design\FC22\DRR Jaime\QUIFA-CAJÚA\Cajua\[VAS_CAJUA_CF_SEC_20230125.xlsx]CF PS'!$BB$56</t>
  </si>
  <si>
    <t>='C:\Users\jaime.benazar\Quorum Business Solutions\Ecopetrol Prometeo - Documents\Planning Space Implementation\3. Analysis &amp; Design\Design\FC22\DRR Jaime\QUIFA-CAJÚA\Cajua\[VAS_CAJUA_CF_SEC_20230125.xlsx]CF PS'!$BB$57</t>
  </si>
  <si>
    <t>='C:\Users\jaime.benazar\Quorum Business Solutions\Ecopetrol Prometeo - Documents\Planning Space Implementation\3. Analysis &amp; Design\Design\FC22\DRR Jaime\QUIFA-CAJÚA\Cajua\[VAS_CAJUA_CF_SEC_20230125.xlsx]CF PS'!$BB$58</t>
  </si>
  <si>
    <t>='C:\Users\jaime.benazar\Quorum Business Solutions\Ecopetrol Prometeo - Documents\Planning Space Implementation\3. Analysis &amp; Design\Design\FC22\DRR Jaime\QUIFA-CAJÚA\Cajua\[VAS_CAJUA_CF_SEC_20230125.xlsx]CF PS'!$BB$59</t>
  </si>
  <si>
    <t>='C:\Users\jaime.benazar\Quorum Business Solutions\Ecopetrol Prometeo - Documents\Planning Space Implementation\3. Analysis &amp; Design\Design\FC22\DRR Jaime\QUIFA-CAJÚA\Cajua\[VAS_CAJUA_CF_SEC_20230125.xlsx]CF PS'!$BB$60</t>
  </si>
  <si>
    <t>='C:\Users\jaime.benazar\Quorum Business Solutions\Ecopetrol Prometeo - Documents\Planning Space Implementation\3. Analysis &amp; Design\Design\FC22\DRR Jaime\QUIFA-CAJÚA\Cajua\[VAS_CAJUA_CF_SEC_20230125.xlsx]CF PS'!$BB$61</t>
  </si>
  <si>
    <t>='C:\Users\jaime.benazar\Quorum Business Solutions\Ecopetrol Prometeo - Documents\Planning Space Implementation\3. Analysis &amp; Design\Design\FC22\DRR Jaime\QUIFA-CAJÚA\Cajua\[VAS_CAJUA_CF_SEC_20230125.xlsx]CF PS'!$BB$62</t>
  </si>
  <si>
    <t>='C:\Users\jaime.benazar\Quorum Business Solutions\Ecopetrol Prometeo - Documents\Planning Space Implementation\3. Analysis &amp; Design\Design\FC22\DRR Jaime\QUIFA-CAJÚA\Cajua\[VAS_CAJUA_CF_SEC_20230125.xlsx]CF PS'!$BB$63</t>
  </si>
  <si>
    <t>='C:\Users\jaime.benazar\Quorum Business Solutions\Ecopetrol Prometeo - Documents\Planning Space Implementation\3. Analysis &amp; Design\Design\FC22\DRR Jaime\QUIFA-CAJÚA\Cajua\[VAS_CAJUA_CF_SEC_20230125.xlsx]CF PS'!$BB$64</t>
  </si>
  <si>
    <t>='C:\Users\jaime.benazar\Quorum Business Solutions\Ecopetrol Prometeo - Documents\Planning Space Implementation\3. Analysis &amp; Design\Design\FC22\DRR Jaime\QUIFA-CAJÚA\Cajua\[VAS_CAJUA_CF_SEC_20230125.xlsx]CF PS'!$BB$65</t>
  </si>
  <si>
    <t>='C:\Users\jaime.benazar\Quorum Business Solutions\Ecopetrol Prometeo - Documents\Planning Space Implementation\3. Analysis &amp; Design\Design\FC22\DRR Jaime\QUIFA-CAJÚA\Cajua\[VAS_CAJUA_CF_SEC_20230125.xlsx]CF PS'!$BB$66</t>
  </si>
  <si>
    <t>='C:\Users\jaime.benazar\Quorum Business Solutions\Ecopetrol Prometeo - Documents\Planning Space Implementation\3. Analysis &amp; Design\Design\FC22\DRR Jaime\QUIFA-CAJÚA\Cajua\[VAS_CAJUA_CF_SEC_20230125.xlsx]CF PS'!$BB$67</t>
  </si>
  <si>
    <t>='C:\Users\jaime.benazar\Quorum Business Solutions\Ecopetrol Prometeo - Documents\Planning Space Implementation\3. Analysis &amp; Design\Design\FC22\DRR Jaime\QUIFA-CAJÚA\Cajua\[VAS_CAJUA_CF_SEC_20230125.xlsx]CF PS'!$BB$68</t>
  </si>
  <si>
    <t>='C:\Users\jaime.benazar\Quorum Business Solutions\Ecopetrol Prometeo - Documents\Planning Space Implementation\3. Analysis &amp; Design\Design\FC22\DRR Jaime\QUIFA-CAJÚA\Cajua\[VAS_CAJUA_CF_SEC_20230125.xlsx]CF PS'!$BB$69</t>
  </si>
  <si>
    <t>='C:\Users\jaime.benazar\Quorum Business Solutions\Ecopetrol Prometeo - Documents\Planning Space Implementation\3. Analysis &amp; Design\Design\FC22\DRR Jaime\QUIFA-CAJÚA\Cajua\[VAS_CAJUA_CF_SEC_20230125.xlsx]CF PS'!$BB$70</t>
  </si>
  <si>
    <t>='C:\Users\jaime.benazar\Quorum Business Solutions\Ecopetrol Prometeo - Documents\Planning Space Implementation\3. Analysis &amp; Design\Design\FC22\DRR Jaime\QUIFA-CAJÚA\Cajua\[VAS_CAJUA_CF_SEC_20230125.xlsx]CF PS'!$BB$71</t>
  </si>
  <si>
    <t>='C:\Users\jaime.benazar\Quorum Business Solutions\Ecopetrol Prometeo - Documents\Planning Space Implementation\3. Analysis &amp; Design\Design\FC22\DRR Jaime\QUIFA-CAJÚA\Cajua\[VAS_CAJUA_CF_SEC_20230125.xlsx]CF PS'!$BB$72</t>
  </si>
  <si>
    <t>='C:\Users\jaime.benazar\Quorum Business Solutions\Ecopetrol Prometeo - Documents\Planning Space Implementation\3. Analysis &amp; Design\Design\FC22\DRR Jaime\QUIFA-CAJÚA\Cajua\[VAS_CAJUA_CF_SEC_20230125.xlsx]CF PDP'!$BY$36</t>
  </si>
  <si>
    <t>='C:\Users\jaime.benazar\Quorum Business Solutions\Ecopetrol Prometeo - Documents\Planning Space Implementation\3. Analysis &amp; Design\Design\FC22\DRR Jaime\QUIFA-CAJÚA\Cajua\[VAS_CAJUA_CF_SEC_20230125.xlsx]CF PDP'!$BY$37</t>
  </si>
  <si>
    <t>='C:\Users\jaime.benazar\Quorum Business Solutions\Ecopetrol Prometeo - Documents\Planning Space Implementation\3. Analysis &amp; Design\Design\FC22\DRR Jaime\QUIFA-CAJÚA\Cajua\[VAS_CAJUA_CF_SEC_20230125.xlsx]CF PDP'!$BY$38</t>
  </si>
  <si>
    <t>='C:\Users\jaime.benazar\Quorum Business Solutions\Ecopetrol Prometeo - Documents\Planning Space Implementation\3. Analysis &amp; Design\Design\FC22\DRR Jaime\QUIFA-CAJÚA\Cajua\[VAS_CAJUA_CF_SEC_20230125.xlsx]CF PDP'!$BY$39</t>
  </si>
  <si>
    <t>='C:\Users\jaime.benazar\Quorum Business Solutions\Ecopetrol Prometeo - Documents\Planning Space Implementation\3. Analysis &amp; Design\Design\FC22\DRR Jaime\QUIFA-CAJÚA\Cajua\[VAS_CAJUA_CF_SEC_20230125.xlsx]CF PDP'!$BY$40</t>
  </si>
  <si>
    <t>='C:\Users\jaime.benazar\Quorum Business Solutions\Ecopetrol Prometeo - Documents\Planning Space Implementation\3. Analysis &amp; Design\Design\FC22\DRR Jaime\QUIFA-CAJÚA\Cajua\[VAS_CAJUA_CF_SEC_20230125.xlsx]CF PDP'!$BY$41</t>
  </si>
  <si>
    <t>='C:\Users\jaime.benazar\Quorum Business Solutions\Ecopetrol Prometeo - Documents\Planning Space Implementation\3. Analysis &amp; Design\Design\FC22\DRR Jaime\QUIFA-CAJÚA\Cajua\[VAS_CAJUA_CF_SEC_20230125.xlsx]CF PDP'!$BY$42</t>
  </si>
  <si>
    <t>='C:\Users\jaime.benazar\Quorum Business Solutions\Ecopetrol Prometeo - Documents\Planning Space Implementation\3. Analysis &amp; Design\Design\FC22\DRR Jaime\QUIFA-CAJÚA\Cajua\[VAS_CAJUA_CF_SEC_20230125.xlsx]CF PDP'!$BY$43</t>
  </si>
  <si>
    <t>='C:\Users\jaime.benazar\Quorum Business Solutions\Ecopetrol Prometeo - Documents\Planning Space Implementation\3. Analysis &amp; Design\Design\FC22\DRR Jaime\QUIFA-CAJÚA\Cajua\[VAS_CAJUA_CF_SEC_20230125.xlsx]CF PDP'!$BY$44</t>
  </si>
  <si>
    <t>='C:\Users\jaime.benazar\Quorum Business Solutions\Ecopetrol Prometeo - Documents\Planning Space Implementation\3. Analysis &amp; Design\Design\FC22\DRR Jaime\QUIFA-CAJÚA\Cajua\[VAS_CAJUA_CF_SEC_20230125.xlsx]CF PDP'!$BY$45</t>
  </si>
  <si>
    <t>='C:\Users\jaime.benazar\Quorum Business Solutions\Ecopetrol Prometeo - Documents\Planning Space Implementation\3. Analysis &amp; Design\Design\FC22\DRR Jaime\QUIFA-CAJÚA\Cajua\[VAS_CAJUA_CF_SEC_20230125.xlsx]CF PDP'!$BY$46</t>
  </si>
  <si>
    <t>='C:\Users\jaime.benazar\Quorum Business Solutions\Ecopetrol Prometeo - Documents\Planning Space Implementation\3. Analysis &amp; Design\Design\FC22\DRR Jaime\QUIFA-CAJÚA\Cajua\[VAS_CAJUA_CF_SEC_20230125.xlsx]CF PDP'!$BY$47</t>
  </si>
  <si>
    <t>='C:\Users\jaime.benazar\Quorum Business Solutions\Ecopetrol Prometeo - Documents\Planning Space Implementation\3. Analysis &amp; Design\Design\FC22\DRR Jaime\QUIFA-CAJÚA\Cajua\[VAS_CAJUA_CF_SEC_20230125.xlsx]CF PDP'!$BY$48</t>
  </si>
  <si>
    <t>='C:\Users\jaime.benazar\Quorum Business Solutions\Ecopetrol Prometeo - Documents\Planning Space Implementation\3. Analysis &amp; Design\Design\FC22\DRR Jaime\QUIFA-CAJÚA\Cajua\[VAS_CAJUA_CF_SEC_20230125.xlsx]CF PDP'!$BY$49</t>
  </si>
  <si>
    <t>='C:\Users\jaime.benazar\Quorum Business Solutions\Ecopetrol Prometeo - Documents\Planning Space Implementation\3. Analysis &amp; Design\Design\FC22\DRR Jaime\QUIFA-CAJÚA\Cajua\[VAS_CAJUA_CF_SEC_20230125.xlsx]CF PDP'!$BY$50</t>
  </si>
  <si>
    <t>='C:\Users\jaime.benazar\Quorum Business Solutions\Ecopetrol Prometeo - Documents\Planning Space Implementation\3. Analysis &amp; Design\Design\FC22\DRR Jaime\QUIFA-CAJÚA\Cajua\[VAS_CAJUA_CF_SEC_20230125.xlsx]CF PDP'!$BY$51</t>
  </si>
  <si>
    <t>='C:\Users\jaime.benazar\Quorum Business Solutions\Ecopetrol Prometeo - Documents\Planning Space Implementation\3. Analysis &amp; Design\Design\FC22\DRR Jaime\QUIFA-CAJÚA\Cajua\[VAS_CAJUA_CF_SEC_20230125.xlsx]CF PDP'!$BY$52</t>
  </si>
  <si>
    <t>='C:\Users\jaime.benazar\Quorum Business Solutions\Ecopetrol Prometeo - Documents\Planning Space Implementation\3. Analysis &amp; Design\Design\FC22\DRR Jaime\QUIFA-CAJÚA\Cajua\[VAS_CAJUA_CF_SEC_20230125.xlsx]CF PDP'!$BY$53</t>
  </si>
  <si>
    <t>='C:\Users\jaime.benazar\Quorum Business Solutions\Ecopetrol Prometeo - Documents\Planning Space Implementation\3. Analysis &amp; Design\Design\FC22\DRR Jaime\QUIFA-CAJÚA\Cajua\[VAS_CAJUA_CF_SEC_20230125.xlsx]CF PDP'!$BY$54</t>
  </si>
  <si>
    <t>='C:\Users\jaime.benazar\Quorum Business Solutions\Ecopetrol Prometeo - Documents\Planning Space Implementation\3. Analysis &amp; Design\Design\FC22\DRR Jaime\QUIFA-CAJÚA\Cajua\[VAS_CAJUA_CF_SEC_20230125.xlsx]CF PDP'!$BY$55</t>
  </si>
  <si>
    <t>='C:\Users\jaime.benazar\Quorum Business Solutions\Ecopetrol Prometeo - Documents\Planning Space Implementation\3. Analysis &amp; Design\Design\FC22\DRR Jaime\QUIFA-CAJÚA\Cajua\[VAS_CAJUA_CF_SEC_20230125.xlsx]CF PDP'!$BY$56</t>
  </si>
  <si>
    <t>='C:\Users\jaime.benazar\Quorum Business Solutions\Ecopetrol Prometeo - Documents\Planning Space Implementation\3. Analysis &amp; Design\Design\FC22\DRR Jaime\QUIFA-CAJÚA\Cajua\[VAS_CAJUA_CF_SEC_20230125.xlsx]CF PDP'!$BY$57</t>
  </si>
  <si>
    <t>='C:\Users\jaime.benazar\Quorum Business Solutions\Ecopetrol Prometeo - Documents\Planning Space Implementation\3. Analysis &amp; Design\Design\FC22\DRR Jaime\QUIFA-CAJÚA\Cajua\[VAS_CAJUA_CF_SEC_20230125.xlsx]CF PDP'!$BY$58</t>
  </si>
  <si>
    <t>='C:\Users\jaime.benazar\Quorum Business Solutions\Ecopetrol Prometeo - Documents\Planning Space Implementation\3. Analysis &amp; Design\Design\FC22\DRR Jaime\QUIFA-CAJÚA\Cajua\[VAS_CAJUA_CF_SEC_20230125.xlsx]CF PDP'!$BY$59</t>
  </si>
  <si>
    <t>='C:\Users\jaime.benazar\Quorum Business Solutions\Ecopetrol Prometeo - Documents\Planning Space Implementation\3. Analysis &amp; Design\Design\FC22\DRR Jaime\QUIFA-CAJÚA\Cajua\[VAS_CAJUA_CF_SEC_20230125.xlsx]CF PDP'!$BY$60</t>
  </si>
  <si>
    <t>='C:\Users\jaime.benazar\Quorum Business Solutions\Ecopetrol Prometeo - Documents\Planning Space Implementation\3. Analysis &amp; Design\Design\FC22\DRR Jaime\QUIFA-CAJÚA\Cajua\[VAS_CAJUA_CF_SEC_20230125.xlsx]CF PDP'!$BY$61</t>
  </si>
  <si>
    <t>='C:\Users\jaime.benazar\Quorum Business Solutions\Ecopetrol Prometeo - Documents\Planning Space Implementation\3. Analysis &amp; Design\Design\FC22\DRR Jaime\QUIFA-CAJÚA\Cajua\[VAS_CAJUA_CF_SEC_20230125.xlsx]CF PDP'!$BY$62</t>
  </si>
  <si>
    <t>='C:\Users\jaime.benazar\Quorum Business Solutions\Ecopetrol Prometeo - Documents\Planning Space Implementation\3. Analysis &amp; Design\Design\FC22\DRR Jaime\QUIFA-CAJÚA\Cajua\[VAS_CAJUA_CF_SEC_20230125.xlsx]CF PDP'!$BY$63</t>
  </si>
  <si>
    <t>='C:\Users\jaime.benazar\Quorum Business Solutions\Ecopetrol Prometeo - Documents\Planning Space Implementation\3. Analysis &amp; Design\Design\FC22\DRR Jaime\QUIFA-CAJÚA\Cajua\[VAS_CAJUA_CF_SEC_20230125.xlsx]CF PDP'!$BY$64</t>
  </si>
  <si>
    <t>='C:\Users\jaime.benazar\Quorum Business Solutions\Ecopetrol Prometeo - Documents\Planning Space Implementation\3. Analysis &amp; Design\Design\FC22\DRR Jaime\QUIFA-CAJÚA\Cajua\[VAS_CAJUA_CF_SEC_20230125.xlsx]CF PDP'!$BY$65</t>
  </si>
  <si>
    <t>='C:\Users\jaime.benazar\Quorum Business Solutions\Ecopetrol Prometeo - Documents\Planning Space Implementation\3. Analysis &amp; Design\Design\FC22\DRR Jaime\QUIFA-CAJÚA\Cajua\[VAS_CAJUA_CF_SEC_20230125.xlsx]CF PDP'!$BY$66</t>
  </si>
  <si>
    <t>='C:\Users\jaime.benazar\Quorum Business Solutions\Ecopetrol Prometeo - Documents\Planning Space Implementation\3. Analysis &amp; Design\Design\FC22\DRR Jaime\QUIFA-CAJÚA\Cajua\[VAS_CAJUA_CF_SEC_20230125.xlsx]CF PDP'!$BY$67</t>
  </si>
  <si>
    <t>='C:\Users\jaime.benazar\Quorum Business Solutions\Ecopetrol Prometeo - Documents\Planning Space Implementation\3. Analysis &amp; Design\Design\FC22\DRR Jaime\QUIFA-CAJÚA\Cajua\[VAS_CAJUA_CF_SEC_20230125.xlsx]CF PDP'!$BY$68</t>
  </si>
  <si>
    <t>='C:\Users\jaime.benazar\Quorum Business Solutions\Ecopetrol Prometeo - Documents\Planning Space Implementation\3. Analysis &amp; Design\Design\FC22\DRR Jaime\QUIFA-CAJÚA\Cajua\[VAS_CAJUA_CF_SEC_20230125.xlsx]CF PDP'!$BY$69</t>
  </si>
  <si>
    <t>='C:\Users\jaime.benazar\Quorum Business Solutions\Ecopetrol Prometeo - Documents\Planning Space Implementation\3. Analysis &amp; Design\Design\FC22\DRR Jaime\QUIFA-CAJÚA\Cajua\[VAS_CAJUA_CF_SEC_20230125.xlsx]CF PDP'!$BY$70</t>
  </si>
  <si>
    <t>='C:\Users\jaime.benazar\Quorum Business Solutions\Ecopetrol Prometeo - Documents\Planning Space Implementation\3. Analysis &amp; Design\Design\FC22\DRR Jaime\QUIFA-CAJÚA\Cajua\[VAS_CAJUA_CF_SEC_20230125.xlsx]CF PDP'!$BY$71</t>
  </si>
  <si>
    <t>='C:\Users\jaime.benazar\Quorum Business Solutions\Ecopetrol Prometeo - Documents\Planning Space Implementation\3. Analysis &amp; Design\Design\FC22\DRR Jaime\QUIFA-CAJÚA\Cajua\[VAS_CAJUA_CF_SEC_20230125.xlsx]CF PDP'!$BY$72</t>
  </si>
  <si>
    <t>='C:\Users\jaime.benazar\Quorum Business Solutions\Ecopetrol Prometeo - Documents\Planning Space Implementation\3. Analysis &amp; Design\Design\FC22\DRR Jaime\QUIFA-CAJÚA\Cajua\[VAS_CAJUA_CF_SEC_20230125.xlsx]CF PNP'!$BY$36</t>
  </si>
  <si>
    <t>='C:\Users\jaime.benazar\Quorum Business Solutions\Ecopetrol Prometeo - Documents\Planning Space Implementation\3. Analysis &amp; Design\Design\FC22\DRR Jaime\QUIFA-CAJÚA\Cajua\[VAS_CAJUA_CF_SEC_20230125.xlsx]CF PNP'!$BY$37</t>
  </si>
  <si>
    <t>='C:\Users\jaime.benazar\Quorum Business Solutions\Ecopetrol Prometeo - Documents\Planning Space Implementation\3. Analysis &amp; Design\Design\FC22\DRR Jaime\QUIFA-CAJÚA\Cajua\[VAS_CAJUA_CF_SEC_20230125.xlsx]CF PNP'!$BY$38</t>
  </si>
  <si>
    <t>='C:\Users\jaime.benazar\Quorum Business Solutions\Ecopetrol Prometeo - Documents\Planning Space Implementation\3. Analysis &amp; Design\Design\FC22\DRR Jaime\QUIFA-CAJÚA\Cajua\[VAS_CAJUA_CF_SEC_20230125.xlsx]CF PNP'!$BY$39</t>
  </si>
  <si>
    <t>='C:\Users\jaime.benazar\Quorum Business Solutions\Ecopetrol Prometeo - Documents\Planning Space Implementation\3. Analysis &amp; Design\Design\FC22\DRR Jaime\QUIFA-CAJÚA\Cajua\[VAS_CAJUA_CF_SEC_20230125.xlsx]CF PNP'!$BY$40</t>
  </si>
  <si>
    <t>='C:\Users\jaime.benazar\Quorum Business Solutions\Ecopetrol Prometeo - Documents\Planning Space Implementation\3. Analysis &amp; Design\Design\FC22\DRR Jaime\QUIFA-CAJÚA\Cajua\[VAS_CAJUA_CF_SEC_20230125.xlsx]CF PNP'!$BY$41</t>
  </si>
  <si>
    <t>='C:\Users\jaime.benazar\Quorum Business Solutions\Ecopetrol Prometeo - Documents\Planning Space Implementation\3. Analysis &amp; Design\Design\FC22\DRR Jaime\QUIFA-CAJÚA\Cajua\[VAS_CAJUA_CF_SEC_20230125.xlsx]CF PNP'!$BY$42</t>
  </si>
  <si>
    <t>='C:\Users\jaime.benazar\Quorum Business Solutions\Ecopetrol Prometeo - Documents\Planning Space Implementation\3. Analysis &amp; Design\Design\FC22\DRR Jaime\QUIFA-CAJÚA\Cajua\[VAS_CAJUA_CF_SEC_20230125.xlsx]CF PNP'!$BY$43</t>
  </si>
  <si>
    <t>='C:\Users\jaime.benazar\Quorum Business Solutions\Ecopetrol Prometeo - Documents\Planning Space Implementation\3. Analysis &amp; Design\Design\FC22\DRR Jaime\QUIFA-CAJÚA\Cajua\[VAS_CAJUA_CF_SEC_20230125.xlsx]CF PNP'!$BY$44</t>
  </si>
  <si>
    <t>='C:\Users\jaime.benazar\Quorum Business Solutions\Ecopetrol Prometeo - Documents\Planning Space Implementation\3. Analysis &amp; Design\Design\FC22\DRR Jaime\QUIFA-CAJÚA\Cajua\[VAS_CAJUA_CF_SEC_20230125.xlsx]CF PNP'!$BY$45</t>
  </si>
  <si>
    <t>='C:\Users\jaime.benazar\Quorum Business Solutions\Ecopetrol Prometeo - Documents\Planning Space Implementation\3. Analysis &amp; Design\Design\FC22\DRR Jaime\QUIFA-CAJÚA\Cajua\[VAS_CAJUA_CF_SEC_20230125.xlsx]CF PNP'!$BY$46</t>
  </si>
  <si>
    <t>='C:\Users\jaime.benazar\Quorum Business Solutions\Ecopetrol Prometeo - Documents\Planning Space Implementation\3. Analysis &amp; Design\Design\FC22\DRR Jaime\QUIFA-CAJÚA\Cajua\[VAS_CAJUA_CF_SEC_20230125.xlsx]CF PNP'!$BY$47</t>
  </si>
  <si>
    <t>='C:\Users\jaime.benazar\Quorum Business Solutions\Ecopetrol Prometeo - Documents\Planning Space Implementation\3. Analysis &amp; Design\Design\FC22\DRR Jaime\QUIFA-CAJÚA\Cajua\[VAS_CAJUA_CF_SEC_20230125.xlsx]CF PNP'!$BY$48</t>
  </si>
  <si>
    <t>='C:\Users\jaime.benazar\Quorum Business Solutions\Ecopetrol Prometeo - Documents\Planning Space Implementation\3. Analysis &amp; Design\Design\FC22\DRR Jaime\QUIFA-CAJÚA\Cajua\[VAS_CAJUA_CF_SEC_20230125.xlsx]CF PNP'!$BY$49</t>
  </si>
  <si>
    <t>='C:\Users\jaime.benazar\Quorum Business Solutions\Ecopetrol Prometeo - Documents\Planning Space Implementation\3. Analysis &amp; Design\Design\FC22\DRR Jaime\QUIFA-CAJÚA\Cajua\[VAS_CAJUA_CF_SEC_20230125.xlsx]CF PNP'!$BY$50</t>
  </si>
  <si>
    <t>='C:\Users\jaime.benazar\Quorum Business Solutions\Ecopetrol Prometeo - Documents\Planning Space Implementation\3. Analysis &amp; Design\Design\FC22\DRR Jaime\QUIFA-CAJÚA\Cajua\[VAS_CAJUA_CF_SEC_20230125.xlsx]CF PNP'!$BY$51</t>
  </si>
  <si>
    <t>='C:\Users\jaime.benazar\Quorum Business Solutions\Ecopetrol Prometeo - Documents\Planning Space Implementation\3. Analysis &amp; Design\Design\FC22\DRR Jaime\QUIFA-CAJÚA\Cajua\[VAS_CAJUA_CF_SEC_20230125.xlsx]CF PNP'!$BY$52</t>
  </si>
  <si>
    <t>='C:\Users\jaime.benazar\Quorum Business Solutions\Ecopetrol Prometeo - Documents\Planning Space Implementation\3. Analysis &amp; Design\Design\FC22\DRR Jaime\QUIFA-CAJÚA\Cajua\[VAS_CAJUA_CF_SEC_20230125.xlsx]CF PNP'!$BY$53</t>
  </si>
  <si>
    <t>='C:\Users\jaime.benazar\Quorum Business Solutions\Ecopetrol Prometeo - Documents\Planning Space Implementation\3. Analysis &amp; Design\Design\FC22\DRR Jaime\QUIFA-CAJÚA\Cajua\[VAS_CAJUA_CF_SEC_20230125.xlsx]CF PNP'!$BY$54</t>
  </si>
  <si>
    <t>='C:\Users\jaime.benazar\Quorum Business Solutions\Ecopetrol Prometeo - Documents\Planning Space Implementation\3. Analysis &amp; Design\Design\FC22\DRR Jaime\QUIFA-CAJÚA\Cajua\[VAS_CAJUA_CF_SEC_20230125.xlsx]CF PNP'!$BY$55</t>
  </si>
  <si>
    <t>='C:\Users\jaime.benazar\Quorum Business Solutions\Ecopetrol Prometeo - Documents\Planning Space Implementation\3. Analysis &amp; Design\Design\FC22\DRR Jaime\QUIFA-CAJÚA\Cajua\[VAS_CAJUA_CF_SEC_20230125.xlsx]CF PNP'!$BY$56</t>
  </si>
  <si>
    <t>='C:\Users\jaime.benazar\Quorum Business Solutions\Ecopetrol Prometeo - Documents\Planning Space Implementation\3. Analysis &amp; Design\Design\FC22\DRR Jaime\QUIFA-CAJÚA\Cajua\[VAS_CAJUA_CF_SEC_20230125.xlsx]CF PNP'!$BY$57</t>
  </si>
  <si>
    <t>='C:\Users\jaime.benazar\Quorum Business Solutions\Ecopetrol Prometeo - Documents\Planning Space Implementation\3. Analysis &amp; Design\Design\FC22\DRR Jaime\QUIFA-CAJÚA\Cajua\[VAS_CAJUA_CF_SEC_20230125.xlsx]CF PNP'!$BY$58</t>
  </si>
  <si>
    <t>='C:\Users\jaime.benazar\Quorum Business Solutions\Ecopetrol Prometeo - Documents\Planning Space Implementation\3. Analysis &amp; Design\Design\FC22\DRR Jaime\QUIFA-CAJÚA\Cajua\[VAS_CAJUA_CF_SEC_20230125.xlsx]CF PNP'!$BY$59</t>
  </si>
  <si>
    <t>='C:\Users\jaime.benazar\Quorum Business Solutions\Ecopetrol Prometeo - Documents\Planning Space Implementation\3. Analysis &amp; Design\Design\FC22\DRR Jaime\QUIFA-CAJÚA\Cajua\[VAS_CAJUA_CF_SEC_20230125.xlsx]CF PNP'!$BY$60</t>
  </si>
  <si>
    <t>='C:\Users\jaime.benazar\Quorum Business Solutions\Ecopetrol Prometeo - Documents\Planning Space Implementation\3. Analysis &amp; Design\Design\FC22\DRR Jaime\QUIFA-CAJÚA\Cajua\[VAS_CAJUA_CF_SEC_20230125.xlsx]CF PNP'!$BY$61</t>
  </si>
  <si>
    <t>='C:\Users\jaime.benazar\Quorum Business Solutions\Ecopetrol Prometeo - Documents\Planning Space Implementation\3. Analysis &amp; Design\Design\FC22\DRR Jaime\QUIFA-CAJÚA\Cajua\[VAS_CAJUA_CF_SEC_20230125.xlsx]CF PNP'!$BY$62</t>
  </si>
  <si>
    <t>='C:\Users\jaime.benazar\Quorum Business Solutions\Ecopetrol Prometeo - Documents\Planning Space Implementation\3. Analysis &amp; Design\Design\FC22\DRR Jaime\QUIFA-CAJÚA\Cajua\[VAS_CAJUA_CF_SEC_20230125.xlsx]CF PNP'!$BY$63</t>
  </si>
  <si>
    <t>='C:\Users\jaime.benazar\Quorum Business Solutions\Ecopetrol Prometeo - Documents\Planning Space Implementation\3. Analysis &amp; Design\Design\FC22\DRR Jaime\QUIFA-CAJÚA\Cajua\[VAS_CAJUA_CF_SEC_20230125.xlsx]CF PNP'!$BY$64</t>
  </si>
  <si>
    <t>='C:\Users\jaime.benazar\Quorum Business Solutions\Ecopetrol Prometeo - Documents\Planning Space Implementation\3. Analysis &amp; Design\Design\FC22\DRR Jaime\QUIFA-CAJÚA\Cajua\[VAS_CAJUA_CF_SEC_20230125.xlsx]CF PNP'!$BY$65</t>
  </si>
  <si>
    <t>='C:\Users\jaime.benazar\Quorum Business Solutions\Ecopetrol Prometeo - Documents\Planning Space Implementation\3. Analysis &amp; Design\Design\FC22\DRR Jaime\QUIFA-CAJÚA\Cajua\[VAS_CAJUA_CF_SEC_20230125.xlsx]CF PNP'!$BY$66</t>
  </si>
  <si>
    <t>='C:\Users\jaime.benazar\Quorum Business Solutions\Ecopetrol Prometeo - Documents\Planning Space Implementation\3. Analysis &amp; Design\Design\FC22\DRR Jaime\QUIFA-CAJÚA\Cajua\[VAS_CAJUA_CF_SEC_20230125.xlsx]CF PNP'!$BY$67</t>
  </si>
  <si>
    <t>='C:\Users\jaime.benazar\Quorum Business Solutions\Ecopetrol Prometeo - Documents\Planning Space Implementation\3. Analysis &amp; Design\Design\FC22\DRR Jaime\QUIFA-CAJÚA\Cajua\[VAS_CAJUA_CF_SEC_20230125.xlsx]CF PNP'!$BY$68</t>
  </si>
  <si>
    <t>='C:\Users\jaime.benazar\Quorum Business Solutions\Ecopetrol Prometeo - Documents\Planning Space Implementation\3. Analysis &amp; Design\Design\FC22\DRR Jaime\QUIFA-CAJÚA\Cajua\[VAS_CAJUA_CF_SEC_20230125.xlsx]CF PNP'!$BY$69</t>
  </si>
  <si>
    <t>='C:\Users\jaime.benazar\Quorum Business Solutions\Ecopetrol Prometeo - Documents\Planning Space Implementation\3. Analysis &amp; Design\Design\FC22\DRR Jaime\QUIFA-CAJÚA\Cajua\[VAS_CAJUA_CF_SEC_20230125.xlsx]CF PNP'!$BY$70</t>
  </si>
  <si>
    <t>='C:\Users\jaime.benazar\Quorum Business Solutions\Ecopetrol Prometeo - Documents\Planning Space Implementation\3. Analysis &amp; Design\Design\FC22\DRR Jaime\QUIFA-CAJÚA\Cajua\[VAS_CAJUA_CF_SEC_20230125.xlsx]CF PNP'!$BY$71</t>
  </si>
  <si>
    <t>='C:\Users\jaime.benazar\Quorum Business Solutions\Ecopetrol Prometeo - Documents\Planning Space Implementation\3. Analysis &amp; Design\Design\FC22\DRR Jaime\QUIFA-CAJÚA\Cajua\[VAS_CAJUA_CF_SEC_20230125.xlsx]CF PNP'!$BY$72</t>
  </si>
  <si>
    <t>='C:\Users\jaime.benazar\Quorum Business Solutions\Ecopetrol Prometeo - Documents\Planning Space Implementation\3. Analysis &amp; Design\Design\FC22\DRR Jaime\QUIFA-CAJÚA\Cajua\[VAS_CAJUA_CF_SEC_20230125.xlsx]CF PND'!$BY$36</t>
  </si>
  <si>
    <t>='C:\Users\jaime.benazar\Quorum Business Solutions\Ecopetrol Prometeo - Documents\Planning Space Implementation\3. Analysis &amp; Design\Design\FC22\DRR Jaime\QUIFA-CAJÚA\Cajua\[VAS_CAJUA_CF_SEC_20230125.xlsx]CF PND'!$BY$37</t>
  </si>
  <si>
    <t>='C:\Users\jaime.benazar\Quorum Business Solutions\Ecopetrol Prometeo - Documents\Planning Space Implementation\3. Analysis &amp; Design\Design\FC22\DRR Jaime\QUIFA-CAJÚA\Cajua\[VAS_CAJUA_CF_SEC_20230125.xlsx]CF PND'!$BY$38</t>
  </si>
  <si>
    <t>='C:\Users\jaime.benazar\Quorum Business Solutions\Ecopetrol Prometeo - Documents\Planning Space Implementation\3. Analysis &amp; Design\Design\FC22\DRR Jaime\QUIFA-CAJÚA\Cajua\[VAS_CAJUA_CF_SEC_20230125.xlsx]CF PND'!$BY$39</t>
  </si>
  <si>
    <t>='C:\Users\jaime.benazar\Quorum Business Solutions\Ecopetrol Prometeo - Documents\Planning Space Implementation\3. Analysis &amp; Design\Design\FC22\DRR Jaime\QUIFA-CAJÚA\Cajua\[VAS_CAJUA_CF_SEC_20230125.xlsx]CF PND'!$BY$40</t>
  </si>
  <si>
    <t>='C:\Users\jaime.benazar\Quorum Business Solutions\Ecopetrol Prometeo - Documents\Planning Space Implementation\3. Analysis &amp; Design\Design\FC22\DRR Jaime\QUIFA-CAJÚA\Cajua\[VAS_CAJUA_CF_SEC_20230125.xlsx]CF PND'!$BY$41</t>
  </si>
  <si>
    <t>='C:\Users\jaime.benazar\Quorum Business Solutions\Ecopetrol Prometeo - Documents\Planning Space Implementation\3. Analysis &amp; Design\Design\FC22\DRR Jaime\QUIFA-CAJÚA\Cajua\[VAS_CAJUA_CF_SEC_20230125.xlsx]CF PND'!$BY$42</t>
  </si>
  <si>
    <t>='C:\Users\jaime.benazar\Quorum Business Solutions\Ecopetrol Prometeo - Documents\Planning Space Implementation\3. Analysis &amp; Design\Design\FC22\DRR Jaime\QUIFA-CAJÚA\Cajua\[VAS_CAJUA_CF_SEC_20230125.xlsx]CF PND'!$BY$43</t>
  </si>
  <si>
    <t>='C:\Users\jaime.benazar\Quorum Business Solutions\Ecopetrol Prometeo - Documents\Planning Space Implementation\3. Analysis &amp; Design\Design\FC22\DRR Jaime\QUIFA-CAJÚA\Cajua\[VAS_CAJUA_CF_SEC_20230125.xlsx]CF PND'!$BY$44</t>
  </si>
  <si>
    <t>='C:\Users\jaime.benazar\Quorum Business Solutions\Ecopetrol Prometeo - Documents\Planning Space Implementation\3. Analysis &amp; Design\Design\FC22\DRR Jaime\QUIFA-CAJÚA\Cajua\[VAS_CAJUA_CF_SEC_20230125.xlsx]CF PND'!$BY$45</t>
  </si>
  <si>
    <t>='C:\Users\jaime.benazar\Quorum Business Solutions\Ecopetrol Prometeo - Documents\Planning Space Implementation\3. Analysis &amp; Design\Design\FC22\DRR Jaime\QUIFA-CAJÚA\Cajua\[VAS_CAJUA_CF_SEC_20230125.xlsx]CF PND'!$BY$46</t>
  </si>
  <si>
    <t>='C:\Users\jaime.benazar\Quorum Business Solutions\Ecopetrol Prometeo - Documents\Planning Space Implementation\3. Analysis &amp; Design\Design\FC22\DRR Jaime\QUIFA-CAJÚA\Cajua\[VAS_CAJUA_CF_SEC_20230125.xlsx]CF PND'!$BY$47</t>
  </si>
  <si>
    <t>='C:\Users\jaime.benazar\Quorum Business Solutions\Ecopetrol Prometeo - Documents\Planning Space Implementation\3. Analysis &amp; Design\Design\FC22\DRR Jaime\QUIFA-CAJÚA\Cajua\[VAS_CAJUA_CF_SEC_20230125.xlsx]CF PND'!$BY$48</t>
  </si>
  <si>
    <t>='C:\Users\jaime.benazar\Quorum Business Solutions\Ecopetrol Prometeo - Documents\Planning Space Implementation\3. Analysis &amp; Design\Design\FC22\DRR Jaime\QUIFA-CAJÚA\Cajua\[VAS_CAJUA_CF_SEC_20230125.xlsx]CF PND'!$BY$49</t>
  </si>
  <si>
    <t>='C:\Users\jaime.benazar\Quorum Business Solutions\Ecopetrol Prometeo - Documents\Planning Space Implementation\3. Analysis &amp; Design\Design\FC22\DRR Jaime\QUIFA-CAJÚA\Cajua\[VAS_CAJUA_CF_SEC_20230125.xlsx]CF PND'!$BY$50</t>
  </si>
  <si>
    <t>='C:\Users\jaime.benazar\Quorum Business Solutions\Ecopetrol Prometeo - Documents\Planning Space Implementation\3. Analysis &amp; Design\Design\FC22\DRR Jaime\QUIFA-CAJÚA\Cajua\[VAS_CAJUA_CF_SEC_20230125.xlsx]CF PND'!$BY$51</t>
  </si>
  <si>
    <t>='C:\Users\jaime.benazar\Quorum Business Solutions\Ecopetrol Prometeo - Documents\Planning Space Implementation\3. Analysis &amp; Design\Design\FC22\DRR Jaime\QUIFA-CAJÚA\Cajua\[VAS_CAJUA_CF_SEC_20230125.xlsx]CF PND'!$BY$52</t>
  </si>
  <si>
    <t>='C:\Users\jaime.benazar\Quorum Business Solutions\Ecopetrol Prometeo - Documents\Planning Space Implementation\3. Analysis &amp; Design\Design\FC22\DRR Jaime\QUIFA-CAJÚA\Cajua\[VAS_CAJUA_CF_SEC_20230125.xlsx]CF PND'!$BY$53</t>
  </si>
  <si>
    <t>='C:\Users\jaime.benazar\Quorum Business Solutions\Ecopetrol Prometeo - Documents\Planning Space Implementation\3. Analysis &amp; Design\Design\FC22\DRR Jaime\QUIFA-CAJÚA\Cajua\[VAS_CAJUA_CF_SEC_20230125.xlsx]CF PND'!$BY$54</t>
  </si>
  <si>
    <t>='C:\Users\jaime.benazar\Quorum Business Solutions\Ecopetrol Prometeo - Documents\Planning Space Implementation\3. Analysis &amp; Design\Design\FC22\DRR Jaime\QUIFA-CAJÚA\Cajua\[VAS_CAJUA_CF_SEC_20230125.xlsx]CF PND'!$BY$55</t>
  </si>
  <si>
    <t>='C:\Users\jaime.benazar\Quorum Business Solutions\Ecopetrol Prometeo - Documents\Planning Space Implementation\3. Analysis &amp; Design\Design\FC22\DRR Jaime\QUIFA-CAJÚA\Cajua\[VAS_CAJUA_CF_SEC_20230125.xlsx]CF PND'!$BY$56</t>
  </si>
  <si>
    <t>='C:\Users\jaime.benazar\Quorum Business Solutions\Ecopetrol Prometeo - Documents\Planning Space Implementation\3. Analysis &amp; Design\Design\FC22\DRR Jaime\QUIFA-CAJÚA\Cajua\[VAS_CAJUA_CF_SEC_20230125.xlsx]CF PND'!$BY$57</t>
  </si>
  <si>
    <t>='C:\Users\jaime.benazar\Quorum Business Solutions\Ecopetrol Prometeo - Documents\Planning Space Implementation\3. Analysis &amp; Design\Design\FC22\DRR Jaime\QUIFA-CAJÚA\Cajua\[VAS_CAJUA_CF_SEC_20230125.xlsx]CF PND'!$BY$58</t>
  </si>
  <si>
    <t>='C:\Users\jaime.benazar\Quorum Business Solutions\Ecopetrol Prometeo - Documents\Planning Space Implementation\3. Analysis &amp; Design\Design\FC22\DRR Jaime\QUIFA-CAJÚA\Cajua\[VAS_CAJUA_CF_SEC_20230125.xlsx]CF PND'!$BY$59</t>
  </si>
  <si>
    <t>='C:\Users\jaime.benazar\Quorum Business Solutions\Ecopetrol Prometeo - Documents\Planning Space Implementation\3. Analysis &amp; Design\Design\FC22\DRR Jaime\QUIFA-CAJÚA\Cajua\[VAS_CAJUA_CF_SEC_20230125.xlsx]CF PND'!$BY$60</t>
  </si>
  <si>
    <t>='C:\Users\jaime.benazar\Quorum Business Solutions\Ecopetrol Prometeo - Documents\Planning Space Implementation\3. Analysis &amp; Design\Design\FC22\DRR Jaime\QUIFA-CAJÚA\Cajua\[VAS_CAJUA_CF_SEC_20230125.xlsx]CF PND'!$BY$61</t>
  </si>
  <si>
    <t>='C:\Users\jaime.benazar\Quorum Business Solutions\Ecopetrol Prometeo - Documents\Planning Space Implementation\3. Analysis &amp; Design\Design\FC22\DRR Jaime\QUIFA-CAJÚA\Cajua\[VAS_CAJUA_CF_SEC_20230125.xlsx]CF PND'!$BY$62</t>
  </si>
  <si>
    <t>='C:\Users\jaime.benazar\Quorum Business Solutions\Ecopetrol Prometeo - Documents\Planning Space Implementation\3. Analysis &amp; Design\Design\FC22\DRR Jaime\QUIFA-CAJÚA\Cajua\[VAS_CAJUA_CF_SEC_20230125.xlsx]CF PND'!$BY$63</t>
  </si>
  <si>
    <t>='C:\Users\jaime.benazar\Quorum Business Solutions\Ecopetrol Prometeo - Documents\Planning Space Implementation\3. Analysis &amp; Design\Design\FC22\DRR Jaime\QUIFA-CAJÚA\Cajua\[VAS_CAJUA_CF_SEC_20230125.xlsx]CF PND'!$BY$64</t>
  </si>
  <si>
    <t>='C:\Users\jaime.benazar\Quorum Business Solutions\Ecopetrol Prometeo - Documents\Planning Space Implementation\3. Analysis &amp; Design\Design\FC22\DRR Jaime\QUIFA-CAJÚA\Cajua\[VAS_CAJUA_CF_SEC_20230125.xlsx]CF PND'!$BY$65</t>
  </si>
  <si>
    <t>='C:\Users\jaime.benazar\Quorum Business Solutions\Ecopetrol Prometeo - Documents\Planning Space Implementation\3. Analysis &amp; Design\Design\FC22\DRR Jaime\QUIFA-CAJÚA\Cajua\[VAS_CAJUA_CF_SEC_20230125.xlsx]CF PND'!$BY$66</t>
  </si>
  <si>
    <t>='C:\Users\jaime.benazar\Quorum Business Solutions\Ecopetrol Prometeo - Documents\Planning Space Implementation\3. Analysis &amp; Design\Design\FC22\DRR Jaime\QUIFA-CAJÚA\Cajua\[VAS_CAJUA_CF_SEC_20230125.xlsx]CF PND'!$BY$67</t>
  </si>
  <si>
    <t>='C:\Users\jaime.benazar\Quorum Business Solutions\Ecopetrol Prometeo - Documents\Planning Space Implementation\3. Analysis &amp; Design\Design\FC22\DRR Jaime\QUIFA-CAJÚA\Cajua\[VAS_CAJUA_CF_SEC_20230125.xlsx]CF PND'!$BY$68</t>
  </si>
  <si>
    <t>='C:\Users\jaime.benazar\Quorum Business Solutions\Ecopetrol Prometeo - Documents\Planning Space Implementation\3. Analysis &amp; Design\Design\FC22\DRR Jaime\QUIFA-CAJÚA\Cajua\[VAS_CAJUA_CF_SEC_20230125.xlsx]CF PND'!$BY$69</t>
  </si>
  <si>
    <t>='C:\Users\jaime.benazar\Quorum Business Solutions\Ecopetrol Prometeo - Documents\Planning Space Implementation\3. Analysis &amp; Design\Design\FC22\DRR Jaime\QUIFA-CAJÚA\Cajua\[VAS_CAJUA_CF_SEC_20230125.xlsx]CF PND'!$BY$70</t>
  </si>
  <si>
    <t>='C:\Users\jaime.benazar\Quorum Business Solutions\Ecopetrol Prometeo - Documents\Planning Space Implementation\3. Analysis &amp; Design\Design\FC22\DRR Jaime\QUIFA-CAJÚA\Cajua\[VAS_CAJUA_CF_SEC_20230125.xlsx]CF PND'!$BY$71</t>
  </si>
  <si>
    <t>='C:\Users\jaime.benazar\Quorum Business Solutions\Ecopetrol Prometeo - Documents\Planning Space Implementation\3. Analysis &amp; Design\Design\FC22\DRR Jaime\QUIFA-CAJÚA\Cajua\[VAS_CAJUA_CF_SEC_20230125.xlsx]CF PND'!$BY$72</t>
  </si>
  <si>
    <t>='C:\Users\jaime.benazar\Quorum Business Solutions\Ecopetrol Prometeo - Documents\Planning Space Implementation\3. Analysis &amp; Design\Design\FC22\DRR Jaime\QUIFA-CAJÚA\Cajua\[VAS_CAJUA_CF_SEC_20230125.xlsx]CF PRB'!$BY$36</t>
  </si>
  <si>
    <t>='C:\Users\jaime.benazar\Quorum Business Solutions\Ecopetrol Prometeo - Documents\Planning Space Implementation\3. Analysis &amp; Design\Design\FC22\DRR Jaime\QUIFA-CAJÚA\Cajua\[VAS_CAJUA_CF_SEC_20230125.xlsx]CF PRB'!$BY$37</t>
  </si>
  <si>
    <t>='C:\Users\jaime.benazar\Quorum Business Solutions\Ecopetrol Prometeo - Documents\Planning Space Implementation\3. Analysis &amp; Design\Design\FC22\DRR Jaime\QUIFA-CAJÚA\Cajua\[VAS_CAJUA_CF_SEC_20230125.xlsx]CF PRB'!$BY$38</t>
  </si>
  <si>
    <t>='C:\Users\jaime.benazar\Quorum Business Solutions\Ecopetrol Prometeo - Documents\Planning Space Implementation\3. Analysis &amp; Design\Design\FC22\DRR Jaime\QUIFA-CAJÚA\Cajua\[VAS_CAJUA_CF_SEC_20230125.xlsx]CF PRB'!$BY$39</t>
  </si>
  <si>
    <t>='C:\Users\jaime.benazar\Quorum Business Solutions\Ecopetrol Prometeo - Documents\Planning Space Implementation\3. Analysis &amp; Design\Design\FC22\DRR Jaime\QUIFA-CAJÚA\Cajua\[VAS_CAJUA_CF_SEC_20230125.xlsx]CF PRB'!$BY$40</t>
  </si>
  <si>
    <t>='C:\Users\jaime.benazar\Quorum Business Solutions\Ecopetrol Prometeo - Documents\Planning Space Implementation\3. Analysis &amp; Design\Design\FC22\DRR Jaime\QUIFA-CAJÚA\Cajua\[VAS_CAJUA_CF_SEC_20230125.xlsx]CF PRB'!$BY$41</t>
  </si>
  <si>
    <t>='C:\Users\jaime.benazar\Quorum Business Solutions\Ecopetrol Prometeo - Documents\Planning Space Implementation\3. Analysis &amp; Design\Design\FC22\DRR Jaime\QUIFA-CAJÚA\Cajua\[VAS_CAJUA_CF_SEC_20230125.xlsx]CF PRB'!$BY$42</t>
  </si>
  <si>
    <t>='C:\Users\jaime.benazar\Quorum Business Solutions\Ecopetrol Prometeo - Documents\Planning Space Implementation\3. Analysis &amp; Design\Design\FC22\DRR Jaime\QUIFA-CAJÚA\Cajua\[VAS_CAJUA_CF_SEC_20230125.xlsx]CF PRB'!$BY$43</t>
  </si>
  <si>
    <t>='C:\Users\jaime.benazar\Quorum Business Solutions\Ecopetrol Prometeo - Documents\Planning Space Implementation\3. Analysis &amp; Design\Design\FC22\DRR Jaime\QUIFA-CAJÚA\Cajua\[VAS_CAJUA_CF_SEC_20230125.xlsx]CF PRB'!$BY$44</t>
  </si>
  <si>
    <t>='C:\Users\jaime.benazar\Quorum Business Solutions\Ecopetrol Prometeo - Documents\Planning Space Implementation\3. Analysis &amp; Design\Design\FC22\DRR Jaime\QUIFA-CAJÚA\Cajua\[VAS_CAJUA_CF_SEC_20230125.xlsx]CF PRB'!$BY$45</t>
  </si>
  <si>
    <t>='C:\Users\jaime.benazar\Quorum Business Solutions\Ecopetrol Prometeo - Documents\Planning Space Implementation\3. Analysis &amp; Design\Design\FC22\DRR Jaime\QUIFA-CAJÚA\Cajua\[VAS_CAJUA_CF_SEC_20230125.xlsx]CF PRB'!$BY$46</t>
  </si>
  <si>
    <t>='C:\Users\jaime.benazar\Quorum Business Solutions\Ecopetrol Prometeo - Documents\Planning Space Implementation\3. Analysis &amp; Design\Design\FC22\DRR Jaime\QUIFA-CAJÚA\Cajua\[VAS_CAJUA_CF_SEC_20230125.xlsx]CF PRB'!$BY$47</t>
  </si>
  <si>
    <t>='C:\Users\jaime.benazar\Quorum Business Solutions\Ecopetrol Prometeo - Documents\Planning Space Implementation\3. Analysis &amp; Design\Design\FC22\DRR Jaime\QUIFA-CAJÚA\Cajua\[VAS_CAJUA_CF_SEC_20230125.xlsx]CF PRB'!$BY$48</t>
  </si>
  <si>
    <t>='C:\Users\jaime.benazar\Quorum Business Solutions\Ecopetrol Prometeo - Documents\Planning Space Implementation\3. Analysis &amp; Design\Design\FC22\DRR Jaime\QUIFA-CAJÚA\Cajua\[VAS_CAJUA_CF_SEC_20230125.xlsx]CF PRB'!$BY$49</t>
  </si>
  <si>
    <t>='C:\Users\jaime.benazar\Quorum Business Solutions\Ecopetrol Prometeo - Documents\Planning Space Implementation\3. Analysis &amp; Design\Design\FC22\DRR Jaime\QUIFA-CAJÚA\Cajua\[VAS_CAJUA_CF_SEC_20230125.xlsx]CF PRB'!$BY$50</t>
  </si>
  <si>
    <t>='C:\Users\jaime.benazar\Quorum Business Solutions\Ecopetrol Prometeo - Documents\Planning Space Implementation\3. Analysis &amp; Design\Design\FC22\DRR Jaime\QUIFA-CAJÚA\Cajua\[VAS_CAJUA_CF_SEC_20230125.xlsx]CF PRB'!$BY$51</t>
  </si>
  <si>
    <t>='C:\Users\jaime.benazar\Quorum Business Solutions\Ecopetrol Prometeo - Documents\Planning Space Implementation\3. Analysis &amp; Design\Design\FC22\DRR Jaime\QUIFA-CAJÚA\Cajua\[VAS_CAJUA_CF_SEC_20230125.xlsx]CF PRB'!$BY$52</t>
  </si>
  <si>
    <t>='C:\Users\jaime.benazar\Quorum Business Solutions\Ecopetrol Prometeo - Documents\Planning Space Implementation\3. Analysis &amp; Design\Design\FC22\DRR Jaime\QUIFA-CAJÚA\Cajua\[VAS_CAJUA_CF_SEC_20230125.xlsx]CF PRB'!$BY$53</t>
  </si>
  <si>
    <t>='C:\Users\jaime.benazar\Quorum Business Solutions\Ecopetrol Prometeo - Documents\Planning Space Implementation\3. Analysis &amp; Design\Design\FC22\DRR Jaime\QUIFA-CAJÚA\Cajua\[VAS_CAJUA_CF_SEC_20230125.xlsx]CF PRB'!$BY$54</t>
  </si>
  <si>
    <t>='C:\Users\jaime.benazar\Quorum Business Solutions\Ecopetrol Prometeo - Documents\Planning Space Implementation\3. Analysis &amp; Design\Design\FC22\DRR Jaime\QUIFA-CAJÚA\Cajua\[VAS_CAJUA_CF_SEC_20230125.xlsx]CF PRB'!$BY$55</t>
  </si>
  <si>
    <t>='C:\Users\jaime.benazar\Quorum Business Solutions\Ecopetrol Prometeo - Documents\Planning Space Implementation\3. Analysis &amp; Design\Design\FC22\DRR Jaime\QUIFA-CAJÚA\Cajua\[VAS_CAJUA_CF_SEC_20230125.xlsx]CF PRB'!$BY$56</t>
  </si>
  <si>
    <t>='C:\Users\jaime.benazar\Quorum Business Solutions\Ecopetrol Prometeo - Documents\Planning Space Implementation\3. Analysis &amp; Design\Design\FC22\DRR Jaime\QUIFA-CAJÚA\Cajua\[VAS_CAJUA_CF_SEC_20230125.xlsx]CF PRB'!$BY$57</t>
  </si>
  <si>
    <t>='C:\Users\jaime.benazar\Quorum Business Solutions\Ecopetrol Prometeo - Documents\Planning Space Implementation\3. Analysis &amp; Design\Design\FC22\DRR Jaime\QUIFA-CAJÚA\Cajua\[VAS_CAJUA_CF_SEC_20230125.xlsx]CF PRB'!$BY$58</t>
  </si>
  <si>
    <t>='C:\Users\jaime.benazar\Quorum Business Solutions\Ecopetrol Prometeo - Documents\Planning Space Implementation\3. Analysis &amp; Design\Design\FC22\DRR Jaime\QUIFA-CAJÚA\Cajua\[VAS_CAJUA_CF_SEC_20230125.xlsx]CF PRB'!$BY$59</t>
  </si>
  <si>
    <t>='C:\Users\jaime.benazar\Quorum Business Solutions\Ecopetrol Prometeo - Documents\Planning Space Implementation\3. Analysis &amp; Design\Design\FC22\DRR Jaime\QUIFA-CAJÚA\Cajua\[VAS_CAJUA_CF_SEC_20230125.xlsx]CF PRB'!$BY$60</t>
  </si>
  <si>
    <t>='C:\Users\jaime.benazar\Quorum Business Solutions\Ecopetrol Prometeo - Documents\Planning Space Implementation\3. Analysis &amp; Design\Design\FC22\DRR Jaime\QUIFA-CAJÚA\Cajua\[VAS_CAJUA_CF_SEC_20230125.xlsx]CF PRB'!$BY$61</t>
  </si>
  <si>
    <t>='C:\Users\jaime.benazar\Quorum Business Solutions\Ecopetrol Prometeo - Documents\Planning Space Implementation\3. Analysis &amp; Design\Design\FC22\DRR Jaime\QUIFA-CAJÚA\Cajua\[VAS_CAJUA_CF_SEC_20230125.xlsx]CF PRB'!$BY$62</t>
  </si>
  <si>
    <t>='C:\Users\jaime.benazar\Quorum Business Solutions\Ecopetrol Prometeo - Documents\Planning Space Implementation\3. Analysis &amp; Design\Design\FC22\DRR Jaime\QUIFA-CAJÚA\Cajua\[VAS_CAJUA_CF_SEC_20230125.xlsx]CF PRB'!$BY$63</t>
  </si>
  <si>
    <t>='C:\Users\jaime.benazar\Quorum Business Solutions\Ecopetrol Prometeo - Documents\Planning Space Implementation\3. Analysis &amp; Design\Design\FC22\DRR Jaime\QUIFA-CAJÚA\Cajua\[VAS_CAJUA_CF_SEC_20230125.xlsx]CF PRB'!$BY$64</t>
  </si>
  <si>
    <t>='C:\Users\jaime.benazar\Quorum Business Solutions\Ecopetrol Prometeo - Documents\Planning Space Implementation\3. Analysis &amp; Design\Design\FC22\DRR Jaime\QUIFA-CAJÚA\Cajua\[VAS_CAJUA_CF_SEC_20230125.xlsx]CF PRB'!$BY$65</t>
  </si>
  <si>
    <t>='C:\Users\jaime.benazar\Quorum Business Solutions\Ecopetrol Prometeo - Documents\Planning Space Implementation\3. Analysis &amp; Design\Design\FC22\DRR Jaime\QUIFA-CAJÚA\Cajua\[VAS_CAJUA_CF_SEC_20230125.xlsx]CF PRB'!$BY$66</t>
  </si>
  <si>
    <t>='C:\Users\jaime.benazar\Quorum Business Solutions\Ecopetrol Prometeo - Documents\Planning Space Implementation\3. Analysis &amp; Design\Design\FC22\DRR Jaime\QUIFA-CAJÚA\Cajua\[VAS_CAJUA_CF_SEC_20230125.xlsx]CF PRB'!$BY$67</t>
  </si>
  <si>
    <t>='C:\Users\jaime.benazar\Quorum Business Solutions\Ecopetrol Prometeo - Documents\Planning Space Implementation\3. Analysis &amp; Design\Design\FC22\DRR Jaime\QUIFA-CAJÚA\Cajua\[VAS_CAJUA_CF_SEC_20230125.xlsx]CF PRB'!$BY$68</t>
  </si>
  <si>
    <t>='C:\Users\jaime.benazar\Quorum Business Solutions\Ecopetrol Prometeo - Documents\Planning Space Implementation\3. Analysis &amp; Design\Design\FC22\DRR Jaime\QUIFA-CAJÚA\Cajua\[VAS_CAJUA_CF_SEC_20230125.xlsx]CF PRB'!$BY$69</t>
  </si>
  <si>
    <t>='C:\Users\jaime.benazar\Quorum Business Solutions\Ecopetrol Prometeo - Documents\Planning Space Implementation\3. Analysis &amp; Design\Design\FC22\DRR Jaime\QUIFA-CAJÚA\Cajua\[VAS_CAJUA_CF_SEC_20230125.xlsx]CF PRB'!$BY$70</t>
  </si>
  <si>
    <t>='C:\Users\jaime.benazar\Quorum Business Solutions\Ecopetrol Prometeo - Documents\Planning Space Implementation\3. Analysis &amp; Design\Design\FC22\DRR Jaime\QUIFA-CAJÚA\Cajua\[VAS_CAJUA_CF_SEC_20230125.xlsx]CF PRB'!$BY$71</t>
  </si>
  <si>
    <t>='C:\Users\jaime.benazar\Quorum Business Solutions\Ecopetrol Prometeo - Documents\Planning Space Implementation\3. Analysis &amp; Design\Design\FC22\DRR Jaime\QUIFA-CAJÚA\Cajua\[VAS_CAJUA_CF_SEC_20230125.xlsx]CF PRB'!$BY$72</t>
  </si>
  <si>
    <t>='C:\Users\jaime.benazar\Quorum Business Solutions\Ecopetrol Prometeo - Documents\Planning Space Implementation\3. Analysis &amp; Design\Design\FC22\DRR Jaime\QUIFA-CAJÚA\Cajua\[VAS_CAJUA_CF_SEC_20230125.xlsx]CF PS'!$BY$36</t>
  </si>
  <si>
    <t>='C:\Users\jaime.benazar\Quorum Business Solutions\Ecopetrol Prometeo - Documents\Planning Space Implementation\3. Analysis &amp; Design\Design\FC22\DRR Jaime\QUIFA-CAJÚA\Cajua\[VAS_CAJUA_CF_SEC_20230125.xlsx]CF PS'!$BY$37</t>
  </si>
  <si>
    <t>='C:\Users\jaime.benazar\Quorum Business Solutions\Ecopetrol Prometeo - Documents\Planning Space Implementation\3. Analysis &amp; Design\Design\FC22\DRR Jaime\QUIFA-CAJÚA\Cajua\[VAS_CAJUA_CF_SEC_20230125.xlsx]CF PS'!$BY$38</t>
  </si>
  <si>
    <t>='C:\Users\jaime.benazar\Quorum Business Solutions\Ecopetrol Prometeo - Documents\Planning Space Implementation\3. Analysis &amp; Design\Design\FC22\DRR Jaime\QUIFA-CAJÚA\Cajua\[VAS_CAJUA_CF_SEC_20230125.xlsx]CF PS'!$BY$39</t>
  </si>
  <si>
    <t>='C:\Users\jaime.benazar\Quorum Business Solutions\Ecopetrol Prometeo - Documents\Planning Space Implementation\3. Analysis &amp; Design\Design\FC22\DRR Jaime\QUIFA-CAJÚA\Cajua\[VAS_CAJUA_CF_SEC_20230125.xlsx]CF PS'!$BY$40</t>
  </si>
  <si>
    <t>='C:\Users\jaime.benazar\Quorum Business Solutions\Ecopetrol Prometeo - Documents\Planning Space Implementation\3. Analysis &amp; Design\Design\FC22\DRR Jaime\QUIFA-CAJÚA\Cajua\[VAS_CAJUA_CF_SEC_20230125.xlsx]CF PS'!$BY$41</t>
  </si>
  <si>
    <t>='C:\Users\jaime.benazar\Quorum Business Solutions\Ecopetrol Prometeo - Documents\Planning Space Implementation\3. Analysis &amp; Design\Design\FC22\DRR Jaime\QUIFA-CAJÚA\Cajua\[VAS_CAJUA_CF_SEC_20230125.xlsx]CF PS'!$BY$42</t>
  </si>
  <si>
    <t>='C:\Users\jaime.benazar\Quorum Business Solutions\Ecopetrol Prometeo - Documents\Planning Space Implementation\3. Analysis &amp; Design\Design\FC22\DRR Jaime\QUIFA-CAJÚA\Cajua\[VAS_CAJUA_CF_SEC_20230125.xlsx]CF PS'!$BY$43</t>
  </si>
  <si>
    <t>='C:\Users\jaime.benazar\Quorum Business Solutions\Ecopetrol Prometeo - Documents\Planning Space Implementation\3. Analysis &amp; Design\Design\FC22\DRR Jaime\QUIFA-CAJÚA\Cajua\[VAS_CAJUA_CF_SEC_20230125.xlsx]CF PS'!$BY$44</t>
  </si>
  <si>
    <t>='C:\Users\jaime.benazar\Quorum Business Solutions\Ecopetrol Prometeo - Documents\Planning Space Implementation\3. Analysis &amp; Design\Design\FC22\DRR Jaime\QUIFA-CAJÚA\Cajua\[VAS_CAJUA_CF_SEC_20230125.xlsx]CF PS'!$BY$45</t>
  </si>
  <si>
    <t>='C:\Users\jaime.benazar\Quorum Business Solutions\Ecopetrol Prometeo - Documents\Planning Space Implementation\3. Analysis &amp; Design\Design\FC22\DRR Jaime\QUIFA-CAJÚA\Cajua\[VAS_CAJUA_CF_SEC_20230125.xlsx]CF PS'!$BY$46</t>
  </si>
  <si>
    <t>='C:\Users\jaime.benazar\Quorum Business Solutions\Ecopetrol Prometeo - Documents\Planning Space Implementation\3. Analysis &amp; Design\Design\FC22\DRR Jaime\QUIFA-CAJÚA\Cajua\[VAS_CAJUA_CF_SEC_20230125.xlsx]CF PS'!$BY$47</t>
  </si>
  <si>
    <t>='C:\Users\jaime.benazar\Quorum Business Solutions\Ecopetrol Prometeo - Documents\Planning Space Implementation\3. Analysis &amp; Design\Design\FC22\DRR Jaime\QUIFA-CAJÚA\Cajua\[VAS_CAJUA_CF_SEC_20230125.xlsx]CF PS'!$BY$48</t>
  </si>
  <si>
    <t>='C:\Users\jaime.benazar\Quorum Business Solutions\Ecopetrol Prometeo - Documents\Planning Space Implementation\3. Analysis &amp; Design\Design\FC22\DRR Jaime\QUIFA-CAJÚA\Cajua\[VAS_CAJUA_CF_SEC_20230125.xlsx]CF PS'!$BY$49</t>
  </si>
  <si>
    <t>='C:\Users\jaime.benazar\Quorum Business Solutions\Ecopetrol Prometeo - Documents\Planning Space Implementation\3. Analysis &amp; Design\Design\FC22\DRR Jaime\QUIFA-CAJÚA\Cajua\[VAS_CAJUA_CF_SEC_20230125.xlsx]CF PS'!$BY$50</t>
  </si>
  <si>
    <t>='C:\Users\jaime.benazar\Quorum Business Solutions\Ecopetrol Prometeo - Documents\Planning Space Implementation\3. Analysis &amp; Design\Design\FC22\DRR Jaime\QUIFA-CAJÚA\Cajua\[VAS_CAJUA_CF_SEC_20230125.xlsx]CF PS'!$BY$51</t>
  </si>
  <si>
    <t>='C:\Users\jaime.benazar\Quorum Business Solutions\Ecopetrol Prometeo - Documents\Planning Space Implementation\3. Analysis &amp; Design\Design\FC22\DRR Jaime\QUIFA-CAJÚA\Cajua\[VAS_CAJUA_CF_SEC_20230125.xlsx]CF PS'!$BY$52</t>
  </si>
  <si>
    <t>='C:\Users\jaime.benazar\Quorum Business Solutions\Ecopetrol Prometeo - Documents\Planning Space Implementation\3. Analysis &amp; Design\Design\FC22\DRR Jaime\QUIFA-CAJÚA\Cajua\[VAS_CAJUA_CF_SEC_20230125.xlsx]CF PS'!$BY$53</t>
  </si>
  <si>
    <t>='C:\Users\jaime.benazar\Quorum Business Solutions\Ecopetrol Prometeo - Documents\Planning Space Implementation\3. Analysis &amp; Design\Design\FC22\DRR Jaime\QUIFA-CAJÚA\Cajua\[VAS_CAJUA_CF_SEC_20230125.xlsx]CF PS'!$BY$54</t>
  </si>
  <si>
    <t>='C:\Users\jaime.benazar\Quorum Business Solutions\Ecopetrol Prometeo - Documents\Planning Space Implementation\3. Analysis &amp; Design\Design\FC22\DRR Jaime\QUIFA-CAJÚA\Cajua\[VAS_CAJUA_CF_SEC_20230125.xlsx]CF PS'!$BY$55</t>
  </si>
  <si>
    <t>='C:\Users\jaime.benazar\Quorum Business Solutions\Ecopetrol Prometeo - Documents\Planning Space Implementation\3. Analysis &amp; Design\Design\FC22\DRR Jaime\QUIFA-CAJÚA\Cajua\[VAS_CAJUA_CF_SEC_20230125.xlsx]CF PS'!$BY$56</t>
  </si>
  <si>
    <t>='C:\Users\jaime.benazar\Quorum Business Solutions\Ecopetrol Prometeo - Documents\Planning Space Implementation\3. Analysis &amp; Design\Design\FC22\DRR Jaime\QUIFA-CAJÚA\Cajua\[VAS_CAJUA_CF_SEC_20230125.xlsx]CF PS'!$BY$57</t>
  </si>
  <si>
    <t>='C:\Users\jaime.benazar\Quorum Business Solutions\Ecopetrol Prometeo - Documents\Planning Space Implementation\3. Analysis &amp; Design\Design\FC22\DRR Jaime\QUIFA-CAJÚA\Cajua\[VAS_CAJUA_CF_SEC_20230125.xlsx]CF PS'!$BY$58</t>
  </si>
  <si>
    <t>='C:\Users\jaime.benazar\Quorum Business Solutions\Ecopetrol Prometeo - Documents\Planning Space Implementation\3. Analysis &amp; Design\Design\FC22\DRR Jaime\QUIFA-CAJÚA\Cajua\[VAS_CAJUA_CF_SEC_20230125.xlsx]CF PS'!$BY$59</t>
  </si>
  <si>
    <t>='C:\Users\jaime.benazar\Quorum Business Solutions\Ecopetrol Prometeo - Documents\Planning Space Implementation\3. Analysis &amp; Design\Design\FC22\DRR Jaime\QUIFA-CAJÚA\Cajua\[VAS_CAJUA_CF_SEC_20230125.xlsx]CF PS'!$BY$60</t>
  </si>
  <si>
    <t>='C:\Users\jaime.benazar\Quorum Business Solutions\Ecopetrol Prometeo - Documents\Planning Space Implementation\3. Analysis &amp; Design\Design\FC22\DRR Jaime\QUIFA-CAJÚA\Cajua\[VAS_CAJUA_CF_SEC_20230125.xlsx]CF PS'!$BY$61</t>
  </si>
  <si>
    <t>='C:\Users\jaime.benazar\Quorum Business Solutions\Ecopetrol Prometeo - Documents\Planning Space Implementation\3. Analysis &amp; Design\Design\FC22\DRR Jaime\QUIFA-CAJÚA\Cajua\[VAS_CAJUA_CF_SEC_20230125.xlsx]CF PS'!$BY$62</t>
  </si>
  <si>
    <t>='C:\Users\jaime.benazar\Quorum Business Solutions\Ecopetrol Prometeo - Documents\Planning Space Implementation\3. Analysis &amp; Design\Design\FC22\DRR Jaime\QUIFA-CAJÚA\Cajua\[VAS_CAJUA_CF_SEC_20230125.xlsx]CF PS'!$BY$63</t>
  </si>
  <si>
    <t>='C:\Users\jaime.benazar\Quorum Business Solutions\Ecopetrol Prometeo - Documents\Planning Space Implementation\3. Analysis &amp; Design\Design\FC22\DRR Jaime\QUIFA-CAJÚA\Cajua\[VAS_CAJUA_CF_SEC_20230125.xlsx]CF PS'!$BY$64</t>
  </si>
  <si>
    <t>='C:\Users\jaime.benazar\Quorum Business Solutions\Ecopetrol Prometeo - Documents\Planning Space Implementation\3. Analysis &amp; Design\Design\FC22\DRR Jaime\QUIFA-CAJÚA\Cajua\[VAS_CAJUA_CF_SEC_20230125.xlsx]CF PS'!$BY$65</t>
  </si>
  <si>
    <t>='C:\Users\jaime.benazar\Quorum Business Solutions\Ecopetrol Prometeo - Documents\Planning Space Implementation\3. Analysis &amp; Design\Design\FC22\DRR Jaime\QUIFA-CAJÚA\Cajua\[VAS_CAJUA_CF_SEC_20230125.xlsx]CF PS'!$BY$66</t>
  </si>
  <si>
    <t>='C:\Users\jaime.benazar\Quorum Business Solutions\Ecopetrol Prometeo - Documents\Planning Space Implementation\3. Analysis &amp; Design\Design\FC22\DRR Jaime\QUIFA-CAJÚA\Cajua\[VAS_CAJUA_CF_SEC_20230125.xlsx]CF PS'!$BY$67</t>
  </si>
  <si>
    <t>='C:\Users\jaime.benazar\Quorum Business Solutions\Ecopetrol Prometeo - Documents\Planning Space Implementation\3. Analysis &amp; Design\Design\FC22\DRR Jaime\QUIFA-CAJÚA\Cajua\[VAS_CAJUA_CF_SEC_20230125.xlsx]CF PS'!$BY$68</t>
  </si>
  <si>
    <t>='C:\Users\jaime.benazar\Quorum Business Solutions\Ecopetrol Prometeo - Documents\Planning Space Implementation\3. Analysis &amp; Design\Design\FC22\DRR Jaime\QUIFA-CAJÚA\Cajua\[VAS_CAJUA_CF_SEC_20230125.xlsx]CF PS'!$BY$69</t>
  </si>
  <si>
    <t>='C:\Users\jaime.benazar\Quorum Business Solutions\Ecopetrol Prometeo - Documents\Planning Space Implementation\3. Analysis &amp; Design\Design\FC22\DRR Jaime\QUIFA-CAJÚA\Cajua\[VAS_CAJUA_CF_SEC_20230125.xlsx]CF PS'!$BY$70</t>
  </si>
  <si>
    <t>='C:\Users\jaime.benazar\Quorum Business Solutions\Ecopetrol Prometeo - Documents\Planning Space Implementation\3. Analysis &amp; Design\Design\FC22\DRR Jaime\QUIFA-CAJÚA\Cajua\[VAS_CAJUA_CF_SEC_20230125.xlsx]CF PS'!$BY$71</t>
  </si>
  <si>
    <t>='C:\Users\jaime.benazar\Quorum Business Solutions\Ecopetrol Prometeo - Documents\Planning Space Implementation\3. Analysis &amp; Design\Design\FC22\DRR Jaime\QUIFA-CAJÚA\Cajua\[VAS_CAJUA_CF_SEC_20230125.xlsx]CF PS'!$BY$72</t>
  </si>
  <si>
    <t>='C:\Users\jaime.benazar\Quorum Business Solutions\Ecopetrol Prometeo - Documents\Planning Space Implementation\3. Analysis &amp; Design\Design\FC22\DRR Jaime\QUIFA-CAJÚA\Cajua\[VAS_CAJUA_CF_SEC_20230125.xlsx]Consolidado'!$J$12</t>
  </si>
  <si>
    <t>='C:\Users\jaime.benazar\Quorum Business Solutions\Ecopetrol Prometeo - Documents\Planning Space Implementation\3. Analysis &amp; Design\Design\FC22\DRR Jaime\QUIFA-CAJÚA\Cajua\[VAS_CAJUA_CF_SEC_20230125.xlsx]Consolidado'!$J$13</t>
  </si>
  <si>
    <t>='C:\Users\jaime.benazar\Quorum Business Solutions\Ecopetrol Prometeo - Documents\Planning Space Implementation\3. Analysis &amp; Design\Design\FC22\DRR Jaime\QUIFA-CAJÚA\Cajua\[VAS_CAJUA_CF_SEC_20230125.xlsx]Consolidado'!$J$14</t>
  </si>
  <si>
    <t>='C:\Users\jaime.benazar\Quorum Business Solutions\Ecopetrol Prometeo - Documents\Planning Space Implementation\3. Analysis &amp; Design\Design\FC22\DRR Jaime\QUIFA-CAJÚA\Cajua\[VAS_CAJUA_CF_SEC_20230125.xlsx]Consolidado'!$J$17</t>
  </si>
  <si>
    <t>='C:\Users\jaime.benazar\Quorum Business Solutions\Ecopetrol Prometeo - Documents\Planning Space Implementation\3. Analysis &amp; Design\Design\FC22\DRR Jaime\QUIFA-CAJÚA\Cajua\[VAS_CAJUA_CF_SEC_20230125.xlsx]Consolidado'!$J$18</t>
  </si>
  <si>
    <t>='C:\Users\jaime.benazar\Quorum Business Solutions\Ecopetrol Prometeo - Documents\Planning Space Implementation\3. Analysis &amp; Design\Design\FC22\DRR Jaime\QUIFA-CAJÚA\Cajua\[VAS_CAJUA_CF_SEC_20230125.xlsx]Consolidado'!$J$19</t>
  </si>
  <si>
    <t>='C:\Users\jaime.benazar\Quorum Business Solutions\Ecopetrol Prometeo - Documents\Planning Space Implementation\3. Analysis &amp; Design\Design\FC22\DRR Jaime\QUIFA-CAJÚA\Cajua\[VAS_CAJUA_CF_SEC_20230125.xlsx]Consolidado'!$J$21</t>
  </si>
  <si>
    <t>='C:\Users\jaime.benazar\Quorum Business Solutions\Ecopetrol Prometeo - Documents\Planning Space Implementation\3. Analysis &amp; Design\Design\FC22\DRR Jaime\QUIFA-CAJÚA\Cajua\[VAS_CAJUA_CF_SEC_20230125.xlsx]Consolidado'!$J$22</t>
  </si>
  <si>
    <t>='C:\Users\jaime.benazar\Quorum Business Solutions\Ecopetrol Prometeo - Documents\Planning Space Implementation\3. Analysis &amp; Design\Design\FC22\DRR Jaime\QUIFA-CAJÚA\Cajua\[VAS_CAJUA_CF_SEC_20230125.xlsx]Consolidado'!$J$23</t>
  </si>
  <si>
    <t>='C:\Users\jaime.benazar\Quorum Business Solutions\Ecopetrol Prometeo - Documents\Planning Space Implementation\3. Analysis &amp; Design\Design\FC22\DRR Jaime\QUIFA-CAJÚA\Cajua\[VAS_CAJUA_CF_SEC_20230125.xlsx]Consolidado'!$L$12</t>
  </si>
  <si>
    <t>='C:\Users\jaime.benazar\Quorum Business Solutions\Ecopetrol Prometeo - Documents\Planning Space Implementation\3. Analysis &amp; Design\Design\FC22\DRR Jaime\QUIFA-CAJÚA\Cajua\[VAS_CAJUA_CF_SEC_20230125.xlsx]Consolidado'!$L$13</t>
  </si>
  <si>
    <t>='C:\Users\jaime.benazar\Quorum Business Solutions\Ecopetrol Prometeo - Documents\Planning Space Implementation\3. Analysis &amp; Design\Design\FC22\DRR Jaime\QUIFA-CAJÚA\Cajua\[VAS_CAJUA_CF_SEC_20230125.xlsx]Consolidado'!$L$14</t>
  </si>
  <si>
    <t>='C:\Users\jaime.benazar\Quorum Business Solutions\Ecopetrol Prometeo - Documents\Planning Space Implementation\3. Analysis &amp; Design\Design\FC22\DRR Jaime\QUIFA-CAJÚA\Cajua\[VAS_CAJUA_CF_SEC_20230125.xlsx]Consolidado'!$L$17</t>
  </si>
  <si>
    <t>='C:\Users\jaime.benazar\Quorum Business Solutions\Ecopetrol Prometeo - Documents\Planning Space Implementation\3. Analysis &amp; Design\Design\FC22\DRR Jaime\QUIFA-CAJÚA\Cajua\[VAS_CAJUA_CF_SEC_20230125.xlsx]Consolidado'!$L$18</t>
  </si>
  <si>
    <t>='C:\Users\jaime.benazar\Quorum Business Solutions\Ecopetrol Prometeo - Documents\Planning Space Implementation\3. Analysis &amp; Design\Design\FC22\DRR Jaime\QUIFA-CAJÚA\Cajua\[VAS_CAJUA_CF_SEC_20230125.xlsx]Consolidado'!$L$19</t>
  </si>
  <si>
    <t>='C:\Users\jaime.benazar\Quorum Business Solutions\Ecopetrol Prometeo - Documents\Planning Space Implementation\3. Analysis &amp; Design\Design\FC22\DRR Jaime\QUIFA-CAJÚA\Cajua\[VAS_CAJUA_CF_SEC_20230125.xlsx]Consolidado'!$L$21</t>
  </si>
  <si>
    <t>='C:\Users\jaime.benazar\Quorum Business Solutions\Ecopetrol Prometeo - Documents\Planning Space Implementation\3. Analysis &amp; Design\Design\FC22\DRR Jaime\QUIFA-CAJÚA\Cajua\[VAS_CAJUA_CF_SEC_20230125.xlsx]Consolidado'!$L$22</t>
  </si>
  <si>
    <t>='C:\Users\jaime.benazar\Quorum Business Solutions\Ecopetrol Prometeo - Documents\Planning Space Implementation\3. Analysis &amp; Design\Design\FC22\DRR Jaime\QUIFA-CAJÚA\Cajua\[VAS_CAJUA_CF_SEC_20230125.xlsx]Consolidado'!$L$23</t>
  </si>
  <si>
    <t>C:\Users\jaime.benazar\Quorum Business Solutions\Ecopetrol Prometeo - Documents\Planning Space Implementation\3. Analysis &amp; Design\Design\FC22\DRR Jaime\QUIFA-CAJÚA\Cajua\CAJUA_CF_SEC_New_27-Feb-2024Rev3.xlsx</t>
  </si>
  <si>
    <t>C:\Users\jaime.benazar\Quorum Business Solutions\Ecopetrol Prometeo - Documents\Planning Space Implementation\3. Analysis &amp; Design\Design\FC22\DRR Jaime\QUIFA-CAJÚA\Cajua\[CAJUA_CF_SEC_New_27-Feb-2024Rev3.xlsx]</t>
  </si>
  <si>
    <t>C:\Users\jaime.benazar\Quorum Business Solutions\Ecopetrol Prometeo - Documents\Planning Space Implementation\3. Analysis &amp; Design\Design\FC22\DRR Jaime\QUIFA-CAJÚA\Cajua\[CAJUA_CF_SEC_New_27-Feb-2024Rev3.xlsx]D-</t>
  </si>
  <si>
    <t>='C:\Users\jaime.benazar\Quorum Business Solutions\Ecopetrol Prometeo - Documents\Planning Space Implementation\3. Analysis &amp; Design\Design\FC22\DRR Jaime\QUIFA-CAJÚA\Cajua\[CAJUA_CF_SEC_New_27-Feb-2024Rev3.xlsx]D-PDP'!$BB$12</t>
  </si>
  <si>
    <t>='C:\Users\jaime.benazar\Quorum Business Solutions\Ecopetrol Prometeo - Documents\Planning Space Implementation\3. Analysis &amp; Design\Design\FC22\DRR Jaime\QUIFA-CAJÚA\Cajua\[CAJUA_CF_SEC_New_27-Feb-2024Rev3.xlsx]D-PDP'!$BB$13</t>
  </si>
  <si>
    <t>='C:\Users\jaime.benazar\Quorum Business Solutions\Ecopetrol Prometeo - Documents\Planning Space Implementation\3. Analysis &amp; Design\Design\FC22\DRR Jaime\QUIFA-CAJÚA\Cajua\[CAJUA_CF_SEC_New_27-Feb-2024Rev3.xlsx]D-PDP'!$BB$14</t>
  </si>
  <si>
    <t>='C:\Users\jaime.benazar\Quorum Business Solutions\Ecopetrol Prometeo - Documents\Planning Space Implementation\3. Analysis &amp; Design\Design\FC22\DRR Jaime\QUIFA-CAJÚA\Cajua\[CAJUA_CF_SEC_New_27-Feb-2024Rev3.xlsx]D-PDP'!$BB$15</t>
  </si>
  <si>
    <t>='C:\Users\jaime.benazar\Quorum Business Solutions\Ecopetrol Prometeo - Documents\Planning Space Implementation\3. Analysis &amp; Design\Design\FC22\DRR Jaime\QUIFA-CAJÚA\Cajua\[CAJUA_CF_SEC_New_27-Feb-2024Rev3.xlsx]D-PDP'!$BB$16</t>
  </si>
  <si>
    <t>='C:\Users\jaime.benazar\Quorum Business Solutions\Ecopetrol Prometeo - Documents\Planning Space Implementation\3. Analysis &amp; Design\Design\FC22\DRR Jaime\QUIFA-CAJÚA\Cajua\[CAJUA_CF_SEC_New_27-Feb-2024Rev3.xlsx]D-PDP'!$BB$17</t>
  </si>
  <si>
    <t>='C:\Users\jaime.benazar\Quorum Business Solutions\Ecopetrol Prometeo - Documents\Planning Space Implementation\3. Analysis &amp; Design\Design\FC22\DRR Jaime\QUIFA-CAJÚA\Cajua\[CAJUA_CF_SEC_New_27-Feb-2024Rev3.xlsx]D-PDP'!$BB$18</t>
  </si>
  <si>
    <t>='C:\Users\jaime.benazar\Quorum Business Solutions\Ecopetrol Prometeo - Documents\Planning Space Implementation\3. Analysis &amp; Design\Design\FC22\DRR Jaime\QUIFA-CAJÚA\Cajua\[CAJUA_CF_SEC_New_27-Feb-2024Rev3.xlsx]D-PDP'!$BB$19</t>
  </si>
  <si>
    <t>='C:\Users\jaime.benazar\Quorum Business Solutions\Ecopetrol Prometeo - Documents\Planning Space Implementation\3. Analysis &amp; Design\Design\FC22\DRR Jaime\QUIFA-CAJÚA\Cajua\[CAJUA_CF_SEC_New_27-Feb-2024Rev3.xlsx]D-PDP'!$BB$20</t>
  </si>
  <si>
    <t>='C:\Users\jaime.benazar\Quorum Business Solutions\Ecopetrol Prometeo - Documents\Planning Space Implementation\3. Analysis &amp; Design\Design\FC22\DRR Jaime\QUIFA-CAJÚA\Cajua\[CAJUA_CF_SEC_New_27-Feb-2024Rev3.xlsx]D-PDP'!$BB$21</t>
  </si>
  <si>
    <t>='C:\Users\jaime.benazar\Quorum Business Solutions\Ecopetrol Prometeo - Documents\Planning Space Implementation\3. Analysis &amp; Design\Design\FC22\DRR Jaime\QUIFA-CAJÚA\Cajua\[CAJUA_CF_SEC_New_27-Feb-2024Rev3.xlsx]D-PDP'!$BB$22</t>
  </si>
  <si>
    <t>='C:\Users\jaime.benazar\Quorum Business Solutions\Ecopetrol Prometeo - Documents\Planning Space Implementation\3. Analysis &amp; Design\Design\FC22\DRR Jaime\QUIFA-CAJÚA\Cajua\[CAJUA_CF_SEC_New_27-Feb-2024Rev3.xlsx]D-PDP'!$BB$23</t>
  </si>
  <si>
    <t>='C:\Users\jaime.benazar\Quorum Business Solutions\Ecopetrol Prometeo - Documents\Planning Space Implementation\3. Analysis &amp; Design\Design\FC22\DRR Jaime\QUIFA-CAJÚA\Cajua\[CAJUA_CF_SEC_New_27-Feb-2024Rev3.xlsx]D-PDP'!$BB$24</t>
  </si>
  <si>
    <t>='C:\Users\jaime.benazar\Quorum Business Solutions\Ecopetrol Prometeo - Documents\Planning Space Implementation\3. Analysis &amp; Design\Design\FC22\DRR Jaime\QUIFA-CAJÚA\Cajua\[CAJUA_CF_SEC_New_27-Feb-2024Rev3.xlsx]D-PDP'!$BB$25</t>
  </si>
  <si>
    <t>='C:\Users\jaime.benazar\Quorum Business Solutions\Ecopetrol Prometeo - Documents\Planning Space Implementation\3. Analysis &amp; Design\Design\FC22\DRR Jaime\QUIFA-CAJÚA\Cajua\[CAJUA_CF_SEC_New_27-Feb-2024Rev3.xlsx]D-PDP'!$BB$26</t>
  </si>
  <si>
    <t>='C:\Users\jaime.benazar\Quorum Business Solutions\Ecopetrol Prometeo - Documents\Planning Space Implementation\3. Analysis &amp; Design\Design\FC22\DRR Jaime\QUIFA-CAJÚA\Cajua\[CAJUA_CF_SEC_New_27-Feb-2024Rev3.xlsx]D-PDP'!$BB$27</t>
  </si>
  <si>
    <t>='C:\Users\jaime.benazar\Quorum Business Solutions\Ecopetrol Prometeo - Documents\Planning Space Implementation\3. Analysis &amp; Design\Design\FC22\DRR Jaime\QUIFA-CAJÚA\Cajua\[CAJUA_CF_SEC_New_27-Feb-2024Rev3.xlsx]D-PDP'!$BB$28</t>
  </si>
  <si>
    <t>='C:\Users\jaime.benazar\Quorum Business Solutions\Ecopetrol Prometeo - Documents\Planning Space Implementation\3. Analysis &amp; Design\Design\FC22\DRR Jaime\QUIFA-CAJÚA\Cajua\[CAJUA_CF_SEC_New_27-Feb-2024Rev3.xlsx]D-PDP'!$BB$29</t>
  </si>
  <si>
    <t>='C:\Users\jaime.benazar\Quorum Business Solutions\Ecopetrol Prometeo - Documents\Planning Space Implementation\3. Analysis &amp; Design\Design\FC22\DRR Jaime\QUIFA-CAJÚA\Cajua\[CAJUA_CF_SEC_New_27-Feb-2024Rev3.xlsx]D-PDP'!$BB$30</t>
  </si>
  <si>
    <t>='C:\Users\jaime.benazar\Quorum Business Solutions\Ecopetrol Prometeo - Documents\Planning Space Implementation\3. Analysis &amp; Design\Design\FC22\DRR Jaime\QUIFA-CAJÚA\Cajua\[CAJUA_CF_SEC_New_27-Feb-2024Rev3.xlsx]D-PDP'!$BB$31</t>
  </si>
  <si>
    <t>='C:\Users\jaime.benazar\Quorum Business Solutions\Ecopetrol Prometeo - Documents\Planning Space Implementation\3. Analysis &amp; Design\Design\FC22\DRR Jaime\QUIFA-CAJÚA\Cajua\[CAJUA_CF_SEC_New_27-Feb-2024Rev3.xlsx]D-PDP'!$BB$32</t>
  </si>
  <si>
    <t>='C:\Users\jaime.benazar\Quorum Business Solutions\Ecopetrol Prometeo - Documents\Planning Space Implementation\3. Analysis &amp; Design\Design\FC22\DRR Jaime\QUIFA-CAJÚA\Cajua\[CAJUA_CF_SEC_New_27-Feb-2024Rev3.xlsx]D-PDP'!$BB$33</t>
  </si>
  <si>
    <t>='C:\Users\jaime.benazar\Quorum Business Solutions\Ecopetrol Prometeo - Documents\Planning Space Implementation\3. Analysis &amp; Design\Design\FC22\DRR Jaime\QUIFA-CAJÚA\Cajua\[CAJUA_CF_SEC_New_27-Feb-2024Rev3.xlsx]D-PDP'!$BB$34</t>
  </si>
  <si>
    <t>='C:\Users\jaime.benazar\Quorum Business Solutions\Ecopetrol Prometeo - Documents\Planning Space Implementation\3. Analysis &amp; Design\Design\FC22\DRR Jaime\QUIFA-CAJÚA\Cajua\[CAJUA_CF_SEC_New_27-Feb-2024Rev3.xlsx]D-PDP'!$BB$35</t>
  </si>
  <si>
    <t>='C:\Users\jaime.benazar\Quorum Business Solutions\Ecopetrol Prometeo - Documents\Planning Space Implementation\3. Analysis &amp; Design\Design\FC22\DRR Jaime\QUIFA-CAJÚA\Cajua\[CAJUA_CF_SEC_New_27-Feb-2024Rev3.xlsx]D-PDP'!$BB$36</t>
  </si>
  <si>
    <t>='C:\Users\jaime.benazar\Quorum Business Solutions\Ecopetrol Prometeo - Documents\Planning Space Implementation\3. Analysis &amp; Design\Design\FC22\DRR Jaime\QUIFA-CAJÚA\Cajua\[CAJUA_CF_SEC_New_27-Feb-2024Rev3.xlsx]D-PDP'!$BB$37</t>
  </si>
  <si>
    <t>='C:\Users\jaime.benazar\Quorum Business Solutions\Ecopetrol Prometeo - Documents\Planning Space Implementation\3. Analysis &amp; Design\Design\FC22\DRR Jaime\QUIFA-CAJÚA\Cajua\[CAJUA_CF_SEC_New_27-Feb-2024Rev3.xlsx]D-PDP'!$BB$38</t>
  </si>
  <si>
    <t>='C:\Users\jaime.benazar\Quorum Business Solutions\Ecopetrol Prometeo - Documents\Planning Space Implementation\3. Analysis &amp; Design\Design\FC22\DRR Jaime\QUIFA-CAJÚA\Cajua\[CAJUA_CF_SEC_New_27-Feb-2024Rev3.xlsx]D-PDP'!$BB$39</t>
  </si>
  <si>
    <t>='C:\Users\jaime.benazar\Quorum Business Solutions\Ecopetrol Prometeo - Documents\Planning Space Implementation\3. Analysis &amp; Design\Design\FC22\DRR Jaime\QUIFA-CAJÚA\Cajua\[CAJUA_CF_SEC_New_27-Feb-2024Rev3.xlsx]D-PDP'!$BB$40</t>
  </si>
  <si>
    <t>='C:\Users\jaime.benazar\Quorum Business Solutions\Ecopetrol Prometeo - Documents\Planning Space Implementation\3. Analysis &amp; Design\Design\FC22\DRR Jaime\QUIFA-CAJÚA\Cajua\[CAJUA_CF_SEC_New_27-Feb-2024Rev3.xlsx]D-PDP'!$BB$41</t>
  </si>
  <si>
    <t>='C:\Users\jaime.benazar\Quorum Business Solutions\Ecopetrol Prometeo - Documents\Planning Space Implementation\3. Analysis &amp; Design\Design\FC22\DRR Jaime\QUIFA-CAJÚA\Cajua\[CAJUA_CF_SEC_New_27-Feb-2024Rev3.xlsx]D-PDP'!$BB$42</t>
  </si>
  <si>
    <t>='C:\Users\jaime.benazar\Quorum Business Solutions\Ecopetrol Prometeo - Documents\Planning Space Implementation\3. Analysis &amp; Design\Design\FC22\DRR Jaime\QUIFA-CAJÚA\Cajua\[CAJUA_CF_SEC_New_27-Feb-2024Rev3.xlsx]D-PDP'!$BB$43</t>
  </si>
  <si>
    <t>='C:\Users\jaime.benazar\Quorum Business Solutions\Ecopetrol Prometeo - Documents\Planning Space Implementation\3. Analysis &amp; Design\Design\FC22\DRR Jaime\QUIFA-CAJÚA\Cajua\[CAJUA_CF_SEC_New_27-Feb-2024Rev3.xlsx]D-PDP'!$BB$44</t>
  </si>
  <si>
    <t>='C:\Users\jaime.benazar\Quorum Business Solutions\Ecopetrol Prometeo - Documents\Planning Space Implementation\3. Analysis &amp; Design\Design\FC22\DRR Jaime\QUIFA-CAJÚA\Cajua\[CAJUA_CF_SEC_New_27-Feb-2024Rev3.xlsx]D-PDP'!$BB$45</t>
  </si>
  <si>
    <t>='C:\Users\jaime.benazar\Quorum Business Solutions\Ecopetrol Prometeo - Documents\Planning Space Implementation\3. Analysis &amp; Design\Design\FC22\DRR Jaime\QUIFA-CAJÚA\Cajua\[CAJUA_CF_SEC_New_27-Feb-2024Rev3.xlsx]D-PDP'!$BB$46</t>
  </si>
  <si>
    <t>='C:\Users\jaime.benazar\Quorum Business Solutions\Ecopetrol Prometeo - Documents\Planning Space Implementation\3. Analysis &amp; Design\Design\FC22\DRR Jaime\QUIFA-CAJÚA\Cajua\[CAJUA_CF_SEC_New_27-Feb-2024Rev3.xlsx]D-PDP'!$BB$47</t>
  </si>
  <si>
    <t>='C:\Users\jaime.benazar\Quorum Business Solutions\Ecopetrol Prometeo - Documents\Planning Space Implementation\3. Analysis &amp; Design\Design\FC22\DRR Jaime\QUIFA-CAJÚA\Cajua\[CAJUA_CF_SEC_New_27-Feb-2024Rev3.xlsx]D-PDP'!$BB$48</t>
  </si>
  <si>
    <t>='C:\Users\jaime.benazar\Quorum Business Solutions\Ecopetrol Prometeo - Documents\Planning Space Implementation\3. Analysis &amp; Design\Design\FC22\DRR Jaime\QUIFA-CAJÚA\Cajua\[CAJUA_CF_SEC_New_27-Feb-2024Rev3.xlsx]D-PNP'!$BB$12</t>
  </si>
  <si>
    <t>='C:\Users\jaime.benazar\Quorum Business Solutions\Ecopetrol Prometeo - Documents\Planning Space Implementation\3. Analysis &amp; Design\Design\FC22\DRR Jaime\QUIFA-CAJÚA\Cajua\[CAJUA_CF_SEC_New_27-Feb-2024Rev3.xlsx]D-PNP'!$BB$13</t>
  </si>
  <si>
    <t>='C:\Users\jaime.benazar\Quorum Business Solutions\Ecopetrol Prometeo - Documents\Planning Space Implementation\3. Analysis &amp; Design\Design\FC22\DRR Jaime\QUIFA-CAJÚA\Cajua\[CAJUA_CF_SEC_New_27-Feb-2024Rev3.xlsx]D-PNP'!$BB$14</t>
  </si>
  <si>
    <t>='C:\Users\jaime.benazar\Quorum Business Solutions\Ecopetrol Prometeo - Documents\Planning Space Implementation\3. Analysis &amp; Design\Design\FC22\DRR Jaime\QUIFA-CAJÚA\Cajua\[CAJUA_CF_SEC_New_27-Feb-2024Rev3.xlsx]D-PNP'!$BB$15</t>
  </si>
  <si>
    <t>='C:\Users\jaime.benazar\Quorum Business Solutions\Ecopetrol Prometeo - Documents\Planning Space Implementation\3. Analysis &amp; Design\Design\FC22\DRR Jaime\QUIFA-CAJÚA\Cajua\[CAJUA_CF_SEC_New_27-Feb-2024Rev3.xlsx]D-PNP'!$BB$16</t>
  </si>
  <si>
    <t>='C:\Users\jaime.benazar\Quorum Business Solutions\Ecopetrol Prometeo - Documents\Planning Space Implementation\3. Analysis &amp; Design\Design\FC22\DRR Jaime\QUIFA-CAJÚA\Cajua\[CAJUA_CF_SEC_New_27-Feb-2024Rev3.xlsx]D-PNP'!$BB$17</t>
  </si>
  <si>
    <t>='C:\Users\jaime.benazar\Quorum Business Solutions\Ecopetrol Prometeo - Documents\Planning Space Implementation\3. Analysis &amp; Design\Design\FC22\DRR Jaime\QUIFA-CAJÚA\Cajua\[CAJUA_CF_SEC_New_27-Feb-2024Rev3.xlsx]D-PNP'!$BB$18</t>
  </si>
  <si>
    <t>='C:\Users\jaime.benazar\Quorum Business Solutions\Ecopetrol Prometeo - Documents\Planning Space Implementation\3. Analysis &amp; Design\Design\FC22\DRR Jaime\QUIFA-CAJÚA\Cajua\[CAJUA_CF_SEC_New_27-Feb-2024Rev3.xlsx]D-PNP'!$BB$19</t>
  </si>
  <si>
    <t>='C:\Users\jaime.benazar\Quorum Business Solutions\Ecopetrol Prometeo - Documents\Planning Space Implementation\3. Analysis &amp; Design\Design\FC22\DRR Jaime\QUIFA-CAJÚA\Cajua\[CAJUA_CF_SEC_New_27-Feb-2024Rev3.xlsx]D-PNP'!$BB$20</t>
  </si>
  <si>
    <t>='C:\Users\jaime.benazar\Quorum Business Solutions\Ecopetrol Prometeo - Documents\Planning Space Implementation\3. Analysis &amp; Design\Design\FC22\DRR Jaime\QUIFA-CAJÚA\Cajua\[CAJUA_CF_SEC_New_27-Feb-2024Rev3.xlsx]D-PNP'!$BB$21</t>
  </si>
  <si>
    <t>='C:\Users\jaime.benazar\Quorum Business Solutions\Ecopetrol Prometeo - Documents\Planning Space Implementation\3. Analysis &amp; Design\Design\FC22\DRR Jaime\QUIFA-CAJÚA\Cajua\[CAJUA_CF_SEC_New_27-Feb-2024Rev3.xlsx]D-PNP'!$BB$22</t>
  </si>
  <si>
    <t>='C:\Users\jaime.benazar\Quorum Business Solutions\Ecopetrol Prometeo - Documents\Planning Space Implementation\3. Analysis &amp; Design\Design\FC22\DRR Jaime\QUIFA-CAJÚA\Cajua\[CAJUA_CF_SEC_New_27-Feb-2024Rev3.xlsx]D-PNP'!$BB$23</t>
  </si>
  <si>
    <t>='C:\Users\jaime.benazar\Quorum Business Solutions\Ecopetrol Prometeo - Documents\Planning Space Implementation\3. Analysis &amp; Design\Design\FC22\DRR Jaime\QUIFA-CAJÚA\Cajua\[CAJUA_CF_SEC_New_27-Feb-2024Rev3.xlsx]D-PNP'!$BB$24</t>
  </si>
  <si>
    <t>='C:\Users\jaime.benazar\Quorum Business Solutions\Ecopetrol Prometeo - Documents\Planning Space Implementation\3. Analysis &amp; Design\Design\FC22\DRR Jaime\QUIFA-CAJÚA\Cajua\[CAJUA_CF_SEC_New_27-Feb-2024Rev3.xlsx]D-PNP'!$BB$25</t>
  </si>
  <si>
    <t>='C:\Users\jaime.benazar\Quorum Business Solutions\Ecopetrol Prometeo - Documents\Planning Space Implementation\3. Analysis &amp; Design\Design\FC22\DRR Jaime\QUIFA-CAJÚA\Cajua\[CAJUA_CF_SEC_New_27-Feb-2024Rev3.xlsx]D-PNP'!$BB$26</t>
  </si>
  <si>
    <t>='C:\Users\jaime.benazar\Quorum Business Solutions\Ecopetrol Prometeo - Documents\Planning Space Implementation\3. Analysis &amp; Design\Design\FC22\DRR Jaime\QUIFA-CAJÚA\Cajua\[CAJUA_CF_SEC_New_27-Feb-2024Rev3.xlsx]D-PNP'!$BB$27</t>
  </si>
  <si>
    <t>='C:\Users\jaime.benazar\Quorum Business Solutions\Ecopetrol Prometeo - Documents\Planning Space Implementation\3. Analysis &amp; Design\Design\FC22\DRR Jaime\QUIFA-CAJÚA\Cajua\[CAJUA_CF_SEC_New_27-Feb-2024Rev3.xlsx]D-PNP'!$BB$28</t>
  </si>
  <si>
    <t>='C:\Users\jaime.benazar\Quorum Business Solutions\Ecopetrol Prometeo - Documents\Planning Space Implementation\3. Analysis &amp; Design\Design\FC22\DRR Jaime\QUIFA-CAJÚA\Cajua\[CAJUA_CF_SEC_New_27-Feb-2024Rev3.xlsx]D-PNP'!$BB$29</t>
  </si>
  <si>
    <t>='C:\Users\jaime.benazar\Quorum Business Solutions\Ecopetrol Prometeo - Documents\Planning Space Implementation\3. Analysis &amp; Design\Design\FC22\DRR Jaime\QUIFA-CAJÚA\Cajua\[CAJUA_CF_SEC_New_27-Feb-2024Rev3.xlsx]D-PNP'!$BB$30</t>
  </si>
  <si>
    <t>='C:\Users\jaime.benazar\Quorum Business Solutions\Ecopetrol Prometeo - Documents\Planning Space Implementation\3. Analysis &amp; Design\Design\FC22\DRR Jaime\QUIFA-CAJÚA\Cajua\[CAJUA_CF_SEC_New_27-Feb-2024Rev3.xlsx]D-PNP'!$BB$31</t>
  </si>
  <si>
    <t>='C:\Users\jaime.benazar\Quorum Business Solutions\Ecopetrol Prometeo - Documents\Planning Space Implementation\3. Analysis &amp; Design\Design\FC22\DRR Jaime\QUIFA-CAJÚA\Cajua\[CAJUA_CF_SEC_New_27-Feb-2024Rev3.xlsx]D-PNP'!$BB$32</t>
  </si>
  <si>
    <t>='C:\Users\jaime.benazar\Quorum Business Solutions\Ecopetrol Prometeo - Documents\Planning Space Implementation\3. Analysis &amp; Design\Design\FC22\DRR Jaime\QUIFA-CAJÚA\Cajua\[CAJUA_CF_SEC_New_27-Feb-2024Rev3.xlsx]D-PNP'!$BB$33</t>
  </si>
  <si>
    <t>='C:\Users\jaime.benazar\Quorum Business Solutions\Ecopetrol Prometeo - Documents\Planning Space Implementation\3. Analysis &amp; Design\Design\FC22\DRR Jaime\QUIFA-CAJÚA\Cajua\[CAJUA_CF_SEC_New_27-Feb-2024Rev3.xlsx]D-PNP'!$BB$34</t>
  </si>
  <si>
    <t>='C:\Users\jaime.benazar\Quorum Business Solutions\Ecopetrol Prometeo - Documents\Planning Space Implementation\3. Analysis &amp; Design\Design\FC22\DRR Jaime\QUIFA-CAJÚA\Cajua\[CAJUA_CF_SEC_New_27-Feb-2024Rev3.xlsx]D-PNP'!$BB$35</t>
  </si>
  <si>
    <t>='C:\Users\jaime.benazar\Quorum Business Solutions\Ecopetrol Prometeo - Documents\Planning Space Implementation\3. Analysis &amp; Design\Design\FC22\DRR Jaime\QUIFA-CAJÚA\Cajua\[CAJUA_CF_SEC_New_27-Feb-2024Rev3.xlsx]D-PNP'!$BB$36</t>
  </si>
  <si>
    <t>='C:\Users\jaime.benazar\Quorum Business Solutions\Ecopetrol Prometeo - Documents\Planning Space Implementation\3. Analysis &amp; Design\Design\FC22\DRR Jaime\QUIFA-CAJÚA\Cajua\[CAJUA_CF_SEC_New_27-Feb-2024Rev3.xlsx]D-PNP'!$BB$37</t>
  </si>
  <si>
    <t>='C:\Users\jaime.benazar\Quorum Business Solutions\Ecopetrol Prometeo - Documents\Planning Space Implementation\3. Analysis &amp; Design\Design\FC22\DRR Jaime\QUIFA-CAJÚA\Cajua\[CAJUA_CF_SEC_New_27-Feb-2024Rev3.xlsx]D-PNP'!$BB$38</t>
  </si>
  <si>
    <t>='C:\Users\jaime.benazar\Quorum Business Solutions\Ecopetrol Prometeo - Documents\Planning Space Implementation\3. Analysis &amp; Design\Design\FC22\DRR Jaime\QUIFA-CAJÚA\Cajua\[CAJUA_CF_SEC_New_27-Feb-2024Rev3.xlsx]D-PNP'!$BB$39</t>
  </si>
  <si>
    <t>='C:\Users\jaime.benazar\Quorum Business Solutions\Ecopetrol Prometeo - Documents\Planning Space Implementation\3. Analysis &amp; Design\Design\FC22\DRR Jaime\QUIFA-CAJÚA\Cajua\[CAJUA_CF_SEC_New_27-Feb-2024Rev3.xlsx]D-PNP'!$BB$40</t>
  </si>
  <si>
    <t>='C:\Users\jaime.benazar\Quorum Business Solutions\Ecopetrol Prometeo - Documents\Planning Space Implementation\3. Analysis &amp; Design\Design\FC22\DRR Jaime\QUIFA-CAJÚA\Cajua\[CAJUA_CF_SEC_New_27-Feb-2024Rev3.xlsx]D-PNP'!$BB$41</t>
  </si>
  <si>
    <t>='C:\Users\jaime.benazar\Quorum Business Solutions\Ecopetrol Prometeo - Documents\Planning Space Implementation\3. Analysis &amp; Design\Design\FC22\DRR Jaime\QUIFA-CAJÚA\Cajua\[CAJUA_CF_SEC_New_27-Feb-2024Rev3.xlsx]D-PNP'!$BB$42</t>
  </si>
  <si>
    <t>='C:\Users\jaime.benazar\Quorum Business Solutions\Ecopetrol Prometeo - Documents\Planning Space Implementation\3. Analysis &amp; Design\Design\FC22\DRR Jaime\QUIFA-CAJÚA\Cajua\[CAJUA_CF_SEC_New_27-Feb-2024Rev3.xlsx]D-PNP'!$BB$43</t>
  </si>
  <si>
    <t>='C:\Users\jaime.benazar\Quorum Business Solutions\Ecopetrol Prometeo - Documents\Planning Space Implementation\3. Analysis &amp; Design\Design\FC22\DRR Jaime\QUIFA-CAJÚA\Cajua\[CAJUA_CF_SEC_New_27-Feb-2024Rev3.xlsx]D-PNP'!$BB$44</t>
  </si>
  <si>
    <t>='C:\Users\jaime.benazar\Quorum Business Solutions\Ecopetrol Prometeo - Documents\Planning Space Implementation\3. Analysis &amp; Design\Design\FC22\DRR Jaime\QUIFA-CAJÚA\Cajua\[CAJUA_CF_SEC_New_27-Feb-2024Rev3.xlsx]D-PNP'!$BB$45</t>
  </si>
  <si>
    <t>='C:\Users\jaime.benazar\Quorum Business Solutions\Ecopetrol Prometeo - Documents\Planning Space Implementation\3. Analysis &amp; Design\Design\FC22\DRR Jaime\QUIFA-CAJÚA\Cajua\[CAJUA_CF_SEC_New_27-Feb-2024Rev3.xlsx]D-PNP'!$BB$46</t>
  </si>
  <si>
    <t>='C:\Users\jaime.benazar\Quorum Business Solutions\Ecopetrol Prometeo - Documents\Planning Space Implementation\3. Analysis &amp; Design\Design\FC22\DRR Jaime\QUIFA-CAJÚA\Cajua\[CAJUA_CF_SEC_New_27-Feb-2024Rev3.xlsx]D-PNP'!$BB$47</t>
  </si>
  <si>
    <t>='C:\Users\jaime.benazar\Quorum Business Solutions\Ecopetrol Prometeo - Documents\Planning Space Implementation\3. Analysis &amp; Design\Design\FC22\DRR Jaime\QUIFA-CAJÚA\Cajua\[CAJUA_CF_SEC_New_27-Feb-2024Rev3.xlsx]D-PNP'!$BB$48</t>
  </si>
  <si>
    <t>='C:\Users\jaime.benazar\Quorum Business Solutions\Ecopetrol Prometeo - Documents\Planning Space Implementation\3. Analysis &amp; Design\Design\FC22\DRR Jaime\QUIFA-CAJÚA\Cajua\[CAJUA_CF_SEC_New_27-Feb-2024Rev3.xlsx]D-PND'!$BB$12</t>
  </si>
  <si>
    <t>='C:\Users\jaime.benazar\Quorum Business Solutions\Ecopetrol Prometeo - Documents\Planning Space Implementation\3. Analysis &amp; Design\Design\FC22\DRR Jaime\QUIFA-CAJÚA\Cajua\[CAJUA_CF_SEC_New_27-Feb-2024Rev3.xlsx]D-PND'!$BB$13</t>
  </si>
  <si>
    <t>='C:\Users\jaime.benazar\Quorum Business Solutions\Ecopetrol Prometeo - Documents\Planning Space Implementation\3. Analysis &amp; Design\Design\FC22\DRR Jaime\QUIFA-CAJÚA\Cajua\[CAJUA_CF_SEC_New_27-Feb-2024Rev3.xlsx]D-PND'!$BB$14</t>
  </si>
  <si>
    <t>='C:\Users\jaime.benazar\Quorum Business Solutions\Ecopetrol Prometeo - Documents\Planning Space Implementation\3. Analysis &amp; Design\Design\FC22\DRR Jaime\QUIFA-CAJÚA\Cajua\[CAJUA_CF_SEC_New_27-Feb-2024Rev3.xlsx]D-PND'!$BB$15</t>
  </si>
  <si>
    <t>='C:\Users\jaime.benazar\Quorum Business Solutions\Ecopetrol Prometeo - Documents\Planning Space Implementation\3. Analysis &amp; Design\Design\FC22\DRR Jaime\QUIFA-CAJÚA\Cajua\[CAJUA_CF_SEC_New_27-Feb-2024Rev3.xlsx]D-PND'!$BB$16</t>
  </si>
  <si>
    <t>='C:\Users\jaime.benazar\Quorum Business Solutions\Ecopetrol Prometeo - Documents\Planning Space Implementation\3. Analysis &amp; Design\Design\FC22\DRR Jaime\QUIFA-CAJÚA\Cajua\[CAJUA_CF_SEC_New_27-Feb-2024Rev3.xlsx]D-PND'!$BB$17</t>
  </si>
  <si>
    <t>='C:\Users\jaime.benazar\Quorum Business Solutions\Ecopetrol Prometeo - Documents\Planning Space Implementation\3. Analysis &amp; Design\Design\FC22\DRR Jaime\QUIFA-CAJÚA\Cajua\[CAJUA_CF_SEC_New_27-Feb-2024Rev3.xlsx]D-PND'!$BB$18</t>
  </si>
  <si>
    <t>='C:\Users\jaime.benazar\Quorum Business Solutions\Ecopetrol Prometeo - Documents\Planning Space Implementation\3. Analysis &amp; Design\Design\FC22\DRR Jaime\QUIFA-CAJÚA\Cajua\[CAJUA_CF_SEC_New_27-Feb-2024Rev3.xlsx]D-PND'!$BB$19</t>
  </si>
  <si>
    <t>='C:\Users\jaime.benazar\Quorum Business Solutions\Ecopetrol Prometeo - Documents\Planning Space Implementation\3. Analysis &amp; Design\Design\FC22\DRR Jaime\QUIFA-CAJÚA\Cajua\[CAJUA_CF_SEC_New_27-Feb-2024Rev3.xlsx]D-PND'!$BB$20</t>
  </si>
  <si>
    <t>='C:\Users\jaime.benazar\Quorum Business Solutions\Ecopetrol Prometeo - Documents\Planning Space Implementation\3. Analysis &amp; Design\Design\FC22\DRR Jaime\QUIFA-CAJÚA\Cajua\[CAJUA_CF_SEC_New_27-Feb-2024Rev3.xlsx]D-PND'!$BB$21</t>
  </si>
  <si>
    <t>='C:\Users\jaime.benazar\Quorum Business Solutions\Ecopetrol Prometeo - Documents\Planning Space Implementation\3. Analysis &amp; Design\Design\FC22\DRR Jaime\QUIFA-CAJÚA\Cajua\[CAJUA_CF_SEC_New_27-Feb-2024Rev3.xlsx]D-PND'!$BB$22</t>
  </si>
  <si>
    <t>='C:\Users\jaime.benazar\Quorum Business Solutions\Ecopetrol Prometeo - Documents\Planning Space Implementation\3. Analysis &amp; Design\Design\FC22\DRR Jaime\QUIFA-CAJÚA\Cajua\[CAJUA_CF_SEC_New_27-Feb-2024Rev3.xlsx]D-PND'!$BB$23</t>
  </si>
  <si>
    <t>='C:\Users\jaime.benazar\Quorum Business Solutions\Ecopetrol Prometeo - Documents\Planning Space Implementation\3. Analysis &amp; Design\Design\FC22\DRR Jaime\QUIFA-CAJÚA\Cajua\[CAJUA_CF_SEC_New_27-Feb-2024Rev3.xlsx]D-PND'!$BB$24</t>
  </si>
  <si>
    <t>='C:\Users\jaime.benazar\Quorum Business Solutions\Ecopetrol Prometeo - Documents\Planning Space Implementation\3. Analysis &amp; Design\Design\FC22\DRR Jaime\QUIFA-CAJÚA\Cajua\[CAJUA_CF_SEC_New_27-Feb-2024Rev3.xlsx]D-PND'!$BB$25</t>
  </si>
  <si>
    <t>='C:\Users\jaime.benazar\Quorum Business Solutions\Ecopetrol Prometeo - Documents\Planning Space Implementation\3. Analysis &amp; Design\Design\FC22\DRR Jaime\QUIFA-CAJÚA\Cajua\[CAJUA_CF_SEC_New_27-Feb-2024Rev3.xlsx]D-PND'!$BB$26</t>
  </si>
  <si>
    <t>='C:\Users\jaime.benazar\Quorum Business Solutions\Ecopetrol Prometeo - Documents\Planning Space Implementation\3. Analysis &amp; Design\Design\FC22\DRR Jaime\QUIFA-CAJÚA\Cajua\[CAJUA_CF_SEC_New_27-Feb-2024Rev3.xlsx]D-PND'!$BB$27</t>
  </si>
  <si>
    <t>='C:\Users\jaime.benazar\Quorum Business Solutions\Ecopetrol Prometeo - Documents\Planning Space Implementation\3. Analysis &amp; Design\Design\FC22\DRR Jaime\QUIFA-CAJÚA\Cajua\[CAJUA_CF_SEC_New_27-Feb-2024Rev3.xlsx]D-PND'!$BB$28</t>
  </si>
  <si>
    <t>='C:\Users\jaime.benazar\Quorum Business Solutions\Ecopetrol Prometeo - Documents\Planning Space Implementation\3. Analysis &amp; Design\Design\FC22\DRR Jaime\QUIFA-CAJÚA\Cajua\[CAJUA_CF_SEC_New_27-Feb-2024Rev3.xlsx]D-PND'!$BB$29</t>
  </si>
  <si>
    <t>='C:\Users\jaime.benazar\Quorum Business Solutions\Ecopetrol Prometeo - Documents\Planning Space Implementation\3. Analysis &amp; Design\Design\FC22\DRR Jaime\QUIFA-CAJÚA\Cajua\[CAJUA_CF_SEC_New_27-Feb-2024Rev3.xlsx]D-PND'!$BB$30</t>
  </si>
  <si>
    <t>='C:\Users\jaime.benazar\Quorum Business Solutions\Ecopetrol Prometeo - Documents\Planning Space Implementation\3. Analysis &amp; Design\Design\FC22\DRR Jaime\QUIFA-CAJÚA\Cajua\[CAJUA_CF_SEC_New_27-Feb-2024Rev3.xlsx]D-PND'!$BB$31</t>
  </si>
  <si>
    <t>='C:\Users\jaime.benazar\Quorum Business Solutions\Ecopetrol Prometeo - Documents\Planning Space Implementation\3. Analysis &amp; Design\Design\FC22\DRR Jaime\QUIFA-CAJÚA\Cajua\[CAJUA_CF_SEC_New_27-Feb-2024Rev3.xlsx]D-PND'!$BB$32</t>
  </si>
  <si>
    <t>='C:\Users\jaime.benazar\Quorum Business Solutions\Ecopetrol Prometeo - Documents\Planning Space Implementation\3. Analysis &amp; Design\Design\FC22\DRR Jaime\QUIFA-CAJÚA\Cajua\[CAJUA_CF_SEC_New_27-Feb-2024Rev3.xlsx]D-PND'!$BB$33</t>
  </si>
  <si>
    <t>='C:\Users\jaime.benazar\Quorum Business Solutions\Ecopetrol Prometeo - Documents\Planning Space Implementation\3. Analysis &amp; Design\Design\FC22\DRR Jaime\QUIFA-CAJÚA\Cajua\[CAJUA_CF_SEC_New_27-Feb-2024Rev3.xlsx]D-PND'!$BB$34</t>
  </si>
  <si>
    <t>='C:\Users\jaime.benazar\Quorum Business Solutions\Ecopetrol Prometeo - Documents\Planning Space Implementation\3. Analysis &amp; Design\Design\FC22\DRR Jaime\QUIFA-CAJÚA\Cajua\[CAJUA_CF_SEC_New_27-Feb-2024Rev3.xlsx]D-PND'!$BB$35</t>
  </si>
  <si>
    <t>='C:\Users\jaime.benazar\Quorum Business Solutions\Ecopetrol Prometeo - Documents\Planning Space Implementation\3. Analysis &amp; Design\Design\FC22\DRR Jaime\QUIFA-CAJÚA\Cajua\[CAJUA_CF_SEC_New_27-Feb-2024Rev3.xlsx]D-PND'!$BB$36</t>
  </si>
  <si>
    <t>='C:\Users\jaime.benazar\Quorum Business Solutions\Ecopetrol Prometeo - Documents\Planning Space Implementation\3. Analysis &amp; Design\Design\FC22\DRR Jaime\QUIFA-CAJÚA\Cajua\[CAJUA_CF_SEC_New_27-Feb-2024Rev3.xlsx]D-PND'!$BB$37</t>
  </si>
  <si>
    <t>='C:\Users\jaime.benazar\Quorum Business Solutions\Ecopetrol Prometeo - Documents\Planning Space Implementation\3. Analysis &amp; Design\Design\FC22\DRR Jaime\QUIFA-CAJÚA\Cajua\[CAJUA_CF_SEC_New_27-Feb-2024Rev3.xlsx]D-PND'!$BB$38</t>
  </si>
  <si>
    <t>='C:\Users\jaime.benazar\Quorum Business Solutions\Ecopetrol Prometeo - Documents\Planning Space Implementation\3. Analysis &amp; Design\Design\FC22\DRR Jaime\QUIFA-CAJÚA\Cajua\[CAJUA_CF_SEC_New_27-Feb-2024Rev3.xlsx]D-PND'!$BB$39</t>
  </si>
  <si>
    <t>='C:\Users\jaime.benazar\Quorum Business Solutions\Ecopetrol Prometeo - Documents\Planning Space Implementation\3. Analysis &amp; Design\Design\FC22\DRR Jaime\QUIFA-CAJÚA\Cajua\[CAJUA_CF_SEC_New_27-Feb-2024Rev3.xlsx]D-PND'!$BB$40</t>
  </si>
  <si>
    <t>='C:\Users\jaime.benazar\Quorum Business Solutions\Ecopetrol Prometeo - Documents\Planning Space Implementation\3. Analysis &amp; Design\Design\FC22\DRR Jaime\QUIFA-CAJÚA\Cajua\[CAJUA_CF_SEC_New_27-Feb-2024Rev3.xlsx]D-PND'!$BB$41</t>
  </si>
  <si>
    <t>='C:\Users\jaime.benazar\Quorum Business Solutions\Ecopetrol Prometeo - Documents\Planning Space Implementation\3. Analysis &amp; Design\Design\FC22\DRR Jaime\QUIFA-CAJÚA\Cajua\[CAJUA_CF_SEC_New_27-Feb-2024Rev3.xlsx]D-PND'!$BB$42</t>
  </si>
  <si>
    <t>='C:\Users\jaime.benazar\Quorum Business Solutions\Ecopetrol Prometeo - Documents\Planning Space Implementation\3. Analysis &amp; Design\Design\FC22\DRR Jaime\QUIFA-CAJÚA\Cajua\[CAJUA_CF_SEC_New_27-Feb-2024Rev3.xlsx]D-PND'!$BB$43</t>
  </si>
  <si>
    <t>='C:\Users\jaime.benazar\Quorum Business Solutions\Ecopetrol Prometeo - Documents\Planning Space Implementation\3. Analysis &amp; Design\Design\FC22\DRR Jaime\QUIFA-CAJÚA\Cajua\[CAJUA_CF_SEC_New_27-Feb-2024Rev3.xlsx]D-PND'!$BB$44</t>
  </si>
  <si>
    <t>='C:\Users\jaime.benazar\Quorum Business Solutions\Ecopetrol Prometeo - Documents\Planning Space Implementation\3. Analysis &amp; Design\Design\FC22\DRR Jaime\QUIFA-CAJÚA\Cajua\[CAJUA_CF_SEC_New_27-Feb-2024Rev3.xlsx]D-PND'!$BB$45</t>
  </si>
  <si>
    <t>='C:\Users\jaime.benazar\Quorum Business Solutions\Ecopetrol Prometeo - Documents\Planning Space Implementation\3. Analysis &amp; Design\Design\FC22\DRR Jaime\QUIFA-CAJÚA\Cajua\[CAJUA_CF_SEC_New_27-Feb-2024Rev3.xlsx]D-PND'!$BB$46</t>
  </si>
  <si>
    <t>='C:\Users\jaime.benazar\Quorum Business Solutions\Ecopetrol Prometeo - Documents\Planning Space Implementation\3. Analysis &amp; Design\Design\FC22\DRR Jaime\QUIFA-CAJÚA\Cajua\[CAJUA_CF_SEC_New_27-Feb-2024Rev3.xlsx]D-PND'!$BB$47</t>
  </si>
  <si>
    <t>='C:\Users\jaime.benazar\Quorum Business Solutions\Ecopetrol Prometeo - Documents\Planning Space Implementation\3. Analysis &amp; Design\Design\FC22\DRR Jaime\QUIFA-CAJÚA\Cajua\[CAJUA_CF_SEC_New_27-Feb-2024Rev3.xlsx]D-PND'!$BB$48</t>
  </si>
  <si>
    <t>='C:\Users\jaime.benazar\Quorum Business Solutions\Ecopetrol Prometeo - Documents\Planning Space Implementation\3. Analysis &amp; Design\Design\FC22\DRR Jaime\QUIFA-CAJÚA\Cajua\[CAJUA_CF_SEC_New_27-Feb-2024Rev3.xlsx]D-PRB'!$BB$12</t>
  </si>
  <si>
    <t>='C:\Users\jaime.benazar\Quorum Business Solutions\Ecopetrol Prometeo - Documents\Planning Space Implementation\3. Analysis &amp; Design\Design\FC22\DRR Jaime\QUIFA-CAJÚA\Cajua\[CAJUA_CF_SEC_New_27-Feb-2024Rev3.xlsx]D-PRB'!$BB$13</t>
  </si>
  <si>
    <t>='C:\Users\jaime.benazar\Quorum Business Solutions\Ecopetrol Prometeo - Documents\Planning Space Implementation\3. Analysis &amp; Design\Design\FC22\DRR Jaime\QUIFA-CAJÚA\Cajua\[CAJUA_CF_SEC_New_27-Feb-2024Rev3.xlsx]D-PRB'!$BB$14</t>
  </si>
  <si>
    <t>='C:\Users\jaime.benazar\Quorum Business Solutions\Ecopetrol Prometeo - Documents\Planning Space Implementation\3. Analysis &amp; Design\Design\FC22\DRR Jaime\QUIFA-CAJÚA\Cajua\[CAJUA_CF_SEC_New_27-Feb-2024Rev3.xlsx]D-PRB'!$BB$15</t>
  </si>
  <si>
    <t>='C:\Users\jaime.benazar\Quorum Business Solutions\Ecopetrol Prometeo - Documents\Planning Space Implementation\3. Analysis &amp; Design\Design\FC22\DRR Jaime\QUIFA-CAJÚA\Cajua\[CAJUA_CF_SEC_New_27-Feb-2024Rev3.xlsx]D-PRB'!$BB$16</t>
  </si>
  <si>
    <t>='C:\Users\jaime.benazar\Quorum Business Solutions\Ecopetrol Prometeo - Documents\Planning Space Implementation\3. Analysis &amp; Design\Design\FC22\DRR Jaime\QUIFA-CAJÚA\Cajua\[CAJUA_CF_SEC_New_27-Feb-2024Rev3.xlsx]D-PRB'!$BB$17</t>
  </si>
  <si>
    <t>='C:\Users\jaime.benazar\Quorum Business Solutions\Ecopetrol Prometeo - Documents\Planning Space Implementation\3. Analysis &amp; Design\Design\FC22\DRR Jaime\QUIFA-CAJÚA\Cajua\[CAJUA_CF_SEC_New_27-Feb-2024Rev3.xlsx]D-PRB'!$BB$18</t>
  </si>
  <si>
    <t>='C:\Users\jaime.benazar\Quorum Business Solutions\Ecopetrol Prometeo - Documents\Planning Space Implementation\3. Analysis &amp; Design\Design\FC22\DRR Jaime\QUIFA-CAJÚA\Cajua\[CAJUA_CF_SEC_New_27-Feb-2024Rev3.xlsx]D-PRB'!$BB$19</t>
  </si>
  <si>
    <t>='C:\Users\jaime.benazar\Quorum Business Solutions\Ecopetrol Prometeo - Documents\Planning Space Implementation\3. Analysis &amp; Design\Design\FC22\DRR Jaime\QUIFA-CAJÚA\Cajua\[CAJUA_CF_SEC_New_27-Feb-2024Rev3.xlsx]D-PRB'!$BB$20</t>
  </si>
  <si>
    <t>='C:\Users\jaime.benazar\Quorum Business Solutions\Ecopetrol Prometeo - Documents\Planning Space Implementation\3. Analysis &amp; Design\Design\FC22\DRR Jaime\QUIFA-CAJÚA\Cajua\[CAJUA_CF_SEC_New_27-Feb-2024Rev3.xlsx]D-PRB'!$BB$21</t>
  </si>
  <si>
    <t>='C:\Users\jaime.benazar\Quorum Business Solutions\Ecopetrol Prometeo - Documents\Planning Space Implementation\3. Analysis &amp; Design\Design\FC22\DRR Jaime\QUIFA-CAJÚA\Cajua\[CAJUA_CF_SEC_New_27-Feb-2024Rev3.xlsx]D-PRB'!$BB$22</t>
  </si>
  <si>
    <t>='C:\Users\jaime.benazar\Quorum Business Solutions\Ecopetrol Prometeo - Documents\Planning Space Implementation\3. Analysis &amp; Design\Design\FC22\DRR Jaime\QUIFA-CAJÚA\Cajua\[CAJUA_CF_SEC_New_27-Feb-2024Rev3.xlsx]D-PRB'!$BB$23</t>
  </si>
  <si>
    <t>='C:\Users\jaime.benazar\Quorum Business Solutions\Ecopetrol Prometeo - Documents\Planning Space Implementation\3. Analysis &amp; Design\Design\FC22\DRR Jaime\QUIFA-CAJÚA\Cajua\[CAJUA_CF_SEC_New_27-Feb-2024Rev3.xlsx]D-PRB'!$BB$24</t>
  </si>
  <si>
    <t>='C:\Users\jaime.benazar\Quorum Business Solutions\Ecopetrol Prometeo - Documents\Planning Space Implementation\3. Analysis &amp; Design\Design\FC22\DRR Jaime\QUIFA-CAJÚA\Cajua\[CAJUA_CF_SEC_New_27-Feb-2024Rev3.xlsx]D-PRB'!$BB$25</t>
  </si>
  <si>
    <t>='C:\Users\jaime.benazar\Quorum Business Solutions\Ecopetrol Prometeo - Documents\Planning Space Implementation\3. Analysis &amp; Design\Design\FC22\DRR Jaime\QUIFA-CAJÚA\Cajua\[CAJUA_CF_SEC_New_27-Feb-2024Rev3.xlsx]D-PRB'!$BB$26</t>
  </si>
  <si>
    <t>='C:\Users\jaime.benazar\Quorum Business Solutions\Ecopetrol Prometeo - Documents\Planning Space Implementation\3. Analysis &amp; Design\Design\FC22\DRR Jaime\QUIFA-CAJÚA\Cajua\[CAJUA_CF_SEC_New_27-Feb-2024Rev3.xlsx]D-PRB'!$BB$27</t>
  </si>
  <si>
    <t>='C:\Users\jaime.benazar\Quorum Business Solutions\Ecopetrol Prometeo - Documents\Planning Space Implementation\3. Analysis &amp; Design\Design\FC22\DRR Jaime\QUIFA-CAJÚA\Cajua\[CAJUA_CF_SEC_New_27-Feb-2024Rev3.xlsx]D-PRB'!$BB$28</t>
  </si>
  <si>
    <t>='C:\Users\jaime.benazar\Quorum Business Solutions\Ecopetrol Prometeo - Documents\Planning Space Implementation\3. Analysis &amp; Design\Design\FC22\DRR Jaime\QUIFA-CAJÚA\Cajua\[CAJUA_CF_SEC_New_27-Feb-2024Rev3.xlsx]D-PRB'!$BB$29</t>
  </si>
  <si>
    <t>='C:\Users\jaime.benazar\Quorum Business Solutions\Ecopetrol Prometeo - Documents\Planning Space Implementation\3. Analysis &amp; Design\Design\FC22\DRR Jaime\QUIFA-CAJÚA\Cajua\[CAJUA_CF_SEC_New_27-Feb-2024Rev3.xlsx]D-PRB'!$BB$30</t>
  </si>
  <si>
    <t>='C:\Users\jaime.benazar\Quorum Business Solutions\Ecopetrol Prometeo - Documents\Planning Space Implementation\3. Analysis &amp; Design\Design\FC22\DRR Jaime\QUIFA-CAJÚA\Cajua\[CAJUA_CF_SEC_New_27-Feb-2024Rev3.xlsx]D-PRB'!$BB$31</t>
  </si>
  <si>
    <t>='C:\Users\jaime.benazar\Quorum Business Solutions\Ecopetrol Prometeo - Documents\Planning Space Implementation\3. Analysis &amp; Design\Design\FC22\DRR Jaime\QUIFA-CAJÚA\Cajua\[CAJUA_CF_SEC_New_27-Feb-2024Rev3.xlsx]D-PRB'!$BB$32</t>
  </si>
  <si>
    <t>='C:\Users\jaime.benazar\Quorum Business Solutions\Ecopetrol Prometeo - Documents\Planning Space Implementation\3. Analysis &amp; Design\Design\FC22\DRR Jaime\QUIFA-CAJÚA\Cajua\[CAJUA_CF_SEC_New_27-Feb-2024Rev3.xlsx]D-PRB'!$BB$33</t>
  </si>
  <si>
    <t>='C:\Users\jaime.benazar\Quorum Business Solutions\Ecopetrol Prometeo - Documents\Planning Space Implementation\3. Analysis &amp; Design\Design\FC22\DRR Jaime\QUIFA-CAJÚA\Cajua\[CAJUA_CF_SEC_New_27-Feb-2024Rev3.xlsx]D-PRB'!$BB$34</t>
  </si>
  <si>
    <t>='C:\Users\jaime.benazar\Quorum Business Solutions\Ecopetrol Prometeo - Documents\Planning Space Implementation\3. Analysis &amp; Design\Design\FC22\DRR Jaime\QUIFA-CAJÚA\Cajua\[CAJUA_CF_SEC_New_27-Feb-2024Rev3.xlsx]D-PRB'!$BB$35</t>
  </si>
  <si>
    <t>='C:\Users\jaime.benazar\Quorum Business Solutions\Ecopetrol Prometeo - Documents\Planning Space Implementation\3. Analysis &amp; Design\Design\FC22\DRR Jaime\QUIFA-CAJÚA\Cajua\[CAJUA_CF_SEC_New_27-Feb-2024Rev3.xlsx]D-PRB'!$BB$36</t>
  </si>
  <si>
    <t>='C:\Users\jaime.benazar\Quorum Business Solutions\Ecopetrol Prometeo - Documents\Planning Space Implementation\3. Analysis &amp; Design\Design\FC22\DRR Jaime\QUIFA-CAJÚA\Cajua\[CAJUA_CF_SEC_New_27-Feb-2024Rev3.xlsx]D-PRB'!$BB$37</t>
  </si>
  <si>
    <t>='C:\Users\jaime.benazar\Quorum Business Solutions\Ecopetrol Prometeo - Documents\Planning Space Implementation\3. Analysis &amp; Design\Design\FC22\DRR Jaime\QUIFA-CAJÚA\Cajua\[CAJUA_CF_SEC_New_27-Feb-2024Rev3.xlsx]D-PRB'!$BB$38</t>
  </si>
  <si>
    <t>='C:\Users\jaime.benazar\Quorum Business Solutions\Ecopetrol Prometeo - Documents\Planning Space Implementation\3. Analysis &amp; Design\Design\FC22\DRR Jaime\QUIFA-CAJÚA\Cajua\[CAJUA_CF_SEC_New_27-Feb-2024Rev3.xlsx]D-PRB'!$BB$39</t>
  </si>
  <si>
    <t>='C:\Users\jaime.benazar\Quorum Business Solutions\Ecopetrol Prometeo - Documents\Planning Space Implementation\3. Analysis &amp; Design\Design\FC22\DRR Jaime\QUIFA-CAJÚA\Cajua\[CAJUA_CF_SEC_New_27-Feb-2024Rev3.xlsx]D-PRB'!$BB$40</t>
  </si>
  <si>
    <t>='C:\Users\jaime.benazar\Quorum Business Solutions\Ecopetrol Prometeo - Documents\Planning Space Implementation\3. Analysis &amp; Design\Design\FC22\DRR Jaime\QUIFA-CAJÚA\Cajua\[CAJUA_CF_SEC_New_27-Feb-2024Rev3.xlsx]D-PRB'!$BB$41</t>
  </si>
  <si>
    <t>='C:\Users\jaime.benazar\Quorum Business Solutions\Ecopetrol Prometeo - Documents\Planning Space Implementation\3. Analysis &amp; Design\Design\FC22\DRR Jaime\QUIFA-CAJÚA\Cajua\[CAJUA_CF_SEC_New_27-Feb-2024Rev3.xlsx]D-PRB'!$BB$42</t>
  </si>
  <si>
    <t>='C:\Users\jaime.benazar\Quorum Business Solutions\Ecopetrol Prometeo - Documents\Planning Space Implementation\3. Analysis &amp; Design\Design\FC22\DRR Jaime\QUIFA-CAJÚA\Cajua\[CAJUA_CF_SEC_New_27-Feb-2024Rev3.xlsx]D-PRB'!$BB$43</t>
  </si>
  <si>
    <t>='C:\Users\jaime.benazar\Quorum Business Solutions\Ecopetrol Prometeo - Documents\Planning Space Implementation\3. Analysis &amp; Design\Design\FC22\DRR Jaime\QUIFA-CAJÚA\Cajua\[CAJUA_CF_SEC_New_27-Feb-2024Rev3.xlsx]D-PRB'!$BB$44</t>
  </si>
  <si>
    <t>='C:\Users\jaime.benazar\Quorum Business Solutions\Ecopetrol Prometeo - Documents\Planning Space Implementation\3. Analysis &amp; Design\Design\FC22\DRR Jaime\QUIFA-CAJÚA\Cajua\[CAJUA_CF_SEC_New_27-Feb-2024Rev3.xlsx]D-PRB'!$BB$45</t>
  </si>
  <si>
    <t>='C:\Users\jaime.benazar\Quorum Business Solutions\Ecopetrol Prometeo - Documents\Planning Space Implementation\3. Analysis &amp; Design\Design\FC22\DRR Jaime\QUIFA-CAJÚA\Cajua\[CAJUA_CF_SEC_New_27-Feb-2024Rev3.xlsx]D-PRB'!$BB$46</t>
  </si>
  <si>
    <t>='C:\Users\jaime.benazar\Quorum Business Solutions\Ecopetrol Prometeo - Documents\Planning Space Implementation\3. Analysis &amp; Design\Design\FC22\DRR Jaime\QUIFA-CAJÚA\Cajua\[CAJUA_CF_SEC_New_27-Feb-2024Rev3.xlsx]D-PRB'!$BB$47</t>
  </si>
  <si>
    <t>='C:\Users\jaime.benazar\Quorum Business Solutions\Ecopetrol Prometeo - Documents\Planning Space Implementation\3. Analysis &amp; Design\Design\FC22\DRR Jaime\QUIFA-CAJÚA\Cajua\[CAJUA_CF_SEC_New_27-Feb-2024Rev3.xlsx]D-PRB'!$BB$48</t>
  </si>
  <si>
    <t>='C:\Users\jaime.benazar\Quorum Business Solutions\Ecopetrol Prometeo - Documents\Planning Space Implementation\3. Analysis &amp; Design\Design\FC22\DRR Jaime\QUIFA-CAJÚA\Cajua\[CAJUA_CF_SEC_New_27-Feb-2024Rev3.xlsx]D-PS'!$BB$12</t>
  </si>
  <si>
    <t>='C:\Users\jaime.benazar\Quorum Business Solutions\Ecopetrol Prometeo - Documents\Planning Space Implementation\3. Analysis &amp; Design\Design\FC22\DRR Jaime\QUIFA-CAJÚA\Cajua\[CAJUA_CF_SEC_New_27-Feb-2024Rev3.xlsx]D-PS'!$BB$13</t>
  </si>
  <si>
    <t>='C:\Users\jaime.benazar\Quorum Business Solutions\Ecopetrol Prometeo - Documents\Planning Space Implementation\3. Analysis &amp; Design\Design\FC22\DRR Jaime\QUIFA-CAJÚA\Cajua\[CAJUA_CF_SEC_New_27-Feb-2024Rev3.xlsx]D-PS'!$BB$14</t>
  </si>
  <si>
    <t>='C:\Users\jaime.benazar\Quorum Business Solutions\Ecopetrol Prometeo - Documents\Planning Space Implementation\3. Analysis &amp; Design\Design\FC22\DRR Jaime\QUIFA-CAJÚA\Cajua\[CAJUA_CF_SEC_New_27-Feb-2024Rev3.xlsx]D-PS'!$BB$15</t>
  </si>
  <si>
    <t>='C:\Users\jaime.benazar\Quorum Business Solutions\Ecopetrol Prometeo - Documents\Planning Space Implementation\3. Analysis &amp; Design\Design\FC22\DRR Jaime\QUIFA-CAJÚA\Cajua\[CAJUA_CF_SEC_New_27-Feb-2024Rev3.xlsx]D-PS'!$BB$16</t>
  </si>
  <si>
    <t>='C:\Users\jaime.benazar\Quorum Business Solutions\Ecopetrol Prometeo - Documents\Planning Space Implementation\3. Analysis &amp; Design\Design\FC22\DRR Jaime\QUIFA-CAJÚA\Cajua\[CAJUA_CF_SEC_New_27-Feb-2024Rev3.xlsx]D-PS'!$BB$17</t>
  </si>
  <si>
    <t>='C:\Users\jaime.benazar\Quorum Business Solutions\Ecopetrol Prometeo - Documents\Planning Space Implementation\3. Analysis &amp; Design\Design\FC22\DRR Jaime\QUIFA-CAJÚA\Cajua\[CAJUA_CF_SEC_New_27-Feb-2024Rev3.xlsx]D-PS'!$BB$18</t>
  </si>
  <si>
    <t>='C:\Users\jaime.benazar\Quorum Business Solutions\Ecopetrol Prometeo - Documents\Planning Space Implementation\3. Analysis &amp; Design\Design\FC22\DRR Jaime\QUIFA-CAJÚA\Cajua\[CAJUA_CF_SEC_New_27-Feb-2024Rev3.xlsx]D-PS'!$BB$19</t>
  </si>
  <si>
    <t>='C:\Users\jaime.benazar\Quorum Business Solutions\Ecopetrol Prometeo - Documents\Planning Space Implementation\3. Analysis &amp; Design\Design\FC22\DRR Jaime\QUIFA-CAJÚA\Cajua\[CAJUA_CF_SEC_New_27-Feb-2024Rev3.xlsx]D-PS'!$BB$20</t>
  </si>
  <si>
    <t>='C:\Users\jaime.benazar\Quorum Business Solutions\Ecopetrol Prometeo - Documents\Planning Space Implementation\3. Analysis &amp; Design\Design\FC22\DRR Jaime\QUIFA-CAJÚA\Cajua\[CAJUA_CF_SEC_New_27-Feb-2024Rev3.xlsx]D-PS'!$BB$21</t>
  </si>
  <si>
    <t>='C:\Users\jaime.benazar\Quorum Business Solutions\Ecopetrol Prometeo - Documents\Planning Space Implementation\3. Analysis &amp; Design\Design\FC22\DRR Jaime\QUIFA-CAJÚA\Cajua\[CAJUA_CF_SEC_New_27-Feb-2024Rev3.xlsx]D-PS'!$BB$22</t>
  </si>
  <si>
    <t>='C:\Users\jaime.benazar\Quorum Business Solutions\Ecopetrol Prometeo - Documents\Planning Space Implementation\3. Analysis &amp; Design\Design\FC22\DRR Jaime\QUIFA-CAJÚA\Cajua\[CAJUA_CF_SEC_New_27-Feb-2024Rev3.xlsx]D-PS'!$BB$23</t>
  </si>
  <si>
    <t>='C:\Users\jaime.benazar\Quorum Business Solutions\Ecopetrol Prometeo - Documents\Planning Space Implementation\3. Analysis &amp; Design\Design\FC22\DRR Jaime\QUIFA-CAJÚA\Cajua\[CAJUA_CF_SEC_New_27-Feb-2024Rev3.xlsx]D-PS'!$BB$24</t>
  </si>
  <si>
    <t>='C:\Users\jaime.benazar\Quorum Business Solutions\Ecopetrol Prometeo - Documents\Planning Space Implementation\3. Analysis &amp; Design\Design\FC22\DRR Jaime\QUIFA-CAJÚA\Cajua\[CAJUA_CF_SEC_New_27-Feb-2024Rev3.xlsx]D-PS'!$BB$25</t>
  </si>
  <si>
    <t>='C:\Users\jaime.benazar\Quorum Business Solutions\Ecopetrol Prometeo - Documents\Planning Space Implementation\3. Analysis &amp; Design\Design\FC22\DRR Jaime\QUIFA-CAJÚA\Cajua\[CAJUA_CF_SEC_New_27-Feb-2024Rev3.xlsx]D-PS'!$BB$26</t>
  </si>
  <si>
    <t>='C:\Users\jaime.benazar\Quorum Business Solutions\Ecopetrol Prometeo - Documents\Planning Space Implementation\3. Analysis &amp; Design\Design\FC22\DRR Jaime\QUIFA-CAJÚA\Cajua\[CAJUA_CF_SEC_New_27-Feb-2024Rev3.xlsx]D-PS'!$BB$27</t>
  </si>
  <si>
    <t>='C:\Users\jaime.benazar\Quorum Business Solutions\Ecopetrol Prometeo - Documents\Planning Space Implementation\3. Analysis &amp; Design\Design\FC22\DRR Jaime\QUIFA-CAJÚA\Cajua\[CAJUA_CF_SEC_New_27-Feb-2024Rev3.xlsx]D-PS'!$BB$28</t>
  </si>
  <si>
    <t>='C:\Users\jaime.benazar\Quorum Business Solutions\Ecopetrol Prometeo - Documents\Planning Space Implementation\3. Analysis &amp; Design\Design\FC22\DRR Jaime\QUIFA-CAJÚA\Cajua\[CAJUA_CF_SEC_New_27-Feb-2024Rev3.xlsx]D-PS'!$BB$29</t>
  </si>
  <si>
    <t>='C:\Users\jaime.benazar\Quorum Business Solutions\Ecopetrol Prometeo - Documents\Planning Space Implementation\3. Analysis &amp; Design\Design\FC22\DRR Jaime\QUIFA-CAJÚA\Cajua\[CAJUA_CF_SEC_New_27-Feb-2024Rev3.xlsx]D-PS'!$BB$30</t>
  </si>
  <si>
    <t>='C:\Users\jaime.benazar\Quorum Business Solutions\Ecopetrol Prometeo - Documents\Planning Space Implementation\3. Analysis &amp; Design\Design\FC22\DRR Jaime\QUIFA-CAJÚA\Cajua\[CAJUA_CF_SEC_New_27-Feb-2024Rev3.xlsx]D-PS'!$BB$31</t>
  </si>
  <si>
    <t>='C:\Users\jaime.benazar\Quorum Business Solutions\Ecopetrol Prometeo - Documents\Planning Space Implementation\3. Analysis &amp; Design\Design\FC22\DRR Jaime\QUIFA-CAJÚA\Cajua\[CAJUA_CF_SEC_New_27-Feb-2024Rev3.xlsx]D-PS'!$BB$32</t>
  </si>
  <si>
    <t>='C:\Users\jaime.benazar\Quorum Business Solutions\Ecopetrol Prometeo - Documents\Planning Space Implementation\3. Analysis &amp; Design\Design\FC22\DRR Jaime\QUIFA-CAJÚA\Cajua\[CAJUA_CF_SEC_New_27-Feb-2024Rev3.xlsx]D-PS'!$BB$33</t>
  </si>
  <si>
    <t>='C:\Users\jaime.benazar\Quorum Business Solutions\Ecopetrol Prometeo - Documents\Planning Space Implementation\3. Analysis &amp; Design\Design\FC22\DRR Jaime\QUIFA-CAJÚA\Cajua\[CAJUA_CF_SEC_New_27-Feb-2024Rev3.xlsx]D-PS'!$BB$34</t>
  </si>
  <si>
    <t>='C:\Users\jaime.benazar\Quorum Business Solutions\Ecopetrol Prometeo - Documents\Planning Space Implementation\3. Analysis &amp; Design\Design\FC22\DRR Jaime\QUIFA-CAJÚA\Cajua\[CAJUA_CF_SEC_New_27-Feb-2024Rev3.xlsx]D-PS'!$BB$35</t>
  </si>
  <si>
    <t>='C:\Users\jaime.benazar\Quorum Business Solutions\Ecopetrol Prometeo - Documents\Planning Space Implementation\3. Analysis &amp; Design\Design\FC22\DRR Jaime\QUIFA-CAJÚA\Cajua\[CAJUA_CF_SEC_New_27-Feb-2024Rev3.xlsx]D-PS'!$BB$36</t>
  </si>
  <si>
    <t>='C:\Users\jaime.benazar\Quorum Business Solutions\Ecopetrol Prometeo - Documents\Planning Space Implementation\3. Analysis &amp; Design\Design\FC22\DRR Jaime\QUIFA-CAJÚA\Cajua\[CAJUA_CF_SEC_New_27-Feb-2024Rev3.xlsx]D-PS'!$BB$37</t>
  </si>
  <si>
    <t>='C:\Users\jaime.benazar\Quorum Business Solutions\Ecopetrol Prometeo - Documents\Planning Space Implementation\3. Analysis &amp; Design\Design\FC22\DRR Jaime\QUIFA-CAJÚA\Cajua\[CAJUA_CF_SEC_New_27-Feb-2024Rev3.xlsx]D-PS'!$BB$38</t>
  </si>
  <si>
    <t>='C:\Users\jaime.benazar\Quorum Business Solutions\Ecopetrol Prometeo - Documents\Planning Space Implementation\3. Analysis &amp; Design\Design\FC22\DRR Jaime\QUIFA-CAJÚA\Cajua\[CAJUA_CF_SEC_New_27-Feb-2024Rev3.xlsx]D-PS'!$BB$39</t>
  </si>
  <si>
    <t>='C:\Users\jaime.benazar\Quorum Business Solutions\Ecopetrol Prometeo - Documents\Planning Space Implementation\3. Analysis &amp; Design\Design\FC22\DRR Jaime\QUIFA-CAJÚA\Cajua\[CAJUA_CF_SEC_New_27-Feb-2024Rev3.xlsx]D-PS'!$BB$40</t>
  </si>
  <si>
    <t>='C:\Users\jaime.benazar\Quorum Business Solutions\Ecopetrol Prometeo - Documents\Planning Space Implementation\3. Analysis &amp; Design\Design\FC22\DRR Jaime\QUIFA-CAJÚA\Cajua\[CAJUA_CF_SEC_New_27-Feb-2024Rev3.xlsx]D-PS'!$BB$41</t>
  </si>
  <si>
    <t>='C:\Users\jaime.benazar\Quorum Business Solutions\Ecopetrol Prometeo - Documents\Planning Space Implementation\3. Analysis &amp; Design\Design\FC22\DRR Jaime\QUIFA-CAJÚA\Cajua\[CAJUA_CF_SEC_New_27-Feb-2024Rev3.xlsx]D-PS'!$BB$42</t>
  </si>
  <si>
    <t>='C:\Users\jaime.benazar\Quorum Business Solutions\Ecopetrol Prometeo - Documents\Planning Space Implementation\3. Analysis &amp; Design\Design\FC22\DRR Jaime\QUIFA-CAJÚA\Cajua\[CAJUA_CF_SEC_New_27-Feb-2024Rev3.xlsx]D-PS'!$BB$43</t>
  </si>
  <si>
    <t>='C:\Users\jaime.benazar\Quorum Business Solutions\Ecopetrol Prometeo - Documents\Planning Space Implementation\3. Analysis &amp; Design\Design\FC22\DRR Jaime\QUIFA-CAJÚA\Cajua\[CAJUA_CF_SEC_New_27-Feb-2024Rev3.xlsx]D-PS'!$BB$44</t>
  </si>
  <si>
    <t>='C:\Users\jaime.benazar\Quorum Business Solutions\Ecopetrol Prometeo - Documents\Planning Space Implementation\3. Analysis &amp; Design\Design\FC22\DRR Jaime\QUIFA-CAJÚA\Cajua\[CAJUA_CF_SEC_New_27-Feb-2024Rev3.xlsx]D-PS'!$BB$45</t>
  </si>
  <si>
    <t>='C:\Users\jaime.benazar\Quorum Business Solutions\Ecopetrol Prometeo - Documents\Planning Space Implementation\3. Analysis &amp; Design\Design\FC22\DRR Jaime\QUIFA-CAJÚA\Cajua\[CAJUA_CF_SEC_New_27-Feb-2024Rev3.xlsx]D-PS'!$BB$46</t>
  </si>
  <si>
    <t>='C:\Users\jaime.benazar\Quorum Business Solutions\Ecopetrol Prometeo - Documents\Planning Space Implementation\3. Analysis &amp; Design\Design\FC22\DRR Jaime\QUIFA-CAJÚA\Cajua\[CAJUA_CF_SEC_New_27-Feb-2024Rev3.xlsx]D-PS'!$BB$47</t>
  </si>
  <si>
    <t>='C:\Users\jaime.benazar\Quorum Business Solutions\Ecopetrol Prometeo - Documents\Planning Space Implementation\3. Analysis &amp; Design\Design\FC22\DRR Jaime\QUIFA-CAJÚA\Cajua\[CAJUA_CF_SEC_New_27-Feb-2024Rev3.xlsx]D-PS'!$BB$48</t>
  </si>
  <si>
    <t>='C:\Users\jaime.benazar\Quorum Business Solutions\Ecopetrol Prometeo - Documents\Planning Space Implementation\3. Analysis &amp; Design\Design\FC22\DRR Jaime\QUIFA-CAJÚA\Cajua\[CAJUA_CF_SEC_New_27-Feb-2024Rev3.xlsx]D-PDP'!$BW$12</t>
  </si>
  <si>
    <t>='C:\Users\jaime.benazar\Quorum Business Solutions\Ecopetrol Prometeo - Documents\Planning Space Implementation\3. Analysis &amp; Design\Design\FC22\DRR Jaime\QUIFA-CAJÚA\Cajua\[CAJUA_CF_SEC_New_27-Feb-2024Rev3.xlsx]D-PDP'!$BW$13</t>
  </si>
  <si>
    <t>='C:\Users\jaime.benazar\Quorum Business Solutions\Ecopetrol Prometeo - Documents\Planning Space Implementation\3. Analysis &amp; Design\Design\FC22\DRR Jaime\QUIFA-CAJÚA\Cajua\[CAJUA_CF_SEC_New_27-Feb-2024Rev3.xlsx]D-PDP'!$BW$14</t>
  </si>
  <si>
    <t>='C:\Users\jaime.benazar\Quorum Business Solutions\Ecopetrol Prometeo - Documents\Planning Space Implementation\3. Analysis &amp; Design\Design\FC22\DRR Jaime\QUIFA-CAJÚA\Cajua\[CAJUA_CF_SEC_New_27-Feb-2024Rev3.xlsx]D-PDP'!$BW$15</t>
  </si>
  <si>
    <t>='C:\Users\jaime.benazar\Quorum Business Solutions\Ecopetrol Prometeo - Documents\Planning Space Implementation\3. Analysis &amp; Design\Design\FC22\DRR Jaime\QUIFA-CAJÚA\Cajua\[CAJUA_CF_SEC_New_27-Feb-2024Rev3.xlsx]D-PDP'!$BW$16</t>
  </si>
  <si>
    <t>='C:\Users\jaime.benazar\Quorum Business Solutions\Ecopetrol Prometeo - Documents\Planning Space Implementation\3. Analysis &amp; Design\Design\FC22\DRR Jaime\QUIFA-CAJÚA\Cajua\[CAJUA_CF_SEC_New_27-Feb-2024Rev3.xlsx]D-PDP'!$BW$17</t>
  </si>
  <si>
    <t>='C:\Users\jaime.benazar\Quorum Business Solutions\Ecopetrol Prometeo - Documents\Planning Space Implementation\3. Analysis &amp; Design\Design\FC22\DRR Jaime\QUIFA-CAJÚA\Cajua\[CAJUA_CF_SEC_New_27-Feb-2024Rev3.xlsx]D-PDP'!$BW$18</t>
  </si>
  <si>
    <t>='C:\Users\jaime.benazar\Quorum Business Solutions\Ecopetrol Prometeo - Documents\Planning Space Implementation\3. Analysis &amp; Design\Design\FC22\DRR Jaime\QUIFA-CAJÚA\Cajua\[CAJUA_CF_SEC_New_27-Feb-2024Rev3.xlsx]D-PDP'!$BW$19</t>
  </si>
  <si>
    <t>='C:\Users\jaime.benazar\Quorum Business Solutions\Ecopetrol Prometeo - Documents\Planning Space Implementation\3. Analysis &amp; Design\Design\FC22\DRR Jaime\QUIFA-CAJÚA\Cajua\[CAJUA_CF_SEC_New_27-Feb-2024Rev3.xlsx]D-PDP'!$BW$20</t>
  </si>
  <si>
    <t>='C:\Users\jaime.benazar\Quorum Business Solutions\Ecopetrol Prometeo - Documents\Planning Space Implementation\3. Analysis &amp; Design\Design\FC22\DRR Jaime\QUIFA-CAJÚA\Cajua\[CAJUA_CF_SEC_New_27-Feb-2024Rev3.xlsx]D-PDP'!$BW$21</t>
  </si>
  <si>
    <t>='C:\Users\jaime.benazar\Quorum Business Solutions\Ecopetrol Prometeo - Documents\Planning Space Implementation\3. Analysis &amp; Design\Design\FC22\DRR Jaime\QUIFA-CAJÚA\Cajua\[CAJUA_CF_SEC_New_27-Feb-2024Rev3.xlsx]D-PDP'!$BW$22</t>
  </si>
  <si>
    <t>='C:\Users\jaime.benazar\Quorum Business Solutions\Ecopetrol Prometeo - Documents\Planning Space Implementation\3. Analysis &amp; Design\Design\FC22\DRR Jaime\QUIFA-CAJÚA\Cajua\[CAJUA_CF_SEC_New_27-Feb-2024Rev3.xlsx]D-PDP'!$BW$23</t>
  </si>
  <si>
    <t>='C:\Users\jaime.benazar\Quorum Business Solutions\Ecopetrol Prometeo - Documents\Planning Space Implementation\3. Analysis &amp; Design\Design\FC22\DRR Jaime\QUIFA-CAJÚA\Cajua\[CAJUA_CF_SEC_New_27-Feb-2024Rev3.xlsx]D-PDP'!$BW$24</t>
  </si>
  <si>
    <t>='C:\Users\jaime.benazar\Quorum Business Solutions\Ecopetrol Prometeo - Documents\Planning Space Implementation\3. Analysis &amp; Design\Design\FC22\DRR Jaime\QUIFA-CAJÚA\Cajua\[CAJUA_CF_SEC_New_27-Feb-2024Rev3.xlsx]D-PDP'!$BW$25</t>
  </si>
  <si>
    <t>='C:\Users\jaime.benazar\Quorum Business Solutions\Ecopetrol Prometeo - Documents\Planning Space Implementation\3. Analysis &amp; Design\Design\FC22\DRR Jaime\QUIFA-CAJÚA\Cajua\[CAJUA_CF_SEC_New_27-Feb-2024Rev3.xlsx]D-PDP'!$BW$26</t>
  </si>
  <si>
    <t>='C:\Users\jaime.benazar\Quorum Business Solutions\Ecopetrol Prometeo - Documents\Planning Space Implementation\3. Analysis &amp; Design\Design\FC22\DRR Jaime\QUIFA-CAJÚA\Cajua\[CAJUA_CF_SEC_New_27-Feb-2024Rev3.xlsx]D-PDP'!$BW$27</t>
  </si>
  <si>
    <t>='C:\Users\jaime.benazar\Quorum Business Solutions\Ecopetrol Prometeo - Documents\Planning Space Implementation\3. Analysis &amp; Design\Design\FC22\DRR Jaime\QUIFA-CAJÚA\Cajua\[CAJUA_CF_SEC_New_27-Feb-2024Rev3.xlsx]D-PDP'!$BW$28</t>
  </si>
  <si>
    <t>='C:\Users\jaime.benazar\Quorum Business Solutions\Ecopetrol Prometeo - Documents\Planning Space Implementation\3. Analysis &amp; Design\Design\FC22\DRR Jaime\QUIFA-CAJÚA\Cajua\[CAJUA_CF_SEC_New_27-Feb-2024Rev3.xlsx]D-PDP'!$BW$29</t>
  </si>
  <si>
    <t>='C:\Users\jaime.benazar\Quorum Business Solutions\Ecopetrol Prometeo - Documents\Planning Space Implementation\3. Analysis &amp; Design\Design\FC22\DRR Jaime\QUIFA-CAJÚA\Cajua\[CAJUA_CF_SEC_New_27-Feb-2024Rev3.xlsx]D-PDP'!$BW$30</t>
  </si>
  <si>
    <t>='C:\Users\jaime.benazar\Quorum Business Solutions\Ecopetrol Prometeo - Documents\Planning Space Implementation\3. Analysis &amp; Design\Design\FC22\DRR Jaime\QUIFA-CAJÚA\Cajua\[CAJUA_CF_SEC_New_27-Feb-2024Rev3.xlsx]D-PDP'!$BW$31</t>
  </si>
  <si>
    <t>='C:\Users\jaime.benazar\Quorum Business Solutions\Ecopetrol Prometeo - Documents\Planning Space Implementation\3. Analysis &amp; Design\Design\FC22\DRR Jaime\QUIFA-CAJÚA\Cajua\[CAJUA_CF_SEC_New_27-Feb-2024Rev3.xlsx]D-PDP'!$BW$32</t>
  </si>
  <si>
    <t>='C:\Users\jaime.benazar\Quorum Business Solutions\Ecopetrol Prometeo - Documents\Planning Space Implementation\3. Analysis &amp; Design\Design\FC22\DRR Jaime\QUIFA-CAJÚA\Cajua\[CAJUA_CF_SEC_New_27-Feb-2024Rev3.xlsx]D-PDP'!$BW$33</t>
  </si>
  <si>
    <t>='C:\Users\jaime.benazar\Quorum Business Solutions\Ecopetrol Prometeo - Documents\Planning Space Implementation\3. Analysis &amp; Design\Design\FC22\DRR Jaime\QUIFA-CAJÚA\Cajua\[CAJUA_CF_SEC_New_27-Feb-2024Rev3.xlsx]D-PDP'!$BW$34</t>
  </si>
  <si>
    <t>='C:\Users\jaime.benazar\Quorum Business Solutions\Ecopetrol Prometeo - Documents\Planning Space Implementation\3. Analysis &amp; Design\Design\FC22\DRR Jaime\QUIFA-CAJÚA\Cajua\[CAJUA_CF_SEC_New_27-Feb-2024Rev3.xlsx]D-PDP'!$BW$35</t>
  </si>
  <si>
    <t>='C:\Users\jaime.benazar\Quorum Business Solutions\Ecopetrol Prometeo - Documents\Planning Space Implementation\3. Analysis &amp; Design\Design\FC22\DRR Jaime\QUIFA-CAJÚA\Cajua\[CAJUA_CF_SEC_New_27-Feb-2024Rev3.xlsx]D-PDP'!$BW$36</t>
  </si>
  <si>
    <t>='C:\Users\jaime.benazar\Quorum Business Solutions\Ecopetrol Prometeo - Documents\Planning Space Implementation\3. Analysis &amp; Design\Design\FC22\DRR Jaime\QUIFA-CAJÚA\Cajua\[CAJUA_CF_SEC_New_27-Feb-2024Rev3.xlsx]D-PDP'!$BW$37</t>
  </si>
  <si>
    <t>='C:\Users\jaime.benazar\Quorum Business Solutions\Ecopetrol Prometeo - Documents\Planning Space Implementation\3. Analysis &amp; Design\Design\FC22\DRR Jaime\QUIFA-CAJÚA\Cajua\[CAJUA_CF_SEC_New_27-Feb-2024Rev3.xlsx]D-PDP'!$BW$38</t>
  </si>
  <si>
    <t>='C:\Users\jaime.benazar\Quorum Business Solutions\Ecopetrol Prometeo - Documents\Planning Space Implementation\3. Analysis &amp; Design\Design\FC22\DRR Jaime\QUIFA-CAJÚA\Cajua\[CAJUA_CF_SEC_New_27-Feb-2024Rev3.xlsx]D-PDP'!$BW$39</t>
  </si>
  <si>
    <t>='C:\Users\jaime.benazar\Quorum Business Solutions\Ecopetrol Prometeo - Documents\Planning Space Implementation\3. Analysis &amp; Design\Design\FC22\DRR Jaime\QUIFA-CAJÚA\Cajua\[CAJUA_CF_SEC_New_27-Feb-2024Rev3.xlsx]D-PDP'!$BW$40</t>
  </si>
  <si>
    <t>='C:\Users\jaime.benazar\Quorum Business Solutions\Ecopetrol Prometeo - Documents\Planning Space Implementation\3. Analysis &amp; Design\Design\FC22\DRR Jaime\QUIFA-CAJÚA\Cajua\[CAJUA_CF_SEC_New_27-Feb-2024Rev3.xlsx]D-PDP'!$BW$41</t>
  </si>
  <si>
    <t>='C:\Users\jaime.benazar\Quorum Business Solutions\Ecopetrol Prometeo - Documents\Planning Space Implementation\3. Analysis &amp; Design\Design\FC22\DRR Jaime\QUIFA-CAJÚA\Cajua\[CAJUA_CF_SEC_New_27-Feb-2024Rev3.xlsx]D-PDP'!$BW$42</t>
  </si>
  <si>
    <t>='C:\Users\jaime.benazar\Quorum Business Solutions\Ecopetrol Prometeo - Documents\Planning Space Implementation\3. Analysis &amp; Design\Design\FC22\DRR Jaime\QUIFA-CAJÚA\Cajua\[CAJUA_CF_SEC_New_27-Feb-2024Rev3.xlsx]D-PDP'!$BW$43</t>
  </si>
  <si>
    <t>='C:\Users\jaime.benazar\Quorum Business Solutions\Ecopetrol Prometeo - Documents\Planning Space Implementation\3. Analysis &amp; Design\Design\FC22\DRR Jaime\QUIFA-CAJÚA\Cajua\[CAJUA_CF_SEC_New_27-Feb-2024Rev3.xlsx]D-PDP'!$BW$44</t>
  </si>
  <si>
    <t>='C:\Users\jaime.benazar\Quorum Business Solutions\Ecopetrol Prometeo - Documents\Planning Space Implementation\3. Analysis &amp; Design\Design\FC22\DRR Jaime\QUIFA-CAJÚA\Cajua\[CAJUA_CF_SEC_New_27-Feb-2024Rev3.xlsx]D-PDP'!$BW$45</t>
  </si>
  <si>
    <t>='C:\Users\jaime.benazar\Quorum Business Solutions\Ecopetrol Prometeo - Documents\Planning Space Implementation\3. Analysis &amp; Design\Design\FC22\DRR Jaime\QUIFA-CAJÚA\Cajua\[CAJUA_CF_SEC_New_27-Feb-2024Rev3.xlsx]D-PDP'!$BW$46</t>
  </si>
  <si>
    <t>='C:\Users\jaime.benazar\Quorum Business Solutions\Ecopetrol Prometeo - Documents\Planning Space Implementation\3. Analysis &amp; Design\Design\FC22\DRR Jaime\QUIFA-CAJÚA\Cajua\[CAJUA_CF_SEC_New_27-Feb-2024Rev3.xlsx]D-PDP'!$BW$47</t>
  </si>
  <si>
    <t>='C:\Users\jaime.benazar\Quorum Business Solutions\Ecopetrol Prometeo - Documents\Planning Space Implementation\3. Analysis &amp; Design\Design\FC22\DRR Jaime\QUIFA-CAJÚA\Cajua\[CAJUA_CF_SEC_New_27-Feb-2024Rev3.xlsx]D-PDP'!$BW$48</t>
  </si>
  <si>
    <t>='C:\Users\jaime.benazar\Quorum Business Solutions\Ecopetrol Prometeo - Documents\Planning Space Implementation\3. Analysis &amp; Design\Design\FC22\DRR Jaime\QUIFA-CAJÚA\Cajua\[CAJUA_CF_SEC_New_27-Feb-2024Rev3.xlsx]D-PNP'!$BW$12</t>
  </si>
  <si>
    <t>='C:\Users\jaime.benazar\Quorum Business Solutions\Ecopetrol Prometeo - Documents\Planning Space Implementation\3. Analysis &amp; Design\Design\FC22\DRR Jaime\QUIFA-CAJÚA\Cajua\[CAJUA_CF_SEC_New_27-Feb-2024Rev3.xlsx]D-PNP'!$BW$13</t>
  </si>
  <si>
    <t>='C:\Users\jaime.benazar\Quorum Business Solutions\Ecopetrol Prometeo - Documents\Planning Space Implementation\3. Analysis &amp; Design\Design\FC22\DRR Jaime\QUIFA-CAJÚA\Cajua\[CAJUA_CF_SEC_New_27-Feb-2024Rev3.xlsx]D-PNP'!$BW$14</t>
  </si>
  <si>
    <t>='C:\Users\jaime.benazar\Quorum Business Solutions\Ecopetrol Prometeo - Documents\Planning Space Implementation\3. Analysis &amp; Design\Design\FC22\DRR Jaime\QUIFA-CAJÚA\Cajua\[CAJUA_CF_SEC_New_27-Feb-2024Rev3.xlsx]D-PNP'!$BW$15</t>
  </si>
  <si>
    <t>='C:\Users\jaime.benazar\Quorum Business Solutions\Ecopetrol Prometeo - Documents\Planning Space Implementation\3. Analysis &amp; Design\Design\FC22\DRR Jaime\QUIFA-CAJÚA\Cajua\[CAJUA_CF_SEC_New_27-Feb-2024Rev3.xlsx]D-PNP'!$BW$16</t>
  </si>
  <si>
    <t>='C:\Users\jaime.benazar\Quorum Business Solutions\Ecopetrol Prometeo - Documents\Planning Space Implementation\3. Analysis &amp; Design\Design\FC22\DRR Jaime\QUIFA-CAJÚA\Cajua\[CAJUA_CF_SEC_New_27-Feb-2024Rev3.xlsx]D-PNP'!$BW$17</t>
  </si>
  <si>
    <t>='C:\Users\jaime.benazar\Quorum Business Solutions\Ecopetrol Prometeo - Documents\Planning Space Implementation\3. Analysis &amp; Design\Design\FC22\DRR Jaime\QUIFA-CAJÚA\Cajua\[CAJUA_CF_SEC_New_27-Feb-2024Rev3.xlsx]D-PNP'!$BW$18</t>
  </si>
  <si>
    <t>='C:\Users\jaime.benazar\Quorum Business Solutions\Ecopetrol Prometeo - Documents\Planning Space Implementation\3. Analysis &amp; Design\Design\FC22\DRR Jaime\QUIFA-CAJÚA\Cajua\[CAJUA_CF_SEC_New_27-Feb-2024Rev3.xlsx]D-PNP'!$BW$19</t>
  </si>
  <si>
    <t>='C:\Users\jaime.benazar\Quorum Business Solutions\Ecopetrol Prometeo - Documents\Planning Space Implementation\3. Analysis &amp; Design\Design\FC22\DRR Jaime\QUIFA-CAJÚA\Cajua\[CAJUA_CF_SEC_New_27-Feb-2024Rev3.xlsx]D-PNP'!$BW$20</t>
  </si>
  <si>
    <t>='C:\Users\jaime.benazar\Quorum Business Solutions\Ecopetrol Prometeo - Documents\Planning Space Implementation\3. Analysis &amp; Design\Design\FC22\DRR Jaime\QUIFA-CAJÚA\Cajua\[CAJUA_CF_SEC_New_27-Feb-2024Rev3.xlsx]D-PNP'!$BW$21</t>
  </si>
  <si>
    <t>='C:\Users\jaime.benazar\Quorum Business Solutions\Ecopetrol Prometeo - Documents\Planning Space Implementation\3. Analysis &amp; Design\Design\FC22\DRR Jaime\QUIFA-CAJÚA\Cajua\[CAJUA_CF_SEC_New_27-Feb-2024Rev3.xlsx]D-PNP'!$BW$22</t>
  </si>
  <si>
    <t>='C:\Users\jaime.benazar\Quorum Business Solutions\Ecopetrol Prometeo - Documents\Planning Space Implementation\3. Analysis &amp; Design\Design\FC22\DRR Jaime\QUIFA-CAJÚA\Cajua\[CAJUA_CF_SEC_New_27-Feb-2024Rev3.xlsx]D-PNP'!$BW$23</t>
  </si>
  <si>
    <t>='C:\Users\jaime.benazar\Quorum Business Solutions\Ecopetrol Prometeo - Documents\Planning Space Implementation\3. Analysis &amp; Design\Design\FC22\DRR Jaime\QUIFA-CAJÚA\Cajua\[CAJUA_CF_SEC_New_27-Feb-2024Rev3.xlsx]D-PNP'!$BW$24</t>
  </si>
  <si>
    <t>='C:\Users\jaime.benazar\Quorum Business Solutions\Ecopetrol Prometeo - Documents\Planning Space Implementation\3. Analysis &amp; Design\Design\FC22\DRR Jaime\QUIFA-CAJÚA\Cajua\[CAJUA_CF_SEC_New_27-Feb-2024Rev3.xlsx]D-PNP'!$BW$25</t>
  </si>
  <si>
    <t>='C:\Users\jaime.benazar\Quorum Business Solutions\Ecopetrol Prometeo - Documents\Planning Space Implementation\3. Analysis &amp; Design\Design\FC22\DRR Jaime\QUIFA-CAJÚA\Cajua\[CAJUA_CF_SEC_New_27-Feb-2024Rev3.xlsx]D-PNP'!$BW$26</t>
  </si>
  <si>
    <t>='C:\Users\jaime.benazar\Quorum Business Solutions\Ecopetrol Prometeo - Documents\Planning Space Implementation\3. Analysis &amp; Design\Design\FC22\DRR Jaime\QUIFA-CAJÚA\Cajua\[CAJUA_CF_SEC_New_27-Feb-2024Rev3.xlsx]D-PNP'!$BW$27</t>
  </si>
  <si>
    <t>='C:\Users\jaime.benazar\Quorum Business Solutions\Ecopetrol Prometeo - Documents\Planning Space Implementation\3. Analysis &amp; Design\Design\FC22\DRR Jaime\QUIFA-CAJÚA\Cajua\[CAJUA_CF_SEC_New_27-Feb-2024Rev3.xlsx]D-PNP'!$BW$28</t>
  </si>
  <si>
    <t>='C:\Users\jaime.benazar\Quorum Business Solutions\Ecopetrol Prometeo - Documents\Planning Space Implementation\3. Analysis &amp; Design\Design\FC22\DRR Jaime\QUIFA-CAJÚA\Cajua\[CAJUA_CF_SEC_New_27-Feb-2024Rev3.xlsx]D-PNP'!$BW$29</t>
  </si>
  <si>
    <t>='C:\Users\jaime.benazar\Quorum Business Solutions\Ecopetrol Prometeo - Documents\Planning Space Implementation\3. Analysis &amp; Design\Design\FC22\DRR Jaime\QUIFA-CAJÚA\Cajua\[CAJUA_CF_SEC_New_27-Feb-2024Rev3.xlsx]D-PNP'!$BW$30</t>
  </si>
  <si>
    <t>='C:\Users\jaime.benazar\Quorum Business Solutions\Ecopetrol Prometeo - Documents\Planning Space Implementation\3. Analysis &amp; Design\Design\FC22\DRR Jaime\QUIFA-CAJÚA\Cajua\[CAJUA_CF_SEC_New_27-Feb-2024Rev3.xlsx]D-PNP'!$BW$31</t>
  </si>
  <si>
    <t>='C:\Users\jaime.benazar\Quorum Business Solutions\Ecopetrol Prometeo - Documents\Planning Space Implementation\3. Analysis &amp; Design\Design\FC22\DRR Jaime\QUIFA-CAJÚA\Cajua\[CAJUA_CF_SEC_New_27-Feb-2024Rev3.xlsx]D-PNP'!$BW$32</t>
  </si>
  <si>
    <t>='C:\Users\jaime.benazar\Quorum Business Solutions\Ecopetrol Prometeo - Documents\Planning Space Implementation\3. Analysis &amp; Design\Design\FC22\DRR Jaime\QUIFA-CAJÚA\Cajua\[CAJUA_CF_SEC_New_27-Feb-2024Rev3.xlsx]D-PNP'!$BW$33</t>
  </si>
  <si>
    <t>='C:\Users\jaime.benazar\Quorum Business Solutions\Ecopetrol Prometeo - Documents\Planning Space Implementation\3. Analysis &amp; Design\Design\FC22\DRR Jaime\QUIFA-CAJÚA\Cajua\[CAJUA_CF_SEC_New_27-Feb-2024Rev3.xlsx]D-PNP'!$BW$34</t>
  </si>
  <si>
    <t>='C:\Users\jaime.benazar\Quorum Business Solutions\Ecopetrol Prometeo - Documents\Planning Space Implementation\3. Analysis &amp; Design\Design\FC22\DRR Jaime\QUIFA-CAJÚA\Cajua\[CAJUA_CF_SEC_New_27-Feb-2024Rev3.xlsx]D-PNP'!$BW$35</t>
  </si>
  <si>
    <t>='C:\Users\jaime.benazar\Quorum Business Solutions\Ecopetrol Prometeo - Documents\Planning Space Implementation\3. Analysis &amp; Design\Design\FC22\DRR Jaime\QUIFA-CAJÚA\Cajua\[CAJUA_CF_SEC_New_27-Feb-2024Rev3.xlsx]D-PNP'!$BW$36</t>
  </si>
  <si>
    <t>='C:\Users\jaime.benazar\Quorum Business Solutions\Ecopetrol Prometeo - Documents\Planning Space Implementation\3. Analysis &amp; Design\Design\FC22\DRR Jaime\QUIFA-CAJÚA\Cajua\[CAJUA_CF_SEC_New_27-Feb-2024Rev3.xlsx]D-PNP'!$BW$37</t>
  </si>
  <si>
    <t>='C:\Users\jaime.benazar\Quorum Business Solutions\Ecopetrol Prometeo - Documents\Planning Space Implementation\3. Analysis &amp; Design\Design\FC22\DRR Jaime\QUIFA-CAJÚA\Cajua\[CAJUA_CF_SEC_New_27-Feb-2024Rev3.xlsx]D-PNP'!$BW$38</t>
  </si>
  <si>
    <t>='C:\Users\jaime.benazar\Quorum Business Solutions\Ecopetrol Prometeo - Documents\Planning Space Implementation\3. Analysis &amp; Design\Design\FC22\DRR Jaime\QUIFA-CAJÚA\Cajua\[CAJUA_CF_SEC_New_27-Feb-2024Rev3.xlsx]D-PNP'!$BW$39</t>
  </si>
  <si>
    <t>='C:\Users\jaime.benazar\Quorum Business Solutions\Ecopetrol Prometeo - Documents\Planning Space Implementation\3. Analysis &amp; Design\Design\FC22\DRR Jaime\QUIFA-CAJÚA\Cajua\[CAJUA_CF_SEC_New_27-Feb-2024Rev3.xlsx]D-PNP'!$BW$40</t>
  </si>
  <si>
    <t>='C:\Users\jaime.benazar\Quorum Business Solutions\Ecopetrol Prometeo - Documents\Planning Space Implementation\3. Analysis &amp; Design\Design\FC22\DRR Jaime\QUIFA-CAJÚA\Cajua\[CAJUA_CF_SEC_New_27-Feb-2024Rev3.xlsx]D-PNP'!$BW$41</t>
  </si>
  <si>
    <t>='C:\Users\jaime.benazar\Quorum Business Solutions\Ecopetrol Prometeo - Documents\Planning Space Implementation\3. Analysis &amp; Design\Design\FC22\DRR Jaime\QUIFA-CAJÚA\Cajua\[CAJUA_CF_SEC_New_27-Feb-2024Rev3.xlsx]D-PNP'!$BW$42</t>
  </si>
  <si>
    <t>='C:\Users\jaime.benazar\Quorum Business Solutions\Ecopetrol Prometeo - Documents\Planning Space Implementation\3. Analysis &amp; Design\Design\FC22\DRR Jaime\QUIFA-CAJÚA\Cajua\[CAJUA_CF_SEC_New_27-Feb-2024Rev3.xlsx]D-PNP'!$BW$43</t>
  </si>
  <si>
    <t>='C:\Users\jaime.benazar\Quorum Business Solutions\Ecopetrol Prometeo - Documents\Planning Space Implementation\3. Analysis &amp; Design\Design\FC22\DRR Jaime\QUIFA-CAJÚA\Cajua\[CAJUA_CF_SEC_New_27-Feb-2024Rev3.xlsx]D-PNP'!$BW$44</t>
  </si>
  <si>
    <t>='C:\Users\jaime.benazar\Quorum Business Solutions\Ecopetrol Prometeo - Documents\Planning Space Implementation\3. Analysis &amp; Design\Design\FC22\DRR Jaime\QUIFA-CAJÚA\Cajua\[CAJUA_CF_SEC_New_27-Feb-2024Rev3.xlsx]D-PNP'!$BW$45</t>
  </si>
  <si>
    <t>='C:\Users\jaime.benazar\Quorum Business Solutions\Ecopetrol Prometeo - Documents\Planning Space Implementation\3. Analysis &amp; Design\Design\FC22\DRR Jaime\QUIFA-CAJÚA\Cajua\[CAJUA_CF_SEC_New_27-Feb-2024Rev3.xlsx]D-PNP'!$BW$46</t>
  </si>
  <si>
    <t>='C:\Users\jaime.benazar\Quorum Business Solutions\Ecopetrol Prometeo - Documents\Planning Space Implementation\3. Analysis &amp; Design\Design\FC22\DRR Jaime\QUIFA-CAJÚA\Cajua\[CAJUA_CF_SEC_New_27-Feb-2024Rev3.xlsx]D-PNP'!$BW$47</t>
  </si>
  <si>
    <t>='C:\Users\jaime.benazar\Quorum Business Solutions\Ecopetrol Prometeo - Documents\Planning Space Implementation\3. Analysis &amp; Design\Design\FC22\DRR Jaime\QUIFA-CAJÚA\Cajua\[CAJUA_CF_SEC_New_27-Feb-2024Rev3.xlsx]D-PNP'!$BW$48</t>
  </si>
  <si>
    <t>='C:\Users\jaime.benazar\Quorum Business Solutions\Ecopetrol Prometeo - Documents\Planning Space Implementation\3. Analysis &amp; Design\Design\FC22\DRR Jaime\QUIFA-CAJÚA\Cajua\[CAJUA_CF_SEC_New_27-Feb-2024Rev3.xlsx]D-PND'!$BW$12</t>
  </si>
  <si>
    <t>='C:\Users\jaime.benazar\Quorum Business Solutions\Ecopetrol Prometeo - Documents\Planning Space Implementation\3. Analysis &amp; Design\Design\FC22\DRR Jaime\QUIFA-CAJÚA\Cajua\[CAJUA_CF_SEC_New_27-Feb-2024Rev3.xlsx]D-PND'!$BW$13</t>
  </si>
  <si>
    <t>='C:\Users\jaime.benazar\Quorum Business Solutions\Ecopetrol Prometeo - Documents\Planning Space Implementation\3. Analysis &amp; Design\Design\FC22\DRR Jaime\QUIFA-CAJÚA\Cajua\[CAJUA_CF_SEC_New_27-Feb-2024Rev3.xlsx]D-PND'!$BW$14</t>
  </si>
  <si>
    <t>='C:\Users\jaime.benazar\Quorum Business Solutions\Ecopetrol Prometeo - Documents\Planning Space Implementation\3. Analysis &amp; Design\Design\FC22\DRR Jaime\QUIFA-CAJÚA\Cajua\[CAJUA_CF_SEC_New_27-Feb-2024Rev3.xlsx]D-PND'!$BW$15</t>
  </si>
  <si>
    <t>='C:\Users\jaime.benazar\Quorum Business Solutions\Ecopetrol Prometeo - Documents\Planning Space Implementation\3. Analysis &amp; Design\Design\FC22\DRR Jaime\QUIFA-CAJÚA\Cajua\[CAJUA_CF_SEC_New_27-Feb-2024Rev3.xlsx]D-PND'!$BW$16</t>
  </si>
  <si>
    <t>='C:\Users\jaime.benazar\Quorum Business Solutions\Ecopetrol Prometeo - Documents\Planning Space Implementation\3. Analysis &amp; Design\Design\FC22\DRR Jaime\QUIFA-CAJÚA\Cajua\[CAJUA_CF_SEC_New_27-Feb-2024Rev3.xlsx]D-PND'!$BW$17</t>
  </si>
  <si>
    <t>='C:\Users\jaime.benazar\Quorum Business Solutions\Ecopetrol Prometeo - Documents\Planning Space Implementation\3. Analysis &amp; Design\Design\FC22\DRR Jaime\QUIFA-CAJÚA\Cajua\[CAJUA_CF_SEC_New_27-Feb-2024Rev3.xlsx]D-PND'!$BW$18</t>
  </si>
  <si>
    <t>='C:\Users\jaime.benazar\Quorum Business Solutions\Ecopetrol Prometeo - Documents\Planning Space Implementation\3. Analysis &amp; Design\Design\FC22\DRR Jaime\QUIFA-CAJÚA\Cajua\[CAJUA_CF_SEC_New_27-Feb-2024Rev3.xlsx]D-PND'!$BW$19</t>
  </si>
  <si>
    <t>='C:\Users\jaime.benazar\Quorum Business Solutions\Ecopetrol Prometeo - Documents\Planning Space Implementation\3. Analysis &amp; Design\Design\FC22\DRR Jaime\QUIFA-CAJÚA\Cajua\[CAJUA_CF_SEC_New_27-Feb-2024Rev3.xlsx]D-PND'!$BW$20</t>
  </si>
  <si>
    <t>='C:\Users\jaime.benazar\Quorum Business Solutions\Ecopetrol Prometeo - Documents\Planning Space Implementation\3. Analysis &amp; Design\Design\FC22\DRR Jaime\QUIFA-CAJÚA\Cajua\[CAJUA_CF_SEC_New_27-Feb-2024Rev3.xlsx]D-PND'!$BW$21</t>
  </si>
  <si>
    <t>='C:\Users\jaime.benazar\Quorum Business Solutions\Ecopetrol Prometeo - Documents\Planning Space Implementation\3. Analysis &amp; Design\Design\FC22\DRR Jaime\QUIFA-CAJÚA\Cajua\[CAJUA_CF_SEC_New_27-Feb-2024Rev3.xlsx]D-PND'!$BW$22</t>
  </si>
  <si>
    <t>='C:\Users\jaime.benazar\Quorum Business Solutions\Ecopetrol Prometeo - Documents\Planning Space Implementation\3. Analysis &amp; Design\Design\FC22\DRR Jaime\QUIFA-CAJÚA\Cajua\[CAJUA_CF_SEC_New_27-Feb-2024Rev3.xlsx]D-PND'!$BW$23</t>
  </si>
  <si>
    <t>='C:\Users\jaime.benazar\Quorum Business Solutions\Ecopetrol Prometeo - Documents\Planning Space Implementation\3. Analysis &amp; Design\Design\FC22\DRR Jaime\QUIFA-CAJÚA\Cajua\[CAJUA_CF_SEC_New_27-Feb-2024Rev3.xlsx]D-PND'!$BW$24</t>
  </si>
  <si>
    <t>='C:\Users\jaime.benazar\Quorum Business Solutions\Ecopetrol Prometeo - Documents\Planning Space Implementation\3. Analysis &amp; Design\Design\FC22\DRR Jaime\QUIFA-CAJÚA\Cajua\[CAJUA_CF_SEC_New_27-Feb-2024Rev3.xlsx]D-PND'!$BW$25</t>
  </si>
  <si>
    <t>='C:\Users\jaime.benazar\Quorum Business Solutions\Ecopetrol Prometeo - Documents\Planning Space Implementation\3. Analysis &amp; Design\Design\FC22\DRR Jaime\QUIFA-CAJÚA\Cajua\[CAJUA_CF_SEC_New_27-Feb-2024Rev3.xlsx]D-PND'!$BW$26</t>
  </si>
  <si>
    <t>='C:\Users\jaime.benazar\Quorum Business Solutions\Ecopetrol Prometeo - Documents\Planning Space Implementation\3. Analysis &amp; Design\Design\FC22\DRR Jaime\QUIFA-CAJÚA\Cajua\[CAJUA_CF_SEC_New_27-Feb-2024Rev3.xlsx]D-PND'!$BW$27</t>
  </si>
  <si>
    <t>='C:\Users\jaime.benazar\Quorum Business Solutions\Ecopetrol Prometeo - Documents\Planning Space Implementation\3. Analysis &amp; Design\Design\FC22\DRR Jaime\QUIFA-CAJÚA\Cajua\[CAJUA_CF_SEC_New_27-Feb-2024Rev3.xlsx]D-PND'!$BW$28</t>
  </si>
  <si>
    <t>='C:\Users\jaime.benazar\Quorum Business Solutions\Ecopetrol Prometeo - Documents\Planning Space Implementation\3. Analysis &amp; Design\Design\FC22\DRR Jaime\QUIFA-CAJÚA\Cajua\[CAJUA_CF_SEC_New_27-Feb-2024Rev3.xlsx]D-PND'!$BW$29</t>
  </si>
  <si>
    <t>='C:\Users\jaime.benazar\Quorum Business Solutions\Ecopetrol Prometeo - Documents\Planning Space Implementation\3. Analysis &amp; Design\Design\FC22\DRR Jaime\QUIFA-CAJÚA\Cajua\[CAJUA_CF_SEC_New_27-Feb-2024Rev3.xlsx]D-PND'!$BW$30</t>
  </si>
  <si>
    <t>='C:\Users\jaime.benazar\Quorum Business Solutions\Ecopetrol Prometeo - Documents\Planning Space Implementation\3. Analysis &amp; Design\Design\FC22\DRR Jaime\QUIFA-CAJÚA\Cajua\[CAJUA_CF_SEC_New_27-Feb-2024Rev3.xlsx]D-PND'!$BW$31</t>
  </si>
  <si>
    <t>='C:\Users\jaime.benazar\Quorum Business Solutions\Ecopetrol Prometeo - Documents\Planning Space Implementation\3. Analysis &amp; Design\Design\FC22\DRR Jaime\QUIFA-CAJÚA\Cajua\[CAJUA_CF_SEC_New_27-Feb-2024Rev3.xlsx]D-PND'!$BW$32</t>
  </si>
  <si>
    <t>='C:\Users\jaime.benazar\Quorum Business Solutions\Ecopetrol Prometeo - Documents\Planning Space Implementation\3. Analysis &amp; Design\Design\FC22\DRR Jaime\QUIFA-CAJÚA\Cajua\[CAJUA_CF_SEC_New_27-Feb-2024Rev3.xlsx]D-PND'!$BW$33</t>
  </si>
  <si>
    <t>='C:\Users\jaime.benazar\Quorum Business Solutions\Ecopetrol Prometeo - Documents\Planning Space Implementation\3. Analysis &amp; Design\Design\FC22\DRR Jaime\QUIFA-CAJÚA\Cajua\[CAJUA_CF_SEC_New_27-Feb-2024Rev3.xlsx]D-PND'!$BW$34</t>
  </si>
  <si>
    <t>='C:\Users\jaime.benazar\Quorum Business Solutions\Ecopetrol Prometeo - Documents\Planning Space Implementation\3. Analysis &amp; Design\Design\FC22\DRR Jaime\QUIFA-CAJÚA\Cajua\[CAJUA_CF_SEC_New_27-Feb-2024Rev3.xlsx]D-PND'!$BW$35</t>
  </si>
  <si>
    <t>='C:\Users\jaime.benazar\Quorum Business Solutions\Ecopetrol Prometeo - Documents\Planning Space Implementation\3. Analysis &amp; Design\Design\FC22\DRR Jaime\QUIFA-CAJÚA\Cajua\[CAJUA_CF_SEC_New_27-Feb-2024Rev3.xlsx]D-PND'!$BW$36</t>
  </si>
  <si>
    <t>='C:\Users\jaime.benazar\Quorum Business Solutions\Ecopetrol Prometeo - Documents\Planning Space Implementation\3. Analysis &amp; Design\Design\FC22\DRR Jaime\QUIFA-CAJÚA\Cajua\[CAJUA_CF_SEC_New_27-Feb-2024Rev3.xlsx]D-PND'!$BW$37</t>
  </si>
  <si>
    <t>='C:\Users\jaime.benazar\Quorum Business Solutions\Ecopetrol Prometeo - Documents\Planning Space Implementation\3. Analysis &amp; Design\Design\FC22\DRR Jaime\QUIFA-CAJÚA\Cajua\[CAJUA_CF_SEC_New_27-Feb-2024Rev3.xlsx]D-PND'!$BW$38</t>
  </si>
  <si>
    <t>='C:\Users\jaime.benazar\Quorum Business Solutions\Ecopetrol Prometeo - Documents\Planning Space Implementation\3. Analysis &amp; Design\Design\FC22\DRR Jaime\QUIFA-CAJÚA\Cajua\[CAJUA_CF_SEC_New_27-Feb-2024Rev3.xlsx]D-PND'!$BW$39</t>
  </si>
  <si>
    <t>='C:\Users\jaime.benazar\Quorum Business Solutions\Ecopetrol Prometeo - Documents\Planning Space Implementation\3. Analysis &amp; Design\Design\FC22\DRR Jaime\QUIFA-CAJÚA\Cajua\[CAJUA_CF_SEC_New_27-Feb-2024Rev3.xlsx]D-PND'!$BW$40</t>
  </si>
  <si>
    <t>='C:\Users\jaime.benazar\Quorum Business Solutions\Ecopetrol Prometeo - Documents\Planning Space Implementation\3. Analysis &amp; Design\Design\FC22\DRR Jaime\QUIFA-CAJÚA\Cajua\[CAJUA_CF_SEC_New_27-Feb-2024Rev3.xlsx]D-PND'!$BW$41</t>
  </si>
  <si>
    <t>='C:\Users\jaime.benazar\Quorum Business Solutions\Ecopetrol Prometeo - Documents\Planning Space Implementation\3. Analysis &amp; Design\Design\FC22\DRR Jaime\QUIFA-CAJÚA\Cajua\[CAJUA_CF_SEC_New_27-Feb-2024Rev3.xlsx]D-PND'!$BW$42</t>
  </si>
  <si>
    <t>='C:\Users\jaime.benazar\Quorum Business Solutions\Ecopetrol Prometeo - Documents\Planning Space Implementation\3. Analysis &amp; Design\Design\FC22\DRR Jaime\QUIFA-CAJÚA\Cajua\[CAJUA_CF_SEC_New_27-Feb-2024Rev3.xlsx]D-PND'!$BW$43</t>
  </si>
  <si>
    <t>='C:\Users\jaime.benazar\Quorum Business Solutions\Ecopetrol Prometeo - Documents\Planning Space Implementation\3. Analysis &amp; Design\Design\FC22\DRR Jaime\QUIFA-CAJÚA\Cajua\[CAJUA_CF_SEC_New_27-Feb-2024Rev3.xlsx]D-PND'!$BW$44</t>
  </si>
  <si>
    <t>='C:\Users\jaime.benazar\Quorum Business Solutions\Ecopetrol Prometeo - Documents\Planning Space Implementation\3. Analysis &amp; Design\Design\FC22\DRR Jaime\QUIFA-CAJÚA\Cajua\[CAJUA_CF_SEC_New_27-Feb-2024Rev3.xlsx]D-PND'!$BW$45</t>
  </si>
  <si>
    <t>='C:\Users\jaime.benazar\Quorum Business Solutions\Ecopetrol Prometeo - Documents\Planning Space Implementation\3. Analysis &amp; Design\Design\FC22\DRR Jaime\QUIFA-CAJÚA\Cajua\[CAJUA_CF_SEC_New_27-Feb-2024Rev3.xlsx]D-PND'!$BW$46</t>
  </si>
  <si>
    <t>='C:\Users\jaime.benazar\Quorum Business Solutions\Ecopetrol Prometeo - Documents\Planning Space Implementation\3. Analysis &amp; Design\Design\FC22\DRR Jaime\QUIFA-CAJÚA\Cajua\[CAJUA_CF_SEC_New_27-Feb-2024Rev3.xlsx]D-PND'!$BW$47</t>
  </si>
  <si>
    <t>='C:\Users\jaime.benazar\Quorum Business Solutions\Ecopetrol Prometeo - Documents\Planning Space Implementation\3. Analysis &amp; Design\Design\FC22\DRR Jaime\QUIFA-CAJÚA\Cajua\[CAJUA_CF_SEC_New_27-Feb-2024Rev3.xlsx]D-PND'!$BW$48</t>
  </si>
  <si>
    <t>='C:\Users\jaime.benazar\Quorum Business Solutions\Ecopetrol Prometeo - Documents\Planning Space Implementation\3. Analysis &amp; Design\Design\FC22\DRR Jaime\QUIFA-CAJÚA\Cajua\[CAJUA_CF_SEC_New_27-Feb-2024Rev3.xlsx]D-PRB'!$BW$12</t>
  </si>
  <si>
    <t>='C:\Users\jaime.benazar\Quorum Business Solutions\Ecopetrol Prometeo - Documents\Planning Space Implementation\3. Analysis &amp; Design\Design\FC22\DRR Jaime\QUIFA-CAJÚA\Cajua\[CAJUA_CF_SEC_New_27-Feb-2024Rev3.xlsx]D-PRB'!$BW$13</t>
  </si>
  <si>
    <t>='C:\Users\jaime.benazar\Quorum Business Solutions\Ecopetrol Prometeo - Documents\Planning Space Implementation\3. Analysis &amp; Design\Design\FC22\DRR Jaime\QUIFA-CAJÚA\Cajua\[CAJUA_CF_SEC_New_27-Feb-2024Rev3.xlsx]D-PRB'!$BW$14</t>
  </si>
  <si>
    <t>='C:\Users\jaime.benazar\Quorum Business Solutions\Ecopetrol Prometeo - Documents\Planning Space Implementation\3. Analysis &amp; Design\Design\FC22\DRR Jaime\QUIFA-CAJÚA\Cajua\[CAJUA_CF_SEC_New_27-Feb-2024Rev3.xlsx]D-PRB'!$BW$15</t>
  </si>
  <si>
    <t>='C:\Users\jaime.benazar\Quorum Business Solutions\Ecopetrol Prometeo - Documents\Planning Space Implementation\3. Analysis &amp; Design\Design\FC22\DRR Jaime\QUIFA-CAJÚA\Cajua\[CAJUA_CF_SEC_New_27-Feb-2024Rev3.xlsx]D-PRB'!$BW$16</t>
  </si>
  <si>
    <t>='C:\Users\jaime.benazar\Quorum Business Solutions\Ecopetrol Prometeo - Documents\Planning Space Implementation\3. Analysis &amp; Design\Design\FC22\DRR Jaime\QUIFA-CAJÚA\Cajua\[CAJUA_CF_SEC_New_27-Feb-2024Rev3.xlsx]D-PRB'!$BW$17</t>
  </si>
  <si>
    <t>='C:\Users\jaime.benazar\Quorum Business Solutions\Ecopetrol Prometeo - Documents\Planning Space Implementation\3. Analysis &amp; Design\Design\FC22\DRR Jaime\QUIFA-CAJÚA\Cajua\[CAJUA_CF_SEC_New_27-Feb-2024Rev3.xlsx]D-PRB'!$BW$18</t>
  </si>
  <si>
    <t>='C:\Users\jaime.benazar\Quorum Business Solutions\Ecopetrol Prometeo - Documents\Planning Space Implementation\3. Analysis &amp; Design\Design\FC22\DRR Jaime\QUIFA-CAJÚA\Cajua\[CAJUA_CF_SEC_New_27-Feb-2024Rev3.xlsx]D-PRB'!$BW$19</t>
  </si>
  <si>
    <t>='C:\Users\jaime.benazar\Quorum Business Solutions\Ecopetrol Prometeo - Documents\Planning Space Implementation\3. Analysis &amp; Design\Design\FC22\DRR Jaime\QUIFA-CAJÚA\Cajua\[CAJUA_CF_SEC_New_27-Feb-2024Rev3.xlsx]D-PRB'!$BW$20</t>
  </si>
  <si>
    <t>='C:\Users\jaime.benazar\Quorum Business Solutions\Ecopetrol Prometeo - Documents\Planning Space Implementation\3. Analysis &amp; Design\Design\FC22\DRR Jaime\QUIFA-CAJÚA\Cajua\[CAJUA_CF_SEC_New_27-Feb-2024Rev3.xlsx]D-PRB'!$BW$21</t>
  </si>
  <si>
    <t>='C:\Users\jaime.benazar\Quorum Business Solutions\Ecopetrol Prometeo - Documents\Planning Space Implementation\3. Analysis &amp; Design\Design\FC22\DRR Jaime\QUIFA-CAJÚA\Cajua\[CAJUA_CF_SEC_New_27-Feb-2024Rev3.xlsx]D-PRB'!$BW$22</t>
  </si>
  <si>
    <t>='C:\Users\jaime.benazar\Quorum Business Solutions\Ecopetrol Prometeo - Documents\Planning Space Implementation\3. Analysis &amp; Design\Design\FC22\DRR Jaime\QUIFA-CAJÚA\Cajua\[CAJUA_CF_SEC_New_27-Feb-2024Rev3.xlsx]D-PRB'!$BW$23</t>
  </si>
  <si>
    <t>='C:\Users\jaime.benazar\Quorum Business Solutions\Ecopetrol Prometeo - Documents\Planning Space Implementation\3. Analysis &amp; Design\Design\FC22\DRR Jaime\QUIFA-CAJÚA\Cajua\[CAJUA_CF_SEC_New_27-Feb-2024Rev3.xlsx]D-PRB'!$BW$24</t>
  </si>
  <si>
    <t>='C:\Users\jaime.benazar\Quorum Business Solutions\Ecopetrol Prometeo - Documents\Planning Space Implementation\3. Analysis &amp; Design\Design\FC22\DRR Jaime\QUIFA-CAJÚA\Cajua\[CAJUA_CF_SEC_New_27-Feb-2024Rev3.xlsx]D-PRB'!$BW$25</t>
  </si>
  <si>
    <t>='C:\Users\jaime.benazar\Quorum Business Solutions\Ecopetrol Prometeo - Documents\Planning Space Implementation\3. Analysis &amp; Design\Design\FC22\DRR Jaime\QUIFA-CAJÚA\Cajua\[CAJUA_CF_SEC_New_27-Feb-2024Rev3.xlsx]D-PRB'!$BW$26</t>
  </si>
  <si>
    <t>='C:\Users\jaime.benazar\Quorum Business Solutions\Ecopetrol Prometeo - Documents\Planning Space Implementation\3. Analysis &amp; Design\Design\FC22\DRR Jaime\QUIFA-CAJÚA\Cajua\[CAJUA_CF_SEC_New_27-Feb-2024Rev3.xlsx]D-PRB'!$BW$27</t>
  </si>
  <si>
    <t>='C:\Users\jaime.benazar\Quorum Business Solutions\Ecopetrol Prometeo - Documents\Planning Space Implementation\3. Analysis &amp; Design\Design\FC22\DRR Jaime\QUIFA-CAJÚA\Cajua\[CAJUA_CF_SEC_New_27-Feb-2024Rev3.xlsx]D-PRB'!$BW$28</t>
  </si>
  <si>
    <t>='C:\Users\jaime.benazar\Quorum Business Solutions\Ecopetrol Prometeo - Documents\Planning Space Implementation\3. Analysis &amp; Design\Design\FC22\DRR Jaime\QUIFA-CAJÚA\Cajua\[CAJUA_CF_SEC_New_27-Feb-2024Rev3.xlsx]D-PRB'!$BW$29</t>
  </si>
  <si>
    <t>='C:\Users\jaime.benazar\Quorum Business Solutions\Ecopetrol Prometeo - Documents\Planning Space Implementation\3. Analysis &amp; Design\Design\FC22\DRR Jaime\QUIFA-CAJÚA\Cajua\[CAJUA_CF_SEC_New_27-Feb-2024Rev3.xlsx]D-PRB'!$BW$30</t>
  </si>
  <si>
    <t>='C:\Users\jaime.benazar\Quorum Business Solutions\Ecopetrol Prometeo - Documents\Planning Space Implementation\3. Analysis &amp; Design\Design\FC22\DRR Jaime\QUIFA-CAJÚA\Cajua\[CAJUA_CF_SEC_New_27-Feb-2024Rev3.xlsx]D-PRB'!$BW$31</t>
  </si>
  <si>
    <t>='C:\Users\jaime.benazar\Quorum Business Solutions\Ecopetrol Prometeo - Documents\Planning Space Implementation\3. Analysis &amp; Design\Design\FC22\DRR Jaime\QUIFA-CAJÚA\Cajua\[CAJUA_CF_SEC_New_27-Feb-2024Rev3.xlsx]D-PRB'!$BW$32</t>
  </si>
  <si>
    <t>='C:\Users\jaime.benazar\Quorum Business Solutions\Ecopetrol Prometeo - Documents\Planning Space Implementation\3. Analysis &amp; Design\Design\FC22\DRR Jaime\QUIFA-CAJÚA\Cajua\[CAJUA_CF_SEC_New_27-Feb-2024Rev3.xlsx]D-PRB'!$BW$33</t>
  </si>
  <si>
    <t>='C:\Users\jaime.benazar\Quorum Business Solutions\Ecopetrol Prometeo - Documents\Planning Space Implementation\3. Analysis &amp; Design\Design\FC22\DRR Jaime\QUIFA-CAJÚA\Cajua\[CAJUA_CF_SEC_New_27-Feb-2024Rev3.xlsx]D-PRB'!$BW$34</t>
  </si>
  <si>
    <t>='C:\Users\jaime.benazar\Quorum Business Solutions\Ecopetrol Prometeo - Documents\Planning Space Implementation\3. Analysis &amp; Design\Design\FC22\DRR Jaime\QUIFA-CAJÚA\Cajua\[CAJUA_CF_SEC_New_27-Feb-2024Rev3.xlsx]D-PRB'!$BW$35</t>
  </si>
  <si>
    <t>='C:\Users\jaime.benazar\Quorum Business Solutions\Ecopetrol Prometeo - Documents\Planning Space Implementation\3. Analysis &amp; Design\Design\FC22\DRR Jaime\QUIFA-CAJÚA\Cajua\[CAJUA_CF_SEC_New_27-Feb-2024Rev3.xlsx]D-PRB'!$BW$36</t>
  </si>
  <si>
    <t>='C:\Users\jaime.benazar\Quorum Business Solutions\Ecopetrol Prometeo - Documents\Planning Space Implementation\3. Analysis &amp; Design\Design\FC22\DRR Jaime\QUIFA-CAJÚA\Cajua\[CAJUA_CF_SEC_New_27-Feb-2024Rev3.xlsx]D-PRB'!$BW$37</t>
  </si>
  <si>
    <t>='C:\Users\jaime.benazar\Quorum Business Solutions\Ecopetrol Prometeo - Documents\Planning Space Implementation\3. Analysis &amp; Design\Design\FC22\DRR Jaime\QUIFA-CAJÚA\Cajua\[CAJUA_CF_SEC_New_27-Feb-2024Rev3.xlsx]D-PRB'!$BW$38</t>
  </si>
  <si>
    <t>='C:\Users\jaime.benazar\Quorum Business Solutions\Ecopetrol Prometeo - Documents\Planning Space Implementation\3. Analysis &amp; Design\Design\FC22\DRR Jaime\QUIFA-CAJÚA\Cajua\[CAJUA_CF_SEC_New_27-Feb-2024Rev3.xlsx]D-PRB'!$BW$39</t>
  </si>
  <si>
    <t>='C:\Users\jaime.benazar\Quorum Business Solutions\Ecopetrol Prometeo - Documents\Planning Space Implementation\3. Analysis &amp; Design\Design\FC22\DRR Jaime\QUIFA-CAJÚA\Cajua\[CAJUA_CF_SEC_New_27-Feb-2024Rev3.xlsx]D-PRB'!$BW$40</t>
  </si>
  <si>
    <t>='C:\Users\jaime.benazar\Quorum Business Solutions\Ecopetrol Prometeo - Documents\Planning Space Implementation\3. Analysis &amp; Design\Design\FC22\DRR Jaime\QUIFA-CAJÚA\Cajua\[CAJUA_CF_SEC_New_27-Feb-2024Rev3.xlsx]D-PRB'!$BW$41</t>
  </si>
  <si>
    <t>='C:\Users\jaime.benazar\Quorum Business Solutions\Ecopetrol Prometeo - Documents\Planning Space Implementation\3. Analysis &amp; Design\Design\FC22\DRR Jaime\QUIFA-CAJÚA\Cajua\[CAJUA_CF_SEC_New_27-Feb-2024Rev3.xlsx]D-PRB'!$BW$42</t>
  </si>
  <si>
    <t>='C:\Users\jaime.benazar\Quorum Business Solutions\Ecopetrol Prometeo - Documents\Planning Space Implementation\3. Analysis &amp; Design\Design\FC22\DRR Jaime\QUIFA-CAJÚA\Cajua\[CAJUA_CF_SEC_New_27-Feb-2024Rev3.xlsx]D-PRB'!$BW$43</t>
  </si>
  <si>
    <t>='C:\Users\jaime.benazar\Quorum Business Solutions\Ecopetrol Prometeo - Documents\Planning Space Implementation\3. Analysis &amp; Design\Design\FC22\DRR Jaime\QUIFA-CAJÚA\Cajua\[CAJUA_CF_SEC_New_27-Feb-2024Rev3.xlsx]D-PRB'!$BW$44</t>
  </si>
  <si>
    <t>='C:\Users\jaime.benazar\Quorum Business Solutions\Ecopetrol Prometeo - Documents\Planning Space Implementation\3. Analysis &amp; Design\Design\FC22\DRR Jaime\QUIFA-CAJÚA\Cajua\[CAJUA_CF_SEC_New_27-Feb-2024Rev3.xlsx]D-PRB'!$BW$45</t>
  </si>
  <si>
    <t>='C:\Users\jaime.benazar\Quorum Business Solutions\Ecopetrol Prometeo - Documents\Planning Space Implementation\3. Analysis &amp; Design\Design\FC22\DRR Jaime\QUIFA-CAJÚA\Cajua\[CAJUA_CF_SEC_New_27-Feb-2024Rev3.xlsx]D-PRB'!$BW$46</t>
  </si>
  <si>
    <t>='C:\Users\jaime.benazar\Quorum Business Solutions\Ecopetrol Prometeo - Documents\Planning Space Implementation\3. Analysis &amp; Design\Design\FC22\DRR Jaime\QUIFA-CAJÚA\Cajua\[CAJUA_CF_SEC_New_27-Feb-2024Rev3.xlsx]D-PRB'!$BW$47</t>
  </si>
  <si>
    <t>='C:\Users\jaime.benazar\Quorum Business Solutions\Ecopetrol Prometeo - Documents\Planning Space Implementation\3. Analysis &amp; Design\Design\FC22\DRR Jaime\QUIFA-CAJÚA\Cajua\[CAJUA_CF_SEC_New_27-Feb-2024Rev3.xlsx]D-PRB'!$BW$48</t>
  </si>
  <si>
    <t>='C:\Users\jaime.benazar\Quorum Business Solutions\Ecopetrol Prometeo - Documents\Planning Space Implementation\3. Analysis &amp; Design\Design\FC22\DRR Jaime\QUIFA-CAJÚA\Cajua\[CAJUA_CF_SEC_New_27-Feb-2024Rev3.xlsx]D-PS'!$BW$12</t>
  </si>
  <si>
    <t>='C:\Users\jaime.benazar\Quorum Business Solutions\Ecopetrol Prometeo - Documents\Planning Space Implementation\3. Analysis &amp; Design\Design\FC22\DRR Jaime\QUIFA-CAJÚA\Cajua\[CAJUA_CF_SEC_New_27-Feb-2024Rev3.xlsx]D-PS'!$BW$13</t>
  </si>
  <si>
    <t>='C:\Users\jaime.benazar\Quorum Business Solutions\Ecopetrol Prometeo - Documents\Planning Space Implementation\3. Analysis &amp; Design\Design\FC22\DRR Jaime\QUIFA-CAJÚA\Cajua\[CAJUA_CF_SEC_New_27-Feb-2024Rev3.xlsx]D-PS'!$BW$14</t>
  </si>
  <si>
    <t>='C:\Users\jaime.benazar\Quorum Business Solutions\Ecopetrol Prometeo - Documents\Planning Space Implementation\3. Analysis &amp; Design\Design\FC22\DRR Jaime\QUIFA-CAJÚA\Cajua\[CAJUA_CF_SEC_New_27-Feb-2024Rev3.xlsx]D-PS'!$BW$15</t>
  </si>
  <si>
    <t>='C:\Users\jaime.benazar\Quorum Business Solutions\Ecopetrol Prometeo - Documents\Planning Space Implementation\3. Analysis &amp; Design\Design\FC22\DRR Jaime\QUIFA-CAJÚA\Cajua\[CAJUA_CF_SEC_New_27-Feb-2024Rev3.xlsx]D-PS'!$BW$16</t>
  </si>
  <si>
    <t>='C:\Users\jaime.benazar\Quorum Business Solutions\Ecopetrol Prometeo - Documents\Planning Space Implementation\3. Analysis &amp; Design\Design\FC22\DRR Jaime\QUIFA-CAJÚA\Cajua\[CAJUA_CF_SEC_New_27-Feb-2024Rev3.xlsx]D-PS'!$BW$17</t>
  </si>
  <si>
    <t>='C:\Users\jaime.benazar\Quorum Business Solutions\Ecopetrol Prometeo - Documents\Planning Space Implementation\3. Analysis &amp; Design\Design\FC22\DRR Jaime\QUIFA-CAJÚA\Cajua\[CAJUA_CF_SEC_New_27-Feb-2024Rev3.xlsx]D-PS'!$BW$18</t>
  </si>
  <si>
    <t>='C:\Users\jaime.benazar\Quorum Business Solutions\Ecopetrol Prometeo - Documents\Planning Space Implementation\3. Analysis &amp; Design\Design\FC22\DRR Jaime\QUIFA-CAJÚA\Cajua\[CAJUA_CF_SEC_New_27-Feb-2024Rev3.xlsx]D-PS'!$BW$19</t>
  </si>
  <si>
    <t>='C:\Users\jaime.benazar\Quorum Business Solutions\Ecopetrol Prometeo - Documents\Planning Space Implementation\3. Analysis &amp; Design\Design\FC22\DRR Jaime\QUIFA-CAJÚA\Cajua\[CAJUA_CF_SEC_New_27-Feb-2024Rev3.xlsx]D-PS'!$BW$20</t>
  </si>
  <si>
    <t>='C:\Users\jaime.benazar\Quorum Business Solutions\Ecopetrol Prometeo - Documents\Planning Space Implementation\3. Analysis &amp; Design\Design\FC22\DRR Jaime\QUIFA-CAJÚA\Cajua\[CAJUA_CF_SEC_New_27-Feb-2024Rev3.xlsx]D-PS'!$BW$21</t>
  </si>
  <si>
    <t>='C:\Users\jaime.benazar\Quorum Business Solutions\Ecopetrol Prometeo - Documents\Planning Space Implementation\3. Analysis &amp; Design\Design\FC22\DRR Jaime\QUIFA-CAJÚA\Cajua\[CAJUA_CF_SEC_New_27-Feb-2024Rev3.xlsx]D-PS'!$BW$22</t>
  </si>
  <si>
    <t>='C:\Users\jaime.benazar\Quorum Business Solutions\Ecopetrol Prometeo - Documents\Planning Space Implementation\3. Analysis &amp; Design\Design\FC22\DRR Jaime\QUIFA-CAJÚA\Cajua\[CAJUA_CF_SEC_New_27-Feb-2024Rev3.xlsx]D-PS'!$BW$23</t>
  </si>
  <si>
    <t>='C:\Users\jaime.benazar\Quorum Business Solutions\Ecopetrol Prometeo - Documents\Planning Space Implementation\3. Analysis &amp; Design\Design\FC22\DRR Jaime\QUIFA-CAJÚA\Cajua\[CAJUA_CF_SEC_New_27-Feb-2024Rev3.xlsx]D-PS'!$BW$24</t>
  </si>
  <si>
    <t>='C:\Users\jaime.benazar\Quorum Business Solutions\Ecopetrol Prometeo - Documents\Planning Space Implementation\3. Analysis &amp; Design\Design\FC22\DRR Jaime\QUIFA-CAJÚA\Cajua\[CAJUA_CF_SEC_New_27-Feb-2024Rev3.xlsx]D-PS'!$BW$25</t>
  </si>
  <si>
    <t>='C:\Users\jaime.benazar\Quorum Business Solutions\Ecopetrol Prometeo - Documents\Planning Space Implementation\3. Analysis &amp; Design\Design\FC22\DRR Jaime\QUIFA-CAJÚA\Cajua\[CAJUA_CF_SEC_New_27-Feb-2024Rev3.xlsx]D-PS'!$BW$26</t>
  </si>
  <si>
    <t>='C:\Users\jaime.benazar\Quorum Business Solutions\Ecopetrol Prometeo - Documents\Planning Space Implementation\3. Analysis &amp; Design\Design\FC22\DRR Jaime\QUIFA-CAJÚA\Cajua\[CAJUA_CF_SEC_New_27-Feb-2024Rev3.xlsx]D-PS'!$BW$27</t>
  </si>
  <si>
    <t>='C:\Users\jaime.benazar\Quorum Business Solutions\Ecopetrol Prometeo - Documents\Planning Space Implementation\3. Analysis &amp; Design\Design\FC22\DRR Jaime\QUIFA-CAJÚA\Cajua\[CAJUA_CF_SEC_New_27-Feb-2024Rev3.xlsx]D-PS'!$BW$28</t>
  </si>
  <si>
    <t>='C:\Users\jaime.benazar\Quorum Business Solutions\Ecopetrol Prometeo - Documents\Planning Space Implementation\3. Analysis &amp; Design\Design\FC22\DRR Jaime\QUIFA-CAJÚA\Cajua\[CAJUA_CF_SEC_New_27-Feb-2024Rev3.xlsx]D-PS'!$BW$29</t>
  </si>
  <si>
    <t>='C:\Users\jaime.benazar\Quorum Business Solutions\Ecopetrol Prometeo - Documents\Planning Space Implementation\3. Analysis &amp; Design\Design\FC22\DRR Jaime\QUIFA-CAJÚA\Cajua\[CAJUA_CF_SEC_New_27-Feb-2024Rev3.xlsx]D-PS'!$BW$30</t>
  </si>
  <si>
    <t>='C:\Users\jaime.benazar\Quorum Business Solutions\Ecopetrol Prometeo - Documents\Planning Space Implementation\3. Analysis &amp; Design\Design\FC22\DRR Jaime\QUIFA-CAJÚA\Cajua\[CAJUA_CF_SEC_New_27-Feb-2024Rev3.xlsx]D-PS'!$BW$31</t>
  </si>
  <si>
    <t>='C:\Users\jaime.benazar\Quorum Business Solutions\Ecopetrol Prometeo - Documents\Planning Space Implementation\3. Analysis &amp; Design\Design\FC22\DRR Jaime\QUIFA-CAJÚA\Cajua\[CAJUA_CF_SEC_New_27-Feb-2024Rev3.xlsx]D-PS'!$BW$32</t>
  </si>
  <si>
    <t>='C:\Users\jaime.benazar\Quorum Business Solutions\Ecopetrol Prometeo - Documents\Planning Space Implementation\3. Analysis &amp; Design\Design\FC22\DRR Jaime\QUIFA-CAJÚA\Cajua\[CAJUA_CF_SEC_New_27-Feb-2024Rev3.xlsx]D-PS'!$BW$33</t>
  </si>
  <si>
    <t>='C:\Users\jaime.benazar\Quorum Business Solutions\Ecopetrol Prometeo - Documents\Planning Space Implementation\3. Analysis &amp; Design\Design\FC22\DRR Jaime\QUIFA-CAJÚA\Cajua\[CAJUA_CF_SEC_New_27-Feb-2024Rev3.xlsx]D-PS'!$BW$34</t>
  </si>
  <si>
    <t>='C:\Users\jaime.benazar\Quorum Business Solutions\Ecopetrol Prometeo - Documents\Planning Space Implementation\3. Analysis &amp; Design\Design\FC22\DRR Jaime\QUIFA-CAJÚA\Cajua\[CAJUA_CF_SEC_New_27-Feb-2024Rev3.xlsx]D-PS'!$BW$35</t>
  </si>
  <si>
    <t>='C:\Users\jaime.benazar\Quorum Business Solutions\Ecopetrol Prometeo - Documents\Planning Space Implementation\3. Analysis &amp; Design\Design\FC22\DRR Jaime\QUIFA-CAJÚA\Cajua\[CAJUA_CF_SEC_New_27-Feb-2024Rev3.xlsx]D-PS'!$BW$36</t>
  </si>
  <si>
    <t>='C:\Users\jaime.benazar\Quorum Business Solutions\Ecopetrol Prometeo - Documents\Planning Space Implementation\3. Analysis &amp; Design\Design\FC22\DRR Jaime\QUIFA-CAJÚA\Cajua\[CAJUA_CF_SEC_New_27-Feb-2024Rev3.xlsx]D-PS'!$BW$37</t>
  </si>
  <si>
    <t>='C:\Users\jaime.benazar\Quorum Business Solutions\Ecopetrol Prometeo - Documents\Planning Space Implementation\3. Analysis &amp; Design\Design\FC22\DRR Jaime\QUIFA-CAJÚA\Cajua\[CAJUA_CF_SEC_New_27-Feb-2024Rev3.xlsx]D-PS'!$BW$38</t>
  </si>
  <si>
    <t>='C:\Users\jaime.benazar\Quorum Business Solutions\Ecopetrol Prometeo - Documents\Planning Space Implementation\3. Analysis &amp; Design\Design\FC22\DRR Jaime\QUIFA-CAJÚA\Cajua\[CAJUA_CF_SEC_New_27-Feb-2024Rev3.xlsx]D-PS'!$BW$39</t>
  </si>
  <si>
    <t>='C:\Users\jaime.benazar\Quorum Business Solutions\Ecopetrol Prometeo - Documents\Planning Space Implementation\3. Analysis &amp; Design\Design\FC22\DRR Jaime\QUIFA-CAJÚA\Cajua\[CAJUA_CF_SEC_New_27-Feb-2024Rev3.xlsx]D-PS'!$BW$40</t>
  </si>
  <si>
    <t>='C:\Users\jaime.benazar\Quorum Business Solutions\Ecopetrol Prometeo - Documents\Planning Space Implementation\3. Analysis &amp; Design\Design\FC22\DRR Jaime\QUIFA-CAJÚA\Cajua\[CAJUA_CF_SEC_New_27-Feb-2024Rev3.xlsx]D-PS'!$BW$41</t>
  </si>
  <si>
    <t>='C:\Users\jaime.benazar\Quorum Business Solutions\Ecopetrol Prometeo - Documents\Planning Space Implementation\3. Analysis &amp; Design\Design\FC22\DRR Jaime\QUIFA-CAJÚA\Cajua\[CAJUA_CF_SEC_New_27-Feb-2024Rev3.xlsx]D-PS'!$BW$42</t>
  </si>
  <si>
    <t>='C:\Users\jaime.benazar\Quorum Business Solutions\Ecopetrol Prometeo - Documents\Planning Space Implementation\3. Analysis &amp; Design\Design\FC22\DRR Jaime\QUIFA-CAJÚA\Cajua\[CAJUA_CF_SEC_New_27-Feb-2024Rev3.xlsx]D-PS'!$BW$43</t>
  </si>
  <si>
    <t>='C:\Users\jaime.benazar\Quorum Business Solutions\Ecopetrol Prometeo - Documents\Planning Space Implementation\3. Analysis &amp; Design\Design\FC22\DRR Jaime\QUIFA-CAJÚA\Cajua\[CAJUA_CF_SEC_New_27-Feb-2024Rev3.xlsx]D-PS'!$BW$44</t>
  </si>
  <si>
    <t>='C:\Users\jaime.benazar\Quorum Business Solutions\Ecopetrol Prometeo - Documents\Planning Space Implementation\3. Analysis &amp; Design\Design\FC22\DRR Jaime\QUIFA-CAJÚA\Cajua\[CAJUA_CF_SEC_New_27-Feb-2024Rev3.xlsx]D-PS'!$BW$45</t>
  </si>
  <si>
    <t>='C:\Users\jaime.benazar\Quorum Business Solutions\Ecopetrol Prometeo - Documents\Planning Space Implementation\3. Analysis &amp; Design\Design\FC22\DRR Jaime\QUIFA-CAJÚA\Cajua\[CAJUA_CF_SEC_New_27-Feb-2024Rev3.xlsx]D-PS'!$BW$46</t>
  </si>
  <si>
    <t>='C:\Users\jaime.benazar\Quorum Business Solutions\Ecopetrol Prometeo - Documents\Planning Space Implementation\3. Analysis &amp; Design\Design\FC22\DRR Jaime\QUIFA-CAJÚA\Cajua\[CAJUA_CF_SEC_New_27-Feb-2024Rev3.xlsx]D-PS'!$BW$47</t>
  </si>
  <si>
    <t>='C:\Users\jaime.benazar\Quorum Business Solutions\Ecopetrol Prometeo - Documents\Planning Space Implementation\3. Analysis &amp; Design\Design\FC22\DRR Jaime\QUIFA-CAJÚA\Cajua\[CAJUA_CF_SEC_New_27-Feb-2024Rev3.xlsx]D-PS'!$BW$48</t>
  </si>
  <si>
    <t>='C:\Users\jaime.benazar\Quorum Business Solutions\Ecopetrol Prometeo - Documents\Planning Space Implementation\3. Analysis &amp; Design\Design\FC22\DRR Jaime\QUIFA-CAJÚA\Cajua\[CAJUA_CF_SEC_New_27-Feb-2024Rev3.xlsx]D-PDP'!$BZ$12</t>
  </si>
  <si>
    <t>='C:\Users\jaime.benazar\Quorum Business Solutions\Ecopetrol Prometeo - Documents\Planning Space Implementation\3. Analysis &amp; Design\Design\FC22\DRR Jaime\QUIFA-CAJÚA\Cajua\[CAJUA_CF_SEC_New_27-Feb-2024Rev3.xlsx]D-PDP'!$BZ$13</t>
  </si>
  <si>
    <t>='C:\Users\jaime.benazar\Quorum Business Solutions\Ecopetrol Prometeo - Documents\Planning Space Implementation\3. Analysis &amp; Design\Design\FC22\DRR Jaime\QUIFA-CAJÚA\Cajua\[CAJUA_CF_SEC_New_27-Feb-2024Rev3.xlsx]D-PDP'!$BZ$14</t>
  </si>
  <si>
    <t>='C:\Users\jaime.benazar\Quorum Business Solutions\Ecopetrol Prometeo - Documents\Planning Space Implementation\3. Analysis &amp; Design\Design\FC22\DRR Jaime\QUIFA-CAJÚA\Cajua\[CAJUA_CF_SEC_New_27-Feb-2024Rev3.xlsx]D-PDP'!$BZ$15</t>
  </si>
  <si>
    <t>='C:\Users\jaime.benazar\Quorum Business Solutions\Ecopetrol Prometeo - Documents\Planning Space Implementation\3. Analysis &amp; Design\Design\FC22\DRR Jaime\QUIFA-CAJÚA\Cajua\[CAJUA_CF_SEC_New_27-Feb-2024Rev3.xlsx]D-PDP'!$BZ$16</t>
  </si>
  <si>
    <t>='C:\Users\jaime.benazar\Quorum Business Solutions\Ecopetrol Prometeo - Documents\Planning Space Implementation\3. Analysis &amp; Design\Design\FC22\DRR Jaime\QUIFA-CAJÚA\Cajua\[CAJUA_CF_SEC_New_27-Feb-2024Rev3.xlsx]D-PDP'!$BZ$17</t>
  </si>
  <si>
    <t>='C:\Users\jaime.benazar\Quorum Business Solutions\Ecopetrol Prometeo - Documents\Planning Space Implementation\3. Analysis &amp; Design\Design\FC22\DRR Jaime\QUIFA-CAJÚA\Cajua\[CAJUA_CF_SEC_New_27-Feb-2024Rev3.xlsx]D-PDP'!$BZ$18</t>
  </si>
  <si>
    <t>='C:\Users\jaime.benazar\Quorum Business Solutions\Ecopetrol Prometeo - Documents\Planning Space Implementation\3. Analysis &amp; Design\Design\FC22\DRR Jaime\QUIFA-CAJÚA\Cajua\[CAJUA_CF_SEC_New_27-Feb-2024Rev3.xlsx]D-PDP'!$BZ$19</t>
  </si>
  <si>
    <t>='C:\Users\jaime.benazar\Quorum Business Solutions\Ecopetrol Prometeo - Documents\Planning Space Implementation\3. Analysis &amp; Design\Design\FC22\DRR Jaime\QUIFA-CAJÚA\Cajua\[CAJUA_CF_SEC_New_27-Feb-2024Rev3.xlsx]D-PDP'!$BZ$20</t>
  </si>
  <si>
    <t>='C:\Users\jaime.benazar\Quorum Business Solutions\Ecopetrol Prometeo - Documents\Planning Space Implementation\3. Analysis &amp; Design\Design\FC22\DRR Jaime\QUIFA-CAJÚA\Cajua\[CAJUA_CF_SEC_New_27-Feb-2024Rev3.xlsx]D-PDP'!$BZ$21</t>
  </si>
  <si>
    <t>='C:\Users\jaime.benazar\Quorum Business Solutions\Ecopetrol Prometeo - Documents\Planning Space Implementation\3. Analysis &amp; Design\Design\FC22\DRR Jaime\QUIFA-CAJÚA\Cajua\[CAJUA_CF_SEC_New_27-Feb-2024Rev3.xlsx]D-PDP'!$BZ$22</t>
  </si>
  <si>
    <t>='C:\Users\jaime.benazar\Quorum Business Solutions\Ecopetrol Prometeo - Documents\Planning Space Implementation\3. Analysis &amp; Design\Design\FC22\DRR Jaime\QUIFA-CAJÚA\Cajua\[CAJUA_CF_SEC_New_27-Feb-2024Rev3.xlsx]D-PDP'!$BZ$23</t>
  </si>
  <si>
    <t>='C:\Users\jaime.benazar\Quorum Business Solutions\Ecopetrol Prometeo - Documents\Planning Space Implementation\3. Analysis &amp; Design\Design\FC22\DRR Jaime\QUIFA-CAJÚA\Cajua\[CAJUA_CF_SEC_New_27-Feb-2024Rev3.xlsx]D-PDP'!$BZ$24</t>
  </si>
  <si>
    <t>='C:\Users\jaime.benazar\Quorum Business Solutions\Ecopetrol Prometeo - Documents\Planning Space Implementation\3. Analysis &amp; Design\Design\FC22\DRR Jaime\QUIFA-CAJÚA\Cajua\[CAJUA_CF_SEC_New_27-Feb-2024Rev3.xlsx]D-PDP'!$BZ$25</t>
  </si>
  <si>
    <t>='C:\Users\jaime.benazar\Quorum Business Solutions\Ecopetrol Prometeo - Documents\Planning Space Implementation\3. Analysis &amp; Design\Design\FC22\DRR Jaime\QUIFA-CAJÚA\Cajua\[CAJUA_CF_SEC_New_27-Feb-2024Rev3.xlsx]D-PDP'!$BZ$26</t>
  </si>
  <si>
    <t>='C:\Users\jaime.benazar\Quorum Business Solutions\Ecopetrol Prometeo - Documents\Planning Space Implementation\3. Analysis &amp; Design\Design\FC22\DRR Jaime\QUIFA-CAJÚA\Cajua\[CAJUA_CF_SEC_New_27-Feb-2024Rev3.xlsx]D-PDP'!$BZ$27</t>
  </si>
  <si>
    <t>='C:\Users\jaime.benazar\Quorum Business Solutions\Ecopetrol Prometeo - Documents\Planning Space Implementation\3. Analysis &amp; Design\Design\FC22\DRR Jaime\QUIFA-CAJÚA\Cajua\[CAJUA_CF_SEC_New_27-Feb-2024Rev3.xlsx]D-PDP'!$BZ$28</t>
  </si>
  <si>
    <t>='C:\Users\jaime.benazar\Quorum Business Solutions\Ecopetrol Prometeo - Documents\Planning Space Implementation\3. Analysis &amp; Design\Design\FC22\DRR Jaime\QUIFA-CAJÚA\Cajua\[CAJUA_CF_SEC_New_27-Feb-2024Rev3.xlsx]D-PDP'!$BZ$29</t>
  </si>
  <si>
    <t>='C:\Users\jaime.benazar\Quorum Business Solutions\Ecopetrol Prometeo - Documents\Planning Space Implementation\3. Analysis &amp; Design\Design\FC22\DRR Jaime\QUIFA-CAJÚA\Cajua\[CAJUA_CF_SEC_New_27-Feb-2024Rev3.xlsx]D-PDP'!$BZ$30</t>
  </si>
  <si>
    <t>='C:\Users\jaime.benazar\Quorum Business Solutions\Ecopetrol Prometeo - Documents\Planning Space Implementation\3. Analysis &amp; Design\Design\FC22\DRR Jaime\QUIFA-CAJÚA\Cajua\[CAJUA_CF_SEC_New_27-Feb-2024Rev3.xlsx]D-PDP'!$BZ$31</t>
  </si>
  <si>
    <t>='C:\Users\jaime.benazar\Quorum Business Solutions\Ecopetrol Prometeo - Documents\Planning Space Implementation\3. Analysis &amp; Design\Design\FC22\DRR Jaime\QUIFA-CAJÚA\Cajua\[CAJUA_CF_SEC_New_27-Feb-2024Rev3.xlsx]D-PDP'!$BZ$32</t>
  </si>
  <si>
    <t>='C:\Users\jaime.benazar\Quorum Business Solutions\Ecopetrol Prometeo - Documents\Planning Space Implementation\3. Analysis &amp; Design\Design\FC22\DRR Jaime\QUIFA-CAJÚA\Cajua\[CAJUA_CF_SEC_New_27-Feb-2024Rev3.xlsx]D-PDP'!$BZ$33</t>
  </si>
  <si>
    <t>='C:\Users\jaime.benazar\Quorum Business Solutions\Ecopetrol Prometeo - Documents\Planning Space Implementation\3. Analysis &amp; Design\Design\FC22\DRR Jaime\QUIFA-CAJÚA\Cajua\[CAJUA_CF_SEC_New_27-Feb-2024Rev3.xlsx]D-PDP'!$BZ$34</t>
  </si>
  <si>
    <t>='C:\Users\jaime.benazar\Quorum Business Solutions\Ecopetrol Prometeo - Documents\Planning Space Implementation\3. Analysis &amp; Design\Design\FC22\DRR Jaime\QUIFA-CAJÚA\Cajua\[CAJUA_CF_SEC_New_27-Feb-2024Rev3.xlsx]D-PDP'!$BZ$35</t>
  </si>
  <si>
    <t>='C:\Users\jaime.benazar\Quorum Business Solutions\Ecopetrol Prometeo - Documents\Planning Space Implementation\3. Analysis &amp; Design\Design\FC22\DRR Jaime\QUIFA-CAJÚA\Cajua\[CAJUA_CF_SEC_New_27-Feb-2024Rev3.xlsx]D-PDP'!$BZ$36</t>
  </si>
  <si>
    <t>='C:\Users\jaime.benazar\Quorum Business Solutions\Ecopetrol Prometeo - Documents\Planning Space Implementation\3. Analysis &amp; Design\Design\FC22\DRR Jaime\QUIFA-CAJÚA\Cajua\[CAJUA_CF_SEC_New_27-Feb-2024Rev3.xlsx]D-PDP'!$BZ$37</t>
  </si>
  <si>
    <t>='C:\Users\jaime.benazar\Quorum Business Solutions\Ecopetrol Prometeo - Documents\Planning Space Implementation\3. Analysis &amp; Design\Design\FC22\DRR Jaime\QUIFA-CAJÚA\Cajua\[CAJUA_CF_SEC_New_27-Feb-2024Rev3.xlsx]D-PDP'!$BZ$38</t>
  </si>
  <si>
    <t>='C:\Users\jaime.benazar\Quorum Business Solutions\Ecopetrol Prometeo - Documents\Planning Space Implementation\3. Analysis &amp; Design\Design\FC22\DRR Jaime\QUIFA-CAJÚA\Cajua\[CAJUA_CF_SEC_New_27-Feb-2024Rev3.xlsx]D-PDP'!$BZ$39</t>
  </si>
  <si>
    <t>='C:\Users\jaime.benazar\Quorum Business Solutions\Ecopetrol Prometeo - Documents\Planning Space Implementation\3. Analysis &amp; Design\Design\FC22\DRR Jaime\QUIFA-CAJÚA\Cajua\[CAJUA_CF_SEC_New_27-Feb-2024Rev3.xlsx]D-PDP'!$BZ$40</t>
  </si>
  <si>
    <t>='C:\Users\jaime.benazar\Quorum Business Solutions\Ecopetrol Prometeo - Documents\Planning Space Implementation\3. Analysis &amp; Design\Design\FC22\DRR Jaime\QUIFA-CAJÚA\Cajua\[CAJUA_CF_SEC_New_27-Feb-2024Rev3.xlsx]D-PDP'!$BZ$41</t>
  </si>
  <si>
    <t>='C:\Users\jaime.benazar\Quorum Business Solutions\Ecopetrol Prometeo - Documents\Planning Space Implementation\3. Analysis &amp; Design\Design\FC22\DRR Jaime\QUIFA-CAJÚA\Cajua\[CAJUA_CF_SEC_New_27-Feb-2024Rev3.xlsx]D-PDP'!$BZ$42</t>
  </si>
  <si>
    <t>='C:\Users\jaime.benazar\Quorum Business Solutions\Ecopetrol Prometeo - Documents\Planning Space Implementation\3. Analysis &amp; Design\Design\FC22\DRR Jaime\QUIFA-CAJÚA\Cajua\[CAJUA_CF_SEC_New_27-Feb-2024Rev3.xlsx]D-PDP'!$BZ$43</t>
  </si>
  <si>
    <t>='C:\Users\jaime.benazar\Quorum Business Solutions\Ecopetrol Prometeo - Documents\Planning Space Implementation\3. Analysis &amp; Design\Design\FC22\DRR Jaime\QUIFA-CAJÚA\Cajua\[CAJUA_CF_SEC_New_27-Feb-2024Rev3.xlsx]D-PDP'!$BZ$44</t>
  </si>
  <si>
    <t>='C:\Users\jaime.benazar\Quorum Business Solutions\Ecopetrol Prometeo - Documents\Planning Space Implementation\3. Analysis &amp; Design\Design\FC22\DRR Jaime\QUIFA-CAJÚA\Cajua\[CAJUA_CF_SEC_New_27-Feb-2024Rev3.xlsx]D-PDP'!$BZ$45</t>
  </si>
  <si>
    <t>='C:\Users\jaime.benazar\Quorum Business Solutions\Ecopetrol Prometeo - Documents\Planning Space Implementation\3. Analysis &amp; Design\Design\FC22\DRR Jaime\QUIFA-CAJÚA\Cajua\[CAJUA_CF_SEC_New_27-Feb-2024Rev3.xlsx]D-PDP'!$BZ$46</t>
  </si>
  <si>
    <t>='C:\Users\jaime.benazar\Quorum Business Solutions\Ecopetrol Prometeo - Documents\Planning Space Implementation\3. Analysis &amp; Design\Design\FC22\DRR Jaime\QUIFA-CAJÚA\Cajua\[CAJUA_CF_SEC_New_27-Feb-2024Rev3.xlsx]D-PDP'!$BZ$47</t>
  </si>
  <si>
    <t>='C:\Users\jaime.benazar\Quorum Business Solutions\Ecopetrol Prometeo - Documents\Planning Space Implementation\3. Analysis &amp; Design\Design\FC22\DRR Jaime\QUIFA-CAJÚA\Cajua\[CAJUA_CF_SEC_New_27-Feb-2024Rev3.xlsx]D-PDP'!$BZ$48</t>
  </si>
  <si>
    <t>='C:\Users\jaime.benazar\Quorum Business Solutions\Ecopetrol Prometeo - Documents\Planning Space Implementation\3. Analysis &amp; Design\Design\FC22\DRR Jaime\QUIFA-CAJÚA\Cajua\[CAJUA_CF_SEC_New_27-Feb-2024Rev3.xlsx]D-PNP'!$BZ$12</t>
  </si>
  <si>
    <t>='C:\Users\jaime.benazar\Quorum Business Solutions\Ecopetrol Prometeo - Documents\Planning Space Implementation\3. Analysis &amp; Design\Design\FC22\DRR Jaime\QUIFA-CAJÚA\Cajua\[CAJUA_CF_SEC_New_27-Feb-2024Rev3.xlsx]D-PNP'!$BZ$13</t>
  </si>
  <si>
    <t>='C:\Users\jaime.benazar\Quorum Business Solutions\Ecopetrol Prometeo - Documents\Planning Space Implementation\3. Analysis &amp; Design\Design\FC22\DRR Jaime\QUIFA-CAJÚA\Cajua\[CAJUA_CF_SEC_New_27-Feb-2024Rev3.xlsx]D-PNP'!$BZ$14</t>
  </si>
  <si>
    <t>='C:\Users\jaime.benazar\Quorum Business Solutions\Ecopetrol Prometeo - Documents\Planning Space Implementation\3. Analysis &amp; Design\Design\FC22\DRR Jaime\QUIFA-CAJÚA\Cajua\[CAJUA_CF_SEC_New_27-Feb-2024Rev3.xlsx]D-PNP'!$BZ$15</t>
  </si>
  <si>
    <t>='C:\Users\jaime.benazar\Quorum Business Solutions\Ecopetrol Prometeo - Documents\Planning Space Implementation\3. Analysis &amp; Design\Design\FC22\DRR Jaime\QUIFA-CAJÚA\Cajua\[CAJUA_CF_SEC_New_27-Feb-2024Rev3.xlsx]D-PNP'!$BZ$16</t>
  </si>
  <si>
    <t>='C:\Users\jaime.benazar\Quorum Business Solutions\Ecopetrol Prometeo - Documents\Planning Space Implementation\3. Analysis &amp; Design\Design\FC22\DRR Jaime\QUIFA-CAJÚA\Cajua\[CAJUA_CF_SEC_New_27-Feb-2024Rev3.xlsx]D-PNP'!$BZ$17</t>
  </si>
  <si>
    <t>='C:\Users\jaime.benazar\Quorum Business Solutions\Ecopetrol Prometeo - Documents\Planning Space Implementation\3. Analysis &amp; Design\Design\FC22\DRR Jaime\QUIFA-CAJÚA\Cajua\[CAJUA_CF_SEC_New_27-Feb-2024Rev3.xlsx]D-PNP'!$BZ$18</t>
  </si>
  <si>
    <t>='C:\Users\jaime.benazar\Quorum Business Solutions\Ecopetrol Prometeo - Documents\Planning Space Implementation\3. Analysis &amp; Design\Design\FC22\DRR Jaime\QUIFA-CAJÚA\Cajua\[CAJUA_CF_SEC_New_27-Feb-2024Rev3.xlsx]D-PNP'!$BZ$19</t>
  </si>
  <si>
    <t>='C:\Users\jaime.benazar\Quorum Business Solutions\Ecopetrol Prometeo - Documents\Planning Space Implementation\3. Analysis &amp; Design\Design\FC22\DRR Jaime\QUIFA-CAJÚA\Cajua\[CAJUA_CF_SEC_New_27-Feb-2024Rev3.xlsx]D-PNP'!$BZ$20</t>
  </si>
  <si>
    <t>='C:\Users\jaime.benazar\Quorum Business Solutions\Ecopetrol Prometeo - Documents\Planning Space Implementation\3. Analysis &amp; Design\Design\FC22\DRR Jaime\QUIFA-CAJÚA\Cajua\[CAJUA_CF_SEC_New_27-Feb-2024Rev3.xlsx]D-PNP'!$BZ$21</t>
  </si>
  <si>
    <t>='C:\Users\jaime.benazar\Quorum Business Solutions\Ecopetrol Prometeo - Documents\Planning Space Implementation\3. Analysis &amp; Design\Design\FC22\DRR Jaime\QUIFA-CAJÚA\Cajua\[CAJUA_CF_SEC_New_27-Feb-2024Rev3.xlsx]D-PNP'!$BZ$22</t>
  </si>
  <si>
    <t>='C:\Users\jaime.benazar\Quorum Business Solutions\Ecopetrol Prometeo - Documents\Planning Space Implementation\3. Analysis &amp; Design\Design\FC22\DRR Jaime\QUIFA-CAJÚA\Cajua\[CAJUA_CF_SEC_New_27-Feb-2024Rev3.xlsx]D-PNP'!$BZ$23</t>
  </si>
  <si>
    <t>='C:\Users\jaime.benazar\Quorum Business Solutions\Ecopetrol Prometeo - Documents\Planning Space Implementation\3. Analysis &amp; Design\Design\FC22\DRR Jaime\QUIFA-CAJÚA\Cajua\[CAJUA_CF_SEC_New_27-Feb-2024Rev3.xlsx]D-PNP'!$BZ$24</t>
  </si>
  <si>
    <t>='C:\Users\jaime.benazar\Quorum Business Solutions\Ecopetrol Prometeo - Documents\Planning Space Implementation\3. Analysis &amp; Design\Design\FC22\DRR Jaime\QUIFA-CAJÚA\Cajua\[CAJUA_CF_SEC_New_27-Feb-2024Rev3.xlsx]D-PNP'!$BZ$25</t>
  </si>
  <si>
    <t>='C:\Users\jaime.benazar\Quorum Business Solutions\Ecopetrol Prometeo - Documents\Planning Space Implementation\3. Analysis &amp; Design\Design\FC22\DRR Jaime\QUIFA-CAJÚA\Cajua\[CAJUA_CF_SEC_New_27-Feb-2024Rev3.xlsx]D-PNP'!$BZ$26</t>
  </si>
  <si>
    <t>='C:\Users\jaime.benazar\Quorum Business Solutions\Ecopetrol Prometeo - Documents\Planning Space Implementation\3. Analysis &amp; Design\Design\FC22\DRR Jaime\QUIFA-CAJÚA\Cajua\[CAJUA_CF_SEC_New_27-Feb-2024Rev3.xlsx]D-PNP'!$BZ$27</t>
  </si>
  <si>
    <t>='C:\Users\jaime.benazar\Quorum Business Solutions\Ecopetrol Prometeo - Documents\Planning Space Implementation\3. Analysis &amp; Design\Design\FC22\DRR Jaime\QUIFA-CAJÚA\Cajua\[CAJUA_CF_SEC_New_27-Feb-2024Rev3.xlsx]D-PNP'!$BZ$28</t>
  </si>
  <si>
    <t>='C:\Users\jaime.benazar\Quorum Business Solutions\Ecopetrol Prometeo - Documents\Planning Space Implementation\3. Analysis &amp; Design\Design\FC22\DRR Jaime\QUIFA-CAJÚA\Cajua\[CAJUA_CF_SEC_New_27-Feb-2024Rev3.xlsx]D-PNP'!$BZ$29</t>
  </si>
  <si>
    <t>='C:\Users\jaime.benazar\Quorum Business Solutions\Ecopetrol Prometeo - Documents\Planning Space Implementation\3. Analysis &amp; Design\Design\FC22\DRR Jaime\QUIFA-CAJÚA\Cajua\[CAJUA_CF_SEC_New_27-Feb-2024Rev3.xlsx]D-PNP'!$BZ$30</t>
  </si>
  <si>
    <t>='C:\Users\jaime.benazar\Quorum Business Solutions\Ecopetrol Prometeo - Documents\Planning Space Implementation\3. Analysis &amp; Design\Design\FC22\DRR Jaime\QUIFA-CAJÚA\Cajua\[CAJUA_CF_SEC_New_27-Feb-2024Rev3.xlsx]D-PNP'!$BZ$31</t>
  </si>
  <si>
    <t>='C:\Users\jaime.benazar\Quorum Business Solutions\Ecopetrol Prometeo - Documents\Planning Space Implementation\3. Analysis &amp; Design\Design\FC22\DRR Jaime\QUIFA-CAJÚA\Cajua\[CAJUA_CF_SEC_New_27-Feb-2024Rev3.xlsx]D-PNP'!$BZ$32</t>
  </si>
  <si>
    <t>='C:\Users\jaime.benazar\Quorum Business Solutions\Ecopetrol Prometeo - Documents\Planning Space Implementation\3. Analysis &amp; Design\Design\FC22\DRR Jaime\QUIFA-CAJÚA\Cajua\[CAJUA_CF_SEC_New_27-Feb-2024Rev3.xlsx]D-PNP'!$BZ$33</t>
  </si>
  <si>
    <t>='C:\Users\jaime.benazar\Quorum Business Solutions\Ecopetrol Prometeo - Documents\Planning Space Implementation\3. Analysis &amp; Design\Design\FC22\DRR Jaime\QUIFA-CAJÚA\Cajua\[CAJUA_CF_SEC_New_27-Feb-2024Rev3.xlsx]D-PNP'!$BZ$34</t>
  </si>
  <si>
    <t>='C:\Users\jaime.benazar\Quorum Business Solutions\Ecopetrol Prometeo - Documents\Planning Space Implementation\3. Analysis &amp; Design\Design\FC22\DRR Jaime\QUIFA-CAJÚA\Cajua\[CAJUA_CF_SEC_New_27-Feb-2024Rev3.xlsx]D-PNP'!$BZ$35</t>
  </si>
  <si>
    <t>='C:\Users\jaime.benazar\Quorum Business Solutions\Ecopetrol Prometeo - Documents\Planning Space Implementation\3. Analysis &amp; Design\Design\FC22\DRR Jaime\QUIFA-CAJÚA\Cajua\[CAJUA_CF_SEC_New_27-Feb-2024Rev3.xlsx]D-PNP'!$BZ$36</t>
  </si>
  <si>
    <t>='C:\Users\jaime.benazar\Quorum Business Solutions\Ecopetrol Prometeo - Documents\Planning Space Implementation\3. Analysis &amp; Design\Design\FC22\DRR Jaime\QUIFA-CAJÚA\Cajua\[CAJUA_CF_SEC_New_27-Feb-2024Rev3.xlsx]D-PNP'!$BZ$37</t>
  </si>
  <si>
    <t>='C:\Users\jaime.benazar\Quorum Business Solutions\Ecopetrol Prometeo - Documents\Planning Space Implementation\3. Analysis &amp; Design\Design\FC22\DRR Jaime\QUIFA-CAJÚA\Cajua\[CAJUA_CF_SEC_New_27-Feb-2024Rev3.xlsx]D-PNP'!$BZ$38</t>
  </si>
  <si>
    <t>='C:\Users\jaime.benazar\Quorum Business Solutions\Ecopetrol Prometeo - Documents\Planning Space Implementation\3. Analysis &amp; Design\Design\FC22\DRR Jaime\QUIFA-CAJÚA\Cajua\[CAJUA_CF_SEC_New_27-Feb-2024Rev3.xlsx]D-PNP'!$BZ$39</t>
  </si>
  <si>
    <t>='C:\Users\jaime.benazar\Quorum Business Solutions\Ecopetrol Prometeo - Documents\Planning Space Implementation\3. Analysis &amp; Design\Design\FC22\DRR Jaime\QUIFA-CAJÚA\Cajua\[CAJUA_CF_SEC_New_27-Feb-2024Rev3.xlsx]D-PNP'!$BZ$40</t>
  </si>
  <si>
    <t>='C:\Users\jaime.benazar\Quorum Business Solutions\Ecopetrol Prometeo - Documents\Planning Space Implementation\3. Analysis &amp; Design\Design\FC22\DRR Jaime\QUIFA-CAJÚA\Cajua\[CAJUA_CF_SEC_New_27-Feb-2024Rev3.xlsx]D-PNP'!$BZ$41</t>
  </si>
  <si>
    <t>='C:\Users\jaime.benazar\Quorum Business Solutions\Ecopetrol Prometeo - Documents\Planning Space Implementation\3. Analysis &amp; Design\Design\FC22\DRR Jaime\QUIFA-CAJÚA\Cajua\[CAJUA_CF_SEC_New_27-Feb-2024Rev3.xlsx]D-PNP'!$BZ$42</t>
  </si>
  <si>
    <t>='C:\Users\jaime.benazar\Quorum Business Solutions\Ecopetrol Prometeo - Documents\Planning Space Implementation\3. Analysis &amp; Design\Design\FC22\DRR Jaime\QUIFA-CAJÚA\Cajua\[CAJUA_CF_SEC_New_27-Feb-2024Rev3.xlsx]D-PNP'!$BZ$43</t>
  </si>
  <si>
    <t>='C:\Users\jaime.benazar\Quorum Business Solutions\Ecopetrol Prometeo - Documents\Planning Space Implementation\3. Analysis &amp; Design\Design\FC22\DRR Jaime\QUIFA-CAJÚA\Cajua\[CAJUA_CF_SEC_New_27-Feb-2024Rev3.xlsx]D-PNP'!$BZ$44</t>
  </si>
  <si>
    <t>='C:\Users\jaime.benazar\Quorum Business Solutions\Ecopetrol Prometeo - Documents\Planning Space Implementation\3. Analysis &amp; Design\Design\FC22\DRR Jaime\QUIFA-CAJÚA\Cajua\[CAJUA_CF_SEC_New_27-Feb-2024Rev3.xlsx]D-PNP'!$BZ$45</t>
  </si>
  <si>
    <t>='C:\Users\jaime.benazar\Quorum Business Solutions\Ecopetrol Prometeo - Documents\Planning Space Implementation\3. Analysis &amp; Design\Design\FC22\DRR Jaime\QUIFA-CAJÚA\Cajua\[CAJUA_CF_SEC_New_27-Feb-2024Rev3.xlsx]D-PNP'!$BZ$46</t>
  </si>
  <si>
    <t>='C:\Users\jaime.benazar\Quorum Business Solutions\Ecopetrol Prometeo - Documents\Planning Space Implementation\3. Analysis &amp; Design\Design\FC22\DRR Jaime\QUIFA-CAJÚA\Cajua\[CAJUA_CF_SEC_New_27-Feb-2024Rev3.xlsx]D-PNP'!$BZ$47</t>
  </si>
  <si>
    <t>='C:\Users\jaime.benazar\Quorum Business Solutions\Ecopetrol Prometeo - Documents\Planning Space Implementation\3. Analysis &amp; Design\Design\FC22\DRR Jaime\QUIFA-CAJÚA\Cajua\[CAJUA_CF_SEC_New_27-Feb-2024Rev3.xlsx]D-PNP'!$BZ$48</t>
  </si>
  <si>
    <t>='C:\Users\jaime.benazar\Quorum Business Solutions\Ecopetrol Prometeo - Documents\Planning Space Implementation\3. Analysis &amp; Design\Design\FC22\DRR Jaime\QUIFA-CAJÚA\Cajua\[CAJUA_CF_SEC_New_27-Feb-2024Rev3.xlsx]D-PND'!$BZ$12</t>
  </si>
  <si>
    <t>='C:\Users\jaime.benazar\Quorum Business Solutions\Ecopetrol Prometeo - Documents\Planning Space Implementation\3. Analysis &amp; Design\Design\FC22\DRR Jaime\QUIFA-CAJÚA\Cajua\[CAJUA_CF_SEC_New_27-Feb-2024Rev3.xlsx]D-PND'!$BZ$13</t>
  </si>
  <si>
    <t>='C:\Users\jaime.benazar\Quorum Business Solutions\Ecopetrol Prometeo - Documents\Planning Space Implementation\3. Analysis &amp; Design\Design\FC22\DRR Jaime\QUIFA-CAJÚA\Cajua\[CAJUA_CF_SEC_New_27-Feb-2024Rev3.xlsx]D-PND'!$BZ$14</t>
  </si>
  <si>
    <t>='C:\Users\jaime.benazar\Quorum Business Solutions\Ecopetrol Prometeo - Documents\Planning Space Implementation\3. Analysis &amp; Design\Design\FC22\DRR Jaime\QUIFA-CAJÚA\Cajua\[CAJUA_CF_SEC_New_27-Feb-2024Rev3.xlsx]D-PND'!$BZ$15</t>
  </si>
  <si>
    <t>='C:\Users\jaime.benazar\Quorum Business Solutions\Ecopetrol Prometeo - Documents\Planning Space Implementation\3. Analysis &amp; Design\Design\FC22\DRR Jaime\QUIFA-CAJÚA\Cajua\[CAJUA_CF_SEC_New_27-Feb-2024Rev3.xlsx]D-PND'!$BZ$16</t>
  </si>
  <si>
    <t>='C:\Users\jaime.benazar\Quorum Business Solutions\Ecopetrol Prometeo - Documents\Planning Space Implementation\3. Analysis &amp; Design\Design\FC22\DRR Jaime\QUIFA-CAJÚA\Cajua\[CAJUA_CF_SEC_New_27-Feb-2024Rev3.xlsx]D-PND'!$BZ$17</t>
  </si>
  <si>
    <t>='C:\Users\jaime.benazar\Quorum Business Solutions\Ecopetrol Prometeo - Documents\Planning Space Implementation\3. Analysis &amp; Design\Design\FC22\DRR Jaime\QUIFA-CAJÚA\Cajua\[CAJUA_CF_SEC_New_27-Feb-2024Rev3.xlsx]D-PND'!$BZ$18</t>
  </si>
  <si>
    <t>='C:\Users\jaime.benazar\Quorum Business Solutions\Ecopetrol Prometeo - Documents\Planning Space Implementation\3. Analysis &amp; Design\Design\FC22\DRR Jaime\QUIFA-CAJÚA\Cajua\[CAJUA_CF_SEC_New_27-Feb-2024Rev3.xlsx]D-PND'!$BZ$19</t>
  </si>
  <si>
    <t>='C:\Users\jaime.benazar\Quorum Business Solutions\Ecopetrol Prometeo - Documents\Planning Space Implementation\3. Analysis &amp; Design\Design\FC22\DRR Jaime\QUIFA-CAJÚA\Cajua\[CAJUA_CF_SEC_New_27-Feb-2024Rev3.xlsx]D-PND'!$BZ$20</t>
  </si>
  <si>
    <t>='C:\Users\jaime.benazar\Quorum Business Solutions\Ecopetrol Prometeo - Documents\Planning Space Implementation\3. Analysis &amp; Design\Design\FC22\DRR Jaime\QUIFA-CAJÚA\Cajua\[CAJUA_CF_SEC_New_27-Feb-2024Rev3.xlsx]D-PND'!$BZ$21</t>
  </si>
  <si>
    <t>='C:\Users\jaime.benazar\Quorum Business Solutions\Ecopetrol Prometeo - Documents\Planning Space Implementation\3. Analysis &amp; Design\Design\FC22\DRR Jaime\QUIFA-CAJÚA\Cajua\[CAJUA_CF_SEC_New_27-Feb-2024Rev3.xlsx]D-PND'!$BZ$22</t>
  </si>
  <si>
    <t>='C:\Users\jaime.benazar\Quorum Business Solutions\Ecopetrol Prometeo - Documents\Planning Space Implementation\3. Analysis &amp; Design\Design\FC22\DRR Jaime\QUIFA-CAJÚA\Cajua\[CAJUA_CF_SEC_New_27-Feb-2024Rev3.xlsx]D-PND'!$BZ$23</t>
  </si>
  <si>
    <t>='C:\Users\jaime.benazar\Quorum Business Solutions\Ecopetrol Prometeo - Documents\Planning Space Implementation\3. Analysis &amp; Design\Design\FC22\DRR Jaime\QUIFA-CAJÚA\Cajua\[CAJUA_CF_SEC_New_27-Feb-2024Rev3.xlsx]D-PND'!$BZ$24</t>
  </si>
  <si>
    <t>='C:\Users\jaime.benazar\Quorum Business Solutions\Ecopetrol Prometeo - Documents\Planning Space Implementation\3. Analysis &amp; Design\Design\FC22\DRR Jaime\QUIFA-CAJÚA\Cajua\[CAJUA_CF_SEC_New_27-Feb-2024Rev3.xlsx]D-PND'!$BZ$25</t>
  </si>
  <si>
    <t>='C:\Users\jaime.benazar\Quorum Business Solutions\Ecopetrol Prometeo - Documents\Planning Space Implementation\3. Analysis &amp; Design\Design\FC22\DRR Jaime\QUIFA-CAJÚA\Cajua\[CAJUA_CF_SEC_New_27-Feb-2024Rev3.xlsx]D-PND'!$BZ$26</t>
  </si>
  <si>
    <t>='C:\Users\jaime.benazar\Quorum Business Solutions\Ecopetrol Prometeo - Documents\Planning Space Implementation\3. Analysis &amp; Design\Design\FC22\DRR Jaime\QUIFA-CAJÚA\Cajua\[CAJUA_CF_SEC_New_27-Feb-2024Rev3.xlsx]D-PND'!$BZ$27</t>
  </si>
  <si>
    <t>='C:\Users\jaime.benazar\Quorum Business Solutions\Ecopetrol Prometeo - Documents\Planning Space Implementation\3. Analysis &amp; Design\Design\FC22\DRR Jaime\QUIFA-CAJÚA\Cajua\[CAJUA_CF_SEC_New_27-Feb-2024Rev3.xlsx]D-PND'!$BZ$28</t>
  </si>
  <si>
    <t>='C:\Users\jaime.benazar\Quorum Business Solutions\Ecopetrol Prometeo - Documents\Planning Space Implementation\3. Analysis &amp; Design\Design\FC22\DRR Jaime\QUIFA-CAJÚA\Cajua\[CAJUA_CF_SEC_New_27-Feb-2024Rev3.xlsx]D-PND'!$BZ$29</t>
  </si>
  <si>
    <t>='C:\Users\jaime.benazar\Quorum Business Solutions\Ecopetrol Prometeo - Documents\Planning Space Implementation\3. Analysis &amp; Design\Design\FC22\DRR Jaime\QUIFA-CAJÚA\Cajua\[CAJUA_CF_SEC_New_27-Feb-2024Rev3.xlsx]D-PND'!$BZ$30</t>
  </si>
  <si>
    <t>='C:\Users\jaime.benazar\Quorum Business Solutions\Ecopetrol Prometeo - Documents\Planning Space Implementation\3. Analysis &amp; Design\Design\FC22\DRR Jaime\QUIFA-CAJÚA\Cajua\[CAJUA_CF_SEC_New_27-Feb-2024Rev3.xlsx]D-PND'!$BZ$31</t>
  </si>
  <si>
    <t>='C:\Users\jaime.benazar\Quorum Business Solutions\Ecopetrol Prometeo - Documents\Planning Space Implementation\3. Analysis &amp; Design\Design\FC22\DRR Jaime\QUIFA-CAJÚA\Cajua\[CAJUA_CF_SEC_New_27-Feb-2024Rev3.xlsx]D-PND'!$BZ$32</t>
  </si>
  <si>
    <t>='C:\Users\jaime.benazar\Quorum Business Solutions\Ecopetrol Prometeo - Documents\Planning Space Implementation\3. Analysis &amp; Design\Design\FC22\DRR Jaime\QUIFA-CAJÚA\Cajua\[CAJUA_CF_SEC_New_27-Feb-2024Rev3.xlsx]D-PND'!$BZ$33</t>
  </si>
  <si>
    <t>='C:\Users\jaime.benazar\Quorum Business Solutions\Ecopetrol Prometeo - Documents\Planning Space Implementation\3. Analysis &amp; Design\Design\FC22\DRR Jaime\QUIFA-CAJÚA\Cajua\[CAJUA_CF_SEC_New_27-Feb-2024Rev3.xlsx]D-PND'!$BZ$34</t>
  </si>
  <si>
    <t>='C:\Users\jaime.benazar\Quorum Business Solutions\Ecopetrol Prometeo - Documents\Planning Space Implementation\3. Analysis &amp; Design\Design\FC22\DRR Jaime\QUIFA-CAJÚA\Cajua\[CAJUA_CF_SEC_New_27-Feb-2024Rev3.xlsx]D-PND'!$BZ$35</t>
  </si>
  <si>
    <t>='C:\Users\jaime.benazar\Quorum Business Solutions\Ecopetrol Prometeo - Documents\Planning Space Implementation\3. Analysis &amp; Design\Design\FC22\DRR Jaime\QUIFA-CAJÚA\Cajua\[CAJUA_CF_SEC_New_27-Feb-2024Rev3.xlsx]D-PND'!$BZ$36</t>
  </si>
  <si>
    <t>='C:\Users\jaime.benazar\Quorum Business Solutions\Ecopetrol Prometeo - Documents\Planning Space Implementation\3. Analysis &amp; Design\Design\FC22\DRR Jaime\QUIFA-CAJÚA\Cajua\[CAJUA_CF_SEC_New_27-Feb-2024Rev3.xlsx]D-PND'!$BZ$37</t>
  </si>
  <si>
    <t>='C:\Users\jaime.benazar\Quorum Business Solutions\Ecopetrol Prometeo - Documents\Planning Space Implementation\3. Analysis &amp; Design\Design\FC22\DRR Jaime\QUIFA-CAJÚA\Cajua\[CAJUA_CF_SEC_New_27-Feb-2024Rev3.xlsx]D-PND'!$BZ$38</t>
  </si>
  <si>
    <t>='C:\Users\jaime.benazar\Quorum Business Solutions\Ecopetrol Prometeo - Documents\Planning Space Implementation\3. Analysis &amp; Design\Design\FC22\DRR Jaime\QUIFA-CAJÚA\Cajua\[CAJUA_CF_SEC_New_27-Feb-2024Rev3.xlsx]D-PND'!$BZ$39</t>
  </si>
  <si>
    <t>='C:\Users\jaime.benazar\Quorum Business Solutions\Ecopetrol Prometeo - Documents\Planning Space Implementation\3. Analysis &amp; Design\Design\FC22\DRR Jaime\QUIFA-CAJÚA\Cajua\[CAJUA_CF_SEC_New_27-Feb-2024Rev3.xlsx]D-PND'!$BZ$40</t>
  </si>
  <si>
    <t>='C:\Users\jaime.benazar\Quorum Business Solutions\Ecopetrol Prometeo - Documents\Planning Space Implementation\3. Analysis &amp; Design\Design\FC22\DRR Jaime\QUIFA-CAJÚA\Cajua\[CAJUA_CF_SEC_New_27-Feb-2024Rev3.xlsx]D-PND'!$BZ$41</t>
  </si>
  <si>
    <t>='C:\Users\jaime.benazar\Quorum Business Solutions\Ecopetrol Prometeo - Documents\Planning Space Implementation\3. Analysis &amp; Design\Design\FC22\DRR Jaime\QUIFA-CAJÚA\Cajua\[CAJUA_CF_SEC_New_27-Feb-2024Rev3.xlsx]D-PND'!$BZ$42</t>
  </si>
  <si>
    <t>='C:\Users\jaime.benazar\Quorum Business Solutions\Ecopetrol Prometeo - Documents\Planning Space Implementation\3. Analysis &amp; Design\Design\FC22\DRR Jaime\QUIFA-CAJÚA\Cajua\[CAJUA_CF_SEC_New_27-Feb-2024Rev3.xlsx]D-PND'!$BZ$43</t>
  </si>
  <si>
    <t>='C:\Users\jaime.benazar\Quorum Business Solutions\Ecopetrol Prometeo - Documents\Planning Space Implementation\3. Analysis &amp; Design\Design\FC22\DRR Jaime\QUIFA-CAJÚA\Cajua\[CAJUA_CF_SEC_New_27-Feb-2024Rev3.xlsx]D-PND'!$BZ$44</t>
  </si>
  <si>
    <t>='C:\Users\jaime.benazar\Quorum Business Solutions\Ecopetrol Prometeo - Documents\Planning Space Implementation\3. Analysis &amp; Design\Design\FC22\DRR Jaime\QUIFA-CAJÚA\Cajua\[CAJUA_CF_SEC_New_27-Feb-2024Rev3.xlsx]D-PND'!$BZ$45</t>
  </si>
  <si>
    <t>='C:\Users\jaime.benazar\Quorum Business Solutions\Ecopetrol Prometeo - Documents\Planning Space Implementation\3. Analysis &amp; Design\Design\FC22\DRR Jaime\QUIFA-CAJÚA\Cajua\[CAJUA_CF_SEC_New_27-Feb-2024Rev3.xlsx]D-PND'!$BZ$46</t>
  </si>
  <si>
    <t>='C:\Users\jaime.benazar\Quorum Business Solutions\Ecopetrol Prometeo - Documents\Planning Space Implementation\3. Analysis &amp; Design\Design\FC22\DRR Jaime\QUIFA-CAJÚA\Cajua\[CAJUA_CF_SEC_New_27-Feb-2024Rev3.xlsx]D-PND'!$BZ$47</t>
  </si>
  <si>
    <t>='C:\Users\jaime.benazar\Quorum Business Solutions\Ecopetrol Prometeo - Documents\Planning Space Implementation\3. Analysis &amp; Design\Design\FC22\DRR Jaime\QUIFA-CAJÚA\Cajua\[CAJUA_CF_SEC_New_27-Feb-2024Rev3.xlsx]D-PND'!$BZ$48</t>
  </si>
  <si>
    <t>='C:\Users\jaime.benazar\Quorum Business Solutions\Ecopetrol Prometeo - Documents\Planning Space Implementation\3. Analysis &amp; Design\Design\FC22\DRR Jaime\QUIFA-CAJÚA\Cajua\[CAJUA_CF_SEC_New_27-Feb-2024Rev3.xlsx]D-PRB'!$BZ$12</t>
  </si>
  <si>
    <t>='C:\Users\jaime.benazar\Quorum Business Solutions\Ecopetrol Prometeo - Documents\Planning Space Implementation\3. Analysis &amp; Design\Design\FC22\DRR Jaime\QUIFA-CAJÚA\Cajua\[CAJUA_CF_SEC_New_27-Feb-2024Rev3.xlsx]D-PRB'!$BZ$13</t>
  </si>
  <si>
    <t>='C:\Users\jaime.benazar\Quorum Business Solutions\Ecopetrol Prometeo - Documents\Planning Space Implementation\3. Analysis &amp; Design\Design\FC22\DRR Jaime\QUIFA-CAJÚA\Cajua\[CAJUA_CF_SEC_New_27-Feb-2024Rev3.xlsx]D-PRB'!$BZ$14</t>
  </si>
  <si>
    <t>='C:\Users\jaime.benazar\Quorum Business Solutions\Ecopetrol Prometeo - Documents\Planning Space Implementation\3. Analysis &amp; Design\Design\FC22\DRR Jaime\QUIFA-CAJÚA\Cajua\[CAJUA_CF_SEC_New_27-Feb-2024Rev3.xlsx]D-PRB'!$BZ$15</t>
  </si>
  <si>
    <t>='C:\Users\jaime.benazar\Quorum Business Solutions\Ecopetrol Prometeo - Documents\Planning Space Implementation\3. Analysis &amp; Design\Design\FC22\DRR Jaime\QUIFA-CAJÚA\Cajua\[CAJUA_CF_SEC_New_27-Feb-2024Rev3.xlsx]D-PRB'!$BZ$16</t>
  </si>
  <si>
    <t>='C:\Users\jaime.benazar\Quorum Business Solutions\Ecopetrol Prometeo - Documents\Planning Space Implementation\3. Analysis &amp; Design\Design\FC22\DRR Jaime\QUIFA-CAJÚA\Cajua\[CAJUA_CF_SEC_New_27-Feb-2024Rev3.xlsx]D-PRB'!$BZ$17</t>
  </si>
  <si>
    <t>='C:\Users\jaime.benazar\Quorum Business Solutions\Ecopetrol Prometeo - Documents\Planning Space Implementation\3. Analysis &amp; Design\Design\FC22\DRR Jaime\QUIFA-CAJÚA\Cajua\[CAJUA_CF_SEC_New_27-Feb-2024Rev3.xlsx]D-PRB'!$BZ$18</t>
  </si>
  <si>
    <t>='C:\Users\jaime.benazar\Quorum Business Solutions\Ecopetrol Prometeo - Documents\Planning Space Implementation\3. Analysis &amp; Design\Design\FC22\DRR Jaime\QUIFA-CAJÚA\Cajua\[CAJUA_CF_SEC_New_27-Feb-2024Rev3.xlsx]D-PRB'!$BZ$19</t>
  </si>
  <si>
    <t>='C:\Users\jaime.benazar\Quorum Business Solutions\Ecopetrol Prometeo - Documents\Planning Space Implementation\3. Analysis &amp; Design\Design\FC22\DRR Jaime\QUIFA-CAJÚA\Cajua\[CAJUA_CF_SEC_New_27-Feb-2024Rev3.xlsx]D-PRB'!$BZ$20</t>
  </si>
  <si>
    <t>='C:\Users\jaime.benazar\Quorum Business Solutions\Ecopetrol Prometeo - Documents\Planning Space Implementation\3. Analysis &amp; Design\Design\FC22\DRR Jaime\QUIFA-CAJÚA\Cajua\[CAJUA_CF_SEC_New_27-Feb-2024Rev3.xlsx]D-PRB'!$BZ$21</t>
  </si>
  <si>
    <t>='C:\Users\jaime.benazar\Quorum Business Solutions\Ecopetrol Prometeo - Documents\Planning Space Implementation\3. Analysis &amp; Design\Design\FC22\DRR Jaime\QUIFA-CAJÚA\Cajua\[CAJUA_CF_SEC_New_27-Feb-2024Rev3.xlsx]D-PRB'!$BZ$22</t>
  </si>
  <si>
    <t>='C:\Users\jaime.benazar\Quorum Business Solutions\Ecopetrol Prometeo - Documents\Planning Space Implementation\3. Analysis &amp; Design\Design\FC22\DRR Jaime\QUIFA-CAJÚA\Cajua\[CAJUA_CF_SEC_New_27-Feb-2024Rev3.xlsx]D-PRB'!$BZ$23</t>
  </si>
  <si>
    <t>='C:\Users\jaime.benazar\Quorum Business Solutions\Ecopetrol Prometeo - Documents\Planning Space Implementation\3. Analysis &amp; Design\Design\FC22\DRR Jaime\QUIFA-CAJÚA\Cajua\[CAJUA_CF_SEC_New_27-Feb-2024Rev3.xlsx]D-PRB'!$BZ$24</t>
  </si>
  <si>
    <t>='C:\Users\jaime.benazar\Quorum Business Solutions\Ecopetrol Prometeo - Documents\Planning Space Implementation\3. Analysis &amp; Design\Design\FC22\DRR Jaime\QUIFA-CAJÚA\Cajua\[CAJUA_CF_SEC_New_27-Feb-2024Rev3.xlsx]D-PRB'!$BZ$25</t>
  </si>
  <si>
    <t>='C:\Users\jaime.benazar\Quorum Business Solutions\Ecopetrol Prometeo - Documents\Planning Space Implementation\3. Analysis &amp; Design\Design\FC22\DRR Jaime\QUIFA-CAJÚA\Cajua\[CAJUA_CF_SEC_New_27-Feb-2024Rev3.xlsx]D-PRB'!$BZ$26</t>
  </si>
  <si>
    <t>='C:\Users\jaime.benazar\Quorum Business Solutions\Ecopetrol Prometeo - Documents\Planning Space Implementation\3. Analysis &amp; Design\Design\FC22\DRR Jaime\QUIFA-CAJÚA\Cajua\[CAJUA_CF_SEC_New_27-Feb-2024Rev3.xlsx]D-PRB'!$BZ$27</t>
  </si>
  <si>
    <t>='C:\Users\jaime.benazar\Quorum Business Solutions\Ecopetrol Prometeo - Documents\Planning Space Implementation\3. Analysis &amp; Design\Design\FC22\DRR Jaime\QUIFA-CAJÚA\Cajua\[CAJUA_CF_SEC_New_27-Feb-2024Rev3.xlsx]D-PRB'!$BZ$28</t>
  </si>
  <si>
    <t>='C:\Users\jaime.benazar\Quorum Business Solutions\Ecopetrol Prometeo - Documents\Planning Space Implementation\3. Analysis &amp; Design\Design\FC22\DRR Jaime\QUIFA-CAJÚA\Cajua\[CAJUA_CF_SEC_New_27-Feb-2024Rev3.xlsx]D-PRB'!$BZ$29</t>
  </si>
  <si>
    <t>='C:\Users\jaime.benazar\Quorum Business Solutions\Ecopetrol Prometeo - Documents\Planning Space Implementation\3. Analysis &amp; Design\Design\FC22\DRR Jaime\QUIFA-CAJÚA\Cajua\[CAJUA_CF_SEC_New_27-Feb-2024Rev3.xlsx]D-PRB'!$BZ$30</t>
  </si>
  <si>
    <t>='C:\Users\jaime.benazar\Quorum Business Solutions\Ecopetrol Prometeo - Documents\Planning Space Implementation\3. Analysis &amp; Design\Design\FC22\DRR Jaime\QUIFA-CAJÚA\Cajua\[CAJUA_CF_SEC_New_27-Feb-2024Rev3.xlsx]D-PRB'!$BZ$31</t>
  </si>
  <si>
    <t>='C:\Users\jaime.benazar\Quorum Business Solutions\Ecopetrol Prometeo - Documents\Planning Space Implementation\3. Analysis &amp; Design\Design\FC22\DRR Jaime\QUIFA-CAJÚA\Cajua\[CAJUA_CF_SEC_New_27-Feb-2024Rev3.xlsx]D-PRB'!$BZ$32</t>
  </si>
  <si>
    <t>='C:\Users\jaime.benazar\Quorum Business Solutions\Ecopetrol Prometeo - Documents\Planning Space Implementation\3. Analysis &amp; Design\Design\FC22\DRR Jaime\QUIFA-CAJÚA\Cajua\[CAJUA_CF_SEC_New_27-Feb-2024Rev3.xlsx]D-PRB'!$BZ$33</t>
  </si>
  <si>
    <t>='C:\Users\jaime.benazar\Quorum Business Solutions\Ecopetrol Prometeo - Documents\Planning Space Implementation\3. Analysis &amp; Design\Design\FC22\DRR Jaime\QUIFA-CAJÚA\Cajua\[CAJUA_CF_SEC_New_27-Feb-2024Rev3.xlsx]D-PRB'!$BZ$34</t>
  </si>
  <si>
    <t>='C:\Users\jaime.benazar\Quorum Business Solutions\Ecopetrol Prometeo - Documents\Planning Space Implementation\3. Analysis &amp; Design\Design\FC22\DRR Jaime\QUIFA-CAJÚA\Cajua\[CAJUA_CF_SEC_New_27-Feb-2024Rev3.xlsx]D-PRB'!$BZ$35</t>
  </si>
  <si>
    <t>='C:\Users\jaime.benazar\Quorum Business Solutions\Ecopetrol Prometeo - Documents\Planning Space Implementation\3. Analysis &amp; Design\Design\FC22\DRR Jaime\QUIFA-CAJÚA\Cajua\[CAJUA_CF_SEC_New_27-Feb-2024Rev3.xlsx]D-PRB'!$BZ$36</t>
  </si>
  <si>
    <t>='C:\Users\jaime.benazar\Quorum Business Solutions\Ecopetrol Prometeo - Documents\Planning Space Implementation\3. Analysis &amp; Design\Design\FC22\DRR Jaime\QUIFA-CAJÚA\Cajua\[CAJUA_CF_SEC_New_27-Feb-2024Rev3.xlsx]D-PRB'!$BZ$37</t>
  </si>
  <si>
    <t>='C:\Users\jaime.benazar\Quorum Business Solutions\Ecopetrol Prometeo - Documents\Planning Space Implementation\3. Analysis &amp; Design\Design\FC22\DRR Jaime\QUIFA-CAJÚA\Cajua\[CAJUA_CF_SEC_New_27-Feb-2024Rev3.xlsx]D-PRB'!$BZ$38</t>
  </si>
  <si>
    <t>='C:\Users\jaime.benazar\Quorum Business Solutions\Ecopetrol Prometeo - Documents\Planning Space Implementation\3. Analysis &amp; Design\Design\FC22\DRR Jaime\QUIFA-CAJÚA\Cajua\[CAJUA_CF_SEC_New_27-Feb-2024Rev3.xlsx]D-PRB'!$BZ$39</t>
  </si>
  <si>
    <t>='C:\Users\jaime.benazar\Quorum Business Solutions\Ecopetrol Prometeo - Documents\Planning Space Implementation\3. Analysis &amp; Design\Design\FC22\DRR Jaime\QUIFA-CAJÚA\Cajua\[CAJUA_CF_SEC_New_27-Feb-2024Rev3.xlsx]D-PRB'!$BZ$40</t>
  </si>
  <si>
    <t>='C:\Users\jaime.benazar\Quorum Business Solutions\Ecopetrol Prometeo - Documents\Planning Space Implementation\3. Analysis &amp; Design\Design\FC22\DRR Jaime\QUIFA-CAJÚA\Cajua\[CAJUA_CF_SEC_New_27-Feb-2024Rev3.xlsx]D-PRB'!$BZ$41</t>
  </si>
  <si>
    <t>='C:\Users\jaime.benazar\Quorum Business Solutions\Ecopetrol Prometeo - Documents\Planning Space Implementation\3. Analysis &amp; Design\Design\FC22\DRR Jaime\QUIFA-CAJÚA\Cajua\[CAJUA_CF_SEC_New_27-Feb-2024Rev3.xlsx]D-PRB'!$BZ$42</t>
  </si>
  <si>
    <t>='C:\Users\jaime.benazar\Quorum Business Solutions\Ecopetrol Prometeo - Documents\Planning Space Implementation\3. Analysis &amp; Design\Design\FC22\DRR Jaime\QUIFA-CAJÚA\Cajua\[CAJUA_CF_SEC_New_27-Feb-2024Rev3.xlsx]D-PRB'!$BZ$43</t>
  </si>
  <si>
    <t>='C:\Users\jaime.benazar\Quorum Business Solutions\Ecopetrol Prometeo - Documents\Planning Space Implementation\3. Analysis &amp; Design\Design\FC22\DRR Jaime\QUIFA-CAJÚA\Cajua\[CAJUA_CF_SEC_New_27-Feb-2024Rev3.xlsx]D-PRB'!$BZ$44</t>
  </si>
  <si>
    <t>='C:\Users\jaime.benazar\Quorum Business Solutions\Ecopetrol Prometeo - Documents\Planning Space Implementation\3. Analysis &amp; Design\Design\FC22\DRR Jaime\QUIFA-CAJÚA\Cajua\[CAJUA_CF_SEC_New_27-Feb-2024Rev3.xlsx]D-PRB'!$BZ$45</t>
  </si>
  <si>
    <t>='C:\Users\jaime.benazar\Quorum Business Solutions\Ecopetrol Prometeo - Documents\Planning Space Implementation\3. Analysis &amp; Design\Design\FC22\DRR Jaime\QUIFA-CAJÚA\Cajua\[CAJUA_CF_SEC_New_27-Feb-2024Rev3.xlsx]D-PRB'!$BZ$46</t>
  </si>
  <si>
    <t>='C:\Users\jaime.benazar\Quorum Business Solutions\Ecopetrol Prometeo - Documents\Planning Space Implementation\3. Analysis &amp; Design\Design\FC22\DRR Jaime\QUIFA-CAJÚA\Cajua\[CAJUA_CF_SEC_New_27-Feb-2024Rev3.xlsx]D-PRB'!$BZ$47</t>
  </si>
  <si>
    <t>='C:\Users\jaime.benazar\Quorum Business Solutions\Ecopetrol Prometeo - Documents\Planning Space Implementation\3. Analysis &amp; Design\Design\FC22\DRR Jaime\QUIFA-CAJÚA\Cajua\[CAJUA_CF_SEC_New_27-Feb-2024Rev3.xlsx]D-PRB'!$BZ$48</t>
  </si>
  <si>
    <t>='C:\Users\jaime.benazar\Quorum Business Solutions\Ecopetrol Prometeo - Documents\Planning Space Implementation\3. Analysis &amp; Design\Design\FC22\DRR Jaime\QUIFA-CAJÚA\Cajua\[CAJUA_CF_SEC_New_27-Feb-2024Rev3.xlsx]D-PS'!$BZ$12</t>
  </si>
  <si>
    <t>='C:\Users\jaime.benazar\Quorum Business Solutions\Ecopetrol Prometeo - Documents\Planning Space Implementation\3. Analysis &amp; Design\Design\FC22\DRR Jaime\QUIFA-CAJÚA\Cajua\[CAJUA_CF_SEC_New_27-Feb-2024Rev3.xlsx]D-PS'!$BZ$13</t>
  </si>
  <si>
    <t>='C:\Users\jaime.benazar\Quorum Business Solutions\Ecopetrol Prometeo - Documents\Planning Space Implementation\3. Analysis &amp; Design\Design\FC22\DRR Jaime\QUIFA-CAJÚA\Cajua\[CAJUA_CF_SEC_New_27-Feb-2024Rev3.xlsx]D-PS'!$BZ$14</t>
  </si>
  <si>
    <t>='C:\Users\jaime.benazar\Quorum Business Solutions\Ecopetrol Prometeo - Documents\Planning Space Implementation\3. Analysis &amp; Design\Design\FC22\DRR Jaime\QUIFA-CAJÚA\Cajua\[CAJUA_CF_SEC_New_27-Feb-2024Rev3.xlsx]D-PS'!$BZ$15</t>
  </si>
  <si>
    <t>='C:\Users\jaime.benazar\Quorum Business Solutions\Ecopetrol Prometeo - Documents\Planning Space Implementation\3. Analysis &amp; Design\Design\FC22\DRR Jaime\QUIFA-CAJÚA\Cajua\[CAJUA_CF_SEC_New_27-Feb-2024Rev3.xlsx]D-PS'!$BZ$16</t>
  </si>
  <si>
    <t>='C:\Users\jaime.benazar\Quorum Business Solutions\Ecopetrol Prometeo - Documents\Planning Space Implementation\3. Analysis &amp; Design\Design\FC22\DRR Jaime\QUIFA-CAJÚA\Cajua\[CAJUA_CF_SEC_New_27-Feb-2024Rev3.xlsx]D-PS'!$BZ$17</t>
  </si>
  <si>
    <t>='C:\Users\jaime.benazar\Quorum Business Solutions\Ecopetrol Prometeo - Documents\Planning Space Implementation\3. Analysis &amp; Design\Design\FC22\DRR Jaime\QUIFA-CAJÚA\Cajua\[CAJUA_CF_SEC_New_27-Feb-2024Rev3.xlsx]D-PS'!$BZ$18</t>
  </si>
  <si>
    <t>='C:\Users\jaime.benazar\Quorum Business Solutions\Ecopetrol Prometeo - Documents\Planning Space Implementation\3. Analysis &amp; Design\Design\FC22\DRR Jaime\QUIFA-CAJÚA\Cajua\[CAJUA_CF_SEC_New_27-Feb-2024Rev3.xlsx]D-PS'!$BZ$19</t>
  </si>
  <si>
    <t>='C:\Users\jaime.benazar\Quorum Business Solutions\Ecopetrol Prometeo - Documents\Planning Space Implementation\3. Analysis &amp; Design\Design\FC22\DRR Jaime\QUIFA-CAJÚA\Cajua\[CAJUA_CF_SEC_New_27-Feb-2024Rev3.xlsx]D-PS'!$BZ$20</t>
  </si>
  <si>
    <t>='C:\Users\jaime.benazar\Quorum Business Solutions\Ecopetrol Prometeo - Documents\Planning Space Implementation\3. Analysis &amp; Design\Design\FC22\DRR Jaime\QUIFA-CAJÚA\Cajua\[CAJUA_CF_SEC_New_27-Feb-2024Rev3.xlsx]D-PS'!$BZ$21</t>
  </si>
  <si>
    <t>='C:\Users\jaime.benazar\Quorum Business Solutions\Ecopetrol Prometeo - Documents\Planning Space Implementation\3. Analysis &amp; Design\Design\FC22\DRR Jaime\QUIFA-CAJÚA\Cajua\[CAJUA_CF_SEC_New_27-Feb-2024Rev3.xlsx]D-PS'!$BZ$22</t>
  </si>
  <si>
    <t>='C:\Users\jaime.benazar\Quorum Business Solutions\Ecopetrol Prometeo - Documents\Planning Space Implementation\3. Analysis &amp; Design\Design\FC22\DRR Jaime\QUIFA-CAJÚA\Cajua\[CAJUA_CF_SEC_New_27-Feb-2024Rev3.xlsx]D-PS'!$BZ$23</t>
  </si>
  <si>
    <t>='C:\Users\jaime.benazar\Quorum Business Solutions\Ecopetrol Prometeo - Documents\Planning Space Implementation\3. Analysis &amp; Design\Design\FC22\DRR Jaime\QUIFA-CAJÚA\Cajua\[CAJUA_CF_SEC_New_27-Feb-2024Rev3.xlsx]D-PS'!$BZ$24</t>
  </si>
  <si>
    <t>='C:\Users\jaime.benazar\Quorum Business Solutions\Ecopetrol Prometeo - Documents\Planning Space Implementation\3. Analysis &amp; Design\Design\FC22\DRR Jaime\QUIFA-CAJÚA\Cajua\[CAJUA_CF_SEC_New_27-Feb-2024Rev3.xlsx]D-PS'!$BZ$25</t>
  </si>
  <si>
    <t>='C:\Users\jaime.benazar\Quorum Business Solutions\Ecopetrol Prometeo - Documents\Planning Space Implementation\3. Analysis &amp; Design\Design\FC22\DRR Jaime\QUIFA-CAJÚA\Cajua\[CAJUA_CF_SEC_New_27-Feb-2024Rev3.xlsx]D-PS'!$BZ$26</t>
  </si>
  <si>
    <t>='C:\Users\jaime.benazar\Quorum Business Solutions\Ecopetrol Prometeo - Documents\Planning Space Implementation\3. Analysis &amp; Design\Design\FC22\DRR Jaime\QUIFA-CAJÚA\Cajua\[CAJUA_CF_SEC_New_27-Feb-2024Rev3.xlsx]D-PS'!$BZ$27</t>
  </si>
  <si>
    <t>='C:\Users\jaime.benazar\Quorum Business Solutions\Ecopetrol Prometeo - Documents\Planning Space Implementation\3. Analysis &amp; Design\Design\FC22\DRR Jaime\QUIFA-CAJÚA\Cajua\[CAJUA_CF_SEC_New_27-Feb-2024Rev3.xlsx]D-PS'!$BZ$28</t>
  </si>
  <si>
    <t>='C:\Users\jaime.benazar\Quorum Business Solutions\Ecopetrol Prometeo - Documents\Planning Space Implementation\3. Analysis &amp; Design\Design\FC22\DRR Jaime\QUIFA-CAJÚA\Cajua\[CAJUA_CF_SEC_New_27-Feb-2024Rev3.xlsx]D-PS'!$BZ$29</t>
  </si>
  <si>
    <t>='C:\Users\jaime.benazar\Quorum Business Solutions\Ecopetrol Prometeo - Documents\Planning Space Implementation\3. Analysis &amp; Design\Design\FC22\DRR Jaime\QUIFA-CAJÚA\Cajua\[CAJUA_CF_SEC_New_27-Feb-2024Rev3.xlsx]D-PS'!$BZ$30</t>
  </si>
  <si>
    <t>='C:\Users\jaime.benazar\Quorum Business Solutions\Ecopetrol Prometeo - Documents\Planning Space Implementation\3. Analysis &amp; Design\Design\FC22\DRR Jaime\QUIFA-CAJÚA\Cajua\[CAJUA_CF_SEC_New_27-Feb-2024Rev3.xlsx]D-PS'!$BZ$31</t>
  </si>
  <si>
    <t>='C:\Users\jaime.benazar\Quorum Business Solutions\Ecopetrol Prometeo - Documents\Planning Space Implementation\3. Analysis &amp; Design\Design\FC22\DRR Jaime\QUIFA-CAJÚA\Cajua\[CAJUA_CF_SEC_New_27-Feb-2024Rev3.xlsx]D-PS'!$BZ$32</t>
  </si>
  <si>
    <t>='C:\Users\jaime.benazar\Quorum Business Solutions\Ecopetrol Prometeo - Documents\Planning Space Implementation\3. Analysis &amp; Design\Design\FC22\DRR Jaime\QUIFA-CAJÚA\Cajua\[CAJUA_CF_SEC_New_27-Feb-2024Rev3.xlsx]D-PS'!$BZ$33</t>
  </si>
  <si>
    <t>='C:\Users\jaime.benazar\Quorum Business Solutions\Ecopetrol Prometeo - Documents\Planning Space Implementation\3. Analysis &amp; Design\Design\FC22\DRR Jaime\QUIFA-CAJÚA\Cajua\[CAJUA_CF_SEC_New_27-Feb-2024Rev3.xlsx]D-PS'!$BZ$34</t>
  </si>
  <si>
    <t>='C:\Users\jaime.benazar\Quorum Business Solutions\Ecopetrol Prometeo - Documents\Planning Space Implementation\3. Analysis &amp; Design\Design\FC22\DRR Jaime\QUIFA-CAJÚA\Cajua\[CAJUA_CF_SEC_New_27-Feb-2024Rev3.xlsx]D-PS'!$BZ$35</t>
  </si>
  <si>
    <t>='C:\Users\jaime.benazar\Quorum Business Solutions\Ecopetrol Prometeo - Documents\Planning Space Implementation\3. Analysis &amp; Design\Design\FC22\DRR Jaime\QUIFA-CAJÚA\Cajua\[CAJUA_CF_SEC_New_27-Feb-2024Rev3.xlsx]D-PS'!$BZ$36</t>
  </si>
  <si>
    <t>='C:\Users\jaime.benazar\Quorum Business Solutions\Ecopetrol Prometeo - Documents\Planning Space Implementation\3. Analysis &amp; Design\Design\FC22\DRR Jaime\QUIFA-CAJÚA\Cajua\[CAJUA_CF_SEC_New_27-Feb-2024Rev3.xlsx]D-PS'!$BZ$37</t>
  </si>
  <si>
    <t>='C:\Users\jaime.benazar\Quorum Business Solutions\Ecopetrol Prometeo - Documents\Planning Space Implementation\3. Analysis &amp; Design\Design\FC22\DRR Jaime\QUIFA-CAJÚA\Cajua\[CAJUA_CF_SEC_New_27-Feb-2024Rev3.xlsx]D-PS'!$BZ$38</t>
  </si>
  <si>
    <t>='C:\Users\jaime.benazar\Quorum Business Solutions\Ecopetrol Prometeo - Documents\Planning Space Implementation\3. Analysis &amp; Design\Design\FC22\DRR Jaime\QUIFA-CAJÚA\Cajua\[CAJUA_CF_SEC_New_27-Feb-2024Rev3.xlsx]D-PS'!$BZ$39</t>
  </si>
  <si>
    <t>='C:\Users\jaime.benazar\Quorum Business Solutions\Ecopetrol Prometeo - Documents\Planning Space Implementation\3. Analysis &amp; Design\Design\FC22\DRR Jaime\QUIFA-CAJÚA\Cajua\[CAJUA_CF_SEC_New_27-Feb-2024Rev3.xlsx]D-PS'!$BZ$40</t>
  </si>
  <si>
    <t>='C:\Users\jaime.benazar\Quorum Business Solutions\Ecopetrol Prometeo - Documents\Planning Space Implementation\3. Analysis &amp; Design\Design\FC22\DRR Jaime\QUIFA-CAJÚA\Cajua\[CAJUA_CF_SEC_New_27-Feb-2024Rev3.xlsx]D-PS'!$BZ$41</t>
  </si>
  <si>
    <t>='C:\Users\jaime.benazar\Quorum Business Solutions\Ecopetrol Prometeo - Documents\Planning Space Implementation\3. Analysis &amp; Design\Design\FC22\DRR Jaime\QUIFA-CAJÚA\Cajua\[CAJUA_CF_SEC_New_27-Feb-2024Rev3.xlsx]D-PS'!$BZ$42</t>
  </si>
  <si>
    <t>='C:\Users\jaime.benazar\Quorum Business Solutions\Ecopetrol Prometeo - Documents\Planning Space Implementation\3. Analysis &amp; Design\Design\FC22\DRR Jaime\QUIFA-CAJÚA\Cajua\[CAJUA_CF_SEC_New_27-Feb-2024Rev3.xlsx]D-PS'!$BZ$43</t>
  </si>
  <si>
    <t>='C:\Users\jaime.benazar\Quorum Business Solutions\Ecopetrol Prometeo - Documents\Planning Space Implementation\3. Analysis &amp; Design\Design\FC22\DRR Jaime\QUIFA-CAJÚA\Cajua\[CAJUA_CF_SEC_New_27-Feb-2024Rev3.xlsx]D-PS'!$BZ$44</t>
  </si>
  <si>
    <t>='C:\Users\jaime.benazar\Quorum Business Solutions\Ecopetrol Prometeo - Documents\Planning Space Implementation\3. Analysis &amp; Design\Design\FC22\DRR Jaime\QUIFA-CAJÚA\Cajua\[CAJUA_CF_SEC_New_27-Feb-2024Rev3.xlsx]D-PS'!$BZ$45</t>
  </si>
  <si>
    <t>='C:\Users\jaime.benazar\Quorum Business Solutions\Ecopetrol Prometeo - Documents\Planning Space Implementation\3. Analysis &amp; Design\Design\FC22\DRR Jaime\QUIFA-CAJÚA\Cajua\[CAJUA_CF_SEC_New_27-Feb-2024Rev3.xlsx]D-PS'!$BZ$46</t>
  </si>
  <si>
    <t>='C:\Users\jaime.benazar\Quorum Business Solutions\Ecopetrol Prometeo - Documents\Planning Space Implementation\3. Analysis &amp; Design\Design\FC22\DRR Jaime\QUIFA-CAJÚA\Cajua\[CAJUA_CF_SEC_New_27-Feb-2024Rev3.xlsx]D-PS'!$BZ$47</t>
  </si>
  <si>
    <t>='C:\Users\jaime.benazar\Quorum Business Solutions\Ecopetrol Prometeo - Documents\Planning Space Implementation\3. Analysis &amp; Design\Design\FC22\DRR Jaime\QUIFA-CAJÚA\Cajua\[CAJUA_CF_SEC_New_27-Feb-2024Rev3.xlsx]D-PS'!$BZ$48</t>
  </si>
  <si>
    <t>='C:\Users\jaime.benazar\Quorum Business Solutions\Ecopetrol Prometeo - Documents\Planning Space Implementation\3. Analysis &amp; Design\Design\FC22\DRR Jaime\QUIFA-CAJÚA\Cajua\[CAJUA_CF_SEC_New_27-Feb-2024Rev3.xlsx]D-PDP'!$CA$12</t>
  </si>
  <si>
    <t>='C:\Users\jaime.benazar\Quorum Business Solutions\Ecopetrol Prometeo - Documents\Planning Space Implementation\3. Analysis &amp; Design\Design\FC22\DRR Jaime\QUIFA-CAJÚA\Cajua\[CAJUA_CF_SEC_New_27-Feb-2024Rev3.xlsx]D-PDP'!$CA$13</t>
  </si>
  <si>
    <t>='C:\Users\jaime.benazar\Quorum Business Solutions\Ecopetrol Prometeo - Documents\Planning Space Implementation\3. Analysis &amp; Design\Design\FC22\DRR Jaime\QUIFA-CAJÚA\Cajua\[CAJUA_CF_SEC_New_27-Feb-2024Rev3.xlsx]D-PDP'!$CA$14</t>
  </si>
  <si>
    <t>='C:\Users\jaime.benazar\Quorum Business Solutions\Ecopetrol Prometeo - Documents\Planning Space Implementation\3. Analysis &amp; Design\Design\FC22\DRR Jaime\QUIFA-CAJÚA\Cajua\[CAJUA_CF_SEC_New_27-Feb-2024Rev3.xlsx]D-PDP'!$CA$15</t>
  </si>
  <si>
    <t>='C:\Users\jaime.benazar\Quorum Business Solutions\Ecopetrol Prometeo - Documents\Planning Space Implementation\3. Analysis &amp; Design\Design\FC22\DRR Jaime\QUIFA-CAJÚA\Cajua\[CAJUA_CF_SEC_New_27-Feb-2024Rev3.xlsx]D-PDP'!$CA$16</t>
  </si>
  <si>
    <t>='C:\Users\jaime.benazar\Quorum Business Solutions\Ecopetrol Prometeo - Documents\Planning Space Implementation\3. Analysis &amp; Design\Design\FC22\DRR Jaime\QUIFA-CAJÚA\Cajua\[CAJUA_CF_SEC_New_27-Feb-2024Rev3.xlsx]D-PDP'!$CA$17</t>
  </si>
  <si>
    <t>='C:\Users\jaime.benazar\Quorum Business Solutions\Ecopetrol Prometeo - Documents\Planning Space Implementation\3. Analysis &amp; Design\Design\FC22\DRR Jaime\QUIFA-CAJÚA\Cajua\[CAJUA_CF_SEC_New_27-Feb-2024Rev3.xlsx]D-PDP'!$CA$18</t>
  </si>
  <si>
    <t>='C:\Users\jaime.benazar\Quorum Business Solutions\Ecopetrol Prometeo - Documents\Planning Space Implementation\3. Analysis &amp; Design\Design\FC22\DRR Jaime\QUIFA-CAJÚA\Cajua\[CAJUA_CF_SEC_New_27-Feb-2024Rev3.xlsx]D-PDP'!$CA$19</t>
  </si>
  <si>
    <t>='C:\Users\jaime.benazar\Quorum Business Solutions\Ecopetrol Prometeo - Documents\Planning Space Implementation\3. Analysis &amp; Design\Design\FC22\DRR Jaime\QUIFA-CAJÚA\Cajua\[CAJUA_CF_SEC_New_27-Feb-2024Rev3.xlsx]D-PDP'!$CA$20</t>
  </si>
  <si>
    <t>='C:\Users\jaime.benazar\Quorum Business Solutions\Ecopetrol Prometeo - Documents\Planning Space Implementation\3. Analysis &amp; Design\Design\FC22\DRR Jaime\QUIFA-CAJÚA\Cajua\[CAJUA_CF_SEC_New_27-Feb-2024Rev3.xlsx]D-PDP'!$CA$21</t>
  </si>
  <si>
    <t>='C:\Users\jaime.benazar\Quorum Business Solutions\Ecopetrol Prometeo - Documents\Planning Space Implementation\3. Analysis &amp; Design\Design\FC22\DRR Jaime\QUIFA-CAJÚA\Cajua\[CAJUA_CF_SEC_New_27-Feb-2024Rev3.xlsx]D-PDP'!$CA$22</t>
  </si>
  <si>
    <t>='C:\Users\jaime.benazar\Quorum Business Solutions\Ecopetrol Prometeo - Documents\Planning Space Implementation\3. Analysis &amp; Design\Design\FC22\DRR Jaime\QUIFA-CAJÚA\Cajua\[CAJUA_CF_SEC_New_27-Feb-2024Rev3.xlsx]D-PDP'!$CA$23</t>
  </si>
  <si>
    <t>='C:\Users\jaime.benazar\Quorum Business Solutions\Ecopetrol Prometeo - Documents\Planning Space Implementation\3. Analysis &amp; Design\Design\FC22\DRR Jaime\QUIFA-CAJÚA\Cajua\[CAJUA_CF_SEC_New_27-Feb-2024Rev3.xlsx]D-PDP'!$CA$24</t>
  </si>
  <si>
    <t>='C:\Users\jaime.benazar\Quorum Business Solutions\Ecopetrol Prometeo - Documents\Planning Space Implementation\3. Analysis &amp; Design\Design\FC22\DRR Jaime\QUIFA-CAJÚA\Cajua\[CAJUA_CF_SEC_New_27-Feb-2024Rev3.xlsx]D-PDP'!$CA$25</t>
  </si>
  <si>
    <t>='C:\Users\jaime.benazar\Quorum Business Solutions\Ecopetrol Prometeo - Documents\Planning Space Implementation\3. Analysis &amp; Design\Design\FC22\DRR Jaime\QUIFA-CAJÚA\Cajua\[CAJUA_CF_SEC_New_27-Feb-2024Rev3.xlsx]D-PDP'!$CA$26</t>
  </si>
  <si>
    <t>='C:\Users\jaime.benazar\Quorum Business Solutions\Ecopetrol Prometeo - Documents\Planning Space Implementation\3. Analysis &amp; Design\Design\FC22\DRR Jaime\QUIFA-CAJÚA\Cajua\[CAJUA_CF_SEC_New_27-Feb-2024Rev3.xlsx]D-PDP'!$CA$27</t>
  </si>
  <si>
    <t>='C:\Users\jaime.benazar\Quorum Business Solutions\Ecopetrol Prometeo - Documents\Planning Space Implementation\3. Analysis &amp; Design\Design\FC22\DRR Jaime\QUIFA-CAJÚA\Cajua\[CAJUA_CF_SEC_New_27-Feb-2024Rev3.xlsx]D-PDP'!$CA$28</t>
  </si>
  <si>
    <t>='C:\Users\jaime.benazar\Quorum Business Solutions\Ecopetrol Prometeo - Documents\Planning Space Implementation\3. Analysis &amp; Design\Design\FC22\DRR Jaime\QUIFA-CAJÚA\Cajua\[CAJUA_CF_SEC_New_27-Feb-2024Rev3.xlsx]D-PDP'!$CA$29</t>
  </si>
  <si>
    <t>='C:\Users\jaime.benazar\Quorum Business Solutions\Ecopetrol Prometeo - Documents\Planning Space Implementation\3. Analysis &amp; Design\Design\FC22\DRR Jaime\QUIFA-CAJÚA\Cajua\[CAJUA_CF_SEC_New_27-Feb-2024Rev3.xlsx]D-PDP'!$CA$30</t>
  </si>
  <si>
    <t>='C:\Users\jaime.benazar\Quorum Business Solutions\Ecopetrol Prometeo - Documents\Planning Space Implementation\3. Analysis &amp; Design\Design\FC22\DRR Jaime\QUIFA-CAJÚA\Cajua\[CAJUA_CF_SEC_New_27-Feb-2024Rev3.xlsx]D-PDP'!$CA$31</t>
  </si>
  <si>
    <t>='C:\Users\jaime.benazar\Quorum Business Solutions\Ecopetrol Prometeo - Documents\Planning Space Implementation\3. Analysis &amp; Design\Design\FC22\DRR Jaime\QUIFA-CAJÚA\Cajua\[CAJUA_CF_SEC_New_27-Feb-2024Rev3.xlsx]D-PDP'!$CA$32</t>
  </si>
  <si>
    <t>='C:\Users\jaime.benazar\Quorum Business Solutions\Ecopetrol Prometeo - Documents\Planning Space Implementation\3. Analysis &amp; Design\Design\FC22\DRR Jaime\QUIFA-CAJÚA\Cajua\[CAJUA_CF_SEC_New_27-Feb-2024Rev3.xlsx]D-PDP'!$CA$33</t>
  </si>
  <si>
    <t>='C:\Users\jaime.benazar\Quorum Business Solutions\Ecopetrol Prometeo - Documents\Planning Space Implementation\3. Analysis &amp; Design\Design\FC22\DRR Jaime\QUIFA-CAJÚA\Cajua\[CAJUA_CF_SEC_New_27-Feb-2024Rev3.xlsx]D-PDP'!$CA$34</t>
  </si>
  <si>
    <t>='C:\Users\jaime.benazar\Quorum Business Solutions\Ecopetrol Prometeo - Documents\Planning Space Implementation\3. Analysis &amp; Design\Design\FC22\DRR Jaime\QUIFA-CAJÚA\Cajua\[CAJUA_CF_SEC_New_27-Feb-2024Rev3.xlsx]D-PDP'!$CA$35</t>
  </si>
  <si>
    <t>='C:\Users\jaime.benazar\Quorum Business Solutions\Ecopetrol Prometeo - Documents\Planning Space Implementation\3. Analysis &amp; Design\Design\FC22\DRR Jaime\QUIFA-CAJÚA\Cajua\[CAJUA_CF_SEC_New_27-Feb-2024Rev3.xlsx]D-PDP'!$CA$36</t>
  </si>
  <si>
    <t>='C:\Users\jaime.benazar\Quorum Business Solutions\Ecopetrol Prometeo - Documents\Planning Space Implementation\3. Analysis &amp; Design\Design\FC22\DRR Jaime\QUIFA-CAJÚA\Cajua\[CAJUA_CF_SEC_New_27-Feb-2024Rev3.xlsx]D-PDP'!$CA$37</t>
  </si>
  <si>
    <t>='C:\Users\jaime.benazar\Quorum Business Solutions\Ecopetrol Prometeo - Documents\Planning Space Implementation\3. Analysis &amp; Design\Design\FC22\DRR Jaime\QUIFA-CAJÚA\Cajua\[CAJUA_CF_SEC_New_27-Feb-2024Rev3.xlsx]D-PDP'!$CA$38</t>
  </si>
  <si>
    <t>='C:\Users\jaime.benazar\Quorum Business Solutions\Ecopetrol Prometeo - Documents\Planning Space Implementation\3. Analysis &amp; Design\Design\FC22\DRR Jaime\QUIFA-CAJÚA\Cajua\[CAJUA_CF_SEC_New_27-Feb-2024Rev3.xlsx]D-PDP'!$CA$39</t>
  </si>
  <si>
    <t>='C:\Users\jaime.benazar\Quorum Business Solutions\Ecopetrol Prometeo - Documents\Planning Space Implementation\3. Analysis &amp; Design\Design\FC22\DRR Jaime\QUIFA-CAJÚA\Cajua\[CAJUA_CF_SEC_New_27-Feb-2024Rev3.xlsx]D-PDP'!$CA$40</t>
  </si>
  <si>
    <t>='C:\Users\jaime.benazar\Quorum Business Solutions\Ecopetrol Prometeo - Documents\Planning Space Implementation\3. Analysis &amp; Design\Design\FC22\DRR Jaime\QUIFA-CAJÚA\Cajua\[CAJUA_CF_SEC_New_27-Feb-2024Rev3.xlsx]D-PDP'!$CA$41</t>
  </si>
  <si>
    <t>='C:\Users\jaime.benazar\Quorum Business Solutions\Ecopetrol Prometeo - Documents\Planning Space Implementation\3. Analysis &amp; Design\Design\FC22\DRR Jaime\QUIFA-CAJÚA\Cajua\[CAJUA_CF_SEC_New_27-Feb-2024Rev3.xlsx]D-PDP'!$CA$42</t>
  </si>
  <si>
    <t>='C:\Users\jaime.benazar\Quorum Business Solutions\Ecopetrol Prometeo - Documents\Planning Space Implementation\3. Analysis &amp; Design\Design\FC22\DRR Jaime\QUIFA-CAJÚA\Cajua\[CAJUA_CF_SEC_New_27-Feb-2024Rev3.xlsx]D-PDP'!$CA$43</t>
  </si>
  <si>
    <t>='C:\Users\jaime.benazar\Quorum Business Solutions\Ecopetrol Prometeo - Documents\Planning Space Implementation\3. Analysis &amp; Design\Design\FC22\DRR Jaime\QUIFA-CAJÚA\Cajua\[CAJUA_CF_SEC_New_27-Feb-2024Rev3.xlsx]D-PDP'!$CA$44</t>
  </si>
  <si>
    <t>='C:\Users\jaime.benazar\Quorum Business Solutions\Ecopetrol Prometeo - Documents\Planning Space Implementation\3. Analysis &amp; Design\Design\FC22\DRR Jaime\QUIFA-CAJÚA\Cajua\[CAJUA_CF_SEC_New_27-Feb-2024Rev3.xlsx]D-PDP'!$CA$45</t>
  </si>
  <si>
    <t>='C:\Users\jaime.benazar\Quorum Business Solutions\Ecopetrol Prometeo - Documents\Planning Space Implementation\3. Analysis &amp; Design\Design\FC22\DRR Jaime\QUIFA-CAJÚA\Cajua\[CAJUA_CF_SEC_New_27-Feb-2024Rev3.xlsx]D-PDP'!$CA$46</t>
  </si>
  <si>
    <t>='C:\Users\jaime.benazar\Quorum Business Solutions\Ecopetrol Prometeo - Documents\Planning Space Implementation\3. Analysis &amp; Design\Design\FC22\DRR Jaime\QUIFA-CAJÚA\Cajua\[CAJUA_CF_SEC_New_27-Feb-2024Rev3.xlsx]D-PDP'!$CA$47</t>
  </si>
  <si>
    <t>='C:\Users\jaime.benazar\Quorum Business Solutions\Ecopetrol Prometeo - Documents\Planning Space Implementation\3. Analysis &amp; Design\Design\FC22\DRR Jaime\QUIFA-CAJÚA\Cajua\[CAJUA_CF_SEC_New_27-Feb-2024Rev3.xlsx]D-PDP'!$CA$48</t>
  </si>
  <si>
    <t>='C:\Users\jaime.benazar\Quorum Business Solutions\Ecopetrol Prometeo - Documents\Planning Space Implementation\3. Analysis &amp; Design\Design\FC22\DRR Jaime\QUIFA-CAJÚA\Cajua\[CAJUA_CF_SEC_New_27-Feb-2024Rev3.xlsx]D-PNP'!$CA$12</t>
  </si>
  <si>
    <t>='C:\Users\jaime.benazar\Quorum Business Solutions\Ecopetrol Prometeo - Documents\Planning Space Implementation\3. Analysis &amp; Design\Design\FC22\DRR Jaime\QUIFA-CAJÚA\Cajua\[CAJUA_CF_SEC_New_27-Feb-2024Rev3.xlsx]D-PNP'!$CA$13</t>
  </si>
  <si>
    <t>='C:\Users\jaime.benazar\Quorum Business Solutions\Ecopetrol Prometeo - Documents\Planning Space Implementation\3. Analysis &amp; Design\Design\FC22\DRR Jaime\QUIFA-CAJÚA\Cajua\[CAJUA_CF_SEC_New_27-Feb-2024Rev3.xlsx]D-PNP'!$CA$14</t>
  </si>
  <si>
    <t>='C:\Users\jaime.benazar\Quorum Business Solutions\Ecopetrol Prometeo - Documents\Planning Space Implementation\3. Analysis &amp; Design\Design\FC22\DRR Jaime\QUIFA-CAJÚA\Cajua\[CAJUA_CF_SEC_New_27-Feb-2024Rev3.xlsx]D-PNP'!$CA$15</t>
  </si>
  <si>
    <t>='C:\Users\jaime.benazar\Quorum Business Solutions\Ecopetrol Prometeo - Documents\Planning Space Implementation\3. Analysis &amp; Design\Design\FC22\DRR Jaime\QUIFA-CAJÚA\Cajua\[CAJUA_CF_SEC_New_27-Feb-2024Rev3.xlsx]D-PNP'!$CA$16</t>
  </si>
  <si>
    <t>='C:\Users\jaime.benazar\Quorum Business Solutions\Ecopetrol Prometeo - Documents\Planning Space Implementation\3. Analysis &amp; Design\Design\FC22\DRR Jaime\QUIFA-CAJÚA\Cajua\[CAJUA_CF_SEC_New_27-Feb-2024Rev3.xlsx]D-PNP'!$CA$17</t>
  </si>
  <si>
    <t>='C:\Users\jaime.benazar\Quorum Business Solutions\Ecopetrol Prometeo - Documents\Planning Space Implementation\3. Analysis &amp; Design\Design\FC22\DRR Jaime\QUIFA-CAJÚA\Cajua\[CAJUA_CF_SEC_New_27-Feb-2024Rev3.xlsx]D-PNP'!$CA$18</t>
  </si>
  <si>
    <t>='C:\Users\jaime.benazar\Quorum Business Solutions\Ecopetrol Prometeo - Documents\Planning Space Implementation\3. Analysis &amp; Design\Design\FC22\DRR Jaime\QUIFA-CAJÚA\Cajua\[CAJUA_CF_SEC_New_27-Feb-2024Rev3.xlsx]D-PNP'!$CA$19</t>
  </si>
  <si>
    <t>='C:\Users\jaime.benazar\Quorum Business Solutions\Ecopetrol Prometeo - Documents\Planning Space Implementation\3. Analysis &amp; Design\Design\FC22\DRR Jaime\QUIFA-CAJÚA\Cajua\[CAJUA_CF_SEC_New_27-Feb-2024Rev3.xlsx]D-PNP'!$CA$20</t>
  </si>
  <si>
    <t>='C:\Users\jaime.benazar\Quorum Business Solutions\Ecopetrol Prometeo - Documents\Planning Space Implementation\3. Analysis &amp; Design\Design\FC22\DRR Jaime\QUIFA-CAJÚA\Cajua\[CAJUA_CF_SEC_New_27-Feb-2024Rev3.xlsx]D-PNP'!$CA$21</t>
  </si>
  <si>
    <t>='C:\Users\jaime.benazar\Quorum Business Solutions\Ecopetrol Prometeo - Documents\Planning Space Implementation\3. Analysis &amp; Design\Design\FC22\DRR Jaime\QUIFA-CAJÚA\Cajua\[CAJUA_CF_SEC_New_27-Feb-2024Rev3.xlsx]D-PNP'!$CA$22</t>
  </si>
  <si>
    <t>='C:\Users\jaime.benazar\Quorum Business Solutions\Ecopetrol Prometeo - Documents\Planning Space Implementation\3. Analysis &amp; Design\Design\FC22\DRR Jaime\QUIFA-CAJÚA\Cajua\[CAJUA_CF_SEC_New_27-Feb-2024Rev3.xlsx]D-PNP'!$CA$23</t>
  </si>
  <si>
    <t>='C:\Users\jaime.benazar\Quorum Business Solutions\Ecopetrol Prometeo - Documents\Planning Space Implementation\3. Analysis &amp; Design\Design\FC22\DRR Jaime\QUIFA-CAJÚA\Cajua\[CAJUA_CF_SEC_New_27-Feb-2024Rev3.xlsx]D-PNP'!$CA$24</t>
  </si>
  <si>
    <t>='C:\Users\jaime.benazar\Quorum Business Solutions\Ecopetrol Prometeo - Documents\Planning Space Implementation\3. Analysis &amp; Design\Design\FC22\DRR Jaime\QUIFA-CAJÚA\Cajua\[CAJUA_CF_SEC_New_27-Feb-2024Rev3.xlsx]D-PNP'!$CA$25</t>
  </si>
  <si>
    <t>='C:\Users\jaime.benazar\Quorum Business Solutions\Ecopetrol Prometeo - Documents\Planning Space Implementation\3. Analysis &amp; Design\Design\FC22\DRR Jaime\QUIFA-CAJÚA\Cajua\[CAJUA_CF_SEC_New_27-Feb-2024Rev3.xlsx]D-PNP'!$CA$26</t>
  </si>
  <si>
    <t>='C:\Users\jaime.benazar\Quorum Business Solutions\Ecopetrol Prometeo - Documents\Planning Space Implementation\3. Analysis &amp; Design\Design\FC22\DRR Jaime\QUIFA-CAJÚA\Cajua\[CAJUA_CF_SEC_New_27-Feb-2024Rev3.xlsx]D-PNP'!$CA$27</t>
  </si>
  <si>
    <t>='C:\Users\jaime.benazar\Quorum Business Solutions\Ecopetrol Prometeo - Documents\Planning Space Implementation\3. Analysis &amp; Design\Design\FC22\DRR Jaime\QUIFA-CAJÚA\Cajua\[CAJUA_CF_SEC_New_27-Feb-2024Rev3.xlsx]D-PNP'!$CA$28</t>
  </si>
  <si>
    <t>='C:\Users\jaime.benazar\Quorum Business Solutions\Ecopetrol Prometeo - Documents\Planning Space Implementation\3. Analysis &amp; Design\Design\FC22\DRR Jaime\QUIFA-CAJÚA\Cajua\[CAJUA_CF_SEC_New_27-Feb-2024Rev3.xlsx]D-PNP'!$CA$29</t>
  </si>
  <si>
    <t>='C:\Users\jaime.benazar\Quorum Business Solutions\Ecopetrol Prometeo - Documents\Planning Space Implementation\3. Analysis &amp; Design\Design\FC22\DRR Jaime\QUIFA-CAJÚA\Cajua\[CAJUA_CF_SEC_New_27-Feb-2024Rev3.xlsx]D-PNP'!$CA$30</t>
  </si>
  <si>
    <t>='C:\Users\jaime.benazar\Quorum Business Solutions\Ecopetrol Prometeo - Documents\Planning Space Implementation\3. Analysis &amp; Design\Design\FC22\DRR Jaime\QUIFA-CAJÚA\Cajua\[CAJUA_CF_SEC_New_27-Feb-2024Rev3.xlsx]D-PNP'!$CA$31</t>
  </si>
  <si>
    <t>='C:\Users\jaime.benazar\Quorum Business Solutions\Ecopetrol Prometeo - Documents\Planning Space Implementation\3. Analysis &amp; Design\Design\FC22\DRR Jaime\QUIFA-CAJÚA\Cajua\[CAJUA_CF_SEC_New_27-Feb-2024Rev3.xlsx]D-PNP'!$CA$32</t>
  </si>
  <si>
    <t>='C:\Users\jaime.benazar\Quorum Business Solutions\Ecopetrol Prometeo - Documents\Planning Space Implementation\3. Analysis &amp; Design\Design\FC22\DRR Jaime\QUIFA-CAJÚA\Cajua\[CAJUA_CF_SEC_New_27-Feb-2024Rev3.xlsx]D-PNP'!$CA$33</t>
  </si>
  <si>
    <t>='C:\Users\jaime.benazar\Quorum Business Solutions\Ecopetrol Prometeo - Documents\Planning Space Implementation\3. Analysis &amp; Design\Design\FC22\DRR Jaime\QUIFA-CAJÚA\Cajua\[CAJUA_CF_SEC_New_27-Feb-2024Rev3.xlsx]D-PNP'!$CA$34</t>
  </si>
  <si>
    <t>='C:\Users\jaime.benazar\Quorum Business Solutions\Ecopetrol Prometeo - Documents\Planning Space Implementation\3. Analysis &amp; Design\Design\FC22\DRR Jaime\QUIFA-CAJÚA\Cajua\[CAJUA_CF_SEC_New_27-Feb-2024Rev3.xlsx]D-PNP'!$CA$35</t>
  </si>
  <si>
    <t>='C:\Users\jaime.benazar\Quorum Business Solutions\Ecopetrol Prometeo - Documents\Planning Space Implementation\3. Analysis &amp; Design\Design\FC22\DRR Jaime\QUIFA-CAJÚA\Cajua\[CAJUA_CF_SEC_New_27-Feb-2024Rev3.xlsx]D-PNP'!$CA$36</t>
  </si>
  <si>
    <t>='C:\Users\jaime.benazar\Quorum Business Solutions\Ecopetrol Prometeo - Documents\Planning Space Implementation\3. Analysis &amp; Design\Design\FC22\DRR Jaime\QUIFA-CAJÚA\Cajua\[CAJUA_CF_SEC_New_27-Feb-2024Rev3.xlsx]D-PNP'!$CA$37</t>
  </si>
  <si>
    <t>='C:\Users\jaime.benazar\Quorum Business Solutions\Ecopetrol Prometeo - Documents\Planning Space Implementation\3. Analysis &amp; Design\Design\FC22\DRR Jaime\QUIFA-CAJÚA\Cajua\[CAJUA_CF_SEC_New_27-Feb-2024Rev3.xlsx]D-PNP'!$CA$38</t>
  </si>
  <si>
    <t>='C:\Users\jaime.benazar\Quorum Business Solutions\Ecopetrol Prometeo - Documents\Planning Space Implementation\3. Analysis &amp; Design\Design\FC22\DRR Jaime\QUIFA-CAJÚA\Cajua\[CAJUA_CF_SEC_New_27-Feb-2024Rev3.xlsx]D-PNP'!$CA$39</t>
  </si>
  <si>
    <t>='C:\Users\jaime.benazar\Quorum Business Solutions\Ecopetrol Prometeo - Documents\Planning Space Implementation\3. Analysis &amp; Design\Design\FC22\DRR Jaime\QUIFA-CAJÚA\Cajua\[CAJUA_CF_SEC_New_27-Feb-2024Rev3.xlsx]D-PNP'!$CA$40</t>
  </si>
  <si>
    <t>='C:\Users\jaime.benazar\Quorum Business Solutions\Ecopetrol Prometeo - Documents\Planning Space Implementation\3. Analysis &amp; Design\Design\FC22\DRR Jaime\QUIFA-CAJÚA\Cajua\[CAJUA_CF_SEC_New_27-Feb-2024Rev3.xlsx]D-PNP'!$CA$41</t>
  </si>
  <si>
    <t>='C:\Users\jaime.benazar\Quorum Business Solutions\Ecopetrol Prometeo - Documents\Planning Space Implementation\3. Analysis &amp; Design\Design\FC22\DRR Jaime\QUIFA-CAJÚA\Cajua\[CAJUA_CF_SEC_New_27-Feb-2024Rev3.xlsx]D-PNP'!$CA$42</t>
  </si>
  <si>
    <t>='C:\Users\jaime.benazar\Quorum Business Solutions\Ecopetrol Prometeo - Documents\Planning Space Implementation\3. Analysis &amp; Design\Design\FC22\DRR Jaime\QUIFA-CAJÚA\Cajua\[CAJUA_CF_SEC_New_27-Feb-2024Rev3.xlsx]D-PNP'!$CA$43</t>
  </si>
  <si>
    <t>='C:\Users\jaime.benazar\Quorum Business Solutions\Ecopetrol Prometeo - Documents\Planning Space Implementation\3. Analysis &amp; Design\Design\FC22\DRR Jaime\QUIFA-CAJÚA\Cajua\[CAJUA_CF_SEC_New_27-Feb-2024Rev3.xlsx]D-PNP'!$CA$44</t>
  </si>
  <si>
    <t>='C:\Users\jaime.benazar\Quorum Business Solutions\Ecopetrol Prometeo - Documents\Planning Space Implementation\3. Analysis &amp; Design\Design\FC22\DRR Jaime\QUIFA-CAJÚA\Cajua\[CAJUA_CF_SEC_New_27-Feb-2024Rev3.xlsx]D-PNP'!$CA$45</t>
  </si>
  <si>
    <t>='C:\Users\jaime.benazar\Quorum Business Solutions\Ecopetrol Prometeo - Documents\Planning Space Implementation\3. Analysis &amp; Design\Design\FC22\DRR Jaime\QUIFA-CAJÚA\Cajua\[CAJUA_CF_SEC_New_27-Feb-2024Rev3.xlsx]D-PNP'!$CA$46</t>
  </si>
  <si>
    <t>='C:\Users\jaime.benazar\Quorum Business Solutions\Ecopetrol Prometeo - Documents\Planning Space Implementation\3. Analysis &amp; Design\Design\FC22\DRR Jaime\QUIFA-CAJÚA\Cajua\[CAJUA_CF_SEC_New_27-Feb-2024Rev3.xlsx]D-PNP'!$CA$47</t>
  </si>
  <si>
    <t>='C:\Users\jaime.benazar\Quorum Business Solutions\Ecopetrol Prometeo - Documents\Planning Space Implementation\3. Analysis &amp; Design\Design\FC22\DRR Jaime\QUIFA-CAJÚA\Cajua\[CAJUA_CF_SEC_New_27-Feb-2024Rev3.xlsx]D-PNP'!$CA$48</t>
  </si>
  <si>
    <t>='C:\Users\jaime.benazar\Quorum Business Solutions\Ecopetrol Prometeo - Documents\Planning Space Implementation\3. Analysis &amp; Design\Design\FC22\DRR Jaime\QUIFA-CAJÚA\Cajua\[CAJUA_CF_SEC_New_27-Feb-2024Rev3.xlsx]D-PND'!$CA$12</t>
  </si>
  <si>
    <t>='C:\Users\jaime.benazar\Quorum Business Solutions\Ecopetrol Prometeo - Documents\Planning Space Implementation\3. Analysis &amp; Design\Design\FC22\DRR Jaime\QUIFA-CAJÚA\Cajua\[CAJUA_CF_SEC_New_27-Feb-2024Rev3.xlsx]D-PND'!$CA$13</t>
  </si>
  <si>
    <t>='C:\Users\jaime.benazar\Quorum Business Solutions\Ecopetrol Prometeo - Documents\Planning Space Implementation\3. Analysis &amp; Design\Design\FC22\DRR Jaime\QUIFA-CAJÚA\Cajua\[CAJUA_CF_SEC_New_27-Feb-2024Rev3.xlsx]D-PND'!$CA$14</t>
  </si>
  <si>
    <t>='C:\Users\jaime.benazar\Quorum Business Solutions\Ecopetrol Prometeo - Documents\Planning Space Implementation\3. Analysis &amp; Design\Design\FC22\DRR Jaime\QUIFA-CAJÚA\Cajua\[CAJUA_CF_SEC_New_27-Feb-2024Rev3.xlsx]D-PND'!$CA$15</t>
  </si>
  <si>
    <t>='C:\Users\jaime.benazar\Quorum Business Solutions\Ecopetrol Prometeo - Documents\Planning Space Implementation\3. Analysis &amp; Design\Design\FC22\DRR Jaime\QUIFA-CAJÚA\Cajua\[CAJUA_CF_SEC_New_27-Feb-2024Rev3.xlsx]D-PND'!$CA$16</t>
  </si>
  <si>
    <t>='C:\Users\jaime.benazar\Quorum Business Solutions\Ecopetrol Prometeo - Documents\Planning Space Implementation\3. Analysis &amp; Design\Design\FC22\DRR Jaime\QUIFA-CAJÚA\Cajua\[CAJUA_CF_SEC_New_27-Feb-2024Rev3.xlsx]D-PND'!$CA$17</t>
  </si>
  <si>
    <t>='C:\Users\jaime.benazar\Quorum Business Solutions\Ecopetrol Prometeo - Documents\Planning Space Implementation\3. Analysis &amp; Design\Design\FC22\DRR Jaime\QUIFA-CAJÚA\Cajua\[CAJUA_CF_SEC_New_27-Feb-2024Rev3.xlsx]D-PND'!$CA$18</t>
  </si>
  <si>
    <t>='C:\Users\jaime.benazar\Quorum Business Solutions\Ecopetrol Prometeo - Documents\Planning Space Implementation\3. Analysis &amp; Design\Design\FC22\DRR Jaime\QUIFA-CAJÚA\Cajua\[CAJUA_CF_SEC_New_27-Feb-2024Rev3.xlsx]D-PND'!$CA$19</t>
  </si>
  <si>
    <t>='C:\Users\jaime.benazar\Quorum Business Solutions\Ecopetrol Prometeo - Documents\Planning Space Implementation\3. Analysis &amp; Design\Design\FC22\DRR Jaime\QUIFA-CAJÚA\Cajua\[CAJUA_CF_SEC_New_27-Feb-2024Rev3.xlsx]D-PND'!$CA$20</t>
  </si>
  <si>
    <t>='C:\Users\jaime.benazar\Quorum Business Solutions\Ecopetrol Prometeo - Documents\Planning Space Implementation\3. Analysis &amp; Design\Design\FC22\DRR Jaime\QUIFA-CAJÚA\Cajua\[CAJUA_CF_SEC_New_27-Feb-2024Rev3.xlsx]D-PND'!$CA$21</t>
  </si>
  <si>
    <t>='C:\Users\jaime.benazar\Quorum Business Solutions\Ecopetrol Prometeo - Documents\Planning Space Implementation\3. Analysis &amp; Design\Design\FC22\DRR Jaime\QUIFA-CAJÚA\Cajua\[CAJUA_CF_SEC_New_27-Feb-2024Rev3.xlsx]D-PND'!$CA$22</t>
  </si>
  <si>
    <t>='C:\Users\jaime.benazar\Quorum Business Solutions\Ecopetrol Prometeo - Documents\Planning Space Implementation\3. Analysis &amp; Design\Design\FC22\DRR Jaime\QUIFA-CAJÚA\Cajua\[CAJUA_CF_SEC_New_27-Feb-2024Rev3.xlsx]D-PND'!$CA$23</t>
  </si>
  <si>
    <t>='C:\Users\jaime.benazar\Quorum Business Solutions\Ecopetrol Prometeo - Documents\Planning Space Implementation\3. Analysis &amp; Design\Design\FC22\DRR Jaime\QUIFA-CAJÚA\Cajua\[CAJUA_CF_SEC_New_27-Feb-2024Rev3.xlsx]D-PND'!$CA$24</t>
  </si>
  <si>
    <t>='C:\Users\jaime.benazar\Quorum Business Solutions\Ecopetrol Prometeo - Documents\Planning Space Implementation\3. Analysis &amp; Design\Design\FC22\DRR Jaime\QUIFA-CAJÚA\Cajua\[CAJUA_CF_SEC_New_27-Feb-2024Rev3.xlsx]D-PND'!$CA$25</t>
  </si>
  <si>
    <t>='C:\Users\jaime.benazar\Quorum Business Solutions\Ecopetrol Prometeo - Documents\Planning Space Implementation\3. Analysis &amp; Design\Design\FC22\DRR Jaime\QUIFA-CAJÚA\Cajua\[CAJUA_CF_SEC_New_27-Feb-2024Rev3.xlsx]D-PND'!$CA$26</t>
  </si>
  <si>
    <t>='C:\Users\jaime.benazar\Quorum Business Solutions\Ecopetrol Prometeo - Documents\Planning Space Implementation\3. Analysis &amp; Design\Design\FC22\DRR Jaime\QUIFA-CAJÚA\Cajua\[CAJUA_CF_SEC_New_27-Feb-2024Rev3.xlsx]D-PND'!$CA$27</t>
  </si>
  <si>
    <t>='C:\Users\jaime.benazar\Quorum Business Solutions\Ecopetrol Prometeo - Documents\Planning Space Implementation\3. Analysis &amp; Design\Design\FC22\DRR Jaime\QUIFA-CAJÚA\Cajua\[CAJUA_CF_SEC_New_27-Feb-2024Rev3.xlsx]D-PND'!$CA$28</t>
  </si>
  <si>
    <t>='C:\Users\jaime.benazar\Quorum Business Solutions\Ecopetrol Prometeo - Documents\Planning Space Implementation\3. Analysis &amp; Design\Design\FC22\DRR Jaime\QUIFA-CAJÚA\Cajua\[CAJUA_CF_SEC_New_27-Feb-2024Rev3.xlsx]D-PND'!$CA$29</t>
  </si>
  <si>
    <t>='C:\Users\jaime.benazar\Quorum Business Solutions\Ecopetrol Prometeo - Documents\Planning Space Implementation\3. Analysis &amp; Design\Design\FC22\DRR Jaime\QUIFA-CAJÚA\Cajua\[CAJUA_CF_SEC_New_27-Feb-2024Rev3.xlsx]D-PND'!$CA$30</t>
  </si>
  <si>
    <t>='C:\Users\jaime.benazar\Quorum Business Solutions\Ecopetrol Prometeo - Documents\Planning Space Implementation\3. Analysis &amp; Design\Design\FC22\DRR Jaime\QUIFA-CAJÚA\Cajua\[CAJUA_CF_SEC_New_27-Feb-2024Rev3.xlsx]D-PND'!$CA$31</t>
  </si>
  <si>
    <t>='C:\Users\jaime.benazar\Quorum Business Solutions\Ecopetrol Prometeo - Documents\Planning Space Implementation\3. Analysis &amp; Design\Design\FC22\DRR Jaime\QUIFA-CAJÚA\Cajua\[CAJUA_CF_SEC_New_27-Feb-2024Rev3.xlsx]D-PND'!$CA$32</t>
  </si>
  <si>
    <t>='C:\Users\jaime.benazar\Quorum Business Solutions\Ecopetrol Prometeo - Documents\Planning Space Implementation\3. Analysis &amp; Design\Design\FC22\DRR Jaime\QUIFA-CAJÚA\Cajua\[CAJUA_CF_SEC_New_27-Feb-2024Rev3.xlsx]D-PND'!$CA$33</t>
  </si>
  <si>
    <t>='C:\Users\jaime.benazar\Quorum Business Solutions\Ecopetrol Prometeo - Documents\Planning Space Implementation\3. Analysis &amp; Design\Design\FC22\DRR Jaime\QUIFA-CAJÚA\Cajua\[CAJUA_CF_SEC_New_27-Feb-2024Rev3.xlsx]D-PND'!$CA$34</t>
  </si>
  <si>
    <t>='C:\Users\jaime.benazar\Quorum Business Solutions\Ecopetrol Prometeo - Documents\Planning Space Implementation\3. Analysis &amp; Design\Design\FC22\DRR Jaime\QUIFA-CAJÚA\Cajua\[CAJUA_CF_SEC_New_27-Feb-2024Rev3.xlsx]D-PND'!$CA$35</t>
  </si>
  <si>
    <t>='C:\Users\jaime.benazar\Quorum Business Solutions\Ecopetrol Prometeo - Documents\Planning Space Implementation\3. Analysis &amp; Design\Design\FC22\DRR Jaime\QUIFA-CAJÚA\Cajua\[CAJUA_CF_SEC_New_27-Feb-2024Rev3.xlsx]D-PND'!$CA$36</t>
  </si>
  <si>
    <t>='C:\Users\jaime.benazar\Quorum Business Solutions\Ecopetrol Prometeo - Documents\Planning Space Implementation\3. Analysis &amp; Design\Design\FC22\DRR Jaime\QUIFA-CAJÚA\Cajua\[CAJUA_CF_SEC_New_27-Feb-2024Rev3.xlsx]D-PND'!$CA$37</t>
  </si>
  <si>
    <t>='C:\Users\jaime.benazar\Quorum Business Solutions\Ecopetrol Prometeo - Documents\Planning Space Implementation\3. Analysis &amp; Design\Design\FC22\DRR Jaime\QUIFA-CAJÚA\Cajua\[CAJUA_CF_SEC_New_27-Feb-2024Rev3.xlsx]D-PND'!$CA$38</t>
  </si>
  <si>
    <t>='C:\Users\jaime.benazar\Quorum Business Solutions\Ecopetrol Prometeo - Documents\Planning Space Implementation\3. Analysis &amp; Design\Design\FC22\DRR Jaime\QUIFA-CAJÚA\Cajua\[CAJUA_CF_SEC_New_27-Feb-2024Rev3.xlsx]D-PND'!$CA$39</t>
  </si>
  <si>
    <t>='C:\Users\jaime.benazar\Quorum Business Solutions\Ecopetrol Prometeo - Documents\Planning Space Implementation\3. Analysis &amp; Design\Design\FC22\DRR Jaime\QUIFA-CAJÚA\Cajua\[CAJUA_CF_SEC_New_27-Feb-2024Rev3.xlsx]D-PND'!$CA$40</t>
  </si>
  <si>
    <t>='C:\Users\jaime.benazar\Quorum Business Solutions\Ecopetrol Prometeo - Documents\Planning Space Implementation\3. Analysis &amp; Design\Design\FC22\DRR Jaime\QUIFA-CAJÚA\Cajua\[CAJUA_CF_SEC_New_27-Feb-2024Rev3.xlsx]D-PND'!$CA$41</t>
  </si>
  <si>
    <t>='C:\Users\jaime.benazar\Quorum Business Solutions\Ecopetrol Prometeo - Documents\Planning Space Implementation\3. Analysis &amp; Design\Design\FC22\DRR Jaime\QUIFA-CAJÚA\Cajua\[CAJUA_CF_SEC_New_27-Feb-2024Rev3.xlsx]D-PND'!$CA$42</t>
  </si>
  <si>
    <t>='C:\Users\jaime.benazar\Quorum Business Solutions\Ecopetrol Prometeo - Documents\Planning Space Implementation\3. Analysis &amp; Design\Design\FC22\DRR Jaime\QUIFA-CAJÚA\Cajua\[CAJUA_CF_SEC_New_27-Feb-2024Rev3.xlsx]D-PND'!$CA$43</t>
  </si>
  <si>
    <t>='C:\Users\jaime.benazar\Quorum Business Solutions\Ecopetrol Prometeo - Documents\Planning Space Implementation\3. Analysis &amp; Design\Design\FC22\DRR Jaime\QUIFA-CAJÚA\Cajua\[CAJUA_CF_SEC_New_27-Feb-2024Rev3.xlsx]D-PND'!$CA$44</t>
  </si>
  <si>
    <t>='C:\Users\jaime.benazar\Quorum Business Solutions\Ecopetrol Prometeo - Documents\Planning Space Implementation\3. Analysis &amp; Design\Design\FC22\DRR Jaime\QUIFA-CAJÚA\Cajua\[CAJUA_CF_SEC_New_27-Feb-2024Rev3.xlsx]D-PND'!$CA$45</t>
  </si>
  <si>
    <t>='C:\Users\jaime.benazar\Quorum Business Solutions\Ecopetrol Prometeo - Documents\Planning Space Implementation\3. Analysis &amp; Design\Design\FC22\DRR Jaime\QUIFA-CAJÚA\Cajua\[CAJUA_CF_SEC_New_27-Feb-2024Rev3.xlsx]D-PND'!$CA$46</t>
  </si>
  <si>
    <t>='C:\Users\jaime.benazar\Quorum Business Solutions\Ecopetrol Prometeo - Documents\Planning Space Implementation\3. Analysis &amp; Design\Design\FC22\DRR Jaime\QUIFA-CAJÚA\Cajua\[CAJUA_CF_SEC_New_27-Feb-2024Rev3.xlsx]D-PND'!$CA$47</t>
  </si>
  <si>
    <t>='C:\Users\jaime.benazar\Quorum Business Solutions\Ecopetrol Prometeo - Documents\Planning Space Implementation\3. Analysis &amp; Design\Design\FC22\DRR Jaime\QUIFA-CAJÚA\Cajua\[CAJUA_CF_SEC_New_27-Feb-2024Rev3.xlsx]D-PND'!$CA$48</t>
  </si>
  <si>
    <t>='C:\Users\jaime.benazar\Quorum Business Solutions\Ecopetrol Prometeo - Documents\Planning Space Implementation\3. Analysis &amp; Design\Design\FC22\DRR Jaime\QUIFA-CAJÚA\Cajua\[CAJUA_CF_SEC_New_27-Feb-2024Rev3.xlsx]D-PRB'!$CA$12</t>
  </si>
  <si>
    <t>='C:\Users\jaime.benazar\Quorum Business Solutions\Ecopetrol Prometeo - Documents\Planning Space Implementation\3. Analysis &amp; Design\Design\FC22\DRR Jaime\QUIFA-CAJÚA\Cajua\[CAJUA_CF_SEC_New_27-Feb-2024Rev3.xlsx]D-PRB'!$CA$13</t>
  </si>
  <si>
    <t>='C:\Users\jaime.benazar\Quorum Business Solutions\Ecopetrol Prometeo - Documents\Planning Space Implementation\3. Analysis &amp; Design\Design\FC22\DRR Jaime\QUIFA-CAJÚA\Cajua\[CAJUA_CF_SEC_New_27-Feb-2024Rev3.xlsx]D-PRB'!$CA$14</t>
  </si>
  <si>
    <t>='C:\Users\jaime.benazar\Quorum Business Solutions\Ecopetrol Prometeo - Documents\Planning Space Implementation\3. Analysis &amp; Design\Design\FC22\DRR Jaime\QUIFA-CAJÚA\Cajua\[CAJUA_CF_SEC_New_27-Feb-2024Rev3.xlsx]D-PRB'!$CA$15</t>
  </si>
  <si>
    <t>='C:\Users\jaime.benazar\Quorum Business Solutions\Ecopetrol Prometeo - Documents\Planning Space Implementation\3. Analysis &amp; Design\Design\FC22\DRR Jaime\QUIFA-CAJÚA\Cajua\[CAJUA_CF_SEC_New_27-Feb-2024Rev3.xlsx]D-PRB'!$CA$16</t>
  </si>
  <si>
    <t>='C:\Users\jaime.benazar\Quorum Business Solutions\Ecopetrol Prometeo - Documents\Planning Space Implementation\3. Analysis &amp; Design\Design\FC22\DRR Jaime\QUIFA-CAJÚA\Cajua\[CAJUA_CF_SEC_New_27-Feb-2024Rev3.xlsx]D-PRB'!$CA$17</t>
  </si>
  <si>
    <t>='C:\Users\jaime.benazar\Quorum Business Solutions\Ecopetrol Prometeo - Documents\Planning Space Implementation\3. Analysis &amp; Design\Design\FC22\DRR Jaime\QUIFA-CAJÚA\Cajua\[CAJUA_CF_SEC_New_27-Feb-2024Rev3.xlsx]D-PRB'!$CA$18</t>
  </si>
  <si>
    <t>='C:\Users\jaime.benazar\Quorum Business Solutions\Ecopetrol Prometeo - Documents\Planning Space Implementation\3. Analysis &amp; Design\Design\FC22\DRR Jaime\QUIFA-CAJÚA\Cajua\[CAJUA_CF_SEC_New_27-Feb-2024Rev3.xlsx]D-PRB'!$CA$19</t>
  </si>
  <si>
    <t>='C:\Users\jaime.benazar\Quorum Business Solutions\Ecopetrol Prometeo - Documents\Planning Space Implementation\3. Analysis &amp; Design\Design\FC22\DRR Jaime\QUIFA-CAJÚA\Cajua\[CAJUA_CF_SEC_New_27-Feb-2024Rev3.xlsx]D-PRB'!$CA$20</t>
  </si>
  <si>
    <t>='C:\Users\jaime.benazar\Quorum Business Solutions\Ecopetrol Prometeo - Documents\Planning Space Implementation\3. Analysis &amp; Design\Design\FC22\DRR Jaime\QUIFA-CAJÚA\Cajua\[CAJUA_CF_SEC_New_27-Feb-2024Rev3.xlsx]D-PRB'!$CA$21</t>
  </si>
  <si>
    <t>='C:\Users\jaime.benazar\Quorum Business Solutions\Ecopetrol Prometeo - Documents\Planning Space Implementation\3. Analysis &amp; Design\Design\FC22\DRR Jaime\QUIFA-CAJÚA\Cajua\[CAJUA_CF_SEC_New_27-Feb-2024Rev3.xlsx]D-PRB'!$CA$22</t>
  </si>
  <si>
    <t>='C:\Users\jaime.benazar\Quorum Business Solutions\Ecopetrol Prometeo - Documents\Planning Space Implementation\3. Analysis &amp; Design\Design\FC22\DRR Jaime\QUIFA-CAJÚA\Cajua\[CAJUA_CF_SEC_New_27-Feb-2024Rev3.xlsx]D-PRB'!$CA$23</t>
  </si>
  <si>
    <t>='C:\Users\jaime.benazar\Quorum Business Solutions\Ecopetrol Prometeo - Documents\Planning Space Implementation\3. Analysis &amp; Design\Design\FC22\DRR Jaime\QUIFA-CAJÚA\Cajua\[CAJUA_CF_SEC_New_27-Feb-2024Rev3.xlsx]D-PRB'!$CA$24</t>
  </si>
  <si>
    <t>='C:\Users\jaime.benazar\Quorum Business Solutions\Ecopetrol Prometeo - Documents\Planning Space Implementation\3. Analysis &amp; Design\Design\FC22\DRR Jaime\QUIFA-CAJÚA\Cajua\[CAJUA_CF_SEC_New_27-Feb-2024Rev3.xlsx]D-PRB'!$CA$25</t>
  </si>
  <si>
    <t>='C:\Users\jaime.benazar\Quorum Business Solutions\Ecopetrol Prometeo - Documents\Planning Space Implementation\3. Analysis &amp; Design\Design\FC22\DRR Jaime\QUIFA-CAJÚA\Cajua\[CAJUA_CF_SEC_New_27-Feb-2024Rev3.xlsx]D-PRB'!$CA$26</t>
  </si>
  <si>
    <t>='C:\Users\jaime.benazar\Quorum Business Solutions\Ecopetrol Prometeo - Documents\Planning Space Implementation\3. Analysis &amp; Design\Design\FC22\DRR Jaime\QUIFA-CAJÚA\Cajua\[CAJUA_CF_SEC_New_27-Feb-2024Rev3.xlsx]D-PRB'!$CA$27</t>
  </si>
  <si>
    <t>='C:\Users\jaime.benazar\Quorum Business Solutions\Ecopetrol Prometeo - Documents\Planning Space Implementation\3. Analysis &amp; Design\Design\FC22\DRR Jaime\QUIFA-CAJÚA\Cajua\[CAJUA_CF_SEC_New_27-Feb-2024Rev3.xlsx]D-PRB'!$CA$28</t>
  </si>
  <si>
    <t>='C:\Users\jaime.benazar\Quorum Business Solutions\Ecopetrol Prometeo - Documents\Planning Space Implementation\3. Analysis &amp; Design\Design\FC22\DRR Jaime\QUIFA-CAJÚA\Cajua\[CAJUA_CF_SEC_New_27-Feb-2024Rev3.xlsx]D-PRB'!$CA$29</t>
  </si>
  <si>
    <t>='C:\Users\jaime.benazar\Quorum Business Solutions\Ecopetrol Prometeo - Documents\Planning Space Implementation\3. Analysis &amp; Design\Design\FC22\DRR Jaime\QUIFA-CAJÚA\Cajua\[CAJUA_CF_SEC_New_27-Feb-2024Rev3.xlsx]D-PRB'!$CA$30</t>
  </si>
  <si>
    <t>='C:\Users\jaime.benazar\Quorum Business Solutions\Ecopetrol Prometeo - Documents\Planning Space Implementation\3. Analysis &amp; Design\Design\FC22\DRR Jaime\QUIFA-CAJÚA\Cajua\[CAJUA_CF_SEC_New_27-Feb-2024Rev3.xlsx]D-PRB'!$CA$31</t>
  </si>
  <si>
    <t>='C:\Users\jaime.benazar\Quorum Business Solutions\Ecopetrol Prometeo - Documents\Planning Space Implementation\3. Analysis &amp; Design\Design\FC22\DRR Jaime\QUIFA-CAJÚA\Cajua\[CAJUA_CF_SEC_New_27-Feb-2024Rev3.xlsx]D-PRB'!$CA$32</t>
  </si>
  <si>
    <t>='C:\Users\jaime.benazar\Quorum Business Solutions\Ecopetrol Prometeo - Documents\Planning Space Implementation\3. Analysis &amp; Design\Design\FC22\DRR Jaime\QUIFA-CAJÚA\Cajua\[CAJUA_CF_SEC_New_27-Feb-2024Rev3.xlsx]D-PRB'!$CA$33</t>
  </si>
  <si>
    <t>='C:\Users\jaime.benazar\Quorum Business Solutions\Ecopetrol Prometeo - Documents\Planning Space Implementation\3. Analysis &amp; Design\Design\FC22\DRR Jaime\QUIFA-CAJÚA\Cajua\[CAJUA_CF_SEC_New_27-Feb-2024Rev3.xlsx]D-PRB'!$CA$34</t>
  </si>
  <si>
    <t>='C:\Users\jaime.benazar\Quorum Business Solutions\Ecopetrol Prometeo - Documents\Planning Space Implementation\3. Analysis &amp; Design\Design\FC22\DRR Jaime\QUIFA-CAJÚA\Cajua\[CAJUA_CF_SEC_New_27-Feb-2024Rev3.xlsx]D-PRB'!$CA$35</t>
  </si>
  <si>
    <t>='C:\Users\jaime.benazar\Quorum Business Solutions\Ecopetrol Prometeo - Documents\Planning Space Implementation\3. Analysis &amp; Design\Design\FC22\DRR Jaime\QUIFA-CAJÚA\Cajua\[CAJUA_CF_SEC_New_27-Feb-2024Rev3.xlsx]D-PRB'!$CA$36</t>
  </si>
  <si>
    <t>='C:\Users\jaime.benazar\Quorum Business Solutions\Ecopetrol Prometeo - Documents\Planning Space Implementation\3. Analysis &amp; Design\Design\FC22\DRR Jaime\QUIFA-CAJÚA\Cajua\[CAJUA_CF_SEC_New_27-Feb-2024Rev3.xlsx]D-PRB'!$CA$37</t>
  </si>
  <si>
    <t>='C:\Users\jaime.benazar\Quorum Business Solutions\Ecopetrol Prometeo - Documents\Planning Space Implementation\3. Analysis &amp; Design\Design\FC22\DRR Jaime\QUIFA-CAJÚA\Cajua\[CAJUA_CF_SEC_New_27-Feb-2024Rev3.xlsx]D-PRB'!$CA$38</t>
  </si>
  <si>
    <t>='C:\Users\jaime.benazar\Quorum Business Solutions\Ecopetrol Prometeo - Documents\Planning Space Implementation\3. Analysis &amp; Design\Design\FC22\DRR Jaime\QUIFA-CAJÚA\Cajua\[CAJUA_CF_SEC_New_27-Feb-2024Rev3.xlsx]D-PRB'!$CA$39</t>
  </si>
  <si>
    <t>='C:\Users\jaime.benazar\Quorum Business Solutions\Ecopetrol Prometeo - Documents\Planning Space Implementation\3. Analysis &amp; Design\Design\FC22\DRR Jaime\QUIFA-CAJÚA\Cajua\[CAJUA_CF_SEC_New_27-Feb-2024Rev3.xlsx]D-PRB'!$CA$40</t>
  </si>
  <si>
    <t>='C:\Users\jaime.benazar\Quorum Business Solutions\Ecopetrol Prometeo - Documents\Planning Space Implementation\3. Analysis &amp; Design\Design\FC22\DRR Jaime\QUIFA-CAJÚA\Cajua\[CAJUA_CF_SEC_New_27-Feb-2024Rev3.xlsx]D-PRB'!$CA$41</t>
  </si>
  <si>
    <t>='C:\Users\jaime.benazar\Quorum Business Solutions\Ecopetrol Prometeo - Documents\Planning Space Implementation\3. Analysis &amp; Design\Design\FC22\DRR Jaime\QUIFA-CAJÚA\Cajua\[CAJUA_CF_SEC_New_27-Feb-2024Rev3.xlsx]D-PRB'!$CA$42</t>
  </si>
  <si>
    <t>='C:\Users\jaime.benazar\Quorum Business Solutions\Ecopetrol Prometeo - Documents\Planning Space Implementation\3. Analysis &amp; Design\Design\FC22\DRR Jaime\QUIFA-CAJÚA\Cajua\[CAJUA_CF_SEC_New_27-Feb-2024Rev3.xlsx]D-PRB'!$CA$43</t>
  </si>
  <si>
    <t>='C:\Users\jaime.benazar\Quorum Business Solutions\Ecopetrol Prometeo - Documents\Planning Space Implementation\3. Analysis &amp; Design\Design\FC22\DRR Jaime\QUIFA-CAJÚA\Cajua\[CAJUA_CF_SEC_New_27-Feb-2024Rev3.xlsx]D-PRB'!$CA$44</t>
  </si>
  <si>
    <t>='C:\Users\jaime.benazar\Quorum Business Solutions\Ecopetrol Prometeo - Documents\Planning Space Implementation\3. Analysis &amp; Design\Design\FC22\DRR Jaime\QUIFA-CAJÚA\Cajua\[CAJUA_CF_SEC_New_27-Feb-2024Rev3.xlsx]D-PRB'!$CA$45</t>
  </si>
  <si>
    <t>='C:\Users\jaime.benazar\Quorum Business Solutions\Ecopetrol Prometeo - Documents\Planning Space Implementation\3. Analysis &amp; Design\Design\FC22\DRR Jaime\QUIFA-CAJÚA\Cajua\[CAJUA_CF_SEC_New_27-Feb-2024Rev3.xlsx]D-PRB'!$CA$46</t>
  </si>
  <si>
    <t>='C:\Users\jaime.benazar\Quorum Business Solutions\Ecopetrol Prometeo - Documents\Planning Space Implementation\3. Analysis &amp; Design\Design\FC22\DRR Jaime\QUIFA-CAJÚA\Cajua\[CAJUA_CF_SEC_New_27-Feb-2024Rev3.xlsx]D-PRB'!$CA$47</t>
  </si>
  <si>
    <t>='C:\Users\jaime.benazar\Quorum Business Solutions\Ecopetrol Prometeo - Documents\Planning Space Implementation\3. Analysis &amp; Design\Design\FC22\DRR Jaime\QUIFA-CAJÚA\Cajua\[CAJUA_CF_SEC_New_27-Feb-2024Rev3.xlsx]D-PRB'!$CA$48</t>
  </si>
  <si>
    <t>='C:\Users\jaime.benazar\Quorum Business Solutions\Ecopetrol Prometeo - Documents\Planning Space Implementation\3. Analysis &amp; Design\Design\FC22\DRR Jaime\QUIFA-CAJÚA\Cajua\[CAJUA_CF_SEC_New_27-Feb-2024Rev3.xlsx]D-PS'!$CA$12</t>
  </si>
  <si>
    <t>='C:\Users\jaime.benazar\Quorum Business Solutions\Ecopetrol Prometeo - Documents\Planning Space Implementation\3. Analysis &amp; Design\Design\FC22\DRR Jaime\QUIFA-CAJÚA\Cajua\[CAJUA_CF_SEC_New_27-Feb-2024Rev3.xlsx]D-PS'!$CA$13</t>
  </si>
  <si>
    <t>='C:\Users\jaime.benazar\Quorum Business Solutions\Ecopetrol Prometeo - Documents\Planning Space Implementation\3. Analysis &amp; Design\Design\FC22\DRR Jaime\QUIFA-CAJÚA\Cajua\[CAJUA_CF_SEC_New_27-Feb-2024Rev3.xlsx]D-PS'!$CA$14</t>
  </si>
  <si>
    <t>='C:\Users\jaime.benazar\Quorum Business Solutions\Ecopetrol Prometeo - Documents\Planning Space Implementation\3. Analysis &amp; Design\Design\FC22\DRR Jaime\QUIFA-CAJÚA\Cajua\[CAJUA_CF_SEC_New_27-Feb-2024Rev3.xlsx]D-PS'!$CA$15</t>
  </si>
  <si>
    <t>='C:\Users\jaime.benazar\Quorum Business Solutions\Ecopetrol Prometeo - Documents\Planning Space Implementation\3. Analysis &amp; Design\Design\FC22\DRR Jaime\QUIFA-CAJÚA\Cajua\[CAJUA_CF_SEC_New_27-Feb-2024Rev3.xlsx]D-PS'!$CA$16</t>
  </si>
  <si>
    <t>='C:\Users\jaime.benazar\Quorum Business Solutions\Ecopetrol Prometeo - Documents\Planning Space Implementation\3. Analysis &amp; Design\Design\FC22\DRR Jaime\QUIFA-CAJÚA\Cajua\[CAJUA_CF_SEC_New_27-Feb-2024Rev3.xlsx]D-PS'!$CA$17</t>
  </si>
  <si>
    <t>='C:\Users\jaime.benazar\Quorum Business Solutions\Ecopetrol Prometeo - Documents\Planning Space Implementation\3. Analysis &amp; Design\Design\FC22\DRR Jaime\QUIFA-CAJÚA\Cajua\[CAJUA_CF_SEC_New_27-Feb-2024Rev3.xlsx]D-PS'!$CA$18</t>
  </si>
  <si>
    <t>='C:\Users\jaime.benazar\Quorum Business Solutions\Ecopetrol Prometeo - Documents\Planning Space Implementation\3. Analysis &amp; Design\Design\FC22\DRR Jaime\QUIFA-CAJÚA\Cajua\[CAJUA_CF_SEC_New_27-Feb-2024Rev3.xlsx]D-PS'!$CA$19</t>
  </si>
  <si>
    <t>='C:\Users\jaime.benazar\Quorum Business Solutions\Ecopetrol Prometeo - Documents\Planning Space Implementation\3. Analysis &amp; Design\Design\FC22\DRR Jaime\QUIFA-CAJÚA\Cajua\[CAJUA_CF_SEC_New_27-Feb-2024Rev3.xlsx]D-PS'!$CA$20</t>
  </si>
  <si>
    <t>='C:\Users\jaime.benazar\Quorum Business Solutions\Ecopetrol Prometeo - Documents\Planning Space Implementation\3. Analysis &amp; Design\Design\FC22\DRR Jaime\QUIFA-CAJÚA\Cajua\[CAJUA_CF_SEC_New_27-Feb-2024Rev3.xlsx]D-PS'!$CA$21</t>
  </si>
  <si>
    <t>='C:\Users\jaime.benazar\Quorum Business Solutions\Ecopetrol Prometeo - Documents\Planning Space Implementation\3. Analysis &amp; Design\Design\FC22\DRR Jaime\QUIFA-CAJÚA\Cajua\[CAJUA_CF_SEC_New_27-Feb-2024Rev3.xlsx]D-PS'!$CA$22</t>
  </si>
  <si>
    <t>='C:\Users\jaime.benazar\Quorum Business Solutions\Ecopetrol Prometeo - Documents\Planning Space Implementation\3. Analysis &amp; Design\Design\FC22\DRR Jaime\QUIFA-CAJÚA\Cajua\[CAJUA_CF_SEC_New_27-Feb-2024Rev3.xlsx]D-PS'!$CA$23</t>
  </si>
  <si>
    <t>='C:\Users\jaime.benazar\Quorum Business Solutions\Ecopetrol Prometeo - Documents\Planning Space Implementation\3. Analysis &amp; Design\Design\FC22\DRR Jaime\QUIFA-CAJÚA\Cajua\[CAJUA_CF_SEC_New_27-Feb-2024Rev3.xlsx]D-PS'!$CA$24</t>
  </si>
  <si>
    <t>='C:\Users\jaime.benazar\Quorum Business Solutions\Ecopetrol Prometeo - Documents\Planning Space Implementation\3. Analysis &amp; Design\Design\FC22\DRR Jaime\QUIFA-CAJÚA\Cajua\[CAJUA_CF_SEC_New_27-Feb-2024Rev3.xlsx]D-PS'!$CA$25</t>
  </si>
  <si>
    <t>='C:\Users\jaime.benazar\Quorum Business Solutions\Ecopetrol Prometeo - Documents\Planning Space Implementation\3. Analysis &amp; Design\Design\FC22\DRR Jaime\QUIFA-CAJÚA\Cajua\[CAJUA_CF_SEC_New_27-Feb-2024Rev3.xlsx]D-PS'!$CA$26</t>
  </si>
  <si>
    <t>='C:\Users\jaime.benazar\Quorum Business Solutions\Ecopetrol Prometeo - Documents\Planning Space Implementation\3. Analysis &amp; Design\Design\FC22\DRR Jaime\QUIFA-CAJÚA\Cajua\[CAJUA_CF_SEC_New_27-Feb-2024Rev3.xlsx]D-PS'!$CA$27</t>
  </si>
  <si>
    <t>='C:\Users\jaime.benazar\Quorum Business Solutions\Ecopetrol Prometeo - Documents\Planning Space Implementation\3. Analysis &amp; Design\Design\FC22\DRR Jaime\QUIFA-CAJÚA\Cajua\[CAJUA_CF_SEC_New_27-Feb-2024Rev3.xlsx]D-PS'!$CA$28</t>
  </si>
  <si>
    <t>='C:\Users\jaime.benazar\Quorum Business Solutions\Ecopetrol Prometeo - Documents\Planning Space Implementation\3. Analysis &amp; Design\Design\FC22\DRR Jaime\QUIFA-CAJÚA\Cajua\[CAJUA_CF_SEC_New_27-Feb-2024Rev3.xlsx]D-PS'!$CA$29</t>
  </si>
  <si>
    <t>='C:\Users\jaime.benazar\Quorum Business Solutions\Ecopetrol Prometeo - Documents\Planning Space Implementation\3. Analysis &amp; Design\Design\FC22\DRR Jaime\QUIFA-CAJÚA\Cajua\[CAJUA_CF_SEC_New_27-Feb-2024Rev3.xlsx]D-PS'!$CA$30</t>
  </si>
  <si>
    <t>='C:\Users\jaime.benazar\Quorum Business Solutions\Ecopetrol Prometeo - Documents\Planning Space Implementation\3. Analysis &amp; Design\Design\FC22\DRR Jaime\QUIFA-CAJÚA\Cajua\[CAJUA_CF_SEC_New_27-Feb-2024Rev3.xlsx]D-PS'!$CA$31</t>
  </si>
  <si>
    <t>='C:\Users\jaime.benazar\Quorum Business Solutions\Ecopetrol Prometeo - Documents\Planning Space Implementation\3. Analysis &amp; Design\Design\FC22\DRR Jaime\QUIFA-CAJÚA\Cajua\[CAJUA_CF_SEC_New_27-Feb-2024Rev3.xlsx]D-PS'!$CA$32</t>
  </si>
  <si>
    <t>='C:\Users\jaime.benazar\Quorum Business Solutions\Ecopetrol Prometeo - Documents\Planning Space Implementation\3. Analysis &amp; Design\Design\FC22\DRR Jaime\QUIFA-CAJÚA\Cajua\[CAJUA_CF_SEC_New_27-Feb-2024Rev3.xlsx]D-PS'!$CA$33</t>
  </si>
  <si>
    <t>='C:\Users\jaime.benazar\Quorum Business Solutions\Ecopetrol Prometeo - Documents\Planning Space Implementation\3. Analysis &amp; Design\Design\FC22\DRR Jaime\QUIFA-CAJÚA\Cajua\[CAJUA_CF_SEC_New_27-Feb-2024Rev3.xlsx]D-PS'!$CA$34</t>
  </si>
  <si>
    <t>='C:\Users\jaime.benazar\Quorum Business Solutions\Ecopetrol Prometeo - Documents\Planning Space Implementation\3. Analysis &amp; Design\Design\FC22\DRR Jaime\QUIFA-CAJÚA\Cajua\[CAJUA_CF_SEC_New_27-Feb-2024Rev3.xlsx]D-PS'!$CA$35</t>
  </si>
  <si>
    <t>='C:\Users\jaime.benazar\Quorum Business Solutions\Ecopetrol Prometeo - Documents\Planning Space Implementation\3. Analysis &amp; Design\Design\FC22\DRR Jaime\QUIFA-CAJÚA\Cajua\[CAJUA_CF_SEC_New_27-Feb-2024Rev3.xlsx]D-PS'!$CA$36</t>
  </si>
  <si>
    <t>='C:\Users\jaime.benazar\Quorum Business Solutions\Ecopetrol Prometeo - Documents\Planning Space Implementation\3. Analysis &amp; Design\Design\FC22\DRR Jaime\QUIFA-CAJÚA\Cajua\[CAJUA_CF_SEC_New_27-Feb-2024Rev3.xlsx]D-PS'!$CA$37</t>
  </si>
  <si>
    <t>='C:\Users\jaime.benazar\Quorum Business Solutions\Ecopetrol Prometeo - Documents\Planning Space Implementation\3. Analysis &amp; Design\Design\FC22\DRR Jaime\QUIFA-CAJÚA\Cajua\[CAJUA_CF_SEC_New_27-Feb-2024Rev3.xlsx]D-PS'!$CA$38</t>
  </si>
  <si>
    <t>='C:\Users\jaime.benazar\Quorum Business Solutions\Ecopetrol Prometeo - Documents\Planning Space Implementation\3. Analysis &amp; Design\Design\FC22\DRR Jaime\QUIFA-CAJÚA\Cajua\[CAJUA_CF_SEC_New_27-Feb-2024Rev3.xlsx]D-PS'!$CA$39</t>
  </si>
  <si>
    <t>='C:\Users\jaime.benazar\Quorum Business Solutions\Ecopetrol Prometeo - Documents\Planning Space Implementation\3. Analysis &amp; Design\Design\FC22\DRR Jaime\QUIFA-CAJÚA\Cajua\[CAJUA_CF_SEC_New_27-Feb-2024Rev3.xlsx]D-PS'!$CA$40</t>
  </si>
  <si>
    <t>='C:\Users\jaime.benazar\Quorum Business Solutions\Ecopetrol Prometeo - Documents\Planning Space Implementation\3. Analysis &amp; Design\Design\FC22\DRR Jaime\QUIFA-CAJÚA\Cajua\[CAJUA_CF_SEC_New_27-Feb-2024Rev3.xlsx]D-PS'!$CA$41</t>
  </si>
  <si>
    <t>='C:\Users\jaime.benazar\Quorum Business Solutions\Ecopetrol Prometeo - Documents\Planning Space Implementation\3. Analysis &amp; Design\Design\FC22\DRR Jaime\QUIFA-CAJÚA\Cajua\[CAJUA_CF_SEC_New_27-Feb-2024Rev3.xlsx]D-PS'!$CA$42</t>
  </si>
  <si>
    <t>='C:\Users\jaime.benazar\Quorum Business Solutions\Ecopetrol Prometeo - Documents\Planning Space Implementation\3. Analysis &amp; Design\Design\FC22\DRR Jaime\QUIFA-CAJÚA\Cajua\[CAJUA_CF_SEC_New_27-Feb-2024Rev3.xlsx]D-PS'!$CA$43</t>
  </si>
  <si>
    <t>='C:\Users\jaime.benazar\Quorum Business Solutions\Ecopetrol Prometeo - Documents\Planning Space Implementation\3. Analysis &amp; Design\Design\FC22\DRR Jaime\QUIFA-CAJÚA\Cajua\[CAJUA_CF_SEC_New_27-Feb-2024Rev3.xlsx]D-PS'!$CA$44</t>
  </si>
  <si>
    <t>='C:\Users\jaime.benazar\Quorum Business Solutions\Ecopetrol Prometeo - Documents\Planning Space Implementation\3. Analysis &amp; Design\Design\FC22\DRR Jaime\QUIFA-CAJÚA\Cajua\[CAJUA_CF_SEC_New_27-Feb-2024Rev3.xlsx]D-PS'!$CA$45</t>
  </si>
  <si>
    <t>='C:\Users\jaime.benazar\Quorum Business Solutions\Ecopetrol Prometeo - Documents\Planning Space Implementation\3. Analysis &amp; Design\Design\FC22\DRR Jaime\QUIFA-CAJÚA\Cajua\[CAJUA_CF_SEC_New_27-Feb-2024Rev3.xlsx]D-PS'!$CA$46</t>
  </si>
  <si>
    <t>='C:\Users\jaime.benazar\Quorum Business Solutions\Ecopetrol Prometeo - Documents\Planning Space Implementation\3. Analysis &amp; Design\Design\FC22\DRR Jaime\QUIFA-CAJÚA\Cajua\[CAJUA_CF_SEC_New_27-Feb-2024Rev3.xlsx]D-PS'!$CA$47</t>
  </si>
  <si>
    <t>='C:\Users\jaime.benazar\Quorum Business Solutions\Ecopetrol Prometeo - Documents\Planning Space Implementation\3. Analysis &amp; Design\Design\FC22\DRR Jaime\QUIFA-CAJÚA\Cajua\[CAJUA_CF_SEC_New_27-Feb-2024Rev3.xlsx]D-PS'!$CA$48</t>
  </si>
  <si>
    <t>='C:\Users\jaime.benazar\Quorum Business Solutions\Ecopetrol Prometeo - Documents\Planning Space Implementation\3. Analysis &amp; Design\Design\FC22\DRR Jaime\QUIFA-CAJÚA\Cajua\[CAJUA_CF_SEC_New_27-Feb-2024Rev3.xlsx]D-PDP'!$BX$12</t>
  </si>
  <si>
    <t>='C:\Users\jaime.benazar\Quorum Business Solutions\Ecopetrol Prometeo - Documents\Planning Space Implementation\3. Analysis &amp; Design\Design\FC22\DRR Jaime\QUIFA-CAJÚA\Cajua\[CAJUA_CF_SEC_New_27-Feb-2024Rev3.xlsx]D-PDP'!$BX$13</t>
  </si>
  <si>
    <t>='C:\Users\jaime.benazar\Quorum Business Solutions\Ecopetrol Prometeo - Documents\Planning Space Implementation\3. Analysis &amp; Design\Design\FC22\DRR Jaime\QUIFA-CAJÚA\Cajua\[CAJUA_CF_SEC_New_27-Feb-2024Rev3.xlsx]D-PDP'!$BX$14</t>
  </si>
  <si>
    <t>='C:\Users\jaime.benazar\Quorum Business Solutions\Ecopetrol Prometeo - Documents\Planning Space Implementation\3. Analysis &amp; Design\Design\FC22\DRR Jaime\QUIFA-CAJÚA\Cajua\[CAJUA_CF_SEC_New_27-Feb-2024Rev3.xlsx]D-PDP'!$BX$15</t>
  </si>
  <si>
    <t>='C:\Users\jaime.benazar\Quorum Business Solutions\Ecopetrol Prometeo - Documents\Planning Space Implementation\3. Analysis &amp; Design\Design\FC22\DRR Jaime\QUIFA-CAJÚA\Cajua\[CAJUA_CF_SEC_New_27-Feb-2024Rev3.xlsx]D-PDP'!$BX$16</t>
  </si>
  <si>
    <t>='C:\Users\jaime.benazar\Quorum Business Solutions\Ecopetrol Prometeo - Documents\Planning Space Implementation\3. Analysis &amp; Design\Design\FC22\DRR Jaime\QUIFA-CAJÚA\Cajua\[CAJUA_CF_SEC_New_27-Feb-2024Rev3.xlsx]D-PDP'!$BX$17</t>
  </si>
  <si>
    <t>='C:\Users\jaime.benazar\Quorum Business Solutions\Ecopetrol Prometeo - Documents\Planning Space Implementation\3. Analysis &amp; Design\Design\FC22\DRR Jaime\QUIFA-CAJÚA\Cajua\[CAJUA_CF_SEC_New_27-Feb-2024Rev3.xlsx]D-PDP'!$BX$18</t>
  </si>
  <si>
    <t>='C:\Users\jaime.benazar\Quorum Business Solutions\Ecopetrol Prometeo - Documents\Planning Space Implementation\3. Analysis &amp; Design\Design\FC22\DRR Jaime\QUIFA-CAJÚA\Cajua\[CAJUA_CF_SEC_New_27-Feb-2024Rev3.xlsx]D-PDP'!$BX$19</t>
  </si>
  <si>
    <t>='C:\Users\jaime.benazar\Quorum Business Solutions\Ecopetrol Prometeo - Documents\Planning Space Implementation\3. Analysis &amp; Design\Design\FC22\DRR Jaime\QUIFA-CAJÚA\Cajua\[CAJUA_CF_SEC_New_27-Feb-2024Rev3.xlsx]D-PDP'!$BX$20</t>
  </si>
  <si>
    <t>='C:\Users\jaime.benazar\Quorum Business Solutions\Ecopetrol Prometeo - Documents\Planning Space Implementation\3. Analysis &amp; Design\Design\FC22\DRR Jaime\QUIFA-CAJÚA\Cajua\[CAJUA_CF_SEC_New_27-Feb-2024Rev3.xlsx]D-PDP'!$BX$21</t>
  </si>
  <si>
    <t>='C:\Users\jaime.benazar\Quorum Business Solutions\Ecopetrol Prometeo - Documents\Planning Space Implementation\3. Analysis &amp; Design\Design\FC22\DRR Jaime\QUIFA-CAJÚA\Cajua\[CAJUA_CF_SEC_New_27-Feb-2024Rev3.xlsx]D-PDP'!$BX$22</t>
  </si>
  <si>
    <t>='C:\Users\jaime.benazar\Quorum Business Solutions\Ecopetrol Prometeo - Documents\Planning Space Implementation\3. Analysis &amp; Design\Design\FC22\DRR Jaime\QUIFA-CAJÚA\Cajua\[CAJUA_CF_SEC_New_27-Feb-2024Rev3.xlsx]D-PDP'!$BX$23</t>
  </si>
  <si>
    <t>='C:\Users\jaime.benazar\Quorum Business Solutions\Ecopetrol Prometeo - Documents\Planning Space Implementation\3. Analysis &amp; Design\Design\FC22\DRR Jaime\QUIFA-CAJÚA\Cajua\[CAJUA_CF_SEC_New_27-Feb-2024Rev3.xlsx]D-PDP'!$BX$24</t>
  </si>
  <si>
    <t>='C:\Users\jaime.benazar\Quorum Business Solutions\Ecopetrol Prometeo - Documents\Planning Space Implementation\3. Analysis &amp; Design\Design\FC22\DRR Jaime\QUIFA-CAJÚA\Cajua\[CAJUA_CF_SEC_New_27-Feb-2024Rev3.xlsx]D-PDP'!$BX$25</t>
  </si>
  <si>
    <t>='C:\Users\jaime.benazar\Quorum Business Solutions\Ecopetrol Prometeo - Documents\Planning Space Implementation\3. Analysis &amp; Design\Design\FC22\DRR Jaime\QUIFA-CAJÚA\Cajua\[CAJUA_CF_SEC_New_27-Feb-2024Rev3.xlsx]D-PDP'!$BX$26</t>
  </si>
  <si>
    <t>='C:\Users\jaime.benazar\Quorum Business Solutions\Ecopetrol Prometeo - Documents\Planning Space Implementation\3. Analysis &amp; Design\Design\FC22\DRR Jaime\QUIFA-CAJÚA\Cajua\[CAJUA_CF_SEC_New_27-Feb-2024Rev3.xlsx]D-PDP'!$BX$27</t>
  </si>
  <si>
    <t>='C:\Users\jaime.benazar\Quorum Business Solutions\Ecopetrol Prometeo - Documents\Planning Space Implementation\3. Analysis &amp; Design\Design\FC22\DRR Jaime\QUIFA-CAJÚA\Cajua\[CAJUA_CF_SEC_New_27-Feb-2024Rev3.xlsx]D-PDP'!$BX$28</t>
  </si>
  <si>
    <t>='C:\Users\jaime.benazar\Quorum Business Solutions\Ecopetrol Prometeo - Documents\Planning Space Implementation\3. Analysis &amp; Design\Design\FC22\DRR Jaime\QUIFA-CAJÚA\Cajua\[CAJUA_CF_SEC_New_27-Feb-2024Rev3.xlsx]D-PDP'!$BX$29</t>
  </si>
  <si>
    <t>='C:\Users\jaime.benazar\Quorum Business Solutions\Ecopetrol Prometeo - Documents\Planning Space Implementation\3. Analysis &amp; Design\Design\FC22\DRR Jaime\QUIFA-CAJÚA\Cajua\[CAJUA_CF_SEC_New_27-Feb-2024Rev3.xlsx]D-PDP'!$BX$30</t>
  </si>
  <si>
    <t>='C:\Users\jaime.benazar\Quorum Business Solutions\Ecopetrol Prometeo - Documents\Planning Space Implementation\3. Analysis &amp; Design\Design\FC22\DRR Jaime\QUIFA-CAJÚA\Cajua\[CAJUA_CF_SEC_New_27-Feb-2024Rev3.xlsx]D-PDP'!$BX$31</t>
  </si>
  <si>
    <t>='C:\Users\jaime.benazar\Quorum Business Solutions\Ecopetrol Prometeo - Documents\Planning Space Implementation\3. Analysis &amp; Design\Design\FC22\DRR Jaime\QUIFA-CAJÚA\Cajua\[CAJUA_CF_SEC_New_27-Feb-2024Rev3.xlsx]D-PDP'!$BX$32</t>
  </si>
  <si>
    <t>='C:\Users\jaime.benazar\Quorum Business Solutions\Ecopetrol Prometeo - Documents\Planning Space Implementation\3. Analysis &amp; Design\Design\FC22\DRR Jaime\QUIFA-CAJÚA\Cajua\[CAJUA_CF_SEC_New_27-Feb-2024Rev3.xlsx]D-PDP'!$BX$33</t>
  </si>
  <si>
    <t>='C:\Users\jaime.benazar\Quorum Business Solutions\Ecopetrol Prometeo - Documents\Planning Space Implementation\3. Analysis &amp; Design\Design\FC22\DRR Jaime\QUIFA-CAJÚA\Cajua\[CAJUA_CF_SEC_New_27-Feb-2024Rev3.xlsx]D-PDP'!$BX$34</t>
  </si>
  <si>
    <t>='C:\Users\jaime.benazar\Quorum Business Solutions\Ecopetrol Prometeo - Documents\Planning Space Implementation\3. Analysis &amp; Design\Design\FC22\DRR Jaime\QUIFA-CAJÚA\Cajua\[CAJUA_CF_SEC_New_27-Feb-2024Rev3.xlsx]D-PDP'!$BX$35</t>
  </si>
  <si>
    <t>='C:\Users\jaime.benazar\Quorum Business Solutions\Ecopetrol Prometeo - Documents\Planning Space Implementation\3. Analysis &amp; Design\Design\FC22\DRR Jaime\QUIFA-CAJÚA\Cajua\[CAJUA_CF_SEC_New_27-Feb-2024Rev3.xlsx]D-PDP'!$BX$36</t>
  </si>
  <si>
    <t>='C:\Users\jaime.benazar\Quorum Business Solutions\Ecopetrol Prometeo - Documents\Planning Space Implementation\3. Analysis &amp; Design\Design\FC22\DRR Jaime\QUIFA-CAJÚA\Cajua\[CAJUA_CF_SEC_New_27-Feb-2024Rev3.xlsx]D-PDP'!$BX$37</t>
  </si>
  <si>
    <t>='C:\Users\jaime.benazar\Quorum Business Solutions\Ecopetrol Prometeo - Documents\Planning Space Implementation\3. Analysis &amp; Design\Design\FC22\DRR Jaime\QUIFA-CAJÚA\Cajua\[CAJUA_CF_SEC_New_27-Feb-2024Rev3.xlsx]D-PDP'!$BX$38</t>
  </si>
  <si>
    <t>='C:\Users\jaime.benazar\Quorum Business Solutions\Ecopetrol Prometeo - Documents\Planning Space Implementation\3. Analysis &amp; Design\Design\FC22\DRR Jaime\QUIFA-CAJÚA\Cajua\[CAJUA_CF_SEC_New_27-Feb-2024Rev3.xlsx]D-PDP'!$BX$39</t>
  </si>
  <si>
    <t>='C:\Users\jaime.benazar\Quorum Business Solutions\Ecopetrol Prometeo - Documents\Planning Space Implementation\3. Analysis &amp; Design\Design\FC22\DRR Jaime\QUIFA-CAJÚA\Cajua\[CAJUA_CF_SEC_New_27-Feb-2024Rev3.xlsx]D-PDP'!$BX$40</t>
  </si>
  <si>
    <t>='C:\Users\jaime.benazar\Quorum Business Solutions\Ecopetrol Prometeo - Documents\Planning Space Implementation\3. Analysis &amp; Design\Design\FC22\DRR Jaime\QUIFA-CAJÚA\Cajua\[CAJUA_CF_SEC_New_27-Feb-2024Rev3.xlsx]D-PDP'!$BX$41</t>
  </si>
  <si>
    <t>='C:\Users\jaime.benazar\Quorum Business Solutions\Ecopetrol Prometeo - Documents\Planning Space Implementation\3. Analysis &amp; Design\Design\FC22\DRR Jaime\QUIFA-CAJÚA\Cajua\[CAJUA_CF_SEC_New_27-Feb-2024Rev3.xlsx]D-PDP'!$BX$42</t>
  </si>
  <si>
    <t>='C:\Users\jaime.benazar\Quorum Business Solutions\Ecopetrol Prometeo - Documents\Planning Space Implementation\3. Analysis &amp; Design\Design\FC22\DRR Jaime\QUIFA-CAJÚA\Cajua\[CAJUA_CF_SEC_New_27-Feb-2024Rev3.xlsx]D-PDP'!$BX$43</t>
  </si>
  <si>
    <t>='C:\Users\jaime.benazar\Quorum Business Solutions\Ecopetrol Prometeo - Documents\Planning Space Implementation\3. Analysis &amp; Design\Design\FC22\DRR Jaime\QUIFA-CAJÚA\Cajua\[CAJUA_CF_SEC_New_27-Feb-2024Rev3.xlsx]D-PDP'!$BX$44</t>
  </si>
  <si>
    <t>='C:\Users\jaime.benazar\Quorum Business Solutions\Ecopetrol Prometeo - Documents\Planning Space Implementation\3. Analysis &amp; Design\Design\FC22\DRR Jaime\QUIFA-CAJÚA\Cajua\[CAJUA_CF_SEC_New_27-Feb-2024Rev3.xlsx]D-PDP'!$BX$45</t>
  </si>
  <si>
    <t>='C:\Users\jaime.benazar\Quorum Business Solutions\Ecopetrol Prometeo - Documents\Planning Space Implementation\3. Analysis &amp; Design\Design\FC22\DRR Jaime\QUIFA-CAJÚA\Cajua\[CAJUA_CF_SEC_New_27-Feb-2024Rev3.xlsx]D-PDP'!$BX$46</t>
  </si>
  <si>
    <t>='C:\Users\jaime.benazar\Quorum Business Solutions\Ecopetrol Prometeo - Documents\Planning Space Implementation\3. Analysis &amp; Design\Design\FC22\DRR Jaime\QUIFA-CAJÚA\Cajua\[CAJUA_CF_SEC_New_27-Feb-2024Rev3.xlsx]D-PDP'!$BX$47</t>
  </si>
  <si>
    <t>='C:\Users\jaime.benazar\Quorum Business Solutions\Ecopetrol Prometeo - Documents\Planning Space Implementation\3. Analysis &amp; Design\Design\FC22\DRR Jaime\QUIFA-CAJÚA\Cajua\[CAJUA_CF_SEC_New_27-Feb-2024Rev3.xlsx]D-PDP'!$BX$48</t>
  </si>
  <si>
    <t>='C:\Users\jaime.benazar\Quorum Business Solutions\Ecopetrol Prometeo - Documents\Planning Space Implementation\3. Analysis &amp; Design\Design\FC22\DRR Jaime\QUIFA-CAJÚA\Cajua\[CAJUA_CF_SEC_New_27-Feb-2024Rev3.xlsx]D-PNP'!$BX$12</t>
  </si>
  <si>
    <t>='C:\Users\jaime.benazar\Quorum Business Solutions\Ecopetrol Prometeo - Documents\Planning Space Implementation\3. Analysis &amp; Design\Design\FC22\DRR Jaime\QUIFA-CAJÚA\Cajua\[CAJUA_CF_SEC_New_27-Feb-2024Rev3.xlsx]D-PNP'!$BX$13</t>
  </si>
  <si>
    <t>='C:\Users\jaime.benazar\Quorum Business Solutions\Ecopetrol Prometeo - Documents\Planning Space Implementation\3. Analysis &amp; Design\Design\FC22\DRR Jaime\QUIFA-CAJÚA\Cajua\[CAJUA_CF_SEC_New_27-Feb-2024Rev3.xlsx]D-PNP'!$BX$14</t>
  </si>
  <si>
    <t>='C:\Users\jaime.benazar\Quorum Business Solutions\Ecopetrol Prometeo - Documents\Planning Space Implementation\3. Analysis &amp; Design\Design\FC22\DRR Jaime\QUIFA-CAJÚA\Cajua\[CAJUA_CF_SEC_New_27-Feb-2024Rev3.xlsx]D-PNP'!$BX$15</t>
  </si>
  <si>
    <t>='C:\Users\jaime.benazar\Quorum Business Solutions\Ecopetrol Prometeo - Documents\Planning Space Implementation\3. Analysis &amp; Design\Design\FC22\DRR Jaime\QUIFA-CAJÚA\Cajua\[CAJUA_CF_SEC_New_27-Feb-2024Rev3.xlsx]D-PNP'!$BX$16</t>
  </si>
  <si>
    <t>='C:\Users\jaime.benazar\Quorum Business Solutions\Ecopetrol Prometeo - Documents\Planning Space Implementation\3. Analysis &amp; Design\Design\FC22\DRR Jaime\QUIFA-CAJÚA\Cajua\[CAJUA_CF_SEC_New_27-Feb-2024Rev3.xlsx]D-PNP'!$BX$17</t>
  </si>
  <si>
    <t>='C:\Users\jaime.benazar\Quorum Business Solutions\Ecopetrol Prometeo - Documents\Planning Space Implementation\3. Analysis &amp; Design\Design\FC22\DRR Jaime\QUIFA-CAJÚA\Cajua\[CAJUA_CF_SEC_New_27-Feb-2024Rev3.xlsx]D-PNP'!$BX$18</t>
  </si>
  <si>
    <t>='C:\Users\jaime.benazar\Quorum Business Solutions\Ecopetrol Prometeo - Documents\Planning Space Implementation\3. Analysis &amp; Design\Design\FC22\DRR Jaime\QUIFA-CAJÚA\Cajua\[CAJUA_CF_SEC_New_27-Feb-2024Rev3.xlsx]D-PNP'!$BX$19</t>
  </si>
  <si>
    <t>='C:\Users\jaime.benazar\Quorum Business Solutions\Ecopetrol Prometeo - Documents\Planning Space Implementation\3. Analysis &amp; Design\Design\FC22\DRR Jaime\QUIFA-CAJÚA\Cajua\[CAJUA_CF_SEC_New_27-Feb-2024Rev3.xlsx]D-PNP'!$BX$20</t>
  </si>
  <si>
    <t>='C:\Users\jaime.benazar\Quorum Business Solutions\Ecopetrol Prometeo - Documents\Planning Space Implementation\3. Analysis &amp; Design\Design\FC22\DRR Jaime\QUIFA-CAJÚA\Cajua\[CAJUA_CF_SEC_New_27-Feb-2024Rev3.xlsx]D-PNP'!$BX$21</t>
  </si>
  <si>
    <t>='C:\Users\jaime.benazar\Quorum Business Solutions\Ecopetrol Prometeo - Documents\Planning Space Implementation\3. Analysis &amp; Design\Design\FC22\DRR Jaime\QUIFA-CAJÚA\Cajua\[CAJUA_CF_SEC_New_27-Feb-2024Rev3.xlsx]D-PNP'!$BX$22</t>
  </si>
  <si>
    <t>='C:\Users\jaime.benazar\Quorum Business Solutions\Ecopetrol Prometeo - Documents\Planning Space Implementation\3. Analysis &amp; Design\Design\FC22\DRR Jaime\QUIFA-CAJÚA\Cajua\[CAJUA_CF_SEC_New_27-Feb-2024Rev3.xlsx]D-PNP'!$BX$23</t>
  </si>
  <si>
    <t>='C:\Users\jaime.benazar\Quorum Business Solutions\Ecopetrol Prometeo - Documents\Planning Space Implementation\3. Analysis &amp; Design\Design\FC22\DRR Jaime\QUIFA-CAJÚA\Cajua\[CAJUA_CF_SEC_New_27-Feb-2024Rev3.xlsx]D-PNP'!$BX$24</t>
  </si>
  <si>
    <t>='C:\Users\jaime.benazar\Quorum Business Solutions\Ecopetrol Prometeo - Documents\Planning Space Implementation\3. Analysis &amp; Design\Design\FC22\DRR Jaime\QUIFA-CAJÚA\Cajua\[CAJUA_CF_SEC_New_27-Feb-2024Rev3.xlsx]D-PNP'!$BX$25</t>
  </si>
  <si>
    <t>='C:\Users\jaime.benazar\Quorum Business Solutions\Ecopetrol Prometeo - Documents\Planning Space Implementation\3. Analysis &amp; Design\Design\FC22\DRR Jaime\QUIFA-CAJÚA\Cajua\[CAJUA_CF_SEC_New_27-Feb-2024Rev3.xlsx]D-PNP'!$BX$26</t>
  </si>
  <si>
    <t>='C:\Users\jaime.benazar\Quorum Business Solutions\Ecopetrol Prometeo - Documents\Planning Space Implementation\3. Analysis &amp; Design\Design\FC22\DRR Jaime\QUIFA-CAJÚA\Cajua\[CAJUA_CF_SEC_New_27-Feb-2024Rev3.xlsx]D-PNP'!$BX$27</t>
  </si>
  <si>
    <t>='C:\Users\jaime.benazar\Quorum Business Solutions\Ecopetrol Prometeo - Documents\Planning Space Implementation\3. Analysis &amp; Design\Design\FC22\DRR Jaime\QUIFA-CAJÚA\Cajua\[CAJUA_CF_SEC_New_27-Feb-2024Rev3.xlsx]D-PNP'!$BX$28</t>
  </si>
  <si>
    <t>='C:\Users\jaime.benazar\Quorum Business Solutions\Ecopetrol Prometeo - Documents\Planning Space Implementation\3. Analysis &amp; Design\Design\FC22\DRR Jaime\QUIFA-CAJÚA\Cajua\[CAJUA_CF_SEC_New_27-Feb-2024Rev3.xlsx]D-PNP'!$BX$29</t>
  </si>
  <si>
    <t>='C:\Users\jaime.benazar\Quorum Business Solutions\Ecopetrol Prometeo - Documents\Planning Space Implementation\3. Analysis &amp; Design\Design\FC22\DRR Jaime\QUIFA-CAJÚA\Cajua\[CAJUA_CF_SEC_New_27-Feb-2024Rev3.xlsx]D-PNP'!$BX$30</t>
  </si>
  <si>
    <t>='C:\Users\jaime.benazar\Quorum Business Solutions\Ecopetrol Prometeo - Documents\Planning Space Implementation\3. Analysis &amp; Design\Design\FC22\DRR Jaime\QUIFA-CAJÚA\Cajua\[CAJUA_CF_SEC_New_27-Feb-2024Rev3.xlsx]D-PNP'!$BX$31</t>
  </si>
  <si>
    <t>='C:\Users\jaime.benazar\Quorum Business Solutions\Ecopetrol Prometeo - Documents\Planning Space Implementation\3. Analysis &amp; Design\Design\FC22\DRR Jaime\QUIFA-CAJÚA\Cajua\[CAJUA_CF_SEC_New_27-Feb-2024Rev3.xlsx]D-PNP'!$BX$32</t>
  </si>
  <si>
    <t>='C:\Users\jaime.benazar\Quorum Business Solutions\Ecopetrol Prometeo - Documents\Planning Space Implementation\3. Analysis &amp; Design\Design\FC22\DRR Jaime\QUIFA-CAJÚA\Cajua\[CAJUA_CF_SEC_New_27-Feb-2024Rev3.xlsx]D-PNP'!$BX$33</t>
  </si>
  <si>
    <t>='C:\Users\jaime.benazar\Quorum Business Solutions\Ecopetrol Prometeo - Documents\Planning Space Implementation\3. Analysis &amp; Design\Design\FC22\DRR Jaime\QUIFA-CAJÚA\Cajua\[CAJUA_CF_SEC_New_27-Feb-2024Rev3.xlsx]D-PNP'!$BX$34</t>
  </si>
  <si>
    <t>='C:\Users\jaime.benazar\Quorum Business Solutions\Ecopetrol Prometeo - Documents\Planning Space Implementation\3. Analysis &amp; Design\Design\FC22\DRR Jaime\QUIFA-CAJÚA\Cajua\[CAJUA_CF_SEC_New_27-Feb-2024Rev3.xlsx]D-PNP'!$BX$35</t>
  </si>
  <si>
    <t>='C:\Users\jaime.benazar\Quorum Business Solutions\Ecopetrol Prometeo - Documents\Planning Space Implementation\3. Analysis &amp; Design\Design\FC22\DRR Jaime\QUIFA-CAJÚA\Cajua\[CAJUA_CF_SEC_New_27-Feb-2024Rev3.xlsx]D-PNP'!$BX$36</t>
  </si>
  <si>
    <t>='C:\Users\jaime.benazar\Quorum Business Solutions\Ecopetrol Prometeo - Documents\Planning Space Implementation\3. Analysis &amp; Design\Design\FC22\DRR Jaime\QUIFA-CAJÚA\Cajua\[CAJUA_CF_SEC_New_27-Feb-2024Rev3.xlsx]D-PNP'!$BX$37</t>
  </si>
  <si>
    <t>='C:\Users\jaime.benazar\Quorum Business Solutions\Ecopetrol Prometeo - Documents\Planning Space Implementation\3. Analysis &amp; Design\Design\FC22\DRR Jaime\QUIFA-CAJÚA\Cajua\[CAJUA_CF_SEC_New_27-Feb-2024Rev3.xlsx]D-PNP'!$BX$38</t>
  </si>
  <si>
    <t>='C:\Users\jaime.benazar\Quorum Business Solutions\Ecopetrol Prometeo - Documents\Planning Space Implementation\3. Analysis &amp; Design\Design\FC22\DRR Jaime\QUIFA-CAJÚA\Cajua\[CAJUA_CF_SEC_New_27-Feb-2024Rev3.xlsx]D-PNP'!$BX$39</t>
  </si>
  <si>
    <t>='C:\Users\jaime.benazar\Quorum Business Solutions\Ecopetrol Prometeo - Documents\Planning Space Implementation\3. Analysis &amp; Design\Design\FC22\DRR Jaime\QUIFA-CAJÚA\Cajua\[CAJUA_CF_SEC_New_27-Feb-2024Rev3.xlsx]D-PNP'!$BX$40</t>
  </si>
  <si>
    <t>='C:\Users\jaime.benazar\Quorum Business Solutions\Ecopetrol Prometeo - Documents\Planning Space Implementation\3. Analysis &amp; Design\Design\FC22\DRR Jaime\QUIFA-CAJÚA\Cajua\[CAJUA_CF_SEC_New_27-Feb-2024Rev3.xlsx]D-PNP'!$BX$41</t>
  </si>
  <si>
    <t>='C:\Users\jaime.benazar\Quorum Business Solutions\Ecopetrol Prometeo - Documents\Planning Space Implementation\3. Analysis &amp; Design\Design\FC22\DRR Jaime\QUIFA-CAJÚA\Cajua\[CAJUA_CF_SEC_New_27-Feb-2024Rev3.xlsx]D-PNP'!$BX$42</t>
  </si>
  <si>
    <t>='C:\Users\jaime.benazar\Quorum Business Solutions\Ecopetrol Prometeo - Documents\Planning Space Implementation\3. Analysis &amp; Design\Design\FC22\DRR Jaime\QUIFA-CAJÚA\Cajua\[CAJUA_CF_SEC_New_27-Feb-2024Rev3.xlsx]D-PNP'!$BX$43</t>
  </si>
  <si>
    <t>='C:\Users\jaime.benazar\Quorum Business Solutions\Ecopetrol Prometeo - Documents\Planning Space Implementation\3. Analysis &amp; Design\Design\FC22\DRR Jaime\QUIFA-CAJÚA\Cajua\[CAJUA_CF_SEC_New_27-Feb-2024Rev3.xlsx]D-PNP'!$BX$44</t>
  </si>
  <si>
    <t>='C:\Users\jaime.benazar\Quorum Business Solutions\Ecopetrol Prometeo - Documents\Planning Space Implementation\3. Analysis &amp; Design\Design\FC22\DRR Jaime\QUIFA-CAJÚA\Cajua\[CAJUA_CF_SEC_New_27-Feb-2024Rev3.xlsx]D-PNP'!$BX$45</t>
  </si>
  <si>
    <t>='C:\Users\jaime.benazar\Quorum Business Solutions\Ecopetrol Prometeo - Documents\Planning Space Implementation\3. Analysis &amp; Design\Design\FC22\DRR Jaime\QUIFA-CAJÚA\Cajua\[CAJUA_CF_SEC_New_27-Feb-2024Rev3.xlsx]D-PNP'!$BX$46</t>
  </si>
  <si>
    <t>='C:\Users\jaime.benazar\Quorum Business Solutions\Ecopetrol Prometeo - Documents\Planning Space Implementation\3. Analysis &amp; Design\Design\FC22\DRR Jaime\QUIFA-CAJÚA\Cajua\[CAJUA_CF_SEC_New_27-Feb-2024Rev3.xlsx]D-PNP'!$BX$47</t>
  </si>
  <si>
    <t>='C:\Users\jaime.benazar\Quorum Business Solutions\Ecopetrol Prometeo - Documents\Planning Space Implementation\3. Analysis &amp; Design\Design\FC22\DRR Jaime\QUIFA-CAJÚA\Cajua\[CAJUA_CF_SEC_New_27-Feb-2024Rev3.xlsx]D-PNP'!$BX$48</t>
  </si>
  <si>
    <t>='C:\Users\jaime.benazar\Quorum Business Solutions\Ecopetrol Prometeo - Documents\Planning Space Implementation\3. Analysis &amp; Design\Design\FC22\DRR Jaime\QUIFA-CAJÚA\Cajua\[CAJUA_CF_SEC_New_27-Feb-2024Rev3.xlsx]D-PND'!$BX$12</t>
  </si>
  <si>
    <t>='C:\Users\jaime.benazar\Quorum Business Solutions\Ecopetrol Prometeo - Documents\Planning Space Implementation\3. Analysis &amp; Design\Design\FC22\DRR Jaime\QUIFA-CAJÚA\Cajua\[CAJUA_CF_SEC_New_27-Feb-2024Rev3.xlsx]D-PND'!$BX$13</t>
  </si>
  <si>
    <t>='C:\Users\jaime.benazar\Quorum Business Solutions\Ecopetrol Prometeo - Documents\Planning Space Implementation\3. Analysis &amp; Design\Design\FC22\DRR Jaime\QUIFA-CAJÚA\Cajua\[CAJUA_CF_SEC_New_27-Feb-2024Rev3.xlsx]D-PND'!$BX$14</t>
  </si>
  <si>
    <t>='C:\Users\jaime.benazar\Quorum Business Solutions\Ecopetrol Prometeo - Documents\Planning Space Implementation\3. Analysis &amp; Design\Design\FC22\DRR Jaime\QUIFA-CAJÚA\Cajua\[CAJUA_CF_SEC_New_27-Feb-2024Rev3.xlsx]D-PND'!$BX$15</t>
  </si>
  <si>
    <t>='C:\Users\jaime.benazar\Quorum Business Solutions\Ecopetrol Prometeo - Documents\Planning Space Implementation\3. Analysis &amp; Design\Design\FC22\DRR Jaime\QUIFA-CAJÚA\Cajua\[CAJUA_CF_SEC_New_27-Feb-2024Rev3.xlsx]D-PND'!$BX$16</t>
  </si>
  <si>
    <t>='C:\Users\jaime.benazar\Quorum Business Solutions\Ecopetrol Prometeo - Documents\Planning Space Implementation\3. Analysis &amp; Design\Design\FC22\DRR Jaime\QUIFA-CAJÚA\Cajua\[CAJUA_CF_SEC_New_27-Feb-2024Rev3.xlsx]D-PND'!$BX$17</t>
  </si>
  <si>
    <t>='C:\Users\jaime.benazar\Quorum Business Solutions\Ecopetrol Prometeo - Documents\Planning Space Implementation\3. Analysis &amp; Design\Design\FC22\DRR Jaime\QUIFA-CAJÚA\Cajua\[CAJUA_CF_SEC_New_27-Feb-2024Rev3.xlsx]D-PND'!$BX$18</t>
  </si>
  <si>
    <t>='C:\Users\jaime.benazar\Quorum Business Solutions\Ecopetrol Prometeo - Documents\Planning Space Implementation\3. Analysis &amp; Design\Design\FC22\DRR Jaime\QUIFA-CAJÚA\Cajua\[CAJUA_CF_SEC_New_27-Feb-2024Rev3.xlsx]D-PND'!$BX$19</t>
  </si>
  <si>
    <t>='C:\Users\jaime.benazar\Quorum Business Solutions\Ecopetrol Prometeo - Documents\Planning Space Implementation\3. Analysis &amp; Design\Design\FC22\DRR Jaime\QUIFA-CAJÚA\Cajua\[CAJUA_CF_SEC_New_27-Feb-2024Rev3.xlsx]D-PND'!$BX$20</t>
  </si>
  <si>
    <t>='C:\Users\jaime.benazar\Quorum Business Solutions\Ecopetrol Prometeo - Documents\Planning Space Implementation\3. Analysis &amp; Design\Design\FC22\DRR Jaime\QUIFA-CAJÚA\Cajua\[CAJUA_CF_SEC_New_27-Feb-2024Rev3.xlsx]D-PND'!$BX$21</t>
  </si>
  <si>
    <t>='C:\Users\jaime.benazar\Quorum Business Solutions\Ecopetrol Prometeo - Documents\Planning Space Implementation\3. Analysis &amp; Design\Design\FC22\DRR Jaime\QUIFA-CAJÚA\Cajua\[CAJUA_CF_SEC_New_27-Feb-2024Rev3.xlsx]D-PND'!$BX$22</t>
  </si>
  <si>
    <t>='C:\Users\jaime.benazar\Quorum Business Solutions\Ecopetrol Prometeo - Documents\Planning Space Implementation\3. Analysis &amp; Design\Design\FC22\DRR Jaime\QUIFA-CAJÚA\Cajua\[CAJUA_CF_SEC_New_27-Feb-2024Rev3.xlsx]D-PND'!$BX$23</t>
  </si>
  <si>
    <t>='C:\Users\jaime.benazar\Quorum Business Solutions\Ecopetrol Prometeo - Documents\Planning Space Implementation\3. Analysis &amp; Design\Design\FC22\DRR Jaime\QUIFA-CAJÚA\Cajua\[CAJUA_CF_SEC_New_27-Feb-2024Rev3.xlsx]D-PND'!$BX$24</t>
  </si>
  <si>
    <t>='C:\Users\jaime.benazar\Quorum Business Solutions\Ecopetrol Prometeo - Documents\Planning Space Implementation\3. Analysis &amp; Design\Design\FC22\DRR Jaime\QUIFA-CAJÚA\Cajua\[CAJUA_CF_SEC_New_27-Feb-2024Rev3.xlsx]D-PND'!$BX$25</t>
  </si>
  <si>
    <t>='C:\Users\jaime.benazar\Quorum Business Solutions\Ecopetrol Prometeo - Documents\Planning Space Implementation\3. Analysis &amp; Design\Design\FC22\DRR Jaime\QUIFA-CAJÚA\Cajua\[CAJUA_CF_SEC_New_27-Feb-2024Rev3.xlsx]D-PND'!$BX$26</t>
  </si>
  <si>
    <t>='C:\Users\jaime.benazar\Quorum Business Solutions\Ecopetrol Prometeo - Documents\Planning Space Implementation\3. Analysis &amp; Design\Design\FC22\DRR Jaime\QUIFA-CAJÚA\Cajua\[CAJUA_CF_SEC_New_27-Feb-2024Rev3.xlsx]D-PND'!$BX$27</t>
  </si>
  <si>
    <t>='C:\Users\jaime.benazar\Quorum Business Solutions\Ecopetrol Prometeo - Documents\Planning Space Implementation\3. Analysis &amp; Design\Design\FC22\DRR Jaime\QUIFA-CAJÚA\Cajua\[CAJUA_CF_SEC_New_27-Feb-2024Rev3.xlsx]D-PND'!$BX$28</t>
  </si>
  <si>
    <t>='C:\Users\jaime.benazar\Quorum Business Solutions\Ecopetrol Prometeo - Documents\Planning Space Implementation\3. Analysis &amp; Design\Design\FC22\DRR Jaime\QUIFA-CAJÚA\Cajua\[CAJUA_CF_SEC_New_27-Feb-2024Rev3.xlsx]D-PND'!$BX$29</t>
  </si>
  <si>
    <t>='C:\Users\jaime.benazar\Quorum Business Solutions\Ecopetrol Prometeo - Documents\Planning Space Implementation\3. Analysis &amp; Design\Design\FC22\DRR Jaime\QUIFA-CAJÚA\Cajua\[CAJUA_CF_SEC_New_27-Feb-2024Rev3.xlsx]D-PND'!$BX$30</t>
  </si>
  <si>
    <t>='C:\Users\jaime.benazar\Quorum Business Solutions\Ecopetrol Prometeo - Documents\Planning Space Implementation\3. Analysis &amp; Design\Design\FC22\DRR Jaime\QUIFA-CAJÚA\Cajua\[CAJUA_CF_SEC_New_27-Feb-2024Rev3.xlsx]D-PND'!$BX$31</t>
  </si>
  <si>
    <t>='C:\Users\jaime.benazar\Quorum Business Solutions\Ecopetrol Prometeo - Documents\Planning Space Implementation\3. Analysis &amp; Design\Design\FC22\DRR Jaime\QUIFA-CAJÚA\Cajua\[CAJUA_CF_SEC_New_27-Feb-2024Rev3.xlsx]D-PND'!$BX$32</t>
  </si>
  <si>
    <t>='C:\Users\jaime.benazar\Quorum Business Solutions\Ecopetrol Prometeo - Documents\Planning Space Implementation\3. Analysis &amp; Design\Design\FC22\DRR Jaime\QUIFA-CAJÚA\Cajua\[CAJUA_CF_SEC_New_27-Feb-2024Rev3.xlsx]D-PND'!$BX$33</t>
  </si>
  <si>
    <t>='C:\Users\jaime.benazar\Quorum Business Solutions\Ecopetrol Prometeo - Documents\Planning Space Implementation\3. Analysis &amp; Design\Design\FC22\DRR Jaime\QUIFA-CAJÚA\Cajua\[CAJUA_CF_SEC_New_27-Feb-2024Rev3.xlsx]D-PND'!$BX$34</t>
  </si>
  <si>
    <t>='C:\Users\jaime.benazar\Quorum Business Solutions\Ecopetrol Prometeo - Documents\Planning Space Implementation\3. Analysis &amp; Design\Design\FC22\DRR Jaime\QUIFA-CAJÚA\Cajua\[CAJUA_CF_SEC_New_27-Feb-2024Rev3.xlsx]D-PND'!$BX$35</t>
  </si>
  <si>
    <t>='C:\Users\jaime.benazar\Quorum Business Solutions\Ecopetrol Prometeo - Documents\Planning Space Implementation\3. Analysis &amp; Design\Design\FC22\DRR Jaime\QUIFA-CAJÚA\Cajua\[CAJUA_CF_SEC_New_27-Feb-2024Rev3.xlsx]D-PND'!$BX$36</t>
  </si>
  <si>
    <t>='C:\Users\jaime.benazar\Quorum Business Solutions\Ecopetrol Prometeo - Documents\Planning Space Implementation\3. Analysis &amp; Design\Design\FC22\DRR Jaime\QUIFA-CAJÚA\Cajua\[CAJUA_CF_SEC_New_27-Feb-2024Rev3.xlsx]D-PND'!$BX$37</t>
  </si>
  <si>
    <t>='C:\Users\jaime.benazar\Quorum Business Solutions\Ecopetrol Prometeo - Documents\Planning Space Implementation\3. Analysis &amp; Design\Design\FC22\DRR Jaime\QUIFA-CAJÚA\Cajua\[CAJUA_CF_SEC_New_27-Feb-2024Rev3.xlsx]D-PND'!$BX$38</t>
  </si>
  <si>
    <t>='C:\Users\jaime.benazar\Quorum Business Solutions\Ecopetrol Prometeo - Documents\Planning Space Implementation\3. Analysis &amp; Design\Design\FC22\DRR Jaime\QUIFA-CAJÚA\Cajua\[CAJUA_CF_SEC_New_27-Feb-2024Rev3.xlsx]D-PND'!$BX$39</t>
  </si>
  <si>
    <t>='C:\Users\jaime.benazar\Quorum Business Solutions\Ecopetrol Prometeo - Documents\Planning Space Implementation\3. Analysis &amp; Design\Design\FC22\DRR Jaime\QUIFA-CAJÚA\Cajua\[CAJUA_CF_SEC_New_27-Feb-2024Rev3.xlsx]D-PND'!$BX$40</t>
  </si>
  <si>
    <t>='C:\Users\jaime.benazar\Quorum Business Solutions\Ecopetrol Prometeo - Documents\Planning Space Implementation\3. Analysis &amp; Design\Design\FC22\DRR Jaime\QUIFA-CAJÚA\Cajua\[CAJUA_CF_SEC_New_27-Feb-2024Rev3.xlsx]D-PND'!$BX$41</t>
  </si>
  <si>
    <t>='C:\Users\jaime.benazar\Quorum Business Solutions\Ecopetrol Prometeo - Documents\Planning Space Implementation\3. Analysis &amp; Design\Design\FC22\DRR Jaime\QUIFA-CAJÚA\Cajua\[CAJUA_CF_SEC_New_27-Feb-2024Rev3.xlsx]D-PND'!$BX$42</t>
  </si>
  <si>
    <t>='C:\Users\jaime.benazar\Quorum Business Solutions\Ecopetrol Prometeo - Documents\Planning Space Implementation\3. Analysis &amp; Design\Design\FC22\DRR Jaime\QUIFA-CAJÚA\Cajua\[CAJUA_CF_SEC_New_27-Feb-2024Rev3.xlsx]D-PND'!$BX$43</t>
  </si>
  <si>
    <t>='C:\Users\jaime.benazar\Quorum Business Solutions\Ecopetrol Prometeo - Documents\Planning Space Implementation\3. Analysis &amp; Design\Design\FC22\DRR Jaime\QUIFA-CAJÚA\Cajua\[CAJUA_CF_SEC_New_27-Feb-2024Rev3.xlsx]D-PND'!$BX$44</t>
  </si>
  <si>
    <t>='C:\Users\jaime.benazar\Quorum Business Solutions\Ecopetrol Prometeo - Documents\Planning Space Implementation\3. Analysis &amp; Design\Design\FC22\DRR Jaime\QUIFA-CAJÚA\Cajua\[CAJUA_CF_SEC_New_27-Feb-2024Rev3.xlsx]D-PND'!$BX$45</t>
  </si>
  <si>
    <t>='C:\Users\jaime.benazar\Quorum Business Solutions\Ecopetrol Prometeo - Documents\Planning Space Implementation\3. Analysis &amp; Design\Design\FC22\DRR Jaime\QUIFA-CAJÚA\Cajua\[CAJUA_CF_SEC_New_27-Feb-2024Rev3.xlsx]D-PND'!$BX$46</t>
  </si>
  <si>
    <t>='C:\Users\jaime.benazar\Quorum Business Solutions\Ecopetrol Prometeo - Documents\Planning Space Implementation\3. Analysis &amp; Design\Design\FC22\DRR Jaime\QUIFA-CAJÚA\Cajua\[CAJUA_CF_SEC_New_27-Feb-2024Rev3.xlsx]D-PND'!$BX$47</t>
  </si>
  <si>
    <t>='C:\Users\jaime.benazar\Quorum Business Solutions\Ecopetrol Prometeo - Documents\Planning Space Implementation\3. Analysis &amp; Design\Design\FC22\DRR Jaime\QUIFA-CAJÚA\Cajua\[CAJUA_CF_SEC_New_27-Feb-2024Rev3.xlsx]D-PND'!$BX$48</t>
  </si>
  <si>
    <t>='C:\Users\jaime.benazar\Quorum Business Solutions\Ecopetrol Prometeo - Documents\Planning Space Implementation\3. Analysis &amp; Design\Design\FC22\DRR Jaime\QUIFA-CAJÚA\Cajua\[CAJUA_CF_SEC_New_27-Feb-2024Rev3.xlsx]D-PRB'!$BX$12</t>
  </si>
  <si>
    <t>='C:\Users\jaime.benazar\Quorum Business Solutions\Ecopetrol Prometeo - Documents\Planning Space Implementation\3. Analysis &amp; Design\Design\FC22\DRR Jaime\QUIFA-CAJÚA\Cajua\[CAJUA_CF_SEC_New_27-Feb-2024Rev3.xlsx]D-PRB'!$BX$13</t>
  </si>
  <si>
    <t>='C:\Users\jaime.benazar\Quorum Business Solutions\Ecopetrol Prometeo - Documents\Planning Space Implementation\3. Analysis &amp; Design\Design\FC22\DRR Jaime\QUIFA-CAJÚA\Cajua\[CAJUA_CF_SEC_New_27-Feb-2024Rev3.xlsx]D-PRB'!$BX$14</t>
  </si>
  <si>
    <t>='C:\Users\jaime.benazar\Quorum Business Solutions\Ecopetrol Prometeo - Documents\Planning Space Implementation\3. Analysis &amp; Design\Design\FC22\DRR Jaime\QUIFA-CAJÚA\Cajua\[CAJUA_CF_SEC_New_27-Feb-2024Rev3.xlsx]D-PRB'!$BX$15</t>
  </si>
  <si>
    <t>='C:\Users\jaime.benazar\Quorum Business Solutions\Ecopetrol Prometeo - Documents\Planning Space Implementation\3. Analysis &amp; Design\Design\FC22\DRR Jaime\QUIFA-CAJÚA\Cajua\[CAJUA_CF_SEC_New_27-Feb-2024Rev3.xlsx]D-PRB'!$BX$16</t>
  </si>
  <si>
    <t>='C:\Users\jaime.benazar\Quorum Business Solutions\Ecopetrol Prometeo - Documents\Planning Space Implementation\3. Analysis &amp; Design\Design\FC22\DRR Jaime\QUIFA-CAJÚA\Cajua\[CAJUA_CF_SEC_New_27-Feb-2024Rev3.xlsx]D-PRB'!$BX$17</t>
  </si>
  <si>
    <t>='C:\Users\jaime.benazar\Quorum Business Solutions\Ecopetrol Prometeo - Documents\Planning Space Implementation\3. Analysis &amp; Design\Design\FC22\DRR Jaime\QUIFA-CAJÚA\Cajua\[CAJUA_CF_SEC_New_27-Feb-2024Rev3.xlsx]D-PRB'!$BX$18</t>
  </si>
  <si>
    <t>='C:\Users\jaime.benazar\Quorum Business Solutions\Ecopetrol Prometeo - Documents\Planning Space Implementation\3. Analysis &amp; Design\Design\FC22\DRR Jaime\QUIFA-CAJÚA\Cajua\[CAJUA_CF_SEC_New_27-Feb-2024Rev3.xlsx]D-PRB'!$BX$19</t>
  </si>
  <si>
    <t>='C:\Users\jaime.benazar\Quorum Business Solutions\Ecopetrol Prometeo - Documents\Planning Space Implementation\3. Analysis &amp; Design\Design\FC22\DRR Jaime\QUIFA-CAJÚA\Cajua\[CAJUA_CF_SEC_New_27-Feb-2024Rev3.xlsx]D-PRB'!$BX$20</t>
  </si>
  <si>
    <t>='C:\Users\jaime.benazar\Quorum Business Solutions\Ecopetrol Prometeo - Documents\Planning Space Implementation\3. Analysis &amp; Design\Design\FC22\DRR Jaime\QUIFA-CAJÚA\Cajua\[CAJUA_CF_SEC_New_27-Feb-2024Rev3.xlsx]D-PRB'!$BX$21</t>
  </si>
  <si>
    <t>='C:\Users\jaime.benazar\Quorum Business Solutions\Ecopetrol Prometeo - Documents\Planning Space Implementation\3. Analysis &amp; Design\Design\FC22\DRR Jaime\QUIFA-CAJÚA\Cajua\[CAJUA_CF_SEC_New_27-Feb-2024Rev3.xlsx]D-PRB'!$BX$22</t>
  </si>
  <si>
    <t>='C:\Users\jaime.benazar\Quorum Business Solutions\Ecopetrol Prometeo - Documents\Planning Space Implementation\3. Analysis &amp; Design\Design\FC22\DRR Jaime\QUIFA-CAJÚA\Cajua\[CAJUA_CF_SEC_New_27-Feb-2024Rev3.xlsx]D-PRB'!$BX$23</t>
  </si>
  <si>
    <t>='C:\Users\jaime.benazar\Quorum Business Solutions\Ecopetrol Prometeo - Documents\Planning Space Implementation\3. Analysis &amp; Design\Design\FC22\DRR Jaime\QUIFA-CAJÚA\Cajua\[CAJUA_CF_SEC_New_27-Feb-2024Rev3.xlsx]D-PRB'!$BX$24</t>
  </si>
  <si>
    <t>='C:\Users\jaime.benazar\Quorum Business Solutions\Ecopetrol Prometeo - Documents\Planning Space Implementation\3. Analysis &amp; Design\Design\FC22\DRR Jaime\QUIFA-CAJÚA\Cajua\[CAJUA_CF_SEC_New_27-Feb-2024Rev3.xlsx]D-PRB'!$BX$25</t>
  </si>
  <si>
    <t>='C:\Users\jaime.benazar\Quorum Business Solutions\Ecopetrol Prometeo - Documents\Planning Space Implementation\3. Analysis &amp; Design\Design\FC22\DRR Jaime\QUIFA-CAJÚA\Cajua\[CAJUA_CF_SEC_New_27-Feb-2024Rev3.xlsx]D-PRB'!$BX$26</t>
  </si>
  <si>
    <t>='C:\Users\jaime.benazar\Quorum Business Solutions\Ecopetrol Prometeo - Documents\Planning Space Implementation\3. Analysis &amp; Design\Design\FC22\DRR Jaime\QUIFA-CAJÚA\Cajua\[CAJUA_CF_SEC_New_27-Feb-2024Rev3.xlsx]D-PRB'!$BX$27</t>
  </si>
  <si>
    <t>='C:\Users\jaime.benazar\Quorum Business Solutions\Ecopetrol Prometeo - Documents\Planning Space Implementation\3. Analysis &amp; Design\Design\FC22\DRR Jaime\QUIFA-CAJÚA\Cajua\[CAJUA_CF_SEC_New_27-Feb-2024Rev3.xlsx]D-PRB'!$BX$28</t>
  </si>
  <si>
    <t>='C:\Users\jaime.benazar\Quorum Business Solutions\Ecopetrol Prometeo - Documents\Planning Space Implementation\3. Analysis &amp; Design\Design\FC22\DRR Jaime\QUIFA-CAJÚA\Cajua\[CAJUA_CF_SEC_New_27-Feb-2024Rev3.xlsx]D-PRB'!$BX$29</t>
  </si>
  <si>
    <t>='C:\Users\jaime.benazar\Quorum Business Solutions\Ecopetrol Prometeo - Documents\Planning Space Implementation\3. Analysis &amp; Design\Design\FC22\DRR Jaime\QUIFA-CAJÚA\Cajua\[CAJUA_CF_SEC_New_27-Feb-2024Rev3.xlsx]D-PRB'!$BX$30</t>
  </si>
  <si>
    <t>='C:\Users\jaime.benazar\Quorum Business Solutions\Ecopetrol Prometeo - Documents\Planning Space Implementation\3. Analysis &amp; Design\Design\FC22\DRR Jaime\QUIFA-CAJÚA\Cajua\[CAJUA_CF_SEC_New_27-Feb-2024Rev3.xlsx]D-PRB'!$BX$31</t>
  </si>
  <si>
    <t>='C:\Users\jaime.benazar\Quorum Business Solutions\Ecopetrol Prometeo - Documents\Planning Space Implementation\3. Analysis &amp; Design\Design\FC22\DRR Jaime\QUIFA-CAJÚA\Cajua\[CAJUA_CF_SEC_New_27-Feb-2024Rev3.xlsx]D-PRB'!$BX$32</t>
  </si>
  <si>
    <t>='C:\Users\jaime.benazar\Quorum Business Solutions\Ecopetrol Prometeo - Documents\Planning Space Implementation\3. Analysis &amp; Design\Design\FC22\DRR Jaime\QUIFA-CAJÚA\Cajua\[CAJUA_CF_SEC_New_27-Feb-2024Rev3.xlsx]D-PRB'!$BX$33</t>
  </si>
  <si>
    <t>='C:\Users\jaime.benazar\Quorum Business Solutions\Ecopetrol Prometeo - Documents\Planning Space Implementation\3. Analysis &amp; Design\Design\FC22\DRR Jaime\QUIFA-CAJÚA\Cajua\[CAJUA_CF_SEC_New_27-Feb-2024Rev3.xlsx]D-PRB'!$BX$34</t>
  </si>
  <si>
    <t>='C:\Users\jaime.benazar\Quorum Business Solutions\Ecopetrol Prometeo - Documents\Planning Space Implementation\3. Analysis &amp; Design\Design\FC22\DRR Jaime\QUIFA-CAJÚA\Cajua\[CAJUA_CF_SEC_New_27-Feb-2024Rev3.xlsx]D-PRB'!$BX$35</t>
  </si>
  <si>
    <t>='C:\Users\jaime.benazar\Quorum Business Solutions\Ecopetrol Prometeo - Documents\Planning Space Implementation\3. Analysis &amp; Design\Design\FC22\DRR Jaime\QUIFA-CAJÚA\Cajua\[CAJUA_CF_SEC_New_27-Feb-2024Rev3.xlsx]D-PRB'!$BX$36</t>
  </si>
  <si>
    <t>='C:\Users\jaime.benazar\Quorum Business Solutions\Ecopetrol Prometeo - Documents\Planning Space Implementation\3. Analysis &amp; Design\Design\FC22\DRR Jaime\QUIFA-CAJÚA\Cajua\[CAJUA_CF_SEC_New_27-Feb-2024Rev3.xlsx]D-PRB'!$BX$37</t>
  </si>
  <si>
    <t>='C:\Users\jaime.benazar\Quorum Business Solutions\Ecopetrol Prometeo - Documents\Planning Space Implementation\3. Analysis &amp; Design\Design\FC22\DRR Jaime\QUIFA-CAJÚA\Cajua\[CAJUA_CF_SEC_New_27-Feb-2024Rev3.xlsx]D-PRB'!$BX$38</t>
  </si>
  <si>
    <t>='C:\Users\jaime.benazar\Quorum Business Solutions\Ecopetrol Prometeo - Documents\Planning Space Implementation\3. Analysis &amp; Design\Design\FC22\DRR Jaime\QUIFA-CAJÚA\Cajua\[CAJUA_CF_SEC_New_27-Feb-2024Rev3.xlsx]D-PRB'!$BX$39</t>
  </si>
  <si>
    <t>='C:\Users\jaime.benazar\Quorum Business Solutions\Ecopetrol Prometeo - Documents\Planning Space Implementation\3. Analysis &amp; Design\Design\FC22\DRR Jaime\QUIFA-CAJÚA\Cajua\[CAJUA_CF_SEC_New_27-Feb-2024Rev3.xlsx]D-PRB'!$BX$40</t>
  </si>
  <si>
    <t>='C:\Users\jaime.benazar\Quorum Business Solutions\Ecopetrol Prometeo - Documents\Planning Space Implementation\3. Analysis &amp; Design\Design\FC22\DRR Jaime\QUIFA-CAJÚA\Cajua\[CAJUA_CF_SEC_New_27-Feb-2024Rev3.xlsx]D-PRB'!$BX$41</t>
  </si>
  <si>
    <t>='C:\Users\jaime.benazar\Quorum Business Solutions\Ecopetrol Prometeo - Documents\Planning Space Implementation\3. Analysis &amp; Design\Design\FC22\DRR Jaime\QUIFA-CAJÚA\Cajua\[CAJUA_CF_SEC_New_27-Feb-2024Rev3.xlsx]D-PRB'!$BX$42</t>
  </si>
  <si>
    <t>='C:\Users\jaime.benazar\Quorum Business Solutions\Ecopetrol Prometeo - Documents\Planning Space Implementation\3. Analysis &amp; Design\Design\FC22\DRR Jaime\QUIFA-CAJÚA\Cajua\[CAJUA_CF_SEC_New_27-Feb-2024Rev3.xlsx]D-PRB'!$BX$43</t>
  </si>
  <si>
    <t>='C:\Users\jaime.benazar\Quorum Business Solutions\Ecopetrol Prometeo - Documents\Planning Space Implementation\3. Analysis &amp; Design\Design\FC22\DRR Jaime\QUIFA-CAJÚA\Cajua\[CAJUA_CF_SEC_New_27-Feb-2024Rev3.xlsx]D-PRB'!$BX$44</t>
  </si>
  <si>
    <t>='C:\Users\jaime.benazar\Quorum Business Solutions\Ecopetrol Prometeo - Documents\Planning Space Implementation\3. Analysis &amp; Design\Design\FC22\DRR Jaime\QUIFA-CAJÚA\Cajua\[CAJUA_CF_SEC_New_27-Feb-2024Rev3.xlsx]D-PRB'!$BX$45</t>
  </si>
  <si>
    <t>='C:\Users\jaime.benazar\Quorum Business Solutions\Ecopetrol Prometeo - Documents\Planning Space Implementation\3. Analysis &amp; Design\Design\FC22\DRR Jaime\QUIFA-CAJÚA\Cajua\[CAJUA_CF_SEC_New_27-Feb-2024Rev3.xlsx]D-PRB'!$BX$46</t>
  </si>
  <si>
    <t>='C:\Users\jaime.benazar\Quorum Business Solutions\Ecopetrol Prometeo - Documents\Planning Space Implementation\3. Analysis &amp; Design\Design\FC22\DRR Jaime\QUIFA-CAJÚA\Cajua\[CAJUA_CF_SEC_New_27-Feb-2024Rev3.xlsx]D-PRB'!$BX$47</t>
  </si>
  <si>
    <t>='C:\Users\jaime.benazar\Quorum Business Solutions\Ecopetrol Prometeo - Documents\Planning Space Implementation\3. Analysis &amp; Design\Design\FC22\DRR Jaime\QUIFA-CAJÚA\Cajua\[CAJUA_CF_SEC_New_27-Feb-2024Rev3.xlsx]D-PRB'!$BX$48</t>
  </si>
  <si>
    <t>='C:\Users\jaime.benazar\Quorum Business Solutions\Ecopetrol Prometeo - Documents\Planning Space Implementation\3. Analysis &amp; Design\Design\FC22\DRR Jaime\QUIFA-CAJÚA\Cajua\[CAJUA_CF_SEC_New_27-Feb-2024Rev3.xlsx]D-PS'!$BX$12</t>
  </si>
  <si>
    <t>='C:\Users\jaime.benazar\Quorum Business Solutions\Ecopetrol Prometeo - Documents\Planning Space Implementation\3. Analysis &amp; Design\Design\FC22\DRR Jaime\QUIFA-CAJÚA\Cajua\[CAJUA_CF_SEC_New_27-Feb-2024Rev3.xlsx]D-PS'!$BX$13</t>
  </si>
  <si>
    <t>='C:\Users\jaime.benazar\Quorum Business Solutions\Ecopetrol Prometeo - Documents\Planning Space Implementation\3. Analysis &amp; Design\Design\FC22\DRR Jaime\QUIFA-CAJÚA\Cajua\[CAJUA_CF_SEC_New_27-Feb-2024Rev3.xlsx]D-PS'!$BX$14</t>
  </si>
  <si>
    <t>='C:\Users\jaime.benazar\Quorum Business Solutions\Ecopetrol Prometeo - Documents\Planning Space Implementation\3. Analysis &amp; Design\Design\FC22\DRR Jaime\QUIFA-CAJÚA\Cajua\[CAJUA_CF_SEC_New_27-Feb-2024Rev3.xlsx]D-PS'!$BX$15</t>
  </si>
  <si>
    <t>='C:\Users\jaime.benazar\Quorum Business Solutions\Ecopetrol Prometeo - Documents\Planning Space Implementation\3. Analysis &amp; Design\Design\FC22\DRR Jaime\QUIFA-CAJÚA\Cajua\[CAJUA_CF_SEC_New_27-Feb-2024Rev3.xlsx]D-PS'!$BX$16</t>
  </si>
  <si>
    <t>='C:\Users\jaime.benazar\Quorum Business Solutions\Ecopetrol Prometeo - Documents\Planning Space Implementation\3. Analysis &amp; Design\Design\FC22\DRR Jaime\QUIFA-CAJÚA\Cajua\[CAJUA_CF_SEC_New_27-Feb-2024Rev3.xlsx]D-PS'!$BX$17</t>
  </si>
  <si>
    <t>='C:\Users\jaime.benazar\Quorum Business Solutions\Ecopetrol Prometeo - Documents\Planning Space Implementation\3. Analysis &amp; Design\Design\FC22\DRR Jaime\QUIFA-CAJÚA\Cajua\[CAJUA_CF_SEC_New_27-Feb-2024Rev3.xlsx]D-PS'!$BX$18</t>
  </si>
  <si>
    <t>='C:\Users\jaime.benazar\Quorum Business Solutions\Ecopetrol Prometeo - Documents\Planning Space Implementation\3. Analysis &amp; Design\Design\FC22\DRR Jaime\QUIFA-CAJÚA\Cajua\[CAJUA_CF_SEC_New_27-Feb-2024Rev3.xlsx]D-PS'!$BX$19</t>
  </si>
  <si>
    <t>='C:\Users\jaime.benazar\Quorum Business Solutions\Ecopetrol Prometeo - Documents\Planning Space Implementation\3. Analysis &amp; Design\Design\FC22\DRR Jaime\QUIFA-CAJÚA\Cajua\[CAJUA_CF_SEC_New_27-Feb-2024Rev3.xlsx]D-PS'!$BX$20</t>
  </si>
  <si>
    <t>='C:\Users\jaime.benazar\Quorum Business Solutions\Ecopetrol Prometeo - Documents\Planning Space Implementation\3. Analysis &amp; Design\Design\FC22\DRR Jaime\QUIFA-CAJÚA\Cajua\[CAJUA_CF_SEC_New_27-Feb-2024Rev3.xlsx]D-PS'!$BX$21</t>
  </si>
  <si>
    <t>='C:\Users\jaime.benazar\Quorum Business Solutions\Ecopetrol Prometeo - Documents\Planning Space Implementation\3. Analysis &amp; Design\Design\FC22\DRR Jaime\QUIFA-CAJÚA\Cajua\[CAJUA_CF_SEC_New_27-Feb-2024Rev3.xlsx]D-PS'!$BX$22</t>
  </si>
  <si>
    <t>='C:\Users\jaime.benazar\Quorum Business Solutions\Ecopetrol Prometeo - Documents\Planning Space Implementation\3. Analysis &amp; Design\Design\FC22\DRR Jaime\QUIFA-CAJÚA\Cajua\[CAJUA_CF_SEC_New_27-Feb-2024Rev3.xlsx]D-PS'!$BX$23</t>
  </si>
  <si>
    <t>='C:\Users\jaime.benazar\Quorum Business Solutions\Ecopetrol Prometeo - Documents\Planning Space Implementation\3. Analysis &amp; Design\Design\FC22\DRR Jaime\QUIFA-CAJÚA\Cajua\[CAJUA_CF_SEC_New_27-Feb-2024Rev3.xlsx]D-PS'!$BX$24</t>
  </si>
  <si>
    <t>='C:\Users\jaime.benazar\Quorum Business Solutions\Ecopetrol Prometeo - Documents\Planning Space Implementation\3. Analysis &amp; Design\Design\FC22\DRR Jaime\QUIFA-CAJÚA\Cajua\[CAJUA_CF_SEC_New_27-Feb-2024Rev3.xlsx]D-PS'!$BX$25</t>
  </si>
  <si>
    <t>='C:\Users\jaime.benazar\Quorum Business Solutions\Ecopetrol Prometeo - Documents\Planning Space Implementation\3. Analysis &amp; Design\Design\FC22\DRR Jaime\QUIFA-CAJÚA\Cajua\[CAJUA_CF_SEC_New_27-Feb-2024Rev3.xlsx]D-PS'!$BX$26</t>
  </si>
  <si>
    <t>='C:\Users\jaime.benazar\Quorum Business Solutions\Ecopetrol Prometeo - Documents\Planning Space Implementation\3. Analysis &amp; Design\Design\FC22\DRR Jaime\QUIFA-CAJÚA\Cajua\[CAJUA_CF_SEC_New_27-Feb-2024Rev3.xlsx]D-PS'!$BX$27</t>
  </si>
  <si>
    <t>='C:\Users\jaime.benazar\Quorum Business Solutions\Ecopetrol Prometeo - Documents\Planning Space Implementation\3. Analysis &amp; Design\Design\FC22\DRR Jaime\QUIFA-CAJÚA\Cajua\[CAJUA_CF_SEC_New_27-Feb-2024Rev3.xlsx]D-PS'!$BX$28</t>
  </si>
  <si>
    <t>='C:\Users\jaime.benazar\Quorum Business Solutions\Ecopetrol Prometeo - Documents\Planning Space Implementation\3. Analysis &amp; Design\Design\FC22\DRR Jaime\QUIFA-CAJÚA\Cajua\[CAJUA_CF_SEC_New_27-Feb-2024Rev3.xlsx]D-PS'!$BX$29</t>
  </si>
  <si>
    <t>='C:\Users\jaime.benazar\Quorum Business Solutions\Ecopetrol Prometeo - Documents\Planning Space Implementation\3. Analysis &amp; Design\Design\FC22\DRR Jaime\QUIFA-CAJÚA\Cajua\[CAJUA_CF_SEC_New_27-Feb-2024Rev3.xlsx]D-PS'!$BX$30</t>
  </si>
  <si>
    <t>='C:\Users\jaime.benazar\Quorum Business Solutions\Ecopetrol Prometeo - Documents\Planning Space Implementation\3. Analysis &amp; Design\Design\FC22\DRR Jaime\QUIFA-CAJÚA\Cajua\[CAJUA_CF_SEC_New_27-Feb-2024Rev3.xlsx]D-PS'!$BX$31</t>
  </si>
  <si>
    <t>='C:\Users\jaime.benazar\Quorum Business Solutions\Ecopetrol Prometeo - Documents\Planning Space Implementation\3. Analysis &amp; Design\Design\FC22\DRR Jaime\QUIFA-CAJÚA\Cajua\[CAJUA_CF_SEC_New_27-Feb-2024Rev3.xlsx]D-PS'!$BX$32</t>
  </si>
  <si>
    <t>='C:\Users\jaime.benazar\Quorum Business Solutions\Ecopetrol Prometeo - Documents\Planning Space Implementation\3. Analysis &amp; Design\Design\FC22\DRR Jaime\QUIFA-CAJÚA\Cajua\[CAJUA_CF_SEC_New_27-Feb-2024Rev3.xlsx]D-PS'!$BX$33</t>
  </si>
  <si>
    <t>='C:\Users\jaime.benazar\Quorum Business Solutions\Ecopetrol Prometeo - Documents\Planning Space Implementation\3. Analysis &amp; Design\Design\FC22\DRR Jaime\QUIFA-CAJÚA\Cajua\[CAJUA_CF_SEC_New_27-Feb-2024Rev3.xlsx]D-PS'!$BX$34</t>
  </si>
  <si>
    <t>='C:\Users\jaime.benazar\Quorum Business Solutions\Ecopetrol Prometeo - Documents\Planning Space Implementation\3. Analysis &amp; Design\Design\FC22\DRR Jaime\QUIFA-CAJÚA\Cajua\[CAJUA_CF_SEC_New_27-Feb-2024Rev3.xlsx]D-PS'!$BX$35</t>
  </si>
  <si>
    <t>='C:\Users\jaime.benazar\Quorum Business Solutions\Ecopetrol Prometeo - Documents\Planning Space Implementation\3. Analysis &amp; Design\Design\FC22\DRR Jaime\QUIFA-CAJÚA\Cajua\[CAJUA_CF_SEC_New_27-Feb-2024Rev3.xlsx]D-PS'!$BX$36</t>
  </si>
  <si>
    <t>='C:\Users\jaime.benazar\Quorum Business Solutions\Ecopetrol Prometeo - Documents\Planning Space Implementation\3. Analysis &amp; Design\Design\FC22\DRR Jaime\QUIFA-CAJÚA\Cajua\[CAJUA_CF_SEC_New_27-Feb-2024Rev3.xlsx]D-PS'!$BX$37</t>
  </si>
  <si>
    <t>='C:\Users\jaime.benazar\Quorum Business Solutions\Ecopetrol Prometeo - Documents\Planning Space Implementation\3. Analysis &amp; Design\Design\FC22\DRR Jaime\QUIFA-CAJÚA\Cajua\[CAJUA_CF_SEC_New_27-Feb-2024Rev3.xlsx]D-PS'!$BX$38</t>
  </si>
  <si>
    <t>='C:\Users\jaime.benazar\Quorum Business Solutions\Ecopetrol Prometeo - Documents\Planning Space Implementation\3. Analysis &amp; Design\Design\FC22\DRR Jaime\QUIFA-CAJÚA\Cajua\[CAJUA_CF_SEC_New_27-Feb-2024Rev3.xlsx]D-PS'!$BX$39</t>
  </si>
  <si>
    <t>='C:\Users\jaime.benazar\Quorum Business Solutions\Ecopetrol Prometeo - Documents\Planning Space Implementation\3. Analysis &amp; Design\Design\FC22\DRR Jaime\QUIFA-CAJÚA\Cajua\[CAJUA_CF_SEC_New_27-Feb-2024Rev3.xlsx]D-PS'!$BX$40</t>
  </si>
  <si>
    <t>='C:\Users\jaime.benazar\Quorum Business Solutions\Ecopetrol Prometeo - Documents\Planning Space Implementation\3. Analysis &amp; Design\Design\FC22\DRR Jaime\QUIFA-CAJÚA\Cajua\[CAJUA_CF_SEC_New_27-Feb-2024Rev3.xlsx]D-PS'!$BX$41</t>
  </si>
  <si>
    <t>='C:\Users\jaime.benazar\Quorum Business Solutions\Ecopetrol Prometeo - Documents\Planning Space Implementation\3. Analysis &amp; Design\Design\FC22\DRR Jaime\QUIFA-CAJÚA\Cajua\[CAJUA_CF_SEC_New_27-Feb-2024Rev3.xlsx]D-PS'!$BX$42</t>
  </si>
  <si>
    <t>='C:\Users\jaime.benazar\Quorum Business Solutions\Ecopetrol Prometeo - Documents\Planning Space Implementation\3. Analysis &amp; Design\Design\FC22\DRR Jaime\QUIFA-CAJÚA\Cajua\[CAJUA_CF_SEC_New_27-Feb-2024Rev3.xlsx]D-PS'!$BX$43</t>
  </si>
  <si>
    <t>='C:\Users\jaime.benazar\Quorum Business Solutions\Ecopetrol Prometeo - Documents\Planning Space Implementation\3. Analysis &amp; Design\Design\FC22\DRR Jaime\QUIFA-CAJÚA\Cajua\[CAJUA_CF_SEC_New_27-Feb-2024Rev3.xlsx]D-PS'!$BX$44</t>
  </si>
  <si>
    <t>='C:\Users\jaime.benazar\Quorum Business Solutions\Ecopetrol Prometeo - Documents\Planning Space Implementation\3. Analysis &amp; Design\Design\FC22\DRR Jaime\QUIFA-CAJÚA\Cajua\[CAJUA_CF_SEC_New_27-Feb-2024Rev3.xlsx]D-PS'!$BX$45</t>
  </si>
  <si>
    <t>='C:\Users\jaime.benazar\Quorum Business Solutions\Ecopetrol Prometeo - Documents\Planning Space Implementation\3. Analysis &amp; Design\Design\FC22\DRR Jaime\QUIFA-CAJÚA\Cajua\[CAJUA_CF_SEC_New_27-Feb-2024Rev3.xlsx]D-PS'!$BX$46</t>
  </si>
  <si>
    <t>='C:\Users\jaime.benazar\Quorum Business Solutions\Ecopetrol Prometeo - Documents\Planning Space Implementation\3. Analysis &amp; Design\Design\FC22\DRR Jaime\QUIFA-CAJÚA\Cajua\[CAJUA_CF_SEC_New_27-Feb-2024Rev3.xlsx]D-PS'!$BX$47</t>
  </si>
  <si>
    <t>='C:\Users\jaime.benazar\Quorum Business Solutions\Ecopetrol Prometeo - Documents\Planning Space Implementation\3. Analysis &amp; Design\Design\FC22\DRR Jaime\QUIFA-CAJÚA\Cajua\[CAJUA_CF_SEC_New_27-Feb-2024Rev3.xlsx]D-PS'!$BX$48</t>
  </si>
  <si>
    <t>='C:\Users\jaime.benazar\Quorum Business Solutions\Ecopetrol Prometeo - Documents\Planning Space Implementation\3. Analysis &amp; Design\Design\FC22\DRR Jaime\QUIFA-CAJÚA\Cajua\[CAJUA_CF_SEC_New_27-Feb-2024Rev3.xlsx]D-PDP'!$DC$12</t>
  </si>
  <si>
    <t>='C:\Users\jaime.benazar\Quorum Business Solutions\Ecopetrol Prometeo - Documents\Planning Space Implementation\3. Analysis &amp; Design\Design\FC22\DRR Jaime\QUIFA-CAJÚA\Cajua\[CAJUA_CF_SEC_New_27-Feb-2024Rev3.xlsx]D-PDP'!$DC$13</t>
  </si>
  <si>
    <t>='C:\Users\jaime.benazar\Quorum Business Solutions\Ecopetrol Prometeo - Documents\Planning Space Implementation\3. Analysis &amp; Design\Design\FC22\DRR Jaime\QUIFA-CAJÚA\Cajua\[CAJUA_CF_SEC_New_27-Feb-2024Rev3.xlsx]D-PDP'!$DC$14</t>
  </si>
  <si>
    <t>='C:\Users\jaime.benazar\Quorum Business Solutions\Ecopetrol Prometeo - Documents\Planning Space Implementation\3. Analysis &amp; Design\Design\FC22\DRR Jaime\QUIFA-CAJÚA\Cajua\[CAJUA_CF_SEC_New_27-Feb-2024Rev3.xlsx]D-PDP'!$DC$15</t>
  </si>
  <si>
    <t>='C:\Users\jaime.benazar\Quorum Business Solutions\Ecopetrol Prometeo - Documents\Planning Space Implementation\3. Analysis &amp; Design\Design\FC22\DRR Jaime\QUIFA-CAJÚA\Cajua\[CAJUA_CF_SEC_New_27-Feb-2024Rev3.xlsx]D-PDP'!$DC$16</t>
  </si>
  <si>
    <t>='C:\Users\jaime.benazar\Quorum Business Solutions\Ecopetrol Prometeo - Documents\Planning Space Implementation\3. Analysis &amp; Design\Design\FC22\DRR Jaime\QUIFA-CAJÚA\Cajua\[CAJUA_CF_SEC_New_27-Feb-2024Rev3.xlsx]D-PDP'!$DC$17</t>
  </si>
  <si>
    <t>='C:\Users\jaime.benazar\Quorum Business Solutions\Ecopetrol Prometeo - Documents\Planning Space Implementation\3. Analysis &amp; Design\Design\FC22\DRR Jaime\QUIFA-CAJÚA\Cajua\[CAJUA_CF_SEC_New_27-Feb-2024Rev3.xlsx]D-PDP'!$DC$18</t>
  </si>
  <si>
    <t>='C:\Users\jaime.benazar\Quorum Business Solutions\Ecopetrol Prometeo - Documents\Planning Space Implementation\3. Analysis &amp; Design\Design\FC22\DRR Jaime\QUIFA-CAJÚA\Cajua\[CAJUA_CF_SEC_New_27-Feb-2024Rev3.xlsx]D-PDP'!$DC$19</t>
  </si>
  <si>
    <t>='C:\Users\jaime.benazar\Quorum Business Solutions\Ecopetrol Prometeo - Documents\Planning Space Implementation\3. Analysis &amp; Design\Design\FC22\DRR Jaime\QUIFA-CAJÚA\Cajua\[CAJUA_CF_SEC_New_27-Feb-2024Rev3.xlsx]D-PDP'!$DC$20</t>
  </si>
  <si>
    <t>='C:\Users\jaime.benazar\Quorum Business Solutions\Ecopetrol Prometeo - Documents\Planning Space Implementation\3. Analysis &amp; Design\Design\FC22\DRR Jaime\QUIFA-CAJÚA\Cajua\[CAJUA_CF_SEC_New_27-Feb-2024Rev3.xlsx]D-PDP'!$DC$21</t>
  </si>
  <si>
    <t>='C:\Users\jaime.benazar\Quorum Business Solutions\Ecopetrol Prometeo - Documents\Planning Space Implementation\3. Analysis &amp; Design\Design\FC22\DRR Jaime\QUIFA-CAJÚA\Cajua\[CAJUA_CF_SEC_New_27-Feb-2024Rev3.xlsx]D-PDP'!$DC$22</t>
  </si>
  <si>
    <t>='C:\Users\jaime.benazar\Quorum Business Solutions\Ecopetrol Prometeo - Documents\Planning Space Implementation\3. Analysis &amp; Design\Design\FC22\DRR Jaime\QUIFA-CAJÚA\Cajua\[CAJUA_CF_SEC_New_27-Feb-2024Rev3.xlsx]D-PDP'!$DC$23</t>
  </si>
  <si>
    <t>='C:\Users\jaime.benazar\Quorum Business Solutions\Ecopetrol Prometeo - Documents\Planning Space Implementation\3. Analysis &amp; Design\Design\FC22\DRR Jaime\QUIFA-CAJÚA\Cajua\[CAJUA_CF_SEC_New_27-Feb-2024Rev3.xlsx]D-PDP'!$DC$24</t>
  </si>
  <si>
    <t>='C:\Users\jaime.benazar\Quorum Business Solutions\Ecopetrol Prometeo - Documents\Planning Space Implementation\3. Analysis &amp; Design\Design\FC22\DRR Jaime\QUIFA-CAJÚA\Cajua\[CAJUA_CF_SEC_New_27-Feb-2024Rev3.xlsx]D-PDP'!$DC$25</t>
  </si>
  <si>
    <t>='C:\Users\jaime.benazar\Quorum Business Solutions\Ecopetrol Prometeo - Documents\Planning Space Implementation\3. Analysis &amp; Design\Design\FC22\DRR Jaime\QUIFA-CAJÚA\Cajua\[CAJUA_CF_SEC_New_27-Feb-2024Rev3.xlsx]D-PDP'!$DC$26</t>
  </si>
  <si>
    <t>='C:\Users\jaime.benazar\Quorum Business Solutions\Ecopetrol Prometeo - Documents\Planning Space Implementation\3. Analysis &amp; Design\Design\FC22\DRR Jaime\QUIFA-CAJÚA\Cajua\[CAJUA_CF_SEC_New_27-Feb-2024Rev3.xlsx]D-PDP'!$DC$27</t>
  </si>
  <si>
    <t>='C:\Users\jaime.benazar\Quorum Business Solutions\Ecopetrol Prometeo - Documents\Planning Space Implementation\3. Analysis &amp; Design\Design\FC22\DRR Jaime\QUIFA-CAJÚA\Cajua\[CAJUA_CF_SEC_New_27-Feb-2024Rev3.xlsx]D-PDP'!$DC$28</t>
  </si>
  <si>
    <t>='C:\Users\jaime.benazar\Quorum Business Solutions\Ecopetrol Prometeo - Documents\Planning Space Implementation\3. Analysis &amp; Design\Design\FC22\DRR Jaime\QUIFA-CAJÚA\Cajua\[CAJUA_CF_SEC_New_27-Feb-2024Rev3.xlsx]D-PDP'!$DC$29</t>
  </si>
  <si>
    <t>='C:\Users\jaime.benazar\Quorum Business Solutions\Ecopetrol Prometeo - Documents\Planning Space Implementation\3. Analysis &amp; Design\Design\FC22\DRR Jaime\QUIFA-CAJÚA\Cajua\[CAJUA_CF_SEC_New_27-Feb-2024Rev3.xlsx]D-PDP'!$DC$30</t>
  </si>
  <si>
    <t>='C:\Users\jaime.benazar\Quorum Business Solutions\Ecopetrol Prometeo - Documents\Planning Space Implementation\3. Analysis &amp; Design\Design\FC22\DRR Jaime\QUIFA-CAJÚA\Cajua\[CAJUA_CF_SEC_New_27-Feb-2024Rev3.xlsx]D-PDP'!$DC$31</t>
  </si>
  <si>
    <t>='C:\Users\jaime.benazar\Quorum Business Solutions\Ecopetrol Prometeo - Documents\Planning Space Implementation\3. Analysis &amp; Design\Design\FC22\DRR Jaime\QUIFA-CAJÚA\Cajua\[CAJUA_CF_SEC_New_27-Feb-2024Rev3.xlsx]D-PDP'!$DC$32</t>
  </si>
  <si>
    <t>='C:\Users\jaime.benazar\Quorum Business Solutions\Ecopetrol Prometeo - Documents\Planning Space Implementation\3. Analysis &amp; Design\Design\FC22\DRR Jaime\QUIFA-CAJÚA\Cajua\[CAJUA_CF_SEC_New_27-Feb-2024Rev3.xlsx]D-PDP'!$DC$33</t>
  </si>
  <si>
    <t>='C:\Users\jaime.benazar\Quorum Business Solutions\Ecopetrol Prometeo - Documents\Planning Space Implementation\3. Analysis &amp; Design\Design\FC22\DRR Jaime\QUIFA-CAJÚA\Cajua\[CAJUA_CF_SEC_New_27-Feb-2024Rev3.xlsx]D-PDP'!$DC$34</t>
  </si>
  <si>
    <t>='C:\Users\jaime.benazar\Quorum Business Solutions\Ecopetrol Prometeo - Documents\Planning Space Implementation\3. Analysis &amp; Design\Design\FC22\DRR Jaime\QUIFA-CAJÚA\Cajua\[CAJUA_CF_SEC_New_27-Feb-2024Rev3.xlsx]D-PDP'!$DC$35</t>
  </si>
  <si>
    <t>='C:\Users\jaime.benazar\Quorum Business Solutions\Ecopetrol Prometeo - Documents\Planning Space Implementation\3. Analysis &amp; Design\Design\FC22\DRR Jaime\QUIFA-CAJÚA\Cajua\[CAJUA_CF_SEC_New_27-Feb-2024Rev3.xlsx]D-PDP'!$DC$36</t>
  </si>
  <si>
    <t>='C:\Users\jaime.benazar\Quorum Business Solutions\Ecopetrol Prometeo - Documents\Planning Space Implementation\3. Analysis &amp; Design\Design\FC22\DRR Jaime\QUIFA-CAJÚA\Cajua\[CAJUA_CF_SEC_New_27-Feb-2024Rev3.xlsx]D-PDP'!$DC$37</t>
  </si>
  <si>
    <t>='C:\Users\jaime.benazar\Quorum Business Solutions\Ecopetrol Prometeo - Documents\Planning Space Implementation\3. Analysis &amp; Design\Design\FC22\DRR Jaime\QUIFA-CAJÚA\Cajua\[CAJUA_CF_SEC_New_27-Feb-2024Rev3.xlsx]D-PDP'!$DC$38</t>
  </si>
  <si>
    <t>='C:\Users\jaime.benazar\Quorum Business Solutions\Ecopetrol Prometeo - Documents\Planning Space Implementation\3. Analysis &amp; Design\Design\FC22\DRR Jaime\QUIFA-CAJÚA\Cajua\[CAJUA_CF_SEC_New_27-Feb-2024Rev3.xlsx]D-PDP'!$DC$39</t>
  </si>
  <si>
    <t>='C:\Users\jaime.benazar\Quorum Business Solutions\Ecopetrol Prometeo - Documents\Planning Space Implementation\3. Analysis &amp; Design\Design\FC22\DRR Jaime\QUIFA-CAJÚA\Cajua\[CAJUA_CF_SEC_New_27-Feb-2024Rev3.xlsx]D-PDP'!$DC$40</t>
  </si>
  <si>
    <t>='C:\Users\jaime.benazar\Quorum Business Solutions\Ecopetrol Prometeo - Documents\Planning Space Implementation\3. Analysis &amp; Design\Design\FC22\DRR Jaime\QUIFA-CAJÚA\Cajua\[CAJUA_CF_SEC_New_27-Feb-2024Rev3.xlsx]D-PDP'!$DC$41</t>
  </si>
  <si>
    <t>='C:\Users\jaime.benazar\Quorum Business Solutions\Ecopetrol Prometeo - Documents\Planning Space Implementation\3. Analysis &amp; Design\Design\FC22\DRR Jaime\QUIFA-CAJÚA\Cajua\[CAJUA_CF_SEC_New_27-Feb-2024Rev3.xlsx]D-PDP'!$DC$42</t>
  </si>
  <si>
    <t>='C:\Users\jaime.benazar\Quorum Business Solutions\Ecopetrol Prometeo - Documents\Planning Space Implementation\3. Analysis &amp; Design\Design\FC22\DRR Jaime\QUIFA-CAJÚA\Cajua\[CAJUA_CF_SEC_New_27-Feb-2024Rev3.xlsx]D-PDP'!$DC$43</t>
  </si>
  <si>
    <t>='C:\Users\jaime.benazar\Quorum Business Solutions\Ecopetrol Prometeo - Documents\Planning Space Implementation\3. Analysis &amp; Design\Design\FC22\DRR Jaime\QUIFA-CAJÚA\Cajua\[CAJUA_CF_SEC_New_27-Feb-2024Rev3.xlsx]D-PDP'!$DC$44</t>
  </si>
  <si>
    <t>='C:\Users\jaime.benazar\Quorum Business Solutions\Ecopetrol Prometeo - Documents\Planning Space Implementation\3. Analysis &amp; Design\Design\FC22\DRR Jaime\QUIFA-CAJÚA\Cajua\[CAJUA_CF_SEC_New_27-Feb-2024Rev3.xlsx]D-PDP'!$DC$45</t>
  </si>
  <si>
    <t>='C:\Users\jaime.benazar\Quorum Business Solutions\Ecopetrol Prometeo - Documents\Planning Space Implementation\3. Analysis &amp; Design\Design\FC22\DRR Jaime\QUIFA-CAJÚA\Cajua\[CAJUA_CF_SEC_New_27-Feb-2024Rev3.xlsx]D-PDP'!$DC$46</t>
  </si>
  <si>
    <t>='C:\Users\jaime.benazar\Quorum Business Solutions\Ecopetrol Prometeo - Documents\Planning Space Implementation\3. Analysis &amp; Design\Design\FC22\DRR Jaime\QUIFA-CAJÚA\Cajua\[CAJUA_CF_SEC_New_27-Feb-2024Rev3.xlsx]D-PDP'!$DC$47</t>
  </si>
  <si>
    <t>='C:\Users\jaime.benazar\Quorum Business Solutions\Ecopetrol Prometeo - Documents\Planning Space Implementation\3. Analysis &amp; Design\Design\FC22\DRR Jaime\QUIFA-CAJÚA\Cajua\[CAJUA_CF_SEC_New_27-Feb-2024Rev3.xlsx]D-PDP'!$DC$48</t>
  </si>
  <si>
    <t>='C:\Users\jaime.benazar\Quorum Business Solutions\Ecopetrol Prometeo - Documents\Planning Space Implementation\3. Analysis &amp; Design\Design\FC22\DRR Jaime\QUIFA-CAJÚA\Cajua\[CAJUA_CF_SEC_New_27-Feb-2024Rev3.xlsx]D-PNP'!$DC$12</t>
  </si>
  <si>
    <t>='C:\Users\jaime.benazar\Quorum Business Solutions\Ecopetrol Prometeo - Documents\Planning Space Implementation\3. Analysis &amp; Design\Design\FC22\DRR Jaime\QUIFA-CAJÚA\Cajua\[CAJUA_CF_SEC_New_27-Feb-2024Rev3.xlsx]D-PNP'!$DC$13</t>
  </si>
  <si>
    <t>='C:\Users\jaime.benazar\Quorum Business Solutions\Ecopetrol Prometeo - Documents\Planning Space Implementation\3. Analysis &amp; Design\Design\FC22\DRR Jaime\QUIFA-CAJÚA\Cajua\[CAJUA_CF_SEC_New_27-Feb-2024Rev3.xlsx]D-PNP'!$DC$14</t>
  </si>
  <si>
    <t>='C:\Users\jaime.benazar\Quorum Business Solutions\Ecopetrol Prometeo - Documents\Planning Space Implementation\3. Analysis &amp; Design\Design\FC22\DRR Jaime\QUIFA-CAJÚA\Cajua\[CAJUA_CF_SEC_New_27-Feb-2024Rev3.xlsx]D-PNP'!$DC$15</t>
  </si>
  <si>
    <t>='C:\Users\jaime.benazar\Quorum Business Solutions\Ecopetrol Prometeo - Documents\Planning Space Implementation\3. Analysis &amp; Design\Design\FC22\DRR Jaime\QUIFA-CAJÚA\Cajua\[CAJUA_CF_SEC_New_27-Feb-2024Rev3.xlsx]D-PNP'!$DC$16</t>
  </si>
  <si>
    <t>='C:\Users\jaime.benazar\Quorum Business Solutions\Ecopetrol Prometeo - Documents\Planning Space Implementation\3. Analysis &amp; Design\Design\FC22\DRR Jaime\QUIFA-CAJÚA\Cajua\[CAJUA_CF_SEC_New_27-Feb-2024Rev3.xlsx]D-PNP'!$DC$17</t>
  </si>
  <si>
    <t>='C:\Users\jaime.benazar\Quorum Business Solutions\Ecopetrol Prometeo - Documents\Planning Space Implementation\3. Analysis &amp; Design\Design\FC22\DRR Jaime\QUIFA-CAJÚA\Cajua\[CAJUA_CF_SEC_New_27-Feb-2024Rev3.xlsx]D-PNP'!$DC$18</t>
  </si>
  <si>
    <t>='C:\Users\jaime.benazar\Quorum Business Solutions\Ecopetrol Prometeo - Documents\Planning Space Implementation\3. Analysis &amp; Design\Design\FC22\DRR Jaime\QUIFA-CAJÚA\Cajua\[CAJUA_CF_SEC_New_27-Feb-2024Rev3.xlsx]D-PNP'!$DC$19</t>
  </si>
  <si>
    <t>='C:\Users\jaime.benazar\Quorum Business Solutions\Ecopetrol Prometeo - Documents\Planning Space Implementation\3. Analysis &amp; Design\Design\FC22\DRR Jaime\QUIFA-CAJÚA\Cajua\[CAJUA_CF_SEC_New_27-Feb-2024Rev3.xlsx]D-PNP'!$DC$20</t>
  </si>
  <si>
    <t>='C:\Users\jaime.benazar\Quorum Business Solutions\Ecopetrol Prometeo - Documents\Planning Space Implementation\3. Analysis &amp; Design\Design\FC22\DRR Jaime\QUIFA-CAJÚA\Cajua\[CAJUA_CF_SEC_New_27-Feb-2024Rev3.xlsx]D-PNP'!$DC$21</t>
  </si>
  <si>
    <t>='C:\Users\jaime.benazar\Quorum Business Solutions\Ecopetrol Prometeo - Documents\Planning Space Implementation\3. Analysis &amp; Design\Design\FC22\DRR Jaime\QUIFA-CAJÚA\Cajua\[CAJUA_CF_SEC_New_27-Feb-2024Rev3.xlsx]D-PNP'!$DC$22</t>
  </si>
  <si>
    <t>='C:\Users\jaime.benazar\Quorum Business Solutions\Ecopetrol Prometeo - Documents\Planning Space Implementation\3. Analysis &amp; Design\Design\FC22\DRR Jaime\QUIFA-CAJÚA\Cajua\[CAJUA_CF_SEC_New_27-Feb-2024Rev3.xlsx]D-PNP'!$DC$23</t>
  </si>
  <si>
    <t>='C:\Users\jaime.benazar\Quorum Business Solutions\Ecopetrol Prometeo - Documents\Planning Space Implementation\3. Analysis &amp; Design\Design\FC22\DRR Jaime\QUIFA-CAJÚA\Cajua\[CAJUA_CF_SEC_New_27-Feb-2024Rev3.xlsx]D-PNP'!$DC$24</t>
  </si>
  <si>
    <t>='C:\Users\jaime.benazar\Quorum Business Solutions\Ecopetrol Prometeo - Documents\Planning Space Implementation\3. Analysis &amp; Design\Design\FC22\DRR Jaime\QUIFA-CAJÚA\Cajua\[CAJUA_CF_SEC_New_27-Feb-2024Rev3.xlsx]D-PNP'!$DC$25</t>
  </si>
  <si>
    <t>='C:\Users\jaime.benazar\Quorum Business Solutions\Ecopetrol Prometeo - Documents\Planning Space Implementation\3. Analysis &amp; Design\Design\FC22\DRR Jaime\QUIFA-CAJÚA\Cajua\[CAJUA_CF_SEC_New_27-Feb-2024Rev3.xlsx]D-PNP'!$DC$26</t>
  </si>
  <si>
    <t>='C:\Users\jaime.benazar\Quorum Business Solutions\Ecopetrol Prometeo - Documents\Planning Space Implementation\3. Analysis &amp; Design\Design\FC22\DRR Jaime\QUIFA-CAJÚA\Cajua\[CAJUA_CF_SEC_New_27-Feb-2024Rev3.xlsx]D-PNP'!$DC$27</t>
  </si>
  <si>
    <t>='C:\Users\jaime.benazar\Quorum Business Solutions\Ecopetrol Prometeo - Documents\Planning Space Implementation\3. Analysis &amp; Design\Design\FC22\DRR Jaime\QUIFA-CAJÚA\Cajua\[CAJUA_CF_SEC_New_27-Feb-2024Rev3.xlsx]D-PNP'!$DC$28</t>
  </si>
  <si>
    <t>='C:\Users\jaime.benazar\Quorum Business Solutions\Ecopetrol Prometeo - Documents\Planning Space Implementation\3. Analysis &amp; Design\Design\FC22\DRR Jaime\QUIFA-CAJÚA\Cajua\[CAJUA_CF_SEC_New_27-Feb-2024Rev3.xlsx]D-PNP'!$DC$29</t>
  </si>
  <si>
    <t>='C:\Users\jaime.benazar\Quorum Business Solutions\Ecopetrol Prometeo - Documents\Planning Space Implementation\3. Analysis &amp; Design\Design\FC22\DRR Jaime\QUIFA-CAJÚA\Cajua\[CAJUA_CF_SEC_New_27-Feb-2024Rev3.xlsx]D-PNP'!$DC$30</t>
  </si>
  <si>
    <t>='C:\Users\jaime.benazar\Quorum Business Solutions\Ecopetrol Prometeo - Documents\Planning Space Implementation\3. Analysis &amp; Design\Design\FC22\DRR Jaime\QUIFA-CAJÚA\Cajua\[CAJUA_CF_SEC_New_27-Feb-2024Rev3.xlsx]D-PNP'!$DC$31</t>
  </si>
  <si>
    <t>='C:\Users\jaime.benazar\Quorum Business Solutions\Ecopetrol Prometeo - Documents\Planning Space Implementation\3. Analysis &amp; Design\Design\FC22\DRR Jaime\QUIFA-CAJÚA\Cajua\[CAJUA_CF_SEC_New_27-Feb-2024Rev3.xlsx]D-PNP'!$DC$32</t>
  </si>
  <si>
    <t>='C:\Users\jaime.benazar\Quorum Business Solutions\Ecopetrol Prometeo - Documents\Planning Space Implementation\3. Analysis &amp; Design\Design\FC22\DRR Jaime\QUIFA-CAJÚA\Cajua\[CAJUA_CF_SEC_New_27-Feb-2024Rev3.xlsx]D-PNP'!$DC$33</t>
  </si>
  <si>
    <t>='C:\Users\jaime.benazar\Quorum Business Solutions\Ecopetrol Prometeo - Documents\Planning Space Implementation\3. Analysis &amp; Design\Design\FC22\DRR Jaime\QUIFA-CAJÚA\Cajua\[CAJUA_CF_SEC_New_27-Feb-2024Rev3.xlsx]D-PNP'!$DC$34</t>
  </si>
  <si>
    <t>='C:\Users\jaime.benazar\Quorum Business Solutions\Ecopetrol Prometeo - Documents\Planning Space Implementation\3. Analysis &amp; Design\Design\FC22\DRR Jaime\QUIFA-CAJÚA\Cajua\[CAJUA_CF_SEC_New_27-Feb-2024Rev3.xlsx]D-PNP'!$DC$35</t>
  </si>
  <si>
    <t>='C:\Users\jaime.benazar\Quorum Business Solutions\Ecopetrol Prometeo - Documents\Planning Space Implementation\3. Analysis &amp; Design\Design\FC22\DRR Jaime\QUIFA-CAJÚA\Cajua\[CAJUA_CF_SEC_New_27-Feb-2024Rev3.xlsx]D-PNP'!$DC$36</t>
  </si>
  <si>
    <t>='C:\Users\jaime.benazar\Quorum Business Solutions\Ecopetrol Prometeo - Documents\Planning Space Implementation\3. Analysis &amp; Design\Design\FC22\DRR Jaime\QUIFA-CAJÚA\Cajua\[CAJUA_CF_SEC_New_27-Feb-2024Rev3.xlsx]D-PNP'!$DC$37</t>
  </si>
  <si>
    <t>='C:\Users\jaime.benazar\Quorum Business Solutions\Ecopetrol Prometeo - Documents\Planning Space Implementation\3. Analysis &amp; Design\Design\FC22\DRR Jaime\QUIFA-CAJÚA\Cajua\[CAJUA_CF_SEC_New_27-Feb-2024Rev3.xlsx]D-PNP'!$DC$38</t>
  </si>
  <si>
    <t>='C:\Users\jaime.benazar\Quorum Business Solutions\Ecopetrol Prometeo - Documents\Planning Space Implementation\3. Analysis &amp; Design\Design\FC22\DRR Jaime\QUIFA-CAJÚA\Cajua\[CAJUA_CF_SEC_New_27-Feb-2024Rev3.xlsx]D-PNP'!$DC$39</t>
  </si>
  <si>
    <t>='C:\Users\jaime.benazar\Quorum Business Solutions\Ecopetrol Prometeo - Documents\Planning Space Implementation\3. Analysis &amp; Design\Design\FC22\DRR Jaime\QUIFA-CAJÚA\Cajua\[CAJUA_CF_SEC_New_27-Feb-2024Rev3.xlsx]D-PNP'!$DC$40</t>
  </si>
  <si>
    <t>='C:\Users\jaime.benazar\Quorum Business Solutions\Ecopetrol Prometeo - Documents\Planning Space Implementation\3. Analysis &amp; Design\Design\FC22\DRR Jaime\QUIFA-CAJÚA\Cajua\[CAJUA_CF_SEC_New_27-Feb-2024Rev3.xlsx]D-PNP'!$DC$41</t>
  </si>
  <si>
    <t>='C:\Users\jaime.benazar\Quorum Business Solutions\Ecopetrol Prometeo - Documents\Planning Space Implementation\3. Analysis &amp; Design\Design\FC22\DRR Jaime\QUIFA-CAJÚA\Cajua\[CAJUA_CF_SEC_New_27-Feb-2024Rev3.xlsx]D-PNP'!$DC$42</t>
  </si>
  <si>
    <t>='C:\Users\jaime.benazar\Quorum Business Solutions\Ecopetrol Prometeo - Documents\Planning Space Implementation\3. Analysis &amp; Design\Design\FC22\DRR Jaime\QUIFA-CAJÚA\Cajua\[CAJUA_CF_SEC_New_27-Feb-2024Rev3.xlsx]D-PNP'!$DC$43</t>
  </si>
  <si>
    <t>='C:\Users\jaime.benazar\Quorum Business Solutions\Ecopetrol Prometeo - Documents\Planning Space Implementation\3. Analysis &amp; Design\Design\FC22\DRR Jaime\QUIFA-CAJÚA\Cajua\[CAJUA_CF_SEC_New_27-Feb-2024Rev3.xlsx]D-PNP'!$DC$44</t>
  </si>
  <si>
    <t>='C:\Users\jaime.benazar\Quorum Business Solutions\Ecopetrol Prometeo - Documents\Planning Space Implementation\3. Analysis &amp; Design\Design\FC22\DRR Jaime\QUIFA-CAJÚA\Cajua\[CAJUA_CF_SEC_New_27-Feb-2024Rev3.xlsx]D-PNP'!$DC$45</t>
  </si>
  <si>
    <t>='C:\Users\jaime.benazar\Quorum Business Solutions\Ecopetrol Prometeo - Documents\Planning Space Implementation\3. Analysis &amp; Design\Design\FC22\DRR Jaime\QUIFA-CAJÚA\Cajua\[CAJUA_CF_SEC_New_27-Feb-2024Rev3.xlsx]D-PNP'!$DC$46</t>
  </si>
  <si>
    <t>='C:\Users\jaime.benazar\Quorum Business Solutions\Ecopetrol Prometeo - Documents\Planning Space Implementation\3. Analysis &amp; Design\Design\FC22\DRR Jaime\QUIFA-CAJÚA\Cajua\[CAJUA_CF_SEC_New_27-Feb-2024Rev3.xlsx]D-PNP'!$DC$47</t>
  </si>
  <si>
    <t>='C:\Users\jaime.benazar\Quorum Business Solutions\Ecopetrol Prometeo - Documents\Planning Space Implementation\3. Analysis &amp; Design\Design\FC22\DRR Jaime\QUIFA-CAJÚA\Cajua\[CAJUA_CF_SEC_New_27-Feb-2024Rev3.xlsx]D-PNP'!$DC$48</t>
  </si>
  <si>
    <t>='C:\Users\jaime.benazar\Quorum Business Solutions\Ecopetrol Prometeo - Documents\Planning Space Implementation\3. Analysis &amp; Design\Design\FC22\DRR Jaime\QUIFA-CAJÚA\Cajua\[CAJUA_CF_SEC_New_27-Feb-2024Rev3.xlsx]D-PND'!$DC$12</t>
  </si>
  <si>
    <t>='C:\Users\jaime.benazar\Quorum Business Solutions\Ecopetrol Prometeo - Documents\Planning Space Implementation\3. Analysis &amp; Design\Design\FC22\DRR Jaime\QUIFA-CAJÚA\Cajua\[CAJUA_CF_SEC_New_27-Feb-2024Rev3.xlsx]D-PND'!$DC$13</t>
  </si>
  <si>
    <t>='C:\Users\jaime.benazar\Quorum Business Solutions\Ecopetrol Prometeo - Documents\Planning Space Implementation\3. Analysis &amp; Design\Design\FC22\DRR Jaime\QUIFA-CAJÚA\Cajua\[CAJUA_CF_SEC_New_27-Feb-2024Rev3.xlsx]D-PND'!$DC$14</t>
  </si>
  <si>
    <t>='C:\Users\jaime.benazar\Quorum Business Solutions\Ecopetrol Prometeo - Documents\Planning Space Implementation\3. Analysis &amp; Design\Design\FC22\DRR Jaime\QUIFA-CAJÚA\Cajua\[CAJUA_CF_SEC_New_27-Feb-2024Rev3.xlsx]D-PND'!$DC$15</t>
  </si>
  <si>
    <t>='C:\Users\jaime.benazar\Quorum Business Solutions\Ecopetrol Prometeo - Documents\Planning Space Implementation\3. Analysis &amp; Design\Design\FC22\DRR Jaime\QUIFA-CAJÚA\Cajua\[CAJUA_CF_SEC_New_27-Feb-2024Rev3.xlsx]D-PND'!$DC$16</t>
  </si>
  <si>
    <t>='C:\Users\jaime.benazar\Quorum Business Solutions\Ecopetrol Prometeo - Documents\Planning Space Implementation\3. Analysis &amp; Design\Design\FC22\DRR Jaime\QUIFA-CAJÚA\Cajua\[CAJUA_CF_SEC_New_27-Feb-2024Rev3.xlsx]D-PND'!$DC$17</t>
  </si>
  <si>
    <t>='C:\Users\jaime.benazar\Quorum Business Solutions\Ecopetrol Prometeo - Documents\Planning Space Implementation\3. Analysis &amp; Design\Design\FC22\DRR Jaime\QUIFA-CAJÚA\Cajua\[CAJUA_CF_SEC_New_27-Feb-2024Rev3.xlsx]D-PND'!$DC$18</t>
  </si>
  <si>
    <t>='C:\Users\jaime.benazar\Quorum Business Solutions\Ecopetrol Prometeo - Documents\Planning Space Implementation\3. Analysis &amp; Design\Design\FC22\DRR Jaime\QUIFA-CAJÚA\Cajua\[CAJUA_CF_SEC_New_27-Feb-2024Rev3.xlsx]D-PND'!$DC$19</t>
  </si>
  <si>
    <t>='C:\Users\jaime.benazar\Quorum Business Solutions\Ecopetrol Prometeo - Documents\Planning Space Implementation\3. Analysis &amp; Design\Design\FC22\DRR Jaime\QUIFA-CAJÚA\Cajua\[CAJUA_CF_SEC_New_27-Feb-2024Rev3.xlsx]D-PND'!$DC$20</t>
  </si>
  <si>
    <t>='C:\Users\jaime.benazar\Quorum Business Solutions\Ecopetrol Prometeo - Documents\Planning Space Implementation\3. Analysis &amp; Design\Design\FC22\DRR Jaime\QUIFA-CAJÚA\Cajua\[CAJUA_CF_SEC_New_27-Feb-2024Rev3.xlsx]D-PND'!$DC$21</t>
  </si>
  <si>
    <t>='C:\Users\jaime.benazar\Quorum Business Solutions\Ecopetrol Prometeo - Documents\Planning Space Implementation\3. Analysis &amp; Design\Design\FC22\DRR Jaime\QUIFA-CAJÚA\Cajua\[CAJUA_CF_SEC_New_27-Feb-2024Rev3.xlsx]D-PND'!$DC$22</t>
  </si>
  <si>
    <t>='C:\Users\jaime.benazar\Quorum Business Solutions\Ecopetrol Prometeo - Documents\Planning Space Implementation\3. Analysis &amp; Design\Design\FC22\DRR Jaime\QUIFA-CAJÚA\Cajua\[CAJUA_CF_SEC_New_27-Feb-2024Rev3.xlsx]D-PND'!$DC$23</t>
  </si>
  <si>
    <t>='C:\Users\jaime.benazar\Quorum Business Solutions\Ecopetrol Prometeo - Documents\Planning Space Implementation\3. Analysis &amp; Design\Design\FC22\DRR Jaime\QUIFA-CAJÚA\Cajua\[CAJUA_CF_SEC_New_27-Feb-2024Rev3.xlsx]D-PND'!$DC$24</t>
  </si>
  <si>
    <t>='C:\Users\jaime.benazar\Quorum Business Solutions\Ecopetrol Prometeo - Documents\Planning Space Implementation\3. Analysis &amp; Design\Design\FC22\DRR Jaime\QUIFA-CAJÚA\Cajua\[CAJUA_CF_SEC_New_27-Feb-2024Rev3.xlsx]D-PND'!$DC$25</t>
  </si>
  <si>
    <t>='C:\Users\jaime.benazar\Quorum Business Solutions\Ecopetrol Prometeo - Documents\Planning Space Implementation\3. Analysis &amp; Design\Design\FC22\DRR Jaime\QUIFA-CAJÚA\Cajua\[CAJUA_CF_SEC_New_27-Feb-2024Rev3.xlsx]D-PND'!$DC$26</t>
  </si>
  <si>
    <t>='C:\Users\jaime.benazar\Quorum Business Solutions\Ecopetrol Prometeo - Documents\Planning Space Implementation\3. Analysis &amp; Design\Design\FC22\DRR Jaime\QUIFA-CAJÚA\Cajua\[CAJUA_CF_SEC_New_27-Feb-2024Rev3.xlsx]D-PND'!$DC$27</t>
  </si>
  <si>
    <t>='C:\Users\jaime.benazar\Quorum Business Solutions\Ecopetrol Prometeo - Documents\Planning Space Implementation\3. Analysis &amp; Design\Design\FC22\DRR Jaime\QUIFA-CAJÚA\Cajua\[CAJUA_CF_SEC_New_27-Feb-2024Rev3.xlsx]D-PND'!$DC$28</t>
  </si>
  <si>
    <t>='C:\Users\jaime.benazar\Quorum Business Solutions\Ecopetrol Prometeo - Documents\Planning Space Implementation\3. Analysis &amp; Design\Design\FC22\DRR Jaime\QUIFA-CAJÚA\Cajua\[CAJUA_CF_SEC_New_27-Feb-2024Rev3.xlsx]D-PND'!$DC$29</t>
  </si>
  <si>
    <t>='C:\Users\jaime.benazar\Quorum Business Solutions\Ecopetrol Prometeo - Documents\Planning Space Implementation\3. Analysis &amp; Design\Design\FC22\DRR Jaime\QUIFA-CAJÚA\Cajua\[CAJUA_CF_SEC_New_27-Feb-2024Rev3.xlsx]D-PND'!$DC$30</t>
  </si>
  <si>
    <t>='C:\Users\jaime.benazar\Quorum Business Solutions\Ecopetrol Prometeo - Documents\Planning Space Implementation\3. Analysis &amp; Design\Design\FC22\DRR Jaime\QUIFA-CAJÚA\Cajua\[CAJUA_CF_SEC_New_27-Feb-2024Rev3.xlsx]D-PND'!$DC$31</t>
  </si>
  <si>
    <t>='C:\Users\jaime.benazar\Quorum Business Solutions\Ecopetrol Prometeo - Documents\Planning Space Implementation\3. Analysis &amp; Design\Design\FC22\DRR Jaime\QUIFA-CAJÚA\Cajua\[CAJUA_CF_SEC_New_27-Feb-2024Rev3.xlsx]D-PND'!$DC$32</t>
  </si>
  <si>
    <t>='C:\Users\jaime.benazar\Quorum Business Solutions\Ecopetrol Prometeo - Documents\Planning Space Implementation\3. Analysis &amp; Design\Design\FC22\DRR Jaime\QUIFA-CAJÚA\Cajua\[CAJUA_CF_SEC_New_27-Feb-2024Rev3.xlsx]D-PND'!$DC$33</t>
  </si>
  <si>
    <t>='C:\Users\jaime.benazar\Quorum Business Solutions\Ecopetrol Prometeo - Documents\Planning Space Implementation\3. Analysis &amp; Design\Design\FC22\DRR Jaime\QUIFA-CAJÚA\Cajua\[CAJUA_CF_SEC_New_27-Feb-2024Rev3.xlsx]D-PND'!$DC$34</t>
  </si>
  <si>
    <t>='C:\Users\jaime.benazar\Quorum Business Solutions\Ecopetrol Prometeo - Documents\Planning Space Implementation\3. Analysis &amp; Design\Design\FC22\DRR Jaime\QUIFA-CAJÚA\Cajua\[CAJUA_CF_SEC_New_27-Feb-2024Rev3.xlsx]D-PND'!$DC$35</t>
  </si>
  <si>
    <t>='C:\Users\jaime.benazar\Quorum Business Solutions\Ecopetrol Prometeo - Documents\Planning Space Implementation\3. Analysis &amp; Design\Design\FC22\DRR Jaime\QUIFA-CAJÚA\Cajua\[CAJUA_CF_SEC_New_27-Feb-2024Rev3.xlsx]D-PND'!$DC$36</t>
  </si>
  <si>
    <t>='C:\Users\jaime.benazar\Quorum Business Solutions\Ecopetrol Prometeo - Documents\Planning Space Implementation\3. Analysis &amp; Design\Design\FC22\DRR Jaime\QUIFA-CAJÚA\Cajua\[CAJUA_CF_SEC_New_27-Feb-2024Rev3.xlsx]D-PND'!$DC$37</t>
  </si>
  <si>
    <t>='C:\Users\jaime.benazar\Quorum Business Solutions\Ecopetrol Prometeo - Documents\Planning Space Implementation\3. Analysis &amp; Design\Design\FC22\DRR Jaime\QUIFA-CAJÚA\Cajua\[CAJUA_CF_SEC_New_27-Feb-2024Rev3.xlsx]D-PND'!$DC$38</t>
  </si>
  <si>
    <t>='C:\Users\jaime.benazar\Quorum Business Solutions\Ecopetrol Prometeo - Documents\Planning Space Implementation\3. Analysis &amp; Design\Design\FC22\DRR Jaime\QUIFA-CAJÚA\Cajua\[CAJUA_CF_SEC_New_27-Feb-2024Rev3.xlsx]D-PND'!$DC$39</t>
  </si>
  <si>
    <t>='C:\Users\jaime.benazar\Quorum Business Solutions\Ecopetrol Prometeo - Documents\Planning Space Implementation\3. Analysis &amp; Design\Design\FC22\DRR Jaime\QUIFA-CAJÚA\Cajua\[CAJUA_CF_SEC_New_27-Feb-2024Rev3.xlsx]D-PND'!$DC$40</t>
  </si>
  <si>
    <t>='C:\Users\jaime.benazar\Quorum Business Solutions\Ecopetrol Prometeo - Documents\Planning Space Implementation\3. Analysis &amp; Design\Design\FC22\DRR Jaime\QUIFA-CAJÚA\Cajua\[CAJUA_CF_SEC_New_27-Feb-2024Rev3.xlsx]D-PND'!$DC$41</t>
  </si>
  <si>
    <t>='C:\Users\jaime.benazar\Quorum Business Solutions\Ecopetrol Prometeo - Documents\Planning Space Implementation\3. Analysis &amp; Design\Design\FC22\DRR Jaime\QUIFA-CAJÚA\Cajua\[CAJUA_CF_SEC_New_27-Feb-2024Rev3.xlsx]D-PND'!$DC$42</t>
  </si>
  <si>
    <t>='C:\Users\jaime.benazar\Quorum Business Solutions\Ecopetrol Prometeo - Documents\Planning Space Implementation\3. Analysis &amp; Design\Design\FC22\DRR Jaime\QUIFA-CAJÚA\Cajua\[CAJUA_CF_SEC_New_27-Feb-2024Rev3.xlsx]D-PND'!$DC$43</t>
  </si>
  <si>
    <t>='C:\Users\jaime.benazar\Quorum Business Solutions\Ecopetrol Prometeo - Documents\Planning Space Implementation\3. Analysis &amp; Design\Design\FC22\DRR Jaime\QUIFA-CAJÚA\Cajua\[CAJUA_CF_SEC_New_27-Feb-2024Rev3.xlsx]D-PND'!$DC$44</t>
  </si>
  <si>
    <t>='C:\Users\jaime.benazar\Quorum Business Solutions\Ecopetrol Prometeo - Documents\Planning Space Implementation\3. Analysis &amp; Design\Design\FC22\DRR Jaime\QUIFA-CAJÚA\Cajua\[CAJUA_CF_SEC_New_27-Feb-2024Rev3.xlsx]D-PND'!$DC$45</t>
  </si>
  <si>
    <t>='C:\Users\jaime.benazar\Quorum Business Solutions\Ecopetrol Prometeo - Documents\Planning Space Implementation\3. Analysis &amp; Design\Design\FC22\DRR Jaime\QUIFA-CAJÚA\Cajua\[CAJUA_CF_SEC_New_27-Feb-2024Rev3.xlsx]D-PND'!$DC$46</t>
  </si>
  <si>
    <t>='C:\Users\jaime.benazar\Quorum Business Solutions\Ecopetrol Prometeo - Documents\Planning Space Implementation\3. Analysis &amp; Design\Design\FC22\DRR Jaime\QUIFA-CAJÚA\Cajua\[CAJUA_CF_SEC_New_27-Feb-2024Rev3.xlsx]D-PND'!$DC$47</t>
  </si>
  <si>
    <t>='C:\Users\jaime.benazar\Quorum Business Solutions\Ecopetrol Prometeo - Documents\Planning Space Implementation\3. Analysis &amp; Design\Design\FC22\DRR Jaime\QUIFA-CAJÚA\Cajua\[CAJUA_CF_SEC_New_27-Feb-2024Rev3.xlsx]D-PND'!$DC$48</t>
  </si>
  <si>
    <t>='C:\Users\jaime.benazar\Quorum Business Solutions\Ecopetrol Prometeo - Documents\Planning Space Implementation\3. Analysis &amp; Design\Design\FC22\DRR Jaime\QUIFA-CAJÚA\Cajua\[CAJUA_CF_SEC_New_27-Feb-2024Rev3.xlsx]D-PRB'!$DC$12</t>
  </si>
  <si>
    <t>='C:\Users\jaime.benazar\Quorum Business Solutions\Ecopetrol Prometeo - Documents\Planning Space Implementation\3. Analysis &amp; Design\Design\FC22\DRR Jaime\QUIFA-CAJÚA\Cajua\[CAJUA_CF_SEC_New_27-Feb-2024Rev3.xlsx]D-PRB'!$DC$13</t>
  </si>
  <si>
    <t>='C:\Users\jaime.benazar\Quorum Business Solutions\Ecopetrol Prometeo - Documents\Planning Space Implementation\3. Analysis &amp; Design\Design\FC22\DRR Jaime\QUIFA-CAJÚA\Cajua\[CAJUA_CF_SEC_New_27-Feb-2024Rev3.xlsx]D-PRB'!$DC$14</t>
  </si>
  <si>
    <t>='C:\Users\jaime.benazar\Quorum Business Solutions\Ecopetrol Prometeo - Documents\Planning Space Implementation\3. Analysis &amp; Design\Design\FC22\DRR Jaime\QUIFA-CAJÚA\Cajua\[CAJUA_CF_SEC_New_27-Feb-2024Rev3.xlsx]D-PRB'!$DC$15</t>
  </si>
  <si>
    <t>='C:\Users\jaime.benazar\Quorum Business Solutions\Ecopetrol Prometeo - Documents\Planning Space Implementation\3. Analysis &amp; Design\Design\FC22\DRR Jaime\QUIFA-CAJÚA\Cajua\[CAJUA_CF_SEC_New_27-Feb-2024Rev3.xlsx]D-PRB'!$DC$16</t>
  </si>
  <si>
    <t>='C:\Users\jaime.benazar\Quorum Business Solutions\Ecopetrol Prometeo - Documents\Planning Space Implementation\3. Analysis &amp; Design\Design\FC22\DRR Jaime\QUIFA-CAJÚA\Cajua\[CAJUA_CF_SEC_New_27-Feb-2024Rev3.xlsx]D-PRB'!$DC$17</t>
  </si>
  <si>
    <t>='C:\Users\jaime.benazar\Quorum Business Solutions\Ecopetrol Prometeo - Documents\Planning Space Implementation\3. Analysis &amp; Design\Design\FC22\DRR Jaime\QUIFA-CAJÚA\Cajua\[CAJUA_CF_SEC_New_27-Feb-2024Rev3.xlsx]D-PRB'!$DC$18</t>
  </si>
  <si>
    <t>='C:\Users\jaime.benazar\Quorum Business Solutions\Ecopetrol Prometeo - Documents\Planning Space Implementation\3. Analysis &amp; Design\Design\FC22\DRR Jaime\QUIFA-CAJÚA\Cajua\[CAJUA_CF_SEC_New_27-Feb-2024Rev3.xlsx]D-PRB'!$DC$19</t>
  </si>
  <si>
    <t>='C:\Users\jaime.benazar\Quorum Business Solutions\Ecopetrol Prometeo - Documents\Planning Space Implementation\3. Analysis &amp; Design\Design\FC22\DRR Jaime\QUIFA-CAJÚA\Cajua\[CAJUA_CF_SEC_New_27-Feb-2024Rev3.xlsx]D-PRB'!$DC$20</t>
  </si>
  <si>
    <t>='C:\Users\jaime.benazar\Quorum Business Solutions\Ecopetrol Prometeo - Documents\Planning Space Implementation\3. Analysis &amp; Design\Design\FC22\DRR Jaime\QUIFA-CAJÚA\Cajua\[CAJUA_CF_SEC_New_27-Feb-2024Rev3.xlsx]D-PRB'!$DC$21</t>
  </si>
  <si>
    <t>='C:\Users\jaime.benazar\Quorum Business Solutions\Ecopetrol Prometeo - Documents\Planning Space Implementation\3. Analysis &amp; Design\Design\FC22\DRR Jaime\QUIFA-CAJÚA\Cajua\[CAJUA_CF_SEC_New_27-Feb-2024Rev3.xlsx]D-PRB'!$DC$22</t>
  </si>
  <si>
    <t>='C:\Users\jaime.benazar\Quorum Business Solutions\Ecopetrol Prometeo - Documents\Planning Space Implementation\3. Analysis &amp; Design\Design\FC22\DRR Jaime\QUIFA-CAJÚA\Cajua\[CAJUA_CF_SEC_New_27-Feb-2024Rev3.xlsx]D-PRB'!$DC$23</t>
  </si>
  <si>
    <t>='C:\Users\jaime.benazar\Quorum Business Solutions\Ecopetrol Prometeo - Documents\Planning Space Implementation\3. Analysis &amp; Design\Design\FC22\DRR Jaime\QUIFA-CAJÚA\Cajua\[CAJUA_CF_SEC_New_27-Feb-2024Rev3.xlsx]D-PRB'!$DC$24</t>
  </si>
  <si>
    <t>='C:\Users\jaime.benazar\Quorum Business Solutions\Ecopetrol Prometeo - Documents\Planning Space Implementation\3. Analysis &amp; Design\Design\FC22\DRR Jaime\QUIFA-CAJÚA\Cajua\[CAJUA_CF_SEC_New_27-Feb-2024Rev3.xlsx]D-PRB'!$DC$25</t>
  </si>
  <si>
    <t>='C:\Users\jaime.benazar\Quorum Business Solutions\Ecopetrol Prometeo - Documents\Planning Space Implementation\3. Analysis &amp; Design\Design\FC22\DRR Jaime\QUIFA-CAJÚA\Cajua\[CAJUA_CF_SEC_New_27-Feb-2024Rev3.xlsx]D-PRB'!$DC$26</t>
  </si>
  <si>
    <t>='C:\Users\jaime.benazar\Quorum Business Solutions\Ecopetrol Prometeo - Documents\Planning Space Implementation\3. Analysis &amp; Design\Design\FC22\DRR Jaime\QUIFA-CAJÚA\Cajua\[CAJUA_CF_SEC_New_27-Feb-2024Rev3.xlsx]D-PRB'!$DC$27</t>
  </si>
  <si>
    <t>='C:\Users\jaime.benazar\Quorum Business Solutions\Ecopetrol Prometeo - Documents\Planning Space Implementation\3. Analysis &amp; Design\Design\FC22\DRR Jaime\QUIFA-CAJÚA\Cajua\[CAJUA_CF_SEC_New_27-Feb-2024Rev3.xlsx]D-PRB'!$DC$28</t>
  </si>
  <si>
    <t>='C:\Users\jaime.benazar\Quorum Business Solutions\Ecopetrol Prometeo - Documents\Planning Space Implementation\3. Analysis &amp; Design\Design\FC22\DRR Jaime\QUIFA-CAJÚA\Cajua\[CAJUA_CF_SEC_New_27-Feb-2024Rev3.xlsx]D-PRB'!$DC$29</t>
  </si>
  <si>
    <t>='C:\Users\jaime.benazar\Quorum Business Solutions\Ecopetrol Prometeo - Documents\Planning Space Implementation\3. Analysis &amp; Design\Design\FC22\DRR Jaime\QUIFA-CAJÚA\Cajua\[CAJUA_CF_SEC_New_27-Feb-2024Rev3.xlsx]D-PRB'!$DC$30</t>
  </si>
  <si>
    <t>='C:\Users\jaime.benazar\Quorum Business Solutions\Ecopetrol Prometeo - Documents\Planning Space Implementation\3. Analysis &amp; Design\Design\FC22\DRR Jaime\QUIFA-CAJÚA\Cajua\[CAJUA_CF_SEC_New_27-Feb-2024Rev3.xlsx]D-PRB'!$DC$31</t>
  </si>
  <si>
    <t>='C:\Users\jaime.benazar\Quorum Business Solutions\Ecopetrol Prometeo - Documents\Planning Space Implementation\3. Analysis &amp; Design\Design\FC22\DRR Jaime\QUIFA-CAJÚA\Cajua\[CAJUA_CF_SEC_New_27-Feb-2024Rev3.xlsx]D-PRB'!$DC$32</t>
  </si>
  <si>
    <t>='C:\Users\jaime.benazar\Quorum Business Solutions\Ecopetrol Prometeo - Documents\Planning Space Implementation\3. Analysis &amp; Design\Design\FC22\DRR Jaime\QUIFA-CAJÚA\Cajua\[CAJUA_CF_SEC_New_27-Feb-2024Rev3.xlsx]D-PRB'!$DC$33</t>
  </si>
  <si>
    <t>='C:\Users\jaime.benazar\Quorum Business Solutions\Ecopetrol Prometeo - Documents\Planning Space Implementation\3. Analysis &amp; Design\Design\FC22\DRR Jaime\QUIFA-CAJÚA\Cajua\[CAJUA_CF_SEC_New_27-Feb-2024Rev3.xlsx]D-PRB'!$DC$34</t>
  </si>
  <si>
    <t>='C:\Users\jaime.benazar\Quorum Business Solutions\Ecopetrol Prometeo - Documents\Planning Space Implementation\3. Analysis &amp; Design\Design\FC22\DRR Jaime\QUIFA-CAJÚA\Cajua\[CAJUA_CF_SEC_New_27-Feb-2024Rev3.xlsx]D-PRB'!$DC$35</t>
  </si>
  <si>
    <t>='C:\Users\jaime.benazar\Quorum Business Solutions\Ecopetrol Prometeo - Documents\Planning Space Implementation\3. Analysis &amp; Design\Design\FC22\DRR Jaime\QUIFA-CAJÚA\Cajua\[CAJUA_CF_SEC_New_27-Feb-2024Rev3.xlsx]D-PRB'!$DC$36</t>
  </si>
  <si>
    <t>='C:\Users\jaime.benazar\Quorum Business Solutions\Ecopetrol Prometeo - Documents\Planning Space Implementation\3. Analysis &amp; Design\Design\FC22\DRR Jaime\QUIFA-CAJÚA\Cajua\[CAJUA_CF_SEC_New_27-Feb-2024Rev3.xlsx]D-PRB'!$DC$37</t>
  </si>
  <si>
    <t>='C:\Users\jaime.benazar\Quorum Business Solutions\Ecopetrol Prometeo - Documents\Planning Space Implementation\3. Analysis &amp; Design\Design\FC22\DRR Jaime\QUIFA-CAJÚA\Cajua\[CAJUA_CF_SEC_New_27-Feb-2024Rev3.xlsx]D-PRB'!$DC$38</t>
  </si>
  <si>
    <t>='C:\Users\jaime.benazar\Quorum Business Solutions\Ecopetrol Prometeo - Documents\Planning Space Implementation\3. Analysis &amp; Design\Design\FC22\DRR Jaime\QUIFA-CAJÚA\Cajua\[CAJUA_CF_SEC_New_27-Feb-2024Rev3.xlsx]D-PRB'!$DC$39</t>
  </si>
  <si>
    <t>='C:\Users\jaime.benazar\Quorum Business Solutions\Ecopetrol Prometeo - Documents\Planning Space Implementation\3. Analysis &amp; Design\Design\FC22\DRR Jaime\QUIFA-CAJÚA\Cajua\[CAJUA_CF_SEC_New_27-Feb-2024Rev3.xlsx]D-PRB'!$DC$40</t>
  </si>
  <si>
    <t>='C:\Users\jaime.benazar\Quorum Business Solutions\Ecopetrol Prometeo - Documents\Planning Space Implementation\3. Analysis &amp; Design\Design\FC22\DRR Jaime\QUIFA-CAJÚA\Cajua\[CAJUA_CF_SEC_New_27-Feb-2024Rev3.xlsx]D-PRB'!$DC$41</t>
  </si>
  <si>
    <t>='C:\Users\jaime.benazar\Quorum Business Solutions\Ecopetrol Prometeo - Documents\Planning Space Implementation\3. Analysis &amp; Design\Design\FC22\DRR Jaime\QUIFA-CAJÚA\Cajua\[CAJUA_CF_SEC_New_27-Feb-2024Rev3.xlsx]D-PRB'!$DC$42</t>
  </si>
  <si>
    <t>='C:\Users\jaime.benazar\Quorum Business Solutions\Ecopetrol Prometeo - Documents\Planning Space Implementation\3. Analysis &amp; Design\Design\FC22\DRR Jaime\QUIFA-CAJÚA\Cajua\[CAJUA_CF_SEC_New_27-Feb-2024Rev3.xlsx]D-PRB'!$DC$43</t>
  </si>
  <si>
    <t>='C:\Users\jaime.benazar\Quorum Business Solutions\Ecopetrol Prometeo - Documents\Planning Space Implementation\3. Analysis &amp; Design\Design\FC22\DRR Jaime\QUIFA-CAJÚA\Cajua\[CAJUA_CF_SEC_New_27-Feb-2024Rev3.xlsx]D-PRB'!$DC$44</t>
  </si>
  <si>
    <t>='C:\Users\jaime.benazar\Quorum Business Solutions\Ecopetrol Prometeo - Documents\Planning Space Implementation\3. Analysis &amp; Design\Design\FC22\DRR Jaime\QUIFA-CAJÚA\Cajua\[CAJUA_CF_SEC_New_27-Feb-2024Rev3.xlsx]D-PRB'!$DC$45</t>
  </si>
  <si>
    <t>='C:\Users\jaime.benazar\Quorum Business Solutions\Ecopetrol Prometeo - Documents\Planning Space Implementation\3. Analysis &amp; Design\Design\FC22\DRR Jaime\QUIFA-CAJÚA\Cajua\[CAJUA_CF_SEC_New_27-Feb-2024Rev3.xlsx]D-PRB'!$DC$46</t>
  </si>
  <si>
    <t>='C:\Users\jaime.benazar\Quorum Business Solutions\Ecopetrol Prometeo - Documents\Planning Space Implementation\3. Analysis &amp; Design\Design\FC22\DRR Jaime\QUIFA-CAJÚA\Cajua\[CAJUA_CF_SEC_New_27-Feb-2024Rev3.xlsx]D-PRB'!$DC$47</t>
  </si>
  <si>
    <t>='C:\Users\jaime.benazar\Quorum Business Solutions\Ecopetrol Prometeo - Documents\Planning Space Implementation\3. Analysis &amp; Design\Design\FC22\DRR Jaime\QUIFA-CAJÚA\Cajua\[CAJUA_CF_SEC_New_27-Feb-2024Rev3.xlsx]D-PRB'!$DC$48</t>
  </si>
  <si>
    <t>='C:\Users\jaime.benazar\Quorum Business Solutions\Ecopetrol Prometeo - Documents\Planning Space Implementation\3. Analysis &amp; Design\Design\FC22\DRR Jaime\QUIFA-CAJÚA\Cajua\[CAJUA_CF_SEC_New_27-Feb-2024Rev3.xlsx]D-PS'!$DC$12</t>
  </si>
  <si>
    <t>='C:\Users\jaime.benazar\Quorum Business Solutions\Ecopetrol Prometeo - Documents\Planning Space Implementation\3. Analysis &amp; Design\Design\FC22\DRR Jaime\QUIFA-CAJÚA\Cajua\[CAJUA_CF_SEC_New_27-Feb-2024Rev3.xlsx]D-PS'!$DC$13</t>
  </si>
  <si>
    <t>='C:\Users\jaime.benazar\Quorum Business Solutions\Ecopetrol Prometeo - Documents\Planning Space Implementation\3. Analysis &amp; Design\Design\FC22\DRR Jaime\QUIFA-CAJÚA\Cajua\[CAJUA_CF_SEC_New_27-Feb-2024Rev3.xlsx]D-PS'!$DC$14</t>
  </si>
  <si>
    <t>='C:\Users\jaime.benazar\Quorum Business Solutions\Ecopetrol Prometeo - Documents\Planning Space Implementation\3. Analysis &amp; Design\Design\FC22\DRR Jaime\QUIFA-CAJÚA\Cajua\[CAJUA_CF_SEC_New_27-Feb-2024Rev3.xlsx]D-PS'!$DC$15</t>
  </si>
  <si>
    <t>='C:\Users\jaime.benazar\Quorum Business Solutions\Ecopetrol Prometeo - Documents\Planning Space Implementation\3. Analysis &amp; Design\Design\FC22\DRR Jaime\QUIFA-CAJÚA\Cajua\[CAJUA_CF_SEC_New_27-Feb-2024Rev3.xlsx]D-PS'!$DC$16</t>
  </si>
  <si>
    <t>='C:\Users\jaime.benazar\Quorum Business Solutions\Ecopetrol Prometeo - Documents\Planning Space Implementation\3. Analysis &amp; Design\Design\FC22\DRR Jaime\QUIFA-CAJÚA\Cajua\[CAJUA_CF_SEC_New_27-Feb-2024Rev3.xlsx]D-PS'!$DC$17</t>
  </si>
  <si>
    <t>='C:\Users\jaime.benazar\Quorum Business Solutions\Ecopetrol Prometeo - Documents\Planning Space Implementation\3. Analysis &amp; Design\Design\FC22\DRR Jaime\QUIFA-CAJÚA\Cajua\[CAJUA_CF_SEC_New_27-Feb-2024Rev3.xlsx]D-PS'!$DC$18</t>
  </si>
  <si>
    <t>='C:\Users\jaime.benazar\Quorum Business Solutions\Ecopetrol Prometeo - Documents\Planning Space Implementation\3. Analysis &amp; Design\Design\FC22\DRR Jaime\QUIFA-CAJÚA\Cajua\[CAJUA_CF_SEC_New_27-Feb-2024Rev3.xlsx]D-PS'!$DC$19</t>
  </si>
  <si>
    <t>='C:\Users\jaime.benazar\Quorum Business Solutions\Ecopetrol Prometeo - Documents\Planning Space Implementation\3. Analysis &amp; Design\Design\FC22\DRR Jaime\QUIFA-CAJÚA\Cajua\[CAJUA_CF_SEC_New_27-Feb-2024Rev3.xlsx]D-PS'!$DC$20</t>
  </si>
  <si>
    <t>='C:\Users\jaime.benazar\Quorum Business Solutions\Ecopetrol Prometeo - Documents\Planning Space Implementation\3. Analysis &amp; Design\Design\FC22\DRR Jaime\QUIFA-CAJÚA\Cajua\[CAJUA_CF_SEC_New_27-Feb-2024Rev3.xlsx]D-PS'!$DC$21</t>
  </si>
  <si>
    <t>='C:\Users\jaime.benazar\Quorum Business Solutions\Ecopetrol Prometeo - Documents\Planning Space Implementation\3. Analysis &amp; Design\Design\FC22\DRR Jaime\QUIFA-CAJÚA\Cajua\[CAJUA_CF_SEC_New_27-Feb-2024Rev3.xlsx]D-PS'!$DC$22</t>
  </si>
  <si>
    <t>='C:\Users\jaime.benazar\Quorum Business Solutions\Ecopetrol Prometeo - Documents\Planning Space Implementation\3. Analysis &amp; Design\Design\FC22\DRR Jaime\QUIFA-CAJÚA\Cajua\[CAJUA_CF_SEC_New_27-Feb-2024Rev3.xlsx]D-PS'!$DC$23</t>
  </si>
  <si>
    <t>='C:\Users\jaime.benazar\Quorum Business Solutions\Ecopetrol Prometeo - Documents\Planning Space Implementation\3. Analysis &amp; Design\Design\FC22\DRR Jaime\QUIFA-CAJÚA\Cajua\[CAJUA_CF_SEC_New_27-Feb-2024Rev3.xlsx]D-PS'!$DC$24</t>
  </si>
  <si>
    <t>='C:\Users\jaime.benazar\Quorum Business Solutions\Ecopetrol Prometeo - Documents\Planning Space Implementation\3. Analysis &amp; Design\Design\FC22\DRR Jaime\QUIFA-CAJÚA\Cajua\[CAJUA_CF_SEC_New_27-Feb-2024Rev3.xlsx]D-PS'!$DC$25</t>
  </si>
  <si>
    <t>='C:\Users\jaime.benazar\Quorum Business Solutions\Ecopetrol Prometeo - Documents\Planning Space Implementation\3. Analysis &amp; Design\Design\FC22\DRR Jaime\QUIFA-CAJÚA\Cajua\[CAJUA_CF_SEC_New_27-Feb-2024Rev3.xlsx]D-PS'!$DC$26</t>
  </si>
  <si>
    <t>='C:\Users\jaime.benazar\Quorum Business Solutions\Ecopetrol Prometeo - Documents\Planning Space Implementation\3. Analysis &amp; Design\Design\FC22\DRR Jaime\QUIFA-CAJÚA\Cajua\[CAJUA_CF_SEC_New_27-Feb-2024Rev3.xlsx]D-PS'!$DC$27</t>
  </si>
  <si>
    <t>='C:\Users\jaime.benazar\Quorum Business Solutions\Ecopetrol Prometeo - Documents\Planning Space Implementation\3. Analysis &amp; Design\Design\FC22\DRR Jaime\QUIFA-CAJÚA\Cajua\[CAJUA_CF_SEC_New_27-Feb-2024Rev3.xlsx]D-PS'!$DC$28</t>
  </si>
  <si>
    <t>='C:\Users\jaime.benazar\Quorum Business Solutions\Ecopetrol Prometeo - Documents\Planning Space Implementation\3. Analysis &amp; Design\Design\FC22\DRR Jaime\QUIFA-CAJÚA\Cajua\[CAJUA_CF_SEC_New_27-Feb-2024Rev3.xlsx]D-PS'!$DC$29</t>
  </si>
  <si>
    <t>='C:\Users\jaime.benazar\Quorum Business Solutions\Ecopetrol Prometeo - Documents\Planning Space Implementation\3. Analysis &amp; Design\Design\FC22\DRR Jaime\QUIFA-CAJÚA\Cajua\[CAJUA_CF_SEC_New_27-Feb-2024Rev3.xlsx]D-PS'!$DC$30</t>
  </si>
  <si>
    <t>='C:\Users\jaime.benazar\Quorum Business Solutions\Ecopetrol Prometeo - Documents\Planning Space Implementation\3. Analysis &amp; Design\Design\FC22\DRR Jaime\QUIFA-CAJÚA\Cajua\[CAJUA_CF_SEC_New_27-Feb-2024Rev3.xlsx]D-PS'!$DC$31</t>
  </si>
  <si>
    <t>='C:\Users\jaime.benazar\Quorum Business Solutions\Ecopetrol Prometeo - Documents\Planning Space Implementation\3. Analysis &amp; Design\Design\FC22\DRR Jaime\QUIFA-CAJÚA\Cajua\[CAJUA_CF_SEC_New_27-Feb-2024Rev3.xlsx]D-PS'!$DC$32</t>
  </si>
  <si>
    <t>='C:\Users\jaime.benazar\Quorum Business Solutions\Ecopetrol Prometeo - Documents\Planning Space Implementation\3. Analysis &amp; Design\Design\FC22\DRR Jaime\QUIFA-CAJÚA\Cajua\[CAJUA_CF_SEC_New_27-Feb-2024Rev3.xlsx]D-PS'!$DC$33</t>
  </si>
  <si>
    <t>='C:\Users\jaime.benazar\Quorum Business Solutions\Ecopetrol Prometeo - Documents\Planning Space Implementation\3. Analysis &amp; Design\Design\FC22\DRR Jaime\QUIFA-CAJÚA\Cajua\[CAJUA_CF_SEC_New_27-Feb-2024Rev3.xlsx]D-PS'!$DC$34</t>
  </si>
  <si>
    <t>='C:\Users\jaime.benazar\Quorum Business Solutions\Ecopetrol Prometeo - Documents\Planning Space Implementation\3. Analysis &amp; Design\Design\FC22\DRR Jaime\QUIFA-CAJÚA\Cajua\[CAJUA_CF_SEC_New_27-Feb-2024Rev3.xlsx]D-PS'!$DC$35</t>
  </si>
  <si>
    <t>='C:\Users\jaime.benazar\Quorum Business Solutions\Ecopetrol Prometeo - Documents\Planning Space Implementation\3. Analysis &amp; Design\Design\FC22\DRR Jaime\QUIFA-CAJÚA\Cajua\[CAJUA_CF_SEC_New_27-Feb-2024Rev3.xlsx]D-PS'!$DC$36</t>
  </si>
  <si>
    <t>='C:\Users\jaime.benazar\Quorum Business Solutions\Ecopetrol Prometeo - Documents\Planning Space Implementation\3. Analysis &amp; Design\Design\FC22\DRR Jaime\QUIFA-CAJÚA\Cajua\[CAJUA_CF_SEC_New_27-Feb-2024Rev3.xlsx]D-PS'!$DC$37</t>
  </si>
  <si>
    <t>='C:\Users\jaime.benazar\Quorum Business Solutions\Ecopetrol Prometeo - Documents\Planning Space Implementation\3. Analysis &amp; Design\Design\FC22\DRR Jaime\QUIFA-CAJÚA\Cajua\[CAJUA_CF_SEC_New_27-Feb-2024Rev3.xlsx]D-PS'!$DC$38</t>
  </si>
  <si>
    <t>='C:\Users\jaime.benazar\Quorum Business Solutions\Ecopetrol Prometeo - Documents\Planning Space Implementation\3. Analysis &amp; Design\Design\FC22\DRR Jaime\QUIFA-CAJÚA\Cajua\[CAJUA_CF_SEC_New_27-Feb-2024Rev3.xlsx]D-PS'!$DC$39</t>
  </si>
  <si>
    <t>='C:\Users\jaime.benazar\Quorum Business Solutions\Ecopetrol Prometeo - Documents\Planning Space Implementation\3. Analysis &amp; Design\Design\FC22\DRR Jaime\QUIFA-CAJÚA\Cajua\[CAJUA_CF_SEC_New_27-Feb-2024Rev3.xlsx]D-PS'!$DC$40</t>
  </si>
  <si>
    <t>='C:\Users\jaime.benazar\Quorum Business Solutions\Ecopetrol Prometeo - Documents\Planning Space Implementation\3. Analysis &amp; Design\Design\FC22\DRR Jaime\QUIFA-CAJÚA\Cajua\[CAJUA_CF_SEC_New_27-Feb-2024Rev3.xlsx]D-PS'!$DC$41</t>
  </si>
  <si>
    <t>='C:\Users\jaime.benazar\Quorum Business Solutions\Ecopetrol Prometeo - Documents\Planning Space Implementation\3. Analysis &amp; Design\Design\FC22\DRR Jaime\QUIFA-CAJÚA\Cajua\[CAJUA_CF_SEC_New_27-Feb-2024Rev3.xlsx]D-PS'!$DC$42</t>
  </si>
  <si>
    <t>='C:\Users\jaime.benazar\Quorum Business Solutions\Ecopetrol Prometeo - Documents\Planning Space Implementation\3. Analysis &amp; Design\Design\FC22\DRR Jaime\QUIFA-CAJÚA\Cajua\[CAJUA_CF_SEC_New_27-Feb-2024Rev3.xlsx]D-PS'!$DC$43</t>
  </si>
  <si>
    <t>='C:\Users\jaime.benazar\Quorum Business Solutions\Ecopetrol Prometeo - Documents\Planning Space Implementation\3. Analysis &amp; Design\Design\FC22\DRR Jaime\QUIFA-CAJÚA\Cajua\[CAJUA_CF_SEC_New_27-Feb-2024Rev3.xlsx]D-PS'!$DC$44</t>
  </si>
  <si>
    <t>='C:\Users\jaime.benazar\Quorum Business Solutions\Ecopetrol Prometeo - Documents\Planning Space Implementation\3. Analysis &amp; Design\Design\FC22\DRR Jaime\QUIFA-CAJÚA\Cajua\[CAJUA_CF_SEC_New_27-Feb-2024Rev3.xlsx]D-PS'!$DC$45</t>
  </si>
  <si>
    <t>='C:\Users\jaime.benazar\Quorum Business Solutions\Ecopetrol Prometeo - Documents\Planning Space Implementation\3. Analysis &amp; Design\Design\FC22\DRR Jaime\QUIFA-CAJÚA\Cajua\[CAJUA_CF_SEC_New_27-Feb-2024Rev3.xlsx]D-PS'!$DC$46</t>
  </si>
  <si>
    <t>='C:\Users\jaime.benazar\Quorum Business Solutions\Ecopetrol Prometeo - Documents\Planning Space Implementation\3. Analysis &amp; Design\Design\FC22\DRR Jaime\QUIFA-CAJÚA\Cajua\[CAJUA_CF_SEC_New_27-Feb-2024Rev3.xlsx]D-PS'!$DC$47</t>
  </si>
  <si>
    <t>='C:\Users\jaime.benazar\Quorum Business Solutions\Ecopetrol Prometeo - Documents\Planning Space Implementation\3. Analysis &amp; Design\Design\FC22\DRR Jaime\QUIFA-CAJÚA\Cajua\[CAJUA_CF_SEC_New_27-Feb-2024Rev3.xlsx]D-PS'!$DC$48</t>
  </si>
  <si>
    <t>='C:\Users\jaime.benazar\Quorum Business Solutions\Ecopetrol Prometeo - Documents\Planning Space Implementation\3. Analysis &amp; Design\Design\FC22\DRR Jaime\QUIFA-CAJÚA\Cajua\[CAJUA_CF_SEC_New_27-Feb-2024Rev3.xlsx]D-PDP'!$EA$12</t>
  </si>
  <si>
    <t>='C:\Users\jaime.benazar\Quorum Business Solutions\Ecopetrol Prometeo - Documents\Planning Space Implementation\3. Analysis &amp; Design\Design\FC22\DRR Jaime\QUIFA-CAJÚA\Cajua\[CAJUA_CF_SEC_New_27-Feb-2024Rev3.xlsx]D-PDP'!$EA$13</t>
  </si>
  <si>
    <t>='C:\Users\jaime.benazar\Quorum Business Solutions\Ecopetrol Prometeo - Documents\Planning Space Implementation\3. Analysis &amp; Design\Design\FC22\DRR Jaime\QUIFA-CAJÚA\Cajua\[CAJUA_CF_SEC_New_27-Feb-2024Rev3.xlsx]D-PDP'!$EA$14</t>
  </si>
  <si>
    <t>='C:\Users\jaime.benazar\Quorum Business Solutions\Ecopetrol Prometeo - Documents\Planning Space Implementation\3. Analysis &amp; Design\Design\FC22\DRR Jaime\QUIFA-CAJÚA\Cajua\[CAJUA_CF_SEC_New_27-Feb-2024Rev3.xlsx]D-PDP'!$EA$15</t>
  </si>
  <si>
    <t>='C:\Users\jaime.benazar\Quorum Business Solutions\Ecopetrol Prometeo - Documents\Planning Space Implementation\3. Analysis &amp; Design\Design\FC22\DRR Jaime\QUIFA-CAJÚA\Cajua\[CAJUA_CF_SEC_New_27-Feb-2024Rev3.xlsx]D-PDP'!$EA$16</t>
  </si>
  <si>
    <t>='C:\Users\jaime.benazar\Quorum Business Solutions\Ecopetrol Prometeo - Documents\Planning Space Implementation\3. Analysis &amp; Design\Design\FC22\DRR Jaime\QUIFA-CAJÚA\Cajua\[CAJUA_CF_SEC_New_27-Feb-2024Rev3.xlsx]D-PDP'!$EA$17</t>
  </si>
  <si>
    <t>='C:\Users\jaime.benazar\Quorum Business Solutions\Ecopetrol Prometeo - Documents\Planning Space Implementation\3. Analysis &amp; Design\Design\FC22\DRR Jaime\QUIFA-CAJÚA\Cajua\[CAJUA_CF_SEC_New_27-Feb-2024Rev3.xlsx]D-PDP'!$EA$18</t>
  </si>
  <si>
    <t>='C:\Users\jaime.benazar\Quorum Business Solutions\Ecopetrol Prometeo - Documents\Planning Space Implementation\3. Analysis &amp; Design\Design\FC22\DRR Jaime\QUIFA-CAJÚA\Cajua\[CAJUA_CF_SEC_New_27-Feb-2024Rev3.xlsx]D-PDP'!$EA$19</t>
  </si>
  <si>
    <t>='C:\Users\jaime.benazar\Quorum Business Solutions\Ecopetrol Prometeo - Documents\Planning Space Implementation\3. Analysis &amp; Design\Design\FC22\DRR Jaime\QUIFA-CAJÚA\Cajua\[CAJUA_CF_SEC_New_27-Feb-2024Rev3.xlsx]D-PDP'!$EA$20</t>
  </si>
  <si>
    <t>='C:\Users\jaime.benazar\Quorum Business Solutions\Ecopetrol Prometeo - Documents\Planning Space Implementation\3. Analysis &amp; Design\Design\FC22\DRR Jaime\QUIFA-CAJÚA\Cajua\[CAJUA_CF_SEC_New_27-Feb-2024Rev3.xlsx]D-PDP'!$EA$21</t>
  </si>
  <si>
    <t>='C:\Users\jaime.benazar\Quorum Business Solutions\Ecopetrol Prometeo - Documents\Planning Space Implementation\3. Analysis &amp; Design\Design\FC22\DRR Jaime\QUIFA-CAJÚA\Cajua\[CAJUA_CF_SEC_New_27-Feb-2024Rev3.xlsx]D-PDP'!$EA$22</t>
  </si>
  <si>
    <t>='C:\Users\jaime.benazar\Quorum Business Solutions\Ecopetrol Prometeo - Documents\Planning Space Implementation\3. Analysis &amp; Design\Design\FC22\DRR Jaime\QUIFA-CAJÚA\Cajua\[CAJUA_CF_SEC_New_27-Feb-2024Rev3.xlsx]D-PDP'!$EA$23</t>
  </si>
  <si>
    <t>='C:\Users\jaime.benazar\Quorum Business Solutions\Ecopetrol Prometeo - Documents\Planning Space Implementation\3. Analysis &amp; Design\Design\FC22\DRR Jaime\QUIFA-CAJÚA\Cajua\[CAJUA_CF_SEC_New_27-Feb-2024Rev3.xlsx]D-PDP'!$EA$24</t>
  </si>
  <si>
    <t>='C:\Users\jaime.benazar\Quorum Business Solutions\Ecopetrol Prometeo - Documents\Planning Space Implementation\3. Analysis &amp; Design\Design\FC22\DRR Jaime\QUIFA-CAJÚA\Cajua\[CAJUA_CF_SEC_New_27-Feb-2024Rev3.xlsx]D-PDP'!$EA$25</t>
  </si>
  <si>
    <t>='C:\Users\jaime.benazar\Quorum Business Solutions\Ecopetrol Prometeo - Documents\Planning Space Implementation\3. Analysis &amp; Design\Design\FC22\DRR Jaime\QUIFA-CAJÚA\Cajua\[CAJUA_CF_SEC_New_27-Feb-2024Rev3.xlsx]D-PDP'!$EA$26</t>
  </si>
  <si>
    <t>='C:\Users\jaime.benazar\Quorum Business Solutions\Ecopetrol Prometeo - Documents\Planning Space Implementation\3. Analysis &amp; Design\Design\FC22\DRR Jaime\QUIFA-CAJÚA\Cajua\[CAJUA_CF_SEC_New_27-Feb-2024Rev3.xlsx]D-PDP'!$EA$27</t>
  </si>
  <si>
    <t>='C:\Users\jaime.benazar\Quorum Business Solutions\Ecopetrol Prometeo - Documents\Planning Space Implementation\3. Analysis &amp; Design\Design\FC22\DRR Jaime\QUIFA-CAJÚA\Cajua\[CAJUA_CF_SEC_New_27-Feb-2024Rev3.xlsx]D-PDP'!$EA$28</t>
  </si>
  <si>
    <t>='C:\Users\jaime.benazar\Quorum Business Solutions\Ecopetrol Prometeo - Documents\Planning Space Implementation\3. Analysis &amp; Design\Design\FC22\DRR Jaime\QUIFA-CAJÚA\Cajua\[CAJUA_CF_SEC_New_27-Feb-2024Rev3.xlsx]D-PDP'!$EA$29</t>
  </si>
  <si>
    <t>='C:\Users\jaime.benazar\Quorum Business Solutions\Ecopetrol Prometeo - Documents\Planning Space Implementation\3. Analysis &amp; Design\Design\FC22\DRR Jaime\QUIFA-CAJÚA\Cajua\[CAJUA_CF_SEC_New_27-Feb-2024Rev3.xlsx]D-PDP'!$EA$30</t>
  </si>
  <si>
    <t>='C:\Users\jaime.benazar\Quorum Business Solutions\Ecopetrol Prometeo - Documents\Planning Space Implementation\3. Analysis &amp; Design\Design\FC22\DRR Jaime\QUIFA-CAJÚA\Cajua\[CAJUA_CF_SEC_New_27-Feb-2024Rev3.xlsx]D-PDP'!$EA$31</t>
  </si>
  <si>
    <t>='C:\Users\jaime.benazar\Quorum Business Solutions\Ecopetrol Prometeo - Documents\Planning Space Implementation\3. Analysis &amp; Design\Design\FC22\DRR Jaime\QUIFA-CAJÚA\Cajua\[CAJUA_CF_SEC_New_27-Feb-2024Rev3.xlsx]D-PDP'!$EA$32</t>
  </si>
  <si>
    <t>='C:\Users\jaime.benazar\Quorum Business Solutions\Ecopetrol Prometeo - Documents\Planning Space Implementation\3. Analysis &amp; Design\Design\FC22\DRR Jaime\QUIFA-CAJÚA\Cajua\[CAJUA_CF_SEC_New_27-Feb-2024Rev3.xlsx]D-PDP'!$EA$33</t>
  </si>
  <si>
    <t>='C:\Users\jaime.benazar\Quorum Business Solutions\Ecopetrol Prometeo - Documents\Planning Space Implementation\3. Analysis &amp; Design\Design\FC22\DRR Jaime\QUIFA-CAJÚA\Cajua\[CAJUA_CF_SEC_New_27-Feb-2024Rev3.xlsx]D-PDP'!$EA$34</t>
  </si>
  <si>
    <t>='C:\Users\jaime.benazar\Quorum Business Solutions\Ecopetrol Prometeo - Documents\Planning Space Implementation\3. Analysis &amp; Design\Design\FC22\DRR Jaime\QUIFA-CAJÚA\Cajua\[CAJUA_CF_SEC_New_27-Feb-2024Rev3.xlsx]D-PDP'!$EA$35</t>
  </si>
  <si>
    <t>='C:\Users\jaime.benazar\Quorum Business Solutions\Ecopetrol Prometeo - Documents\Planning Space Implementation\3. Analysis &amp; Design\Design\FC22\DRR Jaime\QUIFA-CAJÚA\Cajua\[CAJUA_CF_SEC_New_27-Feb-2024Rev3.xlsx]D-PDP'!$EA$36</t>
  </si>
  <si>
    <t>='C:\Users\jaime.benazar\Quorum Business Solutions\Ecopetrol Prometeo - Documents\Planning Space Implementation\3. Analysis &amp; Design\Design\FC22\DRR Jaime\QUIFA-CAJÚA\Cajua\[CAJUA_CF_SEC_New_27-Feb-2024Rev3.xlsx]D-PDP'!$EA$37</t>
  </si>
  <si>
    <t>='C:\Users\jaime.benazar\Quorum Business Solutions\Ecopetrol Prometeo - Documents\Planning Space Implementation\3. Analysis &amp; Design\Design\FC22\DRR Jaime\QUIFA-CAJÚA\Cajua\[CAJUA_CF_SEC_New_27-Feb-2024Rev3.xlsx]D-PDP'!$EA$38</t>
  </si>
  <si>
    <t>='C:\Users\jaime.benazar\Quorum Business Solutions\Ecopetrol Prometeo - Documents\Planning Space Implementation\3. Analysis &amp; Design\Design\FC22\DRR Jaime\QUIFA-CAJÚA\Cajua\[CAJUA_CF_SEC_New_27-Feb-2024Rev3.xlsx]D-PDP'!$EA$39</t>
  </si>
  <si>
    <t>='C:\Users\jaime.benazar\Quorum Business Solutions\Ecopetrol Prometeo - Documents\Planning Space Implementation\3. Analysis &amp; Design\Design\FC22\DRR Jaime\QUIFA-CAJÚA\Cajua\[CAJUA_CF_SEC_New_27-Feb-2024Rev3.xlsx]D-PDP'!$EA$40</t>
  </si>
  <si>
    <t>='C:\Users\jaime.benazar\Quorum Business Solutions\Ecopetrol Prometeo - Documents\Planning Space Implementation\3. Analysis &amp; Design\Design\FC22\DRR Jaime\QUIFA-CAJÚA\Cajua\[CAJUA_CF_SEC_New_27-Feb-2024Rev3.xlsx]D-PDP'!$EA$41</t>
  </si>
  <si>
    <t>='C:\Users\jaime.benazar\Quorum Business Solutions\Ecopetrol Prometeo - Documents\Planning Space Implementation\3. Analysis &amp; Design\Design\FC22\DRR Jaime\QUIFA-CAJÚA\Cajua\[CAJUA_CF_SEC_New_27-Feb-2024Rev3.xlsx]D-PDP'!$EA$42</t>
  </si>
  <si>
    <t>='C:\Users\jaime.benazar\Quorum Business Solutions\Ecopetrol Prometeo - Documents\Planning Space Implementation\3. Analysis &amp; Design\Design\FC22\DRR Jaime\QUIFA-CAJÚA\Cajua\[CAJUA_CF_SEC_New_27-Feb-2024Rev3.xlsx]D-PDP'!$EA$43</t>
  </si>
  <si>
    <t>='C:\Users\jaime.benazar\Quorum Business Solutions\Ecopetrol Prometeo - Documents\Planning Space Implementation\3. Analysis &amp; Design\Design\FC22\DRR Jaime\QUIFA-CAJÚA\Cajua\[CAJUA_CF_SEC_New_27-Feb-2024Rev3.xlsx]D-PDP'!$EA$44</t>
  </si>
  <si>
    <t>='C:\Users\jaime.benazar\Quorum Business Solutions\Ecopetrol Prometeo - Documents\Planning Space Implementation\3. Analysis &amp; Design\Design\FC22\DRR Jaime\QUIFA-CAJÚA\Cajua\[CAJUA_CF_SEC_New_27-Feb-2024Rev3.xlsx]D-PDP'!$EA$45</t>
  </si>
  <si>
    <t>='C:\Users\jaime.benazar\Quorum Business Solutions\Ecopetrol Prometeo - Documents\Planning Space Implementation\3. Analysis &amp; Design\Design\FC22\DRR Jaime\QUIFA-CAJÚA\Cajua\[CAJUA_CF_SEC_New_27-Feb-2024Rev3.xlsx]D-PDP'!$EA$46</t>
  </si>
  <si>
    <t>='C:\Users\jaime.benazar\Quorum Business Solutions\Ecopetrol Prometeo - Documents\Planning Space Implementation\3. Analysis &amp; Design\Design\FC22\DRR Jaime\QUIFA-CAJÚA\Cajua\[CAJUA_CF_SEC_New_27-Feb-2024Rev3.xlsx]D-PDP'!$EA$47</t>
  </si>
  <si>
    <t>='C:\Users\jaime.benazar\Quorum Business Solutions\Ecopetrol Prometeo - Documents\Planning Space Implementation\3. Analysis &amp; Design\Design\FC22\DRR Jaime\QUIFA-CAJÚA\Cajua\[CAJUA_CF_SEC_New_27-Feb-2024Rev3.xlsx]D-PDP'!$EA$48</t>
  </si>
  <si>
    <t>='C:\Users\jaime.benazar\Quorum Business Solutions\Ecopetrol Prometeo - Documents\Planning Space Implementation\3. Analysis &amp; Design\Design\FC22\DRR Jaime\QUIFA-CAJÚA\Cajua\[CAJUA_CF_SEC_New_27-Feb-2024Rev3.xlsx]D-PNP'!$EA$12</t>
  </si>
  <si>
    <t>='C:\Users\jaime.benazar\Quorum Business Solutions\Ecopetrol Prometeo - Documents\Planning Space Implementation\3. Analysis &amp; Design\Design\FC22\DRR Jaime\QUIFA-CAJÚA\Cajua\[CAJUA_CF_SEC_New_27-Feb-2024Rev3.xlsx]D-PNP'!$EA$13</t>
  </si>
  <si>
    <t>='C:\Users\jaime.benazar\Quorum Business Solutions\Ecopetrol Prometeo - Documents\Planning Space Implementation\3. Analysis &amp; Design\Design\FC22\DRR Jaime\QUIFA-CAJÚA\Cajua\[CAJUA_CF_SEC_New_27-Feb-2024Rev3.xlsx]D-PNP'!$EA$14</t>
  </si>
  <si>
    <t>='C:\Users\jaime.benazar\Quorum Business Solutions\Ecopetrol Prometeo - Documents\Planning Space Implementation\3. Analysis &amp; Design\Design\FC22\DRR Jaime\QUIFA-CAJÚA\Cajua\[CAJUA_CF_SEC_New_27-Feb-2024Rev3.xlsx]D-PNP'!$EA$15</t>
  </si>
  <si>
    <t>='C:\Users\jaime.benazar\Quorum Business Solutions\Ecopetrol Prometeo - Documents\Planning Space Implementation\3. Analysis &amp; Design\Design\FC22\DRR Jaime\QUIFA-CAJÚA\Cajua\[CAJUA_CF_SEC_New_27-Feb-2024Rev3.xlsx]D-PNP'!$EA$16</t>
  </si>
  <si>
    <t>='C:\Users\jaime.benazar\Quorum Business Solutions\Ecopetrol Prometeo - Documents\Planning Space Implementation\3. Analysis &amp; Design\Design\FC22\DRR Jaime\QUIFA-CAJÚA\Cajua\[CAJUA_CF_SEC_New_27-Feb-2024Rev3.xlsx]D-PNP'!$EA$17</t>
  </si>
  <si>
    <t>='C:\Users\jaime.benazar\Quorum Business Solutions\Ecopetrol Prometeo - Documents\Planning Space Implementation\3. Analysis &amp; Design\Design\FC22\DRR Jaime\QUIFA-CAJÚA\Cajua\[CAJUA_CF_SEC_New_27-Feb-2024Rev3.xlsx]D-PNP'!$EA$18</t>
  </si>
  <si>
    <t>='C:\Users\jaime.benazar\Quorum Business Solutions\Ecopetrol Prometeo - Documents\Planning Space Implementation\3. Analysis &amp; Design\Design\FC22\DRR Jaime\QUIFA-CAJÚA\Cajua\[CAJUA_CF_SEC_New_27-Feb-2024Rev3.xlsx]D-PNP'!$EA$19</t>
  </si>
  <si>
    <t>='C:\Users\jaime.benazar\Quorum Business Solutions\Ecopetrol Prometeo - Documents\Planning Space Implementation\3. Analysis &amp; Design\Design\FC22\DRR Jaime\QUIFA-CAJÚA\Cajua\[CAJUA_CF_SEC_New_27-Feb-2024Rev3.xlsx]D-PNP'!$EA$20</t>
  </si>
  <si>
    <t>='C:\Users\jaime.benazar\Quorum Business Solutions\Ecopetrol Prometeo - Documents\Planning Space Implementation\3. Analysis &amp; Design\Design\FC22\DRR Jaime\QUIFA-CAJÚA\Cajua\[CAJUA_CF_SEC_New_27-Feb-2024Rev3.xlsx]D-PNP'!$EA$21</t>
  </si>
  <si>
    <t>='C:\Users\jaime.benazar\Quorum Business Solutions\Ecopetrol Prometeo - Documents\Planning Space Implementation\3. Analysis &amp; Design\Design\FC22\DRR Jaime\QUIFA-CAJÚA\Cajua\[CAJUA_CF_SEC_New_27-Feb-2024Rev3.xlsx]D-PNP'!$EA$22</t>
  </si>
  <si>
    <t>='C:\Users\jaime.benazar\Quorum Business Solutions\Ecopetrol Prometeo - Documents\Planning Space Implementation\3. Analysis &amp; Design\Design\FC22\DRR Jaime\QUIFA-CAJÚA\Cajua\[CAJUA_CF_SEC_New_27-Feb-2024Rev3.xlsx]D-PNP'!$EA$23</t>
  </si>
  <si>
    <t>='C:\Users\jaime.benazar\Quorum Business Solutions\Ecopetrol Prometeo - Documents\Planning Space Implementation\3. Analysis &amp; Design\Design\FC22\DRR Jaime\QUIFA-CAJÚA\Cajua\[CAJUA_CF_SEC_New_27-Feb-2024Rev3.xlsx]D-PNP'!$EA$24</t>
  </si>
  <si>
    <t>='C:\Users\jaime.benazar\Quorum Business Solutions\Ecopetrol Prometeo - Documents\Planning Space Implementation\3. Analysis &amp; Design\Design\FC22\DRR Jaime\QUIFA-CAJÚA\Cajua\[CAJUA_CF_SEC_New_27-Feb-2024Rev3.xlsx]D-PNP'!$EA$25</t>
  </si>
  <si>
    <t>='C:\Users\jaime.benazar\Quorum Business Solutions\Ecopetrol Prometeo - Documents\Planning Space Implementation\3. Analysis &amp; Design\Design\FC22\DRR Jaime\QUIFA-CAJÚA\Cajua\[CAJUA_CF_SEC_New_27-Feb-2024Rev3.xlsx]D-PNP'!$EA$26</t>
  </si>
  <si>
    <t>='C:\Users\jaime.benazar\Quorum Business Solutions\Ecopetrol Prometeo - Documents\Planning Space Implementation\3. Analysis &amp; Design\Design\FC22\DRR Jaime\QUIFA-CAJÚA\Cajua\[CAJUA_CF_SEC_New_27-Feb-2024Rev3.xlsx]D-PNP'!$EA$27</t>
  </si>
  <si>
    <t>='C:\Users\jaime.benazar\Quorum Business Solutions\Ecopetrol Prometeo - Documents\Planning Space Implementation\3. Analysis &amp; Design\Design\FC22\DRR Jaime\QUIFA-CAJÚA\Cajua\[CAJUA_CF_SEC_New_27-Feb-2024Rev3.xlsx]D-PNP'!$EA$28</t>
  </si>
  <si>
    <t>='C:\Users\jaime.benazar\Quorum Business Solutions\Ecopetrol Prometeo - Documents\Planning Space Implementation\3. Analysis &amp; Design\Design\FC22\DRR Jaime\QUIFA-CAJÚA\Cajua\[CAJUA_CF_SEC_New_27-Feb-2024Rev3.xlsx]D-PNP'!$EA$29</t>
  </si>
  <si>
    <t>='C:\Users\jaime.benazar\Quorum Business Solutions\Ecopetrol Prometeo - Documents\Planning Space Implementation\3. Analysis &amp; Design\Design\FC22\DRR Jaime\QUIFA-CAJÚA\Cajua\[CAJUA_CF_SEC_New_27-Feb-2024Rev3.xlsx]D-PNP'!$EA$30</t>
  </si>
  <si>
    <t>='C:\Users\jaime.benazar\Quorum Business Solutions\Ecopetrol Prometeo - Documents\Planning Space Implementation\3. Analysis &amp; Design\Design\FC22\DRR Jaime\QUIFA-CAJÚA\Cajua\[CAJUA_CF_SEC_New_27-Feb-2024Rev3.xlsx]D-PNP'!$EA$31</t>
  </si>
  <si>
    <t>='C:\Users\jaime.benazar\Quorum Business Solutions\Ecopetrol Prometeo - Documents\Planning Space Implementation\3. Analysis &amp; Design\Design\FC22\DRR Jaime\QUIFA-CAJÚA\Cajua\[CAJUA_CF_SEC_New_27-Feb-2024Rev3.xlsx]D-PNP'!$EA$32</t>
  </si>
  <si>
    <t>='C:\Users\jaime.benazar\Quorum Business Solutions\Ecopetrol Prometeo - Documents\Planning Space Implementation\3. Analysis &amp; Design\Design\FC22\DRR Jaime\QUIFA-CAJÚA\Cajua\[CAJUA_CF_SEC_New_27-Feb-2024Rev3.xlsx]D-PNP'!$EA$33</t>
  </si>
  <si>
    <t>='C:\Users\jaime.benazar\Quorum Business Solutions\Ecopetrol Prometeo - Documents\Planning Space Implementation\3. Analysis &amp; Design\Design\FC22\DRR Jaime\QUIFA-CAJÚA\Cajua\[CAJUA_CF_SEC_New_27-Feb-2024Rev3.xlsx]D-PNP'!$EA$34</t>
  </si>
  <si>
    <t>='C:\Users\jaime.benazar\Quorum Business Solutions\Ecopetrol Prometeo - Documents\Planning Space Implementation\3. Analysis &amp; Design\Design\FC22\DRR Jaime\QUIFA-CAJÚA\Cajua\[CAJUA_CF_SEC_New_27-Feb-2024Rev3.xlsx]D-PNP'!$EA$35</t>
  </si>
  <si>
    <t>='C:\Users\jaime.benazar\Quorum Business Solutions\Ecopetrol Prometeo - Documents\Planning Space Implementation\3. Analysis &amp; Design\Design\FC22\DRR Jaime\QUIFA-CAJÚA\Cajua\[CAJUA_CF_SEC_New_27-Feb-2024Rev3.xlsx]D-PNP'!$EA$36</t>
  </si>
  <si>
    <t>='C:\Users\jaime.benazar\Quorum Business Solutions\Ecopetrol Prometeo - Documents\Planning Space Implementation\3. Analysis &amp; Design\Design\FC22\DRR Jaime\QUIFA-CAJÚA\Cajua\[CAJUA_CF_SEC_New_27-Feb-2024Rev3.xlsx]D-PNP'!$EA$37</t>
  </si>
  <si>
    <t>='C:\Users\jaime.benazar\Quorum Business Solutions\Ecopetrol Prometeo - Documents\Planning Space Implementation\3. Analysis &amp; Design\Design\FC22\DRR Jaime\QUIFA-CAJÚA\Cajua\[CAJUA_CF_SEC_New_27-Feb-2024Rev3.xlsx]D-PNP'!$EA$38</t>
  </si>
  <si>
    <t>='C:\Users\jaime.benazar\Quorum Business Solutions\Ecopetrol Prometeo - Documents\Planning Space Implementation\3. Analysis &amp; Design\Design\FC22\DRR Jaime\QUIFA-CAJÚA\Cajua\[CAJUA_CF_SEC_New_27-Feb-2024Rev3.xlsx]D-PNP'!$EA$39</t>
  </si>
  <si>
    <t>='C:\Users\jaime.benazar\Quorum Business Solutions\Ecopetrol Prometeo - Documents\Planning Space Implementation\3. Analysis &amp; Design\Design\FC22\DRR Jaime\QUIFA-CAJÚA\Cajua\[CAJUA_CF_SEC_New_27-Feb-2024Rev3.xlsx]D-PNP'!$EA$40</t>
  </si>
  <si>
    <t>='C:\Users\jaime.benazar\Quorum Business Solutions\Ecopetrol Prometeo - Documents\Planning Space Implementation\3. Analysis &amp; Design\Design\FC22\DRR Jaime\QUIFA-CAJÚA\Cajua\[CAJUA_CF_SEC_New_27-Feb-2024Rev3.xlsx]D-PNP'!$EA$41</t>
  </si>
  <si>
    <t>='C:\Users\jaime.benazar\Quorum Business Solutions\Ecopetrol Prometeo - Documents\Planning Space Implementation\3. Analysis &amp; Design\Design\FC22\DRR Jaime\QUIFA-CAJÚA\Cajua\[CAJUA_CF_SEC_New_27-Feb-2024Rev3.xlsx]D-PNP'!$EA$42</t>
  </si>
  <si>
    <t>='C:\Users\jaime.benazar\Quorum Business Solutions\Ecopetrol Prometeo - Documents\Planning Space Implementation\3. Analysis &amp; Design\Design\FC22\DRR Jaime\QUIFA-CAJÚA\Cajua\[CAJUA_CF_SEC_New_27-Feb-2024Rev3.xlsx]D-PNP'!$EA$43</t>
  </si>
  <si>
    <t>='C:\Users\jaime.benazar\Quorum Business Solutions\Ecopetrol Prometeo - Documents\Planning Space Implementation\3. Analysis &amp; Design\Design\FC22\DRR Jaime\QUIFA-CAJÚA\Cajua\[CAJUA_CF_SEC_New_27-Feb-2024Rev3.xlsx]D-PNP'!$EA$44</t>
  </si>
  <si>
    <t>='C:\Users\jaime.benazar\Quorum Business Solutions\Ecopetrol Prometeo - Documents\Planning Space Implementation\3. Analysis &amp; Design\Design\FC22\DRR Jaime\QUIFA-CAJÚA\Cajua\[CAJUA_CF_SEC_New_27-Feb-2024Rev3.xlsx]D-PNP'!$EA$45</t>
  </si>
  <si>
    <t>='C:\Users\jaime.benazar\Quorum Business Solutions\Ecopetrol Prometeo - Documents\Planning Space Implementation\3. Analysis &amp; Design\Design\FC22\DRR Jaime\QUIFA-CAJÚA\Cajua\[CAJUA_CF_SEC_New_27-Feb-2024Rev3.xlsx]D-PNP'!$EA$46</t>
  </si>
  <si>
    <t>='C:\Users\jaime.benazar\Quorum Business Solutions\Ecopetrol Prometeo - Documents\Planning Space Implementation\3. Analysis &amp; Design\Design\FC22\DRR Jaime\QUIFA-CAJÚA\Cajua\[CAJUA_CF_SEC_New_27-Feb-2024Rev3.xlsx]D-PNP'!$EA$47</t>
  </si>
  <si>
    <t>='C:\Users\jaime.benazar\Quorum Business Solutions\Ecopetrol Prometeo - Documents\Planning Space Implementation\3. Analysis &amp; Design\Design\FC22\DRR Jaime\QUIFA-CAJÚA\Cajua\[CAJUA_CF_SEC_New_27-Feb-2024Rev3.xlsx]D-PNP'!$EA$48</t>
  </si>
  <si>
    <t>='C:\Users\jaime.benazar\Quorum Business Solutions\Ecopetrol Prometeo - Documents\Planning Space Implementation\3. Analysis &amp; Design\Design\FC22\DRR Jaime\QUIFA-CAJÚA\Cajua\[CAJUA_CF_SEC_New_27-Feb-2024Rev3.xlsx]D-PND'!$EA$12</t>
  </si>
  <si>
    <t>='C:\Users\jaime.benazar\Quorum Business Solutions\Ecopetrol Prometeo - Documents\Planning Space Implementation\3. Analysis &amp; Design\Design\FC22\DRR Jaime\QUIFA-CAJÚA\Cajua\[CAJUA_CF_SEC_New_27-Feb-2024Rev3.xlsx]D-PND'!$EA$13</t>
  </si>
  <si>
    <t>='C:\Users\jaime.benazar\Quorum Business Solutions\Ecopetrol Prometeo - Documents\Planning Space Implementation\3. Analysis &amp; Design\Design\FC22\DRR Jaime\QUIFA-CAJÚA\Cajua\[CAJUA_CF_SEC_New_27-Feb-2024Rev3.xlsx]D-PND'!$EA$14</t>
  </si>
  <si>
    <t>='C:\Users\jaime.benazar\Quorum Business Solutions\Ecopetrol Prometeo - Documents\Planning Space Implementation\3. Analysis &amp; Design\Design\FC22\DRR Jaime\QUIFA-CAJÚA\Cajua\[CAJUA_CF_SEC_New_27-Feb-2024Rev3.xlsx]D-PND'!$EA$15</t>
  </si>
  <si>
    <t>='C:\Users\jaime.benazar\Quorum Business Solutions\Ecopetrol Prometeo - Documents\Planning Space Implementation\3. Analysis &amp; Design\Design\FC22\DRR Jaime\QUIFA-CAJÚA\Cajua\[CAJUA_CF_SEC_New_27-Feb-2024Rev3.xlsx]D-PND'!$EA$16</t>
  </si>
  <si>
    <t>='C:\Users\jaime.benazar\Quorum Business Solutions\Ecopetrol Prometeo - Documents\Planning Space Implementation\3. Analysis &amp; Design\Design\FC22\DRR Jaime\QUIFA-CAJÚA\Cajua\[CAJUA_CF_SEC_New_27-Feb-2024Rev3.xlsx]D-PND'!$EA$17</t>
  </si>
  <si>
    <t>='C:\Users\jaime.benazar\Quorum Business Solutions\Ecopetrol Prometeo - Documents\Planning Space Implementation\3. Analysis &amp; Design\Design\FC22\DRR Jaime\QUIFA-CAJÚA\Cajua\[CAJUA_CF_SEC_New_27-Feb-2024Rev3.xlsx]D-PND'!$EA$18</t>
  </si>
  <si>
    <t>='C:\Users\jaime.benazar\Quorum Business Solutions\Ecopetrol Prometeo - Documents\Planning Space Implementation\3. Analysis &amp; Design\Design\FC22\DRR Jaime\QUIFA-CAJÚA\Cajua\[CAJUA_CF_SEC_New_27-Feb-2024Rev3.xlsx]D-PND'!$EA$19</t>
  </si>
  <si>
    <t>='C:\Users\jaime.benazar\Quorum Business Solutions\Ecopetrol Prometeo - Documents\Planning Space Implementation\3. Analysis &amp; Design\Design\FC22\DRR Jaime\QUIFA-CAJÚA\Cajua\[CAJUA_CF_SEC_New_27-Feb-2024Rev3.xlsx]D-PND'!$EA$20</t>
  </si>
  <si>
    <t>='C:\Users\jaime.benazar\Quorum Business Solutions\Ecopetrol Prometeo - Documents\Planning Space Implementation\3. Analysis &amp; Design\Design\FC22\DRR Jaime\QUIFA-CAJÚA\Cajua\[CAJUA_CF_SEC_New_27-Feb-2024Rev3.xlsx]D-PND'!$EA$21</t>
  </si>
  <si>
    <t>='C:\Users\jaime.benazar\Quorum Business Solutions\Ecopetrol Prometeo - Documents\Planning Space Implementation\3. Analysis &amp; Design\Design\FC22\DRR Jaime\QUIFA-CAJÚA\Cajua\[CAJUA_CF_SEC_New_27-Feb-2024Rev3.xlsx]D-PND'!$EA$22</t>
  </si>
  <si>
    <t>='C:\Users\jaime.benazar\Quorum Business Solutions\Ecopetrol Prometeo - Documents\Planning Space Implementation\3. Analysis &amp; Design\Design\FC22\DRR Jaime\QUIFA-CAJÚA\Cajua\[CAJUA_CF_SEC_New_27-Feb-2024Rev3.xlsx]D-PND'!$EA$23</t>
  </si>
  <si>
    <t>='C:\Users\jaime.benazar\Quorum Business Solutions\Ecopetrol Prometeo - Documents\Planning Space Implementation\3. Analysis &amp; Design\Design\FC22\DRR Jaime\QUIFA-CAJÚA\Cajua\[CAJUA_CF_SEC_New_27-Feb-2024Rev3.xlsx]D-PND'!$EA$24</t>
  </si>
  <si>
    <t>='C:\Users\jaime.benazar\Quorum Business Solutions\Ecopetrol Prometeo - Documents\Planning Space Implementation\3. Analysis &amp; Design\Design\FC22\DRR Jaime\QUIFA-CAJÚA\Cajua\[CAJUA_CF_SEC_New_27-Feb-2024Rev3.xlsx]D-PND'!$EA$25</t>
  </si>
  <si>
    <t>='C:\Users\jaime.benazar\Quorum Business Solutions\Ecopetrol Prometeo - Documents\Planning Space Implementation\3. Analysis &amp; Design\Design\FC22\DRR Jaime\QUIFA-CAJÚA\Cajua\[CAJUA_CF_SEC_New_27-Feb-2024Rev3.xlsx]D-PND'!$EA$26</t>
  </si>
  <si>
    <t>='C:\Users\jaime.benazar\Quorum Business Solutions\Ecopetrol Prometeo - Documents\Planning Space Implementation\3. Analysis &amp; Design\Design\FC22\DRR Jaime\QUIFA-CAJÚA\Cajua\[CAJUA_CF_SEC_New_27-Feb-2024Rev3.xlsx]D-PND'!$EA$27</t>
  </si>
  <si>
    <t>='C:\Users\jaime.benazar\Quorum Business Solutions\Ecopetrol Prometeo - Documents\Planning Space Implementation\3. Analysis &amp; Design\Design\FC22\DRR Jaime\QUIFA-CAJÚA\Cajua\[CAJUA_CF_SEC_New_27-Feb-2024Rev3.xlsx]D-PND'!$EA$28</t>
  </si>
  <si>
    <t>='C:\Users\jaime.benazar\Quorum Business Solutions\Ecopetrol Prometeo - Documents\Planning Space Implementation\3. Analysis &amp; Design\Design\FC22\DRR Jaime\QUIFA-CAJÚA\Cajua\[CAJUA_CF_SEC_New_27-Feb-2024Rev3.xlsx]D-PND'!$EA$29</t>
  </si>
  <si>
    <t>='C:\Users\jaime.benazar\Quorum Business Solutions\Ecopetrol Prometeo - Documents\Planning Space Implementation\3. Analysis &amp; Design\Design\FC22\DRR Jaime\QUIFA-CAJÚA\Cajua\[CAJUA_CF_SEC_New_27-Feb-2024Rev3.xlsx]D-PND'!$EA$30</t>
  </si>
  <si>
    <t>='C:\Users\jaime.benazar\Quorum Business Solutions\Ecopetrol Prometeo - Documents\Planning Space Implementation\3. Analysis &amp; Design\Design\FC22\DRR Jaime\QUIFA-CAJÚA\Cajua\[CAJUA_CF_SEC_New_27-Feb-2024Rev3.xlsx]D-PND'!$EA$31</t>
  </si>
  <si>
    <t>='C:\Users\jaime.benazar\Quorum Business Solutions\Ecopetrol Prometeo - Documents\Planning Space Implementation\3. Analysis &amp; Design\Design\FC22\DRR Jaime\QUIFA-CAJÚA\Cajua\[CAJUA_CF_SEC_New_27-Feb-2024Rev3.xlsx]D-PND'!$EA$32</t>
  </si>
  <si>
    <t>='C:\Users\jaime.benazar\Quorum Business Solutions\Ecopetrol Prometeo - Documents\Planning Space Implementation\3. Analysis &amp; Design\Design\FC22\DRR Jaime\QUIFA-CAJÚA\Cajua\[CAJUA_CF_SEC_New_27-Feb-2024Rev3.xlsx]D-PND'!$EA$33</t>
  </si>
  <si>
    <t>='C:\Users\jaime.benazar\Quorum Business Solutions\Ecopetrol Prometeo - Documents\Planning Space Implementation\3. Analysis &amp; Design\Design\FC22\DRR Jaime\QUIFA-CAJÚA\Cajua\[CAJUA_CF_SEC_New_27-Feb-2024Rev3.xlsx]D-PND'!$EA$34</t>
  </si>
  <si>
    <t>='C:\Users\jaime.benazar\Quorum Business Solutions\Ecopetrol Prometeo - Documents\Planning Space Implementation\3. Analysis &amp; Design\Design\FC22\DRR Jaime\QUIFA-CAJÚA\Cajua\[CAJUA_CF_SEC_New_27-Feb-2024Rev3.xlsx]D-PND'!$EA$35</t>
  </si>
  <si>
    <t>='C:\Users\jaime.benazar\Quorum Business Solutions\Ecopetrol Prometeo - Documents\Planning Space Implementation\3. Analysis &amp; Design\Design\FC22\DRR Jaime\QUIFA-CAJÚA\Cajua\[CAJUA_CF_SEC_New_27-Feb-2024Rev3.xlsx]D-PND'!$EA$36</t>
  </si>
  <si>
    <t>='C:\Users\jaime.benazar\Quorum Business Solutions\Ecopetrol Prometeo - Documents\Planning Space Implementation\3. Analysis &amp; Design\Design\FC22\DRR Jaime\QUIFA-CAJÚA\Cajua\[CAJUA_CF_SEC_New_27-Feb-2024Rev3.xlsx]D-PND'!$EA$37</t>
  </si>
  <si>
    <t>='C:\Users\jaime.benazar\Quorum Business Solutions\Ecopetrol Prometeo - Documents\Planning Space Implementation\3. Analysis &amp; Design\Design\FC22\DRR Jaime\QUIFA-CAJÚA\Cajua\[CAJUA_CF_SEC_New_27-Feb-2024Rev3.xlsx]D-PND'!$EA$38</t>
  </si>
  <si>
    <t>='C:\Users\jaime.benazar\Quorum Business Solutions\Ecopetrol Prometeo - Documents\Planning Space Implementation\3. Analysis &amp; Design\Design\FC22\DRR Jaime\QUIFA-CAJÚA\Cajua\[CAJUA_CF_SEC_New_27-Feb-2024Rev3.xlsx]D-PND'!$EA$39</t>
  </si>
  <si>
    <t>='C:\Users\jaime.benazar\Quorum Business Solutions\Ecopetrol Prometeo - Documents\Planning Space Implementation\3. Analysis &amp; Design\Design\FC22\DRR Jaime\QUIFA-CAJÚA\Cajua\[CAJUA_CF_SEC_New_27-Feb-2024Rev3.xlsx]D-PND'!$EA$40</t>
  </si>
  <si>
    <t>='C:\Users\jaime.benazar\Quorum Business Solutions\Ecopetrol Prometeo - Documents\Planning Space Implementation\3. Analysis &amp; Design\Design\FC22\DRR Jaime\QUIFA-CAJÚA\Cajua\[CAJUA_CF_SEC_New_27-Feb-2024Rev3.xlsx]D-PND'!$EA$41</t>
  </si>
  <si>
    <t>='C:\Users\jaime.benazar\Quorum Business Solutions\Ecopetrol Prometeo - Documents\Planning Space Implementation\3. Analysis &amp; Design\Design\FC22\DRR Jaime\QUIFA-CAJÚA\Cajua\[CAJUA_CF_SEC_New_27-Feb-2024Rev3.xlsx]D-PND'!$EA$42</t>
  </si>
  <si>
    <t>='C:\Users\jaime.benazar\Quorum Business Solutions\Ecopetrol Prometeo - Documents\Planning Space Implementation\3. Analysis &amp; Design\Design\FC22\DRR Jaime\QUIFA-CAJÚA\Cajua\[CAJUA_CF_SEC_New_27-Feb-2024Rev3.xlsx]D-PND'!$EA$43</t>
  </si>
  <si>
    <t>='C:\Users\jaime.benazar\Quorum Business Solutions\Ecopetrol Prometeo - Documents\Planning Space Implementation\3. Analysis &amp; Design\Design\FC22\DRR Jaime\QUIFA-CAJÚA\Cajua\[CAJUA_CF_SEC_New_27-Feb-2024Rev3.xlsx]D-PND'!$EA$44</t>
  </si>
  <si>
    <t>='C:\Users\jaime.benazar\Quorum Business Solutions\Ecopetrol Prometeo - Documents\Planning Space Implementation\3. Analysis &amp; Design\Design\FC22\DRR Jaime\QUIFA-CAJÚA\Cajua\[CAJUA_CF_SEC_New_27-Feb-2024Rev3.xlsx]D-PND'!$EA$45</t>
  </si>
  <si>
    <t>='C:\Users\jaime.benazar\Quorum Business Solutions\Ecopetrol Prometeo - Documents\Planning Space Implementation\3. Analysis &amp; Design\Design\FC22\DRR Jaime\QUIFA-CAJÚA\Cajua\[CAJUA_CF_SEC_New_27-Feb-2024Rev3.xlsx]D-PND'!$EA$46</t>
  </si>
  <si>
    <t>='C:\Users\jaime.benazar\Quorum Business Solutions\Ecopetrol Prometeo - Documents\Planning Space Implementation\3. Analysis &amp; Design\Design\FC22\DRR Jaime\QUIFA-CAJÚA\Cajua\[CAJUA_CF_SEC_New_27-Feb-2024Rev3.xlsx]D-PND'!$EA$47</t>
  </si>
  <si>
    <t>='C:\Users\jaime.benazar\Quorum Business Solutions\Ecopetrol Prometeo - Documents\Planning Space Implementation\3. Analysis &amp; Design\Design\FC22\DRR Jaime\QUIFA-CAJÚA\Cajua\[CAJUA_CF_SEC_New_27-Feb-2024Rev3.xlsx]D-PND'!$EA$48</t>
  </si>
  <si>
    <t>='C:\Users\jaime.benazar\Quorum Business Solutions\Ecopetrol Prometeo - Documents\Planning Space Implementation\3. Analysis &amp; Design\Design\FC22\DRR Jaime\QUIFA-CAJÚA\Cajua\[CAJUA_CF_SEC_New_27-Feb-2024Rev3.xlsx]D-PRB'!$EA$12</t>
  </si>
  <si>
    <t>='C:\Users\jaime.benazar\Quorum Business Solutions\Ecopetrol Prometeo - Documents\Planning Space Implementation\3. Analysis &amp; Design\Design\FC22\DRR Jaime\QUIFA-CAJÚA\Cajua\[CAJUA_CF_SEC_New_27-Feb-2024Rev3.xlsx]D-PRB'!$EA$13</t>
  </si>
  <si>
    <t>='C:\Users\jaime.benazar\Quorum Business Solutions\Ecopetrol Prometeo - Documents\Planning Space Implementation\3. Analysis &amp; Design\Design\FC22\DRR Jaime\QUIFA-CAJÚA\Cajua\[CAJUA_CF_SEC_New_27-Feb-2024Rev3.xlsx]D-PRB'!$EA$14</t>
  </si>
  <si>
    <t>='C:\Users\jaime.benazar\Quorum Business Solutions\Ecopetrol Prometeo - Documents\Planning Space Implementation\3. Analysis &amp; Design\Design\FC22\DRR Jaime\QUIFA-CAJÚA\Cajua\[CAJUA_CF_SEC_New_27-Feb-2024Rev3.xlsx]D-PRB'!$EA$15</t>
  </si>
  <si>
    <t>='C:\Users\jaime.benazar\Quorum Business Solutions\Ecopetrol Prometeo - Documents\Planning Space Implementation\3. Analysis &amp; Design\Design\FC22\DRR Jaime\QUIFA-CAJÚA\Cajua\[CAJUA_CF_SEC_New_27-Feb-2024Rev3.xlsx]D-PRB'!$EA$16</t>
  </si>
  <si>
    <t>='C:\Users\jaime.benazar\Quorum Business Solutions\Ecopetrol Prometeo - Documents\Planning Space Implementation\3. Analysis &amp; Design\Design\FC22\DRR Jaime\QUIFA-CAJÚA\Cajua\[CAJUA_CF_SEC_New_27-Feb-2024Rev3.xlsx]D-PRB'!$EA$17</t>
  </si>
  <si>
    <t>='C:\Users\jaime.benazar\Quorum Business Solutions\Ecopetrol Prometeo - Documents\Planning Space Implementation\3. Analysis &amp; Design\Design\FC22\DRR Jaime\QUIFA-CAJÚA\Cajua\[CAJUA_CF_SEC_New_27-Feb-2024Rev3.xlsx]D-PRB'!$EA$18</t>
  </si>
  <si>
    <t>='C:\Users\jaime.benazar\Quorum Business Solutions\Ecopetrol Prometeo - Documents\Planning Space Implementation\3. Analysis &amp; Design\Design\FC22\DRR Jaime\QUIFA-CAJÚA\Cajua\[CAJUA_CF_SEC_New_27-Feb-2024Rev3.xlsx]D-PRB'!$EA$19</t>
  </si>
  <si>
    <t>='C:\Users\jaime.benazar\Quorum Business Solutions\Ecopetrol Prometeo - Documents\Planning Space Implementation\3. Analysis &amp; Design\Design\FC22\DRR Jaime\QUIFA-CAJÚA\Cajua\[CAJUA_CF_SEC_New_27-Feb-2024Rev3.xlsx]D-PRB'!$EA$20</t>
  </si>
  <si>
    <t>='C:\Users\jaime.benazar\Quorum Business Solutions\Ecopetrol Prometeo - Documents\Planning Space Implementation\3. Analysis &amp; Design\Design\FC22\DRR Jaime\QUIFA-CAJÚA\Cajua\[CAJUA_CF_SEC_New_27-Feb-2024Rev3.xlsx]D-PRB'!$EA$21</t>
  </si>
  <si>
    <t>='C:\Users\jaime.benazar\Quorum Business Solutions\Ecopetrol Prometeo - Documents\Planning Space Implementation\3. Analysis &amp; Design\Design\FC22\DRR Jaime\QUIFA-CAJÚA\Cajua\[CAJUA_CF_SEC_New_27-Feb-2024Rev3.xlsx]D-PRB'!$EA$22</t>
  </si>
  <si>
    <t>='C:\Users\jaime.benazar\Quorum Business Solutions\Ecopetrol Prometeo - Documents\Planning Space Implementation\3. Analysis &amp; Design\Design\FC22\DRR Jaime\QUIFA-CAJÚA\Cajua\[CAJUA_CF_SEC_New_27-Feb-2024Rev3.xlsx]D-PRB'!$EA$23</t>
  </si>
  <si>
    <t>='C:\Users\jaime.benazar\Quorum Business Solutions\Ecopetrol Prometeo - Documents\Planning Space Implementation\3. Analysis &amp; Design\Design\FC22\DRR Jaime\QUIFA-CAJÚA\Cajua\[CAJUA_CF_SEC_New_27-Feb-2024Rev3.xlsx]D-PRB'!$EA$24</t>
  </si>
  <si>
    <t>='C:\Users\jaime.benazar\Quorum Business Solutions\Ecopetrol Prometeo - Documents\Planning Space Implementation\3. Analysis &amp; Design\Design\FC22\DRR Jaime\QUIFA-CAJÚA\Cajua\[CAJUA_CF_SEC_New_27-Feb-2024Rev3.xlsx]D-PRB'!$EA$25</t>
  </si>
  <si>
    <t>='C:\Users\jaime.benazar\Quorum Business Solutions\Ecopetrol Prometeo - Documents\Planning Space Implementation\3. Analysis &amp; Design\Design\FC22\DRR Jaime\QUIFA-CAJÚA\Cajua\[CAJUA_CF_SEC_New_27-Feb-2024Rev3.xlsx]D-PRB'!$EA$26</t>
  </si>
  <si>
    <t>='C:\Users\jaime.benazar\Quorum Business Solutions\Ecopetrol Prometeo - Documents\Planning Space Implementation\3. Analysis &amp; Design\Design\FC22\DRR Jaime\QUIFA-CAJÚA\Cajua\[CAJUA_CF_SEC_New_27-Feb-2024Rev3.xlsx]D-PRB'!$EA$27</t>
  </si>
  <si>
    <t>='C:\Users\jaime.benazar\Quorum Business Solutions\Ecopetrol Prometeo - Documents\Planning Space Implementation\3. Analysis &amp; Design\Design\FC22\DRR Jaime\QUIFA-CAJÚA\Cajua\[CAJUA_CF_SEC_New_27-Feb-2024Rev3.xlsx]D-PRB'!$EA$28</t>
  </si>
  <si>
    <t>='C:\Users\jaime.benazar\Quorum Business Solutions\Ecopetrol Prometeo - Documents\Planning Space Implementation\3. Analysis &amp; Design\Design\FC22\DRR Jaime\QUIFA-CAJÚA\Cajua\[CAJUA_CF_SEC_New_27-Feb-2024Rev3.xlsx]D-PRB'!$EA$29</t>
  </si>
  <si>
    <t>='C:\Users\jaime.benazar\Quorum Business Solutions\Ecopetrol Prometeo - Documents\Planning Space Implementation\3. Analysis &amp; Design\Design\FC22\DRR Jaime\QUIFA-CAJÚA\Cajua\[CAJUA_CF_SEC_New_27-Feb-2024Rev3.xlsx]D-PRB'!$EA$30</t>
  </si>
  <si>
    <t>='C:\Users\jaime.benazar\Quorum Business Solutions\Ecopetrol Prometeo - Documents\Planning Space Implementation\3. Analysis &amp; Design\Design\FC22\DRR Jaime\QUIFA-CAJÚA\Cajua\[CAJUA_CF_SEC_New_27-Feb-2024Rev3.xlsx]D-PRB'!$EA$31</t>
  </si>
  <si>
    <t>='C:\Users\jaime.benazar\Quorum Business Solutions\Ecopetrol Prometeo - Documents\Planning Space Implementation\3. Analysis &amp; Design\Design\FC22\DRR Jaime\QUIFA-CAJÚA\Cajua\[CAJUA_CF_SEC_New_27-Feb-2024Rev3.xlsx]D-PRB'!$EA$32</t>
  </si>
  <si>
    <t>='C:\Users\jaime.benazar\Quorum Business Solutions\Ecopetrol Prometeo - Documents\Planning Space Implementation\3. Analysis &amp; Design\Design\FC22\DRR Jaime\QUIFA-CAJÚA\Cajua\[CAJUA_CF_SEC_New_27-Feb-2024Rev3.xlsx]D-PRB'!$EA$33</t>
  </si>
  <si>
    <t>='C:\Users\jaime.benazar\Quorum Business Solutions\Ecopetrol Prometeo - Documents\Planning Space Implementation\3. Analysis &amp; Design\Design\FC22\DRR Jaime\QUIFA-CAJÚA\Cajua\[CAJUA_CF_SEC_New_27-Feb-2024Rev3.xlsx]D-PRB'!$EA$34</t>
  </si>
  <si>
    <t>='C:\Users\jaime.benazar\Quorum Business Solutions\Ecopetrol Prometeo - Documents\Planning Space Implementation\3. Analysis &amp; Design\Design\FC22\DRR Jaime\QUIFA-CAJÚA\Cajua\[CAJUA_CF_SEC_New_27-Feb-2024Rev3.xlsx]D-PRB'!$EA$35</t>
  </si>
  <si>
    <t>='C:\Users\jaime.benazar\Quorum Business Solutions\Ecopetrol Prometeo - Documents\Planning Space Implementation\3. Analysis &amp; Design\Design\FC22\DRR Jaime\QUIFA-CAJÚA\Cajua\[CAJUA_CF_SEC_New_27-Feb-2024Rev3.xlsx]D-PRB'!$EA$36</t>
  </si>
  <si>
    <t>='C:\Users\jaime.benazar\Quorum Business Solutions\Ecopetrol Prometeo - Documents\Planning Space Implementation\3. Analysis &amp; Design\Design\FC22\DRR Jaime\QUIFA-CAJÚA\Cajua\[CAJUA_CF_SEC_New_27-Feb-2024Rev3.xlsx]D-PRB'!$EA$37</t>
  </si>
  <si>
    <t>='C:\Users\jaime.benazar\Quorum Business Solutions\Ecopetrol Prometeo - Documents\Planning Space Implementation\3. Analysis &amp; Design\Design\FC22\DRR Jaime\QUIFA-CAJÚA\Cajua\[CAJUA_CF_SEC_New_27-Feb-2024Rev3.xlsx]D-PRB'!$EA$38</t>
  </si>
  <si>
    <t>='C:\Users\jaime.benazar\Quorum Business Solutions\Ecopetrol Prometeo - Documents\Planning Space Implementation\3. Analysis &amp; Design\Design\FC22\DRR Jaime\QUIFA-CAJÚA\Cajua\[CAJUA_CF_SEC_New_27-Feb-2024Rev3.xlsx]D-PRB'!$EA$39</t>
  </si>
  <si>
    <t>='C:\Users\jaime.benazar\Quorum Business Solutions\Ecopetrol Prometeo - Documents\Planning Space Implementation\3. Analysis &amp; Design\Design\FC22\DRR Jaime\QUIFA-CAJÚA\Cajua\[CAJUA_CF_SEC_New_27-Feb-2024Rev3.xlsx]D-PRB'!$EA$40</t>
  </si>
  <si>
    <t>='C:\Users\jaime.benazar\Quorum Business Solutions\Ecopetrol Prometeo - Documents\Planning Space Implementation\3. Analysis &amp; Design\Design\FC22\DRR Jaime\QUIFA-CAJÚA\Cajua\[CAJUA_CF_SEC_New_27-Feb-2024Rev3.xlsx]D-PRB'!$EA$41</t>
  </si>
  <si>
    <t>='C:\Users\jaime.benazar\Quorum Business Solutions\Ecopetrol Prometeo - Documents\Planning Space Implementation\3. Analysis &amp; Design\Design\FC22\DRR Jaime\QUIFA-CAJÚA\Cajua\[CAJUA_CF_SEC_New_27-Feb-2024Rev3.xlsx]D-PRB'!$EA$42</t>
  </si>
  <si>
    <t>='C:\Users\jaime.benazar\Quorum Business Solutions\Ecopetrol Prometeo - Documents\Planning Space Implementation\3. Analysis &amp; Design\Design\FC22\DRR Jaime\QUIFA-CAJÚA\Cajua\[CAJUA_CF_SEC_New_27-Feb-2024Rev3.xlsx]D-PRB'!$EA$43</t>
  </si>
  <si>
    <t>='C:\Users\jaime.benazar\Quorum Business Solutions\Ecopetrol Prometeo - Documents\Planning Space Implementation\3. Analysis &amp; Design\Design\FC22\DRR Jaime\QUIFA-CAJÚA\Cajua\[CAJUA_CF_SEC_New_27-Feb-2024Rev3.xlsx]D-PRB'!$EA$44</t>
  </si>
  <si>
    <t>='C:\Users\jaime.benazar\Quorum Business Solutions\Ecopetrol Prometeo - Documents\Planning Space Implementation\3. Analysis &amp; Design\Design\FC22\DRR Jaime\QUIFA-CAJÚA\Cajua\[CAJUA_CF_SEC_New_27-Feb-2024Rev3.xlsx]D-PRB'!$EA$45</t>
  </si>
  <si>
    <t>='C:\Users\jaime.benazar\Quorum Business Solutions\Ecopetrol Prometeo - Documents\Planning Space Implementation\3. Analysis &amp; Design\Design\FC22\DRR Jaime\QUIFA-CAJÚA\Cajua\[CAJUA_CF_SEC_New_27-Feb-2024Rev3.xlsx]D-PRB'!$EA$46</t>
  </si>
  <si>
    <t>='C:\Users\jaime.benazar\Quorum Business Solutions\Ecopetrol Prometeo - Documents\Planning Space Implementation\3. Analysis &amp; Design\Design\FC22\DRR Jaime\QUIFA-CAJÚA\Cajua\[CAJUA_CF_SEC_New_27-Feb-2024Rev3.xlsx]D-PRB'!$EA$47</t>
  </si>
  <si>
    <t>='C:\Users\jaime.benazar\Quorum Business Solutions\Ecopetrol Prometeo - Documents\Planning Space Implementation\3. Analysis &amp; Design\Design\FC22\DRR Jaime\QUIFA-CAJÚA\Cajua\[CAJUA_CF_SEC_New_27-Feb-2024Rev3.xlsx]D-PRB'!$EA$48</t>
  </si>
  <si>
    <t>='C:\Users\jaime.benazar\Quorum Business Solutions\Ecopetrol Prometeo - Documents\Planning Space Implementation\3. Analysis &amp; Design\Design\FC22\DRR Jaime\QUIFA-CAJÚA\Cajua\[CAJUA_CF_SEC_New_27-Feb-2024Rev3.xlsx]D-PS'!$EA$12</t>
  </si>
  <si>
    <t>='C:\Users\jaime.benazar\Quorum Business Solutions\Ecopetrol Prometeo - Documents\Planning Space Implementation\3. Analysis &amp; Design\Design\FC22\DRR Jaime\QUIFA-CAJÚA\Cajua\[CAJUA_CF_SEC_New_27-Feb-2024Rev3.xlsx]D-PS'!$EA$13</t>
  </si>
  <si>
    <t>='C:\Users\jaime.benazar\Quorum Business Solutions\Ecopetrol Prometeo - Documents\Planning Space Implementation\3. Analysis &amp; Design\Design\FC22\DRR Jaime\QUIFA-CAJÚA\Cajua\[CAJUA_CF_SEC_New_27-Feb-2024Rev3.xlsx]D-PS'!$EA$14</t>
  </si>
  <si>
    <t>='C:\Users\jaime.benazar\Quorum Business Solutions\Ecopetrol Prometeo - Documents\Planning Space Implementation\3. Analysis &amp; Design\Design\FC22\DRR Jaime\QUIFA-CAJÚA\Cajua\[CAJUA_CF_SEC_New_27-Feb-2024Rev3.xlsx]D-PS'!$EA$15</t>
  </si>
  <si>
    <t>='C:\Users\jaime.benazar\Quorum Business Solutions\Ecopetrol Prometeo - Documents\Planning Space Implementation\3. Analysis &amp; Design\Design\FC22\DRR Jaime\QUIFA-CAJÚA\Cajua\[CAJUA_CF_SEC_New_27-Feb-2024Rev3.xlsx]D-PS'!$EA$16</t>
  </si>
  <si>
    <t>='C:\Users\jaime.benazar\Quorum Business Solutions\Ecopetrol Prometeo - Documents\Planning Space Implementation\3. Analysis &amp; Design\Design\FC22\DRR Jaime\QUIFA-CAJÚA\Cajua\[CAJUA_CF_SEC_New_27-Feb-2024Rev3.xlsx]D-PS'!$EA$17</t>
  </si>
  <si>
    <t>='C:\Users\jaime.benazar\Quorum Business Solutions\Ecopetrol Prometeo - Documents\Planning Space Implementation\3. Analysis &amp; Design\Design\FC22\DRR Jaime\QUIFA-CAJÚA\Cajua\[CAJUA_CF_SEC_New_27-Feb-2024Rev3.xlsx]D-PS'!$EA$18</t>
  </si>
  <si>
    <t>='C:\Users\jaime.benazar\Quorum Business Solutions\Ecopetrol Prometeo - Documents\Planning Space Implementation\3. Analysis &amp; Design\Design\FC22\DRR Jaime\QUIFA-CAJÚA\Cajua\[CAJUA_CF_SEC_New_27-Feb-2024Rev3.xlsx]D-PS'!$EA$19</t>
  </si>
  <si>
    <t>='C:\Users\jaime.benazar\Quorum Business Solutions\Ecopetrol Prometeo - Documents\Planning Space Implementation\3. Analysis &amp; Design\Design\FC22\DRR Jaime\QUIFA-CAJÚA\Cajua\[CAJUA_CF_SEC_New_27-Feb-2024Rev3.xlsx]D-PS'!$EA$20</t>
  </si>
  <si>
    <t>='C:\Users\jaime.benazar\Quorum Business Solutions\Ecopetrol Prometeo - Documents\Planning Space Implementation\3. Analysis &amp; Design\Design\FC22\DRR Jaime\QUIFA-CAJÚA\Cajua\[CAJUA_CF_SEC_New_27-Feb-2024Rev3.xlsx]D-PS'!$EA$21</t>
  </si>
  <si>
    <t>='C:\Users\jaime.benazar\Quorum Business Solutions\Ecopetrol Prometeo - Documents\Planning Space Implementation\3. Analysis &amp; Design\Design\FC22\DRR Jaime\QUIFA-CAJÚA\Cajua\[CAJUA_CF_SEC_New_27-Feb-2024Rev3.xlsx]D-PS'!$EA$22</t>
  </si>
  <si>
    <t>='C:\Users\jaime.benazar\Quorum Business Solutions\Ecopetrol Prometeo - Documents\Planning Space Implementation\3. Analysis &amp; Design\Design\FC22\DRR Jaime\QUIFA-CAJÚA\Cajua\[CAJUA_CF_SEC_New_27-Feb-2024Rev3.xlsx]D-PS'!$EA$23</t>
  </si>
  <si>
    <t>='C:\Users\jaime.benazar\Quorum Business Solutions\Ecopetrol Prometeo - Documents\Planning Space Implementation\3. Analysis &amp; Design\Design\FC22\DRR Jaime\QUIFA-CAJÚA\Cajua\[CAJUA_CF_SEC_New_27-Feb-2024Rev3.xlsx]D-PS'!$EA$24</t>
  </si>
  <si>
    <t>='C:\Users\jaime.benazar\Quorum Business Solutions\Ecopetrol Prometeo - Documents\Planning Space Implementation\3. Analysis &amp; Design\Design\FC22\DRR Jaime\QUIFA-CAJÚA\Cajua\[CAJUA_CF_SEC_New_27-Feb-2024Rev3.xlsx]D-PS'!$EA$25</t>
  </si>
  <si>
    <t>='C:\Users\jaime.benazar\Quorum Business Solutions\Ecopetrol Prometeo - Documents\Planning Space Implementation\3. Analysis &amp; Design\Design\FC22\DRR Jaime\QUIFA-CAJÚA\Cajua\[CAJUA_CF_SEC_New_27-Feb-2024Rev3.xlsx]D-PS'!$EA$26</t>
  </si>
  <si>
    <t>='C:\Users\jaime.benazar\Quorum Business Solutions\Ecopetrol Prometeo - Documents\Planning Space Implementation\3. Analysis &amp; Design\Design\FC22\DRR Jaime\QUIFA-CAJÚA\Cajua\[CAJUA_CF_SEC_New_27-Feb-2024Rev3.xlsx]D-PS'!$EA$27</t>
  </si>
  <si>
    <t>='C:\Users\jaime.benazar\Quorum Business Solutions\Ecopetrol Prometeo - Documents\Planning Space Implementation\3. Analysis &amp; Design\Design\FC22\DRR Jaime\QUIFA-CAJÚA\Cajua\[CAJUA_CF_SEC_New_27-Feb-2024Rev3.xlsx]D-PS'!$EA$28</t>
  </si>
  <si>
    <t>='C:\Users\jaime.benazar\Quorum Business Solutions\Ecopetrol Prometeo - Documents\Planning Space Implementation\3. Analysis &amp; Design\Design\FC22\DRR Jaime\QUIFA-CAJÚA\Cajua\[CAJUA_CF_SEC_New_27-Feb-2024Rev3.xlsx]D-PS'!$EA$29</t>
  </si>
  <si>
    <t>='C:\Users\jaime.benazar\Quorum Business Solutions\Ecopetrol Prometeo - Documents\Planning Space Implementation\3. Analysis &amp; Design\Design\FC22\DRR Jaime\QUIFA-CAJÚA\Cajua\[CAJUA_CF_SEC_New_27-Feb-2024Rev3.xlsx]D-PS'!$EA$30</t>
  </si>
  <si>
    <t>='C:\Users\jaime.benazar\Quorum Business Solutions\Ecopetrol Prometeo - Documents\Planning Space Implementation\3. Analysis &amp; Design\Design\FC22\DRR Jaime\QUIFA-CAJÚA\Cajua\[CAJUA_CF_SEC_New_27-Feb-2024Rev3.xlsx]D-PS'!$EA$31</t>
  </si>
  <si>
    <t>='C:\Users\jaime.benazar\Quorum Business Solutions\Ecopetrol Prometeo - Documents\Planning Space Implementation\3. Analysis &amp; Design\Design\FC22\DRR Jaime\QUIFA-CAJÚA\Cajua\[CAJUA_CF_SEC_New_27-Feb-2024Rev3.xlsx]D-PS'!$EA$32</t>
  </si>
  <si>
    <t>='C:\Users\jaime.benazar\Quorum Business Solutions\Ecopetrol Prometeo - Documents\Planning Space Implementation\3. Analysis &amp; Design\Design\FC22\DRR Jaime\QUIFA-CAJÚA\Cajua\[CAJUA_CF_SEC_New_27-Feb-2024Rev3.xlsx]D-PS'!$EA$33</t>
  </si>
  <si>
    <t>='C:\Users\jaime.benazar\Quorum Business Solutions\Ecopetrol Prometeo - Documents\Planning Space Implementation\3. Analysis &amp; Design\Design\FC22\DRR Jaime\QUIFA-CAJÚA\Cajua\[CAJUA_CF_SEC_New_27-Feb-2024Rev3.xlsx]D-PS'!$EA$34</t>
  </si>
  <si>
    <t>='C:\Users\jaime.benazar\Quorum Business Solutions\Ecopetrol Prometeo - Documents\Planning Space Implementation\3. Analysis &amp; Design\Design\FC22\DRR Jaime\QUIFA-CAJÚA\Cajua\[CAJUA_CF_SEC_New_27-Feb-2024Rev3.xlsx]D-PS'!$EA$35</t>
  </si>
  <si>
    <t>='C:\Users\jaime.benazar\Quorum Business Solutions\Ecopetrol Prometeo - Documents\Planning Space Implementation\3. Analysis &amp; Design\Design\FC22\DRR Jaime\QUIFA-CAJÚA\Cajua\[CAJUA_CF_SEC_New_27-Feb-2024Rev3.xlsx]D-PS'!$EA$36</t>
  </si>
  <si>
    <t>='C:\Users\jaime.benazar\Quorum Business Solutions\Ecopetrol Prometeo - Documents\Planning Space Implementation\3. Analysis &amp; Design\Design\FC22\DRR Jaime\QUIFA-CAJÚA\Cajua\[CAJUA_CF_SEC_New_27-Feb-2024Rev3.xlsx]D-PS'!$EA$37</t>
  </si>
  <si>
    <t>='C:\Users\jaime.benazar\Quorum Business Solutions\Ecopetrol Prometeo - Documents\Planning Space Implementation\3. Analysis &amp; Design\Design\FC22\DRR Jaime\QUIFA-CAJÚA\Cajua\[CAJUA_CF_SEC_New_27-Feb-2024Rev3.xlsx]D-PS'!$EA$38</t>
  </si>
  <si>
    <t>='C:\Users\jaime.benazar\Quorum Business Solutions\Ecopetrol Prometeo - Documents\Planning Space Implementation\3. Analysis &amp; Design\Design\FC22\DRR Jaime\QUIFA-CAJÚA\Cajua\[CAJUA_CF_SEC_New_27-Feb-2024Rev3.xlsx]D-PS'!$EA$39</t>
  </si>
  <si>
    <t>='C:\Users\jaime.benazar\Quorum Business Solutions\Ecopetrol Prometeo - Documents\Planning Space Implementation\3. Analysis &amp; Design\Design\FC22\DRR Jaime\QUIFA-CAJÚA\Cajua\[CAJUA_CF_SEC_New_27-Feb-2024Rev3.xlsx]D-PS'!$EA$40</t>
  </si>
  <si>
    <t>='C:\Users\jaime.benazar\Quorum Business Solutions\Ecopetrol Prometeo - Documents\Planning Space Implementation\3. Analysis &amp; Design\Design\FC22\DRR Jaime\QUIFA-CAJÚA\Cajua\[CAJUA_CF_SEC_New_27-Feb-2024Rev3.xlsx]D-PS'!$EA$41</t>
  </si>
  <si>
    <t>='C:\Users\jaime.benazar\Quorum Business Solutions\Ecopetrol Prometeo - Documents\Planning Space Implementation\3. Analysis &amp; Design\Design\FC22\DRR Jaime\QUIFA-CAJÚA\Cajua\[CAJUA_CF_SEC_New_27-Feb-2024Rev3.xlsx]D-PS'!$EA$42</t>
  </si>
  <si>
    <t>='C:\Users\jaime.benazar\Quorum Business Solutions\Ecopetrol Prometeo - Documents\Planning Space Implementation\3. Analysis &amp; Design\Design\FC22\DRR Jaime\QUIFA-CAJÚA\Cajua\[CAJUA_CF_SEC_New_27-Feb-2024Rev3.xlsx]D-PS'!$EA$43</t>
  </si>
  <si>
    <t>='C:\Users\jaime.benazar\Quorum Business Solutions\Ecopetrol Prometeo - Documents\Planning Space Implementation\3. Analysis &amp; Design\Design\FC22\DRR Jaime\QUIFA-CAJÚA\Cajua\[CAJUA_CF_SEC_New_27-Feb-2024Rev3.xlsx]D-PS'!$EA$44</t>
  </si>
  <si>
    <t>='C:\Users\jaime.benazar\Quorum Business Solutions\Ecopetrol Prometeo - Documents\Planning Space Implementation\3. Analysis &amp; Design\Design\FC22\DRR Jaime\QUIFA-CAJÚA\Cajua\[CAJUA_CF_SEC_New_27-Feb-2024Rev3.xlsx]D-PS'!$EA$45</t>
  </si>
  <si>
    <t>='C:\Users\jaime.benazar\Quorum Business Solutions\Ecopetrol Prometeo - Documents\Planning Space Implementation\3. Analysis &amp; Design\Design\FC22\DRR Jaime\QUIFA-CAJÚA\Cajua\[CAJUA_CF_SEC_New_27-Feb-2024Rev3.xlsx]D-PS'!$EA$46</t>
  </si>
  <si>
    <t>='C:\Users\jaime.benazar\Quorum Business Solutions\Ecopetrol Prometeo - Documents\Planning Space Implementation\3. Analysis &amp; Design\Design\FC22\DRR Jaime\QUIFA-CAJÚA\Cajua\[CAJUA_CF_SEC_New_27-Feb-2024Rev3.xlsx]D-PS'!$EA$47</t>
  </si>
  <si>
    <t>='C:\Users\jaime.benazar\Quorum Business Solutions\Ecopetrol Prometeo - Documents\Planning Space Implementation\3. Analysis &amp; Design\Design\FC22\DRR Jaime\QUIFA-CAJÚA\Cajua\[CAJUA_CF_SEC_New_27-Feb-2024Rev3.xlsx]D-PS'!$EA$48</t>
  </si>
  <si>
    <t>='C:\Users\jaime.benazar\Quorum Business Solutions\Ecopetrol Prometeo - Documents\Planning Space Implementation\3. Analysis &amp; Design\Design\FC22\DRR Jaime\QUIFA-CAJÚA\Cajua\[CAJUA_CF_SEC_New_27-Feb-2024Rev3.xlsx]D-PDP'!$DT$12</t>
  </si>
  <si>
    <t>='C:\Users\jaime.benazar\Quorum Business Solutions\Ecopetrol Prometeo - Documents\Planning Space Implementation\3. Analysis &amp; Design\Design\FC22\DRR Jaime\QUIFA-CAJÚA\Cajua\[CAJUA_CF_SEC_New_27-Feb-2024Rev3.xlsx]D-PDP'!$DT$13</t>
  </si>
  <si>
    <t>='C:\Users\jaime.benazar\Quorum Business Solutions\Ecopetrol Prometeo - Documents\Planning Space Implementation\3. Analysis &amp; Design\Design\FC22\DRR Jaime\QUIFA-CAJÚA\Cajua\[CAJUA_CF_SEC_New_27-Feb-2024Rev3.xlsx]D-PDP'!$DT$14</t>
  </si>
  <si>
    <t>='C:\Users\jaime.benazar\Quorum Business Solutions\Ecopetrol Prometeo - Documents\Planning Space Implementation\3. Analysis &amp; Design\Design\FC22\DRR Jaime\QUIFA-CAJÚA\Cajua\[CAJUA_CF_SEC_New_27-Feb-2024Rev3.xlsx]D-PDP'!$DT$15</t>
  </si>
  <si>
    <t>='C:\Users\jaime.benazar\Quorum Business Solutions\Ecopetrol Prometeo - Documents\Planning Space Implementation\3. Analysis &amp; Design\Design\FC22\DRR Jaime\QUIFA-CAJÚA\Cajua\[CAJUA_CF_SEC_New_27-Feb-2024Rev3.xlsx]D-PDP'!$DT$16</t>
  </si>
  <si>
    <t>='C:\Users\jaime.benazar\Quorum Business Solutions\Ecopetrol Prometeo - Documents\Planning Space Implementation\3. Analysis &amp; Design\Design\FC22\DRR Jaime\QUIFA-CAJÚA\Cajua\[CAJUA_CF_SEC_New_27-Feb-2024Rev3.xlsx]D-PDP'!$DT$17</t>
  </si>
  <si>
    <t>='C:\Users\jaime.benazar\Quorum Business Solutions\Ecopetrol Prometeo - Documents\Planning Space Implementation\3. Analysis &amp; Design\Design\FC22\DRR Jaime\QUIFA-CAJÚA\Cajua\[CAJUA_CF_SEC_New_27-Feb-2024Rev3.xlsx]D-PDP'!$DT$18</t>
  </si>
  <si>
    <t>='C:\Users\jaime.benazar\Quorum Business Solutions\Ecopetrol Prometeo - Documents\Planning Space Implementation\3. Analysis &amp; Design\Design\FC22\DRR Jaime\QUIFA-CAJÚA\Cajua\[CAJUA_CF_SEC_New_27-Feb-2024Rev3.xlsx]D-PDP'!$DT$19</t>
  </si>
  <si>
    <t>='C:\Users\jaime.benazar\Quorum Business Solutions\Ecopetrol Prometeo - Documents\Planning Space Implementation\3. Analysis &amp; Design\Design\FC22\DRR Jaime\QUIFA-CAJÚA\Cajua\[CAJUA_CF_SEC_New_27-Feb-2024Rev3.xlsx]D-PDP'!$DT$20</t>
  </si>
  <si>
    <t>='C:\Users\jaime.benazar\Quorum Business Solutions\Ecopetrol Prometeo - Documents\Planning Space Implementation\3. Analysis &amp; Design\Design\FC22\DRR Jaime\QUIFA-CAJÚA\Cajua\[CAJUA_CF_SEC_New_27-Feb-2024Rev3.xlsx]D-PDP'!$DT$21</t>
  </si>
  <si>
    <t>='C:\Users\jaime.benazar\Quorum Business Solutions\Ecopetrol Prometeo - Documents\Planning Space Implementation\3. Analysis &amp; Design\Design\FC22\DRR Jaime\QUIFA-CAJÚA\Cajua\[CAJUA_CF_SEC_New_27-Feb-2024Rev3.xlsx]D-PDP'!$DT$22</t>
  </si>
  <si>
    <t>='C:\Users\jaime.benazar\Quorum Business Solutions\Ecopetrol Prometeo - Documents\Planning Space Implementation\3. Analysis &amp; Design\Design\FC22\DRR Jaime\QUIFA-CAJÚA\Cajua\[CAJUA_CF_SEC_New_27-Feb-2024Rev3.xlsx]D-PDP'!$DT$23</t>
  </si>
  <si>
    <t>='C:\Users\jaime.benazar\Quorum Business Solutions\Ecopetrol Prometeo - Documents\Planning Space Implementation\3. Analysis &amp; Design\Design\FC22\DRR Jaime\QUIFA-CAJÚA\Cajua\[CAJUA_CF_SEC_New_27-Feb-2024Rev3.xlsx]D-PDP'!$DT$24</t>
  </si>
  <si>
    <t>='C:\Users\jaime.benazar\Quorum Business Solutions\Ecopetrol Prometeo - Documents\Planning Space Implementation\3. Analysis &amp; Design\Design\FC22\DRR Jaime\QUIFA-CAJÚA\Cajua\[CAJUA_CF_SEC_New_27-Feb-2024Rev3.xlsx]D-PDP'!$DT$25</t>
  </si>
  <si>
    <t>='C:\Users\jaime.benazar\Quorum Business Solutions\Ecopetrol Prometeo - Documents\Planning Space Implementation\3. Analysis &amp; Design\Design\FC22\DRR Jaime\QUIFA-CAJÚA\Cajua\[CAJUA_CF_SEC_New_27-Feb-2024Rev3.xlsx]D-PDP'!$DT$26</t>
  </si>
  <si>
    <t>='C:\Users\jaime.benazar\Quorum Business Solutions\Ecopetrol Prometeo - Documents\Planning Space Implementation\3. Analysis &amp; Design\Design\FC22\DRR Jaime\QUIFA-CAJÚA\Cajua\[CAJUA_CF_SEC_New_27-Feb-2024Rev3.xlsx]D-PDP'!$DT$27</t>
  </si>
  <si>
    <t>='C:\Users\jaime.benazar\Quorum Business Solutions\Ecopetrol Prometeo - Documents\Planning Space Implementation\3. Analysis &amp; Design\Design\FC22\DRR Jaime\QUIFA-CAJÚA\Cajua\[CAJUA_CF_SEC_New_27-Feb-2024Rev3.xlsx]D-PDP'!$DT$28</t>
  </si>
  <si>
    <t>='C:\Users\jaime.benazar\Quorum Business Solutions\Ecopetrol Prometeo - Documents\Planning Space Implementation\3. Analysis &amp; Design\Design\FC22\DRR Jaime\QUIFA-CAJÚA\Cajua\[CAJUA_CF_SEC_New_27-Feb-2024Rev3.xlsx]D-PDP'!$DT$29</t>
  </si>
  <si>
    <t>='C:\Users\jaime.benazar\Quorum Business Solutions\Ecopetrol Prometeo - Documents\Planning Space Implementation\3. Analysis &amp; Design\Design\FC22\DRR Jaime\QUIFA-CAJÚA\Cajua\[CAJUA_CF_SEC_New_27-Feb-2024Rev3.xlsx]D-PDP'!$DT$30</t>
  </si>
  <si>
    <t>='C:\Users\jaime.benazar\Quorum Business Solutions\Ecopetrol Prometeo - Documents\Planning Space Implementation\3. Analysis &amp; Design\Design\FC22\DRR Jaime\QUIFA-CAJÚA\Cajua\[CAJUA_CF_SEC_New_27-Feb-2024Rev3.xlsx]D-PDP'!$DT$31</t>
  </si>
  <si>
    <t>='C:\Users\jaime.benazar\Quorum Business Solutions\Ecopetrol Prometeo - Documents\Planning Space Implementation\3. Analysis &amp; Design\Design\FC22\DRR Jaime\QUIFA-CAJÚA\Cajua\[CAJUA_CF_SEC_New_27-Feb-2024Rev3.xlsx]D-PDP'!$DT$32</t>
  </si>
  <si>
    <t>='C:\Users\jaime.benazar\Quorum Business Solutions\Ecopetrol Prometeo - Documents\Planning Space Implementation\3. Analysis &amp; Design\Design\FC22\DRR Jaime\QUIFA-CAJÚA\Cajua\[CAJUA_CF_SEC_New_27-Feb-2024Rev3.xlsx]D-PDP'!$DT$33</t>
  </si>
  <si>
    <t>='C:\Users\jaime.benazar\Quorum Business Solutions\Ecopetrol Prometeo - Documents\Planning Space Implementation\3. Analysis &amp; Design\Design\FC22\DRR Jaime\QUIFA-CAJÚA\Cajua\[CAJUA_CF_SEC_New_27-Feb-2024Rev3.xlsx]D-PDP'!$DT$34</t>
  </si>
  <si>
    <t>='C:\Users\jaime.benazar\Quorum Business Solutions\Ecopetrol Prometeo - Documents\Planning Space Implementation\3. Analysis &amp; Design\Design\FC22\DRR Jaime\QUIFA-CAJÚA\Cajua\[CAJUA_CF_SEC_New_27-Feb-2024Rev3.xlsx]D-PDP'!$DT$35</t>
  </si>
  <si>
    <t>='C:\Users\jaime.benazar\Quorum Business Solutions\Ecopetrol Prometeo - Documents\Planning Space Implementation\3. Analysis &amp; Design\Design\FC22\DRR Jaime\QUIFA-CAJÚA\Cajua\[CAJUA_CF_SEC_New_27-Feb-2024Rev3.xlsx]D-PDP'!$DT$36</t>
  </si>
  <si>
    <t>='C:\Users\jaime.benazar\Quorum Business Solutions\Ecopetrol Prometeo - Documents\Planning Space Implementation\3. Analysis &amp; Design\Design\FC22\DRR Jaime\QUIFA-CAJÚA\Cajua\[CAJUA_CF_SEC_New_27-Feb-2024Rev3.xlsx]D-PDP'!$DT$37</t>
  </si>
  <si>
    <t>='C:\Users\jaime.benazar\Quorum Business Solutions\Ecopetrol Prometeo - Documents\Planning Space Implementation\3. Analysis &amp; Design\Design\FC22\DRR Jaime\QUIFA-CAJÚA\Cajua\[CAJUA_CF_SEC_New_27-Feb-2024Rev3.xlsx]D-PDP'!$DT$38</t>
  </si>
  <si>
    <t>='C:\Users\jaime.benazar\Quorum Business Solutions\Ecopetrol Prometeo - Documents\Planning Space Implementation\3. Analysis &amp; Design\Design\FC22\DRR Jaime\QUIFA-CAJÚA\Cajua\[CAJUA_CF_SEC_New_27-Feb-2024Rev3.xlsx]D-PDP'!$DT$39</t>
  </si>
  <si>
    <t>='C:\Users\jaime.benazar\Quorum Business Solutions\Ecopetrol Prometeo - Documents\Planning Space Implementation\3. Analysis &amp; Design\Design\FC22\DRR Jaime\QUIFA-CAJÚA\Cajua\[CAJUA_CF_SEC_New_27-Feb-2024Rev3.xlsx]D-PDP'!$DT$40</t>
  </si>
  <si>
    <t>='C:\Users\jaime.benazar\Quorum Business Solutions\Ecopetrol Prometeo - Documents\Planning Space Implementation\3. Analysis &amp; Design\Design\FC22\DRR Jaime\QUIFA-CAJÚA\Cajua\[CAJUA_CF_SEC_New_27-Feb-2024Rev3.xlsx]D-PDP'!$DT$41</t>
  </si>
  <si>
    <t>='C:\Users\jaime.benazar\Quorum Business Solutions\Ecopetrol Prometeo - Documents\Planning Space Implementation\3. Analysis &amp; Design\Design\FC22\DRR Jaime\QUIFA-CAJÚA\Cajua\[CAJUA_CF_SEC_New_27-Feb-2024Rev3.xlsx]D-PDP'!$DT$42</t>
  </si>
  <si>
    <t>='C:\Users\jaime.benazar\Quorum Business Solutions\Ecopetrol Prometeo - Documents\Planning Space Implementation\3. Analysis &amp; Design\Design\FC22\DRR Jaime\QUIFA-CAJÚA\Cajua\[CAJUA_CF_SEC_New_27-Feb-2024Rev3.xlsx]D-PDP'!$DT$43</t>
  </si>
  <si>
    <t>='C:\Users\jaime.benazar\Quorum Business Solutions\Ecopetrol Prometeo - Documents\Planning Space Implementation\3. Analysis &amp; Design\Design\FC22\DRR Jaime\QUIFA-CAJÚA\Cajua\[CAJUA_CF_SEC_New_27-Feb-2024Rev3.xlsx]D-PDP'!$DT$44</t>
  </si>
  <si>
    <t>='C:\Users\jaime.benazar\Quorum Business Solutions\Ecopetrol Prometeo - Documents\Planning Space Implementation\3. Analysis &amp; Design\Design\FC22\DRR Jaime\QUIFA-CAJÚA\Cajua\[CAJUA_CF_SEC_New_27-Feb-2024Rev3.xlsx]D-PDP'!$DT$45</t>
  </si>
  <si>
    <t>='C:\Users\jaime.benazar\Quorum Business Solutions\Ecopetrol Prometeo - Documents\Planning Space Implementation\3. Analysis &amp; Design\Design\FC22\DRR Jaime\QUIFA-CAJÚA\Cajua\[CAJUA_CF_SEC_New_27-Feb-2024Rev3.xlsx]D-PDP'!$DT$46</t>
  </si>
  <si>
    <t>='C:\Users\jaime.benazar\Quorum Business Solutions\Ecopetrol Prometeo - Documents\Planning Space Implementation\3. Analysis &amp; Design\Design\FC22\DRR Jaime\QUIFA-CAJÚA\Cajua\[CAJUA_CF_SEC_New_27-Feb-2024Rev3.xlsx]D-PDP'!$DT$47</t>
  </si>
  <si>
    <t>='C:\Users\jaime.benazar\Quorum Business Solutions\Ecopetrol Prometeo - Documents\Planning Space Implementation\3. Analysis &amp; Design\Design\FC22\DRR Jaime\QUIFA-CAJÚA\Cajua\[CAJUA_CF_SEC_New_27-Feb-2024Rev3.xlsx]D-PDP'!$DT$48</t>
  </si>
  <si>
    <t>='C:\Users\jaime.benazar\Quorum Business Solutions\Ecopetrol Prometeo - Documents\Planning Space Implementation\3. Analysis &amp; Design\Design\FC22\DRR Jaime\QUIFA-CAJÚA\Cajua\[CAJUA_CF_SEC_New_27-Feb-2024Rev3.xlsx]D-PNP'!$DT$12</t>
  </si>
  <si>
    <t>='C:\Users\jaime.benazar\Quorum Business Solutions\Ecopetrol Prometeo - Documents\Planning Space Implementation\3. Analysis &amp; Design\Design\FC22\DRR Jaime\QUIFA-CAJÚA\Cajua\[CAJUA_CF_SEC_New_27-Feb-2024Rev3.xlsx]D-PNP'!$DT$13</t>
  </si>
  <si>
    <t>='C:\Users\jaime.benazar\Quorum Business Solutions\Ecopetrol Prometeo - Documents\Planning Space Implementation\3. Analysis &amp; Design\Design\FC22\DRR Jaime\QUIFA-CAJÚA\Cajua\[CAJUA_CF_SEC_New_27-Feb-2024Rev3.xlsx]D-PNP'!$DT$14</t>
  </si>
  <si>
    <t>='C:\Users\jaime.benazar\Quorum Business Solutions\Ecopetrol Prometeo - Documents\Planning Space Implementation\3. Analysis &amp; Design\Design\FC22\DRR Jaime\QUIFA-CAJÚA\Cajua\[CAJUA_CF_SEC_New_27-Feb-2024Rev3.xlsx]D-PNP'!$DT$15</t>
  </si>
  <si>
    <t>='C:\Users\jaime.benazar\Quorum Business Solutions\Ecopetrol Prometeo - Documents\Planning Space Implementation\3. Analysis &amp; Design\Design\FC22\DRR Jaime\QUIFA-CAJÚA\Cajua\[CAJUA_CF_SEC_New_27-Feb-2024Rev3.xlsx]D-PNP'!$DT$16</t>
  </si>
  <si>
    <t>='C:\Users\jaime.benazar\Quorum Business Solutions\Ecopetrol Prometeo - Documents\Planning Space Implementation\3. Analysis &amp; Design\Design\FC22\DRR Jaime\QUIFA-CAJÚA\Cajua\[CAJUA_CF_SEC_New_27-Feb-2024Rev3.xlsx]D-PNP'!$DT$17</t>
  </si>
  <si>
    <t>='C:\Users\jaime.benazar\Quorum Business Solutions\Ecopetrol Prometeo - Documents\Planning Space Implementation\3. Analysis &amp; Design\Design\FC22\DRR Jaime\QUIFA-CAJÚA\Cajua\[CAJUA_CF_SEC_New_27-Feb-2024Rev3.xlsx]D-PNP'!$DT$18</t>
  </si>
  <si>
    <t>='C:\Users\jaime.benazar\Quorum Business Solutions\Ecopetrol Prometeo - Documents\Planning Space Implementation\3. Analysis &amp; Design\Design\FC22\DRR Jaime\QUIFA-CAJÚA\Cajua\[CAJUA_CF_SEC_New_27-Feb-2024Rev3.xlsx]D-PNP'!$DT$19</t>
  </si>
  <si>
    <t>='C:\Users\jaime.benazar\Quorum Business Solutions\Ecopetrol Prometeo - Documents\Planning Space Implementation\3. Analysis &amp; Design\Design\FC22\DRR Jaime\QUIFA-CAJÚA\Cajua\[CAJUA_CF_SEC_New_27-Feb-2024Rev3.xlsx]D-PNP'!$DT$20</t>
  </si>
  <si>
    <t>='C:\Users\jaime.benazar\Quorum Business Solutions\Ecopetrol Prometeo - Documents\Planning Space Implementation\3. Analysis &amp; Design\Design\FC22\DRR Jaime\QUIFA-CAJÚA\Cajua\[CAJUA_CF_SEC_New_27-Feb-2024Rev3.xlsx]D-PNP'!$DT$21</t>
  </si>
  <si>
    <t>='C:\Users\jaime.benazar\Quorum Business Solutions\Ecopetrol Prometeo - Documents\Planning Space Implementation\3. Analysis &amp; Design\Design\FC22\DRR Jaime\QUIFA-CAJÚA\Cajua\[CAJUA_CF_SEC_New_27-Feb-2024Rev3.xlsx]D-PNP'!$DT$22</t>
  </si>
  <si>
    <t>='C:\Users\jaime.benazar\Quorum Business Solutions\Ecopetrol Prometeo - Documents\Planning Space Implementation\3. Analysis &amp; Design\Design\FC22\DRR Jaime\QUIFA-CAJÚA\Cajua\[CAJUA_CF_SEC_New_27-Feb-2024Rev3.xlsx]D-PNP'!$DT$23</t>
  </si>
  <si>
    <t>='C:\Users\jaime.benazar\Quorum Business Solutions\Ecopetrol Prometeo - Documents\Planning Space Implementation\3. Analysis &amp; Design\Design\FC22\DRR Jaime\QUIFA-CAJÚA\Cajua\[CAJUA_CF_SEC_New_27-Feb-2024Rev3.xlsx]D-PNP'!$DT$24</t>
  </si>
  <si>
    <t>='C:\Users\jaime.benazar\Quorum Business Solutions\Ecopetrol Prometeo - Documents\Planning Space Implementation\3. Analysis &amp; Design\Design\FC22\DRR Jaime\QUIFA-CAJÚA\Cajua\[CAJUA_CF_SEC_New_27-Feb-2024Rev3.xlsx]D-PNP'!$DT$25</t>
  </si>
  <si>
    <t>='C:\Users\jaime.benazar\Quorum Business Solutions\Ecopetrol Prometeo - Documents\Planning Space Implementation\3. Analysis &amp; Design\Design\FC22\DRR Jaime\QUIFA-CAJÚA\Cajua\[CAJUA_CF_SEC_New_27-Feb-2024Rev3.xlsx]D-PNP'!$DT$26</t>
  </si>
  <si>
    <t>='C:\Users\jaime.benazar\Quorum Business Solutions\Ecopetrol Prometeo - Documents\Planning Space Implementation\3. Analysis &amp; Design\Design\FC22\DRR Jaime\QUIFA-CAJÚA\Cajua\[CAJUA_CF_SEC_New_27-Feb-2024Rev3.xlsx]D-PNP'!$DT$27</t>
  </si>
  <si>
    <t>='C:\Users\jaime.benazar\Quorum Business Solutions\Ecopetrol Prometeo - Documents\Planning Space Implementation\3. Analysis &amp; Design\Design\FC22\DRR Jaime\QUIFA-CAJÚA\Cajua\[CAJUA_CF_SEC_New_27-Feb-2024Rev3.xlsx]D-PNP'!$DT$28</t>
  </si>
  <si>
    <t>='C:\Users\jaime.benazar\Quorum Business Solutions\Ecopetrol Prometeo - Documents\Planning Space Implementation\3. Analysis &amp; Design\Design\FC22\DRR Jaime\QUIFA-CAJÚA\Cajua\[CAJUA_CF_SEC_New_27-Feb-2024Rev3.xlsx]D-PNP'!$DT$29</t>
  </si>
  <si>
    <t>='C:\Users\jaime.benazar\Quorum Business Solutions\Ecopetrol Prometeo - Documents\Planning Space Implementation\3. Analysis &amp; Design\Design\FC22\DRR Jaime\QUIFA-CAJÚA\Cajua\[CAJUA_CF_SEC_New_27-Feb-2024Rev3.xlsx]D-PNP'!$DT$30</t>
  </si>
  <si>
    <t>='C:\Users\jaime.benazar\Quorum Business Solutions\Ecopetrol Prometeo - Documents\Planning Space Implementation\3. Analysis &amp; Design\Design\FC22\DRR Jaime\QUIFA-CAJÚA\Cajua\[CAJUA_CF_SEC_New_27-Feb-2024Rev3.xlsx]D-PNP'!$DT$31</t>
  </si>
  <si>
    <t>='C:\Users\jaime.benazar\Quorum Business Solutions\Ecopetrol Prometeo - Documents\Planning Space Implementation\3. Analysis &amp; Design\Design\FC22\DRR Jaime\QUIFA-CAJÚA\Cajua\[CAJUA_CF_SEC_New_27-Feb-2024Rev3.xlsx]D-PNP'!$DT$32</t>
  </si>
  <si>
    <t>='C:\Users\jaime.benazar\Quorum Business Solutions\Ecopetrol Prometeo - Documents\Planning Space Implementation\3. Analysis &amp; Design\Design\FC22\DRR Jaime\QUIFA-CAJÚA\Cajua\[CAJUA_CF_SEC_New_27-Feb-2024Rev3.xlsx]D-PNP'!$DT$33</t>
  </si>
  <si>
    <t>='C:\Users\jaime.benazar\Quorum Business Solutions\Ecopetrol Prometeo - Documents\Planning Space Implementation\3. Analysis &amp; Design\Design\FC22\DRR Jaime\QUIFA-CAJÚA\Cajua\[CAJUA_CF_SEC_New_27-Feb-2024Rev3.xlsx]D-PNP'!$DT$34</t>
  </si>
  <si>
    <t>='C:\Users\jaime.benazar\Quorum Business Solutions\Ecopetrol Prometeo - Documents\Planning Space Implementation\3. Analysis &amp; Design\Design\FC22\DRR Jaime\QUIFA-CAJÚA\Cajua\[CAJUA_CF_SEC_New_27-Feb-2024Rev3.xlsx]D-PNP'!$DT$35</t>
  </si>
  <si>
    <t>='C:\Users\jaime.benazar\Quorum Business Solutions\Ecopetrol Prometeo - Documents\Planning Space Implementation\3. Analysis &amp; Design\Design\FC22\DRR Jaime\QUIFA-CAJÚA\Cajua\[CAJUA_CF_SEC_New_27-Feb-2024Rev3.xlsx]D-PNP'!$DT$36</t>
  </si>
  <si>
    <t>='C:\Users\jaime.benazar\Quorum Business Solutions\Ecopetrol Prometeo - Documents\Planning Space Implementation\3. Analysis &amp; Design\Design\FC22\DRR Jaime\QUIFA-CAJÚA\Cajua\[CAJUA_CF_SEC_New_27-Feb-2024Rev3.xlsx]D-PNP'!$DT$37</t>
  </si>
  <si>
    <t>='C:\Users\jaime.benazar\Quorum Business Solutions\Ecopetrol Prometeo - Documents\Planning Space Implementation\3. Analysis &amp; Design\Design\FC22\DRR Jaime\QUIFA-CAJÚA\Cajua\[CAJUA_CF_SEC_New_27-Feb-2024Rev3.xlsx]D-PNP'!$DT$38</t>
  </si>
  <si>
    <t>='C:\Users\jaime.benazar\Quorum Business Solutions\Ecopetrol Prometeo - Documents\Planning Space Implementation\3. Analysis &amp; Design\Design\FC22\DRR Jaime\QUIFA-CAJÚA\Cajua\[CAJUA_CF_SEC_New_27-Feb-2024Rev3.xlsx]D-PNP'!$DT$39</t>
  </si>
  <si>
    <t>='C:\Users\jaime.benazar\Quorum Business Solutions\Ecopetrol Prometeo - Documents\Planning Space Implementation\3. Analysis &amp; Design\Design\FC22\DRR Jaime\QUIFA-CAJÚA\Cajua\[CAJUA_CF_SEC_New_27-Feb-2024Rev3.xlsx]D-PNP'!$DT$40</t>
  </si>
  <si>
    <t>='C:\Users\jaime.benazar\Quorum Business Solutions\Ecopetrol Prometeo - Documents\Planning Space Implementation\3. Analysis &amp; Design\Design\FC22\DRR Jaime\QUIFA-CAJÚA\Cajua\[CAJUA_CF_SEC_New_27-Feb-2024Rev3.xlsx]D-PNP'!$DT$41</t>
  </si>
  <si>
    <t>='C:\Users\jaime.benazar\Quorum Business Solutions\Ecopetrol Prometeo - Documents\Planning Space Implementation\3. Analysis &amp; Design\Design\FC22\DRR Jaime\QUIFA-CAJÚA\Cajua\[CAJUA_CF_SEC_New_27-Feb-2024Rev3.xlsx]D-PNP'!$DT$42</t>
  </si>
  <si>
    <t>='C:\Users\jaime.benazar\Quorum Business Solutions\Ecopetrol Prometeo - Documents\Planning Space Implementation\3. Analysis &amp; Design\Design\FC22\DRR Jaime\QUIFA-CAJÚA\Cajua\[CAJUA_CF_SEC_New_27-Feb-2024Rev3.xlsx]D-PNP'!$DT$43</t>
  </si>
  <si>
    <t>='C:\Users\jaime.benazar\Quorum Business Solutions\Ecopetrol Prometeo - Documents\Planning Space Implementation\3. Analysis &amp; Design\Design\FC22\DRR Jaime\QUIFA-CAJÚA\Cajua\[CAJUA_CF_SEC_New_27-Feb-2024Rev3.xlsx]D-PNP'!$DT$44</t>
  </si>
  <si>
    <t>='C:\Users\jaime.benazar\Quorum Business Solutions\Ecopetrol Prometeo - Documents\Planning Space Implementation\3. Analysis &amp; Design\Design\FC22\DRR Jaime\QUIFA-CAJÚA\Cajua\[CAJUA_CF_SEC_New_27-Feb-2024Rev3.xlsx]D-PNP'!$DT$45</t>
  </si>
  <si>
    <t>='C:\Users\jaime.benazar\Quorum Business Solutions\Ecopetrol Prometeo - Documents\Planning Space Implementation\3. Analysis &amp; Design\Design\FC22\DRR Jaime\QUIFA-CAJÚA\Cajua\[CAJUA_CF_SEC_New_27-Feb-2024Rev3.xlsx]D-PNP'!$DT$46</t>
  </si>
  <si>
    <t>='C:\Users\jaime.benazar\Quorum Business Solutions\Ecopetrol Prometeo - Documents\Planning Space Implementation\3. Analysis &amp; Design\Design\FC22\DRR Jaime\QUIFA-CAJÚA\Cajua\[CAJUA_CF_SEC_New_27-Feb-2024Rev3.xlsx]D-PNP'!$DT$47</t>
  </si>
  <si>
    <t>='C:\Users\jaime.benazar\Quorum Business Solutions\Ecopetrol Prometeo - Documents\Planning Space Implementation\3. Analysis &amp; Design\Design\FC22\DRR Jaime\QUIFA-CAJÚA\Cajua\[CAJUA_CF_SEC_New_27-Feb-2024Rev3.xlsx]D-PNP'!$DT$48</t>
  </si>
  <si>
    <t>='C:\Users\jaime.benazar\Quorum Business Solutions\Ecopetrol Prometeo - Documents\Planning Space Implementation\3. Analysis &amp; Design\Design\FC22\DRR Jaime\QUIFA-CAJÚA\Cajua\[CAJUA_CF_SEC_New_27-Feb-2024Rev3.xlsx]D-PND'!$DT$12</t>
  </si>
  <si>
    <t>='C:\Users\jaime.benazar\Quorum Business Solutions\Ecopetrol Prometeo - Documents\Planning Space Implementation\3. Analysis &amp; Design\Design\FC22\DRR Jaime\QUIFA-CAJÚA\Cajua\[CAJUA_CF_SEC_New_27-Feb-2024Rev3.xlsx]D-PND'!$DT$13</t>
  </si>
  <si>
    <t>='C:\Users\jaime.benazar\Quorum Business Solutions\Ecopetrol Prometeo - Documents\Planning Space Implementation\3. Analysis &amp; Design\Design\FC22\DRR Jaime\QUIFA-CAJÚA\Cajua\[CAJUA_CF_SEC_New_27-Feb-2024Rev3.xlsx]D-PND'!$DT$14</t>
  </si>
  <si>
    <t>='C:\Users\jaime.benazar\Quorum Business Solutions\Ecopetrol Prometeo - Documents\Planning Space Implementation\3. Analysis &amp; Design\Design\FC22\DRR Jaime\QUIFA-CAJÚA\Cajua\[CAJUA_CF_SEC_New_27-Feb-2024Rev3.xlsx]D-PND'!$DT$15</t>
  </si>
  <si>
    <t>='C:\Users\jaime.benazar\Quorum Business Solutions\Ecopetrol Prometeo - Documents\Planning Space Implementation\3. Analysis &amp; Design\Design\FC22\DRR Jaime\QUIFA-CAJÚA\Cajua\[CAJUA_CF_SEC_New_27-Feb-2024Rev3.xlsx]D-PND'!$DT$16</t>
  </si>
  <si>
    <t>='C:\Users\jaime.benazar\Quorum Business Solutions\Ecopetrol Prometeo - Documents\Planning Space Implementation\3. Analysis &amp; Design\Design\FC22\DRR Jaime\QUIFA-CAJÚA\Cajua\[CAJUA_CF_SEC_New_27-Feb-2024Rev3.xlsx]D-PND'!$DT$17</t>
  </si>
  <si>
    <t>='C:\Users\jaime.benazar\Quorum Business Solutions\Ecopetrol Prometeo - Documents\Planning Space Implementation\3. Analysis &amp; Design\Design\FC22\DRR Jaime\QUIFA-CAJÚA\Cajua\[CAJUA_CF_SEC_New_27-Feb-2024Rev3.xlsx]D-PND'!$DT$18</t>
  </si>
  <si>
    <t>='C:\Users\jaime.benazar\Quorum Business Solutions\Ecopetrol Prometeo - Documents\Planning Space Implementation\3. Analysis &amp; Design\Design\FC22\DRR Jaime\QUIFA-CAJÚA\Cajua\[CAJUA_CF_SEC_New_27-Feb-2024Rev3.xlsx]D-PND'!$DT$19</t>
  </si>
  <si>
    <t>='C:\Users\jaime.benazar\Quorum Business Solutions\Ecopetrol Prometeo - Documents\Planning Space Implementation\3. Analysis &amp; Design\Design\FC22\DRR Jaime\QUIFA-CAJÚA\Cajua\[CAJUA_CF_SEC_New_27-Feb-2024Rev3.xlsx]D-PND'!$DT$20</t>
  </si>
  <si>
    <t>='C:\Users\jaime.benazar\Quorum Business Solutions\Ecopetrol Prometeo - Documents\Planning Space Implementation\3. Analysis &amp; Design\Design\FC22\DRR Jaime\QUIFA-CAJÚA\Cajua\[CAJUA_CF_SEC_New_27-Feb-2024Rev3.xlsx]D-PND'!$DT$21</t>
  </si>
  <si>
    <t>='C:\Users\jaime.benazar\Quorum Business Solutions\Ecopetrol Prometeo - Documents\Planning Space Implementation\3. Analysis &amp; Design\Design\FC22\DRR Jaime\QUIFA-CAJÚA\Cajua\[CAJUA_CF_SEC_New_27-Feb-2024Rev3.xlsx]D-PND'!$DT$22</t>
  </si>
  <si>
    <t>='C:\Users\jaime.benazar\Quorum Business Solutions\Ecopetrol Prometeo - Documents\Planning Space Implementation\3. Analysis &amp; Design\Design\FC22\DRR Jaime\QUIFA-CAJÚA\Cajua\[CAJUA_CF_SEC_New_27-Feb-2024Rev3.xlsx]D-PND'!$DT$23</t>
  </si>
  <si>
    <t>='C:\Users\jaime.benazar\Quorum Business Solutions\Ecopetrol Prometeo - Documents\Planning Space Implementation\3. Analysis &amp; Design\Design\FC22\DRR Jaime\QUIFA-CAJÚA\Cajua\[CAJUA_CF_SEC_New_27-Feb-2024Rev3.xlsx]D-PND'!$DT$24</t>
  </si>
  <si>
    <t>='C:\Users\jaime.benazar\Quorum Business Solutions\Ecopetrol Prometeo - Documents\Planning Space Implementation\3. Analysis &amp; Design\Design\FC22\DRR Jaime\QUIFA-CAJÚA\Cajua\[CAJUA_CF_SEC_New_27-Feb-2024Rev3.xlsx]D-PND'!$DT$25</t>
  </si>
  <si>
    <t>='C:\Users\jaime.benazar\Quorum Business Solutions\Ecopetrol Prometeo - Documents\Planning Space Implementation\3. Analysis &amp; Design\Design\FC22\DRR Jaime\QUIFA-CAJÚA\Cajua\[CAJUA_CF_SEC_New_27-Feb-2024Rev3.xlsx]D-PND'!$DT$26</t>
  </si>
  <si>
    <t>='C:\Users\jaime.benazar\Quorum Business Solutions\Ecopetrol Prometeo - Documents\Planning Space Implementation\3. Analysis &amp; Design\Design\FC22\DRR Jaime\QUIFA-CAJÚA\Cajua\[CAJUA_CF_SEC_New_27-Feb-2024Rev3.xlsx]D-PND'!$DT$27</t>
  </si>
  <si>
    <t>='C:\Users\jaime.benazar\Quorum Business Solutions\Ecopetrol Prometeo - Documents\Planning Space Implementation\3. Analysis &amp; Design\Design\FC22\DRR Jaime\QUIFA-CAJÚA\Cajua\[CAJUA_CF_SEC_New_27-Feb-2024Rev3.xlsx]D-PND'!$DT$28</t>
  </si>
  <si>
    <t>='C:\Users\jaime.benazar\Quorum Business Solutions\Ecopetrol Prometeo - Documents\Planning Space Implementation\3. Analysis &amp; Design\Design\FC22\DRR Jaime\QUIFA-CAJÚA\Cajua\[CAJUA_CF_SEC_New_27-Feb-2024Rev3.xlsx]D-PND'!$DT$29</t>
  </si>
  <si>
    <t>='C:\Users\jaime.benazar\Quorum Business Solutions\Ecopetrol Prometeo - Documents\Planning Space Implementation\3. Analysis &amp; Design\Design\FC22\DRR Jaime\QUIFA-CAJÚA\Cajua\[CAJUA_CF_SEC_New_27-Feb-2024Rev3.xlsx]D-PND'!$DT$30</t>
  </si>
  <si>
    <t>='C:\Users\jaime.benazar\Quorum Business Solutions\Ecopetrol Prometeo - Documents\Planning Space Implementation\3. Analysis &amp; Design\Design\FC22\DRR Jaime\QUIFA-CAJÚA\Cajua\[CAJUA_CF_SEC_New_27-Feb-2024Rev3.xlsx]D-PND'!$DT$31</t>
  </si>
  <si>
    <t>='C:\Users\jaime.benazar\Quorum Business Solutions\Ecopetrol Prometeo - Documents\Planning Space Implementation\3. Analysis &amp; Design\Design\FC22\DRR Jaime\QUIFA-CAJÚA\Cajua\[CAJUA_CF_SEC_New_27-Feb-2024Rev3.xlsx]D-PND'!$DT$32</t>
  </si>
  <si>
    <t>='C:\Users\jaime.benazar\Quorum Business Solutions\Ecopetrol Prometeo - Documents\Planning Space Implementation\3. Analysis &amp; Design\Design\FC22\DRR Jaime\QUIFA-CAJÚA\Cajua\[CAJUA_CF_SEC_New_27-Feb-2024Rev3.xlsx]D-PND'!$DT$33</t>
  </si>
  <si>
    <t>='C:\Users\jaime.benazar\Quorum Business Solutions\Ecopetrol Prometeo - Documents\Planning Space Implementation\3. Analysis &amp; Design\Design\FC22\DRR Jaime\QUIFA-CAJÚA\Cajua\[CAJUA_CF_SEC_New_27-Feb-2024Rev3.xlsx]D-PND'!$DT$34</t>
  </si>
  <si>
    <t>='C:\Users\jaime.benazar\Quorum Business Solutions\Ecopetrol Prometeo - Documents\Planning Space Implementation\3. Analysis &amp; Design\Design\FC22\DRR Jaime\QUIFA-CAJÚA\Cajua\[CAJUA_CF_SEC_New_27-Feb-2024Rev3.xlsx]D-PND'!$DT$35</t>
  </si>
  <si>
    <t>='C:\Users\jaime.benazar\Quorum Business Solutions\Ecopetrol Prometeo - Documents\Planning Space Implementation\3. Analysis &amp; Design\Design\FC22\DRR Jaime\QUIFA-CAJÚA\Cajua\[CAJUA_CF_SEC_New_27-Feb-2024Rev3.xlsx]D-PND'!$DT$36</t>
  </si>
  <si>
    <t>='C:\Users\jaime.benazar\Quorum Business Solutions\Ecopetrol Prometeo - Documents\Planning Space Implementation\3. Analysis &amp; Design\Design\FC22\DRR Jaime\QUIFA-CAJÚA\Cajua\[CAJUA_CF_SEC_New_27-Feb-2024Rev3.xlsx]D-PND'!$DT$37</t>
  </si>
  <si>
    <t>='C:\Users\jaime.benazar\Quorum Business Solutions\Ecopetrol Prometeo - Documents\Planning Space Implementation\3. Analysis &amp; Design\Design\FC22\DRR Jaime\QUIFA-CAJÚA\Cajua\[CAJUA_CF_SEC_New_27-Feb-2024Rev3.xlsx]D-PND'!$DT$38</t>
  </si>
  <si>
    <t>='C:\Users\jaime.benazar\Quorum Business Solutions\Ecopetrol Prometeo - Documents\Planning Space Implementation\3. Analysis &amp; Design\Design\FC22\DRR Jaime\QUIFA-CAJÚA\Cajua\[CAJUA_CF_SEC_New_27-Feb-2024Rev3.xlsx]D-PND'!$DT$39</t>
  </si>
  <si>
    <t>='C:\Users\jaime.benazar\Quorum Business Solutions\Ecopetrol Prometeo - Documents\Planning Space Implementation\3. Analysis &amp; Design\Design\FC22\DRR Jaime\QUIFA-CAJÚA\Cajua\[CAJUA_CF_SEC_New_27-Feb-2024Rev3.xlsx]D-PND'!$DT$40</t>
  </si>
  <si>
    <t>='C:\Users\jaime.benazar\Quorum Business Solutions\Ecopetrol Prometeo - Documents\Planning Space Implementation\3. Analysis &amp; Design\Design\FC22\DRR Jaime\QUIFA-CAJÚA\Cajua\[CAJUA_CF_SEC_New_27-Feb-2024Rev3.xlsx]D-PND'!$DT$41</t>
  </si>
  <si>
    <t>='C:\Users\jaime.benazar\Quorum Business Solutions\Ecopetrol Prometeo - Documents\Planning Space Implementation\3. Analysis &amp; Design\Design\FC22\DRR Jaime\QUIFA-CAJÚA\Cajua\[CAJUA_CF_SEC_New_27-Feb-2024Rev3.xlsx]D-PND'!$DT$42</t>
  </si>
  <si>
    <t>='C:\Users\jaime.benazar\Quorum Business Solutions\Ecopetrol Prometeo - Documents\Planning Space Implementation\3. Analysis &amp; Design\Design\FC22\DRR Jaime\QUIFA-CAJÚA\Cajua\[CAJUA_CF_SEC_New_27-Feb-2024Rev3.xlsx]D-PND'!$DT$43</t>
  </si>
  <si>
    <t>='C:\Users\jaime.benazar\Quorum Business Solutions\Ecopetrol Prometeo - Documents\Planning Space Implementation\3. Analysis &amp; Design\Design\FC22\DRR Jaime\QUIFA-CAJÚA\Cajua\[CAJUA_CF_SEC_New_27-Feb-2024Rev3.xlsx]D-PND'!$DT$44</t>
  </si>
  <si>
    <t>='C:\Users\jaime.benazar\Quorum Business Solutions\Ecopetrol Prometeo - Documents\Planning Space Implementation\3. Analysis &amp; Design\Design\FC22\DRR Jaime\QUIFA-CAJÚA\Cajua\[CAJUA_CF_SEC_New_27-Feb-2024Rev3.xlsx]D-PND'!$DT$45</t>
  </si>
  <si>
    <t>='C:\Users\jaime.benazar\Quorum Business Solutions\Ecopetrol Prometeo - Documents\Planning Space Implementation\3. Analysis &amp; Design\Design\FC22\DRR Jaime\QUIFA-CAJÚA\Cajua\[CAJUA_CF_SEC_New_27-Feb-2024Rev3.xlsx]D-PND'!$DT$46</t>
  </si>
  <si>
    <t>='C:\Users\jaime.benazar\Quorum Business Solutions\Ecopetrol Prometeo - Documents\Planning Space Implementation\3. Analysis &amp; Design\Design\FC22\DRR Jaime\QUIFA-CAJÚA\Cajua\[CAJUA_CF_SEC_New_27-Feb-2024Rev3.xlsx]D-PND'!$DT$47</t>
  </si>
  <si>
    <t>='C:\Users\jaime.benazar\Quorum Business Solutions\Ecopetrol Prometeo - Documents\Planning Space Implementation\3. Analysis &amp; Design\Design\FC22\DRR Jaime\QUIFA-CAJÚA\Cajua\[CAJUA_CF_SEC_New_27-Feb-2024Rev3.xlsx]D-PND'!$DT$48</t>
  </si>
  <si>
    <t>='C:\Users\jaime.benazar\Quorum Business Solutions\Ecopetrol Prometeo - Documents\Planning Space Implementation\3. Analysis &amp; Design\Design\FC22\DRR Jaime\QUIFA-CAJÚA\Cajua\[CAJUA_CF_SEC_New_27-Feb-2024Rev3.xlsx]D-PRB'!$DT$12</t>
  </si>
  <si>
    <t>='C:\Users\jaime.benazar\Quorum Business Solutions\Ecopetrol Prometeo - Documents\Planning Space Implementation\3. Analysis &amp; Design\Design\FC22\DRR Jaime\QUIFA-CAJÚA\Cajua\[CAJUA_CF_SEC_New_27-Feb-2024Rev3.xlsx]D-PRB'!$DT$13</t>
  </si>
  <si>
    <t>='C:\Users\jaime.benazar\Quorum Business Solutions\Ecopetrol Prometeo - Documents\Planning Space Implementation\3. Analysis &amp; Design\Design\FC22\DRR Jaime\QUIFA-CAJÚA\Cajua\[CAJUA_CF_SEC_New_27-Feb-2024Rev3.xlsx]D-PRB'!$DT$14</t>
  </si>
  <si>
    <t>='C:\Users\jaime.benazar\Quorum Business Solutions\Ecopetrol Prometeo - Documents\Planning Space Implementation\3. Analysis &amp; Design\Design\FC22\DRR Jaime\QUIFA-CAJÚA\Cajua\[CAJUA_CF_SEC_New_27-Feb-2024Rev3.xlsx]D-PRB'!$DT$15</t>
  </si>
  <si>
    <t>='C:\Users\jaime.benazar\Quorum Business Solutions\Ecopetrol Prometeo - Documents\Planning Space Implementation\3. Analysis &amp; Design\Design\FC22\DRR Jaime\QUIFA-CAJÚA\Cajua\[CAJUA_CF_SEC_New_27-Feb-2024Rev3.xlsx]D-PRB'!$DT$16</t>
  </si>
  <si>
    <t>='C:\Users\jaime.benazar\Quorum Business Solutions\Ecopetrol Prometeo - Documents\Planning Space Implementation\3. Analysis &amp; Design\Design\FC22\DRR Jaime\QUIFA-CAJÚA\Cajua\[CAJUA_CF_SEC_New_27-Feb-2024Rev3.xlsx]D-PRB'!$DT$17</t>
  </si>
  <si>
    <t>='C:\Users\jaime.benazar\Quorum Business Solutions\Ecopetrol Prometeo - Documents\Planning Space Implementation\3. Analysis &amp; Design\Design\FC22\DRR Jaime\QUIFA-CAJÚA\Cajua\[CAJUA_CF_SEC_New_27-Feb-2024Rev3.xlsx]D-PRB'!$DT$18</t>
  </si>
  <si>
    <t>='C:\Users\jaime.benazar\Quorum Business Solutions\Ecopetrol Prometeo - Documents\Planning Space Implementation\3. Analysis &amp; Design\Design\FC22\DRR Jaime\QUIFA-CAJÚA\Cajua\[CAJUA_CF_SEC_New_27-Feb-2024Rev3.xlsx]D-PRB'!$DT$19</t>
  </si>
  <si>
    <t>='C:\Users\jaime.benazar\Quorum Business Solutions\Ecopetrol Prometeo - Documents\Planning Space Implementation\3. Analysis &amp; Design\Design\FC22\DRR Jaime\QUIFA-CAJÚA\Cajua\[CAJUA_CF_SEC_New_27-Feb-2024Rev3.xlsx]D-PRB'!$DT$20</t>
  </si>
  <si>
    <t>='C:\Users\jaime.benazar\Quorum Business Solutions\Ecopetrol Prometeo - Documents\Planning Space Implementation\3. Analysis &amp; Design\Design\FC22\DRR Jaime\QUIFA-CAJÚA\Cajua\[CAJUA_CF_SEC_New_27-Feb-2024Rev3.xlsx]D-PRB'!$DT$21</t>
  </si>
  <si>
    <t>='C:\Users\jaime.benazar\Quorum Business Solutions\Ecopetrol Prometeo - Documents\Planning Space Implementation\3. Analysis &amp; Design\Design\FC22\DRR Jaime\QUIFA-CAJÚA\Cajua\[CAJUA_CF_SEC_New_27-Feb-2024Rev3.xlsx]D-PRB'!$DT$22</t>
  </si>
  <si>
    <t>='C:\Users\jaime.benazar\Quorum Business Solutions\Ecopetrol Prometeo - Documents\Planning Space Implementation\3. Analysis &amp; Design\Design\FC22\DRR Jaime\QUIFA-CAJÚA\Cajua\[CAJUA_CF_SEC_New_27-Feb-2024Rev3.xlsx]D-PRB'!$DT$23</t>
  </si>
  <si>
    <t>='C:\Users\jaime.benazar\Quorum Business Solutions\Ecopetrol Prometeo - Documents\Planning Space Implementation\3. Analysis &amp; Design\Design\FC22\DRR Jaime\QUIFA-CAJÚA\Cajua\[CAJUA_CF_SEC_New_27-Feb-2024Rev3.xlsx]D-PRB'!$DT$24</t>
  </si>
  <si>
    <t>='C:\Users\jaime.benazar\Quorum Business Solutions\Ecopetrol Prometeo - Documents\Planning Space Implementation\3. Analysis &amp; Design\Design\FC22\DRR Jaime\QUIFA-CAJÚA\Cajua\[CAJUA_CF_SEC_New_27-Feb-2024Rev3.xlsx]D-PRB'!$DT$25</t>
  </si>
  <si>
    <t>='C:\Users\jaime.benazar\Quorum Business Solutions\Ecopetrol Prometeo - Documents\Planning Space Implementation\3. Analysis &amp; Design\Design\FC22\DRR Jaime\QUIFA-CAJÚA\Cajua\[CAJUA_CF_SEC_New_27-Feb-2024Rev3.xlsx]D-PRB'!$DT$26</t>
  </si>
  <si>
    <t>='C:\Users\jaime.benazar\Quorum Business Solutions\Ecopetrol Prometeo - Documents\Planning Space Implementation\3. Analysis &amp; Design\Design\FC22\DRR Jaime\QUIFA-CAJÚA\Cajua\[CAJUA_CF_SEC_New_27-Feb-2024Rev3.xlsx]D-PRB'!$DT$27</t>
  </si>
  <si>
    <t>='C:\Users\jaime.benazar\Quorum Business Solutions\Ecopetrol Prometeo - Documents\Planning Space Implementation\3. Analysis &amp; Design\Design\FC22\DRR Jaime\QUIFA-CAJÚA\Cajua\[CAJUA_CF_SEC_New_27-Feb-2024Rev3.xlsx]D-PRB'!$DT$28</t>
  </si>
  <si>
    <t>='C:\Users\jaime.benazar\Quorum Business Solutions\Ecopetrol Prometeo - Documents\Planning Space Implementation\3. Analysis &amp; Design\Design\FC22\DRR Jaime\QUIFA-CAJÚA\Cajua\[CAJUA_CF_SEC_New_27-Feb-2024Rev3.xlsx]D-PRB'!$DT$29</t>
  </si>
  <si>
    <t>='C:\Users\jaime.benazar\Quorum Business Solutions\Ecopetrol Prometeo - Documents\Planning Space Implementation\3. Analysis &amp; Design\Design\FC22\DRR Jaime\QUIFA-CAJÚA\Cajua\[CAJUA_CF_SEC_New_27-Feb-2024Rev3.xlsx]D-PRB'!$DT$30</t>
  </si>
  <si>
    <t>='C:\Users\jaime.benazar\Quorum Business Solutions\Ecopetrol Prometeo - Documents\Planning Space Implementation\3. Analysis &amp; Design\Design\FC22\DRR Jaime\QUIFA-CAJÚA\Cajua\[CAJUA_CF_SEC_New_27-Feb-2024Rev3.xlsx]D-PRB'!$DT$31</t>
  </si>
  <si>
    <t>='C:\Users\jaime.benazar\Quorum Business Solutions\Ecopetrol Prometeo - Documents\Planning Space Implementation\3. Analysis &amp; Design\Design\FC22\DRR Jaime\QUIFA-CAJÚA\Cajua\[CAJUA_CF_SEC_New_27-Feb-2024Rev3.xlsx]D-PRB'!$DT$32</t>
  </si>
  <si>
    <t>='C:\Users\jaime.benazar\Quorum Business Solutions\Ecopetrol Prometeo - Documents\Planning Space Implementation\3. Analysis &amp; Design\Design\FC22\DRR Jaime\QUIFA-CAJÚA\Cajua\[CAJUA_CF_SEC_New_27-Feb-2024Rev3.xlsx]D-PRB'!$DT$33</t>
  </si>
  <si>
    <t>='C:\Users\jaime.benazar\Quorum Business Solutions\Ecopetrol Prometeo - Documents\Planning Space Implementation\3. Analysis &amp; Design\Design\FC22\DRR Jaime\QUIFA-CAJÚA\Cajua\[CAJUA_CF_SEC_New_27-Feb-2024Rev3.xlsx]D-PRB'!$DT$34</t>
  </si>
  <si>
    <t>='C:\Users\jaime.benazar\Quorum Business Solutions\Ecopetrol Prometeo - Documents\Planning Space Implementation\3. Analysis &amp; Design\Design\FC22\DRR Jaime\QUIFA-CAJÚA\Cajua\[CAJUA_CF_SEC_New_27-Feb-2024Rev3.xlsx]D-PRB'!$DT$35</t>
  </si>
  <si>
    <t>='C:\Users\jaime.benazar\Quorum Business Solutions\Ecopetrol Prometeo - Documents\Planning Space Implementation\3. Analysis &amp; Design\Design\FC22\DRR Jaime\QUIFA-CAJÚA\Cajua\[CAJUA_CF_SEC_New_27-Feb-2024Rev3.xlsx]D-PRB'!$DT$36</t>
  </si>
  <si>
    <t>='C:\Users\jaime.benazar\Quorum Business Solutions\Ecopetrol Prometeo - Documents\Planning Space Implementation\3. Analysis &amp; Design\Design\FC22\DRR Jaime\QUIFA-CAJÚA\Cajua\[CAJUA_CF_SEC_New_27-Feb-2024Rev3.xlsx]D-PRB'!$DT$37</t>
  </si>
  <si>
    <t>='C:\Users\jaime.benazar\Quorum Business Solutions\Ecopetrol Prometeo - Documents\Planning Space Implementation\3. Analysis &amp; Design\Design\FC22\DRR Jaime\QUIFA-CAJÚA\Cajua\[CAJUA_CF_SEC_New_27-Feb-2024Rev3.xlsx]D-PRB'!$DT$38</t>
  </si>
  <si>
    <t>='C:\Users\jaime.benazar\Quorum Business Solutions\Ecopetrol Prometeo - Documents\Planning Space Implementation\3. Analysis &amp; Design\Design\FC22\DRR Jaime\QUIFA-CAJÚA\Cajua\[CAJUA_CF_SEC_New_27-Feb-2024Rev3.xlsx]D-PRB'!$DT$39</t>
  </si>
  <si>
    <t>='C:\Users\jaime.benazar\Quorum Business Solutions\Ecopetrol Prometeo - Documents\Planning Space Implementation\3. Analysis &amp; Design\Design\FC22\DRR Jaime\QUIFA-CAJÚA\Cajua\[CAJUA_CF_SEC_New_27-Feb-2024Rev3.xlsx]D-PRB'!$DT$40</t>
  </si>
  <si>
    <t>='C:\Users\jaime.benazar\Quorum Business Solutions\Ecopetrol Prometeo - Documents\Planning Space Implementation\3. Analysis &amp; Design\Design\FC22\DRR Jaime\QUIFA-CAJÚA\Cajua\[CAJUA_CF_SEC_New_27-Feb-2024Rev3.xlsx]D-PRB'!$DT$41</t>
  </si>
  <si>
    <t>='C:\Users\jaime.benazar\Quorum Business Solutions\Ecopetrol Prometeo - Documents\Planning Space Implementation\3. Analysis &amp; Design\Design\FC22\DRR Jaime\QUIFA-CAJÚA\Cajua\[CAJUA_CF_SEC_New_27-Feb-2024Rev3.xlsx]D-PRB'!$DT$42</t>
  </si>
  <si>
    <t>='C:\Users\jaime.benazar\Quorum Business Solutions\Ecopetrol Prometeo - Documents\Planning Space Implementation\3. Analysis &amp; Design\Design\FC22\DRR Jaime\QUIFA-CAJÚA\Cajua\[CAJUA_CF_SEC_New_27-Feb-2024Rev3.xlsx]D-PRB'!$DT$43</t>
  </si>
  <si>
    <t>='C:\Users\jaime.benazar\Quorum Business Solutions\Ecopetrol Prometeo - Documents\Planning Space Implementation\3. Analysis &amp; Design\Design\FC22\DRR Jaime\QUIFA-CAJÚA\Cajua\[CAJUA_CF_SEC_New_27-Feb-2024Rev3.xlsx]D-PRB'!$DT$44</t>
  </si>
  <si>
    <t>='C:\Users\jaime.benazar\Quorum Business Solutions\Ecopetrol Prometeo - Documents\Planning Space Implementation\3. Analysis &amp; Design\Design\FC22\DRR Jaime\QUIFA-CAJÚA\Cajua\[CAJUA_CF_SEC_New_27-Feb-2024Rev3.xlsx]D-PRB'!$DT$45</t>
  </si>
  <si>
    <t>='C:\Users\jaime.benazar\Quorum Business Solutions\Ecopetrol Prometeo - Documents\Planning Space Implementation\3. Analysis &amp; Design\Design\FC22\DRR Jaime\QUIFA-CAJÚA\Cajua\[CAJUA_CF_SEC_New_27-Feb-2024Rev3.xlsx]D-PRB'!$DT$46</t>
  </si>
  <si>
    <t>='C:\Users\jaime.benazar\Quorum Business Solutions\Ecopetrol Prometeo - Documents\Planning Space Implementation\3. Analysis &amp; Design\Design\FC22\DRR Jaime\QUIFA-CAJÚA\Cajua\[CAJUA_CF_SEC_New_27-Feb-2024Rev3.xlsx]D-PRB'!$DT$47</t>
  </si>
  <si>
    <t>='C:\Users\jaime.benazar\Quorum Business Solutions\Ecopetrol Prometeo - Documents\Planning Space Implementation\3. Analysis &amp; Design\Design\FC22\DRR Jaime\QUIFA-CAJÚA\Cajua\[CAJUA_CF_SEC_New_27-Feb-2024Rev3.xlsx]D-PRB'!$DT$48</t>
  </si>
  <si>
    <t>='C:\Users\jaime.benazar\Quorum Business Solutions\Ecopetrol Prometeo - Documents\Planning Space Implementation\3. Analysis &amp; Design\Design\FC22\DRR Jaime\QUIFA-CAJÚA\Cajua\[CAJUA_CF_SEC_New_27-Feb-2024Rev3.xlsx]D-PS'!$DT$12</t>
  </si>
  <si>
    <t>='C:\Users\jaime.benazar\Quorum Business Solutions\Ecopetrol Prometeo - Documents\Planning Space Implementation\3. Analysis &amp; Design\Design\FC22\DRR Jaime\QUIFA-CAJÚA\Cajua\[CAJUA_CF_SEC_New_27-Feb-2024Rev3.xlsx]D-PS'!$DT$13</t>
  </si>
  <si>
    <t>='C:\Users\jaime.benazar\Quorum Business Solutions\Ecopetrol Prometeo - Documents\Planning Space Implementation\3. Analysis &amp; Design\Design\FC22\DRR Jaime\QUIFA-CAJÚA\Cajua\[CAJUA_CF_SEC_New_27-Feb-2024Rev3.xlsx]D-PS'!$DT$14</t>
  </si>
  <si>
    <t>='C:\Users\jaime.benazar\Quorum Business Solutions\Ecopetrol Prometeo - Documents\Planning Space Implementation\3. Analysis &amp; Design\Design\FC22\DRR Jaime\QUIFA-CAJÚA\Cajua\[CAJUA_CF_SEC_New_27-Feb-2024Rev3.xlsx]D-PS'!$DT$15</t>
  </si>
  <si>
    <t>='C:\Users\jaime.benazar\Quorum Business Solutions\Ecopetrol Prometeo - Documents\Planning Space Implementation\3. Analysis &amp; Design\Design\FC22\DRR Jaime\QUIFA-CAJÚA\Cajua\[CAJUA_CF_SEC_New_27-Feb-2024Rev3.xlsx]D-PS'!$DT$16</t>
  </si>
  <si>
    <t>='C:\Users\jaime.benazar\Quorum Business Solutions\Ecopetrol Prometeo - Documents\Planning Space Implementation\3. Analysis &amp; Design\Design\FC22\DRR Jaime\QUIFA-CAJÚA\Cajua\[CAJUA_CF_SEC_New_27-Feb-2024Rev3.xlsx]D-PS'!$DT$17</t>
  </si>
  <si>
    <t>='C:\Users\jaime.benazar\Quorum Business Solutions\Ecopetrol Prometeo - Documents\Planning Space Implementation\3. Analysis &amp; Design\Design\FC22\DRR Jaime\QUIFA-CAJÚA\Cajua\[CAJUA_CF_SEC_New_27-Feb-2024Rev3.xlsx]D-PS'!$DT$18</t>
  </si>
  <si>
    <t>='C:\Users\jaime.benazar\Quorum Business Solutions\Ecopetrol Prometeo - Documents\Planning Space Implementation\3. Analysis &amp; Design\Design\FC22\DRR Jaime\QUIFA-CAJÚA\Cajua\[CAJUA_CF_SEC_New_27-Feb-2024Rev3.xlsx]D-PS'!$DT$19</t>
  </si>
  <si>
    <t>='C:\Users\jaime.benazar\Quorum Business Solutions\Ecopetrol Prometeo - Documents\Planning Space Implementation\3. Analysis &amp; Design\Design\FC22\DRR Jaime\QUIFA-CAJÚA\Cajua\[CAJUA_CF_SEC_New_27-Feb-2024Rev3.xlsx]D-PS'!$DT$20</t>
  </si>
  <si>
    <t>='C:\Users\jaime.benazar\Quorum Business Solutions\Ecopetrol Prometeo - Documents\Planning Space Implementation\3. Analysis &amp; Design\Design\FC22\DRR Jaime\QUIFA-CAJÚA\Cajua\[CAJUA_CF_SEC_New_27-Feb-2024Rev3.xlsx]D-PS'!$DT$21</t>
  </si>
  <si>
    <t>='C:\Users\jaime.benazar\Quorum Business Solutions\Ecopetrol Prometeo - Documents\Planning Space Implementation\3. Analysis &amp; Design\Design\FC22\DRR Jaime\QUIFA-CAJÚA\Cajua\[CAJUA_CF_SEC_New_27-Feb-2024Rev3.xlsx]D-PS'!$DT$22</t>
  </si>
  <si>
    <t>='C:\Users\jaime.benazar\Quorum Business Solutions\Ecopetrol Prometeo - Documents\Planning Space Implementation\3. Analysis &amp; Design\Design\FC22\DRR Jaime\QUIFA-CAJÚA\Cajua\[CAJUA_CF_SEC_New_27-Feb-2024Rev3.xlsx]D-PS'!$DT$23</t>
  </si>
  <si>
    <t>='C:\Users\jaime.benazar\Quorum Business Solutions\Ecopetrol Prometeo - Documents\Planning Space Implementation\3. Analysis &amp; Design\Design\FC22\DRR Jaime\QUIFA-CAJÚA\Cajua\[CAJUA_CF_SEC_New_27-Feb-2024Rev3.xlsx]D-PS'!$DT$24</t>
  </si>
  <si>
    <t>='C:\Users\jaime.benazar\Quorum Business Solutions\Ecopetrol Prometeo - Documents\Planning Space Implementation\3. Analysis &amp; Design\Design\FC22\DRR Jaime\QUIFA-CAJÚA\Cajua\[CAJUA_CF_SEC_New_27-Feb-2024Rev3.xlsx]D-PS'!$DT$25</t>
  </si>
  <si>
    <t>='C:\Users\jaime.benazar\Quorum Business Solutions\Ecopetrol Prometeo - Documents\Planning Space Implementation\3. Analysis &amp; Design\Design\FC22\DRR Jaime\QUIFA-CAJÚA\Cajua\[CAJUA_CF_SEC_New_27-Feb-2024Rev3.xlsx]D-PS'!$DT$26</t>
  </si>
  <si>
    <t>='C:\Users\jaime.benazar\Quorum Business Solutions\Ecopetrol Prometeo - Documents\Planning Space Implementation\3. Analysis &amp; Design\Design\FC22\DRR Jaime\QUIFA-CAJÚA\Cajua\[CAJUA_CF_SEC_New_27-Feb-2024Rev3.xlsx]D-PS'!$DT$27</t>
  </si>
  <si>
    <t>='C:\Users\jaime.benazar\Quorum Business Solutions\Ecopetrol Prometeo - Documents\Planning Space Implementation\3. Analysis &amp; Design\Design\FC22\DRR Jaime\QUIFA-CAJÚA\Cajua\[CAJUA_CF_SEC_New_27-Feb-2024Rev3.xlsx]D-PS'!$DT$28</t>
  </si>
  <si>
    <t>='C:\Users\jaime.benazar\Quorum Business Solutions\Ecopetrol Prometeo - Documents\Planning Space Implementation\3. Analysis &amp; Design\Design\FC22\DRR Jaime\QUIFA-CAJÚA\Cajua\[CAJUA_CF_SEC_New_27-Feb-2024Rev3.xlsx]D-PS'!$DT$29</t>
  </si>
  <si>
    <t>='C:\Users\jaime.benazar\Quorum Business Solutions\Ecopetrol Prometeo - Documents\Planning Space Implementation\3. Analysis &amp; Design\Design\FC22\DRR Jaime\QUIFA-CAJÚA\Cajua\[CAJUA_CF_SEC_New_27-Feb-2024Rev3.xlsx]D-PS'!$DT$30</t>
  </si>
  <si>
    <t>='C:\Users\jaime.benazar\Quorum Business Solutions\Ecopetrol Prometeo - Documents\Planning Space Implementation\3. Analysis &amp; Design\Design\FC22\DRR Jaime\QUIFA-CAJÚA\Cajua\[CAJUA_CF_SEC_New_27-Feb-2024Rev3.xlsx]D-PS'!$DT$31</t>
  </si>
  <si>
    <t>='C:\Users\jaime.benazar\Quorum Business Solutions\Ecopetrol Prometeo - Documents\Planning Space Implementation\3. Analysis &amp; Design\Design\FC22\DRR Jaime\QUIFA-CAJÚA\Cajua\[CAJUA_CF_SEC_New_27-Feb-2024Rev3.xlsx]D-PS'!$DT$32</t>
  </si>
  <si>
    <t>='C:\Users\jaime.benazar\Quorum Business Solutions\Ecopetrol Prometeo - Documents\Planning Space Implementation\3. Analysis &amp; Design\Design\FC22\DRR Jaime\QUIFA-CAJÚA\Cajua\[CAJUA_CF_SEC_New_27-Feb-2024Rev3.xlsx]D-PS'!$DT$33</t>
  </si>
  <si>
    <t>='C:\Users\jaime.benazar\Quorum Business Solutions\Ecopetrol Prometeo - Documents\Planning Space Implementation\3. Analysis &amp; Design\Design\FC22\DRR Jaime\QUIFA-CAJÚA\Cajua\[CAJUA_CF_SEC_New_27-Feb-2024Rev3.xlsx]D-PS'!$DT$34</t>
  </si>
  <si>
    <t>='C:\Users\jaime.benazar\Quorum Business Solutions\Ecopetrol Prometeo - Documents\Planning Space Implementation\3. Analysis &amp; Design\Design\FC22\DRR Jaime\QUIFA-CAJÚA\Cajua\[CAJUA_CF_SEC_New_27-Feb-2024Rev3.xlsx]D-PS'!$DT$35</t>
  </si>
  <si>
    <t>='C:\Users\jaime.benazar\Quorum Business Solutions\Ecopetrol Prometeo - Documents\Planning Space Implementation\3. Analysis &amp; Design\Design\FC22\DRR Jaime\QUIFA-CAJÚA\Cajua\[CAJUA_CF_SEC_New_27-Feb-2024Rev3.xlsx]D-PS'!$DT$36</t>
  </si>
  <si>
    <t>='C:\Users\jaime.benazar\Quorum Business Solutions\Ecopetrol Prometeo - Documents\Planning Space Implementation\3. Analysis &amp; Design\Design\FC22\DRR Jaime\QUIFA-CAJÚA\Cajua\[CAJUA_CF_SEC_New_27-Feb-2024Rev3.xlsx]D-PS'!$DT$37</t>
  </si>
  <si>
    <t>='C:\Users\jaime.benazar\Quorum Business Solutions\Ecopetrol Prometeo - Documents\Planning Space Implementation\3. Analysis &amp; Design\Design\FC22\DRR Jaime\QUIFA-CAJÚA\Cajua\[CAJUA_CF_SEC_New_27-Feb-2024Rev3.xlsx]D-PS'!$DT$38</t>
  </si>
  <si>
    <t>='C:\Users\jaime.benazar\Quorum Business Solutions\Ecopetrol Prometeo - Documents\Planning Space Implementation\3. Analysis &amp; Design\Design\FC22\DRR Jaime\QUIFA-CAJÚA\Cajua\[CAJUA_CF_SEC_New_27-Feb-2024Rev3.xlsx]D-PS'!$DT$39</t>
  </si>
  <si>
    <t>='C:\Users\jaime.benazar\Quorum Business Solutions\Ecopetrol Prometeo - Documents\Planning Space Implementation\3. Analysis &amp; Design\Design\FC22\DRR Jaime\QUIFA-CAJÚA\Cajua\[CAJUA_CF_SEC_New_27-Feb-2024Rev3.xlsx]D-PS'!$DT$40</t>
  </si>
  <si>
    <t>='C:\Users\jaime.benazar\Quorum Business Solutions\Ecopetrol Prometeo - Documents\Planning Space Implementation\3. Analysis &amp; Design\Design\FC22\DRR Jaime\QUIFA-CAJÚA\Cajua\[CAJUA_CF_SEC_New_27-Feb-2024Rev3.xlsx]D-PS'!$DT$41</t>
  </si>
  <si>
    <t>='C:\Users\jaime.benazar\Quorum Business Solutions\Ecopetrol Prometeo - Documents\Planning Space Implementation\3. Analysis &amp; Design\Design\FC22\DRR Jaime\QUIFA-CAJÚA\Cajua\[CAJUA_CF_SEC_New_27-Feb-2024Rev3.xlsx]D-PS'!$DT$42</t>
  </si>
  <si>
    <t>='C:\Users\jaime.benazar\Quorum Business Solutions\Ecopetrol Prometeo - Documents\Planning Space Implementation\3. Analysis &amp; Design\Design\FC22\DRR Jaime\QUIFA-CAJÚA\Cajua\[CAJUA_CF_SEC_New_27-Feb-2024Rev3.xlsx]D-PS'!$DT$43</t>
  </si>
  <si>
    <t>='C:\Users\jaime.benazar\Quorum Business Solutions\Ecopetrol Prometeo - Documents\Planning Space Implementation\3. Analysis &amp; Design\Design\FC22\DRR Jaime\QUIFA-CAJÚA\Cajua\[CAJUA_CF_SEC_New_27-Feb-2024Rev3.xlsx]D-PS'!$DT$44</t>
  </si>
  <si>
    <t>='C:\Users\jaime.benazar\Quorum Business Solutions\Ecopetrol Prometeo - Documents\Planning Space Implementation\3. Analysis &amp; Design\Design\FC22\DRR Jaime\QUIFA-CAJÚA\Cajua\[CAJUA_CF_SEC_New_27-Feb-2024Rev3.xlsx]D-PS'!$DT$45</t>
  </si>
  <si>
    <t>='C:\Users\jaime.benazar\Quorum Business Solutions\Ecopetrol Prometeo - Documents\Planning Space Implementation\3. Analysis &amp; Design\Design\FC22\DRR Jaime\QUIFA-CAJÚA\Cajua\[CAJUA_CF_SEC_New_27-Feb-2024Rev3.xlsx]D-PS'!$DT$46</t>
  </si>
  <si>
    <t>='C:\Users\jaime.benazar\Quorum Business Solutions\Ecopetrol Prometeo - Documents\Planning Space Implementation\3. Analysis &amp; Design\Design\FC22\DRR Jaime\QUIFA-CAJÚA\Cajua\[CAJUA_CF_SEC_New_27-Feb-2024Rev3.xlsx]D-PS'!$DT$47</t>
  </si>
  <si>
    <t>='C:\Users\jaime.benazar\Quorum Business Solutions\Ecopetrol Prometeo - Documents\Planning Space Implementation\3. Analysis &amp; Design\Design\FC22\DRR Jaime\QUIFA-CAJÚA\Cajua\[CAJUA_CF_SEC_New_27-Feb-2024Rev3.xlsx]D-PS'!$DT$48</t>
  </si>
  <si>
    <t>='C:\Users\jaime.benazar\Quorum Business Solutions\Ecopetrol Prometeo - Documents\Planning Space Implementation\3. Analysis &amp; Design\Design\FC22\DRR Jaime\QUIFA-CAJÚA\Cajua\[CAJUA_CF_SEC_New_27-Feb-2024Rev3.xlsx]D-PDP'!$BE$12</t>
  </si>
  <si>
    <t>='C:\Users\jaime.benazar\Quorum Business Solutions\Ecopetrol Prometeo - Documents\Planning Space Implementation\3. Analysis &amp; Design\Design\FC22\DRR Jaime\QUIFA-CAJÚA\Cajua\[CAJUA_CF_SEC_New_27-Feb-2024Rev3.xlsx]D-PDP'!$BE$13</t>
  </si>
  <si>
    <t>='C:\Users\jaime.benazar\Quorum Business Solutions\Ecopetrol Prometeo - Documents\Planning Space Implementation\3. Analysis &amp; Design\Design\FC22\DRR Jaime\QUIFA-CAJÚA\Cajua\[CAJUA_CF_SEC_New_27-Feb-2024Rev3.xlsx]D-PDP'!$BE$14</t>
  </si>
  <si>
    <t>='C:\Users\jaime.benazar\Quorum Business Solutions\Ecopetrol Prometeo - Documents\Planning Space Implementation\3. Analysis &amp; Design\Design\FC22\DRR Jaime\QUIFA-CAJÚA\Cajua\[CAJUA_CF_SEC_New_27-Feb-2024Rev3.xlsx]D-PDP'!$BE$15</t>
  </si>
  <si>
    <t>='C:\Users\jaime.benazar\Quorum Business Solutions\Ecopetrol Prometeo - Documents\Planning Space Implementation\3. Analysis &amp; Design\Design\FC22\DRR Jaime\QUIFA-CAJÚA\Cajua\[CAJUA_CF_SEC_New_27-Feb-2024Rev3.xlsx]D-PDP'!$BE$16</t>
  </si>
  <si>
    <t>='C:\Users\jaime.benazar\Quorum Business Solutions\Ecopetrol Prometeo - Documents\Planning Space Implementation\3. Analysis &amp; Design\Design\FC22\DRR Jaime\QUIFA-CAJÚA\Cajua\[CAJUA_CF_SEC_New_27-Feb-2024Rev3.xlsx]D-PDP'!$BE$17</t>
  </si>
  <si>
    <t>='C:\Users\jaime.benazar\Quorum Business Solutions\Ecopetrol Prometeo - Documents\Planning Space Implementation\3. Analysis &amp; Design\Design\FC22\DRR Jaime\QUIFA-CAJÚA\Cajua\[CAJUA_CF_SEC_New_27-Feb-2024Rev3.xlsx]D-PDP'!$BE$18</t>
  </si>
  <si>
    <t>='C:\Users\jaime.benazar\Quorum Business Solutions\Ecopetrol Prometeo - Documents\Planning Space Implementation\3. Analysis &amp; Design\Design\FC22\DRR Jaime\QUIFA-CAJÚA\Cajua\[CAJUA_CF_SEC_New_27-Feb-2024Rev3.xlsx]D-PDP'!$BE$19</t>
  </si>
  <si>
    <t>='C:\Users\jaime.benazar\Quorum Business Solutions\Ecopetrol Prometeo - Documents\Planning Space Implementation\3. Analysis &amp; Design\Design\FC22\DRR Jaime\QUIFA-CAJÚA\Cajua\[CAJUA_CF_SEC_New_27-Feb-2024Rev3.xlsx]D-PDP'!$BE$20</t>
  </si>
  <si>
    <t>='C:\Users\jaime.benazar\Quorum Business Solutions\Ecopetrol Prometeo - Documents\Planning Space Implementation\3. Analysis &amp; Design\Design\FC22\DRR Jaime\QUIFA-CAJÚA\Cajua\[CAJUA_CF_SEC_New_27-Feb-2024Rev3.xlsx]D-PDP'!$BE$21</t>
  </si>
  <si>
    <t>='C:\Users\jaime.benazar\Quorum Business Solutions\Ecopetrol Prometeo - Documents\Planning Space Implementation\3. Analysis &amp; Design\Design\FC22\DRR Jaime\QUIFA-CAJÚA\Cajua\[CAJUA_CF_SEC_New_27-Feb-2024Rev3.xlsx]D-PDP'!$BE$22</t>
  </si>
  <si>
    <t>='C:\Users\jaime.benazar\Quorum Business Solutions\Ecopetrol Prometeo - Documents\Planning Space Implementation\3. Analysis &amp; Design\Design\FC22\DRR Jaime\QUIFA-CAJÚA\Cajua\[CAJUA_CF_SEC_New_27-Feb-2024Rev3.xlsx]D-PDP'!$BE$23</t>
  </si>
  <si>
    <t>='C:\Users\jaime.benazar\Quorum Business Solutions\Ecopetrol Prometeo - Documents\Planning Space Implementation\3. Analysis &amp; Design\Design\FC22\DRR Jaime\QUIFA-CAJÚA\Cajua\[CAJUA_CF_SEC_New_27-Feb-2024Rev3.xlsx]D-PDP'!$BE$24</t>
  </si>
  <si>
    <t>='C:\Users\jaime.benazar\Quorum Business Solutions\Ecopetrol Prometeo - Documents\Planning Space Implementation\3. Analysis &amp; Design\Design\FC22\DRR Jaime\QUIFA-CAJÚA\Cajua\[CAJUA_CF_SEC_New_27-Feb-2024Rev3.xlsx]D-PDP'!$BE$25</t>
  </si>
  <si>
    <t>='C:\Users\jaime.benazar\Quorum Business Solutions\Ecopetrol Prometeo - Documents\Planning Space Implementation\3. Analysis &amp; Design\Design\FC22\DRR Jaime\QUIFA-CAJÚA\Cajua\[CAJUA_CF_SEC_New_27-Feb-2024Rev3.xlsx]D-PDP'!$BE$26</t>
  </si>
  <si>
    <t>='C:\Users\jaime.benazar\Quorum Business Solutions\Ecopetrol Prometeo - Documents\Planning Space Implementation\3. Analysis &amp; Design\Design\FC22\DRR Jaime\QUIFA-CAJÚA\Cajua\[CAJUA_CF_SEC_New_27-Feb-2024Rev3.xlsx]D-PDP'!$BE$27</t>
  </si>
  <si>
    <t>='C:\Users\jaime.benazar\Quorum Business Solutions\Ecopetrol Prometeo - Documents\Planning Space Implementation\3. Analysis &amp; Design\Design\FC22\DRR Jaime\QUIFA-CAJÚA\Cajua\[CAJUA_CF_SEC_New_27-Feb-2024Rev3.xlsx]D-PDP'!$BE$28</t>
  </si>
  <si>
    <t>='C:\Users\jaime.benazar\Quorum Business Solutions\Ecopetrol Prometeo - Documents\Planning Space Implementation\3. Analysis &amp; Design\Design\FC22\DRR Jaime\QUIFA-CAJÚA\Cajua\[CAJUA_CF_SEC_New_27-Feb-2024Rev3.xlsx]D-PDP'!$BE$29</t>
  </si>
  <si>
    <t>='C:\Users\jaime.benazar\Quorum Business Solutions\Ecopetrol Prometeo - Documents\Planning Space Implementation\3. Analysis &amp; Design\Design\FC22\DRR Jaime\QUIFA-CAJÚA\Cajua\[CAJUA_CF_SEC_New_27-Feb-2024Rev3.xlsx]D-PDP'!$BE$30</t>
  </si>
  <si>
    <t>='C:\Users\jaime.benazar\Quorum Business Solutions\Ecopetrol Prometeo - Documents\Planning Space Implementation\3. Analysis &amp; Design\Design\FC22\DRR Jaime\QUIFA-CAJÚA\Cajua\[CAJUA_CF_SEC_New_27-Feb-2024Rev3.xlsx]D-PDP'!$BE$31</t>
  </si>
  <si>
    <t>='C:\Users\jaime.benazar\Quorum Business Solutions\Ecopetrol Prometeo - Documents\Planning Space Implementation\3. Analysis &amp; Design\Design\FC22\DRR Jaime\QUIFA-CAJÚA\Cajua\[CAJUA_CF_SEC_New_27-Feb-2024Rev3.xlsx]D-PDP'!$BE$32</t>
  </si>
  <si>
    <t>='C:\Users\jaime.benazar\Quorum Business Solutions\Ecopetrol Prometeo - Documents\Planning Space Implementation\3. Analysis &amp; Design\Design\FC22\DRR Jaime\QUIFA-CAJÚA\Cajua\[CAJUA_CF_SEC_New_27-Feb-2024Rev3.xlsx]D-PDP'!$BE$33</t>
  </si>
  <si>
    <t>='C:\Users\jaime.benazar\Quorum Business Solutions\Ecopetrol Prometeo - Documents\Planning Space Implementation\3. Analysis &amp; Design\Design\FC22\DRR Jaime\QUIFA-CAJÚA\Cajua\[CAJUA_CF_SEC_New_27-Feb-2024Rev3.xlsx]D-PDP'!$BE$34</t>
  </si>
  <si>
    <t>='C:\Users\jaime.benazar\Quorum Business Solutions\Ecopetrol Prometeo - Documents\Planning Space Implementation\3. Analysis &amp; Design\Design\FC22\DRR Jaime\QUIFA-CAJÚA\Cajua\[CAJUA_CF_SEC_New_27-Feb-2024Rev3.xlsx]D-PDP'!$BE$35</t>
  </si>
  <si>
    <t>='C:\Users\jaime.benazar\Quorum Business Solutions\Ecopetrol Prometeo - Documents\Planning Space Implementation\3. Analysis &amp; Design\Design\FC22\DRR Jaime\QUIFA-CAJÚA\Cajua\[CAJUA_CF_SEC_New_27-Feb-2024Rev3.xlsx]D-PDP'!$BE$36</t>
  </si>
  <si>
    <t>='C:\Users\jaime.benazar\Quorum Business Solutions\Ecopetrol Prometeo - Documents\Planning Space Implementation\3. Analysis &amp; Design\Design\FC22\DRR Jaime\QUIFA-CAJÚA\Cajua\[CAJUA_CF_SEC_New_27-Feb-2024Rev3.xlsx]D-PDP'!$BE$37</t>
  </si>
  <si>
    <t>='C:\Users\jaime.benazar\Quorum Business Solutions\Ecopetrol Prometeo - Documents\Planning Space Implementation\3. Analysis &amp; Design\Design\FC22\DRR Jaime\QUIFA-CAJÚA\Cajua\[CAJUA_CF_SEC_New_27-Feb-2024Rev3.xlsx]D-PDP'!$BE$38</t>
  </si>
  <si>
    <t>='C:\Users\jaime.benazar\Quorum Business Solutions\Ecopetrol Prometeo - Documents\Planning Space Implementation\3. Analysis &amp; Design\Design\FC22\DRR Jaime\QUIFA-CAJÚA\Cajua\[CAJUA_CF_SEC_New_27-Feb-2024Rev3.xlsx]D-PDP'!$BE$39</t>
  </si>
  <si>
    <t>='C:\Users\jaime.benazar\Quorum Business Solutions\Ecopetrol Prometeo - Documents\Planning Space Implementation\3. Analysis &amp; Design\Design\FC22\DRR Jaime\QUIFA-CAJÚA\Cajua\[CAJUA_CF_SEC_New_27-Feb-2024Rev3.xlsx]D-PDP'!$BE$40</t>
  </si>
  <si>
    <t>='C:\Users\jaime.benazar\Quorum Business Solutions\Ecopetrol Prometeo - Documents\Planning Space Implementation\3. Analysis &amp; Design\Design\FC22\DRR Jaime\QUIFA-CAJÚA\Cajua\[CAJUA_CF_SEC_New_27-Feb-2024Rev3.xlsx]D-PDP'!$BE$41</t>
  </si>
  <si>
    <t>='C:\Users\jaime.benazar\Quorum Business Solutions\Ecopetrol Prometeo - Documents\Planning Space Implementation\3. Analysis &amp; Design\Design\FC22\DRR Jaime\QUIFA-CAJÚA\Cajua\[CAJUA_CF_SEC_New_27-Feb-2024Rev3.xlsx]D-PDP'!$BE$42</t>
  </si>
  <si>
    <t>='C:\Users\jaime.benazar\Quorum Business Solutions\Ecopetrol Prometeo - Documents\Planning Space Implementation\3. Analysis &amp; Design\Design\FC22\DRR Jaime\QUIFA-CAJÚA\Cajua\[CAJUA_CF_SEC_New_27-Feb-2024Rev3.xlsx]D-PDP'!$BE$43</t>
  </si>
  <si>
    <t>='C:\Users\jaime.benazar\Quorum Business Solutions\Ecopetrol Prometeo - Documents\Planning Space Implementation\3. Analysis &amp; Design\Design\FC22\DRR Jaime\QUIFA-CAJÚA\Cajua\[CAJUA_CF_SEC_New_27-Feb-2024Rev3.xlsx]D-PDP'!$BE$44</t>
  </si>
  <si>
    <t>='C:\Users\jaime.benazar\Quorum Business Solutions\Ecopetrol Prometeo - Documents\Planning Space Implementation\3. Analysis &amp; Design\Design\FC22\DRR Jaime\QUIFA-CAJÚA\Cajua\[CAJUA_CF_SEC_New_27-Feb-2024Rev3.xlsx]D-PDP'!$BE$45</t>
  </si>
  <si>
    <t>='C:\Users\jaime.benazar\Quorum Business Solutions\Ecopetrol Prometeo - Documents\Planning Space Implementation\3. Analysis &amp; Design\Design\FC22\DRR Jaime\QUIFA-CAJÚA\Cajua\[CAJUA_CF_SEC_New_27-Feb-2024Rev3.xlsx]D-PDP'!$BE$46</t>
  </si>
  <si>
    <t>='C:\Users\jaime.benazar\Quorum Business Solutions\Ecopetrol Prometeo - Documents\Planning Space Implementation\3. Analysis &amp; Design\Design\FC22\DRR Jaime\QUIFA-CAJÚA\Cajua\[CAJUA_CF_SEC_New_27-Feb-2024Rev3.xlsx]D-PDP'!$BE$47</t>
  </si>
  <si>
    <t>='C:\Users\jaime.benazar\Quorum Business Solutions\Ecopetrol Prometeo - Documents\Planning Space Implementation\3. Analysis &amp; Design\Design\FC22\DRR Jaime\QUIFA-CAJÚA\Cajua\[CAJUA_CF_SEC_New_27-Feb-2024Rev3.xlsx]D-PDP'!$BE$48</t>
  </si>
  <si>
    <t>='C:\Users\jaime.benazar\Quorum Business Solutions\Ecopetrol Prometeo - Documents\Planning Space Implementation\3. Analysis &amp; Design\Design\FC22\DRR Jaime\QUIFA-CAJÚA\Cajua\[CAJUA_CF_SEC_New_27-Feb-2024Rev3.xlsx]D-PNP'!$BE$12</t>
  </si>
  <si>
    <t>='C:\Users\jaime.benazar\Quorum Business Solutions\Ecopetrol Prometeo - Documents\Planning Space Implementation\3. Analysis &amp; Design\Design\FC22\DRR Jaime\QUIFA-CAJÚA\Cajua\[CAJUA_CF_SEC_New_27-Feb-2024Rev3.xlsx]D-PNP'!$BE$13</t>
  </si>
  <si>
    <t>='C:\Users\jaime.benazar\Quorum Business Solutions\Ecopetrol Prometeo - Documents\Planning Space Implementation\3. Analysis &amp; Design\Design\FC22\DRR Jaime\QUIFA-CAJÚA\Cajua\[CAJUA_CF_SEC_New_27-Feb-2024Rev3.xlsx]D-PNP'!$BE$14</t>
  </si>
  <si>
    <t>='C:\Users\jaime.benazar\Quorum Business Solutions\Ecopetrol Prometeo - Documents\Planning Space Implementation\3. Analysis &amp; Design\Design\FC22\DRR Jaime\QUIFA-CAJÚA\Cajua\[CAJUA_CF_SEC_New_27-Feb-2024Rev3.xlsx]D-PNP'!$BE$15</t>
  </si>
  <si>
    <t>='C:\Users\jaime.benazar\Quorum Business Solutions\Ecopetrol Prometeo - Documents\Planning Space Implementation\3. Analysis &amp; Design\Design\FC22\DRR Jaime\QUIFA-CAJÚA\Cajua\[CAJUA_CF_SEC_New_27-Feb-2024Rev3.xlsx]D-PNP'!$BE$16</t>
  </si>
  <si>
    <t>='C:\Users\jaime.benazar\Quorum Business Solutions\Ecopetrol Prometeo - Documents\Planning Space Implementation\3. Analysis &amp; Design\Design\FC22\DRR Jaime\QUIFA-CAJÚA\Cajua\[CAJUA_CF_SEC_New_27-Feb-2024Rev3.xlsx]D-PNP'!$BE$17</t>
  </si>
  <si>
    <t>='C:\Users\jaime.benazar\Quorum Business Solutions\Ecopetrol Prometeo - Documents\Planning Space Implementation\3. Analysis &amp; Design\Design\FC22\DRR Jaime\QUIFA-CAJÚA\Cajua\[CAJUA_CF_SEC_New_27-Feb-2024Rev3.xlsx]D-PNP'!$BE$18</t>
  </si>
  <si>
    <t>='C:\Users\jaime.benazar\Quorum Business Solutions\Ecopetrol Prometeo - Documents\Planning Space Implementation\3. Analysis &amp; Design\Design\FC22\DRR Jaime\QUIFA-CAJÚA\Cajua\[CAJUA_CF_SEC_New_27-Feb-2024Rev3.xlsx]D-PNP'!$BE$19</t>
  </si>
  <si>
    <t>='C:\Users\jaime.benazar\Quorum Business Solutions\Ecopetrol Prometeo - Documents\Planning Space Implementation\3. Analysis &amp; Design\Design\FC22\DRR Jaime\QUIFA-CAJÚA\Cajua\[CAJUA_CF_SEC_New_27-Feb-2024Rev3.xlsx]D-PNP'!$BE$20</t>
  </si>
  <si>
    <t>='C:\Users\jaime.benazar\Quorum Business Solutions\Ecopetrol Prometeo - Documents\Planning Space Implementation\3. Analysis &amp; Design\Design\FC22\DRR Jaime\QUIFA-CAJÚA\Cajua\[CAJUA_CF_SEC_New_27-Feb-2024Rev3.xlsx]D-PNP'!$BE$21</t>
  </si>
  <si>
    <t>='C:\Users\jaime.benazar\Quorum Business Solutions\Ecopetrol Prometeo - Documents\Planning Space Implementation\3. Analysis &amp; Design\Design\FC22\DRR Jaime\QUIFA-CAJÚA\Cajua\[CAJUA_CF_SEC_New_27-Feb-2024Rev3.xlsx]D-PNP'!$BE$22</t>
  </si>
  <si>
    <t>='C:\Users\jaime.benazar\Quorum Business Solutions\Ecopetrol Prometeo - Documents\Planning Space Implementation\3. Analysis &amp; Design\Design\FC22\DRR Jaime\QUIFA-CAJÚA\Cajua\[CAJUA_CF_SEC_New_27-Feb-2024Rev3.xlsx]D-PNP'!$BE$23</t>
  </si>
  <si>
    <t>='C:\Users\jaime.benazar\Quorum Business Solutions\Ecopetrol Prometeo - Documents\Planning Space Implementation\3. Analysis &amp; Design\Design\FC22\DRR Jaime\QUIFA-CAJÚA\Cajua\[CAJUA_CF_SEC_New_27-Feb-2024Rev3.xlsx]D-PNP'!$BE$24</t>
  </si>
  <si>
    <t>='C:\Users\jaime.benazar\Quorum Business Solutions\Ecopetrol Prometeo - Documents\Planning Space Implementation\3. Analysis &amp; Design\Design\FC22\DRR Jaime\QUIFA-CAJÚA\Cajua\[CAJUA_CF_SEC_New_27-Feb-2024Rev3.xlsx]D-PNP'!$BE$25</t>
  </si>
  <si>
    <t>='C:\Users\jaime.benazar\Quorum Business Solutions\Ecopetrol Prometeo - Documents\Planning Space Implementation\3. Analysis &amp; Design\Design\FC22\DRR Jaime\QUIFA-CAJÚA\Cajua\[CAJUA_CF_SEC_New_27-Feb-2024Rev3.xlsx]D-PNP'!$BE$26</t>
  </si>
  <si>
    <t>='C:\Users\jaime.benazar\Quorum Business Solutions\Ecopetrol Prometeo - Documents\Planning Space Implementation\3. Analysis &amp; Design\Design\FC22\DRR Jaime\QUIFA-CAJÚA\Cajua\[CAJUA_CF_SEC_New_27-Feb-2024Rev3.xlsx]D-PNP'!$BE$27</t>
  </si>
  <si>
    <t>='C:\Users\jaime.benazar\Quorum Business Solutions\Ecopetrol Prometeo - Documents\Planning Space Implementation\3. Analysis &amp; Design\Design\FC22\DRR Jaime\QUIFA-CAJÚA\Cajua\[CAJUA_CF_SEC_New_27-Feb-2024Rev3.xlsx]D-PNP'!$BE$28</t>
  </si>
  <si>
    <t>='C:\Users\jaime.benazar\Quorum Business Solutions\Ecopetrol Prometeo - Documents\Planning Space Implementation\3. Analysis &amp; Design\Design\FC22\DRR Jaime\QUIFA-CAJÚA\Cajua\[CAJUA_CF_SEC_New_27-Feb-2024Rev3.xlsx]D-PNP'!$BE$29</t>
  </si>
  <si>
    <t>='C:\Users\jaime.benazar\Quorum Business Solutions\Ecopetrol Prometeo - Documents\Planning Space Implementation\3. Analysis &amp; Design\Design\FC22\DRR Jaime\QUIFA-CAJÚA\Cajua\[CAJUA_CF_SEC_New_27-Feb-2024Rev3.xlsx]D-PNP'!$BE$30</t>
  </si>
  <si>
    <t>='C:\Users\jaime.benazar\Quorum Business Solutions\Ecopetrol Prometeo - Documents\Planning Space Implementation\3. Analysis &amp; Design\Design\FC22\DRR Jaime\QUIFA-CAJÚA\Cajua\[CAJUA_CF_SEC_New_27-Feb-2024Rev3.xlsx]D-PNP'!$BE$31</t>
  </si>
  <si>
    <t>='C:\Users\jaime.benazar\Quorum Business Solutions\Ecopetrol Prometeo - Documents\Planning Space Implementation\3. Analysis &amp; Design\Design\FC22\DRR Jaime\QUIFA-CAJÚA\Cajua\[CAJUA_CF_SEC_New_27-Feb-2024Rev3.xlsx]D-PNP'!$BE$32</t>
  </si>
  <si>
    <t>='C:\Users\jaime.benazar\Quorum Business Solutions\Ecopetrol Prometeo - Documents\Planning Space Implementation\3. Analysis &amp; Design\Design\FC22\DRR Jaime\QUIFA-CAJÚA\Cajua\[CAJUA_CF_SEC_New_27-Feb-2024Rev3.xlsx]D-PNP'!$BE$33</t>
  </si>
  <si>
    <t>='C:\Users\jaime.benazar\Quorum Business Solutions\Ecopetrol Prometeo - Documents\Planning Space Implementation\3. Analysis &amp; Design\Design\FC22\DRR Jaime\QUIFA-CAJÚA\Cajua\[CAJUA_CF_SEC_New_27-Feb-2024Rev3.xlsx]D-PNP'!$BE$34</t>
  </si>
  <si>
    <t>='C:\Users\jaime.benazar\Quorum Business Solutions\Ecopetrol Prometeo - Documents\Planning Space Implementation\3. Analysis &amp; Design\Design\FC22\DRR Jaime\QUIFA-CAJÚA\Cajua\[CAJUA_CF_SEC_New_27-Feb-2024Rev3.xlsx]D-PNP'!$BE$35</t>
  </si>
  <si>
    <t>='C:\Users\jaime.benazar\Quorum Business Solutions\Ecopetrol Prometeo - Documents\Planning Space Implementation\3. Analysis &amp; Design\Design\FC22\DRR Jaime\QUIFA-CAJÚA\Cajua\[CAJUA_CF_SEC_New_27-Feb-2024Rev3.xlsx]D-PNP'!$BE$36</t>
  </si>
  <si>
    <t>='C:\Users\jaime.benazar\Quorum Business Solutions\Ecopetrol Prometeo - Documents\Planning Space Implementation\3. Analysis &amp; Design\Design\FC22\DRR Jaime\QUIFA-CAJÚA\Cajua\[CAJUA_CF_SEC_New_27-Feb-2024Rev3.xlsx]D-PNP'!$BE$37</t>
  </si>
  <si>
    <t>='C:\Users\jaime.benazar\Quorum Business Solutions\Ecopetrol Prometeo - Documents\Planning Space Implementation\3. Analysis &amp; Design\Design\FC22\DRR Jaime\QUIFA-CAJÚA\Cajua\[CAJUA_CF_SEC_New_27-Feb-2024Rev3.xlsx]D-PNP'!$BE$38</t>
  </si>
  <si>
    <t>='C:\Users\jaime.benazar\Quorum Business Solutions\Ecopetrol Prometeo - Documents\Planning Space Implementation\3. Analysis &amp; Design\Design\FC22\DRR Jaime\QUIFA-CAJÚA\Cajua\[CAJUA_CF_SEC_New_27-Feb-2024Rev3.xlsx]D-PNP'!$BE$39</t>
  </si>
  <si>
    <t>='C:\Users\jaime.benazar\Quorum Business Solutions\Ecopetrol Prometeo - Documents\Planning Space Implementation\3. Analysis &amp; Design\Design\FC22\DRR Jaime\QUIFA-CAJÚA\Cajua\[CAJUA_CF_SEC_New_27-Feb-2024Rev3.xlsx]D-PNP'!$BE$40</t>
  </si>
  <si>
    <t>='C:\Users\jaime.benazar\Quorum Business Solutions\Ecopetrol Prometeo - Documents\Planning Space Implementation\3. Analysis &amp; Design\Design\FC22\DRR Jaime\QUIFA-CAJÚA\Cajua\[CAJUA_CF_SEC_New_27-Feb-2024Rev3.xlsx]D-PNP'!$BE$41</t>
  </si>
  <si>
    <t>='C:\Users\jaime.benazar\Quorum Business Solutions\Ecopetrol Prometeo - Documents\Planning Space Implementation\3. Analysis &amp; Design\Design\FC22\DRR Jaime\QUIFA-CAJÚA\Cajua\[CAJUA_CF_SEC_New_27-Feb-2024Rev3.xlsx]D-PNP'!$BE$42</t>
  </si>
  <si>
    <t>='C:\Users\jaime.benazar\Quorum Business Solutions\Ecopetrol Prometeo - Documents\Planning Space Implementation\3. Analysis &amp; Design\Design\FC22\DRR Jaime\QUIFA-CAJÚA\Cajua\[CAJUA_CF_SEC_New_27-Feb-2024Rev3.xlsx]D-PNP'!$BE$43</t>
  </si>
  <si>
    <t>='C:\Users\jaime.benazar\Quorum Business Solutions\Ecopetrol Prometeo - Documents\Planning Space Implementation\3. Analysis &amp; Design\Design\FC22\DRR Jaime\QUIFA-CAJÚA\Cajua\[CAJUA_CF_SEC_New_27-Feb-2024Rev3.xlsx]D-PNP'!$BE$44</t>
  </si>
  <si>
    <t>='C:\Users\jaime.benazar\Quorum Business Solutions\Ecopetrol Prometeo - Documents\Planning Space Implementation\3. Analysis &amp; Design\Design\FC22\DRR Jaime\QUIFA-CAJÚA\Cajua\[CAJUA_CF_SEC_New_27-Feb-2024Rev3.xlsx]D-PNP'!$BE$45</t>
  </si>
  <si>
    <t>='C:\Users\jaime.benazar\Quorum Business Solutions\Ecopetrol Prometeo - Documents\Planning Space Implementation\3. Analysis &amp; Design\Design\FC22\DRR Jaime\QUIFA-CAJÚA\Cajua\[CAJUA_CF_SEC_New_27-Feb-2024Rev3.xlsx]D-PNP'!$BE$46</t>
  </si>
  <si>
    <t>='C:\Users\jaime.benazar\Quorum Business Solutions\Ecopetrol Prometeo - Documents\Planning Space Implementation\3. Analysis &amp; Design\Design\FC22\DRR Jaime\QUIFA-CAJÚA\Cajua\[CAJUA_CF_SEC_New_27-Feb-2024Rev3.xlsx]D-PNP'!$BE$47</t>
  </si>
  <si>
    <t>='C:\Users\jaime.benazar\Quorum Business Solutions\Ecopetrol Prometeo - Documents\Planning Space Implementation\3. Analysis &amp; Design\Design\FC22\DRR Jaime\QUIFA-CAJÚA\Cajua\[CAJUA_CF_SEC_New_27-Feb-2024Rev3.xlsx]D-PNP'!$BE$48</t>
  </si>
  <si>
    <t>='C:\Users\jaime.benazar\Quorum Business Solutions\Ecopetrol Prometeo - Documents\Planning Space Implementation\3. Analysis &amp; Design\Design\FC22\DRR Jaime\QUIFA-CAJÚA\Cajua\[CAJUA_CF_SEC_New_27-Feb-2024Rev3.xlsx]D-PND'!$BE$12</t>
  </si>
  <si>
    <t>='C:\Users\jaime.benazar\Quorum Business Solutions\Ecopetrol Prometeo - Documents\Planning Space Implementation\3. Analysis &amp; Design\Design\FC22\DRR Jaime\QUIFA-CAJÚA\Cajua\[CAJUA_CF_SEC_New_27-Feb-2024Rev3.xlsx]D-PND'!$BE$13</t>
  </si>
  <si>
    <t>='C:\Users\jaime.benazar\Quorum Business Solutions\Ecopetrol Prometeo - Documents\Planning Space Implementation\3. Analysis &amp; Design\Design\FC22\DRR Jaime\QUIFA-CAJÚA\Cajua\[CAJUA_CF_SEC_New_27-Feb-2024Rev3.xlsx]D-PND'!$BE$14</t>
  </si>
  <si>
    <t>='C:\Users\jaime.benazar\Quorum Business Solutions\Ecopetrol Prometeo - Documents\Planning Space Implementation\3. Analysis &amp; Design\Design\FC22\DRR Jaime\QUIFA-CAJÚA\Cajua\[CAJUA_CF_SEC_New_27-Feb-2024Rev3.xlsx]D-PND'!$BE$15</t>
  </si>
  <si>
    <t>='C:\Users\jaime.benazar\Quorum Business Solutions\Ecopetrol Prometeo - Documents\Planning Space Implementation\3. Analysis &amp; Design\Design\FC22\DRR Jaime\QUIFA-CAJÚA\Cajua\[CAJUA_CF_SEC_New_27-Feb-2024Rev3.xlsx]D-PND'!$BE$16</t>
  </si>
  <si>
    <t>='C:\Users\jaime.benazar\Quorum Business Solutions\Ecopetrol Prometeo - Documents\Planning Space Implementation\3. Analysis &amp; Design\Design\FC22\DRR Jaime\QUIFA-CAJÚA\Cajua\[CAJUA_CF_SEC_New_27-Feb-2024Rev3.xlsx]D-PND'!$BE$17</t>
  </si>
  <si>
    <t>='C:\Users\jaime.benazar\Quorum Business Solutions\Ecopetrol Prometeo - Documents\Planning Space Implementation\3. Analysis &amp; Design\Design\FC22\DRR Jaime\QUIFA-CAJÚA\Cajua\[CAJUA_CF_SEC_New_27-Feb-2024Rev3.xlsx]D-PND'!$BE$18</t>
  </si>
  <si>
    <t>='C:\Users\jaime.benazar\Quorum Business Solutions\Ecopetrol Prometeo - Documents\Planning Space Implementation\3. Analysis &amp; Design\Design\FC22\DRR Jaime\QUIFA-CAJÚA\Cajua\[CAJUA_CF_SEC_New_27-Feb-2024Rev3.xlsx]D-PND'!$BE$19</t>
  </si>
  <si>
    <t>='C:\Users\jaime.benazar\Quorum Business Solutions\Ecopetrol Prometeo - Documents\Planning Space Implementation\3. Analysis &amp; Design\Design\FC22\DRR Jaime\QUIFA-CAJÚA\Cajua\[CAJUA_CF_SEC_New_27-Feb-2024Rev3.xlsx]D-PND'!$BE$20</t>
  </si>
  <si>
    <t>='C:\Users\jaime.benazar\Quorum Business Solutions\Ecopetrol Prometeo - Documents\Planning Space Implementation\3. Analysis &amp; Design\Design\FC22\DRR Jaime\QUIFA-CAJÚA\Cajua\[CAJUA_CF_SEC_New_27-Feb-2024Rev3.xlsx]D-PND'!$BE$21</t>
  </si>
  <si>
    <t>='C:\Users\jaime.benazar\Quorum Business Solutions\Ecopetrol Prometeo - Documents\Planning Space Implementation\3. Analysis &amp; Design\Design\FC22\DRR Jaime\QUIFA-CAJÚA\Cajua\[CAJUA_CF_SEC_New_27-Feb-2024Rev3.xlsx]D-PND'!$BE$22</t>
  </si>
  <si>
    <t>='C:\Users\jaime.benazar\Quorum Business Solutions\Ecopetrol Prometeo - Documents\Planning Space Implementation\3. Analysis &amp; Design\Design\FC22\DRR Jaime\QUIFA-CAJÚA\Cajua\[CAJUA_CF_SEC_New_27-Feb-2024Rev3.xlsx]D-PND'!$BE$23</t>
  </si>
  <si>
    <t>='C:\Users\jaime.benazar\Quorum Business Solutions\Ecopetrol Prometeo - Documents\Planning Space Implementation\3. Analysis &amp; Design\Design\FC22\DRR Jaime\QUIFA-CAJÚA\Cajua\[CAJUA_CF_SEC_New_27-Feb-2024Rev3.xlsx]D-PND'!$BE$24</t>
  </si>
  <si>
    <t>='C:\Users\jaime.benazar\Quorum Business Solutions\Ecopetrol Prometeo - Documents\Planning Space Implementation\3. Analysis &amp; Design\Design\FC22\DRR Jaime\QUIFA-CAJÚA\Cajua\[CAJUA_CF_SEC_New_27-Feb-2024Rev3.xlsx]D-PND'!$BE$25</t>
  </si>
  <si>
    <t>='C:\Users\jaime.benazar\Quorum Business Solutions\Ecopetrol Prometeo - Documents\Planning Space Implementation\3. Analysis &amp; Design\Design\FC22\DRR Jaime\QUIFA-CAJÚA\Cajua\[CAJUA_CF_SEC_New_27-Feb-2024Rev3.xlsx]D-PND'!$BE$26</t>
  </si>
  <si>
    <t>='C:\Users\jaime.benazar\Quorum Business Solutions\Ecopetrol Prometeo - Documents\Planning Space Implementation\3. Analysis &amp; Design\Design\FC22\DRR Jaime\QUIFA-CAJÚA\Cajua\[CAJUA_CF_SEC_New_27-Feb-2024Rev3.xlsx]D-PND'!$BE$27</t>
  </si>
  <si>
    <t>='C:\Users\jaime.benazar\Quorum Business Solutions\Ecopetrol Prometeo - Documents\Planning Space Implementation\3. Analysis &amp; Design\Design\FC22\DRR Jaime\QUIFA-CAJÚA\Cajua\[CAJUA_CF_SEC_New_27-Feb-2024Rev3.xlsx]D-PND'!$BE$28</t>
  </si>
  <si>
    <t>='C:\Users\jaime.benazar\Quorum Business Solutions\Ecopetrol Prometeo - Documents\Planning Space Implementation\3. Analysis &amp; Design\Design\FC22\DRR Jaime\QUIFA-CAJÚA\Cajua\[CAJUA_CF_SEC_New_27-Feb-2024Rev3.xlsx]D-PND'!$BE$29</t>
  </si>
  <si>
    <t>='C:\Users\jaime.benazar\Quorum Business Solutions\Ecopetrol Prometeo - Documents\Planning Space Implementation\3. Analysis &amp; Design\Design\FC22\DRR Jaime\QUIFA-CAJÚA\Cajua\[CAJUA_CF_SEC_New_27-Feb-2024Rev3.xlsx]D-PND'!$BE$30</t>
  </si>
  <si>
    <t>='C:\Users\jaime.benazar\Quorum Business Solutions\Ecopetrol Prometeo - Documents\Planning Space Implementation\3. Analysis &amp; Design\Design\FC22\DRR Jaime\QUIFA-CAJÚA\Cajua\[CAJUA_CF_SEC_New_27-Feb-2024Rev3.xlsx]D-PND'!$BE$31</t>
  </si>
  <si>
    <t>='C:\Users\jaime.benazar\Quorum Business Solutions\Ecopetrol Prometeo - Documents\Planning Space Implementation\3. Analysis &amp; Design\Design\FC22\DRR Jaime\QUIFA-CAJÚA\Cajua\[CAJUA_CF_SEC_New_27-Feb-2024Rev3.xlsx]D-PND'!$BE$32</t>
  </si>
  <si>
    <t>='C:\Users\jaime.benazar\Quorum Business Solutions\Ecopetrol Prometeo - Documents\Planning Space Implementation\3. Analysis &amp; Design\Design\FC22\DRR Jaime\QUIFA-CAJÚA\Cajua\[CAJUA_CF_SEC_New_27-Feb-2024Rev3.xlsx]D-PND'!$BE$33</t>
  </si>
  <si>
    <t>='C:\Users\jaime.benazar\Quorum Business Solutions\Ecopetrol Prometeo - Documents\Planning Space Implementation\3. Analysis &amp; Design\Design\FC22\DRR Jaime\QUIFA-CAJÚA\Cajua\[CAJUA_CF_SEC_New_27-Feb-2024Rev3.xlsx]D-PND'!$BE$34</t>
  </si>
  <si>
    <t>='C:\Users\jaime.benazar\Quorum Business Solutions\Ecopetrol Prometeo - Documents\Planning Space Implementation\3. Analysis &amp; Design\Design\FC22\DRR Jaime\QUIFA-CAJÚA\Cajua\[CAJUA_CF_SEC_New_27-Feb-2024Rev3.xlsx]D-PND'!$BE$35</t>
  </si>
  <si>
    <t>='C:\Users\jaime.benazar\Quorum Business Solutions\Ecopetrol Prometeo - Documents\Planning Space Implementation\3. Analysis &amp; Design\Design\FC22\DRR Jaime\QUIFA-CAJÚA\Cajua\[CAJUA_CF_SEC_New_27-Feb-2024Rev3.xlsx]D-PND'!$BE$36</t>
  </si>
  <si>
    <t>='C:\Users\jaime.benazar\Quorum Business Solutions\Ecopetrol Prometeo - Documents\Planning Space Implementation\3. Analysis &amp; Design\Design\FC22\DRR Jaime\QUIFA-CAJÚA\Cajua\[CAJUA_CF_SEC_New_27-Feb-2024Rev3.xlsx]D-PND'!$BE$37</t>
  </si>
  <si>
    <t>='C:\Users\jaime.benazar\Quorum Business Solutions\Ecopetrol Prometeo - Documents\Planning Space Implementation\3. Analysis &amp; Design\Design\FC22\DRR Jaime\QUIFA-CAJÚA\Cajua\[CAJUA_CF_SEC_New_27-Feb-2024Rev3.xlsx]D-PND'!$BE$38</t>
  </si>
  <si>
    <t>='C:\Users\jaime.benazar\Quorum Business Solutions\Ecopetrol Prometeo - Documents\Planning Space Implementation\3. Analysis &amp; Design\Design\FC22\DRR Jaime\QUIFA-CAJÚA\Cajua\[CAJUA_CF_SEC_New_27-Feb-2024Rev3.xlsx]D-PND'!$BE$39</t>
  </si>
  <si>
    <t>='C:\Users\jaime.benazar\Quorum Business Solutions\Ecopetrol Prometeo - Documents\Planning Space Implementation\3. Analysis &amp; Design\Design\FC22\DRR Jaime\QUIFA-CAJÚA\Cajua\[CAJUA_CF_SEC_New_27-Feb-2024Rev3.xlsx]D-PND'!$BE$40</t>
  </si>
  <si>
    <t>='C:\Users\jaime.benazar\Quorum Business Solutions\Ecopetrol Prometeo - Documents\Planning Space Implementation\3. Analysis &amp; Design\Design\FC22\DRR Jaime\QUIFA-CAJÚA\Cajua\[CAJUA_CF_SEC_New_27-Feb-2024Rev3.xlsx]D-PND'!$BE$41</t>
  </si>
  <si>
    <t>='C:\Users\jaime.benazar\Quorum Business Solutions\Ecopetrol Prometeo - Documents\Planning Space Implementation\3. Analysis &amp; Design\Design\FC22\DRR Jaime\QUIFA-CAJÚA\Cajua\[CAJUA_CF_SEC_New_27-Feb-2024Rev3.xlsx]D-PND'!$BE$42</t>
  </si>
  <si>
    <t>='C:\Users\jaime.benazar\Quorum Business Solutions\Ecopetrol Prometeo - Documents\Planning Space Implementation\3. Analysis &amp; Design\Design\FC22\DRR Jaime\QUIFA-CAJÚA\Cajua\[CAJUA_CF_SEC_New_27-Feb-2024Rev3.xlsx]D-PND'!$BE$43</t>
  </si>
  <si>
    <t>='C:\Users\jaime.benazar\Quorum Business Solutions\Ecopetrol Prometeo - Documents\Planning Space Implementation\3. Analysis &amp; Design\Design\FC22\DRR Jaime\QUIFA-CAJÚA\Cajua\[CAJUA_CF_SEC_New_27-Feb-2024Rev3.xlsx]D-PND'!$BE$44</t>
  </si>
  <si>
    <t>='C:\Users\jaime.benazar\Quorum Business Solutions\Ecopetrol Prometeo - Documents\Planning Space Implementation\3. Analysis &amp; Design\Design\FC22\DRR Jaime\QUIFA-CAJÚA\Cajua\[CAJUA_CF_SEC_New_27-Feb-2024Rev3.xlsx]D-PND'!$BE$45</t>
  </si>
  <si>
    <t>='C:\Users\jaime.benazar\Quorum Business Solutions\Ecopetrol Prometeo - Documents\Planning Space Implementation\3. Analysis &amp; Design\Design\FC22\DRR Jaime\QUIFA-CAJÚA\Cajua\[CAJUA_CF_SEC_New_27-Feb-2024Rev3.xlsx]D-PND'!$BE$46</t>
  </si>
  <si>
    <t>='C:\Users\jaime.benazar\Quorum Business Solutions\Ecopetrol Prometeo - Documents\Planning Space Implementation\3. Analysis &amp; Design\Design\FC22\DRR Jaime\QUIFA-CAJÚA\Cajua\[CAJUA_CF_SEC_New_27-Feb-2024Rev3.xlsx]D-PND'!$BE$47</t>
  </si>
  <si>
    <t>='C:\Users\jaime.benazar\Quorum Business Solutions\Ecopetrol Prometeo - Documents\Planning Space Implementation\3. Analysis &amp; Design\Design\FC22\DRR Jaime\QUIFA-CAJÚA\Cajua\[CAJUA_CF_SEC_New_27-Feb-2024Rev3.xlsx]D-PND'!$BE$48</t>
  </si>
  <si>
    <t>='C:\Users\jaime.benazar\Quorum Business Solutions\Ecopetrol Prometeo - Documents\Planning Space Implementation\3. Analysis &amp; Design\Design\FC22\DRR Jaime\QUIFA-CAJÚA\Cajua\[CAJUA_CF_SEC_New_27-Feb-2024Rev3.xlsx]D-PRBDP'!$BE$12</t>
  </si>
  <si>
    <t>='C:\Users\jaime.benazar\Quorum Business Solutions\Ecopetrol Prometeo - Documents\Planning Space Implementation\3. Analysis &amp; Design\Design\FC22\DRR Jaime\QUIFA-CAJÚA\Cajua\[CAJUA_CF_SEC_New_27-Feb-2024Rev3.xlsx]D-PRBDP'!$BE$13</t>
  </si>
  <si>
    <t>='C:\Users\jaime.benazar\Quorum Business Solutions\Ecopetrol Prometeo - Documents\Planning Space Implementation\3. Analysis &amp; Design\Design\FC22\DRR Jaime\QUIFA-CAJÚA\Cajua\[CAJUA_CF_SEC_New_27-Feb-2024Rev3.xlsx]D-PRBDP'!$BE$14</t>
  </si>
  <si>
    <t>='C:\Users\jaime.benazar\Quorum Business Solutions\Ecopetrol Prometeo - Documents\Planning Space Implementation\3. Analysis &amp; Design\Design\FC22\DRR Jaime\QUIFA-CAJÚA\Cajua\[CAJUA_CF_SEC_New_27-Feb-2024Rev3.xlsx]D-PRBDP'!$BE$15</t>
  </si>
  <si>
    <t>='C:\Users\jaime.benazar\Quorum Business Solutions\Ecopetrol Prometeo - Documents\Planning Space Implementation\3. Analysis &amp; Design\Design\FC22\DRR Jaime\QUIFA-CAJÚA\Cajua\[CAJUA_CF_SEC_New_27-Feb-2024Rev3.xlsx]D-PRBDP'!$BE$16</t>
  </si>
  <si>
    <t>='C:\Users\jaime.benazar\Quorum Business Solutions\Ecopetrol Prometeo - Documents\Planning Space Implementation\3. Analysis &amp; Design\Design\FC22\DRR Jaime\QUIFA-CAJÚA\Cajua\[CAJUA_CF_SEC_New_27-Feb-2024Rev3.xlsx]D-PRBDP'!$BE$17</t>
  </si>
  <si>
    <t>='C:\Users\jaime.benazar\Quorum Business Solutions\Ecopetrol Prometeo - Documents\Planning Space Implementation\3. Analysis &amp; Design\Design\FC22\DRR Jaime\QUIFA-CAJÚA\Cajua\[CAJUA_CF_SEC_New_27-Feb-2024Rev3.xlsx]D-PRBDP'!$BE$18</t>
  </si>
  <si>
    <t>='C:\Users\jaime.benazar\Quorum Business Solutions\Ecopetrol Prometeo - Documents\Planning Space Implementation\3. Analysis &amp; Design\Design\FC22\DRR Jaime\QUIFA-CAJÚA\Cajua\[CAJUA_CF_SEC_New_27-Feb-2024Rev3.xlsx]D-PRBDP'!$BE$19</t>
  </si>
  <si>
    <t>='C:\Users\jaime.benazar\Quorum Business Solutions\Ecopetrol Prometeo - Documents\Planning Space Implementation\3. Analysis &amp; Design\Design\FC22\DRR Jaime\QUIFA-CAJÚA\Cajua\[CAJUA_CF_SEC_New_27-Feb-2024Rev3.xlsx]D-PRBDP'!$BE$20</t>
  </si>
  <si>
    <t>='C:\Users\jaime.benazar\Quorum Business Solutions\Ecopetrol Prometeo - Documents\Planning Space Implementation\3. Analysis &amp; Design\Design\FC22\DRR Jaime\QUIFA-CAJÚA\Cajua\[CAJUA_CF_SEC_New_27-Feb-2024Rev3.xlsx]D-PRBDP'!$BE$21</t>
  </si>
  <si>
    <t>='C:\Users\jaime.benazar\Quorum Business Solutions\Ecopetrol Prometeo - Documents\Planning Space Implementation\3. Analysis &amp; Design\Design\FC22\DRR Jaime\QUIFA-CAJÚA\Cajua\[CAJUA_CF_SEC_New_27-Feb-2024Rev3.xlsx]D-PRBDP'!$BE$22</t>
  </si>
  <si>
    <t>='C:\Users\jaime.benazar\Quorum Business Solutions\Ecopetrol Prometeo - Documents\Planning Space Implementation\3. Analysis &amp; Design\Design\FC22\DRR Jaime\QUIFA-CAJÚA\Cajua\[CAJUA_CF_SEC_New_27-Feb-2024Rev3.xlsx]D-PRBDP'!$BE$23</t>
  </si>
  <si>
    <t>='C:\Users\jaime.benazar\Quorum Business Solutions\Ecopetrol Prometeo - Documents\Planning Space Implementation\3. Analysis &amp; Design\Design\FC22\DRR Jaime\QUIFA-CAJÚA\Cajua\[CAJUA_CF_SEC_New_27-Feb-2024Rev3.xlsx]D-PRBDP'!$BE$24</t>
  </si>
  <si>
    <t>='C:\Users\jaime.benazar\Quorum Business Solutions\Ecopetrol Prometeo - Documents\Planning Space Implementation\3. Analysis &amp; Design\Design\FC22\DRR Jaime\QUIFA-CAJÚA\Cajua\[CAJUA_CF_SEC_New_27-Feb-2024Rev3.xlsx]D-PRBDP'!$BE$25</t>
  </si>
  <si>
    <t>='C:\Users\jaime.benazar\Quorum Business Solutions\Ecopetrol Prometeo - Documents\Planning Space Implementation\3. Analysis &amp; Design\Design\FC22\DRR Jaime\QUIFA-CAJÚA\Cajua\[CAJUA_CF_SEC_New_27-Feb-2024Rev3.xlsx]D-PRBDP'!$BE$26</t>
  </si>
  <si>
    <t>='C:\Users\jaime.benazar\Quorum Business Solutions\Ecopetrol Prometeo - Documents\Planning Space Implementation\3. Analysis &amp; Design\Design\FC22\DRR Jaime\QUIFA-CAJÚA\Cajua\[CAJUA_CF_SEC_New_27-Feb-2024Rev3.xlsx]D-PRBDP'!$BE$27</t>
  </si>
  <si>
    <t>='C:\Users\jaime.benazar\Quorum Business Solutions\Ecopetrol Prometeo - Documents\Planning Space Implementation\3. Analysis &amp; Design\Design\FC22\DRR Jaime\QUIFA-CAJÚA\Cajua\[CAJUA_CF_SEC_New_27-Feb-2024Rev3.xlsx]D-PRBDP'!$BE$28</t>
  </si>
  <si>
    <t>='C:\Users\jaime.benazar\Quorum Business Solutions\Ecopetrol Prometeo - Documents\Planning Space Implementation\3. Analysis &amp; Design\Design\FC22\DRR Jaime\QUIFA-CAJÚA\Cajua\[CAJUA_CF_SEC_New_27-Feb-2024Rev3.xlsx]D-PRBDP'!$BE$29</t>
  </si>
  <si>
    <t>='C:\Users\jaime.benazar\Quorum Business Solutions\Ecopetrol Prometeo - Documents\Planning Space Implementation\3. Analysis &amp; Design\Design\FC22\DRR Jaime\QUIFA-CAJÚA\Cajua\[CAJUA_CF_SEC_New_27-Feb-2024Rev3.xlsx]D-PRBDP'!$BE$30</t>
  </si>
  <si>
    <t>='C:\Users\jaime.benazar\Quorum Business Solutions\Ecopetrol Prometeo - Documents\Planning Space Implementation\3. Analysis &amp; Design\Design\FC22\DRR Jaime\QUIFA-CAJÚA\Cajua\[CAJUA_CF_SEC_New_27-Feb-2024Rev3.xlsx]D-PRBDP'!$BE$31</t>
  </si>
  <si>
    <t>='C:\Users\jaime.benazar\Quorum Business Solutions\Ecopetrol Prometeo - Documents\Planning Space Implementation\3. Analysis &amp; Design\Design\FC22\DRR Jaime\QUIFA-CAJÚA\Cajua\[CAJUA_CF_SEC_New_27-Feb-2024Rev3.xlsx]D-PRBDP'!$BE$32</t>
  </si>
  <si>
    <t>='C:\Users\jaime.benazar\Quorum Business Solutions\Ecopetrol Prometeo - Documents\Planning Space Implementation\3. Analysis &amp; Design\Design\FC22\DRR Jaime\QUIFA-CAJÚA\Cajua\[CAJUA_CF_SEC_New_27-Feb-2024Rev3.xlsx]D-PRBDP'!$BE$33</t>
  </si>
  <si>
    <t>='C:\Users\jaime.benazar\Quorum Business Solutions\Ecopetrol Prometeo - Documents\Planning Space Implementation\3. Analysis &amp; Design\Design\FC22\DRR Jaime\QUIFA-CAJÚA\Cajua\[CAJUA_CF_SEC_New_27-Feb-2024Rev3.xlsx]D-PRBDP'!$BE$34</t>
  </si>
  <si>
    <t>='C:\Users\jaime.benazar\Quorum Business Solutions\Ecopetrol Prometeo - Documents\Planning Space Implementation\3. Analysis &amp; Design\Design\FC22\DRR Jaime\QUIFA-CAJÚA\Cajua\[CAJUA_CF_SEC_New_27-Feb-2024Rev3.xlsx]D-PRBDP'!$BE$35</t>
  </si>
  <si>
    <t>='C:\Users\jaime.benazar\Quorum Business Solutions\Ecopetrol Prometeo - Documents\Planning Space Implementation\3. Analysis &amp; Design\Design\FC22\DRR Jaime\QUIFA-CAJÚA\Cajua\[CAJUA_CF_SEC_New_27-Feb-2024Rev3.xlsx]D-PRBDP'!$BE$36</t>
  </si>
  <si>
    <t>='C:\Users\jaime.benazar\Quorum Business Solutions\Ecopetrol Prometeo - Documents\Planning Space Implementation\3. Analysis &amp; Design\Design\FC22\DRR Jaime\QUIFA-CAJÚA\Cajua\[CAJUA_CF_SEC_New_27-Feb-2024Rev3.xlsx]D-PRBDP'!$BE$37</t>
  </si>
  <si>
    <t>='C:\Users\jaime.benazar\Quorum Business Solutions\Ecopetrol Prometeo - Documents\Planning Space Implementation\3. Analysis &amp; Design\Design\FC22\DRR Jaime\QUIFA-CAJÚA\Cajua\[CAJUA_CF_SEC_New_27-Feb-2024Rev3.xlsx]D-PRBDP'!$BE$38</t>
  </si>
  <si>
    <t>='C:\Users\jaime.benazar\Quorum Business Solutions\Ecopetrol Prometeo - Documents\Planning Space Implementation\3. Analysis &amp; Design\Design\FC22\DRR Jaime\QUIFA-CAJÚA\Cajua\[CAJUA_CF_SEC_New_27-Feb-2024Rev3.xlsx]D-PRBDP'!$BE$39</t>
  </si>
  <si>
    <t>='C:\Users\jaime.benazar\Quorum Business Solutions\Ecopetrol Prometeo - Documents\Planning Space Implementation\3. Analysis &amp; Design\Design\FC22\DRR Jaime\QUIFA-CAJÚA\Cajua\[CAJUA_CF_SEC_New_27-Feb-2024Rev3.xlsx]D-PRBDP'!$BE$40</t>
  </si>
  <si>
    <t>='C:\Users\jaime.benazar\Quorum Business Solutions\Ecopetrol Prometeo - Documents\Planning Space Implementation\3. Analysis &amp; Design\Design\FC22\DRR Jaime\QUIFA-CAJÚA\Cajua\[CAJUA_CF_SEC_New_27-Feb-2024Rev3.xlsx]D-PRBDP'!$BE$41</t>
  </si>
  <si>
    <t>='C:\Users\jaime.benazar\Quorum Business Solutions\Ecopetrol Prometeo - Documents\Planning Space Implementation\3. Analysis &amp; Design\Design\FC22\DRR Jaime\QUIFA-CAJÚA\Cajua\[CAJUA_CF_SEC_New_27-Feb-2024Rev3.xlsx]D-PRBDP'!$BE$42</t>
  </si>
  <si>
    <t>='C:\Users\jaime.benazar\Quorum Business Solutions\Ecopetrol Prometeo - Documents\Planning Space Implementation\3. Analysis &amp; Design\Design\FC22\DRR Jaime\QUIFA-CAJÚA\Cajua\[CAJUA_CF_SEC_New_27-Feb-2024Rev3.xlsx]D-PRBDP'!$BE$43</t>
  </si>
  <si>
    <t>='C:\Users\jaime.benazar\Quorum Business Solutions\Ecopetrol Prometeo - Documents\Planning Space Implementation\3. Analysis &amp; Design\Design\FC22\DRR Jaime\QUIFA-CAJÚA\Cajua\[CAJUA_CF_SEC_New_27-Feb-2024Rev3.xlsx]D-PRBDP'!$BE$44</t>
  </si>
  <si>
    <t>='C:\Users\jaime.benazar\Quorum Business Solutions\Ecopetrol Prometeo - Documents\Planning Space Implementation\3. Analysis &amp; Design\Design\FC22\DRR Jaime\QUIFA-CAJÚA\Cajua\[CAJUA_CF_SEC_New_27-Feb-2024Rev3.xlsx]D-PRBDP'!$BE$45</t>
  </si>
  <si>
    <t>='C:\Users\jaime.benazar\Quorum Business Solutions\Ecopetrol Prometeo - Documents\Planning Space Implementation\3. Analysis &amp; Design\Design\FC22\DRR Jaime\QUIFA-CAJÚA\Cajua\[CAJUA_CF_SEC_New_27-Feb-2024Rev3.xlsx]D-PRBDP'!$BE$46</t>
  </si>
  <si>
    <t>='C:\Users\jaime.benazar\Quorum Business Solutions\Ecopetrol Prometeo - Documents\Planning Space Implementation\3. Analysis &amp; Design\Design\FC22\DRR Jaime\QUIFA-CAJÚA\Cajua\[CAJUA_CF_SEC_New_27-Feb-2024Rev3.xlsx]D-PRBDP'!$BE$47</t>
  </si>
  <si>
    <t>='C:\Users\jaime.benazar\Quorum Business Solutions\Ecopetrol Prometeo - Documents\Planning Space Implementation\3. Analysis &amp; Design\Design\FC22\DRR Jaime\QUIFA-CAJÚA\Cajua\[CAJUA_CF_SEC_New_27-Feb-2024Rev3.xlsx]D-PRBDP'!$BE$48</t>
  </si>
  <si>
    <t>='C:\Users\jaime.benazar\Quorum Business Solutions\Ecopetrol Prometeo - Documents\Planning Space Implementation\3. Analysis &amp; Design\Design\FC22\DRR Jaime\QUIFA-CAJÚA\Cajua\[CAJUA_CF_SEC_New_27-Feb-2024Rev3.xlsx]D-PRBNP'!$BE$12</t>
  </si>
  <si>
    <t>='C:\Users\jaime.benazar\Quorum Business Solutions\Ecopetrol Prometeo - Documents\Planning Space Implementation\3. Analysis &amp; Design\Design\FC22\DRR Jaime\QUIFA-CAJÚA\Cajua\[CAJUA_CF_SEC_New_27-Feb-2024Rev3.xlsx]D-PRBNP'!$BE$13</t>
  </si>
  <si>
    <t>='C:\Users\jaime.benazar\Quorum Business Solutions\Ecopetrol Prometeo - Documents\Planning Space Implementation\3. Analysis &amp; Design\Design\FC22\DRR Jaime\QUIFA-CAJÚA\Cajua\[CAJUA_CF_SEC_New_27-Feb-2024Rev3.xlsx]D-PRBNP'!$BE$14</t>
  </si>
  <si>
    <t>='C:\Users\jaime.benazar\Quorum Business Solutions\Ecopetrol Prometeo - Documents\Planning Space Implementation\3. Analysis &amp; Design\Design\FC22\DRR Jaime\QUIFA-CAJÚA\Cajua\[CAJUA_CF_SEC_New_27-Feb-2024Rev3.xlsx]D-PRBNP'!$BE$15</t>
  </si>
  <si>
    <t>='C:\Users\jaime.benazar\Quorum Business Solutions\Ecopetrol Prometeo - Documents\Planning Space Implementation\3. Analysis &amp; Design\Design\FC22\DRR Jaime\QUIFA-CAJÚA\Cajua\[CAJUA_CF_SEC_New_27-Feb-2024Rev3.xlsx]D-PRBNP'!$BE$16</t>
  </si>
  <si>
    <t>='C:\Users\jaime.benazar\Quorum Business Solutions\Ecopetrol Prometeo - Documents\Planning Space Implementation\3. Analysis &amp; Design\Design\FC22\DRR Jaime\QUIFA-CAJÚA\Cajua\[CAJUA_CF_SEC_New_27-Feb-2024Rev3.xlsx]D-PRBNP'!$BE$17</t>
  </si>
  <si>
    <t>='C:\Users\jaime.benazar\Quorum Business Solutions\Ecopetrol Prometeo - Documents\Planning Space Implementation\3. Analysis &amp; Design\Design\FC22\DRR Jaime\QUIFA-CAJÚA\Cajua\[CAJUA_CF_SEC_New_27-Feb-2024Rev3.xlsx]D-PRBNP'!$BE$18</t>
  </si>
  <si>
    <t>='C:\Users\jaime.benazar\Quorum Business Solutions\Ecopetrol Prometeo - Documents\Planning Space Implementation\3. Analysis &amp; Design\Design\FC22\DRR Jaime\QUIFA-CAJÚA\Cajua\[CAJUA_CF_SEC_New_27-Feb-2024Rev3.xlsx]D-PRBNP'!$BE$19</t>
  </si>
  <si>
    <t>='C:\Users\jaime.benazar\Quorum Business Solutions\Ecopetrol Prometeo - Documents\Planning Space Implementation\3. Analysis &amp; Design\Design\FC22\DRR Jaime\QUIFA-CAJÚA\Cajua\[CAJUA_CF_SEC_New_27-Feb-2024Rev3.xlsx]D-PRBNP'!$BE$20</t>
  </si>
  <si>
    <t>='C:\Users\jaime.benazar\Quorum Business Solutions\Ecopetrol Prometeo - Documents\Planning Space Implementation\3. Analysis &amp; Design\Design\FC22\DRR Jaime\QUIFA-CAJÚA\Cajua\[CAJUA_CF_SEC_New_27-Feb-2024Rev3.xlsx]D-PRBNP'!$BE$21</t>
  </si>
  <si>
    <t>='C:\Users\jaime.benazar\Quorum Business Solutions\Ecopetrol Prometeo - Documents\Planning Space Implementation\3. Analysis &amp; Design\Design\FC22\DRR Jaime\QUIFA-CAJÚA\Cajua\[CAJUA_CF_SEC_New_27-Feb-2024Rev3.xlsx]D-PRBNP'!$BE$22</t>
  </si>
  <si>
    <t>='C:\Users\jaime.benazar\Quorum Business Solutions\Ecopetrol Prometeo - Documents\Planning Space Implementation\3. Analysis &amp; Design\Design\FC22\DRR Jaime\QUIFA-CAJÚA\Cajua\[CAJUA_CF_SEC_New_27-Feb-2024Rev3.xlsx]D-PRBNP'!$BE$23</t>
  </si>
  <si>
    <t>='C:\Users\jaime.benazar\Quorum Business Solutions\Ecopetrol Prometeo - Documents\Planning Space Implementation\3. Analysis &amp; Design\Design\FC22\DRR Jaime\QUIFA-CAJÚA\Cajua\[CAJUA_CF_SEC_New_27-Feb-2024Rev3.xlsx]D-PRBNP'!$BE$24</t>
  </si>
  <si>
    <t>='C:\Users\jaime.benazar\Quorum Business Solutions\Ecopetrol Prometeo - Documents\Planning Space Implementation\3. Analysis &amp; Design\Design\FC22\DRR Jaime\QUIFA-CAJÚA\Cajua\[CAJUA_CF_SEC_New_27-Feb-2024Rev3.xlsx]D-PRBNP'!$BE$25</t>
  </si>
  <si>
    <t>='C:\Users\jaime.benazar\Quorum Business Solutions\Ecopetrol Prometeo - Documents\Planning Space Implementation\3. Analysis &amp; Design\Design\FC22\DRR Jaime\QUIFA-CAJÚA\Cajua\[CAJUA_CF_SEC_New_27-Feb-2024Rev3.xlsx]D-PRBNP'!$BE$26</t>
  </si>
  <si>
    <t>='C:\Users\jaime.benazar\Quorum Business Solutions\Ecopetrol Prometeo - Documents\Planning Space Implementation\3. Analysis &amp; Design\Design\FC22\DRR Jaime\QUIFA-CAJÚA\Cajua\[CAJUA_CF_SEC_New_27-Feb-2024Rev3.xlsx]D-PRBNP'!$BE$27</t>
  </si>
  <si>
    <t>='C:\Users\jaime.benazar\Quorum Business Solutions\Ecopetrol Prometeo - Documents\Planning Space Implementation\3. Analysis &amp; Design\Design\FC22\DRR Jaime\QUIFA-CAJÚA\Cajua\[CAJUA_CF_SEC_New_27-Feb-2024Rev3.xlsx]D-PRBNP'!$BE$28</t>
  </si>
  <si>
    <t>='C:\Users\jaime.benazar\Quorum Business Solutions\Ecopetrol Prometeo - Documents\Planning Space Implementation\3. Analysis &amp; Design\Design\FC22\DRR Jaime\QUIFA-CAJÚA\Cajua\[CAJUA_CF_SEC_New_27-Feb-2024Rev3.xlsx]D-PRBNP'!$BE$29</t>
  </si>
  <si>
    <t>='C:\Users\jaime.benazar\Quorum Business Solutions\Ecopetrol Prometeo - Documents\Planning Space Implementation\3. Analysis &amp; Design\Design\FC22\DRR Jaime\QUIFA-CAJÚA\Cajua\[CAJUA_CF_SEC_New_27-Feb-2024Rev3.xlsx]D-PRBNP'!$BE$30</t>
  </si>
  <si>
    <t>='C:\Users\jaime.benazar\Quorum Business Solutions\Ecopetrol Prometeo - Documents\Planning Space Implementation\3. Analysis &amp; Design\Design\FC22\DRR Jaime\QUIFA-CAJÚA\Cajua\[CAJUA_CF_SEC_New_27-Feb-2024Rev3.xlsx]D-PRBNP'!$BE$31</t>
  </si>
  <si>
    <t>='C:\Users\jaime.benazar\Quorum Business Solutions\Ecopetrol Prometeo - Documents\Planning Space Implementation\3. Analysis &amp; Design\Design\FC22\DRR Jaime\QUIFA-CAJÚA\Cajua\[CAJUA_CF_SEC_New_27-Feb-2024Rev3.xlsx]D-PRBNP'!$BE$32</t>
  </si>
  <si>
    <t>='C:\Users\jaime.benazar\Quorum Business Solutions\Ecopetrol Prometeo - Documents\Planning Space Implementation\3. Analysis &amp; Design\Design\FC22\DRR Jaime\QUIFA-CAJÚA\Cajua\[CAJUA_CF_SEC_New_27-Feb-2024Rev3.xlsx]D-PRBNP'!$BE$33</t>
  </si>
  <si>
    <t>='C:\Users\jaime.benazar\Quorum Business Solutions\Ecopetrol Prometeo - Documents\Planning Space Implementation\3. Analysis &amp; Design\Design\FC22\DRR Jaime\QUIFA-CAJÚA\Cajua\[CAJUA_CF_SEC_New_27-Feb-2024Rev3.xlsx]D-PRBNP'!$BE$34</t>
  </si>
  <si>
    <t>='C:\Users\jaime.benazar\Quorum Business Solutions\Ecopetrol Prometeo - Documents\Planning Space Implementation\3. Analysis &amp; Design\Design\FC22\DRR Jaime\QUIFA-CAJÚA\Cajua\[CAJUA_CF_SEC_New_27-Feb-2024Rev3.xlsx]D-PRBNP'!$BE$35</t>
  </si>
  <si>
    <t>='C:\Users\jaime.benazar\Quorum Business Solutions\Ecopetrol Prometeo - Documents\Planning Space Implementation\3. Analysis &amp; Design\Design\FC22\DRR Jaime\QUIFA-CAJÚA\Cajua\[CAJUA_CF_SEC_New_27-Feb-2024Rev3.xlsx]D-PRBNP'!$BE$36</t>
  </si>
  <si>
    <t>='C:\Users\jaime.benazar\Quorum Business Solutions\Ecopetrol Prometeo - Documents\Planning Space Implementation\3. Analysis &amp; Design\Design\FC22\DRR Jaime\QUIFA-CAJÚA\Cajua\[CAJUA_CF_SEC_New_27-Feb-2024Rev3.xlsx]D-PRBNP'!$BE$37</t>
  </si>
  <si>
    <t>='C:\Users\jaime.benazar\Quorum Business Solutions\Ecopetrol Prometeo - Documents\Planning Space Implementation\3. Analysis &amp; Design\Design\FC22\DRR Jaime\QUIFA-CAJÚA\Cajua\[CAJUA_CF_SEC_New_27-Feb-2024Rev3.xlsx]D-PRBNP'!$BE$38</t>
  </si>
  <si>
    <t>='C:\Users\jaime.benazar\Quorum Business Solutions\Ecopetrol Prometeo - Documents\Planning Space Implementation\3. Analysis &amp; Design\Design\FC22\DRR Jaime\QUIFA-CAJÚA\Cajua\[CAJUA_CF_SEC_New_27-Feb-2024Rev3.xlsx]D-PRBNP'!$BE$39</t>
  </si>
  <si>
    <t>='C:\Users\jaime.benazar\Quorum Business Solutions\Ecopetrol Prometeo - Documents\Planning Space Implementation\3. Analysis &amp; Design\Design\FC22\DRR Jaime\QUIFA-CAJÚA\Cajua\[CAJUA_CF_SEC_New_27-Feb-2024Rev3.xlsx]D-PRBNP'!$BE$40</t>
  </si>
  <si>
    <t>='C:\Users\jaime.benazar\Quorum Business Solutions\Ecopetrol Prometeo - Documents\Planning Space Implementation\3. Analysis &amp; Design\Design\FC22\DRR Jaime\QUIFA-CAJÚA\Cajua\[CAJUA_CF_SEC_New_27-Feb-2024Rev3.xlsx]D-PRBNP'!$BE$41</t>
  </si>
  <si>
    <t>='C:\Users\jaime.benazar\Quorum Business Solutions\Ecopetrol Prometeo - Documents\Planning Space Implementation\3. Analysis &amp; Design\Design\FC22\DRR Jaime\QUIFA-CAJÚA\Cajua\[CAJUA_CF_SEC_New_27-Feb-2024Rev3.xlsx]D-PRBNP'!$BE$42</t>
  </si>
  <si>
    <t>='C:\Users\jaime.benazar\Quorum Business Solutions\Ecopetrol Prometeo - Documents\Planning Space Implementation\3. Analysis &amp; Design\Design\FC22\DRR Jaime\QUIFA-CAJÚA\Cajua\[CAJUA_CF_SEC_New_27-Feb-2024Rev3.xlsx]D-PRBNP'!$BE$43</t>
  </si>
  <si>
    <t>='C:\Users\jaime.benazar\Quorum Business Solutions\Ecopetrol Prometeo - Documents\Planning Space Implementation\3. Analysis &amp; Design\Design\FC22\DRR Jaime\QUIFA-CAJÚA\Cajua\[CAJUA_CF_SEC_New_27-Feb-2024Rev3.xlsx]D-PRBNP'!$BE$44</t>
  </si>
  <si>
    <t>='C:\Users\jaime.benazar\Quorum Business Solutions\Ecopetrol Prometeo - Documents\Planning Space Implementation\3. Analysis &amp; Design\Design\FC22\DRR Jaime\QUIFA-CAJÚA\Cajua\[CAJUA_CF_SEC_New_27-Feb-2024Rev3.xlsx]D-PRBNP'!$BE$45</t>
  </si>
  <si>
    <t>='C:\Users\jaime.benazar\Quorum Business Solutions\Ecopetrol Prometeo - Documents\Planning Space Implementation\3. Analysis &amp; Design\Design\FC22\DRR Jaime\QUIFA-CAJÚA\Cajua\[CAJUA_CF_SEC_New_27-Feb-2024Rev3.xlsx]D-PRBNP'!$BE$46</t>
  </si>
  <si>
    <t>='C:\Users\jaime.benazar\Quorum Business Solutions\Ecopetrol Prometeo - Documents\Planning Space Implementation\3. Analysis &amp; Design\Design\FC22\DRR Jaime\QUIFA-CAJÚA\Cajua\[CAJUA_CF_SEC_New_27-Feb-2024Rev3.xlsx]D-PRBNP'!$BE$47</t>
  </si>
  <si>
    <t>='C:\Users\jaime.benazar\Quorum Business Solutions\Ecopetrol Prometeo - Documents\Planning Space Implementation\3. Analysis &amp; Design\Design\FC22\DRR Jaime\QUIFA-CAJÚA\Cajua\[CAJUA_CF_SEC_New_27-Feb-2024Rev3.xlsx]D-PRBNP'!$BE$48</t>
  </si>
  <si>
    <t>='C:\Users\jaime.benazar\Quorum Business Solutions\Ecopetrol Prometeo - Documents\Planning Space Implementation\3. Analysis &amp; Design\Design\FC22\DRR Jaime\QUIFA-CAJÚA\Cajua\[CAJUA_CF_SEC_New_27-Feb-2024Rev3.xlsx]D-PRBND'!$BE$12</t>
  </si>
  <si>
    <t>='C:\Users\jaime.benazar\Quorum Business Solutions\Ecopetrol Prometeo - Documents\Planning Space Implementation\3. Analysis &amp; Design\Design\FC22\DRR Jaime\QUIFA-CAJÚA\Cajua\[CAJUA_CF_SEC_New_27-Feb-2024Rev3.xlsx]D-PRBND'!$BE$13</t>
  </si>
  <si>
    <t>='C:\Users\jaime.benazar\Quorum Business Solutions\Ecopetrol Prometeo - Documents\Planning Space Implementation\3. Analysis &amp; Design\Design\FC22\DRR Jaime\QUIFA-CAJÚA\Cajua\[CAJUA_CF_SEC_New_27-Feb-2024Rev3.xlsx]D-PRBND'!$BE$14</t>
  </si>
  <si>
    <t>='C:\Users\jaime.benazar\Quorum Business Solutions\Ecopetrol Prometeo - Documents\Planning Space Implementation\3. Analysis &amp; Design\Design\FC22\DRR Jaime\QUIFA-CAJÚA\Cajua\[CAJUA_CF_SEC_New_27-Feb-2024Rev3.xlsx]D-PRBND'!$BE$15</t>
  </si>
  <si>
    <t>='C:\Users\jaime.benazar\Quorum Business Solutions\Ecopetrol Prometeo - Documents\Planning Space Implementation\3. Analysis &amp; Design\Design\FC22\DRR Jaime\QUIFA-CAJÚA\Cajua\[CAJUA_CF_SEC_New_27-Feb-2024Rev3.xlsx]D-PRBND'!$BE$16</t>
  </si>
  <si>
    <t>='C:\Users\jaime.benazar\Quorum Business Solutions\Ecopetrol Prometeo - Documents\Planning Space Implementation\3. Analysis &amp; Design\Design\FC22\DRR Jaime\QUIFA-CAJÚA\Cajua\[CAJUA_CF_SEC_New_27-Feb-2024Rev3.xlsx]D-PRBND'!$BE$17</t>
  </si>
  <si>
    <t>='C:\Users\jaime.benazar\Quorum Business Solutions\Ecopetrol Prometeo - Documents\Planning Space Implementation\3. Analysis &amp; Design\Design\FC22\DRR Jaime\QUIFA-CAJÚA\Cajua\[CAJUA_CF_SEC_New_27-Feb-2024Rev3.xlsx]D-PRBND'!$BE$18</t>
  </si>
  <si>
    <t>='C:\Users\jaime.benazar\Quorum Business Solutions\Ecopetrol Prometeo - Documents\Planning Space Implementation\3. Analysis &amp; Design\Design\FC22\DRR Jaime\QUIFA-CAJÚA\Cajua\[CAJUA_CF_SEC_New_27-Feb-2024Rev3.xlsx]D-PRBND'!$BE$19</t>
  </si>
  <si>
    <t>='C:\Users\jaime.benazar\Quorum Business Solutions\Ecopetrol Prometeo - Documents\Planning Space Implementation\3. Analysis &amp; Design\Design\FC22\DRR Jaime\QUIFA-CAJÚA\Cajua\[CAJUA_CF_SEC_New_27-Feb-2024Rev3.xlsx]D-PRBND'!$BE$20</t>
  </si>
  <si>
    <t>='C:\Users\jaime.benazar\Quorum Business Solutions\Ecopetrol Prometeo - Documents\Planning Space Implementation\3. Analysis &amp; Design\Design\FC22\DRR Jaime\QUIFA-CAJÚA\Cajua\[CAJUA_CF_SEC_New_27-Feb-2024Rev3.xlsx]D-PRBND'!$BE$21</t>
  </si>
  <si>
    <t>='C:\Users\jaime.benazar\Quorum Business Solutions\Ecopetrol Prometeo - Documents\Planning Space Implementation\3. Analysis &amp; Design\Design\FC22\DRR Jaime\QUIFA-CAJÚA\Cajua\[CAJUA_CF_SEC_New_27-Feb-2024Rev3.xlsx]D-PRBND'!$BE$22</t>
  </si>
  <si>
    <t>='C:\Users\jaime.benazar\Quorum Business Solutions\Ecopetrol Prometeo - Documents\Planning Space Implementation\3. Analysis &amp; Design\Design\FC22\DRR Jaime\QUIFA-CAJÚA\Cajua\[CAJUA_CF_SEC_New_27-Feb-2024Rev3.xlsx]D-PRBND'!$BE$23</t>
  </si>
  <si>
    <t>='C:\Users\jaime.benazar\Quorum Business Solutions\Ecopetrol Prometeo - Documents\Planning Space Implementation\3. Analysis &amp; Design\Design\FC22\DRR Jaime\QUIFA-CAJÚA\Cajua\[CAJUA_CF_SEC_New_27-Feb-2024Rev3.xlsx]D-PRBND'!$BE$24</t>
  </si>
  <si>
    <t>='C:\Users\jaime.benazar\Quorum Business Solutions\Ecopetrol Prometeo - Documents\Planning Space Implementation\3. Analysis &amp; Design\Design\FC22\DRR Jaime\QUIFA-CAJÚA\Cajua\[CAJUA_CF_SEC_New_27-Feb-2024Rev3.xlsx]D-PRBND'!$BE$25</t>
  </si>
  <si>
    <t>='C:\Users\jaime.benazar\Quorum Business Solutions\Ecopetrol Prometeo - Documents\Planning Space Implementation\3. Analysis &amp; Design\Design\FC22\DRR Jaime\QUIFA-CAJÚA\Cajua\[CAJUA_CF_SEC_New_27-Feb-2024Rev3.xlsx]D-PRBND'!$BE$26</t>
  </si>
  <si>
    <t>='C:\Users\jaime.benazar\Quorum Business Solutions\Ecopetrol Prometeo - Documents\Planning Space Implementation\3. Analysis &amp; Design\Design\FC22\DRR Jaime\QUIFA-CAJÚA\Cajua\[CAJUA_CF_SEC_New_27-Feb-2024Rev3.xlsx]D-PRBND'!$BE$27</t>
  </si>
  <si>
    <t>='C:\Users\jaime.benazar\Quorum Business Solutions\Ecopetrol Prometeo - Documents\Planning Space Implementation\3. Analysis &amp; Design\Design\FC22\DRR Jaime\QUIFA-CAJÚA\Cajua\[CAJUA_CF_SEC_New_27-Feb-2024Rev3.xlsx]D-PRBND'!$BE$28</t>
  </si>
  <si>
    <t>='C:\Users\jaime.benazar\Quorum Business Solutions\Ecopetrol Prometeo - Documents\Planning Space Implementation\3. Analysis &amp; Design\Design\FC22\DRR Jaime\QUIFA-CAJÚA\Cajua\[CAJUA_CF_SEC_New_27-Feb-2024Rev3.xlsx]D-PRBND'!$BE$29</t>
  </si>
  <si>
    <t>='C:\Users\jaime.benazar\Quorum Business Solutions\Ecopetrol Prometeo - Documents\Planning Space Implementation\3. Analysis &amp; Design\Design\FC22\DRR Jaime\QUIFA-CAJÚA\Cajua\[CAJUA_CF_SEC_New_27-Feb-2024Rev3.xlsx]D-PRBND'!$BE$30</t>
  </si>
  <si>
    <t>='C:\Users\jaime.benazar\Quorum Business Solutions\Ecopetrol Prometeo - Documents\Planning Space Implementation\3. Analysis &amp; Design\Design\FC22\DRR Jaime\QUIFA-CAJÚA\Cajua\[CAJUA_CF_SEC_New_27-Feb-2024Rev3.xlsx]D-PRBND'!$BE$31</t>
  </si>
  <si>
    <t>='C:\Users\jaime.benazar\Quorum Business Solutions\Ecopetrol Prometeo - Documents\Planning Space Implementation\3. Analysis &amp; Design\Design\FC22\DRR Jaime\QUIFA-CAJÚA\Cajua\[CAJUA_CF_SEC_New_27-Feb-2024Rev3.xlsx]D-PRBND'!$BE$32</t>
  </si>
  <si>
    <t>='C:\Users\jaime.benazar\Quorum Business Solutions\Ecopetrol Prometeo - Documents\Planning Space Implementation\3. Analysis &amp; Design\Design\FC22\DRR Jaime\QUIFA-CAJÚA\Cajua\[CAJUA_CF_SEC_New_27-Feb-2024Rev3.xlsx]D-PRBND'!$BE$33</t>
  </si>
  <si>
    <t>='C:\Users\jaime.benazar\Quorum Business Solutions\Ecopetrol Prometeo - Documents\Planning Space Implementation\3. Analysis &amp; Design\Design\FC22\DRR Jaime\QUIFA-CAJÚA\Cajua\[CAJUA_CF_SEC_New_27-Feb-2024Rev3.xlsx]D-PRBND'!$BE$34</t>
  </si>
  <si>
    <t>='C:\Users\jaime.benazar\Quorum Business Solutions\Ecopetrol Prometeo - Documents\Planning Space Implementation\3. Analysis &amp; Design\Design\FC22\DRR Jaime\QUIFA-CAJÚA\Cajua\[CAJUA_CF_SEC_New_27-Feb-2024Rev3.xlsx]D-PRBND'!$BE$35</t>
  </si>
  <si>
    <t>='C:\Users\jaime.benazar\Quorum Business Solutions\Ecopetrol Prometeo - Documents\Planning Space Implementation\3. Analysis &amp; Design\Design\FC22\DRR Jaime\QUIFA-CAJÚA\Cajua\[CAJUA_CF_SEC_New_27-Feb-2024Rev3.xlsx]D-PRBND'!$BE$36</t>
  </si>
  <si>
    <t>='C:\Users\jaime.benazar\Quorum Business Solutions\Ecopetrol Prometeo - Documents\Planning Space Implementation\3. Analysis &amp; Design\Design\FC22\DRR Jaime\QUIFA-CAJÚA\Cajua\[CAJUA_CF_SEC_New_27-Feb-2024Rev3.xlsx]D-PRBND'!$BE$37</t>
  </si>
  <si>
    <t>='C:\Users\jaime.benazar\Quorum Business Solutions\Ecopetrol Prometeo - Documents\Planning Space Implementation\3. Analysis &amp; Design\Design\FC22\DRR Jaime\QUIFA-CAJÚA\Cajua\[CAJUA_CF_SEC_New_27-Feb-2024Rev3.xlsx]D-PRBND'!$BE$38</t>
  </si>
  <si>
    <t>='C:\Users\jaime.benazar\Quorum Business Solutions\Ecopetrol Prometeo - Documents\Planning Space Implementation\3. Analysis &amp; Design\Design\FC22\DRR Jaime\QUIFA-CAJÚA\Cajua\[CAJUA_CF_SEC_New_27-Feb-2024Rev3.xlsx]D-PRBND'!$BE$39</t>
  </si>
  <si>
    <t>='C:\Users\jaime.benazar\Quorum Business Solutions\Ecopetrol Prometeo - Documents\Planning Space Implementation\3. Analysis &amp; Design\Design\FC22\DRR Jaime\QUIFA-CAJÚA\Cajua\[CAJUA_CF_SEC_New_27-Feb-2024Rev3.xlsx]D-PRBND'!$BE$40</t>
  </si>
  <si>
    <t>='C:\Users\jaime.benazar\Quorum Business Solutions\Ecopetrol Prometeo - Documents\Planning Space Implementation\3. Analysis &amp; Design\Design\FC22\DRR Jaime\QUIFA-CAJÚA\Cajua\[CAJUA_CF_SEC_New_27-Feb-2024Rev3.xlsx]D-PRBND'!$BE$41</t>
  </si>
  <si>
    <t>='C:\Users\jaime.benazar\Quorum Business Solutions\Ecopetrol Prometeo - Documents\Planning Space Implementation\3. Analysis &amp; Design\Design\FC22\DRR Jaime\QUIFA-CAJÚA\Cajua\[CAJUA_CF_SEC_New_27-Feb-2024Rev3.xlsx]D-PRBND'!$BE$42</t>
  </si>
  <si>
    <t>='C:\Users\jaime.benazar\Quorum Business Solutions\Ecopetrol Prometeo - Documents\Planning Space Implementation\3. Analysis &amp; Design\Design\FC22\DRR Jaime\QUIFA-CAJÚA\Cajua\[CAJUA_CF_SEC_New_27-Feb-2024Rev3.xlsx]D-PRBND'!$BE$43</t>
  </si>
  <si>
    <t>='C:\Users\jaime.benazar\Quorum Business Solutions\Ecopetrol Prometeo - Documents\Planning Space Implementation\3. Analysis &amp; Design\Design\FC22\DRR Jaime\QUIFA-CAJÚA\Cajua\[CAJUA_CF_SEC_New_27-Feb-2024Rev3.xlsx]D-PRBND'!$BE$44</t>
  </si>
  <si>
    <t>='C:\Users\jaime.benazar\Quorum Business Solutions\Ecopetrol Prometeo - Documents\Planning Space Implementation\3. Analysis &amp; Design\Design\FC22\DRR Jaime\QUIFA-CAJÚA\Cajua\[CAJUA_CF_SEC_New_27-Feb-2024Rev3.xlsx]D-PRBND'!$BE$45</t>
  </si>
  <si>
    <t>='C:\Users\jaime.benazar\Quorum Business Solutions\Ecopetrol Prometeo - Documents\Planning Space Implementation\3. Analysis &amp; Design\Design\FC22\DRR Jaime\QUIFA-CAJÚA\Cajua\[CAJUA_CF_SEC_New_27-Feb-2024Rev3.xlsx]D-PRBND'!$BE$46</t>
  </si>
  <si>
    <t>='C:\Users\jaime.benazar\Quorum Business Solutions\Ecopetrol Prometeo - Documents\Planning Space Implementation\3. Analysis &amp; Design\Design\FC22\DRR Jaime\QUIFA-CAJÚA\Cajua\[CAJUA_CF_SEC_New_27-Feb-2024Rev3.xlsx]D-PRBND'!$BE$47</t>
  </si>
  <si>
    <t>='C:\Users\jaime.benazar\Quorum Business Solutions\Ecopetrol Prometeo - Documents\Planning Space Implementation\3. Analysis &amp; Design\Design\FC22\DRR Jaime\QUIFA-CAJÚA\Cajua\[CAJUA_CF_SEC_New_27-Feb-2024Rev3.xlsx]D-PRBND'!$BE$48</t>
  </si>
  <si>
    <t>='C:\Users\jaime.benazar\Quorum Business Solutions\Ecopetrol Prometeo - Documents\Planning Space Implementation\3. Analysis &amp; Design\Design\FC22\DRR Jaime\QUIFA-CAJÚA\Cajua\[CAJUA_CF_SEC_New_27-Feb-2024Rev3.xlsx]D-PRB'!$BE$12</t>
  </si>
  <si>
    <t>='C:\Users\jaime.benazar\Quorum Business Solutions\Ecopetrol Prometeo - Documents\Planning Space Implementation\3. Analysis &amp; Design\Design\FC22\DRR Jaime\QUIFA-CAJÚA\Cajua\[CAJUA_CF_SEC_New_27-Feb-2024Rev3.xlsx]D-PRB'!$BE$13</t>
  </si>
  <si>
    <t>='C:\Users\jaime.benazar\Quorum Business Solutions\Ecopetrol Prometeo - Documents\Planning Space Implementation\3. Analysis &amp; Design\Design\FC22\DRR Jaime\QUIFA-CAJÚA\Cajua\[CAJUA_CF_SEC_New_27-Feb-2024Rev3.xlsx]D-PRB'!$BE$14</t>
  </si>
  <si>
    <t>='C:\Users\jaime.benazar\Quorum Business Solutions\Ecopetrol Prometeo - Documents\Planning Space Implementation\3. Analysis &amp; Design\Design\FC22\DRR Jaime\QUIFA-CAJÚA\Cajua\[CAJUA_CF_SEC_New_27-Feb-2024Rev3.xlsx]D-PRB'!$BE$15</t>
  </si>
  <si>
    <t>='C:\Users\jaime.benazar\Quorum Business Solutions\Ecopetrol Prometeo - Documents\Planning Space Implementation\3. Analysis &amp; Design\Design\FC22\DRR Jaime\QUIFA-CAJÚA\Cajua\[CAJUA_CF_SEC_New_27-Feb-2024Rev3.xlsx]D-PRB'!$BE$16</t>
  </si>
  <si>
    <t>='C:\Users\jaime.benazar\Quorum Business Solutions\Ecopetrol Prometeo - Documents\Planning Space Implementation\3. Analysis &amp; Design\Design\FC22\DRR Jaime\QUIFA-CAJÚA\Cajua\[CAJUA_CF_SEC_New_27-Feb-2024Rev3.xlsx]D-PRB'!$BE$17</t>
  </si>
  <si>
    <t>='C:\Users\jaime.benazar\Quorum Business Solutions\Ecopetrol Prometeo - Documents\Planning Space Implementation\3. Analysis &amp; Design\Design\FC22\DRR Jaime\QUIFA-CAJÚA\Cajua\[CAJUA_CF_SEC_New_27-Feb-2024Rev3.xlsx]D-PRB'!$BE$18</t>
  </si>
  <si>
    <t>='C:\Users\jaime.benazar\Quorum Business Solutions\Ecopetrol Prometeo - Documents\Planning Space Implementation\3. Analysis &amp; Design\Design\FC22\DRR Jaime\QUIFA-CAJÚA\Cajua\[CAJUA_CF_SEC_New_27-Feb-2024Rev3.xlsx]D-PRB'!$BE$19</t>
  </si>
  <si>
    <t>='C:\Users\jaime.benazar\Quorum Business Solutions\Ecopetrol Prometeo - Documents\Planning Space Implementation\3. Analysis &amp; Design\Design\FC22\DRR Jaime\QUIFA-CAJÚA\Cajua\[CAJUA_CF_SEC_New_27-Feb-2024Rev3.xlsx]D-PRB'!$BE$20</t>
  </si>
  <si>
    <t>='C:\Users\jaime.benazar\Quorum Business Solutions\Ecopetrol Prometeo - Documents\Planning Space Implementation\3. Analysis &amp; Design\Design\FC22\DRR Jaime\QUIFA-CAJÚA\Cajua\[CAJUA_CF_SEC_New_27-Feb-2024Rev3.xlsx]D-PRB'!$BE$21</t>
  </si>
  <si>
    <t>='C:\Users\jaime.benazar\Quorum Business Solutions\Ecopetrol Prometeo - Documents\Planning Space Implementation\3. Analysis &amp; Design\Design\FC22\DRR Jaime\QUIFA-CAJÚA\Cajua\[CAJUA_CF_SEC_New_27-Feb-2024Rev3.xlsx]D-PRB'!$BE$22</t>
  </si>
  <si>
    <t>='C:\Users\jaime.benazar\Quorum Business Solutions\Ecopetrol Prometeo - Documents\Planning Space Implementation\3. Analysis &amp; Design\Design\FC22\DRR Jaime\QUIFA-CAJÚA\Cajua\[CAJUA_CF_SEC_New_27-Feb-2024Rev3.xlsx]D-PRB'!$BE$23</t>
  </si>
  <si>
    <t>='C:\Users\jaime.benazar\Quorum Business Solutions\Ecopetrol Prometeo - Documents\Planning Space Implementation\3. Analysis &amp; Design\Design\FC22\DRR Jaime\QUIFA-CAJÚA\Cajua\[CAJUA_CF_SEC_New_27-Feb-2024Rev3.xlsx]D-PRB'!$BE$24</t>
  </si>
  <si>
    <t>='C:\Users\jaime.benazar\Quorum Business Solutions\Ecopetrol Prometeo - Documents\Planning Space Implementation\3. Analysis &amp; Design\Design\FC22\DRR Jaime\QUIFA-CAJÚA\Cajua\[CAJUA_CF_SEC_New_27-Feb-2024Rev3.xlsx]D-PRB'!$BE$25</t>
  </si>
  <si>
    <t>='C:\Users\jaime.benazar\Quorum Business Solutions\Ecopetrol Prometeo - Documents\Planning Space Implementation\3. Analysis &amp; Design\Design\FC22\DRR Jaime\QUIFA-CAJÚA\Cajua\[CAJUA_CF_SEC_New_27-Feb-2024Rev3.xlsx]D-PRB'!$BE$26</t>
  </si>
  <si>
    <t>='C:\Users\jaime.benazar\Quorum Business Solutions\Ecopetrol Prometeo - Documents\Planning Space Implementation\3. Analysis &amp; Design\Design\FC22\DRR Jaime\QUIFA-CAJÚA\Cajua\[CAJUA_CF_SEC_New_27-Feb-2024Rev3.xlsx]D-PRB'!$BE$27</t>
  </si>
  <si>
    <t>='C:\Users\jaime.benazar\Quorum Business Solutions\Ecopetrol Prometeo - Documents\Planning Space Implementation\3. Analysis &amp; Design\Design\FC22\DRR Jaime\QUIFA-CAJÚA\Cajua\[CAJUA_CF_SEC_New_27-Feb-2024Rev3.xlsx]D-PRB'!$BE$28</t>
  </si>
  <si>
    <t>='C:\Users\jaime.benazar\Quorum Business Solutions\Ecopetrol Prometeo - Documents\Planning Space Implementation\3. Analysis &amp; Design\Design\FC22\DRR Jaime\QUIFA-CAJÚA\Cajua\[CAJUA_CF_SEC_New_27-Feb-2024Rev3.xlsx]D-PRB'!$BE$29</t>
  </si>
  <si>
    <t>='C:\Users\jaime.benazar\Quorum Business Solutions\Ecopetrol Prometeo - Documents\Planning Space Implementation\3. Analysis &amp; Design\Design\FC22\DRR Jaime\QUIFA-CAJÚA\Cajua\[CAJUA_CF_SEC_New_27-Feb-2024Rev3.xlsx]D-PRB'!$BE$30</t>
  </si>
  <si>
    <t>='C:\Users\jaime.benazar\Quorum Business Solutions\Ecopetrol Prometeo - Documents\Planning Space Implementation\3. Analysis &amp; Design\Design\FC22\DRR Jaime\QUIFA-CAJÚA\Cajua\[CAJUA_CF_SEC_New_27-Feb-2024Rev3.xlsx]D-PRB'!$BE$31</t>
  </si>
  <si>
    <t>='C:\Users\jaime.benazar\Quorum Business Solutions\Ecopetrol Prometeo - Documents\Planning Space Implementation\3. Analysis &amp; Design\Design\FC22\DRR Jaime\QUIFA-CAJÚA\Cajua\[CAJUA_CF_SEC_New_27-Feb-2024Rev3.xlsx]D-PRB'!$BE$32</t>
  </si>
  <si>
    <t>='C:\Users\jaime.benazar\Quorum Business Solutions\Ecopetrol Prometeo - Documents\Planning Space Implementation\3. Analysis &amp; Design\Design\FC22\DRR Jaime\QUIFA-CAJÚA\Cajua\[CAJUA_CF_SEC_New_27-Feb-2024Rev3.xlsx]D-PRB'!$BE$33</t>
  </si>
  <si>
    <t>='C:\Users\jaime.benazar\Quorum Business Solutions\Ecopetrol Prometeo - Documents\Planning Space Implementation\3. Analysis &amp; Design\Design\FC22\DRR Jaime\QUIFA-CAJÚA\Cajua\[CAJUA_CF_SEC_New_27-Feb-2024Rev3.xlsx]D-PRB'!$BE$34</t>
  </si>
  <si>
    <t>='C:\Users\jaime.benazar\Quorum Business Solutions\Ecopetrol Prometeo - Documents\Planning Space Implementation\3. Analysis &amp; Design\Design\FC22\DRR Jaime\QUIFA-CAJÚA\Cajua\[CAJUA_CF_SEC_New_27-Feb-2024Rev3.xlsx]D-PRB'!$BE$35</t>
  </si>
  <si>
    <t>='C:\Users\jaime.benazar\Quorum Business Solutions\Ecopetrol Prometeo - Documents\Planning Space Implementation\3. Analysis &amp; Design\Design\FC22\DRR Jaime\QUIFA-CAJÚA\Cajua\[CAJUA_CF_SEC_New_27-Feb-2024Rev3.xlsx]D-PRB'!$BE$36</t>
  </si>
  <si>
    <t>='C:\Users\jaime.benazar\Quorum Business Solutions\Ecopetrol Prometeo - Documents\Planning Space Implementation\3. Analysis &amp; Design\Design\FC22\DRR Jaime\QUIFA-CAJÚA\Cajua\[CAJUA_CF_SEC_New_27-Feb-2024Rev3.xlsx]D-PRB'!$BE$37</t>
  </si>
  <si>
    <t>='C:\Users\jaime.benazar\Quorum Business Solutions\Ecopetrol Prometeo - Documents\Planning Space Implementation\3. Analysis &amp; Design\Design\FC22\DRR Jaime\QUIFA-CAJÚA\Cajua\[CAJUA_CF_SEC_New_27-Feb-2024Rev3.xlsx]D-PRB'!$BE$38</t>
  </si>
  <si>
    <t>='C:\Users\jaime.benazar\Quorum Business Solutions\Ecopetrol Prometeo - Documents\Planning Space Implementation\3. Analysis &amp; Design\Design\FC22\DRR Jaime\QUIFA-CAJÚA\Cajua\[CAJUA_CF_SEC_New_27-Feb-2024Rev3.xlsx]D-PRB'!$BE$39</t>
  </si>
  <si>
    <t>='C:\Users\jaime.benazar\Quorum Business Solutions\Ecopetrol Prometeo - Documents\Planning Space Implementation\3. Analysis &amp; Design\Design\FC22\DRR Jaime\QUIFA-CAJÚA\Cajua\[CAJUA_CF_SEC_New_27-Feb-2024Rev3.xlsx]D-PRB'!$BE$40</t>
  </si>
  <si>
    <t>='C:\Users\jaime.benazar\Quorum Business Solutions\Ecopetrol Prometeo - Documents\Planning Space Implementation\3. Analysis &amp; Design\Design\FC22\DRR Jaime\QUIFA-CAJÚA\Cajua\[CAJUA_CF_SEC_New_27-Feb-2024Rev3.xlsx]D-PRB'!$BE$41</t>
  </si>
  <si>
    <t>='C:\Users\jaime.benazar\Quorum Business Solutions\Ecopetrol Prometeo - Documents\Planning Space Implementation\3. Analysis &amp; Design\Design\FC22\DRR Jaime\QUIFA-CAJÚA\Cajua\[CAJUA_CF_SEC_New_27-Feb-2024Rev3.xlsx]D-PRB'!$BE$42</t>
  </si>
  <si>
    <t>='C:\Users\jaime.benazar\Quorum Business Solutions\Ecopetrol Prometeo - Documents\Planning Space Implementation\3. Analysis &amp; Design\Design\FC22\DRR Jaime\QUIFA-CAJÚA\Cajua\[CAJUA_CF_SEC_New_27-Feb-2024Rev3.xlsx]D-PRB'!$BE$43</t>
  </si>
  <si>
    <t>='C:\Users\jaime.benazar\Quorum Business Solutions\Ecopetrol Prometeo - Documents\Planning Space Implementation\3. Analysis &amp; Design\Design\FC22\DRR Jaime\QUIFA-CAJÚA\Cajua\[CAJUA_CF_SEC_New_27-Feb-2024Rev3.xlsx]D-PRB'!$BE$44</t>
  </si>
  <si>
    <t>='C:\Users\jaime.benazar\Quorum Business Solutions\Ecopetrol Prometeo - Documents\Planning Space Implementation\3. Analysis &amp; Design\Design\FC22\DRR Jaime\QUIFA-CAJÚA\Cajua\[CAJUA_CF_SEC_New_27-Feb-2024Rev3.xlsx]D-PRB'!$BE$45</t>
  </si>
  <si>
    <t>='C:\Users\jaime.benazar\Quorum Business Solutions\Ecopetrol Prometeo - Documents\Planning Space Implementation\3. Analysis &amp; Design\Design\FC22\DRR Jaime\QUIFA-CAJÚA\Cajua\[CAJUA_CF_SEC_New_27-Feb-2024Rev3.xlsx]D-PRB'!$BE$46</t>
  </si>
  <si>
    <t>='C:\Users\jaime.benazar\Quorum Business Solutions\Ecopetrol Prometeo - Documents\Planning Space Implementation\3. Analysis &amp; Design\Design\FC22\DRR Jaime\QUIFA-CAJÚA\Cajua\[CAJUA_CF_SEC_New_27-Feb-2024Rev3.xlsx]D-PRB'!$BE$47</t>
  </si>
  <si>
    <t>='C:\Users\jaime.benazar\Quorum Business Solutions\Ecopetrol Prometeo - Documents\Planning Space Implementation\3. Analysis &amp; Design\Design\FC22\DRR Jaime\QUIFA-CAJÚA\Cajua\[CAJUA_CF_SEC_New_27-Feb-2024Rev3.xlsx]D-PRB'!$BE$48</t>
  </si>
  <si>
    <t>='C:\Users\jaime.benazar\Quorum Business Solutions\Ecopetrol Prometeo - Documents\Planning Space Implementation\3. Analysis &amp; Design\Design\FC22\DRR Jaime\QUIFA-CAJÚA\Cajua\[CAJUA_CF_SEC_New_27-Feb-2024Rev3.xlsx]D-PSDP'!$BE$12</t>
  </si>
  <si>
    <t>='C:\Users\jaime.benazar\Quorum Business Solutions\Ecopetrol Prometeo - Documents\Planning Space Implementation\3. Analysis &amp; Design\Design\FC22\DRR Jaime\QUIFA-CAJÚA\Cajua\[CAJUA_CF_SEC_New_27-Feb-2024Rev3.xlsx]D-PSDP'!$BE$13</t>
  </si>
  <si>
    <t>='C:\Users\jaime.benazar\Quorum Business Solutions\Ecopetrol Prometeo - Documents\Planning Space Implementation\3. Analysis &amp; Design\Design\FC22\DRR Jaime\QUIFA-CAJÚA\Cajua\[CAJUA_CF_SEC_New_27-Feb-2024Rev3.xlsx]D-PSDP'!$BE$14</t>
  </si>
  <si>
    <t>='C:\Users\jaime.benazar\Quorum Business Solutions\Ecopetrol Prometeo - Documents\Planning Space Implementation\3. Analysis &amp; Design\Design\FC22\DRR Jaime\QUIFA-CAJÚA\Cajua\[CAJUA_CF_SEC_New_27-Feb-2024Rev3.xlsx]D-PSDP'!$BE$15</t>
  </si>
  <si>
    <t>='C:\Users\jaime.benazar\Quorum Business Solutions\Ecopetrol Prometeo - Documents\Planning Space Implementation\3. Analysis &amp; Design\Design\FC22\DRR Jaime\QUIFA-CAJÚA\Cajua\[CAJUA_CF_SEC_New_27-Feb-2024Rev3.xlsx]D-PSDP'!$BE$16</t>
  </si>
  <si>
    <t>='C:\Users\jaime.benazar\Quorum Business Solutions\Ecopetrol Prometeo - Documents\Planning Space Implementation\3. Analysis &amp; Design\Design\FC22\DRR Jaime\QUIFA-CAJÚA\Cajua\[CAJUA_CF_SEC_New_27-Feb-2024Rev3.xlsx]D-PSDP'!$BE$17</t>
  </si>
  <si>
    <t>='C:\Users\jaime.benazar\Quorum Business Solutions\Ecopetrol Prometeo - Documents\Planning Space Implementation\3. Analysis &amp; Design\Design\FC22\DRR Jaime\QUIFA-CAJÚA\Cajua\[CAJUA_CF_SEC_New_27-Feb-2024Rev3.xlsx]D-PSDP'!$BE$18</t>
  </si>
  <si>
    <t>='C:\Users\jaime.benazar\Quorum Business Solutions\Ecopetrol Prometeo - Documents\Planning Space Implementation\3. Analysis &amp; Design\Design\FC22\DRR Jaime\QUIFA-CAJÚA\Cajua\[CAJUA_CF_SEC_New_27-Feb-2024Rev3.xlsx]D-PSDP'!$BE$19</t>
  </si>
  <si>
    <t>='C:\Users\jaime.benazar\Quorum Business Solutions\Ecopetrol Prometeo - Documents\Planning Space Implementation\3. Analysis &amp; Design\Design\FC22\DRR Jaime\QUIFA-CAJÚA\Cajua\[CAJUA_CF_SEC_New_27-Feb-2024Rev3.xlsx]D-PSDP'!$BE$20</t>
  </si>
  <si>
    <t>='C:\Users\jaime.benazar\Quorum Business Solutions\Ecopetrol Prometeo - Documents\Planning Space Implementation\3. Analysis &amp; Design\Design\FC22\DRR Jaime\QUIFA-CAJÚA\Cajua\[CAJUA_CF_SEC_New_27-Feb-2024Rev3.xlsx]D-PSDP'!$BE$21</t>
  </si>
  <si>
    <t>='C:\Users\jaime.benazar\Quorum Business Solutions\Ecopetrol Prometeo - Documents\Planning Space Implementation\3. Analysis &amp; Design\Design\FC22\DRR Jaime\QUIFA-CAJÚA\Cajua\[CAJUA_CF_SEC_New_27-Feb-2024Rev3.xlsx]D-PSDP'!$BE$22</t>
  </si>
  <si>
    <t>='C:\Users\jaime.benazar\Quorum Business Solutions\Ecopetrol Prometeo - Documents\Planning Space Implementation\3. Analysis &amp; Design\Design\FC22\DRR Jaime\QUIFA-CAJÚA\Cajua\[CAJUA_CF_SEC_New_27-Feb-2024Rev3.xlsx]D-PSDP'!$BE$23</t>
  </si>
  <si>
    <t>='C:\Users\jaime.benazar\Quorum Business Solutions\Ecopetrol Prometeo - Documents\Planning Space Implementation\3. Analysis &amp; Design\Design\FC22\DRR Jaime\QUIFA-CAJÚA\Cajua\[CAJUA_CF_SEC_New_27-Feb-2024Rev3.xlsx]D-PSDP'!$BE$24</t>
  </si>
  <si>
    <t>='C:\Users\jaime.benazar\Quorum Business Solutions\Ecopetrol Prometeo - Documents\Planning Space Implementation\3. Analysis &amp; Design\Design\FC22\DRR Jaime\QUIFA-CAJÚA\Cajua\[CAJUA_CF_SEC_New_27-Feb-2024Rev3.xlsx]D-PSDP'!$BE$25</t>
  </si>
  <si>
    <t>='C:\Users\jaime.benazar\Quorum Business Solutions\Ecopetrol Prometeo - Documents\Planning Space Implementation\3. Analysis &amp; Design\Design\FC22\DRR Jaime\QUIFA-CAJÚA\Cajua\[CAJUA_CF_SEC_New_27-Feb-2024Rev3.xlsx]D-PSDP'!$BE$26</t>
  </si>
  <si>
    <t>='C:\Users\jaime.benazar\Quorum Business Solutions\Ecopetrol Prometeo - Documents\Planning Space Implementation\3. Analysis &amp; Design\Design\FC22\DRR Jaime\QUIFA-CAJÚA\Cajua\[CAJUA_CF_SEC_New_27-Feb-2024Rev3.xlsx]D-PSDP'!$BE$27</t>
  </si>
  <si>
    <t>='C:\Users\jaime.benazar\Quorum Business Solutions\Ecopetrol Prometeo - Documents\Planning Space Implementation\3. Analysis &amp; Design\Design\FC22\DRR Jaime\QUIFA-CAJÚA\Cajua\[CAJUA_CF_SEC_New_27-Feb-2024Rev3.xlsx]D-PSDP'!$BE$28</t>
  </si>
  <si>
    <t>='C:\Users\jaime.benazar\Quorum Business Solutions\Ecopetrol Prometeo - Documents\Planning Space Implementation\3. Analysis &amp; Design\Design\FC22\DRR Jaime\QUIFA-CAJÚA\Cajua\[CAJUA_CF_SEC_New_27-Feb-2024Rev3.xlsx]D-PSDP'!$BE$29</t>
  </si>
  <si>
    <t>='C:\Users\jaime.benazar\Quorum Business Solutions\Ecopetrol Prometeo - Documents\Planning Space Implementation\3. Analysis &amp; Design\Design\FC22\DRR Jaime\QUIFA-CAJÚA\Cajua\[CAJUA_CF_SEC_New_27-Feb-2024Rev3.xlsx]D-PSDP'!$BE$30</t>
  </si>
  <si>
    <t>='C:\Users\jaime.benazar\Quorum Business Solutions\Ecopetrol Prometeo - Documents\Planning Space Implementation\3. Analysis &amp; Design\Design\FC22\DRR Jaime\QUIFA-CAJÚA\Cajua\[CAJUA_CF_SEC_New_27-Feb-2024Rev3.xlsx]D-PSDP'!$BE$31</t>
  </si>
  <si>
    <t>='C:\Users\jaime.benazar\Quorum Business Solutions\Ecopetrol Prometeo - Documents\Planning Space Implementation\3. Analysis &amp; Design\Design\FC22\DRR Jaime\QUIFA-CAJÚA\Cajua\[CAJUA_CF_SEC_New_27-Feb-2024Rev3.xlsx]D-PSDP'!$BE$32</t>
  </si>
  <si>
    <t>='C:\Users\jaime.benazar\Quorum Business Solutions\Ecopetrol Prometeo - Documents\Planning Space Implementation\3. Analysis &amp; Design\Design\FC22\DRR Jaime\QUIFA-CAJÚA\Cajua\[CAJUA_CF_SEC_New_27-Feb-2024Rev3.xlsx]D-PSDP'!$BE$33</t>
  </si>
  <si>
    <t>='C:\Users\jaime.benazar\Quorum Business Solutions\Ecopetrol Prometeo - Documents\Planning Space Implementation\3. Analysis &amp; Design\Design\FC22\DRR Jaime\QUIFA-CAJÚA\Cajua\[CAJUA_CF_SEC_New_27-Feb-2024Rev3.xlsx]D-PSDP'!$BE$34</t>
  </si>
  <si>
    <t>='C:\Users\jaime.benazar\Quorum Business Solutions\Ecopetrol Prometeo - Documents\Planning Space Implementation\3. Analysis &amp; Design\Design\FC22\DRR Jaime\QUIFA-CAJÚA\Cajua\[CAJUA_CF_SEC_New_27-Feb-2024Rev3.xlsx]D-PSDP'!$BE$35</t>
  </si>
  <si>
    <t>='C:\Users\jaime.benazar\Quorum Business Solutions\Ecopetrol Prometeo - Documents\Planning Space Implementation\3. Analysis &amp; Design\Design\FC22\DRR Jaime\QUIFA-CAJÚA\Cajua\[CAJUA_CF_SEC_New_27-Feb-2024Rev3.xlsx]D-PSDP'!$BE$36</t>
  </si>
  <si>
    <t>='C:\Users\jaime.benazar\Quorum Business Solutions\Ecopetrol Prometeo - Documents\Planning Space Implementation\3. Analysis &amp; Design\Design\FC22\DRR Jaime\QUIFA-CAJÚA\Cajua\[CAJUA_CF_SEC_New_27-Feb-2024Rev3.xlsx]D-PSDP'!$BE$37</t>
  </si>
  <si>
    <t>='C:\Users\jaime.benazar\Quorum Business Solutions\Ecopetrol Prometeo - Documents\Planning Space Implementation\3. Analysis &amp; Design\Design\FC22\DRR Jaime\QUIFA-CAJÚA\Cajua\[CAJUA_CF_SEC_New_27-Feb-2024Rev3.xlsx]D-PSDP'!$BE$38</t>
  </si>
  <si>
    <t>='C:\Users\jaime.benazar\Quorum Business Solutions\Ecopetrol Prometeo - Documents\Planning Space Implementation\3. Analysis &amp; Design\Design\FC22\DRR Jaime\QUIFA-CAJÚA\Cajua\[CAJUA_CF_SEC_New_27-Feb-2024Rev3.xlsx]D-PSDP'!$BE$39</t>
  </si>
  <si>
    <t>='C:\Users\jaime.benazar\Quorum Business Solutions\Ecopetrol Prometeo - Documents\Planning Space Implementation\3. Analysis &amp; Design\Design\FC22\DRR Jaime\QUIFA-CAJÚA\Cajua\[CAJUA_CF_SEC_New_27-Feb-2024Rev3.xlsx]D-PSDP'!$BE$40</t>
  </si>
  <si>
    <t>='C:\Users\jaime.benazar\Quorum Business Solutions\Ecopetrol Prometeo - Documents\Planning Space Implementation\3. Analysis &amp; Design\Design\FC22\DRR Jaime\QUIFA-CAJÚA\Cajua\[CAJUA_CF_SEC_New_27-Feb-2024Rev3.xlsx]D-PSDP'!$BE$41</t>
  </si>
  <si>
    <t>='C:\Users\jaime.benazar\Quorum Business Solutions\Ecopetrol Prometeo - Documents\Planning Space Implementation\3. Analysis &amp; Design\Design\FC22\DRR Jaime\QUIFA-CAJÚA\Cajua\[CAJUA_CF_SEC_New_27-Feb-2024Rev3.xlsx]D-PSDP'!$BE$42</t>
  </si>
  <si>
    <t>='C:\Users\jaime.benazar\Quorum Business Solutions\Ecopetrol Prometeo - Documents\Planning Space Implementation\3. Analysis &amp; Design\Design\FC22\DRR Jaime\QUIFA-CAJÚA\Cajua\[CAJUA_CF_SEC_New_27-Feb-2024Rev3.xlsx]D-PSDP'!$BE$43</t>
  </si>
  <si>
    <t>='C:\Users\jaime.benazar\Quorum Business Solutions\Ecopetrol Prometeo - Documents\Planning Space Implementation\3. Analysis &amp; Design\Design\FC22\DRR Jaime\QUIFA-CAJÚA\Cajua\[CAJUA_CF_SEC_New_27-Feb-2024Rev3.xlsx]D-PSDP'!$BE$44</t>
  </si>
  <si>
    <t>='C:\Users\jaime.benazar\Quorum Business Solutions\Ecopetrol Prometeo - Documents\Planning Space Implementation\3. Analysis &amp; Design\Design\FC22\DRR Jaime\QUIFA-CAJÚA\Cajua\[CAJUA_CF_SEC_New_27-Feb-2024Rev3.xlsx]D-PSDP'!$BE$45</t>
  </si>
  <si>
    <t>='C:\Users\jaime.benazar\Quorum Business Solutions\Ecopetrol Prometeo - Documents\Planning Space Implementation\3. Analysis &amp; Design\Design\FC22\DRR Jaime\QUIFA-CAJÚA\Cajua\[CAJUA_CF_SEC_New_27-Feb-2024Rev3.xlsx]D-PSDP'!$BE$46</t>
  </si>
  <si>
    <t>='C:\Users\jaime.benazar\Quorum Business Solutions\Ecopetrol Prometeo - Documents\Planning Space Implementation\3. Analysis &amp; Design\Design\FC22\DRR Jaime\QUIFA-CAJÚA\Cajua\[CAJUA_CF_SEC_New_27-Feb-2024Rev3.xlsx]D-PSDP'!$BE$47</t>
  </si>
  <si>
    <t>='C:\Users\jaime.benazar\Quorum Business Solutions\Ecopetrol Prometeo - Documents\Planning Space Implementation\3. Analysis &amp; Design\Design\FC22\DRR Jaime\QUIFA-CAJÚA\Cajua\[CAJUA_CF_SEC_New_27-Feb-2024Rev3.xlsx]D-PSDP'!$BE$48</t>
  </si>
  <si>
    <t>='C:\Users\jaime.benazar\Quorum Business Solutions\Ecopetrol Prometeo - Documents\Planning Space Implementation\3. Analysis &amp; Design\Design\FC22\DRR Jaime\QUIFA-CAJÚA\Cajua\[CAJUA_CF_SEC_New_27-Feb-2024Rev3.xlsx]D-PSNP'!$BE$12</t>
  </si>
  <si>
    <t>='C:\Users\jaime.benazar\Quorum Business Solutions\Ecopetrol Prometeo - Documents\Planning Space Implementation\3. Analysis &amp; Design\Design\FC22\DRR Jaime\QUIFA-CAJÚA\Cajua\[CAJUA_CF_SEC_New_27-Feb-2024Rev3.xlsx]D-PSNP'!$BE$13</t>
  </si>
  <si>
    <t>='C:\Users\jaime.benazar\Quorum Business Solutions\Ecopetrol Prometeo - Documents\Planning Space Implementation\3. Analysis &amp; Design\Design\FC22\DRR Jaime\QUIFA-CAJÚA\Cajua\[CAJUA_CF_SEC_New_27-Feb-2024Rev3.xlsx]D-PSNP'!$BE$14</t>
  </si>
  <si>
    <t>='C:\Users\jaime.benazar\Quorum Business Solutions\Ecopetrol Prometeo - Documents\Planning Space Implementation\3. Analysis &amp; Design\Design\FC22\DRR Jaime\QUIFA-CAJÚA\Cajua\[CAJUA_CF_SEC_New_27-Feb-2024Rev3.xlsx]D-PSNP'!$BE$15</t>
  </si>
  <si>
    <t>='C:\Users\jaime.benazar\Quorum Business Solutions\Ecopetrol Prometeo - Documents\Planning Space Implementation\3. Analysis &amp; Design\Design\FC22\DRR Jaime\QUIFA-CAJÚA\Cajua\[CAJUA_CF_SEC_New_27-Feb-2024Rev3.xlsx]D-PSNP'!$BE$16</t>
  </si>
  <si>
    <t>='C:\Users\jaime.benazar\Quorum Business Solutions\Ecopetrol Prometeo - Documents\Planning Space Implementation\3. Analysis &amp; Design\Design\FC22\DRR Jaime\QUIFA-CAJÚA\Cajua\[CAJUA_CF_SEC_New_27-Feb-2024Rev3.xlsx]D-PSNP'!$BE$17</t>
  </si>
  <si>
    <t>='C:\Users\jaime.benazar\Quorum Business Solutions\Ecopetrol Prometeo - Documents\Planning Space Implementation\3. Analysis &amp; Design\Design\FC22\DRR Jaime\QUIFA-CAJÚA\Cajua\[CAJUA_CF_SEC_New_27-Feb-2024Rev3.xlsx]D-PSNP'!$BE$18</t>
  </si>
  <si>
    <t>='C:\Users\jaime.benazar\Quorum Business Solutions\Ecopetrol Prometeo - Documents\Planning Space Implementation\3. Analysis &amp; Design\Design\FC22\DRR Jaime\QUIFA-CAJÚA\Cajua\[CAJUA_CF_SEC_New_27-Feb-2024Rev3.xlsx]D-PSNP'!$BE$19</t>
  </si>
  <si>
    <t>='C:\Users\jaime.benazar\Quorum Business Solutions\Ecopetrol Prometeo - Documents\Planning Space Implementation\3. Analysis &amp; Design\Design\FC22\DRR Jaime\QUIFA-CAJÚA\Cajua\[CAJUA_CF_SEC_New_27-Feb-2024Rev3.xlsx]D-PSNP'!$BE$20</t>
  </si>
  <si>
    <t>='C:\Users\jaime.benazar\Quorum Business Solutions\Ecopetrol Prometeo - Documents\Planning Space Implementation\3. Analysis &amp; Design\Design\FC22\DRR Jaime\QUIFA-CAJÚA\Cajua\[CAJUA_CF_SEC_New_27-Feb-2024Rev3.xlsx]D-PSNP'!$BE$21</t>
  </si>
  <si>
    <t>='C:\Users\jaime.benazar\Quorum Business Solutions\Ecopetrol Prometeo - Documents\Planning Space Implementation\3. Analysis &amp; Design\Design\FC22\DRR Jaime\QUIFA-CAJÚA\Cajua\[CAJUA_CF_SEC_New_27-Feb-2024Rev3.xlsx]D-PSNP'!$BE$22</t>
  </si>
  <si>
    <t>='C:\Users\jaime.benazar\Quorum Business Solutions\Ecopetrol Prometeo - Documents\Planning Space Implementation\3. Analysis &amp; Design\Design\FC22\DRR Jaime\QUIFA-CAJÚA\Cajua\[CAJUA_CF_SEC_New_27-Feb-2024Rev3.xlsx]D-PSNP'!$BE$23</t>
  </si>
  <si>
    <t>='C:\Users\jaime.benazar\Quorum Business Solutions\Ecopetrol Prometeo - Documents\Planning Space Implementation\3. Analysis &amp; Design\Design\FC22\DRR Jaime\QUIFA-CAJÚA\Cajua\[CAJUA_CF_SEC_New_27-Feb-2024Rev3.xlsx]D-PSNP'!$BE$24</t>
  </si>
  <si>
    <t>='C:\Users\jaime.benazar\Quorum Business Solutions\Ecopetrol Prometeo - Documents\Planning Space Implementation\3. Analysis &amp; Design\Design\FC22\DRR Jaime\QUIFA-CAJÚA\Cajua\[CAJUA_CF_SEC_New_27-Feb-2024Rev3.xlsx]D-PSNP'!$BE$25</t>
  </si>
  <si>
    <t>='C:\Users\jaime.benazar\Quorum Business Solutions\Ecopetrol Prometeo - Documents\Planning Space Implementation\3. Analysis &amp; Design\Design\FC22\DRR Jaime\QUIFA-CAJÚA\Cajua\[CAJUA_CF_SEC_New_27-Feb-2024Rev3.xlsx]D-PSNP'!$BE$26</t>
  </si>
  <si>
    <t>='C:\Users\jaime.benazar\Quorum Business Solutions\Ecopetrol Prometeo - Documents\Planning Space Implementation\3. Analysis &amp; Design\Design\FC22\DRR Jaime\QUIFA-CAJÚA\Cajua\[CAJUA_CF_SEC_New_27-Feb-2024Rev3.xlsx]D-PSNP'!$BE$27</t>
  </si>
  <si>
    <t>='C:\Users\jaime.benazar\Quorum Business Solutions\Ecopetrol Prometeo - Documents\Planning Space Implementation\3. Analysis &amp; Design\Design\FC22\DRR Jaime\QUIFA-CAJÚA\Cajua\[CAJUA_CF_SEC_New_27-Feb-2024Rev3.xlsx]D-PSNP'!$BE$28</t>
  </si>
  <si>
    <t>='C:\Users\jaime.benazar\Quorum Business Solutions\Ecopetrol Prometeo - Documents\Planning Space Implementation\3. Analysis &amp; Design\Design\FC22\DRR Jaime\QUIFA-CAJÚA\Cajua\[CAJUA_CF_SEC_New_27-Feb-2024Rev3.xlsx]D-PSNP'!$BE$29</t>
  </si>
  <si>
    <t>='C:\Users\jaime.benazar\Quorum Business Solutions\Ecopetrol Prometeo - Documents\Planning Space Implementation\3. Analysis &amp; Design\Design\FC22\DRR Jaime\QUIFA-CAJÚA\Cajua\[CAJUA_CF_SEC_New_27-Feb-2024Rev3.xlsx]D-PSNP'!$BE$30</t>
  </si>
  <si>
    <t>='C:\Users\jaime.benazar\Quorum Business Solutions\Ecopetrol Prometeo - Documents\Planning Space Implementation\3. Analysis &amp; Design\Design\FC22\DRR Jaime\QUIFA-CAJÚA\Cajua\[CAJUA_CF_SEC_New_27-Feb-2024Rev3.xlsx]D-PSNP'!$BE$31</t>
  </si>
  <si>
    <t>='C:\Users\jaime.benazar\Quorum Business Solutions\Ecopetrol Prometeo - Documents\Planning Space Implementation\3. Analysis &amp; Design\Design\FC22\DRR Jaime\QUIFA-CAJÚA\Cajua\[CAJUA_CF_SEC_New_27-Feb-2024Rev3.xlsx]D-PSNP'!$BE$32</t>
  </si>
  <si>
    <t>='C:\Users\jaime.benazar\Quorum Business Solutions\Ecopetrol Prometeo - Documents\Planning Space Implementation\3. Analysis &amp; Design\Design\FC22\DRR Jaime\QUIFA-CAJÚA\Cajua\[CAJUA_CF_SEC_New_27-Feb-2024Rev3.xlsx]D-PSNP'!$BE$33</t>
  </si>
  <si>
    <t>='C:\Users\jaime.benazar\Quorum Business Solutions\Ecopetrol Prometeo - Documents\Planning Space Implementation\3. Analysis &amp; Design\Design\FC22\DRR Jaime\QUIFA-CAJÚA\Cajua\[CAJUA_CF_SEC_New_27-Feb-2024Rev3.xlsx]D-PSNP'!$BE$34</t>
  </si>
  <si>
    <t>='C:\Users\jaime.benazar\Quorum Business Solutions\Ecopetrol Prometeo - Documents\Planning Space Implementation\3. Analysis &amp; Design\Design\FC22\DRR Jaime\QUIFA-CAJÚA\Cajua\[CAJUA_CF_SEC_New_27-Feb-2024Rev3.xlsx]D-PSNP'!$BE$35</t>
  </si>
  <si>
    <t>='C:\Users\jaime.benazar\Quorum Business Solutions\Ecopetrol Prometeo - Documents\Planning Space Implementation\3. Analysis &amp; Design\Design\FC22\DRR Jaime\QUIFA-CAJÚA\Cajua\[CAJUA_CF_SEC_New_27-Feb-2024Rev3.xlsx]D-PSNP'!$BE$36</t>
  </si>
  <si>
    <t>='C:\Users\jaime.benazar\Quorum Business Solutions\Ecopetrol Prometeo - Documents\Planning Space Implementation\3. Analysis &amp; Design\Design\FC22\DRR Jaime\QUIFA-CAJÚA\Cajua\[CAJUA_CF_SEC_New_27-Feb-2024Rev3.xlsx]D-PSNP'!$BE$37</t>
  </si>
  <si>
    <t>='C:\Users\jaime.benazar\Quorum Business Solutions\Ecopetrol Prometeo - Documents\Planning Space Implementation\3. Analysis &amp; Design\Design\FC22\DRR Jaime\QUIFA-CAJÚA\Cajua\[CAJUA_CF_SEC_New_27-Feb-2024Rev3.xlsx]D-PSNP'!$BE$38</t>
  </si>
  <si>
    <t>='C:\Users\jaime.benazar\Quorum Business Solutions\Ecopetrol Prometeo - Documents\Planning Space Implementation\3. Analysis &amp; Design\Design\FC22\DRR Jaime\QUIFA-CAJÚA\Cajua\[CAJUA_CF_SEC_New_27-Feb-2024Rev3.xlsx]D-PSNP'!$BE$39</t>
  </si>
  <si>
    <t>='C:\Users\jaime.benazar\Quorum Business Solutions\Ecopetrol Prometeo - Documents\Planning Space Implementation\3. Analysis &amp; Design\Design\FC22\DRR Jaime\QUIFA-CAJÚA\Cajua\[CAJUA_CF_SEC_New_27-Feb-2024Rev3.xlsx]D-PSNP'!$BE$40</t>
  </si>
  <si>
    <t>='C:\Users\jaime.benazar\Quorum Business Solutions\Ecopetrol Prometeo - Documents\Planning Space Implementation\3. Analysis &amp; Design\Design\FC22\DRR Jaime\QUIFA-CAJÚA\Cajua\[CAJUA_CF_SEC_New_27-Feb-2024Rev3.xlsx]D-PSNP'!$BE$41</t>
  </si>
  <si>
    <t>='C:\Users\jaime.benazar\Quorum Business Solutions\Ecopetrol Prometeo - Documents\Planning Space Implementation\3. Analysis &amp; Design\Design\FC22\DRR Jaime\QUIFA-CAJÚA\Cajua\[CAJUA_CF_SEC_New_27-Feb-2024Rev3.xlsx]D-PSNP'!$BE$42</t>
  </si>
  <si>
    <t>='C:\Users\jaime.benazar\Quorum Business Solutions\Ecopetrol Prometeo - Documents\Planning Space Implementation\3. Analysis &amp; Design\Design\FC22\DRR Jaime\QUIFA-CAJÚA\Cajua\[CAJUA_CF_SEC_New_27-Feb-2024Rev3.xlsx]D-PSNP'!$BE$43</t>
  </si>
  <si>
    <t>='C:\Users\jaime.benazar\Quorum Business Solutions\Ecopetrol Prometeo - Documents\Planning Space Implementation\3. Analysis &amp; Design\Design\FC22\DRR Jaime\QUIFA-CAJÚA\Cajua\[CAJUA_CF_SEC_New_27-Feb-2024Rev3.xlsx]D-PSNP'!$BE$44</t>
  </si>
  <si>
    <t>='C:\Users\jaime.benazar\Quorum Business Solutions\Ecopetrol Prometeo - Documents\Planning Space Implementation\3. Analysis &amp; Design\Design\FC22\DRR Jaime\QUIFA-CAJÚA\Cajua\[CAJUA_CF_SEC_New_27-Feb-2024Rev3.xlsx]D-PSNP'!$BE$45</t>
  </si>
  <si>
    <t>='C:\Users\jaime.benazar\Quorum Business Solutions\Ecopetrol Prometeo - Documents\Planning Space Implementation\3. Analysis &amp; Design\Design\FC22\DRR Jaime\QUIFA-CAJÚA\Cajua\[CAJUA_CF_SEC_New_27-Feb-2024Rev3.xlsx]D-PSNP'!$BE$46</t>
  </si>
  <si>
    <t>='C:\Users\jaime.benazar\Quorum Business Solutions\Ecopetrol Prometeo - Documents\Planning Space Implementation\3. Analysis &amp; Design\Design\FC22\DRR Jaime\QUIFA-CAJÚA\Cajua\[CAJUA_CF_SEC_New_27-Feb-2024Rev3.xlsx]D-PSNP'!$BE$47</t>
  </si>
  <si>
    <t>='C:\Users\jaime.benazar\Quorum Business Solutions\Ecopetrol Prometeo - Documents\Planning Space Implementation\3. Analysis &amp; Design\Design\FC22\DRR Jaime\QUIFA-CAJÚA\Cajua\[CAJUA_CF_SEC_New_27-Feb-2024Rev3.xlsx]D-PSNP'!$BE$48</t>
  </si>
  <si>
    <t>='C:\Users\jaime.benazar\Quorum Business Solutions\Ecopetrol Prometeo - Documents\Planning Space Implementation\3. Analysis &amp; Design\Design\FC22\DRR Jaime\QUIFA-CAJÚA\Cajua\[CAJUA_CF_SEC_New_27-Feb-2024Rev3.xlsx]D-PSND'!$BE$12</t>
  </si>
  <si>
    <t>='C:\Users\jaime.benazar\Quorum Business Solutions\Ecopetrol Prometeo - Documents\Planning Space Implementation\3. Analysis &amp; Design\Design\FC22\DRR Jaime\QUIFA-CAJÚA\Cajua\[CAJUA_CF_SEC_New_27-Feb-2024Rev3.xlsx]D-PSND'!$BE$13</t>
  </si>
  <si>
    <t>='C:\Users\jaime.benazar\Quorum Business Solutions\Ecopetrol Prometeo - Documents\Planning Space Implementation\3. Analysis &amp; Design\Design\FC22\DRR Jaime\QUIFA-CAJÚA\Cajua\[CAJUA_CF_SEC_New_27-Feb-2024Rev3.xlsx]D-PSND'!$BE$14</t>
  </si>
  <si>
    <t>='C:\Users\jaime.benazar\Quorum Business Solutions\Ecopetrol Prometeo - Documents\Planning Space Implementation\3. Analysis &amp; Design\Design\FC22\DRR Jaime\QUIFA-CAJÚA\Cajua\[CAJUA_CF_SEC_New_27-Feb-2024Rev3.xlsx]D-PSND'!$BE$15</t>
  </si>
  <si>
    <t>='C:\Users\jaime.benazar\Quorum Business Solutions\Ecopetrol Prometeo - Documents\Planning Space Implementation\3. Analysis &amp; Design\Design\FC22\DRR Jaime\QUIFA-CAJÚA\Cajua\[CAJUA_CF_SEC_New_27-Feb-2024Rev3.xlsx]D-PSND'!$BE$16</t>
  </si>
  <si>
    <t>='C:\Users\jaime.benazar\Quorum Business Solutions\Ecopetrol Prometeo - Documents\Planning Space Implementation\3. Analysis &amp; Design\Design\FC22\DRR Jaime\QUIFA-CAJÚA\Cajua\[CAJUA_CF_SEC_New_27-Feb-2024Rev3.xlsx]D-PSND'!$BE$17</t>
  </si>
  <si>
    <t>='C:\Users\jaime.benazar\Quorum Business Solutions\Ecopetrol Prometeo - Documents\Planning Space Implementation\3. Analysis &amp; Design\Design\FC22\DRR Jaime\QUIFA-CAJÚA\Cajua\[CAJUA_CF_SEC_New_27-Feb-2024Rev3.xlsx]D-PSND'!$BE$18</t>
  </si>
  <si>
    <t>='C:\Users\jaime.benazar\Quorum Business Solutions\Ecopetrol Prometeo - Documents\Planning Space Implementation\3. Analysis &amp; Design\Design\FC22\DRR Jaime\QUIFA-CAJÚA\Cajua\[CAJUA_CF_SEC_New_27-Feb-2024Rev3.xlsx]D-PSND'!$BE$19</t>
  </si>
  <si>
    <t>='C:\Users\jaime.benazar\Quorum Business Solutions\Ecopetrol Prometeo - Documents\Planning Space Implementation\3. Analysis &amp; Design\Design\FC22\DRR Jaime\QUIFA-CAJÚA\Cajua\[CAJUA_CF_SEC_New_27-Feb-2024Rev3.xlsx]D-PSND'!$BE$20</t>
  </si>
  <si>
    <t>='C:\Users\jaime.benazar\Quorum Business Solutions\Ecopetrol Prometeo - Documents\Planning Space Implementation\3. Analysis &amp; Design\Design\FC22\DRR Jaime\QUIFA-CAJÚA\Cajua\[CAJUA_CF_SEC_New_27-Feb-2024Rev3.xlsx]D-PSND'!$BE$21</t>
  </si>
  <si>
    <t>='C:\Users\jaime.benazar\Quorum Business Solutions\Ecopetrol Prometeo - Documents\Planning Space Implementation\3. Analysis &amp; Design\Design\FC22\DRR Jaime\QUIFA-CAJÚA\Cajua\[CAJUA_CF_SEC_New_27-Feb-2024Rev3.xlsx]D-PSND'!$BE$22</t>
  </si>
  <si>
    <t>='C:\Users\jaime.benazar\Quorum Business Solutions\Ecopetrol Prometeo - Documents\Planning Space Implementation\3. Analysis &amp; Design\Design\FC22\DRR Jaime\QUIFA-CAJÚA\Cajua\[CAJUA_CF_SEC_New_27-Feb-2024Rev3.xlsx]D-PSND'!$BE$23</t>
  </si>
  <si>
    <t>='C:\Users\jaime.benazar\Quorum Business Solutions\Ecopetrol Prometeo - Documents\Planning Space Implementation\3. Analysis &amp; Design\Design\FC22\DRR Jaime\QUIFA-CAJÚA\Cajua\[CAJUA_CF_SEC_New_27-Feb-2024Rev3.xlsx]D-PSND'!$BE$24</t>
  </si>
  <si>
    <t>='C:\Users\jaime.benazar\Quorum Business Solutions\Ecopetrol Prometeo - Documents\Planning Space Implementation\3. Analysis &amp; Design\Design\FC22\DRR Jaime\QUIFA-CAJÚA\Cajua\[CAJUA_CF_SEC_New_27-Feb-2024Rev3.xlsx]D-PSND'!$BE$25</t>
  </si>
  <si>
    <t>='C:\Users\jaime.benazar\Quorum Business Solutions\Ecopetrol Prometeo - Documents\Planning Space Implementation\3. Analysis &amp; Design\Design\FC22\DRR Jaime\QUIFA-CAJÚA\Cajua\[CAJUA_CF_SEC_New_27-Feb-2024Rev3.xlsx]D-PSND'!$BE$26</t>
  </si>
  <si>
    <t>='C:\Users\jaime.benazar\Quorum Business Solutions\Ecopetrol Prometeo - Documents\Planning Space Implementation\3. Analysis &amp; Design\Design\FC22\DRR Jaime\QUIFA-CAJÚA\Cajua\[CAJUA_CF_SEC_New_27-Feb-2024Rev3.xlsx]D-PSND'!$BE$27</t>
  </si>
  <si>
    <t>='C:\Users\jaime.benazar\Quorum Business Solutions\Ecopetrol Prometeo - Documents\Planning Space Implementation\3. Analysis &amp; Design\Design\FC22\DRR Jaime\QUIFA-CAJÚA\Cajua\[CAJUA_CF_SEC_New_27-Feb-2024Rev3.xlsx]D-PSND'!$BE$28</t>
  </si>
  <si>
    <t>='C:\Users\jaime.benazar\Quorum Business Solutions\Ecopetrol Prometeo - Documents\Planning Space Implementation\3. Analysis &amp; Design\Design\FC22\DRR Jaime\QUIFA-CAJÚA\Cajua\[CAJUA_CF_SEC_New_27-Feb-2024Rev3.xlsx]D-PSND'!$BE$29</t>
  </si>
  <si>
    <t>='C:\Users\jaime.benazar\Quorum Business Solutions\Ecopetrol Prometeo - Documents\Planning Space Implementation\3. Analysis &amp; Design\Design\FC22\DRR Jaime\QUIFA-CAJÚA\Cajua\[CAJUA_CF_SEC_New_27-Feb-2024Rev3.xlsx]D-PSND'!$BE$30</t>
  </si>
  <si>
    <t>='C:\Users\jaime.benazar\Quorum Business Solutions\Ecopetrol Prometeo - Documents\Planning Space Implementation\3. Analysis &amp; Design\Design\FC22\DRR Jaime\QUIFA-CAJÚA\Cajua\[CAJUA_CF_SEC_New_27-Feb-2024Rev3.xlsx]D-PSND'!$BE$31</t>
  </si>
  <si>
    <t>='C:\Users\jaime.benazar\Quorum Business Solutions\Ecopetrol Prometeo - Documents\Planning Space Implementation\3. Analysis &amp; Design\Design\FC22\DRR Jaime\QUIFA-CAJÚA\Cajua\[CAJUA_CF_SEC_New_27-Feb-2024Rev3.xlsx]D-PSND'!$BE$32</t>
  </si>
  <si>
    <t>='C:\Users\jaime.benazar\Quorum Business Solutions\Ecopetrol Prometeo - Documents\Planning Space Implementation\3. Analysis &amp; Design\Design\FC22\DRR Jaime\QUIFA-CAJÚA\Cajua\[CAJUA_CF_SEC_New_27-Feb-2024Rev3.xlsx]D-PSND'!$BE$33</t>
  </si>
  <si>
    <t>='C:\Users\jaime.benazar\Quorum Business Solutions\Ecopetrol Prometeo - Documents\Planning Space Implementation\3. Analysis &amp; Design\Design\FC22\DRR Jaime\QUIFA-CAJÚA\Cajua\[CAJUA_CF_SEC_New_27-Feb-2024Rev3.xlsx]D-PSND'!$BE$34</t>
  </si>
  <si>
    <t>='C:\Users\jaime.benazar\Quorum Business Solutions\Ecopetrol Prometeo - Documents\Planning Space Implementation\3. Analysis &amp; Design\Design\FC22\DRR Jaime\QUIFA-CAJÚA\Cajua\[CAJUA_CF_SEC_New_27-Feb-2024Rev3.xlsx]D-PSND'!$BE$35</t>
  </si>
  <si>
    <t>='C:\Users\jaime.benazar\Quorum Business Solutions\Ecopetrol Prometeo - Documents\Planning Space Implementation\3. Analysis &amp; Design\Design\FC22\DRR Jaime\QUIFA-CAJÚA\Cajua\[CAJUA_CF_SEC_New_27-Feb-2024Rev3.xlsx]D-PSND'!$BE$36</t>
  </si>
  <si>
    <t>='C:\Users\jaime.benazar\Quorum Business Solutions\Ecopetrol Prometeo - Documents\Planning Space Implementation\3. Analysis &amp; Design\Design\FC22\DRR Jaime\QUIFA-CAJÚA\Cajua\[CAJUA_CF_SEC_New_27-Feb-2024Rev3.xlsx]D-PSND'!$BE$37</t>
  </si>
  <si>
    <t>='C:\Users\jaime.benazar\Quorum Business Solutions\Ecopetrol Prometeo - Documents\Planning Space Implementation\3. Analysis &amp; Design\Design\FC22\DRR Jaime\QUIFA-CAJÚA\Cajua\[CAJUA_CF_SEC_New_27-Feb-2024Rev3.xlsx]D-PSND'!$BE$38</t>
  </si>
  <si>
    <t>='C:\Users\jaime.benazar\Quorum Business Solutions\Ecopetrol Prometeo - Documents\Planning Space Implementation\3. Analysis &amp; Design\Design\FC22\DRR Jaime\QUIFA-CAJÚA\Cajua\[CAJUA_CF_SEC_New_27-Feb-2024Rev3.xlsx]D-PSND'!$BE$39</t>
  </si>
  <si>
    <t>='C:\Users\jaime.benazar\Quorum Business Solutions\Ecopetrol Prometeo - Documents\Planning Space Implementation\3. Analysis &amp; Design\Design\FC22\DRR Jaime\QUIFA-CAJÚA\Cajua\[CAJUA_CF_SEC_New_27-Feb-2024Rev3.xlsx]D-PSND'!$BE$40</t>
  </si>
  <si>
    <t>='C:\Users\jaime.benazar\Quorum Business Solutions\Ecopetrol Prometeo - Documents\Planning Space Implementation\3. Analysis &amp; Design\Design\FC22\DRR Jaime\QUIFA-CAJÚA\Cajua\[CAJUA_CF_SEC_New_27-Feb-2024Rev3.xlsx]D-PSND'!$BE$41</t>
  </si>
  <si>
    <t>='C:\Users\jaime.benazar\Quorum Business Solutions\Ecopetrol Prometeo - Documents\Planning Space Implementation\3. Analysis &amp; Design\Design\FC22\DRR Jaime\QUIFA-CAJÚA\Cajua\[CAJUA_CF_SEC_New_27-Feb-2024Rev3.xlsx]D-PSND'!$BE$42</t>
  </si>
  <si>
    <t>='C:\Users\jaime.benazar\Quorum Business Solutions\Ecopetrol Prometeo - Documents\Planning Space Implementation\3. Analysis &amp; Design\Design\FC22\DRR Jaime\QUIFA-CAJÚA\Cajua\[CAJUA_CF_SEC_New_27-Feb-2024Rev3.xlsx]D-PSND'!$BE$43</t>
  </si>
  <si>
    <t>='C:\Users\jaime.benazar\Quorum Business Solutions\Ecopetrol Prometeo - Documents\Planning Space Implementation\3. Analysis &amp; Design\Design\FC22\DRR Jaime\QUIFA-CAJÚA\Cajua\[CAJUA_CF_SEC_New_27-Feb-2024Rev3.xlsx]D-PSND'!$BE$44</t>
  </si>
  <si>
    <t>='C:\Users\jaime.benazar\Quorum Business Solutions\Ecopetrol Prometeo - Documents\Planning Space Implementation\3. Analysis &amp; Design\Design\FC22\DRR Jaime\QUIFA-CAJÚA\Cajua\[CAJUA_CF_SEC_New_27-Feb-2024Rev3.xlsx]D-PSND'!$BE$45</t>
  </si>
  <si>
    <t>='C:\Users\jaime.benazar\Quorum Business Solutions\Ecopetrol Prometeo - Documents\Planning Space Implementation\3. Analysis &amp; Design\Design\FC22\DRR Jaime\QUIFA-CAJÚA\Cajua\[CAJUA_CF_SEC_New_27-Feb-2024Rev3.xlsx]D-PSND'!$BE$46</t>
  </si>
  <si>
    <t>='C:\Users\jaime.benazar\Quorum Business Solutions\Ecopetrol Prometeo - Documents\Planning Space Implementation\3. Analysis &amp; Design\Design\FC22\DRR Jaime\QUIFA-CAJÚA\Cajua\[CAJUA_CF_SEC_New_27-Feb-2024Rev3.xlsx]D-PSND'!$BE$47</t>
  </si>
  <si>
    <t>='C:\Users\jaime.benazar\Quorum Business Solutions\Ecopetrol Prometeo - Documents\Planning Space Implementation\3. Analysis &amp; Design\Design\FC22\DRR Jaime\QUIFA-CAJÚA\Cajua\[CAJUA_CF_SEC_New_27-Feb-2024Rev3.xlsx]D-PSND'!$BE$48</t>
  </si>
  <si>
    <t>='C:\Users\jaime.benazar\Quorum Business Solutions\Ecopetrol Prometeo - Documents\Planning Space Implementation\3. Analysis &amp; Design\Design\FC22\DRR Jaime\QUIFA-CAJÚA\Cajua\[CAJUA_CF_SEC_New_27-Feb-2024Rev3.xlsx]D-PS'!$BE$12</t>
  </si>
  <si>
    <t>='C:\Users\jaime.benazar\Quorum Business Solutions\Ecopetrol Prometeo - Documents\Planning Space Implementation\3. Analysis &amp; Design\Design\FC22\DRR Jaime\QUIFA-CAJÚA\Cajua\[CAJUA_CF_SEC_New_27-Feb-2024Rev3.xlsx]D-PS'!$BE$13</t>
  </si>
  <si>
    <t>='C:\Users\jaime.benazar\Quorum Business Solutions\Ecopetrol Prometeo - Documents\Planning Space Implementation\3. Analysis &amp; Design\Design\FC22\DRR Jaime\QUIFA-CAJÚA\Cajua\[CAJUA_CF_SEC_New_27-Feb-2024Rev3.xlsx]D-PS'!$BE$14</t>
  </si>
  <si>
    <t>='C:\Users\jaime.benazar\Quorum Business Solutions\Ecopetrol Prometeo - Documents\Planning Space Implementation\3. Analysis &amp; Design\Design\FC22\DRR Jaime\QUIFA-CAJÚA\Cajua\[CAJUA_CF_SEC_New_27-Feb-2024Rev3.xlsx]D-PS'!$BE$15</t>
  </si>
  <si>
    <t>='C:\Users\jaime.benazar\Quorum Business Solutions\Ecopetrol Prometeo - Documents\Planning Space Implementation\3. Analysis &amp; Design\Design\FC22\DRR Jaime\QUIFA-CAJÚA\Cajua\[CAJUA_CF_SEC_New_27-Feb-2024Rev3.xlsx]D-PS'!$BE$16</t>
  </si>
  <si>
    <t>='C:\Users\jaime.benazar\Quorum Business Solutions\Ecopetrol Prometeo - Documents\Planning Space Implementation\3. Analysis &amp; Design\Design\FC22\DRR Jaime\QUIFA-CAJÚA\Cajua\[CAJUA_CF_SEC_New_27-Feb-2024Rev3.xlsx]D-PS'!$BE$17</t>
  </si>
  <si>
    <t>='C:\Users\jaime.benazar\Quorum Business Solutions\Ecopetrol Prometeo - Documents\Planning Space Implementation\3. Analysis &amp; Design\Design\FC22\DRR Jaime\QUIFA-CAJÚA\Cajua\[CAJUA_CF_SEC_New_27-Feb-2024Rev3.xlsx]D-PS'!$BE$18</t>
  </si>
  <si>
    <t>='C:\Users\jaime.benazar\Quorum Business Solutions\Ecopetrol Prometeo - Documents\Planning Space Implementation\3. Analysis &amp; Design\Design\FC22\DRR Jaime\QUIFA-CAJÚA\Cajua\[CAJUA_CF_SEC_New_27-Feb-2024Rev3.xlsx]D-PS'!$BE$19</t>
  </si>
  <si>
    <t>='C:\Users\jaime.benazar\Quorum Business Solutions\Ecopetrol Prometeo - Documents\Planning Space Implementation\3. Analysis &amp; Design\Design\FC22\DRR Jaime\QUIFA-CAJÚA\Cajua\[CAJUA_CF_SEC_New_27-Feb-2024Rev3.xlsx]D-PS'!$BE$20</t>
  </si>
  <si>
    <t>='C:\Users\jaime.benazar\Quorum Business Solutions\Ecopetrol Prometeo - Documents\Planning Space Implementation\3. Analysis &amp; Design\Design\FC22\DRR Jaime\QUIFA-CAJÚA\Cajua\[CAJUA_CF_SEC_New_27-Feb-2024Rev3.xlsx]D-PS'!$BE$21</t>
  </si>
  <si>
    <t>='C:\Users\jaime.benazar\Quorum Business Solutions\Ecopetrol Prometeo - Documents\Planning Space Implementation\3. Analysis &amp; Design\Design\FC22\DRR Jaime\QUIFA-CAJÚA\Cajua\[CAJUA_CF_SEC_New_27-Feb-2024Rev3.xlsx]D-PS'!$BE$22</t>
  </si>
  <si>
    <t>='C:\Users\jaime.benazar\Quorum Business Solutions\Ecopetrol Prometeo - Documents\Planning Space Implementation\3. Analysis &amp; Design\Design\FC22\DRR Jaime\QUIFA-CAJÚA\Cajua\[CAJUA_CF_SEC_New_27-Feb-2024Rev3.xlsx]D-PS'!$BE$23</t>
  </si>
  <si>
    <t>='C:\Users\jaime.benazar\Quorum Business Solutions\Ecopetrol Prometeo - Documents\Planning Space Implementation\3. Analysis &amp; Design\Design\FC22\DRR Jaime\QUIFA-CAJÚA\Cajua\[CAJUA_CF_SEC_New_27-Feb-2024Rev3.xlsx]D-PS'!$BE$24</t>
  </si>
  <si>
    <t>='C:\Users\jaime.benazar\Quorum Business Solutions\Ecopetrol Prometeo - Documents\Planning Space Implementation\3. Analysis &amp; Design\Design\FC22\DRR Jaime\QUIFA-CAJÚA\Cajua\[CAJUA_CF_SEC_New_27-Feb-2024Rev3.xlsx]D-PS'!$BE$25</t>
  </si>
  <si>
    <t>='C:\Users\jaime.benazar\Quorum Business Solutions\Ecopetrol Prometeo - Documents\Planning Space Implementation\3. Analysis &amp; Design\Design\FC22\DRR Jaime\QUIFA-CAJÚA\Cajua\[CAJUA_CF_SEC_New_27-Feb-2024Rev3.xlsx]D-PS'!$BE$26</t>
  </si>
  <si>
    <t>='C:\Users\jaime.benazar\Quorum Business Solutions\Ecopetrol Prometeo - Documents\Planning Space Implementation\3. Analysis &amp; Design\Design\FC22\DRR Jaime\QUIFA-CAJÚA\Cajua\[CAJUA_CF_SEC_New_27-Feb-2024Rev3.xlsx]D-PS'!$BE$27</t>
  </si>
  <si>
    <t>='C:\Users\jaime.benazar\Quorum Business Solutions\Ecopetrol Prometeo - Documents\Planning Space Implementation\3. Analysis &amp; Design\Design\FC22\DRR Jaime\QUIFA-CAJÚA\Cajua\[CAJUA_CF_SEC_New_27-Feb-2024Rev3.xlsx]D-PS'!$BE$28</t>
  </si>
  <si>
    <t>='C:\Users\jaime.benazar\Quorum Business Solutions\Ecopetrol Prometeo - Documents\Planning Space Implementation\3. Analysis &amp; Design\Design\FC22\DRR Jaime\QUIFA-CAJÚA\Cajua\[CAJUA_CF_SEC_New_27-Feb-2024Rev3.xlsx]D-PS'!$BE$29</t>
  </si>
  <si>
    <t>='C:\Users\jaime.benazar\Quorum Business Solutions\Ecopetrol Prometeo - Documents\Planning Space Implementation\3. Analysis &amp; Design\Design\FC22\DRR Jaime\QUIFA-CAJÚA\Cajua\[CAJUA_CF_SEC_New_27-Feb-2024Rev3.xlsx]D-PS'!$BE$30</t>
  </si>
  <si>
    <t>='C:\Users\jaime.benazar\Quorum Business Solutions\Ecopetrol Prometeo - Documents\Planning Space Implementation\3. Analysis &amp; Design\Design\FC22\DRR Jaime\QUIFA-CAJÚA\Cajua\[CAJUA_CF_SEC_New_27-Feb-2024Rev3.xlsx]D-PS'!$BE$31</t>
  </si>
  <si>
    <t>='C:\Users\jaime.benazar\Quorum Business Solutions\Ecopetrol Prometeo - Documents\Planning Space Implementation\3. Analysis &amp; Design\Design\FC22\DRR Jaime\QUIFA-CAJÚA\Cajua\[CAJUA_CF_SEC_New_27-Feb-2024Rev3.xlsx]D-PS'!$BE$32</t>
  </si>
  <si>
    <t>='C:\Users\jaime.benazar\Quorum Business Solutions\Ecopetrol Prometeo - Documents\Planning Space Implementation\3. Analysis &amp; Design\Design\FC22\DRR Jaime\QUIFA-CAJÚA\Cajua\[CAJUA_CF_SEC_New_27-Feb-2024Rev3.xlsx]D-PS'!$BE$33</t>
  </si>
  <si>
    <t>='C:\Users\jaime.benazar\Quorum Business Solutions\Ecopetrol Prometeo - Documents\Planning Space Implementation\3. Analysis &amp; Design\Design\FC22\DRR Jaime\QUIFA-CAJÚA\Cajua\[CAJUA_CF_SEC_New_27-Feb-2024Rev3.xlsx]D-PS'!$BE$34</t>
  </si>
  <si>
    <t>='C:\Users\jaime.benazar\Quorum Business Solutions\Ecopetrol Prometeo - Documents\Planning Space Implementation\3. Analysis &amp; Design\Design\FC22\DRR Jaime\QUIFA-CAJÚA\Cajua\[CAJUA_CF_SEC_New_27-Feb-2024Rev3.xlsx]D-PS'!$BE$35</t>
  </si>
  <si>
    <t>='C:\Users\jaime.benazar\Quorum Business Solutions\Ecopetrol Prometeo - Documents\Planning Space Implementation\3. Analysis &amp; Design\Design\FC22\DRR Jaime\QUIFA-CAJÚA\Cajua\[CAJUA_CF_SEC_New_27-Feb-2024Rev3.xlsx]D-PS'!$BE$36</t>
  </si>
  <si>
    <t>='C:\Users\jaime.benazar\Quorum Business Solutions\Ecopetrol Prometeo - Documents\Planning Space Implementation\3. Analysis &amp; Design\Design\FC22\DRR Jaime\QUIFA-CAJÚA\Cajua\[CAJUA_CF_SEC_New_27-Feb-2024Rev3.xlsx]D-PS'!$BE$37</t>
  </si>
  <si>
    <t>='C:\Users\jaime.benazar\Quorum Business Solutions\Ecopetrol Prometeo - Documents\Planning Space Implementation\3. Analysis &amp; Design\Design\FC22\DRR Jaime\QUIFA-CAJÚA\Cajua\[CAJUA_CF_SEC_New_27-Feb-2024Rev3.xlsx]D-PS'!$BE$38</t>
  </si>
  <si>
    <t>='C:\Users\jaime.benazar\Quorum Business Solutions\Ecopetrol Prometeo - Documents\Planning Space Implementation\3. Analysis &amp; Design\Design\FC22\DRR Jaime\QUIFA-CAJÚA\Cajua\[CAJUA_CF_SEC_New_27-Feb-2024Rev3.xlsx]D-PS'!$BE$39</t>
  </si>
  <si>
    <t>='C:\Users\jaime.benazar\Quorum Business Solutions\Ecopetrol Prometeo - Documents\Planning Space Implementation\3. Analysis &amp; Design\Design\FC22\DRR Jaime\QUIFA-CAJÚA\Cajua\[CAJUA_CF_SEC_New_27-Feb-2024Rev3.xlsx]D-PS'!$BE$40</t>
  </si>
  <si>
    <t>='C:\Users\jaime.benazar\Quorum Business Solutions\Ecopetrol Prometeo - Documents\Planning Space Implementation\3. Analysis &amp; Design\Design\FC22\DRR Jaime\QUIFA-CAJÚA\Cajua\[CAJUA_CF_SEC_New_27-Feb-2024Rev3.xlsx]D-PS'!$BE$41</t>
  </si>
  <si>
    <t>='C:\Users\jaime.benazar\Quorum Business Solutions\Ecopetrol Prometeo - Documents\Planning Space Implementation\3. Analysis &amp; Design\Design\FC22\DRR Jaime\QUIFA-CAJÚA\Cajua\[CAJUA_CF_SEC_New_27-Feb-2024Rev3.xlsx]D-PS'!$BE$42</t>
  </si>
  <si>
    <t>='C:\Users\jaime.benazar\Quorum Business Solutions\Ecopetrol Prometeo - Documents\Planning Space Implementation\3. Analysis &amp; Design\Design\FC22\DRR Jaime\QUIFA-CAJÚA\Cajua\[CAJUA_CF_SEC_New_27-Feb-2024Rev3.xlsx]D-PS'!$BE$43</t>
  </si>
  <si>
    <t>='C:\Users\jaime.benazar\Quorum Business Solutions\Ecopetrol Prometeo - Documents\Planning Space Implementation\3. Analysis &amp; Design\Design\FC22\DRR Jaime\QUIFA-CAJÚA\Cajua\[CAJUA_CF_SEC_New_27-Feb-2024Rev3.xlsx]D-PS'!$BE$44</t>
  </si>
  <si>
    <t>='C:\Users\jaime.benazar\Quorum Business Solutions\Ecopetrol Prometeo - Documents\Planning Space Implementation\3. Analysis &amp; Design\Design\FC22\DRR Jaime\QUIFA-CAJÚA\Cajua\[CAJUA_CF_SEC_New_27-Feb-2024Rev3.xlsx]D-PS'!$BE$45</t>
  </si>
  <si>
    <t>='C:\Users\jaime.benazar\Quorum Business Solutions\Ecopetrol Prometeo - Documents\Planning Space Implementation\3. Analysis &amp; Design\Design\FC22\DRR Jaime\QUIFA-CAJÚA\Cajua\[CAJUA_CF_SEC_New_27-Feb-2024Rev3.xlsx]D-PS'!$BE$46</t>
  </si>
  <si>
    <t>='C:\Users\jaime.benazar\Quorum Business Solutions\Ecopetrol Prometeo - Documents\Planning Space Implementation\3. Analysis &amp; Design\Design\FC22\DRR Jaime\QUIFA-CAJÚA\Cajua\[CAJUA_CF_SEC_New_27-Feb-2024Rev3.xlsx]D-PS'!$BE$47</t>
  </si>
  <si>
    <t>='C:\Users\jaime.benazar\Quorum Business Solutions\Ecopetrol Prometeo - Documents\Planning Space Implementation\3. Analysis &amp; Design\Design\FC22\DRR Jaime\QUIFA-CAJÚA\Cajua\[CAJUA_CF_SEC_New_27-Feb-2024Rev3.xlsx]D-PS'!$BE$48</t>
  </si>
  <si>
    <t>='C:\Users\jaime.benazar\Quorum Business Solutions\Ecopetrol Prometeo - Documents\Planning Space Implementation\3. Analysis &amp; Design\Design\FC22\DRR Jaime\QUIFA-CAJÚA\Cajua\[CAJUA_CF_SEC_New_27-Feb-2024Rev3.xlsx]D-PDP'!$CB$12</t>
  </si>
  <si>
    <t>='C:\Users\jaime.benazar\Quorum Business Solutions\Ecopetrol Prometeo - Documents\Planning Space Implementation\3. Analysis &amp; Design\Design\FC22\DRR Jaime\QUIFA-CAJÚA\Cajua\[CAJUA_CF_SEC_New_27-Feb-2024Rev3.xlsx]D-PDP'!$CB$13</t>
  </si>
  <si>
    <t>='C:\Users\jaime.benazar\Quorum Business Solutions\Ecopetrol Prometeo - Documents\Planning Space Implementation\3. Analysis &amp; Design\Design\FC22\DRR Jaime\QUIFA-CAJÚA\Cajua\[CAJUA_CF_SEC_New_27-Feb-2024Rev3.xlsx]D-PDP'!$CB$14</t>
  </si>
  <si>
    <t>='C:\Users\jaime.benazar\Quorum Business Solutions\Ecopetrol Prometeo - Documents\Planning Space Implementation\3. Analysis &amp; Design\Design\FC22\DRR Jaime\QUIFA-CAJÚA\Cajua\[CAJUA_CF_SEC_New_27-Feb-2024Rev3.xlsx]D-PDP'!$CB$15</t>
  </si>
  <si>
    <t>='C:\Users\jaime.benazar\Quorum Business Solutions\Ecopetrol Prometeo - Documents\Planning Space Implementation\3. Analysis &amp; Design\Design\FC22\DRR Jaime\QUIFA-CAJÚA\Cajua\[CAJUA_CF_SEC_New_27-Feb-2024Rev3.xlsx]D-PDP'!$CB$16</t>
  </si>
  <si>
    <t>='C:\Users\jaime.benazar\Quorum Business Solutions\Ecopetrol Prometeo - Documents\Planning Space Implementation\3. Analysis &amp; Design\Design\FC22\DRR Jaime\QUIFA-CAJÚA\Cajua\[CAJUA_CF_SEC_New_27-Feb-2024Rev3.xlsx]D-PDP'!$CB$17</t>
  </si>
  <si>
    <t>='C:\Users\jaime.benazar\Quorum Business Solutions\Ecopetrol Prometeo - Documents\Planning Space Implementation\3. Analysis &amp; Design\Design\FC22\DRR Jaime\QUIFA-CAJÚA\Cajua\[CAJUA_CF_SEC_New_27-Feb-2024Rev3.xlsx]D-PDP'!$CB$18</t>
  </si>
  <si>
    <t>='C:\Users\jaime.benazar\Quorum Business Solutions\Ecopetrol Prometeo - Documents\Planning Space Implementation\3. Analysis &amp; Design\Design\FC22\DRR Jaime\QUIFA-CAJÚA\Cajua\[CAJUA_CF_SEC_New_27-Feb-2024Rev3.xlsx]D-PDP'!$CB$19</t>
  </si>
  <si>
    <t>='C:\Users\jaime.benazar\Quorum Business Solutions\Ecopetrol Prometeo - Documents\Planning Space Implementation\3. Analysis &amp; Design\Design\FC22\DRR Jaime\QUIFA-CAJÚA\Cajua\[CAJUA_CF_SEC_New_27-Feb-2024Rev3.xlsx]D-PDP'!$CB$20</t>
  </si>
  <si>
    <t>='C:\Users\jaime.benazar\Quorum Business Solutions\Ecopetrol Prometeo - Documents\Planning Space Implementation\3. Analysis &amp; Design\Design\FC22\DRR Jaime\QUIFA-CAJÚA\Cajua\[CAJUA_CF_SEC_New_27-Feb-2024Rev3.xlsx]D-PDP'!$CB$21</t>
  </si>
  <si>
    <t>='C:\Users\jaime.benazar\Quorum Business Solutions\Ecopetrol Prometeo - Documents\Planning Space Implementation\3. Analysis &amp; Design\Design\FC22\DRR Jaime\QUIFA-CAJÚA\Cajua\[CAJUA_CF_SEC_New_27-Feb-2024Rev3.xlsx]D-PDP'!$CB$22</t>
  </si>
  <si>
    <t>='C:\Users\jaime.benazar\Quorum Business Solutions\Ecopetrol Prometeo - Documents\Planning Space Implementation\3. Analysis &amp; Design\Design\FC22\DRR Jaime\QUIFA-CAJÚA\Cajua\[CAJUA_CF_SEC_New_27-Feb-2024Rev3.xlsx]D-PDP'!$CB$23</t>
  </si>
  <si>
    <t>='C:\Users\jaime.benazar\Quorum Business Solutions\Ecopetrol Prometeo - Documents\Planning Space Implementation\3. Analysis &amp; Design\Design\FC22\DRR Jaime\QUIFA-CAJÚA\Cajua\[CAJUA_CF_SEC_New_27-Feb-2024Rev3.xlsx]D-PDP'!$CB$24</t>
  </si>
  <si>
    <t>='C:\Users\jaime.benazar\Quorum Business Solutions\Ecopetrol Prometeo - Documents\Planning Space Implementation\3. Analysis &amp; Design\Design\FC22\DRR Jaime\QUIFA-CAJÚA\Cajua\[CAJUA_CF_SEC_New_27-Feb-2024Rev3.xlsx]D-PDP'!$CB$25</t>
  </si>
  <si>
    <t>='C:\Users\jaime.benazar\Quorum Business Solutions\Ecopetrol Prometeo - Documents\Planning Space Implementation\3. Analysis &amp; Design\Design\FC22\DRR Jaime\QUIFA-CAJÚA\Cajua\[CAJUA_CF_SEC_New_27-Feb-2024Rev3.xlsx]D-PDP'!$CB$26</t>
  </si>
  <si>
    <t>='C:\Users\jaime.benazar\Quorum Business Solutions\Ecopetrol Prometeo - Documents\Planning Space Implementation\3. Analysis &amp; Design\Design\FC22\DRR Jaime\QUIFA-CAJÚA\Cajua\[CAJUA_CF_SEC_New_27-Feb-2024Rev3.xlsx]D-PDP'!$CB$27</t>
  </si>
  <si>
    <t>='C:\Users\jaime.benazar\Quorum Business Solutions\Ecopetrol Prometeo - Documents\Planning Space Implementation\3. Analysis &amp; Design\Design\FC22\DRR Jaime\QUIFA-CAJÚA\Cajua\[CAJUA_CF_SEC_New_27-Feb-2024Rev3.xlsx]D-PDP'!$CB$28</t>
  </si>
  <si>
    <t>='C:\Users\jaime.benazar\Quorum Business Solutions\Ecopetrol Prometeo - Documents\Planning Space Implementation\3. Analysis &amp; Design\Design\FC22\DRR Jaime\QUIFA-CAJÚA\Cajua\[CAJUA_CF_SEC_New_27-Feb-2024Rev3.xlsx]D-PDP'!$CB$29</t>
  </si>
  <si>
    <t>='C:\Users\jaime.benazar\Quorum Business Solutions\Ecopetrol Prometeo - Documents\Planning Space Implementation\3. Analysis &amp; Design\Design\FC22\DRR Jaime\QUIFA-CAJÚA\Cajua\[CAJUA_CF_SEC_New_27-Feb-2024Rev3.xlsx]D-PDP'!$CB$30</t>
  </si>
  <si>
    <t>='C:\Users\jaime.benazar\Quorum Business Solutions\Ecopetrol Prometeo - Documents\Planning Space Implementation\3. Analysis &amp; Design\Design\FC22\DRR Jaime\QUIFA-CAJÚA\Cajua\[CAJUA_CF_SEC_New_27-Feb-2024Rev3.xlsx]D-PDP'!$CB$31</t>
  </si>
  <si>
    <t>='C:\Users\jaime.benazar\Quorum Business Solutions\Ecopetrol Prometeo - Documents\Planning Space Implementation\3. Analysis &amp; Design\Design\FC22\DRR Jaime\QUIFA-CAJÚA\Cajua\[CAJUA_CF_SEC_New_27-Feb-2024Rev3.xlsx]D-PDP'!$CB$32</t>
  </si>
  <si>
    <t>='C:\Users\jaime.benazar\Quorum Business Solutions\Ecopetrol Prometeo - Documents\Planning Space Implementation\3. Analysis &amp; Design\Design\FC22\DRR Jaime\QUIFA-CAJÚA\Cajua\[CAJUA_CF_SEC_New_27-Feb-2024Rev3.xlsx]D-PDP'!$CB$33</t>
  </si>
  <si>
    <t>='C:\Users\jaime.benazar\Quorum Business Solutions\Ecopetrol Prometeo - Documents\Planning Space Implementation\3. Analysis &amp; Design\Design\FC22\DRR Jaime\QUIFA-CAJÚA\Cajua\[CAJUA_CF_SEC_New_27-Feb-2024Rev3.xlsx]D-PDP'!$CB$34</t>
  </si>
  <si>
    <t>='C:\Users\jaime.benazar\Quorum Business Solutions\Ecopetrol Prometeo - Documents\Planning Space Implementation\3. Analysis &amp; Design\Design\FC22\DRR Jaime\QUIFA-CAJÚA\Cajua\[CAJUA_CF_SEC_New_27-Feb-2024Rev3.xlsx]D-PDP'!$CB$35</t>
  </si>
  <si>
    <t>='C:\Users\jaime.benazar\Quorum Business Solutions\Ecopetrol Prometeo - Documents\Planning Space Implementation\3. Analysis &amp; Design\Design\FC22\DRR Jaime\QUIFA-CAJÚA\Cajua\[CAJUA_CF_SEC_New_27-Feb-2024Rev3.xlsx]D-PDP'!$CB$36</t>
  </si>
  <si>
    <t>='C:\Users\jaime.benazar\Quorum Business Solutions\Ecopetrol Prometeo - Documents\Planning Space Implementation\3. Analysis &amp; Design\Design\FC22\DRR Jaime\QUIFA-CAJÚA\Cajua\[CAJUA_CF_SEC_New_27-Feb-2024Rev3.xlsx]D-PDP'!$CB$37</t>
  </si>
  <si>
    <t>='C:\Users\jaime.benazar\Quorum Business Solutions\Ecopetrol Prometeo - Documents\Planning Space Implementation\3. Analysis &amp; Design\Design\FC22\DRR Jaime\QUIFA-CAJÚA\Cajua\[CAJUA_CF_SEC_New_27-Feb-2024Rev3.xlsx]D-PDP'!$CB$38</t>
  </si>
  <si>
    <t>='C:\Users\jaime.benazar\Quorum Business Solutions\Ecopetrol Prometeo - Documents\Planning Space Implementation\3. Analysis &amp; Design\Design\FC22\DRR Jaime\QUIFA-CAJÚA\Cajua\[CAJUA_CF_SEC_New_27-Feb-2024Rev3.xlsx]D-PDP'!$CB$39</t>
  </si>
  <si>
    <t>='C:\Users\jaime.benazar\Quorum Business Solutions\Ecopetrol Prometeo - Documents\Planning Space Implementation\3. Analysis &amp; Design\Design\FC22\DRR Jaime\QUIFA-CAJÚA\Cajua\[CAJUA_CF_SEC_New_27-Feb-2024Rev3.xlsx]D-PDP'!$CB$40</t>
  </si>
  <si>
    <t>='C:\Users\jaime.benazar\Quorum Business Solutions\Ecopetrol Prometeo - Documents\Planning Space Implementation\3. Analysis &amp; Design\Design\FC22\DRR Jaime\QUIFA-CAJÚA\Cajua\[CAJUA_CF_SEC_New_27-Feb-2024Rev3.xlsx]D-PDP'!$CB$41</t>
  </si>
  <si>
    <t>='C:\Users\jaime.benazar\Quorum Business Solutions\Ecopetrol Prometeo - Documents\Planning Space Implementation\3. Analysis &amp; Design\Design\FC22\DRR Jaime\QUIFA-CAJÚA\Cajua\[CAJUA_CF_SEC_New_27-Feb-2024Rev3.xlsx]D-PDP'!$CB$42</t>
  </si>
  <si>
    <t>='C:\Users\jaime.benazar\Quorum Business Solutions\Ecopetrol Prometeo - Documents\Planning Space Implementation\3. Analysis &amp; Design\Design\FC22\DRR Jaime\QUIFA-CAJÚA\Cajua\[CAJUA_CF_SEC_New_27-Feb-2024Rev3.xlsx]D-PDP'!$CB$43</t>
  </si>
  <si>
    <t>='C:\Users\jaime.benazar\Quorum Business Solutions\Ecopetrol Prometeo - Documents\Planning Space Implementation\3. Analysis &amp; Design\Design\FC22\DRR Jaime\QUIFA-CAJÚA\Cajua\[CAJUA_CF_SEC_New_27-Feb-2024Rev3.xlsx]D-PDP'!$CB$44</t>
  </si>
  <si>
    <t>='C:\Users\jaime.benazar\Quorum Business Solutions\Ecopetrol Prometeo - Documents\Planning Space Implementation\3. Analysis &amp; Design\Design\FC22\DRR Jaime\QUIFA-CAJÚA\Cajua\[CAJUA_CF_SEC_New_27-Feb-2024Rev3.xlsx]D-PDP'!$CB$45</t>
  </si>
  <si>
    <t>='C:\Users\jaime.benazar\Quorum Business Solutions\Ecopetrol Prometeo - Documents\Planning Space Implementation\3. Analysis &amp; Design\Design\FC22\DRR Jaime\QUIFA-CAJÚA\Cajua\[CAJUA_CF_SEC_New_27-Feb-2024Rev3.xlsx]D-PDP'!$CB$46</t>
  </si>
  <si>
    <t>='C:\Users\jaime.benazar\Quorum Business Solutions\Ecopetrol Prometeo - Documents\Planning Space Implementation\3. Analysis &amp; Design\Design\FC22\DRR Jaime\QUIFA-CAJÚA\Cajua\[CAJUA_CF_SEC_New_27-Feb-2024Rev3.xlsx]D-PDP'!$CB$47</t>
  </si>
  <si>
    <t>='C:\Users\jaime.benazar\Quorum Business Solutions\Ecopetrol Prometeo - Documents\Planning Space Implementation\3. Analysis &amp; Design\Design\FC22\DRR Jaime\QUIFA-CAJÚA\Cajua\[CAJUA_CF_SEC_New_27-Feb-2024Rev3.xlsx]D-PDP'!$CB$48</t>
  </si>
  <si>
    <t>='C:\Users\jaime.benazar\Quorum Business Solutions\Ecopetrol Prometeo - Documents\Planning Space Implementation\3. Analysis &amp; Design\Design\FC22\DRR Jaime\QUIFA-CAJÚA\Cajua\[CAJUA_CF_SEC_New_27-Feb-2024Rev3.xlsx]D-PNP'!$CB$12</t>
  </si>
  <si>
    <t>='C:\Users\jaime.benazar\Quorum Business Solutions\Ecopetrol Prometeo - Documents\Planning Space Implementation\3. Analysis &amp; Design\Design\FC22\DRR Jaime\QUIFA-CAJÚA\Cajua\[CAJUA_CF_SEC_New_27-Feb-2024Rev3.xlsx]D-PNP'!$CB$13</t>
  </si>
  <si>
    <t>='C:\Users\jaime.benazar\Quorum Business Solutions\Ecopetrol Prometeo - Documents\Planning Space Implementation\3. Analysis &amp; Design\Design\FC22\DRR Jaime\QUIFA-CAJÚA\Cajua\[CAJUA_CF_SEC_New_27-Feb-2024Rev3.xlsx]D-PNP'!$CB$14</t>
  </si>
  <si>
    <t>='C:\Users\jaime.benazar\Quorum Business Solutions\Ecopetrol Prometeo - Documents\Planning Space Implementation\3. Analysis &amp; Design\Design\FC22\DRR Jaime\QUIFA-CAJÚA\Cajua\[CAJUA_CF_SEC_New_27-Feb-2024Rev3.xlsx]D-PNP'!$CB$15</t>
  </si>
  <si>
    <t>='C:\Users\jaime.benazar\Quorum Business Solutions\Ecopetrol Prometeo - Documents\Planning Space Implementation\3. Analysis &amp; Design\Design\FC22\DRR Jaime\QUIFA-CAJÚA\Cajua\[CAJUA_CF_SEC_New_27-Feb-2024Rev3.xlsx]D-PNP'!$CB$16</t>
  </si>
  <si>
    <t>='C:\Users\jaime.benazar\Quorum Business Solutions\Ecopetrol Prometeo - Documents\Planning Space Implementation\3. Analysis &amp; Design\Design\FC22\DRR Jaime\QUIFA-CAJÚA\Cajua\[CAJUA_CF_SEC_New_27-Feb-2024Rev3.xlsx]D-PNP'!$CB$17</t>
  </si>
  <si>
    <t>='C:\Users\jaime.benazar\Quorum Business Solutions\Ecopetrol Prometeo - Documents\Planning Space Implementation\3. Analysis &amp; Design\Design\FC22\DRR Jaime\QUIFA-CAJÚA\Cajua\[CAJUA_CF_SEC_New_27-Feb-2024Rev3.xlsx]D-PNP'!$CB$18</t>
  </si>
  <si>
    <t>='C:\Users\jaime.benazar\Quorum Business Solutions\Ecopetrol Prometeo - Documents\Planning Space Implementation\3. Analysis &amp; Design\Design\FC22\DRR Jaime\QUIFA-CAJÚA\Cajua\[CAJUA_CF_SEC_New_27-Feb-2024Rev3.xlsx]D-PNP'!$CB$19</t>
  </si>
  <si>
    <t>='C:\Users\jaime.benazar\Quorum Business Solutions\Ecopetrol Prometeo - Documents\Planning Space Implementation\3. Analysis &amp; Design\Design\FC22\DRR Jaime\QUIFA-CAJÚA\Cajua\[CAJUA_CF_SEC_New_27-Feb-2024Rev3.xlsx]D-PNP'!$CB$20</t>
  </si>
  <si>
    <t>='C:\Users\jaime.benazar\Quorum Business Solutions\Ecopetrol Prometeo - Documents\Planning Space Implementation\3. Analysis &amp; Design\Design\FC22\DRR Jaime\QUIFA-CAJÚA\Cajua\[CAJUA_CF_SEC_New_27-Feb-2024Rev3.xlsx]D-PNP'!$CB$21</t>
  </si>
  <si>
    <t>='C:\Users\jaime.benazar\Quorum Business Solutions\Ecopetrol Prometeo - Documents\Planning Space Implementation\3. Analysis &amp; Design\Design\FC22\DRR Jaime\QUIFA-CAJÚA\Cajua\[CAJUA_CF_SEC_New_27-Feb-2024Rev3.xlsx]D-PNP'!$CB$22</t>
  </si>
  <si>
    <t>='C:\Users\jaime.benazar\Quorum Business Solutions\Ecopetrol Prometeo - Documents\Planning Space Implementation\3. Analysis &amp; Design\Design\FC22\DRR Jaime\QUIFA-CAJÚA\Cajua\[CAJUA_CF_SEC_New_27-Feb-2024Rev3.xlsx]D-PNP'!$CB$23</t>
  </si>
  <si>
    <t>='C:\Users\jaime.benazar\Quorum Business Solutions\Ecopetrol Prometeo - Documents\Planning Space Implementation\3. Analysis &amp; Design\Design\FC22\DRR Jaime\QUIFA-CAJÚA\Cajua\[CAJUA_CF_SEC_New_27-Feb-2024Rev3.xlsx]D-PNP'!$CB$24</t>
  </si>
  <si>
    <t>='C:\Users\jaime.benazar\Quorum Business Solutions\Ecopetrol Prometeo - Documents\Planning Space Implementation\3. Analysis &amp; Design\Design\FC22\DRR Jaime\QUIFA-CAJÚA\Cajua\[CAJUA_CF_SEC_New_27-Feb-2024Rev3.xlsx]D-PNP'!$CB$25</t>
  </si>
  <si>
    <t>='C:\Users\jaime.benazar\Quorum Business Solutions\Ecopetrol Prometeo - Documents\Planning Space Implementation\3. Analysis &amp; Design\Design\FC22\DRR Jaime\QUIFA-CAJÚA\Cajua\[CAJUA_CF_SEC_New_27-Feb-2024Rev3.xlsx]D-PNP'!$CB$26</t>
  </si>
  <si>
    <t>='C:\Users\jaime.benazar\Quorum Business Solutions\Ecopetrol Prometeo - Documents\Planning Space Implementation\3. Analysis &amp; Design\Design\FC22\DRR Jaime\QUIFA-CAJÚA\Cajua\[CAJUA_CF_SEC_New_27-Feb-2024Rev3.xlsx]D-PNP'!$CB$27</t>
  </si>
  <si>
    <t>='C:\Users\jaime.benazar\Quorum Business Solutions\Ecopetrol Prometeo - Documents\Planning Space Implementation\3. Analysis &amp; Design\Design\FC22\DRR Jaime\QUIFA-CAJÚA\Cajua\[CAJUA_CF_SEC_New_27-Feb-2024Rev3.xlsx]D-PNP'!$CB$28</t>
  </si>
  <si>
    <t>='C:\Users\jaime.benazar\Quorum Business Solutions\Ecopetrol Prometeo - Documents\Planning Space Implementation\3. Analysis &amp; Design\Design\FC22\DRR Jaime\QUIFA-CAJÚA\Cajua\[CAJUA_CF_SEC_New_27-Feb-2024Rev3.xlsx]D-PNP'!$CB$29</t>
  </si>
  <si>
    <t>='C:\Users\jaime.benazar\Quorum Business Solutions\Ecopetrol Prometeo - Documents\Planning Space Implementation\3. Analysis &amp; Design\Design\FC22\DRR Jaime\QUIFA-CAJÚA\Cajua\[CAJUA_CF_SEC_New_27-Feb-2024Rev3.xlsx]D-PNP'!$CB$30</t>
  </si>
  <si>
    <t>='C:\Users\jaime.benazar\Quorum Business Solutions\Ecopetrol Prometeo - Documents\Planning Space Implementation\3. Analysis &amp; Design\Design\FC22\DRR Jaime\QUIFA-CAJÚA\Cajua\[CAJUA_CF_SEC_New_27-Feb-2024Rev3.xlsx]D-PNP'!$CB$31</t>
  </si>
  <si>
    <t>='C:\Users\jaime.benazar\Quorum Business Solutions\Ecopetrol Prometeo - Documents\Planning Space Implementation\3. Analysis &amp; Design\Design\FC22\DRR Jaime\QUIFA-CAJÚA\Cajua\[CAJUA_CF_SEC_New_27-Feb-2024Rev3.xlsx]D-PNP'!$CB$32</t>
  </si>
  <si>
    <t>='C:\Users\jaime.benazar\Quorum Business Solutions\Ecopetrol Prometeo - Documents\Planning Space Implementation\3. Analysis &amp; Design\Design\FC22\DRR Jaime\QUIFA-CAJÚA\Cajua\[CAJUA_CF_SEC_New_27-Feb-2024Rev3.xlsx]D-PNP'!$CB$33</t>
  </si>
  <si>
    <t>='C:\Users\jaime.benazar\Quorum Business Solutions\Ecopetrol Prometeo - Documents\Planning Space Implementation\3. Analysis &amp; Design\Design\FC22\DRR Jaime\QUIFA-CAJÚA\Cajua\[CAJUA_CF_SEC_New_27-Feb-2024Rev3.xlsx]D-PNP'!$CB$34</t>
  </si>
  <si>
    <t>='C:\Users\jaime.benazar\Quorum Business Solutions\Ecopetrol Prometeo - Documents\Planning Space Implementation\3. Analysis &amp; Design\Design\FC22\DRR Jaime\QUIFA-CAJÚA\Cajua\[CAJUA_CF_SEC_New_27-Feb-2024Rev3.xlsx]D-PNP'!$CB$35</t>
  </si>
  <si>
    <t>='C:\Users\jaime.benazar\Quorum Business Solutions\Ecopetrol Prometeo - Documents\Planning Space Implementation\3. Analysis &amp; Design\Design\FC22\DRR Jaime\QUIFA-CAJÚA\Cajua\[CAJUA_CF_SEC_New_27-Feb-2024Rev3.xlsx]D-PNP'!$CB$36</t>
  </si>
  <si>
    <t>='C:\Users\jaime.benazar\Quorum Business Solutions\Ecopetrol Prometeo - Documents\Planning Space Implementation\3. Analysis &amp; Design\Design\FC22\DRR Jaime\QUIFA-CAJÚA\Cajua\[CAJUA_CF_SEC_New_27-Feb-2024Rev3.xlsx]D-PNP'!$CB$37</t>
  </si>
  <si>
    <t>='C:\Users\jaime.benazar\Quorum Business Solutions\Ecopetrol Prometeo - Documents\Planning Space Implementation\3. Analysis &amp; Design\Design\FC22\DRR Jaime\QUIFA-CAJÚA\Cajua\[CAJUA_CF_SEC_New_27-Feb-2024Rev3.xlsx]D-PNP'!$CB$38</t>
  </si>
  <si>
    <t>='C:\Users\jaime.benazar\Quorum Business Solutions\Ecopetrol Prometeo - Documents\Planning Space Implementation\3. Analysis &amp; Design\Design\FC22\DRR Jaime\QUIFA-CAJÚA\Cajua\[CAJUA_CF_SEC_New_27-Feb-2024Rev3.xlsx]D-PNP'!$CB$39</t>
  </si>
  <si>
    <t>='C:\Users\jaime.benazar\Quorum Business Solutions\Ecopetrol Prometeo - Documents\Planning Space Implementation\3. Analysis &amp; Design\Design\FC22\DRR Jaime\QUIFA-CAJÚA\Cajua\[CAJUA_CF_SEC_New_27-Feb-2024Rev3.xlsx]D-PNP'!$CB$40</t>
  </si>
  <si>
    <t>='C:\Users\jaime.benazar\Quorum Business Solutions\Ecopetrol Prometeo - Documents\Planning Space Implementation\3. Analysis &amp; Design\Design\FC22\DRR Jaime\QUIFA-CAJÚA\Cajua\[CAJUA_CF_SEC_New_27-Feb-2024Rev3.xlsx]D-PNP'!$CB$41</t>
  </si>
  <si>
    <t>='C:\Users\jaime.benazar\Quorum Business Solutions\Ecopetrol Prometeo - Documents\Planning Space Implementation\3. Analysis &amp; Design\Design\FC22\DRR Jaime\QUIFA-CAJÚA\Cajua\[CAJUA_CF_SEC_New_27-Feb-2024Rev3.xlsx]D-PNP'!$CB$42</t>
  </si>
  <si>
    <t>='C:\Users\jaime.benazar\Quorum Business Solutions\Ecopetrol Prometeo - Documents\Planning Space Implementation\3. Analysis &amp; Design\Design\FC22\DRR Jaime\QUIFA-CAJÚA\Cajua\[CAJUA_CF_SEC_New_27-Feb-2024Rev3.xlsx]D-PNP'!$CB$43</t>
  </si>
  <si>
    <t>='C:\Users\jaime.benazar\Quorum Business Solutions\Ecopetrol Prometeo - Documents\Planning Space Implementation\3. Analysis &amp; Design\Design\FC22\DRR Jaime\QUIFA-CAJÚA\Cajua\[CAJUA_CF_SEC_New_27-Feb-2024Rev3.xlsx]D-PNP'!$CB$44</t>
  </si>
  <si>
    <t>='C:\Users\jaime.benazar\Quorum Business Solutions\Ecopetrol Prometeo - Documents\Planning Space Implementation\3. Analysis &amp; Design\Design\FC22\DRR Jaime\QUIFA-CAJÚA\Cajua\[CAJUA_CF_SEC_New_27-Feb-2024Rev3.xlsx]D-PNP'!$CB$45</t>
  </si>
  <si>
    <t>='C:\Users\jaime.benazar\Quorum Business Solutions\Ecopetrol Prometeo - Documents\Planning Space Implementation\3. Analysis &amp; Design\Design\FC22\DRR Jaime\QUIFA-CAJÚA\Cajua\[CAJUA_CF_SEC_New_27-Feb-2024Rev3.xlsx]D-PNP'!$CB$46</t>
  </si>
  <si>
    <t>='C:\Users\jaime.benazar\Quorum Business Solutions\Ecopetrol Prometeo - Documents\Planning Space Implementation\3. Analysis &amp; Design\Design\FC22\DRR Jaime\QUIFA-CAJÚA\Cajua\[CAJUA_CF_SEC_New_27-Feb-2024Rev3.xlsx]D-PNP'!$CB$47</t>
  </si>
  <si>
    <t>='C:\Users\jaime.benazar\Quorum Business Solutions\Ecopetrol Prometeo - Documents\Planning Space Implementation\3. Analysis &amp; Design\Design\FC22\DRR Jaime\QUIFA-CAJÚA\Cajua\[CAJUA_CF_SEC_New_27-Feb-2024Rev3.xlsx]D-PNP'!$CB$48</t>
  </si>
  <si>
    <t>='C:\Users\jaime.benazar\Quorum Business Solutions\Ecopetrol Prometeo - Documents\Planning Space Implementation\3. Analysis &amp; Design\Design\FC22\DRR Jaime\QUIFA-CAJÚA\Cajua\[CAJUA_CF_SEC_New_27-Feb-2024Rev3.xlsx]D-PND'!$CB$12</t>
  </si>
  <si>
    <t>='C:\Users\jaime.benazar\Quorum Business Solutions\Ecopetrol Prometeo - Documents\Planning Space Implementation\3. Analysis &amp; Design\Design\FC22\DRR Jaime\QUIFA-CAJÚA\Cajua\[CAJUA_CF_SEC_New_27-Feb-2024Rev3.xlsx]D-PND'!$CB$13</t>
  </si>
  <si>
    <t>='C:\Users\jaime.benazar\Quorum Business Solutions\Ecopetrol Prometeo - Documents\Planning Space Implementation\3. Analysis &amp; Design\Design\FC22\DRR Jaime\QUIFA-CAJÚA\Cajua\[CAJUA_CF_SEC_New_27-Feb-2024Rev3.xlsx]D-PND'!$CB$14</t>
  </si>
  <si>
    <t>='C:\Users\jaime.benazar\Quorum Business Solutions\Ecopetrol Prometeo - Documents\Planning Space Implementation\3. Analysis &amp; Design\Design\FC22\DRR Jaime\QUIFA-CAJÚA\Cajua\[CAJUA_CF_SEC_New_27-Feb-2024Rev3.xlsx]D-PND'!$CB$15</t>
  </si>
  <si>
    <t>='C:\Users\jaime.benazar\Quorum Business Solutions\Ecopetrol Prometeo - Documents\Planning Space Implementation\3. Analysis &amp; Design\Design\FC22\DRR Jaime\QUIFA-CAJÚA\Cajua\[CAJUA_CF_SEC_New_27-Feb-2024Rev3.xlsx]D-PND'!$CB$16</t>
  </si>
  <si>
    <t>='C:\Users\jaime.benazar\Quorum Business Solutions\Ecopetrol Prometeo - Documents\Planning Space Implementation\3. Analysis &amp; Design\Design\FC22\DRR Jaime\QUIFA-CAJÚA\Cajua\[CAJUA_CF_SEC_New_27-Feb-2024Rev3.xlsx]D-PND'!$CB$17</t>
  </si>
  <si>
    <t>='C:\Users\jaime.benazar\Quorum Business Solutions\Ecopetrol Prometeo - Documents\Planning Space Implementation\3. Analysis &amp; Design\Design\FC22\DRR Jaime\QUIFA-CAJÚA\Cajua\[CAJUA_CF_SEC_New_27-Feb-2024Rev3.xlsx]D-PND'!$CB$18</t>
  </si>
  <si>
    <t>='C:\Users\jaime.benazar\Quorum Business Solutions\Ecopetrol Prometeo - Documents\Planning Space Implementation\3. Analysis &amp; Design\Design\FC22\DRR Jaime\QUIFA-CAJÚA\Cajua\[CAJUA_CF_SEC_New_27-Feb-2024Rev3.xlsx]D-PND'!$CB$19</t>
  </si>
  <si>
    <t>='C:\Users\jaime.benazar\Quorum Business Solutions\Ecopetrol Prometeo - Documents\Planning Space Implementation\3. Analysis &amp; Design\Design\FC22\DRR Jaime\QUIFA-CAJÚA\Cajua\[CAJUA_CF_SEC_New_27-Feb-2024Rev3.xlsx]D-PND'!$CB$20</t>
  </si>
  <si>
    <t>='C:\Users\jaime.benazar\Quorum Business Solutions\Ecopetrol Prometeo - Documents\Planning Space Implementation\3. Analysis &amp; Design\Design\FC22\DRR Jaime\QUIFA-CAJÚA\Cajua\[CAJUA_CF_SEC_New_27-Feb-2024Rev3.xlsx]D-PND'!$CB$21</t>
  </si>
  <si>
    <t>='C:\Users\jaime.benazar\Quorum Business Solutions\Ecopetrol Prometeo - Documents\Planning Space Implementation\3. Analysis &amp; Design\Design\FC22\DRR Jaime\QUIFA-CAJÚA\Cajua\[CAJUA_CF_SEC_New_27-Feb-2024Rev3.xlsx]D-PND'!$CB$22</t>
  </si>
  <si>
    <t>='C:\Users\jaime.benazar\Quorum Business Solutions\Ecopetrol Prometeo - Documents\Planning Space Implementation\3. Analysis &amp; Design\Design\FC22\DRR Jaime\QUIFA-CAJÚA\Cajua\[CAJUA_CF_SEC_New_27-Feb-2024Rev3.xlsx]D-PND'!$CB$23</t>
  </si>
  <si>
    <t>='C:\Users\jaime.benazar\Quorum Business Solutions\Ecopetrol Prometeo - Documents\Planning Space Implementation\3. Analysis &amp; Design\Design\FC22\DRR Jaime\QUIFA-CAJÚA\Cajua\[CAJUA_CF_SEC_New_27-Feb-2024Rev3.xlsx]D-PND'!$CB$24</t>
  </si>
  <si>
    <t>='C:\Users\jaime.benazar\Quorum Business Solutions\Ecopetrol Prometeo - Documents\Planning Space Implementation\3. Analysis &amp; Design\Design\FC22\DRR Jaime\QUIFA-CAJÚA\Cajua\[CAJUA_CF_SEC_New_27-Feb-2024Rev3.xlsx]D-PND'!$CB$25</t>
  </si>
  <si>
    <t>='C:\Users\jaime.benazar\Quorum Business Solutions\Ecopetrol Prometeo - Documents\Planning Space Implementation\3. Analysis &amp; Design\Design\FC22\DRR Jaime\QUIFA-CAJÚA\Cajua\[CAJUA_CF_SEC_New_27-Feb-2024Rev3.xlsx]D-PND'!$CB$26</t>
  </si>
  <si>
    <t>='C:\Users\jaime.benazar\Quorum Business Solutions\Ecopetrol Prometeo - Documents\Planning Space Implementation\3. Analysis &amp; Design\Design\FC22\DRR Jaime\QUIFA-CAJÚA\Cajua\[CAJUA_CF_SEC_New_27-Feb-2024Rev3.xlsx]D-PND'!$CB$27</t>
  </si>
  <si>
    <t>='C:\Users\jaime.benazar\Quorum Business Solutions\Ecopetrol Prometeo - Documents\Planning Space Implementation\3. Analysis &amp; Design\Design\FC22\DRR Jaime\QUIFA-CAJÚA\Cajua\[CAJUA_CF_SEC_New_27-Feb-2024Rev3.xlsx]D-PND'!$CB$28</t>
  </si>
  <si>
    <t>='C:\Users\jaime.benazar\Quorum Business Solutions\Ecopetrol Prometeo - Documents\Planning Space Implementation\3. Analysis &amp; Design\Design\FC22\DRR Jaime\QUIFA-CAJÚA\Cajua\[CAJUA_CF_SEC_New_27-Feb-2024Rev3.xlsx]D-PND'!$CB$29</t>
  </si>
  <si>
    <t>='C:\Users\jaime.benazar\Quorum Business Solutions\Ecopetrol Prometeo - Documents\Planning Space Implementation\3. Analysis &amp; Design\Design\FC22\DRR Jaime\QUIFA-CAJÚA\Cajua\[CAJUA_CF_SEC_New_27-Feb-2024Rev3.xlsx]D-PND'!$CB$30</t>
  </si>
  <si>
    <t>='C:\Users\jaime.benazar\Quorum Business Solutions\Ecopetrol Prometeo - Documents\Planning Space Implementation\3. Analysis &amp; Design\Design\FC22\DRR Jaime\QUIFA-CAJÚA\Cajua\[CAJUA_CF_SEC_New_27-Feb-2024Rev3.xlsx]D-PND'!$CB$31</t>
  </si>
  <si>
    <t>='C:\Users\jaime.benazar\Quorum Business Solutions\Ecopetrol Prometeo - Documents\Planning Space Implementation\3. Analysis &amp; Design\Design\FC22\DRR Jaime\QUIFA-CAJÚA\Cajua\[CAJUA_CF_SEC_New_27-Feb-2024Rev3.xlsx]D-PND'!$CB$32</t>
  </si>
  <si>
    <t>='C:\Users\jaime.benazar\Quorum Business Solutions\Ecopetrol Prometeo - Documents\Planning Space Implementation\3. Analysis &amp; Design\Design\FC22\DRR Jaime\QUIFA-CAJÚA\Cajua\[CAJUA_CF_SEC_New_27-Feb-2024Rev3.xlsx]D-PND'!$CB$33</t>
  </si>
  <si>
    <t>='C:\Users\jaime.benazar\Quorum Business Solutions\Ecopetrol Prometeo - Documents\Planning Space Implementation\3. Analysis &amp; Design\Design\FC22\DRR Jaime\QUIFA-CAJÚA\Cajua\[CAJUA_CF_SEC_New_27-Feb-2024Rev3.xlsx]D-PND'!$CB$34</t>
  </si>
  <si>
    <t>='C:\Users\jaime.benazar\Quorum Business Solutions\Ecopetrol Prometeo - Documents\Planning Space Implementation\3. Analysis &amp; Design\Design\FC22\DRR Jaime\QUIFA-CAJÚA\Cajua\[CAJUA_CF_SEC_New_27-Feb-2024Rev3.xlsx]D-PND'!$CB$35</t>
  </si>
  <si>
    <t>='C:\Users\jaime.benazar\Quorum Business Solutions\Ecopetrol Prometeo - Documents\Planning Space Implementation\3. Analysis &amp; Design\Design\FC22\DRR Jaime\QUIFA-CAJÚA\Cajua\[CAJUA_CF_SEC_New_27-Feb-2024Rev3.xlsx]D-PND'!$CB$36</t>
  </si>
  <si>
    <t>='C:\Users\jaime.benazar\Quorum Business Solutions\Ecopetrol Prometeo - Documents\Planning Space Implementation\3. Analysis &amp; Design\Design\FC22\DRR Jaime\QUIFA-CAJÚA\Cajua\[CAJUA_CF_SEC_New_27-Feb-2024Rev3.xlsx]D-PND'!$CB$37</t>
  </si>
  <si>
    <t>='C:\Users\jaime.benazar\Quorum Business Solutions\Ecopetrol Prometeo - Documents\Planning Space Implementation\3. Analysis &amp; Design\Design\FC22\DRR Jaime\QUIFA-CAJÚA\Cajua\[CAJUA_CF_SEC_New_27-Feb-2024Rev3.xlsx]D-PND'!$CB$38</t>
  </si>
  <si>
    <t>='C:\Users\jaime.benazar\Quorum Business Solutions\Ecopetrol Prometeo - Documents\Planning Space Implementation\3. Analysis &amp; Design\Design\FC22\DRR Jaime\QUIFA-CAJÚA\Cajua\[CAJUA_CF_SEC_New_27-Feb-2024Rev3.xlsx]D-PND'!$CB$39</t>
  </si>
  <si>
    <t>='C:\Users\jaime.benazar\Quorum Business Solutions\Ecopetrol Prometeo - Documents\Planning Space Implementation\3. Analysis &amp; Design\Design\FC22\DRR Jaime\QUIFA-CAJÚA\Cajua\[CAJUA_CF_SEC_New_27-Feb-2024Rev3.xlsx]D-PND'!$CB$40</t>
  </si>
  <si>
    <t>='C:\Users\jaime.benazar\Quorum Business Solutions\Ecopetrol Prometeo - Documents\Planning Space Implementation\3. Analysis &amp; Design\Design\FC22\DRR Jaime\QUIFA-CAJÚA\Cajua\[CAJUA_CF_SEC_New_27-Feb-2024Rev3.xlsx]D-PND'!$CB$41</t>
  </si>
  <si>
    <t>='C:\Users\jaime.benazar\Quorum Business Solutions\Ecopetrol Prometeo - Documents\Planning Space Implementation\3. Analysis &amp; Design\Design\FC22\DRR Jaime\QUIFA-CAJÚA\Cajua\[CAJUA_CF_SEC_New_27-Feb-2024Rev3.xlsx]D-PND'!$CB$42</t>
  </si>
  <si>
    <t>='C:\Users\jaime.benazar\Quorum Business Solutions\Ecopetrol Prometeo - Documents\Planning Space Implementation\3. Analysis &amp; Design\Design\FC22\DRR Jaime\QUIFA-CAJÚA\Cajua\[CAJUA_CF_SEC_New_27-Feb-2024Rev3.xlsx]D-PND'!$CB$43</t>
  </si>
  <si>
    <t>='C:\Users\jaime.benazar\Quorum Business Solutions\Ecopetrol Prometeo - Documents\Planning Space Implementation\3. Analysis &amp; Design\Design\FC22\DRR Jaime\QUIFA-CAJÚA\Cajua\[CAJUA_CF_SEC_New_27-Feb-2024Rev3.xlsx]D-PND'!$CB$44</t>
  </si>
  <si>
    <t>='C:\Users\jaime.benazar\Quorum Business Solutions\Ecopetrol Prometeo - Documents\Planning Space Implementation\3. Analysis &amp; Design\Design\FC22\DRR Jaime\QUIFA-CAJÚA\Cajua\[CAJUA_CF_SEC_New_27-Feb-2024Rev3.xlsx]D-PND'!$CB$45</t>
  </si>
  <si>
    <t>='C:\Users\jaime.benazar\Quorum Business Solutions\Ecopetrol Prometeo - Documents\Planning Space Implementation\3. Analysis &amp; Design\Design\FC22\DRR Jaime\QUIFA-CAJÚA\Cajua\[CAJUA_CF_SEC_New_27-Feb-2024Rev3.xlsx]D-PND'!$CB$46</t>
  </si>
  <si>
    <t>='C:\Users\jaime.benazar\Quorum Business Solutions\Ecopetrol Prometeo - Documents\Planning Space Implementation\3. Analysis &amp; Design\Design\FC22\DRR Jaime\QUIFA-CAJÚA\Cajua\[CAJUA_CF_SEC_New_27-Feb-2024Rev3.xlsx]D-PND'!$CB$47</t>
  </si>
  <si>
    <t>='C:\Users\jaime.benazar\Quorum Business Solutions\Ecopetrol Prometeo - Documents\Planning Space Implementation\3. Analysis &amp; Design\Design\FC22\DRR Jaime\QUIFA-CAJÚA\Cajua\[CAJUA_CF_SEC_New_27-Feb-2024Rev3.xlsx]D-PND'!$CB$48</t>
  </si>
  <si>
    <t>='C:\Users\jaime.benazar\Quorum Business Solutions\Ecopetrol Prometeo - Documents\Planning Space Implementation\3. Analysis &amp; Design\Design\FC22\DRR Jaime\QUIFA-CAJÚA\Cajua\[CAJUA_CF_SEC_New_27-Feb-2024Rev3.xlsx]D-PRB'!$CB$12</t>
  </si>
  <si>
    <t>='C:\Users\jaime.benazar\Quorum Business Solutions\Ecopetrol Prometeo - Documents\Planning Space Implementation\3. Analysis &amp; Design\Design\FC22\DRR Jaime\QUIFA-CAJÚA\Cajua\[CAJUA_CF_SEC_New_27-Feb-2024Rev3.xlsx]D-PRB'!$CB$13</t>
  </si>
  <si>
    <t>='C:\Users\jaime.benazar\Quorum Business Solutions\Ecopetrol Prometeo - Documents\Planning Space Implementation\3. Analysis &amp; Design\Design\FC22\DRR Jaime\QUIFA-CAJÚA\Cajua\[CAJUA_CF_SEC_New_27-Feb-2024Rev3.xlsx]D-PRB'!$CB$14</t>
  </si>
  <si>
    <t>='C:\Users\jaime.benazar\Quorum Business Solutions\Ecopetrol Prometeo - Documents\Planning Space Implementation\3. Analysis &amp; Design\Design\FC22\DRR Jaime\QUIFA-CAJÚA\Cajua\[CAJUA_CF_SEC_New_27-Feb-2024Rev3.xlsx]D-PRB'!$CB$15</t>
  </si>
  <si>
    <t>='C:\Users\jaime.benazar\Quorum Business Solutions\Ecopetrol Prometeo - Documents\Planning Space Implementation\3. Analysis &amp; Design\Design\FC22\DRR Jaime\QUIFA-CAJÚA\Cajua\[CAJUA_CF_SEC_New_27-Feb-2024Rev3.xlsx]D-PRB'!$CB$16</t>
  </si>
  <si>
    <t>='C:\Users\jaime.benazar\Quorum Business Solutions\Ecopetrol Prometeo - Documents\Planning Space Implementation\3. Analysis &amp; Design\Design\FC22\DRR Jaime\QUIFA-CAJÚA\Cajua\[CAJUA_CF_SEC_New_27-Feb-2024Rev3.xlsx]D-PRB'!$CB$17</t>
  </si>
  <si>
    <t>='C:\Users\jaime.benazar\Quorum Business Solutions\Ecopetrol Prometeo - Documents\Planning Space Implementation\3. Analysis &amp; Design\Design\FC22\DRR Jaime\QUIFA-CAJÚA\Cajua\[CAJUA_CF_SEC_New_27-Feb-2024Rev3.xlsx]D-PRB'!$CB$18</t>
  </si>
  <si>
    <t>='C:\Users\jaime.benazar\Quorum Business Solutions\Ecopetrol Prometeo - Documents\Planning Space Implementation\3. Analysis &amp; Design\Design\FC22\DRR Jaime\QUIFA-CAJÚA\Cajua\[CAJUA_CF_SEC_New_27-Feb-2024Rev3.xlsx]D-PRB'!$CB$19</t>
  </si>
  <si>
    <t>='C:\Users\jaime.benazar\Quorum Business Solutions\Ecopetrol Prometeo - Documents\Planning Space Implementation\3. Analysis &amp; Design\Design\FC22\DRR Jaime\QUIFA-CAJÚA\Cajua\[CAJUA_CF_SEC_New_27-Feb-2024Rev3.xlsx]D-PRB'!$CB$20</t>
  </si>
  <si>
    <t>='C:\Users\jaime.benazar\Quorum Business Solutions\Ecopetrol Prometeo - Documents\Planning Space Implementation\3. Analysis &amp; Design\Design\FC22\DRR Jaime\QUIFA-CAJÚA\Cajua\[CAJUA_CF_SEC_New_27-Feb-2024Rev3.xlsx]D-PRB'!$CB$21</t>
  </si>
  <si>
    <t>='C:\Users\jaime.benazar\Quorum Business Solutions\Ecopetrol Prometeo - Documents\Planning Space Implementation\3. Analysis &amp; Design\Design\FC22\DRR Jaime\QUIFA-CAJÚA\Cajua\[CAJUA_CF_SEC_New_27-Feb-2024Rev3.xlsx]D-PRB'!$CB$22</t>
  </si>
  <si>
    <t>='C:\Users\jaime.benazar\Quorum Business Solutions\Ecopetrol Prometeo - Documents\Planning Space Implementation\3. Analysis &amp; Design\Design\FC22\DRR Jaime\QUIFA-CAJÚA\Cajua\[CAJUA_CF_SEC_New_27-Feb-2024Rev3.xlsx]D-PRB'!$CB$23</t>
  </si>
  <si>
    <t>='C:\Users\jaime.benazar\Quorum Business Solutions\Ecopetrol Prometeo - Documents\Planning Space Implementation\3. Analysis &amp; Design\Design\FC22\DRR Jaime\QUIFA-CAJÚA\Cajua\[CAJUA_CF_SEC_New_27-Feb-2024Rev3.xlsx]D-PRB'!$CB$24</t>
  </si>
  <si>
    <t>='C:\Users\jaime.benazar\Quorum Business Solutions\Ecopetrol Prometeo - Documents\Planning Space Implementation\3. Analysis &amp; Design\Design\FC22\DRR Jaime\QUIFA-CAJÚA\Cajua\[CAJUA_CF_SEC_New_27-Feb-2024Rev3.xlsx]D-PRB'!$CB$25</t>
  </si>
  <si>
    <t>='C:\Users\jaime.benazar\Quorum Business Solutions\Ecopetrol Prometeo - Documents\Planning Space Implementation\3. Analysis &amp; Design\Design\FC22\DRR Jaime\QUIFA-CAJÚA\Cajua\[CAJUA_CF_SEC_New_27-Feb-2024Rev3.xlsx]D-PRB'!$CB$26</t>
  </si>
  <si>
    <t>='C:\Users\jaime.benazar\Quorum Business Solutions\Ecopetrol Prometeo - Documents\Planning Space Implementation\3. Analysis &amp; Design\Design\FC22\DRR Jaime\QUIFA-CAJÚA\Cajua\[CAJUA_CF_SEC_New_27-Feb-2024Rev3.xlsx]D-PRB'!$CB$27</t>
  </si>
  <si>
    <t>='C:\Users\jaime.benazar\Quorum Business Solutions\Ecopetrol Prometeo - Documents\Planning Space Implementation\3. Analysis &amp; Design\Design\FC22\DRR Jaime\QUIFA-CAJÚA\Cajua\[CAJUA_CF_SEC_New_27-Feb-2024Rev3.xlsx]D-PRB'!$CB$28</t>
  </si>
  <si>
    <t>='C:\Users\jaime.benazar\Quorum Business Solutions\Ecopetrol Prometeo - Documents\Planning Space Implementation\3. Analysis &amp; Design\Design\FC22\DRR Jaime\QUIFA-CAJÚA\Cajua\[CAJUA_CF_SEC_New_27-Feb-2024Rev3.xlsx]D-PRB'!$CB$29</t>
  </si>
  <si>
    <t>='C:\Users\jaime.benazar\Quorum Business Solutions\Ecopetrol Prometeo - Documents\Planning Space Implementation\3. Analysis &amp; Design\Design\FC22\DRR Jaime\QUIFA-CAJÚA\Cajua\[CAJUA_CF_SEC_New_27-Feb-2024Rev3.xlsx]D-PRB'!$CB$30</t>
  </si>
  <si>
    <t>='C:\Users\jaime.benazar\Quorum Business Solutions\Ecopetrol Prometeo - Documents\Planning Space Implementation\3. Analysis &amp; Design\Design\FC22\DRR Jaime\QUIFA-CAJÚA\Cajua\[CAJUA_CF_SEC_New_27-Feb-2024Rev3.xlsx]D-PRB'!$CB$31</t>
  </si>
  <si>
    <t>='C:\Users\jaime.benazar\Quorum Business Solutions\Ecopetrol Prometeo - Documents\Planning Space Implementation\3. Analysis &amp; Design\Design\FC22\DRR Jaime\QUIFA-CAJÚA\Cajua\[CAJUA_CF_SEC_New_27-Feb-2024Rev3.xlsx]D-PRB'!$CB$32</t>
  </si>
  <si>
    <t>='C:\Users\jaime.benazar\Quorum Business Solutions\Ecopetrol Prometeo - Documents\Planning Space Implementation\3. Analysis &amp; Design\Design\FC22\DRR Jaime\QUIFA-CAJÚA\Cajua\[CAJUA_CF_SEC_New_27-Feb-2024Rev3.xlsx]D-PRB'!$CB$33</t>
  </si>
  <si>
    <t>='C:\Users\jaime.benazar\Quorum Business Solutions\Ecopetrol Prometeo - Documents\Planning Space Implementation\3. Analysis &amp; Design\Design\FC22\DRR Jaime\QUIFA-CAJÚA\Cajua\[CAJUA_CF_SEC_New_27-Feb-2024Rev3.xlsx]D-PRB'!$CB$34</t>
  </si>
  <si>
    <t>='C:\Users\jaime.benazar\Quorum Business Solutions\Ecopetrol Prometeo - Documents\Planning Space Implementation\3. Analysis &amp; Design\Design\FC22\DRR Jaime\QUIFA-CAJÚA\Cajua\[CAJUA_CF_SEC_New_27-Feb-2024Rev3.xlsx]D-PRB'!$CB$35</t>
  </si>
  <si>
    <t>='C:\Users\jaime.benazar\Quorum Business Solutions\Ecopetrol Prometeo - Documents\Planning Space Implementation\3. Analysis &amp; Design\Design\FC22\DRR Jaime\QUIFA-CAJÚA\Cajua\[CAJUA_CF_SEC_New_27-Feb-2024Rev3.xlsx]D-PRB'!$CB$36</t>
  </si>
  <si>
    <t>='C:\Users\jaime.benazar\Quorum Business Solutions\Ecopetrol Prometeo - Documents\Planning Space Implementation\3. Analysis &amp; Design\Design\FC22\DRR Jaime\QUIFA-CAJÚA\Cajua\[CAJUA_CF_SEC_New_27-Feb-2024Rev3.xlsx]D-PRB'!$CB$37</t>
  </si>
  <si>
    <t>='C:\Users\jaime.benazar\Quorum Business Solutions\Ecopetrol Prometeo - Documents\Planning Space Implementation\3. Analysis &amp; Design\Design\FC22\DRR Jaime\QUIFA-CAJÚA\Cajua\[CAJUA_CF_SEC_New_27-Feb-2024Rev3.xlsx]D-PRB'!$CB$38</t>
  </si>
  <si>
    <t>='C:\Users\jaime.benazar\Quorum Business Solutions\Ecopetrol Prometeo - Documents\Planning Space Implementation\3. Analysis &amp; Design\Design\FC22\DRR Jaime\QUIFA-CAJÚA\Cajua\[CAJUA_CF_SEC_New_27-Feb-2024Rev3.xlsx]D-PRB'!$CB$39</t>
  </si>
  <si>
    <t>='C:\Users\jaime.benazar\Quorum Business Solutions\Ecopetrol Prometeo - Documents\Planning Space Implementation\3. Analysis &amp; Design\Design\FC22\DRR Jaime\QUIFA-CAJÚA\Cajua\[CAJUA_CF_SEC_New_27-Feb-2024Rev3.xlsx]D-PRB'!$CB$40</t>
  </si>
  <si>
    <t>='C:\Users\jaime.benazar\Quorum Business Solutions\Ecopetrol Prometeo - Documents\Planning Space Implementation\3. Analysis &amp; Design\Design\FC22\DRR Jaime\QUIFA-CAJÚA\Cajua\[CAJUA_CF_SEC_New_27-Feb-2024Rev3.xlsx]D-PRB'!$CB$41</t>
  </si>
  <si>
    <t>='C:\Users\jaime.benazar\Quorum Business Solutions\Ecopetrol Prometeo - Documents\Planning Space Implementation\3. Analysis &amp; Design\Design\FC22\DRR Jaime\QUIFA-CAJÚA\Cajua\[CAJUA_CF_SEC_New_27-Feb-2024Rev3.xlsx]D-PRB'!$CB$42</t>
  </si>
  <si>
    <t>='C:\Users\jaime.benazar\Quorum Business Solutions\Ecopetrol Prometeo - Documents\Planning Space Implementation\3. Analysis &amp; Design\Design\FC22\DRR Jaime\QUIFA-CAJÚA\Cajua\[CAJUA_CF_SEC_New_27-Feb-2024Rev3.xlsx]D-PRB'!$CB$43</t>
  </si>
  <si>
    <t>='C:\Users\jaime.benazar\Quorum Business Solutions\Ecopetrol Prometeo - Documents\Planning Space Implementation\3. Analysis &amp; Design\Design\FC22\DRR Jaime\QUIFA-CAJÚA\Cajua\[CAJUA_CF_SEC_New_27-Feb-2024Rev3.xlsx]D-PRB'!$CB$44</t>
  </si>
  <si>
    <t>='C:\Users\jaime.benazar\Quorum Business Solutions\Ecopetrol Prometeo - Documents\Planning Space Implementation\3. Analysis &amp; Design\Design\FC22\DRR Jaime\QUIFA-CAJÚA\Cajua\[CAJUA_CF_SEC_New_27-Feb-2024Rev3.xlsx]D-PRB'!$CB$45</t>
  </si>
  <si>
    <t>='C:\Users\jaime.benazar\Quorum Business Solutions\Ecopetrol Prometeo - Documents\Planning Space Implementation\3. Analysis &amp; Design\Design\FC22\DRR Jaime\QUIFA-CAJÚA\Cajua\[CAJUA_CF_SEC_New_27-Feb-2024Rev3.xlsx]D-PRB'!$CB$46</t>
  </si>
  <si>
    <t>='C:\Users\jaime.benazar\Quorum Business Solutions\Ecopetrol Prometeo - Documents\Planning Space Implementation\3. Analysis &amp; Design\Design\FC22\DRR Jaime\QUIFA-CAJÚA\Cajua\[CAJUA_CF_SEC_New_27-Feb-2024Rev3.xlsx]D-PRB'!$CB$47</t>
  </si>
  <si>
    <t>='C:\Users\jaime.benazar\Quorum Business Solutions\Ecopetrol Prometeo - Documents\Planning Space Implementation\3. Analysis &amp; Design\Design\FC22\DRR Jaime\QUIFA-CAJÚA\Cajua\[CAJUA_CF_SEC_New_27-Feb-2024Rev3.xlsx]D-PRB'!$CB$48</t>
  </si>
  <si>
    <t>='C:\Users\jaime.benazar\Quorum Business Solutions\Ecopetrol Prometeo - Documents\Planning Space Implementation\3. Analysis &amp; Design\Design\FC22\DRR Jaime\QUIFA-CAJÚA\Cajua\[CAJUA_CF_SEC_New_27-Feb-2024Rev3.xlsx]D-PS'!$CB$12</t>
  </si>
  <si>
    <t>='C:\Users\jaime.benazar\Quorum Business Solutions\Ecopetrol Prometeo - Documents\Planning Space Implementation\3. Analysis &amp; Design\Design\FC22\DRR Jaime\QUIFA-CAJÚA\Cajua\[CAJUA_CF_SEC_New_27-Feb-2024Rev3.xlsx]D-PS'!$CB$13</t>
  </si>
  <si>
    <t>='C:\Users\jaime.benazar\Quorum Business Solutions\Ecopetrol Prometeo - Documents\Planning Space Implementation\3. Analysis &amp; Design\Design\FC22\DRR Jaime\QUIFA-CAJÚA\Cajua\[CAJUA_CF_SEC_New_27-Feb-2024Rev3.xlsx]D-PS'!$CB$14</t>
  </si>
  <si>
    <t>='C:\Users\jaime.benazar\Quorum Business Solutions\Ecopetrol Prometeo - Documents\Planning Space Implementation\3. Analysis &amp; Design\Design\FC22\DRR Jaime\QUIFA-CAJÚA\Cajua\[CAJUA_CF_SEC_New_27-Feb-2024Rev3.xlsx]D-PS'!$CB$15</t>
  </si>
  <si>
    <t>='C:\Users\jaime.benazar\Quorum Business Solutions\Ecopetrol Prometeo - Documents\Planning Space Implementation\3. Analysis &amp; Design\Design\FC22\DRR Jaime\QUIFA-CAJÚA\Cajua\[CAJUA_CF_SEC_New_27-Feb-2024Rev3.xlsx]D-PS'!$CB$16</t>
  </si>
  <si>
    <t>='C:\Users\jaime.benazar\Quorum Business Solutions\Ecopetrol Prometeo - Documents\Planning Space Implementation\3. Analysis &amp; Design\Design\FC22\DRR Jaime\QUIFA-CAJÚA\Cajua\[CAJUA_CF_SEC_New_27-Feb-2024Rev3.xlsx]D-PS'!$CB$17</t>
  </si>
  <si>
    <t>='C:\Users\jaime.benazar\Quorum Business Solutions\Ecopetrol Prometeo - Documents\Planning Space Implementation\3. Analysis &amp; Design\Design\FC22\DRR Jaime\QUIFA-CAJÚA\Cajua\[CAJUA_CF_SEC_New_27-Feb-2024Rev3.xlsx]D-PS'!$CB$18</t>
  </si>
  <si>
    <t>='C:\Users\jaime.benazar\Quorum Business Solutions\Ecopetrol Prometeo - Documents\Planning Space Implementation\3. Analysis &amp; Design\Design\FC22\DRR Jaime\QUIFA-CAJÚA\Cajua\[CAJUA_CF_SEC_New_27-Feb-2024Rev3.xlsx]D-PS'!$CB$19</t>
  </si>
  <si>
    <t>='C:\Users\jaime.benazar\Quorum Business Solutions\Ecopetrol Prometeo - Documents\Planning Space Implementation\3. Analysis &amp; Design\Design\FC22\DRR Jaime\QUIFA-CAJÚA\Cajua\[CAJUA_CF_SEC_New_27-Feb-2024Rev3.xlsx]D-PS'!$CB$20</t>
  </si>
  <si>
    <t>='C:\Users\jaime.benazar\Quorum Business Solutions\Ecopetrol Prometeo - Documents\Planning Space Implementation\3. Analysis &amp; Design\Design\FC22\DRR Jaime\QUIFA-CAJÚA\Cajua\[CAJUA_CF_SEC_New_27-Feb-2024Rev3.xlsx]D-PS'!$CB$21</t>
  </si>
  <si>
    <t>='C:\Users\jaime.benazar\Quorum Business Solutions\Ecopetrol Prometeo - Documents\Planning Space Implementation\3. Analysis &amp; Design\Design\FC22\DRR Jaime\QUIFA-CAJÚA\Cajua\[CAJUA_CF_SEC_New_27-Feb-2024Rev3.xlsx]D-PS'!$CB$22</t>
  </si>
  <si>
    <t>='C:\Users\jaime.benazar\Quorum Business Solutions\Ecopetrol Prometeo - Documents\Planning Space Implementation\3. Analysis &amp; Design\Design\FC22\DRR Jaime\QUIFA-CAJÚA\Cajua\[CAJUA_CF_SEC_New_27-Feb-2024Rev3.xlsx]D-PS'!$CB$23</t>
  </si>
  <si>
    <t>='C:\Users\jaime.benazar\Quorum Business Solutions\Ecopetrol Prometeo - Documents\Planning Space Implementation\3. Analysis &amp; Design\Design\FC22\DRR Jaime\QUIFA-CAJÚA\Cajua\[CAJUA_CF_SEC_New_27-Feb-2024Rev3.xlsx]D-PS'!$CB$24</t>
  </si>
  <si>
    <t>='C:\Users\jaime.benazar\Quorum Business Solutions\Ecopetrol Prometeo - Documents\Planning Space Implementation\3. Analysis &amp; Design\Design\FC22\DRR Jaime\QUIFA-CAJÚA\Cajua\[CAJUA_CF_SEC_New_27-Feb-2024Rev3.xlsx]D-PS'!$CB$25</t>
  </si>
  <si>
    <t>='C:\Users\jaime.benazar\Quorum Business Solutions\Ecopetrol Prometeo - Documents\Planning Space Implementation\3. Analysis &amp; Design\Design\FC22\DRR Jaime\QUIFA-CAJÚA\Cajua\[CAJUA_CF_SEC_New_27-Feb-2024Rev3.xlsx]D-PS'!$CB$26</t>
  </si>
  <si>
    <t>='C:\Users\jaime.benazar\Quorum Business Solutions\Ecopetrol Prometeo - Documents\Planning Space Implementation\3. Analysis &amp; Design\Design\FC22\DRR Jaime\QUIFA-CAJÚA\Cajua\[CAJUA_CF_SEC_New_27-Feb-2024Rev3.xlsx]D-PS'!$CB$27</t>
  </si>
  <si>
    <t>='C:\Users\jaime.benazar\Quorum Business Solutions\Ecopetrol Prometeo - Documents\Planning Space Implementation\3. Analysis &amp; Design\Design\FC22\DRR Jaime\QUIFA-CAJÚA\Cajua\[CAJUA_CF_SEC_New_27-Feb-2024Rev3.xlsx]D-PS'!$CB$28</t>
  </si>
  <si>
    <t>='C:\Users\jaime.benazar\Quorum Business Solutions\Ecopetrol Prometeo - Documents\Planning Space Implementation\3. Analysis &amp; Design\Design\FC22\DRR Jaime\QUIFA-CAJÚA\Cajua\[CAJUA_CF_SEC_New_27-Feb-2024Rev3.xlsx]D-PS'!$CB$29</t>
  </si>
  <si>
    <t>='C:\Users\jaime.benazar\Quorum Business Solutions\Ecopetrol Prometeo - Documents\Planning Space Implementation\3. Analysis &amp; Design\Design\FC22\DRR Jaime\QUIFA-CAJÚA\Cajua\[CAJUA_CF_SEC_New_27-Feb-2024Rev3.xlsx]D-PS'!$CB$30</t>
  </si>
  <si>
    <t>='C:\Users\jaime.benazar\Quorum Business Solutions\Ecopetrol Prometeo - Documents\Planning Space Implementation\3. Analysis &amp; Design\Design\FC22\DRR Jaime\QUIFA-CAJÚA\Cajua\[CAJUA_CF_SEC_New_27-Feb-2024Rev3.xlsx]D-PS'!$CB$31</t>
  </si>
  <si>
    <t>='C:\Users\jaime.benazar\Quorum Business Solutions\Ecopetrol Prometeo - Documents\Planning Space Implementation\3. Analysis &amp; Design\Design\FC22\DRR Jaime\QUIFA-CAJÚA\Cajua\[CAJUA_CF_SEC_New_27-Feb-2024Rev3.xlsx]D-PS'!$CB$32</t>
  </si>
  <si>
    <t>='C:\Users\jaime.benazar\Quorum Business Solutions\Ecopetrol Prometeo - Documents\Planning Space Implementation\3. Analysis &amp; Design\Design\FC22\DRR Jaime\QUIFA-CAJÚA\Cajua\[CAJUA_CF_SEC_New_27-Feb-2024Rev3.xlsx]D-PS'!$CB$33</t>
  </si>
  <si>
    <t>='C:\Users\jaime.benazar\Quorum Business Solutions\Ecopetrol Prometeo - Documents\Planning Space Implementation\3. Analysis &amp; Design\Design\FC22\DRR Jaime\QUIFA-CAJÚA\Cajua\[CAJUA_CF_SEC_New_27-Feb-2024Rev3.xlsx]D-PS'!$CB$34</t>
  </si>
  <si>
    <t>='C:\Users\jaime.benazar\Quorum Business Solutions\Ecopetrol Prometeo - Documents\Planning Space Implementation\3. Analysis &amp; Design\Design\FC22\DRR Jaime\QUIFA-CAJÚA\Cajua\[CAJUA_CF_SEC_New_27-Feb-2024Rev3.xlsx]D-PS'!$CB$35</t>
  </si>
  <si>
    <t>='C:\Users\jaime.benazar\Quorum Business Solutions\Ecopetrol Prometeo - Documents\Planning Space Implementation\3. Analysis &amp; Design\Design\FC22\DRR Jaime\QUIFA-CAJÚA\Cajua\[CAJUA_CF_SEC_New_27-Feb-2024Rev3.xlsx]D-PS'!$CB$36</t>
  </si>
  <si>
    <t>='C:\Users\jaime.benazar\Quorum Business Solutions\Ecopetrol Prometeo - Documents\Planning Space Implementation\3. Analysis &amp; Design\Design\FC22\DRR Jaime\QUIFA-CAJÚA\Cajua\[CAJUA_CF_SEC_New_27-Feb-2024Rev3.xlsx]D-PS'!$CB$37</t>
  </si>
  <si>
    <t>='C:\Users\jaime.benazar\Quorum Business Solutions\Ecopetrol Prometeo - Documents\Planning Space Implementation\3. Analysis &amp; Design\Design\FC22\DRR Jaime\QUIFA-CAJÚA\Cajua\[CAJUA_CF_SEC_New_27-Feb-2024Rev3.xlsx]D-PS'!$CB$38</t>
  </si>
  <si>
    <t>='C:\Users\jaime.benazar\Quorum Business Solutions\Ecopetrol Prometeo - Documents\Planning Space Implementation\3. Analysis &amp; Design\Design\FC22\DRR Jaime\QUIFA-CAJÚA\Cajua\[CAJUA_CF_SEC_New_27-Feb-2024Rev3.xlsx]D-PS'!$CB$39</t>
  </si>
  <si>
    <t>='C:\Users\jaime.benazar\Quorum Business Solutions\Ecopetrol Prometeo - Documents\Planning Space Implementation\3. Analysis &amp; Design\Design\FC22\DRR Jaime\QUIFA-CAJÚA\Cajua\[CAJUA_CF_SEC_New_27-Feb-2024Rev3.xlsx]D-PS'!$CB$40</t>
  </si>
  <si>
    <t>='C:\Users\jaime.benazar\Quorum Business Solutions\Ecopetrol Prometeo - Documents\Planning Space Implementation\3. Analysis &amp; Design\Design\FC22\DRR Jaime\QUIFA-CAJÚA\Cajua\[CAJUA_CF_SEC_New_27-Feb-2024Rev3.xlsx]D-PS'!$CB$41</t>
  </si>
  <si>
    <t>='C:\Users\jaime.benazar\Quorum Business Solutions\Ecopetrol Prometeo - Documents\Planning Space Implementation\3. Analysis &amp; Design\Design\FC22\DRR Jaime\QUIFA-CAJÚA\Cajua\[CAJUA_CF_SEC_New_27-Feb-2024Rev3.xlsx]D-PS'!$CB$42</t>
  </si>
  <si>
    <t>='C:\Users\jaime.benazar\Quorum Business Solutions\Ecopetrol Prometeo - Documents\Planning Space Implementation\3. Analysis &amp; Design\Design\FC22\DRR Jaime\QUIFA-CAJÚA\Cajua\[CAJUA_CF_SEC_New_27-Feb-2024Rev3.xlsx]D-PS'!$CB$43</t>
  </si>
  <si>
    <t>='C:\Users\jaime.benazar\Quorum Business Solutions\Ecopetrol Prometeo - Documents\Planning Space Implementation\3. Analysis &amp; Design\Design\FC22\DRR Jaime\QUIFA-CAJÚA\Cajua\[CAJUA_CF_SEC_New_27-Feb-2024Rev3.xlsx]D-PS'!$CB$44</t>
  </si>
  <si>
    <t>='C:\Users\jaime.benazar\Quorum Business Solutions\Ecopetrol Prometeo - Documents\Planning Space Implementation\3. Analysis &amp; Design\Design\FC22\DRR Jaime\QUIFA-CAJÚA\Cajua\[CAJUA_CF_SEC_New_27-Feb-2024Rev3.xlsx]D-PS'!$CB$45</t>
  </si>
  <si>
    <t>='C:\Users\jaime.benazar\Quorum Business Solutions\Ecopetrol Prometeo - Documents\Planning Space Implementation\3. Analysis &amp; Design\Design\FC22\DRR Jaime\QUIFA-CAJÚA\Cajua\[CAJUA_CF_SEC_New_27-Feb-2024Rev3.xlsx]D-PS'!$CB$46</t>
  </si>
  <si>
    <t>='C:\Users\jaime.benazar\Quorum Business Solutions\Ecopetrol Prometeo - Documents\Planning Space Implementation\3. Analysis &amp; Design\Design\FC22\DRR Jaime\QUIFA-CAJÚA\Cajua\[CAJUA_CF_SEC_New_27-Feb-2024Rev3.xlsx]D-PS'!$CB$47</t>
  </si>
  <si>
    <t>='C:\Users\jaime.benazar\Quorum Business Solutions\Ecopetrol Prometeo - Documents\Planning Space Implementation\3. Analysis &amp; Design\Design\FC22\DRR Jaime\QUIFA-CAJÚA\Cajua\[CAJUA_CF_SEC_New_27-Feb-2024Rev3.xlsx]D-PS'!$CB$48</t>
  </si>
  <si>
    <t>='C:\Users\jaime.benazar\Quorum Business Solutions\Ecopetrol Prometeo - Documents\Planning Space Implementation\3. Analysis &amp; Design\Design\FC22\DRR Jaime\QUIFA-CAJÚA\Cajua\[CAJUA_CF_SEC_New_27-Feb-2024Rev3.xlsx]Consolidado'!$J$12</t>
  </si>
  <si>
    <t>='C:\Users\jaime.benazar\Quorum Business Solutions\Ecopetrol Prometeo - Documents\Planning Space Implementation\3. Analysis &amp; Design\Design\FC22\DRR Jaime\QUIFA-CAJÚA\Cajua\[CAJUA_CF_SEC_New_27-Feb-2024Rev3.xlsx]Consolidado'!$J$13</t>
  </si>
  <si>
    <t>='C:\Users\jaime.benazar\Quorum Business Solutions\Ecopetrol Prometeo - Documents\Planning Space Implementation\3. Analysis &amp; Design\Design\FC22\DRR Jaime\QUIFA-CAJÚA\Cajua\[CAJUA_CF_SEC_New_27-Feb-2024Rev3.xlsx]Consolidado'!$J$14</t>
  </si>
  <si>
    <t>='C:\Users\jaime.benazar\Quorum Business Solutions\Ecopetrol Prometeo - Documents\Planning Space Implementation\3. Analysis &amp; Design\Design\FC22\DRR Jaime\QUIFA-CAJÚA\Cajua\[CAJUA_CF_SEC_New_27-Feb-2024Rev3.xlsx]Consolidado'!$J$17</t>
  </si>
  <si>
    <t>='C:\Users\jaime.benazar\Quorum Business Solutions\Ecopetrol Prometeo - Documents\Planning Space Implementation\3. Analysis &amp; Design\Design\FC22\DRR Jaime\QUIFA-CAJÚA\Cajua\[CAJUA_CF_SEC_New_27-Feb-2024Rev3.xlsx]Consolidado'!$J$18</t>
  </si>
  <si>
    <t>='C:\Users\jaime.benazar\Quorum Business Solutions\Ecopetrol Prometeo - Documents\Planning Space Implementation\3. Analysis &amp; Design\Design\FC22\DRR Jaime\QUIFA-CAJÚA\Cajua\[CAJUA_CF_SEC_New_27-Feb-2024Rev3.xlsx]Consolidado'!$J$19</t>
  </si>
  <si>
    <t>='C:\Users\jaime.benazar\Quorum Business Solutions\Ecopetrol Prometeo - Documents\Planning Space Implementation\3. Analysis &amp; Design\Design\FC22\DRR Jaime\QUIFA-CAJÚA\Cajua\[CAJUA_CF_SEC_New_27-Feb-2024Rev3.xlsx]Consolidado'!$J$20</t>
  </si>
  <si>
    <t>='C:\Users\jaime.benazar\Quorum Business Solutions\Ecopetrol Prometeo - Documents\Planning Space Implementation\3. Analysis &amp; Design\Design\FC22\DRR Jaime\QUIFA-CAJÚA\Cajua\[CAJUA_CF_SEC_New_27-Feb-2024Rev3.xlsx]Consolidado'!$J$22</t>
  </si>
  <si>
    <t>='C:\Users\jaime.benazar\Quorum Business Solutions\Ecopetrol Prometeo - Documents\Planning Space Implementation\3. Analysis &amp; Design\Design\FC22\DRR Jaime\QUIFA-CAJÚA\Cajua\[CAJUA_CF_SEC_New_27-Feb-2024Rev3.xlsx]Consolidado'!$J$23</t>
  </si>
  <si>
    <t>='C:\Users\jaime.benazar\Quorum Business Solutions\Ecopetrol Prometeo - Documents\Planning Space Implementation\3. Analysis &amp; Design\Design\FC22\DRR Jaime\QUIFA-CAJÚA\Cajua\[CAJUA_CF_SEC_New_27-Feb-2024Rev3.xlsx]Consolidado'!$J$24</t>
  </si>
  <si>
    <t>='C:\Users\jaime.benazar\Quorum Business Solutions\Ecopetrol Prometeo - Documents\Planning Space Implementation\3. Analysis &amp; Design\Design\FC22\DRR Jaime\QUIFA-CAJÚA\Cajua\[CAJUA_CF_SEC_New_27-Feb-2024Rev3.xlsx]Consolidado'!$J$25</t>
  </si>
  <si>
    <t>='C:\Users\jaime.benazar\Quorum Business Solutions\Ecopetrol Prometeo - Documents\Planning Space Implementation\3. Analysis &amp; Design\Design\FC22\DRR Jaime\QUIFA-CAJÚA\Cajua\[CAJUA_CF_SEC_New_27-Feb-2024Rev3.xlsx]Consolidado'!$L$26</t>
  </si>
  <si>
    <t>='C:\Users\jaime.benazar\Quorum Business Solutions\Ecopetrol Prometeo - Documents\Planning Space Implementation\3. Analysis &amp; Design\Design\FC22\DRR Jaime\QUIFA-CAJÚA\Cajua\[CAJUA_CF_SEC_New_27-Feb-2024Rev3.xlsx]Consolidado'!$L$27</t>
  </si>
  <si>
    <t>='C:\Users\jaime.benazar\Quorum Business Solutions\Ecopetrol Prometeo - Documents\Planning Space Implementation\3. Analysis &amp; Design\Design\FC22\DRR Jaime\QUIFA-CAJÚA\Cajua\[CAJUA_CF_SEC_New_27-Feb-2024Rev3.xlsx]Consolidado'!$L$14</t>
  </si>
  <si>
    <t>='C:\Users\jaime.benazar\Quorum Business Solutions\Ecopetrol Prometeo - Documents\Planning Space Implementation\3. Analysis &amp; Design\Design\FC22\DRR Jaime\QUIFA-CAJÚA\Cajua\[CAJUA_CF_SEC_New_27-Feb-2024Rev3.xlsx]Consolidado'!$L$17</t>
  </si>
  <si>
    <t>='C:\Users\jaime.benazar\Quorum Business Solutions\Ecopetrol Prometeo - Documents\Planning Space Implementation\3. Analysis &amp; Design\Design\FC22\DRR Jaime\QUIFA-CAJÚA\Cajua\[CAJUA_CF_SEC_New_27-Feb-2024Rev3.xlsx]Consolidado'!$L$18</t>
  </si>
  <si>
    <t>='C:\Users\jaime.benazar\Quorum Business Solutions\Ecopetrol Prometeo - Documents\Planning Space Implementation\3. Analysis &amp; Design\Design\FC22\DRR Jaime\QUIFA-CAJÚA\Cajua\[CAJUA_CF_SEC_New_27-Feb-2024Rev3.xlsx]Consolidado'!$L$19</t>
  </si>
  <si>
    <t>='C:\Users\jaime.benazar\Quorum Business Solutions\Ecopetrol Prometeo - Documents\Planning Space Implementation\3. Analysis &amp; Design\Design\FC22\DRR Jaime\QUIFA-CAJÚA\Cajua\[CAJUA_CF_SEC_New_27-Feb-2024Rev3.xlsx]Consolidado'!$L$20</t>
  </si>
  <si>
    <t>='C:\Users\jaime.benazar\Quorum Business Solutions\Ecopetrol Prometeo - Documents\Planning Space Implementation\3. Analysis &amp; Design\Design\FC22\DRR Jaime\QUIFA-CAJÚA\Cajua\[CAJUA_CF_SEC_New_27-Feb-2024Rev3.xlsx]Consolidado'!$L$22</t>
  </si>
  <si>
    <t>='C:\Users\jaime.benazar\Quorum Business Solutions\Ecopetrol Prometeo - Documents\Planning Space Implementation\3. Analysis &amp; Design\Design\FC22\DRR Jaime\QUIFA-CAJÚA\Cajua\[CAJUA_CF_SEC_New_27-Feb-2024Rev3.xlsx]Consolidado'!$L$23</t>
  </si>
  <si>
    <t>='C:\Users\jaime.benazar\Quorum Business Solutions\Ecopetrol Prometeo - Documents\Planning Space Implementation\3. Analysis &amp; Design\Design\FC22\DRR Jaime\QUIFA-CAJÚA\Cajua\[CAJUA_CF_SEC_New_27-Feb-2024Rev3.xlsx]Consolidado'!$L$24</t>
  </si>
  <si>
    <t>='C:\Users\jaime.benazar\Quorum Business Solutions\Ecopetrol Prometeo - Documents\Planning Space Implementation\3. Analysis &amp; Design\Design\FC22\DRR Jaime\QUIFA-CAJÚA\Cajua\[CAJUA_CF_SEC_New_27-Feb-2024Rev3.xlsx]Consolidado'!$L$25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</si>
</sst>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_(* #,##0_);_(* \(#,##0\);_(* &quot;-&quot;??_);_(@_)"/>
    <numFmt numFmtId="165" formatCode="0.0%"/>
    <numFmt numFmtId="166" formatCode="0.000"/>
    <numFmt numFmtId="167" formatCode="0.0000"/>
    <numFmt numFmtId="168" formatCode="_(* #,##0.0000_);_(* \(#,##0.0000\);_(* &quot;-&quot;??_);_(@_)"/>
    <numFmt numFmtId="169" formatCode="0.000%"/>
    <numFmt numFmtId="170" formatCode="_(* #,##0.00000_);_(* \(#,##0.00000\);_(* &quot;-&quot;??_);_(@_)"/>
    <numFmt numFmtId="171" formatCode="0.00000"/>
    <numFmt numFmtId="172" formatCode="0.00000%"/>
  </numFmts>
  <fonts count="14" x14ac:knownFonts="1">
    <font>
      <sz val="11"/>
      <color theme="1"/>
      <name val="Calibri"/>
      <family val="2"/>
      <scheme val="minor"/>
    </font>
    <font>
      <sz val="11"/>
      <color theme="1"/>
      <name val="Calibri"/>
      <family val="2"/>
      <scheme val="minor"/>
    </font>
    <font>
      <b/>
      <sz val="10"/>
      <color theme="1"/>
      <name val="Franklin Gothic Book"/>
      <family val="2"/>
    </font>
    <font>
      <sz val="10"/>
      <color theme="1"/>
      <name val="Franklin Gothic Book"/>
      <family val="2"/>
    </font>
    <font>
      <sz val="8"/>
      <name val="Calibri"/>
      <family val="2"/>
      <scheme val="minor"/>
    </font>
    <font>
      <b/>
      <sz val="11"/>
      <color theme="1"/>
      <name val="Calibri"/>
      <family val="2"/>
      <scheme val="minor"/>
    </font>
    <font>
      <sz val="11"/>
      <color theme="1"/>
      <name val="Franklin Gothic Book"/>
      <family val="2"/>
    </font>
    <font>
      <b/>
      <sz val="11"/>
      <color theme="1"/>
      <name val="Franklin Gothic Book"/>
      <family val="2"/>
    </font>
    <font>
      <b/>
      <sz val="10"/>
      <name val="Franklin Gothic Book"/>
      <family val="2"/>
    </font>
    <font>
      <sz val="11"/>
      <color theme="0"/>
      <name val="Franklin Gothic Book"/>
      <family val="2"/>
    </font>
    <font>
      <sz val="11"/>
      <color rgb="FF000000"/>
      <name val="Calibri"/>
      <family val="2"/>
    </font>
    <font>
      <sz val="11"/>
      <color theme="6" tint="-0.499984740745262"/>
      <name val="Franklin Gothic Book"/>
      <family val="2"/>
    </font>
    <font>
      <b/>
      <sz val="10"/>
      <color theme="6" tint="-0.249977111117893"/>
      <name val="Franklin Gothic Book"/>
      <family val="2"/>
    </font>
    <font>
      <sz val="11"/>
      <color theme="6" tint="-0.249977111117893"/>
      <name val="Franklin Gothic Book"/>
      <family val="2"/>
    </font>
  </fonts>
  <fills count="8">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FF99FF"/>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cellStyleXfs>
  <cellXfs count="171">
    <xf numFmtId="0" fontId="0" fillId="0" borderId="0" xfId="0"/>
    <xf numFmtId="0" fontId="0" fillId="2" borderId="0" xfId="0" applyFill="1"/>
    <xf numFmtId="0" fontId="0" fillId="2" borderId="0" xfId="0" quotePrefix="1" applyFill="1"/>
    <xf numFmtId="0" fontId="5" fillId="0" borderId="0" xfId="0" applyFont="1" applyAlignment="1">
      <alignment horizontal="center" vertical="center" wrapText="1"/>
    </xf>
    <xf numFmtId="0" fontId="0" fillId="3" borderId="0" xfId="0" applyFill="1"/>
    <xf numFmtId="0" fontId="0" fillId="3" borderId="0" xfId="0" quotePrefix="1" applyFill="1"/>
    <xf numFmtId="0" fontId="0" fillId="2"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quotePrefix="1" applyFill="1" applyAlignment="1">
      <alignment horizontal="center"/>
    </xf>
    <xf numFmtId="0" fontId="0" fillId="3" borderId="0" xfId="0" quotePrefix="1" applyFill="1" applyAlignment="1">
      <alignment horizontal="center"/>
    </xf>
    <xf numFmtId="0" fontId="3" fillId="0" borderId="0" xfId="0" applyFont="1" applyAlignment="1">
      <alignment horizontal="center" vertical="center"/>
    </xf>
    <xf numFmtId="2" fontId="0" fillId="2" borderId="0" xfId="0" applyNumberFormat="1" applyFill="1"/>
    <xf numFmtId="0" fontId="6" fillId="0" borderId="0" xfId="0" applyFont="1"/>
    <xf numFmtId="164" fontId="6" fillId="0" borderId="0" xfId="3" applyNumberFormat="1" applyFont="1" applyFill="1" applyBorder="1" applyAlignment="1"/>
    <xf numFmtId="0" fontId="6" fillId="0" borderId="0" xfId="0" applyFont="1" applyAlignment="1">
      <alignment horizontal="center"/>
    </xf>
    <xf numFmtId="164" fontId="6" fillId="0" borderId="4" xfId="3" applyNumberFormat="1" applyFont="1" applyFill="1" applyBorder="1" applyAlignment="1"/>
    <xf numFmtId="0" fontId="6" fillId="2" borderId="8" xfId="0" applyFont="1" applyFill="1" applyBorder="1" applyAlignment="1">
      <alignment horizontal="center" vertical="center" wrapText="1"/>
    </xf>
    <xf numFmtId="0" fontId="6" fillId="0" borderId="0" xfId="0" applyFont="1" applyAlignment="1">
      <alignment vertical="center" wrapText="1"/>
    </xf>
    <xf numFmtId="0" fontId="6" fillId="2" borderId="5"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7" fillId="4" borderId="0" xfId="0" applyFont="1" applyFill="1" applyAlignment="1">
      <alignment horizontal="center" vertical="center" wrapText="1"/>
    </xf>
    <xf numFmtId="0" fontId="2" fillId="4" borderId="0" xfId="0" applyFont="1" applyFill="1" applyAlignment="1">
      <alignment horizontal="center" vertical="center" wrapText="1"/>
    </xf>
    <xf numFmtId="9" fontId="6" fillId="0" borderId="0" xfId="4" applyFont="1"/>
    <xf numFmtId="0" fontId="8" fillId="4" borderId="0" xfId="0" applyFont="1" applyFill="1" applyAlignment="1">
      <alignment horizontal="center" vertical="center" wrapText="1"/>
    </xf>
    <xf numFmtId="164" fontId="6" fillId="0" borderId="0" xfId="3" applyNumberFormat="1" applyFont="1" applyFill="1" applyBorder="1"/>
    <xf numFmtId="164" fontId="6" fillId="0" borderId="1" xfId="3" applyNumberFormat="1" applyFont="1" applyFill="1" applyBorder="1"/>
    <xf numFmtId="164" fontId="6" fillId="0" borderId="5" xfId="3" applyNumberFormat="1" applyFont="1" applyFill="1" applyBorder="1"/>
    <xf numFmtId="164" fontId="6" fillId="0" borderId="5" xfId="3" applyNumberFormat="1" applyFont="1" applyFill="1" applyBorder="1" applyAlignment="1"/>
    <xf numFmtId="0" fontId="2" fillId="0" borderId="11" xfId="0" applyFont="1" applyBorder="1"/>
    <xf numFmtId="0" fontId="2" fillId="0" borderId="12" xfId="0" applyFont="1" applyBorder="1"/>
    <xf numFmtId="0" fontId="3" fillId="0" borderId="11" xfId="0" applyFont="1" applyBorder="1"/>
    <xf numFmtId="0" fontId="0" fillId="5" borderId="0" xfId="0" applyFill="1" applyAlignment="1">
      <alignment horizontal="center"/>
    </xf>
    <xf numFmtId="0" fontId="0" fillId="5" borderId="0" xfId="0" applyFill="1"/>
    <xf numFmtId="0" fontId="0" fillId="5" borderId="0" xfId="0" quotePrefix="1" applyFill="1"/>
    <xf numFmtId="0" fontId="0" fillId="5" borderId="0" xfId="0" quotePrefix="1" applyFill="1" applyAlignment="1">
      <alignment horizontal="center"/>
    </xf>
    <xf numFmtId="2" fontId="0" fillId="5" borderId="0" xfId="0" applyNumberFormat="1" applyFill="1"/>
    <xf numFmtId="43" fontId="0" fillId="5" borderId="0" xfId="0" applyNumberFormat="1" applyFill="1"/>
    <xf numFmtId="165" fontId="6" fillId="0" borderId="0" xfId="2" applyNumberFormat="1" applyFont="1" applyFill="1" applyBorder="1" applyAlignment="1"/>
    <xf numFmtId="165" fontId="6" fillId="0" borderId="9" xfId="5" applyNumberFormat="1" applyFont="1" applyFill="1" applyBorder="1" applyAlignment="1"/>
    <xf numFmtId="165" fontId="6" fillId="0" borderId="3" xfId="5" applyNumberFormat="1" applyFont="1" applyFill="1" applyBorder="1" applyAlignment="1"/>
    <xf numFmtId="165" fontId="6" fillId="0" borderId="2" xfId="5" applyNumberFormat="1" applyFont="1" applyFill="1" applyBorder="1" applyAlignment="1"/>
    <xf numFmtId="0" fontId="0" fillId="6" borderId="0" xfId="0" applyFill="1" applyAlignment="1">
      <alignment horizontal="center"/>
    </xf>
    <xf numFmtId="0" fontId="0" fillId="6" borderId="0" xfId="0" applyFill="1"/>
    <xf numFmtId="0" fontId="2" fillId="0" borderId="10" xfId="0" applyFont="1" applyBorder="1"/>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2" fillId="0" borderId="14" xfId="0" applyFont="1" applyBorder="1" applyAlignment="1">
      <alignment horizontal="center" vertical="center"/>
    </xf>
    <xf numFmtId="0" fontId="2" fillId="0" borderId="13" xfId="0" applyFont="1" applyBorder="1" applyAlignment="1">
      <alignment horizontal="center"/>
    </xf>
    <xf numFmtId="0" fontId="6" fillId="7" borderId="8" xfId="0" applyFont="1" applyFill="1" applyBorder="1"/>
    <xf numFmtId="0" fontId="6" fillId="7" borderId="6" xfId="0" applyFont="1" applyFill="1" applyBorder="1"/>
    <xf numFmtId="0" fontId="6" fillId="7" borderId="7" xfId="0" applyFont="1" applyFill="1" applyBorder="1" applyAlignment="1">
      <alignment vertical="center" wrapText="1"/>
    </xf>
    <xf numFmtId="0" fontId="6" fillId="7" borderId="5" xfId="0" applyFont="1" applyFill="1" applyBorder="1" applyAlignment="1">
      <alignment horizontal="center"/>
    </xf>
    <xf numFmtId="0" fontId="6" fillId="7" borderId="0" xfId="0" applyFont="1" applyFill="1"/>
    <xf numFmtId="0" fontId="6" fillId="7" borderId="1" xfId="0" applyFont="1" applyFill="1" applyBorder="1"/>
    <xf numFmtId="0" fontId="9" fillId="7" borderId="0" xfId="0" applyFont="1" applyFill="1"/>
    <xf numFmtId="0" fontId="6" fillId="7" borderId="1" xfId="0" applyFont="1" applyFill="1" applyBorder="1" applyAlignment="1">
      <alignment vertical="center" wrapText="1"/>
    </xf>
    <xf numFmtId="0" fontId="6" fillId="7" borderId="9" xfId="0" applyFont="1" applyFill="1" applyBorder="1" applyAlignment="1">
      <alignment horizontal="center"/>
    </xf>
    <xf numFmtId="0" fontId="6" fillId="7" borderId="3" xfId="0" applyFont="1" applyFill="1" applyBorder="1"/>
    <xf numFmtId="0" fontId="6" fillId="7" borderId="2" xfId="0" applyFont="1" applyFill="1" applyBorder="1"/>
    <xf numFmtId="0" fontId="6" fillId="7" borderId="7" xfId="0" applyFont="1" applyFill="1" applyBorder="1"/>
    <xf numFmtId="0" fontId="6" fillId="7" borderId="8" xfId="0" applyFont="1" applyFill="1" applyBorder="1" applyAlignment="1">
      <alignment horizontal="center"/>
    </xf>
    <xf numFmtId="165" fontId="11" fillId="0" borderId="2" xfId="5" applyNumberFormat="1" applyFont="1" applyFill="1" applyBorder="1" applyAlignment="1"/>
    <xf numFmtId="0" fontId="12" fillId="0" borderId="11" xfId="0" applyFont="1" applyBorder="1"/>
    <xf numFmtId="0" fontId="12" fillId="0" borderId="12" xfId="0" applyFont="1" applyBorder="1"/>
    <xf numFmtId="164" fontId="13" fillId="0" borderId="5" xfId="3" applyNumberFormat="1" applyFont="1" applyFill="1" applyBorder="1" applyAlignment="1"/>
    <xf numFmtId="164" fontId="13" fillId="0" borderId="0" xfId="3" applyNumberFormat="1" applyFont="1" applyFill="1" applyBorder="1" applyAlignment="1"/>
    <xf numFmtId="164" fontId="13" fillId="0" borderId="4" xfId="3" applyNumberFormat="1" applyFont="1" applyFill="1" applyBorder="1" applyAlignment="1"/>
    <xf numFmtId="164" fontId="13" fillId="0" borderId="5" xfId="3" applyNumberFormat="1" applyFont="1" applyFill="1" applyBorder="1"/>
    <xf numFmtId="164" fontId="13" fillId="0" borderId="0" xfId="3" applyNumberFormat="1" applyFont="1" applyFill="1" applyBorder="1"/>
    <xf numFmtId="164" fontId="13" fillId="0" borderId="1" xfId="3" applyNumberFormat="1" applyFont="1" applyFill="1" applyBorder="1"/>
    <xf numFmtId="165" fontId="13" fillId="0" borderId="9" xfId="5" applyNumberFormat="1" applyFont="1" applyFill="1" applyBorder="1" applyAlignment="1"/>
    <xf numFmtId="165" fontId="13" fillId="0" borderId="3" xfId="5" applyNumberFormat="1" applyFont="1" applyFill="1" applyBorder="1" applyAlignment="1"/>
    <xf numFmtId="165" fontId="13" fillId="0" borderId="2" xfId="5" applyNumberFormat="1" applyFont="1" applyFill="1" applyBorder="1" applyAlignment="1"/>
    <xf numFmtId="0" fontId="12" fillId="0" borderId="10" xfId="0" applyFont="1" applyBorder="1"/>
    <xf numFmtId="0" fontId="7" fillId="0" borderId="15" xfId="0" applyFont="1" applyBorder="1" applyAlignment="1">
      <alignment horizontal="center" vertical="center"/>
    </xf>
    <xf numFmtId="164" fontId="6" fillId="0" borderId="0" xfId="0" applyNumberFormat="1" applyFont="1"/>
    <xf numFmtId="43" fontId="6" fillId="0" borderId="0" xfId="3" applyFont="1" applyFill="1" applyBorder="1" applyAlignment="1"/>
    <xf numFmtId="10" fontId="6" fillId="0" borderId="0" xfId="4" applyNumberFormat="1" applyFont="1"/>
    <xf numFmtId="170" fontId="6" fillId="0" borderId="0" xfId="0" applyNumberFormat="1" applyFont="1" applyAlignment="1">
      <alignment horizontal="center"/>
    </xf>
    <xf numFmtId="169" fontId="6" fillId="0" borderId="0" xfId="4" applyNumberFormat="1" applyFont="1" applyAlignment="1">
      <alignment horizontal="center"/>
    </xf>
    <xf numFmtId="0" fontId="7" fillId="4" borderId="10" xfId="0" applyFont="1" applyFill="1" applyBorder="1" applyAlignment="1">
      <alignment horizontal="center"/>
    </xf>
    <xf numFmtId="0" fontId="7" fillId="4" borderId="11" xfId="0" applyFont="1" applyFill="1" applyBorder="1" applyAlignment="1">
      <alignment horizontal="center"/>
    </xf>
    <xf numFmtId="0" fontId="7" fillId="4" borderId="12" xfId="0" applyFont="1" applyFill="1" applyBorder="1" applyAlignment="1">
      <alignment horizontal="center"/>
    </xf>
    <xf numFmtId="0" fontId="6" fillId="2" borderId="6"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2" borderId="0" xfId="0" applyFont="1" applyFill="1" applyAlignment="1">
      <alignment horizontal="left" vertical="center" wrapText="1"/>
    </xf>
    <xf numFmtId="0" fontId="6" fillId="2" borderId="1" xfId="0" applyFont="1" applyFill="1" applyBorder="1" applyAlignment="1">
      <alignment horizontal="left" vertical="center" wrapText="1"/>
    </xf>
    <xf numFmtId="0" fontId="6" fillId="2" borderId="3"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0" xfId="0" applyFont="1" applyFill="1" applyAlignment="1">
      <alignment horizontal="center" vertical="center" wrapText="1"/>
    </xf>
    <xf numFmtId="0" fontId="6" fillId="2" borderId="1" xfId="0" applyFont="1" applyFill="1" applyBorder="1" applyAlignment="1">
      <alignment horizontal="center" vertical="center" wrapText="1"/>
    </xf>
    <xf numFmtId="166" fontId="6" fillId="0" borderId="5" xfId="0" applyNumberFormat="1" applyFont="1" applyBorder="1" applyAlignment="1">
      <alignment horizontal="center"/>
    </xf>
    <xf numFmtId="166" fontId="6" fillId="0" borderId="0" xfId="0" applyNumberFormat="1" applyFont="1" applyAlignment="1">
      <alignment horizontal="center"/>
    </xf>
    <xf numFmtId="166" fontId="6" fillId="0" borderId="1" xfId="0" applyNumberFormat="1" applyFont="1" applyBorder="1" applyAlignment="1">
      <alignment horizontal="center"/>
    </xf>
    <xf numFmtId="0" fontId="13" fillId="0" borderId="5" xfId="0" applyFont="1" applyBorder="1" applyAlignment="1">
      <alignment horizontal="center"/>
    </xf>
    <xf numFmtId="0" fontId="13" fillId="0" borderId="0" xfId="0" applyFont="1" applyAlignment="1">
      <alignment horizontal="center"/>
    </xf>
    <xf numFmtId="0" fontId="13" fillId="0" borderId="1"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165" fontId="6" fillId="0" borderId="3" xfId="2" applyNumberFormat="1" applyFont="1" applyFill="1" applyBorder="1" applyAlignment="1">
      <alignment horizontal="center"/>
    </xf>
    <xf numFmtId="165" fontId="6" fillId="0" borderId="2" xfId="2" applyNumberFormat="1" applyFont="1" applyFill="1" applyBorder="1" applyAlignment="1">
      <alignment horizontal="center"/>
    </xf>
    <xf numFmtId="165" fontId="6" fillId="0" borderId="9" xfId="2" applyNumberFormat="1" applyFont="1" applyFill="1" applyBorder="1" applyAlignment="1">
      <alignment horizontal="center"/>
    </xf>
    <xf numFmtId="0" fontId="6" fillId="0" borderId="9" xfId="0" applyFont="1" applyBorder="1" applyAlignment="1">
      <alignment horizontal="center"/>
    </xf>
    <xf numFmtId="0" fontId="6" fillId="0" borderId="3" xfId="0" applyFont="1" applyBorder="1" applyAlignment="1">
      <alignment horizontal="center"/>
    </xf>
    <xf numFmtId="0" fontId="6" fillId="0" borderId="2" xfId="0" applyFont="1" applyBorder="1" applyAlignment="1">
      <alignment horizontal="center"/>
    </xf>
    <xf numFmtId="0" fontId="13" fillId="0" borderId="9" xfId="0" applyFont="1" applyBorder="1" applyAlignment="1">
      <alignment horizontal="center"/>
    </xf>
    <xf numFmtId="0" fontId="13" fillId="0" borderId="3" xfId="0" applyFont="1" applyBorder="1" applyAlignment="1">
      <alignment horizontal="center"/>
    </xf>
    <xf numFmtId="0" fontId="13" fillId="0" borderId="2" xfId="0" applyFont="1" applyBorder="1" applyAlignment="1">
      <alignment horizont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170" fontId="6" fillId="0" borderId="8" xfId="3" applyNumberFormat="1" applyFont="1" applyFill="1" applyBorder="1" applyAlignment="1">
      <alignment horizontal="center" vertical="center"/>
    </xf>
    <xf numFmtId="170" fontId="6" fillId="0" borderId="6" xfId="3" applyNumberFormat="1" applyFont="1" applyFill="1" applyBorder="1" applyAlignment="1">
      <alignment horizontal="center" vertical="center"/>
    </xf>
    <xf numFmtId="170" fontId="6" fillId="0" borderId="7" xfId="3" applyNumberFormat="1" applyFont="1" applyFill="1" applyBorder="1" applyAlignment="1">
      <alignment horizontal="center" vertical="center"/>
    </xf>
    <xf numFmtId="168" fontId="6" fillId="0" borderId="8" xfId="3" applyNumberFormat="1" applyFont="1" applyFill="1" applyBorder="1" applyAlignment="1">
      <alignment horizontal="center" vertical="center"/>
    </xf>
    <xf numFmtId="168" fontId="6" fillId="0" borderId="6" xfId="3" applyNumberFormat="1" applyFont="1" applyFill="1" applyBorder="1" applyAlignment="1">
      <alignment horizontal="center" vertical="center"/>
    </xf>
    <xf numFmtId="168" fontId="6" fillId="0" borderId="7" xfId="3" applyNumberFormat="1" applyFont="1" applyFill="1" applyBorder="1" applyAlignment="1">
      <alignment horizontal="center" vertical="center"/>
    </xf>
    <xf numFmtId="169" fontId="6" fillId="0" borderId="3" xfId="2" applyNumberFormat="1" applyFont="1" applyFill="1" applyBorder="1" applyAlignment="1">
      <alignment horizontal="center"/>
    </xf>
    <xf numFmtId="169" fontId="6" fillId="0" borderId="2" xfId="2" applyNumberFormat="1" applyFont="1" applyFill="1" applyBorder="1" applyAlignment="1">
      <alignment horizontal="center"/>
    </xf>
    <xf numFmtId="166" fontId="6" fillId="0" borderId="8" xfId="0" applyNumberFormat="1" applyFont="1" applyBorder="1" applyAlignment="1">
      <alignment horizontal="center"/>
    </xf>
    <xf numFmtId="166" fontId="6" fillId="0" borderId="6" xfId="0" applyNumberFormat="1" applyFont="1" applyBorder="1" applyAlignment="1">
      <alignment horizontal="center"/>
    </xf>
    <xf numFmtId="166" fontId="6" fillId="0" borderId="7" xfId="0" applyNumberFormat="1" applyFont="1" applyBorder="1" applyAlignment="1">
      <alignment horizontal="center"/>
    </xf>
    <xf numFmtId="168" fontId="6" fillId="0" borderId="5" xfId="3" applyNumberFormat="1" applyFont="1" applyBorder="1" applyAlignment="1">
      <alignment horizontal="center"/>
    </xf>
    <xf numFmtId="168" fontId="6" fillId="0" borderId="0" xfId="3" applyNumberFormat="1" applyFont="1" applyBorder="1" applyAlignment="1">
      <alignment horizontal="center"/>
    </xf>
    <xf numFmtId="168" fontId="6" fillId="0" borderId="1" xfId="3" applyNumberFormat="1" applyFont="1" applyBorder="1" applyAlignment="1">
      <alignment horizontal="center"/>
    </xf>
    <xf numFmtId="169" fontId="6" fillId="0" borderId="9" xfId="4" applyNumberFormat="1" applyFont="1" applyBorder="1" applyAlignment="1">
      <alignment horizontal="center"/>
    </xf>
    <xf numFmtId="169" fontId="6" fillId="0" borderId="3" xfId="4" applyNumberFormat="1" applyFont="1" applyBorder="1" applyAlignment="1">
      <alignment horizontal="center"/>
    </xf>
    <xf numFmtId="169" fontId="6" fillId="0" borderId="2" xfId="4" applyNumberFormat="1" applyFont="1" applyBorder="1" applyAlignment="1">
      <alignment horizontal="center"/>
    </xf>
    <xf numFmtId="164" fontId="13" fillId="0" borderId="8" xfId="3" applyNumberFormat="1" applyFont="1" applyFill="1" applyBorder="1" applyAlignment="1">
      <alignment horizontal="center" vertical="center"/>
    </xf>
    <xf numFmtId="164" fontId="13" fillId="0" borderId="6" xfId="3" applyNumberFormat="1" applyFont="1" applyFill="1" applyBorder="1" applyAlignment="1">
      <alignment horizontal="center" vertical="center"/>
    </xf>
    <xf numFmtId="164" fontId="13" fillId="0" borderId="7" xfId="3" applyNumberFormat="1" applyFont="1" applyFill="1" applyBorder="1" applyAlignment="1">
      <alignment horizontal="center" vertical="center"/>
    </xf>
    <xf numFmtId="169" fontId="6" fillId="0" borderId="9" xfId="2" applyNumberFormat="1" applyFont="1" applyFill="1" applyBorder="1" applyAlignment="1">
      <alignment horizontal="center"/>
    </xf>
    <xf numFmtId="166" fontId="13" fillId="0" borderId="8" xfId="0" applyNumberFormat="1" applyFont="1" applyBorder="1" applyAlignment="1">
      <alignment horizontal="center"/>
    </xf>
    <xf numFmtId="166" fontId="13" fillId="0" borderId="6" xfId="0" applyNumberFormat="1" applyFont="1" applyBorder="1" applyAlignment="1">
      <alignment horizontal="center"/>
    </xf>
    <xf numFmtId="166" fontId="13" fillId="0" borderId="7" xfId="0" applyNumberFormat="1" applyFont="1" applyBorder="1" applyAlignment="1">
      <alignment horizontal="center"/>
    </xf>
    <xf numFmtId="171" fontId="6" fillId="0" borderId="5" xfId="0" applyNumberFormat="1" applyFont="1" applyBorder="1" applyAlignment="1">
      <alignment horizontal="center"/>
    </xf>
    <xf numFmtId="171" fontId="6" fillId="0" borderId="0" xfId="0" applyNumberFormat="1" applyFont="1" applyAlignment="1">
      <alignment horizontal="center"/>
    </xf>
    <xf numFmtId="171" fontId="6" fillId="0" borderId="1" xfId="0" applyNumberFormat="1" applyFont="1" applyBorder="1" applyAlignment="1">
      <alignment horizontal="center"/>
    </xf>
    <xf numFmtId="172" fontId="6" fillId="0" borderId="9" xfId="4" applyNumberFormat="1" applyFont="1" applyBorder="1" applyAlignment="1">
      <alignment horizontal="center"/>
    </xf>
    <xf numFmtId="172" fontId="6" fillId="0" borderId="3" xfId="4" applyNumberFormat="1" applyFont="1" applyBorder="1" applyAlignment="1">
      <alignment horizontal="center"/>
    </xf>
    <xf numFmtId="172" fontId="6" fillId="0" borderId="2" xfId="4" applyNumberFormat="1" applyFont="1" applyBorder="1" applyAlignment="1">
      <alignment horizontal="center"/>
    </xf>
    <xf numFmtId="167" fontId="6" fillId="0" borderId="5" xfId="0" applyNumberFormat="1" applyFont="1" applyBorder="1" applyAlignment="1">
      <alignment horizontal="center"/>
    </xf>
    <xf numFmtId="167" fontId="6" fillId="0" borderId="0" xfId="0" applyNumberFormat="1" applyFont="1" applyAlignment="1">
      <alignment horizontal="center"/>
    </xf>
    <xf numFmtId="167" fontId="6" fillId="0" borderId="1" xfId="0" applyNumberFormat="1" applyFont="1" applyBorder="1" applyAlignment="1">
      <alignment horizontal="center"/>
    </xf>
    <xf numFmtId="0" fontId="12" fillId="0" borderId="10"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8" xfId="0" applyFont="1" applyBorder="1" applyAlignment="1">
      <alignment horizontal="center" vertical="center"/>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12" fillId="0" borderId="5" xfId="0" applyFont="1" applyBorder="1" applyAlignment="1">
      <alignment horizontal="center" vertical="center"/>
    </xf>
    <xf numFmtId="0" fontId="12" fillId="0" borderId="0" xfId="0" applyFont="1" applyAlignment="1">
      <alignment horizontal="center" vertical="center"/>
    </xf>
    <xf numFmtId="0" fontId="12" fillId="0" borderId="1" xfId="0" applyFont="1" applyBorder="1" applyAlignment="1">
      <alignment horizontal="center" vertical="center"/>
    </xf>
    <xf numFmtId="0" fontId="2" fillId="0" borderId="8"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5" xfId="0" applyFont="1" applyBorder="1" applyAlignment="1">
      <alignment horizontal="center" vertical="center"/>
    </xf>
    <xf numFmtId="167" fontId="6" fillId="0" borderId="8" xfId="0" applyNumberFormat="1" applyFont="1" applyBorder="1" applyAlignment="1">
      <alignment horizontal="center"/>
    </xf>
    <xf numFmtId="167" fontId="6" fillId="0" borderId="6" xfId="0" applyNumberFormat="1" applyFont="1" applyBorder="1" applyAlignment="1">
      <alignment horizontal="center"/>
    </xf>
    <xf numFmtId="167" fontId="6" fillId="0" borderId="7" xfId="0" applyNumberFormat="1" applyFont="1" applyBorder="1" applyAlignment="1">
      <alignment horizontal="center"/>
    </xf>
    <xf numFmtId="10" fontId="6" fillId="0" borderId="9" xfId="2" applyNumberFormat="1" applyFont="1" applyFill="1" applyBorder="1" applyAlignment="1">
      <alignment horizontal="center"/>
    </xf>
    <xf numFmtId="10" fontId="6" fillId="0" borderId="3" xfId="2" applyNumberFormat="1" applyFont="1" applyFill="1" applyBorder="1" applyAlignment="1">
      <alignment horizontal="center"/>
    </xf>
    <xf numFmtId="10" fontId="6" fillId="0" borderId="2" xfId="2" applyNumberFormat="1" applyFont="1" applyFill="1" applyBorder="1" applyAlignment="1">
      <alignment horizontal="center"/>
    </xf>
    <xf numFmtId="0" fontId="6" fillId="0" borderId="8" xfId="0" applyFont="1" applyBorder="1" applyAlignment="1">
      <alignment horizontal="center"/>
    </xf>
    <xf numFmtId="0" fontId="6" fillId="0" borderId="6" xfId="0" applyFont="1" applyBorder="1" applyAlignment="1">
      <alignment horizontal="center"/>
    </xf>
    <xf numFmtId="0" fontId="6" fillId="0" borderId="7" xfId="0" applyFont="1" applyBorder="1" applyAlignment="1">
      <alignment horizontal="center"/>
    </xf>
  </cellXfs>
  <cellStyles count="6">
    <cellStyle name="Comma" xfId="3" builtinId="3"/>
    <cellStyle name="Millares 2" xfId="1" xr:uid="{F0204734-268D-4614-A880-590FBC333794}"/>
    <cellStyle name="Normal" xfId="0" builtinId="0"/>
    <cellStyle name="Percent" xfId="4" builtinId="5"/>
    <cellStyle name="Percent 3 2 2 2 2" xfId="5" xr:uid="{9376B193-A76F-40FB-AC28-25C018E12B21}"/>
    <cellStyle name="Porcentaje 2" xfId="2" xr:uid="{26191977-15B0-4E0B-AB43-D7E908FBCA51}"/>
  </cellStyles>
  <dxfs count="9">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20</xdr:row>
          <xdr:rowOff>19050</xdr:rowOff>
        </xdr:from>
        <xdr:to>
          <xdr:col>4</xdr:col>
          <xdr:colOff>742950</xdr:colOff>
          <xdr:row>21</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Ejecutar Linkeo con Reporte de 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16</xdr:row>
          <xdr:rowOff>19050</xdr:rowOff>
        </xdr:from>
        <xdr:to>
          <xdr:col>4</xdr:col>
          <xdr:colOff>752475</xdr:colOff>
          <xdr:row>17</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Ejecutar Linkeo con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190500</xdr:rowOff>
        </xdr:from>
        <xdr:to>
          <xdr:col>4</xdr:col>
          <xdr:colOff>752475</xdr:colOff>
          <xdr:row>25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Duplicar Hoja solo con valores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ime.benazar\Quorum%20Business%20Solutions\Ecopetrol%20Prometeo%20-%20Documents\Planning%20Space%20Implementation\3.%20Analysis%20&amp;%20Design\Design\FC22\DRR%20Jaime\QUIFA-CAJ&#218;A\Cajua\CAJUA_CF_SEC_New_27-Feb-2024Rev3.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qbsol.sharepoint.com/sites/EcopetrolPrometeo/Shared%20Documents/Planning%20Space%20Implementation/3.%20Analysis%20&amp;%20Design/Design/FC22/DRR%20Jaime/Por%20presentar%20a%20ECP/Aprobados%20ECP/Quifa-Cajua/Cajua/VAS_CAJUA_CF_SEC_20230125.xlsx" TargetMode="External"/><Relationship Id="rId1" Type="http://schemas.openxmlformats.org/officeDocument/2006/relationships/externalLinkPath" Target="VAS_CAJUA_CF_SEC_202301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ib and Scalars"/>
      <sheetName val="D-PDP"/>
      <sheetName val="D-PNP"/>
      <sheetName val="D-PND"/>
      <sheetName val="D-PRBDP"/>
      <sheetName val="D-PRBNP"/>
      <sheetName val="D-PRBND"/>
      <sheetName val="D-PRB"/>
      <sheetName val="D-PSDP"/>
      <sheetName val="D-PSNP"/>
      <sheetName val="D-PSND"/>
      <sheetName val="D-PS"/>
      <sheetName val="Consolidado"/>
      <sheetName val="General Data"/>
      <sheetName val="Pozos Activos"/>
      <sheetName val="Pozos Inactivos"/>
      <sheetName val="Pozos productores"/>
      <sheetName val="Pozos iny disposal"/>
      <sheetName val="Pozos iny Agua"/>
      <sheetName val="Pozos iny gas"/>
      <sheetName val="Pozos a Abandonar"/>
      <sheetName val="Pozos EOR"/>
      <sheetName val="Aceite para Ventas"/>
      <sheetName val="Aceite para consumo"/>
      <sheetName val="Gas Total Producido"/>
      <sheetName val="Gas de Consumo"/>
      <sheetName val="Gas Inyectado"/>
      <sheetName val="Gas Quemado"/>
      <sheetName val="Gas Penalizado"/>
      <sheetName val="Gas Venta"/>
      <sheetName val="Volumen de GLP"/>
      <sheetName val="Volumen Propano"/>
      <sheetName val="Volumen Butano"/>
      <sheetName val="Volumen Gasolina"/>
      <sheetName val="Agua Producida"/>
      <sheetName val="Agua Vapor Inyectado"/>
      <sheetName val="Agua Vertida"/>
      <sheetName val="Agua Aspersion"/>
      <sheetName val="Inyeccion Vapor"/>
      <sheetName val="Agua Dispuesta en pozos"/>
      <sheetName val="Agua inyectada con Polímero"/>
      <sheetName val="Aceite Ventas Reservas"/>
      <sheetName val="Aceite Consumo Reservas"/>
      <sheetName val="Gas Ventas Reservas"/>
      <sheetName val="Gas Consumo Reservas"/>
      <sheetName val="GLP Reservas"/>
      <sheetName val="Propano Reservas"/>
      <sheetName val="Butano Reservas"/>
      <sheetName val="Gasolina Reservas"/>
      <sheetName val="Regalias Aceite ventas"/>
      <sheetName val="Regalias Gas ventas"/>
      <sheetName val="Regalias Efectivas Gas + NGL"/>
      <sheetName val="Regalias Total Aceite"/>
      <sheetName val="Regalias Total Gas_NGL"/>
      <sheetName val="Produccion Participacion ECP"/>
      <sheetName val="Aceite Ventas ECP"/>
      <sheetName val="Aceite Consumo ECP"/>
      <sheetName val="Gas Ventas ECP"/>
      <sheetName val="Gas Consumo ECP"/>
      <sheetName val="GLP ECP"/>
      <sheetName val="Propano ECP"/>
      <sheetName val="Butano ECP"/>
      <sheetName val="Gasolina ECP"/>
      <sheetName val="Regalias Total Aceite ECP"/>
      <sheetName val="Regalias Total Gas_NGL ECP"/>
      <sheetName val="Regalias Total NGL ECP"/>
      <sheetName val="Aceite Ventas Neto ECP"/>
      <sheetName val="Aceite Consumo Neto ECP"/>
      <sheetName val="Gas Ventas Neto ECP"/>
      <sheetName val="Gas Consumo Neto ECP"/>
      <sheetName val="GLP Neto ECP"/>
      <sheetName val="Propano Neto ECP"/>
      <sheetName val="Butano Neto ECP"/>
      <sheetName val="Gasolina Neto ECP"/>
      <sheetName val="Precio Aceite"/>
      <sheetName val="Descuento Calidad"/>
      <sheetName val="Descuento Transporte"/>
      <sheetName val="Poder Calorífico"/>
      <sheetName val="Precio Gas"/>
      <sheetName val="Precio Gas Quema"/>
      <sheetName val="Precio GLP"/>
      <sheetName val="Precio Propano"/>
      <sheetName val="Precio Butano"/>
      <sheetName val="Precio Gasolina"/>
      <sheetName val="Ingresos Brutos"/>
      <sheetName val="Regalias en Cash"/>
      <sheetName val="Ingresos después de regalías"/>
      <sheetName val="OpEx Ecopetrol"/>
      <sheetName val="OPEX Participacion ECP"/>
      <sheetName val="Fijo"/>
      <sheetName val="Semifijo"/>
      <sheetName val="Total Variable"/>
      <sheetName val="Variable Aceite"/>
      <sheetName val="Variable Gas"/>
      <sheetName val="Variable Fluido"/>
      <sheetName val="Variable agua de Inyección"/>
      <sheetName val="Variable agua de Producción"/>
      <sheetName val="Variable agua de Aspersión"/>
      <sheetName val="Variable agua de Disposición"/>
      <sheetName val="Variable agua de Vertimiento"/>
      <sheetName val="Variable Gas de Inyección"/>
      <sheetName val="Variable Vapor de Inyección"/>
      <sheetName val="Variable Polímero Inyección"/>
      <sheetName val="Pozo Productor"/>
      <sheetName val="Pozo Inyector de Agua"/>
      <sheetName val="Pozo Inyector de Agua Disposal"/>
      <sheetName val="Pozo Inyector de Vapor"/>
      <sheetName val="Pozo Inyector de gas"/>
      <sheetName val="Pozo Delta Inyector"/>
      <sheetName val="Facilidades Nuevas Tecnologias"/>
      <sheetName val="Diluyente"/>
      <sheetName val="Volumen Diluyente"/>
      <sheetName val="Nafta - Aceite"/>
      <sheetName val="CAPEX ECP"/>
      <sheetName val="CAPEX Participacion ECP"/>
      <sheetName val="CapEx 100% Ecopetrol"/>
      <sheetName val="Gastos G-A"/>
      <sheetName val="Gastos G-G"/>
      <sheetName val="Perforacion Productores"/>
      <sheetName val="Perforacion Inyectores"/>
      <sheetName val="Workover"/>
      <sheetName val="Workover Injector"/>
      <sheetName val="Facilidades"/>
      <sheetName val="Plataformas"/>
      <sheetName val="Plantas"/>
      <sheetName val="Lineas de Flujo"/>
      <sheetName val="Predios"/>
      <sheetName val="Ambiental"/>
      <sheetName val="Social"/>
      <sheetName val="Contigency"/>
      <sheetName val="Costo Abandono"/>
      <sheetName val="Participacion Abandono ECP"/>
      <sheetName val="Regalias Gas"/>
      <sheetName val="Penalidad Quema de gas"/>
      <sheetName val="PAP ANH"/>
      <sheetName val="Uso Subsuelo"/>
      <sheetName val="FC Operativo Ecopetrol"/>
      <sheetName val="Flujo de Caja Neto Ecopetrol"/>
      <sheetName val="FC Descontado Eco"/>
      <sheetName val="tocopy"/>
      <sheetName val="ServiceWorksheet_HIDDEN_DATA"/>
    </sheetNames>
    <sheetDataSet>
      <sheetData sheetId="0"/>
      <sheetData sheetId="1">
        <row r="12">
          <cell r="BB12">
            <v>18165.78125</v>
          </cell>
          <cell r="BE12">
            <v>284597.21875</v>
          </cell>
          <cell r="BW12">
            <v>27197058</v>
          </cell>
          <cell r="BX12">
            <v>3424593</v>
          </cell>
          <cell r="BZ12">
            <v>1911986.625</v>
          </cell>
          <cell r="CA12">
            <v>186873.65625</v>
          </cell>
          <cell r="CB12">
            <v>9277339</v>
          </cell>
          <cell r="DC12">
            <v>424875.03125</v>
          </cell>
          <cell r="DT12">
            <v>0</v>
          </cell>
          <cell r="EA12">
            <v>23772466</v>
          </cell>
        </row>
        <row r="13">
          <cell r="BB13">
            <v>11822.90234375</v>
          </cell>
          <cell r="BE13">
            <v>185225.5</v>
          </cell>
          <cell r="BW13">
            <v>17700766</v>
          </cell>
          <cell r="BX13">
            <v>2982805.75</v>
          </cell>
          <cell r="BZ13">
            <v>1684096.875</v>
          </cell>
          <cell r="CA13">
            <v>131997.546875</v>
          </cell>
          <cell r="CB13">
            <v>8062819.5</v>
          </cell>
          <cell r="DC13">
            <v>376500.03125</v>
          </cell>
          <cell r="DT13">
            <v>0</v>
          </cell>
          <cell r="EA13">
            <v>14717960</v>
          </cell>
        </row>
        <row r="14">
          <cell r="BB14">
            <v>7483.27197265625</v>
          </cell>
          <cell r="BE14">
            <v>117237.9296875</v>
          </cell>
          <cell r="BW14">
            <v>11203647</v>
          </cell>
          <cell r="BX14">
            <v>2387305.25</v>
          </cell>
          <cell r="BZ14">
            <v>1484908.625</v>
          </cell>
          <cell r="CA14">
            <v>74177.546875</v>
          </cell>
          <cell r="CB14">
            <v>6317045</v>
          </cell>
          <cell r="DC14">
            <v>156750.015625</v>
          </cell>
          <cell r="DT14">
            <v>0</v>
          </cell>
          <cell r="EA14">
            <v>8816343</v>
          </cell>
        </row>
        <row r="15">
          <cell r="BB15">
            <v>4798.5</v>
          </cell>
          <cell r="BE15">
            <v>75176.5</v>
          </cell>
          <cell r="BW15">
            <v>7184117</v>
          </cell>
          <cell r="BX15">
            <v>1848287.5</v>
          </cell>
          <cell r="BZ15">
            <v>1266414.875</v>
          </cell>
          <cell r="CA15">
            <v>39343.7109375</v>
          </cell>
          <cell r="CB15">
            <v>4762471.5</v>
          </cell>
          <cell r="DC15">
            <v>74507.0703125</v>
          </cell>
          <cell r="DT15">
            <v>0</v>
          </cell>
          <cell r="EA15">
            <v>5335829.5</v>
          </cell>
        </row>
        <row r="16">
          <cell r="BB16">
            <v>3246.11474609375</v>
          </cell>
          <cell r="BE16">
            <v>50855.796875</v>
          </cell>
          <cell r="BW16">
            <v>4859949.5</v>
          </cell>
          <cell r="BX16">
            <v>1358955.875</v>
          </cell>
          <cell r="BZ16">
            <v>379160.25</v>
          </cell>
          <cell r="CA16">
            <v>26624.865234375</v>
          </cell>
          <cell r="CB16">
            <v>4033230.5</v>
          </cell>
          <cell r="DC16">
            <v>173849.828125</v>
          </cell>
          <cell r="DT16">
            <v>0</v>
          </cell>
          <cell r="EA16">
            <v>3500994</v>
          </cell>
        </row>
        <row r="17">
          <cell r="BB17">
            <v>2060.843017578125</v>
          </cell>
          <cell r="BE17">
            <v>32286.537109375</v>
          </cell>
          <cell r="BW17">
            <v>3085409.5</v>
          </cell>
          <cell r="BX17">
            <v>1002953.8125</v>
          </cell>
          <cell r="BZ17">
            <v>162165.34375</v>
          </cell>
          <cell r="CA17">
            <v>21621.513671875</v>
          </cell>
          <cell r="CB17">
            <v>3093849</v>
          </cell>
          <cell r="DC17">
            <v>0</v>
          </cell>
          <cell r="DT17">
            <v>0</v>
          </cell>
          <cell r="EA17">
            <v>2082455.625</v>
          </cell>
        </row>
        <row r="18">
          <cell r="BB18">
            <v>982.14129638671875</v>
          </cell>
          <cell r="BE18">
            <v>15386.880859375</v>
          </cell>
          <cell r="BW18">
            <v>1470421.625</v>
          </cell>
          <cell r="BX18">
            <v>501302.34375</v>
          </cell>
          <cell r="BZ18">
            <v>68633.078125</v>
          </cell>
          <cell r="CA18">
            <v>15626.49609375</v>
          </cell>
          <cell r="CB18">
            <v>1553249</v>
          </cell>
          <cell r="DC18">
            <v>0</v>
          </cell>
          <cell r="DT18">
            <v>0</v>
          </cell>
          <cell r="EA18">
            <v>969119.3125</v>
          </cell>
        </row>
        <row r="19">
          <cell r="BB19">
            <v>394.83395385742188</v>
          </cell>
          <cell r="BE19">
            <v>6185.73193359375</v>
          </cell>
          <cell r="BW19">
            <v>591129.125</v>
          </cell>
          <cell r="BX19">
            <v>201924.640625</v>
          </cell>
          <cell r="BZ19">
            <v>43242.34375</v>
          </cell>
          <cell r="CA19">
            <v>13340.3037109375</v>
          </cell>
          <cell r="CB19">
            <v>598249.75</v>
          </cell>
          <cell r="DC19">
            <v>0</v>
          </cell>
          <cell r="DT19">
            <v>0</v>
          </cell>
          <cell r="EA19">
            <v>389204.5</v>
          </cell>
        </row>
        <row r="20">
          <cell r="BB20">
            <v>200.79124450683594</v>
          </cell>
          <cell r="BE20">
            <v>3040.835693359375</v>
          </cell>
          <cell r="BW20">
            <v>290592.40625</v>
          </cell>
          <cell r="BX20">
            <v>111384.7421875</v>
          </cell>
          <cell r="BZ20">
            <v>34792.3515625</v>
          </cell>
          <cell r="CA20">
            <v>28451.90234375</v>
          </cell>
          <cell r="CB20">
            <v>290703.3125</v>
          </cell>
          <cell r="DC20">
            <v>0</v>
          </cell>
          <cell r="DT20">
            <v>0</v>
          </cell>
          <cell r="EA20">
            <v>179207.65625</v>
          </cell>
        </row>
        <row r="21">
          <cell r="BB21">
            <v>424.260009765625</v>
          </cell>
          <cell r="BE21">
            <v>1932.739990234375</v>
          </cell>
          <cell r="BW21">
            <v>184699.0625</v>
          </cell>
          <cell r="BX21">
            <v>130482.1484375</v>
          </cell>
          <cell r="BZ21">
            <v>27624.603515625</v>
          </cell>
          <cell r="CA21">
            <v>29777.078125</v>
          </cell>
          <cell r="CB21">
            <v>73080.4609375</v>
          </cell>
          <cell r="DC21">
            <v>0</v>
          </cell>
          <cell r="DT21">
            <v>0</v>
          </cell>
          <cell r="EA21">
            <v>54216.9296875</v>
          </cell>
        </row>
        <row r="22">
          <cell r="BB22">
            <v>210.06001281738281</v>
          </cell>
          <cell r="BE22">
            <v>956.94000244140625</v>
          </cell>
          <cell r="BW22">
            <v>91448.375</v>
          </cell>
          <cell r="BX22">
            <v>82946.0859375</v>
          </cell>
          <cell r="BZ22">
            <v>19608.84375</v>
          </cell>
          <cell r="CA22">
            <v>21136.7421875</v>
          </cell>
          <cell r="CB22">
            <v>42200.5</v>
          </cell>
          <cell r="DC22">
            <v>0</v>
          </cell>
          <cell r="DT22">
            <v>0</v>
          </cell>
          <cell r="EA22">
            <v>8502.2900390625</v>
          </cell>
        </row>
        <row r="23">
          <cell r="BB23">
            <v>0</v>
          </cell>
          <cell r="BE23">
            <v>0</v>
          </cell>
          <cell r="BW23">
            <v>0</v>
          </cell>
          <cell r="BX23">
            <v>0</v>
          </cell>
          <cell r="BZ23">
            <v>0</v>
          </cell>
          <cell r="CA23">
            <v>0</v>
          </cell>
          <cell r="CB23">
            <v>0</v>
          </cell>
          <cell r="DC23">
            <v>0</v>
          </cell>
          <cell r="DT23">
            <v>12239414</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2">
        <row r="12">
          <cell r="BB12">
            <v>1832.732177734375</v>
          </cell>
          <cell r="BE12">
            <v>28712.81640625</v>
          </cell>
          <cell r="BW12">
            <v>2743892.5</v>
          </cell>
          <cell r="BX12">
            <v>156392.1875</v>
          </cell>
          <cell r="BZ12">
            <v>221809.921875</v>
          </cell>
          <cell r="CA12">
            <v>21639.0546875</v>
          </cell>
          <cell r="CB12">
            <v>288119.59375</v>
          </cell>
          <cell r="DC12">
            <v>0</v>
          </cell>
          <cell r="DT12">
            <v>0</v>
          </cell>
          <cell r="EA12">
            <v>2587500.5</v>
          </cell>
        </row>
        <row r="13">
          <cell r="BB13">
            <v>1587.8985595703125</v>
          </cell>
          <cell r="BE13">
            <v>24877.07421875</v>
          </cell>
          <cell r="BW13">
            <v>2377336.25</v>
          </cell>
          <cell r="BX13">
            <v>199594.953125</v>
          </cell>
          <cell r="BZ13">
            <v>276699.96875</v>
          </cell>
          <cell r="CA13">
            <v>21329.7109375</v>
          </cell>
          <cell r="CB13">
            <v>381975</v>
          </cell>
          <cell r="DC13">
            <v>0</v>
          </cell>
          <cell r="DT13">
            <v>0</v>
          </cell>
          <cell r="EA13">
            <v>2177741.25</v>
          </cell>
        </row>
        <row r="14">
          <cell r="BB14">
            <v>1705.310546875</v>
          </cell>
          <cell r="BE14">
            <v>26716.533203125</v>
          </cell>
          <cell r="BW14">
            <v>2553120.75</v>
          </cell>
          <cell r="BX14">
            <v>305397.65625</v>
          </cell>
          <cell r="BZ14">
            <v>423427.34375</v>
          </cell>
          <cell r="CA14">
            <v>20856.416015625</v>
          </cell>
          <cell r="CB14">
            <v>595586.0625</v>
          </cell>
          <cell r="DC14">
            <v>0</v>
          </cell>
          <cell r="DT14">
            <v>0</v>
          </cell>
          <cell r="EA14">
            <v>2247723.5</v>
          </cell>
        </row>
        <row r="15">
          <cell r="BB15">
            <v>1273.54638671875</v>
          </cell>
          <cell r="BE15">
            <v>19952.23046875</v>
          </cell>
          <cell r="BW15">
            <v>1906701.75</v>
          </cell>
          <cell r="BX15">
            <v>303456.8125</v>
          </cell>
          <cell r="BZ15">
            <v>428435.9375</v>
          </cell>
          <cell r="CA15">
            <v>13295.3837890625</v>
          </cell>
          <cell r="CB15">
            <v>591200.5625</v>
          </cell>
          <cell r="DC15">
            <v>0</v>
          </cell>
          <cell r="DT15">
            <v>0</v>
          </cell>
          <cell r="EA15">
            <v>1603244.875</v>
          </cell>
        </row>
        <row r="16">
          <cell r="BB16">
            <v>910.683837890625</v>
          </cell>
          <cell r="BE16">
            <v>14267.3798828125</v>
          </cell>
          <cell r="BW16">
            <v>1363438.375</v>
          </cell>
          <cell r="BX16">
            <v>208625.21875</v>
          </cell>
          <cell r="BZ16">
            <v>148408.28125</v>
          </cell>
          <cell r="CA16">
            <v>10472.2109375</v>
          </cell>
          <cell r="CB16">
            <v>531416.3125</v>
          </cell>
          <cell r="DC16">
            <v>0</v>
          </cell>
          <cell r="DT16">
            <v>0</v>
          </cell>
          <cell r="EA16">
            <v>1154813.25</v>
          </cell>
        </row>
        <row r="17">
          <cell r="BB17">
            <v>684.69903564453125</v>
          </cell>
          <cell r="BE17">
            <v>10726.953125</v>
          </cell>
          <cell r="BW17">
            <v>1025103.5</v>
          </cell>
          <cell r="BX17">
            <v>188431.25</v>
          </cell>
          <cell r="BZ17">
            <v>82163.21875</v>
          </cell>
          <cell r="CA17">
            <v>11000.9677734375</v>
          </cell>
          <cell r="CB17">
            <v>527330.75</v>
          </cell>
          <cell r="DC17">
            <v>0</v>
          </cell>
          <cell r="DT17">
            <v>0</v>
          </cell>
          <cell r="EA17">
            <v>836672.25</v>
          </cell>
        </row>
        <row r="18">
          <cell r="BB18">
            <v>422.24652099609375</v>
          </cell>
          <cell r="BE18">
            <v>6615.1962890625</v>
          </cell>
          <cell r="BW18">
            <v>632170.25</v>
          </cell>
          <cell r="BX18">
            <v>141611.875</v>
          </cell>
          <cell r="BZ18">
            <v>43566.51171875</v>
          </cell>
          <cell r="CA18">
            <v>9964.4716796875</v>
          </cell>
          <cell r="CB18">
            <v>411182.84375</v>
          </cell>
          <cell r="DC18">
            <v>0</v>
          </cell>
          <cell r="DT18">
            <v>0</v>
          </cell>
          <cell r="EA18">
            <v>490558.3125</v>
          </cell>
        </row>
        <row r="19">
          <cell r="BB19">
            <v>216.86758422851563</v>
          </cell>
          <cell r="BE19">
            <v>3397.59228515625</v>
          </cell>
          <cell r="BW19">
            <v>324685.28125</v>
          </cell>
          <cell r="BX19">
            <v>108676.0625</v>
          </cell>
          <cell r="BZ19">
            <v>24565.01953125</v>
          </cell>
          <cell r="CA19">
            <v>7620.2822265625</v>
          </cell>
          <cell r="CB19">
            <v>320111.53125</v>
          </cell>
          <cell r="DC19">
            <v>0</v>
          </cell>
          <cell r="DT19">
            <v>0</v>
          </cell>
          <cell r="EA19">
            <v>216009.203125</v>
          </cell>
        </row>
        <row r="20">
          <cell r="BB20">
            <v>85.287094116210938</v>
          </cell>
          <cell r="BE20">
            <v>1336.164306640625</v>
          </cell>
          <cell r="BW20">
            <v>127688.3203125</v>
          </cell>
          <cell r="BX20">
            <v>54677.1015625</v>
          </cell>
          <cell r="BZ20">
            <v>10121.4375</v>
          </cell>
          <cell r="CA20">
            <v>5703.27880859375</v>
          </cell>
          <cell r="CB20">
            <v>159335.265625</v>
          </cell>
          <cell r="DC20">
            <v>0</v>
          </cell>
          <cell r="DT20">
            <v>0</v>
          </cell>
          <cell r="EA20">
            <v>73011.234375</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3">
        <row r="12">
          <cell r="BB12">
            <v>4648.59326171875</v>
          </cell>
          <cell r="BE12">
            <v>72827.9609375</v>
          </cell>
          <cell r="BW12">
            <v>6959682.5</v>
          </cell>
          <cell r="BX12">
            <v>339462.21875</v>
          </cell>
          <cell r="BZ12">
            <v>558838.4375</v>
          </cell>
          <cell r="CA12">
            <v>55576.953125</v>
          </cell>
          <cell r="CB12">
            <v>546250.8125</v>
          </cell>
          <cell r="DC12">
            <v>2487991</v>
          </cell>
          <cell r="DT12">
            <v>0</v>
          </cell>
          <cell r="EA12">
            <v>6620220</v>
          </cell>
        </row>
        <row r="13">
          <cell r="BB13">
            <v>4195.576171875</v>
          </cell>
          <cell r="BE13">
            <v>65730.6953125</v>
          </cell>
          <cell r="BW13">
            <v>6281445</v>
          </cell>
          <cell r="BX13">
            <v>469387.40625</v>
          </cell>
          <cell r="BZ13">
            <v>731838.0625</v>
          </cell>
          <cell r="CA13">
            <v>57128.75390625</v>
          </cell>
          <cell r="CB13">
            <v>819265.5</v>
          </cell>
          <cell r="DC13">
            <v>0</v>
          </cell>
          <cell r="DT13">
            <v>0</v>
          </cell>
          <cell r="EA13">
            <v>5812057.5</v>
          </cell>
        </row>
        <row r="14">
          <cell r="BB14">
            <v>3079.606689453125</v>
          </cell>
          <cell r="BE14">
            <v>48247.16015625</v>
          </cell>
          <cell r="BW14">
            <v>4610659.5</v>
          </cell>
          <cell r="BX14">
            <v>486484.875</v>
          </cell>
          <cell r="BZ14">
            <v>784299.0625</v>
          </cell>
          <cell r="CA14">
            <v>38818.28125</v>
          </cell>
          <cell r="CB14">
            <v>848822.375</v>
          </cell>
          <cell r="DC14">
            <v>0</v>
          </cell>
          <cell r="DT14">
            <v>0</v>
          </cell>
          <cell r="EA14">
            <v>4124175.25</v>
          </cell>
        </row>
        <row r="15">
          <cell r="BB15">
            <v>3541.555419921875</v>
          </cell>
          <cell r="BE15">
            <v>55484.35546875</v>
          </cell>
          <cell r="BW15">
            <v>5302270</v>
          </cell>
          <cell r="BX15">
            <v>547923.1875</v>
          </cell>
          <cell r="BZ15">
            <v>997784.0625</v>
          </cell>
          <cell r="CA15">
            <v>40869.8046875</v>
          </cell>
          <cell r="CB15">
            <v>849999.25</v>
          </cell>
          <cell r="DC15">
            <v>2805508.75</v>
          </cell>
          <cell r="DT15">
            <v>0</v>
          </cell>
          <cell r="EA15">
            <v>4754347</v>
          </cell>
        </row>
        <row r="16">
          <cell r="BB16">
            <v>11672.78125</v>
          </cell>
          <cell r="BE16">
            <v>182873.5625</v>
          </cell>
          <cell r="BW16">
            <v>17476008</v>
          </cell>
          <cell r="BX16">
            <v>1226687.375</v>
          </cell>
          <cell r="BZ16">
            <v>2165066.5</v>
          </cell>
          <cell r="CA16">
            <v>161599.9375</v>
          </cell>
          <cell r="CB16">
            <v>1857095.875</v>
          </cell>
          <cell r="DC16">
            <v>2805508.75</v>
          </cell>
          <cell r="DT16">
            <v>0</v>
          </cell>
          <cell r="EA16">
            <v>16249320</v>
          </cell>
        </row>
        <row r="17">
          <cell r="BB17">
            <v>16355.9013671875</v>
          </cell>
          <cell r="BE17">
            <v>256242.46875</v>
          </cell>
          <cell r="BW17">
            <v>24487382</v>
          </cell>
          <cell r="BX17">
            <v>1755844.75</v>
          </cell>
          <cell r="BZ17">
            <v>2448306.5</v>
          </cell>
          <cell r="CA17">
            <v>339128.15625</v>
          </cell>
          <cell r="CB17">
            <v>3151252.75</v>
          </cell>
          <cell r="DC17">
            <v>2805508.75</v>
          </cell>
          <cell r="DT17">
            <v>0</v>
          </cell>
          <cell r="EA17">
            <v>22731540</v>
          </cell>
        </row>
        <row r="18">
          <cell r="BB18">
            <v>18000.904296875</v>
          </cell>
          <cell r="BE18">
            <v>282014.15625</v>
          </cell>
          <cell r="BW18">
            <v>26950214</v>
          </cell>
          <cell r="BX18">
            <v>2183160.75</v>
          </cell>
          <cell r="BZ18">
            <v>2580435.25</v>
          </cell>
          <cell r="CA18">
            <v>592209.5</v>
          </cell>
          <cell r="CB18">
            <v>4192151</v>
          </cell>
          <cell r="DC18">
            <v>2805508.75</v>
          </cell>
          <cell r="DT18">
            <v>0</v>
          </cell>
          <cell r="EA18">
            <v>24767054</v>
          </cell>
        </row>
        <row r="19">
          <cell r="BB19">
            <v>12801.41015625</v>
          </cell>
          <cell r="BE19">
            <v>200555.421875</v>
          </cell>
          <cell r="BW19">
            <v>19165746</v>
          </cell>
          <cell r="BX19">
            <v>2241086.75</v>
          </cell>
          <cell r="BZ19">
            <v>2624827.75</v>
          </cell>
          <cell r="CA19">
            <v>820690.4375</v>
          </cell>
          <cell r="CB19">
            <v>4167254</v>
          </cell>
          <cell r="DC19">
            <v>3466266.25</v>
          </cell>
          <cell r="DT19">
            <v>0</v>
          </cell>
          <cell r="EA19">
            <v>16924660</v>
          </cell>
        </row>
        <row r="20">
          <cell r="BB20">
            <v>8999.953125</v>
          </cell>
          <cell r="BE20">
            <v>132625.546875</v>
          </cell>
          <cell r="BW20">
            <v>12674140</v>
          </cell>
          <cell r="BX20">
            <v>2555296</v>
          </cell>
          <cell r="BZ20">
            <v>2647721.25</v>
          </cell>
          <cell r="CA20">
            <v>2182942.75</v>
          </cell>
          <cell r="CB20">
            <v>3854339</v>
          </cell>
          <cell r="DC20">
            <v>0</v>
          </cell>
          <cell r="DT20">
            <v>0</v>
          </cell>
          <cell r="EA20">
            <v>10118844</v>
          </cell>
        </row>
        <row r="21">
          <cell r="BB21">
            <v>32653.98046875</v>
          </cell>
          <cell r="BE21">
            <v>148757.015625</v>
          </cell>
          <cell r="BW21">
            <v>14215716</v>
          </cell>
          <cell r="BX21">
            <v>8955599</v>
          </cell>
          <cell r="BZ21">
            <v>2665010.25</v>
          </cell>
          <cell r="CA21">
            <v>2872664.75</v>
          </cell>
          <cell r="CB21">
            <v>3417923.25</v>
          </cell>
          <cell r="DC21">
            <v>0</v>
          </cell>
          <cell r="DT21">
            <v>0</v>
          </cell>
          <cell r="EA21">
            <v>5260117</v>
          </cell>
        </row>
        <row r="22">
          <cell r="BB22">
            <v>12857.939453125</v>
          </cell>
          <cell r="BE22">
            <v>58575.0625</v>
          </cell>
          <cell r="BW22">
            <v>5597628</v>
          </cell>
          <cell r="BX22">
            <v>4877174</v>
          </cell>
          <cell r="BZ22">
            <v>1551094.875</v>
          </cell>
          <cell r="CA22">
            <v>1671954.375</v>
          </cell>
          <cell r="CB22">
            <v>1654124.125</v>
          </cell>
          <cell r="DC22">
            <v>0</v>
          </cell>
          <cell r="DT22">
            <v>0</v>
          </cell>
          <cell r="EA22">
            <v>720454.375</v>
          </cell>
        </row>
        <row r="23">
          <cell r="BB23">
            <v>0</v>
          </cell>
          <cell r="BE23">
            <v>0</v>
          </cell>
          <cell r="BW23">
            <v>0</v>
          </cell>
          <cell r="BX23">
            <v>0</v>
          </cell>
          <cell r="BZ23">
            <v>0</v>
          </cell>
          <cell r="CA23">
            <v>0</v>
          </cell>
          <cell r="CB23">
            <v>0</v>
          </cell>
          <cell r="DC23">
            <v>0</v>
          </cell>
          <cell r="DT23">
            <v>2223508</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4">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5">
        <row r="12">
          <cell r="BE12">
            <v>58168</v>
          </cell>
        </row>
        <row r="13">
          <cell r="BE13">
            <v>42982</v>
          </cell>
        </row>
        <row r="14">
          <cell r="BE14">
            <v>32335.998046875</v>
          </cell>
        </row>
        <row r="15">
          <cell r="BE15">
            <v>27859</v>
          </cell>
        </row>
        <row r="16">
          <cell r="BE16">
            <v>21085.001953125</v>
          </cell>
        </row>
        <row r="17">
          <cell r="BE17">
            <v>15907</v>
          </cell>
        </row>
        <row r="18">
          <cell r="BE18">
            <v>10871</v>
          </cell>
        </row>
        <row r="19">
          <cell r="BE19">
            <v>4910</v>
          </cell>
        </row>
        <row r="20">
          <cell r="BE20">
            <v>2830.999755859375</v>
          </cell>
        </row>
        <row r="21">
          <cell r="BE21">
            <v>1768</v>
          </cell>
        </row>
        <row r="22">
          <cell r="BE22">
            <v>903</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6">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7">
        <row r="12">
          <cell r="BB12">
            <v>3712.000244140625</v>
          </cell>
          <cell r="BE12">
            <v>58168</v>
          </cell>
          <cell r="BW12">
            <v>5558615.5</v>
          </cell>
          <cell r="BX12">
            <v>171248.4375</v>
          </cell>
          <cell r="BZ12">
            <v>0</v>
          </cell>
          <cell r="CA12">
            <v>0</v>
          </cell>
          <cell r="CB12">
            <v>570828.3125</v>
          </cell>
          <cell r="DC12">
            <v>0</v>
          </cell>
          <cell r="DT12">
            <v>0</v>
          </cell>
          <cell r="EA12">
            <v>5387367</v>
          </cell>
        </row>
        <row r="13">
          <cell r="BB13">
            <v>2744</v>
          </cell>
          <cell r="BE13">
            <v>42982</v>
          </cell>
          <cell r="BW13">
            <v>4107515.25</v>
          </cell>
          <cell r="BX13">
            <v>186661.421875</v>
          </cell>
          <cell r="BZ13">
            <v>0</v>
          </cell>
          <cell r="CA13">
            <v>0</v>
          </cell>
          <cell r="CB13">
            <v>622204.5625</v>
          </cell>
          <cell r="DC13">
            <v>0</v>
          </cell>
          <cell r="DT13">
            <v>0</v>
          </cell>
          <cell r="EA13">
            <v>3920853.5</v>
          </cell>
        </row>
        <row r="14">
          <cell r="BB14">
            <v>2063</v>
          </cell>
          <cell r="BE14">
            <v>32335.998046875</v>
          </cell>
          <cell r="BW14">
            <v>3090159.75</v>
          </cell>
          <cell r="BX14">
            <v>196457.984375</v>
          </cell>
          <cell r="BZ14">
            <v>0</v>
          </cell>
          <cell r="CA14">
            <v>0</v>
          </cell>
          <cell r="CB14">
            <v>654859.875</v>
          </cell>
          <cell r="DC14">
            <v>0</v>
          </cell>
          <cell r="DT14">
            <v>0</v>
          </cell>
          <cell r="EA14">
            <v>2893701.75</v>
          </cell>
        </row>
        <row r="15">
          <cell r="BB15">
            <v>1778</v>
          </cell>
          <cell r="BE15">
            <v>27859</v>
          </cell>
          <cell r="BW15">
            <v>2662317.75</v>
          </cell>
          <cell r="BX15">
            <v>239403.53125</v>
          </cell>
          <cell r="BZ15">
            <v>0</v>
          </cell>
          <cell r="CA15">
            <v>0</v>
          </cell>
          <cell r="CB15">
            <v>798011.75</v>
          </cell>
          <cell r="DC15">
            <v>0</v>
          </cell>
          <cell r="DT15">
            <v>0</v>
          </cell>
          <cell r="EA15">
            <v>2422914</v>
          </cell>
        </row>
        <row r="16">
          <cell r="BB16">
            <v>1347</v>
          </cell>
          <cell r="BE16">
            <v>21085.001953125</v>
          </cell>
          <cell r="BW16">
            <v>2014791.875</v>
          </cell>
          <cell r="BX16">
            <v>239846.03125</v>
          </cell>
          <cell r="BZ16">
            <v>0</v>
          </cell>
          <cell r="CA16">
            <v>0</v>
          </cell>
          <cell r="CB16">
            <v>799486.8125</v>
          </cell>
          <cell r="DC16">
            <v>0</v>
          </cell>
          <cell r="DT16">
            <v>0</v>
          </cell>
          <cell r="EA16">
            <v>1774945.75</v>
          </cell>
        </row>
        <row r="17">
          <cell r="BB17">
            <v>1016.0000610351563</v>
          </cell>
          <cell r="BE17">
            <v>15907</v>
          </cell>
          <cell r="BW17">
            <v>1520178.75</v>
          </cell>
          <cell r="BX17">
            <v>242959.40625</v>
          </cell>
          <cell r="BZ17">
            <v>0</v>
          </cell>
          <cell r="CA17">
            <v>0</v>
          </cell>
          <cell r="CB17">
            <v>809864.4375</v>
          </cell>
          <cell r="DC17">
            <v>0</v>
          </cell>
          <cell r="DT17">
            <v>0</v>
          </cell>
          <cell r="EA17">
            <v>1277219.25</v>
          </cell>
        </row>
        <row r="18">
          <cell r="BB18">
            <v>693</v>
          </cell>
          <cell r="BE18">
            <v>10871</v>
          </cell>
          <cell r="BW18">
            <v>1038984.25</v>
          </cell>
          <cell r="BX18">
            <v>216837.9375</v>
          </cell>
          <cell r="BZ18">
            <v>0</v>
          </cell>
          <cell r="CA18">
            <v>0</v>
          </cell>
          <cell r="CB18">
            <v>722793.0625</v>
          </cell>
          <cell r="DC18">
            <v>0</v>
          </cell>
          <cell r="DT18">
            <v>0</v>
          </cell>
          <cell r="EA18">
            <v>822146.25</v>
          </cell>
        </row>
        <row r="19">
          <cell r="BB19">
            <v>313</v>
          </cell>
          <cell r="BE19">
            <v>4910</v>
          </cell>
          <cell r="BW19">
            <v>469066.90625</v>
          </cell>
          <cell r="BX19">
            <v>122168.0546875</v>
          </cell>
          <cell r="BZ19">
            <v>0</v>
          </cell>
          <cell r="CA19">
            <v>0</v>
          </cell>
          <cell r="CB19">
            <v>407227.03125</v>
          </cell>
          <cell r="DC19">
            <v>0</v>
          </cell>
          <cell r="DT19">
            <v>0</v>
          </cell>
          <cell r="EA19">
            <v>346898.84375</v>
          </cell>
        </row>
        <row r="20">
          <cell r="BB20">
            <v>185</v>
          </cell>
          <cell r="BE20">
            <v>2830.999755859375</v>
          </cell>
          <cell r="BW20">
            <v>270536.53125</v>
          </cell>
          <cell r="BX20">
            <v>83267.4296875</v>
          </cell>
          <cell r="BZ20">
            <v>0</v>
          </cell>
          <cell r="CA20">
            <v>0</v>
          </cell>
          <cell r="CB20">
            <v>272101.90625</v>
          </cell>
          <cell r="DC20">
            <v>0</v>
          </cell>
          <cell r="DT20">
            <v>0</v>
          </cell>
          <cell r="EA20">
            <v>187269.09375</v>
          </cell>
        </row>
        <row r="21">
          <cell r="BB21">
            <v>388</v>
          </cell>
          <cell r="BE21">
            <v>1768</v>
          </cell>
          <cell r="BW21">
            <v>168948.28125</v>
          </cell>
          <cell r="BX21">
            <v>83991.390625</v>
          </cell>
          <cell r="BZ21">
            <v>0</v>
          </cell>
          <cell r="CA21">
            <v>0</v>
          </cell>
          <cell r="CB21">
            <v>83991.390625</v>
          </cell>
          <cell r="DC21">
            <v>0</v>
          </cell>
          <cell r="DT21">
            <v>0</v>
          </cell>
          <cell r="EA21">
            <v>84956.890625</v>
          </cell>
        </row>
        <row r="22">
          <cell r="BB22">
            <v>198</v>
          </cell>
          <cell r="BE22">
            <v>903</v>
          </cell>
          <cell r="BW22">
            <v>86276.4765625</v>
          </cell>
          <cell r="BX22">
            <v>48560.546875</v>
          </cell>
          <cell r="BZ22">
            <v>0</v>
          </cell>
          <cell r="CA22">
            <v>0</v>
          </cell>
          <cell r="CB22">
            <v>48560.5625</v>
          </cell>
          <cell r="DC22">
            <v>0</v>
          </cell>
          <cell r="DT22">
            <v>0</v>
          </cell>
          <cell r="EA22">
            <v>37715.92578125</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8">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9">
        <row r="12">
          <cell r="BE12">
            <v>0</v>
          </cell>
        </row>
        <row r="13">
          <cell r="BE13">
            <v>0</v>
          </cell>
        </row>
        <row r="14">
          <cell r="BE14">
            <v>0</v>
          </cell>
        </row>
        <row r="15">
          <cell r="BE15">
            <v>0</v>
          </cell>
        </row>
        <row r="16">
          <cell r="BE16">
            <v>0</v>
          </cell>
        </row>
        <row r="17">
          <cell r="BE17">
            <v>0</v>
          </cell>
        </row>
        <row r="18">
          <cell r="BE18">
            <v>0</v>
          </cell>
        </row>
        <row r="19">
          <cell r="BE19">
            <v>2030.9998779296875</v>
          </cell>
        </row>
        <row r="20">
          <cell r="BE20">
            <v>2321</v>
          </cell>
        </row>
        <row r="21">
          <cell r="BE21">
            <v>2251</v>
          </cell>
        </row>
        <row r="22">
          <cell r="BE22">
            <v>390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10">
        <row r="12">
          <cell r="BE12">
            <v>20384</v>
          </cell>
        </row>
        <row r="13">
          <cell r="BE13">
            <v>16386</v>
          </cell>
        </row>
        <row r="14">
          <cell r="BE14">
            <v>11635</v>
          </cell>
        </row>
        <row r="15">
          <cell r="BE15">
            <v>8286</v>
          </cell>
        </row>
        <row r="16">
          <cell r="BE16">
            <v>5907</v>
          </cell>
        </row>
        <row r="17">
          <cell r="BE17">
            <v>4056.000244140625</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11">
        <row r="12">
          <cell r="BB12">
            <v>1301</v>
          </cell>
          <cell r="BE12">
            <v>20384</v>
          </cell>
          <cell r="BW12">
            <v>1947926.875</v>
          </cell>
          <cell r="BX12">
            <v>76371.9140625</v>
          </cell>
          <cell r="BZ12">
            <v>0</v>
          </cell>
          <cell r="CA12">
            <v>0</v>
          </cell>
          <cell r="CB12">
            <v>254572.875</v>
          </cell>
          <cell r="DC12">
            <v>1243994.75</v>
          </cell>
          <cell r="DT12">
            <v>0</v>
          </cell>
          <cell r="EA12">
            <v>1871555.125</v>
          </cell>
        </row>
        <row r="13">
          <cell r="BB13">
            <v>1045</v>
          </cell>
          <cell r="BE13">
            <v>16386</v>
          </cell>
          <cell r="BW13">
            <v>1565876.75</v>
          </cell>
          <cell r="BX13">
            <v>98952.8828125</v>
          </cell>
          <cell r="BZ13">
            <v>0</v>
          </cell>
          <cell r="CA13">
            <v>0</v>
          </cell>
          <cell r="CB13">
            <v>329843.125</v>
          </cell>
          <cell r="DC13">
            <v>0</v>
          </cell>
          <cell r="DT13">
            <v>0</v>
          </cell>
          <cell r="EA13">
            <v>1466923.5</v>
          </cell>
        </row>
        <row r="14">
          <cell r="BB14">
            <v>743</v>
          </cell>
          <cell r="BE14">
            <v>11635</v>
          </cell>
          <cell r="BW14">
            <v>1111888.75</v>
          </cell>
          <cell r="BX14">
            <v>97577.8828125</v>
          </cell>
          <cell r="BZ14">
            <v>0</v>
          </cell>
          <cell r="CA14">
            <v>0</v>
          </cell>
          <cell r="CB14">
            <v>325259.53125</v>
          </cell>
          <cell r="DC14">
            <v>0</v>
          </cell>
          <cell r="DT14">
            <v>0</v>
          </cell>
          <cell r="EA14">
            <v>1014311.0625</v>
          </cell>
        </row>
        <row r="15">
          <cell r="BB15">
            <v>530</v>
          </cell>
          <cell r="BE15">
            <v>8286</v>
          </cell>
          <cell r="BW15">
            <v>791723.125</v>
          </cell>
          <cell r="BX15">
            <v>94546.5390625</v>
          </cell>
          <cell r="BZ15">
            <v>0</v>
          </cell>
          <cell r="CA15">
            <v>0</v>
          </cell>
          <cell r="CB15">
            <v>315155.03125</v>
          </cell>
          <cell r="DC15">
            <v>0</v>
          </cell>
          <cell r="DT15">
            <v>0</v>
          </cell>
          <cell r="EA15">
            <v>697176.5</v>
          </cell>
        </row>
        <row r="16">
          <cell r="BB16">
            <v>376.99996948242188</v>
          </cell>
          <cell r="BE16">
            <v>5907</v>
          </cell>
          <cell r="BW16">
            <v>564567.75</v>
          </cell>
          <cell r="BX16">
            <v>91563.71875</v>
          </cell>
          <cell r="BZ16">
            <v>0</v>
          </cell>
          <cell r="CA16">
            <v>0</v>
          </cell>
          <cell r="CB16">
            <v>305212.40625</v>
          </cell>
          <cell r="DC16">
            <v>0</v>
          </cell>
          <cell r="DT16">
            <v>0</v>
          </cell>
          <cell r="EA16">
            <v>473004.53125</v>
          </cell>
        </row>
        <row r="17">
          <cell r="BB17">
            <v>260</v>
          </cell>
          <cell r="BE17">
            <v>4056.000244140625</v>
          </cell>
          <cell r="BW17">
            <v>387445.625</v>
          </cell>
          <cell r="BX17">
            <v>86916.2890625</v>
          </cell>
          <cell r="BZ17">
            <v>0</v>
          </cell>
          <cell r="CA17">
            <v>0</v>
          </cell>
          <cell r="CB17">
            <v>289721.125</v>
          </cell>
          <cell r="DC17">
            <v>0</v>
          </cell>
          <cell r="DT17">
            <v>0</v>
          </cell>
          <cell r="EA17">
            <v>300529.90625</v>
          </cell>
        </row>
        <row r="18">
          <cell r="BB18">
            <v>0</v>
          </cell>
          <cell r="BE18">
            <v>0</v>
          </cell>
          <cell r="BW18">
            <v>0</v>
          </cell>
          <cell r="BX18">
            <v>0</v>
          </cell>
          <cell r="BZ18">
            <v>0</v>
          </cell>
          <cell r="CA18">
            <v>0</v>
          </cell>
          <cell r="CB18">
            <v>0</v>
          </cell>
          <cell r="DC18">
            <v>0</v>
          </cell>
          <cell r="DT18">
            <v>0</v>
          </cell>
          <cell r="EA18">
            <v>0</v>
          </cell>
        </row>
        <row r="19">
          <cell r="BB19">
            <v>130</v>
          </cell>
          <cell r="BE19">
            <v>2030.9998779296875</v>
          </cell>
          <cell r="BW19">
            <v>194091.546875</v>
          </cell>
          <cell r="BX19">
            <v>5089.935546875</v>
          </cell>
          <cell r="BZ19">
            <v>0</v>
          </cell>
          <cell r="CA19">
            <v>0</v>
          </cell>
          <cell r="CB19">
            <v>16966.521484375</v>
          </cell>
          <cell r="DC19">
            <v>0</v>
          </cell>
          <cell r="DT19">
            <v>0</v>
          </cell>
          <cell r="EA19">
            <v>189001.828125</v>
          </cell>
        </row>
        <row r="20">
          <cell r="BB20">
            <v>156</v>
          </cell>
          <cell r="BE20">
            <v>2321</v>
          </cell>
          <cell r="BW20">
            <v>221744.109375</v>
          </cell>
          <cell r="BX20">
            <v>7807.15185546875</v>
          </cell>
          <cell r="BZ20">
            <v>0</v>
          </cell>
          <cell r="CA20">
            <v>0</v>
          </cell>
          <cell r="CB20">
            <v>24543.42578125</v>
          </cell>
          <cell r="DC20">
            <v>0</v>
          </cell>
          <cell r="DT20">
            <v>0</v>
          </cell>
          <cell r="EA20">
            <v>213937.25</v>
          </cell>
        </row>
        <row r="21">
          <cell r="BB21">
            <v>493</v>
          </cell>
          <cell r="BE21">
            <v>2251</v>
          </cell>
          <cell r="BW21">
            <v>215025.296875</v>
          </cell>
          <cell r="BX21">
            <v>20717.986328125</v>
          </cell>
          <cell r="BZ21">
            <v>0</v>
          </cell>
          <cell r="CA21">
            <v>0</v>
          </cell>
          <cell r="CB21">
            <v>20717.986328125</v>
          </cell>
          <cell r="DC21">
            <v>0</v>
          </cell>
          <cell r="DT21">
            <v>0</v>
          </cell>
          <cell r="EA21">
            <v>194307.375</v>
          </cell>
        </row>
        <row r="22">
          <cell r="BB22">
            <v>85.999992370605469</v>
          </cell>
          <cell r="BE22">
            <v>390</v>
          </cell>
          <cell r="BW22">
            <v>37300.37109375</v>
          </cell>
          <cell r="BX22">
            <v>4886.29150390625</v>
          </cell>
          <cell r="BZ22">
            <v>0</v>
          </cell>
          <cell r="CA22">
            <v>0</v>
          </cell>
          <cell r="CB22">
            <v>4886.29150390625</v>
          </cell>
          <cell r="DC22">
            <v>0</v>
          </cell>
          <cell r="DT22">
            <v>0</v>
          </cell>
          <cell r="EA22">
            <v>32413.94140625</v>
          </cell>
        </row>
        <row r="23">
          <cell r="BB23">
            <v>0</v>
          </cell>
          <cell r="BE23">
            <v>0</v>
          </cell>
          <cell r="BW23">
            <v>0</v>
          </cell>
          <cell r="BX23">
            <v>0</v>
          </cell>
          <cell r="BZ23">
            <v>0</v>
          </cell>
          <cell r="CA23">
            <v>0</v>
          </cell>
          <cell r="CB23">
            <v>0</v>
          </cell>
          <cell r="DC23">
            <v>0</v>
          </cell>
          <cell r="DT23">
            <v>247057</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2">
        <row r="12">
          <cell r="J12">
            <v>0.77288261090087895</v>
          </cell>
        </row>
        <row r="13">
          <cell r="J13">
            <v>0.13660194018554689</v>
          </cell>
        </row>
        <row r="14">
          <cell r="J14">
            <v>1.50393340625</v>
          </cell>
          <cell r="L14">
            <v>0</v>
          </cell>
        </row>
        <row r="17">
          <cell r="J17">
            <v>0</v>
          </cell>
          <cell r="L17">
            <v>0</v>
          </cell>
        </row>
        <row r="18">
          <cell r="J18">
            <v>0.21961999975585939</v>
          </cell>
          <cell r="L18">
            <v>0</v>
          </cell>
        </row>
        <row r="19">
          <cell r="J19">
            <v>0</v>
          </cell>
          <cell r="L19">
            <v>0</v>
          </cell>
        </row>
        <row r="20">
          <cell r="J20">
            <v>0.21961999975585939</v>
          </cell>
          <cell r="L20">
            <v>0</v>
          </cell>
        </row>
        <row r="22">
          <cell r="J22">
            <v>0</v>
          </cell>
          <cell r="L22">
            <v>0</v>
          </cell>
        </row>
        <row r="23">
          <cell r="J23">
            <v>6.9929998779296879E-3</v>
          </cell>
          <cell r="L23">
            <v>0</v>
          </cell>
        </row>
        <row r="24">
          <cell r="J24">
            <v>6.6654000244140629E-2</v>
          </cell>
          <cell r="L24">
            <v>0</v>
          </cell>
        </row>
        <row r="25">
          <cell r="J25">
            <v>7.3647000122070316E-2</v>
          </cell>
          <cell r="L25">
            <v>0</v>
          </cell>
        </row>
        <row r="26">
          <cell r="L26"/>
        </row>
        <row r="27">
          <cell r="L27"/>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PDP"/>
      <sheetName val="D-PNP"/>
      <sheetName val="D-PND"/>
      <sheetName val="D-PRB"/>
      <sheetName val="D-PS"/>
      <sheetName val="BM"/>
      <sheetName val="CF PDP"/>
      <sheetName val="CF PNP"/>
      <sheetName val="CF PND"/>
      <sheetName val="CF PRB"/>
      <sheetName val="CF PS"/>
      <sheetName val="PDP"/>
      <sheetName val="PNP"/>
      <sheetName val="PND"/>
      <sheetName val="PRB"/>
      <sheetName val="PS"/>
      <sheetName val="PD"/>
      <sheetName val="1P"/>
      <sheetName val="2P"/>
      <sheetName val="3P"/>
      <sheetName val="Consolidado"/>
      <sheetName val="Lista"/>
    </sheetNames>
    <sheetDataSet>
      <sheetData sheetId="0" refreshError="1"/>
      <sheetData sheetId="1" refreshError="1"/>
      <sheetData sheetId="2" refreshError="1"/>
      <sheetData sheetId="3" refreshError="1"/>
      <sheetData sheetId="4" refreshError="1"/>
      <sheetData sheetId="5" refreshError="1"/>
      <sheetData sheetId="6">
        <row r="36">
          <cell r="AY36">
            <v>18165</v>
          </cell>
          <cell r="BB36">
            <v>284572</v>
          </cell>
          <cell r="BT36">
            <v>27193700</v>
          </cell>
          <cell r="BU36">
            <v>3666179</v>
          </cell>
          <cell r="BW36">
            <v>2692635</v>
          </cell>
          <cell r="BX36">
            <v>238473</v>
          </cell>
          <cell r="BY36">
            <v>9289488</v>
          </cell>
          <cell r="CT36">
            <v>424875</v>
          </cell>
          <cell r="DI36">
            <v>0</v>
          </cell>
          <cell r="DN36">
            <v>23527521</v>
          </cell>
        </row>
        <row r="37">
          <cell r="AY37">
            <v>11822</v>
          </cell>
          <cell r="BB37">
            <v>185209</v>
          </cell>
          <cell r="BT37">
            <v>17698572</v>
          </cell>
          <cell r="BU37">
            <v>3308137</v>
          </cell>
          <cell r="BW37">
            <v>2692635</v>
          </cell>
          <cell r="BX37">
            <v>232145</v>
          </cell>
          <cell r="BY37">
            <v>8102343</v>
          </cell>
          <cell r="CT37">
            <v>376500</v>
          </cell>
          <cell r="DI37">
            <v>0</v>
          </cell>
          <cell r="DN37">
            <v>14390435</v>
          </cell>
        </row>
        <row r="38">
          <cell r="AY38">
            <v>7482</v>
          </cell>
          <cell r="BB38">
            <v>117228</v>
          </cell>
          <cell r="BT38">
            <v>11202308</v>
          </cell>
          <cell r="BU38">
            <v>2790128</v>
          </cell>
          <cell r="BW38">
            <v>2692635</v>
          </cell>
          <cell r="BX38">
            <v>221009</v>
          </cell>
          <cell r="BY38">
            <v>6386783</v>
          </cell>
          <cell r="CT38">
            <v>156750</v>
          </cell>
          <cell r="DI38">
            <v>0</v>
          </cell>
          <cell r="DN38">
            <v>8412180</v>
          </cell>
        </row>
        <row r="39">
          <cell r="AY39">
            <v>4798</v>
          </cell>
          <cell r="BB39">
            <v>75170</v>
          </cell>
          <cell r="BT39">
            <v>7183245</v>
          </cell>
          <cell r="BU39">
            <v>2310056</v>
          </cell>
          <cell r="BW39">
            <v>2692635</v>
          </cell>
          <cell r="BX39">
            <v>212384</v>
          </cell>
          <cell r="BY39">
            <v>4795167</v>
          </cell>
          <cell r="CT39">
            <v>74507</v>
          </cell>
          <cell r="DI39">
            <v>0</v>
          </cell>
          <cell r="DN39">
            <v>4873189</v>
          </cell>
        </row>
        <row r="40">
          <cell r="AY40">
            <v>3245</v>
          </cell>
          <cell r="BB40">
            <v>50852</v>
          </cell>
          <cell r="BT40">
            <v>4859417</v>
          </cell>
          <cell r="BU40">
            <v>2097246</v>
          </cell>
          <cell r="BW40">
            <v>2692635</v>
          </cell>
          <cell r="BX40">
            <v>226615</v>
          </cell>
          <cell r="BY40">
            <v>4071571</v>
          </cell>
          <cell r="CT40">
            <v>173850</v>
          </cell>
          <cell r="DI40">
            <v>0</v>
          </cell>
          <cell r="DN40">
            <v>2762171</v>
          </cell>
        </row>
        <row r="41">
          <cell r="AY41">
            <v>2061</v>
          </cell>
          <cell r="BB41">
            <v>32283</v>
          </cell>
          <cell r="BT41">
            <v>3084963</v>
          </cell>
          <cell r="BU41">
            <v>1832141</v>
          </cell>
          <cell r="BW41">
            <v>2692635</v>
          </cell>
          <cell r="BX41">
            <v>262657</v>
          </cell>
          <cell r="BY41">
            <v>3151843</v>
          </cell>
          <cell r="CT41">
            <v>0</v>
          </cell>
          <cell r="DI41">
            <v>0</v>
          </cell>
          <cell r="DN41">
            <v>1252822</v>
          </cell>
        </row>
        <row r="42">
          <cell r="AY42">
            <v>0</v>
          </cell>
          <cell r="BB42">
            <v>0</v>
          </cell>
          <cell r="BT42">
            <v>0</v>
          </cell>
          <cell r="BU42">
            <v>0</v>
          </cell>
          <cell r="BW42">
            <v>0</v>
          </cell>
          <cell r="BX42">
            <v>0</v>
          </cell>
          <cell r="BY42">
            <v>0</v>
          </cell>
          <cell r="CT42">
            <v>0</v>
          </cell>
          <cell r="DI42">
            <v>12239414</v>
          </cell>
          <cell r="DN42">
            <v>0</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7">
        <row r="36">
          <cell r="AY36">
            <v>1832</v>
          </cell>
          <cell r="BB36">
            <v>28711</v>
          </cell>
          <cell r="BT36">
            <v>2743623</v>
          </cell>
          <cell r="BU36">
            <v>86436</v>
          </cell>
          <cell r="BW36">
            <v>0</v>
          </cell>
          <cell r="BX36">
            <v>0</v>
          </cell>
          <cell r="BY36">
            <v>288120</v>
          </cell>
          <cell r="CT36">
            <v>0</v>
          </cell>
          <cell r="DI36">
            <v>0</v>
          </cell>
          <cell r="DN36">
            <v>2657187</v>
          </cell>
        </row>
        <row r="37">
          <cell r="AY37">
            <v>1588</v>
          </cell>
          <cell r="BB37">
            <v>24875</v>
          </cell>
          <cell r="BT37">
            <v>2377055</v>
          </cell>
          <cell r="BU37">
            <v>108337</v>
          </cell>
          <cell r="BW37">
            <v>0</v>
          </cell>
          <cell r="BX37">
            <v>0</v>
          </cell>
          <cell r="BY37">
            <v>361122</v>
          </cell>
          <cell r="CT37">
            <v>0</v>
          </cell>
          <cell r="DI37">
            <v>0</v>
          </cell>
          <cell r="DN37">
            <v>2268718</v>
          </cell>
        </row>
        <row r="38">
          <cell r="AY38">
            <v>1706</v>
          </cell>
          <cell r="BB38">
            <v>26714</v>
          </cell>
          <cell r="BT38">
            <v>2552790</v>
          </cell>
          <cell r="BU38">
            <v>179234</v>
          </cell>
          <cell r="BW38">
            <v>0</v>
          </cell>
          <cell r="BX38">
            <v>0</v>
          </cell>
          <cell r="BY38">
            <v>597445</v>
          </cell>
          <cell r="CT38">
            <v>0</v>
          </cell>
          <cell r="DI38">
            <v>0</v>
          </cell>
          <cell r="DN38">
            <v>2373556</v>
          </cell>
        </row>
        <row r="39">
          <cell r="AY39">
            <v>1273</v>
          </cell>
          <cell r="BB39">
            <v>19951</v>
          </cell>
          <cell r="BT39">
            <v>1906518</v>
          </cell>
          <cell r="BU39">
            <v>177360</v>
          </cell>
          <cell r="BW39">
            <v>0</v>
          </cell>
          <cell r="BX39">
            <v>0</v>
          </cell>
          <cell r="BY39">
            <v>591200</v>
          </cell>
          <cell r="CT39">
            <v>0</v>
          </cell>
          <cell r="DI39">
            <v>0</v>
          </cell>
          <cell r="DN39">
            <v>1729158</v>
          </cell>
        </row>
        <row r="40">
          <cell r="AY40">
            <v>911</v>
          </cell>
          <cell r="BB40">
            <v>14266</v>
          </cell>
          <cell r="BT40">
            <v>1363259</v>
          </cell>
          <cell r="BU40">
            <v>159425</v>
          </cell>
          <cell r="BW40">
            <v>0</v>
          </cell>
          <cell r="BX40">
            <v>0</v>
          </cell>
          <cell r="BY40">
            <v>531417</v>
          </cell>
          <cell r="CT40">
            <v>0</v>
          </cell>
          <cell r="DI40">
            <v>0</v>
          </cell>
          <cell r="DN40">
            <v>1203834</v>
          </cell>
        </row>
        <row r="41">
          <cell r="AY41">
            <v>684</v>
          </cell>
          <cell r="BB41">
            <v>10727</v>
          </cell>
          <cell r="BT41">
            <v>1025073</v>
          </cell>
          <cell r="BU41">
            <v>158690</v>
          </cell>
          <cell r="BW41">
            <v>0</v>
          </cell>
          <cell r="BX41">
            <v>0</v>
          </cell>
          <cell r="BY41">
            <v>528967</v>
          </cell>
          <cell r="CT41">
            <v>0</v>
          </cell>
          <cell r="DI41">
            <v>0</v>
          </cell>
          <cell r="DN41">
            <v>866383</v>
          </cell>
        </row>
        <row r="42">
          <cell r="AY42">
            <v>1404</v>
          </cell>
          <cell r="BB42">
            <v>22000</v>
          </cell>
          <cell r="BT42">
            <v>2102320</v>
          </cell>
          <cell r="BU42">
            <v>1566765</v>
          </cell>
          <cell r="BW42">
            <v>2692635</v>
          </cell>
          <cell r="BX42">
            <v>471258</v>
          </cell>
          <cell r="BY42">
            <v>2058656</v>
          </cell>
          <cell r="CT42">
            <v>0</v>
          </cell>
          <cell r="DI42">
            <v>0</v>
          </cell>
          <cell r="DN42">
            <v>535555</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8">
        <row r="36">
          <cell r="AY36">
            <v>4648</v>
          </cell>
          <cell r="BB36">
            <v>72821</v>
          </cell>
          <cell r="BT36">
            <v>6958775</v>
          </cell>
          <cell r="BU36">
            <v>169569</v>
          </cell>
          <cell r="BW36">
            <v>0</v>
          </cell>
          <cell r="BX36">
            <v>0</v>
          </cell>
          <cell r="BY36">
            <v>565230</v>
          </cell>
          <cell r="CT36">
            <v>1865993</v>
          </cell>
          <cell r="DI36">
            <v>0</v>
          </cell>
          <cell r="DN36">
            <v>6789206</v>
          </cell>
        </row>
        <row r="37">
          <cell r="AY37">
            <v>4195</v>
          </cell>
          <cell r="BB37">
            <v>65725</v>
          </cell>
          <cell r="BT37">
            <v>6280681</v>
          </cell>
          <cell r="BU37">
            <v>245780</v>
          </cell>
          <cell r="BW37">
            <v>0</v>
          </cell>
          <cell r="BX37">
            <v>0</v>
          </cell>
          <cell r="BY37">
            <v>819267</v>
          </cell>
          <cell r="CT37">
            <v>0</v>
          </cell>
          <cell r="DI37">
            <v>0</v>
          </cell>
          <cell r="DN37">
            <v>6034901</v>
          </cell>
        </row>
        <row r="38">
          <cell r="AY38">
            <v>3079</v>
          </cell>
          <cell r="BB38">
            <v>48243</v>
          </cell>
          <cell r="BT38">
            <v>4610101</v>
          </cell>
          <cell r="BU38">
            <v>254646</v>
          </cell>
          <cell r="BW38">
            <v>0</v>
          </cell>
          <cell r="BX38">
            <v>0</v>
          </cell>
          <cell r="BY38">
            <v>848822</v>
          </cell>
          <cell r="CT38">
            <v>0</v>
          </cell>
          <cell r="DI38">
            <v>0</v>
          </cell>
          <cell r="DN38">
            <v>4355455</v>
          </cell>
        </row>
        <row r="39">
          <cell r="AY39">
            <v>3542</v>
          </cell>
          <cell r="BB39">
            <v>55479</v>
          </cell>
          <cell r="BT39">
            <v>5301573</v>
          </cell>
          <cell r="BU39">
            <v>271555</v>
          </cell>
          <cell r="BW39">
            <v>0</v>
          </cell>
          <cell r="BX39">
            <v>0</v>
          </cell>
          <cell r="BY39">
            <v>905184</v>
          </cell>
          <cell r="CT39">
            <v>2805509</v>
          </cell>
          <cell r="DI39">
            <v>0</v>
          </cell>
          <cell r="DN39">
            <v>5030018</v>
          </cell>
        </row>
        <row r="40">
          <cell r="AY40">
            <v>11672</v>
          </cell>
          <cell r="BB40">
            <v>182857</v>
          </cell>
          <cell r="BT40">
            <v>17473815</v>
          </cell>
          <cell r="BU40">
            <v>575568</v>
          </cell>
          <cell r="BW40">
            <v>0</v>
          </cell>
          <cell r="BX40">
            <v>0</v>
          </cell>
          <cell r="BY40">
            <v>1918557</v>
          </cell>
          <cell r="CT40">
            <v>2805508</v>
          </cell>
          <cell r="DI40">
            <v>0</v>
          </cell>
          <cell r="DN40">
            <v>16898247</v>
          </cell>
        </row>
        <row r="41">
          <cell r="AY41">
            <v>16355</v>
          </cell>
          <cell r="BB41">
            <v>256220</v>
          </cell>
          <cell r="BT41">
            <v>24484383</v>
          </cell>
          <cell r="BU41">
            <v>965640</v>
          </cell>
          <cell r="BW41">
            <v>0</v>
          </cell>
          <cell r="BX41">
            <v>0</v>
          </cell>
          <cell r="BY41">
            <v>3218800</v>
          </cell>
          <cell r="CT41">
            <v>2805509</v>
          </cell>
          <cell r="DI41">
            <v>0</v>
          </cell>
          <cell r="DN41">
            <v>23518743</v>
          </cell>
        </row>
        <row r="42">
          <cell r="AY42">
            <v>17999</v>
          </cell>
          <cell r="BB42">
            <v>281990</v>
          </cell>
          <cell r="BT42">
            <v>26946964</v>
          </cell>
          <cell r="BU42">
            <v>1278700</v>
          </cell>
          <cell r="BW42">
            <v>0</v>
          </cell>
          <cell r="BX42">
            <v>0</v>
          </cell>
          <cell r="BY42">
            <v>4262335</v>
          </cell>
          <cell r="CT42">
            <v>234512</v>
          </cell>
          <cell r="DI42">
            <v>0</v>
          </cell>
          <cell r="DN42">
            <v>25668264</v>
          </cell>
        </row>
        <row r="43">
          <cell r="AY43">
            <v>13412</v>
          </cell>
          <cell r="BB43">
            <v>210120</v>
          </cell>
          <cell r="BT43">
            <v>20079067</v>
          </cell>
          <cell r="BU43">
            <v>2573014</v>
          </cell>
          <cell r="BW43">
            <v>2692635</v>
          </cell>
          <cell r="BX43">
            <v>707392</v>
          </cell>
          <cell r="BY43">
            <v>5176687</v>
          </cell>
          <cell r="CT43">
            <v>187181</v>
          </cell>
          <cell r="DI43">
            <v>0</v>
          </cell>
          <cell r="DN43">
            <v>17506053</v>
          </cell>
        </row>
        <row r="44">
          <cell r="AY44">
            <v>8561</v>
          </cell>
          <cell r="BB44">
            <v>134117</v>
          </cell>
          <cell r="BT44">
            <v>12816221</v>
          </cell>
          <cell r="BU44">
            <v>2679125</v>
          </cell>
          <cell r="BW44">
            <v>2692635</v>
          </cell>
          <cell r="BX44">
            <v>1291338</v>
          </cell>
          <cell r="BY44">
            <v>4409276</v>
          </cell>
          <cell r="CT44">
            <v>0</v>
          </cell>
          <cell r="DI44">
            <v>0</v>
          </cell>
          <cell r="DN44">
            <v>10137096</v>
          </cell>
        </row>
        <row r="45">
          <cell r="AY45">
            <v>0</v>
          </cell>
          <cell r="BB45">
            <v>0</v>
          </cell>
          <cell r="BT45">
            <v>0</v>
          </cell>
          <cell r="BU45">
            <v>0</v>
          </cell>
          <cell r="BW45">
            <v>0</v>
          </cell>
          <cell r="BX45">
            <v>0</v>
          </cell>
          <cell r="BY45">
            <v>0</v>
          </cell>
          <cell r="CT45">
            <v>0</v>
          </cell>
          <cell r="DI45">
            <v>2223508</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9">
        <row r="36">
          <cell r="AY36">
            <v>3713</v>
          </cell>
          <cell r="BB36">
            <v>58162</v>
          </cell>
          <cell r="BT36">
            <v>5557961</v>
          </cell>
          <cell r="BU36">
            <v>171249</v>
          </cell>
          <cell r="BW36">
            <v>0</v>
          </cell>
          <cell r="BX36">
            <v>0</v>
          </cell>
          <cell r="BY36">
            <v>570829</v>
          </cell>
          <cell r="CT36">
            <v>0</v>
          </cell>
          <cell r="DI36">
            <v>0</v>
          </cell>
          <cell r="DN36">
            <v>5386712</v>
          </cell>
        </row>
        <row r="37">
          <cell r="AY37">
            <v>2743</v>
          </cell>
          <cell r="BB37">
            <v>42979</v>
          </cell>
          <cell r="BT37">
            <v>4107073</v>
          </cell>
          <cell r="BU37">
            <v>186661</v>
          </cell>
          <cell r="BW37">
            <v>0</v>
          </cell>
          <cell r="BX37">
            <v>0</v>
          </cell>
          <cell r="BY37">
            <v>622204</v>
          </cell>
          <cell r="CT37">
            <v>0</v>
          </cell>
          <cell r="DI37">
            <v>0</v>
          </cell>
          <cell r="DN37">
            <v>3920412</v>
          </cell>
        </row>
        <row r="38">
          <cell r="AY38">
            <v>2064</v>
          </cell>
          <cell r="BB38">
            <v>32333</v>
          </cell>
          <cell r="BT38">
            <v>3089741</v>
          </cell>
          <cell r="BU38">
            <v>201370</v>
          </cell>
          <cell r="BW38">
            <v>0</v>
          </cell>
          <cell r="BX38">
            <v>0</v>
          </cell>
          <cell r="BY38">
            <v>671231</v>
          </cell>
          <cell r="CT38">
            <v>0</v>
          </cell>
          <cell r="DI38">
            <v>0</v>
          </cell>
          <cell r="DN38">
            <v>2888371</v>
          </cell>
        </row>
        <row r="39">
          <cell r="AY39">
            <v>1778</v>
          </cell>
          <cell r="BB39">
            <v>27857</v>
          </cell>
          <cell r="BT39">
            <v>2662015</v>
          </cell>
          <cell r="BU39">
            <v>239900</v>
          </cell>
          <cell r="BW39">
            <v>0</v>
          </cell>
          <cell r="BX39">
            <v>0</v>
          </cell>
          <cell r="BY39">
            <v>799667</v>
          </cell>
          <cell r="CT39">
            <v>0</v>
          </cell>
          <cell r="DI39">
            <v>0</v>
          </cell>
          <cell r="DN39">
            <v>2422115</v>
          </cell>
        </row>
        <row r="40">
          <cell r="AY40">
            <v>1346</v>
          </cell>
          <cell r="BB40">
            <v>21081</v>
          </cell>
          <cell r="BT40">
            <v>2014500</v>
          </cell>
          <cell r="BU40">
            <v>239846</v>
          </cell>
          <cell r="BW40">
            <v>0</v>
          </cell>
          <cell r="BX40">
            <v>0</v>
          </cell>
          <cell r="BY40">
            <v>799487</v>
          </cell>
          <cell r="CT40">
            <v>0</v>
          </cell>
          <cell r="DI40">
            <v>0</v>
          </cell>
          <cell r="DN40">
            <v>1774654</v>
          </cell>
        </row>
        <row r="41">
          <cell r="AY41">
            <v>1015</v>
          </cell>
          <cell r="BB41">
            <v>15906</v>
          </cell>
          <cell r="BT41">
            <v>1519977</v>
          </cell>
          <cell r="BU41">
            <v>242959</v>
          </cell>
          <cell r="BW41">
            <v>0</v>
          </cell>
          <cell r="BX41">
            <v>0</v>
          </cell>
          <cell r="BY41">
            <v>809864</v>
          </cell>
          <cell r="CT41">
            <v>0</v>
          </cell>
          <cell r="DI41">
            <v>0</v>
          </cell>
          <cell r="DN41">
            <v>1277018</v>
          </cell>
        </row>
        <row r="42">
          <cell r="AY42">
            <v>695</v>
          </cell>
          <cell r="BB42">
            <v>10871</v>
          </cell>
          <cell r="BT42">
            <v>1038833</v>
          </cell>
          <cell r="BU42">
            <v>222089</v>
          </cell>
          <cell r="BW42">
            <v>0</v>
          </cell>
          <cell r="BX42">
            <v>0</v>
          </cell>
          <cell r="BY42">
            <v>740295</v>
          </cell>
          <cell r="CT42">
            <v>0</v>
          </cell>
          <cell r="DI42">
            <v>0</v>
          </cell>
          <cell r="DN42">
            <v>816744</v>
          </cell>
        </row>
        <row r="43">
          <cell r="AY43">
            <v>313</v>
          </cell>
          <cell r="BB43">
            <v>4909</v>
          </cell>
          <cell r="BT43">
            <v>469104</v>
          </cell>
          <cell r="BU43">
            <v>124239</v>
          </cell>
          <cell r="BW43">
            <v>0</v>
          </cell>
          <cell r="BX43">
            <v>0</v>
          </cell>
          <cell r="BY43">
            <v>414130</v>
          </cell>
          <cell r="CT43">
            <v>0</v>
          </cell>
          <cell r="DI43">
            <v>0</v>
          </cell>
          <cell r="DN43">
            <v>344865</v>
          </cell>
        </row>
        <row r="44">
          <cell r="AY44">
            <v>179</v>
          </cell>
          <cell r="BB44">
            <v>2800</v>
          </cell>
          <cell r="BT44">
            <v>267568</v>
          </cell>
          <cell r="BU44">
            <v>90852</v>
          </cell>
          <cell r="BW44">
            <v>0</v>
          </cell>
          <cell r="BX44">
            <v>0</v>
          </cell>
          <cell r="BY44">
            <v>284623</v>
          </cell>
          <cell r="CT44">
            <v>0</v>
          </cell>
          <cell r="DI44">
            <v>0</v>
          </cell>
          <cell r="DN44">
            <v>176716</v>
          </cell>
        </row>
        <row r="45">
          <cell r="AY45">
            <v>33466</v>
          </cell>
          <cell r="BB45">
            <v>152458</v>
          </cell>
          <cell r="BT45">
            <v>14568886</v>
          </cell>
          <cell r="BU45">
            <v>6962366</v>
          </cell>
          <cell r="BW45">
            <v>2692635</v>
          </cell>
          <cell r="BX45">
            <v>618120</v>
          </cell>
          <cell r="BY45">
            <v>3651611</v>
          </cell>
          <cell r="CT45">
            <v>0</v>
          </cell>
          <cell r="DI45">
            <v>0</v>
          </cell>
          <cell r="DN45">
            <v>7606520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0">
        <row r="36">
          <cell r="AY36">
            <v>1300</v>
          </cell>
          <cell r="BB36">
            <v>20382</v>
          </cell>
          <cell r="BT36">
            <v>1947704</v>
          </cell>
          <cell r="BU36">
            <v>78515</v>
          </cell>
          <cell r="BW36">
            <v>0</v>
          </cell>
          <cell r="BX36">
            <v>0</v>
          </cell>
          <cell r="BY36">
            <v>261719</v>
          </cell>
          <cell r="CT36">
            <v>1243995</v>
          </cell>
          <cell r="DI36">
            <v>0</v>
          </cell>
          <cell r="DN36">
            <v>1869189</v>
          </cell>
        </row>
        <row r="37">
          <cell r="AY37">
            <v>1046</v>
          </cell>
          <cell r="BB37">
            <v>16384</v>
          </cell>
          <cell r="BT37">
            <v>1565655</v>
          </cell>
          <cell r="BU37">
            <v>98953</v>
          </cell>
          <cell r="BW37">
            <v>0</v>
          </cell>
          <cell r="BX37">
            <v>0</v>
          </cell>
          <cell r="BY37">
            <v>329843</v>
          </cell>
          <cell r="CT37">
            <v>0</v>
          </cell>
          <cell r="DI37">
            <v>0</v>
          </cell>
          <cell r="DN37">
            <v>1466702</v>
          </cell>
        </row>
        <row r="38">
          <cell r="AY38">
            <v>743</v>
          </cell>
          <cell r="BB38">
            <v>11634</v>
          </cell>
          <cell r="BT38">
            <v>1111745</v>
          </cell>
          <cell r="BU38">
            <v>97577</v>
          </cell>
          <cell r="BW38">
            <v>0</v>
          </cell>
          <cell r="BX38">
            <v>0</v>
          </cell>
          <cell r="BY38">
            <v>325259</v>
          </cell>
          <cell r="CT38">
            <v>0</v>
          </cell>
          <cell r="DI38">
            <v>0</v>
          </cell>
          <cell r="DN38">
            <v>1014168</v>
          </cell>
        </row>
        <row r="39">
          <cell r="AY39">
            <v>528</v>
          </cell>
          <cell r="BB39">
            <v>8284</v>
          </cell>
          <cell r="BT39">
            <v>791619</v>
          </cell>
          <cell r="BU39">
            <v>94547</v>
          </cell>
          <cell r="BW39">
            <v>0</v>
          </cell>
          <cell r="BX39">
            <v>0</v>
          </cell>
          <cell r="BY39">
            <v>315155</v>
          </cell>
          <cell r="CT39">
            <v>0</v>
          </cell>
          <cell r="DI39">
            <v>0</v>
          </cell>
          <cell r="DN39">
            <v>697072</v>
          </cell>
        </row>
        <row r="40">
          <cell r="AY40">
            <v>377</v>
          </cell>
          <cell r="BB40">
            <v>5908</v>
          </cell>
          <cell r="BT40">
            <v>564569</v>
          </cell>
          <cell r="BU40">
            <v>91563</v>
          </cell>
          <cell r="BW40">
            <v>0</v>
          </cell>
          <cell r="BX40">
            <v>0</v>
          </cell>
          <cell r="BY40">
            <v>305212</v>
          </cell>
          <cell r="CT40">
            <v>0</v>
          </cell>
          <cell r="DI40">
            <v>0</v>
          </cell>
          <cell r="DN40">
            <v>473006</v>
          </cell>
        </row>
        <row r="41">
          <cell r="AY41">
            <v>259</v>
          </cell>
          <cell r="BB41">
            <v>4054</v>
          </cell>
          <cell r="BT41">
            <v>387400</v>
          </cell>
          <cell r="BU41">
            <v>87407</v>
          </cell>
          <cell r="BW41">
            <v>0</v>
          </cell>
          <cell r="BX41">
            <v>0</v>
          </cell>
          <cell r="BY41">
            <v>291357</v>
          </cell>
          <cell r="CT41">
            <v>0</v>
          </cell>
          <cell r="DI41">
            <v>0</v>
          </cell>
          <cell r="DN41">
            <v>299993</v>
          </cell>
        </row>
        <row r="42">
          <cell r="AY42">
            <v>0</v>
          </cell>
          <cell r="BB42">
            <v>0</v>
          </cell>
          <cell r="BT42">
            <v>0</v>
          </cell>
          <cell r="BU42">
            <v>0</v>
          </cell>
          <cell r="BW42">
            <v>0</v>
          </cell>
          <cell r="BX42">
            <v>0</v>
          </cell>
          <cell r="BY42">
            <v>0</v>
          </cell>
          <cell r="CT42">
            <v>0</v>
          </cell>
          <cell r="DI42">
            <v>0</v>
          </cell>
          <cell r="DN42">
            <v>0</v>
          </cell>
        </row>
        <row r="43">
          <cell r="AY43">
            <v>130</v>
          </cell>
          <cell r="BB43">
            <v>2030</v>
          </cell>
          <cell r="BT43">
            <v>193987</v>
          </cell>
          <cell r="BU43">
            <v>7618</v>
          </cell>
          <cell r="BW43">
            <v>0</v>
          </cell>
          <cell r="BX43">
            <v>0</v>
          </cell>
          <cell r="BY43">
            <v>25391</v>
          </cell>
          <cell r="CT43">
            <v>0</v>
          </cell>
          <cell r="DI43">
            <v>0</v>
          </cell>
          <cell r="DN43">
            <v>186369</v>
          </cell>
        </row>
        <row r="44">
          <cell r="AY44">
            <v>144</v>
          </cell>
          <cell r="BB44">
            <v>2273</v>
          </cell>
          <cell r="BT44">
            <v>217207</v>
          </cell>
          <cell r="BU44">
            <v>7837</v>
          </cell>
          <cell r="BW44">
            <v>0</v>
          </cell>
          <cell r="BX44">
            <v>0</v>
          </cell>
          <cell r="BY44">
            <v>24553</v>
          </cell>
          <cell r="CT44">
            <v>0</v>
          </cell>
          <cell r="DI44">
            <v>0</v>
          </cell>
          <cell r="DN44">
            <v>209370</v>
          </cell>
        </row>
        <row r="45">
          <cell r="AY45">
            <v>494</v>
          </cell>
          <cell r="BB45">
            <v>2250</v>
          </cell>
          <cell r="BT45">
            <v>215010</v>
          </cell>
          <cell r="BU45">
            <v>20718</v>
          </cell>
          <cell r="BW45">
            <v>0</v>
          </cell>
          <cell r="BX45">
            <v>0</v>
          </cell>
          <cell r="BY45">
            <v>20718</v>
          </cell>
          <cell r="CT45">
            <v>0</v>
          </cell>
          <cell r="DI45">
            <v>0</v>
          </cell>
          <cell r="DN45">
            <v>194292</v>
          </cell>
        </row>
        <row r="46">
          <cell r="AY46">
            <v>0</v>
          </cell>
          <cell r="BB46">
            <v>0</v>
          </cell>
          <cell r="BT46">
            <v>0</v>
          </cell>
          <cell r="BU46">
            <v>0</v>
          </cell>
          <cell r="BW46">
            <v>0</v>
          </cell>
          <cell r="BX46">
            <v>0</v>
          </cell>
          <cell r="BY46">
            <v>0</v>
          </cell>
          <cell r="CT46">
            <v>0</v>
          </cell>
          <cell r="DI46">
            <v>247057</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2">
          <cell r="J12">
            <v>0.74531400000000003</v>
          </cell>
          <cell r="L12">
            <v>0</v>
          </cell>
        </row>
        <row r="13">
          <cell r="J13">
            <v>0.14724400000000001</v>
          </cell>
          <cell r="L13">
            <v>0</v>
          </cell>
        </row>
        <row r="14">
          <cell r="J14">
            <v>1.307572</v>
          </cell>
          <cell r="L14">
            <v>0</v>
          </cell>
        </row>
        <row r="17">
          <cell r="J17">
            <v>0</v>
          </cell>
          <cell r="L17">
            <v>0</v>
          </cell>
        </row>
        <row r="18">
          <cell r="J18">
            <v>0.36935600000000002</v>
          </cell>
          <cell r="L18">
            <v>0</v>
          </cell>
        </row>
        <row r="19">
          <cell r="J19">
            <v>0.36935600000000002</v>
          </cell>
          <cell r="L19">
            <v>0</v>
          </cell>
        </row>
        <row r="21">
          <cell r="J21">
            <v>0</v>
          </cell>
          <cell r="L21">
            <v>0</v>
          </cell>
        </row>
        <row r="22">
          <cell r="J22">
            <v>7.3199E-2</v>
          </cell>
          <cell r="L22">
            <v>0</v>
          </cell>
        </row>
        <row r="23">
          <cell r="J23">
            <v>7.3199E-2</v>
          </cell>
          <cell r="L23">
            <v>0</v>
          </cell>
        </row>
      </sheetData>
      <sheetData sheetId="21" refreshError="1"/>
    </sheetDataSet>
  </externalBook>
</externalLink>
</file>

<file path=xl/persons/person.xml><?xml version="1.0" encoding="utf-8"?>
<personList xmlns="http://schemas.microsoft.com/office/spreadsheetml/2018/threadedcomments" xmlns:x="http://schemas.openxmlformats.org/spreadsheetml/2006/main">
  <person displayName="Jaime Benazar Irausquin" id="{369DAFB1-6771-44A0-9031-202BD61C6CC7}" userId="S::jaime.benazar@Quorumsoftware.com::90b285ee-16d3-4f4a-b12f-ba7161cffcd6" providerId="AD"/>
  <person displayName="Jaime Benazar Irausquin" id="{E8CCDCD8-8E1F-4B07-BB4E-EAA3A80585CB}" userId="S::jaime.benazar@quorumsoftware.com::90b285ee-16d3-4f4a-b12f-ba7161cffcd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4" dT="2024-02-27T03:18:30.58" personId="{369DAFB1-6771-44A0-9031-202BD61C6CC7}" id="{B639EA58-7981-42E9-9E3D-4A31ABA20DC5}">
    <text>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text>
  </threadedComment>
  <threadedComment ref="AT4" dT="2024-02-27T03:26:44.28" personId="{369DAFB1-6771-44A0-9031-202BD61C6CC7}" id="{AE73E385-1AAF-4AD3-ADBA-A9B823016565}">
    <text>El auditor, al cortar antes la PDP, trae la cola de PDP a PNP. La metodología RSC que es la utilizada por PlanningSpace no hace moviento de colas entre wedges</text>
  </threadedComment>
  <threadedComment ref="AV4" dT="2024-02-27T03:24:19.56" personId="{369DAFB1-6771-44A0-9031-202BD61C6CC7}" id="{808AF26C-3735-47A3-8575-CBC3F7875DC2}">
    <text>El auditor utiliza una metodología con la cuál se le asigna el 100% del OPEX fijo a PDP hasta que ésta alcance su límite económico. PS, al utilizar metodología RSC, reparte este coto entre los tres wedges ppr FIN, por lo cual alarga la fecha del EL de PDP</text>
  </threadedComment>
  <threadedComment ref="CG4" dT="2024-02-27T03:28:48.18" personId="{369DAFB1-6771-44A0-9031-202BD61C6CC7}" id="{54032A5F-3797-4DFA-B87C-1F2F9959179C}">
    <text>El auditor, al cortar antes la PDP y la PNP y trae las colas a la PND. La metodología RSC que es la utilizada por PlanningSpace no hace movimiento de colas entre wedges</text>
  </threadedComment>
  <threadedComment ref="CJ4" dT="2024-02-27T03:24:48.24" personId="{369DAFB1-6771-44A0-9031-202BD61C6CC7}" id="{32126470-47D7-48ED-B0FF-B7F77579C2C6}">
    <text xml:space="preserve">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
</text>
  </threadedComment>
  <threadedComment ref="IE4" dT="2024-02-27T04:23:16.01" personId="{E8CCDCD8-8E1F-4B07-BB4E-EAA3A80585CB}" id="{423665AA-0FB8-4A6B-8202-251CB6646F50}">
    <text>El auditor corta las reservas de probadas en diciembre de 2031, por lo cual trae la cola a Probables desde enero de 2032. Como PlanningSpace corta más adelante, no trae dicha cola</text>
  </threadedComment>
  <threadedComment ref="IF4" dT="2024-02-27T04:24:16.63" personId="{E8CCDCD8-8E1F-4B07-BB4E-EAA3A80585CB}" id="{7D1909C1-B4E8-40D2-99E6-5FB592612B41}">
    <text>PlanningSpace, al calcular el flujo de caja mensualizado, determina que el límite económico es julio de 2033. En cambio el auditor, al hacer el cálculo anualizado, corta en diciembre de 2032</text>
  </threadedComment>
  <threadedComment ref="NZ4" dT="2024-02-27T04:30:22.27" personId="{E8CCDCD8-8E1F-4B07-BB4E-EAA3A80585CB}" id="{B3430717-75E4-41B6-A4B9-D686C7123710}">
    <text>El auditor no considera el cambio de WI en diciembre del 2031 (el 21 de diciembre) para el cálculo del WI de ese año</text>
  </threadedComment>
  <threadedComment ref="OG4" dT="2024-02-18T23:31:08.76" personId="{E8CCDCD8-8E1F-4B07-BB4E-EAA3A80585CB}" id="{185F81EB-CC5A-4093-AE70-5930C863032A}">
    <text>El auditor cortó el EL de probadas en diciembre de 2038 y PS en octubre 2038, por lo cual el PS trae un mes adicional de colas</text>
  </threadedComment>
  <threadedComment ref="OK4" dT="2024-02-19T14:42:34.14" personId="{E8CCDCD8-8E1F-4B07-BB4E-EAA3A80585CB}" id="{467CD750-35CE-43AC-AA7D-681BCCBA7745}">
    <text xml:space="preserve">El auditor hace el cálculo del límite económico tomando el flujo de caja anual, mientras que PlanningSpace lo hace mensualmente. Por esta razón el auditor corta en diciembre 2042 mientras que en PlanningSpace corta en mayo 2042
</text>
  </threadedComment>
  <threadedComment ref="AN7" dT="2024-02-19T14:33:46.38" personId="{E8CCDCD8-8E1F-4B07-BB4E-EAA3A80585CB}" id="{94BCC2B9-DCBC-4726-BB2E-D956437176EE}">
    <text>Cambios importantes en la curva. El auditor toma el % de regalías promedio del año, y PlanningSpace calcula el % mes a mes y lo aplica</text>
  </threadedComment>
  <threadedComment ref="NZ7" dT="2024-02-27T04:29:26.25" personId="{E8CCDCD8-8E1F-4B07-BB4E-EAA3A80585CB}" id="{E8D803B5-E683-4601-93EA-74C524A52051}">
    <text>El auditor no considera el pago de extension royalties los 10 días del mes de diciembre luego de la fecha de finalización del contrato</text>
  </threadedComment>
  <threadedComment ref="B13" dT="2024-02-16T18:42:03.81" personId="{E8CCDCD8-8E1F-4B07-BB4E-EAA3A80585CB}" id="{9221E3EE-8604-4768-BC8F-BBC4F367BD6E}">
    <text>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AN13" dT="2024-02-16T19:49:12.56" personId="{369DAFB1-6771-44A0-9031-202BD61C6CC7}" id="{634F85C2-930C-44BD-BED6-02594E8B26A4}">
    <text>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BZ13" dT="2024-02-27T03:25:17.69" personId="{369DAFB1-6771-44A0-9031-202BD61C6CC7}" id="{CB47723D-2D30-4E73-AC4D-47C771B5F15D}">
    <text xml:space="preserve">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
</text>
  </threadedComment>
  <threadedComment ref="IE13" dT="2024-02-27T04:25:31.50" personId="{E8CCDCD8-8E1F-4B07-BB4E-EAA3A80585CB}" id="{3420913B-1319-437F-997B-2BDBE447957F}">
    <text>El auditor, al cortar antes las reservas de Probadas, asigna el pago del OPEX fijo a Probables. Como PS corta mucho después, no asigna OPEX fijo a probables</text>
  </threadedComment>
  <threadedComment ref="B16" dT="2024-02-27T03:23:26.57" personId="{369DAFB1-6771-44A0-9031-202BD61C6CC7}" id="{D2EF1578-8FD2-4105-A756-EF5644E63E57}">
    <text>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AN16" dT="2024-02-27T03:25:39.13" personId="{369DAFB1-6771-44A0-9031-202BD61C6CC7}" id="{615D5276-06D5-4184-A900-D025B965B03A}">
    <text>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BZ16" dT="2024-02-27T03:25:29.47" personId="{369DAFB1-6771-44A0-9031-202BD61C6CC7}" id="{45F9C39A-B957-48EB-9BD4-86DB18A02654}">
    <text xml:space="preserve">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
</text>
  </threadedComment>
  <threadedComment ref="IE16" dT="2024-02-27T04:25:52.43" personId="{E8CCDCD8-8E1F-4B07-BB4E-EAA3A80585CB}" id="{8B5C516B-4A5A-4B77-A6FA-070403A3BF80}">
    <text>El auditor, al cortar antes las reservas de Probadas, asigna el pago del OPEX semifijo a Probables. Como PS corta mucho después, no asigna OPEX semifijo a probables</text>
  </threadedComment>
  <threadedComment ref="B19" dT="2024-02-16T18:47:43.70" personId="{E8CCDCD8-8E1F-4B07-BB4E-EAA3A80585CB}" id="{D9548883-15FD-4EC6-838C-1ED7A0B41A73}">
    <text>El conteo de pozos es variable mes a mes, dando un promedio anual de 33.58 pozos al año.
El auditor toma el máximo número de pozos del año, que fue 2
34, para calcular el OPEX por pozo. En cambio PS hace el cálculo mes a mes y el número de pozos activos cambia, promediando el mencionado. Esta diferencia se evidencia en otros períodos siguientes</text>
  </threadedComment>
  <threadedComment ref="HV19" dT="2024-02-18T23:28:13.73" personId="{E8CCDCD8-8E1F-4B07-BB4E-EAA3A80585CB}" id="{090372CE-E3C3-4853-A4B8-E244E17983EB}">
    <text xml:space="preserve">El conteo de pozos es variable mes a mes, dando un promedio anual de 4.58 pozos al año.
El auditor toma el máximo número de pozos del año, que fue 7, para calcular el OPEX por pozo. En cambio PS hace el cálculo mes a mes y el número de pozos activos cambia, promediando el mencionado. Esta diferencia se evidencia en otros períodos siguientes
</text>
  </threadedComment>
  <threadedComment ref="NR19" dT="2024-02-27T04:31:18.31" personId="{E8CCDCD8-8E1F-4B07-BB4E-EAA3A80585CB}" id="{2BB79548-91B4-494E-9808-1D606380102D}">
    <text>Difernecias en conteos de pozos. PS toma un promedio de 1.75 al año y el auditor toma 2. Esto ocurre en otros meses</text>
  </threadedComment>
  <threadedComment ref="B22" dT="2024-02-18T23:22:49.39" personId="{E8CCDCD8-8E1F-4B07-BB4E-EAA3A80585CB}" id="{5D0AF4FF-BF6C-4463-A5FE-10FFFDCA342C}">
    <text>Diferencias se arrastran por explicaciones de puntos anteriores</text>
  </threadedComment>
  <threadedComment ref="AN22" dT="2024-02-18T23:26:21.34" personId="{E8CCDCD8-8E1F-4B07-BB4E-EAA3A80585CB}" id="{98A8644C-2883-4750-B977-F46CA86E345D}">
    <text>Diferencias arrastradas de los comentarios anteriores</text>
  </threadedComment>
  <threadedComment ref="HV22" dT="2024-02-18T23:28:32.73" personId="{E8CCDCD8-8E1F-4B07-BB4E-EAA3A80585CB}" id="{487AEDAE-9D59-4C2F-B0AC-8A483E702367}">
    <text>Diferencias arrastradas de lo antes explicado</text>
  </threadedComment>
  <threadedComment ref="H31" dT="2024-02-27T03:22:44.53" personId="{369DAFB1-6771-44A0-9031-202BD61C6CC7}" id="{41FB26E2-C7F0-4BE0-B8B4-4949551A9DCE}">
    <text>Diferencias en la fecha de aplicación del abando por diferencias en las fechas de límite económico. Los abandonos están OK los montos</text>
  </threadedComment>
  <threadedComment ref="IL31" dT="2024-02-19T14:38:58.05" personId="{E8CCDCD8-8E1F-4B07-BB4E-EAA3A80585CB}" id="{1A396680-6D97-4E45-9CBF-A0DE43E16948}">
    <text xml:space="preserve">El auditor aplica el 100% del Abandono en la fecha de EL, en cambio PS lo asigna 12 meses después por requerimiento de ECP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22553-B68D-4FC8-9EBF-2B0555B292C0}">
  <sheetPr codeName="Hoja5"/>
  <dimension ref="A1:H26"/>
  <sheetViews>
    <sheetView workbookViewId="0">
      <selection activeCell="B21" sqref="B21"/>
    </sheetView>
  </sheetViews>
  <sheetFormatPr defaultColWidth="11.42578125" defaultRowHeight="15.75" x14ac:dyDescent="0.3"/>
  <cols>
    <col min="1" max="1" width="4.7109375" style="15" customWidth="1"/>
    <col min="2" max="2" width="11.42578125" style="13" customWidth="1"/>
    <col min="3" max="7" width="11.42578125" style="13"/>
    <col min="8" max="8" width="49.85546875" style="13" customWidth="1"/>
    <col min="9" max="16384" width="11.42578125" style="13"/>
  </cols>
  <sheetData>
    <row r="1" spans="1:8" ht="16.5" thickBot="1" x14ac:dyDescent="0.35">
      <c r="A1" s="82" t="s">
        <v>97</v>
      </c>
      <c r="B1" s="83"/>
      <c r="C1" s="83"/>
      <c r="D1" s="83"/>
      <c r="E1" s="84"/>
    </row>
    <row r="2" spans="1:8" s="18" customFormat="1" x14ac:dyDescent="0.25">
      <c r="A2" s="17">
        <v>1</v>
      </c>
      <c r="B2" s="85" t="s">
        <v>61</v>
      </c>
      <c r="C2" s="85"/>
      <c r="D2" s="85"/>
      <c r="E2" s="86"/>
    </row>
    <row r="3" spans="1:8" s="18" customFormat="1" x14ac:dyDescent="0.25">
      <c r="A3" s="19">
        <v>2</v>
      </c>
      <c r="B3" s="87" t="s">
        <v>44</v>
      </c>
      <c r="C3" s="87"/>
      <c r="D3" s="87"/>
      <c r="E3" s="88"/>
    </row>
    <row r="4" spans="1:8" s="18" customFormat="1" ht="34.5" customHeight="1" x14ac:dyDescent="0.25">
      <c r="A4" s="19">
        <v>3</v>
      </c>
      <c r="B4" s="87" t="s">
        <v>45</v>
      </c>
      <c r="C4" s="87"/>
      <c r="D4" s="87"/>
      <c r="E4" s="88"/>
    </row>
    <row r="5" spans="1:8" s="18" customFormat="1" ht="16.5" thickBot="1" x14ac:dyDescent="0.3">
      <c r="A5" s="20">
        <v>4</v>
      </c>
      <c r="B5" s="89" t="s">
        <v>46</v>
      </c>
      <c r="C5" s="89"/>
      <c r="D5" s="89"/>
      <c r="E5" s="90"/>
    </row>
    <row r="6" spans="1:8" ht="16.5" thickBot="1" x14ac:dyDescent="0.35"/>
    <row r="7" spans="1:8" ht="16.5" thickBot="1" x14ac:dyDescent="0.35">
      <c r="A7" s="82" t="s">
        <v>96</v>
      </c>
      <c r="B7" s="83"/>
      <c r="C7" s="83"/>
      <c r="D7" s="83"/>
      <c r="E7" s="84"/>
    </row>
    <row r="8" spans="1:8" x14ac:dyDescent="0.3">
      <c r="A8" s="17">
        <v>1</v>
      </c>
      <c r="B8" s="85" t="s">
        <v>92</v>
      </c>
      <c r="C8" s="85"/>
      <c r="D8" s="85"/>
      <c r="E8" s="86"/>
    </row>
    <row r="9" spans="1:8" x14ac:dyDescent="0.3">
      <c r="A9" s="19">
        <v>2</v>
      </c>
      <c r="B9" s="87" t="s">
        <v>93</v>
      </c>
      <c r="C9" s="87"/>
      <c r="D9" s="87"/>
      <c r="E9" s="88"/>
    </row>
    <row r="10" spans="1:8" x14ac:dyDescent="0.3">
      <c r="A10" s="19">
        <v>3</v>
      </c>
      <c r="B10" s="87" t="s">
        <v>94</v>
      </c>
      <c r="C10" s="87"/>
      <c r="D10" s="87"/>
      <c r="E10" s="88"/>
    </row>
    <row r="11" spans="1:8" x14ac:dyDescent="0.3">
      <c r="A11" s="19">
        <v>4</v>
      </c>
      <c r="B11" s="91" t="s">
        <v>95</v>
      </c>
      <c r="C11" s="91"/>
      <c r="D11" s="91"/>
      <c r="E11" s="92"/>
    </row>
    <row r="12" spans="1:8" ht="16.5" thickBot="1" x14ac:dyDescent="0.35">
      <c r="A12" s="20">
        <v>5</v>
      </c>
      <c r="B12" s="89" t="s">
        <v>98</v>
      </c>
      <c r="C12" s="89"/>
      <c r="D12" s="89"/>
      <c r="E12" s="90"/>
    </row>
    <row r="14" spans="1:8" ht="16.5" thickBot="1" x14ac:dyDescent="0.35"/>
    <row r="15" spans="1:8" x14ac:dyDescent="0.3">
      <c r="A15" s="50" t="s">
        <v>125</v>
      </c>
      <c r="B15" s="51"/>
      <c r="C15" s="51"/>
      <c r="D15" s="51"/>
      <c r="E15" s="51"/>
      <c r="F15" s="51"/>
      <c r="G15" s="51"/>
      <c r="H15" s="52"/>
    </row>
    <row r="16" spans="1:8" x14ac:dyDescent="0.3">
      <c r="A16" s="53"/>
      <c r="B16" s="13" t="s">
        <v>126</v>
      </c>
      <c r="C16" s="54"/>
      <c r="D16" s="54"/>
      <c r="E16" s="54"/>
      <c r="F16" s="54"/>
      <c r="G16" s="54"/>
      <c r="H16" s="55"/>
    </row>
    <row r="17" spans="1:8" ht="15" customHeight="1" x14ac:dyDescent="0.3">
      <c r="A17" s="53"/>
      <c r="B17" s="56" t="s">
        <v>127</v>
      </c>
      <c r="C17" s="54"/>
      <c r="D17" s="54"/>
      <c r="E17" s="54"/>
      <c r="F17" s="54"/>
      <c r="G17" s="54"/>
      <c r="H17" s="57"/>
    </row>
    <row r="18" spans="1:8" ht="28.5" customHeight="1" thickBot="1" x14ac:dyDescent="0.35">
      <c r="A18" s="58"/>
      <c r="B18" s="59"/>
      <c r="C18" s="59"/>
      <c r="D18" s="59"/>
      <c r="E18" s="59"/>
      <c r="F18" s="59"/>
      <c r="G18" s="59"/>
      <c r="H18" s="60"/>
    </row>
    <row r="19" spans="1:8" x14ac:dyDescent="0.3">
      <c r="A19" s="50" t="s">
        <v>123</v>
      </c>
      <c r="B19" s="51"/>
      <c r="C19" s="51"/>
      <c r="D19" s="51"/>
      <c r="E19" s="51"/>
      <c r="F19" s="51"/>
      <c r="G19" s="51"/>
      <c r="H19" s="61"/>
    </row>
    <row r="20" spans="1:8" ht="27" customHeight="1" x14ac:dyDescent="0.3">
      <c r="A20" s="53"/>
      <c r="B20" s="13" t="s">
        <v>1997</v>
      </c>
      <c r="C20" s="54"/>
      <c r="D20" s="54"/>
      <c r="E20" s="54"/>
      <c r="F20" s="54"/>
      <c r="G20" s="54"/>
      <c r="H20" s="55"/>
    </row>
    <row r="21" spans="1:8" ht="17.25" customHeight="1" x14ac:dyDescent="0.3">
      <c r="A21" s="53"/>
      <c r="B21" s="56" t="s">
        <v>1998</v>
      </c>
      <c r="C21" s="54"/>
      <c r="D21" s="54"/>
      <c r="E21" s="54"/>
      <c r="F21" s="54"/>
      <c r="G21" s="54"/>
      <c r="H21" s="55"/>
    </row>
    <row r="22" spans="1:8" ht="28.5" customHeight="1" thickBot="1" x14ac:dyDescent="0.35">
      <c r="A22" s="58"/>
      <c r="B22" s="59"/>
      <c r="C22" s="59"/>
      <c r="D22" s="59"/>
      <c r="E22" s="59"/>
      <c r="F22" s="59"/>
      <c r="G22" s="59"/>
      <c r="H22" s="60"/>
    </row>
    <row r="23" spans="1:8" ht="9.75" customHeight="1" x14ac:dyDescent="0.3">
      <c r="A23" s="62"/>
      <c r="B23" s="51"/>
      <c r="C23" s="51"/>
      <c r="D23" s="51"/>
      <c r="E23" s="51"/>
      <c r="F23" s="51"/>
      <c r="G23" s="51"/>
      <c r="H23" s="61"/>
    </row>
    <row r="24" spans="1:8" x14ac:dyDescent="0.3">
      <c r="A24" s="53"/>
      <c r="B24" s="54"/>
      <c r="C24" s="54"/>
      <c r="D24" s="54"/>
      <c r="E24" s="54"/>
      <c r="F24" s="54"/>
      <c r="G24" s="54"/>
      <c r="H24" s="55"/>
    </row>
    <row r="25" spans="1:8" x14ac:dyDescent="0.3">
      <c r="A25" s="53"/>
      <c r="B25" s="54"/>
      <c r="C25" s="54"/>
      <c r="D25" s="54"/>
      <c r="E25" s="54"/>
      <c r="F25" s="54"/>
      <c r="G25" s="54"/>
      <c r="H25" s="55"/>
    </row>
    <row r="26" spans="1:8" ht="6" customHeight="1" thickBot="1" x14ac:dyDescent="0.35">
      <c r="A26" s="58"/>
      <c r="B26" s="59"/>
      <c r="C26" s="59"/>
      <c r="D26" s="59"/>
      <c r="E26" s="59"/>
      <c r="F26" s="59"/>
      <c r="G26" s="59"/>
      <c r="H26" s="60"/>
    </row>
  </sheetData>
  <mergeCells count="11">
    <mergeCell ref="A7:E7"/>
    <mergeCell ref="B8:E8"/>
    <mergeCell ref="B9:E9"/>
    <mergeCell ref="B10:E10"/>
    <mergeCell ref="B12:E12"/>
    <mergeCell ref="B11:E11"/>
    <mergeCell ref="A1:E1"/>
    <mergeCell ref="B2:E2"/>
    <mergeCell ref="B3:E3"/>
    <mergeCell ref="B4:E4"/>
    <mergeCell ref="B5:E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doPS">
                <anchor moveWithCells="1" sizeWithCells="1">
                  <from>
                    <xdr:col>1</xdr:col>
                    <xdr:colOff>9525</xdr:colOff>
                    <xdr:row>20</xdr:row>
                    <xdr:rowOff>19050</xdr:rowOff>
                  </from>
                  <to>
                    <xdr:col>4</xdr:col>
                    <xdr:colOff>742950</xdr:colOff>
                    <xdr:row>21</xdr:row>
                    <xdr:rowOff>304800</xdr:rowOff>
                  </to>
                </anchor>
              </controlPr>
            </control>
          </mc:Choice>
        </mc:AlternateContent>
        <mc:AlternateContent xmlns:mc="http://schemas.openxmlformats.org/markup-compatibility/2006">
          <mc:Choice Requires="x14">
            <control shapeId="1026" r:id="rId5" name="Button 2">
              <controlPr defaultSize="0" print="0" autoFill="0" autoPict="0" macro="[0]!TodoFC">
                <anchor moveWithCells="1" sizeWithCells="1">
                  <from>
                    <xdr:col>0</xdr:col>
                    <xdr:colOff>314325</xdr:colOff>
                    <xdr:row>16</xdr:row>
                    <xdr:rowOff>19050</xdr:rowOff>
                  </from>
                  <to>
                    <xdr:col>4</xdr:col>
                    <xdr:colOff>752475</xdr:colOff>
                    <xdr:row>17</xdr:row>
                    <xdr:rowOff>276225</xdr:rowOff>
                  </to>
                </anchor>
              </controlPr>
            </control>
          </mc:Choice>
        </mc:AlternateContent>
        <mc:AlternateContent xmlns:mc="http://schemas.openxmlformats.org/markup-compatibility/2006">
          <mc:Choice Requires="x14">
            <control shapeId="1027" r:id="rId6" name="Button 3">
              <controlPr defaultSize="0" print="0" autoFill="0" autoPict="0" macro="[0]!DuplicarHojaConValores">
                <anchor moveWithCells="1" sizeWithCells="1">
                  <from>
                    <xdr:col>1</xdr:col>
                    <xdr:colOff>0</xdr:colOff>
                    <xdr:row>22</xdr:row>
                    <xdr:rowOff>190500</xdr:rowOff>
                  </from>
                  <to>
                    <xdr:col>4</xdr:col>
                    <xdr:colOff>752475</xdr:colOff>
                    <xdr:row>25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40CD3-F5B8-40B5-9959-BB2774A0DE78}">
  <sheetPr codeName="Hoja1">
    <tabColor rgb="FFFF0000"/>
  </sheetPr>
  <dimension ref="A1:PG2642"/>
  <sheetViews>
    <sheetView tabSelected="1" zoomScale="76" zoomScaleNormal="100" workbookViewId="0">
      <selection activeCell="K8" sqref="K8"/>
    </sheetView>
  </sheetViews>
  <sheetFormatPr defaultColWidth="10.28515625" defaultRowHeight="15.75" outlineLevelRow="1" outlineLevelCol="1" x14ac:dyDescent="0.3"/>
  <cols>
    <col min="1" max="1" width="38.85546875" style="13" customWidth="1"/>
    <col min="2" max="2" width="25.5703125" style="13" customWidth="1" outlineLevel="1"/>
    <col min="3" max="3" width="18.42578125" style="13" customWidth="1" outlineLevel="1"/>
    <col min="4" max="4" width="16.85546875" style="13" customWidth="1" outlineLevel="1"/>
    <col min="5" max="5" width="15.7109375" style="13" customWidth="1" outlineLevel="1"/>
    <col min="6" max="6" width="14" style="13" customWidth="1" outlineLevel="1"/>
    <col min="7" max="12" width="14.7109375" style="13" customWidth="1" outlineLevel="1"/>
    <col min="13" max="13" width="16.7109375" style="13" customWidth="1" outlineLevel="1"/>
    <col min="14" max="14" width="12.85546875" style="13" customWidth="1" outlineLevel="1"/>
    <col min="15" max="38" width="10.42578125" style="13" customWidth="1" outlineLevel="1"/>
    <col min="39" max="39" width="19.140625" style="13" customWidth="1"/>
    <col min="40" max="76" width="16.7109375" style="13" hidden="1" customWidth="1" outlineLevel="1"/>
    <col min="77" max="77" width="16.7109375" style="13" customWidth="1" collapsed="1"/>
    <col min="78" max="114" width="16.7109375" style="13" hidden="1" customWidth="1" outlineLevel="1"/>
    <col min="115" max="115" width="16.7109375" style="13" customWidth="1" collapsed="1"/>
    <col min="116" max="152" width="16.7109375" style="13" hidden="1" customWidth="1" outlineLevel="1"/>
    <col min="153" max="153" width="16.7109375" style="13" customWidth="1" collapsed="1"/>
    <col min="154" max="190" width="16.7109375" style="13" hidden="1" customWidth="1" outlineLevel="1"/>
    <col min="191" max="191" width="16.7109375" style="13" customWidth="1" collapsed="1"/>
    <col min="192" max="228" width="16.7109375" style="13" hidden="1" customWidth="1" outlineLevel="1"/>
    <col min="229" max="229" width="16.7109375" style="13" customWidth="1" collapsed="1"/>
    <col min="230" max="230" width="13.85546875" style="13" hidden="1" customWidth="1" outlineLevel="1"/>
    <col min="231" max="238" width="15.140625" style="13" hidden="1" customWidth="1" outlineLevel="1"/>
    <col min="239" max="266" width="13.85546875" style="13" hidden="1" customWidth="1" outlineLevel="1"/>
    <col min="267" max="267" width="16.7109375" style="13" customWidth="1" collapsed="1"/>
    <col min="268" max="304" width="16.7109375" style="13" hidden="1" customWidth="1" outlineLevel="1"/>
    <col min="305" max="305" width="16.7109375" style="13" customWidth="1" collapsed="1"/>
    <col min="306" max="342" width="16.7109375" style="13" hidden="1" customWidth="1" outlineLevel="1"/>
    <col min="343" max="343" width="16.7109375" style="13" customWidth="1" collapsed="1"/>
    <col min="344" max="380" width="16.7109375" style="13" hidden="1" customWidth="1" outlineLevel="1"/>
    <col min="381" max="381" width="16.7109375" style="13" customWidth="1" collapsed="1"/>
    <col min="382" max="418" width="16.7109375" style="13" hidden="1" customWidth="1" outlineLevel="1"/>
    <col min="419" max="419" width="16.7109375" style="13" customWidth="1" collapsed="1"/>
    <col min="420" max="420" width="10.28515625" style="13"/>
    <col min="421" max="421" width="15.42578125" style="13" customWidth="1"/>
    <col min="422" max="422" width="10.28515625" style="13"/>
    <col min="423" max="423" width="14" style="13" bestFit="1" customWidth="1"/>
    <col min="424" max="16384" width="10.28515625" style="13"/>
  </cols>
  <sheetData>
    <row r="1" spans="1:423" s="11" customFormat="1" ht="15.75" customHeight="1" thickBot="1" x14ac:dyDescent="0.3">
      <c r="A1" s="48" t="s">
        <v>0</v>
      </c>
      <c r="B1" s="159" t="s">
        <v>1</v>
      </c>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60"/>
      <c r="AN1" s="161" t="s">
        <v>2</v>
      </c>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60"/>
      <c r="BZ1" s="111" t="s">
        <v>3</v>
      </c>
      <c r="CA1" s="112"/>
      <c r="CB1" s="112"/>
      <c r="CC1" s="112"/>
      <c r="CD1" s="112"/>
      <c r="CE1" s="112"/>
      <c r="CF1" s="112"/>
      <c r="CG1" s="112"/>
      <c r="CH1" s="112"/>
      <c r="CI1" s="112"/>
      <c r="CJ1" s="112"/>
      <c r="CK1" s="112"/>
      <c r="CL1" s="112"/>
      <c r="CM1" s="112"/>
      <c r="CN1" s="112"/>
      <c r="CO1" s="112"/>
      <c r="CP1" s="112"/>
      <c r="CQ1" s="112"/>
      <c r="CR1" s="112"/>
      <c r="CS1" s="112"/>
      <c r="CT1" s="112"/>
      <c r="CU1" s="112"/>
      <c r="CV1" s="112"/>
      <c r="CW1" s="112"/>
      <c r="CX1" s="112"/>
      <c r="CY1" s="112"/>
      <c r="CZ1" s="112"/>
      <c r="DA1" s="112"/>
      <c r="DB1" s="112"/>
      <c r="DC1" s="112"/>
      <c r="DD1" s="112"/>
      <c r="DE1" s="112"/>
      <c r="DF1" s="112"/>
      <c r="DG1" s="112"/>
      <c r="DH1" s="112"/>
      <c r="DI1" s="112"/>
      <c r="DJ1" s="112"/>
      <c r="DK1" s="113"/>
      <c r="DL1" s="147" t="s">
        <v>99</v>
      </c>
      <c r="DM1" s="148"/>
      <c r="DN1" s="148"/>
      <c r="DO1" s="148"/>
      <c r="DP1" s="148"/>
      <c r="DQ1" s="148"/>
      <c r="DR1" s="148"/>
      <c r="DS1" s="148"/>
      <c r="DT1" s="148"/>
      <c r="DU1" s="148"/>
      <c r="DV1" s="148"/>
      <c r="DW1" s="148"/>
      <c r="DX1" s="148"/>
      <c r="DY1" s="148"/>
      <c r="DZ1" s="148"/>
      <c r="EA1" s="148"/>
      <c r="EB1" s="148"/>
      <c r="EC1" s="148"/>
      <c r="ED1" s="148"/>
      <c r="EE1" s="148"/>
      <c r="EF1" s="148"/>
      <c r="EG1" s="148"/>
      <c r="EH1" s="148"/>
      <c r="EI1" s="148"/>
      <c r="EJ1" s="148"/>
      <c r="EK1" s="148"/>
      <c r="EL1" s="148"/>
      <c r="EM1" s="148"/>
      <c r="EN1" s="148"/>
      <c r="EO1" s="148"/>
      <c r="EP1" s="148"/>
      <c r="EQ1" s="148"/>
      <c r="ER1" s="148"/>
      <c r="ES1" s="148"/>
      <c r="ET1" s="148"/>
      <c r="EU1" s="148"/>
      <c r="EV1" s="148"/>
      <c r="EW1" s="149"/>
      <c r="EX1" s="153" t="s">
        <v>100</v>
      </c>
      <c r="EY1" s="154"/>
      <c r="EZ1" s="154"/>
      <c r="FA1" s="154"/>
      <c r="FB1" s="154"/>
      <c r="FC1" s="154"/>
      <c r="FD1" s="154"/>
      <c r="FE1" s="154"/>
      <c r="FF1" s="154"/>
      <c r="FG1" s="154"/>
      <c r="FH1" s="154"/>
      <c r="FI1" s="154"/>
      <c r="FJ1" s="154"/>
      <c r="FK1" s="154"/>
      <c r="FL1" s="154"/>
      <c r="FM1" s="154"/>
      <c r="FN1" s="154"/>
      <c r="FO1" s="154"/>
      <c r="FP1" s="154"/>
      <c r="FQ1" s="154"/>
      <c r="FR1" s="154"/>
      <c r="FS1" s="154"/>
      <c r="FT1" s="154"/>
      <c r="FU1" s="154"/>
      <c r="FV1" s="154"/>
      <c r="FW1" s="154"/>
      <c r="FX1" s="154"/>
      <c r="FY1" s="154"/>
      <c r="FZ1" s="154"/>
      <c r="GA1" s="154"/>
      <c r="GB1" s="154"/>
      <c r="GC1" s="154"/>
      <c r="GD1" s="154"/>
      <c r="GE1" s="154"/>
      <c r="GF1" s="154"/>
      <c r="GG1" s="154"/>
      <c r="GH1" s="154"/>
      <c r="GI1" s="155"/>
      <c r="GJ1" s="153" t="s">
        <v>101</v>
      </c>
      <c r="GK1" s="154"/>
      <c r="GL1" s="154"/>
      <c r="GM1" s="154"/>
      <c r="GN1" s="154"/>
      <c r="GO1" s="154"/>
      <c r="GP1" s="154"/>
      <c r="GQ1" s="154"/>
      <c r="GR1" s="154"/>
      <c r="GS1" s="154"/>
      <c r="GT1" s="154"/>
      <c r="GU1" s="154"/>
      <c r="GV1" s="154"/>
      <c r="GW1" s="154"/>
      <c r="GX1" s="154"/>
      <c r="GY1" s="154"/>
      <c r="GZ1" s="154"/>
      <c r="HA1" s="154"/>
      <c r="HB1" s="154"/>
      <c r="HC1" s="154"/>
      <c r="HD1" s="154"/>
      <c r="HE1" s="154"/>
      <c r="HF1" s="154"/>
      <c r="HG1" s="154"/>
      <c r="HH1" s="154"/>
      <c r="HI1" s="154"/>
      <c r="HJ1" s="154"/>
      <c r="HK1" s="154"/>
      <c r="HL1" s="154"/>
      <c r="HM1" s="154"/>
      <c r="HN1" s="154"/>
      <c r="HO1" s="154"/>
      <c r="HP1" s="154"/>
      <c r="HQ1" s="154"/>
      <c r="HR1" s="154"/>
      <c r="HS1" s="154"/>
      <c r="HT1" s="154"/>
      <c r="HU1" s="155"/>
      <c r="HV1" s="156" t="s">
        <v>4</v>
      </c>
      <c r="HW1" s="157"/>
      <c r="HX1" s="157"/>
      <c r="HY1" s="157"/>
      <c r="HZ1" s="157"/>
      <c r="IA1" s="157"/>
      <c r="IB1" s="157"/>
      <c r="IC1" s="157"/>
      <c r="ID1" s="157"/>
      <c r="IE1" s="157"/>
      <c r="IF1" s="157"/>
      <c r="IG1" s="157"/>
      <c r="IH1" s="157"/>
      <c r="II1" s="157"/>
      <c r="IJ1" s="157"/>
      <c r="IK1" s="157"/>
      <c r="IL1" s="157"/>
      <c r="IM1" s="157"/>
      <c r="IN1" s="157"/>
      <c r="IO1" s="157"/>
      <c r="IP1" s="157"/>
      <c r="IQ1" s="157"/>
      <c r="IR1" s="157"/>
      <c r="IS1" s="157"/>
      <c r="IT1" s="157"/>
      <c r="IU1" s="157"/>
      <c r="IV1" s="157"/>
      <c r="IW1" s="157"/>
      <c r="IX1" s="157"/>
      <c r="IY1" s="157"/>
      <c r="IZ1" s="157"/>
      <c r="JA1" s="157"/>
      <c r="JB1" s="157"/>
      <c r="JC1" s="157"/>
      <c r="JD1" s="157"/>
      <c r="JE1" s="157"/>
      <c r="JF1" s="157"/>
      <c r="JG1" s="158"/>
      <c r="JH1" s="150" t="s">
        <v>102</v>
      </c>
      <c r="JI1" s="151"/>
      <c r="JJ1" s="151"/>
      <c r="JK1" s="151"/>
      <c r="JL1" s="151"/>
      <c r="JM1" s="151"/>
      <c r="JN1" s="151"/>
      <c r="JO1" s="151"/>
      <c r="JP1" s="151"/>
      <c r="JQ1" s="151"/>
      <c r="JR1" s="151"/>
      <c r="JS1" s="151"/>
      <c r="JT1" s="151"/>
      <c r="JU1" s="151"/>
      <c r="JV1" s="151"/>
      <c r="JW1" s="151"/>
      <c r="JX1" s="151"/>
      <c r="JY1" s="151"/>
      <c r="JZ1" s="151"/>
      <c r="KA1" s="151"/>
      <c r="KB1" s="151"/>
      <c r="KC1" s="151"/>
      <c r="KD1" s="151"/>
      <c r="KE1" s="151"/>
      <c r="KF1" s="151"/>
      <c r="KG1" s="151"/>
      <c r="KH1" s="151"/>
      <c r="KI1" s="151"/>
      <c r="KJ1" s="151"/>
      <c r="KK1" s="151"/>
      <c r="KL1" s="151"/>
      <c r="KM1" s="151"/>
      <c r="KN1" s="151"/>
      <c r="KO1" s="151"/>
      <c r="KP1" s="151"/>
      <c r="KQ1" s="151"/>
      <c r="KR1" s="151"/>
      <c r="KS1" s="152"/>
      <c r="KT1" s="147" t="s">
        <v>103</v>
      </c>
      <c r="KU1" s="148"/>
      <c r="KV1" s="148"/>
      <c r="KW1" s="148"/>
      <c r="KX1" s="148"/>
      <c r="KY1" s="148"/>
      <c r="KZ1" s="148"/>
      <c r="LA1" s="148"/>
      <c r="LB1" s="148"/>
      <c r="LC1" s="148"/>
      <c r="LD1" s="148"/>
      <c r="LE1" s="148"/>
      <c r="LF1" s="148"/>
      <c r="LG1" s="148"/>
      <c r="LH1" s="148"/>
      <c r="LI1" s="148"/>
      <c r="LJ1" s="148"/>
      <c r="LK1" s="148"/>
      <c r="LL1" s="148"/>
      <c r="LM1" s="148"/>
      <c r="LN1" s="148"/>
      <c r="LO1" s="148"/>
      <c r="LP1" s="148"/>
      <c r="LQ1" s="148"/>
      <c r="LR1" s="148"/>
      <c r="LS1" s="148"/>
      <c r="LT1" s="148"/>
      <c r="LU1" s="148"/>
      <c r="LV1" s="148"/>
      <c r="LW1" s="148"/>
      <c r="LX1" s="148"/>
      <c r="LY1" s="148"/>
      <c r="LZ1" s="148"/>
      <c r="MA1" s="148"/>
      <c r="MB1" s="148"/>
      <c r="MC1" s="148"/>
      <c r="MD1" s="148"/>
      <c r="ME1" s="149"/>
      <c r="MF1" s="147" t="s">
        <v>104</v>
      </c>
      <c r="MG1" s="148"/>
      <c r="MH1" s="148"/>
      <c r="MI1" s="148"/>
      <c r="MJ1" s="148"/>
      <c r="MK1" s="148"/>
      <c r="ML1" s="148"/>
      <c r="MM1" s="148"/>
      <c r="MN1" s="148"/>
      <c r="MO1" s="148"/>
      <c r="MP1" s="148"/>
      <c r="MQ1" s="148"/>
      <c r="MR1" s="148"/>
      <c r="MS1" s="148"/>
      <c r="MT1" s="148"/>
      <c r="MU1" s="148"/>
      <c r="MV1" s="148"/>
      <c r="MW1" s="148"/>
      <c r="MX1" s="148"/>
      <c r="MY1" s="148"/>
      <c r="MZ1" s="148"/>
      <c r="NA1" s="148"/>
      <c r="NB1" s="148"/>
      <c r="NC1" s="148"/>
      <c r="ND1" s="148"/>
      <c r="NE1" s="148"/>
      <c r="NF1" s="148"/>
      <c r="NG1" s="148"/>
      <c r="NH1" s="148"/>
      <c r="NI1" s="148"/>
      <c r="NJ1" s="148"/>
      <c r="NK1" s="148"/>
      <c r="NL1" s="148"/>
      <c r="NM1" s="148"/>
      <c r="NN1" s="148"/>
      <c r="NO1" s="148"/>
      <c r="NP1" s="148"/>
      <c r="NQ1" s="149"/>
      <c r="NR1" s="111" t="s">
        <v>34</v>
      </c>
      <c r="NS1" s="112"/>
      <c r="NT1" s="112"/>
      <c r="NU1" s="112"/>
      <c r="NV1" s="112"/>
      <c r="NW1" s="112"/>
      <c r="NX1" s="112"/>
      <c r="NY1" s="112"/>
      <c r="NZ1" s="112"/>
      <c r="OA1" s="112"/>
      <c r="OB1" s="112"/>
      <c r="OC1" s="112"/>
      <c r="OD1" s="112"/>
      <c r="OE1" s="112"/>
      <c r="OF1" s="112"/>
      <c r="OG1" s="112"/>
      <c r="OH1" s="112"/>
      <c r="OI1" s="112"/>
      <c r="OJ1" s="112"/>
      <c r="OK1" s="112"/>
      <c r="OL1" s="112"/>
      <c r="OM1" s="112"/>
      <c r="ON1" s="112"/>
      <c r="OO1" s="112"/>
      <c r="OP1" s="112"/>
      <c r="OQ1" s="112"/>
      <c r="OR1" s="112"/>
      <c r="OS1" s="112"/>
      <c r="OT1" s="112"/>
      <c r="OU1" s="112"/>
      <c r="OV1" s="112"/>
      <c r="OW1" s="112"/>
      <c r="OX1" s="112"/>
      <c r="OY1" s="112"/>
      <c r="OZ1" s="112"/>
      <c r="PA1" s="112"/>
      <c r="PB1" s="112"/>
      <c r="PC1" s="113"/>
    </row>
    <row r="2" spans="1:423" s="31" customFormat="1" ht="15.75" customHeight="1" thickBot="1" x14ac:dyDescent="0.3">
      <c r="A2" s="49" t="s">
        <v>5</v>
      </c>
      <c r="B2" s="29">
        <v>2023</v>
      </c>
      <c r="C2" s="29">
        <v>2024</v>
      </c>
      <c r="D2" s="29">
        <v>2025</v>
      </c>
      <c r="E2" s="29">
        <v>2026</v>
      </c>
      <c r="F2" s="29">
        <v>2027</v>
      </c>
      <c r="G2" s="29">
        <v>2028</v>
      </c>
      <c r="H2" s="29">
        <v>2029</v>
      </c>
      <c r="I2" s="29">
        <v>2030</v>
      </c>
      <c r="J2" s="29">
        <v>2031</v>
      </c>
      <c r="K2" s="29">
        <v>2032</v>
      </c>
      <c r="L2" s="29">
        <v>2033</v>
      </c>
      <c r="M2" s="29">
        <v>2034</v>
      </c>
      <c r="N2" s="29">
        <v>2035</v>
      </c>
      <c r="O2" s="29">
        <v>2036</v>
      </c>
      <c r="P2" s="29">
        <v>2037</v>
      </c>
      <c r="Q2" s="29">
        <v>2038</v>
      </c>
      <c r="R2" s="29">
        <v>2039</v>
      </c>
      <c r="S2" s="29">
        <v>2040</v>
      </c>
      <c r="T2" s="29">
        <v>2041</v>
      </c>
      <c r="U2" s="29">
        <v>2042</v>
      </c>
      <c r="V2" s="29">
        <v>2043</v>
      </c>
      <c r="W2" s="29">
        <v>2044</v>
      </c>
      <c r="X2" s="29">
        <v>2045</v>
      </c>
      <c r="Y2" s="29">
        <v>2046</v>
      </c>
      <c r="Z2" s="29">
        <v>2047</v>
      </c>
      <c r="AA2" s="29">
        <v>2048</v>
      </c>
      <c r="AB2" s="29">
        <v>2049</v>
      </c>
      <c r="AC2" s="29">
        <v>2050</v>
      </c>
      <c r="AD2" s="29">
        <v>2051</v>
      </c>
      <c r="AE2" s="29">
        <v>2052</v>
      </c>
      <c r="AF2" s="29">
        <v>2053</v>
      </c>
      <c r="AG2" s="29">
        <v>2054</v>
      </c>
      <c r="AH2" s="29">
        <v>2055</v>
      </c>
      <c r="AI2" s="29">
        <v>2056</v>
      </c>
      <c r="AJ2" s="29">
        <v>2057</v>
      </c>
      <c r="AK2" s="29">
        <v>2058</v>
      </c>
      <c r="AL2" s="29">
        <v>2059</v>
      </c>
      <c r="AM2" s="30" t="s">
        <v>28</v>
      </c>
      <c r="AN2" s="29">
        <v>2023</v>
      </c>
      <c r="AO2" s="29">
        <v>2024</v>
      </c>
      <c r="AP2" s="29">
        <v>2025</v>
      </c>
      <c r="AQ2" s="29">
        <v>2026</v>
      </c>
      <c r="AR2" s="29">
        <v>2027</v>
      </c>
      <c r="AS2" s="29">
        <v>2028</v>
      </c>
      <c r="AT2" s="29">
        <v>2029</v>
      </c>
      <c r="AU2" s="29">
        <v>2030</v>
      </c>
      <c r="AV2" s="29">
        <v>2031</v>
      </c>
      <c r="AW2" s="29">
        <v>2032</v>
      </c>
      <c r="AX2" s="29">
        <v>2033</v>
      </c>
      <c r="AY2" s="29">
        <v>2034</v>
      </c>
      <c r="AZ2" s="29">
        <v>2035</v>
      </c>
      <c r="BA2" s="29">
        <v>2036</v>
      </c>
      <c r="BB2" s="29">
        <v>2037</v>
      </c>
      <c r="BC2" s="29">
        <v>2038</v>
      </c>
      <c r="BD2" s="29">
        <v>2039</v>
      </c>
      <c r="BE2" s="29">
        <v>2040</v>
      </c>
      <c r="BF2" s="29">
        <v>2041</v>
      </c>
      <c r="BG2" s="29">
        <v>2042</v>
      </c>
      <c r="BH2" s="29">
        <v>2043</v>
      </c>
      <c r="BI2" s="29">
        <v>2044</v>
      </c>
      <c r="BJ2" s="29">
        <v>2045</v>
      </c>
      <c r="BK2" s="29">
        <v>2046</v>
      </c>
      <c r="BL2" s="29">
        <v>2047</v>
      </c>
      <c r="BM2" s="29">
        <v>2048</v>
      </c>
      <c r="BN2" s="29">
        <v>2049</v>
      </c>
      <c r="BO2" s="29">
        <v>2050</v>
      </c>
      <c r="BP2" s="29">
        <v>2051</v>
      </c>
      <c r="BQ2" s="29">
        <v>2052</v>
      </c>
      <c r="BR2" s="29">
        <v>2053</v>
      </c>
      <c r="BS2" s="29">
        <v>2054</v>
      </c>
      <c r="BT2" s="29">
        <v>2055</v>
      </c>
      <c r="BU2" s="29">
        <v>2056</v>
      </c>
      <c r="BV2" s="29">
        <v>2057</v>
      </c>
      <c r="BW2" s="29">
        <v>2058</v>
      </c>
      <c r="BX2" s="29">
        <v>2059</v>
      </c>
      <c r="BY2" s="30" t="s">
        <v>28</v>
      </c>
      <c r="BZ2" s="29">
        <v>2023</v>
      </c>
      <c r="CA2" s="29">
        <v>2024</v>
      </c>
      <c r="CB2" s="29">
        <v>2025</v>
      </c>
      <c r="CC2" s="29">
        <v>2026</v>
      </c>
      <c r="CD2" s="29">
        <v>2027</v>
      </c>
      <c r="CE2" s="29">
        <v>2028</v>
      </c>
      <c r="CF2" s="29">
        <v>2029</v>
      </c>
      <c r="CG2" s="29">
        <v>2030</v>
      </c>
      <c r="CH2" s="29">
        <v>2031</v>
      </c>
      <c r="CI2" s="29">
        <v>2032</v>
      </c>
      <c r="CJ2" s="29">
        <v>2033</v>
      </c>
      <c r="CK2" s="29">
        <v>2034</v>
      </c>
      <c r="CL2" s="29">
        <v>2035</v>
      </c>
      <c r="CM2" s="29">
        <v>2036</v>
      </c>
      <c r="CN2" s="29">
        <v>2037</v>
      </c>
      <c r="CO2" s="29">
        <v>2038</v>
      </c>
      <c r="CP2" s="29">
        <v>2039</v>
      </c>
      <c r="CQ2" s="29">
        <v>2040</v>
      </c>
      <c r="CR2" s="29">
        <v>2041</v>
      </c>
      <c r="CS2" s="29">
        <v>2042</v>
      </c>
      <c r="CT2" s="29">
        <v>2043</v>
      </c>
      <c r="CU2" s="29">
        <v>2044</v>
      </c>
      <c r="CV2" s="29">
        <v>2045</v>
      </c>
      <c r="CW2" s="29">
        <v>2046</v>
      </c>
      <c r="CX2" s="29">
        <v>2047</v>
      </c>
      <c r="CY2" s="29">
        <v>2048</v>
      </c>
      <c r="CZ2" s="29">
        <v>2049</v>
      </c>
      <c r="DA2" s="29">
        <v>2050</v>
      </c>
      <c r="DB2" s="29">
        <v>2051</v>
      </c>
      <c r="DC2" s="29">
        <v>2052</v>
      </c>
      <c r="DD2" s="29">
        <v>2053</v>
      </c>
      <c r="DE2" s="29">
        <v>2054</v>
      </c>
      <c r="DF2" s="29">
        <v>2055</v>
      </c>
      <c r="DG2" s="29">
        <v>2056</v>
      </c>
      <c r="DH2" s="29">
        <v>2057</v>
      </c>
      <c r="DI2" s="29">
        <v>2058</v>
      </c>
      <c r="DJ2" s="29">
        <v>2059</v>
      </c>
      <c r="DK2" s="30" t="s">
        <v>28</v>
      </c>
      <c r="DL2" s="64">
        <v>2023</v>
      </c>
      <c r="DM2" s="64">
        <v>2024</v>
      </c>
      <c r="DN2" s="64">
        <v>2025</v>
      </c>
      <c r="DO2" s="64">
        <v>2026</v>
      </c>
      <c r="DP2" s="64">
        <v>2027</v>
      </c>
      <c r="DQ2" s="64">
        <v>2028</v>
      </c>
      <c r="DR2" s="64">
        <v>2029</v>
      </c>
      <c r="DS2" s="64">
        <v>2030</v>
      </c>
      <c r="DT2" s="64">
        <v>2031</v>
      </c>
      <c r="DU2" s="64">
        <v>2032</v>
      </c>
      <c r="DV2" s="64">
        <v>2033</v>
      </c>
      <c r="DW2" s="64">
        <v>2034</v>
      </c>
      <c r="DX2" s="64">
        <v>2035</v>
      </c>
      <c r="DY2" s="64">
        <v>2036</v>
      </c>
      <c r="DZ2" s="64">
        <v>2037</v>
      </c>
      <c r="EA2" s="64">
        <v>2038</v>
      </c>
      <c r="EB2" s="64">
        <v>2039</v>
      </c>
      <c r="EC2" s="64">
        <v>2040</v>
      </c>
      <c r="ED2" s="64">
        <v>2041</v>
      </c>
      <c r="EE2" s="64">
        <v>2042</v>
      </c>
      <c r="EF2" s="64">
        <v>2043</v>
      </c>
      <c r="EG2" s="64">
        <v>2044</v>
      </c>
      <c r="EH2" s="64">
        <v>2045</v>
      </c>
      <c r="EI2" s="64">
        <v>2046</v>
      </c>
      <c r="EJ2" s="64">
        <v>2047</v>
      </c>
      <c r="EK2" s="64">
        <v>2048</v>
      </c>
      <c r="EL2" s="64">
        <v>2049</v>
      </c>
      <c r="EM2" s="64">
        <v>2050</v>
      </c>
      <c r="EN2" s="64">
        <v>2051</v>
      </c>
      <c r="EO2" s="64">
        <v>2052</v>
      </c>
      <c r="EP2" s="64">
        <v>2053</v>
      </c>
      <c r="EQ2" s="64">
        <v>2054</v>
      </c>
      <c r="ER2" s="64">
        <v>2055</v>
      </c>
      <c r="ES2" s="64">
        <v>2056</v>
      </c>
      <c r="ET2" s="64">
        <v>2057</v>
      </c>
      <c r="EU2" s="64">
        <v>2058</v>
      </c>
      <c r="EV2" s="64">
        <v>2059</v>
      </c>
      <c r="EW2" s="65" t="s">
        <v>28</v>
      </c>
      <c r="EX2" s="64">
        <v>2023</v>
      </c>
      <c r="EY2" s="64">
        <v>2024</v>
      </c>
      <c r="EZ2" s="64">
        <v>2025</v>
      </c>
      <c r="FA2" s="64">
        <v>2026</v>
      </c>
      <c r="FB2" s="64">
        <v>2027</v>
      </c>
      <c r="FC2" s="64">
        <v>2028</v>
      </c>
      <c r="FD2" s="64">
        <v>2029</v>
      </c>
      <c r="FE2" s="64">
        <v>2030</v>
      </c>
      <c r="FF2" s="64">
        <v>2031</v>
      </c>
      <c r="FG2" s="64">
        <v>2032</v>
      </c>
      <c r="FH2" s="64">
        <v>2033</v>
      </c>
      <c r="FI2" s="64">
        <v>2034</v>
      </c>
      <c r="FJ2" s="64">
        <v>2035</v>
      </c>
      <c r="FK2" s="64">
        <v>2036</v>
      </c>
      <c r="FL2" s="64">
        <v>2037</v>
      </c>
      <c r="FM2" s="64">
        <v>2038</v>
      </c>
      <c r="FN2" s="64">
        <v>2039</v>
      </c>
      <c r="FO2" s="64">
        <v>2040</v>
      </c>
      <c r="FP2" s="64">
        <v>2041</v>
      </c>
      <c r="FQ2" s="64">
        <v>2042</v>
      </c>
      <c r="FR2" s="64">
        <v>2043</v>
      </c>
      <c r="FS2" s="64">
        <v>2044</v>
      </c>
      <c r="FT2" s="64">
        <v>2045</v>
      </c>
      <c r="FU2" s="64">
        <v>2046</v>
      </c>
      <c r="FV2" s="64">
        <v>2047</v>
      </c>
      <c r="FW2" s="64">
        <v>2048</v>
      </c>
      <c r="FX2" s="64">
        <v>2049</v>
      </c>
      <c r="FY2" s="64">
        <v>2050</v>
      </c>
      <c r="FZ2" s="64">
        <v>2051</v>
      </c>
      <c r="GA2" s="64">
        <v>2052</v>
      </c>
      <c r="GB2" s="64">
        <v>2053</v>
      </c>
      <c r="GC2" s="64">
        <v>2054</v>
      </c>
      <c r="GD2" s="64">
        <v>2055</v>
      </c>
      <c r="GE2" s="64">
        <v>2056</v>
      </c>
      <c r="GF2" s="64">
        <v>2057</v>
      </c>
      <c r="GG2" s="64">
        <v>2058</v>
      </c>
      <c r="GH2" s="64">
        <v>2059</v>
      </c>
      <c r="GI2" s="65" t="s">
        <v>28</v>
      </c>
      <c r="GJ2" s="64">
        <v>2023</v>
      </c>
      <c r="GK2" s="64">
        <v>2024</v>
      </c>
      <c r="GL2" s="64">
        <v>2025</v>
      </c>
      <c r="GM2" s="64">
        <v>2026</v>
      </c>
      <c r="GN2" s="64">
        <v>2027</v>
      </c>
      <c r="GO2" s="64">
        <v>2028</v>
      </c>
      <c r="GP2" s="64">
        <v>2029</v>
      </c>
      <c r="GQ2" s="64">
        <v>2030</v>
      </c>
      <c r="GR2" s="64">
        <v>2031</v>
      </c>
      <c r="GS2" s="64">
        <v>2032</v>
      </c>
      <c r="GT2" s="64">
        <v>2033</v>
      </c>
      <c r="GU2" s="64">
        <v>2034</v>
      </c>
      <c r="GV2" s="64">
        <v>2035</v>
      </c>
      <c r="GW2" s="64">
        <v>2036</v>
      </c>
      <c r="GX2" s="64">
        <v>2037</v>
      </c>
      <c r="GY2" s="64">
        <v>2038</v>
      </c>
      <c r="GZ2" s="64">
        <v>2039</v>
      </c>
      <c r="HA2" s="64">
        <v>2040</v>
      </c>
      <c r="HB2" s="64">
        <v>2041</v>
      </c>
      <c r="HC2" s="64">
        <v>2042</v>
      </c>
      <c r="HD2" s="64">
        <v>2043</v>
      </c>
      <c r="HE2" s="64">
        <v>2044</v>
      </c>
      <c r="HF2" s="64">
        <v>2045</v>
      </c>
      <c r="HG2" s="64">
        <v>2046</v>
      </c>
      <c r="HH2" s="64">
        <v>2047</v>
      </c>
      <c r="HI2" s="64">
        <v>2048</v>
      </c>
      <c r="HJ2" s="64">
        <v>2049</v>
      </c>
      <c r="HK2" s="64">
        <v>2050</v>
      </c>
      <c r="HL2" s="64">
        <v>2051</v>
      </c>
      <c r="HM2" s="64">
        <v>2052</v>
      </c>
      <c r="HN2" s="64">
        <v>2053</v>
      </c>
      <c r="HO2" s="64">
        <v>2054</v>
      </c>
      <c r="HP2" s="64">
        <v>2055</v>
      </c>
      <c r="HQ2" s="64">
        <v>2056</v>
      </c>
      <c r="HR2" s="64">
        <v>2057</v>
      </c>
      <c r="HS2" s="64">
        <v>2058</v>
      </c>
      <c r="HT2" s="64">
        <v>2059</v>
      </c>
      <c r="HU2" s="65" t="s">
        <v>28</v>
      </c>
      <c r="HV2" s="44">
        <v>2023</v>
      </c>
      <c r="HW2" s="29">
        <v>2024</v>
      </c>
      <c r="HX2" s="29">
        <v>2025</v>
      </c>
      <c r="HY2" s="29">
        <v>2026</v>
      </c>
      <c r="HZ2" s="29">
        <v>2027</v>
      </c>
      <c r="IA2" s="29">
        <v>2028</v>
      </c>
      <c r="IB2" s="29">
        <v>2029</v>
      </c>
      <c r="IC2" s="29">
        <v>2030</v>
      </c>
      <c r="ID2" s="29">
        <v>2031</v>
      </c>
      <c r="IE2" s="29">
        <v>2032</v>
      </c>
      <c r="IF2" s="29">
        <v>2033</v>
      </c>
      <c r="IG2" s="29">
        <v>2034</v>
      </c>
      <c r="IH2" s="29">
        <v>2035</v>
      </c>
      <c r="II2" s="29">
        <v>2036</v>
      </c>
      <c r="IJ2" s="29">
        <v>2037</v>
      </c>
      <c r="IK2" s="29">
        <v>2038</v>
      </c>
      <c r="IL2" s="29">
        <v>2039</v>
      </c>
      <c r="IM2" s="29">
        <v>2040</v>
      </c>
      <c r="IN2" s="29">
        <v>2041</v>
      </c>
      <c r="IO2" s="29">
        <v>2042</v>
      </c>
      <c r="IP2" s="29">
        <v>2043</v>
      </c>
      <c r="IQ2" s="29">
        <v>2044</v>
      </c>
      <c r="IR2" s="29">
        <v>2045</v>
      </c>
      <c r="IS2" s="29">
        <v>2046</v>
      </c>
      <c r="IT2" s="29">
        <v>2047</v>
      </c>
      <c r="IU2" s="29">
        <v>2048</v>
      </c>
      <c r="IV2" s="29">
        <v>2049</v>
      </c>
      <c r="IW2" s="29">
        <v>2050</v>
      </c>
      <c r="IX2" s="29">
        <v>2051</v>
      </c>
      <c r="IY2" s="29">
        <v>2052</v>
      </c>
      <c r="IZ2" s="29">
        <v>2053</v>
      </c>
      <c r="JA2" s="29">
        <v>2054</v>
      </c>
      <c r="JB2" s="29">
        <v>2055</v>
      </c>
      <c r="JC2" s="29">
        <v>2056</v>
      </c>
      <c r="JD2" s="29">
        <v>2057</v>
      </c>
      <c r="JE2" s="29">
        <v>2058</v>
      </c>
      <c r="JF2" s="29">
        <v>2059</v>
      </c>
      <c r="JG2" s="30" t="s">
        <v>28</v>
      </c>
      <c r="JH2" s="75">
        <v>2023</v>
      </c>
      <c r="JI2" s="64">
        <v>2024</v>
      </c>
      <c r="JJ2" s="64">
        <v>2025</v>
      </c>
      <c r="JK2" s="64">
        <v>2026</v>
      </c>
      <c r="JL2" s="64">
        <v>2027</v>
      </c>
      <c r="JM2" s="64">
        <v>2028</v>
      </c>
      <c r="JN2" s="64">
        <v>2029</v>
      </c>
      <c r="JO2" s="64">
        <v>2030</v>
      </c>
      <c r="JP2" s="64">
        <v>2031</v>
      </c>
      <c r="JQ2" s="64">
        <v>2032</v>
      </c>
      <c r="JR2" s="64">
        <v>2033</v>
      </c>
      <c r="JS2" s="64">
        <v>2034</v>
      </c>
      <c r="JT2" s="64">
        <v>2035</v>
      </c>
      <c r="JU2" s="64">
        <v>2036</v>
      </c>
      <c r="JV2" s="64">
        <v>2037</v>
      </c>
      <c r="JW2" s="64">
        <v>2038</v>
      </c>
      <c r="JX2" s="64">
        <v>2039</v>
      </c>
      <c r="JY2" s="64">
        <v>2040</v>
      </c>
      <c r="JZ2" s="64">
        <v>2041</v>
      </c>
      <c r="KA2" s="64">
        <v>2042</v>
      </c>
      <c r="KB2" s="64">
        <v>2043</v>
      </c>
      <c r="KC2" s="64">
        <v>2044</v>
      </c>
      <c r="KD2" s="64">
        <v>2045</v>
      </c>
      <c r="KE2" s="64">
        <v>2046</v>
      </c>
      <c r="KF2" s="64">
        <v>2047</v>
      </c>
      <c r="KG2" s="64">
        <v>2048</v>
      </c>
      <c r="KH2" s="64">
        <v>2049</v>
      </c>
      <c r="KI2" s="64">
        <v>2050</v>
      </c>
      <c r="KJ2" s="64">
        <v>2051</v>
      </c>
      <c r="KK2" s="64">
        <v>2052</v>
      </c>
      <c r="KL2" s="64">
        <v>2053</v>
      </c>
      <c r="KM2" s="64">
        <v>2054</v>
      </c>
      <c r="KN2" s="64">
        <v>2055</v>
      </c>
      <c r="KO2" s="64">
        <v>2056</v>
      </c>
      <c r="KP2" s="64">
        <v>2057</v>
      </c>
      <c r="KQ2" s="64">
        <v>2058</v>
      </c>
      <c r="KR2" s="64">
        <v>2059</v>
      </c>
      <c r="KS2" s="65" t="s">
        <v>28</v>
      </c>
      <c r="KT2" s="75">
        <v>2023</v>
      </c>
      <c r="KU2" s="64">
        <v>2024</v>
      </c>
      <c r="KV2" s="64">
        <v>2025</v>
      </c>
      <c r="KW2" s="64">
        <v>2026</v>
      </c>
      <c r="KX2" s="64">
        <v>2027</v>
      </c>
      <c r="KY2" s="64">
        <v>2028</v>
      </c>
      <c r="KZ2" s="64">
        <v>2029</v>
      </c>
      <c r="LA2" s="64">
        <v>2030</v>
      </c>
      <c r="LB2" s="64">
        <v>2031</v>
      </c>
      <c r="LC2" s="64">
        <v>2032</v>
      </c>
      <c r="LD2" s="64">
        <v>2033</v>
      </c>
      <c r="LE2" s="64">
        <v>2034</v>
      </c>
      <c r="LF2" s="64">
        <v>2035</v>
      </c>
      <c r="LG2" s="64">
        <v>2036</v>
      </c>
      <c r="LH2" s="64">
        <v>2037</v>
      </c>
      <c r="LI2" s="64">
        <v>2038</v>
      </c>
      <c r="LJ2" s="64">
        <v>2039</v>
      </c>
      <c r="LK2" s="64">
        <v>2040</v>
      </c>
      <c r="LL2" s="64">
        <v>2041</v>
      </c>
      <c r="LM2" s="64">
        <v>2042</v>
      </c>
      <c r="LN2" s="64">
        <v>2043</v>
      </c>
      <c r="LO2" s="64">
        <v>2044</v>
      </c>
      <c r="LP2" s="64">
        <v>2045</v>
      </c>
      <c r="LQ2" s="64">
        <v>2046</v>
      </c>
      <c r="LR2" s="64">
        <v>2047</v>
      </c>
      <c r="LS2" s="64">
        <v>2048</v>
      </c>
      <c r="LT2" s="64">
        <v>2049</v>
      </c>
      <c r="LU2" s="64">
        <v>2050</v>
      </c>
      <c r="LV2" s="64">
        <v>2051</v>
      </c>
      <c r="LW2" s="64">
        <v>2052</v>
      </c>
      <c r="LX2" s="64">
        <v>2053</v>
      </c>
      <c r="LY2" s="64">
        <v>2054</v>
      </c>
      <c r="LZ2" s="64">
        <v>2055</v>
      </c>
      <c r="MA2" s="64">
        <v>2056</v>
      </c>
      <c r="MB2" s="64">
        <v>2057</v>
      </c>
      <c r="MC2" s="64">
        <v>2058</v>
      </c>
      <c r="MD2" s="64">
        <v>2059</v>
      </c>
      <c r="ME2" s="65" t="s">
        <v>28</v>
      </c>
      <c r="MF2" s="64">
        <v>2023</v>
      </c>
      <c r="MG2" s="64">
        <v>2024</v>
      </c>
      <c r="MH2" s="64">
        <v>2025</v>
      </c>
      <c r="MI2" s="64">
        <v>2026</v>
      </c>
      <c r="MJ2" s="64">
        <v>2027</v>
      </c>
      <c r="MK2" s="64">
        <v>2028</v>
      </c>
      <c r="ML2" s="64">
        <v>2029</v>
      </c>
      <c r="MM2" s="64">
        <v>2030</v>
      </c>
      <c r="MN2" s="64">
        <v>2031</v>
      </c>
      <c r="MO2" s="64">
        <v>2032</v>
      </c>
      <c r="MP2" s="64">
        <v>2033</v>
      </c>
      <c r="MQ2" s="64">
        <v>2034</v>
      </c>
      <c r="MR2" s="64">
        <v>2035</v>
      </c>
      <c r="MS2" s="64">
        <v>2036</v>
      </c>
      <c r="MT2" s="64">
        <v>2037</v>
      </c>
      <c r="MU2" s="64">
        <v>2038</v>
      </c>
      <c r="MV2" s="64">
        <v>2039</v>
      </c>
      <c r="MW2" s="64">
        <v>2040</v>
      </c>
      <c r="MX2" s="64">
        <v>2041</v>
      </c>
      <c r="MY2" s="64">
        <v>2042</v>
      </c>
      <c r="MZ2" s="64">
        <v>2043</v>
      </c>
      <c r="NA2" s="64">
        <v>2044</v>
      </c>
      <c r="NB2" s="64">
        <v>2045</v>
      </c>
      <c r="NC2" s="64">
        <v>2046</v>
      </c>
      <c r="ND2" s="64">
        <v>2047</v>
      </c>
      <c r="NE2" s="64">
        <v>2048</v>
      </c>
      <c r="NF2" s="64">
        <v>2049</v>
      </c>
      <c r="NG2" s="64">
        <v>2050</v>
      </c>
      <c r="NH2" s="64">
        <v>2051</v>
      </c>
      <c r="NI2" s="64">
        <v>2052</v>
      </c>
      <c r="NJ2" s="64">
        <v>2053</v>
      </c>
      <c r="NK2" s="64">
        <v>2054</v>
      </c>
      <c r="NL2" s="64">
        <v>2055</v>
      </c>
      <c r="NM2" s="64">
        <v>2056</v>
      </c>
      <c r="NN2" s="64">
        <v>2057</v>
      </c>
      <c r="NO2" s="64">
        <v>2058</v>
      </c>
      <c r="NP2" s="64">
        <v>2059</v>
      </c>
      <c r="NQ2" s="65" t="s">
        <v>28</v>
      </c>
      <c r="NR2" s="29">
        <v>2023</v>
      </c>
      <c r="NS2" s="29">
        <v>2024</v>
      </c>
      <c r="NT2" s="29">
        <v>2025</v>
      </c>
      <c r="NU2" s="29">
        <v>2026</v>
      </c>
      <c r="NV2" s="29">
        <v>2027</v>
      </c>
      <c r="NW2" s="29">
        <v>2028</v>
      </c>
      <c r="NX2" s="29">
        <v>2029</v>
      </c>
      <c r="NY2" s="29">
        <v>2030</v>
      </c>
      <c r="NZ2" s="29">
        <v>2031</v>
      </c>
      <c r="OA2" s="29">
        <v>2032</v>
      </c>
      <c r="OB2" s="29">
        <v>2033</v>
      </c>
      <c r="OC2" s="29">
        <v>2034</v>
      </c>
      <c r="OD2" s="29">
        <v>2035</v>
      </c>
      <c r="OE2" s="29">
        <v>2036</v>
      </c>
      <c r="OF2" s="29">
        <v>2037</v>
      </c>
      <c r="OG2" s="29">
        <v>2038</v>
      </c>
      <c r="OH2" s="29">
        <v>2039</v>
      </c>
      <c r="OI2" s="29">
        <v>2040</v>
      </c>
      <c r="OJ2" s="29">
        <v>2041</v>
      </c>
      <c r="OK2" s="29">
        <v>2042</v>
      </c>
      <c r="OL2" s="29">
        <v>2043</v>
      </c>
      <c r="OM2" s="29">
        <v>2044</v>
      </c>
      <c r="ON2" s="29">
        <v>2045</v>
      </c>
      <c r="OO2" s="29">
        <v>2046</v>
      </c>
      <c r="OP2" s="29">
        <v>2047</v>
      </c>
      <c r="OQ2" s="29">
        <v>2048</v>
      </c>
      <c r="OR2" s="29">
        <v>2049</v>
      </c>
      <c r="OS2" s="29">
        <v>2050</v>
      </c>
      <c r="OT2" s="29">
        <v>2051</v>
      </c>
      <c r="OU2" s="29">
        <v>2052</v>
      </c>
      <c r="OV2" s="29">
        <v>2053</v>
      </c>
      <c r="OW2" s="29">
        <v>2054</v>
      </c>
      <c r="OX2" s="29">
        <v>2055</v>
      </c>
      <c r="OY2" s="29">
        <v>2056</v>
      </c>
      <c r="OZ2" s="29">
        <v>2057</v>
      </c>
      <c r="PA2" s="29">
        <v>2058</v>
      </c>
      <c r="PB2" s="29">
        <v>2059</v>
      </c>
      <c r="PC2" s="30" t="s">
        <v>28</v>
      </c>
    </row>
    <row r="3" spans="1:423" outlineLevel="1" x14ac:dyDescent="0.3">
      <c r="A3" s="76" t="s">
        <v>48</v>
      </c>
      <c r="B3" s="14">
        <f>'[1]D-PDP'!$BE$12</f>
        <v>284597.21875</v>
      </c>
      <c r="C3" s="14">
        <f>'[1]D-PDP'!$BE$13</f>
        <v>185225.5</v>
      </c>
      <c r="D3" s="14">
        <f>'[1]D-PDP'!$BE$14</f>
        <v>117237.9296875</v>
      </c>
      <c r="E3" s="14">
        <f>'[1]D-PDP'!$BE$15</f>
        <v>75176.5</v>
      </c>
      <c r="F3" s="14">
        <f>'[1]D-PDP'!$BE$16</f>
        <v>50855.796875</v>
      </c>
      <c r="G3" s="14">
        <f>'[1]D-PDP'!$BE$17</f>
        <v>32286.537109375</v>
      </c>
      <c r="H3" s="14">
        <f>'[1]D-PDP'!$BE$18</f>
        <v>15386.880859375</v>
      </c>
      <c r="I3" s="14">
        <f>'[1]D-PDP'!$BE$19</f>
        <v>6185.73193359375</v>
      </c>
      <c r="J3" s="14">
        <f>'[1]D-PDP'!$BE$20</f>
        <v>3040.835693359375</v>
      </c>
      <c r="K3" s="14">
        <f>'[1]D-PDP'!$BE$21</f>
        <v>1932.739990234375</v>
      </c>
      <c r="L3" s="14">
        <f>'[1]D-PDP'!$BE$22</f>
        <v>956.94000244140625</v>
      </c>
      <c r="M3" s="14">
        <f>'[1]D-PDP'!$BE$23</f>
        <v>0</v>
      </c>
      <c r="N3" s="14">
        <f>'[1]D-PDP'!$BE$24</f>
        <v>0</v>
      </c>
      <c r="O3" s="14">
        <f>'[1]D-PDP'!$BE$25</f>
        <v>0</v>
      </c>
      <c r="P3" s="14">
        <f>'[1]D-PDP'!$BE$26</f>
        <v>0</v>
      </c>
      <c r="Q3" s="14">
        <f>'[1]D-PDP'!$BE$27</f>
        <v>0</v>
      </c>
      <c r="R3" s="14">
        <f>'[1]D-PDP'!$BE$28</f>
        <v>0</v>
      </c>
      <c r="S3" s="14">
        <f>'[1]D-PDP'!$BE$29</f>
        <v>0</v>
      </c>
      <c r="T3" s="14">
        <f>'[1]D-PDP'!$BE$30</f>
        <v>0</v>
      </c>
      <c r="U3" s="14">
        <f>'[1]D-PDP'!$BE$31</f>
        <v>0</v>
      </c>
      <c r="V3" s="14">
        <f>'[1]D-PDP'!$BE$32</f>
        <v>0</v>
      </c>
      <c r="W3" s="14">
        <f>'[1]D-PDP'!$BE$33</f>
        <v>0</v>
      </c>
      <c r="X3" s="14">
        <f>'[1]D-PDP'!$BE$34</f>
        <v>0</v>
      </c>
      <c r="Y3" s="14">
        <f>'[1]D-PDP'!$BE$35</f>
        <v>0</v>
      </c>
      <c r="Z3" s="14">
        <f>'[1]D-PDP'!$BE$36</f>
        <v>0</v>
      </c>
      <c r="AA3" s="14">
        <f>'[1]D-PDP'!$BE$37</f>
        <v>0</v>
      </c>
      <c r="AB3" s="14">
        <f>'[1]D-PDP'!$BE$38</f>
        <v>0</v>
      </c>
      <c r="AC3" s="14">
        <f>'[1]D-PDP'!$BE$39</f>
        <v>0</v>
      </c>
      <c r="AD3" s="14">
        <f>'[1]D-PDP'!$BE$40</f>
        <v>0</v>
      </c>
      <c r="AE3" s="14">
        <f>'[1]D-PDP'!$BE$41</f>
        <v>0</v>
      </c>
      <c r="AF3" s="14">
        <f>'[1]D-PDP'!$BE$42</f>
        <v>0</v>
      </c>
      <c r="AG3" s="14">
        <f>'[1]D-PDP'!$BE$43</f>
        <v>0</v>
      </c>
      <c r="AH3" s="14">
        <f>'[1]D-PDP'!$BE$44</f>
        <v>0</v>
      </c>
      <c r="AI3" s="14">
        <f>'[1]D-PDP'!$BE$45</f>
        <v>0</v>
      </c>
      <c r="AJ3" s="14">
        <f>'[1]D-PDP'!$BE$46</f>
        <v>0</v>
      </c>
      <c r="AK3" s="14">
        <f>'[1]D-PDP'!$BE$47</f>
        <v>0</v>
      </c>
      <c r="AL3" s="14">
        <f>'[1]D-PDP'!$BE$48</f>
        <v>0</v>
      </c>
      <c r="AM3" s="16">
        <f>SUM(B3:AL3)</f>
        <v>772882.61090087891</v>
      </c>
      <c r="AN3" s="28">
        <f>'[1]D-PNP'!$BE$12</f>
        <v>28712.81640625</v>
      </c>
      <c r="AO3" s="14">
        <f>'[1]D-PNP'!$BE$13</f>
        <v>24877.07421875</v>
      </c>
      <c r="AP3" s="14">
        <f>'[1]D-PNP'!$BE$14</f>
        <v>26716.533203125</v>
      </c>
      <c r="AQ3" s="14">
        <f>'[1]D-PNP'!$BE$15</f>
        <v>19952.23046875</v>
      </c>
      <c r="AR3" s="14">
        <f>'[1]D-PNP'!$BE$16</f>
        <v>14267.3798828125</v>
      </c>
      <c r="AS3" s="14">
        <f>'[1]D-PNP'!$BE$17</f>
        <v>10726.953125</v>
      </c>
      <c r="AT3" s="14">
        <f>'[1]D-PNP'!$BE$18</f>
        <v>6615.1962890625</v>
      </c>
      <c r="AU3" s="14">
        <f>'[1]D-PNP'!$BE$19</f>
        <v>3397.59228515625</v>
      </c>
      <c r="AV3" s="14">
        <f>'[1]D-PNP'!$BE$20</f>
        <v>1336.164306640625</v>
      </c>
      <c r="AW3" s="14">
        <f>'[1]D-PNP'!$BE$21</f>
        <v>0</v>
      </c>
      <c r="AX3" s="14">
        <f>'[1]D-PNP'!$BE$22</f>
        <v>0</v>
      </c>
      <c r="AY3" s="14">
        <f>'[1]D-PNP'!$BE$23</f>
        <v>0</v>
      </c>
      <c r="AZ3" s="14">
        <f>'[1]D-PNP'!$BE$24</f>
        <v>0</v>
      </c>
      <c r="BA3" s="14">
        <f>'[1]D-PNP'!$BE$25</f>
        <v>0</v>
      </c>
      <c r="BB3" s="14">
        <f>'[1]D-PNP'!$BE$26</f>
        <v>0</v>
      </c>
      <c r="BC3" s="14">
        <f>'[1]D-PNP'!$BE$27</f>
        <v>0</v>
      </c>
      <c r="BD3" s="14">
        <f>'[1]D-PNP'!$BE$28</f>
        <v>0</v>
      </c>
      <c r="BE3" s="14">
        <f>'[1]D-PNP'!$BE$29</f>
        <v>0</v>
      </c>
      <c r="BF3" s="14">
        <f>'[1]D-PNP'!$BE$30</f>
        <v>0</v>
      </c>
      <c r="BG3" s="14">
        <f>'[1]D-PNP'!$BE$31</f>
        <v>0</v>
      </c>
      <c r="BH3" s="14">
        <f>'[1]D-PNP'!$BE$32</f>
        <v>0</v>
      </c>
      <c r="BI3" s="14">
        <f>'[1]D-PNP'!$BE$33</f>
        <v>0</v>
      </c>
      <c r="BJ3" s="14">
        <f>'[1]D-PNP'!$BE$34</f>
        <v>0</v>
      </c>
      <c r="BK3" s="14">
        <f>'[1]D-PNP'!$BE$35</f>
        <v>0</v>
      </c>
      <c r="BL3" s="14">
        <f>'[1]D-PNP'!$BE$36</f>
        <v>0</v>
      </c>
      <c r="BM3" s="14">
        <f>'[1]D-PNP'!$BE$37</f>
        <v>0</v>
      </c>
      <c r="BN3" s="14">
        <f>'[1]D-PNP'!$BE$38</f>
        <v>0</v>
      </c>
      <c r="BO3" s="14">
        <f>'[1]D-PNP'!$BE$39</f>
        <v>0</v>
      </c>
      <c r="BP3" s="14">
        <f>'[1]D-PNP'!$BE$40</f>
        <v>0</v>
      </c>
      <c r="BQ3" s="14">
        <f>'[1]D-PNP'!$BE$41</f>
        <v>0</v>
      </c>
      <c r="BR3" s="14">
        <f>'[1]D-PNP'!$BE$42</f>
        <v>0</v>
      </c>
      <c r="BS3" s="14">
        <f>'[1]D-PNP'!$BE$43</f>
        <v>0</v>
      </c>
      <c r="BT3" s="14">
        <f>'[1]D-PNP'!$BE$44</f>
        <v>0</v>
      </c>
      <c r="BU3" s="14">
        <f>'[1]D-PNP'!$BE$45</f>
        <v>0</v>
      </c>
      <c r="BV3" s="14">
        <f>'[1]D-PNP'!$BE$46</f>
        <v>0</v>
      </c>
      <c r="BW3" s="14">
        <f>'[1]D-PNP'!$BE$47</f>
        <v>0</v>
      </c>
      <c r="BX3" s="14">
        <f>'[1]D-PNP'!$BE$48</f>
        <v>0</v>
      </c>
      <c r="BY3" s="16">
        <f>SUM(AN3:BX3)</f>
        <v>136601.94018554688</v>
      </c>
      <c r="BZ3" s="28">
        <f>'[1]D-PND'!$BE$12</f>
        <v>72827.9609375</v>
      </c>
      <c r="CA3" s="14">
        <f>'[1]D-PND'!$BE$13</f>
        <v>65730.6953125</v>
      </c>
      <c r="CB3" s="14">
        <f>'[1]D-PND'!$BE$14</f>
        <v>48247.16015625</v>
      </c>
      <c r="CC3" s="14">
        <f>'[1]D-PND'!$BE$15</f>
        <v>55484.35546875</v>
      </c>
      <c r="CD3" s="14">
        <f>'[1]D-PND'!$BE$16</f>
        <v>182873.5625</v>
      </c>
      <c r="CE3" s="14">
        <f>'[1]D-PND'!$BE$17</f>
        <v>256242.46875</v>
      </c>
      <c r="CF3" s="14">
        <f>'[1]D-PND'!$BE$18</f>
        <v>282014.15625</v>
      </c>
      <c r="CG3" s="14">
        <f>'[1]D-PND'!$BE$19</f>
        <v>200555.421875</v>
      </c>
      <c r="CH3" s="14">
        <f>'[1]D-PND'!$BE$20</f>
        <v>132625.546875</v>
      </c>
      <c r="CI3" s="14">
        <f>'[1]D-PND'!$BE$21</f>
        <v>148757.015625</v>
      </c>
      <c r="CJ3" s="14">
        <f>'[1]D-PND'!$BE$22</f>
        <v>58575.0625</v>
      </c>
      <c r="CK3" s="14">
        <f>'[1]D-PND'!$BE$23</f>
        <v>0</v>
      </c>
      <c r="CL3" s="14">
        <f>'[1]D-PND'!$BE$24</f>
        <v>0</v>
      </c>
      <c r="CM3" s="14">
        <f>'[1]D-PND'!$BE$25</f>
        <v>0</v>
      </c>
      <c r="CN3" s="14">
        <f>'[1]D-PND'!$BE$26</f>
        <v>0</v>
      </c>
      <c r="CO3" s="14">
        <f>'[1]D-PND'!$BE$27</f>
        <v>0</v>
      </c>
      <c r="CP3" s="14">
        <f>'[1]D-PND'!$BE$28</f>
        <v>0</v>
      </c>
      <c r="CQ3" s="14">
        <f>'[1]D-PND'!$BE$29</f>
        <v>0</v>
      </c>
      <c r="CR3" s="14">
        <f>'[1]D-PND'!$BE$30</f>
        <v>0</v>
      </c>
      <c r="CS3" s="14">
        <f>'[1]D-PND'!$BE$31</f>
        <v>0</v>
      </c>
      <c r="CT3" s="14">
        <f>'[1]D-PND'!$BE$32</f>
        <v>0</v>
      </c>
      <c r="CU3" s="14">
        <f>'[1]D-PND'!$BE$33</f>
        <v>0</v>
      </c>
      <c r="CV3" s="14">
        <f>'[1]D-PND'!$BE$34</f>
        <v>0</v>
      </c>
      <c r="CW3" s="14">
        <f>'[1]D-PND'!$BE$35</f>
        <v>0</v>
      </c>
      <c r="CX3" s="14">
        <f>'[1]D-PND'!$BE$36</f>
        <v>0</v>
      </c>
      <c r="CY3" s="14">
        <f>'[1]D-PND'!$BE$37</f>
        <v>0</v>
      </c>
      <c r="CZ3" s="14">
        <f>'[1]D-PND'!$BE$38</f>
        <v>0</v>
      </c>
      <c r="DA3" s="14">
        <f>'[1]D-PND'!$BE$39</f>
        <v>0</v>
      </c>
      <c r="DB3" s="14">
        <f>'[1]D-PND'!$BE$40</f>
        <v>0</v>
      </c>
      <c r="DC3" s="14">
        <f>'[1]D-PND'!$BE$41</f>
        <v>0</v>
      </c>
      <c r="DD3" s="14">
        <f>'[1]D-PND'!$BE$42</f>
        <v>0</v>
      </c>
      <c r="DE3" s="14">
        <f>'[1]D-PND'!$BE$43</f>
        <v>0</v>
      </c>
      <c r="DF3" s="14">
        <f>'[1]D-PND'!$BE$44</f>
        <v>0</v>
      </c>
      <c r="DG3" s="14">
        <f>'[1]D-PND'!$BE$45</f>
        <v>0</v>
      </c>
      <c r="DH3" s="14">
        <f>'[1]D-PND'!$BE$46</f>
        <v>0</v>
      </c>
      <c r="DI3" s="14">
        <f>'[1]D-PND'!$BE$47</f>
        <v>0</v>
      </c>
      <c r="DJ3" s="14">
        <f>'[1]D-PND'!$BE$48</f>
        <v>0</v>
      </c>
      <c r="DK3" s="16">
        <f>SUM(BZ3:DJ3)</f>
        <v>1503933.40625</v>
      </c>
      <c r="DL3" s="66">
        <f>'[1]D-PRBDP'!$BE$12</f>
        <v>0</v>
      </c>
      <c r="DM3" s="67">
        <f>'[1]D-PRBDP'!$BE$13</f>
        <v>0</v>
      </c>
      <c r="DN3" s="67">
        <f>'[1]D-PRBDP'!$BE$14</f>
        <v>0</v>
      </c>
      <c r="DO3" s="67">
        <f>'[1]D-PRBDP'!$BE$15</f>
        <v>0</v>
      </c>
      <c r="DP3" s="67">
        <f>'[1]D-PRBDP'!$BE$16</f>
        <v>0</v>
      </c>
      <c r="DQ3" s="67">
        <f>'[1]D-PRBDP'!$BE$17</f>
        <v>0</v>
      </c>
      <c r="DR3" s="67">
        <f>'[1]D-PRBDP'!$BE$18</f>
        <v>0</v>
      </c>
      <c r="DS3" s="67">
        <f>'[1]D-PRBDP'!$BE$19</f>
        <v>0</v>
      </c>
      <c r="DT3" s="67">
        <f>'[1]D-PRBDP'!$BE$20</f>
        <v>0</v>
      </c>
      <c r="DU3" s="67">
        <f>'[1]D-PRBDP'!$BE$21</f>
        <v>0</v>
      </c>
      <c r="DV3" s="67">
        <f>'[1]D-PRBDP'!$BE$22</f>
        <v>0</v>
      </c>
      <c r="DW3" s="67">
        <f>'[1]D-PRBDP'!$BE$23</f>
        <v>0</v>
      </c>
      <c r="DX3" s="67">
        <f>'[1]D-PRBDP'!$BE$24</f>
        <v>0</v>
      </c>
      <c r="DY3" s="67">
        <f>'[1]D-PRBDP'!$BE$25</f>
        <v>0</v>
      </c>
      <c r="DZ3" s="67">
        <f>'[1]D-PRBDP'!$BE$26</f>
        <v>0</v>
      </c>
      <c r="EA3" s="67">
        <f>'[1]D-PRBDP'!$BE$27</f>
        <v>0</v>
      </c>
      <c r="EB3" s="67">
        <f>'[1]D-PRBDP'!$BE$28</f>
        <v>0</v>
      </c>
      <c r="EC3" s="67">
        <f>'[1]D-PRBDP'!$BE$29</f>
        <v>0</v>
      </c>
      <c r="ED3" s="67">
        <f>'[1]D-PRBDP'!$BE$30</f>
        <v>0</v>
      </c>
      <c r="EE3" s="67">
        <f>'[1]D-PRBDP'!$BE$31</f>
        <v>0</v>
      </c>
      <c r="EF3" s="67">
        <f>'[1]D-PRBDP'!$BE$32</f>
        <v>0</v>
      </c>
      <c r="EG3" s="67">
        <f>'[1]D-PRBDP'!$BE$33</f>
        <v>0</v>
      </c>
      <c r="EH3" s="67">
        <f>'[1]D-PRBDP'!$BE$34</f>
        <v>0</v>
      </c>
      <c r="EI3" s="67">
        <f>'[1]D-PRBDP'!$BE$35</f>
        <v>0</v>
      </c>
      <c r="EJ3" s="67">
        <f>'[1]D-PRBDP'!$BE$36</f>
        <v>0</v>
      </c>
      <c r="EK3" s="67">
        <f>'[1]D-PRBDP'!$BE$37</f>
        <v>0</v>
      </c>
      <c r="EL3" s="67">
        <f>'[1]D-PRBDP'!$BE$38</f>
        <v>0</v>
      </c>
      <c r="EM3" s="67">
        <f>'[1]D-PRBDP'!$BE$39</f>
        <v>0</v>
      </c>
      <c r="EN3" s="67">
        <f>'[1]D-PRBDP'!$BE$40</f>
        <v>0</v>
      </c>
      <c r="EO3" s="67">
        <f>'[1]D-PRBDP'!$BE$41</f>
        <v>0</v>
      </c>
      <c r="EP3" s="67">
        <f>'[1]D-PRBDP'!$BE$42</f>
        <v>0</v>
      </c>
      <c r="EQ3" s="67">
        <f>'[1]D-PRBDP'!$BE$43</f>
        <v>0</v>
      </c>
      <c r="ER3" s="67">
        <f>'[1]D-PRBDP'!$BE$44</f>
        <v>0</v>
      </c>
      <c r="ES3" s="67">
        <f>'[1]D-PRBDP'!$BE$45</f>
        <v>0</v>
      </c>
      <c r="ET3" s="67">
        <f>'[1]D-PRBDP'!$BE$46</f>
        <v>0</v>
      </c>
      <c r="EU3" s="67">
        <f>'[1]D-PRBDP'!$BE$47</f>
        <v>0</v>
      </c>
      <c r="EV3" s="67">
        <f>'[1]D-PRBDP'!$BE$48</f>
        <v>0</v>
      </c>
      <c r="EW3" s="68">
        <f>SUM(DL3:EV3)</f>
        <v>0</v>
      </c>
      <c r="EX3" s="66">
        <f>'[1]D-PRBNP'!$BE$12</f>
        <v>58168</v>
      </c>
      <c r="EY3" s="67">
        <f>'[1]D-PRBNP'!$BE$13</f>
        <v>42982</v>
      </c>
      <c r="EZ3" s="67">
        <f>'[1]D-PRBNP'!$BE$14</f>
        <v>32335.998046875</v>
      </c>
      <c r="FA3" s="67">
        <f>'[1]D-PRBNP'!$BE$15</f>
        <v>27859</v>
      </c>
      <c r="FB3" s="67">
        <f>'[1]D-PRBNP'!$BE$16</f>
        <v>21085.001953125</v>
      </c>
      <c r="FC3" s="67">
        <f>'[1]D-PRBNP'!$BE$17</f>
        <v>15907</v>
      </c>
      <c r="FD3" s="67">
        <f>'[1]D-PRBNP'!$BE$18</f>
        <v>10871</v>
      </c>
      <c r="FE3" s="67">
        <f>'[1]D-PRBNP'!$BE$19</f>
        <v>4910</v>
      </c>
      <c r="FF3" s="67">
        <f>'[1]D-PRBNP'!$BE$20</f>
        <v>2830.999755859375</v>
      </c>
      <c r="FG3" s="67">
        <f>'[1]D-PRBNP'!$BE$21</f>
        <v>1768</v>
      </c>
      <c r="FH3" s="67">
        <f>'[1]D-PRBNP'!$BE$22</f>
        <v>903</v>
      </c>
      <c r="FI3" s="67">
        <f>'[1]D-PRBNP'!$BE$23</f>
        <v>0</v>
      </c>
      <c r="FJ3" s="67">
        <f>'[1]D-PRBNP'!$BE$24</f>
        <v>0</v>
      </c>
      <c r="FK3" s="67">
        <f>'[1]D-PRBNP'!$BE$25</f>
        <v>0</v>
      </c>
      <c r="FL3" s="67">
        <f>'[1]D-PRBNP'!$BE$26</f>
        <v>0</v>
      </c>
      <c r="FM3" s="67">
        <f>'[1]D-PRBNP'!$BE$27</f>
        <v>0</v>
      </c>
      <c r="FN3" s="67">
        <f>'[1]D-PRBNP'!$BE$28</f>
        <v>0</v>
      </c>
      <c r="FO3" s="67">
        <f>'[1]D-PRBNP'!$BE$29</f>
        <v>0</v>
      </c>
      <c r="FP3" s="67">
        <f>'[1]D-PRBNP'!$BE$30</f>
        <v>0</v>
      </c>
      <c r="FQ3" s="67">
        <f>'[1]D-PRBNP'!$BE$31</f>
        <v>0</v>
      </c>
      <c r="FR3" s="67">
        <f>'[1]D-PRBNP'!$BE$32</f>
        <v>0</v>
      </c>
      <c r="FS3" s="67">
        <f>'[1]D-PRBNP'!$BE$33</f>
        <v>0</v>
      </c>
      <c r="FT3" s="67">
        <f>'[1]D-PRBNP'!$BE$34</f>
        <v>0</v>
      </c>
      <c r="FU3" s="67">
        <f>'[1]D-PRBNP'!$BE$35</f>
        <v>0</v>
      </c>
      <c r="FV3" s="67">
        <f>'[1]D-PRBNP'!$BE$36</f>
        <v>0</v>
      </c>
      <c r="FW3" s="67">
        <f>'[1]D-PRBNP'!$BE$37</f>
        <v>0</v>
      </c>
      <c r="FX3" s="67">
        <f>'[1]D-PRBNP'!$BE$38</f>
        <v>0</v>
      </c>
      <c r="FY3" s="67">
        <f>'[1]D-PRBNP'!$BE$39</f>
        <v>0</v>
      </c>
      <c r="FZ3" s="67">
        <f>'[1]D-PRBNP'!$BE$40</f>
        <v>0</v>
      </c>
      <c r="GA3" s="67">
        <f>'[1]D-PRBNP'!$BE$41</f>
        <v>0</v>
      </c>
      <c r="GB3" s="67">
        <f>'[1]D-PRBNP'!$BE$42</f>
        <v>0</v>
      </c>
      <c r="GC3" s="67">
        <f>'[1]D-PRBNP'!$BE$43</f>
        <v>0</v>
      </c>
      <c r="GD3" s="67">
        <f>'[1]D-PRBNP'!$BE$44</f>
        <v>0</v>
      </c>
      <c r="GE3" s="67">
        <f>'[1]D-PRBNP'!$BE$45</f>
        <v>0</v>
      </c>
      <c r="GF3" s="67">
        <f>'[1]D-PRBNP'!$BE$46</f>
        <v>0</v>
      </c>
      <c r="GG3" s="67">
        <f>'[1]D-PRBNP'!$BE$47</f>
        <v>0</v>
      </c>
      <c r="GH3" s="67">
        <f>'[1]D-PRBNP'!$BE$48</f>
        <v>0</v>
      </c>
      <c r="GI3" s="68">
        <f>SUM(EX3:GH3)</f>
        <v>219619.99975585938</v>
      </c>
      <c r="GJ3" s="66">
        <f>'[1]D-PRBND'!$BE$12</f>
        <v>0</v>
      </c>
      <c r="GK3" s="67">
        <f>'[1]D-PRBND'!$BE$13</f>
        <v>0</v>
      </c>
      <c r="GL3" s="67">
        <f>'[1]D-PRBND'!$BE$14</f>
        <v>0</v>
      </c>
      <c r="GM3" s="67">
        <f>'[1]D-PRBND'!$BE$15</f>
        <v>0</v>
      </c>
      <c r="GN3" s="67">
        <f>'[1]D-PRBND'!$BE$16</f>
        <v>0</v>
      </c>
      <c r="GO3" s="67">
        <f>'[1]D-PRBND'!$BE$17</f>
        <v>0</v>
      </c>
      <c r="GP3" s="67">
        <f>'[1]D-PRBND'!$BE$18</f>
        <v>0</v>
      </c>
      <c r="GQ3" s="67">
        <f>'[1]D-PRBND'!$BE$19</f>
        <v>0</v>
      </c>
      <c r="GR3" s="67">
        <f>'[1]D-PRBND'!$BE$20</f>
        <v>0</v>
      </c>
      <c r="GS3" s="67">
        <f>'[1]D-PRBND'!$BE$21</f>
        <v>0</v>
      </c>
      <c r="GT3" s="67">
        <f>'[1]D-PRBND'!$BE$22</f>
        <v>0</v>
      </c>
      <c r="GU3" s="67">
        <f>'[1]D-PRBND'!$BE$23</f>
        <v>0</v>
      </c>
      <c r="GV3" s="67">
        <f>'[1]D-PRBND'!$BE$24</f>
        <v>0</v>
      </c>
      <c r="GW3" s="67">
        <f>'[1]D-PRBND'!$BE$25</f>
        <v>0</v>
      </c>
      <c r="GX3" s="67">
        <f>'[1]D-PRBND'!$BE$26</f>
        <v>0</v>
      </c>
      <c r="GY3" s="67">
        <f>'[1]D-PRBND'!$BE$27</f>
        <v>0</v>
      </c>
      <c r="GZ3" s="67">
        <f>'[1]D-PRBND'!$BE$28</f>
        <v>0</v>
      </c>
      <c r="HA3" s="67">
        <f>'[1]D-PRBND'!$BE$29</f>
        <v>0</v>
      </c>
      <c r="HB3" s="67">
        <f>'[1]D-PRBND'!$BE$30</f>
        <v>0</v>
      </c>
      <c r="HC3" s="67">
        <f>'[1]D-PRBND'!$BE$31</f>
        <v>0</v>
      </c>
      <c r="HD3" s="67">
        <f>'[1]D-PRBND'!$BE$32</f>
        <v>0</v>
      </c>
      <c r="HE3" s="67">
        <f>'[1]D-PRBND'!$BE$33</f>
        <v>0</v>
      </c>
      <c r="HF3" s="67">
        <f>'[1]D-PRBND'!$BE$34</f>
        <v>0</v>
      </c>
      <c r="HG3" s="67">
        <f>'[1]D-PRBND'!$BE$35</f>
        <v>0</v>
      </c>
      <c r="HH3" s="67">
        <f>'[1]D-PRBND'!$BE$36</f>
        <v>0</v>
      </c>
      <c r="HI3" s="67">
        <f>'[1]D-PRBND'!$BE$37</f>
        <v>0</v>
      </c>
      <c r="HJ3" s="67">
        <f>'[1]D-PRBND'!$BE$38</f>
        <v>0</v>
      </c>
      <c r="HK3" s="67">
        <f>'[1]D-PRBND'!$BE$39</f>
        <v>0</v>
      </c>
      <c r="HL3" s="67">
        <f>'[1]D-PRBND'!$BE$40</f>
        <v>0</v>
      </c>
      <c r="HM3" s="67">
        <f>'[1]D-PRBND'!$BE$41</f>
        <v>0</v>
      </c>
      <c r="HN3" s="67">
        <f>'[1]D-PRBND'!$BE$42</f>
        <v>0</v>
      </c>
      <c r="HO3" s="67">
        <f>'[1]D-PRBND'!$BE$43</f>
        <v>0</v>
      </c>
      <c r="HP3" s="67">
        <f>'[1]D-PRBND'!$BE$44</f>
        <v>0</v>
      </c>
      <c r="HQ3" s="67">
        <f>'[1]D-PRBND'!$BE$45</f>
        <v>0</v>
      </c>
      <c r="HR3" s="67">
        <f>'[1]D-PRBND'!$BE$46</f>
        <v>0</v>
      </c>
      <c r="HS3" s="67">
        <f>'[1]D-PRBND'!$BE$47</f>
        <v>0</v>
      </c>
      <c r="HT3" s="67">
        <f>'[1]D-PRBND'!$BE$48</f>
        <v>0</v>
      </c>
      <c r="HU3" s="68">
        <f>SUM(GJ3:HT3)</f>
        <v>0</v>
      </c>
      <c r="HV3" s="28">
        <f>'[1]D-PRB'!$BE$12</f>
        <v>58168</v>
      </c>
      <c r="HW3" s="14">
        <f>'[1]D-PRB'!$BE$13</f>
        <v>42982</v>
      </c>
      <c r="HX3" s="14">
        <f>'[1]D-PRB'!$BE$14</f>
        <v>32335.998046875</v>
      </c>
      <c r="HY3" s="14">
        <f>'[1]D-PRB'!$BE$15</f>
        <v>27859</v>
      </c>
      <c r="HZ3" s="14">
        <f>'[1]D-PRB'!$BE$16</f>
        <v>21085.001953125</v>
      </c>
      <c r="IA3" s="14">
        <f>'[1]D-PRB'!$BE$17</f>
        <v>15907</v>
      </c>
      <c r="IB3" s="14">
        <f>'[1]D-PRB'!$BE$18</f>
        <v>10871</v>
      </c>
      <c r="IC3" s="14">
        <f>'[1]D-PRB'!$BE$19</f>
        <v>4910</v>
      </c>
      <c r="ID3" s="14">
        <f>'[1]D-PRB'!$BE$20</f>
        <v>2830.999755859375</v>
      </c>
      <c r="IE3" s="14">
        <f>'[1]D-PRB'!$BE$21</f>
        <v>1768</v>
      </c>
      <c r="IF3" s="14">
        <f>'[1]D-PRB'!$BE$22</f>
        <v>903</v>
      </c>
      <c r="IG3" s="14">
        <f>'[1]D-PRB'!$BE$23</f>
        <v>0</v>
      </c>
      <c r="IH3" s="14">
        <f>'[1]D-PRB'!$BE$24</f>
        <v>0</v>
      </c>
      <c r="II3" s="14">
        <f>'[1]D-PRB'!$BE$25</f>
        <v>0</v>
      </c>
      <c r="IJ3" s="14">
        <f>'[1]D-PRB'!$BE$26</f>
        <v>0</v>
      </c>
      <c r="IK3" s="14">
        <f>'[1]D-PRB'!$BE$27</f>
        <v>0</v>
      </c>
      <c r="IL3" s="14">
        <f>'[1]D-PRB'!$BE$28</f>
        <v>0</v>
      </c>
      <c r="IM3" s="14">
        <f>'[1]D-PRB'!$BE$29</f>
        <v>0</v>
      </c>
      <c r="IN3" s="14">
        <f>'[1]D-PRB'!$BE$30</f>
        <v>0</v>
      </c>
      <c r="IO3" s="14">
        <f>'[1]D-PRB'!$BE$31</f>
        <v>0</v>
      </c>
      <c r="IP3" s="14">
        <f>'[1]D-PRB'!$BE$32</f>
        <v>0</v>
      </c>
      <c r="IQ3" s="14">
        <f>'[1]D-PRB'!$BE$33</f>
        <v>0</v>
      </c>
      <c r="IR3" s="14">
        <f>'[1]D-PRB'!$BE$34</f>
        <v>0</v>
      </c>
      <c r="IS3" s="14">
        <f>'[1]D-PRB'!$BE$35</f>
        <v>0</v>
      </c>
      <c r="IT3" s="14">
        <f>'[1]D-PRB'!$BE$36</f>
        <v>0</v>
      </c>
      <c r="IU3" s="14">
        <f>'[1]D-PRB'!$BE$37</f>
        <v>0</v>
      </c>
      <c r="IV3" s="14">
        <f>'[1]D-PRB'!$BE$38</f>
        <v>0</v>
      </c>
      <c r="IW3" s="14">
        <f>'[1]D-PRB'!$BE$39</f>
        <v>0</v>
      </c>
      <c r="IX3" s="14">
        <f>'[1]D-PRB'!$BE$40</f>
        <v>0</v>
      </c>
      <c r="IY3" s="14">
        <f>'[1]D-PRB'!$BE$41</f>
        <v>0</v>
      </c>
      <c r="IZ3" s="14">
        <f>'[1]D-PRB'!$BE$42</f>
        <v>0</v>
      </c>
      <c r="JA3" s="14">
        <f>'[1]D-PRB'!$BE$43</f>
        <v>0</v>
      </c>
      <c r="JB3" s="14">
        <f>'[1]D-PRB'!$BE$44</f>
        <v>0</v>
      </c>
      <c r="JC3" s="14">
        <f>'[1]D-PRB'!$BE$45</f>
        <v>0</v>
      </c>
      <c r="JD3" s="14">
        <f>'[1]D-PRB'!$BE$46</f>
        <v>0</v>
      </c>
      <c r="JE3" s="14">
        <f>'[1]D-PRB'!$BE$47</f>
        <v>0</v>
      </c>
      <c r="JF3" s="14">
        <f>'[1]D-PRB'!$BE$48</f>
        <v>0</v>
      </c>
      <c r="JG3" s="16">
        <f>SUM(HV3:JF3)</f>
        <v>219619.99975585938</v>
      </c>
      <c r="JH3" s="66">
        <f>'[1]D-PSDP'!$BE$12</f>
        <v>0</v>
      </c>
      <c r="JI3" s="67">
        <f>'[1]D-PSDP'!$BE$13</f>
        <v>0</v>
      </c>
      <c r="JJ3" s="67">
        <f>'[1]D-PSDP'!$BE$14</f>
        <v>0</v>
      </c>
      <c r="JK3" s="67">
        <f>'[1]D-PSDP'!$BE$15</f>
        <v>0</v>
      </c>
      <c r="JL3" s="67">
        <f>'[1]D-PSDP'!$BE$16</f>
        <v>0</v>
      </c>
      <c r="JM3" s="67">
        <f>'[1]D-PSDP'!$BE$17</f>
        <v>0</v>
      </c>
      <c r="JN3" s="67">
        <f>'[1]D-PSDP'!$BE$18</f>
        <v>0</v>
      </c>
      <c r="JO3" s="67">
        <f>'[1]D-PSDP'!$BE$19</f>
        <v>0</v>
      </c>
      <c r="JP3" s="67">
        <f>'[1]D-PSDP'!$BE$20</f>
        <v>0</v>
      </c>
      <c r="JQ3" s="67">
        <f>'[1]D-PSDP'!$BE$21</f>
        <v>0</v>
      </c>
      <c r="JR3" s="67">
        <f>'[1]D-PSDP'!$BE$22</f>
        <v>0</v>
      </c>
      <c r="JS3" s="67">
        <f>'[1]D-PSDP'!$BE$23</f>
        <v>0</v>
      </c>
      <c r="JT3" s="67">
        <f>'[1]D-PSDP'!$BE$24</f>
        <v>0</v>
      </c>
      <c r="JU3" s="67">
        <f>'[1]D-PSDP'!$BE$25</f>
        <v>0</v>
      </c>
      <c r="JV3" s="67">
        <f>'[1]D-PSDP'!$BE$26</f>
        <v>0</v>
      </c>
      <c r="JW3" s="67">
        <f>'[1]D-PSDP'!$BE$27</f>
        <v>0</v>
      </c>
      <c r="JX3" s="67">
        <f>'[1]D-PSDP'!$BE$28</f>
        <v>0</v>
      </c>
      <c r="JY3" s="67">
        <f>'[1]D-PSDP'!$BE$29</f>
        <v>0</v>
      </c>
      <c r="JZ3" s="67">
        <f>'[1]D-PSDP'!$BE$30</f>
        <v>0</v>
      </c>
      <c r="KA3" s="67">
        <f>'[1]D-PSDP'!$BE$31</f>
        <v>0</v>
      </c>
      <c r="KB3" s="67">
        <f>'[1]D-PSDP'!$BE$32</f>
        <v>0</v>
      </c>
      <c r="KC3" s="67">
        <f>'[1]D-PSDP'!$BE$33</f>
        <v>0</v>
      </c>
      <c r="KD3" s="67">
        <f>'[1]D-PSDP'!$BE$34</f>
        <v>0</v>
      </c>
      <c r="KE3" s="67">
        <f>'[1]D-PSDP'!$BE$35</f>
        <v>0</v>
      </c>
      <c r="KF3" s="67">
        <f>'[1]D-PSDP'!$BE$36</f>
        <v>0</v>
      </c>
      <c r="KG3" s="67">
        <f>'[1]D-PSDP'!$BE$37</f>
        <v>0</v>
      </c>
      <c r="KH3" s="67">
        <f>'[1]D-PSDP'!$BE$38</f>
        <v>0</v>
      </c>
      <c r="KI3" s="67">
        <f>'[1]D-PSDP'!$BE$39</f>
        <v>0</v>
      </c>
      <c r="KJ3" s="67">
        <f>'[1]D-PSDP'!$BE$40</f>
        <v>0</v>
      </c>
      <c r="KK3" s="67">
        <f>'[1]D-PSDP'!$BE$41</f>
        <v>0</v>
      </c>
      <c r="KL3" s="67">
        <f>'[1]D-PSDP'!$BE$42</f>
        <v>0</v>
      </c>
      <c r="KM3" s="67">
        <f>'[1]D-PSDP'!$BE$43</f>
        <v>0</v>
      </c>
      <c r="KN3" s="67">
        <f>'[1]D-PSDP'!$BE$44</f>
        <v>0</v>
      </c>
      <c r="KO3" s="67">
        <f>'[1]D-PSDP'!$BE$45</f>
        <v>0</v>
      </c>
      <c r="KP3" s="67">
        <f>'[1]D-PSDP'!$BE$46</f>
        <v>0</v>
      </c>
      <c r="KQ3" s="67">
        <f>'[1]D-PSDP'!$BE$47</f>
        <v>0</v>
      </c>
      <c r="KR3" s="67">
        <f>'[1]D-PSDP'!$BE$48</f>
        <v>0</v>
      </c>
      <c r="KS3" s="68">
        <f>SUM(JH3:KR3)</f>
        <v>0</v>
      </c>
      <c r="KT3" s="66">
        <f>'[1]D-PSNP'!$BE$12</f>
        <v>0</v>
      </c>
      <c r="KU3" s="67">
        <f>'[1]D-PSNP'!$BE$13</f>
        <v>0</v>
      </c>
      <c r="KV3" s="67">
        <f>'[1]D-PSNP'!$BE$14</f>
        <v>0</v>
      </c>
      <c r="KW3" s="67">
        <f>'[1]D-PSNP'!$BE$15</f>
        <v>0</v>
      </c>
      <c r="KX3" s="67">
        <f>'[1]D-PSNP'!$BE$16</f>
        <v>0</v>
      </c>
      <c r="KY3" s="67">
        <f>'[1]D-PSNP'!$BE$17</f>
        <v>0</v>
      </c>
      <c r="KZ3" s="67">
        <f>'[1]D-PSNP'!$BE$18</f>
        <v>0</v>
      </c>
      <c r="LA3" s="67">
        <f>'[1]D-PSNP'!$BE$19</f>
        <v>2030.9998779296875</v>
      </c>
      <c r="LB3" s="67">
        <f>'[1]D-PSNP'!$BE$20</f>
        <v>2321</v>
      </c>
      <c r="LC3" s="67">
        <f>'[1]D-PSNP'!$BE$21</f>
        <v>2251</v>
      </c>
      <c r="LD3" s="67">
        <f>'[1]D-PSNP'!$BE$22</f>
        <v>390</v>
      </c>
      <c r="LE3" s="67">
        <f>'[1]D-PSNP'!$BE$23</f>
        <v>0</v>
      </c>
      <c r="LF3" s="67">
        <f>'[1]D-PSNP'!$BE$24</f>
        <v>0</v>
      </c>
      <c r="LG3" s="67">
        <f>'[1]D-PSNP'!$BE$25</f>
        <v>0</v>
      </c>
      <c r="LH3" s="67">
        <f>'[1]D-PSNP'!$BE$26</f>
        <v>0</v>
      </c>
      <c r="LI3" s="67">
        <f>'[1]D-PSNP'!$BE$27</f>
        <v>0</v>
      </c>
      <c r="LJ3" s="67">
        <f>'[1]D-PSNP'!$BE$28</f>
        <v>0</v>
      </c>
      <c r="LK3" s="67">
        <f>'[1]D-PSNP'!$BE$29</f>
        <v>0</v>
      </c>
      <c r="LL3" s="67">
        <f>'[1]D-PSNP'!$BE$30</f>
        <v>0</v>
      </c>
      <c r="LM3" s="67">
        <f>'[1]D-PSNP'!$BE$31</f>
        <v>0</v>
      </c>
      <c r="LN3" s="67">
        <f>'[1]D-PSNP'!$BE$32</f>
        <v>0</v>
      </c>
      <c r="LO3" s="67">
        <f>'[1]D-PSNP'!$BE$33</f>
        <v>0</v>
      </c>
      <c r="LP3" s="67">
        <f>'[1]D-PSNP'!$BE$34</f>
        <v>0</v>
      </c>
      <c r="LQ3" s="67">
        <f>'[1]D-PSNP'!$BE$35</f>
        <v>0</v>
      </c>
      <c r="LR3" s="67">
        <f>'[1]D-PSNP'!$BE$36</f>
        <v>0</v>
      </c>
      <c r="LS3" s="67">
        <f>'[1]D-PSNP'!$BE$37</f>
        <v>0</v>
      </c>
      <c r="LT3" s="67">
        <f>'[1]D-PSNP'!$BE$38</f>
        <v>0</v>
      </c>
      <c r="LU3" s="67">
        <f>'[1]D-PSNP'!$BE$39</f>
        <v>0</v>
      </c>
      <c r="LV3" s="67">
        <f>'[1]D-PSNP'!$BE$40</f>
        <v>0</v>
      </c>
      <c r="LW3" s="67">
        <f>'[1]D-PSNP'!$BE$41</f>
        <v>0</v>
      </c>
      <c r="LX3" s="67">
        <f>'[1]D-PSNP'!$BE$42</f>
        <v>0</v>
      </c>
      <c r="LY3" s="67">
        <f>'[1]D-PSNP'!$BE$43</f>
        <v>0</v>
      </c>
      <c r="LZ3" s="67">
        <f>'[1]D-PSNP'!$BE$44</f>
        <v>0</v>
      </c>
      <c r="MA3" s="67">
        <f>'[1]D-PSNP'!$BE$45</f>
        <v>0</v>
      </c>
      <c r="MB3" s="67">
        <f>'[1]D-PSNP'!$BE$46</f>
        <v>0</v>
      </c>
      <c r="MC3" s="67">
        <f>'[1]D-PSNP'!$BE$47</f>
        <v>0</v>
      </c>
      <c r="MD3" s="67">
        <f>'[1]D-PSNP'!$BE$48</f>
        <v>0</v>
      </c>
      <c r="ME3" s="68">
        <f>SUM(KT3:MD3)</f>
        <v>6992.9998779296875</v>
      </c>
      <c r="MF3" s="66">
        <f>'[1]D-PSND'!$BE$12</f>
        <v>20384</v>
      </c>
      <c r="MG3" s="67">
        <f>'[1]D-PSND'!$BE$13</f>
        <v>16386</v>
      </c>
      <c r="MH3" s="67">
        <f>'[1]D-PSND'!$BE$14</f>
        <v>11635</v>
      </c>
      <c r="MI3" s="67">
        <f>'[1]D-PSND'!$BE$15</f>
        <v>8286</v>
      </c>
      <c r="MJ3" s="67">
        <f>'[1]D-PSND'!$BE$16</f>
        <v>5907</v>
      </c>
      <c r="MK3" s="67">
        <f>'[1]D-PSND'!$BE$17</f>
        <v>4056.000244140625</v>
      </c>
      <c r="ML3" s="67">
        <f>'[1]D-PSND'!$BE$18</f>
        <v>0</v>
      </c>
      <c r="MM3" s="67">
        <f>'[1]D-PSND'!$BE$19</f>
        <v>0</v>
      </c>
      <c r="MN3" s="67">
        <f>'[1]D-PSND'!$BE$20</f>
        <v>0</v>
      </c>
      <c r="MO3" s="67">
        <f>'[1]D-PSND'!$BE$21</f>
        <v>0</v>
      </c>
      <c r="MP3" s="67">
        <f>'[1]D-PSND'!$BE$22</f>
        <v>0</v>
      </c>
      <c r="MQ3" s="67">
        <f>'[1]D-PSND'!$BE$23</f>
        <v>0</v>
      </c>
      <c r="MR3" s="67">
        <f>'[1]D-PSND'!$BE$24</f>
        <v>0</v>
      </c>
      <c r="MS3" s="67">
        <f>'[1]D-PSND'!$BE$25</f>
        <v>0</v>
      </c>
      <c r="MT3" s="67">
        <f>'[1]D-PSND'!$BE$26</f>
        <v>0</v>
      </c>
      <c r="MU3" s="67">
        <f>'[1]D-PSND'!$BE$27</f>
        <v>0</v>
      </c>
      <c r="MV3" s="67">
        <f>'[1]D-PSND'!$BE$28</f>
        <v>0</v>
      </c>
      <c r="MW3" s="67">
        <f>'[1]D-PSND'!$BE$29</f>
        <v>0</v>
      </c>
      <c r="MX3" s="67">
        <f>'[1]D-PSND'!$BE$30</f>
        <v>0</v>
      </c>
      <c r="MY3" s="67">
        <f>'[1]D-PSND'!$BE$31</f>
        <v>0</v>
      </c>
      <c r="MZ3" s="67">
        <f>'[1]D-PSND'!$BE$32</f>
        <v>0</v>
      </c>
      <c r="NA3" s="67">
        <f>'[1]D-PSND'!$BE$33</f>
        <v>0</v>
      </c>
      <c r="NB3" s="67">
        <f>'[1]D-PSND'!$BE$34</f>
        <v>0</v>
      </c>
      <c r="NC3" s="67">
        <f>'[1]D-PSND'!$BE$35</f>
        <v>0</v>
      </c>
      <c r="ND3" s="67">
        <f>'[1]D-PSND'!$BE$36</f>
        <v>0</v>
      </c>
      <c r="NE3" s="67">
        <f>'[1]D-PSND'!$BE$37</f>
        <v>0</v>
      </c>
      <c r="NF3" s="67">
        <f>'[1]D-PSND'!$BE$38</f>
        <v>0</v>
      </c>
      <c r="NG3" s="67">
        <f>'[1]D-PSND'!$BE$39</f>
        <v>0</v>
      </c>
      <c r="NH3" s="67">
        <f>'[1]D-PSND'!$BE$40</f>
        <v>0</v>
      </c>
      <c r="NI3" s="67">
        <f>'[1]D-PSND'!$BE$41</f>
        <v>0</v>
      </c>
      <c r="NJ3" s="67">
        <f>'[1]D-PSND'!$BE$42</f>
        <v>0</v>
      </c>
      <c r="NK3" s="67">
        <f>'[1]D-PSND'!$BE$43</f>
        <v>0</v>
      </c>
      <c r="NL3" s="67">
        <f>'[1]D-PSND'!$BE$44</f>
        <v>0</v>
      </c>
      <c r="NM3" s="67">
        <f>'[1]D-PSND'!$BE$45</f>
        <v>0</v>
      </c>
      <c r="NN3" s="67">
        <f>'[1]D-PSND'!$BE$46</f>
        <v>0</v>
      </c>
      <c r="NO3" s="67">
        <f>'[1]D-PSND'!$BE$47</f>
        <v>0</v>
      </c>
      <c r="NP3" s="67">
        <f>'[1]D-PSND'!$BE$48</f>
        <v>0</v>
      </c>
      <c r="NQ3" s="68">
        <f>SUM(MF3:NP3)</f>
        <v>66654.000244140625</v>
      </c>
      <c r="NR3" s="14">
        <f>'[1]D-PS'!$BE$12</f>
        <v>20384</v>
      </c>
      <c r="NS3" s="14">
        <f>'[1]D-PS'!$BE$13</f>
        <v>16386</v>
      </c>
      <c r="NT3" s="14">
        <f>'[1]D-PS'!$BE$14</f>
        <v>11635</v>
      </c>
      <c r="NU3" s="14">
        <f>'[1]D-PS'!$BE$15</f>
        <v>8286</v>
      </c>
      <c r="NV3" s="14">
        <f>'[1]D-PS'!$BE$16</f>
        <v>5907</v>
      </c>
      <c r="NW3" s="14">
        <f>'[1]D-PS'!$BE$17</f>
        <v>4056.000244140625</v>
      </c>
      <c r="NX3" s="14">
        <f>'[1]D-PS'!$BE$18</f>
        <v>0</v>
      </c>
      <c r="NY3" s="14">
        <f>'[1]D-PS'!$BE$19</f>
        <v>2030.9998779296875</v>
      </c>
      <c r="NZ3" s="14">
        <f>'[1]D-PS'!$BE$20</f>
        <v>2321</v>
      </c>
      <c r="OA3" s="14">
        <f>'[1]D-PS'!$BE$21</f>
        <v>2251</v>
      </c>
      <c r="OB3" s="14">
        <f>'[1]D-PS'!$BE$22</f>
        <v>390</v>
      </c>
      <c r="OC3" s="14">
        <f>'[1]D-PS'!$BE$23</f>
        <v>0</v>
      </c>
      <c r="OD3" s="14">
        <f>'[1]D-PS'!$BE$24</f>
        <v>0</v>
      </c>
      <c r="OE3" s="14">
        <f>'[1]D-PS'!$BE$25</f>
        <v>0</v>
      </c>
      <c r="OF3" s="14">
        <f>'[1]D-PS'!$BE$26</f>
        <v>0</v>
      </c>
      <c r="OG3" s="14">
        <f>'[1]D-PS'!$BE$27</f>
        <v>0</v>
      </c>
      <c r="OH3" s="14">
        <f>'[1]D-PS'!$BE$28</f>
        <v>0</v>
      </c>
      <c r="OI3" s="14">
        <f>'[1]D-PS'!$BE$29</f>
        <v>0</v>
      </c>
      <c r="OJ3" s="14">
        <f>'[1]D-PS'!$BE$30</f>
        <v>0</v>
      </c>
      <c r="OK3" s="14">
        <f>'[1]D-PS'!$BE$31</f>
        <v>0</v>
      </c>
      <c r="OL3" s="14">
        <f>'[1]D-PS'!$BE$32</f>
        <v>0</v>
      </c>
      <c r="OM3" s="14">
        <f>'[1]D-PS'!$BE$33</f>
        <v>0</v>
      </c>
      <c r="ON3" s="14">
        <f>'[1]D-PS'!$BE$34</f>
        <v>0</v>
      </c>
      <c r="OO3" s="14">
        <f>'[1]D-PS'!$BE$35</f>
        <v>0</v>
      </c>
      <c r="OP3" s="14">
        <f>'[1]D-PS'!$BE$36</f>
        <v>0</v>
      </c>
      <c r="OQ3" s="14">
        <f>'[1]D-PS'!$BE$37</f>
        <v>0</v>
      </c>
      <c r="OR3" s="14">
        <f>'[1]D-PS'!$BE$38</f>
        <v>0</v>
      </c>
      <c r="OS3" s="14">
        <f>'[1]D-PS'!$BE$39</f>
        <v>0</v>
      </c>
      <c r="OT3" s="14">
        <f>'[1]D-PS'!$BE$40</f>
        <v>0</v>
      </c>
      <c r="OU3" s="14">
        <f>'[1]D-PS'!$BE$41</f>
        <v>0</v>
      </c>
      <c r="OV3" s="14">
        <f>'[1]D-PS'!$BE$42</f>
        <v>0</v>
      </c>
      <c r="OW3" s="14">
        <f>'[1]D-PS'!$BE$43</f>
        <v>0</v>
      </c>
      <c r="OX3" s="14">
        <f>'[1]D-PS'!$BE$44</f>
        <v>0</v>
      </c>
      <c r="OY3" s="14">
        <f>'[1]D-PS'!$BE$45</f>
        <v>0</v>
      </c>
      <c r="OZ3" s="14">
        <f>'[1]D-PS'!$BE$46</f>
        <v>0</v>
      </c>
      <c r="PA3" s="14">
        <f>'[1]D-PS'!$BE$47</f>
        <v>0</v>
      </c>
      <c r="PB3" s="14">
        <f>'[1]D-PS'!$BE$48</f>
        <v>0</v>
      </c>
      <c r="PC3" s="16">
        <f>SUM(NR3:PB3)</f>
        <v>73647.000122070313</v>
      </c>
      <c r="PE3" s="77">
        <f>+DK3+BY3+AM3</f>
        <v>2413417.9573364258</v>
      </c>
      <c r="PG3" s="77">
        <f>+PE3+JG3+PC3</f>
        <v>2706684.9572143555</v>
      </c>
    </row>
    <row r="4" spans="1:423" outlineLevel="1" x14ac:dyDescent="0.3">
      <c r="A4" s="76" t="s">
        <v>49</v>
      </c>
      <c r="B4" s="25">
        <f>'[2]CF PDP'!$BB$36</f>
        <v>284572</v>
      </c>
      <c r="C4" s="25">
        <f>'[2]CF PDP'!$BB$37</f>
        <v>185209</v>
      </c>
      <c r="D4" s="25">
        <f>'[2]CF PDP'!$BB$38</f>
        <v>117228</v>
      </c>
      <c r="E4" s="25">
        <f>'[2]CF PDP'!$BB$39</f>
        <v>75170</v>
      </c>
      <c r="F4" s="25">
        <f>'[2]CF PDP'!$BB$40</f>
        <v>50852</v>
      </c>
      <c r="G4" s="25">
        <f>'[2]CF PDP'!$BB$41</f>
        <v>32283</v>
      </c>
      <c r="H4" s="25">
        <f>'[2]CF PDP'!$BB$42</f>
        <v>0</v>
      </c>
      <c r="I4" s="25">
        <f>'[2]CF PDP'!$BB$43</f>
        <v>0</v>
      </c>
      <c r="J4" s="25">
        <f>'[2]CF PDP'!$BB$44</f>
        <v>0</v>
      </c>
      <c r="K4" s="25">
        <f>'[2]CF PDP'!$BB$45</f>
        <v>0</v>
      </c>
      <c r="L4" s="25">
        <f>'[2]CF PDP'!$BB$46</f>
        <v>0</v>
      </c>
      <c r="M4" s="25">
        <f>'[2]CF PDP'!$BB$47</f>
        <v>0</v>
      </c>
      <c r="N4" s="25">
        <f>'[2]CF PDP'!$BB$48</f>
        <v>0</v>
      </c>
      <c r="O4" s="25">
        <f>'[2]CF PDP'!$BB$49</f>
        <v>0</v>
      </c>
      <c r="P4" s="25">
        <f>'[2]CF PDP'!$BB$50</f>
        <v>0</v>
      </c>
      <c r="Q4" s="25">
        <f>'[2]CF PDP'!$BB$51</f>
        <v>0</v>
      </c>
      <c r="R4" s="25">
        <f>'[2]CF PDP'!$BB$52</f>
        <v>0</v>
      </c>
      <c r="S4" s="25">
        <f>'[2]CF PDP'!$BB$53</f>
        <v>0</v>
      </c>
      <c r="T4" s="25">
        <f>'[2]CF PDP'!$BB$54</f>
        <v>0</v>
      </c>
      <c r="U4" s="25">
        <f>'[2]CF PDP'!$BB$55</f>
        <v>0</v>
      </c>
      <c r="V4" s="25">
        <f>'[2]CF PDP'!$BB$56</f>
        <v>0</v>
      </c>
      <c r="W4" s="25">
        <f>'[2]CF PDP'!$BB$57</f>
        <v>0</v>
      </c>
      <c r="X4" s="25">
        <f>'[2]CF PDP'!$BB$58</f>
        <v>0</v>
      </c>
      <c r="Y4" s="25">
        <f>'[2]CF PDP'!$BB$59</f>
        <v>0</v>
      </c>
      <c r="Z4" s="25">
        <f>'[2]CF PDP'!$BB$60</f>
        <v>0</v>
      </c>
      <c r="AA4" s="25">
        <f>'[2]CF PDP'!$BB$61</f>
        <v>0</v>
      </c>
      <c r="AB4" s="25">
        <f>'[2]CF PDP'!$BB$62</f>
        <v>0</v>
      </c>
      <c r="AC4" s="25">
        <f>'[2]CF PDP'!$BB$63</f>
        <v>0</v>
      </c>
      <c r="AD4" s="25">
        <f>'[2]CF PDP'!$BB$64</f>
        <v>0</v>
      </c>
      <c r="AE4" s="25">
        <f>'[2]CF PDP'!$BB$65</f>
        <v>0</v>
      </c>
      <c r="AF4" s="25">
        <f>'[2]CF PDP'!$BB$66</f>
        <v>0</v>
      </c>
      <c r="AG4" s="25">
        <f>'[2]CF PDP'!$BB$67</f>
        <v>0</v>
      </c>
      <c r="AH4" s="25">
        <f>'[2]CF PDP'!$BB$68</f>
        <v>0</v>
      </c>
      <c r="AI4" s="25">
        <f>'[2]CF PDP'!$BB$69</f>
        <v>0</v>
      </c>
      <c r="AJ4" s="25">
        <f>'[2]CF PDP'!$BB$70</f>
        <v>0</v>
      </c>
      <c r="AK4" s="25">
        <f>'[2]CF PDP'!$BB$71</f>
        <v>0</v>
      </c>
      <c r="AL4" s="25">
        <f>'[2]CF PDP'!$BB$72</f>
        <v>0</v>
      </c>
      <c r="AM4" s="26">
        <f>SUM(B4:AL4)</f>
        <v>745314</v>
      </c>
      <c r="AN4" s="27">
        <f>'[2]CF PNP'!$BB$36</f>
        <v>28711</v>
      </c>
      <c r="AO4" s="25">
        <f>'[2]CF PNP'!$BB$37</f>
        <v>24875</v>
      </c>
      <c r="AP4" s="25">
        <f>'[2]CF PNP'!$BB$38</f>
        <v>26714</v>
      </c>
      <c r="AQ4" s="25">
        <f>'[2]CF PNP'!$BB$39</f>
        <v>19951</v>
      </c>
      <c r="AR4" s="25">
        <f>'[2]CF PNP'!$BB$40</f>
        <v>14266</v>
      </c>
      <c r="AS4" s="25">
        <f>'[2]CF PNP'!$BB$41</f>
        <v>10727</v>
      </c>
      <c r="AT4" s="25">
        <f>'[2]CF PNP'!$BB$42</f>
        <v>22000</v>
      </c>
      <c r="AU4" s="25">
        <f>'[2]CF PNP'!$BB$43</f>
        <v>0</v>
      </c>
      <c r="AV4" s="25">
        <f>'[2]CF PNP'!$BB$44</f>
        <v>0</v>
      </c>
      <c r="AW4" s="25">
        <f>'[2]CF PNP'!$BB$45</f>
        <v>0</v>
      </c>
      <c r="AX4" s="25">
        <f>'[2]CF PNP'!$BB$46</f>
        <v>0</v>
      </c>
      <c r="AY4" s="25">
        <f>'[2]CF PNP'!$BB$47</f>
        <v>0</v>
      </c>
      <c r="AZ4" s="25">
        <f>'[2]CF PNP'!$BB$48</f>
        <v>0</v>
      </c>
      <c r="BA4" s="25">
        <f>'[2]CF PNP'!$BB$49</f>
        <v>0</v>
      </c>
      <c r="BB4" s="25">
        <f>'[2]CF PNP'!$BB$50</f>
        <v>0</v>
      </c>
      <c r="BC4" s="25">
        <f>'[2]CF PNP'!$BB$51</f>
        <v>0</v>
      </c>
      <c r="BD4" s="25">
        <f>'[2]CF PNP'!$BB$52</f>
        <v>0</v>
      </c>
      <c r="BE4" s="25">
        <f>'[2]CF PNP'!$BB$53</f>
        <v>0</v>
      </c>
      <c r="BF4" s="25">
        <f>'[2]CF PNP'!$BB$54</f>
        <v>0</v>
      </c>
      <c r="BG4" s="25">
        <f>'[2]CF PNP'!$BB$55</f>
        <v>0</v>
      </c>
      <c r="BH4" s="25">
        <f>'[2]CF PNP'!$BB$56</f>
        <v>0</v>
      </c>
      <c r="BI4" s="25">
        <f>'[2]CF PNP'!$BB$57</f>
        <v>0</v>
      </c>
      <c r="BJ4" s="25">
        <f>'[2]CF PNP'!$BB$58</f>
        <v>0</v>
      </c>
      <c r="BK4" s="25">
        <f>'[2]CF PNP'!$BB$59</f>
        <v>0</v>
      </c>
      <c r="BL4" s="25">
        <f>'[2]CF PNP'!$BB$60</f>
        <v>0</v>
      </c>
      <c r="BM4" s="25">
        <f>'[2]CF PNP'!$BB$61</f>
        <v>0</v>
      </c>
      <c r="BN4" s="25">
        <f>'[2]CF PNP'!$BB$62</f>
        <v>0</v>
      </c>
      <c r="BO4" s="25">
        <f>'[2]CF PNP'!$BB$63</f>
        <v>0</v>
      </c>
      <c r="BP4" s="25">
        <f>'[2]CF PNP'!$BB$64</f>
        <v>0</v>
      </c>
      <c r="BQ4" s="25">
        <f>'[2]CF PNP'!$BB$65</f>
        <v>0</v>
      </c>
      <c r="BR4" s="25">
        <f>'[2]CF PNP'!$BB$66</f>
        <v>0</v>
      </c>
      <c r="BS4" s="25">
        <f>'[2]CF PNP'!$BB$67</f>
        <v>0</v>
      </c>
      <c r="BT4" s="25">
        <f>'[2]CF PNP'!$BB$68</f>
        <v>0</v>
      </c>
      <c r="BU4" s="25">
        <f>'[2]CF PNP'!$BB$69</f>
        <v>0</v>
      </c>
      <c r="BV4" s="25">
        <f>'[2]CF PNP'!$BB$70</f>
        <v>0</v>
      </c>
      <c r="BW4" s="25">
        <f>'[2]CF PNP'!$BB$71</f>
        <v>0</v>
      </c>
      <c r="BX4" s="25">
        <f>'[2]CF PNP'!$BB$72</f>
        <v>0</v>
      </c>
      <c r="BY4" s="26">
        <f>SUM(AN4:BX4)</f>
        <v>147244</v>
      </c>
      <c r="BZ4" s="27">
        <f>'[2]CF PND'!$BB$36</f>
        <v>72821</v>
      </c>
      <c r="CA4" s="25">
        <f>'[2]CF PND'!$BB$37</f>
        <v>65725</v>
      </c>
      <c r="CB4" s="25">
        <f>'[2]CF PND'!$BB$38</f>
        <v>48243</v>
      </c>
      <c r="CC4" s="25">
        <f>'[2]CF PND'!$BB$39</f>
        <v>55479</v>
      </c>
      <c r="CD4" s="25">
        <f>'[2]CF PND'!$BB$40</f>
        <v>182857</v>
      </c>
      <c r="CE4" s="25">
        <f>'[2]CF PND'!$BB$41</f>
        <v>256220</v>
      </c>
      <c r="CF4" s="25">
        <f>'[2]CF PND'!$BB$42</f>
        <v>281990</v>
      </c>
      <c r="CG4" s="25">
        <f>'[2]CF PND'!$BB$43</f>
        <v>210120</v>
      </c>
      <c r="CH4" s="25">
        <f>'[2]CF PND'!$BB$44</f>
        <v>134117</v>
      </c>
      <c r="CI4" s="25">
        <f>'[2]CF PND'!$BB$45</f>
        <v>0</v>
      </c>
      <c r="CJ4" s="25">
        <f>'[2]CF PND'!$BB$46</f>
        <v>0</v>
      </c>
      <c r="CK4" s="25">
        <f>'[2]CF PND'!$BB$47</f>
        <v>0</v>
      </c>
      <c r="CL4" s="25">
        <f>'[2]CF PND'!$BB$48</f>
        <v>0</v>
      </c>
      <c r="CM4" s="25">
        <f>'[2]CF PND'!$BB$49</f>
        <v>0</v>
      </c>
      <c r="CN4" s="25">
        <f>'[2]CF PND'!$BB$50</f>
        <v>0</v>
      </c>
      <c r="CO4" s="25">
        <f>'[2]CF PND'!$BB$51</f>
        <v>0</v>
      </c>
      <c r="CP4" s="25">
        <f>'[2]CF PND'!$BB$52</f>
        <v>0</v>
      </c>
      <c r="CQ4" s="25">
        <f>'[2]CF PND'!$BB$53</f>
        <v>0</v>
      </c>
      <c r="CR4" s="25">
        <f>'[2]CF PND'!$BB$54</f>
        <v>0</v>
      </c>
      <c r="CS4" s="25">
        <f>'[2]CF PND'!$BB$55</f>
        <v>0</v>
      </c>
      <c r="CT4" s="25">
        <f>'[2]CF PND'!$BB$56</f>
        <v>0</v>
      </c>
      <c r="CU4" s="25">
        <f>'[2]CF PND'!$BB$57</f>
        <v>0</v>
      </c>
      <c r="CV4" s="25">
        <f>'[2]CF PND'!$BB$58</f>
        <v>0</v>
      </c>
      <c r="CW4" s="25">
        <f>'[2]CF PND'!$BB$59</f>
        <v>0</v>
      </c>
      <c r="CX4" s="25">
        <f>'[2]CF PND'!$BB$60</f>
        <v>0</v>
      </c>
      <c r="CY4" s="25">
        <f>'[2]CF PND'!$BB$61</f>
        <v>0</v>
      </c>
      <c r="CZ4" s="25">
        <f>'[2]CF PND'!$BB$62</f>
        <v>0</v>
      </c>
      <c r="DA4" s="25">
        <f>'[2]CF PND'!$BB$63</f>
        <v>0</v>
      </c>
      <c r="DB4" s="25">
        <f>'[2]CF PND'!$BB$64</f>
        <v>0</v>
      </c>
      <c r="DC4" s="25">
        <f>'[2]CF PND'!$BB$65</f>
        <v>0</v>
      </c>
      <c r="DD4" s="25">
        <f>'[2]CF PND'!$BB$66</f>
        <v>0</v>
      </c>
      <c r="DE4" s="25">
        <f>'[2]CF PND'!$BB$67</f>
        <v>0</v>
      </c>
      <c r="DF4" s="25">
        <f>'[2]CF PND'!$BB$68</f>
        <v>0</v>
      </c>
      <c r="DG4" s="25">
        <f>'[2]CF PND'!$BB$69</f>
        <v>0</v>
      </c>
      <c r="DH4" s="25">
        <f>'[2]CF PND'!$BB$70</f>
        <v>0</v>
      </c>
      <c r="DI4" s="25">
        <f>'[2]CF PND'!$BB$71</f>
        <v>0</v>
      </c>
      <c r="DJ4" s="25">
        <f>'[2]CF PND'!$BB$72</f>
        <v>0</v>
      </c>
      <c r="DK4" s="26">
        <f>SUM(BZ4:DJ4)</f>
        <v>1307572</v>
      </c>
      <c r="DL4" s="69"/>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1">
        <f>SUM(DL4:EV4)</f>
        <v>0</v>
      </c>
      <c r="EX4" s="69"/>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1">
        <f>SUM(EX4:GH4)</f>
        <v>0</v>
      </c>
      <c r="GJ4" s="69"/>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1">
        <f>SUM(GJ4:HT4)</f>
        <v>0</v>
      </c>
      <c r="HV4" s="27">
        <f>'[2]CF PRB'!$BB$36</f>
        <v>58162</v>
      </c>
      <c r="HW4" s="25">
        <f>'[2]CF PRB'!$BB$37</f>
        <v>42979</v>
      </c>
      <c r="HX4" s="25">
        <f>'[2]CF PRB'!$BB$38</f>
        <v>32333</v>
      </c>
      <c r="HY4" s="25">
        <f>'[2]CF PRB'!$BB$39</f>
        <v>27857</v>
      </c>
      <c r="HZ4" s="25">
        <f>'[2]CF PRB'!$BB$40</f>
        <v>21081</v>
      </c>
      <c r="IA4" s="25">
        <f>'[2]CF PRB'!$BB$41</f>
        <v>15906</v>
      </c>
      <c r="IB4" s="25">
        <f>'[2]CF PRB'!$BB$42</f>
        <v>10871</v>
      </c>
      <c r="IC4" s="25">
        <f>'[2]CF PRB'!$BB$43</f>
        <v>4909</v>
      </c>
      <c r="ID4" s="25">
        <f>'[2]CF PRB'!$BB$44</f>
        <v>2800</v>
      </c>
      <c r="IE4" s="25">
        <f>'[2]CF PRB'!$BB$45</f>
        <v>152458</v>
      </c>
      <c r="IF4" s="25">
        <f>'[2]CF PRB'!$BB$46</f>
        <v>0</v>
      </c>
      <c r="IG4" s="25">
        <f>'[2]CF PRB'!$BB$47</f>
        <v>0</v>
      </c>
      <c r="IH4" s="25">
        <f>'[2]CF PRB'!$BB$48</f>
        <v>0</v>
      </c>
      <c r="II4" s="25">
        <f>'[2]CF PRB'!$BB$49</f>
        <v>0</v>
      </c>
      <c r="IJ4" s="25">
        <f>'[2]CF PRB'!$BB$50</f>
        <v>0</v>
      </c>
      <c r="IK4" s="25">
        <f>'[2]CF PRB'!$BB$51</f>
        <v>0</v>
      </c>
      <c r="IL4" s="25">
        <f>'[2]CF PRB'!$BB$52</f>
        <v>0</v>
      </c>
      <c r="IM4" s="25">
        <f>'[2]CF PRB'!$BB$53</f>
        <v>0</v>
      </c>
      <c r="IN4" s="25">
        <f>'[2]CF PRB'!$BB$54</f>
        <v>0</v>
      </c>
      <c r="IO4" s="25">
        <f>'[2]CF PRB'!$BB$55</f>
        <v>0</v>
      </c>
      <c r="IP4" s="25">
        <f>'[2]CF PRB'!$BB$56</f>
        <v>0</v>
      </c>
      <c r="IQ4" s="25">
        <f>'[2]CF PRB'!$BB$57</f>
        <v>0</v>
      </c>
      <c r="IR4" s="25">
        <f>'[2]CF PRB'!$BB$58</f>
        <v>0</v>
      </c>
      <c r="IS4" s="25">
        <f>'[2]CF PRB'!$BB$59</f>
        <v>0</v>
      </c>
      <c r="IT4" s="25">
        <f>'[2]CF PRB'!$BB$60</f>
        <v>0</v>
      </c>
      <c r="IU4" s="25">
        <f>'[2]CF PRB'!$BB$61</f>
        <v>0</v>
      </c>
      <c r="IV4" s="25">
        <f>'[2]CF PRB'!$BB$62</f>
        <v>0</v>
      </c>
      <c r="IW4" s="25">
        <f>'[2]CF PRB'!$BB$63</f>
        <v>0</v>
      </c>
      <c r="IX4" s="25">
        <f>'[2]CF PRB'!$BB$64</f>
        <v>0</v>
      </c>
      <c r="IY4" s="25">
        <f>'[2]CF PRB'!$BB$65</f>
        <v>0</v>
      </c>
      <c r="IZ4" s="25">
        <f>'[2]CF PRB'!$BB$66</f>
        <v>0</v>
      </c>
      <c r="JA4" s="25">
        <f>'[2]CF PRB'!$BB$67</f>
        <v>0</v>
      </c>
      <c r="JB4" s="25">
        <f>'[2]CF PRB'!$BB$68</f>
        <v>0</v>
      </c>
      <c r="JC4" s="25">
        <f>'[2]CF PRB'!$BB$69</f>
        <v>0</v>
      </c>
      <c r="JD4" s="25">
        <f>'[2]CF PRB'!$BB$70</f>
        <v>0</v>
      </c>
      <c r="JE4" s="25">
        <f>'[2]CF PRB'!$BB$71</f>
        <v>0</v>
      </c>
      <c r="JF4" s="25">
        <f>'[2]CF PRB'!$BB$72</f>
        <v>0</v>
      </c>
      <c r="JG4" s="26">
        <f>SUM(HV4:JF4)</f>
        <v>369356</v>
      </c>
      <c r="JH4" s="69"/>
      <c r="JI4" s="70"/>
      <c r="JJ4" s="70"/>
      <c r="JK4" s="70"/>
      <c r="JL4" s="70"/>
      <c r="JM4" s="70"/>
      <c r="JN4" s="70"/>
      <c r="JO4" s="70"/>
      <c r="JP4" s="70"/>
      <c r="JQ4" s="70"/>
      <c r="JR4" s="70"/>
      <c r="JS4" s="70"/>
      <c r="JT4" s="70"/>
      <c r="JU4" s="70"/>
      <c r="JV4" s="70"/>
      <c r="JW4" s="70"/>
      <c r="JX4" s="70"/>
      <c r="JY4" s="70"/>
      <c r="JZ4" s="70"/>
      <c r="KA4" s="70"/>
      <c r="KB4" s="70"/>
      <c r="KC4" s="70"/>
      <c r="KD4" s="70"/>
      <c r="KE4" s="70"/>
      <c r="KF4" s="70"/>
      <c r="KG4" s="70"/>
      <c r="KH4" s="70"/>
      <c r="KI4" s="70"/>
      <c r="KJ4" s="70"/>
      <c r="KK4" s="70"/>
      <c r="KL4" s="70"/>
      <c r="KM4" s="70"/>
      <c r="KN4" s="70"/>
      <c r="KO4" s="70"/>
      <c r="KP4" s="70"/>
      <c r="KQ4" s="70"/>
      <c r="KR4" s="70"/>
      <c r="KS4" s="71">
        <f>SUM(JH4:KR4)</f>
        <v>0</v>
      </c>
      <c r="KT4" s="69"/>
      <c r="KU4" s="70"/>
      <c r="KV4" s="70"/>
      <c r="KW4" s="70"/>
      <c r="KX4" s="70"/>
      <c r="KY4" s="70"/>
      <c r="KZ4" s="70"/>
      <c r="LA4" s="70"/>
      <c r="LB4" s="70"/>
      <c r="LC4" s="70"/>
      <c r="LD4" s="70"/>
      <c r="LE4" s="70"/>
      <c r="LF4" s="70"/>
      <c r="LG4" s="70"/>
      <c r="LH4" s="70"/>
      <c r="LI4" s="70"/>
      <c r="LJ4" s="70"/>
      <c r="LK4" s="70"/>
      <c r="LL4" s="70"/>
      <c r="LM4" s="70"/>
      <c r="LN4" s="70"/>
      <c r="LO4" s="70"/>
      <c r="LP4" s="70"/>
      <c r="LQ4" s="70"/>
      <c r="LR4" s="70"/>
      <c r="LS4" s="70"/>
      <c r="LT4" s="70"/>
      <c r="LU4" s="70"/>
      <c r="LV4" s="70"/>
      <c r="LW4" s="70"/>
      <c r="LX4" s="70"/>
      <c r="LY4" s="70"/>
      <c r="LZ4" s="70"/>
      <c r="MA4" s="70"/>
      <c r="MB4" s="70"/>
      <c r="MC4" s="70"/>
      <c r="MD4" s="70"/>
      <c r="ME4" s="71">
        <f>SUM(KT4:MD4)</f>
        <v>0</v>
      </c>
      <c r="MF4" s="69"/>
      <c r="MG4" s="70"/>
      <c r="MH4" s="70"/>
      <c r="MI4" s="70"/>
      <c r="MJ4" s="70"/>
      <c r="MK4" s="70"/>
      <c r="ML4" s="70"/>
      <c r="MM4" s="70"/>
      <c r="MN4" s="70"/>
      <c r="MO4" s="70"/>
      <c r="MP4" s="70"/>
      <c r="MQ4" s="70"/>
      <c r="MR4" s="70"/>
      <c r="MS4" s="70"/>
      <c r="MT4" s="70"/>
      <c r="MU4" s="70"/>
      <c r="MV4" s="70"/>
      <c r="MW4" s="70"/>
      <c r="MX4" s="70"/>
      <c r="MY4" s="70"/>
      <c r="MZ4" s="70"/>
      <c r="NA4" s="70"/>
      <c r="NB4" s="70"/>
      <c r="NC4" s="70"/>
      <c r="ND4" s="70"/>
      <c r="NE4" s="70"/>
      <c r="NF4" s="70"/>
      <c r="NG4" s="70"/>
      <c r="NH4" s="70"/>
      <c r="NI4" s="70"/>
      <c r="NJ4" s="70"/>
      <c r="NK4" s="70"/>
      <c r="NL4" s="70"/>
      <c r="NM4" s="70"/>
      <c r="NN4" s="70"/>
      <c r="NO4" s="70"/>
      <c r="NP4" s="70"/>
      <c r="NQ4" s="71">
        <f>SUM(MF4:NP4)</f>
        <v>0</v>
      </c>
      <c r="NR4" s="25">
        <f>'[2]CF PS'!$BB$36</f>
        <v>20382</v>
      </c>
      <c r="NS4" s="25">
        <f>'[2]CF PS'!$BB$37</f>
        <v>16384</v>
      </c>
      <c r="NT4" s="25">
        <f>'[2]CF PS'!$BB$38</f>
        <v>11634</v>
      </c>
      <c r="NU4" s="25">
        <f>'[2]CF PS'!$BB$39</f>
        <v>8284</v>
      </c>
      <c r="NV4" s="25">
        <f>'[2]CF PS'!$BB$40</f>
        <v>5908</v>
      </c>
      <c r="NW4" s="25">
        <f>'[2]CF PS'!$BB$41</f>
        <v>4054</v>
      </c>
      <c r="NX4" s="25">
        <f>'[2]CF PS'!$BB$42</f>
        <v>0</v>
      </c>
      <c r="NY4" s="25">
        <f>'[2]CF PS'!$BB$43</f>
        <v>2030</v>
      </c>
      <c r="NZ4" s="25">
        <f>'[2]CF PS'!$BB$44</f>
        <v>2273</v>
      </c>
      <c r="OA4" s="25">
        <f>'[2]CF PS'!$BB$45</f>
        <v>2250</v>
      </c>
      <c r="OB4" s="25">
        <f>'[2]CF PS'!$BB$46</f>
        <v>0</v>
      </c>
      <c r="OC4" s="25">
        <f>'[2]CF PS'!$BB$47</f>
        <v>0</v>
      </c>
      <c r="OD4" s="25">
        <f>'[2]CF PS'!$BB$48</f>
        <v>0</v>
      </c>
      <c r="OE4" s="25">
        <f>'[2]CF PS'!$BB$49</f>
        <v>0</v>
      </c>
      <c r="OF4" s="25">
        <f>'[2]CF PS'!$BB$50</f>
        <v>0</v>
      </c>
      <c r="OG4" s="25">
        <f>'[2]CF PS'!$BB$51</f>
        <v>0</v>
      </c>
      <c r="OH4" s="25">
        <f>'[2]CF PS'!$BB$52</f>
        <v>0</v>
      </c>
      <c r="OI4" s="25">
        <f>'[2]CF PS'!$BB$53</f>
        <v>0</v>
      </c>
      <c r="OJ4" s="25">
        <f>'[2]CF PS'!$BB$54</f>
        <v>0</v>
      </c>
      <c r="OK4" s="25">
        <f>'[2]CF PS'!$BB$55</f>
        <v>0</v>
      </c>
      <c r="OL4" s="25">
        <f>'[2]CF PS'!$BB$56</f>
        <v>0</v>
      </c>
      <c r="OM4" s="25">
        <f>'[2]CF PS'!$BB$57</f>
        <v>0</v>
      </c>
      <c r="ON4" s="25">
        <f>'[2]CF PS'!$BB$58</f>
        <v>0</v>
      </c>
      <c r="OO4" s="25">
        <f>'[2]CF PS'!$BB$59</f>
        <v>0</v>
      </c>
      <c r="OP4" s="25">
        <f>'[2]CF PS'!$BB$60</f>
        <v>0</v>
      </c>
      <c r="OQ4" s="25">
        <f>'[2]CF PS'!$BB$61</f>
        <v>0</v>
      </c>
      <c r="OR4" s="25">
        <f>'[2]CF PS'!$BB$62</f>
        <v>0</v>
      </c>
      <c r="OS4" s="25">
        <f>'[2]CF PS'!$BB$63</f>
        <v>0</v>
      </c>
      <c r="OT4" s="25">
        <f>'[2]CF PS'!$BB$64</f>
        <v>0</v>
      </c>
      <c r="OU4" s="25">
        <f>'[2]CF PS'!$BB$65</f>
        <v>0</v>
      </c>
      <c r="OV4" s="25">
        <f>'[2]CF PS'!$BB$66</f>
        <v>0</v>
      </c>
      <c r="OW4" s="25">
        <f>'[2]CF PS'!$BB$67</f>
        <v>0</v>
      </c>
      <c r="OX4" s="25">
        <f>'[2]CF PS'!$BB$68</f>
        <v>0</v>
      </c>
      <c r="OY4" s="25">
        <f>'[2]CF PS'!$BB$69</f>
        <v>0</v>
      </c>
      <c r="OZ4" s="25">
        <f>'[2]CF PS'!$BB$70</f>
        <v>0</v>
      </c>
      <c r="PA4" s="25">
        <f>'[2]CF PS'!$BB$71</f>
        <v>0</v>
      </c>
      <c r="PB4" s="25">
        <f>'[2]CF PS'!$BB$72</f>
        <v>0</v>
      </c>
      <c r="PC4" s="26">
        <f>SUM(NR4:PB4)</f>
        <v>73199</v>
      </c>
      <c r="PE4" s="77">
        <f>+DK4+BY4+AM4</f>
        <v>2200130</v>
      </c>
      <c r="PG4" s="77">
        <f>+PE4+JG4+PC4</f>
        <v>2642685</v>
      </c>
    </row>
    <row r="5" spans="1:423" ht="16.5" thickBot="1" x14ac:dyDescent="0.35">
      <c r="A5" s="47" t="s">
        <v>52</v>
      </c>
      <c r="B5" s="40">
        <f>IF(AND(B3&lt;&gt;0,B4&lt;&gt;0),(B3-B4)/B4,IF(AND(B3=0,B4=0),"",IF(AND(B3="",B4=""),"",IF(AND(B3=0,B4=""),"", IF(AND(B3="",B4=0),"",1)))))</f>
        <v>8.8619927470025164E-5</v>
      </c>
      <c r="C5" s="40">
        <f t="shared" ref="C5" si="0">IF(AND(C3&lt;&gt;0,C4&lt;&gt;0),(C3-C4)/C4,IF(AND(C3=0,C4=0),"",IF(AND(C3="",C4=""),"",IF(AND(C3=0,C4=""),"", IF(AND(C3="",C4=0),"",1)))))</f>
        <v>8.9088543213342768E-5</v>
      </c>
      <c r="D5" s="40">
        <f t="shared" ref="D5" si="1">IF(AND(D3&lt;&gt;0,D4&lt;&gt;0),(D3-D4)/D4,IF(AND(D3=0,D4=0),"",IF(AND(D3="",D4=""),"",IF(AND(D3=0,D4=""),"", IF(AND(D3="",D4=0),"",1)))))</f>
        <v>8.4704059610332005E-5</v>
      </c>
      <c r="E5" s="40">
        <f t="shared" ref="E5" si="2">IF(AND(E3&lt;&gt;0,E4&lt;&gt;0),(E3-E4)/E4,IF(AND(E3=0,E4=0),"",IF(AND(E3="",E4=""),"",IF(AND(E3=0,E4=""),"", IF(AND(E3="",E4=0),"",1)))))</f>
        <v>8.6470666489290939E-5</v>
      </c>
      <c r="F5" s="40">
        <f t="shared" ref="F5" si="3">IF(AND(F3&lt;&gt;0,F4&lt;&gt;0),(F3-F4)/F4,IF(AND(F3=0,F4=0),"",IF(AND(F3="",F4=""),"",IF(AND(F3=0,F4=""),"", IF(AND(F3="",F4=0),"",1)))))</f>
        <v>7.4665204908361523E-5</v>
      </c>
      <c r="G5" s="40">
        <f t="shared" ref="G5" si="4">IF(AND(G3&lt;&gt;0,G4&lt;&gt;0),(G3-G4)/G4,IF(AND(G3=0,G4=0),"",IF(AND(G3="",G4=""),"",IF(AND(G3=0,G4=""),"", IF(AND(G3="",G4=0),"",1)))))</f>
        <v>1.0956569634172785E-4</v>
      </c>
      <c r="H5" s="40">
        <f t="shared" ref="H5" si="5">IF(AND(H3&lt;&gt;0,H4&lt;&gt;0),(H3-H4)/H4,IF(AND(H3=0,H4=0),"",IF(AND(H3="",H4=""),"",IF(AND(H3=0,H4=""),"", IF(AND(H3="",H4=0),"",1)))))</f>
        <v>1</v>
      </c>
      <c r="I5" s="40">
        <f t="shared" ref="I5" si="6">IF(AND(I3&lt;&gt;0,I4&lt;&gt;0),(I3-I4)/I4,IF(AND(I3=0,I4=0),"",IF(AND(I3="",I4=""),"",IF(AND(I3=0,I4=""),"", IF(AND(I3="",I4=0),"",1)))))</f>
        <v>1</v>
      </c>
      <c r="J5" s="40">
        <f t="shared" ref="J5" si="7">IF(AND(J3&lt;&gt;0,J4&lt;&gt;0),(J3-J4)/J4,IF(AND(J3=0,J4=0),"",IF(AND(J3="",J4=""),"",IF(AND(J3=0,J4=""),"", IF(AND(J3="",J4=0),"",1)))))</f>
        <v>1</v>
      </c>
      <c r="K5" s="40">
        <f t="shared" ref="K5" si="8">IF(AND(K3&lt;&gt;0,K4&lt;&gt;0),(K3-K4)/K4,IF(AND(K3=0,K4=0),"",IF(AND(K3="",K4=""),"",IF(AND(K3=0,K4=""),"", IF(AND(K3="",K4=0),"",1)))))</f>
        <v>1</v>
      </c>
      <c r="L5" s="40">
        <f t="shared" ref="L5" si="9">IF(AND(L3&lt;&gt;0,L4&lt;&gt;0),(L3-L4)/L4,IF(AND(L3=0,L4=0),"",IF(AND(L3="",L4=""),"",IF(AND(L3=0,L4=""),"", IF(AND(L3="",L4=0),"",1)))))</f>
        <v>1</v>
      </c>
      <c r="M5" s="40" t="str">
        <f t="shared" ref="M5" si="10">IF(AND(M3&lt;&gt;0,M4&lt;&gt;0),(M3-M4)/M4,IF(AND(M3=0,M4=0),"",IF(AND(M3="",M4=""),"",IF(AND(M3=0,M4=""),"", IF(AND(M3="",M4=0),"",1)))))</f>
        <v/>
      </c>
      <c r="N5" s="40" t="str">
        <f t="shared" ref="N5" si="11">IF(AND(N3&lt;&gt;0,N4&lt;&gt;0),(N3-N4)/N4,IF(AND(N3=0,N4=0),"",IF(AND(N3="",N4=""),"",IF(AND(N3=0,N4=""),"", IF(AND(N3="",N4=0),"",1)))))</f>
        <v/>
      </c>
      <c r="O5" s="40" t="str">
        <f t="shared" ref="O5" si="12">IF(AND(O3&lt;&gt;0,O4&lt;&gt;0),(O3-O4)/O4,IF(AND(O3=0,O4=0),"",IF(AND(O3="",O4=""),"",IF(AND(O3=0,O4=""),"", IF(AND(O3="",O4=0),"",1)))))</f>
        <v/>
      </c>
      <c r="P5" s="40" t="str">
        <f t="shared" ref="P5" si="13">IF(AND(P3&lt;&gt;0,P4&lt;&gt;0),(P3-P4)/P4,IF(AND(P3=0,P4=0),"",IF(AND(P3="",P4=""),"",IF(AND(P3=0,P4=""),"", IF(AND(P3="",P4=0),"",1)))))</f>
        <v/>
      </c>
      <c r="Q5" s="40" t="str">
        <f t="shared" ref="Q5" si="14">IF(AND(Q3&lt;&gt;0,Q4&lt;&gt;0),(Q3-Q4)/Q4,IF(AND(Q3=0,Q4=0),"",IF(AND(Q3="",Q4=""),"",IF(AND(Q3=0,Q4=""),"", IF(AND(Q3="",Q4=0),"",1)))))</f>
        <v/>
      </c>
      <c r="R5" s="40" t="str">
        <f t="shared" ref="R5" si="15">IF(AND(R3&lt;&gt;0,R4&lt;&gt;0),(R3-R4)/R4,IF(AND(R3=0,R4=0),"",IF(AND(R3="",R4=""),"",IF(AND(R3=0,R4=""),"", IF(AND(R3="",R4=0),"",1)))))</f>
        <v/>
      </c>
      <c r="S5" s="40" t="str">
        <f t="shared" ref="S5" si="16">IF(AND(S3&lt;&gt;0,S4&lt;&gt;0),(S3-S4)/S4,IF(AND(S3=0,S4=0),"",IF(AND(S3="",S4=""),"",IF(AND(S3=0,S4=""),"", IF(AND(S3="",S4=0),"",1)))))</f>
        <v/>
      </c>
      <c r="T5" s="40" t="str">
        <f t="shared" ref="T5" si="17">IF(AND(T3&lt;&gt;0,T4&lt;&gt;0),(T3-T4)/T4,IF(AND(T3=0,T4=0),"",IF(AND(T3="",T4=""),"",IF(AND(T3=0,T4=""),"", IF(AND(T3="",T4=0),"",1)))))</f>
        <v/>
      </c>
      <c r="U5" s="40" t="str">
        <f t="shared" ref="U5" si="18">IF(AND(U3&lt;&gt;0,U4&lt;&gt;0),(U3-U4)/U4,IF(AND(U3=0,U4=0),"",IF(AND(U3="",U4=""),"",IF(AND(U3=0,U4=""),"", IF(AND(U3="",U4=0),"",1)))))</f>
        <v/>
      </c>
      <c r="V5" s="40" t="str">
        <f t="shared" ref="V5" si="19">IF(AND(V3&lt;&gt;0,V4&lt;&gt;0),(V3-V4)/V4,IF(AND(V3=0,V4=0),"",IF(AND(V3="",V4=""),"",IF(AND(V3=0,V4=""),"", IF(AND(V3="",V4=0),"",1)))))</f>
        <v/>
      </c>
      <c r="W5" s="40" t="str">
        <f t="shared" ref="W5" si="20">IF(AND(W3&lt;&gt;0,W4&lt;&gt;0),(W3-W4)/W4,IF(AND(W3=0,W4=0),"",IF(AND(W3="",W4=""),"",IF(AND(W3=0,W4=""),"", IF(AND(W3="",W4=0),"",1)))))</f>
        <v/>
      </c>
      <c r="X5" s="40" t="str">
        <f>IF(AND(X3&lt;&gt;0,X4&lt;&gt;0),(X3-X4)/X4,IF(AND(X3=0,X4=0),"",IF(AND(X3="",X4=""),"",IF(AND(X3=0,X4=""),"", IF(AND(X3="",X4=0),"",1)))))</f>
        <v/>
      </c>
      <c r="Y5" s="40" t="str">
        <f t="shared" ref="Y5:AL5" si="21">IF(AND(Y3&lt;&gt;0,Y4&lt;&gt;0),(Y3-Y4)/Y4,IF(AND(Y3=0,Y4=0),"",IF(AND(Y3="",Y4=""),"",IF(AND(Y3=0,Y4=""),"", IF(AND(Y3="",Y4=0),"",1)))))</f>
        <v/>
      </c>
      <c r="Z5" s="40" t="str">
        <f t="shared" si="21"/>
        <v/>
      </c>
      <c r="AA5" s="40" t="str">
        <f t="shared" si="21"/>
        <v/>
      </c>
      <c r="AB5" s="40" t="str">
        <f t="shared" si="21"/>
        <v/>
      </c>
      <c r="AC5" s="40" t="str">
        <f t="shared" si="21"/>
        <v/>
      </c>
      <c r="AD5" s="40" t="str">
        <f t="shared" si="21"/>
        <v/>
      </c>
      <c r="AE5" s="40" t="str">
        <f t="shared" si="21"/>
        <v/>
      </c>
      <c r="AF5" s="40" t="str">
        <f t="shared" si="21"/>
        <v/>
      </c>
      <c r="AG5" s="40" t="str">
        <f t="shared" si="21"/>
        <v/>
      </c>
      <c r="AH5" s="40" t="str">
        <f t="shared" si="21"/>
        <v/>
      </c>
      <c r="AI5" s="40" t="str">
        <f t="shared" si="21"/>
        <v/>
      </c>
      <c r="AJ5" s="40" t="str">
        <f t="shared" si="21"/>
        <v/>
      </c>
      <c r="AK5" s="40" t="str">
        <f t="shared" si="21"/>
        <v/>
      </c>
      <c r="AL5" s="40" t="str">
        <f t="shared" si="21"/>
        <v/>
      </c>
      <c r="AM5" s="41">
        <f>IF(AND(AM3&lt;&gt;0,AM4&lt;&gt;0),(AM3-AM4)/AM4,IF(AND(AM3=0,AM4=0),"",IF(AND(AM3="",AM4=""),"",IF(AND(AM3=0,AM4=""),"", IF(AND(AM3="",AM4=0),"",1)))))</f>
        <v>3.6989256743974894E-2</v>
      </c>
      <c r="AN5" s="39">
        <f t="shared" ref="AN5" si="22">IF(AND(AN3&lt;&gt;0,AN4&lt;&gt;0),(AN3-AN4)/AN4,IF(AND(AN3=0,AN4=0),"",IF(AND(AN3="",AN4=""),"",IF(AND(AN3=0,AN4=""),"", IF(AND(AN3="",AN4=0),"",1)))))</f>
        <v>6.3265168402354492E-5</v>
      </c>
      <c r="AO5" s="40">
        <f t="shared" ref="AO5" si="23">IF(AND(AO3&lt;&gt;0,AO4&lt;&gt;0),(AO3-AO4)/AO4,IF(AND(AO3=0,AO4=0),"",IF(AND(AO3="",AO4=""),"",IF(AND(AO3=0,AO4=""),"", IF(AND(AO3="",AO4=0),"",1)))))</f>
        <v>8.3385678391959797E-5</v>
      </c>
      <c r="AP5" s="40">
        <f t="shared" ref="AP5" si="24">IF(AND(AP3&lt;&gt;0,AP4&lt;&gt;0),(AP3-AP4)/AP4,IF(AND(AP3=0,AP4=0),"",IF(AND(AP3="",AP4=""),"",IF(AND(AP3=0,AP4=""),"", IF(AND(AP3="",AP4=0),"",1)))))</f>
        <v>9.4826799618177732E-5</v>
      </c>
      <c r="AQ5" s="40">
        <f t="shared" ref="AQ5" si="25">IF(AND(AQ3&lt;&gt;0,AQ4&lt;&gt;0),(AQ3-AQ4)/AQ4,IF(AND(AQ3=0,AQ4=0),"",IF(AND(AQ3="",AQ4=""),"",IF(AND(AQ3=0,AQ4=""),"", IF(AND(AQ3="",AQ4=0),"",1)))))</f>
        <v>6.1674540123302088E-5</v>
      </c>
      <c r="AR5" s="40">
        <f t="shared" ref="AR5" si="26">IF(AND(AR3&lt;&gt;0,AR4&lt;&gt;0),(AR3-AR4)/AR4,IF(AND(AR3=0,AR4=0),"",IF(AND(AR3="",AR4=""),"",IF(AND(AR3=0,AR4=""),"", IF(AND(AR3="",AR4=0),"",1)))))</f>
        <v>9.672527775830646E-5</v>
      </c>
      <c r="AS5" s="40">
        <f t="shared" ref="AS5" si="27">IF(AND(AS3&lt;&gt;0,AS4&lt;&gt;0),(AS3-AS4)/AS4,IF(AND(AS3=0,AS4=0),"",IF(AND(AS3="",AS4=""),"",IF(AND(AS3=0,AS4=""),"", IF(AND(AS3="",AS4=0),"",1)))))</f>
        <v>-4.3698144868089871E-6</v>
      </c>
      <c r="AT5" s="40">
        <f t="shared" ref="AT5" si="28">IF(AND(AT3&lt;&gt;0,AT4&lt;&gt;0),(AT3-AT4)/AT4,IF(AND(AT3=0,AT4=0),"",IF(AND(AT3="",AT4=""),"",IF(AND(AT3=0,AT4=""),"", IF(AND(AT3="",AT4=0),"",1)))))</f>
        <v>-0.69930925958806822</v>
      </c>
      <c r="AU5" s="40">
        <f t="shared" ref="AU5" si="29">IF(AND(AU3&lt;&gt;0,AU4&lt;&gt;0),(AU3-AU4)/AU4,IF(AND(AU3=0,AU4=0),"",IF(AND(AU3="",AU4=""),"",IF(AND(AU3=0,AU4=""),"", IF(AND(AU3="",AU4=0),"",1)))))</f>
        <v>1</v>
      </c>
      <c r="AV5" s="40">
        <f t="shared" ref="AV5" si="30">IF(AND(AV3&lt;&gt;0,AV4&lt;&gt;0),(AV3-AV4)/AV4,IF(AND(AV3=0,AV4=0),"",IF(AND(AV3="",AV4=""),"",IF(AND(AV3=0,AV4=""),"", IF(AND(AV3="",AV4=0),"",1)))))</f>
        <v>1</v>
      </c>
      <c r="AW5" s="40" t="str">
        <f t="shared" ref="AW5" si="31">IF(AND(AW3&lt;&gt;0,AW4&lt;&gt;0),(AW3-AW4)/AW4,IF(AND(AW3=0,AW4=0),"",IF(AND(AW3="",AW4=""),"",IF(AND(AW3=0,AW4=""),"", IF(AND(AW3="",AW4=0),"",1)))))</f>
        <v/>
      </c>
      <c r="AX5" s="40" t="str">
        <f t="shared" ref="AX5" si="32">IF(AND(AX3&lt;&gt;0,AX4&lt;&gt;0),(AX3-AX4)/AX4,IF(AND(AX3=0,AX4=0),"",IF(AND(AX3="",AX4=""),"",IF(AND(AX3=0,AX4=""),"", IF(AND(AX3="",AX4=0),"",1)))))</f>
        <v/>
      </c>
      <c r="AY5" s="40" t="str">
        <f t="shared" ref="AY5" si="33">IF(AND(AY3&lt;&gt;0,AY4&lt;&gt;0),(AY3-AY4)/AY4,IF(AND(AY3=0,AY4=0),"",IF(AND(AY3="",AY4=""),"",IF(AND(AY3=0,AY4=""),"", IF(AND(AY3="",AY4=0),"",1)))))</f>
        <v/>
      </c>
      <c r="AZ5" s="40" t="str">
        <f t="shared" ref="AZ5" si="34">IF(AND(AZ3&lt;&gt;0,AZ4&lt;&gt;0),(AZ3-AZ4)/AZ4,IF(AND(AZ3=0,AZ4=0),"",IF(AND(AZ3="",AZ4=""),"",IF(AND(AZ3=0,AZ4=""),"", IF(AND(AZ3="",AZ4=0),"",1)))))</f>
        <v/>
      </c>
      <c r="BA5" s="40" t="str">
        <f t="shared" ref="BA5" si="35">IF(AND(BA3&lt;&gt;0,BA4&lt;&gt;0),(BA3-BA4)/BA4,IF(AND(BA3=0,BA4=0),"",IF(AND(BA3="",BA4=""),"",IF(AND(BA3=0,BA4=""),"", IF(AND(BA3="",BA4=0),"",1)))))</f>
        <v/>
      </c>
      <c r="BB5" s="40" t="str">
        <f t="shared" ref="BB5" si="36">IF(AND(BB3&lt;&gt;0,BB4&lt;&gt;0),(BB3-BB4)/BB4,IF(AND(BB3=0,BB4=0),"",IF(AND(BB3="",BB4=""),"",IF(AND(BB3=0,BB4=""),"", IF(AND(BB3="",BB4=0),"",1)))))</f>
        <v/>
      </c>
      <c r="BC5" s="40" t="str">
        <f t="shared" ref="BC5" si="37">IF(AND(BC3&lt;&gt;0,BC4&lt;&gt;0),(BC3-BC4)/BC4,IF(AND(BC3=0,BC4=0),"",IF(AND(BC3="",BC4=""),"",IF(AND(BC3=0,BC4=""),"", IF(AND(BC3="",BC4=0),"",1)))))</f>
        <v/>
      </c>
      <c r="BD5" s="40" t="str">
        <f t="shared" ref="BD5" si="38">IF(AND(BD3&lt;&gt;0,BD4&lt;&gt;0),(BD3-BD4)/BD4,IF(AND(BD3=0,BD4=0),"",IF(AND(BD3="",BD4=""),"",IF(AND(BD3=0,BD4=""),"", IF(AND(BD3="",BD4=0),"",1)))))</f>
        <v/>
      </c>
      <c r="BE5" s="40" t="str">
        <f t="shared" ref="BE5" si="39">IF(AND(BE3&lt;&gt;0,BE4&lt;&gt;0),(BE3-BE4)/BE4,IF(AND(BE3=0,BE4=0),"",IF(AND(BE3="",BE4=""),"",IF(AND(BE3=0,BE4=""),"", IF(AND(BE3="",BE4=0),"",1)))))</f>
        <v/>
      </c>
      <c r="BF5" s="40" t="str">
        <f t="shared" ref="BF5" si="40">IF(AND(BF3&lt;&gt;0,BF4&lt;&gt;0),(BF3-BF4)/BF4,IF(AND(BF3=0,BF4=0),"",IF(AND(BF3="",BF4=""),"",IF(AND(BF3=0,BF4=""),"", IF(AND(BF3="",BF4=0),"",1)))))</f>
        <v/>
      </c>
      <c r="BG5" s="40" t="str">
        <f t="shared" ref="BG5" si="41">IF(AND(BG3&lt;&gt;0,BG4&lt;&gt;0),(BG3-BG4)/BG4,IF(AND(BG3=0,BG4=0),"",IF(AND(BG3="",BG4=""),"",IF(AND(BG3=0,BG4=""),"", IF(AND(BG3="",BG4=0),"",1)))))</f>
        <v/>
      </c>
      <c r="BH5" s="40" t="str">
        <f t="shared" ref="BH5" si="42">IF(AND(BH3&lt;&gt;0,BH4&lt;&gt;0),(BH3-BH4)/BH4,IF(AND(BH3=0,BH4=0),"",IF(AND(BH3="",BH4=""),"",IF(AND(BH3=0,BH4=""),"", IF(AND(BH3="",BH4=0),"",1)))))</f>
        <v/>
      </c>
      <c r="BI5" s="40" t="str">
        <f t="shared" ref="BI5" si="43">IF(AND(BI3&lt;&gt;0,BI4&lt;&gt;0),(BI3-BI4)/BI4,IF(AND(BI3=0,BI4=0),"",IF(AND(BI3="",BI4=""),"",IF(AND(BI3=0,BI4=""),"", IF(AND(BI3="",BI4=0),"",1)))))</f>
        <v/>
      </c>
      <c r="BJ5" s="40" t="str">
        <f t="shared" ref="BJ5:BX5" si="44">IF(AND(BJ3&lt;&gt;0,BJ4&lt;&gt;0),(BJ3-BJ4)/BJ4,IF(AND(BJ3=0,BJ4=0),"",IF(AND(BJ3="",BJ4=""),"",IF(AND(BJ3=0,BJ4=""),"", IF(AND(BJ3="",BJ4=0),"",1)))))</f>
        <v/>
      </c>
      <c r="BK5" s="40" t="str">
        <f t="shared" si="44"/>
        <v/>
      </c>
      <c r="BL5" s="40" t="str">
        <f t="shared" si="44"/>
        <v/>
      </c>
      <c r="BM5" s="40" t="str">
        <f t="shared" si="44"/>
        <v/>
      </c>
      <c r="BN5" s="40" t="str">
        <f t="shared" si="44"/>
        <v/>
      </c>
      <c r="BO5" s="40" t="str">
        <f t="shared" si="44"/>
        <v/>
      </c>
      <c r="BP5" s="40" t="str">
        <f t="shared" si="44"/>
        <v/>
      </c>
      <c r="BQ5" s="40" t="str">
        <f t="shared" si="44"/>
        <v/>
      </c>
      <c r="BR5" s="40" t="str">
        <f t="shared" si="44"/>
        <v/>
      </c>
      <c r="BS5" s="40" t="str">
        <f t="shared" si="44"/>
        <v/>
      </c>
      <c r="BT5" s="40" t="str">
        <f t="shared" si="44"/>
        <v/>
      </c>
      <c r="BU5" s="40" t="str">
        <f t="shared" si="44"/>
        <v/>
      </c>
      <c r="BV5" s="40" t="str">
        <f t="shared" si="44"/>
        <v/>
      </c>
      <c r="BW5" s="40" t="str">
        <f t="shared" si="44"/>
        <v/>
      </c>
      <c r="BX5" s="40" t="str">
        <f t="shared" si="44"/>
        <v/>
      </c>
      <c r="BY5" s="41">
        <f t="shared" ref="BY5" si="45">IF(AND(BY3&lt;&gt;0,BY4&lt;&gt;0),(BY3-BY4)/BY4,IF(AND(BY3=0,BY4=0),"",IF(AND(BY3="",BY4=""),"",IF(AND(BY3=0,BY4=""),"", IF(AND(BY3="",BY4=0),"",1)))))</f>
        <v>-7.2274998060723183E-2</v>
      </c>
      <c r="BZ5" s="39">
        <f t="shared" ref="BZ5" si="46">IF(AND(BZ3&lt;&gt;0,BZ4&lt;&gt;0),(BZ3-BZ4)/BZ4,IF(AND(BZ3=0,BZ4=0),"",IF(AND(BZ3="",BZ4=""),"",IF(AND(BZ3=0,BZ4=""),"", IF(AND(BZ3="",BZ4=0),"",1)))))</f>
        <v>9.5589699399898384E-5</v>
      </c>
      <c r="CA5" s="40">
        <f t="shared" ref="CA5" si="47">IF(AND(CA3&lt;&gt;0,CA4&lt;&gt;0),(CA3-CA4)/CA4,IF(AND(CA3=0,CA4=0),"",IF(AND(CA3="",CA4=""),"",IF(AND(CA3=0,CA4=""),"", IF(AND(CA3="",CA4=0),"",1)))))</f>
        <v>8.6653670597185243E-5</v>
      </c>
      <c r="CB5" s="40">
        <f t="shared" ref="CB5" si="48">IF(AND(CB3&lt;&gt;0,CB4&lt;&gt;0),(CB3-CB4)/CB4,IF(AND(CB3=0,CB4=0),"",IF(AND(CB3="",CB4=""),"",IF(AND(CB3=0,CB4=""),"", IF(AND(CB3="",CB4=0),"",1)))))</f>
        <v>8.6233365462346867E-5</v>
      </c>
      <c r="CC5" s="40">
        <f t="shared" ref="CC5" si="49">IF(AND(CC3&lt;&gt;0,CC4&lt;&gt;0),(CC3-CC4)/CC4,IF(AND(CC3=0,CC4=0),"",IF(AND(CC3="",CC4=""),"",IF(AND(CC3=0,CC4=""),"", IF(AND(CC3="",CC4=0),"",1)))))</f>
        <v>9.6531457848915805E-5</v>
      </c>
      <c r="CD5" s="40">
        <f t="shared" ref="CD5" si="50">IF(AND(CD3&lt;&gt;0,CD4&lt;&gt;0),(CD3-CD4)/CD4,IF(AND(CD3=0,CD4=0),"",IF(AND(CD3="",CD4=""),"",IF(AND(CD3=0,CD4=""),"", IF(AND(CD3="",CD4=0),"",1)))))</f>
        <v>9.0576242637689557E-5</v>
      </c>
      <c r="CE5" s="40">
        <f t="shared" ref="CE5" si="51">IF(AND(CE3&lt;&gt;0,CE4&lt;&gt;0),(CE3-CE4)/CE4,IF(AND(CE3=0,CE4=0),"",IF(AND(CE3="",CE4=""),"",IF(AND(CE3=0,CE4=""),"", IF(AND(CE3="",CE4=0),"",1)))))</f>
        <v>8.7693193349465306E-5</v>
      </c>
      <c r="CF5" s="40">
        <f t="shared" ref="CF5" si="52">IF(AND(CF3&lt;&gt;0,CF4&lt;&gt;0),(CF3-CF4)/CF4,IF(AND(CF3=0,CF4=0),"",IF(AND(CF3="",CF4=""),"",IF(AND(CF3=0,CF4=""),"", IF(AND(CF3="",CF4=0),"",1)))))</f>
        <v>8.5663498705627856E-5</v>
      </c>
      <c r="CG5" s="40">
        <f t="shared" ref="CG5" si="53">IF(AND(CG3&lt;&gt;0,CG4&lt;&gt;0),(CG3-CG4)/CG4,IF(AND(CG3=0,CG4=0),"",IF(AND(CG3="",CG4=""),"",IF(AND(CG3=0,CG4=""),"", IF(AND(CG3="",CG4=0),"",1)))))</f>
        <v>-4.5519598919664957E-2</v>
      </c>
      <c r="CH5" s="40">
        <f t="shared" ref="CH5" si="54">IF(AND(CH3&lt;&gt;0,CH4&lt;&gt;0),(CH3-CH4)/CH4,IF(AND(CH3=0,CH4=0),"",IF(AND(CH3="",CH4=""),"",IF(AND(CH3=0,CH4=""),"", IF(AND(CH3="",CH4=0),"",1)))))</f>
        <v>-1.1120537478470291E-2</v>
      </c>
      <c r="CI5" s="40">
        <f t="shared" ref="CI5" si="55">IF(AND(CI3&lt;&gt;0,CI4&lt;&gt;0),(CI3-CI4)/CI4,IF(AND(CI3=0,CI4=0),"",IF(AND(CI3="",CI4=""),"",IF(AND(CI3=0,CI4=""),"", IF(AND(CI3="",CI4=0),"",1)))))</f>
        <v>1</v>
      </c>
      <c r="CJ5" s="40">
        <f t="shared" ref="CJ5" si="56">IF(AND(CJ3&lt;&gt;0,CJ4&lt;&gt;0),(CJ3-CJ4)/CJ4,IF(AND(CJ3=0,CJ4=0),"",IF(AND(CJ3="",CJ4=""),"",IF(AND(CJ3=0,CJ4=""),"", IF(AND(CJ3="",CJ4=0),"",1)))))</f>
        <v>1</v>
      </c>
      <c r="CK5" s="40" t="str">
        <f t="shared" ref="CK5" si="57">IF(AND(CK3&lt;&gt;0,CK4&lt;&gt;0),(CK3-CK4)/CK4,IF(AND(CK3=0,CK4=0),"",IF(AND(CK3="",CK4=""),"",IF(AND(CK3=0,CK4=""),"", IF(AND(CK3="",CK4=0),"",1)))))</f>
        <v/>
      </c>
      <c r="CL5" s="40" t="str">
        <f t="shared" ref="CL5" si="58">IF(AND(CL3&lt;&gt;0,CL4&lt;&gt;0),(CL3-CL4)/CL4,IF(AND(CL3=0,CL4=0),"",IF(AND(CL3="",CL4=""),"",IF(AND(CL3=0,CL4=""),"", IF(AND(CL3="",CL4=0),"",1)))))</f>
        <v/>
      </c>
      <c r="CM5" s="40" t="str">
        <f t="shared" ref="CM5" si="59">IF(AND(CM3&lt;&gt;0,CM4&lt;&gt;0),(CM3-CM4)/CM4,IF(AND(CM3=0,CM4=0),"",IF(AND(CM3="",CM4=""),"",IF(AND(CM3=0,CM4=""),"", IF(AND(CM3="",CM4=0),"",1)))))</f>
        <v/>
      </c>
      <c r="CN5" s="40" t="str">
        <f t="shared" ref="CN5" si="60">IF(AND(CN3&lt;&gt;0,CN4&lt;&gt;0),(CN3-CN4)/CN4,IF(AND(CN3=0,CN4=0),"",IF(AND(CN3="",CN4=""),"",IF(AND(CN3=0,CN4=""),"", IF(AND(CN3="",CN4=0),"",1)))))</f>
        <v/>
      </c>
      <c r="CO5" s="40" t="str">
        <f t="shared" ref="CO5" si="61">IF(AND(CO3&lt;&gt;0,CO4&lt;&gt;0),(CO3-CO4)/CO4,IF(AND(CO3=0,CO4=0),"",IF(AND(CO3="",CO4=""),"",IF(AND(CO3=0,CO4=""),"", IF(AND(CO3="",CO4=0),"",1)))))</f>
        <v/>
      </c>
      <c r="CP5" s="40" t="str">
        <f t="shared" ref="CP5" si="62">IF(AND(CP3&lt;&gt;0,CP4&lt;&gt;0),(CP3-CP4)/CP4,IF(AND(CP3=0,CP4=0),"",IF(AND(CP3="",CP4=""),"",IF(AND(CP3=0,CP4=""),"", IF(AND(CP3="",CP4=0),"",1)))))</f>
        <v/>
      </c>
      <c r="CQ5" s="40" t="str">
        <f t="shared" ref="CQ5" si="63">IF(AND(CQ3&lt;&gt;0,CQ4&lt;&gt;0),(CQ3-CQ4)/CQ4,IF(AND(CQ3=0,CQ4=0),"",IF(AND(CQ3="",CQ4=""),"",IF(AND(CQ3=0,CQ4=""),"", IF(AND(CQ3="",CQ4=0),"",1)))))</f>
        <v/>
      </c>
      <c r="CR5" s="40" t="str">
        <f t="shared" ref="CR5" si="64">IF(AND(CR3&lt;&gt;0,CR4&lt;&gt;0),(CR3-CR4)/CR4,IF(AND(CR3=0,CR4=0),"",IF(AND(CR3="",CR4=""),"",IF(AND(CR3=0,CR4=""),"", IF(AND(CR3="",CR4=0),"",1)))))</f>
        <v/>
      </c>
      <c r="CS5" s="40" t="str">
        <f t="shared" ref="CS5" si="65">IF(AND(CS3&lt;&gt;0,CS4&lt;&gt;0),(CS3-CS4)/CS4,IF(AND(CS3=0,CS4=0),"",IF(AND(CS3="",CS4=""),"",IF(AND(CS3=0,CS4=""),"", IF(AND(CS3="",CS4=0),"",1)))))</f>
        <v/>
      </c>
      <c r="CT5" s="40" t="str">
        <f t="shared" ref="CT5" si="66">IF(AND(CT3&lt;&gt;0,CT4&lt;&gt;0),(CT3-CT4)/CT4,IF(AND(CT3=0,CT4=0),"",IF(AND(CT3="",CT4=""),"",IF(AND(CT3=0,CT4=""),"", IF(AND(CT3="",CT4=0),"",1)))))</f>
        <v/>
      </c>
      <c r="CU5" s="40" t="str">
        <f t="shared" ref="CU5" si="67">IF(AND(CU3&lt;&gt;0,CU4&lt;&gt;0),(CU3-CU4)/CU4,IF(AND(CU3=0,CU4=0),"",IF(AND(CU3="",CU4=""),"",IF(AND(CU3=0,CU4=""),"", IF(AND(CU3="",CU4=0),"",1)))))</f>
        <v/>
      </c>
      <c r="CV5" s="40" t="str">
        <f t="shared" ref="CV5:DJ5" si="68">IF(AND(CV3&lt;&gt;0,CV4&lt;&gt;0),(CV3-CV4)/CV4,IF(AND(CV3=0,CV4=0),"",IF(AND(CV3="",CV4=""),"",IF(AND(CV3=0,CV4=""),"", IF(AND(CV3="",CV4=0),"",1)))))</f>
        <v/>
      </c>
      <c r="CW5" s="40" t="str">
        <f t="shared" si="68"/>
        <v/>
      </c>
      <c r="CX5" s="40" t="str">
        <f t="shared" si="68"/>
        <v/>
      </c>
      <c r="CY5" s="40" t="str">
        <f t="shared" si="68"/>
        <v/>
      </c>
      <c r="CZ5" s="40" t="str">
        <f t="shared" si="68"/>
        <v/>
      </c>
      <c r="DA5" s="40" t="str">
        <f t="shared" si="68"/>
        <v/>
      </c>
      <c r="DB5" s="40" t="str">
        <f t="shared" si="68"/>
        <v/>
      </c>
      <c r="DC5" s="40" t="str">
        <f t="shared" si="68"/>
        <v/>
      </c>
      <c r="DD5" s="40" t="str">
        <f t="shared" si="68"/>
        <v/>
      </c>
      <c r="DE5" s="40" t="str">
        <f t="shared" si="68"/>
        <v/>
      </c>
      <c r="DF5" s="40" t="str">
        <f t="shared" si="68"/>
        <v/>
      </c>
      <c r="DG5" s="40" t="str">
        <f t="shared" si="68"/>
        <v/>
      </c>
      <c r="DH5" s="40" t="str">
        <f t="shared" si="68"/>
        <v/>
      </c>
      <c r="DI5" s="40" t="str">
        <f t="shared" si="68"/>
        <v/>
      </c>
      <c r="DJ5" s="40" t="str">
        <f t="shared" si="68"/>
        <v/>
      </c>
      <c r="DK5" s="41">
        <f t="shared" ref="DK5:HU5" si="69">IF(AND(DK3&lt;&gt;0,DK4&lt;&gt;0),(DK3-DK4)/DK4,IF(AND(DK3=0,DK4=0),"",IF(AND(DK3="",DK4=""),"",IF(AND(DK3=0,DK4=""),"", IF(AND(DK3="",DK4=0),"",1)))))</f>
        <v>0.15017253829999419</v>
      </c>
      <c r="DL5" s="72" t="str">
        <f t="shared" si="69"/>
        <v/>
      </c>
      <c r="DM5" s="73" t="str">
        <f t="shared" si="69"/>
        <v/>
      </c>
      <c r="DN5" s="73" t="str">
        <f t="shared" si="69"/>
        <v/>
      </c>
      <c r="DO5" s="73" t="str">
        <f t="shared" si="69"/>
        <v/>
      </c>
      <c r="DP5" s="73" t="str">
        <f t="shared" si="69"/>
        <v/>
      </c>
      <c r="DQ5" s="73" t="str">
        <f t="shared" si="69"/>
        <v/>
      </c>
      <c r="DR5" s="73" t="str">
        <f t="shared" si="69"/>
        <v/>
      </c>
      <c r="DS5" s="73" t="str">
        <f t="shared" si="69"/>
        <v/>
      </c>
      <c r="DT5" s="73" t="str">
        <f t="shared" si="69"/>
        <v/>
      </c>
      <c r="DU5" s="73" t="str">
        <f t="shared" si="69"/>
        <v/>
      </c>
      <c r="DV5" s="73" t="str">
        <f t="shared" si="69"/>
        <v/>
      </c>
      <c r="DW5" s="73" t="str">
        <f t="shared" si="69"/>
        <v/>
      </c>
      <c r="DX5" s="73" t="str">
        <f t="shared" si="69"/>
        <v/>
      </c>
      <c r="DY5" s="73" t="str">
        <f t="shared" si="69"/>
        <v/>
      </c>
      <c r="DZ5" s="73" t="str">
        <f t="shared" si="69"/>
        <v/>
      </c>
      <c r="EA5" s="73" t="str">
        <f t="shared" si="69"/>
        <v/>
      </c>
      <c r="EB5" s="73" t="str">
        <f t="shared" si="69"/>
        <v/>
      </c>
      <c r="EC5" s="73" t="str">
        <f t="shared" si="69"/>
        <v/>
      </c>
      <c r="ED5" s="73" t="str">
        <f t="shared" si="69"/>
        <v/>
      </c>
      <c r="EE5" s="73" t="str">
        <f t="shared" si="69"/>
        <v/>
      </c>
      <c r="EF5" s="73" t="str">
        <f t="shared" si="69"/>
        <v/>
      </c>
      <c r="EG5" s="73" t="str">
        <f t="shared" si="69"/>
        <v/>
      </c>
      <c r="EH5" s="73" t="str">
        <f t="shared" si="69"/>
        <v/>
      </c>
      <c r="EI5" s="73" t="str">
        <f t="shared" ref="EI5:EV5" si="70">IF(AND(EI3&lt;&gt;0,EI4&lt;&gt;0),(EI3-EI4)/EI4,IF(AND(EI3=0,EI4=0),"",IF(AND(EI3="",EI4=""),"",IF(AND(EI3=0,EI4=""),"", IF(AND(EI3="",EI4=0),"",1)))))</f>
        <v/>
      </c>
      <c r="EJ5" s="73" t="str">
        <f t="shared" si="70"/>
        <v/>
      </c>
      <c r="EK5" s="73" t="str">
        <f t="shared" si="70"/>
        <v/>
      </c>
      <c r="EL5" s="73" t="str">
        <f t="shared" si="70"/>
        <v/>
      </c>
      <c r="EM5" s="73" t="str">
        <f t="shared" si="70"/>
        <v/>
      </c>
      <c r="EN5" s="73" t="str">
        <f t="shared" si="70"/>
        <v/>
      </c>
      <c r="EO5" s="73" t="str">
        <f t="shared" si="70"/>
        <v/>
      </c>
      <c r="EP5" s="73" t="str">
        <f t="shared" si="70"/>
        <v/>
      </c>
      <c r="EQ5" s="73" t="str">
        <f t="shared" si="70"/>
        <v/>
      </c>
      <c r="ER5" s="73" t="str">
        <f t="shared" si="70"/>
        <v/>
      </c>
      <c r="ES5" s="73" t="str">
        <f t="shared" si="70"/>
        <v/>
      </c>
      <c r="ET5" s="73" t="str">
        <f t="shared" si="70"/>
        <v/>
      </c>
      <c r="EU5" s="73" t="str">
        <f t="shared" si="70"/>
        <v/>
      </c>
      <c r="EV5" s="73" t="str">
        <f t="shared" si="70"/>
        <v/>
      </c>
      <c r="EW5" s="74" t="str">
        <f t="shared" si="69"/>
        <v/>
      </c>
      <c r="EX5" s="72">
        <f t="shared" ref="EX5:GI5" si="71">IF(AND(EX3&lt;&gt;0,EX4&lt;&gt;0),(EX3-EX4)/EX4,IF(AND(EX3=0,EX4=0),"",IF(AND(EX3="",EX4=""),"",IF(AND(EX3=0,EX4=""),"", IF(AND(EX3="",EX4=0),"",1)))))</f>
        <v>1</v>
      </c>
      <c r="EY5" s="73">
        <f t="shared" si="71"/>
        <v>1</v>
      </c>
      <c r="EZ5" s="73">
        <f t="shared" si="71"/>
        <v>1</v>
      </c>
      <c r="FA5" s="73">
        <f t="shared" si="71"/>
        <v>1</v>
      </c>
      <c r="FB5" s="73">
        <f t="shared" si="71"/>
        <v>1</v>
      </c>
      <c r="FC5" s="73">
        <f t="shared" si="71"/>
        <v>1</v>
      </c>
      <c r="FD5" s="73">
        <f t="shared" si="71"/>
        <v>1</v>
      </c>
      <c r="FE5" s="73">
        <f t="shared" si="71"/>
        <v>1</v>
      </c>
      <c r="FF5" s="73">
        <f t="shared" si="71"/>
        <v>1</v>
      </c>
      <c r="FG5" s="73">
        <f t="shared" si="71"/>
        <v>1</v>
      </c>
      <c r="FH5" s="73">
        <f t="shared" si="71"/>
        <v>1</v>
      </c>
      <c r="FI5" s="73" t="str">
        <f t="shared" si="71"/>
        <v/>
      </c>
      <c r="FJ5" s="73" t="str">
        <f t="shared" si="71"/>
        <v/>
      </c>
      <c r="FK5" s="73" t="str">
        <f t="shared" si="71"/>
        <v/>
      </c>
      <c r="FL5" s="73" t="str">
        <f t="shared" si="71"/>
        <v/>
      </c>
      <c r="FM5" s="73" t="str">
        <f t="shared" si="71"/>
        <v/>
      </c>
      <c r="FN5" s="73" t="str">
        <f t="shared" si="71"/>
        <v/>
      </c>
      <c r="FO5" s="73" t="str">
        <f t="shared" si="71"/>
        <v/>
      </c>
      <c r="FP5" s="73" t="str">
        <f t="shared" si="71"/>
        <v/>
      </c>
      <c r="FQ5" s="73" t="str">
        <f t="shared" si="71"/>
        <v/>
      </c>
      <c r="FR5" s="73" t="str">
        <f t="shared" si="71"/>
        <v/>
      </c>
      <c r="FS5" s="73" t="str">
        <f t="shared" si="71"/>
        <v/>
      </c>
      <c r="FT5" s="73" t="str">
        <f t="shared" si="71"/>
        <v/>
      </c>
      <c r="FU5" s="73" t="str">
        <f t="shared" ref="FU5:GH5" si="72">IF(AND(FU3&lt;&gt;0,FU4&lt;&gt;0),(FU3-FU4)/FU4,IF(AND(FU3=0,FU4=0),"",IF(AND(FU3="",FU4=""),"",IF(AND(FU3=0,FU4=""),"", IF(AND(FU3="",FU4=0),"",1)))))</f>
        <v/>
      </c>
      <c r="FV5" s="73" t="str">
        <f t="shared" si="72"/>
        <v/>
      </c>
      <c r="FW5" s="73" t="str">
        <f t="shared" si="72"/>
        <v/>
      </c>
      <c r="FX5" s="73" t="str">
        <f t="shared" si="72"/>
        <v/>
      </c>
      <c r="FY5" s="73" t="str">
        <f t="shared" si="72"/>
        <v/>
      </c>
      <c r="FZ5" s="73" t="str">
        <f t="shared" si="72"/>
        <v/>
      </c>
      <c r="GA5" s="73" t="str">
        <f t="shared" si="72"/>
        <v/>
      </c>
      <c r="GB5" s="73" t="str">
        <f t="shared" si="72"/>
        <v/>
      </c>
      <c r="GC5" s="73" t="str">
        <f t="shared" si="72"/>
        <v/>
      </c>
      <c r="GD5" s="73" t="str">
        <f t="shared" si="72"/>
        <v/>
      </c>
      <c r="GE5" s="73" t="str">
        <f t="shared" si="72"/>
        <v/>
      </c>
      <c r="GF5" s="73" t="str">
        <f t="shared" si="72"/>
        <v/>
      </c>
      <c r="GG5" s="73" t="str">
        <f t="shared" si="72"/>
        <v/>
      </c>
      <c r="GH5" s="73" t="str">
        <f t="shared" si="72"/>
        <v/>
      </c>
      <c r="GI5" s="74">
        <f t="shared" si="71"/>
        <v>1</v>
      </c>
      <c r="GJ5" s="72" t="str">
        <f t="shared" si="69"/>
        <v/>
      </c>
      <c r="GK5" s="73" t="str">
        <f t="shared" si="69"/>
        <v/>
      </c>
      <c r="GL5" s="73" t="str">
        <f t="shared" si="69"/>
        <v/>
      </c>
      <c r="GM5" s="73" t="str">
        <f t="shared" si="69"/>
        <v/>
      </c>
      <c r="GN5" s="73" t="str">
        <f t="shared" si="69"/>
        <v/>
      </c>
      <c r="GO5" s="73" t="str">
        <f t="shared" si="69"/>
        <v/>
      </c>
      <c r="GP5" s="73" t="str">
        <f t="shared" si="69"/>
        <v/>
      </c>
      <c r="GQ5" s="73" t="str">
        <f t="shared" si="69"/>
        <v/>
      </c>
      <c r="GR5" s="73" t="str">
        <f t="shared" si="69"/>
        <v/>
      </c>
      <c r="GS5" s="73" t="str">
        <f t="shared" si="69"/>
        <v/>
      </c>
      <c r="GT5" s="73" t="str">
        <f t="shared" si="69"/>
        <v/>
      </c>
      <c r="GU5" s="73" t="str">
        <f t="shared" si="69"/>
        <v/>
      </c>
      <c r="GV5" s="73" t="str">
        <f t="shared" si="69"/>
        <v/>
      </c>
      <c r="GW5" s="73" t="str">
        <f t="shared" si="69"/>
        <v/>
      </c>
      <c r="GX5" s="73" t="str">
        <f t="shared" si="69"/>
        <v/>
      </c>
      <c r="GY5" s="73" t="str">
        <f t="shared" si="69"/>
        <v/>
      </c>
      <c r="GZ5" s="73" t="str">
        <f t="shared" si="69"/>
        <v/>
      </c>
      <c r="HA5" s="73" t="str">
        <f t="shared" si="69"/>
        <v/>
      </c>
      <c r="HB5" s="73" t="str">
        <f t="shared" si="69"/>
        <v/>
      </c>
      <c r="HC5" s="73" t="str">
        <f t="shared" si="69"/>
        <v/>
      </c>
      <c r="HD5" s="73" t="str">
        <f t="shared" si="69"/>
        <v/>
      </c>
      <c r="HE5" s="73" t="str">
        <f t="shared" si="69"/>
        <v/>
      </c>
      <c r="HF5" s="73" t="str">
        <f t="shared" si="69"/>
        <v/>
      </c>
      <c r="HG5" s="73" t="str">
        <f t="shared" ref="HG5:HT5" si="73">IF(AND(HG3&lt;&gt;0,HG4&lt;&gt;0),(HG3-HG4)/HG4,IF(AND(HG3=0,HG4=0),"",IF(AND(HG3="",HG4=""),"",IF(AND(HG3=0,HG4=""),"", IF(AND(HG3="",HG4=0),"",1)))))</f>
        <v/>
      </c>
      <c r="HH5" s="73" t="str">
        <f t="shared" si="73"/>
        <v/>
      </c>
      <c r="HI5" s="73" t="str">
        <f t="shared" si="73"/>
        <v/>
      </c>
      <c r="HJ5" s="73" t="str">
        <f t="shared" si="73"/>
        <v/>
      </c>
      <c r="HK5" s="73" t="str">
        <f t="shared" si="73"/>
        <v/>
      </c>
      <c r="HL5" s="73" t="str">
        <f t="shared" si="73"/>
        <v/>
      </c>
      <c r="HM5" s="73" t="str">
        <f t="shared" si="73"/>
        <v/>
      </c>
      <c r="HN5" s="73" t="str">
        <f t="shared" si="73"/>
        <v/>
      </c>
      <c r="HO5" s="73" t="str">
        <f t="shared" si="73"/>
        <v/>
      </c>
      <c r="HP5" s="73" t="str">
        <f t="shared" si="73"/>
        <v/>
      </c>
      <c r="HQ5" s="73" t="str">
        <f t="shared" si="73"/>
        <v/>
      </c>
      <c r="HR5" s="73" t="str">
        <f t="shared" si="73"/>
        <v/>
      </c>
      <c r="HS5" s="73" t="str">
        <f t="shared" si="73"/>
        <v/>
      </c>
      <c r="HT5" s="73" t="str">
        <f t="shared" si="73"/>
        <v/>
      </c>
      <c r="HU5" s="74" t="str">
        <f t="shared" si="69"/>
        <v/>
      </c>
      <c r="HV5" s="39">
        <f t="shared" ref="HV5" si="74">IF(AND(HV3&lt;&gt;0,HV4&lt;&gt;0),(HV3-HV4)/HV4,IF(AND(HV3=0,HV4=0),"",IF(AND(HV3="",HV4=""),"",IF(AND(HV3=0,HV4=""),"", IF(AND(HV3="",HV4=0),"",1)))))</f>
        <v>1.0316013892232042E-4</v>
      </c>
      <c r="HW5" s="40">
        <f t="shared" ref="HW5" si="75">IF(AND(HW3&lt;&gt;0,HW4&lt;&gt;0),(HW3-HW4)/HW4,IF(AND(HW3=0,HW4=0),"",IF(AND(HW3="",HW4=""),"",IF(AND(HW3=0,HW4=""),"", IF(AND(HW3="",HW4=0),"",1)))))</f>
        <v>6.9801530980246172E-5</v>
      </c>
      <c r="HX5" s="40">
        <f t="shared" ref="HX5" si="76">IF(AND(HX3&lt;&gt;0,HX4&lt;&gt;0),(HX3-HX4)/HX4,IF(AND(HX3=0,HX4=0),"",IF(AND(HX3="",HX4=""),"",IF(AND(HX3=0,HX4=""),"", IF(AND(HX3="",HX4=0),"",1)))))</f>
        <v>9.2724055144898402E-5</v>
      </c>
      <c r="HY5" s="40">
        <f t="shared" ref="HY5" si="77">IF(AND(HY3&lt;&gt;0,HY4&lt;&gt;0),(HY3-HY4)/HY4,IF(AND(HY3=0,HY4=0),"",IF(AND(HY3="",HY4=""),"",IF(AND(HY3=0,HY4=""),"", IF(AND(HY3="",HY4=0),"",1)))))</f>
        <v>7.1795239975589625E-5</v>
      </c>
      <c r="HZ5" s="40">
        <f t="shared" ref="HZ5" si="78">IF(AND(HZ3&lt;&gt;0,HZ4&lt;&gt;0),(HZ3-HZ4)/HZ4,IF(AND(HZ3=0,HZ4=0),"",IF(AND(HZ3="",HZ4=""),"",IF(AND(HZ3=0,HZ4=""),"", IF(AND(HZ3="",HZ4=0),"",1)))))</f>
        <v>1.8983696812295431E-4</v>
      </c>
      <c r="IA5" s="40">
        <f t="shared" ref="IA5" si="79">IF(AND(IA3&lt;&gt;0,IA4&lt;&gt;0),(IA3-IA4)/IA4,IF(AND(IA3=0,IA4=0),"",IF(AND(IA3="",IA4=""),"",IF(AND(IA3=0,IA4=""),"", IF(AND(IA3="",IA4=0),"",1)))))</f>
        <v>6.2869357475166599E-5</v>
      </c>
      <c r="IB5" s="40">
        <f t="shared" ref="IB5" si="80">IF(AND(IB3&lt;&gt;0,IB4&lt;&gt;0),(IB3-IB4)/IB4,IF(AND(IB3=0,IB4=0),"",IF(AND(IB3="",IB4=""),"",IF(AND(IB3=0,IB4=""),"", IF(AND(IB3="",IB4=0),"",1)))))</f>
        <v>0</v>
      </c>
      <c r="IC5" s="40">
        <f t="shared" ref="IC5" si="81">IF(AND(IC3&lt;&gt;0,IC4&lt;&gt;0),(IC3-IC4)/IC4,IF(AND(IC3=0,IC4=0),"",IF(AND(IC3="",IC4=""),"",IF(AND(IC3=0,IC4=""),"", IF(AND(IC3="",IC4=0),"",1)))))</f>
        <v>2.0370747606437156E-4</v>
      </c>
      <c r="ID5" s="40">
        <f t="shared" ref="ID5" si="82">IF(AND(ID3&lt;&gt;0,ID4&lt;&gt;0),(ID3-ID4)/ID4,IF(AND(ID3=0,ID4=0),"",IF(AND(ID3="",ID4=""),"",IF(AND(ID3=0,ID4=""),"", IF(AND(ID3="",ID4=0),"",1)))))</f>
        <v>1.1071341378348214E-2</v>
      </c>
      <c r="IE5" s="40">
        <f t="shared" ref="IE5" si="83">IF(AND(IE3&lt;&gt;0,IE4&lt;&gt;0),(IE3-IE4)/IE4,IF(AND(IE3=0,IE4=0),"",IF(AND(IE3="",IE4=""),"",IF(AND(IE3=0,IE4=""),"", IF(AND(IE3="",IE4=0),"",1)))))</f>
        <v>-0.98840336354930536</v>
      </c>
      <c r="IF5" s="40">
        <f t="shared" ref="IF5" si="84">IF(AND(IF3&lt;&gt;0,IF4&lt;&gt;0),(IF3-IF4)/IF4,IF(AND(IF3=0,IF4=0),"",IF(AND(IF3="",IF4=""),"",IF(AND(IF3=0,IF4=""),"", IF(AND(IF3="",IF4=0),"",1)))))</f>
        <v>1</v>
      </c>
      <c r="IG5" s="40" t="str">
        <f t="shared" ref="IG5" si="85">IF(AND(IG3&lt;&gt;0,IG4&lt;&gt;0),(IG3-IG4)/IG4,IF(AND(IG3=0,IG4=0),"",IF(AND(IG3="",IG4=""),"",IF(AND(IG3=0,IG4=""),"", IF(AND(IG3="",IG4=0),"",1)))))</f>
        <v/>
      </c>
      <c r="IH5" s="40" t="str">
        <f t="shared" ref="IH5" si="86">IF(AND(IH3&lt;&gt;0,IH4&lt;&gt;0),(IH3-IH4)/IH4,IF(AND(IH3=0,IH4=0),"",IF(AND(IH3="",IH4=""),"",IF(AND(IH3=0,IH4=""),"", IF(AND(IH3="",IH4=0),"",1)))))</f>
        <v/>
      </c>
      <c r="II5" s="40" t="str">
        <f t="shared" ref="II5" si="87">IF(AND(II3&lt;&gt;0,II4&lt;&gt;0),(II3-II4)/II4,IF(AND(II3=0,II4=0),"",IF(AND(II3="",II4=""),"",IF(AND(II3=0,II4=""),"", IF(AND(II3="",II4=0),"",1)))))</f>
        <v/>
      </c>
      <c r="IJ5" s="40" t="str">
        <f t="shared" ref="IJ5" si="88">IF(AND(IJ3&lt;&gt;0,IJ4&lt;&gt;0),(IJ3-IJ4)/IJ4,IF(AND(IJ3=0,IJ4=0),"",IF(AND(IJ3="",IJ4=""),"",IF(AND(IJ3=0,IJ4=""),"", IF(AND(IJ3="",IJ4=0),"",1)))))</f>
        <v/>
      </c>
      <c r="IK5" s="40" t="str">
        <f t="shared" ref="IK5" si="89">IF(AND(IK3&lt;&gt;0,IK4&lt;&gt;0),(IK3-IK4)/IK4,IF(AND(IK3=0,IK4=0),"",IF(AND(IK3="",IK4=""),"",IF(AND(IK3=0,IK4=""),"", IF(AND(IK3="",IK4=0),"",1)))))</f>
        <v/>
      </c>
      <c r="IL5" s="40" t="str">
        <f t="shared" ref="IL5" si="90">IF(AND(IL3&lt;&gt;0,IL4&lt;&gt;0),(IL3-IL4)/IL4,IF(AND(IL3=0,IL4=0),"",IF(AND(IL3="",IL4=""),"",IF(AND(IL3=0,IL4=""),"", IF(AND(IL3="",IL4=0),"",1)))))</f>
        <v/>
      </c>
      <c r="IM5" s="40" t="str">
        <f t="shared" ref="IM5" si="91">IF(AND(IM3&lt;&gt;0,IM4&lt;&gt;0),(IM3-IM4)/IM4,IF(AND(IM3=0,IM4=0),"",IF(AND(IM3="",IM4=""),"",IF(AND(IM3=0,IM4=""),"", IF(AND(IM3="",IM4=0),"",1)))))</f>
        <v/>
      </c>
      <c r="IN5" s="40" t="str">
        <f t="shared" ref="IN5" si="92">IF(AND(IN3&lt;&gt;0,IN4&lt;&gt;0),(IN3-IN4)/IN4,IF(AND(IN3=0,IN4=0),"",IF(AND(IN3="",IN4=""),"",IF(AND(IN3=0,IN4=""),"", IF(AND(IN3="",IN4=0),"",1)))))</f>
        <v/>
      </c>
      <c r="IO5" s="40" t="str">
        <f t="shared" ref="IO5" si="93">IF(AND(IO3&lt;&gt;0,IO4&lt;&gt;0),(IO3-IO4)/IO4,IF(AND(IO3=0,IO4=0),"",IF(AND(IO3="",IO4=""),"",IF(AND(IO3=0,IO4=""),"", IF(AND(IO3="",IO4=0),"",1)))))</f>
        <v/>
      </c>
      <c r="IP5" s="40" t="str">
        <f t="shared" ref="IP5" si="94">IF(AND(IP3&lt;&gt;0,IP4&lt;&gt;0),(IP3-IP4)/IP4,IF(AND(IP3=0,IP4=0),"",IF(AND(IP3="",IP4=""),"",IF(AND(IP3=0,IP4=""),"", IF(AND(IP3="",IP4=0),"",1)))))</f>
        <v/>
      </c>
      <c r="IQ5" s="40" t="str">
        <f t="shared" ref="IQ5" si="95">IF(AND(IQ3&lt;&gt;0,IQ4&lt;&gt;0),(IQ3-IQ4)/IQ4,IF(AND(IQ3=0,IQ4=0),"",IF(AND(IQ3="",IQ4=""),"",IF(AND(IQ3=0,IQ4=""),"", IF(AND(IQ3="",IQ4=0),"",1)))))</f>
        <v/>
      </c>
      <c r="IR5" s="40" t="str">
        <f t="shared" ref="IR5:JF5" si="96">IF(AND(IR3&lt;&gt;0,IR4&lt;&gt;0),(IR3-IR4)/IR4,IF(AND(IR3=0,IR4=0),"",IF(AND(IR3="",IR4=""),"",IF(AND(IR3=0,IR4=""),"", IF(AND(IR3="",IR4=0),"",1)))))</f>
        <v/>
      </c>
      <c r="IS5" s="40" t="str">
        <f t="shared" si="96"/>
        <v/>
      </c>
      <c r="IT5" s="40" t="str">
        <f t="shared" si="96"/>
        <v/>
      </c>
      <c r="IU5" s="40" t="str">
        <f t="shared" si="96"/>
        <v/>
      </c>
      <c r="IV5" s="40" t="str">
        <f t="shared" si="96"/>
        <v/>
      </c>
      <c r="IW5" s="40" t="str">
        <f t="shared" si="96"/>
        <v/>
      </c>
      <c r="IX5" s="40" t="str">
        <f t="shared" si="96"/>
        <v/>
      </c>
      <c r="IY5" s="40" t="str">
        <f t="shared" si="96"/>
        <v/>
      </c>
      <c r="IZ5" s="40" t="str">
        <f t="shared" si="96"/>
        <v/>
      </c>
      <c r="JA5" s="40" t="str">
        <f t="shared" si="96"/>
        <v/>
      </c>
      <c r="JB5" s="40" t="str">
        <f t="shared" si="96"/>
        <v/>
      </c>
      <c r="JC5" s="40" t="str">
        <f t="shared" si="96"/>
        <v/>
      </c>
      <c r="JD5" s="40" t="str">
        <f t="shared" si="96"/>
        <v/>
      </c>
      <c r="JE5" s="40" t="str">
        <f t="shared" si="96"/>
        <v/>
      </c>
      <c r="JF5" s="40" t="str">
        <f t="shared" si="96"/>
        <v/>
      </c>
      <c r="JG5" s="41">
        <f t="shared" ref="JG5:NQ5" si="97">IF(AND(JG3&lt;&gt;0,JG4&lt;&gt;0),(JG3-JG4)/JG4,IF(AND(JG3=0,JG4=0),"",IF(AND(JG3="",JG4=""),"",IF(AND(JG3=0,JG4=""),"", IF(AND(JG3="",JG4=0),"",1)))))</f>
        <v>-0.4053975033413309</v>
      </c>
      <c r="JH5" s="72" t="str">
        <f t="shared" si="97"/>
        <v/>
      </c>
      <c r="JI5" s="73" t="str">
        <f t="shared" si="97"/>
        <v/>
      </c>
      <c r="JJ5" s="73" t="str">
        <f t="shared" si="97"/>
        <v/>
      </c>
      <c r="JK5" s="73" t="str">
        <f t="shared" si="97"/>
        <v/>
      </c>
      <c r="JL5" s="73" t="str">
        <f t="shared" si="97"/>
        <v/>
      </c>
      <c r="JM5" s="73" t="str">
        <f t="shared" si="97"/>
        <v/>
      </c>
      <c r="JN5" s="73" t="str">
        <f t="shared" si="97"/>
        <v/>
      </c>
      <c r="JO5" s="73" t="str">
        <f t="shared" si="97"/>
        <v/>
      </c>
      <c r="JP5" s="73" t="str">
        <f t="shared" si="97"/>
        <v/>
      </c>
      <c r="JQ5" s="73" t="str">
        <f t="shared" si="97"/>
        <v/>
      </c>
      <c r="JR5" s="73" t="str">
        <f t="shared" si="97"/>
        <v/>
      </c>
      <c r="JS5" s="73" t="str">
        <f t="shared" si="97"/>
        <v/>
      </c>
      <c r="JT5" s="73" t="str">
        <f t="shared" si="97"/>
        <v/>
      </c>
      <c r="JU5" s="73" t="str">
        <f t="shared" si="97"/>
        <v/>
      </c>
      <c r="JV5" s="73" t="str">
        <f t="shared" si="97"/>
        <v/>
      </c>
      <c r="JW5" s="73" t="str">
        <f t="shared" si="97"/>
        <v/>
      </c>
      <c r="JX5" s="73" t="str">
        <f t="shared" si="97"/>
        <v/>
      </c>
      <c r="JY5" s="73" t="str">
        <f t="shared" si="97"/>
        <v/>
      </c>
      <c r="JZ5" s="73" t="str">
        <f t="shared" si="97"/>
        <v/>
      </c>
      <c r="KA5" s="73" t="str">
        <f t="shared" si="97"/>
        <v/>
      </c>
      <c r="KB5" s="73" t="str">
        <f t="shared" si="97"/>
        <v/>
      </c>
      <c r="KC5" s="73" t="str">
        <f t="shared" si="97"/>
        <v/>
      </c>
      <c r="KD5" s="73" t="str">
        <f t="shared" si="97"/>
        <v/>
      </c>
      <c r="KE5" s="73" t="str">
        <f t="shared" ref="KE5:KR5" si="98">IF(AND(KE3&lt;&gt;0,KE4&lt;&gt;0),(KE3-KE4)/KE4,IF(AND(KE3=0,KE4=0),"",IF(AND(KE3="",KE4=""),"",IF(AND(KE3=0,KE4=""),"", IF(AND(KE3="",KE4=0),"",1)))))</f>
        <v/>
      </c>
      <c r="KF5" s="73" t="str">
        <f t="shared" si="98"/>
        <v/>
      </c>
      <c r="KG5" s="73" t="str">
        <f t="shared" si="98"/>
        <v/>
      </c>
      <c r="KH5" s="73" t="str">
        <f t="shared" si="98"/>
        <v/>
      </c>
      <c r="KI5" s="73" t="str">
        <f t="shared" si="98"/>
        <v/>
      </c>
      <c r="KJ5" s="73" t="str">
        <f t="shared" si="98"/>
        <v/>
      </c>
      <c r="KK5" s="73" t="str">
        <f t="shared" si="98"/>
        <v/>
      </c>
      <c r="KL5" s="73" t="str">
        <f t="shared" si="98"/>
        <v/>
      </c>
      <c r="KM5" s="73" t="str">
        <f t="shared" si="98"/>
        <v/>
      </c>
      <c r="KN5" s="73" t="str">
        <f t="shared" si="98"/>
        <v/>
      </c>
      <c r="KO5" s="73" t="str">
        <f t="shared" si="98"/>
        <v/>
      </c>
      <c r="KP5" s="73" t="str">
        <f t="shared" si="98"/>
        <v/>
      </c>
      <c r="KQ5" s="73" t="str">
        <f t="shared" si="98"/>
        <v/>
      </c>
      <c r="KR5" s="73" t="str">
        <f t="shared" si="98"/>
        <v/>
      </c>
      <c r="KS5" s="74" t="str">
        <f t="shared" si="97"/>
        <v/>
      </c>
      <c r="KT5" s="72" t="str">
        <f t="shared" ref="KT5:ME5" si="99">IF(AND(KT3&lt;&gt;0,KT4&lt;&gt;0),(KT3-KT4)/KT4,IF(AND(KT3=0,KT4=0),"",IF(AND(KT3="",KT4=""),"",IF(AND(KT3=0,KT4=""),"", IF(AND(KT3="",KT4=0),"",1)))))</f>
        <v/>
      </c>
      <c r="KU5" s="73" t="str">
        <f t="shared" si="99"/>
        <v/>
      </c>
      <c r="KV5" s="73" t="str">
        <f t="shared" si="99"/>
        <v/>
      </c>
      <c r="KW5" s="73" t="str">
        <f t="shared" si="99"/>
        <v/>
      </c>
      <c r="KX5" s="73" t="str">
        <f t="shared" si="99"/>
        <v/>
      </c>
      <c r="KY5" s="73" t="str">
        <f t="shared" si="99"/>
        <v/>
      </c>
      <c r="KZ5" s="73" t="str">
        <f t="shared" si="99"/>
        <v/>
      </c>
      <c r="LA5" s="73">
        <f t="shared" si="99"/>
        <v>1</v>
      </c>
      <c r="LB5" s="73">
        <f t="shared" si="99"/>
        <v>1</v>
      </c>
      <c r="LC5" s="73">
        <f t="shared" si="99"/>
        <v>1</v>
      </c>
      <c r="LD5" s="73">
        <f t="shared" si="99"/>
        <v>1</v>
      </c>
      <c r="LE5" s="73" t="str">
        <f t="shared" si="99"/>
        <v/>
      </c>
      <c r="LF5" s="73" t="str">
        <f t="shared" si="99"/>
        <v/>
      </c>
      <c r="LG5" s="73" t="str">
        <f t="shared" si="99"/>
        <v/>
      </c>
      <c r="LH5" s="73" t="str">
        <f t="shared" si="99"/>
        <v/>
      </c>
      <c r="LI5" s="73" t="str">
        <f t="shared" si="99"/>
        <v/>
      </c>
      <c r="LJ5" s="73" t="str">
        <f t="shared" si="99"/>
        <v/>
      </c>
      <c r="LK5" s="73" t="str">
        <f t="shared" si="99"/>
        <v/>
      </c>
      <c r="LL5" s="73" t="str">
        <f t="shared" si="99"/>
        <v/>
      </c>
      <c r="LM5" s="73" t="str">
        <f t="shared" si="99"/>
        <v/>
      </c>
      <c r="LN5" s="73" t="str">
        <f t="shared" si="99"/>
        <v/>
      </c>
      <c r="LO5" s="73" t="str">
        <f t="shared" si="99"/>
        <v/>
      </c>
      <c r="LP5" s="73" t="str">
        <f t="shared" si="99"/>
        <v/>
      </c>
      <c r="LQ5" s="73" t="str">
        <f t="shared" ref="LQ5:MD5" si="100">IF(AND(LQ3&lt;&gt;0,LQ4&lt;&gt;0),(LQ3-LQ4)/LQ4,IF(AND(LQ3=0,LQ4=0),"",IF(AND(LQ3="",LQ4=""),"",IF(AND(LQ3=0,LQ4=""),"", IF(AND(LQ3="",LQ4=0),"",1)))))</f>
        <v/>
      </c>
      <c r="LR5" s="73" t="str">
        <f t="shared" si="100"/>
        <v/>
      </c>
      <c r="LS5" s="73" t="str">
        <f t="shared" si="100"/>
        <v/>
      </c>
      <c r="LT5" s="73" t="str">
        <f t="shared" si="100"/>
        <v/>
      </c>
      <c r="LU5" s="73" t="str">
        <f t="shared" si="100"/>
        <v/>
      </c>
      <c r="LV5" s="73" t="str">
        <f t="shared" si="100"/>
        <v/>
      </c>
      <c r="LW5" s="73" t="str">
        <f t="shared" si="100"/>
        <v/>
      </c>
      <c r="LX5" s="73" t="str">
        <f t="shared" si="100"/>
        <v/>
      </c>
      <c r="LY5" s="73" t="str">
        <f t="shared" si="100"/>
        <v/>
      </c>
      <c r="LZ5" s="73" t="str">
        <f t="shared" si="100"/>
        <v/>
      </c>
      <c r="MA5" s="73" t="str">
        <f t="shared" si="100"/>
        <v/>
      </c>
      <c r="MB5" s="73" t="str">
        <f t="shared" si="100"/>
        <v/>
      </c>
      <c r="MC5" s="73" t="str">
        <f t="shared" si="100"/>
        <v/>
      </c>
      <c r="MD5" s="73" t="str">
        <f t="shared" si="100"/>
        <v/>
      </c>
      <c r="ME5" s="74">
        <f t="shared" si="99"/>
        <v>1</v>
      </c>
      <c r="MF5" s="72">
        <f t="shared" si="97"/>
        <v>1</v>
      </c>
      <c r="MG5" s="73">
        <f t="shared" si="97"/>
        <v>1</v>
      </c>
      <c r="MH5" s="73">
        <f t="shared" si="97"/>
        <v>1</v>
      </c>
      <c r="MI5" s="73">
        <f t="shared" si="97"/>
        <v>1</v>
      </c>
      <c r="MJ5" s="73">
        <f t="shared" si="97"/>
        <v>1</v>
      </c>
      <c r="MK5" s="73">
        <f t="shared" si="97"/>
        <v>1</v>
      </c>
      <c r="ML5" s="73" t="str">
        <f t="shared" si="97"/>
        <v/>
      </c>
      <c r="MM5" s="73" t="str">
        <f t="shared" si="97"/>
        <v/>
      </c>
      <c r="MN5" s="73" t="str">
        <f t="shared" si="97"/>
        <v/>
      </c>
      <c r="MO5" s="73" t="str">
        <f t="shared" si="97"/>
        <v/>
      </c>
      <c r="MP5" s="73" t="str">
        <f t="shared" si="97"/>
        <v/>
      </c>
      <c r="MQ5" s="73" t="str">
        <f t="shared" si="97"/>
        <v/>
      </c>
      <c r="MR5" s="73" t="str">
        <f t="shared" si="97"/>
        <v/>
      </c>
      <c r="MS5" s="73" t="str">
        <f t="shared" si="97"/>
        <v/>
      </c>
      <c r="MT5" s="73" t="str">
        <f t="shared" si="97"/>
        <v/>
      </c>
      <c r="MU5" s="73" t="str">
        <f t="shared" si="97"/>
        <v/>
      </c>
      <c r="MV5" s="73" t="str">
        <f t="shared" si="97"/>
        <v/>
      </c>
      <c r="MW5" s="73" t="str">
        <f t="shared" si="97"/>
        <v/>
      </c>
      <c r="MX5" s="73" t="str">
        <f t="shared" si="97"/>
        <v/>
      </c>
      <c r="MY5" s="73" t="str">
        <f t="shared" si="97"/>
        <v/>
      </c>
      <c r="MZ5" s="73" t="str">
        <f t="shared" si="97"/>
        <v/>
      </c>
      <c r="NA5" s="73" t="str">
        <f t="shared" si="97"/>
        <v/>
      </c>
      <c r="NB5" s="73" t="str">
        <f t="shared" si="97"/>
        <v/>
      </c>
      <c r="NC5" s="73" t="str">
        <f t="shared" ref="NC5:NP5" si="101">IF(AND(NC3&lt;&gt;0,NC4&lt;&gt;0),(NC3-NC4)/NC4,IF(AND(NC3=0,NC4=0),"",IF(AND(NC3="",NC4=""),"",IF(AND(NC3=0,NC4=""),"", IF(AND(NC3="",NC4=0),"",1)))))</f>
        <v/>
      </c>
      <c r="ND5" s="73" t="str">
        <f t="shared" si="101"/>
        <v/>
      </c>
      <c r="NE5" s="73" t="str">
        <f t="shared" si="101"/>
        <v/>
      </c>
      <c r="NF5" s="73" t="str">
        <f t="shared" si="101"/>
        <v/>
      </c>
      <c r="NG5" s="73" t="str">
        <f t="shared" si="101"/>
        <v/>
      </c>
      <c r="NH5" s="73" t="str">
        <f t="shared" si="101"/>
        <v/>
      </c>
      <c r="NI5" s="73" t="str">
        <f t="shared" si="101"/>
        <v/>
      </c>
      <c r="NJ5" s="73" t="str">
        <f t="shared" si="101"/>
        <v/>
      </c>
      <c r="NK5" s="73" t="str">
        <f t="shared" si="101"/>
        <v/>
      </c>
      <c r="NL5" s="73" t="str">
        <f t="shared" si="101"/>
        <v/>
      </c>
      <c r="NM5" s="73" t="str">
        <f t="shared" si="101"/>
        <v/>
      </c>
      <c r="NN5" s="73" t="str">
        <f t="shared" si="101"/>
        <v/>
      </c>
      <c r="NO5" s="73" t="str">
        <f t="shared" si="101"/>
        <v/>
      </c>
      <c r="NP5" s="73" t="str">
        <f t="shared" si="101"/>
        <v/>
      </c>
      <c r="NQ5" s="74">
        <f t="shared" si="97"/>
        <v>1</v>
      </c>
      <c r="NR5" s="40">
        <f t="shared" ref="NR5:NT5" si="102">IF(AND(NR3&lt;&gt;0,NR4&lt;&gt;0),(NR3-NR4)/NR4,IF(AND(NR3=0,NR4=0),"",IF(AND(NR3="",NR4=""),"",IF(AND(NR3=0,NR4=""),"", IF(AND(NR3="",NR4=0),"",1)))))</f>
        <v>9.8125797272102829E-5</v>
      </c>
      <c r="NS5" s="40">
        <f t="shared" si="102"/>
        <v>1.220703125E-4</v>
      </c>
      <c r="NT5" s="40">
        <f t="shared" si="102"/>
        <v>8.5954959601168991E-5</v>
      </c>
      <c r="NU5" s="40">
        <f t="shared" ref="NU5" si="103">IF(AND(NU3&lt;&gt;0,NU4&lt;&gt;0),(NU3-NU4)/NU4,IF(AND(NU3=0,NU4=0),"",IF(AND(NU3="",NU4=""),"",IF(AND(NU3=0,NU4=""),"", IF(AND(NU3="",NU4=0),"",1)))))</f>
        <v>2.4142926122646064E-4</v>
      </c>
      <c r="NV5" s="40">
        <f t="shared" ref="NV5" si="104">IF(AND(NV3&lt;&gt;0,NV4&lt;&gt;0),(NV3-NV4)/NV4,IF(AND(NV3=0,NV4=0),"",IF(AND(NV3="",NV4=""),"",IF(AND(NV3=0,NV4=""),"", IF(AND(NV3="",NV4=0),"",1)))))</f>
        <v>-1.6926201760324982E-4</v>
      </c>
      <c r="NW5" s="40">
        <f t="shared" ref="NW5" si="105">IF(AND(NW3&lt;&gt;0,NW4&lt;&gt;0),(NW3-NW4)/NW4,IF(AND(NW3=0,NW4=0),"",IF(AND(NW3="",NW4=""),"",IF(AND(NW3=0,NW4=""),"", IF(AND(NW3="",NW4=0),"",1)))))</f>
        <v>4.9340013335594473E-4</v>
      </c>
      <c r="NX5" s="40" t="str">
        <f t="shared" ref="NX5" si="106">IF(AND(NX3&lt;&gt;0,NX4&lt;&gt;0),(NX3-NX4)/NX4,IF(AND(NX3=0,NX4=0),"",IF(AND(NX3="",NX4=""),"",IF(AND(NX3=0,NX4=""),"", IF(AND(NX3="",NX4=0),"",1)))))</f>
        <v/>
      </c>
      <c r="NY5" s="40">
        <f t="shared" ref="NY5" si="107">IF(AND(NY3&lt;&gt;0,NY4&lt;&gt;0),(NY3-NY4)/NY4,IF(AND(NY3=0,NY4=0),"",IF(AND(NY3="",NY4=""),"",IF(AND(NY3=0,NY4=""),"", IF(AND(NY3="",NY4=0),"",1)))))</f>
        <v>4.9255070427955668E-4</v>
      </c>
      <c r="NZ5" s="40">
        <f t="shared" ref="NZ5" si="108">IF(AND(NZ3&lt;&gt;0,NZ4&lt;&gt;0),(NZ3-NZ4)/NZ4,IF(AND(NZ3=0,NZ4=0),"",IF(AND(NZ3="",NZ4=""),"",IF(AND(NZ3=0,NZ4=""),"", IF(AND(NZ3="",NZ4=0),"",1)))))</f>
        <v>2.1117465904091508E-2</v>
      </c>
      <c r="OA5" s="40">
        <f t="shared" ref="OA5" si="109">IF(AND(OA3&lt;&gt;0,OA4&lt;&gt;0),(OA3-OA4)/OA4,IF(AND(OA3=0,OA4=0),"",IF(AND(OA3="",OA4=""),"",IF(AND(OA3=0,OA4=""),"", IF(AND(OA3="",OA4=0),"",1)))))</f>
        <v>4.4444444444444447E-4</v>
      </c>
      <c r="OB5" s="40">
        <f t="shared" ref="OB5" si="110">IF(AND(OB3&lt;&gt;0,OB4&lt;&gt;0),(OB3-OB4)/OB4,IF(AND(OB3=0,OB4=0),"",IF(AND(OB3="",OB4=""),"",IF(AND(OB3=0,OB4=""),"", IF(AND(OB3="",OB4=0),"",1)))))</f>
        <v>1</v>
      </c>
      <c r="OC5" s="40" t="str">
        <f t="shared" ref="OC5" si="111">IF(AND(OC3&lt;&gt;0,OC4&lt;&gt;0),(OC3-OC4)/OC4,IF(AND(OC3=0,OC4=0),"",IF(AND(OC3="",OC4=""),"",IF(AND(OC3=0,OC4=""),"", IF(AND(OC3="",OC4=0),"",1)))))</f>
        <v/>
      </c>
      <c r="OD5" s="40" t="str">
        <f t="shared" ref="OD5" si="112">IF(AND(OD3&lt;&gt;0,OD4&lt;&gt;0),(OD3-OD4)/OD4,IF(AND(OD3=0,OD4=0),"",IF(AND(OD3="",OD4=""),"",IF(AND(OD3=0,OD4=""),"", IF(AND(OD3="",OD4=0),"",1)))))</f>
        <v/>
      </c>
      <c r="OE5" s="40" t="str">
        <f t="shared" ref="OE5" si="113">IF(AND(OE3&lt;&gt;0,OE4&lt;&gt;0),(OE3-OE4)/OE4,IF(AND(OE3=0,OE4=0),"",IF(AND(OE3="",OE4=""),"",IF(AND(OE3=0,OE4=""),"", IF(AND(OE3="",OE4=0),"",1)))))</f>
        <v/>
      </c>
      <c r="OF5" s="40" t="str">
        <f t="shared" ref="OF5" si="114">IF(AND(OF3&lt;&gt;0,OF4&lt;&gt;0),(OF3-OF4)/OF4,IF(AND(OF3=0,OF4=0),"",IF(AND(OF3="",OF4=""),"",IF(AND(OF3=0,OF4=""),"", IF(AND(OF3="",OF4=0),"",1)))))</f>
        <v/>
      </c>
      <c r="OG5" s="40" t="str">
        <f t="shared" ref="OG5" si="115">IF(AND(OG3&lt;&gt;0,OG4&lt;&gt;0),(OG3-OG4)/OG4,IF(AND(OG3=0,OG4=0),"",IF(AND(OG3="",OG4=""),"",IF(AND(OG3=0,OG4=""),"", IF(AND(OG3="",OG4=0),"",1)))))</f>
        <v/>
      </c>
      <c r="OH5" s="40" t="str">
        <f t="shared" ref="OH5" si="116">IF(AND(OH3&lt;&gt;0,OH4&lt;&gt;0),(OH3-OH4)/OH4,IF(AND(OH3=0,OH4=0),"",IF(AND(OH3="",OH4=""),"",IF(AND(OH3=0,OH4=""),"", IF(AND(OH3="",OH4=0),"",1)))))</f>
        <v/>
      </c>
      <c r="OI5" s="40" t="str">
        <f t="shared" ref="OI5" si="117">IF(AND(OI3&lt;&gt;0,OI4&lt;&gt;0),(OI3-OI4)/OI4,IF(AND(OI3=0,OI4=0),"",IF(AND(OI3="",OI4=""),"",IF(AND(OI3=0,OI4=""),"", IF(AND(OI3="",OI4=0),"",1)))))</f>
        <v/>
      </c>
      <c r="OJ5" s="40" t="str">
        <f t="shared" ref="OJ5" si="118">IF(AND(OJ3&lt;&gt;0,OJ4&lt;&gt;0),(OJ3-OJ4)/OJ4,IF(AND(OJ3=0,OJ4=0),"",IF(AND(OJ3="",OJ4=""),"",IF(AND(OJ3=0,OJ4=""),"", IF(AND(OJ3="",OJ4=0),"",1)))))</f>
        <v/>
      </c>
      <c r="OK5" s="40" t="str">
        <f t="shared" ref="OK5" si="119">IF(AND(OK3&lt;&gt;0,OK4&lt;&gt;0),(OK3-OK4)/OK4,IF(AND(OK3=0,OK4=0),"",IF(AND(OK3="",OK4=""),"",IF(AND(OK3=0,OK4=""),"", IF(AND(OK3="",OK4=0),"",1)))))</f>
        <v/>
      </c>
      <c r="OL5" s="40" t="str">
        <f t="shared" ref="OL5" si="120">IF(AND(OL3&lt;&gt;0,OL4&lt;&gt;0),(OL3-OL4)/OL4,IF(AND(OL3=0,OL4=0),"",IF(AND(OL3="",OL4=""),"",IF(AND(OL3=0,OL4=""),"", IF(AND(OL3="",OL4=0),"",1)))))</f>
        <v/>
      </c>
      <c r="OM5" s="40" t="str">
        <f t="shared" ref="OM5" si="121">IF(AND(OM3&lt;&gt;0,OM4&lt;&gt;0),(OM3-OM4)/OM4,IF(AND(OM3=0,OM4=0),"",IF(AND(OM3="",OM4=""),"",IF(AND(OM3=0,OM4=""),"", IF(AND(OM3="",OM4=0),"",1)))))</f>
        <v/>
      </c>
      <c r="ON5" s="40" t="str">
        <f t="shared" ref="ON5:PB5" si="122">IF(AND(ON3&lt;&gt;0,ON4&lt;&gt;0),(ON3-ON4)/ON4,IF(AND(ON3=0,ON4=0),"",IF(AND(ON3="",ON4=""),"",IF(AND(ON3=0,ON4=""),"", IF(AND(ON3="",ON4=0),"",1)))))</f>
        <v/>
      </c>
      <c r="OO5" s="40" t="str">
        <f t="shared" si="122"/>
        <v/>
      </c>
      <c r="OP5" s="40" t="str">
        <f t="shared" si="122"/>
        <v/>
      </c>
      <c r="OQ5" s="40" t="str">
        <f t="shared" si="122"/>
        <v/>
      </c>
      <c r="OR5" s="40" t="str">
        <f t="shared" si="122"/>
        <v/>
      </c>
      <c r="OS5" s="40" t="str">
        <f t="shared" si="122"/>
        <v/>
      </c>
      <c r="OT5" s="40" t="str">
        <f t="shared" si="122"/>
        <v/>
      </c>
      <c r="OU5" s="40" t="str">
        <f t="shared" si="122"/>
        <v/>
      </c>
      <c r="OV5" s="40" t="str">
        <f t="shared" si="122"/>
        <v/>
      </c>
      <c r="OW5" s="40" t="str">
        <f t="shared" si="122"/>
        <v/>
      </c>
      <c r="OX5" s="40" t="str">
        <f t="shared" si="122"/>
        <v/>
      </c>
      <c r="OY5" s="40" t="str">
        <f t="shared" si="122"/>
        <v/>
      </c>
      <c r="OZ5" s="40" t="str">
        <f t="shared" si="122"/>
        <v/>
      </c>
      <c r="PA5" s="40" t="str">
        <f t="shared" si="122"/>
        <v/>
      </c>
      <c r="PB5" s="40" t="str">
        <f t="shared" si="122"/>
        <v/>
      </c>
      <c r="PC5" s="63">
        <f>IF(AND(PC3&lt;&gt;0,PC4&lt;&gt;0),(PC3-PC4)/PC4,IF(AND(PC3=0,PC4=0),"",IF(AND(PC3="",PC4=""),"",IF(AND(PC3=0,PC4=""),"", IF(AND(PC3="",PC4=0),"",1)))))</f>
        <v>6.1203038575706296E-3</v>
      </c>
      <c r="PE5" s="63">
        <f>IF(AND(PE3&lt;&gt;0,PE4&lt;&gt;0),(PE3-PE4)/PE4,IF(AND(PE3=0,PE4=0),"",IF(AND(PE3="",PE4=""),"",IF(AND(PE3=0,PE4=""),"", IF(AND(PE3="",PE4=0),"",1)))))</f>
        <v>9.6943343046286254E-2</v>
      </c>
      <c r="PG5" s="63">
        <f>IF(AND(PG3&lt;&gt;0,PG4&lt;&gt;0),(PG3-PG4)/PG4,IF(AND(PG3=0,PG4=0),"",IF(AND(PG3="",PG4=""),"",IF(AND(PG3=0,PG4=""),"", IF(AND(PG3="",PG4=0),"",1)))))</f>
        <v>2.4217777455260641E-2</v>
      </c>
    </row>
    <row r="6" spans="1:423" outlineLevel="1" x14ac:dyDescent="0.3">
      <c r="A6" s="76" t="s">
        <v>50</v>
      </c>
      <c r="B6" s="14">
        <f>'[1]D-PDP'!$BB$12</f>
        <v>18165.78125</v>
      </c>
      <c r="C6" s="14">
        <f>'[1]D-PDP'!$BB$13</f>
        <v>11822.90234375</v>
      </c>
      <c r="D6" s="14">
        <f>'[1]D-PDP'!$BB$14</f>
        <v>7483.27197265625</v>
      </c>
      <c r="E6" s="14">
        <f>'[1]D-PDP'!$BB$15</f>
        <v>4798.5</v>
      </c>
      <c r="F6" s="14">
        <f>'[1]D-PDP'!$BB$16</f>
        <v>3246.11474609375</v>
      </c>
      <c r="G6" s="14">
        <f>'[1]D-PDP'!$BB$17</f>
        <v>2060.843017578125</v>
      </c>
      <c r="H6" s="14">
        <f>'[1]D-PDP'!$BB$18</f>
        <v>982.14129638671875</v>
      </c>
      <c r="I6" s="14">
        <f>'[1]D-PDP'!$BB$19</f>
        <v>394.83395385742188</v>
      </c>
      <c r="J6" s="14">
        <f>'[1]D-PDP'!$BB$20</f>
        <v>200.79124450683594</v>
      </c>
      <c r="K6" s="14">
        <f>'[1]D-PDP'!$BB$21</f>
        <v>424.260009765625</v>
      </c>
      <c r="L6" s="14">
        <f>'[1]D-PDP'!$BB$22</f>
        <v>210.06001281738281</v>
      </c>
      <c r="M6" s="14">
        <f>'[1]D-PDP'!$BB$23</f>
        <v>0</v>
      </c>
      <c r="N6" s="14">
        <f>'[1]D-PDP'!$BB$24</f>
        <v>0</v>
      </c>
      <c r="O6" s="14">
        <f>'[1]D-PDP'!$BB$25</f>
        <v>0</v>
      </c>
      <c r="P6" s="14">
        <f>'[1]D-PDP'!$BB$26</f>
        <v>0</v>
      </c>
      <c r="Q6" s="14">
        <f>'[1]D-PDP'!$BB$27</f>
        <v>0</v>
      </c>
      <c r="R6" s="14">
        <f>'[1]D-PDP'!$BB$28</f>
        <v>0</v>
      </c>
      <c r="S6" s="14">
        <f>'[1]D-PDP'!$BB$29</f>
        <v>0</v>
      </c>
      <c r="T6" s="14">
        <f>'[1]D-PDP'!$BB$30</f>
        <v>0</v>
      </c>
      <c r="U6" s="14">
        <f>'[1]D-PDP'!$BB$31</f>
        <v>0</v>
      </c>
      <c r="V6" s="14">
        <f>'[1]D-PDP'!$BB$32</f>
        <v>0</v>
      </c>
      <c r="W6" s="14">
        <f>'[1]D-PDP'!$BB$33</f>
        <v>0</v>
      </c>
      <c r="X6" s="14">
        <f>'[1]D-PDP'!$BB$34</f>
        <v>0</v>
      </c>
      <c r="Y6" s="14">
        <f>'[1]D-PDP'!$BB$35</f>
        <v>0</v>
      </c>
      <c r="Z6" s="14">
        <f>'[1]D-PDP'!$BB$36</f>
        <v>0</v>
      </c>
      <c r="AA6" s="14">
        <f>'[1]D-PDP'!$BB$37</f>
        <v>0</v>
      </c>
      <c r="AB6" s="14">
        <f>'[1]D-PDP'!$BB$38</f>
        <v>0</v>
      </c>
      <c r="AC6" s="14">
        <f>'[1]D-PDP'!$BB$39</f>
        <v>0</v>
      </c>
      <c r="AD6" s="14">
        <f>'[1]D-PDP'!$BB$40</f>
        <v>0</v>
      </c>
      <c r="AE6" s="14">
        <f>'[1]D-PDP'!$BB$41</f>
        <v>0</v>
      </c>
      <c r="AF6" s="14">
        <f>'[1]D-PDP'!$BB$42</f>
        <v>0</v>
      </c>
      <c r="AG6" s="14">
        <f>'[1]D-PDP'!$BB$43</f>
        <v>0</v>
      </c>
      <c r="AH6" s="14">
        <f>'[1]D-PDP'!$BB$44</f>
        <v>0</v>
      </c>
      <c r="AI6" s="14">
        <f>'[1]D-PDP'!$BB$45</f>
        <v>0</v>
      </c>
      <c r="AJ6" s="14">
        <f>'[1]D-PDP'!$BB$46</f>
        <v>0</v>
      </c>
      <c r="AK6" s="14">
        <f>'[1]D-PDP'!$BB$47</f>
        <v>0</v>
      </c>
      <c r="AL6" s="14">
        <f>'[1]D-PDP'!$BB$48</f>
        <v>0</v>
      </c>
      <c r="AM6" s="16">
        <f>SUM(B6:AL6)</f>
        <v>49789.499847412109</v>
      </c>
      <c r="AN6" s="28">
        <f>'[1]D-PNP'!$BB$12</f>
        <v>1832.732177734375</v>
      </c>
      <c r="AO6" s="14">
        <f>'[1]D-PNP'!$BB$13</f>
        <v>1587.8985595703125</v>
      </c>
      <c r="AP6" s="14">
        <f>'[1]D-PNP'!$BB$14</f>
        <v>1705.310546875</v>
      </c>
      <c r="AQ6" s="14">
        <f>'[1]D-PNP'!$BB$15</f>
        <v>1273.54638671875</v>
      </c>
      <c r="AR6" s="14">
        <f>'[1]D-PNP'!$BB$16</f>
        <v>910.683837890625</v>
      </c>
      <c r="AS6" s="14">
        <f>'[1]D-PNP'!$BB$17</f>
        <v>684.69903564453125</v>
      </c>
      <c r="AT6" s="14">
        <f>'[1]D-PNP'!$BB$18</f>
        <v>422.24652099609375</v>
      </c>
      <c r="AU6" s="14">
        <f>'[1]D-PNP'!$BB$19</f>
        <v>216.86758422851563</v>
      </c>
      <c r="AV6" s="14">
        <f>'[1]D-PNP'!$BB$20</f>
        <v>85.287094116210938</v>
      </c>
      <c r="AW6" s="14">
        <f>'[1]D-PNP'!$BB$21</f>
        <v>0</v>
      </c>
      <c r="AX6" s="14">
        <f>'[1]D-PNP'!$BB$22</f>
        <v>0</v>
      </c>
      <c r="AY6" s="14">
        <f>'[1]D-PNP'!$BB$23</f>
        <v>0</v>
      </c>
      <c r="AZ6" s="14">
        <f>'[1]D-PNP'!$BB$24</f>
        <v>0</v>
      </c>
      <c r="BA6" s="14">
        <f>'[1]D-PNP'!$BB$25</f>
        <v>0</v>
      </c>
      <c r="BB6" s="14">
        <f>'[1]D-PNP'!$BB$26</f>
        <v>0</v>
      </c>
      <c r="BC6" s="14">
        <f>'[1]D-PNP'!$BB$27</f>
        <v>0</v>
      </c>
      <c r="BD6" s="14">
        <f>'[1]D-PNP'!$BB$28</f>
        <v>0</v>
      </c>
      <c r="BE6" s="14">
        <f>'[1]D-PNP'!$BB$29</f>
        <v>0</v>
      </c>
      <c r="BF6" s="14">
        <f>'[1]D-PNP'!$BB$30</f>
        <v>0</v>
      </c>
      <c r="BG6" s="14">
        <f>'[1]D-PNP'!$BB$31</f>
        <v>0</v>
      </c>
      <c r="BH6" s="14">
        <f>'[1]D-PNP'!$BB$32</f>
        <v>0</v>
      </c>
      <c r="BI6" s="14">
        <f>'[1]D-PNP'!$BB$33</f>
        <v>0</v>
      </c>
      <c r="BJ6" s="14">
        <f>'[1]D-PNP'!$BB$34</f>
        <v>0</v>
      </c>
      <c r="BK6" s="14">
        <f>'[1]D-PNP'!$BB$35</f>
        <v>0</v>
      </c>
      <c r="BL6" s="14">
        <f>'[1]D-PNP'!$BB$36</f>
        <v>0</v>
      </c>
      <c r="BM6" s="14">
        <f>'[1]D-PNP'!$BB$37</f>
        <v>0</v>
      </c>
      <c r="BN6" s="14">
        <f>'[1]D-PNP'!$BB$38</f>
        <v>0</v>
      </c>
      <c r="BO6" s="14">
        <f>'[1]D-PNP'!$BB$39</f>
        <v>0</v>
      </c>
      <c r="BP6" s="14">
        <f>'[1]D-PNP'!$BB$40</f>
        <v>0</v>
      </c>
      <c r="BQ6" s="14">
        <f>'[1]D-PNP'!$BB$41</f>
        <v>0</v>
      </c>
      <c r="BR6" s="14">
        <f>'[1]D-PNP'!$BB$42</f>
        <v>0</v>
      </c>
      <c r="BS6" s="14">
        <f>'[1]D-PNP'!$BB$43</f>
        <v>0</v>
      </c>
      <c r="BT6" s="14">
        <f>'[1]D-PNP'!$BB$44</f>
        <v>0</v>
      </c>
      <c r="BU6" s="14">
        <f>'[1]D-PNP'!$BB$45</f>
        <v>0</v>
      </c>
      <c r="BV6" s="14">
        <f>'[1]D-PNP'!$BB$46</f>
        <v>0</v>
      </c>
      <c r="BW6" s="14">
        <f>'[1]D-PNP'!$BB$47</f>
        <v>0</v>
      </c>
      <c r="BX6" s="14">
        <f>'[1]D-PNP'!$BB$48</f>
        <v>0</v>
      </c>
      <c r="BY6" s="16">
        <f>SUM(AN6:BX6)</f>
        <v>8719.2717437744141</v>
      </c>
      <c r="BZ6" s="28">
        <f>'[1]D-PND'!$BB$12</f>
        <v>4648.59326171875</v>
      </c>
      <c r="CA6" s="14">
        <f>'[1]D-PND'!$BB$13</f>
        <v>4195.576171875</v>
      </c>
      <c r="CB6" s="14">
        <f>'[1]D-PND'!$BB$14</f>
        <v>3079.606689453125</v>
      </c>
      <c r="CC6" s="14">
        <f>'[1]D-PND'!$BB$15</f>
        <v>3541.555419921875</v>
      </c>
      <c r="CD6" s="14">
        <f>'[1]D-PND'!$BB$16</f>
        <v>11672.78125</v>
      </c>
      <c r="CE6" s="14">
        <f>'[1]D-PND'!$BB$17</f>
        <v>16355.9013671875</v>
      </c>
      <c r="CF6" s="14">
        <f>'[1]D-PND'!$BB$18</f>
        <v>18000.904296875</v>
      </c>
      <c r="CG6" s="14">
        <f>'[1]D-PND'!$BB$19</f>
        <v>12801.41015625</v>
      </c>
      <c r="CH6" s="14">
        <f>'[1]D-PND'!$BB$20</f>
        <v>8999.953125</v>
      </c>
      <c r="CI6" s="14">
        <f>'[1]D-PND'!$BB$21</f>
        <v>32653.98046875</v>
      </c>
      <c r="CJ6" s="14">
        <f>'[1]D-PND'!$BB$22</f>
        <v>12857.939453125</v>
      </c>
      <c r="CK6" s="14">
        <f>'[1]D-PND'!$BB$23</f>
        <v>0</v>
      </c>
      <c r="CL6" s="14">
        <f>'[1]D-PND'!$BB$24</f>
        <v>0</v>
      </c>
      <c r="CM6" s="14">
        <f>'[1]D-PND'!$BB$25</f>
        <v>0</v>
      </c>
      <c r="CN6" s="14">
        <f>'[1]D-PND'!$BB$26</f>
        <v>0</v>
      </c>
      <c r="CO6" s="14">
        <f>'[1]D-PND'!$BB$27</f>
        <v>0</v>
      </c>
      <c r="CP6" s="14">
        <f>'[1]D-PND'!$BB$28</f>
        <v>0</v>
      </c>
      <c r="CQ6" s="14">
        <f>'[1]D-PND'!$BB$29</f>
        <v>0</v>
      </c>
      <c r="CR6" s="14">
        <f>'[1]D-PND'!$BB$30</f>
        <v>0</v>
      </c>
      <c r="CS6" s="14">
        <f>'[1]D-PND'!$BB$31</f>
        <v>0</v>
      </c>
      <c r="CT6" s="14">
        <f>'[1]D-PND'!$BB$32</f>
        <v>0</v>
      </c>
      <c r="CU6" s="14">
        <f>'[1]D-PND'!$BB$33</f>
        <v>0</v>
      </c>
      <c r="CV6" s="14">
        <f>'[1]D-PND'!$BB$34</f>
        <v>0</v>
      </c>
      <c r="CW6" s="14">
        <f>'[1]D-PND'!$BB$35</f>
        <v>0</v>
      </c>
      <c r="CX6" s="14">
        <f>'[1]D-PND'!$BB$36</f>
        <v>0</v>
      </c>
      <c r="CY6" s="14">
        <f>'[1]D-PND'!$BB$37</f>
        <v>0</v>
      </c>
      <c r="CZ6" s="14">
        <f>'[1]D-PND'!$BB$38</f>
        <v>0</v>
      </c>
      <c r="DA6" s="14">
        <f>'[1]D-PND'!$BB$39</f>
        <v>0</v>
      </c>
      <c r="DB6" s="14">
        <f>'[1]D-PND'!$BB$40</f>
        <v>0</v>
      </c>
      <c r="DC6" s="14">
        <f>'[1]D-PND'!$BB$41</f>
        <v>0</v>
      </c>
      <c r="DD6" s="14">
        <f>'[1]D-PND'!$BB$42</f>
        <v>0</v>
      </c>
      <c r="DE6" s="14">
        <f>'[1]D-PND'!$BB$43</f>
        <v>0</v>
      </c>
      <c r="DF6" s="14">
        <f>'[1]D-PND'!$BB$44</f>
        <v>0</v>
      </c>
      <c r="DG6" s="14">
        <f>'[1]D-PND'!$BB$45</f>
        <v>0</v>
      </c>
      <c r="DH6" s="14">
        <f>'[1]D-PND'!$BB$46</f>
        <v>0</v>
      </c>
      <c r="DI6" s="14">
        <f>'[1]D-PND'!$BB$47</f>
        <v>0</v>
      </c>
      <c r="DJ6" s="14">
        <f>'[1]D-PND'!$BB$48</f>
        <v>0</v>
      </c>
      <c r="DK6" s="16">
        <f>SUM(BZ6:DJ6)</f>
        <v>128808.20166015625</v>
      </c>
      <c r="DL6" s="66"/>
      <c r="DM6" s="67"/>
      <c r="DN6" s="67"/>
      <c r="DO6" s="67"/>
      <c r="DP6" s="67"/>
      <c r="DQ6" s="67"/>
      <c r="DR6" s="67"/>
      <c r="DS6" s="67"/>
      <c r="DT6" s="67"/>
      <c r="DU6" s="67"/>
      <c r="DV6" s="67"/>
      <c r="DW6" s="67"/>
      <c r="DX6" s="67"/>
      <c r="DY6" s="67"/>
      <c r="DZ6" s="67"/>
      <c r="EA6" s="67"/>
      <c r="EB6" s="67"/>
      <c r="EC6" s="67"/>
      <c r="ED6" s="67"/>
      <c r="EE6" s="67"/>
      <c r="EF6" s="67"/>
      <c r="EG6" s="67"/>
      <c r="EH6" s="67"/>
      <c r="EI6" s="67"/>
      <c r="EJ6" s="67"/>
      <c r="EK6" s="67"/>
      <c r="EL6" s="67"/>
      <c r="EM6" s="67"/>
      <c r="EN6" s="67"/>
      <c r="EO6" s="67"/>
      <c r="EP6" s="67"/>
      <c r="EQ6" s="67"/>
      <c r="ER6" s="67"/>
      <c r="ES6" s="67"/>
      <c r="ET6" s="67"/>
      <c r="EU6" s="67"/>
      <c r="EV6" s="67"/>
      <c r="EW6" s="68">
        <f>SUM(DL6:EV6)</f>
        <v>0</v>
      </c>
      <c r="EX6" s="66"/>
      <c r="EY6" s="67"/>
      <c r="EZ6" s="67"/>
      <c r="FA6" s="67"/>
      <c r="FB6" s="67"/>
      <c r="FC6" s="67"/>
      <c r="FD6" s="67"/>
      <c r="FE6" s="67"/>
      <c r="FF6" s="67"/>
      <c r="FG6" s="67"/>
      <c r="FH6" s="67"/>
      <c r="FI6" s="67"/>
      <c r="FJ6" s="67"/>
      <c r="FK6" s="67"/>
      <c r="FL6" s="67"/>
      <c r="FM6" s="67"/>
      <c r="FN6" s="67"/>
      <c r="FO6" s="67"/>
      <c r="FP6" s="67"/>
      <c r="FQ6" s="67"/>
      <c r="FR6" s="67"/>
      <c r="FS6" s="67"/>
      <c r="FT6" s="67"/>
      <c r="FU6" s="67"/>
      <c r="FV6" s="67"/>
      <c r="FW6" s="67"/>
      <c r="FX6" s="67"/>
      <c r="FY6" s="67"/>
      <c r="FZ6" s="67"/>
      <c r="GA6" s="67"/>
      <c r="GB6" s="67"/>
      <c r="GC6" s="67"/>
      <c r="GD6" s="67"/>
      <c r="GE6" s="67"/>
      <c r="GF6" s="67"/>
      <c r="GG6" s="67"/>
      <c r="GH6" s="67"/>
      <c r="GI6" s="68">
        <f>SUM(EX6:GH6)</f>
        <v>0</v>
      </c>
      <c r="GJ6" s="66"/>
      <c r="GK6" s="67"/>
      <c r="GL6" s="67"/>
      <c r="GM6" s="67"/>
      <c r="GN6" s="67"/>
      <c r="GO6" s="67"/>
      <c r="GP6" s="67"/>
      <c r="GQ6" s="67"/>
      <c r="GR6" s="67"/>
      <c r="GS6" s="67"/>
      <c r="GT6" s="67"/>
      <c r="GU6" s="67"/>
      <c r="GV6" s="67"/>
      <c r="GW6" s="67"/>
      <c r="GX6" s="67"/>
      <c r="GY6" s="67"/>
      <c r="GZ6" s="67"/>
      <c r="HA6" s="67"/>
      <c r="HB6" s="67"/>
      <c r="HC6" s="67"/>
      <c r="HD6" s="67"/>
      <c r="HE6" s="67"/>
      <c r="HF6" s="67"/>
      <c r="HG6" s="67"/>
      <c r="HH6" s="67"/>
      <c r="HI6" s="67"/>
      <c r="HJ6" s="67"/>
      <c r="HK6" s="67"/>
      <c r="HL6" s="67"/>
      <c r="HM6" s="67"/>
      <c r="HN6" s="67"/>
      <c r="HO6" s="67"/>
      <c r="HP6" s="67"/>
      <c r="HQ6" s="67"/>
      <c r="HR6" s="67"/>
      <c r="HS6" s="67"/>
      <c r="HT6" s="67"/>
      <c r="HU6" s="68">
        <f>SUM(GJ6:HT6)</f>
        <v>0</v>
      </c>
      <c r="HV6" s="28">
        <f>'[1]D-PRB'!$BB$12</f>
        <v>3712.000244140625</v>
      </c>
      <c r="HW6" s="14">
        <f>'[1]D-PRB'!$BB$13</f>
        <v>2744</v>
      </c>
      <c r="HX6" s="14">
        <f>'[1]D-PRB'!$BB$14</f>
        <v>2063</v>
      </c>
      <c r="HY6" s="14">
        <f>'[1]D-PRB'!$BB$15</f>
        <v>1778</v>
      </c>
      <c r="HZ6" s="14">
        <f>'[1]D-PRB'!$BB$16</f>
        <v>1347</v>
      </c>
      <c r="IA6" s="14">
        <f>'[1]D-PRB'!$BB$17</f>
        <v>1016.0000610351563</v>
      </c>
      <c r="IB6" s="14">
        <f>'[1]D-PRB'!$BB$18</f>
        <v>693</v>
      </c>
      <c r="IC6" s="14">
        <f>'[1]D-PRB'!$BB$19</f>
        <v>313</v>
      </c>
      <c r="ID6" s="14">
        <f>'[1]D-PRB'!$BB$20</f>
        <v>185</v>
      </c>
      <c r="IE6" s="14">
        <f>'[1]D-PRB'!$BB$21</f>
        <v>388</v>
      </c>
      <c r="IF6" s="14">
        <f>'[1]D-PRB'!$BB$22</f>
        <v>198</v>
      </c>
      <c r="IG6" s="14">
        <f>'[1]D-PRB'!$BB$23</f>
        <v>0</v>
      </c>
      <c r="IH6" s="14">
        <f>'[1]D-PRB'!$BB$24</f>
        <v>0</v>
      </c>
      <c r="II6" s="14">
        <f>'[1]D-PRB'!$BB$25</f>
        <v>0</v>
      </c>
      <c r="IJ6" s="14">
        <f>'[1]D-PRB'!$BB$26</f>
        <v>0</v>
      </c>
      <c r="IK6" s="14">
        <f>'[1]D-PRB'!$BB$27</f>
        <v>0</v>
      </c>
      <c r="IL6" s="14">
        <f>'[1]D-PRB'!$BB$28</f>
        <v>0</v>
      </c>
      <c r="IM6" s="14">
        <f>'[1]D-PRB'!$BB$29</f>
        <v>0</v>
      </c>
      <c r="IN6" s="14">
        <f>'[1]D-PRB'!$BB$30</f>
        <v>0</v>
      </c>
      <c r="IO6" s="14">
        <f>'[1]D-PRB'!$BB$31</f>
        <v>0</v>
      </c>
      <c r="IP6" s="14">
        <f>'[1]D-PRB'!$BB$32</f>
        <v>0</v>
      </c>
      <c r="IQ6" s="14">
        <f>'[1]D-PRB'!$BB$33</f>
        <v>0</v>
      </c>
      <c r="IR6" s="14">
        <f>'[1]D-PRB'!$BB$34</f>
        <v>0</v>
      </c>
      <c r="IS6" s="14">
        <f>'[1]D-PRB'!$BB$35</f>
        <v>0</v>
      </c>
      <c r="IT6" s="14">
        <f>'[1]D-PRB'!$BB$36</f>
        <v>0</v>
      </c>
      <c r="IU6" s="14">
        <f>'[1]D-PRB'!$BB$37</f>
        <v>0</v>
      </c>
      <c r="IV6" s="14">
        <f>'[1]D-PRB'!$BB$38</f>
        <v>0</v>
      </c>
      <c r="IW6" s="14">
        <f>'[1]D-PRB'!$BB$39</f>
        <v>0</v>
      </c>
      <c r="IX6" s="14">
        <f>'[1]D-PRB'!$BB$40</f>
        <v>0</v>
      </c>
      <c r="IY6" s="14">
        <f>'[1]D-PRB'!$BB$41</f>
        <v>0</v>
      </c>
      <c r="IZ6" s="14">
        <f>'[1]D-PRB'!$BB$42</f>
        <v>0</v>
      </c>
      <c r="JA6" s="14">
        <f>'[1]D-PRB'!$BB$43</f>
        <v>0</v>
      </c>
      <c r="JB6" s="14">
        <f>'[1]D-PRB'!$BB$44</f>
        <v>0</v>
      </c>
      <c r="JC6" s="14">
        <f>'[1]D-PRB'!$BB$45</f>
        <v>0</v>
      </c>
      <c r="JD6" s="14">
        <f>'[1]D-PRB'!$BB$46</f>
        <v>0</v>
      </c>
      <c r="JE6" s="14">
        <f>'[1]D-PRB'!$BB$47</f>
        <v>0</v>
      </c>
      <c r="JF6" s="14">
        <f>'[1]D-PRB'!$BB$48</f>
        <v>0</v>
      </c>
      <c r="JG6" s="16">
        <f>SUM(HV6:JF6)</f>
        <v>14437.000305175781</v>
      </c>
      <c r="JH6" s="66"/>
      <c r="JI6" s="67"/>
      <c r="JJ6" s="67"/>
      <c r="JK6" s="67"/>
      <c r="JL6" s="67"/>
      <c r="JM6" s="67"/>
      <c r="JN6" s="67"/>
      <c r="JO6" s="67"/>
      <c r="JP6" s="67"/>
      <c r="JQ6" s="67"/>
      <c r="JR6" s="67"/>
      <c r="JS6" s="67"/>
      <c r="JT6" s="67"/>
      <c r="JU6" s="67"/>
      <c r="JV6" s="67"/>
      <c r="JW6" s="67"/>
      <c r="JX6" s="67"/>
      <c r="JY6" s="67"/>
      <c r="JZ6" s="67"/>
      <c r="KA6" s="67"/>
      <c r="KB6" s="67"/>
      <c r="KC6" s="67"/>
      <c r="KD6" s="67"/>
      <c r="KE6" s="67"/>
      <c r="KF6" s="67"/>
      <c r="KG6" s="67"/>
      <c r="KH6" s="67"/>
      <c r="KI6" s="67"/>
      <c r="KJ6" s="67"/>
      <c r="KK6" s="67"/>
      <c r="KL6" s="67"/>
      <c r="KM6" s="67"/>
      <c r="KN6" s="67"/>
      <c r="KO6" s="67"/>
      <c r="KP6" s="67"/>
      <c r="KQ6" s="67"/>
      <c r="KR6" s="67"/>
      <c r="KS6" s="68">
        <f>SUM(JH6:KR6)</f>
        <v>0</v>
      </c>
      <c r="KT6" s="66"/>
      <c r="KU6" s="67"/>
      <c r="KV6" s="67"/>
      <c r="KW6" s="67"/>
      <c r="KX6" s="67"/>
      <c r="KY6" s="67"/>
      <c r="KZ6" s="67"/>
      <c r="LA6" s="67"/>
      <c r="LB6" s="67"/>
      <c r="LC6" s="67"/>
      <c r="LD6" s="67"/>
      <c r="LE6" s="67"/>
      <c r="LF6" s="67"/>
      <c r="LG6" s="67"/>
      <c r="LH6" s="67"/>
      <c r="LI6" s="67"/>
      <c r="LJ6" s="67"/>
      <c r="LK6" s="67"/>
      <c r="LL6" s="67"/>
      <c r="LM6" s="67"/>
      <c r="LN6" s="67"/>
      <c r="LO6" s="67"/>
      <c r="LP6" s="67"/>
      <c r="LQ6" s="67"/>
      <c r="LR6" s="67"/>
      <c r="LS6" s="67"/>
      <c r="LT6" s="67"/>
      <c r="LU6" s="67"/>
      <c r="LV6" s="67"/>
      <c r="LW6" s="67"/>
      <c r="LX6" s="67"/>
      <c r="LY6" s="67"/>
      <c r="LZ6" s="67"/>
      <c r="MA6" s="67"/>
      <c r="MB6" s="67"/>
      <c r="MC6" s="67"/>
      <c r="MD6" s="67"/>
      <c r="ME6" s="68">
        <f>SUM(KT6:MD6)</f>
        <v>0</v>
      </c>
      <c r="MF6" s="66"/>
      <c r="MG6" s="67"/>
      <c r="MH6" s="67"/>
      <c r="MI6" s="67"/>
      <c r="MJ6" s="67"/>
      <c r="MK6" s="67"/>
      <c r="ML6" s="67"/>
      <c r="MM6" s="67"/>
      <c r="MN6" s="67"/>
      <c r="MO6" s="67"/>
      <c r="MP6" s="67"/>
      <c r="MQ6" s="67"/>
      <c r="MR6" s="67"/>
      <c r="MS6" s="67"/>
      <c r="MT6" s="67"/>
      <c r="MU6" s="67"/>
      <c r="MV6" s="67"/>
      <c r="MW6" s="67"/>
      <c r="MX6" s="67"/>
      <c r="MY6" s="67"/>
      <c r="MZ6" s="67"/>
      <c r="NA6" s="67"/>
      <c r="NB6" s="67"/>
      <c r="NC6" s="67"/>
      <c r="ND6" s="67"/>
      <c r="NE6" s="67"/>
      <c r="NF6" s="67"/>
      <c r="NG6" s="67"/>
      <c r="NH6" s="67"/>
      <c r="NI6" s="67"/>
      <c r="NJ6" s="67"/>
      <c r="NK6" s="67"/>
      <c r="NL6" s="67"/>
      <c r="NM6" s="67"/>
      <c r="NN6" s="67"/>
      <c r="NO6" s="67"/>
      <c r="NP6" s="67"/>
      <c r="NQ6" s="68">
        <f>SUM(MF6:NP6)</f>
        <v>0</v>
      </c>
      <c r="NR6" s="14">
        <f>'[1]D-PS'!$BB$12</f>
        <v>1301</v>
      </c>
      <c r="NS6" s="14">
        <f>'[1]D-PS'!$BB$13</f>
        <v>1045</v>
      </c>
      <c r="NT6" s="14">
        <f>'[1]D-PS'!$BB$14</f>
        <v>743</v>
      </c>
      <c r="NU6" s="14">
        <f>'[1]D-PS'!$BB$15</f>
        <v>530</v>
      </c>
      <c r="NV6" s="14">
        <f>'[1]D-PS'!$BB$16</f>
        <v>376.99996948242188</v>
      </c>
      <c r="NW6" s="14">
        <f>'[1]D-PS'!$BB$17</f>
        <v>260</v>
      </c>
      <c r="NX6" s="14">
        <f>'[1]D-PS'!$BB$18</f>
        <v>0</v>
      </c>
      <c r="NY6" s="14">
        <f>'[1]D-PS'!$BB$19</f>
        <v>130</v>
      </c>
      <c r="NZ6" s="14">
        <f>'[1]D-PS'!$BB$20</f>
        <v>156</v>
      </c>
      <c r="OA6" s="14">
        <f>'[1]D-PS'!$BB$21</f>
        <v>493</v>
      </c>
      <c r="OB6" s="14">
        <f>'[1]D-PS'!$BB$22</f>
        <v>85.999992370605469</v>
      </c>
      <c r="OC6" s="14">
        <f>'[1]D-PS'!$BB$23</f>
        <v>0</v>
      </c>
      <c r="OD6" s="14">
        <f>'[1]D-PS'!$BB$24</f>
        <v>0</v>
      </c>
      <c r="OE6" s="14">
        <f>'[1]D-PS'!$BB$25</f>
        <v>0</v>
      </c>
      <c r="OF6" s="14">
        <f>'[1]D-PS'!$BB$26</f>
        <v>0</v>
      </c>
      <c r="OG6" s="14">
        <f>'[1]D-PS'!$BB$27</f>
        <v>0</v>
      </c>
      <c r="OH6" s="14">
        <f>'[1]D-PS'!$BB$28</f>
        <v>0</v>
      </c>
      <c r="OI6" s="14">
        <f>'[1]D-PS'!$BB$29</f>
        <v>0</v>
      </c>
      <c r="OJ6" s="14">
        <f>'[1]D-PS'!$BB$30</f>
        <v>0</v>
      </c>
      <c r="OK6" s="14">
        <f>'[1]D-PS'!$BB$31</f>
        <v>0</v>
      </c>
      <c r="OL6" s="14">
        <f>'[1]D-PS'!$BB$32</f>
        <v>0</v>
      </c>
      <c r="OM6" s="14">
        <f>'[1]D-PS'!$BB$33</f>
        <v>0</v>
      </c>
      <c r="ON6" s="14">
        <f>'[1]D-PS'!$BB$34</f>
        <v>0</v>
      </c>
      <c r="OO6" s="14">
        <f>'[1]D-PS'!$BB$35</f>
        <v>0</v>
      </c>
      <c r="OP6" s="14">
        <f>'[1]D-PS'!$BB$36</f>
        <v>0</v>
      </c>
      <c r="OQ6" s="14">
        <f>'[1]D-PS'!$BB$37</f>
        <v>0</v>
      </c>
      <c r="OR6" s="14">
        <f>'[1]D-PS'!$BB$38</f>
        <v>0</v>
      </c>
      <c r="OS6" s="14">
        <f>'[1]D-PS'!$BB$39</f>
        <v>0</v>
      </c>
      <c r="OT6" s="14">
        <f>'[1]D-PS'!$BB$40</f>
        <v>0</v>
      </c>
      <c r="OU6" s="14">
        <f>'[1]D-PS'!$BB$41</f>
        <v>0</v>
      </c>
      <c r="OV6" s="14">
        <f>'[1]D-PS'!$BB$42</f>
        <v>0</v>
      </c>
      <c r="OW6" s="14">
        <f>'[1]D-PS'!$BB$43</f>
        <v>0</v>
      </c>
      <c r="OX6" s="14">
        <f>'[1]D-PS'!$BB$44</f>
        <v>0</v>
      </c>
      <c r="OY6" s="14">
        <f>'[1]D-PS'!$BB$45</f>
        <v>0</v>
      </c>
      <c r="OZ6" s="14">
        <f>'[1]D-PS'!$BB$46</f>
        <v>0</v>
      </c>
      <c r="PA6" s="14">
        <f>'[1]D-PS'!$BB$47</f>
        <v>0</v>
      </c>
      <c r="PB6" s="14">
        <f>'[1]D-PS'!$BB$48</f>
        <v>0</v>
      </c>
      <c r="PC6" s="16">
        <f>SUM(NR6:PB6)</f>
        <v>5120.9999618530273</v>
      </c>
    </row>
    <row r="7" spans="1:423" outlineLevel="1" x14ac:dyDescent="0.3">
      <c r="A7" s="76" t="s">
        <v>51</v>
      </c>
      <c r="B7" s="25">
        <f>'[2]CF PDP'!$AY$36</f>
        <v>18165</v>
      </c>
      <c r="C7" s="25">
        <f>'[2]CF PDP'!$AY$37</f>
        <v>11822</v>
      </c>
      <c r="D7" s="25">
        <f>'[2]CF PDP'!$AY$38</f>
        <v>7482</v>
      </c>
      <c r="E7" s="25">
        <f>'[2]CF PDP'!$AY$39</f>
        <v>4798</v>
      </c>
      <c r="F7" s="25">
        <f>'[2]CF PDP'!$AY$40</f>
        <v>3245</v>
      </c>
      <c r="G7" s="25">
        <f>'[2]CF PDP'!$AY$41</f>
        <v>2061</v>
      </c>
      <c r="H7" s="25">
        <f>'[2]CF PDP'!$AY$42</f>
        <v>0</v>
      </c>
      <c r="I7" s="25">
        <f>'[2]CF PDP'!$AY$43</f>
        <v>0</v>
      </c>
      <c r="J7" s="25">
        <f>'[2]CF PDP'!$AY$44</f>
        <v>0</v>
      </c>
      <c r="K7" s="25">
        <f>'[2]CF PDP'!$AY$45</f>
        <v>0</v>
      </c>
      <c r="L7" s="25">
        <f>'[2]CF PDP'!$AY$46</f>
        <v>0</v>
      </c>
      <c r="M7" s="25">
        <f>'[2]CF PDP'!$AY$47</f>
        <v>0</v>
      </c>
      <c r="N7" s="25">
        <f>'[2]CF PDP'!$AY$48</f>
        <v>0</v>
      </c>
      <c r="O7" s="25">
        <f>'[2]CF PDP'!$AY$49</f>
        <v>0</v>
      </c>
      <c r="P7" s="25">
        <f>'[2]CF PDP'!$AY$50</f>
        <v>0</v>
      </c>
      <c r="Q7" s="25">
        <f>'[2]CF PDP'!$AY$51</f>
        <v>0</v>
      </c>
      <c r="R7" s="25">
        <f>'[2]CF PDP'!$AY$52</f>
        <v>0</v>
      </c>
      <c r="S7" s="25">
        <f>'[2]CF PDP'!$AY$53</f>
        <v>0</v>
      </c>
      <c r="T7" s="25">
        <f>'[2]CF PDP'!$AY$54</f>
        <v>0</v>
      </c>
      <c r="U7" s="25">
        <f>'[2]CF PDP'!$AY$55</f>
        <v>0</v>
      </c>
      <c r="V7" s="25">
        <f>'[2]CF PDP'!$AY$56</f>
        <v>0</v>
      </c>
      <c r="W7" s="25">
        <f>'[2]CF PDP'!$AY$57</f>
        <v>0</v>
      </c>
      <c r="X7" s="25">
        <f>'[2]CF PDP'!$AY$58</f>
        <v>0</v>
      </c>
      <c r="Y7" s="25">
        <f>'[2]CF PDP'!$AY$59</f>
        <v>0</v>
      </c>
      <c r="Z7" s="25">
        <f>'[2]CF PDP'!$AY$60</f>
        <v>0</v>
      </c>
      <c r="AA7" s="25">
        <f>'[2]CF PDP'!$AY$61</f>
        <v>0</v>
      </c>
      <c r="AB7" s="25">
        <f>'[2]CF PDP'!$AY$62</f>
        <v>0</v>
      </c>
      <c r="AC7" s="25">
        <f>'[2]CF PDP'!$AY$63</f>
        <v>0</v>
      </c>
      <c r="AD7" s="25">
        <f>'[2]CF PDP'!$AY$64</f>
        <v>0</v>
      </c>
      <c r="AE7" s="25">
        <f>'[2]CF PDP'!$AY$65</f>
        <v>0</v>
      </c>
      <c r="AF7" s="25">
        <f>'[2]CF PDP'!$AY$66</f>
        <v>0</v>
      </c>
      <c r="AG7" s="25">
        <f>'[2]CF PDP'!$AY$67</f>
        <v>0</v>
      </c>
      <c r="AH7" s="25">
        <f>'[2]CF PDP'!$AY$68</f>
        <v>0</v>
      </c>
      <c r="AI7" s="25">
        <f>'[2]CF PDP'!$AY$69</f>
        <v>0</v>
      </c>
      <c r="AJ7" s="25">
        <f>'[2]CF PDP'!$AY$70</f>
        <v>0</v>
      </c>
      <c r="AK7" s="25">
        <f>'[2]CF PDP'!$AY$71</f>
        <v>0</v>
      </c>
      <c r="AL7" s="25">
        <f>'[2]CF PDP'!$AY$72</f>
        <v>0</v>
      </c>
      <c r="AM7" s="26">
        <f>SUM(B7:AL7)</f>
        <v>47573</v>
      </c>
      <c r="AN7" s="27">
        <f>'[2]CF PNP'!$AY$36</f>
        <v>1832</v>
      </c>
      <c r="AO7" s="25">
        <f>'[2]CF PNP'!$AY$37</f>
        <v>1588</v>
      </c>
      <c r="AP7" s="25">
        <f>'[2]CF PNP'!$AY$38</f>
        <v>1706</v>
      </c>
      <c r="AQ7" s="25">
        <f>'[2]CF PNP'!$AY$39</f>
        <v>1273</v>
      </c>
      <c r="AR7" s="25">
        <f>'[2]CF PNP'!$AY$40</f>
        <v>911</v>
      </c>
      <c r="AS7" s="25">
        <f>'[2]CF PNP'!$AY$41</f>
        <v>684</v>
      </c>
      <c r="AT7" s="25">
        <f>'[2]CF PNP'!$AY$42</f>
        <v>1404</v>
      </c>
      <c r="AU7" s="25">
        <f>'[2]CF PNP'!$AY$43</f>
        <v>0</v>
      </c>
      <c r="AV7" s="25">
        <f>'[2]CF PNP'!$AY$44</f>
        <v>0</v>
      </c>
      <c r="AW7" s="25">
        <f>'[2]CF PNP'!$AY$45</f>
        <v>0</v>
      </c>
      <c r="AX7" s="25">
        <f>'[2]CF PNP'!$AY$46</f>
        <v>0</v>
      </c>
      <c r="AY7" s="25">
        <f>'[2]CF PNP'!$AY$47</f>
        <v>0</v>
      </c>
      <c r="AZ7" s="25">
        <f>'[2]CF PNP'!$AY$48</f>
        <v>0</v>
      </c>
      <c r="BA7" s="25">
        <f>'[2]CF PNP'!$AY$49</f>
        <v>0</v>
      </c>
      <c r="BB7" s="25">
        <f>'[2]CF PNP'!$AY$50</f>
        <v>0</v>
      </c>
      <c r="BC7" s="25">
        <f>'[2]CF PNP'!$AY$51</f>
        <v>0</v>
      </c>
      <c r="BD7" s="25">
        <f>'[2]CF PNP'!$AY$52</f>
        <v>0</v>
      </c>
      <c r="BE7" s="25">
        <f>'[2]CF PNP'!$AY$53</f>
        <v>0</v>
      </c>
      <c r="BF7" s="25">
        <f>'[2]CF PNP'!$AY$54</f>
        <v>0</v>
      </c>
      <c r="BG7" s="25">
        <f>'[2]CF PNP'!$AY$55</f>
        <v>0</v>
      </c>
      <c r="BH7" s="25">
        <f>'[2]CF PNP'!$AY$56</f>
        <v>0</v>
      </c>
      <c r="BI7" s="25">
        <f>'[2]CF PNP'!$AY$57</f>
        <v>0</v>
      </c>
      <c r="BJ7" s="25">
        <f>'[2]CF PNP'!$AY$58</f>
        <v>0</v>
      </c>
      <c r="BK7" s="25">
        <f>'[2]CF PNP'!$AY$59</f>
        <v>0</v>
      </c>
      <c r="BL7" s="25">
        <f>'[2]CF PNP'!$AY$60</f>
        <v>0</v>
      </c>
      <c r="BM7" s="25">
        <f>'[2]CF PNP'!$AY$61</f>
        <v>0</v>
      </c>
      <c r="BN7" s="25">
        <f>'[2]CF PNP'!$AY$62</f>
        <v>0</v>
      </c>
      <c r="BO7" s="25">
        <f>'[2]CF PNP'!$AY$63</f>
        <v>0</v>
      </c>
      <c r="BP7" s="25">
        <f>'[2]CF PNP'!$AY$64</f>
        <v>0</v>
      </c>
      <c r="BQ7" s="25">
        <f>'[2]CF PNP'!$AY$65</f>
        <v>0</v>
      </c>
      <c r="BR7" s="25">
        <f>'[2]CF PNP'!$AY$66</f>
        <v>0</v>
      </c>
      <c r="BS7" s="25">
        <f>'[2]CF PNP'!$AY$67</f>
        <v>0</v>
      </c>
      <c r="BT7" s="25">
        <f>'[2]CF PNP'!$AY$68</f>
        <v>0</v>
      </c>
      <c r="BU7" s="25">
        <f>'[2]CF PNP'!$AY$69</f>
        <v>0</v>
      </c>
      <c r="BV7" s="25">
        <f>'[2]CF PNP'!$AY$70</f>
        <v>0</v>
      </c>
      <c r="BW7" s="25">
        <f>'[2]CF PNP'!$AY$71</f>
        <v>0</v>
      </c>
      <c r="BX7" s="25">
        <f>'[2]CF PNP'!$AY$72</f>
        <v>0</v>
      </c>
      <c r="BY7" s="26">
        <f>SUM(AN7:BX7)</f>
        <v>9398</v>
      </c>
      <c r="BZ7" s="27">
        <f>'[2]CF PND'!$AY$36</f>
        <v>4648</v>
      </c>
      <c r="CA7" s="25">
        <f>'[2]CF PND'!$AY$37</f>
        <v>4195</v>
      </c>
      <c r="CB7" s="25">
        <f>'[2]CF PND'!$AY$38</f>
        <v>3079</v>
      </c>
      <c r="CC7" s="25">
        <f>'[2]CF PND'!$AY$39</f>
        <v>3542</v>
      </c>
      <c r="CD7" s="25">
        <f>'[2]CF PND'!$AY$40</f>
        <v>11672</v>
      </c>
      <c r="CE7" s="25">
        <f>'[2]CF PND'!$AY$41</f>
        <v>16355</v>
      </c>
      <c r="CF7" s="25">
        <f>'[2]CF PND'!$AY$42</f>
        <v>17999</v>
      </c>
      <c r="CG7" s="25">
        <f>'[2]CF PND'!$AY$43</f>
        <v>13412</v>
      </c>
      <c r="CH7" s="25">
        <f>'[2]CF PND'!$AY$44</f>
        <v>8561</v>
      </c>
      <c r="CI7" s="25">
        <f>'[2]CF PND'!$AY$45</f>
        <v>0</v>
      </c>
      <c r="CJ7" s="25">
        <f>'[2]CF PND'!$AY$46</f>
        <v>0</v>
      </c>
      <c r="CK7" s="25">
        <f>'[2]CF PND'!$AY$47</f>
        <v>0</v>
      </c>
      <c r="CL7" s="25">
        <f>'[2]CF PND'!$AY$48</f>
        <v>0</v>
      </c>
      <c r="CM7" s="25">
        <f>'[2]CF PND'!$AY$49</f>
        <v>0</v>
      </c>
      <c r="CN7" s="25">
        <f>'[2]CF PND'!$AY$50</f>
        <v>0</v>
      </c>
      <c r="CO7" s="25">
        <f>'[2]CF PND'!$AY$51</f>
        <v>0</v>
      </c>
      <c r="CP7" s="25">
        <f>'[2]CF PND'!$AY$52</f>
        <v>0</v>
      </c>
      <c r="CQ7" s="25">
        <f>'[2]CF PND'!$AY$53</f>
        <v>0</v>
      </c>
      <c r="CR7" s="25">
        <f>'[2]CF PND'!$AY$54</f>
        <v>0</v>
      </c>
      <c r="CS7" s="25">
        <f>'[2]CF PND'!$AY$55</f>
        <v>0</v>
      </c>
      <c r="CT7" s="25">
        <f>'[2]CF PND'!$AY$56</f>
        <v>0</v>
      </c>
      <c r="CU7" s="25">
        <f>'[2]CF PND'!$AY$57</f>
        <v>0</v>
      </c>
      <c r="CV7" s="25">
        <f>'[2]CF PND'!$AY$58</f>
        <v>0</v>
      </c>
      <c r="CW7" s="25">
        <f>'[2]CF PND'!$AY$59</f>
        <v>0</v>
      </c>
      <c r="CX7" s="25">
        <f>'[2]CF PND'!$AY$60</f>
        <v>0</v>
      </c>
      <c r="CY7" s="25">
        <f>'[2]CF PND'!$AY$61</f>
        <v>0</v>
      </c>
      <c r="CZ7" s="25">
        <f>'[2]CF PND'!$AY$62</f>
        <v>0</v>
      </c>
      <c r="DA7" s="25">
        <f>'[2]CF PND'!$AY$63</f>
        <v>0</v>
      </c>
      <c r="DB7" s="25">
        <f>'[2]CF PND'!$AY$64</f>
        <v>0</v>
      </c>
      <c r="DC7" s="25">
        <f>'[2]CF PND'!$AY$65</f>
        <v>0</v>
      </c>
      <c r="DD7" s="25">
        <f>'[2]CF PND'!$AY$66</f>
        <v>0</v>
      </c>
      <c r="DE7" s="25">
        <f>'[2]CF PND'!$AY$67</f>
        <v>0</v>
      </c>
      <c r="DF7" s="25">
        <f>'[2]CF PND'!$AY$68</f>
        <v>0</v>
      </c>
      <c r="DG7" s="25">
        <f>'[2]CF PND'!$AY$69</f>
        <v>0</v>
      </c>
      <c r="DH7" s="25">
        <f>'[2]CF PND'!$AY$70</f>
        <v>0</v>
      </c>
      <c r="DI7" s="25">
        <f>'[2]CF PND'!$AY$71</f>
        <v>0</v>
      </c>
      <c r="DJ7" s="25">
        <f>'[2]CF PND'!$AY$72</f>
        <v>0</v>
      </c>
      <c r="DK7" s="26">
        <f>SUM(BZ7:DJ7)</f>
        <v>83463</v>
      </c>
      <c r="DL7" s="69"/>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1">
        <f>SUM(DL7:EV7)</f>
        <v>0</v>
      </c>
      <c r="EX7" s="69"/>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1">
        <f>SUM(EX7:GH7)</f>
        <v>0</v>
      </c>
      <c r="GJ7" s="69"/>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c r="HU7" s="71">
        <f>SUM(GJ7:HT7)</f>
        <v>0</v>
      </c>
      <c r="HV7" s="27">
        <f>'[2]CF PRB'!$AY$36</f>
        <v>3713</v>
      </c>
      <c r="HW7" s="25">
        <f>'[2]CF PRB'!$AY$37</f>
        <v>2743</v>
      </c>
      <c r="HX7" s="25">
        <f>'[2]CF PRB'!$AY$38</f>
        <v>2064</v>
      </c>
      <c r="HY7" s="25">
        <f>'[2]CF PRB'!$AY$39</f>
        <v>1778</v>
      </c>
      <c r="HZ7" s="25">
        <f>'[2]CF PRB'!$AY$40</f>
        <v>1346</v>
      </c>
      <c r="IA7" s="25">
        <f>'[2]CF PRB'!$AY$41</f>
        <v>1015</v>
      </c>
      <c r="IB7" s="25">
        <f>'[2]CF PRB'!$AY$42</f>
        <v>695</v>
      </c>
      <c r="IC7" s="25">
        <f>'[2]CF PRB'!$AY$43</f>
        <v>313</v>
      </c>
      <c r="ID7" s="25">
        <f>'[2]CF PRB'!$AY$44</f>
        <v>179</v>
      </c>
      <c r="IE7" s="25">
        <f>'[2]CF PRB'!$AY$45</f>
        <v>33466</v>
      </c>
      <c r="IF7" s="25">
        <f>'[2]CF PRB'!$AY$46</f>
        <v>0</v>
      </c>
      <c r="IG7" s="25">
        <f>'[2]CF PRB'!$AY$47</f>
        <v>0</v>
      </c>
      <c r="IH7" s="25">
        <f>'[2]CF PRB'!$AY$48</f>
        <v>0</v>
      </c>
      <c r="II7" s="25">
        <f>'[2]CF PRB'!$AY$49</f>
        <v>0</v>
      </c>
      <c r="IJ7" s="25">
        <f>'[2]CF PRB'!$AY$50</f>
        <v>0</v>
      </c>
      <c r="IK7" s="25">
        <f>'[2]CF PRB'!$AY$51</f>
        <v>0</v>
      </c>
      <c r="IL7" s="25">
        <f>'[2]CF PRB'!$AY$52</f>
        <v>0</v>
      </c>
      <c r="IM7" s="25">
        <f>'[2]CF PRB'!$AY$53</f>
        <v>0</v>
      </c>
      <c r="IN7" s="25">
        <f>'[2]CF PRB'!$AY$54</f>
        <v>0</v>
      </c>
      <c r="IO7" s="25">
        <f>'[2]CF PRB'!$AY$55</f>
        <v>0</v>
      </c>
      <c r="IP7" s="25">
        <f>'[2]CF PRB'!$AY$56</f>
        <v>0</v>
      </c>
      <c r="IQ7" s="25">
        <f>'[2]CF PRB'!$AY$57</f>
        <v>0</v>
      </c>
      <c r="IR7" s="25">
        <f>'[2]CF PRB'!$AY$58</f>
        <v>0</v>
      </c>
      <c r="IS7" s="25">
        <f>'[2]CF PRB'!$AY$59</f>
        <v>0</v>
      </c>
      <c r="IT7" s="25">
        <f>'[2]CF PRB'!$AY$60</f>
        <v>0</v>
      </c>
      <c r="IU7" s="25">
        <f>'[2]CF PRB'!$AY$61</f>
        <v>0</v>
      </c>
      <c r="IV7" s="25">
        <f>'[2]CF PRB'!$AY$62</f>
        <v>0</v>
      </c>
      <c r="IW7" s="25">
        <f>'[2]CF PRB'!$AY$63</f>
        <v>0</v>
      </c>
      <c r="IX7" s="25">
        <f>'[2]CF PRB'!$AY$64</f>
        <v>0</v>
      </c>
      <c r="IY7" s="25">
        <f>'[2]CF PRB'!$AY$65</f>
        <v>0</v>
      </c>
      <c r="IZ7" s="25">
        <f>'[2]CF PRB'!$AY$66</f>
        <v>0</v>
      </c>
      <c r="JA7" s="25">
        <f>'[2]CF PRB'!$AY$67</f>
        <v>0</v>
      </c>
      <c r="JB7" s="25">
        <f>'[2]CF PRB'!$AY$68</f>
        <v>0</v>
      </c>
      <c r="JC7" s="25">
        <f>'[2]CF PRB'!$AY$69</f>
        <v>0</v>
      </c>
      <c r="JD7" s="25">
        <f>'[2]CF PRB'!$AY$70</f>
        <v>0</v>
      </c>
      <c r="JE7" s="25">
        <f>'[2]CF PRB'!$AY$71</f>
        <v>0</v>
      </c>
      <c r="JF7" s="25">
        <f>'[2]CF PRB'!$AY$72</f>
        <v>0</v>
      </c>
      <c r="JG7" s="26">
        <f>SUM(HV7:JF7)</f>
        <v>47312</v>
      </c>
      <c r="JH7" s="69"/>
      <c r="JI7" s="70"/>
      <c r="JJ7" s="70"/>
      <c r="JK7" s="70"/>
      <c r="JL7" s="70"/>
      <c r="JM7" s="70"/>
      <c r="JN7" s="70"/>
      <c r="JO7" s="70"/>
      <c r="JP7" s="70"/>
      <c r="JQ7" s="70"/>
      <c r="JR7" s="70"/>
      <c r="JS7" s="70"/>
      <c r="JT7" s="70"/>
      <c r="JU7" s="70"/>
      <c r="JV7" s="70"/>
      <c r="JW7" s="70"/>
      <c r="JX7" s="70"/>
      <c r="JY7" s="70"/>
      <c r="JZ7" s="70"/>
      <c r="KA7" s="70"/>
      <c r="KB7" s="70"/>
      <c r="KC7" s="70"/>
      <c r="KD7" s="70"/>
      <c r="KE7" s="70"/>
      <c r="KF7" s="70"/>
      <c r="KG7" s="70"/>
      <c r="KH7" s="70"/>
      <c r="KI7" s="70"/>
      <c r="KJ7" s="70"/>
      <c r="KK7" s="70"/>
      <c r="KL7" s="70"/>
      <c r="KM7" s="70"/>
      <c r="KN7" s="70"/>
      <c r="KO7" s="70"/>
      <c r="KP7" s="70"/>
      <c r="KQ7" s="70"/>
      <c r="KR7" s="70"/>
      <c r="KS7" s="71">
        <f>SUM(JH7:KR7)</f>
        <v>0</v>
      </c>
      <c r="KT7" s="69"/>
      <c r="KU7" s="70"/>
      <c r="KV7" s="70"/>
      <c r="KW7" s="70"/>
      <c r="KX7" s="70"/>
      <c r="KY7" s="70"/>
      <c r="KZ7" s="70"/>
      <c r="LA7" s="70"/>
      <c r="LB7" s="70"/>
      <c r="LC7" s="70"/>
      <c r="LD7" s="70"/>
      <c r="LE7" s="70"/>
      <c r="LF7" s="70"/>
      <c r="LG7" s="70"/>
      <c r="LH7" s="70"/>
      <c r="LI7" s="70"/>
      <c r="LJ7" s="70"/>
      <c r="LK7" s="70"/>
      <c r="LL7" s="70"/>
      <c r="LM7" s="70"/>
      <c r="LN7" s="70"/>
      <c r="LO7" s="70"/>
      <c r="LP7" s="70"/>
      <c r="LQ7" s="70"/>
      <c r="LR7" s="70"/>
      <c r="LS7" s="70"/>
      <c r="LT7" s="70"/>
      <c r="LU7" s="70"/>
      <c r="LV7" s="70"/>
      <c r="LW7" s="70"/>
      <c r="LX7" s="70"/>
      <c r="LY7" s="70"/>
      <c r="LZ7" s="70"/>
      <c r="MA7" s="70"/>
      <c r="MB7" s="70"/>
      <c r="MC7" s="70"/>
      <c r="MD7" s="70"/>
      <c r="ME7" s="71">
        <f>SUM(KT7:MD7)</f>
        <v>0</v>
      </c>
      <c r="MF7" s="69"/>
      <c r="MG7" s="70"/>
      <c r="MH7" s="70"/>
      <c r="MI7" s="70"/>
      <c r="MJ7" s="70"/>
      <c r="MK7" s="70"/>
      <c r="ML7" s="70"/>
      <c r="MM7" s="70"/>
      <c r="MN7" s="70"/>
      <c r="MO7" s="70"/>
      <c r="MP7" s="70"/>
      <c r="MQ7" s="70"/>
      <c r="MR7" s="70"/>
      <c r="MS7" s="70"/>
      <c r="MT7" s="70"/>
      <c r="MU7" s="70"/>
      <c r="MV7" s="70"/>
      <c r="MW7" s="70"/>
      <c r="MX7" s="70"/>
      <c r="MY7" s="70"/>
      <c r="MZ7" s="70"/>
      <c r="NA7" s="70"/>
      <c r="NB7" s="70"/>
      <c r="NC7" s="70"/>
      <c r="ND7" s="70"/>
      <c r="NE7" s="70"/>
      <c r="NF7" s="70"/>
      <c r="NG7" s="70"/>
      <c r="NH7" s="70"/>
      <c r="NI7" s="70"/>
      <c r="NJ7" s="70"/>
      <c r="NK7" s="70"/>
      <c r="NL7" s="70"/>
      <c r="NM7" s="70"/>
      <c r="NN7" s="70"/>
      <c r="NO7" s="70"/>
      <c r="NP7" s="70"/>
      <c r="NQ7" s="71">
        <f>SUM(MF7:NP7)</f>
        <v>0</v>
      </c>
      <c r="NR7" s="25">
        <f>'[2]CF PS'!$AY$36</f>
        <v>1300</v>
      </c>
      <c r="NS7" s="25">
        <f>'[2]CF PS'!$AY$37</f>
        <v>1046</v>
      </c>
      <c r="NT7" s="25">
        <f>'[2]CF PS'!$AY$38</f>
        <v>743</v>
      </c>
      <c r="NU7" s="25">
        <f>'[2]CF PS'!$AY$39</f>
        <v>528</v>
      </c>
      <c r="NV7" s="25">
        <f>'[2]CF PS'!$AY$40</f>
        <v>377</v>
      </c>
      <c r="NW7" s="25">
        <f>'[2]CF PS'!$AY$41</f>
        <v>259</v>
      </c>
      <c r="NX7" s="25">
        <f>'[2]CF PS'!$AY$42</f>
        <v>0</v>
      </c>
      <c r="NY7" s="25">
        <f>'[2]CF PS'!$AY$43</f>
        <v>130</v>
      </c>
      <c r="NZ7" s="25">
        <f>'[2]CF PS'!$AY$44</f>
        <v>144</v>
      </c>
      <c r="OA7" s="25">
        <f>'[2]CF PS'!$AY$45</f>
        <v>494</v>
      </c>
      <c r="OB7" s="25">
        <f>'[2]CF PS'!$AY$46</f>
        <v>0</v>
      </c>
      <c r="OC7" s="25">
        <f>'[2]CF PS'!$AY$47</f>
        <v>0</v>
      </c>
      <c r="OD7" s="25">
        <f>'[2]CF PS'!$AY$48</f>
        <v>0</v>
      </c>
      <c r="OE7" s="25">
        <f>'[2]CF PS'!$AY$49</f>
        <v>0</v>
      </c>
      <c r="OF7" s="25">
        <f>'[2]CF PS'!$AY$50</f>
        <v>0</v>
      </c>
      <c r="OG7" s="25">
        <f>'[2]CF PS'!$AY$51</f>
        <v>0</v>
      </c>
      <c r="OH7" s="25">
        <f>'[2]CF PS'!$AY$52</f>
        <v>0</v>
      </c>
      <c r="OI7" s="25">
        <f>'[2]CF PS'!$AY$53</f>
        <v>0</v>
      </c>
      <c r="OJ7" s="25">
        <f>'[2]CF PS'!$AY$54</f>
        <v>0</v>
      </c>
      <c r="OK7" s="25">
        <f>'[2]CF PS'!$AY$55</f>
        <v>0</v>
      </c>
      <c r="OL7" s="25">
        <f>'[2]CF PS'!$AY$56</f>
        <v>0</v>
      </c>
      <c r="OM7" s="25">
        <f>'[2]CF PS'!$AY$57</f>
        <v>0</v>
      </c>
      <c r="ON7" s="25">
        <f>'[2]CF PS'!$AY$58</f>
        <v>0</v>
      </c>
      <c r="OO7" s="25">
        <f>'[2]CF PS'!$AY$59</f>
        <v>0</v>
      </c>
      <c r="OP7" s="25">
        <f>'[2]CF PS'!$AY$60</f>
        <v>0</v>
      </c>
      <c r="OQ7" s="25">
        <f>'[2]CF PS'!$AY$61</f>
        <v>0</v>
      </c>
      <c r="OR7" s="25">
        <f>'[2]CF PS'!$AY$62</f>
        <v>0</v>
      </c>
      <c r="OS7" s="25">
        <f>'[2]CF PS'!$AY$63</f>
        <v>0</v>
      </c>
      <c r="OT7" s="25">
        <f>'[2]CF PS'!$AY$64</f>
        <v>0</v>
      </c>
      <c r="OU7" s="25">
        <f>'[2]CF PS'!$AY$65</f>
        <v>0</v>
      </c>
      <c r="OV7" s="25">
        <f>'[2]CF PS'!$AY$66</f>
        <v>0</v>
      </c>
      <c r="OW7" s="25">
        <f>'[2]CF PS'!$AY$67</f>
        <v>0</v>
      </c>
      <c r="OX7" s="25">
        <f>'[2]CF PS'!$AY$68</f>
        <v>0</v>
      </c>
      <c r="OY7" s="25">
        <f>'[2]CF PS'!$AY$69</f>
        <v>0</v>
      </c>
      <c r="OZ7" s="25">
        <f>'[2]CF PS'!$AY$70</f>
        <v>0</v>
      </c>
      <c r="PA7" s="25">
        <f>'[2]CF PS'!$AY$71</f>
        <v>0</v>
      </c>
      <c r="PB7" s="25">
        <f>'[2]CF PS'!$AY$72</f>
        <v>0</v>
      </c>
      <c r="PC7" s="26">
        <f>SUM(NR7:PB7)</f>
        <v>5021</v>
      </c>
    </row>
    <row r="8" spans="1:423" ht="16.5" thickBot="1" x14ac:dyDescent="0.35">
      <c r="A8" s="47" t="s">
        <v>6</v>
      </c>
      <c r="B8" s="40">
        <f>IF(AND(B6&lt;&gt;0,B7&lt;&gt;0),(B6-B7)/B7,IF(AND(B6=0,B7=0),"",IF(AND(B6="",B7=""),"",IF(AND(B6=0,B7=""),"", IF(AND(B6="",B7=0),"",1)))))</f>
        <v>4.3008532892925959E-5</v>
      </c>
      <c r="C8" s="40">
        <f t="shared" ref="C8" si="123">IF(AND(C6&lt;&gt;0,C7&lt;&gt;0),(C6-C7)/C7,IF(AND(C6=0,C7=0),"",IF(AND(C6="",C7=""),"",IF(AND(C6=0,C7=""),"", IF(AND(C6="",C7=0),"",1)))))</f>
        <v>7.6327503806462521E-5</v>
      </c>
      <c r="D8" s="40">
        <f t="shared" ref="D8" si="124">IF(AND(D6&lt;&gt;0,D7&lt;&gt;0),(D6-D7)/D7,IF(AND(D6=0,D7=0),"",IF(AND(D6="",D7=""),"",IF(AND(D6=0,D7=""),"", IF(AND(D6="",D7=0),"",1)))))</f>
        <v>1.70004364641807E-4</v>
      </c>
      <c r="E8" s="40">
        <f t="shared" ref="E8" si="125">IF(AND(E6&lt;&gt;0,E7&lt;&gt;0),(E6-E7)/E7,IF(AND(E6=0,E7=0),"",IF(AND(E6="",E7=""),"",IF(AND(E6=0,E7=""),"", IF(AND(E6="",E7=0),"",1)))))</f>
        <v>1.0421008753647353E-4</v>
      </c>
      <c r="F8" s="40">
        <f t="shared" ref="F8" si="126">IF(AND(F6&lt;&gt;0,F7&lt;&gt;0),(F6-F7)/F7,IF(AND(F6=0,F7=0),"",IF(AND(F6="",F7=""),"",IF(AND(F6=0,F7=""),"", IF(AND(F6="",F7=0),"",1)))))</f>
        <v>3.4352730161787363E-4</v>
      </c>
      <c r="G8" s="40">
        <f t="shared" ref="G8" si="127">IF(AND(G6&lt;&gt;0,G7&lt;&gt;0),(G6-G7)/G7,IF(AND(G6=0,G7=0),"",IF(AND(G6="",G7=""),"",IF(AND(G6=0,G7=""),"", IF(AND(G6="",G7=0),"",1)))))</f>
        <v>-7.6168084364386225E-5</v>
      </c>
      <c r="H8" s="40">
        <f t="shared" ref="H8" si="128">IF(AND(H6&lt;&gt;0,H7&lt;&gt;0),(H6-H7)/H7,IF(AND(H6=0,H7=0),"",IF(AND(H6="",H7=""),"",IF(AND(H6=0,H7=""),"", IF(AND(H6="",H7=0),"",1)))))</f>
        <v>1</v>
      </c>
      <c r="I8" s="40">
        <f t="shared" ref="I8" si="129">IF(AND(I6&lt;&gt;0,I7&lt;&gt;0),(I6-I7)/I7,IF(AND(I6=0,I7=0),"",IF(AND(I6="",I7=""),"",IF(AND(I6=0,I7=""),"", IF(AND(I6="",I7=0),"",1)))))</f>
        <v>1</v>
      </c>
      <c r="J8" s="40">
        <f t="shared" ref="J8" si="130">IF(AND(J6&lt;&gt;0,J7&lt;&gt;0),(J6-J7)/J7,IF(AND(J6=0,J7=0),"",IF(AND(J6="",J7=""),"",IF(AND(J6=0,J7=""),"", IF(AND(J6="",J7=0),"",1)))))</f>
        <v>1</v>
      </c>
      <c r="K8" s="40">
        <f t="shared" ref="K8" si="131">IF(AND(K6&lt;&gt;0,K7&lt;&gt;0),(K6-K7)/K7,IF(AND(K6=0,K7=0),"",IF(AND(K6="",K7=""),"",IF(AND(K6=0,K7=""),"", IF(AND(K6="",K7=0),"",1)))))</f>
        <v>1</v>
      </c>
      <c r="L8" s="40">
        <f t="shared" ref="L8" si="132">IF(AND(L6&lt;&gt;0,L7&lt;&gt;0),(L6-L7)/L7,IF(AND(L6=0,L7=0),"",IF(AND(L6="",L7=""),"",IF(AND(L6=0,L7=""),"", IF(AND(L6="",L7=0),"",1)))))</f>
        <v>1</v>
      </c>
      <c r="M8" s="40" t="str">
        <f t="shared" ref="M8" si="133">IF(AND(M6&lt;&gt;0,M7&lt;&gt;0),(M6-M7)/M7,IF(AND(M6=0,M7=0),"",IF(AND(M6="",M7=""),"",IF(AND(M6=0,M7=""),"", IF(AND(M6="",M7=0),"",1)))))</f>
        <v/>
      </c>
      <c r="N8" s="40" t="str">
        <f t="shared" ref="N8" si="134">IF(AND(N6&lt;&gt;0,N7&lt;&gt;0),(N6-N7)/N7,IF(AND(N6=0,N7=0),"",IF(AND(N6="",N7=""),"",IF(AND(N6=0,N7=""),"", IF(AND(N6="",N7=0),"",1)))))</f>
        <v/>
      </c>
      <c r="O8" s="40" t="str">
        <f t="shared" ref="O8" si="135">IF(AND(O6&lt;&gt;0,O7&lt;&gt;0),(O6-O7)/O7,IF(AND(O6=0,O7=0),"",IF(AND(O6="",O7=""),"",IF(AND(O6=0,O7=""),"", IF(AND(O6="",O7=0),"",1)))))</f>
        <v/>
      </c>
      <c r="P8" s="40" t="str">
        <f t="shared" ref="P8" si="136">IF(AND(P6&lt;&gt;0,P7&lt;&gt;0),(P6-P7)/P7,IF(AND(P6=0,P7=0),"",IF(AND(P6="",P7=""),"",IF(AND(P6=0,P7=""),"", IF(AND(P6="",P7=0),"",1)))))</f>
        <v/>
      </c>
      <c r="Q8" s="40" t="str">
        <f t="shared" ref="Q8" si="137">IF(AND(Q6&lt;&gt;0,Q7&lt;&gt;0),(Q6-Q7)/Q7,IF(AND(Q6=0,Q7=0),"",IF(AND(Q6="",Q7=""),"",IF(AND(Q6=0,Q7=""),"", IF(AND(Q6="",Q7=0),"",1)))))</f>
        <v/>
      </c>
      <c r="R8" s="40" t="str">
        <f t="shared" ref="R8" si="138">IF(AND(R6&lt;&gt;0,R7&lt;&gt;0),(R6-R7)/R7,IF(AND(R6=0,R7=0),"",IF(AND(R6="",R7=""),"",IF(AND(R6=0,R7=""),"", IF(AND(R6="",R7=0),"",1)))))</f>
        <v/>
      </c>
      <c r="S8" s="40" t="str">
        <f t="shared" ref="S8" si="139">IF(AND(S6&lt;&gt;0,S7&lt;&gt;0),(S6-S7)/S7,IF(AND(S6=0,S7=0),"",IF(AND(S6="",S7=""),"",IF(AND(S6=0,S7=""),"", IF(AND(S6="",S7=0),"",1)))))</f>
        <v/>
      </c>
      <c r="T8" s="40" t="str">
        <f t="shared" ref="T8" si="140">IF(AND(T6&lt;&gt;0,T7&lt;&gt;0),(T6-T7)/T7,IF(AND(T6=0,T7=0),"",IF(AND(T6="",T7=""),"",IF(AND(T6=0,T7=""),"", IF(AND(T6="",T7=0),"",1)))))</f>
        <v/>
      </c>
      <c r="U8" s="40" t="str">
        <f t="shared" ref="U8" si="141">IF(AND(U6&lt;&gt;0,U7&lt;&gt;0),(U6-U7)/U7,IF(AND(U6=0,U7=0),"",IF(AND(U6="",U7=""),"",IF(AND(U6=0,U7=""),"", IF(AND(U6="",U7=0),"",1)))))</f>
        <v/>
      </c>
      <c r="V8" s="40" t="str">
        <f t="shared" ref="V8" si="142">IF(AND(V6&lt;&gt;0,V7&lt;&gt;0),(V6-V7)/V7,IF(AND(V6=0,V7=0),"",IF(AND(V6="",V7=""),"",IF(AND(V6=0,V7=""),"", IF(AND(V6="",V7=0),"",1)))))</f>
        <v/>
      </c>
      <c r="W8" s="40" t="str">
        <f t="shared" ref="W8" si="143">IF(AND(W6&lt;&gt;0,W7&lt;&gt;0),(W6-W7)/W7,IF(AND(W6=0,W7=0),"",IF(AND(W6="",W7=""),"",IF(AND(W6=0,W7=""),"", IF(AND(W6="",W7=0),"",1)))))</f>
        <v/>
      </c>
      <c r="X8" s="40" t="str">
        <f t="shared" ref="X8:AM8" si="144">IF(AND(X6&lt;&gt;0,X7&lt;&gt;0),(X6-X7)/X7,IF(AND(X6=0,X7=0),"",IF(AND(X6="",X7=""),"",IF(AND(X6=0,X7=""),"", IF(AND(X6="",X7=0),"",1)))))</f>
        <v/>
      </c>
      <c r="Y8" s="40" t="str">
        <f t="shared" ref="Y8:AL8" si="145">IF(AND(Y6&lt;&gt;0,Y7&lt;&gt;0),(Y6-Y7)/Y7,IF(AND(Y6=0,Y7=0),"",IF(AND(Y6="",Y7=""),"",IF(AND(Y6=0,Y7=""),"", IF(AND(Y6="",Y7=0),"",1)))))</f>
        <v/>
      </c>
      <c r="Z8" s="40" t="str">
        <f t="shared" si="145"/>
        <v/>
      </c>
      <c r="AA8" s="40" t="str">
        <f t="shared" si="145"/>
        <v/>
      </c>
      <c r="AB8" s="40" t="str">
        <f t="shared" si="145"/>
        <v/>
      </c>
      <c r="AC8" s="40" t="str">
        <f t="shared" si="145"/>
        <v/>
      </c>
      <c r="AD8" s="40" t="str">
        <f t="shared" si="145"/>
        <v/>
      </c>
      <c r="AE8" s="40" t="str">
        <f t="shared" si="145"/>
        <v/>
      </c>
      <c r="AF8" s="40" t="str">
        <f t="shared" si="145"/>
        <v/>
      </c>
      <c r="AG8" s="40" t="str">
        <f t="shared" si="145"/>
        <v/>
      </c>
      <c r="AH8" s="40" t="str">
        <f t="shared" si="145"/>
        <v/>
      </c>
      <c r="AI8" s="40" t="str">
        <f t="shared" si="145"/>
        <v/>
      </c>
      <c r="AJ8" s="40" t="str">
        <f t="shared" si="145"/>
        <v/>
      </c>
      <c r="AK8" s="40" t="str">
        <f t="shared" si="145"/>
        <v/>
      </c>
      <c r="AL8" s="40" t="str">
        <f t="shared" si="145"/>
        <v/>
      </c>
      <c r="AM8" s="41">
        <f t="shared" si="144"/>
        <v>4.6591550825302364E-2</v>
      </c>
      <c r="AN8" s="39">
        <f t="shared" ref="AN8" si="146">IF(AND(AN6&lt;&gt;0,AN7&lt;&gt;0),(AN6-AN7)/AN7,IF(AND(AN6=0,AN7=0),"",IF(AND(AN6="",AN7=""),"",IF(AND(AN6=0,AN7=""),"", IF(AND(AN6="",AN7=0),"",1)))))</f>
        <v>3.9966033535753274E-4</v>
      </c>
      <c r="AO8" s="40">
        <f t="shared" ref="AO8" si="147">IF(AND(AO6&lt;&gt;0,AO7&lt;&gt;0),(AO6-AO7)/AO7,IF(AND(AO6=0,AO7=0),"",IF(AND(AO6="",AO7=""),"",IF(AND(AO6=0,AO7=""),"", IF(AND(AO6="",AO7=0),"",1)))))</f>
        <v>-6.3879363783060454E-5</v>
      </c>
      <c r="AP8" s="40">
        <f t="shared" ref="AP8" si="148">IF(AND(AP6&lt;&gt;0,AP7&lt;&gt;0),(AP6-AP7)/AP7,IF(AND(AP6=0,AP7=0),"",IF(AND(AP6="",AP7=""),"",IF(AND(AP6=0,AP7=""),"", IF(AND(AP6="",AP7=0),"",1)))))</f>
        <v>-4.0413430539273156E-4</v>
      </c>
      <c r="AQ8" s="40">
        <f t="shared" ref="AQ8" si="149">IF(AND(AQ6&lt;&gt;0,AQ7&lt;&gt;0),(AQ6-AQ7)/AQ7,IF(AND(AQ6=0,AQ7=0),"",IF(AND(AQ6="",AQ7=""),"",IF(AND(AQ6=0,AQ7=""),"", IF(AND(AQ6="",AQ7=0),"",1)))))</f>
        <v>4.2921187647289869E-4</v>
      </c>
      <c r="AR8" s="40">
        <f t="shared" ref="AR8" si="150">IF(AND(AR6&lt;&gt;0,AR7&lt;&gt;0),(AR6-AR7)/AR7,IF(AND(AR6=0,AR7=0),"",IF(AND(AR6="",AR7=""),"",IF(AND(AR6=0,AR7=""),"", IF(AND(AR6="",AR7=0),"",1)))))</f>
        <v>-3.4704951632821075E-4</v>
      </c>
      <c r="AS8" s="40">
        <f t="shared" ref="AS8" si="151">IF(AND(AS6&lt;&gt;0,AS7&lt;&gt;0),(AS6-AS7)/AS7,IF(AND(AS6=0,AS7=0),"",IF(AND(AS6="",AS7=""),"",IF(AND(AS6=0,AS7=""),"", IF(AND(AS6="",AS7=0),"",1)))))</f>
        <v>1.0219819364491959E-3</v>
      </c>
      <c r="AT8" s="40">
        <f t="shared" ref="AT8" si="152">IF(AND(AT6&lt;&gt;0,AT7&lt;&gt;0),(AT6-AT7)/AT7,IF(AND(AT6=0,AT7=0),"",IF(AND(AT6="",AT7=""),"",IF(AND(AT6=0,AT7=""),"", IF(AND(AT6="",AT7=0),"",1)))))</f>
        <v>-0.69925461467514693</v>
      </c>
      <c r="AU8" s="40">
        <f t="shared" ref="AU8" si="153">IF(AND(AU6&lt;&gt;0,AU7&lt;&gt;0),(AU6-AU7)/AU7,IF(AND(AU6=0,AU7=0),"",IF(AND(AU6="",AU7=""),"",IF(AND(AU6=0,AU7=""),"", IF(AND(AU6="",AU7=0),"",1)))))</f>
        <v>1</v>
      </c>
      <c r="AV8" s="40">
        <f t="shared" ref="AV8" si="154">IF(AND(AV6&lt;&gt;0,AV7&lt;&gt;0),(AV6-AV7)/AV7,IF(AND(AV6=0,AV7=0),"",IF(AND(AV6="",AV7=""),"",IF(AND(AV6=0,AV7=""),"", IF(AND(AV6="",AV7=0),"",1)))))</f>
        <v>1</v>
      </c>
      <c r="AW8" s="40" t="str">
        <f t="shared" ref="AW8" si="155">IF(AND(AW6&lt;&gt;0,AW7&lt;&gt;0),(AW6-AW7)/AW7,IF(AND(AW6=0,AW7=0),"",IF(AND(AW6="",AW7=""),"",IF(AND(AW6=0,AW7=""),"", IF(AND(AW6="",AW7=0),"",1)))))</f>
        <v/>
      </c>
      <c r="AX8" s="40" t="str">
        <f t="shared" ref="AX8" si="156">IF(AND(AX6&lt;&gt;0,AX7&lt;&gt;0),(AX6-AX7)/AX7,IF(AND(AX6=0,AX7=0),"",IF(AND(AX6="",AX7=""),"",IF(AND(AX6=0,AX7=""),"", IF(AND(AX6="",AX7=0),"",1)))))</f>
        <v/>
      </c>
      <c r="AY8" s="40" t="str">
        <f t="shared" ref="AY8" si="157">IF(AND(AY6&lt;&gt;0,AY7&lt;&gt;0),(AY6-AY7)/AY7,IF(AND(AY6=0,AY7=0),"",IF(AND(AY6="",AY7=""),"",IF(AND(AY6=0,AY7=""),"", IF(AND(AY6="",AY7=0),"",1)))))</f>
        <v/>
      </c>
      <c r="AZ8" s="40" t="str">
        <f t="shared" ref="AZ8" si="158">IF(AND(AZ6&lt;&gt;0,AZ7&lt;&gt;0),(AZ6-AZ7)/AZ7,IF(AND(AZ6=0,AZ7=0),"",IF(AND(AZ6="",AZ7=""),"",IF(AND(AZ6=0,AZ7=""),"", IF(AND(AZ6="",AZ7=0),"",1)))))</f>
        <v/>
      </c>
      <c r="BA8" s="40" t="str">
        <f t="shared" ref="BA8" si="159">IF(AND(BA6&lt;&gt;0,BA7&lt;&gt;0),(BA6-BA7)/BA7,IF(AND(BA6=0,BA7=0),"",IF(AND(BA6="",BA7=""),"",IF(AND(BA6=0,BA7=""),"", IF(AND(BA6="",BA7=0),"",1)))))</f>
        <v/>
      </c>
      <c r="BB8" s="40" t="str">
        <f t="shared" ref="BB8" si="160">IF(AND(BB6&lt;&gt;0,BB7&lt;&gt;0),(BB6-BB7)/BB7,IF(AND(BB6=0,BB7=0),"",IF(AND(BB6="",BB7=""),"",IF(AND(BB6=0,BB7=""),"", IF(AND(BB6="",BB7=0),"",1)))))</f>
        <v/>
      </c>
      <c r="BC8" s="40" t="str">
        <f t="shared" ref="BC8" si="161">IF(AND(BC6&lt;&gt;0,BC7&lt;&gt;0),(BC6-BC7)/BC7,IF(AND(BC6=0,BC7=0),"",IF(AND(BC6="",BC7=""),"",IF(AND(BC6=0,BC7=""),"", IF(AND(BC6="",BC7=0),"",1)))))</f>
        <v/>
      </c>
      <c r="BD8" s="40" t="str">
        <f t="shared" ref="BD8" si="162">IF(AND(BD6&lt;&gt;0,BD7&lt;&gt;0),(BD6-BD7)/BD7,IF(AND(BD6=0,BD7=0),"",IF(AND(BD6="",BD7=""),"",IF(AND(BD6=0,BD7=""),"", IF(AND(BD6="",BD7=0),"",1)))))</f>
        <v/>
      </c>
      <c r="BE8" s="40" t="str">
        <f t="shared" ref="BE8" si="163">IF(AND(BE6&lt;&gt;0,BE7&lt;&gt;0),(BE6-BE7)/BE7,IF(AND(BE6=0,BE7=0),"",IF(AND(BE6="",BE7=""),"",IF(AND(BE6=0,BE7=""),"", IF(AND(BE6="",BE7=0),"",1)))))</f>
        <v/>
      </c>
      <c r="BF8" s="40" t="str">
        <f t="shared" ref="BF8" si="164">IF(AND(BF6&lt;&gt;0,BF7&lt;&gt;0),(BF6-BF7)/BF7,IF(AND(BF6=0,BF7=0),"",IF(AND(BF6="",BF7=""),"",IF(AND(BF6=0,BF7=""),"", IF(AND(BF6="",BF7=0),"",1)))))</f>
        <v/>
      </c>
      <c r="BG8" s="40" t="str">
        <f t="shared" ref="BG8" si="165">IF(AND(BG6&lt;&gt;0,BG7&lt;&gt;0),(BG6-BG7)/BG7,IF(AND(BG6=0,BG7=0),"",IF(AND(BG6="",BG7=""),"",IF(AND(BG6=0,BG7=""),"", IF(AND(BG6="",BG7=0),"",1)))))</f>
        <v/>
      </c>
      <c r="BH8" s="40" t="str">
        <f t="shared" ref="BH8" si="166">IF(AND(BH6&lt;&gt;0,BH7&lt;&gt;0),(BH6-BH7)/BH7,IF(AND(BH6=0,BH7=0),"",IF(AND(BH6="",BH7=""),"",IF(AND(BH6=0,BH7=""),"", IF(AND(BH6="",BH7=0),"",1)))))</f>
        <v/>
      </c>
      <c r="BI8" s="40" t="str">
        <f t="shared" ref="BI8" si="167">IF(AND(BI6&lt;&gt;0,BI7&lt;&gt;0),(BI6-BI7)/BI7,IF(AND(BI6=0,BI7=0),"",IF(AND(BI6="",BI7=""),"",IF(AND(BI6=0,BI7=""),"", IF(AND(BI6="",BI7=0),"",1)))))</f>
        <v/>
      </c>
      <c r="BJ8" s="40" t="str">
        <f t="shared" ref="BJ8:BX8" si="168">IF(AND(BJ6&lt;&gt;0,BJ7&lt;&gt;0),(BJ6-BJ7)/BJ7,IF(AND(BJ6=0,BJ7=0),"",IF(AND(BJ6="",BJ7=""),"",IF(AND(BJ6=0,BJ7=""),"", IF(AND(BJ6="",BJ7=0),"",1)))))</f>
        <v/>
      </c>
      <c r="BK8" s="40" t="str">
        <f t="shared" si="168"/>
        <v/>
      </c>
      <c r="BL8" s="40" t="str">
        <f t="shared" si="168"/>
        <v/>
      </c>
      <c r="BM8" s="40" t="str">
        <f t="shared" si="168"/>
        <v/>
      </c>
      <c r="BN8" s="40" t="str">
        <f t="shared" si="168"/>
        <v/>
      </c>
      <c r="BO8" s="40" t="str">
        <f t="shared" si="168"/>
        <v/>
      </c>
      <c r="BP8" s="40" t="str">
        <f t="shared" si="168"/>
        <v/>
      </c>
      <c r="BQ8" s="40" t="str">
        <f t="shared" si="168"/>
        <v/>
      </c>
      <c r="BR8" s="40" t="str">
        <f t="shared" si="168"/>
        <v/>
      </c>
      <c r="BS8" s="40" t="str">
        <f t="shared" si="168"/>
        <v/>
      </c>
      <c r="BT8" s="40" t="str">
        <f t="shared" si="168"/>
        <v/>
      </c>
      <c r="BU8" s="40" t="str">
        <f t="shared" si="168"/>
        <v/>
      </c>
      <c r="BV8" s="40" t="str">
        <f t="shared" si="168"/>
        <v/>
      </c>
      <c r="BW8" s="40" t="str">
        <f t="shared" si="168"/>
        <v/>
      </c>
      <c r="BX8" s="40" t="str">
        <f t="shared" si="168"/>
        <v/>
      </c>
      <c r="BY8" s="41">
        <f t="shared" ref="BY8" si="169">IF(AND(BY6&lt;&gt;0,BY7&lt;&gt;0),(BY6-BY7)/BY7,IF(AND(BY6=0,BY7=0),"",IF(AND(BY6="",BY7=""),"",IF(AND(BY6=0,BY7=""),"", IF(AND(BY6="",BY7=0),"",1)))))</f>
        <v>-7.222049970478675E-2</v>
      </c>
      <c r="BZ8" s="39">
        <f t="shared" ref="BZ8" si="170">IF(AND(BZ6&lt;&gt;0,BZ7&lt;&gt;0),(BZ6-BZ7)/BZ7,IF(AND(BZ6=0,BZ7=0),"",IF(AND(BZ6="",BZ7=""),"",IF(AND(BZ6=0,BZ7=""),"", IF(AND(BZ6="",BZ7=0),"",1)))))</f>
        <v>1.2763806341437178E-4</v>
      </c>
      <c r="CA8" s="40">
        <f t="shared" ref="CA8" si="171">IF(AND(CA6&lt;&gt;0,CA7&lt;&gt;0),(CA6-CA7)/CA7,IF(AND(CA6=0,CA7=0),"",IF(AND(CA6="",CA7=""),"",IF(AND(CA6=0,CA7=""),"", IF(AND(CA6="",CA7=0),"",1)))))</f>
        <v>1.373472884386174E-4</v>
      </c>
      <c r="CB8" s="40">
        <f t="shared" ref="CB8" si="172">IF(AND(CB6&lt;&gt;0,CB7&lt;&gt;0),(CB6-CB7)/CB7,IF(AND(CB6=0,CB7=0),"",IF(AND(CB6="",CB7=""),"",IF(AND(CB6=0,CB7=""),"", IF(AND(CB6="",CB7=0),"",1)))))</f>
        <v>1.9704106954368303E-4</v>
      </c>
      <c r="CC8" s="40">
        <f t="shared" ref="CC8" si="173">IF(AND(CC6&lt;&gt;0,CC7&lt;&gt;0),(CC6-CC7)/CC7,IF(AND(CC6=0,CC7=0),"",IF(AND(CC6="",CC7=""),"",IF(AND(CC6=0,CC7=""),"", IF(AND(CC6="",CC7=0),"",1)))))</f>
        <v>-1.2551667931253528E-4</v>
      </c>
      <c r="CD8" s="40">
        <f t="shared" ref="CD8" si="174">IF(AND(CD6&lt;&gt;0,CD7&lt;&gt;0),(CD6-CD7)/CD7,IF(AND(CD6=0,CD7=0),"",IF(AND(CD6="",CD7=""),"",IF(AND(CD6=0,CD7=""),"", IF(AND(CD6="",CD7=0),"",1)))))</f>
        <v>6.6933687457162435E-5</v>
      </c>
      <c r="CE8" s="40">
        <f t="shared" ref="CE8" si="175">IF(AND(CE6&lt;&gt;0,CE7&lt;&gt;0),(CE6-CE7)/CE7,IF(AND(CE6=0,CE7=0),"",IF(AND(CE6="",CE7=""),"",IF(AND(CE6=0,CE7=""),"", IF(AND(CE6="",CE7=0),"",1)))))</f>
        <v>5.5112637572607763E-5</v>
      </c>
      <c r="CF8" s="40">
        <f t="shared" ref="CF8" si="176">IF(AND(CF6&lt;&gt;0,CF7&lt;&gt;0),(CF6-CF7)/CF7,IF(AND(CF6=0,CF7=0),"",IF(AND(CF6="",CF7=""),"",IF(AND(CF6=0,CF7=""),"", IF(AND(CF6="",CF7=0),"",1)))))</f>
        <v>1.0580014861936775E-4</v>
      </c>
      <c r="CG8" s="40">
        <f t="shared" ref="CG8" si="177">IF(AND(CG6&lt;&gt;0,CG7&lt;&gt;0),(CG6-CG7)/CG7,IF(AND(CG6=0,CG7=0),"",IF(AND(CG6="",CG7=""),"",IF(AND(CG6=0,CG7=""),"", IF(AND(CG6="",CG7=0),"",1)))))</f>
        <v>-4.5525637022815389E-2</v>
      </c>
      <c r="CH8" s="40">
        <f t="shared" ref="CH8" si="178">IF(AND(CH6&lt;&gt;0,CH7&lt;&gt;0),(CH6-CH7)/CH7,IF(AND(CH6=0,CH7=0),"",IF(AND(CH6="",CH7=""),"",IF(AND(CH6=0,CH7=""),"", IF(AND(CH6="",CH7=0),"",1)))))</f>
        <v>5.1273580773274152E-2</v>
      </c>
      <c r="CI8" s="40">
        <f t="shared" ref="CI8" si="179">IF(AND(CI6&lt;&gt;0,CI7&lt;&gt;0),(CI6-CI7)/CI7,IF(AND(CI6=0,CI7=0),"",IF(AND(CI6="",CI7=""),"",IF(AND(CI6=0,CI7=""),"", IF(AND(CI6="",CI7=0),"",1)))))</f>
        <v>1</v>
      </c>
      <c r="CJ8" s="40">
        <f t="shared" ref="CJ8" si="180">IF(AND(CJ6&lt;&gt;0,CJ7&lt;&gt;0),(CJ6-CJ7)/CJ7,IF(AND(CJ6=0,CJ7=0),"",IF(AND(CJ6="",CJ7=""),"",IF(AND(CJ6=0,CJ7=""),"", IF(AND(CJ6="",CJ7=0),"",1)))))</f>
        <v>1</v>
      </c>
      <c r="CK8" s="40" t="str">
        <f t="shared" ref="CK8" si="181">IF(AND(CK6&lt;&gt;0,CK7&lt;&gt;0),(CK6-CK7)/CK7,IF(AND(CK6=0,CK7=0),"",IF(AND(CK6="",CK7=""),"",IF(AND(CK6=0,CK7=""),"", IF(AND(CK6="",CK7=0),"",1)))))</f>
        <v/>
      </c>
      <c r="CL8" s="40" t="str">
        <f t="shared" ref="CL8" si="182">IF(AND(CL6&lt;&gt;0,CL7&lt;&gt;0),(CL6-CL7)/CL7,IF(AND(CL6=0,CL7=0),"",IF(AND(CL6="",CL7=""),"",IF(AND(CL6=0,CL7=""),"", IF(AND(CL6="",CL7=0),"",1)))))</f>
        <v/>
      </c>
      <c r="CM8" s="40" t="str">
        <f t="shared" ref="CM8" si="183">IF(AND(CM6&lt;&gt;0,CM7&lt;&gt;0),(CM6-CM7)/CM7,IF(AND(CM6=0,CM7=0),"",IF(AND(CM6="",CM7=""),"",IF(AND(CM6=0,CM7=""),"", IF(AND(CM6="",CM7=0),"",1)))))</f>
        <v/>
      </c>
      <c r="CN8" s="40" t="str">
        <f t="shared" ref="CN8" si="184">IF(AND(CN6&lt;&gt;0,CN7&lt;&gt;0),(CN6-CN7)/CN7,IF(AND(CN6=0,CN7=0),"",IF(AND(CN6="",CN7=""),"",IF(AND(CN6=0,CN7=""),"", IF(AND(CN6="",CN7=0),"",1)))))</f>
        <v/>
      </c>
      <c r="CO8" s="40" t="str">
        <f t="shared" ref="CO8" si="185">IF(AND(CO6&lt;&gt;0,CO7&lt;&gt;0),(CO6-CO7)/CO7,IF(AND(CO6=0,CO7=0),"",IF(AND(CO6="",CO7=""),"",IF(AND(CO6=0,CO7=""),"", IF(AND(CO6="",CO7=0),"",1)))))</f>
        <v/>
      </c>
      <c r="CP8" s="40" t="str">
        <f t="shared" ref="CP8" si="186">IF(AND(CP6&lt;&gt;0,CP7&lt;&gt;0),(CP6-CP7)/CP7,IF(AND(CP6=0,CP7=0),"",IF(AND(CP6="",CP7=""),"",IF(AND(CP6=0,CP7=""),"", IF(AND(CP6="",CP7=0),"",1)))))</f>
        <v/>
      </c>
      <c r="CQ8" s="40" t="str">
        <f t="shared" ref="CQ8" si="187">IF(AND(CQ6&lt;&gt;0,CQ7&lt;&gt;0),(CQ6-CQ7)/CQ7,IF(AND(CQ6=0,CQ7=0),"",IF(AND(CQ6="",CQ7=""),"",IF(AND(CQ6=0,CQ7=""),"", IF(AND(CQ6="",CQ7=0),"",1)))))</f>
        <v/>
      </c>
      <c r="CR8" s="40" t="str">
        <f t="shared" ref="CR8" si="188">IF(AND(CR6&lt;&gt;0,CR7&lt;&gt;0),(CR6-CR7)/CR7,IF(AND(CR6=0,CR7=0),"",IF(AND(CR6="",CR7=""),"",IF(AND(CR6=0,CR7=""),"", IF(AND(CR6="",CR7=0),"",1)))))</f>
        <v/>
      </c>
      <c r="CS8" s="40" t="str">
        <f t="shared" ref="CS8" si="189">IF(AND(CS6&lt;&gt;0,CS7&lt;&gt;0),(CS6-CS7)/CS7,IF(AND(CS6=0,CS7=0),"",IF(AND(CS6="",CS7=""),"",IF(AND(CS6=0,CS7=""),"", IF(AND(CS6="",CS7=0),"",1)))))</f>
        <v/>
      </c>
      <c r="CT8" s="40" t="str">
        <f t="shared" ref="CT8" si="190">IF(AND(CT6&lt;&gt;0,CT7&lt;&gt;0),(CT6-CT7)/CT7,IF(AND(CT6=0,CT7=0),"",IF(AND(CT6="",CT7=""),"",IF(AND(CT6=0,CT7=""),"", IF(AND(CT6="",CT7=0),"",1)))))</f>
        <v/>
      </c>
      <c r="CU8" s="40" t="str">
        <f t="shared" ref="CU8" si="191">IF(AND(CU6&lt;&gt;0,CU7&lt;&gt;0),(CU6-CU7)/CU7,IF(AND(CU6=0,CU7=0),"",IF(AND(CU6="",CU7=""),"",IF(AND(CU6=0,CU7=""),"", IF(AND(CU6="",CU7=0),"",1)))))</f>
        <v/>
      </c>
      <c r="CV8" s="40" t="str">
        <f t="shared" ref="CV8:DJ8" si="192">IF(AND(CV6&lt;&gt;0,CV7&lt;&gt;0),(CV6-CV7)/CV7,IF(AND(CV6=0,CV7=0),"",IF(AND(CV6="",CV7=""),"",IF(AND(CV6=0,CV7=""),"", IF(AND(CV6="",CV7=0),"",1)))))</f>
        <v/>
      </c>
      <c r="CW8" s="40" t="str">
        <f t="shared" si="192"/>
        <v/>
      </c>
      <c r="CX8" s="40" t="str">
        <f t="shared" si="192"/>
        <v/>
      </c>
      <c r="CY8" s="40" t="str">
        <f t="shared" si="192"/>
        <v/>
      </c>
      <c r="CZ8" s="40" t="str">
        <f t="shared" si="192"/>
        <v/>
      </c>
      <c r="DA8" s="40" t="str">
        <f t="shared" si="192"/>
        <v/>
      </c>
      <c r="DB8" s="40" t="str">
        <f t="shared" si="192"/>
        <v/>
      </c>
      <c r="DC8" s="40" t="str">
        <f t="shared" si="192"/>
        <v/>
      </c>
      <c r="DD8" s="40" t="str">
        <f t="shared" si="192"/>
        <v/>
      </c>
      <c r="DE8" s="40" t="str">
        <f t="shared" si="192"/>
        <v/>
      </c>
      <c r="DF8" s="40" t="str">
        <f t="shared" si="192"/>
        <v/>
      </c>
      <c r="DG8" s="40" t="str">
        <f t="shared" si="192"/>
        <v/>
      </c>
      <c r="DH8" s="40" t="str">
        <f t="shared" si="192"/>
        <v/>
      </c>
      <c r="DI8" s="40" t="str">
        <f t="shared" si="192"/>
        <v/>
      </c>
      <c r="DJ8" s="40" t="str">
        <f t="shared" si="192"/>
        <v/>
      </c>
      <c r="DK8" s="41">
        <f t="shared" ref="DK8:HU8" si="193">IF(AND(DK6&lt;&gt;0,DK7&lt;&gt;0),(DK6-DK7)/DK7,IF(AND(DK6=0,DK7=0),"",IF(AND(DK6="",DK7=""),"",IF(AND(DK6=0,DK7=""),"", IF(AND(DK6="",DK7=0),"",1)))))</f>
        <v>0.54329704971252235</v>
      </c>
      <c r="DL8" s="72" t="str">
        <f t="shared" si="193"/>
        <v/>
      </c>
      <c r="DM8" s="73" t="str">
        <f t="shared" si="193"/>
        <v/>
      </c>
      <c r="DN8" s="73" t="str">
        <f t="shared" si="193"/>
        <v/>
      </c>
      <c r="DO8" s="73" t="str">
        <f t="shared" si="193"/>
        <v/>
      </c>
      <c r="DP8" s="73" t="str">
        <f t="shared" si="193"/>
        <v/>
      </c>
      <c r="DQ8" s="73" t="str">
        <f t="shared" si="193"/>
        <v/>
      </c>
      <c r="DR8" s="73" t="str">
        <f t="shared" si="193"/>
        <v/>
      </c>
      <c r="DS8" s="73" t="str">
        <f t="shared" si="193"/>
        <v/>
      </c>
      <c r="DT8" s="73" t="str">
        <f t="shared" si="193"/>
        <v/>
      </c>
      <c r="DU8" s="73" t="str">
        <f t="shared" si="193"/>
        <v/>
      </c>
      <c r="DV8" s="73" t="str">
        <f t="shared" si="193"/>
        <v/>
      </c>
      <c r="DW8" s="73" t="str">
        <f t="shared" si="193"/>
        <v/>
      </c>
      <c r="DX8" s="73" t="str">
        <f t="shared" si="193"/>
        <v/>
      </c>
      <c r="DY8" s="73" t="str">
        <f t="shared" si="193"/>
        <v/>
      </c>
      <c r="DZ8" s="73" t="str">
        <f t="shared" si="193"/>
        <v/>
      </c>
      <c r="EA8" s="73" t="str">
        <f t="shared" si="193"/>
        <v/>
      </c>
      <c r="EB8" s="73" t="str">
        <f t="shared" si="193"/>
        <v/>
      </c>
      <c r="EC8" s="73" t="str">
        <f t="shared" si="193"/>
        <v/>
      </c>
      <c r="ED8" s="73" t="str">
        <f t="shared" si="193"/>
        <v/>
      </c>
      <c r="EE8" s="73" t="str">
        <f t="shared" si="193"/>
        <v/>
      </c>
      <c r="EF8" s="73" t="str">
        <f t="shared" ref="EF8:EY8" si="194">IF(AND(EF6&lt;&gt;0,EF7&lt;&gt;0),(EF6-EF7)/EF7,IF(AND(EF6=0,EF7=0),"",IF(AND(EF6="",EF7=""),"",IF(AND(EF6=0,EF7=""),"", IF(AND(EF6="",EF7=0),"",1)))))</f>
        <v/>
      </c>
      <c r="EG8" s="73" t="str">
        <f t="shared" si="194"/>
        <v/>
      </c>
      <c r="EH8" s="73" t="str">
        <f t="shared" si="194"/>
        <v/>
      </c>
      <c r="EI8" s="73" t="str">
        <f t="shared" ref="EI8" si="195">IF(AND(EI6&lt;&gt;0,EI7&lt;&gt;0),(EI6-EI7)/EI7,IF(AND(EI6=0,EI7=0),"",IF(AND(EI6="",EI7=""),"",IF(AND(EI6=0,EI7=""),"", IF(AND(EI6="",EI7=0),"",1)))))</f>
        <v/>
      </c>
      <c r="EJ8" s="73" t="str">
        <f t="shared" ref="EJ8" si="196">IF(AND(EJ6&lt;&gt;0,EJ7&lt;&gt;0),(EJ6-EJ7)/EJ7,IF(AND(EJ6=0,EJ7=0),"",IF(AND(EJ6="",EJ7=""),"",IF(AND(EJ6=0,EJ7=""),"", IF(AND(EJ6="",EJ7=0),"",1)))))</f>
        <v/>
      </c>
      <c r="EK8" s="73" t="str">
        <f t="shared" ref="EK8" si="197">IF(AND(EK6&lt;&gt;0,EK7&lt;&gt;0),(EK6-EK7)/EK7,IF(AND(EK6=0,EK7=0),"",IF(AND(EK6="",EK7=""),"",IF(AND(EK6=0,EK7=""),"", IF(AND(EK6="",EK7=0),"",1)))))</f>
        <v/>
      </c>
      <c r="EL8" s="73" t="str">
        <f t="shared" ref="EL8" si="198">IF(AND(EL6&lt;&gt;0,EL7&lt;&gt;0),(EL6-EL7)/EL7,IF(AND(EL6=0,EL7=0),"",IF(AND(EL6="",EL7=""),"",IF(AND(EL6=0,EL7=""),"", IF(AND(EL6="",EL7=0),"",1)))))</f>
        <v/>
      </c>
      <c r="EM8" s="73" t="str">
        <f t="shared" ref="EM8" si="199">IF(AND(EM6&lt;&gt;0,EM7&lt;&gt;0),(EM6-EM7)/EM7,IF(AND(EM6=0,EM7=0),"",IF(AND(EM6="",EM7=""),"",IF(AND(EM6=0,EM7=""),"", IF(AND(EM6="",EM7=0),"",1)))))</f>
        <v/>
      </c>
      <c r="EN8" s="73" t="str">
        <f t="shared" ref="EN8" si="200">IF(AND(EN6&lt;&gt;0,EN7&lt;&gt;0),(EN6-EN7)/EN7,IF(AND(EN6=0,EN7=0),"",IF(AND(EN6="",EN7=""),"",IF(AND(EN6=0,EN7=""),"", IF(AND(EN6="",EN7=0),"",1)))))</f>
        <v/>
      </c>
      <c r="EO8" s="73" t="str">
        <f t="shared" ref="EO8" si="201">IF(AND(EO6&lt;&gt;0,EO7&lt;&gt;0),(EO6-EO7)/EO7,IF(AND(EO6=0,EO7=0),"",IF(AND(EO6="",EO7=""),"",IF(AND(EO6=0,EO7=""),"", IF(AND(EO6="",EO7=0),"",1)))))</f>
        <v/>
      </c>
      <c r="EP8" s="73" t="str">
        <f t="shared" ref="EP8" si="202">IF(AND(EP6&lt;&gt;0,EP7&lt;&gt;0),(EP6-EP7)/EP7,IF(AND(EP6=0,EP7=0),"",IF(AND(EP6="",EP7=""),"",IF(AND(EP6=0,EP7=""),"", IF(AND(EP6="",EP7=0),"",1)))))</f>
        <v/>
      </c>
      <c r="EQ8" s="73" t="str">
        <f t="shared" ref="EQ8" si="203">IF(AND(EQ6&lt;&gt;0,EQ7&lt;&gt;0),(EQ6-EQ7)/EQ7,IF(AND(EQ6=0,EQ7=0),"",IF(AND(EQ6="",EQ7=""),"",IF(AND(EQ6=0,EQ7=""),"", IF(AND(EQ6="",EQ7=0),"",1)))))</f>
        <v/>
      </c>
      <c r="ER8" s="73" t="str">
        <f t="shared" ref="ER8" si="204">IF(AND(ER6&lt;&gt;0,ER7&lt;&gt;0),(ER6-ER7)/ER7,IF(AND(ER6=0,ER7=0),"",IF(AND(ER6="",ER7=""),"",IF(AND(ER6=0,ER7=""),"", IF(AND(ER6="",ER7=0),"",1)))))</f>
        <v/>
      </c>
      <c r="ES8" s="73" t="str">
        <f t="shared" ref="ES8" si="205">IF(AND(ES6&lt;&gt;0,ES7&lt;&gt;0),(ES6-ES7)/ES7,IF(AND(ES6=0,ES7=0),"",IF(AND(ES6="",ES7=""),"",IF(AND(ES6=0,ES7=""),"", IF(AND(ES6="",ES7=0),"",1)))))</f>
        <v/>
      </c>
      <c r="ET8" s="73" t="str">
        <f t="shared" ref="ET8" si="206">IF(AND(ET6&lt;&gt;0,ET7&lt;&gt;0),(ET6-ET7)/ET7,IF(AND(ET6=0,ET7=0),"",IF(AND(ET6="",ET7=""),"",IF(AND(ET6=0,ET7=""),"", IF(AND(ET6="",ET7=0),"",1)))))</f>
        <v/>
      </c>
      <c r="EU8" s="73" t="str">
        <f t="shared" ref="EU8" si="207">IF(AND(EU6&lt;&gt;0,EU7&lt;&gt;0),(EU6-EU7)/EU7,IF(AND(EU6=0,EU7=0),"",IF(AND(EU6="",EU7=""),"",IF(AND(EU6=0,EU7=""),"", IF(AND(EU6="",EU7=0),"",1)))))</f>
        <v/>
      </c>
      <c r="EV8" s="73" t="str">
        <f t="shared" ref="EV8" si="208">IF(AND(EV6&lt;&gt;0,EV7&lt;&gt;0),(EV6-EV7)/EV7,IF(AND(EV6=0,EV7=0),"",IF(AND(EV6="",EV7=""),"",IF(AND(EV6=0,EV7=""),"", IF(AND(EV6="",EV7=0),"",1)))))</f>
        <v/>
      </c>
      <c r="EW8" s="74" t="str">
        <f t="shared" si="194"/>
        <v/>
      </c>
      <c r="EX8" s="72" t="str">
        <f t="shared" si="194"/>
        <v/>
      </c>
      <c r="EY8" s="73" t="str">
        <f t="shared" si="194"/>
        <v/>
      </c>
      <c r="EZ8" s="73" t="str">
        <f t="shared" ref="EZ8:GI8" si="209">IF(AND(EZ6&lt;&gt;0,EZ7&lt;&gt;0),(EZ6-EZ7)/EZ7,IF(AND(EZ6=0,EZ7=0),"",IF(AND(EZ6="",EZ7=""),"",IF(AND(EZ6=0,EZ7=""),"", IF(AND(EZ6="",EZ7=0),"",1)))))</f>
        <v/>
      </c>
      <c r="FA8" s="73" t="str">
        <f t="shared" si="209"/>
        <v/>
      </c>
      <c r="FB8" s="73" t="str">
        <f t="shared" si="209"/>
        <v/>
      </c>
      <c r="FC8" s="73" t="str">
        <f t="shared" si="209"/>
        <v/>
      </c>
      <c r="FD8" s="73" t="str">
        <f t="shared" si="209"/>
        <v/>
      </c>
      <c r="FE8" s="73" t="str">
        <f t="shared" si="209"/>
        <v/>
      </c>
      <c r="FF8" s="73" t="str">
        <f t="shared" si="209"/>
        <v/>
      </c>
      <c r="FG8" s="73" t="str">
        <f t="shared" si="209"/>
        <v/>
      </c>
      <c r="FH8" s="73" t="str">
        <f t="shared" si="209"/>
        <v/>
      </c>
      <c r="FI8" s="73" t="str">
        <f t="shared" si="209"/>
        <v/>
      </c>
      <c r="FJ8" s="73" t="str">
        <f t="shared" si="209"/>
        <v/>
      </c>
      <c r="FK8" s="73" t="str">
        <f t="shared" si="209"/>
        <v/>
      </c>
      <c r="FL8" s="73" t="str">
        <f t="shared" si="209"/>
        <v/>
      </c>
      <c r="FM8" s="73" t="str">
        <f t="shared" si="209"/>
        <v/>
      </c>
      <c r="FN8" s="73" t="str">
        <f t="shared" si="209"/>
        <v/>
      </c>
      <c r="FO8" s="73" t="str">
        <f t="shared" si="209"/>
        <v/>
      </c>
      <c r="FP8" s="73" t="str">
        <f t="shared" si="209"/>
        <v/>
      </c>
      <c r="FQ8" s="73" t="str">
        <f t="shared" si="209"/>
        <v/>
      </c>
      <c r="FR8" s="73" t="str">
        <f t="shared" si="209"/>
        <v/>
      </c>
      <c r="FS8" s="73" t="str">
        <f t="shared" si="209"/>
        <v/>
      </c>
      <c r="FT8" s="73" t="str">
        <f t="shared" si="209"/>
        <v/>
      </c>
      <c r="FU8" s="73" t="str">
        <f t="shared" ref="FU8:GH8" si="210">IF(AND(FU6&lt;&gt;0,FU7&lt;&gt;0),(FU6-FU7)/FU7,IF(AND(FU6=0,FU7=0),"",IF(AND(FU6="",FU7=""),"",IF(AND(FU6=0,FU7=""),"", IF(AND(FU6="",FU7=0),"",1)))))</f>
        <v/>
      </c>
      <c r="FV8" s="73" t="str">
        <f t="shared" si="210"/>
        <v/>
      </c>
      <c r="FW8" s="73" t="str">
        <f t="shared" si="210"/>
        <v/>
      </c>
      <c r="FX8" s="73" t="str">
        <f t="shared" si="210"/>
        <v/>
      </c>
      <c r="FY8" s="73" t="str">
        <f t="shared" si="210"/>
        <v/>
      </c>
      <c r="FZ8" s="73" t="str">
        <f t="shared" si="210"/>
        <v/>
      </c>
      <c r="GA8" s="73" t="str">
        <f t="shared" si="210"/>
        <v/>
      </c>
      <c r="GB8" s="73" t="str">
        <f t="shared" si="210"/>
        <v/>
      </c>
      <c r="GC8" s="73" t="str">
        <f t="shared" si="210"/>
        <v/>
      </c>
      <c r="GD8" s="73" t="str">
        <f t="shared" si="210"/>
        <v/>
      </c>
      <c r="GE8" s="73" t="str">
        <f t="shared" si="210"/>
        <v/>
      </c>
      <c r="GF8" s="73" t="str">
        <f t="shared" si="210"/>
        <v/>
      </c>
      <c r="GG8" s="73" t="str">
        <f t="shared" si="210"/>
        <v/>
      </c>
      <c r="GH8" s="73" t="str">
        <f t="shared" si="210"/>
        <v/>
      </c>
      <c r="GI8" s="74" t="str">
        <f t="shared" si="209"/>
        <v/>
      </c>
      <c r="GJ8" s="72" t="str">
        <f t="shared" si="193"/>
        <v/>
      </c>
      <c r="GK8" s="73" t="str">
        <f t="shared" si="193"/>
        <v/>
      </c>
      <c r="GL8" s="73" t="str">
        <f t="shared" si="193"/>
        <v/>
      </c>
      <c r="GM8" s="73" t="str">
        <f t="shared" si="193"/>
        <v/>
      </c>
      <c r="GN8" s="73" t="str">
        <f t="shared" si="193"/>
        <v/>
      </c>
      <c r="GO8" s="73" t="str">
        <f t="shared" si="193"/>
        <v/>
      </c>
      <c r="GP8" s="73" t="str">
        <f t="shared" si="193"/>
        <v/>
      </c>
      <c r="GQ8" s="73" t="str">
        <f t="shared" si="193"/>
        <v/>
      </c>
      <c r="GR8" s="73" t="str">
        <f t="shared" si="193"/>
        <v/>
      </c>
      <c r="GS8" s="73" t="str">
        <f t="shared" si="193"/>
        <v/>
      </c>
      <c r="GT8" s="73" t="str">
        <f t="shared" si="193"/>
        <v/>
      </c>
      <c r="GU8" s="73" t="str">
        <f t="shared" si="193"/>
        <v/>
      </c>
      <c r="GV8" s="73" t="str">
        <f t="shared" si="193"/>
        <v/>
      </c>
      <c r="GW8" s="73" t="str">
        <f t="shared" si="193"/>
        <v/>
      </c>
      <c r="GX8" s="73" t="str">
        <f t="shared" si="193"/>
        <v/>
      </c>
      <c r="GY8" s="73" t="str">
        <f t="shared" si="193"/>
        <v/>
      </c>
      <c r="GZ8" s="73" t="str">
        <f t="shared" si="193"/>
        <v/>
      </c>
      <c r="HA8" s="73" t="str">
        <f t="shared" si="193"/>
        <v/>
      </c>
      <c r="HB8" s="73" t="str">
        <f t="shared" si="193"/>
        <v/>
      </c>
      <c r="HC8" s="73" t="str">
        <f t="shared" si="193"/>
        <v/>
      </c>
      <c r="HD8" s="73" t="str">
        <f t="shared" si="193"/>
        <v/>
      </c>
      <c r="HE8" s="73" t="str">
        <f t="shared" si="193"/>
        <v/>
      </c>
      <c r="HF8" s="73" t="str">
        <f t="shared" si="193"/>
        <v/>
      </c>
      <c r="HG8" s="73" t="str">
        <f t="shared" ref="HG8:HT8" si="211">IF(AND(HG6&lt;&gt;0,HG7&lt;&gt;0),(HG6-HG7)/HG7,IF(AND(HG6=0,HG7=0),"",IF(AND(HG6="",HG7=""),"",IF(AND(HG6=0,HG7=""),"", IF(AND(HG6="",HG7=0),"",1)))))</f>
        <v/>
      </c>
      <c r="HH8" s="73" t="str">
        <f t="shared" si="211"/>
        <v/>
      </c>
      <c r="HI8" s="73" t="str">
        <f t="shared" si="211"/>
        <v/>
      </c>
      <c r="HJ8" s="73" t="str">
        <f t="shared" si="211"/>
        <v/>
      </c>
      <c r="HK8" s="73" t="str">
        <f t="shared" si="211"/>
        <v/>
      </c>
      <c r="HL8" s="73" t="str">
        <f t="shared" si="211"/>
        <v/>
      </c>
      <c r="HM8" s="73" t="str">
        <f t="shared" si="211"/>
        <v/>
      </c>
      <c r="HN8" s="73" t="str">
        <f t="shared" si="211"/>
        <v/>
      </c>
      <c r="HO8" s="73" t="str">
        <f t="shared" si="211"/>
        <v/>
      </c>
      <c r="HP8" s="73" t="str">
        <f t="shared" si="211"/>
        <v/>
      </c>
      <c r="HQ8" s="73" t="str">
        <f t="shared" si="211"/>
        <v/>
      </c>
      <c r="HR8" s="73" t="str">
        <f t="shared" si="211"/>
        <v/>
      </c>
      <c r="HS8" s="73" t="str">
        <f t="shared" si="211"/>
        <v/>
      </c>
      <c r="HT8" s="73" t="str">
        <f t="shared" si="211"/>
        <v/>
      </c>
      <c r="HU8" s="74" t="str">
        <f t="shared" si="193"/>
        <v/>
      </c>
      <c r="HV8" s="39">
        <f t="shared" ref="HV8" si="212">IF(AND(HV6&lt;&gt;0,HV7&lt;&gt;0),(HV6-HV7)/HV7,IF(AND(HV6=0,HV7=0),"",IF(AND(HV6="",HV7=""),"",IF(AND(HV6=0,HV7=""),"", IF(AND(HV6="",HV7=0),"",1)))))</f>
        <v>-2.6925824383921355E-4</v>
      </c>
      <c r="HW8" s="40">
        <f t="shared" ref="HW8" si="213">IF(AND(HW6&lt;&gt;0,HW7&lt;&gt;0),(HW6-HW7)/HW7,IF(AND(HW6=0,HW7=0),"",IF(AND(HW6="",HW7=""),"",IF(AND(HW6=0,HW7=""),"", IF(AND(HW6="",HW7=0),"",1)))))</f>
        <v>3.6456434560699962E-4</v>
      </c>
      <c r="HX8" s="40">
        <f t="shared" ref="HX8" si="214">IF(AND(HX6&lt;&gt;0,HX7&lt;&gt;0),(HX6-HX7)/HX7,IF(AND(HX6=0,HX7=0),"",IF(AND(HX6="",HX7=""),"",IF(AND(HX6=0,HX7=""),"", IF(AND(HX6="",HX7=0),"",1)))))</f>
        <v>-4.8449612403100775E-4</v>
      </c>
      <c r="HY8" s="40">
        <f t="shared" ref="HY8" si="215">IF(AND(HY6&lt;&gt;0,HY7&lt;&gt;0),(HY6-HY7)/HY7,IF(AND(HY6=0,HY7=0),"",IF(AND(HY6="",HY7=""),"",IF(AND(HY6=0,HY7=""),"", IF(AND(HY6="",HY7=0),"",1)))))</f>
        <v>0</v>
      </c>
      <c r="HZ8" s="40">
        <f t="shared" ref="HZ8" si="216">IF(AND(HZ6&lt;&gt;0,HZ7&lt;&gt;0),(HZ6-HZ7)/HZ7,IF(AND(HZ6=0,HZ7=0),"",IF(AND(HZ6="",HZ7=""),"",IF(AND(HZ6=0,HZ7=""),"", IF(AND(HZ6="",HZ7=0),"",1)))))</f>
        <v>7.429420505200594E-4</v>
      </c>
      <c r="IA8" s="40">
        <f t="shared" ref="IA8" si="217">IF(AND(IA6&lt;&gt;0,IA7&lt;&gt;0),(IA6-IA7)/IA7,IF(AND(IA6=0,IA7=0),"",IF(AND(IA6="",IA7=""),"",IF(AND(IA6=0,IA7=""),"", IF(AND(IA6="",IA7=0),"",1)))))</f>
        <v>9.8528180803571425E-4</v>
      </c>
      <c r="IB8" s="40">
        <f t="shared" ref="IB8" si="218">IF(AND(IB6&lt;&gt;0,IB7&lt;&gt;0),(IB6-IB7)/IB7,IF(AND(IB6=0,IB7=0),"",IF(AND(IB6="",IB7=""),"",IF(AND(IB6=0,IB7=""),"", IF(AND(IB6="",IB7=0),"",1)))))</f>
        <v>-2.8776978417266188E-3</v>
      </c>
      <c r="IC8" s="40">
        <f t="shared" ref="IC8" si="219">IF(AND(IC6&lt;&gt;0,IC7&lt;&gt;0),(IC6-IC7)/IC7,IF(AND(IC6=0,IC7=0),"",IF(AND(IC6="",IC7=""),"",IF(AND(IC6=0,IC7=""),"", IF(AND(IC6="",IC7=0),"",1)))))</f>
        <v>0</v>
      </c>
      <c r="ID8" s="40">
        <f t="shared" ref="ID8" si="220">IF(AND(ID6&lt;&gt;0,ID7&lt;&gt;0),(ID6-ID7)/ID7,IF(AND(ID6=0,ID7=0),"",IF(AND(ID6="",ID7=""),"",IF(AND(ID6=0,ID7=""),"", IF(AND(ID6="",ID7=0),"",1)))))</f>
        <v>3.3519553072625698E-2</v>
      </c>
      <c r="IE8" s="40">
        <f t="shared" ref="IE8" si="221">IF(AND(IE6&lt;&gt;0,IE7&lt;&gt;0),(IE6-IE7)/IE7,IF(AND(IE6=0,IE7=0),"",IF(AND(IE6="",IE7=""),"",IF(AND(IE6=0,IE7=""),"", IF(AND(IE6="",IE7=0),"",1)))))</f>
        <v>-0.98840614354867629</v>
      </c>
      <c r="IF8" s="40">
        <f t="shared" ref="IF8" si="222">IF(AND(IF6&lt;&gt;0,IF7&lt;&gt;0),(IF6-IF7)/IF7,IF(AND(IF6=0,IF7=0),"",IF(AND(IF6="",IF7=""),"",IF(AND(IF6=0,IF7=""),"", IF(AND(IF6="",IF7=0),"",1)))))</f>
        <v>1</v>
      </c>
      <c r="IG8" s="40" t="str">
        <f t="shared" ref="IG8" si="223">IF(AND(IG6&lt;&gt;0,IG7&lt;&gt;0),(IG6-IG7)/IG7,IF(AND(IG6=0,IG7=0),"",IF(AND(IG6="",IG7=""),"",IF(AND(IG6=0,IG7=""),"", IF(AND(IG6="",IG7=0),"",1)))))</f>
        <v/>
      </c>
      <c r="IH8" s="40" t="str">
        <f t="shared" ref="IH8" si="224">IF(AND(IH6&lt;&gt;0,IH7&lt;&gt;0),(IH6-IH7)/IH7,IF(AND(IH6=0,IH7=0),"",IF(AND(IH6="",IH7=""),"",IF(AND(IH6=0,IH7=""),"", IF(AND(IH6="",IH7=0),"",1)))))</f>
        <v/>
      </c>
      <c r="II8" s="40" t="str">
        <f t="shared" ref="II8" si="225">IF(AND(II6&lt;&gt;0,II7&lt;&gt;0),(II6-II7)/II7,IF(AND(II6=0,II7=0),"",IF(AND(II6="",II7=""),"",IF(AND(II6=0,II7=""),"", IF(AND(II6="",II7=0),"",1)))))</f>
        <v/>
      </c>
      <c r="IJ8" s="40" t="str">
        <f t="shared" ref="IJ8" si="226">IF(AND(IJ6&lt;&gt;0,IJ7&lt;&gt;0),(IJ6-IJ7)/IJ7,IF(AND(IJ6=0,IJ7=0),"",IF(AND(IJ6="",IJ7=""),"",IF(AND(IJ6=0,IJ7=""),"", IF(AND(IJ6="",IJ7=0),"",1)))))</f>
        <v/>
      </c>
      <c r="IK8" s="40" t="str">
        <f t="shared" ref="IK8" si="227">IF(AND(IK6&lt;&gt;0,IK7&lt;&gt;0),(IK6-IK7)/IK7,IF(AND(IK6=0,IK7=0),"",IF(AND(IK6="",IK7=""),"",IF(AND(IK6=0,IK7=""),"", IF(AND(IK6="",IK7=0),"",1)))))</f>
        <v/>
      </c>
      <c r="IL8" s="40" t="str">
        <f t="shared" ref="IL8" si="228">IF(AND(IL6&lt;&gt;0,IL7&lt;&gt;0),(IL6-IL7)/IL7,IF(AND(IL6=0,IL7=0),"",IF(AND(IL6="",IL7=""),"",IF(AND(IL6=0,IL7=""),"", IF(AND(IL6="",IL7=0),"",1)))))</f>
        <v/>
      </c>
      <c r="IM8" s="40" t="str">
        <f t="shared" ref="IM8" si="229">IF(AND(IM6&lt;&gt;0,IM7&lt;&gt;0),(IM6-IM7)/IM7,IF(AND(IM6=0,IM7=0),"",IF(AND(IM6="",IM7=""),"",IF(AND(IM6=0,IM7=""),"", IF(AND(IM6="",IM7=0),"",1)))))</f>
        <v/>
      </c>
      <c r="IN8" s="40" t="str">
        <f t="shared" ref="IN8" si="230">IF(AND(IN6&lt;&gt;0,IN7&lt;&gt;0),(IN6-IN7)/IN7,IF(AND(IN6=0,IN7=0),"",IF(AND(IN6="",IN7=""),"",IF(AND(IN6=0,IN7=""),"", IF(AND(IN6="",IN7=0),"",1)))))</f>
        <v/>
      </c>
      <c r="IO8" s="40" t="str">
        <f t="shared" ref="IO8" si="231">IF(AND(IO6&lt;&gt;0,IO7&lt;&gt;0),(IO6-IO7)/IO7,IF(AND(IO6=0,IO7=0),"",IF(AND(IO6="",IO7=""),"",IF(AND(IO6=0,IO7=""),"", IF(AND(IO6="",IO7=0),"",1)))))</f>
        <v/>
      </c>
      <c r="IP8" s="40" t="str">
        <f t="shared" ref="IP8" si="232">IF(AND(IP6&lt;&gt;0,IP7&lt;&gt;0),(IP6-IP7)/IP7,IF(AND(IP6=0,IP7=0),"",IF(AND(IP6="",IP7=""),"",IF(AND(IP6=0,IP7=""),"", IF(AND(IP6="",IP7=0),"",1)))))</f>
        <v/>
      </c>
      <c r="IQ8" s="40" t="str">
        <f t="shared" ref="IQ8" si="233">IF(AND(IQ6&lt;&gt;0,IQ7&lt;&gt;0),(IQ6-IQ7)/IQ7,IF(AND(IQ6=0,IQ7=0),"",IF(AND(IQ6="",IQ7=""),"",IF(AND(IQ6=0,IQ7=""),"", IF(AND(IQ6="",IQ7=0),"",1)))))</f>
        <v/>
      </c>
      <c r="IR8" s="40" t="str">
        <f t="shared" ref="IR8:JF8" si="234">IF(AND(IR6&lt;&gt;0,IR7&lt;&gt;0),(IR6-IR7)/IR7,IF(AND(IR6=0,IR7=0),"",IF(AND(IR6="",IR7=""),"",IF(AND(IR6=0,IR7=""),"", IF(AND(IR6="",IR7=0),"",1)))))</f>
        <v/>
      </c>
      <c r="IS8" s="40" t="str">
        <f t="shared" si="234"/>
        <v/>
      </c>
      <c r="IT8" s="40" t="str">
        <f t="shared" si="234"/>
        <v/>
      </c>
      <c r="IU8" s="40" t="str">
        <f t="shared" si="234"/>
        <v/>
      </c>
      <c r="IV8" s="40" t="str">
        <f t="shared" si="234"/>
        <v/>
      </c>
      <c r="IW8" s="40" t="str">
        <f t="shared" si="234"/>
        <v/>
      </c>
      <c r="IX8" s="40" t="str">
        <f t="shared" si="234"/>
        <v/>
      </c>
      <c r="IY8" s="40" t="str">
        <f t="shared" si="234"/>
        <v/>
      </c>
      <c r="IZ8" s="40" t="str">
        <f t="shared" si="234"/>
        <v/>
      </c>
      <c r="JA8" s="40" t="str">
        <f t="shared" si="234"/>
        <v/>
      </c>
      <c r="JB8" s="40" t="str">
        <f t="shared" si="234"/>
        <v/>
      </c>
      <c r="JC8" s="40" t="str">
        <f t="shared" si="234"/>
        <v/>
      </c>
      <c r="JD8" s="40" t="str">
        <f t="shared" si="234"/>
        <v/>
      </c>
      <c r="JE8" s="40" t="str">
        <f t="shared" si="234"/>
        <v/>
      </c>
      <c r="JF8" s="40" t="str">
        <f t="shared" si="234"/>
        <v/>
      </c>
      <c r="JG8" s="41">
        <f t="shared" ref="JG8:NQ8" si="235">IF(AND(JG6&lt;&gt;0,JG7&lt;&gt;0),(JG6-JG7)/JG7,IF(AND(JG6=0,JG7=0),"",IF(AND(JG6="",JG7=""),"",IF(AND(JG6=0,JG7=""),"", IF(AND(JG6="",JG7=0),"",1)))))</f>
        <v>-0.69485542134816158</v>
      </c>
      <c r="JH8" s="72" t="str">
        <f t="shared" si="235"/>
        <v/>
      </c>
      <c r="JI8" s="73" t="str">
        <f t="shared" si="235"/>
        <v/>
      </c>
      <c r="JJ8" s="73" t="str">
        <f t="shared" si="235"/>
        <v/>
      </c>
      <c r="JK8" s="73" t="str">
        <f t="shared" si="235"/>
        <v/>
      </c>
      <c r="JL8" s="73" t="str">
        <f t="shared" si="235"/>
        <v/>
      </c>
      <c r="JM8" s="73" t="str">
        <f t="shared" si="235"/>
        <v/>
      </c>
      <c r="JN8" s="73" t="str">
        <f t="shared" si="235"/>
        <v/>
      </c>
      <c r="JO8" s="73" t="str">
        <f t="shared" si="235"/>
        <v/>
      </c>
      <c r="JP8" s="73" t="str">
        <f t="shared" si="235"/>
        <v/>
      </c>
      <c r="JQ8" s="73" t="str">
        <f t="shared" si="235"/>
        <v/>
      </c>
      <c r="JR8" s="73" t="str">
        <f t="shared" si="235"/>
        <v/>
      </c>
      <c r="JS8" s="73" t="str">
        <f t="shared" si="235"/>
        <v/>
      </c>
      <c r="JT8" s="73" t="str">
        <f t="shared" si="235"/>
        <v/>
      </c>
      <c r="JU8" s="73" t="str">
        <f t="shared" si="235"/>
        <v/>
      </c>
      <c r="JV8" s="73" t="str">
        <f t="shared" si="235"/>
        <v/>
      </c>
      <c r="JW8" s="73" t="str">
        <f t="shared" si="235"/>
        <v/>
      </c>
      <c r="JX8" s="73" t="str">
        <f t="shared" si="235"/>
        <v/>
      </c>
      <c r="JY8" s="73" t="str">
        <f t="shared" si="235"/>
        <v/>
      </c>
      <c r="JZ8" s="73" t="str">
        <f t="shared" si="235"/>
        <v/>
      </c>
      <c r="KA8" s="73" t="str">
        <f t="shared" si="235"/>
        <v/>
      </c>
      <c r="KB8" s="73" t="str">
        <f t="shared" si="235"/>
        <v/>
      </c>
      <c r="KC8" s="73" t="str">
        <f t="shared" si="235"/>
        <v/>
      </c>
      <c r="KD8" s="73" t="str">
        <f t="shared" si="235"/>
        <v/>
      </c>
      <c r="KE8" s="73" t="str">
        <f t="shared" ref="KE8:KR8" si="236">IF(AND(KE6&lt;&gt;0,KE7&lt;&gt;0),(KE6-KE7)/KE7,IF(AND(KE6=0,KE7=0),"",IF(AND(KE6="",KE7=""),"",IF(AND(KE6=0,KE7=""),"", IF(AND(KE6="",KE7=0),"",1)))))</f>
        <v/>
      </c>
      <c r="KF8" s="73" t="str">
        <f t="shared" si="236"/>
        <v/>
      </c>
      <c r="KG8" s="73" t="str">
        <f t="shared" si="236"/>
        <v/>
      </c>
      <c r="KH8" s="73" t="str">
        <f t="shared" si="236"/>
        <v/>
      </c>
      <c r="KI8" s="73" t="str">
        <f t="shared" si="236"/>
        <v/>
      </c>
      <c r="KJ8" s="73" t="str">
        <f t="shared" si="236"/>
        <v/>
      </c>
      <c r="KK8" s="73" t="str">
        <f t="shared" si="236"/>
        <v/>
      </c>
      <c r="KL8" s="73" t="str">
        <f t="shared" si="236"/>
        <v/>
      </c>
      <c r="KM8" s="73" t="str">
        <f t="shared" si="236"/>
        <v/>
      </c>
      <c r="KN8" s="73" t="str">
        <f t="shared" si="236"/>
        <v/>
      </c>
      <c r="KO8" s="73" t="str">
        <f t="shared" si="236"/>
        <v/>
      </c>
      <c r="KP8" s="73" t="str">
        <f t="shared" si="236"/>
        <v/>
      </c>
      <c r="KQ8" s="73" t="str">
        <f t="shared" si="236"/>
        <v/>
      </c>
      <c r="KR8" s="73" t="str">
        <f t="shared" si="236"/>
        <v/>
      </c>
      <c r="KS8" s="74" t="str">
        <f t="shared" si="235"/>
        <v/>
      </c>
      <c r="KT8" s="72" t="str">
        <f t="shared" ref="KT8:ME8" si="237">IF(AND(KT6&lt;&gt;0,KT7&lt;&gt;0),(KT6-KT7)/KT7,IF(AND(KT6=0,KT7=0),"",IF(AND(KT6="",KT7=""),"",IF(AND(KT6=0,KT7=""),"", IF(AND(KT6="",KT7=0),"",1)))))</f>
        <v/>
      </c>
      <c r="KU8" s="73" t="str">
        <f t="shared" si="237"/>
        <v/>
      </c>
      <c r="KV8" s="73" t="str">
        <f t="shared" si="237"/>
        <v/>
      </c>
      <c r="KW8" s="73" t="str">
        <f t="shared" si="237"/>
        <v/>
      </c>
      <c r="KX8" s="73" t="str">
        <f t="shared" si="237"/>
        <v/>
      </c>
      <c r="KY8" s="73" t="str">
        <f t="shared" si="237"/>
        <v/>
      </c>
      <c r="KZ8" s="73" t="str">
        <f t="shared" si="237"/>
        <v/>
      </c>
      <c r="LA8" s="73" t="str">
        <f t="shared" si="237"/>
        <v/>
      </c>
      <c r="LB8" s="73" t="str">
        <f t="shared" si="237"/>
        <v/>
      </c>
      <c r="LC8" s="73" t="str">
        <f t="shared" si="237"/>
        <v/>
      </c>
      <c r="LD8" s="73" t="str">
        <f t="shared" si="237"/>
        <v/>
      </c>
      <c r="LE8" s="73" t="str">
        <f t="shared" si="237"/>
        <v/>
      </c>
      <c r="LF8" s="73" t="str">
        <f t="shared" si="237"/>
        <v/>
      </c>
      <c r="LG8" s="73" t="str">
        <f t="shared" si="237"/>
        <v/>
      </c>
      <c r="LH8" s="73" t="str">
        <f t="shared" si="237"/>
        <v/>
      </c>
      <c r="LI8" s="73" t="str">
        <f t="shared" si="237"/>
        <v/>
      </c>
      <c r="LJ8" s="73" t="str">
        <f t="shared" si="237"/>
        <v/>
      </c>
      <c r="LK8" s="73" t="str">
        <f t="shared" si="237"/>
        <v/>
      </c>
      <c r="LL8" s="73" t="str">
        <f t="shared" si="237"/>
        <v/>
      </c>
      <c r="LM8" s="73" t="str">
        <f t="shared" si="237"/>
        <v/>
      </c>
      <c r="LN8" s="73" t="str">
        <f t="shared" si="237"/>
        <v/>
      </c>
      <c r="LO8" s="73" t="str">
        <f t="shared" si="237"/>
        <v/>
      </c>
      <c r="LP8" s="73" t="str">
        <f t="shared" si="237"/>
        <v/>
      </c>
      <c r="LQ8" s="73" t="str">
        <f t="shared" ref="LQ8:MD8" si="238">IF(AND(LQ6&lt;&gt;0,LQ7&lt;&gt;0),(LQ6-LQ7)/LQ7,IF(AND(LQ6=0,LQ7=0),"",IF(AND(LQ6="",LQ7=""),"",IF(AND(LQ6=0,LQ7=""),"", IF(AND(LQ6="",LQ7=0),"",1)))))</f>
        <v/>
      </c>
      <c r="LR8" s="73" t="str">
        <f t="shared" si="238"/>
        <v/>
      </c>
      <c r="LS8" s="73" t="str">
        <f t="shared" si="238"/>
        <v/>
      </c>
      <c r="LT8" s="73" t="str">
        <f t="shared" si="238"/>
        <v/>
      </c>
      <c r="LU8" s="73" t="str">
        <f t="shared" si="238"/>
        <v/>
      </c>
      <c r="LV8" s="73" t="str">
        <f t="shared" si="238"/>
        <v/>
      </c>
      <c r="LW8" s="73" t="str">
        <f t="shared" si="238"/>
        <v/>
      </c>
      <c r="LX8" s="73" t="str">
        <f t="shared" si="238"/>
        <v/>
      </c>
      <c r="LY8" s="73" t="str">
        <f t="shared" si="238"/>
        <v/>
      </c>
      <c r="LZ8" s="73" t="str">
        <f t="shared" si="238"/>
        <v/>
      </c>
      <c r="MA8" s="73" t="str">
        <f t="shared" si="238"/>
        <v/>
      </c>
      <c r="MB8" s="73" t="str">
        <f t="shared" si="238"/>
        <v/>
      </c>
      <c r="MC8" s="73" t="str">
        <f t="shared" si="238"/>
        <v/>
      </c>
      <c r="MD8" s="73" t="str">
        <f t="shared" si="238"/>
        <v/>
      </c>
      <c r="ME8" s="74" t="str">
        <f t="shared" si="237"/>
        <v/>
      </c>
      <c r="MF8" s="72" t="str">
        <f t="shared" si="235"/>
        <v/>
      </c>
      <c r="MG8" s="73" t="str">
        <f t="shared" si="235"/>
        <v/>
      </c>
      <c r="MH8" s="73" t="str">
        <f t="shared" si="235"/>
        <v/>
      </c>
      <c r="MI8" s="73" t="str">
        <f t="shared" si="235"/>
        <v/>
      </c>
      <c r="MJ8" s="73" t="str">
        <f t="shared" si="235"/>
        <v/>
      </c>
      <c r="MK8" s="73" t="str">
        <f t="shared" si="235"/>
        <v/>
      </c>
      <c r="ML8" s="73" t="str">
        <f t="shared" si="235"/>
        <v/>
      </c>
      <c r="MM8" s="73" t="str">
        <f t="shared" si="235"/>
        <v/>
      </c>
      <c r="MN8" s="73" t="str">
        <f t="shared" si="235"/>
        <v/>
      </c>
      <c r="MO8" s="73" t="str">
        <f t="shared" si="235"/>
        <v/>
      </c>
      <c r="MP8" s="73" t="str">
        <f t="shared" si="235"/>
        <v/>
      </c>
      <c r="MQ8" s="73" t="str">
        <f t="shared" si="235"/>
        <v/>
      </c>
      <c r="MR8" s="73" t="str">
        <f t="shared" si="235"/>
        <v/>
      </c>
      <c r="MS8" s="73" t="str">
        <f t="shared" si="235"/>
        <v/>
      </c>
      <c r="MT8" s="73" t="str">
        <f t="shared" si="235"/>
        <v/>
      </c>
      <c r="MU8" s="73" t="str">
        <f t="shared" si="235"/>
        <v/>
      </c>
      <c r="MV8" s="73" t="str">
        <f t="shared" si="235"/>
        <v/>
      </c>
      <c r="MW8" s="73" t="str">
        <f t="shared" si="235"/>
        <v/>
      </c>
      <c r="MX8" s="73" t="str">
        <f t="shared" si="235"/>
        <v/>
      </c>
      <c r="MY8" s="73" t="str">
        <f t="shared" si="235"/>
        <v/>
      </c>
      <c r="MZ8" s="73" t="str">
        <f t="shared" si="235"/>
        <v/>
      </c>
      <c r="NA8" s="73" t="str">
        <f t="shared" si="235"/>
        <v/>
      </c>
      <c r="NB8" s="73" t="str">
        <f t="shared" si="235"/>
        <v/>
      </c>
      <c r="NC8" s="73" t="str">
        <f t="shared" ref="NC8:NP8" si="239">IF(AND(NC6&lt;&gt;0,NC7&lt;&gt;0),(NC6-NC7)/NC7,IF(AND(NC6=0,NC7=0),"",IF(AND(NC6="",NC7=""),"",IF(AND(NC6=0,NC7=""),"", IF(AND(NC6="",NC7=0),"",1)))))</f>
        <v/>
      </c>
      <c r="ND8" s="73" t="str">
        <f t="shared" si="239"/>
        <v/>
      </c>
      <c r="NE8" s="73" t="str">
        <f t="shared" si="239"/>
        <v/>
      </c>
      <c r="NF8" s="73" t="str">
        <f t="shared" si="239"/>
        <v/>
      </c>
      <c r="NG8" s="73" t="str">
        <f t="shared" si="239"/>
        <v/>
      </c>
      <c r="NH8" s="73" t="str">
        <f t="shared" si="239"/>
        <v/>
      </c>
      <c r="NI8" s="73" t="str">
        <f t="shared" si="239"/>
        <v/>
      </c>
      <c r="NJ8" s="73" t="str">
        <f t="shared" si="239"/>
        <v/>
      </c>
      <c r="NK8" s="73" t="str">
        <f t="shared" si="239"/>
        <v/>
      </c>
      <c r="NL8" s="73" t="str">
        <f t="shared" si="239"/>
        <v/>
      </c>
      <c r="NM8" s="73" t="str">
        <f t="shared" si="239"/>
        <v/>
      </c>
      <c r="NN8" s="73" t="str">
        <f t="shared" si="239"/>
        <v/>
      </c>
      <c r="NO8" s="73" t="str">
        <f t="shared" si="239"/>
        <v/>
      </c>
      <c r="NP8" s="73" t="str">
        <f t="shared" si="239"/>
        <v/>
      </c>
      <c r="NQ8" s="74" t="str">
        <f t="shared" si="235"/>
        <v/>
      </c>
      <c r="NR8" s="40">
        <f t="shared" ref="NR8" si="240">IF(AND(NR6&lt;&gt;0,NR7&lt;&gt;0),(NR6-NR7)/NR7,IF(AND(NR6=0,NR7=0),"",IF(AND(NR6="",NR7=""),"",IF(AND(NR6=0,NR7=""),"", IF(AND(NR6="",NR7=0),"",1)))))</f>
        <v>7.6923076923076923E-4</v>
      </c>
      <c r="NS8" s="40">
        <f t="shared" ref="NS8" si="241">IF(AND(NS6&lt;&gt;0,NS7&lt;&gt;0),(NS6-NS7)/NS7,IF(AND(NS6=0,NS7=0),"",IF(AND(NS6="",NS7=""),"",IF(AND(NS6=0,NS7=""),"", IF(AND(NS6="",NS7=0),"",1)))))</f>
        <v>-9.5602294455066918E-4</v>
      </c>
      <c r="NT8" s="40">
        <f t="shared" ref="NT8" si="242">IF(AND(NT6&lt;&gt;0,NT7&lt;&gt;0),(NT6-NT7)/NT7,IF(AND(NT6=0,NT7=0),"",IF(AND(NT6="",NT7=""),"",IF(AND(NT6=0,NT7=""),"", IF(AND(NT6="",NT7=0),"",1)))))</f>
        <v>0</v>
      </c>
      <c r="NU8" s="40">
        <f t="shared" ref="NU8" si="243">IF(AND(NU6&lt;&gt;0,NU7&lt;&gt;0),(NU6-NU7)/NU7,IF(AND(NU6=0,NU7=0),"",IF(AND(NU6="",NU7=""),"",IF(AND(NU6=0,NU7=""),"", IF(AND(NU6="",NU7=0),"",1)))))</f>
        <v>3.787878787878788E-3</v>
      </c>
      <c r="NV8" s="40">
        <f t="shared" ref="NV8" si="244">IF(AND(NV6&lt;&gt;0,NV7&lt;&gt;0),(NV6-NV7)/NV7,IF(AND(NV6=0,NV7=0),"",IF(AND(NV6="",NV7=""),"",IF(AND(NV6=0,NV7=""),"", IF(AND(NV6="",NV7=0),"",1)))))</f>
        <v>-8.0948483090185672E-8</v>
      </c>
      <c r="NW8" s="40">
        <f t="shared" ref="NW8" si="245">IF(AND(NW6&lt;&gt;0,NW7&lt;&gt;0),(NW6-NW7)/NW7,IF(AND(NW6=0,NW7=0),"",IF(AND(NW6="",NW7=""),"",IF(AND(NW6=0,NW7=""),"", IF(AND(NW6="",NW7=0),"",1)))))</f>
        <v>3.8610038610038611E-3</v>
      </c>
      <c r="NX8" s="40" t="str">
        <f t="shared" ref="NX8" si="246">IF(AND(NX6&lt;&gt;0,NX7&lt;&gt;0),(NX6-NX7)/NX7,IF(AND(NX6=0,NX7=0),"",IF(AND(NX6="",NX7=""),"",IF(AND(NX6=0,NX7=""),"", IF(AND(NX6="",NX7=0),"",1)))))</f>
        <v/>
      </c>
      <c r="NY8" s="40">
        <f t="shared" ref="NY8" si="247">IF(AND(NY6&lt;&gt;0,NY7&lt;&gt;0),(NY6-NY7)/NY7,IF(AND(NY6=0,NY7=0),"",IF(AND(NY6="",NY7=""),"",IF(AND(NY6=0,NY7=""),"", IF(AND(NY6="",NY7=0),"",1)))))</f>
        <v>0</v>
      </c>
      <c r="NZ8" s="40">
        <f t="shared" ref="NZ8" si="248">IF(AND(NZ6&lt;&gt;0,NZ7&lt;&gt;0),(NZ6-NZ7)/NZ7,IF(AND(NZ6=0,NZ7=0),"",IF(AND(NZ6="",NZ7=""),"",IF(AND(NZ6=0,NZ7=""),"", IF(AND(NZ6="",NZ7=0),"",1)))))</f>
        <v>8.3333333333333329E-2</v>
      </c>
      <c r="OA8" s="40">
        <f t="shared" ref="OA8" si="249">IF(AND(OA6&lt;&gt;0,OA7&lt;&gt;0),(OA6-OA7)/OA7,IF(AND(OA6=0,OA7=0),"",IF(AND(OA6="",OA7=""),"",IF(AND(OA6=0,OA7=""),"", IF(AND(OA6="",OA7=0),"",1)))))</f>
        <v>-2.0242914979757085E-3</v>
      </c>
      <c r="OB8" s="40">
        <f t="shared" ref="OB8" si="250">IF(AND(OB6&lt;&gt;0,OB7&lt;&gt;0),(OB6-OB7)/OB7,IF(AND(OB6=0,OB7=0),"",IF(AND(OB6="",OB7=""),"",IF(AND(OB6=0,OB7=""),"", IF(AND(OB6="",OB7=0),"",1)))))</f>
        <v>1</v>
      </c>
      <c r="OC8" s="40" t="str">
        <f t="shared" ref="OC8" si="251">IF(AND(OC6&lt;&gt;0,OC7&lt;&gt;0),(OC6-OC7)/OC7,IF(AND(OC6=0,OC7=0),"",IF(AND(OC6="",OC7=""),"",IF(AND(OC6=0,OC7=""),"", IF(AND(OC6="",OC7=0),"",1)))))</f>
        <v/>
      </c>
      <c r="OD8" s="40" t="str">
        <f t="shared" ref="OD8" si="252">IF(AND(OD6&lt;&gt;0,OD7&lt;&gt;0),(OD6-OD7)/OD7,IF(AND(OD6=0,OD7=0),"",IF(AND(OD6="",OD7=""),"",IF(AND(OD6=0,OD7=""),"", IF(AND(OD6="",OD7=0),"",1)))))</f>
        <v/>
      </c>
      <c r="OE8" s="40" t="str">
        <f t="shared" ref="OE8" si="253">IF(AND(OE6&lt;&gt;0,OE7&lt;&gt;0),(OE6-OE7)/OE7,IF(AND(OE6=0,OE7=0),"",IF(AND(OE6="",OE7=""),"",IF(AND(OE6=0,OE7=""),"", IF(AND(OE6="",OE7=0),"",1)))))</f>
        <v/>
      </c>
      <c r="OF8" s="40" t="str">
        <f t="shared" ref="OF8" si="254">IF(AND(OF6&lt;&gt;0,OF7&lt;&gt;0),(OF6-OF7)/OF7,IF(AND(OF6=0,OF7=0),"",IF(AND(OF6="",OF7=""),"",IF(AND(OF6=0,OF7=""),"", IF(AND(OF6="",OF7=0),"",1)))))</f>
        <v/>
      </c>
      <c r="OG8" s="40" t="str">
        <f t="shared" ref="OG8" si="255">IF(AND(OG6&lt;&gt;0,OG7&lt;&gt;0),(OG6-OG7)/OG7,IF(AND(OG6=0,OG7=0),"",IF(AND(OG6="",OG7=""),"",IF(AND(OG6=0,OG7=""),"", IF(AND(OG6="",OG7=0),"",1)))))</f>
        <v/>
      </c>
      <c r="OH8" s="40" t="str">
        <f t="shared" ref="OH8" si="256">IF(AND(OH6&lt;&gt;0,OH7&lt;&gt;0),(OH6-OH7)/OH7,IF(AND(OH6=0,OH7=0),"",IF(AND(OH6="",OH7=""),"",IF(AND(OH6=0,OH7=""),"", IF(AND(OH6="",OH7=0),"",1)))))</f>
        <v/>
      </c>
      <c r="OI8" s="40" t="str">
        <f t="shared" ref="OI8" si="257">IF(AND(OI6&lt;&gt;0,OI7&lt;&gt;0),(OI6-OI7)/OI7,IF(AND(OI6=0,OI7=0),"",IF(AND(OI6="",OI7=""),"",IF(AND(OI6=0,OI7=""),"", IF(AND(OI6="",OI7=0),"",1)))))</f>
        <v/>
      </c>
      <c r="OJ8" s="40" t="str">
        <f t="shared" ref="OJ8" si="258">IF(AND(OJ6&lt;&gt;0,OJ7&lt;&gt;0),(OJ6-OJ7)/OJ7,IF(AND(OJ6=0,OJ7=0),"",IF(AND(OJ6="",OJ7=""),"",IF(AND(OJ6=0,OJ7=""),"", IF(AND(OJ6="",OJ7=0),"",1)))))</f>
        <v/>
      </c>
      <c r="OK8" s="40" t="str">
        <f t="shared" ref="OK8" si="259">IF(AND(OK6&lt;&gt;0,OK7&lt;&gt;0),(OK6-OK7)/OK7,IF(AND(OK6=0,OK7=0),"",IF(AND(OK6="",OK7=""),"",IF(AND(OK6=0,OK7=""),"", IF(AND(OK6="",OK7=0),"",1)))))</f>
        <v/>
      </c>
      <c r="OL8" s="40" t="str">
        <f t="shared" ref="OL8" si="260">IF(AND(OL6&lt;&gt;0,OL7&lt;&gt;0),(OL6-OL7)/OL7,IF(AND(OL6=0,OL7=0),"",IF(AND(OL6="",OL7=""),"",IF(AND(OL6=0,OL7=""),"", IF(AND(OL6="",OL7=0),"",1)))))</f>
        <v/>
      </c>
      <c r="OM8" s="40" t="str">
        <f t="shared" ref="OM8" si="261">IF(AND(OM6&lt;&gt;0,OM7&lt;&gt;0),(OM6-OM7)/OM7,IF(AND(OM6=0,OM7=0),"",IF(AND(OM6="",OM7=""),"",IF(AND(OM6=0,OM7=""),"", IF(AND(OM6="",OM7=0),"",1)))))</f>
        <v/>
      </c>
      <c r="ON8" s="40" t="str">
        <f t="shared" ref="ON8:PB8" si="262">IF(AND(ON6&lt;&gt;0,ON7&lt;&gt;0),(ON6-ON7)/ON7,IF(AND(ON6=0,ON7=0),"",IF(AND(ON6="",ON7=""),"",IF(AND(ON6=0,ON7=""),"", IF(AND(ON6="",ON7=0),"",1)))))</f>
        <v/>
      </c>
      <c r="OO8" s="40" t="str">
        <f t="shared" si="262"/>
        <v/>
      </c>
      <c r="OP8" s="40" t="str">
        <f t="shared" si="262"/>
        <v/>
      </c>
      <c r="OQ8" s="40" t="str">
        <f t="shared" si="262"/>
        <v/>
      </c>
      <c r="OR8" s="40" t="str">
        <f t="shared" si="262"/>
        <v/>
      </c>
      <c r="OS8" s="40" t="str">
        <f t="shared" si="262"/>
        <v/>
      </c>
      <c r="OT8" s="40" t="str">
        <f t="shared" si="262"/>
        <v/>
      </c>
      <c r="OU8" s="40" t="str">
        <f t="shared" si="262"/>
        <v/>
      </c>
      <c r="OV8" s="40" t="str">
        <f t="shared" si="262"/>
        <v/>
      </c>
      <c r="OW8" s="40" t="str">
        <f t="shared" si="262"/>
        <v/>
      </c>
      <c r="OX8" s="40" t="str">
        <f t="shared" si="262"/>
        <v/>
      </c>
      <c r="OY8" s="40" t="str">
        <f t="shared" si="262"/>
        <v/>
      </c>
      <c r="OZ8" s="40" t="str">
        <f t="shared" si="262"/>
        <v/>
      </c>
      <c r="PA8" s="40" t="str">
        <f t="shared" si="262"/>
        <v/>
      </c>
      <c r="PB8" s="40" t="str">
        <f t="shared" si="262"/>
        <v/>
      </c>
      <c r="PC8" s="41">
        <f>IF(AND(PC6&lt;&gt;0,PC7&lt;&gt;0),(PC6-PC7)/PC7,IF(AND(PC6=0,PC7=0),"",IF(AND(PC6="",PC7=""),"",IF(AND(PC6=0,PC7=""),"", IF(AND(PC6="",PC7=0),"",1)))))</f>
        <v>1.9916343726952269E-2</v>
      </c>
    </row>
    <row r="9" spans="1:423" outlineLevel="1" x14ac:dyDescent="0.3">
      <c r="A9" s="46" t="s">
        <v>7</v>
      </c>
      <c r="B9" s="14">
        <f>'[1]D-PDP'!$BW$12</f>
        <v>27197058</v>
      </c>
      <c r="C9" s="14">
        <f>'[1]D-PDP'!$BW$13</f>
        <v>17700766</v>
      </c>
      <c r="D9" s="14">
        <f>'[1]D-PDP'!$BW$14</f>
        <v>11203647</v>
      </c>
      <c r="E9" s="14">
        <f>'[1]D-PDP'!$BW$15</f>
        <v>7184117</v>
      </c>
      <c r="F9" s="14">
        <f>'[1]D-PDP'!$BW$16</f>
        <v>4859949.5</v>
      </c>
      <c r="G9" s="14">
        <f>'[1]D-PDP'!$BW$17</f>
        <v>3085409.5</v>
      </c>
      <c r="H9" s="14">
        <f>'[1]D-PDP'!$BW$18</f>
        <v>1470421.625</v>
      </c>
      <c r="I9" s="14">
        <f>'[1]D-PDP'!$BW$19</f>
        <v>591129.125</v>
      </c>
      <c r="J9" s="14">
        <f>'[1]D-PDP'!$BW$20</f>
        <v>290592.40625</v>
      </c>
      <c r="K9" s="14">
        <f>'[1]D-PDP'!$BW$21</f>
        <v>184699.0625</v>
      </c>
      <c r="L9" s="14">
        <f>'[1]D-PDP'!$BW$22</f>
        <v>91448.375</v>
      </c>
      <c r="M9" s="14">
        <f>'[1]D-PDP'!$BW$23</f>
        <v>0</v>
      </c>
      <c r="N9" s="14">
        <f>'[1]D-PDP'!$BW$24</f>
        <v>0</v>
      </c>
      <c r="O9" s="14">
        <f>'[1]D-PDP'!$BW$25</f>
        <v>0</v>
      </c>
      <c r="P9" s="14">
        <f>'[1]D-PDP'!$BW$26</f>
        <v>0</v>
      </c>
      <c r="Q9" s="14">
        <f>'[1]D-PDP'!$BW$27</f>
        <v>0</v>
      </c>
      <c r="R9" s="14">
        <f>'[1]D-PDP'!$BW$28</f>
        <v>0</v>
      </c>
      <c r="S9" s="14">
        <f>'[1]D-PDP'!$BW$29</f>
        <v>0</v>
      </c>
      <c r="T9" s="14">
        <f>'[1]D-PDP'!$BW$30</f>
        <v>0</v>
      </c>
      <c r="U9" s="14">
        <f>'[1]D-PDP'!$BW$31</f>
        <v>0</v>
      </c>
      <c r="V9" s="14">
        <f>'[1]D-PDP'!$BW$32</f>
        <v>0</v>
      </c>
      <c r="W9" s="14">
        <f>'[1]D-PDP'!$BW$33</f>
        <v>0</v>
      </c>
      <c r="X9" s="14">
        <f>'[1]D-PDP'!$BW$34</f>
        <v>0</v>
      </c>
      <c r="Y9" s="14">
        <f>'[1]D-PDP'!$BW$35</f>
        <v>0</v>
      </c>
      <c r="Z9" s="14">
        <f>'[1]D-PDP'!$BW$36</f>
        <v>0</v>
      </c>
      <c r="AA9" s="14">
        <f>'[1]D-PDP'!$BW$37</f>
        <v>0</v>
      </c>
      <c r="AB9" s="14">
        <f>'[1]D-PDP'!$BW$38</f>
        <v>0</v>
      </c>
      <c r="AC9" s="14">
        <f>'[1]D-PDP'!$BW$39</f>
        <v>0</v>
      </c>
      <c r="AD9" s="14">
        <f>'[1]D-PDP'!$BW$40</f>
        <v>0</v>
      </c>
      <c r="AE9" s="14">
        <f>'[1]D-PDP'!$BW$41</f>
        <v>0</v>
      </c>
      <c r="AF9" s="14">
        <f>'[1]D-PDP'!$BW$42</f>
        <v>0</v>
      </c>
      <c r="AG9" s="14">
        <f>'[1]D-PDP'!$BW$43</f>
        <v>0</v>
      </c>
      <c r="AH9" s="14">
        <f>'[1]D-PDP'!$BW$44</f>
        <v>0</v>
      </c>
      <c r="AI9" s="14">
        <f>'[1]D-PDP'!$BW$45</f>
        <v>0</v>
      </c>
      <c r="AJ9" s="14">
        <f>'[1]D-PDP'!$BW$46</f>
        <v>0</v>
      </c>
      <c r="AK9" s="14">
        <f>'[1]D-PDP'!$BW$47</f>
        <v>0</v>
      </c>
      <c r="AL9" s="14">
        <f>'[1]D-PDP'!$BW$48</f>
        <v>0</v>
      </c>
      <c r="AM9" s="16">
        <f>SUM(B9:AL9)</f>
        <v>73859237.59375</v>
      </c>
      <c r="AN9" s="28">
        <f>'[1]D-PNP'!$BW$12</f>
        <v>2743892.5</v>
      </c>
      <c r="AO9" s="14">
        <f>'[1]D-PNP'!$BW$13</f>
        <v>2377336.25</v>
      </c>
      <c r="AP9" s="14">
        <f>'[1]D-PNP'!$BW$14</f>
        <v>2553120.75</v>
      </c>
      <c r="AQ9" s="14">
        <f>'[1]D-PNP'!$BW$15</f>
        <v>1906701.75</v>
      </c>
      <c r="AR9" s="14">
        <f>'[1]D-PNP'!$BW$16</f>
        <v>1363438.375</v>
      </c>
      <c r="AS9" s="14">
        <f>'[1]D-PNP'!$BW$17</f>
        <v>1025103.5</v>
      </c>
      <c r="AT9" s="14">
        <f>'[1]D-PNP'!$BW$18</f>
        <v>632170.25</v>
      </c>
      <c r="AU9" s="14">
        <f>'[1]D-PNP'!$BW$19</f>
        <v>324685.28125</v>
      </c>
      <c r="AV9" s="14">
        <f>'[1]D-PNP'!$BW$20</f>
        <v>127688.3203125</v>
      </c>
      <c r="AW9" s="14">
        <f>'[1]D-PNP'!$BW$21</f>
        <v>0</v>
      </c>
      <c r="AX9" s="14">
        <f>'[1]D-PNP'!$BW$22</f>
        <v>0</v>
      </c>
      <c r="AY9" s="14">
        <f>'[1]D-PNP'!$BW$23</f>
        <v>0</v>
      </c>
      <c r="AZ9" s="14">
        <f>'[1]D-PNP'!$BW$24</f>
        <v>0</v>
      </c>
      <c r="BA9" s="14">
        <f>'[1]D-PNP'!$BW$25</f>
        <v>0</v>
      </c>
      <c r="BB9" s="14">
        <f>'[1]D-PNP'!$BW$26</f>
        <v>0</v>
      </c>
      <c r="BC9" s="14">
        <f>'[1]D-PNP'!$BW$27</f>
        <v>0</v>
      </c>
      <c r="BD9" s="14">
        <f>'[1]D-PNP'!$BW$28</f>
        <v>0</v>
      </c>
      <c r="BE9" s="14">
        <f>'[1]D-PNP'!$BW$29</f>
        <v>0</v>
      </c>
      <c r="BF9" s="14">
        <f>'[1]D-PNP'!$BW$30</f>
        <v>0</v>
      </c>
      <c r="BG9" s="14">
        <f>'[1]D-PNP'!$BW$31</f>
        <v>0</v>
      </c>
      <c r="BH9" s="14">
        <f>'[1]D-PNP'!$BW$32</f>
        <v>0</v>
      </c>
      <c r="BI9" s="14">
        <f>'[1]D-PNP'!$BW$33</f>
        <v>0</v>
      </c>
      <c r="BJ9" s="14">
        <f>'[1]D-PNP'!$BW$34</f>
        <v>0</v>
      </c>
      <c r="BK9" s="14">
        <f>'[1]D-PNP'!$BW$35</f>
        <v>0</v>
      </c>
      <c r="BL9" s="14">
        <f>'[1]D-PNP'!$BW$36</f>
        <v>0</v>
      </c>
      <c r="BM9" s="14">
        <f>'[1]D-PNP'!$BW$37</f>
        <v>0</v>
      </c>
      <c r="BN9" s="14">
        <f>'[1]D-PNP'!$BW$38</f>
        <v>0</v>
      </c>
      <c r="BO9" s="14">
        <f>'[1]D-PNP'!$BW$39</f>
        <v>0</v>
      </c>
      <c r="BP9" s="14">
        <f>'[1]D-PNP'!$BW$40</f>
        <v>0</v>
      </c>
      <c r="BQ9" s="14">
        <f>'[1]D-PNP'!$BW$41</f>
        <v>0</v>
      </c>
      <c r="BR9" s="14">
        <f>'[1]D-PNP'!$BW$42</f>
        <v>0</v>
      </c>
      <c r="BS9" s="14">
        <f>'[1]D-PNP'!$BW$43</f>
        <v>0</v>
      </c>
      <c r="BT9" s="14">
        <f>'[1]D-PNP'!$BW$44</f>
        <v>0</v>
      </c>
      <c r="BU9" s="14">
        <f>'[1]D-PNP'!$BW$45</f>
        <v>0</v>
      </c>
      <c r="BV9" s="14">
        <f>'[1]D-PNP'!$BW$46</f>
        <v>0</v>
      </c>
      <c r="BW9" s="14">
        <f>'[1]D-PNP'!$BW$47</f>
        <v>0</v>
      </c>
      <c r="BX9" s="14">
        <f>'[1]D-PNP'!$BW$48</f>
        <v>0</v>
      </c>
      <c r="BY9" s="16">
        <f>SUM(AN9:BX9)</f>
        <v>13054136.9765625</v>
      </c>
      <c r="BZ9" s="28">
        <f>'[1]D-PND'!$BW$12</f>
        <v>6959682.5</v>
      </c>
      <c r="CA9" s="14">
        <f>'[1]D-PND'!$BW$13</f>
        <v>6281445</v>
      </c>
      <c r="CB9" s="14">
        <f>'[1]D-PND'!$BW$14</f>
        <v>4610659.5</v>
      </c>
      <c r="CC9" s="14">
        <f>'[1]D-PND'!$BW$15</f>
        <v>5302270</v>
      </c>
      <c r="CD9" s="14">
        <f>'[1]D-PND'!$BW$16</f>
        <v>17476008</v>
      </c>
      <c r="CE9" s="14">
        <f>'[1]D-PND'!$BW$17</f>
        <v>24487382</v>
      </c>
      <c r="CF9" s="14">
        <f>'[1]D-PND'!$BW$18</f>
        <v>26950214</v>
      </c>
      <c r="CG9" s="14">
        <f>'[1]D-PND'!$BW$19</f>
        <v>19165746</v>
      </c>
      <c r="CH9" s="14">
        <f>'[1]D-PND'!$BW$20</f>
        <v>12674140</v>
      </c>
      <c r="CI9" s="14">
        <f>'[1]D-PND'!$BW$21</f>
        <v>14215716</v>
      </c>
      <c r="CJ9" s="14">
        <f>'[1]D-PND'!$BW$22</f>
        <v>5597628</v>
      </c>
      <c r="CK9" s="14">
        <f>'[1]D-PND'!$BW$23</f>
        <v>0</v>
      </c>
      <c r="CL9" s="14">
        <f>'[1]D-PND'!$BW$24</f>
        <v>0</v>
      </c>
      <c r="CM9" s="14">
        <f>'[1]D-PND'!$BW$25</f>
        <v>0</v>
      </c>
      <c r="CN9" s="14">
        <f>'[1]D-PND'!$BW$26</f>
        <v>0</v>
      </c>
      <c r="CO9" s="14">
        <f>'[1]D-PND'!$BW$27</f>
        <v>0</v>
      </c>
      <c r="CP9" s="14">
        <f>'[1]D-PND'!$BW$28</f>
        <v>0</v>
      </c>
      <c r="CQ9" s="14">
        <f>'[1]D-PND'!$BW$29</f>
        <v>0</v>
      </c>
      <c r="CR9" s="14">
        <f>'[1]D-PND'!$BW$30</f>
        <v>0</v>
      </c>
      <c r="CS9" s="14">
        <f>'[1]D-PND'!$BW$31</f>
        <v>0</v>
      </c>
      <c r="CT9" s="14">
        <f>'[1]D-PND'!$BW$32</f>
        <v>0</v>
      </c>
      <c r="CU9" s="14">
        <f>'[1]D-PND'!$BW$33</f>
        <v>0</v>
      </c>
      <c r="CV9" s="14">
        <f>'[1]D-PND'!$BW$34</f>
        <v>0</v>
      </c>
      <c r="CW9" s="14">
        <f>'[1]D-PND'!$BW$35</f>
        <v>0</v>
      </c>
      <c r="CX9" s="14">
        <f>'[1]D-PND'!$BW$36</f>
        <v>0</v>
      </c>
      <c r="CY9" s="14">
        <f>'[1]D-PND'!$BW$37</f>
        <v>0</v>
      </c>
      <c r="CZ9" s="14">
        <f>'[1]D-PND'!$BW$38</f>
        <v>0</v>
      </c>
      <c r="DA9" s="14">
        <f>'[1]D-PND'!$BW$39</f>
        <v>0</v>
      </c>
      <c r="DB9" s="14">
        <f>'[1]D-PND'!$BW$40</f>
        <v>0</v>
      </c>
      <c r="DC9" s="14">
        <f>'[1]D-PND'!$BW$41</f>
        <v>0</v>
      </c>
      <c r="DD9" s="14">
        <f>'[1]D-PND'!$BW$42</f>
        <v>0</v>
      </c>
      <c r="DE9" s="14">
        <f>'[1]D-PND'!$BW$43</f>
        <v>0</v>
      </c>
      <c r="DF9" s="14">
        <f>'[1]D-PND'!$BW$44</f>
        <v>0</v>
      </c>
      <c r="DG9" s="14">
        <f>'[1]D-PND'!$BW$45</f>
        <v>0</v>
      </c>
      <c r="DH9" s="14">
        <f>'[1]D-PND'!$BW$46</f>
        <v>0</v>
      </c>
      <c r="DI9" s="14">
        <f>'[1]D-PND'!$BW$47</f>
        <v>0</v>
      </c>
      <c r="DJ9" s="14">
        <f>'[1]D-PND'!$BW$48</f>
        <v>0</v>
      </c>
      <c r="DK9" s="16">
        <f>SUM(BZ9:DJ9)</f>
        <v>143720891</v>
      </c>
      <c r="DL9" s="66"/>
      <c r="DM9" s="67"/>
      <c r="DN9" s="67"/>
      <c r="DO9" s="67"/>
      <c r="DP9" s="67"/>
      <c r="DQ9" s="67"/>
      <c r="DR9" s="67"/>
      <c r="DS9" s="67"/>
      <c r="DT9" s="67"/>
      <c r="DU9" s="67"/>
      <c r="DV9" s="67"/>
      <c r="DW9" s="67"/>
      <c r="DX9" s="67"/>
      <c r="DY9" s="67"/>
      <c r="DZ9" s="67"/>
      <c r="EA9" s="67"/>
      <c r="EB9" s="67"/>
      <c r="EC9" s="67"/>
      <c r="ED9" s="67"/>
      <c r="EE9" s="67"/>
      <c r="EF9" s="67"/>
      <c r="EG9" s="67"/>
      <c r="EH9" s="67"/>
      <c r="EI9" s="67"/>
      <c r="EJ9" s="67"/>
      <c r="EK9" s="67"/>
      <c r="EL9" s="67"/>
      <c r="EM9" s="67"/>
      <c r="EN9" s="67"/>
      <c r="EO9" s="67"/>
      <c r="EP9" s="67"/>
      <c r="EQ9" s="67"/>
      <c r="ER9" s="67"/>
      <c r="ES9" s="67"/>
      <c r="ET9" s="67"/>
      <c r="EU9" s="67"/>
      <c r="EV9" s="67"/>
      <c r="EW9" s="68">
        <f>SUM(DL9:EV9)</f>
        <v>0</v>
      </c>
      <c r="EX9" s="66"/>
      <c r="EY9" s="67"/>
      <c r="EZ9" s="67"/>
      <c r="FA9" s="67"/>
      <c r="FB9" s="67"/>
      <c r="FC9" s="67"/>
      <c r="FD9" s="67"/>
      <c r="FE9" s="67"/>
      <c r="FF9" s="67"/>
      <c r="FG9" s="67"/>
      <c r="FH9" s="67"/>
      <c r="FI9" s="67"/>
      <c r="FJ9" s="67"/>
      <c r="FK9" s="67"/>
      <c r="FL9" s="67"/>
      <c r="FM9" s="67"/>
      <c r="FN9" s="67"/>
      <c r="FO9" s="67"/>
      <c r="FP9" s="67"/>
      <c r="FQ9" s="67"/>
      <c r="FR9" s="67"/>
      <c r="FS9" s="67"/>
      <c r="FT9" s="67"/>
      <c r="FU9" s="67"/>
      <c r="FV9" s="67"/>
      <c r="FW9" s="67"/>
      <c r="FX9" s="67"/>
      <c r="FY9" s="67"/>
      <c r="FZ9" s="67"/>
      <c r="GA9" s="67"/>
      <c r="GB9" s="67"/>
      <c r="GC9" s="67"/>
      <c r="GD9" s="67"/>
      <c r="GE9" s="67"/>
      <c r="GF9" s="67"/>
      <c r="GG9" s="67"/>
      <c r="GH9" s="67"/>
      <c r="GI9" s="68">
        <f>SUM(EX9:GH9)</f>
        <v>0</v>
      </c>
      <c r="GJ9" s="66"/>
      <c r="GK9" s="67"/>
      <c r="GL9" s="67"/>
      <c r="GM9" s="67"/>
      <c r="GN9" s="67"/>
      <c r="GO9" s="67"/>
      <c r="GP9" s="67"/>
      <c r="GQ9" s="67"/>
      <c r="GR9" s="67"/>
      <c r="GS9" s="67"/>
      <c r="GT9" s="67"/>
      <c r="GU9" s="67"/>
      <c r="GV9" s="67"/>
      <c r="GW9" s="67"/>
      <c r="GX9" s="67"/>
      <c r="GY9" s="67"/>
      <c r="GZ9" s="67"/>
      <c r="HA9" s="67"/>
      <c r="HB9" s="67"/>
      <c r="HC9" s="67"/>
      <c r="HD9" s="67"/>
      <c r="HE9" s="67"/>
      <c r="HF9" s="67"/>
      <c r="HG9" s="67"/>
      <c r="HH9" s="67"/>
      <c r="HI9" s="67"/>
      <c r="HJ9" s="67"/>
      <c r="HK9" s="67"/>
      <c r="HL9" s="67"/>
      <c r="HM9" s="67"/>
      <c r="HN9" s="67"/>
      <c r="HO9" s="67"/>
      <c r="HP9" s="67"/>
      <c r="HQ9" s="67"/>
      <c r="HR9" s="67"/>
      <c r="HS9" s="67"/>
      <c r="HT9" s="67"/>
      <c r="HU9" s="68">
        <f>SUM(GJ9:HT9)</f>
        <v>0</v>
      </c>
      <c r="HV9" s="28">
        <f>'[1]D-PRB'!$BW$12</f>
        <v>5558615.5</v>
      </c>
      <c r="HW9" s="14">
        <f>'[1]D-PRB'!$BW$13</f>
        <v>4107515.25</v>
      </c>
      <c r="HX9" s="14">
        <f>'[1]D-PRB'!$BW$14</f>
        <v>3090159.75</v>
      </c>
      <c r="HY9" s="14">
        <f>'[1]D-PRB'!$BW$15</f>
        <v>2662317.75</v>
      </c>
      <c r="HZ9" s="14">
        <f>'[1]D-PRB'!$BW$16</f>
        <v>2014791.875</v>
      </c>
      <c r="IA9" s="14">
        <f>'[1]D-PRB'!$BW$17</f>
        <v>1520178.75</v>
      </c>
      <c r="IB9" s="14">
        <f>'[1]D-PRB'!$BW$18</f>
        <v>1038984.25</v>
      </c>
      <c r="IC9" s="14">
        <f>'[1]D-PRB'!$BW$19</f>
        <v>469066.90625</v>
      </c>
      <c r="ID9" s="14">
        <f>'[1]D-PRB'!$BW$20</f>
        <v>270536.53125</v>
      </c>
      <c r="IE9" s="14">
        <f>'[1]D-PRB'!$BW$21</f>
        <v>168948.28125</v>
      </c>
      <c r="IF9" s="14">
        <f>'[1]D-PRB'!$BW$22</f>
        <v>86276.4765625</v>
      </c>
      <c r="IG9" s="14">
        <f>'[1]D-PRB'!$BW$23</f>
        <v>0</v>
      </c>
      <c r="IH9" s="14">
        <f>'[1]D-PRB'!$BW$24</f>
        <v>0</v>
      </c>
      <c r="II9" s="14">
        <f>'[1]D-PRB'!$BW$25</f>
        <v>0</v>
      </c>
      <c r="IJ9" s="14">
        <f>'[1]D-PRB'!$BW$26</f>
        <v>0</v>
      </c>
      <c r="IK9" s="14">
        <f>'[1]D-PRB'!$BW$27</f>
        <v>0</v>
      </c>
      <c r="IL9" s="14">
        <f>'[1]D-PRB'!$BW$28</f>
        <v>0</v>
      </c>
      <c r="IM9" s="14">
        <f>'[1]D-PRB'!$BW$29</f>
        <v>0</v>
      </c>
      <c r="IN9" s="14">
        <f>'[1]D-PRB'!$BW$30</f>
        <v>0</v>
      </c>
      <c r="IO9" s="14">
        <f>'[1]D-PRB'!$BW$31</f>
        <v>0</v>
      </c>
      <c r="IP9" s="14">
        <f>'[1]D-PRB'!$BW$32</f>
        <v>0</v>
      </c>
      <c r="IQ9" s="14">
        <f>'[1]D-PRB'!$BW$33</f>
        <v>0</v>
      </c>
      <c r="IR9" s="14">
        <f>'[1]D-PRB'!$BW$34</f>
        <v>0</v>
      </c>
      <c r="IS9" s="14">
        <f>'[1]D-PRB'!$BW$35</f>
        <v>0</v>
      </c>
      <c r="IT9" s="14">
        <f>'[1]D-PRB'!$BW$36</f>
        <v>0</v>
      </c>
      <c r="IU9" s="14">
        <f>'[1]D-PRB'!$BW$37</f>
        <v>0</v>
      </c>
      <c r="IV9" s="14">
        <f>'[1]D-PRB'!$BW$38</f>
        <v>0</v>
      </c>
      <c r="IW9" s="14">
        <f>'[1]D-PRB'!$BW$39</f>
        <v>0</v>
      </c>
      <c r="IX9" s="14">
        <f>'[1]D-PRB'!$BW$40</f>
        <v>0</v>
      </c>
      <c r="IY9" s="14">
        <f>'[1]D-PRB'!$BW$41</f>
        <v>0</v>
      </c>
      <c r="IZ9" s="14">
        <f>'[1]D-PRB'!$BW$42</f>
        <v>0</v>
      </c>
      <c r="JA9" s="14">
        <f>'[1]D-PRB'!$BW$43</f>
        <v>0</v>
      </c>
      <c r="JB9" s="14">
        <f>'[1]D-PRB'!$BW$44</f>
        <v>0</v>
      </c>
      <c r="JC9" s="14">
        <f>'[1]D-PRB'!$BW$45</f>
        <v>0</v>
      </c>
      <c r="JD9" s="14">
        <f>'[1]D-PRB'!$BW$46</f>
        <v>0</v>
      </c>
      <c r="JE9" s="14">
        <f>'[1]D-PRB'!$BW$47</f>
        <v>0</v>
      </c>
      <c r="JF9" s="14">
        <f>'[1]D-PRB'!$BW$48</f>
        <v>0</v>
      </c>
      <c r="JG9" s="16">
        <f>SUM(HV9:JF9)</f>
        <v>20987391.3203125</v>
      </c>
      <c r="JH9" s="66"/>
      <c r="JI9" s="67"/>
      <c r="JJ9" s="67"/>
      <c r="JK9" s="67"/>
      <c r="JL9" s="67"/>
      <c r="JM9" s="67"/>
      <c r="JN9" s="67"/>
      <c r="JO9" s="67"/>
      <c r="JP9" s="67"/>
      <c r="JQ9" s="67"/>
      <c r="JR9" s="67"/>
      <c r="JS9" s="67"/>
      <c r="JT9" s="67"/>
      <c r="JU9" s="67"/>
      <c r="JV9" s="67"/>
      <c r="JW9" s="67"/>
      <c r="JX9" s="67"/>
      <c r="JY9" s="67"/>
      <c r="JZ9" s="67"/>
      <c r="KA9" s="67"/>
      <c r="KB9" s="67"/>
      <c r="KC9" s="67"/>
      <c r="KD9" s="67"/>
      <c r="KE9" s="67"/>
      <c r="KF9" s="67"/>
      <c r="KG9" s="67"/>
      <c r="KH9" s="67"/>
      <c r="KI9" s="67"/>
      <c r="KJ9" s="67"/>
      <c r="KK9" s="67"/>
      <c r="KL9" s="67"/>
      <c r="KM9" s="67"/>
      <c r="KN9" s="67"/>
      <c r="KO9" s="67"/>
      <c r="KP9" s="67"/>
      <c r="KQ9" s="67"/>
      <c r="KR9" s="67"/>
      <c r="KS9" s="68">
        <f>SUM(JH9:KR9)</f>
        <v>0</v>
      </c>
      <c r="KT9" s="66"/>
      <c r="KU9" s="67"/>
      <c r="KV9" s="67"/>
      <c r="KW9" s="67"/>
      <c r="KX9" s="67"/>
      <c r="KY9" s="67"/>
      <c r="KZ9" s="67"/>
      <c r="LA9" s="67"/>
      <c r="LB9" s="67"/>
      <c r="LC9" s="67"/>
      <c r="LD9" s="67"/>
      <c r="LE9" s="67"/>
      <c r="LF9" s="67"/>
      <c r="LG9" s="67"/>
      <c r="LH9" s="67"/>
      <c r="LI9" s="67"/>
      <c r="LJ9" s="67"/>
      <c r="LK9" s="67"/>
      <c r="LL9" s="67"/>
      <c r="LM9" s="67"/>
      <c r="LN9" s="67"/>
      <c r="LO9" s="67"/>
      <c r="LP9" s="67"/>
      <c r="LQ9" s="67"/>
      <c r="LR9" s="67"/>
      <c r="LS9" s="67"/>
      <c r="LT9" s="67"/>
      <c r="LU9" s="67"/>
      <c r="LV9" s="67"/>
      <c r="LW9" s="67"/>
      <c r="LX9" s="67"/>
      <c r="LY9" s="67"/>
      <c r="LZ9" s="67"/>
      <c r="MA9" s="67"/>
      <c r="MB9" s="67"/>
      <c r="MC9" s="67"/>
      <c r="MD9" s="67"/>
      <c r="ME9" s="68">
        <f>SUM(KT9:MD9)</f>
        <v>0</v>
      </c>
      <c r="MF9" s="66"/>
      <c r="MG9" s="67"/>
      <c r="MH9" s="67"/>
      <c r="MI9" s="67"/>
      <c r="MJ9" s="67"/>
      <c r="MK9" s="67"/>
      <c r="ML9" s="67"/>
      <c r="MM9" s="67"/>
      <c r="MN9" s="67"/>
      <c r="MO9" s="67"/>
      <c r="MP9" s="67"/>
      <c r="MQ9" s="67"/>
      <c r="MR9" s="67"/>
      <c r="MS9" s="67"/>
      <c r="MT9" s="67"/>
      <c r="MU9" s="67"/>
      <c r="MV9" s="67"/>
      <c r="MW9" s="67"/>
      <c r="MX9" s="67"/>
      <c r="MY9" s="67"/>
      <c r="MZ9" s="67"/>
      <c r="NA9" s="67"/>
      <c r="NB9" s="67"/>
      <c r="NC9" s="67"/>
      <c r="ND9" s="67"/>
      <c r="NE9" s="67"/>
      <c r="NF9" s="67"/>
      <c r="NG9" s="67"/>
      <c r="NH9" s="67"/>
      <c r="NI9" s="67"/>
      <c r="NJ9" s="67"/>
      <c r="NK9" s="67"/>
      <c r="NL9" s="67"/>
      <c r="NM9" s="67"/>
      <c r="NN9" s="67"/>
      <c r="NO9" s="67"/>
      <c r="NP9" s="67"/>
      <c r="NQ9" s="68">
        <f>SUM(MF9:NP9)</f>
        <v>0</v>
      </c>
      <c r="NR9" s="14">
        <f>'[1]D-PS'!$BW$12</f>
        <v>1947926.875</v>
      </c>
      <c r="NS9" s="14">
        <f>'[1]D-PS'!$BW$13</f>
        <v>1565876.75</v>
      </c>
      <c r="NT9" s="14">
        <f>'[1]D-PS'!$BW$14</f>
        <v>1111888.75</v>
      </c>
      <c r="NU9" s="14">
        <f>'[1]D-PS'!$BW$15</f>
        <v>791723.125</v>
      </c>
      <c r="NV9" s="14">
        <f>'[1]D-PS'!$BW$16</f>
        <v>564567.75</v>
      </c>
      <c r="NW9" s="14">
        <f>'[1]D-PS'!$BW$17</f>
        <v>387445.625</v>
      </c>
      <c r="NX9" s="14">
        <f>'[1]D-PS'!$BW$18</f>
        <v>0</v>
      </c>
      <c r="NY9" s="14">
        <f>'[1]D-PS'!$BW$19</f>
        <v>194091.546875</v>
      </c>
      <c r="NZ9" s="14">
        <f>'[1]D-PS'!$BW$20</f>
        <v>221744.109375</v>
      </c>
      <c r="OA9" s="14">
        <f>'[1]D-PS'!$BW$21</f>
        <v>215025.296875</v>
      </c>
      <c r="OB9" s="14">
        <f>'[1]D-PS'!$BW$22</f>
        <v>37300.37109375</v>
      </c>
      <c r="OC9" s="14">
        <f>'[1]D-PS'!$BW$23</f>
        <v>0</v>
      </c>
      <c r="OD9" s="14">
        <f>'[1]D-PS'!$BW$24</f>
        <v>0</v>
      </c>
      <c r="OE9" s="14">
        <f>'[1]D-PS'!$BW$25</f>
        <v>0</v>
      </c>
      <c r="OF9" s="14">
        <f>'[1]D-PS'!$BW$26</f>
        <v>0</v>
      </c>
      <c r="OG9" s="14">
        <f>'[1]D-PS'!$BW$27</f>
        <v>0</v>
      </c>
      <c r="OH9" s="14">
        <f>'[1]D-PS'!$BW$28</f>
        <v>0</v>
      </c>
      <c r="OI9" s="14">
        <f>'[1]D-PS'!$BW$29</f>
        <v>0</v>
      </c>
      <c r="OJ9" s="14">
        <f>'[1]D-PS'!$BW$30</f>
        <v>0</v>
      </c>
      <c r="OK9" s="14">
        <f>'[1]D-PS'!$BW$31</f>
        <v>0</v>
      </c>
      <c r="OL9" s="14">
        <f>'[1]D-PS'!$BW$32</f>
        <v>0</v>
      </c>
      <c r="OM9" s="14">
        <f>'[1]D-PS'!$BW$33</f>
        <v>0</v>
      </c>
      <c r="ON9" s="14">
        <f>'[1]D-PS'!$BW$34</f>
        <v>0</v>
      </c>
      <c r="OO9" s="14">
        <f>'[1]D-PS'!$BW$35</f>
        <v>0</v>
      </c>
      <c r="OP9" s="14">
        <f>'[1]D-PS'!$BW$36</f>
        <v>0</v>
      </c>
      <c r="OQ9" s="14">
        <f>'[1]D-PS'!$BW$37</f>
        <v>0</v>
      </c>
      <c r="OR9" s="14">
        <f>'[1]D-PS'!$BW$38</f>
        <v>0</v>
      </c>
      <c r="OS9" s="14">
        <f>'[1]D-PS'!$BW$39</f>
        <v>0</v>
      </c>
      <c r="OT9" s="14">
        <f>'[1]D-PS'!$BW$40</f>
        <v>0</v>
      </c>
      <c r="OU9" s="14">
        <f>'[1]D-PS'!$BW$41</f>
        <v>0</v>
      </c>
      <c r="OV9" s="14">
        <f>'[1]D-PS'!$BW$42</f>
        <v>0</v>
      </c>
      <c r="OW9" s="14">
        <f>'[1]D-PS'!$BW$43</f>
        <v>0</v>
      </c>
      <c r="OX9" s="14">
        <f>'[1]D-PS'!$BW$44</f>
        <v>0</v>
      </c>
      <c r="OY9" s="14">
        <f>'[1]D-PS'!$BW$45</f>
        <v>0</v>
      </c>
      <c r="OZ9" s="14">
        <f>'[1]D-PS'!$BW$46</f>
        <v>0</v>
      </c>
      <c r="PA9" s="14">
        <f>'[1]D-PS'!$BW$47</f>
        <v>0</v>
      </c>
      <c r="PB9" s="14">
        <f>'[1]D-PS'!$BW$48</f>
        <v>0</v>
      </c>
      <c r="PC9" s="16">
        <f>SUM(NR9:PB9)</f>
        <v>7037590.19921875</v>
      </c>
    </row>
    <row r="10" spans="1:423" outlineLevel="1" x14ac:dyDescent="0.3">
      <c r="A10" s="46" t="s">
        <v>8</v>
      </c>
      <c r="B10" s="25">
        <f>'[2]CF PDP'!$BT$36</f>
        <v>27193700</v>
      </c>
      <c r="C10" s="25">
        <f>'[2]CF PDP'!$BT$37</f>
        <v>17698572</v>
      </c>
      <c r="D10" s="25">
        <f>'[2]CF PDP'!$BT$38</f>
        <v>11202308</v>
      </c>
      <c r="E10" s="25">
        <f>'[2]CF PDP'!$BT$39</f>
        <v>7183245</v>
      </c>
      <c r="F10" s="25">
        <f>'[2]CF PDP'!$BT$40</f>
        <v>4859417</v>
      </c>
      <c r="G10" s="25">
        <f>'[2]CF PDP'!$BT$41</f>
        <v>3084963</v>
      </c>
      <c r="H10" s="25">
        <f>'[2]CF PDP'!$BT$42</f>
        <v>0</v>
      </c>
      <c r="I10" s="25">
        <f>'[2]CF PDP'!$BT$43</f>
        <v>0</v>
      </c>
      <c r="J10" s="25">
        <f>'[2]CF PDP'!$BT$44</f>
        <v>0</v>
      </c>
      <c r="K10" s="25">
        <f>'[2]CF PDP'!$BT$45</f>
        <v>0</v>
      </c>
      <c r="L10" s="25">
        <f>'[2]CF PDP'!$BT$46</f>
        <v>0</v>
      </c>
      <c r="M10" s="25">
        <f>'[2]CF PDP'!$BT$47</f>
        <v>0</v>
      </c>
      <c r="N10" s="25">
        <f>'[2]CF PDP'!$BT$48</f>
        <v>0</v>
      </c>
      <c r="O10" s="25">
        <f>'[2]CF PDP'!$BT$49</f>
        <v>0</v>
      </c>
      <c r="P10" s="25">
        <f>'[2]CF PDP'!$BT$50</f>
        <v>0</v>
      </c>
      <c r="Q10" s="25">
        <f>'[2]CF PDP'!$BT$51</f>
        <v>0</v>
      </c>
      <c r="R10" s="25">
        <f>'[2]CF PDP'!$BT$52</f>
        <v>0</v>
      </c>
      <c r="S10" s="25">
        <f>'[2]CF PDP'!$BT$53</f>
        <v>0</v>
      </c>
      <c r="T10" s="25">
        <f>'[2]CF PDP'!$BT$54</f>
        <v>0</v>
      </c>
      <c r="U10" s="25">
        <f>'[2]CF PDP'!$BT$55</f>
        <v>0</v>
      </c>
      <c r="V10" s="25">
        <f>'[2]CF PDP'!$BT$56</f>
        <v>0</v>
      </c>
      <c r="W10" s="25">
        <f>'[2]CF PDP'!$BT$57</f>
        <v>0</v>
      </c>
      <c r="X10" s="25">
        <f>'[2]CF PDP'!$BT$58</f>
        <v>0</v>
      </c>
      <c r="Y10" s="25">
        <f>'[2]CF PDP'!$BT$59</f>
        <v>0</v>
      </c>
      <c r="Z10" s="25">
        <f>'[2]CF PDP'!$BT$60</f>
        <v>0</v>
      </c>
      <c r="AA10" s="25">
        <f>'[2]CF PDP'!$BT$61</f>
        <v>0</v>
      </c>
      <c r="AB10" s="25">
        <f>'[2]CF PDP'!$BT$62</f>
        <v>0</v>
      </c>
      <c r="AC10" s="25">
        <f>'[2]CF PDP'!$BT$63</f>
        <v>0</v>
      </c>
      <c r="AD10" s="25">
        <f>'[2]CF PDP'!$BT$64</f>
        <v>0</v>
      </c>
      <c r="AE10" s="25">
        <f>'[2]CF PDP'!$BT$65</f>
        <v>0</v>
      </c>
      <c r="AF10" s="25">
        <f>'[2]CF PDP'!$BT$66</f>
        <v>0</v>
      </c>
      <c r="AG10" s="25">
        <f>'[2]CF PDP'!$BT$67</f>
        <v>0</v>
      </c>
      <c r="AH10" s="25">
        <f>'[2]CF PDP'!$BT$68</f>
        <v>0</v>
      </c>
      <c r="AI10" s="25">
        <f>'[2]CF PDP'!$BT$69</f>
        <v>0</v>
      </c>
      <c r="AJ10" s="25">
        <f>'[2]CF PDP'!$BT$70</f>
        <v>0</v>
      </c>
      <c r="AK10" s="25">
        <f>'[2]CF PDP'!$BT$71</f>
        <v>0</v>
      </c>
      <c r="AL10" s="25">
        <f>'[2]CF PDP'!$BT$72</f>
        <v>0</v>
      </c>
      <c r="AM10" s="26">
        <f>SUM(B10:AL10)</f>
        <v>71222205</v>
      </c>
      <c r="AN10" s="27">
        <f>'[2]CF PNP'!$BT$36</f>
        <v>2743623</v>
      </c>
      <c r="AO10" s="25">
        <f>'[2]CF PNP'!$BT$37</f>
        <v>2377055</v>
      </c>
      <c r="AP10" s="25">
        <f>'[2]CF PNP'!$BT$38</f>
        <v>2552790</v>
      </c>
      <c r="AQ10" s="25">
        <f>'[2]CF PNP'!$BT$39</f>
        <v>1906518</v>
      </c>
      <c r="AR10" s="25">
        <f>'[2]CF PNP'!$BT$40</f>
        <v>1363259</v>
      </c>
      <c r="AS10" s="25">
        <f>'[2]CF PNP'!$BT$41</f>
        <v>1025073</v>
      </c>
      <c r="AT10" s="25">
        <f>'[2]CF PNP'!$BT$42</f>
        <v>2102320</v>
      </c>
      <c r="AU10" s="25">
        <f>'[2]CF PNP'!$BT$43</f>
        <v>0</v>
      </c>
      <c r="AV10" s="25">
        <f>'[2]CF PNP'!$BT$44</f>
        <v>0</v>
      </c>
      <c r="AW10" s="25">
        <f>'[2]CF PNP'!$BT$45</f>
        <v>0</v>
      </c>
      <c r="AX10" s="25">
        <f>'[2]CF PNP'!$BT$46</f>
        <v>0</v>
      </c>
      <c r="AY10" s="25">
        <f>'[2]CF PNP'!$BT$47</f>
        <v>0</v>
      </c>
      <c r="AZ10" s="25">
        <f>'[2]CF PNP'!$BT$48</f>
        <v>0</v>
      </c>
      <c r="BA10" s="25">
        <f>'[2]CF PNP'!$BT$49</f>
        <v>0</v>
      </c>
      <c r="BB10" s="25">
        <f>'[2]CF PNP'!$BT$50</f>
        <v>0</v>
      </c>
      <c r="BC10" s="25">
        <f>'[2]CF PNP'!$BT$51</f>
        <v>0</v>
      </c>
      <c r="BD10" s="25">
        <f>'[2]CF PNP'!$BT$52</f>
        <v>0</v>
      </c>
      <c r="BE10" s="25">
        <f>'[2]CF PNP'!$BT$53</f>
        <v>0</v>
      </c>
      <c r="BF10" s="25">
        <f>'[2]CF PNP'!$BT$54</f>
        <v>0</v>
      </c>
      <c r="BG10" s="25">
        <f>'[2]CF PNP'!$BT$55</f>
        <v>0</v>
      </c>
      <c r="BH10" s="25">
        <f>'[2]CF PNP'!$BT$56</f>
        <v>0</v>
      </c>
      <c r="BI10" s="25">
        <f>'[2]CF PNP'!$BT$57</f>
        <v>0</v>
      </c>
      <c r="BJ10" s="25">
        <f>'[2]CF PNP'!$BT$58</f>
        <v>0</v>
      </c>
      <c r="BK10" s="25">
        <f>'[2]CF PNP'!$BT$59</f>
        <v>0</v>
      </c>
      <c r="BL10" s="25">
        <f>'[2]CF PNP'!$BT$60</f>
        <v>0</v>
      </c>
      <c r="BM10" s="25">
        <f>'[2]CF PNP'!$BT$61</f>
        <v>0</v>
      </c>
      <c r="BN10" s="25">
        <f>'[2]CF PNP'!$BT$62</f>
        <v>0</v>
      </c>
      <c r="BO10" s="25">
        <f>'[2]CF PNP'!$BT$63</f>
        <v>0</v>
      </c>
      <c r="BP10" s="25">
        <f>'[2]CF PNP'!$BT$64</f>
        <v>0</v>
      </c>
      <c r="BQ10" s="25">
        <f>'[2]CF PNP'!$BT$65</f>
        <v>0</v>
      </c>
      <c r="BR10" s="25">
        <f>'[2]CF PNP'!$BT$66</f>
        <v>0</v>
      </c>
      <c r="BS10" s="25">
        <f>'[2]CF PNP'!$BT$67</f>
        <v>0</v>
      </c>
      <c r="BT10" s="25">
        <f>'[2]CF PNP'!$BT$68</f>
        <v>0</v>
      </c>
      <c r="BU10" s="25">
        <f>'[2]CF PNP'!$BT$69</f>
        <v>0</v>
      </c>
      <c r="BV10" s="25">
        <f>'[2]CF PNP'!$BT$70</f>
        <v>0</v>
      </c>
      <c r="BW10" s="25">
        <f>'[2]CF PNP'!$BT$71</f>
        <v>0</v>
      </c>
      <c r="BX10" s="25">
        <f>'[2]CF PNP'!$BT$72</f>
        <v>0</v>
      </c>
      <c r="BY10" s="26">
        <f>SUM(AN10:BX10)</f>
        <v>14070638</v>
      </c>
      <c r="BZ10" s="27">
        <f>'[2]CF PND'!$BT$36</f>
        <v>6958775</v>
      </c>
      <c r="CA10" s="25">
        <f>'[2]CF PND'!$BT$37</f>
        <v>6280681</v>
      </c>
      <c r="CB10" s="25">
        <f>'[2]CF PND'!$BT$38</f>
        <v>4610101</v>
      </c>
      <c r="CC10" s="25">
        <f>'[2]CF PND'!$BT$39</f>
        <v>5301573</v>
      </c>
      <c r="CD10" s="25">
        <f>'[2]CF PND'!$BT$40</f>
        <v>17473815</v>
      </c>
      <c r="CE10" s="25">
        <f>'[2]CF PND'!$BT$41</f>
        <v>24484383</v>
      </c>
      <c r="CF10" s="25">
        <f>'[2]CF PND'!$BT$42</f>
        <v>26946964</v>
      </c>
      <c r="CG10" s="25">
        <f>'[2]CF PND'!$BT$43</f>
        <v>20079067</v>
      </c>
      <c r="CH10" s="25">
        <f>'[2]CF PND'!$BT$44</f>
        <v>12816221</v>
      </c>
      <c r="CI10" s="25">
        <f>'[2]CF PND'!$BT$45</f>
        <v>0</v>
      </c>
      <c r="CJ10" s="25">
        <f>'[2]CF PND'!$BT$46</f>
        <v>0</v>
      </c>
      <c r="CK10" s="25">
        <f>'[2]CF PND'!$BT$47</f>
        <v>0</v>
      </c>
      <c r="CL10" s="25">
        <f>'[2]CF PND'!$BT$48</f>
        <v>0</v>
      </c>
      <c r="CM10" s="25">
        <f>'[2]CF PND'!$BT$49</f>
        <v>0</v>
      </c>
      <c r="CN10" s="25">
        <f>'[2]CF PND'!$BT$50</f>
        <v>0</v>
      </c>
      <c r="CO10" s="25">
        <f>'[2]CF PND'!$BT$51</f>
        <v>0</v>
      </c>
      <c r="CP10" s="25">
        <f>'[2]CF PND'!$BT$52</f>
        <v>0</v>
      </c>
      <c r="CQ10" s="25">
        <f>'[2]CF PND'!$BT$53</f>
        <v>0</v>
      </c>
      <c r="CR10" s="25">
        <f>'[2]CF PND'!$BT$54</f>
        <v>0</v>
      </c>
      <c r="CS10" s="25">
        <f>'[2]CF PND'!$BT$55</f>
        <v>0</v>
      </c>
      <c r="CT10" s="25">
        <f>'[2]CF PND'!$BT$56</f>
        <v>0</v>
      </c>
      <c r="CU10" s="25">
        <f>'[2]CF PND'!$BT$57</f>
        <v>0</v>
      </c>
      <c r="CV10" s="25">
        <f>'[2]CF PND'!$BT$58</f>
        <v>0</v>
      </c>
      <c r="CW10" s="25">
        <f>'[2]CF PND'!$BT$59</f>
        <v>0</v>
      </c>
      <c r="CX10" s="25">
        <f>'[2]CF PND'!$BT$60</f>
        <v>0</v>
      </c>
      <c r="CY10" s="25">
        <f>'[2]CF PND'!$BT$61</f>
        <v>0</v>
      </c>
      <c r="CZ10" s="25">
        <f>'[2]CF PND'!$BT$62</f>
        <v>0</v>
      </c>
      <c r="DA10" s="25">
        <f>'[2]CF PND'!$BT$63</f>
        <v>0</v>
      </c>
      <c r="DB10" s="25">
        <f>'[2]CF PND'!$BT$64</f>
        <v>0</v>
      </c>
      <c r="DC10" s="25">
        <f>'[2]CF PND'!$BT$65</f>
        <v>0</v>
      </c>
      <c r="DD10" s="25">
        <f>'[2]CF PND'!$BT$66</f>
        <v>0</v>
      </c>
      <c r="DE10" s="25">
        <f>'[2]CF PND'!$BT$67</f>
        <v>0</v>
      </c>
      <c r="DF10" s="25">
        <f>'[2]CF PND'!$BT$68</f>
        <v>0</v>
      </c>
      <c r="DG10" s="25">
        <f>'[2]CF PND'!$BT$69</f>
        <v>0</v>
      </c>
      <c r="DH10" s="25">
        <f>'[2]CF PND'!$BT$70</f>
        <v>0</v>
      </c>
      <c r="DI10" s="25">
        <f>'[2]CF PND'!$BT$71</f>
        <v>0</v>
      </c>
      <c r="DJ10" s="25">
        <f>'[2]CF PND'!$BT$72</f>
        <v>0</v>
      </c>
      <c r="DK10" s="26">
        <f>SUM(BZ10:DJ10)</f>
        <v>124951580</v>
      </c>
      <c r="DL10" s="69"/>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1">
        <f>SUM(DL10:EV10)</f>
        <v>0</v>
      </c>
      <c r="EX10" s="69"/>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1">
        <f>SUM(EX10:GH10)</f>
        <v>0</v>
      </c>
      <c r="GJ10" s="69"/>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c r="HU10" s="71">
        <f>SUM(GJ10:HT10)</f>
        <v>0</v>
      </c>
      <c r="HV10" s="27">
        <f>'[2]CF PRB'!$BT$36</f>
        <v>5557961</v>
      </c>
      <c r="HW10" s="25">
        <f>'[2]CF PRB'!$BT$37</f>
        <v>4107073</v>
      </c>
      <c r="HX10" s="25">
        <f>'[2]CF PRB'!$BT$38</f>
        <v>3089741</v>
      </c>
      <c r="HY10" s="25">
        <f>'[2]CF PRB'!$BT$39</f>
        <v>2662015</v>
      </c>
      <c r="HZ10" s="25">
        <f>'[2]CF PRB'!$BT$40</f>
        <v>2014500</v>
      </c>
      <c r="IA10" s="25">
        <f>'[2]CF PRB'!$BT$41</f>
        <v>1519977</v>
      </c>
      <c r="IB10" s="25">
        <f>'[2]CF PRB'!$BT$42</f>
        <v>1038833</v>
      </c>
      <c r="IC10" s="25">
        <f>'[2]CF PRB'!$BT$43</f>
        <v>469104</v>
      </c>
      <c r="ID10" s="25">
        <f>'[2]CF PRB'!$BT$44</f>
        <v>267568</v>
      </c>
      <c r="IE10" s="25">
        <f>'[2]CF PRB'!$BT$45</f>
        <v>14568886</v>
      </c>
      <c r="IF10" s="25">
        <f>'[2]CF PRB'!$BT$46</f>
        <v>0</v>
      </c>
      <c r="IG10" s="25">
        <f>'[2]CF PRB'!$BT$47</f>
        <v>0</v>
      </c>
      <c r="IH10" s="25">
        <f>'[2]CF PRB'!$BT$48</f>
        <v>0</v>
      </c>
      <c r="II10" s="25">
        <f>'[2]CF PRB'!$BT$49</f>
        <v>0</v>
      </c>
      <c r="IJ10" s="25">
        <f>'[2]CF PRB'!$BT$50</f>
        <v>0</v>
      </c>
      <c r="IK10" s="25">
        <f>'[2]CF PRB'!$BT$51</f>
        <v>0</v>
      </c>
      <c r="IL10" s="25">
        <f>'[2]CF PRB'!$BT$52</f>
        <v>0</v>
      </c>
      <c r="IM10" s="25">
        <f>'[2]CF PRB'!$BT$53</f>
        <v>0</v>
      </c>
      <c r="IN10" s="25">
        <f>'[2]CF PRB'!$BT$54</f>
        <v>0</v>
      </c>
      <c r="IO10" s="25">
        <f>'[2]CF PRB'!$BT$55</f>
        <v>0</v>
      </c>
      <c r="IP10" s="25">
        <f>'[2]CF PRB'!$BT$56</f>
        <v>0</v>
      </c>
      <c r="IQ10" s="25">
        <f>'[2]CF PRB'!$BT$57</f>
        <v>0</v>
      </c>
      <c r="IR10" s="25">
        <f>'[2]CF PRB'!$BT$58</f>
        <v>0</v>
      </c>
      <c r="IS10" s="25">
        <f>'[2]CF PRB'!$BT$59</f>
        <v>0</v>
      </c>
      <c r="IT10" s="25">
        <f>'[2]CF PRB'!$BT$60</f>
        <v>0</v>
      </c>
      <c r="IU10" s="25">
        <f>'[2]CF PRB'!$BT$61</f>
        <v>0</v>
      </c>
      <c r="IV10" s="25">
        <f>'[2]CF PRB'!$BT$62</f>
        <v>0</v>
      </c>
      <c r="IW10" s="25">
        <f>'[2]CF PRB'!$BT$63</f>
        <v>0</v>
      </c>
      <c r="IX10" s="25">
        <f>'[2]CF PRB'!$BT$64</f>
        <v>0</v>
      </c>
      <c r="IY10" s="25">
        <f>'[2]CF PRB'!$BT$65</f>
        <v>0</v>
      </c>
      <c r="IZ10" s="25">
        <f>'[2]CF PRB'!$BT$66</f>
        <v>0</v>
      </c>
      <c r="JA10" s="25">
        <f>'[2]CF PRB'!$BT$67</f>
        <v>0</v>
      </c>
      <c r="JB10" s="25">
        <f>'[2]CF PRB'!$BT$68</f>
        <v>0</v>
      </c>
      <c r="JC10" s="25">
        <f>'[2]CF PRB'!$BT$69</f>
        <v>0</v>
      </c>
      <c r="JD10" s="25">
        <f>'[2]CF PRB'!$BT$70</f>
        <v>0</v>
      </c>
      <c r="JE10" s="25">
        <f>'[2]CF PRB'!$BT$71</f>
        <v>0</v>
      </c>
      <c r="JF10" s="25">
        <f>'[2]CF PRB'!$BT$72</f>
        <v>0</v>
      </c>
      <c r="JG10" s="26">
        <f>SUM(HV10:JF10)</f>
        <v>35295658</v>
      </c>
      <c r="JH10" s="69"/>
      <c r="JI10" s="70"/>
      <c r="JJ10" s="70"/>
      <c r="JK10" s="70"/>
      <c r="JL10" s="70"/>
      <c r="JM10" s="70"/>
      <c r="JN10" s="70"/>
      <c r="JO10" s="70"/>
      <c r="JP10" s="70"/>
      <c r="JQ10" s="70"/>
      <c r="JR10" s="70"/>
      <c r="JS10" s="70"/>
      <c r="JT10" s="70"/>
      <c r="JU10" s="70"/>
      <c r="JV10" s="70"/>
      <c r="JW10" s="70"/>
      <c r="JX10" s="70"/>
      <c r="JY10" s="70"/>
      <c r="JZ10" s="70"/>
      <c r="KA10" s="70"/>
      <c r="KB10" s="70"/>
      <c r="KC10" s="70"/>
      <c r="KD10" s="70"/>
      <c r="KE10" s="70"/>
      <c r="KF10" s="70"/>
      <c r="KG10" s="70"/>
      <c r="KH10" s="70"/>
      <c r="KI10" s="70"/>
      <c r="KJ10" s="70"/>
      <c r="KK10" s="70"/>
      <c r="KL10" s="70"/>
      <c r="KM10" s="70"/>
      <c r="KN10" s="70"/>
      <c r="KO10" s="70"/>
      <c r="KP10" s="70"/>
      <c r="KQ10" s="70"/>
      <c r="KR10" s="70"/>
      <c r="KS10" s="71">
        <f>SUM(JH10:KR10)</f>
        <v>0</v>
      </c>
      <c r="KT10" s="69"/>
      <c r="KU10" s="70"/>
      <c r="KV10" s="70"/>
      <c r="KW10" s="70"/>
      <c r="KX10" s="70"/>
      <c r="KY10" s="70"/>
      <c r="KZ10" s="70"/>
      <c r="LA10" s="70"/>
      <c r="LB10" s="70"/>
      <c r="LC10" s="70"/>
      <c r="LD10" s="70"/>
      <c r="LE10" s="70"/>
      <c r="LF10" s="70"/>
      <c r="LG10" s="70"/>
      <c r="LH10" s="70"/>
      <c r="LI10" s="70"/>
      <c r="LJ10" s="70"/>
      <c r="LK10" s="70"/>
      <c r="LL10" s="70"/>
      <c r="LM10" s="70"/>
      <c r="LN10" s="70"/>
      <c r="LO10" s="70"/>
      <c r="LP10" s="70"/>
      <c r="LQ10" s="70"/>
      <c r="LR10" s="70"/>
      <c r="LS10" s="70"/>
      <c r="LT10" s="70"/>
      <c r="LU10" s="70"/>
      <c r="LV10" s="70"/>
      <c r="LW10" s="70"/>
      <c r="LX10" s="70"/>
      <c r="LY10" s="70"/>
      <c r="LZ10" s="70"/>
      <c r="MA10" s="70"/>
      <c r="MB10" s="70"/>
      <c r="MC10" s="70"/>
      <c r="MD10" s="70"/>
      <c r="ME10" s="71">
        <f>SUM(KT10:MD10)</f>
        <v>0</v>
      </c>
      <c r="MF10" s="69"/>
      <c r="MG10" s="70"/>
      <c r="MH10" s="70"/>
      <c r="MI10" s="70"/>
      <c r="MJ10" s="70"/>
      <c r="MK10" s="70"/>
      <c r="ML10" s="70"/>
      <c r="MM10" s="70"/>
      <c r="MN10" s="70"/>
      <c r="MO10" s="70"/>
      <c r="MP10" s="70"/>
      <c r="MQ10" s="70"/>
      <c r="MR10" s="70"/>
      <c r="MS10" s="70"/>
      <c r="MT10" s="70"/>
      <c r="MU10" s="70"/>
      <c r="MV10" s="70"/>
      <c r="MW10" s="70"/>
      <c r="MX10" s="70"/>
      <c r="MY10" s="70"/>
      <c r="MZ10" s="70"/>
      <c r="NA10" s="70"/>
      <c r="NB10" s="70"/>
      <c r="NC10" s="70"/>
      <c r="ND10" s="70"/>
      <c r="NE10" s="70"/>
      <c r="NF10" s="70"/>
      <c r="NG10" s="70"/>
      <c r="NH10" s="70"/>
      <c r="NI10" s="70"/>
      <c r="NJ10" s="70"/>
      <c r="NK10" s="70"/>
      <c r="NL10" s="70"/>
      <c r="NM10" s="70"/>
      <c r="NN10" s="70"/>
      <c r="NO10" s="70"/>
      <c r="NP10" s="70"/>
      <c r="NQ10" s="71">
        <f>SUM(MF10:NP10)</f>
        <v>0</v>
      </c>
      <c r="NR10" s="25">
        <f>'[2]CF PS'!$BT$36</f>
        <v>1947704</v>
      </c>
      <c r="NS10" s="25">
        <f>'[2]CF PS'!$BT$37</f>
        <v>1565655</v>
      </c>
      <c r="NT10" s="25">
        <f>'[2]CF PS'!$BT$38</f>
        <v>1111745</v>
      </c>
      <c r="NU10" s="25">
        <f>'[2]CF PS'!$BT$39</f>
        <v>791619</v>
      </c>
      <c r="NV10" s="25">
        <f>'[2]CF PS'!$BT$40</f>
        <v>564569</v>
      </c>
      <c r="NW10" s="25">
        <f>'[2]CF PS'!$BT$41</f>
        <v>387400</v>
      </c>
      <c r="NX10" s="25">
        <f>'[2]CF PS'!$BT$42</f>
        <v>0</v>
      </c>
      <c r="NY10" s="25">
        <f>'[2]CF PS'!$BT$43</f>
        <v>193987</v>
      </c>
      <c r="NZ10" s="25">
        <f>'[2]CF PS'!$BT$44</f>
        <v>217207</v>
      </c>
      <c r="OA10" s="25">
        <f>'[2]CF PS'!$BT$45</f>
        <v>215010</v>
      </c>
      <c r="OB10" s="25">
        <f>'[2]CF PS'!$BT$46</f>
        <v>0</v>
      </c>
      <c r="OC10" s="25">
        <f>'[2]CF PS'!$BT$47</f>
        <v>0</v>
      </c>
      <c r="OD10" s="25">
        <f>'[2]CF PS'!$BT$48</f>
        <v>0</v>
      </c>
      <c r="OE10" s="25">
        <f>'[2]CF PS'!$BT$49</f>
        <v>0</v>
      </c>
      <c r="OF10" s="25">
        <f>'[2]CF PS'!$BT$50</f>
        <v>0</v>
      </c>
      <c r="OG10" s="25">
        <f>'[2]CF PS'!$BT$51</f>
        <v>0</v>
      </c>
      <c r="OH10" s="25">
        <f>'[2]CF PS'!$BT$52</f>
        <v>0</v>
      </c>
      <c r="OI10" s="25">
        <f>'[2]CF PS'!$BT$53</f>
        <v>0</v>
      </c>
      <c r="OJ10" s="25">
        <f>'[2]CF PS'!$BT$54</f>
        <v>0</v>
      </c>
      <c r="OK10" s="25">
        <f>'[2]CF PS'!$BT$55</f>
        <v>0</v>
      </c>
      <c r="OL10" s="25">
        <f>'[2]CF PS'!$BT$56</f>
        <v>0</v>
      </c>
      <c r="OM10" s="25">
        <f>'[2]CF PS'!$BT$57</f>
        <v>0</v>
      </c>
      <c r="ON10" s="25">
        <f>'[2]CF PS'!$BT$58</f>
        <v>0</v>
      </c>
      <c r="OO10" s="25">
        <f>'[2]CF PS'!$BT$59</f>
        <v>0</v>
      </c>
      <c r="OP10" s="25">
        <f>'[2]CF PS'!$BT$60</f>
        <v>0</v>
      </c>
      <c r="OQ10" s="25">
        <f>'[2]CF PS'!$BT$61</f>
        <v>0</v>
      </c>
      <c r="OR10" s="25">
        <f>'[2]CF PS'!$BT$62</f>
        <v>0</v>
      </c>
      <c r="OS10" s="25">
        <f>'[2]CF PS'!$BT$63</f>
        <v>0</v>
      </c>
      <c r="OT10" s="25">
        <f>'[2]CF PS'!$BT$64</f>
        <v>0</v>
      </c>
      <c r="OU10" s="25">
        <f>'[2]CF PS'!$BT$65</f>
        <v>0</v>
      </c>
      <c r="OV10" s="25">
        <f>'[2]CF PS'!$BT$66</f>
        <v>0</v>
      </c>
      <c r="OW10" s="25">
        <f>'[2]CF PS'!$BT$67</f>
        <v>0</v>
      </c>
      <c r="OX10" s="25">
        <f>'[2]CF PS'!$BT$68</f>
        <v>0</v>
      </c>
      <c r="OY10" s="25">
        <f>'[2]CF PS'!$BT$69</f>
        <v>0</v>
      </c>
      <c r="OZ10" s="25">
        <f>'[2]CF PS'!$BT$70</f>
        <v>0</v>
      </c>
      <c r="PA10" s="25">
        <f>'[2]CF PS'!$BT$71</f>
        <v>0</v>
      </c>
      <c r="PB10" s="25">
        <f>'[2]CF PS'!$BT$72</f>
        <v>0</v>
      </c>
      <c r="PC10" s="26">
        <f>SUM(NR10:PB10)</f>
        <v>6994896</v>
      </c>
    </row>
    <row r="11" spans="1:423" ht="16.5" thickBot="1" x14ac:dyDescent="0.35">
      <c r="A11" s="47" t="s">
        <v>9</v>
      </c>
      <c r="B11" s="40">
        <f>IF(AND(B9&lt;&gt;0,B10&lt;&gt;0),(B9-B10)/B10,IF(AND(B9=0,B10=0),"",IF(AND(B9="",B10=""),"",IF(AND(B9=0,B10=""),"", IF(AND(B9="",B10=0),"",1)))))</f>
        <v>1.2348448353846663E-4</v>
      </c>
      <c r="C11" s="40">
        <f t="shared" ref="C11" si="263">IF(AND(C9&lt;&gt;0,C10&lt;&gt;0),(C9-C10)/C10,IF(AND(C9=0,C10=0),"",IF(AND(C9="",C10=""),"",IF(AND(C9=0,C10=""),"", IF(AND(C9="",C10=0),"",1)))))</f>
        <v>1.2396480348810063E-4</v>
      </c>
      <c r="D11" s="40">
        <f t="shared" ref="D11" si="264">IF(AND(D9&lt;&gt;0,D10&lt;&gt;0),(D9-D10)/D10,IF(AND(D9=0,D10=0),"",IF(AND(D9="",D10=""),"",IF(AND(D9=0,D10=""),"", IF(AND(D9="",D10=0),"",1)))))</f>
        <v>1.195289399291646E-4</v>
      </c>
      <c r="E11" s="40">
        <f t="shared" ref="E11" si="265">IF(AND(E9&lt;&gt;0,E10&lt;&gt;0),(E9-E10)/E10,IF(AND(E9=0,E10=0),"",IF(AND(E9="",E10=""),"",IF(AND(E9=0,E10=""),"", IF(AND(E9="",E10=0),"",1)))))</f>
        <v>1.2139360414408808E-4</v>
      </c>
      <c r="F11" s="40">
        <f t="shared" ref="F11" si="266">IF(AND(F9&lt;&gt;0,F10&lt;&gt;0),(F9-F10)/F10,IF(AND(F9=0,F10=0),"",IF(AND(F9="",F10=""),"",IF(AND(F9=0,F10=""),"", IF(AND(F9="",F10=0),"",1)))))</f>
        <v>1.0958104645063389E-4</v>
      </c>
      <c r="G11" s="40">
        <f t="shared" ref="G11" si="267">IF(AND(G9&lt;&gt;0,G10&lt;&gt;0),(G9-G10)/G10,IF(AND(G9=0,G10=0),"",IF(AND(G9="",G10=""),"",IF(AND(G9=0,G10=""),"", IF(AND(G9="",G10=0),"",1)))))</f>
        <v>1.4473431285885762E-4</v>
      </c>
      <c r="H11" s="40">
        <f t="shared" ref="H11" si="268">IF(AND(H9&lt;&gt;0,H10&lt;&gt;0),(H9-H10)/H10,IF(AND(H9=0,H10=0),"",IF(AND(H9="",H10=""),"",IF(AND(H9=0,H10=""),"", IF(AND(H9="",H10=0),"",1)))))</f>
        <v>1</v>
      </c>
      <c r="I11" s="40">
        <f t="shared" ref="I11" si="269">IF(AND(I9&lt;&gt;0,I10&lt;&gt;0),(I9-I10)/I10,IF(AND(I9=0,I10=0),"",IF(AND(I9="",I10=""),"",IF(AND(I9=0,I10=""),"", IF(AND(I9="",I10=0),"",1)))))</f>
        <v>1</v>
      </c>
      <c r="J11" s="40">
        <f t="shared" ref="J11" si="270">IF(AND(J9&lt;&gt;0,J10&lt;&gt;0),(J9-J10)/J10,IF(AND(J9=0,J10=0),"",IF(AND(J9="",J10=""),"",IF(AND(J9=0,J10=""),"", IF(AND(J9="",J10=0),"",1)))))</f>
        <v>1</v>
      </c>
      <c r="K11" s="40">
        <f t="shared" ref="K11" si="271">IF(AND(K9&lt;&gt;0,K10&lt;&gt;0),(K9-K10)/K10,IF(AND(K9=0,K10=0),"",IF(AND(K9="",K10=""),"",IF(AND(K9=0,K10=""),"", IF(AND(K9="",K10=0),"",1)))))</f>
        <v>1</v>
      </c>
      <c r="L11" s="40">
        <f t="shared" ref="L11" si="272">IF(AND(L9&lt;&gt;0,L10&lt;&gt;0),(L9-L10)/L10,IF(AND(L9=0,L10=0),"",IF(AND(L9="",L10=""),"",IF(AND(L9=0,L10=""),"", IF(AND(L9="",L10=0),"",1)))))</f>
        <v>1</v>
      </c>
      <c r="M11" s="40" t="str">
        <f t="shared" ref="M11" si="273">IF(AND(M9&lt;&gt;0,M10&lt;&gt;0),(M9-M10)/M10,IF(AND(M9=0,M10=0),"",IF(AND(M9="",M10=""),"",IF(AND(M9=0,M10=""),"", IF(AND(M9="",M10=0),"",1)))))</f>
        <v/>
      </c>
      <c r="N11" s="40" t="str">
        <f t="shared" ref="N11" si="274">IF(AND(N9&lt;&gt;0,N10&lt;&gt;0),(N9-N10)/N10,IF(AND(N9=0,N10=0),"",IF(AND(N9="",N10=""),"",IF(AND(N9=0,N10=""),"", IF(AND(N9="",N10=0),"",1)))))</f>
        <v/>
      </c>
      <c r="O11" s="40" t="str">
        <f t="shared" ref="O11" si="275">IF(AND(O9&lt;&gt;0,O10&lt;&gt;0),(O9-O10)/O10,IF(AND(O9=0,O10=0),"",IF(AND(O9="",O10=""),"",IF(AND(O9=0,O10=""),"", IF(AND(O9="",O10=0),"",1)))))</f>
        <v/>
      </c>
      <c r="P11" s="40" t="str">
        <f t="shared" ref="P11" si="276">IF(AND(P9&lt;&gt;0,P10&lt;&gt;0),(P9-P10)/P10,IF(AND(P9=0,P10=0),"",IF(AND(P9="",P10=""),"",IF(AND(P9=0,P10=""),"", IF(AND(P9="",P10=0),"",1)))))</f>
        <v/>
      </c>
      <c r="Q11" s="40" t="str">
        <f t="shared" ref="Q11" si="277">IF(AND(Q9&lt;&gt;0,Q10&lt;&gt;0),(Q9-Q10)/Q10,IF(AND(Q9=0,Q10=0),"",IF(AND(Q9="",Q10=""),"",IF(AND(Q9=0,Q10=""),"", IF(AND(Q9="",Q10=0),"",1)))))</f>
        <v/>
      </c>
      <c r="R11" s="40" t="str">
        <f t="shared" ref="R11" si="278">IF(AND(R9&lt;&gt;0,R10&lt;&gt;0),(R9-R10)/R10,IF(AND(R9=0,R10=0),"",IF(AND(R9="",R10=""),"",IF(AND(R9=0,R10=""),"", IF(AND(R9="",R10=0),"",1)))))</f>
        <v/>
      </c>
      <c r="S11" s="40" t="str">
        <f t="shared" ref="S11" si="279">IF(AND(S9&lt;&gt;0,S10&lt;&gt;0),(S9-S10)/S10,IF(AND(S9=0,S10=0),"",IF(AND(S9="",S10=""),"",IF(AND(S9=0,S10=""),"", IF(AND(S9="",S10=0),"",1)))))</f>
        <v/>
      </c>
      <c r="T11" s="40" t="str">
        <f t="shared" ref="T11" si="280">IF(AND(T9&lt;&gt;0,T10&lt;&gt;0),(T9-T10)/T10,IF(AND(T9=0,T10=0),"",IF(AND(T9="",T10=""),"",IF(AND(T9=0,T10=""),"", IF(AND(T9="",T10=0),"",1)))))</f>
        <v/>
      </c>
      <c r="U11" s="40" t="str">
        <f t="shared" ref="U11" si="281">IF(AND(U9&lt;&gt;0,U10&lt;&gt;0),(U9-U10)/U10,IF(AND(U9=0,U10=0),"",IF(AND(U9="",U10=""),"",IF(AND(U9=0,U10=""),"", IF(AND(U9="",U10=0),"",1)))))</f>
        <v/>
      </c>
      <c r="V11" s="40" t="str">
        <f t="shared" ref="V11" si="282">IF(AND(V9&lt;&gt;0,V10&lt;&gt;0),(V9-V10)/V10,IF(AND(V9=0,V10=0),"",IF(AND(V9="",V10=""),"",IF(AND(V9=0,V10=""),"", IF(AND(V9="",V10=0),"",1)))))</f>
        <v/>
      </c>
      <c r="W11" s="40" t="str">
        <f t="shared" ref="W11" si="283">IF(AND(W9&lt;&gt;0,W10&lt;&gt;0),(W9-W10)/W10,IF(AND(W9=0,W10=0),"",IF(AND(W9="",W10=""),"",IF(AND(W9=0,W10=""),"", IF(AND(W9="",W10=0),"",1)))))</f>
        <v/>
      </c>
      <c r="X11" s="40" t="str">
        <f t="shared" ref="X11:AL11" si="284">IF(AND(X9&lt;&gt;0,X10&lt;&gt;0),(X9-X10)/X10,IF(AND(X9=0,X10=0),"",IF(AND(X9="",X10=""),"",IF(AND(X9=0,X10=""),"", IF(AND(X9="",X10=0),"",1)))))</f>
        <v/>
      </c>
      <c r="Y11" s="40" t="str">
        <f t="shared" si="284"/>
        <v/>
      </c>
      <c r="Z11" s="40" t="str">
        <f t="shared" si="284"/>
        <v/>
      </c>
      <c r="AA11" s="40" t="str">
        <f t="shared" si="284"/>
        <v/>
      </c>
      <c r="AB11" s="40" t="str">
        <f t="shared" si="284"/>
        <v/>
      </c>
      <c r="AC11" s="40" t="str">
        <f t="shared" si="284"/>
        <v/>
      </c>
      <c r="AD11" s="40" t="str">
        <f t="shared" si="284"/>
        <v/>
      </c>
      <c r="AE11" s="40" t="str">
        <f t="shared" si="284"/>
        <v/>
      </c>
      <c r="AF11" s="40" t="str">
        <f t="shared" si="284"/>
        <v/>
      </c>
      <c r="AG11" s="40" t="str">
        <f t="shared" si="284"/>
        <v/>
      </c>
      <c r="AH11" s="40" t="str">
        <f t="shared" si="284"/>
        <v/>
      </c>
      <c r="AI11" s="40" t="str">
        <f t="shared" si="284"/>
        <v/>
      </c>
      <c r="AJ11" s="40" t="str">
        <f t="shared" si="284"/>
        <v/>
      </c>
      <c r="AK11" s="40" t="str">
        <f t="shared" si="284"/>
        <v/>
      </c>
      <c r="AL11" s="40" t="str">
        <f t="shared" si="284"/>
        <v/>
      </c>
      <c r="AM11" s="41">
        <f t="shared" ref="AM11" si="285">IF(AND(AM9&lt;&gt;0,AM10&lt;&gt;0),(AM9-AM10)/AM10,IF(AND(AM9=0,AM10=0),"",IF(AND(AM9="",AM10=""),"",IF(AND(AM9=0,AM10=""),"", IF(AND(AM9="",AM10=0),"",1)))))</f>
        <v>3.7025427586101833E-2</v>
      </c>
      <c r="AN11" s="39">
        <f t="shared" ref="AN11" si="286">IF(AND(AN9&lt;&gt;0,AN10&lt;&gt;0),(AN9-AN10)/AN10,IF(AND(AN9=0,AN10=0),"",IF(AND(AN9="",AN10=""),"",IF(AND(AN9=0,AN10=""),"", IF(AND(AN9="",AN10=0),"",1)))))</f>
        <v>9.8227781295024858E-5</v>
      </c>
      <c r="AO11" s="40">
        <f t="shared" ref="AO11" si="287">IF(AND(AO9&lt;&gt;0,AO10&lt;&gt;0),(AO9-AO10)/AO10,IF(AND(AO9=0,AO10=0),"",IF(AND(AO9="",AO10=""),"",IF(AND(AO9=0,AO10=""),"", IF(AND(AO9="",AO10=0),"",1)))))</f>
        <v>1.1831867584048328E-4</v>
      </c>
      <c r="AP11" s="40">
        <f t="shared" ref="AP11" si="288">IF(AND(AP9&lt;&gt;0,AP10&lt;&gt;0),(AP9-AP10)/AP10,IF(AND(AP9=0,AP10=0),"",IF(AND(AP9="",AP10=""),"",IF(AND(AP9=0,AP10=""),"", IF(AND(AP9="",AP10=0),"",1)))))</f>
        <v>1.2956412395849249E-4</v>
      </c>
      <c r="AQ11" s="40">
        <f t="shared" ref="AQ11" si="289">IF(AND(AQ9&lt;&gt;0,AQ10&lt;&gt;0),(AQ9-AQ10)/AQ10,IF(AND(AQ9=0,AQ10=0),"",IF(AND(AQ9="",AQ10=""),"",IF(AND(AQ9=0,AQ10=""),"", IF(AND(AQ9="",AQ10=0),"",1)))))</f>
        <v>9.6379892558056104E-5</v>
      </c>
      <c r="AR11" s="40">
        <f t="shared" ref="AR11" si="290">IF(AND(AR9&lt;&gt;0,AR10&lt;&gt;0),(AR9-AR10)/AR10,IF(AND(AR9=0,AR10=0),"",IF(AND(AR9="",AR10=""),"",IF(AND(AR9=0,AR10=""),"", IF(AND(AR9="",AR10=0),"",1)))))</f>
        <v>1.3157807870698085E-4</v>
      </c>
      <c r="AS11" s="40">
        <f t="shared" ref="AS11" si="291">IF(AND(AS9&lt;&gt;0,AS10&lt;&gt;0),(AS9-AS10)/AS10,IF(AND(AS9=0,AS10=0),"",IF(AND(AS9="",AS10=""),"",IF(AND(AS9=0,AS10=""),"", IF(AND(AS9="",AS10=0),"",1)))))</f>
        <v>2.975397849714118E-5</v>
      </c>
      <c r="AT11" s="40">
        <f t="shared" ref="AT11" si="292">IF(AND(AT9&lt;&gt;0,AT10&lt;&gt;0),(AT9-AT10)/AT10,IF(AND(AT9=0,AT10=0),"",IF(AND(AT9="",AT10=""),"",IF(AND(AT9=0,AT10=""),"", IF(AND(AT9="",AT10=0),"",1)))))</f>
        <v>-0.69929875090376348</v>
      </c>
      <c r="AU11" s="40">
        <f t="shared" ref="AU11" si="293">IF(AND(AU9&lt;&gt;0,AU10&lt;&gt;0),(AU9-AU10)/AU10,IF(AND(AU9=0,AU10=0),"",IF(AND(AU9="",AU10=""),"",IF(AND(AU9=0,AU10=""),"", IF(AND(AU9="",AU10=0),"",1)))))</f>
        <v>1</v>
      </c>
      <c r="AV11" s="40">
        <f t="shared" ref="AV11" si="294">IF(AND(AV9&lt;&gt;0,AV10&lt;&gt;0),(AV9-AV10)/AV10,IF(AND(AV9=0,AV10=0),"",IF(AND(AV9="",AV10=""),"",IF(AND(AV9=0,AV10=""),"", IF(AND(AV9="",AV10=0),"",1)))))</f>
        <v>1</v>
      </c>
      <c r="AW11" s="40" t="str">
        <f t="shared" ref="AW11" si="295">IF(AND(AW9&lt;&gt;0,AW10&lt;&gt;0),(AW9-AW10)/AW10,IF(AND(AW9=0,AW10=0),"",IF(AND(AW9="",AW10=""),"",IF(AND(AW9=0,AW10=""),"", IF(AND(AW9="",AW10=0),"",1)))))</f>
        <v/>
      </c>
      <c r="AX11" s="40" t="str">
        <f t="shared" ref="AX11" si="296">IF(AND(AX9&lt;&gt;0,AX10&lt;&gt;0),(AX9-AX10)/AX10,IF(AND(AX9=0,AX10=0),"",IF(AND(AX9="",AX10=""),"",IF(AND(AX9=0,AX10=""),"", IF(AND(AX9="",AX10=0),"",1)))))</f>
        <v/>
      </c>
      <c r="AY11" s="40" t="str">
        <f t="shared" ref="AY11" si="297">IF(AND(AY9&lt;&gt;0,AY10&lt;&gt;0),(AY9-AY10)/AY10,IF(AND(AY9=0,AY10=0),"",IF(AND(AY9="",AY10=""),"",IF(AND(AY9=0,AY10=""),"", IF(AND(AY9="",AY10=0),"",1)))))</f>
        <v/>
      </c>
      <c r="AZ11" s="40" t="str">
        <f t="shared" ref="AZ11" si="298">IF(AND(AZ9&lt;&gt;0,AZ10&lt;&gt;0),(AZ9-AZ10)/AZ10,IF(AND(AZ9=0,AZ10=0),"",IF(AND(AZ9="",AZ10=""),"",IF(AND(AZ9=0,AZ10=""),"", IF(AND(AZ9="",AZ10=0),"",1)))))</f>
        <v/>
      </c>
      <c r="BA11" s="40" t="str">
        <f t="shared" ref="BA11" si="299">IF(AND(BA9&lt;&gt;0,BA10&lt;&gt;0),(BA9-BA10)/BA10,IF(AND(BA9=0,BA10=0),"",IF(AND(BA9="",BA10=""),"",IF(AND(BA9=0,BA10=""),"", IF(AND(BA9="",BA10=0),"",1)))))</f>
        <v/>
      </c>
      <c r="BB11" s="40" t="str">
        <f t="shared" ref="BB11" si="300">IF(AND(BB9&lt;&gt;0,BB10&lt;&gt;0),(BB9-BB10)/BB10,IF(AND(BB9=0,BB10=0),"",IF(AND(BB9="",BB10=""),"",IF(AND(BB9=0,BB10=""),"", IF(AND(BB9="",BB10=0),"",1)))))</f>
        <v/>
      </c>
      <c r="BC11" s="40" t="str">
        <f t="shared" ref="BC11" si="301">IF(AND(BC9&lt;&gt;0,BC10&lt;&gt;0),(BC9-BC10)/BC10,IF(AND(BC9=0,BC10=0),"",IF(AND(BC9="",BC10=""),"",IF(AND(BC9=0,BC10=""),"", IF(AND(BC9="",BC10=0),"",1)))))</f>
        <v/>
      </c>
      <c r="BD11" s="40" t="str">
        <f t="shared" ref="BD11" si="302">IF(AND(BD9&lt;&gt;0,BD10&lt;&gt;0),(BD9-BD10)/BD10,IF(AND(BD9=0,BD10=0),"",IF(AND(BD9="",BD10=""),"",IF(AND(BD9=0,BD10=""),"", IF(AND(BD9="",BD10=0),"",1)))))</f>
        <v/>
      </c>
      <c r="BE11" s="40" t="str">
        <f t="shared" ref="BE11" si="303">IF(AND(BE9&lt;&gt;0,BE10&lt;&gt;0),(BE9-BE10)/BE10,IF(AND(BE9=0,BE10=0),"",IF(AND(BE9="",BE10=""),"",IF(AND(BE9=0,BE10=""),"", IF(AND(BE9="",BE10=0),"",1)))))</f>
        <v/>
      </c>
      <c r="BF11" s="40" t="str">
        <f t="shared" ref="BF11" si="304">IF(AND(BF9&lt;&gt;0,BF10&lt;&gt;0),(BF9-BF10)/BF10,IF(AND(BF9=0,BF10=0),"",IF(AND(BF9="",BF10=""),"",IF(AND(BF9=0,BF10=""),"", IF(AND(BF9="",BF10=0),"",1)))))</f>
        <v/>
      </c>
      <c r="BG11" s="40" t="str">
        <f t="shared" ref="BG11" si="305">IF(AND(BG9&lt;&gt;0,BG10&lt;&gt;0),(BG9-BG10)/BG10,IF(AND(BG9=0,BG10=0),"",IF(AND(BG9="",BG10=""),"",IF(AND(BG9=0,BG10=""),"", IF(AND(BG9="",BG10=0),"",1)))))</f>
        <v/>
      </c>
      <c r="BH11" s="40" t="str">
        <f t="shared" ref="BH11" si="306">IF(AND(BH9&lt;&gt;0,BH10&lt;&gt;0),(BH9-BH10)/BH10,IF(AND(BH9=0,BH10=0),"",IF(AND(BH9="",BH10=""),"",IF(AND(BH9=0,BH10=""),"", IF(AND(BH9="",BH10=0),"",1)))))</f>
        <v/>
      </c>
      <c r="BI11" s="40" t="str">
        <f t="shared" ref="BI11" si="307">IF(AND(BI9&lt;&gt;0,BI10&lt;&gt;0),(BI9-BI10)/BI10,IF(AND(BI9=0,BI10=0),"",IF(AND(BI9="",BI10=""),"",IF(AND(BI9=0,BI10=""),"", IF(AND(BI9="",BI10=0),"",1)))))</f>
        <v/>
      </c>
      <c r="BJ11" s="40" t="str">
        <f t="shared" ref="BJ11:BX11" si="308">IF(AND(BJ9&lt;&gt;0,BJ10&lt;&gt;0),(BJ9-BJ10)/BJ10,IF(AND(BJ9=0,BJ10=0),"",IF(AND(BJ9="",BJ10=""),"",IF(AND(BJ9=0,BJ10=""),"", IF(AND(BJ9="",BJ10=0),"",1)))))</f>
        <v/>
      </c>
      <c r="BK11" s="40" t="str">
        <f t="shared" si="308"/>
        <v/>
      </c>
      <c r="BL11" s="40" t="str">
        <f t="shared" si="308"/>
        <v/>
      </c>
      <c r="BM11" s="40" t="str">
        <f t="shared" si="308"/>
        <v/>
      </c>
      <c r="BN11" s="40" t="str">
        <f t="shared" si="308"/>
        <v/>
      </c>
      <c r="BO11" s="40" t="str">
        <f t="shared" si="308"/>
        <v/>
      </c>
      <c r="BP11" s="40" t="str">
        <f t="shared" si="308"/>
        <v/>
      </c>
      <c r="BQ11" s="40" t="str">
        <f t="shared" si="308"/>
        <v/>
      </c>
      <c r="BR11" s="40" t="str">
        <f t="shared" si="308"/>
        <v/>
      </c>
      <c r="BS11" s="40" t="str">
        <f t="shared" si="308"/>
        <v/>
      </c>
      <c r="BT11" s="40" t="str">
        <f t="shared" si="308"/>
        <v/>
      </c>
      <c r="BU11" s="40" t="str">
        <f t="shared" si="308"/>
        <v/>
      </c>
      <c r="BV11" s="40" t="str">
        <f t="shared" si="308"/>
        <v/>
      </c>
      <c r="BW11" s="40" t="str">
        <f t="shared" si="308"/>
        <v/>
      </c>
      <c r="BX11" s="40" t="str">
        <f t="shared" si="308"/>
        <v/>
      </c>
      <c r="BY11" s="41">
        <f t="shared" ref="BY11" si="309">IF(AND(BY9&lt;&gt;0,BY10&lt;&gt;0),(BY9-BY10)/BY10,IF(AND(BY9=0,BY10=0),"",IF(AND(BY9="",BY10=""),"",IF(AND(BY9=0,BY10=""),"", IF(AND(BY9="",BY10=0),"",1)))))</f>
        <v>-7.2242710205287067E-2</v>
      </c>
      <c r="BZ11" s="39">
        <f t="shared" ref="BZ11" si="310">IF(AND(BZ9&lt;&gt;0,BZ10&lt;&gt;0),(BZ9-BZ10)/BZ10,IF(AND(BZ9=0,BZ10=0),"",IF(AND(BZ9="",BZ10=""),"",IF(AND(BZ9=0,BZ10=""),"", IF(AND(BZ9="",BZ10=0),"",1)))))</f>
        <v>1.3041088409957214E-4</v>
      </c>
      <c r="CA11" s="40">
        <f t="shared" ref="CA11" si="311">IF(AND(CA9&lt;&gt;0,CA10&lt;&gt;0),(CA9-CA10)/CA10,IF(AND(CA9=0,CA10=0),"",IF(AND(CA9="",CA10=""),"",IF(AND(CA9=0,CA10=""),"", IF(AND(CA9="",CA10=0),"",1)))))</f>
        <v>1.2164286006565212E-4</v>
      </c>
      <c r="CB11" s="40">
        <f t="shared" ref="CB11" si="312">IF(AND(CB9&lt;&gt;0,CB10&lt;&gt;0),(CB9-CB10)/CB10,IF(AND(CB9=0,CB10=0),"",IF(AND(CB9="",CB10=""),"",IF(AND(CB9=0,CB10=""),"", IF(AND(CB9="",CB10=0),"",1)))))</f>
        <v>1.211470204231968E-4</v>
      </c>
      <c r="CC11" s="40">
        <f t="shared" ref="CC11" si="313">IF(AND(CC9&lt;&gt;0,CC10&lt;&gt;0),(CC9-CC10)/CC10,IF(AND(CC9=0,CC10=0),"",IF(AND(CC9="",CC10=""),"",IF(AND(CC9=0,CC10=""),"", IF(AND(CC9="",CC10=0),"",1)))))</f>
        <v>1.3147041453545957E-4</v>
      </c>
      <c r="CD11" s="40">
        <f t="shared" ref="CD11" si="314">IF(AND(CD9&lt;&gt;0,CD10&lt;&gt;0),(CD9-CD10)/CD10,IF(AND(CD9=0,CD10=0),"",IF(AND(CD9="",CD10=""),"",IF(AND(CD9=0,CD10=""),"", IF(AND(CD9="",CD10=0),"",1)))))</f>
        <v>1.2550207267273918E-4</v>
      </c>
      <c r="CE11" s="40">
        <f t="shared" ref="CE11" si="315">IF(AND(CE9&lt;&gt;0,CE10&lt;&gt;0),(CE9-CE10)/CE10,IF(AND(CE9=0,CE10=0),"",IF(AND(CE9="",CE10=""),"",IF(AND(CE9=0,CE10=""),"", IF(AND(CE9="",CE10=0),"",1)))))</f>
        <v>1.2248623949396643E-4</v>
      </c>
      <c r="CF11" s="40">
        <f t="shared" ref="CF11" si="316">IF(AND(CF9&lt;&gt;0,CF10&lt;&gt;0),(CF9-CF10)/CF10,IF(AND(CF9=0,CF10=0),"",IF(AND(CF9="",CF10=""),"",IF(AND(CF9=0,CF10=""),"", IF(AND(CF9="",CF10=0),"",1)))))</f>
        <v>1.2060727880142638E-4</v>
      </c>
      <c r="CG11" s="40">
        <f t="shared" ref="CG11" si="317">IF(AND(CG9&lt;&gt;0,CG10&lt;&gt;0),(CG9-CG10)/CG10,IF(AND(CG9=0,CG10=0),"",IF(AND(CG9="",CG10=""),"",IF(AND(CG9=0,CG10=""),"", IF(AND(CG9="",CG10=0),"",1)))))</f>
        <v>-4.5486227024393117E-2</v>
      </c>
      <c r="CH11" s="40">
        <f t="shared" ref="CH11" si="318">IF(AND(CH9&lt;&gt;0,CH10&lt;&gt;0),(CH9-CH10)/CH10,IF(AND(CH9=0,CH10=0),"",IF(AND(CH9="",CH10=""),"",IF(AND(CH9=0,CH10=""),"", IF(AND(CH9="",CH10=0),"",1)))))</f>
        <v>-1.1086029181300791E-2</v>
      </c>
      <c r="CI11" s="40">
        <f t="shared" ref="CI11" si="319">IF(AND(CI9&lt;&gt;0,CI10&lt;&gt;0),(CI9-CI10)/CI10,IF(AND(CI9=0,CI10=0),"",IF(AND(CI9="",CI10=""),"",IF(AND(CI9=0,CI10=""),"", IF(AND(CI9="",CI10=0),"",1)))))</f>
        <v>1</v>
      </c>
      <c r="CJ11" s="40">
        <f t="shared" ref="CJ11" si="320">IF(AND(CJ9&lt;&gt;0,CJ10&lt;&gt;0),(CJ9-CJ10)/CJ10,IF(AND(CJ9=0,CJ10=0),"",IF(AND(CJ9="",CJ10=""),"",IF(AND(CJ9=0,CJ10=""),"", IF(AND(CJ9="",CJ10=0),"",1)))))</f>
        <v>1</v>
      </c>
      <c r="CK11" s="40" t="str">
        <f t="shared" ref="CK11" si="321">IF(AND(CK9&lt;&gt;0,CK10&lt;&gt;0),(CK9-CK10)/CK10,IF(AND(CK9=0,CK10=0),"",IF(AND(CK9="",CK10=""),"",IF(AND(CK9=0,CK10=""),"", IF(AND(CK9="",CK10=0),"",1)))))</f>
        <v/>
      </c>
      <c r="CL11" s="40" t="str">
        <f t="shared" ref="CL11" si="322">IF(AND(CL9&lt;&gt;0,CL10&lt;&gt;0),(CL9-CL10)/CL10,IF(AND(CL9=0,CL10=0),"",IF(AND(CL9="",CL10=""),"",IF(AND(CL9=0,CL10=""),"", IF(AND(CL9="",CL10=0),"",1)))))</f>
        <v/>
      </c>
      <c r="CM11" s="40" t="str">
        <f t="shared" ref="CM11" si="323">IF(AND(CM9&lt;&gt;0,CM10&lt;&gt;0),(CM9-CM10)/CM10,IF(AND(CM9=0,CM10=0),"",IF(AND(CM9="",CM10=""),"",IF(AND(CM9=0,CM10=""),"", IF(AND(CM9="",CM10=0),"",1)))))</f>
        <v/>
      </c>
      <c r="CN11" s="40" t="str">
        <f t="shared" ref="CN11" si="324">IF(AND(CN9&lt;&gt;0,CN10&lt;&gt;0),(CN9-CN10)/CN10,IF(AND(CN9=0,CN10=0),"",IF(AND(CN9="",CN10=""),"",IF(AND(CN9=0,CN10=""),"", IF(AND(CN9="",CN10=0),"",1)))))</f>
        <v/>
      </c>
      <c r="CO11" s="40" t="str">
        <f t="shared" ref="CO11" si="325">IF(AND(CO9&lt;&gt;0,CO10&lt;&gt;0),(CO9-CO10)/CO10,IF(AND(CO9=0,CO10=0),"",IF(AND(CO9="",CO10=""),"",IF(AND(CO9=0,CO10=""),"", IF(AND(CO9="",CO10=0),"",1)))))</f>
        <v/>
      </c>
      <c r="CP11" s="40" t="str">
        <f t="shared" ref="CP11" si="326">IF(AND(CP9&lt;&gt;0,CP10&lt;&gt;0),(CP9-CP10)/CP10,IF(AND(CP9=0,CP10=0),"",IF(AND(CP9="",CP10=""),"",IF(AND(CP9=0,CP10=""),"", IF(AND(CP9="",CP10=0),"",1)))))</f>
        <v/>
      </c>
      <c r="CQ11" s="40" t="str">
        <f t="shared" ref="CQ11" si="327">IF(AND(CQ9&lt;&gt;0,CQ10&lt;&gt;0),(CQ9-CQ10)/CQ10,IF(AND(CQ9=0,CQ10=0),"",IF(AND(CQ9="",CQ10=""),"",IF(AND(CQ9=0,CQ10=""),"", IF(AND(CQ9="",CQ10=0),"",1)))))</f>
        <v/>
      </c>
      <c r="CR11" s="40" t="str">
        <f t="shared" ref="CR11" si="328">IF(AND(CR9&lt;&gt;0,CR10&lt;&gt;0),(CR9-CR10)/CR10,IF(AND(CR9=0,CR10=0),"",IF(AND(CR9="",CR10=""),"",IF(AND(CR9=0,CR10=""),"", IF(AND(CR9="",CR10=0),"",1)))))</f>
        <v/>
      </c>
      <c r="CS11" s="40" t="str">
        <f t="shared" ref="CS11" si="329">IF(AND(CS9&lt;&gt;0,CS10&lt;&gt;0),(CS9-CS10)/CS10,IF(AND(CS9=0,CS10=0),"",IF(AND(CS9="",CS10=""),"",IF(AND(CS9=0,CS10=""),"", IF(AND(CS9="",CS10=0),"",1)))))</f>
        <v/>
      </c>
      <c r="CT11" s="40" t="str">
        <f t="shared" ref="CT11" si="330">IF(AND(CT9&lt;&gt;0,CT10&lt;&gt;0),(CT9-CT10)/CT10,IF(AND(CT9=0,CT10=0),"",IF(AND(CT9="",CT10=""),"",IF(AND(CT9=0,CT10=""),"", IF(AND(CT9="",CT10=0),"",1)))))</f>
        <v/>
      </c>
      <c r="CU11" s="40" t="str">
        <f t="shared" ref="CU11" si="331">IF(AND(CU9&lt;&gt;0,CU10&lt;&gt;0),(CU9-CU10)/CU10,IF(AND(CU9=0,CU10=0),"",IF(AND(CU9="",CU10=""),"",IF(AND(CU9=0,CU10=""),"", IF(AND(CU9="",CU10=0),"",1)))))</f>
        <v/>
      </c>
      <c r="CV11" s="40" t="str">
        <f t="shared" ref="CV11:DJ11" si="332">IF(AND(CV9&lt;&gt;0,CV10&lt;&gt;0),(CV9-CV10)/CV10,IF(AND(CV9=0,CV10=0),"",IF(AND(CV9="",CV10=""),"",IF(AND(CV9=0,CV10=""),"", IF(AND(CV9="",CV10=0),"",1)))))</f>
        <v/>
      </c>
      <c r="CW11" s="40" t="str">
        <f t="shared" si="332"/>
        <v/>
      </c>
      <c r="CX11" s="40" t="str">
        <f t="shared" si="332"/>
        <v/>
      </c>
      <c r="CY11" s="40" t="str">
        <f t="shared" si="332"/>
        <v/>
      </c>
      <c r="CZ11" s="40" t="str">
        <f t="shared" si="332"/>
        <v/>
      </c>
      <c r="DA11" s="40" t="str">
        <f t="shared" si="332"/>
        <v/>
      </c>
      <c r="DB11" s="40" t="str">
        <f t="shared" si="332"/>
        <v/>
      </c>
      <c r="DC11" s="40" t="str">
        <f t="shared" si="332"/>
        <v/>
      </c>
      <c r="DD11" s="40" t="str">
        <f t="shared" si="332"/>
        <v/>
      </c>
      <c r="DE11" s="40" t="str">
        <f t="shared" si="332"/>
        <v/>
      </c>
      <c r="DF11" s="40" t="str">
        <f t="shared" si="332"/>
        <v/>
      </c>
      <c r="DG11" s="40" t="str">
        <f t="shared" si="332"/>
        <v/>
      </c>
      <c r="DH11" s="40" t="str">
        <f t="shared" si="332"/>
        <v/>
      </c>
      <c r="DI11" s="40" t="str">
        <f t="shared" si="332"/>
        <v/>
      </c>
      <c r="DJ11" s="40" t="str">
        <f t="shared" si="332"/>
        <v/>
      </c>
      <c r="DK11" s="41">
        <f t="shared" ref="DK11:HU11" si="333">IF(AND(DK9&lt;&gt;0,DK10&lt;&gt;0),(DK9-DK10)/DK10,IF(AND(DK9=0,DK10=0),"",IF(AND(DK9="",DK10=""),"",IF(AND(DK9=0,DK10=""),"", IF(AND(DK9="",DK10=0),"",1)))))</f>
        <v>0.15021267438154845</v>
      </c>
      <c r="DL11" s="72" t="str">
        <f t="shared" si="333"/>
        <v/>
      </c>
      <c r="DM11" s="73" t="str">
        <f t="shared" si="333"/>
        <v/>
      </c>
      <c r="DN11" s="73" t="str">
        <f t="shared" si="333"/>
        <v/>
      </c>
      <c r="DO11" s="73" t="str">
        <f t="shared" si="333"/>
        <v/>
      </c>
      <c r="DP11" s="73" t="str">
        <f t="shared" si="333"/>
        <v/>
      </c>
      <c r="DQ11" s="73" t="str">
        <f t="shared" si="333"/>
        <v/>
      </c>
      <c r="DR11" s="73" t="str">
        <f t="shared" si="333"/>
        <v/>
      </c>
      <c r="DS11" s="73" t="str">
        <f t="shared" si="333"/>
        <v/>
      </c>
      <c r="DT11" s="73" t="str">
        <f t="shared" si="333"/>
        <v/>
      </c>
      <c r="DU11" s="73" t="str">
        <f t="shared" si="333"/>
        <v/>
      </c>
      <c r="DV11" s="73" t="str">
        <f t="shared" si="333"/>
        <v/>
      </c>
      <c r="DW11" s="73" t="str">
        <f t="shared" si="333"/>
        <v/>
      </c>
      <c r="DX11" s="73" t="str">
        <f t="shared" si="333"/>
        <v/>
      </c>
      <c r="DY11" s="73" t="str">
        <f t="shared" si="333"/>
        <v/>
      </c>
      <c r="DZ11" s="73" t="str">
        <f t="shared" si="333"/>
        <v/>
      </c>
      <c r="EA11" s="73" t="str">
        <f t="shared" si="333"/>
        <v/>
      </c>
      <c r="EB11" s="73" t="str">
        <f t="shared" si="333"/>
        <v/>
      </c>
      <c r="EC11" s="73" t="str">
        <f t="shared" si="333"/>
        <v/>
      </c>
      <c r="ED11" s="73" t="str">
        <f t="shared" si="333"/>
        <v/>
      </c>
      <c r="EE11" s="73" t="str">
        <f t="shared" si="333"/>
        <v/>
      </c>
      <c r="EF11" s="73" t="str">
        <f t="shared" si="333"/>
        <v/>
      </c>
      <c r="EG11" s="73" t="str">
        <f t="shared" si="333"/>
        <v/>
      </c>
      <c r="EH11" s="73" t="str">
        <f t="shared" si="333"/>
        <v/>
      </c>
      <c r="EI11" s="73" t="str">
        <f t="shared" ref="EI11:EV11" si="334">IF(AND(EI9&lt;&gt;0,EI10&lt;&gt;0),(EI9-EI10)/EI10,IF(AND(EI9=0,EI10=0),"",IF(AND(EI9="",EI10=""),"",IF(AND(EI9=0,EI10=""),"", IF(AND(EI9="",EI10=0),"",1)))))</f>
        <v/>
      </c>
      <c r="EJ11" s="73" t="str">
        <f t="shared" si="334"/>
        <v/>
      </c>
      <c r="EK11" s="73" t="str">
        <f t="shared" si="334"/>
        <v/>
      </c>
      <c r="EL11" s="73" t="str">
        <f t="shared" si="334"/>
        <v/>
      </c>
      <c r="EM11" s="73" t="str">
        <f t="shared" si="334"/>
        <v/>
      </c>
      <c r="EN11" s="73" t="str">
        <f t="shared" si="334"/>
        <v/>
      </c>
      <c r="EO11" s="73" t="str">
        <f t="shared" si="334"/>
        <v/>
      </c>
      <c r="EP11" s="73" t="str">
        <f t="shared" si="334"/>
        <v/>
      </c>
      <c r="EQ11" s="73" t="str">
        <f t="shared" si="334"/>
        <v/>
      </c>
      <c r="ER11" s="73" t="str">
        <f t="shared" si="334"/>
        <v/>
      </c>
      <c r="ES11" s="73" t="str">
        <f t="shared" si="334"/>
        <v/>
      </c>
      <c r="ET11" s="73" t="str">
        <f t="shared" si="334"/>
        <v/>
      </c>
      <c r="EU11" s="73" t="str">
        <f t="shared" si="334"/>
        <v/>
      </c>
      <c r="EV11" s="73" t="str">
        <f t="shared" si="334"/>
        <v/>
      </c>
      <c r="EW11" s="74" t="str">
        <f t="shared" si="333"/>
        <v/>
      </c>
      <c r="EX11" s="72" t="str">
        <f t="shared" ref="EX11:GI11" si="335">IF(AND(EX9&lt;&gt;0,EX10&lt;&gt;0),(EX9-EX10)/EX10,IF(AND(EX9=0,EX10=0),"",IF(AND(EX9="",EX10=""),"",IF(AND(EX9=0,EX10=""),"", IF(AND(EX9="",EX10=0),"",1)))))</f>
        <v/>
      </c>
      <c r="EY11" s="73" t="str">
        <f t="shared" si="335"/>
        <v/>
      </c>
      <c r="EZ11" s="73" t="str">
        <f t="shared" si="335"/>
        <v/>
      </c>
      <c r="FA11" s="73" t="str">
        <f t="shared" si="335"/>
        <v/>
      </c>
      <c r="FB11" s="73" t="str">
        <f t="shared" si="335"/>
        <v/>
      </c>
      <c r="FC11" s="73" t="str">
        <f t="shared" si="335"/>
        <v/>
      </c>
      <c r="FD11" s="73" t="str">
        <f t="shared" si="335"/>
        <v/>
      </c>
      <c r="FE11" s="73" t="str">
        <f t="shared" si="335"/>
        <v/>
      </c>
      <c r="FF11" s="73" t="str">
        <f t="shared" si="335"/>
        <v/>
      </c>
      <c r="FG11" s="73" t="str">
        <f t="shared" si="335"/>
        <v/>
      </c>
      <c r="FH11" s="73" t="str">
        <f t="shared" si="335"/>
        <v/>
      </c>
      <c r="FI11" s="73" t="str">
        <f t="shared" si="335"/>
        <v/>
      </c>
      <c r="FJ11" s="73" t="str">
        <f t="shared" si="335"/>
        <v/>
      </c>
      <c r="FK11" s="73" t="str">
        <f t="shared" si="335"/>
        <v/>
      </c>
      <c r="FL11" s="73" t="str">
        <f t="shared" si="335"/>
        <v/>
      </c>
      <c r="FM11" s="73" t="str">
        <f t="shared" si="335"/>
        <v/>
      </c>
      <c r="FN11" s="73" t="str">
        <f t="shared" si="335"/>
        <v/>
      </c>
      <c r="FO11" s="73" t="str">
        <f t="shared" si="335"/>
        <v/>
      </c>
      <c r="FP11" s="73" t="str">
        <f t="shared" si="335"/>
        <v/>
      </c>
      <c r="FQ11" s="73" t="str">
        <f t="shared" si="335"/>
        <v/>
      </c>
      <c r="FR11" s="73" t="str">
        <f t="shared" si="335"/>
        <v/>
      </c>
      <c r="FS11" s="73" t="str">
        <f t="shared" si="335"/>
        <v/>
      </c>
      <c r="FT11" s="73" t="str">
        <f t="shared" si="335"/>
        <v/>
      </c>
      <c r="FU11" s="73" t="str">
        <f t="shared" ref="FU11:GH11" si="336">IF(AND(FU9&lt;&gt;0,FU10&lt;&gt;0),(FU9-FU10)/FU10,IF(AND(FU9=0,FU10=0),"",IF(AND(FU9="",FU10=""),"",IF(AND(FU9=0,FU10=""),"", IF(AND(FU9="",FU10=0),"",1)))))</f>
        <v/>
      </c>
      <c r="FV11" s="73" t="str">
        <f t="shared" si="336"/>
        <v/>
      </c>
      <c r="FW11" s="73" t="str">
        <f t="shared" si="336"/>
        <v/>
      </c>
      <c r="FX11" s="73" t="str">
        <f t="shared" si="336"/>
        <v/>
      </c>
      <c r="FY11" s="73" t="str">
        <f t="shared" si="336"/>
        <v/>
      </c>
      <c r="FZ11" s="73" t="str">
        <f t="shared" si="336"/>
        <v/>
      </c>
      <c r="GA11" s="73" t="str">
        <f t="shared" si="336"/>
        <v/>
      </c>
      <c r="GB11" s="73" t="str">
        <f t="shared" si="336"/>
        <v/>
      </c>
      <c r="GC11" s="73" t="str">
        <f t="shared" si="336"/>
        <v/>
      </c>
      <c r="GD11" s="73" t="str">
        <f t="shared" si="336"/>
        <v/>
      </c>
      <c r="GE11" s="73" t="str">
        <f t="shared" si="336"/>
        <v/>
      </c>
      <c r="GF11" s="73" t="str">
        <f t="shared" si="336"/>
        <v/>
      </c>
      <c r="GG11" s="73" t="str">
        <f t="shared" si="336"/>
        <v/>
      </c>
      <c r="GH11" s="73" t="str">
        <f t="shared" si="336"/>
        <v/>
      </c>
      <c r="GI11" s="74" t="str">
        <f t="shared" si="335"/>
        <v/>
      </c>
      <c r="GJ11" s="72" t="str">
        <f t="shared" si="333"/>
        <v/>
      </c>
      <c r="GK11" s="73" t="str">
        <f t="shared" si="333"/>
        <v/>
      </c>
      <c r="GL11" s="73" t="str">
        <f t="shared" si="333"/>
        <v/>
      </c>
      <c r="GM11" s="73" t="str">
        <f t="shared" si="333"/>
        <v/>
      </c>
      <c r="GN11" s="73" t="str">
        <f t="shared" si="333"/>
        <v/>
      </c>
      <c r="GO11" s="73" t="str">
        <f t="shared" si="333"/>
        <v/>
      </c>
      <c r="GP11" s="73" t="str">
        <f t="shared" si="333"/>
        <v/>
      </c>
      <c r="GQ11" s="73" t="str">
        <f t="shared" si="333"/>
        <v/>
      </c>
      <c r="GR11" s="73" t="str">
        <f t="shared" si="333"/>
        <v/>
      </c>
      <c r="GS11" s="73" t="str">
        <f t="shared" si="333"/>
        <v/>
      </c>
      <c r="GT11" s="73" t="str">
        <f t="shared" si="333"/>
        <v/>
      </c>
      <c r="GU11" s="73" t="str">
        <f t="shared" si="333"/>
        <v/>
      </c>
      <c r="GV11" s="73" t="str">
        <f t="shared" si="333"/>
        <v/>
      </c>
      <c r="GW11" s="73" t="str">
        <f t="shared" si="333"/>
        <v/>
      </c>
      <c r="GX11" s="73" t="str">
        <f t="shared" si="333"/>
        <v/>
      </c>
      <c r="GY11" s="73" t="str">
        <f t="shared" si="333"/>
        <v/>
      </c>
      <c r="GZ11" s="73" t="str">
        <f t="shared" si="333"/>
        <v/>
      </c>
      <c r="HA11" s="73" t="str">
        <f t="shared" si="333"/>
        <v/>
      </c>
      <c r="HB11" s="73" t="str">
        <f t="shared" si="333"/>
        <v/>
      </c>
      <c r="HC11" s="73" t="str">
        <f t="shared" si="333"/>
        <v/>
      </c>
      <c r="HD11" s="73" t="str">
        <f t="shared" si="333"/>
        <v/>
      </c>
      <c r="HE11" s="73" t="str">
        <f t="shared" si="333"/>
        <v/>
      </c>
      <c r="HF11" s="73" t="str">
        <f t="shared" si="333"/>
        <v/>
      </c>
      <c r="HG11" s="73" t="str">
        <f t="shared" ref="HG11:HT11" si="337">IF(AND(HG9&lt;&gt;0,HG10&lt;&gt;0),(HG9-HG10)/HG10,IF(AND(HG9=0,HG10=0),"",IF(AND(HG9="",HG10=""),"",IF(AND(HG9=0,HG10=""),"", IF(AND(HG9="",HG10=0),"",1)))))</f>
        <v/>
      </c>
      <c r="HH11" s="73" t="str">
        <f t="shared" si="337"/>
        <v/>
      </c>
      <c r="HI11" s="73" t="str">
        <f t="shared" si="337"/>
        <v/>
      </c>
      <c r="HJ11" s="73" t="str">
        <f t="shared" si="337"/>
        <v/>
      </c>
      <c r="HK11" s="73" t="str">
        <f t="shared" si="337"/>
        <v/>
      </c>
      <c r="HL11" s="73" t="str">
        <f t="shared" si="337"/>
        <v/>
      </c>
      <c r="HM11" s="73" t="str">
        <f t="shared" si="337"/>
        <v/>
      </c>
      <c r="HN11" s="73" t="str">
        <f t="shared" si="337"/>
        <v/>
      </c>
      <c r="HO11" s="73" t="str">
        <f t="shared" si="337"/>
        <v/>
      </c>
      <c r="HP11" s="73" t="str">
        <f t="shared" si="337"/>
        <v/>
      </c>
      <c r="HQ11" s="73" t="str">
        <f t="shared" si="337"/>
        <v/>
      </c>
      <c r="HR11" s="73" t="str">
        <f t="shared" si="337"/>
        <v/>
      </c>
      <c r="HS11" s="73" t="str">
        <f t="shared" si="337"/>
        <v/>
      </c>
      <c r="HT11" s="73" t="str">
        <f t="shared" si="337"/>
        <v/>
      </c>
      <c r="HU11" s="74" t="str">
        <f t="shared" si="333"/>
        <v/>
      </c>
      <c r="HV11" s="39">
        <f t="shared" ref="HV11" si="338">IF(AND(HV9&lt;&gt;0,HV10&lt;&gt;0),(HV9-HV10)/HV10,IF(AND(HV9=0,HV10=0),"",IF(AND(HV9="",HV10=""),"",IF(AND(HV9=0,HV10=""),"", IF(AND(HV9="",HV10=0),"",1)))))</f>
        <v>1.1775901270267999E-4</v>
      </c>
      <c r="HW11" s="40">
        <f t="shared" ref="HW11" si="339">IF(AND(HW9&lt;&gt;0,HW10&lt;&gt;0),(HW9-HW10)/HW10,IF(AND(HW9=0,HW10=0),"",IF(AND(HW9="",HW10=""),"",IF(AND(HW9=0,HW10=""),"", IF(AND(HW9="",HW10=0),"",1)))))</f>
        <v>1.0768009236748409E-4</v>
      </c>
      <c r="HX11" s="40">
        <f t="shared" ref="HX11" si="340">IF(AND(HX9&lt;&gt;0,HX10&lt;&gt;0),(HX9-HX10)/HX10,IF(AND(HX9=0,HX10=0),"",IF(AND(HX9="",HX10=""),"",IF(AND(HX9=0,HX10=""),"", IF(AND(HX9="",HX10=0),"",1)))))</f>
        <v>1.3552915924020816E-4</v>
      </c>
      <c r="HY11" s="40">
        <f t="shared" ref="HY11" si="341">IF(AND(HY9&lt;&gt;0,HY10&lt;&gt;0),(HY9-HY10)/HY10,IF(AND(HY9=0,HY10=0),"",IF(AND(HY9="",HY10=""),"",IF(AND(HY9=0,HY10=""),"", IF(AND(HY9="",HY10=0),"",1)))))</f>
        <v>1.1372963713577873E-4</v>
      </c>
      <c r="HZ11" s="40">
        <f t="shared" ref="HZ11" si="342">IF(AND(HZ9&lt;&gt;0,HZ10&lt;&gt;0),(HZ9-HZ10)/HZ10,IF(AND(HZ9=0,HZ10=0),"",IF(AND(HZ9="",HZ10=""),"",IF(AND(HZ9=0,HZ10=""),"", IF(AND(HZ9="",HZ10=0),"",1)))))</f>
        <v>1.4488706875155126E-4</v>
      </c>
      <c r="IA11" s="40">
        <f t="shared" ref="IA11" si="343">IF(AND(IA9&lt;&gt;0,IA10&lt;&gt;0),(IA9-IA10)/IA10,IF(AND(IA9=0,IA10=0),"",IF(AND(IA9="",IA10=""),"",IF(AND(IA9=0,IA10=""),"", IF(AND(IA9="",IA10=0),"",1)))))</f>
        <v>1.3273227160674143E-4</v>
      </c>
      <c r="IB11" s="40">
        <f t="shared" ref="IB11" si="344">IF(AND(IB9&lt;&gt;0,IB10&lt;&gt;0),(IB9-IB10)/IB10,IF(AND(IB9=0,IB10=0),"",IF(AND(IB9="",IB10=""),"",IF(AND(IB9=0,IB10=""),"", IF(AND(IB9="",IB10=0),"",1)))))</f>
        <v>1.4559606789541727E-4</v>
      </c>
      <c r="IC11" s="40">
        <f t="shared" ref="IC11" si="345">IF(AND(IC9&lt;&gt;0,IC10&lt;&gt;0),(IC9-IC10)/IC10,IF(AND(IC9=0,IC10=0),"",IF(AND(IC9="",IC10=""),"",IF(AND(IC9=0,IC10=""),"", IF(AND(IC9="",IC10=0),"",1)))))</f>
        <v>-7.9073616937821894E-5</v>
      </c>
      <c r="ID11" s="40">
        <f t="shared" ref="ID11" si="346">IF(AND(ID9&lt;&gt;0,ID10&lt;&gt;0),(ID9-ID10)/ID10,IF(AND(ID9=0,ID10=0),"",IF(AND(ID9="",ID10=""),"",IF(AND(ID9=0,ID10=""),"", IF(AND(ID9="",ID10=0),"",1)))))</f>
        <v>1.1094492801829815E-2</v>
      </c>
      <c r="IE11" s="40">
        <f t="shared" ref="IE11" si="347">IF(AND(IE9&lt;&gt;0,IE10&lt;&gt;0),(IE9-IE10)/IE10,IF(AND(IE9=0,IE10=0),"",IF(AND(IE9="",IE10=""),"",IF(AND(IE9=0,IE10=""),"", IF(AND(IE9="",IE10=0),"",1)))))</f>
        <v>-0.98840348663240274</v>
      </c>
      <c r="IF11" s="40">
        <f t="shared" ref="IF11" si="348">IF(AND(IF9&lt;&gt;0,IF10&lt;&gt;0),(IF9-IF10)/IF10,IF(AND(IF9=0,IF10=0),"",IF(AND(IF9="",IF10=""),"",IF(AND(IF9=0,IF10=""),"", IF(AND(IF9="",IF10=0),"",1)))))</f>
        <v>1</v>
      </c>
      <c r="IG11" s="40" t="str">
        <f t="shared" ref="IG11" si="349">IF(AND(IG9&lt;&gt;0,IG10&lt;&gt;0),(IG9-IG10)/IG10,IF(AND(IG9=0,IG10=0),"",IF(AND(IG9="",IG10=""),"",IF(AND(IG9=0,IG10=""),"", IF(AND(IG9="",IG10=0),"",1)))))</f>
        <v/>
      </c>
      <c r="IH11" s="40" t="str">
        <f t="shared" ref="IH11" si="350">IF(AND(IH9&lt;&gt;0,IH10&lt;&gt;0),(IH9-IH10)/IH10,IF(AND(IH9=0,IH10=0),"",IF(AND(IH9="",IH10=""),"",IF(AND(IH9=0,IH10=""),"", IF(AND(IH9="",IH10=0),"",1)))))</f>
        <v/>
      </c>
      <c r="II11" s="40" t="str">
        <f t="shared" ref="II11" si="351">IF(AND(II9&lt;&gt;0,II10&lt;&gt;0),(II9-II10)/II10,IF(AND(II9=0,II10=0),"",IF(AND(II9="",II10=""),"",IF(AND(II9=0,II10=""),"", IF(AND(II9="",II10=0),"",1)))))</f>
        <v/>
      </c>
      <c r="IJ11" s="40" t="str">
        <f t="shared" ref="IJ11" si="352">IF(AND(IJ9&lt;&gt;0,IJ10&lt;&gt;0),(IJ9-IJ10)/IJ10,IF(AND(IJ9=0,IJ10=0),"",IF(AND(IJ9="",IJ10=""),"",IF(AND(IJ9=0,IJ10=""),"", IF(AND(IJ9="",IJ10=0),"",1)))))</f>
        <v/>
      </c>
      <c r="IK11" s="40" t="str">
        <f t="shared" ref="IK11" si="353">IF(AND(IK9&lt;&gt;0,IK10&lt;&gt;0),(IK9-IK10)/IK10,IF(AND(IK9=0,IK10=0),"",IF(AND(IK9="",IK10=""),"",IF(AND(IK9=0,IK10=""),"", IF(AND(IK9="",IK10=0),"",1)))))</f>
        <v/>
      </c>
      <c r="IL11" s="40" t="str">
        <f t="shared" ref="IL11" si="354">IF(AND(IL9&lt;&gt;0,IL10&lt;&gt;0),(IL9-IL10)/IL10,IF(AND(IL9=0,IL10=0),"",IF(AND(IL9="",IL10=""),"",IF(AND(IL9=0,IL10=""),"", IF(AND(IL9="",IL10=0),"",1)))))</f>
        <v/>
      </c>
      <c r="IM11" s="40" t="str">
        <f t="shared" ref="IM11" si="355">IF(AND(IM9&lt;&gt;0,IM10&lt;&gt;0),(IM9-IM10)/IM10,IF(AND(IM9=0,IM10=0),"",IF(AND(IM9="",IM10=""),"",IF(AND(IM9=0,IM10=""),"", IF(AND(IM9="",IM10=0),"",1)))))</f>
        <v/>
      </c>
      <c r="IN11" s="40" t="str">
        <f t="shared" ref="IN11" si="356">IF(AND(IN9&lt;&gt;0,IN10&lt;&gt;0),(IN9-IN10)/IN10,IF(AND(IN9=0,IN10=0),"",IF(AND(IN9="",IN10=""),"",IF(AND(IN9=0,IN10=""),"", IF(AND(IN9="",IN10=0),"",1)))))</f>
        <v/>
      </c>
      <c r="IO11" s="40" t="str">
        <f t="shared" ref="IO11" si="357">IF(AND(IO9&lt;&gt;0,IO10&lt;&gt;0),(IO9-IO10)/IO10,IF(AND(IO9=0,IO10=0),"",IF(AND(IO9="",IO10=""),"",IF(AND(IO9=0,IO10=""),"", IF(AND(IO9="",IO10=0),"",1)))))</f>
        <v/>
      </c>
      <c r="IP11" s="40" t="str">
        <f t="shared" ref="IP11" si="358">IF(AND(IP9&lt;&gt;0,IP10&lt;&gt;0),(IP9-IP10)/IP10,IF(AND(IP9=0,IP10=0),"",IF(AND(IP9="",IP10=""),"",IF(AND(IP9=0,IP10=""),"", IF(AND(IP9="",IP10=0),"",1)))))</f>
        <v/>
      </c>
      <c r="IQ11" s="40" t="str">
        <f t="shared" ref="IQ11" si="359">IF(AND(IQ9&lt;&gt;0,IQ10&lt;&gt;0),(IQ9-IQ10)/IQ10,IF(AND(IQ9=0,IQ10=0),"",IF(AND(IQ9="",IQ10=""),"",IF(AND(IQ9=0,IQ10=""),"", IF(AND(IQ9="",IQ10=0),"",1)))))</f>
        <v/>
      </c>
      <c r="IR11" s="40" t="str">
        <f t="shared" ref="IR11:JF11" si="360">IF(AND(IR9&lt;&gt;0,IR10&lt;&gt;0),(IR9-IR10)/IR10,IF(AND(IR9=0,IR10=0),"",IF(AND(IR9="",IR10=""),"",IF(AND(IR9=0,IR10=""),"", IF(AND(IR9="",IR10=0),"",1)))))</f>
        <v/>
      </c>
      <c r="IS11" s="40" t="str">
        <f t="shared" si="360"/>
        <v/>
      </c>
      <c r="IT11" s="40" t="str">
        <f t="shared" si="360"/>
        <v/>
      </c>
      <c r="IU11" s="40" t="str">
        <f t="shared" si="360"/>
        <v/>
      </c>
      <c r="IV11" s="40" t="str">
        <f t="shared" si="360"/>
        <v/>
      </c>
      <c r="IW11" s="40" t="str">
        <f t="shared" si="360"/>
        <v/>
      </c>
      <c r="IX11" s="40" t="str">
        <f t="shared" si="360"/>
        <v/>
      </c>
      <c r="IY11" s="40" t="str">
        <f t="shared" si="360"/>
        <v/>
      </c>
      <c r="IZ11" s="40" t="str">
        <f t="shared" si="360"/>
        <v/>
      </c>
      <c r="JA11" s="40" t="str">
        <f t="shared" si="360"/>
        <v/>
      </c>
      <c r="JB11" s="40" t="str">
        <f t="shared" si="360"/>
        <v/>
      </c>
      <c r="JC11" s="40" t="str">
        <f t="shared" si="360"/>
        <v/>
      </c>
      <c r="JD11" s="40" t="str">
        <f t="shared" si="360"/>
        <v/>
      </c>
      <c r="JE11" s="40" t="str">
        <f t="shared" si="360"/>
        <v/>
      </c>
      <c r="JF11" s="40" t="str">
        <f t="shared" si="360"/>
        <v/>
      </c>
      <c r="JG11" s="41">
        <f t="shared" ref="JG11:NQ11" si="361">IF(AND(JG9&lt;&gt;0,JG10&lt;&gt;0),(JG9-JG10)/JG10,IF(AND(JG9=0,JG10=0),"",IF(AND(JG9="",JG10=""),"",IF(AND(JG9=0,JG10=""),"", IF(AND(JG9="",JG10=0),"",1)))))</f>
        <v>-0.40538319698381881</v>
      </c>
      <c r="JH11" s="72" t="str">
        <f t="shared" si="361"/>
        <v/>
      </c>
      <c r="JI11" s="73" t="str">
        <f t="shared" si="361"/>
        <v/>
      </c>
      <c r="JJ11" s="73" t="str">
        <f t="shared" si="361"/>
        <v/>
      </c>
      <c r="JK11" s="73" t="str">
        <f t="shared" si="361"/>
        <v/>
      </c>
      <c r="JL11" s="73" t="str">
        <f t="shared" si="361"/>
        <v/>
      </c>
      <c r="JM11" s="73" t="str">
        <f t="shared" si="361"/>
        <v/>
      </c>
      <c r="JN11" s="73" t="str">
        <f t="shared" si="361"/>
        <v/>
      </c>
      <c r="JO11" s="73" t="str">
        <f t="shared" si="361"/>
        <v/>
      </c>
      <c r="JP11" s="73" t="str">
        <f t="shared" si="361"/>
        <v/>
      </c>
      <c r="JQ11" s="73" t="str">
        <f t="shared" si="361"/>
        <v/>
      </c>
      <c r="JR11" s="73" t="str">
        <f t="shared" si="361"/>
        <v/>
      </c>
      <c r="JS11" s="73" t="str">
        <f t="shared" si="361"/>
        <v/>
      </c>
      <c r="JT11" s="73" t="str">
        <f t="shared" si="361"/>
        <v/>
      </c>
      <c r="JU11" s="73" t="str">
        <f t="shared" si="361"/>
        <v/>
      </c>
      <c r="JV11" s="73" t="str">
        <f t="shared" si="361"/>
        <v/>
      </c>
      <c r="JW11" s="73" t="str">
        <f t="shared" si="361"/>
        <v/>
      </c>
      <c r="JX11" s="73" t="str">
        <f t="shared" si="361"/>
        <v/>
      </c>
      <c r="JY11" s="73" t="str">
        <f t="shared" si="361"/>
        <v/>
      </c>
      <c r="JZ11" s="73" t="str">
        <f t="shared" si="361"/>
        <v/>
      </c>
      <c r="KA11" s="73" t="str">
        <f t="shared" si="361"/>
        <v/>
      </c>
      <c r="KB11" s="73" t="str">
        <f t="shared" si="361"/>
        <v/>
      </c>
      <c r="KC11" s="73" t="str">
        <f t="shared" si="361"/>
        <v/>
      </c>
      <c r="KD11" s="73" t="str">
        <f t="shared" si="361"/>
        <v/>
      </c>
      <c r="KE11" s="73" t="str">
        <f t="shared" ref="KE11:KR11" si="362">IF(AND(KE9&lt;&gt;0,KE10&lt;&gt;0),(KE9-KE10)/KE10,IF(AND(KE9=0,KE10=0),"",IF(AND(KE9="",KE10=""),"",IF(AND(KE9=0,KE10=""),"", IF(AND(KE9="",KE10=0),"",1)))))</f>
        <v/>
      </c>
      <c r="KF11" s="73" t="str">
        <f t="shared" si="362"/>
        <v/>
      </c>
      <c r="KG11" s="73" t="str">
        <f t="shared" si="362"/>
        <v/>
      </c>
      <c r="KH11" s="73" t="str">
        <f t="shared" si="362"/>
        <v/>
      </c>
      <c r="KI11" s="73" t="str">
        <f t="shared" si="362"/>
        <v/>
      </c>
      <c r="KJ11" s="73" t="str">
        <f t="shared" si="362"/>
        <v/>
      </c>
      <c r="KK11" s="73" t="str">
        <f t="shared" si="362"/>
        <v/>
      </c>
      <c r="KL11" s="73" t="str">
        <f t="shared" si="362"/>
        <v/>
      </c>
      <c r="KM11" s="73" t="str">
        <f t="shared" si="362"/>
        <v/>
      </c>
      <c r="KN11" s="73" t="str">
        <f t="shared" si="362"/>
        <v/>
      </c>
      <c r="KO11" s="73" t="str">
        <f t="shared" si="362"/>
        <v/>
      </c>
      <c r="KP11" s="73" t="str">
        <f t="shared" si="362"/>
        <v/>
      </c>
      <c r="KQ11" s="73" t="str">
        <f t="shared" si="362"/>
        <v/>
      </c>
      <c r="KR11" s="73" t="str">
        <f t="shared" si="362"/>
        <v/>
      </c>
      <c r="KS11" s="74" t="str">
        <f t="shared" si="361"/>
        <v/>
      </c>
      <c r="KT11" s="72" t="str">
        <f t="shared" ref="KT11:ME11" si="363">IF(AND(KT9&lt;&gt;0,KT10&lt;&gt;0),(KT9-KT10)/KT10,IF(AND(KT9=0,KT10=0),"",IF(AND(KT9="",KT10=""),"",IF(AND(KT9=0,KT10=""),"", IF(AND(KT9="",KT10=0),"",1)))))</f>
        <v/>
      </c>
      <c r="KU11" s="73" t="str">
        <f t="shared" si="363"/>
        <v/>
      </c>
      <c r="KV11" s="73" t="str">
        <f t="shared" si="363"/>
        <v/>
      </c>
      <c r="KW11" s="73" t="str">
        <f t="shared" si="363"/>
        <v/>
      </c>
      <c r="KX11" s="73" t="str">
        <f t="shared" si="363"/>
        <v/>
      </c>
      <c r="KY11" s="73" t="str">
        <f t="shared" si="363"/>
        <v/>
      </c>
      <c r="KZ11" s="73" t="str">
        <f t="shared" si="363"/>
        <v/>
      </c>
      <c r="LA11" s="73" t="str">
        <f t="shared" si="363"/>
        <v/>
      </c>
      <c r="LB11" s="73" t="str">
        <f t="shared" si="363"/>
        <v/>
      </c>
      <c r="LC11" s="73" t="str">
        <f t="shared" si="363"/>
        <v/>
      </c>
      <c r="LD11" s="73" t="str">
        <f t="shared" si="363"/>
        <v/>
      </c>
      <c r="LE11" s="73" t="str">
        <f t="shared" si="363"/>
        <v/>
      </c>
      <c r="LF11" s="73" t="str">
        <f t="shared" si="363"/>
        <v/>
      </c>
      <c r="LG11" s="73" t="str">
        <f t="shared" si="363"/>
        <v/>
      </c>
      <c r="LH11" s="73" t="str">
        <f t="shared" si="363"/>
        <v/>
      </c>
      <c r="LI11" s="73" t="str">
        <f t="shared" si="363"/>
        <v/>
      </c>
      <c r="LJ11" s="73" t="str">
        <f t="shared" si="363"/>
        <v/>
      </c>
      <c r="LK11" s="73" t="str">
        <f t="shared" si="363"/>
        <v/>
      </c>
      <c r="LL11" s="73" t="str">
        <f t="shared" si="363"/>
        <v/>
      </c>
      <c r="LM11" s="73" t="str">
        <f t="shared" si="363"/>
        <v/>
      </c>
      <c r="LN11" s="73" t="str">
        <f t="shared" si="363"/>
        <v/>
      </c>
      <c r="LO11" s="73" t="str">
        <f t="shared" si="363"/>
        <v/>
      </c>
      <c r="LP11" s="73" t="str">
        <f t="shared" si="363"/>
        <v/>
      </c>
      <c r="LQ11" s="73" t="str">
        <f t="shared" ref="LQ11:MD11" si="364">IF(AND(LQ9&lt;&gt;0,LQ10&lt;&gt;0),(LQ9-LQ10)/LQ10,IF(AND(LQ9=0,LQ10=0),"",IF(AND(LQ9="",LQ10=""),"",IF(AND(LQ9=0,LQ10=""),"", IF(AND(LQ9="",LQ10=0),"",1)))))</f>
        <v/>
      </c>
      <c r="LR11" s="73" t="str">
        <f t="shared" si="364"/>
        <v/>
      </c>
      <c r="LS11" s="73" t="str">
        <f t="shared" si="364"/>
        <v/>
      </c>
      <c r="LT11" s="73" t="str">
        <f t="shared" si="364"/>
        <v/>
      </c>
      <c r="LU11" s="73" t="str">
        <f t="shared" si="364"/>
        <v/>
      </c>
      <c r="LV11" s="73" t="str">
        <f t="shared" si="364"/>
        <v/>
      </c>
      <c r="LW11" s="73" t="str">
        <f t="shared" si="364"/>
        <v/>
      </c>
      <c r="LX11" s="73" t="str">
        <f t="shared" si="364"/>
        <v/>
      </c>
      <c r="LY11" s="73" t="str">
        <f t="shared" si="364"/>
        <v/>
      </c>
      <c r="LZ11" s="73" t="str">
        <f t="shared" si="364"/>
        <v/>
      </c>
      <c r="MA11" s="73" t="str">
        <f t="shared" si="364"/>
        <v/>
      </c>
      <c r="MB11" s="73" t="str">
        <f t="shared" si="364"/>
        <v/>
      </c>
      <c r="MC11" s="73" t="str">
        <f t="shared" si="364"/>
        <v/>
      </c>
      <c r="MD11" s="73" t="str">
        <f t="shared" si="364"/>
        <v/>
      </c>
      <c r="ME11" s="74" t="str">
        <f t="shared" si="363"/>
        <v/>
      </c>
      <c r="MF11" s="72" t="str">
        <f t="shared" si="361"/>
        <v/>
      </c>
      <c r="MG11" s="73" t="str">
        <f t="shared" si="361"/>
        <v/>
      </c>
      <c r="MH11" s="73" t="str">
        <f t="shared" si="361"/>
        <v/>
      </c>
      <c r="MI11" s="73" t="str">
        <f t="shared" si="361"/>
        <v/>
      </c>
      <c r="MJ11" s="73" t="str">
        <f t="shared" si="361"/>
        <v/>
      </c>
      <c r="MK11" s="73" t="str">
        <f t="shared" si="361"/>
        <v/>
      </c>
      <c r="ML11" s="73" t="str">
        <f t="shared" si="361"/>
        <v/>
      </c>
      <c r="MM11" s="73" t="str">
        <f t="shared" si="361"/>
        <v/>
      </c>
      <c r="MN11" s="73" t="str">
        <f t="shared" si="361"/>
        <v/>
      </c>
      <c r="MO11" s="73" t="str">
        <f t="shared" si="361"/>
        <v/>
      </c>
      <c r="MP11" s="73" t="str">
        <f t="shared" si="361"/>
        <v/>
      </c>
      <c r="MQ11" s="73" t="str">
        <f t="shared" si="361"/>
        <v/>
      </c>
      <c r="MR11" s="73" t="str">
        <f t="shared" si="361"/>
        <v/>
      </c>
      <c r="MS11" s="73" t="str">
        <f t="shared" si="361"/>
        <v/>
      </c>
      <c r="MT11" s="73" t="str">
        <f t="shared" si="361"/>
        <v/>
      </c>
      <c r="MU11" s="73" t="str">
        <f t="shared" si="361"/>
        <v/>
      </c>
      <c r="MV11" s="73" t="str">
        <f t="shared" si="361"/>
        <v/>
      </c>
      <c r="MW11" s="73" t="str">
        <f t="shared" si="361"/>
        <v/>
      </c>
      <c r="MX11" s="73" t="str">
        <f t="shared" si="361"/>
        <v/>
      </c>
      <c r="MY11" s="73" t="str">
        <f t="shared" si="361"/>
        <v/>
      </c>
      <c r="MZ11" s="73" t="str">
        <f t="shared" si="361"/>
        <v/>
      </c>
      <c r="NA11" s="73" t="str">
        <f t="shared" si="361"/>
        <v/>
      </c>
      <c r="NB11" s="73" t="str">
        <f t="shared" si="361"/>
        <v/>
      </c>
      <c r="NC11" s="73" t="str">
        <f t="shared" ref="NC11:NP11" si="365">IF(AND(NC9&lt;&gt;0,NC10&lt;&gt;0),(NC9-NC10)/NC10,IF(AND(NC9=0,NC10=0),"",IF(AND(NC9="",NC10=""),"",IF(AND(NC9=0,NC10=""),"", IF(AND(NC9="",NC10=0),"",1)))))</f>
        <v/>
      </c>
      <c r="ND11" s="73" t="str">
        <f t="shared" si="365"/>
        <v/>
      </c>
      <c r="NE11" s="73" t="str">
        <f t="shared" si="365"/>
        <v/>
      </c>
      <c r="NF11" s="73" t="str">
        <f t="shared" si="365"/>
        <v/>
      </c>
      <c r="NG11" s="73" t="str">
        <f t="shared" si="365"/>
        <v/>
      </c>
      <c r="NH11" s="73" t="str">
        <f t="shared" si="365"/>
        <v/>
      </c>
      <c r="NI11" s="73" t="str">
        <f t="shared" si="365"/>
        <v/>
      </c>
      <c r="NJ11" s="73" t="str">
        <f t="shared" si="365"/>
        <v/>
      </c>
      <c r="NK11" s="73" t="str">
        <f t="shared" si="365"/>
        <v/>
      </c>
      <c r="NL11" s="73" t="str">
        <f t="shared" si="365"/>
        <v/>
      </c>
      <c r="NM11" s="73" t="str">
        <f t="shared" si="365"/>
        <v/>
      </c>
      <c r="NN11" s="73" t="str">
        <f t="shared" si="365"/>
        <v/>
      </c>
      <c r="NO11" s="73" t="str">
        <f t="shared" si="365"/>
        <v/>
      </c>
      <c r="NP11" s="73" t="str">
        <f t="shared" si="365"/>
        <v/>
      </c>
      <c r="NQ11" s="74" t="str">
        <f t="shared" si="361"/>
        <v/>
      </c>
      <c r="NR11" s="40">
        <f t="shared" ref="NR11" si="366">IF(AND(NR9&lt;&gt;0,NR10&lt;&gt;0),(NR9-NR10)/NR10,IF(AND(NR9=0,NR10=0),"",IF(AND(NR9="",NR10=""),"",IF(AND(NR9=0,NR10=""),"", IF(AND(NR9="",NR10=0),"",1)))))</f>
        <v>1.1442960531990488E-4</v>
      </c>
      <c r="NS11" s="40">
        <f t="shared" ref="NS11" si="367">IF(AND(NS9&lt;&gt;0,NS10&lt;&gt;0),(NS9-NS10)/NS10,IF(AND(NS9=0,NS10=0),"",IF(AND(NS9="",NS10=""),"",IF(AND(NS9=0,NS10=""),"", IF(AND(NS9="",NS10=0),"",1)))))</f>
        <v>1.4163401260175454E-4</v>
      </c>
      <c r="NT11" s="40">
        <f t="shared" ref="NT11" si="368">IF(AND(NT9&lt;&gt;0,NT10&lt;&gt;0),(NT9-NT10)/NT10,IF(AND(NT9=0,NT10=0),"",IF(AND(NT9="",NT10=""),"",IF(AND(NT9=0,NT10=""),"", IF(AND(NT9="",NT10=0),"",1)))))</f>
        <v>1.2930123364620483E-4</v>
      </c>
      <c r="NU11" s="40">
        <f t="shared" ref="NU11" si="369">IF(AND(NU9&lt;&gt;0,NU10&lt;&gt;0),(NU9-NU10)/NU10,IF(AND(NU9=0,NU10=0),"",IF(AND(NU9="",NU10=""),"",IF(AND(NU9=0,NU10=""),"", IF(AND(NU9="",NU10=0),"",1)))))</f>
        <v>1.3153423553502379E-4</v>
      </c>
      <c r="NV11" s="40">
        <f t="shared" ref="NV11" si="370">IF(AND(NV9&lt;&gt;0,NV10&lt;&gt;0),(NV9-NV10)/NV10,IF(AND(NV9=0,NV10=0),"",IF(AND(NV9="",NV10=""),"",IF(AND(NV9=0,NV10=""),"", IF(AND(NV9="",NV10=0),"",1)))))</f>
        <v>-2.2140783500333885E-6</v>
      </c>
      <c r="NW11" s="40">
        <f t="shared" ref="NW11" si="371">IF(AND(NW9&lt;&gt;0,NW10&lt;&gt;0),(NW9-NW10)/NW10,IF(AND(NW9=0,NW10=0),"",IF(AND(NW9="",NW10=""),"",IF(AND(NW9=0,NW10=""),"", IF(AND(NW9="",NW10=0),"",1)))))</f>
        <v>1.1777232834279814E-4</v>
      </c>
      <c r="NX11" s="40" t="str">
        <f t="shared" ref="NX11" si="372">IF(AND(NX9&lt;&gt;0,NX10&lt;&gt;0),(NX9-NX10)/NX10,IF(AND(NX9=0,NX10=0),"",IF(AND(NX9="",NX10=""),"",IF(AND(NX9=0,NX10=""),"", IF(AND(NX9="",NX10=0),"",1)))))</f>
        <v/>
      </c>
      <c r="NY11" s="40">
        <f t="shared" ref="NY11" si="373">IF(AND(NY9&lt;&gt;0,NY10&lt;&gt;0),(NY9-NY10)/NY10,IF(AND(NY9=0,NY10=0),"",IF(AND(NY9="",NY10=""),"",IF(AND(NY9=0,NY10=""),"", IF(AND(NY9="",NY10=0),"",1)))))</f>
        <v>5.3893753189646727E-4</v>
      </c>
      <c r="NZ11" s="40">
        <f t="shared" ref="NZ11" si="374">IF(AND(NZ9&lt;&gt;0,NZ10&lt;&gt;0),(NZ9-NZ10)/NZ10,IF(AND(NZ9=0,NZ10=0),"",IF(AND(NZ9="",NZ10=""),"",IF(AND(NZ9=0,NZ10=""),"", IF(AND(NZ9="",NZ10=0),"",1)))))</f>
        <v>2.0888412320965714E-2</v>
      </c>
      <c r="OA11" s="40">
        <f t="shared" ref="OA11" si="375">IF(AND(OA9&lt;&gt;0,OA10&lt;&gt;0),(OA9-OA10)/OA10,IF(AND(OA9=0,OA10=0),"",IF(AND(OA9="",OA10=""),"",IF(AND(OA9=0,OA10=""),"", IF(AND(OA9="",OA10=0),"",1)))))</f>
        <v>7.1144946746662941E-5</v>
      </c>
      <c r="OB11" s="40">
        <f t="shared" ref="OB11" si="376">IF(AND(OB9&lt;&gt;0,OB10&lt;&gt;0),(OB9-OB10)/OB10,IF(AND(OB9=0,OB10=0),"",IF(AND(OB9="",OB10=""),"",IF(AND(OB9=0,OB10=""),"", IF(AND(OB9="",OB10=0),"",1)))))</f>
        <v>1</v>
      </c>
      <c r="OC11" s="40" t="str">
        <f t="shared" ref="OC11" si="377">IF(AND(OC9&lt;&gt;0,OC10&lt;&gt;0),(OC9-OC10)/OC10,IF(AND(OC9=0,OC10=0),"",IF(AND(OC9="",OC10=""),"",IF(AND(OC9=0,OC10=""),"", IF(AND(OC9="",OC10=0),"",1)))))</f>
        <v/>
      </c>
      <c r="OD11" s="40" t="str">
        <f t="shared" ref="OD11" si="378">IF(AND(OD9&lt;&gt;0,OD10&lt;&gt;0),(OD9-OD10)/OD10,IF(AND(OD9=0,OD10=0),"",IF(AND(OD9="",OD10=""),"",IF(AND(OD9=0,OD10=""),"", IF(AND(OD9="",OD10=0),"",1)))))</f>
        <v/>
      </c>
      <c r="OE11" s="40" t="str">
        <f t="shared" ref="OE11" si="379">IF(AND(OE9&lt;&gt;0,OE10&lt;&gt;0),(OE9-OE10)/OE10,IF(AND(OE9=0,OE10=0),"",IF(AND(OE9="",OE10=""),"",IF(AND(OE9=0,OE10=""),"", IF(AND(OE9="",OE10=0),"",1)))))</f>
        <v/>
      </c>
      <c r="OF11" s="40" t="str">
        <f t="shared" ref="OF11" si="380">IF(AND(OF9&lt;&gt;0,OF10&lt;&gt;0),(OF9-OF10)/OF10,IF(AND(OF9=0,OF10=0),"",IF(AND(OF9="",OF10=""),"",IF(AND(OF9=0,OF10=""),"", IF(AND(OF9="",OF10=0),"",1)))))</f>
        <v/>
      </c>
      <c r="OG11" s="40" t="str">
        <f t="shared" ref="OG11" si="381">IF(AND(OG9&lt;&gt;0,OG10&lt;&gt;0),(OG9-OG10)/OG10,IF(AND(OG9=0,OG10=0),"",IF(AND(OG9="",OG10=""),"",IF(AND(OG9=0,OG10=""),"", IF(AND(OG9="",OG10=0),"",1)))))</f>
        <v/>
      </c>
      <c r="OH11" s="40" t="str">
        <f t="shared" ref="OH11" si="382">IF(AND(OH9&lt;&gt;0,OH10&lt;&gt;0),(OH9-OH10)/OH10,IF(AND(OH9=0,OH10=0),"",IF(AND(OH9="",OH10=""),"",IF(AND(OH9=0,OH10=""),"", IF(AND(OH9="",OH10=0),"",1)))))</f>
        <v/>
      </c>
      <c r="OI11" s="40" t="str">
        <f t="shared" ref="OI11" si="383">IF(AND(OI9&lt;&gt;0,OI10&lt;&gt;0),(OI9-OI10)/OI10,IF(AND(OI9=0,OI10=0),"",IF(AND(OI9="",OI10=""),"",IF(AND(OI9=0,OI10=""),"", IF(AND(OI9="",OI10=0),"",1)))))</f>
        <v/>
      </c>
      <c r="OJ11" s="40" t="str">
        <f t="shared" ref="OJ11" si="384">IF(AND(OJ9&lt;&gt;0,OJ10&lt;&gt;0),(OJ9-OJ10)/OJ10,IF(AND(OJ9=0,OJ10=0),"",IF(AND(OJ9="",OJ10=""),"",IF(AND(OJ9=0,OJ10=""),"", IF(AND(OJ9="",OJ10=0),"",1)))))</f>
        <v/>
      </c>
      <c r="OK11" s="40" t="str">
        <f t="shared" ref="OK11" si="385">IF(AND(OK9&lt;&gt;0,OK10&lt;&gt;0),(OK9-OK10)/OK10,IF(AND(OK9=0,OK10=0),"",IF(AND(OK9="",OK10=""),"",IF(AND(OK9=0,OK10=""),"", IF(AND(OK9="",OK10=0),"",1)))))</f>
        <v/>
      </c>
      <c r="OL11" s="40" t="str">
        <f t="shared" ref="OL11" si="386">IF(AND(OL9&lt;&gt;0,OL10&lt;&gt;0),(OL9-OL10)/OL10,IF(AND(OL9=0,OL10=0),"",IF(AND(OL9="",OL10=""),"",IF(AND(OL9=0,OL10=""),"", IF(AND(OL9="",OL10=0),"",1)))))</f>
        <v/>
      </c>
      <c r="OM11" s="40" t="str">
        <f t="shared" ref="OM11" si="387">IF(AND(OM9&lt;&gt;0,OM10&lt;&gt;0),(OM9-OM10)/OM10,IF(AND(OM9=0,OM10=0),"",IF(AND(OM9="",OM10=""),"",IF(AND(OM9=0,OM10=""),"", IF(AND(OM9="",OM10=0),"",1)))))</f>
        <v/>
      </c>
      <c r="ON11" s="40" t="str">
        <f t="shared" ref="ON11:PB11" si="388">IF(AND(ON9&lt;&gt;0,ON10&lt;&gt;0),(ON9-ON10)/ON10,IF(AND(ON9=0,ON10=0),"",IF(AND(ON9="",ON10=""),"",IF(AND(ON9=0,ON10=""),"", IF(AND(ON9="",ON10=0),"",1)))))</f>
        <v/>
      </c>
      <c r="OO11" s="40" t="str">
        <f t="shared" si="388"/>
        <v/>
      </c>
      <c r="OP11" s="40" t="str">
        <f t="shared" si="388"/>
        <v/>
      </c>
      <c r="OQ11" s="40" t="str">
        <f t="shared" si="388"/>
        <v/>
      </c>
      <c r="OR11" s="40" t="str">
        <f t="shared" si="388"/>
        <v/>
      </c>
      <c r="OS11" s="40" t="str">
        <f t="shared" si="388"/>
        <v/>
      </c>
      <c r="OT11" s="40" t="str">
        <f t="shared" si="388"/>
        <v/>
      </c>
      <c r="OU11" s="40" t="str">
        <f t="shared" si="388"/>
        <v/>
      </c>
      <c r="OV11" s="40" t="str">
        <f t="shared" si="388"/>
        <v/>
      </c>
      <c r="OW11" s="40" t="str">
        <f t="shared" si="388"/>
        <v/>
      </c>
      <c r="OX11" s="40" t="str">
        <f t="shared" si="388"/>
        <v/>
      </c>
      <c r="OY11" s="40" t="str">
        <f t="shared" si="388"/>
        <v/>
      </c>
      <c r="OZ11" s="40" t="str">
        <f t="shared" si="388"/>
        <v/>
      </c>
      <c r="PA11" s="40" t="str">
        <f t="shared" si="388"/>
        <v/>
      </c>
      <c r="PB11" s="40" t="str">
        <f t="shared" si="388"/>
        <v/>
      </c>
      <c r="PC11" s="41">
        <f t="shared" ref="PC11" si="389">IF(AND(PC9&lt;&gt;0,PC10&lt;&gt;0),(PC9-PC10)/PC10,IF(AND(PC9=0,PC10=0),"",IF(AND(PC9="",PC10=""),"",IF(AND(PC9=0,PC10=""),"", IF(AND(PC9="",PC10=0),"",1)))))</f>
        <v>6.1036217291507979E-3</v>
      </c>
    </row>
    <row r="12" spans="1:423" outlineLevel="1" x14ac:dyDescent="0.3">
      <c r="A12" s="46" t="s">
        <v>10</v>
      </c>
      <c r="B12" s="14">
        <f>'[1]D-PDP'!$BZ$12</f>
        <v>1911986.625</v>
      </c>
      <c r="C12" s="14">
        <f>'[1]D-PDP'!$BZ$13</f>
        <v>1684096.875</v>
      </c>
      <c r="D12" s="14">
        <f>'[1]D-PDP'!$BZ$14</f>
        <v>1484908.625</v>
      </c>
      <c r="E12" s="14">
        <f>'[1]D-PDP'!$BZ$15</f>
        <v>1266414.875</v>
      </c>
      <c r="F12" s="14">
        <f>'[1]D-PDP'!$BZ$16</f>
        <v>379160.25</v>
      </c>
      <c r="G12" s="14">
        <f>'[1]D-PDP'!$BZ$17</f>
        <v>162165.34375</v>
      </c>
      <c r="H12" s="14">
        <f>'[1]D-PDP'!$BZ$18</f>
        <v>68633.078125</v>
      </c>
      <c r="I12" s="14">
        <f>'[1]D-PDP'!$BZ$19</f>
        <v>43242.34375</v>
      </c>
      <c r="J12" s="14">
        <f>'[1]D-PDP'!$BZ$20</f>
        <v>34792.3515625</v>
      </c>
      <c r="K12" s="14">
        <f>'[1]D-PDP'!$BZ$21</f>
        <v>27624.603515625</v>
      </c>
      <c r="L12" s="14">
        <f>'[1]D-PDP'!$BZ$22</f>
        <v>19608.84375</v>
      </c>
      <c r="M12" s="14">
        <f>'[1]D-PDP'!$BZ$23</f>
        <v>0</v>
      </c>
      <c r="N12" s="14">
        <f>'[1]D-PDP'!$BZ$24</f>
        <v>0</v>
      </c>
      <c r="O12" s="14">
        <f>'[1]D-PDP'!$BZ$25</f>
        <v>0</v>
      </c>
      <c r="P12" s="14">
        <f>'[1]D-PDP'!$BZ$26</f>
        <v>0</v>
      </c>
      <c r="Q12" s="14">
        <f>'[1]D-PDP'!$BZ$27</f>
        <v>0</v>
      </c>
      <c r="R12" s="14">
        <f>'[1]D-PDP'!$BZ$28</f>
        <v>0</v>
      </c>
      <c r="S12" s="14">
        <f>'[1]D-PDP'!$BZ$29</f>
        <v>0</v>
      </c>
      <c r="T12" s="14">
        <f>'[1]D-PDP'!$BZ$30</f>
        <v>0</v>
      </c>
      <c r="U12" s="14">
        <f>'[1]D-PDP'!$BZ$31</f>
        <v>0</v>
      </c>
      <c r="V12" s="14">
        <f>'[1]D-PDP'!$BZ$32</f>
        <v>0</v>
      </c>
      <c r="W12" s="14">
        <f>'[1]D-PDP'!$BZ$33</f>
        <v>0</v>
      </c>
      <c r="X12" s="14">
        <f>'[1]D-PDP'!$BZ$34</f>
        <v>0</v>
      </c>
      <c r="Y12" s="14">
        <f>'[1]D-PDP'!$BZ$35</f>
        <v>0</v>
      </c>
      <c r="Z12" s="14">
        <f>'[1]D-PDP'!$BZ$36</f>
        <v>0</v>
      </c>
      <c r="AA12" s="14">
        <f>'[1]D-PDP'!$BZ$37</f>
        <v>0</v>
      </c>
      <c r="AB12" s="14">
        <f>'[1]D-PDP'!$BZ$38</f>
        <v>0</v>
      </c>
      <c r="AC12" s="14">
        <f>'[1]D-PDP'!$BZ$39</f>
        <v>0</v>
      </c>
      <c r="AD12" s="14">
        <f>'[1]D-PDP'!$BZ$40</f>
        <v>0</v>
      </c>
      <c r="AE12" s="14">
        <f>'[1]D-PDP'!$BZ$41</f>
        <v>0</v>
      </c>
      <c r="AF12" s="14">
        <f>'[1]D-PDP'!$BZ$42</f>
        <v>0</v>
      </c>
      <c r="AG12" s="14">
        <f>'[1]D-PDP'!$BZ$43</f>
        <v>0</v>
      </c>
      <c r="AH12" s="14">
        <f>'[1]D-PDP'!$BZ$44</f>
        <v>0</v>
      </c>
      <c r="AI12" s="14">
        <f>'[1]D-PDP'!$BZ$45</f>
        <v>0</v>
      </c>
      <c r="AJ12" s="14">
        <f>'[1]D-PDP'!$BZ$46</f>
        <v>0</v>
      </c>
      <c r="AK12" s="14">
        <f>'[1]D-PDP'!$BZ$47</f>
        <v>0</v>
      </c>
      <c r="AL12" s="14">
        <f>'[1]D-PDP'!$BZ$48</f>
        <v>0</v>
      </c>
      <c r="AM12" s="16">
        <f>SUM(B12:AL12)</f>
        <v>7082633.814453125</v>
      </c>
      <c r="AN12" s="28">
        <f>'[1]D-PNP'!$BZ$12</f>
        <v>221809.921875</v>
      </c>
      <c r="AO12" s="14">
        <f>'[1]D-PNP'!$BZ$13</f>
        <v>276699.96875</v>
      </c>
      <c r="AP12" s="14">
        <f>'[1]D-PNP'!$BZ$14</f>
        <v>423427.34375</v>
      </c>
      <c r="AQ12" s="14">
        <f>'[1]D-PNP'!$BZ$15</f>
        <v>428435.9375</v>
      </c>
      <c r="AR12" s="14">
        <f>'[1]D-PNP'!$BZ$16</f>
        <v>148408.28125</v>
      </c>
      <c r="AS12" s="14">
        <f>'[1]D-PNP'!$BZ$17</f>
        <v>82163.21875</v>
      </c>
      <c r="AT12" s="14">
        <f>'[1]D-PNP'!$BZ$18</f>
        <v>43566.51171875</v>
      </c>
      <c r="AU12" s="14">
        <f>'[1]D-PNP'!$BZ$19</f>
        <v>24565.01953125</v>
      </c>
      <c r="AV12" s="14">
        <f>'[1]D-PNP'!$BZ$20</f>
        <v>10121.4375</v>
      </c>
      <c r="AW12" s="14">
        <f>'[1]D-PNP'!$BZ$21</f>
        <v>0</v>
      </c>
      <c r="AX12" s="14">
        <f>'[1]D-PNP'!$BZ$22</f>
        <v>0</v>
      </c>
      <c r="AY12" s="14">
        <f>'[1]D-PNP'!$BZ$23</f>
        <v>0</v>
      </c>
      <c r="AZ12" s="14">
        <f>'[1]D-PNP'!$BZ$24</f>
        <v>0</v>
      </c>
      <c r="BA12" s="14">
        <f>'[1]D-PNP'!$BZ$25</f>
        <v>0</v>
      </c>
      <c r="BB12" s="14">
        <f>'[1]D-PNP'!$BZ$26</f>
        <v>0</v>
      </c>
      <c r="BC12" s="14">
        <f>'[1]D-PNP'!$BZ$27</f>
        <v>0</v>
      </c>
      <c r="BD12" s="14">
        <f>'[1]D-PNP'!$BZ$28</f>
        <v>0</v>
      </c>
      <c r="BE12" s="14">
        <f>'[1]D-PNP'!$BZ$29</f>
        <v>0</v>
      </c>
      <c r="BF12" s="14">
        <f>'[1]D-PNP'!$BZ$30</f>
        <v>0</v>
      </c>
      <c r="BG12" s="14">
        <f>'[1]D-PNP'!$BZ$31</f>
        <v>0</v>
      </c>
      <c r="BH12" s="14">
        <f>'[1]D-PNP'!$BZ$32</f>
        <v>0</v>
      </c>
      <c r="BI12" s="14">
        <f>'[1]D-PNP'!$BZ$33</f>
        <v>0</v>
      </c>
      <c r="BJ12" s="14">
        <f>'[1]D-PNP'!$BZ$34</f>
        <v>0</v>
      </c>
      <c r="BK12" s="14">
        <f>'[1]D-PNP'!$BZ$35</f>
        <v>0</v>
      </c>
      <c r="BL12" s="14">
        <f>'[1]D-PNP'!$BZ$36</f>
        <v>0</v>
      </c>
      <c r="BM12" s="14">
        <f>'[1]D-PNP'!$BZ$37</f>
        <v>0</v>
      </c>
      <c r="BN12" s="14">
        <f>'[1]D-PNP'!$BZ$38</f>
        <v>0</v>
      </c>
      <c r="BO12" s="14">
        <f>'[1]D-PNP'!$BZ$39</f>
        <v>0</v>
      </c>
      <c r="BP12" s="14">
        <f>'[1]D-PNP'!$BZ$40</f>
        <v>0</v>
      </c>
      <c r="BQ12" s="14">
        <f>'[1]D-PNP'!$BZ$41</f>
        <v>0</v>
      </c>
      <c r="BR12" s="14">
        <f>'[1]D-PNP'!$BZ$42</f>
        <v>0</v>
      </c>
      <c r="BS12" s="14">
        <f>'[1]D-PNP'!$BZ$43</f>
        <v>0</v>
      </c>
      <c r="BT12" s="14">
        <f>'[1]D-PNP'!$BZ$44</f>
        <v>0</v>
      </c>
      <c r="BU12" s="14">
        <f>'[1]D-PNP'!$BZ$45</f>
        <v>0</v>
      </c>
      <c r="BV12" s="14">
        <f>'[1]D-PNP'!$BZ$46</f>
        <v>0</v>
      </c>
      <c r="BW12" s="14">
        <f>'[1]D-PNP'!$BZ$47</f>
        <v>0</v>
      </c>
      <c r="BX12" s="14">
        <f>'[1]D-PNP'!$BZ$48</f>
        <v>0</v>
      </c>
      <c r="BY12" s="16">
        <f>SUM(AN12:BX12)</f>
        <v>1659197.640625</v>
      </c>
      <c r="BZ12" s="28">
        <f>'[1]D-PND'!$BZ$12</f>
        <v>558838.4375</v>
      </c>
      <c r="CA12" s="14">
        <f>'[1]D-PND'!$BZ$13</f>
        <v>731838.0625</v>
      </c>
      <c r="CB12" s="14">
        <f>'[1]D-PND'!$BZ$14</f>
        <v>784299.0625</v>
      </c>
      <c r="CC12" s="14">
        <f>'[1]D-PND'!$BZ$15</f>
        <v>997784.0625</v>
      </c>
      <c r="CD12" s="14">
        <f>'[1]D-PND'!$BZ$16</f>
        <v>2165066.5</v>
      </c>
      <c r="CE12" s="14">
        <f>'[1]D-PND'!$BZ$17</f>
        <v>2448306.5</v>
      </c>
      <c r="CF12" s="14">
        <f>'[1]D-PND'!$BZ$18</f>
        <v>2580435.25</v>
      </c>
      <c r="CG12" s="14">
        <f>'[1]D-PND'!$BZ$19</f>
        <v>2624827.75</v>
      </c>
      <c r="CH12" s="14">
        <f>'[1]D-PND'!$BZ$20</f>
        <v>2647721.25</v>
      </c>
      <c r="CI12" s="14">
        <f>'[1]D-PND'!$BZ$21</f>
        <v>2665010.25</v>
      </c>
      <c r="CJ12" s="14">
        <f>'[1]D-PND'!$BZ$22</f>
        <v>1551094.875</v>
      </c>
      <c r="CK12" s="14">
        <f>'[1]D-PND'!$BZ$23</f>
        <v>0</v>
      </c>
      <c r="CL12" s="14">
        <f>'[1]D-PND'!$BZ$24</f>
        <v>0</v>
      </c>
      <c r="CM12" s="14">
        <f>'[1]D-PND'!$BZ$25</f>
        <v>0</v>
      </c>
      <c r="CN12" s="14">
        <f>'[1]D-PND'!$BZ$26</f>
        <v>0</v>
      </c>
      <c r="CO12" s="14">
        <f>'[1]D-PND'!$BZ$27</f>
        <v>0</v>
      </c>
      <c r="CP12" s="14">
        <f>'[1]D-PND'!$BZ$28</f>
        <v>0</v>
      </c>
      <c r="CQ12" s="14">
        <f>'[1]D-PND'!$BZ$29</f>
        <v>0</v>
      </c>
      <c r="CR12" s="14">
        <f>'[1]D-PND'!$BZ$30</f>
        <v>0</v>
      </c>
      <c r="CS12" s="14">
        <f>'[1]D-PND'!$BZ$31</f>
        <v>0</v>
      </c>
      <c r="CT12" s="14">
        <f>'[1]D-PND'!$BZ$32</f>
        <v>0</v>
      </c>
      <c r="CU12" s="14">
        <f>'[1]D-PND'!$BZ$33</f>
        <v>0</v>
      </c>
      <c r="CV12" s="14">
        <f>'[1]D-PND'!$BZ$34</f>
        <v>0</v>
      </c>
      <c r="CW12" s="14">
        <f>'[1]D-PND'!$BZ$35</f>
        <v>0</v>
      </c>
      <c r="CX12" s="14">
        <f>'[1]D-PND'!$BZ$36</f>
        <v>0</v>
      </c>
      <c r="CY12" s="14">
        <f>'[1]D-PND'!$BZ$37</f>
        <v>0</v>
      </c>
      <c r="CZ12" s="14">
        <f>'[1]D-PND'!$BZ$38</f>
        <v>0</v>
      </c>
      <c r="DA12" s="14">
        <f>'[1]D-PND'!$BZ$39</f>
        <v>0</v>
      </c>
      <c r="DB12" s="14">
        <f>'[1]D-PND'!$BZ$40</f>
        <v>0</v>
      </c>
      <c r="DC12" s="14">
        <f>'[1]D-PND'!$BZ$41</f>
        <v>0</v>
      </c>
      <c r="DD12" s="14">
        <f>'[1]D-PND'!$BZ$42</f>
        <v>0</v>
      </c>
      <c r="DE12" s="14">
        <f>'[1]D-PND'!$BZ$43</f>
        <v>0</v>
      </c>
      <c r="DF12" s="14">
        <f>'[1]D-PND'!$BZ$44</f>
        <v>0</v>
      </c>
      <c r="DG12" s="14">
        <f>'[1]D-PND'!$BZ$45</f>
        <v>0</v>
      </c>
      <c r="DH12" s="14">
        <f>'[1]D-PND'!$BZ$46</f>
        <v>0</v>
      </c>
      <c r="DI12" s="14">
        <f>'[1]D-PND'!$BZ$47</f>
        <v>0</v>
      </c>
      <c r="DJ12" s="14">
        <f>'[1]D-PND'!$BZ$48</f>
        <v>0</v>
      </c>
      <c r="DK12" s="16">
        <f>SUM(BZ12:DJ12)</f>
        <v>19755222</v>
      </c>
      <c r="DL12" s="66"/>
      <c r="DM12" s="67"/>
      <c r="DN12" s="67"/>
      <c r="DO12" s="67"/>
      <c r="DP12" s="67"/>
      <c r="DQ12" s="67"/>
      <c r="DR12" s="67"/>
      <c r="DS12" s="67"/>
      <c r="DT12" s="67"/>
      <c r="DU12" s="67"/>
      <c r="DV12" s="67"/>
      <c r="DW12" s="67"/>
      <c r="DX12" s="67"/>
      <c r="DY12" s="67"/>
      <c r="DZ12" s="67"/>
      <c r="EA12" s="67"/>
      <c r="EB12" s="67"/>
      <c r="EC12" s="67"/>
      <c r="ED12" s="67"/>
      <c r="EE12" s="67"/>
      <c r="EF12" s="67"/>
      <c r="EG12" s="67"/>
      <c r="EH12" s="67"/>
      <c r="EI12" s="67"/>
      <c r="EJ12" s="67"/>
      <c r="EK12" s="67"/>
      <c r="EL12" s="67"/>
      <c r="EM12" s="67"/>
      <c r="EN12" s="67"/>
      <c r="EO12" s="67"/>
      <c r="EP12" s="67"/>
      <c r="EQ12" s="67"/>
      <c r="ER12" s="67"/>
      <c r="ES12" s="67"/>
      <c r="ET12" s="67"/>
      <c r="EU12" s="67"/>
      <c r="EV12" s="67"/>
      <c r="EW12" s="68">
        <f>SUM(DL12:EV12)</f>
        <v>0</v>
      </c>
      <c r="EX12" s="66"/>
      <c r="EY12" s="67"/>
      <c r="EZ12" s="67"/>
      <c r="FA12" s="67"/>
      <c r="FB12" s="67"/>
      <c r="FC12" s="67"/>
      <c r="FD12" s="67"/>
      <c r="FE12" s="67"/>
      <c r="FF12" s="67"/>
      <c r="FG12" s="67"/>
      <c r="FH12" s="67"/>
      <c r="FI12" s="67"/>
      <c r="FJ12" s="67"/>
      <c r="FK12" s="67"/>
      <c r="FL12" s="67"/>
      <c r="FM12" s="67"/>
      <c r="FN12" s="67"/>
      <c r="FO12" s="67"/>
      <c r="FP12" s="67"/>
      <c r="FQ12" s="67"/>
      <c r="FR12" s="67"/>
      <c r="FS12" s="67"/>
      <c r="FT12" s="67"/>
      <c r="FU12" s="67"/>
      <c r="FV12" s="67"/>
      <c r="FW12" s="67"/>
      <c r="FX12" s="67"/>
      <c r="FY12" s="67"/>
      <c r="FZ12" s="67"/>
      <c r="GA12" s="67"/>
      <c r="GB12" s="67"/>
      <c r="GC12" s="67"/>
      <c r="GD12" s="67"/>
      <c r="GE12" s="67"/>
      <c r="GF12" s="67"/>
      <c r="GG12" s="67"/>
      <c r="GH12" s="67"/>
      <c r="GI12" s="68">
        <f>SUM(EX12:GH12)</f>
        <v>0</v>
      </c>
      <c r="GJ12" s="66"/>
      <c r="GK12" s="67"/>
      <c r="GL12" s="67"/>
      <c r="GM12" s="67"/>
      <c r="GN12" s="67"/>
      <c r="GO12" s="67"/>
      <c r="GP12" s="67"/>
      <c r="GQ12" s="67"/>
      <c r="GR12" s="67"/>
      <c r="GS12" s="67"/>
      <c r="GT12" s="67"/>
      <c r="GU12" s="67"/>
      <c r="GV12" s="67"/>
      <c r="GW12" s="67"/>
      <c r="GX12" s="67"/>
      <c r="GY12" s="67"/>
      <c r="GZ12" s="67"/>
      <c r="HA12" s="67"/>
      <c r="HB12" s="67"/>
      <c r="HC12" s="67"/>
      <c r="HD12" s="67"/>
      <c r="HE12" s="67"/>
      <c r="HF12" s="67"/>
      <c r="HG12" s="67"/>
      <c r="HH12" s="67"/>
      <c r="HI12" s="67"/>
      <c r="HJ12" s="67"/>
      <c r="HK12" s="67"/>
      <c r="HL12" s="67"/>
      <c r="HM12" s="67"/>
      <c r="HN12" s="67"/>
      <c r="HO12" s="67"/>
      <c r="HP12" s="67"/>
      <c r="HQ12" s="67"/>
      <c r="HR12" s="67"/>
      <c r="HS12" s="67"/>
      <c r="HT12" s="67"/>
      <c r="HU12" s="68">
        <f>SUM(GJ12:HT12)</f>
        <v>0</v>
      </c>
      <c r="HV12" s="28">
        <f>'[1]D-PRB'!$BZ$12</f>
        <v>0</v>
      </c>
      <c r="HW12" s="14">
        <f>'[1]D-PRB'!$BZ$13</f>
        <v>0</v>
      </c>
      <c r="HX12" s="14">
        <f>'[1]D-PRB'!$BZ$14</f>
        <v>0</v>
      </c>
      <c r="HY12" s="14">
        <f>'[1]D-PRB'!$BZ$15</f>
        <v>0</v>
      </c>
      <c r="HZ12" s="14">
        <f>'[1]D-PRB'!$BZ$16</f>
        <v>0</v>
      </c>
      <c r="IA12" s="14">
        <f>'[1]D-PRB'!$BZ$17</f>
        <v>0</v>
      </c>
      <c r="IB12" s="14">
        <f>'[1]D-PRB'!$BZ$18</f>
        <v>0</v>
      </c>
      <c r="IC12" s="14">
        <f>'[1]D-PRB'!$BZ$19</f>
        <v>0</v>
      </c>
      <c r="ID12" s="14">
        <f>'[1]D-PRB'!$BZ$20</f>
        <v>0</v>
      </c>
      <c r="IE12" s="14">
        <f>'[1]D-PRB'!$BZ$21</f>
        <v>0</v>
      </c>
      <c r="IF12" s="14">
        <f>'[1]D-PRB'!$BZ$22</f>
        <v>0</v>
      </c>
      <c r="IG12" s="14">
        <f>'[1]D-PRB'!$BZ$23</f>
        <v>0</v>
      </c>
      <c r="IH12" s="14">
        <f>'[1]D-PRB'!$BZ$24</f>
        <v>0</v>
      </c>
      <c r="II12" s="14">
        <f>'[1]D-PRB'!$BZ$25</f>
        <v>0</v>
      </c>
      <c r="IJ12" s="14">
        <f>'[1]D-PRB'!$BZ$26</f>
        <v>0</v>
      </c>
      <c r="IK12" s="14">
        <f>'[1]D-PRB'!$BZ$27</f>
        <v>0</v>
      </c>
      <c r="IL12" s="14">
        <f>'[1]D-PRB'!$BZ$28</f>
        <v>0</v>
      </c>
      <c r="IM12" s="14">
        <f>'[1]D-PRB'!$BZ$29</f>
        <v>0</v>
      </c>
      <c r="IN12" s="14">
        <f>'[1]D-PRB'!$BZ$30</f>
        <v>0</v>
      </c>
      <c r="IO12" s="14">
        <f>'[1]D-PRB'!$BZ$31</f>
        <v>0</v>
      </c>
      <c r="IP12" s="14">
        <f>'[1]D-PRB'!$BZ$32</f>
        <v>0</v>
      </c>
      <c r="IQ12" s="14">
        <f>'[1]D-PRB'!$BZ$33</f>
        <v>0</v>
      </c>
      <c r="IR12" s="14">
        <f>'[1]D-PRB'!$BZ$34</f>
        <v>0</v>
      </c>
      <c r="IS12" s="14">
        <f>'[1]D-PRB'!$BZ$35</f>
        <v>0</v>
      </c>
      <c r="IT12" s="14">
        <f>'[1]D-PRB'!$BZ$36</f>
        <v>0</v>
      </c>
      <c r="IU12" s="14">
        <f>'[1]D-PRB'!$BZ$37</f>
        <v>0</v>
      </c>
      <c r="IV12" s="14">
        <f>'[1]D-PRB'!$BZ$38</f>
        <v>0</v>
      </c>
      <c r="IW12" s="14">
        <f>'[1]D-PRB'!$BZ$39</f>
        <v>0</v>
      </c>
      <c r="IX12" s="14">
        <f>'[1]D-PRB'!$BZ$40</f>
        <v>0</v>
      </c>
      <c r="IY12" s="14">
        <f>'[1]D-PRB'!$BZ$41</f>
        <v>0</v>
      </c>
      <c r="IZ12" s="14">
        <f>'[1]D-PRB'!$BZ$42</f>
        <v>0</v>
      </c>
      <c r="JA12" s="14">
        <f>'[1]D-PRB'!$BZ$43</f>
        <v>0</v>
      </c>
      <c r="JB12" s="14">
        <f>'[1]D-PRB'!$BZ$44</f>
        <v>0</v>
      </c>
      <c r="JC12" s="14">
        <f>'[1]D-PRB'!$BZ$45</f>
        <v>0</v>
      </c>
      <c r="JD12" s="14">
        <f>'[1]D-PRB'!$BZ$46</f>
        <v>0</v>
      </c>
      <c r="JE12" s="14">
        <f>'[1]D-PRB'!$BZ$47</f>
        <v>0</v>
      </c>
      <c r="JF12" s="14">
        <f>'[1]D-PRB'!$BZ$48</f>
        <v>0</v>
      </c>
      <c r="JG12" s="16">
        <f>SUM(HV12:JF12)</f>
        <v>0</v>
      </c>
      <c r="JH12" s="66"/>
      <c r="JI12" s="67"/>
      <c r="JJ12" s="67"/>
      <c r="JK12" s="67"/>
      <c r="JL12" s="67"/>
      <c r="JM12" s="67"/>
      <c r="JN12" s="67"/>
      <c r="JO12" s="67"/>
      <c r="JP12" s="67"/>
      <c r="JQ12" s="67"/>
      <c r="JR12" s="67"/>
      <c r="JS12" s="67"/>
      <c r="JT12" s="67"/>
      <c r="JU12" s="67"/>
      <c r="JV12" s="67"/>
      <c r="JW12" s="67"/>
      <c r="JX12" s="67"/>
      <c r="JY12" s="67"/>
      <c r="JZ12" s="67"/>
      <c r="KA12" s="67"/>
      <c r="KB12" s="67"/>
      <c r="KC12" s="67"/>
      <c r="KD12" s="67"/>
      <c r="KE12" s="67"/>
      <c r="KF12" s="67"/>
      <c r="KG12" s="67"/>
      <c r="KH12" s="67"/>
      <c r="KI12" s="67"/>
      <c r="KJ12" s="67"/>
      <c r="KK12" s="67"/>
      <c r="KL12" s="67"/>
      <c r="KM12" s="67"/>
      <c r="KN12" s="67"/>
      <c r="KO12" s="67"/>
      <c r="KP12" s="67"/>
      <c r="KQ12" s="67"/>
      <c r="KR12" s="67"/>
      <c r="KS12" s="68">
        <f>SUM(JH12:KR12)</f>
        <v>0</v>
      </c>
      <c r="KT12" s="66"/>
      <c r="KU12" s="67"/>
      <c r="KV12" s="67"/>
      <c r="KW12" s="67"/>
      <c r="KX12" s="67"/>
      <c r="KY12" s="67"/>
      <c r="KZ12" s="67"/>
      <c r="LA12" s="67"/>
      <c r="LB12" s="67"/>
      <c r="LC12" s="67"/>
      <c r="LD12" s="67"/>
      <c r="LE12" s="67"/>
      <c r="LF12" s="67"/>
      <c r="LG12" s="67"/>
      <c r="LH12" s="67"/>
      <c r="LI12" s="67"/>
      <c r="LJ12" s="67"/>
      <c r="LK12" s="67"/>
      <c r="LL12" s="67"/>
      <c r="LM12" s="67"/>
      <c r="LN12" s="67"/>
      <c r="LO12" s="67"/>
      <c r="LP12" s="67"/>
      <c r="LQ12" s="67"/>
      <c r="LR12" s="67"/>
      <c r="LS12" s="67"/>
      <c r="LT12" s="67"/>
      <c r="LU12" s="67"/>
      <c r="LV12" s="67"/>
      <c r="LW12" s="67"/>
      <c r="LX12" s="67"/>
      <c r="LY12" s="67"/>
      <c r="LZ12" s="67"/>
      <c r="MA12" s="67"/>
      <c r="MB12" s="67"/>
      <c r="MC12" s="67"/>
      <c r="MD12" s="67"/>
      <c r="ME12" s="68">
        <f>SUM(KT12:MD12)</f>
        <v>0</v>
      </c>
      <c r="MF12" s="66"/>
      <c r="MG12" s="67"/>
      <c r="MH12" s="67"/>
      <c r="MI12" s="67"/>
      <c r="MJ12" s="67"/>
      <c r="MK12" s="67"/>
      <c r="ML12" s="67"/>
      <c r="MM12" s="67"/>
      <c r="MN12" s="67"/>
      <c r="MO12" s="67"/>
      <c r="MP12" s="67"/>
      <c r="MQ12" s="67"/>
      <c r="MR12" s="67"/>
      <c r="MS12" s="67"/>
      <c r="MT12" s="67"/>
      <c r="MU12" s="67"/>
      <c r="MV12" s="67"/>
      <c r="MW12" s="67"/>
      <c r="MX12" s="67"/>
      <c r="MY12" s="67"/>
      <c r="MZ12" s="67"/>
      <c r="NA12" s="67"/>
      <c r="NB12" s="67"/>
      <c r="NC12" s="67"/>
      <c r="ND12" s="67"/>
      <c r="NE12" s="67"/>
      <c r="NF12" s="67"/>
      <c r="NG12" s="67"/>
      <c r="NH12" s="67"/>
      <c r="NI12" s="67"/>
      <c r="NJ12" s="67"/>
      <c r="NK12" s="67"/>
      <c r="NL12" s="67"/>
      <c r="NM12" s="67"/>
      <c r="NN12" s="67"/>
      <c r="NO12" s="67"/>
      <c r="NP12" s="67"/>
      <c r="NQ12" s="68">
        <f>SUM(MF12:NP12)</f>
        <v>0</v>
      </c>
      <c r="NR12" s="14">
        <f>'[1]D-PS'!$BZ$12</f>
        <v>0</v>
      </c>
      <c r="NS12" s="14">
        <f>'[1]D-PS'!$BZ$13</f>
        <v>0</v>
      </c>
      <c r="NT12" s="14">
        <f>'[1]D-PS'!$BZ$14</f>
        <v>0</v>
      </c>
      <c r="NU12" s="14">
        <f>'[1]D-PS'!$BZ$15</f>
        <v>0</v>
      </c>
      <c r="NV12" s="14">
        <f>'[1]D-PS'!$BZ$16</f>
        <v>0</v>
      </c>
      <c r="NW12" s="14">
        <f>'[1]D-PS'!$BZ$17</f>
        <v>0</v>
      </c>
      <c r="NX12" s="14">
        <f>'[1]D-PS'!$BZ$18</f>
        <v>0</v>
      </c>
      <c r="NY12" s="14">
        <f>'[1]D-PS'!$BZ$19</f>
        <v>0</v>
      </c>
      <c r="NZ12" s="14">
        <f>'[1]D-PS'!$BZ$20</f>
        <v>0</v>
      </c>
      <c r="OA12" s="14">
        <f>'[1]D-PS'!$BZ$21</f>
        <v>0</v>
      </c>
      <c r="OB12" s="14">
        <f>'[1]D-PS'!$BZ$22</f>
        <v>0</v>
      </c>
      <c r="OC12" s="14">
        <f>'[1]D-PS'!$BZ$23</f>
        <v>0</v>
      </c>
      <c r="OD12" s="14">
        <f>'[1]D-PS'!$BZ$24</f>
        <v>0</v>
      </c>
      <c r="OE12" s="14">
        <f>'[1]D-PS'!$BZ$25</f>
        <v>0</v>
      </c>
      <c r="OF12" s="14">
        <f>'[1]D-PS'!$BZ$26</f>
        <v>0</v>
      </c>
      <c r="OG12" s="14">
        <f>'[1]D-PS'!$BZ$27</f>
        <v>0</v>
      </c>
      <c r="OH12" s="14">
        <f>'[1]D-PS'!$BZ$28</f>
        <v>0</v>
      </c>
      <c r="OI12" s="14">
        <f>'[1]D-PS'!$BZ$29</f>
        <v>0</v>
      </c>
      <c r="OJ12" s="14">
        <f>'[1]D-PS'!$BZ$30</f>
        <v>0</v>
      </c>
      <c r="OK12" s="14">
        <f>'[1]D-PS'!$BZ$31</f>
        <v>0</v>
      </c>
      <c r="OL12" s="14">
        <f>'[1]D-PS'!$BZ$32</f>
        <v>0</v>
      </c>
      <c r="OM12" s="14">
        <f>'[1]D-PS'!$BZ$33</f>
        <v>0</v>
      </c>
      <c r="ON12" s="14">
        <f>'[1]D-PS'!$BZ$34</f>
        <v>0</v>
      </c>
      <c r="OO12" s="14">
        <f>'[1]D-PS'!$BZ$35</f>
        <v>0</v>
      </c>
      <c r="OP12" s="14">
        <f>'[1]D-PS'!$BZ$36</f>
        <v>0</v>
      </c>
      <c r="OQ12" s="14">
        <f>'[1]D-PS'!$BZ$37</f>
        <v>0</v>
      </c>
      <c r="OR12" s="14">
        <f>'[1]D-PS'!$BZ$38</f>
        <v>0</v>
      </c>
      <c r="OS12" s="14">
        <f>'[1]D-PS'!$BZ$39</f>
        <v>0</v>
      </c>
      <c r="OT12" s="14">
        <f>'[1]D-PS'!$BZ$40</f>
        <v>0</v>
      </c>
      <c r="OU12" s="14">
        <f>'[1]D-PS'!$BZ$41</f>
        <v>0</v>
      </c>
      <c r="OV12" s="14">
        <f>'[1]D-PS'!$BZ$42</f>
        <v>0</v>
      </c>
      <c r="OW12" s="14">
        <f>'[1]D-PS'!$BZ$43</f>
        <v>0</v>
      </c>
      <c r="OX12" s="14">
        <f>'[1]D-PS'!$BZ$44</f>
        <v>0</v>
      </c>
      <c r="OY12" s="14">
        <f>'[1]D-PS'!$BZ$45</f>
        <v>0</v>
      </c>
      <c r="OZ12" s="14">
        <f>'[1]D-PS'!$BZ$46</f>
        <v>0</v>
      </c>
      <c r="PA12" s="14">
        <f>'[1]D-PS'!$BZ$47</f>
        <v>0</v>
      </c>
      <c r="PB12" s="14">
        <f>'[1]D-PS'!$BZ$48</f>
        <v>0</v>
      </c>
      <c r="PC12" s="16">
        <f>SUM(NR12:PB12)</f>
        <v>0</v>
      </c>
    </row>
    <row r="13" spans="1:423" outlineLevel="1" x14ac:dyDescent="0.3">
      <c r="A13" s="46" t="s">
        <v>11</v>
      </c>
      <c r="B13" s="25">
        <f>'[2]CF PDP'!$BW$36</f>
        <v>2692635</v>
      </c>
      <c r="C13" s="25">
        <f>'[2]CF PDP'!$BW$37</f>
        <v>2692635</v>
      </c>
      <c r="D13" s="25">
        <f>'[2]CF PDP'!$BW$38</f>
        <v>2692635</v>
      </c>
      <c r="E13" s="25">
        <f>'[2]CF PDP'!$BW$39</f>
        <v>2692635</v>
      </c>
      <c r="F13" s="25">
        <f>'[2]CF PDP'!$BW$40</f>
        <v>2692635</v>
      </c>
      <c r="G13" s="25">
        <f>'[2]CF PDP'!$BW$41</f>
        <v>2692635</v>
      </c>
      <c r="H13" s="25">
        <f>'[2]CF PDP'!$BW$42</f>
        <v>0</v>
      </c>
      <c r="I13" s="25">
        <f>'[2]CF PDP'!$BW$43</f>
        <v>0</v>
      </c>
      <c r="J13" s="25">
        <f>'[2]CF PDP'!$BW$44</f>
        <v>0</v>
      </c>
      <c r="K13" s="25">
        <f>'[2]CF PDP'!$BW$45</f>
        <v>0</v>
      </c>
      <c r="L13" s="25">
        <f>'[2]CF PDP'!$BW$46</f>
        <v>0</v>
      </c>
      <c r="M13" s="25">
        <f>'[2]CF PDP'!$BW$47</f>
        <v>0</v>
      </c>
      <c r="N13" s="25">
        <f>'[2]CF PDP'!$BW$48</f>
        <v>0</v>
      </c>
      <c r="O13" s="25">
        <f>'[2]CF PDP'!$BW$49</f>
        <v>0</v>
      </c>
      <c r="P13" s="25">
        <f>'[2]CF PDP'!$BW$50</f>
        <v>0</v>
      </c>
      <c r="Q13" s="25">
        <f>'[2]CF PDP'!$BW$51</f>
        <v>0</v>
      </c>
      <c r="R13" s="25">
        <f>'[2]CF PDP'!$BW$52</f>
        <v>0</v>
      </c>
      <c r="S13" s="25">
        <f>'[2]CF PDP'!$BW$53</f>
        <v>0</v>
      </c>
      <c r="T13" s="25">
        <f>'[2]CF PDP'!$BW$54</f>
        <v>0</v>
      </c>
      <c r="U13" s="25">
        <f>'[2]CF PDP'!$BW$55</f>
        <v>0</v>
      </c>
      <c r="V13" s="25">
        <f>'[2]CF PDP'!$BW$56</f>
        <v>0</v>
      </c>
      <c r="W13" s="25">
        <f>'[2]CF PDP'!$BW$57</f>
        <v>0</v>
      </c>
      <c r="X13" s="25">
        <f>'[2]CF PDP'!$BW$58</f>
        <v>0</v>
      </c>
      <c r="Y13" s="25">
        <f>'[2]CF PDP'!$BW$59</f>
        <v>0</v>
      </c>
      <c r="Z13" s="25">
        <f>'[2]CF PDP'!$BW$60</f>
        <v>0</v>
      </c>
      <c r="AA13" s="25">
        <f>'[2]CF PDP'!$BW$61</f>
        <v>0</v>
      </c>
      <c r="AB13" s="25">
        <f>'[2]CF PDP'!$BW$62</f>
        <v>0</v>
      </c>
      <c r="AC13" s="25">
        <f>'[2]CF PDP'!$BW$63</f>
        <v>0</v>
      </c>
      <c r="AD13" s="25">
        <f>'[2]CF PDP'!$BW$64</f>
        <v>0</v>
      </c>
      <c r="AE13" s="25">
        <f>'[2]CF PDP'!$BW$65</f>
        <v>0</v>
      </c>
      <c r="AF13" s="25">
        <f>'[2]CF PDP'!$BW$66</f>
        <v>0</v>
      </c>
      <c r="AG13" s="25">
        <f>'[2]CF PDP'!$BW$67</f>
        <v>0</v>
      </c>
      <c r="AH13" s="25">
        <f>'[2]CF PDP'!$BW$68</f>
        <v>0</v>
      </c>
      <c r="AI13" s="25">
        <f>'[2]CF PDP'!$BW$69</f>
        <v>0</v>
      </c>
      <c r="AJ13" s="25">
        <f>'[2]CF PDP'!$BW$70</f>
        <v>0</v>
      </c>
      <c r="AK13" s="25">
        <f>'[2]CF PDP'!$BW$71</f>
        <v>0</v>
      </c>
      <c r="AL13" s="25">
        <f>'[2]CF PDP'!$BW$72</f>
        <v>0</v>
      </c>
      <c r="AM13" s="26">
        <f>SUM(B13:AL13)</f>
        <v>16155810</v>
      </c>
      <c r="AN13" s="27">
        <f>'[2]CF PNP'!$BW$36</f>
        <v>0</v>
      </c>
      <c r="AO13" s="25">
        <f>'[2]CF PNP'!$BW$37</f>
        <v>0</v>
      </c>
      <c r="AP13" s="25">
        <f>'[2]CF PNP'!$BW$38</f>
        <v>0</v>
      </c>
      <c r="AQ13" s="25">
        <f>'[2]CF PNP'!$BW$39</f>
        <v>0</v>
      </c>
      <c r="AR13" s="25">
        <f>'[2]CF PNP'!$BW$40</f>
        <v>0</v>
      </c>
      <c r="AS13" s="25">
        <f>'[2]CF PNP'!$BW$41</f>
        <v>0</v>
      </c>
      <c r="AT13" s="25">
        <f>'[2]CF PNP'!$BW$42</f>
        <v>2692635</v>
      </c>
      <c r="AU13" s="25">
        <f>'[2]CF PNP'!$BW$43</f>
        <v>0</v>
      </c>
      <c r="AV13" s="25">
        <f>'[2]CF PNP'!$BW$44</f>
        <v>0</v>
      </c>
      <c r="AW13" s="25">
        <f>'[2]CF PNP'!$BW$45</f>
        <v>0</v>
      </c>
      <c r="AX13" s="25">
        <f>'[2]CF PNP'!$BW$46</f>
        <v>0</v>
      </c>
      <c r="AY13" s="25">
        <f>'[2]CF PNP'!$BW$47</f>
        <v>0</v>
      </c>
      <c r="AZ13" s="25">
        <f>'[2]CF PNP'!$BW$48</f>
        <v>0</v>
      </c>
      <c r="BA13" s="25">
        <f>'[2]CF PNP'!$BW$49</f>
        <v>0</v>
      </c>
      <c r="BB13" s="25">
        <f>'[2]CF PNP'!$BW$50</f>
        <v>0</v>
      </c>
      <c r="BC13" s="25">
        <f>'[2]CF PNP'!$BW$51</f>
        <v>0</v>
      </c>
      <c r="BD13" s="25">
        <f>'[2]CF PNP'!$BW$52</f>
        <v>0</v>
      </c>
      <c r="BE13" s="25">
        <f>'[2]CF PNP'!$BW$53</f>
        <v>0</v>
      </c>
      <c r="BF13" s="25">
        <f>'[2]CF PNP'!$BW$54</f>
        <v>0</v>
      </c>
      <c r="BG13" s="25">
        <f>'[2]CF PNP'!$BW$55</f>
        <v>0</v>
      </c>
      <c r="BH13" s="25">
        <f>'[2]CF PNP'!$BW$56</f>
        <v>0</v>
      </c>
      <c r="BI13" s="25">
        <f>'[2]CF PNP'!$BW$57</f>
        <v>0</v>
      </c>
      <c r="BJ13" s="25">
        <f>'[2]CF PNP'!$BW$58</f>
        <v>0</v>
      </c>
      <c r="BK13" s="25">
        <f>'[2]CF PNP'!$BW$59</f>
        <v>0</v>
      </c>
      <c r="BL13" s="25">
        <f>'[2]CF PNP'!$BW$60</f>
        <v>0</v>
      </c>
      <c r="BM13" s="25">
        <f>'[2]CF PNP'!$BW$61</f>
        <v>0</v>
      </c>
      <c r="BN13" s="25">
        <f>'[2]CF PNP'!$BW$62</f>
        <v>0</v>
      </c>
      <c r="BO13" s="25">
        <f>'[2]CF PNP'!$BW$63</f>
        <v>0</v>
      </c>
      <c r="BP13" s="25">
        <f>'[2]CF PNP'!$BW$64</f>
        <v>0</v>
      </c>
      <c r="BQ13" s="25">
        <f>'[2]CF PNP'!$BW$65</f>
        <v>0</v>
      </c>
      <c r="BR13" s="25">
        <f>'[2]CF PNP'!$BW$66</f>
        <v>0</v>
      </c>
      <c r="BS13" s="25">
        <f>'[2]CF PNP'!$BW$67</f>
        <v>0</v>
      </c>
      <c r="BT13" s="25">
        <f>'[2]CF PNP'!$BW$68</f>
        <v>0</v>
      </c>
      <c r="BU13" s="25">
        <f>'[2]CF PNP'!$BW$69</f>
        <v>0</v>
      </c>
      <c r="BV13" s="25">
        <f>'[2]CF PNP'!$BW$70</f>
        <v>0</v>
      </c>
      <c r="BW13" s="25">
        <f>'[2]CF PNP'!$BW$71</f>
        <v>0</v>
      </c>
      <c r="BX13" s="25">
        <f>'[2]CF PNP'!$BW$72</f>
        <v>0</v>
      </c>
      <c r="BY13" s="26">
        <f>SUM(AN13:BX13)</f>
        <v>2692635</v>
      </c>
      <c r="BZ13" s="27">
        <f>'[2]CF PND'!$BW$36</f>
        <v>0</v>
      </c>
      <c r="CA13" s="25">
        <f>'[2]CF PND'!$BW$37</f>
        <v>0</v>
      </c>
      <c r="CB13" s="25">
        <f>'[2]CF PND'!$BW$38</f>
        <v>0</v>
      </c>
      <c r="CC13" s="25">
        <f>'[2]CF PND'!$BW$39</f>
        <v>0</v>
      </c>
      <c r="CD13" s="25">
        <f>'[2]CF PND'!$BW$40</f>
        <v>0</v>
      </c>
      <c r="CE13" s="25">
        <f>'[2]CF PND'!$BW$41</f>
        <v>0</v>
      </c>
      <c r="CF13" s="25">
        <f>'[2]CF PND'!$BW$42</f>
        <v>0</v>
      </c>
      <c r="CG13" s="25">
        <f>'[2]CF PND'!$BW$43</f>
        <v>2692635</v>
      </c>
      <c r="CH13" s="25">
        <f>'[2]CF PND'!$BW$44</f>
        <v>2692635</v>
      </c>
      <c r="CI13" s="25">
        <f>'[2]CF PND'!$BW$45</f>
        <v>0</v>
      </c>
      <c r="CJ13" s="25">
        <f>'[2]CF PND'!$BW$46</f>
        <v>0</v>
      </c>
      <c r="CK13" s="25">
        <f>'[2]CF PND'!$BW$47</f>
        <v>0</v>
      </c>
      <c r="CL13" s="25">
        <f>'[2]CF PND'!$BW$48</f>
        <v>0</v>
      </c>
      <c r="CM13" s="25">
        <f>'[2]CF PND'!$BW$49</f>
        <v>0</v>
      </c>
      <c r="CN13" s="25">
        <f>'[2]CF PND'!$BW$50</f>
        <v>0</v>
      </c>
      <c r="CO13" s="25">
        <f>'[2]CF PND'!$BW$51</f>
        <v>0</v>
      </c>
      <c r="CP13" s="25">
        <f>'[2]CF PND'!$BW$52</f>
        <v>0</v>
      </c>
      <c r="CQ13" s="25">
        <f>'[2]CF PND'!$BW$53</f>
        <v>0</v>
      </c>
      <c r="CR13" s="25">
        <f>'[2]CF PND'!$BW$54</f>
        <v>0</v>
      </c>
      <c r="CS13" s="25">
        <f>'[2]CF PND'!$BW$55</f>
        <v>0</v>
      </c>
      <c r="CT13" s="25">
        <f>'[2]CF PND'!$BW$56</f>
        <v>0</v>
      </c>
      <c r="CU13" s="25">
        <f>'[2]CF PND'!$BW$57</f>
        <v>0</v>
      </c>
      <c r="CV13" s="25">
        <f>'[2]CF PND'!$BW$58</f>
        <v>0</v>
      </c>
      <c r="CW13" s="25">
        <f>'[2]CF PND'!$BW$59</f>
        <v>0</v>
      </c>
      <c r="CX13" s="25">
        <f>'[2]CF PND'!$BW$60</f>
        <v>0</v>
      </c>
      <c r="CY13" s="25">
        <f>'[2]CF PND'!$BW$61</f>
        <v>0</v>
      </c>
      <c r="CZ13" s="25">
        <f>'[2]CF PND'!$BW$62</f>
        <v>0</v>
      </c>
      <c r="DA13" s="25">
        <f>'[2]CF PND'!$BW$63</f>
        <v>0</v>
      </c>
      <c r="DB13" s="25">
        <f>'[2]CF PND'!$BW$64</f>
        <v>0</v>
      </c>
      <c r="DC13" s="25">
        <f>'[2]CF PND'!$BW$65</f>
        <v>0</v>
      </c>
      <c r="DD13" s="25">
        <f>'[2]CF PND'!$BW$66</f>
        <v>0</v>
      </c>
      <c r="DE13" s="25">
        <f>'[2]CF PND'!$BW$67</f>
        <v>0</v>
      </c>
      <c r="DF13" s="25">
        <f>'[2]CF PND'!$BW$68</f>
        <v>0</v>
      </c>
      <c r="DG13" s="25">
        <f>'[2]CF PND'!$BW$69</f>
        <v>0</v>
      </c>
      <c r="DH13" s="25">
        <f>'[2]CF PND'!$BW$70</f>
        <v>0</v>
      </c>
      <c r="DI13" s="25">
        <f>'[2]CF PND'!$BW$71</f>
        <v>0</v>
      </c>
      <c r="DJ13" s="25">
        <f>'[2]CF PND'!$BW$72</f>
        <v>0</v>
      </c>
      <c r="DK13" s="26">
        <f>SUM(BZ13:DJ13)</f>
        <v>5385270</v>
      </c>
      <c r="DL13" s="69"/>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c r="EW13" s="71">
        <f>SUM(DL13:EV13)</f>
        <v>0</v>
      </c>
      <c r="EX13" s="69"/>
      <c r="EY13" s="70"/>
      <c r="EZ13" s="70"/>
      <c r="FA13" s="70"/>
      <c r="FB13" s="70"/>
      <c r="FC13" s="70"/>
      <c r="FD13" s="70"/>
      <c r="FE13" s="70"/>
      <c r="FF13" s="70"/>
      <c r="FG13" s="70"/>
      <c r="FH13" s="70"/>
      <c r="FI13" s="70"/>
      <c r="FJ13" s="70"/>
      <c r="FK13" s="70"/>
      <c r="FL13" s="70"/>
      <c r="FM13" s="70"/>
      <c r="FN13" s="70"/>
      <c r="FO13" s="70"/>
      <c r="FP13" s="70"/>
      <c r="FQ13" s="70"/>
      <c r="FR13" s="70"/>
      <c r="FS13" s="70"/>
      <c r="FT13" s="70"/>
      <c r="FU13" s="70"/>
      <c r="FV13" s="70"/>
      <c r="FW13" s="70"/>
      <c r="FX13" s="70"/>
      <c r="FY13" s="70"/>
      <c r="FZ13" s="70"/>
      <c r="GA13" s="70"/>
      <c r="GB13" s="70"/>
      <c r="GC13" s="70"/>
      <c r="GD13" s="70"/>
      <c r="GE13" s="70"/>
      <c r="GF13" s="70"/>
      <c r="GG13" s="70"/>
      <c r="GH13" s="70"/>
      <c r="GI13" s="71">
        <f>SUM(EX13:GH13)</f>
        <v>0</v>
      </c>
      <c r="GJ13" s="69"/>
      <c r="GK13" s="70"/>
      <c r="GL13" s="70"/>
      <c r="GM13" s="70"/>
      <c r="GN13" s="70"/>
      <c r="GO13" s="70"/>
      <c r="GP13" s="70"/>
      <c r="GQ13" s="70"/>
      <c r="GR13" s="70"/>
      <c r="GS13" s="70"/>
      <c r="GT13" s="70"/>
      <c r="GU13" s="70"/>
      <c r="GV13" s="70"/>
      <c r="GW13" s="70"/>
      <c r="GX13" s="70"/>
      <c r="GY13" s="70"/>
      <c r="GZ13" s="70"/>
      <c r="HA13" s="70"/>
      <c r="HB13" s="70"/>
      <c r="HC13" s="70"/>
      <c r="HD13" s="70"/>
      <c r="HE13" s="70"/>
      <c r="HF13" s="70"/>
      <c r="HG13" s="70"/>
      <c r="HH13" s="70"/>
      <c r="HI13" s="70"/>
      <c r="HJ13" s="70"/>
      <c r="HK13" s="70"/>
      <c r="HL13" s="70"/>
      <c r="HM13" s="70"/>
      <c r="HN13" s="70"/>
      <c r="HO13" s="70"/>
      <c r="HP13" s="70"/>
      <c r="HQ13" s="70"/>
      <c r="HR13" s="70"/>
      <c r="HS13" s="70"/>
      <c r="HT13" s="70"/>
      <c r="HU13" s="71">
        <f>SUM(GJ13:HT13)</f>
        <v>0</v>
      </c>
      <c r="HV13" s="27">
        <f>'[2]CF PRB'!$BW$36</f>
        <v>0</v>
      </c>
      <c r="HW13" s="25">
        <f>'[2]CF PRB'!$BW$37</f>
        <v>0</v>
      </c>
      <c r="HX13" s="25">
        <f>'[2]CF PRB'!$BW$38</f>
        <v>0</v>
      </c>
      <c r="HY13" s="25">
        <f>'[2]CF PRB'!$BW$39</f>
        <v>0</v>
      </c>
      <c r="HZ13" s="25">
        <f>'[2]CF PRB'!$BW$40</f>
        <v>0</v>
      </c>
      <c r="IA13" s="25">
        <f>'[2]CF PRB'!$BW$41</f>
        <v>0</v>
      </c>
      <c r="IB13" s="25">
        <f>'[2]CF PRB'!$BW$42</f>
        <v>0</v>
      </c>
      <c r="IC13" s="25">
        <f>'[2]CF PRB'!$BW$43</f>
        <v>0</v>
      </c>
      <c r="ID13" s="25">
        <f>'[2]CF PRB'!$BW$44</f>
        <v>0</v>
      </c>
      <c r="IE13" s="25">
        <f>'[2]CF PRB'!$BW$45</f>
        <v>2692635</v>
      </c>
      <c r="IF13" s="25">
        <f>'[2]CF PRB'!$BW$46</f>
        <v>0</v>
      </c>
      <c r="IG13" s="25">
        <f>'[2]CF PRB'!$BW$47</f>
        <v>0</v>
      </c>
      <c r="IH13" s="25">
        <f>'[2]CF PRB'!$BW$48</f>
        <v>0</v>
      </c>
      <c r="II13" s="25">
        <f>'[2]CF PRB'!$BW$49</f>
        <v>0</v>
      </c>
      <c r="IJ13" s="25">
        <f>'[2]CF PRB'!$BW$50</f>
        <v>0</v>
      </c>
      <c r="IK13" s="25">
        <f>'[2]CF PRB'!$BW$51</f>
        <v>0</v>
      </c>
      <c r="IL13" s="25">
        <f>'[2]CF PRB'!$BW$52</f>
        <v>0</v>
      </c>
      <c r="IM13" s="25">
        <f>'[2]CF PRB'!$BW$53</f>
        <v>0</v>
      </c>
      <c r="IN13" s="25">
        <f>'[2]CF PRB'!$BW$54</f>
        <v>0</v>
      </c>
      <c r="IO13" s="25">
        <f>'[2]CF PRB'!$BW$55</f>
        <v>0</v>
      </c>
      <c r="IP13" s="25">
        <f>'[2]CF PRB'!$BW$56</f>
        <v>0</v>
      </c>
      <c r="IQ13" s="25">
        <f>'[2]CF PRB'!$BW$57</f>
        <v>0</v>
      </c>
      <c r="IR13" s="25">
        <f>'[2]CF PRB'!$BW$58</f>
        <v>0</v>
      </c>
      <c r="IS13" s="25">
        <f>'[2]CF PRB'!$BW$59</f>
        <v>0</v>
      </c>
      <c r="IT13" s="25">
        <f>'[2]CF PRB'!$BW$60</f>
        <v>0</v>
      </c>
      <c r="IU13" s="25">
        <f>'[2]CF PRB'!$BW$61</f>
        <v>0</v>
      </c>
      <c r="IV13" s="25">
        <f>'[2]CF PRB'!$BW$62</f>
        <v>0</v>
      </c>
      <c r="IW13" s="25">
        <f>'[2]CF PRB'!$BW$63</f>
        <v>0</v>
      </c>
      <c r="IX13" s="25">
        <f>'[2]CF PRB'!$BW$64</f>
        <v>0</v>
      </c>
      <c r="IY13" s="25">
        <f>'[2]CF PRB'!$BW$65</f>
        <v>0</v>
      </c>
      <c r="IZ13" s="25">
        <f>'[2]CF PRB'!$BW$66</f>
        <v>0</v>
      </c>
      <c r="JA13" s="25">
        <f>'[2]CF PRB'!$BW$67</f>
        <v>0</v>
      </c>
      <c r="JB13" s="25">
        <f>'[2]CF PRB'!$BW$68</f>
        <v>0</v>
      </c>
      <c r="JC13" s="25">
        <f>'[2]CF PRB'!$BW$69</f>
        <v>0</v>
      </c>
      <c r="JD13" s="25">
        <f>'[2]CF PRB'!$BW$70</f>
        <v>0</v>
      </c>
      <c r="JE13" s="25">
        <f>'[2]CF PRB'!$BW$71</f>
        <v>0</v>
      </c>
      <c r="JF13" s="25">
        <f>'[2]CF PRB'!$BW$72</f>
        <v>0</v>
      </c>
      <c r="JG13" s="26">
        <f>SUM(HV13:JF13)</f>
        <v>2692635</v>
      </c>
      <c r="JH13" s="69"/>
      <c r="JI13" s="70"/>
      <c r="JJ13" s="70"/>
      <c r="JK13" s="70"/>
      <c r="JL13" s="70"/>
      <c r="JM13" s="70"/>
      <c r="JN13" s="70"/>
      <c r="JO13" s="70"/>
      <c r="JP13" s="70"/>
      <c r="JQ13" s="70"/>
      <c r="JR13" s="70"/>
      <c r="JS13" s="70"/>
      <c r="JT13" s="70"/>
      <c r="JU13" s="70"/>
      <c r="JV13" s="70"/>
      <c r="JW13" s="70"/>
      <c r="JX13" s="70"/>
      <c r="JY13" s="70"/>
      <c r="JZ13" s="70"/>
      <c r="KA13" s="70"/>
      <c r="KB13" s="70"/>
      <c r="KC13" s="70"/>
      <c r="KD13" s="70"/>
      <c r="KE13" s="70"/>
      <c r="KF13" s="70"/>
      <c r="KG13" s="70"/>
      <c r="KH13" s="70"/>
      <c r="KI13" s="70"/>
      <c r="KJ13" s="70"/>
      <c r="KK13" s="70"/>
      <c r="KL13" s="70"/>
      <c r="KM13" s="70"/>
      <c r="KN13" s="70"/>
      <c r="KO13" s="70"/>
      <c r="KP13" s="70"/>
      <c r="KQ13" s="70"/>
      <c r="KR13" s="70"/>
      <c r="KS13" s="71">
        <f>SUM(JH13:KR13)</f>
        <v>0</v>
      </c>
      <c r="KT13" s="69"/>
      <c r="KU13" s="70"/>
      <c r="KV13" s="70"/>
      <c r="KW13" s="70"/>
      <c r="KX13" s="70"/>
      <c r="KY13" s="70"/>
      <c r="KZ13" s="70"/>
      <c r="LA13" s="70"/>
      <c r="LB13" s="70"/>
      <c r="LC13" s="70"/>
      <c r="LD13" s="70"/>
      <c r="LE13" s="70"/>
      <c r="LF13" s="70"/>
      <c r="LG13" s="70"/>
      <c r="LH13" s="70"/>
      <c r="LI13" s="70"/>
      <c r="LJ13" s="70"/>
      <c r="LK13" s="70"/>
      <c r="LL13" s="70"/>
      <c r="LM13" s="70"/>
      <c r="LN13" s="70"/>
      <c r="LO13" s="70"/>
      <c r="LP13" s="70"/>
      <c r="LQ13" s="70"/>
      <c r="LR13" s="70"/>
      <c r="LS13" s="70"/>
      <c r="LT13" s="70"/>
      <c r="LU13" s="70"/>
      <c r="LV13" s="70"/>
      <c r="LW13" s="70"/>
      <c r="LX13" s="70"/>
      <c r="LY13" s="70"/>
      <c r="LZ13" s="70"/>
      <c r="MA13" s="70"/>
      <c r="MB13" s="70"/>
      <c r="MC13" s="70"/>
      <c r="MD13" s="70"/>
      <c r="ME13" s="71">
        <f>SUM(KT13:MD13)</f>
        <v>0</v>
      </c>
      <c r="MF13" s="69"/>
      <c r="MG13" s="70"/>
      <c r="MH13" s="70"/>
      <c r="MI13" s="70"/>
      <c r="MJ13" s="70"/>
      <c r="MK13" s="70"/>
      <c r="ML13" s="70"/>
      <c r="MM13" s="70"/>
      <c r="MN13" s="70"/>
      <c r="MO13" s="70"/>
      <c r="MP13" s="70"/>
      <c r="MQ13" s="70"/>
      <c r="MR13" s="70"/>
      <c r="MS13" s="70"/>
      <c r="MT13" s="70"/>
      <c r="MU13" s="70"/>
      <c r="MV13" s="70"/>
      <c r="MW13" s="70"/>
      <c r="MX13" s="70"/>
      <c r="MY13" s="70"/>
      <c r="MZ13" s="70"/>
      <c r="NA13" s="70"/>
      <c r="NB13" s="70"/>
      <c r="NC13" s="70"/>
      <c r="ND13" s="70"/>
      <c r="NE13" s="70"/>
      <c r="NF13" s="70"/>
      <c r="NG13" s="70"/>
      <c r="NH13" s="70"/>
      <c r="NI13" s="70"/>
      <c r="NJ13" s="70"/>
      <c r="NK13" s="70"/>
      <c r="NL13" s="70"/>
      <c r="NM13" s="70"/>
      <c r="NN13" s="70"/>
      <c r="NO13" s="70"/>
      <c r="NP13" s="70"/>
      <c r="NQ13" s="71">
        <f>SUM(MF13:NP13)</f>
        <v>0</v>
      </c>
      <c r="NR13" s="25">
        <f>'[2]CF PS'!$BW$36</f>
        <v>0</v>
      </c>
      <c r="NS13" s="25">
        <f>'[2]CF PS'!$BW$37</f>
        <v>0</v>
      </c>
      <c r="NT13" s="25">
        <f>'[2]CF PS'!$BW$38</f>
        <v>0</v>
      </c>
      <c r="NU13" s="25">
        <f>'[2]CF PS'!$BW$39</f>
        <v>0</v>
      </c>
      <c r="NV13" s="25">
        <f>'[2]CF PS'!$BW$40</f>
        <v>0</v>
      </c>
      <c r="NW13" s="25">
        <f>'[2]CF PS'!$BW$41</f>
        <v>0</v>
      </c>
      <c r="NX13" s="25">
        <f>'[2]CF PS'!$BW$42</f>
        <v>0</v>
      </c>
      <c r="NY13" s="25">
        <f>'[2]CF PS'!$BW$43</f>
        <v>0</v>
      </c>
      <c r="NZ13" s="25">
        <f>'[2]CF PS'!$BW$44</f>
        <v>0</v>
      </c>
      <c r="OA13" s="25">
        <f>'[2]CF PS'!$BW$45</f>
        <v>0</v>
      </c>
      <c r="OB13" s="25">
        <f>'[2]CF PS'!$BW$46</f>
        <v>0</v>
      </c>
      <c r="OC13" s="25">
        <f>'[2]CF PS'!$BW$47</f>
        <v>0</v>
      </c>
      <c r="OD13" s="25">
        <f>'[2]CF PS'!$BW$48</f>
        <v>0</v>
      </c>
      <c r="OE13" s="25">
        <f>'[2]CF PS'!$BW$49</f>
        <v>0</v>
      </c>
      <c r="OF13" s="25">
        <f>'[2]CF PS'!$BW$50</f>
        <v>0</v>
      </c>
      <c r="OG13" s="25">
        <f>'[2]CF PS'!$BW$51</f>
        <v>0</v>
      </c>
      <c r="OH13" s="25">
        <f>'[2]CF PS'!$BW$52</f>
        <v>0</v>
      </c>
      <c r="OI13" s="25">
        <f>'[2]CF PS'!$BW$53</f>
        <v>0</v>
      </c>
      <c r="OJ13" s="25">
        <f>'[2]CF PS'!$BW$54</f>
        <v>0</v>
      </c>
      <c r="OK13" s="25">
        <f>'[2]CF PS'!$BW$55</f>
        <v>0</v>
      </c>
      <c r="OL13" s="25">
        <f>'[2]CF PS'!$BW$56</f>
        <v>0</v>
      </c>
      <c r="OM13" s="25">
        <f>'[2]CF PS'!$BW$57</f>
        <v>0</v>
      </c>
      <c r="ON13" s="25">
        <f>'[2]CF PS'!$BW$58</f>
        <v>0</v>
      </c>
      <c r="OO13" s="25">
        <f>'[2]CF PS'!$BW$59</f>
        <v>0</v>
      </c>
      <c r="OP13" s="25">
        <f>'[2]CF PS'!$BW$60</f>
        <v>0</v>
      </c>
      <c r="OQ13" s="25">
        <f>'[2]CF PS'!$BW$61</f>
        <v>0</v>
      </c>
      <c r="OR13" s="25">
        <f>'[2]CF PS'!$BW$62</f>
        <v>0</v>
      </c>
      <c r="OS13" s="25">
        <f>'[2]CF PS'!$BW$63</f>
        <v>0</v>
      </c>
      <c r="OT13" s="25">
        <f>'[2]CF PS'!$BW$64</f>
        <v>0</v>
      </c>
      <c r="OU13" s="25">
        <f>'[2]CF PS'!$BW$65</f>
        <v>0</v>
      </c>
      <c r="OV13" s="25">
        <f>'[2]CF PS'!$BW$66</f>
        <v>0</v>
      </c>
      <c r="OW13" s="25">
        <f>'[2]CF PS'!$BW$67</f>
        <v>0</v>
      </c>
      <c r="OX13" s="25">
        <f>'[2]CF PS'!$BW$68</f>
        <v>0</v>
      </c>
      <c r="OY13" s="25">
        <f>'[2]CF PS'!$BW$69</f>
        <v>0</v>
      </c>
      <c r="OZ13" s="25">
        <f>'[2]CF PS'!$BW$70</f>
        <v>0</v>
      </c>
      <c r="PA13" s="25">
        <f>'[2]CF PS'!$BW$71</f>
        <v>0</v>
      </c>
      <c r="PB13" s="25">
        <f>'[2]CF PS'!$BW$72</f>
        <v>0</v>
      </c>
      <c r="PC13" s="26">
        <f>SUM(NR13:PB13)</f>
        <v>0</v>
      </c>
    </row>
    <row r="14" spans="1:423" ht="16.5" thickBot="1" x14ac:dyDescent="0.35">
      <c r="A14" s="47" t="s">
        <v>12</v>
      </c>
      <c r="B14" s="40">
        <f>IF(AND(B12&lt;&gt;0,B13&lt;&gt;0),(B12-B13)/B13,IF(AND(B12=0,B13=0),"",IF(AND(B12="",B13=""),"",IF(AND(B12=0,B13=""),"", IF(AND(B12="",B13=0),"",1)))))</f>
        <v>-0.28991986474215775</v>
      </c>
      <c r="C14" s="40">
        <f t="shared" ref="C14" si="390">IF(AND(C12&lt;&gt;0,C13&lt;&gt;0),(C12-C13)/C13,IF(AND(C12=0,C13=0),"",IF(AND(C12="",C13=""),"",IF(AND(C12=0,C13=""),"", IF(AND(C12="",C13=0),"",1)))))</f>
        <v>-0.37455433989382148</v>
      </c>
      <c r="D14" s="40">
        <f t="shared" ref="D14" si="391">IF(AND(D12&lt;&gt;0,D13&lt;&gt;0),(D12-D13)/D13,IF(AND(D12=0,D13=0),"",IF(AND(D12="",D13=""),"",IF(AND(D12=0,D13=""),"", IF(AND(D12="",D13=0),"",1)))))</f>
        <v>-0.44852955376424952</v>
      </c>
      <c r="E14" s="40">
        <f t="shared" ref="E14" si="392">IF(AND(E12&lt;&gt;0,E13&lt;&gt;0),(E12-E13)/E13,IF(AND(E12=0,E13=0),"",IF(AND(E12="",E13=""),"",IF(AND(E12=0,E13=""),"", IF(AND(E12="",E13=0),"",1)))))</f>
        <v>-0.52967451028453538</v>
      </c>
      <c r="F14" s="40">
        <f t="shared" ref="F14" si="393">IF(AND(F12&lt;&gt;0,F13&lt;&gt;0),(F12-F13)/F13,IF(AND(F12=0,F13=0),"",IF(AND(F12="",F13=""),"",IF(AND(F12=0,F13=""),"", IF(AND(F12="",F13=0),"",1)))))</f>
        <v>-0.85918616893860478</v>
      </c>
      <c r="G14" s="40">
        <f t="shared" ref="G14" si="394">IF(AND(G12&lt;&gt;0,G13&lt;&gt;0),(G12-G13)/G13,IF(AND(G12=0,G13=0),"",IF(AND(G12="",G13=""),"",IF(AND(G12=0,G13=""),"", IF(AND(G12="",G13=0),"",1)))))</f>
        <v>-0.93977447973824901</v>
      </c>
      <c r="H14" s="40">
        <f t="shared" ref="H14" si="395">IF(AND(H12&lt;&gt;0,H13&lt;&gt;0),(H12-H13)/H13,IF(AND(H12=0,H13=0),"",IF(AND(H12="",H13=""),"",IF(AND(H12=0,H13=""),"", IF(AND(H12="",H13=0),"",1)))))</f>
        <v>1</v>
      </c>
      <c r="I14" s="40">
        <f t="shared" ref="I14" si="396">IF(AND(I12&lt;&gt;0,I13&lt;&gt;0),(I12-I13)/I13,IF(AND(I12=0,I13=0),"",IF(AND(I12="",I13=""),"",IF(AND(I12=0,I13=""),"", IF(AND(I12="",I13=0),"",1)))))</f>
        <v>1</v>
      </c>
      <c r="J14" s="40">
        <f t="shared" ref="J14" si="397">IF(AND(J12&lt;&gt;0,J13&lt;&gt;0),(J12-J13)/J13,IF(AND(J12=0,J13=0),"",IF(AND(J12="",J13=""),"",IF(AND(J12=0,J13=""),"", IF(AND(J12="",J13=0),"",1)))))</f>
        <v>1</v>
      </c>
      <c r="K14" s="40">
        <f t="shared" ref="K14" si="398">IF(AND(K12&lt;&gt;0,K13&lt;&gt;0),(K12-K13)/K13,IF(AND(K12=0,K13=0),"",IF(AND(K12="",K13=""),"",IF(AND(K12=0,K13=""),"", IF(AND(K12="",K13=0),"",1)))))</f>
        <v>1</v>
      </c>
      <c r="L14" s="40">
        <f t="shared" ref="L14" si="399">IF(AND(L12&lt;&gt;0,L13&lt;&gt;0),(L12-L13)/L13,IF(AND(L12=0,L13=0),"",IF(AND(L12="",L13=""),"",IF(AND(L12=0,L13=""),"", IF(AND(L12="",L13=0),"",1)))))</f>
        <v>1</v>
      </c>
      <c r="M14" s="40" t="str">
        <f t="shared" ref="M14" si="400">IF(AND(M12&lt;&gt;0,M13&lt;&gt;0),(M12-M13)/M13,IF(AND(M12=0,M13=0),"",IF(AND(M12="",M13=""),"",IF(AND(M12=0,M13=""),"", IF(AND(M12="",M13=0),"",1)))))</f>
        <v/>
      </c>
      <c r="N14" s="40" t="str">
        <f t="shared" ref="N14" si="401">IF(AND(N12&lt;&gt;0,N13&lt;&gt;0),(N12-N13)/N13,IF(AND(N12=0,N13=0),"",IF(AND(N12="",N13=""),"",IF(AND(N12=0,N13=""),"", IF(AND(N12="",N13=0),"",1)))))</f>
        <v/>
      </c>
      <c r="O14" s="40" t="str">
        <f t="shared" ref="O14" si="402">IF(AND(O12&lt;&gt;0,O13&lt;&gt;0),(O12-O13)/O13,IF(AND(O12=0,O13=0),"",IF(AND(O12="",O13=""),"",IF(AND(O12=0,O13=""),"", IF(AND(O12="",O13=0),"",1)))))</f>
        <v/>
      </c>
      <c r="P14" s="40" t="str">
        <f t="shared" ref="P14" si="403">IF(AND(P12&lt;&gt;0,P13&lt;&gt;0),(P12-P13)/P13,IF(AND(P12=0,P13=0),"",IF(AND(P12="",P13=""),"",IF(AND(P12=0,P13=""),"", IF(AND(P12="",P13=0),"",1)))))</f>
        <v/>
      </c>
      <c r="Q14" s="40" t="str">
        <f t="shared" ref="Q14" si="404">IF(AND(Q12&lt;&gt;0,Q13&lt;&gt;0),(Q12-Q13)/Q13,IF(AND(Q12=0,Q13=0),"",IF(AND(Q12="",Q13=""),"",IF(AND(Q12=0,Q13=""),"", IF(AND(Q12="",Q13=0),"",1)))))</f>
        <v/>
      </c>
      <c r="R14" s="40" t="str">
        <f t="shared" ref="R14" si="405">IF(AND(R12&lt;&gt;0,R13&lt;&gt;0),(R12-R13)/R13,IF(AND(R12=0,R13=0),"",IF(AND(R12="",R13=""),"",IF(AND(R12=0,R13=""),"", IF(AND(R12="",R13=0),"",1)))))</f>
        <v/>
      </c>
      <c r="S14" s="40" t="str">
        <f t="shared" ref="S14" si="406">IF(AND(S12&lt;&gt;0,S13&lt;&gt;0),(S12-S13)/S13,IF(AND(S12=0,S13=0),"",IF(AND(S12="",S13=""),"",IF(AND(S12=0,S13=""),"", IF(AND(S12="",S13=0),"",1)))))</f>
        <v/>
      </c>
      <c r="T14" s="40" t="str">
        <f t="shared" ref="T14" si="407">IF(AND(T12&lt;&gt;0,T13&lt;&gt;0),(T12-T13)/T13,IF(AND(T12=0,T13=0),"",IF(AND(T12="",T13=""),"",IF(AND(T12=0,T13=""),"", IF(AND(T12="",T13=0),"",1)))))</f>
        <v/>
      </c>
      <c r="U14" s="40" t="str">
        <f t="shared" ref="U14" si="408">IF(AND(U12&lt;&gt;0,U13&lt;&gt;0),(U12-U13)/U13,IF(AND(U12=0,U13=0),"",IF(AND(U12="",U13=""),"",IF(AND(U12=0,U13=""),"", IF(AND(U12="",U13=0),"",1)))))</f>
        <v/>
      </c>
      <c r="V14" s="40" t="str">
        <f t="shared" ref="V14" si="409">IF(AND(V12&lt;&gt;0,V13&lt;&gt;0),(V12-V13)/V13,IF(AND(V12=0,V13=0),"",IF(AND(V12="",V13=""),"",IF(AND(V12=0,V13=""),"", IF(AND(V12="",V13=0),"",1)))))</f>
        <v/>
      </c>
      <c r="W14" s="40" t="str">
        <f t="shared" ref="W14" si="410">IF(AND(W12&lt;&gt;0,W13&lt;&gt;0),(W12-W13)/W13,IF(AND(W12=0,W13=0),"",IF(AND(W12="",W13=""),"",IF(AND(W12=0,W13=""),"", IF(AND(W12="",W13=0),"",1)))))</f>
        <v/>
      </c>
      <c r="X14" s="40" t="str">
        <f t="shared" ref="X14:AL14" si="411">IF(AND(X12&lt;&gt;0,X13&lt;&gt;0),(X12-X13)/X13,IF(AND(X12=0,X13=0),"",IF(AND(X12="",X13=""),"",IF(AND(X12=0,X13=""),"", IF(AND(X12="",X13=0),"",1)))))</f>
        <v/>
      </c>
      <c r="Y14" s="40" t="str">
        <f t="shared" si="411"/>
        <v/>
      </c>
      <c r="Z14" s="40" t="str">
        <f t="shared" si="411"/>
        <v/>
      </c>
      <c r="AA14" s="40" t="str">
        <f t="shared" si="411"/>
        <v/>
      </c>
      <c r="AB14" s="40" t="str">
        <f t="shared" si="411"/>
        <v/>
      </c>
      <c r="AC14" s="40" t="str">
        <f t="shared" si="411"/>
        <v/>
      </c>
      <c r="AD14" s="40" t="str">
        <f t="shared" si="411"/>
        <v/>
      </c>
      <c r="AE14" s="40" t="str">
        <f t="shared" si="411"/>
        <v/>
      </c>
      <c r="AF14" s="40" t="str">
        <f t="shared" si="411"/>
        <v/>
      </c>
      <c r="AG14" s="40" t="str">
        <f t="shared" si="411"/>
        <v/>
      </c>
      <c r="AH14" s="40" t="str">
        <f t="shared" si="411"/>
        <v/>
      </c>
      <c r="AI14" s="40" t="str">
        <f t="shared" si="411"/>
        <v/>
      </c>
      <c r="AJ14" s="40" t="str">
        <f t="shared" si="411"/>
        <v/>
      </c>
      <c r="AK14" s="40" t="str">
        <f t="shared" si="411"/>
        <v/>
      </c>
      <c r="AL14" s="40" t="str">
        <f t="shared" si="411"/>
        <v/>
      </c>
      <c r="AM14" s="41">
        <f t="shared" ref="AM14" si="412">IF(AND(AM12&lt;&gt;0,AM13&lt;&gt;0),(AM12-AM13)/AM13,IF(AND(AM12=0,AM13=0),"",IF(AND(AM12="",AM13=""),"",IF(AND(AM12=0,AM13=""),"", IF(AND(AM12="",AM13=0),"",1)))))</f>
        <v>-0.56160453642045027</v>
      </c>
      <c r="AN14" s="39">
        <f t="shared" ref="AN14" si="413">IF(AND(AN12&lt;&gt;0,AN13&lt;&gt;0),(AN12-AN13)/AN13,IF(AND(AN12=0,AN13=0),"",IF(AND(AN12="",AN13=""),"",IF(AND(AN12=0,AN13=""),"", IF(AND(AN12="",AN13=0),"",1)))))</f>
        <v>1</v>
      </c>
      <c r="AO14" s="40">
        <f t="shared" ref="AO14" si="414">IF(AND(AO12&lt;&gt;0,AO13&lt;&gt;0),(AO12-AO13)/AO13,IF(AND(AO12=0,AO13=0),"",IF(AND(AO12="",AO13=""),"",IF(AND(AO12=0,AO13=""),"", IF(AND(AO12="",AO13=0),"",1)))))</f>
        <v>1</v>
      </c>
      <c r="AP14" s="40">
        <f t="shared" ref="AP14" si="415">IF(AND(AP12&lt;&gt;0,AP13&lt;&gt;0),(AP12-AP13)/AP13,IF(AND(AP12=0,AP13=0),"",IF(AND(AP12="",AP13=""),"",IF(AND(AP12=0,AP13=""),"", IF(AND(AP12="",AP13=0),"",1)))))</f>
        <v>1</v>
      </c>
      <c r="AQ14" s="40">
        <f t="shared" ref="AQ14" si="416">IF(AND(AQ12&lt;&gt;0,AQ13&lt;&gt;0),(AQ12-AQ13)/AQ13,IF(AND(AQ12=0,AQ13=0),"",IF(AND(AQ12="",AQ13=""),"",IF(AND(AQ12=0,AQ13=""),"", IF(AND(AQ12="",AQ13=0),"",1)))))</f>
        <v>1</v>
      </c>
      <c r="AR14" s="40">
        <f t="shared" ref="AR14" si="417">IF(AND(AR12&lt;&gt;0,AR13&lt;&gt;0),(AR12-AR13)/AR13,IF(AND(AR12=0,AR13=0),"",IF(AND(AR12="",AR13=""),"",IF(AND(AR12=0,AR13=""),"", IF(AND(AR12="",AR13=0),"",1)))))</f>
        <v>1</v>
      </c>
      <c r="AS14" s="40">
        <f t="shared" ref="AS14" si="418">IF(AND(AS12&lt;&gt;0,AS13&lt;&gt;0),(AS12-AS13)/AS13,IF(AND(AS12=0,AS13=0),"",IF(AND(AS12="",AS13=""),"",IF(AND(AS12=0,AS13=""),"", IF(AND(AS12="",AS13=0),"",1)))))</f>
        <v>1</v>
      </c>
      <c r="AT14" s="40">
        <f t="shared" ref="AT14" si="419">IF(AND(AT12&lt;&gt;0,AT13&lt;&gt;0),(AT12-AT13)/AT13,IF(AND(AT12=0,AT13=0),"",IF(AND(AT12="",AT13=""),"",IF(AND(AT12=0,AT13=""),"", IF(AND(AT12="",AT13=0),"",1)))))</f>
        <v>-0.98382011980132844</v>
      </c>
      <c r="AU14" s="40">
        <f t="shared" ref="AU14" si="420">IF(AND(AU12&lt;&gt;0,AU13&lt;&gt;0),(AU12-AU13)/AU13,IF(AND(AU12=0,AU13=0),"",IF(AND(AU12="",AU13=""),"",IF(AND(AU12=0,AU13=""),"", IF(AND(AU12="",AU13=0),"",1)))))</f>
        <v>1</v>
      </c>
      <c r="AV14" s="40">
        <f t="shared" ref="AV14" si="421">IF(AND(AV12&lt;&gt;0,AV13&lt;&gt;0),(AV12-AV13)/AV13,IF(AND(AV12=0,AV13=0),"",IF(AND(AV12="",AV13=""),"",IF(AND(AV12=0,AV13=""),"", IF(AND(AV12="",AV13=0),"",1)))))</f>
        <v>1</v>
      </c>
      <c r="AW14" s="40" t="str">
        <f t="shared" ref="AW14" si="422">IF(AND(AW12&lt;&gt;0,AW13&lt;&gt;0),(AW12-AW13)/AW13,IF(AND(AW12=0,AW13=0),"",IF(AND(AW12="",AW13=""),"",IF(AND(AW12=0,AW13=""),"", IF(AND(AW12="",AW13=0),"",1)))))</f>
        <v/>
      </c>
      <c r="AX14" s="40" t="str">
        <f t="shared" ref="AX14" si="423">IF(AND(AX12&lt;&gt;0,AX13&lt;&gt;0),(AX12-AX13)/AX13,IF(AND(AX12=0,AX13=0),"",IF(AND(AX12="",AX13=""),"",IF(AND(AX12=0,AX13=""),"", IF(AND(AX12="",AX13=0),"",1)))))</f>
        <v/>
      </c>
      <c r="AY14" s="40" t="str">
        <f t="shared" ref="AY14" si="424">IF(AND(AY12&lt;&gt;0,AY13&lt;&gt;0),(AY12-AY13)/AY13,IF(AND(AY12=0,AY13=0),"",IF(AND(AY12="",AY13=""),"",IF(AND(AY12=0,AY13=""),"", IF(AND(AY12="",AY13=0),"",1)))))</f>
        <v/>
      </c>
      <c r="AZ14" s="40" t="str">
        <f t="shared" ref="AZ14" si="425">IF(AND(AZ12&lt;&gt;0,AZ13&lt;&gt;0),(AZ12-AZ13)/AZ13,IF(AND(AZ12=0,AZ13=0),"",IF(AND(AZ12="",AZ13=""),"",IF(AND(AZ12=0,AZ13=""),"", IF(AND(AZ12="",AZ13=0),"",1)))))</f>
        <v/>
      </c>
      <c r="BA14" s="40" t="str">
        <f t="shared" ref="BA14" si="426">IF(AND(BA12&lt;&gt;0,BA13&lt;&gt;0),(BA12-BA13)/BA13,IF(AND(BA12=0,BA13=0),"",IF(AND(BA12="",BA13=""),"",IF(AND(BA12=0,BA13=""),"", IF(AND(BA12="",BA13=0),"",1)))))</f>
        <v/>
      </c>
      <c r="BB14" s="40" t="str">
        <f t="shared" ref="BB14" si="427">IF(AND(BB12&lt;&gt;0,BB13&lt;&gt;0),(BB12-BB13)/BB13,IF(AND(BB12=0,BB13=0),"",IF(AND(BB12="",BB13=""),"",IF(AND(BB12=0,BB13=""),"", IF(AND(BB12="",BB13=0),"",1)))))</f>
        <v/>
      </c>
      <c r="BC14" s="40" t="str">
        <f t="shared" ref="BC14" si="428">IF(AND(BC12&lt;&gt;0,BC13&lt;&gt;0),(BC12-BC13)/BC13,IF(AND(BC12=0,BC13=0),"",IF(AND(BC12="",BC13=""),"",IF(AND(BC12=0,BC13=""),"", IF(AND(BC12="",BC13=0),"",1)))))</f>
        <v/>
      </c>
      <c r="BD14" s="40" t="str">
        <f t="shared" ref="BD14" si="429">IF(AND(BD12&lt;&gt;0,BD13&lt;&gt;0),(BD12-BD13)/BD13,IF(AND(BD12=0,BD13=0),"",IF(AND(BD12="",BD13=""),"",IF(AND(BD12=0,BD13=""),"", IF(AND(BD12="",BD13=0),"",1)))))</f>
        <v/>
      </c>
      <c r="BE14" s="40" t="str">
        <f t="shared" ref="BE14" si="430">IF(AND(BE12&lt;&gt;0,BE13&lt;&gt;0),(BE12-BE13)/BE13,IF(AND(BE12=0,BE13=0),"",IF(AND(BE12="",BE13=""),"",IF(AND(BE12=0,BE13=""),"", IF(AND(BE12="",BE13=0),"",1)))))</f>
        <v/>
      </c>
      <c r="BF14" s="40" t="str">
        <f t="shared" ref="BF14" si="431">IF(AND(BF12&lt;&gt;0,BF13&lt;&gt;0),(BF12-BF13)/BF13,IF(AND(BF12=0,BF13=0),"",IF(AND(BF12="",BF13=""),"",IF(AND(BF12=0,BF13=""),"", IF(AND(BF12="",BF13=0),"",1)))))</f>
        <v/>
      </c>
      <c r="BG14" s="40" t="str">
        <f t="shared" ref="BG14" si="432">IF(AND(BG12&lt;&gt;0,BG13&lt;&gt;0),(BG12-BG13)/BG13,IF(AND(BG12=0,BG13=0),"",IF(AND(BG12="",BG13=""),"",IF(AND(BG12=0,BG13=""),"", IF(AND(BG12="",BG13=0),"",1)))))</f>
        <v/>
      </c>
      <c r="BH14" s="40" t="str">
        <f t="shared" ref="BH14" si="433">IF(AND(BH12&lt;&gt;0,BH13&lt;&gt;0),(BH12-BH13)/BH13,IF(AND(BH12=0,BH13=0),"",IF(AND(BH12="",BH13=""),"",IF(AND(BH12=0,BH13=""),"", IF(AND(BH12="",BH13=0),"",1)))))</f>
        <v/>
      </c>
      <c r="BI14" s="40" t="str">
        <f t="shared" ref="BI14" si="434">IF(AND(BI12&lt;&gt;0,BI13&lt;&gt;0),(BI12-BI13)/BI13,IF(AND(BI12=0,BI13=0),"",IF(AND(BI12="",BI13=""),"",IF(AND(BI12=0,BI13=""),"", IF(AND(BI12="",BI13=0),"",1)))))</f>
        <v/>
      </c>
      <c r="BJ14" s="40" t="str">
        <f t="shared" ref="BJ14:BX14" si="435">IF(AND(BJ12&lt;&gt;0,BJ13&lt;&gt;0),(BJ12-BJ13)/BJ13,IF(AND(BJ12=0,BJ13=0),"",IF(AND(BJ12="",BJ13=""),"",IF(AND(BJ12=0,BJ13=""),"", IF(AND(BJ12="",BJ13=0),"",1)))))</f>
        <v/>
      </c>
      <c r="BK14" s="40" t="str">
        <f t="shared" si="435"/>
        <v/>
      </c>
      <c r="BL14" s="40" t="str">
        <f t="shared" si="435"/>
        <v/>
      </c>
      <c r="BM14" s="40" t="str">
        <f t="shared" si="435"/>
        <v/>
      </c>
      <c r="BN14" s="40" t="str">
        <f t="shared" si="435"/>
        <v/>
      </c>
      <c r="BO14" s="40" t="str">
        <f t="shared" si="435"/>
        <v/>
      </c>
      <c r="BP14" s="40" t="str">
        <f t="shared" si="435"/>
        <v/>
      </c>
      <c r="BQ14" s="40" t="str">
        <f t="shared" si="435"/>
        <v/>
      </c>
      <c r="BR14" s="40" t="str">
        <f t="shared" si="435"/>
        <v/>
      </c>
      <c r="BS14" s="40" t="str">
        <f t="shared" si="435"/>
        <v/>
      </c>
      <c r="BT14" s="40" t="str">
        <f t="shared" si="435"/>
        <v/>
      </c>
      <c r="BU14" s="40" t="str">
        <f t="shared" si="435"/>
        <v/>
      </c>
      <c r="BV14" s="40" t="str">
        <f t="shared" si="435"/>
        <v/>
      </c>
      <c r="BW14" s="40" t="str">
        <f t="shared" si="435"/>
        <v/>
      </c>
      <c r="BX14" s="40" t="str">
        <f t="shared" si="435"/>
        <v/>
      </c>
      <c r="BY14" s="41">
        <f t="shared" ref="BY14" si="436">IF(AND(BY12&lt;&gt;0,BY13&lt;&gt;0),(BY12-BY13)/BY13,IF(AND(BY12=0,BY13=0),"",IF(AND(BY12="",BY13=""),"",IF(AND(BY12=0,BY13=""),"", IF(AND(BY12="",BY13=0),"",1)))))</f>
        <v>-0.38380150275659347</v>
      </c>
      <c r="BZ14" s="39">
        <f t="shared" ref="BZ14" si="437">IF(AND(BZ12&lt;&gt;0,BZ13&lt;&gt;0),(BZ12-BZ13)/BZ13,IF(AND(BZ12=0,BZ13=0),"",IF(AND(BZ12="",BZ13=""),"",IF(AND(BZ12=0,BZ13=""),"", IF(AND(BZ12="",BZ13=0),"",1)))))</f>
        <v>1</v>
      </c>
      <c r="CA14" s="40">
        <f t="shared" ref="CA14" si="438">IF(AND(CA12&lt;&gt;0,CA13&lt;&gt;0),(CA12-CA13)/CA13,IF(AND(CA12=0,CA13=0),"",IF(AND(CA12="",CA13=""),"",IF(AND(CA12=0,CA13=""),"", IF(AND(CA12="",CA13=0),"",1)))))</f>
        <v>1</v>
      </c>
      <c r="CB14" s="40">
        <f t="shared" ref="CB14" si="439">IF(AND(CB12&lt;&gt;0,CB13&lt;&gt;0),(CB12-CB13)/CB13,IF(AND(CB12=0,CB13=0),"",IF(AND(CB12="",CB13=""),"",IF(AND(CB12=0,CB13=""),"", IF(AND(CB12="",CB13=0),"",1)))))</f>
        <v>1</v>
      </c>
      <c r="CC14" s="40">
        <f t="shared" ref="CC14" si="440">IF(AND(CC12&lt;&gt;0,CC13&lt;&gt;0),(CC12-CC13)/CC13,IF(AND(CC12=0,CC13=0),"",IF(AND(CC12="",CC13=""),"",IF(AND(CC12=0,CC13=""),"", IF(AND(CC12="",CC13=0),"",1)))))</f>
        <v>1</v>
      </c>
      <c r="CD14" s="40">
        <f t="shared" ref="CD14" si="441">IF(AND(CD12&lt;&gt;0,CD13&lt;&gt;0),(CD12-CD13)/CD13,IF(AND(CD12=0,CD13=0),"",IF(AND(CD12="",CD13=""),"",IF(AND(CD12=0,CD13=""),"", IF(AND(CD12="",CD13=0),"",1)))))</f>
        <v>1</v>
      </c>
      <c r="CE14" s="40">
        <f t="shared" ref="CE14" si="442">IF(AND(CE12&lt;&gt;0,CE13&lt;&gt;0),(CE12-CE13)/CE13,IF(AND(CE12=0,CE13=0),"",IF(AND(CE12="",CE13=""),"",IF(AND(CE12=0,CE13=""),"", IF(AND(CE12="",CE13=0),"",1)))))</f>
        <v>1</v>
      </c>
      <c r="CF14" s="40">
        <f t="shared" ref="CF14" si="443">IF(AND(CF12&lt;&gt;0,CF13&lt;&gt;0),(CF12-CF13)/CF13,IF(AND(CF12=0,CF13=0),"",IF(AND(CF12="",CF13=""),"",IF(AND(CF12=0,CF13=""),"", IF(AND(CF12="",CF13=0),"",1)))))</f>
        <v>1</v>
      </c>
      <c r="CG14" s="40">
        <f t="shared" ref="CG14" si="444">IF(AND(CG12&lt;&gt;0,CG13&lt;&gt;0),(CG12-CG13)/CG13,IF(AND(CG12=0,CG13=0),"",IF(AND(CG12="",CG13=""),"",IF(AND(CG12=0,CG13=""),"", IF(AND(CG12="",CG13=0),"",1)))))</f>
        <v>-2.5182488528894559E-2</v>
      </c>
      <c r="CH14" s="40">
        <f t="shared" ref="CH14" si="445">IF(AND(CH12&lt;&gt;0,CH13&lt;&gt;0),(CH12-CH13)/CH13,IF(AND(CH12=0,CH13=0),"",IF(AND(CH12="",CH13=""),"",IF(AND(CH12=0,CH13=""),"", IF(AND(CH12="",CH13=0),"",1)))))</f>
        <v>-1.6680222161562931E-2</v>
      </c>
      <c r="CI14" s="40">
        <f t="shared" ref="CI14" si="446">IF(AND(CI12&lt;&gt;0,CI13&lt;&gt;0),(CI12-CI13)/CI13,IF(AND(CI12=0,CI13=0),"",IF(AND(CI12="",CI13=""),"",IF(AND(CI12=0,CI13=""),"", IF(AND(CI12="",CI13=0),"",1)))))</f>
        <v>1</v>
      </c>
      <c r="CJ14" s="40">
        <f t="shared" ref="CJ14" si="447">IF(AND(CJ12&lt;&gt;0,CJ13&lt;&gt;0),(CJ12-CJ13)/CJ13,IF(AND(CJ12=0,CJ13=0),"",IF(AND(CJ12="",CJ13=""),"",IF(AND(CJ12=0,CJ13=""),"", IF(AND(CJ12="",CJ13=0),"",1)))))</f>
        <v>1</v>
      </c>
      <c r="CK14" s="40" t="str">
        <f t="shared" ref="CK14" si="448">IF(AND(CK12&lt;&gt;0,CK13&lt;&gt;0),(CK12-CK13)/CK13,IF(AND(CK12=0,CK13=0),"",IF(AND(CK12="",CK13=""),"",IF(AND(CK12=0,CK13=""),"", IF(AND(CK12="",CK13=0),"",1)))))</f>
        <v/>
      </c>
      <c r="CL14" s="40" t="str">
        <f t="shared" ref="CL14" si="449">IF(AND(CL12&lt;&gt;0,CL13&lt;&gt;0),(CL12-CL13)/CL13,IF(AND(CL12=0,CL13=0),"",IF(AND(CL12="",CL13=""),"",IF(AND(CL12=0,CL13=""),"", IF(AND(CL12="",CL13=0),"",1)))))</f>
        <v/>
      </c>
      <c r="CM14" s="40" t="str">
        <f t="shared" ref="CM14" si="450">IF(AND(CM12&lt;&gt;0,CM13&lt;&gt;0),(CM12-CM13)/CM13,IF(AND(CM12=0,CM13=0),"",IF(AND(CM12="",CM13=""),"",IF(AND(CM12=0,CM13=""),"", IF(AND(CM12="",CM13=0),"",1)))))</f>
        <v/>
      </c>
      <c r="CN14" s="40" t="str">
        <f t="shared" ref="CN14" si="451">IF(AND(CN12&lt;&gt;0,CN13&lt;&gt;0),(CN12-CN13)/CN13,IF(AND(CN12=0,CN13=0),"",IF(AND(CN12="",CN13=""),"",IF(AND(CN12=0,CN13=""),"", IF(AND(CN12="",CN13=0),"",1)))))</f>
        <v/>
      </c>
      <c r="CO14" s="40" t="str">
        <f t="shared" ref="CO14" si="452">IF(AND(CO12&lt;&gt;0,CO13&lt;&gt;0),(CO12-CO13)/CO13,IF(AND(CO12=0,CO13=0),"",IF(AND(CO12="",CO13=""),"",IF(AND(CO12=0,CO13=""),"", IF(AND(CO12="",CO13=0),"",1)))))</f>
        <v/>
      </c>
      <c r="CP14" s="40" t="str">
        <f t="shared" ref="CP14" si="453">IF(AND(CP12&lt;&gt;0,CP13&lt;&gt;0),(CP12-CP13)/CP13,IF(AND(CP12=0,CP13=0),"",IF(AND(CP12="",CP13=""),"",IF(AND(CP12=0,CP13=""),"", IF(AND(CP12="",CP13=0),"",1)))))</f>
        <v/>
      </c>
      <c r="CQ14" s="40" t="str">
        <f t="shared" ref="CQ14" si="454">IF(AND(CQ12&lt;&gt;0,CQ13&lt;&gt;0),(CQ12-CQ13)/CQ13,IF(AND(CQ12=0,CQ13=0),"",IF(AND(CQ12="",CQ13=""),"",IF(AND(CQ12=0,CQ13=""),"", IF(AND(CQ12="",CQ13=0),"",1)))))</f>
        <v/>
      </c>
      <c r="CR14" s="40" t="str">
        <f t="shared" ref="CR14" si="455">IF(AND(CR12&lt;&gt;0,CR13&lt;&gt;0),(CR12-CR13)/CR13,IF(AND(CR12=0,CR13=0),"",IF(AND(CR12="",CR13=""),"",IF(AND(CR12=0,CR13=""),"", IF(AND(CR12="",CR13=0),"",1)))))</f>
        <v/>
      </c>
      <c r="CS14" s="40" t="str">
        <f t="shared" ref="CS14" si="456">IF(AND(CS12&lt;&gt;0,CS13&lt;&gt;0),(CS12-CS13)/CS13,IF(AND(CS12=0,CS13=0),"",IF(AND(CS12="",CS13=""),"",IF(AND(CS12=0,CS13=""),"", IF(AND(CS12="",CS13=0),"",1)))))</f>
        <v/>
      </c>
      <c r="CT14" s="40" t="str">
        <f t="shared" ref="CT14" si="457">IF(AND(CT12&lt;&gt;0,CT13&lt;&gt;0),(CT12-CT13)/CT13,IF(AND(CT12=0,CT13=0),"",IF(AND(CT12="",CT13=""),"",IF(AND(CT12=0,CT13=""),"", IF(AND(CT12="",CT13=0),"",1)))))</f>
        <v/>
      </c>
      <c r="CU14" s="40" t="str">
        <f t="shared" ref="CU14" si="458">IF(AND(CU12&lt;&gt;0,CU13&lt;&gt;0),(CU12-CU13)/CU13,IF(AND(CU12=0,CU13=0),"",IF(AND(CU12="",CU13=""),"",IF(AND(CU12=0,CU13=""),"", IF(AND(CU12="",CU13=0),"",1)))))</f>
        <v/>
      </c>
      <c r="CV14" s="40" t="str">
        <f t="shared" ref="CV14:DJ14" si="459">IF(AND(CV12&lt;&gt;0,CV13&lt;&gt;0),(CV12-CV13)/CV13,IF(AND(CV12=0,CV13=0),"",IF(AND(CV12="",CV13=""),"",IF(AND(CV12=0,CV13=""),"", IF(AND(CV12="",CV13=0),"",1)))))</f>
        <v/>
      </c>
      <c r="CW14" s="40" t="str">
        <f t="shared" si="459"/>
        <v/>
      </c>
      <c r="CX14" s="40" t="str">
        <f t="shared" si="459"/>
        <v/>
      </c>
      <c r="CY14" s="40" t="str">
        <f t="shared" si="459"/>
        <v/>
      </c>
      <c r="CZ14" s="40" t="str">
        <f t="shared" si="459"/>
        <v/>
      </c>
      <c r="DA14" s="40" t="str">
        <f t="shared" si="459"/>
        <v/>
      </c>
      <c r="DB14" s="40" t="str">
        <f t="shared" si="459"/>
        <v/>
      </c>
      <c r="DC14" s="40" t="str">
        <f t="shared" si="459"/>
        <v/>
      </c>
      <c r="DD14" s="40" t="str">
        <f t="shared" si="459"/>
        <v/>
      </c>
      <c r="DE14" s="40" t="str">
        <f t="shared" si="459"/>
        <v/>
      </c>
      <c r="DF14" s="40" t="str">
        <f t="shared" si="459"/>
        <v/>
      </c>
      <c r="DG14" s="40" t="str">
        <f t="shared" si="459"/>
        <v/>
      </c>
      <c r="DH14" s="40" t="str">
        <f t="shared" si="459"/>
        <v/>
      </c>
      <c r="DI14" s="40" t="str">
        <f t="shared" si="459"/>
        <v/>
      </c>
      <c r="DJ14" s="40" t="str">
        <f t="shared" si="459"/>
        <v/>
      </c>
      <c r="DK14" s="41">
        <f t="shared" ref="DK14:HU14" si="460">IF(AND(DK12&lt;&gt;0,DK13&lt;&gt;0),(DK12-DK13)/DK13,IF(AND(DK12=0,DK13=0),"",IF(AND(DK12="",DK13=""),"",IF(AND(DK12=0,DK13=""),"", IF(AND(DK12="",DK13=0),"",1)))))</f>
        <v>2.6683809725417666</v>
      </c>
      <c r="DL14" s="72" t="str">
        <f t="shared" si="460"/>
        <v/>
      </c>
      <c r="DM14" s="73" t="str">
        <f t="shared" si="460"/>
        <v/>
      </c>
      <c r="DN14" s="73" t="str">
        <f t="shared" si="460"/>
        <v/>
      </c>
      <c r="DO14" s="73" t="str">
        <f t="shared" si="460"/>
        <v/>
      </c>
      <c r="DP14" s="73" t="str">
        <f t="shared" si="460"/>
        <v/>
      </c>
      <c r="DQ14" s="73" t="str">
        <f t="shared" si="460"/>
        <v/>
      </c>
      <c r="DR14" s="73" t="str">
        <f t="shared" si="460"/>
        <v/>
      </c>
      <c r="DS14" s="73" t="str">
        <f t="shared" si="460"/>
        <v/>
      </c>
      <c r="DT14" s="73" t="str">
        <f t="shared" si="460"/>
        <v/>
      </c>
      <c r="DU14" s="73" t="str">
        <f t="shared" si="460"/>
        <v/>
      </c>
      <c r="DV14" s="73" t="str">
        <f t="shared" si="460"/>
        <v/>
      </c>
      <c r="DW14" s="73" t="str">
        <f t="shared" si="460"/>
        <v/>
      </c>
      <c r="DX14" s="73" t="str">
        <f t="shared" si="460"/>
        <v/>
      </c>
      <c r="DY14" s="73" t="str">
        <f t="shared" si="460"/>
        <v/>
      </c>
      <c r="DZ14" s="73" t="str">
        <f t="shared" si="460"/>
        <v/>
      </c>
      <c r="EA14" s="73" t="str">
        <f t="shared" si="460"/>
        <v/>
      </c>
      <c r="EB14" s="73" t="str">
        <f t="shared" si="460"/>
        <v/>
      </c>
      <c r="EC14" s="73" t="str">
        <f t="shared" si="460"/>
        <v/>
      </c>
      <c r="ED14" s="73" t="str">
        <f t="shared" si="460"/>
        <v/>
      </c>
      <c r="EE14" s="73" t="str">
        <f t="shared" si="460"/>
        <v/>
      </c>
      <c r="EF14" s="73" t="str">
        <f t="shared" si="460"/>
        <v/>
      </c>
      <c r="EG14" s="73" t="str">
        <f t="shared" si="460"/>
        <v/>
      </c>
      <c r="EH14" s="73" t="str">
        <f t="shared" si="460"/>
        <v/>
      </c>
      <c r="EI14" s="73" t="str">
        <f t="shared" ref="EI14:EV14" si="461">IF(AND(EI12&lt;&gt;0,EI13&lt;&gt;0),(EI12-EI13)/EI13,IF(AND(EI12=0,EI13=0),"",IF(AND(EI12="",EI13=""),"",IF(AND(EI12=0,EI13=""),"", IF(AND(EI12="",EI13=0),"",1)))))</f>
        <v/>
      </c>
      <c r="EJ14" s="73" t="str">
        <f t="shared" si="461"/>
        <v/>
      </c>
      <c r="EK14" s="73" t="str">
        <f t="shared" si="461"/>
        <v/>
      </c>
      <c r="EL14" s="73" t="str">
        <f t="shared" si="461"/>
        <v/>
      </c>
      <c r="EM14" s="73" t="str">
        <f t="shared" si="461"/>
        <v/>
      </c>
      <c r="EN14" s="73" t="str">
        <f t="shared" si="461"/>
        <v/>
      </c>
      <c r="EO14" s="73" t="str">
        <f t="shared" si="461"/>
        <v/>
      </c>
      <c r="EP14" s="73" t="str">
        <f t="shared" si="461"/>
        <v/>
      </c>
      <c r="EQ14" s="73" t="str">
        <f t="shared" si="461"/>
        <v/>
      </c>
      <c r="ER14" s="73" t="str">
        <f t="shared" si="461"/>
        <v/>
      </c>
      <c r="ES14" s="73" t="str">
        <f t="shared" si="461"/>
        <v/>
      </c>
      <c r="ET14" s="73" t="str">
        <f t="shared" si="461"/>
        <v/>
      </c>
      <c r="EU14" s="73" t="str">
        <f t="shared" si="461"/>
        <v/>
      </c>
      <c r="EV14" s="73" t="str">
        <f t="shared" si="461"/>
        <v/>
      </c>
      <c r="EW14" s="74" t="str">
        <f t="shared" si="460"/>
        <v/>
      </c>
      <c r="EX14" s="72" t="str">
        <f t="shared" ref="EX14:GI14" si="462">IF(AND(EX12&lt;&gt;0,EX13&lt;&gt;0),(EX12-EX13)/EX13,IF(AND(EX12=0,EX13=0),"",IF(AND(EX12="",EX13=""),"",IF(AND(EX12=0,EX13=""),"", IF(AND(EX12="",EX13=0),"",1)))))</f>
        <v/>
      </c>
      <c r="EY14" s="73" t="str">
        <f t="shared" si="462"/>
        <v/>
      </c>
      <c r="EZ14" s="73" t="str">
        <f t="shared" si="462"/>
        <v/>
      </c>
      <c r="FA14" s="73" t="str">
        <f t="shared" si="462"/>
        <v/>
      </c>
      <c r="FB14" s="73" t="str">
        <f t="shared" si="462"/>
        <v/>
      </c>
      <c r="FC14" s="73" t="str">
        <f t="shared" si="462"/>
        <v/>
      </c>
      <c r="FD14" s="73" t="str">
        <f t="shared" si="462"/>
        <v/>
      </c>
      <c r="FE14" s="73" t="str">
        <f t="shared" si="462"/>
        <v/>
      </c>
      <c r="FF14" s="73" t="str">
        <f t="shared" si="462"/>
        <v/>
      </c>
      <c r="FG14" s="73" t="str">
        <f t="shared" si="462"/>
        <v/>
      </c>
      <c r="FH14" s="73" t="str">
        <f t="shared" si="462"/>
        <v/>
      </c>
      <c r="FI14" s="73" t="str">
        <f t="shared" si="462"/>
        <v/>
      </c>
      <c r="FJ14" s="73" t="str">
        <f t="shared" si="462"/>
        <v/>
      </c>
      <c r="FK14" s="73" t="str">
        <f t="shared" si="462"/>
        <v/>
      </c>
      <c r="FL14" s="73" t="str">
        <f t="shared" si="462"/>
        <v/>
      </c>
      <c r="FM14" s="73" t="str">
        <f t="shared" si="462"/>
        <v/>
      </c>
      <c r="FN14" s="73" t="str">
        <f t="shared" si="462"/>
        <v/>
      </c>
      <c r="FO14" s="73" t="str">
        <f t="shared" si="462"/>
        <v/>
      </c>
      <c r="FP14" s="73" t="str">
        <f t="shared" si="462"/>
        <v/>
      </c>
      <c r="FQ14" s="73" t="str">
        <f t="shared" si="462"/>
        <v/>
      </c>
      <c r="FR14" s="73" t="str">
        <f t="shared" si="462"/>
        <v/>
      </c>
      <c r="FS14" s="73" t="str">
        <f t="shared" si="462"/>
        <v/>
      </c>
      <c r="FT14" s="73" t="str">
        <f t="shared" si="462"/>
        <v/>
      </c>
      <c r="FU14" s="73" t="str">
        <f t="shared" ref="FU14:GH14" si="463">IF(AND(FU12&lt;&gt;0,FU13&lt;&gt;0),(FU12-FU13)/FU13,IF(AND(FU12=0,FU13=0),"",IF(AND(FU12="",FU13=""),"",IF(AND(FU12=0,FU13=""),"", IF(AND(FU12="",FU13=0),"",1)))))</f>
        <v/>
      </c>
      <c r="FV14" s="73" t="str">
        <f t="shared" si="463"/>
        <v/>
      </c>
      <c r="FW14" s="73" t="str">
        <f t="shared" si="463"/>
        <v/>
      </c>
      <c r="FX14" s="73" t="str">
        <f t="shared" si="463"/>
        <v/>
      </c>
      <c r="FY14" s="73" t="str">
        <f t="shared" si="463"/>
        <v/>
      </c>
      <c r="FZ14" s="73" t="str">
        <f t="shared" si="463"/>
        <v/>
      </c>
      <c r="GA14" s="73" t="str">
        <f t="shared" si="463"/>
        <v/>
      </c>
      <c r="GB14" s="73" t="str">
        <f t="shared" si="463"/>
        <v/>
      </c>
      <c r="GC14" s="73" t="str">
        <f t="shared" si="463"/>
        <v/>
      </c>
      <c r="GD14" s="73" t="str">
        <f t="shared" si="463"/>
        <v/>
      </c>
      <c r="GE14" s="73" t="str">
        <f t="shared" si="463"/>
        <v/>
      </c>
      <c r="GF14" s="73" t="str">
        <f t="shared" si="463"/>
        <v/>
      </c>
      <c r="GG14" s="73" t="str">
        <f t="shared" si="463"/>
        <v/>
      </c>
      <c r="GH14" s="73" t="str">
        <f t="shared" si="463"/>
        <v/>
      </c>
      <c r="GI14" s="74" t="str">
        <f t="shared" si="462"/>
        <v/>
      </c>
      <c r="GJ14" s="72" t="str">
        <f t="shared" si="460"/>
        <v/>
      </c>
      <c r="GK14" s="73" t="str">
        <f t="shared" si="460"/>
        <v/>
      </c>
      <c r="GL14" s="73" t="str">
        <f t="shared" si="460"/>
        <v/>
      </c>
      <c r="GM14" s="73" t="str">
        <f t="shared" si="460"/>
        <v/>
      </c>
      <c r="GN14" s="73" t="str">
        <f t="shared" si="460"/>
        <v/>
      </c>
      <c r="GO14" s="73" t="str">
        <f t="shared" si="460"/>
        <v/>
      </c>
      <c r="GP14" s="73" t="str">
        <f t="shared" si="460"/>
        <v/>
      </c>
      <c r="GQ14" s="73" t="str">
        <f t="shared" si="460"/>
        <v/>
      </c>
      <c r="GR14" s="73" t="str">
        <f t="shared" si="460"/>
        <v/>
      </c>
      <c r="GS14" s="73" t="str">
        <f t="shared" si="460"/>
        <v/>
      </c>
      <c r="GT14" s="73" t="str">
        <f t="shared" si="460"/>
        <v/>
      </c>
      <c r="GU14" s="73" t="str">
        <f t="shared" si="460"/>
        <v/>
      </c>
      <c r="GV14" s="73" t="str">
        <f t="shared" si="460"/>
        <v/>
      </c>
      <c r="GW14" s="73" t="str">
        <f t="shared" si="460"/>
        <v/>
      </c>
      <c r="GX14" s="73" t="str">
        <f t="shared" si="460"/>
        <v/>
      </c>
      <c r="GY14" s="73" t="str">
        <f t="shared" si="460"/>
        <v/>
      </c>
      <c r="GZ14" s="73" t="str">
        <f t="shared" si="460"/>
        <v/>
      </c>
      <c r="HA14" s="73" t="str">
        <f t="shared" si="460"/>
        <v/>
      </c>
      <c r="HB14" s="73" t="str">
        <f t="shared" si="460"/>
        <v/>
      </c>
      <c r="HC14" s="73" t="str">
        <f t="shared" si="460"/>
        <v/>
      </c>
      <c r="HD14" s="73" t="str">
        <f t="shared" si="460"/>
        <v/>
      </c>
      <c r="HE14" s="73" t="str">
        <f t="shared" si="460"/>
        <v/>
      </c>
      <c r="HF14" s="73" t="str">
        <f t="shared" si="460"/>
        <v/>
      </c>
      <c r="HG14" s="73" t="str">
        <f t="shared" ref="HG14:HT14" si="464">IF(AND(HG12&lt;&gt;0,HG13&lt;&gt;0),(HG12-HG13)/HG13,IF(AND(HG12=0,HG13=0),"",IF(AND(HG12="",HG13=""),"",IF(AND(HG12=0,HG13=""),"", IF(AND(HG12="",HG13=0),"",1)))))</f>
        <v/>
      </c>
      <c r="HH14" s="73" t="str">
        <f t="shared" si="464"/>
        <v/>
      </c>
      <c r="HI14" s="73" t="str">
        <f t="shared" si="464"/>
        <v/>
      </c>
      <c r="HJ14" s="73" t="str">
        <f t="shared" si="464"/>
        <v/>
      </c>
      <c r="HK14" s="73" t="str">
        <f t="shared" si="464"/>
        <v/>
      </c>
      <c r="HL14" s="73" t="str">
        <f t="shared" si="464"/>
        <v/>
      </c>
      <c r="HM14" s="73" t="str">
        <f t="shared" si="464"/>
        <v/>
      </c>
      <c r="HN14" s="73" t="str">
        <f t="shared" si="464"/>
        <v/>
      </c>
      <c r="HO14" s="73" t="str">
        <f t="shared" si="464"/>
        <v/>
      </c>
      <c r="HP14" s="73" t="str">
        <f t="shared" si="464"/>
        <v/>
      </c>
      <c r="HQ14" s="73" t="str">
        <f t="shared" si="464"/>
        <v/>
      </c>
      <c r="HR14" s="73" t="str">
        <f t="shared" si="464"/>
        <v/>
      </c>
      <c r="HS14" s="73" t="str">
        <f t="shared" si="464"/>
        <v/>
      </c>
      <c r="HT14" s="73" t="str">
        <f t="shared" si="464"/>
        <v/>
      </c>
      <c r="HU14" s="74" t="str">
        <f t="shared" si="460"/>
        <v/>
      </c>
      <c r="HV14" s="39" t="str">
        <f t="shared" ref="HV14" si="465">IF(AND(HV12&lt;&gt;0,HV13&lt;&gt;0),(HV12-HV13)/HV13,IF(AND(HV12=0,HV13=0),"",IF(AND(HV12="",HV13=""),"",IF(AND(HV12=0,HV13=""),"", IF(AND(HV12="",HV13=0),"",1)))))</f>
        <v/>
      </c>
      <c r="HW14" s="40" t="str">
        <f t="shared" ref="HW14" si="466">IF(AND(HW12&lt;&gt;0,HW13&lt;&gt;0),(HW12-HW13)/HW13,IF(AND(HW12=0,HW13=0),"",IF(AND(HW12="",HW13=""),"",IF(AND(HW12=0,HW13=""),"", IF(AND(HW12="",HW13=0),"",1)))))</f>
        <v/>
      </c>
      <c r="HX14" s="40" t="str">
        <f t="shared" ref="HX14" si="467">IF(AND(HX12&lt;&gt;0,HX13&lt;&gt;0),(HX12-HX13)/HX13,IF(AND(HX12=0,HX13=0),"",IF(AND(HX12="",HX13=""),"",IF(AND(HX12=0,HX13=""),"", IF(AND(HX12="",HX13=0),"",1)))))</f>
        <v/>
      </c>
      <c r="HY14" s="40" t="str">
        <f t="shared" ref="HY14" si="468">IF(AND(HY12&lt;&gt;0,HY13&lt;&gt;0),(HY12-HY13)/HY13,IF(AND(HY12=0,HY13=0),"",IF(AND(HY12="",HY13=""),"",IF(AND(HY12=0,HY13=""),"", IF(AND(HY12="",HY13=0),"",1)))))</f>
        <v/>
      </c>
      <c r="HZ14" s="40" t="str">
        <f t="shared" ref="HZ14" si="469">IF(AND(HZ12&lt;&gt;0,HZ13&lt;&gt;0),(HZ12-HZ13)/HZ13,IF(AND(HZ12=0,HZ13=0),"",IF(AND(HZ12="",HZ13=""),"",IF(AND(HZ12=0,HZ13=""),"", IF(AND(HZ12="",HZ13=0),"",1)))))</f>
        <v/>
      </c>
      <c r="IA14" s="40" t="str">
        <f t="shared" ref="IA14" si="470">IF(AND(IA12&lt;&gt;0,IA13&lt;&gt;0),(IA12-IA13)/IA13,IF(AND(IA12=0,IA13=0),"",IF(AND(IA12="",IA13=""),"",IF(AND(IA12=0,IA13=""),"", IF(AND(IA12="",IA13=0),"",1)))))</f>
        <v/>
      </c>
      <c r="IB14" s="40" t="str">
        <f t="shared" ref="IB14" si="471">IF(AND(IB12&lt;&gt;0,IB13&lt;&gt;0),(IB12-IB13)/IB13,IF(AND(IB12=0,IB13=0),"",IF(AND(IB12="",IB13=""),"",IF(AND(IB12=0,IB13=""),"", IF(AND(IB12="",IB13=0),"",1)))))</f>
        <v/>
      </c>
      <c r="IC14" s="40" t="str">
        <f t="shared" ref="IC14" si="472">IF(AND(IC12&lt;&gt;0,IC13&lt;&gt;0),(IC12-IC13)/IC13,IF(AND(IC12=0,IC13=0),"",IF(AND(IC12="",IC13=""),"",IF(AND(IC12=0,IC13=""),"", IF(AND(IC12="",IC13=0),"",1)))))</f>
        <v/>
      </c>
      <c r="ID14" s="40" t="str">
        <f t="shared" ref="ID14" si="473">IF(AND(ID12&lt;&gt;0,ID13&lt;&gt;0),(ID12-ID13)/ID13,IF(AND(ID12=0,ID13=0),"",IF(AND(ID12="",ID13=""),"",IF(AND(ID12=0,ID13=""),"", IF(AND(ID12="",ID13=0),"",1)))))</f>
        <v/>
      </c>
      <c r="IE14" s="40">
        <f t="shared" ref="IE14" si="474">IF(AND(IE12&lt;&gt;0,IE13&lt;&gt;0),(IE12-IE13)/IE13,IF(AND(IE12=0,IE13=0),"",IF(AND(IE12="",IE13=""),"",IF(AND(IE12=0,IE13=""),"", IF(AND(IE12="",IE13=0),"",1)))))</f>
        <v>1</v>
      </c>
      <c r="IF14" s="40" t="str">
        <f t="shared" ref="IF14" si="475">IF(AND(IF12&lt;&gt;0,IF13&lt;&gt;0),(IF12-IF13)/IF13,IF(AND(IF12=0,IF13=0),"",IF(AND(IF12="",IF13=""),"",IF(AND(IF12=0,IF13=""),"", IF(AND(IF12="",IF13=0),"",1)))))</f>
        <v/>
      </c>
      <c r="IG14" s="40" t="str">
        <f t="shared" ref="IG14" si="476">IF(AND(IG12&lt;&gt;0,IG13&lt;&gt;0),(IG12-IG13)/IG13,IF(AND(IG12=0,IG13=0),"",IF(AND(IG12="",IG13=""),"",IF(AND(IG12=0,IG13=""),"", IF(AND(IG12="",IG13=0),"",1)))))</f>
        <v/>
      </c>
      <c r="IH14" s="40" t="str">
        <f t="shared" ref="IH14" si="477">IF(AND(IH12&lt;&gt;0,IH13&lt;&gt;0),(IH12-IH13)/IH13,IF(AND(IH12=0,IH13=0),"",IF(AND(IH12="",IH13=""),"",IF(AND(IH12=0,IH13=""),"", IF(AND(IH12="",IH13=0),"",1)))))</f>
        <v/>
      </c>
      <c r="II14" s="40" t="str">
        <f t="shared" ref="II14" si="478">IF(AND(II12&lt;&gt;0,II13&lt;&gt;0),(II12-II13)/II13,IF(AND(II12=0,II13=0),"",IF(AND(II12="",II13=""),"",IF(AND(II12=0,II13=""),"", IF(AND(II12="",II13=0),"",1)))))</f>
        <v/>
      </c>
      <c r="IJ14" s="40" t="str">
        <f t="shared" ref="IJ14" si="479">IF(AND(IJ12&lt;&gt;0,IJ13&lt;&gt;0),(IJ12-IJ13)/IJ13,IF(AND(IJ12=0,IJ13=0),"",IF(AND(IJ12="",IJ13=""),"",IF(AND(IJ12=0,IJ13=""),"", IF(AND(IJ12="",IJ13=0),"",1)))))</f>
        <v/>
      </c>
      <c r="IK14" s="40" t="str">
        <f t="shared" ref="IK14" si="480">IF(AND(IK12&lt;&gt;0,IK13&lt;&gt;0),(IK12-IK13)/IK13,IF(AND(IK12=0,IK13=0),"",IF(AND(IK12="",IK13=""),"",IF(AND(IK12=0,IK13=""),"", IF(AND(IK12="",IK13=0),"",1)))))</f>
        <v/>
      </c>
      <c r="IL14" s="40" t="str">
        <f t="shared" ref="IL14" si="481">IF(AND(IL12&lt;&gt;0,IL13&lt;&gt;0),(IL12-IL13)/IL13,IF(AND(IL12=0,IL13=0),"",IF(AND(IL12="",IL13=""),"",IF(AND(IL12=0,IL13=""),"", IF(AND(IL12="",IL13=0),"",1)))))</f>
        <v/>
      </c>
      <c r="IM14" s="40" t="str">
        <f t="shared" ref="IM14" si="482">IF(AND(IM12&lt;&gt;0,IM13&lt;&gt;0),(IM12-IM13)/IM13,IF(AND(IM12=0,IM13=0),"",IF(AND(IM12="",IM13=""),"",IF(AND(IM12=0,IM13=""),"", IF(AND(IM12="",IM13=0),"",1)))))</f>
        <v/>
      </c>
      <c r="IN14" s="40" t="str">
        <f t="shared" ref="IN14" si="483">IF(AND(IN12&lt;&gt;0,IN13&lt;&gt;0),(IN12-IN13)/IN13,IF(AND(IN12=0,IN13=0),"",IF(AND(IN12="",IN13=""),"",IF(AND(IN12=0,IN13=""),"", IF(AND(IN12="",IN13=0),"",1)))))</f>
        <v/>
      </c>
      <c r="IO14" s="40" t="str">
        <f t="shared" ref="IO14" si="484">IF(AND(IO12&lt;&gt;0,IO13&lt;&gt;0),(IO12-IO13)/IO13,IF(AND(IO12=0,IO13=0),"",IF(AND(IO12="",IO13=""),"",IF(AND(IO12=0,IO13=""),"", IF(AND(IO12="",IO13=0),"",1)))))</f>
        <v/>
      </c>
      <c r="IP14" s="40" t="str">
        <f t="shared" ref="IP14" si="485">IF(AND(IP12&lt;&gt;0,IP13&lt;&gt;0),(IP12-IP13)/IP13,IF(AND(IP12=0,IP13=0),"",IF(AND(IP12="",IP13=""),"",IF(AND(IP12=0,IP13=""),"", IF(AND(IP12="",IP13=0),"",1)))))</f>
        <v/>
      </c>
      <c r="IQ14" s="40" t="str">
        <f t="shared" ref="IQ14" si="486">IF(AND(IQ12&lt;&gt;0,IQ13&lt;&gt;0),(IQ12-IQ13)/IQ13,IF(AND(IQ12=0,IQ13=0),"",IF(AND(IQ12="",IQ13=""),"",IF(AND(IQ12=0,IQ13=""),"", IF(AND(IQ12="",IQ13=0),"",1)))))</f>
        <v/>
      </c>
      <c r="IR14" s="40" t="str">
        <f t="shared" ref="IR14:JF14" si="487">IF(AND(IR12&lt;&gt;0,IR13&lt;&gt;0),(IR12-IR13)/IR13,IF(AND(IR12=0,IR13=0),"",IF(AND(IR12="",IR13=""),"",IF(AND(IR12=0,IR13=""),"", IF(AND(IR12="",IR13=0),"",1)))))</f>
        <v/>
      </c>
      <c r="IS14" s="40" t="str">
        <f t="shared" si="487"/>
        <v/>
      </c>
      <c r="IT14" s="40" t="str">
        <f t="shared" si="487"/>
        <v/>
      </c>
      <c r="IU14" s="40" t="str">
        <f t="shared" si="487"/>
        <v/>
      </c>
      <c r="IV14" s="40" t="str">
        <f t="shared" si="487"/>
        <v/>
      </c>
      <c r="IW14" s="40" t="str">
        <f t="shared" si="487"/>
        <v/>
      </c>
      <c r="IX14" s="40" t="str">
        <f t="shared" si="487"/>
        <v/>
      </c>
      <c r="IY14" s="40" t="str">
        <f t="shared" si="487"/>
        <v/>
      </c>
      <c r="IZ14" s="40" t="str">
        <f t="shared" si="487"/>
        <v/>
      </c>
      <c r="JA14" s="40" t="str">
        <f t="shared" si="487"/>
        <v/>
      </c>
      <c r="JB14" s="40" t="str">
        <f t="shared" si="487"/>
        <v/>
      </c>
      <c r="JC14" s="40" t="str">
        <f t="shared" si="487"/>
        <v/>
      </c>
      <c r="JD14" s="40" t="str">
        <f t="shared" si="487"/>
        <v/>
      </c>
      <c r="JE14" s="40" t="str">
        <f t="shared" si="487"/>
        <v/>
      </c>
      <c r="JF14" s="40" t="str">
        <f t="shared" si="487"/>
        <v/>
      </c>
      <c r="JG14" s="41">
        <f t="shared" ref="JG14:NQ14" si="488">IF(AND(JG12&lt;&gt;0,JG13&lt;&gt;0),(JG12-JG13)/JG13,IF(AND(JG12=0,JG13=0),"",IF(AND(JG12="",JG13=""),"",IF(AND(JG12=0,JG13=""),"", IF(AND(JG12="",JG13=0),"",1)))))</f>
        <v>1</v>
      </c>
      <c r="JH14" s="72" t="str">
        <f t="shared" si="488"/>
        <v/>
      </c>
      <c r="JI14" s="73" t="str">
        <f t="shared" si="488"/>
        <v/>
      </c>
      <c r="JJ14" s="73" t="str">
        <f t="shared" si="488"/>
        <v/>
      </c>
      <c r="JK14" s="73" t="str">
        <f t="shared" si="488"/>
        <v/>
      </c>
      <c r="JL14" s="73" t="str">
        <f t="shared" si="488"/>
        <v/>
      </c>
      <c r="JM14" s="73" t="str">
        <f t="shared" si="488"/>
        <v/>
      </c>
      <c r="JN14" s="73" t="str">
        <f t="shared" si="488"/>
        <v/>
      </c>
      <c r="JO14" s="73" t="str">
        <f t="shared" si="488"/>
        <v/>
      </c>
      <c r="JP14" s="73" t="str">
        <f t="shared" si="488"/>
        <v/>
      </c>
      <c r="JQ14" s="73" t="str">
        <f t="shared" si="488"/>
        <v/>
      </c>
      <c r="JR14" s="73" t="str">
        <f t="shared" si="488"/>
        <v/>
      </c>
      <c r="JS14" s="73" t="str">
        <f t="shared" si="488"/>
        <v/>
      </c>
      <c r="JT14" s="73" t="str">
        <f t="shared" si="488"/>
        <v/>
      </c>
      <c r="JU14" s="73" t="str">
        <f t="shared" si="488"/>
        <v/>
      </c>
      <c r="JV14" s="73" t="str">
        <f t="shared" si="488"/>
        <v/>
      </c>
      <c r="JW14" s="73" t="str">
        <f t="shared" si="488"/>
        <v/>
      </c>
      <c r="JX14" s="73" t="str">
        <f t="shared" si="488"/>
        <v/>
      </c>
      <c r="JY14" s="73" t="str">
        <f t="shared" si="488"/>
        <v/>
      </c>
      <c r="JZ14" s="73" t="str">
        <f t="shared" si="488"/>
        <v/>
      </c>
      <c r="KA14" s="73" t="str">
        <f t="shared" si="488"/>
        <v/>
      </c>
      <c r="KB14" s="73" t="str">
        <f t="shared" si="488"/>
        <v/>
      </c>
      <c r="KC14" s="73" t="str">
        <f t="shared" si="488"/>
        <v/>
      </c>
      <c r="KD14" s="73" t="str">
        <f t="shared" si="488"/>
        <v/>
      </c>
      <c r="KE14" s="73" t="str">
        <f t="shared" ref="KE14:KR14" si="489">IF(AND(KE12&lt;&gt;0,KE13&lt;&gt;0),(KE12-KE13)/KE13,IF(AND(KE12=0,KE13=0),"",IF(AND(KE12="",KE13=""),"",IF(AND(KE12=0,KE13=""),"", IF(AND(KE12="",KE13=0),"",1)))))</f>
        <v/>
      </c>
      <c r="KF14" s="73" t="str">
        <f t="shared" si="489"/>
        <v/>
      </c>
      <c r="KG14" s="73" t="str">
        <f t="shared" si="489"/>
        <v/>
      </c>
      <c r="KH14" s="73" t="str">
        <f t="shared" si="489"/>
        <v/>
      </c>
      <c r="KI14" s="73" t="str">
        <f t="shared" si="489"/>
        <v/>
      </c>
      <c r="KJ14" s="73" t="str">
        <f t="shared" si="489"/>
        <v/>
      </c>
      <c r="KK14" s="73" t="str">
        <f t="shared" si="489"/>
        <v/>
      </c>
      <c r="KL14" s="73" t="str">
        <f t="shared" si="489"/>
        <v/>
      </c>
      <c r="KM14" s="73" t="str">
        <f t="shared" si="489"/>
        <v/>
      </c>
      <c r="KN14" s="73" t="str">
        <f t="shared" si="489"/>
        <v/>
      </c>
      <c r="KO14" s="73" t="str">
        <f t="shared" si="489"/>
        <v/>
      </c>
      <c r="KP14" s="73" t="str">
        <f t="shared" si="489"/>
        <v/>
      </c>
      <c r="KQ14" s="73" t="str">
        <f t="shared" si="489"/>
        <v/>
      </c>
      <c r="KR14" s="73" t="str">
        <f t="shared" si="489"/>
        <v/>
      </c>
      <c r="KS14" s="74" t="str">
        <f t="shared" si="488"/>
        <v/>
      </c>
      <c r="KT14" s="72" t="str">
        <f t="shared" ref="KT14:ME14" si="490">IF(AND(KT12&lt;&gt;0,KT13&lt;&gt;0),(KT12-KT13)/KT13,IF(AND(KT12=0,KT13=0),"",IF(AND(KT12="",KT13=""),"",IF(AND(KT12=0,KT13=""),"", IF(AND(KT12="",KT13=0),"",1)))))</f>
        <v/>
      </c>
      <c r="KU14" s="73" t="str">
        <f t="shared" si="490"/>
        <v/>
      </c>
      <c r="KV14" s="73" t="str">
        <f t="shared" si="490"/>
        <v/>
      </c>
      <c r="KW14" s="73" t="str">
        <f t="shared" si="490"/>
        <v/>
      </c>
      <c r="KX14" s="73" t="str">
        <f t="shared" si="490"/>
        <v/>
      </c>
      <c r="KY14" s="73" t="str">
        <f t="shared" si="490"/>
        <v/>
      </c>
      <c r="KZ14" s="73" t="str">
        <f t="shared" si="490"/>
        <v/>
      </c>
      <c r="LA14" s="73" t="str">
        <f t="shared" si="490"/>
        <v/>
      </c>
      <c r="LB14" s="73" t="str">
        <f t="shared" si="490"/>
        <v/>
      </c>
      <c r="LC14" s="73" t="str">
        <f t="shared" si="490"/>
        <v/>
      </c>
      <c r="LD14" s="73" t="str">
        <f t="shared" si="490"/>
        <v/>
      </c>
      <c r="LE14" s="73" t="str">
        <f t="shared" si="490"/>
        <v/>
      </c>
      <c r="LF14" s="73" t="str">
        <f t="shared" si="490"/>
        <v/>
      </c>
      <c r="LG14" s="73" t="str">
        <f t="shared" si="490"/>
        <v/>
      </c>
      <c r="LH14" s="73" t="str">
        <f t="shared" si="490"/>
        <v/>
      </c>
      <c r="LI14" s="73" t="str">
        <f t="shared" si="490"/>
        <v/>
      </c>
      <c r="LJ14" s="73" t="str">
        <f t="shared" si="490"/>
        <v/>
      </c>
      <c r="LK14" s="73" t="str">
        <f t="shared" si="490"/>
        <v/>
      </c>
      <c r="LL14" s="73" t="str">
        <f t="shared" si="490"/>
        <v/>
      </c>
      <c r="LM14" s="73" t="str">
        <f t="shared" si="490"/>
        <v/>
      </c>
      <c r="LN14" s="73" t="str">
        <f t="shared" si="490"/>
        <v/>
      </c>
      <c r="LO14" s="73" t="str">
        <f t="shared" si="490"/>
        <v/>
      </c>
      <c r="LP14" s="73" t="str">
        <f t="shared" si="490"/>
        <v/>
      </c>
      <c r="LQ14" s="73" t="str">
        <f t="shared" ref="LQ14:MD14" si="491">IF(AND(LQ12&lt;&gt;0,LQ13&lt;&gt;0),(LQ12-LQ13)/LQ13,IF(AND(LQ12=0,LQ13=0),"",IF(AND(LQ12="",LQ13=""),"",IF(AND(LQ12=0,LQ13=""),"", IF(AND(LQ12="",LQ13=0),"",1)))))</f>
        <v/>
      </c>
      <c r="LR14" s="73" t="str">
        <f t="shared" si="491"/>
        <v/>
      </c>
      <c r="LS14" s="73" t="str">
        <f t="shared" si="491"/>
        <v/>
      </c>
      <c r="LT14" s="73" t="str">
        <f t="shared" si="491"/>
        <v/>
      </c>
      <c r="LU14" s="73" t="str">
        <f t="shared" si="491"/>
        <v/>
      </c>
      <c r="LV14" s="73" t="str">
        <f t="shared" si="491"/>
        <v/>
      </c>
      <c r="LW14" s="73" t="str">
        <f t="shared" si="491"/>
        <v/>
      </c>
      <c r="LX14" s="73" t="str">
        <f t="shared" si="491"/>
        <v/>
      </c>
      <c r="LY14" s="73" t="str">
        <f t="shared" si="491"/>
        <v/>
      </c>
      <c r="LZ14" s="73" t="str">
        <f t="shared" si="491"/>
        <v/>
      </c>
      <c r="MA14" s="73" t="str">
        <f t="shared" si="491"/>
        <v/>
      </c>
      <c r="MB14" s="73" t="str">
        <f t="shared" si="491"/>
        <v/>
      </c>
      <c r="MC14" s="73" t="str">
        <f t="shared" si="491"/>
        <v/>
      </c>
      <c r="MD14" s="73" t="str">
        <f t="shared" si="491"/>
        <v/>
      </c>
      <c r="ME14" s="74" t="str">
        <f t="shared" si="490"/>
        <v/>
      </c>
      <c r="MF14" s="72" t="str">
        <f t="shared" si="488"/>
        <v/>
      </c>
      <c r="MG14" s="73" t="str">
        <f t="shared" si="488"/>
        <v/>
      </c>
      <c r="MH14" s="73" t="str">
        <f t="shared" si="488"/>
        <v/>
      </c>
      <c r="MI14" s="73" t="str">
        <f t="shared" si="488"/>
        <v/>
      </c>
      <c r="MJ14" s="73" t="str">
        <f t="shared" si="488"/>
        <v/>
      </c>
      <c r="MK14" s="73" t="str">
        <f t="shared" si="488"/>
        <v/>
      </c>
      <c r="ML14" s="73" t="str">
        <f t="shared" si="488"/>
        <v/>
      </c>
      <c r="MM14" s="73" t="str">
        <f t="shared" si="488"/>
        <v/>
      </c>
      <c r="MN14" s="73" t="str">
        <f t="shared" si="488"/>
        <v/>
      </c>
      <c r="MO14" s="73" t="str">
        <f t="shared" si="488"/>
        <v/>
      </c>
      <c r="MP14" s="73" t="str">
        <f t="shared" si="488"/>
        <v/>
      </c>
      <c r="MQ14" s="73" t="str">
        <f t="shared" si="488"/>
        <v/>
      </c>
      <c r="MR14" s="73" t="str">
        <f t="shared" si="488"/>
        <v/>
      </c>
      <c r="MS14" s="73" t="str">
        <f t="shared" si="488"/>
        <v/>
      </c>
      <c r="MT14" s="73" t="str">
        <f t="shared" si="488"/>
        <v/>
      </c>
      <c r="MU14" s="73" t="str">
        <f t="shared" si="488"/>
        <v/>
      </c>
      <c r="MV14" s="73" t="str">
        <f t="shared" si="488"/>
        <v/>
      </c>
      <c r="MW14" s="73" t="str">
        <f t="shared" si="488"/>
        <v/>
      </c>
      <c r="MX14" s="73" t="str">
        <f t="shared" si="488"/>
        <v/>
      </c>
      <c r="MY14" s="73" t="str">
        <f t="shared" si="488"/>
        <v/>
      </c>
      <c r="MZ14" s="73" t="str">
        <f t="shared" si="488"/>
        <v/>
      </c>
      <c r="NA14" s="73" t="str">
        <f t="shared" si="488"/>
        <v/>
      </c>
      <c r="NB14" s="73" t="str">
        <f t="shared" si="488"/>
        <v/>
      </c>
      <c r="NC14" s="73" t="str">
        <f t="shared" ref="NC14:NP14" si="492">IF(AND(NC12&lt;&gt;0,NC13&lt;&gt;0),(NC12-NC13)/NC13,IF(AND(NC12=0,NC13=0),"",IF(AND(NC12="",NC13=""),"",IF(AND(NC12=0,NC13=""),"", IF(AND(NC12="",NC13=0),"",1)))))</f>
        <v/>
      </c>
      <c r="ND14" s="73" t="str">
        <f t="shared" si="492"/>
        <v/>
      </c>
      <c r="NE14" s="73" t="str">
        <f t="shared" si="492"/>
        <v/>
      </c>
      <c r="NF14" s="73" t="str">
        <f t="shared" si="492"/>
        <v/>
      </c>
      <c r="NG14" s="73" t="str">
        <f t="shared" si="492"/>
        <v/>
      </c>
      <c r="NH14" s="73" t="str">
        <f t="shared" si="492"/>
        <v/>
      </c>
      <c r="NI14" s="73" t="str">
        <f t="shared" si="492"/>
        <v/>
      </c>
      <c r="NJ14" s="73" t="str">
        <f t="shared" si="492"/>
        <v/>
      </c>
      <c r="NK14" s="73" t="str">
        <f t="shared" si="492"/>
        <v/>
      </c>
      <c r="NL14" s="73" t="str">
        <f t="shared" si="492"/>
        <v/>
      </c>
      <c r="NM14" s="73" t="str">
        <f t="shared" si="492"/>
        <v/>
      </c>
      <c r="NN14" s="73" t="str">
        <f t="shared" si="492"/>
        <v/>
      </c>
      <c r="NO14" s="73" t="str">
        <f t="shared" si="492"/>
        <v/>
      </c>
      <c r="NP14" s="73" t="str">
        <f t="shared" si="492"/>
        <v/>
      </c>
      <c r="NQ14" s="74" t="str">
        <f t="shared" si="488"/>
        <v/>
      </c>
      <c r="NR14" s="40" t="str">
        <f t="shared" ref="NR14" si="493">IF(AND(NR12&lt;&gt;0,NR13&lt;&gt;0),(NR12-NR13)/NR13,IF(AND(NR12=0,NR13=0),"",IF(AND(NR12="",NR13=""),"",IF(AND(NR12=0,NR13=""),"", IF(AND(NR12="",NR13=0),"",1)))))</f>
        <v/>
      </c>
      <c r="NS14" s="40" t="str">
        <f t="shared" ref="NS14" si="494">IF(AND(NS12&lt;&gt;0,NS13&lt;&gt;0),(NS12-NS13)/NS13,IF(AND(NS12=0,NS13=0),"",IF(AND(NS12="",NS13=""),"",IF(AND(NS12=0,NS13=""),"", IF(AND(NS12="",NS13=0),"",1)))))</f>
        <v/>
      </c>
      <c r="NT14" s="40" t="str">
        <f t="shared" ref="NT14" si="495">IF(AND(NT12&lt;&gt;0,NT13&lt;&gt;0),(NT12-NT13)/NT13,IF(AND(NT12=0,NT13=0),"",IF(AND(NT12="",NT13=""),"",IF(AND(NT12=0,NT13=""),"", IF(AND(NT12="",NT13=0),"",1)))))</f>
        <v/>
      </c>
      <c r="NU14" s="40" t="str">
        <f t="shared" ref="NU14" si="496">IF(AND(NU12&lt;&gt;0,NU13&lt;&gt;0),(NU12-NU13)/NU13,IF(AND(NU12=0,NU13=0),"",IF(AND(NU12="",NU13=""),"",IF(AND(NU12=0,NU13=""),"", IF(AND(NU12="",NU13=0),"",1)))))</f>
        <v/>
      </c>
      <c r="NV14" s="40" t="str">
        <f t="shared" ref="NV14" si="497">IF(AND(NV12&lt;&gt;0,NV13&lt;&gt;0),(NV12-NV13)/NV13,IF(AND(NV12=0,NV13=0),"",IF(AND(NV12="",NV13=""),"",IF(AND(NV12=0,NV13=""),"", IF(AND(NV12="",NV13=0),"",1)))))</f>
        <v/>
      </c>
      <c r="NW14" s="40" t="str">
        <f t="shared" ref="NW14" si="498">IF(AND(NW12&lt;&gt;0,NW13&lt;&gt;0),(NW12-NW13)/NW13,IF(AND(NW12=0,NW13=0),"",IF(AND(NW12="",NW13=""),"",IF(AND(NW12=0,NW13=""),"", IF(AND(NW12="",NW13=0),"",1)))))</f>
        <v/>
      </c>
      <c r="NX14" s="40" t="str">
        <f t="shared" ref="NX14" si="499">IF(AND(NX12&lt;&gt;0,NX13&lt;&gt;0),(NX12-NX13)/NX13,IF(AND(NX12=0,NX13=0),"",IF(AND(NX12="",NX13=""),"",IF(AND(NX12=0,NX13=""),"", IF(AND(NX12="",NX13=0),"",1)))))</f>
        <v/>
      </c>
      <c r="NY14" s="40" t="str">
        <f t="shared" ref="NY14" si="500">IF(AND(NY12&lt;&gt;0,NY13&lt;&gt;0),(NY12-NY13)/NY13,IF(AND(NY12=0,NY13=0),"",IF(AND(NY12="",NY13=""),"",IF(AND(NY12=0,NY13=""),"", IF(AND(NY12="",NY13=0),"",1)))))</f>
        <v/>
      </c>
      <c r="NZ14" s="40" t="str">
        <f t="shared" ref="NZ14" si="501">IF(AND(NZ12&lt;&gt;0,NZ13&lt;&gt;0),(NZ12-NZ13)/NZ13,IF(AND(NZ12=0,NZ13=0),"",IF(AND(NZ12="",NZ13=""),"",IF(AND(NZ12=0,NZ13=""),"", IF(AND(NZ12="",NZ13=0),"",1)))))</f>
        <v/>
      </c>
      <c r="OA14" s="40" t="str">
        <f t="shared" ref="OA14" si="502">IF(AND(OA12&lt;&gt;0,OA13&lt;&gt;0),(OA12-OA13)/OA13,IF(AND(OA12=0,OA13=0),"",IF(AND(OA12="",OA13=""),"",IF(AND(OA12=0,OA13=""),"", IF(AND(OA12="",OA13=0),"",1)))))</f>
        <v/>
      </c>
      <c r="OB14" s="40" t="str">
        <f t="shared" ref="OB14" si="503">IF(AND(OB12&lt;&gt;0,OB13&lt;&gt;0),(OB12-OB13)/OB13,IF(AND(OB12=0,OB13=0),"",IF(AND(OB12="",OB13=""),"",IF(AND(OB12=0,OB13=""),"", IF(AND(OB12="",OB13=0),"",1)))))</f>
        <v/>
      </c>
      <c r="OC14" s="40" t="str">
        <f t="shared" ref="OC14" si="504">IF(AND(OC12&lt;&gt;0,OC13&lt;&gt;0),(OC12-OC13)/OC13,IF(AND(OC12=0,OC13=0),"",IF(AND(OC12="",OC13=""),"",IF(AND(OC12=0,OC13=""),"", IF(AND(OC12="",OC13=0),"",1)))))</f>
        <v/>
      </c>
      <c r="OD14" s="40" t="str">
        <f t="shared" ref="OD14" si="505">IF(AND(OD12&lt;&gt;0,OD13&lt;&gt;0),(OD12-OD13)/OD13,IF(AND(OD12=0,OD13=0),"",IF(AND(OD12="",OD13=""),"",IF(AND(OD12=0,OD13=""),"", IF(AND(OD12="",OD13=0),"",1)))))</f>
        <v/>
      </c>
      <c r="OE14" s="40" t="str">
        <f t="shared" ref="OE14" si="506">IF(AND(OE12&lt;&gt;0,OE13&lt;&gt;0),(OE12-OE13)/OE13,IF(AND(OE12=0,OE13=0),"",IF(AND(OE12="",OE13=""),"",IF(AND(OE12=0,OE13=""),"", IF(AND(OE12="",OE13=0),"",1)))))</f>
        <v/>
      </c>
      <c r="OF14" s="40" t="str">
        <f t="shared" ref="OF14" si="507">IF(AND(OF12&lt;&gt;0,OF13&lt;&gt;0),(OF12-OF13)/OF13,IF(AND(OF12=0,OF13=0),"",IF(AND(OF12="",OF13=""),"",IF(AND(OF12=0,OF13=""),"", IF(AND(OF12="",OF13=0),"",1)))))</f>
        <v/>
      </c>
      <c r="OG14" s="40" t="str">
        <f t="shared" ref="OG14" si="508">IF(AND(OG12&lt;&gt;0,OG13&lt;&gt;0),(OG12-OG13)/OG13,IF(AND(OG12=0,OG13=0),"",IF(AND(OG12="",OG13=""),"",IF(AND(OG12=0,OG13=""),"", IF(AND(OG12="",OG13=0),"",1)))))</f>
        <v/>
      </c>
      <c r="OH14" s="40" t="str">
        <f t="shared" ref="OH14" si="509">IF(AND(OH12&lt;&gt;0,OH13&lt;&gt;0),(OH12-OH13)/OH13,IF(AND(OH12=0,OH13=0),"",IF(AND(OH12="",OH13=""),"",IF(AND(OH12=0,OH13=""),"", IF(AND(OH12="",OH13=0),"",1)))))</f>
        <v/>
      </c>
      <c r="OI14" s="40" t="str">
        <f t="shared" ref="OI14" si="510">IF(AND(OI12&lt;&gt;0,OI13&lt;&gt;0),(OI12-OI13)/OI13,IF(AND(OI12=0,OI13=0),"",IF(AND(OI12="",OI13=""),"",IF(AND(OI12=0,OI13=""),"", IF(AND(OI12="",OI13=0),"",1)))))</f>
        <v/>
      </c>
      <c r="OJ14" s="40" t="str">
        <f t="shared" ref="OJ14" si="511">IF(AND(OJ12&lt;&gt;0,OJ13&lt;&gt;0),(OJ12-OJ13)/OJ13,IF(AND(OJ12=0,OJ13=0),"",IF(AND(OJ12="",OJ13=""),"",IF(AND(OJ12=0,OJ13=""),"", IF(AND(OJ12="",OJ13=0),"",1)))))</f>
        <v/>
      </c>
      <c r="OK14" s="40" t="str">
        <f t="shared" ref="OK14" si="512">IF(AND(OK12&lt;&gt;0,OK13&lt;&gt;0),(OK12-OK13)/OK13,IF(AND(OK12=0,OK13=0),"",IF(AND(OK12="",OK13=""),"",IF(AND(OK12=0,OK13=""),"", IF(AND(OK12="",OK13=0),"",1)))))</f>
        <v/>
      </c>
      <c r="OL14" s="40" t="str">
        <f t="shared" ref="OL14" si="513">IF(AND(OL12&lt;&gt;0,OL13&lt;&gt;0),(OL12-OL13)/OL13,IF(AND(OL12=0,OL13=0),"",IF(AND(OL12="",OL13=""),"",IF(AND(OL12=0,OL13=""),"", IF(AND(OL12="",OL13=0),"",1)))))</f>
        <v/>
      </c>
      <c r="OM14" s="40" t="str">
        <f t="shared" ref="OM14" si="514">IF(AND(OM12&lt;&gt;0,OM13&lt;&gt;0),(OM12-OM13)/OM13,IF(AND(OM12=0,OM13=0),"",IF(AND(OM12="",OM13=""),"",IF(AND(OM12=0,OM13=""),"", IF(AND(OM12="",OM13=0),"",1)))))</f>
        <v/>
      </c>
      <c r="ON14" s="40" t="str">
        <f t="shared" ref="ON14:PB14" si="515">IF(AND(ON12&lt;&gt;0,ON13&lt;&gt;0),(ON12-ON13)/ON13,IF(AND(ON12=0,ON13=0),"",IF(AND(ON12="",ON13=""),"",IF(AND(ON12=0,ON13=""),"", IF(AND(ON12="",ON13=0),"",1)))))</f>
        <v/>
      </c>
      <c r="OO14" s="40" t="str">
        <f t="shared" si="515"/>
        <v/>
      </c>
      <c r="OP14" s="40" t="str">
        <f t="shared" si="515"/>
        <v/>
      </c>
      <c r="OQ14" s="40" t="str">
        <f t="shared" si="515"/>
        <v/>
      </c>
      <c r="OR14" s="40" t="str">
        <f t="shared" si="515"/>
        <v/>
      </c>
      <c r="OS14" s="40" t="str">
        <f t="shared" si="515"/>
        <v/>
      </c>
      <c r="OT14" s="40" t="str">
        <f t="shared" si="515"/>
        <v/>
      </c>
      <c r="OU14" s="40" t="str">
        <f t="shared" si="515"/>
        <v/>
      </c>
      <c r="OV14" s="40" t="str">
        <f t="shared" si="515"/>
        <v/>
      </c>
      <c r="OW14" s="40" t="str">
        <f t="shared" si="515"/>
        <v/>
      </c>
      <c r="OX14" s="40" t="str">
        <f t="shared" si="515"/>
        <v/>
      </c>
      <c r="OY14" s="40" t="str">
        <f t="shared" si="515"/>
        <v/>
      </c>
      <c r="OZ14" s="40" t="str">
        <f t="shared" si="515"/>
        <v/>
      </c>
      <c r="PA14" s="40" t="str">
        <f t="shared" si="515"/>
        <v/>
      </c>
      <c r="PB14" s="40" t="str">
        <f t="shared" si="515"/>
        <v/>
      </c>
      <c r="PC14" s="41" t="str">
        <f t="shared" ref="PC14" si="516">IF(AND(PC12&lt;&gt;0,PC13&lt;&gt;0),(PC12-PC13)/PC13,IF(AND(PC12=0,PC13=0),"",IF(AND(PC12="",PC13=""),"",IF(AND(PC12=0,PC13=""),"", IF(AND(PC12="",PC13=0),"",1)))))</f>
        <v/>
      </c>
    </row>
    <row r="15" spans="1:423" outlineLevel="1" x14ac:dyDescent="0.3">
      <c r="A15" s="46" t="s">
        <v>13</v>
      </c>
      <c r="B15" s="14">
        <f>'[1]D-PDP'!$CA$12</f>
        <v>186873.65625</v>
      </c>
      <c r="C15" s="14">
        <f>'[1]D-PDP'!$CA$13</f>
        <v>131997.546875</v>
      </c>
      <c r="D15" s="14">
        <f>'[1]D-PDP'!$CA$14</f>
        <v>74177.546875</v>
      </c>
      <c r="E15" s="14">
        <f>'[1]D-PDP'!$CA$15</f>
        <v>39343.7109375</v>
      </c>
      <c r="F15" s="14">
        <f>'[1]D-PDP'!$CA$16</f>
        <v>26624.865234375</v>
      </c>
      <c r="G15" s="14">
        <f>'[1]D-PDP'!$CA$17</f>
        <v>21621.513671875</v>
      </c>
      <c r="H15" s="14">
        <f>'[1]D-PDP'!$CA$18</f>
        <v>15626.49609375</v>
      </c>
      <c r="I15" s="14">
        <f>'[1]D-PDP'!$CA$19</f>
        <v>13340.3037109375</v>
      </c>
      <c r="J15" s="14">
        <f>'[1]D-PDP'!$CA$20</f>
        <v>28451.90234375</v>
      </c>
      <c r="K15" s="14">
        <f>'[1]D-PDP'!$CA$21</f>
        <v>29777.078125</v>
      </c>
      <c r="L15" s="14">
        <f>'[1]D-PDP'!$CA$22</f>
        <v>21136.7421875</v>
      </c>
      <c r="M15" s="14">
        <f>'[1]D-PDP'!$CA$23</f>
        <v>0</v>
      </c>
      <c r="N15" s="14">
        <f>'[1]D-PDP'!$CA$24</f>
        <v>0</v>
      </c>
      <c r="O15" s="14">
        <f>'[1]D-PDP'!$CA$25</f>
        <v>0</v>
      </c>
      <c r="P15" s="14">
        <f>'[1]D-PDP'!$CA$26</f>
        <v>0</v>
      </c>
      <c r="Q15" s="14">
        <f>'[1]D-PDP'!$CA$27</f>
        <v>0</v>
      </c>
      <c r="R15" s="14">
        <f>'[1]D-PDP'!$CA$28</f>
        <v>0</v>
      </c>
      <c r="S15" s="14">
        <f>'[1]D-PDP'!$CA$29</f>
        <v>0</v>
      </c>
      <c r="T15" s="14">
        <f>'[1]D-PDP'!$CA$30</f>
        <v>0</v>
      </c>
      <c r="U15" s="14">
        <f>'[1]D-PDP'!$CA$31</f>
        <v>0</v>
      </c>
      <c r="V15" s="14">
        <f>'[1]D-PDP'!$CA$32</f>
        <v>0</v>
      </c>
      <c r="W15" s="14">
        <f>'[1]D-PDP'!$CA$33</f>
        <v>0</v>
      </c>
      <c r="X15" s="14">
        <f>'[1]D-PDP'!$CA$34</f>
        <v>0</v>
      </c>
      <c r="Y15" s="14">
        <f>'[1]D-PDP'!$CA$35</f>
        <v>0</v>
      </c>
      <c r="Z15" s="14">
        <f>'[1]D-PDP'!$CA$36</f>
        <v>0</v>
      </c>
      <c r="AA15" s="14">
        <f>'[1]D-PDP'!$CA$37</f>
        <v>0</v>
      </c>
      <c r="AB15" s="14">
        <f>'[1]D-PDP'!$CA$38</f>
        <v>0</v>
      </c>
      <c r="AC15" s="14">
        <f>'[1]D-PDP'!$CA$39</f>
        <v>0</v>
      </c>
      <c r="AD15" s="14">
        <f>'[1]D-PDP'!$CA$40</f>
        <v>0</v>
      </c>
      <c r="AE15" s="14">
        <f>'[1]D-PDP'!$CA$41</f>
        <v>0</v>
      </c>
      <c r="AF15" s="14">
        <f>'[1]D-PDP'!$CA$42</f>
        <v>0</v>
      </c>
      <c r="AG15" s="14">
        <f>'[1]D-PDP'!$CA$43</f>
        <v>0</v>
      </c>
      <c r="AH15" s="14">
        <f>'[1]D-PDP'!$CA$44</f>
        <v>0</v>
      </c>
      <c r="AI15" s="14">
        <f>'[1]D-PDP'!$CA$45</f>
        <v>0</v>
      </c>
      <c r="AJ15" s="14">
        <f>'[1]D-PDP'!$CA$46</f>
        <v>0</v>
      </c>
      <c r="AK15" s="14">
        <f>'[1]D-PDP'!$CA$47</f>
        <v>0</v>
      </c>
      <c r="AL15" s="14">
        <f>'[1]D-PDP'!$CA$48</f>
        <v>0</v>
      </c>
      <c r="AM15" s="16">
        <f>SUM(B15:AL15)</f>
        <v>588971.3623046875</v>
      </c>
      <c r="AN15" s="28">
        <f>'[1]D-PNP'!$CA$12</f>
        <v>21639.0546875</v>
      </c>
      <c r="AO15" s="14">
        <f>'[1]D-PNP'!$CA$13</f>
        <v>21329.7109375</v>
      </c>
      <c r="AP15" s="14">
        <f>'[1]D-PNP'!$CA$14</f>
        <v>20856.416015625</v>
      </c>
      <c r="AQ15" s="14">
        <f>'[1]D-PNP'!$CA$15</f>
        <v>13295.3837890625</v>
      </c>
      <c r="AR15" s="14">
        <f>'[1]D-PNP'!$CA$16</f>
        <v>10472.2109375</v>
      </c>
      <c r="AS15" s="14">
        <f>'[1]D-PNP'!$CA$17</f>
        <v>11000.9677734375</v>
      </c>
      <c r="AT15" s="14">
        <f>'[1]D-PNP'!$CA$18</f>
        <v>9964.4716796875</v>
      </c>
      <c r="AU15" s="14">
        <f>'[1]D-PNP'!$CA$19</f>
        <v>7620.2822265625</v>
      </c>
      <c r="AV15" s="14">
        <f>'[1]D-PNP'!$CA$20</f>
        <v>5703.27880859375</v>
      </c>
      <c r="AW15" s="14">
        <f>'[1]D-PNP'!$CA$21</f>
        <v>0</v>
      </c>
      <c r="AX15" s="14">
        <f>'[1]D-PNP'!$CA$22</f>
        <v>0</v>
      </c>
      <c r="AY15" s="14">
        <f>'[1]D-PNP'!$CA$23</f>
        <v>0</v>
      </c>
      <c r="AZ15" s="14">
        <f>'[1]D-PNP'!$CA$24</f>
        <v>0</v>
      </c>
      <c r="BA15" s="14">
        <f>'[1]D-PNP'!$CA$25</f>
        <v>0</v>
      </c>
      <c r="BB15" s="14">
        <f>'[1]D-PNP'!$CA$26</f>
        <v>0</v>
      </c>
      <c r="BC15" s="14">
        <f>'[1]D-PNP'!$CA$27</f>
        <v>0</v>
      </c>
      <c r="BD15" s="14">
        <f>'[1]D-PNP'!$CA$28</f>
        <v>0</v>
      </c>
      <c r="BE15" s="14">
        <f>'[1]D-PNP'!$CA$29</f>
        <v>0</v>
      </c>
      <c r="BF15" s="14">
        <f>'[1]D-PNP'!$CA$30</f>
        <v>0</v>
      </c>
      <c r="BG15" s="14">
        <f>'[1]D-PNP'!$CA$31</f>
        <v>0</v>
      </c>
      <c r="BH15" s="14">
        <f>'[1]D-PNP'!$CA$32</f>
        <v>0</v>
      </c>
      <c r="BI15" s="14">
        <f>'[1]D-PNP'!$CA$33</f>
        <v>0</v>
      </c>
      <c r="BJ15" s="14">
        <f>'[1]D-PNP'!$CA$34</f>
        <v>0</v>
      </c>
      <c r="BK15" s="14">
        <f>'[1]D-PNP'!$CA$35</f>
        <v>0</v>
      </c>
      <c r="BL15" s="14">
        <f>'[1]D-PNP'!$CA$36</f>
        <v>0</v>
      </c>
      <c r="BM15" s="14">
        <f>'[1]D-PNP'!$CA$37</f>
        <v>0</v>
      </c>
      <c r="BN15" s="14">
        <f>'[1]D-PNP'!$CA$38</f>
        <v>0</v>
      </c>
      <c r="BO15" s="14">
        <f>'[1]D-PNP'!$CA$39</f>
        <v>0</v>
      </c>
      <c r="BP15" s="14">
        <f>'[1]D-PNP'!$CA$40</f>
        <v>0</v>
      </c>
      <c r="BQ15" s="14">
        <f>'[1]D-PNP'!$CA$41</f>
        <v>0</v>
      </c>
      <c r="BR15" s="14">
        <f>'[1]D-PNP'!$CA$42</f>
        <v>0</v>
      </c>
      <c r="BS15" s="14">
        <f>'[1]D-PNP'!$CA$43</f>
        <v>0</v>
      </c>
      <c r="BT15" s="14">
        <f>'[1]D-PNP'!$CA$44</f>
        <v>0</v>
      </c>
      <c r="BU15" s="14">
        <f>'[1]D-PNP'!$CA$45</f>
        <v>0</v>
      </c>
      <c r="BV15" s="14">
        <f>'[1]D-PNP'!$CA$46</f>
        <v>0</v>
      </c>
      <c r="BW15" s="14">
        <f>'[1]D-PNP'!$CA$47</f>
        <v>0</v>
      </c>
      <c r="BX15" s="14">
        <f>'[1]D-PNP'!$CA$48</f>
        <v>0</v>
      </c>
      <c r="BY15" s="16">
        <f>SUM(AN15:BX15)</f>
        <v>121881.77685546875</v>
      </c>
      <c r="BZ15" s="28">
        <f>'[1]D-PND'!$CA$12</f>
        <v>55576.953125</v>
      </c>
      <c r="CA15" s="14">
        <f>'[1]D-PND'!$CA$13</f>
        <v>57128.75390625</v>
      </c>
      <c r="CB15" s="14">
        <f>'[1]D-PND'!$CA$14</f>
        <v>38818.28125</v>
      </c>
      <c r="CC15" s="14">
        <f>'[1]D-PND'!$CA$15</f>
        <v>40869.8046875</v>
      </c>
      <c r="CD15" s="14">
        <f>'[1]D-PND'!$CA$16</f>
        <v>161599.9375</v>
      </c>
      <c r="CE15" s="14">
        <f>'[1]D-PND'!$CA$17</f>
        <v>339128.15625</v>
      </c>
      <c r="CF15" s="14">
        <f>'[1]D-PND'!$CA$18</f>
        <v>592209.5</v>
      </c>
      <c r="CG15" s="14">
        <f>'[1]D-PND'!$CA$19</f>
        <v>820690.4375</v>
      </c>
      <c r="CH15" s="14">
        <f>'[1]D-PND'!$CA$20</f>
        <v>2182942.75</v>
      </c>
      <c r="CI15" s="14">
        <f>'[1]D-PND'!$CA$21</f>
        <v>2872664.75</v>
      </c>
      <c r="CJ15" s="14">
        <f>'[1]D-PND'!$CA$22</f>
        <v>1671954.375</v>
      </c>
      <c r="CK15" s="14">
        <f>'[1]D-PND'!$CA$23</f>
        <v>0</v>
      </c>
      <c r="CL15" s="14">
        <f>'[1]D-PND'!$CA$24</f>
        <v>0</v>
      </c>
      <c r="CM15" s="14">
        <f>'[1]D-PND'!$CA$25</f>
        <v>0</v>
      </c>
      <c r="CN15" s="14">
        <f>'[1]D-PND'!$CA$26</f>
        <v>0</v>
      </c>
      <c r="CO15" s="14">
        <f>'[1]D-PND'!$CA$27</f>
        <v>0</v>
      </c>
      <c r="CP15" s="14">
        <f>'[1]D-PND'!$CA$28</f>
        <v>0</v>
      </c>
      <c r="CQ15" s="14">
        <f>'[1]D-PND'!$CA$29</f>
        <v>0</v>
      </c>
      <c r="CR15" s="14">
        <f>'[1]D-PND'!$CA$30</f>
        <v>0</v>
      </c>
      <c r="CS15" s="14">
        <f>'[1]D-PND'!$CA$31</f>
        <v>0</v>
      </c>
      <c r="CT15" s="14">
        <f>'[1]D-PND'!$CA$32</f>
        <v>0</v>
      </c>
      <c r="CU15" s="14">
        <f>'[1]D-PND'!$CA$33</f>
        <v>0</v>
      </c>
      <c r="CV15" s="14">
        <f>'[1]D-PND'!$CA$34</f>
        <v>0</v>
      </c>
      <c r="CW15" s="14">
        <f>'[1]D-PND'!$CA$35</f>
        <v>0</v>
      </c>
      <c r="CX15" s="14">
        <f>'[1]D-PND'!$CA$36</f>
        <v>0</v>
      </c>
      <c r="CY15" s="14">
        <f>'[1]D-PND'!$CA$37</f>
        <v>0</v>
      </c>
      <c r="CZ15" s="14">
        <f>'[1]D-PND'!$CA$38</f>
        <v>0</v>
      </c>
      <c r="DA15" s="14">
        <f>'[1]D-PND'!$CA$39</f>
        <v>0</v>
      </c>
      <c r="DB15" s="14">
        <f>'[1]D-PND'!$CA$40</f>
        <v>0</v>
      </c>
      <c r="DC15" s="14">
        <f>'[1]D-PND'!$CA$41</f>
        <v>0</v>
      </c>
      <c r="DD15" s="14">
        <f>'[1]D-PND'!$CA$42</f>
        <v>0</v>
      </c>
      <c r="DE15" s="14">
        <f>'[1]D-PND'!$CA$43</f>
        <v>0</v>
      </c>
      <c r="DF15" s="14">
        <f>'[1]D-PND'!$CA$44</f>
        <v>0</v>
      </c>
      <c r="DG15" s="14">
        <f>'[1]D-PND'!$CA$45</f>
        <v>0</v>
      </c>
      <c r="DH15" s="14">
        <f>'[1]D-PND'!$CA$46</f>
        <v>0</v>
      </c>
      <c r="DI15" s="14">
        <f>'[1]D-PND'!$CA$47</f>
        <v>0</v>
      </c>
      <c r="DJ15" s="14">
        <f>'[1]D-PND'!$CA$48</f>
        <v>0</v>
      </c>
      <c r="DK15" s="16">
        <f>SUM(BZ15:DJ15)</f>
        <v>8833583.69921875</v>
      </c>
      <c r="DL15" s="66"/>
      <c r="DM15" s="67"/>
      <c r="DN15" s="67"/>
      <c r="DO15" s="67"/>
      <c r="DP15" s="67"/>
      <c r="DQ15" s="67"/>
      <c r="DR15" s="67"/>
      <c r="DS15" s="67"/>
      <c r="DT15" s="67"/>
      <c r="DU15" s="67"/>
      <c r="DV15" s="67"/>
      <c r="DW15" s="67"/>
      <c r="DX15" s="67"/>
      <c r="DY15" s="67"/>
      <c r="DZ15" s="67"/>
      <c r="EA15" s="67"/>
      <c r="EB15" s="67"/>
      <c r="EC15" s="67"/>
      <c r="ED15" s="67"/>
      <c r="EE15" s="67"/>
      <c r="EF15" s="67"/>
      <c r="EG15" s="67"/>
      <c r="EH15" s="67"/>
      <c r="EI15" s="67"/>
      <c r="EJ15" s="67"/>
      <c r="EK15" s="67"/>
      <c r="EL15" s="67"/>
      <c r="EM15" s="67"/>
      <c r="EN15" s="67"/>
      <c r="EO15" s="67"/>
      <c r="EP15" s="67"/>
      <c r="EQ15" s="67"/>
      <c r="ER15" s="67"/>
      <c r="ES15" s="67"/>
      <c r="ET15" s="67"/>
      <c r="EU15" s="67"/>
      <c r="EV15" s="67"/>
      <c r="EW15" s="68">
        <f>SUM(DL15:EV15)</f>
        <v>0</v>
      </c>
      <c r="EX15" s="66"/>
      <c r="EY15" s="67"/>
      <c r="EZ15" s="67"/>
      <c r="FA15" s="67"/>
      <c r="FB15" s="67"/>
      <c r="FC15" s="67"/>
      <c r="FD15" s="67"/>
      <c r="FE15" s="67"/>
      <c r="FF15" s="67"/>
      <c r="FG15" s="67"/>
      <c r="FH15" s="67"/>
      <c r="FI15" s="67"/>
      <c r="FJ15" s="67"/>
      <c r="FK15" s="67"/>
      <c r="FL15" s="67"/>
      <c r="FM15" s="67"/>
      <c r="FN15" s="67"/>
      <c r="FO15" s="67"/>
      <c r="FP15" s="67"/>
      <c r="FQ15" s="67"/>
      <c r="FR15" s="67"/>
      <c r="FS15" s="67"/>
      <c r="FT15" s="67"/>
      <c r="FU15" s="67"/>
      <c r="FV15" s="67"/>
      <c r="FW15" s="67"/>
      <c r="FX15" s="67"/>
      <c r="FY15" s="67"/>
      <c r="FZ15" s="67"/>
      <c r="GA15" s="67"/>
      <c r="GB15" s="67"/>
      <c r="GC15" s="67"/>
      <c r="GD15" s="67"/>
      <c r="GE15" s="67"/>
      <c r="GF15" s="67"/>
      <c r="GG15" s="67"/>
      <c r="GH15" s="67"/>
      <c r="GI15" s="68">
        <f>SUM(EX15:GH15)</f>
        <v>0</v>
      </c>
      <c r="GJ15" s="66"/>
      <c r="GK15" s="67"/>
      <c r="GL15" s="67"/>
      <c r="GM15" s="67"/>
      <c r="GN15" s="67"/>
      <c r="GO15" s="67"/>
      <c r="GP15" s="67"/>
      <c r="GQ15" s="67"/>
      <c r="GR15" s="67"/>
      <c r="GS15" s="67"/>
      <c r="GT15" s="67"/>
      <c r="GU15" s="67"/>
      <c r="GV15" s="67"/>
      <c r="GW15" s="67"/>
      <c r="GX15" s="67"/>
      <c r="GY15" s="67"/>
      <c r="GZ15" s="67"/>
      <c r="HA15" s="67"/>
      <c r="HB15" s="67"/>
      <c r="HC15" s="67"/>
      <c r="HD15" s="67"/>
      <c r="HE15" s="67"/>
      <c r="HF15" s="67"/>
      <c r="HG15" s="67"/>
      <c r="HH15" s="67"/>
      <c r="HI15" s="67"/>
      <c r="HJ15" s="67"/>
      <c r="HK15" s="67"/>
      <c r="HL15" s="67"/>
      <c r="HM15" s="67"/>
      <c r="HN15" s="67"/>
      <c r="HO15" s="67"/>
      <c r="HP15" s="67"/>
      <c r="HQ15" s="67"/>
      <c r="HR15" s="67"/>
      <c r="HS15" s="67"/>
      <c r="HT15" s="67"/>
      <c r="HU15" s="68">
        <f>SUM(GJ15:HT15)</f>
        <v>0</v>
      </c>
      <c r="HV15" s="28">
        <f>'[1]D-PRB'!$CA$12</f>
        <v>0</v>
      </c>
      <c r="HW15" s="14">
        <f>'[1]D-PRB'!$CA$13</f>
        <v>0</v>
      </c>
      <c r="HX15" s="14">
        <f>'[1]D-PRB'!$CA$14</f>
        <v>0</v>
      </c>
      <c r="HY15" s="14">
        <f>'[1]D-PRB'!$CA$15</f>
        <v>0</v>
      </c>
      <c r="HZ15" s="14">
        <f>'[1]D-PRB'!$CA$16</f>
        <v>0</v>
      </c>
      <c r="IA15" s="14">
        <f>'[1]D-PRB'!$CA$17</f>
        <v>0</v>
      </c>
      <c r="IB15" s="14">
        <f>'[1]D-PRB'!$CA$18</f>
        <v>0</v>
      </c>
      <c r="IC15" s="14">
        <f>'[1]D-PRB'!$CA$19</f>
        <v>0</v>
      </c>
      <c r="ID15" s="14">
        <f>'[1]D-PRB'!$CA$20</f>
        <v>0</v>
      </c>
      <c r="IE15" s="14">
        <f>'[1]D-PRB'!$CA$21</f>
        <v>0</v>
      </c>
      <c r="IF15" s="14">
        <f>'[1]D-PRB'!$CA$22</f>
        <v>0</v>
      </c>
      <c r="IG15" s="14">
        <f>'[1]D-PRB'!$CA$23</f>
        <v>0</v>
      </c>
      <c r="IH15" s="14">
        <f>'[1]D-PRB'!$CA$24</f>
        <v>0</v>
      </c>
      <c r="II15" s="14">
        <f>'[1]D-PRB'!$CA$25</f>
        <v>0</v>
      </c>
      <c r="IJ15" s="14">
        <f>'[1]D-PRB'!$CA$26</f>
        <v>0</v>
      </c>
      <c r="IK15" s="14">
        <f>'[1]D-PRB'!$CA$27</f>
        <v>0</v>
      </c>
      <c r="IL15" s="14">
        <f>'[1]D-PRB'!$CA$28</f>
        <v>0</v>
      </c>
      <c r="IM15" s="14">
        <f>'[1]D-PRB'!$CA$29</f>
        <v>0</v>
      </c>
      <c r="IN15" s="14">
        <f>'[1]D-PRB'!$CA$30</f>
        <v>0</v>
      </c>
      <c r="IO15" s="14">
        <f>'[1]D-PRB'!$CA$31</f>
        <v>0</v>
      </c>
      <c r="IP15" s="14">
        <f>'[1]D-PRB'!$CA$32</f>
        <v>0</v>
      </c>
      <c r="IQ15" s="14">
        <f>'[1]D-PRB'!$CA$33</f>
        <v>0</v>
      </c>
      <c r="IR15" s="14">
        <f>'[1]D-PRB'!$CA$34</f>
        <v>0</v>
      </c>
      <c r="IS15" s="14">
        <f>'[1]D-PRB'!$CA$35</f>
        <v>0</v>
      </c>
      <c r="IT15" s="14">
        <f>'[1]D-PRB'!$CA$36</f>
        <v>0</v>
      </c>
      <c r="IU15" s="14">
        <f>'[1]D-PRB'!$CA$37</f>
        <v>0</v>
      </c>
      <c r="IV15" s="14">
        <f>'[1]D-PRB'!$CA$38</f>
        <v>0</v>
      </c>
      <c r="IW15" s="14">
        <f>'[1]D-PRB'!$CA$39</f>
        <v>0</v>
      </c>
      <c r="IX15" s="14">
        <f>'[1]D-PRB'!$CA$40</f>
        <v>0</v>
      </c>
      <c r="IY15" s="14">
        <f>'[1]D-PRB'!$CA$41</f>
        <v>0</v>
      </c>
      <c r="IZ15" s="14">
        <f>'[1]D-PRB'!$CA$42</f>
        <v>0</v>
      </c>
      <c r="JA15" s="14">
        <f>'[1]D-PRB'!$CA$43</f>
        <v>0</v>
      </c>
      <c r="JB15" s="14">
        <f>'[1]D-PRB'!$CA$44</f>
        <v>0</v>
      </c>
      <c r="JC15" s="14">
        <f>'[1]D-PRB'!$CA$45</f>
        <v>0</v>
      </c>
      <c r="JD15" s="14">
        <f>'[1]D-PRB'!$CA$46</f>
        <v>0</v>
      </c>
      <c r="JE15" s="14">
        <f>'[1]D-PRB'!$CA$47</f>
        <v>0</v>
      </c>
      <c r="JF15" s="14">
        <f>'[1]D-PRB'!$CA$48</f>
        <v>0</v>
      </c>
      <c r="JG15" s="16">
        <f>SUM(HV15:JF15)</f>
        <v>0</v>
      </c>
      <c r="JH15" s="66"/>
      <c r="JI15" s="67"/>
      <c r="JJ15" s="67"/>
      <c r="JK15" s="67"/>
      <c r="JL15" s="67"/>
      <c r="JM15" s="67"/>
      <c r="JN15" s="67"/>
      <c r="JO15" s="67"/>
      <c r="JP15" s="67"/>
      <c r="JQ15" s="67"/>
      <c r="JR15" s="67"/>
      <c r="JS15" s="67"/>
      <c r="JT15" s="67"/>
      <c r="JU15" s="67"/>
      <c r="JV15" s="67"/>
      <c r="JW15" s="67"/>
      <c r="JX15" s="67"/>
      <c r="JY15" s="67"/>
      <c r="JZ15" s="67"/>
      <c r="KA15" s="67"/>
      <c r="KB15" s="67"/>
      <c r="KC15" s="67"/>
      <c r="KD15" s="67"/>
      <c r="KE15" s="67"/>
      <c r="KF15" s="67"/>
      <c r="KG15" s="67"/>
      <c r="KH15" s="67"/>
      <c r="KI15" s="67"/>
      <c r="KJ15" s="67"/>
      <c r="KK15" s="67"/>
      <c r="KL15" s="67"/>
      <c r="KM15" s="67"/>
      <c r="KN15" s="67"/>
      <c r="KO15" s="67"/>
      <c r="KP15" s="67"/>
      <c r="KQ15" s="67"/>
      <c r="KR15" s="67"/>
      <c r="KS15" s="68">
        <f>SUM(JH15:KR15)</f>
        <v>0</v>
      </c>
      <c r="KT15" s="66"/>
      <c r="KU15" s="67"/>
      <c r="KV15" s="67"/>
      <c r="KW15" s="67"/>
      <c r="KX15" s="67"/>
      <c r="KY15" s="67"/>
      <c r="KZ15" s="67"/>
      <c r="LA15" s="67"/>
      <c r="LB15" s="67"/>
      <c r="LC15" s="67"/>
      <c r="LD15" s="67"/>
      <c r="LE15" s="67"/>
      <c r="LF15" s="67"/>
      <c r="LG15" s="67"/>
      <c r="LH15" s="67"/>
      <c r="LI15" s="67"/>
      <c r="LJ15" s="67"/>
      <c r="LK15" s="67"/>
      <c r="LL15" s="67"/>
      <c r="LM15" s="67"/>
      <c r="LN15" s="67"/>
      <c r="LO15" s="67"/>
      <c r="LP15" s="67"/>
      <c r="LQ15" s="67"/>
      <c r="LR15" s="67"/>
      <c r="LS15" s="67"/>
      <c r="LT15" s="67"/>
      <c r="LU15" s="67"/>
      <c r="LV15" s="67"/>
      <c r="LW15" s="67"/>
      <c r="LX15" s="67"/>
      <c r="LY15" s="67"/>
      <c r="LZ15" s="67"/>
      <c r="MA15" s="67"/>
      <c r="MB15" s="67"/>
      <c r="MC15" s="67"/>
      <c r="MD15" s="67"/>
      <c r="ME15" s="68">
        <f>SUM(KT15:MD15)</f>
        <v>0</v>
      </c>
      <c r="MF15" s="66"/>
      <c r="MG15" s="67"/>
      <c r="MH15" s="67"/>
      <c r="MI15" s="67"/>
      <c r="MJ15" s="67"/>
      <c r="MK15" s="67"/>
      <c r="ML15" s="67"/>
      <c r="MM15" s="67"/>
      <c r="MN15" s="67"/>
      <c r="MO15" s="67"/>
      <c r="MP15" s="67"/>
      <c r="MQ15" s="67"/>
      <c r="MR15" s="67"/>
      <c r="MS15" s="67"/>
      <c r="MT15" s="67"/>
      <c r="MU15" s="67"/>
      <c r="MV15" s="67"/>
      <c r="MW15" s="67"/>
      <c r="MX15" s="67"/>
      <c r="MY15" s="67"/>
      <c r="MZ15" s="67"/>
      <c r="NA15" s="67"/>
      <c r="NB15" s="67"/>
      <c r="NC15" s="67"/>
      <c r="ND15" s="67"/>
      <c r="NE15" s="67"/>
      <c r="NF15" s="67"/>
      <c r="NG15" s="67"/>
      <c r="NH15" s="67"/>
      <c r="NI15" s="67"/>
      <c r="NJ15" s="67"/>
      <c r="NK15" s="67"/>
      <c r="NL15" s="67"/>
      <c r="NM15" s="67"/>
      <c r="NN15" s="67"/>
      <c r="NO15" s="67"/>
      <c r="NP15" s="67"/>
      <c r="NQ15" s="68">
        <f>SUM(MF15:NP15)</f>
        <v>0</v>
      </c>
      <c r="NR15" s="14">
        <f>'[1]D-PS'!$CA$12</f>
        <v>0</v>
      </c>
      <c r="NS15" s="14">
        <f>'[1]D-PS'!$CA$13</f>
        <v>0</v>
      </c>
      <c r="NT15" s="14">
        <f>'[1]D-PS'!$CA$14</f>
        <v>0</v>
      </c>
      <c r="NU15" s="14">
        <f>'[1]D-PS'!$CA$15</f>
        <v>0</v>
      </c>
      <c r="NV15" s="14">
        <f>'[1]D-PS'!$CA$16</f>
        <v>0</v>
      </c>
      <c r="NW15" s="14">
        <f>'[1]D-PS'!$CA$17</f>
        <v>0</v>
      </c>
      <c r="NX15" s="14">
        <f>'[1]D-PS'!$CA$18</f>
        <v>0</v>
      </c>
      <c r="NY15" s="14">
        <f>'[1]D-PS'!$CA$19</f>
        <v>0</v>
      </c>
      <c r="NZ15" s="14">
        <f>'[1]D-PS'!$CA$20</f>
        <v>0</v>
      </c>
      <c r="OA15" s="14">
        <f>'[1]D-PS'!$CA$21</f>
        <v>0</v>
      </c>
      <c r="OB15" s="14">
        <f>'[1]D-PS'!$CA$22</f>
        <v>0</v>
      </c>
      <c r="OC15" s="14">
        <f>'[1]D-PS'!$CA$23</f>
        <v>0</v>
      </c>
      <c r="OD15" s="14">
        <f>'[1]D-PS'!$CA$24</f>
        <v>0</v>
      </c>
      <c r="OE15" s="14">
        <f>'[1]D-PS'!$CA$25</f>
        <v>0</v>
      </c>
      <c r="OF15" s="14">
        <f>'[1]D-PS'!$CA$26</f>
        <v>0</v>
      </c>
      <c r="OG15" s="14">
        <f>'[1]D-PS'!$CA$27</f>
        <v>0</v>
      </c>
      <c r="OH15" s="14">
        <f>'[1]D-PS'!$CA$28</f>
        <v>0</v>
      </c>
      <c r="OI15" s="14">
        <f>'[1]D-PS'!$CA$29</f>
        <v>0</v>
      </c>
      <c r="OJ15" s="14">
        <f>'[1]D-PS'!$CA$30</f>
        <v>0</v>
      </c>
      <c r="OK15" s="14">
        <f>'[1]D-PS'!$CA$31</f>
        <v>0</v>
      </c>
      <c r="OL15" s="14">
        <f>'[1]D-PS'!$CA$32</f>
        <v>0</v>
      </c>
      <c r="OM15" s="14">
        <f>'[1]D-PS'!$CA$33</f>
        <v>0</v>
      </c>
      <c r="ON15" s="14">
        <f>'[1]D-PS'!$CA$34</f>
        <v>0</v>
      </c>
      <c r="OO15" s="14">
        <f>'[1]D-PS'!$CA$35</f>
        <v>0</v>
      </c>
      <c r="OP15" s="14">
        <f>'[1]D-PS'!$CA$36</f>
        <v>0</v>
      </c>
      <c r="OQ15" s="14">
        <f>'[1]D-PS'!$CA$37</f>
        <v>0</v>
      </c>
      <c r="OR15" s="14">
        <f>'[1]D-PS'!$CA$38</f>
        <v>0</v>
      </c>
      <c r="OS15" s="14">
        <f>'[1]D-PS'!$CA$39</f>
        <v>0</v>
      </c>
      <c r="OT15" s="14">
        <f>'[1]D-PS'!$CA$40</f>
        <v>0</v>
      </c>
      <c r="OU15" s="14">
        <f>'[1]D-PS'!$CA$41</f>
        <v>0</v>
      </c>
      <c r="OV15" s="14">
        <f>'[1]D-PS'!$CA$42</f>
        <v>0</v>
      </c>
      <c r="OW15" s="14">
        <f>'[1]D-PS'!$CA$43</f>
        <v>0</v>
      </c>
      <c r="OX15" s="14">
        <f>'[1]D-PS'!$CA$44</f>
        <v>0</v>
      </c>
      <c r="OY15" s="14">
        <f>'[1]D-PS'!$CA$45</f>
        <v>0</v>
      </c>
      <c r="OZ15" s="14">
        <f>'[1]D-PS'!$CA$46</f>
        <v>0</v>
      </c>
      <c r="PA15" s="14">
        <f>'[1]D-PS'!$CA$47</f>
        <v>0</v>
      </c>
      <c r="PB15" s="14">
        <f>'[1]D-PS'!$CA$48</f>
        <v>0</v>
      </c>
      <c r="PC15" s="16">
        <f>SUM(NR15:PB15)</f>
        <v>0</v>
      </c>
    </row>
    <row r="16" spans="1:423" outlineLevel="1" x14ac:dyDescent="0.3">
      <c r="A16" s="46" t="s">
        <v>14</v>
      </c>
      <c r="B16" s="25">
        <f>'[2]CF PDP'!$BX$36</f>
        <v>238473</v>
      </c>
      <c r="C16" s="25">
        <f>'[2]CF PDP'!$BX$37</f>
        <v>232145</v>
      </c>
      <c r="D16" s="25">
        <f>'[2]CF PDP'!$BX$38</f>
        <v>221009</v>
      </c>
      <c r="E16" s="25">
        <f>'[2]CF PDP'!$BX$39</f>
        <v>212384</v>
      </c>
      <c r="F16" s="25">
        <f>'[2]CF PDP'!$BX$40</f>
        <v>226615</v>
      </c>
      <c r="G16" s="25">
        <f>'[2]CF PDP'!$BX$41</f>
        <v>262657</v>
      </c>
      <c r="H16" s="25">
        <f>'[2]CF PDP'!$BX$42</f>
        <v>0</v>
      </c>
      <c r="I16" s="25">
        <f>'[2]CF PDP'!$BX$43</f>
        <v>0</v>
      </c>
      <c r="J16" s="25">
        <f>'[2]CF PDP'!$BX$44</f>
        <v>0</v>
      </c>
      <c r="K16" s="25">
        <f>'[2]CF PDP'!$BX$45</f>
        <v>0</v>
      </c>
      <c r="L16" s="25">
        <f>'[2]CF PDP'!$BX$46</f>
        <v>0</v>
      </c>
      <c r="M16" s="25">
        <f>'[2]CF PDP'!$BX$47</f>
        <v>0</v>
      </c>
      <c r="N16" s="25">
        <f>'[2]CF PDP'!$BX$48</f>
        <v>0</v>
      </c>
      <c r="O16" s="25">
        <f>'[2]CF PDP'!$BX$49</f>
        <v>0</v>
      </c>
      <c r="P16" s="25">
        <f>'[2]CF PDP'!$BX$50</f>
        <v>0</v>
      </c>
      <c r="Q16" s="25">
        <f>'[2]CF PDP'!$BX$51</f>
        <v>0</v>
      </c>
      <c r="R16" s="25">
        <f>'[2]CF PDP'!$BX$52</f>
        <v>0</v>
      </c>
      <c r="S16" s="25">
        <f>'[2]CF PDP'!$BX$53</f>
        <v>0</v>
      </c>
      <c r="T16" s="25">
        <f>'[2]CF PDP'!$BX$54</f>
        <v>0</v>
      </c>
      <c r="U16" s="25">
        <f>'[2]CF PDP'!$BX$55</f>
        <v>0</v>
      </c>
      <c r="V16" s="25">
        <f>'[2]CF PDP'!$BX$56</f>
        <v>0</v>
      </c>
      <c r="W16" s="25">
        <f>'[2]CF PDP'!$BX$57</f>
        <v>0</v>
      </c>
      <c r="X16" s="25">
        <f>'[2]CF PDP'!$BX$58</f>
        <v>0</v>
      </c>
      <c r="Y16" s="25">
        <f>'[2]CF PDP'!$BX$59</f>
        <v>0</v>
      </c>
      <c r="Z16" s="25">
        <f>'[2]CF PDP'!$BX$60</f>
        <v>0</v>
      </c>
      <c r="AA16" s="25">
        <f>'[2]CF PDP'!$BX$61</f>
        <v>0</v>
      </c>
      <c r="AB16" s="25">
        <f>'[2]CF PDP'!$BX$62</f>
        <v>0</v>
      </c>
      <c r="AC16" s="25">
        <f>'[2]CF PDP'!$BX$63</f>
        <v>0</v>
      </c>
      <c r="AD16" s="25">
        <f>'[2]CF PDP'!$BX$64</f>
        <v>0</v>
      </c>
      <c r="AE16" s="25">
        <f>'[2]CF PDP'!$BX$65</f>
        <v>0</v>
      </c>
      <c r="AF16" s="25">
        <f>'[2]CF PDP'!$BX$66</f>
        <v>0</v>
      </c>
      <c r="AG16" s="25">
        <f>'[2]CF PDP'!$BX$67</f>
        <v>0</v>
      </c>
      <c r="AH16" s="25">
        <f>'[2]CF PDP'!$BX$68</f>
        <v>0</v>
      </c>
      <c r="AI16" s="25">
        <f>'[2]CF PDP'!$BX$69</f>
        <v>0</v>
      </c>
      <c r="AJ16" s="25">
        <f>'[2]CF PDP'!$BX$70</f>
        <v>0</v>
      </c>
      <c r="AK16" s="25">
        <f>'[2]CF PDP'!$BX$71</f>
        <v>0</v>
      </c>
      <c r="AL16" s="25">
        <f>'[2]CF PDP'!$BX$72</f>
        <v>0</v>
      </c>
      <c r="AM16" s="26">
        <f>SUM(B16:AL16)</f>
        <v>1393283</v>
      </c>
      <c r="AN16" s="27">
        <f>'[2]CF PNP'!$BX$36</f>
        <v>0</v>
      </c>
      <c r="AO16" s="25">
        <f>'[2]CF PNP'!$BX$37</f>
        <v>0</v>
      </c>
      <c r="AP16" s="25">
        <f>'[2]CF PNP'!$BX$38</f>
        <v>0</v>
      </c>
      <c r="AQ16" s="25">
        <f>'[2]CF PNP'!$BX$39</f>
        <v>0</v>
      </c>
      <c r="AR16" s="25">
        <f>'[2]CF PNP'!$BX$40</f>
        <v>0</v>
      </c>
      <c r="AS16" s="25">
        <f>'[2]CF PNP'!$BX$41</f>
        <v>0</v>
      </c>
      <c r="AT16" s="25">
        <f>'[2]CF PNP'!$BX$42</f>
        <v>471258</v>
      </c>
      <c r="AU16" s="25">
        <f>'[2]CF PNP'!$BX$43</f>
        <v>0</v>
      </c>
      <c r="AV16" s="25">
        <f>'[2]CF PNP'!$BX$44</f>
        <v>0</v>
      </c>
      <c r="AW16" s="25">
        <f>'[2]CF PNP'!$BX$45</f>
        <v>0</v>
      </c>
      <c r="AX16" s="25">
        <f>'[2]CF PNP'!$BX$46</f>
        <v>0</v>
      </c>
      <c r="AY16" s="25">
        <f>'[2]CF PNP'!$BX$47</f>
        <v>0</v>
      </c>
      <c r="AZ16" s="25">
        <f>'[2]CF PNP'!$BX$48</f>
        <v>0</v>
      </c>
      <c r="BA16" s="25">
        <f>'[2]CF PNP'!$BX$49</f>
        <v>0</v>
      </c>
      <c r="BB16" s="25">
        <f>'[2]CF PNP'!$BX$50</f>
        <v>0</v>
      </c>
      <c r="BC16" s="25">
        <f>'[2]CF PNP'!$BX$51</f>
        <v>0</v>
      </c>
      <c r="BD16" s="25">
        <f>'[2]CF PNP'!$BX$52</f>
        <v>0</v>
      </c>
      <c r="BE16" s="25">
        <f>'[2]CF PNP'!$BX$53</f>
        <v>0</v>
      </c>
      <c r="BF16" s="25">
        <f>'[2]CF PNP'!$BX$54</f>
        <v>0</v>
      </c>
      <c r="BG16" s="25">
        <f>'[2]CF PNP'!$BX$55</f>
        <v>0</v>
      </c>
      <c r="BH16" s="25">
        <f>'[2]CF PNP'!$BX$56</f>
        <v>0</v>
      </c>
      <c r="BI16" s="25">
        <f>'[2]CF PNP'!$BX$57</f>
        <v>0</v>
      </c>
      <c r="BJ16" s="25">
        <f>'[2]CF PNP'!$BX$58</f>
        <v>0</v>
      </c>
      <c r="BK16" s="25">
        <f>'[2]CF PNP'!$BX$59</f>
        <v>0</v>
      </c>
      <c r="BL16" s="25">
        <f>'[2]CF PNP'!$BX$60</f>
        <v>0</v>
      </c>
      <c r="BM16" s="25">
        <f>'[2]CF PNP'!$BX$61</f>
        <v>0</v>
      </c>
      <c r="BN16" s="25">
        <f>'[2]CF PNP'!$BX$62</f>
        <v>0</v>
      </c>
      <c r="BO16" s="25">
        <f>'[2]CF PNP'!$BX$63</f>
        <v>0</v>
      </c>
      <c r="BP16" s="25">
        <f>'[2]CF PNP'!$BX$64</f>
        <v>0</v>
      </c>
      <c r="BQ16" s="25">
        <f>'[2]CF PNP'!$BX$65</f>
        <v>0</v>
      </c>
      <c r="BR16" s="25">
        <f>'[2]CF PNP'!$BX$66</f>
        <v>0</v>
      </c>
      <c r="BS16" s="25">
        <f>'[2]CF PNP'!$BX$67</f>
        <v>0</v>
      </c>
      <c r="BT16" s="25">
        <f>'[2]CF PNP'!$BX$68</f>
        <v>0</v>
      </c>
      <c r="BU16" s="25">
        <f>'[2]CF PNP'!$BX$69</f>
        <v>0</v>
      </c>
      <c r="BV16" s="25">
        <f>'[2]CF PNP'!$BX$70</f>
        <v>0</v>
      </c>
      <c r="BW16" s="25">
        <f>'[2]CF PNP'!$BX$71</f>
        <v>0</v>
      </c>
      <c r="BX16" s="25">
        <f>'[2]CF PNP'!$BX$72</f>
        <v>0</v>
      </c>
      <c r="BY16" s="26">
        <f>SUM(AN16:BX16)</f>
        <v>471258</v>
      </c>
      <c r="BZ16" s="27">
        <f>'[2]CF PND'!$BX$36</f>
        <v>0</v>
      </c>
      <c r="CA16" s="25">
        <f>'[2]CF PND'!$BX$37</f>
        <v>0</v>
      </c>
      <c r="CB16" s="25">
        <f>'[2]CF PND'!$BX$38</f>
        <v>0</v>
      </c>
      <c r="CC16" s="25">
        <f>'[2]CF PND'!$BX$39</f>
        <v>0</v>
      </c>
      <c r="CD16" s="25">
        <f>'[2]CF PND'!$BX$40</f>
        <v>0</v>
      </c>
      <c r="CE16" s="25">
        <f>'[2]CF PND'!$BX$41</f>
        <v>0</v>
      </c>
      <c r="CF16" s="25">
        <f>'[2]CF PND'!$BX$42</f>
        <v>0</v>
      </c>
      <c r="CG16" s="25">
        <f>'[2]CF PND'!$BX$43</f>
        <v>707392</v>
      </c>
      <c r="CH16" s="25">
        <f>'[2]CF PND'!$BX$44</f>
        <v>1291338</v>
      </c>
      <c r="CI16" s="25">
        <f>'[2]CF PND'!$BX$45</f>
        <v>0</v>
      </c>
      <c r="CJ16" s="25">
        <f>'[2]CF PND'!$BX$46</f>
        <v>0</v>
      </c>
      <c r="CK16" s="25">
        <f>'[2]CF PND'!$BX$47</f>
        <v>0</v>
      </c>
      <c r="CL16" s="25">
        <f>'[2]CF PND'!$BX$48</f>
        <v>0</v>
      </c>
      <c r="CM16" s="25">
        <f>'[2]CF PND'!$BX$49</f>
        <v>0</v>
      </c>
      <c r="CN16" s="25">
        <f>'[2]CF PND'!$BX$50</f>
        <v>0</v>
      </c>
      <c r="CO16" s="25">
        <f>'[2]CF PND'!$BX$51</f>
        <v>0</v>
      </c>
      <c r="CP16" s="25">
        <f>'[2]CF PND'!$BX$52</f>
        <v>0</v>
      </c>
      <c r="CQ16" s="25">
        <f>'[2]CF PND'!$BX$53</f>
        <v>0</v>
      </c>
      <c r="CR16" s="25">
        <f>'[2]CF PND'!$BX$54</f>
        <v>0</v>
      </c>
      <c r="CS16" s="25">
        <f>'[2]CF PND'!$BX$55</f>
        <v>0</v>
      </c>
      <c r="CT16" s="25">
        <f>'[2]CF PND'!$BX$56</f>
        <v>0</v>
      </c>
      <c r="CU16" s="25">
        <f>'[2]CF PND'!$BX$57</f>
        <v>0</v>
      </c>
      <c r="CV16" s="25">
        <f>'[2]CF PND'!$BX$58</f>
        <v>0</v>
      </c>
      <c r="CW16" s="25">
        <f>'[2]CF PND'!$BX$59</f>
        <v>0</v>
      </c>
      <c r="CX16" s="25">
        <f>'[2]CF PND'!$BX$60</f>
        <v>0</v>
      </c>
      <c r="CY16" s="25">
        <f>'[2]CF PND'!$BX$61</f>
        <v>0</v>
      </c>
      <c r="CZ16" s="25">
        <f>'[2]CF PND'!$BX$62</f>
        <v>0</v>
      </c>
      <c r="DA16" s="25">
        <f>'[2]CF PND'!$BX$63</f>
        <v>0</v>
      </c>
      <c r="DB16" s="25">
        <f>'[2]CF PND'!$BX$64</f>
        <v>0</v>
      </c>
      <c r="DC16" s="25">
        <f>'[2]CF PND'!$BX$65</f>
        <v>0</v>
      </c>
      <c r="DD16" s="25">
        <f>'[2]CF PND'!$BX$66</f>
        <v>0</v>
      </c>
      <c r="DE16" s="25">
        <f>'[2]CF PND'!$BX$67</f>
        <v>0</v>
      </c>
      <c r="DF16" s="25">
        <f>'[2]CF PND'!$BX$68</f>
        <v>0</v>
      </c>
      <c r="DG16" s="25">
        <f>'[2]CF PND'!$BX$69</f>
        <v>0</v>
      </c>
      <c r="DH16" s="25">
        <f>'[2]CF PND'!$BX$70</f>
        <v>0</v>
      </c>
      <c r="DI16" s="25">
        <f>'[2]CF PND'!$BX$71</f>
        <v>0</v>
      </c>
      <c r="DJ16" s="25">
        <f>'[2]CF PND'!$BX$72</f>
        <v>0</v>
      </c>
      <c r="DK16" s="26">
        <f>SUM(BZ16:DJ16)</f>
        <v>1998730</v>
      </c>
      <c r="DL16" s="69"/>
      <c r="DM16" s="70"/>
      <c r="DN16" s="70"/>
      <c r="DO16" s="70"/>
      <c r="DP16" s="70"/>
      <c r="DQ16" s="70"/>
      <c r="DR16" s="70"/>
      <c r="DS16" s="70"/>
      <c r="DT16" s="70"/>
      <c r="DU16" s="70"/>
      <c r="DV16" s="70"/>
      <c r="DW16" s="70"/>
      <c r="DX16" s="70"/>
      <c r="DY16" s="70"/>
      <c r="DZ16" s="70"/>
      <c r="EA16" s="70"/>
      <c r="EB16" s="70"/>
      <c r="EC16" s="70"/>
      <c r="ED16" s="70"/>
      <c r="EE16" s="70"/>
      <c r="EF16" s="70"/>
      <c r="EG16" s="70"/>
      <c r="EH16" s="70"/>
      <c r="EI16" s="70"/>
      <c r="EJ16" s="70"/>
      <c r="EK16" s="70"/>
      <c r="EL16" s="70"/>
      <c r="EM16" s="70"/>
      <c r="EN16" s="70"/>
      <c r="EO16" s="70"/>
      <c r="EP16" s="70"/>
      <c r="EQ16" s="70"/>
      <c r="ER16" s="70"/>
      <c r="ES16" s="70"/>
      <c r="ET16" s="70"/>
      <c r="EU16" s="70"/>
      <c r="EV16" s="70"/>
      <c r="EW16" s="71">
        <f>SUM(DL16:EV16)</f>
        <v>0</v>
      </c>
      <c r="EX16" s="69"/>
      <c r="EY16" s="70"/>
      <c r="EZ16" s="70"/>
      <c r="FA16" s="70"/>
      <c r="FB16" s="70"/>
      <c r="FC16" s="70"/>
      <c r="FD16" s="70"/>
      <c r="FE16" s="70"/>
      <c r="FF16" s="70"/>
      <c r="FG16" s="70"/>
      <c r="FH16" s="70"/>
      <c r="FI16" s="70"/>
      <c r="FJ16" s="70"/>
      <c r="FK16" s="70"/>
      <c r="FL16" s="70"/>
      <c r="FM16" s="70"/>
      <c r="FN16" s="70"/>
      <c r="FO16" s="70"/>
      <c r="FP16" s="70"/>
      <c r="FQ16" s="70"/>
      <c r="FR16" s="70"/>
      <c r="FS16" s="70"/>
      <c r="FT16" s="70"/>
      <c r="FU16" s="70"/>
      <c r="FV16" s="70"/>
      <c r="FW16" s="70"/>
      <c r="FX16" s="70"/>
      <c r="FY16" s="70"/>
      <c r="FZ16" s="70"/>
      <c r="GA16" s="70"/>
      <c r="GB16" s="70"/>
      <c r="GC16" s="70"/>
      <c r="GD16" s="70"/>
      <c r="GE16" s="70"/>
      <c r="GF16" s="70"/>
      <c r="GG16" s="70"/>
      <c r="GH16" s="70"/>
      <c r="GI16" s="71">
        <f>SUM(EX16:GH16)</f>
        <v>0</v>
      </c>
      <c r="GJ16" s="69"/>
      <c r="GK16" s="70"/>
      <c r="GL16" s="70"/>
      <c r="GM16" s="70"/>
      <c r="GN16" s="70"/>
      <c r="GO16" s="70"/>
      <c r="GP16" s="70"/>
      <c r="GQ16" s="70"/>
      <c r="GR16" s="70"/>
      <c r="GS16" s="70"/>
      <c r="GT16" s="70"/>
      <c r="GU16" s="70"/>
      <c r="GV16" s="70"/>
      <c r="GW16" s="70"/>
      <c r="GX16" s="70"/>
      <c r="GY16" s="70"/>
      <c r="GZ16" s="70"/>
      <c r="HA16" s="70"/>
      <c r="HB16" s="70"/>
      <c r="HC16" s="70"/>
      <c r="HD16" s="70"/>
      <c r="HE16" s="70"/>
      <c r="HF16" s="70"/>
      <c r="HG16" s="70"/>
      <c r="HH16" s="70"/>
      <c r="HI16" s="70"/>
      <c r="HJ16" s="70"/>
      <c r="HK16" s="70"/>
      <c r="HL16" s="70"/>
      <c r="HM16" s="70"/>
      <c r="HN16" s="70"/>
      <c r="HO16" s="70"/>
      <c r="HP16" s="70"/>
      <c r="HQ16" s="70"/>
      <c r="HR16" s="70"/>
      <c r="HS16" s="70"/>
      <c r="HT16" s="70"/>
      <c r="HU16" s="71">
        <f>SUM(GJ16:HT16)</f>
        <v>0</v>
      </c>
      <c r="HV16" s="27">
        <f>'[2]CF PRB'!$BX$36</f>
        <v>0</v>
      </c>
      <c r="HW16" s="25">
        <f>'[2]CF PRB'!$BX$37</f>
        <v>0</v>
      </c>
      <c r="HX16" s="25">
        <f>'[2]CF PRB'!$BX$38</f>
        <v>0</v>
      </c>
      <c r="HY16" s="25">
        <f>'[2]CF PRB'!$BX$39</f>
        <v>0</v>
      </c>
      <c r="HZ16" s="25">
        <f>'[2]CF PRB'!$BX$40</f>
        <v>0</v>
      </c>
      <c r="IA16" s="25">
        <f>'[2]CF PRB'!$BX$41</f>
        <v>0</v>
      </c>
      <c r="IB16" s="25">
        <f>'[2]CF PRB'!$BX$42</f>
        <v>0</v>
      </c>
      <c r="IC16" s="25">
        <f>'[2]CF PRB'!$BX$43</f>
        <v>0</v>
      </c>
      <c r="ID16" s="25">
        <f>'[2]CF PRB'!$BX$44</f>
        <v>0</v>
      </c>
      <c r="IE16" s="25">
        <f>'[2]CF PRB'!$BX$45</f>
        <v>618120</v>
      </c>
      <c r="IF16" s="25">
        <f>'[2]CF PRB'!$BX$46</f>
        <v>0</v>
      </c>
      <c r="IG16" s="25">
        <f>'[2]CF PRB'!$BX$47</f>
        <v>0</v>
      </c>
      <c r="IH16" s="25">
        <f>'[2]CF PRB'!$BX$48</f>
        <v>0</v>
      </c>
      <c r="II16" s="25">
        <f>'[2]CF PRB'!$BX$49</f>
        <v>0</v>
      </c>
      <c r="IJ16" s="25">
        <f>'[2]CF PRB'!$BX$50</f>
        <v>0</v>
      </c>
      <c r="IK16" s="25">
        <f>'[2]CF PRB'!$BX$51</f>
        <v>0</v>
      </c>
      <c r="IL16" s="25">
        <f>'[2]CF PRB'!$BX$52</f>
        <v>0</v>
      </c>
      <c r="IM16" s="25">
        <f>'[2]CF PRB'!$BX$53</f>
        <v>0</v>
      </c>
      <c r="IN16" s="25">
        <f>'[2]CF PRB'!$BX$54</f>
        <v>0</v>
      </c>
      <c r="IO16" s="25">
        <f>'[2]CF PRB'!$BX$55</f>
        <v>0</v>
      </c>
      <c r="IP16" s="25">
        <f>'[2]CF PRB'!$BX$56</f>
        <v>0</v>
      </c>
      <c r="IQ16" s="25">
        <f>'[2]CF PRB'!$BX$57</f>
        <v>0</v>
      </c>
      <c r="IR16" s="25">
        <f>'[2]CF PRB'!$BX$58</f>
        <v>0</v>
      </c>
      <c r="IS16" s="25">
        <f>'[2]CF PRB'!$BX$59</f>
        <v>0</v>
      </c>
      <c r="IT16" s="25">
        <f>'[2]CF PRB'!$BX$60</f>
        <v>0</v>
      </c>
      <c r="IU16" s="25">
        <f>'[2]CF PRB'!$BX$61</f>
        <v>0</v>
      </c>
      <c r="IV16" s="25">
        <f>'[2]CF PRB'!$BX$62</f>
        <v>0</v>
      </c>
      <c r="IW16" s="25">
        <f>'[2]CF PRB'!$BX$63</f>
        <v>0</v>
      </c>
      <c r="IX16" s="25">
        <f>'[2]CF PRB'!$BX$64</f>
        <v>0</v>
      </c>
      <c r="IY16" s="25">
        <f>'[2]CF PRB'!$BX$65</f>
        <v>0</v>
      </c>
      <c r="IZ16" s="25">
        <f>'[2]CF PRB'!$BX$66</f>
        <v>0</v>
      </c>
      <c r="JA16" s="25">
        <f>'[2]CF PRB'!$BX$67</f>
        <v>0</v>
      </c>
      <c r="JB16" s="25">
        <f>'[2]CF PRB'!$BX$68</f>
        <v>0</v>
      </c>
      <c r="JC16" s="25">
        <f>'[2]CF PRB'!$BX$69</f>
        <v>0</v>
      </c>
      <c r="JD16" s="25">
        <f>'[2]CF PRB'!$BX$70</f>
        <v>0</v>
      </c>
      <c r="JE16" s="25">
        <f>'[2]CF PRB'!$BX$71</f>
        <v>0</v>
      </c>
      <c r="JF16" s="25">
        <f>'[2]CF PRB'!$BX$72</f>
        <v>0</v>
      </c>
      <c r="JG16" s="26">
        <f>SUM(HV16:JF16)</f>
        <v>618120</v>
      </c>
      <c r="JH16" s="69"/>
      <c r="JI16" s="70"/>
      <c r="JJ16" s="70"/>
      <c r="JK16" s="70"/>
      <c r="JL16" s="70"/>
      <c r="JM16" s="70"/>
      <c r="JN16" s="70"/>
      <c r="JO16" s="70"/>
      <c r="JP16" s="70"/>
      <c r="JQ16" s="70"/>
      <c r="JR16" s="70"/>
      <c r="JS16" s="70"/>
      <c r="JT16" s="70"/>
      <c r="JU16" s="70"/>
      <c r="JV16" s="70"/>
      <c r="JW16" s="70"/>
      <c r="JX16" s="70"/>
      <c r="JY16" s="70"/>
      <c r="JZ16" s="70"/>
      <c r="KA16" s="70"/>
      <c r="KB16" s="70"/>
      <c r="KC16" s="70"/>
      <c r="KD16" s="70"/>
      <c r="KE16" s="70"/>
      <c r="KF16" s="70"/>
      <c r="KG16" s="70"/>
      <c r="KH16" s="70"/>
      <c r="KI16" s="70"/>
      <c r="KJ16" s="70"/>
      <c r="KK16" s="70"/>
      <c r="KL16" s="70"/>
      <c r="KM16" s="70"/>
      <c r="KN16" s="70"/>
      <c r="KO16" s="70"/>
      <c r="KP16" s="70"/>
      <c r="KQ16" s="70"/>
      <c r="KR16" s="70"/>
      <c r="KS16" s="71">
        <f>SUM(JH16:KR16)</f>
        <v>0</v>
      </c>
      <c r="KT16" s="69"/>
      <c r="KU16" s="70"/>
      <c r="KV16" s="70"/>
      <c r="KW16" s="70"/>
      <c r="KX16" s="70"/>
      <c r="KY16" s="70"/>
      <c r="KZ16" s="70"/>
      <c r="LA16" s="70"/>
      <c r="LB16" s="70"/>
      <c r="LC16" s="70"/>
      <c r="LD16" s="70"/>
      <c r="LE16" s="70"/>
      <c r="LF16" s="70"/>
      <c r="LG16" s="70"/>
      <c r="LH16" s="70"/>
      <c r="LI16" s="70"/>
      <c r="LJ16" s="70"/>
      <c r="LK16" s="70"/>
      <c r="LL16" s="70"/>
      <c r="LM16" s="70"/>
      <c r="LN16" s="70"/>
      <c r="LO16" s="70"/>
      <c r="LP16" s="70"/>
      <c r="LQ16" s="70"/>
      <c r="LR16" s="70"/>
      <c r="LS16" s="70"/>
      <c r="LT16" s="70"/>
      <c r="LU16" s="70"/>
      <c r="LV16" s="70"/>
      <c r="LW16" s="70"/>
      <c r="LX16" s="70"/>
      <c r="LY16" s="70"/>
      <c r="LZ16" s="70"/>
      <c r="MA16" s="70"/>
      <c r="MB16" s="70"/>
      <c r="MC16" s="70"/>
      <c r="MD16" s="70"/>
      <c r="ME16" s="71">
        <f>SUM(KT16:MD16)</f>
        <v>0</v>
      </c>
      <c r="MF16" s="69"/>
      <c r="MG16" s="70"/>
      <c r="MH16" s="70"/>
      <c r="MI16" s="70"/>
      <c r="MJ16" s="70"/>
      <c r="MK16" s="70"/>
      <c r="ML16" s="70"/>
      <c r="MM16" s="70"/>
      <c r="MN16" s="70"/>
      <c r="MO16" s="70"/>
      <c r="MP16" s="70"/>
      <c r="MQ16" s="70"/>
      <c r="MR16" s="70"/>
      <c r="MS16" s="70"/>
      <c r="MT16" s="70"/>
      <c r="MU16" s="70"/>
      <c r="MV16" s="70"/>
      <c r="MW16" s="70"/>
      <c r="MX16" s="70"/>
      <c r="MY16" s="70"/>
      <c r="MZ16" s="70"/>
      <c r="NA16" s="70"/>
      <c r="NB16" s="70"/>
      <c r="NC16" s="70"/>
      <c r="ND16" s="70"/>
      <c r="NE16" s="70"/>
      <c r="NF16" s="70"/>
      <c r="NG16" s="70"/>
      <c r="NH16" s="70"/>
      <c r="NI16" s="70"/>
      <c r="NJ16" s="70"/>
      <c r="NK16" s="70"/>
      <c r="NL16" s="70"/>
      <c r="NM16" s="70"/>
      <c r="NN16" s="70"/>
      <c r="NO16" s="70"/>
      <c r="NP16" s="70"/>
      <c r="NQ16" s="71">
        <f>SUM(MF16:NP16)</f>
        <v>0</v>
      </c>
      <c r="NR16" s="25">
        <f>'[2]CF PS'!$BX$36</f>
        <v>0</v>
      </c>
      <c r="NS16" s="25">
        <f>'[2]CF PS'!$BX$37</f>
        <v>0</v>
      </c>
      <c r="NT16" s="25">
        <f>'[2]CF PS'!$BX$38</f>
        <v>0</v>
      </c>
      <c r="NU16" s="25">
        <f>'[2]CF PS'!$BX$39</f>
        <v>0</v>
      </c>
      <c r="NV16" s="25">
        <f>'[2]CF PS'!$BX$40</f>
        <v>0</v>
      </c>
      <c r="NW16" s="25">
        <f>'[2]CF PS'!$BX$41</f>
        <v>0</v>
      </c>
      <c r="NX16" s="25">
        <f>'[2]CF PS'!$BX$42</f>
        <v>0</v>
      </c>
      <c r="NY16" s="25">
        <f>'[2]CF PS'!$BX$43</f>
        <v>0</v>
      </c>
      <c r="NZ16" s="25">
        <f>'[2]CF PS'!$BX$44</f>
        <v>0</v>
      </c>
      <c r="OA16" s="25">
        <f>'[2]CF PS'!$BX$45</f>
        <v>0</v>
      </c>
      <c r="OB16" s="25">
        <f>'[2]CF PS'!$BX$46</f>
        <v>0</v>
      </c>
      <c r="OC16" s="25">
        <f>'[2]CF PS'!$BX$47</f>
        <v>0</v>
      </c>
      <c r="OD16" s="25">
        <f>'[2]CF PS'!$BX$48</f>
        <v>0</v>
      </c>
      <c r="OE16" s="25">
        <f>'[2]CF PS'!$BX$49</f>
        <v>0</v>
      </c>
      <c r="OF16" s="25">
        <f>'[2]CF PS'!$BX$50</f>
        <v>0</v>
      </c>
      <c r="OG16" s="25">
        <f>'[2]CF PS'!$BX$51</f>
        <v>0</v>
      </c>
      <c r="OH16" s="25">
        <f>'[2]CF PS'!$BX$52</f>
        <v>0</v>
      </c>
      <c r="OI16" s="25">
        <f>'[2]CF PS'!$BX$53</f>
        <v>0</v>
      </c>
      <c r="OJ16" s="25">
        <f>'[2]CF PS'!$BX$54</f>
        <v>0</v>
      </c>
      <c r="OK16" s="25">
        <f>'[2]CF PS'!$BX$55</f>
        <v>0</v>
      </c>
      <c r="OL16" s="25">
        <f>'[2]CF PS'!$BX$56</f>
        <v>0</v>
      </c>
      <c r="OM16" s="25">
        <f>'[2]CF PS'!$BX$57</f>
        <v>0</v>
      </c>
      <c r="ON16" s="25">
        <f>'[2]CF PS'!$BX$58</f>
        <v>0</v>
      </c>
      <c r="OO16" s="25">
        <f>'[2]CF PS'!$BX$59</f>
        <v>0</v>
      </c>
      <c r="OP16" s="25">
        <f>'[2]CF PS'!$BX$60</f>
        <v>0</v>
      </c>
      <c r="OQ16" s="25">
        <f>'[2]CF PS'!$BX$61</f>
        <v>0</v>
      </c>
      <c r="OR16" s="25">
        <f>'[2]CF PS'!$BX$62</f>
        <v>0</v>
      </c>
      <c r="OS16" s="25">
        <f>'[2]CF PS'!$BX$63</f>
        <v>0</v>
      </c>
      <c r="OT16" s="25">
        <f>'[2]CF PS'!$BX$64</f>
        <v>0</v>
      </c>
      <c r="OU16" s="25">
        <f>'[2]CF PS'!$BX$65</f>
        <v>0</v>
      </c>
      <c r="OV16" s="25">
        <f>'[2]CF PS'!$BX$66</f>
        <v>0</v>
      </c>
      <c r="OW16" s="25">
        <f>'[2]CF PS'!$BX$67</f>
        <v>0</v>
      </c>
      <c r="OX16" s="25">
        <f>'[2]CF PS'!$BX$68</f>
        <v>0</v>
      </c>
      <c r="OY16" s="25">
        <f>'[2]CF PS'!$BX$69</f>
        <v>0</v>
      </c>
      <c r="OZ16" s="25">
        <f>'[2]CF PS'!$BX$70</f>
        <v>0</v>
      </c>
      <c r="PA16" s="25">
        <f>'[2]CF PS'!$BX$71</f>
        <v>0</v>
      </c>
      <c r="PB16" s="25">
        <f>'[2]CF PS'!$BX$72</f>
        <v>0</v>
      </c>
      <c r="PC16" s="26">
        <f>SUM(NR16:PB16)</f>
        <v>0</v>
      </c>
    </row>
    <row r="17" spans="1:419" ht="16.5" thickBot="1" x14ac:dyDescent="0.35">
      <c r="A17" s="47" t="s">
        <v>15</v>
      </c>
      <c r="B17" s="40">
        <f>IF(AND(B15&lt;&gt;0,B16&lt;&gt;0),(B15-B16)/B16,IF(AND(B15=0,B16=0),"",IF(AND(B15="",B16=""),"",IF(AND(B15=0,B16=""),"", IF(AND(B15="",B16=0),"",1)))))</f>
        <v>-0.21637394484910241</v>
      </c>
      <c r="C17" s="40">
        <f t="shared" ref="C17" si="517">IF(AND(C15&lt;&gt;0,C16&lt;&gt;0),(C15-C16)/C16,IF(AND(C15=0,C16=0),"",IF(AND(C15="",C16=""),"",IF(AND(C15=0,C16=""),"", IF(AND(C15="",C16=0),"",1)))))</f>
        <v>-0.43140043130371103</v>
      </c>
      <c r="D17" s="40">
        <f t="shared" ref="D17" si="518">IF(AND(D15&lt;&gt;0,D16&lt;&gt;0),(D15-D16)/D16,IF(AND(D15=0,D16=0),"",IF(AND(D15="",D16=""),"",IF(AND(D15=0,D16=""),"", IF(AND(D15="",D16=0),"",1)))))</f>
        <v>-0.66436865976046222</v>
      </c>
      <c r="E17" s="40">
        <f t="shared" ref="E17" si="519">IF(AND(E15&lt;&gt;0,E16&lt;&gt;0),(E15-E16)/E16,IF(AND(E15=0,E16=0),"",IF(AND(E15="",E16=""),"",IF(AND(E15=0,E16=""),"", IF(AND(E15="",E16=0),"",1)))))</f>
        <v>-0.81475200138663928</v>
      </c>
      <c r="F17" s="40">
        <f t="shared" ref="F17" si="520">IF(AND(F15&lt;&gt;0,F16&lt;&gt;0),(F15-F16)/F16,IF(AND(F15=0,F16=0),"",IF(AND(F15="",F16=""),"",IF(AND(F15=0,F16=""),"", IF(AND(F15="",F16=0),"",1)))))</f>
        <v>-0.88251057858316972</v>
      </c>
      <c r="G17" s="40">
        <f t="shared" ref="G17" si="521">IF(AND(G15&lt;&gt;0,G16&lt;&gt;0),(G15-G16)/G16,IF(AND(G15=0,G16=0),"",IF(AND(G15="",G16=""),"",IF(AND(G15=0,G16=""),"", IF(AND(G15="",G16=0),"",1)))))</f>
        <v>-0.91768156313414451</v>
      </c>
      <c r="H17" s="40">
        <f t="shared" ref="H17" si="522">IF(AND(H15&lt;&gt;0,H16&lt;&gt;0),(H15-H16)/H16,IF(AND(H15=0,H16=0),"",IF(AND(H15="",H16=""),"",IF(AND(H15=0,H16=""),"", IF(AND(H15="",H16=0),"",1)))))</f>
        <v>1</v>
      </c>
      <c r="I17" s="40">
        <f t="shared" ref="I17" si="523">IF(AND(I15&lt;&gt;0,I16&lt;&gt;0),(I15-I16)/I16,IF(AND(I15=0,I16=0),"",IF(AND(I15="",I16=""),"",IF(AND(I15=0,I16=""),"", IF(AND(I15="",I16=0),"",1)))))</f>
        <v>1</v>
      </c>
      <c r="J17" s="40">
        <f t="shared" ref="J17" si="524">IF(AND(J15&lt;&gt;0,J16&lt;&gt;0),(J15-J16)/J16,IF(AND(J15=0,J16=0),"",IF(AND(J15="",J16=""),"",IF(AND(J15=0,J16=""),"", IF(AND(J15="",J16=0),"",1)))))</f>
        <v>1</v>
      </c>
      <c r="K17" s="40">
        <f t="shared" ref="K17" si="525">IF(AND(K15&lt;&gt;0,K16&lt;&gt;0),(K15-K16)/K16,IF(AND(K15=0,K16=0),"",IF(AND(K15="",K16=""),"",IF(AND(K15=0,K16=""),"", IF(AND(K15="",K16=0),"",1)))))</f>
        <v>1</v>
      </c>
      <c r="L17" s="40">
        <f t="shared" ref="L17" si="526">IF(AND(L15&lt;&gt;0,L16&lt;&gt;0),(L15-L16)/L16,IF(AND(L15=0,L16=0),"",IF(AND(L15="",L16=""),"",IF(AND(L15=0,L16=""),"", IF(AND(L15="",L16=0),"",1)))))</f>
        <v>1</v>
      </c>
      <c r="M17" s="40" t="str">
        <f t="shared" ref="M17" si="527">IF(AND(M15&lt;&gt;0,M16&lt;&gt;0),(M15-M16)/M16,IF(AND(M15=0,M16=0),"",IF(AND(M15="",M16=""),"",IF(AND(M15=0,M16=""),"", IF(AND(M15="",M16=0),"",1)))))</f>
        <v/>
      </c>
      <c r="N17" s="40" t="str">
        <f t="shared" ref="N17" si="528">IF(AND(N15&lt;&gt;0,N16&lt;&gt;0),(N15-N16)/N16,IF(AND(N15=0,N16=0),"",IF(AND(N15="",N16=""),"",IF(AND(N15=0,N16=""),"", IF(AND(N15="",N16=0),"",1)))))</f>
        <v/>
      </c>
      <c r="O17" s="40" t="str">
        <f t="shared" ref="O17" si="529">IF(AND(O15&lt;&gt;0,O16&lt;&gt;0),(O15-O16)/O16,IF(AND(O15=0,O16=0),"",IF(AND(O15="",O16=""),"",IF(AND(O15=0,O16=""),"", IF(AND(O15="",O16=0),"",1)))))</f>
        <v/>
      </c>
      <c r="P17" s="40" t="str">
        <f t="shared" ref="P17" si="530">IF(AND(P15&lt;&gt;0,P16&lt;&gt;0),(P15-P16)/P16,IF(AND(P15=0,P16=0),"",IF(AND(P15="",P16=""),"",IF(AND(P15=0,P16=""),"", IF(AND(P15="",P16=0),"",1)))))</f>
        <v/>
      </c>
      <c r="Q17" s="40" t="str">
        <f t="shared" ref="Q17" si="531">IF(AND(Q15&lt;&gt;0,Q16&lt;&gt;0),(Q15-Q16)/Q16,IF(AND(Q15=0,Q16=0),"",IF(AND(Q15="",Q16=""),"",IF(AND(Q15=0,Q16=""),"", IF(AND(Q15="",Q16=0),"",1)))))</f>
        <v/>
      </c>
      <c r="R17" s="40" t="str">
        <f t="shared" ref="R17" si="532">IF(AND(R15&lt;&gt;0,R16&lt;&gt;0),(R15-R16)/R16,IF(AND(R15=0,R16=0),"",IF(AND(R15="",R16=""),"",IF(AND(R15=0,R16=""),"", IF(AND(R15="",R16=0),"",1)))))</f>
        <v/>
      </c>
      <c r="S17" s="40" t="str">
        <f t="shared" ref="S17" si="533">IF(AND(S15&lt;&gt;0,S16&lt;&gt;0),(S15-S16)/S16,IF(AND(S15=0,S16=0),"",IF(AND(S15="",S16=""),"",IF(AND(S15=0,S16=""),"", IF(AND(S15="",S16=0),"",1)))))</f>
        <v/>
      </c>
      <c r="T17" s="40" t="str">
        <f t="shared" ref="T17" si="534">IF(AND(T15&lt;&gt;0,T16&lt;&gt;0),(T15-T16)/T16,IF(AND(T15=0,T16=0),"",IF(AND(T15="",T16=""),"",IF(AND(T15=0,T16=""),"", IF(AND(T15="",T16=0),"",1)))))</f>
        <v/>
      </c>
      <c r="U17" s="40" t="str">
        <f t="shared" ref="U17" si="535">IF(AND(U15&lt;&gt;0,U16&lt;&gt;0),(U15-U16)/U16,IF(AND(U15=0,U16=0),"",IF(AND(U15="",U16=""),"",IF(AND(U15=0,U16=""),"", IF(AND(U15="",U16=0),"",1)))))</f>
        <v/>
      </c>
      <c r="V17" s="40" t="str">
        <f t="shared" ref="V17" si="536">IF(AND(V15&lt;&gt;0,V16&lt;&gt;0),(V15-V16)/V16,IF(AND(V15=0,V16=0),"",IF(AND(V15="",V16=""),"",IF(AND(V15=0,V16=""),"", IF(AND(V15="",V16=0),"",1)))))</f>
        <v/>
      </c>
      <c r="W17" s="40" t="str">
        <f t="shared" ref="W17" si="537">IF(AND(W15&lt;&gt;0,W16&lt;&gt;0),(W15-W16)/W16,IF(AND(W15=0,W16=0),"",IF(AND(W15="",W16=""),"",IF(AND(W15=0,W16=""),"", IF(AND(W15="",W16=0),"",1)))))</f>
        <v/>
      </c>
      <c r="X17" s="40" t="str">
        <f t="shared" ref="X17:AL17" si="538">IF(AND(X15&lt;&gt;0,X16&lt;&gt;0),(X15-X16)/X16,IF(AND(X15=0,X16=0),"",IF(AND(X15="",X16=""),"",IF(AND(X15=0,X16=""),"", IF(AND(X15="",X16=0),"",1)))))</f>
        <v/>
      </c>
      <c r="Y17" s="40" t="str">
        <f t="shared" si="538"/>
        <v/>
      </c>
      <c r="Z17" s="40" t="str">
        <f t="shared" si="538"/>
        <v/>
      </c>
      <c r="AA17" s="40" t="str">
        <f t="shared" si="538"/>
        <v/>
      </c>
      <c r="AB17" s="40" t="str">
        <f t="shared" si="538"/>
        <v/>
      </c>
      <c r="AC17" s="40" t="str">
        <f t="shared" si="538"/>
        <v/>
      </c>
      <c r="AD17" s="40" t="str">
        <f t="shared" si="538"/>
        <v/>
      </c>
      <c r="AE17" s="40" t="str">
        <f t="shared" si="538"/>
        <v/>
      </c>
      <c r="AF17" s="40" t="str">
        <f t="shared" si="538"/>
        <v/>
      </c>
      <c r="AG17" s="40" t="str">
        <f t="shared" si="538"/>
        <v/>
      </c>
      <c r="AH17" s="40" t="str">
        <f t="shared" si="538"/>
        <v/>
      </c>
      <c r="AI17" s="40" t="str">
        <f t="shared" si="538"/>
        <v/>
      </c>
      <c r="AJ17" s="40" t="str">
        <f t="shared" si="538"/>
        <v/>
      </c>
      <c r="AK17" s="40" t="str">
        <f t="shared" si="538"/>
        <v/>
      </c>
      <c r="AL17" s="40" t="str">
        <f t="shared" si="538"/>
        <v/>
      </c>
      <c r="AM17" s="41">
        <f t="shared" ref="AM17" si="539">IF(AND(AM15&lt;&gt;0,AM16&lt;&gt;0),(AM15-AM16)/AM16,IF(AND(AM15=0,AM16=0),"",IF(AND(AM15="",AM16=""),"",IF(AND(AM15=0,AM16=""),"", IF(AND(AM15="",AM16=0),"",1)))))</f>
        <v>-0.57727801006350643</v>
      </c>
      <c r="AN17" s="39">
        <f t="shared" ref="AN17" si="540">IF(AND(AN15&lt;&gt;0,AN16&lt;&gt;0),(AN15-AN16)/AN16,IF(AND(AN15=0,AN16=0),"",IF(AND(AN15="",AN16=""),"",IF(AND(AN15=0,AN16=""),"", IF(AND(AN15="",AN16=0),"",1)))))</f>
        <v>1</v>
      </c>
      <c r="AO17" s="40">
        <f t="shared" ref="AO17" si="541">IF(AND(AO15&lt;&gt;0,AO16&lt;&gt;0),(AO15-AO16)/AO16,IF(AND(AO15=0,AO16=0),"",IF(AND(AO15="",AO16=""),"",IF(AND(AO15=0,AO16=""),"", IF(AND(AO15="",AO16=0),"",1)))))</f>
        <v>1</v>
      </c>
      <c r="AP17" s="40">
        <f t="shared" ref="AP17" si="542">IF(AND(AP15&lt;&gt;0,AP16&lt;&gt;0),(AP15-AP16)/AP16,IF(AND(AP15=0,AP16=0),"",IF(AND(AP15="",AP16=""),"",IF(AND(AP15=0,AP16=""),"", IF(AND(AP15="",AP16=0),"",1)))))</f>
        <v>1</v>
      </c>
      <c r="AQ17" s="40">
        <f t="shared" ref="AQ17" si="543">IF(AND(AQ15&lt;&gt;0,AQ16&lt;&gt;0),(AQ15-AQ16)/AQ16,IF(AND(AQ15=0,AQ16=0),"",IF(AND(AQ15="",AQ16=""),"",IF(AND(AQ15=0,AQ16=""),"", IF(AND(AQ15="",AQ16=0),"",1)))))</f>
        <v>1</v>
      </c>
      <c r="AR17" s="40">
        <f t="shared" ref="AR17" si="544">IF(AND(AR15&lt;&gt;0,AR16&lt;&gt;0),(AR15-AR16)/AR16,IF(AND(AR15=0,AR16=0),"",IF(AND(AR15="",AR16=""),"",IF(AND(AR15=0,AR16=""),"", IF(AND(AR15="",AR16=0),"",1)))))</f>
        <v>1</v>
      </c>
      <c r="AS17" s="40">
        <f t="shared" ref="AS17" si="545">IF(AND(AS15&lt;&gt;0,AS16&lt;&gt;0),(AS15-AS16)/AS16,IF(AND(AS15=0,AS16=0),"",IF(AND(AS15="",AS16=""),"",IF(AND(AS15=0,AS16=""),"", IF(AND(AS15="",AS16=0),"",1)))))</f>
        <v>1</v>
      </c>
      <c r="AT17" s="40">
        <f t="shared" ref="AT17" si="546">IF(AND(AT15&lt;&gt;0,AT16&lt;&gt;0),(AT15-AT16)/AT16,IF(AND(AT15=0,AT16=0),"",IF(AND(AT15="",AT16=""),"",IF(AND(AT15=0,AT16=""),"", IF(AND(AT15="",AT16=0),"",1)))))</f>
        <v>-0.97885559146011847</v>
      </c>
      <c r="AU17" s="40">
        <f t="shared" ref="AU17" si="547">IF(AND(AU15&lt;&gt;0,AU16&lt;&gt;0),(AU15-AU16)/AU16,IF(AND(AU15=0,AU16=0),"",IF(AND(AU15="",AU16=""),"",IF(AND(AU15=0,AU16=""),"", IF(AND(AU15="",AU16=0),"",1)))))</f>
        <v>1</v>
      </c>
      <c r="AV17" s="40">
        <f t="shared" ref="AV17" si="548">IF(AND(AV15&lt;&gt;0,AV16&lt;&gt;0),(AV15-AV16)/AV16,IF(AND(AV15=0,AV16=0),"",IF(AND(AV15="",AV16=""),"",IF(AND(AV15=0,AV16=""),"", IF(AND(AV15="",AV16=0),"",1)))))</f>
        <v>1</v>
      </c>
      <c r="AW17" s="40" t="str">
        <f t="shared" ref="AW17" si="549">IF(AND(AW15&lt;&gt;0,AW16&lt;&gt;0),(AW15-AW16)/AW16,IF(AND(AW15=0,AW16=0),"",IF(AND(AW15="",AW16=""),"",IF(AND(AW15=0,AW16=""),"", IF(AND(AW15="",AW16=0),"",1)))))</f>
        <v/>
      </c>
      <c r="AX17" s="40" t="str">
        <f t="shared" ref="AX17" si="550">IF(AND(AX15&lt;&gt;0,AX16&lt;&gt;0),(AX15-AX16)/AX16,IF(AND(AX15=0,AX16=0),"",IF(AND(AX15="",AX16=""),"",IF(AND(AX15=0,AX16=""),"", IF(AND(AX15="",AX16=0),"",1)))))</f>
        <v/>
      </c>
      <c r="AY17" s="40" t="str">
        <f t="shared" ref="AY17" si="551">IF(AND(AY15&lt;&gt;0,AY16&lt;&gt;0),(AY15-AY16)/AY16,IF(AND(AY15=0,AY16=0),"",IF(AND(AY15="",AY16=""),"",IF(AND(AY15=0,AY16=""),"", IF(AND(AY15="",AY16=0),"",1)))))</f>
        <v/>
      </c>
      <c r="AZ17" s="40" t="str">
        <f t="shared" ref="AZ17" si="552">IF(AND(AZ15&lt;&gt;0,AZ16&lt;&gt;0),(AZ15-AZ16)/AZ16,IF(AND(AZ15=0,AZ16=0),"",IF(AND(AZ15="",AZ16=""),"",IF(AND(AZ15=0,AZ16=""),"", IF(AND(AZ15="",AZ16=0),"",1)))))</f>
        <v/>
      </c>
      <c r="BA17" s="40" t="str">
        <f t="shared" ref="BA17" si="553">IF(AND(BA15&lt;&gt;0,BA16&lt;&gt;0),(BA15-BA16)/BA16,IF(AND(BA15=0,BA16=0),"",IF(AND(BA15="",BA16=""),"",IF(AND(BA15=0,BA16=""),"", IF(AND(BA15="",BA16=0),"",1)))))</f>
        <v/>
      </c>
      <c r="BB17" s="40" t="str">
        <f t="shared" ref="BB17" si="554">IF(AND(BB15&lt;&gt;0,BB16&lt;&gt;0),(BB15-BB16)/BB16,IF(AND(BB15=0,BB16=0),"",IF(AND(BB15="",BB16=""),"",IF(AND(BB15=0,BB16=""),"", IF(AND(BB15="",BB16=0),"",1)))))</f>
        <v/>
      </c>
      <c r="BC17" s="40" t="str">
        <f t="shared" ref="BC17" si="555">IF(AND(BC15&lt;&gt;0,BC16&lt;&gt;0),(BC15-BC16)/BC16,IF(AND(BC15=0,BC16=0),"",IF(AND(BC15="",BC16=""),"",IF(AND(BC15=0,BC16=""),"", IF(AND(BC15="",BC16=0),"",1)))))</f>
        <v/>
      </c>
      <c r="BD17" s="40" t="str">
        <f t="shared" ref="BD17" si="556">IF(AND(BD15&lt;&gt;0,BD16&lt;&gt;0),(BD15-BD16)/BD16,IF(AND(BD15=0,BD16=0),"",IF(AND(BD15="",BD16=""),"",IF(AND(BD15=0,BD16=""),"", IF(AND(BD15="",BD16=0),"",1)))))</f>
        <v/>
      </c>
      <c r="BE17" s="40" t="str">
        <f t="shared" ref="BE17" si="557">IF(AND(BE15&lt;&gt;0,BE16&lt;&gt;0),(BE15-BE16)/BE16,IF(AND(BE15=0,BE16=0),"",IF(AND(BE15="",BE16=""),"",IF(AND(BE15=0,BE16=""),"", IF(AND(BE15="",BE16=0),"",1)))))</f>
        <v/>
      </c>
      <c r="BF17" s="40" t="str">
        <f t="shared" ref="BF17" si="558">IF(AND(BF15&lt;&gt;0,BF16&lt;&gt;0),(BF15-BF16)/BF16,IF(AND(BF15=0,BF16=0),"",IF(AND(BF15="",BF16=""),"",IF(AND(BF15=0,BF16=""),"", IF(AND(BF15="",BF16=0),"",1)))))</f>
        <v/>
      </c>
      <c r="BG17" s="40" t="str">
        <f t="shared" ref="BG17" si="559">IF(AND(BG15&lt;&gt;0,BG16&lt;&gt;0),(BG15-BG16)/BG16,IF(AND(BG15=0,BG16=0),"",IF(AND(BG15="",BG16=""),"",IF(AND(BG15=0,BG16=""),"", IF(AND(BG15="",BG16=0),"",1)))))</f>
        <v/>
      </c>
      <c r="BH17" s="40" t="str">
        <f t="shared" ref="BH17" si="560">IF(AND(BH15&lt;&gt;0,BH16&lt;&gt;0),(BH15-BH16)/BH16,IF(AND(BH15=0,BH16=0),"",IF(AND(BH15="",BH16=""),"",IF(AND(BH15=0,BH16=""),"", IF(AND(BH15="",BH16=0),"",1)))))</f>
        <v/>
      </c>
      <c r="BI17" s="40" t="str">
        <f t="shared" ref="BI17" si="561">IF(AND(BI15&lt;&gt;0,BI16&lt;&gt;0),(BI15-BI16)/BI16,IF(AND(BI15=0,BI16=0),"",IF(AND(BI15="",BI16=""),"",IF(AND(BI15=0,BI16=""),"", IF(AND(BI15="",BI16=0),"",1)))))</f>
        <v/>
      </c>
      <c r="BJ17" s="40" t="str">
        <f t="shared" ref="BJ17:BX17" si="562">IF(AND(BJ15&lt;&gt;0,BJ16&lt;&gt;0),(BJ15-BJ16)/BJ16,IF(AND(BJ15=0,BJ16=0),"",IF(AND(BJ15="",BJ16=""),"",IF(AND(BJ15=0,BJ16=""),"", IF(AND(BJ15="",BJ16=0),"",1)))))</f>
        <v/>
      </c>
      <c r="BK17" s="40" t="str">
        <f t="shared" si="562"/>
        <v/>
      </c>
      <c r="BL17" s="40" t="str">
        <f t="shared" si="562"/>
        <v/>
      </c>
      <c r="BM17" s="40" t="str">
        <f t="shared" si="562"/>
        <v/>
      </c>
      <c r="BN17" s="40" t="str">
        <f t="shared" si="562"/>
        <v/>
      </c>
      <c r="BO17" s="40" t="str">
        <f t="shared" si="562"/>
        <v/>
      </c>
      <c r="BP17" s="40" t="str">
        <f t="shared" si="562"/>
        <v/>
      </c>
      <c r="BQ17" s="40" t="str">
        <f t="shared" si="562"/>
        <v/>
      </c>
      <c r="BR17" s="40" t="str">
        <f t="shared" si="562"/>
        <v/>
      </c>
      <c r="BS17" s="40" t="str">
        <f t="shared" si="562"/>
        <v/>
      </c>
      <c r="BT17" s="40" t="str">
        <f t="shared" si="562"/>
        <v/>
      </c>
      <c r="BU17" s="40" t="str">
        <f t="shared" si="562"/>
        <v/>
      </c>
      <c r="BV17" s="40" t="str">
        <f t="shared" si="562"/>
        <v/>
      </c>
      <c r="BW17" s="40" t="str">
        <f t="shared" si="562"/>
        <v/>
      </c>
      <c r="BX17" s="40" t="str">
        <f t="shared" si="562"/>
        <v/>
      </c>
      <c r="BY17" s="41">
        <f t="shared" ref="BY17" si="563">IF(AND(BY15&lt;&gt;0,BY16&lt;&gt;0),(BY15-BY16)/BY16,IF(AND(BY15=0,BY16=0),"",IF(AND(BY15="",BY16=""),"",IF(AND(BY15=0,BY16=""),"", IF(AND(BY15="",BY16=0),"",1)))))</f>
        <v>-0.74136932029701619</v>
      </c>
      <c r="BZ17" s="39">
        <f t="shared" ref="BZ17" si="564">IF(AND(BZ15&lt;&gt;0,BZ16&lt;&gt;0),(BZ15-BZ16)/BZ16,IF(AND(BZ15=0,BZ16=0),"",IF(AND(BZ15="",BZ16=""),"",IF(AND(BZ15=0,BZ16=""),"", IF(AND(BZ15="",BZ16=0),"",1)))))</f>
        <v>1</v>
      </c>
      <c r="CA17" s="40">
        <f t="shared" ref="CA17" si="565">IF(AND(CA15&lt;&gt;0,CA16&lt;&gt;0),(CA15-CA16)/CA16,IF(AND(CA15=0,CA16=0),"",IF(AND(CA15="",CA16=""),"",IF(AND(CA15=0,CA16=""),"", IF(AND(CA15="",CA16=0),"",1)))))</f>
        <v>1</v>
      </c>
      <c r="CB17" s="40">
        <f t="shared" ref="CB17" si="566">IF(AND(CB15&lt;&gt;0,CB16&lt;&gt;0),(CB15-CB16)/CB16,IF(AND(CB15=0,CB16=0),"",IF(AND(CB15="",CB16=""),"",IF(AND(CB15=0,CB16=""),"", IF(AND(CB15="",CB16=0),"",1)))))</f>
        <v>1</v>
      </c>
      <c r="CC17" s="40">
        <f t="shared" ref="CC17" si="567">IF(AND(CC15&lt;&gt;0,CC16&lt;&gt;0),(CC15-CC16)/CC16,IF(AND(CC15=0,CC16=0),"",IF(AND(CC15="",CC16=""),"",IF(AND(CC15=0,CC16=""),"", IF(AND(CC15="",CC16=0),"",1)))))</f>
        <v>1</v>
      </c>
      <c r="CD17" s="40">
        <f t="shared" ref="CD17" si="568">IF(AND(CD15&lt;&gt;0,CD16&lt;&gt;0),(CD15-CD16)/CD16,IF(AND(CD15=0,CD16=0),"",IF(AND(CD15="",CD16=""),"",IF(AND(CD15=0,CD16=""),"", IF(AND(CD15="",CD16=0),"",1)))))</f>
        <v>1</v>
      </c>
      <c r="CE17" s="40">
        <f t="shared" ref="CE17" si="569">IF(AND(CE15&lt;&gt;0,CE16&lt;&gt;0),(CE15-CE16)/CE16,IF(AND(CE15=0,CE16=0),"",IF(AND(CE15="",CE16=""),"",IF(AND(CE15=0,CE16=""),"", IF(AND(CE15="",CE16=0),"",1)))))</f>
        <v>1</v>
      </c>
      <c r="CF17" s="40">
        <f t="shared" ref="CF17" si="570">IF(AND(CF15&lt;&gt;0,CF16&lt;&gt;0),(CF15-CF16)/CF16,IF(AND(CF15=0,CF16=0),"",IF(AND(CF15="",CF16=""),"",IF(AND(CF15=0,CF16=""),"", IF(AND(CF15="",CF16=0),"",1)))))</f>
        <v>1</v>
      </c>
      <c r="CG17" s="40">
        <f t="shared" ref="CG17" si="571">IF(AND(CG15&lt;&gt;0,CG16&lt;&gt;0),(CG15-CG16)/CG16,IF(AND(CG15=0,CG16=0),"",IF(AND(CG15="",CG16=""),"",IF(AND(CG15=0,CG16=""),"", IF(AND(CG15="",CG16=0),"",1)))))</f>
        <v>0.16016358327490274</v>
      </c>
      <c r="CH17" s="40">
        <f t="shared" ref="CH17" si="572">IF(AND(CH15&lt;&gt;0,CH16&lt;&gt;0),(CH15-CH16)/CH16,IF(AND(CH15=0,CH16=0),"",IF(AND(CH15="",CH16=""),"",IF(AND(CH15=0,CH16=""),"", IF(AND(CH15="",CH16=0),"",1)))))</f>
        <v>0.69045033136173484</v>
      </c>
      <c r="CI17" s="40">
        <f t="shared" ref="CI17" si="573">IF(AND(CI15&lt;&gt;0,CI16&lt;&gt;0),(CI15-CI16)/CI16,IF(AND(CI15=0,CI16=0),"",IF(AND(CI15="",CI16=""),"",IF(AND(CI15=0,CI16=""),"", IF(AND(CI15="",CI16=0),"",1)))))</f>
        <v>1</v>
      </c>
      <c r="CJ17" s="40">
        <f t="shared" ref="CJ17" si="574">IF(AND(CJ15&lt;&gt;0,CJ16&lt;&gt;0),(CJ15-CJ16)/CJ16,IF(AND(CJ15=0,CJ16=0),"",IF(AND(CJ15="",CJ16=""),"",IF(AND(CJ15=0,CJ16=""),"", IF(AND(CJ15="",CJ16=0),"",1)))))</f>
        <v>1</v>
      </c>
      <c r="CK17" s="40" t="str">
        <f t="shared" ref="CK17" si="575">IF(AND(CK15&lt;&gt;0,CK16&lt;&gt;0),(CK15-CK16)/CK16,IF(AND(CK15=0,CK16=0),"",IF(AND(CK15="",CK16=""),"",IF(AND(CK15=0,CK16=""),"", IF(AND(CK15="",CK16=0),"",1)))))</f>
        <v/>
      </c>
      <c r="CL17" s="40" t="str">
        <f t="shared" ref="CL17" si="576">IF(AND(CL15&lt;&gt;0,CL16&lt;&gt;0),(CL15-CL16)/CL16,IF(AND(CL15=0,CL16=0),"",IF(AND(CL15="",CL16=""),"",IF(AND(CL15=0,CL16=""),"", IF(AND(CL15="",CL16=0),"",1)))))</f>
        <v/>
      </c>
      <c r="CM17" s="40" t="str">
        <f t="shared" ref="CM17" si="577">IF(AND(CM15&lt;&gt;0,CM16&lt;&gt;0),(CM15-CM16)/CM16,IF(AND(CM15=0,CM16=0),"",IF(AND(CM15="",CM16=""),"",IF(AND(CM15=0,CM16=""),"", IF(AND(CM15="",CM16=0),"",1)))))</f>
        <v/>
      </c>
      <c r="CN17" s="40" t="str">
        <f t="shared" ref="CN17" si="578">IF(AND(CN15&lt;&gt;0,CN16&lt;&gt;0),(CN15-CN16)/CN16,IF(AND(CN15=0,CN16=0),"",IF(AND(CN15="",CN16=""),"",IF(AND(CN15=0,CN16=""),"", IF(AND(CN15="",CN16=0),"",1)))))</f>
        <v/>
      </c>
      <c r="CO17" s="40" t="str">
        <f t="shared" ref="CO17" si="579">IF(AND(CO15&lt;&gt;0,CO16&lt;&gt;0),(CO15-CO16)/CO16,IF(AND(CO15=0,CO16=0),"",IF(AND(CO15="",CO16=""),"",IF(AND(CO15=0,CO16=""),"", IF(AND(CO15="",CO16=0),"",1)))))</f>
        <v/>
      </c>
      <c r="CP17" s="40" t="str">
        <f t="shared" ref="CP17" si="580">IF(AND(CP15&lt;&gt;0,CP16&lt;&gt;0),(CP15-CP16)/CP16,IF(AND(CP15=0,CP16=0),"",IF(AND(CP15="",CP16=""),"",IF(AND(CP15=0,CP16=""),"", IF(AND(CP15="",CP16=0),"",1)))))</f>
        <v/>
      </c>
      <c r="CQ17" s="40" t="str">
        <f t="shared" ref="CQ17" si="581">IF(AND(CQ15&lt;&gt;0,CQ16&lt;&gt;0),(CQ15-CQ16)/CQ16,IF(AND(CQ15=0,CQ16=0),"",IF(AND(CQ15="",CQ16=""),"",IF(AND(CQ15=0,CQ16=""),"", IF(AND(CQ15="",CQ16=0),"",1)))))</f>
        <v/>
      </c>
      <c r="CR17" s="40" t="str">
        <f t="shared" ref="CR17" si="582">IF(AND(CR15&lt;&gt;0,CR16&lt;&gt;0),(CR15-CR16)/CR16,IF(AND(CR15=0,CR16=0),"",IF(AND(CR15="",CR16=""),"",IF(AND(CR15=0,CR16=""),"", IF(AND(CR15="",CR16=0),"",1)))))</f>
        <v/>
      </c>
      <c r="CS17" s="40" t="str">
        <f t="shared" ref="CS17" si="583">IF(AND(CS15&lt;&gt;0,CS16&lt;&gt;0),(CS15-CS16)/CS16,IF(AND(CS15=0,CS16=0),"",IF(AND(CS15="",CS16=""),"",IF(AND(CS15=0,CS16=""),"", IF(AND(CS15="",CS16=0),"",1)))))</f>
        <v/>
      </c>
      <c r="CT17" s="40" t="str">
        <f t="shared" ref="CT17" si="584">IF(AND(CT15&lt;&gt;0,CT16&lt;&gt;0),(CT15-CT16)/CT16,IF(AND(CT15=0,CT16=0),"",IF(AND(CT15="",CT16=""),"",IF(AND(CT15=0,CT16=""),"", IF(AND(CT15="",CT16=0),"",1)))))</f>
        <v/>
      </c>
      <c r="CU17" s="40" t="str">
        <f t="shared" ref="CU17" si="585">IF(AND(CU15&lt;&gt;0,CU16&lt;&gt;0),(CU15-CU16)/CU16,IF(AND(CU15=0,CU16=0),"",IF(AND(CU15="",CU16=""),"",IF(AND(CU15=0,CU16=""),"", IF(AND(CU15="",CU16=0),"",1)))))</f>
        <v/>
      </c>
      <c r="CV17" s="40" t="str">
        <f t="shared" ref="CV17:DJ17" si="586">IF(AND(CV15&lt;&gt;0,CV16&lt;&gt;0),(CV15-CV16)/CV16,IF(AND(CV15=0,CV16=0),"",IF(AND(CV15="",CV16=""),"",IF(AND(CV15=0,CV16=""),"", IF(AND(CV15="",CV16=0),"",1)))))</f>
        <v/>
      </c>
      <c r="CW17" s="40" t="str">
        <f t="shared" si="586"/>
        <v/>
      </c>
      <c r="CX17" s="40" t="str">
        <f t="shared" si="586"/>
        <v/>
      </c>
      <c r="CY17" s="40" t="str">
        <f t="shared" si="586"/>
        <v/>
      </c>
      <c r="CZ17" s="40" t="str">
        <f t="shared" si="586"/>
        <v/>
      </c>
      <c r="DA17" s="40" t="str">
        <f t="shared" si="586"/>
        <v/>
      </c>
      <c r="DB17" s="40" t="str">
        <f t="shared" si="586"/>
        <v/>
      </c>
      <c r="DC17" s="40" t="str">
        <f t="shared" si="586"/>
        <v/>
      </c>
      <c r="DD17" s="40" t="str">
        <f t="shared" si="586"/>
        <v/>
      </c>
      <c r="DE17" s="40" t="str">
        <f t="shared" si="586"/>
        <v/>
      </c>
      <c r="DF17" s="40" t="str">
        <f t="shared" si="586"/>
        <v/>
      </c>
      <c r="DG17" s="40" t="str">
        <f t="shared" si="586"/>
        <v/>
      </c>
      <c r="DH17" s="40" t="str">
        <f t="shared" si="586"/>
        <v/>
      </c>
      <c r="DI17" s="40" t="str">
        <f t="shared" si="586"/>
        <v/>
      </c>
      <c r="DJ17" s="40" t="str">
        <f t="shared" si="586"/>
        <v/>
      </c>
      <c r="DK17" s="41">
        <f t="shared" ref="DK17:HU17" si="587">IF(AND(DK15&lt;&gt;0,DK16&lt;&gt;0),(DK15-DK16)/DK16,IF(AND(DK15=0,DK16=0),"",IF(AND(DK15="",DK16=""),"",IF(AND(DK15=0,DK16=""),"", IF(AND(DK15="",DK16=0),"",1)))))</f>
        <v>3.4195982945263994</v>
      </c>
      <c r="DL17" s="72" t="str">
        <f t="shared" si="587"/>
        <v/>
      </c>
      <c r="DM17" s="73" t="str">
        <f t="shared" si="587"/>
        <v/>
      </c>
      <c r="DN17" s="73" t="str">
        <f t="shared" si="587"/>
        <v/>
      </c>
      <c r="DO17" s="73" t="str">
        <f t="shared" si="587"/>
        <v/>
      </c>
      <c r="DP17" s="73" t="str">
        <f t="shared" si="587"/>
        <v/>
      </c>
      <c r="DQ17" s="73" t="str">
        <f t="shared" si="587"/>
        <v/>
      </c>
      <c r="DR17" s="73" t="str">
        <f t="shared" si="587"/>
        <v/>
      </c>
      <c r="DS17" s="73" t="str">
        <f t="shared" si="587"/>
        <v/>
      </c>
      <c r="DT17" s="73" t="str">
        <f t="shared" si="587"/>
        <v/>
      </c>
      <c r="DU17" s="73" t="str">
        <f t="shared" si="587"/>
        <v/>
      </c>
      <c r="DV17" s="73" t="str">
        <f t="shared" si="587"/>
        <v/>
      </c>
      <c r="DW17" s="73" t="str">
        <f t="shared" si="587"/>
        <v/>
      </c>
      <c r="DX17" s="73" t="str">
        <f t="shared" si="587"/>
        <v/>
      </c>
      <c r="DY17" s="73" t="str">
        <f t="shared" si="587"/>
        <v/>
      </c>
      <c r="DZ17" s="73" t="str">
        <f t="shared" si="587"/>
        <v/>
      </c>
      <c r="EA17" s="73" t="str">
        <f t="shared" si="587"/>
        <v/>
      </c>
      <c r="EB17" s="73" t="str">
        <f t="shared" si="587"/>
        <v/>
      </c>
      <c r="EC17" s="73" t="str">
        <f t="shared" si="587"/>
        <v/>
      </c>
      <c r="ED17" s="73" t="str">
        <f t="shared" si="587"/>
        <v/>
      </c>
      <c r="EE17" s="73" t="str">
        <f t="shared" si="587"/>
        <v/>
      </c>
      <c r="EF17" s="73" t="str">
        <f t="shared" si="587"/>
        <v/>
      </c>
      <c r="EG17" s="73" t="str">
        <f t="shared" si="587"/>
        <v/>
      </c>
      <c r="EH17" s="73" t="str">
        <f t="shared" si="587"/>
        <v/>
      </c>
      <c r="EI17" s="73" t="str">
        <f t="shared" ref="EI17:EV17" si="588">IF(AND(EI15&lt;&gt;0,EI16&lt;&gt;0),(EI15-EI16)/EI16,IF(AND(EI15=0,EI16=0),"",IF(AND(EI15="",EI16=""),"",IF(AND(EI15=0,EI16=""),"", IF(AND(EI15="",EI16=0),"",1)))))</f>
        <v/>
      </c>
      <c r="EJ17" s="73" t="str">
        <f t="shared" si="588"/>
        <v/>
      </c>
      <c r="EK17" s="73" t="str">
        <f t="shared" si="588"/>
        <v/>
      </c>
      <c r="EL17" s="73" t="str">
        <f t="shared" si="588"/>
        <v/>
      </c>
      <c r="EM17" s="73" t="str">
        <f t="shared" si="588"/>
        <v/>
      </c>
      <c r="EN17" s="73" t="str">
        <f t="shared" si="588"/>
        <v/>
      </c>
      <c r="EO17" s="73" t="str">
        <f t="shared" si="588"/>
        <v/>
      </c>
      <c r="EP17" s="73" t="str">
        <f t="shared" si="588"/>
        <v/>
      </c>
      <c r="EQ17" s="73" t="str">
        <f t="shared" si="588"/>
        <v/>
      </c>
      <c r="ER17" s="73" t="str">
        <f t="shared" si="588"/>
        <v/>
      </c>
      <c r="ES17" s="73" t="str">
        <f t="shared" si="588"/>
        <v/>
      </c>
      <c r="ET17" s="73" t="str">
        <f t="shared" si="588"/>
        <v/>
      </c>
      <c r="EU17" s="73" t="str">
        <f t="shared" si="588"/>
        <v/>
      </c>
      <c r="EV17" s="73" t="str">
        <f t="shared" si="588"/>
        <v/>
      </c>
      <c r="EW17" s="74" t="str">
        <f t="shared" si="587"/>
        <v/>
      </c>
      <c r="EX17" s="72" t="str">
        <f t="shared" ref="EX17:GI17" si="589">IF(AND(EX15&lt;&gt;0,EX16&lt;&gt;0),(EX15-EX16)/EX16,IF(AND(EX15=0,EX16=0),"",IF(AND(EX15="",EX16=""),"",IF(AND(EX15=0,EX16=""),"", IF(AND(EX15="",EX16=0),"",1)))))</f>
        <v/>
      </c>
      <c r="EY17" s="73" t="str">
        <f t="shared" si="589"/>
        <v/>
      </c>
      <c r="EZ17" s="73" t="str">
        <f t="shared" si="589"/>
        <v/>
      </c>
      <c r="FA17" s="73" t="str">
        <f t="shared" si="589"/>
        <v/>
      </c>
      <c r="FB17" s="73" t="str">
        <f t="shared" si="589"/>
        <v/>
      </c>
      <c r="FC17" s="73" t="str">
        <f t="shared" si="589"/>
        <v/>
      </c>
      <c r="FD17" s="73" t="str">
        <f t="shared" si="589"/>
        <v/>
      </c>
      <c r="FE17" s="73" t="str">
        <f t="shared" si="589"/>
        <v/>
      </c>
      <c r="FF17" s="73" t="str">
        <f t="shared" si="589"/>
        <v/>
      </c>
      <c r="FG17" s="73" t="str">
        <f t="shared" si="589"/>
        <v/>
      </c>
      <c r="FH17" s="73" t="str">
        <f t="shared" si="589"/>
        <v/>
      </c>
      <c r="FI17" s="73" t="str">
        <f t="shared" si="589"/>
        <v/>
      </c>
      <c r="FJ17" s="73" t="str">
        <f t="shared" si="589"/>
        <v/>
      </c>
      <c r="FK17" s="73" t="str">
        <f t="shared" si="589"/>
        <v/>
      </c>
      <c r="FL17" s="73" t="str">
        <f t="shared" si="589"/>
        <v/>
      </c>
      <c r="FM17" s="73" t="str">
        <f t="shared" si="589"/>
        <v/>
      </c>
      <c r="FN17" s="73" t="str">
        <f t="shared" si="589"/>
        <v/>
      </c>
      <c r="FO17" s="73" t="str">
        <f t="shared" si="589"/>
        <v/>
      </c>
      <c r="FP17" s="73" t="str">
        <f t="shared" si="589"/>
        <v/>
      </c>
      <c r="FQ17" s="73" t="str">
        <f t="shared" si="589"/>
        <v/>
      </c>
      <c r="FR17" s="73" t="str">
        <f t="shared" si="589"/>
        <v/>
      </c>
      <c r="FS17" s="73" t="str">
        <f t="shared" si="589"/>
        <v/>
      </c>
      <c r="FT17" s="73" t="str">
        <f t="shared" si="589"/>
        <v/>
      </c>
      <c r="FU17" s="73" t="str">
        <f t="shared" ref="FU17:GH17" si="590">IF(AND(FU15&lt;&gt;0,FU16&lt;&gt;0),(FU15-FU16)/FU16,IF(AND(FU15=0,FU16=0),"",IF(AND(FU15="",FU16=""),"",IF(AND(FU15=0,FU16=""),"", IF(AND(FU15="",FU16=0),"",1)))))</f>
        <v/>
      </c>
      <c r="FV17" s="73" t="str">
        <f t="shared" si="590"/>
        <v/>
      </c>
      <c r="FW17" s="73" t="str">
        <f t="shared" si="590"/>
        <v/>
      </c>
      <c r="FX17" s="73" t="str">
        <f t="shared" si="590"/>
        <v/>
      </c>
      <c r="FY17" s="73" t="str">
        <f t="shared" si="590"/>
        <v/>
      </c>
      <c r="FZ17" s="73" t="str">
        <f t="shared" si="590"/>
        <v/>
      </c>
      <c r="GA17" s="73" t="str">
        <f t="shared" si="590"/>
        <v/>
      </c>
      <c r="GB17" s="73" t="str">
        <f t="shared" si="590"/>
        <v/>
      </c>
      <c r="GC17" s="73" t="str">
        <f t="shared" si="590"/>
        <v/>
      </c>
      <c r="GD17" s="73" t="str">
        <f t="shared" si="590"/>
        <v/>
      </c>
      <c r="GE17" s="73" t="str">
        <f t="shared" si="590"/>
        <v/>
      </c>
      <c r="GF17" s="73" t="str">
        <f t="shared" si="590"/>
        <v/>
      </c>
      <c r="GG17" s="73" t="str">
        <f t="shared" si="590"/>
        <v/>
      </c>
      <c r="GH17" s="73" t="str">
        <f t="shared" si="590"/>
        <v/>
      </c>
      <c r="GI17" s="74" t="str">
        <f t="shared" si="589"/>
        <v/>
      </c>
      <c r="GJ17" s="72" t="str">
        <f t="shared" si="587"/>
        <v/>
      </c>
      <c r="GK17" s="73" t="str">
        <f t="shared" si="587"/>
        <v/>
      </c>
      <c r="GL17" s="73" t="str">
        <f t="shared" si="587"/>
        <v/>
      </c>
      <c r="GM17" s="73" t="str">
        <f t="shared" si="587"/>
        <v/>
      </c>
      <c r="GN17" s="73" t="str">
        <f t="shared" si="587"/>
        <v/>
      </c>
      <c r="GO17" s="73" t="str">
        <f t="shared" si="587"/>
        <v/>
      </c>
      <c r="GP17" s="73" t="str">
        <f t="shared" si="587"/>
        <v/>
      </c>
      <c r="GQ17" s="73" t="str">
        <f t="shared" si="587"/>
        <v/>
      </c>
      <c r="GR17" s="73" t="str">
        <f t="shared" si="587"/>
        <v/>
      </c>
      <c r="GS17" s="73" t="str">
        <f t="shared" si="587"/>
        <v/>
      </c>
      <c r="GT17" s="73" t="str">
        <f t="shared" si="587"/>
        <v/>
      </c>
      <c r="GU17" s="73" t="str">
        <f t="shared" si="587"/>
        <v/>
      </c>
      <c r="GV17" s="73" t="str">
        <f t="shared" si="587"/>
        <v/>
      </c>
      <c r="GW17" s="73" t="str">
        <f t="shared" si="587"/>
        <v/>
      </c>
      <c r="GX17" s="73" t="str">
        <f t="shared" si="587"/>
        <v/>
      </c>
      <c r="GY17" s="73" t="str">
        <f t="shared" si="587"/>
        <v/>
      </c>
      <c r="GZ17" s="73" t="str">
        <f t="shared" si="587"/>
        <v/>
      </c>
      <c r="HA17" s="73" t="str">
        <f t="shared" si="587"/>
        <v/>
      </c>
      <c r="HB17" s="73" t="str">
        <f t="shared" si="587"/>
        <v/>
      </c>
      <c r="HC17" s="73" t="str">
        <f t="shared" si="587"/>
        <v/>
      </c>
      <c r="HD17" s="73" t="str">
        <f t="shared" si="587"/>
        <v/>
      </c>
      <c r="HE17" s="73" t="str">
        <f t="shared" si="587"/>
        <v/>
      </c>
      <c r="HF17" s="73" t="str">
        <f t="shared" si="587"/>
        <v/>
      </c>
      <c r="HG17" s="73" t="str">
        <f t="shared" ref="HG17:HT17" si="591">IF(AND(HG15&lt;&gt;0,HG16&lt;&gt;0),(HG15-HG16)/HG16,IF(AND(HG15=0,HG16=0),"",IF(AND(HG15="",HG16=""),"",IF(AND(HG15=0,HG16=""),"", IF(AND(HG15="",HG16=0),"",1)))))</f>
        <v/>
      </c>
      <c r="HH17" s="73" t="str">
        <f t="shared" si="591"/>
        <v/>
      </c>
      <c r="HI17" s="73" t="str">
        <f t="shared" si="591"/>
        <v/>
      </c>
      <c r="HJ17" s="73" t="str">
        <f t="shared" si="591"/>
        <v/>
      </c>
      <c r="HK17" s="73" t="str">
        <f t="shared" si="591"/>
        <v/>
      </c>
      <c r="HL17" s="73" t="str">
        <f t="shared" si="591"/>
        <v/>
      </c>
      <c r="HM17" s="73" t="str">
        <f t="shared" si="591"/>
        <v/>
      </c>
      <c r="HN17" s="73" t="str">
        <f t="shared" si="591"/>
        <v/>
      </c>
      <c r="HO17" s="73" t="str">
        <f t="shared" si="591"/>
        <v/>
      </c>
      <c r="HP17" s="73" t="str">
        <f t="shared" si="591"/>
        <v/>
      </c>
      <c r="HQ17" s="73" t="str">
        <f t="shared" si="591"/>
        <v/>
      </c>
      <c r="HR17" s="73" t="str">
        <f t="shared" si="591"/>
        <v/>
      </c>
      <c r="HS17" s="73" t="str">
        <f t="shared" si="591"/>
        <v/>
      </c>
      <c r="HT17" s="73" t="str">
        <f t="shared" si="591"/>
        <v/>
      </c>
      <c r="HU17" s="74" t="str">
        <f t="shared" si="587"/>
        <v/>
      </c>
      <c r="HV17" s="39" t="str">
        <f t="shared" ref="HV17" si="592">IF(AND(HV15&lt;&gt;0,HV16&lt;&gt;0),(HV15-HV16)/HV16,IF(AND(HV15=0,HV16=0),"",IF(AND(HV15="",HV16=""),"",IF(AND(HV15=0,HV16=""),"", IF(AND(HV15="",HV16=0),"",1)))))</f>
        <v/>
      </c>
      <c r="HW17" s="40" t="str">
        <f t="shared" ref="HW17" si="593">IF(AND(HW15&lt;&gt;0,HW16&lt;&gt;0),(HW15-HW16)/HW16,IF(AND(HW15=0,HW16=0),"",IF(AND(HW15="",HW16=""),"",IF(AND(HW15=0,HW16=""),"", IF(AND(HW15="",HW16=0),"",1)))))</f>
        <v/>
      </c>
      <c r="HX17" s="40" t="str">
        <f t="shared" ref="HX17" si="594">IF(AND(HX15&lt;&gt;0,HX16&lt;&gt;0),(HX15-HX16)/HX16,IF(AND(HX15=0,HX16=0),"",IF(AND(HX15="",HX16=""),"",IF(AND(HX15=0,HX16=""),"", IF(AND(HX15="",HX16=0),"",1)))))</f>
        <v/>
      </c>
      <c r="HY17" s="40" t="str">
        <f t="shared" ref="HY17" si="595">IF(AND(HY15&lt;&gt;0,HY16&lt;&gt;0),(HY15-HY16)/HY16,IF(AND(HY15=0,HY16=0),"",IF(AND(HY15="",HY16=""),"",IF(AND(HY15=0,HY16=""),"", IF(AND(HY15="",HY16=0),"",1)))))</f>
        <v/>
      </c>
      <c r="HZ17" s="40" t="str">
        <f t="shared" ref="HZ17" si="596">IF(AND(HZ15&lt;&gt;0,HZ16&lt;&gt;0),(HZ15-HZ16)/HZ16,IF(AND(HZ15=0,HZ16=0),"",IF(AND(HZ15="",HZ16=""),"",IF(AND(HZ15=0,HZ16=""),"", IF(AND(HZ15="",HZ16=0),"",1)))))</f>
        <v/>
      </c>
      <c r="IA17" s="40" t="str">
        <f t="shared" ref="IA17" si="597">IF(AND(IA15&lt;&gt;0,IA16&lt;&gt;0),(IA15-IA16)/IA16,IF(AND(IA15=0,IA16=0),"",IF(AND(IA15="",IA16=""),"",IF(AND(IA15=0,IA16=""),"", IF(AND(IA15="",IA16=0),"",1)))))</f>
        <v/>
      </c>
      <c r="IB17" s="40" t="str">
        <f t="shared" ref="IB17" si="598">IF(AND(IB15&lt;&gt;0,IB16&lt;&gt;0),(IB15-IB16)/IB16,IF(AND(IB15=0,IB16=0),"",IF(AND(IB15="",IB16=""),"",IF(AND(IB15=0,IB16=""),"", IF(AND(IB15="",IB16=0),"",1)))))</f>
        <v/>
      </c>
      <c r="IC17" s="40" t="str">
        <f t="shared" ref="IC17" si="599">IF(AND(IC15&lt;&gt;0,IC16&lt;&gt;0),(IC15-IC16)/IC16,IF(AND(IC15=0,IC16=0),"",IF(AND(IC15="",IC16=""),"",IF(AND(IC15=0,IC16=""),"", IF(AND(IC15="",IC16=0),"",1)))))</f>
        <v/>
      </c>
      <c r="ID17" s="40" t="str">
        <f t="shared" ref="ID17" si="600">IF(AND(ID15&lt;&gt;0,ID16&lt;&gt;0),(ID15-ID16)/ID16,IF(AND(ID15=0,ID16=0),"",IF(AND(ID15="",ID16=""),"",IF(AND(ID15=0,ID16=""),"", IF(AND(ID15="",ID16=0),"",1)))))</f>
        <v/>
      </c>
      <c r="IE17" s="40">
        <f t="shared" ref="IE17" si="601">IF(AND(IE15&lt;&gt;0,IE16&lt;&gt;0),(IE15-IE16)/IE16,IF(AND(IE15=0,IE16=0),"",IF(AND(IE15="",IE16=""),"",IF(AND(IE15=0,IE16=""),"", IF(AND(IE15="",IE16=0),"",1)))))</f>
        <v>1</v>
      </c>
      <c r="IF17" s="40" t="str">
        <f t="shared" ref="IF17" si="602">IF(AND(IF15&lt;&gt;0,IF16&lt;&gt;0),(IF15-IF16)/IF16,IF(AND(IF15=0,IF16=0),"",IF(AND(IF15="",IF16=""),"",IF(AND(IF15=0,IF16=""),"", IF(AND(IF15="",IF16=0),"",1)))))</f>
        <v/>
      </c>
      <c r="IG17" s="40" t="str">
        <f t="shared" ref="IG17" si="603">IF(AND(IG15&lt;&gt;0,IG16&lt;&gt;0),(IG15-IG16)/IG16,IF(AND(IG15=0,IG16=0),"",IF(AND(IG15="",IG16=""),"",IF(AND(IG15=0,IG16=""),"", IF(AND(IG15="",IG16=0),"",1)))))</f>
        <v/>
      </c>
      <c r="IH17" s="40" t="str">
        <f t="shared" ref="IH17" si="604">IF(AND(IH15&lt;&gt;0,IH16&lt;&gt;0),(IH15-IH16)/IH16,IF(AND(IH15=0,IH16=0),"",IF(AND(IH15="",IH16=""),"",IF(AND(IH15=0,IH16=""),"", IF(AND(IH15="",IH16=0),"",1)))))</f>
        <v/>
      </c>
      <c r="II17" s="40" t="str">
        <f t="shared" ref="II17" si="605">IF(AND(II15&lt;&gt;0,II16&lt;&gt;0),(II15-II16)/II16,IF(AND(II15=0,II16=0),"",IF(AND(II15="",II16=""),"",IF(AND(II15=0,II16=""),"", IF(AND(II15="",II16=0),"",1)))))</f>
        <v/>
      </c>
      <c r="IJ17" s="40" t="str">
        <f t="shared" ref="IJ17" si="606">IF(AND(IJ15&lt;&gt;0,IJ16&lt;&gt;0),(IJ15-IJ16)/IJ16,IF(AND(IJ15=0,IJ16=0),"",IF(AND(IJ15="",IJ16=""),"",IF(AND(IJ15=0,IJ16=""),"", IF(AND(IJ15="",IJ16=0),"",1)))))</f>
        <v/>
      </c>
      <c r="IK17" s="40" t="str">
        <f t="shared" ref="IK17" si="607">IF(AND(IK15&lt;&gt;0,IK16&lt;&gt;0),(IK15-IK16)/IK16,IF(AND(IK15=0,IK16=0),"",IF(AND(IK15="",IK16=""),"",IF(AND(IK15=0,IK16=""),"", IF(AND(IK15="",IK16=0),"",1)))))</f>
        <v/>
      </c>
      <c r="IL17" s="40" t="str">
        <f t="shared" ref="IL17" si="608">IF(AND(IL15&lt;&gt;0,IL16&lt;&gt;0),(IL15-IL16)/IL16,IF(AND(IL15=0,IL16=0),"",IF(AND(IL15="",IL16=""),"",IF(AND(IL15=0,IL16=""),"", IF(AND(IL15="",IL16=0),"",1)))))</f>
        <v/>
      </c>
      <c r="IM17" s="40" t="str">
        <f t="shared" ref="IM17" si="609">IF(AND(IM15&lt;&gt;0,IM16&lt;&gt;0),(IM15-IM16)/IM16,IF(AND(IM15=0,IM16=0),"",IF(AND(IM15="",IM16=""),"",IF(AND(IM15=0,IM16=""),"", IF(AND(IM15="",IM16=0),"",1)))))</f>
        <v/>
      </c>
      <c r="IN17" s="40" t="str">
        <f t="shared" ref="IN17" si="610">IF(AND(IN15&lt;&gt;0,IN16&lt;&gt;0),(IN15-IN16)/IN16,IF(AND(IN15=0,IN16=0),"",IF(AND(IN15="",IN16=""),"",IF(AND(IN15=0,IN16=""),"", IF(AND(IN15="",IN16=0),"",1)))))</f>
        <v/>
      </c>
      <c r="IO17" s="40" t="str">
        <f t="shared" ref="IO17" si="611">IF(AND(IO15&lt;&gt;0,IO16&lt;&gt;0),(IO15-IO16)/IO16,IF(AND(IO15=0,IO16=0),"",IF(AND(IO15="",IO16=""),"",IF(AND(IO15=0,IO16=""),"", IF(AND(IO15="",IO16=0),"",1)))))</f>
        <v/>
      </c>
      <c r="IP17" s="40" t="str">
        <f t="shared" ref="IP17" si="612">IF(AND(IP15&lt;&gt;0,IP16&lt;&gt;0),(IP15-IP16)/IP16,IF(AND(IP15=0,IP16=0),"",IF(AND(IP15="",IP16=""),"",IF(AND(IP15=0,IP16=""),"", IF(AND(IP15="",IP16=0),"",1)))))</f>
        <v/>
      </c>
      <c r="IQ17" s="40" t="str">
        <f t="shared" ref="IQ17" si="613">IF(AND(IQ15&lt;&gt;0,IQ16&lt;&gt;0),(IQ15-IQ16)/IQ16,IF(AND(IQ15=0,IQ16=0),"",IF(AND(IQ15="",IQ16=""),"",IF(AND(IQ15=0,IQ16=""),"", IF(AND(IQ15="",IQ16=0),"",1)))))</f>
        <v/>
      </c>
      <c r="IR17" s="40" t="str">
        <f t="shared" ref="IR17:JF17" si="614">IF(AND(IR15&lt;&gt;0,IR16&lt;&gt;0),(IR15-IR16)/IR16,IF(AND(IR15=0,IR16=0),"",IF(AND(IR15="",IR16=""),"",IF(AND(IR15=0,IR16=""),"", IF(AND(IR15="",IR16=0),"",1)))))</f>
        <v/>
      </c>
      <c r="IS17" s="40" t="str">
        <f t="shared" si="614"/>
        <v/>
      </c>
      <c r="IT17" s="40" t="str">
        <f t="shared" si="614"/>
        <v/>
      </c>
      <c r="IU17" s="40" t="str">
        <f t="shared" si="614"/>
        <v/>
      </c>
      <c r="IV17" s="40" t="str">
        <f t="shared" si="614"/>
        <v/>
      </c>
      <c r="IW17" s="40" t="str">
        <f t="shared" si="614"/>
        <v/>
      </c>
      <c r="IX17" s="40" t="str">
        <f t="shared" si="614"/>
        <v/>
      </c>
      <c r="IY17" s="40" t="str">
        <f t="shared" si="614"/>
        <v/>
      </c>
      <c r="IZ17" s="40" t="str">
        <f t="shared" si="614"/>
        <v/>
      </c>
      <c r="JA17" s="40" t="str">
        <f t="shared" si="614"/>
        <v/>
      </c>
      <c r="JB17" s="40" t="str">
        <f t="shared" si="614"/>
        <v/>
      </c>
      <c r="JC17" s="40" t="str">
        <f t="shared" si="614"/>
        <v/>
      </c>
      <c r="JD17" s="40" t="str">
        <f t="shared" si="614"/>
        <v/>
      </c>
      <c r="JE17" s="40" t="str">
        <f t="shared" si="614"/>
        <v/>
      </c>
      <c r="JF17" s="40" t="str">
        <f t="shared" si="614"/>
        <v/>
      </c>
      <c r="JG17" s="41">
        <f t="shared" ref="JG17:NQ17" si="615">IF(AND(JG15&lt;&gt;0,JG16&lt;&gt;0),(JG15-JG16)/JG16,IF(AND(JG15=0,JG16=0),"",IF(AND(JG15="",JG16=""),"",IF(AND(JG15=0,JG16=""),"", IF(AND(JG15="",JG16=0),"",1)))))</f>
        <v>1</v>
      </c>
      <c r="JH17" s="72" t="str">
        <f t="shared" si="615"/>
        <v/>
      </c>
      <c r="JI17" s="73" t="str">
        <f t="shared" si="615"/>
        <v/>
      </c>
      <c r="JJ17" s="73" t="str">
        <f t="shared" si="615"/>
        <v/>
      </c>
      <c r="JK17" s="73" t="str">
        <f t="shared" si="615"/>
        <v/>
      </c>
      <c r="JL17" s="73" t="str">
        <f t="shared" si="615"/>
        <v/>
      </c>
      <c r="JM17" s="73" t="str">
        <f t="shared" si="615"/>
        <v/>
      </c>
      <c r="JN17" s="73" t="str">
        <f t="shared" si="615"/>
        <v/>
      </c>
      <c r="JO17" s="73" t="str">
        <f t="shared" si="615"/>
        <v/>
      </c>
      <c r="JP17" s="73" t="str">
        <f t="shared" si="615"/>
        <v/>
      </c>
      <c r="JQ17" s="73" t="str">
        <f t="shared" si="615"/>
        <v/>
      </c>
      <c r="JR17" s="73" t="str">
        <f t="shared" si="615"/>
        <v/>
      </c>
      <c r="JS17" s="73" t="str">
        <f t="shared" si="615"/>
        <v/>
      </c>
      <c r="JT17" s="73" t="str">
        <f t="shared" si="615"/>
        <v/>
      </c>
      <c r="JU17" s="73" t="str">
        <f t="shared" si="615"/>
        <v/>
      </c>
      <c r="JV17" s="73" t="str">
        <f t="shared" si="615"/>
        <v/>
      </c>
      <c r="JW17" s="73" t="str">
        <f t="shared" si="615"/>
        <v/>
      </c>
      <c r="JX17" s="73" t="str">
        <f t="shared" si="615"/>
        <v/>
      </c>
      <c r="JY17" s="73" t="str">
        <f t="shared" si="615"/>
        <v/>
      </c>
      <c r="JZ17" s="73" t="str">
        <f t="shared" si="615"/>
        <v/>
      </c>
      <c r="KA17" s="73" t="str">
        <f t="shared" si="615"/>
        <v/>
      </c>
      <c r="KB17" s="73" t="str">
        <f t="shared" si="615"/>
        <v/>
      </c>
      <c r="KC17" s="73" t="str">
        <f t="shared" si="615"/>
        <v/>
      </c>
      <c r="KD17" s="73" t="str">
        <f t="shared" si="615"/>
        <v/>
      </c>
      <c r="KE17" s="73" t="str">
        <f t="shared" ref="KE17:KR17" si="616">IF(AND(KE15&lt;&gt;0,KE16&lt;&gt;0),(KE15-KE16)/KE16,IF(AND(KE15=0,KE16=0),"",IF(AND(KE15="",KE16=""),"",IF(AND(KE15=0,KE16=""),"", IF(AND(KE15="",KE16=0),"",1)))))</f>
        <v/>
      </c>
      <c r="KF17" s="73" t="str">
        <f t="shared" si="616"/>
        <v/>
      </c>
      <c r="KG17" s="73" t="str">
        <f t="shared" si="616"/>
        <v/>
      </c>
      <c r="KH17" s="73" t="str">
        <f t="shared" si="616"/>
        <v/>
      </c>
      <c r="KI17" s="73" t="str">
        <f t="shared" si="616"/>
        <v/>
      </c>
      <c r="KJ17" s="73" t="str">
        <f t="shared" si="616"/>
        <v/>
      </c>
      <c r="KK17" s="73" t="str">
        <f t="shared" si="616"/>
        <v/>
      </c>
      <c r="KL17" s="73" t="str">
        <f t="shared" si="616"/>
        <v/>
      </c>
      <c r="KM17" s="73" t="str">
        <f t="shared" si="616"/>
        <v/>
      </c>
      <c r="KN17" s="73" t="str">
        <f t="shared" si="616"/>
        <v/>
      </c>
      <c r="KO17" s="73" t="str">
        <f t="shared" si="616"/>
        <v/>
      </c>
      <c r="KP17" s="73" t="str">
        <f t="shared" si="616"/>
        <v/>
      </c>
      <c r="KQ17" s="73" t="str">
        <f t="shared" si="616"/>
        <v/>
      </c>
      <c r="KR17" s="73" t="str">
        <f t="shared" si="616"/>
        <v/>
      </c>
      <c r="KS17" s="74" t="str">
        <f t="shared" si="615"/>
        <v/>
      </c>
      <c r="KT17" s="72" t="str">
        <f t="shared" ref="KT17:ME17" si="617">IF(AND(KT15&lt;&gt;0,KT16&lt;&gt;0),(KT15-KT16)/KT16,IF(AND(KT15=0,KT16=0),"",IF(AND(KT15="",KT16=""),"",IF(AND(KT15=0,KT16=""),"", IF(AND(KT15="",KT16=0),"",1)))))</f>
        <v/>
      </c>
      <c r="KU17" s="73" t="str">
        <f t="shared" si="617"/>
        <v/>
      </c>
      <c r="KV17" s="73" t="str">
        <f t="shared" si="617"/>
        <v/>
      </c>
      <c r="KW17" s="73" t="str">
        <f t="shared" si="617"/>
        <v/>
      </c>
      <c r="KX17" s="73" t="str">
        <f t="shared" si="617"/>
        <v/>
      </c>
      <c r="KY17" s="73" t="str">
        <f t="shared" si="617"/>
        <v/>
      </c>
      <c r="KZ17" s="73" t="str">
        <f t="shared" si="617"/>
        <v/>
      </c>
      <c r="LA17" s="73" t="str">
        <f t="shared" si="617"/>
        <v/>
      </c>
      <c r="LB17" s="73" t="str">
        <f t="shared" si="617"/>
        <v/>
      </c>
      <c r="LC17" s="73" t="str">
        <f t="shared" si="617"/>
        <v/>
      </c>
      <c r="LD17" s="73" t="str">
        <f t="shared" si="617"/>
        <v/>
      </c>
      <c r="LE17" s="73" t="str">
        <f t="shared" si="617"/>
        <v/>
      </c>
      <c r="LF17" s="73" t="str">
        <f t="shared" si="617"/>
        <v/>
      </c>
      <c r="LG17" s="73" t="str">
        <f t="shared" si="617"/>
        <v/>
      </c>
      <c r="LH17" s="73" t="str">
        <f t="shared" si="617"/>
        <v/>
      </c>
      <c r="LI17" s="73" t="str">
        <f t="shared" si="617"/>
        <v/>
      </c>
      <c r="LJ17" s="73" t="str">
        <f t="shared" si="617"/>
        <v/>
      </c>
      <c r="LK17" s="73" t="str">
        <f t="shared" si="617"/>
        <v/>
      </c>
      <c r="LL17" s="73" t="str">
        <f t="shared" si="617"/>
        <v/>
      </c>
      <c r="LM17" s="73" t="str">
        <f t="shared" si="617"/>
        <v/>
      </c>
      <c r="LN17" s="73" t="str">
        <f t="shared" si="617"/>
        <v/>
      </c>
      <c r="LO17" s="73" t="str">
        <f t="shared" si="617"/>
        <v/>
      </c>
      <c r="LP17" s="73" t="str">
        <f t="shared" si="617"/>
        <v/>
      </c>
      <c r="LQ17" s="73" t="str">
        <f t="shared" ref="LQ17:MD17" si="618">IF(AND(LQ15&lt;&gt;0,LQ16&lt;&gt;0),(LQ15-LQ16)/LQ16,IF(AND(LQ15=0,LQ16=0),"",IF(AND(LQ15="",LQ16=""),"",IF(AND(LQ15=0,LQ16=""),"", IF(AND(LQ15="",LQ16=0),"",1)))))</f>
        <v/>
      </c>
      <c r="LR17" s="73" t="str">
        <f t="shared" si="618"/>
        <v/>
      </c>
      <c r="LS17" s="73" t="str">
        <f t="shared" si="618"/>
        <v/>
      </c>
      <c r="LT17" s="73" t="str">
        <f t="shared" si="618"/>
        <v/>
      </c>
      <c r="LU17" s="73" t="str">
        <f t="shared" si="618"/>
        <v/>
      </c>
      <c r="LV17" s="73" t="str">
        <f t="shared" si="618"/>
        <v/>
      </c>
      <c r="LW17" s="73" t="str">
        <f t="shared" si="618"/>
        <v/>
      </c>
      <c r="LX17" s="73" t="str">
        <f t="shared" si="618"/>
        <v/>
      </c>
      <c r="LY17" s="73" t="str">
        <f t="shared" si="618"/>
        <v/>
      </c>
      <c r="LZ17" s="73" t="str">
        <f t="shared" si="618"/>
        <v/>
      </c>
      <c r="MA17" s="73" t="str">
        <f t="shared" si="618"/>
        <v/>
      </c>
      <c r="MB17" s="73" t="str">
        <f t="shared" si="618"/>
        <v/>
      </c>
      <c r="MC17" s="73" t="str">
        <f t="shared" si="618"/>
        <v/>
      </c>
      <c r="MD17" s="73" t="str">
        <f t="shared" si="618"/>
        <v/>
      </c>
      <c r="ME17" s="74" t="str">
        <f t="shared" si="617"/>
        <v/>
      </c>
      <c r="MF17" s="72" t="str">
        <f t="shared" si="615"/>
        <v/>
      </c>
      <c r="MG17" s="73" t="str">
        <f t="shared" si="615"/>
        <v/>
      </c>
      <c r="MH17" s="73" t="str">
        <f t="shared" si="615"/>
        <v/>
      </c>
      <c r="MI17" s="73" t="str">
        <f t="shared" si="615"/>
        <v/>
      </c>
      <c r="MJ17" s="73" t="str">
        <f t="shared" si="615"/>
        <v/>
      </c>
      <c r="MK17" s="73" t="str">
        <f t="shared" si="615"/>
        <v/>
      </c>
      <c r="ML17" s="73" t="str">
        <f t="shared" si="615"/>
        <v/>
      </c>
      <c r="MM17" s="73" t="str">
        <f t="shared" si="615"/>
        <v/>
      </c>
      <c r="MN17" s="73" t="str">
        <f t="shared" si="615"/>
        <v/>
      </c>
      <c r="MO17" s="73" t="str">
        <f t="shared" si="615"/>
        <v/>
      </c>
      <c r="MP17" s="73" t="str">
        <f t="shared" si="615"/>
        <v/>
      </c>
      <c r="MQ17" s="73" t="str">
        <f t="shared" si="615"/>
        <v/>
      </c>
      <c r="MR17" s="73" t="str">
        <f t="shared" si="615"/>
        <v/>
      </c>
      <c r="MS17" s="73" t="str">
        <f t="shared" si="615"/>
        <v/>
      </c>
      <c r="MT17" s="73" t="str">
        <f t="shared" si="615"/>
        <v/>
      </c>
      <c r="MU17" s="73" t="str">
        <f t="shared" si="615"/>
        <v/>
      </c>
      <c r="MV17" s="73" t="str">
        <f t="shared" si="615"/>
        <v/>
      </c>
      <c r="MW17" s="73" t="str">
        <f t="shared" si="615"/>
        <v/>
      </c>
      <c r="MX17" s="73" t="str">
        <f t="shared" si="615"/>
        <v/>
      </c>
      <c r="MY17" s="73" t="str">
        <f t="shared" si="615"/>
        <v/>
      </c>
      <c r="MZ17" s="73" t="str">
        <f t="shared" si="615"/>
        <v/>
      </c>
      <c r="NA17" s="73" t="str">
        <f t="shared" si="615"/>
        <v/>
      </c>
      <c r="NB17" s="73" t="str">
        <f t="shared" si="615"/>
        <v/>
      </c>
      <c r="NC17" s="73" t="str">
        <f t="shared" ref="NC17:NP17" si="619">IF(AND(NC15&lt;&gt;0,NC16&lt;&gt;0),(NC15-NC16)/NC16,IF(AND(NC15=0,NC16=0),"",IF(AND(NC15="",NC16=""),"",IF(AND(NC15=0,NC16=""),"", IF(AND(NC15="",NC16=0),"",1)))))</f>
        <v/>
      </c>
      <c r="ND17" s="73" t="str">
        <f t="shared" si="619"/>
        <v/>
      </c>
      <c r="NE17" s="73" t="str">
        <f t="shared" si="619"/>
        <v/>
      </c>
      <c r="NF17" s="73" t="str">
        <f t="shared" si="619"/>
        <v/>
      </c>
      <c r="NG17" s="73" t="str">
        <f t="shared" si="619"/>
        <v/>
      </c>
      <c r="NH17" s="73" t="str">
        <f t="shared" si="619"/>
        <v/>
      </c>
      <c r="NI17" s="73" t="str">
        <f t="shared" si="619"/>
        <v/>
      </c>
      <c r="NJ17" s="73" t="str">
        <f t="shared" si="619"/>
        <v/>
      </c>
      <c r="NK17" s="73" t="str">
        <f t="shared" si="619"/>
        <v/>
      </c>
      <c r="NL17" s="73" t="str">
        <f t="shared" si="619"/>
        <v/>
      </c>
      <c r="NM17" s="73" t="str">
        <f t="shared" si="619"/>
        <v/>
      </c>
      <c r="NN17" s="73" t="str">
        <f t="shared" si="619"/>
        <v/>
      </c>
      <c r="NO17" s="73" t="str">
        <f t="shared" si="619"/>
        <v/>
      </c>
      <c r="NP17" s="73" t="str">
        <f t="shared" si="619"/>
        <v/>
      </c>
      <c r="NQ17" s="74" t="str">
        <f t="shared" si="615"/>
        <v/>
      </c>
      <c r="NR17" s="40" t="str">
        <f t="shared" ref="NR17" si="620">IF(AND(NR15&lt;&gt;0,NR16&lt;&gt;0),(NR15-NR16)/NR16,IF(AND(NR15=0,NR16=0),"",IF(AND(NR15="",NR16=""),"",IF(AND(NR15=0,NR16=""),"", IF(AND(NR15="",NR16=0),"",1)))))</f>
        <v/>
      </c>
      <c r="NS17" s="40" t="str">
        <f t="shared" ref="NS17" si="621">IF(AND(NS15&lt;&gt;0,NS16&lt;&gt;0),(NS15-NS16)/NS16,IF(AND(NS15=0,NS16=0),"",IF(AND(NS15="",NS16=""),"",IF(AND(NS15=0,NS16=""),"", IF(AND(NS15="",NS16=0),"",1)))))</f>
        <v/>
      </c>
      <c r="NT17" s="40" t="str">
        <f t="shared" ref="NT17" si="622">IF(AND(NT15&lt;&gt;0,NT16&lt;&gt;0),(NT15-NT16)/NT16,IF(AND(NT15=0,NT16=0),"",IF(AND(NT15="",NT16=""),"",IF(AND(NT15=0,NT16=""),"", IF(AND(NT15="",NT16=0),"",1)))))</f>
        <v/>
      </c>
      <c r="NU17" s="40" t="str">
        <f t="shared" ref="NU17" si="623">IF(AND(NU15&lt;&gt;0,NU16&lt;&gt;0),(NU15-NU16)/NU16,IF(AND(NU15=0,NU16=0),"",IF(AND(NU15="",NU16=""),"",IF(AND(NU15=0,NU16=""),"", IF(AND(NU15="",NU16=0),"",1)))))</f>
        <v/>
      </c>
      <c r="NV17" s="40" t="str">
        <f t="shared" ref="NV17" si="624">IF(AND(NV15&lt;&gt;0,NV16&lt;&gt;0),(NV15-NV16)/NV16,IF(AND(NV15=0,NV16=0),"",IF(AND(NV15="",NV16=""),"",IF(AND(NV15=0,NV16=""),"", IF(AND(NV15="",NV16=0),"",1)))))</f>
        <v/>
      </c>
      <c r="NW17" s="40" t="str">
        <f t="shared" ref="NW17" si="625">IF(AND(NW15&lt;&gt;0,NW16&lt;&gt;0),(NW15-NW16)/NW16,IF(AND(NW15=0,NW16=0),"",IF(AND(NW15="",NW16=""),"",IF(AND(NW15=0,NW16=""),"", IF(AND(NW15="",NW16=0),"",1)))))</f>
        <v/>
      </c>
      <c r="NX17" s="40" t="str">
        <f t="shared" ref="NX17" si="626">IF(AND(NX15&lt;&gt;0,NX16&lt;&gt;0),(NX15-NX16)/NX16,IF(AND(NX15=0,NX16=0),"",IF(AND(NX15="",NX16=""),"",IF(AND(NX15=0,NX16=""),"", IF(AND(NX15="",NX16=0),"",1)))))</f>
        <v/>
      </c>
      <c r="NY17" s="40" t="str">
        <f t="shared" ref="NY17" si="627">IF(AND(NY15&lt;&gt;0,NY16&lt;&gt;0),(NY15-NY16)/NY16,IF(AND(NY15=0,NY16=0),"",IF(AND(NY15="",NY16=""),"",IF(AND(NY15=0,NY16=""),"", IF(AND(NY15="",NY16=0),"",1)))))</f>
        <v/>
      </c>
      <c r="NZ17" s="40" t="str">
        <f t="shared" ref="NZ17" si="628">IF(AND(NZ15&lt;&gt;0,NZ16&lt;&gt;0),(NZ15-NZ16)/NZ16,IF(AND(NZ15=0,NZ16=0),"",IF(AND(NZ15="",NZ16=""),"",IF(AND(NZ15=0,NZ16=""),"", IF(AND(NZ15="",NZ16=0),"",1)))))</f>
        <v/>
      </c>
      <c r="OA17" s="40" t="str">
        <f t="shared" ref="OA17" si="629">IF(AND(OA15&lt;&gt;0,OA16&lt;&gt;0),(OA15-OA16)/OA16,IF(AND(OA15=0,OA16=0),"",IF(AND(OA15="",OA16=""),"",IF(AND(OA15=0,OA16=""),"", IF(AND(OA15="",OA16=0),"",1)))))</f>
        <v/>
      </c>
      <c r="OB17" s="40" t="str">
        <f t="shared" ref="OB17" si="630">IF(AND(OB15&lt;&gt;0,OB16&lt;&gt;0),(OB15-OB16)/OB16,IF(AND(OB15=0,OB16=0),"",IF(AND(OB15="",OB16=""),"",IF(AND(OB15=0,OB16=""),"", IF(AND(OB15="",OB16=0),"",1)))))</f>
        <v/>
      </c>
      <c r="OC17" s="40" t="str">
        <f t="shared" ref="OC17" si="631">IF(AND(OC15&lt;&gt;0,OC16&lt;&gt;0),(OC15-OC16)/OC16,IF(AND(OC15=0,OC16=0),"",IF(AND(OC15="",OC16=""),"",IF(AND(OC15=0,OC16=""),"", IF(AND(OC15="",OC16=0),"",1)))))</f>
        <v/>
      </c>
      <c r="OD17" s="40" t="str">
        <f t="shared" ref="OD17" si="632">IF(AND(OD15&lt;&gt;0,OD16&lt;&gt;0),(OD15-OD16)/OD16,IF(AND(OD15=0,OD16=0),"",IF(AND(OD15="",OD16=""),"",IF(AND(OD15=0,OD16=""),"", IF(AND(OD15="",OD16=0),"",1)))))</f>
        <v/>
      </c>
      <c r="OE17" s="40" t="str">
        <f t="shared" ref="OE17" si="633">IF(AND(OE15&lt;&gt;0,OE16&lt;&gt;0),(OE15-OE16)/OE16,IF(AND(OE15=0,OE16=0),"",IF(AND(OE15="",OE16=""),"",IF(AND(OE15=0,OE16=""),"", IF(AND(OE15="",OE16=0),"",1)))))</f>
        <v/>
      </c>
      <c r="OF17" s="40" t="str">
        <f t="shared" ref="OF17" si="634">IF(AND(OF15&lt;&gt;0,OF16&lt;&gt;0),(OF15-OF16)/OF16,IF(AND(OF15=0,OF16=0),"",IF(AND(OF15="",OF16=""),"",IF(AND(OF15=0,OF16=""),"", IF(AND(OF15="",OF16=0),"",1)))))</f>
        <v/>
      </c>
      <c r="OG17" s="40" t="str">
        <f t="shared" ref="OG17" si="635">IF(AND(OG15&lt;&gt;0,OG16&lt;&gt;0),(OG15-OG16)/OG16,IF(AND(OG15=0,OG16=0),"",IF(AND(OG15="",OG16=""),"",IF(AND(OG15=0,OG16=""),"", IF(AND(OG15="",OG16=0),"",1)))))</f>
        <v/>
      </c>
      <c r="OH17" s="40" t="str">
        <f t="shared" ref="OH17" si="636">IF(AND(OH15&lt;&gt;0,OH16&lt;&gt;0),(OH15-OH16)/OH16,IF(AND(OH15=0,OH16=0),"",IF(AND(OH15="",OH16=""),"",IF(AND(OH15=0,OH16=""),"", IF(AND(OH15="",OH16=0),"",1)))))</f>
        <v/>
      </c>
      <c r="OI17" s="40" t="str">
        <f t="shared" ref="OI17" si="637">IF(AND(OI15&lt;&gt;0,OI16&lt;&gt;0),(OI15-OI16)/OI16,IF(AND(OI15=0,OI16=0),"",IF(AND(OI15="",OI16=""),"",IF(AND(OI15=0,OI16=""),"", IF(AND(OI15="",OI16=0),"",1)))))</f>
        <v/>
      </c>
      <c r="OJ17" s="40" t="str">
        <f t="shared" ref="OJ17" si="638">IF(AND(OJ15&lt;&gt;0,OJ16&lt;&gt;0),(OJ15-OJ16)/OJ16,IF(AND(OJ15=0,OJ16=0),"",IF(AND(OJ15="",OJ16=""),"",IF(AND(OJ15=0,OJ16=""),"", IF(AND(OJ15="",OJ16=0),"",1)))))</f>
        <v/>
      </c>
      <c r="OK17" s="40" t="str">
        <f t="shared" ref="OK17" si="639">IF(AND(OK15&lt;&gt;0,OK16&lt;&gt;0),(OK15-OK16)/OK16,IF(AND(OK15=0,OK16=0),"",IF(AND(OK15="",OK16=""),"",IF(AND(OK15=0,OK16=""),"", IF(AND(OK15="",OK16=0),"",1)))))</f>
        <v/>
      </c>
      <c r="OL17" s="40" t="str">
        <f t="shared" ref="OL17" si="640">IF(AND(OL15&lt;&gt;0,OL16&lt;&gt;0),(OL15-OL16)/OL16,IF(AND(OL15=0,OL16=0),"",IF(AND(OL15="",OL16=""),"",IF(AND(OL15=0,OL16=""),"", IF(AND(OL15="",OL16=0),"",1)))))</f>
        <v/>
      </c>
      <c r="OM17" s="40" t="str">
        <f t="shared" ref="OM17" si="641">IF(AND(OM15&lt;&gt;0,OM16&lt;&gt;0),(OM15-OM16)/OM16,IF(AND(OM15=0,OM16=0),"",IF(AND(OM15="",OM16=""),"",IF(AND(OM15=0,OM16=""),"", IF(AND(OM15="",OM16=0),"",1)))))</f>
        <v/>
      </c>
      <c r="ON17" s="40" t="str">
        <f t="shared" ref="ON17:PB17" si="642">IF(AND(ON15&lt;&gt;0,ON16&lt;&gt;0),(ON15-ON16)/ON16,IF(AND(ON15=0,ON16=0),"",IF(AND(ON15="",ON16=""),"",IF(AND(ON15=0,ON16=""),"", IF(AND(ON15="",ON16=0),"",1)))))</f>
        <v/>
      </c>
      <c r="OO17" s="40" t="str">
        <f t="shared" si="642"/>
        <v/>
      </c>
      <c r="OP17" s="40" t="str">
        <f t="shared" si="642"/>
        <v/>
      </c>
      <c r="OQ17" s="40" t="str">
        <f t="shared" si="642"/>
        <v/>
      </c>
      <c r="OR17" s="40" t="str">
        <f t="shared" si="642"/>
        <v/>
      </c>
      <c r="OS17" s="40" t="str">
        <f t="shared" si="642"/>
        <v/>
      </c>
      <c r="OT17" s="40" t="str">
        <f t="shared" si="642"/>
        <v/>
      </c>
      <c r="OU17" s="40" t="str">
        <f t="shared" si="642"/>
        <v/>
      </c>
      <c r="OV17" s="40" t="str">
        <f t="shared" si="642"/>
        <v/>
      </c>
      <c r="OW17" s="40" t="str">
        <f t="shared" si="642"/>
        <v/>
      </c>
      <c r="OX17" s="40" t="str">
        <f t="shared" si="642"/>
        <v/>
      </c>
      <c r="OY17" s="40" t="str">
        <f t="shared" si="642"/>
        <v/>
      </c>
      <c r="OZ17" s="40" t="str">
        <f t="shared" si="642"/>
        <v/>
      </c>
      <c r="PA17" s="40" t="str">
        <f t="shared" si="642"/>
        <v/>
      </c>
      <c r="PB17" s="40" t="str">
        <f t="shared" si="642"/>
        <v/>
      </c>
      <c r="PC17" s="41" t="str">
        <f t="shared" ref="PC17" si="643">IF(AND(PC15&lt;&gt;0,PC16&lt;&gt;0),(PC15-PC16)/PC16,IF(AND(PC15=0,PC16=0),"",IF(AND(PC15="",PC16=""),"",IF(AND(PC15=0,PC16=""),"", IF(AND(PC15="",PC16=0),"",1)))))</f>
        <v/>
      </c>
    </row>
    <row r="18" spans="1:419" outlineLevel="1" x14ac:dyDescent="0.3">
      <c r="A18" s="46" t="s">
        <v>108</v>
      </c>
      <c r="B18" s="14">
        <f>'[1]D-PDP'!$CB$12</f>
        <v>9277339</v>
      </c>
      <c r="C18" s="14">
        <f>'[1]D-PDP'!$CB$13</f>
        <v>8062819.5</v>
      </c>
      <c r="D18" s="14">
        <f>'[1]D-PDP'!$CB$14</f>
        <v>6317045</v>
      </c>
      <c r="E18" s="14">
        <f>'[1]D-PDP'!$CB$15</f>
        <v>4762471.5</v>
      </c>
      <c r="F18" s="14">
        <f>'[1]D-PDP'!$CB$16</f>
        <v>4033230.5</v>
      </c>
      <c r="G18" s="14">
        <f>'[1]D-PDP'!$CB$17</f>
        <v>3093849</v>
      </c>
      <c r="H18" s="14">
        <f>'[1]D-PDP'!$CB$18</f>
        <v>1553249</v>
      </c>
      <c r="I18" s="14">
        <f>'[1]D-PDP'!$CB$19</f>
        <v>598249.75</v>
      </c>
      <c r="J18" s="14">
        <f>'[1]D-PDP'!$CB$20</f>
        <v>290703.3125</v>
      </c>
      <c r="K18" s="14">
        <f>'[1]D-PDP'!$CB$21</f>
        <v>73080.4609375</v>
      </c>
      <c r="L18" s="14">
        <f>'[1]D-PDP'!$CB$22</f>
        <v>42200.5</v>
      </c>
      <c r="M18" s="14">
        <f>'[1]D-PDP'!$CB$23</f>
        <v>0</v>
      </c>
      <c r="N18" s="14">
        <f>'[1]D-PDP'!$CB$24</f>
        <v>0</v>
      </c>
      <c r="O18" s="14">
        <f>'[1]D-PDP'!$CB$25</f>
        <v>0</v>
      </c>
      <c r="P18" s="14">
        <f>'[1]D-PDP'!$CB$26</f>
        <v>0</v>
      </c>
      <c r="Q18" s="14">
        <f>'[1]D-PDP'!$CB$27</f>
        <v>0</v>
      </c>
      <c r="R18" s="14">
        <f>'[1]D-PDP'!$CB$28</f>
        <v>0</v>
      </c>
      <c r="S18" s="14">
        <f>'[1]D-PDP'!$CB$29</f>
        <v>0</v>
      </c>
      <c r="T18" s="14">
        <f>'[1]D-PDP'!$CB$30</f>
        <v>0</v>
      </c>
      <c r="U18" s="14">
        <f>'[1]D-PDP'!$CB$31</f>
        <v>0</v>
      </c>
      <c r="V18" s="14">
        <f>'[1]D-PDP'!$CB$32</f>
        <v>0</v>
      </c>
      <c r="W18" s="14">
        <f>'[1]D-PDP'!$CB$33</f>
        <v>0</v>
      </c>
      <c r="X18" s="14">
        <f>'[1]D-PDP'!$CB$34</f>
        <v>0</v>
      </c>
      <c r="Y18" s="14">
        <f>'[1]D-PDP'!$CB$35</f>
        <v>0</v>
      </c>
      <c r="Z18" s="14">
        <f>'[1]D-PDP'!$CB$36</f>
        <v>0</v>
      </c>
      <c r="AA18" s="14">
        <f>'[1]D-PDP'!$CB$37</f>
        <v>0</v>
      </c>
      <c r="AB18" s="14">
        <f>'[1]D-PDP'!$CB$38</f>
        <v>0</v>
      </c>
      <c r="AC18" s="14">
        <f>'[1]D-PDP'!$CB$39</f>
        <v>0</v>
      </c>
      <c r="AD18" s="14">
        <f>'[1]D-PDP'!$CB$40</f>
        <v>0</v>
      </c>
      <c r="AE18" s="14">
        <f>'[1]D-PDP'!$CB$41</f>
        <v>0</v>
      </c>
      <c r="AF18" s="14">
        <f>'[1]D-PDP'!$CB$42</f>
        <v>0</v>
      </c>
      <c r="AG18" s="14">
        <f>'[1]D-PDP'!$CB$43</f>
        <v>0</v>
      </c>
      <c r="AH18" s="14">
        <f>'[1]D-PDP'!$CB$44</f>
        <v>0</v>
      </c>
      <c r="AI18" s="14">
        <f>'[1]D-PDP'!$CB$45</f>
        <v>0</v>
      </c>
      <c r="AJ18" s="14">
        <f>'[1]D-PDP'!$CB$46</f>
        <v>0</v>
      </c>
      <c r="AK18" s="14">
        <f>'[1]D-PDP'!$CB$47</f>
        <v>0</v>
      </c>
      <c r="AL18" s="14">
        <f>'[1]D-PDP'!$CB$48</f>
        <v>0</v>
      </c>
      <c r="AM18" s="16">
        <f>SUM(B18:AL18)</f>
        <v>38104237.5234375</v>
      </c>
      <c r="AN18" s="28">
        <f>'[1]D-PNP'!$CB$12</f>
        <v>288119.59375</v>
      </c>
      <c r="AO18" s="14">
        <f>'[1]D-PNP'!$CB$13</f>
        <v>381975</v>
      </c>
      <c r="AP18" s="14">
        <f>'[1]D-PNP'!$CB$14</f>
        <v>595586.0625</v>
      </c>
      <c r="AQ18" s="14">
        <f>'[1]D-PNP'!$CB$15</f>
        <v>591200.5625</v>
      </c>
      <c r="AR18" s="14">
        <f>'[1]D-PNP'!$CB$16</f>
        <v>531416.3125</v>
      </c>
      <c r="AS18" s="14">
        <f>'[1]D-PNP'!$CB$17</f>
        <v>527330.75</v>
      </c>
      <c r="AT18" s="14">
        <f>'[1]D-PNP'!$CB$18</f>
        <v>411182.84375</v>
      </c>
      <c r="AU18" s="14">
        <f>'[1]D-PNP'!$CB$19</f>
        <v>320111.53125</v>
      </c>
      <c r="AV18" s="14">
        <f>'[1]D-PNP'!$CB$20</f>
        <v>159335.265625</v>
      </c>
      <c r="AW18" s="14">
        <f>'[1]D-PNP'!$CB$21</f>
        <v>0</v>
      </c>
      <c r="AX18" s="14">
        <f>'[1]D-PNP'!$CB$22</f>
        <v>0</v>
      </c>
      <c r="AY18" s="14">
        <f>'[1]D-PNP'!$CB$23</f>
        <v>0</v>
      </c>
      <c r="AZ18" s="14">
        <f>'[1]D-PNP'!$CB$24</f>
        <v>0</v>
      </c>
      <c r="BA18" s="14">
        <f>'[1]D-PNP'!$CB$25</f>
        <v>0</v>
      </c>
      <c r="BB18" s="14">
        <f>'[1]D-PNP'!$CB$26</f>
        <v>0</v>
      </c>
      <c r="BC18" s="14">
        <f>'[1]D-PNP'!$CB$27</f>
        <v>0</v>
      </c>
      <c r="BD18" s="14">
        <f>'[1]D-PNP'!$CB$28</f>
        <v>0</v>
      </c>
      <c r="BE18" s="14">
        <f>'[1]D-PNP'!$CB$29</f>
        <v>0</v>
      </c>
      <c r="BF18" s="14">
        <f>'[1]D-PNP'!$CB$30</f>
        <v>0</v>
      </c>
      <c r="BG18" s="14">
        <f>'[1]D-PNP'!$CB$31</f>
        <v>0</v>
      </c>
      <c r="BH18" s="14">
        <f>'[1]D-PNP'!$CB$32</f>
        <v>0</v>
      </c>
      <c r="BI18" s="14">
        <f>'[1]D-PNP'!$CB$33</f>
        <v>0</v>
      </c>
      <c r="BJ18" s="14">
        <f>'[1]D-PNP'!$CB$34</f>
        <v>0</v>
      </c>
      <c r="BK18" s="14">
        <f>'[1]D-PNP'!$CB$35</f>
        <v>0</v>
      </c>
      <c r="BL18" s="14">
        <f>'[1]D-PNP'!$CB$36</f>
        <v>0</v>
      </c>
      <c r="BM18" s="14">
        <f>'[1]D-PNP'!$CB$37</f>
        <v>0</v>
      </c>
      <c r="BN18" s="14">
        <f>'[1]D-PNP'!$CB$38</f>
        <v>0</v>
      </c>
      <c r="BO18" s="14">
        <f>'[1]D-PNP'!$CB$39</f>
        <v>0</v>
      </c>
      <c r="BP18" s="14">
        <f>'[1]D-PNP'!$CB$40</f>
        <v>0</v>
      </c>
      <c r="BQ18" s="14">
        <f>'[1]D-PNP'!$CB$41</f>
        <v>0</v>
      </c>
      <c r="BR18" s="14">
        <f>'[1]D-PNP'!$CB$42</f>
        <v>0</v>
      </c>
      <c r="BS18" s="14">
        <f>'[1]D-PNP'!$CB$43</f>
        <v>0</v>
      </c>
      <c r="BT18" s="14">
        <f>'[1]D-PNP'!$CB$44</f>
        <v>0</v>
      </c>
      <c r="BU18" s="14">
        <f>'[1]D-PNP'!$CB$45</f>
        <v>0</v>
      </c>
      <c r="BV18" s="14">
        <f>'[1]D-PNP'!$CB$46</f>
        <v>0</v>
      </c>
      <c r="BW18" s="14">
        <f>'[1]D-PNP'!$CB$47</f>
        <v>0</v>
      </c>
      <c r="BX18" s="14">
        <f>'[1]D-PNP'!$CB$48</f>
        <v>0</v>
      </c>
      <c r="BY18" s="16">
        <f>SUM(AN18:BX18)</f>
        <v>3806257.921875</v>
      </c>
      <c r="BZ18" s="28">
        <f>'[1]D-PND'!$CB$12</f>
        <v>546250.8125</v>
      </c>
      <c r="CA18" s="14">
        <f>'[1]D-PND'!$CB$13</f>
        <v>819265.5</v>
      </c>
      <c r="CB18" s="14">
        <f>'[1]D-PND'!$CB$14</f>
        <v>848822.375</v>
      </c>
      <c r="CC18" s="14">
        <f>'[1]D-PND'!$CB$15</f>
        <v>849999.25</v>
      </c>
      <c r="CD18" s="14">
        <f>'[1]D-PND'!$CB$16</f>
        <v>1857095.875</v>
      </c>
      <c r="CE18" s="14">
        <f>'[1]D-PND'!$CB$17</f>
        <v>3151252.75</v>
      </c>
      <c r="CF18" s="14">
        <f>'[1]D-PND'!$CB$18</f>
        <v>4192151</v>
      </c>
      <c r="CG18" s="14">
        <f>'[1]D-PND'!$CB$19</f>
        <v>4167254</v>
      </c>
      <c r="CH18" s="14">
        <f>'[1]D-PND'!$CB$20</f>
        <v>3854339</v>
      </c>
      <c r="CI18" s="14">
        <f>'[1]D-PND'!$CB$21</f>
        <v>3417923.25</v>
      </c>
      <c r="CJ18" s="14">
        <f>'[1]D-PND'!$CB$22</f>
        <v>1654124.125</v>
      </c>
      <c r="CK18" s="14">
        <f>'[1]D-PND'!$CB$23</f>
        <v>0</v>
      </c>
      <c r="CL18" s="14">
        <f>'[1]D-PND'!$CB$24</f>
        <v>0</v>
      </c>
      <c r="CM18" s="14">
        <f>'[1]D-PND'!$CB$25</f>
        <v>0</v>
      </c>
      <c r="CN18" s="14">
        <f>'[1]D-PND'!$CB$26</f>
        <v>0</v>
      </c>
      <c r="CO18" s="14">
        <f>'[1]D-PND'!$CB$27</f>
        <v>0</v>
      </c>
      <c r="CP18" s="14">
        <f>'[1]D-PND'!$CB$28</f>
        <v>0</v>
      </c>
      <c r="CQ18" s="14">
        <f>'[1]D-PND'!$CB$29</f>
        <v>0</v>
      </c>
      <c r="CR18" s="14">
        <f>'[1]D-PND'!$CB$30</f>
        <v>0</v>
      </c>
      <c r="CS18" s="14">
        <f>'[1]D-PND'!$CB$31</f>
        <v>0</v>
      </c>
      <c r="CT18" s="14">
        <f>'[1]D-PND'!$CB$32</f>
        <v>0</v>
      </c>
      <c r="CU18" s="14">
        <f>'[1]D-PND'!$CB$33</f>
        <v>0</v>
      </c>
      <c r="CV18" s="14">
        <f>'[1]D-PND'!$CB$34</f>
        <v>0</v>
      </c>
      <c r="CW18" s="14">
        <f>'[1]D-PND'!$CB$35</f>
        <v>0</v>
      </c>
      <c r="CX18" s="14">
        <f>'[1]D-PND'!$CB$36</f>
        <v>0</v>
      </c>
      <c r="CY18" s="14">
        <f>'[1]D-PND'!$CB$37</f>
        <v>0</v>
      </c>
      <c r="CZ18" s="14">
        <f>'[1]D-PND'!$CB$38</f>
        <v>0</v>
      </c>
      <c r="DA18" s="14">
        <f>'[1]D-PND'!$CB$39</f>
        <v>0</v>
      </c>
      <c r="DB18" s="14">
        <f>'[1]D-PND'!$CB$40</f>
        <v>0</v>
      </c>
      <c r="DC18" s="14">
        <f>'[1]D-PND'!$CB$41</f>
        <v>0</v>
      </c>
      <c r="DD18" s="14">
        <f>'[1]D-PND'!$CB$42</f>
        <v>0</v>
      </c>
      <c r="DE18" s="14">
        <f>'[1]D-PND'!$CB$43</f>
        <v>0</v>
      </c>
      <c r="DF18" s="14">
        <f>'[1]D-PND'!$CB$44</f>
        <v>0</v>
      </c>
      <c r="DG18" s="14">
        <f>'[1]D-PND'!$CB$45</f>
        <v>0</v>
      </c>
      <c r="DH18" s="14">
        <f>'[1]D-PND'!$CB$46</f>
        <v>0</v>
      </c>
      <c r="DI18" s="14">
        <f>'[1]D-PND'!$CB$47</f>
        <v>0</v>
      </c>
      <c r="DJ18" s="14">
        <f>'[1]D-PND'!$CB$48</f>
        <v>0</v>
      </c>
      <c r="DK18" s="16">
        <f>SUM(BZ18:DJ18)</f>
        <v>25358477.9375</v>
      </c>
      <c r="DL18" s="66"/>
      <c r="DM18" s="67"/>
      <c r="DN18" s="67"/>
      <c r="DO18" s="67"/>
      <c r="DP18" s="67"/>
      <c r="DQ18" s="67"/>
      <c r="DR18" s="67"/>
      <c r="DS18" s="67"/>
      <c r="DT18" s="67"/>
      <c r="DU18" s="67"/>
      <c r="DV18" s="67"/>
      <c r="DW18" s="67"/>
      <c r="DX18" s="67"/>
      <c r="DY18" s="67"/>
      <c r="DZ18" s="67"/>
      <c r="EA18" s="67"/>
      <c r="EB18" s="67"/>
      <c r="EC18" s="67"/>
      <c r="ED18" s="67"/>
      <c r="EE18" s="67"/>
      <c r="EF18" s="67"/>
      <c r="EG18" s="67"/>
      <c r="EH18" s="67"/>
      <c r="EI18" s="67"/>
      <c r="EJ18" s="67"/>
      <c r="EK18" s="67"/>
      <c r="EL18" s="67"/>
      <c r="EM18" s="67"/>
      <c r="EN18" s="67"/>
      <c r="EO18" s="67"/>
      <c r="EP18" s="67"/>
      <c r="EQ18" s="67"/>
      <c r="ER18" s="67"/>
      <c r="ES18" s="67"/>
      <c r="ET18" s="67"/>
      <c r="EU18" s="67"/>
      <c r="EV18" s="67"/>
      <c r="EW18" s="68">
        <f>SUM(DL18:EV18)</f>
        <v>0</v>
      </c>
      <c r="EX18" s="66"/>
      <c r="EY18" s="67"/>
      <c r="EZ18" s="67"/>
      <c r="FA18" s="67"/>
      <c r="FB18" s="67"/>
      <c r="FC18" s="67"/>
      <c r="FD18" s="67"/>
      <c r="FE18" s="67"/>
      <c r="FF18" s="67"/>
      <c r="FG18" s="67"/>
      <c r="FH18" s="67"/>
      <c r="FI18" s="67"/>
      <c r="FJ18" s="67"/>
      <c r="FK18" s="67"/>
      <c r="FL18" s="67"/>
      <c r="FM18" s="67"/>
      <c r="FN18" s="67"/>
      <c r="FO18" s="67"/>
      <c r="FP18" s="67"/>
      <c r="FQ18" s="67"/>
      <c r="FR18" s="67"/>
      <c r="FS18" s="67"/>
      <c r="FT18" s="67"/>
      <c r="FU18" s="67"/>
      <c r="FV18" s="67"/>
      <c r="FW18" s="67"/>
      <c r="FX18" s="67"/>
      <c r="FY18" s="67"/>
      <c r="FZ18" s="67"/>
      <c r="GA18" s="67"/>
      <c r="GB18" s="67"/>
      <c r="GC18" s="67"/>
      <c r="GD18" s="67"/>
      <c r="GE18" s="67"/>
      <c r="GF18" s="67"/>
      <c r="GG18" s="67"/>
      <c r="GH18" s="67"/>
      <c r="GI18" s="68">
        <f>SUM(EX18:GH18)</f>
        <v>0</v>
      </c>
      <c r="GJ18" s="66"/>
      <c r="GK18" s="67"/>
      <c r="GL18" s="67"/>
      <c r="GM18" s="67"/>
      <c r="GN18" s="67"/>
      <c r="GO18" s="67"/>
      <c r="GP18" s="67"/>
      <c r="GQ18" s="67"/>
      <c r="GR18" s="67"/>
      <c r="GS18" s="67"/>
      <c r="GT18" s="67"/>
      <c r="GU18" s="67"/>
      <c r="GV18" s="67"/>
      <c r="GW18" s="67"/>
      <c r="GX18" s="67"/>
      <c r="GY18" s="67"/>
      <c r="GZ18" s="67"/>
      <c r="HA18" s="67"/>
      <c r="HB18" s="67"/>
      <c r="HC18" s="67"/>
      <c r="HD18" s="67"/>
      <c r="HE18" s="67"/>
      <c r="HF18" s="67"/>
      <c r="HG18" s="67"/>
      <c r="HH18" s="67"/>
      <c r="HI18" s="67"/>
      <c r="HJ18" s="67"/>
      <c r="HK18" s="67"/>
      <c r="HL18" s="67"/>
      <c r="HM18" s="67"/>
      <c r="HN18" s="67"/>
      <c r="HO18" s="67"/>
      <c r="HP18" s="67"/>
      <c r="HQ18" s="67"/>
      <c r="HR18" s="67"/>
      <c r="HS18" s="67"/>
      <c r="HT18" s="67"/>
      <c r="HU18" s="68">
        <f>SUM(GJ18:HT18)</f>
        <v>0</v>
      </c>
      <c r="HV18" s="28">
        <f>'[1]D-PRB'!$CB$12</f>
        <v>570828.3125</v>
      </c>
      <c r="HW18" s="14">
        <f>'[1]D-PRB'!$CB$13</f>
        <v>622204.5625</v>
      </c>
      <c r="HX18" s="14">
        <f>'[1]D-PRB'!$CB$14</f>
        <v>654859.875</v>
      </c>
      <c r="HY18" s="14">
        <f>'[1]D-PRB'!$CB$15</f>
        <v>798011.75</v>
      </c>
      <c r="HZ18" s="14">
        <f>'[1]D-PRB'!$CB$16</f>
        <v>799486.8125</v>
      </c>
      <c r="IA18" s="14">
        <f>'[1]D-PRB'!$CB$17</f>
        <v>809864.4375</v>
      </c>
      <c r="IB18" s="14">
        <f>'[1]D-PRB'!$CB$18</f>
        <v>722793.0625</v>
      </c>
      <c r="IC18" s="14">
        <f>'[1]D-PRB'!$CB$19</f>
        <v>407227.03125</v>
      </c>
      <c r="ID18" s="14">
        <f>'[1]D-PRB'!$CB$20</f>
        <v>272101.90625</v>
      </c>
      <c r="IE18" s="14">
        <f>'[1]D-PRB'!$CB$21</f>
        <v>83991.390625</v>
      </c>
      <c r="IF18" s="14">
        <f>'[1]D-PRB'!$CB$22</f>
        <v>48560.5625</v>
      </c>
      <c r="IG18" s="14">
        <f>'[1]D-PRB'!$CB$23</f>
        <v>0</v>
      </c>
      <c r="IH18" s="14">
        <f>'[1]D-PRB'!$CB$24</f>
        <v>0</v>
      </c>
      <c r="II18" s="14">
        <f>'[1]D-PRB'!$CB$25</f>
        <v>0</v>
      </c>
      <c r="IJ18" s="14">
        <f>'[1]D-PRB'!$CB$26</f>
        <v>0</v>
      </c>
      <c r="IK18" s="14">
        <f>'[1]D-PRB'!$CB$27</f>
        <v>0</v>
      </c>
      <c r="IL18" s="14">
        <f>'[1]D-PRB'!$CB$28</f>
        <v>0</v>
      </c>
      <c r="IM18" s="14">
        <f>'[1]D-PRB'!$CB$29</f>
        <v>0</v>
      </c>
      <c r="IN18" s="14">
        <f>'[1]D-PRB'!$CB$30</f>
        <v>0</v>
      </c>
      <c r="IO18" s="14">
        <f>'[1]D-PRB'!$CB$31</f>
        <v>0</v>
      </c>
      <c r="IP18" s="14">
        <f>'[1]D-PRB'!$CB$32</f>
        <v>0</v>
      </c>
      <c r="IQ18" s="14">
        <f>'[1]D-PRB'!$CB$33</f>
        <v>0</v>
      </c>
      <c r="IR18" s="14">
        <f>'[1]D-PRB'!$CB$34</f>
        <v>0</v>
      </c>
      <c r="IS18" s="14">
        <f>'[1]D-PRB'!$CB$35</f>
        <v>0</v>
      </c>
      <c r="IT18" s="14">
        <f>'[1]D-PRB'!$CB$36</f>
        <v>0</v>
      </c>
      <c r="IU18" s="14">
        <f>'[1]D-PRB'!$CB$37</f>
        <v>0</v>
      </c>
      <c r="IV18" s="14">
        <f>'[1]D-PRB'!$CB$38</f>
        <v>0</v>
      </c>
      <c r="IW18" s="14">
        <f>'[1]D-PRB'!$CB$39</f>
        <v>0</v>
      </c>
      <c r="IX18" s="14">
        <f>'[1]D-PRB'!$CB$40</f>
        <v>0</v>
      </c>
      <c r="IY18" s="14">
        <f>'[1]D-PRB'!$CB$41</f>
        <v>0</v>
      </c>
      <c r="IZ18" s="14">
        <f>'[1]D-PRB'!$CB$42</f>
        <v>0</v>
      </c>
      <c r="JA18" s="14">
        <f>'[1]D-PRB'!$CB$43</f>
        <v>0</v>
      </c>
      <c r="JB18" s="14">
        <f>'[1]D-PRB'!$CB$44</f>
        <v>0</v>
      </c>
      <c r="JC18" s="14">
        <f>'[1]D-PRB'!$CB$45</f>
        <v>0</v>
      </c>
      <c r="JD18" s="14">
        <f>'[1]D-PRB'!$CB$46</f>
        <v>0</v>
      </c>
      <c r="JE18" s="14">
        <f>'[1]D-PRB'!$CB$47</f>
        <v>0</v>
      </c>
      <c r="JF18" s="14">
        <f>'[1]D-PRB'!$CB$48</f>
        <v>0</v>
      </c>
      <c r="JG18" s="16">
        <f>SUM(HV18:JF18)</f>
        <v>5789929.703125</v>
      </c>
      <c r="JH18" s="66"/>
      <c r="JI18" s="67"/>
      <c r="JJ18" s="67"/>
      <c r="JK18" s="67"/>
      <c r="JL18" s="67"/>
      <c r="JM18" s="67"/>
      <c r="JN18" s="67"/>
      <c r="JO18" s="67"/>
      <c r="JP18" s="67"/>
      <c r="JQ18" s="67"/>
      <c r="JR18" s="67"/>
      <c r="JS18" s="67"/>
      <c r="JT18" s="67"/>
      <c r="JU18" s="67"/>
      <c r="JV18" s="67"/>
      <c r="JW18" s="67"/>
      <c r="JX18" s="67"/>
      <c r="JY18" s="67"/>
      <c r="JZ18" s="67"/>
      <c r="KA18" s="67"/>
      <c r="KB18" s="67"/>
      <c r="KC18" s="67"/>
      <c r="KD18" s="67"/>
      <c r="KE18" s="67"/>
      <c r="KF18" s="67"/>
      <c r="KG18" s="67"/>
      <c r="KH18" s="67"/>
      <c r="KI18" s="67"/>
      <c r="KJ18" s="67"/>
      <c r="KK18" s="67"/>
      <c r="KL18" s="67"/>
      <c r="KM18" s="67"/>
      <c r="KN18" s="67"/>
      <c r="KO18" s="67"/>
      <c r="KP18" s="67"/>
      <c r="KQ18" s="67"/>
      <c r="KR18" s="67"/>
      <c r="KS18" s="68">
        <f>SUM(JH18:KR18)</f>
        <v>0</v>
      </c>
      <c r="KT18" s="66"/>
      <c r="KU18" s="67"/>
      <c r="KV18" s="67"/>
      <c r="KW18" s="67"/>
      <c r="KX18" s="67"/>
      <c r="KY18" s="67"/>
      <c r="KZ18" s="67"/>
      <c r="LA18" s="67"/>
      <c r="LB18" s="67"/>
      <c r="LC18" s="67"/>
      <c r="LD18" s="67"/>
      <c r="LE18" s="67"/>
      <c r="LF18" s="67"/>
      <c r="LG18" s="67"/>
      <c r="LH18" s="67"/>
      <c r="LI18" s="67"/>
      <c r="LJ18" s="67"/>
      <c r="LK18" s="67"/>
      <c r="LL18" s="67"/>
      <c r="LM18" s="67"/>
      <c r="LN18" s="67"/>
      <c r="LO18" s="67"/>
      <c r="LP18" s="67"/>
      <c r="LQ18" s="67"/>
      <c r="LR18" s="67"/>
      <c r="LS18" s="67"/>
      <c r="LT18" s="67"/>
      <c r="LU18" s="67"/>
      <c r="LV18" s="67"/>
      <c r="LW18" s="67"/>
      <c r="LX18" s="67"/>
      <c r="LY18" s="67"/>
      <c r="LZ18" s="67"/>
      <c r="MA18" s="67"/>
      <c r="MB18" s="67"/>
      <c r="MC18" s="67"/>
      <c r="MD18" s="67"/>
      <c r="ME18" s="68">
        <f>SUM(KT18:MD18)</f>
        <v>0</v>
      </c>
      <c r="MF18" s="66"/>
      <c r="MG18" s="67"/>
      <c r="MH18" s="67"/>
      <c r="MI18" s="67"/>
      <c r="MJ18" s="67"/>
      <c r="MK18" s="67"/>
      <c r="ML18" s="67"/>
      <c r="MM18" s="67"/>
      <c r="MN18" s="67"/>
      <c r="MO18" s="67"/>
      <c r="MP18" s="67"/>
      <c r="MQ18" s="67"/>
      <c r="MR18" s="67"/>
      <c r="MS18" s="67"/>
      <c r="MT18" s="67"/>
      <c r="MU18" s="67"/>
      <c r="MV18" s="67"/>
      <c r="MW18" s="67"/>
      <c r="MX18" s="67"/>
      <c r="MY18" s="67"/>
      <c r="MZ18" s="67"/>
      <c r="NA18" s="67"/>
      <c r="NB18" s="67"/>
      <c r="NC18" s="67"/>
      <c r="ND18" s="67"/>
      <c r="NE18" s="67"/>
      <c r="NF18" s="67"/>
      <c r="NG18" s="67"/>
      <c r="NH18" s="67"/>
      <c r="NI18" s="67"/>
      <c r="NJ18" s="67"/>
      <c r="NK18" s="67"/>
      <c r="NL18" s="67"/>
      <c r="NM18" s="67"/>
      <c r="NN18" s="67"/>
      <c r="NO18" s="67"/>
      <c r="NP18" s="67"/>
      <c r="NQ18" s="68">
        <f>SUM(MF18:NP18)</f>
        <v>0</v>
      </c>
      <c r="NR18" s="14">
        <f>'[1]D-PS'!$CB$12</f>
        <v>254572.875</v>
      </c>
      <c r="NS18" s="14">
        <f>'[1]D-PS'!$CB$13</f>
        <v>329843.125</v>
      </c>
      <c r="NT18" s="14">
        <f>'[1]D-PS'!$CB$14</f>
        <v>325259.53125</v>
      </c>
      <c r="NU18" s="14">
        <f>'[1]D-PS'!$CB$15</f>
        <v>315155.03125</v>
      </c>
      <c r="NV18" s="14">
        <f>'[1]D-PS'!$CB$16</f>
        <v>305212.40625</v>
      </c>
      <c r="NW18" s="14">
        <f>'[1]D-PS'!$CB$17</f>
        <v>289721.125</v>
      </c>
      <c r="NX18" s="14">
        <f>'[1]D-PS'!$CB$18</f>
        <v>0</v>
      </c>
      <c r="NY18" s="14">
        <f>'[1]D-PS'!$CB$19</f>
        <v>16966.521484375</v>
      </c>
      <c r="NZ18" s="14">
        <f>'[1]D-PS'!$CB$20</f>
        <v>24543.42578125</v>
      </c>
      <c r="OA18" s="14">
        <f>'[1]D-PS'!$CB$21</f>
        <v>20717.986328125</v>
      </c>
      <c r="OB18" s="14">
        <f>'[1]D-PS'!$CB$22</f>
        <v>4886.29150390625</v>
      </c>
      <c r="OC18" s="14">
        <f>'[1]D-PS'!$CB$23</f>
        <v>0</v>
      </c>
      <c r="OD18" s="14">
        <f>'[1]D-PS'!$CB$24</f>
        <v>0</v>
      </c>
      <c r="OE18" s="14">
        <f>'[1]D-PS'!$CB$25</f>
        <v>0</v>
      </c>
      <c r="OF18" s="14">
        <f>'[1]D-PS'!$CB$26</f>
        <v>0</v>
      </c>
      <c r="OG18" s="14">
        <f>'[1]D-PS'!$CB$27</f>
        <v>0</v>
      </c>
      <c r="OH18" s="14">
        <f>'[1]D-PS'!$CB$28</f>
        <v>0</v>
      </c>
      <c r="OI18" s="14">
        <f>'[1]D-PS'!$CB$29</f>
        <v>0</v>
      </c>
      <c r="OJ18" s="14">
        <f>'[1]D-PS'!$CB$30</f>
        <v>0</v>
      </c>
      <c r="OK18" s="14">
        <f>'[1]D-PS'!$CB$31</f>
        <v>0</v>
      </c>
      <c r="OL18" s="14">
        <f>'[1]D-PS'!$CB$32</f>
        <v>0</v>
      </c>
      <c r="OM18" s="14">
        <f>'[1]D-PS'!$CB$33</f>
        <v>0</v>
      </c>
      <c r="ON18" s="14">
        <f>'[1]D-PS'!$CB$34</f>
        <v>0</v>
      </c>
      <c r="OO18" s="14">
        <f>'[1]D-PS'!$CB$35</f>
        <v>0</v>
      </c>
      <c r="OP18" s="14">
        <f>'[1]D-PS'!$CB$36</f>
        <v>0</v>
      </c>
      <c r="OQ18" s="14">
        <f>'[1]D-PS'!$CB$37</f>
        <v>0</v>
      </c>
      <c r="OR18" s="14">
        <f>'[1]D-PS'!$CB$38</f>
        <v>0</v>
      </c>
      <c r="OS18" s="14">
        <f>'[1]D-PS'!$CB$39</f>
        <v>0</v>
      </c>
      <c r="OT18" s="14">
        <f>'[1]D-PS'!$CB$40</f>
        <v>0</v>
      </c>
      <c r="OU18" s="14">
        <f>'[1]D-PS'!$CB$41</f>
        <v>0</v>
      </c>
      <c r="OV18" s="14">
        <f>'[1]D-PS'!$CB$42</f>
        <v>0</v>
      </c>
      <c r="OW18" s="14">
        <f>'[1]D-PS'!$CB$43</f>
        <v>0</v>
      </c>
      <c r="OX18" s="14">
        <f>'[1]D-PS'!$CB$44</f>
        <v>0</v>
      </c>
      <c r="OY18" s="14">
        <f>'[1]D-PS'!$CB$45</f>
        <v>0</v>
      </c>
      <c r="OZ18" s="14">
        <f>'[1]D-PS'!$CB$46</f>
        <v>0</v>
      </c>
      <c r="PA18" s="14">
        <f>'[1]D-PS'!$CB$47</f>
        <v>0</v>
      </c>
      <c r="PB18" s="14">
        <f>'[1]D-PS'!$CB$48</f>
        <v>0</v>
      </c>
      <c r="PC18" s="16">
        <f>SUM(NR18:PB18)</f>
        <v>1886878.3188476563</v>
      </c>
    </row>
    <row r="19" spans="1:419" outlineLevel="1" x14ac:dyDescent="0.3">
      <c r="A19" s="46" t="s">
        <v>109</v>
      </c>
      <c r="B19" s="25">
        <f>'[2]CF PDP'!$BY$36</f>
        <v>9289488</v>
      </c>
      <c r="C19" s="25">
        <f>'[2]CF PDP'!$BY$37</f>
        <v>8102343</v>
      </c>
      <c r="D19" s="25">
        <f>'[2]CF PDP'!$BY$38</f>
        <v>6386783</v>
      </c>
      <c r="E19" s="25">
        <f>'[2]CF PDP'!$BY$39</f>
        <v>4795167</v>
      </c>
      <c r="F19" s="25">
        <f>'[2]CF PDP'!$BY$40</f>
        <v>4071571</v>
      </c>
      <c r="G19" s="25">
        <f>'[2]CF PDP'!$BY$41</f>
        <v>3151843</v>
      </c>
      <c r="H19" s="25">
        <f>'[2]CF PDP'!$BY$42</f>
        <v>0</v>
      </c>
      <c r="I19" s="25">
        <f>'[2]CF PDP'!$BY$43</f>
        <v>0</v>
      </c>
      <c r="J19" s="25">
        <f>'[2]CF PDP'!$BY$44</f>
        <v>0</v>
      </c>
      <c r="K19" s="25">
        <f>'[2]CF PDP'!$BY$45</f>
        <v>0</v>
      </c>
      <c r="L19" s="25">
        <f>'[2]CF PDP'!$BY$46</f>
        <v>0</v>
      </c>
      <c r="M19" s="25">
        <f>'[2]CF PDP'!$BY$47</f>
        <v>0</v>
      </c>
      <c r="N19" s="25">
        <f>'[2]CF PDP'!$BY$48</f>
        <v>0</v>
      </c>
      <c r="O19" s="25">
        <f>'[2]CF PDP'!$BY$49</f>
        <v>0</v>
      </c>
      <c r="P19" s="25">
        <f>'[2]CF PDP'!$BY$50</f>
        <v>0</v>
      </c>
      <c r="Q19" s="25">
        <f>'[2]CF PDP'!$BY$51</f>
        <v>0</v>
      </c>
      <c r="R19" s="25">
        <f>'[2]CF PDP'!$BY$52</f>
        <v>0</v>
      </c>
      <c r="S19" s="25">
        <f>'[2]CF PDP'!$BY$53</f>
        <v>0</v>
      </c>
      <c r="T19" s="25">
        <f>'[2]CF PDP'!$BY$54</f>
        <v>0</v>
      </c>
      <c r="U19" s="25">
        <f>'[2]CF PDP'!$BY$55</f>
        <v>0</v>
      </c>
      <c r="V19" s="25">
        <f>'[2]CF PDP'!$BY$56</f>
        <v>0</v>
      </c>
      <c r="W19" s="25">
        <f>'[2]CF PDP'!$BY$57</f>
        <v>0</v>
      </c>
      <c r="X19" s="25">
        <f>'[2]CF PDP'!$BY$58</f>
        <v>0</v>
      </c>
      <c r="Y19" s="25">
        <f>'[2]CF PDP'!$BY$59</f>
        <v>0</v>
      </c>
      <c r="Z19" s="25">
        <f>'[2]CF PDP'!$BY$60</f>
        <v>0</v>
      </c>
      <c r="AA19" s="25">
        <f>'[2]CF PDP'!$BY$61</f>
        <v>0</v>
      </c>
      <c r="AB19" s="25">
        <f>'[2]CF PDP'!$BY$62</f>
        <v>0</v>
      </c>
      <c r="AC19" s="25">
        <f>'[2]CF PDP'!$BY$63</f>
        <v>0</v>
      </c>
      <c r="AD19" s="25">
        <f>'[2]CF PDP'!$BY$64</f>
        <v>0</v>
      </c>
      <c r="AE19" s="25">
        <f>'[2]CF PDP'!$BY$65</f>
        <v>0</v>
      </c>
      <c r="AF19" s="25">
        <f>'[2]CF PDP'!$BY$66</f>
        <v>0</v>
      </c>
      <c r="AG19" s="25">
        <f>'[2]CF PDP'!$BY$67</f>
        <v>0</v>
      </c>
      <c r="AH19" s="25">
        <f>'[2]CF PDP'!$BY$68</f>
        <v>0</v>
      </c>
      <c r="AI19" s="25">
        <f>'[2]CF PDP'!$BY$69</f>
        <v>0</v>
      </c>
      <c r="AJ19" s="25">
        <f>'[2]CF PDP'!$BY$70</f>
        <v>0</v>
      </c>
      <c r="AK19" s="25">
        <f>'[2]CF PDP'!$BY$71</f>
        <v>0</v>
      </c>
      <c r="AL19" s="25">
        <f>'[2]CF PDP'!$BY$72</f>
        <v>0</v>
      </c>
      <c r="AM19" s="26">
        <f>SUM(B19:AL19)</f>
        <v>35797195</v>
      </c>
      <c r="AN19" s="27">
        <f>'[2]CF PNP'!$BY$36</f>
        <v>288120</v>
      </c>
      <c r="AO19" s="25">
        <f>'[2]CF PNP'!$BY$37</f>
        <v>361122</v>
      </c>
      <c r="AP19" s="25">
        <f>'[2]CF PNP'!$BY$38</f>
        <v>597445</v>
      </c>
      <c r="AQ19" s="25">
        <f>'[2]CF PNP'!$BY$39</f>
        <v>591200</v>
      </c>
      <c r="AR19" s="25">
        <f>'[2]CF PNP'!$BY$40</f>
        <v>531417</v>
      </c>
      <c r="AS19" s="25">
        <f>'[2]CF PNP'!$BY$41</f>
        <v>528967</v>
      </c>
      <c r="AT19" s="25">
        <f>'[2]CF PNP'!$BY$42</f>
        <v>2058656</v>
      </c>
      <c r="AU19" s="25">
        <f>'[2]CF PNP'!$BY$43</f>
        <v>0</v>
      </c>
      <c r="AV19" s="25">
        <f>'[2]CF PNP'!$BY$44</f>
        <v>0</v>
      </c>
      <c r="AW19" s="25">
        <f>'[2]CF PNP'!$BY$45</f>
        <v>0</v>
      </c>
      <c r="AX19" s="25">
        <f>'[2]CF PNP'!$BY$46</f>
        <v>0</v>
      </c>
      <c r="AY19" s="25">
        <f>'[2]CF PNP'!$BY$47</f>
        <v>0</v>
      </c>
      <c r="AZ19" s="25">
        <f>'[2]CF PNP'!$BY$48</f>
        <v>0</v>
      </c>
      <c r="BA19" s="25">
        <f>'[2]CF PNP'!$BY$49</f>
        <v>0</v>
      </c>
      <c r="BB19" s="25">
        <f>'[2]CF PNP'!$BY$50</f>
        <v>0</v>
      </c>
      <c r="BC19" s="25">
        <f>'[2]CF PNP'!$BY$51</f>
        <v>0</v>
      </c>
      <c r="BD19" s="25">
        <f>'[2]CF PNP'!$BY$52</f>
        <v>0</v>
      </c>
      <c r="BE19" s="25">
        <f>'[2]CF PNP'!$BY$53</f>
        <v>0</v>
      </c>
      <c r="BF19" s="25">
        <f>'[2]CF PNP'!$BY$54</f>
        <v>0</v>
      </c>
      <c r="BG19" s="25">
        <f>'[2]CF PNP'!$BY$55</f>
        <v>0</v>
      </c>
      <c r="BH19" s="25">
        <f>'[2]CF PNP'!$BY$56</f>
        <v>0</v>
      </c>
      <c r="BI19" s="25">
        <f>'[2]CF PNP'!$BY$57</f>
        <v>0</v>
      </c>
      <c r="BJ19" s="25">
        <f>'[2]CF PNP'!$BY$58</f>
        <v>0</v>
      </c>
      <c r="BK19" s="25">
        <f>'[2]CF PNP'!$BY$59</f>
        <v>0</v>
      </c>
      <c r="BL19" s="25">
        <f>'[2]CF PNP'!$BY$60</f>
        <v>0</v>
      </c>
      <c r="BM19" s="25">
        <f>'[2]CF PNP'!$BY$61</f>
        <v>0</v>
      </c>
      <c r="BN19" s="25">
        <f>'[2]CF PNP'!$BY$62</f>
        <v>0</v>
      </c>
      <c r="BO19" s="25">
        <f>'[2]CF PNP'!$BY$63</f>
        <v>0</v>
      </c>
      <c r="BP19" s="25">
        <f>'[2]CF PNP'!$BY$64</f>
        <v>0</v>
      </c>
      <c r="BQ19" s="25">
        <f>'[2]CF PNP'!$BY$65</f>
        <v>0</v>
      </c>
      <c r="BR19" s="25">
        <f>'[2]CF PNP'!$BY$66</f>
        <v>0</v>
      </c>
      <c r="BS19" s="25">
        <f>'[2]CF PNP'!$BY$67</f>
        <v>0</v>
      </c>
      <c r="BT19" s="25">
        <f>'[2]CF PNP'!$BY$68</f>
        <v>0</v>
      </c>
      <c r="BU19" s="25">
        <f>'[2]CF PNP'!$BY$69</f>
        <v>0</v>
      </c>
      <c r="BV19" s="25">
        <f>'[2]CF PNP'!$BY$70</f>
        <v>0</v>
      </c>
      <c r="BW19" s="25">
        <f>'[2]CF PNP'!$BY$71</f>
        <v>0</v>
      </c>
      <c r="BX19" s="25">
        <f>'[2]CF PNP'!$BY$72</f>
        <v>0</v>
      </c>
      <c r="BY19" s="26">
        <f>SUM(AN19:BX19)</f>
        <v>4956927</v>
      </c>
      <c r="BZ19" s="27">
        <f>'[2]CF PND'!$BY$36</f>
        <v>565230</v>
      </c>
      <c r="CA19" s="25">
        <f>'[2]CF PND'!$BY$37</f>
        <v>819267</v>
      </c>
      <c r="CB19" s="25">
        <f>'[2]CF PND'!$BY$38</f>
        <v>848822</v>
      </c>
      <c r="CC19" s="25">
        <f>'[2]CF PND'!$BY$39</f>
        <v>905184</v>
      </c>
      <c r="CD19" s="25">
        <f>'[2]CF PND'!$BY$40</f>
        <v>1918557</v>
      </c>
      <c r="CE19" s="25">
        <f>'[2]CF PND'!$BY$41</f>
        <v>3218800</v>
      </c>
      <c r="CF19" s="25">
        <f>'[2]CF PND'!$BY$42</f>
        <v>4262335</v>
      </c>
      <c r="CG19" s="25">
        <f>'[2]CF PND'!$BY$43</f>
        <v>5176687</v>
      </c>
      <c r="CH19" s="25">
        <f>'[2]CF PND'!$BY$44</f>
        <v>4409276</v>
      </c>
      <c r="CI19" s="25">
        <f>'[2]CF PND'!$BY$45</f>
        <v>0</v>
      </c>
      <c r="CJ19" s="25">
        <f>'[2]CF PND'!$BY$46</f>
        <v>0</v>
      </c>
      <c r="CK19" s="25">
        <f>'[2]CF PND'!$BY$47</f>
        <v>0</v>
      </c>
      <c r="CL19" s="25">
        <f>'[2]CF PND'!$BY$48</f>
        <v>0</v>
      </c>
      <c r="CM19" s="25">
        <f>'[2]CF PND'!$BY$49</f>
        <v>0</v>
      </c>
      <c r="CN19" s="25">
        <f>'[2]CF PND'!$BY$50</f>
        <v>0</v>
      </c>
      <c r="CO19" s="25">
        <f>'[2]CF PND'!$BY$51</f>
        <v>0</v>
      </c>
      <c r="CP19" s="25">
        <f>'[2]CF PND'!$BY$52</f>
        <v>0</v>
      </c>
      <c r="CQ19" s="25">
        <f>'[2]CF PND'!$BY$53</f>
        <v>0</v>
      </c>
      <c r="CR19" s="25">
        <f>'[2]CF PND'!$BY$54</f>
        <v>0</v>
      </c>
      <c r="CS19" s="25">
        <f>'[2]CF PND'!$BY$55</f>
        <v>0</v>
      </c>
      <c r="CT19" s="25">
        <f>'[2]CF PND'!$BY$56</f>
        <v>0</v>
      </c>
      <c r="CU19" s="25">
        <f>'[2]CF PND'!$BY$57</f>
        <v>0</v>
      </c>
      <c r="CV19" s="25">
        <f>'[2]CF PND'!$BY$58</f>
        <v>0</v>
      </c>
      <c r="CW19" s="25">
        <f>'[2]CF PND'!$BY$59</f>
        <v>0</v>
      </c>
      <c r="CX19" s="25">
        <f>'[2]CF PND'!$BY$60</f>
        <v>0</v>
      </c>
      <c r="CY19" s="25">
        <f>'[2]CF PND'!$BY$61</f>
        <v>0</v>
      </c>
      <c r="CZ19" s="25">
        <f>'[2]CF PND'!$BY$62</f>
        <v>0</v>
      </c>
      <c r="DA19" s="25">
        <f>'[2]CF PND'!$BY$63</f>
        <v>0</v>
      </c>
      <c r="DB19" s="25">
        <f>'[2]CF PND'!$BY$64</f>
        <v>0</v>
      </c>
      <c r="DC19" s="25">
        <f>'[2]CF PND'!$BY$65</f>
        <v>0</v>
      </c>
      <c r="DD19" s="25">
        <f>'[2]CF PND'!$BY$66</f>
        <v>0</v>
      </c>
      <c r="DE19" s="25">
        <f>'[2]CF PND'!$BY$67</f>
        <v>0</v>
      </c>
      <c r="DF19" s="25">
        <f>'[2]CF PND'!$BY$68</f>
        <v>0</v>
      </c>
      <c r="DG19" s="25">
        <f>'[2]CF PND'!$BY$69</f>
        <v>0</v>
      </c>
      <c r="DH19" s="25">
        <f>'[2]CF PND'!$BY$70</f>
        <v>0</v>
      </c>
      <c r="DI19" s="25">
        <f>'[2]CF PND'!$BY$71</f>
        <v>0</v>
      </c>
      <c r="DJ19" s="25">
        <f>'[2]CF PND'!$BY$72</f>
        <v>0</v>
      </c>
      <c r="DK19" s="26">
        <f>SUM(BZ19:DJ19)</f>
        <v>22124158</v>
      </c>
      <c r="DL19" s="69"/>
      <c r="DM19" s="70"/>
      <c r="DN19" s="70"/>
      <c r="DO19" s="70"/>
      <c r="DP19" s="70"/>
      <c r="DQ19" s="70"/>
      <c r="DR19" s="70"/>
      <c r="DS19" s="70"/>
      <c r="DT19" s="70"/>
      <c r="DU19" s="70"/>
      <c r="DV19" s="70"/>
      <c r="DW19" s="70"/>
      <c r="DX19" s="70"/>
      <c r="DY19" s="70"/>
      <c r="DZ19" s="70"/>
      <c r="EA19" s="70"/>
      <c r="EB19" s="70"/>
      <c r="EC19" s="70"/>
      <c r="ED19" s="70"/>
      <c r="EE19" s="70"/>
      <c r="EF19" s="70"/>
      <c r="EG19" s="70"/>
      <c r="EH19" s="70"/>
      <c r="EI19" s="70"/>
      <c r="EJ19" s="70"/>
      <c r="EK19" s="70"/>
      <c r="EL19" s="70"/>
      <c r="EM19" s="70"/>
      <c r="EN19" s="70"/>
      <c r="EO19" s="70"/>
      <c r="EP19" s="70"/>
      <c r="EQ19" s="70"/>
      <c r="ER19" s="70"/>
      <c r="ES19" s="70"/>
      <c r="ET19" s="70"/>
      <c r="EU19" s="70"/>
      <c r="EV19" s="70"/>
      <c r="EW19" s="71">
        <f>SUM(DL19:EV19)</f>
        <v>0</v>
      </c>
      <c r="EX19" s="69"/>
      <c r="EY19" s="70"/>
      <c r="EZ19" s="70"/>
      <c r="FA19" s="70"/>
      <c r="FB19" s="70"/>
      <c r="FC19" s="70"/>
      <c r="FD19" s="70"/>
      <c r="FE19" s="70"/>
      <c r="FF19" s="70"/>
      <c r="FG19" s="70"/>
      <c r="FH19" s="70"/>
      <c r="FI19" s="70"/>
      <c r="FJ19" s="70"/>
      <c r="FK19" s="70"/>
      <c r="FL19" s="70"/>
      <c r="FM19" s="70"/>
      <c r="FN19" s="70"/>
      <c r="FO19" s="70"/>
      <c r="FP19" s="70"/>
      <c r="FQ19" s="70"/>
      <c r="FR19" s="70"/>
      <c r="FS19" s="70"/>
      <c r="FT19" s="70"/>
      <c r="FU19" s="70"/>
      <c r="FV19" s="70"/>
      <c r="FW19" s="70"/>
      <c r="FX19" s="70"/>
      <c r="FY19" s="70"/>
      <c r="FZ19" s="70"/>
      <c r="GA19" s="70"/>
      <c r="GB19" s="70"/>
      <c r="GC19" s="70"/>
      <c r="GD19" s="70"/>
      <c r="GE19" s="70"/>
      <c r="GF19" s="70"/>
      <c r="GG19" s="70"/>
      <c r="GH19" s="70"/>
      <c r="GI19" s="71">
        <f>SUM(EX19:GH19)</f>
        <v>0</v>
      </c>
      <c r="GJ19" s="69"/>
      <c r="GK19" s="70"/>
      <c r="GL19" s="70"/>
      <c r="GM19" s="70"/>
      <c r="GN19" s="70"/>
      <c r="GO19" s="70"/>
      <c r="GP19" s="70"/>
      <c r="GQ19" s="70"/>
      <c r="GR19" s="70"/>
      <c r="GS19" s="70"/>
      <c r="GT19" s="70"/>
      <c r="GU19" s="70"/>
      <c r="GV19" s="70"/>
      <c r="GW19" s="70"/>
      <c r="GX19" s="70"/>
      <c r="GY19" s="70"/>
      <c r="GZ19" s="70"/>
      <c r="HA19" s="70"/>
      <c r="HB19" s="70"/>
      <c r="HC19" s="70"/>
      <c r="HD19" s="70"/>
      <c r="HE19" s="70"/>
      <c r="HF19" s="70"/>
      <c r="HG19" s="70"/>
      <c r="HH19" s="70"/>
      <c r="HI19" s="70"/>
      <c r="HJ19" s="70"/>
      <c r="HK19" s="70"/>
      <c r="HL19" s="70"/>
      <c r="HM19" s="70"/>
      <c r="HN19" s="70"/>
      <c r="HO19" s="70"/>
      <c r="HP19" s="70"/>
      <c r="HQ19" s="70"/>
      <c r="HR19" s="70"/>
      <c r="HS19" s="70"/>
      <c r="HT19" s="70"/>
      <c r="HU19" s="71">
        <f>SUM(GJ19:HT19)</f>
        <v>0</v>
      </c>
      <c r="HV19" s="27">
        <f>'[2]CF PRB'!$BY$36</f>
        <v>570829</v>
      </c>
      <c r="HW19" s="25">
        <f>'[2]CF PRB'!$BY$37</f>
        <v>622204</v>
      </c>
      <c r="HX19" s="25">
        <f>'[2]CF PRB'!$BY$38</f>
        <v>671231</v>
      </c>
      <c r="HY19" s="25">
        <f>'[2]CF PRB'!$BY$39</f>
        <v>799667</v>
      </c>
      <c r="HZ19" s="25">
        <f>'[2]CF PRB'!$BY$40</f>
        <v>799487</v>
      </c>
      <c r="IA19" s="25">
        <f>'[2]CF PRB'!$BY$41</f>
        <v>809864</v>
      </c>
      <c r="IB19" s="25">
        <f>'[2]CF PRB'!$BY$42</f>
        <v>740295</v>
      </c>
      <c r="IC19" s="25">
        <f>'[2]CF PRB'!$BY$43</f>
        <v>414130</v>
      </c>
      <c r="ID19" s="25">
        <f>'[2]CF PRB'!$BY$44</f>
        <v>284623</v>
      </c>
      <c r="IE19" s="25">
        <f>'[2]CF PRB'!$BY$45</f>
        <v>3651611</v>
      </c>
      <c r="IF19" s="25">
        <f>'[2]CF PRB'!$BY$46</f>
        <v>0</v>
      </c>
      <c r="IG19" s="25">
        <f>'[2]CF PRB'!$BY$47</f>
        <v>0</v>
      </c>
      <c r="IH19" s="25">
        <f>'[2]CF PRB'!$BY$48</f>
        <v>0</v>
      </c>
      <c r="II19" s="25">
        <f>'[2]CF PRB'!$BY$49</f>
        <v>0</v>
      </c>
      <c r="IJ19" s="25">
        <f>'[2]CF PRB'!$BY$50</f>
        <v>0</v>
      </c>
      <c r="IK19" s="25">
        <f>'[2]CF PRB'!$BY$51</f>
        <v>0</v>
      </c>
      <c r="IL19" s="25">
        <f>'[2]CF PRB'!$BY$52</f>
        <v>0</v>
      </c>
      <c r="IM19" s="25">
        <f>'[2]CF PRB'!$BY$53</f>
        <v>0</v>
      </c>
      <c r="IN19" s="25">
        <f>'[2]CF PRB'!$BY$54</f>
        <v>0</v>
      </c>
      <c r="IO19" s="25">
        <f>'[2]CF PRB'!$BY$55</f>
        <v>0</v>
      </c>
      <c r="IP19" s="25">
        <f>'[2]CF PRB'!$BY$56</f>
        <v>0</v>
      </c>
      <c r="IQ19" s="25">
        <f>'[2]CF PRB'!$BY$57</f>
        <v>0</v>
      </c>
      <c r="IR19" s="25">
        <f>'[2]CF PRB'!$BY$58</f>
        <v>0</v>
      </c>
      <c r="IS19" s="25">
        <f>'[2]CF PRB'!$BY$59</f>
        <v>0</v>
      </c>
      <c r="IT19" s="25">
        <f>'[2]CF PRB'!$BY$60</f>
        <v>0</v>
      </c>
      <c r="IU19" s="25">
        <f>'[2]CF PRB'!$BY$61</f>
        <v>0</v>
      </c>
      <c r="IV19" s="25">
        <f>'[2]CF PRB'!$BY$62</f>
        <v>0</v>
      </c>
      <c r="IW19" s="25">
        <f>'[2]CF PRB'!$BY$63</f>
        <v>0</v>
      </c>
      <c r="IX19" s="25">
        <f>'[2]CF PRB'!$BY$64</f>
        <v>0</v>
      </c>
      <c r="IY19" s="25">
        <f>'[2]CF PRB'!$BY$65</f>
        <v>0</v>
      </c>
      <c r="IZ19" s="25">
        <f>'[2]CF PRB'!$BY$66</f>
        <v>0</v>
      </c>
      <c r="JA19" s="25">
        <f>'[2]CF PRB'!$BY$67</f>
        <v>0</v>
      </c>
      <c r="JB19" s="25">
        <f>'[2]CF PRB'!$BY$68</f>
        <v>0</v>
      </c>
      <c r="JC19" s="25">
        <f>'[2]CF PRB'!$BY$69</f>
        <v>0</v>
      </c>
      <c r="JD19" s="25">
        <f>'[2]CF PRB'!$BY$70</f>
        <v>0</v>
      </c>
      <c r="JE19" s="25">
        <f>'[2]CF PRB'!$BY$71</f>
        <v>0</v>
      </c>
      <c r="JF19" s="25">
        <f>'[2]CF PRB'!$BY$72</f>
        <v>0</v>
      </c>
      <c r="JG19" s="26">
        <f>SUM(HV19:JF19)</f>
        <v>9363941</v>
      </c>
      <c r="JH19" s="69"/>
      <c r="JI19" s="70"/>
      <c r="JJ19" s="70"/>
      <c r="JK19" s="70"/>
      <c r="JL19" s="70"/>
      <c r="JM19" s="70"/>
      <c r="JN19" s="70"/>
      <c r="JO19" s="70"/>
      <c r="JP19" s="70"/>
      <c r="JQ19" s="70"/>
      <c r="JR19" s="70"/>
      <c r="JS19" s="70"/>
      <c r="JT19" s="70"/>
      <c r="JU19" s="70"/>
      <c r="JV19" s="70"/>
      <c r="JW19" s="70"/>
      <c r="JX19" s="70"/>
      <c r="JY19" s="70"/>
      <c r="JZ19" s="70"/>
      <c r="KA19" s="70"/>
      <c r="KB19" s="70"/>
      <c r="KC19" s="70"/>
      <c r="KD19" s="70"/>
      <c r="KE19" s="70"/>
      <c r="KF19" s="70"/>
      <c r="KG19" s="70"/>
      <c r="KH19" s="70"/>
      <c r="KI19" s="70"/>
      <c r="KJ19" s="70"/>
      <c r="KK19" s="70"/>
      <c r="KL19" s="70"/>
      <c r="KM19" s="70"/>
      <c r="KN19" s="70"/>
      <c r="KO19" s="70"/>
      <c r="KP19" s="70"/>
      <c r="KQ19" s="70"/>
      <c r="KR19" s="70"/>
      <c r="KS19" s="71">
        <f>SUM(JH19:KR19)</f>
        <v>0</v>
      </c>
      <c r="KT19" s="69"/>
      <c r="KU19" s="70"/>
      <c r="KV19" s="70"/>
      <c r="KW19" s="70"/>
      <c r="KX19" s="70"/>
      <c r="KY19" s="70"/>
      <c r="KZ19" s="70"/>
      <c r="LA19" s="70"/>
      <c r="LB19" s="70"/>
      <c r="LC19" s="70"/>
      <c r="LD19" s="70"/>
      <c r="LE19" s="70"/>
      <c r="LF19" s="70"/>
      <c r="LG19" s="70"/>
      <c r="LH19" s="70"/>
      <c r="LI19" s="70"/>
      <c r="LJ19" s="70"/>
      <c r="LK19" s="70"/>
      <c r="LL19" s="70"/>
      <c r="LM19" s="70"/>
      <c r="LN19" s="70"/>
      <c r="LO19" s="70"/>
      <c r="LP19" s="70"/>
      <c r="LQ19" s="70"/>
      <c r="LR19" s="70"/>
      <c r="LS19" s="70"/>
      <c r="LT19" s="70"/>
      <c r="LU19" s="70"/>
      <c r="LV19" s="70"/>
      <c r="LW19" s="70"/>
      <c r="LX19" s="70"/>
      <c r="LY19" s="70"/>
      <c r="LZ19" s="70"/>
      <c r="MA19" s="70"/>
      <c r="MB19" s="70"/>
      <c r="MC19" s="70"/>
      <c r="MD19" s="70"/>
      <c r="ME19" s="71">
        <f>SUM(KT19:MD19)</f>
        <v>0</v>
      </c>
      <c r="MF19" s="69"/>
      <c r="MG19" s="70"/>
      <c r="MH19" s="70"/>
      <c r="MI19" s="70"/>
      <c r="MJ19" s="70"/>
      <c r="MK19" s="70"/>
      <c r="ML19" s="70"/>
      <c r="MM19" s="70"/>
      <c r="MN19" s="70"/>
      <c r="MO19" s="70"/>
      <c r="MP19" s="70"/>
      <c r="MQ19" s="70"/>
      <c r="MR19" s="70"/>
      <c r="MS19" s="70"/>
      <c r="MT19" s="70"/>
      <c r="MU19" s="70"/>
      <c r="MV19" s="70"/>
      <c r="MW19" s="70"/>
      <c r="MX19" s="70"/>
      <c r="MY19" s="70"/>
      <c r="MZ19" s="70"/>
      <c r="NA19" s="70"/>
      <c r="NB19" s="70"/>
      <c r="NC19" s="70"/>
      <c r="ND19" s="70"/>
      <c r="NE19" s="70"/>
      <c r="NF19" s="70"/>
      <c r="NG19" s="70"/>
      <c r="NH19" s="70"/>
      <c r="NI19" s="70"/>
      <c r="NJ19" s="70"/>
      <c r="NK19" s="70"/>
      <c r="NL19" s="70"/>
      <c r="NM19" s="70"/>
      <c r="NN19" s="70"/>
      <c r="NO19" s="70"/>
      <c r="NP19" s="70"/>
      <c r="NQ19" s="71">
        <f>SUM(MF19:NP19)</f>
        <v>0</v>
      </c>
      <c r="NR19" s="25">
        <f>'[2]CF PS'!$BY$36</f>
        <v>261719</v>
      </c>
      <c r="NS19" s="25">
        <f>'[2]CF PS'!$BY$37</f>
        <v>329843</v>
      </c>
      <c r="NT19" s="25">
        <f>'[2]CF PS'!$BY$38</f>
        <v>325259</v>
      </c>
      <c r="NU19" s="25">
        <f>'[2]CF PS'!$BY$39</f>
        <v>315155</v>
      </c>
      <c r="NV19" s="25">
        <f>'[2]CF PS'!$BY$40</f>
        <v>305212</v>
      </c>
      <c r="NW19" s="25">
        <f>'[2]CF PS'!$BY$41</f>
        <v>291357</v>
      </c>
      <c r="NX19" s="25">
        <f>'[2]CF PS'!$BY$42</f>
        <v>0</v>
      </c>
      <c r="NY19" s="25">
        <f>'[2]CF PS'!$BY$43</f>
        <v>25391</v>
      </c>
      <c r="NZ19" s="25">
        <f>'[2]CF PS'!$BY$44</f>
        <v>24553</v>
      </c>
      <c r="OA19" s="25">
        <f>'[2]CF PS'!$BY$45</f>
        <v>20718</v>
      </c>
      <c r="OB19" s="25">
        <f>'[2]CF PS'!$BY$46</f>
        <v>0</v>
      </c>
      <c r="OC19" s="25">
        <f>'[2]CF PS'!$BY$47</f>
        <v>0</v>
      </c>
      <c r="OD19" s="25">
        <f>'[2]CF PS'!$BY$48</f>
        <v>0</v>
      </c>
      <c r="OE19" s="25">
        <f>'[2]CF PS'!$BY$49</f>
        <v>0</v>
      </c>
      <c r="OF19" s="25">
        <f>'[2]CF PS'!$BY$50</f>
        <v>0</v>
      </c>
      <c r="OG19" s="25">
        <f>'[2]CF PS'!$BY$51</f>
        <v>0</v>
      </c>
      <c r="OH19" s="25">
        <f>'[2]CF PS'!$BY$52</f>
        <v>0</v>
      </c>
      <c r="OI19" s="25">
        <f>'[2]CF PS'!$BY$53</f>
        <v>0</v>
      </c>
      <c r="OJ19" s="25">
        <f>'[2]CF PS'!$BY$54</f>
        <v>0</v>
      </c>
      <c r="OK19" s="25">
        <f>'[2]CF PS'!$BY$55</f>
        <v>0</v>
      </c>
      <c r="OL19" s="25">
        <f>'[2]CF PS'!$BY$56</f>
        <v>0</v>
      </c>
      <c r="OM19" s="25">
        <f>'[2]CF PS'!$BY$57</f>
        <v>0</v>
      </c>
      <c r="ON19" s="25">
        <f>'[2]CF PS'!$BY$58</f>
        <v>0</v>
      </c>
      <c r="OO19" s="25">
        <f>'[2]CF PS'!$BY$59</f>
        <v>0</v>
      </c>
      <c r="OP19" s="25">
        <f>'[2]CF PS'!$BY$60</f>
        <v>0</v>
      </c>
      <c r="OQ19" s="25">
        <f>'[2]CF PS'!$BY$61</f>
        <v>0</v>
      </c>
      <c r="OR19" s="25">
        <f>'[2]CF PS'!$BY$62</f>
        <v>0</v>
      </c>
      <c r="OS19" s="25">
        <f>'[2]CF PS'!$BY$63</f>
        <v>0</v>
      </c>
      <c r="OT19" s="25">
        <f>'[2]CF PS'!$BY$64</f>
        <v>0</v>
      </c>
      <c r="OU19" s="25">
        <f>'[2]CF PS'!$BY$65</f>
        <v>0</v>
      </c>
      <c r="OV19" s="25">
        <f>'[2]CF PS'!$BY$66</f>
        <v>0</v>
      </c>
      <c r="OW19" s="25">
        <f>'[2]CF PS'!$BY$67</f>
        <v>0</v>
      </c>
      <c r="OX19" s="25">
        <f>'[2]CF PS'!$BY$68</f>
        <v>0</v>
      </c>
      <c r="OY19" s="25">
        <f>'[2]CF PS'!$BY$69</f>
        <v>0</v>
      </c>
      <c r="OZ19" s="25">
        <f>'[2]CF PS'!$BY$70</f>
        <v>0</v>
      </c>
      <c r="PA19" s="25">
        <f>'[2]CF PS'!$BY$71</f>
        <v>0</v>
      </c>
      <c r="PB19" s="25">
        <f>'[2]CF PS'!$BY$72</f>
        <v>0</v>
      </c>
      <c r="PC19" s="26">
        <f>SUM(NR19:PB19)</f>
        <v>1899207</v>
      </c>
    </row>
    <row r="20" spans="1:419" ht="16.5" thickBot="1" x14ac:dyDescent="0.35">
      <c r="A20" s="47" t="s">
        <v>124</v>
      </c>
      <c r="B20" s="40">
        <f>IF(AND(B18&lt;&gt;0,B19&lt;&gt;0),(B18-B19)/B19,IF(AND(B18=0,B19=0),"",IF(AND(B18="",B19=""),"",IF(AND(B18=0,B19=""),"", IF(AND(B18="",B19=0),"",1)))))</f>
        <v>-1.3078223471519636E-3</v>
      </c>
      <c r="C20" s="40">
        <f t="shared" ref="C20:CP20" si="644">IF(AND(C18&lt;&gt;0,C19&lt;&gt;0),(C18-C19)/C19,IF(AND(C18=0,C19=0),"",IF(AND(C18="",C19=""),"",IF(AND(C18=0,C19=""),"", IF(AND(C18="",C19=0),"",1)))))</f>
        <v>-4.8780334281083877E-3</v>
      </c>
      <c r="D20" s="40">
        <f t="shared" si="644"/>
        <v>-1.0919112172748002E-2</v>
      </c>
      <c r="E20" s="40">
        <f t="shared" si="644"/>
        <v>-6.8184278044956517E-3</v>
      </c>
      <c r="F20" s="40">
        <f t="shared" si="644"/>
        <v>-9.4166354952424994E-3</v>
      </c>
      <c r="G20" s="40">
        <f t="shared" si="644"/>
        <v>-1.840002817399217E-2</v>
      </c>
      <c r="H20" s="40">
        <f t="shared" si="644"/>
        <v>1</v>
      </c>
      <c r="I20" s="40">
        <f t="shared" si="644"/>
        <v>1</v>
      </c>
      <c r="J20" s="40">
        <f t="shared" si="644"/>
        <v>1</v>
      </c>
      <c r="K20" s="40">
        <f t="shared" si="644"/>
        <v>1</v>
      </c>
      <c r="L20" s="40">
        <f t="shared" si="644"/>
        <v>1</v>
      </c>
      <c r="M20" s="40" t="str">
        <f t="shared" si="644"/>
        <v/>
      </c>
      <c r="N20" s="40" t="str">
        <f t="shared" si="644"/>
        <v/>
      </c>
      <c r="O20" s="40" t="str">
        <f t="shared" si="644"/>
        <v/>
      </c>
      <c r="P20" s="40" t="str">
        <f t="shared" si="644"/>
        <v/>
      </c>
      <c r="Q20" s="40" t="str">
        <f t="shared" si="644"/>
        <v/>
      </c>
      <c r="R20" s="40" t="str">
        <f t="shared" si="644"/>
        <v/>
      </c>
      <c r="S20" s="40" t="str">
        <f t="shared" si="644"/>
        <v/>
      </c>
      <c r="T20" s="40" t="str">
        <f t="shared" si="644"/>
        <v/>
      </c>
      <c r="U20" s="40" t="str">
        <f t="shared" si="644"/>
        <v/>
      </c>
      <c r="V20" s="40" t="str">
        <f t="shared" si="644"/>
        <v/>
      </c>
      <c r="W20" s="40" t="str">
        <f t="shared" si="644"/>
        <v/>
      </c>
      <c r="X20" s="40" t="str">
        <f t="shared" si="644"/>
        <v/>
      </c>
      <c r="Y20" s="40" t="str">
        <f t="shared" ref="Y20:AL20" si="645">IF(AND(Y18&lt;&gt;0,Y19&lt;&gt;0),(Y18-Y19)/Y19,IF(AND(Y18=0,Y19=0),"",IF(AND(Y18="",Y19=""),"",IF(AND(Y18=0,Y19=""),"", IF(AND(Y18="",Y19=0),"",1)))))</f>
        <v/>
      </c>
      <c r="Z20" s="40" t="str">
        <f t="shared" si="645"/>
        <v/>
      </c>
      <c r="AA20" s="40" t="str">
        <f t="shared" si="645"/>
        <v/>
      </c>
      <c r="AB20" s="40" t="str">
        <f t="shared" si="645"/>
        <v/>
      </c>
      <c r="AC20" s="40" t="str">
        <f t="shared" si="645"/>
        <v/>
      </c>
      <c r="AD20" s="40" t="str">
        <f t="shared" si="645"/>
        <v/>
      </c>
      <c r="AE20" s="40" t="str">
        <f t="shared" si="645"/>
        <v/>
      </c>
      <c r="AF20" s="40" t="str">
        <f t="shared" si="645"/>
        <v/>
      </c>
      <c r="AG20" s="40" t="str">
        <f t="shared" si="645"/>
        <v/>
      </c>
      <c r="AH20" s="40" t="str">
        <f t="shared" si="645"/>
        <v/>
      </c>
      <c r="AI20" s="40" t="str">
        <f t="shared" si="645"/>
        <v/>
      </c>
      <c r="AJ20" s="40" t="str">
        <f t="shared" si="645"/>
        <v/>
      </c>
      <c r="AK20" s="40" t="str">
        <f t="shared" si="645"/>
        <v/>
      </c>
      <c r="AL20" s="40" t="str">
        <f t="shared" si="645"/>
        <v/>
      </c>
      <c r="AM20" s="41">
        <f t="shared" si="644"/>
        <v>6.4447578181404994E-2</v>
      </c>
      <c r="AN20" s="39">
        <f t="shared" si="644"/>
        <v>-1.4100027766208525E-6</v>
      </c>
      <c r="AO20" s="40">
        <f t="shared" si="644"/>
        <v>5.774502799607889E-2</v>
      </c>
      <c r="AP20" s="40">
        <f t="shared" si="644"/>
        <v>-3.111478880901171E-3</v>
      </c>
      <c r="AQ20" s="40">
        <f t="shared" si="644"/>
        <v>9.514546684709066E-7</v>
      </c>
      <c r="AR20" s="40">
        <f t="shared" si="644"/>
        <v>-1.2937109652118769E-6</v>
      </c>
      <c r="AS20" s="40">
        <f t="shared" si="644"/>
        <v>-3.0932931543933744E-3</v>
      </c>
      <c r="AT20" s="40">
        <f t="shared" si="644"/>
        <v>-0.80026636613887892</v>
      </c>
      <c r="AU20" s="40">
        <f t="shared" si="644"/>
        <v>1</v>
      </c>
      <c r="AV20" s="40">
        <f t="shared" si="644"/>
        <v>1</v>
      </c>
      <c r="AW20" s="40" t="str">
        <f t="shared" si="644"/>
        <v/>
      </c>
      <c r="AX20" s="40" t="str">
        <f t="shared" si="644"/>
        <v/>
      </c>
      <c r="AY20" s="40" t="str">
        <f t="shared" si="644"/>
        <v/>
      </c>
      <c r="AZ20" s="40" t="str">
        <f t="shared" si="644"/>
        <v/>
      </c>
      <c r="BA20" s="40" t="str">
        <f t="shared" si="644"/>
        <v/>
      </c>
      <c r="BB20" s="40" t="str">
        <f t="shared" si="644"/>
        <v/>
      </c>
      <c r="BC20" s="40" t="str">
        <f t="shared" si="644"/>
        <v/>
      </c>
      <c r="BD20" s="40" t="str">
        <f t="shared" si="644"/>
        <v/>
      </c>
      <c r="BE20" s="40" t="str">
        <f t="shared" si="644"/>
        <v/>
      </c>
      <c r="BF20" s="40" t="str">
        <f t="shared" si="644"/>
        <v/>
      </c>
      <c r="BG20" s="40" t="str">
        <f t="shared" si="644"/>
        <v/>
      </c>
      <c r="BH20" s="40" t="str">
        <f t="shared" si="644"/>
        <v/>
      </c>
      <c r="BI20" s="40" t="str">
        <f t="shared" si="644"/>
        <v/>
      </c>
      <c r="BJ20" s="40" t="str">
        <f t="shared" ref="BJ20:BX20" si="646">IF(AND(BJ18&lt;&gt;0,BJ19&lt;&gt;0),(BJ18-BJ19)/BJ19,IF(AND(BJ18=0,BJ19=0),"",IF(AND(BJ18="",BJ19=""),"",IF(AND(BJ18=0,BJ19=""),"", IF(AND(BJ18="",BJ19=0),"",1)))))</f>
        <v/>
      </c>
      <c r="BK20" s="40" t="str">
        <f t="shared" si="646"/>
        <v/>
      </c>
      <c r="BL20" s="40" t="str">
        <f t="shared" si="646"/>
        <v/>
      </c>
      <c r="BM20" s="40" t="str">
        <f t="shared" si="646"/>
        <v/>
      </c>
      <c r="BN20" s="40" t="str">
        <f t="shared" si="646"/>
        <v/>
      </c>
      <c r="BO20" s="40" t="str">
        <f t="shared" si="646"/>
        <v/>
      </c>
      <c r="BP20" s="40" t="str">
        <f t="shared" si="646"/>
        <v/>
      </c>
      <c r="BQ20" s="40" t="str">
        <f t="shared" si="646"/>
        <v/>
      </c>
      <c r="BR20" s="40" t="str">
        <f t="shared" si="646"/>
        <v/>
      </c>
      <c r="BS20" s="40" t="str">
        <f t="shared" si="646"/>
        <v/>
      </c>
      <c r="BT20" s="40" t="str">
        <f t="shared" si="646"/>
        <v/>
      </c>
      <c r="BU20" s="40" t="str">
        <f t="shared" si="646"/>
        <v/>
      </c>
      <c r="BV20" s="40" t="str">
        <f t="shared" si="646"/>
        <v/>
      </c>
      <c r="BW20" s="40" t="str">
        <f t="shared" si="646"/>
        <v/>
      </c>
      <c r="BX20" s="40" t="str">
        <f t="shared" si="646"/>
        <v/>
      </c>
      <c r="BY20" s="41">
        <f t="shared" si="644"/>
        <v>-0.23213355333354718</v>
      </c>
      <c r="BZ20" s="39">
        <f t="shared" si="644"/>
        <v>-3.3577813456469048E-2</v>
      </c>
      <c r="CA20" s="40">
        <f t="shared" si="644"/>
        <v>-1.8309049430771653E-6</v>
      </c>
      <c r="CB20" s="40">
        <f t="shared" si="644"/>
        <v>4.4178873780368557E-7</v>
      </c>
      <c r="CC20" s="40">
        <f t="shared" si="644"/>
        <v>-6.0965229168876159E-2</v>
      </c>
      <c r="CD20" s="40">
        <f t="shared" si="644"/>
        <v>-3.2035078968203706E-2</v>
      </c>
      <c r="CE20" s="40">
        <f t="shared" si="644"/>
        <v>-2.0985227413943083E-2</v>
      </c>
      <c r="CF20" s="40">
        <f t="shared" si="644"/>
        <v>-1.6466091942561999E-2</v>
      </c>
      <c r="CG20" s="40">
        <f t="shared" si="644"/>
        <v>-0.19499595011249474</v>
      </c>
      <c r="CH20" s="40">
        <f t="shared" si="644"/>
        <v>-0.12585671661288611</v>
      </c>
      <c r="CI20" s="40">
        <f t="shared" si="644"/>
        <v>1</v>
      </c>
      <c r="CJ20" s="40">
        <f t="shared" si="644"/>
        <v>1</v>
      </c>
      <c r="CK20" s="40" t="str">
        <f t="shared" si="644"/>
        <v/>
      </c>
      <c r="CL20" s="40" t="str">
        <f t="shared" si="644"/>
        <v/>
      </c>
      <c r="CM20" s="40" t="str">
        <f t="shared" si="644"/>
        <v/>
      </c>
      <c r="CN20" s="40" t="str">
        <f t="shared" si="644"/>
        <v/>
      </c>
      <c r="CO20" s="40" t="str">
        <f t="shared" si="644"/>
        <v/>
      </c>
      <c r="CP20" s="40" t="str">
        <f t="shared" si="644"/>
        <v/>
      </c>
      <c r="CQ20" s="40" t="str">
        <f t="shared" ref="CQ20:GR20" si="647">IF(AND(CQ18&lt;&gt;0,CQ19&lt;&gt;0),(CQ18-CQ19)/CQ19,IF(AND(CQ18=0,CQ19=0),"",IF(AND(CQ18="",CQ19=""),"",IF(AND(CQ18=0,CQ19=""),"", IF(AND(CQ18="",CQ19=0),"",1)))))</f>
        <v/>
      </c>
      <c r="CR20" s="40" t="str">
        <f t="shared" si="647"/>
        <v/>
      </c>
      <c r="CS20" s="40" t="str">
        <f t="shared" si="647"/>
        <v/>
      </c>
      <c r="CT20" s="40" t="str">
        <f t="shared" si="647"/>
        <v/>
      </c>
      <c r="CU20" s="40" t="str">
        <f t="shared" si="647"/>
        <v/>
      </c>
      <c r="CV20" s="40" t="str">
        <f t="shared" si="647"/>
        <v/>
      </c>
      <c r="CW20" s="40" t="str">
        <f t="shared" ref="CW20:DJ20" si="648">IF(AND(CW18&lt;&gt;0,CW19&lt;&gt;0),(CW18-CW19)/CW19,IF(AND(CW18=0,CW19=0),"",IF(AND(CW18="",CW19=""),"",IF(AND(CW18=0,CW19=""),"", IF(AND(CW18="",CW19=0),"",1)))))</f>
        <v/>
      </c>
      <c r="CX20" s="40" t="str">
        <f t="shared" si="648"/>
        <v/>
      </c>
      <c r="CY20" s="40" t="str">
        <f t="shared" si="648"/>
        <v/>
      </c>
      <c r="CZ20" s="40" t="str">
        <f t="shared" si="648"/>
        <v/>
      </c>
      <c r="DA20" s="40" t="str">
        <f t="shared" si="648"/>
        <v/>
      </c>
      <c r="DB20" s="40" t="str">
        <f t="shared" si="648"/>
        <v/>
      </c>
      <c r="DC20" s="40" t="str">
        <f t="shared" si="648"/>
        <v/>
      </c>
      <c r="DD20" s="40" t="str">
        <f t="shared" si="648"/>
        <v/>
      </c>
      <c r="DE20" s="40" t="str">
        <f t="shared" si="648"/>
        <v/>
      </c>
      <c r="DF20" s="40" t="str">
        <f t="shared" si="648"/>
        <v/>
      </c>
      <c r="DG20" s="40" t="str">
        <f t="shared" si="648"/>
        <v/>
      </c>
      <c r="DH20" s="40" t="str">
        <f t="shared" si="648"/>
        <v/>
      </c>
      <c r="DI20" s="40" t="str">
        <f t="shared" si="648"/>
        <v/>
      </c>
      <c r="DJ20" s="40" t="str">
        <f t="shared" si="648"/>
        <v/>
      </c>
      <c r="DK20" s="41">
        <f t="shared" si="647"/>
        <v>0.14618951543828243</v>
      </c>
      <c r="DL20" s="72" t="str">
        <f t="shared" si="647"/>
        <v/>
      </c>
      <c r="DM20" s="73" t="str">
        <f t="shared" si="647"/>
        <v/>
      </c>
      <c r="DN20" s="73" t="str">
        <f t="shared" si="647"/>
        <v/>
      </c>
      <c r="DO20" s="73" t="str">
        <f t="shared" si="647"/>
        <v/>
      </c>
      <c r="DP20" s="73" t="str">
        <f t="shared" si="647"/>
        <v/>
      </c>
      <c r="DQ20" s="73" t="str">
        <f t="shared" si="647"/>
        <v/>
      </c>
      <c r="DR20" s="73" t="str">
        <f t="shared" si="647"/>
        <v/>
      </c>
      <c r="DS20" s="73" t="str">
        <f t="shared" si="647"/>
        <v/>
      </c>
      <c r="DT20" s="73" t="str">
        <f t="shared" si="647"/>
        <v/>
      </c>
      <c r="DU20" s="73" t="str">
        <f t="shared" si="647"/>
        <v/>
      </c>
      <c r="DV20" s="73" t="str">
        <f t="shared" si="647"/>
        <v/>
      </c>
      <c r="DW20" s="73" t="str">
        <f t="shared" si="647"/>
        <v/>
      </c>
      <c r="DX20" s="73" t="str">
        <f t="shared" si="647"/>
        <v/>
      </c>
      <c r="DY20" s="73" t="str">
        <f t="shared" si="647"/>
        <v/>
      </c>
      <c r="DZ20" s="73" t="str">
        <f t="shared" si="647"/>
        <v/>
      </c>
      <c r="EA20" s="73" t="str">
        <f t="shared" si="647"/>
        <v/>
      </c>
      <c r="EB20" s="73" t="str">
        <f t="shared" si="647"/>
        <v/>
      </c>
      <c r="EC20" s="73" t="str">
        <f t="shared" si="647"/>
        <v/>
      </c>
      <c r="ED20" s="73" t="str">
        <f t="shared" si="647"/>
        <v/>
      </c>
      <c r="EE20" s="73" t="str">
        <f t="shared" si="647"/>
        <v/>
      </c>
      <c r="EF20" s="73" t="str">
        <f t="shared" si="647"/>
        <v/>
      </c>
      <c r="EG20" s="73" t="str">
        <f t="shared" si="647"/>
        <v/>
      </c>
      <c r="EH20" s="73" t="str">
        <f t="shared" si="647"/>
        <v/>
      </c>
      <c r="EI20" s="73" t="str">
        <f t="shared" ref="EI20:EV20" si="649">IF(AND(EI18&lt;&gt;0,EI19&lt;&gt;0),(EI18-EI19)/EI19,IF(AND(EI18=0,EI19=0),"",IF(AND(EI18="",EI19=""),"",IF(AND(EI18=0,EI19=""),"", IF(AND(EI18="",EI19=0),"",1)))))</f>
        <v/>
      </c>
      <c r="EJ20" s="73" t="str">
        <f t="shared" si="649"/>
        <v/>
      </c>
      <c r="EK20" s="73" t="str">
        <f t="shared" si="649"/>
        <v/>
      </c>
      <c r="EL20" s="73" t="str">
        <f t="shared" si="649"/>
        <v/>
      </c>
      <c r="EM20" s="73" t="str">
        <f t="shared" si="649"/>
        <v/>
      </c>
      <c r="EN20" s="73" t="str">
        <f t="shared" si="649"/>
        <v/>
      </c>
      <c r="EO20" s="73" t="str">
        <f t="shared" si="649"/>
        <v/>
      </c>
      <c r="EP20" s="73" t="str">
        <f t="shared" si="649"/>
        <v/>
      </c>
      <c r="EQ20" s="73" t="str">
        <f t="shared" si="649"/>
        <v/>
      </c>
      <c r="ER20" s="73" t="str">
        <f t="shared" si="649"/>
        <v/>
      </c>
      <c r="ES20" s="73" t="str">
        <f t="shared" si="649"/>
        <v/>
      </c>
      <c r="ET20" s="73" t="str">
        <f t="shared" si="649"/>
        <v/>
      </c>
      <c r="EU20" s="73" t="str">
        <f t="shared" si="649"/>
        <v/>
      </c>
      <c r="EV20" s="73" t="str">
        <f t="shared" si="649"/>
        <v/>
      </c>
      <c r="EW20" s="74" t="str">
        <f t="shared" si="647"/>
        <v/>
      </c>
      <c r="EX20" s="72" t="str">
        <f t="shared" si="647"/>
        <v/>
      </c>
      <c r="EY20" s="73" t="str">
        <f t="shared" si="647"/>
        <v/>
      </c>
      <c r="EZ20" s="73" t="str">
        <f t="shared" si="647"/>
        <v/>
      </c>
      <c r="FA20" s="73" t="str">
        <f t="shared" si="647"/>
        <v/>
      </c>
      <c r="FB20" s="73" t="str">
        <f t="shared" si="647"/>
        <v/>
      </c>
      <c r="FC20" s="73" t="str">
        <f t="shared" si="647"/>
        <v/>
      </c>
      <c r="FD20" s="73" t="str">
        <f t="shared" si="647"/>
        <v/>
      </c>
      <c r="FE20" s="73" t="str">
        <f t="shared" si="647"/>
        <v/>
      </c>
      <c r="FF20" s="73" t="str">
        <f t="shared" si="647"/>
        <v/>
      </c>
      <c r="FG20" s="73" t="str">
        <f t="shared" si="647"/>
        <v/>
      </c>
      <c r="FH20" s="73" t="str">
        <f t="shared" si="647"/>
        <v/>
      </c>
      <c r="FI20" s="73" t="str">
        <f t="shared" si="647"/>
        <v/>
      </c>
      <c r="FJ20" s="73" t="str">
        <f t="shared" si="647"/>
        <v/>
      </c>
      <c r="FK20" s="73" t="str">
        <f t="shared" si="647"/>
        <v/>
      </c>
      <c r="FL20" s="73" t="str">
        <f t="shared" si="647"/>
        <v/>
      </c>
      <c r="FM20" s="73" t="str">
        <f t="shared" si="647"/>
        <v/>
      </c>
      <c r="FN20" s="73" t="str">
        <f t="shared" si="647"/>
        <v/>
      </c>
      <c r="FO20" s="73" t="str">
        <f t="shared" si="647"/>
        <v/>
      </c>
      <c r="FP20" s="73" t="str">
        <f t="shared" si="647"/>
        <v/>
      </c>
      <c r="FQ20" s="73" t="str">
        <f t="shared" si="647"/>
        <v/>
      </c>
      <c r="FR20" s="73" t="str">
        <f t="shared" si="647"/>
        <v/>
      </c>
      <c r="FS20" s="73" t="str">
        <f t="shared" si="647"/>
        <v/>
      </c>
      <c r="FT20" s="73" t="str">
        <f t="shared" si="647"/>
        <v/>
      </c>
      <c r="FU20" s="73" t="str">
        <f t="shared" ref="FU20:GH20" si="650">IF(AND(FU18&lt;&gt;0,FU19&lt;&gt;0),(FU18-FU19)/FU19,IF(AND(FU18=0,FU19=0),"",IF(AND(FU18="",FU19=""),"",IF(AND(FU18=0,FU19=""),"", IF(AND(FU18="",FU19=0),"",1)))))</f>
        <v/>
      </c>
      <c r="FV20" s="73" t="str">
        <f t="shared" si="650"/>
        <v/>
      </c>
      <c r="FW20" s="73" t="str">
        <f t="shared" si="650"/>
        <v/>
      </c>
      <c r="FX20" s="73" t="str">
        <f t="shared" si="650"/>
        <v/>
      </c>
      <c r="FY20" s="73" t="str">
        <f t="shared" si="650"/>
        <v/>
      </c>
      <c r="FZ20" s="73" t="str">
        <f t="shared" si="650"/>
        <v/>
      </c>
      <c r="GA20" s="73" t="str">
        <f t="shared" si="650"/>
        <v/>
      </c>
      <c r="GB20" s="73" t="str">
        <f t="shared" si="650"/>
        <v/>
      </c>
      <c r="GC20" s="73" t="str">
        <f t="shared" si="650"/>
        <v/>
      </c>
      <c r="GD20" s="73" t="str">
        <f t="shared" si="650"/>
        <v/>
      </c>
      <c r="GE20" s="73" t="str">
        <f t="shared" si="650"/>
        <v/>
      </c>
      <c r="GF20" s="73" t="str">
        <f t="shared" si="650"/>
        <v/>
      </c>
      <c r="GG20" s="73" t="str">
        <f t="shared" si="650"/>
        <v/>
      </c>
      <c r="GH20" s="73" t="str">
        <f t="shared" si="650"/>
        <v/>
      </c>
      <c r="GI20" s="74" t="str">
        <f t="shared" si="647"/>
        <v/>
      </c>
      <c r="GJ20" s="72" t="str">
        <f t="shared" si="647"/>
        <v/>
      </c>
      <c r="GK20" s="73" t="str">
        <f t="shared" si="647"/>
        <v/>
      </c>
      <c r="GL20" s="73" t="str">
        <f t="shared" si="647"/>
        <v/>
      </c>
      <c r="GM20" s="73" t="str">
        <f t="shared" si="647"/>
        <v/>
      </c>
      <c r="GN20" s="73" t="str">
        <f t="shared" si="647"/>
        <v/>
      </c>
      <c r="GO20" s="73" t="str">
        <f t="shared" si="647"/>
        <v/>
      </c>
      <c r="GP20" s="73" t="str">
        <f t="shared" si="647"/>
        <v/>
      </c>
      <c r="GQ20" s="73" t="str">
        <f t="shared" si="647"/>
        <v/>
      </c>
      <c r="GR20" s="73" t="str">
        <f t="shared" si="647"/>
        <v/>
      </c>
      <c r="GS20" s="73" t="str">
        <f t="shared" ref="GS20:LC20" si="651">IF(AND(GS18&lt;&gt;0,GS19&lt;&gt;0),(GS18-GS19)/GS19,IF(AND(GS18=0,GS19=0),"",IF(AND(GS18="",GS19=""),"",IF(AND(GS18=0,GS19=""),"", IF(AND(GS18="",GS19=0),"",1)))))</f>
        <v/>
      </c>
      <c r="GT20" s="73" t="str">
        <f t="shared" si="651"/>
        <v/>
      </c>
      <c r="GU20" s="73" t="str">
        <f t="shared" si="651"/>
        <v/>
      </c>
      <c r="GV20" s="73" t="str">
        <f t="shared" si="651"/>
        <v/>
      </c>
      <c r="GW20" s="73" t="str">
        <f t="shared" si="651"/>
        <v/>
      </c>
      <c r="GX20" s="73" t="str">
        <f t="shared" si="651"/>
        <v/>
      </c>
      <c r="GY20" s="73" t="str">
        <f t="shared" si="651"/>
        <v/>
      </c>
      <c r="GZ20" s="73" t="str">
        <f t="shared" si="651"/>
        <v/>
      </c>
      <c r="HA20" s="73" t="str">
        <f t="shared" si="651"/>
        <v/>
      </c>
      <c r="HB20" s="73" t="str">
        <f t="shared" si="651"/>
        <v/>
      </c>
      <c r="HC20" s="73" t="str">
        <f t="shared" si="651"/>
        <v/>
      </c>
      <c r="HD20" s="73" t="str">
        <f t="shared" si="651"/>
        <v/>
      </c>
      <c r="HE20" s="73" t="str">
        <f t="shared" si="651"/>
        <v/>
      </c>
      <c r="HF20" s="73" t="str">
        <f t="shared" si="651"/>
        <v/>
      </c>
      <c r="HG20" s="73" t="str">
        <f t="shared" ref="HG20:HT20" si="652">IF(AND(HG18&lt;&gt;0,HG19&lt;&gt;0),(HG18-HG19)/HG19,IF(AND(HG18=0,HG19=0),"",IF(AND(HG18="",HG19=""),"",IF(AND(HG18=0,HG19=""),"", IF(AND(HG18="",HG19=0),"",1)))))</f>
        <v/>
      </c>
      <c r="HH20" s="73" t="str">
        <f t="shared" si="652"/>
        <v/>
      </c>
      <c r="HI20" s="73" t="str">
        <f t="shared" si="652"/>
        <v/>
      </c>
      <c r="HJ20" s="73" t="str">
        <f t="shared" si="652"/>
        <v/>
      </c>
      <c r="HK20" s="73" t="str">
        <f t="shared" si="652"/>
        <v/>
      </c>
      <c r="HL20" s="73" t="str">
        <f t="shared" si="652"/>
        <v/>
      </c>
      <c r="HM20" s="73" t="str">
        <f t="shared" si="652"/>
        <v/>
      </c>
      <c r="HN20" s="73" t="str">
        <f t="shared" si="652"/>
        <v/>
      </c>
      <c r="HO20" s="73" t="str">
        <f t="shared" si="652"/>
        <v/>
      </c>
      <c r="HP20" s="73" t="str">
        <f t="shared" si="652"/>
        <v/>
      </c>
      <c r="HQ20" s="73" t="str">
        <f t="shared" si="652"/>
        <v/>
      </c>
      <c r="HR20" s="73" t="str">
        <f t="shared" si="652"/>
        <v/>
      </c>
      <c r="HS20" s="73" t="str">
        <f t="shared" si="652"/>
        <v/>
      </c>
      <c r="HT20" s="73" t="str">
        <f t="shared" si="652"/>
        <v/>
      </c>
      <c r="HU20" s="74" t="str">
        <f t="shared" si="651"/>
        <v/>
      </c>
      <c r="HV20" s="39">
        <f t="shared" si="651"/>
        <v>-1.2043887048485624E-6</v>
      </c>
      <c r="HW20" s="40">
        <f t="shared" si="651"/>
        <v>9.0404433272688697E-7</v>
      </c>
      <c r="HX20" s="40">
        <f t="shared" si="651"/>
        <v>-2.4389703395701332E-2</v>
      </c>
      <c r="HY20" s="40">
        <f t="shared" si="651"/>
        <v>-2.0699241059090848E-3</v>
      </c>
      <c r="HZ20" s="40">
        <f t="shared" si="651"/>
        <v>-2.3452538940595658E-7</v>
      </c>
      <c r="IA20" s="40">
        <f t="shared" si="651"/>
        <v>5.4021415941442023E-7</v>
      </c>
      <c r="IB20" s="40">
        <f t="shared" si="651"/>
        <v>-2.3641842103485772E-2</v>
      </c>
      <c r="IC20" s="40">
        <f t="shared" si="651"/>
        <v>-1.66686034578514E-2</v>
      </c>
      <c r="ID20" s="40">
        <f t="shared" si="651"/>
        <v>-4.3991855015230674E-2</v>
      </c>
      <c r="IE20" s="40">
        <f t="shared" si="651"/>
        <v>-0.9769988121338774</v>
      </c>
      <c r="IF20" s="40">
        <f t="shared" si="651"/>
        <v>1</v>
      </c>
      <c r="IG20" s="40" t="str">
        <f t="shared" si="651"/>
        <v/>
      </c>
      <c r="IH20" s="40" t="str">
        <f t="shared" si="651"/>
        <v/>
      </c>
      <c r="II20" s="40" t="str">
        <f t="shared" si="651"/>
        <v/>
      </c>
      <c r="IJ20" s="40" t="str">
        <f t="shared" si="651"/>
        <v/>
      </c>
      <c r="IK20" s="40" t="str">
        <f t="shared" si="651"/>
        <v/>
      </c>
      <c r="IL20" s="40" t="str">
        <f t="shared" si="651"/>
        <v/>
      </c>
      <c r="IM20" s="40" t="str">
        <f t="shared" si="651"/>
        <v/>
      </c>
      <c r="IN20" s="40" t="str">
        <f t="shared" si="651"/>
        <v/>
      </c>
      <c r="IO20" s="40" t="str">
        <f t="shared" si="651"/>
        <v/>
      </c>
      <c r="IP20" s="40" t="str">
        <f t="shared" si="651"/>
        <v/>
      </c>
      <c r="IQ20" s="40" t="str">
        <f t="shared" si="651"/>
        <v/>
      </c>
      <c r="IR20" s="40" t="str">
        <f t="shared" si="651"/>
        <v/>
      </c>
      <c r="IS20" s="40" t="str">
        <f t="shared" ref="IS20:JF20" si="653">IF(AND(IS18&lt;&gt;0,IS19&lt;&gt;0),(IS18-IS19)/IS19,IF(AND(IS18=0,IS19=0),"",IF(AND(IS18="",IS19=""),"",IF(AND(IS18=0,IS19=""),"", IF(AND(IS18="",IS19=0),"",1)))))</f>
        <v/>
      </c>
      <c r="IT20" s="40" t="str">
        <f t="shared" si="653"/>
        <v/>
      </c>
      <c r="IU20" s="40" t="str">
        <f t="shared" si="653"/>
        <v/>
      </c>
      <c r="IV20" s="40" t="str">
        <f t="shared" si="653"/>
        <v/>
      </c>
      <c r="IW20" s="40" t="str">
        <f t="shared" si="653"/>
        <v/>
      </c>
      <c r="IX20" s="40" t="str">
        <f t="shared" si="653"/>
        <v/>
      </c>
      <c r="IY20" s="40" t="str">
        <f t="shared" si="653"/>
        <v/>
      </c>
      <c r="IZ20" s="40" t="str">
        <f t="shared" si="653"/>
        <v/>
      </c>
      <c r="JA20" s="40" t="str">
        <f t="shared" si="653"/>
        <v/>
      </c>
      <c r="JB20" s="40" t="str">
        <f t="shared" si="653"/>
        <v/>
      </c>
      <c r="JC20" s="40" t="str">
        <f t="shared" si="653"/>
        <v/>
      </c>
      <c r="JD20" s="40" t="str">
        <f t="shared" si="653"/>
        <v/>
      </c>
      <c r="JE20" s="40" t="str">
        <f t="shared" si="653"/>
        <v/>
      </c>
      <c r="JF20" s="40" t="str">
        <f t="shared" si="653"/>
        <v/>
      </c>
      <c r="JG20" s="41">
        <f t="shared" si="651"/>
        <v>-0.38167810934253005</v>
      </c>
      <c r="JH20" s="72" t="str">
        <f t="shared" si="651"/>
        <v/>
      </c>
      <c r="JI20" s="73" t="str">
        <f t="shared" si="651"/>
        <v/>
      </c>
      <c r="JJ20" s="73" t="str">
        <f t="shared" si="651"/>
        <v/>
      </c>
      <c r="JK20" s="73" t="str">
        <f t="shared" si="651"/>
        <v/>
      </c>
      <c r="JL20" s="73" t="str">
        <f t="shared" si="651"/>
        <v/>
      </c>
      <c r="JM20" s="73" t="str">
        <f t="shared" si="651"/>
        <v/>
      </c>
      <c r="JN20" s="73" t="str">
        <f t="shared" si="651"/>
        <v/>
      </c>
      <c r="JO20" s="73" t="str">
        <f t="shared" si="651"/>
        <v/>
      </c>
      <c r="JP20" s="73" t="str">
        <f t="shared" si="651"/>
        <v/>
      </c>
      <c r="JQ20" s="73" t="str">
        <f t="shared" si="651"/>
        <v/>
      </c>
      <c r="JR20" s="73" t="str">
        <f t="shared" si="651"/>
        <v/>
      </c>
      <c r="JS20" s="73" t="str">
        <f t="shared" si="651"/>
        <v/>
      </c>
      <c r="JT20" s="73" t="str">
        <f t="shared" si="651"/>
        <v/>
      </c>
      <c r="JU20" s="73" t="str">
        <f t="shared" si="651"/>
        <v/>
      </c>
      <c r="JV20" s="73" t="str">
        <f t="shared" si="651"/>
        <v/>
      </c>
      <c r="JW20" s="73" t="str">
        <f t="shared" si="651"/>
        <v/>
      </c>
      <c r="JX20" s="73" t="str">
        <f t="shared" si="651"/>
        <v/>
      </c>
      <c r="JY20" s="73" t="str">
        <f t="shared" si="651"/>
        <v/>
      </c>
      <c r="JZ20" s="73" t="str">
        <f t="shared" si="651"/>
        <v/>
      </c>
      <c r="KA20" s="73" t="str">
        <f t="shared" si="651"/>
        <v/>
      </c>
      <c r="KB20" s="73" t="str">
        <f t="shared" si="651"/>
        <v/>
      </c>
      <c r="KC20" s="73" t="str">
        <f t="shared" si="651"/>
        <v/>
      </c>
      <c r="KD20" s="73" t="str">
        <f t="shared" si="651"/>
        <v/>
      </c>
      <c r="KE20" s="73" t="str">
        <f t="shared" ref="KE20:KR20" si="654">IF(AND(KE18&lt;&gt;0,KE19&lt;&gt;0),(KE18-KE19)/KE19,IF(AND(KE18=0,KE19=0),"",IF(AND(KE18="",KE19=""),"",IF(AND(KE18=0,KE19=""),"", IF(AND(KE18="",KE19=0),"",1)))))</f>
        <v/>
      </c>
      <c r="KF20" s="73" t="str">
        <f t="shared" si="654"/>
        <v/>
      </c>
      <c r="KG20" s="73" t="str">
        <f t="shared" si="654"/>
        <v/>
      </c>
      <c r="KH20" s="73" t="str">
        <f t="shared" si="654"/>
        <v/>
      </c>
      <c r="KI20" s="73" t="str">
        <f t="shared" si="654"/>
        <v/>
      </c>
      <c r="KJ20" s="73" t="str">
        <f t="shared" si="654"/>
        <v/>
      </c>
      <c r="KK20" s="73" t="str">
        <f t="shared" si="654"/>
        <v/>
      </c>
      <c r="KL20" s="73" t="str">
        <f t="shared" si="654"/>
        <v/>
      </c>
      <c r="KM20" s="73" t="str">
        <f t="shared" si="654"/>
        <v/>
      </c>
      <c r="KN20" s="73" t="str">
        <f t="shared" si="654"/>
        <v/>
      </c>
      <c r="KO20" s="73" t="str">
        <f t="shared" si="654"/>
        <v/>
      </c>
      <c r="KP20" s="73" t="str">
        <f t="shared" si="654"/>
        <v/>
      </c>
      <c r="KQ20" s="73" t="str">
        <f t="shared" si="654"/>
        <v/>
      </c>
      <c r="KR20" s="73" t="str">
        <f t="shared" si="654"/>
        <v/>
      </c>
      <c r="KS20" s="74" t="str">
        <f t="shared" si="651"/>
        <v/>
      </c>
      <c r="KT20" s="72" t="str">
        <f t="shared" si="651"/>
        <v/>
      </c>
      <c r="KU20" s="73" t="str">
        <f t="shared" si="651"/>
        <v/>
      </c>
      <c r="KV20" s="73" t="str">
        <f t="shared" si="651"/>
        <v/>
      </c>
      <c r="KW20" s="73" t="str">
        <f t="shared" si="651"/>
        <v/>
      </c>
      <c r="KX20" s="73" t="str">
        <f t="shared" si="651"/>
        <v/>
      </c>
      <c r="KY20" s="73" t="str">
        <f t="shared" si="651"/>
        <v/>
      </c>
      <c r="KZ20" s="73" t="str">
        <f t="shared" si="651"/>
        <v/>
      </c>
      <c r="LA20" s="73" t="str">
        <f t="shared" si="651"/>
        <v/>
      </c>
      <c r="LB20" s="73" t="str">
        <f t="shared" si="651"/>
        <v/>
      </c>
      <c r="LC20" s="73" t="str">
        <f t="shared" si="651"/>
        <v/>
      </c>
      <c r="LD20" s="73" t="str">
        <f t="shared" ref="LD20:PC20" si="655">IF(AND(LD18&lt;&gt;0,LD19&lt;&gt;0),(LD18-LD19)/LD19,IF(AND(LD18=0,LD19=0),"",IF(AND(LD18="",LD19=""),"",IF(AND(LD18=0,LD19=""),"", IF(AND(LD18="",LD19=0),"",1)))))</f>
        <v/>
      </c>
      <c r="LE20" s="73" t="str">
        <f t="shared" si="655"/>
        <v/>
      </c>
      <c r="LF20" s="73" t="str">
        <f t="shared" si="655"/>
        <v/>
      </c>
      <c r="LG20" s="73" t="str">
        <f t="shared" si="655"/>
        <v/>
      </c>
      <c r="LH20" s="73" t="str">
        <f t="shared" si="655"/>
        <v/>
      </c>
      <c r="LI20" s="73" t="str">
        <f t="shared" si="655"/>
        <v/>
      </c>
      <c r="LJ20" s="73" t="str">
        <f t="shared" si="655"/>
        <v/>
      </c>
      <c r="LK20" s="73" t="str">
        <f t="shared" si="655"/>
        <v/>
      </c>
      <c r="LL20" s="73" t="str">
        <f t="shared" si="655"/>
        <v/>
      </c>
      <c r="LM20" s="73" t="str">
        <f t="shared" si="655"/>
        <v/>
      </c>
      <c r="LN20" s="73" t="str">
        <f t="shared" si="655"/>
        <v/>
      </c>
      <c r="LO20" s="73" t="str">
        <f t="shared" si="655"/>
        <v/>
      </c>
      <c r="LP20" s="73" t="str">
        <f t="shared" si="655"/>
        <v/>
      </c>
      <c r="LQ20" s="73" t="str">
        <f t="shared" ref="LQ20:MD20" si="656">IF(AND(LQ18&lt;&gt;0,LQ19&lt;&gt;0),(LQ18-LQ19)/LQ19,IF(AND(LQ18=0,LQ19=0),"",IF(AND(LQ18="",LQ19=""),"",IF(AND(LQ18=0,LQ19=""),"", IF(AND(LQ18="",LQ19=0),"",1)))))</f>
        <v/>
      </c>
      <c r="LR20" s="73" t="str">
        <f t="shared" si="656"/>
        <v/>
      </c>
      <c r="LS20" s="73" t="str">
        <f t="shared" si="656"/>
        <v/>
      </c>
      <c r="LT20" s="73" t="str">
        <f t="shared" si="656"/>
        <v/>
      </c>
      <c r="LU20" s="73" t="str">
        <f t="shared" si="656"/>
        <v/>
      </c>
      <c r="LV20" s="73" t="str">
        <f t="shared" si="656"/>
        <v/>
      </c>
      <c r="LW20" s="73" t="str">
        <f t="shared" si="656"/>
        <v/>
      </c>
      <c r="LX20" s="73" t="str">
        <f t="shared" si="656"/>
        <v/>
      </c>
      <c r="LY20" s="73" t="str">
        <f t="shared" si="656"/>
        <v/>
      </c>
      <c r="LZ20" s="73" t="str">
        <f t="shared" si="656"/>
        <v/>
      </c>
      <c r="MA20" s="73" t="str">
        <f t="shared" si="656"/>
        <v/>
      </c>
      <c r="MB20" s="73" t="str">
        <f t="shared" si="656"/>
        <v/>
      </c>
      <c r="MC20" s="73" t="str">
        <f t="shared" si="656"/>
        <v/>
      </c>
      <c r="MD20" s="73" t="str">
        <f t="shared" si="656"/>
        <v/>
      </c>
      <c r="ME20" s="74" t="str">
        <f t="shared" si="655"/>
        <v/>
      </c>
      <c r="MF20" s="72" t="str">
        <f t="shared" si="655"/>
        <v/>
      </c>
      <c r="MG20" s="73" t="str">
        <f t="shared" si="655"/>
        <v/>
      </c>
      <c r="MH20" s="73" t="str">
        <f t="shared" si="655"/>
        <v/>
      </c>
      <c r="MI20" s="73" t="str">
        <f t="shared" si="655"/>
        <v/>
      </c>
      <c r="MJ20" s="73" t="str">
        <f t="shared" si="655"/>
        <v/>
      </c>
      <c r="MK20" s="73" t="str">
        <f t="shared" si="655"/>
        <v/>
      </c>
      <c r="ML20" s="73" t="str">
        <f t="shared" si="655"/>
        <v/>
      </c>
      <c r="MM20" s="73" t="str">
        <f t="shared" si="655"/>
        <v/>
      </c>
      <c r="MN20" s="73" t="str">
        <f t="shared" si="655"/>
        <v/>
      </c>
      <c r="MO20" s="73" t="str">
        <f t="shared" si="655"/>
        <v/>
      </c>
      <c r="MP20" s="73" t="str">
        <f t="shared" si="655"/>
        <v/>
      </c>
      <c r="MQ20" s="73" t="str">
        <f t="shared" si="655"/>
        <v/>
      </c>
      <c r="MR20" s="73" t="str">
        <f t="shared" si="655"/>
        <v/>
      </c>
      <c r="MS20" s="73" t="str">
        <f t="shared" si="655"/>
        <v/>
      </c>
      <c r="MT20" s="73" t="str">
        <f t="shared" si="655"/>
        <v/>
      </c>
      <c r="MU20" s="73" t="str">
        <f t="shared" si="655"/>
        <v/>
      </c>
      <c r="MV20" s="73" t="str">
        <f t="shared" si="655"/>
        <v/>
      </c>
      <c r="MW20" s="73" t="str">
        <f t="shared" si="655"/>
        <v/>
      </c>
      <c r="MX20" s="73" t="str">
        <f t="shared" si="655"/>
        <v/>
      </c>
      <c r="MY20" s="73" t="str">
        <f t="shared" si="655"/>
        <v/>
      </c>
      <c r="MZ20" s="73" t="str">
        <f t="shared" si="655"/>
        <v/>
      </c>
      <c r="NA20" s="73" t="str">
        <f t="shared" si="655"/>
        <v/>
      </c>
      <c r="NB20" s="73" t="str">
        <f t="shared" si="655"/>
        <v/>
      </c>
      <c r="NC20" s="73" t="str">
        <f t="shared" ref="NC20:NP20" si="657">IF(AND(NC18&lt;&gt;0,NC19&lt;&gt;0),(NC18-NC19)/NC19,IF(AND(NC18=0,NC19=0),"",IF(AND(NC18="",NC19=""),"",IF(AND(NC18=0,NC19=""),"", IF(AND(NC18="",NC19=0),"",1)))))</f>
        <v/>
      </c>
      <c r="ND20" s="73" t="str">
        <f t="shared" si="657"/>
        <v/>
      </c>
      <c r="NE20" s="73" t="str">
        <f t="shared" si="657"/>
        <v/>
      </c>
      <c r="NF20" s="73" t="str">
        <f t="shared" si="657"/>
        <v/>
      </c>
      <c r="NG20" s="73" t="str">
        <f t="shared" si="657"/>
        <v/>
      </c>
      <c r="NH20" s="73" t="str">
        <f t="shared" si="657"/>
        <v/>
      </c>
      <c r="NI20" s="73" t="str">
        <f t="shared" si="657"/>
        <v/>
      </c>
      <c r="NJ20" s="73" t="str">
        <f t="shared" si="657"/>
        <v/>
      </c>
      <c r="NK20" s="73" t="str">
        <f t="shared" si="657"/>
        <v/>
      </c>
      <c r="NL20" s="73" t="str">
        <f t="shared" si="657"/>
        <v/>
      </c>
      <c r="NM20" s="73" t="str">
        <f t="shared" si="657"/>
        <v/>
      </c>
      <c r="NN20" s="73" t="str">
        <f t="shared" si="657"/>
        <v/>
      </c>
      <c r="NO20" s="73" t="str">
        <f t="shared" si="657"/>
        <v/>
      </c>
      <c r="NP20" s="73" t="str">
        <f t="shared" si="657"/>
        <v/>
      </c>
      <c r="NQ20" s="74" t="str">
        <f t="shared" si="655"/>
        <v/>
      </c>
      <c r="NR20" s="40">
        <f t="shared" si="655"/>
        <v>-2.7304570932947168E-2</v>
      </c>
      <c r="NS20" s="40">
        <f t="shared" si="655"/>
        <v>3.7896817576847166E-7</v>
      </c>
      <c r="NT20" s="40">
        <f t="shared" si="655"/>
        <v>1.6333137591888311E-6</v>
      </c>
      <c r="NU20" s="40">
        <f t="shared" si="655"/>
        <v>9.9157557392394221E-8</v>
      </c>
      <c r="NV20" s="40">
        <f t="shared" si="655"/>
        <v>1.3310420298022359E-6</v>
      </c>
      <c r="NW20" s="40">
        <f t="shared" si="655"/>
        <v>-5.6146754668671079E-3</v>
      </c>
      <c r="NX20" s="40" t="str">
        <f t="shared" si="655"/>
        <v/>
      </c>
      <c r="NY20" s="40">
        <f t="shared" si="655"/>
        <v>-0.33178994587156868</v>
      </c>
      <c r="NZ20" s="40">
        <f t="shared" si="655"/>
        <v>-3.8994089316987738E-4</v>
      </c>
      <c r="OA20" s="40">
        <f t="shared" si="655"/>
        <v>-6.5990322424944492E-7</v>
      </c>
      <c r="OB20" s="40">
        <f t="shared" si="655"/>
        <v>1</v>
      </c>
      <c r="OC20" s="40" t="str">
        <f t="shared" si="655"/>
        <v/>
      </c>
      <c r="OD20" s="40" t="str">
        <f t="shared" si="655"/>
        <v/>
      </c>
      <c r="OE20" s="40" t="str">
        <f t="shared" si="655"/>
        <v/>
      </c>
      <c r="OF20" s="40" t="str">
        <f t="shared" si="655"/>
        <v/>
      </c>
      <c r="OG20" s="40" t="str">
        <f t="shared" si="655"/>
        <v/>
      </c>
      <c r="OH20" s="40" t="str">
        <f t="shared" si="655"/>
        <v/>
      </c>
      <c r="OI20" s="40" t="str">
        <f t="shared" si="655"/>
        <v/>
      </c>
      <c r="OJ20" s="40" t="str">
        <f t="shared" si="655"/>
        <v/>
      </c>
      <c r="OK20" s="40" t="str">
        <f t="shared" si="655"/>
        <v/>
      </c>
      <c r="OL20" s="40" t="str">
        <f t="shared" si="655"/>
        <v/>
      </c>
      <c r="OM20" s="40" t="str">
        <f t="shared" si="655"/>
        <v/>
      </c>
      <c r="ON20" s="40" t="str">
        <f t="shared" si="655"/>
        <v/>
      </c>
      <c r="OO20" s="40" t="str">
        <f t="shared" ref="OO20:PB20" si="658">IF(AND(OO18&lt;&gt;0,OO19&lt;&gt;0),(OO18-OO19)/OO19,IF(AND(OO18=0,OO19=0),"",IF(AND(OO18="",OO19=""),"",IF(AND(OO18=0,OO19=""),"", IF(AND(OO18="",OO19=0),"",1)))))</f>
        <v/>
      </c>
      <c r="OP20" s="40" t="str">
        <f t="shared" si="658"/>
        <v/>
      </c>
      <c r="OQ20" s="40" t="str">
        <f t="shared" si="658"/>
        <v/>
      </c>
      <c r="OR20" s="40" t="str">
        <f t="shared" si="658"/>
        <v/>
      </c>
      <c r="OS20" s="40" t="str">
        <f t="shared" si="658"/>
        <v/>
      </c>
      <c r="OT20" s="40" t="str">
        <f t="shared" si="658"/>
        <v/>
      </c>
      <c r="OU20" s="40" t="str">
        <f t="shared" si="658"/>
        <v/>
      </c>
      <c r="OV20" s="40" t="str">
        <f t="shared" si="658"/>
        <v/>
      </c>
      <c r="OW20" s="40" t="str">
        <f t="shared" si="658"/>
        <v/>
      </c>
      <c r="OX20" s="40" t="str">
        <f t="shared" si="658"/>
        <v/>
      </c>
      <c r="OY20" s="40" t="str">
        <f t="shared" si="658"/>
        <v/>
      </c>
      <c r="OZ20" s="40" t="str">
        <f t="shared" si="658"/>
        <v/>
      </c>
      <c r="PA20" s="40" t="str">
        <f t="shared" si="658"/>
        <v/>
      </c>
      <c r="PB20" s="40" t="str">
        <f t="shared" si="658"/>
        <v/>
      </c>
      <c r="PC20" s="41">
        <f t="shared" si="655"/>
        <v>-6.4914888963360758E-3</v>
      </c>
    </row>
    <row r="21" spans="1:419" outlineLevel="1" x14ac:dyDescent="0.3">
      <c r="A21" s="46" t="s">
        <v>16</v>
      </c>
      <c r="B21" s="14">
        <f>'[1]D-PDP'!$BX$12</f>
        <v>3424593</v>
      </c>
      <c r="C21" s="14">
        <f>'[1]D-PDP'!$BX$13</f>
        <v>2982805.75</v>
      </c>
      <c r="D21" s="14">
        <f>'[1]D-PDP'!$BX$14</f>
        <v>2387305.25</v>
      </c>
      <c r="E21" s="14">
        <f>'[1]D-PDP'!$BX$15</f>
        <v>1848287.5</v>
      </c>
      <c r="F21" s="14">
        <f>'[1]D-PDP'!$BX$16</f>
        <v>1358955.875</v>
      </c>
      <c r="G21" s="14">
        <f>'[1]D-PDP'!$BX$17</f>
        <v>1002953.8125</v>
      </c>
      <c r="H21" s="14">
        <f>'[1]D-PDP'!$BX$18</f>
        <v>501302.34375</v>
      </c>
      <c r="I21" s="14">
        <f>'[1]D-PDP'!$BX$19</f>
        <v>201924.640625</v>
      </c>
      <c r="J21" s="14">
        <f>'[1]D-PDP'!$BX$20</f>
        <v>111384.7421875</v>
      </c>
      <c r="K21" s="14">
        <f>'[1]D-PDP'!$BX$21</f>
        <v>130482.1484375</v>
      </c>
      <c r="L21" s="14">
        <f>'[1]D-PDP'!$BX$22</f>
        <v>82946.0859375</v>
      </c>
      <c r="M21" s="14">
        <f>'[1]D-PDP'!$BX$23</f>
        <v>0</v>
      </c>
      <c r="N21" s="14">
        <f>'[1]D-PDP'!$BX$24</f>
        <v>0</v>
      </c>
      <c r="O21" s="14">
        <f>'[1]D-PDP'!$BX$25</f>
        <v>0</v>
      </c>
      <c r="P21" s="14">
        <f>'[1]D-PDP'!$BX$26</f>
        <v>0</v>
      </c>
      <c r="Q21" s="14">
        <f>'[1]D-PDP'!$BX$27</f>
        <v>0</v>
      </c>
      <c r="R21" s="14">
        <f>'[1]D-PDP'!$BX$28</f>
        <v>0</v>
      </c>
      <c r="S21" s="14">
        <f>'[1]D-PDP'!$BX$29</f>
        <v>0</v>
      </c>
      <c r="T21" s="14">
        <f>'[1]D-PDP'!$BX$30</f>
        <v>0</v>
      </c>
      <c r="U21" s="14">
        <f>'[1]D-PDP'!$BX$31</f>
        <v>0</v>
      </c>
      <c r="V21" s="14">
        <f>'[1]D-PDP'!$BX$32</f>
        <v>0</v>
      </c>
      <c r="W21" s="14">
        <f>'[1]D-PDP'!$BX$33</f>
        <v>0</v>
      </c>
      <c r="X21" s="14">
        <f>'[1]D-PDP'!$BX$34</f>
        <v>0</v>
      </c>
      <c r="Y21" s="14">
        <f>'[1]D-PDP'!$BX$35</f>
        <v>0</v>
      </c>
      <c r="Z21" s="14">
        <f>'[1]D-PDP'!$BX$36</f>
        <v>0</v>
      </c>
      <c r="AA21" s="14">
        <f>'[1]D-PDP'!$BX$37</f>
        <v>0</v>
      </c>
      <c r="AB21" s="14">
        <f>'[1]D-PDP'!$BX$38</f>
        <v>0</v>
      </c>
      <c r="AC21" s="14">
        <f>'[1]D-PDP'!$BX$39</f>
        <v>0</v>
      </c>
      <c r="AD21" s="14">
        <f>'[1]D-PDP'!$BX$40</f>
        <v>0</v>
      </c>
      <c r="AE21" s="14">
        <f>'[1]D-PDP'!$BX$41</f>
        <v>0</v>
      </c>
      <c r="AF21" s="14">
        <f>'[1]D-PDP'!$BX$42</f>
        <v>0</v>
      </c>
      <c r="AG21" s="14">
        <f>'[1]D-PDP'!$BX$43</f>
        <v>0</v>
      </c>
      <c r="AH21" s="14">
        <f>'[1]D-PDP'!$BX$44</f>
        <v>0</v>
      </c>
      <c r="AI21" s="14">
        <f>'[1]D-PDP'!$BX$45</f>
        <v>0</v>
      </c>
      <c r="AJ21" s="14">
        <f>'[1]D-PDP'!$BX$46</f>
        <v>0</v>
      </c>
      <c r="AK21" s="14">
        <f>'[1]D-PDP'!$BX$47</f>
        <v>0</v>
      </c>
      <c r="AL21" s="14">
        <f>'[1]D-PDP'!$BX$48</f>
        <v>0</v>
      </c>
      <c r="AM21" s="16">
        <f>SUM(B21:AL21)</f>
        <v>14032941.1484375</v>
      </c>
      <c r="AN21" s="28">
        <f>'[1]D-PNP'!$BX$12</f>
        <v>156392.1875</v>
      </c>
      <c r="AO21" s="14">
        <f>'[1]D-PNP'!$BX$13</f>
        <v>199594.953125</v>
      </c>
      <c r="AP21" s="14">
        <f>'[1]D-PNP'!$BX$14</f>
        <v>305397.65625</v>
      </c>
      <c r="AQ21" s="14">
        <f>'[1]D-PNP'!$BX$15</f>
        <v>303456.8125</v>
      </c>
      <c r="AR21" s="14">
        <f>'[1]D-PNP'!$BX$16</f>
        <v>208625.21875</v>
      </c>
      <c r="AS21" s="14">
        <f>'[1]D-PNP'!$BX$17</f>
        <v>188431.25</v>
      </c>
      <c r="AT21" s="14">
        <f>'[1]D-PNP'!$BX$18</f>
        <v>141611.875</v>
      </c>
      <c r="AU21" s="14">
        <f>'[1]D-PNP'!$BX$19</f>
        <v>108676.0625</v>
      </c>
      <c r="AV21" s="14">
        <f>'[1]D-PNP'!$BX$20</f>
        <v>54677.1015625</v>
      </c>
      <c r="AW21" s="14">
        <f>'[1]D-PNP'!$BX$21</f>
        <v>0</v>
      </c>
      <c r="AX21" s="14">
        <f>'[1]D-PNP'!$BX$22</f>
        <v>0</v>
      </c>
      <c r="AY21" s="14">
        <f>'[1]D-PNP'!$BX$23</f>
        <v>0</v>
      </c>
      <c r="AZ21" s="14">
        <f>'[1]D-PNP'!$BX$24</f>
        <v>0</v>
      </c>
      <c r="BA21" s="14">
        <f>'[1]D-PNP'!$BX$25</f>
        <v>0</v>
      </c>
      <c r="BB21" s="14">
        <f>'[1]D-PNP'!$BX$26</f>
        <v>0</v>
      </c>
      <c r="BC21" s="14">
        <f>'[1]D-PNP'!$BX$27</f>
        <v>0</v>
      </c>
      <c r="BD21" s="14">
        <f>'[1]D-PNP'!$BX$28</f>
        <v>0</v>
      </c>
      <c r="BE21" s="14">
        <f>'[1]D-PNP'!$BX$29</f>
        <v>0</v>
      </c>
      <c r="BF21" s="14">
        <f>'[1]D-PNP'!$BX$30</f>
        <v>0</v>
      </c>
      <c r="BG21" s="14">
        <f>'[1]D-PNP'!$BX$31</f>
        <v>0</v>
      </c>
      <c r="BH21" s="14">
        <f>'[1]D-PNP'!$BX$32</f>
        <v>0</v>
      </c>
      <c r="BI21" s="14">
        <f>'[1]D-PNP'!$BX$33</f>
        <v>0</v>
      </c>
      <c r="BJ21" s="14">
        <f>'[1]D-PNP'!$BX$34</f>
        <v>0</v>
      </c>
      <c r="BK21" s="14">
        <f>'[1]D-PNP'!$BX$35</f>
        <v>0</v>
      </c>
      <c r="BL21" s="14">
        <f>'[1]D-PNP'!$BX$36</f>
        <v>0</v>
      </c>
      <c r="BM21" s="14">
        <f>'[1]D-PNP'!$BX$37</f>
        <v>0</v>
      </c>
      <c r="BN21" s="14">
        <f>'[1]D-PNP'!$BX$38</f>
        <v>0</v>
      </c>
      <c r="BO21" s="14">
        <f>'[1]D-PNP'!$BX$39</f>
        <v>0</v>
      </c>
      <c r="BP21" s="14">
        <f>'[1]D-PNP'!$BX$40</f>
        <v>0</v>
      </c>
      <c r="BQ21" s="14">
        <f>'[1]D-PNP'!$BX$41</f>
        <v>0</v>
      </c>
      <c r="BR21" s="14">
        <f>'[1]D-PNP'!$BX$42</f>
        <v>0</v>
      </c>
      <c r="BS21" s="14">
        <f>'[1]D-PNP'!$BX$43</f>
        <v>0</v>
      </c>
      <c r="BT21" s="14">
        <f>'[1]D-PNP'!$BX$44</f>
        <v>0</v>
      </c>
      <c r="BU21" s="14">
        <f>'[1]D-PNP'!$BX$45</f>
        <v>0</v>
      </c>
      <c r="BV21" s="14">
        <f>'[1]D-PNP'!$BX$46</f>
        <v>0</v>
      </c>
      <c r="BW21" s="14">
        <f>'[1]D-PNP'!$BX$47</f>
        <v>0</v>
      </c>
      <c r="BX21" s="14">
        <f>'[1]D-PNP'!$BX$48</f>
        <v>0</v>
      </c>
      <c r="BY21" s="16">
        <f>SUM(AN21:BX21)</f>
        <v>1666863.1171875</v>
      </c>
      <c r="BZ21" s="28">
        <f>'[1]D-PND'!$BX$12</f>
        <v>339462.21875</v>
      </c>
      <c r="CA21" s="14">
        <f>'[1]D-PND'!$BX$13</f>
        <v>469387.40625</v>
      </c>
      <c r="CB21" s="14">
        <f>'[1]D-PND'!$BX$14</f>
        <v>486484.875</v>
      </c>
      <c r="CC21" s="14">
        <f>'[1]D-PND'!$BX$15</f>
        <v>547923.1875</v>
      </c>
      <c r="CD21" s="14">
        <f>'[1]D-PND'!$BX$16</f>
        <v>1226687.375</v>
      </c>
      <c r="CE21" s="14">
        <f>'[1]D-PND'!$BX$17</f>
        <v>1755844.75</v>
      </c>
      <c r="CF21" s="14">
        <f>'[1]D-PND'!$BX$18</f>
        <v>2183160.75</v>
      </c>
      <c r="CG21" s="14">
        <f>'[1]D-PND'!$BX$19</f>
        <v>2241086.75</v>
      </c>
      <c r="CH21" s="14">
        <f>'[1]D-PND'!$BX$20</f>
        <v>2555296</v>
      </c>
      <c r="CI21" s="14">
        <f>'[1]D-PND'!$BX$21</f>
        <v>8955599</v>
      </c>
      <c r="CJ21" s="14">
        <f>'[1]D-PND'!$BX$22</f>
        <v>4877174</v>
      </c>
      <c r="CK21" s="14">
        <f>'[1]D-PND'!$BX$23</f>
        <v>0</v>
      </c>
      <c r="CL21" s="14">
        <f>'[1]D-PND'!$BX$24</f>
        <v>0</v>
      </c>
      <c r="CM21" s="14">
        <f>'[1]D-PND'!$BX$25</f>
        <v>0</v>
      </c>
      <c r="CN21" s="14">
        <f>'[1]D-PND'!$BX$26</f>
        <v>0</v>
      </c>
      <c r="CO21" s="14">
        <f>'[1]D-PND'!$BX$27</f>
        <v>0</v>
      </c>
      <c r="CP21" s="14">
        <f>'[1]D-PND'!$BX$28</f>
        <v>0</v>
      </c>
      <c r="CQ21" s="14">
        <f>'[1]D-PND'!$BX$29</f>
        <v>0</v>
      </c>
      <c r="CR21" s="14">
        <f>'[1]D-PND'!$BX$30</f>
        <v>0</v>
      </c>
      <c r="CS21" s="14">
        <f>'[1]D-PND'!$BX$31</f>
        <v>0</v>
      </c>
      <c r="CT21" s="14">
        <f>'[1]D-PND'!$BX$32</f>
        <v>0</v>
      </c>
      <c r="CU21" s="14">
        <f>'[1]D-PND'!$BX$33</f>
        <v>0</v>
      </c>
      <c r="CV21" s="14">
        <f>'[1]D-PND'!$BX$34</f>
        <v>0</v>
      </c>
      <c r="CW21" s="14">
        <f>'[1]D-PND'!$BX$35</f>
        <v>0</v>
      </c>
      <c r="CX21" s="14">
        <f>'[1]D-PND'!$BX$36</f>
        <v>0</v>
      </c>
      <c r="CY21" s="14">
        <f>'[1]D-PND'!$BX$37</f>
        <v>0</v>
      </c>
      <c r="CZ21" s="14">
        <f>'[1]D-PND'!$BX$38</f>
        <v>0</v>
      </c>
      <c r="DA21" s="14">
        <f>'[1]D-PND'!$BX$39</f>
        <v>0</v>
      </c>
      <c r="DB21" s="14">
        <f>'[1]D-PND'!$BX$40</f>
        <v>0</v>
      </c>
      <c r="DC21" s="14">
        <f>'[1]D-PND'!$BX$41</f>
        <v>0</v>
      </c>
      <c r="DD21" s="14">
        <f>'[1]D-PND'!$BX$42</f>
        <v>0</v>
      </c>
      <c r="DE21" s="14">
        <f>'[1]D-PND'!$BX$43</f>
        <v>0</v>
      </c>
      <c r="DF21" s="14">
        <f>'[1]D-PND'!$BX$44</f>
        <v>0</v>
      </c>
      <c r="DG21" s="14">
        <f>'[1]D-PND'!$BX$45</f>
        <v>0</v>
      </c>
      <c r="DH21" s="14">
        <f>'[1]D-PND'!$BX$46</f>
        <v>0</v>
      </c>
      <c r="DI21" s="14">
        <f>'[1]D-PND'!$BX$47</f>
        <v>0</v>
      </c>
      <c r="DJ21" s="14">
        <f>'[1]D-PND'!$BX$48</f>
        <v>0</v>
      </c>
      <c r="DK21" s="16">
        <f>SUM(BZ21:DJ21)</f>
        <v>25638106.3125</v>
      </c>
      <c r="DL21" s="66"/>
      <c r="DM21" s="67"/>
      <c r="DN21" s="67"/>
      <c r="DO21" s="67"/>
      <c r="DP21" s="67"/>
      <c r="DQ21" s="67"/>
      <c r="DR21" s="67"/>
      <c r="DS21" s="67"/>
      <c r="DT21" s="67"/>
      <c r="DU21" s="67"/>
      <c r="DV21" s="67"/>
      <c r="DW21" s="67"/>
      <c r="DX21" s="67"/>
      <c r="DY21" s="67"/>
      <c r="DZ21" s="67"/>
      <c r="EA21" s="67"/>
      <c r="EB21" s="67"/>
      <c r="EC21" s="67"/>
      <c r="ED21" s="67"/>
      <c r="EE21" s="67"/>
      <c r="EF21" s="67"/>
      <c r="EG21" s="67"/>
      <c r="EH21" s="67"/>
      <c r="EI21" s="67"/>
      <c r="EJ21" s="67"/>
      <c r="EK21" s="67"/>
      <c r="EL21" s="67"/>
      <c r="EM21" s="67"/>
      <c r="EN21" s="67"/>
      <c r="EO21" s="67"/>
      <c r="EP21" s="67"/>
      <c r="EQ21" s="67"/>
      <c r="ER21" s="67"/>
      <c r="ES21" s="67"/>
      <c r="ET21" s="67"/>
      <c r="EU21" s="67"/>
      <c r="EV21" s="67"/>
      <c r="EW21" s="68">
        <f>SUM(DL21:EV21)</f>
        <v>0</v>
      </c>
      <c r="EX21" s="66"/>
      <c r="EY21" s="67"/>
      <c r="EZ21" s="67"/>
      <c r="FA21" s="67"/>
      <c r="FB21" s="67"/>
      <c r="FC21" s="67"/>
      <c r="FD21" s="67"/>
      <c r="FE21" s="67"/>
      <c r="FF21" s="67"/>
      <c r="FG21" s="67"/>
      <c r="FH21" s="67"/>
      <c r="FI21" s="67"/>
      <c r="FJ21" s="67"/>
      <c r="FK21" s="67"/>
      <c r="FL21" s="67"/>
      <c r="FM21" s="67"/>
      <c r="FN21" s="67"/>
      <c r="FO21" s="67"/>
      <c r="FP21" s="67"/>
      <c r="FQ21" s="67"/>
      <c r="FR21" s="67"/>
      <c r="FS21" s="67"/>
      <c r="FT21" s="67"/>
      <c r="FU21" s="67"/>
      <c r="FV21" s="67"/>
      <c r="FW21" s="67"/>
      <c r="FX21" s="67"/>
      <c r="FY21" s="67"/>
      <c r="FZ21" s="67"/>
      <c r="GA21" s="67"/>
      <c r="GB21" s="67"/>
      <c r="GC21" s="67"/>
      <c r="GD21" s="67"/>
      <c r="GE21" s="67"/>
      <c r="GF21" s="67"/>
      <c r="GG21" s="67"/>
      <c r="GH21" s="67"/>
      <c r="GI21" s="68">
        <f>SUM(EX21:GH21)</f>
        <v>0</v>
      </c>
      <c r="GJ21" s="66"/>
      <c r="GK21" s="67"/>
      <c r="GL21" s="67"/>
      <c r="GM21" s="67"/>
      <c r="GN21" s="67"/>
      <c r="GO21" s="67"/>
      <c r="GP21" s="67"/>
      <c r="GQ21" s="67"/>
      <c r="GR21" s="67"/>
      <c r="GS21" s="67"/>
      <c r="GT21" s="67"/>
      <c r="GU21" s="67"/>
      <c r="GV21" s="67"/>
      <c r="GW21" s="67"/>
      <c r="GX21" s="67"/>
      <c r="GY21" s="67"/>
      <c r="GZ21" s="67"/>
      <c r="HA21" s="67"/>
      <c r="HB21" s="67"/>
      <c r="HC21" s="67"/>
      <c r="HD21" s="67"/>
      <c r="HE21" s="67"/>
      <c r="HF21" s="67"/>
      <c r="HG21" s="67"/>
      <c r="HH21" s="67"/>
      <c r="HI21" s="67"/>
      <c r="HJ21" s="67"/>
      <c r="HK21" s="67"/>
      <c r="HL21" s="67"/>
      <c r="HM21" s="67"/>
      <c r="HN21" s="67"/>
      <c r="HO21" s="67"/>
      <c r="HP21" s="67"/>
      <c r="HQ21" s="67"/>
      <c r="HR21" s="67"/>
      <c r="HS21" s="67"/>
      <c r="HT21" s="67"/>
      <c r="HU21" s="68">
        <f>SUM(GJ21:HT21)</f>
        <v>0</v>
      </c>
      <c r="HV21" s="28">
        <f>'[1]D-PRB'!$BX$12</f>
        <v>171248.4375</v>
      </c>
      <c r="HW21" s="14">
        <f>'[1]D-PRB'!$BX$13</f>
        <v>186661.421875</v>
      </c>
      <c r="HX21" s="14">
        <f>'[1]D-PRB'!$BX$14</f>
        <v>196457.984375</v>
      </c>
      <c r="HY21" s="14">
        <f>'[1]D-PRB'!$BX$15</f>
        <v>239403.53125</v>
      </c>
      <c r="HZ21" s="14">
        <f>'[1]D-PRB'!$BX$16</f>
        <v>239846.03125</v>
      </c>
      <c r="IA21" s="14">
        <f>'[1]D-PRB'!$BX$17</f>
        <v>242959.40625</v>
      </c>
      <c r="IB21" s="14">
        <f>'[1]D-PRB'!$BX$18</f>
        <v>216837.9375</v>
      </c>
      <c r="IC21" s="14">
        <f>'[1]D-PRB'!$BX$19</f>
        <v>122168.0546875</v>
      </c>
      <c r="ID21" s="14">
        <f>'[1]D-PRB'!$BX$20</f>
        <v>83267.4296875</v>
      </c>
      <c r="IE21" s="14">
        <f>'[1]D-PRB'!$BX$21</f>
        <v>83991.390625</v>
      </c>
      <c r="IF21" s="14">
        <f>'[1]D-PRB'!$BX$22</f>
        <v>48560.546875</v>
      </c>
      <c r="IG21" s="14">
        <f>'[1]D-PRB'!$BX$23</f>
        <v>0</v>
      </c>
      <c r="IH21" s="14">
        <f>'[1]D-PRB'!$BX$24</f>
        <v>0</v>
      </c>
      <c r="II21" s="14">
        <f>'[1]D-PRB'!$BX$25</f>
        <v>0</v>
      </c>
      <c r="IJ21" s="14">
        <f>'[1]D-PRB'!$BX$26</f>
        <v>0</v>
      </c>
      <c r="IK21" s="14">
        <f>'[1]D-PRB'!$BX$27</f>
        <v>0</v>
      </c>
      <c r="IL21" s="14">
        <f>'[1]D-PRB'!$BX$28</f>
        <v>0</v>
      </c>
      <c r="IM21" s="14">
        <f>'[1]D-PRB'!$BX$29</f>
        <v>0</v>
      </c>
      <c r="IN21" s="14">
        <f>'[1]D-PRB'!$BX$30</f>
        <v>0</v>
      </c>
      <c r="IO21" s="14">
        <f>'[1]D-PRB'!$BX$31</f>
        <v>0</v>
      </c>
      <c r="IP21" s="14">
        <f>'[1]D-PRB'!$BX$32</f>
        <v>0</v>
      </c>
      <c r="IQ21" s="14">
        <f>'[1]D-PRB'!$BX$33</f>
        <v>0</v>
      </c>
      <c r="IR21" s="14">
        <f>'[1]D-PRB'!$BX$34</f>
        <v>0</v>
      </c>
      <c r="IS21" s="14">
        <f>'[1]D-PRB'!$BX$35</f>
        <v>0</v>
      </c>
      <c r="IT21" s="14">
        <f>'[1]D-PRB'!$BX$36</f>
        <v>0</v>
      </c>
      <c r="IU21" s="14">
        <f>'[1]D-PRB'!$BX$37</f>
        <v>0</v>
      </c>
      <c r="IV21" s="14">
        <f>'[1]D-PRB'!$BX$38</f>
        <v>0</v>
      </c>
      <c r="IW21" s="14">
        <f>'[1]D-PRB'!$BX$39</f>
        <v>0</v>
      </c>
      <c r="IX21" s="14">
        <f>'[1]D-PRB'!$BX$40</f>
        <v>0</v>
      </c>
      <c r="IY21" s="14">
        <f>'[1]D-PRB'!$BX$41</f>
        <v>0</v>
      </c>
      <c r="IZ21" s="14">
        <f>'[1]D-PRB'!$BX$42</f>
        <v>0</v>
      </c>
      <c r="JA21" s="14">
        <f>'[1]D-PRB'!$BX$43</f>
        <v>0</v>
      </c>
      <c r="JB21" s="14">
        <f>'[1]D-PRB'!$BX$44</f>
        <v>0</v>
      </c>
      <c r="JC21" s="14">
        <f>'[1]D-PRB'!$BX$45</f>
        <v>0</v>
      </c>
      <c r="JD21" s="14">
        <f>'[1]D-PRB'!$BX$46</f>
        <v>0</v>
      </c>
      <c r="JE21" s="14">
        <f>'[1]D-PRB'!$BX$47</f>
        <v>0</v>
      </c>
      <c r="JF21" s="14">
        <f>'[1]D-PRB'!$BX$48</f>
        <v>0</v>
      </c>
      <c r="JG21" s="16">
        <f>SUM(HV21:JF21)</f>
        <v>1831402.171875</v>
      </c>
      <c r="JH21" s="66"/>
      <c r="JI21" s="67"/>
      <c r="JJ21" s="67"/>
      <c r="JK21" s="67"/>
      <c r="JL21" s="67"/>
      <c r="JM21" s="67"/>
      <c r="JN21" s="67"/>
      <c r="JO21" s="67"/>
      <c r="JP21" s="67"/>
      <c r="JQ21" s="67"/>
      <c r="JR21" s="67"/>
      <c r="JS21" s="67"/>
      <c r="JT21" s="67"/>
      <c r="JU21" s="67"/>
      <c r="JV21" s="67"/>
      <c r="JW21" s="67"/>
      <c r="JX21" s="67"/>
      <c r="JY21" s="67"/>
      <c r="JZ21" s="67"/>
      <c r="KA21" s="67"/>
      <c r="KB21" s="67"/>
      <c r="KC21" s="67"/>
      <c r="KD21" s="67"/>
      <c r="KE21" s="67"/>
      <c r="KF21" s="67"/>
      <c r="KG21" s="67"/>
      <c r="KH21" s="67"/>
      <c r="KI21" s="67"/>
      <c r="KJ21" s="67"/>
      <c r="KK21" s="67"/>
      <c r="KL21" s="67"/>
      <c r="KM21" s="67"/>
      <c r="KN21" s="67"/>
      <c r="KO21" s="67"/>
      <c r="KP21" s="67"/>
      <c r="KQ21" s="67"/>
      <c r="KR21" s="67"/>
      <c r="KS21" s="68">
        <f>SUM(JH21:KR21)</f>
        <v>0</v>
      </c>
      <c r="KT21" s="66"/>
      <c r="KU21" s="67"/>
      <c r="KV21" s="67"/>
      <c r="KW21" s="67"/>
      <c r="KX21" s="67"/>
      <c r="KY21" s="67"/>
      <c r="KZ21" s="67"/>
      <c r="LA21" s="67"/>
      <c r="LB21" s="67"/>
      <c r="LC21" s="67"/>
      <c r="LD21" s="67"/>
      <c r="LE21" s="67"/>
      <c r="LF21" s="67"/>
      <c r="LG21" s="67"/>
      <c r="LH21" s="67"/>
      <c r="LI21" s="67"/>
      <c r="LJ21" s="67"/>
      <c r="LK21" s="67"/>
      <c r="LL21" s="67"/>
      <c r="LM21" s="67"/>
      <c r="LN21" s="67"/>
      <c r="LO21" s="67"/>
      <c r="LP21" s="67"/>
      <c r="LQ21" s="67"/>
      <c r="LR21" s="67"/>
      <c r="LS21" s="67"/>
      <c r="LT21" s="67"/>
      <c r="LU21" s="67"/>
      <c r="LV21" s="67"/>
      <c r="LW21" s="67"/>
      <c r="LX21" s="67"/>
      <c r="LY21" s="67"/>
      <c r="LZ21" s="67"/>
      <c r="MA21" s="67"/>
      <c r="MB21" s="67"/>
      <c r="MC21" s="67"/>
      <c r="MD21" s="67"/>
      <c r="ME21" s="68">
        <f>SUM(KT21:MD21)</f>
        <v>0</v>
      </c>
      <c r="MF21" s="66"/>
      <c r="MG21" s="67"/>
      <c r="MH21" s="67"/>
      <c r="MI21" s="67"/>
      <c r="MJ21" s="67"/>
      <c r="MK21" s="67"/>
      <c r="ML21" s="67"/>
      <c r="MM21" s="67"/>
      <c r="MN21" s="67"/>
      <c r="MO21" s="67"/>
      <c r="MP21" s="67"/>
      <c r="MQ21" s="67"/>
      <c r="MR21" s="67"/>
      <c r="MS21" s="67"/>
      <c r="MT21" s="67"/>
      <c r="MU21" s="67"/>
      <c r="MV21" s="67"/>
      <c r="MW21" s="67"/>
      <c r="MX21" s="67"/>
      <c r="MY21" s="67"/>
      <c r="MZ21" s="67"/>
      <c r="NA21" s="67"/>
      <c r="NB21" s="67"/>
      <c r="NC21" s="67"/>
      <c r="ND21" s="67"/>
      <c r="NE21" s="67"/>
      <c r="NF21" s="67"/>
      <c r="NG21" s="67"/>
      <c r="NH21" s="67"/>
      <c r="NI21" s="67"/>
      <c r="NJ21" s="67"/>
      <c r="NK21" s="67"/>
      <c r="NL21" s="67"/>
      <c r="NM21" s="67"/>
      <c r="NN21" s="67"/>
      <c r="NO21" s="67"/>
      <c r="NP21" s="67"/>
      <c r="NQ21" s="68">
        <f>SUM(MF21:NP21)</f>
        <v>0</v>
      </c>
      <c r="NR21" s="14">
        <f>'[1]D-PS'!$BX$12</f>
        <v>76371.9140625</v>
      </c>
      <c r="NS21" s="14">
        <f>'[1]D-PS'!$BX$13</f>
        <v>98952.8828125</v>
      </c>
      <c r="NT21" s="14">
        <f>'[1]D-PS'!$BX$14</f>
        <v>97577.8828125</v>
      </c>
      <c r="NU21" s="14">
        <f>'[1]D-PS'!$BX$15</f>
        <v>94546.5390625</v>
      </c>
      <c r="NV21" s="14">
        <f>'[1]D-PS'!$BX$16</f>
        <v>91563.71875</v>
      </c>
      <c r="NW21" s="14">
        <f>'[1]D-PS'!$BX$17</f>
        <v>86916.2890625</v>
      </c>
      <c r="NX21" s="14">
        <f>'[1]D-PS'!$BX$18</f>
        <v>0</v>
      </c>
      <c r="NY21" s="14">
        <f>'[1]D-PS'!$BX$19</f>
        <v>5089.935546875</v>
      </c>
      <c r="NZ21" s="14">
        <f>'[1]D-PS'!$BX$20</f>
        <v>7807.15185546875</v>
      </c>
      <c r="OA21" s="14">
        <f>'[1]D-PS'!$BX$21</f>
        <v>20717.986328125</v>
      </c>
      <c r="OB21" s="14">
        <f>'[1]D-PS'!$BX$22</f>
        <v>4886.29150390625</v>
      </c>
      <c r="OC21" s="14">
        <f>'[1]D-PS'!$BX$23</f>
        <v>0</v>
      </c>
      <c r="OD21" s="14">
        <f>'[1]D-PS'!$BX$24</f>
        <v>0</v>
      </c>
      <c r="OE21" s="14">
        <f>'[1]D-PS'!$BX$25</f>
        <v>0</v>
      </c>
      <c r="OF21" s="14">
        <f>'[1]D-PS'!$BX$26</f>
        <v>0</v>
      </c>
      <c r="OG21" s="14">
        <f>'[1]D-PS'!$BX$27</f>
        <v>0</v>
      </c>
      <c r="OH21" s="14">
        <f>'[1]D-PS'!$BX$28</f>
        <v>0</v>
      </c>
      <c r="OI21" s="14">
        <f>'[1]D-PS'!$BX$29</f>
        <v>0</v>
      </c>
      <c r="OJ21" s="14">
        <f>'[1]D-PS'!$BX$30</f>
        <v>0</v>
      </c>
      <c r="OK21" s="14">
        <f>'[1]D-PS'!$BX$31</f>
        <v>0</v>
      </c>
      <c r="OL21" s="14">
        <f>'[1]D-PS'!$BX$32</f>
        <v>0</v>
      </c>
      <c r="OM21" s="14">
        <f>'[1]D-PS'!$BX$33</f>
        <v>0</v>
      </c>
      <c r="ON21" s="14">
        <f>'[1]D-PS'!$BX$34</f>
        <v>0</v>
      </c>
      <c r="OO21" s="14">
        <f>'[1]D-PS'!$BX$35</f>
        <v>0</v>
      </c>
      <c r="OP21" s="14">
        <f>'[1]D-PS'!$BX$36</f>
        <v>0</v>
      </c>
      <c r="OQ21" s="14">
        <f>'[1]D-PS'!$BX$37</f>
        <v>0</v>
      </c>
      <c r="OR21" s="14">
        <f>'[1]D-PS'!$BX$38</f>
        <v>0</v>
      </c>
      <c r="OS21" s="14">
        <f>'[1]D-PS'!$BX$39</f>
        <v>0</v>
      </c>
      <c r="OT21" s="14">
        <f>'[1]D-PS'!$BX$40</f>
        <v>0</v>
      </c>
      <c r="OU21" s="14">
        <f>'[1]D-PS'!$BX$41</f>
        <v>0</v>
      </c>
      <c r="OV21" s="14">
        <f>'[1]D-PS'!$BX$42</f>
        <v>0</v>
      </c>
      <c r="OW21" s="14">
        <f>'[1]D-PS'!$BX$43</f>
        <v>0</v>
      </c>
      <c r="OX21" s="14">
        <f>'[1]D-PS'!$BX$44</f>
        <v>0</v>
      </c>
      <c r="OY21" s="14">
        <f>'[1]D-PS'!$BX$45</f>
        <v>0</v>
      </c>
      <c r="OZ21" s="14">
        <f>'[1]D-PS'!$BX$46</f>
        <v>0</v>
      </c>
      <c r="PA21" s="14">
        <f>'[1]D-PS'!$BX$47</f>
        <v>0</v>
      </c>
      <c r="PB21" s="14">
        <f>'[1]D-PS'!$BX$48</f>
        <v>0</v>
      </c>
      <c r="PC21" s="16">
        <f>SUM(NR21:PB21)</f>
        <v>584430.591796875</v>
      </c>
    </row>
    <row r="22" spans="1:419" outlineLevel="1" x14ac:dyDescent="0.3">
      <c r="A22" s="46" t="s">
        <v>17</v>
      </c>
      <c r="B22" s="25">
        <f>'[2]CF PDP'!$BU$36</f>
        <v>3666179</v>
      </c>
      <c r="C22" s="25">
        <f>'[2]CF PDP'!$BU$37</f>
        <v>3308137</v>
      </c>
      <c r="D22" s="25">
        <f>'[2]CF PDP'!$BU$38</f>
        <v>2790128</v>
      </c>
      <c r="E22" s="25">
        <f>'[2]CF PDP'!$BU$39</f>
        <v>2310056</v>
      </c>
      <c r="F22" s="25">
        <f>'[2]CF PDP'!$BU$40</f>
        <v>2097246</v>
      </c>
      <c r="G22" s="25">
        <f>'[2]CF PDP'!$BU$41</f>
        <v>1832141</v>
      </c>
      <c r="H22" s="25">
        <f>'[2]CF PDP'!$BU$42</f>
        <v>0</v>
      </c>
      <c r="I22" s="25">
        <f>'[2]CF PDP'!$BU$43</f>
        <v>0</v>
      </c>
      <c r="J22" s="25">
        <f>'[2]CF PDP'!$BU$44</f>
        <v>0</v>
      </c>
      <c r="K22" s="25">
        <f>'[2]CF PDP'!$BU$45</f>
        <v>0</v>
      </c>
      <c r="L22" s="25">
        <f>'[2]CF PDP'!$BU$46</f>
        <v>0</v>
      </c>
      <c r="M22" s="25">
        <f>'[2]CF PDP'!$BU$47</f>
        <v>0</v>
      </c>
      <c r="N22" s="25">
        <f>'[2]CF PDP'!$BU$48</f>
        <v>0</v>
      </c>
      <c r="O22" s="25">
        <f>'[2]CF PDP'!$BU$49</f>
        <v>0</v>
      </c>
      <c r="P22" s="25">
        <f>'[2]CF PDP'!$BU$50</f>
        <v>0</v>
      </c>
      <c r="Q22" s="25">
        <f>'[2]CF PDP'!$BU$51</f>
        <v>0</v>
      </c>
      <c r="R22" s="25">
        <f>'[2]CF PDP'!$BU$52</f>
        <v>0</v>
      </c>
      <c r="S22" s="25">
        <f>'[2]CF PDP'!$BU$53</f>
        <v>0</v>
      </c>
      <c r="T22" s="25">
        <f>'[2]CF PDP'!$BU$54</f>
        <v>0</v>
      </c>
      <c r="U22" s="25">
        <f>'[2]CF PDP'!$BU$55</f>
        <v>0</v>
      </c>
      <c r="V22" s="25">
        <f>'[2]CF PDP'!$BU$56</f>
        <v>0</v>
      </c>
      <c r="W22" s="25">
        <f>'[2]CF PDP'!$BU$57</f>
        <v>0</v>
      </c>
      <c r="X22" s="25">
        <f>'[2]CF PDP'!$BU$58</f>
        <v>0</v>
      </c>
      <c r="Y22" s="25">
        <f>'[2]CF PDP'!$BU$59</f>
        <v>0</v>
      </c>
      <c r="Z22" s="25">
        <f>'[2]CF PDP'!$BU$60</f>
        <v>0</v>
      </c>
      <c r="AA22" s="25">
        <f>'[2]CF PDP'!$BU$61</f>
        <v>0</v>
      </c>
      <c r="AB22" s="25">
        <f>'[2]CF PDP'!$BU$62</f>
        <v>0</v>
      </c>
      <c r="AC22" s="25">
        <f>'[2]CF PDP'!$BU$63</f>
        <v>0</v>
      </c>
      <c r="AD22" s="25">
        <f>'[2]CF PDP'!$BU$64</f>
        <v>0</v>
      </c>
      <c r="AE22" s="25">
        <f>'[2]CF PDP'!$BU$65</f>
        <v>0</v>
      </c>
      <c r="AF22" s="25">
        <f>'[2]CF PDP'!$BU$66</f>
        <v>0</v>
      </c>
      <c r="AG22" s="25">
        <f>'[2]CF PDP'!$BU$67</f>
        <v>0</v>
      </c>
      <c r="AH22" s="25">
        <f>'[2]CF PDP'!$BU$68</f>
        <v>0</v>
      </c>
      <c r="AI22" s="25">
        <f>'[2]CF PDP'!$BU$69</f>
        <v>0</v>
      </c>
      <c r="AJ22" s="25">
        <f>'[2]CF PDP'!$BU$70</f>
        <v>0</v>
      </c>
      <c r="AK22" s="25">
        <f>'[2]CF PDP'!$BU$71</f>
        <v>0</v>
      </c>
      <c r="AL22" s="25">
        <f>'[2]CF PDP'!$BU$72</f>
        <v>0</v>
      </c>
      <c r="AM22" s="26">
        <f>SUM(B22:AL22)</f>
        <v>16003887</v>
      </c>
      <c r="AN22" s="27">
        <f>'[2]CF PNP'!$BU$36</f>
        <v>86436</v>
      </c>
      <c r="AO22" s="25">
        <f>'[2]CF PNP'!$BU$37</f>
        <v>108337</v>
      </c>
      <c r="AP22" s="25">
        <f>'[2]CF PNP'!$BU$38</f>
        <v>179234</v>
      </c>
      <c r="AQ22" s="25">
        <f>'[2]CF PNP'!$BU$39</f>
        <v>177360</v>
      </c>
      <c r="AR22" s="25">
        <f>'[2]CF PNP'!$BU$40</f>
        <v>159425</v>
      </c>
      <c r="AS22" s="25">
        <f>'[2]CF PNP'!$BU$41</f>
        <v>158690</v>
      </c>
      <c r="AT22" s="25">
        <f>'[2]CF PNP'!$BU$42</f>
        <v>1566765</v>
      </c>
      <c r="AU22" s="25">
        <f>'[2]CF PNP'!$BU$43</f>
        <v>0</v>
      </c>
      <c r="AV22" s="25">
        <f>'[2]CF PNP'!$BU$44</f>
        <v>0</v>
      </c>
      <c r="AW22" s="25">
        <f>'[2]CF PNP'!$BU$45</f>
        <v>0</v>
      </c>
      <c r="AX22" s="25">
        <f>'[2]CF PNP'!$BU$46</f>
        <v>0</v>
      </c>
      <c r="AY22" s="25">
        <f>'[2]CF PNP'!$BU$47</f>
        <v>0</v>
      </c>
      <c r="AZ22" s="25">
        <f>'[2]CF PNP'!$BU$48</f>
        <v>0</v>
      </c>
      <c r="BA22" s="25">
        <f>'[2]CF PNP'!$BU$49</f>
        <v>0</v>
      </c>
      <c r="BB22" s="25">
        <f>'[2]CF PNP'!$BU$50</f>
        <v>0</v>
      </c>
      <c r="BC22" s="25">
        <f>'[2]CF PNP'!$BU$51</f>
        <v>0</v>
      </c>
      <c r="BD22" s="25">
        <f>'[2]CF PNP'!$BU$52</f>
        <v>0</v>
      </c>
      <c r="BE22" s="25">
        <f>'[2]CF PNP'!$BU$53</f>
        <v>0</v>
      </c>
      <c r="BF22" s="25">
        <f>'[2]CF PNP'!$BU$54</f>
        <v>0</v>
      </c>
      <c r="BG22" s="25">
        <f>'[2]CF PNP'!$BU$55</f>
        <v>0</v>
      </c>
      <c r="BH22" s="25">
        <f>'[2]CF PNP'!$BU$56</f>
        <v>0</v>
      </c>
      <c r="BI22" s="25">
        <f>'[2]CF PNP'!$BU$57</f>
        <v>0</v>
      </c>
      <c r="BJ22" s="25">
        <f>'[2]CF PNP'!$BU$58</f>
        <v>0</v>
      </c>
      <c r="BK22" s="25">
        <f>'[2]CF PNP'!$BU$59</f>
        <v>0</v>
      </c>
      <c r="BL22" s="25">
        <f>'[2]CF PNP'!$BU$60</f>
        <v>0</v>
      </c>
      <c r="BM22" s="25">
        <f>'[2]CF PNP'!$BU$61</f>
        <v>0</v>
      </c>
      <c r="BN22" s="25">
        <f>'[2]CF PNP'!$BU$62</f>
        <v>0</v>
      </c>
      <c r="BO22" s="25">
        <f>'[2]CF PNP'!$BU$63</f>
        <v>0</v>
      </c>
      <c r="BP22" s="25">
        <f>'[2]CF PNP'!$BU$64</f>
        <v>0</v>
      </c>
      <c r="BQ22" s="25">
        <f>'[2]CF PNP'!$BU$65</f>
        <v>0</v>
      </c>
      <c r="BR22" s="25">
        <f>'[2]CF PNP'!$BU$66</f>
        <v>0</v>
      </c>
      <c r="BS22" s="25">
        <f>'[2]CF PNP'!$BU$67</f>
        <v>0</v>
      </c>
      <c r="BT22" s="25">
        <f>'[2]CF PNP'!$BU$68</f>
        <v>0</v>
      </c>
      <c r="BU22" s="25">
        <f>'[2]CF PNP'!$BU$69</f>
        <v>0</v>
      </c>
      <c r="BV22" s="25">
        <f>'[2]CF PNP'!$BU$70</f>
        <v>0</v>
      </c>
      <c r="BW22" s="25">
        <f>'[2]CF PNP'!$BU$71</f>
        <v>0</v>
      </c>
      <c r="BX22" s="25">
        <f>'[2]CF PNP'!$BU$72</f>
        <v>0</v>
      </c>
      <c r="BY22" s="26">
        <f>SUM(AN22:BX22)</f>
        <v>2436247</v>
      </c>
      <c r="BZ22" s="27">
        <f>'[2]CF PND'!$BU$36</f>
        <v>169569</v>
      </c>
      <c r="CA22" s="25">
        <f>'[2]CF PND'!$BU$37</f>
        <v>245780</v>
      </c>
      <c r="CB22" s="25">
        <f>'[2]CF PND'!$BU$38</f>
        <v>254646</v>
      </c>
      <c r="CC22" s="25">
        <f>'[2]CF PND'!$BU$39</f>
        <v>271555</v>
      </c>
      <c r="CD22" s="25">
        <f>'[2]CF PND'!$BU$40</f>
        <v>575568</v>
      </c>
      <c r="CE22" s="25">
        <f>'[2]CF PND'!$BU$41</f>
        <v>965640</v>
      </c>
      <c r="CF22" s="25">
        <f>'[2]CF PND'!$BU$42</f>
        <v>1278700</v>
      </c>
      <c r="CG22" s="25">
        <f>'[2]CF PND'!$BU$43</f>
        <v>2573014</v>
      </c>
      <c r="CH22" s="25">
        <f>'[2]CF PND'!$BU$44</f>
        <v>2679125</v>
      </c>
      <c r="CI22" s="25">
        <f>'[2]CF PND'!$BU$45</f>
        <v>0</v>
      </c>
      <c r="CJ22" s="25">
        <f>'[2]CF PND'!$BU$46</f>
        <v>0</v>
      </c>
      <c r="CK22" s="25">
        <f>'[2]CF PND'!$BU$47</f>
        <v>0</v>
      </c>
      <c r="CL22" s="25">
        <f>'[2]CF PND'!$BU$48</f>
        <v>0</v>
      </c>
      <c r="CM22" s="25">
        <f>'[2]CF PND'!$BU$49</f>
        <v>0</v>
      </c>
      <c r="CN22" s="25">
        <f>'[2]CF PND'!$BU$50</f>
        <v>0</v>
      </c>
      <c r="CO22" s="25">
        <f>'[2]CF PND'!$BU$51</f>
        <v>0</v>
      </c>
      <c r="CP22" s="25">
        <f>'[2]CF PND'!$BU$52</f>
        <v>0</v>
      </c>
      <c r="CQ22" s="25">
        <f>'[2]CF PND'!$BU$53</f>
        <v>0</v>
      </c>
      <c r="CR22" s="25">
        <f>'[2]CF PND'!$BU$54</f>
        <v>0</v>
      </c>
      <c r="CS22" s="25">
        <f>'[2]CF PND'!$BU$55</f>
        <v>0</v>
      </c>
      <c r="CT22" s="25">
        <f>'[2]CF PND'!$BU$56</f>
        <v>0</v>
      </c>
      <c r="CU22" s="25">
        <f>'[2]CF PND'!$BU$57</f>
        <v>0</v>
      </c>
      <c r="CV22" s="25">
        <f>'[2]CF PND'!$BU$58</f>
        <v>0</v>
      </c>
      <c r="CW22" s="25">
        <f>'[2]CF PND'!$BU$59</f>
        <v>0</v>
      </c>
      <c r="CX22" s="25">
        <f>'[2]CF PND'!$BU$60</f>
        <v>0</v>
      </c>
      <c r="CY22" s="25">
        <f>'[2]CF PND'!$BU$61</f>
        <v>0</v>
      </c>
      <c r="CZ22" s="25">
        <f>'[2]CF PND'!$BU$62</f>
        <v>0</v>
      </c>
      <c r="DA22" s="25">
        <f>'[2]CF PND'!$BU$63</f>
        <v>0</v>
      </c>
      <c r="DB22" s="25">
        <f>'[2]CF PND'!$BU$64</f>
        <v>0</v>
      </c>
      <c r="DC22" s="25">
        <f>'[2]CF PND'!$BU$65</f>
        <v>0</v>
      </c>
      <c r="DD22" s="25">
        <f>'[2]CF PND'!$BU$66</f>
        <v>0</v>
      </c>
      <c r="DE22" s="25">
        <f>'[2]CF PND'!$BU$67</f>
        <v>0</v>
      </c>
      <c r="DF22" s="25">
        <f>'[2]CF PND'!$BU$68</f>
        <v>0</v>
      </c>
      <c r="DG22" s="25">
        <f>'[2]CF PND'!$BU$69</f>
        <v>0</v>
      </c>
      <c r="DH22" s="25">
        <f>'[2]CF PND'!$BU$70</f>
        <v>0</v>
      </c>
      <c r="DI22" s="25">
        <f>'[2]CF PND'!$BU$71</f>
        <v>0</v>
      </c>
      <c r="DJ22" s="25">
        <f>'[2]CF PND'!$BU$72</f>
        <v>0</v>
      </c>
      <c r="DK22" s="26">
        <f>SUM(BZ22:DJ22)</f>
        <v>9013597</v>
      </c>
      <c r="DL22" s="69"/>
      <c r="DM22" s="70"/>
      <c r="DN22" s="70"/>
      <c r="DO22" s="70"/>
      <c r="DP22" s="70"/>
      <c r="DQ22" s="70"/>
      <c r="DR22" s="70"/>
      <c r="DS22" s="70"/>
      <c r="DT22" s="70"/>
      <c r="DU22" s="70"/>
      <c r="DV22" s="70"/>
      <c r="DW22" s="70"/>
      <c r="DX22" s="70"/>
      <c r="DY22" s="70"/>
      <c r="DZ22" s="70"/>
      <c r="EA22" s="70"/>
      <c r="EB22" s="70"/>
      <c r="EC22" s="70"/>
      <c r="ED22" s="70"/>
      <c r="EE22" s="70"/>
      <c r="EF22" s="70"/>
      <c r="EG22" s="70"/>
      <c r="EH22" s="70"/>
      <c r="EI22" s="70"/>
      <c r="EJ22" s="70"/>
      <c r="EK22" s="70"/>
      <c r="EL22" s="70"/>
      <c r="EM22" s="70"/>
      <c r="EN22" s="70"/>
      <c r="EO22" s="70"/>
      <c r="EP22" s="70"/>
      <c r="EQ22" s="70"/>
      <c r="ER22" s="70"/>
      <c r="ES22" s="70"/>
      <c r="ET22" s="70"/>
      <c r="EU22" s="70"/>
      <c r="EV22" s="70"/>
      <c r="EW22" s="71">
        <f>SUM(DL22:EV22)</f>
        <v>0</v>
      </c>
      <c r="EX22" s="69"/>
      <c r="EY22" s="70"/>
      <c r="EZ22" s="70"/>
      <c r="FA22" s="70"/>
      <c r="FB22" s="70"/>
      <c r="FC22" s="70"/>
      <c r="FD22" s="70"/>
      <c r="FE22" s="70"/>
      <c r="FF22" s="70"/>
      <c r="FG22" s="70"/>
      <c r="FH22" s="70"/>
      <c r="FI22" s="70"/>
      <c r="FJ22" s="70"/>
      <c r="FK22" s="70"/>
      <c r="FL22" s="70"/>
      <c r="FM22" s="70"/>
      <c r="FN22" s="70"/>
      <c r="FO22" s="70"/>
      <c r="FP22" s="70"/>
      <c r="FQ22" s="70"/>
      <c r="FR22" s="70"/>
      <c r="FS22" s="70"/>
      <c r="FT22" s="70"/>
      <c r="FU22" s="70"/>
      <c r="FV22" s="70"/>
      <c r="FW22" s="70"/>
      <c r="FX22" s="70"/>
      <c r="FY22" s="70"/>
      <c r="FZ22" s="70"/>
      <c r="GA22" s="70"/>
      <c r="GB22" s="70"/>
      <c r="GC22" s="70"/>
      <c r="GD22" s="70"/>
      <c r="GE22" s="70"/>
      <c r="GF22" s="70"/>
      <c r="GG22" s="70"/>
      <c r="GH22" s="70"/>
      <c r="GI22" s="71">
        <f>SUM(EX22:GH22)</f>
        <v>0</v>
      </c>
      <c r="GJ22" s="69"/>
      <c r="GK22" s="70"/>
      <c r="GL22" s="70"/>
      <c r="GM22" s="70"/>
      <c r="GN22" s="70"/>
      <c r="GO22" s="70"/>
      <c r="GP22" s="70"/>
      <c r="GQ22" s="70"/>
      <c r="GR22" s="70"/>
      <c r="GS22" s="70"/>
      <c r="GT22" s="70"/>
      <c r="GU22" s="70"/>
      <c r="GV22" s="70"/>
      <c r="GW22" s="70"/>
      <c r="GX22" s="70"/>
      <c r="GY22" s="70"/>
      <c r="GZ22" s="70"/>
      <c r="HA22" s="70"/>
      <c r="HB22" s="70"/>
      <c r="HC22" s="70"/>
      <c r="HD22" s="70"/>
      <c r="HE22" s="70"/>
      <c r="HF22" s="70"/>
      <c r="HG22" s="70"/>
      <c r="HH22" s="70"/>
      <c r="HI22" s="70"/>
      <c r="HJ22" s="70"/>
      <c r="HK22" s="70"/>
      <c r="HL22" s="70"/>
      <c r="HM22" s="70"/>
      <c r="HN22" s="70"/>
      <c r="HO22" s="70"/>
      <c r="HP22" s="70"/>
      <c r="HQ22" s="70"/>
      <c r="HR22" s="70"/>
      <c r="HS22" s="70"/>
      <c r="HT22" s="70"/>
      <c r="HU22" s="71">
        <f>SUM(GJ22:HT22)</f>
        <v>0</v>
      </c>
      <c r="HV22" s="27">
        <f>'[2]CF PRB'!$BU$36</f>
        <v>171249</v>
      </c>
      <c r="HW22" s="25">
        <f>'[2]CF PRB'!$BU$37</f>
        <v>186661</v>
      </c>
      <c r="HX22" s="25">
        <f>'[2]CF PRB'!$BU$38</f>
        <v>201370</v>
      </c>
      <c r="HY22" s="25">
        <f>'[2]CF PRB'!$BU$39</f>
        <v>239900</v>
      </c>
      <c r="HZ22" s="25">
        <f>'[2]CF PRB'!$BU$40</f>
        <v>239846</v>
      </c>
      <c r="IA22" s="25">
        <f>'[2]CF PRB'!$BU$41</f>
        <v>242959</v>
      </c>
      <c r="IB22" s="25">
        <f>'[2]CF PRB'!$BU$42</f>
        <v>222089</v>
      </c>
      <c r="IC22" s="25">
        <f>'[2]CF PRB'!$BU$43</f>
        <v>124239</v>
      </c>
      <c r="ID22" s="25">
        <f>'[2]CF PRB'!$BU$44</f>
        <v>90852</v>
      </c>
      <c r="IE22" s="25">
        <f>'[2]CF PRB'!$BU$45</f>
        <v>6962366</v>
      </c>
      <c r="IF22" s="25">
        <f>'[2]CF PRB'!$BU$46</f>
        <v>0</v>
      </c>
      <c r="IG22" s="25">
        <f>'[2]CF PRB'!$BU$47</f>
        <v>0</v>
      </c>
      <c r="IH22" s="25">
        <f>'[2]CF PRB'!$BU$48</f>
        <v>0</v>
      </c>
      <c r="II22" s="25">
        <f>'[2]CF PRB'!$BU$49</f>
        <v>0</v>
      </c>
      <c r="IJ22" s="25">
        <f>'[2]CF PRB'!$BU$50</f>
        <v>0</v>
      </c>
      <c r="IK22" s="25">
        <f>'[2]CF PRB'!$BU$51</f>
        <v>0</v>
      </c>
      <c r="IL22" s="25">
        <f>'[2]CF PRB'!$BU$52</f>
        <v>0</v>
      </c>
      <c r="IM22" s="25">
        <f>'[2]CF PRB'!$BU$53</f>
        <v>0</v>
      </c>
      <c r="IN22" s="25">
        <f>'[2]CF PRB'!$BU$54</f>
        <v>0</v>
      </c>
      <c r="IO22" s="25">
        <f>'[2]CF PRB'!$BU$55</f>
        <v>0</v>
      </c>
      <c r="IP22" s="25">
        <f>'[2]CF PRB'!$BU$56</f>
        <v>0</v>
      </c>
      <c r="IQ22" s="25">
        <f>'[2]CF PRB'!$BU$57</f>
        <v>0</v>
      </c>
      <c r="IR22" s="25">
        <f>'[2]CF PRB'!$BU$58</f>
        <v>0</v>
      </c>
      <c r="IS22" s="25">
        <f>'[2]CF PRB'!$BU$59</f>
        <v>0</v>
      </c>
      <c r="IT22" s="25">
        <f>'[2]CF PRB'!$BU$60</f>
        <v>0</v>
      </c>
      <c r="IU22" s="25">
        <f>'[2]CF PRB'!$BU$61</f>
        <v>0</v>
      </c>
      <c r="IV22" s="25">
        <f>'[2]CF PRB'!$BU$62</f>
        <v>0</v>
      </c>
      <c r="IW22" s="25">
        <f>'[2]CF PRB'!$BU$63</f>
        <v>0</v>
      </c>
      <c r="IX22" s="25">
        <f>'[2]CF PRB'!$BU$64</f>
        <v>0</v>
      </c>
      <c r="IY22" s="25">
        <f>'[2]CF PRB'!$BU$65</f>
        <v>0</v>
      </c>
      <c r="IZ22" s="25">
        <f>'[2]CF PRB'!$BU$66</f>
        <v>0</v>
      </c>
      <c r="JA22" s="25">
        <f>'[2]CF PRB'!$BU$67</f>
        <v>0</v>
      </c>
      <c r="JB22" s="25">
        <f>'[2]CF PRB'!$BU$68</f>
        <v>0</v>
      </c>
      <c r="JC22" s="25">
        <f>'[2]CF PRB'!$BU$69</f>
        <v>0</v>
      </c>
      <c r="JD22" s="25">
        <f>'[2]CF PRB'!$BU$70</f>
        <v>0</v>
      </c>
      <c r="JE22" s="25">
        <f>'[2]CF PRB'!$BU$71</f>
        <v>0</v>
      </c>
      <c r="JF22" s="25">
        <f>'[2]CF PRB'!$BU$72</f>
        <v>0</v>
      </c>
      <c r="JG22" s="26">
        <f>SUM(HV22:JF22)</f>
        <v>8681531</v>
      </c>
      <c r="JH22" s="69"/>
      <c r="JI22" s="70"/>
      <c r="JJ22" s="70"/>
      <c r="JK22" s="70"/>
      <c r="JL22" s="70"/>
      <c r="JM22" s="70"/>
      <c r="JN22" s="70"/>
      <c r="JO22" s="70"/>
      <c r="JP22" s="70"/>
      <c r="JQ22" s="70"/>
      <c r="JR22" s="70"/>
      <c r="JS22" s="70"/>
      <c r="JT22" s="70"/>
      <c r="JU22" s="70"/>
      <c r="JV22" s="70"/>
      <c r="JW22" s="70"/>
      <c r="JX22" s="70"/>
      <c r="JY22" s="70"/>
      <c r="JZ22" s="70"/>
      <c r="KA22" s="70"/>
      <c r="KB22" s="70"/>
      <c r="KC22" s="70"/>
      <c r="KD22" s="70"/>
      <c r="KE22" s="70"/>
      <c r="KF22" s="70"/>
      <c r="KG22" s="70"/>
      <c r="KH22" s="70"/>
      <c r="KI22" s="70"/>
      <c r="KJ22" s="70"/>
      <c r="KK22" s="70"/>
      <c r="KL22" s="70"/>
      <c r="KM22" s="70"/>
      <c r="KN22" s="70"/>
      <c r="KO22" s="70"/>
      <c r="KP22" s="70"/>
      <c r="KQ22" s="70"/>
      <c r="KR22" s="70"/>
      <c r="KS22" s="71">
        <f>SUM(JH22:KR22)</f>
        <v>0</v>
      </c>
      <c r="KT22" s="69"/>
      <c r="KU22" s="70"/>
      <c r="KV22" s="70"/>
      <c r="KW22" s="70"/>
      <c r="KX22" s="70"/>
      <c r="KY22" s="70"/>
      <c r="KZ22" s="70"/>
      <c r="LA22" s="70"/>
      <c r="LB22" s="70"/>
      <c r="LC22" s="70"/>
      <c r="LD22" s="70"/>
      <c r="LE22" s="70"/>
      <c r="LF22" s="70"/>
      <c r="LG22" s="70"/>
      <c r="LH22" s="70"/>
      <c r="LI22" s="70"/>
      <c r="LJ22" s="70"/>
      <c r="LK22" s="70"/>
      <c r="LL22" s="70"/>
      <c r="LM22" s="70"/>
      <c r="LN22" s="70"/>
      <c r="LO22" s="70"/>
      <c r="LP22" s="70"/>
      <c r="LQ22" s="70"/>
      <c r="LR22" s="70"/>
      <c r="LS22" s="70"/>
      <c r="LT22" s="70"/>
      <c r="LU22" s="70"/>
      <c r="LV22" s="70"/>
      <c r="LW22" s="70"/>
      <c r="LX22" s="70"/>
      <c r="LY22" s="70"/>
      <c r="LZ22" s="70"/>
      <c r="MA22" s="70"/>
      <c r="MB22" s="70"/>
      <c r="MC22" s="70"/>
      <c r="MD22" s="70"/>
      <c r="ME22" s="71">
        <f>SUM(KT22:MD22)</f>
        <v>0</v>
      </c>
      <c r="MF22" s="69"/>
      <c r="MG22" s="70"/>
      <c r="MH22" s="70"/>
      <c r="MI22" s="70"/>
      <c r="MJ22" s="70"/>
      <c r="MK22" s="70"/>
      <c r="ML22" s="70"/>
      <c r="MM22" s="70"/>
      <c r="MN22" s="70"/>
      <c r="MO22" s="70"/>
      <c r="MP22" s="70"/>
      <c r="MQ22" s="70"/>
      <c r="MR22" s="70"/>
      <c r="MS22" s="70"/>
      <c r="MT22" s="70"/>
      <c r="MU22" s="70"/>
      <c r="MV22" s="70"/>
      <c r="MW22" s="70"/>
      <c r="MX22" s="70"/>
      <c r="MY22" s="70"/>
      <c r="MZ22" s="70"/>
      <c r="NA22" s="70"/>
      <c r="NB22" s="70"/>
      <c r="NC22" s="70"/>
      <c r="ND22" s="70"/>
      <c r="NE22" s="70"/>
      <c r="NF22" s="70"/>
      <c r="NG22" s="70"/>
      <c r="NH22" s="70"/>
      <c r="NI22" s="70"/>
      <c r="NJ22" s="70"/>
      <c r="NK22" s="70"/>
      <c r="NL22" s="70"/>
      <c r="NM22" s="70"/>
      <c r="NN22" s="70"/>
      <c r="NO22" s="70"/>
      <c r="NP22" s="70"/>
      <c r="NQ22" s="71">
        <f>SUM(MF22:NP22)</f>
        <v>0</v>
      </c>
      <c r="NR22" s="25">
        <f>'[2]CF PS'!$BU$36</f>
        <v>78515</v>
      </c>
      <c r="NS22" s="25">
        <f>'[2]CF PS'!$BU$37</f>
        <v>98953</v>
      </c>
      <c r="NT22" s="25">
        <f>'[2]CF PS'!$BU$38</f>
        <v>97577</v>
      </c>
      <c r="NU22" s="25">
        <f>'[2]CF PS'!$BU$39</f>
        <v>94547</v>
      </c>
      <c r="NV22" s="25">
        <f>'[2]CF PS'!$BU$40</f>
        <v>91563</v>
      </c>
      <c r="NW22" s="25">
        <f>'[2]CF PS'!$BU$41</f>
        <v>87407</v>
      </c>
      <c r="NX22" s="25">
        <f>'[2]CF PS'!$BU$42</f>
        <v>0</v>
      </c>
      <c r="NY22" s="25">
        <f>'[2]CF PS'!$BU$43</f>
        <v>7618</v>
      </c>
      <c r="NZ22" s="25">
        <f>'[2]CF PS'!$BU$44</f>
        <v>7837</v>
      </c>
      <c r="OA22" s="25">
        <f>'[2]CF PS'!$BU$45</f>
        <v>20718</v>
      </c>
      <c r="OB22" s="25">
        <f>'[2]CF PS'!$BU$46</f>
        <v>0</v>
      </c>
      <c r="OC22" s="25">
        <f>'[2]CF PS'!$BU$47</f>
        <v>0</v>
      </c>
      <c r="OD22" s="25">
        <f>'[2]CF PS'!$BU$48</f>
        <v>0</v>
      </c>
      <c r="OE22" s="25">
        <f>'[2]CF PS'!$BU$49</f>
        <v>0</v>
      </c>
      <c r="OF22" s="25">
        <f>'[2]CF PS'!$BU$50</f>
        <v>0</v>
      </c>
      <c r="OG22" s="25">
        <f>'[2]CF PS'!$BU$51</f>
        <v>0</v>
      </c>
      <c r="OH22" s="25">
        <f>'[2]CF PS'!$BU$52</f>
        <v>0</v>
      </c>
      <c r="OI22" s="25">
        <f>'[2]CF PS'!$BU$53</f>
        <v>0</v>
      </c>
      <c r="OJ22" s="25">
        <f>'[2]CF PS'!$BU$54</f>
        <v>0</v>
      </c>
      <c r="OK22" s="25">
        <f>'[2]CF PS'!$BU$55</f>
        <v>0</v>
      </c>
      <c r="OL22" s="25">
        <f>'[2]CF PS'!$BU$56</f>
        <v>0</v>
      </c>
      <c r="OM22" s="25">
        <f>'[2]CF PS'!$BU$57</f>
        <v>0</v>
      </c>
      <c r="ON22" s="25">
        <f>'[2]CF PS'!$BU$58</f>
        <v>0</v>
      </c>
      <c r="OO22" s="25">
        <f>'[2]CF PS'!$BU$59</f>
        <v>0</v>
      </c>
      <c r="OP22" s="25">
        <f>'[2]CF PS'!$BU$60</f>
        <v>0</v>
      </c>
      <c r="OQ22" s="25">
        <f>'[2]CF PS'!$BU$61</f>
        <v>0</v>
      </c>
      <c r="OR22" s="25">
        <f>'[2]CF PS'!$BU$62</f>
        <v>0</v>
      </c>
      <c r="OS22" s="25">
        <f>'[2]CF PS'!$BU$63</f>
        <v>0</v>
      </c>
      <c r="OT22" s="25">
        <f>'[2]CF PS'!$BU$64</f>
        <v>0</v>
      </c>
      <c r="OU22" s="25">
        <f>'[2]CF PS'!$BU$65</f>
        <v>0</v>
      </c>
      <c r="OV22" s="25">
        <f>'[2]CF PS'!$BU$66</f>
        <v>0</v>
      </c>
      <c r="OW22" s="25">
        <f>'[2]CF PS'!$BU$67</f>
        <v>0</v>
      </c>
      <c r="OX22" s="25">
        <f>'[2]CF PS'!$BU$68</f>
        <v>0</v>
      </c>
      <c r="OY22" s="25">
        <f>'[2]CF PS'!$BU$69</f>
        <v>0</v>
      </c>
      <c r="OZ22" s="25">
        <f>'[2]CF PS'!$BU$70</f>
        <v>0</v>
      </c>
      <c r="PA22" s="25">
        <f>'[2]CF PS'!$BU$71</f>
        <v>0</v>
      </c>
      <c r="PB22" s="25">
        <f>'[2]CF PS'!$BU$72</f>
        <v>0</v>
      </c>
      <c r="PC22" s="26">
        <f>SUM(NR22:PB22)</f>
        <v>584735</v>
      </c>
    </row>
    <row r="23" spans="1:419" ht="16.5" thickBot="1" x14ac:dyDescent="0.35">
      <c r="A23" s="47" t="s">
        <v>18</v>
      </c>
      <c r="B23" s="40">
        <f>IF(AND(B21&lt;&gt;0,B22&lt;&gt;0),(B21-B22)/B22,IF(AND(B21=0,B22=0),"",IF(AND(B21="",B22=""),"",IF(AND(B21=0,B22=""),"", IF(AND(B21="",B22=0),"",1)))))</f>
        <v>-6.5895855057813604E-2</v>
      </c>
      <c r="C23" s="40">
        <f t="shared" ref="C23" si="659">IF(AND(C21&lt;&gt;0,C22&lt;&gt;0),(C21-C22)/C22,IF(AND(C21=0,C22=0),"",IF(AND(C21="",C22=""),"",IF(AND(C21=0,C22=""),"", IF(AND(C21="",C22=0),"",1)))))</f>
        <v>-9.8342737921676152E-2</v>
      </c>
      <c r="D23" s="40">
        <f t="shared" ref="D23" si="660">IF(AND(D21&lt;&gt;0,D22&lt;&gt;0),(D21-D22)/D22,IF(AND(D21=0,D22=0),"",IF(AND(D21="",D22=""),"",IF(AND(D21=0,D22=""),"", IF(AND(D21="",D22=0),"",1)))))</f>
        <v>-0.14437429035513782</v>
      </c>
      <c r="E23" s="40">
        <f t="shared" ref="E23" si="661">IF(AND(E21&lt;&gt;0,E22&lt;&gt;0),(E21-E22)/E22,IF(AND(E21=0,E22=0),"",IF(AND(E21="",E22=""),"",IF(AND(E21=0,E22=""),"", IF(AND(E21="",E22=0),"",1)))))</f>
        <v>-0.19989493761190205</v>
      </c>
      <c r="F23" s="40">
        <f t="shared" ref="F23" si="662">IF(AND(F21&lt;&gt;0,F22&lt;&gt;0),(F21-F22)/F22,IF(AND(F21=0,F22=0),"",IF(AND(F21="",F22=""),"",IF(AND(F21=0,F22=""),"", IF(AND(F21="",F22=0),"",1)))))</f>
        <v>-0.35202838627419003</v>
      </c>
      <c r="G23" s="40">
        <f t="shared" ref="G23" si="663">IF(AND(G21&lt;&gt;0,G22&lt;&gt;0),(G21-G22)/G22,IF(AND(G21=0,G22=0),"",IF(AND(G21="",G22=""),"",IF(AND(G21=0,G22=""),"", IF(AND(G21="",G22=0),"",1)))))</f>
        <v>-0.45257826089804226</v>
      </c>
      <c r="H23" s="40">
        <f t="shared" ref="H23" si="664">IF(AND(H21&lt;&gt;0,H22&lt;&gt;0),(H21-H22)/H22,IF(AND(H21=0,H22=0),"",IF(AND(H21="",H22=""),"",IF(AND(H21=0,H22=""),"", IF(AND(H21="",H22=0),"",1)))))</f>
        <v>1</v>
      </c>
      <c r="I23" s="40">
        <f t="shared" ref="I23" si="665">IF(AND(I21&lt;&gt;0,I22&lt;&gt;0),(I21-I22)/I22,IF(AND(I21=0,I22=0),"",IF(AND(I21="",I22=""),"",IF(AND(I21=0,I22=""),"", IF(AND(I21="",I22=0),"",1)))))</f>
        <v>1</v>
      </c>
      <c r="J23" s="40">
        <f t="shared" ref="J23" si="666">IF(AND(J21&lt;&gt;0,J22&lt;&gt;0),(J21-J22)/J22,IF(AND(J21=0,J22=0),"",IF(AND(J21="",J22=""),"",IF(AND(J21=0,J22=""),"", IF(AND(J21="",J22=0),"",1)))))</f>
        <v>1</v>
      </c>
      <c r="K23" s="40">
        <f t="shared" ref="K23" si="667">IF(AND(K21&lt;&gt;0,K22&lt;&gt;0),(K21-K22)/K22,IF(AND(K21=0,K22=0),"",IF(AND(K21="",K22=""),"",IF(AND(K21=0,K22=""),"", IF(AND(K21="",K22=0),"",1)))))</f>
        <v>1</v>
      </c>
      <c r="L23" s="40">
        <f t="shared" ref="L23" si="668">IF(AND(L21&lt;&gt;0,L22&lt;&gt;0),(L21-L22)/L22,IF(AND(L21=0,L22=0),"",IF(AND(L21="",L22=""),"",IF(AND(L21=0,L22=""),"", IF(AND(L21="",L22=0),"",1)))))</f>
        <v>1</v>
      </c>
      <c r="M23" s="40" t="str">
        <f t="shared" ref="M23" si="669">IF(AND(M21&lt;&gt;0,M22&lt;&gt;0),(M21-M22)/M22,IF(AND(M21=0,M22=0),"",IF(AND(M21="",M22=""),"",IF(AND(M21=0,M22=""),"", IF(AND(M21="",M22=0),"",1)))))</f>
        <v/>
      </c>
      <c r="N23" s="40" t="str">
        <f t="shared" ref="N23" si="670">IF(AND(N21&lt;&gt;0,N22&lt;&gt;0),(N21-N22)/N22,IF(AND(N21=0,N22=0),"",IF(AND(N21="",N22=""),"",IF(AND(N21=0,N22=""),"", IF(AND(N21="",N22=0),"",1)))))</f>
        <v/>
      </c>
      <c r="O23" s="40" t="str">
        <f t="shared" ref="O23" si="671">IF(AND(O21&lt;&gt;0,O22&lt;&gt;0),(O21-O22)/O22,IF(AND(O21=0,O22=0),"",IF(AND(O21="",O22=""),"",IF(AND(O21=0,O22=""),"", IF(AND(O21="",O22=0),"",1)))))</f>
        <v/>
      </c>
      <c r="P23" s="40" t="str">
        <f t="shared" ref="P23" si="672">IF(AND(P21&lt;&gt;0,P22&lt;&gt;0),(P21-P22)/P22,IF(AND(P21=0,P22=0),"",IF(AND(P21="",P22=""),"",IF(AND(P21=0,P22=""),"", IF(AND(P21="",P22=0),"",1)))))</f>
        <v/>
      </c>
      <c r="Q23" s="40" t="str">
        <f t="shared" ref="Q23" si="673">IF(AND(Q21&lt;&gt;0,Q22&lt;&gt;0),(Q21-Q22)/Q22,IF(AND(Q21=0,Q22=0),"",IF(AND(Q21="",Q22=""),"",IF(AND(Q21=0,Q22=""),"", IF(AND(Q21="",Q22=0),"",1)))))</f>
        <v/>
      </c>
      <c r="R23" s="40" t="str">
        <f t="shared" ref="R23" si="674">IF(AND(R21&lt;&gt;0,R22&lt;&gt;0),(R21-R22)/R22,IF(AND(R21=0,R22=0),"",IF(AND(R21="",R22=""),"",IF(AND(R21=0,R22=""),"", IF(AND(R21="",R22=0),"",1)))))</f>
        <v/>
      </c>
      <c r="S23" s="40" t="str">
        <f t="shared" ref="S23" si="675">IF(AND(S21&lt;&gt;0,S22&lt;&gt;0),(S21-S22)/S22,IF(AND(S21=0,S22=0),"",IF(AND(S21="",S22=""),"",IF(AND(S21=0,S22=""),"", IF(AND(S21="",S22=0),"",1)))))</f>
        <v/>
      </c>
      <c r="T23" s="40" t="str">
        <f t="shared" ref="T23" si="676">IF(AND(T21&lt;&gt;0,T22&lt;&gt;0),(T21-T22)/T22,IF(AND(T21=0,T22=0),"",IF(AND(T21="",T22=""),"",IF(AND(T21=0,T22=""),"", IF(AND(T21="",T22=0),"",1)))))</f>
        <v/>
      </c>
      <c r="U23" s="40" t="str">
        <f t="shared" ref="U23" si="677">IF(AND(U21&lt;&gt;0,U22&lt;&gt;0),(U21-U22)/U22,IF(AND(U21=0,U22=0),"",IF(AND(U21="",U22=""),"",IF(AND(U21=0,U22=""),"", IF(AND(U21="",U22=0),"",1)))))</f>
        <v/>
      </c>
      <c r="V23" s="40" t="str">
        <f t="shared" ref="V23" si="678">IF(AND(V21&lt;&gt;0,V22&lt;&gt;0),(V21-V22)/V22,IF(AND(V21=0,V22=0),"",IF(AND(V21="",V22=""),"",IF(AND(V21=0,V22=""),"", IF(AND(V21="",V22=0),"",1)))))</f>
        <v/>
      </c>
      <c r="W23" s="40" t="str">
        <f t="shared" ref="W23" si="679">IF(AND(W21&lt;&gt;0,W22&lt;&gt;0),(W21-W22)/W22,IF(AND(W21=0,W22=0),"",IF(AND(W21="",W22=""),"",IF(AND(W21=0,W22=""),"", IF(AND(W21="",W22=0),"",1)))))</f>
        <v/>
      </c>
      <c r="X23" s="40" t="str">
        <f t="shared" ref="X23:AL23" si="680">IF(AND(X21&lt;&gt;0,X22&lt;&gt;0),(X21-X22)/X22,IF(AND(X21=0,X22=0),"",IF(AND(X21="",X22=""),"",IF(AND(X21=0,X22=""),"", IF(AND(X21="",X22=0),"",1)))))</f>
        <v/>
      </c>
      <c r="Y23" s="40" t="str">
        <f t="shared" si="680"/>
        <v/>
      </c>
      <c r="Z23" s="40" t="str">
        <f t="shared" si="680"/>
        <v/>
      </c>
      <c r="AA23" s="40" t="str">
        <f t="shared" si="680"/>
        <v/>
      </c>
      <c r="AB23" s="40" t="str">
        <f t="shared" si="680"/>
        <v/>
      </c>
      <c r="AC23" s="40" t="str">
        <f t="shared" si="680"/>
        <v/>
      </c>
      <c r="AD23" s="40" t="str">
        <f t="shared" si="680"/>
        <v/>
      </c>
      <c r="AE23" s="40" t="str">
        <f t="shared" si="680"/>
        <v/>
      </c>
      <c r="AF23" s="40" t="str">
        <f t="shared" si="680"/>
        <v/>
      </c>
      <c r="AG23" s="40" t="str">
        <f t="shared" si="680"/>
        <v/>
      </c>
      <c r="AH23" s="40" t="str">
        <f t="shared" si="680"/>
        <v/>
      </c>
      <c r="AI23" s="40" t="str">
        <f t="shared" si="680"/>
        <v/>
      </c>
      <c r="AJ23" s="40" t="str">
        <f t="shared" si="680"/>
        <v/>
      </c>
      <c r="AK23" s="40" t="str">
        <f t="shared" si="680"/>
        <v/>
      </c>
      <c r="AL23" s="40" t="str">
        <f t="shared" si="680"/>
        <v/>
      </c>
      <c r="AM23" s="41">
        <f t="shared" ref="AM23" si="681">IF(AND(AM21&lt;&gt;0,AM22&lt;&gt;0),(AM21-AM22)/AM22,IF(AND(AM21=0,AM22=0),"",IF(AND(AM21="",AM22=""),"",IF(AND(AM21=0,AM22=""),"", IF(AND(AM21="",AM22=0),"",1)))))</f>
        <v>-0.12315419694993472</v>
      </c>
      <c r="AN23" s="39">
        <f t="shared" ref="AN23" si="682">IF(AND(AN21&lt;&gt;0,AN22&lt;&gt;0),(AN21-AN22)/AN22,IF(AND(AN21=0,AN22=0),"",IF(AND(AN21="",AN22=""),"",IF(AND(AN21=0,AN22=""),"", IF(AND(AN21="",AN22=0),"",1)))))</f>
        <v>0.80934087070202232</v>
      </c>
      <c r="AO23" s="40">
        <f t="shared" ref="AO23" si="683">IF(AND(AO21&lt;&gt;0,AO22&lt;&gt;0),(AO21-AO22)/AO22,IF(AND(AO21=0,AO22=0),"",IF(AND(AO21="",AO22=""),"",IF(AND(AO21=0,AO22=""),"", IF(AND(AO21="",AO22=0),"",1)))))</f>
        <v>0.842352595373695</v>
      </c>
      <c r="AP23" s="40">
        <f t="shared" ref="AP23" si="684">IF(AND(AP21&lt;&gt;0,AP22&lt;&gt;0),(AP21-AP22)/AP22,IF(AND(AP21=0,AP22=0),"",IF(AND(AP21="",AP22=""),"",IF(AND(AP21=0,AP22=""),"", IF(AND(AP21="",AP22=0),"",1)))))</f>
        <v>0.7039047069752391</v>
      </c>
      <c r="AQ23" s="40">
        <f t="shared" ref="AQ23" si="685">IF(AND(AQ21&lt;&gt;0,AQ22&lt;&gt;0),(AQ21-AQ22)/AQ22,IF(AND(AQ21=0,AQ22=0),"",IF(AND(AQ21="",AQ22=""),"",IF(AND(AQ21=0,AQ22=""),"", IF(AND(AQ21="",AQ22=0),"",1)))))</f>
        <v>0.71096533885881819</v>
      </c>
      <c r="AR23" s="40">
        <f t="shared" ref="AR23" si="686">IF(AND(AR21&lt;&gt;0,AR22&lt;&gt;0),(AR21-AR22)/AR22,IF(AND(AR21=0,AR22=0),"",IF(AND(AR21="",AR22=""),"",IF(AND(AR21=0,AR22=""),"", IF(AND(AR21="",AR22=0),"",1)))))</f>
        <v>0.30861043594166537</v>
      </c>
      <c r="AS23" s="40">
        <f t="shared" ref="AS23" si="687">IF(AND(AS21&lt;&gt;0,AS22&lt;&gt;0),(AS21-AS22)/AS22,IF(AND(AS21=0,AS22=0),"",IF(AND(AS21="",AS22=""),"",IF(AND(AS21=0,AS22=""),"", IF(AND(AS21="",AS22=0),"",1)))))</f>
        <v>0.18741729157476841</v>
      </c>
      <c r="AT23" s="40">
        <f t="shared" ref="AT23" si="688">IF(AND(AT21&lt;&gt;0,AT22&lt;&gt;0),(AT21-AT22)/AT22,IF(AND(AT21=0,AT22=0),"",IF(AND(AT21="",AT22=""),"",IF(AND(AT21=0,AT22=""),"", IF(AND(AT21="",AT22=0),"",1)))))</f>
        <v>-0.90961511458323363</v>
      </c>
      <c r="AU23" s="40">
        <f t="shared" ref="AU23" si="689">IF(AND(AU21&lt;&gt;0,AU22&lt;&gt;0),(AU21-AU22)/AU22,IF(AND(AU21=0,AU22=0),"",IF(AND(AU21="",AU22=""),"",IF(AND(AU21=0,AU22=""),"", IF(AND(AU21="",AU22=0),"",1)))))</f>
        <v>1</v>
      </c>
      <c r="AV23" s="40">
        <f t="shared" ref="AV23" si="690">IF(AND(AV21&lt;&gt;0,AV22&lt;&gt;0),(AV21-AV22)/AV22,IF(AND(AV21=0,AV22=0),"",IF(AND(AV21="",AV22=""),"",IF(AND(AV21=0,AV22=""),"", IF(AND(AV21="",AV22=0),"",1)))))</f>
        <v>1</v>
      </c>
      <c r="AW23" s="40" t="str">
        <f t="shared" ref="AW23" si="691">IF(AND(AW21&lt;&gt;0,AW22&lt;&gt;0),(AW21-AW22)/AW22,IF(AND(AW21=0,AW22=0),"",IF(AND(AW21="",AW22=""),"",IF(AND(AW21=0,AW22=""),"", IF(AND(AW21="",AW22=0),"",1)))))</f>
        <v/>
      </c>
      <c r="AX23" s="40" t="str">
        <f t="shared" ref="AX23" si="692">IF(AND(AX21&lt;&gt;0,AX22&lt;&gt;0),(AX21-AX22)/AX22,IF(AND(AX21=0,AX22=0),"",IF(AND(AX21="",AX22=""),"",IF(AND(AX21=0,AX22=""),"", IF(AND(AX21="",AX22=0),"",1)))))</f>
        <v/>
      </c>
      <c r="AY23" s="40" t="str">
        <f t="shared" ref="AY23" si="693">IF(AND(AY21&lt;&gt;0,AY22&lt;&gt;0),(AY21-AY22)/AY22,IF(AND(AY21=0,AY22=0),"",IF(AND(AY21="",AY22=""),"",IF(AND(AY21=0,AY22=""),"", IF(AND(AY21="",AY22=0),"",1)))))</f>
        <v/>
      </c>
      <c r="AZ23" s="40" t="str">
        <f t="shared" ref="AZ23" si="694">IF(AND(AZ21&lt;&gt;0,AZ22&lt;&gt;0),(AZ21-AZ22)/AZ22,IF(AND(AZ21=0,AZ22=0),"",IF(AND(AZ21="",AZ22=""),"",IF(AND(AZ21=0,AZ22=""),"", IF(AND(AZ21="",AZ22=0),"",1)))))</f>
        <v/>
      </c>
      <c r="BA23" s="40" t="str">
        <f t="shared" ref="BA23" si="695">IF(AND(BA21&lt;&gt;0,BA22&lt;&gt;0),(BA21-BA22)/BA22,IF(AND(BA21=0,BA22=0),"",IF(AND(BA21="",BA22=""),"",IF(AND(BA21=0,BA22=""),"", IF(AND(BA21="",BA22=0),"",1)))))</f>
        <v/>
      </c>
      <c r="BB23" s="40" t="str">
        <f t="shared" ref="BB23" si="696">IF(AND(BB21&lt;&gt;0,BB22&lt;&gt;0),(BB21-BB22)/BB22,IF(AND(BB21=0,BB22=0),"",IF(AND(BB21="",BB22=""),"",IF(AND(BB21=0,BB22=""),"", IF(AND(BB21="",BB22=0),"",1)))))</f>
        <v/>
      </c>
      <c r="BC23" s="40" t="str">
        <f t="shared" ref="BC23" si="697">IF(AND(BC21&lt;&gt;0,BC22&lt;&gt;0),(BC21-BC22)/BC22,IF(AND(BC21=0,BC22=0),"",IF(AND(BC21="",BC22=""),"",IF(AND(BC21=0,BC22=""),"", IF(AND(BC21="",BC22=0),"",1)))))</f>
        <v/>
      </c>
      <c r="BD23" s="40" t="str">
        <f t="shared" ref="BD23" si="698">IF(AND(BD21&lt;&gt;0,BD22&lt;&gt;0),(BD21-BD22)/BD22,IF(AND(BD21=0,BD22=0),"",IF(AND(BD21="",BD22=""),"",IF(AND(BD21=0,BD22=""),"", IF(AND(BD21="",BD22=0),"",1)))))</f>
        <v/>
      </c>
      <c r="BE23" s="40" t="str">
        <f t="shared" ref="BE23" si="699">IF(AND(BE21&lt;&gt;0,BE22&lt;&gt;0),(BE21-BE22)/BE22,IF(AND(BE21=0,BE22=0),"",IF(AND(BE21="",BE22=""),"",IF(AND(BE21=0,BE22=""),"", IF(AND(BE21="",BE22=0),"",1)))))</f>
        <v/>
      </c>
      <c r="BF23" s="40" t="str">
        <f t="shared" ref="BF23" si="700">IF(AND(BF21&lt;&gt;0,BF22&lt;&gt;0),(BF21-BF22)/BF22,IF(AND(BF21=0,BF22=0),"",IF(AND(BF21="",BF22=""),"",IF(AND(BF21=0,BF22=""),"", IF(AND(BF21="",BF22=0),"",1)))))</f>
        <v/>
      </c>
      <c r="BG23" s="40" t="str">
        <f t="shared" ref="BG23" si="701">IF(AND(BG21&lt;&gt;0,BG22&lt;&gt;0),(BG21-BG22)/BG22,IF(AND(BG21=0,BG22=0),"",IF(AND(BG21="",BG22=""),"",IF(AND(BG21=0,BG22=""),"", IF(AND(BG21="",BG22=0),"",1)))))</f>
        <v/>
      </c>
      <c r="BH23" s="40" t="str">
        <f t="shared" ref="BH23" si="702">IF(AND(BH21&lt;&gt;0,BH22&lt;&gt;0),(BH21-BH22)/BH22,IF(AND(BH21=0,BH22=0),"",IF(AND(BH21="",BH22=""),"",IF(AND(BH21=0,BH22=""),"", IF(AND(BH21="",BH22=0),"",1)))))</f>
        <v/>
      </c>
      <c r="BI23" s="40" t="str">
        <f t="shared" ref="BI23" si="703">IF(AND(BI21&lt;&gt;0,BI22&lt;&gt;0),(BI21-BI22)/BI22,IF(AND(BI21=0,BI22=0),"",IF(AND(BI21="",BI22=""),"",IF(AND(BI21=0,BI22=""),"", IF(AND(BI21="",BI22=0),"",1)))))</f>
        <v/>
      </c>
      <c r="BJ23" s="40" t="str">
        <f t="shared" ref="BJ23:BX23" si="704">IF(AND(BJ21&lt;&gt;0,BJ22&lt;&gt;0),(BJ21-BJ22)/BJ22,IF(AND(BJ21=0,BJ22=0),"",IF(AND(BJ21="",BJ22=""),"",IF(AND(BJ21=0,BJ22=""),"", IF(AND(BJ21="",BJ22=0),"",1)))))</f>
        <v/>
      </c>
      <c r="BK23" s="40" t="str">
        <f t="shared" si="704"/>
        <v/>
      </c>
      <c r="BL23" s="40" t="str">
        <f t="shared" si="704"/>
        <v/>
      </c>
      <c r="BM23" s="40" t="str">
        <f t="shared" si="704"/>
        <v/>
      </c>
      <c r="BN23" s="40" t="str">
        <f t="shared" si="704"/>
        <v/>
      </c>
      <c r="BO23" s="40" t="str">
        <f t="shared" si="704"/>
        <v/>
      </c>
      <c r="BP23" s="40" t="str">
        <f t="shared" si="704"/>
        <v/>
      </c>
      <c r="BQ23" s="40" t="str">
        <f t="shared" si="704"/>
        <v/>
      </c>
      <c r="BR23" s="40" t="str">
        <f t="shared" si="704"/>
        <v/>
      </c>
      <c r="BS23" s="40" t="str">
        <f t="shared" si="704"/>
        <v/>
      </c>
      <c r="BT23" s="40" t="str">
        <f t="shared" si="704"/>
        <v/>
      </c>
      <c r="BU23" s="40" t="str">
        <f t="shared" si="704"/>
        <v/>
      </c>
      <c r="BV23" s="40" t="str">
        <f t="shared" si="704"/>
        <v/>
      </c>
      <c r="BW23" s="40" t="str">
        <f t="shared" si="704"/>
        <v/>
      </c>
      <c r="BX23" s="40" t="str">
        <f t="shared" si="704"/>
        <v/>
      </c>
      <c r="BY23" s="41">
        <f t="shared" ref="BY23" si="705">IF(AND(BY21&lt;&gt;0,BY22&lt;&gt;0),(BY21-BY22)/BY22,IF(AND(BY21=0,BY22=0),"",IF(AND(BY21="",BY22=""),"",IF(AND(BY21=0,BY22=""),"", IF(AND(BY21="",BY22=0),"",1)))))</f>
        <v>-0.31580701087061369</v>
      </c>
      <c r="BZ23" s="39">
        <f t="shared" ref="BZ23" si="706">IF(AND(BZ21&lt;&gt;0,BZ22&lt;&gt;0),(BZ21-BZ22)/BZ22,IF(AND(BZ21=0,BZ22=0),"",IF(AND(BZ21="",BZ22=""),"",IF(AND(BZ21=0,BZ22=""),"", IF(AND(BZ21="",BZ22=0),"",1)))))</f>
        <v>1.0019120166421929</v>
      </c>
      <c r="CA23" s="40">
        <f t="shared" ref="CA23" si="707">IF(AND(CA21&lt;&gt;0,CA22&lt;&gt;0),(CA21-CA22)/CA22,IF(AND(CA21=0,CA22=0),"",IF(AND(CA21="",CA22=""),"",IF(AND(CA21=0,CA22=""),"", IF(AND(CA21="",CA22=0),"",1)))))</f>
        <v>0.9097868266335748</v>
      </c>
      <c r="CB23" s="40">
        <f t="shared" ref="CB23" si="708">IF(AND(CB21&lt;&gt;0,CB22&lt;&gt;0),(CB21-CB22)/CB22,IF(AND(CB21=0,CB22=0),"",IF(AND(CB21="",CB22=""),"",IF(AND(CB21=0,CB22=""),"", IF(AND(CB21="",CB22=0),"",1)))))</f>
        <v>0.91043595815367218</v>
      </c>
      <c r="CC23" s="40">
        <f t="shared" ref="CC23" si="709">IF(AND(CC21&lt;&gt;0,CC22&lt;&gt;0),(CC21-CC22)/CC22,IF(AND(CC21=0,CC22=0),"",IF(AND(CC21="",CC22=""),"",IF(AND(CC21=0,CC22=""),"", IF(AND(CC21="",CC22=0),"",1)))))</f>
        <v>1.0177245401484045</v>
      </c>
      <c r="CD23" s="40">
        <f t="shared" ref="CD23" si="710">IF(AND(CD21&lt;&gt;0,CD22&lt;&gt;0),(CD21-CD22)/CD22,IF(AND(CD21=0,CD22=0),"",IF(AND(CD21="",CD22=""),"",IF(AND(CD21=0,CD22=""),"", IF(AND(CD21="",CD22=0),"",1)))))</f>
        <v>1.1312640296194367</v>
      </c>
      <c r="CE23" s="40">
        <f t="shared" ref="CE23" si="711">IF(AND(CE21&lt;&gt;0,CE22&lt;&gt;0),(CE21-CE22)/CE22,IF(AND(CE21=0,CE22=0),"",IF(AND(CE21="",CE22=""),"",IF(AND(CE21=0,CE22=""),"", IF(AND(CE21="",CE22=0),"",1)))))</f>
        <v>0.81832230437844333</v>
      </c>
      <c r="CF23" s="40">
        <f t="shared" ref="CF23" si="712">IF(AND(CF21&lt;&gt;0,CF22&lt;&gt;0),(CF21-CF22)/CF22,IF(AND(CF21=0,CF22=0),"",IF(AND(CF21="",CF22=""),"",IF(AND(CF21=0,CF22=""),"", IF(AND(CF21="",CF22=0),"",1)))))</f>
        <v>0.7073283412841167</v>
      </c>
      <c r="CG23" s="40">
        <f t="shared" ref="CG23" si="713">IF(AND(CG21&lt;&gt;0,CG22&lt;&gt;0),(CG21-CG22)/CG22,IF(AND(CG21=0,CG22=0),"",IF(AND(CG21="",CG22=""),"",IF(AND(CG21=0,CG22=""),"", IF(AND(CG21="",CG22=0),"",1)))))</f>
        <v>-0.12900328175439388</v>
      </c>
      <c r="CH23" s="40">
        <f t="shared" ref="CH23" si="714">IF(AND(CH21&lt;&gt;0,CH22&lt;&gt;0),(CH21-CH22)/CH22,IF(AND(CH21=0,CH22=0),"",IF(AND(CH21="",CH22=""),"",IF(AND(CH21=0,CH22=""),"", IF(AND(CH21="",CH22=0),"",1)))))</f>
        <v>-4.6219941212149486E-2</v>
      </c>
      <c r="CI23" s="40">
        <f t="shared" ref="CI23" si="715">IF(AND(CI21&lt;&gt;0,CI22&lt;&gt;0),(CI21-CI22)/CI22,IF(AND(CI21=0,CI22=0),"",IF(AND(CI21="",CI22=""),"",IF(AND(CI21=0,CI22=""),"", IF(AND(CI21="",CI22=0),"",1)))))</f>
        <v>1</v>
      </c>
      <c r="CJ23" s="40">
        <f t="shared" ref="CJ23" si="716">IF(AND(CJ21&lt;&gt;0,CJ22&lt;&gt;0),(CJ21-CJ22)/CJ22,IF(AND(CJ21=0,CJ22=0),"",IF(AND(CJ21="",CJ22=""),"",IF(AND(CJ21=0,CJ22=""),"", IF(AND(CJ21="",CJ22=0),"",1)))))</f>
        <v>1</v>
      </c>
      <c r="CK23" s="40" t="str">
        <f t="shared" ref="CK23" si="717">IF(AND(CK21&lt;&gt;0,CK22&lt;&gt;0),(CK21-CK22)/CK22,IF(AND(CK21=0,CK22=0),"",IF(AND(CK21="",CK22=""),"",IF(AND(CK21=0,CK22=""),"", IF(AND(CK21="",CK22=0),"",1)))))</f>
        <v/>
      </c>
      <c r="CL23" s="40" t="str">
        <f t="shared" ref="CL23" si="718">IF(AND(CL21&lt;&gt;0,CL22&lt;&gt;0),(CL21-CL22)/CL22,IF(AND(CL21=0,CL22=0),"",IF(AND(CL21="",CL22=""),"",IF(AND(CL21=0,CL22=""),"", IF(AND(CL21="",CL22=0),"",1)))))</f>
        <v/>
      </c>
      <c r="CM23" s="40" t="str">
        <f t="shared" ref="CM23" si="719">IF(AND(CM21&lt;&gt;0,CM22&lt;&gt;0),(CM21-CM22)/CM22,IF(AND(CM21=0,CM22=0),"",IF(AND(CM21="",CM22=""),"",IF(AND(CM21=0,CM22=""),"", IF(AND(CM21="",CM22=0),"",1)))))</f>
        <v/>
      </c>
      <c r="CN23" s="40" t="str">
        <f t="shared" ref="CN23" si="720">IF(AND(CN21&lt;&gt;0,CN22&lt;&gt;0),(CN21-CN22)/CN22,IF(AND(CN21=0,CN22=0),"",IF(AND(CN21="",CN22=""),"",IF(AND(CN21=0,CN22=""),"", IF(AND(CN21="",CN22=0),"",1)))))</f>
        <v/>
      </c>
      <c r="CO23" s="40" t="str">
        <f t="shared" ref="CO23" si="721">IF(AND(CO21&lt;&gt;0,CO22&lt;&gt;0),(CO21-CO22)/CO22,IF(AND(CO21=0,CO22=0),"",IF(AND(CO21="",CO22=""),"",IF(AND(CO21=0,CO22=""),"", IF(AND(CO21="",CO22=0),"",1)))))</f>
        <v/>
      </c>
      <c r="CP23" s="40" t="str">
        <f t="shared" ref="CP23" si="722">IF(AND(CP21&lt;&gt;0,CP22&lt;&gt;0),(CP21-CP22)/CP22,IF(AND(CP21=0,CP22=0),"",IF(AND(CP21="",CP22=""),"",IF(AND(CP21=0,CP22=""),"", IF(AND(CP21="",CP22=0),"",1)))))</f>
        <v/>
      </c>
      <c r="CQ23" s="40" t="str">
        <f t="shared" ref="CQ23" si="723">IF(AND(CQ21&lt;&gt;0,CQ22&lt;&gt;0),(CQ21-CQ22)/CQ22,IF(AND(CQ21=0,CQ22=0),"",IF(AND(CQ21="",CQ22=""),"",IF(AND(CQ21=0,CQ22=""),"", IF(AND(CQ21="",CQ22=0),"",1)))))</f>
        <v/>
      </c>
      <c r="CR23" s="40" t="str">
        <f t="shared" ref="CR23" si="724">IF(AND(CR21&lt;&gt;0,CR22&lt;&gt;0),(CR21-CR22)/CR22,IF(AND(CR21=0,CR22=0),"",IF(AND(CR21="",CR22=""),"",IF(AND(CR21=0,CR22=""),"", IF(AND(CR21="",CR22=0),"",1)))))</f>
        <v/>
      </c>
      <c r="CS23" s="40" t="str">
        <f t="shared" ref="CS23" si="725">IF(AND(CS21&lt;&gt;0,CS22&lt;&gt;0),(CS21-CS22)/CS22,IF(AND(CS21=0,CS22=0),"",IF(AND(CS21="",CS22=""),"",IF(AND(CS21=0,CS22=""),"", IF(AND(CS21="",CS22=0),"",1)))))</f>
        <v/>
      </c>
      <c r="CT23" s="40" t="str">
        <f t="shared" ref="CT23" si="726">IF(AND(CT21&lt;&gt;0,CT22&lt;&gt;0),(CT21-CT22)/CT22,IF(AND(CT21=0,CT22=0),"",IF(AND(CT21="",CT22=""),"",IF(AND(CT21=0,CT22=""),"", IF(AND(CT21="",CT22=0),"",1)))))</f>
        <v/>
      </c>
      <c r="CU23" s="40" t="str">
        <f t="shared" ref="CU23" si="727">IF(AND(CU21&lt;&gt;0,CU22&lt;&gt;0),(CU21-CU22)/CU22,IF(AND(CU21=0,CU22=0),"",IF(AND(CU21="",CU22=""),"",IF(AND(CU21=0,CU22=""),"", IF(AND(CU21="",CU22=0),"",1)))))</f>
        <v/>
      </c>
      <c r="CV23" s="40" t="str">
        <f t="shared" ref="CV23:DJ23" si="728">IF(AND(CV21&lt;&gt;0,CV22&lt;&gt;0),(CV21-CV22)/CV22,IF(AND(CV21=0,CV22=0),"",IF(AND(CV21="",CV22=""),"",IF(AND(CV21=0,CV22=""),"", IF(AND(CV21="",CV22=0),"",1)))))</f>
        <v/>
      </c>
      <c r="CW23" s="40" t="str">
        <f t="shared" si="728"/>
        <v/>
      </c>
      <c r="CX23" s="40" t="str">
        <f t="shared" si="728"/>
        <v/>
      </c>
      <c r="CY23" s="40" t="str">
        <f t="shared" si="728"/>
        <v/>
      </c>
      <c r="CZ23" s="40" t="str">
        <f t="shared" si="728"/>
        <v/>
      </c>
      <c r="DA23" s="40" t="str">
        <f t="shared" si="728"/>
        <v/>
      </c>
      <c r="DB23" s="40" t="str">
        <f t="shared" si="728"/>
        <v/>
      </c>
      <c r="DC23" s="40" t="str">
        <f t="shared" si="728"/>
        <v/>
      </c>
      <c r="DD23" s="40" t="str">
        <f t="shared" si="728"/>
        <v/>
      </c>
      <c r="DE23" s="40" t="str">
        <f t="shared" si="728"/>
        <v/>
      </c>
      <c r="DF23" s="40" t="str">
        <f t="shared" si="728"/>
        <v/>
      </c>
      <c r="DG23" s="40" t="str">
        <f t="shared" si="728"/>
        <v/>
      </c>
      <c r="DH23" s="40" t="str">
        <f t="shared" si="728"/>
        <v/>
      </c>
      <c r="DI23" s="40" t="str">
        <f t="shared" si="728"/>
        <v/>
      </c>
      <c r="DJ23" s="40" t="str">
        <f t="shared" si="728"/>
        <v/>
      </c>
      <c r="DK23" s="41">
        <f t="shared" ref="DK23:HU23" si="729">IF(AND(DK21&lt;&gt;0,DK22&lt;&gt;0),(DK21-DK22)/DK22,IF(AND(DK21=0,DK22=0),"",IF(AND(DK21="",DK22=""),"",IF(AND(DK21=0,DK22=""),"", IF(AND(DK21="",DK22=0),"",1)))))</f>
        <v>1.8443812511808548</v>
      </c>
      <c r="DL23" s="72" t="str">
        <f t="shared" si="729"/>
        <v/>
      </c>
      <c r="DM23" s="73" t="str">
        <f t="shared" si="729"/>
        <v/>
      </c>
      <c r="DN23" s="73" t="str">
        <f t="shared" si="729"/>
        <v/>
      </c>
      <c r="DO23" s="73" t="str">
        <f t="shared" si="729"/>
        <v/>
      </c>
      <c r="DP23" s="73" t="str">
        <f t="shared" si="729"/>
        <v/>
      </c>
      <c r="DQ23" s="73" t="str">
        <f t="shared" si="729"/>
        <v/>
      </c>
      <c r="DR23" s="73" t="str">
        <f t="shared" si="729"/>
        <v/>
      </c>
      <c r="DS23" s="73" t="str">
        <f t="shared" si="729"/>
        <v/>
      </c>
      <c r="DT23" s="73" t="str">
        <f t="shared" si="729"/>
        <v/>
      </c>
      <c r="DU23" s="73" t="str">
        <f t="shared" si="729"/>
        <v/>
      </c>
      <c r="DV23" s="73" t="str">
        <f t="shared" si="729"/>
        <v/>
      </c>
      <c r="DW23" s="73" t="str">
        <f t="shared" si="729"/>
        <v/>
      </c>
      <c r="DX23" s="73" t="str">
        <f t="shared" si="729"/>
        <v/>
      </c>
      <c r="DY23" s="73" t="str">
        <f t="shared" si="729"/>
        <v/>
      </c>
      <c r="DZ23" s="73" t="str">
        <f t="shared" si="729"/>
        <v/>
      </c>
      <c r="EA23" s="73" t="str">
        <f t="shared" si="729"/>
        <v/>
      </c>
      <c r="EB23" s="73" t="str">
        <f t="shared" si="729"/>
        <v/>
      </c>
      <c r="EC23" s="73" t="str">
        <f t="shared" si="729"/>
        <v/>
      </c>
      <c r="ED23" s="73" t="str">
        <f t="shared" si="729"/>
        <v/>
      </c>
      <c r="EE23" s="73" t="str">
        <f t="shared" si="729"/>
        <v/>
      </c>
      <c r="EF23" s="73" t="str">
        <f t="shared" si="729"/>
        <v/>
      </c>
      <c r="EG23" s="73" t="str">
        <f t="shared" si="729"/>
        <v/>
      </c>
      <c r="EH23" s="73" t="str">
        <f t="shared" si="729"/>
        <v/>
      </c>
      <c r="EI23" s="73" t="str">
        <f t="shared" ref="EI23:EV23" si="730">IF(AND(EI21&lt;&gt;0,EI22&lt;&gt;0),(EI21-EI22)/EI22,IF(AND(EI21=0,EI22=0),"",IF(AND(EI21="",EI22=""),"",IF(AND(EI21=0,EI22=""),"", IF(AND(EI21="",EI22=0),"",1)))))</f>
        <v/>
      </c>
      <c r="EJ23" s="73" t="str">
        <f t="shared" si="730"/>
        <v/>
      </c>
      <c r="EK23" s="73" t="str">
        <f t="shared" si="730"/>
        <v/>
      </c>
      <c r="EL23" s="73" t="str">
        <f t="shared" si="730"/>
        <v/>
      </c>
      <c r="EM23" s="73" t="str">
        <f t="shared" si="730"/>
        <v/>
      </c>
      <c r="EN23" s="73" t="str">
        <f t="shared" si="730"/>
        <v/>
      </c>
      <c r="EO23" s="73" t="str">
        <f t="shared" si="730"/>
        <v/>
      </c>
      <c r="EP23" s="73" t="str">
        <f t="shared" si="730"/>
        <v/>
      </c>
      <c r="EQ23" s="73" t="str">
        <f t="shared" si="730"/>
        <v/>
      </c>
      <c r="ER23" s="73" t="str">
        <f t="shared" si="730"/>
        <v/>
      </c>
      <c r="ES23" s="73" t="str">
        <f t="shared" si="730"/>
        <v/>
      </c>
      <c r="ET23" s="73" t="str">
        <f t="shared" si="730"/>
        <v/>
      </c>
      <c r="EU23" s="73" t="str">
        <f t="shared" si="730"/>
        <v/>
      </c>
      <c r="EV23" s="73" t="str">
        <f t="shared" si="730"/>
        <v/>
      </c>
      <c r="EW23" s="74" t="str">
        <f t="shared" si="729"/>
        <v/>
      </c>
      <c r="EX23" s="72" t="str">
        <f t="shared" ref="EX23:GI23" si="731">IF(AND(EX21&lt;&gt;0,EX22&lt;&gt;0),(EX21-EX22)/EX22,IF(AND(EX21=0,EX22=0),"",IF(AND(EX21="",EX22=""),"",IF(AND(EX21=0,EX22=""),"", IF(AND(EX21="",EX22=0),"",1)))))</f>
        <v/>
      </c>
      <c r="EY23" s="73" t="str">
        <f t="shared" si="731"/>
        <v/>
      </c>
      <c r="EZ23" s="73" t="str">
        <f t="shared" si="731"/>
        <v/>
      </c>
      <c r="FA23" s="73" t="str">
        <f t="shared" si="731"/>
        <v/>
      </c>
      <c r="FB23" s="73" t="str">
        <f t="shared" si="731"/>
        <v/>
      </c>
      <c r="FC23" s="73" t="str">
        <f t="shared" si="731"/>
        <v/>
      </c>
      <c r="FD23" s="73" t="str">
        <f t="shared" si="731"/>
        <v/>
      </c>
      <c r="FE23" s="73" t="str">
        <f t="shared" si="731"/>
        <v/>
      </c>
      <c r="FF23" s="73" t="str">
        <f t="shared" si="731"/>
        <v/>
      </c>
      <c r="FG23" s="73" t="str">
        <f t="shared" si="731"/>
        <v/>
      </c>
      <c r="FH23" s="73" t="str">
        <f t="shared" si="731"/>
        <v/>
      </c>
      <c r="FI23" s="73" t="str">
        <f t="shared" si="731"/>
        <v/>
      </c>
      <c r="FJ23" s="73" t="str">
        <f t="shared" si="731"/>
        <v/>
      </c>
      <c r="FK23" s="73" t="str">
        <f t="shared" si="731"/>
        <v/>
      </c>
      <c r="FL23" s="73" t="str">
        <f t="shared" si="731"/>
        <v/>
      </c>
      <c r="FM23" s="73" t="str">
        <f t="shared" si="731"/>
        <v/>
      </c>
      <c r="FN23" s="73" t="str">
        <f t="shared" si="731"/>
        <v/>
      </c>
      <c r="FO23" s="73" t="str">
        <f t="shared" si="731"/>
        <v/>
      </c>
      <c r="FP23" s="73" t="str">
        <f t="shared" si="731"/>
        <v/>
      </c>
      <c r="FQ23" s="73" t="str">
        <f t="shared" si="731"/>
        <v/>
      </c>
      <c r="FR23" s="73" t="str">
        <f t="shared" si="731"/>
        <v/>
      </c>
      <c r="FS23" s="73" t="str">
        <f t="shared" si="731"/>
        <v/>
      </c>
      <c r="FT23" s="73" t="str">
        <f t="shared" si="731"/>
        <v/>
      </c>
      <c r="FU23" s="73" t="str">
        <f t="shared" ref="FU23:GH23" si="732">IF(AND(FU21&lt;&gt;0,FU22&lt;&gt;0),(FU21-FU22)/FU22,IF(AND(FU21=0,FU22=0),"",IF(AND(FU21="",FU22=""),"",IF(AND(FU21=0,FU22=""),"", IF(AND(FU21="",FU22=0),"",1)))))</f>
        <v/>
      </c>
      <c r="FV23" s="73" t="str">
        <f t="shared" si="732"/>
        <v/>
      </c>
      <c r="FW23" s="73" t="str">
        <f t="shared" si="732"/>
        <v/>
      </c>
      <c r="FX23" s="73" t="str">
        <f t="shared" si="732"/>
        <v/>
      </c>
      <c r="FY23" s="73" t="str">
        <f t="shared" si="732"/>
        <v/>
      </c>
      <c r="FZ23" s="73" t="str">
        <f t="shared" si="732"/>
        <v/>
      </c>
      <c r="GA23" s="73" t="str">
        <f t="shared" si="732"/>
        <v/>
      </c>
      <c r="GB23" s="73" t="str">
        <f t="shared" si="732"/>
        <v/>
      </c>
      <c r="GC23" s="73" t="str">
        <f t="shared" si="732"/>
        <v/>
      </c>
      <c r="GD23" s="73" t="str">
        <f t="shared" si="732"/>
        <v/>
      </c>
      <c r="GE23" s="73" t="str">
        <f t="shared" si="732"/>
        <v/>
      </c>
      <c r="GF23" s="73" t="str">
        <f t="shared" si="732"/>
        <v/>
      </c>
      <c r="GG23" s="73" t="str">
        <f t="shared" si="732"/>
        <v/>
      </c>
      <c r="GH23" s="73" t="str">
        <f t="shared" si="732"/>
        <v/>
      </c>
      <c r="GI23" s="74" t="str">
        <f t="shared" si="731"/>
        <v/>
      </c>
      <c r="GJ23" s="72" t="str">
        <f t="shared" si="729"/>
        <v/>
      </c>
      <c r="GK23" s="73" t="str">
        <f t="shared" si="729"/>
        <v/>
      </c>
      <c r="GL23" s="73" t="str">
        <f t="shared" si="729"/>
        <v/>
      </c>
      <c r="GM23" s="73" t="str">
        <f t="shared" si="729"/>
        <v/>
      </c>
      <c r="GN23" s="73" t="str">
        <f t="shared" si="729"/>
        <v/>
      </c>
      <c r="GO23" s="73" t="str">
        <f t="shared" si="729"/>
        <v/>
      </c>
      <c r="GP23" s="73" t="str">
        <f t="shared" si="729"/>
        <v/>
      </c>
      <c r="GQ23" s="73" t="str">
        <f t="shared" si="729"/>
        <v/>
      </c>
      <c r="GR23" s="73" t="str">
        <f t="shared" si="729"/>
        <v/>
      </c>
      <c r="GS23" s="73" t="str">
        <f t="shared" si="729"/>
        <v/>
      </c>
      <c r="GT23" s="73" t="str">
        <f t="shared" si="729"/>
        <v/>
      </c>
      <c r="GU23" s="73" t="str">
        <f t="shared" si="729"/>
        <v/>
      </c>
      <c r="GV23" s="73" t="str">
        <f t="shared" si="729"/>
        <v/>
      </c>
      <c r="GW23" s="73" t="str">
        <f t="shared" si="729"/>
        <v/>
      </c>
      <c r="GX23" s="73" t="str">
        <f t="shared" si="729"/>
        <v/>
      </c>
      <c r="GY23" s="73" t="str">
        <f t="shared" si="729"/>
        <v/>
      </c>
      <c r="GZ23" s="73" t="str">
        <f t="shared" si="729"/>
        <v/>
      </c>
      <c r="HA23" s="73" t="str">
        <f t="shared" si="729"/>
        <v/>
      </c>
      <c r="HB23" s="73" t="str">
        <f t="shared" si="729"/>
        <v/>
      </c>
      <c r="HC23" s="73" t="str">
        <f t="shared" si="729"/>
        <v/>
      </c>
      <c r="HD23" s="73" t="str">
        <f t="shared" si="729"/>
        <v/>
      </c>
      <c r="HE23" s="73" t="str">
        <f t="shared" si="729"/>
        <v/>
      </c>
      <c r="HF23" s="73" t="str">
        <f t="shared" si="729"/>
        <v/>
      </c>
      <c r="HG23" s="73" t="str">
        <f t="shared" ref="HG23:HT23" si="733">IF(AND(HG21&lt;&gt;0,HG22&lt;&gt;0),(HG21-HG22)/HG22,IF(AND(HG21=0,HG22=0),"",IF(AND(HG21="",HG22=""),"",IF(AND(HG21=0,HG22=""),"", IF(AND(HG21="",HG22=0),"",1)))))</f>
        <v/>
      </c>
      <c r="HH23" s="73" t="str">
        <f t="shared" si="733"/>
        <v/>
      </c>
      <c r="HI23" s="73" t="str">
        <f t="shared" si="733"/>
        <v/>
      </c>
      <c r="HJ23" s="73" t="str">
        <f t="shared" si="733"/>
        <v/>
      </c>
      <c r="HK23" s="73" t="str">
        <f t="shared" si="733"/>
        <v/>
      </c>
      <c r="HL23" s="73" t="str">
        <f t="shared" si="733"/>
        <v/>
      </c>
      <c r="HM23" s="73" t="str">
        <f t="shared" si="733"/>
        <v/>
      </c>
      <c r="HN23" s="73" t="str">
        <f t="shared" si="733"/>
        <v/>
      </c>
      <c r="HO23" s="73" t="str">
        <f t="shared" si="733"/>
        <v/>
      </c>
      <c r="HP23" s="73" t="str">
        <f t="shared" si="733"/>
        <v/>
      </c>
      <c r="HQ23" s="73" t="str">
        <f t="shared" si="733"/>
        <v/>
      </c>
      <c r="HR23" s="73" t="str">
        <f t="shared" si="733"/>
        <v/>
      </c>
      <c r="HS23" s="73" t="str">
        <f t="shared" si="733"/>
        <v/>
      </c>
      <c r="HT23" s="73" t="str">
        <f t="shared" si="733"/>
        <v/>
      </c>
      <c r="HU23" s="74" t="str">
        <f t="shared" si="729"/>
        <v/>
      </c>
      <c r="HV23" s="39">
        <f t="shared" ref="HV23" si="734">IF(AND(HV21&lt;&gt;0,HV22&lt;&gt;0),(HV21-HV22)/HV22,IF(AND(HV21=0,HV22=0),"",IF(AND(HV21="",HV22=""),"",IF(AND(HV21=0,HV22=""),"", IF(AND(HV21="",HV22=0),"",1)))))</f>
        <v>-3.2846907135224149E-6</v>
      </c>
      <c r="HW23" s="40">
        <f t="shared" ref="HW23" si="735">IF(AND(HW21&lt;&gt;0,HW22&lt;&gt;0),(HW21-HW22)/HW22,IF(AND(HW21=0,HW22=0),"",IF(AND(HW21="",HW22=""),"",IF(AND(HW21=0,HW22=""),"", IF(AND(HW21="",HW22=0),"",1)))))</f>
        <v>2.260113253438051E-6</v>
      </c>
      <c r="HX23" s="40">
        <f t="shared" ref="HX23" si="736">IF(AND(HX21&lt;&gt;0,HX22&lt;&gt;0),(HX21-HX22)/HX22,IF(AND(HX21=0,HX22=0),"",IF(AND(HX21="",HX22=""),"",IF(AND(HX21=0,HX22=""),"", IF(AND(HX21="",HX22=0),"",1)))))</f>
        <v>-2.4392986169737299E-2</v>
      </c>
      <c r="HY23" s="40">
        <f t="shared" ref="HY23" si="737">IF(AND(HY21&lt;&gt;0,HY22&lt;&gt;0),(HY21-HY22)/HY22,IF(AND(HY21=0,HY22=0),"",IF(AND(HY21="",HY22=""),"",IF(AND(HY21=0,HY22=""),"", IF(AND(HY21="",HY22=0),"",1)))))</f>
        <v>-2.0694820758649438E-3</v>
      </c>
      <c r="HZ23" s="40">
        <f t="shared" ref="HZ23" si="738">IF(AND(HZ21&lt;&gt;0,HZ22&lt;&gt;0),(HZ21-HZ22)/HZ22,IF(AND(HZ21=0,HZ22=0),"",IF(AND(HZ21="",HZ22=""),"",IF(AND(HZ21=0,HZ22=""),"", IF(AND(HZ21="",HZ22=0),"",1)))))</f>
        <v>1.3029193732645115E-7</v>
      </c>
      <c r="IA23" s="40">
        <f t="shared" ref="IA23" si="739">IF(AND(IA21&lt;&gt;0,IA22&lt;&gt;0),(IA21-IA22)/IA22,IF(AND(IA21=0,IA22=0),"",IF(AND(IA21="",IA22=""),"",IF(AND(IA21=0,IA22=""),"", IF(AND(IA21="",IA22=0),"",1)))))</f>
        <v>1.6720928222457288E-6</v>
      </c>
      <c r="IB23" s="40">
        <f t="shared" ref="IB23" si="740">IF(AND(IB21&lt;&gt;0,IB22&lt;&gt;0),(IB21-IB22)/IB22,IF(AND(IB21=0,IB22=0),"",IF(AND(IB21="",IB22=""),"",IF(AND(IB21=0,IB22=""),"", IF(AND(IB21="",IB22=0),"",1)))))</f>
        <v>-2.3643955801503001E-2</v>
      </c>
      <c r="IC23" s="40">
        <f t="shared" ref="IC23" si="741">IF(AND(IC21&lt;&gt;0,IC22&lt;&gt;0),(IC21-IC22)/IC22,IF(AND(IC21=0,IC22=0),"",IF(AND(IC21="",IC22=""),"",IF(AND(IC21=0,IC22=""),"", IF(AND(IC21="",IC22=0),"",1)))))</f>
        <v>-1.6669043637666112E-2</v>
      </c>
      <c r="ID23" s="40">
        <f t="shared" ref="ID23" si="742">IF(AND(ID21&lt;&gt;0,ID22&lt;&gt;0),(ID21-ID22)/ID22,IF(AND(ID21=0,ID22=0),"",IF(AND(ID21="",ID22=""),"",IF(AND(ID21=0,ID22=""),"", IF(AND(ID21="",ID22=0),"",1)))))</f>
        <v>-8.3482700573460134E-2</v>
      </c>
      <c r="IE23" s="40">
        <f t="shared" ref="IE23" si="743">IF(AND(IE21&lt;&gt;0,IE22&lt;&gt;0),(IE21-IE22)/IE22,IF(AND(IE21=0,IE22=0),"",IF(AND(IE21="",IE22=""),"",IF(AND(IE21=0,IE22=""),"", IF(AND(IE21="",IE22=0),"",1)))))</f>
        <v>-0.98793637240199672</v>
      </c>
      <c r="IF23" s="40">
        <f t="shared" ref="IF23" si="744">IF(AND(IF21&lt;&gt;0,IF22&lt;&gt;0),(IF21-IF22)/IF22,IF(AND(IF21=0,IF22=0),"",IF(AND(IF21="",IF22=""),"",IF(AND(IF21=0,IF22=""),"", IF(AND(IF21="",IF22=0),"",1)))))</f>
        <v>1</v>
      </c>
      <c r="IG23" s="40" t="str">
        <f t="shared" ref="IG23" si="745">IF(AND(IG21&lt;&gt;0,IG22&lt;&gt;0),(IG21-IG22)/IG22,IF(AND(IG21=0,IG22=0),"",IF(AND(IG21="",IG22=""),"",IF(AND(IG21=0,IG22=""),"", IF(AND(IG21="",IG22=0),"",1)))))</f>
        <v/>
      </c>
      <c r="IH23" s="40" t="str">
        <f t="shared" ref="IH23" si="746">IF(AND(IH21&lt;&gt;0,IH22&lt;&gt;0),(IH21-IH22)/IH22,IF(AND(IH21=0,IH22=0),"",IF(AND(IH21="",IH22=""),"",IF(AND(IH21=0,IH22=""),"", IF(AND(IH21="",IH22=0),"",1)))))</f>
        <v/>
      </c>
      <c r="II23" s="40" t="str">
        <f t="shared" ref="II23" si="747">IF(AND(II21&lt;&gt;0,II22&lt;&gt;0),(II21-II22)/II22,IF(AND(II21=0,II22=0),"",IF(AND(II21="",II22=""),"",IF(AND(II21=0,II22=""),"", IF(AND(II21="",II22=0),"",1)))))</f>
        <v/>
      </c>
      <c r="IJ23" s="40" t="str">
        <f t="shared" ref="IJ23" si="748">IF(AND(IJ21&lt;&gt;0,IJ22&lt;&gt;0),(IJ21-IJ22)/IJ22,IF(AND(IJ21=0,IJ22=0),"",IF(AND(IJ21="",IJ22=""),"",IF(AND(IJ21=0,IJ22=""),"", IF(AND(IJ21="",IJ22=0),"",1)))))</f>
        <v/>
      </c>
      <c r="IK23" s="40" t="str">
        <f t="shared" ref="IK23" si="749">IF(AND(IK21&lt;&gt;0,IK22&lt;&gt;0),(IK21-IK22)/IK22,IF(AND(IK21=0,IK22=0),"",IF(AND(IK21="",IK22=""),"",IF(AND(IK21=0,IK22=""),"", IF(AND(IK21="",IK22=0),"",1)))))</f>
        <v/>
      </c>
      <c r="IL23" s="40" t="str">
        <f t="shared" ref="IL23" si="750">IF(AND(IL21&lt;&gt;0,IL22&lt;&gt;0),(IL21-IL22)/IL22,IF(AND(IL21=0,IL22=0),"",IF(AND(IL21="",IL22=""),"",IF(AND(IL21=0,IL22=""),"", IF(AND(IL21="",IL22=0),"",1)))))</f>
        <v/>
      </c>
      <c r="IM23" s="40" t="str">
        <f t="shared" ref="IM23" si="751">IF(AND(IM21&lt;&gt;0,IM22&lt;&gt;0),(IM21-IM22)/IM22,IF(AND(IM21=0,IM22=0),"",IF(AND(IM21="",IM22=""),"",IF(AND(IM21=0,IM22=""),"", IF(AND(IM21="",IM22=0),"",1)))))</f>
        <v/>
      </c>
      <c r="IN23" s="40" t="str">
        <f t="shared" ref="IN23" si="752">IF(AND(IN21&lt;&gt;0,IN22&lt;&gt;0),(IN21-IN22)/IN22,IF(AND(IN21=0,IN22=0),"",IF(AND(IN21="",IN22=""),"",IF(AND(IN21=0,IN22=""),"", IF(AND(IN21="",IN22=0),"",1)))))</f>
        <v/>
      </c>
      <c r="IO23" s="40" t="str">
        <f t="shared" ref="IO23" si="753">IF(AND(IO21&lt;&gt;0,IO22&lt;&gt;0),(IO21-IO22)/IO22,IF(AND(IO21=0,IO22=0),"",IF(AND(IO21="",IO22=""),"",IF(AND(IO21=0,IO22=""),"", IF(AND(IO21="",IO22=0),"",1)))))</f>
        <v/>
      </c>
      <c r="IP23" s="40" t="str">
        <f t="shared" ref="IP23" si="754">IF(AND(IP21&lt;&gt;0,IP22&lt;&gt;0),(IP21-IP22)/IP22,IF(AND(IP21=0,IP22=0),"",IF(AND(IP21="",IP22=""),"",IF(AND(IP21=0,IP22=""),"", IF(AND(IP21="",IP22=0),"",1)))))</f>
        <v/>
      </c>
      <c r="IQ23" s="40" t="str">
        <f t="shared" ref="IQ23" si="755">IF(AND(IQ21&lt;&gt;0,IQ22&lt;&gt;0),(IQ21-IQ22)/IQ22,IF(AND(IQ21=0,IQ22=0),"",IF(AND(IQ21="",IQ22=""),"",IF(AND(IQ21=0,IQ22=""),"", IF(AND(IQ21="",IQ22=0),"",1)))))</f>
        <v/>
      </c>
      <c r="IR23" s="40" t="str">
        <f t="shared" ref="IR23:JF23" si="756">IF(AND(IR21&lt;&gt;0,IR22&lt;&gt;0),(IR21-IR22)/IR22,IF(AND(IR21=0,IR22=0),"",IF(AND(IR21="",IR22=""),"",IF(AND(IR21=0,IR22=""),"", IF(AND(IR21="",IR22=0),"",1)))))</f>
        <v/>
      </c>
      <c r="IS23" s="40" t="str">
        <f t="shared" si="756"/>
        <v/>
      </c>
      <c r="IT23" s="40" t="str">
        <f t="shared" si="756"/>
        <v/>
      </c>
      <c r="IU23" s="40" t="str">
        <f t="shared" si="756"/>
        <v/>
      </c>
      <c r="IV23" s="40" t="str">
        <f t="shared" si="756"/>
        <v/>
      </c>
      <c r="IW23" s="40" t="str">
        <f t="shared" si="756"/>
        <v/>
      </c>
      <c r="IX23" s="40" t="str">
        <f t="shared" si="756"/>
        <v/>
      </c>
      <c r="IY23" s="40" t="str">
        <f t="shared" si="756"/>
        <v/>
      </c>
      <c r="IZ23" s="40" t="str">
        <f t="shared" si="756"/>
        <v/>
      </c>
      <c r="JA23" s="40" t="str">
        <f t="shared" si="756"/>
        <v/>
      </c>
      <c r="JB23" s="40" t="str">
        <f t="shared" si="756"/>
        <v/>
      </c>
      <c r="JC23" s="40" t="str">
        <f t="shared" si="756"/>
        <v/>
      </c>
      <c r="JD23" s="40" t="str">
        <f t="shared" si="756"/>
        <v/>
      </c>
      <c r="JE23" s="40" t="str">
        <f t="shared" si="756"/>
        <v/>
      </c>
      <c r="JF23" s="40" t="str">
        <f t="shared" si="756"/>
        <v/>
      </c>
      <c r="JG23" s="41">
        <f t="shared" ref="JG23:NQ23" si="757">IF(AND(JG21&lt;&gt;0,JG22&lt;&gt;0),(JG21-JG22)/JG22,IF(AND(JG21=0,JG22=0),"",IF(AND(JG21="",JG22=""),"",IF(AND(JG21=0,JG22=""),"", IF(AND(JG21="",JG22=0),"",1)))))</f>
        <v>-0.78904617493446716</v>
      </c>
      <c r="JH23" s="72" t="str">
        <f t="shared" si="757"/>
        <v/>
      </c>
      <c r="JI23" s="73" t="str">
        <f t="shared" si="757"/>
        <v/>
      </c>
      <c r="JJ23" s="73" t="str">
        <f t="shared" si="757"/>
        <v/>
      </c>
      <c r="JK23" s="73" t="str">
        <f t="shared" si="757"/>
        <v/>
      </c>
      <c r="JL23" s="73" t="str">
        <f t="shared" si="757"/>
        <v/>
      </c>
      <c r="JM23" s="73" t="str">
        <f t="shared" si="757"/>
        <v/>
      </c>
      <c r="JN23" s="73" t="str">
        <f t="shared" si="757"/>
        <v/>
      </c>
      <c r="JO23" s="73" t="str">
        <f t="shared" si="757"/>
        <v/>
      </c>
      <c r="JP23" s="73" t="str">
        <f t="shared" si="757"/>
        <v/>
      </c>
      <c r="JQ23" s="73" t="str">
        <f t="shared" si="757"/>
        <v/>
      </c>
      <c r="JR23" s="73" t="str">
        <f t="shared" si="757"/>
        <v/>
      </c>
      <c r="JS23" s="73" t="str">
        <f t="shared" si="757"/>
        <v/>
      </c>
      <c r="JT23" s="73" t="str">
        <f t="shared" si="757"/>
        <v/>
      </c>
      <c r="JU23" s="73" t="str">
        <f t="shared" si="757"/>
        <v/>
      </c>
      <c r="JV23" s="73" t="str">
        <f t="shared" si="757"/>
        <v/>
      </c>
      <c r="JW23" s="73" t="str">
        <f t="shared" si="757"/>
        <v/>
      </c>
      <c r="JX23" s="73" t="str">
        <f t="shared" si="757"/>
        <v/>
      </c>
      <c r="JY23" s="73" t="str">
        <f t="shared" si="757"/>
        <v/>
      </c>
      <c r="JZ23" s="73" t="str">
        <f t="shared" si="757"/>
        <v/>
      </c>
      <c r="KA23" s="73" t="str">
        <f t="shared" si="757"/>
        <v/>
      </c>
      <c r="KB23" s="73" t="str">
        <f t="shared" si="757"/>
        <v/>
      </c>
      <c r="KC23" s="73" t="str">
        <f t="shared" si="757"/>
        <v/>
      </c>
      <c r="KD23" s="73" t="str">
        <f t="shared" si="757"/>
        <v/>
      </c>
      <c r="KE23" s="73" t="str">
        <f t="shared" ref="KE23:KR23" si="758">IF(AND(KE21&lt;&gt;0,KE22&lt;&gt;0),(KE21-KE22)/KE22,IF(AND(KE21=0,KE22=0),"",IF(AND(KE21="",KE22=""),"",IF(AND(KE21=0,KE22=""),"", IF(AND(KE21="",KE22=0),"",1)))))</f>
        <v/>
      </c>
      <c r="KF23" s="73" t="str">
        <f t="shared" si="758"/>
        <v/>
      </c>
      <c r="KG23" s="73" t="str">
        <f t="shared" si="758"/>
        <v/>
      </c>
      <c r="KH23" s="73" t="str">
        <f t="shared" si="758"/>
        <v/>
      </c>
      <c r="KI23" s="73" t="str">
        <f t="shared" si="758"/>
        <v/>
      </c>
      <c r="KJ23" s="73" t="str">
        <f t="shared" si="758"/>
        <v/>
      </c>
      <c r="KK23" s="73" t="str">
        <f t="shared" si="758"/>
        <v/>
      </c>
      <c r="KL23" s="73" t="str">
        <f t="shared" si="758"/>
        <v/>
      </c>
      <c r="KM23" s="73" t="str">
        <f t="shared" si="758"/>
        <v/>
      </c>
      <c r="KN23" s="73" t="str">
        <f t="shared" si="758"/>
        <v/>
      </c>
      <c r="KO23" s="73" t="str">
        <f t="shared" si="758"/>
        <v/>
      </c>
      <c r="KP23" s="73" t="str">
        <f t="shared" si="758"/>
        <v/>
      </c>
      <c r="KQ23" s="73" t="str">
        <f t="shared" si="758"/>
        <v/>
      </c>
      <c r="KR23" s="73" t="str">
        <f t="shared" si="758"/>
        <v/>
      </c>
      <c r="KS23" s="74" t="str">
        <f t="shared" si="757"/>
        <v/>
      </c>
      <c r="KT23" s="72" t="str">
        <f t="shared" ref="KT23:ME23" si="759">IF(AND(KT21&lt;&gt;0,KT22&lt;&gt;0),(KT21-KT22)/KT22,IF(AND(KT21=0,KT22=0),"",IF(AND(KT21="",KT22=""),"",IF(AND(KT21=0,KT22=""),"", IF(AND(KT21="",KT22=0),"",1)))))</f>
        <v/>
      </c>
      <c r="KU23" s="73" t="str">
        <f t="shared" si="759"/>
        <v/>
      </c>
      <c r="KV23" s="73" t="str">
        <f t="shared" si="759"/>
        <v/>
      </c>
      <c r="KW23" s="73" t="str">
        <f t="shared" si="759"/>
        <v/>
      </c>
      <c r="KX23" s="73" t="str">
        <f t="shared" si="759"/>
        <v/>
      </c>
      <c r="KY23" s="73" t="str">
        <f t="shared" si="759"/>
        <v/>
      </c>
      <c r="KZ23" s="73" t="str">
        <f t="shared" si="759"/>
        <v/>
      </c>
      <c r="LA23" s="73" t="str">
        <f t="shared" si="759"/>
        <v/>
      </c>
      <c r="LB23" s="73" t="str">
        <f t="shared" si="759"/>
        <v/>
      </c>
      <c r="LC23" s="73" t="str">
        <f t="shared" si="759"/>
        <v/>
      </c>
      <c r="LD23" s="73" t="str">
        <f t="shared" si="759"/>
        <v/>
      </c>
      <c r="LE23" s="73" t="str">
        <f t="shared" si="759"/>
        <v/>
      </c>
      <c r="LF23" s="73" t="str">
        <f t="shared" si="759"/>
        <v/>
      </c>
      <c r="LG23" s="73" t="str">
        <f t="shared" si="759"/>
        <v/>
      </c>
      <c r="LH23" s="73" t="str">
        <f t="shared" si="759"/>
        <v/>
      </c>
      <c r="LI23" s="73" t="str">
        <f t="shared" si="759"/>
        <v/>
      </c>
      <c r="LJ23" s="73" t="str">
        <f t="shared" si="759"/>
        <v/>
      </c>
      <c r="LK23" s="73" t="str">
        <f t="shared" si="759"/>
        <v/>
      </c>
      <c r="LL23" s="73" t="str">
        <f t="shared" si="759"/>
        <v/>
      </c>
      <c r="LM23" s="73" t="str">
        <f t="shared" si="759"/>
        <v/>
      </c>
      <c r="LN23" s="73" t="str">
        <f t="shared" si="759"/>
        <v/>
      </c>
      <c r="LO23" s="73" t="str">
        <f t="shared" si="759"/>
        <v/>
      </c>
      <c r="LP23" s="73" t="str">
        <f t="shared" si="759"/>
        <v/>
      </c>
      <c r="LQ23" s="73" t="str">
        <f t="shared" ref="LQ23:MD23" si="760">IF(AND(LQ21&lt;&gt;0,LQ22&lt;&gt;0),(LQ21-LQ22)/LQ22,IF(AND(LQ21=0,LQ22=0),"",IF(AND(LQ21="",LQ22=""),"",IF(AND(LQ21=0,LQ22=""),"", IF(AND(LQ21="",LQ22=0),"",1)))))</f>
        <v/>
      </c>
      <c r="LR23" s="73" t="str">
        <f t="shared" si="760"/>
        <v/>
      </c>
      <c r="LS23" s="73" t="str">
        <f t="shared" si="760"/>
        <v/>
      </c>
      <c r="LT23" s="73" t="str">
        <f t="shared" si="760"/>
        <v/>
      </c>
      <c r="LU23" s="73" t="str">
        <f t="shared" si="760"/>
        <v/>
      </c>
      <c r="LV23" s="73" t="str">
        <f t="shared" si="760"/>
        <v/>
      </c>
      <c r="LW23" s="73" t="str">
        <f t="shared" si="760"/>
        <v/>
      </c>
      <c r="LX23" s="73" t="str">
        <f t="shared" si="760"/>
        <v/>
      </c>
      <c r="LY23" s="73" t="str">
        <f t="shared" si="760"/>
        <v/>
      </c>
      <c r="LZ23" s="73" t="str">
        <f t="shared" si="760"/>
        <v/>
      </c>
      <c r="MA23" s="73" t="str">
        <f t="shared" si="760"/>
        <v/>
      </c>
      <c r="MB23" s="73" t="str">
        <f t="shared" si="760"/>
        <v/>
      </c>
      <c r="MC23" s="73" t="str">
        <f t="shared" si="760"/>
        <v/>
      </c>
      <c r="MD23" s="73" t="str">
        <f t="shared" si="760"/>
        <v/>
      </c>
      <c r="ME23" s="74" t="str">
        <f t="shared" si="759"/>
        <v/>
      </c>
      <c r="MF23" s="72" t="str">
        <f t="shared" si="757"/>
        <v/>
      </c>
      <c r="MG23" s="73" t="str">
        <f t="shared" si="757"/>
        <v/>
      </c>
      <c r="MH23" s="73" t="str">
        <f t="shared" si="757"/>
        <v/>
      </c>
      <c r="MI23" s="73" t="str">
        <f t="shared" si="757"/>
        <v/>
      </c>
      <c r="MJ23" s="73" t="str">
        <f t="shared" si="757"/>
        <v/>
      </c>
      <c r="MK23" s="73" t="str">
        <f t="shared" si="757"/>
        <v/>
      </c>
      <c r="ML23" s="73" t="str">
        <f t="shared" si="757"/>
        <v/>
      </c>
      <c r="MM23" s="73" t="str">
        <f t="shared" si="757"/>
        <v/>
      </c>
      <c r="MN23" s="73" t="str">
        <f t="shared" si="757"/>
        <v/>
      </c>
      <c r="MO23" s="73" t="str">
        <f t="shared" si="757"/>
        <v/>
      </c>
      <c r="MP23" s="73" t="str">
        <f t="shared" si="757"/>
        <v/>
      </c>
      <c r="MQ23" s="73" t="str">
        <f t="shared" si="757"/>
        <v/>
      </c>
      <c r="MR23" s="73" t="str">
        <f t="shared" si="757"/>
        <v/>
      </c>
      <c r="MS23" s="73" t="str">
        <f t="shared" si="757"/>
        <v/>
      </c>
      <c r="MT23" s="73" t="str">
        <f t="shared" si="757"/>
        <v/>
      </c>
      <c r="MU23" s="73" t="str">
        <f t="shared" si="757"/>
        <v/>
      </c>
      <c r="MV23" s="73" t="str">
        <f t="shared" si="757"/>
        <v/>
      </c>
      <c r="MW23" s="73" t="str">
        <f t="shared" si="757"/>
        <v/>
      </c>
      <c r="MX23" s="73" t="str">
        <f t="shared" si="757"/>
        <v/>
      </c>
      <c r="MY23" s="73" t="str">
        <f t="shared" si="757"/>
        <v/>
      </c>
      <c r="MZ23" s="73" t="str">
        <f t="shared" si="757"/>
        <v/>
      </c>
      <c r="NA23" s="73" t="str">
        <f t="shared" si="757"/>
        <v/>
      </c>
      <c r="NB23" s="73" t="str">
        <f t="shared" si="757"/>
        <v/>
      </c>
      <c r="NC23" s="73" t="str">
        <f t="shared" ref="NC23:NP23" si="761">IF(AND(NC21&lt;&gt;0,NC22&lt;&gt;0),(NC21-NC22)/NC22,IF(AND(NC21=0,NC22=0),"",IF(AND(NC21="",NC22=""),"",IF(AND(NC21=0,NC22=""),"", IF(AND(NC21="",NC22=0),"",1)))))</f>
        <v/>
      </c>
      <c r="ND23" s="73" t="str">
        <f t="shared" si="761"/>
        <v/>
      </c>
      <c r="NE23" s="73" t="str">
        <f t="shared" si="761"/>
        <v/>
      </c>
      <c r="NF23" s="73" t="str">
        <f t="shared" si="761"/>
        <v/>
      </c>
      <c r="NG23" s="73" t="str">
        <f t="shared" si="761"/>
        <v/>
      </c>
      <c r="NH23" s="73" t="str">
        <f t="shared" si="761"/>
        <v/>
      </c>
      <c r="NI23" s="73" t="str">
        <f t="shared" si="761"/>
        <v/>
      </c>
      <c r="NJ23" s="73" t="str">
        <f t="shared" si="761"/>
        <v/>
      </c>
      <c r="NK23" s="73" t="str">
        <f t="shared" si="761"/>
        <v/>
      </c>
      <c r="NL23" s="73" t="str">
        <f t="shared" si="761"/>
        <v/>
      </c>
      <c r="NM23" s="73" t="str">
        <f t="shared" si="761"/>
        <v/>
      </c>
      <c r="NN23" s="73" t="str">
        <f t="shared" si="761"/>
        <v/>
      </c>
      <c r="NO23" s="73" t="str">
        <f t="shared" si="761"/>
        <v/>
      </c>
      <c r="NP23" s="73" t="str">
        <f t="shared" si="761"/>
        <v/>
      </c>
      <c r="NQ23" s="74" t="str">
        <f t="shared" si="757"/>
        <v/>
      </c>
      <c r="NR23" s="40">
        <f t="shared" ref="NR23" si="762">IF(AND(NR21&lt;&gt;0,NR22&lt;&gt;0),(NR21-NR22)/NR22,IF(AND(NR21=0,NR22=0),"",IF(AND(NR21="",NR22=""),"",IF(AND(NR21=0,NR22=""),"", IF(AND(NR21="",NR22=0),"",1)))))</f>
        <v>-2.7295242151181304E-2</v>
      </c>
      <c r="NS23" s="40">
        <f t="shared" ref="NS23" si="763">IF(AND(NS21&lt;&gt;0,NS22&lt;&gt;0),(NS21-NS22)/NS22,IF(AND(NS21=0,NS22=0),"",IF(AND(NS21="",NS22=""),"",IF(AND(NS21=0,NS22=""),"", IF(AND(NS21="",NS22=0),"",1)))))</f>
        <v>-1.1842743524703648E-6</v>
      </c>
      <c r="NT23" s="40">
        <f t="shared" ref="NT23" si="764">IF(AND(NT21&lt;&gt;0,NT22&lt;&gt;0),(NT21-NT22)/NT22,IF(AND(NT21=0,NT22=0),"",IF(AND(NT21="",NT22=""),"",IF(AND(NT21=0,NT22=""),"", IF(AND(NT21="",NT22=0),"",1)))))</f>
        <v>9.0473420990602292E-6</v>
      </c>
      <c r="NU23" s="40">
        <f t="shared" ref="NU23" si="765">IF(AND(NU21&lt;&gt;0,NU22&lt;&gt;0),(NU21-NU22)/NU22,IF(AND(NU21=0,NU22=0),"",IF(AND(NU21="",NU22=""),"",IF(AND(NU21=0,NU22=""),"", IF(AND(NU21="",NU22=0),"",1)))))</f>
        <v>-4.8752207896601693E-6</v>
      </c>
      <c r="NV23" s="40">
        <f t="shared" ref="NV23" si="766">IF(AND(NV21&lt;&gt;0,NV22&lt;&gt;0),(NV21-NV22)/NV22,IF(AND(NV21=0,NV22=0),"",IF(AND(NV21="",NV22=""),"",IF(AND(NV21=0,NV22=""),"", IF(AND(NV21="",NV22=0),"",1)))))</f>
        <v>7.8497864858075856E-6</v>
      </c>
      <c r="NW23" s="40">
        <f t="shared" ref="NW23" si="767">IF(AND(NW21&lt;&gt;0,NW22&lt;&gt;0),(NW21-NW22)/NW22,IF(AND(NW21=0,NW22=0),"",IF(AND(NW21="",NW22=""),"",IF(AND(NW21=0,NW22=""),"", IF(AND(NW21="",NW22=0),"",1)))))</f>
        <v>-5.6140919777592181E-3</v>
      </c>
      <c r="NX23" s="40" t="str">
        <f t="shared" ref="NX23" si="768">IF(AND(NX21&lt;&gt;0,NX22&lt;&gt;0),(NX21-NX22)/NX22,IF(AND(NX21=0,NX22=0),"",IF(AND(NX21="",NX22=""),"",IF(AND(NX21=0,NX22=""),"", IF(AND(NX21="",NX22=0),"",1)))))</f>
        <v/>
      </c>
      <c r="NY23" s="40">
        <f t="shared" ref="NY23" si="769">IF(AND(NY21&lt;&gt;0,NY22&lt;&gt;0),(NY21-NY22)/NY22,IF(AND(NY21=0,NY22=0),"",IF(AND(NY21="",NY22=""),"",IF(AND(NY21=0,NY22=""),"", IF(AND(NY21="",NY22=0),"",1)))))</f>
        <v>-0.33185408940995009</v>
      </c>
      <c r="NZ23" s="40">
        <f t="shared" ref="NZ23" si="770">IF(AND(NZ21&lt;&gt;0,NZ22&lt;&gt;0),(NZ21-NZ22)/NZ22,IF(AND(NZ21=0,NZ22=0),"",IF(AND(NZ21="",NZ22=""),"",IF(AND(NZ21=0,NZ22=""),"", IF(AND(NZ21="",NZ22=0),"",1)))))</f>
        <v>-3.8086186718450936E-3</v>
      </c>
      <c r="OA23" s="40">
        <f t="shared" ref="OA23" si="771">IF(AND(OA21&lt;&gt;0,OA22&lt;&gt;0),(OA21-OA22)/OA22,IF(AND(OA21=0,OA22=0),"",IF(AND(OA21="",OA22=""),"",IF(AND(OA21=0,OA22=""),"", IF(AND(OA21="",OA22=0),"",1)))))</f>
        <v>-6.5990322424944492E-7</v>
      </c>
      <c r="OB23" s="40">
        <f t="shared" ref="OB23" si="772">IF(AND(OB21&lt;&gt;0,OB22&lt;&gt;0),(OB21-OB22)/OB22,IF(AND(OB21=0,OB22=0),"",IF(AND(OB21="",OB22=""),"",IF(AND(OB21=0,OB22=""),"", IF(AND(OB21="",OB22=0),"",1)))))</f>
        <v>1</v>
      </c>
      <c r="OC23" s="40" t="str">
        <f t="shared" ref="OC23" si="773">IF(AND(OC21&lt;&gt;0,OC22&lt;&gt;0),(OC21-OC22)/OC22,IF(AND(OC21=0,OC22=0),"",IF(AND(OC21="",OC22=""),"",IF(AND(OC21=0,OC22=""),"", IF(AND(OC21="",OC22=0),"",1)))))</f>
        <v/>
      </c>
      <c r="OD23" s="40" t="str">
        <f t="shared" ref="OD23" si="774">IF(AND(OD21&lt;&gt;0,OD22&lt;&gt;0),(OD21-OD22)/OD22,IF(AND(OD21=0,OD22=0),"",IF(AND(OD21="",OD22=""),"",IF(AND(OD21=0,OD22=""),"", IF(AND(OD21="",OD22=0),"",1)))))</f>
        <v/>
      </c>
      <c r="OE23" s="40" t="str">
        <f t="shared" ref="OE23" si="775">IF(AND(OE21&lt;&gt;0,OE22&lt;&gt;0),(OE21-OE22)/OE22,IF(AND(OE21=0,OE22=0),"",IF(AND(OE21="",OE22=""),"",IF(AND(OE21=0,OE22=""),"", IF(AND(OE21="",OE22=0),"",1)))))</f>
        <v/>
      </c>
      <c r="OF23" s="40" t="str">
        <f t="shared" ref="OF23" si="776">IF(AND(OF21&lt;&gt;0,OF22&lt;&gt;0),(OF21-OF22)/OF22,IF(AND(OF21=0,OF22=0),"",IF(AND(OF21="",OF22=""),"",IF(AND(OF21=0,OF22=""),"", IF(AND(OF21="",OF22=0),"",1)))))</f>
        <v/>
      </c>
      <c r="OG23" s="40" t="str">
        <f t="shared" ref="OG23" si="777">IF(AND(OG21&lt;&gt;0,OG22&lt;&gt;0),(OG21-OG22)/OG22,IF(AND(OG21=0,OG22=0),"",IF(AND(OG21="",OG22=""),"",IF(AND(OG21=0,OG22=""),"", IF(AND(OG21="",OG22=0),"",1)))))</f>
        <v/>
      </c>
      <c r="OH23" s="40" t="str">
        <f t="shared" ref="OH23" si="778">IF(AND(OH21&lt;&gt;0,OH22&lt;&gt;0),(OH21-OH22)/OH22,IF(AND(OH21=0,OH22=0),"",IF(AND(OH21="",OH22=""),"",IF(AND(OH21=0,OH22=""),"", IF(AND(OH21="",OH22=0),"",1)))))</f>
        <v/>
      </c>
      <c r="OI23" s="40" t="str">
        <f t="shared" ref="OI23" si="779">IF(AND(OI21&lt;&gt;0,OI22&lt;&gt;0),(OI21-OI22)/OI22,IF(AND(OI21=0,OI22=0),"",IF(AND(OI21="",OI22=""),"",IF(AND(OI21=0,OI22=""),"", IF(AND(OI21="",OI22=0),"",1)))))</f>
        <v/>
      </c>
      <c r="OJ23" s="40" t="str">
        <f t="shared" ref="OJ23" si="780">IF(AND(OJ21&lt;&gt;0,OJ22&lt;&gt;0),(OJ21-OJ22)/OJ22,IF(AND(OJ21=0,OJ22=0),"",IF(AND(OJ21="",OJ22=""),"",IF(AND(OJ21=0,OJ22=""),"", IF(AND(OJ21="",OJ22=0),"",1)))))</f>
        <v/>
      </c>
      <c r="OK23" s="40" t="str">
        <f t="shared" ref="OK23" si="781">IF(AND(OK21&lt;&gt;0,OK22&lt;&gt;0),(OK21-OK22)/OK22,IF(AND(OK21=0,OK22=0),"",IF(AND(OK21="",OK22=""),"",IF(AND(OK21=0,OK22=""),"", IF(AND(OK21="",OK22=0),"",1)))))</f>
        <v/>
      </c>
      <c r="OL23" s="40" t="str">
        <f t="shared" ref="OL23" si="782">IF(AND(OL21&lt;&gt;0,OL22&lt;&gt;0),(OL21-OL22)/OL22,IF(AND(OL21=0,OL22=0),"",IF(AND(OL21="",OL22=""),"",IF(AND(OL21=0,OL22=""),"", IF(AND(OL21="",OL22=0),"",1)))))</f>
        <v/>
      </c>
      <c r="OM23" s="40" t="str">
        <f t="shared" ref="OM23" si="783">IF(AND(OM21&lt;&gt;0,OM22&lt;&gt;0),(OM21-OM22)/OM22,IF(AND(OM21=0,OM22=0),"",IF(AND(OM21="",OM22=""),"",IF(AND(OM21=0,OM22=""),"", IF(AND(OM21="",OM22=0),"",1)))))</f>
        <v/>
      </c>
      <c r="ON23" s="40" t="str">
        <f t="shared" ref="ON23:PB23" si="784">IF(AND(ON21&lt;&gt;0,ON22&lt;&gt;0),(ON21-ON22)/ON22,IF(AND(ON21=0,ON22=0),"",IF(AND(ON21="",ON22=""),"",IF(AND(ON21=0,ON22=""),"", IF(AND(ON21="",ON22=0),"",1)))))</f>
        <v/>
      </c>
      <c r="OO23" s="40" t="str">
        <f t="shared" si="784"/>
        <v/>
      </c>
      <c r="OP23" s="40" t="str">
        <f t="shared" si="784"/>
        <v/>
      </c>
      <c r="OQ23" s="40" t="str">
        <f t="shared" si="784"/>
        <v/>
      </c>
      <c r="OR23" s="40" t="str">
        <f t="shared" si="784"/>
        <v/>
      </c>
      <c r="OS23" s="40" t="str">
        <f t="shared" si="784"/>
        <v/>
      </c>
      <c r="OT23" s="40" t="str">
        <f t="shared" si="784"/>
        <v/>
      </c>
      <c r="OU23" s="40" t="str">
        <f t="shared" si="784"/>
        <v/>
      </c>
      <c r="OV23" s="40" t="str">
        <f t="shared" si="784"/>
        <v/>
      </c>
      <c r="OW23" s="40" t="str">
        <f t="shared" si="784"/>
        <v/>
      </c>
      <c r="OX23" s="40" t="str">
        <f t="shared" si="784"/>
        <v/>
      </c>
      <c r="OY23" s="40" t="str">
        <f t="shared" si="784"/>
        <v/>
      </c>
      <c r="OZ23" s="40" t="str">
        <f t="shared" si="784"/>
        <v/>
      </c>
      <c r="PA23" s="40" t="str">
        <f t="shared" si="784"/>
        <v/>
      </c>
      <c r="PB23" s="40" t="str">
        <f t="shared" si="784"/>
        <v/>
      </c>
      <c r="PC23" s="41">
        <f t="shared" ref="PC23" si="785">IF(AND(PC21&lt;&gt;0,PC22&lt;&gt;0),(PC21-PC22)/PC22,IF(AND(PC21=0,PC22=0),"",IF(AND(PC21="",PC22=""),"",IF(AND(PC21=0,PC22=""),"", IF(AND(PC21="",PC22=0),"",1)))))</f>
        <v>-5.2059172638032616E-4</v>
      </c>
    </row>
    <row r="24" spans="1:419" outlineLevel="1" x14ac:dyDescent="0.3">
      <c r="A24" s="46" t="s">
        <v>19</v>
      </c>
      <c r="B24" s="14">
        <f>'[1]D-PDP'!$DC$12</f>
        <v>424875.03125</v>
      </c>
      <c r="C24" s="14">
        <f>'[1]D-PDP'!$DC$13</f>
        <v>376500.03125</v>
      </c>
      <c r="D24" s="14">
        <f>'[1]D-PDP'!$DC$14</f>
        <v>156750.015625</v>
      </c>
      <c r="E24" s="14">
        <f>'[1]D-PDP'!$DC$15</f>
        <v>74507.0703125</v>
      </c>
      <c r="F24" s="14">
        <f>'[1]D-PDP'!$DC$16</f>
        <v>173849.828125</v>
      </c>
      <c r="G24" s="14">
        <f>'[1]D-PDP'!$DC$17</f>
        <v>0</v>
      </c>
      <c r="H24" s="14">
        <f>'[1]D-PDP'!$DC$18</f>
        <v>0</v>
      </c>
      <c r="I24" s="14">
        <f>'[1]D-PDP'!$DC$19</f>
        <v>0</v>
      </c>
      <c r="J24" s="14">
        <f>'[1]D-PDP'!$DC$20</f>
        <v>0</v>
      </c>
      <c r="K24" s="14">
        <f>'[1]D-PDP'!$DC$21</f>
        <v>0</v>
      </c>
      <c r="L24" s="14">
        <f>'[1]D-PDP'!$DC$22</f>
        <v>0</v>
      </c>
      <c r="M24" s="14">
        <f>'[1]D-PDP'!$DC$23</f>
        <v>0</v>
      </c>
      <c r="N24" s="14">
        <f>'[1]D-PDP'!$DC$24</f>
        <v>0</v>
      </c>
      <c r="O24" s="14">
        <f>'[1]D-PDP'!$DC$25</f>
        <v>0</v>
      </c>
      <c r="P24" s="14">
        <f>'[1]D-PDP'!$DC$26</f>
        <v>0</v>
      </c>
      <c r="Q24" s="14">
        <f>'[1]D-PDP'!$DC$27</f>
        <v>0</v>
      </c>
      <c r="R24" s="14">
        <f>'[1]D-PDP'!$DC$28</f>
        <v>0</v>
      </c>
      <c r="S24" s="14">
        <f>'[1]D-PDP'!$DC$29</f>
        <v>0</v>
      </c>
      <c r="T24" s="14">
        <f>'[1]D-PDP'!$DC$30</f>
        <v>0</v>
      </c>
      <c r="U24" s="14">
        <f>'[1]D-PDP'!$DC$31</f>
        <v>0</v>
      </c>
      <c r="V24" s="14">
        <f>'[1]D-PDP'!$DC$32</f>
        <v>0</v>
      </c>
      <c r="W24" s="14">
        <f>'[1]D-PDP'!$DC$33</f>
        <v>0</v>
      </c>
      <c r="X24" s="14">
        <f>'[1]D-PDP'!$DC$34</f>
        <v>0</v>
      </c>
      <c r="Y24" s="14">
        <f>'[1]D-PDP'!$DC$35</f>
        <v>0</v>
      </c>
      <c r="Z24" s="14">
        <f>'[1]D-PDP'!$DC$36</f>
        <v>0</v>
      </c>
      <c r="AA24" s="14">
        <f>'[1]D-PDP'!$DC$37</f>
        <v>0</v>
      </c>
      <c r="AB24" s="14">
        <f>'[1]D-PDP'!$DC$38</f>
        <v>0</v>
      </c>
      <c r="AC24" s="14">
        <f>'[1]D-PDP'!$DC$39</f>
        <v>0</v>
      </c>
      <c r="AD24" s="14">
        <f>'[1]D-PDP'!$DC$40</f>
        <v>0</v>
      </c>
      <c r="AE24" s="14">
        <f>'[1]D-PDP'!$DC$41</f>
        <v>0</v>
      </c>
      <c r="AF24" s="14">
        <f>'[1]D-PDP'!$DC$42</f>
        <v>0</v>
      </c>
      <c r="AG24" s="14">
        <f>'[1]D-PDP'!$DC$43</f>
        <v>0</v>
      </c>
      <c r="AH24" s="14">
        <f>'[1]D-PDP'!$DC$44</f>
        <v>0</v>
      </c>
      <c r="AI24" s="14">
        <f>'[1]D-PDP'!$DC$45</f>
        <v>0</v>
      </c>
      <c r="AJ24" s="14">
        <f>'[1]D-PDP'!$DC$46</f>
        <v>0</v>
      </c>
      <c r="AK24" s="14">
        <f>'[1]D-PDP'!$DC$47</f>
        <v>0</v>
      </c>
      <c r="AL24" s="14">
        <f>'[1]D-PDP'!$DC$48</f>
        <v>0</v>
      </c>
      <c r="AM24" s="16">
        <f>SUM(B24:AL24)</f>
        <v>1206481.9765625</v>
      </c>
      <c r="AN24" s="28">
        <f>'[1]D-PNP'!$DC$12</f>
        <v>0</v>
      </c>
      <c r="AO24" s="14">
        <f>'[1]D-PNP'!$DC$13</f>
        <v>0</v>
      </c>
      <c r="AP24" s="14">
        <f>'[1]D-PNP'!$DC$14</f>
        <v>0</v>
      </c>
      <c r="AQ24" s="14">
        <f>'[1]D-PNP'!$DC$15</f>
        <v>0</v>
      </c>
      <c r="AR24" s="14">
        <f>'[1]D-PNP'!$DC$16</f>
        <v>0</v>
      </c>
      <c r="AS24" s="14">
        <f>'[1]D-PNP'!$DC$17</f>
        <v>0</v>
      </c>
      <c r="AT24" s="14">
        <f>'[1]D-PNP'!$DC$18</f>
        <v>0</v>
      </c>
      <c r="AU24" s="14">
        <f>'[1]D-PNP'!$DC$19</f>
        <v>0</v>
      </c>
      <c r="AV24" s="14">
        <f>'[1]D-PNP'!$DC$20</f>
        <v>0</v>
      </c>
      <c r="AW24" s="14">
        <f>'[1]D-PNP'!$DC$21</f>
        <v>0</v>
      </c>
      <c r="AX24" s="14">
        <f>'[1]D-PNP'!$DC$22</f>
        <v>0</v>
      </c>
      <c r="AY24" s="14">
        <f>'[1]D-PNP'!$DC$23</f>
        <v>0</v>
      </c>
      <c r="AZ24" s="14">
        <f>'[1]D-PNP'!$DC$24</f>
        <v>0</v>
      </c>
      <c r="BA24" s="14">
        <f>'[1]D-PNP'!$DC$25</f>
        <v>0</v>
      </c>
      <c r="BB24" s="14">
        <f>'[1]D-PNP'!$DC$26</f>
        <v>0</v>
      </c>
      <c r="BC24" s="14">
        <f>'[1]D-PNP'!$DC$27</f>
        <v>0</v>
      </c>
      <c r="BD24" s="14">
        <f>'[1]D-PNP'!$DC$28</f>
        <v>0</v>
      </c>
      <c r="BE24" s="14">
        <f>'[1]D-PNP'!$DC$29</f>
        <v>0</v>
      </c>
      <c r="BF24" s="14">
        <f>'[1]D-PNP'!$DC$30</f>
        <v>0</v>
      </c>
      <c r="BG24" s="14">
        <f>'[1]D-PNP'!$DC$31</f>
        <v>0</v>
      </c>
      <c r="BH24" s="14">
        <f>'[1]D-PNP'!$DC$32</f>
        <v>0</v>
      </c>
      <c r="BI24" s="14">
        <f>'[1]D-PNP'!$DC$33</f>
        <v>0</v>
      </c>
      <c r="BJ24" s="14">
        <f>'[1]D-PNP'!$DC$34</f>
        <v>0</v>
      </c>
      <c r="BK24" s="14">
        <f>'[1]D-PNP'!$DC$35</f>
        <v>0</v>
      </c>
      <c r="BL24" s="14">
        <f>'[1]D-PNP'!$DC$36</f>
        <v>0</v>
      </c>
      <c r="BM24" s="14">
        <f>'[1]D-PNP'!$DC$37</f>
        <v>0</v>
      </c>
      <c r="BN24" s="14">
        <f>'[1]D-PNP'!$DC$38</f>
        <v>0</v>
      </c>
      <c r="BO24" s="14">
        <f>'[1]D-PNP'!$DC$39</f>
        <v>0</v>
      </c>
      <c r="BP24" s="14">
        <f>'[1]D-PNP'!$DC$40</f>
        <v>0</v>
      </c>
      <c r="BQ24" s="14">
        <f>'[1]D-PNP'!$DC$41</f>
        <v>0</v>
      </c>
      <c r="BR24" s="14">
        <f>'[1]D-PNP'!$DC$42</f>
        <v>0</v>
      </c>
      <c r="BS24" s="14">
        <f>'[1]D-PNP'!$DC$43</f>
        <v>0</v>
      </c>
      <c r="BT24" s="14">
        <f>'[1]D-PNP'!$DC$44</f>
        <v>0</v>
      </c>
      <c r="BU24" s="14">
        <f>'[1]D-PNP'!$DC$45</f>
        <v>0</v>
      </c>
      <c r="BV24" s="14">
        <f>'[1]D-PNP'!$DC$46</f>
        <v>0</v>
      </c>
      <c r="BW24" s="14">
        <f>'[1]D-PNP'!$DC$47</f>
        <v>0</v>
      </c>
      <c r="BX24" s="14">
        <f>'[1]D-PNP'!$DC$48</f>
        <v>0</v>
      </c>
      <c r="BY24" s="16">
        <f>SUM(AN24:BX24)</f>
        <v>0</v>
      </c>
      <c r="BZ24" s="28">
        <f>'[1]D-PND'!$DC$12</f>
        <v>2487991</v>
      </c>
      <c r="CA24" s="14">
        <f>'[1]D-PND'!$DC$13</f>
        <v>0</v>
      </c>
      <c r="CB24" s="14">
        <f>'[1]D-PND'!$DC$14</f>
        <v>0</v>
      </c>
      <c r="CC24" s="14">
        <f>'[1]D-PND'!$DC$15</f>
        <v>2805508.75</v>
      </c>
      <c r="CD24" s="14">
        <f>'[1]D-PND'!$DC$16</f>
        <v>2805508.75</v>
      </c>
      <c r="CE24" s="14">
        <f>'[1]D-PND'!$DC$17</f>
        <v>2805508.75</v>
      </c>
      <c r="CF24" s="14">
        <f>'[1]D-PND'!$DC$18</f>
        <v>2805508.75</v>
      </c>
      <c r="CG24" s="14">
        <f>'[1]D-PND'!$DC$19</f>
        <v>3466266.25</v>
      </c>
      <c r="CH24" s="14">
        <f>'[1]D-PND'!$DC$20</f>
        <v>0</v>
      </c>
      <c r="CI24" s="14">
        <f>'[1]D-PND'!$DC$21</f>
        <v>0</v>
      </c>
      <c r="CJ24" s="14">
        <f>'[1]D-PND'!$DC$22</f>
        <v>0</v>
      </c>
      <c r="CK24" s="14">
        <f>'[1]D-PND'!$DC$23</f>
        <v>0</v>
      </c>
      <c r="CL24" s="14">
        <f>'[1]D-PND'!$DC$24</f>
        <v>0</v>
      </c>
      <c r="CM24" s="14">
        <f>'[1]D-PND'!$DC$25</f>
        <v>0</v>
      </c>
      <c r="CN24" s="14">
        <f>'[1]D-PND'!$DC$26</f>
        <v>0</v>
      </c>
      <c r="CO24" s="14">
        <f>'[1]D-PND'!$DC$27</f>
        <v>0</v>
      </c>
      <c r="CP24" s="14">
        <f>'[1]D-PND'!$DC$28</f>
        <v>0</v>
      </c>
      <c r="CQ24" s="14">
        <f>'[1]D-PND'!$DC$29</f>
        <v>0</v>
      </c>
      <c r="CR24" s="14">
        <f>'[1]D-PND'!$DC$30</f>
        <v>0</v>
      </c>
      <c r="CS24" s="14">
        <f>'[1]D-PND'!$DC$31</f>
        <v>0</v>
      </c>
      <c r="CT24" s="14">
        <f>'[1]D-PND'!$DC$32</f>
        <v>0</v>
      </c>
      <c r="CU24" s="14">
        <f>'[1]D-PND'!$DC$33</f>
        <v>0</v>
      </c>
      <c r="CV24" s="14">
        <f>'[1]D-PND'!$DC$34</f>
        <v>0</v>
      </c>
      <c r="CW24" s="14">
        <f>'[1]D-PND'!$DC$35</f>
        <v>0</v>
      </c>
      <c r="CX24" s="14">
        <f>'[1]D-PND'!$DC$36</f>
        <v>0</v>
      </c>
      <c r="CY24" s="14">
        <f>'[1]D-PND'!$DC$37</f>
        <v>0</v>
      </c>
      <c r="CZ24" s="14">
        <f>'[1]D-PND'!$DC$38</f>
        <v>0</v>
      </c>
      <c r="DA24" s="14">
        <f>'[1]D-PND'!$DC$39</f>
        <v>0</v>
      </c>
      <c r="DB24" s="14">
        <f>'[1]D-PND'!$DC$40</f>
        <v>0</v>
      </c>
      <c r="DC24" s="14">
        <f>'[1]D-PND'!$DC$41</f>
        <v>0</v>
      </c>
      <c r="DD24" s="14">
        <f>'[1]D-PND'!$DC$42</f>
        <v>0</v>
      </c>
      <c r="DE24" s="14">
        <f>'[1]D-PND'!$DC$43</f>
        <v>0</v>
      </c>
      <c r="DF24" s="14">
        <f>'[1]D-PND'!$DC$44</f>
        <v>0</v>
      </c>
      <c r="DG24" s="14">
        <f>'[1]D-PND'!$DC$45</f>
        <v>0</v>
      </c>
      <c r="DH24" s="14">
        <f>'[1]D-PND'!$DC$46</f>
        <v>0</v>
      </c>
      <c r="DI24" s="14">
        <f>'[1]D-PND'!$DC$47</f>
        <v>0</v>
      </c>
      <c r="DJ24" s="14">
        <f>'[1]D-PND'!$DC$48</f>
        <v>0</v>
      </c>
      <c r="DK24" s="16">
        <f>SUM(BZ24:DJ24)</f>
        <v>17176292.25</v>
      </c>
      <c r="DL24" s="66"/>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8">
        <f>SUM(DL24:EV24)</f>
        <v>0</v>
      </c>
      <c r="EX24" s="66"/>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8">
        <f>SUM(EX24:GH24)</f>
        <v>0</v>
      </c>
      <c r="GJ24" s="66"/>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8">
        <f>SUM(GJ24:HT24)</f>
        <v>0</v>
      </c>
      <c r="HV24" s="28">
        <f>'[1]D-PRB'!$DC$12</f>
        <v>0</v>
      </c>
      <c r="HW24" s="14">
        <f>'[1]D-PRB'!$DC$13</f>
        <v>0</v>
      </c>
      <c r="HX24" s="14">
        <f>'[1]D-PRB'!$DC$14</f>
        <v>0</v>
      </c>
      <c r="HY24" s="14">
        <f>'[1]D-PRB'!$DC$15</f>
        <v>0</v>
      </c>
      <c r="HZ24" s="14">
        <f>'[1]D-PRB'!$DC$16</f>
        <v>0</v>
      </c>
      <c r="IA24" s="14">
        <f>'[1]D-PRB'!$DC$17</f>
        <v>0</v>
      </c>
      <c r="IB24" s="14">
        <f>'[1]D-PRB'!$DC$18</f>
        <v>0</v>
      </c>
      <c r="IC24" s="14">
        <f>'[1]D-PRB'!$DC$19</f>
        <v>0</v>
      </c>
      <c r="ID24" s="14">
        <f>'[1]D-PRB'!$DC$20</f>
        <v>0</v>
      </c>
      <c r="IE24" s="14">
        <f>'[1]D-PRB'!$DC$21</f>
        <v>0</v>
      </c>
      <c r="IF24" s="14">
        <f>'[1]D-PRB'!$DC$22</f>
        <v>0</v>
      </c>
      <c r="IG24" s="14">
        <f>'[1]D-PRB'!$DC$23</f>
        <v>0</v>
      </c>
      <c r="IH24" s="14">
        <f>'[1]D-PRB'!$DC$24</f>
        <v>0</v>
      </c>
      <c r="II24" s="14">
        <f>'[1]D-PRB'!$DC$25</f>
        <v>0</v>
      </c>
      <c r="IJ24" s="14">
        <f>'[1]D-PRB'!$DC$26</f>
        <v>0</v>
      </c>
      <c r="IK24" s="14">
        <f>'[1]D-PRB'!$DC$27</f>
        <v>0</v>
      </c>
      <c r="IL24" s="14">
        <f>'[1]D-PRB'!$DC$28</f>
        <v>0</v>
      </c>
      <c r="IM24" s="14">
        <f>'[1]D-PRB'!$DC$29</f>
        <v>0</v>
      </c>
      <c r="IN24" s="14">
        <f>'[1]D-PRB'!$DC$30</f>
        <v>0</v>
      </c>
      <c r="IO24" s="14">
        <f>'[1]D-PRB'!$DC$31</f>
        <v>0</v>
      </c>
      <c r="IP24" s="14">
        <f>'[1]D-PRB'!$DC$32</f>
        <v>0</v>
      </c>
      <c r="IQ24" s="14">
        <f>'[1]D-PRB'!$DC$33</f>
        <v>0</v>
      </c>
      <c r="IR24" s="14">
        <f>'[1]D-PRB'!$DC$34</f>
        <v>0</v>
      </c>
      <c r="IS24" s="14">
        <f>'[1]D-PRB'!$DC$35</f>
        <v>0</v>
      </c>
      <c r="IT24" s="14">
        <f>'[1]D-PRB'!$DC$36</f>
        <v>0</v>
      </c>
      <c r="IU24" s="14">
        <f>'[1]D-PRB'!$DC$37</f>
        <v>0</v>
      </c>
      <c r="IV24" s="14">
        <f>'[1]D-PRB'!$DC$38</f>
        <v>0</v>
      </c>
      <c r="IW24" s="14">
        <f>'[1]D-PRB'!$DC$39</f>
        <v>0</v>
      </c>
      <c r="IX24" s="14">
        <f>'[1]D-PRB'!$DC$40</f>
        <v>0</v>
      </c>
      <c r="IY24" s="14">
        <f>'[1]D-PRB'!$DC$41</f>
        <v>0</v>
      </c>
      <c r="IZ24" s="14">
        <f>'[1]D-PRB'!$DC$42</f>
        <v>0</v>
      </c>
      <c r="JA24" s="14">
        <f>'[1]D-PRB'!$DC$43</f>
        <v>0</v>
      </c>
      <c r="JB24" s="14">
        <f>'[1]D-PRB'!$DC$44</f>
        <v>0</v>
      </c>
      <c r="JC24" s="14">
        <f>'[1]D-PRB'!$DC$45</f>
        <v>0</v>
      </c>
      <c r="JD24" s="14">
        <f>'[1]D-PRB'!$DC$46</f>
        <v>0</v>
      </c>
      <c r="JE24" s="14">
        <f>'[1]D-PRB'!$DC$47</f>
        <v>0</v>
      </c>
      <c r="JF24" s="14">
        <f>'[1]D-PRB'!$DC$48</f>
        <v>0</v>
      </c>
      <c r="JG24" s="16">
        <f>SUM(HV24:JF24)</f>
        <v>0</v>
      </c>
      <c r="JH24" s="66"/>
      <c r="JI24" s="67"/>
      <c r="JJ24" s="67"/>
      <c r="JK24" s="67"/>
      <c r="JL24" s="67"/>
      <c r="JM24" s="67"/>
      <c r="JN24" s="67"/>
      <c r="JO24" s="67"/>
      <c r="JP24" s="67"/>
      <c r="JQ24" s="67"/>
      <c r="JR24" s="67"/>
      <c r="JS24" s="67"/>
      <c r="JT24" s="67"/>
      <c r="JU24" s="67"/>
      <c r="JV24" s="67"/>
      <c r="JW24" s="67"/>
      <c r="JX24" s="67"/>
      <c r="JY24" s="67"/>
      <c r="JZ24" s="67"/>
      <c r="KA24" s="67"/>
      <c r="KB24" s="67"/>
      <c r="KC24" s="67"/>
      <c r="KD24" s="67"/>
      <c r="KE24" s="67"/>
      <c r="KF24" s="67"/>
      <c r="KG24" s="67"/>
      <c r="KH24" s="67"/>
      <c r="KI24" s="67"/>
      <c r="KJ24" s="67"/>
      <c r="KK24" s="67"/>
      <c r="KL24" s="67"/>
      <c r="KM24" s="67"/>
      <c r="KN24" s="67"/>
      <c r="KO24" s="67"/>
      <c r="KP24" s="67"/>
      <c r="KQ24" s="67"/>
      <c r="KR24" s="67"/>
      <c r="KS24" s="68">
        <f>SUM(JH24:KR24)</f>
        <v>0</v>
      </c>
      <c r="KT24" s="66"/>
      <c r="KU24" s="67"/>
      <c r="KV24" s="67"/>
      <c r="KW24" s="67"/>
      <c r="KX24" s="67"/>
      <c r="KY24" s="67"/>
      <c r="KZ24" s="67"/>
      <c r="LA24" s="67"/>
      <c r="LB24" s="67"/>
      <c r="LC24" s="67"/>
      <c r="LD24" s="67"/>
      <c r="LE24" s="67"/>
      <c r="LF24" s="67"/>
      <c r="LG24" s="67"/>
      <c r="LH24" s="67"/>
      <c r="LI24" s="67"/>
      <c r="LJ24" s="67"/>
      <c r="LK24" s="67"/>
      <c r="LL24" s="67"/>
      <c r="LM24" s="67"/>
      <c r="LN24" s="67"/>
      <c r="LO24" s="67"/>
      <c r="LP24" s="67"/>
      <c r="LQ24" s="67"/>
      <c r="LR24" s="67"/>
      <c r="LS24" s="67"/>
      <c r="LT24" s="67"/>
      <c r="LU24" s="67"/>
      <c r="LV24" s="67"/>
      <c r="LW24" s="67"/>
      <c r="LX24" s="67"/>
      <c r="LY24" s="67"/>
      <c r="LZ24" s="67"/>
      <c r="MA24" s="67"/>
      <c r="MB24" s="67"/>
      <c r="MC24" s="67"/>
      <c r="MD24" s="67"/>
      <c r="ME24" s="68">
        <f>SUM(KT24:MD24)</f>
        <v>0</v>
      </c>
      <c r="MF24" s="66"/>
      <c r="MG24" s="67"/>
      <c r="MH24" s="67"/>
      <c r="MI24" s="67"/>
      <c r="MJ24" s="67"/>
      <c r="MK24" s="67"/>
      <c r="ML24" s="67"/>
      <c r="MM24" s="67"/>
      <c r="MN24" s="67"/>
      <c r="MO24" s="67"/>
      <c r="MP24" s="67"/>
      <c r="MQ24" s="67"/>
      <c r="MR24" s="67"/>
      <c r="MS24" s="67"/>
      <c r="MT24" s="67"/>
      <c r="MU24" s="67"/>
      <c r="MV24" s="67"/>
      <c r="MW24" s="67"/>
      <c r="MX24" s="67"/>
      <c r="MY24" s="67"/>
      <c r="MZ24" s="67"/>
      <c r="NA24" s="67"/>
      <c r="NB24" s="67"/>
      <c r="NC24" s="67"/>
      <c r="ND24" s="67"/>
      <c r="NE24" s="67"/>
      <c r="NF24" s="67"/>
      <c r="NG24" s="67"/>
      <c r="NH24" s="67"/>
      <c r="NI24" s="67"/>
      <c r="NJ24" s="67"/>
      <c r="NK24" s="67"/>
      <c r="NL24" s="67"/>
      <c r="NM24" s="67"/>
      <c r="NN24" s="67"/>
      <c r="NO24" s="67"/>
      <c r="NP24" s="67"/>
      <c r="NQ24" s="68">
        <f>SUM(MF24:NP24)</f>
        <v>0</v>
      </c>
      <c r="NR24" s="14">
        <f>'[1]D-PS'!$DC$12</f>
        <v>1243994.75</v>
      </c>
      <c r="NS24" s="14">
        <f>'[1]D-PS'!$DC$13</f>
        <v>0</v>
      </c>
      <c r="NT24" s="14">
        <f>'[1]D-PS'!$DC$14</f>
        <v>0</v>
      </c>
      <c r="NU24" s="14">
        <f>'[1]D-PS'!$DC$15</f>
        <v>0</v>
      </c>
      <c r="NV24" s="14">
        <f>'[1]D-PS'!$DC$16</f>
        <v>0</v>
      </c>
      <c r="NW24" s="14">
        <f>'[1]D-PS'!$DC$17</f>
        <v>0</v>
      </c>
      <c r="NX24" s="14">
        <f>'[1]D-PS'!$DC$18</f>
        <v>0</v>
      </c>
      <c r="NY24" s="14">
        <f>'[1]D-PS'!$DC$19</f>
        <v>0</v>
      </c>
      <c r="NZ24" s="14">
        <f>'[1]D-PS'!$DC$20</f>
        <v>0</v>
      </c>
      <c r="OA24" s="14">
        <f>'[1]D-PS'!$DC$21</f>
        <v>0</v>
      </c>
      <c r="OB24" s="14">
        <f>'[1]D-PS'!$DC$22</f>
        <v>0</v>
      </c>
      <c r="OC24" s="14">
        <f>'[1]D-PS'!$DC$23</f>
        <v>0</v>
      </c>
      <c r="OD24" s="14">
        <f>'[1]D-PS'!$DC$24</f>
        <v>0</v>
      </c>
      <c r="OE24" s="14">
        <f>'[1]D-PS'!$DC$25</f>
        <v>0</v>
      </c>
      <c r="OF24" s="14">
        <f>'[1]D-PS'!$DC$26</f>
        <v>0</v>
      </c>
      <c r="OG24" s="14">
        <f>'[1]D-PS'!$DC$27</f>
        <v>0</v>
      </c>
      <c r="OH24" s="14">
        <f>'[1]D-PS'!$DC$28</f>
        <v>0</v>
      </c>
      <c r="OI24" s="14">
        <f>'[1]D-PS'!$DC$29</f>
        <v>0</v>
      </c>
      <c r="OJ24" s="14">
        <f>'[1]D-PS'!$DC$30</f>
        <v>0</v>
      </c>
      <c r="OK24" s="14">
        <f>'[1]D-PS'!$DC$31</f>
        <v>0</v>
      </c>
      <c r="OL24" s="14">
        <f>'[1]D-PS'!$DC$32</f>
        <v>0</v>
      </c>
      <c r="OM24" s="14">
        <f>'[1]D-PS'!$DC$33</f>
        <v>0</v>
      </c>
      <c r="ON24" s="14">
        <f>'[1]D-PS'!$DC$34</f>
        <v>0</v>
      </c>
      <c r="OO24" s="14">
        <f>'[1]D-PS'!$DC$35</f>
        <v>0</v>
      </c>
      <c r="OP24" s="14">
        <f>'[1]D-PS'!$DC$36</f>
        <v>0</v>
      </c>
      <c r="OQ24" s="14">
        <f>'[1]D-PS'!$DC$37</f>
        <v>0</v>
      </c>
      <c r="OR24" s="14">
        <f>'[1]D-PS'!$DC$38</f>
        <v>0</v>
      </c>
      <c r="OS24" s="14">
        <f>'[1]D-PS'!$DC$39</f>
        <v>0</v>
      </c>
      <c r="OT24" s="14">
        <f>'[1]D-PS'!$DC$40</f>
        <v>0</v>
      </c>
      <c r="OU24" s="14">
        <f>'[1]D-PS'!$DC$41</f>
        <v>0</v>
      </c>
      <c r="OV24" s="14">
        <f>'[1]D-PS'!$DC$42</f>
        <v>0</v>
      </c>
      <c r="OW24" s="14">
        <f>'[1]D-PS'!$DC$43</f>
        <v>0</v>
      </c>
      <c r="OX24" s="14">
        <f>'[1]D-PS'!$DC$44</f>
        <v>0</v>
      </c>
      <c r="OY24" s="14">
        <f>'[1]D-PS'!$DC$45</f>
        <v>0</v>
      </c>
      <c r="OZ24" s="14">
        <f>'[1]D-PS'!$DC$46</f>
        <v>0</v>
      </c>
      <c r="PA24" s="14">
        <f>'[1]D-PS'!$DC$47</f>
        <v>0</v>
      </c>
      <c r="PB24" s="14">
        <f>'[1]D-PS'!$DC$48</f>
        <v>0</v>
      </c>
      <c r="PC24" s="16">
        <f>SUM(NR24:PB24)</f>
        <v>1243994.75</v>
      </c>
    </row>
    <row r="25" spans="1:419" outlineLevel="1" x14ac:dyDescent="0.3">
      <c r="A25" s="46" t="s">
        <v>20</v>
      </c>
      <c r="B25" s="25">
        <f>'[2]CF PDP'!$CT$36</f>
        <v>424875</v>
      </c>
      <c r="C25" s="25">
        <f>'[2]CF PDP'!$CT$37</f>
        <v>376500</v>
      </c>
      <c r="D25" s="25">
        <f>'[2]CF PDP'!$CT$38</f>
        <v>156750</v>
      </c>
      <c r="E25" s="25">
        <f>'[2]CF PDP'!$CT$39</f>
        <v>74507</v>
      </c>
      <c r="F25" s="25">
        <f>'[2]CF PDP'!$CT$40</f>
        <v>173850</v>
      </c>
      <c r="G25" s="25">
        <f>'[2]CF PDP'!$CT$41</f>
        <v>0</v>
      </c>
      <c r="H25" s="25">
        <f>'[2]CF PDP'!$CT$42</f>
        <v>0</v>
      </c>
      <c r="I25" s="25">
        <f>'[2]CF PDP'!$CT$43</f>
        <v>0</v>
      </c>
      <c r="J25" s="25">
        <f>'[2]CF PDP'!$CT$44</f>
        <v>0</v>
      </c>
      <c r="K25" s="25">
        <f>'[2]CF PDP'!$CT$45</f>
        <v>0</v>
      </c>
      <c r="L25" s="25">
        <f>'[2]CF PDP'!$CT$46</f>
        <v>0</v>
      </c>
      <c r="M25" s="25">
        <f>'[2]CF PDP'!$CT$47</f>
        <v>0</v>
      </c>
      <c r="N25" s="25">
        <f>'[2]CF PDP'!$CT$48</f>
        <v>0</v>
      </c>
      <c r="O25" s="25">
        <f>'[2]CF PDP'!$CT$49</f>
        <v>0</v>
      </c>
      <c r="P25" s="25">
        <f>'[2]CF PDP'!$CT$50</f>
        <v>0</v>
      </c>
      <c r="Q25" s="25">
        <f>'[2]CF PDP'!$CT$51</f>
        <v>0</v>
      </c>
      <c r="R25" s="25">
        <f>'[2]CF PDP'!$CT$52</f>
        <v>0</v>
      </c>
      <c r="S25" s="25">
        <f>'[2]CF PDP'!$CT$53</f>
        <v>0</v>
      </c>
      <c r="T25" s="25">
        <f>'[2]CF PDP'!$CT$54</f>
        <v>0</v>
      </c>
      <c r="U25" s="25">
        <f>'[2]CF PDP'!$CT$55</f>
        <v>0</v>
      </c>
      <c r="V25" s="25">
        <f>'[2]CF PDP'!$CT$56</f>
        <v>0</v>
      </c>
      <c r="W25" s="25">
        <f>'[2]CF PDP'!$CT$57</f>
        <v>0</v>
      </c>
      <c r="X25" s="25">
        <f>'[2]CF PDP'!$CT$58</f>
        <v>0</v>
      </c>
      <c r="Y25" s="25">
        <f>'[2]CF PDP'!$CT$59</f>
        <v>0</v>
      </c>
      <c r="Z25" s="25">
        <f>'[2]CF PDP'!$CT$60</f>
        <v>0</v>
      </c>
      <c r="AA25" s="25">
        <f>'[2]CF PDP'!$CT$61</f>
        <v>0</v>
      </c>
      <c r="AB25" s="25">
        <f>'[2]CF PDP'!$CT$62</f>
        <v>0</v>
      </c>
      <c r="AC25" s="25">
        <f>'[2]CF PDP'!$CT$63</f>
        <v>0</v>
      </c>
      <c r="AD25" s="25">
        <f>'[2]CF PDP'!$CT$64</f>
        <v>0</v>
      </c>
      <c r="AE25" s="25">
        <f>'[2]CF PDP'!$CT$65</f>
        <v>0</v>
      </c>
      <c r="AF25" s="25">
        <f>'[2]CF PDP'!$CT$66</f>
        <v>0</v>
      </c>
      <c r="AG25" s="25">
        <f>'[2]CF PDP'!$CT$67</f>
        <v>0</v>
      </c>
      <c r="AH25" s="25">
        <f>'[2]CF PDP'!$CT$68</f>
        <v>0</v>
      </c>
      <c r="AI25" s="25">
        <f>'[2]CF PDP'!$CT$69</f>
        <v>0</v>
      </c>
      <c r="AJ25" s="25">
        <f>'[2]CF PDP'!$CT$70</f>
        <v>0</v>
      </c>
      <c r="AK25" s="25">
        <f>'[2]CF PDP'!$CT$71</f>
        <v>0</v>
      </c>
      <c r="AL25" s="25">
        <f>'[2]CF PDP'!$CT$72</f>
        <v>0</v>
      </c>
      <c r="AM25" s="26">
        <f>SUM(B25:AL25)</f>
        <v>1206482</v>
      </c>
      <c r="AN25" s="27">
        <f>'[2]CF PNP'!$CT$36</f>
        <v>0</v>
      </c>
      <c r="AO25" s="25">
        <f>'[2]CF PNP'!$CT$37</f>
        <v>0</v>
      </c>
      <c r="AP25" s="25">
        <f>'[2]CF PNP'!$CT$38</f>
        <v>0</v>
      </c>
      <c r="AQ25" s="25">
        <f>'[2]CF PNP'!$CT$39</f>
        <v>0</v>
      </c>
      <c r="AR25" s="25">
        <f>'[2]CF PNP'!$CT$40</f>
        <v>0</v>
      </c>
      <c r="AS25" s="25">
        <f>'[2]CF PNP'!$CT$41</f>
        <v>0</v>
      </c>
      <c r="AT25" s="25">
        <f>'[2]CF PNP'!$CT$42</f>
        <v>0</v>
      </c>
      <c r="AU25" s="25">
        <f>'[2]CF PNP'!$CT$43</f>
        <v>0</v>
      </c>
      <c r="AV25" s="25">
        <f>'[2]CF PNP'!$CT$44</f>
        <v>0</v>
      </c>
      <c r="AW25" s="25">
        <f>'[2]CF PNP'!$CT$45</f>
        <v>0</v>
      </c>
      <c r="AX25" s="25">
        <f>'[2]CF PNP'!$CT$46</f>
        <v>0</v>
      </c>
      <c r="AY25" s="25">
        <f>'[2]CF PNP'!$CT$47</f>
        <v>0</v>
      </c>
      <c r="AZ25" s="25">
        <f>'[2]CF PNP'!$CT$48</f>
        <v>0</v>
      </c>
      <c r="BA25" s="25">
        <f>'[2]CF PNP'!$CT$49</f>
        <v>0</v>
      </c>
      <c r="BB25" s="25">
        <f>'[2]CF PNP'!$CT$50</f>
        <v>0</v>
      </c>
      <c r="BC25" s="25">
        <f>'[2]CF PNP'!$CT$51</f>
        <v>0</v>
      </c>
      <c r="BD25" s="25">
        <f>'[2]CF PNP'!$CT$52</f>
        <v>0</v>
      </c>
      <c r="BE25" s="25">
        <f>'[2]CF PNP'!$CT$53</f>
        <v>0</v>
      </c>
      <c r="BF25" s="25">
        <f>'[2]CF PNP'!$CT$54</f>
        <v>0</v>
      </c>
      <c r="BG25" s="25">
        <f>'[2]CF PNP'!$CT$55</f>
        <v>0</v>
      </c>
      <c r="BH25" s="25">
        <f>'[2]CF PNP'!$CT$56</f>
        <v>0</v>
      </c>
      <c r="BI25" s="25">
        <f>'[2]CF PNP'!$CT$57</f>
        <v>0</v>
      </c>
      <c r="BJ25" s="25">
        <f>'[2]CF PNP'!$CT$58</f>
        <v>0</v>
      </c>
      <c r="BK25" s="25">
        <f>'[2]CF PNP'!$CT$59</f>
        <v>0</v>
      </c>
      <c r="BL25" s="25">
        <f>'[2]CF PNP'!$CT$60</f>
        <v>0</v>
      </c>
      <c r="BM25" s="25">
        <f>'[2]CF PNP'!$CT$61</f>
        <v>0</v>
      </c>
      <c r="BN25" s="25">
        <f>'[2]CF PNP'!$CT$62</f>
        <v>0</v>
      </c>
      <c r="BO25" s="25">
        <f>'[2]CF PNP'!$CT$63</f>
        <v>0</v>
      </c>
      <c r="BP25" s="25">
        <f>'[2]CF PNP'!$CT$64</f>
        <v>0</v>
      </c>
      <c r="BQ25" s="25">
        <f>'[2]CF PNP'!$CT$65</f>
        <v>0</v>
      </c>
      <c r="BR25" s="25">
        <f>'[2]CF PNP'!$CT$66</f>
        <v>0</v>
      </c>
      <c r="BS25" s="25">
        <f>'[2]CF PNP'!$CT$67</f>
        <v>0</v>
      </c>
      <c r="BT25" s="25">
        <f>'[2]CF PNP'!$CT$68</f>
        <v>0</v>
      </c>
      <c r="BU25" s="25">
        <f>'[2]CF PNP'!$CT$69</f>
        <v>0</v>
      </c>
      <c r="BV25" s="25">
        <f>'[2]CF PNP'!$CT$70</f>
        <v>0</v>
      </c>
      <c r="BW25" s="25">
        <f>'[2]CF PNP'!$CT$71</f>
        <v>0</v>
      </c>
      <c r="BX25" s="25">
        <f>'[2]CF PNP'!$CT$72</f>
        <v>0</v>
      </c>
      <c r="BY25" s="26">
        <f>SUM(AN25:BX25)</f>
        <v>0</v>
      </c>
      <c r="BZ25" s="27">
        <f>'[2]CF PND'!$CT$36</f>
        <v>1865993</v>
      </c>
      <c r="CA25" s="25">
        <f>'[2]CF PND'!$CT$37</f>
        <v>0</v>
      </c>
      <c r="CB25" s="25">
        <f>'[2]CF PND'!$CT$38</f>
        <v>0</v>
      </c>
      <c r="CC25" s="25">
        <f>'[2]CF PND'!$CT$39</f>
        <v>2805509</v>
      </c>
      <c r="CD25" s="25">
        <f>'[2]CF PND'!$CT$40</f>
        <v>2805508</v>
      </c>
      <c r="CE25" s="25">
        <f>'[2]CF PND'!$CT$41</f>
        <v>2805509</v>
      </c>
      <c r="CF25" s="25">
        <f>'[2]CF PND'!$CT$42</f>
        <v>234512</v>
      </c>
      <c r="CG25" s="25">
        <f>'[2]CF PND'!$CT$43</f>
        <v>187181</v>
      </c>
      <c r="CH25" s="25">
        <f>'[2]CF PND'!$CT$44</f>
        <v>0</v>
      </c>
      <c r="CI25" s="25">
        <f>'[2]CF PND'!$CT$45</f>
        <v>0</v>
      </c>
      <c r="CJ25" s="25">
        <f>'[2]CF PND'!$CT$46</f>
        <v>0</v>
      </c>
      <c r="CK25" s="25">
        <f>'[2]CF PND'!$CT$47</f>
        <v>0</v>
      </c>
      <c r="CL25" s="25">
        <f>'[2]CF PND'!$CT$48</f>
        <v>0</v>
      </c>
      <c r="CM25" s="25">
        <f>'[2]CF PND'!$CT$49</f>
        <v>0</v>
      </c>
      <c r="CN25" s="25">
        <f>'[2]CF PND'!$CT$50</f>
        <v>0</v>
      </c>
      <c r="CO25" s="25">
        <f>'[2]CF PND'!$CT$51</f>
        <v>0</v>
      </c>
      <c r="CP25" s="25">
        <f>'[2]CF PND'!$CT$52</f>
        <v>0</v>
      </c>
      <c r="CQ25" s="25">
        <f>'[2]CF PND'!$CT$53</f>
        <v>0</v>
      </c>
      <c r="CR25" s="25">
        <f>'[2]CF PND'!$CT$54</f>
        <v>0</v>
      </c>
      <c r="CS25" s="25">
        <f>'[2]CF PND'!$CT$55</f>
        <v>0</v>
      </c>
      <c r="CT25" s="25">
        <f>'[2]CF PND'!$CT$56</f>
        <v>0</v>
      </c>
      <c r="CU25" s="25">
        <f>'[2]CF PND'!$CT$57</f>
        <v>0</v>
      </c>
      <c r="CV25" s="25">
        <f>'[2]CF PND'!$CT$58</f>
        <v>0</v>
      </c>
      <c r="CW25" s="25">
        <f>'[2]CF PND'!$CT$59</f>
        <v>0</v>
      </c>
      <c r="CX25" s="25">
        <f>'[2]CF PND'!$CT$60</f>
        <v>0</v>
      </c>
      <c r="CY25" s="25">
        <f>'[2]CF PND'!$CT$61</f>
        <v>0</v>
      </c>
      <c r="CZ25" s="25">
        <f>'[2]CF PND'!$CT$62</f>
        <v>0</v>
      </c>
      <c r="DA25" s="25">
        <f>'[2]CF PND'!$CT$63</f>
        <v>0</v>
      </c>
      <c r="DB25" s="25">
        <f>'[2]CF PND'!$CT$64</f>
        <v>0</v>
      </c>
      <c r="DC25" s="25">
        <f>'[2]CF PND'!$CT$65</f>
        <v>0</v>
      </c>
      <c r="DD25" s="25">
        <f>'[2]CF PND'!$CT$66</f>
        <v>0</v>
      </c>
      <c r="DE25" s="25">
        <f>'[2]CF PND'!$CT$67</f>
        <v>0</v>
      </c>
      <c r="DF25" s="25">
        <f>'[2]CF PND'!$CT$68</f>
        <v>0</v>
      </c>
      <c r="DG25" s="25">
        <f>'[2]CF PND'!$CT$69</f>
        <v>0</v>
      </c>
      <c r="DH25" s="25">
        <f>'[2]CF PND'!$CT$70</f>
        <v>0</v>
      </c>
      <c r="DI25" s="25">
        <f>'[2]CF PND'!$CT$71</f>
        <v>0</v>
      </c>
      <c r="DJ25" s="25">
        <f>'[2]CF PND'!$CT$72</f>
        <v>0</v>
      </c>
      <c r="DK25" s="26">
        <f>SUM(BZ25:DJ25)</f>
        <v>10704212</v>
      </c>
      <c r="DL25" s="69"/>
      <c r="DM25" s="70"/>
      <c r="DN25" s="70"/>
      <c r="DO25" s="70"/>
      <c r="DP25" s="70"/>
      <c r="DQ25" s="70"/>
      <c r="DR25" s="70"/>
      <c r="DS25" s="70"/>
      <c r="DT25" s="70"/>
      <c r="DU25" s="70"/>
      <c r="DV25" s="70"/>
      <c r="DW25" s="70"/>
      <c r="DX25" s="70"/>
      <c r="DY25" s="70"/>
      <c r="DZ25" s="70"/>
      <c r="EA25" s="70"/>
      <c r="EB25" s="70"/>
      <c r="EC25" s="70"/>
      <c r="ED25" s="70"/>
      <c r="EE25" s="70"/>
      <c r="EF25" s="70"/>
      <c r="EG25" s="70"/>
      <c r="EH25" s="70"/>
      <c r="EI25" s="70"/>
      <c r="EJ25" s="70"/>
      <c r="EK25" s="70"/>
      <c r="EL25" s="70"/>
      <c r="EM25" s="70"/>
      <c r="EN25" s="70"/>
      <c r="EO25" s="70"/>
      <c r="EP25" s="70"/>
      <c r="EQ25" s="70"/>
      <c r="ER25" s="70"/>
      <c r="ES25" s="70"/>
      <c r="ET25" s="70"/>
      <c r="EU25" s="70"/>
      <c r="EV25" s="70"/>
      <c r="EW25" s="71">
        <f>SUM(DL25:EV25)</f>
        <v>0</v>
      </c>
      <c r="EX25" s="69"/>
      <c r="EY25" s="70"/>
      <c r="EZ25" s="70"/>
      <c r="FA25" s="70"/>
      <c r="FB25" s="70"/>
      <c r="FC25" s="70"/>
      <c r="FD25" s="70"/>
      <c r="FE25" s="70"/>
      <c r="FF25" s="70"/>
      <c r="FG25" s="70"/>
      <c r="FH25" s="70"/>
      <c r="FI25" s="70"/>
      <c r="FJ25" s="70"/>
      <c r="FK25" s="70"/>
      <c r="FL25" s="70"/>
      <c r="FM25" s="70"/>
      <c r="FN25" s="70"/>
      <c r="FO25" s="70"/>
      <c r="FP25" s="70"/>
      <c r="FQ25" s="70"/>
      <c r="FR25" s="70"/>
      <c r="FS25" s="70"/>
      <c r="FT25" s="70"/>
      <c r="FU25" s="70"/>
      <c r="FV25" s="70"/>
      <c r="FW25" s="70"/>
      <c r="FX25" s="70"/>
      <c r="FY25" s="70"/>
      <c r="FZ25" s="70"/>
      <c r="GA25" s="70"/>
      <c r="GB25" s="70"/>
      <c r="GC25" s="70"/>
      <c r="GD25" s="70"/>
      <c r="GE25" s="70"/>
      <c r="GF25" s="70"/>
      <c r="GG25" s="70"/>
      <c r="GH25" s="70"/>
      <c r="GI25" s="71">
        <f>SUM(EX25:GH25)</f>
        <v>0</v>
      </c>
      <c r="GJ25" s="69"/>
      <c r="GK25" s="70"/>
      <c r="GL25" s="70"/>
      <c r="GM25" s="70"/>
      <c r="GN25" s="70"/>
      <c r="GO25" s="70"/>
      <c r="GP25" s="70"/>
      <c r="GQ25" s="70"/>
      <c r="GR25" s="70"/>
      <c r="GS25" s="70"/>
      <c r="GT25" s="70"/>
      <c r="GU25" s="70"/>
      <c r="GV25" s="70"/>
      <c r="GW25" s="70"/>
      <c r="GX25" s="70"/>
      <c r="GY25" s="70"/>
      <c r="GZ25" s="70"/>
      <c r="HA25" s="70"/>
      <c r="HB25" s="70"/>
      <c r="HC25" s="70"/>
      <c r="HD25" s="70"/>
      <c r="HE25" s="70"/>
      <c r="HF25" s="70"/>
      <c r="HG25" s="70"/>
      <c r="HH25" s="70"/>
      <c r="HI25" s="70"/>
      <c r="HJ25" s="70"/>
      <c r="HK25" s="70"/>
      <c r="HL25" s="70"/>
      <c r="HM25" s="70"/>
      <c r="HN25" s="70"/>
      <c r="HO25" s="70"/>
      <c r="HP25" s="70"/>
      <c r="HQ25" s="70"/>
      <c r="HR25" s="70"/>
      <c r="HS25" s="70"/>
      <c r="HT25" s="70"/>
      <c r="HU25" s="71">
        <f>SUM(GJ25:HT25)</f>
        <v>0</v>
      </c>
      <c r="HV25" s="27">
        <f>'[2]CF PRB'!$CT$36</f>
        <v>0</v>
      </c>
      <c r="HW25" s="25">
        <f>'[2]CF PRB'!$CT$37</f>
        <v>0</v>
      </c>
      <c r="HX25" s="25">
        <f>'[2]CF PRB'!$CT$38</f>
        <v>0</v>
      </c>
      <c r="HY25" s="25">
        <f>'[2]CF PRB'!$CT$39</f>
        <v>0</v>
      </c>
      <c r="HZ25" s="25">
        <f>'[2]CF PRB'!$CT$40</f>
        <v>0</v>
      </c>
      <c r="IA25" s="25">
        <f>'[2]CF PRB'!$CT$41</f>
        <v>0</v>
      </c>
      <c r="IB25" s="25">
        <f>'[2]CF PRB'!$CT$42</f>
        <v>0</v>
      </c>
      <c r="IC25" s="25">
        <f>'[2]CF PRB'!$CT$43</f>
        <v>0</v>
      </c>
      <c r="ID25" s="25">
        <f>'[2]CF PRB'!$CT$44</f>
        <v>0</v>
      </c>
      <c r="IE25" s="25">
        <f>'[2]CF PRB'!$CT$45</f>
        <v>0</v>
      </c>
      <c r="IF25" s="25">
        <f>'[2]CF PRB'!$CT$46</f>
        <v>0</v>
      </c>
      <c r="IG25" s="25">
        <f>'[2]CF PRB'!$CT$47</f>
        <v>0</v>
      </c>
      <c r="IH25" s="25">
        <f>'[2]CF PRB'!$CT$48</f>
        <v>0</v>
      </c>
      <c r="II25" s="25">
        <f>'[2]CF PRB'!$CT$49</f>
        <v>0</v>
      </c>
      <c r="IJ25" s="25">
        <f>'[2]CF PRB'!$CT$50</f>
        <v>0</v>
      </c>
      <c r="IK25" s="25">
        <f>'[2]CF PRB'!$CT$51</f>
        <v>0</v>
      </c>
      <c r="IL25" s="25">
        <f>'[2]CF PRB'!$CT$52</f>
        <v>0</v>
      </c>
      <c r="IM25" s="25">
        <f>'[2]CF PRB'!$CT$53</f>
        <v>0</v>
      </c>
      <c r="IN25" s="25">
        <f>'[2]CF PRB'!$CT$54</f>
        <v>0</v>
      </c>
      <c r="IO25" s="25">
        <f>'[2]CF PRB'!$CT$55</f>
        <v>0</v>
      </c>
      <c r="IP25" s="25">
        <f>'[2]CF PRB'!$CT$56</f>
        <v>0</v>
      </c>
      <c r="IQ25" s="25">
        <f>'[2]CF PRB'!$CT$57</f>
        <v>0</v>
      </c>
      <c r="IR25" s="25">
        <f>'[2]CF PRB'!$CT$58</f>
        <v>0</v>
      </c>
      <c r="IS25" s="25">
        <f>'[2]CF PRB'!$CT$59</f>
        <v>0</v>
      </c>
      <c r="IT25" s="25">
        <f>'[2]CF PRB'!$CT$60</f>
        <v>0</v>
      </c>
      <c r="IU25" s="25">
        <f>'[2]CF PRB'!$CT$61</f>
        <v>0</v>
      </c>
      <c r="IV25" s="25">
        <f>'[2]CF PRB'!$CT$62</f>
        <v>0</v>
      </c>
      <c r="IW25" s="25">
        <f>'[2]CF PRB'!$CT$63</f>
        <v>0</v>
      </c>
      <c r="IX25" s="25">
        <f>'[2]CF PRB'!$CT$64</f>
        <v>0</v>
      </c>
      <c r="IY25" s="25">
        <f>'[2]CF PRB'!$CT$65</f>
        <v>0</v>
      </c>
      <c r="IZ25" s="25">
        <f>'[2]CF PRB'!$CT$66</f>
        <v>0</v>
      </c>
      <c r="JA25" s="25">
        <f>'[2]CF PRB'!$CT$67</f>
        <v>0</v>
      </c>
      <c r="JB25" s="25">
        <f>'[2]CF PRB'!$CT$68</f>
        <v>0</v>
      </c>
      <c r="JC25" s="25">
        <f>'[2]CF PRB'!$CT$69</f>
        <v>0</v>
      </c>
      <c r="JD25" s="25">
        <f>'[2]CF PRB'!$CT$70</f>
        <v>0</v>
      </c>
      <c r="JE25" s="25">
        <f>'[2]CF PRB'!$CT$71</f>
        <v>0</v>
      </c>
      <c r="JF25" s="25">
        <f>'[2]CF PRB'!$CT$72</f>
        <v>0</v>
      </c>
      <c r="JG25" s="26">
        <f>SUM(HV25:JF25)</f>
        <v>0</v>
      </c>
      <c r="JH25" s="69"/>
      <c r="JI25" s="70"/>
      <c r="JJ25" s="70"/>
      <c r="JK25" s="70"/>
      <c r="JL25" s="70"/>
      <c r="JM25" s="70"/>
      <c r="JN25" s="70"/>
      <c r="JO25" s="70"/>
      <c r="JP25" s="70"/>
      <c r="JQ25" s="70"/>
      <c r="JR25" s="70"/>
      <c r="JS25" s="70"/>
      <c r="JT25" s="70"/>
      <c r="JU25" s="70"/>
      <c r="JV25" s="70"/>
      <c r="JW25" s="70"/>
      <c r="JX25" s="70"/>
      <c r="JY25" s="70"/>
      <c r="JZ25" s="70"/>
      <c r="KA25" s="70"/>
      <c r="KB25" s="70"/>
      <c r="KC25" s="70"/>
      <c r="KD25" s="70"/>
      <c r="KE25" s="70"/>
      <c r="KF25" s="70"/>
      <c r="KG25" s="70"/>
      <c r="KH25" s="70"/>
      <c r="KI25" s="70"/>
      <c r="KJ25" s="70"/>
      <c r="KK25" s="70"/>
      <c r="KL25" s="70"/>
      <c r="KM25" s="70"/>
      <c r="KN25" s="70"/>
      <c r="KO25" s="70"/>
      <c r="KP25" s="70"/>
      <c r="KQ25" s="70"/>
      <c r="KR25" s="70"/>
      <c r="KS25" s="71">
        <f>SUM(JH25:KR25)</f>
        <v>0</v>
      </c>
      <c r="KT25" s="69"/>
      <c r="KU25" s="70"/>
      <c r="KV25" s="70"/>
      <c r="KW25" s="70"/>
      <c r="KX25" s="70"/>
      <c r="KY25" s="70"/>
      <c r="KZ25" s="70"/>
      <c r="LA25" s="70"/>
      <c r="LB25" s="70"/>
      <c r="LC25" s="70"/>
      <c r="LD25" s="70"/>
      <c r="LE25" s="70"/>
      <c r="LF25" s="70"/>
      <c r="LG25" s="70"/>
      <c r="LH25" s="70"/>
      <c r="LI25" s="70"/>
      <c r="LJ25" s="70"/>
      <c r="LK25" s="70"/>
      <c r="LL25" s="70"/>
      <c r="LM25" s="70"/>
      <c r="LN25" s="70"/>
      <c r="LO25" s="70"/>
      <c r="LP25" s="70"/>
      <c r="LQ25" s="70"/>
      <c r="LR25" s="70"/>
      <c r="LS25" s="70"/>
      <c r="LT25" s="70"/>
      <c r="LU25" s="70"/>
      <c r="LV25" s="70"/>
      <c r="LW25" s="70"/>
      <c r="LX25" s="70"/>
      <c r="LY25" s="70"/>
      <c r="LZ25" s="70"/>
      <c r="MA25" s="70"/>
      <c r="MB25" s="70"/>
      <c r="MC25" s="70"/>
      <c r="MD25" s="70"/>
      <c r="ME25" s="71">
        <f>SUM(KT25:MD25)</f>
        <v>0</v>
      </c>
      <c r="MF25" s="69"/>
      <c r="MG25" s="70"/>
      <c r="MH25" s="70"/>
      <c r="MI25" s="70"/>
      <c r="MJ25" s="70"/>
      <c r="MK25" s="70"/>
      <c r="ML25" s="70"/>
      <c r="MM25" s="70"/>
      <c r="MN25" s="70"/>
      <c r="MO25" s="70"/>
      <c r="MP25" s="70"/>
      <c r="MQ25" s="70"/>
      <c r="MR25" s="70"/>
      <c r="MS25" s="70"/>
      <c r="MT25" s="70"/>
      <c r="MU25" s="70"/>
      <c r="MV25" s="70"/>
      <c r="MW25" s="70"/>
      <c r="MX25" s="70"/>
      <c r="MY25" s="70"/>
      <c r="MZ25" s="70"/>
      <c r="NA25" s="70"/>
      <c r="NB25" s="70"/>
      <c r="NC25" s="70"/>
      <c r="ND25" s="70"/>
      <c r="NE25" s="70"/>
      <c r="NF25" s="70"/>
      <c r="NG25" s="70"/>
      <c r="NH25" s="70"/>
      <c r="NI25" s="70"/>
      <c r="NJ25" s="70"/>
      <c r="NK25" s="70"/>
      <c r="NL25" s="70"/>
      <c r="NM25" s="70"/>
      <c r="NN25" s="70"/>
      <c r="NO25" s="70"/>
      <c r="NP25" s="70"/>
      <c r="NQ25" s="71">
        <f>SUM(MF25:NP25)</f>
        <v>0</v>
      </c>
      <c r="NR25" s="25">
        <f>'[2]CF PS'!$CT$36</f>
        <v>1243995</v>
      </c>
      <c r="NS25" s="25">
        <f>'[2]CF PS'!$CT$37</f>
        <v>0</v>
      </c>
      <c r="NT25" s="25">
        <f>'[2]CF PS'!$CT$38</f>
        <v>0</v>
      </c>
      <c r="NU25" s="25">
        <f>'[2]CF PS'!$CT$39</f>
        <v>0</v>
      </c>
      <c r="NV25" s="25">
        <f>'[2]CF PS'!$CT$40</f>
        <v>0</v>
      </c>
      <c r="NW25" s="25">
        <f>'[2]CF PS'!$CT$41</f>
        <v>0</v>
      </c>
      <c r="NX25" s="25">
        <f>'[2]CF PS'!$CT$42</f>
        <v>0</v>
      </c>
      <c r="NY25" s="25">
        <f>'[2]CF PS'!$CT$43</f>
        <v>0</v>
      </c>
      <c r="NZ25" s="25">
        <f>'[2]CF PS'!$CT$44</f>
        <v>0</v>
      </c>
      <c r="OA25" s="25">
        <f>'[2]CF PS'!$CT$45</f>
        <v>0</v>
      </c>
      <c r="OB25" s="25">
        <f>'[2]CF PS'!$CT$46</f>
        <v>0</v>
      </c>
      <c r="OC25" s="25">
        <f>'[2]CF PS'!$CT$47</f>
        <v>0</v>
      </c>
      <c r="OD25" s="25">
        <f>'[2]CF PS'!$CT$48</f>
        <v>0</v>
      </c>
      <c r="OE25" s="25">
        <f>'[2]CF PS'!$CT$49</f>
        <v>0</v>
      </c>
      <c r="OF25" s="25">
        <f>'[2]CF PS'!$CT$50</f>
        <v>0</v>
      </c>
      <c r="OG25" s="25">
        <f>'[2]CF PS'!$CT$51</f>
        <v>0</v>
      </c>
      <c r="OH25" s="25">
        <f>'[2]CF PS'!$CT$52</f>
        <v>0</v>
      </c>
      <c r="OI25" s="25">
        <f>'[2]CF PS'!$CT$53</f>
        <v>0</v>
      </c>
      <c r="OJ25" s="25">
        <f>'[2]CF PS'!$CT$54</f>
        <v>0</v>
      </c>
      <c r="OK25" s="25">
        <f>'[2]CF PS'!$CT$55</f>
        <v>0</v>
      </c>
      <c r="OL25" s="25">
        <f>'[2]CF PS'!$CT$56</f>
        <v>0</v>
      </c>
      <c r="OM25" s="25">
        <f>'[2]CF PS'!$CT$57</f>
        <v>0</v>
      </c>
      <c r="ON25" s="25">
        <f>'[2]CF PS'!$CT$58</f>
        <v>0</v>
      </c>
      <c r="OO25" s="25">
        <f>'[2]CF PS'!$CT$59</f>
        <v>0</v>
      </c>
      <c r="OP25" s="25">
        <f>'[2]CF PS'!$CT$60</f>
        <v>0</v>
      </c>
      <c r="OQ25" s="25">
        <f>'[2]CF PS'!$CT$61</f>
        <v>0</v>
      </c>
      <c r="OR25" s="25">
        <f>'[2]CF PS'!$CT$62</f>
        <v>0</v>
      </c>
      <c r="OS25" s="25">
        <f>'[2]CF PS'!$CT$63</f>
        <v>0</v>
      </c>
      <c r="OT25" s="25">
        <f>'[2]CF PS'!$CT$64</f>
        <v>0</v>
      </c>
      <c r="OU25" s="25">
        <f>'[2]CF PS'!$CT$65</f>
        <v>0</v>
      </c>
      <c r="OV25" s="25">
        <f>'[2]CF PS'!$CT$66</f>
        <v>0</v>
      </c>
      <c r="OW25" s="25">
        <f>'[2]CF PS'!$CT$67</f>
        <v>0</v>
      </c>
      <c r="OX25" s="25">
        <f>'[2]CF PS'!$CT$68</f>
        <v>0</v>
      </c>
      <c r="OY25" s="25">
        <f>'[2]CF PS'!$CT$69</f>
        <v>0</v>
      </c>
      <c r="OZ25" s="25">
        <f>'[2]CF PS'!$CT$70</f>
        <v>0</v>
      </c>
      <c r="PA25" s="25">
        <f>'[2]CF PS'!$CT$71</f>
        <v>0</v>
      </c>
      <c r="PB25" s="25">
        <f>'[2]CF PS'!$CT$72</f>
        <v>0</v>
      </c>
      <c r="PC25" s="26">
        <f>SUM(NR25:PB25)</f>
        <v>1243995</v>
      </c>
    </row>
    <row r="26" spans="1:419" ht="16.5" thickBot="1" x14ac:dyDescent="0.35">
      <c r="A26" s="47" t="s">
        <v>21</v>
      </c>
      <c r="B26" s="40">
        <f>IF(AND(B24&lt;&gt;0,B25&lt;&gt;0),(B24-B25)/B25,IF(AND(B24=0,B25=0),"",IF(AND(B24="",B25=""),"",IF(AND(B24=0,B25=""),"", IF(AND(B24="",B25=0),"",1)))))</f>
        <v>7.3551044424830826E-8</v>
      </c>
      <c r="C26" s="40">
        <f t="shared" ref="C26" si="786">IF(AND(C24&lt;&gt;0,C25&lt;&gt;0),(C24-C25)/C25,IF(AND(C24=0,C25=0),"",IF(AND(C24="",C25=""),"",IF(AND(C24=0,C25=""),"", IF(AND(C24="",C25=0),"",1)))))</f>
        <v>8.300132802124834E-8</v>
      </c>
      <c r="D26" s="40">
        <f t="shared" ref="D26" si="787">IF(AND(D24&lt;&gt;0,D25&lt;&gt;0),(D24-D25)/D25,IF(AND(D24=0,D25=0),"",IF(AND(D24="",D25=""),"",IF(AND(D24=0,D25=""),"", IF(AND(D24="",D25=0),"",1)))))</f>
        <v>9.9681020733652317E-8</v>
      </c>
      <c r="E26" s="40">
        <f t="shared" ref="E26" si="788">IF(AND(E24&lt;&gt;0,E25&lt;&gt;0),(E24-E25)/E25,IF(AND(E24=0,E25=0),"",IF(AND(E24="",E25=""),"",IF(AND(E24=0,E25=""),"", IF(AND(E24="",E25=0),"",1)))))</f>
        <v>9.4370327620223598E-7</v>
      </c>
      <c r="F26" s="40">
        <f t="shared" ref="F26" si="789">IF(AND(F24&lt;&gt;0,F25&lt;&gt;0),(F24-F25)/F25,IF(AND(F24=0,F25=0),"",IF(AND(F24="",F25=""),"",IF(AND(F24=0,F25=""),"", IF(AND(F24="",F25=0),"",1)))))</f>
        <v>-9.8863963186655158E-7</v>
      </c>
      <c r="G26" s="40" t="str">
        <f t="shared" ref="G26" si="790">IF(AND(G24&lt;&gt;0,G25&lt;&gt;0),(G24-G25)/G25,IF(AND(G24=0,G25=0),"",IF(AND(G24="",G25=""),"",IF(AND(G24=0,G25=""),"", IF(AND(G24="",G25=0),"",1)))))</f>
        <v/>
      </c>
      <c r="H26" s="40" t="str">
        <f t="shared" ref="H26" si="791">IF(AND(H24&lt;&gt;0,H25&lt;&gt;0),(H24-H25)/H25,IF(AND(H24=0,H25=0),"",IF(AND(H24="",H25=""),"",IF(AND(H24=0,H25=""),"", IF(AND(H24="",H25=0),"",1)))))</f>
        <v/>
      </c>
      <c r="I26" s="40" t="str">
        <f t="shared" ref="I26" si="792">IF(AND(I24&lt;&gt;0,I25&lt;&gt;0),(I24-I25)/I25,IF(AND(I24=0,I25=0),"",IF(AND(I24="",I25=""),"",IF(AND(I24=0,I25=""),"", IF(AND(I24="",I25=0),"",1)))))</f>
        <v/>
      </c>
      <c r="J26" s="40" t="str">
        <f t="shared" ref="J26" si="793">IF(AND(J24&lt;&gt;0,J25&lt;&gt;0),(J24-J25)/J25,IF(AND(J24=0,J25=0),"",IF(AND(J24="",J25=""),"",IF(AND(J24=0,J25=""),"", IF(AND(J24="",J25=0),"",1)))))</f>
        <v/>
      </c>
      <c r="K26" s="40" t="str">
        <f t="shared" ref="K26" si="794">IF(AND(K24&lt;&gt;0,K25&lt;&gt;0),(K24-K25)/K25,IF(AND(K24=0,K25=0),"",IF(AND(K24="",K25=""),"",IF(AND(K24=0,K25=""),"", IF(AND(K24="",K25=0),"",1)))))</f>
        <v/>
      </c>
      <c r="L26" s="40" t="str">
        <f t="shared" ref="L26" si="795">IF(AND(L24&lt;&gt;0,L25&lt;&gt;0),(L24-L25)/L25,IF(AND(L24=0,L25=0),"",IF(AND(L24="",L25=""),"",IF(AND(L24=0,L25=""),"", IF(AND(L24="",L25=0),"",1)))))</f>
        <v/>
      </c>
      <c r="M26" s="40" t="str">
        <f t="shared" ref="M26" si="796">IF(AND(M24&lt;&gt;0,M25&lt;&gt;0),(M24-M25)/M25,IF(AND(M24=0,M25=0),"",IF(AND(M24="",M25=""),"",IF(AND(M24=0,M25=""),"", IF(AND(M24="",M25=0),"",1)))))</f>
        <v/>
      </c>
      <c r="N26" s="40" t="str">
        <f t="shared" ref="N26" si="797">IF(AND(N24&lt;&gt;0,N25&lt;&gt;0),(N24-N25)/N25,IF(AND(N24=0,N25=0),"",IF(AND(N24="",N25=""),"",IF(AND(N24=0,N25=""),"", IF(AND(N24="",N25=0),"",1)))))</f>
        <v/>
      </c>
      <c r="O26" s="40" t="str">
        <f t="shared" ref="O26" si="798">IF(AND(O24&lt;&gt;0,O25&lt;&gt;0),(O24-O25)/O25,IF(AND(O24=0,O25=0),"",IF(AND(O24="",O25=""),"",IF(AND(O24=0,O25=""),"", IF(AND(O24="",O25=0),"",1)))))</f>
        <v/>
      </c>
      <c r="P26" s="40" t="str">
        <f t="shared" ref="P26" si="799">IF(AND(P24&lt;&gt;0,P25&lt;&gt;0),(P24-P25)/P25,IF(AND(P24=0,P25=0),"",IF(AND(P24="",P25=""),"",IF(AND(P24=0,P25=""),"", IF(AND(P24="",P25=0),"",1)))))</f>
        <v/>
      </c>
      <c r="Q26" s="40" t="str">
        <f t="shared" ref="Q26" si="800">IF(AND(Q24&lt;&gt;0,Q25&lt;&gt;0),(Q24-Q25)/Q25,IF(AND(Q24=0,Q25=0),"",IF(AND(Q24="",Q25=""),"",IF(AND(Q24=0,Q25=""),"", IF(AND(Q24="",Q25=0),"",1)))))</f>
        <v/>
      </c>
      <c r="R26" s="40" t="str">
        <f t="shared" ref="R26" si="801">IF(AND(R24&lt;&gt;0,R25&lt;&gt;0),(R24-R25)/R25,IF(AND(R24=0,R25=0),"",IF(AND(R24="",R25=""),"",IF(AND(R24=0,R25=""),"", IF(AND(R24="",R25=0),"",1)))))</f>
        <v/>
      </c>
      <c r="S26" s="40" t="str">
        <f t="shared" ref="S26" si="802">IF(AND(S24&lt;&gt;0,S25&lt;&gt;0),(S24-S25)/S25,IF(AND(S24=0,S25=0),"",IF(AND(S24="",S25=""),"",IF(AND(S24=0,S25=""),"", IF(AND(S24="",S25=0),"",1)))))</f>
        <v/>
      </c>
      <c r="T26" s="40" t="str">
        <f t="shared" ref="T26" si="803">IF(AND(T24&lt;&gt;0,T25&lt;&gt;0),(T24-T25)/T25,IF(AND(T24=0,T25=0),"",IF(AND(T24="",T25=""),"",IF(AND(T24=0,T25=""),"", IF(AND(T24="",T25=0),"",1)))))</f>
        <v/>
      </c>
      <c r="U26" s="40" t="str">
        <f t="shared" ref="U26" si="804">IF(AND(U24&lt;&gt;0,U25&lt;&gt;0),(U24-U25)/U25,IF(AND(U24=0,U25=0),"",IF(AND(U24="",U25=""),"",IF(AND(U24=0,U25=""),"", IF(AND(U24="",U25=0),"",1)))))</f>
        <v/>
      </c>
      <c r="V26" s="40" t="str">
        <f t="shared" ref="V26" si="805">IF(AND(V24&lt;&gt;0,V25&lt;&gt;0),(V24-V25)/V25,IF(AND(V24=0,V25=0),"",IF(AND(V24="",V25=""),"",IF(AND(V24=0,V25=""),"", IF(AND(V24="",V25=0),"",1)))))</f>
        <v/>
      </c>
      <c r="W26" s="40" t="str">
        <f t="shared" ref="W26" si="806">IF(AND(W24&lt;&gt;0,W25&lt;&gt;0),(W24-W25)/W25,IF(AND(W24=0,W25=0),"",IF(AND(W24="",W25=""),"",IF(AND(W24=0,W25=""),"", IF(AND(W24="",W25=0),"",1)))))</f>
        <v/>
      </c>
      <c r="X26" s="40" t="str">
        <f t="shared" ref="X26:AL26" si="807">IF(AND(X24&lt;&gt;0,X25&lt;&gt;0),(X24-X25)/X25,IF(AND(X24=0,X25=0),"",IF(AND(X24="",X25=""),"",IF(AND(X24=0,X25=""),"", IF(AND(X24="",X25=0),"",1)))))</f>
        <v/>
      </c>
      <c r="Y26" s="40" t="str">
        <f t="shared" si="807"/>
        <v/>
      </c>
      <c r="Z26" s="40" t="str">
        <f t="shared" si="807"/>
        <v/>
      </c>
      <c r="AA26" s="40" t="str">
        <f t="shared" si="807"/>
        <v/>
      </c>
      <c r="AB26" s="40" t="str">
        <f t="shared" si="807"/>
        <v/>
      </c>
      <c r="AC26" s="40" t="str">
        <f t="shared" si="807"/>
        <v/>
      </c>
      <c r="AD26" s="40" t="str">
        <f t="shared" si="807"/>
        <v/>
      </c>
      <c r="AE26" s="40" t="str">
        <f t="shared" si="807"/>
        <v/>
      </c>
      <c r="AF26" s="40" t="str">
        <f t="shared" si="807"/>
        <v/>
      </c>
      <c r="AG26" s="40" t="str">
        <f t="shared" si="807"/>
        <v/>
      </c>
      <c r="AH26" s="40" t="str">
        <f t="shared" si="807"/>
        <v/>
      </c>
      <c r="AI26" s="40" t="str">
        <f t="shared" si="807"/>
        <v/>
      </c>
      <c r="AJ26" s="40" t="str">
        <f t="shared" si="807"/>
        <v/>
      </c>
      <c r="AK26" s="40" t="str">
        <f t="shared" si="807"/>
        <v/>
      </c>
      <c r="AL26" s="40" t="str">
        <f t="shared" si="807"/>
        <v/>
      </c>
      <c r="AM26" s="41">
        <f t="shared" ref="AM26" si="808">IF(AND(AM24&lt;&gt;0,AM25&lt;&gt;0),(AM24-AM25)/AM25,IF(AND(AM24=0,AM25=0),"",IF(AND(AM24="",AM25=""),"",IF(AND(AM24=0,AM25=""),"", IF(AND(AM24="",AM25=0),"",1)))))</f>
        <v>-1.9426315519004843E-8</v>
      </c>
      <c r="AN26" s="39" t="str">
        <f t="shared" ref="AN26" si="809">IF(AND(AN24&lt;&gt;0,AN25&lt;&gt;0),(AN24-AN25)/AN25,IF(AND(AN24=0,AN25=0),"",IF(AND(AN24="",AN25=""),"",IF(AND(AN24=0,AN25=""),"", IF(AND(AN24="",AN25=0),"",1)))))</f>
        <v/>
      </c>
      <c r="AO26" s="40" t="str">
        <f t="shared" ref="AO26" si="810">IF(AND(AO24&lt;&gt;0,AO25&lt;&gt;0),(AO24-AO25)/AO25,IF(AND(AO24=0,AO25=0),"",IF(AND(AO24="",AO25=""),"",IF(AND(AO24=0,AO25=""),"", IF(AND(AO24="",AO25=0),"",1)))))</f>
        <v/>
      </c>
      <c r="AP26" s="40" t="str">
        <f t="shared" ref="AP26" si="811">IF(AND(AP24&lt;&gt;0,AP25&lt;&gt;0),(AP24-AP25)/AP25,IF(AND(AP24=0,AP25=0),"",IF(AND(AP24="",AP25=""),"",IF(AND(AP24=0,AP25=""),"", IF(AND(AP24="",AP25=0),"",1)))))</f>
        <v/>
      </c>
      <c r="AQ26" s="40" t="str">
        <f t="shared" ref="AQ26" si="812">IF(AND(AQ24&lt;&gt;0,AQ25&lt;&gt;0),(AQ24-AQ25)/AQ25,IF(AND(AQ24=0,AQ25=0),"",IF(AND(AQ24="",AQ25=""),"",IF(AND(AQ24=0,AQ25=""),"", IF(AND(AQ24="",AQ25=0),"",1)))))</f>
        <v/>
      </c>
      <c r="AR26" s="40" t="str">
        <f t="shared" ref="AR26" si="813">IF(AND(AR24&lt;&gt;0,AR25&lt;&gt;0),(AR24-AR25)/AR25,IF(AND(AR24=0,AR25=0),"",IF(AND(AR24="",AR25=""),"",IF(AND(AR24=0,AR25=""),"", IF(AND(AR24="",AR25=0),"",1)))))</f>
        <v/>
      </c>
      <c r="AS26" s="40" t="str">
        <f t="shared" ref="AS26" si="814">IF(AND(AS24&lt;&gt;0,AS25&lt;&gt;0),(AS24-AS25)/AS25,IF(AND(AS24=0,AS25=0),"",IF(AND(AS24="",AS25=""),"",IF(AND(AS24=0,AS25=""),"", IF(AND(AS24="",AS25=0),"",1)))))</f>
        <v/>
      </c>
      <c r="AT26" s="40" t="str">
        <f t="shared" ref="AT26" si="815">IF(AND(AT24&lt;&gt;0,AT25&lt;&gt;0),(AT24-AT25)/AT25,IF(AND(AT24=0,AT25=0),"",IF(AND(AT24="",AT25=""),"",IF(AND(AT24=0,AT25=""),"", IF(AND(AT24="",AT25=0),"",1)))))</f>
        <v/>
      </c>
      <c r="AU26" s="40" t="str">
        <f t="shared" ref="AU26" si="816">IF(AND(AU24&lt;&gt;0,AU25&lt;&gt;0),(AU24-AU25)/AU25,IF(AND(AU24=0,AU25=0),"",IF(AND(AU24="",AU25=""),"",IF(AND(AU24=0,AU25=""),"", IF(AND(AU24="",AU25=0),"",1)))))</f>
        <v/>
      </c>
      <c r="AV26" s="40" t="str">
        <f t="shared" ref="AV26" si="817">IF(AND(AV24&lt;&gt;0,AV25&lt;&gt;0),(AV24-AV25)/AV25,IF(AND(AV24=0,AV25=0),"",IF(AND(AV24="",AV25=""),"",IF(AND(AV24=0,AV25=""),"", IF(AND(AV24="",AV25=0),"",1)))))</f>
        <v/>
      </c>
      <c r="AW26" s="40" t="str">
        <f t="shared" ref="AW26" si="818">IF(AND(AW24&lt;&gt;0,AW25&lt;&gt;0),(AW24-AW25)/AW25,IF(AND(AW24=0,AW25=0),"",IF(AND(AW24="",AW25=""),"",IF(AND(AW24=0,AW25=""),"", IF(AND(AW24="",AW25=0),"",1)))))</f>
        <v/>
      </c>
      <c r="AX26" s="40" t="str">
        <f t="shared" ref="AX26" si="819">IF(AND(AX24&lt;&gt;0,AX25&lt;&gt;0),(AX24-AX25)/AX25,IF(AND(AX24=0,AX25=0),"",IF(AND(AX24="",AX25=""),"",IF(AND(AX24=0,AX25=""),"", IF(AND(AX24="",AX25=0),"",1)))))</f>
        <v/>
      </c>
      <c r="AY26" s="40" t="str">
        <f t="shared" ref="AY26" si="820">IF(AND(AY24&lt;&gt;0,AY25&lt;&gt;0),(AY24-AY25)/AY25,IF(AND(AY24=0,AY25=0),"",IF(AND(AY24="",AY25=""),"",IF(AND(AY24=0,AY25=""),"", IF(AND(AY24="",AY25=0),"",1)))))</f>
        <v/>
      </c>
      <c r="AZ26" s="40" t="str">
        <f t="shared" ref="AZ26" si="821">IF(AND(AZ24&lt;&gt;0,AZ25&lt;&gt;0),(AZ24-AZ25)/AZ25,IF(AND(AZ24=0,AZ25=0),"",IF(AND(AZ24="",AZ25=""),"",IF(AND(AZ24=0,AZ25=""),"", IF(AND(AZ24="",AZ25=0),"",1)))))</f>
        <v/>
      </c>
      <c r="BA26" s="40" t="str">
        <f t="shared" ref="BA26" si="822">IF(AND(BA24&lt;&gt;0,BA25&lt;&gt;0),(BA24-BA25)/BA25,IF(AND(BA24=0,BA25=0),"",IF(AND(BA24="",BA25=""),"",IF(AND(BA24=0,BA25=""),"", IF(AND(BA24="",BA25=0),"",1)))))</f>
        <v/>
      </c>
      <c r="BB26" s="40" t="str">
        <f t="shared" ref="BB26" si="823">IF(AND(BB24&lt;&gt;0,BB25&lt;&gt;0),(BB24-BB25)/BB25,IF(AND(BB24=0,BB25=0),"",IF(AND(BB24="",BB25=""),"",IF(AND(BB24=0,BB25=""),"", IF(AND(BB24="",BB25=0),"",1)))))</f>
        <v/>
      </c>
      <c r="BC26" s="40" t="str">
        <f t="shared" ref="BC26" si="824">IF(AND(BC24&lt;&gt;0,BC25&lt;&gt;0),(BC24-BC25)/BC25,IF(AND(BC24=0,BC25=0),"",IF(AND(BC24="",BC25=""),"",IF(AND(BC24=0,BC25=""),"", IF(AND(BC24="",BC25=0),"",1)))))</f>
        <v/>
      </c>
      <c r="BD26" s="40" t="str">
        <f t="shared" ref="BD26" si="825">IF(AND(BD24&lt;&gt;0,BD25&lt;&gt;0),(BD24-BD25)/BD25,IF(AND(BD24=0,BD25=0),"",IF(AND(BD24="",BD25=""),"",IF(AND(BD24=0,BD25=""),"", IF(AND(BD24="",BD25=0),"",1)))))</f>
        <v/>
      </c>
      <c r="BE26" s="40" t="str">
        <f t="shared" ref="BE26" si="826">IF(AND(BE24&lt;&gt;0,BE25&lt;&gt;0),(BE24-BE25)/BE25,IF(AND(BE24=0,BE25=0),"",IF(AND(BE24="",BE25=""),"",IF(AND(BE24=0,BE25=""),"", IF(AND(BE24="",BE25=0),"",1)))))</f>
        <v/>
      </c>
      <c r="BF26" s="40" t="str">
        <f t="shared" ref="BF26" si="827">IF(AND(BF24&lt;&gt;0,BF25&lt;&gt;0),(BF24-BF25)/BF25,IF(AND(BF24=0,BF25=0),"",IF(AND(BF24="",BF25=""),"",IF(AND(BF24=0,BF25=""),"", IF(AND(BF24="",BF25=0),"",1)))))</f>
        <v/>
      </c>
      <c r="BG26" s="40" t="str">
        <f t="shared" ref="BG26" si="828">IF(AND(BG24&lt;&gt;0,BG25&lt;&gt;0),(BG24-BG25)/BG25,IF(AND(BG24=0,BG25=0),"",IF(AND(BG24="",BG25=""),"",IF(AND(BG24=0,BG25=""),"", IF(AND(BG24="",BG25=0),"",1)))))</f>
        <v/>
      </c>
      <c r="BH26" s="40" t="str">
        <f t="shared" ref="BH26" si="829">IF(AND(BH24&lt;&gt;0,BH25&lt;&gt;0),(BH24-BH25)/BH25,IF(AND(BH24=0,BH25=0),"",IF(AND(BH24="",BH25=""),"",IF(AND(BH24=0,BH25=""),"", IF(AND(BH24="",BH25=0),"",1)))))</f>
        <v/>
      </c>
      <c r="BI26" s="40" t="str">
        <f t="shared" ref="BI26" si="830">IF(AND(BI24&lt;&gt;0,BI25&lt;&gt;0),(BI24-BI25)/BI25,IF(AND(BI24=0,BI25=0),"",IF(AND(BI24="",BI25=""),"",IF(AND(BI24=0,BI25=""),"", IF(AND(BI24="",BI25=0),"",1)))))</f>
        <v/>
      </c>
      <c r="BJ26" s="40" t="str">
        <f t="shared" ref="BJ26:BX26" si="831">IF(AND(BJ24&lt;&gt;0,BJ25&lt;&gt;0),(BJ24-BJ25)/BJ25,IF(AND(BJ24=0,BJ25=0),"",IF(AND(BJ24="",BJ25=""),"",IF(AND(BJ24=0,BJ25=""),"", IF(AND(BJ24="",BJ25=0),"",1)))))</f>
        <v/>
      </c>
      <c r="BK26" s="40" t="str">
        <f t="shared" si="831"/>
        <v/>
      </c>
      <c r="BL26" s="40" t="str">
        <f t="shared" si="831"/>
        <v/>
      </c>
      <c r="BM26" s="40" t="str">
        <f t="shared" si="831"/>
        <v/>
      </c>
      <c r="BN26" s="40" t="str">
        <f t="shared" si="831"/>
        <v/>
      </c>
      <c r="BO26" s="40" t="str">
        <f t="shared" si="831"/>
        <v/>
      </c>
      <c r="BP26" s="40" t="str">
        <f t="shared" si="831"/>
        <v/>
      </c>
      <c r="BQ26" s="40" t="str">
        <f t="shared" si="831"/>
        <v/>
      </c>
      <c r="BR26" s="40" t="str">
        <f t="shared" si="831"/>
        <v/>
      </c>
      <c r="BS26" s="40" t="str">
        <f t="shared" si="831"/>
        <v/>
      </c>
      <c r="BT26" s="40" t="str">
        <f t="shared" si="831"/>
        <v/>
      </c>
      <c r="BU26" s="40" t="str">
        <f t="shared" si="831"/>
        <v/>
      </c>
      <c r="BV26" s="40" t="str">
        <f t="shared" si="831"/>
        <v/>
      </c>
      <c r="BW26" s="40" t="str">
        <f t="shared" si="831"/>
        <v/>
      </c>
      <c r="BX26" s="40" t="str">
        <f t="shared" si="831"/>
        <v/>
      </c>
      <c r="BY26" s="41" t="str">
        <f t="shared" ref="BY26" si="832">IF(AND(BY24&lt;&gt;0,BY25&lt;&gt;0),(BY24-BY25)/BY25,IF(AND(BY24=0,BY25=0),"",IF(AND(BY24="",BY25=""),"",IF(AND(BY24=0,BY25=""),"", IF(AND(BY24="",BY25=0),"",1)))))</f>
        <v/>
      </c>
      <c r="BZ26" s="39">
        <f t="shared" ref="BZ26" si="833">IF(AND(BZ24&lt;&gt;0,BZ25&lt;&gt;0),(BZ24-BZ25)/BZ25,IF(AND(BZ24=0,BZ25=0),"",IF(AND(BZ24="",BZ25=""),"",IF(AND(BZ24=0,BZ25=""),"", IF(AND(BZ24="",BZ25=0),"",1)))))</f>
        <v>0.33333351196923033</v>
      </c>
      <c r="CA26" s="40" t="str">
        <f t="shared" ref="CA26" si="834">IF(AND(CA24&lt;&gt;0,CA25&lt;&gt;0),(CA24-CA25)/CA25,IF(AND(CA24=0,CA25=0),"",IF(AND(CA24="",CA25=""),"",IF(AND(CA24=0,CA25=""),"", IF(AND(CA24="",CA25=0),"",1)))))</f>
        <v/>
      </c>
      <c r="CB26" s="40" t="str">
        <f t="shared" ref="CB26" si="835">IF(AND(CB24&lt;&gt;0,CB25&lt;&gt;0),(CB24-CB25)/CB25,IF(AND(CB24=0,CB25=0),"",IF(AND(CB24="",CB25=""),"",IF(AND(CB24=0,CB25=""),"", IF(AND(CB24="",CB25=0),"",1)))))</f>
        <v/>
      </c>
      <c r="CC26" s="40">
        <f t="shared" ref="CC26" si="836">IF(AND(CC24&lt;&gt;0,CC25&lt;&gt;0),(CC24-CC25)/CC25,IF(AND(CC24=0,CC25=0),"",IF(AND(CC24="",CC25=""),"",IF(AND(CC24=0,CC25=""),"", IF(AND(CC24="",CC25=0),"",1)))))</f>
        <v>-8.9110389594187726E-8</v>
      </c>
      <c r="CD26" s="40">
        <f t="shared" ref="CD26" si="837">IF(AND(CD24&lt;&gt;0,CD25&lt;&gt;0),(CD24-CD25)/CD25,IF(AND(CD24=0,CD25=0),"",IF(AND(CD24="",CD25=""),"",IF(AND(CD24=0,CD25=""),"", IF(AND(CD24="",CD25=0),"",1)))))</f>
        <v>2.6733126407053554E-7</v>
      </c>
      <c r="CE26" s="40">
        <f t="shared" ref="CE26" si="838">IF(AND(CE24&lt;&gt;0,CE25&lt;&gt;0),(CE24-CE25)/CE25,IF(AND(CE24=0,CE25=0),"",IF(AND(CE24="",CE25=""),"",IF(AND(CE24=0,CE25=""),"", IF(AND(CE24="",CE25=0),"",1)))))</f>
        <v>-8.9110389594187726E-8</v>
      </c>
      <c r="CF26" s="40">
        <f t="shared" ref="CF26" si="839">IF(AND(CF24&lt;&gt;0,CF25&lt;&gt;0),(CF24-CF25)/CF25,IF(AND(CF24=0,CF25=0),"",IF(AND(CF24="",CF25=""),"",IF(AND(CF24=0,CF25=""),"", IF(AND(CF24="",CF25=0),"",1)))))</f>
        <v>10.963177790475541</v>
      </c>
      <c r="CG26" s="40">
        <f t="shared" ref="CG26" si="840">IF(AND(CG24&lt;&gt;0,CG25&lt;&gt;0),(CG24-CG25)/CG25,IF(AND(CG24=0,CG25=0),"",IF(AND(CG24="",CG25=""),"",IF(AND(CG24=0,CG25=""),"", IF(AND(CG24="",CG25=0),"",1)))))</f>
        <v>17.518259064755505</v>
      </c>
      <c r="CH26" s="40" t="str">
        <f t="shared" ref="CH26" si="841">IF(AND(CH24&lt;&gt;0,CH25&lt;&gt;0),(CH24-CH25)/CH25,IF(AND(CH24=0,CH25=0),"",IF(AND(CH24="",CH25=""),"",IF(AND(CH24=0,CH25=""),"", IF(AND(CH24="",CH25=0),"",1)))))</f>
        <v/>
      </c>
      <c r="CI26" s="40" t="str">
        <f t="shared" ref="CI26" si="842">IF(AND(CI24&lt;&gt;0,CI25&lt;&gt;0),(CI24-CI25)/CI25,IF(AND(CI24=0,CI25=0),"",IF(AND(CI24="",CI25=""),"",IF(AND(CI24=0,CI25=""),"", IF(AND(CI24="",CI25=0),"",1)))))</f>
        <v/>
      </c>
      <c r="CJ26" s="40" t="str">
        <f t="shared" ref="CJ26" si="843">IF(AND(CJ24&lt;&gt;0,CJ25&lt;&gt;0),(CJ24-CJ25)/CJ25,IF(AND(CJ24=0,CJ25=0),"",IF(AND(CJ24="",CJ25=""),"",IF(AND(CJ24=0,CJ25=""),"", IF(AND(CJ24="",CJ25=0),"",1)))))</f>
        <v/>
      </c>
      <c r="CK26" s="40" t="str">
        <f t="shared" ref="CK26" si="844">IF(AND(CK24&lt;&gt;0,CK25&lt;&gt;0),(CK24-CK25)/CK25,IF(AND(CK24=0,CK25=0),"",IF(AND(CK24="",CK25=""),"",IF(AND(CK24=0,CK25=""),"", IF(AND(CK24="",CK25=0),"",1)))))</f>
        <v/>
      </c>
      <c r="CL26" s="40" t="str">
        <f t="shared" ref="CL26" si="845">IF(AND(CL24&lt;&gt;0,CL25&lt;&gt;0),(CL24-CL25)/CL25,IF(AND(CL24=0,CL25=0),"",IF(AND(CL24="",CL25=""),"",IF(AND(CL24=0,CL25=""),"", IF(AND(CL24="",CL25=0),"",1)))))</f>
        <v/>
      </c>
      <c r="CM26" s="40" t="str">
        <f t="shared" ref="CM26" si="846">IF(AND(CM24&lt;&gt;0,CM25&lt;&gt;0),(CM24-CM25)/CM25,IF(AND(CM24=0,CM25=0),"",IF(AND(CM24="",CM25=""),"",IF(AND(CM24=0,CM25=""),"", IF(AND(CM24="",CM25=0),"",1)))))</f>
        <v/>
      </c>
      <c r="CN26" s="40" t="str">
        <f t="shared" ref="CN26" si="847">IF(AND(CN24&lt;&gt;0,CN25&lt;&gt;0),(CN24-CN25)/CN25,IF(AND(CN24=0,CN25=0),"",IF(AND(CN24="",CN25=""),"",IF(AND(CN24=0,CN25=""),"", IF(AND(CN24="",CN25=0),"",1)))))</f>
        <v/>
      </c>
      <c r="CO26" s="40" t="str">
        <f t="shared" ref="CO26" si="848">IF(AND(CO24&lt;&gt;0,CO25&lt;&gt;0),(CO24-CO25)/CO25,IF(AND(CO24=0,CO25=0),"",IF(AND(CO24="",CO25=""),"",IF(AND(CO24=0,CO25=""),"", IF(AND(CO24="",CO25=0),"",1)))))</f>
        <v/>
      </c>
      <c r="CP26" s="40" t="str">
        <f t="shared" ref="CP26" si="849">IF(AND(CP24&lt;&gt;0,CP25&lt;&gt;0),(CP24-CP25)/CP25,IF(AND(CP24=0,CP25=0),"",IF(AND(CP24="",CP25=""),"",IF(AND(CP24=0,CP25=""),"", IF(AND(CP24="",CP25=0),"",1)))))</f>
        <v/>
      </c>
      <c r="CQ26" s="40" t="str">
        <f t="shared" ref="CQ26" si="850">IF(AND(CQ24&lt;&gt;0,CQ25&lt;&gt;0),(CQ24-CQ25)/CQ25,IF(AND(CQ24=0,CQ25=0),"",IF(AND(CQ24="",CQ25=""),"",IF(AND(CQ24=0,CQ25=""),"", IF(AND(CQ24="",CQ25=0),"",1)))))</f>
        <v/>
      </c>
      <c r="CR26" s="40" t="str">
        <f t="shared" ref="CR26" si="851">IF(AND(CR24&lt;&gt;0,CR25&lt;&gt;0),(CR24-CR25)/CR25,IF(AND(CR24=0,CR25=0),"",IF(AND(CR24="",CR25=""),"",IF(AND(CR24=0,CR25=""),"", IF(AND(CR24="",CR25=0),"",1)))))</f>
        <v/>
      </c>
      <c r="CS26" s="40" t="str">
        <f t="shared" ref="CS26" si="852">IF(AND(CS24&lt;&gt;0,CS25&lt;&gt;0),(CS24-CS25)/CS25,IF(AND(CS24=0,CS25=0),"",IF(AND(CS24="",CS25=""),"",IF(AND(CS24=0,CS25=""),"", IF(AND(CS24="",CS25=0),"",1)))))</f>
        <v/>
      </c>
      <c r="CT26" s="40" t="str">
        <f t="shared" ref="CT26" si="853">IF(AND(CT24&lt;&gt;0,CT25&lt;&gt;0),(CT24-CT25)/CT25,IF(AND(CT24=0,CT25=0),"",IF(AND(CT24="",CT25=""),"",IF(AND(CT24=0,CT25=""),"", IF(AND(CT24="",CT25=0),"",1)))))</f>
        <v/>
      </c>
      <c r="CU26" s="40" t="str">
        <f t="shared" ref="CU26" si="854">IF(AND(CU24&lt;&gt;0,CU25&lt;&gt;0),(CU24-CU25)/CU25,IF(AND(CU24=0,CU25=0),"",IF(AND(CU24="",CU25=""),"",IF(AND(CU24=0,CU25=""),"", IF(AND(CU24="",CU25=0),"",1)))))</f>
        <v/>
      </c>
      <c r="CV26" s="40" t="str">
        <f t="shared" ref="CV26:DJ26" si="855">IF(AND(CV24&lt;&gt;0,CV25&lt;&gt;0),(CV24-CV25)/CV25,IF(AND(CV24=0,CV25=0),"",IF(AND(CV24="",CV25=""),"",IF(AND(CV24=0,CV25=""),"", IF(AND(CV24="",CV25=0),"",1)))))</f>
        <v/>
      </c>
      <c r="CW26" s="40" t="str">
        <f t="shared" si="855"/>
        <v/>
      </c>
      <c r="CX26" s="40" t="str">
        <f t="shared" si="855"/>
        <v/>
      </c>
      <c r="CY26" s="40" t="str">
        <f t="shared" si="855"/>
        <v/>
      </c>
      <c r="CZ26" s="40" t="str">
        <f t="shared" si="855"/>
        <v/>
      </c>
      <c r="DA26" s="40" t="str">
        <f t="shared" si="855"/>
        <v/>
      </c>
      <c r="DB26" s="40" t="str">
        <f t="shared" si="855"/>
        <v/>
      </c>
      <c r="DC26" s="40" t="str">
        <f t="shared" si="855"/>
        <v/>
      </c>
      <c r="DD26" s="40" t="str">
        <f t="shared" si="855"/>
        <v/>
      </c>
      <c r="DE26" s="40" t="str">
        <f t="shared" si="855"/>
        <v/>
      </c>
      <c r="DF26" s="40" t="str">
        <f t="shared" si="855"/>
        <v/>
      </c>
      <c r="DG26" s="40" t="str">
        <f t="shared" si="855"/>
        <v/>
      </c>
      <c r="DH26" s="40" t="str">
        <f t="shared" si="855"/>
        <v/>
      </c>
      <c r="DI26" s="40" t="str">
        <f t="shared" si="855"/>
        <v/>
      </c>
      <c r="DJ26" s="40" t="str">
        <f t="shared" si="855"/>
        <v/>
      </c>
      <c r="DK26" s="41">
        <f t="shared" ref="DK26:HU26" si="856">IF(AND(DK24&lt;&gt;0,DK25&lt;&gt;0),(DK24-DK25)/DK25,IF(AND(DK24=0,DK25=0),"",IF(AND(DK24="",DK25=""),"",IF(AND(DK24=0,DK25=""),"", IF(AND(DK24="",DK25=0),"",1)))))</f>
        <v>0.60462930386655267</v>
      </c>
      <c r="DL26" s="72" t="str">
        <f t="shared" si="856"/>
        <v/>
      </c>
      <c r="DM26" s="73" t="str">
        <f t="shared" si="856"/>
        <v/>
      </c>
      <c r="DN26" s="73" t="str">
        <f t="shared" si="856"/>
        <v/>
      </c>
      <c r="DO26" s="73" t="str">
        <f t="shared" si="856"/>
        <v/>
      </c>
      <c r="DP26" s="73" t="str">
        <f t="shared" si="856"/>
        <v/>
      </c>
      <c r="DQ26" s="73" t="str">
        <f t="shared" si="856"/>
        <v/>
      </c>
      <c r="DR26" s="73" t="str">
        <f t="shared" si="856"/>
        <v/>
      </c>
      <c r="DS26" s="73" t="str">
        <f t="shared" si="856"/>
        <v/>
      </c>
      <c r="DT26" s="73" t="str">
        <f t="shared" si="856"/>
        <v/>
      </c>
      <c r="DU26" s="73" t="str">
        <f t="shared" si="856"/>
        <v/>
      </c>
      <c r="DV26" s="73" t="str">
        <f t="shared" si="856"/>
        <v/>
      </c>
      <c r="DW26" s="73" t="str">
        <f t="shared" si="856"/>
        <v/>
      </c>
      <c r="DX26" s="73" t="str">
        <f t="shared" si="856"/>
        <v/>
      </c>
      <c r="DY26" s="73" t="str">
        <f t="shared" si="856"/>
        <v/>
      </c>
      <c r="DZ26" s="73" t="str">
        <f t="shared" si="856"/>
        <v/>
      </c>
      <c r="EA26" s="73" t="str">
        <f t="shared" si="856"/>
        <v/>
      </c>
      <c r="EB26" s="73" t="str">
        <f t="shared" si="856"/>
        <v/>
      </c>
      <c r="EC26" s="73" t="str">
        <f t="shared" si="856"/>
        <v/>
      </c>
      <c r="ED26" s="73" t="str">
        <f t="shared" si="856"/>
        <v/>
      </c>
      <c r="EE26" s="73" t="str">
        <f t="shared" si="856"/>
        <v/>
      </c>
      <c r="EF26" s="73" t="str">
        <f t="shared" si="856"/>
        <v/>
      </c>
      <c r="EG26" s="73" t="str">
        <f t="shared" si="856"/>
        <v/>
      </c>
      <c r="EH26" s="73" t="str">
        <f t="shared" si="856"/>
        <v/>
      </c>
      <c r="EI26" s="73" t="str">
        <f t="shared" ref="EI26:EV26" si="857">IF(AND(EI24&lt;&gt;0,EI25&lt;&gt;0),(EI24-EI25)/EI25,IF(AND(EI24=0,EI25=0),"",IF(AND(EI24="",EI25=""),"",IF(AND(EI24=0,EI25=""),"", IF(AND(EI24="",EI25=0),"",1)))))</f>
        <v/>
      </c>
      <c r="EJ26" s="73" t="str">
        <f t="shared" si="857"/>
        <v/>
      </c>
      <c r="EK26" s="73" t="str">
        <f t="shared" si="857"/>
        <v/>
      </c>
      <c r="EL26" s="73" t="str">
        <f t="shared" si="857"/>
        <v/>
      </c>
      <c r="EM26" s="73" t="str">
        <f t="shared" si="857"/>
        <v/>
      </c>
      <c r="EN26" s="73" t="str">
        <f t="shared" si="857"/>
        <v/>
      </c>
      <c r="EO26" s="73" t="str">
        <f t="shared" si="857"/>
        <v/>
      </c>
      <c r="EP26" s="73" t="str">
        <f t="shared" si="857"/>
        <v/>
      </c>
      <c r="EQ26" s="73" t="str">
        <f t="shared" si="857"/>
        <v/>
      </c>
      <c r="ER26" s="73" t="str">
        <f t="shared" si="857"/>
        <v/>
      </c>
      <c r="ES26" s="73" t="str">
        <f t="shared" si="857"/>
        <v/>
      </c>
      <c r="ET26" s="73" t="str">
        <f t="shared" si="857"/>
        <v/>
      </c>
      <c r="EU26" s="73" t="str">
        <f t="shared" si="857"/>
        <v/>
      </c>
      <c r="EV26" s="73" t="str">
        <f t="shared" si="857"/>
        <v/>
      </c>
      <c r="EW26" s="74" t="str">
        <f t="shared" si="856"/>
        <v/>
      </c>
      <c r="EX26" s="72" t="str">
        <f t="shared" ref="EX26:GI26" si="858">IF(AND(EX24&lt;&gt;0,EX25&lt;&gt;0),(EX24-EX25)/EX25,IF(AND(EX24=0,EX25=0),"",IF(AND(EX24="",EX25=""),"",IF(AND(EX24=0,EX25=""),"", IF(AND(EX24="",EX25=0),"",1)))))</f>
        <v/>
      </c>
      <c r="EY26" s="73" t="str">
        <f t="shared" si="858"/>
        <v/>
      </c>
      <c r="EZ26" s="73" t="str">
        <f t="shared" si="858"/>
        <v/>
      </c>
      <c r="FA26" s="73" t="str">
        <f t="shared" si="858"/>
        <v/>
      </c>
      <c r="FB26" s="73" t="str">
        <f t="shared" si="858"/>
        <v/>
      </c>
      <c r="FC26" s="73" t="str">
        <f t="shared" si="858"/>
        <v/>
      </c>
      <c r="FD26" s="73" t="str">
        <f t="shared" si="858"/>
        <v/>
      </c>
      <c r="FE26" s="73" t="str">
        <f t="shared" si="858"/>
        <v/>
      </c>
      <c r="FF26" s="73" t="str">
        <f t="shared" si="858"/>
        <v/>
      </c>
      <c r="FG26" s="73" t="str">
        <f t="shared" si="858"/>
        <v/>
      </c>
      <c r="FH26" s="73" t="str">
        <f t="shared" si="858"/>
        <v/>
      </c>
      <c r="FI26" s="73" t="str">
        <f t="shared" si="858"/>
        <v/>
      </c>
      <c r="FJ26" s="73" t="str">
        <f t="shared" si="858"/>
        <v/>
      </c>
      <c r="FK26" s="73" t="str">
        <f t="shared" si="858"/>
        <v/>
      </c>
      <c r="FL26" s="73" t="str">
        <f t="shared" si="858"/>
        <v/>
      </c>
      <c r="FM26" s="73" t="str">
        <f t="shared" si="858"/>
        <v/>
      </c>
      <c r="FN26" s="73" t="str">
        <f t="shared" si="858"/>
        <v/>
      </c>
      <c r="FO26" s="73" t="str">
        <f t="shared" si="858"/>
        <v/>
      </c>
      <c r="FP26" s="73" t="str">
        <f t="shared" si="858"/>
        <v/>
      </c>
      <c r="FQ26" s="73" t="str">
        <f t="shared" si="858"/>
        <v/>
      </c>
      <c r="FR26" s="73" t="str">
        <f t="shared" si="858"/>
        <v/>
      </c>
      <c r="FS26" s="73" t="str">
        <f t="shared" si="858"/>
        <v/>
      </c>
      <c r="FT26" s="73" t="str">
        <f t="shared" si="858"/>
        <v/>
      </c>
      <c r="FU26" s="73" t="str">
        <f t="shared" ref="FU26:GH26" si="859">IF(AND(FU24&lt;&gt;0,FU25&lt;&gt;0),(FU24-FU25)/FU25,IF(AND(FU24=0,FU25=0),"",IF(AND(FU24="",FU25=""),"",IF(AND(FU24=0,FU25=""),"", IF(AND(FU24="",FU25=0),"",1)))))</f>
        <v/>
      </c>
      <c r="FV26" s="73" t="str">
        <f t="shared" si="859"/>
        <v/>
      </c>
      <c r="FW26" s="73" t="str">
        <f t="shared" si="859"/>
        <v/>
      </c>
      <c r="FX26" s="73" t="str">
        <f t="shared" si="859"/>
        <v/>
      </c>
      <c r="FY26" s="73" t="str">
        <f t="shared" si="859"/>
        <v/>
      </c>
      <c r="FZ26" s="73" t="str">
        <f t="shared" si="859"/>
        <v/>
      </c>
      <c r="GA26" s="73" t="str">
        <f t="shared" si="859"/>
        <v/>
      </c>
      <c r="GB26" s="73" t="str">
        <f t="shared" si="859"/>
        <v/>
      </c>
      <c r="GC26" s="73" t="str">
        <f t="shared" si="859"/>
        <v/>
      </c>
      <c r="GD26" s="73" t="str">
        <f t="shared" si="859"/>
        <v/>
      </c>
      <c r="GE26" s="73" t="str">
        <f t="shared" si="859"/>
        <v/>
      </c>
      <c r="GF26" s="73" t="str">
        <f t="shared" si="859"/>
        <v/>
      </c>
      <c r="GG26" s="73" t="str">
        <f t="shared" si="859"/>
        <v/>
      </c>
      <c r="GH26" s="73" t="str">
        <f t="shared" si="859"/>
        <v/>
      </c>
      <c r="GI26" s="74" t="str">
        <f t="shared" si="858"/>
        <v/>
      </c>
      <c r="GJ26" s="72" t="str">
        <f t="shared" si="856"/>
        <v/>
      </c>
      <c r="GK26" s="73" t="str">
        <f t="shared" si="856"/>
        <v/>
      </c>
      <c r="GL26" s="73" t="str">
        <f t="shared" si="856"/>
        <v/>
      </c>
      <c r="GM26" s="73" t="str">
        <f t="shared" si="856"/>
        <v/>
      </c>
      <c r="GN26" s="73" t="str">
        <f t="shared" si="856"/>
        <v/>
      </c>
      <c r="GO26" s="73" t="str">
        <f t="shared" si="856"/>
        <v/>
      </c>
      <c r="GP26" s="73" t="str">
        <f t="shared" si="856"/>
        <v/>
      </c>
      <c r="GQ26" s="73" t="str">
        <f t="shared" si="856"/>
        <v/>
      </c>
      <c r="GR26" s="73" t="str">
        <f t="shared" si="856"/>
        <v/>
      </c>
      <c r="GS26" s="73" t="str">
        <f t="shared" si="856"/>
        <v/>
      </c>
      <c r="GT26" s="73" t="str">
        <f t="shared" si="856"/>
        <v/>
      </c>
      <c r="GU26" s="73" t="str">
        <f t="shared" si="856"/>
        <v/>
      </c>
      <c r="GV26" s="73" t="str">
        <f t="shared" si="856"/>
        <v/>
      </c>
      <c r="GW26" s="73" t="str">
        <f t="shared" si="856"/>
        <v/>
      </c>
      <c r="GX26" s="73" t="str">
        <f t="shared" si="856"/>
        <v/>
      </c>
      <c r="GY26" s="73" t="str">
        <f t="shared" si="856"/>
        <v/>
      </c>
      <c r="GZ26" s="73" t="str">
        <f t="shared" si="856"/>
        <v/>
      </c>
      <c r="HA26" s="73" t="str">
        <f t="shared" si="856"/>
        <v/>
      </c>
      <c r="HB26" s="73" t="str">
        <f t="shared" si="856"/>
        <v/>
      </c>
      <c r="HC26" s="73" t="str">
        <f t="shared" si="856"/>
        <v/>
      </c>
      <c r="HD26" s="73" t="str">
        <f t="shared" si="856"/>
        <v/>
      </c>
      <c r="HE26" s="73" t="str">
        <f t="shared" si="856"/>
        <v/>
      </c>
      <c r="HF26" s="73" t="str">
        <f t="shared" si="856"/>
        <v/>
      </c>
      <c r="HG26" s="73" t="str">
        <f t="shared" ref="HG26:HT26" si="860">IF(AND(HG24&lt;&gt;0,HG25&lt;&gt;0),(HG24-HG25)/HG25,IF(AND(HG24=0,HG25=0),"",IF(AND(HG24="",HG25=""),"",IF(AND(HG24=0,HG25=""),"", IF(AND(HG24="",HG25=0),"",1)))))</f>
        <v/>
      </c>
      <c r="HH26" s="73" t="str">
        <f t="shared" si="860"/>
        <v/>
      </c>
      <c r="HI26" s="73" t="str">
        <f t="shared" si="860"/>
        <v/>
      </c>
      <c r="HJ26" s="73" t="str">
        <f t="shared" si="860"/>
        <v/>
      </c>
      <c r="HK26" s="73" t="str">
        <f t="shared" si="860"/>
        <v/>
      </c>
      <c r="HL26" s="73" t="str">
        <f t="shared" si="860"/>
        <v/>
      </c>
      <c r="HM26" s="73" t="str">
        <f t="shared" si="860"/>
        <v/>
      </c>
      <c r="HN26" s="73" t="str">
        <f t="shared" si="860"/>
        <v/>
      </c>
      <c r="HO26" s="73" t="str">
        <f t="shared" si="860"/>
        <v/>
      </c>
      <c r="HP26" s="73" t="str">
        <f t="shared" si="860"/>
        <v/>
      </c>
      <c r="HQ26" s="73" t="str">
        <f t="shared" si="860"/>
        <v/>
      </c>
      <c r="HR26" s="73" t="str">
        <f t="shared" si="860"/>
        <v/>
      </c>
      <c r="HS26" s="73" t="str">
        <f t="shared" si="860"/>
        <v/>
      </c>
      <c r="HT26" s="73" t="str">
        <f t="shared" si="860"/>
        <v/>
      </c>
      <c r="HU26" s="74" t="str">
        <f t="shared" si="856"/>
        <v/>
      </c>
      <c r="HV26" s="39" t="str">
        <f t="shared" ref="HV26" si="861">IF(AND(HV24&lt;&gt;0,HV25&lt;&gt;0),(HV24-HV25)/HV25,IF(AND(HV24=0,HV25=0),"",IF(AND(HV24="",HV25=""),"",IF(AND(HV24=0,HV25=""),"", IF(AND(HV24="",HV25=0),"",1)))))</f>
        <v/>
      </c>
      <c r="HW26" s="40" t="str">
        <f t="shared" ref="HW26" si="862">IF(AND(HW24&lt;&gt;0,HW25&lt;&gt;0),(HW24-HW25)/HW25,IF(AND(HW24=0,HW25=0),"",IF(AND(HW24="",HW25=""),"",IF(AND(HW24=0,HW25=""),"", IF(AND(HW24="",HW25=0),"",1)))))</f>
        <v/>
      </c>
      <c r="HX26" s="40" t="str">
        <f t="shared" ref="HX26" si="863">IF(AND(HX24&lt;&gt;0,HX25&lt;&gt;0),(HX24-HX25)/HX25,IF(AND(HX24=0,HX25=0),"",IF(AND(HX24="",HX25=""),"",IF(AND(HX24=0,HX25=""),"", IF(AND(HX24="",HX25=0),"",1)))))</f>
        <v/>
      </c>
      <c r="HY26" s="40" t="str">
        <f t="shared" ref="HY26" si="864">IF(AND(HY24&lt;&gt;0,HY25&lt;&gt;0),(HY24-HY25)/HY25,IF(AND(HY24=0,HY25=0),"",IF(AND(HY24="",HY25=""),"",IF(AND(HY24=0,HY25=""),"", IF(AND(HY24="",HY25=0),"",1)))))</f>
        <v/>
      </c>
      <c r="HZ26" s="40" t="str">
        <f t="shared" ref="HZ26" si="865">IF(AND(HZ24&lt;&gt;0,HZ25&lt;&gt;0),(HZ24-HZ25)/HZ25,IF(AND(HZ24=0,HZ25=0),"",IF(AND(HZ24="",HZ25=""),"",IF(AND(HZ24=0,HZ25=""),"", IF(AND(HZ24="",HZ25=0),"",1)))))</f>
        <v/>
      </c>
      <c r="IA26" s="40" t="str">
        <f t="shared" ref="IA26" si="866">IF(AND(IA24&lt;&gt;0,IA25&lt;&gt;0),(IA24-IA25)/IA25,IF(AND(IA24=0,IA25=0),"",IF(AND(IA24="",IA25=""),"",IF(AND(IA24=0,IA25=""),"", IF(AND(IA24="",IA25=0),"",1)))))</f>
        <v/>
      </c>
      <c r="IB26" s="40" t="str">
        <f t="shared" ref="IB26" si="867">IF(AND(IB24&lt;&gt;0,IB25&lt;&gt;0),(IB24-IB25)/IB25,IF(AND(IB24=0,IB25=0),"",IF(AND(IB24="",IB25=""),"",IF(AND(IB24=0,IB25=""),"", IF(AND(IB24="",IB25=0),"",1)))))</f>
        <v/>
      </c>
      <c r="IC26" s="40" t="str">
        <f t="shared" ref="IC26" si="868">IF(AND(IC24&lt;&gt;0,IC25&lt;&gt;0),(IC24-IC25)/IC25,IF(AND(IC24=0,IC25=0),"",IF(AND(IC24="",IC25=""),"",IF(AND(IC24=0,IC25=""),"", IF(AND(IC24="",IC25=0),"",1)))))</f>
        <v/>
      </c>
      <c r="ID26" s="40" t="str">
        <f t="shared" ref="ID26" si="869">IF(AND(ID24&lt;&gt;0,ID25&lt;&gt;0),(ID24-ID25)/ID25,IF(AND(ID24=0,ID25=0),"",IF(AND(ID24="",ID25=""),"",IF(AND(ID24=0,ID25=""),"", IF(AND(ID24="",ID25=0),"",1)))))</f>
        <v/>
      </c>
      <c r="IE26" s="40" t="str">
        <f t="shared" ref="IE26" si="870">IF(AND(IE24&lt;&gt;0,IE25&lt;&gt;0),(IE24-IE25)/IE25,IF(AND(IE24=0,IE25=0),"",IF(AND(IE24="",IE25=""),"",IF(AND(IE24=0,IE25=""),"", IF(AND(IE24="",IE25=0),"",1)))))</f>
        <v/>
      </c>
      <c r="IF26" s="40" t="str">
        <f t="shared" ref="IF26" si="871">IF(AND(IF24&lt;&gt;0,IF25&lt;&gt;0),(IF24-IF25)/IF25,IF(AND(IF24=0,IF25=0),"",IF(AND(IF24="",IF25=""),"",IF(AND(IF24=0,IF25=""),"", IF(AND(IF24="",IF25=0),"",1)))))</f>
        <v/>
      </c>
      <c r="IG26" s="40" t="str">
        <f t="shared" ref="IG26" si="872">IF(AND(IG24&lt;&gt;0,IG25&lt;&gt;0),(IG24-IG25)/IG25,IF(AND(IG24=0,IG25=0),"",IF(AND(IG24="",IG25=""),"",IF(AND(IG24=0,IG25=""),"", IF(AND(IG24="",IG25=0),"",1)))))</f>
        <v/>
      </c>
      <c r="IH26" s="40" t="str">
        <f t="shared" ref="IH26" si="873">IF(AND(IH24&lt;&gt;0,IH25&lt;&gt;0),(IH24-IH25)/IH25,IF(AND(IH24=0,IH25=0),"",IF(AND(IH24="",IH25=""),"",IF(AND(IH24=0,IH25=""),"", IF(AND(IH24="",IH25=0),"",1)))))</f>
        <v/>
      </c>
      <c r="II26" s="40" t="str">
        <f t="shared" ref="II26" si="874">IF(AND(II24&lt;&gt;0,II25&lt;&gt;0),(II24-II25)/II25,IF(AND(II24=0,II25=0),"",IF(AND(II24="",II25=""),"",IF(AND(II24=0,II25=""),"", IF(AND(II24="",II25=0),"",1)))))</f>
        <v/>
      </c>
      <c r="IJ26" s="40" t="str">
        <f t="shared" ref="IJ26" si="875">IF(AND(IJ24&lt;&gt;0,IJ25&lt;&gt;0),(IJ24-IJ25)/IJ25,IF(AND(IJ24=0,IJ25=0),"",IF(AND(IJ24="",IJ25=""),"",IF(AND(IJ24=0,IJ25=""),"", IF(AND(IJ24="",IJ25=0),"",1)))))</f>
        <v/>
      </c>
      <c r="IK26" s="40" t="str">
        <f t="shared" ref="IK26" si="876">IF(AND(IK24&lt;&gt;0,IK25&lt;&gt;0),(IK24-IK25)/IK25,IF(AND(IK24=0,IK25=0),"",IF(AND(IK24="",IK25=""),"",IF(AND(IK24=0,IK25=""),"", IF(AND(IK24="",IK25=0),"",1)))))</f>
        <v/>
      </c>
      <c r="IL26" s="40" t="str">
        <f t="shared" ref="IL26" si="877">IF(AND(IL24&lt;&gt;0,IL25&lt;&gt;0),(IL24-IL25)/IL25,IF(AND(IL24=0,IL25=0),"",IF(AND(IL24="",IL25=""),"",IF(AND(IL24=0,IL25=""),"", IF(AND(IL24="",IL25=0),"",1)))))</f>
        <v/>
      </c>
      <c r="IM26" s="40" t="str">
        <f t="shared" ref="IM26" si="878">IF(AND(IM24&lt;&gt;0,IM25&lt;&gt;0),(IM24-IM25)/IM25,IF(AND(IM24=0,IM25=0),"",IF(AND(IM24="",IM25=""),"",IF(AND(IM24=0,IM25=""),"", IF(AND(IM24="",IM25=0),"",1)))))</f>
        <v/>
      </c>
      <c r="IN26" s="40" t="str">
        <f t="shared" ref="IN26" si="879">IF(AND(IN24&lt;&gt;0,IN25&lt;&gt;0),(IN24-IN25)/IN25,IF(AND(IN24=0,IN25=0),"",IF(AND(IN24="",IN25=""),"",IF(AND(IN24=0,IN25=""),"", IF(AND(IN24="",IN25=0),"",1)))))</f>
        <v/>
      </c>
      <c r="IO26" s="40" t="str">
        <f t="shared" ref="IO26" si="880">IF(AND(IO24&lt;&gt;0,IO25&lt;&gt;0),(IO24-IO25)/IO25,IF(AND(IO24=0,IO25=0),"",IF(AND(IO24="",IO25=""),"",IF(AND(IO24=0,IO25=""),"", IF(AND(IO24="",IO25=0),"",1)))))</f>
        <v/>
      </c>
      <c r="IP26" s="40" t="str">
        <f t="shared" ref="IP26" si="881">IF(AND(IP24&lt;&gt;0,IP25&lt;&gt;0),(IP24-IP25)/IP25,IF(AND(IP24=0,IP25=0),"",IF(AND(IP24="",IP25=""),"",IF(AND(IP24=0,IP25=""),"", IF(AND(IP24="",IP25=0),"",1)))))</f>
        <v/>
      </c>
      <c r="IQ26" s="40" t="str">
        <f t="shared" ref="IQ26" si="882">IF(AND(IQ24&lt;&gt;0,IQ25&lt;&gt;0),(IQ24-IQ25)/IQ25,IF(AND(IQ24=0,IQ25=0),"",IF(AND(IQ24="",IQ25=""),"",IF(AND(IQ24=0,IQ25=""),"", IF(AND(IQ24="",IQ25=0),"",1)))))</f>
        <v/>
      </c>
      <c r="IR26" s="40" t="str">
        <f t="shared" ref="IR26:JF26" si="883">IF(AND(IR24&lt;&gt;0,IR25&lt;&gt;0),(IR24-IR25)/IR25,IF(AND(IR24=0,IR25=0),"",IF(AND(IR24="",IR25=""),"",IF(AND(IR24=0,IR25=""),"", IF(AND(IR24="",IR25=0),"",1)))))</f>
        <v/>
      </c>
      <c r="IS26" s="40" t="str">
        <f t="shared" si="883"/>
        <v/>
      </c>
      <c r="IT26" s="40" t="str">
        <f t="shared" si="883"/>
        <v/>
      </c>
      <c r="IU26" s="40" t="str">
        <f t="shared" si="883"/>
        <v/>
      </c>
      <c r="IV26" s="40" t="str">
        <f t="shared" si="883"/>
        <v/>
      </c>
      <c r="IW26" s="40" t="str">
        <f t="shared" si="883"/>
        <v/>
      </c>
      <c r="IX26" s="40" t="str">
        <f t="shared" si="883"/>
        <v/>
      </c>
      <c r="IY26" s="40" t="str">
        <f t="shared" si="883"/>
        <v/>
      </c>
      <c r="IZ26" s="40" t="str">
        <f t="shared" si="883"/>
        <v/>
      </c>
      <c r="JA26" s="40" t="str">
        <f t="shared" si="883"/>
        <v/>
      </c>
      <c r="JB26" s="40" t="str">
        <f t="shared" si="883"/>
        <v/>
      </c>
      <c r="JC26" s="40" t="str">
        <f t="shared" si="883"/>
        <v/>
      </c>
      <c r="JD26" s="40" t="str">
        <f t="shared" si="883"/>
        <v/>
      </c>
      <c r="JE26" s="40" t="str">
        <f t="shared" si="883"/>
        <v/>
      </c>
      <c r="JF26" s="40" t="str">
        <f t="shared" si="883"/>
        <v/>
      </c>
      <c r="JG26" s="41" t="str">
        <f t="shared" ref="JG26:NQ26" si="884">IF(AND(JG24&lt;&gt;0,JG25&lt;&gt;0),(JG24-JG25)/JG25,IF(AND(JG24=0,JG25=0),"",IF(AND(JG24="",JG25=""),"",IF(AND(JG24=0,JG25=""),"", IF(AND(JG24="",JG25=0),"",1)))))</f>
        <v/>
      </c>
      <c r="JH26" s="72" t="str">
        <f t="shared" si="884"/>
        <v/>
      </c>
      <c r="JI26" s="73" t="str">
        <f t="shared" si="884"/>
        <v/>
      </c>
      <c r="JJ26" s="73" t="str">
        <f t="shared" si="884"/>
        <v/>
      </c>
      <c r="JK26" s="73" t="str">
        <f t="shared" si="884"/>
        <v/>
      </c>
      <c r="JL26" s="73" t="str">
        <f t="shared" si="884"/>
        <v/>
      </c>
      <c r="JM26" s="73" t="str">
        <f t="shared" si="884"/>
        <v/>
      </c>
      <c r="JN26" s="73" t="str">
        <f t="shared" si="884"/>
        <v/>
      </c>
      <c r="JO26" s="73" t="str">
        <f t="shared" si="884"/>
        <v/>
      </c>
      <c r="JP26" s="73" t="str">
        <f t="shared" si="884"/>
        <v/>
      </c>
      <c r="JQ26" s="73" t="str">
        <f t="shared" si="884"/>
        <v/>
      </c>
      <c r="JR26" s="73" t="str">
        <f t="shared" si="884"/>
        <v/>
      </c>
      <c r="JS26" s="73" t="str">
        <f t="shared" si="884"/>
        <v/>
      </c>
      <c r="JT26" s="73" t="str">
        <f t="shared" si="884"/>
        <v/>
      </c>
      <c r="JU26" s="73" t="str">
        <f t="shared" si="884"/>
        <v/>
      </c>
      <c r="JV26" s="73" t="str">
        <f t="shared" si="884"/>
        <v/>
      </c>
      <c r="JW26" s="73" t="str">
        <f t="shared" si="884"/>
        <v/>
      </c>
      <c r="JX26" s="73" t="str">
        <f t="shared" si="884"/>
        <v/>
      </c>
      <c r="JY26" s="73" t="str">
        <f t="shared" si="884"/>
        <v/>
      </c>
      <c r="JZ26" s="73" t="str">
        <f t="shared" si="884"/>
        <v/>
      </c>
      <c r="KA26" s="73" t="str">
        <f t="shared" si="884"/>
        <v/>
      </c>
      <c r="KB26" s="73" t="str">
        <f t="shared" si="884"/>
        <v/>
      </c>
      <c r="KC26" s="73" t="str">
        <f t="shared" si="884"/>
        <v/>
      </c>
      <c r="KD26" s="73" t="str">
        <f t="shared" si="884"/>
        <v/>
      </c>
      <c r="KE26" s="73" t="str">
        <f t="shared" ref="KE26:KR26" si="885">IF(AND(KE24&lt;&gt;0,KE25&lt;&gt;0),(KE24-KE25)/KE25,IF(AND(KE24=0,KE25=0),"",IF(AND(KE24="",KE25=""),"",IF(AND(KE24=0,KE25=""),"", IF(AND(KE24="",KE25=0),"",1)))))</f>
        <v/>
      </c>
      <c r="KF26" s="73" t="str">
        <f t="shared" si="885"/>
        <v/>
      </c>
      <c r="KG26" s="73" t="str">
        <f t="shared" si="885"/>
        <v/>
      </c>
      <c r="KH26" s="73" t="str">
        <f t="shared" si="885"/>
        <v/>
      </c>
      <c r="KI26" s="73" t="str">
        <f t="shared" si="885"/>
        <v/>
      </c>
      <c r="KJ26" s="73" t="str">
        <f t="shared" si="885"/>
        <v/>
      </c>
      <c r="KK26" s="73" t="str">
        <f t="shared" si="885"/>
        <v/>
      </c>
      <c r="KL26" s="73" t="str">
        <f t="shared" si="885"/>
        <v/>
      </c>
      <c r="KM26" s="73" t="str">
        <f t="shared" si="885"/>
        <v/>
      </c>
      <c r="KN26" s="73" t="str">
        <f t="shared" si="885"/>
        <v/>
      </c>
      <c r="KO26" s="73" t="str">
        <f t="shared" si="885"/>
        <v/>
      </c>
      <c r="KP26" s="73" t="str">
        <f t="shared" si="885"/>
        <v/>
      </c>
      <c r="KQ26" s="73" t="str">
        <f t="shared" si="885"/>
        <v/>
      </c>
      <c r="KR26" s="73" t="str">
        <f t="shared" si="885"/>
        <v/>
      </c>
      <c r="KS26" s="74" t="str">
        <f t="shared" si="884"/>
        <v/>
      </c>
      <c r="KT26" s="72" t="str">
        <f t="shared" ref="KT26:ME26" si="886">IF(AND(KT24&lt;&gt;0,KT25&lt;&gt;0),(KT24-KT25)/KT25,IF(AND(KT24=0,KT25=0),"",IF(AND(KT24="",KT25=""),"",IF(AND(KT24=0,KT25=""),"", IF(AND(KT24="",KT25=0),"",1)))))</f>
        <v/>
      </c>
      <c r="KU26" s="73" t="str">
        <f t="shared" si="886"/>
        <v/>
      </c>
      <c r="KV26" s="73" t="str">
        <f t="shared" si="886"/>
        <v/>
      </c>
      <c r="KW26" s="73" t="str">
        <f t="shared" si="886"/>
        <v/>
      </c>
      <c r="KX26" s="73" t="str">
        <f t="shared" si="886"/>
        <v/>
      </c>
      <c r="KY26" s="73" t="str">
        <f t="shared" si="886"/>
        <v/>
      </c>
      <c r="KZ26" s="73" t="str">
        <f t="shared" si="886"/>
        <v/>
      </c>
      <c r="LA26" s="73" t="str">
        <f t="shared" si="886"/>
        <v/>
      </c>
      <c r="LB26" s="73" t="str">
        <f t="shared" si="886"/>
        <v/>
      </c>
      <c r="LC26" s="73" t="str">
        <f t="shared" si="886"/>
        <v/>
      </c>
      <c r="LD26" s="73" t="str">
        <f t="shared" si="886"/>
        <v/>
      </c>
      <c r="LE26" s="73" t="str">
        <f t="shared" si="886"/>
        <v/>
      </c>
      <c r="LF26" s="73" t="str">
        <f t="shared" si="886"/>
        <v/>
      </c>
      <c r="LG26" s="73" t="str">
        <f t="shared" si="886"/>
        <v/>
      </c>
      <c r="LH26" s="73" t="str">
        <f t="shared" si="886"/>
        <v/>
      </c>
      <c r="LI26" s="73" t="str">
        <f t="shared" si="886"/>
        <v/>
      </c>
      <c r="LJ26" s="73" t="str">
        <f t="shared" si="886"/>
        <v/>
      </c>
      <c r="LK26" s="73" t="str">
        <f t="shared" si="886"/>
        <v/>
      </c>
      <c r="LL26" s="73" t="str">
        <f t="shared" si="886"/>
        <v/>
      </c>
      <c r="LM26" s="73" t="str">
        <f t="shared" si="886"/>
        <v/>
      </c>
      <c r="LN26" s="73" t="str">
        <f t="shared" si="886"/>
        <v/>
      </c>
      <c r="LO26" s="73" t="str">
        <f t="shared" si="886"/>
        <v/>
      </c>
      <c r="LP26" s="73" t="str">
        <f t="shared" si="886"/>
        <v/>
      </c>
      <c r="LQ26" s="73" t="str">
        <f t="shared" ref="LQ26:MD26" si="887">IF(AND(LQ24&lt;&gt;0,LQ25&lt;&gt;0),(LQ24-LQ25)/LQ25,IF(AND(LQ24=0,LQ25=0),"",IF(AND(LQ24="",LQ25=""),"",IF(AND(LQ24=0,LQ25=""),"", IF(AND(LQ24="",LQ25=0),"",1)))))</f>
        <v/>
      </c>
      <c r="LR26" s="73" t="str">
        <f t="shared" si="887"/>
        <v/>
      </c>
      <c r="LS26" s="73" t="str">
        <f t="shared" si="887"/>
        <v/>
      </c>
      <c r="LT26" s="73" t="str">
        <f t="shared" si="887"/>
        <v/>
      </c>
      <c r="LU26" s="73" t="str">
        <f t="shared" si="887"/>
        <v/>
      </c>
      <c r="LV26" s="73" t="str">
        <f t="shared" si="887"/>
        <v/>
      </c>
      <c r="LW26" s="73" t="str">
        <f t="shared" si="887"/>
        <v/>
      </c>
      <c r="LX26" s="73" t="str">
        <f t="shared" si="887"/>
        <v/>
      </c>
      <c r="LY26" s="73" t="str">
        <f t="shared" si="887"/>
        <v/>
      </c>
      <c r="LZ26" s="73" t="str">
        <f t="shared" si="887"/>
        <v/>
      </c>
      <c r="MA26" s="73" t="str">
        <f t="shared" si="887"/>
        <v/>
      </c>
      <c r="MB26" s="73" t="str">
        <f t="shared" si="887"/>
        <v/>
      </c>
      <c r="MC26" s="73" t="str">
        <f t="shared" si="887"/>
        <v/>
      </c>
      <c r="MD26" s="73" t="str">
        <f t="shared" si="887"/>
        <v/>
      </c>
      <c r="ME26" s="74" t="str">
        <f t="shared" si="886"/>
        <v/>
      </c>
      <c r="MF26" s="72" t="str">
        <f t="shared" si="884"/>
        <v/>
      </c>
      <c r="MG26" s="73" t="str">
        <f t="shared" si="884"/>
        <v/>
      </c>
      <c r="MH26" s="73" t="str">
        <f t="shared" si="884"/>
        <v/>
      </c>
      <c r="MI26" s="73" t="str">
        <f t="shared" si="884"/>
        <v/>
      </c>
      <c r="MJ26" s="73" t="str">
        <f t="shared" si="884"/>
        <v/>
      </c>
      <c r="MK26" s="73" t="str">
        <f t="shared" si="884"/>
        <v/>
      </c>
      <c r="ML26" s="73" t="str">
        <f t="shared" si="884"/>
        <v/>
      </c>
      <c r="MM26" s="73" t="str">
        <f t="shared" si="884"/>
        <v/>
      </c>
      <c r="MN26" s="73" t="str">
        <f t="shared" si="884"/>
        <v/>
      </c>
      <c r="MO26" s="73" t="str">
        <f t="shared" si="884"/>
        <v/>
      </c>
      <c r="MP26" s="73" t="str">
        <f t="shared" si="884"/>
        <v/>
      </c>
      <c r="MQ26" s="73" t="str">
        <f t="shared" si="884"/>
        <v/>
      </c>
      <c r="MR26" s="73" t="str">
        <f t="shared" si="884"/>
        <v/>
      </c>
      <c r="MS26" s="73" t="str">
        <f t="shared" si="884"/>
        <v/>
      </c>
      <c r="MT26" s="73" t="str">
        <f t="shared" si="884"/>
        <v/>
      </c>
      <c r="MU26" s="73" t="str">
        <f t="shared" si="884"/>
        <v/>
      </c>
      <c r="MV26" s="73" t="str">
        <f t="shared" si="884"/>
        <v/>
      </c>
      <c r="MW26" s="73" t="str">
        <f t="shared" si="884"/>
        <v/>
      </c>
      <c r="MX26" s="73" t="str">
        <f t="shared" si="884"/>
        <v/>
      </c>
      <c r="MY26" s="73" t="str">
        <f t="shared" si="884"/>
        <v/>
      </c>
      <c r="MZ26" s="73" t="str">
        <f t="shared" si="884"/>
        <v/>
      </c>
      <c r="NA26" s="73" t="str">
        <f t="shared" si="884"/>
        <v/>
      </c>
      <c r="NB26" s="73" t="str">
        <f t="shared" si="884"/>
        <v/>
      </c>
      <c r="NC26" s="73" t="str">
        <f t="shared" ref="NC26:NP26" si="888">IF(AND(NC24&lt;&gt;0,NC25&lt;&gt;0),(NC24-NC25)/NC25,IF(AND(NC24=0,NC25=0),"",IF(AND(NC24="",NC25=""),"",IF(AND(NC24=0,NC25=""),"", IF(AND(NC24="",NC25=0),"",1)))))</f>
        <v/>
      </c>
      <c r="ND26" s="73" t="str">
        <f t="shared" si="888"/>
        <v/>
      </c>
      <c r="NE26" s="73" t="str">
        <f t="shared" si="888"/>
        <v/>
      </c>
      <c r="NF26" s="73" t="str">
        <f t="shared" si="888"/>
        <v/>
      </c>
      <c r="NG26" s="73" t="str">
        <f t="shared" si="888"/>
        <v/>
      </c>
      <c r="NH26" s="73" t="str">
        <f t="shared" si="888"/>
        <v/>
      </c>
      <c r="NI26" s="73" t="str">
        <f t="shared" si="888"/>
        <v/>
      </c>
      <c r="NJ26" s="73" t="str">
        <f t="shared" si="888"/>
        <v/>
      </c>
      <c r="NK26" s="73" t="str">
        <f t="shared" si="888"/>
        <v/>
      </c>
      <c r="NL26" s="73" t="str">
        <f t="shared" si="888"/>
        <v/>
      </c>
      <c r="NM26" s="73" t="str">
        <f t="shared" si="888"/>
        <v/>
      </c>
      <c r="NN26" s="73" t="str">
        <f t="shared" si="888"/>
        <v/>
      </c>
      <c r="NO26" s="73" t="str">
        <f t="shared" si="888"/>
        <v/>
      </c>
      <c r="NP26" s="73" t="str">
        <f t="shared" si="888"/>
        <v/>
      </c>
      <c r="NQ26" s="74" t="str">
        <f t="shared" si="884"/>
        <v/>
      </c>
      <c r="NR26" s="40">
        <f t="shared" ref="NR26" si="889">IF(AND(NR24&lt;&gt;0,NR25&lt;&gt;0),(NR24-NR25)/NR25,IF(AND(NR24=0,NR25=0),"",IF(AND(NR24="",NR25=""),"",IF(AND(NR24=0,NR25=""),"", IF(AND(NR24="",NR25=0),"",1)))))</f>
        <v>-2.0096543796397895E-7</v>
      </c>
      <c r="NS26" s="40" t="str">
        <f t="shared" ref="NS26" si="890">IF(AND(NS24&lt;&gt;0,NS25&lt;&gt;0),(NS24-NS25)/NS25,IF(AND(NS24=0,NS25=0),"",IF(AND(NS24="",NS25=""),"",IF(AND(NS24=0,NS25=""),"", IF(AND(NS24="",NS25=0),"",1)))))</f>
        <v/>
      </c>
      <c r="NT26" s="40" t="str">
        <f t="shared" ref="NT26" si="891">IF(AND(NT24&lt;&gt;0,NT25&lt;&gt;0),(NT24-NT25)/NT25,IF(AND(NT24=0,NT25=0),"",IF(AND(NT24="",NT25=""),"",IF(AND(NT24=0,NT25=""),"", IF(AND(NT24="",NT25=0),"",1)))))</f>
        <v/>
      </c>
      <c r="NU26" s="40" t="str">
        <f t="shared" ref="NU26" si="892">IF(AND(NU24&lt;&gt;0,NU25&lt;&gt;0),(NU24-NU25)/NU25,IF(AND(NU24=0,NU25=0),"",IF(AND(NU24="",NU25=""),"",IF(AND(NU24=0,NU25=""),"", IF(AND(NU24="",NU25=0),"",1)))))</f>
        <v/>
      </c>
      <c r="NV26" s="40" t="str">
        <f t="shared" ref="NV26" si="893">IF(AND(NV24&lt;&gt;0,NV25&lt;&gt;0),(NV24-NV25)/NV25,IF(AND(NV24=0,NV25=0),"",IF(AND(NV24="",NV25=""),"",IF(AND(NV24=0,NV25=""),"", IF(AND(NV24="",NV25=0),"",1)))))</f>
        <v/>
      </c>
      <c r="NW26" s="40" t="str">
        <f t="shared" ref="NW26" si="894">IF(AND(NW24&lt;&gt;0,NW25&lt;&gt;0),(NW24-NW25)/NW25,IF(AND(NW24=0,NW25=0),"",IF(AND(NW24="",NW25=""),"",IF(AND(NW24=0,NW25=""),"", IF(AND(NW24="",NW25=0),"",1)))))</f>
        <v/>
      </c>
      <c r="NX26" s="40" t="str">
        <f t="shared" ref="NX26" si="895">IF(AND(NX24&lt;&gt;0,NX25&lt;&gt;0),(NX24-NX25)/NX25,IF(AND(NX24=0,NX25=0),"",IF(AND(NX24="",NX25=""),"",IF(AND(NX24=0,NX25=""),"", IF(AND(NX24="",NX25=0),"",1)))))</f>
        <v/>
      </c>
      <c r="NY26" s="40" t="str">
        <f t="shared" ref="NY26" si="896">IF(AND(NY24&lt;&gt;0,NY25&lt;&gt;0),(NY24-NY25)/NY25,IF(AND(NY24=0,NY25=0),"",IF(AND(NY24="",NY25=""),"",IF(AND(NY24=0,NY25=""),"", IF(AND(NY24="",NY25=0),"",1)))))</f>
        <v/>
      </c>
      <c r="NZ26" s="40" t="str">
        <f t="shared" ref="NZ26" si="897">IF(AND(NZ24&lt;&gt;0,NZ25&lt;&gt;0),(NZ24-NZ25)/NZ25,IF(AND(NZ24=0,NZ25=0),"",IF(AND(NZ24="",NZ25=""),"",IF(AND(NZ24=0,NZ25=""),"", IF(AND(NZ24="",NZ25=0),"",1)))))</f>
        <v/>
      </c>
      <c r="OA26" s="40" t="str">
        <f t="shared" ref="OA26" si="898">IF(AND(OA24&lt;&gt;0,OA25&lt;&gt;0),(OA24-OA25)/OA25,IF(AND(OA24=0,OA25=0),"",IF(AND(OA24="",OA25=""),"",IF(AND(OA24=0,OA25=""),"", IF(AND(OA24="",OA25=0),"",1)))))</f>
        <v/>
      </c>
      <c r="OB26" s="40" t="str">
        <f t="shared" ref="OB26" si="899">IF(AND(OB24&lt;&gt;0,OB25&lt;&gt;0),(OB24-OB25)/OB25,IF(AND(OB24=0,OB25=0),"",IF(AND(OB24="",OB25=""),"",IF(AND(OB24=0,OB25=""),"", IF(AND(OB24="",OB25=0),"",1)))))</f>
        <v/>
      </c>
      <c r="OC26" s="40" t="str">
        <f t="shared" ref="OC26" si="900">IF(AND(OC24&lt;&gt;0,OC25&lt;&gt;0),(OC24-OC25)/OC25,IF(AND(OC24=0,OC25=0),"",IF(AND(OC24="",OC25=""),"",IF(AND(OC24=0,OC25=""),"", IF(AND(OC24="",OC25=0),"",1)))))</f>
        <v/>
      </c>
      <c r="OD26" s="40" t="str">
        <f t="shared" ref="OD26" si="901">IF(AND(OD24&lt;&gt;0,OD25&lt;&gt;0),(OD24-OD25)/OD25,IF(AND(OD24=0,OD25=0),"",IF(AND(OD24="",OD25=""),"",IF(AND(OD24=0,OD25=""),"", IF(AND(OD24="",OD25=0),"",1)))))</f>
        <v/>
      </c>
      <c r="OE26" s="40" t="str">
        <f t="shared" ref="OE26" si="902">IF(AND(OE24&lt;&gt;0,OE25&lt;&gt;0),(OE24-OE25)/OE25,IF(AND(OE24=0,OE25=0),"",IF(AND(OE24="",OE25=""),"",IF(AND(OE24=0,OE25=""),"", IF(AND(OE24="",OE25=0),"",1)))))</f>
        <v/>
      </c>
      <c r="OF26" s="40" t="str">
        <f t="shared" ref="OF26" si="903">IF(AND(OF24&lt;&gt;0,OF25&lt;&gt;0),(OF24-OF25)/OF25,IF(AND(OF24=0,OF25=0),"",IF(AND(OF24="",OF25=""),"",IF(AND(OF24=0,OF25=""),"", IF(AND(OF24="",OF25=0),"",1)))))</f>
        <v/>
      </c>
      <c r="OG26" s="40" t="str">
        <f t="shared" ref="OG26" si="904">IF(AND(OG24&lt;&gt;0,OG25&lt;&gt;0),(OG24-OG25)/OG25,IF(AND(OG24=0,OG25=0),"",IF(AND(OG24="",OG25=""),"",IF(AND(OG24=0,OG25=""),"", IF(AND(OG24="",OG25=0),"",1)))))</f>
        <v/>
      </c>
      <c r="OH26" s="40" t="str">
        <f t="shared" ref="OH26" si="905">IF(AND(OH24&lt;&gt;0,OH25&lt;&gt;0),(OH24-OH25)/OH25,IF(AND(OH24=0,OH25=0),"",IF(AND(OH24="",OH25=""),"",IF(AND(OH24=0,OH25=""),"", IF(AND(OH24="",OH25=0),"",1)))))</f>
        <v/>
      </c>
      <c r="OI26" s="40" t="str">
        <f t="shared" ref="OI26" si="906">IF(AND(OI24&lt;&gt;0,OI25&lt;&gt;0),(OI24-OI25)/OI25,IF(AND(OI24=0,OI25=0),"",IF(AND(OI24="",OI25=""),"",IF(AND(OI24=0,OI25=""),"", IF(AND(OI24="",OI25=0),"",1)))))</f>
        <v/>
      </c>
      <c r="OJ26" s="40" t="str">
        <f t="shared" ref="OJ26" si="907">IF(AND(OJ24&lt;&gt;0,OJ25&lt;&gt;0),(OJ24-OJ25)/OJ25,IF(AND(OJ24=0,OJ25=0),"",IF(AND(OJ24="",OJ25=""),"",IF(AND(OJ24=0,OJ25=""),"", IF(AND(OJ24="",OJ25=0),"",1)))))</f>
        <v/>
      </c>
      <c r="OK26" s="40" t="str">
        <f t="shared" ref="OK26" si="908">IF(AND(OK24&lt;&gt;0,OK25&lt;&gt;0),(OK24-OK25)/OK25,IF(AND(OK24=0,OK25=0),"",IF(AND(OK24="",OK25=""),"",IF(AND(OK24=0,OK25=""),"", IF(AND(OK24="",OK25=0),"",1)))))</f>
        <v/>
      </c>
      <c r="OL26" s="40" t="str">
        <f t="shared" ref="OL26" si="909">IF(AND(OL24&lt;&gt;0,OL25&lt;&gt;0),(OL24-OL25)/OL25,IF(AND(OL24=0,OL25=0),"",IF(AND(OL24="",OL25=""),"",IF(AND(OL24=0,OL25=""),"", IF(AND(OL24="",OL25=0),"",1)))))</f>
        <v/>
      </c>
      <c r="OM26" s="40" t="str">
        <f t="shared" ref="OM26" si="910">IF(AND(OM24&lt;&gt;0,OM25&lt;&gt;0),(OM24-OM25)/OM25,IF(AND(OM24=0,OM25=0),"",IF(AND(OM24="",OM25=""),"",IF(AND(OM24=0,OM25=""),"", IF(AND(OM24="",OM25=0),"",1)))))</f>
        <v/>
      </c>
      <c r="ON26" s="40" t="str">
        <f t="shared" ref="ON26:PB26" si="911">IF(AND(ON24&lt;&gt;0,ON25&lt;&gt;0),(ON24-ON25)/ON25,IF(AND(ON24=0,ON25=0),"",IF(AND(ON24="",ON25=""),"",IF(AND(ON24=0,ON25=""),"", IF(AND(ON24="",ON25=0),"",1)))))</f>
        <v/>
      </c>
      <c r="OO26" s="40" t="str">
        <f t="shared" si="911"/>
        <v/>
      </c>
      <c r="OP26" s="40" t="str">
        <f t="shared" si="911"/>
        <v/>
      </c>
      <c r="OQ26" s="40" t="str">
        <f t="shared" si="911"/>
        <v/>
      </c>
      <c r="OR26" s="40" t="str">
        <f t="shared" si="911"/>
        <v/>
      </c>
      <c r="OS26" s="40" t="str">
        <f t="shared" si="911"/>
        <v/>
      </c>
      <c r="OT26" s="40" t="str">
        <f t="shared" si="911"/>
        <v/>
      </c>
      <c r="OU26" s="40" t="str">
        <f t="shared" si="911"/>
        <v/>
      </c>
      <c r="OV26" s="40" t="str">
        <f t="shared" si="911"/>
        <v/>
      </c>
      <c r="OW26" s="40" t="str">
        <f t="shared" si="911"/>
        <v/>
      </c>
      <c r="OX26" s="40" t="str">
        <f t="shared" si="911"/>
        <v/>
      </c>
      <c r="OY26" s="40" t="str">
        <f t="shared" si="911"/>
        <v/>
      </c>
      <c r="OZ26" s="40" t="str">
        <f t="shared" si="911"/>
        <v/>
      </c>
      <c r="PA26" s="40" t="str">
        <f t="shared" si="911"/>
        <v/>
      </c>
      <c r="PB26" s="40" t="str">
        <f t="shared" si="911"/>
        <v/>
      </c>
      <c r="PC26" s="41">
        <f t="shared" ref="PC26" si="912">IF(AND(PC24&lt;&gt;0,PC25&lt;&gt;0),(PC24-PC25)/PC25,IF(AND(PC24=0,PC25=0),"",IF(AND(PC24="",PC25=""),"",IF(AND(PC24=0,PC25=""),"", IF(AND(PC24="",PC25=0),"",1)))))</f>
        <v>-2.0096543796397895E-7</v>
      </c>
    </row>
    <row r="27" spans="1:419" outlineLevel="1" x14ac:dyDescent="0.3">
      <c r="A27" s="46" t="s">
        <v>22</v>
      </c>
      <c r="B27" s="14">
        <f>'[1]D-PDP'!$EA$12</f>
        <v>23772466</v>
      </c>
      <c r="C27" s="14">
        <f>'[1]D-PDP'!$EA$13</f>
        <v>14717960</v>
      </c>
      <c r="D27" s="14">
        <f>'[1]D-PDP'!$EA$14</f>
        <v>8816343</v>
      </c>
      <c r="E27" s="14">
        <f>'[1]D-PDP'!$EA$15</f>
        <v>5335829.5</v>
      </c>
      <c r="F27" s="14">
        <f>'[1]D-PDP'!$EA$16</f>
        <v>3500994</v>
      </c>
      <c r="G27" s="14">
        <f>'[1]D-PDP'!$EA$17</f>
        <v>2082455.625</v>
      </c>
      <c r="H27" s="14">
        <f>'[1]D-PDP'!$EA$18</f>
        <v>969119.3125</v>
      </c>
      <c r="I27" s="14">
        <f>'[1]D-PDP'!$EA$19</f>
        <v>389204.5</v>
      </c>
      <c r="J27" s="14">
        <f>'[1]D-PDP'!$EA$20</f>
        <v>179207.65625</v>
      </c>
      <c r="K27" s="14">
        <f>'[1]D-PDP'!$EA$21</f>
        <v>54216.9296875</v>
      </c>
      <c r="L27" s="14">
        <f>'[1]D-PDP'!$EA$22</f>
        <v>8502.2900390625</v>
      </c>
      <c r="M27" s="14">
        <f>'[1]D-PDP'!$EA$23</f>
        <v>0</v>
      </c>
      <c r="N27" s="14">
        <f>'[1]D-PDP'!$EA$24</f>
        <v>0</v>
      </c>
      <c r="O27" s="14">
        <f>'[1]D-PDP'!$EA$25</f>
        <v>0</v>
      </c>
      <c r="P27" s="14">
        <f>'[1]D-PDP'!$EA$26</f>
        <v>0</v>
      </c>
      <c r="Q27" s="14">
        <f>'[1]D-PDP'!$EA$27</f>
        <v>0</v>
      </c>
      <c r="R27" s="14">
        <f>'[1]D-PDP'!$EA$28</f>
        <v>0</v>
      </c>
      <c r="S27" s="14">
        <f>'[1]D-PDP'!$EA$29</f>
        <v>0</v>
      </c>
      <c r="T27" s="14">
        <f>'[1]D-PDP'!$EA$30</f>
        <v>0</v>
      </c>
      <c r="U27" s="14">
        <f>'[1]D-PDP'!$EA$31</f>
        <v>0</v>
      </c>
      <c r="V27" s="14">
        <f>'[1]D-PDP'!$EA$32</f>
        <v>0</v>
      </c>
      <c r="W27" s="14">
        <f>'[1]D-PDP'!$EA$33</f>
        <v>0</v>
      </c>
      <c r="X27" s="14">
        <f>'[1]D-PDP'!$EA$34</f>
        <v>0</v>
      </c>
      <c r="Y27" s="14">
        <f>'[1]D-PDP'!$EA$35</f>
        <v>0</v>
      </c>
      <c r="Z27" s="14">
        <f>'[1]D-PDP'!$EA$36</f>
        <v>0</v>
      </c>
      <c r="AA27" s="14">
        <f>'[1]D-PDP'!$EA$37</f>
        <v>0</v>
      </c>
      <c r="AB27" s="14">
        <f>'[1]D-PDP'!$EA$38</f>
        <v>0</v>
      </c>
      <c r="AC27" s="14">
        <f>'[1]D-PDP'!$EA$39</f>
        <v>0</v>
      </c>
      <c r="AD27" s="14">
        <f>'[1]D-PDP'!$EA$40</f>
        <v>0</v>
      </c>
      <c r="AE27" s="14">
        <f>'[1]D-PDP'!$EA$41</f>
        <v>0</v>
      </c>
      <c r="AF27" s="14">
        <f>'[1]D-PDP'!$EA$42</f>
        <v>0</v>
      </c>
      <c r="AG27" s="14">
        <f>'[1]D-PDP'!$EA$43</f>
        <v>0</v>
      </c>
      <c r="AH27" s="14">
        <f>'[1]D-PDP'!$EA$44</f>
        <v>0</v>
      </c>
      <c r="AI27" s="14">
        <f>'[1]D-PDP'!$EA$45</f>
        <v>0</v>
      </c>
      <c r="AJ27" s="14">
        <f>'[1]D-PDP'!$EA$46</f>
        <v>0</v>
      </c>
      <c r="AK27" s="14">
        <f>'[1]D-PDP'!$EA$47</f>
        <v>0</v>
      </c>
      <c r="AL27" s="14">
        <f>'[1]D-PDP'!$EA$48</f>
        <v>0</v>
      </c>
      <c r="AM27" s="16">
        <f>SUM(B27:AL27)</f>
        <v>59826298.813476563</v>
      </c>
      <c r="AN27" s="28">
        <f>'[1]D-PNP'!$EA$12</f>
        <v>2587500.5</v>
      </c>
      <c r="AO27" s="14">
        <f>'[1]D-PNP'!$EA$13</f>
        <v>2177741.25</v>
      </c>
      <c r="AP27" s="14">
        <f>'[1]D-PNP'!$EA$14</f>
        <v>2247723.5</v>
      </c>
      <c r="AQ27" s="14">
        <f>'[1]D-PNP'!$EA$15</f>
        <v>1603244.875</v>
      </c>
      <c r="AR27" s="14">
        <f>'[1]D-PNP'!$EA$16</f>
        <v>1154813.25</v>
      </c>
      <c r="AS27" s="14">
        <f>'[1]D-PNP'!$EA$17</f>
        <v>836672.25</v>
      </c>
      <c r="AT27" s="14">
        <f>'[1]D-PNP'!$EA$18</f>
        <v>490558.3125</v>
      </c>
      <c r="AU27" s="14">
        <f>'[1]D-PNP'!$EA$19</f>
        <v>216009.203125</v>
      </c>
      <c r="AV27" s="14">
        <f>'[1]D-PNP'!$EA$20</f>
        <v>73011.234375</v>
      </c>
      <c r="AW27" s="14">
        <f>'[1]D-PNP'!$EA$21</f>
        <v>0</v>
      </c>
      <c r="AX27" s="14">
        <f>'[1]D-PNP'!$EA$22</f>
        <v>0</v>
      </c>
      <c r="AY27" s="14">
        <f>'[1]D-PNP'!$EA$23</f>
        <v>0</v>
      </c>
      <c r="AZ27" s="14">
        <f>'[1]D-PNP'!$EA$24</f>
        <v>0</v>
      </c>
      <c r="BA27" s="14">
        <f>'[1]D-PNP'!$EA$25</f>
        <v>0</v>
      </c>
      <c r="BB27" s="14">
        <f>'[1]D-PNP'!$EA$26</f>
        <v>0</v>
      </c>
      <c r="BC27" s="14">
        <f>'[1]D-PNP'!$EA$27</f>
        <v>0</v>
      </c>
      <c r="BD27" s="14">
        <f>'[1]D-PNP'!$EA$28</f>
        <v>0</v>
      </c>
      <c r="BE27" s="14">
        <f>'[1]D-PNP'!$EA$29</f>
        <v>0</v>
      </c>
      <c r="BF27" s="14">
        <f>'[1]D-PNP'!$EA$30</f>
        <v>0</v>
      </c>
      <c r="BG27" s="14">
        <f>'[1]D-PNP'!$EA$31</f>
        <v>0</v>
      </c>
      <c r="BH27" s="14">
        <f>'[1]D-PNP'!$EA$32</f>
        <v>0</v>
      </c>
      <c r="BI27" s="14">
        <f>'[1]D-PNP'!$EA$33</f>
        <v>0</v>
      </c>
      <c r="BJ27" s="14">
        <f>'[1]D-PNP'!$EA$34</f>
        <v>0</v>
      </c>
      <c r="BK27" s="14">
        <f>'[1]D-PNP'!$EA$35</f>
        <v>0</v>
      </c>
      <c r="BL27" s="14">
        <f>'[1]D-PNP'!$EA$36</f>
        <v>0</v>
      </c>
      <c r="BM27" s="14">
        <f>'[1]D-PNP'!$EA$37</f>
        <v>0</v>
      </c>
      <c r="BN27" s="14">
        <f>'[1]D-PNP'!$EA$38</f>
        <v>0</v>
      </c>
      <c r="BO27" s="14">
        <f>'[1]D-PNP'!$EA$39</f>
        <v>0</v>
      </c>
      <c r="BP27" s="14">
        <f>'[1]D-PNP'!$EA$40</f>
        <v>0</v>
      </c>
      <c r="BQ27" s="14">
        <f>'[1]D-PNP'!$EA$41</f>
        <v>0</v>
      </c>
      <c r="BR27" s="14">
        <f>'[1]D-PNP'!$EA$42</f>
        <v>0</v>
      </c>
      <c r="BS27" s="14">
        <f>'[1]D-PNP'!$EA$43</f>
        <v>0</v>
      </c>
      <c r="BT27" s="14">
        <f>'[1]D-PNP'!$EA$44</f>
        <v>0</v>
      </c>
      <c r="BU27" s="14">
        <f>'[1]D-PNP'!$EA$45</f>
        <v>0</v>
      </c>
      <c r="BV27" s="14">
        <f>'[1]D-PNP'!$EA$46</f>
        <v>0</v>
      </c>
      <c r="BW27" s="14">
        <f>'[1]D-PNP'!$EA$47</f>
        <v>0</v>
      </c>
      <c r="BX27" s="14">
        <f>'[1]D-PNP'!$EA$48</f>
        <v>0</v>
      </c>
      <c r="BY27" s="16">
        <f>SUM(AN27:BX27)</f>
        <v>11387274.375</v>
      </c>
      <c r="BZ27" s="28">
        <f>'[1]D-PND'!$EA$12</f>
        <v>6620220</v>
      </c>
      <c r="CA27" s="14">
        <f>'[1]D-PND'!$EA$13</f>
        <v>5812057.5</v>
      </c>
      <c r="CB27" s="14">
        <f>'[1]D-PND'!$EA$14</f>
        <v>4124175.25</v>
      </c>
      <c r="CC27" s="14">
        <f>'[1]D-PND'!$EA$15</f>
        <v>4754347</v>
      </c>
      <c r="CD27" s="14">
        <f>'[1]D-PND'!$EA$16</f>
        <v>16249320</v>
      </c>
      <c r="CE27" s="14">
        <f>'[1]D-PND'!$EA$17</f>
        <v>22731540</v>
      </c>
      <c r="CF27" s="14">
        <f>'[1]D-PND'!$EA$18</f>
        <v>24767054</v>
      </c>
      <c r="CG27" s="14">
        <f>'[1]D-PND'!$EA$19</f>
        <v>16924660</v>
      </c>
      <c r="CH27" s="14">
        <f>'[1]D-PND'!$EA$20</f>
        <v>10118844</v>
      </c>
      <c r="CI27" s="14">
        <f>'[1]D-PND'!$EA$21</f>
        <v>5260117</v>
      </c>
      <c r="CJ27" s="14">
        <f>'[1]D-PND'!$EA$22</f>
        <v>720454.375</v>
      </c>
      <c r="CK27" s="14">
        <f>'[1]D-PND'!$EA$23</f>
        <v>0</v>
      </c>
      <c r="CL27" s="14">
        <f>'[1]D-PND'!$EA$24</f>
        <v>0</v>
      </c>
      <c r="CM27" s="14">
        <f>'[1]D-PND'!$EA$25</f>
        <v>0</v>
      </c>
      <c r="CN27" s="14">
        <f>'[1]D-PND'!$EA$26</f>
        <v>0</v>
      </c>
      <c r="CO27" s="14">
        <f>'[1]D-PND'!$EA$27</f>
        <v>0</v>
      </c>
      <c r="CP27" s="14">
        <f>'[1]D-PND'!$EA$28</f>
        <v>0</v>
      </c>
      <c r="CQ27" s="14">
        <f>'[1]D-PND'!$EA$29</f>
        <v>0</v>
      </c>
      <c r="CR27" s="14">
        <f>'[1]D-PND'!$EA$30</f>
        <v>0</v>
      </c>
      <c r="CS27" s="14">
        <f>'[1]D-PND'!$EA$31</f>
        <v>0</v>
      </c>
      <c r="CT27" s="14">
        <f>'[1]D-PND'!$EA$32</f>
        <v>0</v>
      </c>
      <c r="CU27" s="14">
        <f>'[1]D-PND'!$EA$33</f>
        <v>0</v>
      </c>
      <c r="CV27" s="14">
        <f>'[1]D-PND'!$EA$34</f>
        <v>0</v>
      </c>
      <c r="CW27" s="14">
        <f>'[1]D-PND'!$EA$35</f>
        <v>0</v>
      </c>
      <c r="CX27" s="14">
        <f>'[1]D-PND'!$EA$36</f>
        <v>0</v>
      </c>
      <c r="CY27" s="14">
        <f>'[1]D-PND'!$EA$37</f>
        <v>0</v>
      </c>
      <c r="CZ27" s="14">
        <f>'[1]D-PND'!$EA$38</f>
        <v>0</v>
      </c>
      <c r="DA27" s="14">
        <f>'[1]D-PND'!$EA$39</f>
        <v>0</v>
      </c>
      <c r="DB27" s="14">
        <f>'[1]D-PND'!$EA$40</f>
        <v>0</v>
      </c>
      <c r="DC27" s="14">
        <f>'[1]D-PND'!$EA$41</f>
        <v>0</v>
      </c>
      <c r="DD27" s="14">
        <f>'[1]D-PND'!$EA$42</f>
        <v>0</v>
      </c>
      <c r="DE27" s="14">
        <f>'[1]D-PND'!$EA$43</f>
        <v>0</v>
      </c>
      <c r="DF27" s="14">
        <f>'[1]D-PND'!$EA$44</f>
        <v>0</v>
      </c>
      <c r="DG27" s="14">
        <f>'[1]D-PND'!$EA$45</f>
        <v>0</v>
      </c>
      <c r="DH27" s="14">
        <f>'[1]D-PND'!$EA$46</f>
        <v>0</v>
      </c>
      <c r="DI27" s="14">
        <f>'[1]D-PND'!$EA$47</f>
        <v>0</v>
      </c>
      <c r="DJ27" s="14">
        <f>'[1]D-PND'!$EA$48</f>
        <v>0</v>
      </c>
      <c r="DK27" s="16">
        <f>SUM(BZ27:DJ27)</f>
        <v>118082789.125</v>
      </c>
      <c r="DL27" s="66"/>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8">
        <f>SUM(DL27:EV27)</f>
        <v>0</v>
      </c>
      <c r="EX27" s="66"/>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8">
        <f>SUM(EX27:GH27)</f>
        <v>0</v>
      </c>
      <c r="GJ27" s="66"/>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8">
        <f>SUM(GJ27:HT27)</f>
        <v>0</v>
      </c>
      <c r="HV27" s="28">
        <f>'[1]D-PRB'!$EA$12</f>
        <v>5387367</v>
      </c>
      <c r="HW27" s="14">
        <f>'[1]D-PRB'!$EA$13</f>
        <v>3920853.5</v>
      </c>
      <c r="HX27" s="14">
        <f>'[1]D-PRB'!$EA$14</f>
        <v>2893701.75</v>
      </c>
      <c r="HY27" s="14">
        <f>'[1]D-PRB'!$EA$15</f>
        <v>2422914</v>
      </c>
      <c r="HZ27" s="14">
        <f>'[1]D-PRB'!$EA$16</f>
        <v>1774945.75</v>
      </c>
      <c r="IA27" s="14">
        <f>'[1]D-PRB'!$EA$17</f>
        <v>1277219.25</v>
      </c>
      <c r="IB27" s="14">
        <f>'[1]D-PRB'!$EA$18</f>
        <v>822146.25</v>
      </c>
      <c r="IC27" s="14">
        <f>'[1]D-PRB'!$EA$19</f>
        <v>346898.84375</v>
      </c>
      <c r="ID27" s="14">
        <f>'[1]D-PRB'!$EA$20</f>
        <v>187269.09375</v>
      </c>
      <c r="IE27" s="14">
        <f>'[1]D-PRB'!$EA$21</f>
        <v>84956.890625</v>
      </c>
      <c r="IF27" s="14">
        <f>'[1]D-PRB'!$EA$22</f>
        <v>37715.92578125</v>
      </c>
      <c r="IG27" s="14">
        <f>'[1]D-PRB'!$EA$23</f>
        <v>0</v>
      </c>
      <c r="IH27" s="14">
        <f>'[1]D-PRB'!$EA$24</f>
        <v>0</v>
      </c>
      <c r="II27" s="14">
        <f>'[1]D-PRB'!$EA$25</f>
        <v>0</v>
      </c>
      <c r="IJ27" s="14">
        <f>'[1]D-PRB'!$EA$26</f>
        <v>0</v>
      </c>
      <c r="IK27" s="14">
        <f>'[1]D-PRB'!$EA$27</f>
        <v>0</v>
      </c>
      <c r="IL27" s="14">
        <f>'[1]D-PRB'!$EA$28</f>
        <v>0</v>
      </c>
      <c r="IM27" s="14">
        <f>'[1]D-PRB'!$EA$29</f>
        <v>0</v>
      </c>
      <c r="IN27" s="14">
        <f>'[1]D-PRB'!$EA$30</f>
        <v>0</v>
      </c>
      <c r="IO27" s="14">
        <f>'[1]D-PRB'!$EA$31</f>
        <v>0</v>
      </c>
      <c r="IP27" s="14">
        <f>'[1]D-PRB'!$EA$32</f>
        <v>0</v>
      </c>
      <c r="IQ27" s="14">
        <f>'[1]D-PRB'!$EA$33</f>
        <v>0</v>
      </c>
      <c r="IR27" s="14">
        <f>'[1]D-PRB'!$EA$34</f>
        <v>0</v>
      </c>
      <c r="IS27" s="14">
        <f>'[1]D-PRB'!$EA$35</f>
        <v>0</v>
      </c>
      <c r="IT27" s="14">
        <f>'[1]D-PRB'!$EA$36</f>
        <v>0</v>
      </c>
      <c r="IU27" s="14">
        <f>'[1]D-PRB'!$EA$37</f>
        <v>0</v>
      </c>
      <c r="IV27" s="14">
        <f>'[1]D-PRB'!$EA$38</f>
        <v>0</v>
      </c>
      <c r="IW27" s="14">
        <f>'[1]D-PRB'!$EA$39</f>
        <v>0</v>
      </c>
      <c r="IX27" s="14">
        <f>'[1]D-PRB'!$EA$40</f>
        <v>0</v>
      </c>
      <c r="IY27" s="14">
        <f>'[1]D-PRB'!$EA$41</f>
        <v>0</v>
      </c>
      <c r="IZ27" s="14">
        <f>'[1]D-PRB'!$EA$42</f>
        <v>0</v>
      </c>
      <c r="JA27" s="14">
        <f>'[1]D-PRB'!$EA$43</f>
        <v>0</v>
      </c>
      <c r="JB27" s="14">
        <f>'[1]D-PRB'!$EA$44</f>
        <v>0</v>
      </c>
      <c r="JC27" s="14">
        <f>'[1]D-PRB'!$EA$45</f>
        <v>0</v>
      </c>
      <c r="JD27" s="14">
        <f>'[1]D-PRB'!$EA$46</f>
        <v>0</v>
      </c>
      <c r="JE27" s="14">
        <f>'[1]D-PRB'!$EA$47</f>
        <v>0</v>
      </c>
      <c r="JF27" s="14">
        <f>'[1]D-PRB'!$EA$48</f>
        <v>0</v>
      </c>
      <c r="JG27" s="16">
        <f>SUM(HV27:JF27)</f>
        <v>19155988.25390625</v>
      </c>
      <c r="JH27" s="66"/>
      <c r="JI27" s="67"/>
      <c r="JJ27" s="67"/>
      <c r="JK27" s="67"/>
      <c r="JL27" s="67"/>
      <c r="JM27" s="67"/>
      <c r="JN27" s="67"/>
      <c r="JO27" s="67"/>
      <c r="JP27" s="67"/>
      <c r="JQ27" s="67"/>
      <c r="JR27" s="67"/>
      <c r="JS27" s="67"/>
      <c r="JT27" s="67"/>
      <c r="JU27" s="67"/>
      <c r="JV27" s="67"/>
      <c r="JW27" s="67"/>
      <c r="JX27" s="67"/>
      <c r="JY27" s="67"/>
      <c r="JZ27" s="67"/>
      <c r="KA27" s="67"/>
      <c r="KB27" s="67"/>
      <c r="KC27" s="67"/>
      <c r="KD27" s="67"/>
      <c r="KE27" s="67"/>
      <c r="KF27" s="67"/>
      <c r="KG27" s="67"/>
      <c r="KH27" s="67"/>
      <c r="KI27" s="67"/>
      <c r="KJ27" s="67"/>
      <c r="KK27" s="67"/>
      <c r="KL27" s="67"/>
      <c r="KM27" s="67"/>
      <c r="KN27" s="67"/>
      <c r="KO27" s="67"/>
      <c r="KP27" s="67"/>
      <c r="KQ27" s="67"/>
      <c r="KR27" s="67"/>
      <c r="KS27" s="68">
        <f>SUM(JH27:KR27)</f>
        <v>0</v>
      </c>
      <c r="KT27" s="66"/>
      <c r="KU27" s="67"/>
      <c r="KV27" s="67"/>
      <c r="KW27" s="67"/>
      <c r="KX27" s="67"/>
      <c r="KY27" s="67"/>
      <c r="KZ27" s="67"/>
      <c r="LA27" s="67"/>
      <c r="LB27" s="67"/>
      <c r="LC27" s="67"/>
      <c r="LD27" s="67"/>
      <c r="LE27" s="67"/>
      <c r="LF27" s="67"/>
      <c r="LG27" s="67"/>
      <c r="LH27" s="67"/>
      <c r="LI27" s="67"/>
      <c r="LJ27" s="67"/>
      <c r="LK27" s="67"/>
      <c r="LL27" s="67"/>
      <c r="LM27" s="67"/>
      <c r="LN27" s="67"/>
      <c r="LO27" s="67"/>
      <c r="LP27" s="67"/>
      <c r="LQ27" s="67"/>
      <c r="LR27" s="67"/>
      <c r="LS27" s="67"/>
      <c r="LT27" s="67"/>
      <c r="LU27" s="67"/>
      <c r="LV27" s="67"/>
      <c r="LW27" s="67"/>
      <c r="LX27" s="67"/>
      <c r="LY27" s="67"/>
      <c r="LZ27" s="67"/>
      <c r="MA27" s="67"/>
      <c r="MB27" s="67"/>
      <c r="MC27" s="67"/>
      <c r="MD27" s="67"/>
      <c r="ME27" s="68">
        <f>SUM(KT27:MD27)</f>
        <v>0</v>
      </c>
      <c r="MF27" s="66"/>
      <c r="MG27" s="67"/>
      <c r="MH27" s="67"/>
      <c r="MI27" s="67"/>
      <c r="MJ27" s="67"/>
      <c r="MK27" s="67"/>
      <c r="ML27" s="67"/>
      <c r="MM27" s="67"/>
      <c r="MN27" s="67"/>
      <c r="MO27" s="67"/>
      <c r="MP27" s="67"/>
      <c r="MQ27" s="67"/>
      <c r="MR27" s="67"/>
      <c r="MS27" s="67"/>
      <c r="MT27" s="67"/>
      <c r="MU27" s="67"/>
      <c r="MV27" s="67"/>
      <c r="MW27" s="67"/>
      <c r="MX27" s="67"/>
      <c r="MY27" s="67"/>
      <c r="MZ27" s="67"/>
      <c r="NA27" s="67"/>
      <c r="NB27" s="67"/>
      <c r="NC27" s="67"/>
      <c r="ND27" s="67"/>
      <c r="NE27" s="67"/>
      <c r="NF27" s="67"/>
      <c r="NG27" s="67"/>
      <c r="NH27" s="67"/>
      <c r="NI27" s="67"/>
      <c r="NJ27" s="67"/>
      <c r="NK27" s="67"/>
      <c r="NL27" s="67"/>
      <c r="NM27" s="67"/>
      <c r="NN27" s="67"/>
      <c r="NO27" s="67"/>
      <c r="NP27" s="67"/>
      <c r="NQ27" s="68">
        <f>SUM(MF27:NP27)</f>
        <v>0</v>
      </c>
      <c r="NR27" s="14">
        <f>'[1]D-PS'!$EA$12</f>
        <v>1871555.125</v>
      </c>
      <c r="NS27" s="14">
        <f>'[1]D-PS'!$EA$13</f>
        <v>1466923.5</v>
      </c>
      <c r="NT27" s="14">
        <f>'[1]D-PS'!$EA$14</f>
        <v>1014311.0625</v>
      </c>
      <c r="NU27" s="14">
        <f>'[1]D-PS'!$EA$15</f>
        <v>697176.5</v>
      </c>
      <c r="NV27" s="14">
        <f>'[1]D-PS'!$EA$16</f>
        <v>473004.53125</v>
      </c>
      <c r="NW27" s="14">
        <f>'[1]D-PS'!$EA$17</f>
        <v>300529.90625</v>
      </c>
      <c r="NX27" s="14">
        <f>'[1]D-PS'!$EA$18</f>
        <v>0</v>
      </c>
      <c r="NY27" s="14">
        <f>'[1]D-PS'!$EA$19</f>
        <v>189001.828125</v>
      </c>
      <c r="NZ27" s="14">
        <f>'[1]D-PS'!$EA$20</f>
        <v>213937.25</v>
      </c>
      <c r="OA27" s="14">
        <f>'[1]D-PS'!$EA$21</f>
        <v>194307.375</v>
      </c>
      <c r="OB27" s="14">
        <f>'[1]D-PS'!$EA$22</f>
        <v>32413.94140625</v>
      </c>
      <c r="OC27" s="14">
        <f>'[1]D-PS'!$EA$23</f>
        <v>0</v>
      </c>
      <c r="OD27" s="14">
        <f>'[1]D-PS'!$EA$24</f>
        <v>0</v>
      </c>
      <c r="OE27" s="14">
        <f>'[1]D-PS'!$EA$25</f>
        <v>0</v>
      </c>
      <c r="OF27" s="14">
        <f>'[1]D-PS'!$EA$26</f>
        <v>0</v>
      </c>
      <c r="OG27" s="14">
        <f>'[1]D-PS'!$EA$27</f>
        <v>0</v>
      </c>
      <c r="OH27" s="14">
        <f>'[1]D-PS'!$EA$28</f>
        <v>0</v>
      </c>
      <c r="OI27" s="14">
        <f>'[1]D-PS'!$EA$29</f>
        <v>0</v>
      </c>
      <c r="OJ27" s="14">
        <f>'[1]D-PS'!$EA$30</f>
        <v>0</v>
      </c>
      <c r="OK27" s="14">
        <f>'[1]D-PS'!$EA$31</f>
        <v>0</v>
      </c>
      <c r="OL27" s="14">
        <f>'[1]D-PS'!$EA$32</f>
        <v>0</v>
      </c>
      <c r="OM27" s="14">
        <f>'[1]D-PS'!$EA$33</f>
        <v>0</v>
      </c>
      <c r="ON27" s="14">
        <f>'[1]D-PS'!$EA$34</f>
        <v>0</v>
      </c>
      <c r="OO27" s="14">
        <f>'[1]D-PS'!$EA$35</f>
        <v>0</v>
      </c>
      <c r="OP27" s="14">
        <f>'[1]D-PS'!$EA$36</f>
        <v>0</v>
      </c>
      <c r="OQ27" s="14">
        <f>'[1]D-PS'!$EA$37</f>
        <v>0</v>
      </c>
      <c r="OR27" s="14">
        <f>'[1]D-PS'!$EA$38</f>
        <v>0</v>
      </c>
      <c r="OS27" s="14">
        <f>'[1]D-PS'!$EA$39</f>
        <v>0</v>
      </c>
      <c r="OT27" s="14">
        <f>'[1]D-PS'!$EA$40</f>
        <v>0</v>
      </c>
      <c r="OU27" s="14">
        <f>'[1]D-PS'!$EA$41</f>
        <v>0</v>
      </c>
      <c r="OV27" s="14">
        <f>'[1]D-PS'!$EA$42</f>
        <v>0</v>
      </c>
      <c r="OW27" s="14">
        <f>'[1]D-PS'!$EA$43</f>
        <v>0</v>
      </c>
      <c r="OX27" s="14">
        <f>'[1]D-PS'!$EA$44</f>
        <v>0</v>
      </c>
      <c r="OY27" s="14">
        <f>'[1]D-PS'!$EA$45</f>
        <v>0</v>
      </c>
      <c r="OZ27" s="14">
        <f>'[1]D-PS'!$EA$46</f>
        <v>0</v>
      </c>
      <c r="PA27" s="14">
        <f>'[1]D-PS'!$EA$47</f>
        <v>0</v>
      </c>
      <c r="PB27" s="14">
        <f>'[1]D-PS'!$EA$48</f>
        <v>0</v>
      </c>
      <c r="PC27" s="16">
        <f>SUM(NR27:PB27)</f>
        <v>6453161.01953125</v>
      </c>
    </row>
    <row r="28" spans="1:419" outlineLevel="1" x14ac:dyDescent="0.3">
      <c r="A28" s="46" t="s">
        <v>23</v>
      </c>
      <c r="B28" s="25">
        <f>'[2]CF PDP'!$DN$36</f>
        <v>23527521</v>
      </c>
      <c r="C28" s="25">
        <f>'[2]CF PDP'!$DN$37</f>
        <v>14390435</v>
      </c>
      <c r="D28" s="25">
        <f>'[2]CF PDP'!$DN$38</f>
        <v>8412180</v>
      </c>
      <c r="E28" s="25">
        <f>'[2]CF PDP'!$DN$39</f>
        <v>4873189</v>
      </c>
      <c r="F28" s="25">
        <f>'[2]CF PDP'!$DN$40</f>
        <v>2762171</v>
      </c>
      <c r="G28" s="25">
        <f>'[2]CF PDP'!$DN$41</f>
        <v>1252822</v>
      </c>
      <c r="H28" s="25">
        <f>'[2]CF PDP'!$DN$42</f>
        <v>0</v>
      </c>
      <c r="I28" s="25">
        <f>'[2]CF PDP'!$DN$43</f>
        <v>0</v>
      </c>
      <c r="J28" s="25">
        <f>'[2]CF PDP'!$DN$44</f>
        <v>0</v>
      </c>
      <c r="K28" s="25">
        <f>'[2]CF PDP'!$DN$45</f>
        <v>0</v>
      </c>
      <c r="L28" s="25">
        <f>'[2]CF PDP'!$DN$46</f>
        <v>0</v>
      </c>
      <c r="M28" s="25">
        <f>'[2]CF PDP'!$DN$47</f>
        <v>0</v>
      </c>
      <c r="N28" s="25">
        <f>'[2]CF PDP'!$DN$48</f>
        <v>0</v>
      </c>
      <c r="O28" s="25">
        <f>'[2]CF PDP'!$DN$49</f>
        <v>0</v>
      </c>
      <c r="P28" s="25">
        <f>'[2]CF PDP'!$DN$50</f>
        <v>0</v>
      </c>
      <c r="Q28" s="25">
        <f>'[2]CF PDP'!$DN$51</f>
        <v>0</v>
      </c>
      <c r="R28" s="25">
        <f>'[2]CF PDP'!$DN$52</f>
        <v>0</v>
      </c>
      <c r="S28" s="25">
        <f>'[2]CF PDP'!$DN$53</f>
        <v>0</v>
      </c>
      <c r="T28" s="25">
        <f>'[2]CF PDP'!$DN$54</f>
        <v>0</v>
      </c>
      <c r="U28" s="25">
        <f>'[2]CF PDP'!$DN$55</f>
        <v>0</v>
      </c>
      <c r="V28" s="25">
        <f>'[2]CF PDP'!$DN$56</f>
        <v>0</v>
      </c>
      <c r="W28" s="25">
        <f>'[2]CF PDP'!$DN$57</f>
        <v>0</v>
      </c>
      <c r="X28" s="25">
        <f>'[2]CF PDP'!$DN$58</f>
        <v>0</v>
      </c>
      <c r="Y28" s="25">
        <f>'[2]CF PDP'!$DN$59</f>
        <v>0</v>
      </c>
      <c r="Z28" s="25">
        <f>'[2]CF PDP'!$DN$60</f>
        <v>0</v>
      </c>
      <c r="AA28" s="25">
        <f>'[2]CF PDP'!$DN$61</f>
        <v>0</v>
      </c>
      <c r="AB28" s="25">
        <f>'[2]CF PDP'!$DN$62</f>
        <v>0</v>
      </c>
      <c r="AC28" s="25">
        <f>'[2]CF PDP'!$DN$63</f>
        <v>0</v>
      </c>
      <c r="AD28" s="25">
        <f>'[2]CF PDP'!$DN$64</f>
        <v>0</v>
      </c>
      <c r="AE28" s="25">
        <f>'[2]CF PDP'!$DN$65</f>
        <v>0</v>
      </c>
      <c r="AF28" s="25">
        <f>'[2]CF PDP'!$DN$66</f>
        <v>0</v>
      </c>
      <c r="AG28" s="25">
        <f>'[2]CF PDP'!$DN$67</f>
        <v>0</v>
      </c>
      <c r="AH28" s="25">
        <f>'[2]CF PDP'!$DN$68</f>
        <v>0</v>
      </c>
      <c r="AI28" s="25">
        <f>'[2]CF PDP'!$DN$69</f>
        <v>0</v>
      </c>
      <c r="AJ28" s="25">
        <f>'[2]CF PDP'!$DN$70</f>
        <v>0</v>
      </c>
      <c r="AK28" s="25">
        <f>'[2]CF PDP'!$DN$71</f>
        <v>0</v>
      </c>
      <c r="AL28" s="25">
        <f>'[2]CF PDP'!$DN$72</f>
        <v>0</v>
      </c>
      <c r="AM28" s="26">
        <f>SUM(B28:AL28)</f>
        <v>55218318</v>
      </c>
      <c r="AN28" s="27">
        <f>'[2]CF PNP'!$DN$36</f>
        <v>2657187</v>
      </c>
      <c r="AO28" s="25">
        <f>'[2]CF PNP'!$DN$37</f>
        <v>2268718</v>
      </c>
      <c r="AP28" s="25">
        <f>'[2]CF PNP'!$DN$38</f>
        <v>2373556</v>
      </c>
      <c r="AQ28" s="25">
        <f>'[2]CF PNP'!$DN$39</f>
        <v>1729158</v>
      </c>
      <c r="AR28" s="25">
        <f>'[2]CF PNP'!$DN$40</f>
        <v>1203834</v>
      </c>
      <c r="AS28" s="25">
        <f>'[2]CF PNP'!$DN$41</f>
        <v>866383</v>
      </c>
      <c r="AT28" s="25">
        <f>'[2]CF PNP'!$DN$42</f>
        <v>535555</v>
      </c>
      <c r="AU28" s="25">
        <f>'[2]CF PNP'!$DN$43</f>
        <v>0</v>
      </c>
      <c r="AV28" s="25">
        <f>'[2]CF PNP'!$DN$44</f>
        <v>0</v>
      </c>
      <c r="AW28" s="25">
        <f>'[2]CF PNP'!$DN$45</f>
        <v>0</v>
      </c>
      <c r="AX28" s="25">
        <f>'[2]CF PNP'!$DN$46</f>
        <v>0</v>
      </c>
      <c r="AY28" s="25">
        <f>'[2]CF PNP'!$DN$47</f>
        <v>0</v>
      </c>
      <c r="AZ28" s="25">
        <f>'[2]CF PNP'!$DN$48</f>
        <v>0</v>
      </c>
      <c r="BA28" s="25">
        <f>'[2]CF PNP'!$DN$49</f>
        <v>0</v>
      </c>
      <c r="BB28" s="25">
        <f>'[2]CF PNP'!$DN$50</f>
        <v>0</v>
      </c>
      <c r="BC28" s="25">
        <f>'[2]CF PNP'!$DN$51</f>
        <v>0</v>
      </c>
      <c r="BD28" s="25">
        <f>'[2]CF PNP'!$DN$52</f>
        <v>0</v>
      </c>
      <c r="BE28" s="25">
        <f>'[2]CF PNP'!$DN$53</f>
        <v>0</v>
      </c>
      <c r="BF28" s="25">
        <f>'[2]CF PNP'!$DN$54</f>
        <v>0</v>
      </c>
      <c r="BG28" s="25">
        <f>'[2]CF PNP'!$DN$55</f>
        <v>0</v>
      </c>
      <c r="BH28" s="25">
        <f>'[2]CF PNP'!$DN$56</f>
        <v>0</v>
      </c>
      <c r="BI28" s="25">
        <f>'[2]CF PNP'!$DN$57</f>
        <v>0</v>
      </c>
      <c r="BJ28" s="25">
        <f>'[2]CF PNP'!$DN$58</f>
        <v>0</v>
      </c>
      <c r="BK28" s="25">
        <f>'[2]CF PNP'!$DN$59</f>
        <v>0</v>
      </c>
      <c r="BL28" s="25">
        <f>'[2]CF PNP'!$DN$60</f>
        <v>0</v>
      </c>
      <c r="BM28" s="25">
        <f>'[2]CF PNP'!$DN$61</f>
        <v>0</v>
      </c>
      <c r="BN28" s="25">
        <f>'[2]CF PNP'!$DN$62</f>
        <v>0</v>
      </c>
      <c r="BO28" s="25">
        <f>'[2]CF PNP'!$DN$63</f>
        <v>0</v>
      </c>
      <c r="BP28" s="25">
        <f>'[2]CF PNP'!$DN$64</f>
        <v>0</v>
      </c>
      <c r="BQ28" s="25">
        <f>'[2]CF PNP'!$DN$65</f>
        <v>0</v>
      </c>
      <c r="BR28" s="25">
        <f>'[2]CF PNP'!$DN$66</f>
        <v>0</v>
      </c>
      <c r="BS28" s="25">
        <f>'[2]CF PNP'!$DN$67</f>
        <v>0</v>
      </c>
      <c r="BT28" s="25">
        <f>'[2]CF PNP'!$DN$68</f>
        <v>0</v>
      </c>
      <c r="BU28" s="25">
        <f>'[2]CF PNP'!$DN$69</f>
        <v>0</v>
      </c>
      <c r="BV28" s="25">
        <f>'[2]CF PNP'!$DN$70</f>
        <v>0</v>
      </c>
      <c r="BW28" s="25">
        <f>'[2]CF PNP'!$DN$71</f>
        <v>0</v>
      </c>
      <c r="BX28" s="25">
        <f>'[2]CF PNP'!$DN$72</f>
        <v>0</v>
      </c>
      <c r="BY28" s="26">
        <f>SUM(AN28:BX28)</f>
        <v>11634391</v>
      </c>
      <c r="BZ28" s="27">
        <f>'[2]CF PND'!$DN$36</f>
        <v>6789206</v>
      </c>
      <c r="CA28" s="25">
        <f>'[2]CF PND'!$DN$37</f>
        <v>6034901</v>
      </c>
      <c r="CB28" s="25">
        <f>'[2]CF PND'!$DN$38</f>
        <v>4355455</v>
      </c>
      <c r="CC28" s="25">
        <f>'[2]CF PND'!$DN$39</f>
        <v>5030018</v>
      </c>
      <c r="CD28" s="25">
        <f>'[2]CF PND'!$DN$40</f>
        <v>16898247</v>
      </c>
      <c r="CE28" s="25">
        <f>'[2]CF PND'!$DN$41</f>
        <v>23518743</v>
      </c>
      <c r="CF28" s="25">
        <f>'[2]CF PND'!$DN$42</f>
        <v>25668264</v>
      </c>
      <c r="CG28" s="25">
        <f>'[2]CF PND'!$DN$43</f>
        <v>17506053</v>
      </c>
      <c r="CH28" s="25">
        <f>'[2]CF PND'!$DN$44</f>
        <v>10137096</v>
      </c>
      <c r="CI28" s="25">
        <f>'[2]CF PND'!$DN$45</f>
        <v>0</v>
      </c>
      <c r="CJ28" s="25">
        <f>'[2]CF PND'!$DN$46</f>
        <v>0</v>
      </c>
      <c r="CK28" s="25">
        <f>'[2]CF PND'!$DN$47</f>
        <v>0</v>
      </c>
      <c r="CL28" s="25">
        <f>'[2]CF PND'!$DN$48</f>
        <v>0</v>
      </c>
      <c r="CM28" s="25">
        <f>'[2]CF PND'!$DN$49</f>
        <v>0</v>
      </c>
      <c r="CN28" s="25">
        <f>'[2]CF PND'!$DN$50</f>
        <v>0</v>
      </c>
      <c r="CO28" s="25">
        <f>'[2]CF PND'!$DN$51</f>
        <v>0</v>
      </c>
      <c r="CP28" s="25">
        <f>'[2]CF PND'!$DN$52</f>
        <v>0</v>
      </c>
      <c r="CQ28" s="25">
        <f>'[2]CF PND'!$DN$53</f>
        <v>0</v>
      </c>
      <c r="CR28" s="25">
        <f>'[2]CF PND'!$DN$54</f>
        <v>0</v>
      </c>
      <c r="CS28" s="25">
        <f>'[2]CF PND'!$DN$55</f>
        <v>0</v>
      </c>
      <c r="CT28" s="25">
        <f>'[2]CF PND'!$DN$56</f>
        <v>0</v>
      </c>
      <c r="CU28" s="25">
        <f>'[2]CF PND'!$DN$57</f>
        <v>0</v>
      </c>
      <c r="CV28" s="25">
        <f>'[2]CF PND'!$DN$58</f>
        <v>0</v>
      </c>
      <c r="CW28" s="25">
        <f>'[2]CF PND'!$DN$59</f>
        <v>0</v>
      </c>
      <c r="CX28" s="25">
        <f>'[2]CF PND'!$DN$60</f>
        <v>0</v>
      </c>
      <c r="CY28" s="25">
        <f>'[2]CF PND'!$DN$61</f>
        <v>0</v>
      </c>
      <c r="CZ28" s="25">
        <f>'[2]CF PND'!$DN$62</f>
        <v>0</v>
      </c>
      <c r="DA28" s="25">
        <f>'[2]CF PND'!$DN$63</f>
        <v>0</v>
      </c>
      <c r="DB28" s="25">
        <f>'[2]CF PND'!$DN$64</f>
        <v>0</v>
      </c>
      <c r="DC28" s="25">
        <f>'[2]CF PND'!$DN$65</f>
        <v>0</v>
      </c>
      <c r="DD28" s="25">
        <f>'[2]CF PND'!$DN$66</f>
        <v>0</v>
      </c>
      <c r="DE28" s="25">
        <f>'[2]CF PND'!$DN$67</f>
        <v>0</v>
      </c>
      <c r="DF28" s="25">
        <f>'[2]CF PND'!$DN$68</f>
        <v>0</v>
      </c>
      <c r="DG28" s="25">
        <f>'[2]CF PND'!$DN$69</f>
        <v>0</v>
      </c>
      <c r="DH28" s="25">
        <f>'[2]CF PND'!$DN$70</f>
        <v>0</v>
      </c>
      <c r="DI28" s="25">
        <f>'[2]CF PND'!$DN$71</f>
        <v>0</v>
      </c>
      <c r="DJ28" s="25">
        <f>'[2]CF PND'!$DN$72</f>
        <v>0</v>
      </c>
      <c r="DK28" s="26">
        <f>SUM(BZ28:DJ28)</f>
        <v>115937983</v>
      </c>
      <c r="DL28" s="69"/>
      <c r="DM28" s="70"/>
      <c r="DN28" s="70"/>
      <c r="DO28" s="70"/>
      <c r="DP28" s="70"/>
      <c r="DQ28" s="70"/>
      <c r="DR28" s="70"/>
      <c r="DS28" s="70"/>
      <c r="DT28" s="70"/>
      <c r="DU28" s="70"/>
      <c r="DV28" s="70"/>
      <c r="DW28" s="70"/>
      <c r="DX28" s="70"/>
      <c r="DY28" s="70"/>
      <c r="DZ28" s="70"/>
      <c r="EA28" s="70"/>
      <c r="EB28" s="70"/>
      <c r="EC28" s="70"/>
      <c r="ED28" s="70"/>
      <c r="EE28" s="70"/>
      <c r="EF28" s="70"/>
      <c r="EG28" s="70"/>
      <c r="EH28" s="70"/>
      <c r="EI28" s="70"/>
      <c r="EJ28" s="70"/>
      <c r="EK28" s="70"/>
      <c r="EL28" s="70"/>
      <c r="EM28" s="70"/>
      <c r="EN28" s="70"/>
      <c r="EO28" s="70"/>
      <c r="EP28" s="70"/>
      <c r="EQ28" s="70"/>
      <c r="ER28" s="70"/>
      <c r="ES28" s="70"/>
      <c r="ET28" s="70"/>
      <c r="EU28" s="70"/>
      <c r="EV28" s="70"/>
      <c r="EW28" s="71">
        <f>SUM(DL28:EV28)</f>
        <v>0</v>
      </c>
      <c r="EX28" s="69"/>
      <c r="EY28" s="70"/>
      <c r="EZ28" s="70"/>
      <c r="FA28" s="70"/>
      <c r="FB28" s="70"/>
      <c r="FC28" s="70"/>
      <c r="FD28" s="70"/>
      <c r="FE28" s="70"/>
      <c r="FF28" s="70"/>
      <c r="FG28" s="70"/>
      <c r="FH28" s="70"/>
      <c r="FI28" s="70"/>
      <c r="FJ28" s="70"/>
      <c r="FK28" s="70"/>
      <c r="FL28" s="70"/>
      <c r="FM28" s="70"/>
      <c r="FN28" s="70"/>
      <c r="FO28" s="70"/>
      <c r="FP28" s="70"/>
      <c r="FQ28" s="70"/>
      <c r="FR28" s="70"/>
      <c r="FS28" s="70"/>
      <c r="FT28" s="70"/>
      <c r="FU28" s="70"/>
      <c r="FV28" s="70"/>
      <c r="FW28" s="70"/>
      <c r="FX28" s="70"/>
      <c r="FY28" s="70"/>
      <c r="FZ28" s="70"/>
      <c r="GA28" s="70"/>
      <c r="GB28" s="70"/>
      <c r="GC28" s="70"/>
      <c r="GD28" s="70"/>
      <c r="GE28" s="70"/>
      <c r="GF28" s="70"/>
      <c r="GG28" s="70"/>
      <c r="GH28" s="70"/>
      <c r="GI28" s="71">
        <f>SUM(EX28:GH28)</f>
        <v>0</v>
      </c>
      <c r="GJ28" s="69"/>
      <c r="GK28" s="70"/>
      <c r="GL28" s="70"/>
      <c r="GM28" s="70"/>
      <c r="GN28" s="70"/>
      <c r="GO28" s="70"/>
      <c r="GP28" s="70"/>
      <c r="GQ28" s="70"/>
      <c r="GR28" s="70"/>
      <c r="GS28" s="70"/>
      <c r="GT28" s="70"/>
      <c r="GU28" s="70"/>
      <c r="GV28" s="70"/>
      <c r="GW28" s="70"/>
      <c r="GX28" s="70"/>
      <c r="GY28" s="70"/>
      <c r="GZ28" s="70"/>
      <c r="HA28" s="70"/>
      <c r="HB28" s="70"/>
      <c r="HC28" s="70"/>
      <c r="HD28" s="70"/>
      <c r="HE28" s="70"/>
      <c r="HF28" s="70"/>
      <c r="HG28" s="70"/>
      <c r="HH28" s="70"/>
      <c r="HI28" s="70"/>
      <c r="HJ28" s="70"/>
      <c r="HK28" s="70"/>
      <c r="HL28" s="70"/>
      <c r="HM28" s="70"/>
      <c r="HN28" s="70"/>
      <c r="HO28" s="70"/>
      <c r="HP28" s="70"/>
      <c r="HQ28" s="70"/>
      <c r="HR28" s="70"/>
      <c r="HS28" s="70"/>
      <c r="HT28" s="70"/>
      <c r="HU28" s="71">
        <f>SUM(GJ28:HT28)</f>
        <v>0</v>
      </c>
      <c r="HV28" s="27">
        <f>'[2]CF PRB'!$DN$36</f>
        <v>5386712</v>
      </c>
      <c r="HW28" s="25">
        <f>'[2]CF PRB'!$DN$37</f>
        <v>3920412</v>
      </c>
      <c r="HX28" s="25">
        <f>'[2]CF PRB'!$DN$38</f>
        <v>2888371</v>
      </c>
      <c r="HY28" s="25">
        <f>'[2]CF PRB'!$DN$39</f>
        <v>2422115</v>
      </c>
      <c r="HZ28" s="25">
        <f>'[2]CF PRB'!$DN$40</f>
        <v>1774654</v>
      </c>
      <c r="IA28" s="25">
        <f>'[2]CF PRB'!$DN$41</f>
        <v>1277018</v>
      </c>
      <c r="IB28" s="25">
        <f>'[2]CF PRB'!$DN$42</f>
        <v>816744</v>
      </c>
      <c r="IC28" s="25">
        <f>'[2]CF PRB'!$DN$43</f>
        <v>344865</v>
      </c>
      <c r="ID28" s="25">
        <f>'[2]CF PRB'!$DN$44</f>
        <v>176716</v>
      </c>
      <c r="IE28" s="25">
        <f>'[2]CF PRB'!$DN$45</f>
        <v>7606520</v>
      </c>
      <c r="IF28" s="25">
        <f>'[2]CF PRB'!$DN$46</f>
        <v>0</v>
      </c>
      <c r="IG28" s="25">
        <f>'[2]CF PRB'!$DN$47</f>
        <v>0</v>
      </c>
      <c r="IH28" s="25">
        <f>'[2]CF PRB'!$DN$48</f>
        <v>0</v>
      </c>
      <c r="II28" s="25">
        <f>'[2]CF PRB'!$DN$49</f>
        <v>0</v>
      </c>
      <c r="IJ28" s="25">
        <f>'[2]CF PRB'!$DN$50</f>
        <v>0</v>
      </c>
      <c r="IK28" s="25">
        <f>'[2]CF PRB'!$DN$51</f>
        <v>0</v>
      </c>
      <c r="IL28" s="25">
        <f>'[2]CF PRB'!$DN$52</f>
        <v>0</v>
      </c>
      <c r="IM28" s="25">
        <f>'[2]CF PRB'!$DN$53</f>
        <v>0</v>
      </c>
      <c r="IN28" s="25">
        <f>'[2]CF PRB'!$DN$54</f>
        <v>0</v>
      </c>
      <c r="IO28" s="25">
        <f>'[2]CF PRB'!$DN$55</f>
        <v>0</v>
      </c>
      <c r="IP28" s="25">
        <f>'[2]CF PRB'!$DN$56</f>
        <v>0</v>
      </c>
      <c r="IQ28" s="25">
        <f>'[2]CF PRB'!$DN$57</f>
        <v>0</v>
      </c>
      <c r="IR28" s="25">
        <f>'[2]CF PRB'!$DN$58</f>
        <v>0</v>
      </c>
      <c r="IS28" s="25">
        <f>'[2]CF PRB'!$DN$59</f>
        <v>0</v>
      </c>
      <c r="IT28" s="25">
        <f>'[2]CF PRB'!$DN$60</f>
        <v>0</v>
      </c>
      <c r="IU28" s="25">
        <f>'[2]CF PRB'!$DN$61</f>
        <v>0</v>
      </c>
      <c r="IV28" s="25">
        <f>'[2]CF PRB'!$DN$62</f>
        <v>0</v>
      </c>
      <c r="IW28" s="25">
        <f>'[2]CF PRB'!$DN$63</f>
        <v>0</v>
      </c>
      <c r="IX28" s="25">
        <f>'[2]CF PRB'!$DN$64</f>
        <v>0</v>
      </c>
      <c r="IY28" s="25">
        <f>'[2]CF PRB'!$DN$65</f>
        <v>0</v>
      </c>
      <c r="IZ28" s="25">
        <f>'[2]CF PRB'!$DN$66</f>
        <v>0</v>
      </c>
      <c r="JA28" s="25">
        <f>'[2]CF PRB'!$DN$67</f>
        <v>0</v>
      </c>
      <c r="JB28" s="25">
        <f>'[2]CF PRB'!$DN$68</f>
        <v>0</v>
      </c>
      <c r="JC28" s="25">
        <f>'[2]CF PRB'!$DN$69</f>
        <v>0</v>
      </c>
      <c r="JD28" s="25">
        <f>'[2]CF PRB'!$DN$70</f>
        <v>0</v>
      </c>
      <c r="JE28" s="25">
        <f>'[2]CF PRB'!$DN$71</f>
        <v>0</v>
      </c>
      <c r="JF28" s="25">
        <f>'[2]CF PRB'!$DN$72</f>
        <v>0</v>
      </c>
      <c r="JG28" s="26">
        <f>SUM(HV28:JF28)</f>
        <v>26614127</v>
      </c>
      <c r="JH28" s="69"/>
      <c r="JI28" s="70"/>
      <c r="JJ28" s="70"/>
      <c r="JK28" s="70"/>
      <c r="JL28" s="70"/>
      <c r="JM28" s="70"/>
      <c r="JN28" s="70"/>
      <c r="JO28" s="70"/>
      <c r="JP28" s="70"/>
      <c r="JQ28" s="70"/>
      <c r="JR28" s="70"/>
      <c r="JS28" s="70"/>
      <c r="JT28" s="70"/>
      <c r="JU28" s="70"/>
      <c r="JV28" s="70"/>
      <c r="JW28" s="70"/>
      <c r="JX28" s="70"/>
      <c r="JY28" s="70"/>
      <c r="JZ28" s="70"/>
      <c r="KA28" s="70"/>
      <c r="KB28" s="70"/>
      <c r="KC28" s="70"/>
      <c r="KD28" s="70"/>
      <c r="KE28" s="70"/>
      <c r="KF28" s="70"/>
      <c r="KG28" s="70"/>
      <c r="KH28" s="70"/>
      <c r="KI28" s="70"/>
      <c r="KJ28" s="70"/>
      <c r="KK28" s="70"/>
      <c r="KL28" s="70"/>
      <c r="KM28" s="70"/>
      <c r="KN28" s="70"/>
      <c r="KO28" s="70"/>
      <c r="KP28" s="70"/>
      <c r="KQ28" s="70"/>
      <c r="KR28" s="70"/>
      <c r="KS28" s="71">
        <f>SUM(JH28:KR28)</f>
        <v>0</v>
      </c>
      <c r="KT28" s="69"/>
      <c r="KU28" s="70"/>
      <c r="KV28" s="70"/>
      <c r="KW28" s="70"/>
      <c r="KX28" s="70"/>
      <c r="KY28" s="70"/>
      <c r="KZ28" s="70"/>
      <c r="LA28" s="70"/>
      <c r="LB28" s="70"/>
      <c r="LC28" s="70"/>
      <c r="LD28" s="70"/>
      <c r="LE28" s="70"/>
      <c r="LF28" s="70"/>
      <c r="LG28" s="70"/>
      <c r="LH28" s="70"/>
      <c r="LI28" s="70"/>
      <c r="LJ28" s="70"/>
      <c r="LK28" s="70"/>
      <c r="LL28" s="70"/>
      <c r="LM28" s="70"/>
      <c r="LN28" s="70"/>
      <c r="LO28" s="70"/>
      <c r="LP28" s="70"/>
      <c r="LQ28" s="70"/>
      <c r="LR28" s="70"/>
      <c r="LS28" s="70"/>
      <c r="LT28" s="70"/>
      <c r="LU28" s="70"/>
      <c r="LV28" s="70"/>
      <c r="LW28" s="70"/>
      <c r="LX28" s="70"/>
      <c r="LY28" s="70"/>
      <c r="LZ28" s="70"/>
      <c r="MA28" s="70"/>
      <c r="MB28" s="70"/>
      <c r="MC28" s="70"/>
      <c r="MD28" s="70"/>
      <c r="ME28" s="71">
        <f>SUM(KT28:MD28)</f>
        <v>0</v>
      </c>
      <c r="MF28" s="69"/>
      <c r="MG28" s="70"/>
      <c r="MH28" s="70"/>
      <c r="MI28" s="70"/>
      <c r="MJ28" s="70"/>
      <c r="MK28" s="70"/>
      <c r="ML28" s="70"/>
      <c r="MM28" s="70"/>
      <c r="MN28" s="70"/>
      <c r="MO28" s="70"/>
      <c r="MP28" s="70"/>
      <c r="MQ28" s="70"/>
      <c r="MR28" s="70"/>
      <c r="MS28" s="70"/>
      <c r="MT28" s="70"/>
      <c r="MU28" s="70"/>
      <c r="MV28" s="70"/>
      <c r="MW28" s="70"/>
      <c r="MX28" s="70"/>
      <c r="MY28" s="70"/>
      <c r="MZ28" s="70"/>
      <c r="NA28" s="70"/>
      <c r="NB28" s="70"/>
      <c r="NC28" s="70"/>
      <c r="ND28" s="70"/>
      <c r="NE28" s="70"/>
      <c r="NF28" s="70"/>
      <c r="NG28" s="70"/>
      <c r="NH28" s="70"/>
      <c r="NI28" s="70"/>
      <c r="NJ28" s="70"/>
      <c r="NK28" s="70"/>
      <c r="NL28" s="70"/>
      <c r="NM28" s="70"/>
      <c r="NN28" s="70"/>
      <c r="NO28" s="70"/>
      <c r="NP28" s="70"/>
      <c r="NQ28" s="71">
        <f>SUM(MF28:NP28)</f>
        <v>0</v>
      </c>
      <c r="NR28" s="25">
        <f>'[2]CF PS'!$DN$36</f>
        <v>1869189</v>
      </c>
      <c r="NS28" s="25">
        <f>'[2]CF PS'!$DN$37</f>
        <v>1466702</v>
      </c>
      <c r="NT28" s="25">
        <f>'[2]CF PS'!$DN$38</f>
        <v>1014168</v>
      </c>
      <c r="NU28" s="25">
        <f>'[2]CF PS'!$DN$39</f>
        <v>697072</v>
      </c>
      <c r="NV28" s="25">
        <f>'[2]CF PS'!$DN$40</f>
        <v>473006</v>
      </c>
      <c r="NW28" s="25">
        <f>'[2]CF PS'!$DN$41</f>
        <v>299993</v>
      </c>
      <c r="NX28" s="25">
        <f>'[2]CF PS'!$DN$42</f>
        <v>0</v>
      </c>
      <c r="NY28" s="25">
        <f>'[2]CF PS'!$DN$43</f>
        <v>186369</v>
      </c>
      <c r="NZ28" s="25">
        <f>'[2]CF PS'!$DN$44</f>
        <v>209370</v>
      </c>
      <c r="OA28" s="25">
        <f>'[2]CF PS'!$DN$45</f>
        <v>194292</v>
      </c>
      <c r="OB28" s="25">
        <f>'[2]CF PS'!$DN$46</f>
        <v>0</v>
      </c>
      <c r="OC28" s="25">
        <f>'[2]CF PS'!$DN$47</f>
        <v>0</v>
      </c>
      <c r="OD28" s="25">
        <f>'[2]CF PS'!$DN$48</f>
        <v>0</v>
      </c>
      <c r="OE28" s="25">
        <f>'[2]CF PS'!$DN$49</f>
        <v>0</v>
      </c>
      <c r="OF28" s="25">
        <f>'[2]CF PS'!$DN$50</f>
        <v>0</v>
      </c>
      <c r="OG28" s="25">
        <f>'[2]CF PS'!$DN$51</f>
        <v>0</v>
      </c>
      <c r="OH28" s="25">
        <f>'[2]CF PS'!$DN$52</f>
        <v>0</v>
      </c>
      <c r="OI28" s="25">
        <f>'[2]CF PS'!$DN$53</f>
        <v>0</v>
      </c>
      <c r="OJ28" s="25">
        <f>'[2]CF PS'!$DN$54</f>
        <v>0</v>
      </c>
      <c r="OK28" s="25">
        <f>'[2]CF PS'!$DN$55</f>
        <v>0</v>
      </c>
      <c r="OL28" s="25">
        <f>'[2]CF PS'!$DN$56</f>
        <v>0</v>
      </c>
      <c r="OM28" s="25">
        <f>'[2]CF PS'!$DN$57</f>
        <v>0</v>
      </c>
      <c r="ON28" s="25">
        <f>'[2]CF PS'!$DN$58</f>
        <v>0</v>
      </c>
      <c r="OO28" s="25">
        <f>'[2]CF PS'!$DN$59</f>
        <v>0</v>
      </c>
      <c r="OP28" s="25">
        <f>'[2]CF PS'!$DN$60</f>
        <v>0</v>
      </c>
      <c r="OQ28" s="25">
        <f>'[2]CF PS'!$DN$61</f>
        <v>0</v>
      </c>
      <c r="OR28" s="25">
        <f>'[2]CF PS'!$DN$62</f>
        <v>0</v>
      </c>
      <c r="OS28" s="25">
        <f>'[2]CF PS'!$DN$63</f>
        <v>0</v>
      </c>
      <c r="OT28" s="25">
        <f>'[2]CF PS'!$DN$64</f>
        <v>0</v>
      </c>
      <c r="OU28" s="25">
        <f>'[2]CF PS'!$DN$65</f>
        <v>0</v>
      </c>
      <c r="OV28" s="25">
        <f>'[2]CF PS'!$DN$66</f>
        <v>0</v>
      </c>
      <c r="OW28" s="25">
        <f>'[2]CF PS'!$DN$67</f>
        <v>0</v>
      </c>
      <c r="OX28" s="25">
        <f>'[2]CF PS'!$DN$68</f>
        <v>0</v>
      </c>
      <c r="OY28" s="25">
        <f>'[2]CF PS'!$DN$69</f>
        <v>0</v>
      </c>
      <c r="OZ28" s="25">
        <f>'[2]CF PS'!$DN$70</f>
        <v>0</v>
      </c>
      <c r="PA28" s="25">
        <f>'[2]CF PS'!$DN$71</f>
        <v>0</v>
      </c>
      <c r="PB28" s="25">
        <f>'[2]CF PS'!$DN$72</f>
        <v>0</v>
      </c>
      <c r="PC28" s="26">
        <f>SUM(NR28:PB28)</f>
        <v>6410161</v>
      </c>
    </row>
    <row r="29" spans="1:419" ht="16.5" thickBot="1" x14ac:dyDescent="0.35">
      <c r="A29" s="47" t="s">
        <v>24</v>
      </c>
      <c r="B29" s="40">
        <f>IF(AND(B27&lt;&gt;0,B28&lt;&gt;0),(B27-B28)/B28,IF(AND(B27=0,B28=0),"",IF(AND(B27="",B28=""),"",IF(AND(B27=0,B28=""),"", IF(AND(B27="",B28=0),"",1)))))</f>
        <v>1.0410999101860328E-2</v>
      </c>
      <c r="C29" s="40">
        <f t="shared" ref="C29" si="913">IF(AND(C27&lt;&gt;0,C28&lt;&gt;0),(C27-C28)/C28,IF(AND(C27=0,C28=0),"",IF(AND(C27="",C28=""),"",IF(AND(C27=0,C28=""),"", IF(AND(C27="",C28=0),"",1)))))</f>
        <v>2.2759909620522243E-2</v>
      </c>
      <c r="D29" s="40">
        <f t="shared" ref="D29" si="914">IF(AND(D27&lt;&gt;0,D28&lt;&gt;0),(D27-D28)/D28,IF(AND(D27=0,D28=0),"",IF(AND(D27="",D28=""),"",IF(AND(D27=0,D28=""),"", IF(AND(D27="",D28=0),"",1)))))</f>
        <v>4.8044977639565487E-2</v>
      </c>
      <c r="E29" s="40">
        <f t="shared" ref="E29" si="915">IF(AND(E27&lt;&gt;0,E28&lt;&gt;0),(E27-E28)/E28,IF(AND(E27=0,E28=0),"",IF(AND(E27="",E28=""),"",IF(AND(E27=0,E28=""),"", IF(AND(E27="",E28=0),"",1)))))</f>
        <v>9.4935882847966696E-2</v>
      </c>
      <c r="F29" s="40">
        <f t="shared" ref="F29" si="916">IF(AND(F27&lt;&gt;0,F28&lt;&gt;0),(F27-F28)/F28,IF(AND(F27=0,F28=0),"",IF(AND(F27="",F28=""),"",IF(AND(F27=0,F28=""),"", IF(AND(F27="",F28=0),"",1)))))</f>
        <v>0.26747909524790464</v>
      </c>
      <c r="G29" s="40">
        <f t="shared" ref="G29" si="917">IF(AND(G27&lt;&gt;0,G28&lt;&gt;0),(G27-G28)/G28,IF(AND(G27=0,G28=0),"",IF(AND(G27="",G28=""),"",IF(AND(G27=0,G28=""),"", IF(AND(G27="",G28=0),"",1)))))</f>
        <v>0.66221189043615136</v>
      </c>
      <c r="H29" s="40">
        <f t="shared" ref="H29" si="918">IF(AND(H27&lt;&gt;0,H28&lt;&gt;0),(H27-H28)/H28,IF(AND(H27=0,H28=0),"",IF(AND(H27="",H28=""),"",IF(AND(H27=0,H28=""),"", IF(AND(H27="",H28=0),"",1)))))</f>
        <v>1</v>
      </c>
      <c r="I29" s="40">
        <f t="shared" ref="I29" si="919">IF(AND(I27&lt;&gt;0,I28&lt;&gt;0),(I27-I28)/I28,IF(AND(I27=0,I28=0),"",IF(AND(I27="",I28=""),"",IF(AND(I27=0,I28=""),"", IF(AND(I27="",I28=0),"",1)))))</f>
        <v>1</v>
      </c>
      <c r="J29" s="40">
        <f t="shared" ref="J29" si="920">IF(AND(J27&lt;&gt;0,J28&lt;&gt;0),(J27-J28)/J28,IF(AND(J27=0,J28=0),"",IF(AND(J27="",J28=""),"",IF(AND(J27=0,J28=""),"", IF(AND(J27="",J28=0),"",1)))))</f>
        <v>1</v>
      </c>
      <c r="K29" s="40">
        <f t="shared" ref="K29" si="921">IF(AND(K27&lt;&gt;0,K28&lt;&gt;0),(K27-K28)/K28,IF(AND(K27=0,K28=0),"",IF(AND(K27="",K28=""),"",IF(AND(K27=0,K28=""),"", IF(AND(K27="",K28=0),"",1)))))</f>
        <v>1</v>
      </c>
      <c r="L29" s="40">
        <f t="shared" ref="L29" si="922">IF(AND(L27&lt;&gt;0,L28&lt;&gt;0),(L27-L28)/L28,IF(AND(L27=0,L28=0),"",IF(AND(L27="",L28=""),"",IF(AND(L27=0,L28=""),"", IF(AND(L27="",L28=0),"",1)))))</f>
        <v>1</v>
      </c>
      <c r="M29" s="40" t="str">
        <f t="shared" ref="M29" si="923">IF(AND(M27&lt;&gt;0,M28&lt;&gt;0),(M27-M28)/M28,IF(AND(M27=0,M28=0),"",IF(AND(M27="",M28=""),"",IF(AND(M27=0,M28=""),"", IF(AND(M27="",M28=0),"",1)))))</f>
        <v/>
      </c>
      <c r="N29" s="40" t="str">
        <f t="shared" ref="N29" si="924">IF(AND(N27&lt;&gt;0,N28&lt;&gt;0),(N27-N28)/N28,IF(AND(N27=0,N28=0),"",IF(AND(N27="",N28=""),"",IF(AND(N27=0,N28=""),"", IF(AND(N27="",N28=0),"",1)))))</f>
        <v/>
      </c>
      <c r="O29" s="40" t="str">
        <f t="shared" ref="O29" si="925">IF(AND(O27&lt;&gt;0,O28&lt;&gt;0),(O27-O28)/O28,IF(AND(O27=0,O28=0),"",IF(AND(O27="",O28=""),"",IF(AND(O27=0,O28=""),"", IF(AND(O27="",O28=0),"",1)))))</f>
        <v/>
      </c>
      <c r="P29" s="40" t="str">
        <f t="shared" ref="P29" si="926">IF(AND(P27&lt;&gt;0,P28&lt;&gt;0),(P27-P28)/P28,IF(AND(P27=0,P28=0),"",IF(AND(P27="",P28=""),"",IF(AND(P27=0,P28=""),"", IF(AND(P27="",P28=0),"",1)))))</f>
        <v/>
      </c>
      <c r="Q29" s="40" t="str">
        <f t="shared" ref="Q29" si="927">IF(AND(Q27&lt;&gt;0,Q28&lt;&gt;0),(Q27-Q28)/Q28,IF(AND(Q27=0,Q28=0),"",IF(AND(Q27="",Q28=""),"",IF(AND(Q27=0,Q28=""),"", IF(AND(Q27="",Q28=0),"",1)))))</f>
        <v/>
      </c>
      <c r="R29" s="40" t="str">
        <f t="shared" ref="R29" si="928">IF(AND(R27&lt;&gt;0,R28&lt;&gt;0),(R27-R28)/R28,IF(AND(R27=0,R28=0),"",IF(AND(R27="",R28=""),"",IF(AND(R27=0,R28=""),"", IF(AND(R27="",R28=0),"",1)))))</f>
        <v/>
      </c>
      <c r="S29" s="40" t="str">
        <f t="shared" ref="S29" si="929">IF(AND(S27&lt;&gt;0,S28&lt;&gt;0),(S27-S28)/S28,IF(AND(S27=0,S28=0),"",IF(AND(S27="",S28=""),"",IF(AND(S27=0,S28=""),"", IF(AND(S27="",S28=0),"",1)))))</f>
        <v/>
      </c>
      <c r="T29" s="40" t="str">
        <f t="shared" ref="T29" si="930">IF(AND(T27&lt;&gt;0,T28&lt;&gt;0),(T27-T28)/T28,IF(AND(T27=0,T28=0),"",IF(AND(T27="",T28=""),"",IF(AND(T27=0,T28=""),"", IF(AND(T27="",T28=0),"",1)))))</f>
        <v/>
      </c>
      <c r="U29" s="40" t="str">
        <f t="shared" ref="U29" si="931">IF(AND(U27&lt;&gt;0,U28&lt;&gt;0),(U27-U28)/U28,IF(AND(U27=0,U28=0),"",IF(AND(U27="",U28=""),"",IF(AND(U27=0,U28=""),"", IF(AND(U27="",U28=0),"",1)))))</f>
        <v/>
      </c>
      <c r="V29" s="40" t="str">
        <f t="shared" ref="V29" si="932">IF(AND(V27&lt;&gt;0,V28&lt;&gt;0),(V27-V28)/V28,IF(AND(V27=0,V28=0),"",IF(AND(V27="",V28=""),"",IF(AND(V27=0,V28=""),"", IF(AND(V27="",V28=0),"",1)))))</f>
        <v/>
      </c>
      <c r="W29" s="40" t="str">
        <f t="shared" ref="W29" si="933">IF(AND(W27&lt;&gt;0,W28&lt;&gt;0),(W27-W28)/W28,IF(AND(W27=0,W28=0),"",IF(AND(W27="",W28=""),"",IF(AND(W27=0,W28=""),"", IF(AND(W27="",W28=0),"",1)))))</f>
        <v/>
      </c>
      <c r="X29" s="40" t="str">
        <f t="shared" ref="X29:AL29" si="934">IF(AND(X27&lt;&gt;0,X28&lt;&gt;0),(X27-X28)/X28,IF(AND(X27=0,X28=0),"",IF(AND(X27="",X28=""),"",IF(AND(X27=0,X28=""),"", IF(AND(X27="",X28=0),"",1)))))</f>
        <v/>
      </c>
      <c r="Y29" s="40" t="str">
        <f t="shared" si="934"/>
        <v/>
      </c>
      <c r="Z29" s="40" t="str">
        <f t="shared" si="934"/>
        <v/>
      </c>
      <c r="AA29" s="40" t="str">
        <f t="shared" si="934"/>
        <v/>
      </c>
      <c r="AB29" s="40" t="str">
        <f t="shared" si="934"/>
        <v/>
      </c>
      <c r="AC29" s="40" t="str">
        <f t="shared" si="934"/>
        <v/>
      </c>
      <c r="AD29" s="40" t="str">
        <f t="shared" si="934"/>
        <v/>
      </c>
      <c r="AE29" s="40" t="str">
        <f t="shared" si="934"/>
        <v/>
      </c>
      <c r="AF29" s="40" t="str">
        <f t="shared" si="934"/>
        <v/>
      </c>
      <c r="AG29" s="40" t="str">
        <f t="shared" si="934"/>
        <v/>
      </c>
      <c r="AH29" s="40" t="str">
        <f t="shared" si="934"/>
        <v/>
      </c>
      <c r="AI29" s="40" t="str">
        <f t="shared" si="934"/>
        <v/>
      </c>
      <c r="AJ29" s="40" t="str">
        <f t="shared" si="934"/>
        <v/>
      </c>
      <c r="AK29" s="40" t="str">
        <f t="shared" si="934"/>
        <v/>
      </c>
      <c r="AL29" s="40" t="str">
        <f t="shared" si="934"/>
        <v/>
      </c>
      <c r="AM29" s="41">
        <f t="shared" ref="AM29" si="935">IF(AND(AM27&lt;&gt;0,AM28&lt;&gt;0),(AM27-AM28)/AM28,IF(AND(AM27=0,AM28=0),"",IF(AND(AM27="",AM28=""),"",IF(AND(AM27=0,AM28=""),"", IF(AND(AM27="",AM28=0),"",1)))))</f>
        <v>8.3450220513355058E-2</v>
      </c>
      <c r="AN29" s="39">
        <f t="shared" ref="AN29" si="936">IF(AND(AN27&lt;&gt;0,AN28&lt;&gt;0),(AN27-AN28)/AN28,IF(AND(AN27=0,AN28=0),"",IF(AND(AN27="",AN28=""),"",IF(AND(AN27=0,AN28=""),"", IF(AND(AN27="",AN28=0),"",1)))))</f>
        <v>-2.6225666466078601E-2</v>
      </c>
      <c r="AO29" s="40">
        <f t="shared" ref="AO29" si="937">IF(AND(AO27&lt;&gt;0,AO28&lt;&gt;0),(AO27-AO28)/AO28,IF(AND(AO27=0,AO28=0),"",IF(AND(AO27="",AO28=""),"",IF(AND(AO27=0,AO28=""),"", IF(AND(AO27="",AO28=0),"",1)))))</f>
        <v>-4.010051050857797E-2</v>
      </c>
      <c r="AP29" s="40">
        <f t="shared" ref="AP29" si="938">IF(AND(AP27&lt;&gt;0,AP28&lt;&gt;0),(AP27-AP28)/AP28,IF(AND(AP27=0,AP28=0),"",IF(AND(AP27="",AP28=""),"",IF(AND(AP27=0,AP28=""),"", IF(AND(AP27="",AP28=0),"",1)))))</f>
        <v>-5.3014337980650132E-2</v>
      </c>
      <c r="AQ29" s="40">
        <f t="shared" ref="AQ29" si="939">IF(AND(AQ27&lt;&gt;0,AQ28&lt;&gt;0),(AQ27-AQ28)/AQ28,IF(AND(AQ27=0,AQ28=0),"",IF(AND(AQ27="",AQ28=""),"",IF(AND(AQ27=0,AQ28=""),"", IF(AND(AQ27="",AQ28=0),"",1)))))</f>
        <v>-7.2817593880952464E-2</v>
      </c>
      <c r="AR29" s="40">
        <f t="shared" ref="AR29" si="940">IF(AND(AR27&lt;&gt;0,AR28&lt;&gt;0),(AR27-AR28)/AR28,IF(AND(AR27=0,AR28=0),"",IF(AND(AR27="",AR28=""),"",IF(AND(AR27=0,AR28=""),"", IF(AND(AR27="",AR28=0),"",1)))))</f>
        <v>-4.0720522929241075E-2</v>
      </c>
      <c r="AS29" s="40">
        <f t="shared" ref="AS29" si="941">IF(AND(AS27&lt;&gt;0,AS28&lt;&gt;0),(AS27-AS28)/AS28,IF(AND(AS27=0,AS28=0),"",IF(AND(AS27="",AS28=""),"",IF(AND(AS27=0,AS28=""),"", IF(AND(AS27="",AS28=0),"",1)))))</f>
        <v>-3.4292858931904251E-2</v>
      </c>
      <c r="AT29" s="40">
        <f t="shared" ref="AT29" si="942">IF(AND(AT27&lt;&gt;0,AT28&lt;&gt;0),(AT27-AT28)/AT28,IF(AND(AT27=0,AT28=0),"",IF(AND(AT27="",AT28=""),"",IF(AND(AT27=0,AT28=""),"", IF(AND(AT27="",AT28=0),"",1)))))</f>
        <v>-8.4018798256014784E-2</v>
      </c>
      <c r="AU29" s="40">
        <f t="shared" ref="AU29" si="943">IF(AND(AU27&lt;&gt;0,AU28&lt;&gt;0),(AU27-AU28)/AU28,IF(AND(AU27=0,AU28=0),"",IF(AND(AU27="",AU28=""),"",IF(AND(AU27=0,AU28=""),"", IF(AND(AU27="",AU28=0),"",1)))))</f>
        <v>1</v>
      </c>
      <c r="AV29" s="40">
        <f t="shared" ref="AV29" si="944">IF(AND(AV27&lt;&gt;0,AV28&lt;&gt;0),(AV27-AV28)/AV28,IF(AND(AV27=0,AV28=0),"",IF(AND(AV27="",AV28=""),"",IF(AND(AV27=0,AV28=""),"", IF(AND(AV27="",AV28=0),"",1)))))</f>
        <v>1</v>
      </c>
      <c r="AW29" s="40" t="str">
        <f t="shared" ref="AW29" si="945">IF(AND(AW27&lt;&gt;0,AW28&lt;&gt;0),(AW27-AW28)/AW28,IF(AND(AW27=0,AW28=0),"",IF(AND(AW27="",AW28=""),"",IF(AND(AW27=0,AW28=""),"", IF(AND(AW27="",AW28=0),"",1)))))</f>
        <v/>
      </c>
      <c r="AX29" s="40" t="str">
        <f t="shared" ref="AX29" si="946">IF(AND(AX27&lt;&gt;0,AX28&lt;&gt;0),(AX27-AX28)/AX28,IF(AND(AX27=0,AX28=0),"",IF(AND(AX27="",AX28=""),"",IF(AND(AX27=0,AX28=""),"", IF(AND(AX27="",AX28=0),"",1)))))</f>
        <v/>
      </c>
      <c r="AY29" s="40" t="str">
        <f t="shared" ref="AY29" si="947">IF(AND(AY27&lt;&gt;0,AY28&lt;&gt;0),(AY27-AY28)/AY28,IF(AND(AY27=0,AY28=0),"",IF(AND(AY27="",AY28=""),"",IF(AND(AY27=0,AY28=""),"", IF(AND(AY27="",AY28=0),"",1)))))</f>
        <v/>
      </c>
      <c r="AZ29" s="40" t="str">
        <f t="shared" ref="AZ29" si="948">IF(AND(AZ27&lt;&gt;0,AZ28&lt;&gt;0),(AZ27-AZ28)/AZ28,IF(AND(AZ27=0,AZ28=0),"",IF(AND(AZ27="",AZ28=""),"",IF(AND(AZ27=0,AZ28=""),"", IF(AND(AZ27="",AZ28=0),"",1)))))</f>
        <v/>
      </c>
      <c r="BA29" s="40" t="str">
        <f t="shared" ref="BA29" si="949">IF(AND(BA27&lt;&gt;0,BA28&lt;&gt;0),(BA27-BA28)/BA28,IF(AND(BA27=0,BA28=0),"",IF(AND(BA27="",BA28=""),"",IF(AND(BA27=0,BA28=""),"", IF(AND(BA27="",BA28=0),"",1)))))</f>
        <v/>
      </c>
      <c r="BB29" s="40" t="str">
        <f t="shared" ref="BB29" si="950">IF(AND(BB27&lt;&gt;0,BB28&lt;&gt;0),(BB27-BB28)/BB28,IF(AND(BB27=0,BB28=0),"",IF(AND(BB27="",BB28=""),"",IF(AND(BB27=0,BB28=""),"", IF(AND(BB27="",BB28=0),"",1)))))</f>
        <v/>
      </c>
      <c r="BC29" s="40" t="str">
        <f t="shared" ref="BC29" si="951">IF(AND(BC27&lt;&gt;0,BC28&lt;&gt;0),(BC27-BC28)/BC28,IF(AND(BC27=0,BC28=0),"",IF(AND(BC27="",BC28=""),"",IF(AND(BC27=0,BC28=""),"", IF(AND(BC27="",BC28=0),"",1)))))</f>
        <v/>
      </c>
      <c r="BD29" s="40" t="str">
        <f t="shared" ref="BD29" si="952">IF(AND(BD27&lt;&gt;0,BD28&lt;&gt;0),(BD27-BD28)/BD28,IF(AND(BD27=0,BD28=0),"",IF(AND(BD27="",BD28=""),"",IF(AND(BD27=0,BD28=""),"", IF(AND(BD27="",BD28=0),"",1)))))</f>
        <v/>
      </c>
      <c r="BE29" s="40" t="str">
        <f t="shared" ref="BE29" si="953">IF(AND(BE27&lt;&gt;0,BE28&lt;&gt;0),(BE27-BE28)/BE28,IF(AND(BE27=0,BE28=0),"",IF(AND(BE27="",BE28=""),"",IF(AND(BE27=0,BE28=""),"", IF(AND(BE27="",BE28=0),"",1)))))</f>
        <v/>
      </c>
      <c r="BF29" s="40" t="str">
        <f t="shared" ref="BF29" si="954">IF(AND(BF27&lt;&gt;0,BF28&lt;&gt;0),(BF27-BF28)/BF28,IF(AND(BF27=0,BF28=0),"",IF(AND(BF27="",BF28=""),"",IF(AND(BF27=0,BF28=""),"", IF(AND(BF27="",BF28=0),"",1)))))</f>
        <v/>
      </c>
      <c r="BG29" s="40" t="str">
        <f t="shared" ref="BG29" si="955">IF(AND(BG27&lt;&gt;0,BG28&lt;&gt;0),(BG27-BG28)/BG28,IF(AND(BG27=0,BG28=0),"",IF(AND(BG27="",BG28=""),"",IF(AND(BG27=0,BG28=""),"", IF(AND(BG27="",BG28=0),"",1)))))</f>
        <v/>
      </c>
      <c r="BH29" s="40" t="str">
        <f t="shared" ref="BH29" si="956">IF(AND(BH27&lt;&gt;0,BH28&lt;&gt;0),(BH27-BH28)/BH28,IF(AND(BH27=0,BH28=0),"",IF(AND(BH27="",BH28=""),"",IF(AND(BH27=0,BH28=""),"", IF(AND(BH27="",BH28=0),"",1)))))</f>
        <v/>
      </c>
      <c r="BI29" s="40" t="str">
        <f t="shared" ref="BI29" si="957">IF(AND(BI27&lt;&gt;0,BI28&lt;&gt;0),(BI27-BI28)/BI28,IF(AND(BI27=0,BI28=0),"",IF(AND(BI27="",BI28=""),"",IF(AND(BI27=0,BI28=""),"", IF(AND(BI27="",BI28=0),"",1)))))</f>
        <v/>
      </c>
      <c r="BJ29" s="40" t="str">
        <f t="shared" ref="BJ29:BX29" si="958">IF(AND(BJ27&lt;&gt;0,BJ28&lt;&gt;0),(BJ27-BJ28)/BJ28,IF(AND(BJ27=0,BJ28=0),"",IF(AND(BJ27="",BJ28=""),"",IF(AND(BJ27=0,BJ28=""),"", IF(AND(BJ27="",BJ28=0),"",1)))))</f>
        <v/>
      </c>
      <c r="BK29" s="40" t="str">
        <f t="shared" si="958"/>
        <v/>
      </c>
      <c r="BL29" s="40" t="str">
        <f t="shared" si="958"/>
        <v/>
      </c>
      <c r="BM29" s="40" t="str">
        <f t="shared" si="958"/>
        <v/>
      </c>
      <c r="BN29" s="40" t="str">
        <f t="shared" si="958"/>
        <v/>
      </c>
      <c r="BO29" s="40" t="str">
        <f t="shared" si="958"/>
        <v/>
      </c>
      <c r="BP29" s="40" t="str">
        <f t="shared" si="958"/>
        <v/>
      </c>
      <c r="BQ29" s="40" t="str">
        <f t="shared" si="958"/>
        <v/>
      </c>
      <c r="BR29" s="40" t="str">
        <f t="shared" si="958"/>
        <v/>
      </c>
      <c r="BS29" s="40" t="str">
        <f t="shared" si="958"/>
        <v/>
      </c>
      <c r="BT29" s="40" t="str">
        <f t="shared" si="958"/>
        <v/>
      </c>
      <c r="BU29" s="40" t="str">
        <f t="shared" si="958"/>
        <v/>
      </c>
      <c r="BV29" s="40" t="str">
        <f t="shared" si="958"/>
        <v/>
      </c>
      <c r="BW29" s="40" t="str">
        <f t="shared" si="958"/>
        <v/>
      </c>
      <c r="BX29" s="40" t="str">
        <f t="shared" si="958"/>
        <v/>
      </c>
      <c r="BY29" s="41">
        <f t="shared" ref="BY29" si="959">IF(AND(BY27&lt;&gt;0,BY28&lt;&gt;0),(BY27-BY28)/BY28,IF(AND(BY27=0,BY28=0),"",IF(AND(BY27="",BY28=""),"",IF(AND(BY27=0,BY28=""),"", IF(AND(BY27="",BY28=0),"",1)))))</f>
        <v>-2.1240185670225453E-2</v>
      </c>
      <c r="BZ29" s="39">
        <f t="shared" ref="BZ29" si="960">IF(AND(BZ27&lt;&gt;0,BZ28&lt;&gt;0),(BZ27-BZ28)/BZ28,IF(AND(BZ27=0,BZ28=0),"",IF(AND(BZ27="",BZ28=""),"",IF(AND(BZ27=0,BZ28=""),"", IF(AND(BZ27="",BZ28=0),"",1)))))</f>
        <v>-2.4890392190191311E-2</v>
      </c>
      <c r="CA29" s="40">
        <f t="shared" ref="CA29" si="961">IF(AND(CA27&lt;&gt;0,CA28&lt;&gt;0),(CA27-CA28)/CA28,IF(AND(CA27=0,CA28=0),"",IF(AND(CA27="",CA28=""),"",IF(AND(CA27=0,CA28=""),"", IF(AND(CA27="",CA28=0),"",1)))))</f>
        <v>-3.6925792154668319E-2</v>
      </c>
      <c r="CB29" s="40">
        <f t="shared" ref="CB29" si="962">IF(AND(CB27&lt;&gt;0,CB28&lt;&gt;0),(CB27-CB28)/CB28,IF(AND(CB27=0,CB28=0),"",IF(AND(CB27="",CB28=""),"",IF(AND(CB27=0,CB28=""),"", IF(AND(CB27="",CB28=0),"",1)))))</f>
        <v>-5.3101168534630712E-2</v>
      </c>
      <c r="CC29" s="40">
        <f t="shared" ref="CC29" si="963">IF(AND(CC27&lt;&gt;0,CC28&lt;&gt;0),(CC27-CC28)/CC28,IF(AND(CC27=0,CC28=0),"",IF(AND(CC27="",CC28=""),"",IF(AND(CC27=0,CC28=""),"", IF(AND(CC27="",CC28=0),"",1)))))</f>
        <v>-5.4805171671353861E-2</v>
      </c>
      <c r="CD29" s="40">
        <f t="shared" ref="CD29" si="964">IF(AND(CD27&lt;&gt;0,CD28&lt;&gt;0),(CD27-CD28)/CD28,IF(AND(CD27=0,CD28=0),"",IF(AND(CD27="",CD28=""),"",IF(AND(CD27=0,CD28=""),"", IF(AND(CD27="",CD28=0),"",1)))))</f>
        <v>-3.8402030695846738E-2</v>
      </c>
      <c r="CE29" s="40">
        <f t="shared" ref="CE29" si="965">IF(AND(CE27&lt;&gt;0,CE28&lt;&gt;0),(CE27-CE28)/CE28,IF(AND(CE27=0,CE28=0),"",IF(AND(CE27="",CE28=""),"",IF(AND(CE27=0,CE28=""),"", IF(AND(CE27="",CE28=0),"",1)))))</f>
        <v>-3.3471304142402507E-2</v>
      </c>
      <c r="CF29" s="40">
        <f t="shared" ref="CF29" si="966">IF(AND(CF27&lt;&gt;0,CF28&lt;&gt;0),(CF27-CF28)/CF28,IF(AND(CF27=0,CF28=0),"",IF(AND(CF27="",CF28=""),"",IF(AND(CF27=0,CF28=""),"", IF(AND(CF27="",CF28=0),"",1)))))</f>
        <v>-3.5109892901210617E-2</v>
      </c>
      <c r="CG29" s="40">
        <f t="shared" ref="CG29" si="967">IF(AND(CG27&lt;&gt;0,CG28&lt;&gt;0),(CG27-CG28)/CG28,IF(AND(CG27=0,CG28=0),"",IF(AND(CG27="",CG28=""),"",IF(AND(CG27=0,CG28=""),"", IF(AND(CG27="",CG28=0),"",1)))))</f>
        <v>-3.3210969942796355E-2</v>
      </c>
      <c r="CH29" s="40">
        <f t="shared" ref="CH29" si="968">IF(AND(CH27&lt;&gt;0,CH28&lt;&gt;0),(CH27-CH28)/CH28,IF(AND(CH27=0,CH28=0),"",IF(AND(CH27="",CH28=""),"",IF(AND(CH27=0,CH28=""),"", IF(AND(CH27="",CH28=0),"",1)))))</f>
        <v>-1.8005156506360402E-3</v>
      </c>
      <c r="CI29" s="40">
        <f t="shared" ref="CI29" si="969">IF(AND(CI27&lt;&gt;0,CI28&lt;&gt;0),(CI27-CI28)/CI28,IF(AND(CI27=0,CI28=0),"",IF(AND(CI27="",CI28=""),"",IF(AND(CI27=0,CI28=""),"", IF(AND(CI27="",CI28=0),"",1)))))</f>
        <v>1</v>
      </c>
      <c r="CJ29" s="40">
        <f t="shared" ref="CJ29" si="970">IF(AND(CJ27&lt;&gt;0,CJ28&lt;&gt;0),(CJ27-CJ28)/CJ28,IF(AND(CJ27=0,CJ28=0),"",IF(AND(CJ27="",CJ28=""),"",IF(AND(CJ27=0,CJ28=""),"", IF(AND(CJ27="",CJ28=0),"",1)))))</f>
        <v>1</v>
      </c>
      <c r="CK29" s="40" t="str">
        <f t="shared" ref="CK29" si="971">IF(AND(CK27&lt;&gt;0,CK28&lt;&gt;0),(CK27-CK28)/CK28,IF(AND(CK27=0,CK28=0),"",IF(AND(CK27="",CK28=""),"",IF(AND(CK27=0,CK28=""),"", IF(AND(CK27="",CK28=0),"",1)))))</f>
        <v/>
      </c>
      <c r="CL29" s="40" t="str">
        <f t="shared" ref="CL29" si="972">IF(AND(CL27&lt;&gt;0,CL28&lt;&gt;0),(CL27-CL28)/CL28,IF(AND(CL27=0,CL28=0),"",IF(AND(CL27="",CL28=""),"",IF(AND(CL27=0,CL28=""),"", IF(AND(CL27="",CL28=0),"",1)))))</f>
        <v/>
      </c>
      <c r="CM29" s="40" t="str">
        <f t="shared" ref="CM29" si="973">IF(AND(CM27&lt;&gt;0,CM28&lt;&gt;0),(CM27-CM28)/CM28,IF(AND(CM27=0,CM28=0),"",IF(AND(CM27="",CM28=""),"",IF(AND(CM27=0,CM28=""),"", IF(AND(CM27="",CM28=0),"",1)))))</f>
        <v/>
      </c>
      <c r="CN29" s="40" t="str">
        <f t="shared" ref="CN29" si="974">IF(AND(CN27&lt;&gt;0,CN28&lt;&gt;0),(CN27-CN28)/CN28,IF(AND(CN27=0,CN28=0),"",IF(AND(CN27="",CN28=""),"",IF(AND(CN27=0,CN28=""),"", IF(AND(CN27="",CN28=0),"",1)))))</f>
        <v/>
      </c>
      <c r="CO29" s="40" t="str">
        <f t="shared" ref="CO29" si="975">IF(AND(CO27&lt;&gt;0,CO28&lt;&gt;0),(CO27-CO28)/CO28,IF(AND(CO27=0,CO28=0),"",IF(AND(CO27="",CO28=""),"",IF(AND(CO27=0,CO28=""),"", IF(AND(CO27="",CO28=0),"",1)))))</f>
        <v/>
      </c>
      <c r="CP29" s="40" t="str">
        <f t="shared" ref="CP29" si="976">IF(AND(CP27&lt;&gt;0,CP28&lt;&gt;0),(CP27-CP28)/CP28,IF(AND(CP27=0,CP28=0),"",IF(AND(CP27="",CP28=""),"",IF(AND(CP27=0,CP28=""),"", IF(AND(CP27="",CP28=0),"",1)))))</f>
        <v/>
      </c>
      <c r="CQ29" s="40" t="str">
        <f t="shared" ref="CQ29" si="977">IF(AND(CQ27&lt;&gt;0,CQ28&lt;&gt;0),(CQ27-CQ28)/CQ28,IF(AND(CQ27=0,CQ28=0),"",IF(AND(CQ27="",CQ28=""),"",IF(AND(CQ27=0,CQ28=""),"", IF(AND(CQ27="",CQ28=0),"",1)))))</f>
        <v/>
      </c>
      <c r="CR29" s="40" t="str">
        <f t="shared" ref="CR29" si="978">IF(AND(CR27&lt;&gt;0,CR28&lt;&gt;0),(CR27-CR28)/CR28,IF(AND(CR27=0,CR28=0),"",IF(AND(CR27="",CR28=""),"",IF(AND(CR27=0,CR28=""),"", IF(AND(CR27="",CR28=0),"",1)))))</f>
        <v/>
      </c>
      <c r="CS29" s="40" t="str">
        <f t="shared" ref="CS29" si="979">IF(AND(CS27&lt;&gt;0,CS28&lt;&gt;0),(CS27-CS28)/CS28,IF(AND(CS27=0,CS28=0),"",IF(AND(CS27="",CS28=""),"",IF(AND(CS27=0,CS28=""),"", IF(AND(CS27="",CS28=0),"",1)))))</f>
        <v/>
      </c>
      <c r="CT29" s="40" t="str">
        <f t="shared" ref="CT29" si="980">IF(AND(CT27&lt;&gt;0,CT28&lt;&gt;0),(CT27-CT28)/CT28,IF(AND(CT27=0,CT28=0),"",IF(AND(CT27="",CT28=""),"",IF(AND(CT27=0,CT28=""),"", IF(AND(CT27="",CT28=0),"",1)))))</f>
        <v/>
      </c>
      <c r="CU29" s="40" t="str">
        <f t="shared" ref="CU29" si="981">IF(AND(CU27&lt;&gt;0,CU28&lt;&gt;0),(CU27-CU28)/CU28,IF(AND(CU27=0,CU28=0),"",IF(AND(CU27="",CU28=""),"",IF(AND(CU27=0,CU28=""),"", IF(AND(CU27="",CU28=0),"",1)))))</f>
        <v/>
      </c>
      <c r="CV29" s="40" t="str">
        <f t="shared" ref="CV29:DJ29" si="982">IF(AND(CV27&lt;&gt;0,CV28&lt;&gt;0),(CV27-CV28)/CV28,IF(AND(CV27=0,CV28=0),"",IF(AND(CV27="",CV28=""),"",IF(AND(CV27=0,CV28=""),"", IF(AND(CV27="",CV28=0),"",1)))))</f>
        <v/>
      </c>
      <c r="CW29" s="40" t="str">
        <f t="shared" si="982"/>
        <v/>
      </c>
      <c r="CX29" s="40" t="str">
        <f t="shared" si="982"/>
        <v/>
      </c>
      <c r="CY29" s="40" t="str">
        <f t="shared" si="982"/>
        <v/>
      </c>
      <c r="CZ29" s="40" t="str">
        <f t="shared" si="982"/>
        <v/>
      </c>
      <c r="DA29" s="40" t="str">
        <f t="shared" si="982"/>
        <v/>
      </c>
      <c r="DB29" s="40" t="str">
        <f t="shared" si="982"/>
        <v/>
      </c>
      <c r="DC29" s="40" t="str">
        <f t="shared" si="982"/>
        <v/>
      </c>
      <c r="DD29" s="40" t="str">
        <f t="shared" si="982"/>
        <v/>
      </c>
      <c r="DE29" s="40" t="str">
        <f t="shared" si="982"/>
        <v/>
      </c>
      <c r="DF29" s="40" t="str">
        <f t="shared" si="982"/>
        <v/>
      </c>
      <c r="DG29" s="40" t="str">
        <f t="shared" si="982"/>
        <v/>
      </c>
      <c r="DH29" s="40" t="str">
        <f t="shared" si="982"/>
        <v/>
      </c>
      <c r="DI29" s="40" t="str">
        <f t="shared" si="982"/>
        <v/>
      </c>
      <c r="DJ29" s="40" t="str">
        <f t="shared" si="982"/>
        <v/>
      </c>
      <c r="DK29" s="41">
        <f t="shared" ref="DK29:HU29" si="983">IF(AND(DK27&lt;&gt;0,DK28&lt;&gt;0),(DK27-DK28)/DK28,IF(AND(DK27=0,DK28=0),"",IF(AND(DK27="",DK28=""),"",IF(AND(DK27=0,DK28=""),"", IF(AND(DK27="",DK28=0),"",1)))))</f>
        <v>1.8499598401673072E-2</v>
      </c>
      <c r="DL29" s="72" t="str">
        <f t="shared" si="983"/>
        <v/>
      </c>
      <c r="DM29" s="73" t="str">
        <f t="shared" si="983"/>
        <v/>
      </c>
      <c r="DN29" s="73" t="str">
        <f t="shared" si="983"/>
        <v/>
      </c>
      <c r="DO29" s="73" t="str">
        <f t="shared" si="983"/>
        <v/>
      </c>
      <c r="DP29" s="73" t="str">
        <f t="shared" si="983"/>
        <v/>
      </c>
      <c r="DQ29" s="73" t="str">
        <f t="shared" si="983"/>
        <v/>
      </c>
      <c r="DR29" s="73" t="str">
        <f t="shared" si="983"/>
        <v/>
      </c>
      <c r="DS29" s="73" t="str">
        <f t="shared" si="983"/>
        <v/>
      </c>
      <c r="DT29" s="73" t="str">
        <f t="shared" si="983"/>
        <v/>
      </c>
      <c r="DU29" s="73" t="str">
        <f t="shared" si="983"/>
        <v/>
      </c>
      <c r="DV29" s="73" t="str">
        <f t="shared" si="983"/>
        <v/>
      </c>
      <c r="DW29" s="73" t="str">
        <f t="shared" si="983"/>
        <v/>
      </c>
      <c r="DX29" s="73" t="str">
        <f t="shared" si="983"/>
        <v/>
      </c>
      <c r="DY29" s="73" t="str">
        <f t="shared" si="983"/>
        <v/>
      </c>
      <c r="DZ29" s="73" t="str">
        <f t="shared" si="983"/>
        <v/>
      </c>
      <c r="EA29" s="73" t="str">
        <f t="shared" si="983"/>
        <v/>
      </c>
      <c r="EB29" s="73" t="str">
        <f t="shared" si="983"/>
        <v/>
      </c>
      <c r="EC29" s="73" t="str">
        <f t="shared" si="983"/>
        <v/>
      </c>
      <c r="ED29" s="73" t="str">
        <f t="shared" si="983"/>
        <v/>
      </c>
      <c r="EE29" s="73" t="str">
        <f t="shared" si="983"/>
        <v/>
      </c>
      <c r="EF29" s="73" t="str">
        <f t="shared" si="983"/>
        <v/>
      </c>
      <c r="EG29" s="73" t="str">
        <f t="shared" si="983"/>
        <v/>
      </c>
      <c r="EH29" s="73" t="str">
        <f t="shared" si="983"/>
        <v/>
      </c>
      <c r="EI29" s="73" t="str">
        <f t="shared" ref="EI29:EV29" si="984">IF(AND(EI27&lt;&gt;0,EI28&lt;&gt;0),(EI27-EI28)/EI28,IF(AND(EI27=0,EI28=0),"",IF(AND(EI27="",EI28=""),"",IF(AND(EI27=0,EI28=""),"", IF(AND(EI27="",EI28=0),"",1)))))</f>
        <v/>
      </c>
      <c r="EJ29" s="73" t="str">
        <f t="shared" si="984"/>
        <v/>
      </c>
      <c r="EK29" s="73" t="str">
        <f t="shared" si="984"/>
        <v/>
      </c>
      <c r="EL29" s="73" t="str">
        <f t="shared" si="984"/>
        <v/>
      </c>
      <c r="EM29" s="73" t="str">
        <f t="shared" si="984"/>
        <v/>
      </c>
      <c r="EN29" s="73" t="str">
        <f t="shared" si="984"/>
        <v/>
      </c>
      <c r="EO29" s="73" t="str">
        <f t="shared" si="984"/>
        <v/>
      </c>
      <c r="EP29" s="73" t="str">
        <f t="shared" si="984"/>
        <v/>
      </c>
      <c r="EQ29" s="73" t="str">
        <f t="shared" si="984"/>
        <v/>
      </c>
      <c r="ER29" s="73" t="str">
        <f t="shared" si="984"/>
        <v/>
      </c>
      <c r="ES29" s="73" t="str">
        <f t="shared" si="984"/>
        <v/>
      </c>
      <c r="ET29" s="73" t="str">
        <f t="shared" si="984"/>
        <v/>
      </c>
      <c r="EU29" s="73" t="str">
        <f t="shared" si="984"/>
        <v/>
      </c>
      <c r="EV29" s="73" t="str">
        <f t="shared" si="984"/>
        <v/>
      </c>
      <c r="EW29" s="74" t="str">
        <f t="shared" si="983"/>
        <v/>
      </c>
      <c r="EX29" s="72" t="str">
        <f t="shared" ref="EX29:GI29" si="985">IF(AND(EX27&lt;&gt;0,EX28&lt;&gt;0),(EX27-EX28)/EX28,IF(AND(EX27=0,EX28=0),"",IF(AND(EX27="",EX28=""),"",IF(AND(EX27=0,EX28=""),"", IF(AND(EX27="",EX28=0),"",1)))))</f>
        <v/>
      </c>
      <c r="EY29" s="73" t="str">
        <f t="shared" si="985"/>
        <v/>
      </c>
      <c r="EZ29" s="73" t="str">
        <f t="shared" si="985"/>
        <v/>
      </c>
      <c r="FA29" s="73" t="str">
        <f t="shared" si="985"/>
        <v/>
      </c>
      <c r="FB29" s="73" t="str">
        <f t="shared" si="985"/>
        <v/>
      </c>
      <c r="FC29" s="73" t="str">
        <f t="shared" si="985"/>
        <v/>
      </c>
      <c r="FD29" s="73" t="str">
        <f t="shared" si="985"/>
        <v/>
      </c>
      <c r="FE29" s="73" t="str">
        <f t="shared" si="985"/>
        <v/>
      </c>
      <c r="FF29" s="73" t="str">
        <f t="shared" si="985"/>
        <v/>
      </c>
      <c r="FG29" s="73" t="str">
        <f t="shared" si="985"/>
        <v/>
      </c>
      <c r="FH29" s="73" t="str">
        <f t="shared" si="985"/>
        <v/>
      </c>
      <c r="FI29" s="73" t="str">
        <f t="shared" si="985"/>
        <v/>
      </c>
      <c r="FJ29" s="73" t="str">
        <f t="shared" si="985"/>
        <v/>
      </c>
      <c r="FK29" s="73" t="str">
        <f t="shared" si="985"/>
        <v/>
      </c>
      <c r="FL29" s="73" t="str">
        <f t="shared" si="985"/>
        <v/>
      </c>
      <c r="FM29" s="73" t="str">
        <f t="shared" si="985"/>
        <v/>
      </c>
      <c r="FN29" s="73" t="str">
        <f t="shared" si="985"/>
        <v/>
      </c>
      <c r="FO29" s="73" t="str">
        <f t="shared" si="985"/>
        <v/>
      </c>
      <c r="FP29" s="73" t="str">
        <f t="shared" si="985"/>
        <v/>
      </c>
      <c r="FQ29" s="73" t="str">
        <f t="shared" si="985"/>
        <v/>
      </c>
      <c r="FR29" s="73" t="str">
        <f t="shared" si="985"/>
        <v/>
      </c>
      <c r="FS29" s="73" t="str">
        <f t="shared" si="985"/>
        <v/>
      </c>
      <c r="FT29" s="73" t="str">
        <f t="shared" si="985"/>
        <v/>
      </c>
      <c r="FU29" s="73" t="str">
        <f t="shared" ref="FU29:GH29" si="986">IF(AND(FU27&lt;&gt;0,FU28&lt;&gt;0),(FU27-FU28)/FU28,IF(AND(FU27=0,FU28=0),"",IF(AND(FU27="",FU28=""),"",IF(AND(FU27=0,FU28=""),"", IF(AND(FU27="",FU28=0),"",1)))))</f>
        <v/>
      </c>
      <c r="FV29" s="73" t="str">
        <f t="shared" si="986"/>
        <v/>
      </c>
      <c r="FW29" s="73" t="str">
        <f t="shared" si="986"/>
        <v/>
      </c>
      <c r="FX29" s="73" t="str">
        <f t="shared" si="986"/>
        <v/>
      </c>
      <c r="FY29" s="73" t="str">
        <f t="shared" si="986"/>
        <v/>
      </c>
      <c r="FZ29" s="73" t="str">
        <f t="shared" si="986"/>
        <v/>
      </c>
      <c r="GA29" s="73" t="str">
        <f t="shared" si="986"/>
        <v/>
      </c>
      <c r="GB29" s="73" t="str">
        <f t="shared" si="986"/>
        <v/>
      </c>
      <c r="GC29" s="73" t="str">
        <f t="shared" si="986"/>
        <v/>
      </c>
      <c r="GD29" s="73" t="str">
        <f t="shared" si="986"/>
        <v/>
      </c>
      <c r="GE29" s="73" t="str">
        <f t="shared" si="986"/>
        <v/>
      </c>
      <c r="GF29" s="73" t="str">
        <f t="shared" si="986"/>
        <v/>
      </c>
      <c r="GG29" s="73" t="str">
        <f t="shared" si="986"/>
        <v/>
      </c>
      <c r="GH29" s="73" t="str">
        <f t="shared" si="986"/>
        <v/>
      </c>
      <c r="GI29" s="74" t="str">
        <f t="shared" si="985"/>
        <v/>
      </c>
      <c r="GJ29" s="72" t="str">
        <f t="shared" si="983"/>
        <v/>
      </c>
      <c r="GK29" s="73" t="str">
        <f t="shared" si="983"/>
        <v/>
      </c>
      <c r="GL29" s="73" t="str">
        <f t="shared" si="983"/>
        <v/>
      </c>
      <c r="GM29" s="73" t="str">
        <f t="shared" si="983"/>
        <v/>
      </c>
      <c r="GN29" s="73" t="str">
        <f t="shared" si="983"/>
        <v/>
      </c>
      <c r="GO29" s="73" t="str">
        <f t="shared" si="983"/>
        <v/>
      </c>
      <c r="GP29" s="73" t="str">
        <f t="shared" si="983"/>
        <v/>
      </c>
      <c r="GQ29" s="73" t="str">
        <f t="shared" si="983"/>
        <v/>
      </c>
      <c r="GR29" s="73" t="str">
        <f t="shared" si="983"/>
        <v/>
      </c>
      <c r="GS29" s="73" t="str">
        <f t="shared" si="983"/>
        <v/>
      </c>
      <c r="GT29" s="73" t="str">
        <f t="shared" si="983"/>
        <v/>
      </c>
      <c r="GU29" s="73" t="str">
        <f t="shared" si="983"/>
        <v/>
      </c>
      <c r="GV29" s="73" t="str">
        <f t="shared" si="983"/>
        <v/>
      </c>
      <c r="GW29" s="73" t="str">
        <f t="shared" si="983"/>
        <v/>
      </c>
      <c r="GX29" s="73" t="str">
        <f t="shared" si="983"/>
        <v/>
      </c>
      <c r="GY29" s="73" t="str">
        <f t="shared" si="983"/>
        <v/>
      </c>
      <c r="GZ29" s="73" t="str">
        <f t="shared" si="983"/>
        <v/>
      </c>
      <c r="HA29" s="73" t="str">
        <f t="shared" si="983"/>
        <v/>
      </c>
      <c r="HB29" s="73" t="str">
        <f t="shared" si="983"/>
        <v/>
      </c>
      <c r="HC29" s="73" t="str">
        <f t="shared" si="983"/>
        <v/>
      </c>
      <c r="HD29" s="73" t="str">
        <f t="shared" si="983"/>
        <v/>
      </c>
      <c r="HE29" s="73" t="str">
        <f t="shared" si="983"/>
        <v/>
      </c>
      <c r="HF29" s="73" t="str">
        <f t="shared" si="983"/>
        <v/>
      </c>
      <c r="HG29" s="73" t="str">
        <f t="shared" ref="HG29:HT29" si="987">IF(AND(HG27&lt;&gt;0,HG28&lt;&gt;0),(HG27-HG28)/HG28,IF(AND(HG27=0,HG28=0),"",IF(AND(HG27="",HG28=""),"",IF(AND(HG27=0,HG28=""),"", IF(AND(HG27="",HG28=0),"",1)))))</f>
        <v/>
      </c>
      <c r="HH29" s="73" t="str">
        <f t="shared" si="987"/>
        <v/>
      </c>
      <c r="HI29" s="73" t="str">
        <f t="shared" si="987"/>
        <v/>
      </c>
      <c r="HJ29" s="73" t="str">
        <f t="shared" si="987"/>
        <v/>
      </c>
      <c r="HK29" s="73" t="str">
        <f t="shared" si="987"/>
        <v/>
      </c>
      <c r="HL29" s="73" t="str">
        <f t="shared" si="987"/>
        <v/>
      </c>
      <c r="HM29" s="73" t="str">
        <f t="shared" si="987"/>
        <v/>
      </c>
      <c r="HN29" s="73" t="str">
        <f t="shared" si="987"/>
        <v/>
      </c>
      <c r="HO29" s="73" t="str">
        <f t="shared" si="987"/>
        <v/>
      </c>
      <c r="HP29" s="73" t="str">
        <f t="shared" si="987"/>
        <v/>
      </c>
      <c r="HQ29" s="73" t="str">
        <f t="shared" si="987"/>
        <v/>
      </c>
      <c r="HR29" s="73" t="str">
        <f t="shared" si="987"/>
        <v/>
      </c>
      <c r="HS29" s="73" t="str">
        <f t="shared" si="987"/>
        <v/>
      </c>
      <c r="HT29" s="73" t="str">
        <f t="shared" si="987"/>
        <v/>
      </c>
      <c r="HU29" s="74" t="str">
        <f t="shared" si="983"/>
        <v/>
      </c>
      <c r="HV29" s="39">
        <f t="shared" ref="HV29" si="988">IF(AND(HV27&lt;&gt;0,HV28&lt;&gt;0),(HV27-HV28)/HV28,IF(AND(HV27=0,HV28=0),"",IF(AND(HV27="",HV28=""),"",IF(AND(HV27=0,HV28=""),"", IF(AND(HV27="",HV28=0),"",1)))))</f>
        <v>1.2159551132490469E-4</v>
      </c>
      <c r="HW29" s="40">
        <f t="shared" ref="HW29" si="989">IF(AND(HW27&lt;&gt;0,HW28&lt;&gt;0),(HW27-HW28)/HW28,IF(AND(HW27=0,HW28=0),"",IF(AND(HW27="",HW28=""),"",IF(AND(HW27=0,HW28=""),"", IF(AND(HW27="",HW28=0),"",1)))))</f>
        <v>1.126157148789464E-4</v>
      </c>
      <c r="HX29" s="40">
        <f t="shared" ref="HX29" si="990">IF(AND(HX27&lt;&gt;0,HX28&lt;&gt;0),(HX27-HX28)/HX28,IF(AND(HX27=0,HX28=0),"",IF(AND(HX27="",HX28=""),"",IF(AND(HX27=0,HX28=""),"", IF(AND(HX27="",HX28=0),"",1)))))</f>
        <v>1.8455904729690197E-3</v>
      </c>
      <c r="HY29" s="40">
        <f t="shared" ref="HY29" si="991">IF(AND(HY27&lt;&gt;0,HY28&lt;&gt;0),(HY27-HY28)/HY28,IF(AND(HY27=0,HY28=0),"",IF(AND(HY27="",HY28=""),"",IF(AND(HY27=0,HY28=""),"", IF(AND(HY27="",HY28=0),"",1)))))</f>
        <v>3.2987698767399565E-4</v>
      </c>
      <c r="HZ29" s="40">
        <f t="shared" ref="HZ29" si="992">IF(AND(HZ27&lt;&gt;0,HZ28&lt;&gt;0),(HZ27-HZ28)/HZ28,IF(AND(HZ27=0,HZ28=0),"",IF(AND(HZ27="",HZ28=""),"",IF(AND(HZ27=0,HZ28=""),"", IF(AND(HZ27="",HZ28=0),"",1)))))</f>
        <v>1.6439824326319383E-4</v>
      </c>
      <c r="IA29" s="40">
        <f t="shared" ref="IA29" si="993">IF(AND(IA27&lt;&gt;0,IA28&lt;&gt;0),(IA27-IA28)/IA28,IF(AND(IA27=0,IA28=0),"",IF(AND(IA27="",IA28=""),"",IF(AND(IA27=0,IA28=""),"", IF(AND(IA27="",IA28=0),"",1)))))</f>
        <v>1.5759370658831746E-4</v>
      </c>
      <c r="IB29" s="40">
        <f t="shared" ref="IB29" si="994">IF(AND(IB27&lt;&gt;0,IB28&lt;&gt;0),(IB27-IB28)/IB28,IF(AND(IB27=0,IB28=0),"",IF(AND(IB27="",IB28=""),"",IF(AND(IB27=0,IB28=""),"", IF(AND(IB27="",IB28=0),"",1)))))</f>
        <v>6.6143736593106284E-3</v>
      </c>
      <c r="IC29" s="40">
        <f t="shared" ref="IC29" si="995">IF(AND(IC27&lt;&gt;0,IC28&lt;&gt;0),(IC27-IC28)/IC28,IF(AND(IC27=0,IC28=0),"",IF(AND(IC27="",IC28=""),"",IF(AND(IC27=0,IC28=""),"", IF(AND(IC27="",IC28=0),"",1)))))</f>
        <v>5.8975069954909894E-3</v>
      </c>
      <c r="ID29" s="40">
        <f t="shared" ref="ID29" si="996">IF(AND(ID27&lt;&gt;0,ID28&lt;&gt;0),(ID27-ID28)/ID28,IF(AND(ID27=0,ID28=0),"",IF(AND(ID27="",ID28=""),"",IF(AND(ID27=0,ID28=""),"", IF(AND(ID27="",ID28=0),"",1)))))</f>
        <v>5.9717817005817242E-2</v>
      </c>
      <c r="IE29" s="40">
        <f t="shared" ref="IE29" si="997">IF(AND(IE27&lt;&gt;0,IE28&lt;&gt;0),(IE27-IE28)/IE28,IF(AND(IE27=0,IE28=0),"",IF(AND(IE27="",IE28=""),"",IF(AND(IE27=0,IE28=""),"", IF(AND(IE27="",IE28=0),"",1)))))</f>
        <v>-0.9888310435488239</v>
      </c>
      <c r="IF29" s="40">
        <f t="shared" ref="IF29" si="998">IF(AND(IF27&lt;&gt;0,IF28&lt;&gt;0),(IF27-IF28)/IF28,IF(AND(IF27=0,IF28=0),"",IF(AND(IF27="",IF28=""),"",IF(AND(IF27=0,IF28=""),"", IF(AND(IF27="",IF28=0),"",1)))))</f>
        <v>1</v>
      </c>
      <c r="IG29" s="40" t="str">
        <f t="shared" ref="IG29" si="999">IF(AND(IG27&lt;&gt;0,IG28&lt;&gt;0),(IG27-IG28)/IG28,IF(AND(IG27=0,IG28=0),"",IF(AND(IG27="",IG28=""),"",IF(AND(IG27=0,IG28=""),"", IF(AND(IG27="",IG28=0),"",1)))))</f>
        <v/>
      </c>
      <c r="IH29" s="40" t="str">
        <f t="shared" ref="IH29" si="1000">IF(AND(IH27&lt;&gt;0,IH28&lt;&gt;0),(IH27-IH28)/IH28,IF(AND(IH27=0,IH28=0),"",IF(AND(IH27="",IH28=""),"",IF(AND(IH27=0,IH28=""),"", IF(AND(IH27="",IH28=0),"",1)))))</f>
        <v/>
      </c>
      <c r="II29" s="40" t="str">
        <f t="shared" ref="II29" si="1001">IF(AND(II27&lt;&gt;0,II28&lt;&gt;0),(II27-II28)/II28,IF(AND(II27=0,II28=0),"",IF(AND(II27="",II28=""),"",IF(AND(II27=0,II28=""),"", IF(AND(II27="",II28=0),"",1)))))</f>
        <v/>
      </c>
      <c r="IJ29" s="40" t="str">
        <f t="shared" ref="IJ29" si="1002">IF(AND(IJ27&lt;&gt;0,IJ28&lt;&gt;0),(IJ27-IJ28)/IJ28,IF(AND(IJ27=0,IJ28=0),"",IF(AND(IJ27="",IJ28=""),"",IF(AND(IJ27=0,IJ28=""),"", IF(AND(IJ27="",IJ28=0),"",1)))))</f>
        <v/>
      </c>
      <c r="IK29" s="40" t="str">
        <f t="shared" ref="IK29" si="1003">IF(AND(IK27&lt;&gt;0,IK28&lt;&gt;0),(IK27-IK28)/IK28,IF(AND(IK27=0,IK28=0),"",IF(AND(IK27="",IK28=""),"",IF(AND(IK27=0,IK28=""),"", IF(AND(IK27="",IK28=0),"",1)))))</f>
        <v/>
      </c>
      <c r="IL29" s="40" t="str">
        <f t="shared" ref="IL29" si="1004">IF(AND(IL27&lt;&gt;0,IL28&lt;&gt;0),(IL27-IL28)/IL28,IF(AND(IL27=0,IL28=0),"",IF(AND(IL27="",IL28=""),"",IF(AND(IL27=0,IL28=""),"", IF(AND(IL27="",IL28=0),"",1)))))</f>
        <v/>
      </c>
      <c r="IM29" s="40" t="str">
        <f t="shared" ref="IM29" si="1005">IF(AND(IM27&lt;&gt;0,IM28&lt;&gt;0),(IM27-IM28)/IM28,IF(AND(IM27=0,IM28=0),"",IF(AND(IM27="",IM28=""),"",IF(AND(IM27=0,IM28=""),"", IF(AND(IM27="",IM28=0),"",1)))))</f>
        <v/>
      </c>
      <c r="IN29" s="40" t="str">
        <f t="shared" ref="IN29" si="1006">IF(AND(IN27&lt;&gt;0,IN28&lt;&gt;0),(IN27-IN28)/IN28,IF(AND(IN27=0,IN28=0),"",IF(AND(IN27="",IN28=""),"",IF(AND(IN27=0,IN28=""),"", IF(AND(IN27="",IN28=0),"",1)))))</f>
        <v/>
      </c>
      <c r="IO29" s="40" t="str">
        <f t="shared" ref="IO29" si="1007">IF(AND(IO27&lt;&gt;0,IO28&lt;&gt;0),(IO27-IO28)/IO28,IF(AND(IO27=0,IO28=0),"",IF(AND(IO27="",IO28=""),"",IF(AND(IO27=0,IO28=""),"", IF(AND(IO27="",IO28=0),"",1)))))</f>
        <v/>
      </c>
      <c r="IP29" s="40" t="str">
        <f t="shared" ref="IP29" si="1008">IF(AND(IP27&lt;&gt;0,IP28&lt;&gt;0),(IP27-IP28)/IP28,IF(AND(IP27=0,IP28=0),"",IF(AND(IP27="",IP28=""),"",IF(AND(IP27=0,IP28=""),"", IF(AND(IP27="",IP28=0),"",1)))))</f>
        <v/>
      </c>
      <c r="IQ29" s="40" t="str">
        <f t="shared" ref="IQ29" si="1009">IF(AND(IQ27&lt;&gt;0,IQ28&lt;&gt;0),(IQ27-IQ28)/IQ28,IF(AND(IQ27=0,IQ28=0),"",IF(AND(IQ27="",IQ28=""),"",IF(AND(IQ27=0,IQ28=""),"", IF(AND(IQ27="",IQ28=0),"",1)))))</f>
        <v/>
      </c>
      <c r="IR29" s="40" t="str">
        <f t="shared" ref="IR29:JF29" si="1010">IF(AND(IR27&lt;&gt;0,IR28&lt;&gt;0),(IR27-IR28)/IR28,IF(AND(IR27=0,IR28=0),"",IF(AND(IR27="",IR28=""),"",IF(AND(IR27=0,IR28=""),"", IF(AND(IR27="",IR28=0),"",1)))))</f>
        <v/>
      </c>
      <c r="IS29" s="40" t="str">
        <f t="shared" si="1010"/>
        <v/>
      </c>
      <c r="IT29" s="40" t="str">
        <f t="shared" si="1010"/>
        <v/>
      </c>
      <c r="IU29" s="40" t="str">
        <f t="shared" si="1010"/>
        <v/>
      </c>
      <c r="IV29" s="40" t="str">
        <f t="shared" si="1010"/>
        <v/>
      </c>
      <c r="IW29" s="40" t="str">
        <f t="shared" si="1010"/>
        <v/>
      </c>
      <c r="IX29" s="40" t="str">
        <f t="shared" si="1010"/>
        <v/>
      </c>
      <c r="IY29" s="40" t="str">
        <f t="shared" si="1010"/>
        <v/>
      </c>
      <c r="IZ29" s="40" t="str">
        <f t="shared" si="1010"/>
        <v/>
      </c>
      <c r="JA29" s="40" t="str">
        <f t="shared" si="1010"/>
        <v/>
      </c>
      <c r="JB29" s="40" t="str">
        <f t="shared" si="1010"/>
        <v/>
      </c>
      <c r="JC29" s="40" t="str">
        <f t="shared" si="1010"/>
        <v/>
      </c>
      <c r="JD29" s="40" t="str">
        <f t="shared" si="1010"/>
        <v/>
      </c>
      <c r="JE29" s="40" t="str">
        <f t="shared" si="1010"/>
        <v/>
      </c>
      <c r="JF29" s="40" t="str">
        <f t="shared" si="1010"/>
        <v/>
      </c>
      <c r="JG29" s="41">
        <f t="shared" ref="JG29:NQ29" si="1011">IF(AND(JG27&lt;&gt;0,JG28&lt;&gt;0),(JG27-JG28)/JG28,IF(AND(JG27=0,JG28=0),"",IF(AND(JG27="",JG28=""),"",IF(AND(JG27=0,JG28=""),"", IF(AND(JG27="",JG28=0),"",1)))))</f>
        <v>-0.28023232721831343</v>
      </c>
      <c r="JH29" s="72" t="str">
        <f t="shared" si="1011"/>
        <v/>
      </c>
      <c r="JI29" s="73" t="str">
        <f t="shared" si="1011"/>
        <v/>
      </c>
      <c r="JJ29" s="73" t="str">
        <f t="shared" si="1011"/>
        <v/>
      </c>
      <c r="JK29" s="73" t="str">
        <f t="shared" si="1011"/>
        <v/>
      </c>
      <c r="JL29" s="73" t="str">
        <f t="shared" si="1011"/>
        <v/>
      </c>
      <c r="JM29" s="73" t="str">
        <f t="shared" si="1011"/>
        <v/>
      </c>
      <c r="JN29" s="73" t="str">
        <f t="shared" si="1011"/>
        <v/>
      </c>
      <c r="JO29" s="73" t="str">
        <f t="shared" si="1011"/>
        <v/>
      </c>
      <c r="JP29" s="73" t="str">
        <f t="shared" si="1011"/>
        <v/>
      </c>
      <c r="JQ29" s="73" t="str">
        <f t="shared" si="1011"/>
        <v/>
      </c>
      <c r="JR29" s="73" t="str">
        <f t="shared" si="1011"/>
        <v/>
      </c>
      <c r="JS29" s="73" t="str">
        <f t="shared" si="1011"/>
        <v/>
      </c>
      <c r="JT29" s="73" t="str">
        <f t="shared" si="1011"/>
        <v/>
      </c>
      <c r="JU29" s="73" t="str">
        <f t="shared" si="1011"/>
        <v/>
      </c>
      <c r="JV29" s="73" t="str">
        <f t="shared" si="1011"/>
        <v/>
      </c>
      <c r="JW29" s="73" t="str">
        <f t="shared" si="1011"/>
        <v/>
      </c>
      <c r="JX29" s="73" t="str">
        <f t="shared" si="1011"/>
        <v/>
      </c>
      <c r="JY29" s="73" t="str">
        <f t="shared" si="1011"/>
        <v/>
      </c>
      <c r="JZ29" s="73" t="str">
        <f t="shared" si="1011"/>
        <v/>
      </c>
      <c r="KA29" s="73" t="str">
        <f t="shared" si="1011"/>
        <v/>
      </c>
      <c r="KB29" s="73" t="str">
        <f t="shared" si="1011"/>
        <v/>
      </c>
      <c r="KC29" s="73" t="str">
        <f t="shared" si="1011"/>
        <v/>
      </c>
      <c r="KD29" s="73" t="str">
        <f t="shared" si="1011"/>
        <v/>
      </c>
      <c r="KE29" s="73" t="str">
        <f t="shared" ref="KE29:KR29" si="1012">IF(AND(KE27&lt;&gt;0,KE28&lt;&gt;0),(KE27-KE28)/KE28,IF(AND(KE27=0,KE28=0),"",IF(AND(KE27="",KE28=""),"",IF(AND(KE27=0,KE28=""),"", IF(AND(KE27="",KE28=0),"",1)))))</f>
        <v/>
      </c>
      <c r="KF29" s="73" t="str">
        <f t="shared" si="1012"/>
        <v/>
      </c>
      <c r="KG29" s="73" t="str">
        <f t="shared" si="1012"/>
        <v/>
      </c>
      <c r="KH29" s="73" t="str">
        <f t="shared" si="1012"/>
        <v/>
      </c>
      <c r="KI29" s="73" t="str">
        <f t="shared" si="1012"/>
        <v/>
      </c>
      <c r="KJ29" s="73" t="str">
        <f t="shared" si="1012"/>
        <v/>
      </c>
      <c r="KK29" s="73" t="str">
        <f t="shared" si="1012"/>
        <v/>
      </c>
      <c r="KL29" s="73" t="str">
        <f t="shared" si="1012"/>
        <v/>
      </c>
      <c r="KM29" s="73" t="str">
        <f t="shared" si="1012"/>
        <v/>
      </c>
      <c r="KN29" s="73" t="str">
        <f t="shared" si="1012"/>
        <v/>
      </c>
      <c r="KO29" s="73" t="str">
        <f t="shared" si="1012"/>
        <v/>
      </c>
      <c r="KP29" s="73" t="str">
        <f t="shared" si="1012"/>
        <v/>
      </c>
      <c r="KQ29" s="73" t="str">
        <f t="shared" si="1012"/>
        <v/>
      </c>
      <c r="KR29" s="73" t="str">
        <f t="shared" si="1012"/>
        <v/>
      </c>
      <c r="KS29" s="74" t="str">
        <f t="shared" si="1011"/>
        <v/>
      </c>
      <c r="KT29" s="72" t="str">
        <f t="shared" ref="KT29:ME29" si="1013">IF(AND(KT27&lt;&gt;0,KT28&lt;&gt;0),(KT27-KT28)/KT28,IF(AND(KT27=0,KT28=0),"",IF(AND(KT27="",KT28=""),"",IF(AND(KT27=0,KT28=""),"", IF(AND(KT27="",KT28=0),"",1)))))</f>
        <v/>
      </c>
      <c r="KU29" s="73" t="str">
        <f t="shared" si="1013"/>
        <v/>
      </c>
      <c r="KV29" s="73" t="str">
        <f t="shared" si="1013"/>
        <v/>
      </c>
      <c r="KW29" s="73" t="str">
        <f t="shared" si="1013"/>
        <v/>
      </c>
      <c r="KX29" s="73" t="str">
        <f t="shared" si="1013"/>
        <v/>
      </c>
      <c r="KY29" s="73" t="str">
        <f t="shared" si="1013"/>
        <v/>
      </c>
      <c r="KZ29" s="73" t="str">
        <f t="shared" si="1013"/>
        <v/>
      </c>
      <c r="LA29" s="73" t="str">
        <f t="shared" si="1013"/>
        <v/>
      </c>
      <c r="LB29" s="73" t="str">
        <f t="shared" si="1013"/>
        <v/>
      </c>
      <c r="LC29" s="73" t="str">
        <f t="shared" si="1013"/>
        <v/>
      </c>
      <c r="LD29" s="73" t="str">
        <f t="shared" si="1013"/>
        <v/>
      </c>
      <c r="LE29" s="73" t="str">
        <f t="shared" si="1013"/>
        <v/>
      </c>
      <c r="LF29" s="73" t="str">
        <f t="shared" si="1013"/>
        <v/>
      </c>
      <c r="LG29" s="73" t="str">
        <f t="shared" si="1013"/>
        <v/>
      </c>
      <c r="LH29" s="73" t="str">
        <f t="shared" si="1013"/>
        <v/>
      </c>
      <c r="LI29" s="73" t="str">
        <f t="shared" si="1013"/>
        <v/>
      </c>
      <c r="LJ29" s="73" t="str">
        <f t="shared" si="1013"/>
        <v/>
      </c>
      <c r="LK29" s="73" t="str">
        <f t="shared" si="1013"/>
        <v/>
      </c>
      <c r="LL29" s="73" t="str">
        <f t="shared" si="1013"/>
        <v/>
      </c>
      <c r="LM29" s="73" t="str">
        <f t="shared" si="1013"/>
        <v/>
      </c>
      <c r="LN29" s="73" t="str">
        <f t="shared" si="1013"/>
        <v/>
      </c>
      <c r="LO29" s="73" t="str">
        <f t="shared" si="1013"/>
        <v/>
      </c>
      <c r="LP29" s="73" t="str">
        <f t="shared" si="1013"/>
        <v/>
      </c>
      <c r="LQ29" s="73" t="str">
        <f t="shared" ref="LQ29:MD29" si="1014">IF(AND(LQ27&lt;&gt;0,LQ28&lt;&gt;0),(LQ27-LQ28)/LQ28,IF(AND(LQ27=0,LQ28=0),"",IF(AND(LQ27="",LQ28=""),"",IF(AND(LQ27=0,LQ28=""),"", IF(AND(LQ27="",LQ28=0),"",1)))))</f>
        <v/>
      </c>
      <c r="LR29" s="73" t="str">
        <f t="shared" si="1014"/>
        <v/>
      </c>
      <c r="LS29" s="73" t="str">
        <f t="shared" si="1014"/>
        <v/>
      </c>
      <c r="LT29" s="73" t="str">
        <f t="shared" si="1014"/>
        <v/>
      </c>
      <c r="LU29" s="73" t="str">
        <f t="shared" si="1014"/>
        <v/>
      </c>
      <c r="LV29" s="73" t="str">
        <f t="shared" si="1014"/>
        <v/>
      </c>
      <c r="LW29" s="73" t="str">
        <f t="shared" si="1014"/>
        <v/>
      </c>
      <c r="LX29" s="73" t="str">
        <f t="shared" si="1014"/>
        <v/>
      </c>
      <c r="LY29" s="73" t="str">
        <f t="shared" si="1014"/>
        <v/>
      </c>
      <c r="LZ29" s="73" t="str">
        <f t="shared" si="1014"/>
        <v/>
      </c>
      <c r="MA29" s="73" t="str">
        <f t="shared" si="1014"/>
        <v/>
      </c>
      <c r="MB29" s="73" t="str">
        <f t="shared" si="1014"/>
        <v/>
      </c>
      <c r="MC29" s="73" t="str">
        <f t="shared" si="1014"/>
        <v/>
      </c>
      <c r="MD29" s="73" t="str">
        <f t="shared" si="1014"/>
        <v/>
      </c>
      <c r="ME29" s="74" t="str">
        <f t="shared" si="1013"/>
        <v/>
      </c>
      <c r="MF29" s="72" t="str">
        <f t="shared" si="1011"/>
        <v/>
      </c>
      <c r="MG29" s="73" t="str">
        <f t="shared" si="1011"/>
        <v/>
      </c>
      <c r="MH29" s="73" t="str">
        <f t="shared" si="1011"/>
        <v/>
      </c>
      <c r="MI29" s="73" t="str">
        <f t="shared" si="1011"/>
        <v/>
      </c>
      <c r="MJ29" s="73" t="str">
        <f t="shared" si="1011"/>
        <v/>
      </c>
      <c r="MK29" s="73" t="str">
        <f t="shared" si="1011"/>
        <v/>
      </c>
      <c r="ML29" s="73" t="str">
        <f t="shared" si="1011"/>
        <v/>
      </c>
      <c r="MM29" s="73" t="str">
        <f t="shared" si="1011"/>
        <v/>
      </c>
      <c r="MN29" s="73" t="str">
        <f t="shared" si="1011"/>
        <v/>
      </c>
      <c r="MO29" s="73" t="str">
        <f t="shared" si="1011"/>
        <v/>
      </c>
      <c r="MP29" s="73" t="str">
        <f t="shared" si="1011"/>
        <v/>
      </c>
      <c r="MQ29" s="73" t="str">
        <f t="shared" si="1011"/>
        <v/>
      </c>
      <c r="MR29" s="73" t="str">
        <f t="shared" si="1011"/>
        <v/>
      </c>
      <c r="MS29" s="73" t="str">
        <f t="shared" si="1011"/>
        <v/>
      </c>
      <c r="MT29" s="73" t="str">
        <f t="shared" si="1011"/>
        <v/>
      </c>
      <c r="MU29" s="73" t="str">
        <f t="shared" si="1011"/>
        <v/>
      </c>
      <c r="MV29" s="73" t="str">
        <f t="shared" si="1011"/>
        <v/>
      </c>
      <c r="MW29" s="73" t="str">
        <f t="shared" si="1011"/>
        <v/>
      </c>
      <c r="MX29" s="73" t="str">
        <f t="shared" si="1011"/>
        <v/>
      </c>
      <c r="MY29" s="73" t="str">
        <f t="shared" si="1011"/>
        <v/>
      </c>
      <c r="MZ29" s="73" t="str">
        <f t="shared" si="1011"/>
        <v/>
      </c>
      <c r="NA29" s="73" t="str">
        <f t="shared" si="1011"/>
        <v/>
      </c>
      <c r="NB29" s="73" t="str">
        <f t="shared" si="1011"/>
        <v/>
      </c>
      <c r="NC29" s="73" t="str">
        <f t="shared" ref="NC29:NP29" si="1015">IF(AND(NC27&lt;&gt;0,NC28&lt;&gt;0),(NC27-NC28)/NC28,IF(AND(NC27=0,NC28=0),"",IF(AND(NC27="",NC28=""),"",IF(AND(NC27=0,NC28=""),"", IF(AND(NC27="",NC28=0),"",1)))))</f>
        <v/>
      </c>
      <c r="ND29" s="73" t="str">
        <f t="shared" si="1015"/>
        <v/>
      </c>
      <c r="NE29" s="73" t="str">
        <f t="shared" si="1015"/>
        <v/>
      </c>
      <c r="NF29" s="73" t="str">
        <f t="shared" si="1015"/>
        <v/>
      </c>
      <c r="NG29" s="73" t="str">
        <f t="shared" si="1015"/>
        <v/>
      </c>
      <c r="NH29" s="73" t="str">
        <f t="shared" si="1015"/>
        <v/>
      </c>
      <c r="NI29" s="73" t="str">
        <f t="shared" si="1015"/>
        <v/>
      </c>
      <c r="NJ29" s="73" t="str">
        <f t="shared" si="1015"/>
        <v/>
      </c>
      <c r="NK29" s="73" t="str">
        <f t="shared" si="1015"/>
        <v/>
      </c>
      <c r="NL29" s="73" t="str">
        <f t="shared" si="1015"/>
        <v/>
      </c>
      <c r="NM29" s="73" t="str">
        <f t="shared" si="1015"/>
        <v/>
      </c>
      <c r="NN29" s="73" t="str">
        <f t="shared" si="1015"/>
        <v/>
      </c>
      <c r="NO29" s="73" t="str">
        <f t="shared" si="1015"/>
        <v/>
      </c>
      <c r="NP29" s="73" t="str">
        <f t="shared" si="1015"/>
        <v/>
      </c>
      <c r="NQ29" s="74" t="str">
        <f t="shared" si="1011"/>
        <v/>
      </c>
      <c r="NR29" s="40">
        <f t="shared" ref="NR29" si="1016">IF(AND(NR27&lt;&gt;0,NR28&lt;&gt;0),(NR27-NR28)/NR28,IF(AND(NR27=0,NR28=0),"",IF(AND(NR27="",NR28=""),"",IF(AND(NR27=0,NR28=""),"", IF(AND(NR27="",NR28=0),"",1)))))</f>
        <v>1.2658564757228937E-3</v>
      </c>
      <c r="NS29" s="40">
        <f t="shared" ref="NS29" si="1017">IF(AND(NS27&lt;&gt;0,NS28&lt;&gt;0),(NS27-NS28)/NS28,IF(AND(NS27=0,NS28=0),"",IF(AND(NS27="",NS28=""),"",IF(AND(NS27=0,NS28=""),"", IF(AND(NS27="",NS28=0),"",1)))))</f>
        <v>1.5101908908558113E-4</v>
      </c>
      <c r="NT29" s="40">
        <f t="shared" ref="NT29" si="1018">IF(AND(NT27&lt;&gt;0,NT28&lt;&gt;0),(NT27-NT28)/NT28,IF(AND(NT27=0,NT28=0),"",IF(AND(NT27="",NT28=""),"",IF(AND(NT27=0,NT28=""),"", IF(AND(NT27="",NT28=0),"",1)))))</f>
        <v>1.4106390657169226E-4</v>
      </c>
      <c r="NU29" s="40">
        <f t="shared" ref="NU29" si="1019">IF(AND(NU27&lt;&gt;0,NU28&lt;&gt;0),(NU27-NU28)/NU28,IF(AND(NU27=0,NU28=0),"",IF(AND(NU27="",NU28=""),"",IF(AND(NU27=0,NU28=""),"", IF(AND(NU27="",NU28=0),"",1)))))</f>
        <v>1.4991277802006107E-4</v>
      </c>
      <c r="NV29" s="40">
        <f t="shared" ref="NV29" si="1020">IF(AND(NV27&lt;&gt;0,NV28&lt;&gt;0),(NV27-NV28)/NV28,IF(AND(NV27=0,NV28=0),"",IF(AND(NV27="",NV28=""),"",IF(AND(NV27=0,NV28=""),"", IF(AND(NV27="",NV28=0),"",1)))))</f>
        <v>-3.1051403153448372E-6</v>
      </c>
      <c r="NW29" s="40">
        <f t="shared" ref="NW29" si="1021">IF(AND(NW27&lt;&gt;0,NW28&lt;&gt;0),(NW27-NW28)/NW28,IF(AND(NW27=0,NW28=0),"",IF(AND(NW27="",NW28=""),"",IF(AND(NW27=0,NW28=""),"", IF(AND(NW27="",NW28=0),"",1)))))</f>
        <v>1.7897292603494082E-3</v>
      </c>
      <c r="NX29" s="40" t="str">
        <f t="shared" ref="NX29" si="1022">IF(AND(NX27&lt;&gt;0,NX28&lt;&gt;0),(NX27-NX28)/NX28,IF(AND(NX27=0,NX28=0),"",IF(AND(NX27="",NX28=""),"",IF(AND(NX27=0,NX28=""),"", IF(AND(NX27="",NX28=0),"",1)))))</f>
        <v/>
      </c>
      <c r="NY29" s="40">
        <f t="shared" ref="NY29" si="1023">IF(AND(NY27&lt;&gt;0,NY28&lt;&gt;0),(NY27-NY28)/NY28,IF(AND(NY27=0,NY28=0),"",IF(AND(NY27="",NY28=""),"",IF(AND(NY27=0,NY28=""),"", IF(AND(NY27="",NY28=0),"",1)))))</f>
        <v>1.4126963845918581E-2</v>
      </c>
      <c r="NZ29" s="40">
        <f t="shared" ref="NZ29" si="1024">IF(AND(NZ27&lt;&gt;0,NZ28&lt;&gt;0),(NZ27-NZ28)/NZ28,IF(AND(NZ27=0,NZ28=0),"",IF(AND(NZ27="",NZ28=""),"",IF(AND(NZ27=0,NZ28=""),"", IF(AND(NZ27="",NZ28=0),"",1)))))</f>
        <v>2.1814252280651477E-2</v>
      </c>
      <c r="OA29" s="40">
        <f t="shared" ref="OA29" si="1025">IF(AND(OA27&lt;&gt;0,OA28&lt;&gt;0),(OA27-OA28)/OA28,IF(AND(OA27=0,OA28=0),"",IF(AND(OA27="",OA28=""),"",IF(AND(OA27=0,OA28=""),"", IF(AND(OA27="",OA28=0),"",1)))))</f>
        <v>7.9133469211290226E-5</v>
      </c>
      <c r="OB29" s="40">
        <f t="shared" ref="OB29" si="1026">IF(AND(OB27&lt;&gt;0,OB28&lt;&gt;0),(OB27-OB28)/OB28,IF(AND(OB27=0,OB28=0),"",IF(AND(OB27="",OB28=""),"",IF(AND(OB27=0,OB28=""),"", IF(AND(OB27="",OB28=0),"",1)))))</f>
        <v>1</v>
      </c>
      <c r="OC29" s="40" t="str">
        <f t="shared" ref="OC29" si="1027">IF(AND(OC27&lt;&gt;0,OC28&lt;&gt;0),(OC27-OC28)/OC28,IF(AND(OC27=0,OC28=0),"",IF(AND(OC27="",OC28=""),"",IF(AND(OC27=0,OC28=""),"", IF(AND(OC27="",OC28=0),"",1)))))</f>
        <v/>
      </c>
      <c r="OD29" s="40" t="str">
        <f t="shared" ref="OD29" si="1028">IF(AND(OD27&lt;&gt;0,OD28&lt;&gt;0),(OD27-OD28)/OD28,IF(AND(OD27=0,OD28=0),"",IF(AND(OD27="",OD28=""),"",IF(AND(OD27=0,OD28=""),"", IF(AND(OD27="",OD28=0),"",1)))))</f>
        <v/>
      </c>
      <c r="OE29" s="40" t="str">
        <f t="shared" ref="OE29" si="1029">IF(AND(OE27&lt;&gt;0,OE28&lt;&gt;0),(OE27-OE28)/OE28,IF(AND(OE27=0,OE28=0),"",IF(AND(OE27="",OE28=""),"",IF(AND(OE27=0,OE28=""),"", IF(AND(OE27="",OE28=0),"",1)))))</f>
        <v/>
      </c>
      <c r="OF29" s="40" t="str">
        <f t="shared" ref="OF29" si="1030">IF(AND(OF27&lt;&gt;0,OF28&lt;&gt;0),(OF27-OF28)/OF28,IF(AND(OF27=0,OF28=0),"",IF(AND(OF27="",OF28=""),"",IF(AND(OF27=0,OF28=""),"", IF(AND(OF27="",OF28=0),"",1)))))</f>
        <v/>
      </c>
      <c r="OG29" s="40" t="str">
        <f t="shared" ref="OG29" si="1031">IF(AND(OG27&lt;&gt;0,OG28&lt;&gt;0),(OG27-OG28)/OG28,IF(AND(OG27=0,OG28=0),"",IF(AND(OG27="",OG28=""),"",IF(AND(OG27=0,OG28=""),"", IF(AND(OG27="",OG28=0),"",1)))))</f>
        <v/>
      </c>
      <c r="OH29" s="40" t="str">
        <f t="shared" ref="OH29" si="1032">IF(AND(OH27&lt;&gt;0,OH28&lt;&gt;0),(OH27-OH28)/OH28,IF(AND(OH27=0,OH28=0),"",IF(AND(OH27="",OH28=""),"",IF(AND(OH27=0,OH28=""),"", IF(AND(OH27="",OH28=0),"",1)))))</f>
        <v/>
      </c>
      <c r="OI29" s="40" t="str">
        <f t="shared" ref="OI29" si="1033">IF(AND(OI27&lt;&gt;0,OI28&lt;&gt;0),(OI27-OI28)/OI28,IF(AND(OI27=0,OI28=0),"",IF(AND(OI27="",OI28=""),"",IF(AND(OI27=0,OI28=""),"", IF(AND(OI27="",OI28=0),"",1)))))</f>
        <v/>
      </c>
      <c r="OJ29" s="40" t="str">
        <f t="shared" ref="OJ29" si="1034">IF(AND(OJ27&lt;&gt;0,OJ28&lt;&gt;0),(OJ27-OJ28)/OJ28,IF(AND(OJ27=0,OJ28=0),"",IF(AND(OJ27="",OJ28=""),"",IF(AND(OJ27=0,OJ28=""),"", IF(AND(OJ27="",OJ28=0),"",1)))))</f>
        <v/>
      </c>
      <c r="OK29" s="40" t="str">
        <f t="shared" ref="OK29" si="1035">IF(AND(OK27&lt;&gt;0,OK28&lt;&gt;0),(OK27-OK28)/OK28,IF(AND(OK27=0,OK28=0),"",IF(AND(OK27="",OK28=""),"",IF(AND(OK27=0,OK28=""),"", IF(AND(OK27="",OK28=0),"",1)))))</f>
        <v/>
      </c>
      <c r="OL29" s="40" t="str">
        <f t="shared" ref="OL29" si="1036">IF(AND(OL27&lt;&gt;0,OL28&lt;&gt;0),(OL27-OL28)/OL28,IF(AND(OL27=0,OL28=0),"",IF(AND(OL27="",OL28=""),"",IF(AND(OL27=0,OL28=""),"", IF(AND(OL27="",OL28=0),"",1)))))</f>
        <v/>
      </c>
      <c r="OM29" s="40" t="str">
        <f t="shared" ref="OM29" si="1037">IF(AND(OM27&lt;&gt;0,OM28&lt;&gt;0),(OM27-OM28)/OM28,IF(AND(OM27=0,OM28=0),"",IF(AND(OM27="",OM28=""),"",IF(AND(OM27=0,OM28=""),"", IF(AND(OM27="",OM28=0),"",1)))))</f>
        <v/>
      </c>
      <c r="ON29" s="40" t="str">
        <f t="shared" ref="ON29:PB29" si="1038">IF(AND(ON27&lt;&gt;0,ON28&lt;&gt;0),(ON27-ON28)/ON28,IF(AND(ON27=0,ON28=0),"",IF(AND(ON27="",ON28=""),"",IF(AND(ON27=0,ON28=""),"", IF(AND(ON27="",ON28=0),"",1)))))</f>
        <v/>
      </c>
      <c r="OO29" s="40" t="str">
        <f t="shared" si="1038"/>
        <v/>
      </c>
      <c r="OP29" s="40" t="str">
        <f t="shared" si="1038"/>
        <v/>
      </c>
      <c r="OQ29" s="40" t="str">
        <f t="shared" si="1038"/>
        <v/>
      </c>
      <c r="OR29" s="40" t="str">
        <f t="shared" si="1038"/>
        <v/>
      </c>
      <c r="OS29" s="40" t="str">
        <f t="shared" si="1038"/>
        <v/>
      </c>
      <c r="OT29" s="40" t="str">
        <f t="shared" si="1038"/>
        <v/>
      </c>
      <c r="OU29" s="40" t="str">
        <f t="shared" si="1038"/>
        <v/>
      </c>
      <c r="OV29" s="40" t="str">
        <f t="shared" si="1038"/>
        <v/>
      </c>
      <c r="OW29" s="40" t="str">
        <f t="shared" si="1038"/>
        <v/>
      </c>
      <c r="OX29" s="40" t="str">
        <f t="shared" si="1038"/>
        <v/>
      </c>
      <c r="OY29" s="40" t="str">
        <f t="shared" si="1038"/>
        <v/>
      </c>
      <c r="OZ29" s="40" t="str">
        <f t="shared" si="1038"/>
        <v/>
      </c>
      <c r="PA29" s="40" t="str">
        <f t="shared" si="1038"/>
        <v/>
      </c>
      <c r="PB29" s="40" t="str">
        <f t="shared" si="1038"/>
        <v/>
      </c>
      <c r="PC29" s="41">
        <f t="shared" ref="PC29" si="1039">IF(AND(PC27&lt;&gt;0,PC28&lt;&gt;0),(PC27-PC28)/PC28,IF(AND(PC27=0,PC28=0),"",IF(AND(PC27="",PC28=""),"",IF(AND(PC27=0,PC28=""),"", IF(AND(PC27="",PC28=0),"",1)))))</f>
        <v>6.7081028902784192E-3</v>
      </c>
    </row>
    <row r="30" spans="1:419" outlineLevel="1" x14ac:dyDescent="0.3">
      <c r="A30" s="46" t="s">
        <v>25</v>
      </c>
      <c r="B30" s="14">
        <f>'[1]D-PDP'!$DT$12</f>
        <v>0</v>
      </c>
      <c r="C30" s="14">
        <f>'[1]D-PDP'!$DT$13</f>
        <v>0</v>
      </c>
      <c r="D30" s="14">
        <f>'[1]D-PDP'!$DT$14</f>
        <v>0</v>
      </c>
      <c r="E30" s="14">
        <f>'[1]D-PDP'!$DT$15</f>
        <v>0</v>
      </c>
      <c r="F30" s="14">
        <f>'[1]D-PDP'!$DT$16</f>
        <v>0</v>
      </c>
      <c r="G30" s="14">
        <f>'[1]D-PDP'!$DT$17</f>
        <v>0</v>
      </c>
      <c r="H30" s="14">
        <f>'[1]D-PDP'!$DT$18</f>
        <v>0</v>
      </c>
      <c r="I30" s="14">
        <f>'[1]D-PDP'!$DT$19</f>
        <v>0</v>
      </c>
      <c r="J30" s="14">
        <f>'[1]D-PDP'!$DT$20</f>
        <v>0</v>
      </c>
      <c r="K30" s="14">
        <f>'[1]D-PDP'!$DT$21</f>
        <v>0</v>
      </c>
      <c r="L30" s="14">
        <f>'[1]D-PDP'!$DT$22</f>
        <v>0</v>
      </c>
      <c r="M30" s="14">
        <f>'[1]D-PDP'!$DT$23</f>
        <v>12239414</v>
      </c>
      <c r="N30" s="14">
        <f>'[1]D-PDP'!$DT$24</f>
        <v>0</v>
      </c>
      <c r="O30" s="14">
        <f>'[1]D-PDP'!$DT$25</f>
        <v>0</v>
      </c>
      <c r="P30" s="14">
        <f>'[1]D-PDP'!$DT$26</f>
        <v>0</v>
      </c>
      <c r="Q30" s="14">
        <f>'[1]D-PDP'!$DT$27</f>
        <v>0</v>
      </c>
      <c r="R30" s="14">
        <f>'[1]D-PDP'!$DT$28</f>
        <v>0</v>
      </c>
      <c r="S30" s="14">
        <f>'[1]D-PDP'!$DT$29</f>
        <v>0</v>
      </c>
      <c r="T30" s="14">
        <f>'[1]D-PDP'!$DT$30</f>
        <v>0</v>
      </c>
      <c r="U30" s="14">
        <f>'[1]D-PDP'!$DT$31</f>
        <v>0</v>
      </c>
      <c r="V30" s="14">
        <f>'[1]D-PDP'!$DT$32</f>
        <v>0</v>
      </c>
      <c r="W30" s="14">
        <f>'[1]D-PDP'!$DT$33</f>
        <v>0</v>
      </c>
      <c r="X30" s="14">
        <f>'[1]D-PDP'!$DT$34</f>
        <v>0</v>
      </c>
      <c r="Y30" s="14">
        <f>'[1]D-PDP'!$DT$35</f>
        <v>0</v>
      </c>
      <c r="Z30" s="14">
        <f>'[1]D-PDP'!$DT$36</f>
        <v>0</v>
      </c>
      <c r="AA30" s="14">
        <f>'[1]D-PDP'!$DT$37</f>
        <v>0</v>
      </c>
      <c r="AB30" s="14">
        <f>'[1]D-PDP'!$DT$38</f>
        <v>0</v>
      </c>
      <c r="AC30" s="14">
        <f>'[1]D-PDP'!$DT$39</f>
        <v>0</v>
      </c>
      <c r="AD30" s="14">
        <f>'[1]D-PDP'!$DT$40</f>
        <v>0</v>
      </c>
      <c r="AE30" s="14">
        <f>'[1]D-PDP'!$DT$41</f>
        <v>0</v>
      </c>
      <c r="AF30" s="14">
        <f>'[1]D-PDP'!$DT$42</f>
        <v>0</v>
      </c>
      <c r="AG30" s="14">
        <f>'[1]D-PDP'!$DT$43</f>
        <v>0</v>
      </c>
      <c r="AH30" s="14">
        <f>'[1]D-PDP'!$DT$44</f>
        <v>0</v>
      </c>
      <c r="AI30" s="14">
        <f>'[1]D-PDP'!$DT$45</f>
        <v>0</v>
      </c>
      <c r="AJ30" s="14">
        <f>'[1]D-PDP'!$DT$46</f>
        <v>0</v>
      </c>
      <c r="AK30" s="14">
        <f>'[1]D-PDP'!$DT$47</f>
        <v>0</v>
      </c>
      <c r="AL30" s="14">
        <f>'[1]D-PDP'!$DT$48</f>
        <v>0</v>
      </c>
      <c r="AM30" s="16">
        <f>SUM(B30:AL30)</f>
        <v>12239414</v>
      </c>
      <c r="AN30" s="28">
        <f>'[1]D-PNP'!$DT$12</f>
        <v>0</v>
      </c>
      <c r="AO30" s="14">
        <f>'[1]D-PNP'!$DT$13</f>
        <v>0</v>
      </c>
      <c r="AP30" s="14">
        <f>'[1]D-PNP'!$DT$14</f>
        <v>0</v>
      </c>
      <c r="AQ30" s="14">
        <f>'[1]D-PNP'!$DT$15</f>
        <v>0</v>
      </c>
      <c r="AR30" s="14">
        <f>'[1]D-PNP'!$DT$16</f>
        <v>0</v>
      </c>
      <c r="AS30" s="14">
        <f>'[1]D-PNP'!$DT$17</f>
        <v>0</v>
      </c>
      <c r="AT30" s="14">
        <f>'[1]D-PNP'!$DT$18</f>
        <v>0</v>
      </c>
      <c r="AU30" s="14">
        <f>'[1]D-PNP'!$DT$19</f>
        <v>0</v>
      </c>
      <c r="AV30" s="14">
        <f>'[1]D-PNP'!$DT$20</f>
        <v>0</v>
      </c>
      <c r="AW30" s="14">
        <f>'[1]D-PNP'!$DT$21</f>
        <v>0</v>
      </c>
      <c r="AX30" s="14">
        <f>'[1]D-PNP'!$DT$22</f>
        <v>0</v>
      </c>
      <c r="AY30" s="14">
        <f>'[1]D-PNP'!$DT$23</f>
        <v>0</v>
      </c>
      <c r="AZ30" s="14">
        <f>'[1]D-PNP'!$DT$24</f>
        <v>0</v>
      </c>
      <c r="BA30" s="14">
        <f>'[1]D-PNP'!$DT$25</f>
        <v>0</v>
      </c>
      <c r="BB30" s="14">
        <f>'[1]D-PNP'!$DT$26</f>
        <v>0</v>
      </c>
      <c r="BC30" s="14">
        <f>'[1]D-PNP'!$DT$27</f>
        <v>0</v>
      </c>
      <c r="BD30" s="14">
        <f>'[1]D-PNP'!$DT$28</f>
        <v>0</v>
      </c>
      <c r="BE30" s="14">
        <f>'[1]D-PNP'!$DT$29</f>
        <v>0</v>
      </c>
      <c r="BF30" s="14">
        <f>'[1]D-PNP'!$DT$30</f>
        <v>0</v>
      </c>
      <c r="BG30" s="14">
        <f>'[1]D-PNP'!$DT$31</f>
        <v>0</v>
      </c>
      <c r="BH30" s="14">
        <f>'[1]D-PNP'!$DT$32</f>
        <v>0</v>
      </c>
      <c r="BI30" s="14">
        <f>'[1]D-PNP'!$DT$33</f>
        <v>0</v>
      </c>
      <c r="BJ30" s="14">
        <f>'[1]D-PNP'!$DT$34</f>
        <v>0</v>
      </c>
      <c r="BK30" s="14">
        <f>'[1]D-PNP'!$DT$35</f>
        <v>0</v>
      </c>
      <c r="BL30" s="14">
        <f>'[1]D-PNP'!$DT$36</f>
        <v>0</v>
      </c>
      <c r="BM30" s="14">
        <f>'[1]D-PNP'!$DT$37</f>
        <v>0</v>
      </c>
      <c r="BN30" s="14">
        <f>'[1]D-PNP'!$DT$38</f>
        <v>0</v>
      </c>
      <c r="BO30" s="14">
        <f>'[1]D-PNP'!$DT$39</f>
        <v>0</v>
      </c>
      <c r="BP30" s="14">
        <f>'[1]D-PNP'!$DT$40</f>
        <v>0</v>
      </c>
      <c r="BQ30" s="14">
        <f>'[1]D-PNP'!$DT$41</f>
        <v>0</v>
      </c>
      <c r="BR30" s="14">
        <f>'[1]D-PNP'!$DT$42</f>
        <v>0</v>
      </c>
      <c r="BS30" s="14">
        <f>'[1]D-PNP'!$DT$43</f>
        <v>0</v>
      </c>
      <c r="BT30" s="14">
        <f>'[1]D-PNP'!$DT$44</f>
        <v>0</v>
      </c>
      <c r="BU30" s="14">
        <f>'[1]D-PNP'!$DT$45</f>
        <v>0</v>
      </c>
      <c r="BV30" s="14">
        <f>'[1]D-PNP'!$DT$46</f>
        <v>0</v>
      </c>
      <c r="BW30" s="14">
        <f>'[1]D-PNP'!$DT$47</f>
        <v>0</v>
      </c>
      <c r="BX30" s="14">
        <f>'[1]D-PNP'!$DT$48</f>
        <v>0</v>
      </c>
      <c r="BY30" s="16">
        <f>SUM(AN30:BX30)</f>
        <v>0</v>
      </c>
      <c r="BZ30" s="28">
        <f>'[1]D-PND'!$DT$12</f>
        <v>0</v>
      </c>
      <c r="CA30" s="14">
        <f>'[1]D-PND'!$DT$13</f>
        <v>0</v>
      </c>
      <c r="CB30" s="14">
        <f>'[1]D-PND'!$DT$14</f>
        <v>0</v>
      </c>
      <c r="CC30" s="14">
        <f>'[1]D-PND'!$DT$15</f>
        <v>0</v>
      </c>
      <c r="CD30" s="14">
        <f>'[1]D-PND'!$DT$16</f>
        <v>0</v>
      </c>
      <c r="CE30" s="14">
        <f>'[1]D-PND'!$DT$17</f>
        <v>0</v>
      </c>
      <c r="CF30" s="14">
        <f>'[1]D-PND'!$DT$18</f>
        <v>0</v>
      </c>
      <c r="CG30" s="14">
        <f>'[1]D-PND'!$DT$19</f>
        <v>0</v>
      </c>
      <c r="CH30" s="14">
        <f>'[1]D-PND'!$DT$20</f>
        <v>0</v>
      </c>
      <c r="CI30" s="14">
        <f>'[1]D-PND'!$DT$21</f>
        <v>0</v>
      </c>
      <c r="CJ30" s="14">
        <f>'[1]D-PND'!$DT$22</f>
        <v>0</v>
      </c>
      <c r="CK30" s="14">
        <f>'[1]D-PND'!$DT$23</f>
        <v>2223508</v>
      </c>
      <c r="CL30" s="14">
        <f>'[1]D-PND'!$DT$24</f>
        <v>0</v>
      </c>
      <c r="CM30" s="14">
        <f>'[1]D-PND'!$DT$25</f>
        <v>0</v>
      </c>
      <c r="CN30" s="14">
        <f>'[1]D-PND'!$DT$26</f>
        <v>0</v>
      </c>
      <c r="CO30" s="14">
        <f>'[1]D-PND'!$DT$27</f>
        <v>0</v>
      </c>
      <c r="CP30" s="14">
        <f>'[1]D-PND'!$DT$28</f>
        <v>0</v>
      </c>
      <c r="CQ30" s="14">
        <f>'[1]D-PND'!$DT$29</f>
        <v>0</v>
      </c>
      <c r="CR30" s="14">
        <f>'[1]D-PND'!$DT$30</f>
        <v>0</v>
      </c>
      <c r="CS30" s="14">
        <f>'[1]D-PND'!$DT$31</f>
        <v>0</v>
      </c>
      <c r="CT30" s="14">
        <f>'[1]D-PND'!$DT$32</f>
        <v>0</v>
      </c>
      <c r="CU30" s="14">
        <f>'[1]D-PND'!$DT$33</f>
        <v>0</v>
      </c>
      <c r="CV30" s="14">
        <f>'[1]D-PND'!$DT$34</f>
        <v>0</v>
      </c>
      <c r="CW30" s="14">
        <f>'[1]D-PND'!$DT$35</f>
        <v>0</v>
      </c>
      <c r="CX30" s="14">
        <f>'[1]D-PND'!$DT$36</f>
        <v>0</v>
      </c>
      <c r="CY30" s="14">
        <f>'[1]D-PND'!$DT$37</f>
        <v>0</v>
      </c>
      <c r="CZ30" s="14">
        <f>'[1]D-PND'!$DT$38</f>
        <v>0</v>
      </c>
      <c r="DA30" s="14">
        <f>'[1]D-PND'!$DT$39</f>
        <v>0</v>
      </c>
      <c r="DB30" s="14">
        <f>'[1]D-PND'!$DT$40</f>
        <v>0</v>
      </c>
      <c r="DC30" s="14">
        <f>'[1]D-PND'!$DT$41</f>
        <v>0</v>
      </c>
      <c r="DD30" s="14">
        <f>'[1]D-PND'!$DT$42</f>
        <v>0</v>
      </c>
      <c r="DE30" s="14">
        <f>'[1]D-PND'!$DT$43</f>
        <v>0</v>
      </c>
      <c r="DF30" s="14">
        <f>'[1]D-PND'!$DT$44</f>
        <v>0</v>
      </c>
      <c r="DG30" s="14">
        <f>'[1]D-PND'!$DT$45</f>
        <v>0</v>
      </c>
      <c r="DH30" s="14">
        <f>'[1]D-PND'!$DT$46</f>
        <v>0</v>
      </c>
      <c r="DI30" s="14">
        <f>'[1]D-PND'!$DT$47</f>
        <v>0</v>
      </c>
      <c r="DJ30" s="14">
        <f>'[1]D-PND'!$DT$48</f>
        <v>0</v>
      </c>
      <c r="DK30" s="16">
        <f>SUM(BZ30:DJ30)</f>
        <v>2223508</v>
      </c>
      <c r="DL30" s="66"/>
      <c r="DM30" s="67"/>
      <c r="DN30" s="67"/>
      <c r="DO30" s="67"/>
      <c r="DP30" s="67"/>
      <c r="DQ30" s="67"/>
      <c r="DR30" s="67"/>
      <c r="DS30" s="67"/>
      <c r="DT30" s="67"/>
      <c r="DU30" s="67"/>
      <c r="DV30" s="67"/>
      <c r="DW30" s="67"/>
      <c r="DX30" s="67"/>
      <c r="DY30" s="67"/>
      <c r="DZ30" s="67"/>
      <c r="EA30" s="67"/>
      <c r="EB30" s="67"/>
      <c r="EC30" s="67"/>
      <c r="ED30" s="67"/>
      <c r="EE30" s="67"/>
      <c r="EF30" s="67"/>
      <c r="EG30" s="67"/>
      <c r="EH30" s="67"/>
      <c r="EI30" s="67"/>
      <c r="EJ30" s="67"/>
      <c r="EK30" s="67"/>
      <c r="EL30" s="67"/>
      <c r="EM30" s="67"/>
      <c r="EN30" s="67"/>
      <c r="EO30" s="67"/>
      <c r="EP30" s="67"/>
      <c r="EQ30" s="67"/>
      <c r="ER30" s="67"/>
      <c r="ES30" s="67"/>
      <c r="ET30" s="67"/>
      <c r="EU30" s="67"/>
      <c r="EV30" s="67"/>
      <c r="EW30" s="68">
        <f>SUM(DL30:EV30)</f>
        <v>0</v>
      </c>
      <c r="EX30" s="66"/>
      <c r="EY30" s="67"/>
      <c r="EZ30" s="67"/>
      <c r="FA30" s="67"/>
      <c r="FB30" s="67"/>
      <c r="FC30" s="67"/>
      <c r="FD30" s="67"/>
      <c r="FE30" s="67"/>
      <c r="FF30" s="67"/>
      <c r="FG30" s="67"/>
      <c r="FH30" s="67"/>
      <c r="FI30" s="67"/>
      <c r="FJ30" s="67"/>
      <c r="FK30" s="67"/>
      <c r="FL30" s="67"/>
      <c r="FM30" s="67"/>
      <c r="FN30" s="67"/>
      <c r="FO30" s="67"/>
      <c r="FP30" s="67"/>
      <c r="FQ30" s="67"/>
      <c r="FR30" s="67"/>
      <c r="FS30" s="67"/>
      <c r="FT30" s="67"/>
      <c r="FU30" s="67"/>
      <c r="FV30" s="67"/>
      <c r="FW30" s="67"/>
      <c r="FX30" s="67"/>
      <c r="FY30" s="67"/>
      <c r="FZ30" s="67"/>
      <c r="GA30" s="67"/>
      <c r="GB30" s="67"/>
      <c r="GC30" s="67"/>
      <c r="GD30" s="67"/>
      <c r="GE30" s="67"/>
      <c r="GF30" s="67"/>
      <c r="GG30" s="67"/>
      <c r="GH30" s="67"/>
      <c r="GI30" s="68">
        <f>SUM(EX30:GH30)</f>
        <v>0</v>
      </c>
      <c r="GJ30" s="66"/>
      <c r="GK30" s="67"/>
      <c r="GL30" s="67"/>
      <c r="GM30" s="67"/>
      <c r="GN30" s="67"/>
      <c r="GO30" s="67"/>
      <c r="GP30" s="67"/>
      <c r="GQ30" s="67"/>
      <c r="GR30" s="67"/>
      <c r="GS30" s="67"/>
      <c r="GT30" s="67"/>
      <c r="GU30" s="67"/>
      <c r="GV30" s="67"/>
      <c r="GW30" s="67"/>
      <c r="GX30" s="67"/>
      <c r="GY30" s="67"/>
      <c r="GZ30" s="67"/>
      <c r="HA30" s="67"/>
      <c r="HB30" s="67"/>
      <c r="HC30" s="67"/>
      <c r="HD30" s="67"/>
      <c r="HE30" s="67"/>
      <c r="HF30" s="67"/>
      <c r="HG30" s="67"/>
      <c r="HH30" s="67"/>
      <c r="HI30" s="67"/>
      <c r="HJ30" s="67"/>
      <c r="HK30" s="67"/>
      <c r="HL30" s="67"/>
      <c r="HM30" s="67"/>
      <c r="HN30" s="67"/>
      <c r="HO30" s="67"/>
      <c r="HP30" s="67"/>
      <c r="HQ30" s="67"/>
      <c r="HR30" s="67"/>
      <c r="HS30" s="67"/>
      <c r="HT30" s="67"/>
      <c r="HU30" s="68">
        <f>SUM(GJ30:HT30)</f>
        <v>0</v>
      </c>
      <c r="HV30" s="28">
        <f>'[1]D-PRB'!$DT$12</f>
        <v>0</v>
      </c>
      <c r="HW30" s="14">
        <f>'[1]D-PRB'!$DT$13</f>
        <v>0</v>
      </c>
      <c r="HX30" s="14">
        <f>'[1]D-PRB'!$DT$14</f>
        <v>0</v>
      </c>
      <c r="HY30" s="14">
        <f>'[1]D-PRB'!$DT$15</f>
        <v>0</v>
      </c>
      <c r="HZ30" s="14">
        <f>'[1]D-PRB'!$DT$16</f>
        <v>0</v>
      </c>
      <c r="IA30" s="14">
        <f>'[1]D-PRB'!$DT$17</f>
        <v>0</v>
      </c>
      <c r="IB30" s="14">
        <f>'[1]D-PRB'!$DT$18</f>
        <v>0</v>
      </c>
      <c r="IC30" s="14">
        <f>'[1]D-PRB'!$DT$19</f>
        <v>0</v>
      </c>
      <c r="ID30" s="14">
        <f>'[1]D-PRB'!$DT$20</f>
        <v>0</v>
      </c>
      <c r="IE30" s="14">
        <f>'[1]D-PRB'!$DT$21</f>
        <v>0</v>
      </c>
      <c r="IF30" s="14">
        <f>'[1]D-PRB'!$DT$22</f>
        <v>0</v>
      </c>
      <c r="IG30" s="14">
        <f>'[1]D-PRB'!$DT$23</f>
        <v>0</v>
      </c>
      <c r="IH30" s="14">
        <f>'[1]D-PRB'!$DT$24</f>
        <v>0</v>
      </c>
      <c r="II30" s="14">
        <f>'[1]D-PRB'!$DT$25</f>
        <v>0</v>
      </c>
      <c r="IJ30" s="14">
        <f>'[1]D-PRB'!$DT$26</f>
        <v>0</v>
      </c>
      <c r="IK30" s="14">
        <f>'[1]D-PRB'!$DT$27</f>
        <v>0</v>
      </c>
      <c r="IL30" s="14">
        <f>'[1]D-PRB'!$DT$28</f>
        <v>0</v>
      </c>
      <c r="IM30" s="14">
        <f>'[1]D-PRB'!$DT$29</f>
        <v>0</v>
      </c>
      <c r="IN30" s="14">
        <f>'[1]D-PRB'!$DT$30</f>
        <v>0</v>
      </c>
      <c r="IO30" s="14">
        <f>'[1]D-PRB'!$DT$31</f>
        <v>0</v>
      </c>
      <c r="IP30" s="14">
        <f>'[1]D-PRB'!$DT$32</f>
        <v>0</v>
      </c>
      <c r="IQ30" s="14">
        <f>'[1]D-PRB'!$DT$33</f>
        <v>0</v>
      </c>
      <c r="IR30" s="14">
        <f>'[1]D-PRB'!$DT$34</f>
        <v>0</v>
      </c>
      <c r="IS30" s="14">
        <f>'[1]D-PRB'!$DT$35</f>
        <v>0</v>
      </c>
      <c r="IT30" s="14">
        <f>'[1]D-PRB'!$DT$36</f>
        <v>0</v>
      </c>
      <c r="IU30" s="14">
        <f>'[1]D-PRB'!$DT$37</f>
        <v>0</v>
      </c>
      <c r="IV30" s="14">
        <f>'[1]D-PRB'!$DT$38</f>
        <v>0</v>
      </c>
      <c r="IW30" s="14">
        <f>'[1]D-PRB'!$DT$39</f>
        <v>0</v>
      </c>
      <c r="IX30" s="14">
        <f>'[1]D-PRB'!$DT$40</f>
        <v>0</v>
      </c>
      <c r="IY30" s="14">
        <f>'[1]D-PRB'!$DT$41</f>
        <v>0</v>
      </c>
      <c r="IZ30" s="14">
        <f>'[1]D-PRB'!$DT$42</f>
        <v>0</v>
      </c>
      <c r="JA30" s="14">
        <f>'[1]D-PRB'!$DT$43</f>
        <v>0</v>
      </c>
      <c r="JB30" s="14">
        <f>'[1]D-PRB'!$DT$44</f>
        <v>0</v>
      </c>
      <c r="JC30" s="14">
        <f>'[1]D-PRB'!$DT$45</f>
        <v>0</v>
      </c>
      <c r="JD30" s="14">
        <f>'[1]D-PRB'!$DT$46</f>
        <v>0</v>
      </c>
      <c r="JE30" s="14">
        <f>'[1]D-PRB'!$DT$47</f>
        <v>0</v>
      </c>
      <c r="JF30" s="14">
        <f>'[1]D-PRB'!$DT$48</f>
        <v>0</v>
      </c>
      <c r="JG30" s="16">
        <f>SUM(HV30:JF30)</f>
        <v>0</v>
      </c>
      <c r="JH30" s="66"/>
      <c r="JI30" s="67"/>
      <c r="JJ30" s="67"/>
      <c r="JK30" s="67"/>
      <c r="JL30" s="67"/>
      <c r="JM30" s="67"/>
      <c r="JN30" s="67"/>
      <c r="JO30" s="67"/>
      <c r="JP30" s="67"/>
      <c r="JQ30" s="67"/>
      <c r="JR30" s="67"/>
      <c r="JS30" s="67"/>
      <c r="JT30" s="67"/>
      <c r="JU30" s="67"/>
      <c r="JV30" s="67"/>
      <c r="JW30" s="67"/>
      <c r="JX30" s="67"/>
      <c r="JY30" s="67"/>
      <c r="JZ30" s="67"/>
      <c r="KA30" s="67"/>
      <c r="KB30" s="67"/>
      <c r="KC30" s="67"/>
      <c r="KD30" s="67"/>
      <c r="KE30" s="67"/>
      <c r="KF30" s="67"/>
      <c r="KG30" s="67"/>
      <c r="KH30" s="67"/>
      <c r="KI30" s="67"/>
      <c r="KJ30" s="67"/>
      <c r="KK30" s="67"/>
      <c r="KL30" s="67"/>
      <c r="KM30" s="67"/>
      <c r="KN30" s="67"/>
      <c r="KO30" s="67"/>
      <c r="KP30" s="67"/>
      <c r="KQ30" s="67"/>
      <c r="KR30" s="67"/>
      <c r="KS30" s="68">
        <f>SUM(JH30:KR30)</f>
        <v>0</v>
      </c>
      <c r="KT30" s="66"/>
      <c r="KU30" s="67"/>
      <c r="KV30" s="67"/>
      <c r="KW30" s="67"/>
      <c r="KX30" s="67"/>
      <c r="KY30" s="67"/>
      <c r="KZ30" s="67"/>
      <c r="LA30" s="67"/>
      <c r="LB30" s="67"/>
      <c r="LC30" s="67"/>
      <c r="LD30" s="67"/>
      <c r="LE30" s="67"/>
      <c r="LF30" s="67"/>
      <c r="LG30" s="67"/>
      <c r="LH30" s="67"/>
      <c r="LI30" s="67"/>
      <c r="LJ30" s="67"/>
      <c r="LK30" s="67"/>
      <c r="LL30" s="67"/>
      <c r="LM30" s="67"/>
      <c r="LN30" s="67"/>
      <c r="LO30" s="67"/>
      <c r="LP30" s="67"/>
      <c r="LQ30" s="67"/>
      <c r="LR30" s="67"/>
      <c r="LS30" s="67"/>
      <c r="LT30" s="67"/>
      <c r="LU30" s="67"/>
      <c r="LV30" s="67"/>
      <c r="LW30" s="67"/>
      <c r="LX30" s="67"/>
      <c r="LY30" s="67"/>
      <c r="LZ30" s="67"/>
      <c r="MA30" s="67"/>
      <c r="MB30" s="67"/>
      <c r="MC30" s="67"/>
      <c r="MD30" s="67"/>
      <c r="ME30" s="68">
        <f>SUM(KT30:MD30)</f>
        <v>0</v>
      </c>
      <c r="MF30" s="66"/>
      <c r="MG30" s="67"/>
      <c r="MH30" s="67"/>
      <c r="MI30" s="67"/>
      <c r="MJ30" s="67"/>
      <c r="MK30" s="67"/>
      <c r="ML30" s="67"/>
      <c r="MM30" s="67"/>
      <c r="MN30" s="67"/>
      <c r="MO30" s="67"/>
      <c r="MP30" s="67"/>
      <c r="MQ30" s="67"/>
      <c r="MR30" s="67"/>
      <c r="MS30" s="67"/>
      <c r="MT30" s="67"/>
      <c r="MU30" s="67"/>
      <c r="MV30" s="67"/>
      <c r="MW30" s="67"/>
      <c r="MX30" s="67"/>
      <c r="MY30" s="67"/>
      <c r="MZ30" s="67"/>
      <c r="NA30" s="67"/>
      <c r="NB30" s="67"/>
      <c r="NC30" s="67"/>
      <c r="ND30" s="67"/>
      <c r="NE30" s="67"/>
      <c r="NF30" s="67"/>
      <c r="NG30" s="67"/>
      <c r="NH30" s="67"/>
      <c r="NI30" s="67"/>
      <c r="NJ30" s="67"/>
      <c r="NK30" s="67"/>
      <c r="NL30" s="67"/>
      <c r="NM30" s="67"/>
      <c r="NN30" s="67"/>
      <c r="NO30" s="67"/>
      <c r="NP30" s="67"/>
      <c r="NQ30" s="68">
        <f>SUM(MF30:NP30)</f>
        <v>0</v>
      </c>
      <c r="NR30" s="14">
        <f>'[1]D-PS'!$DT$12</f>
        <v>0</v>
      </c>
      <c r="NS30" s="14">
        <f>'[1]D-PS'!$DT$13</f>
        <v>0</v>
      </c>
      <c r="NT30" s="14">
        <f>'[1]D-PS'!$DT$14</f>
        <v>0</v>
      </c>
      <c r="NU30" s="14">
        <f>'[1]D-PS'!$DT$15</f>
        <v>0</v>
      </c>
      <c r="NV30" s="14">
        <f>'[1]D-PS'!$DT$16</f>
        <v>0</v>
      </c>
      <c r="NW30" s="14">
        <f>'[1]D-PS'!$DT$17</f>
        <v>0</v>
      </c>
      <c r="NX30" s="14">
        <f>'[1]D-PS'!$DT$18</f>
        <v>0</v>
      </c>
      <c r="NY30" s="14">
        <f>'[1]D-PS'!$DT$19</f>
        <v>0</v>
      </c>
      <c r="NZ30" s="14">
        <f>'[1]D-PS'!$DT$20</f>
        <v>0</v>
      </c>
      <c r="OA30" s="14">
        <f>'[1]D-PS'!$DT$21</f>
        <v>0</v>
      </c>
      <c r="OB30" s="14">
        <f>'[1]D-PS'!$DT$22</f>
        <v>0</v>
      </c>
      <c r="OC30" s="14">
        <f>'[1]D-PS'!$DT$23</f>
        <v>247057</v>
      </c>
      <c r="OD30" s="14">
        <f>'[1]D-PS'!$DT$24</f>
        <v>0</v>
      </c>
      <c r="OE30" s="14">
        <f>'[1]D-PS'!$DT$25</f>
        <v>0</v>
      </c>
      <c r="OF30" s="14">
        <f>'[1]D-PS'!$DT$26</f>
        <v>0</v>
      </c>
      <c r="OG30" s="14">
        <f>'[1]D-PS'!$DT$27</f>
        <v>0</v>
      </c>
      <c r="OH30" s="14">
        <f>'[1]D-PS'!$DT$28</f>
        <v>0</v>
      </c>
      <c r="OI30" s="14">
        <f>'[1]D-PS'!$DT$29</f>
        <v>0</v>
      </c>
      <c r="OJ30" s="14">
        <f>'[1]D-PS'!$DT$30</f>
        <v>0</v>
      </c>
      <c r="OK30" s="14">
        <f>'[1]D-PS'!$DT$31</f>
        <v>0</v>
      </c>
      <c r="OL30" s="14">
        <f>'[1]D-PS'!$DT$32</f>
        <v>0</v>
      </c>
      <c r="OM30" s="14">
        <f>'[1]D-PS'!$DT$33</f>
        <v>0</v>
      </c>
      <c r="ON30" s="14">
        <f>'[1]D-PS'!$DT$34</f>
        <v>0</v>
      </c>
      <c r="OO30" s="14">
        <f>'[1]D-PS'!$DT$35</f>
        <v>0</v>
      </c>
      <c r="OP30" s="14">
        <f>'[1]D-PS'!$DT$36</f>
        <v>0</v>
      </c>
      <c r="OQ30" s="14">
        <f>'[1]D-PS'!$DT$37</f>
        <v>0</v>
      </c>
      <c r="OR30" s="14">
        <f>'[1]D-PS'!$DT$38</f>
        <v>0</v>
      </c>
      <c r="OS30" s="14">
        <f>'[1]D-PS'!$DT$39</f>
        <v>0</v>
      </c>
      <c r="OT30" s="14">
        <f>'[1]D-PS'!$DT$40</f>
        <v>0</v>
      </c>
      <c r="OU30" s="14">
        <f>'[1]D-PS'!$DT$41</f>
        <v>0</v>
      </c>
      <c r="OV30" s="14">
        <f>'[1]D-PS'!$DT$42</f>
        <v>0</v>
      </c>
      <c r="OW30" s="14">
        <f>'[1]D-PS'!$DT$43</f>
        <v>0</v>
      </c>
      <c r="OX30" s="14">
        <f>'[1]D-PS'!$DT$44</f>
        <v>0</v>
      </c>
      <c r="OY30" s="14">
        <f>'[1]D-PS'!$DT$45</f>
        <v>0</v>
      </c>
      <c r="OZ30" s="14">
        <f>'[1]D-PS'!$DT$46</f>
        <v>0</v>
      </c>
      <c r="PA30" s="14">
        <f>'[1]D-PS'!$DT$47</f>
        <v>0</v>
      </c>
      <c r="PB30" s="14">
        <f>'[1]D-PS'!$DT$48</f>
        <v>0</v>
      </c>
      <c r="PC30" s="16">
        <f>SUM(NR30:PB30)</f>
        <v>247057</v>
      </c>
    </row>
    <row r="31" spans="1:419" outlineLevel="1" x14ac:dyDescent="0.3">
      <c r="A31" s="46" t="s">
        <v>26</v>
      </c>
      <c r="B31" s="25">
        <f>'[2]CF PDP'!$DI$36</f>
        <v>0</v>
      </c>
      <c r="C31" s="25">
        <f>'[2]CF PDP'!$DI$37</f>
        <v>0</v>
      </c>
      <c r="D31" s="25">
        <f>'[2]CF PDP'!$DI$38</f>
        <v>0</v>
      </c>
      <c r="E31" s="25">
        <f>'[2]CF PDP'!$DI$39</f>
        <v>0</v>
      </c>
      <c r="F31" s="25">
        <f>'[2]CF PDP'!$DI$40</f>
        <v>0</v>
      </c>
      <c r="G31" s="25">
        <f>'[2]CF PDP'!$DI$41</f>
        <v>0</v>
      </c>
      <c r="H31" s="25">
        <f>'[2]CF PDP'!$DI$42</f>
        <v>12239414</v>
      </c>
      <c r="I31" s="25">
        <f>'[2]CF PDP'!$DI$43</f>
        <v>0</v>
      </c>
      <c r="J31" s="25">
        <f>'[2]CF PDP'!$DI$44</f>
        <v>0</v>
      </c>
      <c r="K31" s="25">
        <f>'[2]CF PDP'!$DI$45</f>
        <v>0</v>
      </c>
      <c r="L31" s="25">
        <f>'[2]CF PDP'!$DI$46</f>
        <v>0</v>
      </c>
      <c r="M31" s="25">
        <f>'[2]CF PDP'!$DI$47</f>
        <v>0</v>
      </c>
      <c r="N31" s="25">
        <f>'[2]CF PDP'!$DI$48</f>
        <v>0</v>
      </c>
      <c r="O31" s="25">
        <f>'[2]CF PDP'!$DI$49</f>
        <v>0</v>
      </c>
      <c r="P31" s="25">
        <f>'[2]CF PDP'!$DI$50</f>
        <v>0</v>
      </c>
      <c r="Q31" s="25">
        <f>'[2]CF PDP'!$DI$51</f>
        <v>0</v>
      </c>
      <c r="R31" s="25">
        <f>'[2]CF PDP'!$DI$52</f>
        <v>0</v>
      </c>
      <c r="S31" s="25">
        <f>'[2]CF PDP'!$DI$53</f>
        <v>0</v>
      </c>
      <c r="T31" s="25">
        <f>'[2]CF PDP'!$DI$54</f>
        <v>0</v>
      </c>
      <c r="U31" s="25">
        <f>'[2]CF PDP'!$DI$55</f>
        <v>0</v>
      </c>
      <c r="V31" s="25">
        <f>'[2]CF PDP'!$DI$56</f>
        <v>0</v>
      </c>
      <c r="W31" s="25">
        <f>'[2]CF PDP'!$DI$57</f>
        <v>0</v>
      </c>
      <c r="X31" s="25">
        <f>'[2]CF PDP'!$DI$58</f>
        <v>0</v>
      </c>
      <c r="Y31" s="25">
        <f>'[2]CF PDP'!$DI$59</f>
        <v>0</v>
      </c>
      <c r="Z31" s="25">
        <f>'[2]CF PDP'!$DI$60</f>
        <v>0</v>
      </c>
      <c r="AA31" s="25">
        <f>'[2]CF PDP'!$DI$61</f>
        <v>0</v>
      </c>
      <c r="AB31" s="25">
        <f>'[2]CF PDP'!$DI$62</f>
        <v>0</v>
      </c>
      <c r="AC31" s="25">
        <f>'[2]CF PDP'!$DI$63</f>
        <v>0</v>
      </c>
      <c r="AD31" s="25">
        <f>'[2]CF PDP'!$DI$64</f>
        <v>0</v>
      </c>
      <c r="AE31" s="25">
        <f>'[2]CF PDP'!$DI$65</f>
        <v>0</v>
      </c>
      <c r="AF31" s="25">
        <f>'[2]CF PDP'!$DI$66</f>
        <v>0</v>
      </c>
      <c r="AG31" s="25">
        <f>'[2]CF PDP'!$DI$67</f>
        <v>0</v>
      </c>
      <c r="AH31" s="25">
        <f>'[2]CF PDP'!$DI$68</f>
        <v>0</v>
      </c>
      <c r="AI31" s="25">
        <f>'[2]CF PDP'!$DI$69</f>
        <v>0</v>
      </c>
      <c r="AJ31" s="25">
        <f>'[2]CF PDP'!$DI$70</f>
        <v>0</v>
      </c>
      <c r="AK31" s="25">
        <f>'[2]CF PDP'!$DI$71</f>
        <v>0</v>
      </c>
      <c r="AL31" s="25">
        <f>'[2]CF PDP'!$DI$72</f>
        <v>0</v>
      </c>
      <c r="AM31" s="26">
        <f>SUM(B31:AL31)</f>
        <v>12239414</v>
      </c>
      <c r="AN31" s="27">
        <f>'[2]CF PNP'!$DI$36</f>
        <v>0</v>
      </c>
      <c r="AO31" s="25">
        <f>'[2]CF PNP'!$DI$37</f>
        <v>0</v>
      </c>
      <c r="AP31" s="25">
        <f>'[2]CF PNP'!$DI$38</f>
        <v>0</v>
      </c>
      <c r="AQ31" s="25">
        <f>'[2]CF PNP'!$DI$39</f>
        <v>0</v>
      </c>
      <c r="AR31" s="25">
        <f>'[2]CF PNP'!$DI$40</f>
        <v>0</v>
      </c>
      <c r="AS31" s="25">
        <f>'[2]CF PNP'!$DI$41</f>
        <v>0</v>
      </c>
      <c r="AT31" s="25">
        <f>'[2]CF PNP'!$DI$42</f>
        <v>0</v>
      </c>
      <c r="AU31" s="25">
        <f>'[2]CF PNP'!$DI$43</f>
        <v>0</v>
      </c>
      <c r="AV31" s="25">
        <f>'[2]CF PNP'!$DI$44</f>
        <v>0</v>
      </c>
      <c r="AW31" s="25">
        <f>'[2]CF PNP'!$DI$45</f>
        <v>0</v>
      </c>
      <c r="AX31" s="25">
        <f>'[2]CF PNP'!$DI$46</f>
        <v>0</v>
      </c>
      <c r="AY31" s="25">
        <f>'[2]CF PNP'!$DI$47</f>
        <v>0</v>
      </c>
      <c r="AZ31" s="25">
        <f>'[2]CF PNP'!$DI$48</f>
        <v>0</v>
      </c>
      <c r="BA31" s="25">
        <f>'[2]CF PNP'!$DI$49</f>
        <v>0</v>
      </c>
      <c r="BB31" s="25">
        <f>'[2]CF PNP'!$DI$50</f>
        <v>0</v>
      </c>
      <c r="BC31" s="25">
        <f>'[2]CF PNP'!$DI$51</f>
        <v>0</v>
      </c>
      <c r="BD31" s="25">
        <f>'[2]CF PNP'!$DI$52</f>
        <v>0</v>
      </c>
      <c r="BE31" s="25">
        <f>'[2]CF PNP'!$DI$53</f>
        <v>0</v>
      </c>
      <c r="BF31" s="25">
        <f>'[2]CF PNP'!$DI$54</f>
        <v>0</v>
      </c>
      <c r="BG31" s="25">
        <f>'[2]CF PNP'!$DI$55</f>
        <v>0</v>
      </c>
      <c r="BH31" s="25">
        <f>'[2]CF PNP'!$DI$56</f>
        <v>0</v>
      </c>
      <c r="BI31" s="25">
        <f>'[2]CF PNP'!$DI$57</f>
        <v>0</v>
      </c>
      <c r="BJ31" s="25">
        <f>'[2]CF PNP'!$DI$58</f>
        <v>0</v>
      </c>
      <c r="BK31" s="25">
        <f>'[2]CF PNP'!$DI$59</f>
        <v>0</v>
      </c>
      <c r="BL31" s="25">
        <f>'[2]CF PNP'!$DI$60</f>
        <v>0</v>
      </c>
      <c r="BM31" s="25">
        <f>'[2]CF PNP'!$DI$61</f>
        <v>0</v>
      </c>
      <c r="BN31" s="25">
        <f>'[2]CF PNP'!$DI$62</f>
        <v>0</v>
      </c>
      <c r="BO31" s="25">
        <f>'[2]CF PNP'!$DI$63</f>
        <v>0</v>
      </c>
      <c r="BP31" s="25">
        <f>'[2]CF PNP'!$DI$64</f>
        <v>0</v>
      </c>
      <c r="BQ31" s="25">
        <f>'[2]CF PNP'!$DI$65</f>
        <v>0</v>
      </c>
      <c r="BR31" s="25">
        <f>'[2]CF PNP'!$DI$66</f>
        <v>0</v>
      </c>
      <c r="BS31" s="25">
        <f>'[2]CF PNP'!$DI$67</f>
        <v>0</v>
      </c>
      <c r="BT31" s="25">
        <f>'[2]CF PNP'!$DI$68</f>
        <v>0</v>
      </c>
      <c r="BU31" s="25">
        <f>'[2]CF PNP'!$DI$69</f>
        <v>0</v>
      </c>
      <c r="BV31" s="25">
        <f>'[2]CF PNP'!$DI$70</f>
        <v>0</v>
      </c>
      <c r="BW31" s="25">
        <f>'[2]CF PNP'!$DI$71</f>
        <v>0</v>
      </c>
      <c r="BX31" s="25">
        <f>'[2]CF PNP'!$DI$72</f>
        <v>0</v>
      </c>
      <c r="BY31" s="26">
        <f>SUM(AN31:BX31)</f>
        <v>0</v>
      </c>
      <c r="BZ31" s="27">
        <f>'[2]CF PND'!$DI$36</f>
        <v>0</v>
      </c>
      <c r="CA31" s="25">
        <f>'[2]CF PND'!$DI$37</f>
        <v>0</v>
      </c>
      <c r="CB31" s="25">
        <f>'[2]CF PND'!$DI$38</f>
        <v>0</v>
      </c>
      <c r="CC31" s="25">
        <f>'[2]CF PND'!$DI$39</f>
        <v>0</v>
      </c>
      <c r="CD31" s="25">
        <f>'[2]CF PND'!$DI$40</f>
        <v>0</v>
      </c>
      <c r="CE31" s="25">
        <f>'[2]CF PND'!$DI$41</f>
        <v>0</v>
      </c>
      <c r="CF31" s="25">
        <f>'[2]CF PND'!$DI$42</f>
        <v>0</v>
      </c>
      <c r="CG31" s="25">
        <f>'[2]CF PND'!$DI$43</f>
        <v>0</v>
      </c>
      <c r="CH31" s="25">
        <f>'[2]CF PND'!$DI$44</f>
        <v>0</v>
      </c>
      <c r="CI31" s="25">
        <f>'[2]CF PND'!$DI$45</f>
        <v>2223508</v>
      </c>
      <c r="CJ31" s="25">
        <f>'[2]CF PND'!$DI$46</f>
        <v>0</v>
      </c>
      <c r="CK31" s="25">
        <f>'[2]CF PND'!$DI$47</f>
        <v>0</v>
      </c>
      <c r="CL31" s="25">
        <f>'[2]CF PND'!$DI$48</f>
        <v>0</v>
      </c>
      <c r="CM31" s="25">
        <f>'[2]CF PND'!$DI$49</f>
        <v>0</v>
      </c>
      <c r="CN31" s="25">
        <f>'[2]CF PND'!$DI$50</f>
        <v>0</v>
      </c>
      <c r="CO31" s="25">
        <f>'[2]CF PND'!$DI$51</f>
        <v>0</v>
      </c>
      <c r="CP31" s="25">
        <f>'[2]CF PND'!$DI$52</f>
        <v>0</v>
      </c>
      <c r="CQ31" s="25">
        <f>'[2]CF PND'!$DI$53</f>
        <v>0</v>
      </c>
      <c r="CR31" s="25">
        <f>'[2]CF PND'!$DI$54</f>
        <v>0</v>
      </c>
      <c r="CS31" s="25">
        <f>'[2]CF PND'!$DI$55</f>
        <v>0</v>
      </c>
      <c r="CT31" s="25">
        <f>'[2]CF PND'!$DI$56</f>
        <v>0</v>
      </c>
      <c r="CU31" s="25">
        <f>'[2]CF PND'!$DI$57</f>
        <v>0</v>
      </c>
      <c r="CV31" s="25">
        <f>'[2]CF PND'!$DI$58</f>
        <v>0</v>
      </c>
      <c r="CW31" s="25">
        <f>'[2]CF PND'!$DI$59</f>
        <v>0</v>
      </c>
      <c r="CX31" s="25">
        <f>'[2]CF PND'!$DI$60</f>
        <v>0</v>
      </c>
      <c r="CY31" s="25">
        <f>'[2]CF PND'!$DI$61</f>
        <v>0</v>
      </c>
      <c r="CZ31" s="25">
        <f>'[2]CF PND'!$DI$62</f>
        <v>0</v>
      </c>
      <c r="DA31" s="25">
        <f>'[2]CF PND'!$DI$63</f>
        <v>0</v>
      </c>
      <c r="DB31" s="25">
        <f>'[2]CF PND'!$DI$64</f>
        <v>0</v>
      </c>
      <c r="DC31" s="25">
        <f>'[2]CF PND'!$DI$65</f>
        <v>0</v>
      </c>
      <c r="DD31" s="25">
        <f>'[2]CF PND'!$DI$66</f>
        <v>0</v>
      </c>
      <c r="DE31" s="25">
        <f>'[2]CF PND'!$DI$67</f>
        <v>0</v>
      </c>
      <c r="DF31" s="25">
        <f>'[2]CF PND'!$DI$68</f>
        <v>0</v>
      </c>
      <c r="DG31" s="25">
        <f>'[2]CF PND'!$DI$69</f>
        <v>0</v>
      </c>
      <c r="DH31" s="25">
        <f>'[2]CF PND'!$DI$70</f>
        <v>0</v>
      </c>
      <c r="DI31" s="25">
        <f>'[2]CF PND'!$DI$71</f>
        <v>0</v>
      </c>
      <c r="DJ31" s="25">
        <f>'[2]CF PND'!$DI$72</f>
        <v>0</v>
      </c>
      <c r="DK31" s="26">
        <f>SUM(BZ31:DJ31)</f>
        <v>2223508</v>
      </c>
      <c r="DL31" s="69"/>
      <c r="DM31" s="70"/>
      <c r="DN31" s="70"/>
      <c r="DO31" s="70"/>
      <c r="DP31" s="70"/>
      <c r="DQ31" s="70"/>
      <c r="DR31" s="70"/>
      <c r="DS31" s="70"/>
      <c r="DT31" s="70"/>
      <c r="DU31" s="70"/>
      <c r="DV31" s="70"/>
      <c r="DW31" s="70"/>
      <c r="DX31" s="70"/>
      <c r="DY31" s="70"/>
      <c r="DZ31" s="70"/>
      <c r="EA31" s="70"/>
      <c r="EB31" s="70"/>
      <c r="EC31" s="70"/>
      <c r="ED31" s="70"/>
      <c r="EE31" s="70"/>
      <c r="EF31" s="70"/>
      <c r="EG31" s="70"/>
      <c r="EH31" s="70"/>
      <c r="EI31" s="70"/>
      <c r="EJ31" s="70"/>
      <c r="EK31" s="70"/>
      <c r="EL31" s="70"/>
      <c r="EM31" s="70"/>
      <c r="EN31" s="70"/>
      <c r="EO31" s="70"/>
      <c r="EP31" s="70"/>
      <c r="EQ31" s="70"/>
      <c r="ER31" s="70"/>
      <c r="ES31" s="70"/>
      <c r="ET31" s="70"/>
      <c r="EU31" s="70"/>
      <c r="EV31" s="70"/>
      <c r="EW31" s="71">
        <f>SUM(DL31:EV31)</f>
        <v>0</v>
      </c>
      <c r="EX31" s="69"/>
      <c r="EY31" s="70"/>
      <c r="EZ31" s="70"/>
      <c r="FA31" s="70"/>
      <c r="FB31" s="70"/>
      <c r="FC31" s="70"/>
      <c r="FD31" s="70"/>
      <c r="FE31" s="70"/>
      <c r="FF31" s="70"/>
      <c r="FG31" s="70"/>
      <c r="FH31" s="70"/>
      <c r="FI31" s="70"/>
      <c r="FJ31" s="70"/>
      <c r="FK31" s="70"/>
      <c r="FL31" s="70"/>
      <c r="FM31" s="70"/>
      <c r="FN31" s="70"/>
      <c r="FO31" s="70"/>
      <c r="FP31" s="70"/>
      <c r="FQ31" s="70"/>
      <c r="FR31" s="70"/>
      <c r="FS31" s="70"/>
      <c r="FT31" s="70"/>
      <c r="FU31" s="70"/>
      <c r="FV31" s="70"/>
      <c r="FW31" s="70"/>
      <c r="FX31" s="70"/>
      <c r="FY31" s="70"/>
      <c r="FZ31" s="70"/>
      <c r="GA31" s="70"/>
      <c r="GB31" s="70"/>
      <c r="GC31" s="70"/>
      <c r="GD31" s="70"/>
      <c r="GE31" s="70"/>
      <c r="GF31" s="70"/>
      <c r="GG31" s="70"/>
      <c r="GH31" s="70"/>
      <c r="GI31" s="71">
        <f>SUM(EX31:GH31)</f>
        <v>0</v>
      </c>
      <c r="GJ31" s="69"/>
      <c r="GK31" s="70"/>
      <c r="GL31" s="70"/>
      <c r="GM31" s="70"/>
      <c r="GN31" s="70"/>
      <c r="GO31" s="70"/>
      <c r="GP31" s="70"/>
      <c r="GQ31" s="70"/>
      <c r="GR31" s="70"/>
      <c r="GS31" s="70"/>
      <c r="GT31" s="70"/>
      <c r="GU31" s="70"/>
      <c r="GV31" s="70"/>
      <c r="GW31" s="70"/>
      <c r="GX31" s="70"/>
      <c r="GY31" s="70"/>
      <c r="GZ31" s="70"/>
      <c r="HA31" s="70"/>
      <c r="HB31" s="70"/>
      <c r="HC31" s="70"/>
      <c r="HD31" s="70"/>
      <c r="HE31" s="70"/>
      <c r="HF31" s="70"/>
      <c r="HG31" s="70"/>
      <c r="HH31" s="70"/>
      <c r="HI31" s="70"/>
      <c r="HJ31" s="70"/>
      <c r="HK31" s="70"/>
      <c r="HL31" s="70"/>
      <c r="HM31" s="70"/>
      <c r="HN31" s="70"/>
      <c r="HO31" s="70"/>
      <c r="HP31" s="70"/>
      <c r="HQ31" s="70"/>
      <c r="HR31" s="70"/>
      <c r="HS31" s="70"/>
      <c r="HT31" s="70"/>
      <c r="HU31" s="71">
        <f>SUM(GJ31:HT31)</f>
        <v>0</v>
      </c>
      <c r="HV31" s="27">
        <f>'[2]CF PRB'!$DI$36</f>
        <v>0</v>
      </c>
      <c r="HW31" s="25">
        <f>'[2]CF PRB'!$DI$37</f>
        <v>0</v>
      </c>
      <c r="HX31" s="25">
        <f>'[2]CF PRB'!$DI$38</f>
        <v>0</v>
      </c>
      <c r="HY31" s="25">
        <f>'[2]CF PRB'!$DI$39</f>
        <v>0</v>
      </c>
      <c r="HZ31" s="25">
        <f>'[2]CF PRB'!$DI$40</f>
        <v>0</v>
      </c>
      <c r="IA31" s="25">
        <f>'[2]CF PRB'!$DI$41</f>
        <v>0</v>
      </c>
      <c r="IB31" s="25">
        <f>'[2]CF PRB'!$DI$42</f>
        <v>0</v>
      </c>
      <c r="IC31" s="25">
        <f>'[2]CF PRB'!$DI$43</f>
        <v>0</v>
      </c>
      <c r="ID31" s="25">
        <f>'[2]CF PRB'!$DI$44</f>
        <v>0</v>
      </c>
      <c r="IE31" s="25">
        <f>'[2]CF PRB'!$DI$45</f>
        <v>0</v>
      </c>
      <c r="IF31" s="25">
        <f>'[2]CF PRB'!$DI$46</f>
        <v>0</v>
      </c>
      <c r="IG31" s="25">
        <f>'[2]CF PRB'!$DI$47</f>
        <v>0</v>
      </c>
      <c r="IH31" s="25">
        <f>'[2]CF PRB'!$DI$48</f>
        <v>0</v>
      </c>
      <c r="II31" s="25">
        <f>'[2]CF PRB'!$DI$49</f>
        <v>0</v>
      </c>
      <c r="IJ31" s="25">
        <f>'[2]CF PRB'!$DI$50</f>
        <v>0</v>
      </c>
      <c r="IK31" s="25">
        <f>'[2]CF PRB'!$DI$51</f>
        <v>0</v>
      </c>
      <c r="IL31" s="25">
        <f>'[2]CF PRB'!$DI$52</f>
        <v>0</v>
      </c>
      <c r="IM31" s="25">
        <f>'[2]CF PRB'!$DI$53</f>
        <v>0</v>
      </c>
      <c r="IN31" s="25">
        <f>'[2]CF PRB'!$DI$54</f>
        <v>0</v>
      </c>
      <c r="IO31" s="25">
        <f>'[2]CF PRB'!$DI$55</f>
        <v>0</v>
      </c>
      <c r="IP31" s="25">
        <f>'[2]CF PRB'!$DI$56</f>
        <v>0</v>
      </c>
      <c r="IQ31" s="25">
        <f>'[2]CF PRB'!$DI$57</f>
        <v>0</v>
      </c>
      <c r="IR31" s="25">
        <f>'[2]CF PRB'!$DI$58</f>
        <v>0</v>
      </c>
      <c r="IS31" s="25">
        <f>'[2]CF PRB'!$DI$59</f>
        <v>0</v>
      </c>
      <c r="IT31" s="25">
        <f>'[2]CF PRB'!$DI$60</f>
        <v>0</v>
      </c>
      <c r="IU31" s="25">
        <f>'[2]CF PRB'!$DI$61</f>
        <v>0</v>
      </c>
      <c r="IV31" s="25">
        <f>'[2]CF PRB'!$DI$62</f>
        <v>0</v>
      </c>
      <c r="IW31" s="25">
        <f>'[2]CF PRB'!$DI$63</f>
        <v>0</v>
      </c>
      <c r="IX31" s="25">
        <f>'[2]CF PRB'!$DI$64</f>
        <v>0</v>
      </c>
      <c r="IY31" s="25">
        <f>'[2]CF PRB'!$DI$65</f>
        <v>0</v>
      </c>
      <c r="IZ31" s="25">
        <f>'[2]CF PRB'!$DI$66</f>
        <v>0</v>
      </c>
      <c r="JA31" s="25">
        <f>'[2]CF PRB'!$DI$67</f>
        <v>0</v>
      </c>
      <c r="JB31" s="25">
        <f>'[2]CF PRB'!$DI$68</f>
        <v>0</v>
      </c>
      <c r="JC31" s="25">
        <f>'[2]CF PRB'!$DI$69</f>
        <v>0</v>
      </c>
      <c r="JD31" s="25">
        <f>'[2]CF PRB'!$DI$70</f>
        <v>0</v>
      </c>
      <c r="JE31" s="25">
        <f>'[2]CF PRB'!$DI$71</f>
        <v>0</v>
      </c>
      <c r="JF31" s="25">
        <f>'[2]CF PRB'!$DI$72</f>
        <v>0</v>
      </c>
      <c r="JG31" s="26">
        <f>SUM(HV31:JF31)</f>
        <v>0</v>
      </c>
      <c r="JH31" s="69"/>
      <c r="JI31" s="70"/>
      <c r="JJ31" s="70"/>
      <c r="JK31" s="70"/>
      <c r="JL31" s="70"/>
      <c r="JM31" s="70"/>
      <c r="JN31" s="70"/>
      <c r="JO31" s="70"/>
      <c r="JP31" s="70"/>
      <c r="JQ31" s="70"/>
      <c r="JR31" s="70"/>
      <c r="JS31" s="70"/>
      <c r="JT31" s="70"/>
      <c r="JU31" s="70"/>
      <c r="JV31" s="70"/>
      <c r="JW31" s="70"/>
      <c r="JX31" s="70"/>
      <c r="JY31" s="70"/>
      <c r="JZ31" s="70"/>
      <c r="KA31" s="70"/>
      <c r="KB31" s="70"/>
      <c r="KC31" s="70"/>
      <c r="KD31" s="70"/>
      <c r="KE31" s="70"/>
      <c r="KF31" s="70"/>
      <c r="KG31" s="70"/>
      <c r="KH31" s="70"/>
      <c r="KI31" s="70"/>
      <c r="KJ31" s="70"/>
      <c r="KK31" s="70"/>
      <c r="KL31" s="70"/>
      <c r="KM31" s="70"/>
      <c r="KN31" s="70"/>
      <c r="KO31" s="70"/>
      <c r="KP31" s="70"/>
      <c r="KQ31" s="70"/>
      <c r="KR31" s="70"/>
      <c r="KS31" s="71">
        <f>SUM(JH31:KR31)</f>
        <v>0</v>
      </c>
      <c r="KT31" s="69"/>
      <c r="KU31" s="70"/>
      <c r="KV31" s="70"/>
      <c r="KW31" s="70"/>
      <c r="KX31" s="70"/>
      <c r="KY31" s="70"/>
      <c r="KZ31" s="70"/>
      <c r="LA31" s="70"/>
      <c r="LB31" s="70"/>
      <c r="LC31" s="70"/>
      <c r="LD31" s="70"/>
      <c r="LE31" s="70"/>
      <c r="LF31" s="70"/>
      <c r="LG31" s="70"/>
      <c r="LH31" s="70"/>
      <c r="LI31" s="70"/>
      <c r="LJ31" s="70"/>
      <c r="LK31" s="70"/>
      <c r="LL31" s="70"/>
      <c r="LM31" s="70"/>
      <c r="LN31" s="70"/>
      <c r="LO31" s="70"/>
      <c r="LP31" s="70"/>
      <c r="LQ31" s="70"/>
      <c r="LR31" s="70"/>
      <c r="LS31" s="70"/>
      <c r="LT31" s="70"/>
      <c r="LU31" s="70"/>
      <c r="LV31" s="70"/>
      <c r="LW31" s="70"/>
      <c r="LX31" s="70"/>
      <c r="LY31" s="70"/>
      <c r="LZ31" s="70"/>
      <c r="MA31" s="70"/>
      <c r="MB31" s="70"/>
      <c r="MC31" s="70"/>
      <c r="MD31" s="70"/>
      <c r="ME31" s="71">
        <f>SUM(KT31:MD31)</f>
        <v>0</v>
      </c>
      <c r="MF31" s="69"/>
      <c r="MG31" s="70"/>
      <c r="MH31" s="70"/>
      <c r="MI31" s="70"/>
      <c r="MJ31" s="70"/>
      <c r="MK31" s="70"/>
      <c r="ML31" s="70"/>
      <c r="MM31" s="70"/>
      <c r="MN31" s="70"/>
      <c r="MO31" s="70"/>
      <c r="MP31" s="70"/>
      <c r="MQ31" s="70"/>
      <c r="MR31" s="70"/>
      <c r="MS31" s="70"/>
      <c r="MT31" s="70"/>
      <c r="MU31" s="70"/>
      <c r="MV31" s="70"/>
      <c r="MW31" s="70"/>
      <c r="MX31" s="70"/>
      <c r="MY31" s="70"/>
      <c r="MZ31" s="70"/>
      <c r="NA31" s="70"/>
      <c r="NB31" s="70"/>
      <c r="NC31" s="70"/>
      <c r="ND31" s="70"/>
      <c r="NE31" s="70"/>
      <c r="NF31" s="70"/>
      <c r="NG31" s="70"/>
      <c r="NH31" s="70"/>
      <c r="NI31" s="70"/>
      <c r="NJ31" s="70"/>
      <c r="NK31" s="70"/>
      <c r="NL31" s="70"/>
      <c r="NM31" s="70"/>
      <c r="NN31" s="70"/>
      <c r="NO31" s="70"/>
      <c r="NP31" s="70"/>
      <c r="NQ31" s="71">
        <f>SUM(MF31:NP31)</f>
        <v>0</v>
      </c>
      <c r="NR31" s="25">
        <f>'[2]CF PS'!$DI$36</f>
        <v>0</v>
      </c>
      <c r="NS31" s="25">
        <f>'[2]CF PS'!$DI$37</f>
        <v>0</v>
      </c>
      <c r="NT31" s="25">
        <f>'[2]CF PS'!$DI$38</f>
        <v>0</v>
      </c>
      <c r="NU31" s="25">
        <f>'[2]CF PS'!$DI$39</f>
        <v>0</v>
      </c>
      <c r="NV31" s="25">
        <f>'[2]CF PS'!$DI$40</f>
        <v>0</v>
      </c>
      <c r="NW31" s="25">
        <f>'[2]CF PS'!$DI$41</f>
        <v>0</v>
      </c>
      <c r="NX31" s="25">
        <f>'[2]CF PS'!$DI$42</f>
        <v>0</v>
      </c>
      <c r="NY31" s="25">
        <f>'[2]CF PS'!$DI$43</f>
        <v>0</v>
      </c>
      <c r="NZ31" s="25">
        <f>'[2]CF PS'!$DI$44</f>
        <v>0</v>
      </c>
      <c r="OA31" s="25">
        <f>'[2]CF PS'!$DI$45</f>
        <v>0</v>
      </c>
      <c r="OB31" s="25">
        <f>'[2]CF PS'!$DI$46</f>
        <v>247057</v>
      </c>
      <c r="OC31" s="25">
        <f>'[2]CF PS'!$DI$47</f>
        <v>0</v>
      </c>
      <c r="OD31" s="25">
        <f>'[2]CF PS'!$DI$48</f>
        <v>0</v>
      </c>
      <c r="OE31" s="25">
        <f>'[2]CF PS'!$DI$49</f>
        <v>0</v>
      </c>
      <c r="OF31" s="25">
        <f>'[2]CF PS'!$DI$50</f>
        <v>0</v>
      </c>
      <c r="OG31" s="25">
        <f>'[2]CF PS'!$DI$51</f>
        <v>0</v>
      </c>
      <c r="OH31" s="25">
        <f>'[2]CF PS'!$DI$52</f>
        <v>0</v>
      </c>
      <c r="OI31" s="25">
        <f>'[2]CF PS'!$DI$53</f>
        <v>0</v>
      </c>
      <c r="OJ31" s="25">
        <f>'[2]CF PS'!$DI$54</f>
        <v>0</v>
      </c>
      <c r="OK31" s="25">
        <f>'[2]CF PS'!$DI$55</f>
        <v>0</v>
      </c>
      <c r="OL31" s="25">
        <f>'[2]CF PS'!$DI$56</f>
        <v>0</v>
      </c>
      <c r="OM31" s="25">
        <f>'[2]CF PS'!$DI$57</f>
        <v>0</v>
      </c>
      <c r="ON31" s="25">
        <f>'[2]CF PS'!$DI$58</f>
        <v>0</v>
      </c>
      <c r="OO31" s="25">
        <f>'[2]CF PS'!$DI$59</f>
        <v>0</v>
      </c>
      <c r="OP31" s="25">
        <f>'[2]CF PS'!$DI$60</f>
        <v>0</v>
      </c>
      <c r="OQ31" s="25">
        <f>'[2]CF PS'!$DI$61</f>
        <v>0</v>
      </c>
      <c r="OR31" s="25">
        <f>'[2]CF PS'!$DI$62</f>
        <v>0</v>
      </c>
      <c r="OS31" s="25">
        <f>'[2]CF PS'!$DI$63</f>
        <v>0</v>
      </c>
      <c r="OT31" s="25">
        <f>'[2]CF PS'!$DI$64</f>
        <v>0</v>
      </c>
      <c r="OU31" s="25">
        <f>'[2]CF PS'!$DI$65</f>
        <v>0</v>
      </c>
      <c r="OV31" s="25">
        <f>'[2]CF PS'!$DI$66</f>
        <v>0</v>
      </c>
      <c r="OW31" s="25">
        <f>'[2]CF PS'!$DI$67</f>
        <v>0</v>
      </c>
      <c r="OX31" s="25">
        <f>'[2]CF PS'!$DI$68</f>
        <v>0</v>
      </c>
      <c r="OY31" s="25">
        <f>'[2]CF PS'!$DI$69</f>
        <v>0</v>
      </c>
      <c r="OZ31" s="25">
        <f>'[2]CF PS'!$DI$70</f>
        <v>0</v>
      </c>
      <c r="PA31" s="25">
        <f>'[2]CF PS'!$DI$71</f>
        <v>0</v>
      </c>
      <c r="PB31" s="25">
        <f>'[2]CF PS'!$DI$72</f>
        <v>0</v>
      </c>
      <c r="PC31" s="26">
        <f>SUM(NR31:PB31)</f>
        <v>247057</v>
      </c>
    </row>
    <row r="32" spans="1:419" ht="16.5" thickBot="1" x14ac:dyDescent="0.35">
      <c r="A32" s="47" t="s">
        <v>27</v>
      </c>
      <c r="B32" s="40" t="str">
        <f>IF(AND(B30&lt;&gt;0,B31&lt;&gt;0),(B30-B31)/B31,IF(AND(B30=0,B31=0),"",IF(AND(B30="",B31=""),"",IF(AND(B30=0,B31=""),"", IF(AND(B30="",B31=0),"",1)))))</f>
        <v/>
      </c>
      <c r="C32" s="40" t="str">
        <f t="shared" ref="C32" si="1040">IF(AND(C30&lt;&gt;0,C31&lt;&gt;0),(C30-C31)/C31,IF(AND(C30=0,C31=0),"",IF(AND(C30="",C31=""),"",IF(AND(C30=0,C31=""),"", IF(AND(C30="",C31=0),"",1)))))</f>
        <v/>
      </c>
      <c r="D32" s="40" t="str">
        <f t="shared" ref="D32" si="1041">IF(AND(D30&lt;&gt;0,D31&lt;&gt;0),(D30-D31)/D31,IF(AND(D30=0,D31=0),"",IF(AND(D30="",D31=""),"",IF(AND(D30=0,D31=""),"", IF(AND(D30="",D31=0),"",1)))))</f>
        <v/>
      </c>
      <c r="E32" s="40" t="str">
        <f t="shared" ref="E32" si="1042">IF(AND(E30&lt;&gt;0,E31&lt;&gt;0),(E30-E31)/E31,IF(AND(E30=0,E31=0),"",IF(AND(E30="",E31=""),"",IF(AND(E30=0,E31=""),"", IF(AND(E30="",E31=0),"",1)))))</f>
        <v/>
      </c>
      <c r="F32" s="40" t="str">
        <f t="shared" ref="F32" si="1043">IF(AND(F30&lt;&gt;0,F31&lt;&gt;0),(F30-F31)/F31,IF(AND(F30=0,F31=0),"",IF(AND(F30="",F31=""),"",IF(AND(F30=0,F31=""),"", IF(AND(F30="",F31=0),"",1)))))</f>
        <v/>
      </c>
      <c r="G32" s="40" t="str">
        <f t="shared" ref="G32" si="1044">IF(AND(G30&lt;&gt;0,G31&lt;&gt;0),(G30-G31)/G31,IF(AND(G30=0,G31=0),"",IF(AND(G30="",G31=""),"",IF(AND(G30=0,G31=""),"", IF(AND(G30="",G31=0),"",1)))))</f>
        <v/>
      </c>
      <c r="H32" s="40">
        <f t="shared" ref="H32" si="1045">IF(AND(H30&lt;&gt;0,H31&lt;&gt;0),(H30-H31)/H31,IF(AND(H30=0,H31=0),"",IF(AND(H30="",H31=""),"",IF(AND(H30=0,H31=""),"", IF(AND(H30="",H31=0),"",1)))))</f>
        <v>1</v>
      </c>
      <c r="I32" s="40" t="str">
        <f t="shared" ref="I32" si="1046">IF(AND(I30&lt;&gt;0,I31&lt;&gt;0),(I30-I31)/I31,IF(AND(I30=0,I31=0),"",IF(AND(I30="",I31=""),"",IF(AND(I30=0,I31=""),"", IF(AND(I30="",I31=0),"",1)))))</f>
        <v/>
      </c>
      <c r="J32" s="40" t="str">
        <f t="shared" ref="J32" si="1047">IF(AND(J30&lt;&gt;0,J31&lt;&gt;0),(J30-J31)/J31,IF(AND(J30=0,J31=0),"",IF(AND(J30="",J31=""),"",IF(AND(J30=0,J31=""),"", IF(AND(J30="",J31=0),"",1)))))</f>
        <v/>
      </c>
      <c r="K32" s="40" t="str">
        <f t="shared" ref="K32" si="1048">IF(AND(K30&lt;&gt;0,K31&lt;&gt;0),(K30-K31)/K31,IF(AND(K30=0,K31=0),"",IF(AND(K30="",K31=""),"",IF(AND(K30=0,K31=""),"", IF(AND(K30="",K31=0),"",1)))))</f>
        <v/>
      </c>
      <c r="L32" s="40" t="str">
        <f t="shared" ref="L32" si="1049">IF(AND(L30&lt;&gt;0,L31&lt;&gt;0),(L30-L31)/L31,IF(AND(L30=0,L31=0),"",IF(AND(L30="",L31=""),"",IF(AND(L30=0,L31=""),"", IF(AND(L30="",L31=0),"",1)))))</f>
        <v/>
      </c>
      <c r="M32" s="40">
        <f t="shared" ref="M32" si="1050">IF(AND(M30&lt;&gt;0,M31&lt;&gt;0),(M30-M31)/M31,IF(AND(M30=0,M31=0),"",IF(AND(M30="",M31=""),"",IF(AND(M30=0,M31=""),"", IF(AND(M30="",M31=0),"",1)))))</f>
        <v>1</v>
      </c>
      <c r="N32" s="40" t="str">
        <f t="shared" ref="N32" si="1051">IF(AND(N30&lt;&gt;0,N31&lt;&gt;0),(N30-N31)/N31,IF(AND(N30=0,N31=0),"",IF(AND(N30="",N31=""),"",IF(AND(N30=0,N31=""),"", IF(AND(N30="",N31=0),"",1)))))</f>
        <v/>
      </c>
      <c r="O32" s="40" t="str">
        <f t="shared" ref="O32" si="1052">IF(AND(O30&lt;&gt;0,O31&lt;&gt;0),(O30-O31)/O31,IF(AND(O30=0,O31=0),"",IF(AND(O30="",O31=""),"",IF(AND(O30=0,O31=""),"", IF(AND(O30="",O31=0),"",1)))))</f>
        <v/>
      </c>
      <c r="P32" s="40" t="str">
        <f t="shared" ref="P32" si="1053">IF(AND(P30&lt;&gt;0,P31&lt;&gt;0),(P30-P31)/P31,IF(AND(P30=0,P31=0),"",IF(AND(P30="",P31=""),"",IF(AND(P30=0,P31=""),"", IF(AND(P30="",P31=0),"",1)))))</f>
        <v/>
      </c>
      <c r="Q32" s="40" t="str">
        <f t="shared" ref="Q32" si="1054">IF(AND(Q30&lt;&gt;0,Q31&lt;&gt;0),(Q30-Q31)/Q31,IF(AND(Q30=0,Q31=0),"",IF(AND(Q30="",Q31=""),"",IF(AND(Q30=0,Q31=""),"", IF(AND(Q30="",Q31=0),"",1)))))</f>
        <v/>
      </c>
      <c r="R32" s="40" t="str">
        <f t="shared" ref="R32" si="1055">IF(AND(R30&lt;&gt;0,R31&lt;&gt;0),(R30-R31)/R31,IF(AND(R30=0,R31=0),"",IF(AND(R30="",R31=""),"",IF(AND(R30=0,R31=""),"", IF(AND(R30="",R31=0),"",1)))))</f>
        <v/>
      </c>
      <c r="S32" s="40" t="str">
        <f t="shared" ref="S32" si="1056">IF(AND(S30&lt;&gt;0,S31&lt;&gt;0),(S30-S31)/S31,IF(AND(S30=0,S31=0),"",IF(AND(S30="",S31=""),"",IF(AND(S30=0,S31=""),"", IF(AND(S30="",S31=0),"",1)))))</f>
        <v/>
      </c>
      <c r="T32" s="40" t="str">
        <f t="shared" ref="T32" si="1057">IF(AND(T30&lt;&gt;0,T31&lt;&gt;0),(T30-T31)/T31,IF(AND(T30=0,T31=0),"",IF(AND(T30="",T31=""),"",IF(AND(T30=0,T31=""),"", IF(AND(T30="",T31=0),"",1)))))</f>
        <v/>
      </c>
      <c r="U32" s="40" t="str">
        <f t="shared" ref="U32" si="1058">IF(AND(U30&lt;&gt;0,U31&lt;&gt;0),(U30-U31)/U31,IF(AND(U30=0,U31=0),"",IF(AND(U30="",U31=""),"",IF(AND(U30=0,U31=""),"", IF(AND(U30="",U31=0),"",1)))))</f>
        <v/>
      </c>
      <c r="V32" s="40" t="str">
        <f t="shared" ref="V32" si="1059">IF(AND(V30&lt;&gt;0,V31&lt;&gt;0),(V30-V31)/V31,IF(AND(V30=0,V31=0),"",IF(AND(V30="",V31=""),"",IF(AND(V30=0,V31=""),"", IF(AND(V30="",V31=0),"",1)))))</f>
        <v/>
      </c>
      <c r="W32" s="40" t="str">
        <f t="shared" ref="W32" si="1060">IF(AND(W30&lt;&gt;0,W31&lt;&gt;0),(W30-W31)/W31,IF(AND(W30=0,W31=0),"",IF(AND(W30="",W31=""),"",IF(AND(W30=0,W31=""),"", IF(AND(W30="",W31=0),"",1)))))</f>
        <v/>
      </c>
      <c r="X32" s="40" t="str">
        <f t="shared" ref="X32:AL32" si="1061">IF(AND(X30&lt;&gt;0,X31&lt;&gt;0),(X30-X31)/X31,IF(AND(X30=0,X31=0),"",IF(AND(X30="",X31=""),"",IF(AND(X30=0,X31=""),"", IF(AND(X30="",X31=0),"",1)))))</f>
        <v/>
      </c>
      <c r="Y32" s="40" t="str">
        <f t="shared" si="1061"/>
        <v/>
      </c>
      <c r="Z32" s="40" t="str">
        <f t="shared" si="1061"/>
        <v/>
      </c>
      <c r="AA32" s="40" t="str">
        <f t="shared" si="1061"/>
        <v/>
      </c>
      <c r="AB32" s="40" t="str">
        <f t="shared" si="1061"/>
        <v/>
      </c>
      <c r="AC32" s="40" t="str">
        <f t="shared" si="1061"/>
        <v/>
      </c>
      <c r="AD32" s="40" t="str">
        <f t="shared" si="1061"/>
        <v/>
      </c>
      <c r="AE32" s="40" t="str">
        <f t="shared" si="1061"/>
        <v/>
      </c>
      <c r="AF32" s="40" t="str">
        <f t="shared" si="1061"/>
        <v/>
      </c>
      <c r="AG32" s="40" t="str">
        <f t="shared" si="1061"/>
        <v/>
      </c>
      <c r="AH32" s="40" t="str">
        <f t="shared" si="1061"/>
        <v/>
      </c>
      <c r="AI32" s="40" t="str">
        <f t="shared" si="1061"/>
        <v/>
      </c>
      <c r="AJ32" s="40" t="str">
        <f t="shared" si="1061"/>
        <v/>
      </c>
      <c r="AK32" s="40" t="str">
        <f t="shared" si="1061"/>
        <v/>
      </c>
      <c r="AL32" s="40" t="str">
        <f t="shared" si="1061"/>
        <v/>
      </c>
      <c r="AM32" s="41">
        <f t="shared" ref="AM32" si="1062">IF(AND(AM30&lt;&gt;0,AM31&lt;&gt;0),(AM30-AM31)/AM31,IF(AND(AM30=0,AM31=0),"",IF(AND(AM30="",AM31=""),"",IF(AND(AM30=0,AM31=""),"", IF(AND(AM30="",AM31=0),"",1)))))</f>
        <v>0</v>
      </c>
      <c r="AN32" s="39" t="str">
        <f t="shared" ref="AN32" si="1063">IF(AND(AN30&lt;&gt;0,AN31&lt;&gt;0),(AN30-AN31)/AN31,IF(AND(AN30=0,AN31=0),"",IF(AND(AN30="",AN31=""),"",IF(AND(AN30=0,AN31=""),"", IF(AND(AN30="",AN31=0),"",1)))))</f>
        <v/>
      </c>
      <c r="AO32" s="40" t="str">
        <f t="shared" ref="AO32" si="1064">IF(AND(AO30&lt;&gt;0,AO31&lt;&gt;0),(AO30-AO31)/AO31,IF(AND(AO30=0,AO31=0),"",IF(AND(AO30="",AO31=""),"",IF(AND(AO30=0,AO31=""),"", IF(AND(AO30="",AO31=0),"",1)))))</f>
        <v/>
      </c>
      <c r="AP32" s="40" t="str">
        <f t="shared" ref="AP32" si="1065">IF(AND(AP30&lt;&gt;0,AP31&lt;&gt;0),(AP30-AP31)/AP31,IF(AND(AP30=0,AP31=0),"",IF(AND(AP30="",AP31=""),"",IF(AND(AP30=0,AP31=""),"", IF(AND(AP30="",AP31=0),"",1)))))</f>
        <v/>
      </c>
      <c r="AQ32" s="40" t="str">
        <f t="shared" ref="AQ32" si="1066">IF(AND(AQ30&lt;&gt;0,AQ31&lt;&gt;0),(AQ30-AQ31)/AQ31,IF(AND(AQ30=0,AQ31=0),"",IF(AND(AQ30="",AQ31=""),"",IF(AND(AQ30=0,AQ31=""),"", IF(AND(AQ30="",AQ31=0),"",1)))))</f>
        <v/>
      </c>
      <c r="AR32" s="40" t="str">
        <f t="shared" ref="AR32" si="1067">IF(AND(AR30&lt;&gt;0,AR31&lt;&gt;0),(AR30-AR31)/AR31,IF(AND(AR30=0,AR31=0),"",IF(AND(AR30="",AR31=""),"",IF(AND(AR30=0,AR31=""),"", IF(AND(AR30="",AR31=0),"",1)))))</f>
        <v/>
      </c>
      <c r="AS32" s="40" t="str">
        <f t="shared" ref="AS32" si="1068">IF(AND(AS30&lt;&gt;0,AS31&lt;&gt;0),(AS30-AS31)/AS31,IF(AND(AS30=0,AS31=0),"",IF(AND(AS30="",AS31=""),"",IF(AND(AS30=0,AS31=""),"", IF(AND(AS30="",AS31=0),"",1)))))</f>
        <v/>
      </c>
      <c r="AT32" s="40" t="str">
        <f t="shared" ref="AT32" si="1069">IF(AND(AT30&lt;&gt;0,AT31&lt;&gt;0),(AT30-AT31)/AT31,IF(AND(AT30=0,AT31=0),"",IF(AND(AT30="",AT31=""),"",IF(AND(AT30=0,AT31=""),"", IF(AND(AT30="",AT31=0),"",1)))))</f>
        <v/>
      </c>
      <c r="AU32" s="40" t="str">
        <f t="shared" ref="AU32" si="1070">IF(AND(AU30&lt;&gt;0,AU31&lt;&gt;0),(AU30-AU31)/AU31,IF(AND(AU30=0,AU31=0),"",IF(AND(AU30="",AU31=""),"",IF(AND(AU30=0,AU31=""),"", IF(AND(AU30="",AU31=0),"",1)))))</f>
        <v/>
      </c>
      <c r="AV32" s="40" t="str">
        <f t="shared" ref="AV32" si="1071">IF(AND(AV30&lt;&gt;0,AV31&lt;&gt;0),(AV30-AV31)/AV31,IF(AND(AV30=0,AV31=0),"",IF(AND(AV30="",AV31=""),"",IF(AND(AV30=0,AV31=""),"", IF(AND(AV30="",AV31=0),"",1)))))</f>
        <v/>
      </c>
      <c r="AW32" s="40" t="str">
        <f t="shared" ref="AW32" si="1072">IF(AND(AW30&lt;&gt;0,AW31&lt;&gt;0),(AW30-AW31)/AW31,IF(AND(AW30=0,AW31=0),"",IF(AND(AW30="",AW31=""),"",IF(AND(AW30=0,AW31=""),"", IF(AND(AW30="",AW31=0),"",1)))))</f>
        <v/>
      </c>
      <c r="AX32" s="40" t="str">
        <f t="shared" ref="AX32" si="1073">IF(AND(AX30&lt;&gt;0,AX31&lt;&gt;0),(AX30-AX31)/AX31,IF(AND(AX30=0,AX31=0),"",IF(AND(AX30="",AX31=""),"",IF(AND(AX30=0,AX31=""),"", IF(AND(AX30="",AX31=0),"",1)))))</f>
        <v/>
      </c>
      <c r="AY32" s="40" t="str">
        <f t="shared" ref="AY32" si="1074">IF(AND(AY30&lt;&gt;0,AY31&lt;&gt;0),(AY30-AY31)/AY31,IF(AND(AY30=0,AY31=0),"",IF(AND(AY30="",AY31=""),"",IF(AND(AY30=0,AY31=""),"", IF(AND(AY30="",AY31=0),"",1)))))</f>
        <v/>
      </c>
      <c r="AZ32" s="40" t="str">
        <f t="shared" ref="AZ32" si="1075">IF(AND(AZ30&lt;&gt;0,AZ31&lt;&gt;0),(AZ30-AZ31)/AZ31,IF(AND(AZ30=0,AZ31=0),"",IF(AND(AZ30="",AZ31=""),"",IF(AND(AZ30=0,AZ31=""),"", IF(AND(AZ30="",AZ31=0),"",1)))))</f>
        <v/>
      </c>
      <c r="BA32" s="40" t="str">
        <f t="shared" ref="BA32" si="1076">IF(AND(BA30&lt;&gt;0,BA31&lt;&gt;0),(BA30-BA31)/BA31,IF(AND(BA30=0,BA31=0),"",IF(AND(BA30="",BA31=""),"",IF(AND(BA30=0,BA31=""),"", IF(AND(BA30="",BA31=0),"",1)))))</f>
        <v/>
      </c>
      <c r="BB32" s="40" t="str">
        <f t="shared" ref="BB32" si="1077">IF(AND(BB30&lt;&gt;0,BB31&lt;&gt;0),(BB30-BB31)/BB31,IF(AND(BB30=0,BB31=0),"",IF(AND(BB30="",BB31=""),"",IF(AND(BB30=0,BB31=""),"", IF(AND(BB30="",BB31=0),"",1)))))</f>
        <v/>
      </c>
      <c r="BC32" s="40" t="str">
        <f t="shared" ref="BC32" si="1078">IF(AND(BC30&lt;&gt;0,BC31&lt;&gt;0),(BC30-BC31)/BC31,IF(AND(BC30=0,BC31=0),"",IF(AND(BC30="",BC31=""),"",IF(AND(BC30=0,BC31=""),"", IF(AND(BC30="",BC31=0),"",1)))))</f>
        <v/>
      </c>
      <c r="BD32" s="40" t="str">
        <f t="shared" ref="BD32" si="1079">IF(AND(BD30&lt;&gt;0,BD31&lt;&gt;0),(BD30-BD31)/BD31,IF(AND(BD30=0,BD31=0),"",IF(AND(BD30="",BD31=""),"",IF(AND(BD30=0,BD31=""),"", IF(AND(BD30="",BD31=0),"",1)))))</f>
        <v/>
      </c>
      <c r="BE32" s="40" t="str">
        <f t="shared" ref="BE32" si="1080">IF(AND(BE30&lt;&gt;0,BE31&lt;&gt;0),(BE30-BE31)/BE31,IF(AND(BE30=0,BE31=0),"",IF(AND(BE30="",BE31=""),"",IF(AND(BE30=0,BE31=""),"", IF(AND(BE30="",BE31=0),"",1)))))</f>
        <v/>
      </c>
      <c r="BF32" s="40" t="str">
        <f t="shared" ref="BF32" si="1081">IF(AND(BF30&lt;&gt;0,BF31&lt;&gt;0),(BF30-BF31)/BF31,IF(AND(BF30=0,BF31=0),"",IF(AND(BF30="",BF31=""),"",IF(AND(BF30=0,BF31=""),"", IF(AND(BF30="",BF31=0),"",1)))))</f>
        <v/>
      </c>
      <c r="BG32" s="40" t="str">
        <f t="shared" ref="BG32" si="1082">IF(AND(BG30&lt;&gt;0,BG31&lt;&gt;0),(BG30-BG31)/BG31,IF(AND(BG30=0,BG31=0),"",IF(AND(BG30="",BG31=""),"",IF(AND(BG30=0,BG31=""),"", IF(AND(BG30="",BG31=0),"",1)))))</f>
        <v/>
      </c>
      <c r="BH32" s="40" t="str">
        <f t="shared" ref="BH32" si="1083">IF(AND(BH30&lt;&gt;0,BH31&lt;&gt;0),(BH30-BH31)/BH31,IF(AND(BH30=0,BH31=0),"",IF(AND(BH30="",BH31=""),"",IF(AND(BH30=0,BH31=""),"", IF(AND(BH30="",BH31=0),"",1)))))</f>
        <v/>
      </c>
      <c r="BI32" s="40" t="str">
        <f t="shared" ref="BI32" si="1084">IF(AND(BI30&lt;&gt;0,BI31&lt;&gt;0),(BI30-BI31)/BI31,IF(AND(BI30=0,BI31=0),"",IF(AND(BI30="",BI31=""),"",IF(AND(BI30=0,BI31=""),"", IF(AND(BI30="",BI31=0),"",1)))))</f>
        <v/>
      </c>
      <c r="BJ32" s="40" t="str">
        <f t="shared" ref="BJ32:BX32" si="1085">IF(AND(BJ30&lt;&gt;0,BJ31&lt;&gt;0),(BJ30-BJ31)/BJ31,IF(AND(BJ30=0,BJ31=0),"",IF(AND(BJ30="",BJ31=""),"",IF(AND(BJ30=0,BJ31=""),"", IF(AND(BJ30="",BJ31=0),"",1)))))</f>
        <v/>
      </c>
      <c r="BK32" s="40" t="str">
        <f t="shared" si="1085"/>
        <v/>
      </c>
      <c r="BL32" s="40" t="str">
        <f t="shared" si="1085"/>
        <v/>
      </c>
      <c r="BM32" s="40" t="str">
        <f t="shared" si="1085"/>
        <v/>
      </c>
      <c r="BN32" s="40" t="str">
        <f t="shared" si="1085"/>
        <v/>
      </c>
      <c r="BO32" s="40" t="str">
        <f t="shared" si="1085"/>
        <v/>
      </c>
      <c r="BP32" s="40" t="str">
        <f t="shared" si="1085"/>
        <v/>
      </c>
      <c r="BQ32" s="40" t="str">
        <f t="shared" si="1085"/>
        <v/>
      </c>
      <c r="BR32" s="40" t="str">
        <f t="shared" si="1085"/>
        <v/>
      </c>
      <c r="BS32" s="40" t="str">
        <f t="shared" si="1085"/>
        <v/>
      </c>
      <c r="BT32" s="40" t="str">
        <f t="shared" si="1085"/>
        <v/>
      </c>
      <c r="BU32" s="40" t="str">
        <f t="shared" si="1085"/>
        <v/>
      </c>
      <c r="BV32" s="40" t="str">
        <f t="shared" si="1085"/>
        <v/>
      </c>
      <c r="BW32" s="40" t="str">
        <f t="shared" si="1085"/>
        <v/>
      </c>
      <c r="BX32" s="40" t="str">
        <f t="shared" si="1085"/>
        <v/>
      </c>
      <c r="BY32" s="41" t="str">
        <f t="shared" ref="BY32" si="1086">IF(AND(BY30&lt;&gt;0,BY31&lt;&gt;0),(BY30-BY31)/BY31,IF(AND(BY30=0,BY31=0),"",IF(AND(BY30="",BY31=""),"",IF(AND(BY30=0,BY31=""),"", IF(AND(BY30="",BY31=0),"",1)))))</f>
        <v/>
      </c>
      <c r="BZ32" s="39" t="str">
        <f t="shared" ref="BZ32" si="1087">IF(AND(BZ30&lt;&gt;0,BZ31&lt;&gt;0),(BZ30-BZ31)/BZ31,IF(AND(BZ30=0,BZ31=0),"",IF(AND(BZ30="",BZ31=""),"",IF(AND(BZ30=0,BZ31=""),"", IF(AND(BZ30="",BZ31=0),"",1)))))</f>
        <v/>
      </c>
      <c r="CA32" s="40" t="str">
        <f t="shared" ref="CA32" si="1088">IF(AND(CA30&lt;&gt;0,CA31&lt;&gt;0),(CA30-CA31)/CA31,IF(AND(CA30=0,CA31=0),"",IF(AND(CA30="",CA31=""),"",IF(AND(CA30=0,CA31=""),"", IF(AND(CA30="",CA31=0),"",1)))))</f>
        <v/>
      </c>
      <c r="CB32" s="40" t="str">
        <f t="shared" ref="CB32" si="1089">IF(AND(CB30&lt;&gt;0,CB31&lt;&gt;0),(CB30-CB31)/CB31,IF(AND(CB30=0,CB31=0),"",IF(AND(CB30="",CB31=""),"",IF(AND(CB30=0,CB31=""),"", IF(AND(CB30="",CB31=0),"",1)))))</f>
        <v/>
      </c>
      <c r="CC32" s="40" t="str">
        <f t="shared" ref="CC32" si="1090">IF(AND(CC30&lt;&gt;0,CC31&lt;&gt;0),(CC30-CC31)/CC31,IF(AND(CC30=0,CC31=0),"",IF(AND(CC30="",CC31=""),"",IF(AND(CC30=0,CC31=""),"", IF(AND(CC30="",CC31=0),"",1)))))</f>
        <v/>
      </c>
      <c r="CD32" s="40" t="str">
        <f t="shared" ref="CD32" si="1091">IF(AND(CD30&lt;&gt;0,CD31&lt;&gt;0),(CD30-CD31)/CD31,IF(AND(CD30=0,CD31=0),"",IF(AND(CD30="",CD31=""),"",IF(AND(CD30=0,CD31=""),"", IF(AND(CD30="",CD31=0),"",1)))))</f>
        <v/>
      </c>
      <c r="CE32" s="40" t="str">
        <f t="shared" ref="CE32" si="1092">IF(AND(CE30&lt;&gt;0,CE31&lt;&gt;0),(CE30-CE31)/CE31,IF(AND(CE30=0,CE31=0),"",IF(AND(CE30="",CE31=""),"",IF(AND(CE30=0,CE31=""),"", IF(AND(CE30="",CE31=0),"",1)))))</f>
        <v/>
      </c>
      <c r="CF32" s="40" t="str">
        <f t="shared" ref="CF32" si="1093">IF(AND(CF30&lt;&gt;0,CF31&lt;&gt;0),(CF30-CF31)/CF31,IF(AND(CF30=0,CF31=0),"",IF(AND(CF30="",CF31=""),"",IF(AND(CF30=0,CF31=""),"", IF(AND(CF30="",CF31=0),"",1)))))</f>
        <v/>
      </c>
      <c r="CG32" s="40" t="str">
        <f t="shared" ref="CG32" si="1094">IF(AND(CG30&lt;&gt;0,CG31&lt;&gt;0),(CG30-CG31)/CG31,IF(AND(CG30=0,CG31=0),"",IF(AND(CG30="",CG31=""),"",IF(AND(CG30=0,CG31=""),"", IF(AND(CG30="",CG31=0),"",1)))))</f>
        <v/>
      </c>
      <c r="CH32" s="40" t="str">
        <f t="shared" ref="CH32" si="1095">IF(AND(CH30&lt;&gt;0,CH31&lt;&gt;0),(CH30-CH31)/CH31,IF(AND(CH30=0,CH31=0),"",IF(AND(CH30="",CH31=""),"",IF(AND(CH30=0,CH31=""),"", IF(AND(CH30="",CH31=0),"",1)))))</f>
        <v/>
      </c>
      <c r="CI32" s="40">
        <f t="shared" ref="CI32" si="1096">IF(AND(CI30&lt;&gt;0,CI31&lt;&gt;0),(CI30-CI31)/CI31,IF(AND(CI30=0,CI31=0),"",IF(AND(CI30="",CI31=""),"",IF(AND(CI30=0,CI31=""),"", IF(AND(CI30="",CI31=0),"",1)))))</f>
        <v>1</v>
      </c>
      <c r="CJ32" s="40" t="str">
        <f t="shared" ref="CJ32" si="1097">IF(AND(CJ30&lt;&gt;0,CJ31&lt;&gt;0),(CJ30-CJ31)/CJ31,IF(AND(CJ30=0,CJ31=0),"",IF(AND(CJ30="",CJ31=""),"",IF(AND(CJ30=0,CJ31=""),"", IF(AND(CJ30="",CJ31=0),"",1)))))</f>
        <v/>
      </c>
      <c r="CK32" s="40">
        <f t="shared" ref="CK32" si="1098">IF(AND(CK30&lt;&gt;0,CK31&lt;&gt;0),(CK30-CK31)/CK31,IF(AND(CK30=0,CK31=0),"",IF(AND(CK30="",CK31=""),"",IF(AND(CK30=0,CK31=""),"", IF(AND(CK30="",CK31=0),"",1)))))</f>
        <v>1</v>
      </c>
      <c r="CL32" s="40" t="str">
        <f t="shared" ref="CL32" si="1099">IF(AND(CL30&lt;&gt;0,CL31&lt;&gt;0),(CL30-CL31)/CL31,IF(AND(CL30=0,CL31=0),"",IF(AND(CL30="",CL31=""),"",IF(AND(CL30=0,CL31=""),"", IF(AND(CL30="",CL31=0),"",1)))))</f>
        <v/>
      </c>
      <c r="CM32" s="40" t="str">
        <f t="shared" ref="CM32" si="1100">IF(AND(CM30&lt;&gt;0,CM31&lt;&gt;0),(CM30-CM31)/CM31,IF(AND(CM30=0,CM31=0),"",IF(AND(CM30="",CM31=""),"",IF(AND(CM30=0,CM31=""),"", IF(AND(CM30="",CM31=0),"",1)))))</f>
        <v/>
      </c>
      <c r="CN32" s="40" t="str">
        <f t="shared" ref="CN32" si="1101">IF(AND(CN30&lt;&gt;0,CN31&lt;&gt;0),(CN30-CN31)/CN31,IF(AND(CN30=0,CN31=0),"",IF(AND(CN30="",CN31=""),"",IF(AND(CN30=0,CN31=""),"", IF(AND(CN30="",CN31=0),"",1)))))</f>
        <v/>
      </c>
      <c r="CO32" s="40" t="str">
        <f t="shared" ref="CO32" si="1102">IF(AND(CO30&lt;&gt;0,CO31&lt;&gt;0),(CO30-CO31)/CO31,IF(AND(CO30=0,CO31=0),"",IF(AND(CO30="",CO31=""),"",IF(AND(CO30=0,CO31=""),"", IF(AND(CO30="",CO31=0),"",1)))))</f>
        <v/>
      </c>
      <c r="CP32" s="40" t="str">
        <f t="shared" ref="CP32" si="1103">IF(AND(CP30&lt;&gt;0,CP31&lt;&gt;0),(CP30-CP31)/CP31,IF(AND(CP30=0,CP31=0),"",IF(AND(CP30="",CP31=""),"",IF(AND(CP30=0,CP31=""),"", IF(AND(CP30="",CP31=0),"",1)))))</f>
        <v/>
      </c>
      <c r="CQ32" s="40" t="str">
        <f t="shared" ref="CQ32" si="1104">IF(AND(CQ30&lt;&gt;0,CQ31&lt;&gt;0),(CQ30-CQ31)/CQ31,IF(AND(CQ30=0,CQ31=0),"",IF(AND(CQ30="",CQ31=""),"",IF(AND(CQ30=0,CQ31=""),"", IF(AND(CQ30="",CQ31=0),"",1)))))</f>
        <v/>
      </c>
      <c r="CR32" s="40" t="str">
        <f t="shared" ref="CR32" si="1105">IF(AND(CR30&lt;&gt;0,CR31&lt;&gt;0),(CR30-CR31)/CR31,IF(AND(CR30=0,CR31=0),"",IF(AND(CR30="",CR31=""),"",IF(AND(CR30=0,CR31=""),"", IF(AND(CR30="",CR31=0),"",1)))))</f>
        <v/>
      </c>
      <c r="CS32" s="40" t="str">
        <f t="shared" ref="CS32" si="1106">IF(AND(CS30&lt;&gt;0,CS31&lt;&gt;0),(CS30-CS31)/CS31,IF(AND(CS30=0,CS31=0),"",IF(AND(CS30="",CS31=""),"",IF(AND(CS30=0,CS31=""),"", IF(AND(CS30="",CS31=0),"",1)))))</f>
        <v/>
      </c>
      <c r="CT32" s="40" t="str">
        <f t="shared" ref="CT32" si="1107">IF(AND(CT30&lt;&gt;0,CT31&lt;&gt;0),(CT30-CT31)/CT31,IF(AND(CT30=0,CT31=0),"",IF(AND(CT30="",CT31=""),"",IF(AND(CT30=0,CT31=""),"", IF(AND(CT30="",CT31=0),"",1)))))</f>
        <v/>
      </c>
      <c r="CU32" s="40" t="str">
        <f t="shared" ref="CU32" si="1108">IF(AND(CU30&lt;&gt;0,CU31&lt;&gt;0),(CU30-CU31)/CU31,IF(AND(CU30=0,CU31=0),"",IF(AND(CU30="",CU31=""),"",IF(AND(CU30=0,CU31=""),"", IF(AND(CU30="",CU31=0),"",1)))))</f>
        <v/>
      </c>
      <c r="CV32" s="40" t="str">
        <f t="shared" ref="CV32:DJ32" si="1109">IF(AND(CV30&lt;&gt;0,CV31&lt;&gt;0),(CV30-CV31)/CV31,IF(AND(CV30=0,CV31=0),"",IF(AND(CV30="",CV31=""),"",IF(AND(CV30=0,CV31=""),"", IF(AND(CV30="",CV31=0),"",1)))))</f>
        <v/>
      </c>
      <c r="CW32" s="40" t="str">
        <f t="shared" si="1109"/>
        <v/>
      </c>
      <c r="CX32" s="40" t="str">
        <f t="shared" si="1109"/>
        <v/>
      </c>
      <c r="CY32" s="40" t="str">
        <f t="shared" si="1109"/>
        <v/>
      </c>
      <c r="CZ32" s="40" t="str">
        <f t="shared" si="1109"/>
        <v/>
      </c>
      <c r="DA32" s="40" t="str">
        <f t="shared" si="1109"/>
        <v/>
      </c>
      <c r="DB32" s="40" t="str">
        <f t="shared" si="1109"/>
        <v/>
      </c>
      <c r="DC32" s="40" t="str">
        <f t="shared" si="1109"/>
        <v/>
      </c>
      <c r="DD32" s="40" t="str">
        <f t="shared" si="1109"/>
        <v/>
      </c>
      <c r="DE32" s="40" t="str">
        <f t="shared" si="1109"/>
        <v/>
      </c>
      <c r="DF32" s="40" t="str">
        <f t="shared" si="1109"/>
        <v/>
      </c>
      <c r="DG32" s="40" t="str">
        <f t="shared" si="1109"/>
        <v/>
      </c>
      <c r="DH32" s="40" t="str">
        <f t="shared" si="1109"/>
        <v/>
      </c>
      <c r="DI32" s="40" t="str">
        <f t="shared" si="1109"/>
        <v/>
      </c>
      <c r="DJ32" s="40" t="str">
        <f t="shared" si="1109"/>
        <v/>
      </c>
      <c r="DK32" s="41">
        <f t="shared" ref="DK32:HU32" si="1110">IF(AND(DK30&lt;&gt;0,DK31&lt;&gt;0),(DK30-DK31)/DK31,IF(AND(DK30=0,DK31=0),"",IF(AND(DK30="",DK31=""),"",IF(AND(DK30=0,DK31=""),"", IF(AND(DK30="",DK31=0),"",1)))))</f>
        <v>0</v>
      </c>
      <c r="DL32" s="72" t="str">
        <f t="shared" si="1110"/>
        <v/>
      </c>
      <c r="DM32" s="73" t="str">
        <f t="shared" si="1110"/>
        <v/>
      </c>
      <c r="DN32" s="73" t="str">
        <f t="shared" si="1110"/>
        <v/>
      </c>
      <c r="DO32" s="73" t="str">
        <f t="shared" si="1110"/>
        <v/>
      </c>
      <c r="DP32" s="73" t="str">
        <f t="shared" si="1110"/>
        <v/>
      </c>
      <c r="DQ32" s="73" t="str">
        <f t="shared" si="1110"/>
        <v/>
      </c>
      <c r="DR32" s="73" t="str">
        <f t="shared" si="1110"/>
        <v/>
      </c>
      <c r="DS32" s="73" t="str">
        <f t="shared" si="1110"/>
        <v/>
      </c>
      <c r="DT32" s="73" t="str">
        <f t="shared" si="1110"/>
        <v/>
      </c>
      <c r="DU32" s="73" t="str">
        <f t="shared" si="1110"/>
        <v/>
      </c>
      <c r="DV32" s="73" t="str">
        <f t="shared" si="1110"/>
        <v/>
      </c>
      <c r="DW32" s="73" t="str">
        <f t="shared" si="1110"/>
        <v/>
      </c>
      <c r="DX32" s="73" t="str">
        <f t="shared" si="1110"/>
        <v/>
      </c>
      <c r="DY32" s="73" t="str">
        <f t="shared" si="1110"/>
        <v/>
      </c>
      <c r="DZ32" s="73" t="str">
        <f t="shared" si="1110"/>
        <v/>
      </c>
      <c r="EA32" s="73" t="str">
        <f t="shared" si="1110"/>
        <v/>
      </c>
      <c r="EB32" s="73" t="str">
        <f t="shared" si="1110"/>
        <v/>
      </c>
      <c r="EC32" s="73" t="str">
        <f t="shared" si="1110"/>
        <v/>
      </c>
      <c r="ED32" s="73" t="str">
        <f t="shared" si="1110"/>
        <v/>
      </c>
      <c r="EE32" s="73" t="str">
        <f t="shared" si="1110"/>
        <v/>
      </c>
      <c r="EF32" s="73" t="str">
        <f t="shared" si="1110"/>
        <v/>
      </c>
      <c r="EG32" s="73" t="str">
        <f t="shared" si="1110"/>
        <v/>
      </c>
      <c r="EH32" s="73" t="str">
        <f t="shared" si="1110"/>
        <v/>
      </c>
      <c r="EI32" s="73" t="str">
        <f t="shared" ref="EI32:EV32" si="1111">IF(AND(EI30&lt;&gt;0,EI31&lt;&gt;0),(EI30-EI31)/EI31,IF(AND(EI30=0,EI31=0),"",IF(AND(EI30="",EI31=""),"",IF(AND(EI30=0,EI31=""),"", IF(AND(EI30="",EI31=0),"",1)))))</f>
        <v/>
      </c>
      <c r="EJ32" s="73" t="str">
        <f t="shared" si="1111"/>
        <v/>
      </c>
      <c r="EK32" s="73" t="str">
        <f t="shared" si="1111"/>
        <v/>
      </c>
      <c r="EL32" s="73" t="str">
        <f t="shared" si="1111"/>
        <v/>
      </c>
      <c r="EM32" s="73" t="str">
        <f t="shared" si="1111"/>
        <v/>
      </c>
      <c r="EN32" s="73" t="str">
        <f t="shared" si="1111"/>
        <v/>
      </c>
      <c r="EO32" s="73" t="str">
        <f t="shared" si="1111"/>
        <v/>
      </c>
      <c r="EP32" s="73" t="str">
        <f t="shared" si="1111"/>
        <v/>
      </c>
      <c r="EQ32" s="73" t="str">
        <f t="shared" si="1111"/>
        <v/>
      </c>
      <c r="ER32" s="73" t="str">
        <f t="shared" si="1111"/>
        <v/>
      </c>
      <c r="ES32" s="73" t="str">
        <f t="shared" si="1111"/>
        <v/>
      </c>
      <c r="ET32" s="73" t="str">
        <f t="shared" si="1111"/>
        <v/>
      </c>
      <c r="EU32" s="73" t="str">
        <f t="shared" si="1111"/>
        <v/>
      </c>
      <c r="EV32" s="73" t="str">
        <f t="shared" si="1111"/>
        <v/>
      </c>
      <c r="EW32" s="74" t="str">
        <f t="shared" si="1110"/>
        <v/>
      </c>
      <c r="EX32" s="72" t="str">
        <f t="shared" ref="EX32:GI32" si="1112">IF(AND(EX30&lt;&gt;0,EX31&lt;&gt;0),(EX30-EX31)/EX31,IF(AND(EX30=0,EX31=0),"",IF(AND(EX30="",EX31=""),"",IF(AND(EX30=0,EX31=""),"", IF(AND(EX30="",EX31=0),"",1)))))</f>
        <v/>
      </c>
      <c r="EY32" s="73" t="str">
        <f t="shared" si="1112"/>
        <v/>
      </c>
      <c r="EZ32" s="73" t="str">
        <f t="shared" si="1112"/>
        <v/>
      </c>
      <c r="FA32" s="73" t="str">
        <f t="shared" si="1112"/>
        <v/>
      </c>
      <c r="FB32" s="73" t="str">
        <f t="shared" si="1112"/>
        <v/>
      </c>
      <c r="FC32" s="73" t="str">
        <f t="shared" si="1112"/>
        <v/>
      </c>
      <c r="FD32" s="73" t="str">
        <f t="shared" si="1112"/>
        <v/>
      </c>
      <c r="FE32" s="73" t="str">
        <f t="shared" si="1112"/>
        <v/>
      </c>
      <c r="FF32" s="73" t="str">
        <f t="shared" si="1112"/>
        <v/>
      </c>
      <c r="FG32" s="73" t="str">
        <f t="shared" si="1112"/>
        <v/>
      </c>
      <c r="FH32" s="73" t="str">
        <f t="shared" si="1112"/>
        <v/>
      </c>
      <c r="FI32" s="73" t="str">
        <f t="shared" si="1112"/>
        <v/>
      </c>
      <c r="FJ32" s="73" t="str">
        <f t="shared" si="1112"/>
        <v/>
      </c>
      <c r="FK32" s="73" t="str">
        <f t="shared" si="1112"/>
        <v/>
      </c>
      <c r="FL32" s="73" t="str">
        <f t="shared" si="1112"/>
        <v/>
      </c>
      <c r="FM32" s="73" t="str">
        <f t="shared" si="1112"/>
        <v/>
      </c>
      <c r="FN32" s="73" t="str">
        <f t="shared" si="1112"/>
        <v/>
      </c>
      <c r="FO32" s="73" t="str">
        <f t="shared" si="1112"/>
        <v/>
      </c>
      <c r="FP32" s="73" t="str">
        <f t="shared" si="1112"/>
        <v/>
      </c>
      <c r="FQ32" s="73" t="str">
        <f t="shared" si="1112"/>
        <v/>
      </c>
      <c r="FR32" s="73" t="str">
        <f t="shared" si="1112"/>
        <v/>
      </c>
      <c r="FS32" s="73" t="str">
        <f t="shared" si="1112"/>
        <v/>
      </c>
      <c r="FT32" s="73" t="str">
        <f t="shared" si="1112"/>
        <v/>
      </c>
      <c r="FU32" s="73" t="str">
        <f t="shared" ref="FU32:GH32" si="1113">IF(AND(FU30&lt;&gt;0,FU31&lt;&gt;0),(FU30-FU31)/FU31,IF(AND(FU30=0,FU31=0),"",IF(AND(FU30="",FU31=""),"",IF(AND(FU30=0,FU31=""),"", IF(AND(FU30="",FU31=0),"",1)))))</f>
        <v/>
      </c>
      <c r="FV32" s="73" t="str">
        <f t="shared" si="1113"/>
        <v/>
      </c>
      <c r="FW32" s="73" t="str">
        <f t="shared" si="1113"/>
        <v/>
      </c>
      <c r="FX32" s="73" t="str">
        <f t="shared" si="1113"/>
        <v/>
      </c>
      <c r="FY32" s="73" t="str">
        <f t="shared" si="1113"/>
        <v/>
      </c>
      <c r="FZ32" s="73" t="str">
        <f t="shared" si="1113"/>
        <v/>
      </c>
      <c r="GA32" s="73" t="str">
        <f t="shared" si="1113"/>
        <v/>
      </c>
      <c r="GB32" s="73" t="str">
        <f t="shared" si="1113"/>
        <v/>
      </c>
      <c r="GC32" s="73" t="str">
        <f t="shared" si="1113"/>
        <v/>
      </c>
      <c r="GD32" s="73" t="str">
        <f t="shared" si="1113"/>
        <v/>
      </c>
      <c r="GE32" s="73" t="str">
        <f t="shared" si="1113"/>
        <v/>
      </c>
      <c r="GF32" s="73" t="str">
        <f t="shared" si="1113"/>
        <v/>
      </c>
      <c r="GG32" s="73" t="str">
        <f t="shared" si="1113"/>
        <v/>
      </c>
      <c r="GH32" s="73" t="str">
        <f t="shared" si="1113"/>
        <v/>
      </c>
      <c r="GI32" s="74" t="str">
        <f t="shared" si="1112"/>
        <v/>
      </c>
      <c r="GJ32" s="72" t="str">
        <f t="shared" si="1110"/>
        <v/>
      </c>
      <c r="GK32" s="73" t="str">
        <f t="shared" si="1110"/>
        <v/>
      </c>
      <c r="GL32" s="73" t="str">
        <f t="shared" si="1110"/>
        <v/>
      </c>
      <c r="GM32" s="73" t="str">
        <f t="shared" si="1110"/>
        <v/>
      </c>
      <c r="GN32" s="73" t="str">
        <f t="shared" si="1110"/>
        <v/>
      </c>
      <c r="GO32" s="73" t="str">
        <f t="shared" si="1110"/>
        <v/>
      </c>
      <c r="GP32" s="73" t="str">
        <f t="shared" si="1110"/>
        <v/>
      </c>
      <c r="GQ32" s="73" t="str">
        <f t="shared" si="1110"/>
        <v/>
      </c>
      <c r="GR32" s="73" t="str">
        <f t="shared" si="1110"/>
        <v/>
      </c>
      <c r="GS32" s="73" t="str">
        <f t="shared" si="1110"/>
        <v/>
      </c>
      <c r="GT32" s="73" t="str">
        <f t="shared" si="1110"/>
        <v/>
      </c>
      <c r="GU32" s="73" t="str">
        <f t="shared" si="1110"/>
        <v/>
      </c>
      <c r="GV32" s="73" t="str">
        <f t="shared" si="1110"/>
        <v/>
      </c>
      <c r="GW32" s="73" t="str">
        <f t="shared" si="1110"/>
        <v/>
      </c>
      <c r="GX32" s="73" t="str">
        <f t="shared" si="1110"/>
        <v/>
      </c>
      <c r="GY32" s="73" t="str">
        <f t="shared" si="1110"/>
        <v/>
      </c>
      <c r="GZ32" s="73" t="str">
        <f t="shared" si="1110"/>
        <v/>
      </c>
      <c r="HA32" s="73" t="str">
        <f t="shared" si="1110"/>
        <v/>
      </c>
      <c r="HB32" s="73" t="str">
        <f t="shared" si="1110"/>
        <v/>
      </c>
      <c r="HC32" s="73" t="str">
        <f t="shared" si="1110"/>
        <v/>
      </c>
      <c r="HD32" s="73" t="str">
        <f t="shared" si="1110"/>
        <v/>
      </c>
      <c r="HE32" s="73" t="str">
        <f t="shared" si="1110"/>
        <v/>
      </c>
      <c r="HF32" s="73" t="str">
        <f t="shared" si="1110"/>
        <v/>
      </c>
      <c r="HG32" s="73" t="str">
        <f t="shared" ref="HG32:HT32" si="1114">IF(AND(HG30&lt;&gt;0,HG31&lt;&gt;0),(HG30-HG31)/HG31,IF(AND(HG30=0,HG31=0),"",IF(AND(HG30="",HG31=""),"",IF(AND(HG30=0,HG31=""),"", IF(AND(HG30="",HG31=0),"",1)))))</f>
        <v/>
      </c>
      <c r="HH32" s="73" t="str">
        <f t="shared" si="1114"/>
        <v/>
      </c>
      <c r="HI32" s="73" t="str">
        <f t="shared" si="1114"/>
        <v/>
      </c>
      <c r="HJ32" s="73" t="str">
        <f t="shared" si="1114"/>
        <v/>
      </c>
      <c r="HK32" s="73" t="str">
        <f t="shared" si="1114"/>
        <v/>
      </c>
      <c r="HL32" s="73" t="str">
        <f t="shared" si="1114"/>
        <v/>
      </c>
      <c r="HM32" s="73" t="str">
        <f t="shared" si="1114"/>
        <v/>
      </c>
      <c r="HN32" s="73" t="str">
        <f t="shared" si="1114"/>
        <v/>
      </c>
      <c r="HO32" s="73" t="str">
        <f t="shared" si="1114"/>
        <v/>
      </c>
      <c r="HP32" s="73" t="str">
        <f t="shared" si="1114"/>
        <v/>
      </c>
      <c r="HQ32" s="73" t="str">
        <f t="shared" si="1114"/>
        <v/>
      </c>
      <c r="HR32" s="73" t="str">
        <f t="shared" si="1114"/>
        <v/>
      </c>
      <c r="HS32" s="73" t="str">
        <f t="shared" si="1114"/>
        <v/>
      </c>
      <c r="HT32" s="73" t="str">
        <f t="shared" si="1114"/>
        <v/>
      </c>
      <c r="HU32" s="74" t="str">
        <f t="shared" si="1110"/>
        <v/>
      </c>
      <c r="HV32" s="39" t="str">
        <f t="shared" ref="HV32" si="1115">IF(AND(HV30&lt;&gt;0,HV31&lt;&gt;0),(HV30-HV31)/HV31,IF(AND(HV30=0,HV31=0),"",IF(AND(HV30="",HV31=""),"",IF(AND(HV30=0,HV31=""),"", IF(AND(HV30="",HV31=0),"",1)))))</f>
        <v/>
      </c>
      <c r="HW32" s="40" t="str">
        <f t="shared" ref="HW32" si="1116">IF(AND(HW30&lt;&gt;0,HW31&lt;&gt;0),(HW30-HW31)/HW31,IF(AND(HW30=0,HW31=0),"",IF(AND(HW30="",HW31=""),"",IF(AND(HW30=0,HW31=""),"", IF(AND(HW30="",HW31=0),"",1)))))</f>
        <v/>
      </c>
      <c r="HX32" s="40" t="str">
        <f t="shared" ref="HX32" si="1117">IF(AND(HX30&lt;&gt;0,HX31&lt;&gt;0),(HX30-HX31)/HX31,IF(AND(HX30=0,HX31=0),"",IF(AND(HX30="",HX31=""),"",IF(AND(HX30=0,HX31=""),"", IF(AND(HX30="",HX31=0),"",1)))))</f>
        <v/>
      </c>
      <c r="HY32" s="40" t="str">
        <f t="shared" ref="HY32" si="1118">IF(AND(HY30&lt;&gt;0,HY31&lt;&gt;0),(HY30-HY31)/HY31,IF(AND(HY30=0,HY31=0),"",IF(AND(HY30="",HY31=""),"",IF(AND(HY30=0,HY31=""),"", IF(AND(HY30="",HY31=0),"",1)))))</f>
        <v/>
      </c>
      <c r="HZ32" s="40" t="str">
        <f t="shared" ref="HZ32" si="1119">IF(AND(HZ30&lt;&gt;0,HZ31&lt;&gt;0),(HZ30-HZ31)/HZ31,IF(AND(HZ30=0,HZ31=0),"",IF(AND(HZ30="",HZ31=""),"",IF(AND(HZ30=0,HZ31=""),"", IF(AND(HZ30="",HZ31=0),"",1)))))</f>
        <v/>
      </c>
      <c r="IA32" s="40" t="str">
        <f t="shared" ref="IA32" si="1120">IF(AND(IA30&lt;&gt;0,IA31&lt;&gt;0),(IA30-IA31)/IA31,IF(AND(IA30=0,IA31=0),"",IF(AND(IA30="",IA31=""),"",IF(AND(IA30=0,IA31=""),"", IF(AND(IA30="",IA31=0),"",1)))))</f>
        <v/>
      </c>
      <c r="IB32" s="40" t="str">
        <f t="shared" ref="IB32" si="1121">IF(AND(IB30&lt;&gt;0,IB31&lt;&gt;0),(IB30-IB31)/IB31,IF(AND(IB30=0,IB31=0),"",IF(AND(IB30="",IB31=""),"",IF(AND(IB30=0,IB31=""),"", IF(AND(IB30="",IB31=0),"",1)))))</f>
        <v/>
      </c>
      <c r="IC32" s="40" t="str">
        <f t="shared" ref="IC32" si="1122">IF(AND(IC30&lt;&gt;0,IC31&lt;&gt;0),(IC30-IC31)/IC31,IF(AND(IC30=0,IC31=0),"",IF(AND(IC30="",IC31=""),"",IF(AND(IC30=0,IC31=""),"", IF(AND(IC30="",IC31=0),"",1)))))</f>
        <v/>
      </c>
      <c r="ID32" s="40" t="str">
        <f t="shared" ref="ID32" si="1123">IF(AND(ID30&lt;&gt;0,ID31&lt;&gt;0),(ID30-ID31)/ID31,IF(AND(ID30=0,ID31=0),"",IF(AND(ID30="",ID31=""),"",IF(AND(ID30=0,ID31=""),"", IF(AND(ID30="",ID31=0),"",1)))))</f>
        <v/>
      </c>
      <c r="IE32" s="40" t="str">
        <f t="shared" ref="IE32" si="1124">IF(AND(IE30&lt;&gt;0,IE31&lt;&gt;0),(IE30-IE31)/IE31,IF(AND(IE30=0,IE31=0),"",IF(AND(IE30="",IE31=""),"",IF(AND(IE30=0,IE31=""),"", IF(AND(IE30="",IE31=0),"",1)))))</f>
        <v/>
      </c>
      <c r="IF32" s="40" t="str">
        <f t="shared" ref="IF32" si="1125">IF(AND(IF30&lt;&gt;0,IF31&lt;&gt;0),(IF30-IF31)/IF31,IF(AND(IF30=0,IF31=0),"",IF(AND(IF30="",IF31=""),"",IF(AND(IF30=0,IF31=""),"", IF(AND(IF30="",IF31=0),"",1)))))</f>
        <v/>
      </c>
      <c r="IG32" s="40" t="str">
        <f t="shared" ref="IG32" si="1126">IF(AND(IG30&lt;&gt;0,IG31&lt;&gt;0),(IG30-IG31)/IG31,IF(AND(IG30=0,IG31=0),"",IF(AND(IG30="",IG31=""),"",IF(AND(IG30=0,IG31=""),"", IF(AND(IG30="",IG31=0),"",1)))))</f>
        <v/>
      </c>
      <c r="IH32" s="40" t="str">
        <f t="shared" ref="IH32" si="1127">IF(AND(IH30&lt;&gt;0,IH31&lt;&gt;0),(IH30-IH31)/IH31,IF(AND(IH30=0,IH31=0),"",IF(AND(IH30="",IH31=""),"",IF(AND(IH30=0,IH31=""),"", IF(AND(IH30="",IH31=0),"",1)))))</f>
        <v/>
      </c>
      <c r="II32" s="40" t="str">
        <f t="shared" ref="II32" si="1128">IF(AND(II30&lt;&gt;0,II31&lt;&gt;0),(II30-II31)/II31,IF(AND(II30=0,II31=0),"",IF(AND(II30="",II31=""),"",IF(AND(II30=0,II31=""),"", IF(AND(II30="",II31=0),"",1)))))</f>
        <v/>
      </c>
      <c r="IJ32" s="40" t="str">
        <f t="shared" ref="IJ32" si="1129">IF(AND(IJ30&lt;&gt;0,IJ31&lt;&gt;0),(IJ30-IJ31)/IJ31,IF(AND(IJ30=0,IJ31=0),"",IF(AND(IJ30="",IJ31=""),"",IF(AND(IJ30=0,IJ31=""),"", IF(AND(IJ30="",IJ31=0),"",1)))))</f>
        <v/>
      </c>
      <c r="IK32" s="40" t="str">
        <f t="shared" ref="IK32" si="1130">IF(AND(IK30&lt;&gt;0,IK31&lt;&gt;0),(IK30-IK31)/IK31,IF(AND(IK30=0,IK31=0),"",IF(AND(IK30="",IK31=""),"",IF(AND(IK30=0,IK31=""),"", IF(AND(IK30="",IK31=0),"",1)))))</f>
        <v/>
      </c>
      <c r="IL32" s="40" t="str">
        <f t="shared" ref="IL32" si="1131">IF(AND(IL30&lt;&gt;0,IL31&lt;&gt;0),(IL30-IL31)/IL31,IF(AND(IL30=0,IL31=0),"",IF(AND(IL30="",IL31=""),"",IF(AND(IL30=0,IL31=""),"", IF(AND(IL30="",IL31=0),"",1)))))</f>
        <v/>
      </c>
      <c r="IM32" s="40" t="str">
        <f t="shared" ref="IM32" si="1132">IF(AND(IM30&lt;&gt;0,IM31&lt;&gt;0),(IM30-IM31)/IM31,IF(AND(IM30=0,IM31=0),"",IF(AND(IM30="",IM31=""),"",IF(AND(IM30=0,IM31=""),"", IF(AND(IM30="",IM31=0),"",1)))))</f>
        <v/>
      </c>
      <c r="IN32" s="40" t="str">
        <f t="shared" ref="IN32" si="1133">IF(AND(IN30&lt;&gt;0,IN31&lt;&gt;0),(IN30-IN31)/IN31,IF(AND(IN30=0,IN31=0),"",IF(AND(IN30="",IN31=""),"",IF(AND(IN30=0,IN31=""),"", IF(AND(IN30="",IN31=0),"",1)))))</f>
        <v/>
      </c>
      <c r="IO32" s="40" t="str">
        <f t="shared" ref="IO32" si="1134">IF(AND(IO30&lt;&gt;0,IO31&lt;&gt;0),(IO30-IO31)/IO31,IF(AND(IO30=0,IO31=0),"",IF(AND(IO30="",IO31=""),"",IF(AND(IO30=0,IO31=""),"", IF(AND(IO30="",IO31=0),"",1)))))</f>
        <v/>
      </c>
      <c r="IP32" s="40" t="str">
        <f t="shared" ref="IP32" si="1135">IF(AND(IP30&lt;&gt;0,IP31&lt;&gt;0),(IP30-IP31)/IP31,IF(AND(IP30=0,IP31=0),"",IF(AND(IP30="",IP31=""),"",IF(AND(IP30=0,IP31=""),"", IF(AND(IP30="",IP31=0),"",1)))))</f>
        <v/>
      </c>
      <c r="IQ32" s="40" t="str">
        <f t="shared" ref="IQ32" si="1136">IF(AND(IQ30&lt;&gt;0,IQ31&lt;&gt;0),(IQ30-IQ31)/IQ31,IF(AND(IQ30=0,IQ31=0),"",IF(AND(IQ30="",IQ31=""),"",IF(AND(IQ30=0,IQ31=""),"", IF(AND(IQ30="",IQ31=0),"",1)))))</f>
        <v/>
      </c>
      <c r="IR32" s="40" t="str">
        <f t="shared" ref="IR32:JF32" si="1137">IF(AND(IR30&lt;&gt;0,IR31&lt;&gt;0),(IR30-IR31)/IR31,IF(AND(IR30=0,IR31=0),"",IF(AND(IR30="",IR31=""),"",IF(AND(IR30=0,IR31=""),"", IF(AND(IR30="",IR31=0),"",1)))))</f>
        <v/>
      </c>
      <c r="IS32" s="40" t="str">
        <f t="shared" si="1137"/>
        <v/>
      </c>
      <c r="IT32" s="40" t="str">
        <f t="shared" si="1137"/>
        <v/>
      </c>
      <c r="IU32" s="40" t="str">
        <f t="shared" si="1137"/>
        <v/>
      </c>
      <c r="IV32" s="40" t="str">
        <f t="shared" si="1137"/>
        <v/>
      </c>
      <c r="IW32" s="40" t="str">
        <f t="shared" si="1137"/>
        <v/>
      </c>
      <c r="IX32" s="40" t="str">
        <f t="shared" si="1137"/>
        <v/>
      </c>
      <c r="IY32" s="40" t="str">
        <f t="shared" si="1137"/>
        <v/>
      </c>
      <c r="IZ32" s="40" t="str">
        <f t="shared" si="1137"/>
        <v/>
      </c>
      <c r="JA32" s="40" t="str">
        <f t="shared" si="1137"/>
        <v/>
      </c>
      <c r="JB32" s="40" t="str">
        <f t="shared" si="1137"/>
        <v/>
      </c>
      <c r="JC32" s="40" t="str">
        <f t="shared" si="1137"/>
        <v/>
      </c>
      <c r="JD32" s="40" t="str">
        <f t="shared" si="1137"/>
        <v/>
      </c>
      <c r="JE32" s="40" t="str">
        <f t="shared" si="1137"/>
        <v/>
      </c>
      <c r="JF32" s="40" t="str">
        <f t="shared" si="1137"/>
        <v/>
      </c>
      <c r="JG32" s="41" t="str">
        <f t="shared" ref="JG32:NQ32" si="1138">IF(AND(JG30&lt;&gt;0,JG31&lt;&gt;0),(JG30-JG31)/JG31,IF(AND(JG30=0,JG31=0),"",IF(AND(JG30="",JG31=""),"",IF(AND(JG30=0,JG31=""),"", IF(AND(JG30="",JG31=0),"",1)))))</f>
        <v/>
      </c>
      <c r="JH32" s="72" t="str">
        <f t="shared" si="1138"/>
        <v/>
      </c>
      <c r="JI32" s="73" t="str">
        <f t="shared" si="1138"/>
        <v/>
      </c>
      <c r="JJ32" s="73" t="str">
        <f t="shared" si="1138"/>
        <v/>
      </c>
      <c r="JK32" s="73" t="str">
        <f t="shared" si="1138"/>
        <v/>
      </c>
      <c r="JL32" s="73" t="str">
        <f t="shared" si="1138"/>
        <v/>
      </c>
      <c r="JM32" s="73" t="str">
        <f t="shared" si="1138"/>
        <v/>
      </c>
      <c r="JN32" s="73" t="str">
        <f t="shared" si="1138"/>
        <v/>
      </c>
      <c r="JO32" s="73" t="str">
        <f t="shared" si="1138"/>
        <v/>
      </c>
      <c r="JP32" s="73" t="str">
        <f t="shared" si="1138"/>
        <v/>
      </c>
      <c r="JQ32" s="73" t="str">
        <f t="shared" si="1138"/>
        <v/>
      </c>
      <c r="JR32" s="73" t="str">
        <f t="shared" si="1138"/>
        <v/>
      </c>
      <c r="JS32" s="73" t="str">
        <f t="shared" si="1138"/>
        <v/>
      </c>
      <c r="JT32" s="73" t="str">
        <f t="shared" si="1138"/>
        <v/>
      </c>
      <c r="JU32" s="73" t="str">
        <f t="shared" si="1138"/>
        <v/>
      </c>
      <c r="JV32" s="73" t="str">
        <f t="shared" si="1138"/>
        <v/>
      </c>
      <c r="JW32" s="73" t="str">
        <f t="shared" si="1138"/>
        <v/>
      </c>
      <c r="JX32" s="73" t="str">
        <f t="shared" si="1138"/>
        <v/>
      </c>
      <c r="JY32" s="73" t="str">
        <f t="shared" si="1138"/>
        <v/>
      </c>
      <c r="JZ32" s="73" t="str">
        <f t="shared" si="1138"/>
        <v/>
      </c>
      <c r="KA32" s="73" t="str">
        <f t="shared" si="1138"/>
        <v/>
      </c>
      <c r="KB32" s="73" t="str">
        <f t="shared" si="1138"/>
        <v/>
      </c>
      <c r="KC32" s="73" t="str">
        <f t="shared" si="1138"/>
        <v/>
      </c>
      <c r="KD32" s="73" t="str">
        <f t="shared" si="1138"/>
        <v/>
      </c>
      <c r="KE32" s="73" t="str">
        <f t="shared" ref="KE32:KR32" si="1139">IF(AND(KE30&lt;&gt;0,KE31&lt;&gt;0),(KE30-KE31)/KE31,IF(AND(KE30=0,KE31=0),"",IF(AND(KE30="",KE31=""),"",IF(AND(KE30=0,KE31=""),"", IF(AND(KE30="",KE31=0),"",1)))))</f>
        <v/>
      </c>
      <c r="KF32" s="73" t="str">
        <f t="shared" si="1139"/>
        <v/>
      </c>
      <c r="KG32" s="73" t="str">
        <f t="shared" si="1139"/>
        <v/>
      </c>
      <c r="KH32" s="73" t="str">
        <f t="shared" si="1139"/>
        <v/>
      </c>
      <c r="KI32" s="73" t="str">
        <f t="shared" si="1139"/>
        <v/>
      </c>
      <c r="KJ32" s="73" t="str">
        <f t="shared" si="1139"/>
        <v/>
      </c>
      <c r="KK32" s="73" t="str">
        <f t="shared" si="1139"/>
        <v/>
      </c>
      <c r="KL32" s="73" t="str">
        <f t="shared" si="1139"/>
        <v/>
      </c>
      <c r="KM32" s="73" t="str">
        <f t="shared" si="1139"/>
        <v/>
      </c>
      <c r="KN32" s="73" t="str">
        <f t="shared" si="1139"/>
        <v/>
      </c>
      <c r="KO32" s="73" t="str">
        <f t="shared" si="1139"/>
        <v/>
      </c>
      <c r="KP32" s="73" t="str">
        <f t="shared" si="1139"/>
        <v/>
      </c>
      <c r="KQ32" s="73" t="str">
        <f t="shared" si="1139"/>
        <v/>
      </c>
      <c r="KR32" s="73" t="str">
        <f t="shared" si="1139"/>
        <v/>
      </c>
      <c r="KS32" s="74" t="str">
        <f t="shared" si="1138"/>
        <v/>
      </c>
      <c r="KT32" s="72" t="str">
        <f t="shared" ref="KT32:ME32" si="1140">IF(AND(KT30&lt;&gt;0,KT31&lt;&gt;0),(KT30-KT31)/KT31,IF(AND(KT30=0,KT31=0),"",IF(AND(KT30="",KT31=""),"",IF(AND(KT30=0,KT31=""),"", IF(AND(KT30="",KT31=0),"",1)))))</f>
        <v/>
      </c>
      <c r="KU32" s="73" t="str">
        <f t="shared" si="1140"/>
        <v/>
      </c>
      <c r="KV32" s="73" t="str">
        <f t="shared" si="1140"/>
        <v/>
      </c>
      <c r="KW32" s="73" t="str">
        <f t="shared" si="1140"/>
        <v/>
      </c>
      <c r="KX32" s="73" t="str">
        <f t="shared" si="1140"/>
        <v/>
      </c>
      <c r="KY32" s="73" t="str">
        <f t="shared" si="1140"/>
        <v/>
      </c>
      <c r="KZ32" s="73" t="str">
        <f t="shared" si="1140"/>
        <v/>
      </c>
      <c r="LA32" s="73" t="str">
        <f t="shared" si="1140"/>
        <v/>
      </c>
      <c r="LB32" s="73" t="str">
        <f t="shared" si="1140"/>
        <v/>
      </c>
      <c r="LC32" s="73" t="str">
        <f t="shared" si="1140"/>
        <v/>
      </c>
      <c r="LD32" s="73" t="str">
        <f t="shared" si="1140"/>
        <v/>
      </c>
      <c r="LE32" s="73" t="str">
        <f t="shared" si="1140"/>
        <v/>
      </c>
      <c r="LF32" s="73" t="str">
        <f t="shared" si="1140"/>
        <v/>
      </c>
      <c r="LG32" s="73" t="str">
        <f t="shared" si="1140"/>
        <v/>
      </c>
      <c r="LH32" s="73" t="str">
        <f t="shared" si="1140"/>
        <v/>
      </c>
      <c r="LI32" s="73" t="str">
        <f t="shared" si="1140"/>
        <v/>
      </c>
      <c r="LJ32" s="73" t="str">
        <f t="shared" si="1140"/>
        <v/>
      </c>
      <c r="LK32" s="73" t="str">
        <f t="shared" si="1140"/>
        <v/>
      </c>
      <c r="LL32" s="73" t="str">
        <f t="shared" si="1140"/>
        <v/>
      </c>
      <c r="LM32" s="73" t="str">
        <f t="shared" si="1140"/>
        <v/>
      </c>
      <c r="LN32" s="73" t="str">
        <f t="shared" si="1140"/>
        <v/>
      </c>
      <c r="LO32" s="73" t="str">
        <f t="shared" si="1140"/>
        <v/>
      </c>
      <c r="LP32" s="73" t="str">
        <f t="shared" si="1140"/>
        <v/>
      </c>
      <c r="LQ32" s="73" t="str">
        <f t="shared" ref="LQ32:MD32" si="1141">IF(AND(LQ30&lt;&gt;0,LQ31&lt;&gt;0),(LQ30-LQ31)/LQ31,IF(AND(LQ30=0,LQ31=0),"",IF(AND(LQ30="",LQ31=""),"",IF(AND(LQ30=0,LQ31=""),"", IF(AND(LQ30="",LQ31=0),"",1)))))</f>
        <v/>
      </c>
      <c r="LR32" s="73" t="str">
        <f t="shared" si="1141"/>
        <v/>
      </c>
      <c r="LS32" s="73" t="str">
        <f t="shared" si="1141"/>
        <v/>
      </c>
      <c r="LT32" s="73" t="str">
        <f t="shared" si="1141"/>
        <v/>
      </c>
      <c r="LU32" s="73" t="str">
        <f t="shared" si="1141"/>
        <v/>
      </c>
      <c r="LV32" s="73" t="str">
        <f t="shared" si="1141"/>
        <v/>
      </c>
      <c r="LW32" s="73" t="str">
        <f t="shared" si="1141"/>
        <v/>
      </c>
      <c r="LX32" s="73" t="str">
        <f t="shared" si="1141"/>
        <v/>
      </c>
      <c r="LY32" s="73" t="str">
        <f t="shared" si="1141"/>
        <v/>
      </c>
      <c r="LZ32" s="73" t="str">
        <f t="shared" si="1141"/>
        <v/>
      </c>
      <c r="MA32" s="73" t="str">
        <f t="shared" si="1141"/>
        <v/>
      </c>
      <c r="MB32" s="73" t="str">
        <f t="shared" si="1141"/>
        <v/>
      </c>
      <c r="MC32" s="73" t="str">
        <f t="shared" si="1141"/>
        <v/>
      </c>
      <c r="MD32" s="73" t="str">
        <f t="shared" si="1141"/>
        <v/>
      </c>
      <c r="ME32" s="74" t="str">
        <f t="shared" si="1140"/>
        <v/>
      </c>
      <c r="MF32" s="72" t="str">
        <f t="shared" si="1138"/>
        <v/>
      </c>
      <c r="MG32" s="73" t="str">
        <f t="shared" si="1138"/>
        <v/>
      </c>
      <c r="MH32" s="73" t="str">
        <f t="shared" si="1138"/>
        <v/>
      </c>
      <c r="MI32" s="73" t="str">
        <f t="shared" si="1138"/>
        <v/>
      </c>
      <c r="MJ32" s="73" t="str">
        <f t="shared" si="1138"/>
        <v/>
      </c>
      <c r="MK32" s="73" t="str">
        <f t="shared" si="1138"/>
        <v/>
      </c>
      <c r="ML32" s="73" t="str">
        <f t="shared" si="1138"/>
        <v/>
      </c>
      <c r="MM32" s="73" t="str">
        <f t="shared" si="1138"/>
        <v/>
      </c>
      <c r="MN32" s="73" t="str">
        <f t="shared" si="1138"/>
        <v/>
      </c>
      <c r="MO32" s="73" t="str">
        <f t="shared" si="1138"/>
        <v/>
      </c>
      <c r="MP32" s="73" t="str">
        <f t="shared" si="1138"/>
        <v/>
      </c>
      <c r="MQ32" s="73" t="str">
        <f t="shared" si="1138"/>
        <v/>
      </c>
      <c r="MR32" s="73" t="str">
        <f t="shared" si="1138"/>
        <v/>
      </c>
      <c r="MS32" s="73" t="str">
        <f t="shared" si="1138"/>
        <v/>
      </c>
      <c r="MT32" s="73" t="str">
        <f t="shared" si="1138"/>
        <v/>
      </c>
      <c r="MU32" s="73" t="str">
        <f t="shared" si="1138"/>
        <v/>
      </c>
      <c r="MV32" s="73" t="str">
        <f t="shared" si="1138"/>
        <v/>
      </c>
      <c r="MW32" s="73" t="str">
        <f t="shared" si="1138"/>
        <v/>
      </c>
      <c r="MX32" s="73" t="str">
        <f t="shared" si="1138"/>
        <v/>
      </c>
      <c r="MY32" s="73" t="str">
        <f t="shared" si="1138"/>
        <v/>
      </c>
      <c r="MZ32" s="73" t="str">
        <f t="shared" si="1138"/>
        <v/>
      </c>
      <c r="NA32" s="73" t="str">
        <f t="shared" si="1138"/>
        <v/>
      </c>
      <c r="NB32" s="73" t="str">
        <f t="shared" si="1138"/>
        <v/>
      </c>
      <c r="NC32" s="73" t="str">
        <f t="shared" ref="NC32:NP32" si="1142">IF(AND(NC30&lt;&gt;0,NC31&lt;&gt;0),(NC30-NC31)/NC31,IF(AND(NC30=0,NC31=0),"",IF(AND(NC30="",NC31=""),"",IF(AND(NC30=0,NC31=""),"", IF(AND(NC30="",NC31=0),"",1)))))</f>
        <v/>
      </c>
      <c r="ND32" s="73" t="str">
        <f t="shared" si="1142"/>
        <v/>
      </c>
      <c r="NE32" s="73" t="str">
        <f t="shared" si="1142"/>
        <v/>
      </c>
      <c r="NF32" s="73" t="str">
        <f t="shared" si="1142"/>
        <v/>
      </c>
      <c r="NG32" s="73" t="str">
        <f t="shared" si="1142"/>
        <v/>
      </c>
      <c r="NH32" s="73" t="str">
        <f t="shared" si="1142"/>
        <v/>
      </c>
      <c r="NI32" s="73" t="str">
        <f t="shared" si="1142"/>
        <v/>
      </c>
      <c r="NJ32" s="73" t="str">
        <f t="shared" si="1142"/>
        <v/>
      </c>
      <c r="NK32" s="73" t="str">
        <f t="shared" si="1142"/>
        <v/>
      </c>
      <c r="NL32" s="73" t="str">
        <f t="shared" si="1142"/>
        <v/>
      </c>
      <c r="NM32" s="73" t="str">
        <f t="shared" si="1142"/>
        <v/>
      </c>
      <c r="NN32" s="73" t="str">
        <f t="shared" si="1142"/>
        <v/>
      </c>
      <c r="NO32" s="73" t="str">
        <f t="shared" si="1142"/>
        <v/>
      </c>
      <c r="NP32" s="73" t="str">
        <f t="shared" si="1142"/>
        <v/>
      </c>
      <c r="NQ32" s="74" t="str">
        <f t="shared" si="1138"/>
        <v/>
      </c>
      <c r="NR32" s="40" t="str">
        <f t="shared" ref="NR32" si="1143">IF(AND(NR30&lt;&gt;0,NR31&lt;&gt;0),(NR30-NR31)/NR31,IF(AND(NR30=0,NR31=0),"",IF(AND(NR30="",NR31=""),"",IF(AND(NR30=0,NR31=""),"", IF(AND(NR30="",NR31=0),"",1)))))</f>
        <v/>
      </c>
      <c r="NS32" s="40" t="str">
        <f t="shared" ref="NS32" si="1144">IF(AND(NS30&lt;&gt;0,NS31&lt;&gt;0),(NS30-NS31)/NS31,IF(AND(NS30=0,NS31=0),"",IF(AND(NS30="",NS31=""),"",IF(AND(NS30=0,NS31=""),"", IF(AND(NS30="",NS31=0),"",1)))))</f>
        <v/>
      </c>
      <c r="NT32" s="40" t="str">
        <f t="shared" ref="NT32" si="1145">IF(AND(NT30&lt;&gt;0,NT31&lt;&gt;0),(NT30-NT31)/NT31,IF(AND(NT30=0,NT31=0),"",IF(AND(NT30="",NT31=""),"",IF(AND(NT30=0,NT31=""),"", IF(AND(NT30="",NT31=0),"",1)))))</f>
        <v/>
      </c>
      <c r="NU32" s="40" t="str">
        <f t="shared" ref="NU32" si="1146">IF(AND(NU30&lt;&gt;0,NU31&lt;&gt;0),(NU30-NU31)/NU31,IF(AND(NU30=0,NU31=0),"",IF(AND(NU30="",NU31=""),"",IF(AND(NU30=0,NU31=""),"", IF(AND(NU30="",NU31=0),"",1)))))</f>
        <v/>
      </c>
      <c r="NV32" s="40" t="str">
        <f t="shared" ref="NV32" si="1147">IF(AND(NV30&lt;&gt;0,NV31&lt;&gt;0),(NV30-NV31)/NV31,IF(AND(NV30=0,NV31=0),"",IF(AND(NV30="",NV31=""),"",IF(AND(NV30=0,NV31=""),"", IF(AND(NV30="",NV31=0),"",1)))))</f>
        <v/>
      </c>
      <c r="NW32" s="40" t="str">
        <f t="shared" ref="NW32" si="1148">IF(AND(NW30&lt;&gt;0,NW31&lt;&gt;0),(NW30-NW31)/NW31,IF(AND(NW30=0,NW31=0),"",IF(AND(NW30="",NW31=""),"",IF(AND(NW30=0,NW31=""),"", IF(AND(NW30="",NW31=0),"",1)))))</f>
        <v/>
      </c>
      <c r="NX32" s="40" t="str">
        <f t="shared" ref="NX32" si="1149">IF(AND(NX30&lt;&gt;0,NX31&lt;&gt;0),(NX30-NX31)/NX31,IF(AND(NX30=0,NX31=0),"",IF(AND(NX30="",NX31=""),"",IF(AND(NX30=0,NX31=""),"", IF(AND(NX30="",NX31=0),"",1)))))</f>
        <v/>
      </c>
      <c r="NY32" s="40" t="str">
        <f t="shared" ref="NY32" si="1150">IF(AND(NY30&lt;&gt;0,NY31&lt;&gt;0),(NY30-NY31)/NY31,IF(AND(NY30=0,NY31=0),"",IF(AND(NY30="",NY31=""),"",IF(AND(NY30=0,NY31=""),"", IF(AND(NY30="",NY31=0),"",1)))))</f>
        <v/>
      </c>
      <c r="NZ32" s="40" t="str">
        <f t="shared" ref="NZ32" si="1151">IF(AND(NZ30&lt;&gt;0,NZ31&lt;&gt;0),(NZ30-NZ31)/NZ31,IF(AND(NZ30=0,NZ31=0),"",IF(AND(NZ30="",NZ31=""),"",IF(AND(NZ30=0,NZ31=""),"", IF(AND(NZ30="",NZ31=0),"",1)))))</f>
        <v/>
      </c>
      <c r="OA32" s="40" t="str">
        <f t="shared" ref="OA32" si="1152">IF(AND(OA30&lt;&gt;0,OA31&lt;&gt;0),(OA30-OA31)/OA31,IF(AND(OA30=0,OA31=0),"",IF(AND(OA30="",OA31=""),"",IF(AND(OA30=0,OA31=""),"", IF(AND(OA30="",OA31=0),"",1)))))</f>
        <v/>
      </c>
      <c r="OB32" s="40">
        <f t="shared" ref="OB32" si="1153">IF(AND(OB30&lt;&gt;0,OB31&lt;&gt;0),(OB30-OB31)/OB31,IF(AND(OB30=0,OB31=0),"",IF(AND(OB30="",OB31=""),"",IF(AND(OB30=0,OB31=""),"", IF(AND(OB30="",OB31=0),"",1)))))</f>
        <v>1</v>
      </c>
      <c r="OC32" s="40">
        <f t="shared" ref="OC32" si="1154">IF(AND(OC30&lt;&gt;0,OC31&lt;&gt;0),(OC30-OC31)/OC31,IF(AND(OC30=0,OC31=0),"",IF(AND(OC30="",OC31=""),"",IF(AND(OC30=0,OC31=""),"", IF(AND(OC30="",OC31=0),"",1)))))</f>
        <v>1</v>
      </c>
      <c r="OD32" s="40" t="str">
        <f t="shared" ref="OD32" si="1155">IF(AND(OD30&lt;&gt;0,OD31&lt;&gt;0),(OD30-OD31)/OD31,IF(AND(OD30=0,OD31=0),"",IF(AND(OD30="",OD31=""),"",IF(AND(OD30=0,OD31=""),"", IF(AND(OD30="",OD31=0),"",1)))))</f>
        <v/>
      </c>
      <c r="OE32" s="40" t="str">
        <f t="shared" ref="OE32" si="1156">IF(AND(OE30&lt;&gt;0,OE31&lt;&gt;0),(OE30-OE31)/OE31,IF(AND(OE30=0,OE31=0),"",IF(AND(OE30="",OE31=""),"",IF(AND(OE30=0,OE31=""),"", IF(AND(OE30="",OE31=0),"",1)))))</f>
        <v/>
      </c>
      <c r="OF32" s="40" t="str">
        <f t="shared" ref="OF32" si="1157">IF(AND(OF30&lt;&gt;0,OF31&lt;&gt;0),(OF30-OF31)/OF31,IF(AND(OF30=0,OF31=0),"",IF(AND(OF30="",OF31=""),"",IF(AND(OF30=0,OF31=""),"", IF(AND(OF30="",OF31=0),"",1)))))</f>
        <v/>
      </c>
      <c r="OG32" s="40" t="str">
        <f t="shared" ref="OG32" si="1158">IF(AND(OG30&lt;&gt;0,OG31&lt;&gt;0),(OG30-OG31)/OG31,IF(AND(OG30=0,OG31=0),"",IF(AND(OG30="",OG31=""),"",IF(AND(OG30=0,OG31=""),"", IF(AND(OG30="",OG31=0),"",1)))))</f>
        <v/>
      </c>
      <c r="OH32" s="40" t="str">
        <f t="shared" ref="OH32" si="1159">IF(AND(OH30&lt;&gt;0,OH31&lt;&gt;0),(OH30-OH31)/OH31,IF(AND(OH30=0,OH31=0),"",IF(AND(OH30="",OH31=""),"",IF(AND(OH30=0,OH31=""),"", IF(AND(OH30="",OH31=0),"",1)))))</f>
        <v/>
      </c>
      <c r="OI32" s="40" t="str">
        <f t="shared" ref="OI32" si="1160">IF(AND(OI30&lt;&gt;0,OI31&lt;&gt;0),(OI30-OI31)/OI31,IF(AND(OI30=0,OI31=0),"",IF(AND(OI30="",OI31=""),"",IF(AND(OI30=0,OI31=""),"", IF(AND(OI30="",OI31=0),"",1)))))</f>
        <v/>
      </c>
      <c r="OJ32" s="40" t="str">
        <f t="shared" ref="OJ32" si="1161">IF(AND(OJ30&lt;&gt;0,OJ31&lt;&gt;0),(OJ30-OJ31)/OJ31,IF(AND(OJ30=0,OJ31=0),"",IF(AND(OJ30="",OJ31=""),"",IF(AND(OJ30=0,OJ31=""),"", IF(AND(OJ30="",OJ31=0),"",1)))))</f>
        <v/>
      </c>
      <c r="OK32" s="40" t="str">
        <f t="shared" ref="OK32" si="1162">IF(AND(OK30&lt;&gt;0,OK31&lt;&gt;0),(OK30-OK31)/OK31,IF(AND(OK30=0,OK31=0),"",IF(AND(OK30="",OK31=""),"",IF(AND(OK30=0,OK31=""),"", IF(AND(OK30="",OK31=0),"",1)))))</f>
        <v/>
      </c>
      <c r="OL32" s="40" t="str">
        <f t="shared" ref="OL32" si="1163">IF(AND(OL30&lt;&gt;0,OL31&lt;&gt;0),(OL30-OL31)/OL31,IF(AND(OL30=0,OL31=0),"",IF(AND(OL30="",OL31=""),"",IF(AND(OL30=0,OL31=""),"", IF(AND(OL30="",OL31=0),"",1)))))</f>
        <v/>
      </c>
      <c r="OM32" s="40" t="str">
        <f t="shared" ref="OM32" si="1164">IF(AND(OM30&lt;&gt;0,OM31&lt;&gt;0),(OM30-OM31)/OM31,IF(AND(OM30=0,OM31=0),"",IF(AND(OM30="",OM31=""),"",IF(AND(OM30=0,OM31=""),"", IF(AND(OM30="",OM31=0),"",1)))))</f>
        <v/>
      </c>
      <c r="ON32" s="40" t="str">
        <f t="shared" ref="ON32:PB32" si="1165">IF(AND(ON30&lt;&gt;0,ON31&lt;&gt;0),(ON30-ON31)/ON31,IF(AND(ON30=0,ON31=0),"",IF(AND(ON30="",ON31=""),"",IF(AND(ON30=0,ON31=""),"", IF(AND(ON30="",ON31=0),"",1)))))</f>
        <v/>
      </c>
      <c r="OO32" s="40" t="str">
        <f t="shared" si="1165"/>
        <v/>
      </c>
      <c r="OP32" s="40" t="str">
        <f t="shared" si="1165"/>
        <v/>
      </c>
      <c r="OQ32" s="40" t="str">
        <f t="shared" si="1165"/>
        <v/>
      </c>
      <c r="OR32" s="40" t="str">
        <f t="shared" si="1165"/>
        <v/>
      </c>
      <c r="OS32" s="40" t="str">
        <f t="shared" si="1165"/>
        <v/>
      </c>
      <c r="OT32" s="40" t="str">
        <f t="shared" si="1165"/>
        <v/>
      </c>
      <c r="OU32" s="40" t="str">
        <f t="shared" si="1165"/>
        <v/>
      </c>
      <c r="OV32" s="40" t="str">
        <f t="shared" si="1165"/>
        <v/>
      </c>
      <c r="OW32" s="40" t="str">
        <f t="shared" si="1165"/>
        <v/>
      </c>
      <c r="OX32" s="40" t="str">
        <f t="shared" si="1165"/>
        <v/>
      </c>
      <c r="OY32" s="40" t="str">
        <f t="shared" si="1165"/>
        <v/>
      </c>
      <c r="OZ32" s="40" t="str">
        <f t="shared" si="1165"/>
        <v/>
      </c>
      <c r="PA32" s="40" t="str">
        <f t="shared" si="1165"/>
        <v/>
      </c>
      <c r="PB32" s="40" t="str">
        <f t="shared" si="1165"/>
        <v/>
      </c>
      <c r="PC32" s="41">
        <f t="shared" ref="PC32" si="1166">IF(AND(PC30&lt;&gt;0,PC31&lt;&gt;0),(PC30-PC31)/PC31,IF(AND(PC30=0,PC31=0),"",IF(AND(PC30="",PC31=""),"",IF(AND(PC30=0,PC31=""),"", IF(AND(PC30="",PC31=0),"",1)))))</f>
        <v>0</v>
      </c>
    </row>
    <row r="33" spans="1:421" s="15" customFormat="1" ht="14.25" customHeight="1" outlineLevel="1" x14ac:dyDescent="0.3">
      <c r="A33" s="45" t="s">
        <v>54</v>
      </c>
      <c r="B33" s="122">
        <f>[1]Consolidado!$J$12</f>
        <v>0.77288261090087895</v>
      </c>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4"/>
      <c r="AN33" s="162">
        <f>[1]Consolidado!$J$13</f>
        <v>0.13660194018554689</v>
      </c>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4"/>
      <c r="BZ33" s="168">
        <f>[1]Consolidado!$J$14</f>
        <v>1.50393340625</v>
      </c>
      <c r="CA33" s="169"/>
      <c r="CB33" s="169"/>
      <c r="CC33" s="169"/>
      <c r="CD33" s="169"/>
      <c r="CE33" s="169"/>
      <c r="CF33" s="169"/>
      <c r="CG33" s="169"/>
      <c r="CH33" s="169"/>
      <c r="CI33" s="169"/>
      <c r="CJ33" s="169"/>
      <c r="CK33" s="169"/>
      <c r="CL33" s="169"/>
      <c r="CM33" s="169"/>
      <c r="CN33" s="169"/>
      <c r="CO33" s="169"/>
      <c r="CP33" s="169"/>
      <c r="CQ33" s="169"/>
      <c r="CR33" s="169"/>
      <c r="CS33" s="169"/>
      <c r="CT33" s="169"/>
      <c r="CU33" s="169"/>
      <c r="CV33" s="169"/>
      <c r="CW33" s="169"/>
      <c r="CX33" s="169"/>
      <c r="CY33" s="169"/>
      <c r="CZ33" s="169"/>
      <c r="DA33" s="169"/>
      <c r="DB33" s="169"/>
      <c r="DC33" s="169"/>
      <c r="DD33" s="169"/>
      <c r="DE33" s="169"/>
      <c r="DF33" s="169"/>
      <c r="DG33" s="169"/>
      <c r="DH33" s="169"/>
      <c r="DI33" s="169"/>
      <c r="DJ33" s="169"/>
      <c r="DK33" s="170"/>
      <c r="DL33" s="131">
        <f>[1]Consolidado!$J$17</f>
        <v>0</v>
      </c>
      <c r="DM33" s="132"/>
      <c r="DN33" s="132"/>
      <c r="DO33" s="132"/>
      <c r="DP33" s="132"/>
      <c r="DQ33" s="132"/>
      <c r="DR33" s="132"/>
      <c r="DS33" s="132"/>
      <c r="DT33" s="132"/>
      <c r="DU33" s="132"/>
      <c r="DV33" s="132"/>
      <c r="DW33" s="132"/>
      <c r="DX33" s="132"/>
      <c r="DY33" s="132"/>
      <c r="DZ33" s="132"/>
      <c r="EA33" s="132"/>
      <c r="EB33" s="132"/>
      <c r="EC33" s="132"/>
      <c r="ED33" s="132"/>
      <c r="EE33" s="132"/>
      <c r="EF33" s="132"/>
      <c r="EG33" s="132"/>
      <c r="EH33" s="132"/>
      <c r="EI33" s="132"/>
      <c r="EJ33" s="132"/>
      <c r="EK33" s="132"/>
      <c r="EL33" s="132"/>
      <c r="EM33" s="132"/>
      <c r="EN33" s="132"/>
      <c r="EO33" s="132"/>
      <c r="EP33" s="132"/>
      <c r="EQ33" s="132"/>
      <c r="ER33" s="132"/>
      <c r="ES33" s="132"/>
      <c r="ET33" s="132"/>
      <c r="EU33" s="132"/>
      <c r="EV33" s="132"/>
      <c r="EW33" s="133"/>
      <c r="EX33" s="131">
        <f>[1]Consolidado!$J$18</f>
        <v>0.21961999975585939</v>
      </c>
      <c r="EY33" s="132"/>
      <c r="EZ33" s="132"/>
      <c r="FA33" s="132"/>
      <c r="FB33" s="132"/>
      <c r="FC33" s="132"/>
      <c r="FD33" s="132"/>
      <c r="FE33" s="132"/>
      <c r="FF33" s="132"/>
      <c r="FG33" s="132"/>
      <c r="FH33" s="132"/>
      <c r="FI33" s="132"/>
      <c r="FJ33" s="132"/>
      <c r="FK33" s="132"/>
      <c r="FL33" s="132"/>
      <c r="FM33" s="132"/>
      <c r="FN33" s="132"/>
      <c r="FO33" s="132"/>
      <c r="FP33" s="132"/>
      <c r="FQ33" s="132"/>
      <c r="FR33" s="132"/>
      <c r="FS33" s="132"/>
      <c r="FT33" s="132"/>
      <c r="FU33" s="132"/>
      <c r="FV33" s="132"/>
      <c r="FW33" s="132"/>
      <c r="FX33" s="132"/>
      <c r="FY33" s="132"/>
      <c r="FZ33" s="132"/>
      <c r="GA33" s="132"/>
      <c r="GB33" s="132"/>
      <c r="GC33" s="132"/>
      <c r="GD33" s="132"/>
      <c r="GE33" s="132"/>
      <c r="GF33" s="132"/>
      <c r="GG33" s="132"/>
      <c r="GH33" s="132"/>
      <c r="GI33" s="133"/>
      <c r="GJ33" s="131">
        <f>[1]Consolidado!$J$19</f>
        <v>0</v>
      </c>
      <c r="GK33" s="132"/>
      <c r="GL33" s="132"/>
      <c r="GM33" s="132"/>
      <c r="GN33" s="132"/>
      <c r="GO33" s="132"/>
      <c r="GP33" s="132"/>
      <c r="GQ33" s="132"/>
      <c r="GR33" s="132"/>
      <c r="GS33" s="132"/>
      <c r="GT33" s="132"/>
      <c r="GU33" s="132"/>
      <c r="GV33" s="132"/>
      <c r="GW33" s="132"/>
      <c r="GX33" s="132"/>
      <c r="GY33" s="132"/>
      <c r="GZ33" s="132"/>
      <c r="HA33" s="132"/>
      <c r="HB33" s="132"/>
      <c r="HC33" s="132"/>
      <c r="HD33" s="132"/>
      <c r="HE33" s="132"/>
      <c r="HF33" s="132"/>
      <c r="HG33" s="132"/>
      <c r="HH33" s="132"/>
      <c r="HI33" s="132"/>
      <c r="HJ33" s="132"/>
      <c r="HK33" s="132"/>
      <c r="HL33" s="132"/>
      <c r="HM33" s="132"/>
      <c r="HN33" s="132"/>
      <c r="HO33" s="132"/>
      <c r="HP33" s="132"/>
      <c r="HQ33" s="132"/>
      <c r="HR33" s="132"/>
      <c r="HS33" s="132"/>
      <c r="HT33" s="132"/>
      <c r="HU33" s="133"/>
      <c r="HV33" s="117">
        <f>[1]Consolidado!$J$20</f>
        <v>0.21961999975585939</v>
      </c>
      <c r="HW33" s="118"/>
      <c r="HX33" s="118"/>
      <c r="HY33" s="118"/>
      <c r="HZ33" s="118"/>
      <c r="IA33" s="118"/>
      <c r="IB33" s="118"/>
      <c r="IC33" s="118"/>
      <c r="ID33" s="118"/>
      <c r="IE33" s="118"/>
      <c r="IF33" s="118"/>
      <c r="IG33" s="118"/>
      <c r="IH33" s="118"/>
      <c r="II33" s="118"/>
      <c r="IJ33" s="118"/>
      <c r="IK33" s="118"/>
      <c r="IL33" s="118"/>
      <c r="IM33" s="118"/>
      <c r="IN33" s="118"/>
      <c r="IO33" s="118"/>
      <c r="IP33" s="118"/>
      <c r="IQ33" s="118"/>
      <c r="IR33" s="118"/>
      <c r="IS33" s="118"/>
      <c r="IT33" s="118"/>
      <c r="IU33" s="118"/>
      <c r="IV33" s="118"/>
      <c r="IW33" s="118"/>
      <c r="IX33" s="118"/>
      <c r="IY33" s="118"/>
      <c r="IZ33" s="118"/>
      <c r="JA33" s="118"/>
      <c r="JB33" s="118"/>
      <c r="JC33" s="118"/>
      <c r="JD33" s="118"/>
      <c r="JE33" s="118"/>
      <c r="JF33" s="118"/>
      <c r="JG33" s="119"/>
      <c r="JH33" s="131">
        <f>[1]Consolidado!$J$22</f>
        <v>0</v>
      </c>
      <c r="JI33" s="132"/>
      <c r="JJ33" s="132"/>
      <c r="JK33" s="132"/>
      <c r="JL33" s="132"/>
      <c r="JM33" s="132"/>
      <c r="JN33" s="132"/>
      <c r="JO33" s="132"/>
      <c r="JP33" s="132"/>
      <c r="JQ33" s="132"/>
      <c r="JR33" s="132"/>
      <c r="JS33" s="132"/>
      <c r="JT33" s="132"/>
      <c r="JU33" s="132"/>
      <c r="JV33" s="132"/>
      <c r="JW33" s="132"/>
      <c r="JX33" s="132"/>
      <c r="JY33" s="132"/>
      <c r="JZ33" s="132"/>
      <c r="KA33" s="132"/>
      <c r="KB33" s="132"/>
      <c r="KC33" s="132"/>
      <c r="KD33" s="132"/>
      <c r="KE33" s="132"/>
      <c r="KF33" s="132"/>
      <c r="KG33" s="132"/>
      <c r="KH33" s="132"/>
      <c r="KI33" s="132"/>
      <c r="KJ33" s="132"/>
      <c r="KK33" s="132"/>
      <c r="KL33" s="132"/>
      <c r="KM33" s="132"/>
      <c r="KN33" s="132"/>
      <c r="KO33" s="132"/>
      <c r="KP33" s="132"/>
      <c r="KQ33" s="132"/>
      <c r="KR33" s="132"/>
      <c r="KS33" s="133"/>
      <c r="KT33" s="131">
        <f>[1]Consolidado!$J$23</f>
        <v>6.9929998779296879E-3</v>
      </c>
      <c r="KU33" s="132"/>
      <c r="KV33" s="132"/>
      <c r="KW33" s="132"/>
      <c r="KX33" s="132"/>
      <c r="KY33" s="132"/>
      <c r="KZ33" s="132"/>
      <c r="LA33" s="132"/>
      <c r="LB33" s="132"/>
      <c r="LC33" s="132"/>
      <c r="LD33" s="132"/>
      <c r="LE33" s="132"/>
      <c r="LF33" s="132"/>
      <c r="LG33" s="132"/>
      <c r="LH33" s="132"/>
      <c r="LI33" s="132"/>
      <c r="LJ33" s="132"/>
      <c r="LK33" s="132"/>
      <c r="LL33" s="132"/>
      <c r="LM33" s="132"/>
      <c r="LN33" s="132"/>
      <c r="LO33" s="132"/>
      <c r="LP33" s="132"/>
      <c r="LQ33" s="132"/>
      <c r="LR33" s="132"/>
      <c r="LS33" s="132"/>
      <c r="LT33" s="132"/>
      <c r="LU33" s="132"/>
      <c r="LV33" s="132"/>
      <c r="LW33" s="132"/>
      <c r="LX33" s="132"/>
      <c r="LY33" s="132"/>
      <c r="LZ33" s="132"/>
      <c r="MA33" s="132"/>
      <c r="MB33" s="132"/>
      <c r="MC33" s="132"/>
      <c r="MD33" s="132"/>
      <c r="ME33" s="133"/>
      <c r="MF33" s="131">
        <f>[1]Consolidado!$J$24</f>
        <v>6.6654000244140629E-2</v>
      </c>
      <c r="MG33" s="132"/>
      <c r="MH33" s="132"/>
      <c r="MI33" s="132"/>
      <c r="MJ33" s="132"/>
      <c r="MK33" s="132"/>
      <c r="ML33" s="132"/>
      <c r="MM33" s="132"/>
      <c r="MN33" s="132"/>
      <c r="MO33" s="132"/>
      <c r="MP33" s="132"/>
      <c r="MQ33" s="132"/>
      <c r="MR33" s="132"/>
      <c r="MS33" s="132"/>
      <c r="MT33" s="132"/>
      <c r="MU33" s="132"/>
      <c r="MV33" s="132"/>
      <c r="MW33" s="132"/>
      <c r="MX33" s="132"/>
      <c r="MY33" s="132"/>
      <c r="MZ33" s="132"/>
      <c r="NA33" s="132"/>
      <c r="NB33" s="132"/>
      <c r="NC33" s="132"/>
      <c r="ND33" s="132"/>
      <c r="NE33" s="132"/>
      <c r="NF33" s="132"/>
      <c r="NG33" s="132"/>
      <c r="NH33" s="132"/>
      <c r="NI33" s="132"/>
      <c r="NJ33" s="132"/>
      <c r="NK33" s="132"/>
      <c r="NL33" s="132"/>
      <c r="NM33" s="132"/>
      <c r="NN33" s="132"/>
      <c r="NO33" s="132"/>
      <c r="NP33" s="132"/>
      <c r="NQ33" s="133"/>
      <c r="NR33" s="114">
        <f>[1]Consolidado!$J$25</f>
        <v>7.3647000122070316E-2</v>
      </c>
      <c r="NS33" s="115"/>
      <c r="NT33" s="115"/>
      <c r="NU33" s="115"/>
      <c r="NV33" s="115"/>
      <c r="NW33" s="115"/>
      <c r="NX33" s="115"/>
      <c r="NY33" s="115"/>
      <c r="NZ33" s="115"/>
      <c r="OA33" s="115"/>
      <c r="OB33" s="115"/>
      <c r="OC33" s="115"/>
      <c r="OD33" s="115"/>
      <c r="OE33" s="115"/>
      <c r="OF33" s="115"/>
      <c r="OG33" s="115"/>
      <c r="OH33" s="115"/>
      <c r="OI33" s="115"/>
      <c r="OJ33" s="115"/>
      <c r="OK33" s="115"/>
      <c r="OL33" s="115"/>
      <c r="OM33" s="115"/>
      <c r="ON33" s="115"/>
      <c r="OO33" s="115"/>
      <c r="OP33" s="115"/>
      <c r="OQ33" s="115"/>
      <c r="OR33" s="115"/>
      <c r="OS33" s="115"/>
      <c r="OT33" s="115"/>
      <c r="OU33" s="115"/>
      <c r="OV33" s="115"/>
      <c r="OW33" s="115"/>
      <c r="OX33" s="115"/>
      <c r="OY33" s="115"/>
      <c r="OZ33" s="115"/>
      <c r="PA33" s="115"/>
      <c r="PB33" s="115"/>
      <c r="PC33" s="116"/>
      <c r="PE33" s="80">
        <f>NR33+HV33+AN33+B33</f>
        <v>1.2027515509643556</v>
      </c>
    </row>
    <row r="34" spans="1:421" s="15" customFormat="1" outlineLevel="1" x14ac:dyDescent="0.3">
      <c r="A34" s="46" t="s">
        <v>55</v>
      </c>
      <c r="B34" s="93">
        <f>[2]Consolidado!$J$12</f>
        <v>0.74531400000000003</v>
      </c>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c r="AF34" s="94"/>
      <c r="AG34" s="94"/>
      <c r="AH34" s="94"/>
      <c r="AI34" s="94"/>
      <c r="AJ34" s="94"/>
      <c r="AK34" s="94"/>
      <c r="AL34" s="94"/>
      <c r="AM34" s="95"/>
      <c r="AN34" s="93">
        <f>[2]Consolidado!$J$13</f>
        <v>0.14724400000000001</v>
      </c>
      <c r="AO34" s="94"/>
      <c r="AP34" s="94"/>
      <c r="AQ34" s="94"/>
      <c r="AR34" s="94"/>
      <c r="AS34" s="94"/>
      <c r="AT34" s="94"/>
      <c r="AU34" s="94"/>
      <c r="AV34" s="94"/>
      <c r="AW34" s="94"/>
      <c r="AX34" s="94"/>
      <c r="AY34" s="94"/>
      <c r="AZ34" s="94"/>
      <c r="BA34" s="94"/>
      <c r="BB34" s="94"/>
      <c r="BC34" s="94"/>
      <c r="BD34" s="94"/>
      <c r="BE34" s="94"/>
      <c r="BF34" s="94"/>
      <c r="BG34" s="94"/>
      <c r="BH34" s="94"/>
      <c r="BI34" s="94"/>
      <c r="BJ34" s="94"/>
      <c r="BK34" s="94"/>
      <c r="BL34" s="94"/>
      <c r="BM34" s="94"/>
      <c r="BN34" s="94"/>
      <c r="BO34" s="94"/>
      <c r="BP34" s="94"/>
      <c r="BQ34" s="94"/>
      <c r="BR34" s="94"/>
      <c r="BS34" s="94"/>
      <c r="BT34" s="94"/>
      <c r="BU34" s="94"/>
      <c r="BV34" s="94"/>
      <c r="BW34" s="94"/>
      <c r="BX34" s="94"/>
      <c r="BY34" s="95"/>
      <c r="BZ34" s="144">
        <f>[2]Consolidado!$J$14</f>
        <v>1.307572</v>
      </c>
      <c r="CA34" s="145"/>
      <c r="CB34" s="145"/>
      <c r="CC34" s="145"/>
      <c r="CD34" s="145"/>
      <c r="CE34" s="145"/>
      <c r="CF34" s="145"/>
      <c r="CG34" s="145"/>
      <c r="CH34" s="145"/>
      <c r="CI34" s="145"/>
      <c r="CJ34" s="145"/>
      <c r="CK34" s="145"/>
      <c r="CL34" s="145"/>
      <c r="CM34" s="145"/>
      <c r="CN34" s="145"/>
      <c r="CO34" s="145"/>
      <c r="CP34" s="145"/>
      <c r="CQ34" s="145"/>
      <c r="CR34" s="145"/>
      <c r="CS34" s="145"/>
      <c r="CT34" s="145"/>
      <c r="CU34" s="145"/>
      <c r="CV34" s="145"/>
      <c r="CW34" s="145"/>
      <c r="CX34" s="145"/>
      <c r="CY34" s="145"/>
      <c r="CZ34" s="145"/>
      <c r="DA34" s="145"/>
      <c r="DB34" s="145"/>
      <c r="DC34" s="145"/>
      <c r="DD34" s="145"/>
      <c r="DE34" s="145"/>
      <c r="DF34" s="145"/>
      <c r="DG34" s="145"/>
      <c r="DH34" s="145"/>
      <c r="DI34" s="145"/>
      <c r="DJ34" s="145"/>
      <c r="DK34" s="146"/>
      <c r="DL34" s="96">
        <f>[2]Consolidado!$J$17</f>
        <v>0</v>
      </c>
      <c r="DM34" s="97"/>
      <c r="DN34" s="97"/>
      <c r="DO34" s="97"/>
      <c r="DP34" s="97"/>
      <c r="DQ34" s="97"/>
      <c r="DR34" s="97"/>
      <c r="DS34" s="97"/>
      <c r="DT34" s="97"/>
      <c r="DU34" s="97"/>
      <c r="DV34" s="97"/>
      <c r="DW34" s="97"/>
      <c r="DX34" s="97"/>
      <c r="DY34" s="97"/>
      <c r="DZ34" s="97"/>
      <c r="EA34" s="97"/>
      <c r="EB34" s="97"/>
      <c r="EC34" s="97"/>
      <c r="ED34" s="97"/>
      <c r="EE34" s="97"/>
      <c r="EF34" s="97"/>
      <c r="EG34" s="97"/>
      <c r="EH34" s="97"/>
      <c r="EI34" s="97"/>
      <c r="EJ34" s="97"/>
      <c r="EK34" s="97"/>
      <c r="EL34" s="97"/>
      <c r="EM34" s="97"/>
      <c r="EN34" s="97"/>
      <c r="EO34" s="97"/>
      <c r="EP34" s="97"/>
      <c r="EQ34" s="97"/>
      <c r="ER34" s="97"/>
      <c r="ES34" s="97"/>
      <c r="ET34" s="97"/>
      <c r="EU34" s="97"/>
      <c r="EV34" s="97"/>
      <c r="EW34" s="98"/>
      <c r="EX34" s="96">
        <f>[2]Consolidado!$J$18</f>
        <v>0.36935600000000002</v>
      </c>
      <c r="EY34" s="97"/>
      <c r="EZ34" s="97"/>
      <c r="FA34" s="97"/>
      <c r="FB34" s="97"/>
      <c r="FC34" s="97"/>
      <c r="FD34" s="97"/>
      <c r="FE34" s="97"/>
      <c r="FF34" s="97"/>
      <c r="FG34" s="97"/>
      <c r="FH34" s="97"/>
      <c r="FI34" s="97"/>
      <c r="FJ34" s="97"/>
      <c r="FK34" s="97"/>
      <c r="FL34" s="97"/>
      <c r="FM34" s="97"/>
      <c r="FN34" s="97"/>
      <c r="FO34" s="97"/>
      <c r="FP34" s="97"/>
      <c r="FQ34" s="97"/>
      <c r="FR34" s="97"/>
      <c r="FS34" s="97"/>
      <c r="FT34" s="97"/>
      <c r="FU34" s="97"/>
      <c r="FV34" s="97"/>
      <c r="FW34" s="97"/>
      <c r="FX34" s="97"/>
      <c r="FY34" s="97"/>
      <c r="FZ34" s="97"/>
      <c r="GA34" s="97"/>
      <c r="GB34" s="97"/>
      <c r="GC34" s="97"/>
      <c r="GD34" s="97"/>
      <c r="GE34" s="97"/>
      <c r="GF34" s="97"/>
      <c r="GG34" s="97"/>
      <c r="GH34" s="97"/>
      <c r="GI34" s="98"/>
      <c r="GJ34" s="96"/>
      <c r="GK34" s="97"/>
      <c r="GL34" s="97"/>
      <c r="GM34" s="97"/>
      <c r="GN34" s="97"/>
      <c r="GO34" s="97"/>
      <c r="GP34" s="97"/>
      <c r="GQ34" s="97"/>
      <c r="GR34" s="97"/>
      <c r="GS34" s="97"/>
      <c r="GT34" s="97"/>
      <c r="GU34" s="97"/>
      <c r="GV34" s="97"/>
      <c r="GW34" s="97"/>
      <c r="GX34" s="97"/>
      <c r="GY34" s="97"/>
      <c r="GZ34" s="97"/>
      <c r="HA34" s="97"/>
      <c r="HB34" s="97"/>
      <c r="HC34" s="97"/>
      <c r="HD34" s="97"/>
      <c r="HE34" s="97"/>
      <c r="HF34" s="97"/>
      <c r="HG34" s="97"/>
      <c r="HH34" s="97"/>
      <c r="HI34" s="97"/>
      <c r="HJ34" s="97"/>
      <c r="HK34" s="97"/>
      <c r="HL34" s="97"/>
      <c r="HM34" s="97"/>
      <c r="HN34" s="97"/>
      <c r="HO34" s="97"/>
      <c r="HP34" s="97"/>
      <c r="HQ34" s="97"/>
      <c r="HR34" s="97"/>
      <c r="HS34" s="97"/>
      <c r="HT34" s="97"/>
      <c r="HU34" s="98"/>
      <c r="HV34" s="125">
        <f>[2]Consolidado!$J$19</f>
        <v>0.36935600000000002</v>
      </c>
      <c r="HW34" s="126"/>
      <c r="HX34" s="126"/>
      <c r="HY34" s="126"/>
      <c r="HZ34" s="126"/>
      <c r="IA34" s="126"/>
      <c r="IB34" s="126"/>
      <c r="IC34" s="126"/>
      <c r="ID34" s="126"/>
      <c r="IE34" s="126"/>
      <c r="IF34" s="126"/>
      <c r="IG34" s="126"/>
      <c r="IH34" s="126"/>
      <c r="II34" s="126"/>
      <c r="IJ34" s="126"/>
      <c r="IK34" s="126"/>
      <c r="IL34" s="126"/>
      <c r="IM34" s="126"/>
      <c r="IN34" s="126"/>
      <c r="IO34" s="126"/>
      <c r="IP34" s="126"/>
      <c r="IQ34" s="126"/>
      <c r="IR34" s="126"/>
      <c r="IS34" s="126"/>
      <c r="IT34" s="126"/>
      <c r="IU34" s="126"/>
      <c r="IV34" s="126"/>
      <c r="IW34" s="126"/>
      <c r="IX34" s="126"/>
      <c r="IY34" s="126"/>
      <c r="IZ34" s="126"/>
      <c r="JA34" s="126"/>
      <c r="JB34" s="126"/>
      <c r="JC34" s="126"/>
      <c r="JD34" s="126"/>
      <c r="JE34" s="126"/>
      <c r="JF34" s="126"/>
      <c r="JG34" s="127"/>
      <c r="JH34" s="96">
        <f>[2]Consolidado!$J$21</f>
        <v>0</v>
      </c>
      <c r="JI34" s="97"/>
      <c r="JJ34" s="97"/>
      <c r="JK34" s="97"/>
      <c r="JL34" s="97"/>
      <c r="JM34" s="97"/>
      <c r="JN34" s="97"/>
      <c r="JO34" s="97"/>
      <c r="JP34" s="97"/>
      <c r="JQ34" s="97"/>
      <c r="JR34" s="97"/>
      <c r="JS34" s="97"/>
      <c r="JT34" s="97"/>
      <c r="JU34" s="97"/>
      <c r="JV34" s="97"/>
      <c r="JW34" s="97"/>
      <c r="JX34" s="97"/>
      <c r="JY34" s="97"/>
      <c r="JZ34" s="97"/>
      <c r="KA34" s="97"/>
      <c r="KB34" s="97"/>
      <c r="KC34" s="97"/>
      <c r="KD34" s="97"/>
      <c r="KE34" s="97"/>
      <c r="KF34" s="97"/>
      <c r="KG34" s="97"/>
      <c r="KH34" s="97"/>
      <c r="KI34" s="97"/>
      <c r="KJ34" s="97"/>
      <c r="KK34" s="97"/>
      <c r="KL34" s="97"/>
      <c r="KM34" s="97"/>
      <c r="KN34" s="97"/>
      <c r="KO34" s="97"/>
      <c r="KP34" s="97"/>
      <c r="KQ34" s="97"/>
      <c r="KR34" s="97"/>
      <c r="KS34" s="98"/>
      <c r="KT34" s="96">
        <f>[2]Consolidado!$J$22</f>
        <v>7.3199E-2</v>
      </c>
      <c r="KU34" s="97"/>
      <c r="KV34" s="97"/>
      <c r="KW34" s="97"/>
      <c r="KX34" s="97"/>
      <c r="KY34" s="97"/>
      <c r="KZ34" s="97"/>
      <c r="LA34" s="97"/>
      <c r="LB34" s="97"/>
      <c r="LC34" s="97"/>
      <c r="LD34" s="97"/>
      <c r="LE34" s="97"/>
      <c r="LF34" s="97"/>
      <c r="LG34" s="97"/>
      <c r="LH34" s="97"/>
      <c r="LI34" s="97"/>
      <c r="LJ34" s="97"/>
      <c r="LK34" s="97"/>
      <c r="LL34" s="97"/>
      <c r="LM34" s="97"/>
      <c r="LN34" s="97"/>
      <c r="LO34" s="97"/>
      <c r="LP34" s="97"/>
      <c r="LQ34" s="97"/>
      <c r="LR34" s="97"/>
      <c r="LS34" s="97"/>
      <c r="LT34" s="97"/>
      <c r="LU34" s="97"/>
      <c r="LV34" s="97"/>
      <c r="LW34" s="97"/>
      <c r="LX34" s="97"/>
      <c r="LY34" s="97"/>
      <c r="LZ34" s="97"/>
      <c r="MA34" s="97"/>
      <c r="MB34" s="97"/>
      <c r="MC34" s="97"/>
      <c r="MD34" s="97"/>
      <c r="ME34" s="98"/>
      <c r="MF34" s="96"/>
      <c r="MG34" s="97"/>
      <c r="MH34" s="97"/>
      <c r="MI34" s="97"/>
      <c r="MJ34" s="97"/>
      <c r="MK34" s="97"/>
      <c r="ML34" s="97"/>
      <c r="MM34" s="97"/>
      <c r="MN34" s="97"/>
      <c r="MO34" s="97"/>
      <c r="MP34" s="97"/>
      <c r="MQ34" s="97"/>
      <c r="MR34" s="97"/>
      <c r="MS34" s="97"/>
      <c r="MT34" s="97"/>
      <c r="MU34" s="97"/>
      <c r="MV34" s="97"/>
      <c r="MW34" s="97"/>
      <c r="MX34" s="97"/>
      <c r="MY34" s="97"/>
      <c r="MZ34" s="97"/>
      <c r="NA34" s="97"/>
      <c r="NB34" s="97"/>
      <c r="NC34" s="97"/>
      <c r="ND34" s="97"/>
      <c r="NE34" s="97"/>
      <c r="NF34" s="97"/>
      <c r="NG34" s="97"/>
      <c r="NH34" s="97"/>
      <c r="NI34" s="97"/>
      <c r="NJ34" s="97"/>
      <c r="NK34" s="97"/>
      <c r="NL34" s="97"/>
      <c r="NM34" s="97"/>
      <c r="NN34" s="97"/>
      <c r="NO34" s="97"/>
      <c r="NP34" s="97"/>
      <c r="NQ34" s="98"/>
      <c r="NR34" s="138">
        <f>[2]Consolidado!$J$23</f>
        <v>7.3199E-2</v>
      </c>
      <c r="NS34" s="139"/>
      <c r="NT34" s="139"/>
      <c r="NU34" s="139"/>
      <c r="NV34" s="139"/>
      <c r="NW34" s="139"/>
      <c r="NX34" s="139"/>
      <c r="NY34" s="139"/>
      <c r="NZ34" s="139"/>
      <c r="OA34" s="139"/>
      <c r="OB34" s="139"/>
      <c r="OC34" s="139"/>
      <c r="OD34" s="139"/>
      <c r="OE34" s="139"/>
      <c r="OF34" s="139"/>
      <c r="OG34" s="139"/>
      <c r="OH34" s="139"/>
      <c r="OI34" s="139"/>
      <c r="OJ34" s="139"/>
      <c r="OK34" s="139"/>
      <c r="OL34" s="139"/>
      <c r="OM34" s="139"/>
      <c r="ON34" s="139"/>
      <c r="OO34" s="139"/>
      <c r="OP34" s="139"/>
      <c r="OQ34" s="139"/>
      <c r="OR34" s="139"/>
      <c r="OS34" s="139"/>
      <c r="OT34" s="139"/>
      <c r="OU34" s="139"/>
      <c r="OV34" s="139"/>
      <c r="OW34" s="139"/>
      <c r="OX34" s="139"/>
      <c r="OY34" s="139"/>
      <c r="OZ34" s="139"/>
      <c r="PA34" s="139"/>
      <c r="PB34" s="139"/>
      <c r="PC34" s="140"/>
      <c r="PE34" s="80">
        <f>NR34+HV34+AN34+B34</f>
        <v>1.3351130000000002</v>
      </c>
    </row>
    <row r="35" spans="1:421" s="15" customFormat="1" ht="15.75" customHeight="1" outlineLevel="1" thickBot="1" x14ac:dyDescent="0.35">
      <c r="A35" s="47" t="s">
        <v>53</v>
      </c>
      <c r="B35" s="120">
        <f t="shared" ref="B35" si="1167">IF(B34&gt;0,(B33-B34)/B34,0)</f>
        <v>3.6989256743974915E-2</v>
      </c>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0"/>
      <c r="AK35" s="120"/>
      <c r="AL35" s="120"/>
      <c r="AM35" s="121"/>
      <c r="AN35" s="134">
        <f>IF(AN34&gt;0,(AN33-AN34)/AN34,0)</f>
        <v>-7.2274998060723183E-2</v>
      </c>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1"/>
      <c r="BZ35" s="165"/>
      <c r="CA35" s="166"/>
      <c r="CB35" s="166"/>
      <c r="CC35" s="166"/>
      <c r="CD35" s="166"/>
      <c r="CE35" s="166"/>
      <c r="CF35" s="166"/>
      <c r="CG35" s="166"/>
      <c r="CH35" s="166"/>
      <c r="CI35" s="166"/>
      <c r="CJ35" s="166"/>
      <c r="CK35" s="166"/>
      <c r="CL35" s="166"/>
      <c r="CM35" s="166"/>
      <c r="CN35" s="166"/>
      <c r="CO35" s="166"/>
      <c r="CP35" s="166"/>
      <c r="CQ35" s="166"/>
      <c r="CR35" s="166"/>
      <c r="CS35" s="166"/>
      <c r="CT35" s="166"/>
      <c r="CU35" s="166"/>
      <c r="CV35" s="166"/>
      <c r="CW35" s="166"/>
      <c r="CX35" s="166"/>
      <c r="CY35" s="166"/>
      <c r="CZ35" s="166"/>
      <c r="DA35" s="166"/>
      <c r="DB35" s="166"/>
      <c r="DC35" s="166"/>
      <c r="DD35" s="166"/>
      <c r="DE35" s="166"/>
      <c r="DF35" s="166"/>
      <c r="DG35" s="166"/>
      <c r="DH35" s="166"/>
      <c r="DI35" s="166"/>
      <c r="DJ35" s="166"/>
      <c r="DK35" s="167"/>
      <c r="DL35" s="108" t="s">
        <v>110</v>
      </c>
      <c r="DM35" s="109"/>
      <c r="DN35" s="109"/>
      <c r="DO35" s="109"/>
      <c r="DP35" s="109"/>
      <c r="DQ35" s="109"/>
      <c r="DR35" s="109"/>
      <c r="DS35" s="109"/>
      <c r="DT35" s="109"/>
      <c r="DU35" s="109"/>
      <c r="DV35" s="109"/>
      <c r="DW35" s="109"/>
      <c r="DX35" s="109"/>
      <c r="DY35" s="109"/>
      <c r="DZ35" s="109"/>
      <c r="EA35" s="109"/>
      <c r="EB35" s="109"/>
      <c r="EC35" s="109"/>
      <c r="ED35" s="109"/>
      <c r="EE35" s="109"/>
      <c r="EF35" s="109"/>
      <c r="EG35" s="109"/>
      <c r="EH35" s="109"/>
      <c r="EI35" s="109"/>
      <c r="EJ35" s="109"/>
      <c r="EK35" s="109"/>
      <c r="EL35" s="109"/>
      <c r="EM35" s="109"/>
      <c r="EN35" s="109"/>
      <c r="EO35" s="109"/>
      <c r="EP35" s="109"/>
      <c r="EQ35" s="109"/>
      <c r="ER35" s="109"/>
      <c r="ES35" s="109"/>
      <c r="ET35" s="109"/>
      <c r="EU35" s="109"/>
      <c r="EV35" s="109"/>
      <c r="EW35" s="110"/>
      <c r="EX35" s="108" t="s">
        <v>110</v>
      </c>
      <c r="EY35" s="109"/>
      <c r="EZ35" s="109"/>
      <c r="FA35" s="109"/>
      <c r="FB35" s="109"/>
      <c r="FC35" s="109"/>
      <c r="FD35" s="109"/>
      <c r="FE35" s="109"/>
      <c r="FF35" s="109"/>
      <c r="FG35" s="109"/>
      <c r="FH35" s="109"/>
      <c r="FI35" s="109"/>
      <c r="FJ35" s="109"/>
      <c r="FK35" s="109"/>
      <c r="FL35" s="109"/>
      <c r="FM35" s="109"/>
      <c r="FN35" s="109"/>
      <c r="FO35" s="109"/>
      <c r="FP35" s="109"/>
      <c r="FQ35" s="109"/>
      <c r="FR35" s="109"/>
      <c r="FS35" s="109"/>
      <c r="FT35" s="109"/>
      <c r="FU35" s="109"/>
      <c r="FV35" s="109"/>
      <c r="FW35" s="109"/>
      <c r="FX35" s="109"/>
      <c r="FY35" s="109"/>
      <c r="FZ35" s="109"/>
      <c r="GA35" s="109"/>
      <c r="GB35" s="109"/>
      <c r="GC35" s="109"/>
      <c r="GD35" s="109"/>
      <c r="GE35" s="109"/>
      <c r="GF35" s="109"/>
      <c r="GG35" s="109"/>
      <c r="GH35" s="109"/>
      <c r="GI35" s="110"/>
      <c r="GJ35" s="108" t="s">
        <v>110</v>
      </c>
      <c r="GK35" s="109"/>
      <c r="GL35" s="109"/>
      <c r="GM35" s="109"/>
      <c r="GN35" s="109"/>
      <c r="GO35" s="109"/>
      <c r="GP35" s="109"/>
      <c r="GQ35" s="109"/>
      <c r="GR35" s="109"/>
      <c r="GS35" s="109"/>
      <c r="GT35" s="109"/>
      <c r="GU35" s="109"/>
      <c r="GV35" s="109"/>
      <c r="GW35" s="109"/>
      <c r="GX35" s="109"/>
      <c r="GY35" s="109"/>
      <c r="GZ35" s="109"/>
      <c r="HA35" s="109"/>
      <c r="HB35" s="109"/>
      <c r="HC35" s="109"/>
      <c r="HD35" s="109"/>
      <c r="HE35" s="109"/>
      <c r="HF35" s="109"/>
      <c r="HG35" s="109"/>
      <c r="HH35" s="109"/>
      <c r="HI35" s="109"/>
      <c r="HJ35" s="109"/>
      <c r="HK35" s="109"/>
      <c r="HL35" s="109"/>
      <c r="HM35" s="109"/>
      <c r="HN35" s="109"/>
      <c r="HO35" s="109"/>
      <c r="HP35" s="109"/>
      <c r="HQ35" s="109"/>
      <c r="HR35" s="109"/>
      <c r="HS35" s="109"/>
      <c r="HT35" s="109"/>
      <c r="HU35" s="110"/>
      <c r="HV35" s="128">
        <f>IF(AND(HV33&lt;&gt;0,HV34&lt;&gt;0),(HV33-HV34)/HV34,IF(AND(HV33=0,HV34=0),"",IF(AND(HV33="",HV34=""),"",IF(AND(HV33=0,HV34=""),"",IF(AND(HV33="",HV34=0),"",1)))))</f>
        <v>-0.4053975033413309</v>
      </c>
      <c r="HW35" s="129"/>
      <c r="HX35" s="129"/>
      <c r="HY35" s="129"/>
      <c r="HZ35" s="129"/>
      <c r="IA35" s="129"/>
      <c r="IB35" s="129"/>
      <c r="IC35" s="129"/>
      <c r="ID35" s="129"/>
      <c r="IE35" s="129"/>
      <c r="IF35" s="129"/>
      <c r="IG35" s="129"/>
      <c r="IH35" s="129"/>
      <c r="II35" s="129"/>
      <c r="IJ35" s="129"/>
      <c r="IK35" s="129"/>
      <c r="IL35" s="129"/>
      <c r="IM35" s="129"/>
      <c r="IN35" s="129"/>
      <c r="IO35" s="129"/>
      <c r="IP35" s="129"/>
      <c r="IQ35" s="129"/>
      <c r="IR35" s="129"/>
      <c r="IS35" s="129"/>
      <c r="IT35" s="129"/>
      <c r="IU35" s="129"/>
      <c r="IV35" s="129"/>
      <c r="IW35" s="129"/>
      <c r="IX35" s="129"/>
      <c r="IY35" s="129"/>
      <c r="IZ35" s="129"/>
      <c r="JA35" s="129"/>
      <c r="JB35" s="129"/>
      <c r="JC35" s="129"/>
      <c r="JD35" s="129"/>
      <c r="JE35" s="129"/>
      <c r="JF35" s="129"/>
      <c r="JG35" s="130"/>
      <c r="JH35" s="108" t="s">
        <v>110</v>
      </c>
      <c r="JI35" s="109"/>
      <c r="JJ35" s="109"/>
      <c r="JK35" s="109"/>
      <c r="JL35" s="109"/>
      <c r="JM35" s="109"/>
      <c r="JN35" s="109"/>
      <c r="JO35" s="109"/>
      <c r="JP35" s="109"/>
      <c r="JQ35" s="109"/>
      <c r="JR35" s="109"/>
      <c r="JS35" s="109"/>
      <c r="JT35" s="109"/>
      <c r="JU35" s="109"/>
      <c r="JV35" s="109"/>
      <c r="JW35" s="109"/>
      <c r="JX35" s="109"/>
      <c r="JY35" s="109"/>
      <c r="JZ35" s="109"/>
      <c r="KA35" s="109"/>
      <c r="KB35" s="109"/>
      <c r="KC35" s="109"/>
      <c r="KD35" s="109"/>
      <c r="KE35" s="109"/>
      <c r="KF35" s="109"/>
      <c r="KG35" s="109"/>
      <c r="KH35" s="109"/>
      <c r="KI35" s="109"/>
      <c r="KJ35" s="109"/>
      <c r="KK35" s="109"/>
      <c r="KL35" s="109"/>
      <c r="KM35" s="109"/>
      <c r="KN35" s="109"/>
      <c r="KO35" s="109"/>
      <c r="KP35" s="109"/>
      <c r="KQ35" s="109"/>
      <c r="KR35" s="109"/>
      <c r="KS35" s="110"/>
      <c r="KT35" s="108" t="s">
        <v>110</v>
      </c>
      <c r="KU35" s="109"/>
      <c r="KV35" s="109"/>
      <c r="KW35" s="109"/>
      <c r="KX35" s="109"/>
      <c r="KY35" s="109"/>
      <c r="KZ35" s="109"/>
      <c r="LA35" s="109"/>
      <c r="LB35" s="109"/>
      <c r="LC35" s="109"/>
      <c r="LD35" s="109"/>
      <c r="LE35" s="109"/>
      <c r="LF35" s="109"/>
      <c r="LG35" s="109"/>
      <c r="LH35" s="109"/>
      <c r="LI35" s="109"/>
      <c r="LJ35" s="109"/>
      <c r="LK35" s="109"/>
      <c r="LL35" s="109"/>
      <c r="LM35" s="109"/>
      <c r="LN35" s="109"/>
      <c r="LO35" s="109"/>
      <c r="LP35" s="109"/>
      <c r="LQ35" s="109"/>
      <c r="LR35" s="109"/>
      <c r="LS35" s="109"/>
      <c r="LT35" s="109"/>
      <c r="LU35" s="109"/>
      <c r="LV35" s="109"/>
      <c r="LW35" s="109"/>
      <c r="LX35" s="109"/>
      <c r="LY35" s="109"/>
      <c r="LZ35" s="109"/>
      <c r="MA35" s="109"/>
      <c r="MB35" s="109"/>
      <c r="MC35" s="109"/>
      <c r="MD35" s="109"/>
      <c r="ME35" s="110"/>
      <c r="MF35" s="108" t="s">
        <v>110</v>
      </c>
      <c r="MG35" s="109"/>
      <c r="MH35" s="109"/>
      <c r="MI35" s="109"/>
      <c r="MJ35" s="109"/>
      <c r="MK35" s="109"/>
      <c r="ML35" s="109"/>
      <c r="MM35" s="109"/>
      <c r="MN35" s="109"/>
      <c r="MO35" s="109"/>
      <c r="MP35" s="109"/>
      <c r="MQ35" s="109"/>
      <c r="MR35" s="109"/>
      <c r="MS35" s="109"/>
      <c r="MT35" s="109"/>
      <c r="MU35" s="109"/>
      <c r="MV35" s="109"/>
      <c r="MW35" s="109"/>
      <c r="MX35" s="109"/>
      <c r="MY35" s="109"/>
      <c r="MZ35" s="109"/>
      <c r="NA35" s="109"/>
      <c r="NB35" s="109"/>
      <c r="NC35" s="109"/>
      <c r="ND35" s="109"/>
      <c r="NE35" s="109"/>
      <c r="NF35" s="109"/>
      <c r="NG35" s="109"/>
      <c r="NH35" s="109"/>
      <c r="NI35" s="109"/>
      <c r="NJ35" s="109"/>
      <c r="NK35" s="109"/>
      <c r="NL35" s="109"/>
      <c r="NM35" s="109"/>
      <c r="NN35" s="109"/>
      <c r="NO35" s="109"/>
      <c r="NP35" s="109"/>
      <c r="NQ35" s="110"/>
      <c r="NR35" s="141">
        <f>IF(AND(NR33&lt;&gt;0,NR34&lt;&gt;0),(NR33-NR34)/NR34,IF(AND(NR33=0,NR34=0),"",IF(AND(NR33="",NR34=""),"",IF(AND(NR33=0,NR34=""),"",IF(AND(NR33="",NR34=0),"",1)))))</f>
        <v>6.1203038575706791E-3</v>
      </c>
      <c r="NS35" s="142"/>
      <c r="NT35" s="142"/>
      <c r="NU35" s="142"/>
      <c r="NV35" s="142"/>
      <c r="NW35" s="142"/>
      <c r="NX35" s="142"/>
      <c r="NY35" s="142"/>
      <c r="NZ35" s="142"/>
      <c r="OA35" s="142"/>
      <c r="OB35" s="142"/>
      <c r="OC35" s="142"/>
      <c r="OD35" s="142"/>
      <c r="OE35" s="142"/>
      <c r="OF35" s="142"/>
      <c r="OG35" s="142"/>
      <c r="OH35" s="142"/>
      <c r="OI35" s="142"/>
      <c r="OJ35" s="142"/>
      <c r="OK35" s="142"/>
      <c r="OL35" s="142"/>
      <c r="OM35" s="142"/>
      <c r="ON35" s="142"/>
      <c r="OO35" s="142"/>
      <c r="OP35" s="142"/>
      <c r="OQ35" s="142"/>
      <c r="OR35" s="142"/>
      <c r="OS35" s="142"/>
      <c r="OT35" s="142"/>
      <c r="OU35" s="142"/>
      <c r="OV35" s="142"/>
      <c r="OW35" s="142"/>
      <c r="OX35" s="142"/>
      <c r="OY35" s="142"/>
      <c r="OZ35" s="142"/>
      <c r="PA35" s="142"/>
      <c r="PB35" s="142"/>
      <c r="PC35" s="143"/>
      <c r="PD35" s="13"/>
      <c r="PE35" s="81">
        <f>IF(AND(PE33&lt;&gt;0,PE34&lt;&gt;0),(PE33-PE34)/PE34,IF(AND(PE33=0,PE34=0),"",IF(AND(PE33="",PE34=""),"",IF(AND(PE33=0,PE34=""),"",IF(AND(PE33="",PE34=0),"",1)))))</f>
        <v>-9.9138761315068158E-2</v>
      </c>
    </row>
    <row r="36" spans="1:421" s="15" customFormat="1" ht="14.25" customHeight="1" outlineLevel="1" x14ac:dyDescent="0.3">
      <c r="A36" s="45" t="s">
        <v>56</v>
      </c>
      <c r="B36" s="122">
        <f>[1]Consolidado!$L$26</f>
        <v>0</v>
      </c>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c r="AB36" s="123"/>
      <c r="AC36" s="123"/>
      <c r="AD36" s="123"/>
      <c r="AE36" s="123"/>
      <c r="AF36" s="123"/>
      <c r="AG36" s="123"/>
      <c r="AH36" s="123"/>
      <c r="AI36" s="123"/>
      <c r="AJ36" s="123"/>
      <c r="AK36" s="123"/>
      <c r="AL36" s="123"/>
      <c r="AM36" s="124"/>
      <c r="AN36" s="122">
        <f>[1]Consolidado!$L$27</f>
        <v>0</v>
      </c>
      <c r="AO36" s="123"/>
      <c r="AP36" s="123"/>
      <c r="AQ36" s="123"/>
      <c r="AR36" s="123"/>
      <c r="AS36" s="123"/>
      <c r="AT36" s="123"/>
      <c r="AU36" s="123"/>
      <c r="AV36" s="123"/>
      <c r="AW36" s="123"/>
      <c r="AX36" s="123"/>
      <c r="AY36" s="123"/>
      <c r="AZ36" s="123"/>
      <c r="BA36" s="123"/>
      <c r="BB36" s="123"/>
      <c r="BC36" s="123"/>
      <c r="BD36" s="123"/>
      <c r="BE36" s="123"/>
      <c r="BF36" s="123"/>
      <c r="BG36" s="123"/>
      <c r="BH36" s="123"/>
      <c r="BI36" s="123"/>
      <c r="BJ36" s="123"/>
      <c r="BK36" s="123"/>
      <c r="BL36" s="123"/>
      <c r="BM36" s="123"/>
      <c r="BN36" s="123"/>
      <c r="BO36" s="123"/>
      <c r="BP36" s="123"/>
      <c r="BQ36" s="123"/>
      <c r="BR36" s="123"/>
      <c r="BS36" s="123"/>
      <c r="BT36" s="123"/>
      <c r="BU36" s="123"/>
      <c r="BV36" s="123"/>
      <c r="BW36" s="123"/>
      <c r="BX36" s="123"/>
      <c r="BY36" s="124"/>
      <c r="BZ36" s="122">
        <f>[1]Consolidado!$L$14</f>
        <v>0</v>
      </c>
      <c r="CA36" s="123"/>
      <c r="CB36" s="123"/>
      <c r="CC36" s="123"/>
      <c r="CD36" s="123"/>
      <c r="CE36" s="123"/>
      <c r="CF36" s="123"/>
      <c r="CG36" s="123"/>
      <c r="CH36" s="123"/>
      <c r="CI36" s="123"/>
      <c r="CJ36" s="123"/>
      <c r="CK36" s="123"/>
      <c r="CL36" s="123"/>
      <c r="CM36" s="123"/>
      <c r="CN36" s="123"/>
      <c r="CO36" s="123"/>
      <c r="CP36" s="123"/>
      <c r="CQ36" s="123"/>
      <c r="CR36" s="123"/>
      <c r="CS36" s="123"/>
      <c r="CT36" s="123"/>
      <c r="CU36" s="123"/>
      <c r="CV36" s="123"/>
      <c r="CW36" s="123"/>
      <c r="CX36" s="123"/>
      <c r="CY36" s="123"/>
      <c r="CZ36" s="123"/>
      <c r="DA36" s="123"/>
      <c r="DB36" s="123"/>
      <c r="DC36" s="123"/>
      <c r="DD36" s="123"/>
      <c r="DE36" s="123"/>
      <c r="DF36" s="123"/>
      <c r="DG36" s="123"/>
      <c r="DH36" s="123"/>
      <c r="DI36" s="123"/>
      <c r="DJ36" s="123"/>
      <c r="DK36" s="124"/>
      <c r="DL36" s="135">
        <f>[1]Consolidado!$L$17</f>
        <v>0</v>
      </c>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7"/>
      <c r="EX36" s="135">
        <f>[1]Consolidado!$L$18</f>
        <v>0</v>
      </c>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7"/>
      <c r="GJ36" s="135">
        <f>[1]Consolidado!$L$19</f>
        <v>0</v>
      </c>
      <c r="GK36" s="136"/>
      <c r="GL36" s="136"/>
      <c r="GM36" s="136"/>
      <c r="GN36" s="136"/>
      <c r="GO36" s="136"/>
      <c r="GP36" s="136"/>
      <c r="GQ36" s="136"/>
      <c r="GR36" s="136"/>
      <c r="GS36" s="136"/>
      <c r="GT36" s="136"/>
      <c r="GU36" s="136"/>
      <c r="GV36" s="136"/>
      <c r="GW36" s="136"/>
      <c r="GX36" s="136"/>
      <c r="GY36" s="136"/>
      <c r="GZ36" s="136"/>
      <c r="HA36" s="136"/>
      <c r="HB36" s="136"/>
      <c r="HC36" s="136"/>
      <c r="HD36" s="136"/>
      <c r="HE36" s="136"/>
      <c r="HF36" s="136"/>
      <c r="HG36" s="136"/>
      <c r="HH36" s="136"/>
      <c r="HI36" s="136"/>
      <c r="HJ36" s="136"/>
      <c r="HK36" s="136"/>
      <c r="HL36" s="136"/>
      <c r="HM36" s="136"/>
      <c r="HN36" s="136"/>
      <c r="HO36" s="136"/>
      <c r="HP36" s="136"/>
      <c r="HQ36" s="136"/>
      <c r="HR36" s="136"/>
      <c r="HS36" s="136"/>
      <c r="HT36" s="136"/>
      <c r="HU36" s="137"/>
      <c r="HV36" s="122">
        <f>[1]Consolidado!$L$20</f>
        <v>0</v>
      </c>
      <c r="HW36" s="123"/>
      <c r="HX36" s="123"/>
      <c r="HY36" s="123"/>
      <c r="HZ36" s="123"/>
      <c r="IA36" s="123"/>
      <c r="IB36" s="123"/>
      <c r="IC36" s="123"/>
      <c r="ID36" s="123"/>
      <c r="IE36" s="123"/>
      <c r="IF36" s="123"/>
      <c r="IG36" s="123"/>
      <c r="IH36" s="123"/>
      <c r="II36" s="123"/>
      <c r="IJ36" s="123"/>
      <c r="IK36" s="123"/>
      <c r="IL36" s="123"/>
      <c r="IM36" s="123"/>
      <c r="IN36" s="123"/>
      <c r="IO36" s="123"/>
      <c r="IP36" s="123"/>
      <c r="IQ36" s="123"/>
      <c r="IR36" s="123"/>
      <c r="IS36" s="123"/>
      <c r="IT36" s="123"/>
      <c r="IU36" s="123"/>
      <c r="IV36" s="123"/>
      <c r="IW36" s="123"/>
      <c r="IX36" s="123"/>
      <c r="IY36" s="123"/>
      <c r="IZ36" s="123"/>
      <c r="JA36" s="123"/>
      <c r="JB36" s="123"/>
      <c r="JC36" s="123"/>
      <c r="JD36" s="123"/>
      <c r="JE36" s="123"/>
      <c r="JF36" s="123"/>
      <c r="JG36" s="124"/>
      <c r="JH36" s="135">
        <f>[1]Consolidado!$L$22</f>
        <v>0</v>
      </c>
      <c r="JI36" s="136"/>
      <c r="JJ36" s="136"/>
      <c r="JK36" s="136"/>
      <c r="JL36" s="136"/>
      <c r="JM36" s="136"/>
      <c r="JN36" s="136"/>
      <c r="JO36" s="136"/>
      <c r="JP36" s="136"/>
      <c r="JQ36" s="136"/>
      <c r="JR36" s="136"/>
      <c r="JS36" s="136"/>
      <c r="JT36" s="136"/>
      <c r="JU36" s="136"/>
      <c r="JV36" s="136"/>
      <c r="JW36" s="136"/>
      <c r="JX36" s="136"/>
      <c r="JY36" s="136"/>
      <c r="JZ36" s="136"/>
      <c r="KA36" s="136"/>
      <c r="KB36" s="136"/>
      <c r="KC36" s="136"/>
      <c r="KD36" s="136"/>
      <c r="KE36" s="136"/>
      <c r="KF36" s="136"/>
      <c r="KG36" s="136"/>
      <c r="KH36" s="136"/>
      <c r="KI36" s="136"/>
      <c r="KJ36" s="136"/>
      <c r="KK36" s="136"/>
      <c r="KL36" s="136"/>
      <c r="KM36" s="136"/>
      <c r="KN36" s="136"/>
      <c r="KO36" s="136"/>
      <c r="KP36" s="136"/>
      <c r="KQ36" s="136"/>
      <c r="KR36" s="136"/>
      <c r="KS36" s="137"/>
      <c r="KT36" s="135">
        <f>[1]Consolidado!$L$23</f>
        <v>0</v>
      </c>
      <c r="KU36" s="136"/>
      <c r="KV36" s="136"/>
      <c r="KW36" s="136"/>
      <c r="KX36" s="136"/>
      <c r="KY36" s="136"/>
      <c r="KZ36" s="136"/>
      <c r="LA36" s="136"/>
      <c r="LB36" s="136"/>
      <c r="LC36" s="136"/>
      <c r="LD36" s="136"/>
      <c r="LE36" s="136"/>
      <c r="LF36" s="136"/>
      <c r="LG36" s="136"/>
      <c r="LH36" s="136"/>
      <c r="LI36" s="136"/>
      <c r="LJ36" s="136"/>
      <c r="LK36" s="136"/>
      <c r="LL36" s="136"/>
      <c r="LM36" s="136"/>
      <c r="LN36" s="136"/>
      <c r="LO36" s="136"/>
      <c r="LP36" s="136"/>
      <c r="LQ36" s="136"/>
      <c r="LR36" s="136"/>
      <c r="LS36" s="136"/>
      <c r="LT36" s="136"/>
      <c r="LU36" s="136"/>
      <c r="LV36" s="136"/>
      <c r="LW36" s="136"/>
      <c r="LX36" s="136"/>
      <c r="LY36" s="136"/>
      <c r="LZ36" s="136"/>
      <c r="MA36" s="136"/>
      <c r="MB36" s="136"/>
      <c r="MC36" s="136"/>
      <c r="MD36" s="136"/>
      <c r="ME36" s="137"/>
      <c r="MF36" s="135">
        <f>[1]Consolidado!$L$24</f>
        <v>0</v>
      </c>
      <c r="MG36" s="136"/>
      <c r="MH36" s="136"/>
      <c r="MI36" s="136"/>
      <c r="MJ36" s="136"/>
      <c r="MK36" s="136"/>
      <c r="ML36" s="136"/>
      <c r="MM36" s="136"/>
      <c r="MN36" s="136"/>
      <c r="MO36" s="136"/>
      <c r="MP36" s="136"/>
      <c r="MQ36" s="136"/>
      <c r="MR36" s="136"/>
      <c r="MS36" s="136"/>
      <c r="MT36" s="136"/>
      <c r="MU36" s="136"/>
      <c r="MV36" s="136"/>
      <c r="MW36" s="136"/>
      <c r="MX36" s="136"/>
      <c r="MY36" s="136"/>
      <c r="MZ36" s="136"/>
      <c r="NA36" s="136"/>
      <c r="NB36" s="136"/>
      <c r="NC36" s="136"/>
      <c r="ND36" s="136"/>
      <c r="NE36" s="136"/>
      <c r="NF36" s="136"/>
      <c r="NG36" s="136"/>
      <c r="NH36" s="136"/>
      <c r="NI36" s="136"/>
      <c r="NJ36" s="136"/>
      <c r="NK36" s="136"/>
      <c r="NL36" s="136"/>
      <c r="NM36" s="136"/>
      <c r="NN36" s="136"/>
      <c r="NO36" s="136"/>
      <c r="NP36" s="136"/>
      <c r="NQ36" s="137"/>
      <c r="NR36" s="122">
        <f>[1]Consolidado!$L$25</f>
        <v>0</v>
      </c>
      <c r="NS36" s="123"/>
      <c r="NT36" s="123"/>
      <c r="NU36" s="123"/>
      <c r="NV36" s="123"/>
      <c r="NW36" s="123"/>
      <c r="NX36" s="123"/>
      <c r="NY36" s="123"/>
      <c r="NZ36" s="123"/>
      <c r="OA36" s="123"/>
      <c r="OB36" s="123"/>
      <c r="OC36" s="123"/>
      <c r="OD36" s="123"/>
      <c r="OE36" s="123"/>
      <c r="OF36" s="123"/>
      <c r="OG36" s="123"/>
      <c r="OH36" s="123"/>
      <c r="OI36" s="123"/>
      <c r="OJ36" s="123"/>
      <c r="OK36" s="123"/>
      <c r="OL36" s="123"/>
      <c r="OM36" s="123"/>
      <c r="ON36" s="123"/>
      <c r="OO36" s="123"/>
      <c r="OP36" s="123"/>
      <c r="OQ36" s="123"/>
      <c r="OR36" s="123"/>
      <c r="OS36" s="123"/>
      <c r="OT36" s="123"/>
      <c r="OU36" s="123"/>
      <c r="OV36" s="123"/>
      <c r="OW36" s="123"/>
      <c r="OX36" s="123"/>
      <c r="OY36" s="123"/>
      <c r="OZ36" s="123"/>
      <c r="PA36" s="123"/>
      <c r="PB36" s="123"/>
      <c r="PC36" s="124"/>
    </row>
    <row r="37" spans="1:421" s="15" customFormat="1" outlineLevel="1" x14ac:dyDescent="0.3">
      <c r="A37" s="46" t="s">
        <v>57</v>
      </c>
      <c r="B37" s="93">
        <f>[2]Consolidado!$L$12</f>
        <v>0</v>
      </c>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c r="AF37" s="94"/>
      <c r="AG37" s="94"/>
      <c r="AH37" s="94"/>
      <c r="AI37" s="94"/>
      <c r="AJ37" s="94"/>
      <c r="AK37" s="94"/>
      <c r="AL37" s="94"/>
      <c r="AM37" s="95"/>
      <c r="AN37" s="93">
        <f>[2]Consolidado!$L$13</f>
        <v>0</v>
      </c>
      <c r="AO37" s="94"/>
      <c r="AP37" s="94"/>
      <c r="AQ37" s="94"/>
      <c r="AR37" s="94"/>
      <c r="AS37" s="94"/>
      <c r="AT37" s="94"/>
      <c r="AU37" s="94"/>
      <c r="AV37" s="94"/>
      <c r="AW37" s="94"/>
      <c r="AX37" s="94"/>
      <c r="AY37" s="94"/>
      <c r="AZ37" s="94"/>
      <c r="BA37" s="94"/>
      <c r="BB37" s="94"/>
      <c r="BC37" s="94"/>
      <c r="BD37" s="94"/>
      <c r="BE37" s="94"/>
      <c r="BF37" s="94"/>
      <c r="BG37" s="94"/>
      <c r="BH37" s="94"/>
      <c r="BI37" s="94"/>
      <c r="BJ37" s="94"/>
      <c r="BK37" s="94"/>
      <c r="BL37" s="94"/>
      <c r="BM37" s="94"/>
      <c r="BN37" s="94"/>
      <c r="BO37" s="94"/>
      <c r="BP37" s="94"/>
      <c r="BQ37" s="94"/>
      <c r="BR37" s="94"/>
      <c r="BS37" s="94"/>
      <c r="BT37" s="94"/>
      <c r="BU37" s="94"/>
      <c r="BV37" s="94"/>
      <c r="BW37" s="94"/>
      <c r="BX37" s="94"/>
      <c r="BY37" s="95"/>
      <c r="BZ37" s="93">
        <f>[2]Consolidado!$L$14</f>
        <v>0</v>
      </c>
      <c r="CA37" s="94"/>
      <c r="CB37" s="94"/>
      <c r="CC37" s="94"/>
      <c r="CD37" s="94"/>
      <c r="CE37" s="94"/>
      <c r="CF37" s="94"/>
      <c r="CG37" s="94"/>
      <c r="CH37" s="94"/>
      <c r="CI37" s="94"/>
      <c r="CJ37" s="94"/>
      <c r="CK37" s="94"/>
      <c r="CL37" s="94"/>
      <c r="CM37" s="94"/>
      <c r="CN37" s="94"/>
      <c r="CO37" s="94"/>
      <c r="CP37" s="94"/>
      <c r="CQ37" s="94"/>
      <c r="CR37" s="94"/>
      <c r="CS37" s="94"/>
      <c r="CT37" s="94"/>
      <c r="CU37" s="94"/>
      <c r="CV37" s="94"/>
      <c r="CW37" s="94"/>
      <c r="CX37" s="94"/>
      <c r="CY37" s="94"/>
      <c r="CZ37" s="94"/>
      <c r="DA37" s="94"/>
      <c r="DB37" s="94"/>
      <c r="DC37" s="94"/>
      <c r="DD37" s="94"/>
      <c r="DE37" s="94"/>
      <c r="DF37" s="94"/>
      <c r="DG37" s="94"/>
      <c r="DH37" s="94"/>
      <c r="DI37" s="94"/>
      <c r="DJ37" s="94"/>
      <c r="DK37" s="95"/>
      <c r="DL37" s="96">
        <f>[2]Consolidado!$L$17</f>
        <v>0</v>
      </c>
      <c r="DM37" s="97"/>
      <c r="DN37" s="97"/>
      <c r="DO37" s="97"/>
      <c r="DP37" s="97"/>
      <c r="DQ37" s="97"/>
      <c r="DR37" s="97"/>
      <c r="DS37" s="97"/>
      <c r="DT37" s="97"/>
      <c r="DU37" s="97"/>
      <c r="DV37" s="97"/>
      <c r="DW37" s="97"/>
      <c r="DX37" s="97"/>
      <c r="DY37" s="97"/>
      <c r="DZ37" s="97"/>
      <c r="EA37" s="97"/>
      <c r="EB37" s="97"/>
      <c r="EC37" s="97"/>
      <c r="ED37" s="97"/>
      <c r="EE37" s="97"/>
      <c r="EF37" s="97"/>
      <c r="EG37" s="97"/>
      <c r="EH37" s="97"/>
      <c r="EI37" s="97"/>
      <c r="EJ37" s="97"/>
      <c r="EK37" s="97"/>
      <c r="EL37" s="97"/>
      <c r="EM37" s="97"/>
      <c r="EN37" s="97"/>
      <c r="EO37" s="97"/>
      <c r="EP37" s="97"/>
      <c r="EQ37" s="97"/>
      <c r="ER37" s="97"/>
      <c r="ES37" s="97"/>
      <c r="ET37" s="97"/>
      <c r="EU37" s="97"/>
      <c r="EV37" s="97"/>
      <c r="EW37" s="98"/>
      <c r="EX37" s="96">
        <f>[2]Consolidado!$L$18</f>
        <v>0</v>
      </c>
      <c r="EY37" s="97"/>
      <c r="EZ37" s="97"/>
      <c r="FA37" s="97"/>
      <c r="FB37" s="97"/>
      <c r="FC37" s="97"/>
      <c r="FD37" s="97"/>
      <c r="FE37" s="97"/>
      <c r="FF37" s="97"/>
      <c r="FG37" s="97"/>
      <c r="FH37" s="97"/>
      <c r="FI37" s="97"/>
      <c r="FJ37" s="97"/>
      <c r="FK37" s="97"/>
      <c r="FL37" s="97"/>
      <c r="FM37" s="97"/>
      <c r="FN37" s="97"/>
      <c r="FO37" s="97"/>
      <c r="FP37" s="97"/>
      <c r="FQ37" s="97"/>
      <c r="FR37" s="97"/>
      <c r="FS37" s="97"/>
      <c r="FT37" s="97"/>
      <c r="FU37" s="97"/>
      <c r="FV37" s="97"/>
      <c r="FW37" s="97"/>
      <c r="FX37" s="97"/>
      <c r="FY37" s="97"/>
      <c r="FZ37" s="97"/>
      <c r="GA37" s="97"/>
      <c r="GB37" s="97"/>
      <c r="GC37" s="97"/>
      <c r="GD37" s="97"/>
      <c r="GE37" s="97"/>
      <c r="GF37" s="97"/>
      <c r="GG37" s="97"/>
      <c r="GH37" s="97"/>
      <c r="GI37" s="98"/>
      <c r="GJ37" s="96"/>
      <c r="GK37" s="97"/>
      <c r="GL37" s="97"/>
      <c r="GM37" s="97"/>
      <c r="GN37" s="97"/>
      <c r="GO37" s="97"/>
      <c r="GP37" s="97"/>
      <c r="GQ37" s="97"/>
      <c r="GR37" s="97"/>
      <c r="GS37" s="97"/>
      <c r="GT37" s="97"/>
      <c r="GU37" s="97"/>
      <c r="GV37" s="97"/>
      <c r="GW37" s="97"/>
      <c r="GX37" s="97"/>
      <c r="GY37" s="97"/>
      <c r="GZ37" s="97"/>
      <c r="HA37" s="97"/>
      <c r="HB37" s="97"/>
      <c r="HC37" s="97"/>
      <c r="HD37" s="97"/>
      <c r="HE37" s="97"/>
      <c r="HF37" s="97"/>
      <c r="HG37" s="97"/>
      <c r="HH37" s="97"/>
      <c r="HI37" s="97"/>
      <c r="HJ37" s="97"/>
      <c r="HK37" s="97"/>
      <c r="HL37" s="97"/>
      <c r="HM37" s="97"/>
      <c r="HN37" s="97"/>
      <c r="HO37" s="97"/>
      <c r="HP37" s="97"/>
      <c r="HQ37" s="97"/>
      <c r="HR37" s="97"/>
      <c r="HS37" s="97"/>
      <c r="HT37" s="97"/>
      <c r="HU37" s="98"/>
      <c r="HV37" s="99">
        <f>[2]Consolidado!$L$19</f>
        <v>0</v>
      </c>
      <c r="HW37" s="100"/>
      <c r="HX37" s="100"/>
      <c r="HY37" s="100"/>
      <c r="HZ37" s="100"/>
      <c r="IA37" s="100"/>
      <c r="IB37" s="100"/>
      <c r="IC37" s="100"/>
      <c r="ID37" s="100"/>
      <c r="IE37" s="100"/>
      <c r="IF37" s="100"/>
      <c r="IG37" s="100"/>
      <c r="IH37" s="100"/>
      <c r="II37" s="100"/>
      <c r="IJ37" s="100"/>
      <c r="IK37" s="100"/>
      <c r="IL37" s="100"/>
      <c r="IM37" s="100"/>
      <c r="IN37" s="100"/>
      <c r="IO37" s="100"/>
      <c r="IP37" s="100"/>
      <c r="IQ37" s="100"/>
      <c r="IR37" s="100"/>
      <c r="IS37" s="100"/>
      <c r="IT37" s="100"/>
      <c r="IU37" s="100"/>
      <c r="IV37" s="100"/>
      <c r="IW37" s="100"/>
      <c r="IX37" s="100"/>
      <c r="IY37" s="100"/>
      <c r="IZ37" s="100"/>
      <c r="JA37" s="100"/>
      <c r="JB37" s="100"/>
      <c r="JC37" s="100"/>
      <c r="JD37" s="100"/>
      <c r="JE37" s="100"/>
      <c r="JF37" s="100"/>
      <c r="JG37" s="101"/>
      <c r="JH37" s="96">
        <f>[2]Consolidado!$L$21</f>
        <v>0</v>
      </c>
      <c r="JI37" s="97"/>
      <c r="JJ37" s="97"/>
      <c r="JK37" s="97"/>
      <c r="JL37" s="97"/>
      <c r="JM37" s="97"/>
      <c r="JN37" s="97"/>
      <c r="JO37" s="97"/>
      <c r="JP37" s="97"/>
      <c r="JQ37" s="97"/>
      <c r="JR37" s="97"/>
      <c r="JS37" s="97"/>
      <c r="JT37" s="97"/>
      <c r="JU37" s="97"/>
      <c r="JV37" s="97"/>
      <c r="JW37" s="97"/>
      <c r="JX37" s="97"/>
      <c r="JY37" s="97"/>
      <c r="JZ37" s="97"/>
      <c r="KA37" s="97"/>
      <c r="KB37" s="97"/>
      <c r="KC37" s="97"/>
      <c r="KD37" s="97"/>
      <c r="KE37" s="97"/>
      <c r="KF37" s="97"/>
      <c r="KG37" s="97"/>
      <c r="KH37" s="97"/>
      <c r="KI37" s="97"/>
      <c r="KJ37" s="97"/>
      <c r="KK37" s="97"/>
      <c r="KL37" s="97"/>
      <c r="KM37" s="97"/>
      <c r="KN37" s="97"/>
      <c r="KO37" s="97"/>
      <c r="KP37" s="97"/>
      <c r="KQ37" s="97"/>
      <c r="KR37" s="97"/>
      <c r="KS37" s="98"/>
      <c r="KT37" s="96">
        <f>[2]Consolidado!$L$22</f>
        <v>0</v>
      </c>
      <c r="KU37" s="97"/>
      <c r="KV37" s="97"/>
      <c r="KW37" s="97"/>
      <c r="KX37" s="97"/>
      <c r="KY37" s="97"/>
      <c r="KZ37" s="97"/>
      <c r="LA37" s="97"/>
      <c r="LB37" s="97"/>
      <c r="LC37" s="97"/>
      <c r="LD37" s="97"/>
      <c r="LE37" s="97"/>
      <c r="LF37" s="97"/>
      <c r="LG37" s="97"/>
      <c r="LH37" s="97"/>
      <c r="LI37" s="97"/>
      <c r="LJ37" s="97"/>
      <c r="LK37" s="97"/>
      <c r="LL37" s="97"/>
      <c r="LM37" s="97"/>
      <c r="LN37" s="97"/>
      <c r="LO37" s="97"/>
      <c r="LP37" s="97"/>
      <c r="LQ37" s="97"/>
      <c r="LR37" s="97"/>
      <c r="LS37" s="97"/>
      <c r="LT37" s="97"/>
      <c r="LU37" s="97"/>
      <c r="LV37" s="97"/>
      <c r="LW37" s="97"/>
      <c r="LX37" s="97"/>
      <c r="LY37" s="97"/>
      <c r="LZ37" s="97"/>
      <c r="MA37" s="97"/>
      <c r="MB37" s="97"/>
      <c r="MC37" s="97"/>
      <c r="MD37" s="97"/>
      <c r="ME37" s="98"/>
      <c r="MF37" s="96"/>
      <c r="MG37" s="97"/>
      <c r="MH37" s="97"/>
      <c r="MI37" s="97"/>
      <c r="MJ37" s="97"/>
      <c r="MK37" s="97"/>
      <c r="ML37" s="97"/>
      <c r="MM37" s="97"/>
      <c r="MN37" s="97"/>
      <c r="MO37" s="97"/>
      <c r="MP37" s="97"/>
      <c r="MQ37" s="97"/>
      <c r="MR37" s="97"/>
      <c r="MS37" s="97"/>
      <c r="MT37" s="97"/>
      <c r="MU37" s="97"/>
      <c r="MV37" s="97"/>
      <c r="MW37" s="97"/>
      <c r="MX37" s="97"/>
      <c r="MY37" s="97"/>
      <c r="MZ37" s="97"/>
      <c r="NA37" s="97"/>
      <c r="NB37" s="97"/>
      <c r="NC37" s="97"/>
      <c r="ND37" s="97"/>
      <c r="NE37" s="97"/>
      <c r="NF37" s="97"/>
      <c r="NG37" s="97"/>
      <c r="NH37" s="97"/>
      <c r="NI37" s="97"/>
      <c r="NJ37" s="97"/>
      <c r="NK37" s="97"/>
      <c r="NL37" s="97"/>
      <c r="NM37" s="97"/>
      <c r="NN37" s="97"/>
      <c r="NO37" s="97"/>
      <c r="NP37" s="97"/>
      <c r="NQ37" s="98"/>
      <c r="NR37" s="99">
        <f>[2]Consolidado!$L$23</f>
        <v>0</v>
      </c>
      <c r="NS37" s="100"/>
      <c r="NT37" s="100"/>
      <c r="NU37" s="100"/>
      <c r="NV37" s="100"/>
      <c r="NW37" s="100"/>
      <c r="NX37" s="100"/>
      <c r="NY37" s="100"/>
      <c r="NZ37" s="100"/>
      <c r="OA37" s="100"/>
      <c r="OB37" s="100"/>
      <c r="OC37" s="100"/>
      <c r="OD37" s="100"/>
      <c r="OE37" s="100"/>
      <c r="OF37" s="100"/>
      <c r="OG37" s="100"/>
      <c r="OH37" s="100"/>
      <c r="OI37" s="100"/>
      <c r="OJ37" s="100"/>
      <c r="OK37" s="100"/>
      <c r="OL37" s="100"/>
      <c r="OM37" s="100"/>
      <c r="ON37" s="100"/>
      <c r="OO37" s="100"/>
      <c r="OP37" s="100"/>
      <c r="OQ37" s="100"/>
      <c r="OR37" s="100"/>
      <c r="OS37" s="100"/>
      <c r="OT37" s="100"/>
      <c r="OU37" s="100"/>
      <c r="OV37" s="100"/>
      <c r="OW37" s="100"/>
      <c r="OX37" s="100"/>
      <c r="OY37" s="100"/>
      <c r="OZ37" s="100"/>
      <c r="PA37" s="100"/>
      <c r="PB37" s="100"/>
      <c r="PC37" s="101"/>
    </row>
    <row r="38" spans="1:421" ht="15.75" customHeight="1" outlineLevel="1" thickBot="1" x14ac:dyDescent="0.35">
      <c r="A38" s="47" t="s">
        <v>58</v>
      </c>
      <c r="B38" s="102">
        <f t="shared" ref="B38:AN38" si="1168">IF(B37&gt;0,(B36-B37)/B37,0)</f>
        <v>0</v>
      </c>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3"/>
      <c r="AN38" s="104">
        <f t="shared" si="1168"/>
        <v>0</v>
      </c>
      <c r="AO38" s="102"/>
      <c r="AP38" s="102"/>
      <c r="AQ38" s="102"/>
      <c r="AR38" s="102"/>
      <c r="AS38" s="102"/>
      <c r="AT38" s="102"/>
      <c r="AU38" s="102"/>
      <c r="AV38" s="102"/>
      <c r="AW38" s="102"/>
      <c r="AX38" s="102"/>
      <c r="AY38" s="102"/>
      <c r="AZ38" s="102"/>
      <c r="BA38" s="102"/>
      <c r="BB38" s="102"/>
      <c r="BC38" s="102"/>
      <c r="BD38" s="102"/>
      <c r="BE38" s="102"/>
      <c r="BF38" s="102"/>
      <c r="BG38" s="102"/>
      <c r="BH38" s="102"/>
      <c r="BI38" s="102"/>
      <c r="BJ38" s="102"/>
      <c r="BK38" s="102"/>
      <c r="BL38" s="102"/>
      <c r="BM38" s="102"/>
      <c r="BN38" s="102"/>
      <c r="BO38" s="102"/>
      <c r="BP38" s="102"/>
      <c r="BQ38" s="102"/>
      <c r="BR38" s="102"/>
      <c r="BS38" s="102"/>
      <c r="BT38" s="102"/>
      <c r="BU38" s="102"/>
      <c r="BV38" s="102"/>
      <c r="BW38" s="102"/>
      <c r="BX38" s="102"/>
      <c r="BY38" s="103"/>
      <c r="BZ38" s="104">
        <f t="shared" ref="BZ38" si="1169">IF(BZ37&gt;0,(BZ36-BZ37)/BZ37,0)</f>
        <v>0</v>
      </c>
      <c r="CA38" s="102"/>
      <c r="CB38" s="102"/>
      <c r="CC38" s="102"/>
      <c r="CD38" s="102"/>
      <c r="CE38" s="102"/>
      <c r="CF38" s="102"/>
      <c r="CG38" s="102"/>
      <c r="CH38" s="102"/>
      <c r="CI38" s="102"/>
      <c r="CJ38" s="102"/>
      <c r="CK38" s="102"/>
      <c r="CL38" s="102"/>
      <c r="CM38" s="102"/>
      <c r="CN38" s="102"/>
      <c r="CO38" s="102"/>
      <c r="CP38" s="102"/>
      <c r="CQ38" s="102"/>
      <c r="CR38" s="102"/>
      <c r="CS38" s="102"/>
      <c r="CT38" s="102"/>
      <c r="CU38" s="102"/>
      <c r="CV38" s="102"/>
      <c r="CW38" s="102"/>
      <c r="CX38" s="102"/>
      <c r="CY38" s="102"/>
      <c r="CZ38" s="102"/>
      <c r="DA38" s="102"/>
      <c r="DB38" s="102"/>
      <c r="DC38" s="102"/>
      <c r="DD38" s="102"/>
      <c r="DE38" s="102"/>
      <c r="DF38" s="102"/>
      <c r="DG38" s="102"/>
      <c r="DH38" s="102"/>
      <c r="DI38" s="102"/>
      <c r="DJ38" s="102"/>
      <c r="DK38" s="103"/>
      <c r="DL38" s="108" t="s">
        <v>110</v>
      </c>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10"/>
      <c r="EX38" s="108" t="s">
        <v>110</v>
      </c>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09"/>
      <c r="GB38" s="109"/>
      <c r="GC38" s="109"/>
      <c r="GD38" s="109"/>
      <c r="GE38" s="109"/>
      <c r="GF38" s="109"/>
      <c r="GG38" s="109"/>
      <c r="GH38" s="109"/>
      <c r="GI38" s="110"/>
      <c r="GJ38" s="108" t="s">
        <v>110</v>
      </c>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10"/>
      <c r="HV38" s="105" t="str">
        <f>IF(AND(HV36&lt;&gt;0,HV37&lt;&gt;0),(HV36-HV37)/HV37,IF(AND(HV36=0,HV37=0),"",IF(AND(HV36="",HV37=""),"",IF(AND(HV36=0,HV37=""),"",IF(AND(HV36="",HV37=0),"",1)))))</f>
        <v/>
      </c>
      <c r="HW38" s="106"/>
      <c r="HX38" s="106"/>
      <c r="HY38" s="106"/>
      <c r="HZ38" s="106"/>
      <c r="IA38" s="106"/>
      <c r="IB38" s="106"/>
      <c r="IC38" s="106"/>
      <c r="ID38" s="106"/>
      <c r="IE38" s="106"/>
      <c r="IF38" s="106"/>
      <c r="IG38" s="106"/>
      <c r="IH38" s="106"/>
      <c r="II38" s="106"/>
      <c r="IJ38" s="106"/>
      <c r="IK38" s="106"/>
      <c r="IL38" s="106"/>
      <c r="IM38" s="106"/>
      <c r="IN38" s="106"/>
      <c r="IO38" s="106"/>
      <c r="IP38" s="106"/>
      <c r="IQ38" s="106"/>
      <c r="IR38" s="106"/>
      <c r="IS38" s="106"/>
      <c r="IT38" s="106"/>
      <c r="IU38" s="106"/>
      <c r="IV38" s="106"/>
      <c r="IW38" s="106"/>
      <c r="IX38" s="106"/>
      <c r="IY38" s="106"/>
      <c r="IZ38" s="106"/>
      <c r="JA38" s="106"/>
      <c r="JB38" s="106"/>
      <c r="JC38" s="106"/>
      <c r="JD38" s="106"/>
      <c r="JE38" s="106"/>
      <c r="JF38" s="106"/>
      <c r="JG38" s="107"/>
      <c r="JH38" s="108" t="s">
        <v>110</v>
      </c>
      <c r="JI38" s="109"/>
      <c r="JJ38" s="109"/>
      <c r="JK38" s="109"/>
      <c r="JL38" s="109"/>
      <c r="JM38" s="109"/>
      <c r="JN38" s="109"/>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10"/>
      <c r="KT38" s="108" t="s">
        <v>110</v>
      </c>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10"/>
      <c r="MF38" s="108" t="s">
        <v>110</v>
      </c>
      <c r="MG38" s="109"/>
      <c r="MH38" s="109"/>
      <c r="MI38" s="109"/>
      <c r="MJ38" s="109"/>
      <c r="MK38" s="109"/>
      <c r="ML38" s="109"/>
      <c r="MM38" s="109"/>
      <c r="MN38" s="109"/>
      <c r="MO38" s="109"/>
      <c r="MP38" s="109"/>
      <c r="MQ38" s="109"/>
      <c r="MR38" s="109"/>
      <c r="MS38" s="109"/>
      <c r="MT38" s="109"/>
      <c r="MU38" s="109"/>
      <c r="MV38" s="109"/>
      <c r="MW38" s="109"/>
      <c r="MX38" s="109"/>
      <c r="MY38" s="109"/>
      <c r="MZ38" s="109"/>
      <c r="NA38" s="109"/>
      <c r="NB38" s="109"/>
      <c r="NC38" s="109"/>
      <c r="ND38" s="109"/>
      <c r="NE38" s="109"/>
      <c r="NF38" s="109"/>
      <c r="NG38" s="109"/>
      <c r="NH38" s="109"/>
      <c r="NI38" s="109"/>
      <c r="NJ38" s="109"/>
      <c r="NK38" s="109"/>
      <c r="NL38" s="109"/>
      <c r="NM38" s="109"/>
      <c r="NN38" s="109"/>
      <c r="NO38" s="109"/>
      <c r="NP38" s="109"/>
      <c r="NQ38" s="110"/>
      <c r="NR38" s="105" t="str">
        <f>IF(AND(NR36&lt;&gt;0,NR37&lt;&gt;0),(NR36-NR37)/NR37,IF(AND(NR36=0,NR37=0),"",IF(AND(NR36="",NR37=""),"",IF(AND(NR36=0,NR37=""),"",IF(AND(NR36="",NR37=0),"",1)))))</f>
        <v/>
      </c>
      <c r="NS38" s="106"/>
      <c r="NT38" s="106"/>
      <c r="NU38" s="106"/>
      <c r="NV38" s="106"/>
      <c r="NW38" s="106"/>
      <c r="NX38" s="106"/>
      <c r="NY38" s="106"/>
      <c r="NZ38" s="106"/>
      <c r="OA38" s="106"/>
      <c r="OB38" s="106"/>
      <c r="OC38" s="106"/>
      <c r="OD38" s="106"/>
      <c r="OE38" s="106"/>
      <c r="OF38" s="106"/>
      <c r="OG38" s="106"/>
      <c r="OH38" s="106"/>
      <c r="OI38" s="106"/>
      <c r="OJ38" s="106"/>
      <c r="OK38" s="106"/>
      <c r="OL38" s="106"/>
      <c r="OM38" s="106"/>
      <c r="ON38" s="106"/>
      <c r="OO38" s="106"/>
      <c r="OP38" s="106"/>
      <c r="OQ38" s="106"/>
      <c r="OR38" s="106"/>
      <c r="OS38" s="106"/>
      <c r="OT38" s="106"/>
      <c r="OU38" s="106"/>
      <c r="OV38" s="106"/>
      <c r="OW38" s="106"/>
      <c r="OX38" s="106"/>
      <c r="OY38" s="106"/>
      <c r="OZ38" s="106"/>
      <c r="PA38" s="106"/>
      <c r="PB38" s="106"/>
      <c r="PC38" s="107"/>
    </row>
    <row r="39" spans="1:421" x14ac:dyDescent="0.3">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row>
    <row r="40" spans="1:421" x14ac:dyDescent="0.3">
      <c r="AW40" s="77">
        <f>AW3+AW6</f>
        <v>0</v>
      </c>
      <c r="AX40" s="79" t="e">
        <f>(AW41-AW40)/AW41</f>
        <v>#DIV/0!</v>
      </c>
    </row>
    <row r="41" spans="1:421" x14ac:dyDescent="0.3">
      <c r="B41" s="77">
        <f>+B12+AN12+BZ12</f>
        <v>2692634.984375</v>
      </c>
      <c r="C41" s="77">
        <f t="shared" ref="C41:L41" si="1170">+C12+AO12+CA12</f>
        <v>2692634.90625</v>
      </c>
      <c r="D41" s="77">
        <f t="shared" si="1170"/>
        <v>2692635.03125</v>
      </c>
      <c r="E41" s="77">
        <f t="shared" si="1170"/>
        <v>2692634.875</v>
      </c>
      <c r="F41" s="77">
        <f t="shared" si="1170"/>
        <v>2692635.03125</v>
      </c>
      <c r="G41" s="77">
        <f t="shared" si="1170"/>
        <v>2692635.0625</v>
      </c>
      <c r="H41" s="77">
        <f t="shared" si="1170"/>
        <v>2692634.83984375</v>
      </c>
      <c r="I41" s="77">
        <f t="shared" si="1170"/>
        <v>2692635.11328125</v>
      </c>
      <c r="J41" s="77">
        <f t="shared" si="1170"/>
        <v>2692635.0390625</v>
      </c>
      <c r="K41" s="77">
        <f t="shared" si="1170"/>
        <v>2692634.853515625</v>
      </c>
      <c r="L41" s="77">
        <f t="shared" si="1170"/>
        <v>1570703.71875</v>
      </c>
      <c r="AW41" s="77">
        <f>AW4+AW7</f>
        <v>0</v>
      </c>
      <c r="OE41" s="77"/>
      <c r="OF41" s="77"/>
      <c r="OG41" s="77"/>
    </row>
    <row r="42" spans="1:421" x14ac:dyDescent="0.3">
      <c r="B42" s="77">
        <f>+B13+AN13+BZ13</f>
        <v>2692635</v>
      </c>
      <c r="C42" s="77">
        <f t="shared" ref="C42:L42" si="1171">+C13+AO13+CA13</f>
        <v>2692635</v>
      </c>
      <c r="D42" s="77">
        <f t="shared" si="1171"/>
        <v>2692635</v>
      </c>
      <c r="E42" s="77">
        <f t="shared" si="1171"/>
        <v>2692635</v>
      </c>
      <c r="F42" s="77">
        <f t="shared" si="1171"/>
        <v>2692635</v>
      </c>
      <c r="G42" s="77">
        <f t="shared" si="1171"/>
        <v>2692635</v>
      </c>
      <c r="H42" s="77">
        <f t="shared" si="1171"/>
        <v>2692635</v>
      </c>
      <c r="I42" s="77">
        <f t="shared" si="1171"/>
        <v>2692635</v>
      </c>
      <c r="J42" s="77">
        <f t="shared" si="1171"/>
        <v>2692635</v>
      </c>
      <c r="K42" s="77">
        <f t="shared" si="1171"/>
        <v>0</v>
      </c>
      <c r="L42" s="77">
        <f t="shared" si="1171"/>
        <v>0</v>
      </c>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row>
    <row r="43" spans="1:421" x14ac:dyDescent="0.3">
      <c r="B43" s="38"/>
      <c r="C43" s="38"/>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78">
        <f>AW41-AW40</f>
        <v>0</v>
      </c>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row>
    <row r="44" spans="1:421" x14ac:dyDescent="0.3">
      <c r="B44" s="77">
        <f>+B15+AN15+BZ15</f>
        <v>264089.6640625</v>
      </c>
      <c r="C44" s="77">
        <f t="shared" ref="C44:C45" si="1172">+C15+AO15+CA15</f>
        <v>210456.01171875</v>
      </c>
      <c r="D44" s="77">
        <f t="shared" ref="D44:D45" si="1173">+D15+AP15+CB15</f>
        <v>133852.244140625</v>
      </c>
      <c r="E44" s="77">
        <f t="shared" ref="E44:E45" si="1174">+E15+AQ15+CC15</f>
        <v>93508.8994140625</v>
      </c>
      <c r="F44" s="77">
        <f t="shared" ref="F44:F45" si="1175">+F15+AR15+CD15</f>
        <v>198697.013671875</v>
      </c>
      <c r="G44" s="77">
        <f t="shared" ref="G44:G45" si="1176">+G15+AS15+CE15</f>
        <v>371750.6376953125</v>
      </c>
      <c r="H44" s="77">
        <f t="shared" ref="H44:H45" si="1177">+H15+AT15+CF15</f>
        <v>617800.4677734375</v>
      </c>
      <c r="I44" s="77">
        <f t="shared" ref="I44:I45" si="1178">+I15+AU15+CG15</f>
        <v>841651.0234375</v>
      </c>
      <c r="J44" s="77">
        <f t="shared" ref="J44:J45" si="1179">+J15+AV15+CH15</f>
        <v>2217097.9311523438</v>
      </c>
      <c r="K44" s="77">
        <f t="shared" ref="K44:K45" si="1180">+K15+AW15+CI15</f>
        <v>2902441.828125</v>
      </c>
      <c r="L44" s="77">
        <f t="shared" ref="L44:L45" si="1181">+L15+AX15+CJ15</f>
        <v>1693091.1171875</v>
      </c>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row>
    <row r="45" spans="1:421" x14ac:dyDescent="0.3">
      <c r="B45" s="77">
        <f>+B16+AN16+BZ16</f>
        <v>238473</v>
      </c>
      <c r="C45" s="77">
        <f t="shared" si="1172"/>
        <v>232145</v>
      </c>
      <c r="D45" s="77">
        <f t="shared" si="1173"/>
        <v>221009</v>
      </c>
      <c r="E45" s="77">
        <f t="shared" si="1174"/>
        <v>212384</v>
      </c>
      <c r="F45" s="77">
        <f t="shared" si="1175"/>
        <v>226615</v>
      </c>
      <c r="G45" s="77">
        <f t="shared" si="1176"/>
        <v>262657</v>
      </c>
      <c r="H45" s="77">
        <f t="shared" si="1177"/>
        <v>471258</v>
      </c>
      <c r="I45" s="77">
        <f t="shared" si="1178"/>
        <v>707392</v>
      </c>
      <c r="J45" s="77">
        <f t="shared" si="1179"/>
        <v>1291338</v>
      </c>
      <c r="K45" s="77">
        <f t="shared" si="1180"/>
        <v>0</v>
      </c>
      <c r="L45" s="77">
        <f t="shared" si="1181"/>
        <v>0</v>
      </c>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row>
    <row r="46" spans="1:421" x14ac:dyDescent="0.3">
      <c r="B46" s="38"/>
      <c r="C46" s="38"/>
      <c r="D46" s="38"/>
      <c r="E46" s="38"/>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row>
    <row r="47" spans="1:421" x14ac:dyDescent="0.3">
      <c r="B47" s="38"/>
      <c r="C47" s="38"/>
      <c r="D47" s="38"/>
      <c r="E47" s="38"/>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row>
    <row r="48" spans="1:421" x14ac:dyDescent="0.3">
      <c r="B48" s="14">
        <f>+B27+AN27+BZ27</f>
        <v>32980186.5</v>
      </c>
      <c r="C48" s="14">
        <f t="shared" ref="C48:M48" si="1182">+C27+AO27+CA27</f>
        <v>22707758.75</v>
      </c>
      <c r="D48" s="14">
        <f t="shared" si="1182"/>
        <v>15188241.75</v>
      </c>
      <c r="E48" s="14">
        <f t="shared" si="1182"/>
        <v>11693421.375</v>
      </c>
      <c r="F48" s="14">
        <f t="shared" si="1182"/>
        <v>20905127.25</v>
      </c>
      <c r="G48" s="14">
        <f t="shared" si="1182"/>
        <v>25650667.875</v>
      </c>
      <c r="H48" s="14">
        <f t="shared" si="1182"/>
        <v>26226731.625</v>
      </c>
      <c r="I48" s="14">
        <f t="shared" si="1182"/>
        <v>17529873.703125</v>
      </c>
      <c r="J48" s="14">
        <f t="shared" si="1182"/>
        <v>10371062.890625</v>
      </c>
      <c r="K48" s="14">
        <f t="shared" si="1182"/>
        <v>5314333.9296875</v>
      </c>
      <c r="L48" s="14">
        <f t="shared" si="1182"/>
        <v>728956.6650390625</v>
      </c>
      <c r="M48" s="14">
        <f t="shared" si="1182"/>
        <v>0</v>
      </c>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row>
    <row r="49" spans="2:77" x14ac:dyDescent="0.3">
      <c r="B49" s="14">
        <f>+B28+AN28+BZ28</f>
        <v>32973914</v>
      </c>
      <c r="C49" s="14">
        <f t="shared" ref="C49:M49" si="1183">+C28+AO28+CA28</f>
        <v>22694054</v>
      </c>
      <c r="D49" s="14">
        <f t="shared" si="1183"/>
        <v>15141191</v>
      </c>
      <c r="E49" s="14">
        <f t="shared" si="1183"/>
        <v>11632365</v>
      </c>
      <c r="F49" s="14">
        <f t="shared" si="1183"/>
        <v>20864252</v>
      </c>
      <c r="G49" s="14">
        <f t="shared" si="1183"/>
        <v>25637948</v>
      </c>
      <c r="H49" s="14">
        <f t="shared" si="1183"/>
        <v>26203819</v>
      </c>
      <c r="I49" s="14">
        <f t="shared" si="1183"/>
        <v>17506053</v>
      </c>
      <c r="J49" s="14">
        <f t="shared" si="1183"/>
        <v>10137096</v>
      </c>
      <c r="K49" s="14">
        <f t="shared" si="1183"/>
        <v>0</v>
      </c>
      <c r="L49" s="14">
        <f t="shared" si="1183"/>
        <v>0</v>
      </c>
      <c r="M49" s="14">
        <f t="shared" si="1183"/>
        <v>0</v>
      </c>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row>
    <row r="50" spans="2:77" x14ac:dyDescent="0.3">
      <c r="B50" s="38"/>
      <c r="C50" s="38"/>
      <c r="D50" s="38"/>
      <c r="E50" s="38"/>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row>
    <row r="51" spans="2:77" x14ac:dyDescent="0.3">
      <c r="B51" s="38">
        <f>(B48-B49)/B49</f>
        <v>1.9022612844808172E-4</v>
      </c>
      <c r="C51" s="38">
        <f t="shared" ref="C51:L51" si="1184">(C48-C49)/C49</f>
        <v>6.0389166254737911E-4</v>
      </c>
      <c r="D51" s="38">
        <f t="shared" si="1184"/>
        <v>3.1074669093072004E-3</v>
      </c>
      <c r="E51" s="38">
        <f t="shared" si="1184"/>
        <v>5.2488358988047575E-3</v>
      </c>
      <c r="F51" s="38">
        <f t="shared" si="1184"/>
        <v>1.9591045008467115E-3</v>
      </c>
      <c r="G51" s="38">
        <f t="shared" si="1184"/>
        <v>4.961346750527772E-4</v>
      </c>
      <c r="H51" s="38">
        <f t="shared" si="1184"/>
        <v>8.744002162432888E-4</v>
      </c>
      <c r="I51" s="38">
        <f t="shared" si="1184"/>
        <v>1.3607123847391529E-3</v>
      </c>
      <c r="J51" s="38">
        <f>(J48-J49)/J49</f>
        <v>2.3080267822757128E-2</v>
      </c>
      <c r="K51" s="38" t="e">
        <f t="shared" si="1184"/>
        <v>#DIV/0!</v>
      </c>
      <c r="L51" s="38" t="e">
        <f t="shared" si="1184"/>
        <v>#DIV/0!</v>
      </c>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row>
    <row r="52" spans="2:77" x14ac:dyDescent="0.3">
      <c r="B52" s="38"/>
      <c r="C52" s="38"/>
      <c r="D52" s="38"/>
      <c r="E52" s="38"/>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row>
    <row r="53" spans="2:77" x14ac:dyDescent="0.3">
      <c r="B53" s="38"/>
      <c r="C53" s="38"/>
      <c r="D53" s="38"/>
      <c r="E53" s="38"/>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row>
    <row r="54" spans="2:77" x14ac:dyDescent="0.3">
      <c r="B54" s="38"/>
      <c r="C54" s="38"/>
      <c r="D54" s="38"/>
      <c r="E54" s="38"/>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row>
    <row r="55" spans="2:77" x14ac:dyDescent="0.3">
      <c r="B55" s="38"/>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row>
    <row r="56" spans="2:77" x14ac:dyDescent="0.3">
      <c r="B56" s="38"/>
      <c r="C56" s="38"/>
      <c r="D56" s="38"/>
      <c r="E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row>
    <row r="57" spans="2:77" x14ac:dyDescent="0.3">
      <c r="B57" s="38"/>
      <c r="C57" s="38"/>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row>
    <row r="58" spans="2:77" x14ac:dyDescent="0.3">
      <c r="B58" s="38"/>
      <c r="C58" s="38"/>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row>
    <row r="59" spans="2:77" x14ac:dyDescent="0.3">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row>
    <row r="60" spans="2:77" x14ac:dyDescent="0.3">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row>
    <row r="61" spans="2:77" x14ac:dyDescent="0.3">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row>
    <row r="62" spans="2:77" x14ac:dyDescent="0.3">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row>
    <row r="63" spans="2:77" x14ac:dyDescent="0.3">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row>
    <row r="64" spans="2:77" x14ac:dyDescent="0.3">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row>
    <row r="65" spans="2:77" x14ac:dyDescent="0.3">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row>
    <row r="66" spans="2:77" x14ac:dyDescent="0.3">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row>
    <row r="67" spans="2:77" x14ac:dyDescent="0.3">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row>
    <row r="68" spans="2:77" x14ac:dyDescent="0.3">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row>
    <row r="69" spans="2:77" x14ac:dyDescent="0.3">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row>
    <row r="70" spans="2:77" x14ac:dyDescent="0.3">
      <c r="B70" s="38"/>
      <c r="C70" s="38"/>
      <c r="D70" s="38"/>
      <c r="E70" s="38"/>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row>
    <row r="71" spans="2:77" x14ac:dyDescent="0.3">
      <c r="B71" s="38"/>
      <c r="C71" s="38"/>
      <c r="D71" s="38"/>
      <c r="E71" s="38"/>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row>
    <row r="72" spans="2:77" x14ac:dyDescent="0.3">
      <c r="B72" s="38"/>
      <c r="C72" s="38"/>
      <c r="D72" s="38"/>
      <c r="E72" s="38"/>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row>
    <row r="73" spans="2:77" x14ac:dyDescent="0.3">
      <c r="B73" s="38"/>
      <c r="C73" s="38"/>
      <c r="D73" s="38"/>
      <c r="E73" s="38"/>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row>
    <row r="74" spans="2:77" x14ac:dyDescent="0.3">
      <c r="B74" s="38"/>
      <c r="C74" s="38"/>
      <c r="D74" s="38"/>
      <c r="E74" s="38"/>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row>
    <row r="75" spans="2:77" x14ac:dyDescent="0.3">
      <c r="B75" s="38"/>
      <c r="C75" s="38"/>
      <c r="D75" s="38"/>
      <c r="E75" s="38"/>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row>
    <row r="76" spans="2:77" x14ac:dyDescent="0.3">
      <c r="B76" s="38"/>
      <c r="C76" s="38"/>
      <c r="D76" s="38"/>
      <c r="E76" s="38"/>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row>
    <row r="77" spans="2:77" x14ac:dyDescent="0.3">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row>
    <row r="78" spans="2:77" x14ac:dyDescent="0.3">
      <c r="B78" s="38"/>
      <c r="C78" s="38"/>
      <c r="D78" s="38"/>
      <c r="E78" s="38"/>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row>
    <row r="79" spans="2:77" x14ac:dyDescent="0.3">
      <c r="B79" s="38"/>
      <c r="C79" s="38"/>
      <c r="D79" s="38"/>
      <c r="E79" s="38"/>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row>
    <row r="80" spans="2:77" x14ac:dyDescent="0.3">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row>
    <row r="81" spans="2:77" x14ac:dyDescent="0.3">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row>
    <row r="82" spans="2:77" x14ac:dyDescent="0.3">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row>
    <row r="83" spans="2:77" x14ac:dyDescent="0.3">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row>
    <row r="84" spans="2:77" x14ac:dyDescent="0.3">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row>
    <row r="85" spans="2:77" x14ac:dyDescent="0.3">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row>
    <row r="86" spans="2:77" x14ac:dyDescent="0.3">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row>
    <row r="87" spans="2:77" x14ac:dyDescent="0.3">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row>
    <row r="88" spans="2:77" x14ac:dyDescent="0.3">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row>
    <row r="89" spans="2:77" x14ac:dyDescent="0.3">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row>
    <row r="90" spans="2:77" x14ac:dyDescent="0.3">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row>
    <row r="91" spans="2:77" x14ac:dyDescent="0.3">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row>
    <row r="92" spans="2:77" x14ac:dyDescent="0.3">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row>
    <row r="93" spans="2:77" x14ac:dyDescent="0.3">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row>
    <row r="94" spans="2:77" x14ac:dyDescent="0.3">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row>
    <row r="95" spans="2:77" x14ac:dyDescent="0.3">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row>
    <row r="96" spans="2:77" x14ac:dyDescent="0.3">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row>
    <row r="97" spans="2:77" x14ac:dyDescent="0.3">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row>
    <row r="98" spans="2:77" x14ac:dyDescent="0.3">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row>
    <row r="99" spans="2:77" x14ac:dyDescent="0.3">
      <c r="B99" s="38"/>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row>
    <row r="100" spans="2:77" x14ac:dyDescent="0.3">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row>
    <row r="101" spans="2:77" x14ac:dyDescent="0.3">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row>
    <row r="102" spans="2:77" x14ac:dyDescent="0.3">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row>
    <row r="103" spans="2:77" x14ac:dyDescent="0.3">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row>
    <row r="104" spans="2:77" x14ac:dyDescent="0.3">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row>
    <row r="105" spans="2:77" x14ac:dyDescent="0.3">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row>
    <row r="106" spans="2:77" x14ac:dyDescent="0.3">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row>
    <row r="107" spans="2:77" x14ac:dyDescent="0.3">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row>
    <row r="108" spans="2:77" x14ac:dyDescent="0.3">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row>
    <row r="109" spans="2:77" x14ac:dyDescent="0.3">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row>
    <row r="110" spans="2:77" x14ac:dyDescent="0.3">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row>
    <row r="111" spans="2:77" x14ac:dyDescent="0.3">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row>
    <row r="112" spans="2:77" x14ac:dyDescent="0.3">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row>
    <row r="113" spans="2:77" x14ac:dyDescent="0.3">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row>
    <row r="114" spans="2:77" x14ac:dyDescent="0.3">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row>
    <row r="115" spans="2:77" x14ac:dyDescent="0.3">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row>
    <row r="116" spans="2:77" x14ac:dyDescent="0.3">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row>
    <row r="117" spans="2:77" x14ac:dyDescent="0.3">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row>
    <row r="118" spans="2:77" x14ac:dyDescent="0.3">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row>
    <row r="119" spans="2:77" x14ac:dyDescent="0.3">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row>
    <row r="120" spans="2:77" x14ac:dyDescent="0.3">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row>
    <row r="121" spans="2:77" x14ac:dyDescent="0.3">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row>
    <row r="122" spans="2:77" x14ac:dyDescent="0.3">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row>
    <row r="123" spans="2:77" x14ac:dyDescent="0.3">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row>
    <row r="124" spans="2:77" x14ac:dyDescent="0.3">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row>
    <row r="125" spans="2:77" x14ac:dyDescent="0.3">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row>
    <row r="126" spans="2:77" x14ac:dyDescent="0.3">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row>
    <row r="127" spans="2:77" x14ac:dyDescent="0.3">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row>
    <row r="128" spans="2:77" x14ac:dyDescent="0.3">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row>
    <row r="129" spans="2:77" x14ac:dyDescent="0.3">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row>
    <row r="130" spans="2:77" x14ac:dyDescent="0.3">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row>
    <row r="131" spans="2:77" x14ac:dyDescent="0.3">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row>
    <row r="132" spans="2:77" x14ac:dyDescent="0.3">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row>
    <row r="133" spans="2:77" x14ac:dyDescent="0.3">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row>
    <row r="134" spans="2:77" x14ac:dyDescent="0.3">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row>
    <row r="135" spans="2:77" x14ac:dyDescent="0.3">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row>
    <row r="136" spans="2:77" x14ac:dyDescent="0.3">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row>
    <row r="137" spans="2:77" x14ac:dyDescent="0.3">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row>
    <row r="138" spans="2:77" x14ac:dyDescent="0.3">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row>
    <row r="139" spans="2:77" x14ac:dyDescent="0.3">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row>
    <row r="140" spans="2:77" x14ac:dyDescent="0.3">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row>
    <row r="141" spans="2:77" x14ac:dyDescent="0.3">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row>
    <row r="142" spans="2:77" x14ac:dyDescent="0.3">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row>
    <row r="143" spans="2:77" x14ac:dyDescent="0.3">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row>
    <row r="144" spans="2:77" x14ac:dyDescent="0.3">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row>
    <row r="145" spans="2:77" x14ac:dyDescent="0.3">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row>
    <row r="146" spans="2:77" x14ac:dyDescent="0.3">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row>
    <row r="147" spans="2:77" x14ac:dyDescent="0.3">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row>
    <row r="148" spans="2:77" x14ac:dyDescent="0.3">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row>
    <row r="149" spans="2:77" x14ac:dyDescent="0.3">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row>
    <row r="150" spans="2:77" x14ac:dyDescent="0.3">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row>
    <row r="151" spans="2:77" x14ac:dyDescent="0.3">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row>
    <row r="152" spans="2:77" x14ac:dyDescent="0.3">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row>
    <row r="153" spans="2:77" x14ac:dyDescent="0.3">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row>
    <row r="154" spans="2:77" x14ac:dyDescent="0.3">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row>
    <row r="155" spans="2:77" x14ac:dyDescent="0.3">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row>
    <row r="156" spans="2:77" x14ac:dyDescent="0.3">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row>
    <row r="157" spans="2:77" x14ac:dyDescent="0.3">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row>
    <row r="158" spans="2:77" x14ac:dyDescent="0.3">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row>
    <row r="159" spans="2:77" x14ac:dyDescent="0.3">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row>
    <row r="160" spans="2:77" x14ac:dyDescent="0.3">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row>
    <row r="161" spans="2:77" x14ac:dyDescent="0.3">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row>
    <row r="162" spans="2:77" x14ac:dyDescent="0.3">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row>
    <row r="163" spans="2:77" x14ac:dyDescent="0.3">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row>
    <row r="164" spans="2:77" x14ac:dyDescent="0.3">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row>
    <row r="165" spans="2:77" x14ac:dyDescent="0.3">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row>
    <row r="166" spans="2:77" x14ac:dyDescent="0.3">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row>
    <row r="167" spans="2:77" x14ac:dyDescent="0.3">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row>
    <row r="168" spans="2:77" x14ac:dyDescent="0.3">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row>
    <row r="169" spans="2:77" x14ac:dyDescent="0.3">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row>
    <row r="170" spans="2:77" x14ac:dyDescent="0.3">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row>
    <row r="171" spans="2:77" x14ac:dyDescent="0.3">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row>
    <row r="172" spans="2:77" x14ac:dyDescent="0.3">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row>
    <row r="173" spans="2:77" x14ac:dyDescent="0.3">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row>
    <row r="174" spans="2:77" x14ac:dyDescent="0.3">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row>
    <row r="175" spans="2:77" x14ac:dyDescent="0.3">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row>
    <row r="176" spans="2:77" x14ac:dyDescent="0.3">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row>
    <row r="177" spans="2:77" x14ac:dyDescent="0.3">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row>
    <row r="178" spans="2:77" x14ac:dyDescent="0.3">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row>
    <row r="179" spans="2:77" x14ac:dyDescent="0.3">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row>
    <row r="180" spans="2:77" x14ac:dyDescent="0.3">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row>
    <row r="181" spans="2:77" x14ac:dyDescent="0.3">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row>
    <row r="182" spans="2:77" x14ac:dyDescent="0.3">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row>
    <row r="183" spans="2:77" x14ac:dyDescent="0.3">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row>
    <row r="184" spans="2:77" x14ac:dyDescent="0.3">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row>
    <row r="185" spans="2:77" x14ac:dyDescent="0.3">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row>
    <row r="186" spans="2:77" x14ac:dyDescent="0.3">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row>
    <row r="187" spans="2:77" x14ac:dyDescent="0.3">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row>
    <row r="188" spans="2:77" x14ac:dyDescent="0.3">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row>
    <row r="189" spans="2:77" x14ac:dyDescent="0.3">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row>
    <row r="190" spans="2:77" x14ac:dyDescent="0.3">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row>
    <row r="191" spans="2:77" x14ac:dyDescent="0.3">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row>
    <row r="192" spans="2:77" x14ac:dyDescent="0.3">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BG192" s="38"/>
      <c r="BH192" s="38"/>
      <c r="BI192" s="38"/>
      <c r="BJ192" s="38"/>
      <c r="BK192" s="38"/>
      <c r="BL192" s="38"/>
      <c r="BM192" s="38"/>
      <c r="BN192" s="38"/>
      <c r="BO192" s="38"/>
      <c r="BP192" s="38"/>
      <c r="BQ192" s="38"/>
      <c r="BR192" s="38"/>
      <c r="BS192" s="38"/>
      <c r="BT192" s="38"/>
      <c r="BU192" s="38"/>
      <c r="BV192" s="38"/>
      <c r="BW192" s="38"/>
      <c r="BX192" s="38"/>
      <c r="BY192" s="38"/>
    </row>
    <row r="193" spans="2:77" x14ac:dyDescent="0.3">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row>
    <row r="194" spans="2:77" x14ac:dyDescent="0.3">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row>
    <row r="195" spans="2:77" x14ac:dyDescent="0.3">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row>
    <row r="196" spans="2:77" x14ac:dyDescent="0.3">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row>
    <row r="197" spans="2:77" x14ac:dyDescent="0.3">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row>
    <row r="198" spans="2:77" x14ac:dyDescent="0.3">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row>
    <row r="199" spans="2:77" x14ac:dyDescent="0.3">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row>
    <row r="200" spans="2:77" x14ac:dyDescent="0.3">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BG200" s="38"/>
      <c r="BH200" s="38"/>
      <c r="BI200" s="38"/>
      <c r="BJ200" s="38"/>
      <c r="BK200" s="38"/>
      <c r="BL200" s="38"/>
      <c r="BM200" s="38"/>
      <c r="BN200" s="38"/>
      <c r="BO200" s="38"/>
      <c r="BP200" s="38"/>
      <c r="BQ200" s="38"/>
      <c r="BR200" s="38"/>
      <c r="BS200" s="38"/>
      <c r="BT200" s="38"/>
      <c r="BU200" s="38"/>
      <c r="BV200" s="38"/>
      <c r="BW200" s="38"/>
      <c r="BX200" s="38"/>
      <c r="BY200" s="38"/>
    </row>
    <row r="201" spans="2:77" x14ac:dyDescent="0.3">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BG201" s="38"/>
      <c r="BH201" s="38"/>
      <c r="BI201" s="38"/>
      <c r="BJ201" s="38"/>
      <c r="BK201" s="38"/>
      <c r="BL201" s="38"/>
      <c r="BM201" s="38"/>
      <c r="BN201" s="38"/>
      <c r="BO201" s="38"/>
      <c r="BP201" s="38"/>
      <c r="BQ201" s="38"/>
      <c r="BR201" s="38"/>
      <c r="BS201" s="38"/>
      <c r="BT201" s="38"/>
      <c r="BU201" s="38"/>
      <c r="BV201" s="38"/>
      <c r="BW201" s="38"/>
      <c r="BX201" s="38"/>
      <c r="BY201" s="38"/>
    </row>
    <row r="202" spans="2:77" x14ac:dyDescent="0.3">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BG202" s="38"/>
      <c r="BH202" s="38"/>
      <c r="BI202" s="38"/>
      <c r="BJ202" s="38"/>
      <c r="BK202" s="38"/>
      <c r="BL202" s="38"/>
      <c r="BM202" s="38"/>
      <c r="BN202" s="38"/>
      <c r="BO202" s="38"/>
      <c r="BP202" s="38"/>
      <c r="BQ202" s="38"/>
      <c r="BR202" s="38"/>
      <c r="BS202" s="38"/>
      <c r="BT202" s="38"/>
      <c r="BU202" s="38"/>
      <c r="BV202" s="38"/>
      <c r="BW202" s="38"/>
      <c r="BX202" s="38"/>
      <c r="BY202" s="38"/>
    </row>
    <row r="203" spans="2:77" x14ac:dyDescent="0.3">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row>
    <row r="204" spans="2:77" x14ac:dyDescent="0.3">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row>
    <row r="205" spans="2:77" x14ac:dyDescent="0.3">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row>
    <row r="206" spans="2:77" x14ac:dyDescent="0.3">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BG206" s="38"/>
      <c r="BH206" s="38"/>
      <c r="BI206" s="38"/>
      <c r="BJ206" s="38"/>
      <c r="BK206" s="38"/>
      <c r="BL206" s="38"/>
      <c r="BM206" s="38"/>
      <c r="BN206" s="38"/>
      <c r="BO206" s="38"/>
      <c r="BP206" s="38"/>
      <c r="BQ206" s="38"/>
      <c r="BR206" s="38"/>
      <c r="BS206" s="38"/>
      <c r="BT206" s="38"/>
      <c r="BU206" s="38"/>
      <c r="BV206" s="38"/>
      <c r="BW206" s="38"/>
      <c r="BX206" s="38"/>
      <c r="BY206" s="38"/>
    </row>
    <row r="207" spans="2:77" x14ac:dyDescent="0.3">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row>
    <row r="208" spans="2:77" x14ac:dyDescent="0.3">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row>
    <row r="209" spans="2:77" x14ac:dyDescent="0.3">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row>
    <row r="210" spans="2:77" x14ac:dyDescent="0.3">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row>
    <row r="211" spans="2:77" x14ac:dyDescent="0.3">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row>
    <row r="212" spans="2:77" x14ac:dyDescent="0.3">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c r="BS212" s="38"/>
      <c r="BT212" s="38"/>
      <c r="BU212" s="38"/>
      <c r="BV212" s="38"/>
      <c r="BW212" s="38"/>
      <c r="BX212" s="38"/>
      <c r="BY212" s="38"/>
    </row>
    <row r="213" spans="2:77" x14ac:dyDescent="0.3">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row>
    <row r="214" spans="2:77" x14ac:dyDescent="0.3">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row>
    <row r="215" spans="2:77" x14ac:dyDescent="0.3">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BG215" s="38"/>
      <c r="BH215" s="38"/>
      <c r="BI215" s="38"/>
      <c r="BJ215" s="38"/>
      <c r="BK215" s="38"/>
      <c r="BL215" s="38"/>
      <c r="BM215" s="38"/>
      <c r="BN215" s="38"/>
      <c r="BO215" s="38"/>
      <c r="BP215" s="38"/>
      <c r="BQ215" s="38"/>
      <c r="BR215" s="38"/>
      <c r="BS215" s="38"/>
      <c r="BT215" s="38"/>
      <c r="BU215" s="38"/>
      <c r="BV215" s="38"/>
      <c r="BW215" s="38"/>
      <c r="BX215" s="38"/>
      <c r="BY215" s="38"/>
    </row>
    <row r="216" spans="2:77" x14ac:dyDescent="0.3">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BG216" s="38"/>
      <c r="BH216" s="38"/>
      <c r="BI216" s="38"/>
      <c r="BJ216" s="38"/>
      <c r="BK216" s="38"/>
      <c r="BL216" s="38"/>
      <c r="BM216" s="38"/>
      <c r="BN216" s="38"/>
      <c r="BO216" s="38"/>
      <c r="BP216" s="38"/>
      <c r="BQ216" s="38"/>
      <c r="BR216" s="38"/>
      <c r="BS216" s="38"/>
      <c r="BT216" s="38"/>
      <c r="BU216" s="38"/>
      <c r="BV216" s="38"/>
      <c r="BW216" s="38"/>
      <c r="BX216" s="38"/>
      <c r="BY216" s="38"/>
    </row>
    <row r="217" spans="2:77" x14ac:dyDescent="0.3">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BG217" s="38"/>
      <c r="BH217" s="38"/>
      <c r="BI217" s="38"/>
      <c r="BJ217" s="38"/>
      <c r="BK217" s="38"/>
      <c r="BL217" s="38"/>
      <c r="BM217" s="38"/>
      <c r="BN217" s="38"/>
      <c r="BO217" s="38"/>
      <c r="BP217" s="38"/>
      <c r="BQ217" s="38"/>
      <c r="BR217" s="38"/>
      <c r="BS217" s="38"/>
      <c r="BT217" s="38"/>
      <c r="BU217" s="38"/>
      <c r="BV217" s="38"/>
      <c r="BW217" s="38"/>
      <c r="BX217" s="38"/>
      <c r="BY217" s="38"/>
    </row>
    <row r="218" spans="2:77" x14ac:dyDescent="0.3">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row>
    <row r="219" spans="2:77" x14ac:dyDescent="0.3">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row>
    <row r="220" spans="2:77" x14ac:dyDescent="0.3">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BG220" s="38"/>
      <c r="BH220" s="38"/>
      <c r="BI220" s="38"/>
      <c r="BJ220" s="38"/>
      <c r="BK220" s="38"/>
      <c r="BL220" s="38"/>
      <c r="BM220" s="38"/>
      <c r="BN220" s="38"/>
      <c r="BO220" s="38"/>
      <c r="BP220" s="38"/>
      <c r="BQ220" s="38"/>
      <c r="BR220" s="38"/>
      <c r="BS220" s="38"/>
      <c r="BT220" s="38"/>
      <c r="BU220" s="38"/>
      <c r="BV220" s="38"/>
      <c r="BW220" s="38"/>
      <c r="BX220" s="38"/>
      <c r="BY220" s="38"/>
    </row>
    <row r="221" spans="2:77" x14ac:dyDescent="0.3">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row>
    <row r="222" spans="2:77" x14ac:dyDescent="0.3">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BG222" s="38"/>
      <c r="BH222" s="38"/>
      <c r="BI222" s="38"/>
      <c r="BJ222" s="38"/>
      <c r="BK222" s="38"/>
      <c r="BL222" s="38"/>
      <c r="BM222" s="38"/>
      <c r="BN222" s="38"/>
      <c r="BO222" s="38"/>
      <c r="BP222" s="38"/>
      <c r="BQ222" s="38"/>
      <c r="BR222" s="38"/>
      <c r="BS222" s="38"/>
      <c r="BT222" s="38"/>
      <c r="BU222" s="38"/>
      <c r="BV222" s="38"/>
      <c r="BW222" s="38"/>
      <c r="BX222" s="38"/>
      <c r="BY222" s="38"/>
    </row>
    <row r="223" spans="2:77" x14ac:dyDescent="0.3">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row>
    <row r="224" spans="2:77" x14ac:dyDescent="0.3">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row>
    <row r="225" spans="2:77" x14ac:dyDescent="0.3">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BG225" s="38"/>
      <c r="BH225" s="38"/>
      <c r="BI225" s="38"/>
      <c r="BJ225" s="38"/>
      <c r="BK225" s="38"/>
      <c r="BL225" s="38"/>
      <c r="BM225" s="38"/>
      <c r="BN225" s="38"/>
      <c r="BO225" s="38"/>
      <c r="BP225" s="38"/>
      <c r="BQ225" s="38"/>
      <c r="BR225" s="38"/>
      <c r="BS225" s="38"/>
      <c r="BT225" s="38"/>
      <c r="BU225" s="38"/>
      <c r="BV225" s="38"/>
      <c r="BW225" s="38"/>
      <c r="BX225" s="38"/>
      <c r="BY225" s="38"/>
    </row>
    <row r="226" spans="2:77" x14ac:dyDescent="0.3">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BG226" s="38"/>
      <c r="BH226" s="38"/>
      <c r="BI226" s="38"/>
      <c r="BJ226" s="38"/>
      <c r="BK226" s="38"/>
      <c r="BL226" s="38"/>
      <c r="BM226" s="38"/>
      <c r="BN226" s="38"/>
      <c r="BO226" s="38"/>
      <c r="BP226" s="38"/>
      <c r="BQ226" s="38"/>
      <c r="BR226" s="38"/>
      <c r="BS226" s="38"/>
      <c r="BT226" s="38"/>
      <c r="BU226" s="38"/>
      <c r="BV226" s="38"/>
      <c r="BW226" s="38"/>
      <c r="BX226" s="38"/>
      <c r="BY226" s="38"/>
    </row>
    <row r="227" spans="2:77" x14ac:dyDescent="0.3">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BG227" s="38"/>
      <c r="BH227" s="38"/>
      <c r="BI227" s="38"/>
      <c r="BJ227" s="38"/>
      <c r="BK227" s="38"/>
      <c r="BL227" s="38"/>
      <c r="BM227" s="38"/>
      <c r="BN227" s="38"/>
      <c r="BO227" s="38"/>
      <c r="BP227" s="38"/>
      <c r="BQ227" s="38"/>
      <c r="BR227" s="38"/>
      <c r="BS227" s="38"/>
      <c r="BT227" s="38"/>
      <c r="BU227" s="38"/>
      <c r="BV227" s="38"/>
      <c r="BW227" s="38"/>
      <c r="BX227" s="38"/>
      <c r="BY227" s="38"/>
    </row>
    <row r="228" spans="2:77" x14ac:dyDescent="0.3">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row>
    <row r="229" spans="2:77" x14ac:dyDescent="0.3">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row>
    <row r="230" spans="2:77" x14ac:dyDescent="0.3">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row>
    <row r="231" spans="2:77" x14ac:dyDescent="0.3">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row>
    <row r="232" spans="2:77" x14ac:dyDescent="0.3">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row>
    <row r="233" spans="2:77" x14ac:dyDescent="0.3">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row>
    <row r="234" spans="2:77" x14ac:dyDescent="0.3">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row>
    <row r="235" spans="2:77" x14ac:dyDescent="0.3">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row>
    <row r="236" spans="2:77" x14ac:dyDescent="0.3">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row>
    <row r="237" spans="2:77" x14ac:dyDescent="0.3">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row>
    <row r="238" spans="2:77" x14ac:dyDescent="0.3">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row>
    <row r="239" spans="2:77" x14ac:dyDescent="0.3">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row>
    <row r="240" spans="2:77" x14ac:dyDescent="0.3">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row>
    <row r="241" spans="2:77" x14ac:dyDescent="0.3">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row>
    <row r="242" spans="2:77" x14ac:dyDescent="0.3">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row>
    <row r="243" spans="2:77" x14ac:dyDescent="0.3">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row>
    <row r="244" spans="2:77" x14ac:dyDescent="0.3">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row>
    <row r="245" spans="2:77" x14ac:dyDescent="0.3">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row>
    <row r="246" spans="2:77" x14ac:dyDescent="0.3">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row>
    <row r="247" spans="2:77" x14ac:dyDescent="0.3">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row>
    <row r="248" spans="2:77" x14ac:dyDescent="0.3">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row>
    <row r="249" spans="2:77" x14ac:dyDescent="0.3">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row>
    <row r="250" spans="2:77" x14ac:dyDescent="0.3">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row>
    <row r="251" spans="2:77" x14ac:dyDescent="0.3">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row>
    <row r="252" spans="2:77" x14ac:dyDescent="0.3">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row>
    <row r="253" spans="2:77" x14ac:dyDescent="0.3">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row>
    <row r="254" spans="2:77" x14ac:dyDescent="0.3">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row>
    <row r="255" spans="2:77" x14ac:dyDescent="0.3">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row>
    <row r="256" spans="2:77" x14ac:dyDescent="0.3">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row>
    <row r="257" spans="2:77" x14ac:dyDescent="0.3">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row>
    <row r="258" spans="2:77" x14ac:dyDescent="0.3">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row>
    <row r="259" spans="2:77" x14ac:dyDescent="0.3">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row>
    <row r="260" spans="2:77" x14ac:dyDescent="0.3">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row>
    <row r="261" spans="2:77" x14ac:dyDescent="0.3">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row>
    <row r="262" spans="2:77" x14ac:dyDescent="0.3">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row>
    <row r="263" spans="2:77" x14ac:dyDescent="0.3">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row>
    <row r="264" spans="2:77" x14ac:dyDescent="0.3">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row>
    <row r="265" spans="2:77" x14ac:dyDescent="0.3">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row>
    <row r="266" spans="2:77" x14ac:dyDescent="0.3">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row>
    <row r="267" spans="2:77" x14ac:dyDescent="0.3">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row>
    <row r="268" spans="2:77" x14ac:dyDescent="0.3">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row>
    <row r="269" spans="2:77" x14ac:dyDescent="0.3">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row>
    <row r="270" spans="2:77" x14ac:dyDescent="0.3">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row>
    <row r="271" spans="2:77" x14ac:dyDescent="0.3">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row>
    <row r="272" spans="2:77" x14ac:dyDescent="0.3">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row>
    <row r="273" spans="2:77" x14ac:dyDescent="0.3">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row>
    <row r="274" spans="2:77" x14ac:dyDescent="0.3">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row>
    <row r="275" spans="2:77" x14ac:dyDescent="0.3">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row>
    <row r="276" spans="2:77" x14ac:dyDescent="0.3">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row>
    <row r="277" spans="2:77" x14ac:dyDescent="0.3">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row>
    <row r="278" spans="2:77" x14ac:dyDescent="0.3">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row>
    <row r="279" spans="2:77" x14ac:dyDescent="0.3">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row>
    <row r="280" spans="2:77" x14ac:dyDescent="0.3">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row>
    <row r="281" spans="2:77" x14ac:dyDescent="0.3">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row>
    <row r="282" spans="2:77" x14ac:dyDescent="0.3">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row>
    <row r="283" spans="2:77" x14ac:dyDescent="0.3">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row>
    <row r="284" spans="2:77" x14ac:dyDescent="0.3">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row>
    <row r="285" spans="2:77" x14ac:dyDescent="0.3">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row>
    <row r="286" spans="2:77" x14ac:dyDescent="0.3">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row>
    <row r="287" spans="2:77" x14ac:dyDescent="0.3">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row>
    <row r="288" spans="2:77" x14ac:dyDescent="0.3">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row>
    <row r="289" spans="2:77" x14ac:dyDescent="0.3">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row>
    <row r="290" spans="2:77" x14ac:dyDescent="0.3">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row>
    <row r="291" spans="2:77" x14ac:dyDescent="0.3">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row>
    <row r="292" spans="2:77" x14ac:dyDescent="0.3">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row>
    <row r="293" spans="2:77" x14ac:dyDescent="0.3">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row>
    <row r="294" spans="2:77" x14ac:dyDescent="0.3">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row>
    <row r="295" spans="2:77" x14ac:dyDescent="0.3">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row>
    <row r="296" spans="2:77" x14ac:dyDescent="0.3">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row>
    <row r="297" spans="2:77" x14ac:dyDescent="0.3">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row>
    <row r="298" spans="2:77" x14ac:dyDescent="0.3">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row>
    <row r="299" spans="2:77" x14ac:dyDescent="0.3">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row>
    <row r="300" spans="2:77" x14ac:dyDescent="0.3">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row>
    <row r="301" spans="2:77" x14ac:dyDescent="0.3">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row>
    <row r="302" spans="2:77" x14ac:dyDescent="0.3">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row>
    <row r="303" spans="2:77" x14ac:dyDescent="0.3">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row>
    <row r="304" spans="2:77" x14ac:dyDescent="0.3">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row>
    <row r="305" spans="2:77" x14ac:dyDescent="0.3">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row>
    <row r="306" spans="2:77" x14ac:dyDescent="0.3">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row>
    <row r="307" spans="2:77" x14ac:dyDescent="0.3">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row>
    <row r="308" spans="2:77" x14ac:dyDescent="0.3">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row>
    <row r="309" spans="2:77" x14ac:dyDescent="0.3">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row>
    <row r="310" spans="2:77" x14ac:dyDescent="0.3">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row>
    <row r="311" spans="2:77" x14ac:dyDescent="0.3">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row>
    <row r="312" spans="2:77" x14ac:dyDescent="0.3">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row>
    <row r="313" spans="2:77" x14ac:dyDescent="0.3">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row>
    <row r="314" spans="2:77" x14ac:dyDescent="0.3">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row>
    <row r="315" spans="2:77" x14ac:dyDescent="0.3">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row>
    <row r="316" spans="2:77" x14ac:dyDescent="0.3">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row>
    <row r="317" spans="2:77" x14ac:dyDescent="0.3">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row>
    <row r="318" spans="2:77" x14ac:dyDescent="0.3">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row>
    <row r="319" spans="2:77" x14ac:dyDescent="0.3">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row>
    <row r="320" spans="2:77" x14ac:dyDescent="0.3">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row>
    <row r="321" spans="2:77" x14ac:dyDescent="0.3">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row>
    <row r="322" spans="2:77" x14ac:dyDescent="0.3">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row>
    <row r="323" spans="2:77" x14ac:dyDescent="0.3">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row>
    <row r="324" spans="2:77" x14ac:dyDescent="0.3">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row>
    <row r="325" spans="2:77" x14ac:dyDescent="0.3">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row>
    <row r="326" spans="2:77" x14ac:dyDescent="0.3">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row>
    <row r="327" spans="2:77" x14ac:dyDescent="0.3">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row>
    <row r="328" spans="2:77" x14ac:dyDescent="0.3">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row>
    <row r="329" spans="2:77" x14ac:dyDescent="0.3">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row>
    <row r="330" spans="2:77" x14ac:dyDescent="0.3">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row>
    <row r="331" spans="2:77" x14ac:dyDescent="0.3">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row>
    <row r="332" spans="2:77" x14ac:dyDescent="0.3">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row>
    <row r="333" spans="2:77" x14ac:dyDescent="0.3">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row>
    <row r="334" spans="2:77" x14ac:dyDescent="0.3">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row>
    <row r="335" spans="2:77" x14ac:dyDescent="0.3">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row>
    <row r="336" spans="2:77" x14ac:dyDescent="0.3">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row>
    <row r="337" spans="2:77" x14ac:dyDescent="0.3">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row>
    <row r="338" spans="2:77" x14ac:dyDescent="0.3">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row>
    <row r="339" spans="2:77" x14ac:dyDescent="0.3">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row>
    <row r="340" spans="2:77" x14ac:dyDescent="0.3">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row>
    <row r="341" spans="2:77" x14ac:dyDescent="0.3">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row>
    <row r="342" spans="2:77" x14ac:dyDescent="0.3">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row>
    <row r="343" spans="2:77" x14ac:dyDescent="0.3">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row>
    <row r="344" spans="2:77" x14ac:dyDescent="0.3">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row>
    <row r="345" spans="2:77" x14ac:dyDescent="0.3">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row>
    <row r="346" spans="2:77" x14ac:dyDescent="0.3">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BG346" s="38"/>
      <c r="BH346" s="38"/>
      <c r="BI346" s="38"/>
      <c r="BJ346" s="38"/>
      <c r="BK346" s="38"/>
      <c r="BL346" s="38"/>
      <c r="BM346" s="38"/>
      <c r="BN346" s="38"/>
      <c r="BO346" s="38"/>
      <c r="BP346" s="38"/>
      <c r="BQ346" s="38"/>
      <c r="BR346" s="38"/>
      <c r="BS346" s="38"/>
      <c r="BT346" s="38"/>
      <c r="BU346" s="38"/>
      <c r="BV346" s="38"/>
      <c r="BW346" s="38"/>
      <c r="BX346" s="38"/>
      <c r="BY346" s="38"/>
    </row>
    <row r="347" spans="2:77" x14ac:dyDescent="0.3">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c r="AS347" s="38"/>
      <c r="AT347" s="38"/>
      <c r="AU347" s="38"/>
      <c r="AV347" s="38"/>
      <c r="AW347" s="38"/>
      <c r="AX347" s="38"/>
      <c r="AY347" s="38"/>
      <c r="AZ347" s="38"/>
      <c r="BA347" s="38"/>
      <c r="BB347" s="38"/>
      <c r="BC347" s="38"/>
      <c r="BD347" s="38"/>
      <c r="BE347" s="38"/>
      <c r="BF347" s="38"/>
      <c r="BG347" s="38"/>
      <c r="BH347" s="38"/>
      <c r="BI347" s="38"/>
      <c r="BJ347" s="38"/>
      <c r="BK347" s="38"/>
      <c r="BL347" s="38"/>
      <c r="BM347" s="38"/>
      <c r="BN347" s="38"/>
      <c r="BO347" s="38"/>
      <c r="BP347" s="38"/>
      <c r="BQ347" s="38"/>
      <c r="BR347" s="38"/>
      <c r="BS347" s="38"/>
      <c r="BT347" s="38"/>
      <c r="BU347" s="38"/>
      <c r="BV347" s="38"/>
      <c r="BW347" s="38"/>
      <c r="BX347" s="38"/>
      <c r="BY347" s="38"/>
    </row>
    <row r="348" spans="2:77" x14ac:dyDescent="0.3">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row>
    <row r="349" spans="2:77" x14ac:dyDescent="0.3">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row>
    <row r="350" spans="2:77" x14ac:dyDescent="0.3">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c r="AS350" s="38"/>
      <c r="AT350" s="38"/>
      <c r="AU350" s="38"/>
      <c r="AV350" s="38"/>
      <c r="AW350" s="38"/>
      <c r="AX350" s="38"/>
      <c r="AY350" s="38"/>
      <c r="AZ350" s="38"/>
      <c r="BA350" s="38"/>
      <c r="BB350" s="38"/>
      <c r="BC350" s="38"/>
      <c r="BD350" s="38"/>
      <c r="BE350" s="38"/>
      <c r="BF350" s="38"/>
      <c r="BG350" s="38"/>
      <c r="BH350" s="38"/>
      <c r="BI350" s="38"/>
      <c r="BJ350" s="38"/>
      <c r="BK350" s="38"/>
      <c r="BL350" s="38"/>
      <c r="BM350" s="38"/>
      <c r="BN350" s="38"/>
      <c r="BO350" s="38"/>
      <c r="BP350" s="38"/>
      <c r="BQ350" s="38"/>
      <c r="BR350" s="38"/>
      <c r="BS350" s="38"/>
      <c r="BT350" s="38"/>
      <c r="BU350" s="38"/>
      <c r="BV350" s="38"/>
      <c r="BW350" s="38"/>
      <c r="BX350" s="38"/>
      <c r="BY350" s="38"/>
    </row>
    <row r="351" spans="2:77" x14ac:dyDescent="0.3">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c r="AS351" s="38"/>
      <c r="AT351" s="38"/>
      <c r="AU351" s="38"/>
      <c r="AV351" s="38"/>
      <c r="AW351" s="38"/>
      <c r="AX351" s="38"/>
      <c r="AY351" s="38"/>
      <c r="AZ351" s="38"/>
      <c r="BA351" s="38"/>
      <c r="BB351" s="38"/>
      <c r="BC351" s="38"/>
      <c r="BD351" s="38"/>
      <c r="BE351" s="38"/>
      <c r="BF351" s="38"/>
      <c r="BG351" s="38"/>
      <c r="BH351" s="38"/>
      <c r="BI351" s="38"/>
      <c r="BJ351" s="38"/>
      <c r="BK351" s="38"/>
      <c r="BL351" s="38"/>
      <c r="BM351" s="38"/>
      <c r="BN351" s="38"/>
      <c r="BO351" s="38"/>
      <c r="BP351" s="38"/>
      <c r="BQ351" s="38"/>
      <c r="BR351" s="38"/>
      <c r="BS351" s="38"/>
      <c r="BT351" s="38"/>
      <c r="BU351" s="38"/>
      <c r="BV351" s="38"/>
      <c r="BW351" s="38"/>
      <c r="BX351" s="38"/>
      <c r="BY351" s="38"/>
    </row>
    <row r="352" spans="2:77" x14ac:dyDescent="0.3">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c r="AS352" s="38"/>
      <c r="AT352" s="38"/>
      <c r="AU352" s="38"/>
      <c r="AV352" s="38"/>
      <c r="AW352" s="38"/>
      <c r="AX352" s="38"/>
      <c r="AY352" s="38"/>
      <c r="AZ352" s="38"/>
      <c r="BA352" s="38"/>
      <c r="BB352" s="38"/>
      <c r="BC352" s="38"/>
      <c r="BD352" s="38"/>
      <c r="BE352" s="38"/>
      <c r="BF352" s="38"/>
      <c r="BG352" s="38"/>
      <c r="BH352" s="38"/>
      <c r="BI352" s="38"/>
      <c r="BJ352" s="38"/>
      <c r="BK352" s="38"/>
      <c r="BL352" s="38"/>
      <c r="BM352" s="38"/>
      <c r="BN352" s="38"/>
      <c r="BO352" s="38"/>
      <c r="BP352" s="38"/>
      <c r="BQ352" s="38"/>
      <c r="BR352" s="38"/>
      <c r="BS352" s="38"/>
      <c r="BT352" s="38"/>
      <c r="BU352" s="38"/>
      <c r="BV352" s="38"/>
      <c r="BW352" s="38"/>
      <c r="BX352" s="38"/>
      <c r="BY352" s="38"/>
    </row>
    <row r="353" spans="2:77" x14ac:dyDescent="0.3">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row>
    <row r="354" spans="2:77" x14ac:dyDescent="0.3">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row>
    <row r="355" spans="2:77" x14ac:dyDescent="0.3">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c r="AS355" s="38"/>
      <c r="AT355" s="38"/>
      <c r="AU355" s="38"/>
      <c r="AV355" s="38"/>
      <c r="AW355" s="38"/>
      <c r="AX355" s="38"/>
      <c r="AY355" s="38"/>
      <c r="AZ355" s="38"/>
      <c r="BA355" s="38"/>
      <c r="BB355" s="38"/>
      <c r="BC355" s="38"/>
      <c r="BD355" s="38"/>
      <c r="BE355" s="38"/>
      <c r="BF355" s="38"/>
      <c r="BG355" s="38"/>
      <c r="BH355" s="38"/>
      <c r="BI355" s="38"/>
      <c r="BJ355" s="38"/>
      <c r="BK355" s="38"/>
      <c r="BL355" s="38"/>
      <c r="BM355" s="38"/>
      <c r="BN355" s="38"/>
      <c r="BO355" s="38"/>
      <c r="BP355" s="38"/>
      <c r="BQ355" s="38"/>
      <c r="BR355" s="38"/>
      <c r="BS355" s="38"/>
      <c r="BT355" s="38"/>
      <c r="BU355" s="38"/>
      <c r="BV355" s="38"/>
      <c r="BW355" s="38"/>
      <c r="BX355" s="38"/>
      <c r="BY355" s="38"/>
    </row>
    <row r="356" spans="2:77" x14ac:dyDescent="0.3">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c r="AS356" s="38"/>
      <c r="AT356" s="38"/>
      <c r="AU356" s="38"/>
      <c r="AV356" s="38"/>
      <c r="AW356" s="38"/>
      <c r="AX356" s="38"/>
      <c r="AY356" s="38"/>
      <c r="AZ356" s="38"/>
      <c r="BA356" s="38"/>
      <c r="BB356" s="38"/>
      <c r="BC356" s="38"/>
      <c r="BD356" s="38"/>
      <c r="BE356" s="38"/>
      <c r="BF356" s="38"/>
      <c r="BG356" s="38"/>
      <c r="BH356" s="38"/>
      <c r="BI356" s="38"/>
      <c r="BJ356" s="38"/>
      <c r="BK356" s="38"/>
      <c r="BL356" s="38"/>
      <c r="BM356" s="38"/>
      <c r="BN356" s="38"/>
      <c r="BO356" s="38"/>
      <c r="BP356" s="38"/>
      <c r="BQ356" s="38"/>
      <c r="BR356" s="38"/>
      <c r="BS356" s="38"/>
      <c r="BT356" s="38"/>
      <c r="BU356" s="38"/>
      <c r="BV356" s="38"/>
      <c r="BW356" s="38"/>
      <c r="BX356" s="38"/>
      <c r="BY356" s="38"/>
    </row>
    <row r="357" spans="2:77" x14ac:dyDescent="0.3">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row>
    <row r="358" spans="2:77" x14ac:dyDescent="0.3">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row>
    <row r="359" spans="2:77" x14ac:dyDescent="0.3">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row>
    <row r="360" spans="2:77" x14ac:dyDescent="0.3">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c r="AS360" s="38"/>
      <c r="AT360" s="38"/>
      <c r="AU360" s="38"/>
      <c r="AV360" s="38"/>
      <c r="AW360" s="38"/>
      <c r="AX360" s="38"/>
      <c r="AY360" s="38"/>
      <c r="AZ360" s="38"/>
      <c r="BA360" s="38"/>
      <c r="BB360" s="38"/>
      <c r="BC360" s="38"/>
      <c r="BD360" s="38"/>
      <c r="BE360" s="38"/>
      <c r="BF360" s="38"/>
      <c r="BG360" s="38"/>
      <c r="BH360" s="38"/>
      <c r="BI360" s="38"/>
      <c r="BJ360" s="38"/>
      <c r="BK360" s="38"/>
      <c r="BL360" s="38"/>
      <c r="BM360" s="38"/>
      <c r="BN360" s="38"/>
      <c r="BO360" s="38"/>
      <c r="BP360" s="38"/>
      <c r="BQ360" s="38"/>
      <c r="BR360" s="38"/>
      <c r="BS360" s="38"/>
      <c r="BT360" s="38"/>
      <c r="BU360" s="38"/>
      <c r="BV360" s="38"/>
      <c r="BW360" s="38"/>
      <c r="BX360" s="38"/>
      <c r="BY360" s="38"/>
    </row>
    <row r="361" spans="2:77" x14ac:dyDescent="0.3">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BG361" s="38"/>
      <c r="BH361" s="38"/>
      <c r="BI361" s="38"/>
      <c r="BJ361" s="38"/>
      <c r="BK361" s="38"/>
      <c r="BL361" s="38"/>
      <c r="BM361" s="38"/>
      <c r="BN361" s="38"/>
      <c r="BO361" s="38"/>
      <c r="BP361" s="38"/>
      <c r="BQ361" s="38"/>
      <c r="BR361" s="38"/>
      <c r="BS361" s="38"/>
      <c r="BT361" s="38"/>
      <c r="BU361" s="38"/>
      <c r="BV361" s="38"/>
      <c r="BW361" s="38"/>
      <c r="BX361" s="38"/>
      <c r="BY361" s="38"/>
    </row>
    <row r="362" spans="2:77" x14ac:dyDescent="0.3">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row>
    <row r="363" spans="2:77" x14ac:dyDescent="0.3">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row>
    <row r="364" spans="2:77" x14ac:dyDescent="0.3">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row>
    <row r="365" spans="2:77" x14ac:dyDescent="0.3">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row>
    <row r="366" spans="2:77" x14ac:dyDescent="0.3">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row>
    <row r="367" spans="2:77" x14ac:dyDescent="0.3">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c r="AS367" s="38"/>
      <c r="AT367" s="38"/>
      <c r="AU367" s="38"/>
      <c r="AV367" s="38"/>
      <c r="AW367" s="38"/>
      <c r="AX367" s="38"/>
      <c r="AY367" s="38"/>
      <c r="AZ367" s="38"/>
      <c r="BA367" s="38"/>
      <c r="BB367" s="38"/>
      <c r="BC367" s="38"/>
      <c r="BD367" s="38"/>
      <c r="BE367" s="38"/>
      <c r="BF367" s="38"/>
      <c r="BG367" s="38"/>
      <c r="BH367" s="38"/>
      <c r="BI367" s="38"/>
      <c r="BJ367" s="38"/>
      <c r="BK367" s="38"/>
      <c r="BL367" s="38"/>
      <c r="BM367" s="38"/>
      <c r="BN367" s="38"/>
      <c r="BO367" s="38"/>
      <c r="BP367" s="38"/>
      <c r="BQ367" s="38"/>
      <c r="BR367" s="38"/>
      <c r="BS367" s="38"/>
      <c r="BT367" s="38"/>
      <c r="BU367" s="38"/>
      <c r="BV367" s="38"/>
      <c r="BW367" s="38"/>
      <c r="BX367" s="38"/>
      <c r="BY367" s="38"/>
    </row>
    <row r="2642" spans="10:10" x14ac:dyDescent="0.3">
      <c r="J2642" s="13">
        <v>2030</v>
      </c>
    </row>
  </sheetData>
  <mergeCells count="77">
    <mergeCell ref="B1:AM1"/>
    <mergeCell ref="AN1:BY1"/>
    <mergeCell ref="B33:AM33"/>
    <mergeCell ref="GJ34:HU34"/>
    <mergeCell ref="GJ35:HU35"/>
    <mergeCell ref="EX33:GI33"/>
    <mergeCell ref="EX34:GI34"/>
    <mergeCell ref="EX35:GI35"/>
    <mergeCell ref="DL34:EW34"/>
    <mergeCell ref="DL35:EW35"/>
    <mergeCell ref="AN33:BY33"/>
    <mergeCell ref="BZ35:DK35"/>
    <mergeCell ref="DL1:EW1"/>
    <mergeCell ref="BZ1:DK1"/>
    <mergeCell ref="BZ33:DK33"/>
    <mergeCell ref="GJ1:HU1"/>
    <mergeCell ref="GJ33:HU33"/>
    <mergeCell ref="DL33:EW33"/>
    <mergeCell ref="MF1:NQ1"/>
    <mergeCell ref="MF33:NQ33"/>
    <mergeCell ref="KT1:ME1"/>
    <mergeCell ref="KT33:ME33"/>
    <mergeCell ref="JH1:KS1"/>
    <mergeCell ref="EX1:GI1"/>
    <mergeCell ref="HV1:JG1"/>
    <mergeCell ref="NR36:PC36"/>
    <mergeCell ref="AN34:BY34"/>
    <mergeCell ref="AN35:BY35"/>
    <mergeCell ref="EX36:GI36"/>
    <mergeCell ref="MF36:NQ36"/>
    <mergeCell ref="DL36:EW36"/>
    <mergeCell ref="GJ36:HU36"/>
    <mergeCell ref="HV36:JG36"/>
    <mergeCell ref="JH36:KS36"/>
    <mergeCell ref="NR34:PC34"/>
    <mergeCell ref="NR35:PC35"/>
    <mergeCell ref="BZ34:DK34"/>
    <mergeCell ref="JH34:KS34"/>
    <mergeCell ref="KT36:ME36"/>
    <mergeCell ref="MF34:NQ34"/>
    <mergeCell ref="MF35:NQ35"/>
    <mergeCell ref="NR1:PC1"/>
    <mergeCell ref="B37:AM37"/>
    <mergeCell ref="NR33:PC33"/>
    <mergeCell ref="HV33:JG33"/>
    <mergeCell ref="B34:AM34"/>
    <mergeCell ref="B35:AM35"/>
    <mergeCell ref="B36:AM36"/>
    <mergeCell ref="AN36:BY36"/>
    <mergeCell ref="BZ36:DK36"/>
    <mergeCell ref="HV34:JG34"/>
    <mergeCell ref="HV35:JG35"/>
    <mergeCell ref="JH35:KS35"/>
    <mergeCell ref="KT34:ME34"/>
    <mergeCell ref="KT35:ME35"/>
    <mergeCell ref="JH33:KS33"/>
    <mergeCell ref="AN37:BY37"/>
    <mergeCell ref="B38:AM38"/>
    <mergeCell ref="AN38:BY38"/>
    <mergeCell ref="BZ38:DK38"/>
    <mergeCell ref="HV38:JG38"/>
    <mergeCell ref="NR38:PC38"/>
    <mergeCell ref="DL38:EW38"/>
    <mergeCell ref="EX38:GI38"/>
    <mergeCell ref="GJ38:HU38"/>
    <mergeCell ref="JH38:KS38"/>
    <mergeCell ref="KT38:ME38"/>
    <mergeCell ref="MF38:NQ38"/>
    <mergeCell ref="BZ37:DK37"/>
    <mergeCell ref="DL37:EW37"/>
    <mergeCell ref="HV37:JG37"/>
    <mergeCell ref="NR37:PC37"/>
    <mergeCell ref="EX37:GI37"/>
    <mergeCell ref="GJ37:HU37"/>
    <mergeCell ref="JH37:KS37"/>
    <mergeCell ref="KT37:ME37"/>
    <mergeCell ref="MF37:NQ37"/>
  </mergeCells>
  <phoneticPr fontId="4" type="noConversion"/>
  <conditionalFormatting sqref="B32:PC32 B8:PC8 B11:PC11 B17:PC17 B20:PC20 B23:PC23 B26:PC26 B29:PC29 B14:PC14 B5:PC5">
    <cfRule type="cellIs" dxfId="8" priority="10" operator="lessThan">
      <formula>-0.01</formula>
    </cfRule>
    <cfRule type="cellIs" dxfId="7" priority="11" operator="greaterThan">
      <formula>0.01</formula>
    </cfRule>
    <cfRule type="cellIs" dxfId="6" priority="7" operator="between">
      <formula>-0.01</formula>
      <formula>0.01</formula>
    </cfRule>
  </conditionalFormatting>
  <conditionalFormatting sqref="PE5">
    <cfRule type="cellIs" dxfId="5" priority="4" operator="between">
      <formula>-0.01</formula>
      <formula>0.01</formula>
    </cfRule>
    <cfRule type="cellIs" dxfId="4" priority="5" operator="lessThan">
      <formula>-0.01</formula>
    </cfRule>
    <cfRule type="cellIs" dxfId="3" priority="6" operator="greaterThan">
      <formula>0.01</formula>
    </cfRule>
  </conditionalFormatting>
  <conditionalFormatting sqref="PG5">
    <cfRule type="cellIs" dxfId="2" priority="1" operator="between">
      <formula>-0.01</formula>
      <formula>0.01</formula>
    </cfRule>
    <cfRule type="cellIs" dxfId="1" priority="2" operator="lessThan">
      <formula>-0.01</formula>
    </cfRule>
    <cfRule type="cellIs" dxfId="0" priority="3" operator="greaterThan">
      <formula>0.01</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D94B-FCA7-4150-9ECD-9C136D9A73C0}">
  <sheetPr codeName="Hoja3"/>
  <dimension ref="A1:AA34"/>
  <sheetViews>
    <sheetView workbookViewId="0"/>
  </sheetViews>
  <sheetFormatPr defaultColWidth="11.42578125" defaultRowHeight="15.75" x14ac:dyDescent="0.3"/>
  <cols>
    <col min="1" max="1" width="13.85546875" style="15" customWidth="1"/>
    <col min="2" max="2" width="13.140625" style="15" customWidth="1"/>
    <col min="3" max="3" width="11.42578125" style="15"/>
    <col min="4" max="27" width="11.85546875" style="13" customWidth="1"/>
    <col min="28" max="16384" width="11.42578125" style="13"/>
  </cols>
  <sheetData>
    <row r="1" spans="1:27" s="21" customFormat="1" ht="40.5" x14ac:dyDescent="0.25">
      <c r="A1" s="21" t="s">
        <v>62</v>
      </c>
      <c r="B1" s="21" t="s">
        <v>65</v>
      </c>
      <c r="C1" s="21" t="s">
        <v>66</v>
      </c>
      <c r="D1" s="22" t="s">
        <v>72</v>
      </c>
      <c r="E1" s="22" t="s">
        <v>68</v>
      </c>
      <c r="F1" s="22" t="s">
        <v>73</v>
      </c>
      <c r="G1" s="22" t="s">
        <v>74</v>
      </c>
      <c r="H1" s="22" t="s">
        <v>69</v>
      </c>
      <c r="I1" s="22" t="s">
        <v>75</v>
      </c>
      <c r="J1" s="22" t="s">
        <v>76</v>
      </c>
      <c r="K1" s="22" t="s">
        <v>70</v>
      </c>
      <c r="L1" s="22" t="s">
        <v>77</v>
      </c>
      <c r="M1" s="22" t="s">
        <v>78</v>
      </c>
      <c r="N1" s="22" t="s">
        <v>71</v>
      </c>
      <c r="O1" s="22" t="s">
        <v>79</v>
      </c>
      <c r="P1" s="22" t="s">
        <v>80</v>
      </c>
      <c r="Q1" s="22" t="s">
        <v>81</v>
      </c>
      <c r="R1" s="22" t="s">
        <v>82</v>
      </c>
      <c r="S1" s="22" t="s">
        <v>83</v>
      </c>
      <c r="T1" s="22" t="s">
        <v>84</v>
      </c>
      <c r="U1" s="22" t="s">
        <v>85</v>
      </c>
      <c r="V1" s="22" t="s">
        <v>86</v>
      </c>
      <c r="W1" s="22" t="s">
        <v>87</v>
      </c>
      <c r="X1" s="22" t="s">
        <v>88</v>
      </c>
      <c r="Y1" s="24" t="s">
        <v>89</v>
      </c>
      <c r="Z1" s="22" t="s">
        <v>90</v>
      </c>
      <c r="AA1" s="22" t="s">
        <v>91</v>
      </c>
    </row>
    <row r="2" spans="1:27" x14ac:dyDescent="0.3">
      <c r="A2" s="15" t="s">
        <v>63</v>
      </c>
      <c r="B2" s="15" t="s">
        <v>1</v>
      </c>
      <c r="C2" s="15">
        <v>2023</v>
      </c>
      <c r="D2" s="13">
        <v>10</v>
      </c>
      <c r="E2" s="13">
        <v>15</v>
      </c>
      <c r="F2" s="23">
        <v>-0.33333333333333331</v>
      </c>
      <c r="I2" s="13">
        <v>0</v>
      </c>
      <c r="L2" s="13">
        <v>0</v>
      </c>
      <c r="O2" s="13">
        <v>0</v>
      </c>
      <c r="R2" s="13">
        <v>0</v>
      </c>
      <c r="U2" s="13">
        <v>0</v>
      </c>
      <c r="X2" s="13">
        <v>0</v>
      </c>
      <c r="AA2" s="13">
        <v>0</v>
      </c>
    </row>
    <row r="3" spans="1:27" x14ac:dyDescent="0.3">
      <c r="A3" s="15" t="s">
        <v>63</v>
      </c>
      <c r="B3" s="15" t="s">
        <v>2</v>
      </c>
      <c r="C3" s="15">
        <v>2024</v>
      </c>
      <c r="F3" s="13">
        <v>0</v>
      </c>
      <c r="I3" s="13">
        <v>0</v>
      </c>
      <c r="L3" s="13">
        <v>0</v>
      </c>
      <c r="O3" s="13">
        <v>0</v>
      </c>
      <c r="R3" s="13">
        <v>0</v>
      </c>
      <c r="U3" s="13">
        <v>0</v>
      </c>
      <c r="X3" s="13">
        <v>0</v>
      </c>
      <c r="AA3" s="13">
        <v>0</v>
      </c>
    </row>
    <row r="4" spans="1:27" x14ac:dyDescent="0.3">
      <c r="A4" s="15" t="s">
        <v>63</v>
      </c>
      <c r="B4" s="15" t="s">
        <v>3</v>
      </c>
      <c r="C4" s="15">
        <v>2025</v>
      </c>
      <c r="F4" s="13">
        <v>0</v>
      </c>
      <c r="I4" s="13">
        <v>0</v>
      </c>
      <c r="L4" s="13">
        <v>0</v>
      </c>
      <c r="O4" s="13">
        <v>0</v>
      </c>
      <c r="R4" s="13">
        <v>0</v>
      </c>
      <c r="U4" s="13">
        <v>0</v>
      </c>
      <c r="X4" s="13">
        <v>0</v>
      </c>
      <c r="AA4" s="13">
        <v>0</v>
      </c>
    </row>
    <row r="5" spans="1:27" x14ac:dyDescent="0.3">
      <c r="A5" s="15" t="s">
        <v>63</v>
      </c>
      <c r="B5" s="15" t="s">
        <v>4</v>
      </c>
      <c r="C5" s="15">
        <v>2026</v>
      </c>
      <c r="F5" s="13">
        <v>0</v>
      </c>
      <c r="I5" s="13">
        <v>0</v>
      </c>
      <c r="L5" s="13">
        <v>0</v>
      </c>
      <c r="O5" s="13">
        <v>0</v>
      </c>
      <c r="R5" s="13">
        <v>0</v>
      </c>
      <c r="U5" s="13">
        <v>0</v>
      </c>
      <c r="X5" s="13">
        <v>0</v>
      </c>
      <c r="AA5" s="13">
        <v>0</v>
      </c>
    </row>
    <row r="6" spans="1:27" x14ac:dyDescent="0.3">
      <c r="A6" s="15" t="s">
        <v>64</v>
      </c>
      <c r="B6" s="15" t="s">
        <v>1</v>
      </c>
      <c r="C6" s="15">
        <v>2027</v>
      </c>
      <c r="F6" s="13">
        <v>0</v>
      </c>
      <c r="I6" s="13">
        <v>0</v>
      </c>
      <c r="L6" s="13">
        <v>0</v>
      </c>
      <c r="O6" s="13">
        <v>0</v>
      </c>
      <c r="R6" s="13">
        <v>0</v>
      </c>
      <c r="U6" s="13">
        <v>0</v>
      </c>
      <c r="X6" s="13">
        <v>0</v>
      </c>
      <c r="AA6" s="13">
        <v>0</v>
      </c>
    </row>
    <row r="7" spans="1:27" x14ac:dyDescent="0.3">
      <c r="A7" s="15" t="s">
        <v>64</v>
      </c>
      <c r="B7" s="15" t="s">
        <v>3</v>
      </c>
      <c r="C7" s="15">
        <v>2028</v>
      </c>
      <c r="F7" s="13">
        <v>0</v>
      </c>
      <c r="I7" s="13">
        <v>0</v>
      </c>
      <c r="L7" s="13">
        <v>0</v>
      </c>
      <c r="O7" s="13">
        <v>0</v>
      </c>
      <c r="R7" s="13">
        <v>0</v>
      </c>
      <c r="U7" s="13">
        <v>0</v>
      </c>
      <c r="X7" s="13">
        <v>0</v>
      </c>
      <c r="AA7" s="13">
        <v>0</v>
      </c>
    </row>
    <row r="8" spans="1:27" x14ac:dyDescent="0.3">
      <c r="A8" s="15" t="s">
        <v>64</v>
      </c>
      <c r="B8" s="15" t="s">
        <v>4</v>
      </c>
      <c r="C8" s="15">
        <v>2029</v>
      </c>
      <c r="F8" s="13">
        <v>0</v>
      </c>
      <c r="I8" s="13">
        <v>0</v>
      </c>
      <c r="L8" s="13">
        <v>0</v>
      </c>
      <c r="O8" s="13">
        <v>0</v>
      </c>
      <c r="R8" s="13">
        <v>0</v>
      </c>
      <c r="U8" s="13">
        <v>0</v>
      </c>
      <c r="X8" s="13">
        <v>0</v>
      </c>
      <c r="AA8" s="13">
        <v>0</v>
      </c>
    </row>
    <row r="9" spans="1:27" x14ac:dyDescent="0.3">
      <c r="A9" s="15" t="s">
        <v>64</v>
      </c>
      <c r="B9" s="15" t="s">
        <v>67</v>
      </c>
      <c r="C9" s="15">
        <v>2030</v>
      </c>
      <c r="F9" s="13">
        <v>0</v>
      </c>
      <c r="I9" s="13">
        <v>0</v>
      </c>
      <c r="L9" s="13">
        <v>0</v>
      </c>
      <c r="O9" s="13">
        <v>0</v>
      </c>
      <c r="R9" s="13">
        <v>0</v>
      </c>
      <c r="U9" s="13">
        <v>0</v>
      </c>
      <c r="X9" s="13">
        <v>0</v>
      </c>
      <c r="AA9" s="13">
        <v>0</v>
      </c>
    </row>
    <row r="10" spans="1:27" x14ac:dyDescent="0.3">
      <c r="C10" s="15">
        <v>2031</v>
      </c>
      <c r="F10" s="13">
        <v>0</v>
      </c>
      <c r="I10" s="13">
        <v>0</v>
      </c>
      <c r="L10" s="13">
        <v>0</v>
      </c>
      <c r="O10" s="13">
        <v>0</v>
      </c>
      <c r="R10" s="13">
        <v>0</v>
      </c>
      <c r="U10" s="13">
        <v>0</v>
      </c>
      <c r="X10" s="13">
        <v>0</v>
      </c>
      <c r="AA10" s="13">
        <v>0</v>
      </c>
    </row>
    <row r="11" spans="1:27" x14ac:dyDescent="0.3">
      <c r="C11" s="15">
        <v>2032</v>
      </c>
      <c r="F11" s="13">
        <v>0</v>
      </c>
      <c r="I11" s="13">
        <v>0</v>
      </c>
      <c r="L11" s="13">
        <v>0</v>
      </c>
      <c r="O11" s="13">
        <v>0</v>
      </c>
      <c r="R11" s="13">
        <v>0</v>
      </c>
      <c r="U11" s="13">
        <v>0</v>
      </c>
      <c r="X11" s="13">
        <v>0</v>
      </c>
      <c r="AA11" s="13">
        <v>0</v>
      </c>
    </row>
    <row r="12" spans="1:27" x14ac:dyDescent="0.3">
      <c r="C12" s="15">
        <v>2033</v>
      </c>
      <c r="F12" s="13">
        <v>0</v>
      </c>
      <c r="I12" s="13">
        <v>0</v>
      </c>
      <c r="L12" s="13">
        <v>0</v>
      </c>
      <c r="O12" s="13">
        <v>0</v>
      </c>
      <c r="R12" s="13">
        <v>0</v>
      </c>
      <c r="U12" s="13">
        <v>0</v>
      </c>
      <c r="X12" s="13">
        <v>0</v>
      </c>
      <c r="AA12" s="13">
        <v>0</v>
      </c>
    </row>
    <row r="13" spans="1:27" x14ac:dyDescent="0.3">
      <c r="C13" s="15">
        <v>2034</v>
      </c>
      <c r="F13" s="13">
        <v>0</v>
      </c>
      <c r="I13" s="13">
        <v>0</v>
      </c>
      <c r="L13" s="13">
        <v>0</v>
      </c>
      <c r="O13" s="13">
        <v>0</v>
      </c>
      <c r="R13" s="13">
        <v>0</v>
      </c>
      <c r="U13" s="13">
        <v>0</v>
      </c>
      <c r="X13" s="13">
        <v>0</v>
      </c>
      <c r="AA13" s="13">
        <v>0</v>
      </c>
    </row>
    <row r="14" spans="1:27" x14ac:dyDescent="0.3">
      <c r="C14" s="15">
        <v>2035</v>
      </c>
      <c r="F14" s="13">
        <v>0</v>
      </c>
      <c r="I14" s="13">
        <v>0</v>
      </c>
      <c r="L14" s="13">
        <v>0</v>
      </c>
      <c r="O14" s="13">
        <v>0</v>
      </c>
      <c r="R14" s="13">
        <v>0</v>
      </c>
      <c r="U14" s="13">
        <v>0</v>
      </c>
      <c r="X14" s="13">
        <v>0</v>
      </c>
      <c r="AA14" s="13">
        <v>0</v>
      </c>
    </row>
    <row r="15" spans="1:27" x14ac:dyDescent="0.3">
      <c r="C15" s="15">
        <v>2036</v>
      </c>
      <c r="F15" s="13">
        <v>0</v>
      </c>
      <c r="I15" s="13">
        <v>0</v>
      </c>
      <c r="L15" s="13">
        <v>0</v>
      </c>
      <c r="O15" s="13">
        <v>0</v>
      </c>
      <c r="R15" s="13">
        <v>0</v>
      </c>
      <c r="U15" s="13">
        <v>0</v>
      </c>
      <c r="X15" s="13">
        <v>0</v>
      </c>
      <c r="AA15" s="13">
        <v>0</v>
      </c>
    </row>
    <row r="16" spans="1:27" x14ac:dyDescent="0.3">
      <c r="C16" s="15">
        <v>2037</v>
      </c>
      <c r="F16" s="13">
        <v>0</v>
      </c>
      <c r="I16" s="13">
        <v>0</v>
      </c>
      <c r="L16" s="13">
        <v>0</v>
      </c>
      <c r="O16" s="13">
        <v>0</v>
      </c>
      <c r="R16" s="13">
        <v>0</v>
      </c>
      <c r="U16" s="13">
        <v>0</v>
      </c>
      <c r="X16" s="13">
        <v>0</v>
      </c>
      <c r="AA16" s="13">
        <v>0</v>
      </c>
    </row>
    <row r="17" spans="3:27" x14ac:dyDescent="0.3">
      <c r="C17" s="15">
        <v>2038</v>
      </c>
      <c r="F17" s="13">
        <v>0</v>
      </c>
      <c r="I17" s="13">
        <v>0</v>
      </c>
      <c r="L17" s="13">
        <v>0</v>
      </c>
      <c r="O17" s="13">
        <v>0</v>
      </c>
      <c r="R17" s="13">
        <v>0</v>
      </c>
      <c r="U17" s="13">
        <v>0</v>
      </c>
      <c r="X17" s="13">
        <v>0</v>
      </c>
      <c r="AA17" s="13">
        <v>0</v>
      </c>
    </row>
    <row r="18" spans="3:27" x14ac:dyDescent="0.3">
      <c r="C18" s="15">
        <v>2039</v>
      </c>
      <c r="F18" s="13">
        <v>0</v>
      </c>
      <c r="I18" s="13">
        <v>0</v>
      </c>
      <c r="L18" s="13">
        <v>0</v>
      </c>
      <c r="O18" s="13">
        <v>0</v>
      </c>
      <c r="R18" s="13">
        <v>0</v>
      </c>
      <c r="U18" s="13">
        <v>0</v>
      </c>
      <c r="X18" s="13">
        <v>0</v>
      </c>
      <c r="AA18" s="13">
        <v>0</v>
      </c>
    </row>
    <row r="19" spans="3:27" x14ac:dyDescent="0.3">
      <c r="C19" s="15">
        <v>2040</v>
      </c>
      <c r="F19" s="13">
        <v>0</v>
      </c>
      <c r="I19" s="13">
        <v>0</v>
      </c>
      <c r="L19" s="13">
        <v>0</v>
      </c>
      <c r="O19" s="13">
        <v>0</v>
      </c>
      <c r="R19" s="13">
        <v>0</v>
      </c>
      <c r="U19" s="13">
        <v>0</v>
      </c>
      <c r="X19" s="13">
        <v>0</v>
      </c>
      <c r="AA19" s="13">
        <v>0</v>
      </c>
    </row>
    <row r="20" spans="3:27" x14ac:dyDescent="0.3">
      <c r="C20" s="15">
        <v>2041</v>
      </c>
      <c r="F20" s="13">
        <v>0</v>
      </c>
      <c r="I20" s="13">
        <v>0</v>
      </c>
      <c r="L20" s="13">
        <v>0</v>
      </c>
      <c r="O20" s="13">
        <v>0</v>
      </c>
      <c r="R20" s="13">
        <v>0</v>
      </c>
      <c r="U20" s="13">
        <v>0</v>
      </c>
      <c r="X20" s="13">
        <v>0</v>
      </c>
      <c r="AA20" s="13">
        <v>0</v>
      </c>
    </row>
    <row r="21" spans="3:27" x14ac:dyDescent="0.3">
      <c r="C21" s="15">
        <v>2042</v>
      </c>
      <c r="F21" s="13">
        <v>0</v>
      </c>
      <c r="I21" s="13">
        <v>0</v>
      </c>
      <c r="L21" s="13">
        <v>0</v>
      </c>
      <c r="O21" s="13">
        <v>0</v>
      </c>
      <c r="R21" s="13">
        <v>0</v>
      </c>
      <c r="U21" s="13">
        <v>0</v>
      </c>
      <c r="X21" s="13">
        <v>0</v>
      </c>
      <c r="AA21" s="13">
        <v>0</v>
      </c>
    </row>
    <row r="22" spans="3:27" x14ac:dyDescent="0.3">
      <c r="C22" s="15">
        <v>2043</v>
      </c>
      <c r="F22" s="13">
        <v>0</v>
      </c>
      <c r="I22" s="13">
        <v>0</v>
      </c>
      <c r="L22" s="13">
        <v>0</v>
      </c>
      <c r="O22" s="13">
        <v>0</v>
      </c>
      <c r="R22" s="13">
        <v>0</v>
      </c>
      <c r="U22" s="13">
        <v>0</v>
      </c>
      <c r="X22" s="13">
        <v>0</v>
      </c>
      <c r="AA22" s="13">
        <v>0</v>
      </c>
    </row>
    <row r="23" spans="3:27" x14ac:dyDescent="0.3">
      <c r="C23" s="15">
        <v>2044</v>
      </c>
      <c r="F23" s="13">
        <v>0</v>
      </c>
      <c r="I23" s="13">
        <v>0</v>
      </c>
      <c r="L23" s="13">
        <v>0</v>
      </c>
      <c r="O23" s="13">
        <v>0</v>
      </c>
      <c r="R23" s="13">
        <v>0</v>
      </c>
      <c r="U23" s="13">
        <v>0</v>
      </c>
      <c r="X23" s="13">
        <v>0</v>
      </c>
      <c r="AA23" s="13">
        <v>0</v>
      </c>
    </row>
    <row r="24" spans="3:27" x14ac:dyDescent="0.3">
      <c r="C24" s="15">
        <v>2045</v>
      </c>
      <c r="F24" s="13">
        <v>0</v>
      </c>
      <c r="I24" s="13">
        <v>0</v>
      </c>
      <c r="L24" s="13">
        <v>0</v>
      </c>
      <c r="O24" s="13">
        <v>0</v>
      </c>
      <c r="R24" s="13">
        <v>0</v>
      </c>
      <c r="U24" s="13">
        <v>0</v>
      </c>
      <c r="X24" s="13">
        <v>0</v>
      </c>
      <c r="AA24" s="13">
        <v>0</v>
      </c>
    </row>
    <row r="25" spans="3:27" x14ac:dyDescent="0.3">
      <c r="C25" s="15">
        <v>2046</v>
      </c>
      <c r="F25" s="13">
        <v>0</v>
      </c>
      <c r="I25" s="13">
        <v>0</v>
      </c>
      <c r="L25" s="13">
        <v>0</v>
      </c>
      <c r="O25" s="13">
        <v>0</v>
      </c>
      <c r="R25" s="13">
        <v>0</v>
      </c>
      <c r="U25" s="13">
        <v>0</v>
      </c>
      <c r="X25" s="13">
        <v>0</v>
      </c>
      <c r="AA25" s="13">
        <v>0</v>
      </c>
    </row>
    <row r="26" spans="3:27" x14ac:dyDescent="0.3">
      <c r="C26" s="15">
        <v>2047</v>
      </c>
      <c r="F26" s="13">
        <v>0</v>
      </c>
      <c r="I26" s="13">
        <v>0</v>
      </c>
      <c r="L26" s="13">
        <v>0</v>
      </c>
      <c r="O26" s="13">
        <v>0</v>
      </c>
      <c r="R26" s="13">
        <v>0</v>
      </c>
      <c r="U26" s="13">
        <v>0</v>
      </c>
      <c r="X26" s="13">
        <v>0</v>
      </c>
      <c r="AA26" s="13">
        <v>0</v>
      </c>
    </row>
    <row r="27" spans="3:27" x14ac:dyDescent="0.3">
      <c r="C27" s="15">
        <v>2048</v>
      </c>
      <c r="F27" s="13">
        <v>0</v>
      </c>
      <c r="I27" s="13">
        <v>0</v>
      </c>
      <c r="L27" s="13">
        <v>0</v>
      </c>
      <c r="O27" s="13">
        <v>0</v>
      </c>
      <c r="R27" s="13">
        <v>0</v>
      </c>
      <c r="U27" s="13">
        <v>0</v>
      </c>
      <c r="X27" s="13">
        <v>0</v>
      </c>
      <c r="AA27" s="13">
        <v>0</v>
      </c>
    </row>
    <row r="28" spans="3:27" x14ac:dyDescent="0.3">
      <c r="C28" s="15">
        <v>2049</v>
      </c>
      <c r="F28" s="13">
        <v>0</v>
      </c>
      <c r="I28" s="13">
        <v>0</v>
      </c>
      <c r="L28" s="13">
        <v>0</v>
      </c>
      <c r="O28" s="13">
        <v>0</v>
      </c>
      <c r="R28" s="13">
        <v>0</v>
      </c>
      <c r="U28" s="13">
        <v>0</v>
      </c>
      <c r="X28" s="13">
        <v>0</v>
      </c>
      <c r="AA28" s="13">
        <v>0</v>
      </c>
    </row>
    <row r="29" spans="3:27" x14ac:dyDescent="0.3">
      <c r="C29" s="15">
        <v>2050</v>
      </c>
      <c r="F29" s="13">
        <v>0</v>
      </c>
      <c r="I29" s="13">
        <v>0</v>
      </c>
      <c r="L29" s="13">
        <v>0</v>
      </c>
      <c r="O29" s="13">
        <v>0</v>
      </c>
      <c r="R29" s="13">
        <v>0</v>
      </c>
      <c r="U29" s="13">
        <v>0</v>
      </c>
      <c r="X29" s="13">
        <v>0</v>
      </c>
      <c r="AA29" s="13">
        <v>0</v>
      </c>
    </row>
    <row r="30" spans="3:27" x14ac:dyDescent="0.3">
      <c r="C30" s="15">
        <v>2051</v>
      </c>
      <c r="F30" s="13">
        <v>0</v>
      </c>
      <c r="I30" s="13">
        <v>0</v>
      </c>
      <c r="L30" s="13">
        <v>0</v>
      </c>
      <c r="O30" s="13">
        <v>0</v>
      </c>
      <c r="R30" s="13">
        <v>0</v>
      </c>
      <c r="U30" s="13">
        <v>0</v>
      </c>
      <c r="X30" s="13">
        <v>0</v>
      </c>
      <c r="AA30" s="13">
        <v>0</v>
      </c>
    </row>
    <row r="31" spans="3:27" x14ac:dyDescent="0.3">
      <c r="C31" s="15">
        <v>2052</v>
      </c>
      <c r="F31" s="13">
        <v>0</v>
      </c>
      <c r="I31" s="13">
        <v>0</v>
      </c>
      <c r="L31" s="13">
        <v>0</v>
      </c>
      <c r="O31" s="13">
        <v>0</v>
      </c>
      <c r="R31" s="13">
        <v>0</v>
      </c>
      <c r="U31" s="13">
        <v>0</v>
      </c>
      <c r="X31" s="13">
        <v>0</v>
      </c>
      <c r="AA31" s="13">
        <v>0</v>
      </c>
    </row>
    <row r="32" spans="3:27" x14ac:dyDescent="0.3">
      <c r="C32" s="15">
        <v>2053</v>
      </c>
      <c r="F32" s="13">
        <v>0</v>
      </c>
      <c r="I32" s="13">
        <v>0</v>
      </c>
      <c r="L32" s="13">
        <v>0</v>
      </c>
      <c r="O32" s="13">
        <v>0</v>
      </c>
      <c r="R32" s="13">
        <v>0</v>
      </c>
      <c r="U32" s="13">
        <v>0</v>
      </c>
      <c r="X32" s="13">
        <v>0</v>
      </c>
      <c r="AA32" s="13">
        <v>0</v>
      </c>
    </row>
    <row r="33" spans="3:27" x14ac:dyDescent="0.3">
      <c r="C33" s="15">
        <v>2054</v>
      </c>
      <c r="F33" s="13">
        <v>0</v>
      </c>
      <c r="I33" s="13">
        <v>0</v>
      </c>
      <c r="L33" s="13">
        <v>0</v>
      </c>
      <c r="O33" s="13">
        <v>0</v>
      </c>
      <c r="R33" s="13">
        <v>0</v>
      </c>
      <c r="U33" s="13">
        <v>0</v>
      </c>
      <c r="X33" s="13">
        <v>0</v>
      </c>
      <c r="AA33" s="13">
        <v>0</v>
      </c>
    </row>
    <row r="34" spans="3:27" x14ac:dyDescent="0.3">
      <c r="C34" s="15">
        <v>2055</v>
      </c>
      <c r="F34" s="13">
        <v>0</v>
      </c>
      <c r="I34" s="13">
        <v>0</v>
      </c>
      <c r="L34" s="13">
        <v>0</v>
      </c>
      <c r="O34" s="13">
        <v>0</v>
      </c>
      <c r="R34" s="13">
        <v>0</v>
      </c>
      <c r="U34" s="13">
        <v>0</v>
      </c>
      <c r="X34" s="13">
        <v>0</v>
      </c>
      <c r="AA34" s="13">
        <v>0</v>
      </c>
    </row>
  </sheetData>
  <phoneticPr fontId="4" type="noConversion"/>
  <dataValidations count="1">
    <dataValidation type="list" allowBlank="1" showInputMessage="1" showErrorMessage="1" sqref="B2:B18" xr:uid="{521D670F-346E-49EB-AA11-BC1AED0B8E01}">
      <formula1>Reserves_Category</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C25F4-245F-4DA3-80E0-6F87221D99E3}">
  <sheetPr codeName="Hoja6"/>
  <dimension ref="A1:A6"/>
  <sheetViews>
    <sheetView workbookViewId="0"/>
  </sheetViews>
  <sheetFormatPr defaultColWidth="11.42578125" defaultRowHeight="15" x14ac:dyDescent="0.25"/>
  <sheetData>
    <row r="1" spans="1:1" x14ac:dyDescent="0.25">
      <c r="A1" t="s">
        <v>65</v>
      </c>
    </row>
    <row r="2" spans="1:1" x14ac:dyDescent="0.25">
      <c r="A2" t="s">
        <v>1</v>
      </c>
    </row>
    <row r="3" spans="1:1" x14ac:dyDescent="0.25">
      <c r="A3" t="s">
        <v>2</v>
      </c>
    </row>
    <row r="4" spans="1:1" x14ac:dyDescent="0.25">
      <c r="A4" t="s">
        <v>3</v>
      </c>
    </row>
    <row r="5" spans="1:1" x14ac:dyDescent="0.25">
      <c r="A5" t="s">
        <v>4</v>
      </c>
    </row>
    <row r="6" spans="1:1" x14ac:dyDescent="0.25">
      <c r="A6" t="s">
        <v>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05698-2E7B-4571-838E-115510612712}">
  <sheetPr codeName="Hoja2"/>
  <dimension ref="A1:J4612"/>
  <sheetViews>
    <sheetView zoomScale="70" zoomScaleNormal="70" workbookViewId="0">
      <pane ySplit="1" topLeftCell="A3698" activePane="bottomLeft" state="frozen"/>
      <selection pane="bottomLeft" activeCell="J1" sqref="J1:J1048576"/>
    </sheetView>
  </sheetViews>
  <sheetFormatPr defaultColWidth="11.42578125" defaultRowHeight="15" x14ac:dyDescent="0.25"/>
  <cols>
    <col min="1" max="1" width="10.5703125" style="8" customWidth="1"/>
    <col min="2" max="2" width="7.85546875" style="8" customWidth="1"/>
    <col min="3" max="3" width="31.28515625" customWidth="1"/>
    <col min="4" max="4" width="65.42578125" customWidth="1"/>
    <col min="5" max="5" width="9.5703125" style="8" customWidth="1"/>
    <col min="6" max="6" width="91.85546875" customWidth="1"/>
    <col min="7" max="7" width="8.5703125" style="8" customWidth="1"/>
    <col min="8" max="8" width="6.42578125" customWidth="1"/>
    <col min="9" max="9" width="93" customWidth="1"/>
    <col min="10" max="10" width="50.7109375" customWidth="1"/>
  </cols>
  <sheetData>
    <row r="1" spans="1:10" s="3" customFormat="1" ht="30" x14ac:dyDescent="0.25">
      <c r="A1" s="3" t="s">
        <v>33</v>
      </c>
      <c r="B1" s="3" t="s">
        <v>5</v>
      </c>
      <c r="C1" s="3" t="s">
        <v>0</v>
      </c>
      <c r="D1" s="3" t="s">
        <v>35</v>
      </c>
      <c r="E1" s="3" t="s">
        <v>33</v>
      </c>
      <c r="F1" s="3" t="s">
        <v>29</v>
      </c>
      <c r="G1" s="3" t="s">
        <v>30</v>
      </c>
      <c r="H1" s="3" t="s">
        <v>31</v>
      </c>
      <c r="I1" s="3" t="s">
        <v>32</v>
      </c>
      <c r="J1" s="3" t="s">
        <v>32</v>
      </c>
    </row>
    <row r="2" spans="1:10" x14ac:dyDescent="0.25">
      <c r="A2" s="7" t="s">
        <v>1</v>
      </c>
      <c r="B2" s="7">
        <v>2023</v>
      </c>
      <c r="C2" s="4" t="s">
        <v>51</v>
      </c>
      <c r="D2" s="5" t="s">
        <v>128</v>
      </c>
      <c r="E2" s="10" t="str">
        <f>_xlfn.CONCAT(A2,"'!")</f>
        <v>PDP'!</v>
      </c>
      <c r="F2" s="5" t="str">
        <f>_xlfn.CONCAT(D2," ",E2)</f>
        <v>C:\Users\jaime.benazar\Quorum Business Solutions\Ecopetrol Prometeo - Documents\Planning Space Implementation\3. Analysis &amp; Design\Design\FC22\DRR Jaime\QUIFA-CAJÚA\Cajua\[VAS_CAJUA_CF_SEC_20230125.xlsx]CF PDP'!</v>
      </c>
      <c r="G2" s="7" t="s">
        <v>47</v>
      </c>
      <c r="H2" s="4">
        <v>36</v>
      </c>
      <c r="I2" s="4" t="str">
        <f>_xlfn.CONCAT("='",F2:H2)</f>
        <v>='C:\Users\jaime.benazar\Quorum Business Solutions\Ecopetrol Prometeo - Documents\Planning Space Implementation\3. Analysis &amp; Design\Design\FC22\DRR Jaime\QUIFA-CAJÚA\Cajua\[VAS_CAJUA_CF_SEC_20230125.xlsx]CF PDP'!$AY$36</v>
      </c>
      <c r="J2" s="4" t="s">
        <v>129</v>
      </c>
    </row>
    <row r="3" spans="1:10" x14ac:dyDescent="0.25">
      <c r="A3" s="7" t="s">
        <v>1</v>
      </c>
      <c r="B3" s="7">
        <f>+B2+1</f>
        <v>2024</v>
      </c>
      <c r="C3" s="4" t="s">
        <v>51</v>
      </c>
      <c r="D3" s="5" t="s">
        <v>128</v>
      </c>
      <c r="E3" s="10" t="str">
        <f t="shared" ref="E3:E96" si="0">_xlfn.CONCAT(A3,"'!")</f>
        <v>PDP'!</v>
      </c>
      <c r="F3" s="5" t="str">
        <f t="shared" ref="F3:F94" si="1">_xlfn.CONCAT(D3," ",E3)</f>
        <v>C:\Users\jaime.benazar\Quorum Business Solutions\Ecopetrol Prometeo - Documents\Planning Space Implementation\3. Analysis &amp; Design\Design\FC22\DRR Jaime\QUIFA-CAJÚA\Cajua\[VAS_CAJUA_CF_SEC_20230125.xlsx]CF PDP'!</v>
      </c>
      <c r="G3" s="7" t="s">
        <v>47</v>
      </c>
      <c r="H3" s="4">
        <f>IF(A3&lt;&gt;A2,36,H2+1)</f>
        <v>37</v>
      </c>
      <c r="I3" s="4" t="str">
        <f t="shared" ref="I3:I96" si="2">_xlfn.CONCAT("='",F3:H3)</f>
        <v>='C:\Users\jaime.benazar\Quorum Business Solutions\Ecopetrol Prometeo - Documents\Planning Space Implementation\3. Analysis &amp; Design\Design\FC22\DRR Jaime\QUIFA-CAJÚA\Cajua\[VAS_CAJUA_CF_SEC_20230125.xlsx]CF PDP'!$AY$37</v>
      </c>
      <c r="J3" s="4" t="s">
        <v>130</v>
      </c>
    </row>
    <row r="4" spans="1:10" x14ac:dyDescent="0.25">
      <c r="A4" s="7" t="s">
        <v>1</v>
      </c>
      <c r="B4" s="7">
        <f t="shared" ref="B4:B15" si="3">+B3+1</f>
        <v>2025</v>
      </c>
      <c r="C4" s="4" t="s">
        <v>51</v>
      </c>
      <c r="D4" s="5" t="s">
        <v>128</v>
      </c>
      <c r="E4" s="10" t="str">
        <f t="shared" si="0"/>
        <v>PDP'!</v>
      </c>
      <c r="F4" s="5" t="str">
        <f t="shared" si="1"/>
        <v>C:\Users\jaime.benazar\Quorum Business Solutions\Ecopetrol Prometeo - Documents\Planning Space Implementation\3. Analysis &amp; Design\Design\FC22\DRR Jaime\QUIFA-CAJÚA\Cajua\[VAS_CAJUA_CF_SEC_20230125.xlsx]CF PDP'!</v>
      </c>
      <c r="G4" s="7" t="s">
        <v>47</v>
      </c>
      <c r="H4" s="4">
        <f t="shared" ref="H4:H97" si="4">IF(A4&lt;&gt;A3,36,H3+1)</f>
        <v>38</v>
      </c>
      <c r="I4" s="4" t="str">
        <f t="shared" si="2"/>
        <v>='C:\Users\jaime.benazar\Quorum Business Solutions\Ecopetrol Prometeo - Documents\Planning Space Implementation\3. Analysis &amp; Design\Design\FC22\DRR Jaime\QUIFA-CAJÚA\Cajua\[VAS_CAJUA_CF_SEC_20230125.xlsx]CF PDP'!$AY$38</v>
      </c>
      <c r="J4" s="4" t="s">
        <v>131</v>
      </c>
    </row>
    <row r="5" spans="1:10" x14ac:dyDescent="0.25">
      <c r="A5" s="7" t="s">
        <v>1</v>
      </c>
      <c r="B5" s="7">
        <f t="shared" si="3"/>
        <v>2026</v>
      </c>
      <c r="C5" s="4" t="s">
        <v>51</v>
      </c>
      <c r="D5" s="5" t="s">
        <v>128</v>
      </c>
      <c r="E5" s="10" t="str">
        <f t="shared" si="0"/>
        <v>PDP'!</v>
      </c>
      <c r="F5" s="5" t="str">
        <f t="shared" si="1"/>
        <v>C:\Users\jaime.benazar\Quorum Business Solutions\Ecopetrol Prometeo - Documents\Planning Space Implementation\3. Analysis &amp; Design\Design\FC22\DRR Jaime\QUIFA-CAJÚA\Cajua\[VAS_CAJUA_CF_SEC_20230125.xlsx]CF PDP'!</v>
      </c>
      <c r="G5" s="7" t="s">
        <v>47</v>
      </c>
      <c r="H5" s="4">
        <f t="shared" si="4"/>
        <v>39</v>
      </c>
      <c r="I5" s="4" t="str">
        <f t="shared" si="2"/>
        <v>='C:\Users\jaime.benazar\Quorum Business Solutions\Ecopetrol Prometeo - Documents\Planning Space Implementation\3. Analysis &amp; Design\Design\FC22\DRR Jaime\QUIFA-CAJÚA\Cajua\[VAS_CAJUA_CF_SEC_20230125.xlsx]CF PDP'!$AY$39</v>
      </c>
      <c r="J5" s="4" t="s">
        <v>132</v>
      </c>
    </row>
    <row r="6" spans="1:10" x14ac:dyDescent="0.25">
      <c r="A6" s="7" t="s">
        <v>1</v>
      </c>
      <c r="B6" s="7">
        <f t="shared" si="3"/>
        <v>2027</v>
      </c>
      <c r="C6" s="4" t="s">
        <v>51</v>
      </c>
      <c r="D6" s="5" t="s">
        <v>128</v>
      </c>
      <c r="E6" s="10" t="str">
        <f t="shared" si="0"/>
        <v>PDP'!</v>
      </c>
      <c r="F6" s="5" t="str">
        <f t="shared" si="1"/>
        <v>C:\Users\jaime.benazar\Quorum Business Solutions\Ecopetrol Prometeo - Documents\Planning Space Implementation\3. Analysis &amp; Design\Design\FC22\DRR Jaime\QUIFA-CAJÚA\Cajua\[VAS_CAJUA_CF_SEC_20230125.xlsx]CF PDP'!</v>
      </c>
      <c r="G6" s="7" t="s">
        <v>47</v>
      </c>
      <c r="H6" s="4">
        <f t="shared" si="4"/>
        <v>40</v>
      </c>
      <c r="I6" s="4" t="str">
        <f t="shared" si="2"/>
        <v>='C:\Users\jaime.benazar\Quorum Business Solutions\Ecopetrol Prometeo - Documents\Planning Space Implementation\3. Analysis &amp; Design\Design\FC22\DRR Jaime\QUIFA-CAJÚA\Cajua\[VAS_CAJUA_CF_SEC_20230125.xlsx]CF PDP'!$AY$40</v>
      </c>
      <c r="J6" s="4" t="s">
        <v>133</v>
      </c>
    </row>
    <row r="7" spans="1:10" x14ac:dyDescent="0.25">
      <c r="A7" s="7" t="s">
        <v>1</v>
      </c>
      <c r="B7" s="7">
        <f t="shared" si="3"/>
        <v>2028</v>
      </c>
      <c r="C7" s="4" t="s">
        <v>51</v>
      </c>
      <c r="D7" s="5" t="s">
        <v>128</v>
      </c>
      <c r="E7" s="10" t="str">
        <f t="shared" si="0"/>
        <v>PDP'!</v>
      </c>
      <c r="F7" s="5" t="str">
        <f t="shared" si="1"/>
        <v>C:\Users\jaime.benazar\Quorum Business Solutions\Ecopetrol Prometeo - Documents\Planning Space Implementation\3. Analysis &amp; Design\Design\FC22\DRR Jaime\QUIFA-CAJÚA\Cajua\[VAS_CAJUA_CF_SEC_20230125.xlsx]CF PDP'!</v>
      </c>
      <c r="G7" s="7" t="s">
        <v>47</v>
      </c>
      <c r="H7" s="4">
        <f t="shared" si="4"/>
        <v>41</v>
      </c>
      <c r="I7" s="4" t="str">
        <f t="shared" si="2"/>
        <v>='C:\Users\jaime.benazar\Quorum Business Solutions\Ecopetrol Prometeo - Documents\Planning Space Implementation\3. Analysis &amp; Design\Design\FC22\DRR Jaime\QUIFA-CAJÚA\Cajua\[VAS_CAJUA_CF_SEC_20230125.xlsx]CF PDP'!$AY$41</v>
      </c>
      <c r="J7" s="4" t="s">
        <v>134</v>
      </c>
    </row>
    <row r="8" spans="1:10" x14ac:dyDescent="0.25">
      <c r="A8" s="7" t="s">
        <v>1</v>
      </c>
      <c r="B8" s="7">
        <f t="shared" si="3"/>
        <v>2029</v>
      </c>
      <c r="C8" s="4" t="s">
        <v>51</v>
      </c>
      <c r="D8" s="5" t="s">
        <v>128</v>
      </c>
      <c r="E8" s="10" t="str">
        <f t="shared" si="0"/>
        <v>PDP'!</v>
      </c>
      <c r="F8" s="5" t="str">
        <f t="shared" si="1"/>
        <v>C:\Users\jaime.benazar\Quorum Business Solutions\Ecopetrol Prometeo - Documents\Planning Space Implementation\3. Analysis &amp; Design\Design\FC22\DRR Jaime\QUIFA-CAJÚA\Cajua\[VAS_CAJUA_CF_SEC_20230125.xlsx]CF PDP'!</v>
      </c>
      <c r="G8" s="7" t="s">
        <v>47</v>
      </c>
      <c r="H8" s="4">
        <f t="shared" si="4"/>
        <v>42</v>
      </c>
      <c r="I8" s="4" t="str">
        <f t="shared" si="2"/>
        <v>='C:\Users\jaime.benazar\Quorum Business Solutions\Ecopetrol Prometeo - Documents\Planning Space Implementation\3. Analysis &amp; Design\Design\FC22\DRR Jaime\QUIFA-CAJÚA\Cajua\[VAS_CAJUA_CF_SEC_20230125.xlsx]CF PDP'!$AY$42</v>
      </c>
      <c r="J8" s="4" t="s">
        <v>135</v>
      </c>
    </row>
    <row r="9" spans="1:10" x14ac:dyDescent="0.25">
      <c r="A9" s="7" t="s">
        <v>1</v>
      </c>
      <c r="B9" s="7">
        <f t="shared" si="3"/>
        <v>2030</v>
      </c>
      <c r="C9" s="4" t="s">
        <v>51</v>
      </c>
      <c r="D9" s="5" t="s">
        <v>128</v>
      </c>
      <c r="E9" s="10" t="str">
        <f t="shared" si="0"/>
        <v>PDP'!</v>
      </c>
      <c r="F9" s="5" t="str">
        <f t="shared" si="1"/>
        <v>C:\Users\jaime.benazar\Quorum Business Solutions\Ecopetrol Prometeo - Documents\Planning Space Implementation\3. Analysis &amp; Design\Design\FC22\DRR Jaime\QUIFA-CAJÚA\Cajua\[VAS_CAJUA_CF_SEC_20230125.xlsx]CF PDP'!</v>
      </c>
      <c r="G9" s="7" t="s">
        <v>47</v>
      </c>
      <c r="H9" s="4">
        <f t="shared" si="4"/>
        <v>43</v>
      </c>
      <c r="I9" s="4" t="str">
        <f t="shared" si="2"/>
        <v>='C:\Users\jaime.benazar\Quorum Business Solutions\Ecopetrol Prometeo - Documents\Planning Space Implementation\3. Analysis &amp; Design\Design\FC22\DRR Jaime\QUIFA-CAJÚA\Cajua\[VAS_CAJUA_CF_SEC_20230125.xlsx]CF PDP'!$AY$43</v>
      </c>
      <c r="J9" s="4" t="s">
        <v>136</v>
      </c>
    </row>
    <row r="10" spans="1:10" x14ac:dyDescent="0.25">
      <c r="A10" s="7" t="s">
        <v>1</v>
      </c>
      <c r="B10" s="7">
        <f t="shared" si="3"/>
        <v>2031</v>
      </c>
      <c r="C10" s="4" t="s">
        <v>51</v>
      </c>
      <c r="D10" s="5" t="s">
        <v>128</v>
      </c>
      <c r="E10" s="10" t="str">
        <f t="shared" si="0"/>
        <v>PDP'!</v>
      </c>
      <c r="F10" s="5" t="str">
        <f t="shared" si="1"/>
        <v>C:\Users\jaime.benazar\Quorum Business Solutions\Ecopetrol Prometeo - Documents\Planning Space Implementation\3. Analysis &amp; Design\Design\FC22\DRR Jaime\QUIFA-CAJÚA\Cajua\[VAS_CAJUA_CF_SEC_20230125.xlsx]CF PDP'!</v>
      </c>
      <c r="G10" s="7" t="s">
        <v>47</v>
      </c>
      <c r="H10" s="4">
        <f t="shared" si="4"/>
        <v>44</v>
      </c>
      <c r="I10" s="4" t="str">
        <f t="shared" si="2"/>
        <v>='C:\Users\jaime.benazar\Quorum Business Solutions\Ecopetrol Prometeo - Documents\Planning Space Implementation\3. Analysis &amp; Design\Design\FC22\DRR Jaime\QUIFA-CAJÚA\Cajua\[VAS_CAJUA_CF_SEC_20230125.xlsx]CF PDP'!$AY$44</v>
      </c>
      <c r="J10" s="4" t="s">
        <v>137</v>
      </c>
    </row>
    <row r="11" spans="1:10" x14ac:dyDescent="0.25">
      <c r="A11" s="7" t="s">
        <v>1</v>
      </c>
      <c r="B11" s="7">
        <f t="shared" si="3"/>
        <v>2032</v>
      </c>
      <c r="C11" s="4" t="s">
        <v>51</v>
      </c>
      <c r="D11" s="5" t="s">
        <v>128</v>
      </c>
      <c r="E11" s="10" t="str">
        <f t="shared" si="0"/>
        <v>PDP'!</v>
      </c>
      <c r="F11" s="5" t="str">
        <f t="shared" si="1"/>
        <v>C:\Users\jaime.benazar\Quorum Business Solutions\Ecopetrol Prometeo - Documents\Planning Space Implementation\3. Analysis &amp; Design\Design\FC22\DRR Jaime\QUIFA-CAJÚA\Cajua\[VAS_CAJUA_CF_SEC_20230125.xlsx]CF PDP'!</v>
      </c>
      <c r="G11" s="7" t="s">
        <v>47</v>
      </c>
      <c r="H11" s="4">
        <f t="shared" si="4"/>
        <v>45</v>
      </c>
      <c r="I11" s="4" t="str">
        <f t="shared" si="2"/>
        <v>='C:\Users\jaime.benazar\Quorum Business Solutions\Ecopetrol Prometeo - Documents\Planning Space Implementation\3. Analysis &amp; Design\Design\FC22\DRR Jaime\QUIFA-CAJÚA\Cajua\[VAS_CAJUA_CF_SEC_20230125.xlsx]CF PDP'!$AY$45</v>
      </c>
      <c r="J11" s="4" t="s">
        <v>138</v>
      </c>
    </row>
    <row r="12" spans="1:10" x14ac:dyDescent="0.25">
      <c r="A12" s="7" t="s">
        <v>1</v>
      </c>
      <c r="B12" s="7">
        <f t="shared" si="3"/>
        <v>2033</v>
      </c>
      <c r="C12" s="4" t="s">
        <v>51</v>
      </c>
      <c r="D12" s="5" t="s">
        <v>128</v>
      </c>
      <c r="E12" s="10" t="str">
        <f t="shared" si="0"/>
        <v>PDP'!</v>
      </c>
      <c r="F12" s="5" t="str">
        <f t="shared" si="1"/>
        <v>C:\Users\jaime.benazar\Quorum Business Solutions\Ecopetrol Prometeo - Documents\Planning Space Implementation\3. Analysis &amp; Design\Design\FC22\DRR Jaime\QUIFA-CAJÚA\Cajua\[VAS_CAJUA_CF_SEC_20230125.xlsx]CF PDP'!</v>
      </c>
      <c r="G12" s="7" t="s">
        <v>47</v>
      </c>
      <c r="H12" s="4">
        <f t="shared" si="4"/>
        <v>46</v>
      </c>
      <c r="I12" s="4" t="str">
        <f t="shared" si="2"/>
        <v>='C:\Users\jaime.benazar\Quorum Business Solutions\Ecopetrol Prometeo - Documents\Planning Space Implementation\3. Analysis &amp; Design\Design\FC22\DRR Jaime\QUIFA-CAJÚA\Cajua\[VAS_CAJUA_CF_SEC_20230125.xlsx]CF PDP'!$AY$46</v>
      </c>
      <c r="J12" s="4" t="s">
        <v>139</v>
      </c>
    </row>
    <row r="13" spans="1:10" x14ac:dyDescent="0.25">
      <c r="A13" s="7" t="s">
        <v>1</v>
      </c>
      <c r="B13" s="7">
        <f t="shared" si="3"/>
        <v>2034</v>
      </c>
      <c r="C13" s="4" t="s">
        <v>51</v>
      </c>
      <c r="D13" s="5" t="s">
        <v>128</v>
      </c>
      <c r="E13" s="10" t="str">
        <f t="shared" si="0"/>
        <v>PDP'!</v>
      </c>
      <c r="F13" s="5" t="str">
        <f t="shared" si="1"/>
        <v>C:\Users\jaime.benazar\Quorum Business Solutions\Ecopetrol Prometeo - Documents\Planning Space Implementation\3. Analysis &amp; Design\Design\FC22\DRR Jaime\QUIFA-CAJÚA\Cajua\[VAS_CAJUA_CF_SEC_20230125.xlsx]CF PDP'!</v>
      </c>
      <c r="G13" s="7" t="s">
        <v>47</v>
      </c>
      <c r="H13" s="4">
        <f t="shared" si="4"/>
        <v>47</v>
      </c>
      <c r="I13" s="4" t="str">
        <f t="shared" si="2"/>
        <v>='C:\Users\jaime.benazar\Quorum Business Solutions\Ecopetrol Prometeo - Documents\Planning Space Implementation\3. Analysis &amp; Design\Design\FC22\DRR Jaime\QUIFA-CAJÚA\Cajua\[VAS_CAJUA_CF_SEC_20230125.xlsx]CF PDP'!$AY$47</v>
      </c>
      <c r="J13" s="4" t="s">
        <v>140</v>
      </c>
    </row>
    <row r="14" spans="1:10" x14ac:dyDescent="0.25">
      <c r="A14" s="7" t="s">
        <v>1</v>
      </c>
      <c r="B14" s="7">
        <f t="shared" si="3"/>
        <v>2035</v>
      </c>
      <c r="C14" s="4" t="s">
        <v>51</v>
      </c>
      <c r="D14" s="5" t="s">
        <v>128</v>
      </c>
      <c r="E14" s="10" t="str">
        <f t="shared" si="0"/>
        <v>PDP'!</v>
      </c>
      <c r="F14" s="5" t="str">
        <f t="shared" si="1"/>
        <v>C:\Users\jaime.benazar\Quorum Business Solutions\Ecopetrol Prometeo - Documents\Planning Space Implementation\3. Analysis &amp; Design\Design\FC22\DRR Jaime\QUIFA-CAJÚA\Cajua\[VAS_CAJUA_CF_SEC_20230125.xlsx]CF PDP'!</v>
      </c>
      <c r="G14" s="7" t="s">
        <v>47</v>
      </c>
      <c r="H14" s="4">
        <f t="shared" si="4"/>
        <v>48</v>
      </c>
      <c r="I14" s="4" t="str">
        <f t="shared" si="2"/>
        <v>='C:\Users\jaime.benazar\Quorum Business Solutions\Ecopetrol Prometeo - Documents\Planning Space Implementation\3. Analysis &amp; Design\Design\FC22\DRR Jaime\QUIFA-CAJÚA\Cajua\[VAS_CAJUA_CF_SEC_20230125.xlsx]CF PDP'!$AY$48</v>
      </c>
      <c r="J14" s="4" t="s">
        <v>141</v>
      </c>
    </row>
    <row r="15" spans="1:10" x14ac:dyDescent="0.25">
      <c r="A15" s="7" t="s">
        <v>1</v>
      </c>
      <c r="B15" s="7">
        <f t="shared" si="3"/>
        <v>2036</v>
      </c>
      <c r="C15" s="4" t="s">
        <v>51</v>
      </c>
      <c r="D15" s="5" t="s">
        <v>128</v>
      </c>
      <c r="E15" s="10" t="str">
        <f t="shared" si="0"/>
        <v>PDP'!</v>
      </c>
      <c r="F15" s="5" t="str">
        <f t="shared" si="1"/>
        <v>C:\Users\jaime.benazar\Quorum Business Solutions\Ecopetrol Prometeo - Documents\Planning Space Implementation\3. Analysis &amp; Design\Design\FC22\DRR Jaime\QUIFA-CAJÚA\Cajua\[VAS_CAJUA_CF_SEC_20230125.xlsx]CF PDP'!</v>
      </c>
      <c r="G15" s="7" t="s">
        <v>47</v>
      </c>
      <c r="H15" s="4">
        <f t="shared" si="4"/>
        <v>49</v>
      </c>
      <c r="I15" s="4" t="str">
        <f t="shared" si="2"/>
        <v>='C:\Users\jaime.benazar\Quorum Business Solutions\Ecopetrol Prometeo - Documents\Planning Space Implementation\3. Analysis &amp; Design\Design\FC22\DRR Jaime\QUIFA-CAJÚA\Cajua\[VAS_CAJUA_CF_SEC_20230125.xlsx]CF PDP'!$AY$49</v>
      </c>
      <c r="J15" s="4" t="s">
        <v>142</v>
      </c>
    </row>
    <row r="16" spans="1:10" x14ac:dyDescent="0.25">
      <c r="A16" s="7" t="s">
        <v>1</v>
      </c>
      <c r="B16" s="7">
        <f>+B15+1</f>
        <v>2037</v>
      </c>
      <c r="C16" s="4" t="s">
        <v>51</v>
      </c>
      <c r="D16" s="5" t="s">
        <v>128</v>
      </c>
      <c r="E16" s="10" t="str">
        <f t="shared" si="0"/>
        <v>PDP'!</v>
      </c>
      <c r="F16" s="5" t="str">
        <f t="shared" si="1"/>
        <v>C:\Users\jaime.benazar\Quorum Business Solutions\Ecopetrol Prometeo - Documents\Planning Space Implementation\3. Analysis &amp; Design\Design\FC22\DRR Jaime\QUIFA-CAJÚA\Cajua\[VAS_CAJUA_CF_SEC_20230125.xlsx]CF PDP'!</v>
      </c>
      <c r="G16" s="7" t="s">
        <v>47</v>
      </c>
      <c r="H16" s="4">
        <f t="shared" si="4"/>
        <v>50</v>
      </c>
      <c r="I16" s="4" t="str">
        <f t="shared" si="2"/>
        <v>='C:\Users\jaime.benazar\Quorum Business Solutions\Ecopetrol Prometeo - Documents\Planning Space Implementation\3. Analysis &amp; Design\Design\FC22\DRR Jaime\QUIFA-CAJÚA\Cajua\[VAS_CAJUA_CF_SEC_20230125.xlsx]CF PDP'!$AY$50</v>
      </c>
      <c r="J16" s="4" t="s">
        <v>143</v>
      </c>
    </row>
    <row r="17" spans="1:10" x14ac:dyDescent="0.25">
      <c r="A17" s="7" t="s">
        <v>1</v>
      </c>
      <c r="B17" s="7">
        <f t="shared" ref="B17:B19" si="5">+B16+1</f>
        <v>2038</v>
      </c>
      <c r="C17" s="4" t="s">
        <v>51</v>
      </c>
      <c r="D17" s="5" t="s">
        <v>128</v>
      </c>
      <c r="E17" s="10" t="str">
        <f t="shared" si="0"/>
        <v>PDP'!</v>
      </c>
      <c r="F17" s="5" t="str">
        <f t="shared" si="1"/>
        <v>C:\Users\jaime.benazar\Quorum Business Solutions\Ecopetrol Prometeo - Documents\Planning Space Implementation\3. Analysis &amp; Design\Design\FC22\DRR Jaime\QUIFA-CAJÚA\Cajua\[VAS_CAJUA_CF_SEC_20230125.xlsx]CF PDP'!</v>
      </c>
      <c r="G17" s="7" t="s">
        <v>47</v>
      </c>
      <c r="H17" s="4">
        <f t="shared" si="4"/>
        <v>51</v>
      </c>
      <c r="I17" s="4" t="str">
        <f t="shared" si="2"/>
        <v>='C:\Users\jaime.benazar\Quorum Business Solutions\Ecopetrol Prometeo - Documents\Planning Space Implementation\3. Analysis &amp; Design\Design\FC22\DRR Jaime\QUIFA-CAJÚA\Cajua\[VAS_CAJUA_CF_SEC_20230125.xlsx]CF PDP'!$AY$51</v>
      </c>
      <c r="J17" s="4" t="s">
        <v>144</v>
      </c>
    </row>
    <row r="18" spans="1:10" x14ac:dyDescent="0.25">
      <c r="A18" s="7" t="s">
        <v>1</v>
      </c>
      <c r="B18" s="7">
        <f t="shared" si="5"/>
        <v>2039</v>
      </c>
      <c r="C18" s="4" t="s">
        <v>51</v>
      </c>
      <c r="D18" s="5" t="s">
        <v>128</v>
      </c>
      <c r="E18" s="10" t="str">
        <f t="shared" si="0"/>
        <v>PDP'!</v>
      </c>
      <c r="F18" s="5" t="str">
        <f t="shared" si="1"/>
        <v>C:\Users\jaime.benazar\Quorum Business Solutions\Ecopetrol Prometeo - Documents\Planning Space Implementation\3. Analysis &amp; Design\Design\FC22\DRR Jaime\QUIFA-CAJÚA\Cajua\[VAS_CAJUA_CF_SEC_20230125.xlsx]CF PDP'!</v>
      </c>
      <c r="G18" s="7" t="s">
        <v>47</v>
      </c>
      <c r="H18" s="4">
        <f t="shared" si="4"/>
        <v>52</v>
      </c>
      <c r="I18" s="4" t="str">
        <f t="shared" si="2"/>
        <v>='C:\Users\jaime.benazar\Quorum Business Solutions\Ecopetrol Prometeo - Documents\Planning Space Implementation\3. Analysis &amp; Design\Design\FC22\DRR Jaime\QUIFA-CAJÚA\Cajua\[VAS_CAJUA_CF_SEC_20230125.xlsx]CF PDP'!$AY$52</v>
      </c>
      <c r="J18" s="4" t="s">
        <v>145</v>
      </c>
    </row>
    <row r="19" spans="1:10" x14ac:dyDescent="0.25">
      <c r="A19" s="7" t="s">
        <v>1</v>
      </c>
      <c r="B19" s="7">
        <f t="shared" si="5"/>
        <v>2040</v>
      </c>
      <c r="C19" s="4" t="s">
        <v>51</v>
      </c>
      <c r="D19" s="5" t="s">
        <v>128</v>
      </c>
      <c r="E19" s="10" t="str">
        <f t="shared" si="0"/>
        <v>PDP'!</v>
      </c>
      <c r="F19" s="5" t="str">
        <f t="shared" si="1"/>
        <v>C:\Users\jaime.benazar\Quorum Business Solutions\Ecopetrol Prometeo - Documents\Planning Space Implementation\3. Analysis &amp; Design\Design\FC22\DRR Jaime\QUIFA-CAJÚA\Cajua\[VAS_CAJUA_CF_SEC_20230125.xlsx]CF PDP'!</v>
      </c>
      <c r="G19" s="7" t="s">
        <v>47</v>
      </c>
      <c r="H19" s="4">
        <f t="shared" si="4"/>
        <v>53</v>
      </c>
      <c r="I19" s="4" t="str">
        <f t="shared" si="2"/>
        <v>='C:\Users\jaime.benazar\Quorum Business Solutions\Ecopetrol Prometeo - Documents\Planning Space Implementation\3. Analysis &amp; Design\Design\FC22\DRR Jaime\QUIFA-CAJÚA\Cajua\[VAS_CAJUA_CF_SEC_20230125.xlsx]CF PDP'!$AY$53</v>
      </c>
      <c r="J19" s="4" t="s">
        <v>146</v>
      </c>
    </row>
    <row r="20" spans="1:10" x14ac:dyDescent="0.25">
      <c r="A20" s="7" t="s">
        <v>1</v>
      </c>
      <c r="B20" s="7">
        <f>+B19+1</f>
        <v>2041</v>
      </c>
      <c r="C20" s="4" t="s">
        <v>51</v>
      </c>
      <c r="D20" s="5" t="s">
        <v>128</v>
      </c>
      <c r="E20" s="10" t="str">
        <f t="shared" si="0"/>
        <v>PDP'!</v>
      </c>
      <c r="F20" s="5" t="str">
        <f t="shared" si="1"/>
        <v>C:\Users\jaime.benazar\Quorum Business Solutions\Ecopetrol Prometeo - Documents\Planning Space Implementation\3. Analysis &amp; Design\Design\FC22\DRR Jaime\QUIFA-CAJÚA\Cajua\[VAS_CAJUA_CF_SEC_20230125.xlsx]CF PDP'!</v>
      </c>
      <c r="G20" s="7" t="s">
        <v>47</v>
      </c>
      <c r="H20" s="4">
        <f t="shared" si="4"/>
        <v>54</v>
      </c>
      <c r="I20" s="4" t="str">
        <f t="shared" si="2"/>
        <v>='C:\Users\jaime.benazar\Quorum Business Solutions\Ecopetrol Prometeo - Documents\Planning Space Implementation\3. Analysis &amp; Design\Design\FC22\DRR Jaime\QUIFA-CAJÚA\Cajua\[VAS_CAJUA_CF_SEC_20230125.xlsx]CF PDP'!$AY$54</v>
      </c>
      <c r="J20" s="4" t="s">
        <v>147</v>
      </c>
    </row>
    <row r="21" spans="1:10" x14ac:dyDescent="0.25">
      <c r="A21" s="7" t="s">
        <v>1</v>
      </c>
      <c r="B21" s="7">
        <f>+B20+1</f>
        <v>2042</v>
      </c>
      <c r="C21" s="4" t="s">
        <v>51</v>
      </c>
      <c r="D21" s="5" t="s">
        <v>128</v>
      </c>
      <c r="E21" s="10" t="str">
        <f t="shared" si="0"/>
        <v>PDP'!</v>
      </c>
      <c r="F21" s="5" t="str">
        <f t="shared" si="1"/>
        <v>C:\Users\jaime.benazar\Quorum Business Solutions\Ecopetrol Prometeo - Documents\Planning Space Implementation\3. Analysis &amp; Design\Design\FC22\DRR Jaime\QUIFA-CAJÚA\Cajua\[VAS_CAJUA_CF_SEC_20230125.xlsx]CF PDP'!</v>
      </c>
      <c r="G21" s="7" t="s">
        <v>47</v>
      </c>
      <c r="H21" s="4">
        <f>IF(A21&lt;&gt;A20,36,H20+1)</f>
        <v>55</v>
      </c>
      <c r="I21" s="4" t="str">
        <f t="shared" si="2"/>
        <v>='C:\Users\jaime.benazar\Quorum Business Solutions\Ecopetrol Prometeo - Documents\Planning Space Implementation\3. Analysis &amp; Design\Design\FC22\DRR Jaime\QUIFA-CAJÚA\Cajua\[VAS_CAJUA_CF_SEC_20230125.xlsx]CF PDP'!$AY$55</v>
      </c>
      <c r="J21" s="4" t="s">
        <v>148</v>
      </c>
    </row>
    <row r="22" spans="1:10" x14ac:dyDescent="0.25">
      <c r="A22" s="7" t="s">
        <v>1</v>
      </c>
      <c r="B22" s="7">
        <f t="shared" ref="B22" si="6">+B21+1</f>
        <v>2043</v>
      </c>
      <c r="C22" s="4" t="s">
        <v>51</v>
      </c>
      <c r="D22" s="5" t="s">
        <v>128</v>
      </c>
      <c r="E22" s="10" t="str">
        <f t="shared" si="0"/>
        <v>PDP'!</v>
      </c>
      <c r="F22" s="5" t="str">
        <f t="shared" si="1"/>
        <v>C:\Users\jaime.benazar\Quorum Business Solutions\Ecopetrol Prometeo - Documents\Planning Space Implementation\3. Analysis &amp; Design\Design\FC22\DRR Jaime\QUIFA-CAJÚA\Cajua\[VAS_CAJUA_CF_SEC_20230125.xlsx]CF PDP'!</v>
      </c>
      <c r="G22" s="7" t="s">
        <v>47</v>
      </c>
      <c r="H22" s="4">
        <f t="shared" si="4"/>
        <v>56</v>
      </c>
      <c r="I22" s="4" t="str">
        <f t="shared" si="2"/>
        <v>='C:\Users\jaime.benazar\Quorum Business Solutions\Ecopetrol Prometeo - Documents\Planning Space Implementation\3. Analysis &amp; Design\Design\FC22\DRR Jaime\QUIFA-CAJÚA\Cajua\[VAS_CAJUA_CF_SEC_20230125.xlsx]CF PDP'!$AY$56</v>
      </c>
      <c r="J22" s="4" t="s">
        <v>149</v>
      </c>
    </row>
    <row r="23" spans="1:10" x14ac:dyDescent="0.25">
      <c r="A23" s="7" t="s">
        <v>1</v>
      </c>
      <c r="B23" s="7">
        <f>+B22+1</f>
        <v>2044</v>
      </c>
      <c r="C23" s="4" t="s">
        <v>51</v>
      </c>
      <c r="D23" s="5" t="s">
        <v>128</v>
      </c>
      <c r="E23" s="10" t="str">
        <f t="shared" si="0"/>
        <v>PDP'!</v>
      </c>
      <c r="F23" s="5" t="str">
        <f t="shared" si="1"/>
        <v>C:\Users\jaime.benazar\Quorum Business Solutions\Ecopetrol Prometeo - Documents\Planning Space Implementation\3. Analysis &amp; Design\Design\FC22\DRR Jaime\QUIFA-CAJÚA\Cajua\[VAS_CAJUA_CF_SEC_20230125.xlsx]CF PDP'!</v>
      </c>
      <c r="G23" s="7" t="s">
        <v>47</v>
      </c>
      <c r="H23" s="4">
        <f t="shared" si="4"/>
        <v>57</v>
      </c>
      <c r="I23" s="4" t="str">
        <f t="shared" si="2"/>
        <v>='C:\Users\jaime.benazar\Quorum Business Solutions\Ecopetrol Prometeo - Documents\Planning Space Implementation\3. Analysis &amp; Design\Design\FC22\DRR Jaime\QUIFA-CAJÚA\Cajua\[VAS_CAJUA_CF_SEC_20230125.xlsx]CF PDP'!$AY$57</v>
      </c>
      <c r="J23" s="4" t="s">
        <v>150</v>
      </c>
    </row>
    <row r="24" spans="1:10" x14ac:dyDescent="0.25">
      <c r="A24" s="7" t="s">
        <v>1</v>
      </c>
      <c r="B24" s="7">
        <f t="shared" ref="B24:B38" si="7">+B23+1</f>
        <v>2045</v>
      </c>
      <c r="C24" s="4" t="s">
        <v>51</v>
      </c>
      <c r="D24" s="5" t="s">
        <v>128</v>
      </c>
      <c r="E24" s="10" t="str">
        <f t="shared" si="0"/>
        <v>PDP'!</v>
      </c>
      <c r="F24" s="5" t="str">
        <f t="shared" si="1"/>
        <v>C:\Users\jaime.benazar\Quorum Business Solutions\Ecopetrol Prometeo - Documents\Planning Space Implementation\3. Analysis &amp; Design\Design\FC22\DRR Jaime\QUIFA-CAJÚA\Cajua\[VAS_CAJUA_CF_SEC_20230125.xlsx]CF PDP'!</v>
      </c>
      <c r="G24" s="7" t="s">
        <v>47</v>
      </c>
      <c r="H24" s="4">
        <f t="shared" si="4"/>
        <v>58</v>
      </c>
      <c r="I24" s="4" t="str">
        <f t="shared" si="2"/>
        <v>='C:\Users\jaime.benazar\Quorum Business Solutions\Ecopetrol Prometeo - Documents\Planning Space Implementation\3. Analysis &amp; Design\Design\FC22\DRR Jaime\QUIFA-CAJÚA\Cajua\[VAS_CAJUA_CF_SEC_20230125.xlsx]CF PDP'!$AY$58</v>
      </c>
      <c r="J24" s="4" t="s">
        <v>151</v>
      </c>
    </row>
    <row r="25" spans="1:10" x14ac:dyDescent="0.25">
      <c r="A25" s="7" t="s">
        <v>1</v>
      </c>
      <c r="B25" s="7">
        <f t="shared" si="7"/>
        <v>2046</v>
      </c>
      <c r="C25" s="4" t="s">
        <v>51</v>
      </c>
      <c r="D25" s="5" t="s">
        <v>128</v>
      </c>
      <c r="E25" s="10" t="str">
        <f t="shared" ref="E25:E38" si="8">_xlfn.CONCAT(A25,"'!")</f>
        <v>PDP'!</v>
      </c>
      <c r="F25" s="5" t="str">
        <f t="shared" ref="F25:F38" si="9">_xlfn.CONCAT(D25," ",E25)</f>
        <v>C:\Users\jaime.benazar\Quorum Business Solutions\Ecopetrol Prometeo - Documents\Planning Space Implementation\3. Analysis &amp; Design\Design\FC22\DRR Jaime\QUIFA-CAJÚA\Cajua\[VAS_CAJUA_CF_SEC_20230125.xlsx]CF PDP'!</v>
      </c>
      <c r="G25" s="7" t="s">
        <v>47</v>
      </c>
      <c r="H25" s="4">
        <f t="shared" ref="H25:H38" si="10">IF(A25&lt;&gt;A24,36,H24+1)</f>
        <v>59</v>
      </c>
      <c r="I25" s="4" t="str">
        <f t="shared" ref="I25:I38" si="11">_xlfn.CONCAT("='",F25:H25)</f>
        <v>='C:\Users\jaime.benazar\Quorum Business Solutions\Ecopetrol Prometeo - Documents\Planning Space Implementation\3. Analysis &amp; Design\Design\FC22\DRR Jaime\QUIFA-CAJÚA\Cajua\[VAS_CAJUA_CF_SEC_20230125.xlsx]CF PDP'!$AY$59</v>
      </c>
      <c r="J25" s="4" t="s">
        <v>152</v>
      </c>
    </row>
    <row r="26" spans="1:10" x14ac:dyDescent="0.25">
      <c r="A26" s="7" t="s">
        <v>1</v>
      </c>
      <c r="B26" s="7">
        <f t="shared" si="7"/>
        <v>2047</v>
      </c>
      <c r="C26" s="4" t="s">
        <v>51</v>
      </c>
      <c r="D26" s="5" t="s">
        <v>128</v>
      </c>
      <c r="E26" s="10" t="str">
        <f t="shared" si="8"/>
        <v>PDP'!</v>
      </c>
      <c r="F26" s="5" t="str">
        <f t="shared" si="9"/>
        <v>C:\Users\jaime.benazar\Quorum Business Solutions\Ecopetrol Prometeo - Documents\Planning Space Implementation\3. Analysis &amp; Design\Design\FC22\DRR Jaime\QUIFA-CAJÚA\Cajua\[VAS_CAJUA_CF_SEC_20230125.xlsx]CF PDP'!</v>
      </c>
      <c r="G26" s="7" t="s">
        <v>47</v>
      </c>
      <c r="H26" s="4">
        <f t="shared" si="10"/>
        <v>60</v>
      </c>
      <c r="I26" s="4" t="str">
        <f t="shared" si="11"/>
        <v>='C:\Users\jaime.benazar\Quorum Business Solutions\Ecopetrol Prometeo - Documents\Planning Space Implementation\3. Analysis &amp; Design\Design\FC22\DRR Jaime\QUIFA-CAJÚA\Cajua\[VAS_CAJUA_CF_SEC_20230125.xlsx]CF PDP'!$AY$60</v>
      </c>
      <c r="J26" s="4" t="s">
        <v>153</v>
      </c>
    </row>
    <row r="27" spans="1:10" x14ac:dyDescent="0.25">
      <c r="A27" s="7" t="s">
        <v>1</v>
      </c>
      <c r="B27" s="7">
        <f t="shared" si="7"/>
        <v>2048</v>
      </c>
      <c r="C27" s="4" t="s">
        <v>51</v>
      </c>
      <c r="D27" s="5" t="s">
        <v>128</v>
      </c>
      <c r="E27" s="10" t="str">
        <f t="shared" si="8"/>
        <v>PDP'!</v>
      </c>
      <c r="F27" s="5" t="str">
        <f t="shared" si="9"/>
        <v>C:\Users\jaime.benazar\Quorum Business Solutions\Ecopetrol Prometeo - Documents\Planning Space Implementation\3. Analysis &amp; Design\Design\FC22\DRR Jaime\QUIFA-CAJÚA\Cajua\[VAS_CAJUA_CF_SEC_20230125.xlsx]CF PDP'!</v>
      </c>
      <c r="G27" s="7" t="s">
        <v>47</v>
      </c>
      <c r="H27" s="4">
        <f t="shared" si="10"/>
        <v>61</v>
      </c>
      <c r="I27" s="4" t="str">
        <f t="shared" si="11"/>
        <v>='C:\Users\jaime.benazar\Quorum Business Solutions\Ecopetrol Prometeo - Documents\Planning Space Implementation\3. Analysis &amp; Design\Design\FC22\DRR Jaime\QUIFA-CAJÚA\Cajua\[VAS_CAJUA_CF_SEC_20230125.xlsx]CF PDP'!$AY$61</v>
      </c>
      <c r="J27" s="4" t="s">
        <v>154</v>
      </c>
    </row>
    <row r="28" spans="1:10" x14ac:dyDescent="0.25">
      <c r="A28" s="7" t="s">
        <v>1</v>
      </c>
      <c r="B28" s="7">
        <f t="shared" si="7"/>
        <v>2049</v>
      </c>
      <c r="C28" s="4" t="s">
        <v>51</v>
      </c>
      <c r="D28" s="5" t="s">
        <v>128</v>
      </c>
      <c r="E28" s="10" t="str">
        <f t="shared" si="8"/>
        <v>PDP'!</v>
      </c>
      <c r="F28" s="5" t="str">
        <f t="shared" si="9"/>
        <v>C:\Users\jaime.benazar\Quorum Business Solutions\Ecopetrol Prometeo - Documents\Planning Space Implementation\3. Analysis &amp; Design\Design\FC22\DRR Jaime\QUIFA-CAJÚA\Cajua\[VAS_CAJUA_CF_SEC_20230125.xlsx]CF PDP'!</v>
      </c>
      <c r="G28" s="7" t="s">
        <v>47</v>
      </c>
      <c r="H28" s="4">
        <f t="shared" si="10"/>
        <v>62</v>
      </c>
      <c r="I28" s="4" t="str">
        <f t="shared" si="11"/>
        <v>='C:\Users\jaime.benazar\Quorum Business Solutions\Ecopetrol Prometeo - Documents\Planning Space Implementation\3. Analysis &amp; Design\Design\FC22\DRR Jaime\QUIFA-CAJÚA\Cajua\[VAS_CAJUA_CF_SEC_20230125.xlsx]CF PDP'!$AY$62</v>
      </c>
      <c r="J28" s="4" t="s">
        <v>155</v>
      </c>
    </row>
    <row r="29" spans="1:10" x14ac:dyDescent="0.25">
      <c r="A29" s="7" t="s">
        <v>1</v>
      </c>
      <c r="B29" s="7">
        <f t="shared" si="7"/>
        <v>2050</v>
      </c>
      <c r="C29" s="4" t="s">
        <v>51</v>
      </c>
      <c r="D29" s="5" t="s">
        <v>128</v>
      </c>
      <c r="E29" s="10" t="str">
        <f t="shared" si="8"/>
        <v>PDP'!</v>
      </c>
      <c r="F29" s="5" t="str">
        <f t="shared" si="9"/>
        <v>C:\Users\jaime.benazar\Quorum Business Solutions\Ecopetrol Prometeo - Documents\Planning Space Implementation\3. Analysis &amp; Design\Design\FC22\DRR Jaime\QUIFA-CAJÚA\Cajua\[VAS_CAJUA_CF_SEC_20230125.xlsx]CF PDP'!</v>
      </c>
      <c r="G29" s="7" t="s">
        <v>47</v>
      </c>
      <c r="H29" s="4">
        <f t="shared" si="10"/>
        <v>63</v>
      </c>
      <c r="I29" s="4" t="str">
        <f t="shared" si="11"/>
        <v>='C:\Users\jaime.benazar\Quorum Business Solutions\Ecopetrol Prometeo - Documents\Planning Space Implementation\3. Analysis &amp; Design\Design\FC22\DRR Jaime\QUIFA-CAJÚA\Cajua\[VAS_CAJUA_CF_SEC_20230125.xlsx]CF PDP'!$AY$63</v>
      </c>
      <c r="J29" s="4" t="s">
        <v>156</v>
      </c>
    </row>
    <row r="30" spans="1:10" x14ac:dyDescent="0.25">
      <c r="A30" s="7" t="s">
        <v>1</v>
      </c>
      <c r="B30" s="7">
        <f t="shared" si="7"/>
        <v>2051</v>
      </c>
      <c r="C30" s="4" t="s">
        <v>51</v>
      </c>
      <c r="D30" s="5" t="s">
        <v>128</v>
      </c>
      <c r="E30" s="10" t="str">
        <f t="shared" si="8"/>
        <v>PDP'!</v>
      </c>
      <c r="F30" s="5" t="str">
        <f t="shared" si="9"/>
        <v>C:\Users\jaime.benazar\Quorum Business Solutions\Ecopetrol Prometeo - Documents\Planning Space Implementation\3. Analysis &amp; Design\Design\FC22\DRR Jaime\QUIFA-CAJÚA\Cajua\[VAS_CAJUA_CF_SEC_20230125.xlsx]CF PDP'!</v>
      </c>
      <c r="G30" s="7" t="s">
        <v>47</v>
      </c>
      <c r="H30" s="4">
        <f t="shared" si="10"/>
        <v>64</v>
      </c>
      <c r="I30" s="4" t="str">
        <f t="shared" si="11"/>
        <v>='C:\Users\jaime.benazar\Quorum Business Solutions\Ecopetrol Prometeo - Documents\Planning Space Implementation\3. Analysis &amp; Design\Design\FC22\DRR Jaime\QUIFA-CAJÚA\Cajua\[VAS_CAJUA_CF_SEC_20230125.xlsx]CF PDP'!$AY$64</v>
      </c>
      <c r="J30" s="4" t="s">
        <v>157</v>
      </c>
    </row>
    <row r="31" spans="1:10" x14ac:dyDescent="0.25">
      <c r="A31" s="7" t="s">
        <v>1</v>
      </c>
      <c r="B31" s="7">
        <f t="shared" si="7"/>
        <v>2052</v>
      </c>
      <c r="C31" s="4" t="s">
        <v>51</v>
      </c>
      <c r="D31" s="5" t="s">
        <v>128</v>
      </c>
      <c r="E31" s="10" t="str">
        <f t="shared" si="8"/>
        <v>PDP'!</v>
      </c>
      <c r="F31" s="5" t="str">
        <f t="shared" si="9"/>
        <v>C:\Users\jaime.benazar\Quorum Business Solutions\Ecopetrol Prometeo - Documents\Planning Space Implementation\3. Analysis &amp; Design\Design\FC22\DRR Jaime\QUIFA-CAJÚA\Cajua\[VAS_CAJUA_CF_SEC_20230125.xlsx]CF PDP'!</v>
      </c>
      <c r="G31" s="7" t="s">
        <v>47</v>
      </c>
      <c r="H31" s="4">
        <f t="shared" si="10"/>
        <v>65</v>
      </c>
      <c r="I31" s="4" t="str">
        <f t="shared" si="11"/>
        <v>='C:\Users\jaime.benazar\Quorum Business Solutions\Ecopetrol Prometeo - Documents\Planning Space Implementation\3. Analysis &amp; Design\Design\FC22\DRR Jaime\QUIFA-CAJÚA\Cajua\[VAS_CAJUA_CF_SEC_20230125.xlsx]CF PDP'!$AY$65</v>
      </c>
      <c r="J31" s="4" t="s">
        <v>158</v>
      </c>
    </row>
    <row r="32" spans="1:10" x14ac:dyDescent="0.25">
      <c r="A32" s="7" t="s">
        <v>1</v>
      </c>
      <c r="B32" s="7">
        <f t="shared" si="7"/>
        <v>2053</v>
      </c>
      <c r="C32" s="4" t="s">
        <v>51</v>
      </c>
      <c r="D32" s="5" t="s">
        <v>128</v>
      </c>
      <c r="E32" s="10" t="str">
        <f t="shared" si="8"/>
        <v>PDP'!</v>
      </c>
      <c r="F32" s="5" t="str">
        <f t="shared" si="9"/>
        <v>C:\Users\jaime.benazar\Quorum Business Solutions\Ecopetrol Prometeo - Documents\Planning Space Implementation\3. Analysis &amp; Design\Design\FC22\DRR Jaime\QUIFA-CAJÚA\Cajua\[VAS_CAJUA_CF_SEC_20230125.xlsx]CF PDP'!</v>
      </c>
      <c r="G32" s="7" t="s">
        <v>47</v>
      </c>
      <c r="H32" s="4">
        <f t="shared" si="10"/>
        <v>66</v>
      </c>
      <c r="I32" s="4" t="str">
        <f t="shared" si="11"/>
        <v>='C:\Users\jaime.benazar\Quorum Business Solutions\Ecopetrol Prometeo - Documents\Planning Space Implementation\3. Analysis &amp; Design\Design\FC22\DRR Jaime\QUIFA-CAJÚA\Cajua\[VAS_CAJUA_CF_SEC_20230125.xlsx]CF PDP'!$AY$66</v>
      </c>
      <c r="J32" s="4" t="s">
        <v>159</v>
      </c>
    </row>
    <row r="33" spans="1:10" x14ac:dyDescent="0.25">
      <c r="A33" s="7" t="s">
        <v>1</v>
      </c>
      <c r="B33" s="7">
        <f t="shared" si="7"/>
        <v>2054</v>
      </c>
      <c r="C33" s="4" t="s">
        <v>51</v>
      </c>
      <c r="D33" s="5" t="s">
        <v>128</v>
      </c>
      <c r="E33" s="10" t="str">
        <f t="shared" si="8"/>
        <v>PDP'!</v>
      </c>
      <c r="F33" s="5" t="str">
        <f t="shared" si="9"/>
        <v>C:\Users\jaime.benazar\Quorum Business Solutions\Ecopetrol Prometeo - Documents\Planning Space Implementation\3. Analysis &amp; Design\Design\FC22\DRR Jaime\QUIFA-CAJÚA\Cajua\[VAS_CAJUA_CF_SEC_20230125.xlsx]CF PDP'!</v>
      </c>
      <c r="G33" s="7" t="s">
        <v>47</v>
      </c>
      <c r="H33" s="4">
        <f t="shared" si="10"/>
        <v>67</v>
      </c>
      <c r="I33" s="4" t="str">
        <f t="shared" si="11"/>
        <v>='C:\Users\jaime.benazar\Quorum Business Solutions\Ecopetrol Prometeo - Documents\Planning Space Implementation\3. Analysis &amp; Design\Design\FC22\DRR Jaime\QUIFA-CAJÚA\Cajua\[VAS_CAJUA_CF_SEC_20230125.xlsx]CF PDP'!$AY$67</v>
      </c>
      <c r="J33" s="4" t="s">
        <v>160</v>
      </c>
    </row>
    <row r="34" spans="1:10" x14ac:dyDescent="0.25">
      <c r="A34" s="7" t="s">
        <v>1</v>
      </c>
      <c r="B34" s="7">
        <f t="shared" si="7"/>
        <v>2055</v>
      </c>
      <c r="C34" s="4" t="s">
        <v>51</v>
      </c>
      <c r="D34" s="5" t="s">
        <v>128</v>
      </c>
      <c r="E34" s="10" t="str">
        <f t="shared" si="8"/>
        <v>PDP'!</v>
      </c>
      <c r="F34" s="5" t="str">
        <f t="shared" si="9"/>
        <v>C:\Users\jaime.benazar\Quorum Business Solutions\Ecopetrol Prometeo - Documents\Planning Space Implementation\3. Analysis &amp; Design\Design\FC22\DRR Jaime\QUIFA-CAJÚA\Cajua\[VAS_CAJUA_CF_SEC_20230125.xlsx]CF PDP'!</v>
      </c>
      <c r="G34" s="7" t="s">
        <v>47</v>
      </c>
      <c r="H34" s="4">
        <f t="shared" si="10"/>
        <v>68</v>
      </c>
      <c r="I34" s="4" t="str">
        <f t="shared" si="11"/>
        <v>='C:\Users\jaime.benazar\Quorum Business Solutions\Ecopetrol Prometeo - Documents\Planning Space Implementation\3. Analysis &amp; Design\Design\FC22\DRR Jaime\QUIFA-CAJÚA\Cajua\[VAS_CAJUA_CF_SEC_20230125.xlsx]CF PDP'!$AY$68</v>
      </c>
      <c r="J34" s="4" t="s">
        <v>161</v>
      </c>
    </row>
    <row r="35" spans="1:10" x14ac:dyDescent="0.25">
      <c r="A35" s="7" t="s">
        <v>1</v>
      </c>
      <c r="B35" s="7">
        <f t="shared" si="7"/>
        <v>2056</v>
      </c>
      <c r="C35" s="4" t="s">
        <v>51</v>
      </c>
      <c r="D35" s="5" t="s">
        <v>128</v>
      </c>
      <c r="E35" s="10" t="str">
        <f t="shared" si="8"/>
        <v>PDP'!</v>
      </c>
      <c r="F35" s="5" t="str">
        <f t="shared" si="9"/>
        <v>C:\Users\jaime.benazar\Quorum Business Solutions\Ecopetrol Prometeo - Documents\Planning Space Implementation\3. Analysis &amp; Design\Design\FC22\DRR Jaime\QUIFA-CAJÚA\Cajua\[VAS_CAJUA_CF_SEC_20230125.xlsx]CF PDP'!</v>
      </c>
      <c r="G35" s="7" t="s">
        <v>47</v>
      </c>
      <c r="H35" s="4">
        <f t="shared" si="10"/>
        <v>69</v>
      </c>
      <c r="I35" s="4" t="str">
        <f t="shared" si="11"/>
        <v>='C:\Users\jaime.benazar\Quorum Business Solutions\Ecopetrol Prometeo - Documents\Planning Space Implementation\3. Analysis &amp; Design\Design\FC22\DRR Jaime\QUIFA-CAJÚA\Cajua\[VAS_CAJUA_CF_SEC_20230125.xlsx]CF PDP'!$AY$69</v>
      </c>
      <c r="J35" s="4" t="s">
        <v>162</v>
      </c>
    </row>
    <row r="36" spans="1:10" x14ac:dyDescent="0.25">
      <c r="A36" s="7" t="s">
        <v>1</v>
      </c>
      <c r="B36" s="7">
        <f t="shared" si="7"/>
        <v>2057</v>
      </c>
      <c r="C36" s="4" t="s">
        <v>51</v>
      </c>
      <c r="D36" s="5" t="s">
        <v>128</v>
      </c>
      <c r="E36" s="10" t="str">
        <f t="shared" si="8"/>
        <v>PDP'!</v>
      </c>
      <c r="F36" s="5" t="str">
        <f t="shared" si="9"/>
        <v>C:\Users\jaime.benazar\Quorum Business Solutions\Ecopetrol Prometeo - Documents\Planning Space Implementation\3. Analysis &amp; Design\Design\FC22\DRR Jaime\QUIFA-CAJÚA\Cajua\[VAS_CAJUA_CF_SEC_20230125.xlsx]CF PDP'!</v>
      </c>
      <c r="G36" s="7" t="s">
        <v>47</v>
      </c>
      <c r="H36" s="4">
        <f t="shared" si="10"/>
        <v>70</v>
      </c>
      <c r="I36" s="4" t="str">
        <f t="shared" si="11"/>
        <v>='C:\Users\jaime.benazar\Quorum Business Solutions\Ecopetrol Prometeo - Documents\Planning Space Implementation\3. Analysis &amp; Design\Design\FC22\DRR Jaime\QUIFA-CAJÚA\Cajua\[VAS_CAJUA_CF_SEC_20230125.xlsx]CF PDP'!$AY$70</v>
      </c>
      <c r="J36" s="4" t="s">
        <v>163</v>
      </c>
    </row>
    <row r="37" spans="1:10" x14ac:dyDescent="0.25">
      <c r="A37" s="7" t="s">
        <v>1</v>
      </c>
      <c r="B37" s="7">
        <f t="shared" si="7"/>
        <v>2058</v>
      </c>
      <c r="C37" s="4" t="s">
        <v>51</v>
      </c>
      <c r="D37" s="5" t="s">
        <v>128</v>
      </c>
      <c r="E37" s="10" t="str">
        <f t="shared" si="8"/>
        <v>PDP'!</v>
      </c>
      <c r="F37" s="5" t="str">
        <f t="shared" si="9"/>
        <v>C:\Users\jaime.benazar\Quorum Business Solutions\Ecopetrol Prometeo - Documents\Planning Space Implementation\3. Analysis &amp; Design\Design\FC22\DRR Jaime\QUIFA-CAJÚA\Cajua\[VAS_CAJUA_CF_SEC_20230125.xlsx]CF PDP'!</v>
      </c>
      <c r="G37" s="7" t="s">
        <v>47</v>
      </c>
      <c r="H37" s="4">
        <f t="shared" si="10"/>
        <v>71</v>
      </c>
      <c r="I37" s="4" t="str">
        <f t="shared" si="11"/>
        <v>='C:\Users\jaime.benazar\Quorum Business Solutions\Ecopetrol Prometeo - Documents\Planning Space Implementation\3. Analysis &amp; Design\Design\FC22\DRR Jaime\QUIFA-CAJÚA\Cajua\[VAS_CAJUA_CF_SEC_20230125.xlsx]CF PDP'!$AY$71</v>
      </c>
      <c r="J37" s="4" t="s">
        <v>164</v>
      </c>
    </row>
    <row r="38" spans="1:10" x14ac:dyDescent="0.25">
      <c r="A38" s="7" t="s">
        <v>1</v>
      </c>
      <c r="B38" s="7">
        <f t="shared" si="7"/>
        <v>2059</v>
      </c>
      <c r="C38" s="4" t="s">
        <v>51</v>
      </c>
      <c r="D38" s="5" t="s">
        <v>128</v>
      </c>
      <c r="E38" s="10" t="str">
        <f t="shared" si="8"/>
        <v>PDP'!</v>
      </c>
      <c r="F38" s="5" t="str">
        <f t="shared" si="9"/>
        <v>C:\Users\jaime.benazar\Quorum Business Solutions\Ecopetrol Prometeo - Documents\Planning Space Implementation\3. Analysis &amp; Design\Design\FC22\DRR Jaime\QUIFA-CAJÚA\Cajua\[VAS_CAJUA_CF_SEC_20230125.xlsx]CF PDP'!</v>
      </c>
      <c r="G38" s="7" t="s">
        <v>47</v>
      </c>
      <c r="H38" s="4">
        <f t="shared" si="10"/>
        <v>72</v>
      </c>
      <c r="I38" s="4" t="str">
        <f t="shared" si="11"/>
        <v>='C:\Users\jaime.benazar\Quorum Business Solutions\Ecopetrol Prometeo - Documents\Planning Space Implementation\3. Analysis &amp; Design\Design\FC22\DRR Jaime\QUIFA-CAJÚA\Cajua\[VAS_CAJUA_CF_SEC_20230125.xlsx]CF PDP'!$AY$72</v>
      </c>
      <c r="J38" s="4" t="s">
        <v>165</v>
      </c>
    </row>
    <row r="39" spans="1:10" x14ac:dyDescent="0.25">
      <c r="A39" s="7" t="s">
        <v>28</v>
      </c>
      <c r="B39" s="7"/>
      <c r="C39" s="4" t="s">
        <v>51</v>
      </c>
      <c r="D39" s="5"/>
      <c r="E39" s="10"/>
      <c r="F39" s="5" t="str">
        <f t="shared" si="1"/>
        <v xml:space="preserve"> </v>
      </c>
      <c r="G39" s="7"/>
      <c r="H39" s="4"/>
      <c r="I39" s="4"/>
      <c r="J39" s="4"/>
    </row>
    <row r="40" spans="1:10" x14ac:dyDescent="0.25">
      <c r="A40" s="7" t="s">
        <v>2</v>
      </c>
      <c r="B40" s="7">
        <v>2023</v>
      </c>
      <c r="C40" s="4" t="s">
        <v>51</v>
      </c>
      <c r="D40" s="5" t="s">
        <v>128</v>
      </c>
      <c r="E40" s="10" t="str">
        <f t="shared" si="0"/>
        <v>PNP'!</v>
      </c>
      <c r="F40" s="5" t="str">
        <f t="shared" si="1"/>
        <v>C:\Users\jaime.benazar\Quorum Business Solutions\Ecopetrol Prometeo - Documents\Planning Space Implementation\3. Analysis &amp; Design\Design\FC22\DRR Jaime\QUIFA-CAJÚA\Cajua\[VAS_CAJUA_CF_SEC_20230125.xlsx]CF PNP'!</v>
      </c>
      <c r="G40" s="7" t="s">
        <v>47</v>
      </c>
      <c r="H40" s="4">
        <f>IF(A40&lt;&gt;A24,36,H24+1)</f>
        <v>36</v>
      </c>
      <c r="I40" s="4" t="str">
        <f t="shared" si="2"/>
        <v>='C:\Users\jaime.benazar\Quorum Business Solutions\Ecopetrol Prometeo - Documents\Planning Space Implementation\3. Analysis &amp; Design\Design\FC22\DRR Jaime\QUIFA-CAJÚA\Cajua\[VAS_CAJUA_CF_SEC_20230125.xlsx]CF PNP'!$AY$36</v>
      </c>
      <c r="J40" s="4" t="s">
        <v>166</v>
      </c>
    </row>
    <row r="41" spans="1:10" x14ac:dyDescent="0.25">
      <c r="A41" s="7" t="s">
        <v>2</v>
      </c>
      <c r="B41" s="7">
        <f>+B40+1</f>
        <v>2024</v>
      </c>
      <c r="C41" s="4" t="s">
        <v>51</v>
      </c>
      <c r="D41" s="5" t="s">
        <v>128</v>
      </c>
      <c r="E41" s="10" t="str">
        <f t="shared" si="0"/>
        <v>PNP'!</v>
      </c>
      <c r="F41" s="5" t="str">
        <f t="shared" si="1"/>
        <v>C:\Users\jaime.benazar\Quorum Business Solutions\Ecopetrol Prometeo - Documents\Planning Space Implementation\3. Analysis &amp; Design\Design\FC22\DRR Jaime\QUIFA-CAJÚA\Cajua\[VAS_CAJUA_CF_SEC_20230125.xlsx]CF PNP'!</v>
      </c>
      <c r="G41" s="7" t="s">
        <v>47</v>
      </c>
      <c r="H41" s="4">
        <f t="shared" si="4"/>
        <v>37</v>
      </c>
      <c r="I41" s="4" t="str">
        <f t="shared" si="2"/>
        <v>='C:\Users\jaime.benazar\Quorum Business Solutions\Ecopetrol Prometeo - Documents\Planning Space Implementation\3. Analysis &amp; Design\Design\FC22\DRR Jaime\QUIFA-CAJÚA\Cajua\[VAS_CAJUA_CF_SEC_20230125.xlsx]CF PNP'!$AY$37</v>
      </c>
      <c r="J41" s="4" t="s">
        <v>167</v>
      </c>
    </row>
    <row r="42" spans="1:10" x14ac:dyDescent="0.25">
      <c r="A42" s="7" t="s">
        <v>2</v>
      </c>
      <c r="B42" s="7">
        <f t="shared" ref="B42:B53" si="12">+B41+1</f>
        <v>2025</v>
      </c>
      <c r="C42" s="4" t="s">
        <v>51</v>
      </c>
      <c r="D42" s="5" t="s">
        <v>128</v>
      </c>
      <c r="E42" s="10" t="str">
        <f t="shared" si="0"/>
        <v>PNP'!</v>
      </c>
      <c r="F42" s="5" t="str">
        <f t="shared" si="1"/>
        <v>C:\Users\jaime.benazar\Quorum Business Solutions\Ecopetrol Prometeo - Documents\Planning Space Implementation\3. Analysis &amp; Design\Design\FC22\DRR Jaime\QUIFA-CAJÚA\Cajua\[VAS_CAJUA_CF_SEC_20230125.xlsx]CF PNP'!</v>
      </c>
      <c r="G42" s="7" t="s">
        <v>47</v>
      </c>
      <c r="H42" s="4">
        <f t="shared" si="4"/>
        <v>38</v>
      </c>
      <c r="I42" s="4" t="str">
        <f t="shared" si="2"/>
        <v>='C:\Users\jaime.benazar\Quorum Business Solutions\Ecopetrol Prometeo - Documents\Planning Space Implementation\3. Analysis &amp; Design\Design\FC22\DRR Jaime\QUIFA-CAJÚA\Cajua\[VAS_CAJUA_CF_SEC_20230125.xlsx]CF PNP'!$AY$38</v>
      </c>
      <c r="J42" s="4" t="s">
        <v>168</v>
      </c>
    </row>
    <row r="43" spans="1:10" x14ac:dyDescent="0.25">
      <c r="A43" s="7" t="s">
        <v>2</v>
      </c>
      <c r="B43" s="7">
        <f t="shared" si="12"/>
        <v>2026</v>
      </c>
      <c r="C43" s="4" t="s">
        <v>51</v>
      </c>
      <c r="D43" s="5" t="s">
        <v>128</v>
      </c>
      <c r="E43" s="10" t="str">
        <f t="shared" si="0"/>
        <v>PNP'!</v>
      </c>
      <c r="F43" s="5" t="str">
        <f t="shared" si="1"/>
        <v>C:\Users\jaime.benazar\Quorum Business Solutions\Ecopetrol Prometeo - Documents\Planning Space Implementation\3. Analysis &amp; Design\Design\FC22\DRR Jaime\QUIFA-CAJÚA\Cajua\[VAS_CAJUA_CF_SEC_20230125.xlsx]CF PNP'!</v>
      </c>
      <c r="G43" s="7" t="s">
        <v>47</v>
      </c>
      <c r="H43" s="4">
        <f t="shared" si="4"/>
        <v>39</v>
      </c>
      <c r="I43" s="4" t="str">
        <f t="shared" si="2"/>
        <v>='C:\Users\jaime.benazar\Quorum Business Solutions\Ecopetrol Prometeo - Documents\Planning Space Implementation\3. Analysis &amp; Design\Design\FC22\DRR Jaime\QUIFA-CAJÚA\Cajua\[VAS_CAJUA_CF_SEC_20230125.xlsx]CF PNP'!$AY$39</v>
      </c>
      <c r="J43" s="4" t="s">
        <v>169</v>
      </c>
    </row>
    <row r="44" spans="1:10" x14ac:dyDescent="0.25">
      <c r="A44" s="7" t="s">
        <v>2</v>
      </c>
      <c r="B44" s="7">
        <f t="shared" si="12"/>
        <v>2027</v>
      </c>
      <c r="C44" s="4" t="s">
        <v>51</v>
      </c>
      <c r="D44" s="5" t="s">
        <v>128</v>
      </c>
      <c r="E44" s="10" t="str">
        <f t="shared" si="0"/>
        <v>PNP'!</v>
      </c>
      <c r="F44" s="5" t="str">
        <f t="shared" si="1"/>
        <v>C:\Users\jaime.benazar\Quorum Business Solutions\Ecopetrol Prometeo - Documents\Planning Space Implementation\3. Analysis &amp; Design\Design\FC22\DRR Jaime\QUIFA-CAJÚA\Cajua\[VAS_CAJUA_CF_SEC_20230125.xlsx]CF PNP'!</v>
      </c>
      <c r="G44" s="7" t="s">
        <v>47</v>
      </c>
      <c r="H44" s="4">
        <f t="shared" si="4"/>
        <v>40</v>
      </c>
      <c r="I44" s="4" t="str">
        <f t="shared" si="2"/>
        <v>='C:\Users\jaime.benazar\Quorum Business Solutions\Ecopetrol Prometeo - Documents\Planning Space Implementation\3. Analysis &amp; Design\Design\FC22\DRR Jaime\QUIFA-CAJÚA\Cajua\[VAS_CAJUA_CF_SEC_20230125.xlsx]CF PNP'!$AY$40</v>
      </c>
      <c r="J44" s="4" t="s">
        <v>170</v>
      </c>
    </row>
    <row r="45" spans="1:10" x14ac:dyDescent="0.25">
      <c r="A45" s="7" t="s">
        <v>2</v>
      </c>
      <c r="B45" s="7">
        <f t="shared" si="12"/>
        <v>2028</v>
      </c>
      <c r="C45" s="4" t="s">
        <v>51</v>
      </c>
      <c r="D45" s="5" t="s">
        <v>128</v>
      </c>
      <c r="E45" s="10" t="str">
        <f t="shared" si="0"/>
        <v>PNP'!</v>
      </c>
      <c r="F45" s="5" t="str">
        <f t="shared" si="1"/>
        <v>C:\Users\jaime.benazar\Quorum Business Solutions\Ecopetrol Prometeo - Documents\Planning Space Implementation\3. Analysis &amp; Design\Design\FC22\DRR Jaime\QUIFA-CAJÚA\Cajua\[VAS_CAJUA_CF_SEC_20230125.xlsx]CF PNP'!</v>
      </c>
      <c r="G45" s="7" t="s">
        <v>47</v>
      </c>
      <c r="H45" s="4">
        <f t="shared" si="4"/>
        <v>41</v>
      </c>
      <c r="I45" s="4" t="str">
        <f t="shared" si="2"/>
        <v>='C:\Users\jaime.benazar\Quorum Business Solutions\Ecopetrol Prometeo - Documents\Planning Space Implementation\3. Analysis &amp; Design\Design\FC22\DRR Jaime\QUIFA-CAJÚA\Cajua\[VAS_CAJUA_CF_SEC_20230125.xlsx]CF PNP'!$AY$41</v>
      </c>
      <c r="J45" s="4" t="s">
        <v>171</v>
      </c>
    </row>
    <row r="46" spans="1:10" x14ac:dyDescent="0.25">
      <c r="A46" s="7" t="s">
        <v>2</v>
      </c>
      <c r="B46" s="7">
        <f t="shared" si="12"/>
        <v>2029</v>
      </c>
      <c r="C46" s="4" t="s">
        <v>51</v>
      </c>
      <c r="D46" s="5" t="s">
        <v>128</v>
      </c>
      <c r="E46" s="10" t="str">
        <f t="shared" si="0"/>
        <v>PNP'!</v>
      </c>
      <c r="F46" s="5" t="str">
        <f t="shared" si="1"/>
        <v>C:\Users\jaime.benazar\Quorum Business Solutions\Ecopetrol Prometeo - Documents\Planning Space Implementation\3. Analysis &amp; Design\Design\FC22\DRR Jaime\QUIFA-CAJÚA\Cajua\[VAS_CAJUA_CF_SEC_20230125.xlsx]CF PNP'!</v>
      </c>
      <c r="G46" s="7" t="s">
        <v>47</v>
      </c>
      <c r="H46" s="4">
        <f t="shared" si="4"/>
        <v>42</v>
      </c>
      <c r="I46" s="4" t="str">
        <f t="shared" si="2"/>
        <v>='C:\Users\jaime.benazar\Quorum Business Solutions\Ecopetrol Prometeo - Documents\Planning Space Implementation\3. Analysis &amp; Design\Design\FC22\DRR Jaime\QUIFA-CAJÚA\Cajua\[VAS_CAJUA_CF_SEC_20230125.xlsx]CF PNP'!$AY$42</v>
      </c>
      <c r="J46" s="4" t="s">
        <v>172</v>
      </c>
    </row>
    <row r="47" spans="1:10" x14ac:dyDescent="0.25">
      <c r="A47" s="7" t="s">
        <v>2</v>
      </c>
      <c r="B47" s="7">
        <f t="shared" si="12"/>
        <v>2030</v>
      </c>
      <c r="C47" s="4" t="s">
        <v>51</v>
      </c>
      <c r="D47" s="5" t="s">
        <v>128</v>
      </c>
      <c r="E47" s="10" t="str">
        <f t="shared" si="0"/>
        <v>PNP'!</v>
      </c>
      <c r="F47" s="5" t="str">
        <f t="shared" si="1"/>
        <v>C:\Users\jaime.benazar\Quorum Business Solutions\Ecopetrol Prometeo - Documents\Planning Space Implementation\3. Analysis &amp; Design\Design\FC22\DRR Jaime\QUIFA-CAJÚA\Cajua\[VAS_CAJUA_CF_SEC_20230125.xlsx]CF PNP'!</v>
      </c>
      <c r="G47" s="7" t="s">
        <v>47</v>
      </c>
      <c r="H47" s="4">
        <f t="shared" si="4"/>
        <v>43</v>
      </c>
      <c r="I47" s="4" t="str">
        <f t="shared" si="2"/>
        <v>='C:\Users\jaime.benazar\Quorum Business Solutions\Ecopetrol Prometeo - Documents\Planning Space Implementation\3. Analysis &amp; Design\Design\FC22\DRR Jaime\QUIFA-CAJÚA\Cajua\[VAS_CAJUA_CF_SEC_20230125.xlsx]CF PNP'!$AY$43</v>
      </c>
      <c r="J47" s="4" t="s">
        <v>173</v>
      </c>
    </row>
    <row r="48" spans="1:10" x14ac:dyDescent="0.25">
      <c r="A48" s="7" t="s">
        <v>2</v>
      </c>
      <c r="B48" s="7">
        <f t="shared" si="12"/>
        <v>2031</v>
      </c>
      <c r="C48" s="4" t="s">
        <v>51</v>
      </c>
      <c r="D48" s="5" t="s">
        <v>128</v>
      </c>
      <c r="E48" s="10" t="str">
        <f t="shared" si="0"/>
        <v>PNP'!</v>
      </c>
      <c r="F48" s="5" t="str">
        <f t="shared" si="1"/>
        <v>C:\Users\jaime.benazar\Quorum Business Solutions\Ecopetrol Prometeo - Documents\Planning Space Implementation\3. Analysis &amp; Design\Design\FC22\DRR Jaime\QUIFA-CAJÚA\Cajua\[VAS_CAJUA_CF_SEC_20230125.xlsx]CF PNP'!</v>
      </c>
      <c r="G48" s="7" t="s">
        <v>47</v>
      </c>
      <c r="H48" s="4">
        <f t="shared" si="4"/>
        <v>44</v>
      </c>
      <c r="I48" s="4" t="str">
        <f t="shared" si="2"/>
        <v>='C:\Users\jaime.benazar\Quorum Business Solutions\Ecopetrol Prometeo - Documents\Planning Space Implementation\3. Analysis &amp; Design\Design\FC22\DRR Jaime\QUIFA-CAJÚA\Cajua\[VAS_CAJUA_CF_SEC_20230125.xlsx]CF PNP'!$AY$44</v>
      </c>
      <c r="J48" s="4" t="s">
        <v>174</v>
      </c>
    </row>
    <row r="49" spans="1:10" x14ac:dyDescent="0.25">
      <c r="A49" s="7" t="s">
        <v>2</v>
      </c>
      <c r="B49" s="7">
        <f t="shared" si="12"/>
        <v>2032</v>
      </c>
      <c r="C49" s="4" t="s">
        <v>51</v>
      </c>
      <c r="D49" s="5" t="s">
        <v>128</v>
      </c>
      <c r="E49" s="10" t="str">
        <f t="shared" si="0"/>
        <v>PNP'!</v>
      </c>
      <c r="F49" s="5" t="str">
        <f t="shared" si="1"/>
        <v>C:\Users\jaime.benazar\Quorum Business Solutions\Ecopetrol Prometeo - Documents\Planning Space Implementation\3. Analysis &amp; Design\Design\FC22\DRR Jaime\QUIFA-CAJÚA\Cajua\[VAS_CAJUA_CF_SEC_20230125.xlsx]CF PNP'!</v>
      </c>
      <c r="G49" s="7" t="s">
        <v>47</v>
      </c>
      <c r="H49" s="4">
        <f t="shared" si="4"/>
        <v>45</v>
      </c>
      <c r="I49" s="4" t="str">
        <f t="shared" si="2"/>
        <v>='C:\Users\jaime.benazar\Quorum Business Solutions\Ecopetrol Prometeo - Documents\Planning Space Implementation\3. Analysis &amp; Design\Design\FC22\DRR Jaime\QUIFA-CAJÚA\Cajua\[VAS_CAJUA_CF_SEC_20230125.xlsx]CF PNP'!$AY$45</v>
      </c>
      <c r="J49" s="4" t="s">
        <v>175</v>
      </c>
    </row>
    <row r="50" spans="1:10" x14ac:dyDescent="0.25">
      <c r="A50" s="7" t="s">
        <v>2</v>
      </c>
      <c r="B50" s="7">
        <f t="shared" si="12"/>
        <v>2033</v>
      </c>
      <c r="C50" s="4" t="s">
        <v>51</v>
      </c>
      <c r="D50" s="5" t="s">
        <v>128</v>
      </c>
      <c r="E50" s="10" t="str">
        <f t="shared" si="0"/>
        <v>PNP'!</v>
      </c>
      <c r="F50" s="5" t="str">
        <f t="shared" si="1"/>
        <v>C:\Users\jaime.benazar\Quorum Business Solutions\Ecopetrol Prometeo - Documents\Planning Space Implementation\3. Analysis &amp; Design\Design\FC22\DRR Jaime\QUIFA-CAJÚA\Cajua\[VAS_CAJUA_CF_SEC_20230125.xlsx]CF PNP'!</v>
      </c>
      <c r="G50" s="7" t="s">
        <v>47</v>
      </c>
      <c r="H50" s="4">
        <f t="shared" si="4"/>
        <v>46</v>
      </c>
      <c r="I50" s="4" t="str">
        <f t="shared" si="2"/>
        <v>='C:\Users\jaime.benazar\Quorum Business Solutions\Ecopetrol Prometeo - Documents\Planning Space Implementation\3. Analysis &amp; Design\Design\FC22\DRR Jaime\QUIFA-CAJÚA\Cajua\[VAS_CAJUA_CF_SEC_20230125.xlsx]CF PNP'!$AY$46</v>
      </c>
      <c r="J50" s="4" t="s">
        <v>176</v>
      </c>
    </row>
    <row r="51" spans="1:10" x14ac:dyDescent="0.25">
      <c r="A51" s="7" t="s">
        <v>2</v>
      </c>
      <c r="B51" s="7">
        <f t="shared" si="12"/>
        <v>2034</v>
      </c>
      <c r="C51" s="4" t="s">
        <v>51</v>
      </c>
      <c r="D51" s="5" t="s">
        <v>128</v>
      </c>
      <c r="E51" s="10" t="str">
        <f t="shared" si="0"/>
        <v>PNP'!</v>
      </c>
      <c r="F51" s="5" t="str">
        <f t="shared" si="1"/>
        <v>C:\Users\jaime.benazar\Quorum Business Solutions\Ecopetrol Prometeo - Documents\Planning Space Implementation\3. Analysis &amp; Design\Design\FC22\DRR Jaime\QUIFA-CAJÚA\Cajua\[VAS_CAJUA_CF_SEC_20230125.xlsx]CF PNP'!</v>
      </c>
      <c r="G51" s="7" t="s">
        <v>47</v>
      </c>
      <c r="H51" s="4">
        <f t="shared" si="4"/>
        <v>47</v>
      </c>
      <c r="I51" s="4" t="str">
        <f t="shared" si="2"/>
        <v>='C:\Users\jaime.benazar\Quorum Business Solutions\Ecopetrol Prometeo - Documents\Planning Space Implementation\3. Analysis &amp; Design\Design\FC22\DRR Jaime\QUIFA-CAJÚA\Cajua\[VAS_CAJUA_CF_SEC_20230125.xlsx]CF PNP'!$AY$47</v>
      </c>
      <c r="J51" s="4" t="s">
        <v>177</v>
      </c>
    </row>
    <row r="52" spans="1:10" x14ac:dyDescent="0.25">
      <c r="A52" s="7" t="s">
        <v>2</v>
      </c>
      <c r="B52" s="7">
        <f t="shared" si="12"/>
        <v>2035</v>
      </c>
      <c r="C52" s="4" t="s">
        <v>51</v>
      </c>
      <c r="D52" s="5" t="s">
        <v>128</v>
      </c>
      <c r="E52" s="10" t="str">
        <f t="shared" si="0"/>
        <v>PNP'!</v>
      </c>
      <c r="F52" s="5" t="str">
        <f t="shared" si="1"/>
        <v>C:\Users\jaime.benazar\Quorum Business Solutions\Ecopetrol Prometeo - Documents\Planning Space Implementation\3. Analysis &amp; Design\Design\FC22\DRR Jaime\QUIFA-CAJÚA\Cajua\[VAS_CAJUA_CF_SEC_20230125.xlsx]CF PNP'!</v>
      </c>
      <c r="G52" s="7" t="s">
        <v>47</v>
      </c>
      <c r="H52" s="4">
        <f t="shared" si="4"/>
        <v>48</v>
      </c>
      <c r="I52" s="4" t="str">
        <f t="shared" si="2"/>
        <v>='C:\Users\jaime.benazar\Quorum Business Solutions\Ecopetrol Prometeo - Documents\Planning Space Implementation\3. Analysis &amp; Design\Design\FC22\DRR Jaime\QUIFA-CAJÚA\Cajua\[VAS_CAJUA_CF_SEC_20230125.xlsx]CF PNP'!$AY$48</v>
      </c>
      <c r="J52" s="4" t="s">
        <v>178</v>
      </c>
    </row>
    <row r="53" spans="1:10" x14ac:dyDescent="0.25">
      <c r="A53" s="7" t="s">
        <v>2</v>
      </c>
      <c r="B53" s="7">
        <f t="shared" si="12"/>
        <v>2036</v>
      </c>
      <c r="C53" s="4" t="s">
        <v>51</v>
      </c>
      <c r="D53" s="5" t="s">
        <v>128</v>
      </c>
      <c r="E53" s="10" t="str">
        <f t="shared" si="0"/>
        <v>PNP'!</v>
      </c>
      <c r="F53" s="5" t="str">
        <f t="shared" si="1"/>
        <v>C:\Users\jaime.benazar\Quorum Business Solutions\Ecopetrol Prometeo - Documents\Planning Space Implementation\3. Analysis &amp; Design\Design\FC22\DRR Jaime\QUIFA-CAJÚA\Cajua\[VAS_CAJUA_CF_SEC_20230125.xlsx]CF PNP'!</v>
      </c>
      <c r="G53" s="7" t="s">
        <v>47</v>
      </c>
      <c r="H53" s="4">
        <f t="shared" si="4"/>
        <v>49</v>
      </c>
      <c r="I53" s="4" t="str">
        <f t="shared" si="2"/>
        <v>='C:\Users\jaime.benazar\Quorum Business Solutions\Ecopetrol Prometeo - Documents\Planning Space Implementation\3. Analysis &amp; Design\Design\FC22\DRR Jaime\QUIFA-CAJÚA\Cajua\[VAS_CAJUA_CF_SEC_20230125.xlsx]CF PNP'!$AY$49</v>
      </c>
      <c r="J53" s="4" t="s">
        <v>179</v>
      </c>
    </row>
    <row r="54" spans="1:10" x14ac:dyDescent="0.25">
      <c r="A54" s="7" t="s">
        <v>2</v>
      </c>
      <c r="B54" s="7">
        <f>+B53+1</f>
        <v>2037</v>
      </c>
      <c r="C54" s="4" t="s">
        <v>51</v>
      </c>
      <c r="D54" s="5" t="s">
        <v>128</v>
      </c>
      <c r="E54" s="10" t="str">
        <f t="shared" si="0"/>
        <v>PNP'!</v>
      </c>
      <c r="F54" s="5" t="str">
        <f t="shared" si="1"/>
        <v>C:\Users\jaime.benazar\Quorum Business Solutions\Ecopetrol Prometeo - Documents\Planning Space Implementation\3. Analysis &amp; Design\Design\FC22\DRR Jaime\QUIFA-CAJÚA\Cajua\[VAS_CAJUA_CF_SEC_20230125.xlsx]CF PNP'!</v>
      </c>
      <c r="G54" s="7" t="s">
        <v>47</v>
      </c>
      <c r="H54" s="4">
        <f t="shared" si="4"/>
        <v>50</v>
      </c>
      <c r="I54" s="4" t="str">
        <f t="shared" si="2"/>
        <v>='C:\Users\jaime.benazar\Quorum Business Solutions\Ecopetrol Prometeo - Documents\Planning Space Implementation\3. Analysis &amp; Design\Design\FC22\DRR Jaime\QUIFA-CAJÚA\Cajua\[VAS_CAJUA_CF_SEC_20230125.xlsx]CF PNP'!$AY$50</v>
      </c>
      <c r="J54" s="4" t="s">
        <v>180</v>
      </c>
    </row>
    <row r="55" spans="1:10" x14ac:dyDescent="0.25">
      <c r="A55" s="7" t="s">
        <v>2</v>
      </c>
      <c r="B55" s="7">
        <f t="shared" ref="B55:B57" si="13">+B54+1</f>
        <v>2038</v>
      </c>
      <c r="C55" s="4" t="s">
        <v>51</v>
      </c>
      <c r="D55" s="5" t="s">
        <v>128</v>
      </c>
      <c r="E55" s="10" t="str">
        <f t="shared" si="0"/>
        <v>PNP'!</v>
      </c>
      <c r="F55" s="5" t="str">
        <f t="shared" si="1"/>
        <v>C:\Users\jaime.benazar\Quorum Business Solutions\Ecopetrol Prometeo - Documents\Planning Space Implementation\3. Analysis &amp; Design\Design\FC22\DRR Jaime\QUIFA-CAJÚA\Cajua\[VAS_CAJUA_CF_SEC_20230125.xlsx]CF PNP'!</v>
      </c>
      <c r="G55" s="7" t="s">
        <v>47</v>
      </c>
      <c r="H55" s="4">
        <f t="shared" si="4"/>
        <v>51</v>
      </c>
      <c r="I55" s="4" t="str">
        <f t="shared" si="2"/>
        <v>='C:\Users\jaime.benazar\Quorum Business Solutions\Ecopetrol Prometeo - Documents\Planning Space Implementation\3. Analysis &amp; Design\Design\FC22\DRR Jaime\QUIFA-CAJÚA\Cajua\[VAS_CAJUA_CF_SEC_20230125.xlsx]CF PNP'!$AY$51</v>
      </c>
      <c r="J55" s="4" t="s">
        <v>181</v>
      </c>
    </row>
    <row r="56" spans="1:10" x14ac:dyDescent="0.25">
      <c r="A56" s="7" t="s">
        <v>2</v>
      </c>
      <c r="B56" s="7">
        <f t="shared" si="13"/>
        <v>2039</v>
      </c>
      <c r="C56" s="4" t="s">
        <v>51</v>
      </c>
      <c r="D56" s="5" t="s">
        <v>128</v>
      </c>
      <c r="E56" s="10" t="str">
        <f t="shared" si="0"/>
        <v>PNP'!</v>
      </c>
      <c r="F56" s="5" t="str">
        <f t="shared" si="1"/>
        <v>C:\Users\jaime.benazar\Quorum Business Solutions\Ecopetrol Prometeo - Documents\Planning Space Implementation\3. Analysis &amp; Design\Design\FC22\DRR Jaime\QUIFA-CAJÚA\Cajua\[VAS_CAJUA_CF_SEC_20230125.xlsx]CF PNP'!</v>
      </c>
      <c r="G56" s="7" t="s">
        <v>47</v>
      </c>
      <c r="H56" s="4">
        <f t="shared" si="4"/>
        <v>52</v>
      </c>
      <c r="I56" s="4" t="str">
        <f t="shared" si="2"/>
        <v>='C:\Users\jaime.benazar\Quorum Business Solutions\Ecopetrol Prometeo - Documents\Planning Space Implementation\3. Analysis &amp; Design\Design\FC22\DRR Jaime\QUIFA-CAJÚA\Cajua\[VAS_CAJUA_CF_SEC_20230125.xlsx]CF PNP'!$AY$52</v>
      </c>
      <c r="J56" s="4" t="s">
        <v>182</v>
      </c>
    </row>
    <row r="57" spans="1:10" x14ac:dyDescent="0.25">
      <c r="A57" s="7" t="s">
        <v>2</v>
      </c>
      <c r="B57" s="7">
        <f t="shared" si="13"/>
        <v>2040</v>
      </c>
      <c r="C57" s="4" t="s">
        <v>51</v>
      </c>
      <c r="D57" s="5" t="s">
        <v>128</v>
      </c>
      <c r="E57" s="10" t="str">
        <f t="shared" si="0"/>
        <v>PNP'!</v>
      </c>
      <c r="F57" s="5" t="str">
        <f t="shared" si="1"/>
        <v>C:\Users\jaime.benazar\Quorum Business Solutions\Ecopetrol Prometeo - Documents\Planning Space Implementation\3. Analysis &amp; Design\Design\FC22\DRR Jaime\QUIFA-CAJÚA\Cajua\[VAS_CAJUA_CF_SEC_20230125.xlsx]CF PNP'!</v>
      </c>
      <c r="G57" s="7" t="s">
        <v>47</v>
      </c>
      <c r="H57" s="4">
        <f t="shared" si="4"/>
        <v>53</v>
      </c>
      <c r="I57" s="4" t="str">
        <f t="shared" si="2"/>
        <v>='C:\Users\jaime.benazar\Quorum Business Solutions\Ecopetrol Prometeo - Documents\Planning Space Implementation\3. Analysis &amp; Design\Design\FC22\DRR Jaime\QUIFA-CAJÚA\Cajua\[VAS_CAJUA_CF_SEC_20230125.xlsx]CF PNP'!$AY$53</v>
      </c>
      <c r="J57" s="4" t="s">
        <v>183</v>
      </c>
    </row>
    <row r="58" spans="1:10" x14ac:dyDescent="0.25">
      <c r="A58" s="7" t="s">
        <v>2</v>
      </c>
      <c r="B58" s="7">
        <f>+B57+1</f>
        <v>2041</v>
      </c>
      <c r="C58" s="4" t="s">
        <v>51</v>
      </c>
      <c r="D58" s="5" t="s">
        <v>128</v>
      </c>
      <c r="E58" s="10" t="str">
        <f t="shared" si="0"/>
        <v>PNP'!</v>
      </c>
      <c r="F58" s="5" t="str">
        <f t="shared" si="1"/>
        <v>C:\Users\jaime.benazar\Quorum Business Solutions\Ecopetrol Prometeo - Documents\Planning Space Implementation\3. Analysis &amp; Design\Design\FC22\DRR Jaime\QUIFA-CAJÚA\Cajua\[VAS_CAJUA_CF_SEC_20230125.xlsx]CF PNP'!</v>
      </c>
      <c r="G58" s="7" t="s">
        <v>47</v>
      </c>
      <c r="H58" s="4">
        <f t="shared" si="4"/>
        <v>54</v>
      </c>
      <c r="I58" s="4" t="str">
        <f t="shared" si="2"/>
        <v>='C:\Users\jaime.benazar\Quorum Business Solutions\Ecopetrol Prometeo - Documents\Planning Space Implementation\3. Analysis &amp; Design\Design\FC22\DRR Jaime\QUIFA-CAJÚA\Cajua\[VAS_CAJUA_CF_SEC_20230125.xlsx]CF PNP'!$AY$54</v>
      </c>
      <c r="J58" s="4" t="s">
        <v>184</v>
      </c>
    </row>
    <row r="59" spans="1:10" x14ac:dyDescent="0.25">
      <c r="A59" s="7" t="s">
        <v>2</v>
      </c>
      <c r="B59" s="7">
        <f t="shared" ref="B59:B60" si="14">+B58+1</f>
        <v>2042</v>
      </c>
      <c r="C59" s="4" t="s">
        <v>51</v>
      </c>
      <c r="D59" s="5" t="s">
        <v>128</v>
      </c>
      <c r="E59" s="10" t="str">
        <f t="shared" si="0"/>
        <v>PNP'!</v>
      </c>
      <c r="F59" s="5" t="str">
        <f t="shared" si="1"/>
        <v>C:\Users\jaime.benazar\Quorum Business Solutions\Ecopetrol Prometeo - Documents\Planning Space Implementation\3. Analysis &amp; Design\Design\FC22\DRR Jaime\QUIFA-CAJÚA\Cajua\[VAS_CAJUA_CF_SEC_20230125.xlsx]CF PNP'!</v>
      </c>
      <c r="G59" s="7" t="s">
        <v>47</v>
      </c>
      <c r="H59" s="4">
        <f t="shared" si="4"/>
        <v>55</v>
      </c>
      <c r="I59" s="4" t="str">
        <f t="shared" si="2"/>
        <v>='C:\Users\jaime.benazar\Quorum Business Solutions\Ecopetrol Prometeo - Documents\Planning Space Implementation\3. Analysis &amp; Design\Design\FC22\DRR Jaime\QUIFA-CAJÚA\Cajua\[VAS_CAJUA_CF_SEC_20230125.xlsx]CF PNP'!$AY$55</v>
      </c>
      <c r="J59" s="4" t="s">
        <v>185</v>
      </c>
    </row>
    <row r="60" spans="1:10" x14ac:dyDescent="0.25">
      <c r="A60" s="7" t="s">
        <v>2</v>
      </c>
      <c r="B60" s="7">
        <f t="shared" si="14"/>
        <v>2043</v>
      </c>
      <c r="C60" s="4" t="s">
        <v>51</v>
      </c>
      <c r="D60" s="5" t="s">
        <v>128</v>
      </c>
      <c r="E60" s="10" t="str">
        <f t="shared" si="0"/>
        <v>PNP'!</v>
      </c>
      <c r="F60" s="5" t="str">
        <f t="shared" si="1"/>
        <v>C:\Users\jaime.benazar\Quorum Business Solutions\Ecopetrol Prometeo - Documents\Planning Space Implementation\3. Analysis &amp; Design\Design\FC22\DRR Jaime\QUIFA-CAJÚA\Cajua\[VAS_CAJUA_CF_SEC_20230125.xlsx]CF PNP'!</v>
      </c>
      <c r="G60" s="7" t="s">
        <v>47</v>
      </c>
      <c r="H60" s="4">
        <f t="shared" si="4"/>
        <v>56</v>
      </c>
      <c r="I60" s="4" t="str">
        <f t="shared" si="2"/>
        <v>='C:\Users\jaime.benazar\Quorum Business Solutions\Ecopetrol Prometeo - Documents\Planning Space Implementation\3. Analysis &amp; Design\Design\FC22\DRR Jaime\QUIFA-CAJÚA\Cajua\[VAS_CAJUA_CF_SEC_20230125.xlsx]CF PNP'!$AY$56</v>
      </c>
      <c r="J60" s="4" t="s">
        <v>186</v>
      </c>
    </row>
    <row r="61" spans="1:10" x14ac:dyDescent="0.25">
      <c r="A61" s="7" t="s">
        <v>2</v>
      </c>
      <c r="B61" s="7">
        <f>+B60+1</f>
        <v>2044</v>
      </c>
      <c r="C61" s="4" t="s">
        <v>51</v>
      </c>
      <c r="D61" s="5" t="s">
        <v>128</v>
      </c>
      <c r="E61" s="10" t="str">
        <f t="shared" si="0"/>
        <v>PNP'!</v>
      </c>
      <c r="F61" s="5" t="str">
        <f t="shared" si="1"/>
        <v>C:\Users\jaime.benazar\Quorum Business Solutions\Ecopetrol Prometeo - Documents\Planning Space Implementation\3. Analysis &amp; Design\Design\FC22\DRR Jaime\QUIFA-CAJÚA\Cajua\[VAS_CAJUA_CF_SEC_20230125.xlsx]CF PNP'!</v>
      </c>
      <c r="G61" s="7" t="s">
        <v>47</v>
      </c>
      <c r="H61" s="4">
        <f t="shared" si="4"/>
        <v>57</v>
      </c>
      <c r="I61" s="4" t="str">
        <f t="shared" si="2"/>
        <v>='C:\Users\jaime.benazar\Quorum Business Solutions\Ecopetrol Prometeo - Documents\Planning Space Implementation\3. Analysis &amp; Design\Design\FC22\DRR Jaime\QUIFA-CAJÚA\Cajua\[VAS_CAJUA_CF_SEC_20230125.xlsx]CF PNP'!$AY$57</v>
      </c>
      <c r="J61" s="4" t="s">
        <v>187</v>
      </c>
    </row>
    <row r="62" spans="1:10" x14ac:dyDescent="0.25">
      <c r="A62" s="7" t="s">
        <v>2</v>
      </c>
      <c r="B62" s="7">
        <f t="shared" ref="B62:B76" si="15">+B61+1</f>
        <v>2045</v>
      </c>
      <c r="C62" s="4" t="s">
        <v>51</v>
      </c>
      <c r="D62" s="5" t="s">
        <v>128</v>
      </c>
      <c r="E62" s="10" t="str">
        <f t="shared" si="0"/>
        <v>PNP'!</v>
      </c>
      <c r="F62" s="5" t="str">
        <f t="shared" si="1"/>
        <v>C:\Users\jaime.benazar\Quorum Business Solutions\Ecopetrol Prometeo - Documents\Planning Space Implementation\3. Analysis &amp; Design\Design\FC22\DRR Jaime\QUIFA-CAJÚA\Cajua\[VAS_CAJUA_CF_SEC_20230125.xlsx]CF PNP'!</v>
      </c>
      <c r="G62" s="7" t="s">
        <v>47</v>
      </c>
      <c r="H62" s="4">
        <f t="shared" si="4"/>
        <v>58</v>
      </c>
      <c r="I62" s="4" t="str">
        <f t="shared" si="2"/>
        <v>='C:\Users\jaime.benazar\Quorum Business Solutions\Ecopetrol Prometeo - Documents\Planning Space Implementation\3. Analysis &amp; Design\Design\FC22\DRR Jaime\QUIFA-CAJÚA\Cajua\[VAS_CAJUA_CF_SEC_20230125.xlsx]CF PNP'!$AY$58</v>
      </c>
      <c r="J62" s="4" t="s">
        <v>188</v>
      </c>
    </row>
    <row r="63" spans="1:10" x14ac:dyDescent="0.25">
      <c r="A63" s="7" t="s">
        <v>2</v>
      </c>
      <c r="B63" s="7">
        <f t="shared" si="15"/>
        <v>2046</v>
      </c>
      <c r="C63" s="4" t="s">
        <v>51</v>
      </c>
      <c r="D63" s="5" t="s">
        <v>128</v>
      </c>
      <c r="E63" s="10" t="str">
        <f t="shared" ref="E63:E76" si="16">_xlfn.CONCAT(A63,"'!")</f>
        <v>PNP'!</v>
      </c>
      <c r="F63" s="5" t="str">
        <f t="shared" ref="F63:F76" si="17">_xlfn.CONCAT(D63," ",E63)</f>
        <v>C:\Users\jaime.benazar\Quorum Business Solutions\Ecopetrol Prometeo - Documents\Planning Space Implementation\3. Analysis &amp; Design\Design\FC22\DRR Jaime\QUIFA-CAJÚA\Cajua\[VAS_CAJUA_CF_SEC_20230125.xlsx]CF PNP'!</v>
      </c>
      <c r="G63" s="7" t="s">
        <v>47</v>
      </c>
      <c r="H63" s="4">
        <f t="shared" ref="H63:H76" si="18">IF(A63&lt;&gt;A62,36,H62+1)</f>
        <v>59</v>
      </c>
      <c r="I63" s="4" t="str">
        <f t="shared" ref="I63:I76" si="19">_xlfn.CONCAT("='",F63:H63)</f>
        <v>='C:\Users\jaime.benazar\Quorum Business Solutions\Ecopetrol Prometeo - Documents\Planning Space Implementation\3. Analysis &amp; Design\Design\FC22\DRR Jaime\QUIFA-CAJÚA\Cajua\[VAS_CAJUA_CF_SEC_20230125.xlsx]CF PNP'!$AY$59</v>
      </c>
      <c r="J63" s="4" t="s">
        <v>189</v>
      </c>
    </row>
    <row r="64" spans="1:10" x14ac:dyDescent="0.25">
      <c r="A64" s="7" t="s">
        <v>2</v>
      </c>
      <c r="B64" s="7">
        <f t="shared" si="15"/>
        <v>2047</v>
      </c>
      <c r="C64" s="4" t="s">
        <v>51</v>
      </c>
      <c r="D64" s="5" t="s">
        <v>128</v>
      </c>
      <c r="E64" s="10" t="str">
        <f t="shared" si="16"/>
        <v>PNP'!</v>
      </c>
      <c r="F64" s="5" t="str">
        <f t="shared" si="17"/>
        <v>C:\Users\jaime.benazar\Quorum Business Solutions\Ecopetrol Prometeo - Documents\Planning Space Implementation\3. Analysis &amp; Design\Design\FC22\DRR Jaime\QUIFA-CAJÚA\Cajua\[VAS_CAJUA_CF_SEC_20230125.xlsx]CF PNP'!</v>
      </c>
      <c r="G64" s="7" t="s">
        <v>47</v>
      </c>
      <c r="H64" s="4">
        <f t="shared" si="18"/>
        <v>60</v>
      </c>
      <c r="I64" s="4" t="str">
        <f t="shared" si="19"/>
        <v>='C:\Users\jaime.benazar\Quorum Business Solutions\Ecopetrol Prometeo - Documents\Planning Space Implementation\3. Analysis &amp; Design\Design\FC22\DRR Jaime\QUIFA-CAJÚA\Cajua\[VAS_CAJUA_CF_SEC_20230125.xlsx]CF PNP'!$AY$60</v>
      </c>
      <c r="J64" s="4" t="s">
        <v>190</v>
      </c>
    </row>
    <row r="65" spans="1:10" x14ac:dyDescent="0.25">
      <c r="A65" s="7" t="s">
        <v>2</v>
      </c>
      <c r="B65" s="7">
        <f t="shared" si="15"/>
        <v>2048</v>
      </c>
      <c r="C65" s="4" t="s">
        <v>51</v>
      </c>
      <c r="D65" s="5" t="s">
        <v>128</v>
      </c>
      <c r="E65" s="10" t="str">
        <f t="shared" si="16"/>
        <v>PNP'!</v>
      </c>
      <c r="F65" s="5" t="str">
        <f t="shared" si="17"/>
        <v>C:\Users\jaime.benazar\Quorum Business Solutions\Ecopetrol Prometeo - Documents\Planning Space Implementation\3. Analysis &amp; Design\Design\FC22\DRR Jaime\QUIFA-CAJÚA\Cajua\[VAS_CAJUA_CF_SEC_20230125.xlsx]CF PNP'!</v>
      </c>
      <c r="G65" s="7" t="s">
        <v>47</v>
      </c>
      <c r="H65" s="4">
        <f t="shared" si="18"/>
        <v>61</v>
      </c>
      <c r="I65" s="4" t="str">
        <f t="shared" si="19"/>
        <v>='C:\Users\jaime.benazar\Quorum Business Solutions\Ecopetrol Prometeo - Documents\Planning Space Implementation\3. Analysis &amp; Design\Design\FC22\DRR Jaime\QUIFA-CAJÚA\Cajua\[VAS_CAJUA_CF_SEC_20230125.xlsx]CF PNP'!$AY$61</v>
      </c>
      <c r="J65" s="4" t="s">
        <v>191</v>
      </c>
    </row>
    <row r="66" spans="1:10" x14ac:dyDescent="0.25">
      <c r="A66" s="7" t="s">
        <v>2</v>
      </c>
      <c r="B66" s="7">
        <f t="shared" si="15"/>
        <v>2049</v>
      </c>
      <c r="C66" s="4" t="s">
        <v>51</v>
      </c>
      <c r="D66" s="5" t="s">
        <v>128</v>
      </c>
      <c r="E66" s="10" t="str">
        <f t="shared" si="16"/>
        <v>PNP'!</v>
      </c>
      <c r="F66" s="5" t="str">
        <f t="shared" si="17"/>
        <v>C:\Users\jaime.benazar\Quorum Business Solutions\Ecopetrol Prometeo - Documents\Planning Space Implementation\3. Analysis &amp; Design\Design\FC22\DRR Jaime\QUIFA-CAJÚA\Cajua\[VAS_CAJUA_CF_SEC_20230125.xlsx]CF PNP'!</v>
      </c>
      <c r="G66" s="7" t="s">
        <v>47</v>
      </c>
      <c r="H66" s="4">
        <f t="shared" si="18"/>
        <v>62</v>
      </c>
      <c r="I66" s="4" t="str">
        <f t="shared" si="19"/>
        <v>='C:\Users\jaime.benazar\Quorum Business Solutions\Ecopetrol Prometeo - Documents\Planning Space Implementation\3. Analysis &amp; Design\Design\FC22\DRR Jaime\QUIFA-CAJÚA\Cajua\[VAS_CAJUA_CF_SEC_20230125.xlsx]CF PNP'!$AY$62</v>
      </c>
      <c r="J66" s="4" t="s">
        <v>192</v>
      </c>
    </row>
    <row r="67" spans="1:10" x14ac:dyDescent="0.25">
      <c r="A67" s="7" t="s">
        <v>2</v>
      </c>
      <c r="B67" s="7">
        <f t="shared" si="15"/>
        <v>2050</v>
      </c>
      <c r="C67" s="4" t="s">
        <v>51</v>
      </c>
      <c r="D67" s="5" t="s">
        <v>128</v>
      </c>
      <c r="E67" s="10" t="str">
        <f t="shared" si="16"/>
        <v>PNP'!</v>
      </c>
      <c r="F67" s="5" t="str">
        <f t="shared" si="17"/>
        <v>C:\Users\jaime.benazar\Quorum Business Solutions\Ecopetrol Prometeo - Documents\Planning Space Implementation\3. Analysis &amp; Design\Design\FC22\DRR Jaime\QUIFA-CAJÚA\Cajua\[VAS_CAJUA_CF_SEC_20230125.xlsx]CF PNP'!</v>
      </c>
      <c r="G67" s="7" t="s">
        <v>47</v>
      </c>
      <c r="H67" s="4">
        <f t="shared" si="18"/>
        <v>63</v>
      </c>
      <c r="I67" s="4" t="str">
        <f t="shared" si="19"/>
        <v>='C:\Users\jaime.benazar\Quorum Business Solutions\Ecopetrol Prometeo - Documents\Planning Space Implementation\3. Analysis &amp; Design\Design\FC22\DRR Jaime\QUIFA-CAJÚA\Cajua\[VAS_CAJUA_CF_SEC_20230125.xlsx]CF PNP'!$AY$63</v>
      </c>
      <c r="J67" s="4" t="s">
        <v>193</v>
      </c>
    </row>
    <row r="68" spans="1:10" x14ac:dyDescent="0.25">
      <c r="A68" s="7" t="s">
        <v>2</v>
      </c>
      <c r="B68" s="7">
        <f t="shared" si="15"/>
        <v>2051</v>
      </c>
      <c r="C68" s="4" t="s">
        <v>51</v>
      </c>
      <c r="D68" s="5" t="s">
        <v>128</v>
      </c>
      <c r="E68" s="10" t="str">
        <f t="shared" si="16"/>
        <v>PNP'!</v>
      </c>
      <c r="F68" s="5" t="str">
        <f t="shared" si="17"/>
        <v>C:\Users\jaime.benazar\Quorum Business Solutions\Ecopetrol Prometeo - Documents\Planning Space Implementation\3. Analysis &amp; Design\Design\FC22\DRR Jaime\QUIFA-CAJÚA\Cajua\[VAS_CAJUA_CF_SEC_20230125.xlsx]CF PNP'!</v>
      </c>
      <c r="G68" s="7" t="s">
        <v>47</v>
      </c>
      <c r="H68" s="4">
        <f t="shared" si="18"/>
        <v>64</v>
      </c>
      <c r="I68" s="4" t="str">
        <f t="shared" si="19"/>
        <v>='C:\Users\jaime.benazar\Quorum Business Solutions\Ecopetrol Prometeo - Documents\Planning Space Implementation\3. Analysis &amp; Design\Design\FC22\DRR Jaime\QUIFA-CAJÚA\Cajua\[VAS_CAJUA_CF_SEC_20230125.xlsx]CF PNP'!$AY$64</v>
      </c>
      <c r="J68" s="4" t="s">
        <v>194</v>
      </c>
    </row>
    <row r="69" spans="1:10" x14ac:dyDescent="0.25">
      <c r="A69" s="7" t="s">
        <v>2</v>
      </c>
      <c r="B69" s="7">
        <f t="shared" si="15"/>
        <v>2052</v>
      </c>
      <c r="C69" s="4" t="s">
        <v>51</v>
      </c>
      <c r="D69" s="5" t="s">
        <v>128</v>
      </c>
      <c r="E69" s="10" t="str">
        <f t="shared" si="16"/>
        <v>PNP'!</v>
      </c>
      <c r="F69" s="5" t="str">
        <f t="shared" si="17"/>
        <v>C:\Users\jaime.benazar\Quorum Business Solutions\Ecopetrol Prometeo - Documents\Planning Space Implementation\3. Analysis &amp; Design\Design\FC22\DRR Jaime\QUIFA-CAJÚA\Cajua\[VAS_CAJUA_CF_SEC_20230125.xlsx]CF PNP'!</v>
      </c>
      <c r="G69" s="7" t="s">
        <v>47</v>
      </c>
      <c r="H69" s="4">
        <f t="shared" si="18"/>
        <v>65</v>
      </c>
      <c r="I69" s="4" t="str">
        <f t="shared" si="19"/>
        <v>='C:\Users\jaime.benazar\Quorum Business Solutions\Ecopetrol Prometeo - Documents\Planning Space Implementation\3. Analysis &amp; Design\Design\FC22\DRR Jaime\QUIFA-CAJÚA\Cajua\[VAS_CAJUA_CF_SEC_20230125.xlsx]CF PNP'!$AY$65</v>
      </c>
      <c r="J69" s="4" t="s">
        <v>195</v>
      </c>
    </row>
    <row r="70" spans="1:10" x14ac:dyDescent="0.25">
      <c r="A70" s="7" t="s">
        <v>2</v>
      </c>
      <c r="B70" s="7">
        <f t="shared" si="15"/>
        <v>2053</v>
      </c>
      <c r="C70" s="4" t="s">
        <v>51</v>
      </c>
      <c r="D70" s="5" t="s">
        <v>128</v>
      </c>
      <c r="E70" s="10" t="str">
        <f t="shared" si="16"/>
        <v>PNP'!</v>
      </c>
      <c r="F70" s="5" t="str">
        <f t="shared" si="17"/>
        <v>C:\Users\jaime.benazar\Quorum Business Solutions\Ecopetrol Prometeo - Documents\Planning Space Implementation\3. Analysis &amp; Design\Design\FC22\DRR Jaime\QUIFA-CAJÚA\Cajua\[VAS_CAJUA_CF_SEC_20230125.xlsx]CF PNP'!</v>
      </c>
      <c r="G70" s="7" t="s">
        <v>47</v>
      </c>
      <c r="H70" s="4">
        <f t="shared" si="18"/>
        <v>66</v>
      </c>
      <c r="I70" s="4" t="str">
        <f t="shared" si="19"/>
        <v>='C:\Users\jaime.benazar\Quorum Business Solutions\Ecopetrol Prometeo - Documents\Planning Space Implementation\3. Analysis &amp; Design\Design\FC22\DRR Jaime\QUIFA-CAJÚA\Cajua\[VAS_CAJUA_CF_SEC_20230125.xlsx]CF PNP'!$AY$66</v>
      </c>
      <c r="J70" s="4" t="s">
        <v>196</v>
      </c>
    </row>
    <row r="71" spans="1:10" x14ac:dyDescent="0.25">
      <c r="A71" s="7" t="s">
        <v>2</v>
      </c>
      <c r="B71" s="7">
        <f t="shared" si="15"/>
        <v>2054</v>
      </c>
      <c r="C71" s="4" t="s">
        <v>51</v>
      </c>
      <c r="D71" s="5" t="s">
        <v>128</v>
      </c>
      <c r="E71" s="10" t="str">
        <f t="shared" si="16"/>
        <v>PNP'!</v>
      </c>
      <c r="F71" s="5" t="str">
        <f t="shared" si="17"/>
        <v>C:\Users\jaime.benazar\Quorum Business Solutions\Ecopetrol Prometeo - Documents\Planning Space Implementation\3. Analysis &amp; Design\Design\FC22\DRR Jaime\QUIFA-CAJÚA\Cajua\[VAS_CAJUA_CF_SEC_20230125.xlsx]CF PNP'!</v>
      </c>
      <c r="G71" s="7" t="s">
        <v>47</v>
      </c>
      <c r="H71" s="4">
        <f t="shared" si="18"/>
        <v>67</v>
      </c>
      <c r="I71" s="4" t="str">
        <f t="shared" si="19"/>
        <v>='C:\Users\jaime.benazar\Quorum Business Solutions\Ecopetrol Prometeo - Documents\Planning Space Implementation\3. Analysis &amp; Design\Design\FC22\DRR Jaime\QUIFA-CAJÚA\Cajua\[VAS_CAJUA_CF_SEC_20230125.xlsx]CF PNP'!$AY$67</v>
      </c>
      <c r="J71" s="4" t="s">
        <v>197</v>
      </c>
    </row>
    <row r="72" spans="1:10" x14ac:dyDescent="0.25">
      <c r="A72" s="7" t="s">
        <v>2</v>
      </c>
      <c r="B72" s="7">
        <f t="shared" si="15"/>
        <v>2055</v>
      </c>
      <c r="C72" s="4" t="s">
        <v>51</v>
      </c>
      <c r="D72" s="5" t="s">
        <v>128</v>
      </c>
      <c r="E72" s="10" t="str">
        <f t="shared" si="16"/>
        <v>PNP'!</v>
      </c>
      <c r="F72" s="5" t="str">
        <f t="shared" si="17"/>
        <v>C:\Users\jaime.benazar\Quorum Business Solutions\Ecopetrol Prometeo - Documents\Planning Space Implementation\3. Analysis &amp; Design\Design\FC22\DRR Jaime\QUIFA-CAJÚA\Cajua\[VAS_CAJUA_CF_SEC_20230125.xlsx]CF PNP'!</v>
      </c>
      <c r="G72" s="7" t="s">
        <v>47</v>
      </c>
      <c r="H72" s="4">
        <f t="shared" si="18"/>
        <v>68</v>
      </c>
      <c r="I72" s="4" t="str">
        <f t="shared" si="19"/>
        <v>='C:\Users\jaime.benazar\Quorum Business Solutions\Ecopetrol Prometeo - Documents\Planning Space Implementation\3. Analysis &amp; Design\Design\FC22\DRR Jaime\QUIFA-CAJÚA\Cajua\[VAS_CAJUA_CF_SEC_20230125.xlsx]CF PNP'!$AY$68</v>
      </c>
      <c r="J72" s="4" t="s">
        <v>198</v>
      </c>
    </row>
    <row r="73" spans="1:10" x14ac:dyDescent="0.25">
      <c r="A73" s="7" t="s">
        <v>2</v>
      </c>
      <c r="B73" s="7">
        <f t="shared" si="15"/>
        <v>2056</v>
      </c>
      <c r="C73" s="4" t="s">
        <v>51</v>
      </c>
      <c r="D73" s="5" t="s">
        <v>128</v>
      </c>
      <c r="E73" s="10" t="str">
        <f t="shared" si="16"/>
        <v>PNP'!</v>
      </c>
      <c r="F73" s="5" t="str">
        <f t="shared" si="17"/>
        <v>C:\Users\jaime.benazar\Quorum Business Solutions\Ecopetrol Prometeo - Documents\Planning Space Implementation\3. Analysis &amp; Design\Design\FC22\DRR Jaime\QUIFA-CAJÚA\Cajua\[VAS_CAJUA_CF_SEC_20230125.xlsx]CF PNP'!</v>
      </c>
      <c r="G73" s="7" t="s">
        <v>47</v>
      </c>
      <c r="H73" s="4">
        <f t="shared" si="18"/>
        <v>69</v>
      </c>
      <c r="I73" s="4" t="str">
        <f t="shared" si="19"/>
        <v>='C:\Users\jaime.benazar\Quorum Business Solutions\Ecopetrol Prometeo - Documents\Planning Space Implementation\3. Analysis &amp; Design\Design\FC22\DRR Jaime\QUIFA-CAJÚA\Cajua\[VAS_CAJUA_CF_SEC_20230125.xlsx]CF PNP'!$AY$69</v>
      </c>
      <c r="J73" s="4" t="s">
        <v>199</v>
      </c>
    </row>
    <row r="74" spans="1:10" x14ac:dyDescent="0.25">
      <c r="A74" s="7" t="s">
        <v>2</v>
      </c>
      <c r="B74" s="7">
        <f t="shared" si="15"/>
        <v>2057</v>
      </c>
      <c r="C74" s="4" t="s">
        <v>51</v>
      </c>
      <c r="D74" s="5" t="s">
        <v>128</v>
      </c>
      <c r="E74" s="10" t="str">
        <f t="shared" si="16"/>
        <v>PNP'!</v>
      </c>
      <c r="F74" s="5" t="str">
        <f t="shared" si="17"/>
        <v>C:\Users\jaime.benazar\Quorum Business Solutions\Ecopetrol Prometeo - Documents\Planning Space Implementation\3. Analysis &amp; Design\Design\FC22\DRR Jaime\QUIFA-CAJÚA\Cajua\[VAS_CAJUA_CF_SEC_20230125.xlsx]CF PNP'!</v>
      </c>
      <c r="G74" s="7" t="s">
        <v>47</v>
      </c>
      <c r="H74" s="4">
        <f t="shared" si="18"/>
        <v>70</v>
      </c>
      <c r="I74" s="4" t="str">
        <f t="shared" si="19"/>
        <v>='C:\Users\jaime.benazar\Quorum Business Solutions\Ecopetrol Prometeo - Documents\Planning Space Implementation\3. Analysis &amp; Design\Design\FC22\DRR Jaime\QUIFA-CAJÚA\Cajua\[VAS_CAJUA_CF_SEC_20230125.xlsx]CF PNP'!$AY$70</v>
      </c>
      <c r="J74" s="4" t="s">
        <v>200</v>
      </c>
    </row>
    <row r="75" spans="1:10" x14ac:dyDescent="0.25">
      <c r="A75" s="7" t="s">
        <v>2</v>
      </c>
      <c r="B75" s="7">
        <f t="shared" si="15"/>
        <v>2058</v>
      </c>
      <c r="C75" s="4" t="s">
        <v>51</v>
      </c>
      <c r="D75" s="5" t="s">
        <v>128</v>
      </c>
      <c r="E75" s="10" t="str">
        <f t="shared" si="16"/>
        <v>PNP'!</v>
      </c>
      <c r="F75" s="5" t="str">
        <f t="shared" si="17"/>
        <v>C:\Users\jaime.benazar\Quorum Business Solutions\Ecopetrol Prometeo - Documents\Planning Space Implementation\3. Analysis &amp; Design\Design\FC22\DRR Jaime\QUIFA-CAJÚA\Cajua\[VAS_CAJUA_CF_SEC_20230125.xlsx]CF PNP'!</v>
      </c>
      <c r="G75" s="7" t="s">
        <v>47</v>
      </c>
      <c r="H75" s="4">
        <f t="shared" si="18"/>
        <v>71</v>
      </c>
      <c r="I75" s="4" t="str">
        <f t="shared" si="19"/>
        <v>='C:\Users\jaime.benazar\Quorum Business Solutions\Ecopetrol Prometeo - Documents\Planning Space Implementation\3. Analysis &amp; Design\Design\FC22\DRR Jaime\QUIFA-CAJÚA\Cajua\[VAS_CAJUA_CF_SEC_20230125.xlsx]CF PNP'!$AY$71</v>
      </c>
      <c r="J75" s="4" t="s">
        <v>201</v>
      </c>
    </row>
    <row r="76" spans="1:10" x14ac:dyDescent="0.25">
      <c r="A76" s="7" t="s">
        <v>2</v>
      </c>
      <c r="B76" s="7">
        <f t="shared" si="15"/>
        <v>2059</v>
      </c>
      <c r="C76" s="4" t="s">
        <v>51</v>
      </c>
      <c r="D76" s="5" t="s">
        <v>128</v>
      </c>
      <c r="E76" s="10" t="str">
        <f t="shared" si="16"/>
        <v>PNP'!</v>
      </c>
      <c r="F76" s="5" t="str">
        <f t="shared" si="17"/>
        <v>C:\Users\jaime.benazar\Quorum Business Solutions\Ecopetrol Prometeo - Documents\Planning Space Implementation\3. Analysis &amp; Design\Design\FC22\DRR Jaime\QUIFA-CAJÚA\Cajua\[VAS_CAJUA_CF_SEC_20230125.xlsx]CF PNP'!</v>
      </c>
      <c r="G76" s="7" t="s">
        <v>47</v>
      </c>
      <c r="H76" s="4">
        <f t="shared" si="18"/>
        <v>72</v>
      </c>
      <c r="I76" s="4" t="str">
        <f t="shared" si="19"/>
        <v>='C:\Users\jaime.benazar\Quorum Business Solutions\Ecopetrol Prometeo - Documents\Planning Space Implementation\3. Analysis &amp; Design\Design\FC22\DRR Jaime\QUIFA-CAJÚA\Cajua\[VAS_CAJUA_CF_SEC_20230125.xlsx]CF PNP'!$AY$72</v>
      </c>
      <c r="J76" s="4" t="s">
        <v>202</v>
      </c>
    </row>
    <row r="77" spans="1:10" x14ac:dyDescent="0.25">
      <c r="A77" s="7" t="s">
        <v>28</v>
      </c>
      <c r="B77" s="7"/>
      <c r="C77" s="4" t="s">
        <v>51</v>
      </c>
      <c r="D77" s="5"/>
      <c r="E77" s="10"/>
      <c r="F77" s="5" t="str">
        <f t="shared" si="1"/>
        <v xml:space="preserve"> </v>
      </c>
      <c r="G77" s="7"/>
      <c r="H77" s="4"/>
      <c r="I77" s="4"/>
      <c r="J77" s="4"/>
    </row>
    <row r="78" spans="1:10" x14ac:dyDescent="0.25">
      <c r="A78" s="7" t="s">
        <v>3</v>
      </c>
      <c r="B78" s="7">
        <v>2023</v>
      </c>
      <c r="C78" s="4" t="s">
        <v>51</v>
      </c>
      <c r="D78" s="5" t="s">
        <v>128</v>
      </c>
      <c r="E78" s="10" t="str">
        <f t="shared" si="0"/>
        <v>PND'!</v>
      </c>
      <c r="F78" s="5" t="str">
        <f t="shared" si="1"/>
        <v>C:\Users\jaime.benazar\Quorum Business Solutions\Ecopetrol Prometeo - Documents\Planning Space Implementation\3. Analysis &amp; Design\Design\FC22\DRR Jaime\QUIFA-CAJÚA\Cajua\[VAS_CAJUA_CF_SEC_20230125.xlsx]CF PND'!</v>
      </c>
      <c r="G78" s="7" t="s">
        <v>47</v>
      </c>
      <c r="H78" s="4">
        <f>IF(A78&lt;&gt;A62,36,H62+1)</f>
        <v>36</v>
      </c>
      <c r="I78" s="4" t="str">
        <f t="shared" si="2"/>
        <v>='C:\Users\jaime.benazar\Quorum Business Solutions\Ecopetrol Prometeo - Documents\Planning Space Implementation\3. Analysis &amp; Design\Design\FC22\DRR Jaime\QUIFA-CAJÚA\Cajua\[VAS_CAJUA_CF_SEC_20230125.xlsx]CF PND'!$AY$36</v>
      </c>
      <c r="J78" s="4" t="s">
        <v>203</v>
      </c>
    </row>
    <row r="79" spans="1:10" x14ac:dyDescent="0.25">
      <c r="A79" s="7" t="s">
        <v>3</v>
      </c>
      <c r="B79" s="7">
        <f>+B78+1</f>
        <v>2024</v>
      </c>
      <c r="C79" s="4" t="s">
        <v>51</v>
      </c>
      <c r="D79" s="5" t="s">
        <v>128</v>
      </c>
      <c r="E79" s="10" t="str">
        <f t="shared" si="0"/>
        <v>PND'!</v>
      </c>
      <c r="F79" s="5" t="str">
        <f t="shared" si="1"/>
        <v>C:\Users\jaime.benazar\Quorum Business Solutions\Ecopetrol Prometeo - Documents\Planning Space Implementation\3. Analysis &amp; Design\Design\FC22\DRR Jaime\QUIFA-CAJÚA\Cajua\[VAS_CAJUA_CF_SEC_20230125.xlsx]CF PND'!</v>
      </c>
      <c r="G79" s="7" t="s">
        <v>47</v>
      </c>
      <c r="H79" s="4">
        <f t="shared" si="4"/>
        <v>37</v>
      </c>
      <c r="I79" s="4" t="str">
        <f t="shared" si="2"/>
        <v>='C:\Users\jaime.benazar\Quorum Business Solutions\Ecopetrol Prometeo - Documents\Planning Space Implementation\3. Analysis &amp; Design\Design\FC22\DRR Jaime\QUIFA-CAJÚA\Cajua\[VAS_CAJUA_CF_SEC_20230125.xlsx]CF PND'!$AY$37</v>
      </c>
      <c r="J79" s="4" t="s">
        <v>204</v>
      </c>
    </row>
    <row r="80" spans="1:10" x14ac:dyDescent="0.25">
      <c r="A80" s="7" t="s">
        <v>3</v>
      </c>
      <c r="B80" s="7">
        <f t="shared" ref="B80:B91" si="20">+B79+1</f>
        <v>2025</v>
      </c>
      <c r="C80" s="4" t="s">
        <v>51</v>
      </c>
      <c r="D80" s="5" t="s">
        <v>128</v>
      </c>
      <c r="E80" s="10" t="str">
        <f t="shared" si="0"/>
        <v>PND'!</v>
      </c>
      <c r="F80" s="5" t="str">
        <f t="shared" si="1"/>
        <v>C:\Users\jaime.benazar\Quorum Business Solutions\Ecopetrol Prometeo - Documents\Planning Space Implementation\3. Analysis &amp; Design\Design\FC22\DRR Jaime\QUIFA-CAJÚA\Cajua\[VAS_CAJUA_CF_SEC_20230125.xlsx]CF PND'!</v>
      </c>
      <c r="G80" s="7" t="s">
        <v>47</v>
      </c>
      <c r="H80" s="4">
        <f t="shared" si="4"/>
        <v>38</v>
      </c>
      <c r="I80" s="4" t="str">
        <f t="shared" si="2"/>
        <v>='C:\Users\jaime.benazar\Quorum Business Solutions\Ecopetrol Prometeo - Documents\Planning Space Implementation\3. Analysis &amp; Design\Design\FC22\DRR Jaime\QUIFA-CAJÚA\Cajua\[VAS_CAJUA_CF_SEC_20230125.xlsx]CF PND'!$AY$38</v>
      </c>
      <c r="J80" s="4" t="s">
        <v>205</v>
      </c>
    </row>
    <row r="81" spans="1:10" x14ac:dyDescent="0.25">
      <c r="A81" s="7" t="s">
        <v>3</v>
      </c>
      <c r="B81" s="7">
        <f t="shared" si="20"/>
        <v>2026</v>
      </c>
      <c r="C81" s="4" t="s">
        <v>51</v>
      </c>
      <c r="D81" s="5" t="s">
        <v>128</v>
      </c>
      <c r="E81" s="10" t="str">
        <f t="shared" si="0"/>
        <v>PND'!</v>
      </c>
      <c r="F81" s="5" t="str">
        <f t="shared" si="1"/>
        <v>C:\Users\jaime.benazar\Quorum Business Solutions\Ecopetrol Prometeo - Documents\Planning Space Implementation\3. Analysis &amp; Design\Design\FC22\DRR Jaime\QUIFA-CAJÚA\Cajua\[VAS_CAJUA_CF_SEC_20230125.xlsx]CF PND'!</v>
      </c>
      <c r="G81" s="7" t="s">
        <v>47</v>
      </c>
      <c r="H81" s="4">
        <f t="shared" si="4"/>
        <v>39</v>
      </c>
      <c r="I81" s="4" t="str">
        <f t="shared" si="2"/>
        <v>='C:\Users\jaime.benazar\Quorum Business Solutions\Ecopetrol Prometeo - Documents\Planning Space Implementation\3. Analysis &amp; Design\Design\FC22\DRR Jaime\QUIFA-CAJÚA\Cajua\[VAS_CAJUA_CF_SEC_20230125.xlsx]CF PND'!$AY$39</v>
      </c>
      <c r="J81" s="4" t="s">
        <v>206</v>
      </c>
    </row>
    <row r="82" spans="1:10" x14ac:dyDescent="0.25">
      <c r="A82" s="7" t="s">
        <v>3</v>
      </c>
      <c r="B82" s="7">
        <f t="shared" si="20"/>
        <v>2027</v>
      </c>
      <c r="C82" s="4" t="s">
        <v>51</v>
      </c>
      <c r="D82" s="5" t="s">
        <v>128</v>
      </c>
      <c r="E82" s="10" t="str">
        <f t="shared" si="0"/>
        <v>PND'!</v>
      </c>
      <c r="F82" s="5" t="str">
        <f t="shared" si="1"/>
        <v>C:\Users\jaime.benazar\Quorum Business Solutions\Ecopetrol Prometeo - Documents\Planning Space Implementation\3. Analysis &amp; Design\Design\FC22\DRR Jaime\QUIFA-CAJÚA\Cajua\[VAS_CAJUA_CF_SEC_20230125.xlsx]CF PND'!</v>
      </c>
      <c r="G82" s="7" t="s">
        <v>47</v>
      </c>
      <c r="H82" s="4">
        <f t="shared" si="4"/>
        <v>40</v>
      </c>
      <c r="I82" s="4" t="str">
        <f t="shared" si="2"/>
        <v>='C:\Users\jaime.benazar\Quorum Business Solutions\Ecopetrol Prometeo - Documents\Planning Space Implementation\3. Analysis &amp; Design\Design\FC22\DRR Jaime\QUIFA-CAJÚA\Cajua\[VAS_CAJUA_CF_SEC_20230125.xlsx]CF PND'!$AY$40</v>
      </c>
      <c r="J82" s="4" t="s">
        <v>207</v>
      </c>
    </row>
    <row r="83" spans="1:10" x14ac:dyDescent="0.25">
      <c r="A83" s="7" t="s">
        <v>3</v>
      </c>
      <c r="B83" s="7">
        <f t="shared" si="20"/>
        <v>2028</v>
      </c>
      <c r="C83" s="4" t="s">
        <v>51</v>
      </c>
      <c r="D83" s="5" t="s">
        <v>128</v>
      </c>
      <c r="E83" s="10" t="str">
        <f t="shared" si="0"/>
        <v>PND'!</v>
      </c>
      <c r="F83" s="5" t="str">
        <f t="shared" si="1"/>
        <v>C:\Users\jaime.benazar\Quorum Business Solutions\Ecopetrol Prometeo - Documents\Planning Space Implementation\3. Analysis &amp; Design\Design\FC22\DRR Jaime\QUIFA-CAJÚA\Cajua\[VAS_CAJUA_CF_SEC_20230125.xlsx]CF PND'!</v>
      </c>
      <c r="G83" s="7" t="s">
        <v>47</v>
      </c>
      <c r="H83" s="4">
        <f t="shared" si="4"/>
        <v>41</v>
      </c>
      <c r="I83" s="4" t="str">
        <f t="shared" si="2"/>
        <v>='C:\Users\jaime.benazar\Quorum Business Solutions\Ecopetrol Prometeo - Documents\Planning Space Implementation\3. Analysis &amp; Design\Design\FC22\DRR Jaime\QUIFA-CAJÚA\Cajua\[VAS_CAJUA_CF_SEC_20230125.xlsx]CF PND'!$AY$41</v>
      </c>
      <c r="J83" s="4" t="s">
        <v>208</v>
      </c>
    </row>
    <row r="84" spans="1:10" x14ac:dyDescent="0.25">
      <c r="A84" s="7" t="s">
        <v>3</v>
      </c>
      <c r="B84" s="7">
        <f t="shared" si="20"/>
        <v>2029</v>
      </c>
      <c r="C84" s="4" t="s">
        <v>51</v>
      </c>
      <c r="D84" s="5" t="s">
        <v>128</v>
      </c>
      <c r="E84" s="10" t="str">
        <f t="shared" si="0"/>
        <v>PND'!</v>
      </c>
      <c r="F84" s="5" t="str">
        <f t="shared" si="1"/>
        <v>C:\Users\jaime.benazar\Quorum Business Solutions\Ecopetrol Prometeo - Documents\Planning Space Implementation\3. Analysis &amp; Design\Design\FC22\DRR Jaime\QUIFA-CAJÚA\Cajua\[VAS_CAJUA_CF_SEC_20230125.xlsx]CF PND'!</v>
      </c>
      <c r="G84" s="7" t="s">
        <v>47</v>
      </c>
      <c r="H84" s="4">
        <f t="shared" si="4"/>
        <v>42</v>
      </c>
      <c r="I84" s="4" t="str">
        <f t="shared" si="2"/>
        <v>='C:\Users\jaime.benazar\Quorum Business Solutions\Ecopetrol Prometeo - Documents\Planning Space Implementation\3. Analysis &amp; Design\Design\FC22\DRR Jaime\QUIFA-CAJÚA\Cajua\[VAS_CAJUA_CF_SEC_20230125.xlsx]CF PND'!$AY$42</v>
      </c>
      <c r="J84" s="4" t="s">
        <v>209</v>
      </c>
    </row>
    <row r="85" spans="1:10" x14ac:dyDescent="0.25">
      <c r="A85" s="7" t="s">
        <v>3</v>
      </c>
      <c r="B85" s="7">
        <f t="shared" si="20"/>
        <v>2030</v>
      </c>
      <c r="C85" s="4" t="s">
        <v>51</v>
      </c>
      <c r="D85" s="5" t="s">
        <v>128</v>
      </c>
      <c r="E85" s="10" t="str">
        <f t="shared" si="0"/>
        <v>PND'!</v>
      </c>
      <c r="F85" s="5" t="str">
        <f t="shared" si="1"/>
        <v>C:\Users\jaime.benazar\Quorum Business Solutions\Ecopetrol Prometeo - Documents\Planning Space Implementation\3. Analysis &amp; Design\Design\FC22\DRR Jaime\QUIFA-CAJÚA\Cajua\[VAS_CAJUA_CF_SEC_20230125.xlsx]CF PND'!</v>
      </c>
      <c r="G85" s="7" t="s">
        <v>47</v>
      </c>
      <c r="H85" s="4">
        <f t="shared" si="4"/>
        <v>43</v>
      </c>
      <c r="I85" s="4" t="str">
        <f t="shared" si="2"/>
        <v>='C:\Users\jaime.benazar\Quorum Business Solutions\Ecopetrol Prometeo - Documents\Planning Space Implementation\3. Analysis &amp; Design\Design\FC22\DRR Jaime\QUIFA-CAJÚA\Cajua\[VAS_CAJUA_CF_SEC_20230125.xlsx]CF PND'!$AY$43</v>
      </c>
      <c r="J85" s="4" t="s">
        <v>210</v>
      </c>
    </row>
    <row r="86" spans="1:10" x14ac:dyDescent="0.25">
      <c r="A86" s="7" t="s">
        <v>3</v>
      </c>
      <c r="B86" s="7">
        <f t="shared" si="20"/>
        <v>2031</v>
      </c>
      <c r="C86" s="4" t="s">
        <v>51</v>
      </c>
      <c r="D86" s="5" t="s">
        <v>128</v>
      </c>
      <c r="E86" s="10" t="str">
        <f t="shared" si="0"/>
        <v>PND'!</v>
      </c>
      <c r="F86" s="5" t="str">
        <f t="shared" si="1"/>
        <v>C:\Users\jaime.benazar\Quorum Business Solutions\Ecopetrol Prometeo - Documents\Planning Space Implementation\3. Analysis &amp; Design\Design\FC22\DRR Jaime\QUIFA-CAJÚA\Cajua\[VAS_CAJUA_CF_SEC_20230125.xlsx]CF PND'!</v>
      </c>
      <c r="G86" s="7" t="s">
        <v>47</v>
      </c>
      <c r="H86" s="4">
        <f t="shared" si="4"/>
        <v>44</v>
      </c>
      <c r="I86" s="4" t="str">
        <f t="shared" si="2"/>
        <v>='C:\Users\jaime.benazar\Quorum Business Solutions\Ecopetrol Prometeo - Documents\Planning Space Implementation\3. Analysis &amp; Design\Design\FC22\DRR Jaime\QUIFA-CAJÚA\Cajua\[VAS_CAJUA_CF_SEC_20230125.xlsx]CF PND'!$AY$44</v>
      </c>
      <c r="J86" s="4" t="s">
        <v>211</v>
      </c>
    </row>
    <row r="87" spans="1:10" x14ac:dyDescent="0.25">
      <c r="A87" s="7" t="s">
        <v>3</v>
      </c>
      <c r="B87" s="7">
        <f t="shared" si="20"/>
        <v>2032</v>
      </c>
      <c r="C87" s="4" t="s">
        <v>51</v>
      </c>
      <c r="D87" s="5" t="s">
        <v>128</v>
      </c>
      <c r="E87" s="10" t="str">
        <f t="shared" si="0"/>
        <v>PND'!</v>
      </c>
      <c r="F87" s="5" t="str">
        <f t="shared" si="1"/>
        <v>C:\Users\jaime.benazar\Quorum Business Solutions\Ecopetrol Prometeo - Documents\Planning Space Implementation\3. Analysis &amp; Design\Design\FC22\DRR Jaime\QUIFA-CAJÚA\Cajua\[VAS_CAJUA_CF_SEC_20230125.xlsx]CF PND'!</v>
      </c>
      <c r="G87" s="7" t="s">
        <v>47</v>
      </c>
      <c r="H87" s="4">
        <f t="shared" si="4"/>
        <v>45</v>
      </c>
      <c r="I87" s="4" t="str">
        <f t="shared" si="2"/>
        <v>='C:\Users\jaime.benazar\Quorum Business Solutions\Ecopetrol Prometeo - Documents\Planning Space Implementation\3. Analysis &amp; Design\Design\FC22\DRR Jaime\QUIFA-CAJÚA\Cajua\[VAS_CAJUA_CF_SEC_20230125.xlsx]CF PND'!$AY$45</v>
      </c>
      <c r="J87" s="4" t="s">
        <v>212</v>
      </c>
    </row>
    <row r="88" spans="1:10" x14ac:dyDescent="0.25">
      <c r="A88" s="7" t="s">
        <v>3</v>
      </c>
      <c r="B88" s="7">
        <f t="shared" si="20"/>
        <v>2033</v>
      </c>
      <c r="C88" s="4" t="s">
        <v>51</v>
      </c>
      <c r="D88" s="5" t="s">
        <v>128</v>
      </c>
      <c r="E88" s="10" t="str">
        <f t="shared" si="0"/>
        <v>PND'!</v>
      </c>
      <c r="F88" s="5" t="str">
        <f t="shared" si="1"/>
        <v>C:\Users\jaime.benazar\Quorum Business Solutions\Ecopetrol Prometeo - Documents\Planning Space Implementation\3. Analysis &amp; Design\Design\FC22\DRR Jaime\QUIFA-CAJÚA\Cajua\[VAS_CAJUA_CF_SEC_20230125.xlsx]CF PND'!</v>
      </c>
      <c r="G88" s="7" t="s">
        <v>47</v>
      </c>
      <c r="H88" s="4">
        <f t="shared" si="4"/>
        <v>46</v>
      </c>
      <c r="I88" s="4" t="str">
        <f t="shared" si="2"/>
        <v>='C:\Users\jaime.benazar\Quorum Business Solutions\Ecopetrol Prometeo - Documents\Planning Space Implementation\3. Analysis &amp; Design\Design\FC22\DRR Jaime\QUIFA-CAJÚA\Cajua\[VAS_CAJUA_CF_SEC_20230125.xlsx]CF PND'!$AY$46</v>
      </c>
      <c r="J88" s="4" t="s">
        <v>213</v>
      </c>
    </row>
    <row r="89" spans="1:10" x14ac:dyDescent="0.25">
      <c r="A89" s="7" t="s">
        <v>3</v>
      </c>
      <c r="B89" s="7">
        <f t="shared" si="20"/>
        <v>2034</v>
      </c>
      <c r="C89" s="4" t="s">
        <v>51</v>
      </c>
      <c r="D89" s="5" t="s">
        <v>128</v>
      </c>
      <c r="E89" s="10" t="str">
        <f t="shared" si="0"/>
        <v>PND'!</v>
      </c>
      <c r="F89" s="5" t="str">
        <f t="shared" si="1"/>
        <v>C:\Users\jaime.benazar\Quorum Business Solutions\Ecopetrol Prometeo - Documents\Planning Space Implementation\3. Analysis &amp; Design\Design\FC22\DRR Jaime\QUIFA-CAJÚA\Cajua\[VAS_CAJUA_CF_SEC_20230125.xlsx]CF PND'!</v>
      </c>
      <c r="G89" s="7" t="s">
        <v>47</v>
      </c>
      <c r="H89" s="4">
        <f t="shared" si="4"/>
        <v>47</v>
      </c>
      <c r="I89" s="4" t="str">
        <f t="shared" si="2"/>
        <v>='C:\Users\jaime.benazar\Quorum Business Solutions\Ecopetrol Prometeo - Documents\Planning Space Implementation\3. Analysis &amp; Design\Design\FC22\DRR Jaime\QUIFA-CAJÚA\Cajua\[VAS_CAJUA_CF_SEC_20230125.xlsx]CF PND'!$AY$47</v>
      </c>
      <c r="J89" s="4" t="s">
        <v>214</v>
      </c>
    </row>
    <row r="90" spans="1:10" x14ac:dyDescent="0.25">
      <c r="A90" s="7" t="s">
        <v>3</v>
      </c>
      <c r="B90" s="7">
        <f t="shared" si="20"/>
        <v>2035</v>
      </c>
      <c r="C90" s="4" t="s">
        <v>51</v>
      </c>
      <c r="D90" s="5" t="s">
        <v>128</v>
      </c>
      <c r="E90" s="10" t="str">
        <f t="shared" si="0"/>
        <v>PND'!</v>
      </c>
      <c r="F90" s="5" t="str">
        <f t="shared" si="1"/>
        <v>C:\Users\jaime.benazar\Quorum Business Solutions\Ecopetrol Prometeo - Documents\Planning Space Implementation\3. Analysis &amp; Design\Design\FC22\DRR Jaime\QUIFA-CAJÚA\Cajua\[VAS_CAJUA_CF_SEC_20230125.xlsx]CF PND'!</v>
      </c>
      <c r="G90" s="7" t="s">
        <v>47</v>
      </c>
      <c r="H90" s="4">
        <f t="shared" si="4"/>
        <v>48</v>
      </c>
      <c r="I90" s="4" t="str">
        <f t="shared" si="2"/>
        <v>='C:\Users\jaime.benazar\Quorum Business Solutions\Ecopetrol Prometeo - Documents\Planning Space Implementation\3. Analysis &amp; Design\Design\FC22\DRR Jaime\QUIFA-CAJÚA\Cajua\[VAS_CAJUA_CF_SEC_20230125.xlsx]CF PND'!$AY$48</v>
      </c>
      <c r="J90" s="4" t="s">
        <v>215</v>
      </c>
    </row>
    <row r="91" spans="1:10" x14ac:dyDescent="0.25">
      <c r="A91" s="7" t="s">
        <v>3</v>
      </c>
      <c r="B91" s="7">
        <f t="shared" si="20"/>
        <v>2036</v>
      </c>
      <c r="C91" s="4" t="s">
        <v>51</v>
      </c>
      <c r="D91" s="5" t="s">
        <v>128</v>
      </c>
      <c r="E91" s="10" t="str">
        <f t="shared" si="0"/>
        <v>PND'!</v>
      </c>
      <c r="F91" s="5" t="str">
        <f t="shared" si="1"/>
        <v>C:\Users\jaime.benazar\Quorum Business Solutions\Ecopetrol Prometeo - Documents\Planning Space Implementation\3. Analysis &amp; Design\Design\FC22\DRR Jaime\QUIFA-CAJÚA\Cajua\[VAS_CAJUA_CF_SEC_20230125.xlsx]CF PND'!</v>
      </c>
      <c r="G91" s="7" t="s">
        <v>47</v>
      </c>
      <c r="H91" s="4">
        <f t="shared" si="4"/>
        <v>49</v>
      </c>
      <c r="I91" s="4" t="str">
        <f t="shared" si="2"/>
        <v>='C:\Users\jaime.benazar\Quorum Business Solutions\Ecopetrol Prometeo - Documents\Planning Space Implementation\3. Analysis &amp; Design\Design\FC22\DRR Jaime\QUIFA-CAJÚA\Cajua\[VAS_CAJUA_CF_SEC_20230125.xlsx]CF PND'!$AY$49</v>
      </c>
      <c r="J91" s="4" t="s">
        <v>216</v>
      </c>
    </row>
    <row r="92" spans="1:10" x14ac:dyDescent="0.25">
      <c r="A92" s="7" t="s">
        <v>3</v>
      </c>
      <c r="B92" s="7">
        <f>+B91+1</f>
        <v>2037</v>
      </c>
      <c r="C92" s="4" t="s">
        <v>51</v>
      </c>
      <c r="D92" s="5" t="s">
        <v>128</v>
      </c>
      <c r="E92" s="10" t="str">
        <f t="shared" si="0"/>
        <v>PND'!</v>
      </c>
      <c r="F92" s="5" t="str">
        <f t="shared" si="1"/>
        <v>C:\Users\jaime.benazar\Quorum Business Solutions\Ecopetrol Prometeo - Documents\Planning Space Implementation\3. Analysis &amp; Design\Design\FC22\DRR Jaime\QUIFA-CAJÚA\Cajua\[VAS_CAJUA_CF_SEC_20230125.xlsx]CF PND'!</v>
      </c>
      <c r="G92" s="7" t="s">
        <v>47</v>
      </c>
      <c r="H92" s="4">
        <f t="shared" si="4"/>
        <v>50</v>
      </c>
      <c r="I92" s="4" t="str">
        <f t="shared" si="2"/>
        <v>='C:\Users\jaime.benazar\Quorum Business Solutions\Ecopetrol Prometeo - Documents\Planning Space Implementation\3. Analysis &amp; Design\Design\FC22\DRR Jaime\QUIFA-CAJÚA\Cajua\[VAS_CAJUA_CF_SEC_20230125.xlsx]CF PND'!$AY$50</v>
      </c>
      <c r="J92" s="4" t="s">
        <v>217</v>
      </c>
    </row>
    <row r="93" spans="1:10" x14ac:dyDescent="0.25">
      <c r="A93" s="7" t="s">
        <v>3</v>
      </c>
      <c r="B93" s="7">
        <f t="shared" ref="B93:B95" si="21">+B92+1</f>
        <v>2038</v>
      </c>
      <c r="C93" s="4" t="s">
        <v>51</v>
      </c>
      <c r="D93" s="5" t="s">
        <v>128</v>
      </c>
      <c r="E93" s="10" t="str">
        <f t="shared" si="0"/>
        <v>PND'!</v>
      </c>
      <c r="F93" s="5" t="str">
        <f t="shared" si="1"/>
        <v>C:\Users\jaime.benazar\Quorum Business Solutions\Ecopetrol Prometeo - Documents\Planning Space Implementation\3. Analysis &amp; Design\Design\FC22\DRR Jaime\QUIFA-CAJÚA\Cajua\[VAS_CAJUA_CF_SEC_20230125.xlsx]CF PND'!</v>
      </c>
      <c r="G93" s="7" t="s">
        <v>47</v>
      </c>
      <c r="H93" s="4">
        <f t="shared" si="4"/>
        <v>51</v>
      </c>
      <c r="I93" s="4" t="str">
        <f t="shared" si="2"/>
        <v>='C:\Users\jaime.benazar\Quorum Business Solutions\Ecopetrol Prometeo - Documents\Planning Space Implementation\3. Analysis &amp; Design\Design\FC22\DRR Jaime\QUIFA-CAJÚA\Cajua\[VAS_CAJUA_CF_SEC_20230125.xlsx]CF PND'!$AY$51</v>
      </c>
      <c r="J93" s="4" t="s">
        <v>218</v>
      </c>
    </row>
    <row r="94" spans="1:10" x14ac:dyDescent="0.25">
      <c r="A94" s="7" t="s">
        <v>3</v>
      </c>
      <c r="B94" s="7">
        <f t="shared" si="21"/>
        <v>2039</v>
      </c>
      <c r="C94" s="4" t="s">
        <v>51</v>
      </c>
      <c r="D94" s="5" t="s">
        <v>128</v>
      </c>
      <c r="E94" s="10" t="str">
        <f t="shared" si="0"/>
        <v>PND'!</v>
      </c>
      <c r="F94" s="5" t="str">
        <f t="shared" si="1"/>
        <v>C:\Users\jaime.benazar\Quorum Business Solutions\Ecopetrol Prometeo - Documents\Planning Space Implementation\3. Analysis &amp; Design\Design\FC22\DRR Jaime\QUIFA-CAJÚA\Cajua\[VAS_CAJUA_CF_SEC_20230125.xlsx]CF PND'!</v>
      </c>
      <c r="G94" s="7" t="s">
        <v>47</v>
      </c>
      <c r="H94" s="4">
        <f t="shared" si="4"/>
        <v>52</v>
      </c>
      <c r="I94" s="4" t="str">
        <f t="shared" si="2"/>
        <v>='C:\Users\jaime.benazar\Quorum Business Solutions\Ecopetrol Prometeo - Documents\Planning Space Implementation\3. Analysis &amp; Design\Design\FC22\DRR Jaime\QUIFA-CAJÚA\Cajua\[VAS_CAJUA_CF_SEC_20230125.xlsx]CF PND'!$AY$52</v>
      </c>
      <c r="J94" s="4" t="s">
        <v>219</v>
      </c>
    </row>
    <row r="95" spans="1:10" x14ac:dyDescent="0.25">
      <c r="A95" s="7" t="s">
        <v>3</v>
      </c>
      <c r="B95" s="7">
        <f t="shared" si="21"/>
        <v>2040</v>
      </c>
      <c r="C95" s="4" t="s">
        <v>51</v>
      </c>
      <c r="D95" s="5" t="s">
        <v>128</v>
      </c>
      <c r="E95" s="10" t="str">
        <f t="shared" si="0"/>
        <v>PND'!</v>
      </c>
      <c r="F95" s="5" t="str">
        <f t="shared" ref="F95:F200" si="22">_xlfn.CONCAT(D95," ",E95)</f>
        <v>C:\Users\jaime.benazar\Quorum Business Solutions\Ecopetrol Prometeo - Documents\Planning Space Implementation\3. Analysis &amp; Design\Design\FC22\DRR Jaime\QUIFA-CAJÚA\Cajua\[VAS_CAJUA_CF_SEC_20230125.xlsx]CF PND'!</v>
      </c>
      <c r="G95" s="7" t="s">
        <v>47</v>
      </c>
      <c r="H95" s="4">
        <f t="shared" si="4"/>
        <v>53</v>
      </c>
      <c r="I95" s="4" t="str">
        <f t="shared" si="2"/>
        <v>='C:\Users\jaime.benazar\Quorum Business Solutions\Ecopetrol Prometeo - Documents\Planning Space Implementation\3. Analysis &amp; Design\Design\FC22\DRR Jaime\QUIFA-CAJÚA\Cajua\[VAS_CAJUA_CF_SEC_20230125.xlsx]CF PND'!$AY$53</v>
      </c>
      <c r="J95" s="4" t="s">
        <v>220</v>
      </c>
    </row>
    <row r="96" spans="1:10" x14ac:dyDescent="0.25">
      <c r="A96" s="7" t="s">
        <v>3</v>
      </c>
      <c r="B96" s="7">
        <f>+B95+1</f>
        <v>2041</v>
      </c>
      <c r="C96" s="4" t="s">
        <v>51</v>
      </c>
      <c r="D96" s="5" t="s">
        <v>128</v>
      </c>
      <c r="E96" s="10" t="str">
        <f t="shared" si="0"/>
        <v>PND'!</v>
      </c>
      <c r="F96" s="5" t="str">
        <f t="shared" si="22"/>
        <v>C:\Users\jaime.benazar\Quorum Business Solutions\Ecopetrol Prometeo - Documents\Planning Space Implementation\3. Analysis &amp; Design\Design\FC22\DRR Jaime\QUIFA-CAJÚA\Cajua\[VAS_CAJUA_CF_SEC_20230125.xlsx]CF PND'!</v>
      </c>
      <c r="G96" s="7" t="s">
        <v>47</v>
      </c>
      <c r="H96" s="4">
        <f t="shared" si="4"/>
        <v>54</v>
      </c>
      <c r="I96" s="4" t="str">
        <f t="shared" si="2"/>
        <v>='C:\Users\jaime.benazar\Quorum Business Solutions\Ecopetrol Prometeo - Documents\Planning Space Implementation\3. Analysis &amp; Design\Design\FC22\DRR Jaime\QUIFA-CAJÚA\Cajua\[VAS_CAJUA_CF_SEC_20230125.xlsx]CF PND'!$AY$54</v>
      </c>
      <c r="J96" s="4" t="s">
        <v>221</v>
      </c>
    </row>
    <row r="97" spans="1:10" x14ac:dyDescent="0.25">
      <c r="A97" s="7" t="s">
        <v>3</v>
      </c>
      <c r="B97" s="7">
        <f t="shared" ref="B97:B98" si="23">+B96+1</f>
        <v>2042</v>
      </c>
      <c r="C97" s="4" t="s">
        <v>51</v>
      </c>
      <c r="D97" s="5" t="s">
        <v>128</v>
      </c>
      <c r="E97" s="10" t="str">
        <f t="shared" ref="E97:E402" si="24">_xlfn.CONCAT(A97,"'!")</f>
        <v>PND'!</v>
      </c>
      <c r="F97" s="5" t="str">
        <f t="shared" si="22"/>
        <v>C:\Users\jaime.benazar\Quorum Business Solutions\Ecopetrol Prometeo - Documents\Planning Space Implementation\3. Analysis &amp; Design\Design\FC22\DRR Jaime\QUIFA-CAJÚA\Cajua\[VAS_CAJUA_CF_SEC_20230125.xlsx]CF PND'!</v>
      </c>
      <c r="G97" s="7" t="s">
        <v>47</v>
      </c>
      <c r="H97" s="4">
        <f t="shared" si="4"/>
        <v>55</v>
      </c>
      <c r="I97" s="4" t="str">
        <f t="shared" ref="I97:I402" si="25">_xlfn.CONCAT("='",F97:H97)</f>
        <v>='C:\Users\jaime.benazar\Quorum Business Solutions\Ecopetrol Prometeo - Documents\Planning Space Implementation\3. Analysis &amp; Design\Design\FC22\DRR Jaime\QUIFA-CAJÚA\Cajua\[VAS_CAJUA_CF_SEC_20230125.xlsx]CF PND'!$AY$55</v>
      </c>
      <c r="J97" s="4" t="s">
        <v>222</v>
      </c>
    </row>
    <row r="98" spans="1:10" x14ac:dyDescent="0.25">
      <c r="A98" s="7" t="s">
        <v>3</v>
      </c>
      <c r="B98" s="7">
        <f t="shared" si="23"/>
        <v>2043</v>
      </c>
      <c r="C98" s="4" t="s">
        <v>51</v>
      </c>
      <c r="D98" s="5" t="s">
        <v>128</v>
      </c>
      <c r="E98" s="10" t="str">
        <f t="shared" si="24"/>
        <v>PND'!</v>
      </c>
      <c r="F98" s="5" t="str">
        <f t="shared" si="22"/>
        <v>C:\Users\jaime.benazar\Quorum Business Solutions\Ecopetrol Prometeo - Documents\Planning Space Implementation\3. Analysis &amp; Design\Design\FC22\DRR Jaime\QUIFA-CAJÚA\Cajua\[VAS_CAJUA_CF_SEC_20230125.xlsx]CF PND'!</v>
      </c>
      <c r="G98" s="7" t="s">
        <v>47</v>
      </c>
      <c r="H98" s="4">
        <f t="shared" ref="H98:H402" si="26">IF(A98&lt;&gt;A97,36,H97+1)</f>
        <v>56</v>
      </c>
      <c r="I98" s="4" t="str">
        <f t="shared" si="25"/>
        <v>='C:\Users\jaime.benazar\Quorum Business Solutions\Ecopetrol Prometeo - Documents\Planning Space Implementation\3. Analysis &amp; Design\Design\FC22\DRR Jaime\QUIFA-CAJÚA\Cajua\[VAS_CAJUA_CF_SEC_20230125.xlsx]CF PND'!$AY$56</v>
      </c>
      <c r="J98" s="4" t="s">
        <v>223</v>
      </c>
    </row>
    <row r="99" spans="1:10" x14ac:dyDescent="0.25">
      <c r="A99" s="7" t="s">
        <v>3</v>
      </c>
      <c r="B99" s="7">
        <f>+B98+1</f>
        <v>2044</v>
      </c>
      <c r="C99" s="4" t="s">
        <v>51</v>
      </c>
      <c r="D99" s="5" t="s">
        <v>128</v>
      </c>
      <c r="E99" s="10" t="str">
        <f t="shared" ref="E99:E114" si="27">_xlfn.CONCAT(A99,"'!")</f>
        <v>PND'!</v>
      </c>
      <c r="F99" s="5" t="str">
        <f t="shared" ref="F99:F114" si="28">_xlfn.CONCAT(D99," ",E99)</f>
        <v>C:\Users\jaime.benazar\Quorum Business Solutions\Ecopetrol Prometeo - Documents\Planning Space Implementation\3. Analysis &amp; Design\Design\FC22\DRR Jaime\QUIFA-CAJÚA\Cajua\[VAS_CAJUA_CF_SEC_20230125.xlsx]CF PND'!</v>
      </c>
      <c r="G99" s="7" t="s">
        <v>47</v>
      </c>
      <c r="H99" s="4">
        <f t="shared" ref="H99:H114" si="29">IF(A99&lt;&gt;A98,36,H98+1)</f>
        <v>57</v>
      </c>
      <c r="I99" s="4" t="str">
        <f t="shared" ref="I99:I114" si="30">_xlfn.CONCAT("='",F99:H99)</f>
        <v>='C:\Users\jaime.benazar\Quorum Business Solutions\Ecopetrol Prometeo - Documents\Planning Space Implementation\3. Analysis &amp; Design\Design\FC22\DRR Jaime\QUIFA-CAJÚA\Cajua\[VAS_CAJUA_CF_SEC_20230125.xlsx]CF PND'!$AY$57</v>
      </c>
      <c r="J99" s="4" t="s">
        <v>224</v>
      </c>
    </row>
    <row r="100" spans="1:10" x14ac:dyDescent="0.25">
      <c r="A100" s="7" t="s">
        <v>3</v>
      </c>
      <c r="B100" s="7">
        <f t="shared" ref="B100:B114" si="31">+B99+1</f>
        <v>2045</v>
      </c>
      <c r="C100" s="4" t="s">
        <v>51</v>
      </c>
      <c r="D100" s="5" t="s">
        <v>128</v>
      </c>
      <c r="E100" s="10" t="str">
        <f t="shared" si="27"/>
        <v>PND'!</v>
      </c>
      <c r="F100" s="5" t="str">
        <f t="shared" si="28"/>
        <v>C:\Users\jaime.benazar\Quorum Business Solutions\Ecopetrol Prometeo - Documents\Planning Space Implementation\3. Analysis &amp; Design\Design\FC22\DRR Jaime\QUIFA-CAJÚA\Cajua\[VAS_CAJUA_CF_SEC_20230125.xlsx]CF PND'!</v>
      </c>
      <c r="G100" s="7" t="s">
        <v>47</v>
      </c>
      <c r="H100" s="4">
        <f t="shared" si="29"/>
        <v>58</v>
      </c>
      <c r="I100" s="4" t="str">
        <f t="shared" si="30"/>
        <v>='C:\Users\jaime.benazar\Quorum Business Solutions\Ecopetrol Prometeo - Documents\Planning Space Implementation\3. Analysis &amp; Design\Design\FC22\DRR Jaime\QUIFA-CAJÚA\Cajua\[VAS_CAJUA_CF_SEC_20230125.xlsx]CF PND'!$AY$58</v>
      </c>
      <c r="J100" s="4" t="s">
        <v>225</v>
      </c>
    </row>
    <row r="101" spans="1:10" x14ac:dyDescent="0.25">
      <c r="A101" s="7" t="s">
        <v>3</v>
      </c>
      <c r="B101" s="7">
        <f t="shared" si="31"/>
        <v>2046</v>
      </c>
      <c r="C101" s="4" t="s">
        <v>51</v>
      </c>
      <c r="D101" s="5" t="s">
        <v>128</v>
      </c>
      <c r="E101" s="10" t="str">
        <f t="shared" si="27"/>
        <v>PND'!</v>
      </c>
      <c r="F101" s="5" t="str">
        <f t="shared" si="28"/>
        <v>C:\Users\jaime.benazar\Quorum Business Solutions\Ecopetrol Prometeo - Documents\Planning Space Implementation\3. Analysis &amp; Design\Design\FC22\DRR Jaime\QUIFA-CAJÚA\Cajua\[VAS_CAJUA_CF_SEC_20230125.xlsx]CF PND'!</v>
      </c>
      <c r="G101" s="7" t="s">
        <v>47</v>
      </c>
      <c r="H101" s="4">
        <f t="shared" si="29"/>
        <v>59</v>
      </c>
      <c r="I101" s="4" t="str">
        <f t="shared" si="30"/>
        <v>='C:\Users\jaime.benazar\Quorum Business Solutions\Ecopetrol Prometeo - Documents\Planning Space Implementation\3. Analysis &amp; Design\Design\FC22\DRR Jaime\QUIFA-CAJÚA\Cajua\[VAS_CAJUA_CF_SEC_20230125.xlsx]CF PND'!$AY$59</v>
      </c>
      <c r="J101" s="4" t="s">
        <v>226</v>
      </c>
    </row>
    <row r="102" spans="1:10" x14ac:dyDescent="0.25">
      <c r="A102" s="7" t="s">
        <v>3</v>
      </c>
      <c r="B102" s="7">
        <f t="shared" si="31"/>
        <v>2047</v>
      </c>
      <c r="C102" s="4" t="s">
        <v>51</v>
      </c>
      <c r="D102" s="5" t="s">
        <v>128</v>
      </c>
      <c r="E102" s="10" t="str">
        <f t="shared" si="27"/>
        <v>PND'!</v>
      </c>
      <c r="F102" s="5" t="str">
        <f t="shared" si="28"/>
        <v>C:\Users\jaime.benazar\Quorum Business Solutions\Ecopetrol Prometeo - Documents\Planning Space Implementation\3. Analysis &amp; Design\Design\FC22\DRR Jaime\QUIFA-CAJÚA\Cajua\[VAS_CAJUA_CF_SEC_20230125.xlsx]CF PND'!</v>
      </c>
      <c r="G102" s="7" t="s">
        <v>47</v>
      </c>
      <c r="H102" s="4">
        <f t="shared" si="29"/>
        <v>60</v>
      </c>
      <c r="I102" s="4" t="str">
        <f t="shared" si="30"/>
        <v>='C:\Users\jaime.benazar\Quorum Business Solutions\Ecopetrol Prometeo - Documents\Planning Space Implementation\3. Analysis &amp; Design\Design\FC22\DRR Jaime\QUIFA-CAJÚA\Cajua\[VAS_CAJUA_CF_SEC_20230125.xlsx]CF PND'!$AY$60</v>
      </c>
      <c r="J102" s="4" t="s">
        <v>227</v>
      </c>
    </row>
    <row r="103" spans="1:10" x14ac:dyDescent="0.25">
      <c r="A103" s="7" t="s">
        <v>3</v>
      </c>
      <c r="B103" s="7">
        <f t="shared" si="31"/>
        <v>2048</v>
      </c>
      <c r="C103" s="4" t="s">
        <v>51</v>
      </c>
      <c r="D103" s="5" t="s">
        <v>128</v>
      </c>
      <c r="E103" s="10" t="str">
        <f t="shared" si="27"/>
        <v>PND'!</v>
      </c>
      <c r="F103" s="5" t="str">
        <f t="shared" si="28"/>
        <v>C:\Users\jaime.benazar\Quorum Business Solutions\Ecopetrol Prometeo - Documents\Planning Space Implementation\3. Analysis &amp; Design\Design\FC22\DRR Jaime\QUIFA-CAJÚA\Cajua\[VAS_CAJUA_CF_SEC_20230125.xlsx]CF PND'!</v>
      </c>
      <c r="G103" s="7" t="s">
        <v>47</v>
      </c>
      <c r="H103" s="4">
        <f t="shared" si="29"/>
        <v>61</v>
      </c>
      <c r="I103" s="4" t="str">
        <f t="shared" si="30"/>
        <v>='C:\Users\jaime.benazar\Quorum Business Solutions\Ecopetrol Prometeo - Documents\Planning Space Implementation\3. Analysis &amp; Design\Design\FC22\DRR Jaime\QUIFA-CAJÚA\Cajua\[VAS_CAJUA_CF_SEC_20230125.xlsx]CF PND'!$AY$61</v>
      </c>
      <c r="J103" s="4" t="s">
        <v>228</v>
      </c>
    </row>
    <row r="104" spans="1:10" x14ac:dyDescent="0.25">
      <c r="A104" s="7" t="s">
        <v>3</v>
      </c>
      <c r="B104" s="7">
        <f t="shared" si="31"/>
        <v>2049</v>
      </c>
      <c r="C104" s="4" t="s">
        <v>51</v>
      </c>
      <c r="D104" s="5" t="s">
        <v>128</v>
      </c>
      <c r="E104" s="10" t="str">
        <f t="shared" si="27"/>
        <v>PND'!</v>
      </c>
      <c r="F104" s="5" t="str">
        <f t="shared" si="28"/>
        <v>C:\Users\jaime.benazar\Quorum Business Solutions\Ecopetrol Prometeo - Documents\Planning Space Implementation\3. Analysis &amp; Design\Design\FC22\DRR Jaime\QUIFA-CAJÚA\Cajua\[VAS_CAJUA_CF_SEC_20230125.xlsx]CF PND'!</v>
      </c>
      <c r="G104" s="7" t="s">
        <v>47</v>
      </c>
      <c r="H104" s="4">
        <f t="shared" si="29"/>
        <v>62</v>
      </c>
      <c r="I104" s="4" t="str">
        <f t="shared" si="30"/>
        <v>='C:\Users\jaime.benazar\Quorum Business Solutions\Ecopetrol Prometeo - Documents\Planning Space Implementation\3. Analysis &amp; Design\Design\FC22\DRR Jaime\QUIFA-CAJÚA\Cajua\[VAS_CAJUA_CF_SEC_20230125.xlsx]CF PND'!$AY$62</v>
      </c>
      <c r="J104" s="4" t="s">
        <v>229</v>
      </c>
    </row>
    <row r="105" spans="1:10" x14ac:dyDescent="0.25">
      <c r="A105" s="7" t="s">
        <v>3</v>
      </c>
      <c r="B105" s="7">
        <f t="shared" si="31"/>
        <v>2050</v>
      </c>
      <c r="C105" s="4" t="s">
        <v>51</v>
      </c>
      <c r="D105" s="5" t="s">
        <v>128</v>
      </c>
      <c r="E105" s="10" t="str">
        <f t="shared" si="27"/>
        <v>PND'!</v>
      </c>
      <c r="F105" s="5" t="str">
        <f t="shared" si="28"/>
        <v>C:\Users\jaime.benazar\Quorum Business Solutions\Ecopetrol Prometeo - Documents\Planning Space Implementation\3. Analysis &amp; Design\Design\FC22\DRR Jaime\QUIFA-CAJÚA\Cajua\[VAS_CAJUA_CF_SEC_20230125.xlsx]CF PND'!</v>
      </c>
      <c r="G105" s="7" t="s">
        <v>47</v>
      </c>
      <c r="H105" s="4">
        <f t="shared" si="29"/>
        <v>63</v>
      </c>
      <c r="I105" s="4" t="str">
        <f t="shared" si="30"/>
        <v>='C:\Users\jaime.benazar\Quorum Business Solutions\Ecopetrol Prometeo - Documents\Planning Space Implementation\3. Analysis &amp; Design\Design\FC22\DRR Jaime\QUIFA-CAJÚA\Cajua\[VAS_CAJUA_CF_SEC_20230125.xlsx]CF PND'!$AY$63</v>
      </c>
      <c r="J105" s="4" t="s">
        <v>230</v>
      </c>
    </row>
    <row r="106" spans="1:10" x14ac:dyDescent="0.25">
      <c r="A106" s="7" t="s">
        <v>3</v>
      </c>
      <c r="B106" s="7">
        <f t="shared" si="31"/>
        <v>2051</v>
      </c>
      <c r="C106" s="4" t="s">
        <v>51</v>
      </c>
      <c r="D106" s="5" t="s">
        <v>128</v>
      </c>
      <c r="E106" s="10" t="str">
        <f t="shared" si="27"/>
        <v>PND'!</v>
      </c>
      <c r="F106" s="5" t="str">
        <f t="shared" si="28"/>
        <v>C:\Users\jaime.benazar\Quorum Business Solutions\Ecopetrol Prometeo - Documents\Planning Space Implementation\3. Analysis &amp; Design\Design\FC22\DRR Jaime\QUIFA-CAJÚA\Cajua\[VAS_CAJUA_CF_SEC_20230125.xlsx]CF PND'!</v>
      </c>
      <c r="G106" s="7" t="s">
        <v>47</v>
      </c>
      <c r="H106" s="4">
        <f t="shared" si="29"/>
        <v>64</v>
      </c>
      <c r="I106" s="4" t="str">
        <f t="shared" si="30"/>
        <v>='C:\Users\jaime.benazar\Quorum Business Solutions\Ecopetrol Prometeo - Documents\Planning Space Implementation\3. Analysis &amp; Design\Design\FC22\DRR Jaime\QUIFA-CAJÚA\Cajua\[VAS_CAJUA_CF_SEC_20230125.xlsx]CF PND'!$AY$64</v>
      </c>
      <c r="J106" s="4" t="s">
        <v>231</v>
      </c>
    </row>
    <row r="107" spans="1:10" x14ac:dyDescent="0.25">
      <c r="A107" s="7" t="s">
        <v>3</v>
      </c>
      <c r="B107" s="7">
        <f t="shared" si="31"/>
        <v>2052</v>
      </c>
      <c r="C107" s="4" t="s">
        <v>51</v>
      </c>
      <c r="D107" s="5" t="s">
        <v>128</v>
      </c>
      <c r="E107" s="10" t="str">
        <f t="shared" si="27"/>
        <v>PND'!</v>
      </c>
      <c r="F107" s="5" t="str">
        <f t="shared" si="28"/>
        <v>C:\Users\jaime.benazar\Quorum Business Solutions\Ecopetrol Prometeo - Documents\Planning Space Implementation\3. Analysis &amp; Design\Design\FC22\DRR Jaime\QUIFA-CAJÚA\Cajua\[VAS_CAJUA_CF_SEC_20230125.xlsx]CF PND'!</v>
      </c>
      <c r="G107" s="7" t="s">
        <v>47</v>
      </c>
      <c r="H107" s="4">
        <f t="shared" si="29"/>
        <v>65</v>
      </c>
      <c r="I107" s="4" t="str">
        <f t="shared" si="30"/>
        <v>='C:\Users\jaime.benazar\Quorum Business Solutions\Ecopetrol Prometeo - Documents\Planning Space Implementation\3. Analysis &amp; Design\Design\FC22\DRR Jaime\QUIFA-CAJÚA\Cajua\[VAS_CAJUA_CF_SEC_20230125.xlsx]CF PND'!$AY$65</v>
      </c>
      <c r="J107" s="4" t="s">
        <v>232</v>
      </c>
    </row>
    <row r="108" spans="1:10" x14ac:dyDescent="0.25">
      <c r="A108" s="7" t="s">
        <v>3</v>
      </c>
      <c r="B108" s="7">
        <f t="shared" si="31"/>
        <v>2053</v>
      </c>
      <c r="C108" s="4" t="s">
        <v>51</v>
      </c>
      <c r="D108" s="5" t="s">
        <v>128</v>
      </c>
      <c r="E108" s="10" t="str">
        <f t="shared" si="27"/>
        <v>PND'!</v>
      </c>
      <c r="F108" s="5" t="str">
        <f t="shared" si="28"/>
        <v>C:\Users\jaime.benazar\Quorum Business Solutions\Ecopetrol Prometeo - Documents\Planning Space Implementation\3. Analysis &amp; Design\Design\FC22\DRR Jaime\QUIFA-CAJÚA\Cajua\[VAS_CAJUA_CF_SEC_20230125.xlsx]CF PND'!</v>
      </c>
      <c r="G108" s="7" t="s">
        <v>47</v>
      </c>
      <c r="H108" s="4">
        <f t="shared" si="29"/>
        <v>66</v>
      </c>
      <c r="I108" s="4" t="str">
        <f t="shared" si="30"/>
        <v>='C:\Users\jaime.benazar\Quorum Business Solutions\Ecopetrol Prometeo - Documents\Planning Space Implementation\3. Analysis &amp; Design\Design\FC22\DRR Jaime\QUIFA-CAJÚA\Cajua\[VAS_CAJUA_CF_SEC_20230125.xlsx]CF PND'!$AY$66</v>
      </c>
      <c r="J108" s="4" t="s">
        <v>233</v>
      </c>
    </row>
    <row r="109" spans="1:10" x14ac:dyDescent="0.25">
      <c r="A109" s="7" t="s">
        <v>3</v>
      </c>
      <c r="B109" s="7">
        <f t="shared" si="31"/>
        <v>2054</v>
      </c>
      <c r="C109" s="4" t="s">
        <v>51</v>
      </c>
      <c r="D109" s="5" t="s">
        <v>128</v>
      </c>
      <c r="E109" s="10" t="str">
        <f t="shared" si="27"/>
        <v>PND'!</v>
      </c>
      <c r="F109" s="5" t="str">
        <f t="shared" si="28"/>
        <v>C:\Users\jaime.benazar\Quorum Business Solutions\Ecopetrol Prometeo - Documents\Planning Space Implementation\3. Analysis &amp; Design\Design\FC22\DRR Jaime\QUIFA-CAJÚA\Cajua\[VAS_CAJUA_CF_SEC_20230125.xlsx]CF PND'!</v>
      </c>
      <c r="G109" s="7" t="s">
        <v>47</v>
      </c>
      <c r="H109" s="4">
        <f t="shared" si="29"/>
        <v>67</v>
      </c>
      <c r="I109" s="4" t="str">
        <f t="shared" si="30"/>
        <v>='C:\Users\jaime.benazar\Quorum Business Solutions\Ecopetrol Prometeo - Documents\Planning Space Implementation\3. Analysis &amp; Design\Design\FC22\DRR Jaime\QUIFA-CAJÚA\Cajua\[VAS_CAJUA_CF_SEC_20230125.xlsx]CF PND'!$AY$67</v>
      </c>
      <c r="J109" s="4" t="s">
        <v>234</v>
      </c>
    </row>
    <row r="110" spans="1:10" x14ac:dyDescent="0.25">
      <c r="A110" s="7" t="s">
        <v>3</v>
      </c>
      <c r="B110" s="7">
        <f t="shared" si="31"/>
        <v>2055</v>
      </c>
      <c r="C110" s="4" t="s">
        <v>51</v>
      </c>
      <c r="D110" s="5" t="s">
        <v>128</v>
      </c>
      <c r="E110" s="10" t="str">
        <f t="shared" si="27"/>
        <v>PND'!</v>
      </c>
      <c r="F110" s="5" t="str">
        <f t="shared" si="28"/>
        <v>C:\Users\jaime.benazar\Quorum Business Solutions\Ecopetrol Prometeo - Documents\Planning Space Implementation\3. Analysis &amp; Design\Design\FC22\DRR Jaime\QUIFA-CAJÚA\Cajua\[VAS_CAJUA_CF_SEC_20230125.xlsx]CF PND'!</v>
      </c>
      <c r="G110" s="7" t="s">
        <v>47</v>
      </c>
      <c r="H110" s="4">
        <f t="shared" si="29"/>
        <v>68</v>
      </c>
      <c r="I110" s="4" t="str">
        <f t="shared" si="30"/>
        <v>='C:\Users\jaime.benazar\Quorum Business Solutions\Ecopetrol Prometeo - Documents\Planning Space Implementation\3. Analysis &amp; Design\Design\FC22\DRR Jaime\QUIFA-CAJÚA\Cajua\[VAS_CAJUA_CF_SEC_20230125.xlsx]CF PND'!$AY$68</v>
      </c>
      <c r="J110" s="4" t="s">
        <v>235</v>
      </c>
    </row>
    <row r="111" spans="1:10" x14ac:dyDescent="0.25">
      <c r="A111" s="7" t="s">
        <v>3</v>
      </c>
      <c r="B111" s="7">
        <f t="shared" si="31"/>
        <v>2056</v>
      </c>
      <c r="C111" s="4" t="s">
        <v>51</v>
      </c>
      <c r="D111" s="5" t="s">
        <v>128</v>
      </c>
      <c r="E111" s="10" t="str">
        <f t="shared" si="27"/>
        <v>PND'!</v>
      </c>
      <c r="F111" s="5" t="str">
        <f t="shared" si="28"/>
        <v>C:\Users\jaime.benazar\Quorum Business Solutions\Ecopetrol Prometeo - Documents\Planning Space Implementation\3. Analysis &amp; Design\Design\FC22\DRR Jaime\QUIFA-CAJÚA\Cajua\[VAS_CAJUA_CF_SEC_20230125.xlsx]CF PND'!</v>
      </c>
      <c r="G111" s="7" t="s">
        <v>47</v>
      </c>
      <c r="H111" s="4">
        <f t="shared" si="29"/>
        <v>69</v>
      </c>
      <c r="I111" s="4" t="str">
        <f t="shared" si="30"/>
        <v>='C:\Users\jaime.benazar\Quorum Business Solutions\Ecopetrol Prometeo - Documents\Planning Space Implementation\3. Analysis &amp; Design\Design\FC22\DRR Jaime\QUIFA-CAJÚA\Cajua\[VAS_CAJUA_CF_SEC_20230125.xlsx]CF PND'!$AY$69</v>
      </c>
      <c r="J111" s="4" t="s">
        <v>236</v>
      </c>
    </row>
    <row r="112" spans="1:10" x14ac:dyDescent="0.25">
      <c r="A112" s="7" t="s">
        <v>3</v>
      </c>
      <c r="B112" s="7">
        <f t="shared" si="31"/>
        <v>2057</v>
      </c>
      <c r="C112" s="4" t="s">
        <v>51</v>
      </c>
      <c r="D112" s="5" t="s">
        <v>128</v>
      </c>
      <c r="E112" s="10" t="str">
        <f t="shared" si="27"/>
        <v>PND'!</v>
      </c>
      <c r="F112" s="5" t="str">
        <f t="shared" si="28"/>
        <v>C:\Users\jaime.benazar\Quorum Business Solutions\Ecopetrol Prometeo - Documents\Planning Space Implementation\3. Analysis &amp; Design\Design\FC22\DRR Jaime\QUIFA-CAJÚA\Cajua\[VAS_CAJUA_CF_SEC_20230125.xlsx]CF PND'!</v>
      </c>
      <c r="G112" s="7" t="s">
        <v>47</v>
      </c>
      <c r="H112" s="4">
        <f t="shared" si="29"/>
        <v>70</v>
      </c>
      <c r="I112" s="4" t="str">
        <f t="shared" si="30"/>
        <v>='C:\Users\jaime.benazar\Quorum Business Solutions\Ecopetrol Prometeo - Documents\Planning Space Implementation\3. Analysis &amp; Design\Design\FC22\DRR Jaime\QUIFA-CAJÚA\Cajua\[VAS_CAJUA_CF_SEC_20230125.xlsx]CF PND'!$AY$70</v>
      </c>
      <c r="J112" s="4" t="s">
        <v>237</v>
      </c>
    </row>
    <row r="113" spans="1:10" x14ac:dyDescent="0.25">
      <c r="A113" s="7" t="s">
        <v>3</v>
      </c>
      <c r="B113" s="7">
        <f t="shared" si="31"/>
        <v>2058</v>
      </c>
      <c r="C113" s="4" t="s">
        <v>51</v>
      </c>
      <c r="D113" s="5" t="s">
        <v>128</v>
      </c>
      <c r="E113" s="10" t="str">
        <f t="shared" si="27"/>
        <v>PND'!</v>
      </c>
      <c r="F113" s="5" t="str">
        <f t="shared" si="28"/>
        <v>C:\Users\jaime.benazar\Quorum Business Solutions\Ecopetrol Prometeo - Documents\Planning Space Implementation\3. Analysis &amp; Design\Design\FC22\DRR Jaime\QUIFA-CAJÚA\Cajua\[VAS_CAJUA_CF_SEC_20230125.xlsx]CF PND'!</v>
      </c>
      <c r="G113" s="7" t="s">
        <v>47</v>
      </c>
      <c r="H113" s="4">
        <f t="shared" si="29"/>
        <v>71</v>
      </c>
      <c r="I113" s="4" t="str">
        <f t="shared" si="30"/>
        <v>='C:\Users\jaime.benazar\Quorum Business Solutions\Ecopetrol Prometeo - Documents\Planning Space Implementation\3. Analysis &amp; Design\Design\FC22\DRR Jaime\QUIFA-CAJÚA\Cajua\[VAS_CAJUA_CF_SEC_20230125.xlsx]CF PND'!$AY$71</v>
      </c>
      <c r="J113" s="4" t="s">
        <v>238</v>
      </c>
    </row>
    <row r="114" spans="1:10" x14ac:dyDescent="0.25">
      <c r="A114" s="7" t="s">
        <v>3</v>
      </c>
      <c r="B114" s="7">
        <f t="shared" si="31"/>
        <v>2059</v>
      </c>
      <c r="C114" s="4" t="s">
        <v>51</v>
      </c>
      <c r="D114" s="5" t="s">
        <v>128</v>
      </c>
      <c r="E114" s="10" t="str">
        <f t="shared" si="27"/>
        <v>PND'!</v>
      </c>
      <c r="F114" s="5" t="str">
        <f t="shared" si="28"/>
        <v>C:\Users\jaime.benazar\Quorum Business Solutions\Ecopetrol Prometeo - Documents\Planning Space Implementation\3. Analysis &amp; Design\Design\FC22\DRR Jaime\QUIFA-CAJÚA\Cajua\[VAS_CAJUA_CF_SEC_20230125.xlsx]CF PND'!</v>
      </c>
      <c r="G114" s="7" t="s">
        <v>47</v>
      </c>
      <c r="H114" s="4">
        <f t="shared" si="29"/>
        <v>72</v>
      </c>
      <c r="I114" s="4" t="str">
        <f t="shared" si="30"/>
        <v>='C:\Users\jaime.benazar\Quorum Business Solutions\Ecopetrol Prometeo - Documents\Planning Space Implementation\3. Analysis &amp; Design\Design\FC22\DRR Jaime\QUIFA-CAJÚA\Cajua\[VAS_CAJUA_CF_SEC_20230125.xlsx]CF PND'!$AY$72</v>
      </c>
      <c r="J114" s="4" t="s">
        <v>239</v>
      </c>
    </row>
    <row r="115" spans="1:10" x14ac:dyDescent="0.25">
      <c r="A115" s="7" t="s">
        <v>28</v>
      </c>
      <c r="B115" s="7"/>
      <c r="C115" s="4" t="s">
        <v>51</v>
      </c>
      <c r="D115" s="5"/>
      <c r="E115" s="10"/>
      <c r="F115" s="5" t="str">
        <f t="shared" si="22"/>
        <v xml:space="preserve"> </v>
      </c>
      <c r="G115" s="7"/>
      <c r="H115" s="4"/>
      <c r="I115" s="4"/>
      <c r="J115" s="4"/>
    </row>
    <row r="116" spans="1:10" x14ac:dyDescent="0.25">
      <c r="A116" s="7" t="s">
        <v>99</v>
      </c>
      <c r="B116" s="7">
        <v>2023</v>
      </c>
      <c r="C116" s="4" t="s">
        <v>51</v>
      </c>
      <c r="D116" s="5" t="s">
        <v>128</v>
      </c>
      <c r="E116" s="10" t="str">
        <f t="shared" ref="E116:E136" si="32">_xlfn.CONCAT(A116,"'!")</f>
        <v>PRBDP'!</v>
      </c>
      <c r="F116" s="5" t="str">
        <f t="shared" si="22"/>
        <v>C:\Users\jaime.benazar\Quorum Business Solutions\Ecopetrol Prometeo - Documents\Planning Space Implementation\3. Analysis &amp; Design\Design\FC22\DRR Jaime\QUIFA-CAJÚA\Cajua\[VAS_CAJUA_CF_SEC_20230125.xlsx]CF PRBDP'!</v>
      </c>
      <c r="G116" s="7" t="s">
        <v>47</v>
      </c>
      <c r="H116" s="4"/>
      <c r="I116" s="4"/>
      <c r="J116" s="4"/>
    </row>
    <row r="117" spans="1:10" x14ac:dyDescent="0.25">
      <c r="A117" s="7" t="s">
        <v>99</v>
      </c>
      <c r="B117" s="7">
        <f>+B116+1</f>
        <v>2024</v>
      </c>
      <c r="C117" s="4" t="s">
        <v>51</v>
      </c>
      <c r="D117" s="5" t="s">
        <v>128</v>
      </c>
      <c r="E117" s="10" t="str">
        <f t="shared" si="32"/>
        <v>PRBDP'!</v>
      </c>
      <c r="F117" s="5" t="str">
        <f t="shared" si="22"/>
        <v>C:\Users\jaime.benazar\Quorum Business Solutions\Ecopetrol Prometeo - Documents\Planning Space Implementation\3. Analysis &amp; Design\Design\FC22\DRR Jaime\QUIFA-CAJÚA\Cajua\[VAS_CAJUA_CF_SEC_20230125.xlsx]CF PRBDP'!</v>
      </c>
      <c r="G117" s="7" t="s">
        <v>47</v>
      </c>
      <c r="H117" s="4"/>
      <c r="I117" s="4"/>
      <c r="J117" s="4"/>
    </row>
    <row r="118" spans="1:10" x14ac:dyDescent="0.25">
      <c r="A118" s="7" t="s">
        <v>99</v>
      </c>
      <c r="B118" s="7">
        <f t="shared" ref="B118:B129" si="33">+B117+1</f>
        <v>2025</v>
      </c>
      <c r="C118" s="4" t="s">
        <v>51</v>
      </c>
      <c r="D118" s="5" t="s">
        <v>128</v>
      </c>
      <c r="E118" s="10" t="str">
        <f t="shared" si="32"/>
        <v>PRBDP'!</v>
      </c>
      <c r="F118" s="5" t="str">
        <f t="shared" si="22"/>
        <v>C:\Users\jaime.benazar\Quorum Business Solutions\Ecopetrol Prometeo - Documents\Planning Space Implementation\3. Analysis &amp; Design\Design\FC22\DRR Jaime\QUIFA-CAJÚA\Cajua\[VAS_CAJUA_CF_SEC_20230125.xlsx]CF PRBDP'!</v>
      </c>
      <c r="G118" s="7" t="s">
        <v>47</v>
      </c>
      <c r="H118" s="4"/>
      <c r="I118" s="4"/>
      <c r="J118" s="4"/>
    </row>
    <row r="119" spans="1:10" x14ac:dyDescent="0.25">
      <c r="A119" s="7" t="s">
        <v>99</v>
      </c>
      <c r="B119" s="7">
        <f t="shared" si="33"/>
        <v>2026</v>
      </c>
      <c r="C119" s="4" t="s">
        <v>51</v>
      </c>
      <c r="D119" s="5" t="s">
        <v>128</v>
      </c>
      <c r="E119" s="10" t="str">
        <f t="shared" si="32"/>
        <v>PRBDP'!</v>
      </c>
      <c r="F119" s="5" t="str">
        <f t="shared" si="22"/>
        <v>C:\Users\jaime.benazar\Quorum Business Solutions\Ecopetrol Prometeo - Documents\Planning Space Implementation\3. Analysis &amp; Design\Design\FC22\DRR Jaime\QUIFA-CAJÚA\Cajua\[VAS_CAJUA_CF_SEC_20230125.xlsx]CF PRBDP'!</v>
      </c>
      <c r="G119" s="7" t="s">
        <v>47</v>
      </c>
      <c r="H119" s="4"/>
      <c r="I119" s="4"/>
      <c r="J119" s="4"/>
    </row>
    <row r="120" spans="1:10" x14ac:dyDescent="0.25">
      <c r="A120" s="7" t="s">
        <v>99</v>
      </c>
      <c r="B120" s="7">
        <f t="shared" si="33"/>
        <v>2027</v>
      </c>
      <c r="C120" s="4" t="s">
        <v>51</v>
      </c>
      <c r="D120" s="5" t="s">
        <v>128</v>
      </c>
      <c r="E120" s="10" t="str">
        <f t="shared" si="32"/>
        <v>PRBDP'!</v>
      </c>
      <c r="F120" s="5" t="str">
        <f t="shared" si="22"/>
        <v>C:\Users\jaime.benazar\Quorum Business Solutions\Ecopetrol Prometeo - Documents\Planning Space Implementation\3. Analysis &amp; Design\Design\FC22\DRR Jaime\QUIFA-CAJÚA\Cajua\[VAS_CAJUA_CF_SEC_20230125.xlsx]CF PRBDP'!</v>
      </c>
      <c r="G120" s="7" t="s">
        <v>47</v>
      </c>
      <c r="H120" s="4"/>
      <c r="I120" s="4"/>
      <c r="J120" s="4"/>
    </row>
    <row r="121" spans="1:10" x14ac:dyDescent="0.25">
      <c r="A121" s="7" t="s">
        <v>99</v>
      </c>
      <c r="B121" s="7">
        <f t="shared" si="33"/>
        <v>2028</v>
      </c>
      <c r="C121" s="4" t="s">
        <v>51</v>
      </c>
      <c r="D121" s="5" t="s">
        <v>128</v>
      </c>
      <c r="E121" s="10" t="str">
        <f t="shared" si="32"/>
        <v>PRBDP'!</v>
      </c>
      <c r="F121" s="5" t="str">
        <f t="shared" si="22"/>
        <v>C:\Users\jaime.benazar\Quorum Business Solutions\Ecopetrol Prometeo - Documents\Planning Space Implementation\3. Analysis &amp; Design\Design\FC22\DRR Jaime\QUIFA-CAJÚA\Cajua\[VAS_CAJUA_CF_SEC_20230125.xlsx]CF PRBDP'!</v>
      </c>
      <c r="G121" s="7" t="s">
        <v>47</v>
      </c>
      <c r="H121" s="4"/>
      <c r="I121" s="4"/>
      <c r="J121" s="4"/>
    </row>
    <row r="122" spans="1:10" x14ac:dyDescent="0.25">
      <c r="A122" s="7" t="s">
        <v>99</v>
      </c>
      <c r="B122" s="7">
        <f t="shared" si="33"/>
        <v>2029</v>
      </c>
      <c r="C122" s="4" t="s">
        <v>51</v>
      </c>
      <c r="D122" s="5" t="s">
        <v>128</v>
      </c>
      <c r="E122" s="10" t="str">
        <f t="shared" si="32"/>
        <v>PRBDP'!</v>
      </c>
      <c r="F122" s="5" t="str">
        <f t="shared" si="22"/>
        <v>C:\Users\jaime.benazar\Quorum Business Solutions\Ecopetrol Prometeo - Documents\Planning Space Implementation\3. Analysis &amp; Design\Design\FC22\DRR Jaime\QUIFA-CAJÚA\Cajua\[VAS_CAJUA_CF_SEC_20230125.xlsx]CF PRBDP'!</v>
      </c>
      <c r="G122" s="7" t="s">
        <v>47</v>
      </c>
      <c r="H122" s="4"/>
      <c r="I122" s="4"/>
      <c r="J122" s="4"/>
    </row>
    <row r="123" spans="1:10" x14ac:dyDescent="0.25">
      <c r="A123" s="7" t="s">
        <v>99</v>
      </c>
      <c r="B123" s="7">
        <f t="shared" si="33"/>
        <v>2030</v>
      </c>
      <c r="C123" s="4" t="s">
        <v>51</v>
      </c>
      <c r="D123" s="5" t="s">
        <v>128</v>
      </c>
      <c r="E123" s="10" t="str">
        <f t="shared" si="32"/>
        <v>PRBDP'!</v>
      </c>
      <c r="F123" s="5" t="str">
        <f t="shared" si="22"/>
        <v>C:\Users\jaime.benazar\Quorum Business Solutions\Ecopetrol Prometeo - Documents\Planning Space Implementation\3. Analysis &amp; Design\Design\FC22\DRR Jaime\QUIFA-CAJÚA\Cajua\[VAS_CAJUA_CF_SEC_20230125.xlsx]CF PRBDP'!</v>
      </c>
      <c r="G123" s="7" t="s">
        <v>47</v>
      </c>
      <c r="H123" s="4"/>
      <c r="I123" s="4"/>
      <c r="J123" s="4"/>
    </row>
    <row r="124" spans="1:10" x14ac:dyDescent="0.25">
      <c r="A124" s="7" t="s">
        <v>99</v>
      </c>
      <c r="B124" s="7">
        <f t="shared" si="33"/>
        <v>2031</v>
      </c>
      <c r="C124" s="4" t="s">
        <v>51</v>
      </c>
      <c r="D124" s="5" t="s">
        <v>128</v>
      </c>
      <c r="E124" s="10" t="str">
        <f t="shared" si="32"/>
        <v>PRBDP'!</v>
      </c>
      <c r="F124" s="5" t="str">
        <f t="shared" si="22"/>
        <v>C:\Users\jaime.benazar\Quorum Business Solutions\Ecopetrol Prometeo - Documents\Planning Space Implementation\3. Analysis &amp; Design\Design\FC22\DRR Jaime\QUIFA-CAJÚA\Cajua\[VAS_CAJUA_CF_SEC_20230125.xlsx]CF PRBDP'!</v>
      </c>
      <c r="G124" s="7" t="s">
        <v>47</v>
      </c>
      <c r="H124" s="4"/>
      <c r="I124" s="4"/>
      <c r="J124" s="4"/>
    </row>
    <row r="125" spans="1:10" x14ac:dyDescent="0.25">
      <c r="A125" s="7" t="s">
        <v>99</v>
      </c>
      <c r="B125" s="7">
        <f t="shared" si="33"/>
        <v>2032</v>
      </c>
      <c r="C125" s="4" t="s">
        <v>51</v>
      </c>
      <c r="D125" s="5" t="s">
        <v>128</v>
      </c>
      <c r="E125" s="10" t="str">
        <f t="shared" si="32"/>
        <v>PRBDP'!</v>
      </c>
      <c r="F125" s="5" t="str">
        <f t="shared" si="22"/>
        <v>C:\Users\jaime.benazar\Quorum Business Solutions\Ecopetrol Prometeo - Documents\Planning Space Implementation\3. Analysis &amp; Design\Design\FC22\DRR Jaime\QUIFA-CAJÚA\Cajua\[VAS_CAJUA_CF_SEC_20230125.xlsx]CF PRBDP'!</v>
      </c>
      <c r="G125" s="7" t="s">
        <v>47</v>
      </c>
      <c r="H125" s="4"/>
      <c r="I125" s="4"/>
      <c r="J125" s="4"/>
    </row>
    <row r="126" spans="1:10" x14ac:dyDescent="0.25">
      <c r="A126" s="7" t="s">
        <v>99</v>
      </c>
      <c r="B126" s="7">
        <f t="shared" si="33"/>
        <v>2033</v>
      </c>
      <c r="C126" s="4" t="s">
        <v>51</v>
      </c>
      <c r="D126" s="5" t="s">
        <v>128</v>
      </c>
      <c r="E126" s="10" t="str">
        <f t="shared" si="32"/>
        <v>PRBDP'!</v>
      </c>
      <c r="F126" s="5" t="str">
        <f t="shared" si="22"/>
        <v>C:\Users\jaime.benazar\Quorum Business Solutions\Ecopetrol Prometeo - Documents\Planning Space Implementation\3. Analysis &amp; Design\Design\FC22\DRR Jaime\QUIFA-CAJÚA\Cajua\[VAS_CAJUA_CF_SEC_20230125.xlsx]CF PRBDP'!</v>
      </c>
      <c r="G126" s="7" t="s">
        <v>47</v>
      </c>
      <c r="H126" s="4"/>
      <c r="I126" s="4"/>
      <c r="J126" s="4"/>
    </row>
    <row r="127" spans="1:10" x14ac:dyDescent="0.25">
      <c r="A127" s="7" t="s">
        <v>99</v>
      </c>
      <c r="B127" s="7">
        <f t="shared" si="33"/>
        <v>2034</v>
      </c>
      <c r="C127" s="4" t="s">
        <v>51</v>
      </c>
      <c r="D127" s="5" t="s">
        <v>128</v>
      </c>
      <c r="E127" s="10" t="str">
        <f t="shared" si="32"/>
        <v>PRBDP'!</v>
      </c>
      <c r="F127" s="5" t="str">
        <f t="shared" si="22"/>
        <v>C:\Users\jaime.benazar\Quorum Business Solutions\Ecopetrol Prometeo - Documents\Planning Space Implementation\3. Analysis &amp; Design\Design\FC22\DRR Jaime\QUIFA-CAJÚA\Cajua\[VAS_CAJUA_CF_SEC_20230125.xlsx]CF PRBDP'!</v>
      </c>
      <c r="G127" s="7" t="s">
        <v>47</v>
      </c>
      <c r="H127" s="4"/>
      <c r="I127" s="4"/>
      <c r="J127" s="4"/>
    </row>
    <row r="128" spans="1:10" x14ac:dyDescent="0.25">
      <c r="A128" s="7" t="s">
        <v>99</v>
      </c>
      <c r="B128" s="7">
        <f t="shared" si="33"/>
        <v>2035</v>
      </c>
      <c r="C128" s="4" t="s">
        <v>51</v>
      </c>
      <c r="D128" s="5" t="s">
        <v>128</v>
      </c>
      <c r="E128" s="10" t="str">
        <f t="shared" si="32"/>
        <v>PRBDP'!</v>
      </c>
      <c r="F128" s="5" t="str">
        <f t="shared" si="22"/>
        <v>C:\Users\jaime.benazar\Quorum Business Solutions\Ecopetrol Prometeo - Documents\Planning Space Implementation\3. Analysis &amp; Design\Design\FC22\DRR Jaime\QUIFA-CAJÚA\Cajua\[VAS_CAJUA_CF_SEC_20230125.xlsx]CF PRBDP'!</v>
      </c>
      <c r="G128" s="7" t="s">
        <v>47</v>
      </c>
      <c r="H128" s="4"/>
      <c r="I128" s="4"/>
      <c r="J128" s="4"/>
    </row>
    <row r="129" spans="1:10" x14ac:dyDescent="0.25">
      <c r="A129" s="7" t="s">
        <v>99</v>
      </c>
      <c r="B129" s="7">
        <f t="shared" si="33"/>
        <v>2036</v>
      </c>
      <c r="C129" s="4" t="s">
        <v>51</v>
      </c>
      <c r="D129" s="5" t="s">
        <v>128</v>
      </c>
      <c r="E129" s="10" t="str">
        <f t="shared" si="32"/>
        <v>PRBDP'!</v>
      </c>
      <c r="F129" s="5" t="str">
        <f t="shared" si="22"/>
        <v>C:\Users\jaime.benazar\Quorum Business Solutions\Ecopetrol Prometeo - Documents\Planning Space Implementation\3. Analysis &amp; Design\Design\FC22\DRR Jaime\QUIFA-CAJÚA\Cajua\[VAS_CAJUA_CF_SEC_20230125.xlsx]CF PRBDP'!</v>
      </c>
      <c r="G129" s="7" t="s">
        <v>47</v>
      </c>
      <c r="H129" s="4"/>
      <c r="I129" s="4"/>
      <c r="J129" s="4"/>
    </row>
    <row r="130" spans="1:10" x14ac:dyDescent="0.25">
      <c r="A130" s="7" t="s">
        <v>99</v>
      </c>
      <c r="B130" s="7">
        <f>+B129+1</f>
        <v>2037</v>
      </c>
      <c r="C130" s="4" t="s">
        <v>51</v>
      </c>
      <c r="D130" s="5" t="s">
        <v>128</v>
      </c>
      <c r="E130" s="10" t="str">
        <f t="shared" si="32"/>
        <v>PRBDP'!</v>
      </c>
      <c r="F130" s="5" t="str">
        <f t="shared" si="22"/>
        <v>C:\Users\jaime.benazar\Quorum Business Solutions\Ecopetrol Prometeo - Documents\Planning Space Implementation\3. Analysis &amp; Design\Design\FC22\DRR Jaime\QUIFA-CAJÚA\Cajua\[VAS_CAJUA_CF_SEC_20230125.xlsx]CF PRBDP'!</v>
      </c>
      <c r="G130" s="7" t="s">
        <v>47</v>
      </c>
      <c r="H130" s="4"/>
      <c r="I130" s="4"/>
      <c r="J130" s="4"/>
    </row>
    <row r="131" spans="1:10" x14ac:dyDescent="0.25">
      <c r="A131" s="7" t="s">
        <v>99</v>
      </c>
      <c r="B131" s="7">
        <f t="shared" ref="B131:B133" si="34">+B130+1</f>
        <v>2038</v>
      </c>
      <c r="C131" s="4" t="s">
        <v>51</v>
      </c>
      <c r="D131" s="5" t="s">
        <v>128</v>
      </c>
      <c r="E131" s="10" t="str">
        <f t="shared" si="32"/>
        <v>PRBDP'!</v>
      </c>
      <c r="F131" s="5" t="str">
        <f t="shared" si="22"/>
        <v>C:\Users\jaime.benazar\Quorum Business Solutions\Ecopetrol Prometeo - Documents\Planning Space Implementation\3. Analysis &amp; Design\Design\FC22\DRR Jaime\QUIFA-CAJÚA\Cajua\[VAS_CAJUA_CF_SEC_20230125.xlsx]CF PRBDP'!</v>
      </c>
      <c r="G131" s="7" t="s">
        <v>47</v>
      </c>
      <c r="H131" s="4"/>
      <c r="I131" s="4"/>
      <c r="J131" s="4"/>
    </row>
    <row r="132" spans="1:10" x14ac:dyDescent="0.25">
      <c r="A132" s="7" t="s">
        <v>99</v>
      </c>
      <c r="B132" s="7">
        <f t="shared" si="34"/>
        <v>2039</v>
      </c>
      <c r="C132" s="4" t="s">
        <v>51</v>
      </c>
      <c r="D132" s="5" t="s">
        <v>128</v>
      </c>
      <c r="E132" s="10" t="str">
        <f t="shared" si="32"/>
        <v>PRBDP'!</v>
      </c>
      <c r="F132" s="5" t="str">
        <f t="shared" si="22"/>
        <v>C:\Users\jaime.benazar\Quorum Business Solutions\Ecopetrol Prometeo - Documents\Planning Space Implementation\3. Analysis &amp; Design\Design\FC22\DRR Jaime\QUIFA-CAJÚA\Cajua\[VAS_CAJUA_CF_SEC_20230125.xlsx]CF PRBDP'!</v>
      </c>
      <c r="G132" s="7" t="s">
        <v>47</v>
      </c>
      <c r="H132" s="4"/>
      <c r="I132" s="4"/>
      <c r="J132" s="4"/>
    </row>
    <row r="133" spans="1:10" x14ac:dyDescent="0.25">
      <c r="A133" s="7" t="s">
        <v>99</v>
      </c>
      <c r="B133" s="7">
        <f t="shared" si="34"/>
        <v>2040</v>
      </c>
      <c r="C133" s="4" t="s">
        <v>51</v>
      </c>
      <c r="D133" s="5" t="s">
        <v>128</v>
      </c>
      <c r="E133" s="10" t="str">
        <f t="shared" si="32"/>
        <v>PRBDP'!</v>
      </c>
      <c r="F133" s="5" t="str">
        <f t="shared" si="22"/>
        <v>C:\Users\jaime.benazar\Quorum Business Solutions\Ecopetrol Prometeo - Documents\Planning Space Implementation\3. Analysis &amp; Design\Design\FC22\DRR Jaime\QUIFA-CAJÚA\Cajua\[VAS_CAJUA_CF_SEC_20230125.xlsx]CF PRBDP'!</v>
      </c>
      <c r="G133" s="7" t="s">
        <v>47</v>
      </c>
      <c r="H133" s="4"/>
      <c r="I133" s="4"/>
      <c r="J133" s="4"/>
    </row>
    <row r="134" spans="1:10" x14ac:dyDescent="0.25">
      <c r="A134" s="7" t="s">
        <v>99</v>
      </c>
      <c r="B134" s="7">
        <f>+B133+1</f>
        <v>2041</v>
      </c>
      <c r="C134" s="4" t="s">
        <v>51</v>
      </c>
      <c r="D134" s="5" t="s">
        <v>128</v>
      </c>
      <c r="E134" s="10" t="str">
        <f t="shared" si="32"/>
        <v>PRBDP'!</v>
      </c>
      <c r="F134" s="5" t="str">
        <f t="shared" si="22"/>
        <v>C:\Users\jaime.benazar\Quorum Business Solutions\Ecopetrol Prometeo - Documents\Planning Space Implementation\3. Analysis &amp; Design\Design\FC22\DRR Jaime\QUIFA-CAJÚA\Cajua\[VAS_CAJUA_CF_SEC_20230125.xlsx]CF PRBDP'!</v>
      </c>
      <c r="G134" s="7" t="s">
        <v>47</v>
      </c>
      <c r="H134" s="4"/>
      <c r="I134" s="4"/>
      <c r="J134" s="4"/>
    </row>
    <row r="135" spans="1:10" x14ac:dyDescent="0.25">
      <c r="A135" s="7" t="s">
        <v>99</v>
      </c>
      <c r="B135" s="7">
        <f t="shared" ref="B135:B136" si="35">+B134+1</f>
        <v>2042</v>
      </c>
      <c r="C135" s="4" t="s">
        <v>51</v>
      </c>
      <c r="D135" s="5" t="s">
        <v>128</v>
      </c>
      <c r="E135" s="10" t="str">
        <f t="shared" si="32"/>
        <v>PRBDP'!</v>
      </c>
      <c r="F135" s="5" t="str">
        <f t="shared" si="22"/>
        <v>C:\Users\jaime.benazar\Quorum Business Solutions\Ecopetrol Prometeo - Documents\Planning Space Implementation\3. Analysis &amp; Design\Design\FC22\DRR Jaime\QUIFA-CAJÚA\Cajua\[VAS_CAJUA_CF_SEC_20230125.xlsx]CF PRBDP'!</v>
      </c>
      <c r="G135" s="7" t="s">
        <v>47</v>
      </c>
      <c r="H135" s="4"/>
      <c r="I135" s="4"/>
      <c r="J135" s="4"/>
    </row>
    <row r="136" spans="1:10" x14ac:dyDescent="0.25">
      <c r="A136" s="7" t="s">
        <v>99</v>
      </c>
      <c r="B136" s="7">
        <f t="shared" si="35"/>
        <v>2043</v>
      </c>
      <c r="C136" s="4" t="s">
        <v>51</v>
      </c>
      <c r="D136" s="5" t="s">
        <v>128</v>
      </c>
      <c r="E136" s="10" t="str">
        <f t="shared" si="32"/>
        <v>PRBDP'!</v>
      </c>
      <c r="F136" s="5" t="str">
        <f t="shared" si="22"/>
        <v>C:\Users\jaime.benazar\Quorum Business Solutions\Ecopetrol Prometeo - Documents\Planning Space Implementation\3. Analysis &amp; Design\Design\FC22\DRR Jaime\QUIFA-CAJÚA\Cajua\[VAS_CAJUA_CF_SEC_20230125.xlsx]CF PRBDP'!</v>
      </c>
      <c r="G136" s="7" t="s">
        <v>47</v>
      </c>
      <c r="H136" s="4"/>
      <c r="I136" s="4"/>
      <c r="J136" s="4"/>
    </row>
    <row r="137" spans="1:10" x14ac:dyDescent="0.25">
      <c r="A137" s="7" t="s">
        <v>99</v>
      </c>
      <c r="B137" s="7">
        <f>+B136+1</f>
        <v>2044</v>
      </c>
      <c r="C137" s="4" t="s">
        <v>51</v>
      </c>
      <c r="D137" s="5" t="s">
        <v>128</v>
      </c>
      <c r="E137" s="10" t="str">
        <f t="shared" ref="E137:E152" si="36">_xlfn.CONCAT(A137,"'!")</f>
        <v>PRBDP'!</v>
      </c>
      <c r="F137" s="5" t="str">
        <f t="shared" ref="F137:F152" si="37">_xlfn.CONCAT(D137," ",E137)</f>
        <v>C:\Users\jaime.benazar\Quorum Business Solutions\Ecopetrol Prometeo - Documents\Planning Space Implementation\3. Analysis &amp; Design\Design\FC22\DRR Jaime\QUIFA-CAJÚA\Cajua\[VAS_CAJUA_CF_SEC_20230125.xlsx]CF PRBDP'!</v>
      </c>
      <c r="G137" s="7" t="s">
        <v>47</v>
      </c>
      <c r="H137" s="4"/>
      <c r="I137" s="4"/>
      <c r="J137" s="4"/>
    </row>
    <row r="138" spans="1:10" x14ac:dyDescent="0.25">
      <c r="A138" s="7" t="s">
        <v>99</v>
      </c>
      <c r="B138" s="7">
        <f t="shared" ref="B138:B152" si="38">+B137+1</f>
        <v>2045</v>
      </c>
      <c r="C138" s="4" t="s">
        <v>51</v>
      </c>
      <c r="D138" s="5" t="s">
        <v>128</v>
      </c>
      <c r="E138" s="10" t="str">
        <f t="shared" si="36"/>
        <v>PRBDP'!</v>
      </c>
      <c r="F138" s="5" t="str">
        <f t="shared" si="37"/>
        <v>C:\Users\jaime.benazar\Quorum Business Solutions\Ecopetrol Prometeo - Documents\Planning Space Implementation\3. Analysis &amp; Design\Design\FC22\DRR Jaime\QUIFA-CAJÚA\Cajua\[VAS_CAJUA_CF_SEC_20230125.xlsx]CF PRBDP'!</v>
      </c>
      <c r="G138" s="7" t="s">
        <v>47</v>
      </c>
      <c r="H138" s="4"/>
      <c r="I138" s="4"/>
      <c r="J138" s="4"/>
    </row>
    <row r="139" spans="1:10" x14ac:dyDescent="0.25">
      <c r="A139" s="7" t="s">
        <v>99</v>
      </c>
      <c r="B139" s="7">
        <f t="shared" si="38"/>
        <v>2046</v>
      </c>
      <c r="C139" s="4" t="s">
        <v>51</v>
      </c>
      <c r="D139" s="5" t="s">
        <v>128</v>
      </c>
      <c r="E139" s="10" t="str">
        <f t="shared" si="36"/>
        <v>PRBDP'!</v>
      </c>
      <c r="F139" s="5" t="str">
        <f t="shared" si="37"/>
        <v>C:\Users\jaime.benazar\Quorum Business Solutions\Ecopetrol Prometeo - Documents\Planning Space Implementation\3. Analysis &amp; Design\Design\FC22\DRR Jaime\QUIFA-CAJÚA\Cajua\[VAS_CAJUA_CF_SEC_20230125.xlsx]CF PRBDP'!</v>
      </c>
      <c r="G139" s="7" t="s">
        <v>47</v>
      </c>
      <c r="H139" s="4"/>
      <c r="I139" s="4"/>
      <c r="J139" s="4"/>
    </row>
    <row r="140" spans="1:10" x14ac:dyDescent="0.25">
      <c r="A140" s="7" t="s">
        <v>99</v>
      </c>
      <c r="B140" s="7">
        <f t="shared" si="38"/>
        <v>2047</v>
      </c>
      <c r="C140" s="4" t="s">
        <v>51</v>
      </c>
      <c r="D140" s="5" t="s">
        <v>128</v>
      </c>
      <c r="E140" s="10" t="str">
        <f t="shared" si="36"/>
        <v>PRBDP'!</v>
      </c>
      <c r="F140" s="5" t="str">
        <f t="shared" si="37"/>
        <v>C:\Users\jaime.benazar\Quorum Business Solutions\Ecopetrol Prometeo - Documents\Planning Space Implementation\3. Analysis &amp; Design\Design\FC22\DRR Jaime\QUIFA-CAJÚA\Cajua\[VAS_CAJUA_CF_SEC_20230125.xlsx]CF PRBDP'!</v>
      </c>
      <c r="G140" s="7" t="s">
        <v>47</v>
      </c>
      <c r="H140" s="4"/>
      <c r="I140" s="4"/>
      <c r="J140" s="4"/>
    </row>
    <row r="141" spans="1:10" x14ac:dyDescent="0.25">
      <c r="A141" s="7" t="s">
        <v>99</v>
      </c>
      <c r="B141" s="7">
        <f t="shared" si="38"/>
        <v>2048</v>
      </c>
      <c r="C141" s="4" t="s">
        <v>51</v>
      </c>
      <c r="D141" s="5" t="s">
        <v>128</v>
      </c>
      <c r="E141" s="10" t="str">
        <f t="shared" si="36"/>
        <v>PRBDP'!</v>
      </c>
      <c r="F141" s="5" t="str">
        <f t="shared" si="37"/>
        <v>C:\Users\jaime.benazar\Quorum Business Solutions\Ecopetrol Prometeo - Documents\Planning Space Implementation\3. Analysis &amp; Design\Design\FC22\DRR Jaime\QUIFA-CAJÚA\Cajua\[VAS_CAJUA_CF_SEC_20230125.xlsx]CF PRBDP'!</v>
      </c>
      <c r="G141" s="7" t="s">
        <v>47</v>
      </c>
      <c r="H141" s="4"/>
      <c r="I141" s="4"/>
      <c r="J141" s="4"/>
    </row>
    <row r="142" spans="1:10" x14ac:dyDescent="0.25">
      <c r="A142" s="7" t="s">
        <v>99</v>
      </c>
      <c r="B142" s="7">
        <f t="shared" si="38"/>
        <v>2049</v>
      </c>
      <c r="C142" s="4" t="s">
        <v>51</v>
      </c>
      <c r="D142" s="5" t="s">
        <v>128</v>
      </c>
      <c r="E142" s="10" t="str">
        <f t="shared" si="36"/>
        <v>PRBDP'!</v>
      </c>
      <c r="F142" s="5" t="str">
        <f t="shared" si="37"/>
        <v>C:\Users\jaime.benazar\Quorum Business Solutions\Ecopetrol Prometeo - Documents\Planning Space Implementation\3. Analysis &amp; Design\Design\FC22\DRR Jaime\QUIFA-CAJÚA\Cajua\[VAS_CAJUA_CF_SEC_20230125.xlsx]CF PRBDP'!</v>
      </c>
      <c r="G142" s="7" t="s">
        <v>47</v>
      </c>
      <c r="H142" s="4"/>
      <c r="I142" s="4"/>
      <c r="J142" s="4"/>
    </row>
    <row r="143" spans="1:10" x14ac:dyDescent="0.25">
      <c r="A143" s="7" t="s">
        <v>99</v>
      </c>
      <c r="B143" s="7">
        <f t="shared" si="38"/>
        <v>2050</v>
      </c>
      <c r="C143" s="4" t="s">
        <v>51</v>
      </c>
      <c r="D143" s="5" t="s">
        <v>128</v>
      </c>
      <c r="E143" s="10" t="str">
        <f t="shared" si="36"/>
        <v>PRBDP'!</v>
      </c>
      <c r="F143" s="5" t="str">
        <f t="shared" si="37"/>
        <v>C:\Users\jaime.benazar\Quorum Business Solutions\Ecopetrol Prometeo - Documents\Planning Space Implementation\3. Analysis &amp; Design\Design\FC22\DRR Jaime\QUIFA-CAJÚA\Cajua\[VAS_CAJUA_CF_SEC_20230125.xlsx]CF PRBDP'!</v>
      </c>
      <c r="G143" s="7" t="s">
        <v>47</v>
      </c>
      <c r="H143" s="4"/>
      <c r="I143" s="4"/>
      <c r="J143" s="4"/>
    </row>
    <row r="144" spans="1:10" x14ac:dyDescent="0.25">
      <c r="A144" s="7" t="s">
        <v>99</v>
      </c>
      <c r="B144" s="7">
        <f t="shared" si="38"/>
        <v>2051</v>
      </c>
      <c r="C144" s="4" t="s">
        <v>51</v>
      </c>
      <c r="D144" s="5" t="s">
        <v>128</v>
      </c>
      <c r="E144" s="10" t="str">
        <f t="shared" si="36"/>
        <v>PRBDP'!</v>
      </c>
      <c r="F144" s="5" t="str">
        <f t="shared" si="37"/>
        <v>C:\Users\jaime.benazar\Quorum Business Solutions\Ecopetrol Prometeo - Documents\Planning Space Implementation\3. Analysis &amp; Design\Design\FC22\DRR Jaime\QUIFA-CAJÚA\Cajua\[VAS_CAJUA_CF_SEC_20230125.xlsx]CF PRBDP'!</v>
      </c>
      <c r="G144" s="7" t="s">
        <v>47</v>
      </c>
      <c r="H144" s="4"/>
      <c r="I144" s="4"/>
      <c r="J144" s="4"/>
    </row>
    <row r="145" spans="1:10" x14ac:dyDescent="0.25">
      <c r="A145" s="7" t="s">
        <v>99</v>
      </c>
      <c r="B145" s="7">
        <f t="shared" si="38"/>
        <v>2052</v>
      </c>
      <c r="C145" s="4" t="s">
        <v>51</v>
      </c>
      <c r="D145" s="5" t="s">
        <v>128</v>
      </c>
      <c r="E145" s="10" t="str">
        <f t="shared" si="36"/>
        <v>PRBDP'!</v>
      </c>
      <c r="F145" s="5" t="str">
        <f t="shared" si="37"/>
        <v>C:\Users\jaime.benazar\Quorum Business Solutions\Ecopetrol Prometeo - Documents\Planning Space Implementation\3. Analysis &amp; Design\Design\FC22\DRR Jaime\QUIFA-CAJÚA\Cajua\[VAS_CAJUA_CF_SEC_20230125.xlsx]CF PRBDP'!</v>
      </c>
      <c r="G145" s="7" t="s">
        <v>47</v>
      </c>
      <c r="H145" s="4"/>
      <c r="I145" s="4"/>
      <c r="J145" s="4"/>
    </row>
    <row r="146" spans="1:10" x14ac:dyDescent="0.25">
      <c r="A146" s="7" t="s">
        <v>99</v>
      </c>
      <c r="B146" s="7">
        <f t="shared" si="38"/>
        <v>2053</v>
      </c>
      <c r="C146" s="4" t="s">
        <v>51</v>
      </c>
      <c r="D146" s="5" t="s">
        <v>128</v>
      </c>
      <c r="E146" s="10" t="str">
        <f t="shared" si="36"/>
        <v>PRBDP'!</v>
      </c>
      <c r="F146" s="5" t="str">
        <f t="shared" si="37"/>
        <v>C:\Users\jaime.benazar\Quorum Business Solutions\Ecopetrol Prometeo - Documents\Planning Space Implementation\3. Analysis &amp; Design\Design\FC22\DRR Jaime\QUIFA-CAJÚA\Cajua\[VAS_CAJUA_CF_SEC_20230125.xlsx]CF PRBDP'!</v>
      </c>
      <c r="G146" s="7" t="s">
        <v>47</v>
      </c>
      <c r="H146" s="4"/>
      <c r="I146" s="4"/>
      <c r="J146" s="4"/>
    </row>
    <row r="147" spans="1:10" x14ac:dyDescent="0.25">
      <c r="A147" s="7" t="s">
        <v>99</v>
      </c>
      <c r="B147" s="7">
        <f t="shared" si="38"/>
        <v>2054</v>
      </c>
      <c r="C147" s="4" t="s">
        <v>51</v>
      </c>
      <c r="D147" s="5" t="s">
        <v>128</v>
      </c>
      <c r="E147" s="10" t="str">
        <f t="shared" si="36"/>
        <v>PRBDP'!</v>
      </c>
      <c r="F147" s="5" t="str">
        <f t="shared" si="37"/>
        <v>C:\Users\jaime.benazar\Quorum Business Solutions\Ecopetrol Prometeo - Documents\Planning Space Implementation\3. Analysis &amp; Design\Design\FC22\DRR Jaime\QUIFA-CAJÚA\Cajua\[VAS_CAJUA_CF_SEC_20230125.xlsx]CF PRBDP'!</v>
      </c>
      <c r="G147" s="7" t="s">
        <v>47</v>
      </c>
      <c r="H147" s="4"/>
      <c r="I147" s="4"/>
      <c r="J147" s="4"/>
    </row>
    <row r="148" spans="1:10" x14ac:dyDescent="0.25">
      <c r="A148" s="7" t="s">
        <v>99</v>
      </c>
      <c r="B148" s="7">
        <f t="shared" si="38"/>
        <v>2055</v>
      </c>
      <c r="C148" s="4" t="s">
        <v>51</v>
      </c>
      <c r="D148" s="5" t="s">
        <v>128</v>
      </c>
      <c r="E148" s="10" t="str">
        <f t="shared" si="36"/>
        <v>PRBDP'!</v>
      </c>
      <c r="F148" s="5" t="str">
        <f t="shared" si="37"/>
        <v>C:\Users\jaime.benazar\Quorum Business Solutions\Ecopetrol Prometeo - Documents\Planning Space Implementation\3. Analysis &amp; Design\Design\FC22\DRR Jaime\QUIFA-CAJÚA\Cajua\[VAS_CAJUA_CF_SEC_20230125.xlsx]CF PRBDP'!</v>
      </c>
      <c r="G148" s="7" t="s">
        <v>47</v>
      </c>
      <c r="H148" s="4"/>
      <c r="I148" s="4"/>
      <c r="J148" s="4"/>
    </row>
    <row r="149" spans="1:10" x14ac:dyDescent="0.25">
      <c r="A149" s="7" t="s">
        <v>99</v>
      </c>
      <c r="B149" s="7">
        <f t="shared" si="38"/>
        <v>2056</v>
      </c>
      <c r="C149" s="4" t="s">
        <v>51</v>
      </c>
      <c r="D149" s="5" t="s">
        <v>128</v>
      </c>
      <c r="E149" s="10" t="str">
        <f t="shared" si="36"/>
        <v>PRBDP'!</v>
      </c>
      <c r="F149" s="5" t="str">
        <f t="shared" si="37"/>
        <v>C:\Users\jaime.benazar\Quorum Business Solutions\Ecopetrol Prometeo - Documents\Planning Space Implementation\3. Analysis &amp; Design\Design\FC22\DRR Jaime\QUIFA-CAJÚA\Cajua\[VAS_CAJUA_CF_SEC_20230125.xlsx]CF PRBDP'!</v>
      </c>
      <c r="G149" s="7" t="s">
        <v>47</v>
      </c>
      <c r="H149" s="4"/>
      <c r="I149" s="4"/>
      <c r="J149" s="4"/>
    </row>
    <row r="150" spans="1:10" x14ac:dyDescent="0.25">
      <c r="A150" s="7" t="s">
        <v>99</v>
      </c>
      <c r="B150" s="7">
        <f t="shared" si="38"/>
        <v>2057</v>
      </c>
      <c r="C150" s="4" t="s">
        <v>51</v>
      </c>
      <c r="D150" s="5" t="s">
        <v>128</v>
      </c>
      <c r="E150" s="10" t="str">
        <f t="shared" si="36"/>
        <v>PRBDP'!</v>
      </c>
      <c r="F150" s="5" t="str">
        <f t="shared" si="37"/>
        <v>C:\Users\jaime.benazar\Quorum Business Solutions\Ecopetrol Prometeo - Documents\Planning Space Implementation\3. Analysis &amp; Design\Design\FC22\DRR Jaime\QUIFA-CAJÚA\Cajua\[VAS_CAJUA_CF_SEC_20230125.xlsx]CF PRBDP'!</v>
      </c>
      <c r="G150" s="7" t="s">
        <v>47</v>
      </c>
      <c r="H150" s="4"/>
      <c r="I150" s="4"/>
      <c r="J150" s="4"/>
    </row>
    <row r="151" spans="1:10" x14ac:dyDescent="0.25">
      <c r="A151" s="7" t="s">
        <v>99</v>
      </c>
      <c r="B151" s="7">
        <f t="shared" si="38"/>
        <v>2058</v>
      </c>
      <c r="C151" s="4" t="s">
        <v>51</v>
      </c>
      <c r="D151" s="5" t="s">
        <v>128</v>
      </c>
      <c r="E151" s="10" t="str">
        <f t="shared" si="36"/>
        <v>PRBDP'!</v>
      </c>
      <c r="F151" s="5" t="str">
        <f t="shared" si="37"/>
        <v>C:\Users\jaime.benazar\Quorum Business Solutions\Ecopetrol Prometeo - Documents\Planning Space Implementation\3. Analysis &amp; Design\Design\FC22\DRR Jaime\QUIFA-CAJÚA\Cajua\[VAS_CAJUA_CF_SEC_20230125.xlsx]CF PRBDP'!</v>
      </c>
      <c r="G151" s="7" t="s">
        <v>47</v>
      </c>
      <c r="H151" s="4"/>
      <c r="I151" s="4"/>
      <c r="J151" s="4"/>
    </row>
    <row r="152" spans="1:10" x14ac:dyDescent="0.25">
      <c r="A152" s="7" t="s">
        <v>99</v>
      </c>
      <c r="B152" s="7">
        <f t="shared" si="38"/>
        <v>2059</v>
      </c>
      <c r="C152" s="4" t="s">
        <v>51</v>
      </c>
      <c r="D152" s="5" t="s">
        <v>128</v>
      </c>
      <c r="E152" s="10" t="str">
        <f t="shared" si="36"/>
        <v>PRBDP'!</v>
      </c>
      <c r="F152" s="5" t="str">
        <f t="shared" si="37"/>
        <v>C:\Users\jaime.benazar\Quorum Business Solutions\Ecopetrol Prometeo - Documents\Planning Space Implementation\3. Analysis &amp; Design\Design\FC22\DRR Jaime\QUIFA-CAJÚA\Cajua\[VAS_CAJUA_CF_SEC_20230125.xlsx]CF PRBDP'!</v>
      </c>
      <c r="G152" s="7" t="s">
        <v>47</v>
      </c>
      <c r="H152" s="4"/>
      <c r="I152" s="4"/>
      <c r="J152" s="4"/>
    </row>
    <row r="153" spans="1:10" x14ac:dyDescent="0.25">
      <c r="A153" s="7" t="s">
        <v>28</v>
      </c>
      <c r="B153" s="7"/>
      <c r="C153" s="4" t="s">
        <v>51</v>
      </c>
      <c r="D153" s="5"/>
      <c r="E153" s="10"/>
      <c r="F153" s="5" t="str">
        <f t="shared" si="22"/>
        <v xml:space="preserve"> </v>
      </c>
      <c r="G153" s="7"/>
      <c r="H153" s="4"/>
      <c r="I153" s="4"/>
      <c r="J153" s="4"/>
    </row>
    <row r="154" spans="1:10" x14ac:dyDescent="0.25">
      <c r="A154" s="7" t="s">
        <v>100</v>
      </c>
      <c r="B154" s="7">
        <v>2023</v>
      </c>
      <c r="C154" s="4" t="s">
        <v>51</v>
      </c>
      <c r="D154" s="5" t="s">
        <v>128</v>
      </c>
      <c r="E154" s="10" t="str">
        <f t="shared" ref="E154:E174" si="39">_xlfn.CONCAT(A154,"'!")</f>
        <v>PRBNP'!</v>
      </c>
      <c r="F154" s="5" t="str">
        <f t="shared" si="22"/>
        <v>C:\Users\jaime.benazar\Quorum Business Solutions\Ecopetrol Prometeo - Documents\Planning Space Implementation\3. Analysis &amp; Design\Design\FC22\DRR Jaime\QUIFA-CAJÚA\Cajua\[VAS_CAJUA_CF_SEC_20230125.xlsx]CF PRBNP'!</v>
      </c>
      <c r="G154" s="7" t="s">
        <v>47</v>
      </c>
      <c r="H154" s="4"/>
      <c r="I154" s="4"/>
      <c r="J154" s="4"/>
    </row>
    <row r="155" spans="1:10" x14ac:dyDescent="0.25">
      <c r="A155" s="7" t="s">
        <v>100</v>
      </c>
      <c r="B155" s="7">
        <f>+B154+1</f>
        <v>2024</v>
      </c>
      <c r="C155" s="4" t="s">
        <v>51</v>
      </c>
      <c r="D155" s="5" t="s">
        <v>128</v>
      </c>
      <c r="E155" s="10" t="str">
        <f t="shared" si="39"/>
        <v>PRBNP'!</v>
      </c>
      <c r="F155" s="5" t="str">
        <f t="shared" si="22"/>
        <v>C:\Users\jaime.benazar\Quorum Business Solutions\Ecopetrol Prometeo - Documents\Planning Space Implementation\3. Analysis &amp; Design\Design\FC22\DRR Jaime\QUIFA-CAJÚA\Cajua\[VAS_CAJUA_CF_SEC_20230125.xlsx]CF PRBNP'!</v>
      </c>
      <c r="G155" s="7" t="s">
        <v>47</v>
      </c>
      <c r="H155" s="4"/>
      <c r="I155" s="4"/>
      <c r="J155" s="4"/>
    </row>
    <row r="156" spans="1:10" x14ac:dyDescent="0.25">
      <c r="A156" s="7" t="s">
        <v>100</v>
      </c>
      <c r="B156" s="7">
        <f t="shared" ref="B156:B167" si="40">+B155+1</f>
        <v>2025</v>
      </c>
      <c r="C156" s="4" t="s">
        <v>51</v>
      </c>
      <c r="D156" s="5" t="s">
        <v>128</v>
      </c>
      <c r="E156" s="10" t="str">
        <f t="shared" si="39"/>
        <v>PRBNP'!</v>
      </c>
      <c r="F156" s="5" t="str">
        <f t="shared" si="22"/>
        <v>C:\Users\jaime.benazar\Quorum Business Solutions\Ecopetrol Prometeo - Documents\Planning Space Implementation\3. Analysis &amp; Design\Design\FC22\DRR Jaime\QUIFA-CAJÚA\Cajua\[VAS_CAJUA_CF_SEC_20230125.xlsx]CF PRBNP'!</v>
      </c>
      <c r="G156" s="7" t="s">
        <v>47</v>
      </c>
      <c r="H156" s="4"/>
      <c r="I156" s="4"/>
      <c r="J156" s="4"/>
    </row>
    <row r="157" spans="1:10" x14ac:dyDescent="0.25">
      <c r="A157" s="7" t="s">
        <v>100</v>
      </c>
      <c r="B157" s="7">
        <f t="shared" si="40"/>
        <v>2026</v>
      </c>
      <c r="C157" s="4" t="s">
        <v>51</v>
      </c>
      <c r="D157" s="5" t="s">
        <v>128</v>
      </c>
      <c r="E157" s="10" t="str">
        <f t="shared" si="39"/>
        <v>PRBNP'!</v>
      </c>
      <c r="F157" s="5" t="str">
        <f t="shared" si="22"/>
        <v>C:\Users\jaime.benazar\Quorum Business Solutions\Ecopetrol Prometeo - Documents\Planning Space Implementation\3. Analysis &amp; Design\Design\FC22\DRR Jaime\QUIFA-CAJÚA\Cajua\[VAS_CAJUA_CF_SEC_20230125.xlsx]CF PRBNP'!</v>
      </c>
      <c r="G157" s="7" t="s">
        <v>47</v>
      </c>
      <c r="H157" s="4"/>
      <c r="I157" s="4"/>
      <c r="J157" s="4"/>
    </row>
    <row r="158" spans="1:10" x14ac:dyDescent="0.25">
      <c r="A158" s="7" t="s">
        <v>100</v>
      </c>
      <c r="B158" s="7">
        <f t="shared" si="40"/>
        <v>2027</v>
      </c>
      <c r="C158" s="4" t="s">
        <v>51</v>
      </c>
      <c r="D158" s="5" t="s">
        <v>128</v>
      </c>
      <c r="E158" s="10" t="str">
        <f t="shared" si="39"/>
        <v>PRBNP'!</v>
      </c>
      <c r="F158" s="5" t="str">
        <f t="shared" si="22"/>
        <v>C:\Users\jaime.benazar\Quorum Business Solutions\Ecopetrol Prometeo - Documents\Planning Space Implementation\3. Analysis &amp; Design\Design\FC22\DRR Jaime\QUIFA-CAJÚA\Cajua\[VAS_CAJUA_CF_SEC_20230125.xlsx]CF PRBNP'!</v>
      </c>
      <c r="G158" s="7" t="s">
        <v>47</v>
      </c>
      <c r="H158" s="4"/>
      <c r="I158" s="4"/>
      <c r="J158" s="4"/>
    </row>
    <row r="159" spans="1:10" x14ac:dyDescent="0.25">
      <c r="A159" s="7" t="s">
        <v>100</v>
      </c>
      <c r="B159" s="7">
        <f t="shared" si="40"/>
        <v>2028</v>
      </c>
      <c r="C159" s="4" t="s">
        <v>51</v>
      </c>
      <c r="D159" s="5" t="s">
        <v>128</v>
      </c>
      <c r="E159" s="10" t="str">
        <f t="shared" si="39"/>
        <v>PRBNP'!</v>
      </c>
      <c r="F159" s="5" t="str">
        <f t="shared" si="22"/>
        <v>C:\Users\jaime.benazar\Quorum Business Solutions\Ecopetrol Prometeo - Documents\Planning Space Implementation\3. Analysis &amp; Design\Design\FC22\DRR Jaime\QUIFA-CAJÚA\Cajua\[VAS_CAJUA_CF_SEC_20230125.xlsx]CF PRBNP'!</v>
      </c>
      <c r="G159" s="7" t="s">
        <v>47</v>
      </c>
      <c r="H159" s="4"/>
      <c r="I159" s="4"/>
      <c r="J159" s="4"/>
    </row>
    <row r="160" spans="1:10" x14ac:dyDescent="0.25">
      <c r="A160" s="7" t="s">
        <v>100</v>
      </c>
      <c r="B160" s="7">
        <f t="shared" si="40"/>
        <v>2029</v>
      </c>
      <c r="C160" s="4" t="s">
        <v>51</v>
      </c>
      <c r="D160" s="5" t="s">
        <v>128</v>
      </c>
      <c r="E160" s="10" t="str">
        <f t="shared" si="39"/>
        <v>PRBNP'!</v>
      </c>
      <c r="F160" s="5" t="str">
        <f t="shared" si="22"/>
        <v>C:\Users\jaime.benazar\Quorum Business Solutions\Ecopetrol Prometeo - Documents\Planning Space Implementation\3. Analysis &amp; Design\Design\FC22\DRR Jaime\QUIFA-CAJÚA\Cajua\[VAS_CAJUA_CF_SEC_20230125.xlsx]CF PRBNP'!</v>
      </c>
      <c r="G160" s="7" t="s">
        <v>47</v>
      </c>
      <c r="H160" s="4"/>
      <c r="I160" s="4"/>
      <c r="J160" s="4"/>
    </row>
    <row r="161" spans="1:10" x14ac:dyDescent="0.25">
      <c r="A161" s="7" t="s">
        <v>100</v>
      </c>
      <c r="B161" s="7">
        <f t="shared" si="40"/>
        <v>2030</v>
      </c>
      <c r="C161" s="4" t="s">
        <v>51</v>
      </c>
      <c r="D161" s="5" t="s">
        <v>128</v>
      </c>
      <c r="E161" s="10" t="str">
        <f t="shared" si="39"/>
        <v>PRBNP'!</v>
      </c>
      <c r="F161" s="5" t="str">
        <f t="shared" si="22"/>
        <v>C:\Users\jaime.benazar\Quorum Business Solutions\Ecopetrol Prometeo - Documents\Planning Space Implementation\3. Analysis &amp; Design\Design\FC22\DRR Jaime\QUIFA-CAJÚA\Cajua\[VAS_CAJUA_CF_SEC_20230125.xlsx]CF PRBNP'!</v>
      </c>
      <c r="G161" s="7" t="s">
        <v>47</v>
      </c>
      <c r="H161" s="4"/>
      <c r="I161" s="4"/>
      <c r="J161" s="4"/>
    </row>
    <row r="162" spans="1:10" x14ac:dyDescent="0.25">
      <c r="A162" s="7" t="s">
        <v>100</v>
      </c>
      <c r="B162" s="7">
        <f t="shared" si="40"/>
        <v>2031</v>
      </c>
      <c r="C162" s="4" t="s">
        <v>51</v>
      </c>
      <c r="D162" s="5" t="s">
        <v>128</v>
      </c>
      <c r="E162" s="10" t="str">
        <f t="shared" si="39"/>
        <v>PRBNP'!</v>
      </c>
      <c r="F162" s="5" t="str">
        <f t="shared" si="22"/>
        <v>C:\Users\jaime.benazar\Quorum Business Solutions\Ecopetrol Prometeo - Documents\Planning Space Implementation\3. Analysis &amp; Design\Design\FC22\DRR Jaime\QUIFA-CAJÚA\Cajua\[VAS_CAJUA_CF_SEC_20230125.xlsx]CF PRBNP'!</v>
      </c>
      <c r="G162" s="7" t="s">
        <v>47</v>
      </c>
      <c r="H162" s="4"/>
      <c r="I162" s="4"/>
      <c r="J162" s="4"/>
    </row>
    <row r="163" spans="1:10" x14ac:dyDescent="0.25">
      <c r="A163" s="7" t="s">
        <v>100</v>
      </c>
      <c r="B163" s="7">
        <f t="shared" si="40"/>
        <v>2032</v>
      </c>
      <c r="C163" s="4" t="s">
        <v>51</v>
      </c>
      <c r="D163" s="5" t="s">
        <v>128</v>
      </c>
      <c r="E163" s="10" t="str">
        <f t="shared" si="39"/>
        <v>PRBNP'!</v>
      </c>
      <c r="F163" s="5" t="str">
        <f t="shared" si="22"/>
        <v>C:\Users\jaime.benazar\Quorum Business Solutions\Ecopetrol Prometeo - Documents\Planning Space Implementation\3. Analysis &amp; Design\Design\FC22\DRR Jaime\QUIFA-CAJÚA\Cajua\[VAS_CAJUA_CF_SEC_20230125.xlsx]CF PRBNP'!</v>
      </c>
      <c r="G163" s="7" t="s">
        <v>47</v>
      </c>
      <c r="H163" s="4"/>
      <c r="I163" s="4"/>
      <c r="J163" s="4"/>
    </row>
    <row r="164" spans="1:10" x14ac:dyDescent="0.25">
      <c r="A164" s="7" t="s">
        <v>100</v>
      </c>
      <c r="B164" s="7">
        <f t="shared" si="40"/>
        <v>2033</v>
      </c>
      <c r="C164" s="4" t="s">
        <v>51</v>
      </c>
      <c r="D164" s="5" t="s">
        <v>128</v>
      </c>
      <c r="E164" s="10" t="str">
        <f t="shared" si="39"/>
        <v>PRBNP'!</v>
      </c>
      <c r="F164" s="5" t="str">
        <f t="shared" si="22"/>
        <v>C:\Users\jaime.benazar\Quorum Business Solutions\Ecopetrol Prometeo - Documents\Planning Space Implementation\3. Analysis &amp; Design\Design\FC22\DRR Jaime\QUIFA-CAJÚA\Cajua\[VAS_CAJUA_CF_SEC_20230125.xlsx]CF PRBNP'!</v>
      </c>
      <c r="G164" s="7" t="s">
        <v>47</v>
      </c>
      <c r="H164" s="4"/>
      <c r="I164" s="4"/>
      <c r="J164" s="4"/>
    </row>
    <row r="165" spans="1:10" x14ac:dyDescent="0.25">
      <c r="A165" s="7" t="s">
        <v>100</v>
      </c>
      <c r="B165" s="7">
        <f t="shared" si="40"/>
        <v>2034</v>
      </c>
      <c r="C165" s="4" t="s">
        <v>51</v>
      </c>
      <c r="D165" s="5" t="s">
        <v>128</v>
      </c>
      <c r="E165" s="10" t="str">
        <f t="shared" si="39"/>
        <v>PRBNP'!</v>
      </c>
      <c r="F165" s="5" t="str">
        <f t="shared" si="22"/>
        <v>C:\Users\jaime.benazar\Quorum Business Solutions\Ecopetrol Prometeo - Documents\Planning Space Implementation\3. Analysis &amp; Design\Design\FC22\DRR Jaime\QUIFA-CAJÚA\Cajua\[VAS_CAJUA_CF_SEC_20230125.xlsx]CF PRBNP'!</v>
      </c>
      <c r="G165" s="7" t="s">
        <v>47</v>
      </c>
      <c r="H165" s="4"/>
      <c r="I165" s="4"/>
      <c r="J165" s="4"/>
    </row>
    <row r="166" spans="1:10" x14ac:dyDescent="0.25">
      <c r="A166" s="7" t="s">
        <v>100</v>
      </c>
      <c r="B166" s="7">
        <f t="shared" si="40"/>
        <v>2035</v>
      </c>
      <c r="C166" s="4" t="s">
        <v>51</v>
      </c>
      <c r="D166" s="5" t="s">
        <v>128</v>
      </c>
      <c r="E166" s="10" t="str">
        <f t="shared" si="39"/>
        <v>PRBNP'!</v>
      </c>
      <c r="F166" s="5" t="str">
        <f t="shared" si="22"/>
        <v>C:\Users\jaime.benazar\Quorum Business Solutions\Ecopetrol Prometeo - Documents\Planning Space Implementation\3. Analysis &amp; Design\Design\FC22\DRR Jaime\QUIFA-CAJÚA\Cajua\[VAS_CAJUA_CF_SEC_20230125.xlsx]CF PRBNP'!</v>
      </c>
      <c r="G166" s="7" t="s">
        <v>47</v>
      </c>
      <c r="H166" s="4"/>
      <c r="I166" s="4"/>
      <c r="J166" s="4"/>
    </row>
    <row r="167" spans="1:10" x14ac:dyDescent="0.25">
      <c r="A167" s="7" t="s">
        <v>100</v>
      </c>
      <c r="B167" s="7">
        <f t="shared" si="40"/>
        <v>2036</v>
      </c>
      <c r="C167" s="4" t="s">
        <v>51</v>
      </c>
      <c r="D167" s="5" t="s">
        <v>128</v>
      </c>
      <c r="E167" s="10" t="str">
        <f t="shared" si="39"/>
        <v>PRBNP'!</v>
      </c>
      <c r="F167" s="5" t="str">
        <f t="shared" si="22"/>
        <v>C:\Users\jaime.benazar\Quorum Business Solutions\Ecopetrol Prometeo - Documents\Planning Space Implementation\3. Analysis &amp; Design\Design\FC22\DRR Jaime\QUIFA-CAJÚA\Cajua\[VAS_CAJUA_CF_SEC_20230125.xlsx]CF PRBNP'!</v>
      </c>
      <c r="G167" s="7" t="s">
        <v>47</v>
      </c>
      <c r="H167" s="4"/>
      <c r="I167" s="4"/>
      <c r="J167" s="4"/>
    </row>
    <row r="168" spans="1:10" x14ac:dyDescent="0.25">
      <c r="A168" s="7" t="s">
        <v>100</v>
      </c>
      <c r="B168" s="7">
        <f>+B167+1</f>
        <v>2037</v>
      </c>
      <c r="C168" s="4" t="s">
        <v>51</v>
      </c>
      <c r="D168" s="5" t="s">
        <v>128</v>
      </c>
      <c r="E168" s="10" t="str">
        <f t="shared" si="39"/>
        <v>PRBNP'!</v>
      </c>
      <c r="F168" s="5" t="str">
        <f t="shared" si="22"/>
        <v>C:\Users\jaime.benazar\Quorum Business Solutions\Ecopetrol Prometeo - Documents\Planning Space Implementation\3. Analysis &amp; Design\Design\FC22\DRR Jaime\QUIFA-CAJÚA\Cajua\[VAS_CAJUA_CF_SEC_20230125.xlsx]CF PRBNP'!</v>
      </c>
      <c r="G168" s="7" t="s">
        <v>47</v>
      </c>
      <c r="H168" s="4"/>
      <c r="I168" s="4"/>
      <c r="J168" s="4"/>
    </row>
    <row r="169" spans="1:10" x14ac:dyDescent="0.25">
      <c r="A169" s="7" t="s">
        <v>100</v>
      </c>
      <c r="B169" s="7">
        <f t="shared" ref="B169:B171" si="41">+B168+1</f>
        <v>2038</v>
      </c>
      <c r="C169" s="4" t="s">
        <v>51</v>
      </c>
      <c r="D169" s="5" t="s">
        <v>128</v>
      </c>
      <c r="E169" s="10" t="str">
        <f t="shared" si="39"/>
        <v>PRBNP'!</v>
      </c>
      <c r="F169" s="5" t="str">
        <f t="shared" si="22"/>
        <v>C:\Users\jaime.benazar\Quorum Business Solutions\Ecopetrol Prometeo - Documents\Planning Space Implementation\3. Analysis &amp; Design\Design\FC22\DRR Jaime\QUIFA-CAJÚA\Cajua\[VAS_CAJUA_CF_SEC_20230125.xlsx]CF PRBNP'!</v>
      </c>
      <c r="G169" s="7" t="s">
        <v>47</v>
      </c>
      <c r="H169" s="4"/>
      <c r="I169" s="4"/>
      <c r="J169" s="4"/>
    </row>
    <row r="170" spans="1:10" x14ac:dyDescent="0.25">
      <c r="A170" s="7" t="s">
        <v>100</v>
      </c>
      <c r="B170" s="7">
        <f t="shared" si="41"/>
        <v>2039</v>
      </c>
      <c r="C170" s="4" t="s">
        <v>51</v>
      </c>
      <c r="D170" s="5" t="s">
        <v>128</v>
      </c>
      <c r="E170" s="10" t="str">
        <f t="shared" si="39"/>
        <v>PRBNP'!</v>
      </c>
      <c r="F170" s="5" t="str">
        <f t="shared" si="22"/>
        <v>C:\Users\jaime.benazar\Quorum Business Solutions\Ecopetrol Prometeo - Documents\Planning Space Implementation\3. Analysis &amp; Design\Design\FC22\DRR Jaime\QUIFA-CAJÚA\Cajua\[VAS_CAJUA_CF_SEC_20230125.xlsx]CF PRBNP'!</v>
      </c>
      <c r="G170" s="7" t="s">
        <v>47</v>
      </c>
      <c r="H170" s="4"/>
      <c r="I170" s="4"/>
      <c r="J170" s="4"/>
    </row>
    <row r="171" spans="1:10" x14ac:dyDescent="0.25">
      <c r="A171" s="7" t="s">
        <v>100</v>
      </c>
      <c r="B171" s="7">
        <f t="shared" si="41"/>
        <v>2040</v>
      </c>
      <c r="C171" s="4" t="s">
        <v>51</v>
      </c>
      <c r="D171" s="5" t="s">
        <v>128</v>
      </c>
      <c r="E171" s="10" t="str">
        <f t="shared" si="39"/>
        <v>PRBNP'!</v>
      </c>
      <c r="F171" s="5" t="str">
        <f t="shared" si="22"/>
        <v>C:\Users\jaime.benazar\Quorum Business Solutions\Ecopetrol Prometeo - Documents\Planning Space Implementation\3. Analysis &amp; Design\Design\FC22\DRR Jaime\QUIFA-CAJÚA\Cajua\[VAS_CAJUA_CF_SEC_20230125.xlsx]CF PRBNP'!</v>
      </c>
      <c r="G171" s="7" t="s">
        <v>47</v>
      </c>
      <c r="H171" s="4"/>
      <c r="I171" s="4"/>
      <c r="J171" s="4"/>
    </row>
    <row r="172" spans="1:10" x14ac:dyDescent="0.25">
      <c r="A172" s="7" t="s">
        <v>100</v>
      </c>
      <c r="B172" s="7">
        <f>+B171+1</f>
        <v>2041</v>
      </c>
      <c r="C172" s="4" t="s">
        <v>51</v>
      </c>
      <c r="D172" s="5" t="s">
        <v>128</v>
      </c>
      <c r="E172" s="10" t="str">
        <f t="shared" si="39"/>
        <v>PRBNP'!</v>
      </c>
      <c r="F172" s="5" t="str">
        <f t="shared" si="22"/>
        <v>C:\Users\jaime.benazar\Quorum Business Solutions\Ecopetrol Prometeo - Documents\Planning Space Implementation\3. Analysis &amp; Design\Design\FC22\DRR Jaime\QUIFA-CAJÚA\Cajua\[VAS_CAJUA_CF_SEC_20230125.xlsx]CF PRBNP'!</v>
      </c>
      <c r="G172" s="7" t="s">
        <v>47</v>
      </c>
      <c r="H172" s="4"/>
      <c r="I172" s="4"/>
      <c r="J172" s="4"/>
    </row>
    <row r="173" spans="1:10" x14ac:dyDescent="0.25">
      <c r="A173" s="7" t="s">
        <v>100</v>
      </c>
      <c r="B173" s="7">
        <f t="shared" ref="B173:B174" si="42">+B172+1</f>
        <v>2042</v>
      </c>
      <c r="C173" s="4" t="s">
        <v>51</v>
      </c>
      <c r="D173" s="5" t="s">
        <v>128</v>
      </c>
      <c r="E173" s="10" t="str">
        <f t="shared" si="39"/>
        <v>PRBNP'!</v>
      </c>
      <c r="F173" s="5" t="str">
        <f t="shared" si="22"/>
        <v>C:\Users\jaime.benazar\Quorum Business Solutions\Ecopetrol Prometeo - Documents\Planning Space Implementation\3. Analysis &amp; Design\Design\FC22\DRR Jaime\QUIFA-CAJÚA\Cajua\[VAS_CAJUA_CF_SEC_20230125.xlsx]CF PRBNP'!</v>
      </c>
      <c r="G173" s="7" t="s">
        <v>47</v>
      </c>
      <c r="H173" s="4"/>
      <c r="I173" s="4"/>
      <c r="J173" s="4"/>
    </row>
    <row r="174" spans="1:10" x14ac:dyDescent="0.25">
      <c r="A174" s="7" t="s">
        <v>100</v>
      </c>
      <c r="B174" s="7">
        <f t="shared" si="42"/>
        <v>2043</v>
      </c>
      <c r="C174" s="4" t="s">
        <v>51</v>
      </c>
      <c r="D174" s="5" t="s">
        <v>128</v>
      </c>
      <c r="E174" s="10" t="str">
        <f t="shared" si="39"/>
        <v>PRBNP'!</v>
      </c>
      <c r="F174" s="5" t="str">
        <f t="shared" si="22"/>
        <v>C:\Users\jaime.benazar\Quorum Business Solutions\Ecopetrol Prometeo - Documents\Planning Space Implementation\3. Analysis &amp; Design\Design\FC22\DRR Jaime\QUIFA-CAJÚA\Cajua\[VAS_CAJUA_CF_SEC_20230125.xlsx]CF PRBNP'!</v>
      </c>
      <c r="G174" s="7" t="s">
        <v>47</v>
      </c>
      <c r="H174" s="4"/>
      <c r="I174" s="4"/>
      <c r="J174" s="4"/>
    </row>
    <row r="175" spans="1:10" x14ac:dyDescent="0.25">
      <c r="A175" s="7" t="s">
        <v>100</v>
      </c>
      <c r="B175" s="7">
        <f>+B174+1</f>
        <v>2044</v>
      </c>
      <c r="C175" s="4" t="s">
        <v>51</v>
      </c>
      <c r="D175" s="5" t="s">
        <v>128</v>
      </c>
      <c r="E175" s="10" t="str">
        <f t="shared" ref="E175:E190" si="43">_xlfn.CONCAT(A175,"'!")</f>
        <v>PRBNP'!</v>
      </c>
      <c r="F175" s="5" t="str">
        <f t="shared" ref="F175:F190" si="44">_xlfn.CONCAT(D175," ",E175)</f>
        <v>C:\Users\jaime.benazar\Quorum Business Solutions\Ecopetrol Prometeo - Documents\Planning Space Implementation\3. Analysis &amp; Design\Design\FC22\DRR Jaime\QUIFA-CAJÚA\Cajua\[VAS_CAJUA_CF_SEC_20230125.xlsx]CF PRBNP'!</v>
      </c>
      <c r="G175" s="7" t="s">
        <v>47</v>
      </c>
      <c r="H175" s="4"/>
      <c r="I175" s="4"/>
      <c r="J175" s="4"/>
    </row>
    <row r="176" spans="1:10" x14ac:dyDescent="0.25">
      <c r="A176" s="7" t="s">
        <v>100</v>
      </c>
      <c r="B176" s="7">
        <f t="shared" ref="B176:B190" si="45">+B175+1</f>
        <v>2045</v>
      </c>
      <c r="C176" s="4" t="s">
        <v>51</v>
      </c>
      <c r="D176" s="5" t="s">
        <v>128</v>
      </c>
      <c r="E176" s="10" t="str">
        <f t="shared" si="43"/>
        <v>PRBNP'!</v>
      </c>
      <c r="F176" s="5" t="str">
        <f t="shared" si="44"/>
        <v>C:\Users\jaime.benazar\Quorum Business Solutions\Ecopetrol Prometeo - Documents\Planning Space Implementation\3. Analysis &amp; Design\Design\FC22\DRR Jaime\QUIFA-CAJÚA\Cajua\[VAS_CAJUA_CF_SEC_20230125.xlsx]CF PRBNP'!</v>
      </c>
      <c r="G176" s="7" t="s">
        <v>47</v>
      </c>
      <c r="H176" s="4"/>
      <c r="I176" s="4"/>
      <c r="J176" s="4"/>
    </row>
    <row r="177" spans="1:10" x14ac:dyDescent="0.25">
      <c r="A177" s="7" t="s">
        <v>100</v>
      </c>
      <c r="B177" s="7">
        <f t="shared" si="45"/>
        <v>2046</v>
      </c>
      <c r="C177" s="4" t="s">
        <v>51</v>
      </c>
      <c r="D177" s="5" t="s">
        <v>128</v>
      </c>
      <c r="E177" s="10" t="str">
        <f t="shared" si="43"/>
        <v>PRBNP'!</v>
      </c>
      <c r="F177" s="5" t="str">
        <f t="shared" si="44"/>
        <v>C:\Users\jaime.benazar\Quorum Business Solutions\Ecopetrol Prometeo - Documents\Planning Space Implementation\3. Analysis &amp; Design\Design\FC22\DRR Jaime\QUIFA-CAJÚA\Cajua\[VAS_CAJUA_CF_SEC_20230125.xlsx]CF PRBNP'!</v>
      </c>
      <c r="G177" s="7" t="s">
        <v>47</v>
      </c>
      <c r="H177" s="4"/>
      <c r="I177" s="4"/>
      <c r="J177" s="4"/>
    </row>
    <row r="178" spans="1:10" x14ac:dyDescent="0.25">
      <c r="A178" s="7" t="s">
        <v>100</v>
      </c>
      <c r="B178" s="7">
        <f t="shared" si="45"/>
        <v>2047</v>
      </c>
      <c r="C178" s="4" t="s">
        <v>51</v>
      </c>
      <c r="D178" s="5" t="s">
        <v>128</v>
      </c>
      <c r="E178" s="10" t="str">
        <f t="shared" si="43"/>
        <v>PRBNP'!</v>
      </c>
      <c r="F178" s="5" t="str">
        <f t="shared" si="44"/>
        <v>C:\Users\jaime.benazar\Quorum Business Solutions\Ecopetrol Prometeo - Documents\Planning Space Implementation\3. Analysis &amp; Design\Design\FC22\DRR Jaime\QUIFA-CAJÚA\Cajua\[VAS_CAJUA_CF_SEC_20230125.xlsx]CF PRBNP'!</v>
      </c>
      <c r="G178" s="7" t="s">
        <v>47</v>
      </c>
      <c r="H178" s="4"/>
      <c r="I178" s="4"/>
      <c r="J178" s="4"/>
    </row>
    <row r="179" spans="1:10" x14ac:dyDescent="0.25">
      <c r="A179" s="7" t="s">
        <v>100</v>
      </c>
      <c r="B179" s="7">
        <f t="shared" si="45"/>
        <v>2048</v>
      </c>
      <c r="C179" s="4" t="s">
        <v>51</v>
      </c>
      <c r="D179" s="5" t="s">
        <v>128</v>
      </c>
      <c r="E179" s="10" t="str">
        <f t="shared" si="43"/>
        <v>PRBNP'!</v>
      </c>
      <c r="F179" s="5" t="str">
        <f t="shared" si="44"/>
        <v>C:\Users\jaime.benazar\Quorum Business Solutions\Ecopetrol Prometeo - Documents\Planning Space Implementation\3. Analysis &amp; Design\Design\FC22\DRR Jaime\QUIFA-CAJÚA\Cajua\[VAS_CAJUA_CF_SEC_20230125.xlsx]CF PRBNP'!</v>
      </c>
      <c r="G179" s="7" t="s">
        <v>47</v>
      </c>
      <c r="H179" s="4"/>
      <c r="I179" s="4"/>
      <c r="J179" s="4"/>
    </row>
    <row r="180" spans="1:10" x14ac:dyDescent="0.25">
      <c r="A180" s="7" t="s">
        <v>100</v>
      </c>
      <c r="B180" s="7">
        <f t="shared" si="45"/>
        <v>2049</v>
      </c>
      <c r="C180" s="4" t="s">
        <v>51</v>
      </c>
      <c r="D180" s="5" t="s">
        <v>128</v>
      </c>
      <c r="E180" s="10" t="str">
        <f t="shared" si="43"/>
        <v>PRBNP'!</v>
      </c>
      <c r="F180" s="5" t="str">
        <f t="shared" si="44"/>
        <v>C:\Users\jaime.benazar\Quorum Business Solutions\Ecopetrol Prometeo - Documents\Planning Space Implementation\3. Analysis &amp; Design\Design\FC22\DRR Jaime\QUIFA-CAJÚA\Cajua\[VAS_CAJUA_CF_SEC_20230125.xlsx]CF PRBNP'!</v>
      </c>
      <c r="G180" s="7" t="s">
        <v>47</v>
      </c>
      <c r="H180" s="4"/>
      <c r="I180" s="4"/>
      <c r="J180" s="4"/>
    </row>
    <row r="181" spans="1:10" x14ac:dyDescent="0.25">
      <c r="A181" s="7" t="s">
        <v>100</v>
      </c>
      <c r="B181" s="7">
        <f t="shared" si="45"/>
        <v>2050</v>
      </c>
      <c r="C181" s="4" t="s">
        <v>51</v>
      </c>
      <c r="D181" s="5" t="s">
        <v>128</v>
      </c>
      <c r="E181" s="10" t="str">
        <f t="shared" si="43"/>
        <v>PRBNP'!</v>
      </c>
      <c r="F181" s="5" t="str">
        <f t="shared" si="44"/>
        <v>C:\Users\jaime.benazar\Quorum Business Solutions\Ecopetrol Prometeo - Documents\Planning Space Implementation\3. Analysis &amp; Design\Design\FC22\DRR Jaime\QUIFA-CAJÚA\Cajua\[VAS_CAJUA_CF_SEC_20230125.xlsx]CF PRBNP'!</v>
      </c>
      <c r="G181" s="7" t="s">
        <v>47</v>
      </c>
      <c r="H181" s="4"/>
      <c r="I181" s="4"/>
      <c r="J181" s="4"/>
    </row>
    <row r="182" spans="1:10" x14ac:dyDescent="0.25">
      <c r="A182" s="7" t="s">
        <v>100</v>
      </c>
      <c r="B182" s="7">
        <f t="shared" si="45"/>
        <v>2051</v>
      </c>
      <c r="C182" s="4" t="s">
        <v>51</v>
      </c>
      <c r="D182" s="5" t="s">
        <v>128</v>
      </c>
      <c r="E182" s="10" t="str">
        <f t="shared" si="43"/>
        <v>PRBNP'!</v>
      </c>
      <c r="F182" s="5" t="str">
        <f t="shared" si="44"/>
        <v>C:\Users\jaime.benazar\Quorum Business Solutions\Ecopetrol Prometeo - Documents\Planning Space Implementation\3. Analysis &amp; Design\Design\FC22\DRR Jaime\QUIFA-CAJÚA\Cajua\[VAS_CAJUA_CF_SEC_20230125.xlsx]CF PRBNP'!</v>
      </c>
      <c r="G182" s="7" t="s">
        <v>47</v>
      </c>
      <c r="H182" s="4"/>
      <c r="I182" s="4"/>
      <c r="J182" s="4"/>
    </row>
    <row r="183" spans="1:10" x14ac:dyDescent="0.25">
      <c r="A183" s="7" t="s">
        <v>100</v>
      </c>
      <c r="B183" s="7">
        <f t="shared" si="45"/>
        <v>2052</v>
      </c>
      <c r="C183" s="4" t="s">
        <v>51</v>
      </c>
      <c r="D183" s="5" t="s">
        <v>128</v>
      </c>
      <c r="E183" s="10" t="str">
        <f t="shared" si="43"/>
        <v>PRBNP'!</v>
      </c>
      <c r="F183" s="5" t="str">
        <f t="shared" si="44"/>
        <v>C:\Users\jaime.benazar\Quorum Business Solutions\Ecopetrol Prometeo - Documents\Planning Space Implementation\3. Analysis &amp; Design\Design\FC22\DRR Jaime\QUIFA-CAJÚA\Cajua\[VAS_CAJUA_CF_SEC_20230125.xlsx]CF PRBNP'!</v>
      </c>
      <c r="G183" s="7" t="s">
        <v>47</v>
      </c>
      <c r="H183" s="4"/>
      <c r="I183" s="4"/>
      <c r="J183" s="4"/>
    </row>
    <row r="184" spans="1:10" x14ac:dyDescent="0.25">
      <c r="A184" s="7" t="s">
        <v>100</v>
      </c>
      <c r="B184" s="7">
        <f t="shared" si="45"/>
        <v>2053</v>
      </c>
      <c r="C184" s="4" t="s">
        <v>51</v>
      </c>
      <c r="D184" s="5" t="s">
        <v>128</v>
      </c>
      <c r="E184" s="10" t="str">
        <f t="shared" si="43"/>
        <v>PRBNP'!</v>
      </c>
      <c r="F184" s="5" t="str">
        <f t="shared" si="44"/>
        <v>C:\Users\jaime.benazar\Quorum Business Solutions\Ecopetrol Prometeo - Documents\Planning Space Implementation\3. Analysis &amp; Design\Design\FC22\DRR Jaime\QUIFA-CAJÚA\Cajua\[VAS_CAJUA_CF_SEC_20230125.xlsx]CF PRBNP'!</v>
      </c>
      <c r="G184" s="7" t="s">
        <v>47</v>
      </c>
      <c r="H184" s="4"/>
      <c r="I184" s="4"/>
      <c r="J184" s="4"/>
    </row>
    <row r="185" spans="1:10" x14ac:dyDescent="0.25">
      <c r="A185" s="7" t="s">
        <v>100</v>
      </c>
      <c r="B185" s="7">
        <f t="shared" si="45"/>
        <v>2054</v>
      </c>
      <c r="C185" s="4" t="s">
        <v>51</v>
      </c>
      <c r="D185" s="5" t="s">
        <v>128</v>
      </c>
      <c r="E185" s="10" t="str">
        <f t="shared" si="43"/>
        <v>PRBNP'!</v>
      </c>
      <c r="F185" s="5" t="str">
        <f t="shared" si="44"/>
        <v>C:\Users\jaime.benazar\Quorum Business Solutions\Ecopetrol Prometeo - Documents\Planning Space Implementation\3. Analysis &amp; Design\Design\FC22\DRR Jaime\QUIFA-CAJÚA\Cajua\[VAS_CAJUA_CF_SEC_20230125.xlsx]CF PRBNP'!</v>
      </c>
      <c r="G185" s="7" t="s">
        <v>47</v>
      </c>
      <c r="H185" s="4"/>
      <c r="I185" s="4"/>
      <c r="J185" s="4"/>
    </row>
    <row r="186" spans="1:10" x14ac:dyDescent="0.25">
      <c r="A186" s="7" t="s">
        <v>100</v>
      </c>
      <c r="B186" s="7">
        <f t="shared" si="45"/>
        <v>2055</v>
      </c>
      <c r="C186" s="4" t="s">
        <v>51</v>
      </c>
      <c r="D186" s="5" t="s">
        <v>128</v>
      </c>
      <c r="E186" s="10" t="str">
        <f t="shared" si="43"/>
        <v>PRBNP'!</v>
      </c>
      <c r="F186" s="5" t="str">
        <f t="shared" si="44"/>
        <v>C:\Users\jaime.benazar\Quorum Business Solutions\Ecopetrol Prometeo - Documents\Planning Space Implementation\3. Analysis &amp; Design\Design\FC22\DRR Jaime\QUIFA-CAJÚA\Cajua\[VAS_CAJUA_CF_SEC_20230125.xlsx]CF PRBNP'!</v>
      </c>
      <c r="G186" s="7" t="s">
        <v>47</v>
      </c>
      <c r="H186" s="4"/>
      <c r="I186" s="4"/>
      <c r="J186" s="4"/>
    </row>
    <row r="187" spans="1:10" x14ac:dyDescent="0.25">
      <c r="A187" s="7" t="s">
        <v>100</v>
      </c>
      <c r="B187" s="7">
        <f t="shared" si="45"/>
        <v>2056</v>
      </c>
      <c r="C187" s="4" t="s">
        <v>51</v>
      </c>
      <c r="D187" s="5" t="s">
        <v>128</v>
      </c>
      <c r="E187" s="10" t="str">
        <f t="shared" si="43"/>
        <v>PRBNP'!</v>
      </c>
      <c r="F187" s="5" t="str">
        <f t="shared" si="44"/>
        <v>C:\Users\jaime.benazar\Quorum Business Solutions\Ecopetrol Prometeo - Documents\Planning Space Implementation\3. Analysis &amp; Design\Design\FC22\DRR Jaime\QUIFA-CAJÚA\Cajua\[VAS_CAJUA_CF_SEC_20230125.xlsx]CF PRBNP'!</v>
      </c>
      <c r="G187" s="7" t="s">
        <v>47</v>
      </c>
      <c r="H187" s="4"/>
      <c r="I187" s="4"/>
      <c r="J187" s="4"/>
    </row>
    <row r="188" spans="1:10" x14ac:dyDescent="0.25">
      <c r="A188" s="7" t="s">
        <v>100</v>
      </c>
      <c r="B188" s="7">
        <f t="shared" si="45"/>
        <v>2057</v>
      </c>
      <c r="C188" s="4" t="s">
        <v>51</v>
      </c>
      <c r="D188" s="5" t="s">
        <v>128</v>
      </c>
      <c r="E188" s="10" t="str">
        <f t="shared" si="43"/>
        <v>PRBNP'!</v>
      </c>
      <c r="F188" s="5" t="str">
        <f t="shared" si="44"/>
        <v>C:\Users\jaime.benazar\Quorum Business Solutions\Ecopetrol Prometeo - Documents\Planning Space Implementation\3. Analysis &amp; Design\Design\FC22\DRR Jaime\QUIFA-CAJÚA\Cajua\[VAS_CAJUA_CF_SEC_20230125.xlsx]CF PRBNP'!</v>
      </c>
      <c r="G188" s="7" t="s">
        <v>47</v>
      </c>
      <c r="H188" s="4"/>
      <c r="I188" s="4"/>
      <c r="J188" s="4"/>
    </row>
    <row r="189" spans="1:10" x14ac:dyDescent="0.25">
      <c r="A189" s="7" t="s">
        <v>100</v>
      </c>
      <c r="B189" s="7">
        <f t="shared" si="45"/>
        <v>2058</v>
      </c>
      <c r="C189" s="4" t="s">
        <v>51</v>
      </c>
      <c r="D189" s="5" t="s">
        <v>128</v>
      </c>
      <c r="E189" s="10" t="str">
        <f t="shared" si="43"/>
        <v>PRBNP'!</v>
      </c>
      <c r="F189" s="5" t="str">
        <f t="shared" si="44"/>
        <v>C:\Users\jaime.benazar\Quorum Business Solutions\Ecopetrol Prometeo - Documents\Planning Space Implementation\3. Analysis &amp; Design\Design\FC22\DRR Jaime\QUIFA-CAJÚA\Cajua\[VAS_CAJUA_CF_SEC_20230125.xlsx]CF PRBNP'!</v>
      </c>
      <c r="G189" s="7" t="s">
        <v>47</v>
      </c>
      <c r="H189" s="4"/>
      <c r="I189" s="4"/>
      <c r="J189" s="4"/>
    </row>
    <row r="190" spans="1:10" x14ac:dyDescent="0.25">
      <c r="A190" s="7" t="s">
        <v>100</v>
      </c>
      <c r="B190" s="7">
        <f t="shared" si="45"/>
        <v>2059</v>
      </c>
      <c r="C190" s="4" t="s">
        <v>51</v>
      </c>
      <c r="D190" s="5" t="s">
        <v>128</v>
      </c>
      <c r="E190" s="10" t="str">
        <f t="shared" si="43"/>
        <v>PRBNP'!</v>
      </c>
      <c r="F190" s="5" t="str">
        <f t="shared" si="44"/>
        <v>C:\Users\jaime.benazar\Quorum Business Solutions\Ecopetrol Prometeo - Documents\Planning Space Implementation\3. Analysis &amp; Design\Design\FC22\DRR Jaime\QUIFA-CAJÚA\Cajua\[VAS_CAJUA_CF_SEC_20230125.xlsx]CF PRBNP'!</v>
      </c>
      <c r="G190" s="7" t="s">
        <v>47</v>
      </c>
      <c r="H190" s="4"/>
      <c r="I190" s="4"/>
      <c r="J190" s="4"/>
    </row>
    <row r="191" spans="1:10" x14ac:dyDescent="0.25">
      <c r="A191" s="7" t="s">
        <v>28</v>
      </c>
      <c r="B191" s="7"/>
      <c r="C191" s="4" t="s">
        <v>51</v>
      </c>
      <c r="D191" s="5"/>
      <c r="E191" s="10"/>
      <c r="F191" s="5" t="str">
        <f t="shared" si="22"/>
        <v xml:space="preserve"> </v>
      </c>
      <c r="G191" s="7"/>
      <c r="H191" s="4"/>
      <c r="I191" s="4"/>
      <c r="J191" s="4"/>
    </row>
    <row r="192" spans="1:10" x14ac:dyDescent="0.25">
      <c r="A192" s="7" t="s">
        <v>101</v>
      </c>
      <c r="B192" s="7">
        <v>2023</v>
      </c>
      <c r="C192" s="4" t="s">
        <v>51</v>
      </c>
      <c r="D192" s="5" t="s">
        <v>128</v>
      </c>
      <c r="E192" s="10" t="str">
        <f t="shared" ref="E192:E212" si="46">_xlfn.CONCAT(A192,"'!")</f>
        <v>PRBND'!</v>
      </c>
      <c r="F192" s="5" t="str">
        <f t="shared" si="22"/>
        <v>C:\Users\jaime.benazar\Quorum Business Solutions\Ecopetrol Prometeo - Documents\Planning Space Implementation\3. Analysis &amp; Design\Design\FC22\DRR Jaime\QUIFA-CAJÚA\Cajua\[VAS_CAJUA_CF_SEC_20230125.xlsx]CF PRBND'!</v>
      </c>
      <c r="G192" s="7" t="s">
        <v>47</v>
      </c>
      <c r="H192" s="4"/>
      <c r="I192" s="4"/>
      <c r="J192" s="4"/>
    </row>
    <row r="193" spans="1:10" x14ac:dyDescent="0.25">
      <c r="A193" s="7" t="s">
        <v>101</v>
      </c>
      <c r="B193" s="7">
        <f>+B192+1</f>
        <v>2024</v>
      </c>
      <c r="C193" s="4" t="s">
        <v>51</v>
      </c>
      <c r="D193" s="5" t="s">
        <v>128</v>
      </c>
      <c r="E193" s="10" t="str">
        <f t="shared" si="46"/>
        <v>PRBND'!</v>
      </c>
      <c r="F193" s="5" t="str">
        <f t="shared" si="22"/>
        <v>C:\Users\jaime.benazar\Quorum Business Solutions\Ecopetrol Prometeo - Documents\Planning Space Implementation\3. Analysis &amp; Design\Design\FC22\DRR Jaime\QUIFA-CAJÚA\Cajua\[VAS_CAJUA_CF_SEC_20230125.xlsx]CF PRBND'!</v>
      </c>
      <c r="G193" s="7" t="s">
        <v>47</v>
      </c>
      <c r="H193" s="4"/>
      <c r="I193" s="4"/>
      <c r="J193" s="4"/>
    </row>
    <row r="194" spans="1:10" x14ac:dyDescent="0.25">
      <c r="A194" s="7" t="s">
        <v>101</v>
      </c>
      <c r="B194" s="7">
        <f t="shared" ref="B194:B205" si="47">+B193+1</f>
        <v>2025</v>
      </c>
      <c r="C194" s="4" t="s">
        <v>51</v>
      </c>
      <c r="D194" s="5" t="s">
        <v>128</v>
      </c>
      <c r="E194" s="10" t="str">
        <f t="shared" si="46"/>
        <v>PRBND'!</v>
      </c>
      <c r="F194" s="5" t="str">
        <f t="shared" si="22"/>
        <v>C:\Users\jaime.benazar\Quorum Business Solutions\Ecopetrol Prometeo - Documents\Planning Space Implementation\3. Analysis &amp; Design\Design\FC22\DRR Jaime\QUIFA-CAJÚA\Cajua\[VAS_CAJUA_CF_SEC_20230125.xlsx]CF PRBND'!</v>
      </c>
      <c r="G194" s="7" t="s">
        <v>47</v>
      </c>
      <c r="H194" s="4"/>
      <c r="I194" s="4"/>
      <c r="J194" s="4"/>
    </row>
    <row r="195" spans="1:10" x14ac:dyDescent="0.25">
      <c r="A195" s="7" t="s">
        <v>101</v>
      </c>
      <c r="B195" s="7">
        <f t="shared" si="47"/>
        <v>2026</v>
      </c>
      <c r="C195" s="4" t="s">
        <v>51</v>
      </c>
      <c r="D195" s="5" t="s">
        <v>128</v>
      </c>
      <c r="E195" s="10" t="str">
        <f t="shared" si="46"/>
        <v>PRBND'!</v>
      </c>
      <c r="F195" s="5" t="str">
        <f t="shared" si="22"/>
        <v>C:\Users\jaime.benazar\Quorum Business Solutions\Ecopetrol Prometeo - Documents\Planning Space Implementation\3. Analysis &amp; Design\Design\FC22\DRR Jaime\QUIFA-CAJÚA\Cajua\[VAS_CAJUA_CF_SEC_20230125.xlsx]CF PRBND'!</v>
      </c>
      <c r="G195" s="7" t="s">
        <v>47</v>
      </c>
      <c r="H195" s="4"/>
      <c r="I195" s="4"/>
      <c r="J195" s="4"/>
    </row>
    <row r="196" spans="1:10" x14ac:dyDescent="0.25">
      <c r="A196" s="7" t="s">
        <v>101</v>
      </c>
      <c r="B196" s="7">
        <f t="shared" si="47"/>
        <v>2027</v>
      </c>
      <c r="C196" s="4" t="s">
        <v>51</v>
      </c>
      <c r="D196" s="5" t="s">
        <v>128</v>
      </c>
      <c r="E196" s="10" t="str">
        <f t="shared" si="46"/>
        <v>PRBND'!</v>
      </c>
      <c r="F196" s="5" t="str">
        <f t="shared" si="22"/>
        <v>C:\Users\jaime.benazar\Quorum Business Solutions\Ecopetrol Prometeo - Documents\Planning Space Implementation\3. Analysis &amp; Design\Design\FC22\DRR Jaime\QUIFA-CAJÚA\Cajua\[VAS_CAJUA_CF_SEC_20230125.xlsx]CF PRBND'!</v>
      </c>
      <c r="G196" s="7" t="s">
        <v>47</v>
      </c>
      <c r="H196" s="4"/>
      <c r="I196" s="4"/>
      <c r="J196" s="4"/>
    </row>
    <row r="197" spans="1:10" x14ac:dyDescent="0.25">
      <c r="A197" s="7" t="s">
        <v>101</v>
      </c>
      <c r="B197" s="7">
        <f t="shared" si="47"/>
        <v>2028</v>
      </c>
      <c r="C197" s="4" t="s">
        <v>51</v>
      </c>
      <c r="D197" s="5" t="s">
        <v>128</v>
      </c>
      <c r="E197" s="10" t="str">
        <f t="shared" si="46"/>
        <v>PRBND'!</v>
      </c>
      <c r="F197" s="5" t="str">
        <f t="shared" si="22"/>
        <v>C:\Users\jaime.benazar\Quorum Business Solutions\Ecopetrol Prometeo - Documents\Planning Space Implementation\3. Analysis &amp; Design\Design\FC22\DRR Jaime\QUIFA-CAJÚA\Cajua\[VAS_CAJUA_CF_SEC_20230125.xlsx]CF PRBND'!</v>
      </c>
      <c r="G197" s="7" t="s">
        <v>47</v>
      </c>
      <c r="H197" s="4"/>
      <c r="I197" s="4"/>
      <c r="J197" s="4"/>
    </row>
    <row r="198" spans="1:10" x14ac:dyDescent="0.25">
      <c r="A198" s="7" t="s">
        <v>101</v>
      </c>
      <c r="B198" s="7">
        <f t="shared" si="47"/>
        <v>2029</v>
      </c>
      <c r="C198" s="4" t="s">
        <v>51</v>
      </c>
      <c r="D198" s="5" t="s">
        <v>128</v>
      </c>
      <c r="E198" s="10" t="str">
        <f t="shared" si="46"/>
        <v>PRBND'!</v>
      </c>
      <c r="F198" s="5" t="str">
        <f t="shared" si="22"/>
        <v>C:\Users\jaime.benazar\Quorum Business Solutions\Ecopetrol Prometeo - Documents\Planning Space Implementation\3. Analysis &amp; Design\Design\FC22\DRR Jaime\QUIFA-CAJÚA\Cajua\[VAS_CAJUA_CF_SEC_20230125.xlsx]CF PRBND'!</v>
      </c>
      <c r="G198" s="7" t="s">
        <v>47</v>
      </c>
      <c r="H198" s="4"/>
      <c r="I198" s="4"/>
      <c r="J198" s="4"/>
    </row>
    <row r="199" spans="1:10" x14ac:dyDescent="0.25">
      <c r="A199" s="7" t="s">
        <v>101</v>
      </c>
      <c r="B199" s="7">
        <f t="shared" si="47"/>
        <v>2030</v>
      </c>
      <c r="C199" s="4" t="s">
        <v>51</v>
      </c>
      <c r="D199" s="5" t="s">
        <v>128</v>
      </c>
      <c r="E199" s="10" t="str">
        <f t="shared" si="46"/>
        <v>PRBND'!</v>
      </c>
      <c r="F199" s="5" t="str">
        <f t="shared" si="22"/>
        <v>C:\Users\jaime.benazar\Quorum Business Solutions\Ecopetrol Prometeo - Documents\Planning Space Implementation\3. Analysis &amp; Design\Design\FC22\DRR Jaime\QUIFA-CAJÚA\Cajua\[VAS_CAJUA_CF_SEC_20230125.xlsx]CF PRBND'!</v>
      </c>
      <c r="G199" s="7" t="s">
        <v>47</v>
      </c>
      <c r="H199" s="4"/>
      <c r="I199" s="4"/>
      <c r="J199" s="4"/>
    </row>
    <row r="200" spans="1:10" x14ac:dyDescent="0.25">
      <c r="A200" s="7" t="s">
        <v>101</v>
      </c>
      <c r="B200" s="7">
        <f t="shared" si="47"/>
        <v>2031</v>
      </c>
      <c r="C200" s="4" t="s">
        <v>51</v>
      </c>
      <c r="D200" s="5" t="s">
        <v>128</v>
      </c>
      <c r="E200" s="10" t="str">
        <f t="shared" si="46"/>
        <v>PRBND'!</v>
      </c>
      <c r="F200" s="5" t="str">
        <f t="shared" si="22"/>
        <v>C:\Users\jaime.benazar\Quorum Business Solutions\Ecopetrol Prometeo - Documents\Planning Space Implementation\3. Analysis &amp; Design\Design\FC22\DRR Jaime\QUIFA-CAJÚA\Cajua\[VAS_CAJUA_CF_SEC_20230125.xlsx]CF PRBND'!</v>
      </c>
      <c r="G200" s="7" t="s">
        <v>47</v>
      </c>
      <c r="H200" s="4"/>
      <c r="I200" s="4"/>
      <c r="J200" s="4"/>
    </row>
    <row r="201" spans="1:10" x14ac:dyDescent="0.25">
      <c r="A201" s="7" t="s">
        <v>101</v>
      </c>
      <c r="B201" s="7">
        <f t="shared" si="47"/>
        <v>2032</v>
      </c>
      <c r="C201" s="4" t="s">
        <v>51</v>
      </c>
      <c r="D201" s="5" t="s">
        <v>128</v>
      </c>
      <c r="E201" s="10" t="str">
        <f t="shared" si="46"/>
        <v>PRBND'!</v>
      </c>
      <c r="F201" s="5" t="str">
        <f t="shared" ref="F201:F306" si="48">_xlfn.CONCAT(D201," ",E201)</f>
        <v>C:\Users\jaime.benazar\Quorum Business Solutions\Ecopetrol Prometeo - Documents\Planning Space Implementation\3. Analysis &amp; Design\Design\FC22\DRR Jaime\QUIFA-CAJÚA\Cajua\[VAS_CAJUA_CF_SEC_20230125.xlsx]CF PRBND'!</v>
      </c>
      <c r="G201" s="7" t="s">
        <v>47</v>
      </c>
      <c r="H201" s="4"/>
      <c r="I201" s="4"/>
      <c r="J201" s="4"/>
    </row>
    <row r="202" spans="1:10" x14ac:dyDescent="0.25">
      <c r="A202" s="7" t="s">
        <v>101</v>
      </c>
      <c r="B202" s="7">
        <f t="shared" si="47"/>
        <v>2033</v>
      </c>
      <c r="C202" s="4" t="s">
        <v>51</v>
      </c>
      <c r="D202" s="5" t="s">
        <v>128</v>
      </c>
      <c r="E202" s="10" t="str">
        <f t="shared" si="46"/>
        <v>PRBND'!</v>
      </c>
      <c r="F202" s="5" t="str">
        <f t="shared" si="48"/>
        <v>C:\Users\jaime.benazar\Quorum Business Solutions\Ecopetrol Prometeo - Documents\Planning Space Implementation\3. Analysis &amp; Design\Design\FC22\DRR Jaime\QUIFA-CAJÚA\Cajua\[VAS_CAJUA_CF_SEC_20230125.xlsx]CF PRBND'!</v>
      </c>
      <c r="G202" s="7" t="s">
        <v>47</v>
      </c>
      <c r="H202" s="4"/>
      <c r="I202" s="4"/>
      <c r="J202" s="4"/>
    </row>
    <row r="203" spans="1:10" x14ac:dyDescent="0.25">
      <c r="A203" s="7" t="s">
        <v>101</v>
      </c>
      <c r="B203" s="7">
        <f t="shared" si="47"/>
        <v>2034</v>
      </c>
      <c r="C203" s="4" t="s">
        <v>51</v>
      </c>
      <c r="D203" s="5" t="s">
        <v>128</v>
      </c>
      <c r="E203" s="10" t="str">
        <f t="shared" si="46"/>
        <v>PRBND'!</v>
      </c>
      <c r="F203" s="5" t="str">
        <f t="shared" si="48"/>
        <v>C:\Users\jaime.benazar\Quorum Business Solutions\Ecopetrol Prometeo - Documents\Planning Space Implementation\3. Analysis &amp; Design\Design\FC22\DRR Jaime\QUIFA-CAJÚA\Cajua\[VAS_CAJUA_CF_SEC_20230125.xlsx]CF PRBND'!</v>
      </c>
      <c r="G203" s="7" t="s">
        <v>47</v>
      </c>
      <c r="H203" s="4"/>
      <c r="I203" s="4"/>
      <c r="J203" s="4"/>
    </row>
    <row r="204" spans="1:10" x14ac:dyDescent="0.25">
      <c r="A204" s="7" t="s">
        <v>101</v>
      </c>
      <c r="B204" s="7">
        <f t="shared" si="47"/>
        <v>2035</v>
      </c>
      <c r="C204" s="4" t="s">
        <v>51</v>
      </c>
      <c r="D204" s="5" t="s">
        <v>128</v>
      </c>
      <c r="E204" s="10" t="str">
        <f t="shared" si="46"/>
        <v>PRBND'!</v>
      </c>
      <c r="F204" s="5" t="str">
        <f t="shared" si="48"/>
        <v>C:\Users\jaime.benazar\Quorum Business Solutions\Ecopetrol Prometeo - Documents\Planning Space Implementation\3. Analysis &amp; Design\Design\FC22\DRR Jaime\QUIFA-CAJÚA\Cajua\[VAS_CAJUA_CF_SEC_20230125.xlsx]CF PRBND'!</v>
      </c>
      <c r="G204" s="7" t="s">
        <v>47</v>
      </c>
      <c r="H204" s="4"/>
      <c r="I204" s="4"/>
      <c r="J204" s="4"/>
    </row>
    <row r="205" spans="1:10" x14ac:dyDescent="0.25">
      <c r="A205" s="7" t="s">
        <v>101</v>
      </c>
      <c r="B205" s="7">
        <f t="shared" si="47"/>
        <v>2036</v>
      </c>
      <c r="C205" s="4" t="s">
        <v>51</v>
      </c>
      <c r="D205" s="5" t="s">
        <v>128</v>
      </c>
      <c r="E205" s="10" t="str">
        <f t="shared" si="46"/>
        <v>PRBND'!</v>
      </c>
      <c r="F205" s="5" t="str">
        <f t="shared" si="48"/>
        <v>C:\Users\jaime.benazar\Quorum Business Solutions\Ecopetrol Prometeo - Documents\Planning Space Implementation\3. Analysis &amp; Design\Design\FC22\DRR Jaime\QUIFA-CAJÚA\Cajua\[VAS_CAJUA_CF_SEC_20230125.xlsx]CF PRBND'!</v>
      </c>
      <c r="G205" s="7" t="s">
        <v>47</v>
      </c>
      <c r="H205" s="4"/>
      <c r="I205" s="4"/>
      <c r="J205" s="4"/>
    </row>
    <row r="206" spans="1:10" x14ac:dyDescent="0.25">
      <c r="A206" s="7" t="s">
        <v>101</v>
      </c>
      <c r="B206" s="7">
        <f>+B205+1</f>
        <v>2037</v>
      </c>
      <c r="C206" s="4" t="s">
        <v>51</v>
      </c>
      <c r="D206" s="5" t="s">
        <v>128</v>
      </c>
      <c r="E206" s="10" t="str">
        <f t="shared" si="46"/>
        <v>PRBND'!</v>
      </c>
      <c r="F206" s="5" t="str">
        <f t="shared" si="48"/>
        <v>C:\Users\jaime.benazar\Quorum Business Solutions\Ecopetrol Prometeo - Documents\Planning Space Implementation\3. Analysis &amp; Design\Design\FC22\DRR Jaime\QUIFA-CAJÚA\Cajua\[VAS_CAJUA_CF_SEC_20230125.xlsx]CF PRBND'!</v>
      </c>
      <c r="G206" s="7" t="s">
        <v>47</v>
      </c>
      <c r="H206" s="4"/>
      <c r="I206" s="4"/>
      <c r="J206" s="4"/>
    </row>
    <row r="207" spans="1:10" x14ac:dyDescent="0.25">
      <c r="A207" s="7" t="s">
        <v>101</v>
      </c>
      <c r="B207" s="7">
        <f t="shared" ref="B207:B209" si="49">+B206+1</f>
        <v>2038</v>
      </c>
      <c r="C207" s="4" t="s">
        <v>51</v>
      </c>
      <c r="D207" s="5" t="s">
        <v>128</v>
      </c>
      <c r="E207" s="10" t="str">
        <f t="shared" si="46"/>
        <v>PRBND'!</v>
      </c>
      <c r="F207" s="5" t="str">
        <f t="shared" si="48"/>
        <v>C:\Users\jaime.benazar\Quorum Business Solutions\Ecopetrol Prometeo - Documents\Planning Space Implementation\3. Analysis &amp; Design\Design\FC22\DRR Jaime\QUIFA-CAJÚA\Cajua\[VAS_CAJUA_CF_SEC_20230125.xlsx]CF PRBND'!</v>
      </c>
      <c r="G207" s="7" t="s">
        <v>47</v>
      </c>
      <c r="H207" s="4"/>
      <c r="I207" s="4"/>
      <c r="J207" s="4"/>
    </row>
    <row r="208" spans="1:10" x14ac:dyDescent="0.25">
      <c r="A208" s="7" t="s">
        <v>101</v>
      </c>
      <c r="B208" s="7">
        <f t="shared" si="49"/>
        <v>2039</v>
      </c>
      <c r="C208" s="4" t="s">
        <v>51</v>
      </c>
      <c r="D208" s="5" t="s">
        <v>128</v>
      </c>
      <c r="E208" s="10" t="str">
        <f t="shared" si="46"/>
        <v>PRBND'!</v>
      </c>
      <c r="F208" s="5" t="str">
        <f t="shared" si="48"/>
        <v>C:\Users\jaime.benazar\Quorum Business Solutions\Ecopetrol Prometeo - Documents\Planning Space Implementation\3. Analysis &amp; Design\Design\FC22\DRR Jaime\QUIFA-CAJÚA\Cajua\[VAS_CAJUA_CF_SEC_20230125.xlsx]CF PRBND'!</v>
      </c>
      <c r="G208" s="7" t="s">
        <v>47</v>
      </c>
      <c r="H208" s="4"/>
      <c r="I208" s="4"/>
      <c r="J208" s="4"/>
    </row>
    <row r="209" spans="1:10" x14ac:dyDescent="0.25">
      <c r="A209" s="7" t="s">
        <v>101</v>
      </c>
      <c r="B209" s="7">
        <f t="shared" si="49"/>
        <v>2040</v>
      </c>
      <c r="C209" s="4" t="s">
        <v>51</v>
      </c>
      <c r="D209" s="5" t="s">
        <v>128</v>
      </c>
      <c r="E209" s="10" t="str">
        <f t="shared" si="46"/>
        <v>PRBND'!</v>
      </c>
      <c r="F209" s="5" t="str">
        <f t="shared" si="48"/>
        <v>C:\Users\jaime.benazar\Quorum Business Solutions\Ecopetrol Prometeo - Documents\Planning Space Implementation\3. Analysis &amp; Design\Design\FC22\DRR Jaime\QUIFA-CAJÚA\Cajua\[VAS_CAJUA_CF_SEC_20230125.xlsx]CF PRBND'!</v>
      </c>
      <c r="G209" s="7" t="s">
        <v>47</v>
      </c>
      <c r="H209" s="4"/>
      <c r="I209" s="4"/>
      <c r="J209" s="4"/>
    </row>
    <row r="210" spans="1:10" x14ac:dyDescent="0.25">
      <c r="A210" s="7" t="s">
        <v>101</v>
      </c>
      <c r="B210" s="7">
        <f>+B209+1</f>
        <v>2041</v>
      </c>
      <c r="C210" s="4" t="s">
        <v>51</v>
      </c>
      <c r="D210" s="5" t="s">
        <v>128</v>
      </c>
      <c r="E210" s="10" t="str">
        <f t="shared" si="46"/>
        <v>PRBND'!</v>
      </c>
      <c r="F210" s="5" t="str">
        <f t="shared" si="48"/>
        <v>C:\Users\jaime.benazar\Quorum Business Solutions\Ecopetrol Prometeo - Documents\Planning Space Implementation\3. Analysis &amp; Design\Design\FC22\DRR Jaime\QUIFA-CAJÚA\Cajua\[VAS_CAJUA_CF_SEC_20230125.xlsx]CF PRBND'!</v>
      </c>
      <c r="G210" s="7" t="s">
        <v>47</v>
      </c>
      <c r="H210" s="4"/>
      <c r="I210" s="4"/>
      <c r="J210" s="4"/>
    </row>
    <row r="211" spans="1:10" x14ac:dyDescent="0.25">
      <c r="A211" s="7" t="s">
        <v>101</v>
      </c>
      <c r="B211" s="7">
        <f t="shared" ref="B211:B212" si="50">+B210+1</f>
        <v>2042</v>
      </c>
      <c r="C211" s="4" t="s">
        <v>51</v>
      </c>
      <c r="D211" s="5" t="s">
        <v>128</v>
      </c>
      <c r="E211" s="10" t="str">
        <f t="shared" si="46"/>
        <v>PRBND'!</v>
      </c>
      <c r="F211" s="5" t="str">
        <f t="shared" si="48"/>
        <v>C:\Users\jaime.benazar\Quorum Business Solutions\Ecopetrol Prometeo - Documents\Planning Space Implementation\3. Analysis &amp; Design\Design\FC22\DRR Jaime\QUIFA-CAJÚA\Cajua\[VAS_CAJUA_CF_SEC_20230125.xlsx]CF PRBND'!</v>
      </c>
      <c r="G211" s="7" t="s">
        <v>47</v>
      </c>
      <c r="H211" s="4"/>
      <c r="I211" s="4"/>
      <c r="J211" s="4"/>
    </row>
    <row r="212" spans="1:10" x14ac:dyDescent="0.25">
      <c r="A212" s="7" t="s">
        <v>101</v>
      </c>
      <c r="B212" s="7">
        <f t="shared" si="50"/>
        <v>2043</v>
      </c>
      <c r="C212" s="4" t="s">
        <v>51</v>
      </c>
      <c r="D212" s="5" t="s">
        <v>128</v>
      </c>
      <c r="E212" s="10" t="str">
        <f t="shared" si="46"/>
        <v>PRBND'!</v>
      </c>
      <c r="F212" s="5" t="str">
        <f t="shared" si="48"/>
        <v>C:\Users\jaime.benazar\Quorum Business Solutions\Ecopetrol Prometeo - Documents\Planning Space Implementation\3. Analysis &amp; Design\Design\FC22\DRR Jaime\QUIFA-CAJÚA\Cajua\[VAS_CAJUA_CF_SEC_20230125.xlsx]CF PRBND'!</v>
      </c>
      <c r="G212" s="7" t="s">
        <v>47</v>
      </c>
      <c r="H212" s="4"/>
      <c r="I212" s="4"/>
      <c r="J212" s="4"/>
    </row>
    <row r="213" spans="1:10" x14ac:dyDescent="0.25">
      <c r="A213" s="7" t="s">
        <v>101</v>
      </c>
      <c r="B213" s="7">
        <f>+B212+1</f>
        <v>2044</v>
      </c>
      <c r="C213" s="4" t="s">
        <v>51</v>
      </c>
      <c r="D213" s="5" t="s">
        <v>128</v>
      </c>
      <c r="E213" s="10" t="str">
        <f t="shared" ref="E213:E228" si="51">_xlfn.CONCAT(A213,"'!")</f>
        <v>PRBND'!</v>
      </c>
      <c r="F213" s="5" t="str">
        <f t="shared" ref="F213:F228" si="52">_xlfn.CONCAT(D213," ",E213)</f>
        <v>C:\Users\jaime.benazar\Quorum Business Solutions\Ecopetrol Prometeo - Documents\Planning Space Implementation\3. Analysis &amp; Design\Design\FC22\DRR Jaime\QUIFA-CAJÚA\Cajua\[VAS_CAJUA_CF_SEC_20230125.xlsx]CF PRBND'!</v>
      </c>
      <c r="G213" s="7" t="s">
        <v>47</v>
      </c>
      <c r="H213" s="4"/>
      <c r="I213" s="4"/>
      <c r="J213" s="4"/>
    </row>
    <row r="214" spans="1:10" x14ac:dyDescent="0.25">
      <c r="A214" s="7" t="s">
        <v>101</v>
      </c>
      <c r="B214" s="7">
        <f t="shared" ref="B214:B228" si="53">+B213+1</f>
        <v>2045</v>
      </c>
      <c r="C214" s="4" t="s">
        <v>51</v>
      </c>
      <c r="D214" s="5" t="s">
        <v>128</v>
      </c>
      <c r="E214" s="10" t="str">
        <f t="shared" si="51"/>
        <v>PRBND'!</v>
      </c>
      <c r="F214" s="5" t="str">
        <f t="shared" si="52"/>
        <v>C:\Users\jaime.benazar\Quorum Business Solutions\Ecopetrol Prometeo - Documents\Planning Space Implementation\3. Analysis &amp; Design\Design\FC22\DRR Jaime\QUIFA-CAJÚA\Cajua\[VAS_CAJUA_CF_SEC_20230125.xlsx]CF PRBND'!</v>
      </c>
      <c r="G214" s="7" t="s">
        <v>47</v>
      </c>
      <c r="H214" s="4"/>
      <c r="I214" s="4"/>
      <c r="J214" s="4"/>
    </row>
    <row r="215" spans="1:10" x14ac:dyDescent="0.25">
      <c r="A215" s="7" t="s">
        <v>101</v>
      </c>
      <c r="B215" s="7">
        <f t="shared" si="53"/>
        <v>2046</v>
      </c>
      <c r="C215" s="4" t="s">
        <v>51</v>
      </c>
      <c r="D215" s="5" t="s">
        <v>128</v>
      </c>
      <c r="E215" s="10" t="str">
        <f t="shared" si="51"/>
        <v>PRBND'!</v>
      </c>
      <c r="F215" s="5" t="str">
        <f t="shared" si="52"/>
        <v>C:\Users\jaime.benazar\Quorum Business Solutions\Ecopetrol Prometeo - Documents\Planning Space Implementation\3. Analysis &amp; Design\Design\FC22\DRR Jaime\QUIFA-CAJÚA\Cajua\[VAS_CAJUA_CF_SEC_20230125.xlsx]CF PRBND'!</v>
      </c>
      <c r="G215" s="7" t="s">
        <v>47</v>
      </c>
      <c r="H215" s="4"/>
      <c r="I215" s="4"/>
      <c r="J215" s="4"/>
    </row>
    <row r="216" spans="1:10" x14ac:dyDescent="0.25">
      <c r="A216" s="7" t="s">
        <v>101</v>
      </c>
      <c r="B216" s="7">
        <f t="shared" si="53"/>
        <v>2047</v>
      </c>
      <c r="C216" s="4" t="s">
        <v>51</v>
      </c>
      <c r="D216" s="5" t="s">
        <v>128</v>
      </c>
      <c r="E216" s="10" t="str">
        <f t="shared" si="51"/>
        <v>PRBND'!</v>
      </c>
      <c r="F216" s="5" t="str">
        <f t="shared" si="52"/>
        <v>C:\Users\jaime.benazar\Quorum Business Solutions\Ecopetrol Prometeo - Documents\Planning Space Implementation\3. Analysis &amp; Design\Design\FC22\DRR Jaime\QUIFA-CAJÚA\Cajua\[VAS_CAJUA_CF_SEC_20230125.xlsx]CF PRBND'!</v>
      </c>
      <c r="G216" s="7" t="s">
        <v>47</v>
      </c>
      <c r="H216" s="4"/>
      <c r="I216" s="4"/>
      <c r="J216" s="4"/>
    </row>
    <row r="217" spans="1:10" x14ac:dyDescent="0.25">
      <c r="A217" s="7" t="s">
        <v>101</v>
      </c>
      <c r="B217" s="7">
        <f t="shared" si="53"/>
        <v>2048</v>
      </c>
      <c r="C217" s="4" t="s">
        <v>51</v>
      </c>
      <c r="D217" s="5" t="s">
        <v>128</v>
      </c>
      <c r="E217" s="10" t="str">
        <f t="shared" si="51"/>
        <v>PRBND'!</v>
      </c>
      <c r="F217" s="5" t="str">
        <f t="shared" si="52"/>
        <v>C:\Users\jaime.benazar\Quorum Business Solutions\Ecopetrol Prometeo - Documents\Planning Space Implementation\3. Analysis &amp; Design\Design\FC22\DRR Jaime\QUIFA-CAJÚA\Cajua\[VAS_CAJUA_CF_SEC_20230125.xlsx]CF PRBND'!</v>
      </c>
      <c r="G217" s="7" t="s">
        <v>47</v>
      </c>
      <c r="H217" s="4"/>
      <c r="I217" s="4"/>
      <c r="J217" s="4"/>
    </row>
    <row r="218" spans="1:10" x14ac:dyDescent="0.25">
      <c r="A218" s="7" t="s">
        <v>101</v>
      </c>
      <c r="B218" s="7">
        <f t="shared" si="53"/>
        <v>2049</v>
      </c>
      <c r="C218" s="4" t="s">
        <v>51</v>
      </c>
      <c r="D218" s="5" t="s">
        <v>128</v>
      </c>
      <c r="E218" s="10" t="str">
        <f t="shared" si="51"/>
        <v>PRBND'!</v>
      </c>
      <c r="F218" s="5" t="str">
        <f t="shared" si="52"/>
        <v>C:\Users\jaime.benazar\Quorum Business Solutions\Ecopetrol Prometeo - Documents\Planning Space Implementation\3. Analysis &amp; Design\Design\FC22\DRR Jaime\QUIFA-CAJÚA\Cajua\[VAS_CAJUA_CF_SEC_20230125.xlsx]CF PRBND'!</v>
      </c>
      <c r="G218" s="7" t="s">
        <v>47</v>
      </c>
      <c r="H218" s="4"/>
      <c r="I218" s="4"/>
      <c r="J218" s="4"/>
    </row>
    <row r="219" spans="1:10" x14ac:dyDescent="0.25">
      <c r="A219" s="7" t="s">
        <v>101</v>
      </c>
      <c r="B219" s="7">
        <f t="shared" si="53"/>
        <v>2050</v>
      </c>
      <c r="C219" s="4" t="s">
        <v>51</v>
      </c>
      <c r="D219" s="5" t="s">
        <v>128</v>
      </c>
      <c r="E219" s="10" t="str">
        <f t="shared" si="51"/>
        <v>PRBND'!</v>
      </c>
      <c r="F219" s="5" t="str">
        <f t="shared" si="52"/>
        <v>C:\Users\jaime.benazar\Quorum Business Solutions\Ecopetrol Prometeo - Documents\Planning Space Implementation\3. Analysis &amp; Design\Design\FC22\DRR Jaime\QUIFA-CAJÚA\Cajua\[VAS_CAJUA_CF_SEC_20230125.xlsx]CF PRBND'!</v>
      </c>
      <c r="G219" s="7" t="s">
        <v>47</v>
      </c>
      <c r="H219" s="4"/>
      <c r="I219" s="4"/>
      <c r="J219" s="4"/>
    </row>
    <row r="220" spans="1:10" x14ac:dyDescent="0.25">
      <c r="A220" s="7" t="s">
        <v>101</v>
      </c>
      <c r="B220" s="7">
        <f t="shared" si="53"/>
        <v>2051</v>
      </c>
      <c r="C220" s="4" t="s">
        <v>51</v>
      </c>
      <c r="D220" s="5" t="s">
        <v>128</v>
      </c>
      <c r="E220" s="10" t="str">
        <f t="shared" si="51"/>
        <v>PRBND'!</v>
      </c>
      <c r="F220" s="5" t="str">
        <f t="shared" si="52"/>
        <v>C:\Users\jaime.benazar\Quorum Business Solutions\Ecopetrol Prometeo - Documents\Planning Space Implementation\3. Analysis &amp; Design\Design\FC22\DRR Jaime\QUIFA-CAJÚA\Cajua\[VAS_CAJUA_CF_SEC_20230125.xlsx]CF PRBND'!</v>
      </c>
      <c r="G220" s="7" t="s">
        <v>47</v>
      </c>
      <c r="H220" s="4"/>
      <c r="I220" s="4"/>
      <c r="J220" s="4"/>
    </row>
    <row r="221" spans="1:10" x14ac:dyDescent="0.25">
      <c r="A221" s="7" t="s">
        <v>101</v>
      </c>
      <c r="B221" s="7">
        <f t="shared" si="53"/>
        <v>2052</v>
      </c>
      <c r="C221" s="4" t="s">
        <v>51</v>
      </c>
      <c r="D221" s="5" t="s">
        <v>128</v>
      </c>
      <c r="E221" s="10" t="str">
        <f t="shared" si="51"/>
        <v>PRBND'!</v>
      </c>
      <c r="F221" s="5" t="str">
        <f t="shared" si="52"/>
        <v>C:\Users\jaime.benazar\Quorum Business Solutions\Ecopetrol Prometeo - Documents\Planning Space Implementation\3. Analysis &amp; Design\Design\FC22\DRR Jaime\QUIFA-CAJÚA\Cajua\[VAS_CAJUA_CF_SEC_20230125.xlsx]CF PRBND'!</v>
      </c>
      <c r="G221" s="7" t="s">
        <v>47</v>
      </c>
      <c r="H221" s="4"/>
      <c r="I221" s="4"/>
      <c r="J221" s="4"/>
    </row>
    <row r="222" spans="1:10" x14ac:dyDescent="0.25">
      <c r="A222" s="7" t="s">
        <v>101</v>
      </c>
      <c r="B222" s="7">
        <f t="shared" si="53"/>
        <v>2053</v>
      </c>
      <c r="C222" s="4" t="s">
        <v>51</v>
      </c>
      <c r="D222" s="5" t="s">
        <v>128</v>
      </c>
      <c r="E222" s="10" t="str">
        <f t="shared" si="51"/>
        <v>PRBND'!</v>
      </c>
      <c r="F222" s="5" t="str">
        <f t="shared" si="52"/>
        <v>C:\Users\jaime.benazar\Quorum Business Solutions\Ecopetrol Prometeo - Documents\Planning Space Implementation\3. Analysis &amp; Design\Design\FC22\DRR Jaime\QUIFA-CAJÚA\Cajua\[VAS_CAJUA_CF_SEC_20230125.xlsx]CF PRBND'!</v>
      </c>
      <c r="G222" s="7" t="s">
        <v>47</v>
      </c>
      <c r="H222" s="4"/>
      <c r="I222" s="4"/>
      <c r="J222" s="4"/>
    </row>
    <row r="223" spans="1:10" x14ac:dyDescent="0.25">
      <c r="A223" s="7" t="s">
        <v>101</v>
      </c>
      <c r="B223" s="7">
        <f t="shared" si="53"/>
        <v>2054</v>
      </c>
      <c r="C223" s="4" t="s">
        <v>51</v>
      </c>
      <c r="D223" s="5" t="s">
        <v>128</v>
      </c>
      <c r="E223" s="10" t="str">
        <f t="shared" si="51"/>
        <v>PRBND'!</v>
      </c>
      <c r="F223" s="5" t="str">
        <f t="shared" si="52"/>
        <v>C:\Users\jaime.benazar\Quorum Business Solutions\Ecopetrol Prometeo - Documents\Planning Space Implementation\3. Analysis &amp; Design\Design\FC22\DRR Jaime\QUIFA-CAJÚA\Cajua\[VAS_CAJUA_CF_SEC_20230125.xlsx]CF PRBND'!</v>
      </c>
      <c r="G223" s="7" t="s">
        <v>47</v>
      </c>
      <c r="H223" s="4"/>
      <c r="I223" s="4"/>
      <c r="J223" s="4"/>
    </row>
    <row r="224" spans="1:10" x14ac:dyDescent="0.25">
      <c r="A224" s="7" t="s">
        <v>101</v>
      </c>
      <c r="B224" s="7">
        <f t="shared" si="53"/>
        <v>2055</v>
      </c>
      <c r="C224" s="4" t="s">
        <v>51</v>
      </c>
      <c r="D224" s="5" t="s">
        <v>128</v>
      </c>
      <c r="E224" s="10" t="str">
        <f t="shared" si="51"/>
        <v>PRBND'!</v>
      </c>
      <c r="F224" s="5" t="str">
        <f t="shared" si="52"/>
        <v>C:\Users\jaime.benazar\Quorum Business Solutions\Ecopetrol Prometeo - Documents\Planning Space Implementation\3. Analysis &amp; Design\Design\FC22\DRR Jaime\QUIFA-CAJÚA\Cajua\[VAS_CAJUA_CF_SEC_20230125.xlsx]CF PRBND'!</v>
      </c>
      <c r="G224" s="7" t="s">
        <v>47</v>
      </c>
      <c r="H224" s="4"/>
      <c r="I224" s="4"/>
      <c r="J224" s="4"/>
    </row>
    <row r="225" spans="1:10" x14ac:dyDescent="0.25">
      <c r="A225" s="7" t="s">
        <v>101</v>
      </c>
      <c r="B225" s="7">
        <f t="shared" si="53"/>
        <v>2056</v>
      </c>
      <c r="C225" s="4" t="s">
        <v>51</v>
      </c>
      <c r="D225" s="5" t="s">
        <v>128</v>
      </c>
      <c r="E225" s="10" t="str">
        <f t="shared" si="51"/>
        <v>PRBND'!</v>
      </c>
      <c r="F225" s="5" t="str">
        <f t="shared" si="52"/>
        <v>C:\Users\jaime.benazar\Quorum Business Solutions\Ecopetrol Prometeo - Documents\Planning Space Implementation\3. Analysis &amp; Design\Design\FC22\DRR Jaime\QUIFA-CAJÚA\Cajua\[VAS_CAJUA_CF_SEC_20230125.xlsx]CF PRBND'!</v>
      </c>
      <c r="G225" s="7" t="s">
        <v>47</v>
      </c>
      <c r="H225" s="4"/>
      <c r="I225" s="4"/>
      <c r="J225" s="4"/>
    </row>
    <row r="226" spans="1:10" x14ac:dyDescent="0.25">
      <c r="A226" s="7" t="s">
        <v>101</v>
      </c>
      <c r="B226" s="7">
        <f t="shared" si="53"/>
        <v>2057</v>
      </c>
      <c r="C226" s="4" t="s">
        <v>51</v>
      </c>
      <c r="D226" s="5" t="s">
        <v>128</v>
      </c>
      <c r="E226" s="10" t="str">
        <f t="shared" si="51"/>
        <v>PRBND'!</v>
      </c>
      <c r="F226" s="5" t="str">
        <f t="shared" si="52"/>
        <v>C:\Users\jaime.benazar\Quorum Business Solutions\Ecopetrol Prometeo - Documents\Planning Space Implementation\3. Analysis &amp; Design\Design\FC22\DRR Jaime\QUIFA-CAJÚA\Cajua\[VAS_CAJUA_CF_SEC_20230125.xlsx]CF PRBND'!</v>
      </c>
      <c r="G226" s="7" t="s">
        <v>47</v>
      </c>
      <c r="H226" s="4"/>
      <c r="I226" s="4"/>
      <c r="J226" s="4"/>
    </row>
    <row r="227" spans="1:10" x14ac:dyDescent="0.25">
      <c r="A227" s="7" t="s">
        <v>101</v>
      </c>
      <c r="B227" s="7">
        <f t="shared" si="53"/>
        <v>2058</v>
      </c>
      <c r="C227" s="4" t="s">
        <v>51</v>
      </c>
      <c r="D227" s="5" t="s">
        <v>128</v>
      </c>
      <c r="E227" s="10" t="str">
        <f t="shared" si="51"/>
        <v>PRBND'!</v>
      </c>
      <c r="F227" s="5" t="str">
        <f t="shared" si="52"/>
        <v>C:\Users\jaime.benazar\Quorum Business Solutions\Ecopetrol Prometeo - Documents\Planning Space Implementation\3. Analysis &amp; Design\Design\FC22\DRR Jaime\QUIFA-CAJÚA\Cajua\[VAS_CAJUA_CF_SEC_20230125.xlsx]CF PRBND'!</v>
      </c>
      <c r="G227" s="7" t="s">
        <v>47</v>
      </c>
      <c r="H227" s="4"/>
      <c r="I227" s="4"/>
      <c r="J227" s="4"/>
    </row>
    <row r="228" spans="1:10" x14ac:dyDescent="0.25">
      <c r="A228" s="7" t="s">
        <v>101</v>
      </c>
      <c r="B228" s="7">
        <f t="shared" si="53"/>
        <v>2059</v>
      </c>
      <c r="C228" s="4" t="s">
        <v>51</v>
      </c>
      <c r="D228" s="5" t="s">
        <v>128</v>
      </c>
      <c r="E228" s="10" t="str">
        <f t="shared" si="51"/>
        <v>PRBND'!</v>
      </c>
      <c r="F228" s="5" t="str">
        <f t="shared" si="52"/>
        <v>C:\Users\jaime.benazar\Quorum Business Solutions\Ecopetrol Prometeo - Documents\Planning Space Implementation\3. Analysis &amp; Design\Design\FC22\DRR Jaime\QUIFA-CAJÚA\Cajua\[VAS_CAJUA_CF_SEC_20230125.xlsx]CF PRBND'!</v>
      </c>
      <c r="G228" s="7" t="s">
        <v>47</v>
      </c>
      <c r="H228" s="4"/>
      <c r="I228" s="4"/>
      <c r="J228" s="4"/>
    </row>
    <row r="229" spans="1:10" x14ac:dyDescent="0.25">
      <c r="A229" s="7" t="s">
        <v>28</v>
      </c>
      <c r="B229" s="7"/>
      <c r="C229" s="4" t="s">
        <v>51</v>
      </c>
      <c r="D229" s="5"/>
      <c r="E229" s="10" t="str">
        <f t="shared" ref="E229" si="54">_xlfn.CONCAT(A229,"'!")</f>
        <v>Total'!</v>
      </c>
      <c r="F229" s="5" t="str">
        <f t="shared" ref="F229" si="55">_xlfn.CONCAT(D229," ",E229)</f>
        <v xml:space="preserve"> Total'!</v>
      </c>
      <c r="G229" s="7" t="s">
        <v>47</v>
      </c>
      <c r="H229" s="4"/>
      <c r="I229" s="4"/>
      <c r="J229" s="4"/>
    </row>
    <row r="230" spans="1:10" x14ac:dyDescent="0.25">
      <c r="A230" s="7" t="s">
        <v>4</v>
      </c>
      <c r="B230" s="7">
        <v>2023</v>
      </c>
      <c r="C230" s="4" t="s">
        <v>51</v>
      </c>
      <c r="D230" s="5" t="s">
        <v>128</v>
      </c>
      <c r="E230" s="10" t="str">
        <f t="shared" si="24"/>
        <v>PRB'!</v>
      </c>
      <c r="F230" s="5" t="str">
        <f t="shared" si="48"/>
        <v>C:\Users\jaime.benazar\Quorum Business Solutions\Ecopetrol Prometeo - Documents\Planning Space Implementation\3. Analysis &amp; Design\Design\FC22\DRR Jaime\QUIFA-CAJÚA\Cajua\[VAS_CAJUA_CF_SEC_20230125.xlsx]CF PRB'!</v>
      </c>
      <c r="G230" s="7" t="s">
        <v>47</v>
      </c>
      <c r="H230" s="4">
        <f>IF(A230&lt;&gt;A100,36,H100+1)</f>
        <v>36</v>
      </c>
      <c r="I230" s="4" t="str">
        <f t="shared" si="25"/>
        <v>='C:\Users\jaime.benazar\Quorum Business Solutions\Ecopetrol Prometeo - Documents\Planning Space Implementation\3. Analysis &amp; Design\Design\FC22\DRR Jaime\QUIFA-CAJÚA\Cajua\[VAS_CAJUA_CF_SEC_20230125.xlsx]CF PRB'!$AY$36</v>
      </c>
      <c r="J230" s="4" t="s">
        <v>240</v>
      </c>
    </row>
    <row r="231" spans="1:10" x14ac:dyDescent="0.25">
      <c r="A231" s="7" t="s">
        <v>4</v>
      </c>
      <c r="B231" s="7">
        <f>+B230+1</f>
        <v>2024</v>
      </c>
      <c r="C231" s="4" t="s">
        <v>51</v>
      </c>
      <c r="D231" s="5" t="s">
        <v>128</v>
      </c>
      <c r="E231" s="10" t="str">
        <f t="shared" si="24"/>
        <v>PRB'!</v>
      </c>
      <c r="F231" s="5" t="str">
        <f t="shared" si="48"/>
        <v>C:\Users\jaime.benazar\Quorum Business Solutions\Ecopetrol Prometeo - Documents\Planning Space Implementation\3. Analysis &amp; Design\Design\FC22\DRR Jaime\QUIFA-CAJÚA\Cajua\[VAS_CAJUA_CF_SEC_20230125.xlsx]CF PRB'!</v>
      </c>
      <c r="G231" s="7" t="s">
        <v>47</v>
      </c>
      <c r="H231" s="4">
        <f t="shared" si="26"/>
        <v>37</v>
      </c>
      <c r="I231" s="4" t="str">
        <f t="shared" si="25"/>
        <v>='C:\Users\jaime.benazar\Quorum Business Solutions\Ecopetrol Prometeo - Documents\Planning Space Implementation\3. Analysis &amp; Design\Design\FC22\DRR Jaime\QUIFA-CAJÚA\Cajua\[VAS_CAJUA_CF_SEC_20230125.xlsx]CF PRB'!$AY$37</v>
      </c>
      <c r="J231" s="4" t="s">
        <v>241</v>
      </c>
    </row>
    <row r="232" spans="1:10" x14ac:dyDescent="0.25">
      <c r="A232" s="7" t="s">
        <v>4</v>
      </c>
      <c r="B232" s="7">
        <f t="shared" ref="B232:B243" si="56">+B231+1</f>
        <v>2025</v>
      </c>
      <c r="C232" s="4" t="s">
        <v>51</v>
      </c>
      <c r="D232" s="5" t="s">
        <v>128</v>
      </c>
      <c r="E232" s="10" t="str">
        <f t="shared" si="24"/>
        <v>PRB'!</v>
      </c>
      <c r="F232" s="5" t="str">
        <f t="shared" si="48"/>
        <v>C:\Users\jaime.benazar\Quorum Business Solutions\Ecopetrol Prometeo - Documents\Planning Space Implementation\3. Analysis &amp; Design\Design\FC22\DRR Jaime\QUIFA-CAJÚA\Cajua\[VAS_CAJUA_CF_SEC_20230125.xlsx]CF PRB'!</v>
      </c>
      <c r="G232" s="7" t="s">
        <v>47</v>
      </c>
      <c r="H232" s="4">
        <f t="shared" si="26"/>
        <v>38</v>
      </c>
      <c r="I232" s="4" t="str">
        <f t="shared" si="25"/>
        <v>='C:\Users\jaime.benazar\Quorum Business Solutions\Ecopetrol Prometeo - Documents\Planning Space Implementation\3. Analysis &amp; Design\Design\FC22\DRR Jaime\QUIFA-CAJÚA\Cajua\[VAS_CAJUA_CF_SEC_20230125.xlsx]CF PRB'!$AY$38</v>
      </c>
      <c r="J232" s="4" t="s">
        <v>242</v>
      </c>
    </row>
    <row r="233" spans="1:10" x14ac:dyDescent="0.25">
      <c r="A233" s="7" t="s">
        <v>4</v>
      </c>
      <c r="B233" s="7">
        <f t="shared" si="56"/>
        <v>2026</v>
      </c>
      <c r="C233" s="4" t="s">
        <v>51</v>
      </c>
      <c r="D233" s="5" t="s">
        <v>128</v>
      </c>
      <c r="E233" s="10" t="str">
        <f t="shared" si="24"/>
        <v>PRB'!</v>
      </c>
      <c r="F233" s="5" t="str">
        <f t="shared" si="48"/>
        <v>C:\Users\jaime.benazar\Quorum Business Solutions\Ecopetrol Prometeo - Documents\Planning Space Implementation\3. Analysis &amp; Design\Design\FC22\DRR Jaime\QUIFA-CAJÚA\Cajua\[VAS_CAJUA_CF_SEC_20230125.xlsx]CF PRB'!</v>
      </c>
      <c r="G233" s="7" t="s">
        <v>47</v>
      </c>
      <c r="H233" s="4">
        <f t="shared" si="26"/>
        <v>39</v>
      </c>
      <c r="I233" s="4" t="str">
        <f t="shared" si="25"/>
        <v>='C:\Users\jaime.benazar\Quorum Business Solutions\Ecopetrol Prometeo - Documents\Planning Space Implementation\3. Analysis &amp; Design\Design\FC22\DRR Jaime\QUIFA-CAJÚA\Cajua\[VAS_CAJUA_CF_SEC_20230125.xlsx]CF PRB'!$AY$39</v>
      </c>
      <c r="J233" s="4" t="s">
        <v>243</v>
      </c>
    </row>
    <row r="234" spans="1:10" x14ac:dyDescent="0.25">
      <c r="A234" s="7" t="s">
        <v>4</v>
      </c>
      <c r="B234" s="7">
        <f t="shared" si="56"/>
        <v>2027</v>
      </c>
      <c r="C234" s="4" t="s">
        <v>51</v>
      </c>
      <c r="D234" s="5" t="s">
        <v>128</v>
      </c>
      <c r="E234" s="10" t="str">
        <f t="shared" si="24"/>
        <v>PRB'!</v>
      </c>
      <c r="F234" s="5" t="str">
        <f t="shared" si="48"/>
        <v>C:\Users\jaime.benazar\Quorum Business Solutions\Ecopetrol Prometeo - Documents\Planning Space Implementation\3. Analysis &amp; Design\Design\FC22\DRR Jaime\QUIFA-CAJÚA\Cajua\[VAS_CAJUA_CF_SEC_20230125.xlsx]CF PRB'!</v>
      </c>
      <c r="G234" s="7" t="s">
        <v>47</v>
      </c>
      <c r="H234" s="4">
        <f t="shared" si="26"/>
        <v>40</v>
      </c>
      <c r="I234" s="4" t="str">
        <f t="shared" si="25"/>
        <v>='C:\Users\jaime.benazar\Quorum Business Solutions\Ecopetrol Prometeo - Documents\Planning Space Implementation\3. Analysis &amp; Design\Design\FC22\DRR Jaime\QUIFA-CAJÚA\Cajua\[VAS_CAJUA_CF_SEC_20230125.xlsx]CF PRB'!$AY$40</v>
      </c>
      <c r="J234" s="4" t="s">
        <v>244</v>
      </c>
    </row>
    <row r="235" spans="1:10" x14ac:dyDescent="0.25">
      <c r="A235" s="7" t="s">
        <v>4</v>
      </c>
      <c r="B235" s="7">
        <f t="shared" si="56"/>
        <v>2028</v>
      </c>
      <c r="C235" s="4" t="s">
        <v>51</v>
      </c>
      <c r="D235" s="5" t="s">
        <v>128</v>
      </c>
      <c r="E235" s="10" t="str">
        <f t="shared" si="24"/>
        <v>PRB'!</v>
      </c>
      <c r="F235" s="5" t="str">
        <f t="shared" si="48"/>
        <v>C:\Users\jaime.benazar\Quorum Business Solutions\Ecopetrol Prometeo - Documents\Planning Space Implementation\3. Analysis &amp; Design\Design\FC22\DRR Jaime\QUIFA-CAJÚA\Cajua\[VAS_CAJUA_CF_SEC_20230125.xlsx]CF PRB'!</v>
      </c>
      <c r="G235" s="7" t="s">
        <v>47</v>
      </c>
      <c r="H235" s="4">
        <f t="shared" si="26"/>
        <v>41</v>
      </c>
      <c r="I235" s="4" t="str">
        <f t="shared" si="25"/>
        <v>='C:\Users\jaime.benazar\Quorum Business Solutions\Ecopetrol Prometeo - Documents\Planning Space Implementation\3. Analysis &amp; Design\Design\FC22\DRR Jaime\QUIFA-CAJÚA\Cajua\[VAS_CAJUA_CF_SEC_20230125.xlsx]CF PRB'!$AY$41</v>
      </c>
      <c r="J235" s="4" t="s">
        <v>245</v>
      </c>
    </row>
    <row r="236" spans="1:10" x14ac:dyDescent="0.25">
      <c r="A236" s="7" t="s">
        <v>4</v>
      </c>
      <c r="B236" s="7">
        <f t="shared" si="56"/>
        <v>2029</v>
      </c>
      <c r="C236" s="4" t="s">
        <v>51</v>
      </c>
      <c r="D236" s="5" t="s">
        <v>128</v>
      </c>
      <c r="E236" s="10" t="str">
        <f t="shared" si="24"/>
        <v>PRB'!</v>
      </c>
      <c r="F236" s="5" t="str">
        <f t="shared" si="48"/>
        <v>C:\Users\jaime.benazar\Quorum Business Solutions\Ecopetrol Prometeo - Documents\Planning Space Implementation\3. Analysis &amp; Design\Design\FC22\DRR Jaime\QUIFA-CAJÚA\Cajua\[VAS_CAJUA_CF_SEC_20230125.xlsx]CF PRB'!</v>
      </c>
      <c r="G236" s="7" t="s">
        <v>47</v>
      </c>
      <c r="H236" s="4">
        <f t="shared" si="26"/>
        <v>42</v>
      </c>
      <c r="I236" s="4" t="str">
        <f t="shared" si="25"/>
        <v>='C:\Users\jaime.benazar\Quorum Business Solutions\Ecopetrol Prometeo - Documents\Planning Space Implementation\3. Analysis &amp; Design\Design\FC22\DRR Jaime\QUIFA-CAJÚA\Cajua\[VAS_CAJUA_CF_SEC_20230125.xlsx]CF PRB'!$AY$42</v>
      </c>
      <c r="J236" s="4" t="s">
        <v>246</v>
      </c>
    </row>
    <row r="237" spans="1:10" x14ac:dyDescent="0.25">
      <c r="A237" s="7" t="s">
        <v>4</v>
      </c>
      <c r="B237" s="7">
        <f t="shared" si="56"/>
        <v>2030</v>
      </c>
      <c r="C237" s="4" t="s">
        <v>51</v>
      </c>
      <c r="D237" s="5" t="s">
        <v>128</v>
      </c>
      <c r="E237" s="10" t="str">
        <f t="shared" si="24"/>
        <v>PRB'!</v>
      </c>
      <c r="F237" s="5" t="str">
        <f t="shared" si="48"/>
        <v>C:\Users\jaime.benazar\Quorum Business Solutions\Ecopetrol Prometeo - Documents\Planning Space Implementation\3. Analysis &amp; Design\Design\FC22\DRR Jaime\QUIFA-CAJÚA\Cajua\[VAS_CAJUA_CF_SEC_20230125.xlsx]CF PRB'!</v>
      </c>
      <c r="G237" s="7" t="s">
        <v>47</v>
      </c>
      <c r="H237" s="4">
        <f t="shared" si="26"/>
        <v>43</v>
      </c>
      <c r="I237" s="4" t="str">
        <f t="shared" si="25"/>
        <v>='C:\Users\jaime.benazar\Quorum Business Solutions\Ecopetrol Prometeo - Documents\Planning Space Implementation\3. Analysis &amp; Design\Design\FC22\DRR Jaime\QUIFA-CAJÚA\Cajua\[VAS_CAJUA_CF_SEC_20230125.xlsx]CF PRB'!$AY$43</v>
      </c>
      <c r="J237" s="4" t="s">
        <v>247</v>
      </c>
    </row>
    <row r="238" spans="1:10" x14ac:dyDescent="0.25">
      <c r="A238" s="7" t="s">
        <v>4</v>
      </c>
      <c r="B238" s="7">
        <f t="shared" si="56"/>
        <v>2031</v>
      </c>
      <c r="C238" s="4" t="s">
        <v>51</v>
      </c>
      <c r="D238" s="5" t="s">
        <v>128</v>
      </c>
      <c r="E238" s="10" t="str">
        <f t="shared" si="24"/>
        <v>PRB'!</v>
      </c>
      <c r="F238" s="5" t="str">
        <f t="shared" si="48"/>
        <v>C:\Users\jaime.benazar\Quorum Business Solutions\Ecopetrol Prometeo - Documents\Planning Space Implementation\3. Analysis &amp; Design\Design\FC22\DRR Jaime\QUIFA-CAJÚA\Cajua\[VAS_CAJUA_CF_SEC_20230125.xlsx]CF PRB'!</v>
      </c>
      <c r="G238" s="7" t="s">
        <v>47</v>
      </c>
      <c r="H238" s="4">
        <f t="shared" si="26"/>
        <v>44</v>
      </c>
      <c r="I238" s="4" t="str">
        <f t="shared" si="25"/>
        <v>='C:\Users\jaime.benazar\Quorum Business Solutions\Ecopetrol Prometeo - Documents\Planning Space Implementation\3. Analysis &amp; Design\Design\FC22\DRR Jaime\QUIFA-CAJÚA\Cajua\[VAS_CAJUA_CF_SEC_20230125.xlsx]CF PRB'!$AY$44</v>
      </c>
      <c r="J238" s="4" t="s">
        <v>248</v>
      </c>
    </row>
    <row r="239" spans="1:10" x14ac:dyDescent="0.25">
      <c r="A239" s="7" t="s">
        <v>4</v>
      </c>
      <c r="B239" s="7">
        <f t="shared" si="56"/>
        <v>2032</v>
      </c>
      <c r="C239" s="4" t="s">
        <v>51</v>
      </c>
      <c r="D239" s="5" t="s">
        <v>128</v>
      </c>
      <c r="E239" s="10" t="str">
        <f t="shared" si="24"/>
        <v>PRB'!</v>
      </c>
      <c r="F239" s="5" t="str">
        <f t="shared" si="48"/>
        <v>C:\Users\jaime.benazar\Quorum Business Solutions\Ecopetrol Prometeo - Documents\Planning Space Implementation\3. Analysis &amp; Design\Design\FC22\DRR Jaime\QUIFA-CAJÚA\Cajua\[VAS_CAJUA_CF_SEC_20230125.xlsx]CF PRB'!</v>
      </c>
      <c r="G239" s="7" t="s">
        <v>47</v>
      </c>
      <c r="H239" s="4">
        <f t="shared" si="26"/>
        <v>45</v>
      </c>
      <c r="I239" s="4" t="str">
        <f t="shared" si="25"/>
        <v>='C:\Users\jaime.benazar\Quorum Business Solutions\Ecopetrol Prometeo - Documents\Planning Space Implementation\3. Analysis &amp; Design\Design\FC22\DRR Jaime\QUIFA-CAJÚA\Cajua\[VAS_CAJUA_CF_SEC_20230125.xlsx]CF PRB'!$AY$45</v>
      </c>
      <c r="J239" s="4" t="s">
        <v>249</v>
      </c>
    </row>
    <row r="240" spans="1:10" x14ac:dyDescent="0.25">
      <c r="A240" s="7" t="s">
        <v>4</v>
      </c>
      <c r="B240" s="7">
        <f t="shared" si="56"/>
        <v>2033</v>
      </c>
      <c r="C240" s="4" t="s">
        <v>51</v>
      </c>
      <c r="D240" s="5" t="s">
        <v>128</v>
      </c>
      <c r="E240" s="10" t="str">
        <f t="shared" si="24"/>
        <v>PRB'!</v>
      </c>
      <c r="F240" s="5" t="str">
        <f t="shared" si="48"/>
        <v>C:\Users\jaime.benazar\Quorum Business Solutions\Ecopetrol Prometeo - Documents\Planning Space Implementation\3. Analysis &amp; Design\Design\FC22\DRR Jaime\QUIFA-CAJÚA\Cajua\[VAS_CAJUA_CF_SEC_20230125.xlsx]CF PRB'!</v>
      </c>
      <c r="G240" s="7" t="s">
        <v>47</v>
      </c>
      <c r="H240" s="4">
        <f t="shared" si="26"/>
        <v>46</v>
      </c>
      <c r="I240" s="4" t="str">
        <f t="shared" si="25"/>
        <v>='C:\Users\jaime.benazar\Quorum Business Solutions\Ecopetrol Prometeo - Documents\Planning Space Implementation\3. Analysis &amp; Design\Design\FC22\DRR Jaime\QUIFA-CAJÚA\Cajua\[VAS_CAJUA_CF_SEC_20230125.xlsx]CF PRB'!$AY$46</v>
      </c>
      <c r="J240" s="4" t="s">
        <v>250</v>
      </c>
    </row>
    <row r="241" spans="1:10" x14ac:dyDescent="0.25">
      <c r="A241" s="7" t="s">
        <v>4</v>
      </c>
      <c r="B241" s="7">
        <f t="shared" si="56"/>
        <v>2034</v>
      </c>
      <c r="C241" s="4" t="s">
        <v>51</v>
      </c>
      <c r="D241" s="5" t="s">
        <v>128</v>
      </c>
      <c r="E241" s="10" t="str">
        <f t="shared" si="24"/>
        <v>PRB'!</v>
      </c>
      <c r="F241" s="5" t="str">
        <f t="shared" si="48"/>
        <v>C:\Users\jaime.benazar\Quorum Business Solutions\Ecopetrol Prometeo - Documents\Planning Space Implementation\3. Analysis &amp; Design\Design\FC22\DRR Jaime\QUIFA-CAJÚA\Cajua\[VAS_CAJUA_CF_SEC_20230125.xlsx]CF PRB'!</v>
      </c>
      <c r="G241" s="7" t="s">
        <v>47</v>
      </c>
      <c r="H241" s="4">
        <f t="shared" si="26"/>
        <v>47</v>
      </c>
      <c r="I241" s="4" t="str">
        <f t="shared" si="25"/>
        <v>='C:\Users\jaime.benazar\Quorum Business Solutions\Ecopetrol Prometeo - Documents\Planning Space Implementation\3. Analysis &amp; Design\Design\FC22\DRR Jaime\QUIFA-CAJÚA\Cajua\[VAS_CAJUA_CF_SEC_20230125.xlsx]CF PRB'!$AY$47</v>
      </c>
      <c r="J241" s="4" t="s">
        <v>251</v>
      </c>
    </row>
    <row r="242" spans="1:10" x14ac:dyDescent="0.25">
      <c r="A242" s="7" t="s">
        <v>4</v>
      </c>
      <c r="B242" s="7">
        <f t="shared" si="56"/>
        <v>2035</v>
      </c>
      <c r="C242" s="4" t="s">
        <v>51</v>
      </c>
      <c r="D242" s="5" t="s">
        <v>128</v>
      </c>
      <c r="E242" s="10" t="str">
        <f t="shared" si="24"/>
        <v>PRB'!</v>
      </c>
      <c r="F242" s="5" t="str">
        <f t="shared" si="48"/>
        <v>C:\Users\jaime.benazar\Quorum Business Solutions\Ecopetrol Prometeo - Documents\Planning Space Implementation\3. Analysis &amp; Design\Design\FC22\DRR Jaime\QUIFA-CAJÚA\Cajua\[VAS_CAJUA_CF_SEC_20230125.xlsx]CF PRB'!</v>
      </c>
      <c r="G242" s="7" t="s">
        <v>47</v>
      </c>
      <c r="H242" s="4">
        <f t="shared" si="26"/>
        <v>48</v>
      </c>
      <c r="I242" s="4" t="str">
        <f t="shared" si="25"/>
        <v>='C:\Users\jaime.benazar\Quorum Business Solutions\Ecopetrol Prometeo - Documents\Planning Space Implementation\3. Analysis &amp; Design\Design\FC22\DRR Jaime\QUIFA-CAJÚA\Cajua\[VAS_CAJUA_CF_SEC_20230125.xlsx]CF PRB'!$AY$48</v>
      </c>
      <c r="J242" s="4" t="s">
        <v>252</v>
      </c>
    </row>
    <row r="243" spans="1:10" x14ac:dyDescent="0.25">
      <c r="A243" s="7" t="s">
        <v>4</v>
      </c>
      <c r="B243" s="7">
        <f t="shared" si="56"/>
        <v>2036</v>
      </c>
      <c r="C243" s="4" t="s">
        <v>51</v>
      </c>
      <c r="D243" s="5" t="s">
        <v>128</v>
      </c>
      <c r="E243" s="10" t="str">
        <f t="shared" si="24"/>
        <v>PRB'!</v>
      </c>
      <c r="F243" s="5" t="str">
        <f t="shared" si="48"/>
        <v>C:\Users\jaime.benazar\Quorum Business Solutions\Ecopetrol Prometeo - Documents\Planning Space Implementation\3. Analysis &amp; Design\Design\FC22\DRR Jaime\QUIFA-CAJÚA\Cajua\[VAS_CAJUA_CF_SEC_20230125.xlsx]CF PRB'!</v>
      </c>
      <c r="G243" s="7" t="s">
        <v>47</v>
      </c>
      <c r="H243" s="4">
        <f t="shared" si="26"/>
        <v>49</v>
      </c>
      <c r="I243" s="4" t="str">
        <f t="shared" si="25"/>
        <v>='C:\Users\jaime.benazar\Quorum Business Solutions\Ecopetrol Prometeo - Documents\Planning Space Implementation\3. Analysis &amp; Design\Design\FC22\DRR Jaime\QUIFA-CAJÚA\Cajua\[VAS_CAJUA_CF_SEC_20230125.xlsx]CF PRB'!$AY$49</v>
      </c>
      <c r="J243" s="4" t="s">
        <v>253</v>
      </c>
    </row>
    <row r="244" spans="1:10" x14ac:dyDescent="0.25">
      <c r="A244" s="7" t="s">
        <v>4</v>
      </c>
      <c r="B244" s="7">
        <f>+B243+1</f>
        <v>2037</v>
      </c>
      <c r="C244" s="4" t="s">
        <v>51</v>
      </c>
      <c r="D244" s="5" t="s">
        <v>128</v>
      </c>
      <c r="E244" s="10" t="str">
        <f t="shared" si="24"/>
        <v>PRB'!</v>
      </c>
      <c r="F244" s="5" t="str">
        <f t="shared" si="48"/>
        <v>C:\Users\jaime.benazar\Quorum Business Solutions\Ecopetrol Prometeo - Documents\Planning Space Implementation\3. Analysis &amp; Design\Design\FC22\DRR Jaime\QUIFA-CAJÚA\Cajua\[VAS_CAJUA_CF_SEC_20230125.xlsx]CF PRB'!</v>
      </c>
      <c r="G244" s="7" t="s">
        <v>47</v>
      </c>
      <c r="H244" s="4">
        <f t="shared" si="26"/>
        <v>50</v>
      </c>
      <c r="I244" s="4" t="str">
        <f t="shared" si="25"/>
        <v>='C:\Users\jaime.benazar\Quorum Business Solutions\Ecopetrol Prometeo - Documents\Planning Space Implementation\3. Analysis &amp; Design\Design\FC22\DRR Jaime\QUIFA-CAJÚA\Cajua\[VAS_CAJUA_CF_SEC_20230125.xlsx]CF PRB'!$AY$50</v>
      </c>
      <c r="J244" s="4" t="s">
        <v>254</v>
      </c>
    </row>
    <row r="245" spans="1:10" x14ac:dyDescent="0.25">
      <c r="A245" s="7" t="s">
        <v>4</v>
      </c>
      <c r="B245" s="7">
        <f t="shared" ref="B245:B247" si="57">+B244+1</f>
        <v>2038</v>
      </c>
      <c r="C245" s="4" t="s">
        <v>51</v>
      </c>
      <c r="D245" s="5" t="s">
        <v>128</v>
      </c>
      <c r="E245" s="10" t="str">
        <f t="shared" si="24"/>
        <v>PRB'!</v>
      </c>
      <c r="F245" s="5" t="str">
        <f t="shared" si="48"/>
        <v>C:\Users\jaime.benazar\Quorum Business Solutions\Ecopetrol Prometeo - Documents\Planning Space Implementation\3. Analysis &amp; Design\Design\FC22\DRR Jaime\QUIFA-CAJÚA\Cajua\[VAS_CAJUA_CF_SEC_20230125.xlsx]CF PRB'!</v>
      </c>
      <c r="G245" s="7" t="s">
        <v>47</v>
      </c>
      <c r="H245" s="4">
        <f t="shared" si="26"/>
        <v>51</v>
      </c>
      <c r="I245" s="4" t="str">
        <f t="shared" si="25"/>
        <v>='C:\Users\jaime.benazar\Quorum Business Solutions\Ecopetrol Prometeo - Documents\Planning Space Implementation\3. Analysis &amp; Design\Design\FC22\DRR Jaime\QUIFA-CAJÚA\Cajua\[VAS_CAJUA_CF_SEC_20230125.xlsx]CF PRB'!$AY$51</v>
      </c>
      <c r="J245" s="4" t="s">
        <v>255</v>
      </c>
    </row>
    <row r="246" spans="1:10" x14ac:dyDescent="0.25">
      <c r="A246" s="7" t="s">
        <v>4</v>
      </c>
      <c r="B246" s="7">
        <f t="shared" si="57"/>
        <v>2039</v>
      </c>
      <c r="C246" s="4" t="s">
        <v>51</v>
      </c>
      <c r="D246" s="5" t="s">
        <v>128</v>
      </c>
      <c r="E246" s="10" t="str">
        <f t="shared" si="24"/>
        <v>PRB'!</v>
      </c>
      <c r="F246" s="5" t="str">
        <f t="shared" si="48"/>
        <v>C:\Users\jaime.benazar\Quorum Business Solutions\Ecopetrol Prometeo - Documents\Planning Space Implementation\3. Analysis &amp; Design\Design\FC22\DRR Jaime\QUIFA-CAJÚA\Cajua\[VAS_CAJUA_CF_SEC_20230125.xlsx]CF PRB'!</v>
      </c>
      <c r="G246" s="7" t="s">
        <v>47</v>
      </c>
      <c r="H246" s="4">
        <f t="shared" si="26"/>
        <v>52</v>
      </c>
      <c r="I246" s="4" t="str">
        <f t="shared" si="25"/>
        <v>='C:\Users\jaime.benazar\Quorum Business Solutions\Ecopetrol Prometeo - Documents\Planning Space Implementation\3. Analysis &amp; Design\Design\FC22\DRR Jaime\QUIFA-CAJÚA\Cajua\[VAS_CAJUA_CF_SEC_20230125.xlsx]CF PRB'!$AY$52</v>
      </c>
      <c r="J246" s="4" t="s">
        <v>256</v>
      </c>
    </row>
    <row r="247" spans="1:10" x14ac:dyDescent="0.25">
      <c r="A247" s="7" t="s">
        <v>4</v>
      </c>
      <c r="B247" s="7">
        <f t="shared" si="57"/>
        <v>2040</v>
      </c>
      <c r="C247" s="4" t="s">
        <v>51</v>
      </c>
      <c r="D247" s="5" t="s">
        <v>128</v>
      </c>
      <c r="E247" s="10" t="str">
        <f t="shared" si="24"/>
        <v>PRB'!</v>
      </c>
      <c r="F247" s="5" t="str">
        <f t="shared" si="48"/>
        <v>C:\Users\jaime.benazar\Quorum Business Solutions\Ecopetrol Prometeo - Documents\Planning Space Implementation\3. Analysis &amp; Design\Design\FC22\DRR Jaime\QUIFA-CAJÚA\Cajua\[VAS_CAJUA_CF_SEC_20230125.xlsx]CF PRB'!</v>
      </c>
      <c r="G247" s="7" t="s">
        <v>47</v>
      </c>
      <c r="H247" s="4">
        <f t="shared" si="26"/>
        <v>53</v>
      </c>
      <c r="I247" s="4" t="str">
        <f t="shared" si="25"/>
        <v>='C:\Users\jaime.benazar\Quorum Business Solutions\Ecopetrol Prometeo - Documents\Planning Space Implementation\3. Analysis &amp; Design\Design\FC22\DRR Jaime\QUIFA-CAJÚA\Cajua\[VAS_CAJUA_CF_SEC_20230125.xlsx]CF PRB'!$AY$53</v>
      </c>
      <c r="J247" s="4" t="s">
        <v>257</v>
      </c>
    </row>
    <row r="248" spans="1:10" x14ac:dyDescent="0.25">
      <c r="A248" s="7" t="s">
        <v>4</v>
      </c>
      <c r="B248" s="7">
        <f>+B247+1</f>
        <v>2041</v>
      </c>
      <c r="C248" s="4" t="s">
        <v>51</v>
      </c>
      <c r="D248" s="5" t="s">
        <v>128</v>
      </c>
      <c r="E248" s="10" t="str">
        <f t="shared" si="24"/>
        <v>PRB'!</v>
      </c>
      <c r="F248" s="5" t="str">
        <f t="shared" si="48"/>
        <v>C:\Users\jaime.benazar\Quorum Business Solutions\Ecopetrol Prometeo - Documents\Planning Space Implementation\3. Analysis &amp; Design\Design\FC22\DRR Jaime\QUIFA-CAJÚA\Cajua\[VAS_CAJUA_CF_SEC_20230125.xlsx]CF PRB'!</v>
      </c>
      <c r="G248" s="7" t="s">
        <v>47</v>
      </c>
      <c r="H248" s="4">
        <f t="shared" si="26"/>
        <v>54</v>
      </c>
      <c r="I248" s="4" t="str">
        <f t="shared" si="25"/>
        <v>='C:\Users\jaime.benazar\Quorum Business Solutions\Ecopetrol Prometeo - Documents\Planning Space Implementation\3. Analysis &amp; Design\Design\FC22\DRR Jaime\QUIFA-CAJÚA\Cajua\[VAS_CAJUA_CF_SEC_20230125.xlsx]CF PRB'!$AY$54</v>
      </c>
      <c r="J248" s="4" t="s">
        <v>258</v>
      </c>
    </row>
    <row r="249" spans="1:10" x14ac:dyDescent="0.25">
      <c r="A249" s="7" t="s">
        <v>4</v>
      </c>
      <c r="B249" s="7">
        <f t="shared" ref="B249:B250" si="58">+B248+1</f>
        <v>2042</v>
      </c>
      <c r="C249" s="4" t="s">
        <v>51</v>
      </c>
      <c r="D249" s="5" t="s">
        <v>128</v>
      </c>
      <c r="E249" s="10" t="str">
        <f t="shared" si="24"/>
        <v>PRB'!</v>
      </c>
      <c r="F249" s="5" t="str">
        <f t="shared" si="48"/>
        <v>C:\Users\jaime.benazar\Quorum Business Solutions\Ecopetrol Prometeo - Documents\Planning Space Implementation\3. Analysis &amp; Design\Design\FC22\DRR Jaime\QUIFA-CAJÚA\Cajua\[VAS_CAJUA_CF_SEC_20230125.xlsx]CF PRB'!</v>
      </c>
      <c r="G249" s="7" t="s">
        <v>47</v>
      </c>
      <c r="H249" s="4">
        <f t="shared" si="26"/>
        <v>55</v>
      </c>
      <c r="I249" s="4" t="str">
        <f t="shared" si="25"/>
        <v>='C:\Users\jaime.benazar\Quorum Business Solutions\Ecopetrol Prometeo - Documents\Planning Space Implementation\3. Analysis &amp; Design\Design\FC22\DRR Jaime\QUIFA-CAJÚA\Cajua\[VAS_CAJUA_CF_SEC_20230125.xlsx]CF PRB'!$AY$55</v>
      </c>
      <c r="J249" s="4" t="s">
        <v>259</v>
      </c>
    </row>
    <row r="250" spans="1:10" x14ac:dyDescent="0.25">
      <c r="A250" s="7" t="s">
        <v>4</v>
      </c>
      <c r="B250" s="7">
        <f t="shared" si="58"/>
        <v>2043</v>
      </c>
      <c r="C250" s="4" t="s">
        <v>51</v>
      </c>
      <c r="D250" s="5" t="s">
        <v>128</v>
      </c>
      <c r="E250" s="10" t="str">
        <f t="shared" si="24"/>
        <v>PRB'!</v>
      </c>
      <c r="F250" s="5" t="str">
        <f t="shared" si="48"/>
        <v>C:\Users\jaime.benazar\Quorum Business Solutions\Ecopetrol Prometeo - Documents\Planning Space Implementation\3. Analysis &amp; Design\Design\FC22\DRR Jaime\QUIFA-CAJÚA\Cajua\[VAS_CAJUA_CF_SEC_20230125.xlsx]CF PRB'!</v>
      </c>
      <c r="G250" s="7" t="s">
        <v>47</v>
      </c>
      <c r="H250" s="4">
        <f t="shared" si="26"/>
        <v>56</v>
      </c>
      <c r="I250" s="4" t="str">
        <f t="shared" si="25"/>
        <v>='C:\Users\jaime.benazar\Quorum Business Solutions\Ecopetrol Prometeo - Documents\Planning Space Implementation\3. Analysis &amp; Design\Design\FC22\DRR Jaime\QUIFA-CAJÚA\Cajua\[VAS_CAJUA_CF_SEC_20230125.xlsx]CF PRB'!$AY$56</v>
      </c>
      <c r="J250" s="4" t="s">
        <v>260</v>
      </c>
    </row>
    <row r="251" spans="1:10" x14ac:dyDescent="0.25">
      <c r="A251" s="7" t="s">
        <v>4</v>
      </c>
      <c r="B251" s="7">
        <f>+B250+1</f>
        <v>2044</v>
      </c>
      <c r="C251" s="4" t="s">
        <v>51</v>
      </c>
      <c r="D251" s="5" t="s">
        <v>128</v>
      </c>
      <c r="E251" s="10" t="str">
        <f t="shared" ref="E251:E266" si="59">_xlfn.CONCAT(A251,"'!")</f>
        <v>PRB'!</v>
      </c>
      <c r="F251" s="5" t="str">
        <f t="shared" ref="F251:F266" si="60">_xlfn.CONCAT(D251," ",E251)</f>
        <v>C:\Users\jaime.benazar\Quorum Business Solutions\Ecopetrol Prometeo - Documents\Planning Space Implementation\3. Analysis &amp; Design\Design\FC22\DRR Jaime\QUIFA-CAJÚA\Cajua\[VAS_CAJUA_CF_SEC_20230125.xlsx]CF PRB'!</v>
      </c>
      <c r="G251" s="7" t="s">
        <v>47</v>
      </c>
      <c r="H251" s="4">
        <f t="shared" ref="H251:H266" si="61">IF(A251&lt;&gt;A250,36,H250+1)</f>
        <v>57</v>
      </c>
      <c r="I251" s="4" t="str">
        <f t="shared" ref="I251:I266" si="62">_xlfn.CONCAT("='",F251:H251)</f>
        <v>='C:\Users\jaime.benazar\Quorum Business Solutions\Ecopetrol Prometeo - Documents\Planning Space Implementation\3. Analysis &amp; Design\Design\FC22\DRR Jaime\QUIFA-CAJÚA\Cajua\[VAS_CAJUA_CF_SEC_20230125.xlsx]CF PRB'!$AY$57</v>
      </c>
      <c r="J251" s="4" t="s">
        <v>261</v>
      </c>
    </row>
    <row r="252" spans="1:10" x14ac:dyDescent="0.25">
      <c r="A252" s="7" t="s">
        <v>4</v>
      </c>
      <c r="B252" s="7">
        <f t="shared" ref="B252:B266" si="63">+B251+1</f>
        <v>2045</v>
      </c>
      <c r="C252" s="4" t="s">
        <v>51</v>
      </c>
      <c r="D252" s="5" t="s">
        <v>128</v>
      </c>
      <c r="E252" s="10" t="str">
        <f t="shared" si="59"/>
        <v>PRB'!</v>
      </c>
      <c r="F252" s="5" t="str">
        <f t="shared" si="60"/>
        <v>C:\Users\jaime.benazar\Quorum Business Solutions\Ecopetrol Prometeo - Documents\Planning Space Implementation\3. Analysis &amp; Design\Design\FC22\DRR Jaime\QUIFA-CAJÚA\Cajua\[VAS_CAJUA_CF_SEC_20230125.xlsx]CF PRB'!</v>
      </c>
      <c r="G252" s="7" t="s">
        <v>47</v>
      </c>
      <c r="H252" s="4">
        <f t="shared" si="61"/>
        <v>58</v>
      </c>
      <c r="I252" s="4" t="str">
        <f t="shared" si="62"/>
        <v>='C:\Users\jaime.benazar\Quorum Business Solutions\Ecopetrol Prometeo - Documents\Planning Space Implementation\3. Analysis &amp; Design\Design\FC22\DRR Jaime\QUIFA-CAJÚA\Cajua\[VAS_CAJUA_CF_SEC_20230125.xlsx]CF PRB'!$AY$58</v>
      </c>
      <c r="J252" s="4" t="s">
        <v>262</v>
      </c>
    </row>
    <row r="253" spans="1:10" x14ac:dyDescent="0.25">
      <c r="A253" s="7" t="s">
        <v>4</v>
      </c>
      <c r="B253" s="7">
        <f t="shared" si="63"/>
        <v>2046</v>
      </c>
      <c r="C253" s="4" t="s">
        <v>51</v>
      </c>
      <c r="D253" s="5" t="s">
        <v>128</v>
      </c>
      <c r="E253" s="10" t="str">
        <f t="shared" si="59"/>
        <v>PRB'!</v>
      </c>
      <c r="F253" s="5" t="str">
        <f t="shared" si="60"/>
        <v>C:\Users\jaime.benazar\Quorum Business Solutions\Ecopetrol Prometeo - Documents\Planning Space Implementation\3. Analysis &amp; Design\Design\FC22\DRR Jaime\QUIFA-CAJÚA\Cajua\[VAS_CAJUA_CF_SEC_20230125.xlsx]CF PRB'!</v>
      </c>
      <c r="G253" s="7" t="s">
        <v>47</v>
      </c>
      <c r="H253" s="4">
        <f t="shared" si="61"/>
        <v>59</v>
      </c>
      <c r="I253" s="4" t="str">
        <f t="shared" si="62"/>
        <v>='C:\Users\jaime.benazar\Quorum Business Solutions\Ecopetrol Prometeo - Documents\Planning Space Implementation\3. Analysis &amp; Design\Design\FC22\DRR Jaime\QUIFA-CAJÚA\Cajua\[VAS_CAJUA_CF_SEC_20230125.xlsx]CF PRB'!$AY$59</v>
      </c>
      <c r="J253" s="4" t="s">
        <v>263</v>
      </c>
    </row>
    <row r="254" spans="1:10" x14ac:dyDescent="0.25">
      <c r="A254" s="7" t="s">
        <v>4</v>
      </c>
      <c r="B254" s="7">
        <f t="shared" si="63"/>
        <v>2047</v>
      </c>
      <c r="C254" s="4" t="s">
        <v>51</v>
      </c>
      <c r="D254" s="5" t="s">
        <v>128</v>
      </c>
      <c r="E254" s="10" t="str">
        <f t="shared" si="59"/>
        <v>PRB'!</v>
      </c>
      <c r="F254" s="5" t="str">
        <f t="shared" si="60"/>
        <v>C:\Users\jaime.benazar\Quorum Business Solutions\Ecopetrol Prometeo - Documents\Planning Space Implementation\3. Analysis &amp; Design\Design\FC22\DRR Jaime\QUIFA-CAJÚA\Cajua\[VAS_CAJUA_CF_SEC_20230125.xlsx]CF PRB'!</v>
      </c>
      <c r="G254" s="7" t="s">
        <v>47</v>
      </c>
      <c r="H254" s="4">
        <f t="shared" si="61"/>
        <v>60</v>
      </c>
      <c r="I254" s="4" t="str">
        <f t="shared" si="62"/>
        <v>='C:\Users\jaime.benazar\Quorum Business Solutions\Ecopetrol Prometeo - Documents\Planning Space Implementation\3. Analysis &amp; Design\Design\FC22\DRR Jaime\QUIFA-CAJÚA\Cajua\[VAS_CAJUA_CF_SEC_20230125.xlsx]CF PRB'!$AY$60</v>
      </c>
      <c r="J254" s="4" t="s">
        <v>264</v>
      </c>
    </row>
    <row r="255" spans="1:10" x14ac:dyDescent="0.25">
      <c r="A255" s="7" t="s">
        <v>4</v>
      </c>
      <c r="B255" s="7">
        <f t="shared" si="63"/>
        <v>2048</v>
      </c>
      <c r="C255" s="4" t="s">
        <v>51</v>
      </c>
      <c r="D255" s="5" t="s">
        <v>128</v>
      </c>
      <c r="E255" s="10" t="str">
        <f t="shared" si="59"/>
        <v>PRB'!</v>
      </c>
      <c r="F255" s="5" t="str">
        <f t="shared" si="60"/>
        <v>C:\Users\jaime.benazar\Quorum Business Solutions\Ecopetrol Prometeo - Documents\Planning Space Implementation\3. Analysis &amp; Design\Design\FC22\DRR Jaime\QUIFA-CAJÚA\Cajua\[VAS_CAJUA_CF_SEC_20230125.xlsx]CF PRB'!</v>
      </c>
      <c r="G255" s="7" t="s">
        <v>47</v>
      </c>
      <c r="H255" s="4">
        <f t="shared" si="61"/>
        <v>61</v>
      </c>
      <c r="I255" s="4" t="str">
        <f t="shared" si="62"/>
        <v>='C:\Users\jaime.benazar\Quorum Business Solutions\Ecopetrol Prometeo - Documents\Planning Space Implementation\3. Analysis &amp; Design\Design\FC22\DRR Jaime\QUIFA-CAJÚA\Cajua\[VAS_CAJUA_CF_SEC_20230125.xlsx]CF PRB'!$AY$61</v>
      </c>
      <c r="J255" s="4" t="s">
        <v>265</v>
      </c>
    </row>
    <row r="256" spans="1:10" x14ac:dyDescent="0.25">
      <c r="A256" s="7" t="s">
        <v>4</v>
      </c>
      <c r="B256" s="7">
        <f t="shared" si="63"/>
        <v>2049</v>
      </c>
      <c r="C256" s="4" t="s">
        <v>51</v>
      </c>
      <c r="D256" s="5" t="s">
        <v>128</v>
      </c>
      <c r="E256" s="10" t="str">
        <f t="shared" si="59"/>
        <v>PRB'!</v>
      </c>
      <c r="F256" s="5" t="str">
        <f t="shared" si="60"/>
        <v>C:\Users\jaime.benazar\Quorum Business Solutions\Ecopetrol Prometeo - Documents\Planning Space Implementation\3. Analysis &amp; Design\Design\FC22\DRR Jaime\QUIFA-CAJÚA\Cajua\[VAS_CAJUA_CF_SEC_20230125.xlsx]CF PRB'!</v>
      </c>
      <c r="G256" s="7" t="s">
        <v>47</v>
      </c>
      <c r="H256" s="4">
        <f t="shared" si="61"/>
        <v>62</v>
      </c>
      <c r="I256" s="4" t="str">
        <f t="shared" si="62"/>
        <v>='C:\Users\jaime.benazar\Quorum Business Solutions\Ecopetrol Prometeo - Documents\Planning Space Implementation\3. Analysis &amp; Design\Design\FC22\DRR Jaime\QUIFA-CAJÚA\Cajua\[VAS_CAJUA_CF_SEC_20230125.xlsx]CF PRB'!$AY$62</v>
      </c>
      <c r="J256" s="4" t="s">
        <v>266</v>
      </c>
    </row>
    <row r="257" spans="1:10" x14ac:dyDescent="0.25">
      <c r="A257" s="7" t="s">
        <v>4</v>
      </c>
      <c r="B257" s="7">
        <f t="shared" si="63"/>
        <v>2050</v>
      </c>
      <c r="C257" s="4" t="s">
        <v>51</v>
      </c>
      <c r="D257" s="5" t="s">
        <v>128</v>
      </c>
      <c r="E257" s="10" t="str">
        <f t="shared" si="59"/>
        <v>PRB'!</v>
      </c>
      <c r="F257" s="5" t="str">
        <f t="shared" si="60"/>
        <v>C:\Users\jaime.benazar\Quorum Business Solutions\Ecopetrol Prometeo - Documents\Planning Space Implementation\3. Analysis &amp; Design\Design\FC22\DRR Jaime\QUIFA-CAJÚA\Cajua\[VAS_CAJUA_CF_SEC_20230125.xlsx]CF PRB'!</v>
      </c>
      <c r="G257" s="7" t="s">
        <v>47</v>
      </c>
      <c r="H257" s="4">
        <f t="shared" si="61"/>
        <v>63</v>
      </c>
      <c r="I257" s="4" t="str">
        <f t="shared" si="62"/>
        <v>='C:\Users\jaime.benazar\Quorum Business Solutions\Ecopetrol Prometeo - Documents\Planning Space Implementation\3. Analysis &amp; Design\Design\FC22\DRR Jaime\QUIFA-CAJÚA\Cajua\[VAS_CAJUA_CF_SEC_20230125.xlsx]CF PRB'!$AY$63</v>
      </c>
      <c r="J257" s="4" t="s">
        <v>267</v>
      </c>
    </row>
    <row r="258" spans="1:10" x14ac:dyDescent="0.25">
      <c r="A258" s="7" t="s">
        <v>4</v>
      </c>
      <c r="B258" s="7">
        <f t="shared" si="63"/>
        <v>2051</v>
      </c>
      <c r="C258" s="4" t="s">
        <v>51</v>
      </c>
      <c r="D258" s="5" t="s">
        <v>128</v>
      </c>
      <c r="E258" s="10" t="str">
        <f t="shared" si="59"/>
        <v>PRB'!</v>
      </c>
      <c r="F258" s="5" t="str">
        <f t="shared" si="60"/>
        <v>C:\Users\jaime.benazar\Quorum Business Solutions\Ecopetrol Prometeo - Documents\Planning Space Implementation\3. Analysis &amp; Design\Design\FC22\DRR Jaime\QUIFA-CAJÚA\Cajua\[VAS_CAJUA_CF_SEC_20230125.xlsx]CF PRB'!</v>
      </c>
      <c r="G258" s="7" t="s">
        <v>47</v>
      </c>
      <c r="H258" s="4">
        <f t="shared" si="61"/>
        <v>64</v>
      </c>
      <c r="I258" s="4" t="str">
        <f t="shared" si="62"/>
        <v>='C:\Users\jaime.benazar\Quorum Business Solutions\Ecopetrol Prometeo - Documents\Planning Space Implementation\3. Analysis &amp; Design\Design\FC22\DRR Jaime\QUIFA-CAJÚA\Cajua\[VAS_CAJUA_CF_SEC_20230125.xlsx]CF PRB'!$AY$64</v>
      </c>
      <c r="J258" s="4" t="s">
        <v>268</v>
      </c>
    </row>
    <row r="259" spans="1:10" x14ac:dyDescent="0.25">
      <c r="A259" s="7" t="s">
        <v>4</v>
      </c>
      <c r="B259" s="7">
        <f t="shared" si="63"/>
        <v>2052</v>
      </c>
      <c r="C259" s="4" t="s">
        <v>51</v>
      </c>
      <c r="D259" s="5" t="s">
        <v>128</v>
      </c>
      <c r="E259" s="10" t="str">
        <f t="shared" si="59"/>
        <v>PRB'!</v>
      </c>
      <c r="F259" s="5" t="str">
        <f t="shared" si="60"/>
        <v>C:\Users\jaime.benazar\Quorum Business Solutions\Ecopetrol Prometeo - Documents\Planning Space Implementation\3. Analysis &amp; Design\Design\FC22\DRR Jaime\QUIFA-CAJÚA\Cajua\[VAS_CAJUA_CF_SEC_20230125.xlsx]CF PRB'!</v>
      </c>
      <c r="G259" s="7" t="s">
        <v>47</v>
      </c>
      <c r="H259" s="4">
        <f t="shared" si="61"/>
        <v>65</v>
      </c>
      <c r="I259" s="4" t="str">
        <f t="shared" si="62"/>
        <v>='C:\Users\jaime.benazar\Quorum Business Solutions\Ecopetrol Prometeo - Documents\Planning Space Implementation\3. Analysis &amp; Design\Design\FC22\DRR Jaime\QUIFA-CAJÚA\Cajua\[VAS_CAJUA_CF_SEC_20230125.xlsx]CF PRB'!$AY$65</v>
      </c>
      <c r="J259" s="4" t="s">
        <v>269</v>
      </c>
    </row>
    <row r="260" spans="1:10" x14ac:dyDescent="0.25">
      <c r="A260" s="7" t="s">
        <v>4</v>
      </c>
      <c r="B260" s="7">
        <f t="shared" si="63"/>
        <v>2053</v>
      </c>
      <c r="C260" s="4" t="s">
        <v>51</v>
      </c>
      <c r="D260" s="5" t="s">
        <v>128</v>
      </c>
      <c r="E260" s="10" t="str">
        <f t="shared" si="59"/>
        <v>PRB'!</v>
      </c>
      <c r="F260" s="5" t="str">
        <f t="shared" si="60"/>
        <v>C:\Users\jaime.benazar\Quorum Business Solutions\Ecopetrol Prometeo - Documents\Planning Space Implementation\3. Analysis &amp; Design\Design\FC22\DRR Jaime\QUIFA-CAJÚA\Cajua\[VAS_CAJUA_CF_SEC_20230125.xlsx]CF PRB'!</v>
      </c>
      <c r="G260" s="7" t="s">
        <v>47</v>
      </c>
      <c r="H260" s="4">
        <f t="shared" si="61"/>
        <v>66</v>
      </c>
      <c r="I260" s="4" t="str">
        <f t="shared" si="62"/>
        <v>='C:\Users\jaime.benazar\Quorum Business Solutions\Ecopetrol Prometeo - Documents\Planning Space Implementation\3. Analysis &amp; Design\Design\FC22\DRR Jaime\QUIFA-CAJÚA\Cajua\[VAS_CAJUA_CF_SEC_20230125.xlsx]CF PRB'!$AY$66</v>
      </c>
      <c r="J260" s="4" t="s">
        <v>270</v>
      </c>
    </row>
    <row r="261" spans="1:10" x14ac:dyDescent="0.25">
      <c r="A261" s="7" t="s">
        <v>4</v>
      </c>
      <c r="B261" s="7">
        <f t="shared" si="63"/>
        <v>2054</v>
      </c>
      <c r="C261" s="4" t="s">
        <v>51</v>
      </c>
      <c r="D261" s="5" t="s">
        <v>128</v>
      </c>
      <c r="E261" s="10" t="str">
        <f t="shared" si="59"/>
        <v>PRB'!</v>
      </c>
      <c r="F261" s="5" t="str">
        <f t="shared" si="60"/>
        <v>C:\Users\jaime.benazar\Quorum Business Solutions\Ecopetrol Prometeo - Documents\Planning Space Implementation\3. Analysis &amp; Design\Design\FC22\DRR Jaime\QUIFA-CAJÚA\Cajua\[VAS_CAJUA_CF_SEC_20230125.xlsx]CF PRB'!</v>
      </c>
      <c r="G261" s="7" t="s">
        <v>47</v>
      </c>
      <c r="H261" s="4">
        <f t="shared" si="61"/>
        <v>67</v>
      </c>
      <c r="I261" s="4" t="str">
        <f t="shared" si="62"/>
        <v>='C:\Users\jaime.benazar\Quorum Business Solutions\Ecopetrol Prometeo - Documents\Planning Space Implementation\3. Analysis &amp; Design\Design\FC22\DRR Jaime\QUIFA-CAJÚA\Cajua\[VAS_CAJUA_CF_SEC_20230125.xlsx]CF PRB'!$AY$67</v>
      </c>
      <c r="J261" s="4" t="s">
        <v>271</v>
      </c>
    </row>
    <row r="262" spans="1:10" x14ac:dyDescent="0.25">
      <c r="A262" s="7" t="s">
        <v>4</v>
      </c>
      <c r="B262" s="7">
        <f t="shared" si="63"/>
        <v>2055</v>
      </c>
      <c r="C262" s="4" t="s">
        <v>51</v>
      </c>
      <c r="D262" s="5" t="s">
        <v>128</v>
      </c>
      <c r="E262" s="10" t="str">
        <f t="shared" si="59"/>
        <v>PRB'!</v>
      </c>
      <c r="F262" s="5" t="str">
        <f t="shared" si="60"/>
        <v>C:\Users\jaime.benazar\Quorum Business Solutions\Ecopetrol Prometeo - Documents\Planning Space Implementation\3. Analysis &amp; Design\Design\FC22\DRR Jaime\QUIFA-CAJÚA\Cajua\[VAS_CAJUA_CF_SEC_20230125.xlsx]CF PRB'!</v>
      </c>
      <c r="G262" s="7" t="s">
        <v>47</v>
      </c>
      <c r="H262" s="4">
        <f t="shared" si="61"/>
        <v>68</v>
      </c>
      <c r="I262" s="4" t="str">
        <f t="shared" si="62"/>
        <v>='C:\Users\jaime.benazar\Quorum Business Solutions\Ecopetrol Prometeo - Documents\Planning Space Implementation\3. Analysis &amp; Design\Design\FC22\DRR Jaime\QUIFA-CAJÚA\Cajua\[VAS_CAJUA_CF_SEC_20230125.xlsx]CF PRB'!$AY$68</v>
      </c>
      <c r="J262" s="4" t="s">
        <v>272</v>
      </c>
    </row>
    <row r="263" spans="1:10" x14ac:dyDescent="0.25">
      <c r="A263" s="7" t="s">
        <v>4</v>
      </c>
      <c r="B263" s="7">
        <f t="shared" si="63"/>
        <v>2056</v>
      </c>
      <c r="C263" s="4" t="s">
        <v>51</v>
      </c>
      <c r="D263" s="5" t="s">
        <v>128</v>
      </c>
      <c r="E263" s="10" t="str">
        <f t="shared" si="59"/>
        <v>PRB'!</v>
      </c>
      <c r="F263" s="5" t="str">
        <f t="shared" si="60"/>
        <v>C:\Users\jaime.benazar\Quorum Business Solutions\Ecopetrol Prometeo - Documents\Planning Space Implementation\3. Analysis &amp; Design\Design\FC22\DRR Jaime\QUIFA-CAJÚA\Cajua\[VAS_CAJUA_CF_SEC_20230125.xlsx]CF PRB'!</v>
      </c>
      <c r="G263" s="7" t="s">
        <v>47</v>
      </c>
      <c r="H263" s="4">
        <f t="shared" si="61"/>
        <v>69</v>
      </c>
      <c r="I263" s="4" t="str">
        <f t="shared" si="62"/>
        <v>='C:\Users\jaime.benazar\Quorum Business Solutions\Ecopetrol Prometeo - Documents\Planning Space Implementation\3. Analysis &amp; Design\Design\FC22\DRR Jaime\QUIFA-CAJÚA\Cajua\[VAS_CAJUA_CF_SEC_20230125.xlsx]CF PRB'!$AY$69</v>
      </c>
      <c r="J263" s="4" t="s">
        <v>273</v>
      </c>
    </row>
    <row r="264" spans="1:10" x14ac:dyDescent="0.25">
      <c r="A264" s="7" t="s">
        <v>4</v>
      </c>
      <c r="B264" s="7">
        <f t="shared" si="63"/>
        <v>2057</v>
      </c>
      <c r="C264" s="4" t="s">
        <v>51</v>
      </c>
      <c r="D264" s="5" t="s">
        <v>128</v>
      </c>
      <c r="E264" s="10" t="str">
        <f t="shared" si="59"/>
        <v>PRB'!</v>
      </c>
      <c r="F264" s="5" t="str">
        <f t="shared" si="60"/>
        <v>C:\Users\jaime.benazar\Quorum Business Solutions\Ecopetrol Prometeo - Documents\Planning Space Implementation\3. Analysis &amp; Design\Design\FC22\DRR Jaime\QUIFA-CAJÚA\Cajua\[VAS_CAJUA_CF_SEC_20230125.xlsx]CF PRB'!</v>
      </c>
      <c r="G264" s="7" t="s">
        <v>47</v>
      </c>
      <c r="H264" s="4">
        <f t="shared" si="61"/>
        <v>70</v>
      </c>
      <c r="I264" s="4" t="str">
        <f t="shared" si="62"/>
        <v>='C:\Users\jaime.benazar\Quorum Business Solutions\Ecopetrol Prometeo - Documents\Planning Space Implementation\3. Analysis &amp; Design\Design\FC22\DRR Jaime\QUIFA-CAJÚA\Cajua\[VAS_CAJUA_CF_SEC_20230125.xlsx]CF PRB'!$AY$70</v>
      </c>
      <c r="J264" s="4" t="s">
        <v>274</v>
      </c>
    </row>
    <row r="265" spans="1:10" x14ac:dyDescent="0.25">
      <c r="A265" s="7" t="s">
        <v>4</v>
      </c>
      <c r="B265" s="7">
        <f t="shared" si="63"/>
        <v>2058</v>
      </c>
      <c r="C265" s="4" t="s">
        <v>51</v>
      </c>
      <c r="D265" s="5" t="s">
        <v>128</v>
      </c>
      <c r="E265" s="10" t="str">
        <f t="shared" si="59"/>
        <v>PRB'!</v>
      </c>
      <c r="F265" s="5" t="str">
        <f t="shared" si="60"/>
        <v>C:\Users\jaime.benazar\Quorum Business Solutions\Ecopetrol Prometeo - Documents\Planning Space Implementation\3. Analysis &amp; Design\Design\FC22\DRR Jaime\QUIFA-CAJÚA\Cajua\[VAS_CAJUA_CF_SEC_20230125.xlsx]CF PRB'!</v>
      </c>
      <c r="G265" s="7" t="s">
        <v>47</v>
      </c>
      <c r="H265" s="4">
        <f t="shared" si="61"/>
        <v>71</v>
      </c>
      <c r="I265" s="4" t="str">
        <f t="shared" si="62"/>
        <v>='C:\Users\jaime.benazar\Quorum Business Solutions\Ecopetrol Prometeo - Documents\Planning Space Implementation\3. Analysis &amp; Design\Design\FC22\DRR Jaime\QUIFA-CAJÚA\Cajua\[VAS_CAJUA_CF_SEC_20230125.xlsx]CF PRB'!$AY$71</v>
      </c>
      <c r="J265" s="4" t="s">
        <v>275</v>
      </c>
    </row>
    <row r="266" spans="1:10" x14ac:dyDescent="0.25">
      <c r="A266" s="7" t="s">
        <v>4</v>
      </c>
      <c r="B266" s="7">
        <f t="shared" si="63"/>
        <v>2059</v>
      </c>
      <c r="C266" s="4" t="s">
        <v>51</v>
      </c>
      <c r="D266" s="5" t="s">
        <v>128</v>
      </c>
      <c r="E266" s="10" t="str">
        <f t="shared" si="59"/>
        <v>PRB'!</v>
      </c>
      <c r="F266" s="5" t="str">
        <f t="shared" si="60"/>
        <v>C:\Users\jaime.benazar\Quorum Business Solutions\Ecopetrol Prometeo - Documents\Planning Space Implementation\3. Analysis &amp; Design\Design\FC22\DRR Jaime\QUIFA-CAJÚA\Cajua\[VAS_CAJUA_CF_SEC_20230125.xlsx]CF PRB'!</v>
      </c>
      <c r="G266" s="7" t="s">
        <v>47</v>
      </c>
      <c r="H266" s="4">
        <f t="shared" si="61"/>
        <v>72</v>
      </c>
      <c r="I266" s="4" t="str">
        <f t="shared" si="62"/>
        <v>='C:\Users\jaime.benazar\Quorum Business Solutions\Ecopetrol Prometeo - Documents\Planning Space Implementation\3. Analysis &amp; Design\Design\FC22\DRR Jaime\QUIFA-CAJÚA\Cajua\[VAS_CAJUA_CF_SEC_20230125.xlsx]CF PRB'!$AY$72</v>
      </c>
      <c r="J266" s="4" t="s">
        <v>276</v>
      </c>
    </row>
    <row r="267" spans="1:10" x14ac:dyDescent="0.25">
      <c r="A267" s="7" t="s">
        <v>28</v>
      </c>
      <c r="B267" s="7"/>
      <c r="C267" s="4" t="s">
        <v>51</v>
      </c>
      <c r="D267" s="5"/>
      <c r="E267" s="10"/>
      <c r="F267" s="5" t="str">
        <f t="shared" si="48"/>
        <v xml:space="preserve"> </v>
      </c>
      <c r="G267" s="7"/>
      <c r="H267" s="4"/>
      <c r="I267" s="4"/>
      <c r="J267" s="4"/>
    </row>
    <row r="268" spans="1:10" x14ac:dyDescent="0.25">
      <c r="A268" s="7" t="s">
        <v>102</v>
      </c>
      <c r="B268" s="7">
        <v>2023</v>
      </c>
      <c r="C268" s="4" t="s">
        <v>51</v>
      </c>
      <c r="D268" s="5" t="s">
        <v>128</v>
      </c>
      <c r="E268" s="10" t="str">
        <f t="shared" ref="E268:E288" si="64">_xlfn.CONCAT(A268,"'!")</f>
        <v>PSDP'!</v>
      </c>
      <c r="F268" s="5" t="str">
        <f t="shared" si="48"/>
        <v>C:\Users\jaime.benazar\Quorum Business Solutions\Ecopetrol Prometeo - Documents\Planning Space Implementation\3. Analysis &amp; Design\Design\FC22\DRR Jaime\QUIFA-CAJÚA\Cajua\[VAS_CAJUA_CF_SEC_20230125.xlsx]CF PSDP'!</v>
      </c>
      <c r="G268" s="7" t="s">
        <v>47</v>
      </c>
      <c r="H268" s="4"/>
      <c r="I268" s="4"/>
      <c r="J268" s="4"/>
    </row>
    <row r="269" spans="1:10" x14ac:dyDescent="0.25">
      <c r="A269" s="7" t="s">
        <v>102</v>
      </c>
      <c r="B269" s="7">
        <f>+B268+1</f>
        <v>2024</v>
      </c>
      <c r="C269" s="4" t="s">
        <v>51</v>
      </c>
      <c r="D269" s="5" t="s">
        <v>128</v>
      </c>
      <c r="E269" s="10" t="str">
        <f t="shared" si="64"/>
        <v>PSDP'!</v>
      </c>
      <c r="F269" s="5" t="str">
        <f t="shared" si="48"/>
        <v>C:\Users\jaime.benazar\Quorum Business Solutions\Ecopetrol Prometeo - Documents\Planning Space Implementation\3. Analysis &amp; Design\Design\FC22\DRR Jaime\QUIFA-CAJÚA\Cajua\[VAS_CAJUA_CF_SEC_20230125.xlsx]CF PSDP'!</v>
      </c>
      <c r="G269" s="7" t="s">
        <v>47</v>
      </c>
      <c r="H269" s="4"/>
      <c r="I269" s="4"/>
      <c r="J269" s="4"/>
    </row>
    <row r="270" spans="1:10" x14ac:dyDescent="0.25">
      <c r="A270" s="7" t="s">
        <v>102</v>
      </c>
      <c r="B270" s="7">
        <f t="shared" ref="B270:B281" si="65">+B269+1</f>
        <v>2025</v>
      </c>
      <c r="C270" s="4" t="s">
        <v>51</v>
      </c>
      <c r="D270" s="5" t="s">
        <v>128</v>
      </c>
      <c r="E270" s="10" t="str">
        <f t="shared" si="64"/>
        <v>PSDP'!</v>
      </c>
      <c r="F270" s="5" t="str">
        <f t="shared" si="48"/>
        <v>C:\Users\jaime.benazar\Quorum Business Solutions\Ecopetrol Prometeo - Documents\Planning Space Implementation\3. Analysis &amp; Design\Design\FC22\DRR Jaime\QUIFA-CAJÚA\Cajua\[VAS_CAJUA_CF_SEC_20230125.xlsx]CF PSDP'!</v>
      </c>
      <c r="G270" s="7" t="s">
        <v>47</v>
      </c>
      <c r="H270" s="4"/>
      <c r="I270" s="4"/>
      <c r="J270" s="4"/>
    </row>
    <row r="271" spans="1:10" x14ac:dyDescent="0.25">
      <c r="A271" s="7" t="s">
        <v>102</v>
      </c>
      <c r="B271" s="7">
        <f t="shared" si="65"/>
        <v>2026</v>
      </c>
      <c r="C271" s="4" t="s">
        <v>51</v>
      </c>
      <c r="D271" s="5" t="s">
        <v>128</v>
      </c>
      <c r="E271" s="10" t="str">
        <f t="shared" si="64"/>
        <v>PSDP'!</v>
      </c>
      <c r="F271" s="5" t="str">
        <f t="shared" si="48"/>
        <v>C:\Users\jaime.benazar\Quorum Business Solutions\Ecopetrol Prometeo - Documents\Planning Space Implementation\3. Analysis &amp; Design\Design\FC22\DRR Jaime\QUIFA-CAJÚA\Cajua\[VAS_CAJUA_CF_SEC_20230125.xlsx]CF PSDP'!</v>
      </c>
      <c r="G271" s="7" t="s">
        <v>47</v>
      </c>
      <c r="H271" s="4"/>
      <c r="I271" s="4"/>
      <c r="J271" s="4"/>
    </row>
    <row r="272" spans="1:10" x14ac:dyDescent="0.25">
      <c r="A272" s="7" t="s">
        <v>102</v>
      </c>
      <c r="B272" s="7">
        <f t="shared" si="65"/>
        <v>2027</v>
      </c>
      <c r="C272" s="4" t="s">
        <v>51</v>
      </c>
      <c r="D272" s="5" t="s">
        <v>128</v>
      </c>
      <c r="E272" s="10" t="str">
        <f t="shared" si="64"/>
        <v>PSDP'!</v>
      </c>
      <c r="F272" s="5" t="str">
        <f t="shared" si="48"/>
        <v>C:\Users\jaime.benazar\Quorum Business Solutions\Ecopetrol Prometeo - Documents\Planning Space Implementation\3. Analysis &amp; Design\Design\FC22\DRR Jaime\QUIFA-CAJÚA\Cajua\[VAS_CAJUA_CF_SEC_20230125.xlsx]CF PSDP'!</v>
      </c>
      <c r="G272" s="7" t="s">
        <v>47</v>
      </c>
      <c r="H272" s="4"/>
      <c r="I272" s="4"/>
      <c r="J272" s="4"/>
    </row>
    <row r="273" spans="1:10" x14ac:dyDescent="0.25">
      <c r="A273" s="7" t="s">
        <v>102</v>
      </c>
      <c r="B273" s="7">
        <f t="shared" si="65"/>
        <v>2028</v>
      </c>
      <c r="C273" s="4" t="s">
        <v>51</v>
      </c>
      <c r="D273" s="5" t="s">
        <v>128</v>
      </c>
      <c r="E273" s="10" t="str">
        <f t="shared" si="64"/>
        <v>PSDP'!</v>
      </c>
      <c r="F273" s="5" t="str">
        <f t="shared" si="48"/>
        <v>C:\Users\jaime.benazar\Quorum Business Solutions\Ecopetrol Prometeo - Documents\Planning Space Implementation\3. Analysis &amp; Design\Design\FC22\DRR Jaime\QUIFA-CAJÚA\Cajua\[VAS_CAJUA_CF_SEC_20230125.xlsx]CF PSDP'!</v>
      </c>
      <c r="G273" s="7" t="s">
        <v>47</v>
      </c>
      <c r="H273" s="4"/>
      <c r="I273" s="4"/>
      <c r="J273" s="4"/>
    </row>
    <row r="274" spans="1:10" x14ac:dyDescent="0.25">
      <c r="A274" s="7" t="s">
        <v>102</v>
      </c>
      <c r="B274" s="7">
        <f t="shared" si="65"/>
        <v>2029</v>
      </c>
      <c r="C274" s="4" t="s">
        <v>51</v>
      </c>
      <c r="D274" s="5" t="s">
        <v>128</v>
      </c>
      <c r="E274" s="10" t="str">
        <f t="shared" si="64"/>
        <v>PSDP'!</v>
      </c>
      <c r="F274" s="5" t="str">
        <f t="shared" si="48"/>
        <v>C:\Users\jaime.benazar\Quorum Business Solutions\Ecopetrol Prometeo - Documents\Planning Space Implementation\3. Analysis &amp; Design\Design\FC22\DRR Jaime\QUIFA-CAJÚA\Cajua\[VAS_CAJUA_CF_SEC_20230125.xlsx]CF PSDP'!</v>
      </c>
      <c r="G274" s="7" t="s">
        <v>47</v>
      </c>
      <c r="H274" s="4"/>
      <c r="I274" s="4"/>
      <c r="J274" s="4"/>
    </row>
    <row r="275" spans="1:10" x14ac:dyDescent="0.25">
      <c r="A275" s="7" t="s">
        <v>102</v>
      </c>
      <c r="B275" s="7">
        <f t="shared" si="65"/>
        <v>2030</v>
      </c>
      <c r="C275" s="4" t="s">
        <v>51</v>
      </c>
      <c r="D275" s="5" t="s">
        <v>128</v>
      </c>
      <c r="E275" s="10" t="str">
        <f t="shared" si="64"/>
        <v>PSDP'!</v>
      </c>
      <c r="F275" s="5" t="str">
        <f t="shared" si="48"/>
        <v>C:\Users\jaime.benazar\Quorum Business Solutions\Ecopetrol Prometeo - Documents\Planning Space Implementation\3. Analysis &amp; Design\Design\FC22\DRR Jaime\QUIFA-CAJÚA\Cajua\[VAS_CAJUA_CF_SEC_20230125.xlsx]CF PSDP'!</v>
      </c>
      <c r="G275" s="7" t="s">
        <v>47</v>
      </c>
      <c r="H275" s="4"/>
      <c r="I275" s="4"/>
      <c r="J275" s="4"/>
    </row>
    <row r="276" spans="1:10" x14ac:dyDescent="0.25">
      <c r="A276" s="7" t="s">
        <v>102</v>
      </c>
      <c r="B276" s="7">
        <f t="shared" si="65"/>
        <v>2031</v>
      </c>
      <c r="C276" s="4" t="s">
        <v>51</v>
      </c>
      <c r="D276" s="5" t="s">
        <v>128</v>
      </c>
      <c r="E276" s="10" t="str">
        <f t="shared" si="64"/>
        <v>PSDP'!</v>
      </c>
      <c r="F276" s="5" t="str">
        <f t="shared" si="48"/>
        <v>C:\Users\jaime.benazar\Quorum Business Solutions\Ecopetrol Prometeo - Documents\Planning Space Implementation\3. Analysis &amp; Design\Design\FC22\DRR Jaime\QUIFA-CAJÚA\Cajua\[VAS_CAJUA_CF_SEC_20230125.xlsx]CF PSDP'!</v>
      </c>
      <c r="G276" s="7" t="s">
        <v>47</v>
      </c>
      <c r="H276" s="4"/>
      <c r="I276" s="4"/>
      <c r="J276" s="4"/>
    </row>
    <row r="277" spans="1:10" x14ac:dyDescent="0.25">
      <c r="A277" s="7" t="s">
        <v>102</v>
      </c>
      <c r="B277" s="7">
        <f t="shared" si="65"/>
        <v>2032</v>
      </c>
      <c r="C277" s="4" t="s">
        <v>51</v>
      </c>
      <c r="D277" s="5" t="s">
        <v>128</v>
      </c>
      <c r="E277" s="10" t="str">
        <f t="shared" si="64"/>
        <v>PSDP'!</v>
      </c>
      <c r="F277" s="5" t="str">
        <f t="shared" si="48"/>
        <v>C:\Users\jaime.benazar\Quorum Business Solutions\Ecopetrol Prometeo - Documents\Planning Space Implementation\3. Analysis &amp; Design\Design\FC22\DRR Jaime\QUIFA-CAJÚA\Cajua\[VAS_CAJUA_CF_SEC_20230125.xlsx]CF PSDP'!</v>
      </c>
      <c r="G277" s="7" t="s">
        <v>47</v>
      </c>
      <c r="H277" s="4"/>
      <c r="I277" s="4"/>
      <c r="J277" s="4"/>
    </row>
    <row r="278" spans="1:10" x14ac:dyDescent="0.25">
      <c r="A278" s="7" t="s">
        <v>102</v>
      </c>
      <c r="B278" s="7">
        <f t="shared" si="65"/>
        <v>2033</v>
      </c>
      <c r="C278" s="4" t="s">
        <v>51</v>
      </c>
      <c r="D278" s="5" t="s">
        <v>128</v>
      </c>
      <c r="E278" s="10" t="str">
        <f t="shared" si="64"/>
        <v>PSDP'!</v>
      </c>
      <c r="F278" s="5" t="str">
        <f t="shared" si="48"/>
        <v>C:\Users\jaime.benazar\Quorum Business Solutions\Ecopetrol Prometeo - Documents\Planning Space Implementation\3. Analysis &amp; Design\Design\FC22\DRR Jaime\QUIFA-CAJÚA\Cajua\[VAS_CAJUA_CF_SEC_20230125.xlsx]CF PSDP'!</v>
      </c>
      <c r="G278" s="7" t="s">
        <v>47</v>
      </c>
      <c r="H278" s="4"/>
      <c r="I278" s="4"/>
      <c r="J278" s="4"/>
    </row>
    <row r="279" spans="1:10" x14ac:dyDescent="0.25">
      <c r="A279" s="7" t="s">
        <v>102</v>
      </c>
      <c r="B279" s="7">
        <f t="shared" si="65"/>
        <v>2034</v>
      </c>
      <c r="C279" s="4" t="s">
        <v>51</v>
      </c>
      <c r="D279" s="5" t="s">
        <v>128</v>
      </c>
      <c r="E279" s="10" t="str">
        <f t="shared" si="64"/>
        <v>PSDP'!</v>
      </c>
      <c r="F279" s="5" t="str">
        <f t="shared" si="48"/>
        <v>C:\Users\jaime.benazar\Quorum Business Solutions\Ecopetrol Prometeo - Documents\Planning Space Implementation\3. Analysis &amp; Design\Design\FC22\DRR Jaime\QUIFA-CAJÚA\Cajua\[VAS_CAJUA_CF_SEC_20230125.xlsx]CF PSDP'!</v>
      </c>
      <c r="G279" s="7" t="s">
        <v>47</v>
      </c>
      <c r="H279" s="4"/>
      <c r="I279" s="4"/>
      <c r="J279" s="4"/>
    </row>
    <row r="280" spans="1:10" x14ac:dyDescent="0.25">
      <c r="A280" s="7" t="s">
        <v>102</v>
      </c>
      <c r="B280" s="7">
        <f t="shared" si="65"/>
        <v>2035</v>
      </c>
      <c r="C280" s="4" t="s">
        <v>51</v>
      </c>
      <c r="D280" s="5" t="s">
        <v>128</v>
      </c>
      <c r="E280" s="10" t="str">
        <f t="shared" si="64"/>
        <v>PSDP'!</v>
      </c>
      <c r="F280" s="5" t="str">
        <f t="shared" si="48"/>
        <v>C:\Users\jaime.benazar\Quorum Business Solutions\Ecopetrol Prometeo - Documents\Planning Space Implementation\3. Analysis &amp; Design\Design\FC22\DRR Jaime\QUIFA-CAJÚA\Cajua\[VAS_CAJUA_CF_SEC_20230125.xlsx]CF PSDP'!</v>
      </c>
      <c r="G280" s="7" t="s">
        <v>47</v>
      </c>
      <c r="H280" s="4"/>
      <c r="I280" s="4"/>
      <c r="J280" s="4"/>
    </row>
    <row r="281" spans="1:10" x14ac:dyDescent="0.25">
      <c r="A281" s="7" t="s">
        <v>102</v>
      </c>
      <c r="B281" s="7">
        <f t="shared" si="65"/>
        <v>2036</v>
      </c>
      <c r="C281" s="4" t="s">
        <v>51</v>
      </c>
      <c r="D281" s="5" t="s">
        <v>128</v>
      </c>
      <c r="E281" s="10" t="str">
        <f t="shared" si="64"/>
        <v>PSDP'!</v>
      </c>
      <c r="F281" s="5" t="str">
        <f t="shared" si="48"/>
        <v>C:\Users\jaime.benazar\Quorum Business Solutions\Ecopetrol Prometeo - Documents\Planning Space Implementation\3. Analysis &amp; Design\Design\FC22\DRR Jaime\QUIFA-CAJÚA\Cajua\[VAS_CAJUA_CF_SEC_20230125.xlsx]CF PSDP'!</v>
      </c>
      <c r="G281" s="7" t="s">
        <v>47</v>
      </c>
      <c r="H281" s="4"/>
      <c r="I281" s="4"/>
      <c r="J281" s="4"/>
    </row>
    <row r="282" spans="1:10" x14ac:dyDescent="0.25">
      <c r="A282" s="7" t="s">
        <v>102</v>
      </c>
      <c r="B282" s="7">
        <f>+B281+1</f>
        <v>2037</v>
      </c>
      <c r="C282" s="4" t="s">
        <v>51</v>
      </c>
      <c r="D282" s="5" t="s">
        <v>128</v>
      </c>
      <c r="E282" s="10" t="str">
        <f t="shared" si="64"/>
        <v>PSDP'!</v>
      </c>
      <c r="F282" s="5" t="str">
        <f t="shared" si="48"/>
        <v>C:\Users\jaime.benazar\Quorum Business Solutions\Ecopetrol Prometeo - Documents\Planning Space Implementation\3. Analysis &amp; Design\Design\FC22\DRR Jaime\QUIFA-CAJÚA\Cajua\[VAS_CAJUA_CF_SEC_20230125.xlsx]CF PSDP'!</v>
      </c>
      <c r="G282" s="7" t="s">
        <v>47</v>
      </c>
      <c r="H282" s="4"/>
      <c r="I282" s="4"/>
      <c r="J282" s="4"/>
    </row>
    <row r="283" spans="1:10" x14ac:dyDescent="0.25">
      <c r="A283" s="7" t="s">
        <v>102</v>
      </c>
      <c r="B283" s="7">
        <f t="shared" ref="B283:B285" si="66">+B282+1</f>
        <v>2038</v>
      </c>
      <c r="C283" s="4" t="s">
        <v>51</v>
      </c>
      <c r="D283" s="5" t="s">
        <v>128</v>
      </c>
      <c r="E283" s="10" t="str">
        <f t="shared" si="64"/>
        <v>PSDP'!</v>
      </c>
      <c r="F283" s="5" t="str">
        <f t="shared" si="48"/>
        <v>C:\Users\jaime.benazar\Quorum Business Solutions\Ecopetrol Prometeo - Documents\Planning Space Implementation\3. Analysis &amp; Design\Design\FC22\DRR Jaime\QUIFA-CAJÚA\Cajua\[VAS_CAJUA_CF_SEC_20230125.xlsx]CF PSDP'!</v>
      </c>
      <c r="G283" s="7" t="s">
        <v>47</v>
      </c>
      <c r="H283" s="4"/>
      <c r="I283" s="4"/>
      <c r="J283" s="4"/>
    </row>
    <row r="284" spans="1:10" x14ac:dyDescent="0.25">
      <c r="A284" s="7" t="s">
        <v>102</v>
      </c>
      <c r="B284" s="7">
        <f t="shared" si="66"/>
        <v>2039</v>
      </c>
      <c r="C284" s="4" t="s">
        <v>51</v>
      </c>
      <c r="D284" s="5" t="s">
        <v>128</v>
      </c>
      <c r="E284" s="10" t="str">
        <f t="shared" si="64"/>
        <v>PSDP'!</v>
      </c>
      <c r="F284" s="5" t="str">
        <f t="shared" si="48"/>
        <v>C:\Users\jaime.benazar\Quorum Business Solutions\Ecopetrol Prometeo - Documents\Planning Space Implementation\3. Analysis &amp; Design\Design\FC22\DRR Jaime\QUIFA-CAJÚA\Cajua\[VAS_CAJUA_CF_SEC_20230125.xlsx]CF PSDP'!</v>
      </c>
      <c r="G284" s="7" t="s">
        <v>47</v>
      </c>
      <c r="H284" s="4"/>
      <c r="I284" s="4"/>
      <c r="J284" s="4"/>
    </row>
    <row r="285" spans="1:10" x14ac:dyDescent="0.25">
      <c r="A285" s="7" t="s">
        <v>102</v>
      </c>
      <c r="B285" s="7">
        <f t="shared" si="66"/>
        <v>2040</v>
      </c>
      <c r="C285" s="4" t="s">
        <v>51</v>
      </c>
      <c r="D285" s="5" t="s">
        <v>128</v>
      </c>
      <c r="E285" s="10" t="str">
        <f t="shared" si="64"/>
        <v>PSDP'!</v>
      </c>
      <c r="F285" s="5" t="str">
        <f t="shared" si="48"/>
        <v>C:\Users\jaime.benazar\Quorum Business Solutions\Ecopetrol Prometeo - Documents\Planning Space Implementation\3. Analysis &amp; Design\Design\FC22\DRR Jaime\QUIFA-CAJÚA\Cajua\[VAS_CAJUA_CF_SEC_20230125.xlsx]CF PSDP'!</v>
      </c>
      <c r="G285" s="7" t="s">
        <v>47</v>
      </c>
      <c r="H285" s="4"/>
      <c r="I285" s="4"/>
      <c r="J285" s="4"/>
    </row>
    <row r="286" spans="1:10" x14ac:dyDescent="0.25">
      <c r="A286" s="7" t="s">
        <v>102</v>
      </c>
      <c r="B286" s="7">
        <f>+B285+1</f>
        <v>2041</v>
      </c>
      <c r="C286" s="4" t="s">
        <v>51</v>
      </c>
      <c r="D286" s="5" t="s">
        <v>128</v>
      </c>
      <c r="E286" s="10" t="str">
        <f t="shared" si="64"/>
        <v>PSDP'!</v>
      </c>
      <c r="F286" s="5" t="str">
        <f t="shared" si="48"/>
        <v>C:\Users\jaime.benazar\Quorum Business Solutions\Ecopetrol Prometeo - Documents\Planning Space Implementation\3. Analysis &amp; Design\Design\FC22\DRR Jaime\QUIFA-CAJÚA\Cajua\[VAS_CAJUA_CF_SEC_20230125.xlsx]CF PSDP'!</v>
      </c>
      <c r="G286" s="7" t="s">
        <v>47</v>
      </c>
      <c r="H286" s="4"/>
      <c r="I286" s="4"/>
      <c r="J286" s="4"/>
    </row>
    <row r="287" spans="1:10" x14ac:dyDescent="0.25">
      <c r="A287" s="7" t="s">
        <v>102</v>
      </c>
      <c r="B287" s="7">
        <f t="shared" ref="B287:B288" si="67">+B286+1</f>
        <v>2042</v>
      </c>
      <c r="C287" s="4" t="s">
        <v>51</v>
      </c>
      <c r="D287" s="5" t="s">
        <v>128</v>
      </c>
      <c r="E287" s="10" t="str">
        <f t="shared" si="64"/>
        <v>PSDP'!</v>
      </c>
      <c r="F287" s="5" t="str">
        <f t="shared" si="48"/>
        <v>C:\Users\jaime.benazar\Quorum Business Solutions\Ecopetrol Prometeo - Documents\Planning Space Implementation\3. Analysis &amp; Design\Design\FC22\DRR Jaime\QUIFA-CAJÚA\Cajua\[VAS_CAJUA_CF_SEC_20230125.xlsx]CF PSDP'!</v>
      </c>
      <c r="G287" s="7" t="s">
        <v>47</v>
      </c>
      <c r="H287" s="4"/>
      <c r="I287" s="4"/>
      <c r="J287" s="4"/>
    </row>
    <row r="288" spans="1:10" x14ac:dyDescent="0.25">
      <c r="A288" s="7" t="s">
        <v>102</v>
      </c>
      <c r="B288" s="7">
        <f t="shared" si="67"/>
        <v>2043</v>
      </c>
      <c r="C288" s="4" t="s">
        <v>51</v>
      </c>
      <c r="D288" s="5" t="s">
        <v>128</v>
      </c>
      <c r="E288" s="10" t="str">
        <f t="shared" si="64"/>
        <v>PSDP'!</v>
      </c>
      <c r="F288" s="5" t="str">
        <f t="shared" si="48"/>
        <v>C:\Users\jaime.benazar\Quorum Business Solutions\Ecopetrol Prometeo - Documents\Planning Space Implementation\3. Analysis &amp; Design\Design\FC22\DRR Jaime\QUIFA-CAJÚA\Cajua\[VAS_CAJUA_CF_SEC_20230125.xlsx]CF PSDP'!</v>
      </c>
      <c r="G288" s="7" t="s">
        <v>47</v>
      </c>
      <c r="H288" s="4"/>
      <c r="I288" s="4"/>
      <c r="J288" s="4"/>
    </row>
    <row r="289" spans="1:10" x14ac:dyDescent="0.25">
      <c r="A289" s="7" t="s">
        <v>102</v>
      </c>
      <c r="B289" s="7">
        <f>+B288+1</f>
        <v>2044</v>
      </c>
      <c r="C289" s="4" t="s">
        <v>51</v>
      </c>
      <c r="D289" s="5" t="s">
        <v>128</v>
      </c>
      <c r="E289" s="10" t="str">
        <f t="shared" ref="E289:E304" si="68">_xlfn.CONCAT(A289,"'!")</f>
        <v>PSDP'!</v>
      </c>
      <c r="F289" s="5" t="str">
        <f t="shared" ref="F289:F304" si="69">_xlfn.CONCAT(D289," ",E289)</f>
        <v>C:\Users\jaime.benazar\Quorum Business Solutions\Ecopetrol Prometeo - Documents\Planning Space Implementation\3. Analysis &amp; Design\Design\FC22\DRR Jaime\QUIFA-CAJÚA\Cajua\[VAS_CAJUA_CF_SEC_20230125.xlsx]CF PSDP'!</v>
      </c>
      <c r="G289" s="7" t="s">
        <v>47</v>
      </c>
      <c r="H289" s="4"/>
      <c r="I289" s="4"/>
      <c r="J289" s="4"/>
    </row>
    <row r="290" spans="1:10" x14ac:dyDescent="0.25">
      <c r="A290" s="7" t="s">
        <v>102</v>
      </c>
      <c r="B290" s="7">
        <f t="shared" ref="B290:B304" si="70">+B289+1</f>
        <v>2045</v>
      </c>
      <c r="C290" s="4" t="s">
        <v>51</v>
      </c>
      <c r="D290" s="5" t="s">
        <v>128</v>
      </c>
      <c r="E290" s="10" t="str">
        <f t="shared" si="68"/>
        <v>PSDP'!</v>
      </c>
      <c r="F290" s="5" t="str">
        <f t="shared" si="69"/>
        <v>C:\Users\jaime.benazar\Quorum Business Solutions\Ecopetrol Prometeo - Documents\Planning Space Implementation\3. Analysis &amp; Design\Design\FC22\DRR Jaime\QUIFA-CAJÚA\Cajua\[VAS_CAJUA_CF_SEC_20230125.xlsx]CF PSDP'!</v>
      </c>
      <c r="G290" s="7" t="s">
        <v>47</v>
      </c>
      <c r="H290" s="4"/>
      <c r="I290" s="4"/>
      <c r="J290" s="4"/>
    </row>
    <row r="291" spans="1:10" x14ac:dyDescent="0.25">
      <c r="A291" s="7" t="s">
        <v>102</v>
      </c>
      <c r="B291" s="7">
        <f t="shared" si="70"/>
        <v>2046</v>
      </c>
      <c r="C291" s="4" t="s">
        <v>51</v>
      </c>
      <c r="D291" s="5" t="s">
        <v>128</v>
      </c>
      <c r="E291" s="10" t="str">
        <f t="shared" si="68"/>
        <v>PSDP'!</v>
      </c>
      <c r="F291" s="5" t="str">
        <f t="shared" si="69"/>
        <v>C:\Users\jaime.benazar\Quorum Business Solutions\Ecopetrol Prometeo - Documents\Planning Space Implementation\3. Analysis &amp; Design\Design\FC22\DRR Jaime\QUIFA-CAJÚA\Cajua\[VAS_CAJUA_CF_SEC_20230125.xlsx]CF PSDP'!</v>
      </c>
      <c r="G291" s="7" t="s">
        <v>47</v>
      </c>
      <c r="H291" s="4"/>
      <c r="I291" s="4"/>
      <c r="J291" s="4"/>
    </row>
    <row r="292" spans="1:10" x14ac:dyDescent="0.25">
      <c r="A292" s="7" t="s">
        <v>102</v>
      </c>
      <c r="B292" s="7">
        <f t="shared" si="70"/>
        <v>2047</v>
      </c>
      <c r="C292" s="4" t="s">
        <v>51</v>
      </c>
      <c r="D292" s="5" t="s">
        <v>128</v>
      </c>
      <c r="E292" s="10" t="str">
        <f t="shared" si="68"/>
        <v>PSDP'!</v>
      </c>
      <c r="F292" s="5" t="str">
        <f t="shared" si="69"/>
        <v>C:\Users\jaime.benazar\Quorum Business Solutions\Ecopetrol Prometeo - Documents\Planning Space Implementation\3. Analysis &amp; Design\Design\FC22\DRR Jaime\QUIFA-CAJÚA\Cajua\[VAS_CAJUA_CF_SEC_20230125.xlsx]CF PSDP'!</v>
      </c>
      <c r="G292" s="7" t="s">
        <v>47</v>
      </c>
      <c r="H292" s="4"/>
      <c r="I292" s="4"/>
      <c r="J292" s="4"/>
    </row>
    <row r="293" spans="1:10" x14ac:dyDescent="0.25">
      <c r="A293" s="7" t="s">
        <v>102</v>
      </c>
      <c r="B293" s="7">
        <f t="shared" si="70"/>
        <v>2048</v>
      </c>
      <c r="C293" s="4" t="s">
        <v>51</v>
      </c>
      <c r="D293" s="5" t="s">
        <v>128</v>
      </c>
      <c r="E293" s="10" t="str">
        <f t="shared" si="68"/>
        <v>PSDP'!</v>
      </c>
      <c r="F293" s="5" t="str">
        <f t="shared" si="69"/>
        <v>C:\Users\jaime.benazar\Quorum Business Solutions\Ecopetrol Prometeo - Documents\Planning Space Implementation\3. Analysis &amp; Design\Design\FC22\DRR Jaime\QUIFA-CAJÚA\Cajua\[VAS_CAJUA_CF_SEC_20230125.xlsx]CF PSDP'!</v>
      </c>
      <c r="G293" s="7" t="s">
        <v>47</v>
      </c>
      <c r="H293" s="4"/>
      <c r="I293" s="4"/>
      <c r="J293" s="4"/>
    </row>
    <row r="294" spans="1:10" x14ac:dyDescent="0.25">
      <c r="A294" s="7" t="s">
        <v>102</v>
      </c>
      <c r="B294" s="7">
        <f t="shared" si="70"/>
        <v>2049</v>
      </c>
      <c r="C294" s="4" t="s">
        <v>51</v>
      </c>
      <c r="D294" s="5" t="s">
        <v>128</v>
      </c>
      <c r="E294" s="10" t="str">
        <f t="shared" si="68"/>
        <v>PSDP'!</v>
      </c>
      <c r="F294" s="5" t="str">
        <f t="shared" si="69"/>
        <v>C:\Users\jaime.benazar\Quorum Business Solutions\Ecopetrol Prometeo - Documents\Planning Space Implementation\3. Analysis &amp; Design\Design\FC22\DRR Jaime\QUIFA-CAJÚA\Cajua\[VAS_CAJUA_CF_SEC_20230125.xlsx]CF PSDP'!</v>
      </c>
      <c r="G294" s="7" t="s">
        <v>47</v>
      </c>
      <c r="H294" s="4"/>
      <c r="I294" s="4"/>
      <c r="J294" s="4"/>
    </row>
    <row r="295" spans="1:10" x14ac:dyDescent="0.25">
      <c r="A295" s="7" t="s">
        <v>102</v>
      </c>
      <c r="B295" s="7">
        <f t="shared" si="70"/>
        <v>2050</v>
      </c>
      <c r="C295" s="4" t="s">
        <v>51</v>
      </c>
      <c r="D295" s="5" t="s">
        <v>128</v>
      </c>
      <c r="E295" s="10" t="str">
        <f t="shared" si="68"/>
        <v>PSDP'!</v>
      </c>
      <c r="F295" s="5" t="str">
        <f t="shared" si="69"/>
        <v>C:\Users\jaime.benazar\Quorum Business Solutions\Ecopetrol Prometeo - Documents\Planning Space Implementation\3. Analysis &amp; Design\Design\FC22\DRR Jaime\QUIFA-CAJÚA\Cajua\[VAS_CAJUA_CF_SEC_20230125.xlsx]CF PSDP'!</v>
      </c>
      <c r="G295" s="7" t="s">
        <v>47</v>
      </c>
      <c r="H295" s="4"/>
      <c r="I295" s="4"/>
      <c r="J295" s="4"/>
    </row>
    <row r="296" spans="1:10" x14ac:dyDescent="0.25">
      <c r="A296" s="7" t="s">
        <v>102</v>
      </c>
      <c r="B296" s="7">
        <f t="shared" si="70"/>
        <v>2051</v>
      </c>
      <c r="C296" s="4" t="s">
        <v>51</v>
      </c>
      <c r="D296" s="5" t="s">
        <v>128</v>
      </c>
      <c r="E296" s="10" t="str">
        <f t="shared" si="68"/>
        <v>PSDP'!</v>
      </c>
      <c r="F296" s="5" t="str">
        <f t="shared" si="69"/>
        <v>C:\Users\jaime.benazar\Quorum Business Solutions\Ecopetrol Prometeo - Documents\Planning Space Implementation\3. Analysis &amp; Design\Design\FC22\DRR Jaime\QUIFA-CAJÚA\Cajua\[VAS_CAJUA_CF_SEC_20230125.xlsx]CF PSDP'!</v>
      </c>
      <c r="G296" s="7" t="s">
        <v>47</v>
      </c>
      <c r="H296" s="4"/>
      <c r="I296" s="4"/>
      <c r="J296" s="4"/>
    </row>
    <row r="297" spans="1:10" x14ac:dyDescent="0.25">
      <c r="A297" s="7" t="s">
        <v>102</v>
      </c>
      <c r="B297" s="7">
        <f t="shared" si="70"/>
        <v>2052</v>
      </c>
      <c r="C297" s="4" t="s">
        <v>51</v>
      </c>
      <c r="D297" s="5" t="s">
        <v>128</v>
      </c>
      <c r="E297" s="10" t="str">
        <f t="shared" si="68"/>
        <v>PSDP'!</v>
      </c>
      <c r="F297" s="5" t="str">
        <f t="shared" si="69"/>
        <v>C:\Users\jaime.benazar\Quorum Business Solutions\Ecopetrol Prometeo - Documents\Planning Space Implementation\3. Analysis &amp; Design\Design\FC22\DRR Jaime\QUIFA-CAJÚA\Cajua\[VAS_CAJUA_CF_SEC_20230125.xlsx]CF PSDP'!</v>
      </c>
      <c r="G297" s="7" t="s">
        <v>47</v>
      </c>
      <c r="H297" s="4"/>
      <c r="I297" s="4"/>
      <c r="J297" s="4"/>
    </row>
    <row r="298" spans="1:10" x14ac:dyDescent="0.25">
      <c r="A298" s="7" t="s">
        <v>102</v>
      </c>
      <c r="B298" s="7">
        <f t="shared" si="70"/>
        <v>2053</v>
      </c>
      <c r="C298" s="4" t="s">
        <v>51</v>
      </c>
      <c r="D298" s="5" t="s">
        <v>128</v>
      </c>
      <c r="E298" s="10" t="str">
        <f t="shared" si="68"/>
        <v>PSDP'!</v>
      </c>
      <c r="F298" s="5" t="str">
        <f t="shared" si="69"/>
        <v>C:\Users\jaime.benazar\Quorum Business Solutions\Ecopetrol Prometeo - Documents\Planning Space Implementation\3. Analysis &amp; Design\Design\FC22\DRR Jaime\QUIFA-CAJÚA\Cajua\[VAS_CAJUA_CF_SEC_20230125.xlsx]CF PSDP'!</v>
      </c>
      <c r="G298" s="7" t="s">
        <v>47</v>
      </c>
      <c r="H298" s="4"/>
      <c r="I298" s="4"/>
      <c r="J298" s="4"/>
    </row>
    <row r="299" spans="1:10" x14ac:dyDescent="0.25">
      <c r="A299" s="7" t="s">
        <v>102</v>
      </c>
      <c r="B299" s="7">
        <f t="shared" si="70"/>
        <v>2054</v>
      </c>
      <c r="C299" s="4" t="s">
        <v>51</v>
      </c>
      <c r="D299" s="5" t="s">
        <v>128</v>
      </c>
      <c r="E299" s="10" t="str">
        <f t="shared" si="68"/>
        <v>PSDP'!</v>
      </c>
      <c r="F299" s="5" t="str">
        <f t="shared" si="69"/>
        <v>C:\Users\jaime.benazar\Quorum Business Solutions\Ecopetrol Prometeo - Documents\Planning Space Implementation\3. Analysis &amp; Design\Design\FC22\DRR Jaime\QUIFA-CAJÚA\Cajua\[VAS_CAJUA_CF_SEC_20230125.xlsx]CF PSDP'!</v>
      </c>
      <c r="G299" s="7" t="s">
        <v>47</v>
      </c>
      <c r="H299" s="4"/>
      <c r="I299" s="4"/>
      <c r="J299" s="4"/>
    </row>
    <row r="300" spans="1:10" x14ac:dyDescent="0.25">
      <c r="A300" s="7" t="s">
        <v>102</v>
      </c>
      <c r="B300" s="7">
        <f t="shared" si="70"/>
        <v>2055</v>
      </c>
      <c r="C300" s="4" t="s">
        <v>51</v>
      </c>
      <c r="D300" s="5" t="s">
        <v>128</v>
      </c>
      <c r="E300" s="10" t="str">
        <f t="shared" si="68"/>
        <v>PSDP'!</v>
      </c>
      <c r="F300" s="5" t="str">
        <f t="shared" si="69"/>
        <v>C:\Users\jaime.benazar\Quorum Business Solutions\Ecopetrol Prometeo - Documents\Planning Space Implementation\3. Analysis &amp; Design\Design\FC22\DRR Jaime\QUIFA-CAJÚA\Cajua\[VAS_CAJUA_CF_SEC_20230125.xlsx]CF PSDP'!</v>
      </c>
      <c r="G300" s="7" t="s">
        <v>47</v>
      </c>
      <c r="H300" s="4"/>
      <c r="I300" s="4"/>
      <c r="J300" s="4"/>
    </row>
    <row r="301" spans="1:10" x14ac:dyDescent="0.25">
      <c r="A301" s="7" t="s">
        <v>102</v>
      </c>
      <c r="B301" s="7">
        <f t="shared" si="70"/>
        <v>2056</v>
      </c>
      <c r="C301" s="4" t="s">
        <v>51</v>
      </c>
      <c r="D301" s="5" t="s">
        <v>128</v>
      </c>
      <c r="E301" s="10" t="str">
        <f t="shared" si="68"/>
        <v>PSDP'!</v>
      </c>
      <c r="F301" s="5" t="str">
        <f t="shared" si="69"/>
        <v>C:\Users\jaime.benazar\Quorum Business Solutions\Ecopetrol Prometeo - Documents\Planning Space Implementation\3. Analysis &amp; Design\Design\FC22\DRR Jaime\QUIFA-CAJÚA\Cajua\[VAS_CAJUA_CF_SEC_20230125.xlsx]CF PSDP'!</v>
      </c>
      <c r="G301" s="7" t="s">
        <v>47</v>
      </c>
      <c r="H301" s="4"/>
      <c r="I301" s="4"/>
      <c r="J301" s="4"/>
    </row>
    <row r="302" spans="1:10" x14ac:dyDescent="0.25">
      <c r="A302" s="7" t="s">
        <v>102</v>
      </c>
      <c r="B302" s="7">
        <f t="shared" si="70"/>
        <v>2057</v>
      </c>
      <c r="C302" s="4" t="s">
        <v>51</v>
      </c>
      <c r="D302" s="5" t="s">
        <v>128</v>
      </c>
      <c r="E302" s="10" t="str">
        <f t="shared" si="68"/>
        <v>PSDP'!</v>
      </c>
      <c r="F302" s="5" t="str">
        <f t="shared" si="69"/>
        <v>C:\Users\jaime.benazar\Quorum Business Solutions\Ecopetrol Prometeo - Documents\Planning Space Implementation\3. Analysis &amp; Design\Design\FC22\DRR Jaime\QUIFA-CAJÚA\Cajua\[VAS_CAJUA_CF_SEC_20230125.xlsx]CF PSDP'!</v>
      </c>
      <c r="G302" s="7" t="s">
        <v>47</v>
      </c>
      <c r="H302" s="4"/>
      <c r="I302" s="4"/>
      <c r="J302" s="4"/>
    </row>
    <row r="303" spans="1:10" x14ac:dyDescent="0.25">
      <c r="A303" s="7" t="s">
        <v>102</v>
      </c>
      <c r="B303" s="7">
        <f t="shared" si="70"/>
        <v>2058</v>
      </c>
      <c r="C303" s="4" t="s">
        <v>51</v>
      </c>
      <c r="D303" s="5" t="s">
        <v>128</v>
      </c>
      <c r="E303" s="10" t="str">
        <f t="shared" si="68"/>
        <v>PSDP'!</v>
      </c>
      <c r="F303" s="5" t="str">
        <f t="shared" si="69"/>
        <v>C:\Users\jaime.benazar\Quorum Business Solutions\Ecopetrol Prometeo - Documents\Planning Space Implementation\3. Analysis &amp; Design\Design\FC22\DRR Jaime\QUIFA-CAJÚA\Cajua\[VAS_CAJUA_CF_SEC_20230125.xlsx]CF PSDP'!</v>
      </c>
      <c r="G303" s="7" t="s">
        <v>47</v>
      </c>
      <c r="H303" s="4"/>
      <c r="I303" s="4"/>
      <c r="J303" s="4"/>
    </row>
    <row r="304" spans="1:10" x14ac:dyDescent="0.25">
      <c r="A304" s="7" t="s">
        <v>102</v>
      </c>
      <c r="B304" s="7">
        <f t="shared" si="70"/>
        <v>2059</v>
      </c>
      <c r="C304" s="4" t="s">
        <v>51</v>
      </c>
      <c r="D304" s="5" t="s">
        <v>128</v>
      </c>
      <c r="E304" s="10" t="str">
        <f t="shared" si="68"/>
        <v>PSDP'!</v>
      </c>
      <c r="F304" s="5" t="str">
        <f t="shared" si="69"/>
        <v>C:\Users\jaime.benazar\Quorum Business Solutions\Ecopetrol Prometeo - Documents\Planning Space Implementation\3. Analysis &amp; Design\Design\FC22\DRR Jaime\QUIFA-CAJÚA\Cajua\[VAS_CAJUA_CF_SEC_20230125.xlsx]CF PSDP'!</v>
      </c>
      <c r="G304" s="7" t="s">
        <v>47</v>
      </c>
      <c r="H304" s="4"/>
      <c r="I304" s="4"/>
      <c r="J304" s="4"/>
    </row>
    <row r="305" spans="1:10" x14ac:dyDescent="0.25">
      <c r="A305" s="7" t="s">
        <v>28</v>
      </c>
      <c r="B305" s="7"/>
      <c r="C305" s="4" t="s">
        <v>51</v>
      </c>
      <c r="D305" s="5"/>
      <c r="E305" s="10"/>
      <c r="F305" s="5" t="str">
        <f t="shared" si="48"/>
        <v xml:space="preserve"> </v>
      </c>
      <c r="G305" s="7"/>
      <c r="H305" s="4"/>
      <c r="I305" s="4"/>
      <c r="J305" s="4"/>
    </row>
    <row r="306" spans="1:10" x14ac:dyDescent="0.25">
      <c r="A306" s="7" t="s">
        <v>103</v>
      </c>
      <c r="B306" s="7">
        <v>2023</v>
      </c>
      <c r="C306" s="4" t="s">
        <v>51</v>
      </c>
      <c r="D306" s="5" t="s">
        <v>128</v>
      </c>
      <c r="E306" s="10" t="str">
        <f t="shared" ref="E306:E326" si="71">_xlfn.CONCAT(A306,"'!")</f>
        <v>PSNP'!</v>
      </c>
      <c r="F306" s="5" t="str">
        <f t="shared" si="48"/>
        <v>C:\Users\jaime.benazar\Quorum Business Solutions\Ecopetrol Prometeo - Documents\Planning Space Implementation\3. Analysis &amp; Design\Design\FC22\DRR Jaime\QUIFA-CAJÚA\Cajua\[VAS_CAJUA_CF_SEC_20230125.xlsx]CF PSNP'!</v>
      </c>
      <c r="G306" s="7" t="s">
        <v>47</v>
      </c>
      <c r="H306" s="4"/>
      <c r="I306" s="4"/>
      <c r="J306" s="4"/>
    </row>
    <row r="307" spans="1:10" x14ac:dyDescent="0.25">
      <c r="A307" s="7" t="s">
        <v>103</v>
      </c>
      <c r="B307" s="7">
        <f>+B306+1</f>
        <v>2024</v>
      </c>
      <c r="C307" s="4" t="s">
        <v>51</v>
      </c>
      <c r="D307" s="5" t="s">
        <v>128</v>
      </c>
      <c r="E307" s="10" t="str">
        <f t="shared" si="71"/>
        <v>PSNP'!</v>
      </c>
      <c r="F307" s="5" t="str">
        <f t="shared" ref="F307:F398" si="72">_xlfn.CONCAT(D307," ",E307)</f>
        <v>C:\Users\jaime.benazar\Quorum Business Solutions\Ecopetrol Prometeo - Documents\Planning Space Implementation\3. Analysis &amp; Design\Design\FC22\DRR Jaime\QUIFA-CAJÚA\Cajua\[VAS_CAJUA_CF_SEC_20230125.xlsx]CF PSNP'!</v>
      </c>
      <c r="G307" s="7" t="s">
        <v>47</v>
      </c>
      <c r="H307" s="4"/>
      <c r="I307" s="4"/>
      <c r="J307" s="4"/>
    </row>
    <row r="308" spans="1:10" x14ac:dyDescent="0.25">
      <c r="A308" s="7" t="s">
        <v>103</v>
      </c>
      <c r="B308" s="7">
        <f t="shared" ref="B308:B319" si="73">+B307+1</f>
        <v>2025</v>
      </c>
      <c r="C308" s="4" t="s">
        <v>51</v>
      </c>
      <c r="D308" s="5" t="s">
        <v>128</v>
      </c>
      <c r="E308" s="10" t="str">
        <f t="shared" si="71"/>
        <v>PSNP'!</v>
      </c>
      <c r="F308" s="5" t="str">
        <f t="shared" si="72"/>
        <v>C:\Users\jaime.benazar\Quorum Business Solutions\Ecopetrol Prometeo - Documents\Planning Space Implementation\3. Analysis &amp; Design\Design\FC22\DRR Jaime\QUIFA-CAJÚA\Cajua\[VAS_CAJUA_CF_SEC_20230125.xlsx]CF PSNP'!</v>
      </c>
      <c r="G308" s="7" t="s">
        <v>47</v>
      </c>
      <c r="H308" s="4"/>
      <c r="I308" s="4"/>
      <c r="J308" s="4"/>
    </row>
    <row r="309" spans="1:10" x14ac:dyDescent="0.25">
      <c r="A309" s="7" t="s">
        <v>103</v>
      </c>
      <c r="B309" s="7">
        <f t="shared" si="73"/>
        <v>2026</v>
      </c>
      <c r="C309" s="4" t="s">
        <v>51</v>
      </c>
      <c r="D309" s="5" t="s">
        <v>128</v>
      </c>
      <c r="E309" s="10" t="str">
        <f t="shared" si="71"/>
        <v>PSNP'!</v>
      </c>
      <c r="F309" s="5" t="str">
        <f t="shared" si="72"/>
        <v>C:\Users\jaime.benazar\Quorum Business Solutions\Ecopetrol Prometeo - Documents\Planning Space Implementation\3. Analysis &amp; Design\Design\FC22\DRR Jaime\QUIFA-CAJÚA\Cajua\[VAS_CAJUA_CF_SEC_20230125.xlsx]CF PSNP'!</v>
      </c>
      <c r="G309" s="7" t="s">
        <v>47</v>
      </c>
      <c r="H309" s="4"/>
      <c r="I309" s="4"/>
      <c r="J309" s="4"/>
    </row>
    <row r="310" spans="1:10" x14ac:dyDescent="0.25">
      <c r="A310" s="7" t="s">
        <v>103</v>
      </c>
      <c r="B310" s="7">
        <f t="shared" si="73"/>
        <v>2027</v>
      </c>
      <c r="C310" s="4" t="s">
        <v>51</v>
      </c>
      <c r="D310" s="5" t="s">
        <v>128</v>
      </c>
      <c r="E310" s="10" t="str">
        <f t="shared" si="71"/>
        <v>PSNP'!</v>
      </c>
      <c r="F310" s="5" t="str">
        <f t="shared" si="72"/>
        <v>C:\Users\jaime.benazar\Quorum Business Solutions\Ecopetrol Prometeo - Documents\Planning Space Implementation\3. Analysis &amp; Design\Design\FC22\DRR Jaime\QUIFA-CAJÚA\Cajua\[VAS_CAJUA_CF_SEC_20230125.xlsx]CF PSNP'!</v>
      </c>
      <c r="G310" s="7" t="s">
        <v>47</v>
      </c>
      <c r="H310" s="4"/>
      <c r="I310" s="4"/>
      <c r="J310" s="4"/>
    </row>
    <row r="311" spans="1:10" x14ac:dyDescent="0.25">
      <c r="A311" s="7" t="s">
        <v>103</v>
      </c>
      <c r="B311" s="7">
        <f t="shared" si="73"/>
        <v>2028</v>
      </c>
      <c r="C311" s="4" t="s">
        <v>51</v>
      </c>
      <c r="D311" s="5" t="s">
        <v>128</v>
      </c>
      <c r="E311" s="10" t="str">
        <f t="shared" si="71"/>
        <v>PSNP'!</v>
      </c>
      <c r="F311" s="5" t="str">
        <f t="shared" si="72"/>
        <v>C:\Users\jaime.benazar\Quorum Business Solutions\Ecopetrol Prometeo - Documents\Planning Space Implementation\3. Analysis &amp; Design\Design\FC22\DRR Jaime\QUIFA-CAJÚA\Cajua\[VAS_CAJUA_CF_SEC_20230125.xlsx]CF PSNP'!</v>
      </c>
      <c r="G311" s="7" t="s">
        <v>47</v>
      </c>
      <c r="H311" s="4"/>
      <c r="I311" s="4"/>
      <c r="J311" s="4"/>
    </row>
    <row r="312" spans="1:10" x14ac:dyDescent="0.25">
      <c r="A312" s="7" t="s">
        <v>103</v>
      </c>
      <c r="B312" s="7">
        <f t="shared" si="73"/>
        <v>2029</v>
      </c>
      <c r="C312" s="4" t="s">
        <v>51</v>
      </c>
      <c r="D312" s="5" t="s">
        <v>128</v>
      </c>
      <c r="E312" s="10" t="str">
        <f t="shared" si="71"/>
        <v>PSNP'!</v>
      </c>
      <c r="F312" s="5" t="str">
        <f t="shared" si="72"/>
        <v>C:\Users\jaime.benazar\Quorum Business Solutions\Ecopetrol Prometeo - Documents\Planning Space Implementation\3. Analysis &amp; Design\Design\FC22\DRR Jaime\QUIFA-CAJÚA\Cajua\[VAS_CAJUA_CF_SEC_20230125.xlsx]CF PSNP'!</v>
      </c>
      <c r="G312" s="7" t="s">
        <v>47</v>
      </c>
      <c r="H312" s="4"/>
      <c r="I312" s="4"/>
      <c r="J312" s="4"/>
    </row>
    <row r="313" spans="1:10" x14ac:dyDescent="0.25">
      <c r="A313" s="7" t="s">
        <v>103</v>
      </c>
      <c r="B313" s="7">
        <f t="shared" si="73"/>
        <v>2030</v>
      </c>
      <c r="C313" s="4" t="s">
        <v>51</v>
      </c>
      <c r="D313" s="5" t="s">
        <v>128</v>
      </c>
      <c r="E313" s="10" t="str">
        <f t="shared" si="71"/>
        <v>PSNP'!</v>
      </c>
      <c r="F313" s="5" t="str">
        <f t="shared" si="72"/>
        <v>C:\Users\jaime.benazar\Quorum Business Solutions\Ecopetrol Prometeo - Documents\Planning Space Implementation\3. Analysis &amp; Design\Design\FC22\DRR Jaime\QUIFA-CAJÚA\Cajua\[VAS_CAJUA_CF_SEC_20230125.xlsx]CF PSNP'!</v>
      </c>
      <c r="G313" s="7" t="s">
        <v>47</v>
      </c>
      <c r="H313" s="4"/>
      <c r="I313" s="4"/>
      <c r="J313" s="4"/>
    </row>
    <row r="314" spans="1:10" x14ac:dyDescent="0.25">
      <c r="A314" s="7" t="s">
        <v>103</v>
      </c>
      <c r="B314" s="7">
        <f t="shared" si="73"/>
        <v>2031</v>
      </c>
      <c r="C314" s="4" t="s">
        <v>51</v>
      </c>
      <c r="D314" s="5" t="s">
        <v>128</v>
      </c>
      <c r="E314" s="10" t="str">
        <f t="shared" si="71"/>
        <v>PSNP'!</v>
      </c>
      <c r="F314" s="5" t="str">
        <f t="shared" si="72"/>
        <v>C:\Users\jaime.benazar\Quorum Business Solutions\Ecopetrol Prometeo - Documents\Planning Space Implementation\3. Analysis &amp; Design\Design\FC22\DRR Jaime\QUIFA-CAJÚA\Cajua\[VAS_CAJUA_CF_SEC_20230125.xlsx]CF PSNP'!</v>
      </c>
      <c r="G314" s="7" t="s">
        <v>47</v>
      </c>
      <c r="H314" s="4"/>
      <c r="I314" s="4"/>
      <c r="J314" s="4"/>
    </row>
    <row r="315" spans="1:10" x14ac:dyDescent="0.25">
      <c r="A315" s="7" t="s">
        <v>103</v>
      </c>
      <c r="B315" s="7">
        <f t="shared" si="73"/>
        <v>2032</v>
      </c>
      <c r="C315" s="4" t="s">
        <v>51</v>
      </c>
      <c r="D315" s="5" t="s">
        <v>128</v>
      </c>
      <c r="E315" s="10" t="str">
        <f t="shared" si="71"/>
        <v>PSNP'!</v>
      </c>
      <c r="F315" s="5" t="str">
        <f t="shared" si="72"/>
        <v>C:\Users\jaime.benazar\Quorum Business Solutions\Ecopetrol Prometeo - Documents\Planning Space Implementation\3. Analysis &amp; Design\Design\FC22\DRR Jaime\QUIFA-CAJÚA\Cajua\[VAS_CAJUA_CF_SEC_20230125.xlsx]CF PSNP'!</v>
      </c>
      <c r="G315" s="7" t="s">
        <v>47</v>
      </c>
      <c r="H315" s="4"/>
      <c r="I315" s="4"/>
      <c r="J315" s="4"/>
    </row>
    <row r="316" spans="1:10" x14ac:dyDescent="0.25">
      <c r="A316" s="7" t="s">
        <v>103</v>
      </c>
      <c r="B316" s="7">
        <f t="shared" si="73"/>
        <v>2033</v>
      </c>
      <c r="C316" s="4" t="s">
        <v>51</v>
      </c>
      <c r="D316" s="5" t="s">
        <v>128</v>
      </c>
      <c r="E316" s="10" t="str">
        <f t="shared" si="71"/>
        <v>PSNP'!</v>
      </c>
      <c r="F316" s="5" t="str">
        <f t="shared" si="72"/>
        <v>C:\Users\jaime.benazar\Quorum Business Solutions\Ecopetrol Prometeo - Documents\Planning Space Implementation\3. Analysis &amp; Design\Design\FC22\DRR Jaime\QUIFA-CAJÚA\Cajua\[VAS_CAJUA_CF_SEC_20230125.xlsx]CF PSNP'!</v>
      </c>
      <c r="G316" s="7" t="s">
        <v>47</v>
      </c>
      <c r="H316" s="4"/>
      <c r="I316" s="4"/>
      <c r="J316" s="4"/>
    </row>
    <row r="317" spans="1:10" x14ac:dyDescent="0.25">
      <c r="A317" s="7" t="s">
        <v>103</v>
      </c>
      <c r="B317" s="7">
        <f t="shared" si="73"/>
        <v>2034</v>
      </c>
      <c r="C317" s="4" t="s">
        <v>51</v>
      </c>
      <c r="D317" s="5" t="s">
        <v>128</v>
      </c>
      <c r="E317" s="10" t="str">
        <f t="shared" si="71"/>
        <v>PSNP'!</v>
      </c>
      <c r="F317" s="5" t="str">
        <f t="shared" si="72"/>
        <v>C:\Users\jaime.benazar\Quorum Business Solutions\Ecopetrol Prometeo - Documents\Planning Space Implementation\3. Analysis &amp; Design\Design\FC22\DRR Jaime\QUIFA-CAJÚA\Cajua\[VAS_CAJUA_CF_SEC_20230125.xlsx]CF PSNP'!</v>
      </c>
      <c r="G317" s="7" t="s">
        <v>47</v>
      </c>
      <c r="H317" s="4"/>
      <c r="I317" s="4"/>
      <c r="J317" s="4"/>
    </row>
    <row r="318" spans="1:10" x14ac:dyDescent="0.25">
      <c r="A318" s="7" t="s">
        <v>103</v>
      </c>
      <c r="B318" s="7">
        <f t="shared" si="73"/>
        <v>2035</v>
      </c>
      <c r="C318" s="4" t="s">
        <v>51</v>
      </c>
      <c r="D318" s="5" t="s">
        <v>128</v>
      </c>
      <c r="E318" s="10" t="str">
        <f t="shared" si="71"/>
        <v>PSNP'!</v>
      </c>
      <c r="F318" s="5" t="str">
        <f t="shared" si="72"/>
        <v>C:\Users\jaime.benazar\Quorum Business Solutions\Ecopetrol Prometeo - Documents\Planning Space Implementation\3. Analysis &amp; Design\Design\FC22\DRR Jaime\QUIFA-CAJÚA\Cajua\[VAS_CAJUA_CF_SEC_20230125.xlsx]CF PSNP'!</v>
      </c>
      <c r="G318" s="7" t="s">
        <v>47</v>
      </c>
      <c r="H318" s="4"/>
      <c r="I318" s="4"/>
      <c r="J318" s="4"/>
    </row>
    <row r="319" spans="1:10" x14ac:dyDescent="0.25">
      <c r="A319" s="7" t="s">
        <v>103</v>
      </c>
      <c r="B319" s="7">
        <f t="shared" si="73"/>
        <v>2036</v>
      </c>
      <c r="C319" s="4" t="s">
        <v>51</v>
      </c>
      <c r="D319" s="5" t="s">
        <v>128</v>
      </c>
      <c r="E319" s="10" t="str">
        <f t="shared" si="71"/>
        <v>PSNP'!</v>
      </c>
      <c r="F319" s="5" t="str">
        <f t="shared" si="72"/>
        <v>C:\Users\jaime.benazar\Quorum Business Solutions\Ecopetrol Prometeo - Documents\Planning Space Implementation\3. Analysis &amp; Design\Design\FC22\DRR Jaime\QUIFA-CAJÚA\Cajua\[VAS_CAJUA_CF_SEC_20230125.xlsx]CF PSNP'!</v>
      </c>
      <c r="G319" s="7" t="s">
        <v>47</v>
      </c>
      <c r="H319" s="4"/>
      <c r="I319" s="4"/>
      <c r="J319" s="4"/>
    </row>
    <row r="320" spans="1:10" x14ac:dyDescent="0.25">
      <c r="A320" s="7" t="s">
        <v>103</v>
      </c>
      <c r="B320" s="7">
        <f>+B319+1</f>
        <v>2037</v>
      </c>
      <c r="C320" s="4" t="s">
        <v>51</v>
      </c>
      <c r="D320" s="5" t="s">
        <v>128</v>
      </c>
      <c r="E320" s="10" t="str">
        <f t="shared" si="71"/>
        <v>PSNP'!</v>
      </c>
      <c r="F320" s="5" t="str">
        <f t="shared" si="72"/>
        <v>C:\Users\jaime.benazar\Quorum Business Solutions\Ecopetrol Prometeo - Documents\Planning Space Implementation\3. Analysis &amp; Design\Design\FC22\DRR Jaime\QUIFA-CAJÚA\Cajua\[VAS_CAJUA_CF_SEC_20230125.xlsx]CF PSNP'!</v>
      </c>
      <c r="G320" s="7" t="s">
        <v>47</v>
      </c>
      <c r="H320" s="4"/>
      <c r="I320" s="4"/>
      <c r="J320" s="4"/>
    </row>
    <row r="321" spans="1:10" x14ac:dyDescent="0.25">
      <c r="A321" s="7" t="s">
        <v>103</v>
      </c>
      <c r="B321" s="7">
        <f t="shared" ref="B321:B323" si="74">+B320+1</f>
        <v>2038</v>
      </c>
      <c r="C321" s="4" t="s">
        <v>51</v>
      </c>
      <c r="D321" s="5" t="s">
        <v>128</v>
      </c>
      <c r="E321" s="10" t="str">
        <f t="shared" si="71"/>
        <v>PSNP'!</v>
      </c>
      <c r="F321" s="5" t="str">
        <f t="shared" si="72"/>
        <v>C:\Users\jaime.benazar\Quorum Business Solutions\Ecopetrol Prometeo - Documents\Planning Space Implementation\3. Analysis &amp; Design\Design\FC22\DRR Jaime\QUIFA-CAJÚA\Cajua\[VAS_CAJUA_CF_SEC_20230125.xlsx]CF PSNP'!</v>
      </c>
      <c r="G321" s="7" t="s">
        <v>47</v>
      </c>
      <c r="H321" s="4"/>
      <c r="I321" s="4"/>
      <c r="J321" s="4"/>
    </row>
    <row r="322" spans="1:10" x14ac:dyDescent="0.25">
      <c r="A322" s="7" t="s">
        <v>103</v>
      </c>
      <c r="B322" s="7">
        <f t="shared" si="74"/>
        <v>2039</v>
      </c>
      <c r="C322" s="4" t="s">
        <v>51</v>
      </c>
      <c r="D322" s="5" t="s">
        <v>128</v>
      </c>
      <c r="E322" s="10" t="str">
        <f t="shared" si="71"/>
        <v>PSNP'!</v>
      </c>
      <c r="F322" s="5" t="str">
        <f t="shared" si="72"/>
        <v>C:\Users\jaime.benazar\Quorum Business Solutions\Ecopetrol Prometeo - Documents\Planning Space Implementation\3. Analysis &amp; Design\Design\FC22\DRR Jaime\QUIFA-CAJÚA\Cajua\[VAS_CAJUA_CF_SEC_20230125.xlsx]CF PSNP'!</v>
      </c>
      <c r="G322" s="7" t="s">
        <v>47</v>
      </c>
      <c r="H322" s="4"/>
      <c r="I322" s="4"/>
      <c r="J322" s="4"/>
    </row>
    <row r="323" spans="1:10" x14ac:dyDescent="0.25">
      <c r="A323" s="7" t="s">
        <v>103</v>
      </c>
      <c r="B323" s="7">
        <f t="shared" si="74"/>
        <v>2040</v>
      </c>
      <c r="C323" s="4" t="s">
        <v>51</v>
      </c>
      <c r="D323" s="5" t="s">
        <v>128</v>
      </c>
      <c r="E323" s="10" t="str">
        <f t="shared" si="71"/>
        <v>PSNP'!</v>
      </c>
      <c r="F323" s="5" t="str">
        <f t="shared" si="72"/>
        <v>C:\Users\jaime.benazar\Quorum Business Solutions\Ecopetrol Prometeo - Documents\Planning Space Implementation\3. Analysis &amp; Design\Design\FC22\DRR Jaime\QUIFA-CAJÚA\Cajua\[VAS_CAJUA_CF_SEC_20230125.xlsx]CF PSNP'!</v>
      </c>
      <c r="G323" s="7" t="s">
        <v>47</v>
      </c>
      <c r="H323" s="4"/>
      <c r="I323" s="4"/>
      <c r="J323" s="4"/>
    </row>
    <row r="324" spans="1:10" x14ac:dyDescent="0.25">
      <c r="A324" s="7" t="s">
        <v>103</v>
      </c>
      <c r="B324" s="7">
        <f>+B323+1</f>
        <v>2041</v>
      </c>
      <c r="C324" s="4" t="s">
        <v>51</v>
      </c>
      <c r="D324" s="5" t="s">
        <v>128</v>
      </c>
      <c r="E324" s="10" t="str">
        <f t="shared" si="71"/>
        <v>PSNP'!</v>
      </c>
      <c r="F324" s="5" t="str">
        <f t="shared" si="72"/>
        <v>C:\Users\jaime.benazar\Quorum Business Solutions\Ecopetrol Prometeo - Documents\Planning Space Implementation\3. Analysis &amp; Design\Design\FC22\DRR Jaime\QUIFA-CAJÚA\Cajua\[VAS_CAJUA_CF_SEC_20230125.xlsx]CF PSNP'!</v>
      </c>
      <c r="G324" s="7" t="s">
        <v>47</v>
      </c>
      <c r="H324" s="4"/>
      <c r="I324" s="4"/>
      <c r="J324" s="4"/>
    </row>
    <row r="325" spans="1:10" x14ac:dyDescent="0.25">
      <c r="A325" s="7" t="s">
        <v>103</v>
      </c>
      <c r="B325" s="7">
        <f t="shared" ref="B325:B326" si="75">+B324+1</f>
        <v>2042</v>
      </c>
      <c r="C325" s="4" t="s">
        <v>51</v>
      </c>
      <c r="D325" s="5" t="s">
        <v>128</v>
      </c>
      <c r="E325" s="10" t="str">
        <f t="shared" si="71"/>
        <v>PSNP'!</v>
      </c>
      <c r="F325" s="5" t="str">
        <f t="shared" si="72"/>
        <v>C:\Users\jaime.benazar\Quorum Business Solutions\Ecopetrol Prometeo - Documents\Planning Space Implementation\3. Analysis &amp; Design\Design\FC22\DRR Jaime\QUIFA-CAJÚA\Cajua\[VAS_CAJUA_CF_SEC_20230125.xlsx]CF PSNP'!</v>
      </c>
      <c r="G325" s="7" t="s">
        <v>47</v>
      </c>
      <c r="H325" s="4"/>
      <c r="I325" s="4"/>
      <c r="J325" s="4"/>
    </row>
    <row r="326" spans="1:10" x14ac:dyDescent="0.25">
      <c r="A326" s="7" t="s">
        <v>103</v>
      </c>
      <c r="B326" s="7">
        <f t="shared" si="75"/>
        <v>2043</v>
      </c>
      <c r="C326" s="4" t="s">
        <v>51</v>
      </c>
      <c r="D326" s="5" t="s">
        <v>128</v>
      </c>
      <c r="E326" s="10" t="str">
        <f t="shared" si="71"/>
        <v>PSNP'!</v>
      </c>
      <c r="F326" s="5" t="str">
        <f t="shared" si="72"/>
        <v>C:\Users\jaime.benazar\Quorum Business Solutions\Ecopetrol Prometeo - Documents\Planning Space Implementation\3. Analysis &amp; Design\Design\FC22\DRR Jaime\QUIFA-CAJÚA\Cajua\[VAS_CAJUA_CF_SEC_20230125.xlsx]CF PSNP'!</v>
      </c>
      <c r="G326" s="7" t="s">
        <v>47</v>
      </c>
      <c r="H326" s="4"/>
      <c r="I326" s="4"/>
      <c r="J326" s="4"/>
    </row>
    <row r="327" spans="1:10" x14ac:dyDescent="0.25">
      <c r="A327" s="7" t="s">
        <v>103</v>
      </c>
      <c r="B327" s="7">
        <f>+B326+1</f>
        <v>2044</v>
      </c>
      <c r="C327" s="4" t="s">
        <v>51</v>
      </c>
      <c r="D327" s="5" t="s">
        <v>128</v>
      </c>
      <c r="E327" s="10" t="str">
        <f t="shared" ref="E327:E342" si="76">_xlfn.CONCAT(A327,"'!")</f>
        <v>PSNP'!</v>
      </c>
      <c r="F327" s="5" t="str">
        <f t="shared" ref="F327:F342" si="77">_xlfn.CONCAT(D327," ",E327)</f>
        <v>C:\Users\jaime.benazar\Quorum Business Solutions\Ecopetrol Prometeo - Documents\Planning Space Implementation\3. Analysis &amp; Design\Design\FC22\DRR Jaime\QUIFA-CAJÚA\Cajua\[VAS_CAJUA_CF_SEC_20230125.xlsx]CF PSNP'!</v>
      </c>
      <c r="G327" s="7" t="s">
        <v>47</v>
      </c>
      <c r="H327" s="4"/>
      <c r="I327" s="4"/>
      <c r="J327" s="4"/>
    </row>
    <row r="328" spans="1:10" x14ac:dyDescent="0.25">
      <c r="A328" s="7" t="s">
        <v>103</v>
      </c>
      <c r="B328" s="7">
        <f t="shared" ref="B328:B342" si="78">+B327+1</f>
        <v>2045</v>
      </c>
      <c r="C328" s="4" t="s">
        <v>51</v>
      </c>
      <c r="D328" s="5" t="s">
        <v>128</v>
      </c>
      <c r="E328" s="10" t="str">
        <f t="shared" si="76"/>
        <v>PSNP'!</v>
      </c>
      <c r="F328" s="5" t="str">
        <f t="shared" si="77"/>
        <v>C:\Users\jaime.benazar\Quorum Business Solutions\Ecopetrol Prometeo - Documents\Planning Space Implementation\3. Analysis &amp; Design\Design\FC22\DRR Jaime\QUIFA-CAJÚA\Cajua\[VAS_CAJUA_CF_SEC_20230125.xlsx]CF PSNP'!</v>
      </c>
      <c r="G328" s="7" t="s">
        <v>47</v>
      </c>
      <c r="H328" s="4"/>
      <c r="I328" s="4"/>
      <c r="J328" s="4"/>
    </row>
    <row r="329" spans="1:10" x14ac:dyDescent="0.25">
      <c r="A329" s="7" t="s">
        <v>103</v>
      </c>
      <c r="B329" s="7">
        <f t="shared" si="78"/>
        <v>2046</v>
      </c>
      <c r="C329" s="4" t="s">
        <v>51</v>
      </c>
      <c r="D329" s="5" t="s">
        <v>128</v>
      </c>
      <c r="E329" s="10" t="str">
        <f t="shared" si="76"/>
        <v>PSNP'!</v>
      </c>
      <c r="F329" s="5" t="str">
        <f t="shared" si="77"/>
        <v>C:\Users\jaime.benazar\Quorum Business Solutions\Ecopetrol Prometeo - Documents\Planning Space Implementation\3. Analysis &amp; Design\Design\FC22\DRR Jaime\QUIFA-CAJÚA\Cajua\[VAS_CAJUA_CF_SEC_20230125.xlsx]CF PSNP'!</v>
      </c>
      <c r="G329" s="7" t="s">
        <v>47</v>
      </c>
      <c r="H329" s="4"/>
      <c r="I329" s="4"/>
      <c r="J329" s="4"/>
    </row>
    <row r="330" spans="1:10" x14ac:dyDescent="0.25">
      <c r="A330" s="7" t="s">
        <v>103</v>
      </c>
      <c r="B330" s="7">
        <f t="shared" si="78"/>
        <v>2047</v>
      </c>
      <c r="C330" s="4" t="s">
        <v>51</v>
      </c>
      <c r="D330" s="5" t="s">
        <v>128</v>
      </c>
      <c r="E330" s="10" t="str">
        <f t="shared" si="76"/>
        <v>PSNP'!</v>
      </c>
      <c r="F330" s="5" t="str">
        <f t="shared" si="77"/>
        <v>C:\Users\jaime.benazar\Quorum Business Solutions\Ecopetrol Prometeo - Documents\Planning Space Implementation\3. Analysis &amp; Design\Design\FC22\DRR Jaime\QUIFA-CAJÚA\Cajua\[VAS_CAJUA_CF_SEC_20230125.xlsx]CF PSNP'!</v>
      </c>
      <c r="G330" s="7" t="s">
        <v>47</v>
      </c>
      <c r="H330" s="4"/>
      <c r="I330" s="4"/>
      <c r="J330" s="4"/>
    </row>
    <row r="331" spans="1:10" x14ac:dyDescent="0.25">
      <c r="A331" s="7" t="s">
        <v>103</v>
      </c>
      <c r="B331" s="7">
        <f t="shared" si="78"/>
        <v>2048</v>
      </c>
      <c r="C331" s="4" t="s">
        <v>51</v>
      </c>
      <c r="D331" s="5" t="s">
        <v>128</v>
      </c>
      <c r="E331" s="10" t="str">
        <f t="shared" si="76"/>
        <v>PSNP'!</v>
      </c>
      <c r="F331" s="5" t="str">
        <f t="shared" si="77"/>
        <v>C:\Users\jaime.benazar\Quorum Business Solutions\Ecopetrol Prometeo - Documents\Planning Space Implementation\3. Analysis &amp; Design\Design\FC22\DRR Jaime\QUIFA-CAJÚA\Cajua\[VAS_CAJUA_CF_SEC_20230125.xlsx]CF PSNP'!</v>
      </c>
      <c r="G331" s="7" t="s">
        <v>47</v>
      </c>
      <c r="H331" s="4"/>
      <c r="I331" s="4"/>
      <c r="J331" s="4"/>
    </row>
    <row r="332" spans="1:10" x14ac:dyDescent="0.25">
      <c r="A332" s="7" t="s">
        <v>103</v>
      </c>
      <c r="B332" s="7">
        <f t="shared" si="78"/>
        <v>2049</v>
      </c>
      <c r="C332" s="4" t="s">
        <v>51</v>
      </c>
      <c r="D332" s="5" t="s">
        <v>128</v>
      </c>
      <c r="E332" s="10" t="str">
        <f t="shared" si="76"/>
        <v>PSNP'!</v>
      </c>
      <c r="F332" s="5" t="str">
        <f t="shared" si="77"/>
        <v>C:\Users\jaime.benazar\Quorum Business Solutions\Ecopetrol Prometeo - Documents\Planning Space Implementation\3. Analysis &amp; Design\Design\FC22\DRR Jaime\QUIFA-CAJÚA\Cajua\[VAS_CAJUA_CF_SEC_20230125.xlsx]CF PSNP'!</v>
      </c>
      <c r="G332" s="7" t="s">
        <v>47</v>
      </c>
      <c r="H332" s="4"/>
      <c r="I332" s="4"/>
      <c r="J332" s="4"/>
    </row>
    <row r="333" spans="1:10" x14ac:dyDescent="0.25">
      <c r="A333" s="7" t="s">
        <v>103</v>
      </c>
      <c r="B333" s="7">
        <f t="shared" si="78"/>
        <v>2050</v>
      </c>
      <c r="C333" s="4" t="s">
        <v>51</v>
      </c>
      <c r="D333" s="5" t="s">
        <v>128</v>
      </c>
      <c r="E333" s="10" t="str">
        <f t="shared" si="76"/>
        <v>PSNP'!</v>
      </c>
      <c r="F333" s="5" t="str">
        <f t="shared" si="77"/>
        <v>C:\Users\jaime.benazar\Quorum Business Solutions\Ecopetrol Prometeo - Documents\Planning Space Implementation\3. Analysis &amp; Design\Design\FC22\DRR Jaime\QUIFA-CAJÚA\Cajua\[VAS_CAJUA_CF_SEC_20230125.xlsx]CF PSNP'!</v>
      </c>
      <c r="G333" s="7" t="s">
        <v>47</v>
      </c>
      <c r="H333" s="4"/>
      <c r="I333" s="4"/>
      <c r="J333" s="4"/>
    </row>
    <row r="334" spans="1:10" x14ac:dyDescent="0.25">
      <c r="A334" s="7" t="s">
        <v>103</v>
      </c>
      <c r="B334" s="7">
        <f t="shared" si="78"/>
        <v>2051</v>
      </c>
      <c r="C334" s="4" t="s">
        <v>51</v>
      </c>
      <c r="D334" s="5" t="s">
        <v>128</v>
      </c>
      <c r="E334" s="10" t="str">
        <f t="shared" si="76"/>
        <v>PSNP'!</v>
      </c>
      <c r="F334" s="5" t="str">
        <f t="shared" si="77"/>
        <v>C:\Users\jaime.benazar\Quorum Business Solutions\Ecopetrol Prometeo - Documents\Planning Space Implementation\3. Analysis &amp; Design\Design\FC22\DRR Jaime\QUIFA-CAJÚA\Cajua\[VAS_CAJUA_CF_SEC_20230125.xlsx]CF PSNP'!</v>
      </c>
      <c r="G334" s="7" t="s">
        <v>47</v>
      </c>
      <c r="H334" s="4"/>
      <c r="I334" s="4"/>
      <c r="J334" s="4"/>
    </row>
    <row r="335" spans="1:10" x14ac:dyDescent="0.25">
      <c r="A335" s="7" t="s">
        <v>103</v>
      </c>
      <c r="B335" s="7">
        <f t="shared" si="78"/>
        <v>2052</v>
      </c>
      <c r="C335" s="4" t="s">
        <v>51</v>
      </c>
      <c r="D335" s="5" t="s">
        <v>128</v>
      </c>
      <c r="E335" s="10" t="str">
        <f t="shared" si="76"/>
        <v>PSNP'!</v>
      </c>
      <c r="F335" s="5" t="str">
        <f t="shared" si="77"/>
        <v>C:\Users\jaime.benazar\Quorum Business Solutions\Ecopetrol Prometeo - Documents\Planning Space Implementation\3. Analysis &amp; Design\Design\FC22\DRR Jaime\QUIFA-CAJÚA\Cajua\[VAS_CAJUA_CF_SEC_20230125.xlsx]CF PSNP'!</v>
      </c>
      <c r="G335" s="7" t="s">
        <v>47</v>
      </c>
      <c r="H335" s="4"/>
      <c r="I335" s="4"/>
      <c r="J335" s="4"/>
    </row>
    <row r="336" spans="1:10" x14ac:dyDescent="0.25">
      <c r="A336" s="7" t="s">
        <v>103</v>
      </c>
      <c r="B336" s="7">
        <f t="shared" si="78"/>
        <v>2053</v>
      </c>
      <c r="C336" s="4" t="s">
        <v>51</v>
      </c>
      <c r="D336" s="5" t="s">
        <v>128</v>
      </c>
      <c r="E336" s="10" t="str">
        <f t="shared" si="76"/>
        <v>PSNP'!</v>
      </c>
      <c r="F336" s="5" t="str">
        <f t="shared" si="77"/>
        <v>C:\Users\jaime.benazar\Quorum Business Solutions\Ecopetrol Prometeo - Documents\Planning Space Implementation\3. Analysis &amp; Design\Design\FC22\DRR Jaime\QUIFA-CAJÚA\Cajua\[VAS_CAJUA_CF_SEC_20230125.xlsx]CF PSNP'!</v>
      </c>
      <c r="G336" s="7" t="s">
        <v>47</v>
      </c>
      <c r="H336" s="4"/>
      <c r="I336" s="4"/>
      <c r="J336" s="4"/>
    </row>
    <row r="337" spans="1:10" x14ac:dyDescent="0.25">
      <c r="A337" s="7" t="s">
        <v>103</v>
      </c>
      <c r="B337" s="7">
        <f t="shared" si="78"/>
        <v>2054</v>
      </c>
      <c r="C337" s="4" t="s">
        <v>51</v>
      </c>
      <c r="D337" s="5" t="s">
        <v>128</v>
      </c>
      <c r="E337" s="10" t="str">
        <f t="shared" si="76"/>
        <v>PSNP'!</v>
      </c>
      <c r="F337" s="5" t="str">
        <f t="shared" si="77"/>
        <v>C:\Users\jaime.benazar\Quorum Business Solutions\Ecopetrol Prometeo - Documents\Planning Space Implementation\3. Analysis &amp; Design\Design\FC22\DRR Jaime\QUIFA-CAJÚA\Cajua\[VAS_CAJUA_CF_SEC_20230125.xlsx]CF PSNP'!</v>
      </c>
      <c r="G337" s="7" t="s">
        <v>47</v>
      </c>
      <c r="H337" s="4"/>
      <c r="I337" s="4"/>
      <c r="J337" s="4"/>
    </row>
    <row r="338" spans="1:10" x14ac:dyDescent="0.25">
      <c r="A338" s="7" t="s">
        <v>103</v>
      </c>
      <c r="B338" s="7">
        <f t="shared" si="78"/>
        <v>2055</v>
      </c>
      <c r="C338" s="4" t="s">
        <v>51</v>
      </c>
      <c r="D338" s="5" t="s">
        <v>128</v>
      </c>
      <c r="E338" s="10" t="str">
        <f t="shared" si="76"/>
        <v>PSNP'!</v>
      </c>
      <c r="F338" s="5" t="str">
        <f t="shared" si="77"/>
        <v>C:\Users\jaime.benazar\Quorum Business Solutions\Ecopetrol Prometeo - Documents\Planning Space Implementation\3. Analysis &amp; Design\Design\FC22\DRR Jaime\QUIFA-CAJÚA\Cajua\[VAS_CAJUA_CF_SEC_20230125.xlsx]CF PSNP'!</v>
      </c>
      <c r="G338" s="7" t="s">
        <v>47</v>
      </c>
      <c r="H338" s="4"/>
      <c r="I338" s="4"/>
      <c r="J338" s="4"/>
    </row>
    <row r="339" spans="1:10" x14ac:dyDescent="0.25">
      <c r="A339" s="7" t="s">
        <v>103</v>
      </c>
      <c r="B339" s="7">
        <f t="shared" si="78"/>
        <v>2056</v>
      </c>
      <c r="C339" s="4" t="s">
        <v>51</v>
      </c>
      <c r="D339" s="5" t="s">
        <v>128</v>
      </c>
      <c r="E339" s="10" t="str">
        <f t="shared" si="76"/>
        <v>PSNP'!</v>
      </c>
      <c r="F339" s="5" t="str">
        <f t="shared" si="77"/>
        <v>C:\Users\jaime.benazar\Quorum Business Solutions\Ecopetrol Prometeo - Documents\Planning Space Implementation\3. Analysis &amp; Design\Design\FC22\DRR Jaime\QUIFA-CAJÚA\Cajua\[VAS_CAJUA_CF_SEC_20230125.xlsx]CF PSNP'!</v>
      </c>
      <c r="G339" s="7" t="s">
        <v>47</v>
      </c>
      <c r="H339" s="4"/>
      <c r="I339" s="4"/>
      <c r="J339" s="4"/>
    </row>
    <row r="340" spans="1:10" x14ac:dyDescent="0.25">
      <c r="A340" s="7" t="s">
        <v>103</v>
      </c>
      <c r="B340" s="7">
        <f t="shared" si="78"/>
        <v>2057</v>
      </c>
      <c r="C340" s="4" t="s">
        <v>51</v>
      </c>
      <c r="D340" s="5" t="s">
        <v>128</v>
      </c>
      <c r="E340" s="10" t="str">
        <f t="shared" si="76"/>
        <v>PSNP'!</v>
      </c>
      <c r="F340" s="5" t="str">
        <f t="shared" si="77"/>
        <v>C:\Users\jaime.benazar\Quorum Business Solutions\Ecopetrol Prometeo - Documents\Planning Space Implementation\3. Analysis &amp; Design\Design\FC22\DRR Jaime\QUIFA-CAJÚA\Cajua\[VAS_CAJUA_CF_SEC_20230125.xlsx]CF PSNP'!</v>
      </c>
      <c r="G340" s="7" t="s">
        <v>47</v>
      </c>
      <c r="H340" s="4"/>
      <c r="I340" s="4"/>
      <c r="J340" s="4"/>
    </row>
    <row r="341" spans="1:10" x14ac:dyDescent="0.25">
      <c r="A341" s="7" t="s">
        <v>103</v>
      </c>
      <c r="B341" s="7">
        <f t="shared" si="78"/>
        <v>2058</v>
      </c>
      <c r="C341" s="4" t="s">
        <v>51</v>
      </c>
      <c r="D341" s="5" t="s">
        <v>128</v>
      </c>
      <c r="E341" s="10" t="str">
        <f t="shared" si="76"/>
        <v>PSNP'!</v>
      </c>
      <c r="F341" s="5" t="str">
        <f t="shared" si="77"/>
        <v>C:\Users\jaime.benazar\Quorum Business Solutions\Ecopetrol Prometeo - Documents\Planning Space Implementation\3. Analysis &amp; Design\Design\FC22\DRR Jaime\QUIFA-CAJÚA\Cajua\[VAS_CAJUA_CF_SEC_20230125.xlsx]CF PSNP'!</v>
      </c>
      <c r="G341" s="7" t="s">
        <v>47</v>
      </c>
      <c r="H341" s="4"/>
      <c r="I341" s="4"/>
      <c r="J341" s="4"/>
    </row>
    <row r="342" spans="1:10" x14ac:dyDescent="0.25">
      <c r="A342" s="7" t="s">
        <v>103</v>
      </c>
      <c r="B342" s="7">
        <f t="shared" si="78"/>
        <v>2059</v>
      </c>
      <c r="C342" s="4" t="s">
        <v>51</v>
      </c>
      <c r="D342" s="5" t="s">
        <v>128</v>
      </c>
      <c r="E342" s="10" t="str">
        <f t="shared" si="76"/>
        <v>PSNP'!</v>
      </c>
      <c r="F342" s="5" t="str">
        <f t="shared" si="77"/>
        <v>C:\Users\jaime.benazar\Quorum Business Solutions\Ecopetrol Prometeo - Documents\Planning Space Implementation\3. Analysis &amp; Design\Design\FC22\DRR Jaime\QUIFA-CAJÚA\Cajua\[VAS_CAJUA_CF_SEC_20230125.xlsx]CF PSNP'!</v>
      </c>
      <c r="G342" s="7" t="s">
        <v>47</v>
      </c>
      <c r="H342" s="4"/>
      <c r="I342" s="4"/>
      <c r="J342" s="4"/>
    </row>
    <row r="343" spans="1:10" x14ac:dyDescent="0.25">
      <c r="A343" s="7" t="s">
        <v>28</v>
      </c>
      <c r="B343" s="7"/>
      <c r="C343" s="4" t="s">
        <v>51</v>
      </c>
      <c r="D343" s="5"/>
      <c r="E343" s="10"/>
      <c r="F343" s="5" t="str">
        <f t="shared" si="72"/>
        <v xml:space="preserve"> </v>
      </c>
      <c r="G343" s="7"/>
      <c r="H343" s="4"/>
      <c r="I343" s="4"/>
      <c r="J343" s="4"/>
    </row>
    <row r="344" spans="1:10" x14ac:dyDescent="0.25">
      <c r="A344" s="7" t="s">
        <v>104</v>
      </c>
      <c r="B344" s="7">
        <v>2023</v>
      </c>
      <c r="C344" s="4" t="s">
        <v>51</v>
      </c>
      <c r="D344" s="5" t="s">
        <v>128</v>
      </c>
      <c r="E344" s="10" t="str">
        <f t="shared" ref="E344:E364" si="79">_xlfn.CONCAT(A344,"'!")</f>
        <v>PSND'!</v>
      </c>
      <c r="F344" s="5" t="str">
        <f t="shared" si="72"/>
        <v>C:\Users\jaime.benazar\Quorum Business Solutions\Ecopetrol Prometeo - Documents\Planning Space Implementation\3. Analysis &amp; Design\Design\FC22\DRR Jaime\QUIFA-CAJÚA\Cajua\[VAS_CAJUA_CF_SEC_20230125.xlsx]CF PSND'!</v>
      </c>
      <c r="G344" s="7" t="s">
        <v>47</v>
      </c>
      <c r="H344" s="4"/>
      <c r="I344" s="4"/>
      <c r="J344" s="4"/>
    </row>
    <row r="345" spans="1:10" x14ac:dyDescent="0.25">
      <c r="A345" s="7" t="s">
        <v>104</v>
      </c>
      <c r="B345" s="7">
        <f>+B344+1</f>
        <v>2024</v>
      </c>
      <c r="C345" s="4" t="s">
        <v>51</v>
      </c>
      <c r="D345" s="5" t="s">
        <v>128</v>
      </c>
      <c r="E345" s="10" t="str">
        <f t="shared" si="79"/>
        <v>PSND'!</v>
      </c>
      <c r="F345" s="5" t="str">
        <f t="shared" si="72"/>
        <v>C:\Users\jaime.benazar\Quorum Business Solutions\Ecopetrol Prometeo - Documents\Planning Space Implementation\3. Analysis &amp; Design\Design\FC22\DRR Jaime\QUIFA-CAJÚA\Cajua\[VAS_CAJUA_CF_SEC_20230125.xlsx]CF PSND'!</v>
      </c>
      <c r="G345" s="7" t="s">
        <v>47</v>
      </c>
      <c r="H345" s="4"/>
      <c r="I345" s="4"/>
      <c r="J345" s="4"/>
    </row>
    <row r="346" spans="1:10" x14ac:dyDescent="0.25">
      <c r="A346" s="7" t="s">
        <v>104</v>
      </c>
      <c r="B346" s="7">
        <f t="shared" ref="B346:B357" si="80">+B345+1</f>
        <v>2025</v>
      </c>
      <c r="C346" s="4" t="s">
        <v>51</v>
      </c>
      <c r="D346" s="5" t="s">
        <v>128</v>
      </c>
      <c r="E346" s="10" t="str">
        <f t="shared" si="79"/>
        <v>PSND'!</v>
      </c>
      <c r="F346" s="5" t="str">
        <f t="shared" si="72"/>
        <v>C:\Users\jaime.benazar\Quorum Business Solutions\Ecopetrol Prometeo - Documents\Planning Space Implementation\3. Analysis &amp; Design\Design\FC22\DRR Jaime\QUIFA-CAJÚA\Cajua\[VAS_CAJUA_CF_SEC_20230125.xlsx]CF PSND'!</v>
      </c>
      <c r="G346" s="7" t="s">
        <v>47</v>
      </c>
      <c r="H346" s="4"/>
      <c r="I346" s="4"/>
      <c r="J346" s="4"/>
    </row>
    <row r="347" spans="1:10" x14ac:dyDescent="0.25">
      <c r="A347" s="7" t="s">
        <v>104</v>
      </c>
      <c r="B347" s="7">
        <f t="shared" si="80"/>
        <v>2026</v>
      </c>
      <c r="C347" s="4" t="s">
        <v>51</v>
      </c>
      <c r="D347" s="5" t="s">
        <v>128</v>
      </c>
      <c r="E347" s="10" t="str">
        <f t="shared" si="79"/>
        <v>PSND'!</v>
      </c>
      <c r="F347" s="5" t="str">
        <f t="shared" si="72"/>
        <v>C:\Users\jaime.benazar\Quorum Business Solutions\Ecopetrol Prometeo - Documents\Planning Space Implementation\3. Analysis &amp; Design\Design\FC22\DRR Jaime\QUIFA-CAJÚA\Cajua\[VAS_CAJUA_CF_SEC_20230125.xlsx]CF PSND'!</v>
      </c>
      <c r="G347" s="7" t="s">
        <v>47</v>
      </c>
      <c r="H347" s="4"/>
      <c r="I347" s="4"/>
      <c r="J347" s="4"/>
    </row>
    <row r="348" spans="1:10" x14ac:dyDescent="0.25">
      <c r="A348" s="7" t="s">
        <v>104</v>
      </c>
      <c r="B348" s="7">
        <f t="shared" si="80"/>
        <v>2027</v>
      </c>
      <c r="C348" s="4" t="s">
        <v>51</v>
      </c>
      <c r="D348" s="5" t="s">
        <v>128</v>
      </c>
      <c r="E348" s="10" t="str">
        <f t="shared" si="79"/>
        <v>PSND'!</v>
      </c>
      <c r="F348" s="5" t="str">
        <f t="shared" si="72"/>
        <v>C:\Users\jaime.benazar\Quorum Business Solutions\Ecopetrol Prometeo - Documents\Planning Space Implementation\3. Analysis &amp; Design\Design\FC22\DRR Jaime\QUIFA-CAJÚA\Cajua\[VAS_CAJUA_CF_SEC_20230125.xlsx]CF PSND'!</v>
      </c>
      <c r="G348" s="7" t="s">
        <v>47</v>
      </c>
      <c r="H348" s="4"/>
      <c r="I348" s="4"/>
      <c r="J348" s="4"/>
    </row>
    <row r="349" spans="1:10" x14ac:dyDescent="0.25">
      <c r="A349" s="7" t="s">
        <v>104</v>
      </c>
      <c r="B349" s="7">
        <f t="shared" si="80"/>
        <v>2028</v>
      </c>
      <c r="C349" s="4" t="s">
        <v>51</v>
      </c>
      <c r="D349" s="5" t="s">
        <v>128</v>
      </c>
      <c r="E349" s="10" t="str">
        <f t="shared" si="79"/>
        <v>PSND'!</v>
      </c>
      <c r="F349" s="5" t="str">
        <f t="shared" si="72"/>
        <v>C:\Users\jaime.benazar\Quorum Business Solutions\Ecopetrol Prometeo - Documents\Planning Space Implementation\3. Analysis &amp; Design\Design\FC22\DRR Jaime\QUIFA-CAJÚA\Cajua\[VAS_CAJUA_CF_SEC_20230125.xlsx]CF PSND'!</v>
      </c>
      <c r="G349" s="7" t="s">
        <v>47</v>
      </c>
      <c r="H349" s="4"/>
      <c r="I349" s="4"/>
      <c r="J349" s="4"/>
    </row>
    <row r="350" spans="1:10" x14ac:dyDescent="0.25">
      <c r="A350" s="7" t="s">
        <v>104</v>
      </c>
      <c r="B350" s="7">
        <f t="shared" si="80"/>
        <v>2029</v>
      </c>
      <c r="C350" s="4" t="s">
        <v>51</v>
      </c>
      <c r="D350" s="5" t="s">
        <v>128</v>
      </c>
      <c r="E350" s="10" t="str">
        <f t="shared" si="79"/>
        <v>PSND'!</v>
      </c>
      <c r="F350" s="5" t="str">
        <f t="shared" si="72"/>
        <v>C:\Users\jaime.benazar\Quorum Business Solutions\Ecopetrol Prometeo - Documents\Planning Space Implementation\3. Analysis &amp; Design\Design\FC22\DRR Jaime\QUIFA-CAJÚA\Cajua\[VAS_CAJUA_CF_SEC_20230125.xlsx]CF PSND'!</v>
      </c>
      <c r="G350" s="7" t="s">
        <v>47</v>
      </c>
      <c r="H350" s="4"/>
      <c r="I350" s="4"/>
      <c r="J350" s="4"/>
    </row>
    <row r="351" spans="1:10" x14ac:dyDescent="0.25">
      <c r="A351" s="7" t="s">
        <v>104</v>
      </c>
      <c r="B351" s="7">
        <f t="shared" si="80"/>
        <v>2030</v>
      </c>
      <c r="C351" s="4" t="s">
        <v>51</v>
      </c>
      <c r="D351" s="5" t="s">
        <v>128</v>
      </c>
      <c r="E351" s="10" t="str">
        <f t="shared" si="79"/>
        <v>PSND'!</v>
      </c>
      <c r="F351" s="5" t="str">
        <f t="shared" si="72"/>
        <v>C:\Users\jaime.benazar\Quorum Business Solutions\Ecopetrol Prometeo - Documents\Planning Space Implementation\3. Analysis &amp; Design\Design\FC22\DRR Jaime\QUIFA-CAJÚA\Cajua\[VAS_CAJUA_CF_SEC_20230125.xlsx]CF PSND'!</v>
      </c>
      <c r="G351" s="7" t="s">
        <v>47</v>
      </c>
      <c r="H351" s="4"/>
      <c r="I351" s="4"/>
      <c r="J351" s="4"/>
    </row>
    <row r="352" spans="1:10" x14ac:dyDescent="0.25">
      <c r="A352" s="7" t="s">
        <v>104</v>
      </c>
      <c r="B352" s="7">
        <f t="shared" si="80"/>
        <v>2031</v>
      </c>
      <c r="C352" s="4" t="s">
        <v>51</v>
      </c>
      <c r="D352" s="5" t="s">
        <v>128</v>
      </c>
      <c r="E352" s="10" t="str">
        <f t="shared" si="79"/>
        <v>PSND'!</v>
      </c>
      <c r="F352" s="5" t="str">
        <f t="shared" si="72"/>
        <v>C:\Users\jaime.benazar\Quorum Business Solutions\Ecopetrol Prometeo - Documents\Planning Space Implementation\3. Analysis &amp; Design\Design\FC22\DRR Jaime\QUIFA-CAJÚA\Cajua\[VAS_CAJUA_CF_SEC_20230125.xlsx]CF PSND'!</v>
      </c>
      <c r="G352" s="7" t="s">
        <v>47</v>
      </c>
      <c r="H352" s="4"/>
      <c r="I352" s="4"/>
      <c r="J352" s="4"/>
    </row>
    <row r="353" spans="1:10" x14ac:dyDescent="0.25">
      <c r="A353" s="7" t="s">
        <v>104</v>
      </c>
      <c r="B353" s="7">
        <f t="shared" si="80"/>
        <v>2032</v>
      </c>
      <c r="C353" s="4" t="s">
        <v>51</v>
      </c>
      <c r="D353" s="5" t="s">
        <v>128</v>
      </c>
      <c r="E353" s="10" t="str">
        <f t="shared" si="79"/>
        <v>PSND'!</v>
      </c>
      <c r="F353" s="5" t="str">
        <f t="shared" si="72"/>
        <v>C:\Users\jaime.benazar\Quorum Business Solutions\Ecopetrol Prometeo - Documents\Planning Space Implementation\3. Analysis &amp; Design\Design\FC22\DRR Jaime\QUIFA-CAJÚA\Cajua\[VAS_CAJUA_CF_SEC_20230125.xlsx]CF PSND'!</v>
      </c>
      <c r="G353" s="7" t="s">
        <v>47</v>
      </c>
      <c r="H353" s="4"/>
      <c r="I353" s="4"/>
      <c r="J353" s="4"/>
    </row>
    <row r="354" spans="1:10" x14ac:dyDescent="0.25">
      <c r="A354" s="7" t="s">
        <v>104</v>
      </c>
      <c r="B354" s="7">
        <f t="shared" si="80"/>
        <v>2033</v>
      </c>
      <c r="C354" s="4" t="s">
        <v>51</v>
      </c>
      <c r="D354" s="5" t="s">
        <v>128</v>
      </c>
      <c r="E354" s="10" t="str">
        <f t="shared" si="79"/>
        <v>PSND'!</v>
      </c>
      <c r="F354" s="5" t="str">
        <f t="shared" si="72"/>
        <v>C:\Users\jaime.benazar\Quorum Business Solutions\Ecopetrol Prometeo - Documents\Planning Space Implementation\3. Analysis &amp; Design\Design\FC22\DRR Jaime\QUIFA-CAJÚA\Cajua\[VAS_CAJUA_CF_SEC_20230125.xlsx]CF PSND'!</v>
      </c>
      <c r="G354" s="7" t="s">
        <v>47</v>
      </c>
      <c r="H354" s="4"/>
      <c r="I354" s="4"/>
      <c r="J354" s="4"/>
    </row>
    <row r="355" spans="1:10" x14ac:dyDescent="0.25">
      <c r="A355" s="7" t="s">
        <v>104</v>
      </c>
      <c r="B355" s="7">
        <f t="shared" si="80"/>
        <v>2034</v>
      </c>
      <c r="C355" s="4" t="s">
        <v>51</v>
      </c>
      <c r="D355" s="5" t="s">
        <v>128</v>
      </c>
      <c r="E355" s="10" t="str">
        <f t="shared" si="79"/>
        <v>PSND'!</v>
      </c>
      <c r="F355" s="5" t="str">
        <f t="shared" si="72"/>
        <v>C:\Users\jaime.benazar\Quorum Business Solutions\Ecopetrol Prometeo - Documents\Planning Space Implementation\3. Analysis &amp; Design\Design\FC22\DRR Jaime\QUIFA-CAJÚA\Cajua\[VAS_CAJUA_CF_SEC_20230125.xlsx]CF PSND'!</v>
      </c>
      <c r="G355" s="7" t="s">
        <v>47</v>
      </c>
      <c r="H355" s="4"/>
      <c r="I355" s="4"/>
      <c r="J355" s="4"/>
    </row>
    <row r="356" spans="1:10" x14ac:dyDescent="0.25">
      <c r="A356" s="7" t="s">
        <v>104</v>
      </c>
      <c r="B356" s="7">
        <f t="shared" si="80"/>
        <v>2035</v>
      </c>
      <c r="C356" s="4" t="s">
        <v>51</v>
      </c>
      <c r="D356" s="5" t="s">
        <v>128</v>
      </c>
      <c r="E356" s="10" t="str">
        <f t="shared" si="79"/>
        <v>PSND'!</v>
      </c>
      <c r="F356" s="5" t="str">
        <f t="shared" si="72"/>
        <v>C:\Users\jaime.benazar\Quorum Business Solutions\Ecopetrol Prometeo - Documents\Planning Space Implementation\3. Analysis &amp; Design\Design\FC22\DRR Jaime\QUIFA-CAJÚA\Cajua\[VAS_CAJUA_CF_SEC_20230125.xlsx]CF PSND'!</v>
      </c>
      <c r="G356" s="7" t="s">
        <v>47</v>
      </c>
      <c r="H356" s="4"/>
      <c r="I356" s="4"/>
      <c r="J356" s="4"/>
    </row>
    <row r="357" spans="1:10" x14ac:dyDescent="0.25">
      <c r="A357" s="7" t="s">
        <v>104</v>
      </c>
      <c r="B357" s="7">
        <f t="shared" si="80"/>
        <v>2036</v>
      </c>
      <c r="C357" s="4" t="s">
        <v>51</v>
      </c>
      <c r="D357" s="5" t="s">
        <v>128</v>
      </c>
      <c r="E357" s="10" t="str">
        <f t="shared" si="79"/>
        <v>PSND'!</v>
      </c>
      <c r="F357" s="5" t="str">
        <f t="shared" si="72"/>
        <v>C:\Users\jaime.benazar\Quorum Business Solutions\Ecopetrol Prometeo - Documents\Planning Space Implementation\3. Analysis &amp; Design\Design\FC22\DRR Jaime\QUIFA-CAJÚA\Cajua\[VAS_CAJUA_CF_SEC_20230125.xlsx]CF PSND'!</v>
      </c>
      <c r="G357" s="7" t="s">
        <v>47</v>
      </c>
      <c r="H357" s="4"/>
      <c r="I357" s="4"/>
      <c r="J357" s="4"/>
    </row>
    <row r="358" spans="1:10" x14ac:dyDescent="0.25">
      <c r="A358" s="7" t="s">
        <v>104</v>
      </c>
      <c r="B358" s="7">
        <f>+B357+1</f>
        <v>2037</v>
      </c>
      <c r="C358" s="4" t="s">
        <v>51</v>
      </c>
      <c r="D358" s="5" t="s">
        <v>128</v>
      </c>
      <c r="E358" s="10" t="str">
        <f t="shared" si="79"/>
        <v>PSND'!</v>
      </c>
      <c r="F358" s="5" t="str">
        <f t="shared" si="72"/>
        <v>C:\Users\jaime.benazar\Quorum Business Solutions\Ecopetrol Prometeo - Documents\Planning Space Implementation\3. Analysis &amp; Design\Design\FC22\DRR Jaime\QUIFA-CAJÚA\Cajua\[VAS_CAJUA_CF_SEC_20230125.xlsx]CF PSND'!</v>
      </c>
      <c r="G358" s="7" t="s">
        <v>47</v>
      </c>
      <c r="H358" s="4"/>
      <c r="I358" s="4"/>
      <c r="J358" s="4"/>
    </row>
    <row r="359" spans="1:10" x14ac:dyDescent="0.25">
      <c r="A359" s="7" t="s">
        <v>104</v>
      </c>
      <c r="B359" s="7">
        <f t="shared" ref="B359:B361" si="81">+B358+1</f>
        <v>2038</v>
      </c>
      <c r="C359" s="4" t="s">
        <v>51</v>
      </c>
      <c r="D359" s="5" t="s">
        <v>128</v>
      </c>
      <c r="E359" s="10" t="str">
        <f t="shared" si="79"/>
        <v>PSND'!</v>
      </c>
      <c r="F359" s="5" t="str">
        <f t="shared" si="72"/>
        <v>C:\Users\jaime.benazar\Quorum Business Solutions\Ecopetrol Prometeo - Documents\Planning Space Implementation\3. Analysis &amp; Design\Design\FC22\DRR Jaime\QUIFA-CAJÚA\Cajua\[VAS_CAJUA_CF_SEC_20230125.xlsx]CF PSND'!</v>
      </c>
      <c r="G359" s="7" t="s">
        <v>47</v>
      </c>
      <c r="H359" s="4"/>
      <c r="I359" s="4"/>
      <c r="J359" s="4"/>
    </row>
    <row r="360" spans="1:10" x14ac:dyDescent="0.25">
      <c r="A360" s="7" t="s">
        <v>104</v>
      </c>
      <c r="B360" s="7">
        <f t="shared" si="81"/>
        <v>2039</v>
      </c>
      <c r="C360" s="4" t="s">
        <v>51</v>
      </c>
      <c r="D360" s="5" t="s">
        <v>128</v>
      </c>
      <c r="E360" s="10" t="str">
        <f t="shared" si="79"/>
        <v>PSND'!</v>
      </c>
      <c r="F360" s="5" t="str">
        <f t="shared" si="72"/>
        <v>C:\Users\jaime.benazar\Quorum Business Solutions\Ecopetrol Prometeo - Documents\Planning Space Implementation\3. Analysis &amp; Design\Design\FC22\DRR Jaime\QUIFA-CAJÚA\Cajua\[VAS_CAJUA_CF_SEC_20230125.xlsx]CF PSND'!</v>
      </c>
      <c r="G360" s="7" t="s">
        <v>47</v>
      </c>
      <c r="H360" s="4"/>
      <c r="I360" s="4"/>
      <c r="J360" s="4"/>
    </row>
    <row r="361" spans="1:10" x14ac:dyDescent="0.25">
      <c r="A361" s="7" t="s">
        <v>104</v>
      </c>
      <c r="B361" s="7">
        <f t="shared" si="81"/>
        <v>2040</v>
      </c>
      <c r="C361" s="4" t="s">
        <v>51</v>
      </c>
      <c r="D361" s="5" t="s">
        <v>128</v>
      </c>
      <c r="E361" s="10" t="str">
        <f t="shared" si="79"/>
        <v>PSND'!</v>
      </c>
      <c r="F361" s="5" t="str">
        <f t="shared" si="72"/>
        <v>C:\Users\jaime.benazar\Quorum Business Solutions\Ecopetrol Prometeo - Documents\Planning Space Implementation\3. Analysis &amp; Design\Design\FC22\DRR Jaime\QUIFA-CAJÚA\Cajua\[VAS_CAJUA_CF_SEC_20230125.xlsx]CF PSND'!</v>
      </c>
      <c r="G361" s="7" t="s">
        <v>47</v>
      </c>
      <c r="H361" s="4"/>
      <c r="I361" s="4"/>
      <c r="J361" s="4"/>
    </row>
    <row r="362" spans="1:10" x14ac:dyDescent="0.25">
      <c r="A362" s="7" t="s">
        <v>104</v>
      </c>
      <c r="B362" s="7">
        <f>+B361+1</f>
        <v>2041</v>
      </c>
      <c r="C362" s="4" t="s">
        <v>51</v>
      </c>
      <c r="D362" s="5" t="s">
        <v>128</v>
      </c>
      <c r="E362" s="10" t="str">
        <f t="shared" si="79"/>
        <v>PSND'!</v>
      </c>
      <c r="F362" s="5" t="str">
        <f t="shared" si="72"/>
        <v>C:\Users\jaime.benazar\Quorum Business Solutions\Ecopetrol Prometeo - Documents\Planning Space Implementation\3. Analysis &amp; Design\Design\FC22\DRR Jaime\QUIFA-CAJÚA\Cajua\[VAS_CAJUA_CF_SEC_20230125.xlsx]CF PSND'!</v>
      </c>
      <c r="G362" s="7" t="s">
        <v>47</v>
      </c>
      <c r="H362" s="4"/>
      <c r="I362" s="4"/>
      <c r="J362" s="4"/>
    </row>
    <row r="363" spans="1:10" x14ac:dyDescent="0.25">
      <c r="A363" s="7" t="s">
        <v>104</v>
      </c>
      <c r="B363" s="7">
        <f t="shared" ref="B363:B364" si="82">+B362+1</f>
        <v>2042</v>
      </c>
      <c r="C363" s="4" t="s">
        <v>51</v>
      </c>
      <c r="D363" s="5" t="s">
        <v>128</v>
      </c>
      <c r="E363" s="10" t="str">
        <f t="shared" si="79"/>
        <v>PSND'!</v>
      </c>
      <c r="F363" s="5" t="str">
        <f t="shared" si="72"/>
        <v>C:\Users\jaime.benazar\Quorum Business Solutions\Ecopetrol Prometeo - Documents\Planning Space Implementation\3. Analysis &amp; Design\Design\FC22\DRR Jaime\QUIFA-CAJÚA\Cajua\[VAS_CAJUA_CF_SEC_20230125.xlsx]CF PSND'!</v>
      </c>
      <c r="G363" s="7" t="s">
        <v>47</v>
      </c>
      <c r="H363" s="4"/>
      <c r="I363" s="4"/>
      <c r="J363" s="4"/>
    </row>
    <row r="364" spans="1:10" x14ac:dyDescent="0.25">
      <c r="A364" s="7" t="s">
        <v>104</v>
      </c>
      <c r="B364" s="7">
        <f t="shared" si="82"/>
        <v>2043</v>
      </c>
      <c r="C364" s="4" t="s">
        <v>51</v>
      </c>
      <c r="D364" s="5" t="s">
        <v>128</v>
      </c>
      <c r="E364" s="10" t="str">
        <f t="shared" si="79"/>
        <v>PSND'!</v>
      </c>
      <c r="F364" s="5" t="str">
        <f t="shared" si="72"/>
        <v>C:\Users\jaime.benazar\Quorum Business Solutions\Ecopetrol Prometeo - Documents\Planning Space Implementation\3. Analysis &amp; Design\Design\FC22\DRR Jaime\QUIFA-CAJÚA\Cajua\[VAS_CAJUA_CF_SEC_20230125.xlsx]CF PSND'!</v>
      </c>
      <c r="G364" s="7" t="s">
        <v>47</v>
      </c>
      <c r="H364" s="4"/>
      <c r="I364" s="4"/>
      <c r="J364" s="4"/>
    </row>
    <row r="365" spans="1:10" x14ac:dyDescent="0.25">
      <c r="A365" s="7" t="s">
        <v>104</v>
      </c>
      <c r="B365" s="7">
        <f>+B364+1</f>
        <v>2044</v>
      </c>
      <c r="C365" s="4" t="s">
        <v>51</v>
      </c>
      <c r="D365" s="5" t="s">
        <v>128</v>
      </c>
      <c r="E365" s="10" t="str">
        <f t="shared" ref="E365:E380" si="83">_xlfn.CONCAT(A365,"'!")</f>
        <v>PSND'!</v>
      </c>
      <c r="F365" s="5" t="str">
        <f t="shared" ref="F365:F380" si="84">_xlfn.CONCAT(D365," ",E365)</f>
        <v>C:\Users\jaime.benazar\Quorum Business Solutions\Ecopetrol Prometeo - Documents\Planning Space Implementation\3. Analysis &amp; Design\Design\FC22\DRR Jaime\QUIFA-CAJÚA\Cajua\[VAS_CAJUA_CF_SEC_20230125.xlsx]CF PSND'!</v>
      </c>
      <c r="G365" s="7" t="s">
        <v>47</v>
      </c>
      <c r="H365" s="4"/>
      <c r="I365" s="4"/>
      <c r="J365" s="4"/>
    </row>
    <row r="366" spans="1:10" x14ac:dyDescent="0.25">
      <c r="A366" s="7" t="s">
        <v>104</v>
      </c>
      <c r="B366" s="7">
        <f t="shared" ref="B366:B380" si="85">+B365+1</f>
        <v>2045</v>
      </c>
      <c r="C366" s="4" t="s">
        <v>51</v>
      </c>
      <c r="D366" s="5" t="s">
        <v>128</v>
      </c>
      <c r="E366" s="10" t="str">
        <f t="shared" si="83"/>
        <v>PSND'!</v>
      </c>
      <c r="F366" s="5" t="str">
        <f t="shared" si="84"/>
        <v>C:\Users\jaime.benazar\Quorum Business Solutions\Ecopetrol Prometeo - Documents\Planning Space Implementation\3. Analysis &amp; Design\Design\FC22\DRR Jaime\QUIFA-CAJÚA\Cajua\[VAS_CAJUA_CF_SEC_20230125.xlsx]CF PSND'!</v>
      </c>
      <c r="G366" s="7" t="s">
        <v>47</v>
      </c>
      <c r="H366" s="4"/>
      <c r="I366" s="4"/>
      <c r="J366" s="4"/>
    </row>
    <row r="367" spans="1:10" x14ac:dyDescent="0.25">
      <c r="A367" s="7" t="s">
        <v>104</v>
      </c>
      <c r="B367" s="7">
        <f t="shared" si="85"/>
        <v>2046</v>
      </c>
      <c r="C367" s="4" t="s">
        <v>51</v>
      </c>
      <c r="D367" s="5" t="s">
        <v>128</v>
      </c>
      <c r="E367" s="10" t="str">
        <f t="shared" si="83"/>
        <v>PSND'!</v>
      </c>
      <c r="F367" s="5" t="str">
        <f t="shared" si="84"/>
        <v>C:\Users\jaime.benazar\Quorum Business Solutions\Ecopetrol Prometeo - Documents\Planning Space Implementation\3. Analysis &amp; Design\Design\FC22\DRR Jaime\QUIFA-CAJÚA\Cajua\[VAS_CAJUA_CF_SEC_20230125.xlsx]CF PSND'!</v>
      </c>
      <c r="G367" s="7" t="s">
        <v>47</v>
      </c>
      <c r="H367" s="4"/>
      <c r="I367" s="4"/>
      <c r="J367" s="4"/>
    </row>
    <row r="368" spans="1:10" x14ac:dyDescent="0.25">
      <c r="A368" s="7" t="s">
        <v>104</v>
      </c>
      <c r="B368" s="7">
        <f t="shared" si="85"/>
        <v>2047</v>
      </c>
      <c r="C368" s="4" t="s">
        <v>51</v>
      </c>
      <c r="D368" s="5" t="s">
        <v>128</v>
      </c>
      <c r="E368" s="10" t="str">
        <f t="shared" si="83"/>
        <v>PSND'!</v>
      </c>
      <c r="F368" s="5" t="str">
        <f t="shared" si="84"/>
        <v>C:\Users\jaime.benazar\Quorum Business Solutions\Ecopetrol Prometeo - Documents\Planning Space Implementation\3. Analysis &amp; Design\Design\FC22\DRR Jaime\QUIFA-CAJÚA\Cajua\[VAS_CAJUA_CF_SEC_20230125.xlsx]CF PSND'!</v>
      </c>
      <c r="G368" s="7" t="s">
        <v>47</v>
      </c>
      <c r="H368" s="4"/>
      <c r="I368" s="4"/>
      <c r="J368" s="4"/>
    </row>
    <row r="369" spans="1:10" x14ac:dyDescent="0.25">
      <c r="A369" s="7" t="s">
        <v>104</v>
      </c>
      <c r="B369" s="7">
        <f t="shared" si="85"/>
        <v>2048</v>
      </c>
      <c r="C369" s="4" t="s">
        <v>51</v>
      </c>
      <c r="D369" s="5" t="s">
        <v>128</v>
      </c>
      <c r="E369" s="10" t="str">
        <f t="shared" si="83"/>
        <v>PSND'!</v>
      </c>
      <c r="F369" s="5" t="str">
        <f t="shared" si="84"/>
        <v>C:\Users\jaime.benazar\Quorum Business Solutions\Ecopetrol Prometeo - Documents\Planning Space Implementation\3. Analysis &amp; Design\Design\FC22\DRR Jaime\QUIFA-CAJÚA\Cajua\[VAS_CAJUA_CF_SEC_20230125.xlsx]CF PSND'!</v>
      </c>
      <c r="G369" s="7" t="s">
        <v>47</v>
      </c>
      <c r="H369" s="4"/>
      <c r="I369" s="4"/>
      <c r="J369" s="4"/>
    </row>
    <row r="370" spans="1:10" x14ac:dyDescent="0.25">
      <c r="A370" s="7" t="s">
        <v>104</v>
      </c>
      <c r="B370" s="7">
        <f t="shared" si="85"/>
        <v>2049</v>
      </c>
      <c r="C370" s="4" t="s">
        <v>51</v>
      </c>
      <c r="D370" s="5" t="s">
        <v>128</v>
      </c>
      <c r="E370" s="10" t="str">
        <f t="shared" si="83"/>
        <v>PSND'!</v>
      </c>
      <c r="F370" s="5" t="str">
        <f t="shared" si="84"/>
        <v>C:\Users\jaime.benazar\Quorum Business Solutions\Ecopetrol Prometeo - Documents\Planning Space Implementation\3. Analysis &amp; Design\Design\FC22\DRR Jaime\QUIFA-CAJÚA\Cajua\[VAS_CAJUA_CF_SEC_20230125.xlsx]CF PSND'!</v>
      </c>
      <c r="G370" s="7" t="s">
        <v>47</v>
      </c>
      <c r="H370" s="4"/>
      <c r="I370" s="4"/>
      <c r="J370" s="4"/>
    </row>
    <row r="371" spans="1:10" x14ac:dyDescent="0.25">
      <c r="A371" s="7" t="s">
        <v>104</v>
      </c>
      <c r="B371" s="7">
        <f t="shared" si="85"/>
        <v>2050</v>
      </c>
      <c r="C371" s="4" t="s">
        <v>51</v>
      </c>
      <c r="D371" s="5" t="s">
        <v>128</v>
      </c>
      <c r="E371" s="10" t="str">
        <f t="shared" si="83"/>
        <v>PSND'!</v>
      </c>
      <c r="F371" s="5" t="str">
        <f t="shared" si="84"/>
        <v>C:\Users\jaime.benazar\Quorum Business Solutions\Ecopetrol Prometeo - Documents\Planning Space Implementation\3. Analysis &amp; Design\Design\FC22\DRR Jaime\QUIFA-CAJÚA\Cajua\[VAS_CAJUA_CF_SEC_20230125.xlsx]CF PSND'!</v>
      </c>
      <c r="G371" s="7" t="s">
        <v>47</v>
      </c>
      <c r="H371" s="4"/>
      <c r="I371" s="4"/>
      <c r="J371" s="4"/>
    </row>
    <row r="372" spans="1:10" x14ac:dyDescent="0.25">
      <c r="A372" s="7" t="s">
        <v>104</v>
      </c>
      <c r="B372" s="7">
        <f t="shared" si="85"/>
        <v>2051</v>
      </c>
      <c r="C372" s="4" t="s">
        <v>51</v>
      </c>
      <c r="D372" s="5" t="s">
        <v>128</v>
      </c>
      <c r="E372" s="10" t="str">
        <f t="shared" si="83"/>
        <v>PSND'!</v>
      </c>
      <c r="F372" s="5" t="str">
        <f t="shared" si="84"/>
        <v>C:\Users\jaime.benazar\Quorum Business Solutions\Ecopetrol Prometeo - Documents\Planning Space Implementation\3. Analysis &amp; Design\Design\FC22\DRR Jaime\QUIFA-CAJÚA\Cajua\[VAS_CAJUA_CF_SEC_20230125.xlsx]CF PSND'!</v>
      </c>
      <c r="G372" s="7" t="s">
        <v>47</v>
      </c>
      <c r="H372" s="4"/>
      <c r="I372" s="4"/>
      <c r="J372" s="4"/>
    </row>
    <row r="373" spans="1:10" x14ac:dyDescent="0.25">
      <c r="A373" s="7" t="s">
        <v>104</v>
      </c>
      <c r="B373" s="7">
        <f t="shared" si="85"/>
        <v>2052</v>
      </c>
      <c r="C373" s="4" t="s">
        <v>51</v>
      </c>
      <c r="D373" s="5" t="s">
        <v>128</v>
      </c>
      <c r="E373" s="10" t="str">
        <f t="shared" si="83"/>
        <v>PSND'!</v>
      </c>
      <c r="F373" s="5" t="str">
        <f t="shared" si="84"/>
        <v>C:\Users\jaime.benazar\Quorum Business Solutions\Ecopetrol Prometeo - Documents\Planning Space Implementation\3. Analysis &amp; Design\Design\FC22\DRR Jaime\QUIFA-CAJÚA\Cajua\[VAS_CAJUA_CF_SEC_20230125.xlsx]CF PSND'!</v>
      </c>
      <c r="G373" s="7" t="s">
        <v>47</v>
      </c>
      <c r="H373" s="4"/>
      <c r="I373" s="4"/>
      <c r="J373" s="4"/>
    </row>
    <row r="374" spans="1:10" x14ac:dyDescent="0.25">
      <c r="A374" s="7" t="s">
        <v>104</v>
      </c>
      <c r="B374" s="7">
        <f t="shared" si="85"/>
        <v>2053</v>
      </c>
      <c r="C374" s="4" t="s">
        <v>51</v>
      </c>
      <c r="D374" s="5" t="s">
        <v>128</v>
      </c>
      <c r="E374" s="10" t="str">
        <f t="shared" si="83"/>
        <v>PSND'!</v>
      </c>
      <c r="F374" s="5" t="str">
        <f t="shared" si="84"/>
        <v>C:\Users\jaime.benazar\Quorum Business Solutions\Ecopetrol Prometeo - Documents\Planning Space Implementation\3. Analysis &amp; Design\Design\FC22\DRR Jaime\QUIFA-CAJÚA\Cajua\[VAS_CAJUA_CF_SEC_20230125.xlsx]CF PSND'!</v>
      </c>
      <c r="G374" s="7" t="s">
        <v>47</v>
      </c>
      <c r="H374" s="4"/>
      <c r="I374" s="4"/>
      <c r="J374" s="4"/>
    </row>
    <row r="375" spans="1:10" x14ac:dyDescent="0.25">
      <c r="A375" s="7" t="s">
        <v>104</v>
      </c>
      <c r="B375" s="7">
        <f t="shared" si="85"/>
        <v>2054</v>
      </c>
      <c r="C375" s="4" t="s">
        <v>51</v>
      </c>
      <c r="D375" s="5" t="s">
        <v>128</v>
      </c>
      <c r="E375" s="10" t="str">
        <f t="shared" si="83"/>
        <v>PSND'!</v>
      </c>
      <c r="F375" s="5" t="str">
        <f t="shared" si="84"/>
        <v>C:\Users\jaime.benazar\Quorum Business Solutions\Ecopetrol Prometeo - Documents\Planning Space Implementation\3. Analysis &amp; Design\Design\FC22\DRR Jaime\QUIFA-CAJÚA\Cajua\[VAS_CAJUA_CF_SEC_20230125.xlsx]CF PSND'!</v>
      </c>
      <c r="G375" s="7" t="s">
        <v>47</v>
      </c>
      <c r="H375" s="4"/>
      <c r="I375" s="4"/>
      <c r="J375" s="4"/>
    </row>
    <row r="376" spans="1:10" x14ac:dyDescent="0.25">
      <c r="A376" s="7" t="s">
        <v>104</v>
      </c>
      <c r="B376" s="7">
        <f t="shared" si="85"/>
        <v>2055</v>
      </c>
      <c r="C376" s="4" t="s">
        <v>51</v>
      </c>
      <c r="D376" s="5" t="s">
        <v>128</v>
      </c>
      <c r="E376" s="10" t="str">
        <f t="shared" si="83"/>
        <v>PSND'!</v>
      </c>
      <c r="F376" s="5" t="str">
        <f t="shared" si="84"/>
        <v>C:\Users\jaime.benazar\Quorum Business Solutions\Ecopetrol Prometeo - Documents\Planning Space Implementation\3. Analysis &amp; Design\Design\FC22\DRR Jaime\QUIFA-CAJÚA\Cajua\[VAS_CAJUA_CF_SEC_20230125.xlsx]CF PSND'!</v>
      </c>
      <c r="G376" s="7" t="s">
        <v>47</v>
      </c>
      <c r="H376" s="4"/>
      <c r="I376" s="4"/>
      <c r="J376" s="4"/>
    </row>
    <row r="377" spans="1:10" x14ac:dyDescent="0.25">
      <c r="A377" s="7" t="s">
        <v>104</v>
      </c>
      <c r="B377" s="7">
        <f t="shared" si="85"/>
        <v>2056</v>
      </c>
      <c r="C377" s="4" t="s">
        <v>51</v>
      </c>
      <c r="D377" s="5" t="s">
        <v>128</v>
      </c>
      <c r="E377" s="10" t="str">
        <f t="shared" si="83"/>
        <v>PSND'!</v>
      </c>
      <c r="F377" s="5" t="str">
        <f t="shared" si="84"/>
        <v>C:\Users\jaime.benazar\Quorum Business Solutions\Ecopetrol Prometeo - Documents\Planning Space Implementation\3. Analysis &amp; Design\Design\FC22\DRR Jaime\QUIFA-CAJÚA\Cajua\[VAS_CAJUA_CF_SEC_20230125.xlsx]CF PSND'!</v>
      </c>
      <c r="G377" s="7" t="s">
        <v>47</v>
      </c>
      <c r="H377" s="4"/>
      <c r="I377" s="4"/>
      <c r="J377" s="4"/>
    </row>
    <row r="378" spans="1:10" x14ac:dyDescent="0.25">
      <c r="A378" s="7" t="s">
        <v>104</v>
      </c>
      <c r="B378" s="7">
        <f t="shared" si="85"/>
        <v>2057</v>
      </c>
      <c r="C378" s="4" t="s">
        <v>51</v>
      </c>
      <c r="D378" s="5" t="s">
        <v>128</v>
      </c>
      <c r="E378" s="10" t="str">
        <f t="shared" si="83"/>
        <v>PSND'!</v>
      </c>
      <c r="F378" s="5" t="str">
        <f t="shared" si="84"/>
        <v>C:\Users\jaime.benazar\Quorum Business Solutions\Ecopetrol Prometeo - Documents\Planning Space Implementation\3. Analysis &amp; Design\Design\FC22\DRR Jaime\QUIFA-CAJÚA\Cajua\[VAS_CAJUA_CF_SEC_20230125.xlsx]CF PSND'!</v>
      </c>
      <c r="G378" s="7" t="s">
        <v>47</v>
      </c>
      <c r="H378" s="4"/>
      <c r="I378" s="4"/>
      <c r="J378" s="4"/>
    </row>
    <row r="379" spans="1:10" x14ac:dyDescent="0.25">
      <c r="A379" s="7" t="s">
        <v>104</v>
      </c>
      <c r="B379" s="7">
        <f t="shared" si="85"/>
        <v>2058</v>
      </c>
      <c r="C379" s="4" t="s">
        <v>51</v>
      </c>
      <c r="D379" s="5" t="s">
        <v>128</v>
      </c>
      <c r="E379" s="10" t="str">
        <f t="shared" si="83"/>
        <v>PSND'!</v>
      </c>
      <c r="F379" s="5" t="str">
        <f t="shared" si="84"/>
        <v>C:\Users\jaime.benazar\Quorum Business Solutions\Ecopetrol Prometeo - Documents\Planning Space Implementation\3. Analysis &amp; Design\Design\FC22\DRR Jaime\QUIFA-CAJÚA\Cajua\[VAS_CAJUA_CF_SEC_20230125.xlsx]CF PSND'!</v>
      </c>
      <c r="G379" s="7" t="s">
        <v>47</v>
      </c>
      <c r="H379" s="4"/>
      <c r="I379" s="4"/>
      <c r="J379" s="4"/>
    </row>
    <row r="380" spans="1:10" x14ac:dyDescent="0.25">
      <c r="A380" s="7" t="s">
        <v>104</v>
      </c>
      <c r="B380" s="7">
        <f t="shared" si="85"/>
        <v>2059</v>
      </c>
      <c r="C380" s="4" t="s">
        <v>51</v>
      </c>
      <c r="D380" s="5" t="s">
        <v>128</v>
      </c>
      <c r="E380" s="10" t="str">
        <f t="shared" si="83"/>
        <v>PSND'!</v>
      </c>
      <c r="F380" s="5" t="str">
        <f t="shared" si="84"/>
        <v>C:\Users\jaime.benazar\Quorum Business Solutions\Ecopetrol Prometeo - Documents\Planning Space Implementation\3. Analysis &amp; Design\Design\FC22\DRR Jaime\QUIFA-CAJÚA\Cajua\[VAS_CAJUA_CF_SEC_20230125.xlsx]CF PSND'!</v>
      </c>
      <c r="G380" s="7" t="s">
        <v>47</v>
      </c>
      <c r="H380" s="4"/>
      <c r="I380" s="4"/>
      <c r="J380" s="4"/>
    </row>
    <row r="381" spans="1:10" x14ac:dyDescent="0.25">
      <c r="A381" s="7" t="s">
        <v>28</v>
      </c>
      <c r="B381" s="7"/>
      <c r="C381" s="4" t="s">
        <v>51</v>
      </c>
      <c r="D381" s="5"/>
      <c r="E381" s="10"/>
      <c r="F381" s="5" t="str">
        <f t="shared" si="72"/>
        <v xml:space="preserve"> </v>
      </c>
      <c r="G381" s="7"/>
      <c r="H381" s="4"/>
      <c r="I381" s="4"/>
      <c r="J381" s="4"/>
    </row>
    <row r="382" spans="1:10" x14ac:dyDescent="0.25">
      <c r="A382" s="7" t="s">
        <v>34</v>
      </c>
      <c r="B382" s="7">
        <v>2023</v>
      </c>
      <c r="C382" s="4" t="s">
        <v>51</v>
      </c>
      <c r="D382" s="5" t="s">
        <v>128</v>
      </c>
      <c r="E382" s="10" t="str">
        <f t="shared" si="24"/>
        <v>PS'!</v>
      </c>
      <c r="F382" s="5" t="str">
        <f t="shared" si="72"/>
        <v>C:\Users\jaime.benazar\Quorum Business Solutions\Ecopetrol Prometeo - Documents\Planning Space Implementation\3. Analysis &amp; Design\Design\FC22\DRR Jaime\QUIFA-CAJÚA\Cajua\[VAS_CAJUA_CF_SEC_20230125.xlsx]CF PS'!</v>
      </c>
      <c r="G382" s="7" t="s">
        <v>47</v>
      </c>
      <c r="H382" s="4">
        <f>IF(A382&lt;&gt;A252,36,H252+1)</f>
        <v>36</v>
      </c>
      <c r="I382" s="4" t="str">
        <f t="shared" si="25"/>
        <v>='C:\Users\jaime.benazar\Quorum Business Solutions\Ecopetrol Prometeo - Documents\Planning Space Implementation\3. Analysis &amp; Design\Design\FC22\DRR Jaime\QUIFA-CAJÚA\Cajua\[VAS_CAJUA_CF_SEC_20230125.xlsx]CF PS'!$AY$36</v>
      </c>
      <c r="J382" s="4" t="s">
        <v>277</v>
      </c>
    </row>
    <row r="383" spans="1:10" x14ac:dyDescent="0.25">
      <c r="A383" s="7" t="s">
        <v>34</v>
      </c>
      <c r="B383" s="7">
        <f>+B382+1</f>
        <v>2024</v>
      </c>
      <c r="C383" s="4" t="s">
        <v>51</v>
      </c>
      <c r="D383" s="5" t="s">
        <v>128</v>
      </c>
      <c r="E383" s="10" t="str">
        <f t="shared" si="24"/>
        <v>PS'!</v>
      </c>
      <c r="F383" s="5" t="str">
        <f t="shared" si="72"/>
        <v>C:\Users\jaime.benazar\Quorum Business Solutions\Ecopetrol Prometeo - Documents\Planning Space Implementation\3. Analysis &amp; Design\Design\FC22\DRR Jaime\QUIFA-CAJÚA\Cajua\[VAS_CAJUA_CF_SEC_20230125.xlsx]CF PS'!</v>
      </c>
      <c r="G383" s="7" t="s">
        <v>47</v>
      </c>
      <c r="H383" s="4">
        <f t="shared" si="26"/>
        <v>37</v>
      </c>
      <c r="I383" s="4" t="str">
        <f t="shared" si="25"/>
        <v>='C:\Users\jaime.benazar\Quorum Business Solutions\Ecopetrol Prometeo - Documents\Planning Space Implementation\3. Analysis &amp; Design\Design\FC22\DRR Jaime\QUIFA-CAJÚA\Cajua\[VAS_CAJUA_CF_SEC_20230125.xlsx]CF PS'!$AY$37</v>
      </c>
      <c r="J383" s="4" t="s">
        <v>278</v>
      </c>
    </row>
    <row r="384" spans="1:10" x14ac:dyDescent="0.25">
      <c r="A384" s="7" t="s">
        <v>34</v>
      </c>
      <c r="B384" s="7">
        <f t="shared" ref="B384:B395" si="86">+B383+1</f>
        <v>2025</v>
      </c>
      <c r="C384" s="4" t="s">
        <v>51</v>
      </c>
      <c r="D384" s="5" t="s">
        <v>128</v>
      </c>
      <c r="E384" s="10" t="str">
        <f t="shared" si="24"/>
        <v>PS'!</v>
      </c>
      <c r="F384" s="5" t="str">
        <f t="shared" si="72"/>
        <v>C:\Users\jaime.benazar\Quorum Business Solutions\Ecopetrol Prometeo - Documents\Planning Space Implementation\3. Analysis &amp; Design\Design\FC22\DRR Jaime\QUIFA-CAJÚA\Cajua\[VAS_CAJUA_CF_SEC_20230125.xlsx]CF PS'!</v>
      </c>
      <c r="G384" s="7" t="s">
        <v>47</v>
      </c>
      <c r="H384" s="4">
        <f t="shared" si="26"/>
        <v>38</v>
      </c>
      <c r="I384" s="4" t="str">
        <f t="shared" si="25"/>
        <v>='C:\Users\jaime.benazar\Quorum Business Solutions\Ecopetrol Prometeo - Documents\Planning Space Implementation\3. Analysis &amp; Design\Design\FC22\DRR Jaime\QUIFA-CAJÚA\Cajua\[VAS_CAJUA_CF_SEC_20230125.xlsx]CF PS'!$AY$38</v>
      </c>
      <c r="J384" s="4" t="s">
        <v>279</v>
      </c>
    </row>
    <row r="385" spans="1:10" x14ac:dyDescent="0.25">
      <c r="A385" s="7" t="s">
        <v>34</v>
      </c>
      <c r="B385" s="7">
        <f t="shared" si="86"/>
        <v>2026</v>
      </c>
      <c r="C385" s="4" t="s">
        <v>51</v>
      </c>
      <c r="D385" s="5" t="s">
        <v>128</v>
      </c>
      <c r="E385" s="10" t="str">
        <f t="shared" si="24"/>
        <v>PS'!</v>
      </c>
      <c r="F385" s="5" t="str">
        <f t="shared" si="72"/>
        <v>C:\Users\jaime.benazar\Quorum Business Solutions\Ecopetrol Prometeo - Documents\Planning Space Implementation\3. Analysis &amp; Design\Design\FC22\DRR Jaime\QUIFA-CAJÚA\Cajua\[VAS_CAJUA_CF_SEC_20230125.xlsx]CF PS'!</v>
      </c>
      <c r="G385" s="7" t="s">
        <v>47</v>
      </c>
      <c r="H385" s="4">
        <f t="shared" si="26"/>
        <v>39</v>
      </c>
      <c r="I385" s="4" t="str">
        <f t="shared" si="25"/>
        <v>='C:\Users\jaime.benazar\Quorum Business Solutions\Ecopetrol Prometeo - Documents\Planning Space Implementation\3. Analysis &amp; Design\Design\FC22\DRR Jaime\QUIFA-CAJÚA\Cajua\[VAS_CAJUA_CF_SEC_20230125.xlsx]CF PS'!$AY$39</v>
      </c>
      <c r="J385" s="4" t="s">
        <v>280</v>
      </c>
    </row>
    <row r="386" spans="1:10" x14ac:dyDescent="0.25">
      <c r="A386" s="7" t="s">
        <v>34</v>
      </c>
      <c r="B386" s="7">
        <f t="shared" si="86"/>
        <v>2027</v>
      </c>
      <c r="C386" s="4" t="s">
        <v>51</v>
      </c>
      <c r="D386" s="5" t="s">
        <v>128</v>
      </c>
      <c r="E386" s="10" t="str">
        <f t="shared" si="24"/>
        <v>PS'!</v>
      </c>
      <c r="F386" s="5" t="str">
        <f t="shared" si="72"/>
        <v>C:\Users\jaime.benazar\Quorum Business Solutions\Ecopetrol Prometeo - Documents\Planning Space Implementation\3. Analysis &amp; Design\Design\FC22\DRR Jaime\QUIFA-CAJÚA\Cajua\[VAS_CAJUA_CF_SEC_20230125.xlsx]CF PS'!</v>
      </c>
      <c r="G386" s="7" t="s">
        <v>47</v>
      </c>
      <c r="H386" s="4">
        <f t="shared" si="26"/>
        <v>40</v>
      </c>
      <c r="I386" s="4" t="str">
        <f t="shared" si="25"/>
        <v>='C:\Users\jaime.benazar\Quorum Business Solutions\Ecopetrol Prometeo - Documents\Planning Space Implementation\3. Analysis &amp; Design\Design\FC22\DRR Jaime\QUIFA-CAJÚA\Cajua\[VAS_CAJUA_CF_SEC_20230125.xlsx]CF PS'!$AY$40</v>
      </c>
      <c r="J386" s="4" t="s">
        <v>281</v>
      </c>
    </row>
    <row r="387" spans="1:10" x14ac:dyDescent="0.25">
      <c r="A387" s="7" t="s">
        <v>34</v>
      </c>
      <c r="B387" s="7">
        <f t="shared" si="86"/>
        <v>2028</v>
      </c>
      <c r="C387" s="4" t="s">
        <v>51</v>
      </c>
      <c r="D387" s="5" t="s">
        <v>128</v>
      </c>
      <c r="E387" s="10" t="str">
        <f t="shared" si="24"/>
        <v>PS'!</v>
      </c>
      <c r="F387" s="5" t="str">
        <f t="shared" si="72"/>
        <v>C:\Users\jaime.benazar\Quorum Business Solutions\Ecopetrol Prometeo - Documents\Planning Space Implementation\3. Analysis &amp; Design\Design\FC22\DRR Jaime\QUIFA-CAJÚA\Cajua\[VAS_CAJUA_CF_SEC_20230125.xlsx]CF PS'!</v>
      </c>
      <c r="G387" s="7" t="s">
        <v>47</v>
      </c>
      <c r="H387" s="4">
        <f t="shared" si="26"/>
        <v>41</v>
      </c>
      <c r="I387" s="4" t="str">
        <f t="shared" si="25"/>
        <v>='C:\Users\jaime.benazar\Quorum Business Solutions\Ecopetrol Prometeo - Documents\Planning Space Implementation\3. Analysis &amp; Design\Design\FC22\DRR Jaime\QUIFA-CAJÚA\Cajua\[VAS_CAJUA_CF_SEC_20230125.xlsx]CF PS'!$AY$41</v>
      </c>
      <c r="J387" s="4" t="s">
        <v>282</v>
      </c>
    </row>
    <row r="388" spans="1:10" x14ac:dyDescent="0.25">
      <c r="A388" s="7" t="s">
        <v>34</v>
      </c>
      <c r="B388" s="7">
        <f t="shared" si="86"/>
        <v>2029</v>
      </c>
      <c r="C388" s="4" t="s">
        <v>51</v>
      </c>
      <c r="D388" s="5" t="s">
        <v>128</v>
      </c>
      <c r="E388" s="10" t="str">
        <f t="shared" si="24"/>
        <v>PS'!</v>
      </c>
      <c r="F388" s="5" t="str">
        <f t="shared" si="72"/>
        <v>C:\Users\jaime.benazar\Quorum Business Solutions\Ecopetrol Prometeo - Documents\Planning Space Implementation\3. Analysis &amp; Design\Design\FC22\DRR Jaime\QUIFA-CAJÚA\Cajua\[VAS_CAJUA_CF_SEC_20230125.xlsx]CF PS'!</v>
      </c>
      <c r="G388" s="7" t="s">
        <v>47</v>
      </c>
      <c r="H388" s="4">
        <f t="shared" si="26"/>
        <v>42</v>
      </c>
      <c r="I388" s="4" t="str">
        <f t="shared" si="25"/>
        <v>='C:\Users\jaime.benazar\Quorum Business Solutions\Ecopetrol Prometeo - Documents\Planning Space Implementation\3. Analysis &amp; Design\Design\FC22\DRR Jaime\QUIFA-CAJÚA\Cajua\[VAS_CAJUA_CF_SEC_20230125.xlsx]CF PS'!$AY$42</v>
      </c>
      <c r="J388" s="4" t="s">
        <v>283</v>
      </c>
    </row>
    <row r="389" spans="1:10" x14ac:dyDescent="0.25">
      <c r="A389" s="7" t="s">
        <v>34</v>
      </c>
      <c r="B389" s="7">
        <f t="shared" si="86"/>
        <v>2030</v>
      </c>
      <c r="C389" s="4" t="s">
        <v>51</v>
      </c>
      <c r="D389" s="5" t="s">
        <v>128</v>
      </c>
      <c r="E389" s="10" t="str">
        <f t="shared" si="24"/>
        <v>PS'!</v>
      </c>
      <c r="F389" s="5" t="str">
        <f t="shared" si="72"/>
        <v>C:\Users\jaime.benazar\Quorum Business Solutions\Ecopetrol Prometeo - Documents\Planning Space Implementation\3. Analysis &amp; Design\Design\FC22\DRR Jaime\QUIFA-CAJÚA\Cajua\[VAS_CAJUA_CF_SEC_20230125.xlsx]CF PS'!</v>
      </c>
      <c r="G389" s="7" t="s">
        <v>47</v>
      </c>
      <c r="H389" s="4">
        <f t="shared" si="26"/>
        <v>43</v>
      </c>
      <c r="I389" s="4" t="str">
        <f t="shared" si="25"/>
        <v>='C:\Users\jaime.benazar\Quorum Business Solutions\Ecopetrol Prometeo - Documents\Planning Space Implementation\3. Analysis &amp; Design\Design\FC22\DRR Jaime\QUIFA-CAJÚA\Cajua\[VAS_CAJUA_CF_SEC_20230125.xlsx]CF PS'!$AY$43</v>
      </c>
      <c r="J389" s="4" t="s">
        <v>284</v>
      </c>
    </row>
    <row r="390" spans="1:10" x14ac:dyDescent="0.25">
      <c r="A390" s="7" t="s">
        <v>34</v>
      </c>
      <c r="B390" s="7">
        <f t="shared" si="86"/>
        <v>2031</v>
      </c>
      <c r="C390" s="4" t="s">
        <v>51</v>
      </c>
      <c r="D390" s="5" t="s">
        <v>128</v>
      </c>
      <c r="E390" s="10" t="str">
        <f t="shared" si="24"/>
        <v>PS'!</v>
      </c>
      <c r="F390" s="5" t="str">
        <f t="shared" si="72"/>
        <v>C:\Users\jaime.benazar\Quorum Business Solutions\Ecopetrol Prometeo - Documents\Planning Space Implementation\3. Analysis &amp; Design\Design\FC22\DRR Jaime\QUIFA-CAJÚA\Cajua\[VAS_CAJUA_CF_SEC_20230125.xlsx]CF PS'!</v>
      </c>
      <c r="G390" s="7" t="s">
        <v>47</v>
      </c>
      <c r="H390" s="4">
        <f t="shared" si="26"/>
        <v>44</v>
      </c>
      <c r="I390" s="4" t="str">
        <f t="shared" si="25"/>
        <v>='C:\Users\jaime.benazar\Quorum Business Solutions\Ecopetrol Prometeo - Documents\Planning Space Implementation\3. Analysis &amp; Design\Design\FC22\DRR Jaime\QUIFA-CAJÚA\Cajua\[VAS_CAJUA_CF_SEC_20230125.xlsx]CF PS'!$AY$44</v>
      </c>
      <c r="J390" s="4" t="s">
        <v>285</v>
      </c>
    </row>
    <row r="391" spans="1:10" x14ac:dyDescent="0.25">
      <c r="A391" s="7" t="s">
        <v>34</v>
      </c>
      <c r="B391" s="7">
        <f t="shared" si="86"/>
        <v>2032</v>
      </c>
      <c r="C391" s="4" t="s">
        <v>51</v>
      </c>
      <c r="D391" s="5" t="s">
        <v>128</v>
      </c>
      <c r="E391" s="10" t="str">
        <f t="shared" si="24"/>
        <v>PS'!</v>
      </c>
      <c r="F391" s="5" t="str">
        <f t="shared" si="72"/>
        <v>C:\Users\jaime.benazar\Quorum Business Solutions\Ecopetrol Prometeo - Documents\Planning Space Implementation\3. Analysis &amp; Design\Design\FC22\DRR Jaime\QUIFA-CAJÚA\Cajua\[VAS_CAJUA_CF_SEC_20230125.xlsx]CF PS'!</v>
      </c>
      <c r="G391" s="7" t="s">
        <v>47</v>
      </c>
      <c r="H391" s="4">
        <f t="shared" si="26"/>
        <v>45</v>
      </c>
      <c r="I391" s="4" t="str">
        <f t="shared" si="25"/>
        <v>='C:\Users\jaime.benazar\Quorum Business Solutions\Ecopetrol Prometeo - Documents\Planning Space Implementation\3. Analysis &amp; Design\Design\FC22\DRR Jaime\QUIFA-CAJÚA\Cajua\[VAS_CAJUA_CF_SEC_20230125.xlsx]CF PS'!$AY$45</v>
      </c>
      <c r="J391" s="4" t="s">
        <v>286</v>
      </c>
    </row>
    <row r="392" spans="1:10" x14ac:dyDescent="0.25">
      <c r="A392" s="7" t="s">
        <v>34</v>
      </c>
      <c r="B392" s="7">
        <f t="shared" si="86"/>
        <v>2033</v>
      </c>
      <c r="C392" s="4" t="s">
        <v>51</v>
      </c>
      <c r="D392" s="5" t="s">
        <v>128</v>
      </c>
      <c r="E392" s="10" t="str">
        <f t="shared" si="24"/>
        <v>PS'!</v>
      </c>
      <c r="F392" s="5" t="str">
        <f t="shared" si="72"/>
        <v>C:\Users\jaime.benazar\Quorum Business Solutions\Ecopetrol Prometeo - Documents\Planning Space Implementation\3. Analysis &amp; Design\Design\FC22\DRR Jaime\QUIFA-CAJÚA\Cajua\[VAS_CAJUA_CF_SEC_20230125.xlsx]CF PS'!</v>
      </c>
      <c r="G392" s="7" t="s">
        <v>47</v>
      </c>
      <c r="H392" s="4">
        <f t="shared" si="26"/>
        <v>46</v>
      </c>
      <c r="I392" s="4" t="str">
        <f t="shared" si="25"/>
        <v>='C:\Users\jaime.benazar\Quorum Business Solutions\Ecopetrol Prometeo - Documents\Planning Space Implementation\3. Analysis &amp; Design\Design\FC22\DRR Jaime\QUIFA-CAJÚA\Cajua\[VAS_CAJUA_CF_SEC_20230125.xlsx]CF PS'!$AY$46</v>
      </c>
      <c r="J392" s="4" t="s">
        <v>287</v>
      </c>
    </row>
    <row r="393" spans="1:10" x14ac:dyDescent="0.25">
      <c r="A393" s="7" t="s">
        <v>34</v>
      </c>
      <c r="B393" s="7">
        <f t="shared" si="86"/>
        <v>2034</v>
      </c>
      <c r="C393" s="4" t="s">
        <v>51</v>
      </c>
      <c r="D393" s="5" t="s">
        <v>128</v>
      </c>
      <c r="E393" s="10" t="str">
        <f t="shared" si="24"/>
        <v>PS'!</v>
      </c>
      <c r="F393" s="5" t="str">
        <f t="shared" si="72"/>
        <v>C:\Users\jaime.benazar\Quorum Business Solutions\Ecopetrol Prometeo - Documents\Planning Space Implementation\3. Analysis &amp; Design\Design\FC22\DRR Jaime\QUIFA-CAJÚA\Cajua\[VAS_CAJUA_CF_SEC_20230125.xlsx]CF PS'!</v>
      </c>
      <c r="G393" s="7" t="s">
        <v>47</v>
      </c>
      <c r="H393" s="4">
        <f t="shared" si="26"/>
        <v>47</v>
      </c>
      <c r="I393" s="4" t="str">
        <f t="shared" si="25"/>
        <v>='C:\Users\jaime.benazar\Quorum Business Solutions\Ecopetrol Prometeo - Documents\Planning Space Implementation\3. Analysis &amp; Design\Design\FC22\DRR Jaime\QUIFA-CAJÚA\Cajua\[VAS_CAJUA_CF_SEC_20230125.xlsx]CF PS'!$AY$47</v>
      </c>
      <c r="J393" s="4" t="s">
        <v>288</v>
      </c>
    </row>
    <row r="394" spans="1:10" x14ac:dyDescent="0.25">
      <c r="A394" s="7" t="s">
        <v>34</v>
      </c>
      <c r="B394" s="7">
        <f t="shared" si="86"/>
        <v>2035</v>
      </c>
      <c r="C394" s="4" t="s">
        <v>51</v>
      </c>
      <c r="D394" s="5" t="s">
        <v>128</v>
      </c>
      <c r="E394" s="10" t="str">
        <f t="shared" si="24"/>
        <v>PS'!</v>
      </c>
      <c r="F394" s="5" t="str">
        <f t="shared" si="72"/>
        <v>C:\Users\jaime.benazar\Quorum Business Solutions\Ecopetrol Prometeo - Documents\Planning Space Implementation\3. Analysis &amp; Design\Design\FC22\DRR Jaime\QUIFA-CAJÚA\Cajua\[VAS_CAJUA_CF_SEC_20230125.xlsx]CF PS'!</v>
      </c>
      <c r="G394" s="7" t="s">
        <v>47</v>
      </c>
      <c r="H394" s="4">
        <f t="shared" si="26"/>
        <v>48</v>
      </c>
      <c r="I394" s="4" t="str">
        <f t="shared" si="25"/>
        <v>='C:\Users\jaime.benazar\Quorum Business Solutions\Ecopetrol Prometeo - Documents\Planning Space Implementation\3. Analysis &amp; Design\Design\FC22\DRR Jaime\QUIFA-CAJÚA\Cajua\[VAS_CAJUA_CF_SEC_20230125.xlsx]CF PS'!$AY$48</v>
      </c>
      <c r="J394" s="4" t="s">
        <v>289</v>
      </c>
    </row>
    <row r="395" spans="1:10" x14ac:dyDescent="0.25">
      <c r="A395" s="7" t="s">
        <v>34</v>
      </c>
      <c r="B395" s="7">
        <f t="shared" si="86"/>
        <v>2036</v>
      </c>
      <c r="C395" s="4" t="s">
        <v>51</v>
      </c>
      <c r="D395" s="5" t="s">
        <v>128</v>
      </c>
      <c r="E395" s="10" t="str">
        <f t="shared" si="24"/>
        <v>PS'!</v>
      </c>
      <c r="F395" s="5" t="str">
        <f t="shared" si="72"/>
        <v>C:\Users\jaime.benazar\Quorum Business Solutions\Ecopetrol Prometeo - Documents\Planning Space Implementation\3. Analysis &amp; Design\Design\FC22\DRR Jaime\QUIFA-CAJÚA\Cajua\[VAS_CAJUA_CF_SEC_20230125.xlsx]CF PS'!</v>
      </c>
      <c r="G395" s="7" t="s">
        <v>47</v>
      </c>
      <c r="H395" s="4">
        <f t="shared" si="26"/>
        <v>49</v>
      </c>
      <c r="I395" s="4" t="str">
        <f t="shared" si="25"/>
        <v>='C:\Users\jaime.benazar\Quorum Business Solutions\Ecopetrol Prometeo - Documents\Planning Space Implementation\3. Analysis &amp; Design\Design\FC22\DRR Jaime\QUIFA-CAJÚA\Cajua\[VAS_CAJUA_CF_SEC_20230125.xlsx]CF PS'!$AY$49</v>
      </c>
      <c r="J395" s="4" t="s">
        <v>290</v>
      </c>
    </row>
    <row r="396" spans="1:10" x14ac:dyDescent="0.25">
      <c r="A396" s="7" t="s">
        <v>34</v>
      </c>
      <c r="B396" s="7">
        <f>+B395+1</f>
        <v>2037</v>
      </c>
      <c r="C396" s="4" t="s">
        <v>51</v>
      </c>
      <c r="D396" s="5" t="s">
        <v>128</v>
      </c>
      <c r="E396" s="10" t="str">
        <f t="shared" si="24"/>
        <v>PS'!</v>
      </c>
      <c r="F396" s="5" t="str">
        <f t="shared" si="72"/>
        <v>C:\Users\jaime.benazar\Quorum Business Solutions\Ecopetrol Prometeo - Documents\Planning Space Implementation\3. Analysis &amp; Design\Design\FC22\DRR Jaime\QUIFA-CAJÚA\Cajua\[VAS_CAJUA_CF_SEC_20230125.xlsx]CF PS'!</v>
      </c>
      <c r="G396" s="7" t="s">
        <v>47</v>
      </c>
      <c r="H396" s="4">
        <f t="shared" si="26"/>
        <v>50</v>
      </c>
      <c r="I396" s="4" t="str">
        <f t="shared" si="25"/>
        <v>='C:\Users\jaime.benazar\Quorum Business Solutions\Ecopetrol Prometeo - Documents\Planning Space Implementation\3. Analysis &amp; Design\Design\FC22\DRR Jaime\QUIFA-CAJÚA\Cajua\[VAS_CAJUA_CF_SEC_20230125.xlsx]CF PS'!$AY$50</v>
      </c>
      <c r="J396" s="4" t="s">
        <v>291</v>
      </c>
    </row>
    <row r="397" spans="1:10" x14ac:dyDescent="0.25">
      <c r="A397" s="7" t="s">
        <v>34</v>
      </c>
      <c r="B397" s="7">
        <f t="shared" ref="B397:B399" si="87">+B396+1</f>
        <v>2038</v>
      </c>
      <c r="C397" s="4" t="s">
        <v>51</v>
      </c>
      <c r="D397" s="5" t="s">
        <v>128</v>
      </c>
      <c r="E397" s="10" t="str">
        <f t="shared" si="24"/>
        <v>PS'!</v>
      </c>
      <c r="F397" s="5" t="str">
        <f t="shared" si="72"/>
        <v>C:\Users\jaime.benazar\Quorum Business Solutions\Ecopetrol Prometeo - Documents\Planning Space Implementation\3. Analysis &amp; Design\Design\FC22\DRR Jaime\QUIFA-CAJÚA\Cajua\[VAS_CAJUA_CF_SEC_20230125.xlsx]CF PS'!</v>
      </c>
      <c r="G397" s="7" t="s">
        <v>47</v>
      </c>
      <c r="H397" s="4">
        <f t="shared" si="26"/>
        <v>51</v>
      </c>
      <c r="I397" s="4" t="str">
        <f t="shared" si="25"/>
        <v>='C:\Users\jaime.benazar\Quorum Business Solutions\Ecopetrol Prometeo - Documents\Planning Space Implementation\3. Analysis &amp; Design\Design\FC22\DRR Jaime\QUIFA-CAJÚA\Cajua\[VAS_CAJUA_CF_SEC_20230125.xlsx]CF PS'!$AY$51</v>
      </c>
      <c r="J397" s="4" t="s">
        <v>292</v>
      </c>
    </row>
    <row r="398" spans="1:10" x14ac:dyDescent="0.25">
      <c r="A398" s="7" t="s">
        <v>34</v>
      </c>
      <c r="B398" s="7">
        <f t="shared" si="87"/>
        <v>2039</v>
      </c>
      <c r="C398" s="4" t="s">
        <v>51</v>
      </c>
      <c r="D398" s="5" t="s">
        <v>128</v>
      </c>
      <c r="E398" s="10" t="str">
        <f t="shared" si="24"/>
        <v>PS'!</v>
      </c>
      <c r="F398" s="5" t="str">
        <f t="shared" si="72"/>
        <v>C:\Users\jaime.benazar\Quorum Business Solutions\Ecopetrol Prometeo - Documents\Planning Space Implementation\3. Analysis &amp; Design\Design\FC22\DRR Jaime\QUIFA-CAJÚA\Cajua\[VAS_CAJUA_CF_SEC_20230125.xlsx]CF PS'!</v>
      </c>
      <c r="G398" s="7" t="s">
        <v>47</v>
      </c>
      <c r="H398" s="4">
        <f t="shared" si="26"/>
        <v>52</v>
      </c>
      <c r="I398" s="4" t="str">
        <f t="shared" si="25"/>
        <v>='C:\Users\jaime.benazar\Quorum Business Solutions\Ecopetrol Prometeo - Documents\Planning Space Implementation\3. Analysis &amp; Design\Design\FC22\DRR Jaime\QUIFA-CAJÚA\Cajua\[VAS_CAJUA_CF_SEC_20230125.xlsx]CF PS'!$AY$52</v>
      </c>
      <c r="J398" s="4" t="s">
        <v>293</v>
      </c>
    </row>
    <row r="399" spans="1:10" x14ac:dyDescent="0.25">
      <c r="A399" s="7" t="s">
        <v>34</v>
      </c>
      <c r="B399" s="7">
        <f t="shared" si="87"/>
        <v>2040</v>
      </c>
      <c r="C399" s="4" t="s">
        <v>51</v>
      </c>
      <c r="D399" s="5" t="s">
        <v>128</v>
      </c>
      <c r="E399" s="10" t="str">
        <f t="shared" si="24"/>
        <v>PS'!</v>
      </c>
      <c r="F399" s="5" t="str">
        <f t="shared" ref="F399:F504" si="88">_xlfn.CONCAT(D399," ",E399)</f>
        <v>C:\Users\jaime.benazar\Quorum Business Solutions\Ecopetrol Prometeo - Documents\Planning Space Implementation\3. Analysis &amp; Design\Design\FC22\DRR Jaime\QUIFA-CAJÚA\Cajua\[VAS_CAJUA_CF_SEC_20230125.xlsx]CF PS'!</v>
      </c>
      <c r="G399" s="7" t="s">
        <v>47</v>
      </c>
      <c r="H399" s="4">
        <f t="shared" si="26"/>
        <v>53</v>
      </c>
      <c r="I399" s="4" t="str">
        <f t="shared" si="25"/>
        <v>='C:\Users\jaime.benazar\Quorum Business Solutions\Ecopetrol Prometeo - Documents\Planning Space Implementation\3. Analysis &amp; Design\Design\FC22\DRR Jaime\QUIFA-CAJÚA\Cajua\[VAS_CAJUA_CF_SEC_20230125.xlsx]CF PS'!$AY$53</v>
      </c>
      <c r="J399" s="4" t="s">
        <v>294</v>
      </c>
    </row>
    <row r="400" spans="1:10" x14ac:dyDescent="0.25">
      <c r="A400" s="7" t="s">
        <v>34</v>
      </c>
      <c r="B400" s="7">
        <f>+B399+1</f>
        <v>2041</v>
      </c>
      <c r="C400" s="4" t="s">
        <v>51</v>
      </c>
      <c r="D400" s="5" t="s">
        <v>128</v>
      </c>
      <c r="E400" s="10" t="str">
        <f t="shared" si="24"/>
        <v>PS'!</v>
      </c>
      <c r="F400" s="5" t="str">
        <f t="shared" si="88"/>
        <v>C:\Users\jaime.benazar\Quorum Business Solutions\Ecopetrol Prometeo - Documents\Planning Space Implementation\3. Analysis &amp; Design\Design\FC22\DRR Jaime\QUIFA-CAJÚA\Cajua\[VAS_CAJUA_CF_SEC_20230125.xlsx]CF PS'!</v>
      </c>
      <c r="G400" s="7" t="s">
        <v>47</v>
      </c>
      <c r="H400" s="4">
        <f t="shared" si="26"/>
        <v>54</v>
      </c>
      <c r="I400" s="4" t="str">
        <f t="shared" si="25"/>
        <v>='C:\Users\jaime.benazar\Quorum Business Solutions\Ecopetrol Prometeo - Documents\Planning Space Implementation\3. Analysis &amp; Design\Design\FC22\DRR Jaime\QUIFA-CAJÚA\Cajua\[VAS_CAJUA_CF_SEC_20230125.xlsx]CF PS'!$AY$54</v>
      </c>
      <c r="J400" s="4" t="s">
        <v>295</v>
      </c>
    </row>
    <row r="401" spans="1:10" x14ac:dyDescent="0.25">
      <c r="A401" s="7" t="s">
        <v>34</v>
      </c>
      <c r="B401" s="7">
        <f t="shared" ref="B401:B402" si="89">+B400+1</f>
        <v>2042</v>
      </c>
      <c r="C401" s="4" t="s">
        <v>51</v>
      </c>
      <c r="D401" s="5" t="s">
        <v>128</v>
      </c>
      <c r="E401" s="10" t="str">
        <f t="shared" si="24"/>
        <v>PS'!</v>
      </c>
      <c r="F401" s="5" t="str">
        <f t="shared" si="88"/>
        <v>C:\Users\jaime.benazar\Quorum Business Solutions\Ecopetrol Prometeo - Documents\Planning Space Implementation\3. Analysis &amp; Design\Design\FC22\DRR Jaime\QUIFA-CAJÚA\Cajua\[VAS_CAJUA_CF_SEC_20230125.xlsx]CF PS'!</v>
      </c>
      <c r="G401" s="7" t="s">
        <v>47</v>
      </c>
      <c r="H401" s="4">
        <f t="shared" si="26"/>
        <v>55</v>
      </c>
      <c r="I401" s="4" t="str">
        <f t="shared" si="25"/>
        <v>='C:\Users\jaime.benazar\Quorum Business Solutions\Ecopetrol Prometeo - Documents\Planning Space Implementation\3. Analysis &amp; Design\Design\FC22\DRR Jaime\QUIFA-CAJÚA\Cajua\[VAS_CAJUA_CF_SEC_20230125.xlsx]CF PS'!$AY$55</v>
      </c>
      <c r="J401" s="4" t="s">
        <v>296</v>
      </c>
    </row>
    <row r="402" spans="1:10" x14ac:dyDescent="0.25">
      <c r="A402" s="7" t="s">
        <v>34</v>
      </c>
      <c r="B402" s="7">
        <f t="shared" si="89"/>
        <v>2043</v>
      </c>
      <c r="C402" s="4" t="s">
        <v>51</v>
      </c>
      <c r="D402" s="5" t="s">
        <v>128</v>
      </c>
      <c r="E402" s="10" t="str">
        <f t="shared" si="24"/>
        <v>PS'!</v>
      </c>
      <c r="F402" s="5" t="str">
        <f t="shared" si="88"/>
        <v>C:\Users\jaime.benazar\Quorum Business Solutions\Ecopetrol Prometeo - Documents\Planning Space Implementation\3. Analysis &amp; Design\Design\FC22\DRR Jaime\QUIFA-CAJÚA\Cajua\[VAS_CAJUA_CF_SEC_20230125.xlsx]CF PS'!</v>
      </c>
      <c r="G402" s="7" t="s">
        <v>47</v>
      </c>
      <c r="H402" s="4">
        <f t="shared" si="26"/>
        <v>56</v>
      </c>
      <c r="I402" s="4" t="str">
        <f t="shared" si="25"/>
        <v>='C:\Users\jaime.benazar\Quorum Business Solutions\Ecopetrol Prometeo - Documents\Planning Space Implementation\3. Analysis &amp; Design\Design\FC22\DRR Jaime\QUIFA-CAJÚA\Cajua\[VAS_CAJUA_CF_SEC_20230125.xlsx]CF PS'!$AY$56</v>
      </c>
      <c r="J402" s="4" t="s">
        <v>297</v>
      </c>
    </row>
    <row r="403" spans="1:10" x14ac:dyDescent="0.25">
      <c r="A403" s="7" t="s">
        <v>34</v>
      </c>
      <c r="B403" s="7">
        <f>+B402+1</f>
        <v>2044</v>
      </c>
      <c r="C403" s="4" t="s">
        <v>51</v>
      </c>
      <c r="D403" s="5" t="s">
        <v>128</v>
      </c>
      <c r="E403" s="10" t="str">
        <f t="shared" ref="E403:E418" si="90">_xlfn.CONCAT(A403,"'!")</f>
        <v>PS'!</v>
      </c>
      <c r="F403" s="5" t="str">
        <f t="shared" ref="F403:F418" si="91">_xlfn.CONCAT(D403," ",E403)</f>
        <v>C:\Users\jaime.benazar\Quorum Business Solutions\Ecopetrol Prometeo - Documents\Planning Space Implementation\3. Analysis &amp; Design\Design\FC22\DRR Jaime\QUIFA-CAJÚA\Cajua\[VAS_CAJUA_CF_SEC_20230125.xlsx]CF PS'!</v>
      </c>
      <c r="G403" s="7" t="s">
        <v>47</v>
      </c>
      <c r="H403" s="4">
        <f t="shared" ref="H403:H418" si="92">IF(A403&lt;&gt;A402,36,H402+1)</f>
        <v>57</v>
      </c>
      <c r="I403" s="4" t="str">
        <f t="shared" ref="I403:I418" si="93">_xlfn.CONCAT("='",F403:H403)</f>
        <v>='C:\Users\jaime.benazar\Quorum Business Solutions\Ecopetrol Prometeo - Documents\Planning Space Implementation\3. Analysis &amp; Design\Design\FC22\DRR Jaime\QUIFA-CAJÚA\Cajua\[VAS_CAJUA_CF_SEC_20230125.xlsx]CF PS'!$AY$57</v>
      </c>
      <c r="J403" s="4" t="s">
        <v>298</v>
      </c>
    </row>
    <row r="404" spans="1:10" x14ac:dyDescent="0.25">
      <c r="A404" s="7" t="s">
        <v>34</v>
      </c>
      <c r="B404" s="7">
        <f t="shared" ref="B404:B418" si="94">+B403+1</f>
        <v>2045</v>
      </c>
      <c r="C404" s="4" t="s">
        <v>51</v>
      </c>
      <c r="D404" s="5" t="s">
        <v>128</v>
      </c>
      <c r="E404" s="10" t="str">
        <f t="shared" si="90"/>
        <v>PS'!</v>
      </c>
      <c r="F404" s="5" t="str">
        <f t="shared" si="91"/>
        <v>C:\Users\jaime.benazar\Quorum Business Solutions\Ecopetrol Prometeo - Documents\Planning Space Implementation\3. Analysis &amp; Design\Design\FC22\DRR Jaime\QUIFA-CAJÚA\Cajua\[VAS_CAJUA_CF_SEC_20230125.xlsx]CF PS'!</v>
      </c>
      <c r="G404" s="7" t="s">
        <v>47</v>
      </c>
      <c r="H404" s="4">
        <f t="shared" si="92"/>
        <v>58</v>
      </c>
      <c r="I404" s="4" t="str">
        <f t="shared" si="93"/>
        <v>='C:\Users\jaime.benazar\Quorum Business Solutions\Ecopetrol Prometeo - Documents\Planning Space Implementation\3. Analysis &amp; Design\Design\FC22\DRR Jaime\QUIFA-CAJÚA\Cajua\[VAS_CAJUA_CF_SEC_20230125.xlsx]CF PS'!$AY$58</v>
      </c>
      <c r="J404" s="4" t="s">
        <v>299</v>
      </c>
    </row>
    <row r="405" spans="1:10" x14ac:dyDescent="0.25">
      <c r="A405" s="7" t="s">
        <v>34</v>
      </c>
      <c r="B405" s="7">
        <f t="shared" si="94"/>
        <v>2046</v>
      </c>
      <c r="C405" s="4" t="s">
        <v>51</v>
      </c>
      <c r="D405" s="5" t="s">
        <v>128</v>
      </c>
      <c r="E405" s="10" t="str">
        <f t="shared" si="90"/>
        <v>PS'!</v>
      </c>
      <c r="F405" s="5" t="str">
        <f t="shared" si="91"/>
        <v>C:\Users\jaime.benazar\Quorum Business Solutions\Ecopetrol Prometeo - Documents\Planning Space Implementation\3. Analysis &amp; Design\Design\FC22\DRR Jaime\QUIFA-CAJÚA\Cajua\[VAS_CAJUA_CF_SEC_20230125.xlsx]CF PS'!</v>
      </c>
      <c r="G405" s="7" t="s">
        <v>47</v>
      </c>
      <c r="H405" s="4">
        <f t="shared" si="92"/>
        <v>59</v>
      </c>
      <c r="I405" s="4" t="str">
        <f t="shared" si="93"/>
        <v>='C:\Users\jaime.benazar\Quorum Business Solutions\Ecopetrol Prometeo - Documents\Planning Space Implementation\3. Analysis &amp; Design\Design\FC22\DRR Jaime\QUIFA-CAJÚA\Cajua\[VAS_CAJUA_CF_SEC_20230125.xlsx]CF PS'!$AY$59</v>
      </c>
      <c r="J405" s="4" t="s">
        <v>300</v>
      </c>
    </row>
    <row r="406" spans="1:10" x14ac:dyDescent="0.25">
      <c r="A406" s="7" t="s">
        <v>34</v>
      </c>
      <c r="B406" s="7">
        <f t="shared" si="94"/>
        <v>2047</v>
      </c>
      <c r="C406" s="4" t="s">
        <v>51</v>
      </c>
      <c r="D406" s="5" t="s">
        <v>128</v>
      </c>
      <c r="E406" s="10" t="str">
        <f t="shared" si="90"/>
        <v>PS'!</v>
      </c>
      <c r="F406" s="5" t="str">
        <f t="shared" si="91"/>
        <v>C:\Users\jaime.benazar\Quorum Business Solutions\Ecopetrol Prometeo - Documents\Planning Space Implementation\3. Analysis &amp; Design\Design\FC22\DRR Jaime\QUIFA-CAJÚA\Cajua\[VAS_CAJUA_CF_SEC_20230125.xlsx]CF PS'!</v>
      </c>
      <c r="G406" s="7" t="s">
        <v>47</v>
      </c>
      <c r="H406" s="4">
        <f t="shared" si="92"/>
        <v>60</v>
      </c>
      <c r="I406" s="4" t="str">
        <f t="shared" si="93"/>
        <v>='C:\Users\jaime.benazar\Quorum Business Solutions\Ecopetrol Prometeo - Documents\Planning Space Implementation\3. Analysis &amp; Design\Design\FC22\DRR Jaime\QUIFA-CAJÚA\Cajua\[VAS_CAJUA_CF_SEC_20230125.xlsx]CF PS'!$AY$60</v>
      </c>
      <c r="J406" s="4" t="s">
        <v>301</v>
      </c>
    </row>
    <row r="407" spans="1:10" x14ac:dyDescent="0.25">
      <c r="A407" s="7" t="s">
        <v>34</v>
      </c>
      <c r="B407" s="7">
        <f t="shared" si="94"/>
        <v>2048</v>
      </c>
      <c r="C407" s="4" t="s">
        <v>51</v>
      </c>
      <c r="D407" s="5" t="s">
        <v>128</v>
      </c>
      <c r="E407" s="10" t="str">
        <f t="shared" si="90"/>
        <v>PS'!</v>
      </c>
      <c r="F407" s="5" t="str">
        <f t="shared" si="91"/>
        <v>C:\Users\jaime.benazar\Quorum Business Solutions\Ecopetrol Prometeo - Documents\Planning Space Implementation\3. Analysis &amp; Design\Design\FC22\DRR Jaime\QUIFA-CAJÚA\Cajua\[VAS_CAJUA_CF_SEC_20230125.xlsx]CF PS'!</v>
      </c>
      <c r="G407" s="7" t="s">
        <v>47</v>
      </c>
      <c r="H407" s="4">
        <f t="shared" si="92"/>
        <v>61</v>
      </c>
      <c r="I407" s="4" t="str">
        <f t="shared" si="93"/>
        <v>='C:\Users\jaime.benazar\Quorum Business Solutions\Ecopetrol Prometeo - Documents\Planning Space Implementation\3. Analysis &amp; Design\Design\FC22\DRR Jaime\QUIFA-CAJÚA\Cajua\[VAS_CAJUA_CF_SEC_20230125.xlsx]CF PS'!$AY$61</v>
      </c>
      <c r="J407" s="4" t="s">
        <v>302</v>
      </c>
    </row>
    <row r="408" spans="1:10" x14ac:dyDescent="0.25">
      <c r="A408" s="7" t="s">
        <v>34</v>
      </c>
      <c r="B408" s="7">
        <f t="shared" si="94"/>
        <v>2049</v>
      </c>
      <c r="C408" s="4" t="s">
        <v>51</v>
      </c>
      <c r="D408" s="5" t="s">
        <v>128</v>
      </c>
      <c r="E408" s="10" t="str">
        <f t="shared" si="90"/>
        <v>PS'!</v>
      </c>
      <c r="F408" s="5" t="str">
        <f t="shared" si="91"/>
        <v>C:\Users\jaime.benazar\Quorum Business Solutions\Ecopetrol Prometeo - Documents\Planning Space Implementation\3. Analysis &amp; Design\Design\FC22\DRR Jaime\QUIFA-CAJÚA\Cajua\[VAS_CAJUA_CF_SEC_20230125.xlsx]CF PS'!</v>
      </c>
      <c r="G408" s="7" t="s">
        <v>47</v>
      </c>
      <c r="H408" s="4">
        <f t="shared" si="92"/>
        <v>62</v>
      </c>
      <c r="I408" s="4" t="str">
        <f t="shared" si="93"/>
        <v>='C:\Users\jaime.benazar\Quorum Business Solutions\Ecopetrol Prometeo - Documents\Planning Space Implementation\3. Analysis &amp; Design\Design\FC22\DRR Jaime\QUIFA-CAJÚA\Cajua\[VAS_CAJUA_CF_SEC_20230125.xlsx]CF PS'!$AY$62</v>
      </c>
      <c r="J408" s="4" t="s">
        <v>303</v>
      </c>
    </row>
    <row r="409" spans="1:10" x14ac:dyDescent="0.25">
      <c r="A409" s="7" t="s">
        <v>34</v>
      </c>
      <c r="B409" s="7">
        <f t="shared" si="94"/>
        <v>2050</v>
      </c>
      <c r="C409" s="4" t="s">
        <v>51</v>
      </c>
      <c r="D409" s="5" t="s">
        <v>128</v>
      </c>
      <c r="E409" s="10" t="str">
        <f t="shared" si="90"/>
        <v>PS'!</v>
      </c>
      <c r="F409" s="5" t="str">
        <f t="shared" si="91"/>
        <v>C:\Users\jaime.benazar\Quorum Business Solutions\Ecopetrol Prometeo - Documents\Planning Space Implementation\3. Analysis &amp; Design\Design\FC22\DRR Jaime\QUIFA-CAJÚA\Cajua\[VAS_CAJUA_CF_SEC_20230125.xlsx]CF PS'!</v>
      </c>
      <c r="G409" s="7" t="s">
        <v>47</v>
      </c>
      <c r="H409" s="4">
        <f t="shared" si="92"/>
        <v>63</v>
      </c>
      <c r="I409" s="4" t="str">
        <f t="shared" si="93"/>
        <v>='C:\Users\jaime.benazar\Quorum Business Solutions\Ecopetrol Prometeo - Documents\Planning Space Implementation\3. Analysis &amp; Design\Design\FC22\DRR Jaime\QUIFA-CAJÚA\Cajua\[VAS_CAJUA_CF_SEC_20230125.xlsx]CF PS'!$AY$63</v>
      </c>
      <c r="J409" s="4" t="s">
        <v>304</v>
      </c>
    </row>
    <row r="410" spans="1:10" x14ac:dyDescent="0.25">
      <c r="A410" s="7" t="s">
        <v>34</v>
      </c>
      <c r="B410" s="7">
        <f t="shared" si="94"/>
        <v>2051</v>
      </c>
      <c r="C410" s="4" t="s">
        <v>51</v>
      </c>
      <c r="D410" s="5" t="s">
        <v>128</v>
      </c>
      <c r="E410" s="10" t="str">
        <f t="shared" si="90"/>
        <v>PS'!</v>
      </c>
      <c r="F410" s="5" t="str">
        <f t="shared" si="91"/>
        <v>C:\Users\jaime.benazar\Quorum Business Solutions\Ecopetrol Prometeo - Documents\Planning Space Implementation\3. Analysis &amp; Design\Design\FC22\DRR Jaime\QUIFA-CAJÚA\Cajua\[VAS_CAJUA_CF_SEC_20230125.xlsx]CF PS'!</v>
      </c>
      <c r="G410" s="7" t="s">
        <v>47</v>
      </c>
      <c r="H410" s="4">
        <f t="shared" si="92"/>
        <v>64</v>
      </c>
      <c r="I410" s="4" t="str">
        <f t="shared" si="93"/>
        <v>='C:\Users\jaime.benazar\Quorum Business Solutions\Ecopetrol Prometeo - Documents\Planning Space Implementation\3. Analysis &amp; Design\Design\FC22\DRR Jaime\QUIFA-CAJÚA\Cajua\[VAS_CAJUA_CF_SEC_20230125.xlsx]CF PS'!$AY$64</v>
      </c>
      <c r="J410" s="4" t="s">
        <v>305</v>
      </c>
    </row>
    <row r="411" spans="1:10" x14ac:dyDescent="0.25">
      <c r="A411" s="7" t="s">
        <v>34</v>
      </c>
      <c r="B411" s="7">
        <f t="shared" si="94"/>
        <v>2052</v>
      </c>
      <c r="C411" s="4" t="s">
        <v>51</v>
      </c>
      <c r="D411" s="5" t="s">
        <v>128</v>
      </c>
      <c r="E411" s="10" t="str">
        <f t="shared" si="90"/>
        <v>PS'!</v>
      </c>
      <c r="F411" s="5" t="str">
        <f t="shared" si="91"/>
        <v>C:\Users\jaime.benazar\Quorum Business Solutions\Ecopetrol Prometeo - Documents\Planning Space Implementation\3. Analysis &amp; Design\Design\FC22\DRR Jaime\QUIFA-CAJÚA\Cajua\[VAS_CAJUA_CF_SEC_20230125.xlsx]CF PS'!</v>
      </c>
      <c r="G411" s="7" t="s">
        <v>47</v>
      </c>
      <c r="H411" s="4">
        <f t="shared" si="92"/>
        <v>65</v>
      </c>
      <c r="I411" s="4" t="str">
        <f t="shared" si="93"/>
        <v>='C:\Users\jaime.benazar\Quorum Business Solutions\Ecopetrol Prometeo - Documents\Planning Space Implementation\3. Analysis &amp; Design\Design\FC22\DRR Jaime\QUIFA-CAJÚA\Cajua\[VAS_CAJUA_CF_SEC_20230125.xlsx]CF PS'!$AY$65</v>
      </c>
      <c r="J411" s="4" t="s">
        <v>306</v>
      </c>
    </row>
    <row r="412" spans="1:10" x14ac:dyDescent="0.25">
      <c r="A412" s="7" t="s">
        <v>34</v>
      </c>
      <c r="B412" s="7">
        <f t="shared" si="94"/>
        <v>2053</v>
      </c>
      <c r="C412" s="4" t="s">
        <v>51</v>
      </c>
      <c r="D412" s="5" t="s">
        <v>128</v>
      </c>
      <c r="E412" s="10" t="str">
        <f t="shared" si="90"/>
        <v>PS'!</v>
      </c>
      <c r="F412" s="5" t="str">
        <f t="shared" si="91"/>
        <v>C:\Users\jaime.benazar\Quorum Business Solutions\Ecopetrol Prometeo - Documents\Planning Space Implementation\3. Analysis &amp; Design\Design\FC22\DRR Jaime\QUIFA-CAJÚA\Cajua\[VAS_CAJUA_CF_SEC_20230125.xlsx]CF PS'!</v>
      </c>
      <c r="G412" s="7" t="s">
        <v>47</v>
      </c>
      <c r="H412" s="4">
        <f t="shared" si="92"/>
        <v>66</v>
      </c>
      <c r="I412" s="4" t="str">
        <f t="shared" si="93"/>
        <v>='C:\Users\jaime.benazar\Quorum Business Solutions\Ecopetrol Prometeo - Documents\Planning Space Implementation\3. Analysis &amp; Design\Design\FC22\DRR Jaime\QUIFA-CAJÚA\Cajua\[VAS_CAJUA_CF_SEC_20230125.xlsx]CF PS'!$AY$66</v>
      </c>
      <c r="J412" s="4" t="s">
        <v>307</v>
      </c>
    </row>
    <row r="413" spans="1:10" x14ac:dyDescent="0.25">
      <c r="A413" s="7" t="s">
        <v>34</v>
      </c>
      <c r="B413" s="7">
        <f t="shared" si="94"/>
        <v>2054</v>
      </c>
      <c r="C413" s="4" t="s">
        <v>51</v>
      </c>
      <c r="D413" s="5" t="s">
        <v>128</v>
      </c>
      <c r="E413" s="10" t="str">
        <f t="shared" si="90"/>
        <v>PS'!</v>
      </c>
      <c r="F413" s="5" t="str">
        <f t="shared" si="91"/>
        <v>C:\Users\jaime.benazar\Quorum Business Solutions\Ecopetrol Prometeo - Documents\Planning Space Implementation\3. Analysis &amp; Design\Design\FC22\DRR Jaime\QUIFA-CAJÚA\Cajua\[VAS_CAJUA_CF_SEC_20230125.xlsx]CF PS'!</v>
      </c>
      <c r="G413" s="7" t="s">
        <v>47</v>
      </c>
      <c r="H413" s="4">
        <f t="shared" si="92"/>
        <v>67</v>
      </c>
      <c r="I413" s="4" t="str">
        <f t="shared" si="93"/>
        <v>='C:\Users\jaime.benazar\Quorum Business Solutions\Ecopetrol Prometeo - Documents\Planning Space Implementation\3. Analysis &amp; Design\Design\FC22\DRR Jaime\QUIFA-CAJÚA\Cajua\[VAS_CAJUA_CF_SEC_20230125.xlsx]CF PS'!$AY$67</v>
      </c>
      <c r="J413" s="4" t="s">
        <v>308</v>
      </c>
    </row>
    <row r="414" spans="1:10" x14ac:dyDescent="0.25">
      <c r="A414" s="7" t="s">
        <v>34</v>
      </c>
      <c r="B414" s="7">
        <f t="shared" si="94"/>
        <v>2055</v>
      </c>
      <c r="C414" s="4" t="s">
        <v>51</v>
      </c>
      <c r="D414" s="5" t="s">
        <v>128</v>
      </c>
      <c r="E414" s="10" t="str">
        <f t="shared" si="90"/>
        <v>PS'!</v>
      </c>
      <c r="F414" s="5" t="str">
        <f t="shared" si="91"/>
        <v>C:\Users\jaime.benazar\Quorum Business Solutions\Ecopetrol Prometeo - Documents\Planning Space Implementation\3. Analysis &amp; Design\Design\FC22\DRR Jaime\QUIFA-CAJÚA\Cajua\[VAS_CAJUA_CF_SEC_20230125.xlsx]CF PS'!</v>
      </c>
      <c r="G414" s="7" t="s">
        <v>47</v>
      </c>
      <c r="H414" s="4">
        <f t="shared" si="92"/>
        <v>68</v>
      </c>
      <c r="I414" s="4" t="str">
        <f t="shared" si="93"/>
        <v>='C:\Users\jaime.benazar\Quorum Business Solutions\Ecopetrol Prometeo - Documents\Planning Space Implementation\3. Analysis &amp; Design\Design\FC22\DRR Jaime\QUIFA-CAJÚA\Cajua\[VAS_CAJUA_CF_SEC_20230125.xlsx]CF PS'!$AY$68</v>
      </c>
      <c r="J414" s="4" t="s">
        <v>309</v>
      </c>
    </row>
    <row r="415" spans="1:10" x14ac:dyDescent="0.25">
      <c r="A415" s="7" t="s">
        <v>34</v>
      </c>
      <c r="B415" s="7">
        <f t="shared" si="94"/>
        <v>2056</v>
      </c>
      <c r="C415" s="4" t="s">
        <v>51</v>
      </c>
      <c r="D415" s="5" t="s">
        <v>128</v>
      </c>
      <c r="E415" s="10" t="str">
        <f t="shared" si="90"/>
        <v>PS'!</v>
      </c>
      <c r="F415" s="5" t="str">
        <f t="shared" si="91"/>
        <v>C:\Users\jaime.benazar\Quorum Business Solutions\Ecopetrol Prometeo - Documents\Planning Space Implementation\3. Analysis &amp; Design\Design\FC22\DRR Jaime\QUIFA-CAJÚA\Cajua\[VAS_CAJUA_CF_SEC_20230125.xlsx]CF PS'!</v>
      </c>
      <c r="G415" s="7" t="s">
        <v>47</v>
      </c>
      <c r="H415" s="4">
        <f t="shared" si="92"/>
        <v>69</v>
      </c>
      <c r="I415" s="4" t="str">
        <f t="shared" si="93"/>
        <v>='C:\Users\jaime.benazar\Quorum Business Solutions\Ecopetrol Prometeo - Documents\Planning Space Implementation\3. Analysis &amp; Design\Design\FC22\DRR Jaime\QUIFA-CAJÚA\Cajua\[VAS_CAJUA_CF_SEC_20230125.xlsx]CF PS'!$AY$69</v>
      </c>
      <c r="J415" s="4" t="s">
        <v>310</v>
      </c>
    </row>
    <row r="416" spans="1:10" x14ac:dyDescent="0.25">
      <c r="A416" s="7" t="s">
        <v>34</v>
      </c>
      <c r="B416" s="7">
        <f t="shared" si="94"/>
        <v>2057</v>
      </c>
      <c r="C416" s="4" t="s">
        <v>51</v>
      </c>
      <c r="D416" s="5" t="s">
        <v>128</v>
      </c>
      <c r="E416" s="10" t="str">
        <f t="shared" si="90"/>
        <v>PS'!</v>
      </c>
      <c r="F416" s="5" t="str">
        <f t="shared" si="91"/>
        <v>C:\Users\jaime.benazar\Quorum Business Solutions\Ecopetrol Prometeo - Documents\Planning Space Implementation\3. Analysis &amp; Design\Design\FC22\DRR Jaime\QUIFA-CAJÚA\Cajua\[VAS_CAJUA_CF_SEC_20230125.xlsx]CF PS'!</v>
      </c>
      <c r="G416" s="7" t="s">
        <v>47</v>
      </c>
      <c r="H416" s="4">
        <f t="shared" si="92"/>
        <v>70</v>
      </c>
      <c r="I416" s="4" t="str">
        <f t="shared" si="93"/>
        <v>='C:\Users\jaime.benazar\Quorum Business Solutions\Ecopetrol Prometeo - Documents\Planning Space Implementation\3. Analysis &amp; Design\Design\FC22\DRR Jaime\QUIFA-CAJÚA\Cajua\[VAS_CAJUA_CF_SEC_20230125.xlsx]CF PS'!$AY$70</v>
      </c>
      <c r="J416" s="4" t="s">
        <v>311</v>
      </c>
    </row>
    <row r="417" spans="1:10" x14ac:dyDescent="0.25">
      <c r="A417" s="7" t="s">
        <v>34</v>
      </c>
      <c r="B417" s="7">
        <f t="shared" si="94"/>
        <v>2058</v>
      </c>
      <c r="C417" s="4" t="s">
        <v>51</v>
      </c>
      <c r="D417" s="5" t="s">
        <v>128</v>
      </c>
      <c r="E417" s="10" t="str">
        <f t="shared" si="90"/>
        <v>PS'!</v>
      </c>
      <c r="F417" s="5" t="str">
        <f t="shared" si="91"/>
        <v>C:\Users\jaime.benazar\Quorum Business Solutions\Ecopetrol Prometeo - Documents\Planning Space Implementation\3. Analysis &amp; Design\Design\FC22\DRR Jaime\QUIFA-CAJÚA\Cajua\[VAS_CAJUA_CF_SEC_20230125.xlsx]CF PS'!</v>
      </c>
      <c r="G417" s="7" t="s">
        <v>47</v>
      </c>
      <c r="H417" s="4">
        <f t="shared" si="92"/>
        <v>71</v>
      </c>
      <c r="I417" s="4" t="str">
        <f t="shared" si="93"/>
        <v>='C:\Users\jaime.benazar\Quorum Business Solutions\Ecopetrol Prometeo - Documents\Planning Space Implementation\3. Analysis &amp; Design\Design\FC22\DRR Jaime\QUIFA-CAJÚA\Cajua\[VAS_CAJUA_CF_SEC_20230125.xlsx]CF PS'!$AY$71</v>
      </c>
      <c r="J417" s="4" t="s">
        <v>312</v>
      </c>
    </row>
    <row r="418" spans="1:10" x14ac:dyDescent="0.25">
      <c r="A418" s="7" t="s">
        <v>34</v>
      </c>
      <c r="B418" s="7">
        <f t="shared" si="94"/>
        <v>2059</v>
      </c>
      <c r="C418" s="4" t="s">
        <v>51</v>
      </c>
      <c r="D418" s="5" t="s">
        <v>128</v>
      </c>
      <c r="E418" s="10" t="str">
        <f t="shared" si="90"/>
        <v>PS'!</v>
      </c>
      <c r="F418" s="5" t="str">
        <f t="shared" si="91"/>
        <v>C:\Users\jaime.benazar\Quorum Business Solutions\Ecopetrol Prometeo - Documents\Planning Space Implementation\3. Analysis &amp; Design\Design\FC22\DRR Jaime\QUIFA-CAJÚA\Cajua\[VAS_CAJUA_CF_SEC_20230125.xlsx]CF PS'!</v>
      </c>
      <c r="G418" s="7" t="s">
        <v>47</v>
      </c>
      <c r="H418" s="4">
        <f t="shared" si="92"/>
        <v>72</v>
      </c>
      <c r="I418" s="4" t="str">
        <f t="shared" si="93"/>
        <v>='C:\Users\jaime.benazar\Quorum Business Solutions\Ecopetrol Prometeo - Documents\Planning Space Implementation\3. Analysis &amp; Design\Design\FC22\DRR Jaime\QUIFA-CAJÚA\Cajua\[VAS_CAJUA_CF_SEC_20230125.xlsx]CF PS'!$AY$72</v>
      </c>
      <c r="J418" s="4" t="s">
        <v>313</v>
      </c>
    </row>
    <row r="419" spans="1:10" x14ac:dyDescent="0.25">
      <c r="A419" s="7" t="s">
        <v>28</v>
      </c>
      <c r="B419" s="7"/>
      <c r="C419" s="4" t="s">
        <v>51</v>
      </c>
      <c r="D419" s="5"/>
      <c r="E419" s="10"/>
      <c r="F419" s="5" t="str">
        <f t="shared" si="88"/>
        <v xml:space="preserve"> </v>
      </c>
      <c r="G419" s="7"/>
      <c r="H419" s="4"/>
      <c r="I419" s="4"/>
      <c r="J419" s="4"/>
    </row>
    <row r="420" spans="1:10" x14ac:dyDescent="0.25">
      <c r="A420" s="6" t="s">
        <v>1</v>
      </c>
      <c r="B420" s="6">
        <v>2023</v>
      </c>
      <c r="C420" s="1" t="s">
        <v>8</v>
      </c>
      <c r="D420" s="2" t="s">
        <v>128</v>
      </c>
      <c r="E420" s="9" t="str">
        <f>_xlfn.CONCAT(A420,"'!")</f>
        <v>PDP'!</v>
      </c>
      <c r="F420" s="5" t="str">
        <f t="shared" si="88"/>
        <v>C:\Users\jaime.benazar\Quorum Business Solutions\Ecopetrol Prometeo - Documents\Planning Space Implementation\3. Analysis &amp; Design\Design\FC22\DRR Jaime\QUIFA-CAJÚA\Cajua\[VAS_CAJUA_CF_SEC_20230125.xlsx]CF PDP'!</v>
      </c>
      <c r="G420" s="6" t="s">
        <v>36</v>
      </c>
      <c r="H420" s="1">
        <f>IF(A420&lt;&gt;A404,36,H404+1)</f>
        <v>36</v>
      </c>
      <c r="I420" s="1" t="str">
        <f>_xlfn.CONCAT("='",F420:H420)</f>
        <v>='C:\Users\jaime.benazar\Quorum Business Solutions\Ecopetrol Prometeo - Documents\Planning Space Implementation\3. Analysis &amp; Design\Design\FC22\DRR Jaime\QUIFA-CAJÚA\Cajua\[VAS_CAJUA_CF_SEC_20230125.xlsx]CF PDP'!$BT$36</v>
      </c>
      <c r="J420" s="1" t="s">
        <v>314</v>
      </c>
    </row>
    <row r="421" spans="1:10" x14ac:dyDescent="0.25">
      <c r="A421" s="6" t="s">
        <v>1</v>
      </c>
      <c r="B421" s="6">
        <f>+B420+1</f>
        <v>2024</v>
      </c>
      <c r="C421" s="1" t="s">
        <v>8</v>
      </c>
      <c r="D421" s="2" t="s">
        <v>128</v>
      </c>
      <c r="E421" s="9" t="str">
        <f t="shared" ref="E421:E514" si="95">_xlfn.CONCAT(A421,"'!")</f>
        <v>PDP'!</v>
      </c>
      <c r="F421" s="5" t="str">
        <f t="shared" si="88"/>
        <v>C:\Users\jaime.benazar\Quorum Business Solutions\Ecopetrol Prometeo - Documents\Planning Space Implementation\3. Analysis &amp; Design\Design\FC22\DRR Jaime\QUIFA-CAJÚA\Cajua\[VAS_CAJUA_CF_SEC_20230125.xlsx]CF PDP'!</v>
      </c>
      <c r="G421" s="6" t="s">
        <v>36</v>
      </c>
      <c r="H421" s="1">
        <f>IF(A421&lt;&gt;A420,36,H420+1)</f>
        <v>37</v>
      </c>
      <c r="I421" s="1" t="str">
        <f t="shared" ref="I421:I514" si="96">_xlfn.CONCAT("='",F421:H421)</f>
        <v>='C:\Users\jaime.benazar\Quorum Business Solutions\Ecopetrol Prometeo - Documents\Planning Space Implementation\3. Analysis &amp; Design\Design\FC22\DRR Jaime\QUIFA-CAJÚA\Cajua\[VAS_CAJUA_CF_SEC_20230125.xlsx]CF PDP'!$BT$37</v>
      </c>
      <c r="J421" s="1" t="s">
        <v>315</v>
      </c>
    </row>
    <row r="422" spans="1:10" x14ac:dyDescent="0.25">
      <c r="A422" s="6" t="s">
        <v>1</v>
      </c>
      <c r="B422" s="6">
        <f t="shared" ref="B422:B433" si="97">+B421+1</f>
        <v>2025</v>
      </c>
      <c r="C422" s="1" t="s">
        <v>8</v>
      </c>
      <c r="D422" s="2" t="s">
        <v>128</v>
      </c>
      <c r="E422" s="9" t="str">
        <f t="shared" si="95"/>
        <v>PDP'!</v>
      </c>
      <c r="F422" s="5" t="str">
        <f t="shared" si="88"/>
        <v>C:\Users\jaime.benazar\Quorum Business Solutions\Ecopetrol Prometeo - Documents\Planning Space Implementation\3. Analysis &amp; Design\Design\FC22\DRR Jaime\QUIFA-CAJÚA\Cajua\[VAS_CAJUA_CF_SEC_20230125.xlsx]CF PDP'!</v>
      </c>
      <c r="G422" s="6" t="s">
        <v>36</v>
      </c>
      <c r="H422" s="1">
        <f t="shared" ref="H422:H515" si="98">IF(A422&lt;&gt;A421,36,H421+1)</f>
        <v>38</v>
      </c>
      <c r="I422" s="1" t="str">
        <f t="shared" si="96"/>
        <v>='C:\Users\jaime.benazar\Quorum Business Solutions\Ecopetrol Prometeo - Documents\Planning Space Implementation\3. Analysis &amp; Design\Design\FC22\DRR Jaime\QUIFA-CAJÚA\Cajua\[VAS_CAJUA_CF_SEC_20230125.xlsx]CF PDP'!$BT$38</v>
      </c>
      <c r="J422" s="1" t="s">
        <v>316</v>
      </c>
    </row>
    <row r="423" spans="1:10" x14ac:dyDescent="0.25">
      <c r="A423" s="6" t="s">
        <v>1</v>
      </c>
      <c r="B423" s="6">
        <f t="shared" si="97"/>
        <v>2026</v>
      </c>
      <c r="C423" s="1" t="s">
        <v>8</v>
      </c>
      <c r="D423" s="2" t="s">
        <v>128</v>
      </c>
      <c r="E423" s="9" t="str">
        <f t="shared" si="95"/>
        <v>PDP'!</v>
      </c>
      <c r="F423" s="5" t="str">
        <f t="shared" si="88"/>
        <v>C:\Users\jaime.benazar\Quorum Business Solutions\Ecopetrol Prometeo - Documents\Planning Space Implementation\3. Analysis &amp; Design\Design\FC22\DRR Jaime\QUIFA-CAJÚA\Cajua\[VAS_CAJUA_CF_SEC_20230125.xlsx]CF PDP'!</v>
      </c>
      <c r="G423" s="6" t="s">
        <v>36</v>
      </c>
      <c r="H423" s="1">
        <f t="shared" si="98"/>
        <v>39</v>
      </c>
      <c r="I423" s="1" t="str">
        <f t="shared" si="96"/>
        <v>='C:\Users\jaime.benazar\Quorum Business Solutions\Ecopetrol Prometeo - Documents\Planning Space Implementation\3. Analysis &amp; Design\Design\FC22\DRR Jaime\QUIFA-CAJÚA\Cajua\[VAS_CAJUA_CF_SEC_20230125.xlsx]CF PDP'!$BT$39</v>
      </c>
      <c r="J423" s="1" t="s">
        <v>317</v>
      </c>
    </row>
    <row r="424" spans="1:10" x14ac:dyDescent="0.25">
      <c r="A424" s="6" t="s">
        <v>1</v>
      </c>
      <c r="B424" s="6">
        <f t="shared" si="97"/>
        <v>2027</v>
      </c>
      <c r="C424" s="1" t="s">
        <v>8</v>
      </c>
      <c r="D424" s="2" t="s">
        <v>128</v>
      </c>
      <c r="E424" s="9" t="str">
        <f t="shared" si="95"/>
        <v>PDP'!</v>
      </c>
      <c r="F424" s="5" t="str">
        <f t="shared" si="88"/>
        <v>C:\Users\jaime.benazar\Quorum Business Solutions\Ecopetrol Prometeo - Documents\Planning Space Implementation\3. Analysis &amp; Design\Design\FC22\DRR Jaime\QUIFA-CAJÚA\Cajua\[VAS_CAJUA_CF_SEC_20230125.xlsx]CF PDP'!</v>
      </c>
      <c r="G424" s="6" t="s">
        <v>36</v>
      </c>
      <c r="H424" s="1">
        <f t="shared" si="98"/>
        <v>40</v>
      </c>
      <c r="I424" s="1" t="str">
        <f t="shared" si="96"/>
        <v>='C:\Users\jaime.benazar\Quorum Business Solutions\Ecopetrol Prometeo - Documents\Planning Space Implementation\3. Analysis &amp; Design\Design\FC22\DRR Jaime\QUIFA-CAJÚA\Cajua\[VAS_CAJUA_CF_SEC_20230125.xlsx]CF PDP'!$BT$40</v>
      </c>
      <c r="J424" s="1" t="s">
        <v>318</v>
      </c>
    </row>
    <row r="425" spans="1:10" x14ac:dyDescent="0.25">
      <c r="A425" s="6" t="s">
        <v>1</v>
      </c>
      <c r="B425" s="6">
        <f t="shared" si="97"/>
        <v>2028</v>
      </c>
      <c r="C425" s="1" t="s">
        <v>8</v>
      </c>
      <c r="D425" s="2" t="s">
        <v>128</v>
      </c>
      <c r="E425" s="9" t="str">
        <f t="shared" si="95"/>
        <v>PDP'!</v>
      </c>
      <c r="F425" s="5" t="str">
        <f t="shared" si="88"/>
        <v>C:\Users\jaime.benazar\Quorum Business Solutions\Ecopetrol Prometeo - Documents\Planning Space Implementation\3. Analysis &amp; Design\Design\FC22\DRR Jaime\QUIFA-CAJÚA\Cajua\[VAS_CAJUA_CF_SEC_20230125.xlsx]CF PDP'!</v>
      </c>
      <c r="G425" s="6" t="s">
        <v>36</v>
      </c>
      <c r="H425" s="1">
        <f t="shared" si="98"/>
        <v>41</v>
      </c>
      <c r="I425" s="1" t="str">
        <f t="shared" si="96"/>
        <v>='C:\Users\jaime.benazar\Quorum Business Solutions\Ecopetrol Prometeo - Documents\Planning Space Implementation\3. Analysis &amp; Design\Design\FC22\DRR Jaime\QUIFA-CAJÚA\Cajua\[VAS_CAJUA_CF_SEC_20230125.xlsx]CF PDP'!$BT$41</v>
      </c>
      <c r="J425" s="1" t="s">
        <v>319</v>
      </c>
    </row>
    <row r="426" spans="1:10" x14ac:dyDescent="0.25">
      <c r="A426" s="6" t="s">
        <v>1</v>
      </c>
      <c r="B426" s="6">
        <f t="shared" si="97"/>
        <v>2029</v>
      </c>
      <c r="C426" s="1" t="s">
        <v>8</v>
      </c>
      <c r="D426" s="2" t="s">
        <v>128</v>
      </c>
      <c r="E426" s="9" t="str">
        <f t="shared" si="95"/>
        <v>PDP'!</v>
      </c>
      <c r="F426" s="5" t="str">
        <f t="shared" si="88"/>
        <v>C:\Users\jaime.benazar\Quorum Business Solutions\Ecopetrol Prometeo - Documents\Planning Space Implementation\3. Analysis &amp; Design\Design\FC22\DRR Jaime\QUIFA-CAJÚA\Cajua\[VAS_CAJUA_CF_SEC_20230125.xlsx]CF PDP'!</v>
      </c>
      <c r="G426" s="6" t="s">
        <v>36</v>
      </c>
      <c r="H426" s="1">
        <f t="shared" si="98"/>
        <v>42</v>
      </c>
      <c r="I426" s="1" t="str">
        <f t="shared" si="96"/>
        <v>='C:\Users\jaime.benazar\Quorum Business Solutions\Ecopetrol Prometeo - Documents\Planning Space Implementation\3. Analysis &amp; Design\Design\FC22\DRR Jaime\QUIFA-CAJÚA\Cajua\[VAS_CAJUA_CF_SEC_20230125.xlsx]CF PDP'!$BT$42</v>
      </c>
      <c r="J426" s="1" t="s">
        <v>320</v>
      </c>
    </row>
    <row r="427" spans="1:10" x14ac:dyDescent="0.25">
      <c r="A427" s="6" t="s">
        <v>1</v>
      </c>
      <c r="B427" s="6">
        <f t="shared" si="97"/>
        <v>2030</v>
      </c>
      <c r="C427" s="1" t="s">
        <v>8</v>
      </c>
      <c r="D427" s="2" t="s">
        <v>128</v>
      </c>
      <c r="E427" s="9" t="str">
        <f t="shared" si="95"/>
        <v>PDP'!</v>
      </c>
      <c r="F427" s="5" t="str">
        <f t="shared" si="88"/>
        <v>C:\Users\jaime.benazar\Quorum Business Solutions\Ecopetrol Prometeo - Documents\Planning Space Implementation\3. Analysis &amp; Design\Design\FC22\DRR Jaime\QUIFA-CAJÚA\Cajua\[VAS_CAJUA_CF_SEC_20230125.xlsx]CF PDP'!</v>
      </c>
      <c r="G427" s="6" t="s">
        <v>36</v>
      </c>
      <c r="H427" s="1">
        <f t="shared" si="98"/>
        <v>43</v>
      </c>
      <c r="I427" s="1" t="str">
        <f t="shared" si="96"/>
        <v>='C:\Users\jaime.benazar\Quorum Business Solutions\Ecopetrol Prometeo - Documents\Planning Space Implementation\3. Analysis &amp; Design\Design\FC22\DRR Jaime\QUIFA-CAJÚA\Cajua\[VAS_CAJUA_CF_SEC_20230125.xlsx]CF PDP'!$BT$43</v>
      </c>
      <c r="J427" s="1" t="s">
        <v>321</v>
      </c>
    </row>
    <row r="428" spans="1:10" x14ac:dyDescent="0.25">
      <c r="A428" s="6" t="s">
        <v>1</v>
      </c>
      <c r="B428" s="6">
        <f t="shared" si="97"/>
        <v>2031</v>
      </c>
      <c r="C428" s="1" t="s">
        <v>8</v>
      </c>
      <c r="D428" s="2" t="s">
        <v>128</v>
      </c>
      <c r="E428" s="9" t="str">
        <f t="shared" si="95"/>
        <v>PDP'!</v>
      </c>
      <c r="F428" s="5" t="str">
        <f t="shared" si="88"/>
        <v>C:\Users\jaime.benazar\Quorum Business Solutions\Ecopetrol Prometeo - Documents\Planning Space Implementation\3. Analysis &amp; Design\Design\FC22\DRR Jaime\QUIFA-CAJÚA\Cajua\[VAS_CAJUA_CF_SEC_20230125.xlsx]CF PDP'!</v>
      </c>
      <c r="G428" s="6" t="s">
        <v>36</v>
      </c>
      <c r="H428" s="1">
        <f t="shared" si="98"/>
        <v>44</v>
      </c>
      <c r="I428" s="1" t="str">
        <f t="shared" si="96"/>
        <v>='C:\Users\jaime.benazar\Quorum Business Solutions\Ecopetrol Prometeo - Documents\Planning Space Implementation\3. Analysis &amp; Design\Design\FC22\DRR Jaime\QUIFA-CAJÚA\Cajua\[VAS_CAJUA_CF_SEC_20230125.xlsx]CF PDP'!$BT$44</v>
      </c>
      <c r="J428" s="1" t="s">
        <v>322</v>
      </c>
    </row>
    <row r="429" spans="1:10" x14ac:dyDescent="0.25">
      <c r="A429" s="6" t="s">
        <v>1</v>
      </c>
      <c r="B429" s="6">
        <f t="shared" si="97"/>
        <v>2032</v>
      </c>
      <c r="C429" s="1" t="s">
        <v>8</v>
      </c>
      <c r="D429" s="2" t="s">
        <v>128</v>
      </c>
      <c r="E429" s="9" t="str">
        <f t="shared" si="95"/>
        <v>PDP'!</v>
      </c>
      <c r="F429" s="5" t="str">
        <f t="shared" si="88"/>
        <v>C:\Users\jaime.benazar\Quorum Business Solutions\Ecopetrol Prometeo - Documents\Planning Space Implementation\3. Analysis &amp; Design\Design\FC22\DRR Jaime\QUIFA-CAJÚA\Cajua\[VAS_CAJUA_CF_SEC_20230125.xlsx]CF PDP'!</v>
      </c>
      <c r="G429" s="6" t="s">
        <v>36</v>
      </c>
      <c r="H429" s="1">
        <f t="shared" si="98"/>
        <v>45</v>
      </c>
      <c r="I429" s="1" t="str">
        <f t="shared" si="96"/>
        <v>='C:\Users\jaime.benazar\Quorum Business Solutions\Ecopetrol Prometeo - Documents\Planning Space Implementation\3. Analysis &amp; Design\Design\FC22\DRR Jaime\QUIFA-CAJÚA\Cajua\[VAS_CAJUA_CF_SEC_20230125.xlsx]CF PDP'!$BT$45</v>
      </c>
      <c r="J429" s="1" t="s">
        <v>323</v>
      </c>
    </row>
    <row r="430" spans="1:10" x14ac:dyDescent="0.25">
      <c r="A430" s="6" t="s">
        <v>1</v>
      </c>
      <c r="B430" s="6">
        <f t="shared" si="97"/>
        <v>2033</v>
      </c>
      <c r="C430" s="1" t="s">
        <v>8</v>
      </c>
      <c r="D430" s="2" t="s">
        <v>128</v>
      </c>
      <c r="E430" s="9" t="str">
        <f t="shared" si="95"/>
        <v>PDP'!</v>
      </c>
      <c r="F430" s="5" t="str">
        <f t="shared" si="88"/>
        <v>C:\Users\jaime.benazar\Quorum Business Solutions\Ecopetrol Prometeo - Documents\Planning Space Implementation\3. Analysis &amp; Design\Design\FC22\DRR Jaime\QUIFA-CAJÚA\Cajua\[VAS_CAJUA_CF_SEC_20230125.xlsx]CF PDP'!</v>
      </c>
      <c r="G430" s="6" t="s">
        <v>36</v>
      </c>
      <c r="H430" s="1">
        <f t="shared" si="98"/>
        <v>46</v>
      </c>
      <c r="I430" s="1" t="str">
        <f t="shared" si="96"/>
        <v>='C:\Users\jaime.benazar\Quorum Business Solutions\Ecopetrol Prometeo - Documents\Planning Space Implementation\3. Analysis &amp; Design\Design\FC22\DRR Jaime\QUIFA-CAJÚA\Cajua\[VAS_CAJUA_CF_SEC_20230125.xlsx]CF PDP'!$BT$46</v>
      </c>
      <c r="J430" s="1" t="s">
        <v>324</v>
      </c>
    </row>
    <row r="431" spans="1:10" x14ac:dyDescent="0.25">
      <c r="A431" s="6" t="s">
        <v>1</v>
      </c>
      <c r="B431" s="6">
        <f t="shared" si="97"/>
        <v>2034</v>
      </c>
      <c r="C431" s="1" t="s">
        <v>8</v>
      </c>
      <c r="D431" s="2" t="s">
        <v>128</v>
      </c>
      <c r="E431" s="9" t="str">
        <f t="shared" si="95"/>
        <v>PDP'!</v>
      </c>
      <c r="F431" s="5" t="str">
        <f t="shared" si="88"/>
        <v>C:\Users\jaime.benazar\Quorum Business Solutions\Ecopetrol Prometeo - Documents\Planning Space Implementation\3. Analysis &amp; Design\Design\FC22\DRR Jaime\QUIFA-CAJÚA\Cajua\[VAS_CAJUA_CF_SEC_20230125.xlsx]CF PDP'!</v>
      </c>
      <c r="G431" s="6" t="s">
        <v>36</v>
      </c>
      <c r="H431" s="1">
        <f t="shared" si="98"/>
        <v>47</v>
      </c>
      <c r="I431" s="1" t="str">
        <f t="shared" si="96"/>
        <v>='C:\Users\jaime.benazar\Quorum Business Solutions\Ecopetrol Prometeo - Documents\Planning Space Implementation\3. Analysis &amp; Design\Design\FC22\DRR Jaime\QUIFA-CAJÚA\Cajua\[VAS_CAJUA_CF_SEC_20230125.xlsx]CF PDP'!$BT$47</v>
      </c>
      <c r="J431" s="1" t="s">
        <v>325</v>
      </c>
    </row>
    <row r="432" spans="1:10" x14ac:dyDescent="0.25">
      <c r="A432" s="6" t="s">
        <v>1</v>
      </c>
      <c r="B432" s="6">
        <f t="shared" si="97"/>
        <v>2035</v>
      </c>
      <c r="C432" s="1" t="s">
        <v>8</v>
      </c>
      <c r="D432" s="2" t="s">
        <v>128</v>
      </c>
      <c r="E432" s="9" t="str">
        <f t="shared" si="95"/>
        <v>PDP'!</v>
      </c>
      <c r="F432" s="5" t="str">
        <f t="shared" si="88"/>
        <v>C:\Users\jaime.benazar\Quorum Business Solutions\Ecopetrol Prometeo - Documents\Planning Space Implementation\3. Analysis &amp; Design\Design\FC22\DRR Jaime\QUIFA-CAJÚA\Cajua\[VAS_CAJUA_CF_SEC_20230125.xlsx]CF PDP'!</v>
      </c>
      <c r="G432" s="6" t="s">
        <v>36</v>
      </c>
      <c r="H432" s="1">
        <f t="shared" si="98"/>
        <v>48</v>
      </c>
      <c r="I432" s="1" t="str">
        <f t="shared" si="96"/>
        <v>='C:\Users\jaime.benazar\Quorum Business Solutions\Ecopetrol Prometeo - Documents\Planning Space Implementation\3. Analysis &amp; Design\Design\FC22\DRR Jaime\QUIFA-CAJÚA\Cajua\[VAS_CAJUA_CF_SEC_20230125.xlsx]CF PDP'!$BT$48</v>
      </c>
      <c r="J432" s="1" t="s">
        <v>326</v>
      </c>
    </row>
    <row r="433" spans="1:10" x14ac:dyDescent="0.25">
      <c r="A433" s="6" t="s">
        <v>1</v>
      </c>
      <c r="B433" s="6">
        <f t="shared" si="97"/>
        <v>2036</v>
      </c>
      <c r="C433" s="1" t="s">
        <v>8</v>
      </c>
      <c r="D433" s="2" t="s">
        <v>128</v>
      </c>
      <c r="E433" s="9" t="str">
        <f t="shared" si="95"/>
        <v>PDP'!</v>
      </c>
      <c r="F433" s="5" t="str">
        <f t="shared" si="88"/>
        <v>C:\Users\jaime.benazar\Quorum Business Solutions\Ecopetrol Prometeo - Documents\Planning Space Implementation\3. Analysis &amp; Design\Design\FC22\DRR Jaime\QUIFA-CAJÚA\Cajua\[VAS_CAJUA_CF_SEC_20230125.xlsx]CF PDP'!</v>
      </c>
      <c r="G433" s="6" t="s">
        <v>36</v>
      </c>
      <c r="H433" s="1">
        <f t="shared" si="98"/>
        <v>49</v>
      </c>
      <c r="I433" s="1" t="str">
        <f t="shared" si="96"/>
        <v>='C:\Users\jaime.benazar\Quorum Business Solutions\Ecopetrol Prometeo - Documents\Planning Space Implementation\3. Analysis &amp; Design\Design\FC22\DRR Jaime\QUIFA-CAJÚA\Cajua\[VAS_CAJUA_CF_SEC_20230125.xlsx]CF PDP'!$BT$49</v>
      </c>
      <c r="J433" s="1" t="s">
        <v>327</v>
      </c>
    </row>
    <row r="434" spans="1:10" x14ac:dyDescent="0.25">
      <c r="A434" s="6" t="s">
        <v>1</v>
      </c>
      <c r="B434" s="6">
        <f>+B433+1</f>
        <v>2037</v>
      </c>
      <c r="C434" s="1" t="s">
        <v>8</v>
      </c>
      <c r="D434" s="2" t="s">
        <v>128</v>
      </c>
      <c r="E434" s="9" t="str">
        <f t="shared" si="95"/>
        <v>PDP'!</v>
      </c>
      <c r="F434" s="5" t="str">
        <f t="shared" si="88"/>
        <v>C:\Users\jaime.benazar\Quorum Business Solutions\Ecopetrol Prometeo - Documents\Planning Space Implementation\3. Analysis &amp; Design\Design\FC22\DRR Jaime\QUIFA-CAJÚA\Cajua\[VAS_CAJUA_CF_SEC_20230125.xlsx]CF PDP'!</v>
      </c>
      <c r="G434" s="6" t="s">
        <v>36</v>
      </c>
      <c r="H434" s="1">
        <f t="shared" si="98"/>
        <v>50</v>
      </c>
      <c r="I434" s="1" t="str">
        <f t="shared" si="96"/>
        <v>='C:\Users\jaime.benazar\Quorum Business Solutions\Ecopetrol Prometeo - Documents\Planning Space Implementation\3. Analysis &amp; Design\Design\FC22\DRR Jaime\QUIFA-CAJÚA\Cajua\[VAS_CAJUA_CF_SEC_20230125.xlsx]CF PDP'!$BT$50</v>
      </c>
      <c r="J434" s="1" t="s">
        <v>328</v>
      </c>
    </row>
    <row r="435" spans="1:10" x14ac:dyDescent="0.25">
      <c r="A435" s="6" t="s">
        <v>1</v>
      </c>
      <c r="B435" s="6">
        <f t="shared" ref="B435:B437" si="99">+B434+1</f>
        <v>2038</v>
      </c>
      <c r="C435" s="1" t="s">
        <v>8</v>
      </c>
      <c r="D435" s="2" t="s">
        <v>128</v>
      </c>
      <c r="E435" s="9" t="str">
        <f t="shared" si="95"/>
        <v>PDP'!</v>
      </c>
      <c r="F435" s="5" t="str">
        <f t="shared" si="88"/>
        <v>C:\Users\jaime.benazar\Quorum Business Solutions\Ecopetrol Prometeo - Documents\Planning Space Implementation\3. Analysis &amp; Design\Design\FC22\DRR Jaime\QUIFA-CAJÚA\Cajua\[VAS_CAJUA_CF_SEC_20230125.xlsx]CF PDP'!</v>
      </c>
      <c r="G435" s="6" t="s">
        <v>36</v>
      </c>
      <c r="H435" s="1">
        <f t="shared" si="98"/>
        <v>51</v>
      </c>
      <c r="I435" s="1" t="str">
        <f t="shared" si="96"/>
        <v>='C:\Users\jaime.benazar\Quorum Business Solutions\Ecopetrol Prometeo - Documents\Planning Space Implementation\3. Analysis &amp; Design\Design\FC22\DRR Jaime\QUIFA-CAJÚA\Cajua\[VAS_CAJUA_CF_SEC_20230125.xlsx]CF PDP'!$BT$51</v>
      </c>
      <c r="J435" s="1" t="s">
        <v>329</v>
      </c>
    </row>
    <row r="436" spans="1:10" x14ac:dyDescent="0.25">
      <c r="A436" s="6" t="s">
        <v>1</v>
      </c>
      <c r="B436" s="6">
        <f t="shared" si="99"/>
        <v>2039</v>
      </c>
      <c r="C436" s="1" t="s">
        <v>8</v>
      </c>
      <c r="D436" s="2" t="s">
        <v>128</v>
      </c>
      <c r="E436" s="9" t="str">
        <f t="shared" si="95"/>
        <v>PDP'!</v>
      </c>
      <c r="F436" s="5" t="str">
        <f t="shared" si="88"/>
        <v>C:\Users\jaime.benazar\Quorum Business Solutions\Ecopetrol Prometeo - Documents\Planning Space Implementation\3. Analysis &amp; Design\Design\FC22\DRR Jaime\QUIFA-CAJÚA\Cajua\[VAS_CAJUA_CF_SEC_20230125.xlsx]CF PDP'!</v>
      </c>
      <c r="G436" s="6" t="s">
        <v>36</v>
      </c>
      <c r="H436" s="1">
        <f t="shared" si="98"/>
        <v>52</v>
      </c>
      <c r="I436" s="1" t="str">
        <f t="shared" si="96"/>
        <v>='C:\Users\jaime.benazar\Quorum Business Solutions\Ecopetrol Prometeo - Documents\Planning Space Implementation\3. Analysis &amp; Design\Design\FC22\DRR Jaime\QUIFA-CAJÚA\Cajua\[VAS_CAJUA_CF_SEC_20230125.xlsx]CF PDP'!$BT$52</v>
      </c>
      <c r="J436" s="1" t="s">
        <v>330</v>
      </c>
    </row>
    <row r="437" spans="1:10" x14ac:dyDescent="0.25">
      <c r="A437" s="6" t="s">
        <v>1</v>
      </c>
      <c r="B437" s="6">
        <f t="shared" si="99"/>
        <v>2040</v>
      </c>
      <c r="C437" s="1" t="s">
        <v>8</v>
      </c>
      <c r="D437" s="2" t="s">
        <v>128</v>
      </c>
      <c r="E437" s="9" t="str">
        <f t="shared" si="95"/>
        <v>PDP'!</v>
      </c>
      <c r="F437" s="5" t="str">
        <f t="shared" si="88"/>
        <v>C:\Users\jaime.benazar\Quorum Business Solutions\Ecopetrol Prometeo - Documents\Planning Space Implementation\3. Analysis &amp; Design\Design\FC22\DRR Jaime\QUIFA-CAJÚA\Cajua\[VAS_CAJUA_CF_SEC_20230125.xlsx]CF PDP'!</v>
      </c>
      <c r="G437" s="6" t="s">
        <v>36</v>
      </c>
      <c r="H437" s="1">
        <f t="shared" si="98"/>
        <v>53</v>
      </c>
      <c r="I437" s="1" t="str">
        <f t="shared" si="96"/>
        <v>='C:\Users\jaime.benazar\Quorum Business Solutions\Ecopetrol Prometeo - Documents\Planning Space Implementation\3. Analysis &amp; Design\Design\FC22\DRR Jaime\QUIFA-CAJÚA\Cajua\[VAS_CAJUA_CF_SEC_20230125.xlsx]CF PDP'!$BT$53</v>
      </c>
      <c r="J437" s="1" t="s">
        <v>331</v>
      </c>
    </row>
    <row r="438" spans="1:10" x14ac:dyDescent="0.25">
      <c r="A438" s="6" t="s">
        <v>1</v>
      </c>
      <c r="B438" s="6">
        <f>+B437+1</f>
        <v>2041</v>
      </c>
      <c r="C438" s="1" t="s">
        <v>8</v>
      </c>
      <c r="D438" s="2" t="s">
        <v>128</v>
      </c>
      <c r="E438" s="9" t="str">
        <f t="shared" si="95"/>
        <v>PDP'!</v>
      </c>
      <c r="F438" s="5" t="str">
        <f t="shared" si="88"/>
        <v>C:\Users\jaime.benazar\Quorum Business Solutions\Ecopetrol Prometeo - Documents\Planning Space Implementation\3. Analysis &amp; Design\Design\FC22\DRR Jaime\QUIFA-CAJÚA\Cajua\[VAS_CAJUA_CF_SEC_20230125.xlsx]CF PDP'!</v>
      </c>
      <c r="G438" s="6" t="s">
        <v>36</v>
      </c>
      <c r="H438" s="1">
        <f t="shared" si="98"/>
        <v>54</v>
      </c>
      <c r="I438" s="1" t="str">
        <f t="shared" si="96"/>
        <v>='C:\Users\jaime.benazar\Quorum Business Solutions\Ecopetrol Prometeo - Documents\Planning Space Implementation\3. Analysis &amp; Design\Design\FC22\DRR Jaime\QUIFA-CAJÚA\Cajua\[VAS_CAJUA_CF_SEC_20230125.xlsx]CF PDP'!$BT$54</v>
      </c>
      <c r="J438" s="1" t="s">
        <v>332</v>
      </c>
    </row>
    <row r="439" spans="1:10" x14ac:dyDescent="0.25">
      <c r="A439" s="6" t="s">
        <v>1</v>
      </c>
      <c r="B439" s="6">
        <f t="shared" ref="B439:B440" si="100">+B438+1</f>
        <v>2042</v>
      </c>
      <c r="C439" s="1" t="s">
        <v>8</v>
      </c>
      <c r="D439" s="2" t="s">
        <v>128</v>
      </c>
      <c r="E439" s="9" t="str">
        <f t="shared" si="95"/>
        <v>PDP'!</v>
      </c>
      <c r="F439" s="5" t="str">
        <f t="shared" si="88"/>
        <v>C:\Users\jaime.benazar\Quorum Business Solutions\Ecopetrol Prometeo - Documents\Planning Space Implementation\3. Analysis &amp; Design\Design\FC22\DRR Jaime\QUIFA-CAJÚA\Cajua\[VAS_CAJUA_CF_SEC_20230125.xlsx]CF PDP'!</v>
      </c>
      <c r="G439" s="6" t="s">
        <v>36</v>
      </c>
      <c r="H439" s="1">
        <f t="shared" si="98"/>
        <v>55</v>
      </c>
      <c r="I439" s="1" t="str">
        <f t="shared" si="96"/>
        <v>='C:\Users\jaime.benazar\Quorum Business Solutions\Ecopetrol Prometeo - Documents\Planning Space Implementation\3. Analysis &amp; Design\Design\FC22\DRR Jaime\QUIFA-CAJÚA\Cajua\[VAS_CAJUA_CF_SEC_20230125.xlsx]CF PDP'!$BT$55</v>
      </c>
      <c r="J439" s="1" t="s">
        <v>333</v>
      </c>
    </row>
    <row r="440" spans="1:10" x14ac:dyDescent="0.25">
      <c r="A440" s="6" t="s">
        <v>1</v>
      </c>
      <c r="B440" s="6">
        <f t="shared" si="100"/>
        <v>2043</v>
      </c>
      <c r="C440" s="1" t="s">
        <v>8</v>
      </c>
      <c r="D440" s="2" t="s">
        <v>128</v>
      </c>
      <c r="E440" s="9" t="str">
        <f t="shared" si="95"/>
        <v>PDP'!</v>
      </c>
      <c r="F440" s="5" t="str">
        <f t="shared" si="88"/>
        <v>C:\Users\jaime.benazar\Quorum Business Solutions\Ecopetrol Prometeo - Documents\Planning Space Implementation\3. Analysis &amp; Design\Design\FC22\DRR Jaime\QUIFA-CAJÚA\Cajua\[VAS_CAJUA_CF_SEC_20230125.xlsx]CF PDP'!</v>
      </c>
      <c r="G440" s="6" t="s">
        <v>36</v>
      </c>
      <c r="H440" s="1">
        <f t="shared" si="98"/>
        <v>56</v>
      </c>
      <c r="I440" s="1" t="str">
        <f t="shared" si="96"/>
        <v>='C:\Users\jaime.benazar\Quorum Business Solutions\Ecopetrol Prometeo - Documents\Planning Space Implementation\3. Analysis &amp; Design\Design\FC22\DRR Jaime\QUIFA-CAJÚA\Cajua\[VAS_CAJUA_CF_SEC_20230125.xlsx]CF PDP'!$BT$56</v>
      </c>
      <c r="J440" s="1" t="s">
        <v>334</v>
      </c>
    </row>
    <row r="441" spans="1:10" x14ac:dyDescent="0.25">
      <c r="A441" s="6" t="s">
        <v>1</v>
      </c>
      <c r="B441" s="6">
        <f>+B440+1</f>
        <v>2044</v>
      </c>
      <c r="C441" s="1" t="s">
        <v>8</v>
      </c>
      <c r="D441" s="2" t="s">
        <v>128</v>
      </c>
      <c r="E441" s="9" t="str">
        <f t="shared" ref="E441:E456" si="101">_xlfn.CONCAT(A441,"'!")</f>
        <v>PDP'!</v>
      </c>
      <c r="F441" s="5" t="str">
        <f t="shared" ref="F441:F456" si="102">_xlfn.CONCAT(D441," ",E441)</f>
        <v>C:\Users\jaime.benazar\Quorum Business Solutions\Ecopetrol Prometeo - Documents\Planning Space Implementation\3. Analysis &amp; Design\Design\FC22\DRR Jaime\QUIFA-CAJÚA\Cajua\[VAS_CAJUA_CF_SEC_20230125.xlsx]CF PDP'!</v>
      </c>
      <c r="G441" s="6" t="s">
        <v>36</v>
      </c>
      <c r="H441" s="1">
        <f t="shared" ref="H441:H456" si="103">IF(A441&lt;&gt;A440,36,H440+1)</f>
        <v>57</v>
      </c>
      <c r="I441" s="1" t="str">
        <f t="shared" ref="I441:I456" si="104">_xlfn.CONCAT("='",F441:H441)</f>
        <v>='C:\Users\jaime.benazar\Quorum Business Solutions\Ecopetrol Prometeo - Documents\Planning Space Implementation\3. Analysis &amp; Design\Design\FC22\DRR Jaime\QUIFA-CAJÚA\Cajua\[VAS_CAJUA_CF_SEC_20230125.xlsx]CF PDP'!$BT$57</v>
      </c>
      <c r="J441" s="1" t="s">
        <v>335</v>
      </c>
    </row>
    <row r="442" spans="1:10" x14ac:dyDescent="0.25">
      <c r="A442" s="6" t="s">
        <v>1</v>
      </c>
      <c r="B442" s="6">
        <f t="shared" ref="B442:B456" si="105">+B441+1</f>
        <v>2045</v>
      </c>
      <c r="C442" s="1" t="s">
        <v>8</v>
      </c>
      <c r="D442" s="2" t="s">
        <v>128</v>
      </c>
      <c r="E442" s="9" t="str">
        <f t="shared" si="101"/>
        <v>PDP'!</v>
      </c>
      <c r="F442" s="5" t="str">
        <f t="shared" si="102"/>
        <v>C:\Users\jaime.benazar\Quorum Business Solutions\Ecopetrol Prometeo - Documents\Planning Space Implementation\3. Analysis &amp; Design\Design\FC22\DRR Jaime\QUIFA-CAJÚA\Cajua\[VAS_CAJUA_CF_SEC_20230125.xlsx]CF PDP'!</v>
      </c>
      <c r="G442" s="6" t="s">
        <v>36</v>
      </c>
      <c r="H442" s="1">
        <f t="shared" si="103"/>
        <v>58</v>
      </c>
      <c r="I442" s="1" t="str">
        <f t="shared" si="104"/>
        <v>='C:\Users\jaime.benazar\Quorum Business Solutions\Ecopetrol Prometeo - Documents\Planning Space Implementation\3. Analysis &amp; Design\Design\FC22\DRR Jaime\QUIFA-CAJÚA\Cajua\[VAS_CAJUA_CF_SEC_20230125.xlsx]CF PDP'!$BT$58</v>
      </c>
      <c r="J442" s="1" t="s">
        <v>336</v>
      </c>
    </row>
    <row r="443" spans="1:10" x14ac:dyDescent="0.25">
      <c r="A443" s="6" t="s">
        <v>1</v>
      </c>
      <c r="B443" s="6">
        <f t="shared" si="105"/>
        <v>2046</v>
      </c>
      <c r="C443" s="1" t="s">
        <v>8</v>
      </c>
      <c r="D443" s="2" t="s">
        <v>128</v>
      </c>
      <c r="E443" s="9" t="str">
        <f t="shared" si="101"/>
        <v>PDP'!</v>
      </c>
      <c r="F443" s="5" t="str">
        <f t="shared" si="102"/>
        <v>C:\Users\jaime.benazar\Quorum Business Solutions\Ecopetrol Prometeo - Documents\Planning Space Implementation\3. Analysis &amp; Design\Design\FC22\DRR Jaime\QUIFA-CAJÚA\Cajua\[VAS_CAJUA_CF_SEC_20230125.xlsx]CF PDP'!</v>
      </c>
      <c r="G443" s="6" t="s">
        <v>36</v>
      </c>
      <c r="H443" s="1">
        <f t="shared" si="103"/>
        <v>59</v>
      </c>
      <c r="I443" s="1" t="str">
        <f t="shared" si="104"/>
        <v>='C:\Users\jaime.benazar\Quorum Business Solutions\Ecopetrol Prometeo - Documents\Planning Space Implementation\3. Analysis &amp; Design\Design\FC22\DRR Jaime\QUIFA-CAJÚA\Cajua\[VAS_CAJUA_CF_SEC_20230125.xlsx]CF PDP'!$BT$59</v>
      </c>
      <c r="J443" s="1" t="s">
        <v>337</v>
      </c>
    </row>
    <row r="444" spans="1:10" x14ac:dyDescent="0.25">
      <c r="A444" s="6" t="s">
        <v>1</v>
      </c>
      <c r="B444" s="6">
        <f t="shared" si="105"/>
        <v>2047</v>
      </c>
      <c r="C444" s="1" t="s">
        <v>8</v>
      </c>
      <c r="D444" s="2" t="s">
        <v>128</v>
      </c>
      <c r="E444" s="9" t="str">
        <f t="shared" si="101"/>
        <v>PDP'!</v>
      </c>
      <c r="F444" s="5" t="str">
        <f t="shared" si="102"/>
        <v>C:\Users\jaime.benazar\Quorum Business Solutions\Ecopetrol Prometeo - Documents\Planning Space Implementation\3. Analysis &amp; Design\Design\FC22\DRR Jaime\QUIFA-CAJÚA\Cajua\[VAS_CAJUA_CF_SEC_20230125.xlsx]CF PDP'!</v>
      </c>
      <c r="G444" s="6" t="s">
        <v>36</v>
      </c>
      <c r="H444" s="1">
        <f t="shared" si="103"/>
        <v>60</v>
      </c>
      <c r="I444" s="1" t="str">
        <f t="shared" si="104"/>
        <v>='C:\Users\jaime.benazar\Quorum Business Solutions\Ecopetrol Prometeo - Documents\Planning Space Implementation\3. Analysis &amp; Design\Design\FC22\DRR Jaime\QUIFA-CAJÚA\Cajua\[VAS_CAJUA_CF_SEC_20230125.xlsx]CF PDP'!$BT$60</v>
      </c>
      <c r="J444" s="1" t="s">
        <v>338</v>
      </c>
    </row>
    <row r="445" spans="1:10" x14ac:dyDescent="0.25">
      <c r="A445" s="6" t="s">
        <v>1</v>
      </c>
      <c r="B445" s="6">
        <f t="shared" si="105"/>
        <v>2048</v>
      </c>
      <c r="C445" s="1" t="s">
        <v>8</v>
      </c>
      <c r="D445" s="2" t="s">
        <v>128</v>
      </c>
      <c r="E445" s="9" t="str">
        <f t="shared" si="101"/>
        <v>PDP'!</v>
      </c>
      <c r="F445" s="5" t="str">
        <f t="shared" si="102"/>
        <v>C:\Users\jaime.benazar\Quorum Business Solutions\Ecopetrol Prometeo - Documents\Planning Space Implementation\3. Analysis &amp; Design\Design\FC22\DRR Jaime\QUIFA-CAJÚA\Cajua\[VAS_CAJUA_CF_SEC_20230125.xlsx]CF PDP'!</v>
      </c>
      <c r="G445" s="6" t="s">
        <v>36</v>
      </c>
      <c r="H445" s="1">
        <f t="shared" si="103"/>
        <v>61</v>
      </c>
      <c r="I445" s="1" t="str">
        <f t="shared" si="104"/>
        <v>='C:\Users\jaime.benazar\Quorum Business Solutions\Ecopetrol Prometeo - Documents\Planning Space Implementation\3. Analysis &amp; Design\Design\FC22\DRR Jaime\QUIFA-CAJÚA\Cajua\[VAS_CAJUA_CF_SEC_20230125.xlsx]CF PDP'!$BT$61</v>
      </c>
      <c r="J445" s="1" t="s">
        <v>339</v>
      </c>
    </row>
    <row r="446" spans="1:10" x14ac:dyDescent="0.25">
      <c r="A446" s="6" t="s">
        <v>1</v>
      </c>
      <c r="B446" s="6">
        <f t="shared" si="105"/>
        <v>2049</v>
      </c>
      <c r="C446" s="1" t="s">
        <v>8</v>
      </c>
      <c r="D446" s="2" t="s">
        <v>128</v>
      </c>
      <c r="E446" s="9" t="str">
        <f t="shared" si="101"/>
        <v>PDP'!</v>
      </c>
      <c r="F446" s="5" t="str">
        <f t="shared" si="102"/>
        <v>C:\Users\jaime.benazar\Quorum Business Solutions\Ecopetrol Prometeo - Documents\Planning Space Implementation\3. Analysis &amp; Design\Design\FC22\DRR Jaime\QUIFA-CAJÚA\Cajua\[VAS_CAJUA_CF_SEC_20230125.xlsx]CF PDP'!</v>
      </c>
      <c r="G446" s="6" t="s">
        <v>36</v>
      </c>
      <c r="H446" s="1">
        <f t="shared" si="103"/>
        <v>62</v>
      </c>
      <c r="I446" s="1" t="str">
        <f t="shared" si="104"/>
        <v>='C:\Users\jaime.benazar\Quorum Business Solutions\Ecopetrol Prometeo - Documents\Planning Space Implementation\3. Analysis &amp; Design\Design\FC22\DRR Jaime\QUIFA-CAJÚA\Cajua\[VAS_CAJUA_CF_SEC_20230125.xlsx]CF PDP'!$BT$62</v>
      </c>
      <c r="J446" s="1" t="s">
        <v>340</v>
      </c>
    </row>
    <row r="447" spans="1:10" x14ac:dyDescent="0.25">
      <c r="A447" s="6" t="s">
        <v>1</v>
      </c>
      <c r="B447" s="6">
        <f t="shared" si="105"/>
        <v>2050</v>
      </c>
      <c r="C447" s="1" t="s">
        <v>8</v>
      </c>
      <c r="D447" s="2" t="s">
        <v>128</v>
      </c>
      <c r="E447" s="9" t="str">
        <f t="shared" si="101"/>
        <v>PDP'!</v>
      </c>
      <c r="F447" s="5" t="str">
        <f t="shared" si="102"/>
        <v>C:\Users\jaime.benazar\Quorum Business Solutions\Ecopetrol Prometeo - Documents\Planning Space Implementation\3. Analysis &amp; Design\Design\FC22\DRR Jaime\QUIFA-CAJÚA\Cajua\[VAS_CAJUA_CF_SEC_20230125.xlsx]CF PDP'!</v>
      </c>
      <c r="G447" s="6" t="s">
        <v>36</v>
      </c>
      <c r="H447" s="1">
        <f t="shared" si="103"/>
        <v>63</v>
      </c>
      <c r="I447" s="1" t="str">
        <f t="shared" si="104"/>
        <v>='C:\Users\jaime.benazar\Quorum Business Solutions\Ecopetrol Prometeo - Documents\Planning Space Implementation\3. Analysis &amp; Design\Design\FC22\DRR Jaime\QUIFA-CAJÚA\Cajua\[VAS_CAJUA_CF_SEC_20230125.xlsx]CF PDP'!$BT$63</v>
      </c>
      <c r="J447" s="1" t="s">
        <v>341</v>
      </c>
    </row>
    <row r="448" spans="1:10" x14ac:dyDescent="0.25">
      <c r="A448" s="6" t="s">
        <v>1</v>
      </c>
      <c r="B448" s="6">
        <f t="shared" si="105"/>
        <v>2051</v>
      </c>
      <c r="C448" s="1" t="s">
        <v>8</v>
      </c>
      <c r="D448" s="2" t="s">
        <v>128</v>
      </c>
      <c r="E448" s="9" t="str">
        <f t="shared" si="101"/>
        <v>PDP'!</v>
      </c>
      <c r="F448" s="5" t="str">
        <f t="shared" si="102"/>
        <v>C:\Users\jaime.benazar\Quorum Business Solutions\Ecopetrol Prometeo - Documents\Planning Space Implementation\3. Analysis &amp; Design\Design\FC22\DRR Jaime\QUIFA-CAJÚA\Cajua\[VAS_CAJUA_CF_SEC_20230125.xlsx]CF PDP'!</v>
      </c>
      <c r="G448" s="6" t="s">
        <v>36</v>
      </c>
      <c r="H448" s="1">
        <f t="shared" si="103"/>
        <v>64</v>
      </c>
      <c r="I448" s="1" t="str">
        <f t="shared" si="104"/>
        <v>='C:\Users\jaime.benazar\Quorum Business Solutions\Ecopetrol Prometeo - Documents\Planning Space Implementation\3. Analysis &amp; Design\Design\FC22\DRR Jaime\QUIFA-CAJÚA\Cajua\[VAS_CAJUA_CF_SEC_20230125.xlsx]CF PDP'!$BT$64</v>
      </c>
      <c r="J448" s="1" t="s">
        <v>342</v>
      </c>
    </row>
    <row r="449" spans="1:10" x14ac:dyDescent="0.25">
      <c r="A449" s="6" t="s">
        <v>1</v>
      </c>
      <c r="B449" s="6">
        <f t="shared" si="105"/>
        <v>2052</v>
      </c>
      <c r="C449" s="1" t="s">
        <v>8</v>
      </c>
      <c r="D449" s="2" t="s">
        <v>128</v>
      </c>
      <c r="E449" s="9" t="str">
        <f t="shared" si="101"/>
        <v>PDP'!</v>
      </c>
      <c r="F449" s="5" t="str">
        <f t="shared" si="102"/>
        <v>C:\Users\jaime.benazar\Quorum Business Solutions\Ecopetrol Prometeo - Documents\Planning Space Implementation\3. Analysis &amp; Design\Design\FC22\DRR Jaime\QUIFA-CAJÚA\Cajua\[VAS_CAJUA_CF_SEC_20230125.xlsx]CF PDP'!</v>
      </c>
      <c r="G449" s="6" t="s">
        <v>36</v>
      </c>
      <c r="H449" s="1">
        <f t="shared" si="103"/>
        <v>65</v>
      </c>
      <c r="I449" s="1" t="str">
        <f t="shared" si="104"/>
        <v>='C:\Users\jaime.benazar\Quorum Business Solutions\Ecopetrol Prometeo - Documents\Planning Space Implementation\3. Analysis &amp; Design\Design\FC22\DRR Jaime\QUIFA-CAJÚA\Cajua\[VAS_CAJUA_CF_SEC_20230125.xlsx]CF PDP'!$BT$65</v>
      </c>
      <c r="J449" s="1" t="s">
        <v>343</v>
      </c>
    </row>
    <row r="450" spans="1:10" x14ac:dyDescent="0.25">
      <c r="A450" s="6" t="s">
        <v>1</v>
      </c>
      <c r="B450" s="6">
        <f t="shared" si="105"/>
        <v>2053</v>
      </c>
      <c r="C450" s="1" t="s">
        <v>8</v>
      </c>
      <c r="D450" s="2" t="s">
        <v>128</v>
      </c>
      <c r="E450" s="9" t="str">
        <f t="shared" si="101"/>
        <v>PDP'!</v>
      </c>
      <c r="F450" s="5" t="str">
        <f t="shared" si="102"/>
        <v>C:\Users\jaime.benazar\Quorum Business Solutions\Ecopetrol Prometeo - Documents\Planning Space Implementation\3. Analysis &amp; Design\Design\FC22\DRR Jaime\QUIFA-CAJÚA\Cajua\[VAS_CAJUA_CF_SEC_20230125.xlsx]CF PDP'!</v>
      </c>
      <c r="G450" s="6" t="s">
        <v>36</v>
      </c>
      <c r="H450" s="1">
        <f t="shared" si="103"/>
        <v>66</v>
      </c>
      <c r="I450" s="1" t="str">
        <f t="shared" si="104"/>
        <v>='C:\Users\jaime.benazar\Quorum Business Solutions\Ecopetrol Prometeo - Documents\Planning Space Implementation\3. Analysis &amp; Design\Design\FC22\DRR Jaime\QUIFA-CAJÚA\Cajua\[VAS_CAJUA_CF_SEC_20230125.xlsx]CF PDP'!$BT$66</v>
      </c>
      <c r="J450" s="1" t="s">
        <v>344</v>
      </c>
    </row>
    <row r="451" spans="1:10" x14ac:dyDescent="0.25">
      <c r="A451" s="6" t="s">
        <v>1</v>
      </c>
      <c r="B451" s="6">
        <f t="shared" si="105"/>
        <v>2054</v>
      </c>
      <c r="C451" s="1" t="s">
        <v>8</v>
      </c>
      <c r="D451" s="2" t="s">
        <v>128</v>
      </c>
      <c r="E451" s="9" t="str">
        <f t="shared" si="101"/>
        <v>PDP'!</v>
      </c>
      <c r="F451" s="5" t="str">
        <f t="shared" si="102"/>
        <v>C:\Users\jaime.benazar\Quorum Business Solutions\Ecopetrol Prometeo - Documents\Planning Space Implementation\3. Analysis &amp; Design\Design\FC22\DRR Jaime\QUIFA-CAJÚA\Cajua\[VAS_CAJUA_CF_SEC_20230125.xlsx]CF PDP'!</v>
      </c>
      <c r="G451" s="6" t="s">
        <v>36</v>
      </c>
      <c r="H451" s="1">
        <f t="shared" si="103"/>
        <v>67</v>
      </c>
      <c r="I451" s="1" t="str">
        <f t="shared" si="104"/>
        <v>='C:\Users\jaime.benazar\Quorum Business Solutions\Ecopetrol Prometeo - Documents\Planning Space Implementation\3. Analysis &amp; Design\Design\FC22\DRR Jaime\QUIFA-CAJÚA\Cajua\[VAS_CAJUA_CF_SEC_20230125.xlsx]CF PDP'!$BT$67</v>
      </c>
      <c r="J451" s="1" t="s">
        <v>345</v>
      </c>
    </row>
    <row r="452" spans="1:10" x14ac:dyDescent="0.25">
      <c r="A452" s="6" t="s">
        <v>1</v>
      </c>
      <c r="B452" s="6">
        <f t="shared" si="105"/>
        <v>2055</v>
      </c>
      <c r="C452" s="1" t="s">
        <v>8</v>
      </c>
      <c r="D452" s="2" t="s">
        <v>128</v>
      </c>
      <c r="E452" s="9" t="str">
        <f t="shared" si="101"/>
        <v>PDP'!</v>
      </c>
      <c r="F452" s="5" t="str">
        <f t="shared" si="102"/>
        <v>C:\Users\jaime.benazar\Quorum Business Solutions\Ecopetrol Prometeo - Documents\Planning Space Implementation\3. Analysis &amp; Design\Design\FC22\DRR Jaime\QUIFA-CAJÚA\Cajua\[VAS_CAJUA_CF_SEC_20230125.xlsx]CF PDP'!</v>
      </c>
      <c r="G452" s="6" t="s">
        <v>36</v>
      </c>
      <c r="H452" s="1">
        <f t="shared" si="103"/>
        <v>68</v>
      </c>
      <c r="I452" s="1" t="str">
        <f t="shared" si="104"/>
        <v>='C:\Users\jaime.benazar\Quorum Business Solutions\Ecopetrol Prometeo - Documents\Planning Space Implementation\3. Analysis &amp; Design\Design\FC22\DRR Jaime\QUIFA-CAJÚA\Cajua\[VAS_CAJUA_CF_SEC_20230125.xlsx]CF PDP'!$BT$68</v>
      </c>
      <c r="J452" s="1" t="s">
        <v>346</v>
      </c>
    </row>
    <row r="453" spans="1:10" x14ac:dyDescent="0.25">
      <c r="A453" s="6" t="s">
        <v>1</v>
      </c>
      <c r="B453" s="6">
        <f t="shared" si="105"/>
        <v>2056</v>
      </c>
      <c r="C453" s="1" t="s">
        <v>8</v>
      </c>
      <c r="D453" s="2" t="s">
        <v>128</v>
      </c>
      <c r="E453" s="9" t="str">
        <f t="shared" si="101"/>
        <v>PDP'!</v>
      </c>
      <c r="F453" s="5" t="str">
        <f t="shared" si="102"/>
        <v>C:\Users\jaime.benazar\Quorum Business Solutions\Ecopetrol Prometeo - Documents\Planning Space Implementation\3. Analysis &amp; Design\Design\FC22\DRR Jaime\QUIFA-CAJÚA\Cajua\[VAS_CAJUA_CF_SEC_20230125.xlsx]CF PDP'!</v>
      </c>
      <c r="G453" s="6" t="s">
        <v>36</v>
      </c>
      <c r="H453" s="1">
        <f t="shared" si="103"/>
        <v>69</v>
      </c>
      <c r="I453" s="1" t="str">
        <f t="shared" si="104"/>
        <v>='C:\Users\jaime.benazar\Quorum Business Solutions\Ecopetrol Prometeo - Documents\Planning Space Implementation\3. Analysis &amp; Design\Design\FC22\DRR Jaime\QUIFA-CAJÚA\Cajua\[VAS_CAJUA_CF_SEC_20230125.xlsx]CF PDP'!$BT$69</v>
      </c>
      <c r="J453" s="1" t="s">
        <v>347</v>
      </c>
    </row>
    <row r="454" spans="1:10" x14ac:dyDescent="0.25">
      <c r="A454" s="6" t="s">
        <v>1</v>
      </c>
      <c r="B454" s="6">
        <f t="shared" si="105"/>
        <v>2057</v>
      </c>
      <c r="C454" s="1" t="s">
        <v>8</v>
      </c>
      <c r="D454" s="2" t="s">
        <v>128</v>
      </c>
      <c r="E454" s="9" t="str">
        <f t="shared" si="101"/>
        <v>PDP'!</v>
      </c>
      <c r="F454" s="5" t="str">
        <f t="shared" si="102"/>
        <v>C:\Users\jaime.benazar\Quorum Business Solutions\Ecopetrol Prometeo - Documents\Planning Space Implementation\3. Analysis &amp; Design\Design\FC22\DRR Jaime\QUIFA-CAJÚA\Cajua\[VAS_CAJUA_CF_SEC_20230125.xlsx]CF PDP'!</v>
      </c>
      <c r="G454" s="6" t="s">
        <v>36</v>
      </c>
      <c r="H454" s="1">
        <f t="shared" si="103"/>
        <v>70</v>
      </c>
      <c r="I454" s="1" t="str">
        <f t="shared" si="104"/>
        <v>='C:\Users\jaime.benazar\Quorum Business Solutions\Ecopetrol Prometeo - Documents\Planning Space Implementation\3. Analysis &amp; Design\Design\FC22\DRR Jaime\QUIFA-CAJÚA\Cajua\[VAS_CAJUA_CF_SEC_20230125.xlsx]CF PDP'!$BT$70</v>
      </c>
      <c r="J454" s="1" t="s">
        <v>348</v>
      </c>
    </row>
    <row r="455" spans="1:10" x14ac:dyDescent="0.25">
      <c r="A455" s="6" t="s">
        <v>1</v>
      </c>
      <c r="B455" s="6">
        <f t="shared" si="105"/>
        <v>2058</v>
      </c>
      <c r="C455" s="1" t="s">
        <v>8</v>
      </c>
      <c r="D455" s="2" t="s">
        <v>128</v>
      </c>
      <c r="E455" s="9" t="str">
        <f t="shared" si="101"/>
        <v>PDP'!</v>
      </c>
      <c r="F455" s="5" t="str">
        <f t="shared" si="102"/>
        <v>C:\Users\jaime.benazar\Quorum Business Solutions\Ecopetrol Prometeo - Documents\Planning Space Implementation\3. Analysis &amp; Design\Design\FC22\DRR Jaime\QUIFA-CAJÚA\Cajua\[VAS_CAJUA_CF_SEC_20230125.xlsx]CF PDP'!</v>
      </c>
      <c r="G455" s="6" t="s">
        <v>36</v>
      </c>
      <c r="H455" s="1">
        <f t="shared" si="103"/>
        <v>71</v>
      </c>
      <c r="I455" s="1" t="str">
        <f t="shared" si="104"/>
        <v>='C:\Users\jaime.benazar\Quorum Business Solutions\Ecopetrol Prometeo - Documents\Planning Space Implementation\3. Analysis &amp; Design\Design\FC22\DRR Jaime\QUIFA-CAJÚA\Cajua\[VAS_CAJUA_CF_SEC_20230125.xlsx]CF PDP'!$BT$71</v>
      </c>
      <c r="J455" s="1" t="s">
        <v>349</v>
      </c>
    </row>
    <row r="456" spans="1:10" x14ac:dyDescent="0.25">
      <c r="A456" s="6" t="s">
        <v>1</v>
      </c>
      <c r="B456" s="6">
        <f t="shared" si="105"/>
        <v>2059</v>
      </c>
      <c r="C456" s="1" t="s">
        <v>8</v>
      </c>
      <c r="D456" s="2" t="s">
        <v>128</v>
      </c>
      <c r="E456" s="9" t="str">
        <f t="shared" si="101"/>
        <v>PDP'!</v>
      </c>
      <c r="F456" s="5" t="str">
        <f t="shared" si="102"/>
        <v>C:\Users\jaime.benazar\Quorum Business Solutions\Ecopetrol Prometeo - Documents\Planning Space Implementation\3. Analysis &amp; Design\Design\FC22\DRR Jaime\QUIFA-CAJÚA\Cajua\[VAS_CAJUA_CF_SEC_20230125.xlsx]CF PDP'!</v>
      </c>
      <c r="G456" s="6" t="s">
        <v>36</v>
      </c>
      <c r="H456" s="1">
        <f t="shared" si="103"/>
        <v>72</v>
      </c>
      <c r="I456" s="1" t="str">
        <f t="shared" si="104"/>
        <v>='C:\Users\jaime.benazar\Quorum Business Solutions\Ecopetrol Prometeo - Documents\Planning Space Implementation\3. Analysis &amp; Design\Design\FC22\DRR Jaime\QUIFA-CAJÚA\Cajua\[VAS_CAJUA_CF_SEC_20230125.xlsx]CF PDP'!$BT$72</v>
      </c>
      <c r="J456" s="1" t="s">
        <v>350</v>
      </c>
    </row>
    <row r="457" spans="1:10" x14ac:dyDescent="0.25">
      <c r="A457" s="6" t="s">
        <v>28</v>
      </c>
      <c r="B457" s="6"/>
      <c r="C457" s="1" t="s">
        <v>8</v>
      </c>
      <c r="D457" s="2"/>
      <c r="E457" s="9"/>
      <c r="F457" s="5" t="str">
        <f t="shared" si="88"/>
        <v xml:space="preserve"> </v>
      </c>
      <c r="G457" s="6"/>
      <c r="H457" s="1"/>
      <c r="I457" s="1"/>
      <c r="J457" s="4"/>
    </row>
    <row r="458" spans="1:10" x14ac:dyDescent="0.25">
      <c r="A458" s="6" t="s">
        <v>2</v>
      </c>
      <c r="B458" s="6">
        <v>2023</v>
      </c>
      <c r="C458" s="1" t="s">
        <v>8</v>
      </c>
      <c r="D458" s="2" t="s">
        <v>128</v>
      </c>
      <c r="E458" s="9" t="str">
        <f t="shared" si="95"/>
        <v>PNP'!</v>
      </c>
      <c r="F458" s="5" t="str">
        <f t="shared" si="88"/>
        <v>C:\Users\jaime.benazar\Quorum Business Solutions\Ecopetrol Prometeo - Documents\Planning Space Implementation\3. Analysis &amp; Design\Design\FC22\DRR Jaime\QUIFA-CAJÚA\Cajua\[VAS_CAJUA_CF_SEC_20230125.xlsx]CF PNP'!</v>
      </c>
      <c r="G458" s="6" t="s">
        <v>36</v>
      </c>
      <c r="H458" s="1">
        <f>IF(A458&lt;&gt;A442,36,H442+1)</f>
        <v>36</v>
      </c>
      <c r="I458" s="1" t="str">
        <f t="shared" si="96"/>
        <v>='C:\Users\jaime.benazar\Quorum Business Solutions\Ecopetrol Prometeo - Documents\Planning Space Implementation\3. Analysis &amp; Design\Design\FC22\DRR Jaime\QUIFA-CAJÚA\Cajua\[VAS_CAJUA_CF_SEC_20230125.xlsx]CF PNP'!$BT$36</v>
      </c>
      <c r="J458" s="1" t="s">
        <v>351</v>
      </c>
    </row>
    <row r="459" spans="1:10" x14ac:dyDescent="0.25">
      <c r="A459" s="6" t="s">
        <v>2</v>
      </c>
      <c r="B459" s="6">
        <f>+B458+1</f>
        <v>2024</v>
      </c>
      <c r="C459" s="1" t="s">
        <v>8</v>
      </c>
      <c r="D459" s="2" t="s">
        <v>128</v>
      </c>
      <c r="E459" s="9" t="str">
        <f t="shared" si="95"/>
        <v>PNP'!</v>
      </c>
      <c r="F459" s="5" t="str">
        <f t="shared" si="88"/>
        <v>C:\Users\jaime.benazar\Quorum Business Solutions\Ecopetrol Prometeo - Documents\Planning Space Implementation\3. Analysis &amp; Design\Design\FC22\DRR Jaime\QUIFA-CAJÚA\Cajua\[VAS_CAJUA_CF_SEC_20230125.xlsx]CF PNP'!</v>
      </c>
      <c r="G459" s="6" t="s">
        <v>36</v>
      </c>
      <c r="H459" s="1">
        <f t="shared" si="98"/>
        <v>37</v>
      </c>
      <c r="I459" s="1" t="str">
        <f t="shared" si="96"/>
        <v>='C:\Users\jaime.benazar\Quorum Business Solutions\Ecopetrol Prometeo - Documents\Planning Space Implementation\3. Analysis &amp; Design\Design\FC22\DRR Jaime\QUIFA-CAJÚA\Cajua\[VAS_CAJUA_CF_SEC_20230125.xlsx]CF PNP'!$BT$37</v>
      </c>
      <c r="J459" s="1" t="s">
        <v>352</v>
      </c>
    </row>
    <row r="460" spans="1:10" x14ac:dyDescent="0.25">
      <c r="A460" s="6" t="s">
        <v>2</v>
      </c>
      <c r="B460" s="6">
        <f t="shared" ref="B460:B471" si="106">+B459+1</f>
        <v>2025</v>
      </c>
      <c r="C460" s="1" t="s">
        <v>8</v>
      </c>
      <c r="D460" s="2" t="s">
        <v>128</v>
      </c>
      <c r="E460" s="9" t="str">
        <f t="shared" si="95"/>
        <v>PNP'!</v>
      </c>
      <c r="F460" s="5" t="str">
        <f t="shared" si="88"/>
        <v>C:\Users\jaime.benazar\Quorum Business Solutions\Ecopetrol Prometeo - Documents\Planning Space Implementation\3. Analysis &amp; Design\Design\FC22\DRR Jaime\QUIFA-CAJÚA\Cajua\[VAS_CAJUA_CF_SEC_20230125.xlsx]CF PNP'!</v>
      </c>
      <c r="G460" s="6" t="s">
        <v>36</v>
      </c>
      <c r="H460" s="1">
        <f t="shared" si="98"/>
        <v>38</v>
      </c>
      <c r="I460" s="1" t="str">
        <f t="shared" si="96"/>
        <v>='C:\Users\jaime.benazar\Quorum Business Solutions\Ecopetrol Prometeo - Documents\Planning Space Implementation\3. Analysis &amp; Design\Design\FC22\DRR Jaime\QUIFA-CAJÚA\Cajua\[VAS_CAJUA_CF_SEC_20230125.xlsx]CF PNP'!$BT$38</v>
      </c>
      <c r="J460" s="1" t="s">
        <v>353</v>
      </c>
    </row>
    <row r="461" spans="1:10" x14ac:dyDescent="0.25">
      <c r="A461" s="6" t="s">
        <v>2</v>
      </c>
      <c r="B461" s="6">
        <f t="shared" si="106"/>
        <v>2026</v>
      </c>
      <c r="C461" s="1" t="s">
        <v>8</v>
      </c>
      <c r="D461" s="2" t="s">
        <v>128</v>
      </c>
      <c r="E461" s="9" t="str">
        <f t="shared" si="95"/>
        <v>PNP'!</v>
      </c>
      <c r="F461" s="5" t="str">
        <f t="shared" si="88"/>
        <v>C:\Users\jaime.benazar\Quorum Business Solutions\Ecopetrol Prometeo - Documents\Planning Space Implementation\3. Analysis &amp; Design\Design\FC22\DRR Jaime\QUIFA-CAJÚA\Cajua\[VAS_CAJUA_CF_SEC_20230125.xlsx]CF PNP'!</v>
      </c>
      <c r="G461" s="6" t="s">
        <v>36</v>
      </c>
      <c r="H461" s="1">
        <f t="shared" si="98"/>
        <v>39</v>
      </c>
      <c r="I461" s="1" t="str">
        <f t="shared" si="96"/>
        <v>='C:\Users\jaime.benazar\Quorum Business Solutions\Ecopetrol Prometeo - Documents\Planning Space Implementation\3. Analysis &amp; Design\Design\FC22\DRR Jaime\QUIFA-CAJÚA\Cajua\[VAS_CAJUA_CF_SEC_20230125.xlsx]CF PNP'!$BT$39</v>
      </c>
      <c r="J461" s="1" t="s">
        <v>354</v>
      </c>
    </row>
    <row r="462" spans="1:10" x14ac:dyDescent="0.25">
      <c r="A462" s="6" t="s">
        <v>2</v>
      </c>
      <c r="B462" s="6">
        <f t="shared" si="106"/>
        <v>2027</v>
      </c>
      <c r="C462" s="1" t="s">
        <v>8</v>
      </c>
      <c r="D462" s="2" t="s">
        <v>128</v>
      </c>
      <c r="E462" s="9" t="str">
        <f t="shared" si="95"/>
        <v>PNP'!</v>
      </c>
      <c r="F462" s="5" t="str">
        <f t="shared" si="88"/>
        <v>C:\Users\jaime.benazar\Quorum Business Solutions\Ecopetrol Prometeo - Documents\Planning Space Implementation\3. Analysis &amp; Design\Design\FC22\DRR Jaime\QUIFA-CAJÚA\Cajua\[VAS_CAJUA_CF_SEC_20230125.xlsx]CF PNP'!</v>
      </c>
      <c r="G462" s="6" t="s">
        <v>36</v>
      </c>
      <c r="H462" s="1">
        <f t="shared" si="98"/>
        <v>40</v>
      </c>
      <c r="I462" s="1" t="str">
        <f t="shared" si="96"/>
        <v>='C:\Users\jaime.benazar\Quorum Business Solutions\Ecopetrol Prometeo - Documents\Planning Space Implementation\3. Analysis &amp; Design\Design\FC22\DRR Jaime\QUIFA-CAJÚA\Cajua\[VAS_CAJUA_CF_SEC_20230125.xlsx]CF PNP'!$BT$40</v>
      </c>
      <c r="J462" s="1" t="s">
        <v>355</v>
      </c>
    </row>
    <row r="463" spans="1:10" x14ac:dyDescent="0.25">
      <c r="A463" s="6" t="s">
        <v>2</v>
      </c>
      <c r="B463" s="6">
        <f t="shared" si="106"/>
        <v>2028</v>
      </c>
      <c r="C463" s="1" t="s">
        <v>8</v>
      </c>
      <c r="D463" s="2" t="s">
        <v>128</v>
      </c>
      <c r="E463" s="9" t="str">
        <f t="shared" si="95"/>
        <v>PNP'!</v>
      </c>
      <c r="F463" s="5" t="str">
        <f t="shared" si="88"/>
        <v>C:\Users\jaime.benazar\Quorum Business Solutions\Ecopetrol Prometeo - Documents\Planning Space Implementation\3. Analysis &amp; Design\Design\FC22\DRR Jaime\QUIFA-CAJÚA\Cajua\[VAS_CAJUA_CF_SEC_20230125.xlsx]CF PNP'!</v>
      </c>
      <c r="G463" s="6" t="s">
        <v>36</v>
      </c>
      <c r="H463" s="1">
        <f t="shared" si="98"/>
        <v>41</v>
      </c>
      <c r="I463" s="1" t="str">
        <f t="shared" si="96"/>
        <v>='C:\Users\jaime.benazar\Quorum Business Solutions\Ecopetrol Prometeo - Documents\Planning Space Implementation\3. Analysis &amp; Design\Design\FC22\DRR Jaime\QUIFA-CAJÚA\Cajua\[VAS_CAJUA_CF_SEC_20230125.xlsx]CF PNP'!$BT$41</v>
      </c>
      <c r="J463" s="1" t="s">
        <v>356</v>
      </c>
    </row>
    <row r="464" spans="1:10" x14ac:dyDescent="0.25">
      <c r="A464" s="6" t="s">
        <v>2</v>
      </c>
      <c r="B464" s="6">
        <f t="shared" si="106"/>
        <v>2029</v>
      </c>
      <c r="C464" s="1" t="s">
        <v>8</v>
      </c>
      <c r="D464" s="2" t="s">
        <v>128</v>
      </c>
      <c r="E464" s="9" t="str">
        <f t="shared" si="95"/>
        <v>PNP'!</v>
      </c>
      <c r="F464" s="5" t="str">
        <f t="shared" si="88"/>
        <v>C:\Users\jaime.benazar\Quorum Business Solutions\Ecopetrol Prometeo - Documents\Planning Space Implementation\3. Analysis &amp; Design\Design\FC22\DRR Jaime\QUIFA-CAJÚA\Cajua\[VAS_CAJUA_CF_SEC_20230125.xlsx]CF PNP'!</v>
      </c>
      <c r="G464" s="6" t="s">
        <v>36</v>
      </c>
      <c r="H464" s="1">
        <f t="shared" si="98"/>
        <v>42</v>
      </c>
      <c r="I464" s="1" t="str">
        <f t="shared" si="96"/>
        <v>='C:\Users\jaime.benazar\Quorum Business Solutions\Ecopetrol Prometeo - Documents\Planning Space Implementation\3. Analysis &amp; Design\Design\FC22\DRR Jaime\QUIFA-CAJÚA\Cajua\[VAS_CAJUA_CF_SEC_20230125.xlsx]CF PNP'!$BT$42</v>
      </c>
      <c r="J464" s="1" t="s">
        <v>357</v>
      </c>
    </row>
    <row r="465" spans="1:10" x14ac:dyDescent="0.25">
      <c r="A465" s="6" t="s">
        <v>2</v>
      </c>
      <c r="B465" s="6">
        <f t="shared" si="106"/>
        <v>2030</v>
      </c>
      <c r="C465" s="1" t="s">
        <v>8</v>
      </c>
      <c r="D465" s="2" t="s">
        <v>128</v>
      </c>
      <c r="E465" s="9" t="str">
        <f t="shared" si="95"/>
        <v>PNP'!</v>
      </c>
      <c r="F465" s="5" t="str">
        <f t="shared" si="88"/>
        <v>C:\Users\jaime.benazar\Quorum Business Solutions\Ecopetrol Prometeo - Documents\Planning Space Implementation\3. Analysis &amp; Design\Design\FC22\DRR Jaime\QUIFA-CAJÚA\Cajua\[VAS_CAJUA_CF_SEC_20230125.xlsx]CF PNP'!</v>
      </c>
      <c r="G465" s="6" t="s">
        <v>36</v>
      </c>
      <c r="H465" s="1">
        <f t="shared" si="98"/>
        <v>43</v>
      </c>
      <c r="I465" s="1" t="str">
        <f t="shared" si="96"/>
        <v>='C:\Users\jaime.benazar\Quorum Business Solutions\Ecopetrol Prometeo - Documents\Planning Space Implementation\3. Analysis &amp; Design\Design\FC22\DRR Jaime\QUIFA-CAJÚA\Cajua\[VAS_CAJUA_CF_SEC_20230125.xlsx]CF PNP'!$BT$43</v>
      </c>
      <c r="J465" s="1" t="s">
        <v>358</v>
      </c>
    </row>
    <row r="466" spans="1:10" x14ac:dyDescent="0.25">
      <c r="A466" s="6" t="s">
        <v>2</v>
      </c>
      <c r="B466" s="6">
        <f t="shared" si="106"/>
        <v>2031</v>
      </c>
      <c r="C466" s="1" t="s">
        <v>8</v>
      </c>
      <c r="D466" s="2" t="s">
        <v>128</v>
      </c>
      <c r="E466" s="9" t="str">
        <f t="shared" si="95"/>
        <v>PNP'!</v>
      </c>
      <c r="F466" s="5" t="str">
        <f t="shared" si="88"/>
        <v>C:\Users\jaime.benazar\Quorum Business Solutions\Ecopetrol Prometeo - Documents\Planning Space Implementation\3. Analysis &amp; Design\Design\FC22\DRR Jaime\QUIFA-CAJÚA\Cajua\[VAS_CAJUA_CF_SEC_20230125.xlsx]CF PNP'!</v>
      </c>
      <c r="G466" s="6" t="s">
        <v>36</v>
      </c>
      <c r="H466" s="1">
        <f t="shared" si="98"/>
        <v>44</v>
      </c>
      <c r="I466" s="1" t="str">
        <f t="shared" si="96"/>
        <v>='C:\Users\jaime.benazar\Quorum Business Solutions\Ecopetrol Prometeo - Documents\Planning Space Implementation\3. Analysis &amp; Design\Design\FC22\DRR Jaime\QUIFA-CAJÚA\Cajua\[VAS_CAJUA_CF_SEC_20230125.xlsx]CF PNP'!$BT$44</v>
      </c>
      <c r="J466" s="1" t="s">
        <v>359</v>
      </c>
    </row>
    <row r="467" spans="1:10" x14ac:dyDescent="0.25">
      <c r="A467" s="6" t="s">
        <v>2</v>
      </c>
      <c r="B467" s="6">
        <f t="shared" si="106"/>
        <v>2032</v>
      </c>
      <c r="C467" s="1" t="s">
        <v>8</v>
      </c>
      <c r="D467" s="2" t="s">
        <v>128</v>
      </c>
      <c r="E467" s="9" t="str">
        <f t="shared" si="95"/>
        <v>PNP'!</v>
      </c>
      <c r="F467" s="5" t="str">
        <f t="shared" si="88"/>
        <v>C:\Users\jaime.benazar\Quorum Business Solutions\Ecopetrol Prometeo - Documents\Planning Space Implementation\3. Analysis &amp; Design\Design\FC22\DRR Jaime\QUIFA-CAJÚA\Cajua\[VAS_CAJUA_CF_SEC_20230125.xlsx]CF PNP'!</v>
      </c>
      <c r="G467" s="6" t="s">
        <v>36</v>
      </c>
      <c r="H467" s="1">
        <f t="shared" si="98"/>
        <v>45</v>
      </c>
      <c r="I467" s="1" t="str">
        <f t="shared" si="96"/>
        <v>='C:\Users\jaime.benazar\Quorum Business Solutions\Ecopetrol Prometeo - Documents\Planning Space Implementation\3. Analysis &amp; Design\Design\FC22\DRR Jaime\QUIFA-CAJÚA\Cajua\[VAS_CAJUA_CF_SEC_20230125.xlsx]CF PNP'!$BT$45</v>
      </c>
      <c r="J467" s="1" t="s">
        <v>360</v>
      </c>
    </row>
    <row r="468" spans="1:10" x14ac:dyDescent="0.25">
      <c r="A468" s="6" t="s">
        <v>2</v>
      </c>
      <c r="B468" s="6">
        <f t="shared" si="106"/>
        <v>2033</v>
      </c>
      <c r="C468" s="1" t="s">
        <v>8</v>
      </c>
      <c r="D468" s="2" t="s">
        <v>128</v>
      </c>
      <c r="E468" s="9" t="str">
        <f t="shared" si="95"/>
        <v>PNP'!</v>
      </c>
      <c r="F468" s="5" t="str">
        <f t="shared" si="88"/>
        <v>C:\Users\jaime.benazar\Quorum Business Solutions\Ecopetrol Prometeo - Documents\Planning Space Implementation\3. Analysis &amp; Design\Design\FC22\DRR Jaime\QUIFA-CAJÚA\Cajua\[VAS_CAJUA_CF_SEC_20230125.xlsx]CF PNP'!</v>
      </c>
      <c r="G468" s="6" t="s">
        <v>36</v>
      </c>
      <c r="H468" s="1">
        <f t="shared" si="98"/>
        <v>46</v>
      </c>
      <c r="I468" s="1" t="str">
        <f t="shared" si="96"/>
        <v>='C:\Users\jaime.benazar\Quorum Business Solutions\Ecopetrol Prometeo - Documents\Planning Space Implementation\3. Analysis &amp; Design\Design\FC22\DRR Jaime\QUIFA-CAJÚA\Cajua\[VAS_CAJUA_CF_SEC_20230125.xlsx]CF PNP'!$BT$46</v>
      </c>
      <c r="J468" s="1" t="s">
        <v>361</v>
      </c>
    </row>
    <row r="469" spans="1:10" x14ac:dyDescent="0.25">
      <c r="A469" s="6" t="s">
        <v>2</v>
      </c>
      <c r="B469" s="6">
        <f t="shared" si="106"/>
        <v>2034</v>
      </c>
      <c r="C469" s="1" t="s">
        <v>8</v>
      </c>
      <c r="D469" s="2" t="s">
        <v>128</v>
      </c>
      <c r="E469" s="9" t="str">
        <f t="shared" si="95"/>
        <v>PNP'!</v>
      </c>
      <c r="F469" s="5" t="str">
        <f t="shared" si="88"/>
        <v>C:\Users\jaime.benazar\Quorum Business Solutions\Ecopetrol Prometeo - Documents\Planning Space Implementation\3. Analysis &amp; Design\Design\FC22\DRR Jaime\QUIFA-CAJÚA\Cajua\[VAS_CAJUA_CF_SEC_20230125.xlsx]CF PNP'!</v>
      </c>
      <c r="G469" s="6" t="s">
        <v>36</v>
      </c>
      <c r="H469" s="1">
        <f t="shared" si="98"/>
        <v>47</v>
      </c>
      <c r="I469" s="1" t="str">
        <f t="shared" si="96"/>
        <v>='C:\Users\jaime.benazar\Quorum Business Solutions\Ecopetrol Prometeo - Documents\Planning Space Implementation\3. Analysis &amp; Design\Design\FC22\DRR Jaime\QUIFA-CAJÚA\Cajua\[VAS_CAJUA_CF_SEC_20230125.xlsx]CF PNP'!$BT$47</v>
      </c>
      <c r="J469" s="1" t="s">
        <v>362</v>
      </c>
    </row>
    <row r="470" spans="1:10" x14ac:dyDescent="0.25">
      <c r="A470" s="6" t="s">
        <v>2</v>
      </c>
      <c r="B470" s="6">
        <f t="shared" si="106"/>
        <v>2035</v>
      </c>
      <c r="C470" s="1" t="s">
        <v>8</v>
      </c>
      <c r="D470" s="2" t="s">
        <v>128</v>
      </c>
      <c r="E470" s="9" t="str">
        <f t="shared" si="95"/>
        <v>PNP'!</v>
      </c>
      <c r="F470" s="5" t="str">
        <f t="shared" si="88"/>
        <v>C:\Users\jaime.benazar\Quorum Business Solutions\Ecopetrol Prometeo - Documents\Planning Space Implementation\3. Analysis &amp; Design\Design\FC22\DRR Jaime\QUIFA-CAJÚA\Cajua\[VAS_CAJUA_CF_SEC_20230125.xlsx]CF PNP'!</v>
      </c>
      <c r="G470" s="6" t="s">
        <v>36</v>
      </c>
      <c r="H470" s="1">
        <f t="shared" si="98"/>
        <v>48</v>
      </c>
      <c r="I470" s="1" t="str">
        <f t="shared" si="96"/>
        <v>='C:\Users\jaime.benazar\Quorum Business Solutions\Ecopetrol Prometeo - Documents\Planning Space Implementation\3. Analysis &amp; Design\Design\FC22\DRR Jaime\QUIFA-CAJÚA\Cajua\[VAS_CAJUA_CF_SEC_20230125.xlsx]CF PNP'!$BT$48</v>
      </c>
      <c r="J470" s="1" t="s">
        <v>363</v>
      </c>
    </row>
    <row r="471" spans="1:10" x14ac:dyDescent="0.25">
      <c r="A471" s="6" t="s">
        <v>2</v>
      </c>
      <c r="B471" s="6">
        <f t="shared" si="106"/>
        <v>2036</v>
      </c>
      <c r="C471" s="1" t="s">
        <v>8</v>
      </c>
      <c r="D471" s="2" t="s">
        <v>128</v>
      </c>
      <c r="E471" s="9" t="str">
        <f t="shared" si="95"/>
        <v>PNP'!</v>
      </c>
      <c r="F471" s="5" t="str">
        <f t="shared" si="88"/>
        <v>C:\Users\jaime.benazar\Quorum Business Solutions\Ecopetrol Prometeo - Documents\Planning Space Implementation\3. Analysis &amp; Design\Design\FC22\DRR Jaime\QUIFA-CAJÚA\Cajua\[VAS_CAJUA_CF_SEC_20230125.xlsx]CF PNP'!</v>
      </c>
      <c r="G471" s="6" t="s">
        <v>36</v>
      </c>
      <c r="H471" s="1">
        <f t="shared" si="98"/>
        <v>49</v>
      </c>
      <c r="I471" s="1" t="str">
        <f t="shared" si="96"/>
        <v>='C:\Users\jaime.benazar\Quorum Business Solutions\Ecopetrol Prometeo - Documents\Planning Space Implementation\3. Analysis &amp; Design\Design\FC22\DRR Jaime\QUIFA-CAJÚA\Cajua\[VAS_CAJUA_CF_SEC_20230125.xlsx]CF PNP'!$BT$49</v>
      </c>
      <c r="J471" s="1" t="s">
        <v>364</v>
      </c>
    </row>
    <row r="472" spans="1:10" x14ac:dyDescent="0.25">
      <c r="A472" s="6" t="s">
        <v>2</v>
      </c>
      <c r="B472" s="6">
        <f>+B471+1</f>
        <v>2037</v>
      </c>
      <c r="C472" s="1" t="s">
        <v>8</v>
      </c>
      <c r="D472" s="2" t="s">
        <v>128</v>
      </c>
      <c r="E472" s="9" t="str">
        <f t="shared" si="95"/>
        <v>PNP'!</v>
      </c>
      <c r="F472" s="5" t="str">
        <f t="shared" si="88"/>
        <v>C:\Users\jaime.benazar\Quorum Business Solutions\Ecopetrol Prometeo - Documents\Planning Space Implementation\3. Analysis &amp; Design\Design\FC22\DRR Jaime\QUIFA-CAJÚA\Cajua\[VAS_CAJUA_CF_SEC_20230125.xlsx]CF PNP'!</v>
      </c>
      <c r="G472" s="6" t="s">
        <v>36</v>
      </c>
      <c r="H472" s="1">
        <f t="shared" si="98"/>
        <v>50</v>
      </c>
      <c r="I472" s="1" t="str">
        <f t="shared" si="96"/>
        <v>='C:\Users\jaime.benazar\Quorum Business Solutions\Ecopetrol Prometeo - Documents\Planning Space Implementation\3. Analysis &amp; Design\Design\FC22\DRR Jaime\QUIFA-CAJÚA\Cajua\[VAS_CAJUA_CF_SEC_20230125.xlsx]CF PNP'!$BT$50</v>
      </c>
      <c r="J472" s="1" t="s">
        <v>365</v>
      </c>
    </row>
    <row r="473" spans="1:10" x14ac:dyDescent="0.25">
      <c r="A473" s="6" t="s">
        <v>2</v>
      </c>
      <c r="B473" s="6">
        <f t="shared" ref="B473:B475" si="107">+B472+1</f>
        <v>2038</v>
      </c>
      <c r="C473" s="1" t="s">
        <v>8</v>
      </c>
      <c r="D473" s="2" t="s">
        <v>128</v>
      </c>
      <c r="E473" s="9" t="str">
        <f t="shared" si="95"/>
        <v>PNP'!</v>
      </c>
      <c r="F473" s="5" t="str">
        <f t="shared" si="88"/>
        <v>C:\Users\jaime.benazar\Quorum Business Solutions\Ecopetrol Prometeo - Documents\Planning Space Implementation\3. Analysis &amp; Design\Design\FC22\DRR Jaime\QUIFA-CAJÚA\Cajua\[VAS_CAJUA_CF_SEC_20230125.xlsx]CF PNP'!</v>
      </c>
      <c r="G473" s="6" t="s">
        <v>36</v>
      </c>
      <c r="H473" s="1">
        <f t="shared" si="98"/>
        <v>51</v>
      </c>
      <c r="I473" s="1" t="str">
        <f t="shared" si="96"/>
        <v>='C:\Users\jaime.benazar\Quorum Business Solutions\Ecopetrol Prometeo - Documents\Planning Space Implementation\3. Analysis &amp; Design\Design\FC22\DRR Jaime\QUIFA-CAJÚA\Cajua\[VAS_CAJUA_CF_SEC_20230125.xlsx]CF PNP'!$BT$51</v>
      </c>
      <c r="J473" s="1" t="s">
        <v>366</v>
      </c>
    </row>
    <row r="474" spans="1:10" x14ac:dyDescent="0.25">
      <c r="A474" s="6" t="s">
        <v>2</v>
      </c>
      <c r="B474" s="6">
        <f t="shared" si="107"/>
        <v>2039</v>
      </c>
      <c r="C474" s="1" t="s">
        <v>8</v>
      </c>
      <c r="D474" s="2" t="s">
        <v>128</v>
      </c>
      <c r="E474" s="9" t="str">
        <f t="shared" si="95"/>
        <v>PNP'!</v>
      </c>
      <c r="F474" s="5" t="str">
        <f t="shared" si="88"/>
        <v>C:\Users\jaime.benazar\Quorum Business Solutions\Ecopetrol Prometeo - Documents\Planning Space Implementation\3. Analysis &amp; Design\Design\FC22\DRR Jaime\QUIFA-CAJÚA\Cajua\[VAS_CAJUA_CF_SEC_20230125.xlsx]CF PNP'!</v>
      </c>
      <c r="G474" s="6" t="s">
        <v>36</v>
      </c>
      <c r="H474" s="1">
        <f t="shared" si="98"/>
        <v>52</v>
      </c>
      <c r="I474" s="1" t="str">
        <f t="shared" si="96"/>
        <v>='C:\Users\jaime.benazar\Quorum Business Solutions\Ecopetrol Prometeo - Documents\Planning Space Implementation\3. Analysis &amp; Design\Design\FC22\DRR Jaime\QUIFA-CAJÚA\Cajua\[VAS_CAJUA_CF_SEC_20230125.xlsx]CF PNP'!$BT$52</v>
      </c>
      <c r="J474" s="1" t="s">
        <v>367</v>
      </c>
    </row>
    <row r="475" spans="1:10" x14ac:dyDescent="0.25">
      <c r="A475" s="6" t="s">
        <v>2</v>
      </c>
      <c r="B475" s="6">
        <f t="shared" si="107"/>
        <v>2040</v>
      </c>
      <c r="C475" s="1" t="s">
        <v>8</v>
      </c>
      <c r="D475" s="2" t="s">
        <v>128</v>
      </c>
      <c r="E475" s="9" t="str">
        <f t="shared" si="95"/>
        <v>PNP'!</v>
      </c>
      <c r="F475" s="5" t="str">
        <f t="shared" si="88"/>
        <v>C:\Users\jaime.benazar\Quorum Business Solutions\Ecopetrol Prometeo - Documents\Planning Space Implementation\3. Analysis &amp; Design\Design\FC22\DRR Jaime\QUIFA-CAJÚA\Cajua\[VAS_CAJUA_CF_SEC_20230125.xlsx]CF PNP'!</v>
      </c>
      <c r="G475" s="6" t="s">
        <v>36</v>
      </c>
      <c r="H475" s="1">
        <f t="shared" si="98"/>
        <v>53</v>
      </c>
      <c r="I475" s="1" t="str">
        <f t="shared" si="96"/>
        <v>='C:\Users\jaime.benazar\Quorum Business Solutions\Ecopetrol Prometeo - Documents\Planning Space Implementation\3. Analysis &amp; Design\Design\FC22\DRR Jaime\QUIFA-CAJÚA\Cajua\[VAS_CAJUA_CF_SEC_20230125.xlsx]CF PNP'!$BT$53</v>
      </c>
      <c r="J475" s="1" t="s">
        <v>368</v>
      </c>
    </row>
    <row r="476" spans="1:10" x14ac:dyDescent="0.25">
      <c r="A476" s="6" t="s">
        <v>2</v>
      </c>
      <c r="B476" s="6">
        <f>+B475+1</f>
        <v>2041</v>
      </c>
      <c r="C476" s="1" t="s">
        <v>8</v>
      </c>
      <c r="D476" s="2" t="s">
        <v>128</v>
      </c>
      <c r="E476" s="9" t="str">
        <f t="shared" si="95"/>
        <v>PNP'!</v>
      </c>
      <c r="F476" s="5" t="str">
        <f t="shared" si="88"/>
        <v>C:\Users\jaime.benazar\Quorum Business Solutions\Ecopetrol Prometeo - Documents\Planning Space Implementation\3. Analysis &amp; Design\Design\FC22\DRR Jaime\QUIFA-CAJÚA\Cajua\[VAS_CAJUA_CF_SEC_20230125.xlsx]CF PNP'!</v>
      </c>
      <c r="G476" s="6" t="s">
        <v>36</v>
      </c>
      <c r="H476" s="1">
        <f t="shared" si="98"/>
        <v>54</v>
      </c>
      <c r="I476" s="1" t="str">
        <f t="shared" si="96"/>
        <v>='C:\Users\jaime.benazar\Quorum Business Solutions\Ecopetrol Prometeo - Documents\Planning Space Implementation\3. Analysis &amp; Design\Design\FC22\DRR Jaime\QUIFA-CAJÚA\Cajua\[VAS_CAJUA_CF_SEC_20230125.xlsx]CF PNP'!$BT$54</v>
      </c>
      <c r="J476" s="1" t="s">
        <v>369</v>
      </c>
    </row>
    <row r="477" spans="1:10" x14ac:dyDescent="0.25">
      <c r="A477" s="6" t="s">
        <v>2</v>
      </c>
      <c r="B477" s="6">
        <f t="shared" ref="B477:B478" si="108">+B476+1</f>
        <v>2042</v>
      </c>
      <c r="C477" s="1" t="s">
        <v>8</v>
      </c>
      <c r="D477" s="2" t="s">
        <v>128</v>
      </c>
      <c r="E477" s="9" t="str">
        <f t="shared" si="95"/>
        <v>PNP'!</v>
      </c>
      <c r="F477" s="5" t="str">
        <f t="shared" si="88"/>
        <v>C:\Users\jaime.benazar\Quorum Business Solutions\Ecopetrol Prometeo - Documents\Planning Space Implementation\3. Analysis &amp; Design\Design\FC22\DRR Jaime\QUIFA-CAJÚA\Cajua\[VAS_CAJUA_CF_SEC_20230125.xlsx]CF PNP'!</v>
      </c>
      <c r="G477" s="6" t="s">
        <v>36</v>
      </c>
      <c r="H477" s="1">
        <f t="shared" si="98"/>
        <v>55</v>
      </c>
      <c r="I477" s="1" t="str">
        <f t="shared" si="96"/>
        <v>='C:\Users\jaime.benazar\Quorum Business Solutions\Ecopetrol Prometeo - Documents\Planning Space Implementation\3. Analysis &amp; Design\Design\FC22\DRR Jaime\QUIFA-CAJÚA\Cajua\[VAS_CAJUA_CF_SEC_20230125.xlsx]CF PNP'!$BT$55</v>
      </c>
      <c r="J477" s="1" t="s">
        <v>370</v>
      </c>
    </row>
    <row r="478" spans="1:10" x14ac:dyDescent="0.25">
      <c r="A478" s="6" t="s">
        <v>2</v>
      </c>
      <c r="B478" s="6">
        <f t="shared" si="108"/>
        <v>2043</v>
      </c>
      <c r="C478" s="1" t="s">
        <v>8</v>
      </c>
      <c r="D478" s="2" t="s">
        <v>128</v>
      </c>
      <c r="E478" s="9" t="str">
        <f t="shared" si="95"/>
        <v>PNP'!</v>
      </c>
      <c r="F478" s="5" t="str">
        <f t="shared" si="88"/>
        <v>C:\Users\jaime.benazar\Quorum Business Solutions\Ecopetrol Prometeo - Documents\Planning Space Implementation\3. Analysis &amp; Design\Design\FC22\DRR Jaime\QUIFA-CAJÚA\Cajua\[VAS_CAJUA_CF_SEC_20230125.xlsx]CF PNP'!</v>
      </c>
      <c r="G478" s="6" t="s">
        <v>36</v>
      </c>
      <c r="H478" s="1">
        <f t="shared" si="98"/>
        <v>56</v>
      </c>
      <c r="I478" s="1" t="str">
        <f t="shared" si="96"/>
        <v>='C:\Users\jaime.benazar\Quorum Business Solutions\Ecopetrol Prometeo - Documents\Planning Space Implementation\3. Analysis &amp; Design\Design\FC22\DRR Jaime\QUIFA-CAJÚA\Cajua\[VAS_CAJUA_CF_SEC_20230125.xlsx]CF PNP'!$BT$56</v>
      </c>
      <c r="J478" s="1" t="s">
        <v>371</v>
      </c>
    </row>
    <row r="479" spans="1:10" x14ac:dyDescent="0.25">
      <c r="A479" s="6" t="s">
        <v>2</v>
      </c>
      <c r="B479" s="6">
        <f>+B478+1</f>
        <v>2044</v>
      </c>
      <c r="C479" s="1" t="s">
        <v>8</v>
      </c>
      <c r="D479" s="2" t="s">
        <v>128</v>
      </c>
      <c r="E479" s="9" t="str">
        <f t="shared" ref="E479:E494" si="109">_xlfn.CONCAT(A479,"'!")</f>
        <v>PNP'!</v>
      </c>
      <c r="F479" s="5" t="str">
        <f t="shared" ref="F479:F494" si="110">_xlfn.CONCAT(D479," ",E479)</f>
        <v>C:\Users\jaime.benazar\Quorum Business Solutions\Ecopetrol Prometeo - Documents\Planning Space Implementation\3. Analysis &amp; Design\Design\FC22\DRR Jaime\QUIFA-CAJÚA\Cajua\[VAS_CAJUA_CF_SEC_20230125.xlsx]CF PNP'!</v>
      </c>
      <c r="G479" s="6" t="s">
        <v>36</v>
      </c>
      <c r="H479" s="1">
        <f t="shared" ref="H479:H494" si="111">IF(A479&lt;&gt;A478,36,H478+1)</f>
        <v>57</v>
      </c>
      <c r="I479" s="1" t="str">
        <f t="shared" ref="I479:I494" si="112">_xlfn.CONCAT("='",F479:H479)</f>
        <v>='C:\Users\jaime.benazar\Quorum Business Solutions\Ecopetrol Prometeo - Documents\Planning Space Implementation\3. Analysis &amp; Design\Design\FC22\DRR Jaime\QUIFA-CAJÚA\Cajua\[VAS_CAJUA_CF_SEC_20230125.xlsx]CF PNP'!$BT$57</v>
      </c>
      <c r="J479" s="1" t="s">
        <v>372</v>
      </c>
    </row>
    <row r="480" spans="1:10" x14ac:dyDescent="0.25">
      <c r="A480" s="6" t="s">
        <v>2</v>
      </c>
      <c r="B480" s="6">
        <f t="shared" ref="B480:B494" si="113">+B479+1</f>
        <v>2045</v>
      </c>
      <c r="C480" s="1" t="s">
        <v>8</v>
      </c>
      <c r="D480" s="2" t="s">
        <v>128</v>
      </c>
      <c r="E480" s="9" t="str">
        <f t="shared" si="109"/>
        <v>PNP'!</v>
      </c>
      <c r="F480" s="5" t="str">
        <f t="shared" si="110"/>
        <v>C:\Users\jaime.benazar\Quorum Business Solutions\Ecopetrol Prometeo - Documents\Planning Space Implementation\3. Analysis &amp; Design\Design\FC22\DRR Jaime\QUIFA-CAJÚA\Cajua\[VAS_CAJUA_CF_SEC_20230125.xlsx]CF PNP'!</v>
      </c>
      <c r="G480" s="6" t="s">
        <v>36</v>
      </c>
      <c r="H480" s="1">
        <f t="shared" si="111"/>
        <v>58</v>
      </c>
      <c r="I480" s="1" t="str">
        <f t="shared" si="112"/>
        <v>='C:\Users\jaime.benazar\Quorum Business Solutions\Ecopetrol Prometeo - Documents\Planning Space Implementation\3. Analysis &amp; Design\Design\FC22\DRR Jaime\QUIFA-CAJÚA\Cajua\[VAS_CAJUA_CF_SEC_20230125.xlsx]CF PNP'!$BT$58</v>
      </c>
      <c r="J480" s="1" t="s">
        <v>373</v>
      </c>
    </row>
    <row r="481" spans="1:10" x14ac:dyDescent="0.25">
      <c r="A481" s="6" t="s">
        <v>2</v>
      </c>
      <c r="B481" s="6">
        <f t="shared" si="113"/>
        <v>2046</v>
      </c>
      <c r="C481" s="1" t="s">
        <v>8</v>
      </c>
      <c r="D481" s="2" t="s">
        <v>128</v>
      </c>
      <c r="E481" s="9" t="str">
        <f t="shared" si="109"/>
        <v>PNP'!</v>
      </c>
      <c r="F481" s="5" t="str">
        <f t="shared" si="110"/>
        <v>C:\Users\jaime.benazar\Quorum Business Solutions\Ecopetrol Prometeo - Documents\Planning Space Implementation\3. Analysis &amp; Design\Design\FC22\DRR Jaime\QUIFA-CAJÚA\Cajua\[VAS_CAJUA_CF_SEC_20230125.xlsx]CF PNP'!</v>
      </c>
      <c r="G481" s="6" t="s">
        <v>36</v>
      </c>
      <c r="H481" s="1">
        <f t="shared" si="111"/>
        <v>59</v>
      </c>
      <c r="I481" s="1" t="str">
        <f t="shared" si="112"/>
        <v>='C:\Users\jaime.benazar\Quorum Business Solutions\Ecopetrol Prometeo - Documents\Planning Space Implementation\3. Analysis &amp; Design\Design\FC22\DRR Jaime\QUIFA-CAJÚA\Cajua\[VAS_CAJUA_CF_SEC_20230125.xlsx]CF PNP'!$BT$59</v>
      </c>
      <c r="J481" s="1" t="s">
        <v>374</v>
      </c>
    </row>
    <row r="482" spans="1:10" x14ac:dyDescent="0.25">
      <c r="A482" s="6" t="s">
        <v>2</v>
      </c>
      <c r="B482" s="6">
        <f t="shared" si="113"/>
        <v>2047</v>
      </c>
      <c r="C482" s="1" t="s">
        <v>8</v>
      </c>
      <c r="D482" s="2" t="s">
        <v>128</v>
      </c>
      <c r="E482" s="9" t="str">
        <f t="shared" si="109"/>
        <v>PNP'!</v>
      </c>
      <c r="F482" s="5" t="str">
        <f t="shared" si="110"/>
        <v>C:\Users\jaime.benazar\Quorum Business Solutions\Ecopetrol Prometeo - Documents\Planning Space Implementation\3. Analysis &amp; Design\Design\FC22\DRR Jaime\QUIFA-CAJÚA\Cajua\[VAS_CAJUA_CF_SEC_20230125.xlsx]CF PNP'!</v>
      </c>
      <c r="G482" s="6" t="s">
        <v>36</v>
      </c>
      <c r="H482" s="1">
        <f t="shared" si="111"/>
        <v>60</v>
      </c>
      <c r="I482" s="1" t="str">
        <f t="shared" si="112"/>
        <v>='C:\Users\jaime.benazar\Quorum Business Solutions\Ecopetrol Prometeo - Documents\Planning Space Implementation\3. Analysis &amp; Design\Design\FC22\DRR Jaime\QUIFA-CAJÚA\Cajua\[VAS_CAJUA_CF_SEC_20230125.xlsx]CF PNP'!$BT$60</v>
      </c>
      <c r="J482" s="1" t="s">
        <v>375</v>
      </c>
    </row>
    <row r="483" spans="1:10" x14ac:dyDescent="0.25">
      <c r="A483" s="6" t="s">
        <v>2</v>
      </c>
      <c r="B483" s="6">
        <f t="shared" si="113"/>
        <v>2048</v>
      </c>
      <c r="C483" s="1" t="s">
        <v>8</v>
      </c>
      <c r="D483" s="2" t="s">
        <v>128</v>
      </c>
      <c r="E483" s="9" t="str">
        <f t="shared" si="109"/>
        <v>PNP'!</v>
      </c>
      <c r="F483" s="5" t="str">
        <f t="shared" si="110"/>
        <v>C:\Users\jaime.benazar\Quorum Business Solutions\Ecopetrol Prometeo - Documents\Planning Space Implementation\3. Analysis &amp; Design\Design\FC22\DRR Jaime\QUIFA-CAJÚA\Cajua\[VAS_CAJUA_CF_SEC_20230125.xlsx]CF PNP'!</v>
      </c>
      <c r="G483" s="6" t="s">
        <v>36</v>
      </c>
      <c r="H483" s="1">
        <f t="shared" si="111"/>
        <v>61</v>
      </c>
      <c r="I483" s="1" t="str">
        <f t="shared" si="112"/>
        <v>='C:\Users\jaime.benazar\Quorum Business Solutions\Ecopetrol Prometeo - Documents\Planning Space Implementation\3. Analysis &amp; Design\Design\FC22\DRR Jaime\QUIFA-CAJÚA\Cajua\[VAS_CAJUA_CF_SEC_20230125.xlsx]CF PNP'!$BT$61</v>
      </c>
      <c r="J483" s="1" t="s">
        <v>376</v>
      </c>
    </row>
    <row r="484" spans="1:10" x14ac:dyDescent="0.25">
      <c r="A484" s="6" t="s">
        <v>2</v>
      </c>
      <c r="B484" s="6">
        <f t="shared" si="113"/>
        <v>2049</v>
      </c>
      <c r="C484" s="1" t="s">
        <v>8</v>
      </c>
      <c r="D484" s="2" t="s">
        <v>128</v>
      </c>
      <c r="E484" s="9" t="str">
        <f t="shared" si="109"/>
        <v>PNP'!</v>
      </c>
      <c r="F484" s="5" t="str">
        <f t="shared" si="110"/>
        <v>C:\Users\jaime.benazar\Quorum Business Solutions\Ecopetrol Prometeo - Documents\Planning Space Implementation\3. Analysis &amp; Design\Design\FC22\DRR Jaime\QUIFA-CAJÚA\Cajua\[VAS_CAJUA_CF_SEC_20230125.xlsx]CF PNP'!</v>
      </c>
      <c r="G484" s="6" t="s">
        <v>36</v>
      </c>
      <c r="H484" s="1">
        <f t="shared" si="111"/>
        <v>62</v>
      </c>
      <c r="I484" s="1" t="str">
        <f t="shared" si="112"/>
        <v>='C:\Users\jaime.benazar\Quorum Business Solutions\Ecopetrol Prometeo - Documents\Planning Space Implementation\3. Analysis &amp; Design\Design\FC22\DRR Jaime\QUIFA-CAJÚA\Cajua\[VAS_CAJUA_CF_SEC_20230125.xlsx]CF PNP'!$BT$62</v>
      </c>
      <c r="J484" s="1" t="s">
        <v>377</v>
      </c>
    </row>
    <row r="485" spans="1:10" x14ac:dyDescent="0.25">
      <c r="A485" s="6" t="s">
        <v>2</v>
      </c>
      <c r="B485" s="6">
        <f t="shared" si="113"/>
        <v>2050</v>
      </c>
      <c r="C485" s="1" t="s">
        <v>8</v>
      </c>
      <c r="D485" s="2" t="s">
        <v>128</v>
      </c>
      <c r="E485" s="9" t="str">
        <f t="shared" si="109"/>
        <v>PNP'!</v>
      </c>
      <c r="F485" s="5" t="str">
        <f t="shared" si="110"/>
        <v>C:\Users\jaime.benazar\Quorum Business Solutions\Ecopetrol Prometeo - Documents\Planning Space Implementation\3. Analysis &amp; Design\Design\FC22\DRR Jaime\QUIFA-CAJÚA\Cajua\[VAS_CAJUA_CF_SEC_20230125.xlsx]CF PNP'!</v>
      </c>
      <c r="G485" s="6" t="s">
        <v>36</v>
      </c>
      <c r="H485" s="1">
        <f t="shared" si="111"/>
        <v>63</v>
      </c>
      <c r="I485" s="1" t="str">
        <f t="shared" si="112"/>
        <v>='C:\Users\jaime.benazar\Quorum Business Solutions\Ecopetrol Prometeo - Documents\Planning Space Implementation\3. Analysis &amp; Design\Design\FC22\DRR Jaime\QUIFA-CAJÚA\Cajua\[VAS_CAJUA_CF_SEC_20230125.xlsx]CF PNP'!$BT$63</v>
      </c>
      <c r="J485" s="1" t="s">
        <v>378</v>
      </c>
    </row>
    <row r="486" spans="1:10" x14ac:dyDescent="0.25">
      <c r="A486" s="6" t="s">
        <v>2</v>
      </c>
      <c r="B486" s="6">
        <f t="shared" si="113"/>
        <v>2051</v>
      </c>
      <c r="C486" s="1" t="s">
        <v>8</v>
      </c>
      <c r="D486" s="2" t="s">
        <v>128</v>
      </c>
      <c r="E486" s="9" t="str">
        <f t="shared" si="109"/>
        <v>PNP'!</v>
      </c>
      <c r="F486" s="5" t="str">
        <f t="shared" si="110"/>
        <v>C:\Users\jaime.benazar\Quorum Business Solutions\Ecopetrol Prometeo - Documents\Planning Space Implementation\3. Analysis &amp; Design\Design\FC22\DRR Jaime\QUIFA-CAJÚA\Cajua\[VAS_CAJUA_CF_SEC_20230125.xlsx]CF PNP'!</v>
      </c>
      <c r="G486" s="6" t="s">
        <v>36</v>
      </c>
      <c r="H486" s="1">
        <f t="shared" si="111"/>
        <v>64</v>
      </c>
      <c r="I486" s="1" t="str">
        <f t="shared" si="112"/>
        <v>='C:\Users\jaime.benazar\Quorum Business Solutions\Ecopetrol Prometeo - Documents\Planning Space Implementation\3. Analysis &amp; Design\Design\FC22\DRR Jaime\QUIFA-CAJÚA\Cajua\[VAS_CAJUA_CF_SEC_20230125.xlsx]CF PNP'!$BT$64</v>
      </c>
      <c r="J486" s="1" t="s">
        <v>379</v>
      </c>
    </row>
    <row r="487" spans="1:10" x14ac:dyDescent="0.25">
      <c r="A487" s="6" t="s">
        <v>2</v>
      </c>
      <c r="B487" s="6">
        <f t="shared" si="113"/>
        <v>2052</v>
      </c>
      <c r="C487" s="1" t="s">
        <v>8</v>
      </c>
      <c r="D487" s="2" t="s">
        <v>128</v>
      </c>
      <c r="E487" s="9" t="str">
        <f t="shared" si="109"/>
        <v>PNP'!</v>
      </c>
      <c r="F487" s="5" t="str">
        <f t="shared" si="110"/>
        <v>C:\Users\jaime.benazar\Quorum Business Solutions\Ecopetrol Prometeo - Documents\Planning Space Implementation\3. Analysis &amp; Design\Design\FC22\DRR Jaime\QUIFA-CAJÚA\Cajua\[VAS_CAJUA_CF_SEC_20230125.xlsx]CF PNP'!</v>
      </c>
      <c r="G487" s="6" t="s">
        <v>36</v>
      </c>
      <c r="H487" s="1">
        <f t="shared" si="111"/>
        <v>65</v>
      </c>
      <c r="I487" s="1" t="str">
        <f t="shared" si="112"/>
        <v>='C:\Users\jaime.benazar\Quorum Business Solutions\Ecopetrol Prometeo - Documents\Planning Space Implementation\3. Analysis &amp; Design\Design\FC22\DRR Jaime\QUIFA-CAJÚA\Cajua\[VAS_CAJUA_CF_SEC_20230125.xlsx]CF PNP'!$BT$65</v>
      </c>
      <c r="J487" s="1" t="s">
        <v>380</v>
      </c>
    </row>
    <row r="488" spans="1:10" x14ac:dyDescent="0.25">
      <c r="A488" s="6" t="s">
        <v>2</v>
      </c>
      <c r="B488" s="6">
        <f t="shared" si="113"/>
        <v>2053</v>
      </c>
      <c r="C488" s="1" t="s">
        <v>8</v>
      </c>
      <c r="D488" s="2" t="s">
        <v>128</v>
      </c>
      <c r="E488" s="9" t="str">
        <f t="shared" si="109"/>
        <v>PNP'!</v>
      </c>
      <c r="F488" s="5" t="str">
        <f t="shared" si="110"/>
        <v>C:\Users\jaime.benazar\Quorum Business Solutions\Ecopetrol Prometeo - Documents\Planning Space Implementation\3. Analysis &amp; Design\Design\FC22\DRR Jaime\QUIFA-CAJÚA\Cajua\[VAS_CAJUA_CF_SEC_20230125.xlsx]CF PNP'!</v>
      </c>
      <c r="G488" s="6" t="s">
        <v>36</v>
      </c>
      <c r="H488" s="1">
        <f t="shared" si="111"/>
        <v>66</v>
      </c>
      <c r="I488" s="1" t="str">
        <f t="shared" si="112"/>
        <v>='C:\Users\jaime.benazar\Quorum Business Solutions\Ecopetrol Prometeo - Documents\Planning Space Implementation\3. Analysis &amp; Design\Design\FC22\DRR Jaime\QUIFA-CAJÚA\Cajua\[VAS_CAJUA_CF_SEC_20230125.xlsx]CF PNP'!$BT$66</v>
      </c>
      <c r="J488" s="1" t="s">
        <v>381</v>
      </c>
    </row>
    <row r="489" spans="1:10" x14ac:dyDescent="0.25">
      <c r="A489" s="6" t="s">
        <v>2</v>
      </c>
      <c r="B489" s="6">
        <f t="shared" si="113"/>
        <v>2054</v>
      </c>
      <c r="C489" s="1" t="s">
        <v>8</v>
      </c>
      <c r="D489" s="2" t="s">
        <v>128</v>
      </c>
      <c r="E489" s="9" t="str">
        <f t="shared" si="109"/>
        <v>PNP'!</v>
      </c>
      <c r="F489" s="5" t="str">
        <f t="shared" si="110"/>
        <v>C:\Users\jaime.benazar\Quorum Business Solutions\Ecopetrol Prometeo - Documents\Planning Space Implementation\3. Analysis &amp; Design\Design\FC22\DRR Jaime\QUIFA-CAJÚA\Cajua\[VAS_CAJUA_CF_SEC_20230125.xlsx]CF PNP'!</v>
      </c>
      <c r="G489" s="6" t="s">
        <v>36</v>
      </c>
      <c r="H489" s="1">
        <f t="shared" si="111"/>
        <v>67</v>
      </c>
      <c r="I489" s="1" t="str">
        <f t="shared" si="112"/>
        <v>='C:\Users\jaime.benazar\Quorum Business Solutions\Ecopetrol Prometeo - Documents\Planning Space Implementation\3. Analysis &amp; Design\Design\FC22\DRR Jaime\QUIFA-CAJÚA\Cajua\[VAS_CAJUA_CF_SEC_20230125.xlsx]CF PNP'!$BT$67</v>
      </c>
      <c r="J489" s="1" t="s">
        <v>382</v>
      </c>
    </row>
    <row r="490" spans="1:10" x14ac:dyDescent="0.25">
      <c r="A490" s="6" t="s">
        <v>2</v>
      </c>
      <c r="B490" s="6">
        <f t="shared" si="113"/>
        <v>2055</v>
      </c>
      <c r="C490" s="1" t="s">
        <v>8</v>
      </c>
      <c r="D490" s="2" t="s">
        <v>128</v>
      </c>
      <c r="E490" s="9" t="str">
        <f t="shared" si="109"/>
        <v>PNP'!</v>
      </c>
      <c r="F490" s="5" t="str">
        <f t="shared" si="110"/>
        <v>C:\Users\jaime.benazar\Quorum Business Solutions\Ecopetrol Prometeo - Documents\Planning Space Implementation\3. Analysis &amp; Design\Design\FC22\DRR Jaime\QUIFA-CAJÚA\Cajua\[VAS_CAJUA_CF_SEC_20230125.xlsx]CF PNP'!</v>
      </c>
      <c r="G490" s="6" t="s">
        <v>36</v>
      </c>
      <c r="H490" s="1">
        <f t="shared" si="111"/>
        <v>68</v>
      </c>
      <c r="I490" s="1" t="str">
        <f t="shared" si="112"/>
        <v>='C:\Users\jaime.benazar\Quorum Business Solutions\Ecopetrol Prometeo - Documents\Planning Space Implementation\3. Analysis &amp; Design\Design\FC22\DRR Jaime\QUIFA-CAJÚA\Cajua\[VAS_CAJUA_CF_SEC_20230125.xlsx]CF PNP'!$BT$68</v>
      </c>
      <c r="J490" s="1" t="s">
        <v>383</v>
      </c>
    </row>
    <row r="491" spans="1:10" x14ac:dyDescent="0.25">
      <c r="A491" s="6" t="s">
        <v>2</v>
      </c>
      <c r="B491" s="6">
        <f t="shared" si="113"/>
        <v>2056</v>
      </c>
      <c r="C491" s="1" t="s">
        <v>8</v>
      </c>
      <c r="D491" s="2" t="s">
        <v>128</v>
      </c>
      <c r="E491" s="9" t="str">
        <f t="shared" si="109"/>
        <v>PNP'!</v>
      </c>
      <c r="F491" s="5" t="str">
        <f t="shared" si="110"/>
        <v>C:\Users\jaime.benazar\Quorum Business Solutions\Ecopetrol Prometeo - Documents\Planning Space Implementation\3. Analysis &amp; Design\Design\FC22\DRR Jaime\QUIFA-CAJÚA\Cajua\[VAS_CAJUA_CF_SEC_20230125.xlsx]CF PNP'!</v>
      </c>
      <c r="G491" s="6" t="s">
        <v>36</v>
      </c>
      <c r="H491" s="1">
        <f t="shared" si="111"/>
        <v>69</v>
      </c>
      <c r="I491" s="1" t="str">
        <f t="shared" si="112"/>
        <v>='C:\Users\jaime.benazar\Quorum Business Solutions\Ecopetrol Prometeo - Documents\Planning Space Implementation\3. Analysis &amp; Design\Design\FC22\DRR Jaime\QUIFA-CAJÚA\Cajua\[VAS_CAJUA_CF_SEC_20230125.xlsx]CF PNP'!$BT$69</v>
      </c>
      <c r="J491" s="1" t="s">
        <v>384</v>
      </c>
    </row>
    <row r="492" spans="1:10" x14ac:dyDescent="0.25">
      <c r="A492" s="6" t="s">
        <v>2</v>
      </c>
      <c r="B492" s="6">
        <f t="shared" si="113"/>
        <v>2057</v>
      </c>
      <c r="C492" s="1" t="s">
        <v>8</v>
      </c>
      <c r="D492" s="2" t="s">
        <v>128</v>
      </c>
      <c r="E492" s="9" t="str">
        <f t="shared" si="109"/>
        <v>PNP'!</v>
      </c>
      <c r="F492" s="5" t="str">
        <f t="shared" si="110"/>
        <v>C:\Users\jaime.benazar\Quorum Business Solutions\Ecopetrol Prometeo - Documents\Planning Space Implementation\3. Analysis &amp; Design\Design\FC22\DRR Jaime\QUIFA-CAJÚA\Cajua\[VAS_CAJUA_CF_SEC_20230125.xlsx]CF PNP'!</v>
      </c>
      <c r="G492" s="6" t="s">
        <v>36</v>
      </c>
      <c r="H492" s="1">
        <f t="shared" si="111"/>
        <v>70</v>
      </c>
      <c r="I492" s="1" t="str">
        <f t="shared" si="112"/>
        <v>='C:\Users\jaime.benazar\Quorum Business Solutions\Ecopetrol Prometeo - Documents\Planning Space Implementation\3. Analysis &amp; Design\Design\FC22\DRR Jaime\QUIFA-CAJÚA\Cajua\[VAS_CAJUA_CF_SEC_20230125.xlsx]CF PNP'!$BT$70</v>
      </c>
      <c r="J492" s="1" t="s">
        <v>385</v>
      </c>
    </row>
    <row r="493" spans="1:10" x14ac:dyDescent="0.25">
      <c r="A493" s="6" t="s">
        <v>2</v>
      </c>
      <c r="B493" s="6">
        <f t="shared" si="113"/>
        <v>2058</v>
      </c>
      <c r="C493" s="1" t="s">
        <v>8</v>
      </c>
      <c r="D493" s="2" t="s">
        <v>128</v>
      </c>
      <c r="E493" s="9" t="str">
        <f t="shared" si="109"/>
        <v>PNP'!</v>
      </c>
      <c r="F493" s="5" t="str">
        <f t="shared" si="110"/>
        <v>C:\Users\jaime.benazar\Quorum Business Solutions\Ecopetrol Prometeo - Documents\Planning Space Implementation\3. Analysis &amp; Design\Design\FC22\DRR Jaime\QUIFA-CAJÚA\Cajua\[VAS_CAJUA_CF_SEC_20230125.xlsx]CF PNP'!</v>
      </c>
      <c r="G493" s="6" t="s">
        <v>36</v>
      </c>
      <c r="H493" s="1">
        <f t="shared" si="111"/>
        <v>71</v>
      </c>
      <c r="I493" s="1" t="str">
        <f t="shared" si="112"/>
        <v>='C:\Users\jaime.benazar\Quorum Business Solutions\Ecopetrol Prometeo - Documents\Planning Space Implementation\3. Analysis &amp; Design\Design\FC22\DRR Jaime\QUIFA-CAJÚA\Cajua\[VAS_CAJUA_CF_SEC_20230125.xlsx]CF PNP'!$BT$71</v>
      </c>
      <c r="J493" s="1" t="s">
        <v>386</v>
      </c>
    </row>
    <row r="494" spans="1:10" x14ac:dyDescent="0.25">
      <c r="A494" s="6" t="s">
        <v>2</v>
      </c>
      <c r="B494" s="6">
        <f t="shared" si="113"/>
        <v>2059</v>
      </c>
      <c r="C494" s="1" t="s">
        <v>8</v>
      </c>
      <c r="D494" s="2" t="s">
        <v>128</v>
      </c>
      <c r="E494" s="9" t="str">
        <f t="shared" si="109"/>
        <v>PNP'!</v>
      </c>
      <c r="F494" s="5" t="str">
        <f t="shared" si="110"/>
        <v>C:\Users\jaime.benazar\Quorum Business Solutions\Ecopetrol Prometeo - Documents\Planning Space Implementation\3. Analysis &amp; Design\Design\FC22\DRR Jaime\QUIFA-CAJÚA\Cajua\[VAS_CAJUA_CF_SEC_20230125.xlsx]CF PNP'!</v>
      </c>
      <c r="G494" s="6" t="s">
        <v>36</v>
      </c>
      <c r="H494" s="1">
        <f t="shared" si="111"/>
        <v>72</v>
      </c>
      <c r="I494" s="1" t="str">
        <f t="shared" si="112"/>
        <v>='C:\Users\jaime.benazar\Quorum Business Solutions\Ecopetrol Prometeo - Documents\Planning Space Implementation\3. Analysis &amp; Design\Design\FC22\DRR Jaime\QUIFA-CAJÚA\Cajua\[VAS_CAJUA_CF_SEC_20230125.xlsx]CF PNP'!$BT$72</v>
      </c>
      <c r="J494" s="1" t="s">
        <v>387</v>
      </c>
    </row>
    <row r="495" spans="1:10" x14ac:dyDescent="0.25">
      <c r="A495" s="6" t="s">
        <v>28</v>
      </c>
      <c r="B495" s="6"/>
      <c r="C495" s="1" t="s">
        <v>8</v>
      </c>
      <c r="D495" s="2"/>
      <c r="E495" s="9"/>
      <c r="F495" s="5" t="str">
        <f t="shared" si="88"/>
        <v xml:space="preserve"> </v>
      </c>
      <c r="G495" s="6"/>
      <c r="H495" s="1"/>
      <c r="I495" s="1"/>
      <c r="J495" s="4"/>
    </row>
    <row r="496" spans="1:10" x14ac:dyDescent="0.25">
      <c r="A496" s="6" t="s">
        <v>3</v>
      </c>
      <c r="B496" s="6">
        <v>2023</v>
      </c>
      <c r="C496" s="1" t="s">
        <v>8</v>
      </c>
      <c r="D496" s="2" t="s">
        <v>128</v>
      </c>
      <c r="E496" s="9" t="str">
        <f t="shared" si="95"/>
        <v>PND'!</v>
      </c>
      <c r="F496" s="5" t="str">
        <f t="shared" si="88"/>
        <v>C:\Users\jaime.benazar\Quorum Business Solutions\Ecopetrol Prometeo - Documents\Planning Space Implementation\3. Analysis &amp; Design\Design\FC22\DRR Jaime\QUIFA-CAJÚA\Cajua\[VAS_CAJUA_CF_SEC_20230125.xlsx]CF PND'!</v>
      </c>
      <c r="G496" s="6" t="s">
        <v>36</v>
      </c>
      <c r="H496" s="1">
        <f>IF(A496&lt;&gt;A480,36,H480+1)</f>
        <v>36</v>
      </c>
      <c r="I496" s="1" t="str">
        <f t="shared" si="96"/>
        <v>='C:\Users\jaime.benazar\Quorum Business Solutions\Ecopetrol Prometeo - Documents\Planning Space Implementation\3. Analysis &amp; Design\Design\FC22\DRR Jaime\QUIFA-CAJÚA\Cajua\[VAS_CAJUA_CF_SEC_20230125.xlsx]CF PND'!$BT$36</v>
      </c>
      <c r="J496" s="1" t="s">
        <v>388</v>
      </c>
    </row>
    <row r="497" spans="1:10" x14ac:dyDescent="0.25">
      <c r="A497" s="6" t="s">
        <v>3</v>
      </c>
      <c r="B497" s="6">
        <f>+B496+1</f>
        <v>2024</v>
      </c>
      <c r="C497" s="1" t="s">
        <v>8</v>
      </c>
      <c r="D497" s="2" t="s">
        <v>128</v>
      </c>
      <c r="E497" s="9" t="str">
        <f t="shared" si="95"/>
        <v>PND'!</v>
      </c>
      <c r="F497" s="5" t="str">
        <f t="shared" si="88"/>
        <v>C:\Users\jaime.benazar\Quorum Business Solutions\Ecopetrol Prometeo - Documents\Planning Space Implementation\3. Analysis &amp; Design\Design\FC22\DRR Jaime\QUIFA-CAJÚA\Cajua\[VAS_CAJUA_CF_SEC_20230125.xlsx]CF PND'!</v>
      </c>
      <c r="G497" s="6" t="s">
        <v>36</v>
      </c>
      <c r="H497" s="1">
        <f t="shared" si="98"/>
        <v>37</v>
      </c>
      <c r="I497" s="1" t="str">
        <f t="shared" si="96"/>
        <v>='C:\Users\jaime.benazar\Quorum Business Solutions\Ecopetrol Prometeo - Documents\Planning Space Implementation\3. Analysis &amp; Design\Design\FC22\DRR Jaime\QUIFA-CAJÚA\Cajua\[VAS_CAJUA_CF_SEC_20230125.xlsx]CF PND'!$BT$37</v>
      </c>
      <c r="J497" s="1" t="s">
        <v>389</v>
      </c>
    </row>
    <row r="498" spans="1:10" x14ac:dyDescent="0.25">
      <c r="A498" s="6" t="s">
        <v>3</v>
      </c>
      <c r="B498" s="6">
        <f t="shared" ref="B498:B509" si="114">+B497+1</f>
        <v>2025</v>
      </c>
      <c r="C498" s="1" t="s">
        <v>8</v>
      </c>
      <c r="D498" s="2" t="s">
        <v>128</v>
      </c>
      <c r="E498" s="9" t="str">
        <f t="shared" si="95"/>
        <v>PND'!</v>
      </c>
      <c r="F498" s="5" t="str">
        <f t="shared" si="88"/>
        <v>C:\Users\jaime.benazar\Quorum Business Solutions\Ecopetrol Prometeo - Documents\Planning Space Implementation\3. Analysis &amp; Design\Design\FC22\DRR Jaime\QUIFA-CAJÚA\Cajua\[VAS_CAJUA_CF_SEC_20230125.xlsx]CF PND'!</v>
      </c>
      <c r="G498" s="6" t="s">
        <v>36</v>
      </c>
      <c r="H498" s="1">
        <f t="shared" si="98"/>
        <v>38</v>
      </c>
      <c r="I498" s="1" t="str">
        <f t="shared" si="96"/>
        <v>='C:\Users\jaime.benazar\Quorum Business Solutions\Ecopetrol Prometeo - Documents\Planning Space Implementation\3. Analysis &amp; Design\Design\FC22\DRR Jaime\QUIFA-CAJÚA\Cajua\[VAS_CAJUA_CF_SEC_20230125.xlsx]CF PND'!$BT$38</v>
      </c>
      <c r="J498" s="1" t="s">
        <v>390</v>
      </c>
    </row>
    <row r="499" spans="1:10" x14ac:dyDescent="0.25">
      <c r="A499" s="6" t="s">
        <v>3</v>
      </c>
      <c r="B499" s="6">
        <f t="shared" si="114"/>
        <v>2026</v>
      </c>
      <c r="C499" s="1" t="s">
        <v>8</v>
      </c>
      <c r="D499" s="2" t="s">
        <v>128</v>
      </c>
      <c r="E499" s="9" t="str">
        <f t="shared" si="95"/>
        <v>PND'!</v>
      </c>
      <c r="F499" s="5" t="str">
        <f t="shared" si="88"/>
        <v>C:\Users\jaime.benazar\Quorum Business Solutions\Ecopetrol Prometeo - Documents\Planning Space Implementation\3. Analysis &amp; Design\Design\FC22\DRR Jaime\QUIFA-CAJÚA\Cajua\[VAS_CAJUA_CF_SEC_20230125.xlsx]CF PND'!</v>
      </c>
      <c r="G499" s="6" t="s">
        <v>36</v>
      </c>
      <c r="H499" s="1">
        <f t="shared" si="98"/>
        <v>39</v>
      </c>
      <c r="I499" s="1" t="str">
        <f t="shared" si="96"/>
        <v>='C:\Users\jaime.benazar\Quorum Business Solutions\Ecopetrol Prometeo - Documents\Planning Space Implementation\3. Analysis &amp; Design\Design\FC22\DRR Jaime\QUIFA-CAJÚA\Cajua\[VAS_CAJUA_CF_SEC_20230125.xlsx]CF PND'!$BT$39</v>
      </c>
      <c r="J499" s="1" t="s">
        <v>391</v>
      </c>
    </row>
    <row r="500" spans="1:10" x14ac:dyDescent="0.25">
      <c r="A500" s="6" t="s">
        <v>3</v>
      </c>
      <c r="B500" s="6">
        <f t="shared" si="114"/>
        <v>2027</v>
      </c>
      <c r="C500" s="1" t="s">
        <v>8</v>
      </c>
      <c r="D500" s="2" t="s">
        <v>128</v>
      </c>
      <c r="E500" s="9" t="str">
        <f t="shared" si="95"/>
        <v>PND'!</v>
      </c>
      <c r="F500" s="5" t="str">
        <f t="shared" si="88"/>
        <v>C:\Users\jaime.benazar\Quorum Business Solutions\Ecopetrol Prometeo - Documents\Planning Space Implementation\3. Analysis &amp; Design\Design\FC22\DRR Jaime\QUIFA-CAJÚA\Cajua\[VAS_CAJUA_CF_SEC_20230125.xlsx]CF PND'!</v>
      </c>
      <c r="G500" s="6" t="s">
        <v>36</v>
      </c>
      <c r="H500" s="1">
        <f t="shared" si="98"/>
        <v>40</v>
      </c>
      <c r="I500" s="1" t="str">
        <f t="shared" si="96"/>
        <v>='C:\Users\jaime.benazar\Quorum Business Solutions\Ecopetrol Prometeo - Documents\Planning Space Implementation\3. Analysis &amp; Design\Design\FC22\DRR Jaime\QUIFA-CAJÚA\Cajua\[VAS_CAJUA_CF_SEC_20230125.xlsx]CF PND'!$BT$40</v>
      </c>
      <c r="J500" s="1" t="s">
        <v>392</v>
      </c>
    </row>
    <row r="501" spans="1:10" x14ac:dyDescent="0.25">
      <c r="A501" s="6" t="s">
        <v>3</v>
      </c>
      <c r="B501" s="6">
        <f t="shared" si="114"/>
        <v>2028</v>
      </c>
      <c r="C501" s="1" t="s">
        <v>8</v>
      </c>
      <c r="D501" s="2" t="s">
        <v>128</v>
      </c>
      <c r="E501" s="9" t="str">
        <f t="shared" si="95"/>
        <v>PND'!</v>
      </c>
      <c r="F501" s="5" t="str">
        <f t="shared" si="88"/>
        <v>C:\Users\jaime.benazar\Quorum Business Solutions\Ecopetrol Prometeo - Documents\Planning Space Implementation\3. Analysis &amp; Design\Design\FC22\DRR Jaime\QUIFA-CAJÚA\Cajua\[VAS_CAJUA_CF_SEC_20230125.xlsx]CF PND'!</v>
      </c>
      <c r="G501" s="6" t="s">
        <v>36</v>
      </c>
      <c r="H501" s="1">
        <f t="shared" si="98"/>
        <v>41</v>
      </c>
      <c r="I501" s="1" t="str">
        <f t="shared" si="96"/>
        <v>='C:\Users\jaime.benazar\Quorum Business Solutions\Ecopetrol Prometeo - Documents\Planning Space Implementation\3. Analysis &amp; Design\Design\FC22\DRR Jaime\QUIFA-CAJÚA\Cajua\[VAS_CAJUA_CF_SEC_20230125.xlsx]CF PND'!$BT$41</v>
      </c>
      <c r="J501" s="1" t="s">
        <v>393</v>
      </c>
    </row>
    <row r="502" spans="1:10" x14ac:dyDescent="0.25">
      <c r="A502" s="6" t="s">
        <v>3</v>
      </c>
      <c r="B502" s="6">
        <f t="shared" si="114"/>
        <v>2029</v>
      </c>
      <c r="C502" s="1" t="s">
        <v>8</v>
      </c>
      <c r="D502" s="2" t="s">
        <v>128</v>
      </c>
      <c r="E502" s="9" t="str">
        <f t="shared" si="95"/>
        <v>PND'!</v>
      </c>
      <c r="F502" s="5" t="str">
        <f t="shared" si="88"/>
        <v>C:\Users\jaime.benazar\Quorum Business Solutions\Ecopetrol Prometeo - Documents\Planning Space Implementation\3. Analysis &amp; Design\Design\FC22\DRR Jaime\QUIFA-CAJÚA\Cajua\[VAS_CAJUA_CF_SEC_20230125.xlsx]CF PND'!</v>
      </c>
      <c r="G502" s="6" t="s">
        <v>36</v>
      </c>
      <c r="H502" s="1">
        <f t="shared" si="98"/>
        <v>42</v>
      </c>
      <c r="I502" s="1" t="str">
        <f t="shared" si="96"/>
        <v>='C:\Users\jaime.benazar\Quorum Business Solutions\Ecopetrol Prometeo - Documents\Planning Space Implementation\3. Analysis &amp; Design\Design\FC22\DRR Jaime\QUIFA-CAJÚA\Cajua\[VAS_CAJUA_CF_SEC_20230125.xlsx]CF PND'!$BT$42</v>
      </c>
      <c r="J502" s="1" t="s">
        <v>394</v>
      </c>
    </row>
    <row r="503" spans="1:10" x14ac:dyDescent="0.25">
      <c r="A503" s="6" t="s">
        <v>3</v>
      </c>
      <c r="B503" s="6">
        <f t="shared" si="114"/>
        <v>2030</v>
      </c>
      <c r="C503" s="1" t="s">
        <v>8</v>
      </c>
      <c r="D503" s="2" t="s">
        <v>128</v>
      </c>
      <c r="E503" s="9" t="str">
        <f t="shared" si="95"/>
        <v>PND'!</v>
      </c>
      <c r="F503" s="5" t="str">
        <f t="shared" si="88"/>
        <v>C:\Users\jaime.benazar\Quorum Business Solutions\Ecopetrol Prometeo - Documents\Planning Space Implementation\3. Analysis &amp; Design\Design\FC22\DRR Jaime\QUIFA-CAJÚA\Cajua\[VAS_CAJUA_CF_SEC_20230125.xlsx]CF PND'!</v>
      </c>
      <c r="G503" s="6" t="s">
        <v>36</v>
      </c>
      <c r="H503" s="1">
        <f t="shared" si="98"/>
        <v>43</v>
      </c>
      <c r="I503" s="1" t="str">
        <f t="shared" si="96"/>
        <v>='C:\Users\jaime.benazar\Quorum Business Solutions\Ecopetrol Prometeo - Documents\Planning Space Implementation\3. Analysis &amp; Design\Design\FC22\DRR Jaime\QUIFA-CAJÚA\Cajua\[VAS_CAJUA_CF_SEC_20230125.xlsx]CF PND'!$BT$43</v>
      </c>
      <c r="J503" s="1" t="s">
        <v>395</v>
      </c>
    </row>
    <row r="504" spans="1:10" x14ac:dyDescent="0.25">
      <c r="A504" s="6" t="s">
        <v>3</v>
      </c>
      <c r="B504" s="6">
        <f t="shared" si="114"/>
        <v>2031</v>
      </c>
      <c r="C504" s="1" t="s">
        <v>8</v>
      </c>
      <c r="D504" s="2" t="s">
        <v>128</v>
      </c>
      <c r="E504" s="9" t="str">
        <f t="shared" si="95"/>
        <v>PND'!</v>
      </c>
      <c r="F504" s="5" t="str">
        <f t="shared" si="88"/>
        <v>C:\Users\jaime.benazar\Quorum Business Solutions\Ecopetrol Prometeo - Documents\Planning Space Implementation\3. Analysis &amp; Design\Design\FC22\DRR Jaime\QUIFA-CAJÚA\Cajua\[VAS_CAJUA_CF_SEC_20230125.xlsx]CF PND'!</v>
      </c>
      <c r="G504" s="6" t="s">
        <v>36</v>
      </c>
      <c r="H504" s="1">
        <f t="shared" si="98"/>
        <v>44</v>
      </c>
      <c r="I504" s="1" t="str">
        <f t="shared" si="96"/>
        <v>='C:\Users\jaime.benazar\Quorum Business Solutions\Ecopetrol Prometeo - Documents\Planning Space Implementation\3. Analysis &amp; Design\Design\FC22\DRR Jaime\QUIFA-CAJÚA\Cajua\[VAS_CAJUA_CF_SEC_20230125.xlsx]CF PND'!$BT$44</v>
      </c>
      <c r="J504" s="1" t="s">
        <v>396</v>
      </c>
    </row>
    <row r="505" spans="1:10" x14ac:dyDescent="0.25">
      <c r="A505" s="6" t="s">
        <v>3</v>
      </c>
      <c r="B505" s="6">
        <f t="shared" si="114"/>
        <v>2032</v>
      </c>
      <c r="C505" s="1" t="s">
        <v>8</v>
      </c>
      <c r="D505" s="2" t="s">
        <v>128</v>
      </c>
      <c r="E505" s="9" t="str">
        <f t="shared" si="95"/>
        <v>PND'!</v>
      </c>
      <c r="F505" s="5" t="str">
        <f t="shared" ref="F505:F516" si="115">_xlfn.CONCAT(D505," ",E505)</f>
        <v>C:\Users\jaime.benazar\Quorum Business Solutions\Ecopetrol Prometeo - Documents\Planning Space Implementation\3. Analysis &amp; Design\Design\FC22\DRR Jaime\QUIFA-CAJÚA\Cajua\[VAS_CAJUA_CF_SEC_20230125.xlsx]CF PND'!</v>
      </c>
      <c r="G505" s="6" t="s">
        <v>36</v>
      </c>
      <c r="H505" s="1">
        <f t="shared" si="98"/>
        <v>45</v>
      </c>
      <c r="I505" s="1" t="str">
        <f t="shared" si="96"/>
        <v>='C:\Users\jaime.benazar\Quorum Business Solutions\Ecopetrol Prometeo - Documents\Planning Space Implementation\3. Analysis &amp; Design\Design\FC22\DRR Jaime\QUIFA-CAJÚA\Cajua\[VAS_CAJUA_CF_SEC_20230125.xlsx]CF PND'!$BT$45</v>
      </c>
      <c r="J505" s="1" t="s">
        <v>397</v>
      </c>
    </row>
    <row r="506" spans="1:10" x14ac:dyDescent="0.25">
      <c r="A506" s="6" t="s">
        <v>3</v>
      </c>
      <c r="B506" s="6">
        <f t="shared" si="114"/>
        <v>2033</v>
      </c>
      <c r="C506" s="1" t="s">
        <v>8</v>
      </c>
      <c r="D506" s="2" t="s">
        <v>128</v>
      </c>
      <c r="E506" s="9" t="str">
        <f t="shared" si="95"/>
        <v>PND'!</v>
      </c>
      <c r="F506" s="5" t="str">
        <f t="shared" si="115"/>
        <v>C:\Users\jaime.benazar\Quorum Business Solutions\Ecopetrol Prometeo - Documents\Planning Space Implementation\3. Analysis &amp; Design\Design\FC22\DRR Jaime\QUIFA-CAJÚA\Cajua\[VAS_CAJUA_CF_SEC_20230125.xlsx]CF PND'!</v>
      </c>
      <c r="G506" s="6" t="s">
        <v>36</v>
      </c>
      <c r="H506" s="1">
        <f t="shared" si="98"/>
        <v>46</v>
      </c>
      <c r="I506" s="1" t="str">
        <f t="shared" si="96"/>
        <v>='C:\Users\jaime.benazar\Quorum Business Solutions\Ecopetrol Prometeo - Documents\Planning Space Implementation\3. Analysis &amp; Design\Design\FC22\DRR Jaime\QUIFA-CAJÚA\Cajua\[VAS_CAJUA_CF_SEC_20230125.xlsx]CF PND'!$BT$46</v>
      </c>
      <c r="J506" s="1" t="s">
        <v>398</v>
      </c>
    </row>
    <row r="507" spans="1:10" x14ac:dyDescent="0.25">
      <c r="A507" s="6" t="s">
        <v>3</v>
      </c>
      <c r="B507" s="6">
        <f t="shared" si="114"/>
        <v>2034</v>
      </c>
      <c r="C507" s="1" t="s">
        <v>8</v>
      </c>
      <c r="D507" s="2" t="s">
        <v>128</v>
      </c>
      <c r="E507" s="9" t="str">
        <f t="shared" si="95"/>
        <v>PND'!</v>
      </c>
      <c r="F507" s="5" t="str">
        <f t="shared" si="115"/>
        <v>C:\Users\jaime.benazar\Quorum Business Solutions\Ecopetrol Prometeo - Documents\Planning Space Implementation\3. Analysis &amp; Design\Design\FC22\DRR Jaime\QUIFA-CAJÚA\Cajua\[VAS_CAJUA_CF_SEC_20230125.xlsx]CF PND'!</v>
      </c>
      <c r="G507" s="6" t="s">
        <v>36</v>
      </c>
      <c r="H507" s="1">
        <f t="shared" si="98"/>
        <v>47</v>
      </c>
      <c r="I507" s="1" t="str">
        <f t="shared" si="96"/>
        <v>='C:\Users\jaime.benazar\Quorum Business Solutions\Ecopetrol Prometeo - Documents\Planning Space Implementation\3. Analysis &amp; Design\Design\FC22\DRR Jaime\QUIFA-CAJÚA\Cajua\[VAS_CAJUA_CF_SEC_20230125.xlsx]CF PND'!$BT$47</v>
      </c>
      <c r="J507" s="1" t="s">
        <v>399</v>
      </c>
    </row>
    <row r="508" spans="1:10" x14ac:dyDescent="0.25">
      <c r="A508" s="6" t="s">
        <v>3</v>
      </c>
      <c r="B508" s="6">
        <f t="shared" si="114"/>
        <v>2035</v>
      </c>
      <c r="C508" s="1" t="s">
        <v>8</v>
      </c>
      <c r="D508" s="2" t="s">
        <v>128</v>
      </c>
      <c r="E508" s="9" t="str">
        <f t="shared" si="95"/>
        <v>PND'!</v>
      </c>
      <c r="F508" s="5" t="str">
        <f t="shared" si="115"/>
        <v>C:\Users\jaime.benazar\Quorum Business Solutions\Ecopetrol Prometeo - Documents\Planning Space Implementation\3. Analysis &amp; Design\Design\FC22\DRR Jaime\QUIFA-CAJÚA\Cajua\[VAS_CAJUA_CF_SEC_20230125.xlsx]CF PND'!</v>
      </c>
      <c r="G508" s="6" t="s">
        <v>36</v>
      </c>
      <c r="H508" s="1">
        <f t="shared" si="98"/>
        <v>48</v>
      </c>
      <c r="I508" s="1" t="str">
        <f t="shared" si="96"/>
        <v>='C:\Users\jaime.benazar\Quorum Business Solutions\Ecopetrol Prometeo - Documents\Planning Space Implementation\3. Analysis &amp; Design\Design\FC22\DRR Jaime\QUIFA-CAJÚA\Cajua\[VAS_CAJUA_CF_SEC_20230125.xlsx]CF PND'!$BT$48</v>
      </c>
      <c r="J508" s="1" t="s">
        <v>400</v>
      </c>
    </row>
    <row r="509" spans="1:10" x14ac:dyDescent="0.25">
      <c r="A509" s="6" t="s">
        <v>3</v>
      </c>
      <c r="B509" s="6">
        <f t="shared" si="114"/>
        <v>2036</v>
      </c>
      <c r="C509" s="1" t="s">
        <v>8</v>
      </c>
      <c r="D509" s="2" t="s">
        <v>128</v>
      </c>
      <c r="E509" s="9" t="str">
        <f t="shared" si="95"/>
        <v>PND'!</v>
      </c>
      <c r="F509" s="5" t="str">
        <f t="shared" si="115"/>
        <v>C:\Users\jaime.benazar\Quorum Business Solutions\Ecopetrol Prometeo - Documents\Planning Space Implementation\3. Analysis &amp; Design\Design\FC22\DRR Jaime\QUIFA-CAJÚA\Cajua\[VAS_CAJUA_CF_SEC_20230125.xlsx]CF PND'!</v>
      </c>
      <c r="G509" s="6" t="s">
        <v>36</v>
      </c>
      <c r="H509" s="1">
        <f t="shared" si="98"/>
        <v>49</v>
      </c>
      <c r="I509" s="1" t="str">
        <f t="shared" si="96"/>
        <v>='C:\Users\jaime.benazar\Quorum Business Solutions\Ecopetrol Prometeo - Documents\Planning Space Implementation\3. Analysis &amp; Design\Design\FC22\DRR Jaime\QUIFA-CAJÚA\Cajua\[VAS_CAJUA_CF_SEC_20230125.xlsx]CF PND'!$BT$49</v>
      </c>
      <c r="J509" s="1" t="s">
        <v>401</v>
      </c>
    </row>
    <row r="510" spans="1:10" x14ac:dyDescent="0.25">
      <c r="A510" s="6" t="s">
        <v>3</v>
      </c>
      <c r="B510" s="6">
        <f>+B509+1</f>
        <v>2037</v>
      </c>
      <c r="C510" s="1" t="s">
        <v>8</v>
      </c>
      <c r="D510" s="2" t="s">
        <v>128</v>
      </c>
      <c r="E510" s="9" t="str">
        <f t="shared" si="95"/>
        <v>PND'!</v>
      </c>
      <c r="F510" s="5" t="str">
        <f t="shared" si="115"/>
        <v>C:\Users\jaime.benazar\Quorum Business Solutions\Ecopetrol Prometeo - Documents\Planning Space Implementation\3. Analysis &amp; Design\Design\FC22\DRR Jaime\QUIFA-CAJÚA\Cajua\[VAS_CAJUA_CF_SEC_20230125.xlsx]CF PND'!</v>
      </c>
      <c r="G510" s="6" t="s">
        <v>36</v>
      </c>
      <c r="H510" s="1">
        <f t="shared" si="98"/>
        <v>50</v>
      </c>
      <c r="I510" s="1" t="str">
        <f t="shared" si="96"/>
        <v>='C:\Users\jaime.benazar\Quorum Business Solutions\Ecopetrol Prometeo - Documents\Planning Space Implementation\3. Analysis &amp; Design\Design\FC22\DRR Jaime\QUIFA-CAJÚA\Cajua\[VAS_CAJUA_CF_SEC_20230125.xlsx]CF PND'!$BT$50</v>
      </c>
      <c r="J510" s="1" t="s">
        <v>402</v>
      </c>
    </row>
    <row r="511" spans="1:10" x14ac:dyDescent="0.25">
      <c r="A511" s="6" t="s">
        <v>3</v>
      </c>
      <c r="B511" s="6">
        <f t="shared" ref="B511:B513" si="116">+B510+1</f>
        <v>2038</v>
      </c>
      <c r="C511" s="1" t="s">
        <v>8</v>
      </c>
      <c r="D511" s="2" t="s">
        <v>128</v>
      </c>
      <c r="E511" s="9" t="str">
        <f t="shared" si="95"/>
        <v>PND'!</v>
      </c>
      <c r="F511" s="5" t="str">
        <f t="shared" si="115"/>
        <v>C:\Users\jaime.benazar\Quorum Business Solutions\Ecopetrol Prometeo - Documents\Planning Space Implementation\3. Analysis &amp; Design\Design\FC22\DRR Jaime\QUIFA-CAJÚA\Cajua\[VAS_CAJUA_CF_SEC_20230125.xlsx]CF PND'!</v>
      </c>
      <c r="G511" s="6" t="s">
        <v>36</v>
      </c>
      <c r="H511" s="1">
        <f t="shared" si="98"/>
        <v>51</v>
      </c>
      <c r="I511" s="1" t="str">
        <f t="shared" si="96"/>
        <v>='C:\Users\jaime.benazar\Quorum Business Solutions\Ecopetrol Prometeo - Documents\Planning Space Implementation\3. Analysis &amp; Design\Design\FC22\DRR Jaime\QUIFA-CAJÚA\Cajua\[VAS_CAJUA_CF_SEC_20230125.xlsx]CF PND'!$BT$51</v>
      </c>
      <c r="J511" s="1" t="s">
        <v>403</v>
      </c>
    </row>
    <row r="512" spans="1:10" x14ac:dyDescent="0.25">
      <c r="A512" s="6" t="s">
        <v>3</v>
      </c>
      <c r="B512" s="6">
        <f t="shared" si="116"/>
        <v>2039</v>
      </c>
      <c r="C512" s="1" t="s">
        <v>8</v>
      </c>
      <c r="D512" s="2" t="s">
        <v>128</v>
      </c>
      <c r="E512" s="9" t="str">
        <f t="shared" si="95"/>
        <v>PND'!</v>
      </c>
      <c r="F512" s="5" t="str">
        <f t="shared" si="115"/>
        <v>C:\Users\jaime.benazar\Quorum Business Solutions\Ecopetrol Prometeo - Documents\Planning Space Implementation\3. Analysis &amp; Design\Design\FC22\DRR Jaime\QUIFA-CAJÚA\Cajua\[VAS_CAJUA_CF_SEC_20230125.xlsx]CF PND'!</v>
      </c>
      <c r="G512" s="6" t="s">
        <v>36</v>
      </c>
      <c r="H512" s="1">
        <f t="shared" si="98"/>
        <v>52</v>
      </c>
      <c r="I512" s="1" t="str">
        <f t="shared" si="96"/>
        <v>='C:\Users\jaime.benazar\Quorum Business Solutions\Ecopetrol Prometeo - Documents\Planning Space Implementation\3. Analysis &amp; Design\Design\FC22\DRR Jaime\QUIFA-CAJÚA\Cajua\[VAS_CAJUA_CF_SEC_20230125.xlsx]CF PND'!$BT$52</v>
      </c>
      <c r="J512" s="1" t="s">
        <v>404</v>
      </c>
    </row>
    <row r="513" spans="1:10" x14ac:dyDescent="0.25">
      <c r="A513" s="6" t="s">
        <v>3</v>
      </c>
      <c r="B513" s="6">
        <f t="shared" si="116"/>
        <v>2040</v>
      </c>
      <c r="C513" s="1" t="s">
        <v>8</v>
      </c>
      <c r="D513" s="2" t="s">
        <v>128</v>
      </c>
      <c r="E513" s="9" t="str">
        <f t="shared" si="95"/>
        <v>PND'!</v>
      </c>
      <c r="F513" s="5" t="str">
        <f t="shared" si="115"/>
        <v>C:\Users\jaime.benazar\Quorum Business Solutions\Ecopetrol Prometeo - Documents\Planning Space Implementation\3. Analysis &amp; Design\Design\FC22\DRR Jaime\QUIFA-CAJÚA\Cajua\[VAS_CAJUA_CF_SEC_20230125.xlsx]CF PND'!</v>
      </c>
      <c r="G513" s="6" t="s">
        <v>36</v>
      </c>
      <c r="H513" s="1">
        <f t="shared" si="98"/>
        <v>53</v>
      </c>
      <c r="I513" s="1" t="str">
        <f t="shared" si="96"/>
        <v>='C:\Users\jaime.benazar\Quorum Business Solutions\Ecopetrol Prometeo - Documents\Planning Space Implementation\3. Analysis &amp; Design\Design\FC22\DRR Jaime\QUIFA-CAJÚA\Cajua\[VAS_CAJUA_CF_SEC_20230125.xlsx]CF PND'!$BT$53</v>
      </c>
      <c r="J513" s="1" t="s">
        <v>405</v>
      </c>
    </row>
    <row r="514" spans="1:10" x14ac:dyDescent="0.25">
      <c r="A514" s="6" t="s">
        <v>3</v>
      </c>
      <c r="B514" s="6">
        <f>+B513+1</f>
        <v>2041</v>
      </c>
      <c r="C514" s="1" t="s">
        <v>8</v>
      </c>
      <c r="D514" s="2" t="s">
        <v>128</v>
      </c>
      <c r="E514" s="9" t="str">
        <f t="shared" si="95"/>
        <v>PND'!</v>
      </c>
      <c r="F514" s="5" t="str">
        <f t="shared" si="115"/>
        <v>C:\Users\jaime.benazar\Quorum Business Solutions\Ecopetrol Prometeo - Documents\Planning Space Implementation\3. Analysis &amp; Design\Design\FC22\DRR Jaime\QUIFA-CAJÚA\Cajua\[VAS_CAJUA_CF_SEC_20230125.xlsx]CF PND'!</v>
      </c>
      <c r="G514" s="6" t="s">
        <v>36</v>
      </c>
      <c r="H514" s="1">
        <f t="shared" si="98"/>
        <v>54</v>
      </c>
      <c r="I514" s="1" t="str">
        <f t="shared" si="96"/>
        <v>='C:\Users\jaime.benazar\Quorum Business Solutions\Ecopetrol Prometeo - Documents\Planning Space Implementation\3. Analysis &amp; Design\Design\FC22\DRR Jaime\QUIFA-CAJÚA\Cajua\[VAS_CAJUA_CF_SEC_20230125.xlsx]CF PND'!$BT$54</v>
      </c>
      <c r="J514" s="1" t="s">
        <v>406</v>
      </c>
    </row>
    <row r="515" spans="1:10" x14ac:dyDescent="0.25">
      <c r="A515" s="6" t="s">
        <v>3</v>
      </c>
      <c r="B515" s="6">
        <f t="shared" ref="B515:B516" si="117">+B514+1</f>
        <v>2042</v>
      </c>
      <c r="C515" s="1" t="s">
        <v>8</v>
      </c>
      <c r="D515" s="2" t="s">
        <v>128</v>
      </c>
      <c r="E515" s="9" t="str">
        <f t="shared" ref="E515:E820" si="118">_xlfn.CONCAT(A515,"'!")</f>
        <v>PND'!</v>
      </c>
      <c r="F515" s="5" t="str">
        <f t="shared" si="115"/>
        <v>C:\Users\jaime.benazar\Quorum Business Solutions\Ecopetrol Prometeo - Documents\Planning Space Implementation\3. Analysis &amp; Design\Design\FC22\DRR Jaime\QUIFA-CAJÚA\Cajua\[VAS_CAJUA_CF_SEC_20230125.xlsx]CF PND'!</v>
      </c>
      <c r="G515" s="6" t="s">
        <v>36</v>
      </c>
      <c r="H515" s="1">
        <f t="shared" si="98"/>
        <v>55</v>
      </c>
      <c r="I515" s="1" t="str">
        <f t="shared" ref="I515:I820" si="119">_xlfn.CONCAT("='",F515:H515)</f>
        <v>='C:\Users\jaime.benazar\Quorum Business Solutions\Ecopetrol Prometeo - Documents\Planning Space Implementation\3. Analysis &amp; Design\Design\FC22\DRR Jaime\QUIFA-CAJÚA\Cajua\[VAS_CAJUA_CF_SEC_20230125.xlsx]CF PND'!$BT$55</v>
      </c>
      <c r="J515" s="1" t="s">
        <v>407</v>
      </c>
    </row>
    <row r="516" spans="1:10" x14ac:dyDescent="0.25">
      <c r="A516" s="6" t="s">
        <v>3</v>
      </c>
      <c r="B516" s="6">
        <f t="shared" si="117"/>
        <v>2043</v>
      </c>
      <c r="C516" s="1" t="s">
        <v>8</v>
      </c>
      <c r="D516" s="2" t="s">
        <v>128</v>
      </c>
      <c r="E516" s="9" t="str">
        <f t="shared" si="118"/>
        <v>PND'!</v>
      </c>
      <c r="F516" s="5" t="str">
        <f t="shared" si="115"/>
        <v>C:\Users\jaime.benazar\Quorum Business Solutions\Ecopetrol Prometeo - Documents\Planning Space Implementation\3. Analysis &amp; Design\Design\FC22\DRR Jaime\QUIFA-CAJÚA\Cajua\[VAS_CAJUA_CF_SEC_20230125.xlsx]CF PND'!</v>
      </c>
      <c r="G516" s="6" t="s">
        <v>36</v>
      </c>
      <c r="H516" s="1">
        <f t="shared" ref="H516:H820" si="120">IF(A516&lt;&gt;A515,36,H515+1)</f>
        <v>56</v>
      </c>
      <c r="I516" s="1" t="str">
        <f t="shared" si="119"/>
        <v>='C:\Users\jaime.benazar\Quorum Business Solutions\Ecopetrol Prometeo - Documents\Planning Space Implementation\3. Analysis &amp; Design\Design\FC22\DRR Jaime\QUIFA-CAJÚA\Cajua\[VAS_CAJUA_CF_SEC_20230125.xlsx]CF PND'!$BT$56</v>
      </c>
      <c r="J516" s="1" t="s">
        <v>408</v>
      </c>
    </row>
    <row r="517" spans="1:10" x14ac:dyDescent="0.25">
      <c r="A517" s="6" t="s">
        <v>3</v>
      </c>
      <c r="B517" s="6">
        <f>+B516+1</f>
        <v>2044</v>
      </c>
      <c r="C517" s="1" t="s">
        <v>8</v>
      </c>
      <c r="D517" s="2" t="s">
        <v>128</v>
      </c>
      <c r="E517" s="9" t="str">
        <f t="shared" ref="E517:E532" si="121">_xlfn.CONCAT(A517,"'!")</f>
        <v>PND'!</v>
      </c>
      <c r="F517" s="5" t="str">
        <f t="shared" ref="F517:F532" si="122">_xlfn.CONCAT(D517," ",E517)</f>
        <v>C:\Users\jaime.benazar\Quorum Business Solutions\Ecopetrol Prometeo - Documents\Planning Space Implementation\3. Analysis &amp; Design\Design\FC22\DRR Jaime\QUIFA-CAJÚA\Cajua\[VAS_CAJUA_CF_SEC_20230125.xlsx]CF PND'!</v>
      </c>
      <c r="G517" s="6" t="s">
        <v>36</v>
      </c>
      <c r="H517" s="1">
        <f t="shared" ref="H517:H532" si="123">IF(A517&lt;&gt;A516,36,H516+1)</f>
        <v>57</v>
      </c>
      <c r="I517" s="1" t="str">
        <f t="shared" ref="I517:I532" si="124">_xlfn.CONCAT("='",F517:H517)</f>
        <v>='C:\Users\jaime.benazar\Quorum Business Solutions\Ecopetrol Prometeo - Documents\Planning Space Implementation\3. Analysis &amp; Design\Design\FC22\DRR Jaime\QUIFA-CAJÚA\Cajua\[VAS_CAJUA_CF_SEC_20230125.xlsx]CF PND'!$BT$57</v>
      </c>
      <c r="J517" s="1" t="s">
        <v>409</v>
      </c>
    </row>
    <row r="518" spans="1:10" x14ac:dyDescent="0.25">
      <c r="A518" s="6" t="s">
        <v>3</v>
      </c>
      <c r="B518" s="6">
        <f t="shared" ref="B518:B532" si="125">+B517+1</f>
        <v>2045</v>
      </c>
      <c r="C518" s="1" t="s">
        <v>8</v>
      </c>
      <c r="D518" s="2" t="s">
        <v>128</v>
      </c>
      <c r="E518" s="9" t="str">
        <f t="shared" si="121"/>
        <v>PND'!</v>
      </c>
      <c r="F518" s="5" t="str">
        <f t="shared" si="122"/>
        <v>C:\Users\jaime.benazar\Quorum Business Solutions\Ecopetrol Prometeo - Documents\Planning Space Implementation\3. Analysis &amp; Design\Design\FC22\DRR Jaime\QUIFA-CAJÚA\Cajua\[VAS_CAJUA_CF_SEC_20230125.xlsx]CF PND'!</v>
      </c>
      <c r="G518" s="6" t="s">
        <v>36</v>
      </c>
      <c r="H518" s="1">
        <f t="shared" si="123"/>
        <v>58</v>
      </c>
      <c r="I518" s="1" t="str">
        <f t="shared" si="124"/>
        <v>='C:\Users\jaime.benazar\Quorum Business Solutions\Ecopetrol Prometeo - Documents\Planning Space Implementation\3. Analysis &amp; Design\Design\FC22\DRR Jaime\QUIFA-CAJÚA\Cajua\[VAS_CAJUA_CF_SEC_20230125.xlsx]CF PND'!$BT$58</v>
      </c>
      <c r="J518" s="1" t="s">
        <v>410</v>
      </c>
    </row>
    <row r="519" spans="1:10" x14ac:dyDescent="0.25">
      <c r="A519" s="6" t="s">
        <v>3</v>
      </c>
      <c r="B519" s="6">
        <f t="shared" si="125"/>
        <v>2046</v>
      </c>
      <c r="C519" s="1" t="s">
        <v>8</v>
      </c>
      <c r="D519" s="2" t="s">
        <v>128</v>
      </c>
      <c r="E519" s="9" t="str">
        <f t="shared" si="121"/>
        <v>PND'!</v>
      </c>
      <c r="F519" s="5" t="str">
        <f t="shared" si="122"/>
        <v>C:\Users\jaime.benazar\Quorum Business Solutions\Ecopetrol Prometeo - Documents\Planning Space Implementation\3. Analysis &amp; Design\Design\FC22\DRR Jaime\QUIFA-CAJÚA\Cajua\[VAS_CAJUA_CF_SEC_20230125.xlsx]CF PND'!</v>
      </c>
      <c r="G519" s="6" t="s">
        <v>36</v>
      </c>
      <c r="H519" s="1">
        <f t="shared" si="123"/>
        <v>59</v>
      </c>
      <c r="I519" s="1" t="str">
        <f t="shared" si="124"/>
        <v>='C:\Users\jaime.benazar\Quorum Business Solutions\Ecopetrol Prometeo - Documents\Planning Space Implementation\3. Analysis &amp; Design\Design\FC22\DRR Jaime\QUIFA-CAJÚA\Cajua\[VAS_CAJUA_CF_SEC_20230125.xlsx]CF PND'!$BT$59</v>
      </c>
      <c r="J519" s="1" t="s">
        <v>411</v>
      </c>
    </row>
    <row r="520" spans="1:10" x14ac:dyDescent="0.25">
      <c r="A520" s="6" t="s">
        <v>3</v>
      </c>
      <c r="B520" s="6">
        <f t="shared" si="125"/>
        <v>2047</v>
      </c>
      <c r="C520" s="1" t="s">
        <v>8</v>
      </c>
      <c r="D520" s="2" t="s">
        <v>128</v>
      </c>
      <c r="E520" s="9" t="str">
        <f t="shared" si="121"/>
        <v>PND'!</v>
      </c>
      <c r="F520" s="5" t="str">
        <f t="shared" si="122"/>
        <v>C:\Users\jaime.benazar\Quorum Business Solutions\Ecopetrol Prometeo - Documents\Planning Space Implementation\3. Analysis &amp; Design\Design\FC22\DRR Jaime\QUIFA-CAJÚA\Cajua\[VAS_CAJUA_CF_SEC_20230125.xlsx]CF PND'!</v>
      </c>
      <c r="G520" s="6" t="s">
        <v>36</v>
      </c>
      <c r="H520" s="1">
        <f t="shared" si="123"/>
        <v>60</v>
      </c>
      <c r="I520" s="1" t="str">
        <f t="shared" si="124"/>
        <v>='C:\Users\jaime.benazar\Quorum Business Solutions\Ecopetrol Prometeo - Documents\Planning Space Implementation\3. Analysis &amp; Design\Design\FC22\DRR Jaime\QUIFA-CAJÚA\Cajua\[VAS_CAJUA_CF_SEC_20230125.xlsx]CF PND'!$BT$60</v>
      </c>
      <c r="J520" s="1" t="s">
        <v>412</v>
      </c>
    </row>
    <row r="521" spans="1:10" x14ac:dyDescent="0.25">
      <c r="A521" s="6" t="s">
        <v>3</v>
      </c>
      <c r="B521" s="6">
        <f t="shared" si="125"/>
        <v>2048</v>
      </c>
      <c r="C521" s="1" t="s">
        <v>8</v>
      </c>
      <c r="D521" s="2" t="s">
        <v>128</v>
      </c>
      <c r="E521" s="9" t="str">
        <f t="shared" si="121"/>
        <v>PND'!</v>
      </c>
      <c r="F521" s="5" t="str">
        <f t="shared" si="122"/>
        <v>C:\Users\jaime.benazar\Quorum Business Solutions\Ecopetrol Prometeo - Documents\Planning Space Implementation\3. Analysis &amp; Design\Design\FC22\DRR Jaime\QUIFA-CAJÚA\Cajua\[VAS_CAJUA_CF_SEC_20230125.xlsx]CF PND'!</v>
      </c>
      <c r="G521" s="6" t="s">
        <v>36</v>
      </c>
      <c r="H521" s="1">
        <f t="shared" si="123"/>
        <v>61</v>
      </c>
      <c r="I521" s="1" t="str">
        <f t="shared" si="124"/>
        <v>='C:\Users\jaime.benazar\Quorum Business Solutions\Ecopetrol Prometeo - Documents\Planning Space Implementation\3. Analysis &amp; Design\Design\FC22\DRR Jaime\QUIFA-CAJÚA\Cajua\[VAS_CAJUA_CF_SEC_20230125.xlsx]CF PND'!$BT$61</v>
      </c>
      <c r="J521" s="1" t="s">
        <v>413</v>
      </c>
    </row>
    <row r="522" spans="1:10" x14ac:dyDescent="0.25">
      <c r="A522" s="6" t="s">
        <v>3</v>
      </c>
      <c r="B522" s="6">
        <f t="shared" si="125"/>
        <v>2049</v>
      </c>
      <c r="C522" s="1" t="s">
        <v>8</v>
      </c>
      <c r="D522" s="2" t="s">
        <v>128</v>
      </c>
      <c r="E522" s="9" t="str">
        <f t="shared" si="121"/>
        <v>PND'!</v>
      </c>
      <c r="F522" s="5" t="str">
        <f t="shared" si="122"/>
        <v>C:\Users\jaime.benazar\Quorum Business Solutions\Ecopetrol Prometeo - Documents\Planning Space Implementation\3. Analysis &amp; Design\Design\FC22\DRR Jaime\QUIFA-CAJÚA\Cajua\[VAS_CAJUA_CF_SEC_20230125.xlsx]CF PND'!</v>
      </c>
      <c r="G522" s="6" t="s">
        <v>36</v>
      </c>
      <c r="H522" s="1">
        <f t="shared" si="123"/>
        <v>62</v>
      </c>
      <c r="I522" s="1" t="str">
        <f t="shared" si="124"/>
        <v>='C:\Users\jaime.benazar\Quorum Business Solutions\Ecopetrol Prometeo - Documents\Planning Space Implementation\3. Analysis &amp; Design\Design\FC22\DRR Jaime\QUIFA-CAJÚA\Cajua\[VAS_CAJUA_CF_SEC_20230125.xlsx]CF PND'!$BT$62</v>
      </c>
      <c r="J522" s="1" t="s">
        <v>414</v>
      </c>
    </row>
    <row r="523" spans="1:10" x14ac:dyDescent="0.25">
      <c r="A523" s="6" t="s">
        <v>3</v>
      </c>
      <c r="B523" s="6">
        <f t="shared" si="125"/>
        <v>2050</v>
      </c>
      <c r="C523" s="1" t="s">
        <v>8</v>
      </c>
      <c r="D523" s="2" t="s">
        <v>128</v>
      </c>
      <c r="E523" s="9" t="str">
        <f t="shared" si="121"/>
        <v>PND'!</v>
      </c>
      <c r="F523" s="5" t="str">
        <f t="shared" si="122"/>
        <v>C:\Users\jaime.benazar\Quorum Business Solutions\Ecopetrol Prometeo - Documents\Planning Space Implementation\3. Analysis &amp; Design\Design\FC22\DRR Jaime\QUIFA-CAJÚA\Cajua\[VAS_CAJUA_CF_SEC_20230125.xlsx]CF PND'!</v>
      </c>
      <c r="G523" s="6" t="s">
        <v>36</v>
      </c>
      <c r="H523" s="1">
        <f t="shared" si="123"/>
        <v>63</v>
      </c>
      <c r="I523" s="1" t="str">
        <f t="shared" si="124"/>
        <v>='C:\Users\jaime.benazar\Quorum Business Solutions\Ecopetrol Prometeo - Documents\Planning Space Implementation\3. Analysis &amp; Design\Design\FC22\DRR Jaime\QUIFA-CAJÚA\Cajua\[VAS_CAJUA_CF_SEC_20230125.xlsx]CF PND'!$BT$63</v>
      </c>
      <c r="J523" s="1" t="s">
        <v>415</v>
      </c>
    </row>
    <row r="524" spans="1:10" x14ac:dyDescent="0.25">
      <c r="A524" s="6" t="s">
        <v>3</v>
      </c>
      <c r="B524" s="6">
        <f t="shared" si="125"/>
        <v>2051</v>
      </c>
      <c r="C524" s="1" t="s">
        <v>8</v>
      </c>
      <c r="D524" s="2" t="s">
        <v>128</v>
      </c>
      <c r="E524" s="9" t="str">
        <f t="shared" si="121"/>
        <v>PND'!</v>
      </c>
      <c r="F524" s="5" t="str">
        <f t="shared" si="122"/>
        <v>C:\Users\jaime.benazar\Quorum Business Solutions\Ecopetrol Prometeo - Documents\Planning Space Implementation\3. Analysis &amp; Design\Design\FC22\DRR Jaime\QUIFA-CAJÚA\Cajua\[VAS_CAJUA_CF_SEC_20230125.xlsx]CF PND'!</v>
      </c>
      <c r="G524" s="6" t="s">
        <v>36</v>
      </c>
      <c r="H524" s="1">
        <f t="shared" si="123"/>
        <v>64</v>
      </c>
      <c r="I524" s="1" t="str">
        <f t="shared" si="124"/>
        <v>='C:\Users\jaime.benazar\Quorum Business Solutions\Ecopetrol Prometeo - Documents\Planning Space Implementation\3. Analysis &amp; Design\Design\FC22\DRR Jaime\QUIFA-CAJÚA\Cajua\[VAS_CAJUA_CF_SEC_20230125.xlsx]CF PND'!$BT$64</v>
      </c>
      <c r="J524" s="1" t="s">
        <v>416</v>
      </c>
    </row>
    <row r="525" spans="1:10" x14ac:dyDescent="0.25">
      <c r="A525" s="6" t="s">
        <v>3</v>
      </c>
      <c r="B525" s="6">
        <f t="shared" si="125"/>
        <v>2052</v>
      </c>
      <c r="C525" s="1" t="s">
        <v>8</v>
      </c>
      <c r="D525" s="2" t="s">
        <v>128</v>
      </c>
      <c r="E525" s="9" t="str">
        <f t="shared" si="121"/>
        <v>PND'!</v>
      </c>
      <c r="F525" s="5" t="str">
        <f t="shared" si="122"/>
        <v>C:\Users\jaime.benazar\Quorum Business Solutions\Ecopetrol Prometeo - Documents\Planning Space Implementation\3. Analysis &amp; Design\Design\FC22\DRR Jaime\QUIFA-CAJÚA\Cajua\[VAS_CAJUA_CF_SEC_20230125.xlsx]CF PND'!</v>
      </c>
      <c r="G525" s="6" t="s">
        <v>36</v>
      </c>
      <c r="H525" s="1">
        <f t="shared" si="123"/>
        <v>65</v>
      </c>
      <c r="I525" s="1" t="str">
        <f t="shared" si="124"/>
        <v>='C:\Users\jaime.benazar\Quorum Business Solutions\Ecopetrol Prometeo - Documents\Planning Space Implementation\3. Analysis &amp; Design\Design\FC22\DRR Jaime\QUIFA-CAJÚA\Cajua\[VAS_CAJUA_CF_SEC_20230125.xlsx]CF PND'!$BT$65</v>
      </c>
      <c r="J525" s="1" t="s">
        <v>417</v>
      </c>
    </row>
    <row r="526" spans="1:10" x14ac:dyDescent="0.25">
      <c r="A526" s="6" t="s">
        <v>3</v>
      </c>
      <c r="B526" s="6">
        <f t="shared" si="125"/>
        <v>2053</v>
      </c>
      <c r="C526" s="1" t="s">
        <v>8</v>
      </c>
      <c r="D526" s="2" t="s">
        <v>128</v>
      </c>
      <c r="E526" s="9" t="str">
        <f t="shared" si="121"/>
        <v>PND'!</v>
      </c>
      <c r="F526" s="5" t="str">
        <f t="shared" si="122"/>
        <v>C:\Users\jaime.benazar\Quorum Business Solutions\Ecopetrol Prometeo - Documents\Planning Space Implementation\3. Analysis &amp; Design\Design\FC22\DRR Jaime\QUIFA-CAJÚA\Cajua\[VAS_CAJUA_CF_SEC_20230125.xlsx]CF PND'!</v>
      </c>
      <c r="G526" s="6" t="s">
        <v>36</v>
      </c>
      <c r="H526" s="1">
        <f t="shared" si="123"/>
        <v>66</v>
      </c>
      <c r="I526" s="1" t="str">
        <f t="shared" si="124"/>
        <v>='C:\Users\jaime.benazar\Quorum Business Solutions\Ecopetrol Prometeo - Documents\Planning Space Implementation\3. Analysis &amp; Design\Design\FC22\DRR Jaime\QUIFA-CAJÚA\Cajua\[VAS_CAJUA_CF_SEC_20230125.xlsx]CF PND'!$BT$66</v>
      </c>
      <c r="J526" s="1" t="s">
        <v>418</v>
      </c>
    </row>
    <row r="527" spans="1:10" x14ac:dyDescent="0.25">
      <c r="A527" s="6" t="s">
        <v>3</v>
      </c>
      <c r="B527" s="6">
        <f t="shared" si="125"/>
        <v>2054</v>
      </c>
      <c r="C527" s="1" t="s">
        <v>8</v>
      </c>
      <c r="D527" s="2" t="s">
        <v>128</v>
      </c>
      <c r="E527" s="9" t="str">
        <f t="shared" si="121"/>
        <v>PND'!</v>
      </c>
      <c r="F527" s="5" t="str">
        <f t="shared" si="122"/>
        <v>C:\Users\jaime.benazar\Quorum Business Solutions\Ecopetrol Prometeo - Documents\Planning Space Implementation\3. Analysis &amp; Design\Design\FC22\DRR Jaime\QUIFA-CAJÚA\Cajua\[VAS_CAJUA_CF_SEC_20230125.xlsx]CF PND'!</v>
      </c>
      <c r="G527" s="6" t="s">
        <v>36</v>
      </c>
      <c r="H527" s="1">
        <f t="shared" si="123"/>
        <v>67</v>
      </c>
      <c r="I527" s="1" t="str">
        <f t="shared" si="124"/>
        <v>='C:\Users\jaime.benazar\Quorum Business Solutions\Ecopetrol Prometeo - Documents\Planning Space Implementation\3. Analysis &amp; Design\Design\FC22\DRR Jaime\QUIFA-CAJÚA\Cajua\[VAS_CAJUA_CF_SEC_20230125.xlsx]CF PND'!$BT$67</v>
      </c>
      <c r="J527" s="1" t="s">
        <v>419</v>
      </c>
    </row>
    <row r="528" spans="1:10" x14ac:dyDescent="0.25">
      <c r="A528" s="6" t="s">
        <v>3</v>
      </c>
      <c r="B528" s="6">
        <f t="shared" si="125"/>
        <v>2055</v>
      </c>
      <c r="C528" s="1" t="s">
        <v>8</v>
      </c>
      <c r="D528" s="2" t="s">
        <v>128</v>
      </c>
      <c r="E528" s="9" t="str">
        <f t="shared" si="121"/>
        <v>PND'!</v>
      </c>
      <c r="F528" s="5" t="str">
        <f t="shared" si="122"/>
        <v>C:\Users\jaime.benazar\Quorum Business Solutions\Ecopetrol Prometeo - Documents\Planning Space Implementation\3. Analysis &amp; Design\Design\FC22\DRR Jaime\QUIFA-CAJÚA\Cajua\[VAS_CAJUA_CF_SEC_20230125.xlsx]CF PND'!</v>
      </c>
      <c r="G528" s="6" t="s">
        <v>36</v>
      </c>
      <c r="H528" s="1">
        <f t="shared" si="123"/>
        <v>68</v>
      </c>
      <c r="I528" s="1" t="str">
        <f t="shared" si="124"/>
        <v>='C:\Users\jaime.benazar\Quorum Business Solutions\Ecopetrol Prometeo - Documents\Planning Space Implementation\3. Analysis &amp; Design\Design\FC22\DRR Jaime\QUIFA-CAJÚA\Cajua\[VAS_CAJUA_CF_SEC_20230125.xlsx]CF PND'!$BT$68</v>
      </c>
      <c r="J528" s="1" t="s">
        <v>420</v>
      </c>
    </row>
    <row r="529" spans="1:10" x14ac:dyDescent="0.25">
      <c r="A529" s="6" t="s">
        <v>3</v>
      </c>
      <c r="B529" s="6">
        <f t="shared" si="125"/>
        <v>2056</v>
      </c>
      <c r="C529" s="1" t="s">
        <v>8</v>
      </c>
      <c r="D529" s="2" t="s">
        <v>128</v>
      </c>
      <c r="E529" s="9" t="str">
        <f t="shared" si="121"/>
        <v>PND'!</v>
      </c>
      <c r="F529" s="5" t="str">
        <f t="shared" si="122"/>
        <v>C:\Users\jaime.benazar\Quorum Business Solutions\Ecopetrol Prometeo - Documents\Planning Space Implementation\3. Analysis &amp; Design\Design\FC22\DRR Jaime\QUIFA-CAJÚA\Cajua\[VAS_CAJUA_CF_SEC_20230125.xlsx]CF PND'!</v>
      </c>
      <c r="G529" s="6" t="s">
        <v>36</v>
      </c>
      <c r="H529" s="1">
        <f t="shared" si="123"/>
        <v>69</v>
      </c>
      <c r="I529" s="1" t="str">
        <f t="shared" si="124"/>
        <v>='C:\Users\jaime.benazar\Quorum Business Solutions\Ecopetrol Prometeo - Documents\Planning Space Implementation\3. Analysis &amp; Design\Design\FC22\DRR Jaime\QUIFA-CAJÚA\Cajua\[VAS_CAJUA_CF_SEC_20230125.xlsx]CF PND'!$BT$69</v>
      </c>
      <c r="J529" s="1" t="s">
        <v>421</v>
      </c>
    </row>
    <row r="530" spans="1:10" x14ac:dyDescent="0.25">
      <c r="A530" s="6" t="s">
        <v>3</v>
      </c>
      <c r="B530" s="6">
        <f t="shared" si="125"/>
        <v>2057</v>
      </c>
      <c r="C530" s="1" t="s">
        <v>8</v>
      </c>
      <c r="D530" s="2" t="s">
        <v>128</v>
      </c>
      <c r="E530" s="9" t="str">
        <f t="shared" si="121"/>
        <v>PND'!</v>
      </c>
      <c r="F530" s="5" t="str">
        <f t="shared" si="122"/>
        <v>C:\Users\jaime.benazar\Quorum Business Solutions\Ecopetrol Prometeo - Documents\Planning Space Implementation\3. Analysis &amp; Design\Design\FC22\DRR Jaime\QUIFA-CAJÚA\Cajua\[VAS_CAJUA_CF_SEC_20230125.xlsx]CF PND'!</v>
      </c>
      <c r="G530" s="6" t="s">
        <v>36</v>
      </c>
      <c r="H530" s="1">
        <f t="shared" si="123"/>
        <v>70</v>
      </c>
      <c r="I530" s="1" t="str">
        <f t="shared" si="124"/>
        <v>='C:\Users\jaime.benazar\Quorum Business Solutions\Ecopetrol Prometeo - Documents\Planning Space Implementation\3. Analysis &amp; Design\Design\FC22\DRR Jaime\QUIFA-CAJÚA\Cajua\[VAS_CAJUA_CF_SEC_20230125.xlsx]CF PND'!$BT$70</v>
      </c>
      <c r="J530" s="1" t="s">
        <v>422</v>
      </c>
    </row>
    <row r="531" spans="1:10" x14ac:dyDescent="0.25">
      <c r="A531" s="6" t="s">
        <v>3</v>
      </c>
      <c r="B531" s="6">
        <f t="shared" si="125"/>
        <v>2058</v>
      </c>
      <c r="C531" s="1" t="s">
        <v>8</v>
      </c>
      <c r="D531" s="2" t="s">
        <v>128</v>
      </c>
      <c r="E531" s="9" t="str">
        <f t="shared" si="121"/>
        <v>PND'!</v>
      </c>
      <c r="F531" s="5" t="str">
        <f t="shared" si="122"/>
        <v>C:\Users\jaime.benazar\Quorum Business Solutions\Ecopetrol Prometeo - Documents\Planning Space Implementation\3. Analysis &amp; Design\Design\FC22\DRR Jaime\QUIFA-CAJÚA\Cajua\[VAS_CAJUA_CF_SEC_20230125.xlsx]CF PND'!</v>
      </c>
      <c r="G531" s="6" t="s">
        <v>36</v>
      </c>
      <c r="H531" s="1">
        <f t="shared" si="123"/>
        <v>71</v>
      </c>
      <c r="I531" s="1" t="str">
        <f t="shared" si="124"/>
        <v>='C:\Users\jaime.benazar\Quorum Business Solutions\Ecopetrol Prometeo - Documents\Planning Space Implementation\3. Analysis &amp; Design\Design\FC22\DRR Jaime\QUIFA-CAJÚA\Cajua\[VAS_CAJUA_CF_SEC_20230125.xlsx]CF PND'!$BT$71</v>
      </c>
      <c r="J531" s="1" t="s">
        <v>423</v>
      </c>
    </row>
    <row r="532" spans="1:10" x14ac:dyDescent="0.25">
      <c r="A532" s="6" t="s">
        <v>3</v>
      </c>
      <c r="B532" s="6">
        <f t="shared" si="125"/>
        <v>2059</v>
      </c>
      <c r="C532" s="1" t="s">
        <v>8</v>
      </c>
      <c r="D532" s="2" t="s">
        <v>128</v>
      </c>
      <c r="E532" s="9" t="str">
        <f t="shared" si="121"/>
        <v>PND'!</v>
      </c>
      <c r="F532" s="5" t="str">
        <f t="shared" si="122"/>
        <v>C:\Users\jaime.benazar\Quorum Business Solutions\Ecopetrol Prometeo - Documents\Planning Space Implementation\3. Analysis &amp; Design\Design\FC22\DRR Jaime\QUIFA-CAJÚA\Cajua\[VAS_CAJUA_CF_SEC_20230125.xlsx]CF PND'!</v>
      </c>
      <c r="G532" s="6" t="s">
        <v>36</v>
      </c>
      <c r="H532" s="1">
        <f t="shared" si="123"/>
        <v>72</v>
      </c>
      <c r="I532" s="1" t="str">
        <f t="shared" si="124"/>
        <v>='C:\Users\jaime.benazar\Quorum Business Solutions\Ecopetrol Prometeo - Documents\Planning Space Implementation\3. Analysis &amp; Design\Design\FC22\DRR Jaime\QUIFA-CAJÚA\Cajua\[VAS_CAJUA_CF_SEC_20230125.xlsx]CF PND'!$BT$72</v>
      </c>
      <c r="J532" s="1" t="s">
        <v>424</v>
      </c>
    </row>
    <row r="533" spans="1:10" x14ac:dyDescent="0.25">
      <c r="A533" s="6" t="s">
        <v>28</v>
      </c>
      <c r="B533" s="6"/>
      <c r="C533" s="1" t="s">
        <v>8</v>
      </c>
      <c r="D533" s="2"/>
      <c r="E533" s="9"/>
      <c r="F533" s="2"/>
      <c r="G533" s="6"/>
      <c r="H533" s="1"/>
      <c r="I533" s="1"/>
      <c r="J533" s="4"/>
    </row>
    <row r="534" spans="1:10" x14ac:dyDescent="0.25">
      <c r="A534" s="6" t="s">
        <v>99</v>
      </c>
      <c r="B534" s="6">
        <v>2023</v>
      </c>
      <c r="C534" s="1" t="s">
        <v>8</v>
      </c>
      <c r="D534" s="2" t="s">
        <v>128</v>
      </c>
      <c r="E534" s="9" t="str">
        <f t="shared" ref="E534:E554" si="126">_xlfn.CONCAT(A534,"'!")</f>
        <v>PRBDP'!</v>
      </c>
      <c r="F534" s="5" t="str">
        <f t="shared" ref="F534:F625" si="127">_xlfn.CONCAT(D534," ",E534)</f>
        <v>C:\Users\jaime.benazar\Quorum Business Solutions\Ecopetrol Prometeo - Documents\Planning Space Implementation\3. Analysis &amp; Design\Design\FC22\DRR Jaime\QUIFA-CAJÚA\Cajua\[VAS_CAJUA_CF_SEC_20230125.xlsx]CF PRBDP'!</v>
      </c>
      <c r="G534" s="6" t="s">
        <v>36</v>
      </c>
      <c r="H534" s="1"/>
      <c r="I534" s="1"/>
      <c r="J534" s="1"/>
    </row>
    <row r="535" spans="1:10" x14ac:dyDescent="0.25">
      <c r="A535" s="6" t="s">
        <v>99</v>
      </c>
      <c r="B535" s="6">
        <f>+B534+1</f>
        <v>2024</v>
      </c>
      <c r="C535" s="1" t="s">
        <v>8</v>
      </c>
      <c r="D535" s="2" t="s">
        <v>128</v>
      </c>
      <c r="E535" s="9" t="str">
        <f t="shared" si="126"/>
        <v>PRBDP'!</v>
      </c>
      <c r="F535" s="5" t="str">
        <f t="shared" si="127"/>
        <v>C:\Users\jaime.benazar\Quorum Business Solutions\Ecopetrol Prometeo - Documents\Planning Space Implementation\3. Analysis &amp; Design\Design\FC22\DRR Jaime\QUIFA-CAJÚA\Cajua\[VAS_CAJUA_CF_SEC_20230125.xlsx]CF PRBDP'!</v>
      </c>
      <c r="G535" s="6" t="s">
        <v>36</v>
      </c>
      <c r="H535" s="1"/>
      <c r="I535" s="1"/>
      <c r="J535" s="1"/>
    </row>
    <row r="536" spans="1:10" x14ac:dyDescent="0.25">
      <c r="A536" s="6" t="s">
        <v>99</v>
      </c>
      <c r="B536" s="6">
        <f t="shared" ref="B536:B547" si="128">+B535+1</f>
        <v>2025</v>
      </c>
      <c r="C536" s="1" t="s">
        <v>8</v>
      </c>
      <c r="D536" s="2" t="s">
        <v>128</v>
      </c>
      <c r="E536" s="9" t="str">
        <f t="shared" si="126"/>
        <v>PRBDP'!</v>
      </c>
      <c r="F536" s="5" t="str">
        <f t="shared" si="127"/>
        <v>C:\Users\jaime.benazar\Quorum Business Solutions\Ecopetrol Prometeo - Documents\Planning Space Implementation\3. Analysis &amp; Design\Design\FC22\DRR Jaime\QUIFA-CAJÚA\Cajua\[VAS_CAJUA_CF_SEC_20230125.xlsx]CF PRBDP'!</v>
      </c>
      <c r="G536" s="6" t="s">
        <v>36</v>
      </c>
      <c r="H536" s="1"/>
      <c r="I536" s="1"/>
      <c r="J536" s="1"/>
    </row>
    <row r="537" spans="1:10" x14ac:dyDescent="0.25">
      <c r="A537" s="6" t="s">
        <v>99</v>
      </c>
      <c r="B537" s="6">
        <f t="shared" si="128"/>
        <v>2026</v>
      </c>
      <c r="C537" s="1" t="s">
        <v>8</v>
      </c>
      <c r="D537" s="2" t="s">
        <v>128</v>
      </c>
      <c r="E537" s="9" t="str">
        <f t="shared" si="126"/>
        <v>PRBDP'!</v>
      </c>
      <c r="F537" s="5" t="str">
        <f t="shared" si="127"/>
        <v>C:\Users\jaime.benazar\Quorum Business Solutions\Ecopetrol Prometeo - Documents\Planning Space Implementation\3. Analysis &amp; Design\Design\FC22\DRR Jaime\QUIFA-CAJÚA\Cajua\[VAS_CAJUA_CF_SEC_20230125.xlsx]CF PRBDP'!</v>
      </c>
      <c r="G537" s="6" t="s">
        <v>36</v>
      </c>
      <c r="H537" s="1"/>
      <c r="I537" s="1"/>
      <c r="J537" s="1"/>
    </row>
    <row r="538" spans="1:10" x14ac:dyDescent="0.25">
      <c r="A538" s="6" t="s">
        <v>99</v>
      </c>
      <c r="B538" s="6">
        <f t="shared" si="128"/>
        <v>2027</v>
      </c>
      <c r="C538" s="1" t="s">
        <v>8</v>
      </c>
      <c r="D538" s="2" t="s">
        <v>128</v>
      </c>
      <c r="E538" s="9" t="str">
        <f t="shared" si="126"/>
        <v>PRBDP'!</v>
      </c>
      <c r="F538" s="5" t="str">
        <f t="shared" si="127"/>
        <v>C:\Users\jaime.benazar\Quorum Business Solutions\Ecopetrol Prometeo - Documents\Planning Space Implementation\3. Analysis &amp; Design\Design\FC22\DRR Jaime\QUIFA-CAJÚA\Cajua\[VAS_CAJUA_CF_SEC_20230125.xlsx]CF PRBDP'!</v>
      </c>
      <c r="G538" s="6" t="s">
        <v>36</v>
      </c>
      <c r="H538" s="1"/>
      <c r="I538" s="1"/>
      <c r="J538" s="1"/>
    </row>
    <row r="539" spans="1:10" x14ac:dyDescent="0.25">
      <c r="A539" s="6" t="s">
        <v>99</v>
      </c>
      <c r="B539" s="6">
        <f t="shared" si="128"/>
        <v>2028</v>
      </c>
      <c r="C539" s="1" t="s">
        <v>8</v>
      </c>
      <c r="D539" s="2" t="s">
        <v>128</v>
      </c>
      <c r="E539" s="9" t="str">
        <f t="shared" si="126"/>
        <v>PRBDP'!</v>
      </c>
      <c r="F539" s="5" t="str">
        <f t="shared" si="127"/>
        <v>C:\Users\jaime.benazar\Quorum Business Solutions\Ecopetrol Prometeo - Documents\Planning Space Implementation\3. Analysis &amp; Design\Design\FC22\DRR Jaime\QUIFA-CAJÚA\Cajua\[VAS_CAJUA_CF_SEC_20230125.xlsx]CF PRBDP'!</v>
      </c>
      <c r="G539" s="6" t="s">
        <v>36</v>
      </c>
      <c r="H539" s="1"/>
      <c r="I539" s="1"/>
      <c r="J539" s="1"/>
    </row>
    <row r="540" spans="1:10" x14ac:dyDescent="0.25">
      <c r="A540" s="6" t="s">
        <v>99</v>
      </c>
      <c r="B540" s="6">
        <f t="shared" si="128"/>
        <v>2029</v>
      </c>
      <c r="C540" s="1" t="s">
        <v>8</v>
      </c>
      <c r="D540" s="2" t="s">
        <v>128</v>
      </c>
      <c r="E540" s="9" t="str">
        <f t="shared" si="126"/>
        <v>PRBDP'!</v>
      </c>
      <c r="F540" s="5" t="str">
        <f t="shared" si="127"/>
        <v>C:\Users\jaime.benazar\Quorum Business Solutions\Ecopetrol Prometeo - Documents\Planning Space Implementation\3. Analysis &amp; Design\Design\FC22\DRR Jaime\QUIFA-CAJÚA\Cajua\[VAS_CAJUA_CF_SEC_20230125.xlsx]CF PRBDP'!</v>
      </c>
      <c r="G540" s="6" t="s">
        <v>36</v>
      </c>
      <c r="H540" s="1"/>
      <c r="I540" s="1"/>
      <c r="J540" s="1"/>
    </row>
    <row r="541" spans="1:10" x14ac:dyDescent="0.25">
      <c r="A541" s="6" t="s">
        <v>99</v>
      </c>
      <c r="B541" s="6">
        <f t="shared" si="128"/>
        <v>2030</v>
      </c>
      <c r="C541" s="1" t="s">
        <v>8</v>
      </c>
      <c r="D541" s="2" t="s">
        <v>128</v>
      </c>
      <c r="E541" s="9" t="str">
        <f t="shared" si="126"/>
        <v>PRBDP'!</v>
      </c>
      <c r="F541" s="5" t="str">
        <f t="shared" si="127"/>
        <v>C:\Users\jaime.benazar\Quorum Business Solutions\Ecopetrol Prometeo - Documents\Planning Space Implementation\3. Analysis &amp; Design\Design\FC22\DRR Jaime\QUIFA-CAJÚA\Cajua\[VAS_CAJUA_CF_SEC_20230125.xlsx]CF PRBDP'!</v>
      </c>
      <c r="G541" s="6" t="s">
        <v>36</v>
      </c>
      <c r="H541" s="1"/>
      <c r="I541" s="1"/>
      <c r="J541" s="1"/>
    </row>
    <row r="542" spans="1:10" x14ac:dyDescent="0.25">
      <c r="A542" s="6" t="s">
        <v>99</v>
      </c>
      <c r="B542" s="6">
        <f t="shared" si="128"/>
        <v>2031</v>
      </c>
      <c r="C542" s="1" t="s">
        <v>8</v>
      </c>
      <c r="D542" s="2" t="s">
        <v>128</v>
      </c>
      <c r="E542" s="9" t="str">
        <f t="shared" si="126"/>
        <v>PRBDP'!</v>
      </c>
      <c r="F542" s="5" t="str">
        <f t="shared" si="127"/>
        <v>C:\Users\jaime.benazar\Quorum Business Solutions\Ecopetrol Prometeo - Documents\Planning Space Implementation\3. Analysis &amp; Design\Design\FC22\DRR Jaime\QUIFA-CAJÚA\Cajua\[VAS_CAJUA_CF_SEC_20230125.xlsx]CF PRBDP'!</v>
      </c>
      <c r="G542" s="6" t="s">
        <v>36</v>
      </c>
      <c r="H542" s="1"/>
      <c r="I542" s="1"/>
      <c r="J542" s="1"/>
    </row>
    <row r="543" spans="1:10" x14ac:dyDescent="0.25">
      <c r="A543" s="6" t="s">
        <v>99</v>
      </c>
      <c r="B543" s="6">
        <f t="shared" si="128"/>
        <v>2032</v>
      </c>
      <c r="C543" s="1" t="s">
        <v>8</v>
      </c>
      <c r="D543" s="2" t="s">
        <v>128</v>
      </c>
      <c r="E543" s="9" t="str">
        <f t="shared" si="126"/>
        <v>PRBDP'!</v>
      </c>
      <c r="F543" s="5" t="str">
        <f t="shared" si="127"/>
        <v>C:\Users\jaime.benazar\Quorum Business Solutions\Ecopetrol Prometeo - Documents\Planning Space Implementation\3. Analysis &amp; Design\Design\FC22\DRR Jaime\QUIFA-CAJÚA\Cajua\[VAS_CAJUA_CF_SEC_20230125.xlsx]CF PRBDP'!</v>
      </c>
      <c r="G543" s="6" t="s">
        <v>36</v>
      </c>
      <c r="H543" s="1"/>
      <c r="I543" s="1"/>
      <c r="J543" s="1"/>
    </row>
    <row r="544" spans="1:10" x14ac:dyDescent="0.25">
      <c r="A544" s="6" t="s">
        <v>99</v>
      </c>
      <c r="B544" s="6">
        <f t="shared" si="128"/>
        <v>2033</v>
      </c>
      <c r="C544" s="1" t="s">
        <v>8</v>
      </c>
      <c r="D544" s="2" t="s">
        <v>128</v>
      </c>
      <c r="E544" s="9" t="str">
        <f t="shared" si="126"/>
        <v>PRBDP'!</v>
      </c>
      <c r="F544" s="5" t="str">
        <f t="shared" si="127"/>
        <v>C:\Users\jaime.benazar\Quorum Business Solutions\Ecopetrol Prometeo - Documents\Planning Space Implementation\3. Analysis &amp; Design\Design\FC22\DRR Jaime\QUIFA-CAJÚA\Cajua\[VAS_CAJUA_CF_SEC_20230125.xlsx]CF PRBDP'!</v>
      </c>
      <c r="G544" s="6" t="s">
        <v>36</v>
      </c>
      <c r="H544" s="1"/>
      <c r="I544" s="1"/>
      <c r="J544" s="1"/>
    </row>
    <row r="545" spans="1:10" x14ac:dyDescent="0.25">
      <c r="A545" s="6" t="s">
        <v>99</v>
      </c>
      <c r="B545" s="6">
        <f t="shared" si="128"/>
        <v>2034</v>
      </c>
      <c r="C545" s="1" t="s">
        <v>8</v>
      </c>
      <c r="D545" s="2" t="s">
        <v>128</v>
      </c>
      <c r="E545" s="9" t="str">
        <f t="shared" si="126"/>
        <v>PRBDP'!</v>
      </c>
      <c r="F545" s="5" t="str">
        <f t="shared" si="127"/>
        <v>C:\Users\jaime.benazar\Quorum Business Solutions\Ecopetrol Prometeo - Documents\Planning Space Implementation\3. Analysis &amp; Design\Design\FC22\DRR Jaime\QUIFA-CAJÚA\Cajua\[VAS_CAJUA_CF_SEC_20230125.xlsx]CF PRBDP'!</v>
      </c>
      <c r="G545" s="6" t="s">
        <v>36</v>
      </c>
      <c r="H545" s="1"/>
      <c r="I545" s="1"/>
      <c r="J545" s="1"/>
    </row>
    <row r="546" spans="1:10" x14ac:dyDescent="0.25">
      <c r="A546" s="6" t="s">
        <v>99</v>
      </c>
      <c r="B546" s="6">
        <f t="shared" si="128"/>
        <v>2035</v>
      </c>
      <c r="C546" s="1" t="s">
        <v>8</v>
      </c>
      <c r="D546" s="2" t="s">
        <v>128</v>
      </c>
      <c r="E546" s="9" t="str">
        <f t="shared" si="126"/>
        <v>PRBDP'!</v>
      </c>
      <c r="F546" s="5" t="str">
        <f t="shared" si="127"/>
        <v>C:\Users\jaime.benazar\Quorum Business Solutions\Ecopetrol Prometeo - Documents\Planning Space Implementation\3. Analysis &amp; Design\Design\FC22\DRR Jaime\QUIFA-CAJÚA\Cajua\[VAS_CAJUA_CF_SEC_20230125.xlsx]CF PRBDP'!</v>
      </c>
      <c r="G546" s="6" t="s">
        <v>36</v>
      </c>
      <c r="H546" s="1"/>
      <c r="I546" s="1"/>
      <c r="J546" s="1"/>
    </row>
    <row r="547" spans="1:10" x14ac:dyDescent="0.25">
      <c r="A547" s="6" t="s">
        <v>99</v>
      </c>
      <c r="B547" s="6">
        <f t="shared" si="128"/>
        <v>2036</v>
      </c>
      <c r="C547" s="1" t="s">
        <v>8</v>
      </c>
      <c r="D547" s="2" t="s">
        <v>128</v>
      </c>
      <c r="E547" s="9" t="str">
        <f t="shared" si="126"/>
        <v>PRBDP'!</v>
      </c>
      <c r="F547" s="5" t="str">
        <f t="shared" si="127"/>
        <v>C:\Users\jaime.benazar\Quorum Business Solutions\Ecopetrol Prometeo - Documents\Planning Space Implementation\3. Analysis &amp; Design\Design\FC22\DRR Jaime\QUIFA-CAJÚA\Cajua\[VAS_CAJUA_CF_SEC_20230125.xlsx]CF PRBDP'!</v>
      </c>
      <c r="G547" s="6" t="s">
        <v>36</v>
      </c>
      <c r="H547" s="1"/>
      <c r="I547" s="1"/>
      <c r="J547" s="1"/>
    </row>
    <row r="548" spans="1:10" x14ac:dyDescent="0.25">
      <c r="A548" s="6" t="s">
        <v>99</v>
      </c>
      <c r="B548" s="6">
        <f>+B547+1</f>
        <v>2037</v>
      </c>
      <c r="C548" s="1" t="s">
        <v>8</v>
      </c>
      <c r="D548" s="2" t="s">
        <v>128</v>
      </c>
      <c r="E548" s="9" t="str">
        <f t="shared" si="126"/>
        <v>PRBDP'!</v>
      </c>
      <c r="F548" s="5" t="str">
        <f t="shared" si="127"/>
        <v>C:\Users\jaime.benazar\Quorum Business Solutions\Ecopetrol Prometeo - Documents\Planning Space Implementation\3. Analysis &amp; Design\Design\FC22\DRR Jaime\QUIFA-CAJÚA\Cajua\[VAS_CAJUA_CF_SEC_20230125.xlsx]CF PRBDP'!</v>
      </c>
      <c r="G548" s="6" t="s">
        <v>36</v>
      </c>
      <c r="H548" s="1"/>
      <c r="I548" s="1"/>
      <c r="J548" s="1"/>
    </row>
    <row r="549" spans="1:10" x14ac:dyDescent="0.25">
      <c r="A549" s="6" t="s">
        <v>99</v>
      </c>
      <c r="B549" s="6">
        <f t="shared" ref="B549:B551" si="129">+B548+1</f>
        <v>2038</v>
      </c>
      <c r="C549" s="1" t="s">
        <v>8</v>
      </c>
      <c r="D549" s="2" t="s">
        <v>128</v>
      </c>
      <c r="E549" s="9" t="str">
        <f t="shared" si="126"/>
        <v>PRBDP'!</v>
      </c>
      <c r="F549" s="5" t="str">
        <f t="shared" si="127"/>
        <v>C:\Users\jaime.benazar\Quorum Business Solutions\Ecopetrol Prometeo - Documents\Planning Space Implementation\3. Analysis &amp; Design\Design\FC22\DRR Jaime\QUIFA-CAJÚA\Cajua\[VAS_CAJUA_CF_SEC_20230125.xlsx]CF PRBDP'!</v>
      </c>
      <c r="G549" s="6" t="s">
        <v>36</v>
      </c>
      <c r="H549" s="1"/>
      <c r="I549" s="1"/>
      <c r="J549" s="1"/>
    </row>
    <row r="550" spans="1:10" x14ac:dyDescent="0.25">
      <c r="A550" s="6" t="s">
        <v>99</v>
      </c>
      <c r="B550" s="6">
        <f t="shared" si="129"/>
        <v>2039</v>
      </c>
      <c r="C550" s="1" t="s">
        <v>8</v>
      </c>
      <c r="D550" s="2" t="s">
        <v>128</v>
      </c>
      <c r="E550" s="9" t="str">
        <f t="shared" si="126"/>
        <v>PRBDP'!</v>
      </c>
      <c r="F550" s="5" t="str">
        <f t="shared" si="127"/>
        <v>C:\Users\jaime.benazar\Quorum Business Solutions\Ecopetrol Prometeo - Documents\Planning Space Implementation\3. Analysis &amp; Design\Design\FC22\DRR Jaime\QUIFA-CAJÚA\Cajua\[VAS_CAJUA_CF_SEC_20230125.xlsx]CF PRBDP'!</v>
      </c>
      <c r="G550" s="6" t="s">
        <v>36</v>
      </c>
      <c r="H550" s="1"/>
      <c r="I550" s="1"/>
      <c r="J550" s="1"/>
    </row>
    <row r="551" spans="1:10" x14ac:dyDescent="0.25">
      <c r="A551" s="6" t="s">
        <v>99</v>
      </c>
      <c r="B551" s="6">
        <f t="shared" si="129"/>
        <v>2040</v>
      </c>
      <c r="C551" s="1" t="s">
        <v>8</v>
      </c>
      <c r="D551" s="2" t="s">
        <v>128</v>
      </c>
      <c r="E551" s="9" t="str">
        <f t="shared" si="126"/>
        <v>PRBDP'!</v>
      </c>
      <c r="F551" s="5" t="str">
        <f t="shared" si="127"/>
        <v>C:\Users\jaime.benazar\Quorum Business Solutions\Ecopetrol Prometeo - Documents\Planning Space Implementation\3. Analysis &amp; Design\Design\FC22\DRR Jaime\QUIFA-CAJÚA\Cajua\[VAS_CAJUA_CF_SEC_20230125.xlsx]CF PRBDP'!</v>
      </c>
      <c r="G551" s="6" t="s">
        <v>36</v>
      </c>
      <c r="H551" s="1"/>
      <c r="I551" s="1"/>
      <c r="J551" s="1"/>
    </row>
    <row r="552" spans="1:10" x14ac:dyDescent="0.25">
      <c r="A552" s="6" t="s">
        <v>99</v>
      </c>
      <c r="B552" s="6">
        <f>+B551+1</f>
        <v>2041</v>
      </c>
      <c r="C552" s="1" t="s">
        <v>8</v>
      </c>
      <c r="D552" s="2" t="s">
        <v>128</v>
      </c>
      <c r="E552" s="9" t="str">
        <f t="shared" si="126"/>
        <v>PRBDP'!</v>
      </c>
      <c r="F552" s="5" t="str">
        <f t="shared" si="127"/>
        <v>C:\Users\jaime.benazar\Quorum Business Solutions\Ecopetrol Prometeo - Documents\Planning Space Implementation\3. Analysis &amp; Design\Design\FC22\DRR Jaime\QUIFA-CAJÚA\Cajua\[VAS_CAJUA_CF_SEC_20230125.xlsx]CF PRBDP'!</v>
      </c>
      <c r="G552" s="6" t="s">
        <v>36</v>
      </c>
      <c r="H552" s="1"/>
      <c r="I552" s="1"/>
      <c r="J552" s="1"/>
    </row>
    <row r="553" spans="1:10" x14ac:dyDescent="0.25">
      <c r="A553" s="6" t="s">
        <v>99</v>
      </c>
      <c r="B553" s="6">
        <f t="shared" ref="B553:B554" si="130">+B552+1</f>
        <v>2042</v>
      </c>
      <c r="C553" s="1" t="s">
        <v>8</v>
      </c>
      <c r="D553" s="2" t="s">
        <v>128</v>
      </c>
      <c r="E553" s="9" t="str">
        <f t="shared" si="126"/>
        <v>PRBDP'!</v>
      </c>
      <c r="F553" s="5" t="str">
        <f t="shared" si="127"/>
        <v>C:\Users\jaime.benazar\Quorum Business Solutions\Ecopetrol Prometeo - Documents\Planning Space Implementation\3. Analysis &amp; Design\Design\FC22\DRR Jaime\QUIFA-CAJÚA\Cajua\[VAS_CAJUA_CF_SEC_20230125.xlsx]CF PRBDP'!</v>
      </c>
      <c r="G553" s="6" t="s">
        <v>36</v>
      </c>
      <c r="H553" s="1"/>
      <c r="I553" s="1"/>
      <c r="J553" s="1"/>
    </row>
    <row r="554" spans="1:10" x14ac:dyDescent="0.25">
      <c r="A554" s="6" t="s">
        <v>99</v>
      </c>
      <c r="B554" s="6">
        <f t="shared" si="130"/>
        <v>2043</v>
      </c>
      <c r="C554" s="1" t="s">
        <v>8</v>
      </c>
      <c r="D554" s="2" t="s">
        <v>128</v>
      </c>
      <c r="E554" s="9" t="str">
        <f t="shared" si="126"/>
        <v>PRBDP'!</v>
      </c>
      <c r="F554" s="5" t="str">
        <f t="shared" si="127"/>
        <v>C:\Users\jaime.benazar\Quorum Business Solutions\Ecopetrol Prometeo - Documents\Planning Space Implementation\3. Analysis &amp; Design\Design\FC22\DRR Jaime\QUIFA-CAJÚA\Cajua\[VAS_CAJUA_CF_SEC_20230125.xlsx]CF PRBDP'!</v>
      </c>
      <c r="G554" s="6" t="s">
        <v>36</v>
      </c>
      <c r="H554" s="1"/>
      <c r="I554" s="1"/>
      <c r="J554" s="1"/>
    </row>
    <row r="555" spans="1:10" x14ac:dyDescent="0.25">
      <c r="A555" s="6" t="s">
        <v>99</v>
      </c>
      <c r="B555" s="6">
        <f>+B554+1</f>
        <v>2044</v>
      </c>
      <c r="C555" s="1" t="s">
        <v>8</v>
      </c>
      <c r="D555" s="2" t="s">
        <v>128</v>
      </c>
      <c r="E555" s="9" t="str">
        <f t="shared" ref="E555:E570" si="131">_xlfn.CONCAT(A555,"'!")</f>
        <v>PRBDP'!</v>
      </c>
      <c r="F555" s="5" t="str">
        <f t="shared" ref="F555:F570" si="132">_xlfn.CONCAT(D555," ",E555)</f>
        <v>C:\Users\jaime.benazar\Quorum Business Solutions\Ecopetrol Prometeo - Documents\Planning Space Implementation\3. Analysis &amp; Design\Design\FC22\DRR Jaime\QUIFA-CAJÚA\Cajua\[VAS_CAJUA_CF_SEC_20230125.xlsx]CF PRBDP'!</v>
      </c>
      <c r="G555" s="6" t="s">
        <v>36</v>
      </c>
      <c r="H555" s="1"/>
      <c r="I555" s="1"/>
      <c r="J555" s="1"/>
    </row>
    <row r="556" spans="1:10" x14ac:dyDescent="0.25">
      <c r="A556" s="6" t="s">
        <v>99</v>
      </c>
      <c r="B556" s="6">
        <f t="shared" ref="B556:B570" si="133">+B555+1</f>
        <v>2045</v>
      </c>
      <c r="C556" s="1" t="s">
        <v>8</v>
      </c>
      <c r="D556" s="2" t="s">
        <v>128</v>
      </c>
      <c r="E556" s="9" t="str">
        <f t="shared" si="131"/>
        <v>PRBDP'!</v>
      </c>
      <c r="F556" s="5" t="str">
        <f t="shared" si="132"/>
        <v>C:\Users\jaime.benazar\Quorum Business Solutions\Ecopetrol Prometeo - Documents\Planning Space Implementation\3. Analysis &amp; Design\Design\FC22\DRR Jaime\QUIFA-CAJÚA\Cajua\[VAS_CAJUA_CF_SEC_20230125.xlsx]CF PRBDP'!</v>
      </c>
      <c r="G556" s="6" t="s">
        <v>36</v>
      </c>
      <c r="H556" s="1"/>
      <c r="I556" s="1"/>
      <c r="J556" s="1"/>
    </row>
    <row r="557" spans="1:10" x14ac:dyDescent="0.25">
      <c r="A557" s="6" t="s">
        <v>99</v>
      </c>
      <c r="B557" s="6">
        <f t="shared" si="133"/>
        <v>2046</v>
      </c>
      <c r="C557" s="1" t="s">
        <v>8</v>
      </c>
      <c r="D557" s="2" t="s">
        <v>128</v>
      </c>
      <c r="E557" s="9" t="str">
        <f t="shared" si="131"/>
        <v>PRBDP'!</v>
      </c>
      <c r="F557" s="5" t="str">
        <f t="shared" si="132"/>
        <v>C:\Users\jaime.benazar\Quorum Business Solutions\Ecopetrol Prometeo - Documents\Planning Space Implementation\3. Analysis &amp; Design\Design\FC22\DRR Jaime\QUIFA-CAJÚA\Cajua\[VAS_CAJUA_CF_SEC_20230125.xlsx]CF PRBDP'!</v>
      </c>
      <c r="G557" s="6" t="s">
        <v>36</v>
      </c>
      <c r="H557" s="1"/>
      <c r="I557" s="1"/>
      <c r="J557" s="1"/>
    </row>
    <row r="558" spans="1:10" x14ac:dyDescent="0.25">
      <c r="A558" s="6" t="s">
        <v>99</v>
      </c>
      <c r="B558" s="6">
        <f t="shared" si="133"/>
        <v>2047</v>
      </c>
      <c r="C558" s="1" t="s">
        <v>8</v>
      </c>
      <c r="D558" s="2" t="s">
        <v>128</v>
      </c>
      <c r="E558" s="9" t="str">
        <f t="shared" si="131"/>
        <v>PRBDP'!</v>
      </c>
      <c r="F558" s="5" t="str">
        <f t="shared" si="132"/>
        <v>C:\Users\jaime.benazar\Quorum Business Solutions\Ecopetrol Prometeo - Documents\Planning Space Implementation\3. Analysis &amp; Design\Design\FC22\DRR Jaime\QUIFA-CAJÚA\Cajua\[VAS_CAJUA_CF_SEC_20230125.xlsx]CF PRBDP'!</v>
      </c>
      <c r="G558" s="6" t="s">
        <v>36</v>
      </c>
      <c r="H558" s="1"/>
      <c r="I558" s="1"/>
      <c r="J558" s="1"/>
    </row>
    <row r="559" spans="1:10" x14ac:dyDescent="0.25">
      <c r="A559" s="6" t="s">
        <v>99</v>
      </c>
      <c r="B559" s="6">
        <f t="shared" si="133"/>
        <v>2048</v>
      </c>
      <c r="C559" s="1" t="s">
        <v>8</v>
      </c>
      <c r="D559" s="2" t="s">
        <v>128</v>
      </c>
      <c r="E559" s="9" t="str">
        <f t="shared" si="131"/>
        <v>PRBDP'!</v>
      </c>
      <c r="F559" s="5" t="str">
        <f t="shared" si="132"/>
        <v>C:\Users\jaime.benazar\Quorum Business Solutions\Ecopetrol Prometeo - Documents\Planning Space Implementation\3. Analysis &amp; Design\Design\FC22\DRR Jaime\QUIFA-CAJÚA\Cajua\[VAS_CAJUA_CF_SEC_20230125.xlsx]CF PRBDP'!</v>
      </c>
      <c r="G559" s="6" t="s">
        <v>36</v>
      </c>
      <c r="H559" s="1"/>
      <c r="I559" s="1"/>
      <c r="J559" s="1"/>
    </row>
    <row r="560" spans="1:10" x14ac:dyDescent="0.25">
      <c r="A560" s="6" t="s">
        <v>99</v>
      </c>
      <c r="B560" s="6">
        <f t="shared" si="133"/>
        <v>2049</v>
      </c>
      <c r="C560" s="1" t="s">
        <v>8</v>
      </c>
      <c r="D560" s="2" t="s">
        <v>128</v>
      </c>
      <c r="E560" s="9" t="str">
        <f t="shared" si="131"/>
        <v>PRBDP'!</v>
      </c>
      <c r="F560" s="5" t="str">
        <f t="shared" si="132"/>
        <v>C:\Users\jaime.benazar\Quorum Business Solutions\Ecopetrol Prometeo - Documents\Planning Space Implementation\3. Analysis &amp; Design\Design\FC22\DRR Jaime\QUIFA-CAJÚA\Cajua\[VAS_CAJUA_CF_SEC_20230125.xlsx]CF PRBDP'!</v>
      </c>
      <c r="G560" s="6" t="s">
        <v>36</v>
      </c>
      <c r="H560" s="1"/>
      <c r="I560" s="1"/>
      <c r="J560" s="1"/>
    </row>
    <row r="561" spans="1:10" x14ac:dyDescent="0.25">
      <c r="A561" s="6" t="s">
        <v>99</v>
      </c>
      <c r="B561" s="6">
        <f t="shared" si="133"/>
        <v>2050</v>
      </c>
      <c r="C561" s="1" t="s">
        <v>8</v>
      </c>
      <c r="D561" s="2" t="s">
        <v>128</v>
      </c>
      <c r="E561" s="9" t="str">
        <f t="shared" si="131"/>
        <v>PRBDP'!</v>
      </c>
      <c r="F561" s="5" t="str">
        <f t="shared" si="132"/>
        <v>C:\Users\jaime.benazar\Quorum Business Solutions\Ecopetrol Prometeo - Documents\Planning Space Implementation\3. Analysis &amp; Design\Design\FC22\DRR Jaime\QUIFA-CAJÚA\Cajua\[VAS_CAJUA_CF_SEC_20230125.xlsx]CF PRBDP'!</v>
      </c>
      <c r="G561" s="6" t="s">
        <v>36</v>
      </c>
      <c r="H561" s="1"/>
      <c r="I561" s="1"/>
      <c r="J561" s="1"/>
    </row>
    <row r="562" spans="1:10" x14ac:dyDescent="0.25">
      <c r="A562" s="6" t="s">
        <v>99</v>
      </c>
      <c r="B562" s="6">
        <f t="shared" si="133"/>
        <v>2051</v>
      </c>
      <c r="C562" s="1" t="s">
        <v>8</v>
      </c>
      <c r="D562" s="2" t="s">
        <v>128</v>
      </c>
      <c r="E562" s="9" t="str">
        <f t="shared" si="131"/>
        <v>PRBDP'!</v>
      </c>
      <c r="F562" s="5" t="str">
        <f t="shared" si="132"/>
        <v>C:\Users\jaime.benazar\Quorum Business Solutions\Ecopetrol Prometeo - Documents\Planning Space Implementation\3. Analysis &amp; Design\Design\FC22\DRR Jaime\QUIFA-CAJÚA\Cajua\[VAS_CAJUA_CF_SEC_20230125.xlsx]CF PRBDP'!</v>
      </c>
      <c r="G562" s="6" t="s">
        <v>36</v>
      </c>
      <c r="H562" s="1"/>
      <c r="I562" s="1"/>
      <c r="J562" s="1"/>
    </row>
    <row r="563" spans="1:10" x14ac:dyDescent="0.25">
      <c r="A563" s="6" t="s">
        <v>99</v>
      </c>
      <c r="B563" s="6">
        <f t="shared" si="133"/>
        <v>2052</v>
      </c>
      <c r="C563" s="1" t="s">
        <v>8</v>
      </c>
      <c r="D563" s="2" t="s">
        <v>128</v>
      </c>
      <c r="E563" s="9" t="str">
        <f t="shared" si="131"/>
        <v>PRBDP'!</v>
      </c>
      <c r="F563" s="5" t="str">
        <f t="shared" si="132"/>
        <v>C:\Users\jaime.benazar\Quorum Business Solutions\Ecopetrol Prometeo - Documents\Planning Space Implementation\3. Analysis &amp; Design\Design\FC22\DRR Jaime\QUIFA-CAJÚA\Cajua\[VAS_CAJUA_CF_SEC_20230125.xlsx]CF PRBDP'!</v>
      </c>
      <c r="G563" s="6" t="s">
        <v>36</v>
      </c>
      <c r="H563" s="1"/>
      <c r="I563" s="1"/>
      <c r="J563" s="1"/>
    </row>
    <row r="564" spans="1:10" x14ac:dyDescent="0.25">
      <c r="A564" s="6" t="s">
        <v>99</v>
      </c>
      <c r="B564" s="6">
        <f t="shared" si="133"/>
        <v>2053</v>
      </c>
      <c r="C564" s="1" t="s">
        <v>8</v>
      </c>
      <c r="D564" s="2" t="s">
        <v>128</v>
      </c>
      <c r="E564" s="9" t="str">
        <f t="shared" si="131"/>
        <v>PRBDP'!</v>
      </c>
      <c r="F564" s="5" t="str">
        <f t="shared" si="132"/>
        <v>C:\Users\jaime.benazar\Quorum Business Solutions\Ecopetrol Prometeo - Documents\Planning Space Implementation\3. Analysis &amp; Design\Design\FC22\DRR Jaime\QUIFA-CAJÚA\Cajua\[VAS_CAJUA_CF_SEC_20230125.xlsx]CF PRBDP'!</v>
      </c>
      <c r="G564" s="6" t="s">
        <v>36</v>
      </c>
      <c r="H564" s="1"/>
      <c r="I564" s="1"/>
      <c r="J564" s="1"/>
    </row>
    <row r="565" spans="1:10" x14ac:dyDescent="0.25">
      <c r="A565" s="6" t="s">
        <v>99</v>
      </c>
      <c r="B565" s="6">
        <f t="shared" si="133"/>
        <v>2054</v>
      </c>
      <c r="C565" s="1" t="s">
        <v>8</v>
      </c>
      <c r="D565" s="2" t="s">
        <v>128</v>
      </c>
      <c r="E565" s="9" t="str">
        <f t="shared" si="131"/>
        <v>PRBDP'!</v>
      </c>
      <c r="F565" s="5" t="str">
        <f t="shared" si="132"/>
        <v>C:\Users\jaime.benazar\Quorum Business Solutions\Ecopetrol Prometeo - Documents\Planning Space Implementation\3. Analysis &amp; Design\Design\FC22\DRR Jaime\QUIFA-CAJÚA\Cajua\[VAS_CAJUA_CF_SEC_20230125.xlsx]CF PRBDP'!</v>
      </c>
      <c r="G565" s="6" t="s">
        <v>36</v>
      </c>
      <c r="H565" s="1"/>
      <c r="I565" s="1"/>
      <c r="J565" s="1"/>
    </row>
    <row r="566" spans="1:10" x14ac:dyDescent="0.25">
      <c r="A566" s="6" t="s">
        <v>99</v>
      </c>
      <c r="B566" s="6">
        <f t="shared" si="133"/>
        <v>2055</v>
      </c>
      <c r="C566" s="1" t="s">
        <v>8</v>
      </c>
      <c r="D566" s="2" t="s">
        <v>128</v>
      </c>
      <c r="E566" s="9" t="str">
        <f t="shared" si="131"/>
        <v>PRBDP'!</v>
      </c>
      <c r="F566" s="5" t="str">
        <f t="shared" si="132"/>
        <v>C:\Users\jaime.benazar\Quorum Business Solutions\Ecopetrol Prometeo - Documents\Planning Space Implementation\3. Analysis &amp; Design\Design\FC22\DRR Jaime\QUIFA-CAJÚA\Cajua\[VAS_CAJUA_CF_SEC_20230125.xlsx]CF PRBDP'!</v>
      </c>
      <c r="G566" s="6" t="s">
        <v>36</v>
      </c>
      <c r="H566" s="1"/>
      <c r="I566" s="1"/>
      <c r="J566" s="1"/>
    </row>
    <row r="567" spans="1:10" x14ac:dyDescent="0.25">
      <c r="A567" s="6" t="s">
        <v>99</v>
      </c>
      <c r="B567" s="6">
        <f t="shared" si="133"/>
        <v>2056</v>
      </c>
      <c r="C567" s="1" t="s">
        <v>8</v>
      </c>
      <c r="D567" s="2" t="s">
        <v>128</v>
      </c>
      <c r="E567" s="9" t="str">
        <f t="shared" si="131"/>
        <v>PRBDP'!</v>
      </c>
      <c r="F567" s="5" t="str">
        <f t="shared" si="132"/>
        <v>C:\Users\jaime.benazar\Quorum Business Solutions\Ecopetrol Prometeo - Documents\Planning Space Implementation\3. Analysis &amp; Design\Design\FC22\DRR Jaime\QUIFA-CAJÚA\Cajua\[VAS_CAJUA_CF_SEC_20230125.xlsx]CF PRBDP'!</v>
      </c>
      <c r="G567" s="6" t="s">
        <v>36</v>
      </c>
      <c r="H567" s="1"/>
      <c r="I567" s="1"/>
      <c r="J567" s="1"/>
    </row>
    <row r="568" spans="1:10" x14ac:dyDescent="0.25">
      <c r="A568" s="6" t="s">
        <v>99</v>
      </c>
      <c r="B568" s="6">
        <f t="shared" si="133"/>
        <v>2057</v>
      </c>
      <c r="C568" s="1" t="s">
        <v>8</v>
      </c>
      <c r="D568" s="2" t="s">
        <v>128</v>
      </c>
      <c r="E568" s="9" t="str">
        <f t="shared" si="131"/>
        <v>PRBDP'!</v>
      </c>
      <c r="F568" s="5" t="str">
        <f t="shared" si="132"/>
        <v>C:\Users\jaime.benazar\Quorum Business Solutions\Ecopetrol Prometeo - Documents\Planning Space Implementation\3. Analysis &amp; Design\Design\FC22\DRR Jaime\QUIFA-CAJÚA\Cajua\[VAS_CAJUA_CF_SEC_20230125.xlsx]CF PRBDP'!</v>
      </c>
      <c r="G568" s="6" t="s">
        <v>36</v>
      </c>
      <c r="H568" s="1"/>
      <c r="I568" s="1"/>
      <c r="J568" s="1"/>
    </row>
    <row r="569" spans="1:10" x14ac:dyDescent="0.25">
      <c r="A569" s="6" t="s">
        <v>99</v>
      </c>
      <c r="B569" s="6">
        <f t="shared" si="133"/>
        <v>2058</v>
      </c>
      <c r="C569" s="1" t="s">
        <v>8</v>
      </c>
      <c r="D569" s="2" t="s">
        <v>128</v>
      </c>
      <c r="E569" s="9" t="str">
        <f t="shared" si="131"/>
        <v>PRBDP'!</v>
      </c>
      <c r="F569" s="5" t="str">
        <f t="shared" si="132"/>
        <v>C:\Users\jaime.benazar\Quorum Business Solutions\Ecopetrol Prometeo - Documents\Planning Space Implementation\3. Analysis &amp; Design\Design\FC22\DRR Jaime\QUIFA-CAJÚA\Cajua\[VAS_CAJUA_CF_SEC_20230125.xlsx]CF PRBDP'!</v>
      </c>
      <c r="G569" s="6" t="s">
        <v>36</v>
      </c>
      <c r="H569" s="1"/>
      <c r="I569" s="1"/>
      <c r="J569" s="1"/>
    </row>
    <row r="570" spans="1:10" x14ac:dyDescent="0.25">
      <c r="A570" s="6" t="s">
        <v>99</v>
      </c>
      <c r="B570" s="6">
        <f t="shared" si="133"/>
        <v>2059</v>
      </c>
      <c r="C570" s="1" t="s">
        <v>8</v>
      </c>
      <c r="D570" s="2" t="s">
        <v>128</v>
      </c>
      <c r="E570" s="9" t="str">
        <f t="shared" si="131"/>
        <v>PRBDP'!</v>
      </c>
      <c r="F570" s="5" t="str">
        <f t="shared" si="132"/>
        <v>C:\Users\jaime.benazar\Quorum Business Solutions\Ecopetrol Prometeo - Documents\Planning Space Implementation\3. Analysis &amp; Design\Design\FC22\DRR Jaime\QUIFA-CAJÚA\Cajua\[VAS_CAJUA_CF_SEC_20230125.xlsx]CF PRBDP'!</v>
      </c>
      <c r="G570" s="6" t="s">
        <v>36</v>
      </c>
      <c r="H570" s="1"/>
      <c r="I570" s="1"/>
      <c r="J570" s="1"/>
    </row>
    <row r="571" spans="1:10" x14ac:dyDescent="0.25">
      <c r="A571" s="6" t="s">
        <v>28</v>
      </c>
      <c r="B571" s="6"/>
      <c r="C571" s="1" t="s">
        <v>8</v>
      </c>
      <c r="D571" s="2"/>
      <c r="E571" s="9"/>
      <c r="F571" s="2"/>
      <c r="G571" s="6"/>
      <c r="H571" s="1"/>
      <c r="I571" s="1"/>
      <c r="J571" s="1"/>
    </row>
    <row r="572" spans="1:10" x14ac:dyDescent="0.25">
      <c r="A572" s="6" t="s">
        <v>100</v>
      </c>
      <c r="B572" s="6">
        <v>2023</v>
      </c>
      <c r="C572" s="1" t="s">
        <v>8</v>
      </c>
      <c r="D572" s="2" t="s">
        <v>128</v>
      </c>
      <c r="E572" s="9" t="str">
        <f t="shared" ref="E572:E592" si="134">_xlfn.CONCAT(A572,"'!")</f>
        <v>PRBNP'!</v>
      </c>
      <c r="F572" s="5" t="str">
        <f t="shared" si="127"/>
        <v>C:\Users\jaime.benazar\Quorum Business Solutions\Ecopetrol Prometeo - Documents\Planning Space Implementation\3. Analysis &amp; Design\Design\FC22\DRR Jaime\QUIFA-CAJÚA\Cajua\[VAS_CAJUA_CF_SEC_20230125.xlsx]CF PRBNP'!</v>
      </c>
      <c r="G572" s="6" t="s">
        <v>36</v>
      </c>
      <c r="H572" s="1"/>
      <c r="I572" s="1"/>
      <c r="J572" s="1"/>
    </row>
    <row r="573" spans="1:10" x14ac:dyDescent="0.25">
      <c r="A573" s="6" t="s">
        <v>100</v>
      </c>
      <c r="B573" s="6">
        <f>+B572+1</f>
        <v>2024</v>
      </c>
      <c r="C573" s="1" t="s">
        <v>8</v>
      </c>
      <c r="D573" s="2" t="s">
        <v>128</v>
      </c>
      <c r="E573" s="9" t="str">
        <f t="shared" si="134"/>
        <v>PRBNP'!</v>
      </c>
      <c r="F573" s="5" t="str">
        <f t="shared" si="127"/>
        <v>C:\Users\jaime.benazar\Quorum Business Solutions\Ecopetrol Prometeo - Documents\Planning Space Implementation\3. Analysis &amp; Design\Design\FC22\DRR Jaime\QUIFA-CAJÚA\Cajua\[VAS_CAJUA_CF_SEC_20230125.xlsx]CF PRBNP'!</v>
      </c>
      <c r="G573" s="6" t="s">
        <v>36</v>
      </c>
      <c r="H573" s="1"/>
      <c r="I573" s="1"/>
      <c r="J573" s="1"/>
    </row>
    <row r="574" spans="1:10" x14ac:dyDescent="0.25">
      <c r="A574" s="6" t="s">
        <v>100</v>
      </c>
      <c r="B574" s="6">
        <f t="shared" ref="B574:B585" si="135">+B573+1</f>
        <v>2025</v>
      </c>
      <c r="C574" s="1" t="s">
        <v>8</v>
      </c>
      <c r="D574" s="2" t="s">
        <v>128</v>
      </c>
      <c r="E574" s="9" t="str">
        <f t="shared" si="134"/>
        <v>PRBNP'!</v>
      </c>
      <c r="F574" s="5" t="str">
        <f t="shared" si="127"/>
        <v>C:\Users\jaime.benazar\Quorum Business Solutions\Ecopetrol Prometeo - Documents\Planning Space Implementation\3. Analysis &amp; Design\Design\FC22\DRR Jaime\QUIFA-CAJÚA\Cajua\[VAS_CAJUA_CF_SEC_20230125.xlsx]CF PRBNP'!</v>
      </c>
      <c r="G574" s="6" t="s">
        <v>36</v>
      </c>
      <c r="H574" s="1"/>
      <c r="I574" s="1"/>
      <c r="J574" s="1"/>
    </row>
    <row r="575" spans="1:10" x14ac:dyDescent="0.25">
      <c r="A575" s="6" t="s">
        <v>100</v>
      </c>
      <c r="B575" s="6">
        <f t="shared" si="135"/>
        <v>2026</v>
      </c>
      <c r="C575" s="1" t="s">
        <v>8</v>
      </c>
      <c r="D575" s="2" t="s">
        <v>128</v>
      </c>
      <c r="E575" s="9" t="str">
        <f t="shared" si="134"/>
        <v>PRBNP'!</v>
      </c>
      <c r="F575" s="5" t="str">
        <f t="shared" si="127"/>
        <v>C:\Users\jaime.benazar\Quorum Business Solutions\Ecopetrol Prometeo - Documents\Planning Space Implementation\3. Analysis &amp; Design\Design\FC22\DRR Jaime\QUIFA-CAJÚA\Cajua\[VAS_CAJUA_CF_SEC_20230125.xlsx]CF PRBNP'!</v>
      </c>
      <c r="G575" s="6" t="s">
        <v>36</v>
      </c>
      <c r="H575" s="1"/>
      <c r="I575" s="1"/>
      <c r="J575" s="1"/>
    </row>
    <row r="576" spans="1:10" x14ac:dyDescent="0.25">
      <c r="A576" s="6" t="s">
        <v>100</v>
      </c>
      <c r="B576" s="6">
        <f t="shared" si="135"/>
        <v>2027</v>
      </c>
      <c r="C576" s="1" t="s">
        <v>8</v>
      </c>
      <c r="D576" s="2" t="s">
        <v>128</v>
      </c>
      <c r="E576" s="9" t="str">
        <f t="shared" si="134"/>
        <v>PRBNP'!</v>
      </c>
      <c r="F576" s="5" t="str">
        <f t="shared" si="127"/>
        <v>C:\Users\jaime.benazar\Quorum Business Solutions\Ecopetrol Prometeo - Documents\Planning Space Implementation\3. Analysis &amp; Design\Design\FC22\DRR Jaime\QUIFA-CAJÚA\Cajua\[VAS_CAJUA_CF_SEC_20230125.xlsx]CF PRBNP'!</v>
      </c>
      <c r="G576" s="6" t="s">
        <v>36</v>
      </c>
      <c r="H576" s="1"/>
      <c r="I576" s="1"/>
      <c r="J576" s="1"/>
    </row>
    <row r="577" spans="1:10" x14ac:dyDescent="0.25">
      <c r="A577" s="6" t="s">
        <v>100</v>
      </c>
      <c r="B577" s="6">
        <f t="shared" si="135"/>
        <v>2028</v>
      </c>
      <c r="C577" s="1" t="s">
        <v>8</v>
      </c>
      <c r="D577" s="2" t="s">
        <v>128</v>
      </c>
      <c r="E577" s="9" t="str">
        <f t="shared" si="134"/>
        <v>PRBNP'!</v>
      </c>
      <c r="F577" s="5" t="str">
        <f t="shared" si="127"/>
        <v>C:\Users\jaime.benazar\Quorum Business Solutions\Ecopetrol Prometeo - Documents\Planning Space Implementation\3. Analysis &amp; Design\Design\FC22\DRR Jaime\QUIFA-CAJÚA\Cajua\[VAS_CAJUA_CF_SEC_20230125.xlsx]CF PRBNP'!</v>
      </c>
      <c r="G577" s="6" t="s">
        <v>36</v>
      </c>
      <c r="H577" s="1"/>
      <c r="I577" s="1"/>
      <c r="J577" s="1"/>
    </row>
    <row r="578" spans="1:10" x14ac:dyDescent="0.25">
      <c r="A578" s="6" t="s">
        <v>100</v>
      </c>
      <c r="B578" s="6">
        <f t="shared" si="135"/>
        <v>2029</v>
      </c>
      <c r="C578" s="1" t="s">
        <v>8</v>
      </c>
      <c r="D578" s="2" t="s">
        <v>128</v>
      </c>
      <c r="E578" s="9" t="str">
        <f t="shared" si="134"/>
        <v>PRBNP'!</v>
      </c>
      <c r="F578" s="5" t="str">
        <f t="shared" si="127"/>
        <v>C:\Users\jaime.benazar\Quorum Business Solutions\Ecopetrol Prometeo - Documents\Planning Space Implementation\3. Analysis &amp; Design\Design\FC22\DRR Jaime\QUIFA-CAJÚA\Cajua\[VAS_CAJUA_CF_SEC_20230125.xlsx]CF PRBNP'!</v>
      </c>
      <c r="G578" s="6" t="s">
        <v>36</v>
      </c>
      <c r="H578" s="1"/>
      <c r="I578" s="1"/>
      <c r="J578" s="1"/>
    </row>
    <row r="579" spans="1:10" x14ac:dyDescent="0.25">
      <c r="A579" s="6" t="s">
        <v>100</v>
      </c>
      <c r="B579" s="6">
        <f t="shared" si="135"/>
        <v>2030</v>
      </c>
      <c r="C579" s="1" t="s">
        <v>8</v>
      </c>
      <c r="D579" s="2" t="s">
        <v>128</v>
      </c>
      <c r="E579" s="9" t="str">
        <f t="shared" si="134"/>
        <v>PRBNP'!</v>
      </c>
      <c r="F579" s="5" t="str">
        <f t="shared" si="127"/>
        <v>C:\Users\jaime.benazar\Quorum Business Solutions\Ecopetrol Prometeo - Documents\Planning Space Implementation\3. Analysis &amp; Design\Design\FC22\DRR Jaime\QUIFA-CAJÚA\Cajua\[VAS_CAJUA_CF_SEC_20230125.xlsx]CF PRBNP'!</v>
      </c>
      <c r="G579" s="6" t="s">
        <v>36</v>
      </c>
      <c r="H579" s="1"/>
      <c r="I579" s="1"/>
      <c r="J579" s="1"/>
    </row>
    <row r="580" spans="1:10" x14ac:dyDescent="0.25">
      <c r="A580" s="6" t="s">
        <v>100</v>
      </c>
      <c r="B580" s="6">
        <f t="shared" si="135"/>
        <v>2031</v>
      </c>
      <c r="C580" s="1" t="s">
        <v>8</v>
      </c>
      <c r="D580" s="2" t="s">
        <v>128</v>
      </c>
      <c r="E580" s="9" t="str">
        <f t="shared" si="134"/>
        <v>PRBNP'!</v>
      </c>
      <c r="F580" s="5" t="str">
        <f t="shared" si="127"/>
        <v>C:\Users\jaime.benazar\Quorum Business Solutions\Ecopetrol Prometeo - Documents\Planning Space Implementation\3. Analysis &amp; Design\Design\FC22\DRR Jaime\QUIFA-CAJÚA\Cajua\[VAS_CAJUA_CF_SEC_20230125.xlsx]CF PRBNP'!</v>
      </c>
      <c r="G580" s="6" t="s">
        <v>36</v>
      </c>
      <c r="H580" s="1"/>
      <c r="I580" s="1"/>
      <c r="J580" s="1"/>
    </row>
    <row r="581" spans="1:10" x14ac:dyDescent="0.25">
      <c r="A581" s="6" t="s">
        <v>100</v>
      </c>
      <c r="B581" s="6">
        <f t="shared" si="135"/>
        <v>2032</v>
      </c>
      <c r="C581" s="1" t="s">
        <v>8</v>
      </c>
      <c r="D581" s="2" t="s">
        <v>128</v>
      </c>
      <c r="E581" s="9" t="str">
        <f t="shared" si="134"/>
        <v>PRBNP'!</v>
      </c>
      <c r="F581" s="5" t="str">
        <f t="shared" si="127"/>
        <v>C:\Users\jaime.benazar\Quorum Business Solutions\Ecopetrol Prometeo - Documents\Planning Space Implementation\3. Analysis &amp; Design\Design\FC22\DRR Jaime\QUIFA-CAJÚA\Cajua\[VAS_CAJUA_CF_SEC_20230125.xlsx]CF PRBNP'!</v>
      </c>
      <c r="G581" s="6" t="s">
        <v>36</v>
      </c>
      <c r="H581" s="1"/>
      <c r="I581" s="1"/>
      <c r="J581" s="1"/>
    </row>
    <row r="582" spans="1:10" x14ac:dyDescent="0.25">
      <c r="A582" s="6" t="s">
        <v>100</v>
      </c>
      <c r="B582" s="6">
        <f t="shared" si="135"/>
        <v>2033</v>
      </c>
      <c r="C582" s="1" t="s">
        <v>8</v>
      </c>
      <c r="D582" s="2" t="s">
        <v>128</v>
      </c>
      <c r="E582" s="9" t="str">
        <f t="shared" si="134"/>
        <v>PRBNP'!</v>
      </c>
      <c r="F582" s="5" t="str">
        <f t="shared" si="127"/>
        <v>C:\Users\jaime.benazar\Quorum Business Solutions\Ecopetrol Prometeo - Documents\Planning Space Implementation\3. Analysis &amp; Design\Design\FC22\DRR Jaime\QUIFA-CAJÚA\Cajua\[VAS_CAJUA_CF_SEC_20230125.xlsx]CF PRBNP'!</v>
      </c>
      <c r="G582" s="6" t="s">
        <v>36</v>
      </c>
      <c r="H582" s="1"/>
      <c r="I582" s="1"/>
      <c r="J582" s="1"/>
    </row>
    <row r="583" spans="1:10" x14ac:dyDescent="0.25">
      <c r="A583" s="6" t="s">
        <v>100</v>
      </c>
      <c r="B583" s="6">
        <f t="shared" si="135"/>
        <v>2034</v>
      </c>
      <c r="C583" s="1" t="s">
        <v>8</v>
      </c>
      <c r="D583" s="2" t="s">
        <v>128</v>
      </c>
      <c r="E583" s="9" t="str">
        <f t="shared" si="134"/>
        <v>PRBNP'!</v>
      </c>
      <c r="F583" s="5" t="str">
        <f t="shared" si="127"/>
        <v>C:\Users\jaime.benazar\Quorum Business Solutions\Ecopetrol Prometeo - Documents\Planning Space Implementation\3. Analysis &amp; Design\Design\FC22\DRR Jaime\QUIFA-CAJÚA\Cajua\[VAS_CAJUA_CF_SEC_20230125.xlsx]CF PRBNP'!</v>
      </c>
      <c r="G583" s="6" t="s">
        <v>36</v>
      </c>
      <c r="H583" s="1"/>
      <c r="I583" s="1"/>
      <c r="J583" s="1"/>
    </row>
    <row r="584" spans="1:10" x14ac:dyDescent="0.25">
      <c r="A584" s="6" t="s">
        <v>100</v>
      </c>
      <c r="B584" s="6">
        <f t="shared" si="135"/>
        <v>2035</v>
      </c>
      <c r="C584" s="1" t="s">
        <v>8</v>
      </c>
      <c r="D584" s="2" t="s">
        <v>128</v>
      </c>
      <c r="E584" s="9" t="str">
        <f t="shared" si="134"/>
        <v>PRBNP'!</v>
      </c>
      <c r="F584" s="5" t="str">
        <f t="shared" si="127"/>
        <v>C:\Users\jaime.benazar\Quorum Business Solutions\Ecopetrol Prometeo - Documents\Planning Space Implementation\3. Analysis &amp; Design\Design\FC22\DRR Jaime\QUIFA-CAJÚA\Cajua\[VAS_CAJUA_CF_SEC_20230125.xlsx]CF PRBNP'!</v>
      </c>
      <c r="G584" s="6" t="s">
        <v>36</v>
      </c>
      <c r="H584" s="1"/>
      <c r="I584" s="1"/>
      <c r="J584" s="1"/>
    </row>
    <row r="585" spans="1:10" x14ac:dyDescent="0.25">
      <c r="A585" s="6" t="s">
        <v>100</v>
      </c>
      <c r="B585" s="6">
        <f t="shared" si="135"/>
        <v>2036</v>
      </c>
      <c r="C585" s="1" t="s">
        <v>8</v>
      </c>
      <c r="D585" s="2" t="s">
        <v>128</v>
      </c>
      <c r="E585" s="9" t="str">
        <f t="shared" si="134"/>
        <v>PRBNP'!</v>
      </c>
      <c r="F585" s="5" t="str">
        <f t="shared" si="127"/>
        <v>C:\Users\jaime.benazar\Quorum Business Solutions\Ecopetrol Prometeo - Documents\Planning Space Implementation\3. Analysis &amp; Design\Design\FC22\DRR Jaime\QUIFA-CAJÚA\Cajua\[VAS_CAJUA_CF_SEC_20230125.xlsx]CF PRBNP'!</v>
      </c>
      <c r="G585" s="6" t="s">
        <v>36</v>
      </c>
      <c r="H585" s="1"/>
      <c r="I585" s="1"/>
      <c r="J585" s="1"/>
    </row>
    <row r="586" spans="1:10" x14ac:dyDescent="0.25">
      <c r="A586" s="6" t="s">
        <v>100</v>
      </c>
      <c r="B586" s="6">
        <f>+B585+1</f>
        <v>2037</v>
      </c>
      <c r="C586" s="1" t="s">
        <v>8</v>
      </c>
      <c r="D586" s="2" t="s">
        <v>128</v>
      </c>
      <c r="E586" s="9" t="str">
        <f t="shared" si="134"/>
        <v>PRBNP'!</v>
      </c>
      <c r="F586" s="5" t="str">
        <f t="shared" si="127"/>
        <v>C:\Users\jaime.benazar\Quorum Business Solutions\Ecopetrol Prometeo - Documents\Planning Space Implementation\3. Analysis &amp; Design\Design\FC22\DRR Jaime\QUIFA-CAJÚA\Cajua\[VAS_CAJUA_CF_SEC_20230125.xlsx]CF PRBNP'!</v>
      </c>
      <c r="G586" s="6" t="s">
        <v>36</v>
      </c>
      <c r="H586" s="1"/>
      <c r="I586" s="1"/>
      <c r="J586" s="1"/>
    </row>
    <row r="587" spans="1:10" x14ac:dyDescent="0.25">
      <c r="A587" s="6" t="s">
        <v>100</v>
      </c>
      <c r="B587" s="6">
        <f t="shared" ref="B587:B589" si="136">+B586+1</f>
        <v>2038</v>
      </c>
      <c r="C587" s="1" t="s">
        <v>8</v>
      </c>
      <c r="D587" s="2" t="s">
        <v>128</v>
      </c>
      <c r="E587" s="9" t="str">
        <f t="shared" si="134"/>
        <v>PRBNP'!</v>
      </c>
      <c r="F587" s="5" t="str">
        <f t="shared" si="127"/>
        <v>C:\Users\jaime.benazar\Quorum Business Solutions\Ecopetrol Prometeo - Documents\Planning Space Implementation\3. Analysis &amp; Design\Design\FC22\DRR Jaime\QUIFA-CAJÚA\Cajua\[VAS_CAJUA_CF_SEC_20230125.xlsx]CF PRBNP'!</v>
      </c>
      <c r="G587" s="6" t="s">
        <v>36</v>
      </c>
      <c r="H587" s="1"/>
      <c r="I587" s="1"/>
      <c r="J587" s="1"/>
    </row>
    <row r="588" spans="1:10" x14ac:dyDescent="0.25">
      <c r="A588" s="6" t="s">
        <v>100</v>
      </c>
      <c r="B588" s="6">
        <f t="shared" si="136"/>
        <v>2039</v>
      </c>
      <c r="C588" s="1" t="s">
        <v>8</v>
      </c>
      <c r="D588" s="2" t="s">
        <v>128</v>
      </c>
      <c r="E588" s="9" t="str">
        <f t="shared" si="134"/>
        <v>PRBNP'!</v>
      </c>
      <c r="F588" s="5" t="str">
        <f t="shared" si="127"/>
        <v>C:\Users\jaime.benazar\Quorum Business Solutions\Ecopetrol Prometeo - Documents\Planning Space Implementation\3. Analysis &amp; Design\Design\FC22\DRR Jaime\QUIFA-CAJÚA\Cajua\[VAS_CAJUA_CF_SEC_20230125.xlsx]CF PRBNP'!</v>
      </c>
      <c r="G588" s="6" t="s">
        <v>36</v>
      </c>
      <c r="H588" s="1"/>
      <c r="I588" s="1"/>
      <c r="J588" s="1"/>
    </row>
    <row r="589" spans="1:10" x14ac:dyDescent="0.25">
      <c r="A589" s="6" t="s">
        <v>100</v>
      </c>
      <c r="B589" s="6">
        <f t="shared" si="136"/>
        <v>2040</v>
      </c>
      <c r="C589" s="1" t="s">
        <v>8</v>
      </c>
      <c r="D589" s="2" t="s">
        <v>128</v>
      </c>
      <c r="E589" s="9" t="str">
        <f t="shared" si="134"/>
        <v>PRBNP'!</v>
      </c>
      <c r="F589" s="5" t="str">
        <f t="shared" si="127"/>
        <v>C:\Users\jaime.benazar\Quorum Business Solutions\Ecopetrol Prometeo - Documents\Planning Space Implementation\3. Analysis &amp; Design\Design\FC22\DRR Jaime\QUIFA-CAJÚA\Cajua\[VAS_CAJUA_CF_SEC_20230125.xlsx]CF PRBNP'!</v>
      </c>
      <c r="G589" s="6" t="s">
        <v>36</v>
      </c>
      <c r="H589" s="1"/>
      <c r="I589" s="1"/>
      <c r="J589" s="1"/>
    </row>
    <row r="590" spans="1:10" x14ac:dyDescent="0.25">
      <c r="A590" s="6" t="s">
        <v>100</v>
      </c>
      <c r="B590" s="6">
        <f>+B589+1</f>
        <v>2041</v>
      </c>
      <c r="C590" s="1" t="s">
        <v>8</v>
      </c>
      <c r="D590" s="2" t="s">
        <v>128</v>
      </c>
      <c r="E590" s="9" t="str">
        <f t="shared" si="134"/>
        <v>PRBNP'!</v>
      </c>
      <c r="F590" s="5" t="str">
        <f t="shared" si="127"/>
        <v>C:\Users\jaime.benazar\Quorum Business Solutions\Ecopetrol Prometeo - Documents\Planning Space Implementation\3. Analysis &amp; Design\Design\FC22\DRR Jaime\QUIFA-CAJÚA\Cajua\[VAS_CAJUA_CF_SEC_20230125.xlsx]CF PRBNP'!</v>
      </c>
      <c r="G590" s="6" t="s">
        <v>36</v>
      </c>
      <c r="H590" s="1"/>
      <c r="I590" s="1"/>
      <c r="J590" s="1"/>
    </row>
    <row r="591" spans="1:10" x14ac:dyDescent="0.25">
      <c r="A591" s="6" t="s">
        <v>100</v>
      </c>
      <c r="B591" s="6">
        <f t="shared" ref="B591:B592" si="137">+B590+1</f>
        <v>2042</v>
      </c>
      <c r="C591" s="1" t="s">
        <v>8</v>
      </c>
      <c r="D591" s="2" t="s">
        <v>128</v>
      </c>
      <c r="E591" s="9" t="str">
        <f t="shared" si="134"/>
        <v>PRBNP'!</v>
      </c>
      <c r="F591" s="5" t="str">
        <f t="shared" si="127"/>
        <v>C:\Users\jaime.benazar\Quorum Business Solutions\Ecopetrol Prometeo - Documents\Planning Space Implementation\3. Analysis &amp; Design\Design\FC22\DRR Jaime\QUIFA-CAJÚA\Cajua\[VAS_CAJUA_CF_SEC_20230125.xlsx]CF PRBNP'!</v>
      </c>
      <c r="G591" s="6" t="s">
        <v>36</v>
      </c>
      <c r="H591" s="1"/>
      <c r="I591" s="1"/>
      <c r="J591" s="1"/>
    </row>
    <row r="592" spans="1:10" x14ac:dyDescent="0.25">
      <c r="A592" s="6" t="s">
        <v>100</v>
      </c>
      <c r="B592" s="6">
        <f t="shared" si="137"/>
        <v>2043</v>
      </c>
      <c r="C592" s="1" t="s">
        <v>8</v>
      </c>
      <c r="D592" s="2" t="s">
        <v>128</v>
      </c>
      <c r="E592" s="9" t="str">
        <f t="shared" si="134"/>
        <v>PRBNP'!</v>
      </c>
      <c r="F592" s="5" t="str">
        <f t="shared" si="127"/>
        <v>C:\Users\jaime.benazar\Quorum Business Solutions\Ecopetrol Prometeo - Documents\Planning Space Implementation\3. Analysis &amp; Design\Design\FC22\DRR Jaime\QUIFA-CAJÚA\Cajua\[VAS_CAJUA_CF_SEC_20230125.xlsx]CF PRBNP'!</v>
      </c>
      <c r="G592" s="6" t="s">
        <v>36</v>
      </c>
      <c r="H592" s="1"/>
      <c r="I592" s="1"/>
      <c r="J592" s="1"/>
    </row>
    <row r="593" spans="1:10" x14ac:dyDescent="0.25">
      <c r="A593" s="6" t="s">
        <v>100</v>
      </c>
      <c r="B593" s="6">
        <f>+B592+1</f>
        <v>2044</v>
      </c>
      <c r="C593" s="1" t="s">
        <v>8</v>
      </c>
      <c r="D593" s="2" t="s">
        <v>128</v>
      </c>
      <c r="E593" s="9" t="str">
        <f t="shared" ref="E593:E608" si="138">_xlfn.CONCAT(A593,"'!")</f>
        <v>PRBNP'!</v>
      </c>
      <c r="F593" s="5" t="str">
        <f t="shared" ref="F593:F608" si="139">_xlfn.CONCAT(D593," ",E593)</f>
        <v>C:\Users\jaime.benazar\Quorum Business Solutions\Ecopetrol Prometeo - Documents\Planning Space Implementation\3. Analysis &amp; Design\Design\FC22\DRR Jaime\QUIFA-CAJÚA\Cajua\[VAS_CAJUA_CF_SEC_20230125.xlsx]CF PRBNP'!</v>
      </c>
      <c r="G593" s="6" t="s">
        <v>36</v>
      </c>
      <c r="H593" s="1"/>
      <c r="I593" s="1"/>
      <c r="J593" s="1"/>
    </row>
    <row r="594" spans="1:10" x14ac:dyDescent="0.25">
      <c r="A594" s="6" t="s">
        <v>100</v>
      </c>
      <c r="B594" s="6">
        <f t="shared" ref="B594:B608" si="140">+B593+1</f>
        <v>2045</v>
      </c>
      <c r="C594" s="1" t="s">
        <v>8</v>
      </c>
      <c r="D594" s="2" t="s">
        <v>128</v>
      </c>
      <c r="E594" s="9" t="str">
        <f t="shared" si="138"/>
        <v>PRBNP'!</v>
      </c>
      <c r="F594" s="5" t="str">
        <f t="shared" si="139"/>
        <v>C:\Users\jaime.benazar\Quorum Business Solutions\Ecopetrol Prometeo - Documents\Planning Space Implementation\3. Analysis &amp; Design\Design\FC22\DRR Jaime\QUIFA-CAJÚA\Cajua\[VAS_CAJUA_CF_SEC_20230125.xlsx]CF PRBNP'!</v>
      </c>
      <c r="G594" s="6" t="s">
        <v>36</v>
      </c>
      <c r="H594" s="1"/>
      <c r="I594" s="1"/>
      <c r="J594" s="1"/>
    </row>
    <row r="595" spans="1:10" x14ac:dyDescent="0.25">
      <c r="A595" s="6" t="s">
        <v>100</v>
      </c>
      <c r="B595" s="6">
        <f t="shared" si="140"/>
        <v>2046</v>
      </c>
      <c r="C595" s="1" t="s">
        <v>8</v>
      </c>
      <c r="D595" s="2" t="s">
        <v>128</v>
      </c>
      <c r="E595" s="9" t="str">
        <f t="shared" si="138"/>
        <v>PRBNP'!</v>
      </c>
      <c r="F595" s="5" t="str">
        <f t="shared" si="139"/>
        <v>C:\Users\jaime.benazar\Quorum Business Solutions\Ecopetrol Prometeo - Documents\Planning Space Implementation\3. Analysis &amp; Design\Design\FC22\DRR Jaime\QUIFA-CAJÚA\Cajua\[VAS_CAJUA_CF_SEC_20230125.xlsx]CF PRBNP'!</v>
      </c>
      <c r="G595" s="6" t="s">
        <v>36</v>
      </c>
      <c r="H595" s="1"/>
      <c r="I595" s="1"/>
      <c r="J595" s="1"/>
    </row>
    <row r="596" spans="1:10" x14ac:dyDescent="0.25">
      <c r="A596" s="6" t="s">
        <v>100</v>
      </c>
      <c r="B596" s="6">
        <f t="shared" si="140"/>
        <v>2047</v>
      </c>
      <c r="C596" s="1" t="s">
        <v>8</v>
      </c>
      <c r="D596" s="2" t="s">
        <v>128</v>
      </c>
      <c r="E596" s="9" t="str">
        <f t="shared" si="138"/>
        <v>PRBNP'!</v>
      </c>
      <c r="F596" s="5" t="str">
        <f t="shared" si="139"/>
        <v>C:\Users\jaime.benazar\Quorum Business Solutions\Ecopetrol Prometeo - Documents\Planning Space Implementation\3. Analysis &amp; Design\Design\FC22\DRR Jaime\QUIFA-CAJÚA\Cajua\[VAS_CAJUA_CF_SEC_20230125.xlsx]CF PRBNP'!</v>
      </c>
      <c r="G596" s="6" t="s">
        <v>36</v>
      </c>
      <c r="H596" s="1"/>
      <c r="I596" s="1"/>
      <c r="J596" s="1"/>
    </row>
    <row r="597" spans="1:10" x14ac:dyDescent="0.25">
      <c r="A597" s="6" t="s">
        <v>100</v>
      </c>
      <c r="B597" s="6">
        <f t="shared" si="140"/>
        <v>2048</v>
      </c>
      <c r="C597" s="1" t="s">
        <v>8</v>
      </c>
      <c r="D597" s="2" t="s">
        <v>128</v>
      </c>
      <c r="E597" s="9" t="str">
        <f t="shared" si="138"/>
        <v>PRBNP'!</v>
      </c>
      <c r="F597" s="5" t="str">
        <f t="shared" si="139"/>
        <v>C:\Users\jaime.benazar\Quorum Business Solutions\Ecopetrol Prometeo - Documents\Planning Space Implementation\3. Analysis &amp; Design\Design\FC22\DRR Jaime\QUIFA-CAJÚA\Cajua\[VAS_CAJUA_CF_SEC_20230125.xlsx]CF PRBNP'!</v>
      </c>
      <c r="G597" s="6" t="s">
        <v>36</v>
      </c>
      <c r="H597" s="1"/>
      <c r="I597" s="1"/>
      <c r="J597" s="1"/>
    </row>
    <row r="598" spans="1:10" x14ac:dyDescent="0.25">
      <c r="A598" s="6" t="s">
        <v>100</v>
      </c>
      <c r="B598" s="6">
        <f t="shared" si="140"/>
        <v>2049</v>
      </c>
      <c r="C598" s="1" t="s">
        <v>8</v>
      </c>
      <c r="D598" s="2" t="s">
        <v>128</v>
      </c>
      <c r="E598" s="9" t="str">
        <f t="shared" si="138"/>
        <v>PRBNP'!</v>
      </c>
      <c r="F598" s="5" t="str">
        <f t="shared" si="139"/>
        <v>C:\Users\jaime.benazar\Quorum Business Solutions\Ecopetrol Prometeo - Documents\Planning Space Implementation\3. Analysis &amp; Design\Design\FC22\DRR Jaime\QUIFA-CAJÚA\Cajua\[VAS_CAJUA_CF_SEC_20230125.xlsx]CF PRBNP'!</v>
      </c>
      <c r="G598" s="6" t="s">
        <v>36</v>
      </c>
      <c r="H598" s="1"/>
      <c r="I598" s="1"/>
      <c r="J598" s="1"/>
    </row>
    <row r="599" spans="1:10" x14ac:dyDescent="0.25">
      <c r="A599" s="6" t="s">
        <v>100</v>
      </c>
      <c r="B599" s="6">
        <f t="shared" si="140"/>
        <v>2050</v>
      </c>
      <c r="C599" s="1" t="s">
        <v>8</v>
      </c>
      <c r="D599" s="2" t="s">
        <v>128</v>
      </c>
      <c r="E599" s="9" t="str">
        <f t="shared" si="138"/>
        <v>PRBNP'!</v>
      </c>
      <c r="F599" s="5" t="str">
        <f t="shared" si="139"/>
        <v>C:\Users\jaime.benazar\Quorum Business Solutions\Ecopetrol Prometeo - Documents\Planning Space Implementation\3. Analysis &amp; Design\Design\FC22\DRR Jaime\QUIFA-CAJÚA\Cajua\[VAS_CAJUA_CF_SEC_20230125.xlsx]CF PRBNP'!</v>
      </c>
      <c r="G599" s="6" t="s">
        <v>36</v>
      </c>
      <c r="H599" s="1"/>
      <c r="I599" s="1"/>
      <c r="J599" s="1"/>
    </row>
    <row r="600" spans="1:10" x14ac:dyDescent="0.25">
      <c r="A600" s="6" t="s">
        <v>100</v>
      </c>
      <c r="B600" s="6">
        <f t="shared" si="140"/>
        <v>2051</v>
      </c>
      <c r="C600" s="1" t="s">
        <v>8</v>
      </c>
      <c r="D600" s="2" t="s">
        <v>128</v>
      </c>
      <c r="E600" s="9" t="str">
        <f t="shared" si="138"/>
        <v>PRBNP'!</v>
      </c>
      <c r="F600" s="5" t="str">
        <f t="shared" si="139"/>
        <v>C:\Users\jaime.benazar\Quorum Business Solutions\Ecopetrol Prometeo - Documents\Planning Space Implementation\3. Analysis &amp; Design\Design\FC22\DRR Jaime\QUIFA-CAJÚA\Cajua\[VAS_CAJUA_CF_SEC_20230125.xlsx]CF PRBNP'!</v>
      </c>
      <c r="G600" s="6" t="s">
        <v>36</v>
      </c>
      <c r="H600" s="1"/>
      <c r="I600" s="1"/>
      <c r="J600" s="1"/>
    </row>
    <row r="601" spans="1:10" x14ac:dyDescent="0.25">
      <c r="A601" s="6" t="s">
        <v>100</v>
      </c>
      <c r="B601" s="6">
        <f t="shared" si="140"/>
        <v>2052</v>
      </c>
      <c r="C601" s="1" t="s">
        <v>8</v>
      </c>
      <c r="D601" s="2" t="s">
        <v>128</v>
      </c>
      <c r="E601" s="9" t="str">
        <f t="shared" si="138"/>
        <v>PRBNP'!</v>
      </c>
      <c r="F601" s="5" t="str">
        <f t="shared" si="139"/>
        <v>C:\Users\jaime.benazar\Quorum Business Solutions\Ecopetrol Prometeo - Documents\Planning Space Implementation\3. Analysis &amp; Design\Design\FC22\DRR Jaime\QUIFA-CAJÚA\Cajua\[VAS_CAJUA_CF_SEC_20230125.xlsx]CF PRBNP'!</v>
      </c>
      <c r="G601" s="6" t="s">
        <v>36</v>
      </c>
      <c r="H601" s="1"/>
      <c r="I601" s="1"/>
      <c r="J601" s="1"/>
    </row>
    <row r="602" spans="1:10" x14ac:dyDescent="0.25">
      <c r="A602" s="6" t="s">
        <v>100</v>
      </c>
      <c r="B602" s="6">
        <f t="shared" si="140"/>
        <v>2053</v>
      </c>
      <c r="C602" s="1" t="s">
        <v>8</v>
      </c>
      <c r="D602" s="2" t="s">
        <v>128</v>
      </c>
      <c r="E602" s="9" t="str">
        <f t="shared" si="138"/>
        <v>PRBNP'!</v>
      </c>
      <c r="F602" s="5" t="str">
        <f t="shared" si="139"/>
        <v>C:\Users\jaime.benazar\Quorum Business Solutions\Ecopetrol Prometeo - Documents\Planning Space Implementation\3. Analysis &amp; Design\Design\FC22\DRR Jaime\QUIFA-CAJÚA\Cajua\[VAS_CAJUA_CF_SEC_20230125.xlsx]CF PRBNP'!</v>
      </c>
      <c r="G602" s="6" t="s">
        <v>36</v>
      </c>
      <c r="H602" s="1"/>
      <c r="I602" s="1"/>
      <c r="J602" s="1"/>
    </row>
    <row r="603" spans="1:10" x14ac:dyDescent="0.25">
      <c r="A603" s="6" t="s">
        <v>100</v>
      </c>
      <c r="B603" s="6">
        <f t="shared" si="140"/>
        <v>2054</v>
      </c>
      <c r="C603" s="1" t="s">
        <v>8</v>
      </c>
      <c r="D603" s="2" t="s">
        <v>128</v>
      </c>
      <c r="E603" s="9" t="str">
        <f t="shared" si="138"/>
        <v>PRBNP'!</v>
      </c>
      <c r="F603" s="5" t="str">
        <f t="shared" si="139"/>
        <v>C:\Users\jaime.benazar\Quorum Business Solutions\Ecopetrol Prometeo - Documents\Planning Space Implementation\3. Analysis &amp; Design\Design\FC22\DRR Jaime\QUIFA-CAJÚA\Cajua\[VAS_CAJUA_CF_SEC_20230125.xlsx]CF PRBNP'!</v>
      </c>
      <c r="G603" s="6" t="s">
        <v>36</v>
      </c>
      <c r="H603" s="1"/>
      <c r="I603" s="1"/>
      <c r="J603" s="1"/>
    </row>
    <row r="604" spans="1:10" x14ac:dyDescent="0.25">
      <c r="A604" s="6" t="s">
        <v>100</v>
      </c>
      <c r="B604" s="6">
        <f t="shared" si="140"/>
        <v>2055</v>
      </c>
      <c r="C604" s="1" t="s">
        <v>8</v>
      </c>
      <c r="D604" s="2" t="s">
        <v>128</v>
      </c>
      <c r="E604" s="9" t="str">
        <f t="shared" si="138"/>
        <v>PRBNP'!</v>
      </c>
      <c r="F604" s="5" t="str">
        <f t="shared" si="139"/>
        <v>C:\Users\jaime.benazar\Quorum Business Solutions\Ecopetrol Prometeo - Documents\Planning Space Implementation\3. Analysis &amp; Design\Design\FC22\DRR Jaime\QUIFA-CAJÚA\Cajua\[VAS_CAJUA_CF_SEC_20230125.xlsx]CF PRBNP'!</v>
      </c>
      <c r="G604" s="6" t="s">
        <v>36</v>
      </c>
      <c r="H604" s="1"/>
      <c r="I604" s="1"/>
      <c r="J604" s="1"/>
    </row>
    <row r="605" spans="1:10" x14ac:dyDescent="0.25">
      <c r="A605" s="6" t="s">
        <v>100</v>
      </c>
      <c r="B605" s="6">
        <f t="shared" si="140"/>
        <v>2056</v>
      </c>
      <c r="C605" s="1" t="s">
        <v>8</v>
      </c>
      <c r="D605" s="2" t="s">
        <v>128</v>
      </c>
      <c r="E605" s="9" t="str">
        <f t="shared" si="138"/>
        <v>PRBNP'!</v>
      </c>
      <c r="F605" s="5" t="str">
        <f t="shared" si="139"/>
        <v>C:\Users\jaime.benazar\Quorum Business Solutions\Ecopetrol Prometeo - Documents\Planning Space Implementation\3. Analysis &amp; Design\Design\FC22\DRR Jaime\QUIFA-CAJÚA\Cajua\[VAS_CAJUA_CF_SEC_20230125.xlsx]CF PRBNP'!</v>
      </c>
      <c r="G605" s="6" t="s">
        <v>36</v>
      </c>
      <c r="H605" s="1"/>
      <c r="I605" s="1"/>
      <c r="J605" s="1"/>
    </row>
    <row r="606" spans="1:10" x14ac:dyDescent="0.25">
      <c r="A606" s="6" t="s">
        <v>100</v>
      </c>
      <c r="B606" s="6">
        <f t="shared" si="140"/>
        <v>2057</v>
      </c>
      <c r="C606" s="1" t="s">
        <v>8</v>
      </c>
      <c r="D606" s="2" t="s">
        <v>128</v>
      </c>
      <c r="E606" s="9" t="str">
        <f t="shared" si="138"/>
        <v>PRBNP'!</v>
      </c>
      <c r="F606" s="5" t="str">
        <f t="shared" si="139"/>
        <v>C:\Users\jaime.benazar\Quorum Business Solutions\Ecopetrol Prometeo - Documents\Planning Space Implementation\3. Analysis &amp; Design\Design\FC22\DRR Jaime\QUIFA-CAJÚA\Cajua\[VAS_CAJUA_CF_SEC_20230125.xlsx]CF PRBNP'!</v>
      </c>
      <c r="G606" s="6" t="s">
        <v>36</v>
      </c>
      <c r="H606" s="1"/>
      <c r="I606" s="1"/>
      <c r="J606" s="1"/>
    </row>
    <row r="607" spans="1:10" x14ac:dyDescent="0.25">
      <c r="A607" s="6" t="s">
        <v>100</v>
      </c>
      <c r="B607" s="6">
        <f t="shared" si="140"/>
        <v>2058</v>
      </c>
      <c r="C607" s="1" t="s">
        <v>8</v>
      </c>
      <c r="D607" s="2" t="s">
        <v>128</v>
      </c>
      <c r="E607" s="9" t="str">
        <f t="shared" si="138"/>
        <v>PRBNP'!</v>
      </c>
      <c r="F607" s="5" t="str">
        <f t="shared" si="139"/>
        <v>C:\Users\jaime.benazar\Quorum Business Solutions\Ecopetrol Prometeo - Documents\Planning Space Implementation\3. Analysis &amp; Design\Design\FC22\DRR Jaime\QUIFA-CAJÚA\Cajua\[VAS_CAJUA_CF_SEC_20230125.xlsx]CF PRBNP'!</v>
      </c>
      <c r="G607" s="6" t="s">
        <v>36</v>
      </c>
      <c r="H607" s="1"/>
      <c r="I607" s="1"/>
      <c r="J607" s="1"/>
    </row>
    <row r="608" spans="1:10" x14ac:dyDescent="0.25">
      <c r="A608" s="6" t="s">
        <v>100</v>
      </c>
      <c r="B608" s="6">
        <f t="shared" si="140"/>
        <v>2059</v>
      </c>
      <c r="C608" s="1" t="s">
        <v>8</v>
      </c>
      <c r="D608" s="2" t="s">
        <v>128</v>
      </c>
      <c r="E608" s="9" t="str">
        <f t="shared" si="138"/>
        <v>PRBNP'!</v>
      </c>
      <c r="F608" s="5" t="str">
        <f t="shared" si="139"/>
        <v>C:\Users\jaime.benazar\Quorum Business Solutions\Ecopetrol Prometeo - Documents\Planning Space Implementation\3. Analysis &amp; Design\Design\FC22\DRR Jaime\QUIFA-CAJÚA\Cajua\[VAS_CAJUA_CF_SEC_20230125.xlsx]CF PRBNP'!</v>
      </c>
      <c r="G608" s="6" t="s">
        <v>36</v>
      </c>
      <c r="H608" s="1"/>
      <c r="I608" s="1"/>
      <c r="J608" s="1"/>
    </row>
    <row r="609" spans="1:10" x14ac:dyDescent="0.25">
      <c r="A609" s="6" t="s">
        <v>28</v>
      </c>
      <c r="B609" s="6"/>
      <c r="C609" s="1" t="s">
        <v>8</v>
      </c>
      <c r="D609" s="2"/>
      <c r="E609" s="9"/>
      <c r="F609" s="2"/>
      <c r="G609" s="6"/>
      <c r="H609" s="1"/>
      <c r="I609" s="1"/>
      <c r="J609" s="1"/>
    </row>
    <row r="610" spans="1:10" x14ac:dyDescent="0.25">
      <c r="A610" s="6" t="s">
        <v>101</v>
      </c>
      <c r="B610" s="6">
        <v>2023</v>
      </c>
      <c r="C610" s="1" t="s">
        <v>8</v>
      </c>
      <c r="D610" s="2" t="s">
        <v>128</v>
      </c>
      <c r="E610" s="9" t="str">
        <f t="shared" ref="E610:E630" si="141">_xlfn.CONCAT(A610,"'!")</f>
        <v>PRBND'!</v>
      </c>
      <c r="F610" s="5" t="str">
        <f t="shared" si="127"/>
        <v>C:\Users\jaime.benazar\Quorum Business Solutions\Ecopetrol Prometeo - Documents\Planning Space Implementation\3. Analysis &amp; Design\Design\FC22\DRR Jaime\QUIFA-CAJÚA\Cajua\[VAS_CAJUA_CF_SEC_20230125.xlsx]CF PRBND'!</v>
      </c>
      <c r="G610" s="6" t="s">
        <v>36</v>
      </c>
      <c r="H610" s="1"/>
      <c r="I610" s="1"/>
      <c r="J610" s="1"/>
    </row>
    <row r="611" spans="1:10" x14ac:dyDescent="0.25">
      <c r="A611" s="6" t="s">
        <v>101</v>
      </c>
      <c r="B611" s="6">
        <f>+B610+1</f>
        <v>2024</v>
      </c>
      <c r="C611" s="1" t="s">
        <v>8</v>
      </c>
      <c r="D611" s="2" t="s">
        <v>128</v>
      </c>
      <c r="E611" s="9" t="str">
        <f t="shared" si="141"/>
        <v>PRBND'!</v>
      </c>
      <c r="F611" s="5" t="str">
        <f t="shared" si="127"/>
        <v>C:\Users\jaime.benazar\Quorum Business Solutions\Ecopetrol Prometeo - Documents\Planning Space Implementation\3. Analysis &amp; Design\Design\FC22\DRR Jaime\QUIFA-CAJÚA\Cajua\[VAS_CAJUA_CF_SEC_20230125.xlsx]CF PRBND'!</v>
      </c>
      <c r="G611" s="6" t="s">
        <v>36</v>
      </c>
      <c r="H611" s="1"/>
      <c r="I611" s="1"/>
      <c r="J611" s="1"/>
    </row>
    <row r="612" spans="1:10" x14ac:dyDescent="0.25">
      <c r="A612" s="6" t="s">
        <v>101</v>
      </c>
      <c r="B612" s="6">
        <f t="shared" ref="B612:B623" si="142">+B611+1</f>
        <v>2025</v>
      </c>
      <c r="C612" s="1" t="s">
        <v>8</v>
      </c>
      <c r="D612" s="2" t="s">
        <v>128</v>
      </c>
      <c r="E612" s="9" t="str">
        <f t="shared" si="141"/>
        <v>PRBND'!</v>
      </c>
      <c r="F612" s="5" t="str">
        <f t="shared" si="127"/>
        <v>C:\Users\jaime.benazar\Quorum Business Solutions\Ecopetrol Prometeo - Documents\Planning Space Implementation\3. Analysis &amp; Design\Design\FC22\DRR Jaime\QUIFA-CAJÚA\Cajua\[VAS_CAJUA_CF_SEC_20230125.xlsx]CF PRBND'!</v>
      </c>
      <c r="G612" s="6" t="s">
        <v>36</v>
      </c>
      <c r="H612" s="1"/>
      <c r="I612" s="1"/>
      <c r="J612" s="1"/>
    </row>
    <row r="613" spans="1:10" x14ac:dyDescent="0.25">
      <c r="A613" s="6" t="s">
        <v>101</v>
      </c>
      <c r="B613" s="6">
        <f t="shared" si="142"/>
        <v>2026</v>
      </c>
      <c r="C613" s="1" t="s">
        <v>8</v>
      </c>
      <c r="D613" s="2" t="s">
        <v>128</v>
      </c>
      <c r="E613" s="9" t="str">
        <f t="shared" si="141"/>
        <v>PRBND'!</v>
      </c>
      <c r="F613" s="5" t="str">
        <f t="shared" si="127"/>
        <v>C:\Users\jaime.benazar\Quorum Business Solutions\Ecopetrol Prometeo - Documents\Planning Space Implementation\3. Analysis &amp; Design\Design\FC22\DRR Jaime\QUIFA-CAJÚA\Cajua\[VAS_CAJUA_CF_SEC_20230125.xlsx]CF PRBND'!</v>
      </c>
      <c r="G613" s="6" t="s">
        <v>36</v>
      </c>
      <c r="H613" s="1"/>
      <c r="I613" s="1"/>
      <c r="J613" s="1"/>
    </row>
    <row r="614" spans="1:10" x14ac:dyDescent="0.25">
      <c r="A614" s="6" t="s">
        <v>101</v>
      </c>
      <c r="B614" s="6">
        <f t="shared" si="142"/>
        <v>2027</v>
      </c>
      <c r="C614" s="1" t="s">
        <v>8</v>
      </c>
      <c r="D614" s="2" t="s">
        <v>128</v>
      </c>
      <c r="E614" s="9" t="str">
        <f t="shared" si="141"/>
        <v>PRBND'!</v>
      </c>
      <c r="F614" s="5" t="str">
        <f t="shared" si="127"/>
        <v>C:\Users\jaime.benazar\Quorum Business Solutions\Ecopetrol Prometeo - Documents\Planning Space Implementation\3. Analysis &amp; Design\Design\FC22\DRR Jaime\QUIFA-CAJÚA\Cajua\[VAS_CAJUA_CF_SEC_20230125.xlsx]CF PRBND'!</v>
      </c>
      <c r="G614" s="6" t="s">
        <v>36</v>
      </c>
      <c r="H614" s="1"/>
      <c r="I614" s="1"/>
      <c r="J614" s="1"/>
    </row>
    <row r="615" spans="1:10" x14ac:dyDescent="0.25">
      <c r="A615" s="6" t="s">
        <v>101</v>
      </c>
      <c r="B615" s="6">
        <f t="shared" si="142"/>
        <v>2028</v>
      </c>
      <c r="C615" s="1" t="s">
        <v>8</v>
      </c>
      <c r="D615" s="2" t="s">
        <v>128</v>
      </c>
      <c r="E615" s="9" t="str">
        <f t="shared" si="141"/>
        <v>PRBND'!</v>
      </c>
      <c r="F615" s="5" t="str">
        <f t="shared" si="127"/>
        <v>C:\Users\jaime.benazar\Quorum Business Solutions\Ecopetrol Prometeo - Documents\Planning Space Implementation\3. Analysis &amp; Design\Design\FC22\DRR Jaime\QUIFA-CAJÚA\Cajua\[VAS_CAJUA_CF_SEC_20230125.xlsx]CF PRBND'!</v>
      </c>
      <c r="G615" s="6" t="s">
        <v>36</v>
      </c>
      <c r="H615" s="1"/>
      <c r="I615" s="1"/>
      <c r="J615" s="1"/>
    </row>
    <row r="616" spans="1:10" x14ac:dyDescent="0.25">
      <c r="A616" s="6" t="s">
        <v>101</v>
      </c>
      <c r="B616" s="6">
        <f t="shared" si="142"/>
        <v>2029</v>
      </c>
      <c r="C616" s="1" t="s">
        <v>8</v>
      </c>
      <c r="D616" s="2" t="s">
        <v>128</v>
      </c>
      <c r="E616" s="9" t="str">
        <f t="shared" si="141"/>
        <v>PRBND'!</v>
      </c>
      <c r="F616" s="5" t="str">
        <f t="shared" si="127"/>
        <v>C:\Users\jaime.benazar\Quorum Business Solutions\Ecopetrol Prometeo - Documents\Planning Space Implementation\3. Analysis &amp; Design\Design\FC22\DRR Jaime\QUIFA-CAJÚA\Cajua\[VAS_CAJUA_CF_SEC_20230125.xlsx]CF PRBND'!</v>
      </c>
      <c r="G616" s="6" t="s">
        <v>36</v>
      </c>
      <c r="H616" s="1"/>
      <c r="I616" s="1"/>
      <c r="J616" s="1"/>
    </row>
    <row r="617" spans="1:10" x14ac:dyDescent="0.25">
      <c r="A617" s="6" t="s">
        <v>101</v>
      </c>
      <c r="B617" s="6">
        <f t="shared" si="142"/>
        <v>2030</v>
      </c>
      <c r="C617" s="1" t="s">
        <v>8</v>
      </c>
      <c r="D617" s="2" t="s">
        <v>128</v>
      </c>
      <c r="E617" s="9" t="str">
        <f t="shared" si="141"/>
        <v>PRBND'!</v>
      </c>
      <c r="F617" s="5" t="str">
        <f t="shared" si="127"/>
        <v>C:\Users\jaime.benazar\Quorum Business Solutions\Ecopetrol Prometeo - Documents\Planning Space Implementation\3. Analysis &amp; Design\Design\FC22\DRR Jaime\QUIFA-CAJÚA\Cajua\[VAS_CAJUA_CF_SEC_20230125.xlsx]CF PRBND'!</v>
      </c>
      <c r="G617" s="6" t="s">
        <v>36</v>
      </c>
      <c r="H617" s="1"/>
      <c r="I617" s="1"/>
      <c r="J617" s="1"/>
    </row>
    <row r="618" spans="1:10" x14ac:dyDescent="0.25">
      <c r="A618" s="6" t="s">
        <v>101</v>
      </c>
      <c r="B618" s="6">
        <f t="shared" si="142"/>
        <v>2031</v>
      </c>
      <c r="C618" s="1" t="s">
        <v>8</v>
      </c>
      <c r="D618" s="2" t="s">
        <v>128</v>
      </c>
      <c r="E618" s="9" t="str">
        <f t="shared" si="141"/>
        <v>PRBND'!</v>
      </c>
      <c r="F618" s="5" t="str">
        <f t="shared" si="127"/>
        <v>C:\Users\jaime.benazar\Quorum Business Solutions\Ecopetrol Prometeo - Documents\Planning Space Implementation\3. Analysis &amp; Design\Design\FC22\DRR Jaime\QUIFA-CAJÚA\Cajua\[VAS_CAJUA_CF_SEC_20230125.xlsx]CF PRBND'!</v>
      </c>
      <c r="G618" s="6" t="s">
        <v>36</v>
      </c>
      <c r="H618" s="1"/>
      <c r="I618" s="1"/>
      <c r="J618" s="1"/>
    </row>
    <row r="619" spans="1:10" x14ac:dyDescent="0.25">
      <c r="A619" s="6" t="s">
        <v>101</v>
      </c>
      <c r="B619" s="6">
        <f t="shared" si="142"/>
        <v>2032</v>
      </c>
      <c r="C619" s="1" t="s">
        <v>8</v>
      </c>
      <c r="D619" s="2" t="s">
        <v>128</v>
      </c>
      <c r="E619" s="9" t="str">
        <f t="shared" si="141"/>
        <v>PRBND'!</v>
      </c>
      <c r="F619" s="5" t="str">
        <f t="shared" si="127"/>
        <v>C:\Users\jaime.benazar\Quorum Business Solutions\Ecopetrol Prometeo - Documents\Planning Space Implementation\3. Analysis &amp; Design\Design\FC22\DRR Jaime\QUIFA-CAJÚA\Cajua\[VAS_CAJUA_CF_SEC_20230125.xlsx]CF PRBND'!</v>
      </c>
      <c r="G619" s="6" t="s">
        <v>36</v>
      </c>
      <c r="H619" s="1"/>
      <c r="I619" s="1"/>
      <c r="J619" s="1"/>
    </row>
    <row r="620" spans="1:10" x14ac:dyDescent="0.25">
      <c r="A620" s="6" t="s">
        <v>101</v>
      </c>
      <c r="B620" s="6">
        <f t="shared" si="142"/>
        <v>2033</v>
      </c>
      <c r="C620" s="1" t="s">
        <v>8</v>
      </c>
      <c r="D620" s="2" t="s">
        <v>128</v>
      </c>
      <c r="E620" s="9" t="str">
        <f t="shared" si="141"/>
        <v>PRBND'!</v>
      </c>
      <c r="F620" s="5" t="str">
        <f t="shared" si="127"/>
        <v>C:\Users\jaime.benazar\Quorum Business Solutions\Ecopetrol Prometeo - Documents\Planning Space Implementation\3. Analysis &amp; Design\Design\FC22\DRR Jaime\QUIFA-CAJÚA\Cajua\[VAS_CAJUA_CF_SEC_20230125.xlsx]CF PRBND'!</v>
      </c>
      <c r="G620" s="6" t="s">
        <v>36</v>
      </c>
      <c r="H620" s="1"/>
      <c r="I620" s="1"/>
      <c r="J620" s="1"/>
    </row>
    <row r="621" spans="1:10" x14ac:dyDescent="0.25">
      <c r="A621" s="6" t="s">
        <v>101</v>
      </c>
      <c r="B621" s="6">
        <f t="shared" si="142"/>
        <v>2034</v>
      </c>
      <c r="C621" s="1" t="s">
        <v>8</v>
      </c>
      <c r="D621" s="2" t="s">
        <v>128</v>
      </c>
      <c r="E621" s="9" t="str">
        <f t="shared" si="141"/>
        <v>PRBND'!</v>
      </c>
      <c r="F621" s="5" t="str">
        <f t="shared" si="127"/>
        <v>C:\Users\jaime.benazar\Quorum Business Solutions\Ecopetrol Prometeo - Documents\Planning Space Implementation\3. Analysis &amp; Design\Design\FC22\DRR Jaime\QUIFA-CAJÚA\Cajua\[VAS_CAJUA_CF_SEC_20230125.xlsx]CF PRBND'!</v>
      </c>
      <c r="G621" s="6" t="s">
        <v>36</v>
      </c>
      <c r="H621" s="1"/>
      <c r="I621" s="1"/>
      <c r="J621" s="1"/>
    </row>
    <row r="622" spans="1:10" x14ac:dyDescent="0.25">
      <c r="A622" s="6" t="s">
        <v>101</v>
      </c>
      <c r="B622" s="6">
        <f t="shared" si="142"/>
        <v>2035</v>
      </c>
      <c r="C622" s="1" t="s">
        <v>8</v>
      </c>
      <c r="D622" s="2" t="s">
        <v>128</v>
      </c>
      <c r="E622" s="9" t="str">
        <f t="shared" si="141"/>
        <v>PRBND'!</v>
      </c>
      <c r="F622" s="5" t="str">
        <f t="shared" si="127"/>
        <v>C:\Users\jaime.benazar\Quorum Business Solutions\Ecopetrol Prometeo - Documents\Planning Space Implementation\3. Analysis &amp; Design\Design\FC22\DRR Jaime\QUIFA-CAJÚA\Cajua\[VAS_CAJUA_CF_SEC_20230125.xlsx]CF PRBND'!</v>
      </c>
      <c r="G622" s="6" t="s">
        <v>36</v>
      </c>
      <c r="H622" s="1"/>
      <c r="I622" s="1"/>
      <c r="J622" s="1"/>
    </row>
    <row r="623" spans="1:10" x14ac:dyDescent="0.25">
      <c r="A623" s="6" t="s">
        <v>101</v>
      </c>
      <c r="B623" s="6">
        <f t="shared" si="142"/>
        <v>2036</v>
      </c>
      <c r="C623" s="1" t="s">
        <v>8</v>
      </c>
      <c r="D623" s="2" t="s">
        <v>128</v>
      </c>
      <c r="E623" s="9" t="str">
        <f t="shared" si="141"/>
        <v>PRBND'!</v>
      </c>
      <c r="F623" s="5" t="str">
        <f t="shared" si="127"/>
        <v>C:\Users\jaime.benazar\Quorum Business Solutions\Ecopetrol Prometeo - Documents\Planning Space Implementation\3. Analysis &amp; Design\Design\FC22\DRR Jaime\QUIFA-CAJÚA\Cajua\[VAS_CAJUA_CF_SEC_20230125.xlsx]CF PRBND'!</v>
      </c>
      <c r="G623" s="6" t="s">
        <v>36</v>
      </c>
      <c r="H623" s="1"/>
      <c r="I623" s="1"/>
      <c r="J623" s="1"/>
    </row>
    <row r="624" spans="1:10" x14ac:dyDescent="0.25">
      <c r="A624" s="6" t="s">
        <v>101</v>
      </c>
      <c r="B624" s="6">
        <f>+B623+1</f>
        <v>2037</v>
      </c>
      <c r="C624" s="1" t="s">
        <v>8</v>
      </c>
      <c r="D624" s="2" t="s">
        <v>128</v>
      </c>
      <c r="E624" s="9" t="str">
        <f t="shared" si="141"/>
        <v>PRBND'!</v>
      </c>
      <c r="F624" s="5" t="str">
        <f t="shared" si="127"/>
        <v>C:\Users\jaime.benazar\Quorum Business Solutions\Ecopetrol Prometeo - Documents\Planning Space Implementation\3. Analysis &amp; Design\Design\FC22\DRR Jaime\QUIFA-CAJÚA\Cajua\[VAS_CAJUA_CF_SEC_20230125.xlsx]CF PRBND'!</v>
      </c>
      <c r="G624" s="6" t="s">
        <v>36</v>
      </c>
      <c r="H624" s="1"/>
      <c r="I624" s="1"/>
      <c r="J624" s="1"/>
    </row>
    <row r="625" spans="1:10" x14ac:dyDescent="0.25">
      <c r="A625" s="6" t="s">
        <v>101</v>
      </c>
      <c r="B625" s="6">
        <f t="shared" ref="B625:B627" si="143">+B624+1</f>
        <v>2038</v>
      </c>
      <c r="C625" s="1" t="s">
        <v>8</v>
      </c>
      <c r="D625" s="2" t="s">
        <v>128</v>
      </c>
      <c r="E625" s="9" t="str">
        <f t="shared" si="141"/>
        <v>PRBND'!</v>
      </c>
      <c r="F625" s="5" t="str">
        <f t="shared" si="127"/>
        <v>C:\Users\jaime.benazar\Quorum Business Solutions\Ecopetrol Prometeo - Documents\Planning Space Implementation\3. Analysis &amp; Design\Design\FC22\DRR Jaime\QUIFA-CAJÚA\Cajua\[VAS_CAJUA_CF_SEC_20230125.xlsx]CF PRBND'!</v>
      </c>
      <c r="G625" s="6" t="s">
        <v>36</v>
      </c>
      <c r="H625" s="1"/>
      <c r="I625" s="1"/>
      <c r="J625" s="1"/>
    </row>
    <row r="626" spans="1:10" x14ac:dyDescent="0.25">
      <c r="A626" s="6" t="s">
        <v>101</v>
      </c>
      <c r="B626" s="6">
        <f t="shared" si="143"/>
        <v>2039</v>
      </c>
      <c r="C626" s="1" t="s">
        <v>8</v>
      </c>
      <c r="D626" s="2" t="s">
        <v>128</v>
      </c>
      <c r="E626" s="9" t="str">
        <f t="shared" si="141"/>
        <v>PRBND'!</v>
      </c>
      <c r="F626" s="5" t="str">
        <f t="shared" ref="F626:F630" si="144">_xlfn.CONCAT(D626," ",E626)</f>
        <v>C:\Users\jaime.benazar\Quorum Business Solutions\Ecopetrol Prometeo - Documents\Planning Space Implementation\3. Analysis &amp; Design\Design\FC22\DRR Jaime\QUIFA-CAJÚA\Cajua\[VAS_CAJUA_CF_SEC_20230125.xlsx]CF PRBND'!</v>
      </c>
      <c r="G626" s="6" t="s">
        <v>36</v>
      </c>
      <c r="H626" s="1"/>
      <c r="I626" s="1"/>
      <c r="J626" s="1"/>
    </row>
    <row r="627" spans="1:10" x14ac:dyDescent="0.25">
      <c r="A627" s="6" t="s">
        <v>101</v>
      </c>
      <c r="B627" s="6">
        <f t="shared" si="143"/>
        <v>2040</v>
      </c>
      <c r="C627" s="1" t="s">
        <v>8</v>
      </c>
      <c r="D627" s="2" t="s">
        <v>128</v>
      </c>
      <c r="E627" s="9" t="str">
        <f t="shared" si="141"/>
        <v>PRBND'!</v>
      </c>
      <c r="F627" s="5" t="str">
        <f t="shared" si="144"/>
        <v>C:\Users\jaime.benazar\Quorum Business Solutions\Ecopetrol Prometeo - Documents\Planning Space Implementation\3. Analysis &amp; Design\Design\FC22\DRR Jaime\QUIFA-CAJÚA\Cajua\[VAS_CAJUA_CF_SEC_20230125.xlsx]CF PRBND'!</v>
      </c>
      <c r="G627" s="6" t="s">
        <v>36</v>
      </c>
      <c r="H627" s="1"/>
      <c r="I627" s="1"/>
      <c r="J627" s="1"/>
    </row>
    <row r="628" spans="1:10" x14ac:dyDescent="0.25">
      <c r="A628" s="6" t="s">
        <v>101</v>
      </c>
      <c r="B628" s="6">
        <f>+B627+1</f>
        <v>2041</v>
      </c>
      <c r="C628" s="1" t="s">
        <v>8</v>
      </c>
      <c r="D628" s="2" t="s">
        <v>128</v>
      </c>
      <c r="E628" s="9" t="str">
        <f t="shared" si="141"/>
        <v>PRBND'!</v>
      </c>
      <c r="F628" s="5" t="str">
        <f t="shared" si="144"/>
        <v>C:\Users\jaime.benazar\Quorum Business Solutions\Ecopetrol Prometeo - Documents\Planning Space Implementation\3. Analysis &amp; Design\Design\FC22\DRR Jaime\QUIFA-CAJÚA\Cajua\[VAS_CAJUA_CF_SEC_20230125.xlsx]CF PRBND'!</v>
      </c>
      <c r="G628" s="6" t="s">
        <v>36</v>
      </c>
      <c r="H628" s="1"/>
      <c r="I628" s="1"/>
      <c r="J628" s="1"/>
    </row>
    <row r="629" spans="1:10" x14ac:dyDescent="0.25">
      <c r="A629" s="6" t="s">
        <v>101</v>
      </c>
      <c r="B629" s="6">
        <f t="shared" ref="B629:B630" si="145">+B628+1</f>
        <v>2042</v>
      </c>
      <c r="C629" s="1" t="s">
        <v>8</v>
      </c>
      <c r="D629" s="2" t="s">
        <v>128</v>
      </c>
      <c r="E629" s="9" t="str">
        <f t="shared" si="141"/>
        <v>PRBND'!</v>
      </c>
      <c r="F629" s="5" t="str">
        <f t="shared" si="144"/>
        <v>C:\Users\jaime.benazar\Quorum Business Solutions\Ecopetrol Prometeo - Documents\Planning Space Implementation\3. Analysis &amp; Design\Design\FC22\DRR Jaime\QUIFA-CAJÚA\Cajua\[VAS_CAJUA_CF_SEC_20230125.xlsx]CF PRBND'!</v>
      </c>
      <c r="G629" s="6" t="s">
        <v>36</v>
      </c>
      <c r="H629" s="1"/>
      <c r="I629" s="1"/>
      <c r="J629" s="1"/>
    </row>
    <row r="630" spans="1:10" x14ac:dyDescent="0.25">
      <c r="A630" s="6" t="s">
        <v>101</v>
      </c>
      <c r="B630" s="6">
        <f t="shared" si="145"/>
        <v>2043</v>
      </c>
      <c r="C630" s="1" t="s">
        <v>8</v>
      </c>
      <c r="D630" s="2" t="s">
        <v>128</v>
      </c>
      <c r="E630" s="9" t="str">
        <f t="shared" si="141"/>
        <v>PRBND'!</v>
      </c>
      <c r="F630" s="5" t="str">
        <f t="shared" si="144"/>
        <v>C:\Users\jaime.benazar\Quorum Business Solutions\Ecopetrol Prometeo - Documents\Planning Space Implementation\3. Analysis &amp; Design\Design\FC22\DRR Jaime\QUIFA-CAJÚA\Cajua\[VAS_CAJUA_CF_SEC_20230125.xlsx]CF PRBND'!</v>
      </c>
      <c r="G630" s="6" t="s">
        <v>36</v>
      </c>
      <c r="H630" s="1"/>
      <c r="I630" s="1"/>
      <c r="J630" s="1"/>
    </row>
    <row r="631" spans="1:10" x14ac:dyDescent="0.25">
      <c r="A631" s="6" t="s">
        <v>101</v>
      </c>
      <c r="B631" s="6">
        <f>+B630+1</f>
        <v>2044</v>
      </c>
      <c r="C631" s="1" t="s">
        <v>8</v>
      </c>
      <c r="D631" s="2" t="s">
        <v>128</v>
      </c>
      <c r="E631" s="9" t="str">
        <f t="shared" ref="E631:E646" si="146">_xlfn.CONCAT(A631,"'!")</f>
        <v>PRBND'!</v>
      </c>
      <c r="F631" s="5" t="str">
        <f t="shared" ref="F631:F646" si="147">_xlfn.CONCAT(D631," ",E631)</f>
        <v>C:\Users\jaime.benazar\Quorum Business Solutions\Ecopetrol Prometeo - Documents\Planning Space Implementation\3. Analysis &amp; Design\Design\FC22\DRR Jaime\QUIFA-CAJÚA\Cajua\[VAS_CAJUA_CF_SEC_20230125.xlsx]CF PRBND'!</v>
      </c>
      <c r="G631" s="6" t="s">
        <v>36</v>
      </c>
      <c r="H631" s="1"/>
      <c r="I631" s="1"/>
      <c r="J631" s="1"/>
    </row>
    <row r="632" spans="1:10" x14ac:dyDescent="0.25">
      <c r="A632" s="6" t="s">
        <v>101</v>
      </c>
      <c r="B632" s="6">
        <f t="shared" ref="B632:B646" si="148">+B631+1</f>
        <v>2045</v>
      </c>
      <c r="C632" s="1" t="s">
        <v>8</v>
      </c>
      <c r="D632" s="2" t="s">
        <v>128</v>
      </c>
      <c r="E632" s="9" t="str">
        <f t="shared" si="146"/>
        <v>PRBND'!</v>
      </c>
      <c r="F632" s="5" t="str">
        <f t="shared" si="147"/>
        <v>C:\Users\jaime.benazar\Quorum Business Solutions\Ecopetrol Prometeo - Documents\Planning Space Implementation\3. Analysis &amp; Design\Design\FC22\DRR Jaime\QUIFA-CAJÚA\Cajua\[VAS_CAJUA_CF_SEC_20230125.xlsx]CF PRBND'!</v>
      </c>
      <c r="G632" s="6" t="s">
        <v>36</v>
      </c>
      <c r="H632" s="1"/>
      <c r="I632" s="1"/>
      <c r="J632" s="1"/>
    </row>
    <row r="633" spans="1:10" x14ac:dyDescent="0.25">
      <c r="A633" s="6" t="s">
        <v>101</v>
      </c>
      <c r="B633" s="6">
        <f t="shared" si="148"/>
        <v>2046</v>
      </c>
      <c r="C633" s="1" t="s">
        <v>8</v>
      </c>
      <c r="D633" s="2" t="s">
        <v>128</v>
      </c>
      <c r="E633" s="9" t="str">
        <f t="shared" si="146"/>
        <v>PRBND'!</v>
      </c>
      <c r="F633" s="5" t="str">
        <f t="shared" si="147"/>
        <v>C:\Users\jaime.benazar\Quorum Business Solutions\Ecopetrol Prometeo - Documents\Planning Space Implementation\3. Analysis &amp; Design\Design\FC22\DRR Jaime\QUIFA-CAJÚA\Cajua\[VAS_CAJUA_CF_SEC_20230125.xlsx]CF PRBND'!</v>
      </c>
      <c r="G633" s="6" t="s">
        <v>36</v>
      </c>
      <c r="H633" s="1"/>
      <c r="I633" s="1"/>
      <c r="J633" s="1"/>
    </row>
    <row r="634" spans="1:10" x14ac:dyDescent="0.25">
      <c r="A634" s="6" t="s">
        <v>101</v>
      </c>
      <c r="B634" s="6">
        <f t="shared" si="148"/>
        <v>2047</v>
      </c>
      <c r="C634" s="1" t="s">
        <v>8</v>
      </c>
      <c r="D634" s="2" t="s">
        <v>128</v>
      </c>
      <c r="E634" s="9" t="str">
        <f t="shared" si="146"/>
        <v>PRBND'!</v>
      </c>
      <c r="F634" s="5" t="str">
        <f t="shared" si="147"/>
        <v>C:\Users\jaime.benazar\Quorum Business Solutions\Ecopetrol Prometeo - Documents\Planning Space Implementation\3. Analysis &amp; Design\Design\FC22\DRR Jaime\QUIFA-CAJÚA\Cajua\[VAS_CAJUA_CF_SEC_20230125.xlsx]CF PRBND'!</v>
      </c>
      <c r="G634" s="6" t="s">
        <v>36</v>
      </c>
      <c r="H634" s="1"/>
      <c r="I634" s="1"/>
      <c r="J634" s="1"/>
    </row>
    <row r="635" spans="1:10" x14ac:dyDescent="0.25">
      <c r="A635" s="6" t="s">
        <v>101</v>
      </c>
      <c r="B635" s="6">
        <f t="shared" si="148"/>
        <v>2048</v>
      </c>
      <c r="C635" s="1" t="s">
        <v>8</v>
      </c>
      <c r="D635" s="2" t="s">
        <v>128</v>
      </c>
      <c r="E635" s="9" t="str">
        <f t="shared" si="146"/>
        <v>PRBND'!</v>
      </c>
      <c r="F635" s="5" t="str">
        <f t="shared" si="147"/>
        <v>C:\Users\jaime.benazar\Quorum Business Solutions\Ecopetrol Prometeo - Documents\Planning Space Implementation\3. Analysis &amp; Design\Design\FC22\DRR Jaime\QUIFA-CAJÚA\Cajua\[VAS_CAJUA_CF_SEC_20230125.xlsx]CF PRBND'!</v>
      </c>
      <c r="G635" s="6" t="s">
        <v>36</v>
      </c>
      <c r="H635" s="1"/>
      <c r="I635" s="1"/>
      <c r="J635" s="1"/>
    </row>
    <row r="636" spans="1:10" x14ac:dyDescent="0.25">
      <c r="A636" s="6" t="s">
        <v>101</v>
      </c>
      <c r="B636" s="6">
        <f t="shared" si="148"/>
        <v>2049</v>
      </c>
      <c r="C636" s="1" t="s">
        <v>8</v>
      </c>
      <c r="D636" s="2" t="s">
        <v>128</v>
      </c>
      <c r="E636" s="9" t="str">
        <f t="shared" si="146"/>
        <v>PRBND'!</v>
      </c>
      <c r="F636" s="5" t="str">
        <f t="shared" si="147"/>
        <v>C:\Users\jaime.benazar\Quorum Business Solutions\Ecopetrol Prometeo - Documents\Planning Space Implementation\3. Analysis &amp; Design\Design\FC22\DRR Jaime\QUIFA-CAJÚA\Cajua\[VAS_CAJUA_CF_SEC_20230125.xlsx]CF PRBND'!</v>
      </c>
      <c r="G636" s="6" t="s">
        <v>36</v>
      </c>
      <c r="H636" s="1"/>
      <c r="I636" s="1"/>
      <c r="J636" s="1"/>
    </row>
    <row r="637" spans="1:10" x14ac:dyDescent="0.25">
      <c r="A637" s="6" t="s">
        <v>101</v>
      </c>
      <c r="B637" s="6">
        <f t="shared" si="148"/>
        <v>2050</v>
      </c>
      <c r="C637" s="1" t="s">
        <v>8</v>
      </c>
      <c r="D637" s="2" t="s">
        <v>128</v>
      </c>
      <c r="E637" s="9" t="str">
        <f t="shared" si="146"/>
        <v>PRBND'!</v>
      </c>
      <c r="F637" s="5" t="str">
        <f t="shared" si="147"/>
        <v>C:\Users\jaime.benazar\Quorum Business Solutions\Ecopetrol Prometeo - Documents\Planning Space Implementation\3. Analysis &amp; Design\Design\FC22\DRR Jaime\QUIFA-CAJÚA\Cajua\[VAS_CAJUA_CF_SEC_20230125.xlsx]CF PRBND'!</v>
      </c>
      <c r="G637" s="6" t="s">
        <v>36</v>
      </c>
      <c r="H637" s="1"/>
      <c r="I637" s="1"/>
      <c r="J637" s="1"/>
    </row>
    <row r="638" spans="1:10" x14ac:dyDescent="0.25">
      <c r="A638" s="6" t="s">
        <v>101</v>
      </c>
      <c r="B638" s="6">
        <f t="shared" si="148"/>
        <v>2051</v>
      </c>
      <c r="C638" s="1" t="s">
        <v>8</v>
      </c>
      <c r="D638" s="2" t="s">
        <v>128</v>
      </c>
      <c r="E638" s="9" t="str">
        <f t="shared" si="146"/>
        <v>PRBND'!</v>
      </c>
      <c r="F638" s="5" t="str">
        <f t="shared" si="147"/>
        <v>C:\Users\jaime.benazar\Quorum Business Solutions\Ecopetrol Prometeo - Documents\Planning Space Implementation\3. Analysis &amp; Design\Design\FC22\DRR Jaime\QUIFA-CAJÚA\Cajua\[VAS_CAJUA_CF_SEC_20230125.xlsx]CF PRBND'!</v>
      </c>
      <c r="G638" s="6" t="s">
        <v>36</v>
      </c>
      <c r="H638" s="1"/>
      <c r="I638" s="1"/>
      <c r="J638" s="1"/>
    </row>
    <row r="639" spans="1:10" x14ac:dyDescent="0.25">
      <c r="A639" s="6" t="s">
        <v>101</v>
      </c>
      <c r="B639" s="6">
        <f t="shared" si="148"/>
        <v>2052</v>
      </c>
      <c r="C639" s="1" t="s">
        <v>8</v>
      </c>
      <c r="D639" s="2" t="s">
        <v>128</v>
      </c>
      <c r="E639" s="9" t="str">
        <f t="shared" si="146"/>
        <v>PRBND'!</v>
      </c>
      <c r="F639" s="5" t="str">
        <f t="shared" si="147"/>
        <v>C:\Users\jaime.benazar\Quorum Business Solutions\Ecopetrol Prometeo - Documents\Planning Space Implementation\3. Analysis &amp; Design\Design\FC22\DRR Jaime\QUIFA-CAJÚA\Cajua\[VAS_CAJUA_CF_SEC_20230125.xlsx]CF PRBND'!</v>
      </c>
      <c r="G639" s="6" t="s">
        <v>36</v>
      </c>
      <c r="H639" s="1"/>
      <c r="I639" s="1"/>
      <c r="J639" s="1"/>
    </row>
    <row r="640" spans="1:10" x14ac:dyDescent="0.25">
      <c r="A640" s="6" t="s">
        <v>101</v>
      </c>
      <c r="B640" s="6">
        <f t="shared" si="148"/>
        <v>2053</v>
      </c>
      <c r="C640" s="1" t="s">
        <v>8</v>
      </c>
      <c r="D640" s="2" t="s">
        <v>128</v>
      </c>
      <c r="E640" s="9" t="str">
        <f t="shared" si="146"/>
        <v>PRBND'!</v>
      </c>
      <c r="F640" s="5" t="str">
        <f t="shared" si="147"/>
        <v>C:\Users\jaime.benazar\Quorum Business Solutions\Ecopetrol Prometeo - Documents\Planning Space Implementation\3. Analysis &amp; Design\Design\FC22\DRR Jaime\QUIFA-CAJÚA\Cajua\[VAS_CAJUA_CF_SEC_20230125.xlsx]CF PRBND'!</v>
      </c>
      <c r="G640" s="6" t="s">
        <v>36</v>
      </c>
      <c r="H640" s="1"/>
      <c r="I640" s="1"/>
      <c r="J640" s="1"/>
    </row>
    <row r="641" spans="1:10" x14ac:dyDescent="0.25">
      <c r="A641" s="6" t="s">
        <v>101</v>
      </c>
      <c r="B641" s="6">
        <f t="shared" si="148"/>
        <v>2054</v>
      </c>
      <c r="C641" s="1" t="s">
        <v>8</v>
      </c>
      <c r="D641" s="2" t="s">
        <v>128</v>
      </c>
      <c r="E641" s="9" t="str">
        <f t="shared" si="146"/>
        <v>PRBND'!</v>
      </c>
      <c r="F641" s="5" t="str">
        <f t="shared" si="147"/>
        <v>C:\Users\jaime.benazar\Quorum Business Solutions\Ecopetrol Prometeo - Documents\Planning Space Implementation\3. Analysis &amp; Design\Design\FC22\DRR Jaime\QUIFA-CAJÚA\Cajua\[VAS_CAJUA_CF_SEC_20230125.xlsx]CF PRBND'!</v>
      </c>
      <c r="G641" s="6" t="s">
        <v>36</v>
      </c>
      <c r="H641" s="1"/>
      <c r="I641" s="1"/>
      <c r="J641" s="1"/>
    </row>
    <row r="642" spans="1:10" x14ac:dyDescent="0.25">
      <c r="A642" s="6" t="s">
        <v>101</v>
      </c>
      <c r="B642" s="6">
        <f t="shared" si="148"/>
        <v>2055</v>
      </c>
      <c r="C642" s="1" t="s">
        <v>8</v>
      </c>
      <c r="D642" s="2" t="s">
        <v>128</v>
      </c>
      <c r="E642" s="9" t="str">
        <f t="shared" si="146"/>
        <v>PRBND'!</v>
      </c>
      <c r="F642" s="5" t="str">
        <f t="shared" si="147"/>
        <v>C:\Users\jaime.benazar\Quorum Business Solutions\Ecopetrol Prometeo - Documents\Planning Space Implementation\3. Analysis &amp; Design\Design\FC22\DRR Jaime\QUIFA-CAJÚA\Cajua\[VAS_CAJUA_CF_SEC_20230125.xlsx]CF PRBND'!</v>
      </c>
      <c r="G642" s="6" t="s">
        <v>36</v>
      </c>
      <c r="H642" s="1"/>
      <c r="I642" s="1"/>
      <c r="J642" s="1"/>
    </row>
    <row r="643" spans="1:10" x14ac:dyDescent="0.25">
      <c r="A643" s="6" t="s">
        <v>101</v>
      </c>
      <c r="B643" s="6">
        <f t="shared" si="148"/>
        <v>2056</v>
      </c>
      <c r="C643" s="1" t="s">
        <v>8</v>
      </c>
      <c r="D643" s="2" t="s">
        <v>128</v>
      </c>
      <c r="E643" s="9" t="str">
        <f t="shared" si="146"/>
        <v>PRBND'!</v>
      </c>
      <c r="F643" s="5" t="str">
        <f t="shared" si="147"/>
        <v>C:\Users\jaime.benazar\Quorum Business Solutions\Ecopetrol Prometeo - Documents\Planning Space Implementation\3. Analysis &amp; Design\Design\FC22\DRR Jaime\QUIFA-CAJÚA\Cajua\[VAS_CAJUA_CF_SEC_20230125.xlsx]CF PRBND'!</v>
      </c>
      <c r="G643" s="6" t="s">
        <v>36</v>
      </c>
      <c r="H643" s="1"/>
      <c r="I643" s="1"/>
      <c r="J643" s="1"/>
    </row>
    <row r="644" spans="1:10" x14ac:dyDescent="0.25">
      <c r="A644" s="6" t="s">
        <v>101</v>
      </c>
      <c r="B644" s="6">
        <f t="shared" si="148"/>
        <v>2057</v>
      </c>
      <c r="C644" s="1" t="s">
        <v>8</v>
      </c>
      <c r="D644" s="2" t="s">
        <v>128</v>
      </c>
      <c r="E644" s="9" t="str">
        <f t="shared" si="146"/>
        <v>PRBND'!</v>
      </c>
      <c r="F644" s="5" t="str">
        <f t="shared" si="147"/>
        <v>C:\Users\jaime.benazar\Quorum Business Solutions\Ecopetrol Prometeo - Documents\Planning Space Implementation\3. Analysis &amp; Design\Design\FC22\DRR Jaime\QUIFA-CAJÚA\Cajua\[VAS_CAJUA_CF_SEC_20230125.xlsx]CF PRBND'!</v>
      </c>
      <c r="G644" s="6" t="s">
        <v>36</v>
      </c>
      <c r="H644" s="1"/>
      <c r="I644" s="1"/>
      <c r="J644" s="1"/>
    </row>
    <row r="645" spans="1:10" x14ac:dyDescent="0.25">
      <c r="A645" s="6" t="s">
        <v>101</v>
      </c>
      <c r="B645" s="6">
        <f t="shared" si="148"/>
        <v>2058</v>
      </c>
      <c r="C645" s="1" t="s">
        <v>8</v>
      </c>
      <c r="D645" s="2" t="s">
        <v>128</v>
      </c>
      <c r="E645" s="9" t="str">
        <f t="shared" si="146"/>
        <v>PRBND'!</v>
      </c>
      <c r="F645" s="5" t="str">
        <f t="shared" si="147"/>
        <v>C:\Users\jaime.benazar\Quorum Business Solutions\Ecopetrol Prometeo - Documents\Planning Space Implementation\3. Analysis &amp; Design\Design\FC22\DRR Jaime\QUIFA-CAJÚA\Cajua\[VAS_CAJUA_CF_SEC_20230125.xlsx]CF PRBND'!</v>
      </c>
      <c r="G645" s="6" t="s">
        <v>36</v>
      </c>
      <c r="H645" s="1"/>
      <c r="I645" s="1"/>
      <c r="J645" s="1"/>
    </row>
    <row r="646" spans="1:10" x14ac:dyDescent="0.25">
      <c r="A646" s="6" t="s">
        <v>101</v>
      </c>
      <c r="B646" s="6">
        <f t="shared" si="148"/>
        <v>2059</v>
      </c>
      <c r="C646" s="1" t="s">
        <v>8</v>
      </c>
      <c r="D646" s="2" t="s">
        <v>128</v>
      </c>
      <c r="E646" s="9" t="str">
        <f t="shared" si="146"/>
        <v>PRBND'!</v>
      </c>
      <c r="F646" s="5" t="str">
        <f t="shared" si="147"/>
        <v>C:\Users\jaime.benazar\Quorum Business Solutions\Ecopetrol Prometeo - Documents\Planning Space Implementation\3. Analysis &amp; Design\Design\FC22\DRR Jaime\QUIFA-CAJÚA\Cajua\[VAS_CAJUA_CF_SEC_20230125.xlsx]CF PRBND'!</v>
      </c>
      <c r="G646" s="6" t="s">
        <v>36</v>
      </c>
      <c r="H646" s="1"/>
      <c r="I646" s="1"/>
      <c r="J646" s="1"/>
    </row>
    <row r="647" spans="1:10" x14ac:dyDescent="0.25">
      <c r="A647" s="6" t="s">
        <v>28</v>
      </c>
      <c r="B647" s="6"/>
      <c r="C647" s="1" t="s">
        <v>8</v>
      </c>
      <c r="D647" s="2"/>
      <c r="E647" s="9"/>
      <c r="F647" s="2"/>
      <c r="G647" s="6"/>
      <c r="H647" s="1"/>
      <c r="I647" s="1"/>
      <c r="J647" s="1"/>
    </row>
    <row r="648" spans="1:10" x14ac:dyDescent="0.25">
      <c r="A648" s="6" t="s">
        <v>4</v>
      </c>
      <c r="B648" s="6">
        <v>2023</v>
      </c>
      <c r="C648" s="1" t="s">
        <v>8</v>
      </c>
      <c r="D648" s="2" t="s">
        <v>128</v>
      </c>
      <c r="E648" s="9" t="str">
        <f t="shared" si="118"/>
        <v>PRB'!</v>
      </c>
      <c r="F648" s="5" t="str">
        <f t="shared" ref="F648:F668" si="149">_xlfn.CONCAT(D648," ",E648)</f>
        <v>C:\Users\jaime.benazar\Quorum Business Solutions\Ecopetrol Prometeo - Documents\Planning Space Implementation\3. Analysis &amp; Design\Design\FC22\DRR Jaime\QUIFA-CAJÚA\Cajua\[VAS_CAJUA_CF_SEC_20230125.xlsx]CF PRB'!</v>
      </c>
      <c r="G648" s="6" t="s">
        <v>36</v>
      </c>
      <c r="H648" s="1">
        <f>IF(A648&lt;&gt;A518,36,H518+1)</f>
        <v>36</v>
      </c>
      <c r="I648" s="1" t="str">
        <f t="shared" si="119"/>
        <v>='C:\Users\jaime.benazar\Quorum Business Solutions\Ecopetrol Prometeo - Documents\Planning Space Implementation\3. Analysis &amp; Design\Design\FC22\DRR Jaime\QUIFA-CAJÚA\Cajua\[VAS_CAJUA_CF_SEC_20230125.xlsx]CF PRB'!$BT$36</v>
      </c>
      <c r="J648" s="1" t="s">
        <v>425</v>
      </c>
    </row>
    <row r="649" spans="1:10" x14ac:dyDescent="0.25">
      <c r="A649" s="6" t="s">
        <v>4</v>
      </c>
      <c r="B649" s="6">
        <f>+B648+1</f>
        <v>2024</v>
      </c>
      <c r="C649" s="1" t="s">
        <v>8</v>
      </c>
      <c r="D649" s="2" t="s">
        <v>128</v>
      </c>
      <c r="E649" s="9" t="str">
        <f t="shared" si="118"/>
        <v>PRB'!</v>
      </c>
      <c r="F649" s="5" t="str">
        <f t="shared" si="149"/>
        <v>C:\Users\jaime.benazar\Quorum Business Solutions\Ecopetrol Prometeo - Documents\Planning Space Implementation\3. Analysis &amp; Design\Design\FC22\DRR Jaime\QUIFA-CAJÚA\Cajua\[VAS_CAJUA_CF_SEC_20230125.xlsx]CF PRB'!</v>
      </c>
      <c r="G649" s="6" t="s">
        <v>36</v>
      </c>
      <c r="H649" s="1">
        <f t="shared" si="120"/>
        <v>37</v>
      </c>
      <c r="I649" s="1" t="str">
        <f t="shared" si="119"/>
        <v>='C:\Users\jaime.benazar\Quorum Business Solutions\Ecopetrol Prometeo - Documents\Planning Space Implementation\3. Analysis &amp; Design\Design\FC22\DRR Jaime\QUIFA-CAJÚA\Cajua\[VAS_CAJUA_CF_SEC_20230125.xlsx]CF PRB'!$BT$37</v>
      </c>
      <c r="J649" s="1" t="s">
        <v>426</v>
      </c>
    </row>
    <row r="650" spans="1:10" x14ac:dyDescent="0.25">
      <c r="A650" s="6" t="s">
        <v>4</v>
      </c>
      <c r="B650" s="6">
        <f t="shared" ref="B650:B661" si="150">+B649+1</f>
        <v>2025</v>
      </c>
      <c r="C650" s="1" t="s">
        <v>8</v>
      </c>
      <c r="D650" s="2" t="s">
        <v>128</v>
      </c>
      <c r="E650" s="9" t="str">
        <f t="shared" si="118"/>
        <v>PRB'!</v>
      </c>
      <c r="F650" s="5" t="str">
        <f t="shared" si="149"/>
        <v>C:\Users\jaime.benazar\Quorum Business Solutions\Ecopetrol Prometeo - Documents\Planning Space Implementation\3. Analysis &amp; Design\Design\FC22\DRR Jaime\QUIFA-CAJÚA\Cajua\[VAS_CAJUA_CF_SEC_20230125.xlsx]CF PRB'!</v>
      </c>
      <c r="G650" s="6" t="s">
        <v>36</v>
      </c>
      <c r="H650" s="1">
        <f t="shared" si="120"/>
        <v>38</v>
      </c>
      <c r="I650" s="1" t="str">
        <f t="shared" si="119"/>
        <v>='C:\Users\jaime.benazar\Quorum Business Solutions\Ecopetrol Prometeo - Documents\Planning Space Implementation\3. Analysis &amp; Design\Design\FC22\DRR Jaime\QUIFA-CAJÚA\Cajua\[VAS_CAJUA_CF_SEC_20230125.xlsx]CF PRB'!$BT$38</v>
      </c>
      <c r="J650" s="1" t="s">
        <v>427</v>
      </c>
    </row>
    <row r="651" spans="1:10" x14ac:dyDescent="0.25">
      <c r="A651" s="6" t="s">
        <v>4</v>
      </c>
      <c r="B651" s="6">
        <f t="shared" si="150"/>
        <v>2026</v>
      </c>
      <c r="C651" s="1" t="s">
        <v>8</v>
      </c>
      <c r="D651" s="2" t="s">
        <v>128</v>
      </c>
      <c r="E651" s="9" t="str">
        <f t="shared" si="118"/>
        <v>PRB'!</v>
      </c>
      <c r="F651" s="5" t="str">
        <f t="shared" si="149"/>
        <v>C:\Users\jaime.benazar\Quorum Business Solutions\Ecopetrol Prometeo - Documents\Planning Space Implementation\3. Analysis &amp; Design\Design\FC22\DRR Jaime\QUIFA-CAJÚA\Cajua\[VAS_CAJUA_CF_SEC_20230125.xlsx]CF PRB'!</v>
      </c>
      <c r="G651" s="6" t="s">
        <v>36</v>
      </c>
      <c r="H651" s="1">
        <f t="shared" si="120"/>
        <v>39</v>
      </c>
      <c r="I651" s="1" t="str">
        <f t="shared" si="119"/>
        <v>='C:\Users\jaime.benazar\Quorum Business Solutions\Ecopetrol Prometeo - Documents\Planning Space Implementation\3. Analysis &amp; Design\Design\FC22\DRR Jaime\QUIFA-CAJÚA\Cajua\[VAS_CAJUA_CF_SEC_20230125.xlsx]CF PRB'!$BT$39</v>
      </c>
      <c r="J651" s="1" t="s">
        <v>428</v>
      </c>
    </row>
    <row r="652" spans="1:10" x14ac:dyDescent="0.25">
      <c r="A652" s="6" t="s">
        <v>4</v>
      </c>
      <c r="B652" s="6">
        <f t="shared" si="150"/>
        <v>2027</v>
      </c>
      <c r="C652" s="1" t="s">
        <v>8</v>
      </c>
      <c r="D652" s="2" t="s">
        <v>128</v>
      </c>
      <c r="E652" s="9" t="str">
        <f t="shared" si="118"/>
        <v>PRB'!</v>
      </c>
      <c r="F652" s="5" t="str">
        <f t="shared" si="149"/>
        <v>C:\Users\jaime.benazar\Quorum Business Solutions\Ecopetrol Prometeo - Documents\Planning Space Implementation\3. Analysis &amp; Design\Design\FC22\DRR Jaime\QUIFA-CAJÚA\Cajua\[VAS_CAJUA_CF_SEC_20230125.xlsx]CF PRB'!</v>
      </c>
      <c r="G652" s="6" t="s">
        <v>36</v>
      </c>
      <c r="H652" s="1">
        <f t="shared" si="120"/>
        <v>40</v>
      </c>
      <c r="I652" s="1" t="str">
        <f t="shared" si="119"/>
        <v>='C:\Users\jaime.benazar\Quorum Business Solutions\Ecopetrol Prometeo - Documents\Planning Space Implementation\3. Analysis &amp; Design\Design\FC22\DRR Jaime\QUIFA-CAJÚA\Cajua\[VAS_CAJUA_CF_SEC_20230125.xlsx]CF PRB'!$BT$40</v>
      </c>
      <c r="J652" s="1" t="s">
        <v>429</v>
      </c>
    </row>
    <row r="653" spans="1:10" x14ac:dyDescent="0.25">
      <c r="A653" s="6" t="s">
        <v>4</v>
      </c>
      <c r="B653" s="6">
        <f t="shared" si="150"/>
        <v>2028</v>
      </c>
      <c r="C653" s="1" t="s">
        <v>8</v>
      </c>
      <c r="D653" s="2" t="s">
        <v>128</v>
      </c>
      <c r="E653" s="9" t="str">
        <f t="shared" si="118"/>
        <v>PRB'!</v>
      </c>
      <c r="F653" s="5" t="str">
        <f t="shared" si="149"/>
        <v>C:\Users\jaime.benazar\Quorum Business Solutions\Ecopetrol Prometeo - Documents\Planning Space Implementation\3. Analysis &amp; Design\Design\FC22\DRR Jaime\QUIFA-CAJÚA\Cajua\[VAS_CAJUA_CF_SEC_20230125.xlsx]CF PRB'!</v>
      </c>
      <c r="G653" s="6" t="s">
        <v>36</v>
      </c>
      <c r="H653" s="1">
        <f t="shared" si="120"/>
        <v>41</v>
      </c>
      <c r="I653" s="1" t="str">
        <f t="shared" si="119"/>
        <v>='C:\Users\jaime.benazar\Quorum Business Solutions\Ecopetrol Prometeo - Documents\Planning Space Implementation\3. Analysis &amp; Design\Design\FC22\DRR Jaime\QUIFA-CAJÚA\Cajua\[VAS_CAJUA_CF_SEC_20230125.xlsx]CF PRB'!$BT$41</v>
      </c>
      <c r="J653" s="1" t="s">
        <v>430</v>
      </c>
    </row>
    <row r="654" spans="1:10" x14ac:dyDescent="0.25">
      <c r="A654" s="6" t="s">
        <v>4</v>
      </c>
      <c r="B654" s="6">
        <f t="shared" si="150"/>
        <v>2029</v>
      </c>
      <c r="C654" s="1" t="s">
        <v>8</v>
      </c>
      <c r="D654" s="2" t="s">
        <v>128</v>
      </c>
      <c r="E654" s="9" t="str">
        <f t="shared" si="118"/>
        <v>PRB'!</v>
      </c>
      <c r="F654" s="5" t="str">
        <f t="shared" si="149"/>
        <v>C:\Users\jaime.benazar\Quorum Business Solutions\Ecopetrol Prometeo - Documents\Planning Space Implementation\3. Analysis &amp; Design\Design\FC22\DRR Jaime\QUIFA-CAJÚA\Cajua\[VAS_CAJUA_CF_SEC_20230125.xlsx]CF PRB'!</v>
      </c>
      <c r="G654" s="6" t="s">
        <v>36</v>
      </c>
      <c r="H654" s="1">
        <f t="shared" si="120"/>
        <v>42</v>
      </c>
      <c r="I654" s="1" t="str">
        <f t="shared" si="119"/>
        <v>='C:\Users\jaime.benazar\Quorum Business Solutions\Ecopetrol Prometeo - Documents\Planning Space Implementation\3. Analysis &amp; Design\Design\FC22\DRR Jaime\QUIFA-CAJÚA\Cajua\[VAS_CAJUA_CF_SEC_20230125.xlsx]CF PRB'!$BT$42</v>
      </c>
      <c r="J654" s="1" t="s">
        <v>431</v>
      </c>
    </row>
    <row r="655" spans="1:10" x14ac:dyDescent="0.25">
      <c r="A655" s="6" t="s">
        <v>4</v>
      </c>
      <c r="B655" s="6">
        <f t="shared" si="150"/>
        <v>2030</v>
      </c>
      <c r="C655" s="1" t="s">
        <v>8</v>
      </c>
      <c r="D655" s="2" t="s">
        <v>128</v>
      </c>
      <c r="E655" s="9" t="str">
        <f t="shared" si="118"/>
        <v>PRB'!</v>
      </c>
      <c r="F655" s="5" t="str">
        <f t="shared" si="149"/>
        <v>C:\Users\jaime.benazar\Quorum Business Solutions\Ecopetrol Prometeo - Documents\Planning Space Implementation\3. Analysis &amp; Design\Design\FC22\DRR Jaime\QUIFA-CAJÚA\Cajua\[VAS_CAJUA_CF_SEC_20230125.xlsx]CF PRB'!</v>
      </c>
      <c r="G655" s="6" t="s">
        <v>36</v>
      </c>
      <c r="H655" s="1">
        <f t="shared" si="120"/>
        <v>43</v>
      </c>
      <c r="I655" s="1" t="str">
        <f t="shared" si="119"/>
        <v>='C:\Users\jaime.benazar\Quorum Business Solutions\Ecopetrol Prometeo - Documents\Planning Space Implementation\3. Analysis &amp; Design\Design\FC22\DRR Jaime\QUIFA-CAJÚA\Cajua\[VAS_CAJUA_CF_SEC_20230125.xlsx]CF PRB'!$BT$43</v>
      </c>
      <c r="J655" s="1" t="s">
        <v>432</v>
      </c>
    </row>
    <row r="656" spans="1:10" x14ac:dyDescent="0.25">
      <c r="A656" s="6" t="s">
        <v>4</v>
      </c>
      <c r="B656" s="6">
        <f t="shared" si="150"/>
        <v>2031</v>
      </c>
      <c r="C656" s="1" t="s">
        <v>8</v>
      </c>
      <c r="D656" s="2" t="s">
        <v>128</v>
      </c>
      <c r="E656" s="9" t="str">
        <f t="shared" si="118"/>
        <v>PRB'!</v>
      </c>
      <c r="F656" s="5" t="str">
        <f t="shared" si="149"/>
        <v>C:\Users\jaime.benazar\Quorum Business Solutions\Ecopetrol Prometeo - Documents\Planning Space Implementation\3. Analysis &amp; Design\Design\FC22\DRR Jaime\QUIFA-CAJÚA\Cajua\[VAS_CAJUA_CF_SEC_20230125.xlsx]CF PRB'!</v>
      </c>
      <c r="G656" s="6" t="s">
        <v>36</v>
      </c>
      <c r="H656" s="1">
        <f t="shared" si="120"/>
        <v>44</v>
      </c>
      <c r="I656" s="1" t="str">
        <f t="shared" si="119"/>
        <v>='C:\Users\jaime.benazar\Quorum Business Solutions\Ecopetrol Prometeo - Documents\Planning Space Implementation\3. Analysis &amp; Design\Design\FC22\DRR Jaime\QUIFA-CAJÚA\Cajua\[VAS_CAJUA_CF_SEC_20230125.xlsx]CF PRB'!$BT$44</v>
      </c>
      <c r="J656" s="1" t="s">
        <v>433</v>
      </c>
    </row>
    <row r="657" spans="1:10" x14ac:dyDescent="0.25">
      <c r="A657" s="6" t="s">
        <v>4</v>
      </c>
      <c r="B657" s="6">
        <f t="shared" si="150"/>
        <v>2032</v>
      </c>
      <c r="C657" s="1" t="s">
        <v>8</v>
      </c>
      <c r="D657" s="2" t="s">
        <v>128</v>
      </c>
      <c r="E657" s="9" t="str">
        <f t="shared" si="118"/>
        <v>PRB'!</v>
      </c>
      <c r="F657" s="5" t="str">
        <f t="shared" si="149"/>
        <v>C:\Users\jaime.benazar\Quorum Business Solutions\Ecopetrol Prometeo - Documents\Planning Space Implementation\3. Analysis &amp; Design\Design\FC22\DRR Jaime\QUIFA-CAJÚA\Cajua\[VAS_CAJUA_CF_SEC_20230125.xlsx]CF PRB'!</v>
      </c>
      <c r="G657" s="6" t="s">
        <v>36</v>
      </c>
      <c r="H657" s="1">
        <f t="shared" si="120"/>
        <v>45</v>
      </c>
      <c r="I657" s="1" t="str">
        <f t="shared" si="119"/>
        <v>='C:\Users\jaime.benazar\Quorum Business Solutions\Ecopetrol Prometeo - Documents\Planning Space Implementation\3. Analysis &amp; Design\Design\FC22\DRR Jaime\QUIFA-CAJÚA\Cajua\[VAS_CAJUA_CF_SEC_20230125.xlsx]CF PRB'!$BT$45</v>
      </c>
      <c r="J657" s="1" t="s">
        <v>434</v>
      </c>
    </row>
    <row r="658" spans="1:10" x14ac:dyDescent="0.25">
      <c r="A658" s="6" t="s">
        <v>4</v>
      </c>
      <c r="B658" s="6">
        <f t="shared" si="150"/>
        <v>2033</v>
      </c>
      <c r="C658" s="1" t="s">
        <v>8</v>
      </c>
      <c r="D658" s="2" t="s">
        <v>128</v>
      </c>
      <c r="E658" s="9" t="str">
        <f t="shared" si="118"/>
        <v>PRB'!</v>
      </c>
      <c r="F658" s="5" t="str">
        <f t="shared" si="149"/>
        <v>C:\Users\jaime.benazar\Quorum Business Solutions\Ecopetrol Prometeo - Documents\Planning Space Implementation\3. Analysis &amp; Design\Design\FC22\DRR Jaime\QUIFA-CAJÚA\Cajua\[VAS_CAJUA_CF_SEC_20230125.xlsx]CF PRB'!</v>
      </c>
      <c r="G658" s="6" t="s">
        <v>36</v>
      </c>
      <c r="H658" s="1">
        <f t="shared" si="120"/>
        <v>46</v>
      </c>
      <c r="I658" s="1" t="str">
        <f t="shared" si="119"/>
        <v>='C:\Users\jaime.benazar\Quorum Business Solutions\Ecopetrol Prometeo - Documents\Planning Space Implementation\3. Analysis &amp; Design\Design\FC22\DRR Jaime\QUIFA-CAJÚA\Cajua\[VAS_CAJUA_CF_SEC_20230125.xlsx]CF PRB'!$BT$46</v>
      </c>
      <c r="J658" s="1" t="s">
        <v>435</v>
      </c>
    </row>
    <row r="659" spans="1:10" x14ac:dyDescent="0.25">
      <c r="A659" s="6" t="s">
        <v>4</v>
      </c>
      <c r="B659" s="6">
        <f t="shared" si="150"/>
        <v>2034</v>
      </c>
      <c r="C659" s="1" t="s">
        <v>8</v>
      </c>
      <c r="D659" s="2" t="s">
        <v>128</v>
      </c>
      <c r="E659" s="9" t="str">
        <f t="shared" si="118"/>
        <v>PRB'!</v>
      </c>
      <c r="F659" s="5" t="str">
        <f t="shared" si="149"/>
        <v>C:\Users\jaime.benazar\Quorum Business Solutions\Ecopetrol Prometeo - Documents\Planning Space Implementation\3. Analysis &amp; Design\Design\FC22\DRR Jaime\QUIFA-CAJÚA\Cajua\[VAS_CAJUA_CF_SEC_20230125.xlsx]CF PRB'!</v>
      </c>
      <c r="G659" s="6" t="s">
        <v>36</v>
      </c>
      <c r="H659" s="1">
        <f t="shared" si="120"/>
        <v>47</v>
      </c>
      <c r="I659" s="1" t="str">
        <f t="shared" si="119"/>
        <v>='C:\Users\jaime.benazar\Quorum Business Solutions\Ecopetrol Prometeo - Documents\Planning Space Implementation\3. Analysis &amp; Design\Design\FC22\DRR Jaime\QUIFA-CAJÚA\Cajua\[VAS_CAJUA_CF_SEC_20230125.xlsx]CF PRB'!$BT$47</v>
      </c>
      <c r="J659" s="1" t="s">
        <v>436</v>
      </c>
    </row>
    <row r="660" spans="1:10" x14ac:dyDescent="0.25">
      <c r="A660" s="6" t="s">
        <v>4</v>
      </c>
      <c r="B660" s="6">
        <f t="shared" si="150"/>
        <v>2035</v>
      </c>
      <c r="C660" s="1" t="s">
        <v>8</v>
      </c>
      <c r="D660" s="2" t="s">
        <v>128</v>
      </c>
      <c r="E660" s="9" t="str">
        <f t="shared" si="118"/>
        <v>PRB'!</v>
      </c>
      <c r="F660" s="5" t="str">
        <f t="shared" si="149"/>
        <v>C:\Users\jaime.benazar\Quorum Business Solutions\Ecopetrol Prometeo - Documents\Planning Space Implementation\3. Analysis &amp; Design\Design\FC22\DRR Jaime\QUIFA-CAJÚA\Cajua\[VAS_CAJUA_CF_SEC_20230125.xlsx]CF PRB'!</v>
      </c>
      <c r="G660" s="6" t="s">
        <v>36</v>
      </c>
      <c r="H660" s="1">
        <f t="shared" si="120"/>
        <v>48</v>
      </c>
      <c r="I660" s="1" t="str">
        <f t="shared" si="119"/>
        <v>='C:\Users\jaime.benazar\Quorum Business Solutions\Ecopetrol Prometeo - Documents\Planning Space Implementation\3. Analysis &amp; Design\Design\FC22\DRR Jaime\QUIFA-CAJÚA\Cajua\[VAS_CAJUA_CF_SEC_20230125.xlsx]CF PRB'!$BT$48</v>
      </c>
      <c r="J660" s="1" t="s">
        <v>437</v>
      </c>
    </row>
    <row r="661" spans="1:10" x14ac:dyDescent="0.25">
      <c r="A661" s="6" t="s">
        <v>4</v>
      </c>
      <c r="B661" s="6">
        <f t="shared" si="150"/>
        <v>2036</v>
      </c>
      <c r="C661" s="1" t="s">
        <v>8</v>
      </c>
      <c r="D661" s="2" t="s">
        <v>128</v>
      </c>
      <c r="E661" s="9" t="str">
        <f t="shared" si="118"/>
        <v>PRB'!</v>
      </c>
      <c r="F661" s="5" t="str">
        <f t="shared" si="149"/>
        <v>C:\Users\jaime.benazar\Quorum Business Solutions\Ecopetrol Prometeo - Documents\Planning Space Implementation\3. Analysis &amp; Design\Design\FC22\DRR Jaime\QUIFA-CAJÚA\Cajua\[VAS_CAJUA_CF_SEC_20230125.xlsx]CF PRB'!</v>
      </c>
      <c r="G661" s="6" t="s">
        <v>36</v>
      </c>
      <c r="H661" s="1">
        <f t="shared" si="120"/>
        <v>49</v>
      </c>
      <c r="I661" s="1" t="str">
        <f t="shared" si="119"/>
        <v>='C:\Users\jaime.benazar\Quorum Business Solutions\Ecopetrol Prometeo - Documents\Planning Space Implementation\3. Analysis &amp; Design\Design\FC22\DRR Jaime\QUIFA-CAJÚA\Cajua\[VAS_CAJUA_CF_SEC_20230125.xlsx]CF PRB'!$BT$49</v>
      </c>
      <c r="J661" s="1" t="s">
        <v>438</v>
      </c>
    </row>
    <row r="662" spans="1:10" x14ac:dyDescent="0.25">
      <c r="A662" s="6" t="s">
        <v>4</v>
      </c>
      <c r="B662" s="6">
        <f>+B661+1</f>
        <v>2037</v>
      </c>
      <c r="C662" s="1" t="s">
        <v>8</v>
      </c>
      <c r="D662" s="2" t="s">
        <v>128</v>
      </c>
      <c r="E662" s="9" t="str">
        <f t="shared" si="118"/>
        <v>PRB'!</v>
      </c>
      <c r="F662" s="5" t="str">
        <f t="shared" si="149"/>
        <v>C:\Users\jaime.benazar\Quorum Business Solutions\Ecopetrol Prometeo - Documents\Planning Space Implementation\3. Analysis &amp; Design\Design\FC22\DRR Jaime\QUIFA-CAJÚA\Cajua\[VAS_CAJUA_CF_SEC_20230125.xlsx]CF PRB'!</v>
      </c>
      <c r="G662" s="6" t="s">
        <v>36</v>
      </c>
      <c r="H662" s="1">
        <f t="shared" si="120"/>
        <v>50</v>
      </c>
      <c r="I662" s="1" t="str">
        <f t="shared" si="119"/>
        <v>='C:\Users\jaime.benazar\Quorum Business Solutions\Ecopetrol Prometeo - Documents\Planning Space Implementation\3. Analysis &amp; Design\Design\FC22\DRR Jaime\QUIFA-CAJÚA\Cajua\[VAS_CAJUA_CF_SEC_20230125.xlsx]CF PRB'!$BT$50</v>
      </c>
      <c r="J662" s="1" t="s">
        <v>439</v>
      </c>
    </row>
    <row r="663" spans="1:10" x14ac:dyDescent="0.25">
      <c r="A663" s="6" t="s">
        <v>4</v>
      </c>
      <c r="B663" s="6">
        <f t="shared" ref="B663:B665" si="151">+B662+1</f>
        <v>2038</v>
      </c>
      <c r="C663" s="1" t="s">
        <v>8</v>
      </c>
      <c r="D663" s="2" t="s">
        <v>128</v>
      </c>
      <c r="E663" s="9" t="str">
        <f t="shared" si="118"/>
        <v>PRB'!</v>
      </c>
      <c r="F663" s="5" t="str">
        <f t="shared" si="149"/>
        <v>C:\Users\jaime.benazar\Quorum Business Solutions\Ecopetrol Prometeo - Documents\Planning Space Implementation\3. Analysis &amp; Design\Design\FC22\DRR Jaime\QUIFA-CAJÚA\Cajua\[VAS_CAJUA_CF_SEC_20230125.xlsx]CF PRB'!</v>
      </c>
      <c r="G663" s="6" t="s">
        <v>36</v>
      </c>
      <c r="H663" s="1">
        <f t="shared" si="120"/>
        <v>51</v>
      </c>
      <c r="I663" s="1" t="str">
        <f t="shared" si="119"/>
        <v>='C:\Users\jaime.benazar\Quorum Business Solutions\Ecopetrol Prometeo - Documents\Planning Space Implementation\3. Analysis &amp; Design\Design\FC22\DRR Jaime\QUIFA-CAJÚA\Cajua\[VAS_CAJUA_CF_SEC_20230125.xlsx]CF PRB'!$BT$51</v>
      </c>
      <c r="J663" s="1" t="s">
        <v>440</v>
      </c>
    </row>
    <row r="664" spans="1:10" x14ac:dyDescent="0.25">
      <c r="A664" s="6" t="s">
        <v>4</v>
      </c>
      <c r="B664" s="6">
        <f t="shared" si="151"/>
        <v>2039</v>
      </c>
      <c r="C664" s="1" t="s">
        <v>8</v>
      </c>
      <c r="D664" s="2" t="s">
        <v>128</v>
      </c>
      <c r="E664" s="9" t="str">
        <f t="shared" si="118"/>
        <v>PRB'!</v>
      </c>
      <c r="F664" s="5" t="str">
        <f t="shared" si="149"/>
        <v>C:\Users\jaime.benazar\Quorum Business Solutions\Ecopetrol Prometeo - Documents\Planning Space Implementation\3. Analysis &amp; Design\Design\FC22\DRR Jaime\QUIFA-CAJÚA\Cajua\[VAS_CAJUA_CF_SEC_20230125.xlsx]CF PRB'!</v>
      </c>
      <c r="G664" s="6" t="s">
        <v>36</v>
      </c>
      <c r="H664" s="1">
        <f t="shared" si="120"/>
        <v>52</v>
      </c>
      <c r="I664" s="1" t="str">
        <f t="shared" si="119"/>
        <v>='C:\Users\jaime.benazar\Quorum Business Solutions\Ecopetrol Prometeo - Documents\Planning Space Implementation\3. Analysis &amp; Design\Design\FC22\DRR Jaime\QUIFA-CAJÚA\Cajua\[VAS_CAJUA_CF_SEC_20230125.xlsx]CF PRB'!$BT$52</v>
      </c>
      <c r="J664" s="1" t="s">
        <v>441</v>
      </c>
    </row>
    <row r="665" spans="1:10" x14ac:dyDescent="0.25">
      <c r="A665" s="6" t="s">
        <v>4</v>
      </c>
      <c r="B665" s="6">
        <f t="shared" si="151"/>
        <v>2040</v>
      </c>
      <c r="C665" s="1" t="s">
        <v>8</v>
      </c>
      <c r="D665" s="2" t="s">
        <v>128</v>
      </c>
      <c r="E665" s="9" t="str">
        <f t="shared" si="118"/>
        <v>PRB'!</v>
      </c>
      <c r="F665" s="5" t="str">
        <f t="shared" si="149"/>
        <v>C:\Users\jaime.benazar\Quorum Business Solutions\Ecopetrol Prometeo - Documents\Planning Space Implementation\3. Analysis &amp; Design\Design\FC22\DRR Jaime\QUIFA-CAJÚA\Cajua\[VAS_CAJUA_CF_SEC_20230125.xlsx]CF PRB'!</v>
      </c>
      <c r="G665" s="6" t="s">
        <v>36</v>
      </c>
      <c r="H665" s="1">
        <f t="shared" si="120"/>
        <v>53</v>
      </c>
      <c r="I665" s="1" t="str">
        <f t="shared" si="119"/>
        <v>='C:\Users\jaime.benazar\Quorum Business Solutions\Ecopetrol Prometeo - Documents\Planning Space Implementation\3. Analysis &amp; Design\Design\FC22\DRR Jaime\QUIFA-CAJÚA\Cajua\[VAS_CAJUA_CF_SEC_20230125.xlsx]CF PRB'!$BT$53</v>
      </c>
      <c r="J665" s="1" t="s">
        <v>442</v>
      </c>
    </row>
    <row r="666" spans="1:10" x14ac:dyDescent="0.25">
      <c r="A666" s="6" t="s">
        <v>4</v>
      </c>
      <c r="B666" s="6">
        <f>+B665+1</f>
        <v>2041</v>
      </c>
      <c r="C666" s="1" t="s">
        <v>8</v>
      </c>
      <c r="D666" s="2" t="s">
        <v>128</v>
      </c>
      <c r="E666" s="9" t="str">
        <f t="shared" si="118"/>
        <v>PRB'!</v>
      </c>
      <c r="F666" s="5" t="str">
        <f t="shared" si="149"/>
        <v>C:\Users\jaime.benazar\Quorum Business Solutions\Ecopetrol Prometeo - Documents\Planning Space Implementation\3. Analysis &amp; Design\Design\FC22\DRR Jaime\QUIFA-CAJÚA\Cajua\[VAS_CAJUA_CF_SEC_20230125.xlsx]CF PRB'!</v>
      </c>
      <c r="G666" s="6" t="s">
        <v>36</v>
      </c>
      <c r="H666" s="1">
        <f t="shared" si="120"/>
        <v>54</v>
      </c>
      <c r="I666" s="1" t="str">
        <f t="shared" si="119"/>
        <v>='C:\Users\jaime.benazar\Quorum Business Solutions\Ecopetrol Prometeo - Documents\Planning Space Implementation\3. Analysis &amp; Design\Design\FC22\DRR Jaime\QUIFA-CAJÚA\Cajua\[VAS_CAJUA_CF_SEC_20230125.xlsx]CF PRB'!$BT$54</v>
      </c>
      <c r="J666" s="1" t="s">
        <v>443</v>
      </c>
    </row>
    <row r="667" spans="1:10" x14ac:dyDescent="0.25">
      <c r="A667" s="6" t="s">
        <v>4</v>
      </c>
      <c r="B667" s="6">
        <f t="shared" ref="B667:B668" si="152">+B666+1</f>
        <v>2042</v>
      </c>
      <c r="C667" s="1" t="s">
        <v>8</v>
      </c>
      <c r="D667" s="2" t="s">
        <v>128</v>
      </c>
      <c r="E667" s="9" t="str">
        <f t="shared" si="118"/>
        <v>PRB'!</v>
      </c>
      <c r="F667" s="5" t="str">
        <f t="shared" si="149"/>
        <v>C:\Users\jaime.benazar\Quorum Business Solutions\Ecopetrol Prometeo - Documents\Planning Space Implementation\3. Analysis &amp; Design\Design\FC22\DRR Jaime\QUIFA-CAJÚA\Cajua\[VAS_CAJUA_CF_SEC_20230125.xlsx]CF PRB'!</v>
      </c>
      <c r="G667" s="6" t="s">
        <v>36</v>
      </c>
      <c r="H667" s="1">
        <f t="shared" si="120"/>
        <v>55</v>
      </c>
      <c r="I667" s="1" t="str">
        <f t="shared" si="119"/>
        <v>='C:\Users\jaime.benazar\Quorum Business Solutions\Ecopetrol Prometeo - Documents\Planning Space Implementation\3. Analysis &amp; Design\Design\FC22\DRR Jaime\QUIFA-CAJÚA\Cajua\[VAS_CAJUA_CF_SEC_20230125.xlsx]CF PRB'!$BT$55</v>
      </c>
      <c r="J667" s="1" t="s">
        <v>444</v>
      </c>
    </row>
    <row r="668" spans="1:10" x14ac:dyDescent="0.25">
      <c r="A668" s="6" t="s">
        <v>4</v>
      </c>
      <c r="B668" s="6">
        <f t="shared" si="152"/>
        <v>2043</v>
      </c>
      <c r="C668" s="1" t="s">
        <v>8</v>
      </c>
      <c r="D668" s="2" t="s">
        <v>128</v>
      </c>
      <c r="E668" s="9" t="str">
        <f t="shared" si="118"/>
        <v>PRB'!</v>
      </c>
      <c r="F668" s="5" t="str">
        <f t="shared" si="149"/>
        <v>C:\Users\jaime.benazar\Quorum Business Solutions\Ecopetrol Prometeo - Documents\Planning Space Implementation\3. Analysis &amp; Design\Design\FC22\DRR Jaime\QUIFA-CAJÚA\Cajua\[VAS_CAJUA_CF_SEC_20230125.xlsx]CF PRB'!</v>
      </c>
      <c r="G668" s="6" t="s">
        <v>36</v>
      </c>
      <c r="H668" s="1">
        <f t="shared" si="120"/>
        <v>56</v>
      </c>
      <c r="I668" s="1" t="str">
        <f t="shared" si="119"/>
        <v>='C:\Users\jaime.benazar\Quorum Business Solutions\Ecopetrol Prometeo - Documents\Planning Space Implementation\3. Analysis &amp; Design\Design\FC22\DRR Jaime\QUIFA-CAJÚA\Cajua\[VAS_CAJUA_CF_SEC_20230125.xlsx]CF PRB'!$BT$56</v>
      </c>
      <c r="J668" s="1" t="s">
        <v>445</v>
      </c>
    </row>
    <row r="669" spans="1:10" x14ac:dyDescent="0.25">
      <c r="A669" s="6" t="s">
        <v>4</v>
      </c>
      <c r="B669" s="6">
        <f>+B668+1</f>
        <v>2044</v>
      </c>
      <c r="C669" s="1" t="s">
        <v>8</v>
      </c>
      <c r="D669" s="2" t="s">
        <v>128</v>
      </c>
      <c r="E669" s="9" t="str">
        <f t="shared" ref="E669:E684" si="153">_xlfn.CONCAT(A669,"'!")</f>
        <v>PRB'!</v>
      </c>
      <c r="F669" s="5" t="str">
        <f t="shared" ref="F669:F684" si="154">_xlfn.CONCAT(D669," ",E669)</f>
        <v>C:\Users\jaime.benazar\Quorum Business Solutions\Ecopetrol Prometeo - Documents\Planning Space Implementation\3. Analysis &amp; Design\Design\FC22\DRR Jaime\QUIFA-CAJÚA\Cajua\[VAS_CAJUA_CF_SEC_20230125.xlsx]CF PRB'!</v>
      </c>
      <c r="G669" s="6" t="s">
        <v>36</v>
      </c>
      <c r="H669" s="1">
        <f t="shared" ref="H669:H684" si="155">IF(A669&lt;&gt;A668,36,H668+1)</f>
        <v>57</v>
      </c>
      <c r="I669" s="1" t="str">
        <f t="shared" ref="I669:I684" si="156">_xlfn.CONCAT("='",F669:H669)</f>
        <v>='C:\Users\jaime.benazar\Quorum Business Solutions\Ecopetrol Prometeo - Documents\Planning Space Implementation\3. Analysis &amp; Design\Design\FC22\DRR Jaime\QUIFA-CAJÚA\Cajua\[VAS_CAJUA_CF_SEC_20230125.xlsx]CF PRB'!$BT$57</v>
      </c>
      <c r="J669" s="1" t="s">
        <v>446</v>
      </c>
    </row>
    <row r="670" spans="1:10" x14ac:dyDescent="0.25">
      <c r="A670" s="6" t="s">
        <v>4</v>
      </c>
      <c r="B670" s="6">
        <f t="shared" ref="B670:B684" si="157">+B669+1</f>
        <v>2045</v>
      </c>
      <c r="C670" s="1" t="s">
        <v>8</v>
      </c>
      <c r="D670" s="2" t="s">
        <v>128</v>
      </c>
      <c r="E670" s="9" t="str">
        <f t="shared" si="153"/>
        <v>PRB'!</v>
      </c>
      <c r="F670" s="5" t="str">
        <f t="shared" si="154"/>
        <v>C:\Users\jaime.benazar\Quorum Business Solutions\Ecopetrol Prometeo - Documents\Planning Space Implementation\3. Analysis &amp; Design\Design\FC22\DRR Jaime\QUIFA-CAJÚA\Cajua\[VAS_CAJUA_CF_SEC_20230125.xlsx]CF PRB'!</v>
      </c>
      <c r="G670" s="6" t="s">
        <v>36</v>
      </c>
      <c r="H670" s="1">
        <f t="shared" si="155"/>
        <v>58</v>
      </c>
      <c r="I670" s="1" t="str">
        <f t="shared" si="156"/>
        <v>='C:\Users\jaime.benazar\Quorum Business Solutions\Ecopetrol Prometeo - Documents\Planning Space Implementation\3. Analysis &amp; Design\Design\FC22\DRR Jaime\QUIFA-CAJÚA\Cajua\[VAS_CAJUA_CF_SEC_20230125.xlsx]CF PRB'!$BT$58</v>
      </c>
      <c r="J670" s="1" t="s">
        <v>447</v>
      </c>
    </row>
    <row r="671" spans="1:10" x14ac:dyDescent="0.25">
      <c r="A671" s="6" t="s">
        <v>4</v>
      </c>
      <c r="B671" s="6">
        <f t="shared" si="157"/>
        <v>2046</v>
      </c>
      <c r="C671" s="1" t="s">
        <v>8</v>
      </c>
      <c r="D671" s="2" t="s">
        <v>128</v>
      </c>
      <c r="E671" s="9" t="str">
        <f t="shared" si="153"/>
        <v>PRB'!</v>
      </c>
      <c r="F671" s="5" t="str">
        <f t="shared" si="154"/>
        <v>C:\Users\jaime.benazar\Quorum Business Solutions\Ecopetrol Prometeo - Documents\Planning Space Implementation\3. Analysis &amp; Design\Design\FC22\DRR Jaime\QUIFA-CAJÚA\Cajua\[VAS_CAJUA_CF_SEC_20230125.xlsx]CF PRB'!</v>
      </c>
      <c r="G671" s="6" t="s">
        <v>36</v>
      </c>
      <c r="H671" s="1">
        <f t="shared" si="155"/>
        <v>59</v>
      </c>
      <c r="I671" s="1" t="str">
        <f t="shared" si="156"/>
        <v>='C:\Users\jaime.benazar\Quorum Business Solutions\Ecopetrol Prometeo - Documents\Planning Space Implementation\3. Analysis &amp; Design\Design\FC22\DRR Jaime\QUIFA-CAJÚA\Cajua\[VAS_CAJUA_CF_SEC_20230125.xlsx]CF PRB'!$BT$59</v>
      </c>
      <c r="J671" s="1" t="s">
        <v>448</v>
      </c>
    </row>
    <row r="672" spans="1:10" x14ac:dyDescent="0.25">
      <c r="A672" s="6" t="s">
        <v>4</v>
      </c>
      <c r="B672" s="6">
        <f t="shared" si="157"/>
        <v>2047</v>
      </c>
      <c r="C672" s="1" t="s">
        <v>8</v>
      </c>
      <c r="D672" s="2" t="s">
        <v>128</v>
      </c>
      <c r="E672" s="9" t="str">
        <f t="shared" si="153"/>
        <v>PRB'!</v>
      </c>
      <c r="F672" s="5" t="str">
        <f t="shared" si="154"/>
        <v>C:\Users\jaime.benazar\Quorum Business Solutions\Ecopetrol Prometeo - Documents\Planning Space Implementation\3. Analysis &amp; Design\Design\FC22\DRR Jaime\QUIFA-CAJÚA\Cajua\[VAS_CAJUA_CF_SEC_20230125.xlsx]CF PRB'!</v>
      </c>
      <c r="G672" s="6" t="s">
        <v>36</v>
      </c>
      <c r="H672" s="1">
        <f t="shared" si="155"/>
        <v>60</v>
      </c>
      <c r="I672" s="1" t="str">
        <f t="shared" si="156"/>
        <v>='C:\Users\jaime.benazar\Quorum Business Solutions\Ecopetrol Prometeo - Documents\Planning Space Implementation\3. Analysis &amp; Design\Design\FC22\DRR Jaime\QUIFA-CAJÚA\Cajua\[VAS_CAJUA_CF_SEC_20230125.xlsx]CF PRB'!$BT$60</v>
      </c>
      <c r="J672" s="1" t="s">
        <v>449</v>
      </c>
    </row>
    <row r="673" spans="1:10" x14ac:dyDescent="0.25">
      <c r="A673" s="6" t="s">
        <v>4</v>
      </c>
      <c r="B673" s="6">
        <f t="shared" si="157"/>
        <v>2048</v>
      </c>
      <c r="C673" s="1" t="s">
        <v>8</v>
      </c>
      <c r="D673" s="2" t="s">
        <v>128</v>
      </c>
      <c r="E673" s="9" t="str">
        <f t="shared" si="153"/>
        <v>PRB'!</v>
      </c>
      <c r="F673" s="5" t="str">
        <f t="shared" si="154"/>
        <v>C:\Users\jaime.benazar\Quorum Business Solutions\Ecopetrol Prometeo - Documents\Planning Space Implementation\3. Analysis &amp; Design\Design\FC22\DRR Jaime\QUIFA-CAJÚA\Cajua\[VAS_CAJUA_CF_SEC_20230125.xlsx]CF PRB'!</v>
      </c>
      <c r="G673" s="6" t="s">
        <v>36</v>
      </c>
      <c r="H673" s="1">
        <f t="shared" si="155"/>
        <v>61</v>
      </c>
      <c r="I673" s="1" t="str">
        <f t="shared" si="156"/>
        <v>='C:\Users\jaime.benazar\Quorum Business Solutions\Ecopetrol Prometeo - Documents\Planning Space Implementation\3. Analysis &amp; Design\Design\FC22\DRR Jaime\QUIFA-CAJÚA\Cajua\[VAS_CAJUA_CF_SEC_20230125.xlsx]CF PRB'!$BT$61</v>
      </c>
      <c r="J673" s="1" t="s">
        <v>450</v>
      </c>
    </row>
    <row r="674" spans="1:10" x14ac:dyDescent="0.25">
      <c r="A674" s="6" t="s">
        <v>4</v>
      </c>
      <c r="B674" s="6">
        <f t="shared" si="157"/>
        <v>2049</v>
      </c>
      <c r="C674" s="1" t="s">
        <v>8</v>
      </c>
      <c r="D674" s="2" t="s">
        <v>128</v>
      </c>
      <c r="E674" s="9" t="str">
        <f t="shared" si="153"/>
        <v>PRB'!</v>
      </c>
      <c r="F674" s="5" t="str">
        <f t="shared" si="154"/>
        <v>C:\Users\jaime.benazar\Quorum Business Solutions\Ecopetrol Prometeo - Documents\Planning Space Implementation\3. Analysis &amp; Design\Design\FC22\DRR Jaime\QUIFA-CAJÚA\Cajua\[VAS_CAJUA_CF_SEC_20230125.xlsx]CF PRB'!</v>
      </c>
      <c r="G674" s="6" t="s">
        <v>36</v>
      </c>
      <c r="H674" s="1">
        <f t="shared" si="155"/>
        <v>62</v>
      </c>
      <c r="I674" s="1" t="str">
        <f t="shared" si="156"/>
        <v>='C:\Users\jaime.benazar\Quorum Business Solutions\Ecopetrol Prometeo - Documents\Planning Space Implementation\3. Analysis &amp; Design\Design\FC22\DRR Jaime\QUIFA-CAJÚA\Cajua\[VAS_CAJUA_CF_SEC_20230125.xlsx]CF PRB'!$BT$62</v>
      </c>
      <c r="J674" s="1" t="s">
        <v>451</v>
      </c>
    </row>
    <row r="675" spans="1:10" x14ac:dyDescent="0.25">
      <c r="A675" s="6" t="s">
        <v>4</v>
      </c>
      <c r="B675" s="6">
        <f t="shared" si="157"/>
        <v>2050</v>
      </c>
      <c r="C675" s="1" t="s">
        <v>8</v>
      </c>
      <c r="D675" s="2" t="s">
        <v>128</v>
      </c>
      <c r="E675" s="9" t="str">
        <f t="shared" si="153"/>
        <v>PRB'!</v>
      </c>
      <c r="F675" s="5" t="str">
        <f t="shared" si="154"/>
        <v>C:\Users\jaime.benazar\Quorum Business Solutions\Ecopetrol Prometeo - Documents\Planning Space Implementation\3. Analysis &amp; Design\Design\FC22\DRR Jaime\QUIFA-CAJÚA\Cajua\[VAS_CAJUA_CF_SEC_20230125.xlsx]CF PRB'!</v>
      </c>
      <c r="G675" s="6" t="s">
        <v>36</v>
      </c>
      <c r="H675" s="1">
        <f t="shared" si="155"/>
        <v>63</v>
      </c>
      <c r="I675" s="1" t="str">
        <f t="shared" si="156"/>
        <v>='C:\Users\jaime.benazar\Quorum Business Solutions\Ecopetrol Prometeo - Documents\Planning Space Implementation\3. Analysis &amp; Design\Design\FC22\DRR Jaime\QUIFA-CAJÚA\Cajua\[VAS_CAJUA_CF_SEC_20230125.xlsx]CF PRB'!$BT$63</v>
      </c>
      <c r="J675" s="1" t="s">
        <v>452</v>
      </c>
    </row>
    <row r="676" spans="1:10" x14ac:dyDescent="0.25">
      <c r="A676" s="6" t="s">
        <v>4</v>
      </c>
      <c r="B676" s="6">
        <f t="shared" si="157"/>
        <v>2051</v>
      </c>
      <c r="C676" s="1" t="s">
        <v>8</v>
      </c>
      <c r="D676" s="2" t="s">
        <v>128</v>
      </c>
      <c r="E676" s="9" t="str">
        <f t="shared" si="153"/>
        <v>PRB'!</v>
      </c>
      <c r="F676" s="5" t="str">
        <f t="shared" si="154"/>
        <v>C:\Users\jaime.benazar\Quorum Business Solutions\Ecopetrol Prometeo - Documents\Planning Space Implementation\3. Analysis &amp; Design\Design\FC22\DRR Jaime\QUIFA-CAJÚA\Cajua\[VAS_CAJUA_CF_SEC_20230125.xlsx]CF PRB'!</v>
      </c>
      <c r="G676" s="6" t="s">
        <v>36</v>
      </c>
      <c r="H676" s="1">
        <f t="shared" si="155"/>
        <v>64</v>
      </c>
      <c r="I676" s="1" t="str">
        <f t="shared" si="156"/>
        <v>='C:\Users\jaime.benazar\Quorum Business Solutions\Ecopetrol Prometeo - Documents\Planning Space Implementation\3. Analysis &amp; Design\Design\FC22\DRR Jaime\QUIFA-CAJÚA\Cajua\[VAS_CAJUA_CF_SEC_20230125.xlsx]CF PRB'!$BT$64</v>
      </c>
      <c r="J676" s="1" t="s">
        <v>453</v>
      </c>
    </row>
    <row r="677" spans="1:10" x14ac:dyDescent="0.25">
      <c r="A677" s="6" t="s">
        <v>4</v>
      </c>
      <c r="B677" s="6">
        <f t="shared" si="157"/>
        <v>2052</v>
      </c>
      <c r="C677" s="1" t="s">
        <v>8</v>
      </c>
      <c r="D677" s="2" t="s">
        <v>128</v>
      </c>
      <c r="E677" s="9" t="str">
        <f t="shared" si="153"/>
        <v>PRB'!</v>
      </c>
      <c r="F677" s="5" t="str">
        <f t="shared" si="154"/>
        <v>C:\Users\jaime.benazar\Quorum Business Solutions\Ecopetrol Prometeo - Documents\Planning Space Implementation\3. Analysis &amp; Design\Design\FC22\DRR Jaime\QUIFA-CAJÚA\Cajua\[VAS_CAJUA_CF_SEC_20230125.xlsx]CF PRB'!</v>
      </c>
      <c r="G677" s="6" t="s">
        <v>36</v>
      </c>
      <c r="H677" s="1">
        <f t="shared" si="155"/>
        <v>65</v>
      </c>
      <c r="I677" s="1" t="str">
        <f t="shared" si="156"/>
        <v>='C:\Users\jaime.benazar\Quorum Business Solutions\Ecopetrol Prometeo - Documents\Planning Space Implementation\3. Analysis &amp; Design\Design\FC22\DRR Jaime\QUIFA-CAJÚA\Cajua\[VAS_CAJUA_CF_SEC_20230125.xlsx]CF PRB'!$BT$65</v>
      </c>
      <c r="J677" s="1" t="s">
        <v>454</v>
      </c>
    </row>
    <row r="678" spans="1:10" x14ac:dyDescent="0.25">
      <c r="A678" s="6" t="s">
        <v>4</v>
      </c>
      <c r="B678" s="6">
        <f t="shared" si="157"/>
        <v>2053</v>
      </c>
      <c r="C678" s="1" t="s">
        <v>8</v>
      </c>
      <c r="D678" s="2" t="s">
        <v>128</v>
      </c>
      <c r="E678" s="9" t="str">
        <f t="shared" si="153"/>
        <v>PRB'!</v>
      </c>
      <c r="F678" s="5" t="str">
        <f t="shared" si="154"/>
        <v>C:\Users\jaime.benazar\Quorum Business Solutions\Ecopetrol Prometeo - Documents\Planning Space Implementation\3. Analysis &amp; Design\Design\FC22\DRR Jaime\QUIFA-CAJÚA\Cajua\[VAS_CAJUA_CF_SEC_20230125.xlsx]CF PRB'!</v>
      </c>
      <c r="G678" s="6" t="s">
        <v>36</v>
      </c>
      <c r="H678" s="1">
        <f t="shared" si="155"/>
        <v>66</v>
      </c>
      <c r="I678" s="1" t="str">
        <f t="shared" si="156"/>
        <v>='C:\Users\jaime.benazar\Quorum Business Solutions\Ecopetrol Prometeo - Documents\Planning Space Implementation\3. Analysis &amp; Design\Design\FC22\DRR Jaime\QUIFA-CAJÚA\Cajua\[VAS_CAJUA_CF_SEC_20230125.xlsx]CF PRB'!$BT$66</v>
      </c>
      <c r="J678" s="1" t="s">
        <v>455</v>
      </c>
    </row>
    <row r="679" spans="1:10" x14ac:dyDescent="0.25">
      <c r="A679" s="6" t="s">
        <v>4</v>
      </c>
      <c r="B679" s="6">
        <f t="shared" si="157"/>
        <v>2054</v>
      </c>
      <c r="C679" s="1" t="s">
        <v>8</v>
      </c>
      <c r="D679" s="2" t="s">
        <v>128</v>
      </c>
      <c r="E679" s="9" t="str">
        <f t="shared" si="153"/>
        <v>PRB'!</v>
      </c>
      <c r="F679" s="5" t="str">
        <f t="shared" si="154"/>
        <v>C:\Users\jaime.benazar\Quorum Business Solutions\Ecopetrol Prometeo - Documents\Planning Space Implementation\3. Analysis &amp; Design\Design\FC22\DRR Jaime\QUIFA-CAJÚA\Cajua\[VAS_CAJUA_CF_SEC_20230125.xlsx]CF PRB'!</v>
      </c>
      <c r="G679" s="6" t="s">
        <v>36</v>
      </c>
      <c r="H679" s="1">
        <f t="shared" si="155"/>
        <v>67</v>
      </c>
      <c r="I679" s="1" t="str">
        <f t="shared" si="156"/>
        <v>='C:\Users\jaime.benazar\Quorum Business Solutions\Ecopetrol Prometeo - Documents\Planning Space Implementation\3. Analysis &amp; Design\Design\FC22\DRR Jaime\QUIFA-CAJÚA\Cajua\[VAS_CAJUA_CF_SEC_20230125.xlsx]CF PRB'!$BT$67</v>
      </c>
      <c r="J679" s="1" t="s">
        <v>456</v>
      </c>
    </row>
    <row r="680" spans="1:10" x14ac:dyDescent="0.25">
      <c r="A680" s="6" t="s">
        <v>4</v>
      </c>
      <c r="B680" s="6">
        <f t="shared" si="157"/>
        <v>2055</v>
      </c>
      <c r="C680" s="1" t="s">
        <v>8</v>
      </c>
      <c r="D680" s="2" t="s">
        <v>128</v>
      </c>
      <c r="E680" s="9" t="str">
        <f t="shared" si="153"/>
        <v>PRB'!</v>
      </c>
      <c r="F680" s="5" t="str">
        <f t="shared" si="154"/>
        <v>C:\Users\jaime.benazar\Quorum Business Solutions\Ecopetrol Prometeo - Documents\Planning Space Implementation\3. Analysis &amp; Design\Design\FC22\DRR Jaime\QUIFA-CAJÚA\Cajua\[VAS_CAJUA_CF_SEC_20230125.xlsx]CF PRB'!</v>
      </c>
      <c r="G680" s="6" t="s">
        <v>36</v>
      </c>
      <c r="H680" s="1">
        <f t="shared" si="155"/>
        <v>68</v>
      </c>
      <c r="I680" s="1" t="str">
        <f t="shared" si="156"/>
        <v>='C:\Users\jaime.benazar\Quorum Business Solutions\Ecopetrol Prometeo - Documents\Planning Space Implementation\3. Analysis &amp; Design\Design\FC22\DRR Jaime\QUIFA-CAJÚA\Cajua\[VAS_CAJUA_CF_SEC_20230125.xlsx]CF PRB'!$BT$68</v>
      </c>
      <c r="J680" s="1" t="s">
        <v>457</v>
      </c>
    </row>
    <row r="681" spans="1:10" x14ac:dyDescent="0.25">
      <c r="A681" s="6" t="s">
        <v>4</v>
      </c>
      <c r="B681" s="6">
        <f t="shared" si="157"/>
        <v>2056</v>
      </c>
      <c r="C681" s="1" t="s">
        <v>8</v>
      </c>
      <c r="D681" s="2" t="s">
        <v>128</v>
      </c>
      <c r="E681" s="9" t="str">
        <f t="shared" si="153"/>
        <v>PRB'!</v>
      </c>
      <c r="F681" s="5" t="str">
        <f t="shared" si="154"/>
        <v>C:\Users\jaime.benazar\Quorum Business Solutions\Ecopetrol Prometeo - Documents\Planning Space Implementation\3. Analysis &amp; Design\Design\FC22\DRR Jaime\QUIFA-CAJÚA\Cajua\[VAS_CAJUA_CF_SEC_20230125.xlsx]CF PRB'!</v>
      </c>
      <c r="G681" s="6" t="s">
        <v>36</v>
      </c>
      <c r="H681" s="1">
        <f t="shared" si="155"/>
        <v>69</v>
      </c>
      <c r="I681" s="1" t="str">
        <f t="shared" si="156"/>
        <v>='C:\Users\jaime.benazar\Quorum Business Solutions\Ecopetrol Prometeo - Documents\Planning Space Implementation\3. Analysis &amp; Design\Design\FC22\DRR Jaime\QUIFA-CAJÚA\Cajua\[VAS_CAJUA_CF_SEC_20230125.xlsx]CF PRB'!$BT$69</v>
      </c>
      <c r="J681" s="1" t="s">
        <v>458</v>
      </c>
    </row>
    <row r="682" spans="1:10" x14ac:dyDescent="0.25">
      <c r="A682" s="6" t="s">
        <v>4</v>
      </c>
      <c r="B682" s="6">
        <f t="shared" si="157"/>
        <v>2057</v>
      </c>
      <c r="C682" s="1" t="s">
        <v>8</v>
      </c>
      <c r="D682" s="2" t="s">
        <v>128</v>
      </c>
      <c r="E682" s="9" t="str">
        <f t="shared" si="153"/>
        <v>PRB'!</v>
      </c>
      <c r="F682" s="5" t="str">
        <f t="shared" si="154"/>
        <v>C:\Users\jaime.benazar\Quorum Business Solutions\Ecopetrol Prometeo - Documents\Planning Space Implementation\3. Analysis &amp; Design\Design\FC22\DRR Jaime\QUIFA-CAJÚA\Cajua\[VAS_CAJUA_CF_SEC_20230125.xlsx]CF PRB'!</v>
      </c>
      <c r="G682" s="6" t="s">
        <v>36</v>
      </c>
      <c r="H682" s="1">
        <f t="shared" si="155"/>
        <v>70</v>
      </c>
      <c r="I682" s="1" t="str">
        <f t="shared" si="156"/>
        <v>='C:\Users\jaime.benazar\Quorum Business Solutions\Ecopetrol Prometeo - Documents\Planning Space Implementation\3. Analysis &amp; Design\Design\FC22\DRR Jaime\QUIFA-CAJÚA\Cajua\[VAS_CAJUA_CF_SEC_20230125.xlsx]CF PRB'!$BT$70</v>
      </c>
      <c r="J682" s="1" t="s">
        <v>459</v>
      </c>
    </row>
    <row r="683" spans="1:10" x14ac:dyDescent="0.25">
      <c r="A683" s="6" t="s">
        <v>4</v>
      </c>
      <c r="B683" s="6">
        <f t="shared" si="157"/>
        <v>2058</v>
      </c>
      <c r="C683" s="1" t="s">
        <v>8</v>
      </c>
      <c r="D683" s="2" t="s">
        <v>128</v>
      </c>
      <c r="E683" s="9" t="str">
        <f t="shared" si="153"/>
        <v>PRB'!</v>
      </c>
      <c r="F683" s="5" t="str">
        <f t="shared" si="154"/>
        <v>C:\Users\jaime.benazar\Quorum Business Solutions\Ecopetrol Prometeo - Documents\Planning Space Implementation\3. Analysis &amp; Design\Design\FC22\DRR Jaime\QUIFA-CAJÚA\Cajua\[VAS_CAJUA_CF_SEC_20230125.xlsx]CF PRB'!</v>
      </c>
      <c r="G683" s="6" t="s">
        <v>36</v>
      </c>
      <c r="H683" s="1">
        <f t="shared" si="155"/>
        <v>71</v>
      </c>
      <c r="I683" s="1" t="str">
        <f t="shared" si="156"/>
        <v>='C:\Users\jaime.benazar\Quorum Business Solutions\Ecopetrol Prometeo - Documents\Planning Space Implementation\3. Analysis &amp; Design\Design\FC22\DRR Jaime\QUIFA-CAJÚA\Cajua\[VAS_CAJUA_CF_SEC_20230125.xlsx]CF PRB'!$BT$71</v>
      </c>
      <c r="J683" s="1" t="s">
        <v>460</v>
      </c>
    </row>
    <row r="684" spans="1:10" x14ac:dyDescent="0.25">
      <c r="A684" s="6" t="s">
        <v>4</v>
      </c>
      <c r="B684" s="6">
        <f t="shared" si="157"/>
        <v>2059</v>
      </c>
      <c r="C684" s="1" t="s">
        <v>8</v>
      </c>
      <c r="D684" s="2" t="s">
        <v>128</v>
      </c>
      <c r="E684" s="9" t="str">
        <f t="shared" si="153"/>
        <v>PRB'!</v>
      </c>
      <c r="F684" s="5" t="str">
        <f t="shared" si="154"/>
        <v>C:\Users\jaime.benazar\Quorum Business Solutions\Ecopetrol Prometeo - Documents\Planning Space Implementation\3. Analysis &amp; Design\Design\FC22\DRR Jaime\QUIFA-CAJÚA\Cajua\[VAS_CAJUA_CF_SEC_20230125.xlsx]CF PRB'!</v>
      </c>
      <c r="G684" s="6" t="s">
        <v>36</v>
      </c>
      <c r="H684" s="1">
        <f t="shared" si="155"/>
        <v>72</v>
      </c>
      <c r="I684" s="1" t="str">
        <f t="shared" si="156"/>
        <v>='C:\Users\jaime.benazar\Quorum Business Solutions\Ecopetrol Prometeo - Documents\Planning Space Implementation\3. Analysis &amp; Design\Design\FC22\DRR Jaime\QUIFA-CAJÚA\Cajua\[VAS_CAJUA_CF_SEC_20230125.xlsx]CF PRB'!$BT$72</v>
      </c>
      <c r="J684" s="1" t="s">
        <v>461</v>
      </c>
    </row>
    <row r="685" spans="1:10" x14ac:dyDescent="0.25">
      <c r="A685" s="6" t="s">
        <v>28</v>
      </c>
      <c r="B685" s="6"/>
      <c r="C685" s="1" t="s">
        <v>8</v>
      </c>
      <c r="D685" s="2"/>
      <c r="E685" s="9"/>
      <c r="F685" s="2"/>
      <c r="G685" s="6"/>
      <c r="H685" s="1"/>
      <c r="I685" s="1"/>
      <c r="J685" s="4"/>
    </row>
    <row r="686" spans="1:10" x14ac:dyDescent="0.25">
      <c r="A686" s="6" t="s">
        <v>102</v>
      </c>
      <c r="B686" s="6">
        <v>2023</v>
      </c>
      <c r="C686" s="1" t="s">
        <v>8</v>
      </c>
      <c r="D686" s="2" t="s">
        <v>128</v>
      </c>
      <c r="E686" s="9" t="str">
        <f t="shared" ref="E686:E706" si="158">_xlfn.CONCAT(A686,"'!")</f>
        <v>PSDP'!</v>
      </c>
      <c r="F686" s="5" t="str">
        <f t="shared" ref="F686:F706" si="159">_xlfn.CONCAT(D686," ",E686)</f>
        <v>C:\Users\jaime.benazar\Quorum Business Solutions\Ecopetrol Prometeo - Documents\Planning Space Implementation\3. Analysis &amp; Design\Design\FC22\DRR Jaime\QUIFA-CAJÚA\Cajua\[VAS_CAJUA_CF_SEC_20230125.xlsx]CF PSDP'!</v>
      </c>
      <c r="G686" s="6" t="s">
        <v>36</v>
      </c>
      <c r="H686" s="1"/>
      <c r="I686" s="1"/>
      <c r="J686" s="1"/>
    </row>
    <row r="687" spans="1:10" x14ac:dyDescent="0.25">
      <c r="A687" s="6" t="s">
        <v>102</v>
      </c>
      <c r="B687" s="6">
        <f>+B686+1</f>
        <v>2024</v>
      </c>
      <c r="C687" s="1" t="s">
        <v>8</v>
      </c>
      <c r="D687" s="2" t="s">
        <v>128</v>
      </c>
      <c r="E687" s="9" t="str">
        <f t="shared" si="158"/>
        <v>PSDP'!</v>
      </c>
      <c r="F687" s="5" t="str">
        <f t="shared" si="159"/>
        <v>C:\Users\jaime.benazar\Quorum Business Solutions\Ecopetrol Prometeo - Documents\Planning Space Implementation\3. Analysis &amp; Design\Design\FC22\DRR Jaime\QUIFA-CAJÚA\Cajua\[VAS_CAJUA_CF_SEC_20230125.xlsx]CF PSDP'!</v>
      </c>
      <c r="G687" s="6" t="s">
        <v>36</v>
      </c>
      <c r="H687" s="1"/>
      <c r="I687" s="1"/>
      <c r="J687" s="1"/>
    </row>
    <row r="688" spans="1:10" x14ac:dyDescent="0.25">
      <c r="A688" s="6" t="s">
        <v>102</v>
      </c>
      <c r="B688" s="6">
        <f t="shared" ref="B688:B699" si="160">+B687+1</f>
        <v>2025</v>
      </c>
      <c r="C688" s="1" t="s">
        <v>8</v>
      </c>
      <c r="D688" s="2" t="s">
        <v>128</v>
      </c>
      <c r="E688" s="9" t="str">
        <f t="shared" si="158"/>
        <v>PSDP'!</v>
      </c>
      <c r="F688" s="5" t="str">
        <f t="shared" si="159"/>
        <v>C:\Users\jaime.benazar\Quorum Business Solutions\Ecopetrol Prometeo - Documents\Planning Space Implementation\3. Analysis &amp; Design\Design\FC22\DRR Jaime\QUIFA-CAJÚA\Cajua\[VAS_CAJUA_CF_SEC_20230125.xlsx]CF PSDP'!</v>
      </c>
      <c r="G688" s="6" t="s">
        <v>36</v>
      </c>
      <c r="H688" s="1"/>
      <c r="I688" s="1"/>
      <c r="J688" s="1"/>
    </row>
    <row r="689" spans="1:10" x14ac:dyDescent="0.25">
      <c r="A689" s="6" t="s">
        <v>102</v>
      </c>
      <c r="B689" s="6">
        <f t="shared" si="160"/>
        <v>2026</v>
      </c>
      <c r="C689" s="1" t="s">
        <v>8</v>
      </c>
      <c r="D689" s="2" t="s">
        <v>128</v>
      </c>
      <c r="E689" s="9" t="str">
        <f t="shared" si="158"/>
        <v>PSDP'!</v>
      </c>
      <c r="F689" s="5" t="str">
        <f t="shared" si="159"/>
        <v>C:\Users\jaime.benazar\Quorum Business Solutions\Ecopetrol Prometeo - Documents\Planning Space Implementation\3. Analysis &amp; Design\Design\FC22\DRR Jaime\QUIFA-CAJÚA\Cajua\[VAS_CAJUA_CF_SEC_20230125.xlsx]CF PSDP'!</v>
      </c>
      <c r="G689" s="6" t="s">
        <v>36</v>
      </c>
      <c r="H689" s="1"/>
      <c r="I689" s="1"/>
      <c r="J689" s="1"/>
    </row>
    <row r="690" spans="1:10" x14ac:dyDescent="0.25">
      <c r="A690" s="6" t="s">
        <v>102</v>
      </c>
      <c r="B690" s="6">
        <f t="shared" si="160"/>
        <v>2027</v>
      </c>
      <c r="C690" s="1" t="s">
        <v>8</v>
      </c>
      <c r="D690" s="2" t="s">
        <v>128</v>
      </c>
      <c r="E690" s="9" t="str">
        <f t="shared" si="158"/>
        <v>PSDP'!</v>
      </c>
      <c r="F690" s="5" t="str">
        <f t="shared" si="159"/>
        <v>C:\Users\jaime.benazar\Quorum Business Solutions\Ecopetrol Prometeo - Documents\Planning Space Implementation\3. Analysis &amp; Design\Design\FC22\DRR Jaime\QUIFA-CAJÚA\Cajua\[VAS_CAJUA_CF_SEC_20230125.xlsx]CF PSDP'!</v>
      </c>
      <c r="G690" s="6" t="s">
        <v>36</v>
      </c>
      <c r="H690" s="1"/>
      <c r="I690" s="1"/>
      <c r="J690" s="1"/>
    </row>
    <row r="691" spans="1:10" x14ac:dyDescent="0.25">
      <c r="A691" s="6" t="s">
        <v>102</v>
      </c>
      <c r="B691" s="6">
        <f t="shared" si="160"/>
        <v>2028</v>
      </c>
      <c r="C691" s="1" t="s">
        <v>8</v>
      </c>
      <c r="D691" s="2" t="s">
        <v>128</v>
      </c>
      <c r="E691" s="9" t="str">
        <f t="shared" si="158"/>
        <v>PSDP'!</v>
      </c>
      <c r="F691" s="5" t="str">
        <f t="shared" si="159"/>
        <v>C:\Users\jaime.benazar\Quorum Business Solutions\Ecopetrol Prometeo - Documents\Planning Space Implementation\3. Analysis &amp; Design\Design\FC22\DRR Jaime\QUIFA-CAJÚA\Cajua\[VAS_CAJUA_CF_SEC_20230125.xlsx]CF PSDP'!</v>
      </c>
      <c r="G691" s="6" t="s">
        <v>36</v>
      </c>
      <c r="H691" s="1"/>
      <c r="I691" s="1"/>
      <c r="J691" s="1"/>
    </row>
    <row r="692" spans="1:10" x14ac:dyDescent="0.25">
      <c r="A692" s="6" t="s">
        <v>102</v>
      </c>
      <c r="B692" s="6">
        <f t="shared" si="160"/>
        <v>2029</v>
      </c>
      <c r="C692" s="1" t="s">
        <v>8</v>
      </c>
      <c r="D692" s="2" t="s">
        <v>128</v>
      </c>
      <c r="E692" s="9" t="str">
        <f t="shared" si="158"/>
        <v>PSDP'!</v>
      </c>
      <c r="F692" s="5" t="str">
        <f t="shared" si="159"/>
        <v>C:\Users\jaime.benazar\Quorum Business Solutions\Ecopetrol Prometeo - Documents\Planning Space Implementation\3. Analysis &amp; Design\Design\FC22\DRR Jaime\QUIFA-CAJÚA\Cajua\[VAS_CAJUA_CF_SEC_20230125.xlsx]CF PSDP'!</v>
      </c>
      <c r="G692" s="6" t="s">
        <v>36</v>
      </c>
      <c r="H692" s="1"/>
      <c r="I692" s="1"/>
      <c r="J692" s="1"/>
    </row>
    <row r="693" spans="1:10" x14ac:dyDescent="0.25">
      <c r="A693" s="6" t="s">
        <v>102</v>
      </c>
      <c r="B693" s="6">
        <f t="shared" si="160"/>
        <v>2030</v>
      </c>
      <c r="C693" s="1" t="s">
        <v>8</v>
      </c>
      <c r="D693" s="2" t="s">
        <v>128</v>
      </c>
      <c r="E693" s="9" t="str">
        <f t="shared" si="158"/>
        <v>PSDP'!</v>
      </c>
      <c r="F693" s="5" t="str">
        <f t="shared" si="159"/>
        <v>C:\Users\jaime.benazar\Quorum Business Solutions\Ecopetrol Prometeo - Documents\Planning Space Implementation\3. Analysis &amp; Design\Design\FC22\DRR Jaime\QUIFA-CAJÚA\Cajua\[VAS_CAJUA_CF_SEC_20230125.xlsx]CF PSDP'!</v>
      </c>
      <c r="G693" s="6" t="s">
        <v>36</v>
      </c>
      <c r="H693" s="1"/>
      <c r="I693" s="1"/>
      <c r="J693" s="1"/>
    </row>
    <row r="694" spans="1:10" x14ac:dyDescent="0.25">
      <c r="A694" s="6" t="s">
        <v>102</v>
      </c>
      <c r="B694" s="6">
        <f t="shared" si="160"/>
        <v>2031</v>
      </c>
      <c r="C694" s="1" t="s">
        <v>8</v>
      </c>
      <c r="D694" s="2" t="s">
        <v>128</v>
      </c>
      <c r="E694" s="9" t="str">
        <f t="shared" si="158"/>
        <v>PSDP'!</v>
      </c>
      <c r="F694" s="5" t="str">
        <f t="shared" si="159"/>
        <v>C:\Users\jaime.benazar\Quorum Business Solutions\Ecopetrol Prometeo - Documents\Planning Space Implementation\3. Analysis &amp; Design\Design\FC22\DRR Jaime\QUIFA-CAJÚA\Cajua\[VAS_CAJUA_CF_SEC_20230125.xlsx]CF PSDP'!</v>
      </c>
      <c r="G694" s="6" t="s">
        <v>36</v>
      </c>
      <c r="H694" s="1"/>
      <c r="I694" s="1"/>
      <c r="J694" s="1"/>
    </row>
    <row r="695" spans="1:10" x14ac:dyDescent="0.25">
      <c r="A695" s="6" t="s">
        <v>102</v>
      </c>
      <c r="B695" s="6">
        <f t="shared" si="160"/>
        <v>2032</v>
      </c>
      <c r="C695" s="1" t="s">
        <v>8</v>
      </c>
      <c r="D695" s="2" t="s">
        <v>128</v>
      </c>
      <c r="E695" s="9" t="str">
        <f t="shared" si="158"/>
        <v>PSDP'!</v>
      </c>
      <c r="F695" s="5" t="str">
        <f t="shared" si="159"/>
        <v>C:\Users\jaime.benazar\Quorum Business Solutions\Ecopetrol Prometeo - Documents\Planning Space Implementation\3. Analysis &amp; Design\Design\FC22\DRR Jaime\QUIFA-CAJÚA\Cajua\[VAS_CAJUA_CF_SEC_20230125.xlsx]CF PSDP'!</v>
      </c>
      <c r="G695" s="6" t="s">
        <v>36</v>
      </c>
      <c r="H695" s="1"/>
      <c r="I695" s="1"/>
      <c r="J695" s="1"/>
    </row>
    <row r="696" spans="1:10" x14ac:dyDescent="0.25">
      <c r="A696" s="6" t="s">
        <v>102</v>
      </c>
      <c r="B696" s="6">
        <f t="shared" si="160"/>
        <v>2033</v>
      </c>
      <c r="C696" s="1" t="s">
        <v>8</v>
      </c>
      <c r="D696" s="2" t="s">
        <v>128</v>
      </c>
      <c r="E696" s="9" t="str">
        <f t="shared" si="158"/>
        <v>PSDP'!</v>
      </c>
      <c r="F696" s="5" t="str">
        <f t="shared" si="159"/>
        <v>C:\Users\jaime.benazar\Quorum Business Solutions\Ecopetrol Prometeo - Documents\Planning Space Implementation\3. Analysis &amp; Design\Design\FC22\DRR Jaime\QUIFA-CAJÚA\Cajua\[VAS_CAJUA_CF_SEC_20230125.xlsx]CF PSDP'!</v>
      </c>
      <c r="G696" s="6" t="s">
        <v>36</v>
      </c>
      <c r="H696" s="1"/>
      <c r="I696" s="1"/>
      <c r="J696" s="1"/>
    </row>
    <row r="697" spans="1:10" x14ac:dyDescent="0.25">
      <c r="A697" s="6" t="s">
        <v>102</v>
      </c>
      <c r="B697" s="6">
        <f t="shared" si="160"/>
        <v>2034</v>
      </c>
      <c r="C697" s="1" t="s">
        <v>8</v>
      </c>
      <c r="D697" s="2" t="s">
        <v>128</v>
      </c>
      <c r="E697" s="9" t="str">
        <f t="shared" si="158"/>
        <v>PSDP'!</v>
      </c>
      <c r="F697" s="5" t="str">
        <f t="shared" si="159"/>
        <v>C:\Users\jaime.benazar\Quorum Business Solutions\Ecopetrol Prometeo - Documents\Planning Space Implementation\3. Analysis &amp; Design\Design\FC22\DRR Jaime\QUIFA-CAJÚA\Cajua\[VAS_CAJUA_CF_SEC_20230125.xlsx]CF PSDP'!</v>
      </c>
      <c r="G697" s="6" t="s">
        <v>36</v>
      </c>
      <c r="H697" s="1"/>
      <c r="I697" s="1"/>
      <c r="J697" s="1"/>
    </row>
    <row r="698" spans="1:10" x14ac:dyDescent="0.25">
      <c r="A698" s="6" t="s">
        <v>102</v>
      </c>
      <c r="B698" s="6">
        <f t="shared" si="160"/>
        <v>2035</v>
      </c>
      <c r="C698" s="1" t="s">
        <v>8</v>
      </c>
      <c r="D698" s="2" t="s">
        <v>128</v>
      </c>
      <c r="E698" s="9" t="str">
        <f t="shared" si="158"/>
        <v>PSDP'!</v>
      </c>
      <c r="F698" s="5" t="str">
        <f t="shared" si="159"/>
        <v>C:\Users\jaime.benazar\Quorum Business Solutions\Ecopetrol Prometeo - Documents\Planning Space Implementation\3. Analysis &amp; Design\Design\FC22\DRR Jaime\QUIFA-CAJÚA\Cajua\[VAS_CAJUA_CF_SEC_20230125.xlsx]CF PSDP'!</v>
      </c>
      <c r="G698" s="6" t="s">
        <v>36</v>
      </c>
      <c r="H698" s="1"/>
      <c r="I698" s="1"/>
      <c r="J698" s="1"/>
    </row>
    <row r="699" spans="1:10" x14ac:dyDescent="0.25">
      <c r="A699" s="6" t="s">
        <v>102</v>
      </c>
      <c r="B699" s="6">
        <f t="shared" si="160"/>
        <v>2036</v>
      </c>
      <c r="C699" s="1" t="s">
        <v>8</v>
      </c>
      <c r="D699" s="2" t="s">
        <v>128</v>
      </c>
      <c r="E699" s="9" t="str">
        <f t="shared" si="158"/>
        <v>PSDP'!</v>
      </c>
      <c r="F699" s="5" t="str">
        <f t="shared" si="159"/>
        <v>C:\Users\jaime.benazar\Quorum Business Solutions\Ecopetrol Prometeo - Documents\Planning Space Implementation\3. Analysis &amp; Design\Design\FC22\DRR Jaime\QUIFA-CAJÚA\Cajua\[VAS_CAJUA_CF_SEC_20230125.xlsx]CF PSDP'!</v>
      </c>
      <c r="G699" s="6" t="s">
        <v>36</v>
      </c>
      <c r="H699" s="1"/>
      <c r="I699" s="1"/>
      <c r="J699" s="1"/>
    </row>
    <row r="700" spans="1:10" x14ac:dyDescent="0.25">
      <c r="A700" s="6" t="s">
        <v>102</v>
      </c>
      <c r="B700" s="6">
        <f>+B699+1</f>
        <v>2037</v>
      </c>
      <c r="C700" s="1" t="s">
        <v>8</v>
      </c>
      <c r="D700" s="2" t="s">
        <v>128</v>
      </c>
      <c r="E700" s="9" t="str">
        <f t="shared" si="158"/>
        <v>PSDP'!</v>
      </c>
      <c r="F700" s="5" t="str">
        <f t="shared" si="159"/>
        <v>C:\Users\jaime.benazar\Quorum Business Solutions\Ecopetrol Prometeo - Documents\Planning Space Implementation\3. Analysis &amp; Design\Design\FC22\DRR Jaime\QUIFA-CAJÚA\Cajua\[VAS_CAJUA_CF_SEC_20230125.xlsx]CF PSDP'!</v>
      </c>
      <c r="G700" s="6" t="s">
        <v>36</v>
      </c>
      <c r="H700" s="1"/>
      <c r="I700" s="1"/>
      <c r="J700" s="1"/>
    </row>
    <row r="701" spans="1:10" x14ac:dyDescent="0.25">
      <c r="A701" s="6" t="s">
        <v>102</v>
      </c>
      <c r="B701" s="6">
        <f t="shared" ref="B701:B703" si="161">+B700+1</f>
        <v>2038</v>
      </c>
      <c r="C701" s="1" t="s">
        <v>8</v>
      </c>
      <c r="D701" s="2" t="s">
        <v>128</v>
      </c>
      <c r="E701" s="9" t="str">
        <f t="shared" si="158"/>
        <v>PSDP'!</v>
      </c>
      <c r="F701" s="5" t="str">
        <f t="shared" si="159"/>
        <v>C:\Users\jaime.benazar\Quorum Business Solutions\Ecopetrol Prometeo - Documents\Planning Space Implementation\3. Analysis &amp; Design\Design\FC22\DRR Jaime\QUIFA-CAJÚA\Cajua\[VAS_CAJUA_CF_SEC_20230125.xlsx]CF PSDP'!</v>
      </c>
      <c r="G701" s="6" t="s">
        <v>36</v>
      </c>
      <c r="H701" s="1"/>
      <c r="I701" s="1"/>
      <c r="J701" s="1"/>
    </row>
    <row r="702" spans="1:10" x14ac:dyDescent="0.25">
      <c r="A702" s="6" t="s">
        <v>102</v>
      </c>
      <c r="B702" s="6">
        <f t="shared" si="161"/>
        <v>2039</v>
      </c>
      <c r="C702" s="1" t="s">
        <v>8</v>
      </c>
      <c r="D702" s="2" t="s">
        <v>128</v>
      </c>
      <c r="E702" s="9" t="str">
        <f t="shared" si="158"/>
        <v>PSDP'!</v>
      </c>
      <c r="F702" s="5" t="str">
        <f t="shared" si="159"/>
        <v>C:\Users\jaime.benazar\Quorum Business Solutions\Ecopetrol Prometeo - Documents\Planning Space Implementation\3. Analysis &amp; Design\Design\FC22\DRR Jaime\QUIFA-CAJÚA\Cajua\[VAS_CAJUA_CF_SEC_20230125.xlsx]CF PSDP'!</v>
      </c>
      <c r="G702" s="6" t="s">
        <v>36</v>
      </c>
      <c r="H702" s="1"/>
      <c r="I702" s="1"/>
      <c r="J702" s="1"/>
    </row>
    <row r="703" spans="1:10" x14ac:dyDescent="0.25">
      <c r="A703" s="6" t="s">
        <v>102</v>
      </c>
      <c r="B703" s="6">
        <f t="shared" si="161"/>
        <v>2040</v>
      </c>
      <c r="C703" s="1" t="s">
        <v>8</v>
      </c>
      <c r="D703" s="2" t="s">
        <v>128</v>
      </c>
      <c r="E703" s="9" t="str">
        <f t="shared" si="158"/>
        <v>PSDP'!</v>
      </c>
      <c r="F703" s="5" t="str">
        <f t="shared" si="159"/>
        <v>C:\Users\jaime.benazar\Quorum Business Solutions\Ecopetrol Prometeo - Documents\Planning Space Implementation\3. Analysis &amp; Design\Design\FC22\DRR Jaime\QUIFA-CAJÚA\Cajua\[VAS_CAJUA_CF_SEC_20230125.xlsx]CF PSDP'!</v>
      </c>
      <c r="G703" s="6" t="s">
        <v>36</v>
      </c>
      <c r="H703" s="1"/>
      <c r="I703" s="1"/>
      <c r="J703" s="1"/>
    </row>
    <row r="704" spans="1:10" x14ac:dyDescent="0.25">
      <c r="A704" s="6" t="s">
        <v>102</v>
      </c>
      <c r="B704" s="6">
        <f>+B703+1</f>
        <v>2041</v>
      </c>
      <c r="C704" s="1" t="s">
        <v>8</v>
      </c>
      <c r="D704" s="2" t="s">
        <v>128</v>
      </c>
      <c r="E704" s="9" t="str">
        <f t="shared" si="158"/>
        <v>PSDP'!</v>
      </c>
      <c r="F704" s="5" t="str">
        <f t="shared" si="159"/>
        <v>C:\Users\jaime.benazar\Quorum Business Solutions\Ecopetrol Prometeo - Documents\Planning Space Implementation\3. Analysis &amp; Design\Design\FC22\DRR Jaime\QUIFA-CAJÚA\Cajua\[VAS_CAJUA_CF_SEC_20230125.xlsx]CF PSDP'!</v>
      </c>
      <c r="G704" s="6" t="s">
        <v>36</v>
      </c>
      <c r="H704" s="1"/>
      <c r="I704" s="1"/>
      <c r="J704" s="1"/>
    </row>
    <row r="705" spans="1:10" x14ac:dyDescent="0.25">
      <c r="A705" s="6" t="s">
        <v>102</v>
      </c>
      <c r="B705" s="6">
        <f t="shared" ref="B705:B706" si="162">+B704+1</f>
        <v>2042</v>
      </c>
      <c r="C705" s="1" t="s">
        <v>8</v>
      </c>
      <c r="D705" s="2" t="s">
        <v>128</v>
      </c>
      <c r="E705" s="9" t="str">
        <f t="shared" si="158"/>
        <v>PSDP'!</v>
      </c>
      <c r="F705" s="5" t="str">
        <f t="shared" si="159"/>
        <v>C:\Users\jaime.benazar\Quorum Business Solutions\Ecopetrol Prometeo - Documents\Planning Space Implementation\3. Analysis &amp; Design\Design\FC22\DRR Jaime\QUIFA-CAJÚA\Cajua\[VAS_CAJUA_CF_SEC_20230125.xlsx]CF PSDP'!</v>
      </c>
      <c r="G705" s="6" t="s">
        <v>36</v>
      </c>
      <c r="H705" s="1"/>
      <c r="I705" s="1"/>
      <c r="J705" s="1"/>
    </row>
    <row r="706" spans="1:10" x14ac:dyDescent="0.25">
      <c r="A706" s="6" t="s">
        <v>102</v>
      </c>
      <c r="B706" s="6">
        <f t="shared" si="162"/>
        <v>2043</v>
      </c>
      <c r="C706" s="1" t="s">
        <v>8</v>
      </c>
      <c r="D706" s="2" t="s">
        <v>128</v>
      </c>
      <c r="E706" s="9" t="str">
        <f t="shared" si="158"/>
        <v>PSDP'!</v>
      </c>
      <c r="F706" s="5" t="str">
        <f t="shared" si="159"/>
        <v>C:\Users\jaime.benazar\Quorum Business Solutions\Ecopetrol Prometeo - Documents\Planning Space Implementation\3. Analysis &amp; Design\Design\FC22\DRR Jaime\QUIFA-CAJÚA\Cajua\[VAS_CAJUA_CF_SEC_20230125.xlsx]CF PSDP'!</v>
      </c>
      <c r="G706" s="6" t="s">
        <v>36</v>
      </c>
      <c r="H706" s="1"/>
      <c r="I706" s="1"/>
      <c r="J706" s="1"/>
    </row>
    <row r="707" spans="1:10" x14ac:dyDescent="0.25">
      <c r="A707" s="6" t="s">
        <v>102</v>
      </c>
      <c r="B707" s="6">
        <f>+B706+1</f>
        <v>2044</v>
      </c>
      <c r="C707" s="1" t="s">
        <v>8</v>
      </c>
      <c r="D707" s="2" t="s">
        <v>128</v>
      </c>
      <c r="E707" s="9" t="str">
        <f t="shared" ref="E707:E722" si="163">_xlfn.CONCAT(A707,"'!")</f>
        <v>PSDP'!</v>
      </c>
      <c r="F707" s="5" t="str">
        <f t="shared" ref="F707:F722" si="164">_xlfn.CONCAT(D707," ",E707)</f>
        <v>C:\Users\jaime.benazar\Quorum Business Solutions\Ecopetrol Prometeo - Documents\Planning Space Implementation\3. Analysis &amp; Design\Design\FC22\DRR Jaime\QUIFA-CAJÚA\Cajua\[VAS_CAJUA_CF_SEC_20230125.xlsx]CF PSDP'!</v>
      </c>
      <c r="G707" s="6" t="s">
        <v>36</v>
      </c>
      <c r="H707" s="1"/>
      <c r="I707" s="1"/>
      <c r="J707" s="1"/>
    </row>
    <row r="708" spans="1:10" x14ac:dyDescent="0.25">
      <c r="A708" s="6" t="s">
        <v>102</v>
      </c>
      <c r="B708" s="6">
        <f t="shared" ref="B708:B722" si="165">+B707+1</f>
        <v>2045</v>
      </c>
      <c r="C708" s="1" t="s">
        <v>8</v>
      </c>
      <c r="D708" s="2" t="s">
        <v>128</v>
      </c>
      <c r="E708" s="9" t="str">
        <f t="shared" si="163"/>
        <v>PSDP'!</v>
      </c>
      <c r="F708" s="5" t="str">
        <f t="shared" si="164"/>
        <v>C:\Users\jaime.benazar\Quorum Business Solutions\Ecopetrol Prometeo - Documents\Planning Space Implementation\3. Analysis &amp; Design\Design\FC22\DRR Jaime\QUIFA-CAJÚA\Cajua\[VAS_CAJUA_CF_SEC_20230125.xlsx]CF PSDP'!</v>
      </c>
      <c r="G708" s="6" t="s">
        <v>36</v>
      </c>
      <c r="H708" s="1"/>
      <c r="I708" s="1"/>
      <c r="J708" s="1"/>
    </row>
    <row r="709" spans="1:10" x14ac:dyDescent="0.25">
      <c r="A709" s="6" t="s">
        <v>102</v>
      </c>
      <c r="B709" s="6">
        <f t="shared" si="165"/>
        <v>2046</v>
      </c>
      <c r="C709" s="1" t="s">
        <v>8</v>
      </c>
      <c r="D709" s="2" t="s">
        <v>128</v>
      </c>
      <c r="E709" s="9" t="str">
        <f t="shared" si="163"/>
        <v>PSDP'!</v>
      </c>
      <c r="F709" s="5" t="str">
        <f t="shared" si="164"/>
        <v>C:\Users\jaime.benazar\Quorum Business Solutions\Ecopetrol Prometeo - Documents\Planning Space Implementation\3. Analysis &amp; Design\Design\FC22\DRR Jaime\QUIFA-CAJÚA\Cajua\[VAS_CAJUA_CF_SEC_20230125.xlsx]CF PSDP'!</v>
      </c>
      <c r="G709" s="6" t="s">
        <v>36</v>
      </c>
      <c r="H709" s="1"/>
      <c r="I709" s="1"/>
      <c r="J709" s="1"/>
    </row>
    <row r="710" spans="1:10" x14ac:dyDescent="0.25">
      <c r="A710" s="6" t="s">
        <v>102</v>
      </c>
      <c r="B710" s="6">
        <f t="shared" si="165"/>
        <v>2047</v>
      </c>
      <c r="C710" s="1" t="s">
        <v>8</v>
      </c>
      <c r="D710" s="2" t="s">
        <v>128</v>
      </c>
      <c r="E710" s="9" t="str">
        <f t="shared" si="163"/>
        <v>PSDP'!</v>
      </c>
      <c r="F710" s="5" t="str">
        <f t="shared" si="164"/>
        <v>C:\Users\jaime.benazar\Quorum Business Solutions\Ecopetrol Prometeo - Documents\Planning Space Implementation\3. Analysis &amp; Design\Design\FC22\DRR Jaime\QUIFA-CAJÚA\Cajua\[VAS_CAJUA_CF_SEC_20230125.xlsx]CF PSDP'!</v>
      </c>
      <c r="G710" s="6" t="s">
        <v>36</v>
      </c>
      <c r="H710" s="1"/>
      <c r="I710" s="1"/>
      <c r="J710" s="1"/>
    </row>
    <row r="711" spans="1:10" x14ac:dyDescent="0.25">
      <c r="A711" s="6" t="s">
        <v>102</v>
      </c>
      <c r="B711" s="6">
        <f t="shared" si="165"/>
        <v>2048</v>
      </c>
      <c r="C711" s="1" t="s">
        <v>8</v>
      </c>
      <c r="D711" s="2" t="s">
        <v>128</v>
      </c>
      <c r="E711" s="9" t="str">
        <f t="shared" si="163"/>
        <v>PSDP'!</v>
      </c>
      <c r="F711" s="5" t="str">
        <f t="shared" si="164"/>
        <v>C:\Users\jaime.benazar\Quorum Business Solutions\Ecopetrol Prometeo - Documents\Planning Space Implementation\3. Analysis &amp; Design\Design\FC22\DRR Jaime\QUIFA-CAJÚA\Cajua\[VAS_CAJUA_CF_SEC_20230125.xlsx]CF PSDP'!</v>
      </c>
      <c r="G711" s="6" t="s">
        <v>36</v>
      </c>
      <c r="H711" s="1"/>
      <c r="I711" s="1"/>
      <c r="J711" s="1"/>
    </row>
    <row r="712" spans="1:10" x14ac:dyDescent="0.25">
      <c r="A712" s="6" t="s">
        <v>102</v>
      </c>
      <c r="B712" s="6">
        <f t="shared" si="165"/>
        <v>2049</v>
      </c>
      <c r="C712" s="1" t="s">
        <v>8</v>
      </c>
      <c r="D712" s="2" t="s">
        <v>128</v>
      </c>
      <c r="E712" s="9" t="str">
        <f t="shared" si="163"/>
        <v>PSDP'!</v>
      </c>
      <c r="F712" s="5" t="str">
        <f t="shared" si="164"/>
        <v>C:\Users\jaime.benazar\Quorum Business Solutions\Ecopetrol Prometeo - Documents\Planning Space Implementation\3. Analysis &amp; Design\Design\FC22\DRR Jaime\QUIFA-CAJÚA\Cajua\[VAS_CAJUA_CF_SEC_20230125.xlsx]CF PSDP'!</v>
      </c>
      <c r="G712" s="6" t="s">
        <v>36</v>
      </c>
      <c r="H712" s="1"/>
      <c r="I712" s="1"/>
      <c r="J712" s="1"/>
    </row>
    <row r="713" spans="1:10" x14ac:dyDescent="0.25">
      <c r="A713" s="6" t="s">
        <v>102</v>
      </c>
      <c r="B713" s="6">
        <f t="shared" si="165"/>
        <v>2050</v>
      </c>
      <c r="C713" s="1" t="s">
        <v>8</v>
      </c>
      <c r="D713" s="2" t="s">
        <v>128</v>
      </c>
      <c r="E713" s="9" t="str">
        <f t="shared" si="163"/>
        <v>PSDP'!</v>
      </c>
      <c r="F713" s="5" t="str">
        <f t="shared" si="164"/>
        <v>C:\Users\jaime.benazar\Quorum Business Solutions\Ecopetrol Prometeo - Documents\Planning Space Implementation\3. Analysis &amp; Design\Design\FC22\DRR Jaime\QUIFA-CAJÚA\Cajua\[VAS_CAJUA_CF_SEC_20230125.xlsx]CF PSDP'!</v>
      </c>
      <c r="G713" s="6" t="s">
        <v>36</v>
      </c>
      <c r="H713" s="1"/>
      <c r="I713" s="1"/>
      <c r="J713" s="1"/>
    </row>
    <row r="714" spans="1:10" x14ac:dyDescent="0.25">
      <c r="A714" s="6" t="s">
        <v>102</v>
      </c>
      <c r="B714" s="6">
        <f t="shared" si="165"/>
        <v>2051</v>
      </c>
      <c r="C714" s="1" t="s">
        <v>8</v>
      </c>
      <c r="D714" s="2" t="s">
        <v>128</v>
      </c>
      <c r="E714" s="9" t="str">
        <f t="shared" si="163"/>
        <v>PSDP'!</v>
      </c>
      <c r="F714" s="5" t="str">
        <f t="shared" si="164"/>
        <v>C:\Users\jaime.benazar\Quorum Business Solutions\Ecopetrol Prometeo - Documents\Planning Space Implementation\3. Analysis &amp; Design\Design\FC22\DRR Jaime\QUIFA-CAJÚA\Cajua\[VAS_CAJUA_CF_SEC_20230125.xlsx]CF PSDP'!</v>
      </c>
      <c r="G714" s="6" t="s">
        <v>36</v>
      </c>
      <c r="H714" s="1"/>
      <c r="I714" s="1"/>
      <c r="J714" s="1"/>
    </row>
    <row r="715" spans="1:10" x14ac:dyDescent="0.25">
      <c r="A715" s="6" t="s">
        <v>102</v>
      </c>
      <c r="B715" s="6">
        <f t="shared" si="165"/>
        <v>2052</v>
      </c>
      <c r="C715" s="1" t="s">
        <v>8</v>
      </c>
      <c r="D715" s="2" t="s">
        <v>128</v>
      </c>
      <c r="E715" s="9" t="str">
        <f t="shared" si="163"/>
        <v>PSDP'!</v>
      </c>
      <c r="F715" s="5" t="str">
        <f t="shared" si="164"/>
        <v>C:\Users\jaime.benazar\Quorum Business Solutions\Ecopetrol Prometeo - Documents\Planning Space Implementation\3. Analysis &amp; Design\Design\FC22\DRR Jaime\QUIFA-CAJÚA\Cajua\[VAS_CAJUA_CF_SEC_20230125.xlsx]CF PSDP'!</v>
      </c>
      <c r="G715" s="6" t="s">
        <v>36</v>
      </c>
      <c r="H715" s="1"/>
      <c r="I715" s="1"/>
      <c r="J715" s="1"/>
    </row>
    <row r="716" spans="1:10" x14ac:dyDescent="0.25">
      <c r="A716" s="6" t="s">
        <v>102</v>
      </c>
      <c r="B716" s="6">
        <f t="shared" si="165"/>
        <v>2053</v>
      </c>
      <c r="C716" s="1" t="s">
        <v>8</v>
      </c>
      <c r="D716" s="2" t="s">
        <v>128</v>
      </c>
      <c r="E716" s="9" t="str">
        <f t="shared" si="163"/>
        <v>PSDP'!</v>
      </c>
      <c r="F716" s="5" t="str">
        <f t="shared" si="164"/>
        <v>C:\Users\jaime.benazar\Quorum Business Solutions\Ecopetrol Prometeo - Documents\Planning Space Implementation\3. Analysis &amp; Design\Design\FC22\DRR Jaime\QUIFA-CAJÚA\Cajua\[VAS_CAJUA_CF_SEC_20230125.xlsx]CF PSDP'!</v>
      </c>
      <c r="G716" s="6" t="s">
        <v>36</v>
      </c>
      <c r="H716" s="1"/>
      <c r="I716" s="1"/>
      <c r="J716" s="1"/>
    </row>
    <row r="717" spans="1:10" x14ac:dyDescent="0.25">
      <c r="A717" s="6" t="s">
        <v>102</v>
      </c>
      <c r="B717" s="6">
        <f t="shared" si="165"/>
        <v>2054</v>
      </c>
      <c r="C717" s="1" t="s">
        <v>8</v>
      </c>
      <c r="D717" s="2" t="s">
        <v>128</v>
      </c>
      <c r="E717" s="9" t="str">
        <f t="shared" si="163"/>
        <v>PSDP'!</v>
      </c>
      <c r="F717" s="5" t="str">
        <f t="shared" si="164"/>
        <v>C:\Users\jaime.benazar\Quorum Business Solutions\Ecopetrol Prometeo - Documents\Planning Space Implementation\3. Analysis &amp; Design\Design\FC22\DRR Jaime\QUIFA-CAJÚA\Cajua\[VAS_CAJUA_CF_SEC_20230125.xlsx]CF PSDP'!</v>
      </c>
      <c r="G717" s="6" t="s">
        <v>36</v>
      </c>
      <c r="H717" s="1"/>
      <c r="I717" s="1"/>
      <c r="J717" s="1"/>
    </row>
    <row r="718" spans="1:10" x14ac:dyDescent="0.25">
      <c r="A718" s="6" t="s">
        <v>102</v>
      </c>
      <c r="B718" s="6">
        <f t="shared" si="165"/>
        <v>2055</v>
      </c>
      <c r="C718" s="1" t="s">
        <v>8</v>
      </c>
      <c r="D718" s="2" t="s">
        <v>128</v>
      </c>
      <c r="E718" s="9" t="str">
        <f t="shared" si="163"/>
        <v>PSDP'!</v>
      </c>
      <c r="F718" s="5" t="str">
        <f t="shared" si="164"/>
        <v>C:\Users\jaime.benazar\Quorum Business Solutions\Ecopetrol Prometeo - Documents\Planning Space Implementation\3. Analysis &amp; Design\Design\FC22\DRR Jaime\QUIFA-CAJÚA\Cajua\[VAS_CAJUA_CF_SEC_20230125.xlsx]CF PSDP'!</v>
      </c>
      <c r="G718" s="6" t="s">
        <v>36</v>
      </c>
      <c r="H718" s="1"/>
      <c r="I718" s="1"/>
      <c r="J718" s="1"/>
    </row>
    <row r="719" spans="1:10" x14ac:dyDescent="0.25">
      <c r="A719" s="6" t="s">
        <v>102</v>
      </c>
      <c r="B719" s="6">
        <f t="shared" si="165"/>
        <v>2056</v>
      </c>
      <c r="C719" s="1" t="s">
        <v>8</v>
      </c>
      <c r="D719" s="2" t="s">
        <v>128</v>
      </c>
      <c r="E719" s="9" t="str">
        <f t="shared" si="163"/>
        <v>PSDP'!</v>
      </c>
      <c r="F719" s="5" t="str">
        <f t="shared" si="164"/>
        <v>C:\Users\jaime.benazar\Quorum Business Solutions\Ecopetrol Prometeo - Documents\Planning Space Implementation\3. Analysis &amp; Design\Design\FC22\DRR Jaime\QUIFA-CAJÚA\Cajua\[VAS_CAJUA_CF_SEC_20230125.xlsx]CF PSDP'!</v>
      </c>
      <c r="G719" s="6" t="s">
        <v>36</v>
      </c>
      <c r="H719" s="1"/>
      <c r="I719" s="1"/>
      <c r="J719" s="1"/>
    </row>
    <row r="720" spans="1:10" x14ac:dyDescent="0.25">
      <c r="A720" s="6" t="s">
        <v>102</v>
      </c>
      <c r="B720" s="6">
        <f t="shared" si="165"/>
        <v>2057</v>
      </c>
      <c r="C720" s="1" t="s">
        <v>8</v>
      </c>
      <c r="D720" s="2" t="s">
        <v>128</v>
      </c>
      <c r="E720" s="9" t="str">
        <f t="shared" si="163"/>
        <v>PSDP'!</v>
      </c>
      <c r="F720" s="5" t="str">
        <f t="shared" si="164"/>
        <v>C:\Users\jaime.benazar\Quorum Business Solutions\Ecopetrol Prometeo - Documents\Planning Space Implementation\3. Analysis &amp; Design\Design\FC22\DRR Jaime\QUIFA-CAJÚA\Cajua\[VAS_CAJUA_CF_SEC_20230125.xlsx]CF PSDP'!</v>
      </c>
      <c r="G720" s="6" t="s">
        <v>36</v>
      </c>
      <c r="H720" s="1"/>
      <c r="I720" s="1"/>
      <c r="J720" s="1"/>
    </row>
    <row r="721" spans="1:10" x14ac:dyDescent="0.25">
      <c r="A721" s="6" t="s">
        <v>102</v>
      </c>
      <c r="B721" s="6">
        <f t="shared" si="165"/>
        <v>2058</v>
      </c>
      <c r="C721" s="1" t="s">
        <v>8</v>
      </c>
      <c r="D721" s="2" t="s">
        <v>128</v>
      </c>
      <c r="E721" s="9" t="str">
        <f t="shared" si="163"/>
        <v>PSDP'!</v>
      </c>
      <c r="F721" s="5" t="str">
        <f t="shared" si="164"/>
        <v>C:\Users\jaime.benazar\Quorum Business Solutions\Ecopetrol Prometeo - Documents\Planning Space Implementation\3. Analysis &amp; Design\Design\FC22\DRR Jaime\QUIFA-CAJÚA\Cajua\[VAS_CAJUA_CF_SEC_20230125.xlsx]CF PSDP'!</v>
      </c>
      <c r="G721" s="6" t="s">
        <v>36</v>
      </c>
      <c r="H721" s="1"/>
      <c r="I721" s="1"/>
      <c r="J721" s="1"/>
    </row>
    <row r="722" spans="1:10" x14ac:dyDescent="0.25">
      <c r="A722" s="6" t="s">
        <v>102</v>
      </c>
      <c r="B722" s="6">
        <f t="shared" si="165"/>
        <v>2059</v>
      </c>
      <c r="C722" s="1" t="s">
        <v>8</v>
      </c>
      <c r="D722" s="2" t="s">
        <v>128</v>
      </c>
      <c r="E722" s="9" t="str">
        <f t="shared" si="163"/>
        <v>PSDP'!</v>
      </c>
      <c r="F722" s="5" t="str">
        <f t="shared" si="164"/>
        <v>C:\Users\jaime.benazar\Quorum Business Solutions\Ecopetrol Prometeo - Documents\Planning Space Implementation\3. Analysis &amp; Design\Design\FC22\DRR Jaime\QUIFA-CAJÚA\Cajua\[VAS_CAJUA_CF_SEC_20230125.xlsx]CF PSDP'!</v>
      </c>
      <c r="G722" s="6" t="s">
        <v>36</v>
      </c>
      <c r="H722" s="1"/>
      <c r="I722" s="1"/>
      <c r="J722" s="1"/>
    </row>
    <row r="723" spans="1:10" x14ac:dyDescent="0.25">
      <c r="A723" s="6" t="s">
        <v>28</v>
      </c>
      <c r="B723" s="6"/>
      <c r="C723" s="1" t="s">
        <v>8</v>
      </c>
      <c r="D723" s="2"/>
      <c r="E723" s="9"/>
      <c r="F723" s="2"/>
      <c r="G723" s="6"/>
      <c r="H723" s="1"/>
      <c r="I723" s="1"/>
      <c r="J723" s="1"/>
    </row>
    <row r="724" spans="1:10" x14ac:dyDescent="0.25">
      <c r="A724" s="6" t="s">
        <v>103</v>
      </c>
      <c r="B724" s="6">
        <v>2023</v>
      </c>
      <c r="C724" s="1" t="s">
        <v>8</v>
      </c>
      <c r="D724" s="2" t="s">
        <v>128</v>
      </c>
      <c r="E724" s="9" t="str">
        <f t="shared" ref="E724:E744" si="166">_xlfn.CONCAT(A724,"'!")</f>
        <v>PSNP'!</v>
      </c>
      <c r="F724" s="5" t="str">
        <f t="shared" ref="F724:F744" si="167">_xlfn.CONCAT(D724," ",E724)</f>
        <v>C:\Users\jaime.benazar\Quorum Business Solutions\Ecopetrol Prometeo - Documents\Planning Space Implementation\3. Analysis &amp; Design\Design\FC22\DRR Jaime\QUIFA-CAJÚA\Cajua\[VAS_CAJUA_CF_SEC_20230125.xlsx]CF PSNP'!</v>
      </c>
      <c r="G724" s="6" t="s">
        <v>36</v>
      </c>
      <c r="H724" s="1"/>
      <c r="I724" s="1"/>
      <c r="J724" s="1"/>
    </row>
    <row r="725" spans="1:10" x14ac:dyDescent="0.25">
      <c r="A725" s="6" t="s">
        <v>103</v>
      </c>
      <c r="B725" s="6">
        <f>+B724+1</f>
        <v>2024</v>
      </c>
      <c r="C725" s="1" t="s">
        <v>8</v>
      </c>
      <c r="D725" s="2" t="s">
        <v>128</v>
      </c>
      <c r="E725" s="9" t="str">
        <f t="shared" si="166"/>
        <v>PSNP'!</v>
      </c>
      <c r="F725" s="5" t="str">
        <f t="shared" si="167"/>
        <v>C:\Users\jaime.benazar\Quorum Business Solutions\Ecopetrol Prometeo - Documents\Planning Space Implementation\3. Analysis &amp; Design\Design\FC22\DRR Jaime\QUIFA-CAJÚA\Cajua\[VAS_CAJUA_CF_SEC_20230125.xlsx]CF PSNP'!</v>
      </c>
      <c r="G725" s="6" t="s">
        <v>36</v>
      </c>
      <c r="H725" s="1"/>
      <c r="I725" s="1"/>
      <c r="J725" s="1"/>
    </row>
    <row r="726" spans="1:10" x14ac:dyDescent="0.25">
      <c r="A726" s="6" t="s">
        <v>103</v>
      </c>
      <c r="B726" s="6">
        <f t="shared" ref="B726:B737" si="168">+B725+1</f>
        <v>2025</v>
      </c>
      <c r="C726" s="1" t="s">
        <v>8</v>
      </c>
      <c r="D726" s="2" t="s">
        <v>128</v>
      </c>
      <c r="E726" s="9" t="str">
        <f t="shared" si="166"/>
        <v>PSNP'!</v>
      </c>
      <c r="F726" s="5" t="str">
        <f t="shared" si="167"/>
        <v>C:\Users\jaime.benazar\Quorum Business Solutions\Ecopetrol Prometeo - Documents\Planning Space Implementation\3. Analysis &amp; Design\Design\FC22\DRR Jaime\QUIFA-CAJÚA\Cajua\[VAS_CAJUA_CF_SEC_20230125.xlsx]CF PSNP'!</v>
      </c>
      <c r="G726" s="6" t="s">
        <v>36</v>
      </c>
      <c r="H726" s="1"/>
      <c r="I726" s="1"/>
      <c r="J726" s="1"/>
    </row>
    <row r="727" spans="1:10" x14ac:dyDescent="0.25">
      <c r="A727" s="6" t="s">
        <v>103</v>
      </c>
      <c r="B727" s="6">
        <f t="shared" si="168"/>
        <v>2026</v>
      </c>
      <c r="C727" s="1" t="s">
        <v>8</v>
      </c>
      <c r="D727" s="2" t="s">
        <v>128</v>
      </c>
      <c r="E727" s="9" t="str">
        <f t="shared" si="166"/>
        <v>PSNP'!</v>
      </c>
      <c r="F727" s="5" t="str">
        <f t="shared" si="167"/>
        <v>C:\Users\jaime.benazar\Quorum Business Solutions\Ecopetrol Prometeo - Documents\Planning Space Implementation\3. Analysis &amp; Design\Design\FC22\DRR Jaime\QUIFA-CAJÚA\Cajua\[VAS_CAJUA_CF_SEC_20230125.xlsx]CF PSNP'!</v>
      </c>
      <c r="G727" s="6" t="s">
        <v>36</v>
      </c>
      <c r="H727" s="1"/>
      <c r="I727" s="1"/>
      <c r="J727" s="1"/>
    </row>
    <row r="728" spans="1:10" x14ac:dyDescent="0.25">
      <c r="A728" s="6" t="s">
        <v>103</v>
      </c>
      <c r="B728" s="6">
        <f t="shared" si="168"/>
        <v>2027</v>
      </c>
      <c r="C728" s="1" t="s">
        <v>8</v>
      </c>
      <c r="D728" s="2" t="s">
        <v>128</v>
      </c>
      <c r="E728" s="9" t="str">
        <f t="shared" si="166"/>
        <v>PSNP'!</v>
      </c>
      <c r="F728" s="5" t="str">
        <f t="shared" si="167"/>
        <v>C:\Users\jaime.benazar\Quorum Business Solutions\Ecopetrol Prometeo - Documents\Planning Space Implementation\3. Analysis &amp; Design\Design\FC22\DRR Jaime\QUIFA-CAJÚA\Cajua\[VAS_CAJUA_CF_SEC_20230125.xlsx]CF PSNP'!</v>
      </c>
      <c r="G728" s="6" t="s">
        <v>36</v>
      </c>
      <c r="H728" s="1"/>
      <c r="I728" s="1"/>
      <c r="J728" s="1"/>
    </row>
    <row r="729" spans="1:10" x14ac:dyDescent="0.25">
      <c r="A729" s="6" t="s">
        <v>103</v>
      </c>
      <c r="B729" s="6">
        <f t="shared" si="168"/>
        <v>2028</v>
      </c>
      <c r="C729" s="1" t="s">
        <v>8</v>
      </c>
      <c r="D729" s="2" t="s">
        <v>128</v>
      </c>
      <c r="E729" s="9" t="str">
        <f t="shared" si="166"/>
        <v>PSNP'!</v>
      </c>
      <c r="F729" s="5" t="str">
        <f t="shared" si="167"/>
        <v>C:\Users\jaime.benazar\Quorum Business Solutions\Ecopetrol Prometeo - Documents\Planning Space Implementation\3. Analysis &amp; Design\Design\FC22\DRR Jaime\QUIFA-CAJÚA\Cajua\[VAS_CAJUA_CF_SEC_20230125.xlsx]CF PSNP'!</v>
      </c>
      <c r="G729" s="6" t="s">
        <v>36</v>
      </c>
      <c r="H729" s="1"/>
      <c r="I729" s="1"/>
      <c r="J729" s="1"/>
    </row>
    <row r="730" spans="1:10" x14ac:dyDescent="0.25">
      <c r="A730" s="6" t="s">
        <v>103</v>
      </c>
      <c r="B730" s="6">
        <f t="shared" si="168"/>
        <v>2029</v>
      </c>
      <c r="C730" s="1" t="s">
        <v>8</v>
      </c>
      <c r="D730" s="2" t="s">
        <v>128</v>
      </c>
      <c r="E730" s="9" t="str">
        <f t="shared" si="166"/>
        <v>PSNP'!</v>
      </c>
      <c r="F730" s="5" t="str">
        <f t="shared" si="167"/>
        <v>C:\Users\jaime.benazar\Quorum Business Solutions\Ecopetrol Prometeo - Documents\Planning Space Implementation\3. Analysis &amp; Design\Design\FC22\DRR Jaime\QUIFA-CAJÚA\Cajua\[VAS_CAJUA_CF_SEC_20230125.xlsx]CF PSNP'!</v>
      </c>
      <c r="G730" s="6" t="s">
        <v>36</v>
      </c>
      <c r="H730" s="1"/>
      <c r="I730" s="1"/>
      <c r="J730" s="1"/>
    </row>
    <row r="731" spans="1:10" x14ac:dyDescent="0.25">
      <c r="A731" s="6" t="s">
        <v>103</v>
      </c>
      <c r="B731" s="6">
        <f t="shared" si="168"/>
        <v>2030</v>
      </c>
      <c r="C731" s="1" t="s">
        <v>8</v>
      </c>
      <c r="D731" s="2" t="s">
        <v>128</v>
      </c>
      <c r="E731" s="9" t="str">
        <f t="shared" si="166"/>
        <v>PSNP'!</v>
      </c>
      <c r="F731" s="5" t="str">
        <f t="shared" si="167"/>
        <v>C:\Users\jaime.benazar\Quorum Business Solutions\Ecopetrol Prometeo - Documents\Planning Space Implementation\3. Analysis &amp; Design\Design\FC22\DRR Jaime\QUIFA-CAJÚA\Cajua\[VAS_CAJUA_CF_SEC_20230125.xlsx]CF PSNP'!</v>
      </c>
      <c r="G731" s="6" t="s">
        <v>36</v>
      </c>
      <c r="H731" s="1"/>
      <c r="I731" s="1"/>
      <c r="J731" s="1"/>
    </row>
    <row r="732" spans="1:10" x14ac:dyDescent="0.25">
      <c r="A732" s="6" t="s">
        <v>103</v>
      </c>
      <c r="B732" s="6">
        <f t="shared" si="168"/>
        <v>2031</v>
      </c>
      <c r="C732" s="1" t="s">
        <v>8</v>
      </c>
      <c r="D732" s="2" t="s">
        <v>128</v>
      </c>
      <c r="E732" s="9" t="str">
        <f t="shared" si="166"/>
        <v>PSNP'!</v>
      </c>
      <c r="F732" s="5" t="str">
        <f t="shared" si="167"/>
        <v>C:\Users\jaime.benazar\Quorum Business Solutions\Ecopetrol Prometeo - Documents\Planning Space Implementation\3. Analysis &amp; Design\Design\FC22\DRR Jaime\QUIFA-CAJÚA\Cajua\[VAS_CAJUA_CF_SEC_20230125.xlsx]CF PSNP'!</v>
      </c>
      <c r="G732" s="6" t="s">
        <v>36</v>
      </c>
      <c r="H732" s="1"/>
      <c r="I732" s="1"/>
      <c r="J732" s="1"/>
    </row>
    <row r="733" spans="1:10" x14ac:dyDescent="0.25">
      <c r="A733" s="6" t="s">
        <v>103</v>
      </c>
      <c r="B733" s="6">
        <f t="shared" si="168"/>
        <v>2032</v>
      </c>
      <c r="C733" s="1" t="s">
        <v>8</v>
      </c>
      <c r="D733" s="2" t="s">
        <v>128</v>
      </c>
      <c r="E733" s="9" t="str">
        <f t="shared" si="166"/>
        <v>PSNP'!</v>
      </c>
      <c r="F733" s="5" t="str">
        <f t="shared" si="167"/>
        <v>C:\Users\jaime.benazar\Quorum Business Solutions\Ecopetrol Prometeo - Documents\Planning Space Implementation\3. Analysis &amp; Design\Design\FC22\DRR Jaime\QUIFA-CAJÚA\Cajua\[VAS_CAJUA_CF_SEC_20230125.xlsx]CF PSNP'!</v>
      </c>
      <c r="G733" s="6" t="s">
        <v>36</v>
      </c>
      <c r="H733" s="1"/>
      <c r="I733" s="1"/>
      <c r="J733" s="1"/>
    </row>
    <row r="734" spans="1:10" x14ac:dyDescent="0.25">
      <c r="A734" s="6" t="s">
        <v>103</v>
      </c>
      <c r="B734" s="6">
        <f t="shared" si="168"/>
        <v>2033</v>
      </c>
      <c r="C734" s="1" t="s">
        <v>8</v>
      </c>
      <c r="D734" s="2" t="s">
        <v>128</v>
      </c>
      <c r="E734" s="9" t="str">
        <f t="shared" si="166"/>
        <v>PSNP'!</v>
      </c>
      <c r="F734" s="5" t="str">
        <f t="shared" si="167"/>
        <v>C:\Users\jaime.benazar\Quorum Business Solutions\Ecopetrol Prometeo - Documents\Planning Space Implementation\3. Analysis &amp; Design\Design\FC22\DRR Jaime\QUIFA-CAJÚA\Cajua\[VAS_CAJUA_CF_SEC_20230125.xlsx]CF PSNP'!</v>
      </c>
      <c r="G734" s="6" t="s">
        <v>36</v>
      </c>
      <c r="H734" s="1"/>
      <c r="I734" s="1"/>
      <c r="J734" s="1"/>
    </row>
    <row r="735" spans="1:10" x14ac:dyDescent="0.25">
      <c r="A735" s="6" t="s">
        <v>103</v>
      </c>
      <c r="B735" s="6">
        <f t="shared" si="168"/>
        <v>2034</v>
      </c>
      <c r="C735" s="1" t="s">
        <v>8</v>
      </c>
      <c r="D735" s="2" t="s">
        <v>128</v>
      </c>
      <c r="E735" s="9" t="str">
        <f t="shared" si="166"/>
        <v>PSNP'!</v>
      </c>
      <c r="F735" s="5" t="str">
        <f t="shared" si="167"/>
        <v>C:\Users\jaime.benazar\Quorum Business Solutions\Ecopetrol Prometeo - Documents\Planning Space Implementation\3. Analysis &amp; Design\Design\FC22\DRR Jaime\QUIFA-CAJÚA\Cajua\[VAS_CAJUA_CF_SEC_20230125.xlsx]CF PSNP'!</v>
      </c>
      <c r="G735" s="6" t="s">
        <v>36</v>
      </c>
      <c r="H735" s="1"/>
      <c r="I735" s="1"/>
      <c r="J735" s="1"/>
    </row>
    <row r="736" spans="1:10" x14ac:dyDescent="0.25">
      <c r="A736" s="6" t="s">
        <v>103</v>
      </c>
      <c r="B736" s="6">
        <f t="shared" si="168"/>
        <v>2035</v>
      </c>
      <c r="C736" s="1" t="s">
        <v>8</v>
      </c>
      <c r="D736" s="2" t="s">
        <v>128</v>
      </c>
      <c r="E736" s="9" t="str">
        <f t="shared" si="166"/>
        <v>PSNP'!</v>
      </c>
      <c r="F736" s="5" t="str">
        <f t="shared" si="167"/>
        <v>C:\Users\jaime.benazar\Quorum Business Solutions\Ecopetrol Prometeo - Documents\Planning Space Implementation\3. Analysis &amp; Design\Design\FC22\DRR Jaime\QUIFA-CAJÚA\Cajua\[VAS_CAJUA_CF_SEC_20230125.xlsx]CF PSNP'!</v>
      </c>
      <c r="G736" s="6" t="s">
        <v>36</v>
      </c>
      <c r="H736" s="1"/>
      <c r="I736" s="1"/>
      <c r="J736" s="1"/>
    </row>
    <row r="737" spans="1:10" x14ac:dyDescent="0.25">
      <c r="A737" s="6" t="s">
        <v>103</v>
      </c>
      <c r="B737" s="6">
        <f t="shared" si="168"/>
        <v>2036</v>
      </c>
      <c r="C737" s="1" t="s">
        <v>8</v>
      </c>
      <c r="D737" s="2" t="s">
        <v>128</v>
      </c>
      <c r="E737" s="9" t="str">
        <f t="shared" si="166"/>
        <v>PSNP'!</v>
      </c>
      <c r="F737" s="5" t="str">
        <f t="shared" si="167"/>
        <v>C:\Users\jaime.benazar\Quorum Business Solutions\Ecopetrol Prometeo - Documents\Planning Space Implementation\3. Analysis &amp; Design\Design\FC22\DRR Jaime\QUIFA-CAJÚA\Cajua\[VAS_CAJUA_CF_SEC_20230125.xlsx]CF PSNP'!</v>
      </c>
      <c r="G737" s="6" t="s">
        <v>36</v>
      </c>
      <c r="H737" s="1"/>
      <c r="I737" s="1"/>
      <c r="J737" s="1"/>
    </row>
    <row r="738" spans="1:10" x14ac:dyDescent="0.25">
      <c r="A738" s="6" t="s">
        <v>103</v>
      </c>
      <c r="B738" s="6">
        <f>+B737+1</f>
        <v>2037</v>
      </c>
      <c r="C738" s="1" t="s">
        <v>8</v>
      </c>
      <c r="D738" s="2" t="s">
        <v>128</v>
      </c>
      <c r="E738" s="9" t="str">
        <f t="shared" si="166"/>
        <v>PSNP'!</v>
      </c>
      <c r="F738" s="5" t="str">
        <f t="shared" si="167"/>
        <v>C:\Users\jaime.benazar\Quorum Business Solutions\Ecopetrol Prometeo - Documents\Planning Space Implementation\3. Analysis &amp; Design\Design\FC22\DRR Jaime\QUIFA-CAJÚA\Cajua\[VAS_CAJUA_CF_SEC_20230125.xlsx]CF PSNP'!</v>
      </c>
      <c r="G738" s="6" t="s">
        <v>36</v>
      </c>
      <c r="H738" s="1"/>
      <c r="I738" s="1"/>
      <c r="J738" s="1"/>
    </row>
    <row r="739" spans="1:10" x14ac:dyDescent="0.25">
      <c r="A739" s="6" t="s">
        <v>103</v>
      </c>
      <c r="B739" s="6">
        <f t="shared" ref="B739:B741" si="169">+B738+1</f>
        <v>2038</v>
      </c>
      <c r="C739" s="1" t="s">
        <v>8</v>
      </c>
      <c r="D739" s="2" t="s">
        <v>128</v>
      </c>
      <c r="E739" s="9" t="str">
        <f t="shared" si="166"/>
        <v>PSNP'!</v>
      </c>
      <c r="F739" s="5" t="str">
        <f t="shared" si="167"/>
        <v>C:\Users\jaime.benazar\Quorum Business Solutions\Ecopetrol Prometeo - Documents\Planning Space Implementation\3. Analysis &amp; Design\Design\FC22\DRR Jaime\QUIFA-CAJÚA\Cajua\[VAS_CAJUA_CF_SEC_20230125.xlsx]CF PSNP'!</v>
      </c>
      <c r="G739" s="6" t="s">
        <v>36</v>
      </c>
      <c r="H739" s="1"/>
      <c r="I739" s="1"/>
      <c r="J739" s="1"/>
    </row>
    <row r="740" spans="1:10" x14ac:dyDescent="0.25">
      <c r="A740" s="6" t="s">
        <v>103</v>
      </c>
      <c r="B740" s="6">
        <f t="shared" si="169"/>
        <v>2039</v>
      </c>
      <c r="C740" s="1" t="s">
        <v>8</v>
      </c>
      <c r="D740" s="2" t="s">
        <v>128</v>
      </c>
      <c r="E740" s="9" t="str">
        <f t="shared" si="166"/>
        <v>PSNP'!</v>
      </c>
      <c r="F740" s="5" t="str">
        <f t="shared" si="167"/>
        <v>C:\Users\jaime.benazar\Quorum Business Solutions\Ecopetrol Prometeo - Documents\Planning Space Implementation\3. Analysis &amp; Design\Design\FC22\DRR Jaime\QUIFA-CAJÚA\Cajua\[VAS_CAJUA_CF_SEC_20230125.xlsx]CF PSNP'!</v>
      </c>
      <c r="G740" s="6" t="s">
        <v>36</v>
      </c>
      <c r="H740" s="1"/>
      <c r="I740" s="1"/>
      <c r="J740" s="1"/>
    </row>
    <row r="741" spans="1:10" x14ac:dyDescent="0.25">
      <c r="A741" s="6" t="s">
        <v>103</v>
      </c>
      <c r="B741" s="6">
        <f t="shared" si="169"/>
        <v>2040</v>
      </c>
      <c r="C741" s="1" t="s">
        <v>8</v>
      </c>
      <c r="D741" s="2" t="s">
        <v>128</v>
      </c>
      <c r="E741" s="9" t="str">
        <f t="shared" si="166"/>
        <v>PSNP'!</v>
      </c>
      <c r="F741" s="5" t="str">
        <f t="shared" si="167"/>
        <v>C:\Users\jaime.benazar\Quorum Business Solutions\Ecopetrol Prometeo - Documents\Planning Space Implementation\3. Analysis &amp; Design\Design\FC22\DRR Jaime\QUIFA-CAJÚA\Cajua\[VAS_CAJUA_CF_SEC_20230125.xlsx]CF PSNP'!</v>
      </c>
      <c r="G741" s="6" t="s">
        <v>36</v>
      </c>
      <c r="H741" s="1"/>
      <c r="I741" s="1"/>
      <c r="J741" s="1"/>
    </row>
    <row r="742" spans="1:10" x14ac:dyDescent="0.25">
      <c r="A742" s="6" t="s">
        <v>103</v>
      </c>
      <c r="B742" s="6">
        <f>+B741+1</f>
        <v>2041</v>
      </c>
      <c r="C742" s="1" t="s">
        <v>8</v>
      </c>
      <c r="D742" s="2" t="s">
        <v>128</v>
      </c>
      <c r="E742" s="9" t="str">
        <f t="shared" si="166"/>
        <v>PSNP'!</v>
      </c>
      <c r="F742" s="5" t="str">
        <f t="shared" si="167"/>
        <v>C:\Users\jaime.benazar\Quorum Business Solutions\Ecopetrol Prometeo - Documents\Planning Space Implementation\3. Analysis &amp; Design\Design\FC22\DRR Jaime\QUIFA-CAJÚA\Cajua\[VAS_CAJUA_CF_SEC_20230125.xlsx]CF PSNP'!</v>
      </c>
      <c r="G742" s="6" t="s">
        <v>36</v>
      </c>
      <c r="H742" s="1"/>
      <c r="I742" s="1"/>
      <c r="J742" s="1"/>
    </row>
    <row r="743" spans="1:10" x14ac:dyDescent="0.25">
      <c r="A743" s="6" t="s">
        <v>103</v>
      </c>
      <c r="B743" s="6">
        <f t="shared" ref="B743:B744" si="170">+B742+1</f>
        <v>2042</v>
      </c>
      <c r="C743" s="1" t="s">
        <v>8</v>
      </c>
      <c r="D743" s="2" t="s">
        <v>128</v>
      </c>
      <c r="E743" s="9" t="str">
        <f t="shared" si="166"/>
        <v>PSNP'!</v>
      </c>
      <c r="F743" s="5" t="str">
        <f t="shared" si="167"/>
        <v>C:\Users\jaime.benazar\Quorum Business Solutions\Ecopetrol Prometeo - Documents\Planning Space Implementation\3. Analysis &amp; Design\Design\FC22\DRR Jaime\QUIFA-CAJÚA\Cajua\[VAS_CAJUA_CF_SEC_20230125.xlsx]CF PSNP'!</v>
      </c>
      <c r="G743" s="6" t="s">
        <v>36</v>
      </c>
      <c r="H743" s="1"/>
      <c r="I743" s="1"/>
      <c r="J743" s="1"/>
    </row>
    <row r="744" spans="1:10" x14ac:dyDescent="0.25">
      <c r="A744" s="6" t="s">
        <v>103</v>
      </c>
      <c r="B744" s="6">
        <f t="shared" si="170"/>
        <v>2043</v>
      </c>
      <c r="C744" s="1" t="s">
        <v>8</v>
      </c>
      <c r="D744" s="2" t="s">
        <v>128</v>
      </c>
      <c r="E744" s="9" t="str">
        <f t="shared" si="166"/>
        <v>PSNP'!</v>
      </c>
      <c r="F744" s="5" t="str">
        <f t="shared" si="167"/>
        <v>C:\Users\jaime.benazar\Quorum Business Solutions\Ecopetrol Prometeo - Documents\Planning Space Implementation\3. Analysis &amp; Design\Design\FC22\DRR Jaime\QUIFA-CAJÚA\Cajua\[VAS_CAJUA_CF_SEC_20230125.xlsx]CF PSNP'!</v>
      </c>
      <c r="G744" s="6" t="s">
        <v>36</v>
      </c>
      <c r="H744" s="1"/>
      <c r="I744" s="1"/>
      <c r="J744" s="1"/>
    </row>
    <row r="745" spans="1:10" x14ac:dyDescent="0.25">
      <c r="A745" s="6" t="s">
        <v>103</v>
      </c>
      <c r="B745" s="6">
        <f>+B744+1</f>
        <v>2044</v>
      </c>
      <c r="C745" s="1" t="s">
        <v>8</v>
      </c>
      <c r="D745" s="2" t="s">
        <v>128</v>
      </c>
      <c r="E745" s="9" t="str">
        <f t="shared" ref="E745:E760" si="171">_xlfn.CONCAT(A745,"'!")</f>
        <v>PSNP'!</v>
      </c>
      <c r="F745" s="5" t="str">
        <f t="shared" ref="F745:F760" si="172">_xlfn.CONCAT(D745," ",E745)</f>
        <v>C:\Users\jaime.benazar\Quorum Business Solutions\Ecopetrol Prometeo - Documents\Planning Space Implementation\3. Analysis &amp; Design\Design\FC22\DRR Jaime\QUIFA-CAJÚA\Cajua\[VAS_CAJUA_CF_SEC_20230125.xlsx]CF PSNP'!</v>
      </c>
      <c r="G745" s="6" t="s">
        <v>36</v>
      </c>
      <c r="H745" s="1"/>
      <c r="I745" s="1"/>
      <c r="J745" s="1"/>
    </row>
    <row r="746" spans="1:10" x14ac:dyDescent="0.25">
      <c r="A746" s="6" t="s">
        <v>103</v>
      </c>
      <c r="B746" s="6">
        <f t="shared" ref="B746:B760" si="173">+B745+1</f>
        <v>2045</v>
      </c>
      <c r="C746" s="1" t="s">
        <v>8</v>
      </c>
      <c r="D746" s="2" t="s">
        <v>128</v>
      </c>
      <c r="E746" s="9" t="str">
        <f t="shared" si="171"/>
        <v>PSNP'!</v>
      </c>
      <c r="F746" s="5" t="str">
        <f t="shared" si="172"/>
        <v>C:\Users\jaime.benazar\Quorum Business Solutions\Ecopetrol Prometeo - Documents\Planning Space Implementation\3. Analysis &amp; Design\Design\FC22\DRR Jaime\QUIFA-CAJÚA\Cajua\[VAS_CAJUA_CF_SEC_20230125.xlsx]CF PSNP'!</v>
      </c>
      <c r="G746" s="6" t="s">
        <v>36</v>
      </c>
      <c r="H746" s="1"/>
      <c r="I746" s="1"/>
      <c r="J746" s="1"/>
    </row>
    <row r="747" spans="1:10" x14ac:dyDescent="0.25">
      <c r="A747" s="6" t="s">
        <v>103</v>
      </c>
      <c r="B747" s="6">
        <f t="shared" si="173"/>
        <v>2046</v>
      </c>
      <c r="C747" s="1" t="s">
        <v>8</v>
      </c>
      <c r="D747" s="2" t="s">
        <v>128</v>
      </c>
      <c r="E747" s="9" t="str">
        <f t="shared" si="171"/>
        <v>PSNP'!</v>
      </c>
      <c r="F747" s="5" t="str">
        <f t="shared" si="172"/>
        <v>C:\Users\jaime.benazar\Quorum Business Solutions\Ecopetrol Prometeo - Documents\Planning Space Implementation\3. Analysis &amp; Design\Design\FC22\DRR Jaime\QUIFA-CAJÚA\Cajua\[VAS_CAJUA_CF_SEC_20230125.xlsx]CF PSNP'!</v>
      </c>
      <c r="G747" s="6" t="s">
        <v>36</v>
      </c>
      <c r="H747" s="1"/>
      <c r="I747" s="1"/>
      <c r="J747" s="1"/>
    </row>
    <row r="748" spans="1:10" x14ac:dyDescent="0.25">
      <c r="A748" s="6" t="s">
        <v>103</v>
      </c>
      <c r="B748" s="6">
        <f t="shared" si="173"/>
        <v>2047</v>
      </c>
      <c r="C748" s="1" t="s">
        <v>8</v>
      </c>
      <c r="D748" s="2" t="s">
        <v>128</v>
      </c>
      <c r="E748" s="9" t="str">
        <f t="shared" si="171"/>
        <v>PSNP'!</v>
      </c>
      <c r="F748" s="5" t="str">
        <f t="shared" si="172"/>
        <v>C:\Users\jaime.benazar\Quorum Business Solutions\Ecopetrol Prometeo - Documents\Planning Space Implementation\3. Analysis &amp; Design\Design\FC22\DRR Jaime\QUIFA-CAJÚA\Cajua\[VAS_CAJUA_CF_SEC_20230125.xlsx]CF PSNP'!</v>
      </c>
      <c r="G748" s="6" t="s">
        <v>36</v>
      </c>
      <c r="H748" s="1"/>
      <c r="I748" s="1"/>
      <c r="J748" s="1"/>
    </row>
    <row r="749" spans="1:10" x14ac:dyDescent="0.25">
      <c r="A749" s="6" t="s">
        <v>103</v>
      </c>
      <c r="B749" s="6">
        <f t="shared" si="173"/>
        <v>2048</v>
      </c>
      <c r="C749" s="1" t="s">
        <v>8</v>
      </c>
      <c r="D749" s="2" t="s">
        <v>128</v>
      </c>
      <c r="E749" s="9" t="str">
        <f t="shared" si="171"/>
        <v>PSNP'!</v>
      </c>
      <c r="F749" s="5" t="str">
        <f t="shared" si="172"/>
        <v>C:\Users\jaime.benazar\Quorum Business Solutions\Ecopetrol Prometeo - Documents\Planning Space Implementation\3. Analysis &amp; Design\Design\FC22\DRR Jaime\QUIFA-CAJÚA\Cajua\[VAS_CAJUA_CF_SEC_20230125.xlsx]CF PSNP'!</v>
      </c>
      <c r="G749" s="6" t="s">
        <v>36</v>
      </c>
      <c r="H749" s="1"/>
      <c r="I749" s="1"/>
      <c r="J749" s="1"/>
    </row>
    <row r="750" spans="1:10" x14ac:dyDescent="0.25">
      <c r="A750" s="6" t="s">
        <v>103</v>
      </c>
      <c r="B750" s="6">
        <f t="shared" si="173"/>
        <v>2049</v>
      </c>
      <c r="C750" s="1" t="s">
        <v>8</v>
      </c>
      <c r="D750" s="2" t="s">
        <v>128</v>
      </c>
      <c r="E750" s="9" t="str">
        <f t="shared" si="171"/>
        <v>PSNP'!</v>
      </c>
      <c r="F750" s="5" t="str">
        <f t="shared" si="172"/>
        <v>C:\Users\jaime.benazar\Quorum Business Solutions\Ecopetrol Prometeo - Documents\Planning Space Implementation\3. Analysis &amp; Design\Design\FC22\DRR Jaime\QUIFA-CAJÚA\Cajua\[VAS_CAJUA_CF_SEC_20230125.xlsx]CF PSNP'!</v>
      </c>
      <c r="G750" s="6" t="s">
        <v>36</v>
      </c>
      <c r="H750" s="1"/>
      <c r="I750" s="1"/>
      <c r="J750" s="1"/>
    </row>
    <row r="751" spans="1:10" x14ac:dyDescent="0.25">
      <c r="A751" s="6" t="s">
        <v>103</v>
      </c>
      <c r="B751" s="6">
        <f t="shared" si="173"/>
        <v>2050</v>
      </c>
      <c r="C751" s="1" t="s">
        <v>8</v>
      </c>
      <c r="D751" s="2" t="s">
        <v>128</v>
      </c>
      <c r="E751" s="9" t="str">
        <f t="shared" si="171"/>
        <v>PSNP'!</v>
      </c>
      <c r="F751" s="5" t="str">
        <f t="shared" si="172"/>
        <v>C:\Users\jaime.benazar\Quorum Business Solutions\Ecopetrol Prometeo - Documents\Planning Space Implementation\3. Analysis &amp; Design\Design\FC22\DRR Jaime\QUIFA-CAJÚA\Cajua\[VAS_CAJUA_CF_SEC_20230125.xlsx]CF PSNP'!</v>
      </c>
      <c r="G751" s="6" t="s">
        <v>36</v>
      </c>
      <c r="H751" s="1"/>
      <c r="I751" s="1"/>
      <c r="J751" s="1"/>
    </row>
    <row r="752" spans="1:10" x14ac:dyDescent="0.25">
      <c r="A752" s="6" t="s">
        <v>103</v>
      </c>
      <c r="B752" s="6">
        <f t="shared" si="173"/>
        <v>2051</v>
      </c>
      <c r="C752" s="1" t="s">
        <v>8</v>
      </c>
      <c r="D752" s="2" t="s">
        <v>128</v>
      </c>
      <c r="E752" s="9" t="str">
        <f t="shared" si="171"/>
        <v>PSNP'!</v>
      </c>
      <c r="F752" s="5" t="str">
        <f t="shared" si="172"/>
        <v>C:\Users\jaime.benazar\Quorum Business Solutions\Ecopetrol Prometeo - Documents\Planning Space Implementation\3. Analysis &amp; Design\Design\FC22\DRR Jaime\QUIFA-CAJÚA\Cajua\[VAS_CAJUA_CF_SEC_20230125.xlsx]CF PSNP'!</v>
      </c>
      <c r="G752" s="6" t="s">
        <v>36</v>
      </c>
      <c r="H752" s="1"/>
      <c r="I752" s="1"/>
      <c r="J752" s="1"/>
    </row>
    <row r="753" spans="1:10" x14ac:dyDescent="0.25">
      <c r="A753" s="6" t="s">
        <v>103</v>
      </c>
      <c r="B753" s="6">
        <f t="shared" si="173"/>
        <v>2052</v>
      </c>
      <c r="C753" s="1" t="s">
        <v>8</v>
      </c>
      <c r="D753" s="2" t="s">
        <v>128</v>
      </c>
      <c r="E753" s="9" t="str">
        <f t="shared" si="171"/>
        <v>PSNP'!</v>
      </c>
      <c r="F753" s="5" t="str">
        <f t="shared" si="172"/>
        <v>C:\Users\jaime.benazar\Quorum Business Solutions\Ecopetrol Prometeo - Documents\Planning Space Implementation\3. Analysis &amp; Design\Design\FC22\DRR Jaime\QUIFA-CAJÚA\Cajua\[VAS_CAJUA_CF_SEC_20230125.xlsx]CF PSNP'!</v>
      </c>
      <c r="G753" s="6" t="s">
        <v>36</v>
      </c>
      <c r="H753" s="1"/>
      <c r="I753" s="1"/>
      <c r="J753" s="1"/>
    </row>
    <row r="754" spans="1:10" x14ac:dyDescent="0.25">
      <c r="A754" s="6" t="s">
        <v>103</v>
      </c>
      <c r="B754" s="6">
        <f t="shared" si="173"/>
        <v>2053</v>
      </c>
      <c r="C754" s="1" t="s">
        <v>8</v>
      </c>
      <c r="D754" s="2" t="s">
        <v>128</v>
      </c>
      <c r="E754" s="9" t="str">
        <f t="shared" si="171"/>
        <v>PSNP'!</v>
      </c>
      <c r="F754" s="5" t="str">
        <f t="shared" si="172"/>
        <v>C:\Users\jaime.benazar\Quorum Business Solutions\Ecopetrol Prometeo - Documents\Planning Space Implementation\3. Analysis &amp; Design\Design\FC22\DRR Jaime\QUIFA-CAJÚA\Cajua\[VAS_CAJUA_CF_SEC_20230125.xlsx]CF PSNP'!</v>
      </c>
      <c r="G754" s="6" t="s">
        <v>36</v>
      </c>
      <c r="H754" s="1"/>
      <c r="I754" s="1"/>
      <c r="J754" s="1"/>
    </row>
    <row r="755" spans="1:10" x14ac:dyDescent="0.25">
      <c r="A755" s="6" t="s">
        <v>103</v>
      </c>
      <c r="B755" s="6">
        <f t="shared" si="173"/>
        <v>2054</v>
      </c>
      <c r="C755" s="1" t="s">
        <v>8</v>
      </c>
      <c r="D755" s="2" t="s">
        <v>128</v>
      </c>
      <c r="E755" s="9" t="str">
        <f t="shared" si="171"/>
        <v>PSNP'!</v>
      </c>
      <c r="F755" s="5" t="str">
        <f t="shared" si="172"/>
        <v>C:\Users\jaime.benazar\Quorum Business Solutions\Ecopetrol Prometeo - Documents\Planning Space Implementation\3. Analysis &amp; Design\Design\FC22\DRR Jaime\QUIFA-CAJÚA\Cajua\[VAS_CAJUA_CF_SEC_20230125.xlsx]CF PSNP'!</v>
      </c>
      <c r="G755" s="6" t="s">
        <v>36</v>
      </c>
      <c r="H755" s="1"/>
      <c r="I755" s="1"/>
      <c r="J755" s="1"/>
    </row>
    <row r="756" spans="1:10" x14ac:dyDescent="0.25">
      <c r="A756" s="6" t="s">
        <v>103</v>
      </c>
      <c r="B756" s="6">
        <f t="shared" si="173"/>
        <v>2055</v>
      </c>
      <c r="C756" s="1" t="s">
        <v>8</v>
      </c>
      <c r="D756" s="2" t="s">
        <v>128</v>
      </c>
      <c r="E756" s="9" t="str">
        <f t="shared" si="171"/>
        <v>PSNP'!</v>
      </c>
      <c r="F756" s="5" t="str">
        <f t="shared" si="172"/>
        <v>C:\Users\jaime.benazar\Quorum Business Solutions\Ecopetrol Prometeo - Documents\Planning Space Implementation\3. Analysis &amp; Design\Design\FC22\DRR Jaime\QUIFA-CAJÚA\Cajua\[VAS_CAJUA_CF_SEC_20230125.xlsx]CF PSNP'!</v>
      </c>
      <c r="G756" s="6" t="s">
        <v>36</v>
      </c>
      <c r="H756" s="1"/>
      <c r="I756" s="1"/>
      <c r="J756" s="1"/>
    </row>
    <row r="757" spans="1:10" x14ac:dyDescent="0.25">
      <c r="A757" s="6" t="s">
        <v>103</v>
      </c>
      <c r="B757" s="6">
        <f t="shared" si="173"/>
        <v>2056</v>
      </c>
      <c r="C757" s="1" t="s">
        <v>8</v>
      </c>
      <c r="D757" s="2" t="s">
        <v>128</v>
      </c>
      <c r="E757" s="9" t="str">
        <f t="shared" si="171"/>
        <v>PSNP'!</v>
      </c>
      <c r="F757" s="5" t="str">
        <f t="shared" si="172"/>
        <v>C:\Users\jaime.benazar\Quorum Business Solutions\Ecopetrol Prometeo - Documents\Planning Space Implementation\3. Analysis &amp; Design\Design\FC22\DRR Jaime\QUIFA-CAJÚA\Cajua\[VAS_CAJUA_CF_SEC_20230125.xlsx]CF PSNP'!</v>
      </c>
      <c r="G757" s="6" t="s">
        <v>36</v>
      </c>
      <c r="H757" s="1"/>
      <c r="I757" s="1"/>
      <c r="J757" s="1"/>
    </row>
    <row r="758" spans="1:10" x14ac:dyDescent="0.25">
      <c r="A758" s="6" t="s">
        <v>103</v>
      </c>
      <c r="B758" s="6">
        <f t="shared" si="173"/>
        <v>2057</v>
      </c>
      <c r="C758" s="1" t="s">
        <v>8</v>
      </c>
      <c r="D758" s="2" t="s">
        <v>128</v>
      </c>
      <c r="E758" s="9" t="str">
        <f t="shared" si="171"/>
        <v>PSNP'!</v>
      </c>
      <c r="F758" s="5" t="str">
        <f t="shared" si="172"/>
        <v>C:\Users\jaime.benazar\Quorum Business Solutions\Ecopetrol Prometeo - Documents\Planning Space Implementation\3. Analysis &amp; Design\Design\FC22\DRR Jaime\QUIFA-CAJÚA\Cajua\[VAS_CAJUA_CF_SEC_20230125.xlsx]CF PSNP'!</v>
      </c>
      <c r="G758" s="6" t="s">
        <v>36</v>
      </c>
      <c r="H758" s="1"/>
      <c r="I758" s="1"/>
      <c r="J758" s="1"/>
    </row>
    <row r="759" spans="1:10" x14ac:dyDescent="0.25">
      <c r="A759" s="6" t="s">
        <v>103</v>
      </c>
      <c r="B759" s="6">
        <f t="shared" si="173"/>
        <v>2058</v>
      </c>
      <c r="C759" s="1" t="s">
        <v>8</v>
      </c>
      <c r="D759" s="2" t="s">
        <v>128</v>
      </c>
      <c r="E759" s="9" t="str">
        <f t="shared" si="171"/>
        <v>PSNP'!</v>
      </c>
      <c r="F759" s="5" t="str">
        <f t="shared" si="172"/>
        <v>C:\Users\jaime.benazar\Quorum Business Solutions\Ecopetrol Prometeo - Documents\Planning Space Implementation\3. Analysis &amp; Design\Design\FC22\DRR Jaime\QUIFA-CAJÚA\Cajua\[VAS_CAJUA_CF_SEC_20230125.xlsx]CF PSNP'!</v>
      </c>
      <c r="G759" s="6" t="s">
        <v>36</v>
      </c>
      <c r="H759" s="1"/>
      <c r="I759" s="1"/>
      <c r="J759" s="1"/>
    </row>
    <row r="760" spans="1:10" x14ac:dyDescent="0.25">
      <c r="A760" s="6" t="s">
        <v>103</v>
      </c>
      <c r="B760" s="6">
        <f t="shared" si="173"/>
        <v>2059</v>
      </c>
      <c r="C760" s="1" t="s">
        <v>8</v>
      </c>
      <c r="D760" s="2" t="s">
        <v>128</v>
      </c>
      <c r="E760" s="9" t="str">
        <f t="shared" si="171"/>
        <v>PSNP'!</v>
      </c>
      <c r="F760" s="5" t="str">
        <f t="shared" si="172"/>
        <v>C:\Users\jaime.benazar\Quorum Business Solutions\Ecopetrol Prometeo - Documents\Planning Space Implementation\3. Analysis &amp; Design\Design\FC22\DRR Jaime\QUIFA-CAJÚA\Cajua\[VAS_CAJUA_CF_SEC_20230125.xlsx]CF PSNP'!</v>
      </c>
      <c r="G760" s="6" t="s">
        <v>36</v>
      </c>
      <c r="H760" s="1"/>
      <c r="I760" s="1"/>
      <c r="J760" s="1"/>
    </row>
    <row r="761" spans="1:10" x14ac:dyDescent="0.25">
      <c r="A761" s="6" t="s">
        <v>28</v>
      </c>
      <c r="B761" s="6"/>
      <c r="C761" s="1" t="s">
        <v>8</v>
      </c>
      <c r="D761" s="2"/>
      <c r="E761" s="9"/>
      <c r="F761" s="2"/>
      <c r="G761" s="6"/>
      <c r="H761" s="1"/>
      <c r="I761" s="1"/>
      <c r="J761" s="1"/>
    </row>
    <row r="762" spans="1:10" x14ac:dyDescent="0.25">
      <c r="A762" s="6" t="s">
        <v>104</v>
      </c>
      <c r="B762" s="6">
        <v>2023</v>
      </c>
      <c r="C762" s="1" t="s">
        <v>8</v>
      </c>
      <c r="D762" s="2" t="s">
        <v>128</v>
      </c>
      <c r="E762" s="9" t="str">
        <f t="shared" ref="E762:E782" si="174">_xlfn.CONCAT(A762,"'!")</f>
        <v>PSND'!</v>
      </c>
      <c r="F762" s="5" t="str">
        <f t="shared" ref="F762:F782" si="175">_xlfn.CONCAT(D762," ",E762)</f>
        <v>C:\Users\jaime.benazar\Quorum Business Solutions\Ecopetrol Prometeo - Documents\Planning Space Implementation\3. Analysis &amp; Design\Design\FC22\DRR Jaime\QUIFA-CAJÚA\Cajua\[VAS_CAJUA_CF_SEC_20230125.xlsx]CF PSND'!</v>
      </c>
      <c r="G762" s="6" t="s">
        <v>36</v>
      </c>
      <c r="H762" s="1"/>
      <c r="I762" s="1"/>
      <c r="J762" s="1"/>
    </row>
    <row r="763" spans="1:10" x14ac:dyDescent="0.25">
      <c r="A763" s="6" t="s">
        <v>104</v>
      </c>
      <c r="B763" s="6">
        <f>+B762+1</f>
        <v>2024</v>
      </c>
      <c r="C763" s="1" t="s">
        <v>8</v>
      </c>
      <c r="D763" s="2" t="s">
        <v>128</v>
      </c>
      <c r="E763" s="9" t="str">
        <f t="shared" si="174"/>
        <v>PSND'!</v>
      </c>
      <c r="F763" s="5" t="str">
        <f t="shared" si="175"/>
        <v>C:\Users\jaime.benazar\Quorum Business Solutions\Ecopetrol Prometeo - Documents\Planning Space Implementation\3. Analysis &amp; Design\Design\FC22\DRR Jaime\QUIFA-CAJÚA\Cajua\[VAS_CAJUA_CF_SEC_20230125.xlsx]CF PSND'!</v>
      </c>
      <c r="G763" s="6" t="s">
        <v>36</v>
      </c>
      <c r="H763" s="1"/>
      <c r="I763" s="1"/>
      <c r="J763" s="1"/>
    </row>
    <row r="764" spans="1:10" x14ac:dyDescent="0.25">
      <c r="A764" s="6" t="s">
        <v>104</v>
      </c>
      <c r="B764" s="6">
        <f t="shared" ref="B764:B775" si="176">+B763+1</f>
        <v>2025</v>
      </c>
      <c r="C764" s="1" t="s">
        <v>8</v>
      </c>
      <c r="D764" s="2" t="s">
        <v>128</v>
      </c>
      <c r="E764" s="9" t="str">
        <f t="shared" si="174"/>
        <v>PSND'!</v>
      </c>
      <c r="F764" s="5" t="str">
        <f t="shared" si="175"/>
        <v>C:\Users\jaime.benazar\Quorum Business Solutions\Ecopetrol Prometeo - Documents\Planning Space Implementation\3. Analysis &amp; Design\Design\FC22\DRR Jaime\QUIFA-CAJÚA\Cajua\[VAS_CAJUA_CF_SEC_20230125.xlsx]CF PSND'!</v>
      </c>
      <c r="G764" s="6" t="s">
        <v>36</v>
      </c>
      <c r="H764" s="1"/>
      <c r="I764" s="1"/>
      <c r="J764" s="1"/>
    </row>
    <row r="765" spans="1:10" x14ac:dyDescent="0.25">
      <c r="A765" s="6" t="s">
        <v>104</v>
      </c>
      <c r="B765" s="6">
        <f t="shared" si="176"/>
        <v>2026</v>
      </c>
      <c r="C765" s="1" t="s">
        <v>8</v>
      </c>
      <c r="D765" s="2" t="s">
        <v>128</v>
      </c>
      <c r="E765" s="9" t="str">
        <f t="shared" si="174"/>
        <v>PSND'!</v>
      </c>
      <c r="F765" s="5" t="str">
        <f t="shared" si="175"/>
        <v>C:\Users\jaime.benazar\Quorum Business Solutions\Ecopetrol Prometeo - Documents\Planning Space Implementation\3. Analysis &amp; Design\Design\FC22\DRR Jaime\QUIFA-CAJÚA\Cajua\[VAS_CAJUA_CF_SEC_20230125.xlsx]CF PSND'!</v>
      </c>
      <c r="G765" s="6" t="s">
        <v>36</v>
      </c>
      <c r="H765" s="1"/>
      <c r="I765" s="1"/>
      <c r="J765" s="1"/>
    </row>
    <row r="766" spans="1:10" x14ac:dyDescent="0.25">
      <c r="A766" s="6" t="s">
        <v>104</v>
      </c>
      <c r="B766" s="6">
        <f t="shared" si="176"/>
        <v>2027</v>
      </c>
      <c r="C766" s="1" t="s">
        <v>8</v>
      </c>
      <c r="D766" s="2" t="s">
        <v>128</v>
      </c>
      <c r="E766" s="9" t="str">
        <f t="shared" si="174"/>
        <v>PSND'!</v>
      </c>
      <c r="F766" s="5" t="str">
        <f t="shared" si="175"/>
        <v>C:\Users\jaime.benazar\Quorum Business Solutions\Ecopetrol Prometeo - Documents\Planning Space Implementation\3. Analysis &amp; Design\Design\FC22\DRR Jaime\QUIFA-CAJÚA\Cajua\[VAS_CAJUA_CF_SEC_20230125.xlsx]CF PSND'!</v>
      </c>
      <c r="G766" s="6" t="s">
        <v>36</v>
      </c>
      <c r="H766" s="1"/>
      <c r="I766" s="1"/>
      <c r="J766" s="1"/>
    </row>
    <row r="767" spans="1:10" x14ac:dyDescent="0.25">
      <c r="A767" s="6" t="s">
        <v>104</v>
      </c>
      <c r="B767" s="6">
        <f t="shared" si="176"/>
        <v>2028</v>
      </c>
      <c r="C767" s="1" t="s">
        <v>8</v>
      </c>
      <c r="D767" s="2" t="s">
        <v>128</v>
      </c>
      <c r="E767" s="9" t="str">
        <f t="shared" si="174"/>
        <v>PSND'!</v>
      </c>
      <c r="F767" s="5" t="str">
        <f t="shared" si="175"/>
        <v>C:\Users\jaime.benazar\Quorum Business Solutions\Ecopetrol Prometeo - Documents\Planning Space Implementation\3. Analysis &amp; Design\Design\FC22\DRR Jaime\QUIFA-CAJÚA\Cajua\[VAS_CAJUA_CF_SEC_20230125.xlsx]CF PSND'!</v>
      </c>
      <c r="G767" s="6" t="s">
        <v>36</v>
      </c>
      <c r="H767" s="1"/>
      <c r="I767" s="1"/>
      <c r="J767" s="1"/>
    </row>
    <row r="768" spans="1:10" x14ac:dyDescent="0.25">
      <c r="A768" s="6" t="s">
        <v>104</v>
      </c>
      <c r="B768" s="6">
        <f t="shared" si="176"/>
        <v>2029</v>
      </c>
      <c r="C768" s="1" t="s">
        <v>8</v>
      </c>
      <c r="D768" s="2" t="s">
        <v>128</v>
      </c>
      <c r="E768" s="9" t="str">
        <f t="shared" si="174"/>
        <v>PSND'!</v>
      </c>
      <c r="F768" s="5" t="str">
        <f t="shared" si="175"/>
        <v>C:\Users\jaime.benazar\Quorum Business Solutions\Ecopetrol Prometeo - Documents\Planning Space Implementation\3. Analysis &amp; Design\Design\FC22\DRR Jaime\QUIFA-CAJÚA\Cajua\[VAS_CAJUA_CF_SEC_20230125.xlsx]CF PSND'!</v>
      </c>
      <c r="G768" s="6" t="s">
        <v>36</v>
      </c>
      <c r="H768" s="1"/>
      <c r="I768" s="1"/>
      <c r="J768" s="1"/>
    </row>
    <row r="769" spans="1:10" x14ac:dyDescent="0.25">
      <c r="A769" s="6" t="s">
        <v>104</v>
      </c>
      <c r="B769" s="6">
        <f t="shared" si="176"/>
        <v>2030</v>
      </c>
      <c r="C769" s="1" t="s">
        <v>8</v>
      </c>
      <c r="D769" s="2" t="s">
        <v>128</v>
      </c>
      <c r="E769" s="9" t="str">
        <f t="shared" si="174"/>
        <v>PSND'!</v>
      </c>
      <c r="F769" s="5" t="str">
        <f t="shared" si="175"/>
        <v>C:\Users\jaime.benazar\Quorum Business Solutions\Ecopetrol Prometeo - Documents\Planning Space Implementation\3. Analysis &amp; Design\Design\FC22\DRR Jaime\QUIFA-CAJÚA\Cajua\[VAS_CAJUA_CF_SEC_20230125.xlsx]CF PSND'!</v>
      </c>
      <c r="G769" s="6" t="s">
        <v>36</v>
      </c>
      <c r="H769" s="1"/>
      <c r="I769" s="1"/>
      <c r="J769" s="1"/>
    </row>
    <row r="770" spans="1:10" x14ac:dyDescent="0.25">
      <c r="A770" s="6" t="s">
        <v>104</v>
      </c>
      <c r="B770" s="6">
        <f t="shared" si="176"/>
        <v>2031</v>
      </c>
      <c r="C770" s="1" t="s">
        <v>8</v>
      </c>
      <c r="D770" s="2" t="s">
        <v>128</v>
      </c>
      <c r="E770" s="9" t="str">
        <f t="shared" si="174"/>
        <v>PSND'!</v>
      </c>
      <c r="F770" s="5" t="str">
        <f t="shared" si="175"/>
        <v>C:\Users\jaime.benazar\Quorum Business Solutions\Ecopetrol Prometeo - Documents\Planning Space Implementation\3. Analysis &amp; Design\Design\FC22\DRR Jaime\QUIFA-CAJÚA\Cajua\[VAS_CAJUA_CF_SEC_20230125.xlsx]CF PSND'!</v>
      </c>
      <c r="G770" s="6" t="s">
        <v>36</v>
      </c>
      <c r="H770" s="1"/>
      <c r="I770" s="1"/>
      <c r="J770" s="1"/>
    </row>
    <row r="771" spans="1:10" x14ac:dyDescent="0.25">
      <c r="A771" s="6" t="s">
        <v>104</v>
      </c>
      <c r="B771" s="6">
        <f t="shared" si="176"/>
        <v>2032</v>
      </c>
      <c r="C771" s="1" t="s">
        <v>8</v>
      </c>
      <c r="D771" s="2" t="s">
        <v>128</v>
      </c>
      <c r="E771" s="9" t="str">
        <f t="shared" si="174"/>
        <v>PSND'!</v>
      </c>
      <c r="F771" s="5" t="str">
        <f t="shared" si="175"/>
        <v>C:\Users\jaime.benazar\Quorum Business Solutions\Ecopetrol Prometeo - Documents\Planning Space Implementation\3. Analysis &amp; Design\Design\FC22\DRR Jaime\QUIFA-CAJÚA\Cajua\[VAS_CAJUA_CF_SEC_20230125.xlsx]CF PSND'!</v>
      </c>
      <c r="G771" s="6" t="s">
        <v>36</v>
      </c>
      <c r="H771" s="1"/>
      <c r="I771" s="1"/>
      <c r="J771" s="1"/>
    </row>
    <row r="772" spans="1:10" x14ac:dyDescent="0.25">
      <c r="A772" s="6" t="s">
        <v>104</v>
      </c>
      <c r="B772" s="6">
        <f t="shared" si="176"/>
        <v>2033</v>
      </c>
      <c r="C772" s="1" t="s">
        <v>8</v>
      </c>
      <c r="D772" s="2" t="s">
        <v>128</v>
      </c>
      <c r="E772" s="9" t="str">
        <f t="shared" si="174"/>
        <v>PSND'!</v>
      </c>
      <c r="F772" s="5" t="str">
        <f t="shared" si="175"/>
        <v>C:\Users\jaime.benazar\Quorum Business Solutions\Ecopetrol Prometeo - Documents\Planning Space Implementation\3. Analysis &amp; Design\Design\FC22\DRR Jaime\QUIFA-CAJÚA\Cajua\[VAS_CAJUA_CF_SEC_20230125.xlsx]CF PSND'!</v>
      </c>
      <c r="G772" s="6" t="s">
        <v>36</v>
      </c>
      <c r="H772" s="1"/>
      <c r="I772" s="1"/>
      <c r="J772" s="1"/>
    </row>
    <row r="773" spans="1:10" x14ac:dyDescent="0.25">
      <c r="A773" s="6" t="s">
        <v>104</v>
      </c>
      <c r="B773" s="6">
        <f t="shared" si="176"/>
        <v>2034</v>
      </c>
      <c r="C773" s="1" t="s">
        <v>8</v>
      </c>
      <c r="D773" s="2" t="s">
        <v>128</v>
      </c>
      <c r="E773" s="9" t="str">
        <f t="shared" si="174"/>
        <v>PSND'!</v>
      </c>
      <c r="F773" s="5" t="str">
        <f t="shared" si="175"/>
        <v>C:\Users\jaime.benazar\Quorum Business Solutions\Ecopetrol Prometeo - Documents\Planning Space Implementation\3. Analysis &amp; Design\Design\FC22\DRR Jaime\QUIFA-CAJÚA\Cajua\[VAS_CAJUA_CF_SEC_20230125.xlsx]CF PSND'!</v>
      </c>
      <c r="G773" s="6" t="s">
        <v>36</v>
      </c>
      <c r="H773" s="1"/>
      <c r="I773" s="1"/>
      <c r="J773" s="1"/>
    </row>
    <row r="774" spans="1:10" x14ac:dyDescent="0.25">
      <c r="A774" s="6" t="s">
        <v>104</v>
      </c>
      <c r="B774" s="6">
        <f t="shared" si="176"/>
        <v>2035</v>
      </c>
      <c r="C774" s="1" t="s">
        <v>8</v>
      </c>
      <c r="D774" s="2" t="s">
        <v>128</v>
      </c>
      <c r="E774" s="9" t="str">
        <f t="shared" si="174"/>
        <v>PSND'!</v>
      </c>
      <c r="F774" s="5" t="str">
        <f t="shared" si="175"/>
        <v>C:\Users\jaime.benazar\Quorum Business Solutions\Ecopetrol Prometeo - Documents\Planning Space Implementation\3. Analysis &amp; Design\Design\FC22\DRR Jaime\QUIFA-CAJÚA\Cajua\[VAS_CAJUA_CF_SEC_20230125.xlsx]CF PSND'!</v>
      </c>
      <c r="G774" s="6" t="s">
        <v>36</v>
      </c>
      <c r="H774" s="1"/>
      <c r="I774" s="1"/>
      <c r="J774" s="1"/>
    </row>
    <row r="775" spans="1:10" x14ac:dyDescent="0.25">
      <c r="A775" s="6" t="s">
        <v>104</v>
      </c>
      <c r="B775" s="6">
        <f t="shared" si="176"/>
        <v>2036</v>
      </c>
      <c r="C775" s="1" t="s">
        <v>8</v>
      </c>
      <c r="D775" s="2" t="s">
        <v>128</v>
      </c>
      <c r="E775" s="9" t="str">
        <f t="shared" si="174"/>
        <v>PSND'!</v>
      </c>
      <c r="F775" s="5" t="str">
        <f t="shared" si="175"/>
        <v>C:\Users\jaime.benazar\Quorum Business Solutions\Ecopetrol Prometeo - Documents\Planning Space Implementation\3. Analysis &amp; Design\Design\FC22\DRR Jaime\QUIFA-CAJÚA\Cajua\[VAS_CAJUA_CF_SEC_20230125.xlsx]CF PSND'!</v>
      </c>
      <c r="G775" s="6" t="s">
        <v>36</v>
      </c>
      <c r="H775" s="1"/>
      <c r="I775" s="1"/>
      <c r="J775" s="1"/>
    </row>
    <row r="776" spans="1:10" x14ac:dyDescent="0.25">
      <c r="A776" s="6" t="s">
        <v>104</v>
      </c>
      <c r="B776" s="6">
        <f>+B775+1</f>
        <v>2037</v>
      </c>
      <c r="C776" s="1" t="s">
        <v>8</v>
      </c>
      <c r="D776" s="2" t="s">
        <v>128</v>
      </c>
      <c r="E776" s="9" t="str">
        <f t="shared" si="174"/>
        <v>PSND'!</v>
      </c>
      <c r="F776" s="5" t="str">
        <f t="shared" si="175"/>
        <v>C:\Users\jaime.benazar\Quorum Business Solutions\Ecopetrol Prometeo - Documents\Planning Space Implementation\3. Analysis &amp; Design\Design\FC22\DRR Jaime\QUIFA-CAJÚA\Cajua\[VAS_CAJUA_CF_SEC_20230125.xlsx]CF PSND'!</v>
      </c>
      <c r="G776" s="6" t="s">
        <v>36</v>
      </c>
      <c r="H776" s="1"/>
      <c r="I776" s="1"/>
      <c r="J776" s="1"/>
    </row>
    <row r="777" spans="1:10" x14ac:dyDescent="0.25">
      <c r="A777" s="6" t="s">
        <v>104</v>
      </c>
      <c r="B777" s="6">
        <f t="shared" ref="B777:B779" si="177">+B776+1</f>
        <v>2038</v>
      </c>
      <c r="C777" s="1" t="s">
        <v>8</v>
      </c>
      <c r="D777" s="2" t="s">
        <v>128</v>
      </c>
      <c r="E777" s="9" t="str">
        <f t="shared" si="174"/>
        <v>PSND'!</v>
      </c>
      <c r="F777" s="5" t="str">
        <f t="shared" si="175"/>
        <v>C:\Users\jaime.benazar\Quorum Business Solutions\Ecopetrol Prometeo - Documents\Planning Space Implementation\3. Analysis &amp; Design\Design\FC22\DRR Jaime\QUIFA-CAJÚA\Cajua\[VAS_CAJUA_CF_SEC_20230125.xlsx]CF PSND'!</v>
      </c>
      <c r="G777" s="6" t="s">
        <v>36</v>
      </c>
      <c r="H777" s="1"/>
      <c r="I777" s="1"/>
      <c r="J777" s="1"/>
    </row>
    <row r="778" spans="1:10" x14ac:dyDescent="0.25">
      <c r="A778" s="6" t="s">
        <v>104</v>
      </c>
      <c r="B778" s="6">
        <f t="shared" si="177"/>
        <v>2039</v>
      </c>
      <c r="C778" s="1" t="s">
        <v>8</v>
      </c>
      <c r="D778" s="2" t="s">
        <v>128</v>
      </c>
      <c r="E778" s="9" t="str">
        <f t="shared" si="174"/>
        <v>PSND'!</v>
      </c>
      <c r="F778" s="5" t="str">
        <f t="shared" si="175"/>
        <v>C:\Users\jaime.benazar\Quorum Business Solutions\Ecopetrol Prometeo - Documents\Planning Space Implementation\3. Analysis &amp; Design\Design\FC22\DRR Jaime\QUIFA-CAJÚA\Cajua\[VAS_CAJUA_CF_SEC_20230125.xlsx]CF PSND'!</v>
      </c>
      <c r="G778" s="6" t="s">
        <v>36</v>
      </c>
      <c r="H778" s="1"/>
      <c r="I778" s="1"/>
      <c r="J778" s="1"/>
    </row>
    <row r="779" spans="1:10" x14ac:dyDescent="0.25">
      <c r="A779" s="6" t="s">
        <v>104</v>
      </c>
      <c r="B779" s="6">
        <f t="shared" si="177"/>
        <v>2040</v>
      </c>
      <c r="C779" s="1" t="s">
        <v>8</v>
      </c>
      <c r="D779" s="2" t="s">
        <v>128</v>
      </c>
      <c r="E779" s="9" t="str">
        <f t="shared" si="174"/>
        <v>PSND'!</v>
      </c>
      <c r="F779" s="5" t="str">
        <f t="shared" si="175"/>
        <v>C:\Users\jaime.benazar\Quorum Business Solutions\Ecopetrol Prometeo - Documents\Planning Space Implementation\3. Analysis &amp; Design\Design\FC22\DRR Jaime\QUIFA-CAJÚA\Cajua\[VAS_CAJUA_CF_SEC_20230125.xlsx]CF PSND'!</v>
      </c>
      <c r="G779" s="6" t="s">
        <v>36</v>
      </c>
      <c r="H779" s="1"/>
      <c r="I779" s="1"/>
      <c r="J779" s="1"/>
    </row>
    <row r="780" spans="1:10" x14ac:dyDescent="0.25">
      <c r="A780" s="6" t="s">
        <v>104</v>
      </c>
      <c r="B780" s="6">
        <f>+B779+1</f>
        <v>2041</v>
      </c>
      <c r="C780" s="1" t="s">
        <v>8</v>
      </c>
      <c r="D780" s="2" t="s">
        <v>128</v>
      </c>
      <c r="E780" s="9" t="str">
        <f t="shared" si="174"/>
        <v>PSND'!</v>
      </c>
      <c r="F780" s="5" t="str">
        <f t="shared" si="175"/>
        <v>C:\Users\jaime.benazar\Quorum Business Solutions\Ecopetrol Prometeo - Documents\Planning Space Implementation\3. Analysis &amp; Design\Design\FC22\DRR Jaime\QUIFA-CAJÚA\Cajua\[VAS_CAJUA_CF_SEC_20230125.xlsx]CF PSND'!</v>
      </c>
      <c r="G780" s="6" t="s">
        <v>36</v>
      </c>
      <c r="H780" s="1"/>
      <c r="I780" s="1"/>
      <c r="J780" s="1"/>
    </row>
    <row r="781" spans="1:10" x14ac:dyDescent="0.25">
      <c r="A781" s="6" t="s">
        <v>104</v>
      </c>
      <c r="B781" s="6">
        <f t="shared" ref="B781:B782" si="178">+B780+1</f>
        <v>2042</v>
      </c>
      <c r="C781" s="1" t="s">
        <v>8</v>
      </c>
      <c r="D781" s="2" t="s">
        <v>128</v>
      </c>
      <c r="E781" s="9" t="str">
        <f t="shared" si="174"/>
        <v>PSND'!</v>
      </c>
      <c r="F781" s="5" t="str">
        <f t="shared" si="175"/>
        <v>C:\Users\jaime.benazar\Quorum Business Solutions\Ecopetrol Prometeo - Documents\Planning Space Implementation\3. Analysis &amp; Design\Design\FC22\DRR Jaime\QUIFA-CAJÚA\Cajua\[VAS_CAJUA_CF_SEC_20230125.xlsx]CF PSND'!</v>
      </c>
      <c r="G781" s="6" t="s">
        <v>36</v>
      </c>
      <c r="H781" s="1"/>
      <c r="I781" s="1"/>
      <c r="J781" s="1"/>
    </row>
    <row r="782" spans="1:10" x14ac:dyDescent="0.25">
      <c r="A782" s="6" t="s">
        <v>104</v>
      </c>
      <c r="B782" s="6">
        <f t="shared" si="178"/>
        <v>2043</v>
      </c>
      <c r="C782" s="1" t="s">
        <v>8</v>
      </c>
      <c r="D782" s="2" t="s">
        <v>128</v>
      </c>
      <c r="E782" s="9" t="str">
        <f t="shared" si="174"/>
        <v>PSND'!</v>
      </c>
      <c r="F782" s="5" t="str">
        <f t="shared" si="175"/>
        <v>C:\Users\jaime.benazar\Quorum Business Solutions\Ecopetrol Prometeo - Documents\Planning Space Implementation\3. Analysis &amp; Design\Design\FC22\DRR Jaime\QUIFA-CAJÚA\Cajua\[VAS_CAJUA_CF_SEC_20230125.xlsx]CF PSND'!</v>
      </c>
      <c r="G782" s="6" t="s">
        <v>36</v>
      </c>
      <c r="H782" s="1"/>
      <c r="I782" s="1"/>
      <c r="J782" s="1"/>
    </row>
    <row r="783" spans="1:10" x14ac:dyDescent="0.25">
      <c r="A783" s="6" t="s">
        <v>104</v>
      </c>
      <c r="B783" s="6">
        <f>+B782+1</f>
        <v>2044</v>
      </c>
      <c r="C783" s="1" t="s">
        <v>8</v>
      </c>
      <c r="D783" s="2" t="s">
        <v>128</v>
      </c>
      <c r="E783" s="9" t="str">
        <f t="shared" ref="E783:E798" si="179">_xlfn.CONCAT(A783,"'!")</f>
        <v>PSND'!</v>
      </c>
      <c r="F783" s="5" t="str">
        <f t="shared" ref="F783:F798" si="180">_xlfn.CONCAT(D783," ",E783)</f>
        <v>C:\Users\jaime.benazar\Quorum Business Solutions\Ecopetrol Prometeo - Documents\Planning Space Implementation\3. Analysis &amp; Design\Design\FC22\DRR Jaime\QUIFA-CAJÚA\Cajua\[VAS_CAJUA_CF_SEC_20230125.xlsx]CF PSND'!</v>
      </c>
      <c r="G783" s="6" t="s">
        <v>36</v>
      </c>
      <c r="H783" s="1"/>
      <c r="I783" s="1"/>
      <c r="J783" s="1"/>
    </row>
    <row r="784" spans="1:10" x14ac:dyDescent="0.25">
      <c r="A784" s="6" t="s">
        <v>104</v>
      </c>
      <c r="B784" s="6">
        <f t="shared" ref="B784:B798" si="181">+B783+1</f>
        <v>2045</v>
      </c>
      <c r="C784" s="1" t="s">
        <v>8</v>
      </c>
      <c r="D784" s="2" t="s">
        <v>128</v>
      </c>
      <c r="E784" s="9" t="str">
        <f t="shared" si="179"/>
        <v>PSND'!</v>
      </c>
      <c r="F784" s="5" t="str">
        <f t="shared" si="180"/>
        <v>C:\Users\jaime.benazar\Quorum Business Solutions\Ecopetrol Prometeo - Documents\Planning Space Implementation\3. Analysis &amp; Design\Design\FC22\DRR Jaime\QUIFA-CAJÚA\Cajua\[VAS_CAJUA_CF_SEC_20230125.xlsx]CF PSND'!</v>
      </c>
      <c r="G784" s="6" t="s">
        <v>36</v>
      </c>
      <c r="H784" s="1"/>
      <c r="I784" s="1"/>
      <c r="J784" s="1"/>
    </row>
    <row r="785" spans="1:10" x14ac:dyDescent="0.25">
      <c r="A785" s="6" t="s">
        <v>104</v>
      </c>
      <c r="B785" s="6">
        <f t="shared" si="181"/>
        <v>2046</v>
      </c>
      <c r="C785" s="1" t="s">
        <v>8</v>
      </c>
      <c r="D785" s="2" t="s">
        <v>128</v>
      </c>
      <c r="E785" s="9" t="str">
        <f t="shared" si="179"/>
        <v>PSND'!</v>
      </c>
      <c r="F785" s="5" t="str">
        <f t="shared" si="180"/>
        <v>C:\Users\jaime.benazar\Quorum Business Solutions\Ecopetrol Prometeo - Documents\Planning Space Implementation\3. Analysis &amp; Design\Design\FC22\DRR Jaime\QUIFA-CAJÚA\Cajua\[VAS_CAJUA_CF_SEC_20230125.xlsx]CF PSND'!</v>
      </c>
      <c r="G785" s="6" t="s">
        <v>36</v>
      </c>
      <c r="H785" s="1"/>
      <c r="I785" s="1"/>
      <c r="J785" s="1"/>
    </row>
    <row r="786" spans="1:10" x14ac:dyDescent="0.25">
      <c r="A786" s="6" t="s">
        <v>104</v>
      </c>
      <c r="B786" s="6">
        <f t="shared" si="181"/>
        <v>2047</v>
      </c>
      <c r="C786" s="1" t="s">
        <v>8</v>
      </c>
      <c r="D786" s="2" t="s">
        <v>128</v>
      </c>
      <c r="E786" s="9" t="str">
        <f t="shared" si="179"/>
        <v>PSND'!</v>
      </c>
      <c r="F786" s="5" t="str">
        <f t="shared" si="180"/>
        <v>C:\Users\jaime.benazar\Quorum Business Solutions\Ecopetrol Prometeo - Documents\Planning Space Implementation\3. Analysis &amp; Design\Design\FC22\DRR Jaime\QUIFA-CAJÚA\Cajua\[VAS_CAJUA_CF_SEC_20230125.xlsx]CF PSND'!</v>
      </c>
      <c r="G786" s="6" t="s">
        <v>36</v>
      </c>
      <c r="H786" s="1"/>
      <c r="I786" s="1"/>
      <c r="J786" s="1"/>
    </row>
    <row r="787" spans="1:10" x14ac:dyDescent="0.25">
      <c r="A787" s="6" t="s">
        <v>104</v>
      </c>
      <c r="B787" s="6">
        <f t="shared" si="181"/>
        <v>2048</v>
      </c>
      <c r="C787" s="1" t="s">
        <v>8</v>
      </c>
      <c r="D787" s="2" t="s">
        <v>128</v>
      </c>
      <c r="E787" s="9" t="str">
        <f t="shared" si="179"/>
        <v>PSND'!</v>
      </c>
      <c r="F787" s="5" t="str">
        <f t="shared" si="180"/>
        <v>C:\Users\jaime.benazar\Quorum Business Solutions\Ecopetrol Prometeo - Documents\Planning Space Implementation\3. Analysis &amp; Design\Design\FC22\DRR Jaime\QUIFA-CAJÚA\Cajua\[VAS_CAJUA_CF_SEC_20230125.xlsx]CF PSND'!</v>
      </c>
      <c r="G787" s="6" t="s">
        <v>36</v>
      </c>
      <c r="H787" s="1"/>
      <c r="I787" s="1"/>
      <c r="J787" s="1"/>
    </row>
    <row r="788" spans="1:10" x14ac:dyDescent="0.25">
      <c r="A788" s="6" t="s">
        <v>104</v>
      </c>
      <c r="B788" s="6">
        <f t="shared" si="181"/>
        <v>2049</v>
      </c>
      <c r="C788" s="1" t="s">
        <v>8</v>
      </c>
      <c r="D788" s="2" t="s">
        <v>128</v>
      </c>
      <c r="E788" s="9" t="str">
        <f t="shared" si="179"/>
        <v>PSND'!</v>
      </c>
      <c r="F788" s="5" t="str">
        <f t="shared" si="180"/>
        <v>C:\Users\jaime.benazar\Quorum Business Solutions\Ecopetrol Prometeo - Documents\Planning Space Implementation\3. Analysis &amp; Design\Design\FC22\DRR Jaime\QUIFA-CAJÚA\Cajua\[VAS_CAJUA_CF_SEC_20230125.xlsx]CF PSND'!</v>
      </c>
      <c r="G788" s="6" t="s">
        <v>36</v>
      </c>
      <c r="H788" s="1"/>
      <c r="I788" s="1"/>
      <c r="J788" s="1"/>
    </row>
    <row r="789" spans="1:10" x14ac:dyDescent="0.25">
      <c r="A789" s="6" t="s">
        <v>104</v>
      </c>
      <c r="B789" s="6">
        <f t="shared" si="181"/>
        <v>2050</v>
      </c>
      <c r="C789" s="1" t="s">
        <v>8</v>
      </c>
      <c r="D789" s="2" t="s">
        <v>128</v>
      </c>
      <c r="E789" s="9" t="str">
        <f t="shared" si="179"/>
        <v>PSND'!</v>
      </c>
      <c r="F789" s="5" t="str">
        <f t="shared" si="180"/>
        <v>C:\Users\jaime.benazar\Quorum Business Solutions\Ecopetrol Prometeo - Documents\Planning Space Implementation\3. Analysis &amp; Design\Design\FC22\DRR Jaime\QUIFA-CAJÚA\Cajua\[VAS_CAJUA_CF_SEC_20230125.xlsx]CF PSND'!</v>
      </c>
      <c r="G789" s="6" t="s">
        <v>36</v>
      </c>
      <c r="H789" s="1"/>
      <c r="I789" s="1"/>
      <c r="J789" s="1"/>
    </row>
    <row r="790" spans="1:10" x14ac:dyDescent="0.25">
      <c r="A790" s="6" t="s">
        <v>104</v>
      </c>
      <c r="B790" s="6">
        <f t="shared" si="181"/>
        <v>2051</v>
      </c>
      <c r="C790" s="1" t="s">
        <v>8</v>
      </c>
      <c r="D790" s="2" t="s">
        <v>128</v>
      </c>
      <c r="E790" s="9" t="str">
        <f t="shared" si="179"/>
        <v>PSND'!</v>
      </c>
      <c r="F790" s="5" t="str">
        <f t="shared" si="180"/>
        <v>C:\Users\jaime.benazar\Quorum Business Solutions\Ecopetrol Prometeo - Documents\Planning Space Implementation\3. Analysis &amp; Design\Design\FC22\DRR Jaime\QUIFA-CAJÚA\Cajua\[VAS_CAJUA_CF_SEC_20230125.xlsx]CF PSND'!</v>
      </c>
      <c r="G790" s="6" t="s">
        <v>36</v>
      </c>
      <c r="H790" s="1"/>
      <c r="I790" s="1"/>
      <c r="J790" s="1"/>
    </row>
    <row r="791" spans="1:10" x14ac:dyDescent="0.25">
      <c r="A791" s="6" t="s">
        <v>104</v>
      </c>
      <c r="B791" s="6">
        <f t="shared" si="181"/>
        <v>2052</v>
      </c>
      <c r="C791" s="1" t="s">
        <v>8</v>
      </c>
      <c r="D791" s="2" t="s">
        <v>128</v>
      </c>
      <c r="E791" s="9" t="str">
        <f t="shared" si="179"/>
        <v>PSND'!</v>
      </c>
      <c r="F791" s="5" t="str">
        <f t="shared" si="180"/>
        <v>C:\Users\jaime.benazar\Quorum Business Solutions\Ecopetrol Prometeo - Documents\Planning Space Implementation\3. Analysis &amp; Design\Design\FC22\DRR Jaime\QUIFA-CAJÚA\Cajua\[VAS_CAJUA_CF_SEC_20230125.xlsx]CF PSND'!</v>
      </c>
      <c r="G791" s="6" t="s">
        <v>36</v>
      </c>
      <c r="H791" s="1"/>
      <c r="I791" s="1"/>
      <c r="J791" s="1"/>
    </row>
    <row r="792" spans="1:10" x14ac:dyDescent="0.25">
      <c r="A792" s="6" t="s">
        <v>104</v>
      </c>
      <c r="B792" s="6">
        <f t="shared" si="181"/>
        <v>2053</v>
      </c>
      <c r="C792" s="1" t="s">
        <v>8</v>
      </c>
      <c r="D792" s="2" t="s">
        <v>128</v>
      </c>
      <c r="E792" s="9" t="str">
        <f t="shared" si="179"/>
        <v>PSND'!</v>
      </c>
      <c r="F792" s="5" t="str">
        <f t="shared" si="180"/>
        <v>C:\Users\jaime.benazar\Quorum Business Solutions\Ecopetrol Prometeo - Documents\Planning Space Implementation\3. Analysis &amp; Design\Design\FC22\DRR Jaime\QUIFA-CAJÚA\Cajua\[VAS_CAJUA_CF_SEC_20230125.xlsx]CF PSND'!</v>
      </c>
      <c r="G792" s="6" t="s">
        <v>36</v>
      </c>
      <c r="H792" s="1"/>
      <c r="I792" s="1"/>
      <c r="J792" s="1"/>
    </row>
    <row r="793" spans="1:10" x14ac:dyDescent="0.25">
      <c r="A793" s="6" t="s">
        <v>104</v>
      </c>
      <c r="B793" s="6">
        <f t="shared" si="181"/>
        <v>2054</v>
      </c>
      <c r="C793" s="1" t="s">
        <v>8</v>
      </c>
      <c r="D793" s="2" t="s">
        <v>128</v>
      </c>
      <c r="E793" s="9" t="str">
        <f t="shared" si="179"/>
        <v>PSND'!</v>
      </c>
      <c r="F793" s="5" t="str">
        <f t="shared" si="180"/>
        <v>C:\Users\jaime.benazar\Quorum Business Solutions\Ecopetrol Prometeo - Documents\Planning Space Implementation\3. Analysis &amp; Design\Design\FC22\DRR Jaime\QUIFA-CAJÚA\Cajua\[VAS_CAJUA_CF_SEC_20230125.xlsx]CF PSND'!</v>
      </c>
      <c r="G793" s="6" t="s">
        <v>36</v>
      </c>
      <c r="H793" s="1"/>
      <c r="I793" s="1"/>
      <c r="J793" s="1"/>
    </row>
    <row r="794" spans="1:10" x14ac:dyDescent="0.25">
      <c r="A794" s="6" t="s">
        <v>104</v>
      </c>
      <c r="B794" s="6">
        <f t="shared" si="181"/>
        <v>2055</v>
      </c>
      <c r="C794" s="1" t="s">
        <v>8</v>
      </c>
      <c r="D794" s="2" t="s">
        <v>128</v>
      </c>
      <c r="E794" s="9" t="str">
        <f t="shared" si="179"/>
        <v>PSND'!</v>
      </c>
      <c r="F794" s="5" t="str">
        <f t="shared" si="180"/>
        <v>C:\Users\jaime.benazar\Quorum Business Solutions\Ecopetrol Prometeo - Documents\Planning Space Implementation\3. Analysis &amp; Design\Design\FC22\DRR Jaime\QUIFA-CAJÚA\Cajua\[VAS_CAJUA_CF_SEC_20230125.xlsx]CF PSND'!</v>
      </c>
      <c r="G794" s="6" t="s">
        <v>36</v>
      </c>
      <c r="H794" s="1"/>
      <c r="I794" s="1"/>
      <c r="J794" s="1"/>
    </row>
    <row r="795" spans="1:10" x14ac:dyDescent="0.25">
      <c r="A795" s="6" t="s">
        <v>104</v>
      </c>
      <c r="B795" s="6">
        <f t="shared" si="181"/>
        <v>2056</v>
      </c>
      <c r="C795" s="1" t="s">
        <v>8</v>
      </c>
      <c r="D795" s="2" t="s">
        <v>128</v>
      </c>
      <c r="E795" s="9" t="str">
        <f t="shared" si="179"/>
        <v>PSND'!</v>
      </c>
      <c r="F795" s="5" t="str">
        <f t="shared" si="180"/>
        <v>C:\Users\jaime.benazar\Quorum Business Solutions\Ecopetrol Prometeo - Documents\Planning Space Implementation\3. Analysis &amp; Design\Design\FC22\DRR Jaime\QUIFA-CAJÚA\Cajua\[VAS_CAJUA_CF_SEC_20230125.xlsx]CF PSND'!</v>
      </c>
      <c r="G795" s="6" t="s">
        <v>36</v>
      </c>
      <c r="H795" s="1"/>
      <c r="I795" s="1"/>
      <c r="J795" s="1"/>
    </row>
    <row r="796" spans="1:10" x14ac:dyDescent="0.25">
      <c r="A796" s="6" t="s">
        <v>104</v>
      </c>
      <c r="B796" s="6">
        <f t="shared" si="181"/>
        <v>2057</v>
      </c>
      <c r="C796" s="1" t="s">
        <v>8</v>
      </c>
      <c r="D796" s="2" t="s">
        <v>128</v>
      </c>
      <c r="E796" s="9" t="str">
        <f t="shared" si="179"/>
        <v>PSND'!</v>
      </c>
      <c r="F796" s="5" t="str">
        <f t="shared" si="180"/>
        <v>C:\Users\jaime.benazar\Quorum Business Solutions\Ecopetrol Prometeo - Documents\Planning Space Implementation\3. Analysis &amp; Design\Design\FC22\DRR Jaime\QUIFA-CAJÚA\Cajua\[VAS_CAJUA_CF_SEC_20230125.xlsx]CF PSND'!</v>
      </c>
      <c r="G796" s="6" t="s">
        <v>36</v>
      </c>
      <c r="H796" s="1"/>
      <c r="I796" s="1"/>
      <c r="J796" s="1"/>
    </row>
    <row r="797" spans="1:10" x14ac:dyDescent="0.25">
      <c r="A797" s="6" t="s">
        <v>104</v>
      </c>
      <c r="B797" s="6">
        <f t="shared" si="181"/>
        <v>2058</v>
      </c>
      <c r="C797" s="1" t="s">
        <v>8</v>
      </c>
      <c r="D797" s="2" t="s">
        <v>128</v>
      </c>
      <c r="E797" s="9" t="str">
        <f t="shared" si="179"/>
        <v>PSND'!</v>
      </c>
      <c r="F797" s="5" t="str">
        <f t="shared" si="180"/>
        <v>C:\Users\jaime.benazar\Quorum Business Solutions\Ecopetrol Prometeo - Documents\Planning Space Implementation\3. Analysis &amp; Design\Design\FC22\DRR Jaime\QUIFA-CAJÚA\Cajua\[VAS_CAJUA_CF_SEC_20230125.xlsx]CF PSND'!</v>
      </c>
      <c r="G797" s="6" t="s">
        <v>36</v>
      </c>
      <c r="H797" s="1"/>
      <c r="I797" s="1"/>
      <c r="J797" s="1"/>
    </row>
    <row r="798" spans="1:10" x14ac:dyDescent="0.25">
      <c r="A798" s="6" t="s">
        <v>104</v>
      </c>
      <c r="B798" s="6">
        <f t="shared" si="181"/>
        <v>2059</v>
      </c>
      <c r="C798" s="1" t="s">
        <v>8</v>
      </c>
      <c r="D798" s="2" t="s">
        <v>128</v>
      </c>
      <c r="E798" s="9" t="str">
        <f t="shared" si="179"/>
        <v>PSND'!</v>
      </c>
      <c r="F798" s="5" t="str">
        <f t="shared" si="180"/>
        <v>C:\Users\jaime.benazar\Quorum Business Solutions\Ecopetrol Prometeo - Documents\Planning Space Implementation\3. Analysis &amp; Design\Design\FC22\DRR Jaime\QUIFA-CAJÚA\Cajua\[VAS_CAJUA_CF_SEC_20230125.xlsx]CF PSND'!</v>
      </c>
      <c r="G798" s="6" t="s">
        <v>36</v>
      </c>
      <c r="H798" s="1"/>
      <c r="I798" s="1"/>
      <c r="J798" s="1"/>
    </row>
    <row r="799" spans="1:10" x14ac:dyDescent="0.25">
      <c r="A799" s="6" t="s">
        <v>28</v>
      </c>
      <c r="B799" s="6"/>
      <c r="C799" s="1" t="s">
        <v>8</v>
      </c>
      <c r="D799" s="2"/>
      <c r="E799" s="9"/>
      <c r="F799" s="2"/>
      <c r="G799" s="6"/>
      <c r="H799" s="1"/>
      <c r="I799" s="1"/>
      <c r="J799" s="1"/>
    </row>
    <row r="800" spans="1:10" x14ac:dyDescent="0.25">
      <c r="A800" s="6" t="s">
        <v>34</v>
      </c>
      <c r="B800" s="6">
        <v>2023</v>
      </c>
      <c r="C800" s="1" t="s">
        <v>8</v>
      </c>
      <c r="D800" s="2" t="s">
        <v>128</v>
      </c>
      <c r="E800" s="9" t="str">
        <f t="shared" si="118"/>
        <v>PS'!</v>
      </c>
      <c r="F800" s="5" t="str">
        <f t="shared" ref="F800:F820" si="182">_xlfn.CONCAT(D800," ",E800)</f>
        <v>C:\Users\jaime.benazar\Quorum Business Solutions\Ecopetrol Prometeo - Documents\Planning Space Implementation\3. Analysis &amp; Design\Design\FC22\DRR Jaime\QUIFA-CAJÚA\Cajua\[VAS_CAJUA_CF_SEC_20230125.xlsx]CF PS'!</v>
      </c>
      <c r="G800" s="6" t="s">
        <v>36</v>
      </c>
      <c r="H800" s="1">
        <f>IF(A800&lt;&gt;A670,36,H670+1)</f>
        <v>36</v>
      </c>
      <c r="I800" s="1" t="str">
        <f t="shared" si="119"/>
        <v>='C:\Users\jaime.benazar\Quorum Business Solutions\Ecopetrol Prometeo - Documents\Planning Space Implementation\3. Analysis &amp; Design\Design\FC22\DRR Jaime\QUIFA-CAJÚA\Cajua\[VAS_CAJUA_CF_SEC_20230125.xlsx]CF PS'!$BT$36</v>
      </c>
      <c r="J800" s="1" t="s">
        <v>462</v>
      </c>
    </row>
    <row r="801" spans="1:10" x14ac:dyDescent="0.25">
      <c r="A801" s="6" t="s">
        <v>34</v>
      </c>
      <c r="B801" s="6">
        <f>+B800+1</f>
        <v>2024</v>
      </c>
      <c r="C801" s="1" t="s">
        <v>8</v>
      </c>
      <c r="D801" s="2" t="s">
        <v>128</v>
      </c>
      <c r="E801" s="9" t="str">
        <f t="shared" si="118"/>
        <v>PS'!</v>
      </c>
      <c r="F801" s="5" t="str">
        <f t="shared" si="182"/>
        <v>C:\Users\jaime.benazar\Quorum Business Solutions\Ecopetrol Prometeo - Documents\Planning Space Implementation\3. Analysis &amp; Design\Design\FC22\DRR Jaime\QUIFA-CAJÚA\Cajua\[VAS_CAJUA_CF_SEC_20230125.xlsx]CF PS'!</v>
      </c>
      <c r="G801" s="6" t="s">
        <v>36</v>
      </c>
      <c r="H801" s="1">
        <f t="shared" si="120"/>
        <v>37</v>
      </c>
      <c r="I801" s="1" t="str">
        <f t="shared" si="119"/>
        <v>='C:\Users\jaime.benazar\Quorum Business Solutions\Ecopetrol Prometeo - Documents\Planning Space Implementation\3. Analysis &amp; Design\Design\FC22\DRR Jaime\QUIFA-CAJÚA\Cajua\[VAS_CAJUA_CF_SEC_20230125.xlsx]CF PS'!$BT$37</v>
      </c>
      <c r="J801" s="1" t="s">
        <v>463</v>
      </c>
    </row>
    <row r="802" spans="1:10" x14ac:dyDescent="0.25">
      <c r="A802" s="6" t="s">
        <v>34</v>
      </c>
      <c r="B802" s="6">
        <f t="shared" ref="B802:B813" si="183">+B801+1</f>
        <v>2025</v>
      </c>
      <c r="C802" s="1" t="s">
        <v>8</v>
      </c>
      <c r="D802" s="2" t="s">
        <v>128</v>
      </c>
      <c r="E802" s="9" t="str">
        <f t="shared" si="118"/>
        <v>PS'!</v>
      </c>
      <c r="F802" s="5" t="str">
        <f t="shared" si="182"/>
        <v>C:\Users\jaime.benazar\Quorum Business Solutions\Ecopetrol Prometeo - Documents\Planning Space Implementation\3. Analysis &amp; Design\Design\FC22\DRR Jaime\QUIFA-CAJÚA\Cajua\[VAS_CAJUA_CF_SEC_20230125.xlsx]CF PS'!</v>
      </c>
      <c r="G802" s="6" t="s">
        <v>36</v>
      </c>
      <c r="H802" s="1">
        <f t="shared" si="120"/>
        <v>38</v>
      </c>
      <c r="I802" s="1" t="str">
        <f t="shared" si="119"/>
        <v>='C:\Users\jaime.benazar\Quorum Business Solutions\Ecopetrol Prometeo - Documents\Planning Space Implementation\3. Analysis &amp; Design\Design\FC22\DRR Jaime\QUIFA-CAJÚA\Cajua\[VAS_CAJUA_CF_SEC_20230125.xlsx]CF PS'!$BT$38</v>
      </c>
      <c r="J802" s="1" t="s">
        <v>464</v>
      </c>
    </row>
    <row r="803" spans="1:10" x14ac:dyDescent="0.25">
      <c r="A803" s="6" t="s">
        <v>34</v>
      </c>
      <c r="B803" s="6">
        <f t="shared" si="183"/>
        <v>2026</v>
      </c>
      <c r="C803" s="1" t="s">
        <v>8</v>
      </c>
      <c r="D803" s="2" t="s">
        <v>128</v>
      </c>
      <c r="E803" s="9" t="str">
        <f t="shared" si="118"/>
        <v>PS'!</v>
      </c>
      <c r="F803" s="5" t="str">
        <f t="shared" si="182"/>
        <v>C:\Users\jaime.benazar\Quorum Business Solutions\Ecopetrol Prometeo - Documents\Planning Space Implementation\3. Analysis &amp; Design\Design\FC22\DRR Jaime\QUIFA-CAJÚA\Cajua\[VAS_CAJUA_CF_SEC_20230125.xlsx]CF PS'!</v>
      </c>
      <c r="G803" s="6" t="s">
        <v>36</v>
      </c>
      <c r="H803" s="1">
        <f t="shared" si="120"/>
        <v>39</v>
      </c>
      <c r="I803" s="1" t="str">
        <f t="shared" si="119"/>
        <v>='C:\Users\jaime.benazar\Quorum Business Solutions\Ecopetrol Prometeo - Documents\Planning Space Implementation\3. Analysis &amp; Design\Design\FC22\DRR Jaime\QUIFA-CAJÚA\Cajua\[VAS_CAJUA_CF_SEC_20230125.xlsx]CF PS'!$BT$39</v>
      </c>
      <c r="J803" s="1" t="s">
        <v>465</v>
      </c>
    </row>
    <row r="804" spans="1:10" x14ac:dyDescent="0.25">
      <c r="A804" s="6" t="s">
        <v>34</v>
      </c>
      <c r="B804" s="6">
        <f t="shared" si="183"/>
        <v>2027</v>
      </c>
      <c r="C804" s="1" t="s">
        <v>8</v>
      </c>
      <c r="D804" s="2" t="s">
        <v>128</v>
      </c>
      <c r="E804" s="9" t="str">
        <f t="shared" si="118"/>
        <v>PS'!</v>
      </c>
      <c r="F804" s="5" t="str">
        <f t="shared" si="182"/>
        <v>C:\Users\jaime.benazar\Quorum Business Solutions\Ecopetrol Prometeo - Documents\Planning Space Implementation\3. Analysis &amp; Design\Design\FC22\DRR Jaime\QUIFA-CAJÚA\Cajua\[VAS_CAJUA_CF_SEC_20230125.xlsx]CF PS'!</v>
      </c>
      <c r="G804" s="6" t="s">
        <v>36</v>
      </c>
      <c r="H804" s="1">
        <f t="shared" si="120"/>
        <v>40</v>
      </c>
      <c r="I804" s="1" t="str">
        <f t="shared" si="119"/>
        <v>='C:\Users\jaime.benazar\Quorum Business Solutions\Ecopetrol Prometeo - Documents\Planning Space Implementation\3. Analysis &amp; Design\Design\FC22\DRR Jaime\QUIFA-CAJÚA\Cajua\[VAS_CAJUA_CF_SEC_20230125.xlsx]CF PS'!$BT$40</v>
      </c>
      <c r="J804" s="1" t="s">
        <v>466</v>
      </c>
    </row>
    <row r="805" spans="1:10" x14ac:dyDescent="0.25">
      <c r="A805" s="6" t="s">
        <v>34</v>
      </c>
      <c r="B805" s="6">
        <f t="shared" si="183"/>
        <v>2028</v>
      </c>
      <c r="C805" s="1" t="s">
        <v>8</v>
      </c>
      <c r="D805" s="2" t="s">
        <v>128</v>
      </c>
      <c r="E805" s="9" t="str">
        <f t="shared" si="118"/>
        <v>PS'!</v>
      </c>
      <c r="F805" s="5" t="str">
        <f t="shared" si="182"/>
        <v>C:\Users\jaime.benazar\Quorum Business Solutions\Ecopetrol Prometeo - Documents\Planning Space Implementation\3. Analysis &amp; Design\Design\FC22\DRR Jaime\QUIFA-CAJÚA\Cajua\[VAS_CAJUA_CF_SEC_20230125.xlsx]CF PS'!</v>
      </c>
      <c r="G805" s="6" t="s">
        <v>36</v>
      </c>
      <c r="H805" s="1">
        <f t="shared" si="120"/>
        <v>41</v>
      </c>
      <c r="I805" s="1" t="str">
        <f t="shared" si="119"/>
        <v>='C:\Users\jaime.benazar\Quorum Business Solutions\Ecopetrol Prometeo - Documents\Planning Space Implementation\3. Analysis &amp; Design\Design\FC22\DRR Jaime\QUIFA-CAJÚA\Cajua\[VAS_CAJUA_CF_SEC_20230125.xlsx]CF PS'!$BT$41</v>
      </c>
      <c r="J805" s="1" t="s">
        <v>467</v>
      </c>
    </row>
    <row r="806" spans="1:10" x14ac:dyDescent="0.25">
      <c r="A806" s="6" t="s">
        <v>34</v>
      </c>
      <c r="B806" s="6">
        <f t="shared" si="183"/>
        <v>2029</v>
      </c>
      <c r="C806" s="1" t="s">
        <v>8</v>
      </c>
      <c r="D806" s="2" t="s">
        <v>128</v>
      </c>
      <c r="E806" s="9" t="str">
        <f t="shared" si="118"/>
        <v>PS'!</v>
      </c>
      <c r="F806" s="5" t="str">
        <f t="shared" si="182"/>
        <v>C:\Users\jaime.benazar\Quorum Business Solutions\Ecopetrol Prometeo - Documents\Planning Space Implementation\3. Analysis &amp; Design\Design\FC22\DRR Jaime\QUIFA-CAJÚA\Cajua\[VAS_CAJUA_CF_SEC_20230125.xlsx]CF PS'!</v>
      </c>
      <c r="G806" s="6" t="s">
        <v>36</v>
      </c>
      <c r="H806" s="1">
        <f t="shared" si="120"/>
        <v>42</v>
      </c>
      <c r="I806" s="1" t="str">
        <f t="shared" si="119"/>
        <v>='C:\Users\jaime.benazar\Quorum Business Solutions\Ecopetrol Prometeo - Documents\Planning Space Implementation\3. Analysis &amp; Design\Design\FC22\DRR Jaime\QUIFA-CAJÚA\Cajua\[VAS_CAJUA_CF_SEC_20230125.xlsx]CF PS'!$BT$42</v>
      </c>
      <c r="J806" s="1" t="s">
        <v>468</v>
      </c>
    </row>
    <row r="807" spans="1:10" x14ac:dyDescent="0.25">
      <c r="A807" s="6" t="s">
        <v>34</v>
      </c>
      <c r="B807" s="6">
        <f t="shared" si="183"/>
        <v>2030</v>
      </c>
      <c r="C807" s="1" t="s">
        <v>8</v>
      </c>
      <c r="D807" s="2" t="s">
        <v>128</v>
      </c>
      <c r="E807" s="9" t="str">
        <f t="shared" si="118"/>
        <v>PS'!</v>
      </c>
      <c r="F807" s="5" t="str">
        <f t="shared" si="182"/>
        <v>C:\Users\jaime.benazar\Quorum Business Solutions\Ecopetrol Prometeo - Documents\Planning Space Implementation\3. Analysis &amp; Design\Design\FC22\DRR Jaime\QUIFA-CAJÚA\Cajua\[VAS_CAJUA_CF_SEC_20230125.xlsx]CF PS'!</v>
      </c>
      <c r="G807" s="6" t="s">
        <v>36</v>
      </c>
      <c r="H807" s="1">
        <f t="shared" si="120"/>
        <v>43</v>
      </c>
      <c r="I807" s="1" t="str">
        <f t="shared" si="119"/>
        <v>='C:\Users\jaime.benazar\Quorum Business Solutions\Ecopetrol Prometeo - Documents\Planning Space Implementation\3. Analysis &amp; Design\Design\FC22\DRR Jaime\QUIFA-CAJÚA\Cajua\[VAS_CAJUA_CF_SEC_20230125.xlsx]CF PS'!$BT$43</v>
      </c>
      <c r="J807" s="1" t="s">
        <v>469</v>
      </c>
    </row>
    <row r="808" spans="1:10" x14ac:dyDescent="0.25">
      <c r="A808" s="6" t="s">
        <v>34</v>
      </c>
      <c r="B808" s="6">
        <f t="shared" si="183"/>
        <v>2031</v>
      </c>
      <c r="C808" s="1" t="s">
        <v>8</v>
      </c>
      <c r="D808" s="2" t="s">
        <v>128</v>
      </c>
      <c r="E808" s="9" t="str">
        <f t="shared" si="118"/>
        <v>PS'!</v>
      </c>
      <c r="F808" s="5" t="str">
        <f t="shared" si="182"/>
        <v>C:\Users\jaime.benazar\Quorum Business Solutions\Ecopetrol Prometeo - Documents\Planning Space Implementation\3. Analysis &amp; Design\Design\FC22\DRR Jaime\QUIFA-CAJÚA\Cajua\[VAS_CAJUA_CF_SEC_20230125.xlsx]CF PS'!</v>
      </c>
      <c r="G808" s="6" t="s">
        <v>36</v>
      </c>
      <c r="H808" s="1">
        <f t="shared" si="120"/>
        <v>44</v>
      </c>
      <c r="I808" s="1" t="str">
        <f t="shared" si="119"/>
        <v>='C:\Users\jaime.benazar\Quorum Business Solutions\Ecopetrol Prometeo - Documents\Planning Space Implementation\3. Analysis &amp; Design\Design\FC22\DRR Jaime\QUIFA-CAJÚA\Cajua\[VAS_CAJUA_CF_SEC_20230125.xlsx]CF PS'!$BT$44</v>
      </c>
      <c r="J808" s="1" t="s">
        <v>470</v>
      </c>
    </row>
    <row r="809" spans="1:10" x14ac:dyDescent="0.25">
      <c r="A809" s="6" t="s">
        <v>34</v>
      </c>
      <c r="B809" s="6">
        <f t="shared" si="183"/>
        <v>2032</v>
      </c>
      <c r="C809" s="1" t="s">
        <v>8</v>
      </c>
      <c r="D809" s="2" t="s">
        <v>128</v>
      </c>
      <c r="E809" s="9" t="str">
        <f t="shared" si="118"/>
        <v>PS'!</v>
      </c>
      <c r="F809" s="5" t="str">
        <f t="shared" si="182"/>
        <v>C:\Users\jaime.benazar\Quorum Business Solutions\Ecopetrol Prometeo - Documents\Planning Space Implementation\3. Analysis &amp; Design\Design\FC22\DRR Jaime\QUIFA-CAJÚA\Cajua\[VAS_CAJUA_CF_SEC_20230125.xlsx]CF PS'!</v>
      </c>
      <c r="G809" s="6" t="s">
        <v>36</v>
      </c>
      <c r="H809" s="1">
        <f t="shared" si="120"/>
        <v>45</v>
      </c>
      <c r="I809" s="1" t="str">
        <f t="shared" si="119"/>
        <v>='C:\Users\jaime.benazar\Quorum Business Solutions\Ecopetrol Prometeo - Documents\Planning Space Implementation\3. Analysis &amp; Design\Design\FC22\DRR Jaime\QUIFA-CAJÚA\Cajua\[VAS_CAJUA_CF_SEC_20230125.xlsx]CF PS'!$BT$45</v>
      </c>
      <c r="J809" s="1" t="s">
        <v>471</v>
      </c>
    </row>
    <row r="810" spans="1:10" x14ac:dyDescent="0.25">
      <c r="A810" s="6" t="s">
        <v>34</v>
      </c>
      <c r="B810" s="6">
        <f t="shared" si="183"/>
        <v>2033</v>
      </c>
      <c r="C810" s="1" t="s">
        <v>8</v>
      </c>
      <c r="D810" s="2" t="s">
        <v>128</v>
      </c>
      <c r="E810" s="9" t="str">
        <f t="shared" si="118"/>
        <v>PS'!</v>
      </c>
      <c r="F810" s="5" t="str">
        <f t="shared" si="182"/>
        <v>C:\Users\jaime.benazar\Quorum Business Solutions\Ecopetrol Prometeo - Documents\Planning Space Implementation\3. Analysis &amp; Design\Design\FC22\DRR Jaime\QUIFA-CAJÚA\Cajua\[VAS_CAJUA_CF_SEC_20230125.xlsx]CF PS'!</v>
      </c>
      <c r="G810" s="6" t="s">
        <v>36</v>
      </c>
      <c r="H810" s="1">
        <f t="shared" si="120"/>
        <v>46</v>
      </c>
      <c r="I810" s="1" t="str">
        <f t="shared" si="119"/>
        <v>='C:\Users\jaime.benazar\Quorum Business Solutions\Ecopetrol Prometeo - Documents\Planning Space Implementation\3. Analysis &amp; Design\Design\FC22\DRR Jaime\QUIFA-CAJÚA\Cajua\[VAS_CAJUA_CF_SEC_20230125.xlsx]CF PS'!$BT$46</v>
      </c>
      <c r="J810" s="1" t="s">
        <v>472</v>
      </c>
    </row>
    <row r="811" spans="1:10" x14ac:dyDescent="0.25">
      <c r="A811" s="6" t="s">
        <v>34</v>
      </c>
      <c r="B811" s="6">
        <f t="shared" si="183"/>
        <v>2034</v>
      </c>
      <c r="C811" s="1" t="s">
        <v>8</v>
      </c>
      <c r="D811" s="2" t="s">
        <v>128</v>
      </c>
      <c r="E811" s="9" t="str">
        <f t="shared" si="118"/>
        <v>PS'!</v>
      </c>
      <c r="F811" s="5" t="str">
        <f t="shared" si="182"/>
        <v>C:\Users\jaime.benazar\Quorum Business Solutions\Ecopetrol Prometeo - Documents\Planning Space Implementation\3. Analysis &amp; Design\Design\FC22\DRR Jaime\QUIFA-CAJÚA\Cajua\[VAS_CAJUA_CF_SEC_20230125.xlsx]CF PS'!</v>
      </c>
      <c r="G811" s="6" t="s">
        <v>36</v>
      </c>
      <c r="H811" s="1">
        <f t="shared" si="120"/>
        <v>47</v>
      </c>
      <c r="I811" s="1" t="str">
        <f t="shared" si="119"/>
        <v>='C:\Users\jaime.benazar\Quorum Business Solutions\Ecopetrol Prometeo - Documents\Planning Space Implementation\3. Analysis &amp; Design\Design\FC22\DRR Jaime\QUIFA-CAJÚA\Cajua\[VAS_CAJUA_CF_SEC_20230125.xlsx]CF PS'!$BT$47</v>
      </c>
      <c r="J811" s="1" t="s">
        <v>473</v>
      </c>
    </row>
    <row r="812" spans="1:10" x14ac:dyDescent="0.25">
      <c r="A812" s="6" t="s">
        <v>34</v>
      </c>
      <c r="B812" s="6">
        <f t="shared" si="183"/>
        <v>2035</v>
      </c>
      <c r="C812" s="1" t="s">
        <v>8</v>
      </c>
      <c r="D812" s="2" t="s">
        <v>128</v>
      </c>
      <c r="E812" s="9" t="str">
        <f t="shared" si="118"/>
        <v>PS'!</v>
      </c>
      <c r="F812" s="5" t="str">
        <f t="shared" si="182"/>
        <v>C:\Users\jaime.benazar\Quorum Business Solutions\Ecopetrol Prometeo - Documents\Planning Space Implementation\3. Analysis &amp; Design\Design\FC22\DRR Jaime\QUIFA-CAJÚA\Cajua\[VAS_CAJUA_CF_SEC_20230125.xlsx]CF PS'!</v>
      </c>
      <c r="G812" s="6" t="s">
        <v>36</v>
      </c>
      <c r="H812" s="1">
        <f t="shared" si="120"/>
        <v>48</v>
      </c>
      <c r="I812" s="1" t="str">
        <f t="shared" si="119"/>
        <v>='C:\Users\jaime.benazar\Quorum Business Solutions\Ecopetrol Prometeo - Documents\Planning Space Implementation\3. Analysis &amp; Design\Design\FC22\DRR Jaime\QUIFA-CAJÚA\Cajua\[VAS_CAJUA_CF_SEC_20230125.xlsx]CF PS'!$BT$48</v>
      </c>
      <c r="J812" s="1" t="s">
        <v>474</v>
      </c>
    </row>
    <row r="813" spans="1:10" x14ac:dyDescent="0.25">
      <c r="A813" s="6" t="s">
        <v>34</v>
      </c>
      <c r="B813" s="6">
        <f t="shared" si="183"/>
        <v>2036</v>
      </c>
      <c r="C813" s="1" t="s">
        <v>8</v>
      </c>
      <c r="D813" s="2" t="s">
        <v>128</v>
      </c>
      <c r="E813" s="9" t="str">
        <f t="shared" si="118"/>
        <v>PS'!</v>
      </c>
      <c r="F813" s="5" t="str">
        <f t="shared" si="182"/>
        <v>C:\Users\jaime.benazar\Quorum Business Solutions\Ecopetrol Prometeo - Documents\Planning Space Implementation\3. Analysis &amp; Design\Design\FC22\DRR Jaime\QUIFA-CAJÚA\Cajua\[VAS_CAJUA_CF_SEC_20230125.xlsx]CF PS'!</v>
      </c>
      <c r="G813" s="6" t="s">
        <v>36</v>
      </c>
      <c r="H813" s="1">
        <f t="shared" si="120"/>
        <v>49</v>
      </c>
      <c r="I813" s="1" t="str">
        <f t="shared" si="119"/>
        <v>='C:\Users\jaime.benazar\Quorum Business Solutions\Ecopetrol Prometeo - Documents\Planning Space Implementation\3. Analysis &amp; Design\Design\FC22\DRR Jaime\QUIFA-CAJÚA\Cajua\[VAS_CAJUA_CF_SEC_20230125.xlsx]CF PS'!$BT$49</v>
      </c>
      <c r="J813" s="1" t="s">
        <v>475</v>
      </c>
    </row>
    <row r="814" spans="1:10" x14ac:dyDescent="0.25">
      <c r="A814" s="6" t="s">
        <v>34</v>
      </c>
      <c r="B814" s="6">
        <f>+B813+1</f>
        <v>2037</v>
      </c>
      <c r="C814" s="1" t="s">
        <v>8</v>
      </c>
      <c r="D814" s="2" t="s">
        <v>128</v>
      </c>
      <c r="E814" s="9" t="str">
        <f t="shared" si="118"/>
        <v>PS'!</v>
      </c>
      <c r="F814" s="5" t="str">
        <f t="shared" si="182"/>
        <v>C:\Users\jaime.benazar\Quorum Business Solutions\Ecopetrol Prometeo - Documents\Planning Space Implementation\3. Analysis &amp; Design\Design\FC22\DRR Jaime\QUIFA-CAJÚA\Cajua\[VAS_CAJUA_CF_SEC_20230125.xlsx]CF PS'!</v>
      </c>
      <c r="G814" s="6" t="s">
        <v>36</v>
      </c>
      <c r="H814" s="1">
        <f t="shared" si="120"/>
        <v>50</v>
      </c>
      <c r="I814" s="1" t="str">
        <f t="shared" si="119"/>
        <v>='C:\Users\jaime.benazar\Quorum Business Solutions\Ecopetrol Prometeo - Documents\Planning Space Implementation\3. Analysis &amp; Design\Design\FC22\DRR Jaime\QUIFA-CAJÚA\Cajua\[VAS_CAJUA_CF_SEC_20230125.xlsx]CF PS'!$BT$50</v>
      </c>
      <c r="J814" s="1" t="s">
        <v>476</v>
      </c>
    </row>
    <row r="815" spans="1:10" x14ac:dyDescent="0.25">
      <c r="A815" s="6" t="s">
        <v>34</v>
      </c>
      <c r="B815" s="6">
        <f t="shared" ref="B815:B817" si="184">+B814+1</f>
        <v>2038</v>
      </c>
      <c r="C815" s="1" t="s">
        <v>8</v>
      </c>
      <c r="D815" s="2" t="s">
        <v>128</v>
      </c>
      <c r="E815" s="9" t="str">
        <f t="shared" si="118"/>
        <v>PS'!</v>
      </c>
      <c r="F815" s="5" t="str">
        <f t="shared" si="182"/>
        <v>C:\Users\jaime.benazar\Quorum Business Solutions\Ecopetrol Prometeo - Documents\Planning Space Implementation\3. Analysis &amp; Design\Design\FC22\DRR Jaime\QUIFA-CAJÚA\Cajua\[VAS_CAJUA_CF_SEC_20230125.xlsx]CF PS'!</v>
      </c>
      <c r="G815" s="6" t="s">
        <v>36</v>
      </c>
      <c r="H815" s="1">
        <f t="shared" si="120"/>
        <v>51</v>
      </c>
      <c r="I815" s="1" t="str">
        <f t="shared" si="119"/>
        <v>='C:\Users\jaime.benazar\Quorum Business Solutions\Ecopetrol Prometeo - Documents\Planning Space Implementation\3. Analysis &amp; Design\Design\FC22\DRR Jaime\QUIFA-CAJÚA\Cajua\[VAS_CAJUA_CF_SEC_20230125.xlsx]CF PS'!$BT$51</v>
      </c>
      <c r="J815" s="1" t="s">
        <v>477</v>
      </c>
    </row>
    <row r="816" spans="1:10" x14ac:dyDescent="0.25">
      <c r="A816" s="6" t="s">
        <v>34</v>
      </c>
      <c r="B816" s="6">
        <f t="shared" si="184"/>
        <v>2039</v>
      </c>
      <c r="C816" s="1" t="s">
        <v>8</v>
      </c>
      <c r="D816" s="2" t="s">
        <v>128</v>
      </c>
      <c r="E816" s="9" t="str">
        <f t="shared" si="118"/>
        <v>PS'!</v>
      </c>
      <c r="F816" s="5" t="str">
        <f t="shared" si="182"/>
        <v>C:\Users\jaime.benazar\Quorum Business Solutions\Ecopetrol Prometeo - Documents\Planning Space Implementation\3. Analysis &amp; Design\Design\FC22\DRR Jaime\QUIFA-CAJÚA\Cajua\[VAS_CAJUA_CF_SEC_20230125.xlsx]CF PS'!</v>
      </c>
      <c r="G816" s="6" t="s">
        <v>36</v>
      </c>
      <c r="H816" s="1">
        <f t="shared" si="120"/>
        <v>52</v>
      </c>
      <c r="I816" s="1" t="str">
        <f t="shared" si="119"/>
        <v>='C:\Users\jaime.benazar\Quorum Business Solutions\Ecopetrol Prometeo - Documents\Planning Space Implementation\3. Analysis &amp; Design\Design\FC22\DRR Jaime\QUIFA-CAJÚA\Cajua\[VAS_CAJUA_CF_SEC_20230125.xlsx]CF PS'!$BT$52</v>
      </c>
      <c r="J816" s="1" t="s">
        <v>478</v>
      </c>
    </row>
    <row r="817" spans="1:10" x14ac:dyDescent="0.25">
      <c r="A817" s="6" t="s">
        <v>34</v>
      </c>
      <c r="B817" s="6">
        <f t="shared" si="184"/>
        <v>2040</v>
      </c>
      <c r="C817" s="1" t="s">
        <v>8</v>
      </c>
      <c r="D817" s="2" t="s">
        <v>128</v>
      </c>
      <c r="E817" s="9" t="str">
        <f t="shared" si="118"/>
        <v>PS'!</v>
      </c>
      <c r="F817" s="5" t="str">
        <f t="shared" si="182"/>
        <v>C:\Users\jaime.benazar\Quorum Business Solutions\Ecopetrol Prometeo - Documents\Planning Space Implementation\3. Analysis &amp; Design\Design\FC22\DRR Jaime\QUIFA-CAJÚA\Cajua\[VAS_CAJUA_CF_SEC_20230125.xlsx]CF PS'!</v>
      </c>
      <c r="G817" s="6" t="s">
        <v>36</v>
      </c>
      <c r="H817" s="1">
        <f t="shared" si="120"/>
        <v>53</v>
      </c>
      <c r="I817" s="1" t="str">
        <f t="shared" si="119"/>
        <v>='C:\Users\jaime.benazar\Quorum Business Solutions\Ecopetrol Prometeo - Documents\Planning Space Implementation\3. Analysis &amp; Design\Design\FC22\DRR Jaime\QUIFA-CAJÚA\Cajua\[VAS_CAJUA_CF_SEC_20230125.xlsx]CF PS'!$BT$53</v>
      </c>
      <c r="J817" s="1" t="s">
        <v>479</v>
      </c>
    </row>
    <row r="818" spans="1:10" x14ac:dyDescent="0.25">
      <c r="A818" s="6" t="s">
        <v>34</v>
      </c>
      <c r="B818" s="6">
        <f>+B817+1</f>
        <v>2041</v>
      </c>
      <c r="C818" s="1" t="s">
        <v>8</v>
      </c>
      <c r="D818" s="2" t="s">
        <v>128</v>
      </c>
      <c r="E818" s="9" t="str">
        <f t="shared" si="118"/>
        <v>PS'!</v>
      </c>
      <c r="F818" s="5" t="str">
        <f t="shared" si="182"/>
        <v>C:\Users\jaime.benazar\Quorum Business Solutions\Ecopetrol Prometeo - Documents\Planning Space Implementation\3. Analysis &amp; Design\Design\FC22\DRR Jaime\QUIFA-CAJÚA\Cajua\[VAS_CAJUA_CF_SEC_20230125.xlsx]CF PS'!</v>
      </c>
      <c r="G818" s="6" t="s">
        <v>36</v>
      </c>
      <c r="H818" s="1">
        <f t="shared" si="120"/>
        <v>54</v>
      </c>
      <c r="I818" s="1" t="str">
        <f t="shared" si="119"/>
        <v>='C:\Users\jaime.benazar\Quorum Business Solutions\Ecopetrol Prometeo - Documents\Planning Space Implementation\3. Analysis &amp; Design\Design\FC22\DRR Jaime\QUIFA-CAJÚA\Cajua\[VAS_CAJUA_CF_SEC_20230125.xlsx]CF PS'!$BT$54</v>
      </c>
      <c r="J818" s="1" t="s">
        <v>480</v>
      </c>
    </row>
    <row r="819" spans="1:10" x14ac:dyDescent="0.25">
      <c r="A819" s="6" t="s">
        <v>34</v>
      </c>
      <c r="B819" s="6">
        <f t="shared" ref="B819:B820" si="185">+B818+1</f>
        <v>2042</v>
      </c>
      <c r="C819" s="1" t="s">
        <v>8</v>
      </c>
      <c r="D819" s="2" t="s">
        <v>128</v>
      </c>
      <c r="E819" s="9" t="str">
        <f t="shared" si="118"/>
        <v>PS'!</v>
      </c>
      <c r="F819" s="5" t="str">
        <f t="shared" si="182"/>
        <v>C:\Users\jaime.benazar\Quorum Business Solutions\Ecopetrol Prometeo - Documents\Planning Space Implementation\3. Analysis &amp; Design\Design\FC22\DRR Jaime\QUIFA-CAJÚA\Cajua\[VAS_CAJUA_CF_SEC_20230125.xlsx]CF PS'!</v>
      </c>
      <c r="G819" s="6" t="s">
        <v>36</v>
      </c>
      <c r="H819" s="1">
        <f t="shared" si="120"/>
        <v>55</v>
      </c>
      <c r="I819" s="1" t="str">
        <f t="shared" si="119"/>
        <v>='C:\Users\jaime.benazar\Quorum Business Solutions\Ecopetrol Prometeo - Documents\Planning Space Implementation\3. Analysis &amp; Design\Design\FC22\DRR Jaime\QUIFA-CAJÚA\Cajua\[VAS_CAJUA_CF_SEC_20230125.xlsx]CF PS'!$BT$55</v>
      </c>
      <c r="J819" s="1" t="s">
        <v>481</v>
      </c>
    </row>
    <row r="820" spans="1:10" x14ac:dyDescent="0.25">
      <c r="A820" s="6" t="s">
        <v>34</v>
      </c>
      <c r="B820" s="6">
        <f t="shared" si="185"/>
        <v>2043</v>
      </c>
      <c r="C820" s="1" t="s">
        <v>8</v>
      </c>
      <c r="D820" s="2" t="s">
        <v>128</v>
      </c>
      <c r="E820" s="9" t="str">
        <f t="shared" si="118"/>
        <v>PS'!</v>
      </c>
      <c r="F820" s="5" t="str">
        <f t="shared" si="182"/>
        <v>C:\Users\jaime.benazar\Quorum Business Solutions\Ecopetrol Prometeo - Documents\Planning Space Implementation\3. Analysis &amp; Design\Design\FC22\DRR Jaime\QUIFA-CAJÚA\Cajua\[VAS_CAJUA_CF_SEC_20230125.xlsx]CF PS'!</v>
      </c>
      <c r="G820" s="6" t="s">
        <v>36</v>
      </c>
      <c r="H820" s="1">
        <f t="shared" si="120"/>
        <v>56</v>
      </c>
      <c r="I820" s="1" t="str">
        <f t="shared" si="119"/>
        <v>='C:\Users\jaime.benazar\Quorum Business Solutions\Ecopetrol Prometeo - Documents\Planning Space Implementation\3. Analysis &amp; Design\Design\FC22\DRR Jaime\QUIFA-CAJÚA\Cajua\[VAS_CAJUA_CF_SEC_20230125.xlsx]CF PS'!$BT$56</v>
      </c>
      <c r="J820" s="1" t="s">
        <v>482</v>
      </c>
    </row>
    <row r="821" spans="1:10" x14ac:dyDescent="0.25">
      <c r="A821" s="6" t="s">
        <v>34</v>
      </c>
      <c r="B821" s="6">
        <f>+B820+1</f>
        <v>2044</v>
      </c>
      <c r="C821" s="1" t="s">
        <v>8</v>
      </c>
      <c r="D821" s="2" t="s">
        <v>128</v>
      </c>
      <c r="E821" s="9" t="str">
        <f t="shared" ref="E821:E836" si="186">_xlfn.CONCAT(A821,"'!")</f>
        <v>PS'!</v>
      </c>
      <c r="F821" s="5" t="str">
        <f t="shared" ref="F821:F836" si="187">_xlfn.CONCAT(D821," ",E821)</f>
        <v>C:\Users\jaime.benazar\Quorum Business Solutions\Ecopetrol Prometeo - Documents\Planning Space Implementation\3. Analysis &amp; Design\Design\FC22\DRR Jaime\QUIFA-CAJÚA\Cajua\[VAS_CAJUA_CF_SEC_20230125.xlsx]CF PS'!</v>
      </c>
      <c r="G821" s="6" t="s">
        <v>36</v>
      </c>
      <c r="H821" s="1">
        <f t="shared" ref="H821:H836" si="188">IF(A821&lt;&gt;A820,36,H820+1)</f>
        <v>57</v>
      </c>
      <c r="I821" s="1" t="str">
        <f t="shared" ref="I821:I836" si="189">_xlfn.CONCAT("='",F821:H821)</f>
        <v>='C:\Users\jaime.benazar\Quorum Business Solutions\Ecopetrol Prometeo - Documents\Planning Space Implementation\3. Analysis &amp; Design\Design\FC22\DRR Jaime\QUIFA-CAJÚA\Cajua\[VAS_CAJUA_CF_SEC_20230125.xlsx]CF PS'!$BT$57</v>
      </c>
      <c r="J821" s="1" t="s">
        <v>483</v>
      </c>
    </row>
    <row r="822" spans="1:10" x14ac:dyDescent="0.25">
      <c r="A822" s="6" t="s">
        <v>34</v>
      </c>
      <c r="B822" s="6">
        <f t="shared" ref="B822:B836" si="190">+B821+1</f>
        <v>2045</v>
      </c>
      <c r="C822" s="1" t="s">
        <v>8</v>
      </c>
      <c r="D822" s="2" t="s">
        <v>128</v>
      </c>
      <c r="E822" s="9" t="str">
        <f t="shared" si="186"/>
        <v>PS'!</v>
      </c>
      <c r="F822" s="5" t="str">
        <f t="shared" si="187"/>
        <v>C:\Users\jaime.benazar\Quorum Business Solutions\Ecopetrol Prometeo - Documents\Planning Space Implementation\3. Analysis &amp; Design\Design\FC22\DRR Jaime\QUIFA-CAJÚA\Cajua\[VAS_CAJUA_CF_SEC_20230125.xlsx]CF PS'!</v>
      </c>
      <c r="G822" s="6" t="s">
        <v>36</v>
      </c>
      <c r="H822" s="1">
        <f t="shared" si="188"/>
        <v>58</v>
      </c>
      <c r="I822" s="1" t="str">
        <f t="shared" si="189"/>
        <v>='C:\Users\jaime.benazar\Quorum Business Solutions\Ecopetrol Prometeo - Documents\Planning Space Implementation\3. Analysis &amp; Design\Design\FC22\DRR Jaime\QUIFA-CAJÚA\Cajua\[VAS_CAJUA_CF_SEC_20230125.xlsx]CF PS'!$BT$58</v>
      </c>
      <c r="J822" s="1" t="s">
        <v>484</v>
      </c>
    </row>
    <row r="823" spans="1:10" x14ac:dyDescent="0.25">
      <c r="A823" s="6" t="s">
        <v>34</v>
      </c>
      <c r="B823" s="6">
        <f t="shared" si="190"/>
        <v>2046</v>
      </c>
      <c r="C823" s="1" t="s">
        <v>8</v>
      </c>
      <c r="D823" s="2" t="s">
        <v>128</v>
      </c>
      <c r="E823" s="9" t="str">
        <f t="shared" si="186"/>
        <v>PS'!</v>
      </c>
      <c r="F823" s="5" t="str">
        <f t="shared" si="187"/>
        <v>C:\Users\jaime.benazar\Quorum Business Solutions\Ecopetrol Prometeo - Documents\Planning Space Implementation\3. Analysis &amp; Design\Design\FC22\DRR Jaime\QUIFA-CAJÚA\Cajua\[VAS_CAJUA_CF_SEC_20230125.xlsx]CF PS'!</v>
      </c>
      <c r="G823" s="6" t="s">
        <v>36</v>
      </c>
      <c r="H823" s="1">
        <f t="shared" si="188"/>
        <v>59</v>
      </c>
      <c r="I823" s="1" t="str">
        <f t="shared" si="189"/>
        <v>='C:\Users\jaime.benazar\Quorum Business Solutions\Ecopetrol Prometeo - Documents\Planning Space Implementation\3. Analysis &amp; Design\Design\FC22\DRR Jaime\QUIFA-CAJÚA\Cajua\[VAS_CAJUA_CF_SEC_20230125.xlsx]CF PS'!$BT$59</v>
      </c>
      <c r="J823" s="1" t="s">
        <v>485</v>
      </c>
    </row>
    <row r="824" spans="1:10" x14ac:dyDescent="0.25">
      <c r="A824" s="6" t="s">
        <v>34</v>
      </c>
      <c r="B824" s="6">
        <f t="shared" si="190"/>
        <v>2047</v>
      </c>
      <c r="C824" s="1" t="s">
        <v>8</v>
      </c>
      <c r="D824" s="2" t="s">
        <v>128</v>
      </c>
      <c r="E824" s="9" t="str">
        <f t="shared" si="186"/>
        <v>PS'!</v>
      </c>
      <c r="F824" s="5" t="str">
        <f t="shared" si="187"/>
        <v>C:\Users\jaime.benazar\Quorum Business Solutions\Ecopetrol Prometeo - Documents\Planning Space Implementation\3. Analysis &amp; Design\Design\FC22\DRR Jaime\QUIFA-CAJÚA\Cajua\[VAS_CAJUA_CF_SEC_20230125.xlsx]CF PS'!</v>
      </c>
      <c r="G824" s="6" t="s">
        <v>36</v>
      </c>
      <c r="H824" s="1">
        <f t="shared" si="188"/>
        <v>60</v>
      </c>
      <c r="I824" s="1" t="str">
        <f t="shared" si="189"/>
        <v>='C:\Users\jaime.benazar\Quorum Business Solutions\Ecopetrol Prometeo - Documents\Planning Space Implementation\3. Analysis &amp; Design\Design\FC22\DRR Jaime\QUIFA-CAJÚA\Cajua\[VAS_CAJUA_CF_SEC_20230125.xlsx]CF PS'!$BT$60</v>
      </c>
      <c r="J824" s="1" t="s">
        <v>486</v>
      </c>
    </row>
    <row r="825" spans="1:10" x14ac:dyDescent="0.25">
      <c r="A825" s="6" t="s">
        <v>34</v>
      </c>
      <c r="B825" s="6">
        <f t="shared" si="190"/>
        <v>2048</v>
      </c>
      <c r="C825" s="1" t="s">
        <v>8</v>
      </c>
      <c r="D825" s="2" t="s">
        <v>128</v>
      </c>
      <c r="E825" s="9" t="str">
        <f t="shared" si="186"/>
        <v>PS'!</v>
      </c>
      <c r="F825" s="5" t="str">
        <f t="shared" si="187"/>
        <v>C:\Users\jaime.benazar\Quorum Business Solutions\Ecopetrol Prometeo - Documents\Planning Space Implementation\3. Analysis &amp; Design\Design\FC22\DRR Jaime\QUIFA-CAJÚA\Cajua\[VAS_CAJUA_CF_SEC_20230125.xlsx]CF PS'!</v>
      </c>
      <c r="G825" s="6" t="s">
        <v>36</v>
      </c>
      <c r="H825" s="1">
        <f t="shared" si="188"/>
        <v>61</v>
      </c>
      <c r="I825" s="1" t="str">
        <f t="shared" si="189"/>
        <v>='C:\Users\jaime.benazar\Quorum Business Solutions\Ecopetrol Prometeo - Documents\Planning Space Implementation\3. Analysis &amp; Design\Design\FC22\DRR Jaime\QUIFA-CAJÚA\Cajua\[VAS_CAJUA_CF_SEC_20230125.xlsx]CF PS'!$BT$61</v>
      </c>
      <c r="J825" s="1" t="s">
        <v>487</v>
      </c>
    </row>
    <row r="826" spans="1:10" x14ac:dyDescent="0.25">
      <c r="A826" s="6" t="s">
        <v>34</v>
      </c>
      <c r="B826" s="6">
        <f t="shared" si="190"/>
        <v>2049</v>
      </c>
      <c r="C826" s="1" t="s">
        <v>8</v>
      </c>
      <c r="D826" s="2" t="s">
        <v>128</v>
      </c>
      <c r="E826" s="9" t="str">
        <f t="shared" si="186"/>
        <v>PS'!</v>
      </c>
      <c r="F826" s="5" t="str">
        <f t="shared" si="187"/>
        <v>C:\Users\jaime.benazar\Quorum Business Solutions\Ecopetrol Prometeo - Documents\Planning Space Implementation\3. Analysis &amp; Design\Design\FC22\DRR Jaime\QUIFA-CAJÚA\Cajua\[VAS_CAJUA_CF_SEC_20230125.xlsx]CF PS'!</v>
      </c>
      <c r="G826" s="6" t="s">
        <v>36</v>
      </c>
      <c r="H826" s="1">
        <f t="shared" si="188"/>
        <v>62</v>
      </c>
      <c r="I826" s="1" t="str">
        <f t="shared" si="189"/>
        <v>='C:\Users\jaime.benazar\Quorum Business Solutions\Ecopetrol Prometeo - Documents\Planning Space Implementation\3. Analysis &amp; Design\Design\FC22\DRR Jaime\QUIFA-CAJÚA\Cajua\[VAS_CAJUA_CF_SEC_20230125.xlsx]CF PS'!$BT$62</v>
      </c>
      <c r="J826" s="1" t="s">
        <v>488</v>
      </c>
    </row>
    <row r="827" spans="1:10" x14ac:dyDescent="0.25">
      <c r="A827" s="6" t="s">
        <v>34</v>
      </c>
      <c r="B827" s="6">
        <f t="shared" si="190"/>
        <v>2050</v>
      </c>
      <c r="C827" s="1" t="s">
        <v>8</v>
      </c>
      <c r="D827" s="2" t="s">
        <v>128</v>
      </c>
      <c r="E827" s="9" t="str">
        <f t="shared" si="186"/>
        <v>PS'!</v>
      </c>
      <c r="F827" s="5" t="str">
        <f t="shared" si="187"/>
        <v>C:\Users\jaime.benazar\Quorum Business Solutions\Ecopetrol Prometeo - Documents\Planning Space Implementation\3. Analysis &amp; Design\Design\FC22\DRR Jaime\QUIFA-CAJÚA\Cajua\[VAS_CAJUA_CF_SEC_20230125.xlsx]CF PS'!</v>
      </c>
      <c r="G827" s="6" t="s">
        <v>36</v>
      </c>
      <c r="H827" s="1">
        <f t="shared" si="188"/>
        <v>63</v>
      </c>
      <c r="I827" s="1" t="str">
        <f t="shared" si="189"/>
        <v>='C:\Users\jaime.benazar\Quorum Business Solutions\Ecopetrol Prometeo - Documents\Planning Space Implementation\3. Analysis &amp; Design\Design\FC22\DRR Jaime\QUIFA-CAJÚA\Cajua\[VAS_CAJUA_CF_SEC_20230125.xlsx]CF PS'!$BT$63</v>
      </c>
      <c r="J827" s="1" t="s">
        <v>489</v>
      </c>
    </row>
    <row r="828" spans="1:10" x14ac:dyDescent="0.25">
      <c r="A828" s="6" t="s">
        <v>34</v>
      </c>
      <c r="B828" s="6">
        <f t="shared" si="190"/>
        <v>2051</v>
      </c>
      <c r="C828" s="1" t="s">
        <v>8</v>
      </c>
      <c r="D828" s="2" t="s">
        <v>128</v>
      </c>
      <c r="E828" s="9" t="str">
        <f t="shared" si="186"/>
        <v>PS'!</v>
      </c>
      <c r="F828" s="5" t="str">
        <f t="shared" si="187"/>
        <v>C:\Users\jaime.benazar\Quorum Business Solutions\Ecopetrol Prometeo - Documents\Planning Space Implementation\3. Analysis &amp; Design\Design\FC22\DRR Jaime\QUIFA-CAJÚA\Cajua\[VAS_CAJUA_CF_SEC_20230125.xlsx]CF PS'!</v>
      </c>
      <c r="G828" s="6" t="s">
        <v>36</v>
      </c>
      <c r="H828" s="1">
        <f t="shared" si="188"/>
        <v>64</v>
      </c>
      <c r="I828" s="1" t="str">
        <f t="shared" si="189"/>
        <v>='C:\Users\jaime.benazar\Quorum Business Solutions\Ecopetrol Prometeo - Documents\Planning Space Implementation\3. Analysis &amp; Design\Design\FC22\DRR Jaime\QUIFA-CAJÚA\Cajua\[VAS_CAJUA_CF_SEC_20230125.xlsx]CF PS'!$BT$64</v>
      </c>
      <c r="J828" s="1" t="s">
        <v>490</v>
      </c>
    </row>
    <row r="829" spans="1:10" x14ac:dyDescent="0.25">
      <c r="A829" s="6" t="s">
        <v>34</v>
      </c>
      <c r="B829" s="6">
        <f t="shared" si="190"/>
        <v>2052</v>
      </c>
      <c r="C829" s="1" t="s">
        <v>8</v>
      </c>
      <c r="D829" s="2" t="s">
        <v>128</v>
      </c>
      <c r="E829" s="9" t="str">
        <f t="shared" si="186"/>
        <v>PS'!</v>
      </c>
      <c r="F829" s="5" t="str">
        <f t="shared" si="187"/>
        <v>C:\Users\jaime.benazar\Quorum Business Solutions\Ecopetrol Prometeo - Documents\Planning Space Implementation\3. Analysis &amp; Design\Design\FC22\DRR Jaime\QUIFA-CAJÚA\Cajua\[VAS_CAJUA_CF_SEC_20230125.xlsx]CF PS'!</v>
      </c>
      <c r="G829" s="6" t="s">
        <v>36</v>
      </c>
      <c r="H829" s="1">
        <f t="shared" si="188"/>
        <v>65</v>
      </c>
      <c r="I829" s="1" t="str">
        <f t="shared" si="189"/>
        <v>='C:\Users\jaime.benazar\Quorum Business Solutions\Ecopetrol Prometeo - Documents\Planning Space Implementation\3. Analysis &amp; Design\Design\FC22\DRR Jaime\QUIFA-CAJÚA\Cajua\[VAS_CAJUA_CF_SEC_20230125.xlsx]CF PS'!$BT$65</v>
      </c>
      <c r="J829" s="1" t="s">
        <v>491</v>
      </c>
    </row>
    <row r="830" spans="1:10" x14ac:dyDescent="0.25">
      <c r="A830" s="6" t="s">
        <v>34</v>
      </c>
      <c r="B830" s="6">
        <f t="shared" si="190"/>
        <v>2053</v>
      </c>
      <c r="C830" s="1" t="s">
        <v>8</v>
      </c>
      <c r="D830" s="2" t="s">
        <v>128</v>
      </c>
      <c r="E830" s="9" t="str">
        <f t="shared" si="186"/>
        <v>PS'!</v>
      </c>
      <c r="F830" s="5" t="str">
        <f t="shared" si="187"/>
        <v>C:\Users\jaime.benazar\Quorum Business Solutions\Ecopetrol Prometeo - Documents\Planning Space Implementation\3. Analysis &amp; Design\Design\FC22\DRR Jaime\QUIFA-CAJÚA\Cajua\[VAS_CAJUA_CF_SEC_20230125.xlsx]CF PS'!</v>
      </c>
      <c r="G830" s="6" t="s">
        <v>36</v>
      </c>
      <c r="H830" s="1">
        <f t="shared" si="188"/>
        <v>66</v>
      </c>
      <c r="I830" s="1" t="str">
        <f t="shared" si="189"/>
        <v>='C:\Users\jaime.benazar\Quorum Business Solutions\Ecopetrol Prometeo - Documents\Planning Space Implementation\3. Analysis &amp; Design\Design\FC22\DRR Jaime\QUIFA-CAJÚA\Cajua\[VAS_CAJUA_CF_SEC_20230125.xlsx]CF PS'!$BT$66</v>
      </c>
      <c r="J830" s="1" t="s">
        <v>492</v>
      </c>
    </row>
    <row r="831" spans="1:10" x14ac:dyDescent="0.25">
      <c r="A831" s="6" t="s">
        <v>34</v>
      </c>
      <c r="B831" s="6">
        <f t="shared" si="190"/>
        <v>2054</v>
      </c>
      <c r="C831" s="1" t="s">
        <v>8</v>
      </c>
      <c r="D831" s="2" t="s">
        <v>128</v>
      </c>
      <c r="E831" s="9" t="str">
        <f t="shared" si="186"/>
        <v>PS'!</v>
      </c>
      <c r="F831" s="5" t="str">
        <f t="shared" si="187"/>
        <v>C:\Users\jaime.benazar\Quorum Business Solutions\Ecopetrol Prometeo - Documents\Planning Space Implementation\3. Analysis &amp; Design\Design\FC22\DRR Jaime\QUIFA-CAJÚA\Cajua\[VAS_CAJUA_CF_SEC_20230125.xlsx]CF PS'!</v>
      </c>
      <c r="G831" s="6" t="s">
        <v>36</v>
      </c>
      <c r="H831" s="1">
        <f t="shared" si="188"/>
        <v>67</v>
      </c>
      <c r="I831" s="1" t="str">
        <f t="shared" si="189"/>
        <v>='C:\Users\jaime.benazar\Quorum Business Solutions\Ecopetrol Prometeo - Documents\Planning Space Implementation\3. Analysis &amp; Design\Design\FC22\DRR Jaime\QUIFA-CAJÚA\Cajua\[VAS_CAJUA_CF_SEC_20230125.xlsx]CF PS'!$BT$67</v>
      </c>
      <c r="J831" s="1" t="s">
        <v>493</v>
      </c>
    </row>
    <row r="832" spans="1:10" x14ac:dyDescent="0.25">
      <c r="A832" s="6" t="s">
        <v>34</v>
      </c>
      <c r="B832" s="6">
        <f t="shared" si="190"/>
        <v>2055</v>
      </c>
      <c r="C832" s="1" t="s">
        <v>8</v>
      </c>
      <c r="D832" s="2" t="s">
        <v>128</v>
      </c>
      <c r="E832" s="9" t="str">
        <f t="shared" si="186"/>
        <v>PS'!</v>
      </c>
      <c r="F832" s="5" t="str">
        <f t="shared" si="187"/>
        <v>C:\Users\jaime.benazar\Quorum Business Solutions\Ecopetrol Prometeo - Documents\Planning Space Implementation\3. Analysis &amp; Design\Design\FC22\DRR Jaime\QUIFA-CAJÚA\Cajua\[VAS_CAJUA_CF_SEC_20230125.xlsx]CF PS'!</v>
      </c>
      <c r="G832" s="6" t="s">
        <v>36</v>
      </c>
      <c r="H832" s="1">
        <f t="shared" si="188"/>
        <v>68</v>
      </c>
      <c r="I832" s="1" t="str">
        <f t="shared" si="189"/>
        <v>='C:\Users\jaime.benazar\Quorum Business Solutions\Ecopetrol Prometeo - Documents\Planning Space Implementation\3. Analysis &amp; Design\Design\FC22\DRR Jaime\QUIFA-CAJÚA\Cajua\[VAS_CAJUA_CF_SEC_20230125.xlsx]CF PS'!$BT$68</v>
      </c>
      <c r="J832" s="1" t="s">
        <v>494</v>
      </c>
    </row>
    <row r="833" spans="1:10" x14ac:dyDescent="0.25">
      <c r="A833" s="6" t="s">
        <v>34</v>
      </c>
      <c r="B833" s="6">
        <f t="shared" si="190"/>
        <v>2056</v>
      </c>
      <c r="C833" s="1" t="s">
        <v>8</v>
      </c>
      <c r="D833" s="2" t="s">
        <v>128</v>
      </c>
      <c r="E833" s="9" t="str">
        <f t="shared" si="186"/>
        <v>PS'!</v>
      </c>
      <c r="F833" s="5" t="str">
        <f t="shared" si="187"/>
        <v>C:\Users\jaime.benazar\Quorum Business Solutions\Ecopetrol Prometeo - Documents\Planning Space Implementation\3. Analysis &amp; Design\Design\FC22\DRR Jaime\QUIFA-CAJÚA\Cajua\[VAS_CAJUA_CF_SEC_20230125.xlsx]CF PS'!</v>
      </c>
      <c r="G833" s="6" t="s">
        <v>36</v>
      </c>
      <c r="H833" s="1">
        <f t="shared" si="188"/>
        <v>69</v>
      </c>
      <c r="I833" s="1" t="str">
        <f t="shared" si="189"/>
        <v>='C:\Users\jaime.benazar\Quorum Business Solutions\Ecopetrol Prometeo - Documents\Planning Space Implementation\3. Analysis &amp; Design\Design\FC22\DRR Jaime\QUIFA-CAJÚA\Cajua\[VAS_CAJUA_CF_SEC_20230125.xlsx]CF PS'!$BT$69</v>
      </c>
      <c r="J833" s="1" t="s">
        <v>495</v>
      </c>
    </row>
    <row r="834" spans="1:10" x14ac:dyDescent="0.25">
      <c r="A834" s="6" t="s">
        <v>34</v>
      </c>
      <c r="B834" s="6">
        <f t="shared" si="190"/>
        <v>2057</v>
      </c>
      <c r="C834" s="1" t="s">
        <v>8</v>
      </c>
      <c r="D834" s="2" t="s">
        <v>128</v>
      </c>
      <c r="E834" s="9" t="str">
        <f t="shared" si="186"/>
        <v>PS'!</v>
      </c>
      <c r="F834" s="5" t="str">
        <f t="shared" si="187"/>
        <v>C:\Users\jaime.benazar\Quorum Business Solutions\Ecopetrol Prometeo - Documents\Planning Space Implementation\3. Analysis &amp; Design\Design\FC22\DRR Jaime\QUIFA-CAJÚA\Cajua\[VAS_CAJUA_CF_SEC_20230125.xlsx]CF PS'!</v>
      </c>
      <c r="G834" s="6" t="s">
        <v>36</v>
      </c>
      <c r="H834" s="1">
        <f t="shared" si="188"/>
        <v>70</v>
      </c>
      <c r="I834" s="1" t="str">
        <f t="shared" si="189"/>
        <v>='C:\Users\jaime.benazar\Quorum Business Solutions\Ecopetrol Prometeo - Documents\Planning Space Implementation\3. Analysis &amp; Design\Design\FC22\DRR Jaime\QUIFA-CAJÚA\Cajua\[VAS_CAJUA_CF_SEC_20230125.xlsx]CF PS'!$BT$70</v>
      </c>
      <c r="J834" s="1" t="s">
        <v>496</v>
      </c>
    </row>
    <row r="835" spans="1:10" x14ac:dyDescent="0.25">
      <c r="A835" s="6" t="s">
        <v>34</v>
      </c>
      <c r="B835" s="6">
        <f t="shared" si="190"/>
        <v>2058</v>
      </c>
      <c r="C835" s="1" t="s">
        <v>8</v>
      </c>
      <c r="D835" s="2" t="s">
        <v>128</v>
      </c>
      <c r="E835" s="9" t="str">
        <f t="shared" si="186"/>
        <v>PS'!</v>
      </c>
      <c r="F835" s="5" t="str">
        <f t="shared" si="187"/>
        <v>C:\Users\jaime.benazar\Quorum Business Solutions\Ecopetrol Prometeo - Documents\Planning Space Implementation\3. Analysis &amp; Design\Design\FC22\DRR Jaime\QUIFA-CAJÚA\Cajua\[VAS_CAJUA_CF_SEC_20230125.xlsx]CF PS'!</v>
      </c>
      <c r="G835" s="6" t="s">
        <v>36</v>
      </c>
      <c r="H835" s="1">
        <f t="shared" si="188"/>
        <v>71</v>
      </c>
      <c r="I835" s="1" t="str">
        <f t="shared" si="189"/>
        <v>='C:\Users\jaime.benazar\Quorum Business Solutions\Ecopetrol Prometeo - Documents\Planning Space Implementation\3. Analysis &amp; Design\Design\FC22\DRR Jaime\QUIFA-CAJÚA\Cajua\[VAS_CAJUA_CF_SEC_20230125.xlsx]CF PS'!$BT$71</v>
      </c>
      <c r="J835" s="1" t="s">
        <v>497</v>
      </c>
    </row>
    <row r="836" spans="1:10" x14ac:dyDescent="0.25">
      <c r="A836" s="6" t="s">
        <v>34</v>
      </c>
      <c r="B836" s="6">
        <f t="shared" si="190"/>
        <v>2059</v>
      </c>
      <c r="C836" s="1" t="s">
        <v>8</v>
      </c>
      <c r="D836" s="2" t="s">
        <v>128</v>
      </c>
      <c r="E836" s="9" t="str">
        <f t="shared" si="186"/>
        <v>PS'!</v>
      </c>
      <c r="F836" s="5" t="str">
        <f t="shared" si="187"/>
        <v>C:\Users\jaime.benazar\Quorum Business Solutions\Ecopetrol Prometeo - Documents\Planning Space Implementation\3. Analysis &amp; Design\Design\FC22\DRR Jaime\QUIFA-CAJÚA\Cajua\[VAS_CAJUA_CF_SEC_20230125.xlsx]CF PS'!</v>
      </c>
      <c r="G836" s="6" t="s">
        <v>36</v>
      </c>
      <c r="H836" s="1">
        <f t="shared" si="188"/>
        <v>72</v>
      </c>
      <c r="I836" s="1" t="str">
        <f t="shared" si="189"/>
        <v>='C:\Users\jaime.benazar\Quorum Business Solutions\Ecopetrol Prometeo - Documents\Planning Space Implementation\3. Analysis &amp; Design\Design\FC22\DRR Jaime\QUIFA-CAJÚA\Cajua\[VAS_CAJUA_CF_SEC_20230125.xlsx]CF PS'!$BT$72</v>
      </c>
      <c r="J836" s="1" t="s">
        <v>498</v>
      </c>
    </row>
    <row r="837" spans="1:10" x14ac:dyDescent="0.25">
      <c r="A837" s="6" t="s">
        <v>28</v>
      </c>
      <c r="B837" s="6"/>
      <c r="C837" s="1" t="s">
        <v>8</v>
      </c>
      <c r="D837" s="2"/>
      <c r="E837" s="9"/>
      <c r="F837" s="2"/>
      <c r="G837" s="6"/>
      <c r="H837" s="1"/>
      <c r="I837" s="1"/>
      <c r="J837" s="4"/>
    </row>
    <row r="838" spans="1:10" x14ac:dyDescent="0.25">
      <c r="A838" s="7" t="s">
        <v>1</v>
      </c>
      <c r="B838" s="7">
        <v>2023</v>
      </c>
      <c r="C838" s="4" t="s">
        <v>11</v>
      </c>
      <c r="D838" s="5" t="s">
        <v>128</v>
      </c>
      <c r="E838" s="10" t="str">
        <f>_xlfn.CONCAT(A838,"'!")</f>
        <v>PDP'!</v>
      </c>
      <c r="F838" s="5" t="str">
        <f t="shared" ref="F838:F858" si="191">_xlfn.CONCAT(D838," ",E838)</f>
        <v>C:\Users\jaime.benazar\Quorum Business Solutions\Ecopetrol Prometeo - Documents\Planning Space Implementation\3. Analysis &amp; Design\Design\FC22\DRR Jaime\QUIFA-CAJÚA\Cajua\[VAS_CAJUA_CF_SEC_20230125.xlsx]CF PDP'!</v>
      </c>
      <c r="G838" s="7" t="s">
        <v>37</v>
      </c>
      <c r="H838" s="4">
        <f>IF(A838&lt;&gt;A822,36,H822+1)</f>
        <v>36</v>
      </c>
      <c r="I838" s="4" t="str">
        <f>_xlfn.CONCAT("='",F838:H838)</f>
        <v>='C:\Users\jaime.benazar\Quorum Business Solutions\Ecopetrol Prometeo - Documents\Planning Space Implementation\3. Analysis &amp; Design\Design\FC22\DRR Jaime\QUIFA-CAJÚA\Cajua\[VAS_CAJUA_CF_SEC_20230125.xlsx]CF PDP'!$BW$36</v>
      </c>
      <c r="J838" s="4" t="s">
        <v>499</v>
      </c>
    </row>
    <row r="839" spans="1:10" x14ac:dyDescent="0.25">
      <c r="A839" s="7" t="s">
        <v>1</v>
      </c>
      <c r="B839" s="7">
        <f>+B838+1</f>
        <v>2024</v>
      </c>
      <c r="C839" s="4" t="s">
        <v>11</v>
      </c>
      <c r="D839" s="5" t="s">
        <v>128</v>
      </c>
      <c r="E839" s="10" t="str">
        <f t="shared" ref="E839:E932" si="192">_xlfn.CONCAT(A839,"'!")</f>
        <v>PDP'!</v>
      </c>
      <c r="F839" s="5" t="str">
        <f t="shared" si="191"/>
        <v>C:\Users\jaime.benazar\Quorum Business Solutions\Ecopetrol Prometeo - Documents\Planning Space Implementation\3. Analysis &amp; Design\Design\FC22\DRR Jaime\QUIFA-CAJÚA\Cajua\[VAS_CAJUA_CF_SEC_20230125.xlsx]CF PDP'!</v>
      </c>
      <c r="G839" s="7" t="s">
        <v>37</v>
      </c>
      <c r="H839" s="4">
        <f>IF(A839&lt;&gt;A838,36,H838+1)</f>
        <v>37</v>
      </c>
      <c r="I839" s="4" t="str">
        <f t="shared" ref="I839:I932" si="193">_xlfn.CONCAT("='",F839:H839)</f>
        <v>='C:\Users\jaime.benazar\Quorum Business Solutions\Ecopetrol Prometeo - Documents\Planning Space Implementation\3. Analysis &amp; Design\Design\FC22\DRR Jaime\QUIFA-CAJÚA\Cajua\[VAS_CAJUA_CF_SEC_20230125.xlsx]CF PDP'!$BW$37</v>
      </c>
      <c r="J839" s="4" t="s">
        <v>500</v>
      </c>
    </row>
    <row r="840" spans="1:10" x14ac:dyDescent="0.25">
      <c r="A840" s="7" t="s">
        <v>1</v>
      </c>
      <c r="B840" s="7">
        <f t="shared" ref="B840:B851" si="194">+B839+1</f>
        <v>2025</v>
      </c>
      <c r="C840" s="4" t="s">
        <v>11</v>
      </c>
      <c r="D840" s="5" t="s">
        <v>128</v>
      </c>
      <c r="E840" s="10" t="str">
        <f t="shared" si="192"/>
        <v>PDP'!</v>
      </c>
      <c r="F840" s="5" t="str">
        <f t="shared" si="191"/>
        <v>C:\Users\jaime.benazar\Quorum Business Solutions\Ecopetrol Prometeo - Documents\Planning Space Implementation\3. Analysis &amp; Design\Design\FC22\DRR Jaime\QUIFA-CAJÚA\Cajua\[VAS_CAJUA_CF_SEC_20230125.xlsx]CF PDP'!</v>
      </c>
      <c r="G840" s="7" t="s">
        <v>37</v>
      </c>
      <c r="H840" s="4">
        <f t="shared" ref="H840:H933" si="195">IF(A840&lt;&gt;A839,36,H839+1)</f>
        <v>38</v>
      </c>
      <c r="I840" s="4" t="str">
        <f t="shared" si="193"/>
        <v>='C:\Users\jaime.benazar\Quorum Business Solutions\Ecopetrol Prometeo - Documents\Planning Space Implementation\3. Analysis &amp; Design\Design\FC22\DRR Jaime\QUIFA-CAJÚA\Cajua\[VAS_CAJUA_CF_SEC_20230125.xlsx]CF PDP'!$BW$38</v>
      </c>
      <c r="J840" s="4" t="s">
        <v>501</v>
      </c>
    </row>
    <row r="841" spans="1:10" x14ac:dyDescent="0.25">
      <c r="A841" s="7" t="s">
        <v>1</v>
      </c>
      <c r="B841" s="7">
        <f t="shared" si="194"/>
        <v>2026</v>
      </c>
      <c r="C841" s="4" t="s">
        <v>11</v>
      </c>
      <c r="D841" s="5" t="s">
        <v>128</v>
      </c>
      <c r="E841" s="10" t="str">
        <f t="shared" si="192"/>
        <v>PDP'!</v>
      </c>
      <c r="F841" s="5" t="str">
        <f t="shared" si="191"/>
        <v>C:\Users\jaime.benazar\Quorum Business Solutions\Ecopetrol Prometeo - Documents\Planning Space Implementation\3. Analysis &amp; Design\Design\FC22\DRR Jaime\QUIFA-CAJÚA\Cajua\[VAS_CAJUA_CF_SEC_20230125.xlsx]CF PDP'!</v>
      </c>
      <c r="G841" s="7" t="s">
        <v>37</v>
      </c>
      <c r="H841" s="4">
        <f t="shared" si="195"/>
        <v>39</v>
      </c>
      <c r="I841" s="4" t="str">
        <f t="shared" si="193"/>
        <v>='C:\Users\jaime.benazar\Quorum Business Solutions\Ecopetrol Prometeo - Documents\Planning Space Implementation\3. Analysis &amp; Design\Design\FC22\DRR Jaime\QUIFA-CAJÚA\Cajua\[VAS_CAJUA_CF_SEC_20230125.xlsx]CF PDP'!$BW$39</v>
      </c>
      <c r="J841" s="4" t="s">
        <v>502</v>
      </c>
    </row>
    <row r="842" spans="1:10" x14ac:dyDescent="0.25">
      <c r="A842" s="7" t="s">
        <v>1</v>
      </c>
      <c r="B842" s="7">
        <f t="shared" si="194"/>
        <v>2027</v>
      </c>
      <c r="C842" s="4" t="s">
        <v>11</v>
      </c>
      <c r="D842" s="5" t="s">
        <v>128</v>
      </c>
      <c r="E842" s="10" t="str">
        <f t="shared" si="192"/>
        <v>PDP'!</v>
      </c>
      <c r="F842" s="5" t="str">
        <f t="shared" si="191"/>
        <v>C:\Users\jaime.benazar\Quorum Business Solutions\Ecopetrol Prometeo - Documents\Planning Space Implementation\3. Analysis &amp; Design\Design\FC22\DRR Jaime\QUIFA-CAJÚA\Cajua\[VAS_CAJUA_CF_SEC_20230125.xlsx]CF PDP'!</v>
      </c>
      <c r="G842" s="7" t="s">
        <v>37</v>
      </c>
      <c r="H842" s="4">
        <f t="shared" si="195"/>
        <v>40</v>
      </c>
      <c r="I842" s="4" t="str">
        <f t="shared" si="193"/>
        <v>='C:\Users\jaime.benazar\Quorum Business Solutions\Ecopetrol Prometeo - Documents\Planning Space Implementation\3. Analysis &amp; Design\Design\FC22\DRR Jaime\QUIFA-CAJÚA\Cajua\[VAS_CAJUA_CF_SEC_20230125.xlsx]CF PDP'!$BW$40</v>
      </c>
      <c r="J842" s="4" t="s">
        <v>503</v>
      </c>
    </row>
    <row r="843" spans="1:10" x14ac:dyDescent="0.25">
      <c r="A843" s="7" t="s">
        <v>1</v>
      </c>
      <c r="B843" s="7">
        <f t="shared" si="194"/>
        <v>2028</v>
      </c>
      <c r="C843" s="4" t="s">
        <v>11</v>
      </c>
      <c r="D843" s="5" t="s">
        <v>128</v>
      </c>
      <c r="E843" s="10" t="str">
        <f t="shared" si="192"/>
        <v>PDP'!</v>
      </c>
      <c r="F843" s="5" t="str">
        <f t="shared" si="191"/>
        <v>C:\Users\jaime.benazar\Quorum Business Solutions\Ecopetrol Prometeo - Documents\Planning Space Implementation\3. Analysis &amp; Design\Design\FC22\DRR Jaime\QUIFA-CAJÚA\Cajua\[VAS_CAJUA_CF_SEC_20230125.xlsx]CF PDP'!</v>
      </c>
      <c r="G843" s="7" t="s">
        <v>37</v>
      </c>
      <c r="H843" s="4">
        <f t="shared" si="195"/>
        <v>41</v>
      </c>
      <c r="I843" s="4" t="str">
        <f t="shared" si="193"/>
        <v>='C:\Users\jaime.benazar\Quorum Business Solutions\Ecopetrol Prometeo - Documents\Planning Space Implementation\3. Analysis &amp; Design\Design\FC22\DRR Jaime\QUIFA-CAJÚA\Cajua\[VAS_CAJUA_CF_SEC_20230125.xlsx]CF PDP'!$BW$41</v>
      </c>
      <c r="J843" s="4" t="s">
        <v>504</v>
      </c>
    </row>
    <row r="844" spans="1:10" x14ac:dyDescent="0.25">
      <c r="A844" s="7" t="s">
        <v>1</v>
      </c>
      <c r="B844" s="7">
        <f t="shared" si="194"/>
        <v>2029</v>
      </c>
      <c r="C844" s="4" t="s">
        <v>11</v>
      </c>
      <c r="D844" s="5" t="s">
        <v>128</v>
      </c>
      <c r="E844" s="10" t="str">
        <f t="shared" si="192"/>
        <v>PDP'!</v>
      </c>
      <c r="F844" s="5" t="str">
        <f t="shared" si="191"/>
        <v>C:\Users\jaime.benazar\Quorum Business Solutions\Ecopetrol Prometeo - Documents\Planning Space Implementation\3. Analysis &amp; Design\Design\FC22\DRR Jaime\QUIFA-CAJÚA\Cajua\[VAS_CAJUA_CF_SEC_20230125.xlsx]CF PDP'!</v>
      </c>
      <c r="G844" s="7" t="s">
        <v>37</v>
      </c>
      <c r="H844" s="4">
        <f t="shared" si="195"/>
        <v>42</v>
      </c>
      <c r="I844" s="4" t="str">
        <f t="shared" si="193"/>
        <v>='C:\Users\jaime.benazar\Quorum Business Solutions\Ecopetrol Prometeo - Documents\Planning Space Implementation\3. Analysis &amp; Design\Design\FC22\DRR Jaime\QUIFA-CAJÚA\Cajua\[VAS_CAJUA_CF_SEC_20230125.xlsx]CF PDP'!$BW$42</v>
      </c>
      <c r="J844" s="4" t="s">
        <v>505</v>
      </c>
    </row>
    <row r="845" spans="1:10" x14ac:dyDescent="0.25">
      <c r="A845" s="7" t="s">
        <v>1</v>
      </c>
      <c r="B845" s="7">
        <f t="shared" si="194"/>
        <v>2030</v>
      </c>
      <c r="C845" s="4" t="s">
        <v>11</v>
      </c>
      <c r="D845" s="5" t="s">
        <v>128</v>
      </c>
      <c r="E845" s="10" t="str">
        <f t="shared" si="192"/>
        <v>PDP'!</v>
      </c>
      <c r="F845" s="5" t="str">
        <f t="shared" si="191"/>
        <v>C:\Users\jaime.benazar\Quorum Business Solutions\Ecopetrol Prometeo - Documents\Planning Space Implementation\3. Analysis &amp; Design\Design\FC22\DRR Jaime\QUIFA-CAJÚA\Cajua\[VAS_CAJUA_CF_SEC_20230125.xlsx]CF PDP'!</v>
      </c>
      <c r="G845" s="7" t="s">
        <v>37</v>
      </c>
      <c r="H845" s="4">
        <f t="shared" si="195"/>
        <v>43</v>
      </c>
      <c r="I845" s="4" t="str">
        <f t="shared" si="193"/>
        <v>='C:\Users\jaime.benazar\Quorum Business Solutions\Ecopetrol Prometeo - Documents\Planning Space Implementation\3. Analysis &amp; Design\Design\FC22\DRR Jaime\QUIFA-CAJÚA\Cajua\[VAS_CAJUA_CF_SEC_20230125.xlsx]CF PDP'!$BW$43</v>
      </c>
      <c r="J845" s="4" t="s">
        <v>506</v>
      </c>
    </row>
    <row r="846" spans="1:10" x14ac:dyDescent="0.25">
      <c r="A846" s="7" t="s">
        <v>1</v>
      </c>
      <c r="B846" s="7">
        <f t="shared" si="194"/>
        <v>2031</v>
      </c>
      <c r="C846" s="4" t="s">
        <v>11</v>
      </c>
      <c r="D846" s="5" t="s">
        <v>128</v>
      </c>
      <c r="E846" s="10" t="str">
        <f t="shared" si="192"/>
        <v>PDP'!</v>
      </c>
      <c r="F846" s="5" t="str">
        <f t="shared" si="191"/>
        <v>C:\Users\jaime.benazar\Quorum Business Solutions\Ecopetrol Prometeo - Documents\Planning Space Implementation\3. Analysis &amp; Design\Design\FC22\DRR Jaime\QUIFA-CAJÚA\Cajua\[VAS_CAJUA_CF_SEC_20230125.xlsx]CF PDP'!</v>
      </c>
      <c r="G846" s="7" t="s">
        <v>37</v>
      </c>
      <c r="H846" s="4">
        <f t="shared" si="195"/>
        <v>44</v>
      </c>
      <c r="I846" s="4" t="str">
        <f t="shared" si="193"/>
        <v>='C:\Users\jaime.benazar\Quorum Business Solutions\Ecopetrol Prometeo - Documents\Planning Space Implementation\3. Analysis &amp; Design\Design\FC22\DRR Jaime\QUIFA-CAJÚA\Cajua\[VAS_CAJUA_CF_SEC_20230125.xlsx]CF PDP'!$BW$44</v>
      </c>
      <c r="J846" s="4" t="s">
        <v>507</v>
      </c>
    </row>
    <row r="847" spans="1:10" x14ac:dyDescent="0.25">
      <c r="A847" s="7" t="s">
        <v>1</v>
      </c>
      <c r="B847" s="7">
        <f t="shared" si="194"/>
        <v>2032</v>
      </c>
      <c r="C847" s="4" t="s">
        <v>11</v>
      </c>
      <c r="D847" s="5" t="s">
        <v>128</v>
      </c>
      <c r="E847" s="10" t="str">
        <f t="shared" si="192"/>
        <v>PDP'!</v>
      </c>
      <c r="F847" s="5" t="str">
        <f t="shared" si="191"/>
        <v>C:\Users\jaime.benazar\Quorum Business Solutions\Ecopetrol Prometeo - Documents\Planning Space Implementation\3. Analysis &amp; Design\Design\FC22\DRR Jaime\QUIFA-CAJÚA\Cajua\[VAS_CAJUA_CF_SEC_20230125.xlsx]CF PDP'!</v>
      </c>
      <c r="G847" s="7" t="s">
        <v>37</v>
      </c>
      <c r="H847" s="4">
        <f t="shared" si="195"/>
        <v>45</v>
      </c>
      <c r="I847" s="4" t="str">
        <f t="shared" si="193"/>
        <v>='C:\Users\jaime.benazar\Quorum Business Solutions\Ecopetrol Prometeo - Documents\Planning Space Implementation\3. Analysis &amp; Design\Design\FC22\DRR Jaime\QUIFA-CAJÚA\Cajua\[VAS_CAJUA_CF_SEC_20230125.xlsx]CF PDP'!$BW$45</v>
      </c>
      <c r="J847" s="4" t="s">
        <v>508</v>
      </c>
    </row>
    <row r="848" spans="1:10" x14ac:dyDescent="0.25">
      <c r="A848" s="7" t="s">
        <v>1</v>
      </c>
      <c r="B848" s="7">
        <f t="shared" si="194"/>
        <v>2033</v>
      </c>
      <c r="C848" s="4" t="s">
        <v>11</v>
      </c>
      <c r="D848" s="5" t="s">
        <v>128</v>
      </c>
      <c r="E848" s="10" t="str">
        <f t="shared" si="192"/>
        <v>PDP'!</v>
      </c>
      <c r="F848" s="5" t="str">
        <f t="shared" si="191"/>
        <v>C:\Users\jaime.benazar\Quorum Business Solutions\Ecopetrol Prometeo - Documents\Planning Space Implementation\3. Analysis &amp; Design\Design\FC22\DRR Jaime\QUIFA-CAJÚA\Cajua\[VAS_CAJUA_CF_SEC_20230125.xlsx]CF PDP'!</v>
      </c>
      <c r="G848" s="7" t="s">
        <v>37</v>
      </c>
      <c r="H848" s="4">
        <f t="shared" si="195"/>
        <v>46</v>
      </c>
      <c r="I848" s="4" t="str">
        <f t="shared" si="193"/>
        <v>='C:\Users\jaime.benazar\Quorum Business Solutions\Ecopetrol Prometeo - Documents\Planning Space Implementation\3. Analysis &amp; Design\Design\FC22\DRR Jaime\QUIFA-CAJÚA\Cajua\[VAS_CAJUA_CF_SEC_20230125.xlsx]CF PDP'!$BW$46</v>
      </c>
      <c r="J848" s="4" t="s">
        <v>509</v>
      </c>
    </row>
    <row r="849" spans="1:10" x14ac:dyDescent="0.25">
      <c r="A849" s="7" t="s">
        <v>1</v>
      </c>
      <c r="B849" s="7">
        <f t="shared" si="194"/>
        <v>2034</v>
      </c>
      <c r="C849" s="4" t="s">
        <v>11</v>
      </c>
      <c r="D849" s="5" t="s">
        <v>128</v>
      </c>
      <c r="E849" s="10" t="str">
        <f t="shared" si="192"/>
        <v>PDP'!</v>
      </c>
      <c r="F849" s="5" t="str">
        <f t="shared" si="191"/>
        <v>C:\Users\jaime.benazar\Quorum Business Solutions\Ecopetrol Prometeo - Documents\Planning Space Implementation\3. Analysis &amp; Design\Design\FC22\DRR Jaime\QUIFA-CAJÚA\Cajua\[VAS_CAJUA_CF_SEC_20230125.xlsx]CF PDP'!</v>
      </c>
      <c r="G849" s="7" t="s">
        <v>37</v>
      </c>
      <c r="H849" s="4">
        <f t="shared" si="195"/>
        <v>47</v>
      </c>
      <c r="I849" s="4" t="str">
        <f t="shared" si="193"/>
        <v>='C:\Users\jaime.benazar\Quorum Business Solutions\Ecopetrol Prometeo - Documents\Planning Space Implementation\3. Analysis &amp; Design\Design\FC22\DRR Jaime\QUIFA-CAJÚA\Cajua\[VAS_CAJUA_CF_SEC_20230125.xlsx]CF PDP'!$BW$47</v>
      </c>
      <c r="J849" s="4" t="s">
        <v>510</v>
      </c>
    </row>
    <row r="850" spans="1:10" x14ac:dyDescent="0.25">
      <c r="A850" s="7" t="s">
        <v>1</v>
      </c>
      <c r="B850" s="7">
        <f t="shared" si="194"/>
        <v>2035</v>
      </c>
      <c r="C850" s="4" t="s">
        <v>11</v>
      </c>
      <c r="D850" s="5" t="s">
        <v>128</v>
      </c>
      <c r="E850" s="10" t="str">
        <f t="shared" si="192"/>
        <v>PDP'!</v>
      </c>
      <c r="F850" s="5" t="str">
        <f t="shared" si="191"/>
        <v>C:\Users\jaime.benazar\Quorum Business Solutions\Ecopetrol Prometeo - Documents\Planning Space Implementation\3. Analysis &amp; Design\Design\FC22\DRR Jaime\QUIFA-CAJÚA\Cajua\[VAS_CAJUA_CF_SEC_20230125.xlsx]CF PDP'!</v>
      </c>
      <c r="G850" s="7" t="s">
        <v>37</v>
      </c>
      <c r="H850" s="4">
        <f t="shared" si="195"/>
        <v>48</v>
      </c>
      <c r="I850" s="4" t="str">
        <f t="shared" si="193"/>
        <v>='C:\Users\jaime.benazar\Quorum Business Solutions\Ecopetrol Prometeo - Documents\Planning Space Implementation\3. Analysis &amp; Design\Design\FC22\DRR Jaime\QUIFA-CAJÚA\Cajua\[VAS_CAJUA_CF_SEC_20230125.xlsx]CF PDP'!$BW$48</v>
      </c>
      <c r="J850" s="4" t="s">
        <v>511</v>
      </c>
    </row>
    <row r="851" spans="1:10" x14ac:dyDescent="0.25">
      <c r="A851" s="7" t="s">
        <v>1</v>
      </c>
      <c r="B851" s="7">
        <f t="shared" si="194"/>
        <v>2036</v>
      </c>
      <c r="C851" s="4" t="s">
        <v>11</v>
      </c>
      <c r="D851" s="5" t="s">
        <v>128</v>
      </c>
      <c r="E851" s="10" t="str">
        <f t="shared" si="192"/>
        <v>PDP'!</v>
      </c>
      <c r="F851" s="5" t="str">
        <f t="shared" si="191"/>
        <v>C:\Users\jaime.benazar\Quorum Business Solutions\Ecopetrol Prometeo - Documents\Planning Space Implementation\3. Analysis &amp; Design\Design\FC22\DRR Jaime\QUIFA-CAJÚA\Cajua\[VAS_CAJUA_CF_SEC_20230125.xlsx]CF PDP'!</v>
      </c>
      <c r="G851" s="7" t="s">
        <v>37</v>
      </c>
      <c r="H851" s="4">
        <f t="shared" si="195"/>
        <v>49</v>
      </c>
      <c r="I851" s="4" t="str">
        <f t="shared" si="193"/>
        <v>='C:\Users\jaime.benazar\Quorum Business Solutions\Ecopetrol Prometeo - Documents\Planning Space Implementation\3. Analysis &amp; Design\Design\FC22\DRR Jaime\QUIFA-CAJÚA\Cajua\[VAS_CAJUA_CF_SEC_20230125.xlsx]CF PDP'!$BW$49</v>
      </c>
      <c r="J851" s="4" t="s">
        <v>512</v>
      </c>
    </row>
    <row r="852" spans="1:10" x14ac:dyDescent="0.25">
      <c r="A852" s="7" t="s">
        <v>1</v>
      </c>
      <c r="B852" s="7">
        <f>+B851+1</f>
        <v>2037</v>
      </c>
      <c r="C852" s="4" t="s">
        <v>11</v>
      </c>
      <c r="D852" s="5" t="s">
        <v>128</v>
      </c>
      <c r="E852" s="10" t="str">
        <f t="shared" si="192"/>
        <v>PDP'!</v>
      </c>
      <c r="F852" s="5" t="str">
        <f t="shared" si="191"/>
        <v>C:\Users\jaime.benazar\Quorum Business Solutions\Ecopetrol Prometeo - Documents\Planning Space Implementation\3. Analysis &amp; Design\Design\FC22\DRR Jaime\QUIFA-CAJÚA\Cajua\[VAS_CAJUA_CF_SEC_20230125.xlsx]CF PDP'!</v>
      </c>
      <c r="G852" s="7" t="s">
        <v>37</v>
      </c>
      <c r="H852" s="4">
        <f t="shared" si="195"/>
        <v>50</v>
      </c>
      <c r="I852" s="4" t="str">
        <f t="shared" si="193"/>
        <v>='C:\Users\jaime.benazar\Quorum Business Solutions\Ecopetrol Prometeo - Documents\Planning Space Implementation\3. Analysis &amp; Design\Design\FC22\DRR Jaime\QUIFA-CAJÚA\Cajua\[VAS_CAJUA_CF_SEC_20230125.xlsx]CF PDP'!$BW$50</v>
      </c>
      <c r="J852" s="4" t="s">
        <v>513</v>
      </c>
    </row>
    <row r="853" spans="1:10" x14ac:dyDescent="0.25">
      <c r="A853" s="7" t="s">
        <v>1</v>
      </c>
      <c r="B853" s="7">
        <f t="shared" ref="B853:B855" si="196">+B852+1</f>
        <v>2038</v>
      </c>
      <c r="C853" s="4" t="s">
        <v>11</v>
      </c>
      <c r="D853" s="5" t="s">
        <v>128</v>
      </c>
      <c r="E853" s="10" t="str">
        <f t="shared" si="192"/>
        <v>PDP'!</v>
      </c>
      <c r="F853" s="5" t="str">
        <f t="shared" si="191"/>
        <v>C:\Users\jaime.benazar\Quorum Business Solutions\Ecopetrol Prometeo - Documents\Planning Space Implementation\3. Analysis &amp; Design\Design\FC22\DRR Jaime\QUIFA-CAJÚA\Cajua\[VAS_CAJUA_CF_SEC_20230125.xlsx]CF PDP'!</v>
      </c>
      <c r="G853" s="7" t="s">
        <v>37</v>
      </c>
      <c r="H853" s="4">
        <f t="shared" si="195"/>
        <v>51</v>
      </c>
      <c r="I853" s="4" t="str">
        <f t="shared" si="193"/>
        <v>='C:\Users\jaime.benazar\Quorum Business Solutions\Ecopetrol Prometeo - Documents\Planning Space Implementation\3. Analysis &amp; Design\Design\FC22\DRR Jaime\QUIFA-CAJÚA\Cajua\[VAS_CAJUA_CF_SEC_20230125.xlsx]CF PDP'!$BW$51</v>
      </c>
      <c r="J853" s="4" t="s">
        <v>514</v>
      </c>
    </row>
    <row r="854" spans="1:10" x14ac:dyDescent="0.25">
      <c r="A854" s="7" t="s">
        <v>1</v>
      </c>
      <c r="B854" s="7">
        <f t="shared" si="196"/>
        <v>2039</v>
      </c>
      <c r="C854" s="4" t="s">
        <v>11</v>
      </c>
      <c r="D854" s="5" t="s">
        <v>128</v>
      </c>
      <c r="E854" s="10" t="str">
        <f t="shared" si="192"/>
        <v>PDP'!</v>
      </c>
      <c r="F854" s="5" t="str">
        <f t="shared" si="191"/>
        <v>C:\Users\jaime.benazar\Quorum Business Solutions\Ecopetrol Prometeo - Documents\Planning Space Implementation\3. Analysis &amp; Design\Design\FC22\DRR Jaime\QUIFA-CAJÚA\Cajua\[VAS_CAJUA_CF_SEC_20230125.xlsx]CF PDP'!</v>
      </c>
      <c r="G854" s="7" t="s">
        <v>37</v>
      </c>
      <c r="H854" s="4">
        <f t="shared" si="195"/>
        <v>52</v>
      </c>
      <c r="I854" s="4" t="str">
        <f t="shared" si="193"/>
        <v>='C:\Users\jaime.benazar\Quorum Business Solutions\Ecopetrol Prometeo - Documents\Planning Space Implementation\3. Analysis &amp; Design\Design\FC22\DRR Jaime\QUIFA-CAJÚA\Cajua\[VAS_CAJUA_CF_SEC_20230125.xlsx]CF PDP'!$BW$52</v>
      </c>
      <c r="J854" s="4" t="s">
        <v>515</v>
      </c>
    </row>
    <row r="855" spans="1:10" x14ac:dyDescent="0.25">
      <c r="A855" s="7" t="s">
        <v>1</v>
      </c>
      <c r="B855" s="7">
        <f t="shared" si="196"/>
        <v>2040</v>
      </c>
      <c r="C855" s="4" t="s">
        <v>11</v>
      </c>
      <c r="D855" s="5" t="s">
        <v>128</v>
      </c>
      <c r="E855" s="10" t="str">
        <f t="shared" si="192"/>
        <v>PDP'!</v>
      </c>
      <c r="F855" s="5" t="str">
        <f t="shared" si="191"/>
        <v>C:\Users\jaime.benazar\Quorum Business Solutions\Ecopetrol Prometeo - Documents\Planning Space Implementation\3. Analysis &amp; Design\Design\FC22\DRR Jaime\QUIFA-CAJÚA\Cajua\[VAS_CAJUA_CF_SEC_20230125.xlsx]CF PDP'!</v>
      </c>
      <c r="G855" s="7" t="s">
        <v>37</v>
      </c>
      <c r="H855" s="4">
        <f t="shared" si="195"/>
        <v>53</v>
      </c>
      <c r="I855" s="4" t="str">
        <f t="shared" si="193"/>
        <v>='C:\Users\jaime.benazar\Quorum Business Solutions\Ecopetrol Prometeo - Documents\Planning Space Implementation\3. Analysis &amp; Design\Design\FC22\DRR Jaime\QUIFA-CAJÚA\Cajua\[VAS_CAJUA_CF_SEC_20230125.xlsx]CF PDP'!$BW$53</v>
      </c>
      <c r="J855" s="4" t="s">
        <v>516</v>
      </c>
    </row>
    <row r="856" spans="1:10" x14ac:dyDescent="0.25">
      <c r="A856" s="7" t="s">
        <v>1</v>
      </c>
      <c r="B856" s="7">
        <f>+B855+1</f>
        <v>2041</v>
      </c>
      <c r="C856" s="4" t="s">
        <v>11</v>
      </c>
      <c r="D856" s="5" t="s">
        <v>128</v>
      </c>
      <c r="E856" s="10" t="str">
        <f t="shared" si="192"/>
        <v>PDP'!</v>
      </c>
      <c r="F856" s="5" t="str">
        <f t="shared" si="191"/>
        <v>C:\Users\jaime.benazar\Quorum Business Solutions\Ecopetrol Prometeo - Documents\Planning Space Implementation\3. Analysis &amp; Design\Design\FC22\DRR Jaime\QUIFA-CAJÚA\Cajua\[VAS_CAJUA_CF_SEC_20230125.xlsx]CF PDP'!</v>
      </c>
      <c r="G856" s="7" t="s">
        <v>37</v>
      </c>
      <c r="H856" s="4">
        <f t="shared" si="195"/>
        <v>54</v>
      </c>
      <c r="I856" s="4" t="str">
        <f t="shared" si="193"/>
        <v>='C:\Users\jaime.benazar\Quorum Business Solutions\Ecopetrol Prometeo - Documents\Planning Space Implementation\3. Analysis &amp; Design\Design\FC22\DRR Jaime\QUIFA-CAJÚA\Cajua\[VAS_CAJUA_CF_SEC_20230125.xlsx]CF PDP'!$BW$54</v>
      </c>
      <c r="J856" s="4" t="s">
        <v>517</v>
      </c>
    </row>
    <row r="857" spans="1:10" x14ac:dyDescent="0.25">
      <c r="A857" s="7" t="s">
        <v>1</v>
      </c>
      <c r="B857" s="7">
        <f t="shared" ref="B857:B858" si="197">+B856+1</f>
        <v>2042</v>
      </c>
      <c r="C857" s="4" t="s">
        <v>11</v>
      </c>
      <c r="D857" s="5" t="s">
        <v>128</v>
      </c>
      <c r="E857" s="10" t="str">
        <f t="shared" si="192"/>
        <v>PDP'!</v>
      </c>
      <c r="F857" s="5" t="str">
        <f t="shared" si="191"/>
        <v>C:\Users\jaime.benazar\Quorum Business Solutions\Ecopetrol Prometeo - Documents\Planning Space Implementation\3. Analysis &amp; Design\Design\FC22\DRR Jaime\QUIFA-CAJÚA\Cajua\[VAS_CAJUA_CF_SEC_20230125.xlsx]CF PDP'!</v>
      </c>
      <c r="G857" s="7" t="s">
        <v>37</v>
      </c>
      <c r="H857" s="4">
        <f t="shared" si="195"/>
        <v>55</v>
      </c>
      <c r="I857" s="4" t="str">
        <f t="shared" si="193"/>
        <v>='C:\Users\jaime.benazar\Quorum Business Solutions\Ecopetrol Prometeo - Documents\Planning Space Implementation\3. Analysis &amp; Design\Design\FC22\DRR Jaime\QUIFA-CAJÚA\Cajua\[VAS_CAJUA_CF_SEC_20230125.xlsx]CF PDP'!$BW$55</v>
      </c>
      <c r="J857" s="4" t="s">
        <v>518</v>
      </c>
    </row>
    <row r="858" spans="1:10" x14ac:dyDescent="0.25">
      <c r="A858" s="7" t="s">
        <v>1</v>
      </c>
      <c r="B858" s="7">
        <f t="shared" si="197"/>
        <v>2043</v>
      </c>
      <c r="C858" s="4" t="s">
        <v>11</v>
      </c>
      <c r="D858" s="5" t="s">
        <v>128</v>
      </c>
      <c r="E858" s="10" t="str">
        <f t="shared" si="192"/>
        <v>PDP'!</v>
      </c>
      <c r="F858" s="5" t="str">
        <f t="shared" si="191"/>
        <v>C:\Users\jaime.benazar\Quorum Business Solutions\Ecopetrol Prometeo - Documents\Planning Space Implementation\3. Analysis &amp; Design\Design\FC22\DRR Jaime\QUIFA-CAJÚA\Cajua\[VAS_CAJUA_CF_SEC_20230125.xlsx]CF PDP'!</v>
      </c>
      <c r="G858" s="7" t="s">
        <v>37</v>
      </c>
      <c r="H858" s="4">
        <f t="shared" si="195"/>
        <v>56</v>
      </c>
      <c r="I858" s="4" t="str">
        <f t="shared" si="193"/>
        <v>='C:\Users\jaime.benazar\Quorum Business Solutions\Ecopetrol Prometeo - Documents\Planning Space Implementation\3. Analysis &amp; Design\Design\FC22\DRR Jaime\QUIFA-CAJÚA\Cajua\[VAS_CAJUA_CF_SEC_20230125.xlsx]CF PDP'!$BW$56</v>
      </c>
      <c r="J858" s="4" t="s">
        <v>519</v>
      </c>
    </row>
    <row r="859" spans="1:10" x14ac:dyDescent="0.25">
      <c r="A859" s="7" t="s">
        <v>1</v>
      </c>
      <c r="B859" s="7">
        <f>+B858+1</f>
        <v>2044</v>
      </c>
      <c r="C859" s="4" t="s">
        <v>11</v>
      </c>
      <c r="D859" s="5" t="s">
        <v>128</v>
      </c>
      <c r="E859" s="10" t="str">
        <f t="shared" ref="E859:E874" si="198">_xlfn.CONCAT(A859,"'!")</f>
        <v>PDP'!</v>
      </c>
      <c r="F859" s="5" t="str">
        <f t="shared" ref="F859:F874" si="199">_xlfn.CONCAT(D859," ",E859)</f>
        <v>C:\Users\jaime.benazar\Quorum Business Solutions\Ecopetrol Prometeo - Documents\Planning Space Implementation\3. Analysis &amp; Design\Design\FC22\DRR Jaime\QUIFA-CAJÚA\Cajua\[VAS_CAJUA_CF_SEC_20230125.xlsx]CF PDP'!</v>
      </c>
      <c r="G859" s="7" t="s">
        <v>37</v>
      </c>
      <c r="H859" s="4">
        <f t="shared" ref="H859:H874" si="200">IF(A859&lt;&gt;A858,36,H858+1)</f>
        <v>57</v>
      </c>
      <c r="I859" s="4" t="str">
        <f t="shared" ref="I859:I874" si="201">_xlfn.CONCAT("='",F859:H859)</f>
        <v>='C:\Users\jaime.benazar\Quorum Business Solutions\Ecopetrol Prometeo - Documents\Planning Space Implementation\3. Analysis &amp; Design\Design\FC22\DRR Jaime\QUIFA-CAJÚA\Cajua\[VAS_CAJUA_CF_SEC_20230125.xlsx]CF PDP'!$BW$57</v>
      </c>
      <c r="J859" s="4" t="s">
        <v>520</v>
      </c>
    </row>
    <row r="860" spans="1:10" x14ac:dyDescent="0.25">
      <c r="A860" s="7" t="s">
        <v>1</v>
      </c>
      <c r="B860" s="7">
        <f t="shared" ref="B860:B874" si="202">+B859+1</f>
        <v>2045</v>
      </c>
      <c r="C860" s="4" t="s">
        <v>11</v>
      </c>
      <c r="D860" s="5" t="s">
        <v>128</v>
      </c>
      <c r="E860" s="10" t="str">
        <f t="shared" si="198"/>
        <v>PDP'!</v>
      </c>
      <c r="F860" s="5" t="str">
        <f t="shared" si="199"/>
        <v>C:\Users\jaime.benazar\Quorum Business Solutions\Ecopetrol Prometeo - Documents\Planning Space Implementation\3. Analysis &amp; Design\Design\FC22\DRR Jaime\QUIFA-CAJÚA\Cajua\[VAS_CAJUA_CF_SEC_20230125.xlsx]CF PDP'!</v>
      </c>
      <c r="G860" s="7" t="s">
        <v>37</v>
      </c>
      <c r="H860" s="4">
        <f t="shared" si="200"/>
        <v>58</v>
      </c>
      <c r="I860" s="4" t="str">
        <f t="shared" si="201"/>
        <v>='C:\Users\jaime.benazar\Quorum Business Solutions\Ecopetrol Prometeo - Documents\Planning Space Implementation\3. Analysis &amp; Design\Design\FC22\DRR Jaime\QUIFA-CAJÚA\Cajua\[VAS_CAJUA_CF_SEC_20230125.xlsx]CF PDP'!$BW$58</v>
      </c>
      <c r="J860" s="4" t="s">
        <v>521</v>
      </c>
    </row>
    <row r="861" spans="1:10" x14ac:dyDescent="0.25">
      <c r="A861" s="7" t="s">
        <v>1</v>
      </c>
      <c r="B861" s="7">
        <f t="shared" si="202"/>
        <v>2046</v>
      </c>
      <c r="C861" s="4" t="s">
        <v>11</v>
      </c>
      <c r="D861" s="5" t="s">
        <v>128</v>
      </c>
      <c r="E861" s="10" t="str">
        <f t="shared" si="198"/>
        <v>PDP'!</v>
      </c>
      <c r="F861" s="5" t="str">
        <f t="shared" si="199"/>
        <v>C:\Users\jaime.benazar\Quorum Business Solutions\Ecopetrol Prometeo - Documents\Planning Space Implementation\3. Analysis &amp; Design\Design\FC22\DRR Jaime\QUIFA-CAJÚA\Cajua\[VAS_CAJUA_CF_SEC_20230125.xlsx]CF PDP'!</v>
      </c>
      <c r="G861" s="7" t="s">
        <v>37</v>
      </c>
      <c r="H861" s="4">
        <f t="shared" si="200"/>
        <v>59</v>
      </c>
      <c r="I861" s="4" t="str">
        <f t="shared" si="201"/>
        <v>='C:\Users\jaime.benazar\Quorum Business Solutions\Ecopetrol Prometeo - Documents\Planning Space Implementation\3. Analysis &amp; Design\Design\FC22\DRR Jaime\QUIFA-CAJÚA\Cajua\[VAS_CAJUA_CF_SEC_20230125.xlsx]CF PDP'!$BW$59</v>
      </c>
      <c r="J861" s="4" t="s">
        <v>522</v>
      </c>
    </row>
    <row r="862" spans="1:10" x14ac:dyDescent="0.25">
      <c r="A862" s="7" t="s">
        <v>1</v>
      </c>
      <c r="B862" s="7">
        <f t="shared" si="202"/>
        <v>2047</v>
      </c>
      <c r="C862" s="4" t="s">
        <v>11</v>
      </c>
      <c r="D862" s="5" t="s">
        <v>128</v>
      </c>
      <c r="E862" s="10" t="str">
        <f t="shared" si="198"/>
        <v>PDP'!</v>
      </c>
      <c r="F862" s="5" t="str">
        <f t="shared" si="199"/>
        <v>C:\Users\jaime.benazar\Quorum Business Solutions\Ecopetrol Prometeo - Documents\Planning Space Implementation\3. Analysis &amp; Design\Design\FC22\DRR Jaime\QUIFA-CAJÚA\Cajua\[VAS_CAJUA_CF_SEC_20230125.xlsx]CF PDP'!</v>
      </c>
      <c r="G862" s="7" t="s">
        <v>37</v>
      </c>
      <c r="H862" s="4">
        <f t="shared" si="200"/>
        <v>60</v>
      </c>
      <c r="I862" s="4" t="str">
        <f t="shared" si="201"/>
        <v>='C:\Users\jaime.benazar\Quorum Business Solutions\Ecopetrol Prometeo - Documents\Planning Space Implementation\3. Analysis &amp; Design\Design\FC22\DRR Jaime\QUIFA-CAJÚA\Cajua\[VAS_CAJUA_CF_SEC_20230125.xlsx]CF PDP'!$BW$60</v>
      </c>
      <c r="J862" s="4" t="s">
        <v>523</v>
      </c>
    </row>
    <row r="863" spans="1:10" x14ac:dyDescent="0.25">
      <c r="A863" s="7" t="s">
        <v>1</v>
      </c>
      <c r="B863" s="7">
        <f t="shared" si="202"/>
        <v>2048</v>
      </c>
      <c r="C863" s="4" t="s">
        <v>11</v>
      </c>
      <c r="D863" s="5" t="s">
        <v>128</v>
      </c>
      <c r="E863" s="10" t="str">
        <f t="shared" si="198"/>
        <v>PDP'!</v>
      </c>
      <c r="F863" s="5" t="str">
        <f t="shared" si="199"/>
        <v>C:\Users\jaime.benazar\Quorum Business Solutions\Ecopetrol Prometeo - Documents\Planning Space Implementation\3. Analysis &amp; Design\Design\FC22\DRR Jaime\QUIFA-CAJÚA\Cajua\[VAS_CAJUA_CF_SEC_20230125.xlsx]CF PDP'!</v>
      </c>
      <c r="G863" s="7" t="s">
        <v>37</v>
      </c>
      <c r="H863" s="4">
        <f t="shared" si="200"/>
        <v>61</v>
      </c>
      <c r="I863" s="4" t="str">
        <f t="shared" si="201"/>
        <v>='C:\Users\jaime.benazar\Quorum Business Solutions\Ecopetrol Prometeo - Documents\Planning Space Implementation\3. Analysis &amp; Design\Design\FC22\DRR Jaime\QUIFA-CAJÚA\Cajua\[VAS_CAJUA_CF_SEC_20230125.xlsx]CF PDP'!$BW$61</v>
      </c>
      <c r="J863" s="4" t="s">
        <v>524</v>
      </c>
    </row>
    <row r="864" spans="1:10" x14ac:dyDescent="0.25">
      <c r="A864" s="7" t="s">
        <v>1</v>
      </c>
      <c r="B864" s="7">
        <f t="shared" si="202"/>
        <v>2049</v>
      </c>
      <c r="C864" s="4" t="s">
        <v>11</v>
      </c>
      <c r="D864" s="5" t="s">
        <v>128</v>
      </c>
      <c r="E864" s="10" t="str">
        <f t="shared" si="198"/>
        <v>PDP'!</v>
      </c>
      <c r="F864" s="5" t="str">
        <f t="shared" si="199"/>
        <v>C:\Users\jaime.benazar\Quorum Business Solutions\Ecopetrol Prometeo - Documents\Planning Space Implementation\3. Analysis &amp; Design\Design\FC22\DRR Jaime\QUIFA-CAJÚA\Cajua\[VAS_CAJUA_CF_SEC_20230125.xlsx]CF PDP'!</v>
      </c>
      <c r="G864" s="7" t="s">
        <v>37</v>
      </c>
      <c r="H864" s="4">
        <f t="shared" si="200"/>
        <v>62</v>
      </c>
      <c r="I864" s="4" t="str">
        <f t="shared" si="201"/>
        <v>='C:\Users\jaime.benazar\Quorum Business Solutions\Ecopetrol Prometeo - Documents\Planning Space Implementation\3. Analysis &amp; Design\Design\FC22\DRR Jaime\QUIFA-CAJÚA\Cajua\[VAS_CAJUA_CF_SEC_20230125.xlsx]CF PDP'!$BW$62</v>
      </c>
      <c r="J864" s="4" t="s">
        <v>525</v>
      </c>
    </row>
    <row r="865" spans="1:10" x14ac:dyDescent="0.25">
      <c r="A865" s="7" t="s">
        <v>1</v>
      </c>
      <c r="B865" s="7">
        <f t="shared" si="202"/>
        <v>2050</v>
      </c>
      <c r="C865" s="4" t="s">
        <v>11</v>
      </c>
      <c r="D865" s="5" t="s">
        <v>128</v>
      </c>
      <c r="E865" s="10" t="str">
        <f t="shared" si="198"/>
        <v>PDP'!</v>
      </c>
      <c r="F865" s="5" t="str">
        <f t="shared" si="199"/>
        <v>C:\Users\jaime.benazar\Quorum Business Solutions\Ecopetrol Prometeo - Documents\Planning Space Implementation\3. Analysis &amp; Design\Design\FC22\DRR Jaime\QUIFA-CAJÚA\Cajua\[VAS_CAJUA_CF_SEC_20230125.xlsx]CF PDP'!</v>
      </c>
      <c r="G865" s="7" t="s">
        <v>37</v>
      </c>
      <c r="H865" s="4">
        <f t="shared" si="200"/>
        <v>63</v>
      </c>
      <c r="I865" s="4" t="str">
        <f t="shared" si="201"/>
        <v>='C:\Users\jaime.benazar\Quorum Business Solutions\Ecopetrol Prometeo - Documents\Planning Space Implementation\3. Analysis &amp; Design\Design\FC22\DRR Jaime\QUIFA-CAJÚA\Cajua\[VAS_CAJUA_CF_SEC_20230125.xlsx]CF PDP'!$BW$63</v>
      </c>
      <c r="J865" s="4" t="s">
        <v>526</v>
      </c>
    </row>
    <row r="866" spans="1:10" x14ac:dyDescent="0.25">
      <c r="A866" s="7" t="s">
        <v>1</v>
      </c>
      <c r="B866" s="7">
        <f t="shared" si="202"/>
        <v>2051</v>
      </c>
      <c r="C866" s="4" t="s">
        <v>11</v>
      </c>
      <c r="D866" s="5" t="s">
        <v>128</v>
      </c>
      <c r="E866" s="10" t="str">
        <f t="shared" si="198"/>
        <v>PDP'!</v>
      </c>
      <c r="F866" s="5" t="str">
        <f t="shared" si="199"/>
        <v>C:\Users\jaime.benazar\Quorum Business Solutions\Ecopetrol Prometeo - Documents\Planning Space Implementation\3. Analysis &amp; Design\Design\FC22\DRR Jaime\QUIFA-CAJÚA\Cajua\[VAS_CAJUA_CF_SEC_20230125.xlsx]CF PDP'!</v>
      </c>
      <c r="G866" s="7" t="s">
        <v>37</v>
      </c>
      <c r="H866" s="4">
        <f t="shared" si="200"/>
        <v>64</v>
      </c>
      <c r="I866" s="4" t="str">
        <f t="shared" si="201"/>
        <v>='C:\Users\jaime.benazar\Quorum Business Solutions\Ecopetrol Prometeo - Documents\Planning Space Implementation\3. Analysis &amp; Design\Design\FC22\DRR Jaime\QUIFA-CAJÚA\Cajua\[VAS_CAJUA_CF_SEC_20230125.xlsx]CF PDP'!$BW$64</v>
      </c>
      <c r="J866" s="4" t="s">
        <v>527</v>
      </c>
    </row>
    <row r="867" spans="1:10" x14ac:dyDescent="0.25">
      <c r="A867" s="7" t="s">
        <v>1</v>
      </c>
      <c r="B867" s="7">
        <f t="shared" si="202"/>
        <v>2052</v>
      </c>
      <c r="C867" s="4" t="s">
        <v>11</v>
      </c>
      <c r="D867" s="5" t="s">
        <v>128</v>
      </c>
      <c r="E867" s="10" t="str">
        <f t="shared" si="198"/>
        <v>PDP'!</v>
      </c>
      <c r="F867" s="5" t="str">
        <f t="shared" si="199"/>
        <v>C:\Users\jaime.benazar\Quorum Business Solutions\Ecopetrol Prometeo - Documents\Planning Space Implementation\3. Analysis &amp; Design\Design\FC22\DRR Jaime\QUIFA-CAJÚA\Cajua\[VAS_CAJUA_CF_SEC_20230125.xlsx]CF PDP'!</v>
      </c>
      <c r="G867" s="7" t="s">
        <v>37</v>
      </c>
      <c r="H867" s="4">
        <f t="shared" si="200"/>
        <v>65</v>
      </c>
      <c r="I867" s="4" t="str">
        <f t="shared" si="201"/>
        <v>='C:\Users\jaime.benazar\Quorum Business Solutions\Ecopetrol Prometeo - Documents\Planning Space Implementation\3. Analysis &amp; Design\Design\FC22\DRR Jaime\QUIFA-CAJÚA\Cajua\[VAS_CAJUA_CF_SEC_20230125.xlsx]CF PDP'!$BW$65</v>
      </c>
      <c r="J867" s="4" t="s">
        <v>528</v>
      </c>
    </row>
    <row r="868" spans="1:10" x14ac:dyDescent="0.25">
      <c r="A868" s="7" t="s">
        <v>1</v>
      </c>
      <c r="B868" s="7">
        <f t="shared" si="202"/>
        <v>2053</v>
      </c>
      <c r="C868" s="4" t="s">
        <v>11</v>
      </c>
      <c r="D868" s="5" t="s">
        <v>128</v>
      </c>
      <c r="E868" s="10" t="str">
        <f t="shared" si="198"/>
        <v>PDP'!</v>
      </c>
      <c r="F868" s="5" t="str">
        <f t="shared" si="199"/>
        <v>C:\Users\jaime.benazar\Quorum Business Solutions\Ecopetrol Prometeo - Documents\Planning Space Implementation\3. Analysis &amp; Design\Design\FC22\DRR Jaime\QUIFA-CAJÚA\Cajua\[VAS_CAJUA_CF_SEC_20230125.xlsx]CF PDP'!</v>
      </c>
      <c r="G868" s="7" t="s">
        <v>37</v>
      </c>
      <c r="H868" s="4">
        <f t="shared" si="200"/>
        <v>66</v>
      </c>
      <c r="I868" s="4" t="str">
        <f t="shared" si="201"/>
        <v>='C:\Users\jaime.benazar\Quorum Business Solutions\Ecopetrol Prometeo - Documents\Planning Space Implementation\3. Analysis &amp; Design\Design\FC22\DRR Jaime\QUIFA-CAJÚA\Cajua\[VAS_CAJUA_CF_SEC_20230125.xlsx]CF PDP'!$BW$66</v>
      </c>
      <c r="J868" s="4" t="s">
        <v>529</v>
      </c>
    </row>
    <row r="869" spans="1:10" x14ac:dyDescent="0.25">
      <c r="A869" s="7" t="s">
        <v>1</v>
      </c>
      <c r="B869" s="7">
        <f t="shared" si="202"/>
        <v>2054</v>
      </c>
      <c r="C869" s="4" t="s">
        <v>11</v>
      </c>
      <c r="D869" s="5" t="s">
        <v>128</v>
      </c>
      <c r="E869" s="10" t="str">
        <f t="shared" si="198"/>
        <v>PDP'!</v>
      </c>
      <c r="F869" s="5" t="str">
        <f t="shared" si="199"/>
        <v>C:\Users\jaime.benazar\Quorum Business Solutions\Ecopetrol Prometeo - Documents\Planning Space Implementation\3. Analysis &amp; Design\Design\FC22\DRR Jaime\QUIFA-CAJÚA\Cajua\[VAS_CAJUA_CF_SEC_20230125.xlsx]CF PDP'!</v>
      </c>
      <c r="G869" s="7" t="s">
        <v>37</v>
      </c>
      <c r="H869" s="4">
        <f t="shared" si="200"/>
        <v>67</v>
      </c>
      <c r="I869" s="4" t="str">
        <f t="shared" si="201"/>
        <v>='C:\Users\jaime.benazar\Quorum Business Solutions\Ecopetrol Prometeo - Documents\Planning Space Implementation\3. Analysis &amp; Design\Design\FC22\DRR Jaime\QUIFA-CAJÚA\Cajua\[VAS_CAJUA_CF_SEC_20230125.xlsx]CF PDP'!$BW$67</v>
      </c>
      <c r="J869" s="4" t="s">
        <v>530</v>
      </c>
    </row>
    <row r="870" spans="1:10" x14ac:dyDescent="0.25">
      <c r="A870" s="7" t="s">
        <v>1</v>
      </c>
      <c r="B870" s="7">
        <f t="shared" si="202"/>
        <v>2055</v>
      </c>
      <c r="C870" s="4" t="s">
        <v>11</v>
      </c>
      <c r="D870" s="5" t="s">
        <v>128</v>
      </c>
      <c r="E870" s="10" t="str">
        <f t="shared" si="198"/>
        <v>PDP'!</v>
      </c>
      <c r="F870" s="5" t="str">
        <f t="shared" si="199"/>
        <v>C:\Users\jaime.benazar\Quorum Business Solutions\Ecopetrol Prometeo - Documents\Planning Space Implementation\3. Analysis &amp; Design\Design\FC22\DRR Jaime\QUIFA-CAJÚA\Cajua\[VAS_CAJUA_CF_SEC_20230125.xlsx]CF PDP'!</v>
      </c>
      <c r="G870" s="7" t="s">
        <v>37</v>
      </c>
      <c r="H870" s="4">
        <f t="shared" si="200"/>
        <v>68</v>
      </c>
      <c r="I870" s="4" t="str">
        <f t="shared" si="201"/>
        <v>='C:\Users\jaime.benazar\Quorum Business Solutions\Ecopetrol Prometeo - Documents\Planning Space Implementation\3. Analysis &amp; Design\Design\FC22\DRR Jaime\QUIFA-CAJÚA\Cajua\[VAS_CAJUA_CF_SEC_20230125.xlsx]CF PDP'!$BW$68</v>
      </c>
      <c r="J870" s="4" t="s">
        <v>531</v>
      </c>
    </row>
    <row r="871" spans="1:10" x14ac:dyDescent="0.25">
      <c r="A871" s="7" t="s">
        <v>1</v>
      </c>
      <c r="B871" s="7">
        <f t="shared" si="202"/>
        <v>2056</v>
      </c>
      <c r="C871" s="4" t="s">
        <v>11</v>
      </c>
      <c r="D871" s="5" t="s">
        <v>128</v>
      </c>
      <c r="E871" s="10" t="str">
        <f t="shared" si="198"/>
        <v>PDP'!</v>
      </c>
      <c r="F871" s="5" t="str">
        <f t="shared" si="199"/>
        <v>C:\Users\jaime.benazar\Quorum Business Solutions\Ecopetrol Prometeo - Documents\Planning Space Implementation\3. Analysis &amp; Design\Design\FC22\DRR Jaime\QUIFA-CAJÚA\Cajua\[VAS_CAJUA_CF_SEC_20230125.xlsx]CF PDP'!</v>
      </c>
      <c r="G871" s="7" t="s">
        <v>37</v>
      </c>
      <c r="H871" s="4">
        <f t="shared" si="200"/>
        <v>69</v>
      </c>
      <c r="I871" s="4" t="str">
        <f t="shared" si="201"/>
        <v>='C:\Users\jaime.benazar\Quorum Business Solutions\Ecopetrol Prometeo - Documents\Planning Space Implementation\3. Analysis &amp; Design\Design\FC22\DRR Jaime\QUIFA-CAJÚA\Cajua\[VAS_CAJUA_CF_SEC_20230125.xlsx]CF PDP'!$BW$69</v>
      </c>
      <c r="J871" s="4" t="s">
        <v>532</v>
      </c>
    </row>
    <row r="872" spans="1:10" x14ac:dyDescent="0.25">
      <c r="A872" s="7" t="s">
        <v>1</v>
      </c>
      <c r="B872" s="7">
        <f t="shared" si="202"/>
        <v>2057</v>
      </c>
      <c r="C872" s="4" t="s">
        <v>11</v>
      </c>
      <c r="D872" s="5" t="s">
        <v>128</v>
      </c>
      <c r="E872" s="10" t="str">
        <f t="shared" si="198"/>
        <v>PDP'!</v>
      </c>
      <c r="F872" s="5" t="str">
        <f t="shared" si="199"/>
        <v>C:\Users\jaime.benazar\Quorum Business Solutions\Ecopetrol Prometeo - Documents\Planning Space Implementation\3. Analysis &amp; Design\Design\FC22\DRR Jaime\QUIFA-CAJÚA\Cajua\[VAS_CAJUA_CF_SEC_20230125.xlsx]CF PDP'!</v>
      </c>
      <c r="G872" s="7" t="s">
        <v>37</v>
      </c>
      <c r="H872" s="4">
        <f t="shared" si="200"/>
        <v>70</v>
      </c>
      <c r="I872" s="4" t="str">
        <f t="shared" si="201"/>
        <v>='C:\Users\jaime.benazar\Quorum Business Solutions\Ecopetrol Prometeo - Documents\Planning Space Implementation\3. Analysis &amp; Design\Design\FC22\DRR Jaime\QUIFA-CAJÚA\Cajua\[VAS_CAJUA_CF_SEC_20230125.xlsx]CF PDP'!$BW$70</v>
      </c>
      <c r="J872" s="4" t="s">
        <v>533</v>
      </c>
    </row>
    <row r="873" spans="1:10" x14ac:dyDescent="0.25">
      <c r="A873" s="7" t="s">
        <v>1</v>
      </c>
      <c r="B873" s="7">
        <f t="shared" si="202"/>
        <v>2058</v>
      </c>
      <c r="C873" s="4" t="s">
        <v>11</v>
      </c>
      <c r="D873" s="5" t="s">
        <v>128</v>
      </c>
      <c r="E873" s="10" t="str">
        <f t="shared" si="198"/>
        <v>PDP'!</v>
      </c>
      <c r="F873" s="5" t="str">
        <f t="shared" si="199"/>
        <v>C:\Users\jaime.benazar\Quorum Business Solutions\Ecopetrol Prometeo - Documents\Planning Space Implementation\3. Analysis &amp; Design\Design\FC22\DRR Jaime\QUIFA-CAJÚA\Cajua\[VAS_CAJUA_CF_SEC_20230125.xlsx]CF PDP'!</v>
      </c>
      <c r="G873" s="7" t="s">
        <v>37</v>
      </c>
      <c r="H873" s="4">
        <f t="shared" si="200"/>
        <v>71</v>
      </c>
      <c r="I873" s="4" t="str">
        <f t="shared" si="201"/>
        <v>='C:\Users\jaime.benazar\Quorum Business Solutions\Ecopetrol Prometeo - Documents\Planning Space Implementation\3. Analysis &amp; Design\Design\FC22\DRR Jaime\QUIFA-CAJÚA\Cajua\[VAS_CAJUA_CF_SEC_20230125.xlsx]CF PDP'!$BW$71</v>
      </c>
      <c r="J873" s="4" t="s">
        <v>534</v>
      </c>
    </row>
    <row r="874" spans="1:10" x14ac:dyDescent="0.25">
      <c r="A874" s="7" t="s">
        <v>1</v>
      </c>
      <c r="B874" s="7">
        <f t="shared" si="202"/>
        <v>2059</v>
      </c>
      <c r="C874" s="4" t="s">
        <v>11</v>
      </c>
      <c r="D874" s="5" t="s">
        <v>128</v>
      </c>
      <c r="E874" s="10" t="str">
        <f t="shared" si="198"/>
        <v>PDP'!</v>
      </c>
      <c r="F874" s="5" t="str">
        <f t="shared" si="199"/>
        <v>C:\Users\jaime.benazar\Quorum Business Solutions\Ecopetrol Prometeo - Documents\Planning Space Implementation\3. Analysis &amp; Design\Design\FC22\DRR Jaime\QUIFA-CAJÚA\Cajua\[VAS_CAJUA_CF_SEC_20230125.xlsx]CF PDP'!</v>
      </c>
      <c r="G874" s="7" t="s">
        <v>37</v>
      </c>
      <c r="H874" s="4">
        <f t="shared" si="200"/>
        <v>72</v>
      </c>
      <c r="I874" s="4" t="str">
        <f t="shared" si="201"/>
        <v>='C:\Users\jaime.benazar\Quorum Business Solutions\Ecopetrol Prometeo - Documents\Planning Space Implementation\3. Analysis &amp; Design\Design\FC22\DRR Jaime\QUIFA-CAJÚA\Cajua\[VAS_CAJUA_CF_SEC_20230125.xlsx]CF PDP'!$BW$72</v>
      </c>
      <c r="J874" s="4" t="s">
        <v>535</v>
      </c>
    </row>
    <row r="875" spans="1:10" x14ac:dyDescent="0.25">
      <c r="A875" s="7" t="s">
        <v>28</v>
      </c>
      <c r="B875" s="7"/>
      <c r="C875" s="4" t="s">
        <v>11</v>
      </c>
      <c r="D875" s="5"/>
      <c r="E875" s="10"/>
      <c r="F875" s="5"/>
      <c r="G875" s="7"/>
      <c r="H875" s="4"/>
      <c r="I875" s="4"/>
      <c r="J875" s="4"/>
    </row>
    <row r="876" spans="1:10" x14ac:dyDescent="0.25">
      <c r="A876" s="7" t="s">
        <v>2</v>
      </c>
      <c r="B876" s="7">
        <v>2023</v>
      </c>
      <c r="C876" s="4" t="s">
        <v>11</v>
      </c>
      <c r="D876" s="5" t="s">
        <v>128</v>
      </c>
      <c r="E876" s="10" t="str">
        <f t="shared" si="192"/>
        <v>PNP'!</v>
      </c>
      <c r="F876" s="5" t="str">
        <f t="shared" ref="F876:F896" si="203">_xlfn.CONCAT(D876," ",E876)</f>
        <v>C:\Users\jaime.benazar\Quorum Business Solutions\Ecopetrol Prometeo - Documents\Planning Space Implementation\3. Analysis &amp; Design\Design\FC22\DRR Jaime\QUIFA-CAJÚA\Cajua\[VAS_CAJUA_CF_SEC_20230125.xlsx]CF PNP'!</v>
      </c>
      <c r="G876" s="7" t="s">
        <v>37</v>
      </c>
      <c r="H876" s="4">
        <f>IF(A876&lt;&gt;A860,36,H860+1)</f>
        <v>36</v>
      </c>
      <c r="I876" s="4" t="str">
        <f t="shared" si="193"/>
        <v>='C:\Users\jaime.benazar\Quorum Business Solutions\Ecopetrol Prometeo - Documents\Planning Space Implementation\3. Analysis &amp; Design\Design\FC22\DRR Jaime\QUIFA-CAJÚA\Cajua\[VAS_CAJUA_CF_SEC_20230125.xlsx]CF PNP'!$BW$36</v>
      </c>
      <c r="J876" s="4" t="s">
        <v>536</v>
      </c>
    </row>
    <row r="877" spans="1:10" x14ac:dyDescent="0.25">
      <c r="A877" s="7" t="s">
        <v>2</v>
      </c>
      <c r="B877" s="7">
        <f>+B876+1</f>
        <v>2024</v>
      </c>
      <c r="C877" s="4" t="s">
        <v>11</v>
      </c>
      <c r="D877" s="5" t="s">
        <v>128</v>
      </c>
      <c r="E877" s="10" t="str">
        <f t="shared" si="192"/>
        <v>PNP'!</v>
      </c>
      <c r="F877" s="5" t="str">
        <f t="shared" si="203"/>
        <v>C:\Users\jaime.benazar\Quorum Business Solutions\Ecopetrol Prometeo - Documents\Planning Space Implementation\3. Analysis &amp; Design\Design\FC22\DRR Jaime\QUIFA-CAJÚA\Cajua\[VAS_CAJUA_CF_SEC_20230125.xlsx]CF PNP'!</v>
      </c>
      <c r="G877" s="7" t="s">
        <v>37</v>
      </c>
      <c r="H877" s="4">
        <f t="shared" si="195"/>
        <v>37</v>
      </c>
      <c r="I877" s="4" t="str">
        <f t="shared" si="193"/>
        <v>='C:\Users\jaime.benazar\Quorum Business Solutions\Ecopetrol Prometeo - Documents\Planning Space Implementation\3. Analysis &amp; Design\Design\FC22\DRR Jaime\QUIFA-CAJÚA\Cajua\[VAS_CAJUA_CF_SEC_20230125.xlsx]CF PNP'!$BW$37</v>
      </c>
      <c r="J877" s="4" t="s">
        <v>537</v>
      </c>
    </row>
    <row r="878" spans="1:10" x14ac:dyDescent="0.25">
      <c r="A878" s="7" t="s">
        <v>2</v>
      </c>
      <c r="B878" s="7">
        <f t="shared" ref="B878:B889" si="204">+B877+1</f>
        <v>2025</v>
      </c>
      <c r="C878" s="4" t="s">
        <v>11</v>
      </c>
      <c r="D878" s="5" t="s">
        <v>128</v>
      </c>
      <c r="E878" s="10" t="str">
        <f t="shared" si="192"/>
        <v>PNP'!</v>
      </c>
      <c r="F878" s="5" t="str">
        <f t="shared" si="203"/>
        <v>C:\Users\jaime.benazar\Quorum Business Solutions\Ecopetrol Prometeo - Documents\Planning Space Implementation\3. Analysis &amp; Design\Design\FC22\DRR Jaime\QUIFA-CAJÚA\Cajua\[VAS_CAJUA_CF_SEC_20230125.xlsx]CF PNP'!</v>
      </c>
      <c r="G878" s="7" t="s">
        <v>37</v>
      </c>
      <c r="H878" s="4">
        <f t="shared" si="195"/>
        <v>38</v>
      </c>
      <c r="I878" s="4" t="str">
        <f t="shared" si="193"/>
        <v>='C:\Users\jaime.benazar\Quorum Business Solutions\Ecopetrol Prometeo - Documents\Planning Space Implementation\3. Analysis &amp; Design\Design\FC22\DRR Jaime\QUIFA-CAJÚA\Cajua\[VAS_CAJUA_CF_SEC_20230125.xlsx]CF PNP'!$BW$38</v>
      </c>
      <c r="J878" s="4" t="s">
        <v>538</v>
      </c>
    </row>
    <row r="879" spans="1:10" x14ac:dyDescent="0.25">
      <c r="A879" s="7" t="s">
        <v>2</v>
      </c>
      <c r="B879" s="7">
        <f t="shared" si="204"/>
        <v>2026</v>
      </c>
      <c r="C879" s="4" t="s">
        <v>11</v>
      </c>
      <c r="D879" s="5" t="s">
        <v>128</v>
      </c>
      <c r="E879" s="10" t="str">
        <f t="shared" si="192"/>
        <v>PNP'!</v>
      </c>
      <c r="F879" s="5" t="str">
        <f t="shared" si="203"/>
        <v>C:\Users\jaime.benazar\Quorum Business Solutions\Ecopetrol Prometeo - Documents\Planning Space Implementation\3. Analysis &amp; Design\Design\FC22\DRR Jaime\QUIFA-CAJÚA\Cajua\[VAS_CAJUA_CF_SEC_20230125.xlsx]CF PNP'!</v>
      </c>
      <c r="G879" s="7" t="s">
        <v>37</v>
      </c>
      <c r="H879" s="4">
        <f t="shared" si="195"/>
        <v>39</v>
      </c>
      <c r="I879" s="4" t="str">
        <f t="shared" si="193"/>
        <v>='C:\Users\jaime.benazar\Quorum Business Solutions\Ecopetrol Prometeo - Documents\Planning Space Implementation\3. Analysis &amp; Design\Design\FC22\DRR Jaime\QUIFA-CAJÚA\Cajua\[VAS_CAJUA_CF_SEC_20230125.xlsx]CF PNP'!$BW$39</v>
      </c>
      <c r="J879" s="4" t="s">
        <v>539</v>
      </c>
    </row>
    <row r="880" spans="1:10" x14ac:dyDescent="0.25">
      <c r="A880" s="7" t="s">
        <v>2</v>
      </c>
      <c r="B880" s="7">
        <f t="shared" si="204"/>
        <v>2027</v>
      </c>
      <c r="C880" s="4" t="s">
        <v>11</v>
      </c>
      <c r="D880" s="5" t="s">
        <v>128</v>
      </c>
      <c r="E880" s="10" t="str">
        <f t="shared" si="192"/>
        <v>PNP'!</v>
      </c>
      <c r="F880" s="5" t="str">
        <f t="shared" si="203"/>
        <v>C:\Users\jaime.benazar\Quorum Business Solutions\Ecopetrol Prometeo - Documents\Planning Space Implementation\3. Analysis &amp; Design\Design\FC22\DRR Jaime\QUIFA-CAJÚA\Cajua\[VAS_CAJUA_CF_SEC_20230125.xlsx]CF PNP'!</v>
      </c>
      <c r="G880" s="7" t="s">
        <v>37</v>
      </c>
      <c r="H880" s="4">
        <f t="shared" si="195"/>
        <v>40</v>
      </c>
      <c r="I880" s="4" t="str">
        <f t="shared" si="193"/>
        <v>='C:\Users\jaime.benazar\Quorum Business Solutions\Ecopetrol Prometeo - Documents\Planning Space Implementation\3. Analysis &amp; Design\Design\FC22\DRR Jaime\QUIFA-CAJÚA\Cajua\[VAS_CAJUA_CF_SEC_20230125.xlsx]CF PNP'!$BW$40</v>
      </c>
      <c r="J880" s="4" t="s">
        <v>540</v>
      </c>
    </row>
    <row r="881" spans="1:10" x14ac:dyDescent="0.25">
      <c r="A881" s="7" t="s">
        <v>2</v>
      </c>
      <c r="B881" s="7">
        <f t="shared" si="204"/>
        <v>2028</v>
      </c>
      <c r="C881" s="4" t="s">
        <v>11</v>
      </c>
      <c r="D881" s="5" t="s">
        <v>128</v>
      </c>
      <c r="E881" s="10" t="str">
        <f t="shared" si="192"/>
        <v>PNP'!</v>
      </c>
      <c r="F881" s="5" t="str">
        <f t="shared" si="203"/>
        <v>C:\Users\jaime.benazar\Quorum Business Solutions\Ecopetrol Prometeo - Documents\Planning Space Implementation\3. Analysis &amp; Design\Design\FC22\DRR Jaime\QUIFA-CAJÚA\Cajua\[VAS_CAJUA_CF_SEC_20230125.xlsx]CF PNP'!</v>
      </c>
      <c r="G881" s="7" t="s">
        <v>37</v>
      </c>
      <c r="H881" s="4">
        <f t="shared" si="195"/>
        <v>41</v>
      </c>
      <c r="I881" s="4" t="str">
        <f t="shared" si="193"/>
        <v>='C:\Users\jaime.benazar\Quorum Business Solutions\Ecopetrol Prometeo - Documents\Planning Space Implementation\3. Analysis &amp; Design\Design\FC22\DRR Jaime\QUIFA-CAJÚA\Cajua\[VAS_CAJUA_CF_SEC_20230125.xlsx]CF PNP'!$BW$41</v>
      </c>
      <c r="J881" s="4" t="s">
        <v>541</v>
      </c>
    </row>
    <row r="882" spans="1:10" x14ac:dyDescent="0.25">
      <c r="A882" s="7" t="s">
        <v>2</v>
      </c>
      <c r="B882" s="7">
        <f t="shared" si="204"/>
        <v>2029</v>
      </c>
      <c r="C882" s="4" t="s">
        <v>11</v>
      </c>
      <c r="D882" s="5" t="s">
        <v>128</v>
      </c>
      <c r="E882" s="10" t="str">
        <f t="shared" si="192"/>
        <v>PNP'!</v>
      </c>
      <c r="F882" s="5" t="str">
        <f t="shared" si="203"/>
        <v>C:\Users\jaime.benazar\Quorum Business Solutions\Ecopetrol Prometeo - Documents\Planning Space Implementation\3. Analysis &amp; Design\Design\FC22\DRR Jaime\QUIFA-CAJÚA\Cajua\[VAS_CAJUA_CF_SEC_20230125.xlsx]CF PNP'!</v>
      </c>
      <c r="G882" s="7" t="s">
        <v>37</v>
      </c>
      <c r="H882" s="4">
        <f t="shared" si="195"/>
        <v>42</v>
      </c>
      <c r="I882" s="4" t="str">
        <f t="shared" si="193"/>
        <v>='C:\Users\jaime.benazar\Quorum Business Solutions\Ecopetrol Prometeo - Documents\Planning Space Implementation\3. Analysis &amp; Design\Design\FC22\DRR Jaime\QUIFA-CAJÚA\Cajua\[VAS_CAJUA_CF_SEC_20230125.xlsx]CF PNP'!$BW$42</v>
      </c>
      <c r="J882" s="4" t="s">
        <v>542</v>
      </c>
    </row>
    <row r="883" spans="1:10" x14ac:dyDescent="0.25">
      <c r="A883" s="7" t="s">
        <v>2</v>
      </c>
      <c r="B883" s="7">
        <f t="shared" si="204"/>
        <v>2030</v>
      </c>
      <c r="C883" s="4" t="s">
        <v>11</v>
      </c>
      <c r="D883" s="5" t="s">
        <v>128</v>
      </c>
      <c r="E883" s="10" t="str">
        <f t="shared" si="192"/>
        <v>PNP'!</v>
      </c>
      <c r="F883" s="5" t="str">
        <f t="shared" si="203"/>
        <v>C:\Users\jaime.benazar\Quorum Business Solutions\Ecopetrol Prometeo - Documents\Planning Space Implementation\3. Analysis &amp; Design\Design\FC22\DRR Jaime\QUIFA-CAJÚA\Cajua\[VAS_CAJUA_CF_SEC_20230125.xlsx]CF PNP'!</v>
      </c>
      <c r="G883" s="7" t="s">
        <v>37</v>
      </c>
      <c r="H883" s="4">
        <f t="shared" si="195"/>
        <v>43</v>
      </c>
      <c r="I883" s="4" t="str">
        <f t="shared" si="193"/>
        <v>='C:\Users\jaime.benazar\Quorum Business Solutions\Ecopetrol Prometeo - Documents\Planning Space Implementation\3. Analysis &amp; Design\Design\FC22\DRR Jaime\QUIFA-CAJÚA\Cajua\[VAS_CAJUA_CF_SEC_20230125.xlsx]CF PNP'!$BW$43</v>
      </c>
      <c r="J883" s="4" t="s">
        <v>543</v>
      </c>
    </row>
    <row r="884" spans="1:10" x14ac:dyDescent="0.25">
      <c r="A884" s="7" t="s">
        <v>2</v>
      </c>
      <c r="B884" s="7">
        <f t="shared" si="204"/>
        <v>2031</v>
      </c>
      <c r="C884" s="4" t="s">
        <v>11</v>
      </c>
      <c r="D884" s="5" t="s">
        <v>128</v>
      </c>
      <c r="E884" s="10" t="str">
        <f t="shared" si="192"/>
        <v>PNP'!</v>
      </c>
      <c r="F884" s="5" t="str">
        <f t="shared" si="203"/>
        <v>C:\Users\jaime.benazar\Quorum Business Solutions\Ecopetrol Prometeo - Documents\Planning Space Implementation\3. Analysis &amp; Design\Design\FC22\DRR Jaime\QUIFA-CAJÚA\Cajua\[VAS_CAJUA_CF_SEC_20230125.xlsx]CF PNP'!</v>
      </c>
      <c r="G884" s="7" t="s">
        <v>37</v>
      </c>
      <c r="H884" s="4">
        <f t="shared" si="195"/>
        <v>44</v>
      </c>
      <c r="I884" s="4" t="str">
        <f t="shared" si="193"/>
        <v>='C:\Users\jaime.benazar\Quorum Business Solutions\Ecopetrol Prometeo - Documents\Planning Space Implementation\3. Analysis &amp; Design\Design\FC22\DRR Jaime\QUIFA-CAJÚA\Cajua\[VAS_CAJUA_CF_SEC_20230125.xlsx]CF PNP'!$BW$44</v>
      </c>
      <c r="J884" s="4" t="s">
        <v>544</v>
      </c>
    </row>
    <row r="885" spans="1:10" x14ac:dyDescent="0.25">
      <c r="A885" s="7" t="s">
        <v>2</v>
      </c>
      <c r="B885" s="7">
        <f t="shared" si="204"/>
        <v>2032</v>
      </c>
      <c r="C885" s="4" t="s">
        <v>11</v>
      </c>
      <c r="D885" s="5" t="s">
        <v>128</v>
      </c>
      <c r="E885" s="10" t="str">
        <f t="shared" si="192"/>
        <v>PNP'!</v>
      </c>
      <c r="F885" s="5" t="str">
        <f t="shared" si="203"/>
        <v>C:\Users\jaime.benazar\Quorum Business Solutions\Ecopetrol Prometeo - Documents\Planning Space Implementation\3. Analysis &amp; Design\Design\FC22\DRR Jaime\QUIFA-CAJÚA\Cajua\[VAS_CAJUA_CF_SEC_20230125.xlsx]CF PNP'!</v>
      </c>
      <c r="G885" s="7" t="s">
        <v>37</v>
      </c>
      <c r="H885" s="4">
        <f t="shared" si="195"/>
        <v>45</v>
      </c>
      <c r="I885" s="4" t="str">
        <f t="shared" si="193"/>
        <v>='C:\Users\jaime.benazar\Quorum Business Solutions\Ecopetrol Prometeo - Documents\Planning Space Implementation\3. Analysis &amp; Design\Design\FC22\DRR Jaime\QUIFA-CAJÚA\Cajua\[VAS_CAJUA_CF_SEC_20230125.xlsx]CF PNP'!$BW$45</v>
      </c>
      <c r="J885" s="4" t="s">
        <v>545</v>
      </c>
    </row>
    <row r="886" spans="1:10" x14ac:dyDescent="0.25">
      <c r="A886" s="7" t="s">
        <v>2</v>
      </c>
      <c r="B886" s="7">
        <f t="shared" si="204"/>
        <v>2033</v>
      </c>
      <c r="C886" s="4" t="s">
        <v>11</v>
      </c>
      <c r="D886" s="5" t="s">
        <v>128</v>
      </c>
      <c r="E886" s="10" t="str">
        <f t="shared" si="192"/>
        <v>PNP'!</v>
      </c>
      <c r="F886" s="5" t="str">
        <f t="shared" si="203"/>
        <v>C:\Users\jaime.benazar\Quorum Business Solutions\Ecopetrol Prometeo - Documents\Planning Space Implementation\3. Analysis &amp; Design\Design\FC22\DRR Jaime\QUIFA-CAJÚA\Cajua\[VAS_CAJUA_CF_SEC_20230125.xlsx]CF PNP'!</v>
      </c>
      <c r="G886" s="7" t="s">
        <v>37</v>
      </c>
      <c r="H886" s="4">
        <f t="shared" si="195"/>
        <v>46</v>
      </c>
      <c r="I886" s="4" t="str">
        <f t="shared" si="193"/>
        <v>='C:\Users\jaime.benazar\Quorum Business Solutions\Ecopetrol Prometeo - Documents\Planning Space Implementation\3. Analysis &amp; Design\Design\FC22\DRR Jaime\QUIFA-CAJÚA\Cajua\[VAS_CAJUA_CF_SEC_20230125.xlsx]CF PNP'!$BW$46</v>
      </c>
      <c r="J886" s="4" t="s">
        <v>546</v>
      </c>
    </row>
    <row r="887" spans="1:10" x14ac:dyDescent="0.25">
      <c r="A887" s="7" t="s">
        <v>2</v>
      </c>
      <c r="B887" s="7">
        <f t="shared" si="204"/>
        <v>2034</v>
      </c>
      <c r="C887" s="4" t="s">
        <v>11</v>
      </c>
      <c r="D887" s="5" t="s">
        <v>128</v>
      </c>
      <c r="E887" s="10" t="str">
        <f t="shared" si="192"/>
        <v>PNP'!</v>
      </c>
      <c r="F887" s="5" t="str">
        <f t="shared" si="203"/>
        <v>C:\Users\jaime.benazar\Quorum Business Solutions\Ecopetrol Prometeo - Documents\Planning Space Implementation\3. Analysis &amp; Design\Design\FC22\DRR Jaime\QUIFA-CAJÚA\Cajua\[VAS_CAJUA_CF_SEC_20230125.xlsx]CF PNP'!</v>
      </c>
      <c r="G887" s="7" t="s">
        <v>37</v>
      </c>
      <c r="H887" s="4">
        <f t="shared" si="195"/>
        <v>47</v>
      </c>
      <c r="I887" s="4" t="str">
        <f t="shared" si="193"/>
        <v>='C:\Users\jaime.benazar\Quorum Business Solutions\Ecopetrol Prometeo - Documents\Planning Space Implementation\3. Analysis &amp; Design\Design\FC22\DRR Jaime\QUIFA-CAJÚA\Cajua\[VAS_CAJUA_CF_SEC_20230125.xlsx]CF PNP'!$BW$47</v>
      </c>
      <c r="J887" s="4" t="s">
        <v>547</v>
      </c>
    </row>
    <row r="888" spans="1:10" x14ac:dyDescent="0.25">
      <c r="A888" s="7" t="s">
        <v>2</v>
      </c>
      <c r="B888" s="7">
        <f t="shared" si="204"/>
        <v>2035</v>
      </c>
      <c r="C888" s="4" t="s">
        <v>11</v>
      </c>
      <c r="D888" s="5" t="s">
        <v>128</v>
      </c>
      <c r="E888" s="10" t="str">
        <f t="shared" si="192"/>
        <v>PNP'!</v>
      </c>
      <c r="F888" s="5" t="str">
        <f t="shared" si="203"/>
        <v>C:\Users\jaime.benazar\Quorum Business Solutions\Ecopetrol Prometeo - Documents\Planning Space Implementation\3. Analysis &amp; Design\Design\FC22\DRR Jaime\QUIFA-CAJÚA\Cajua\[VAS_CAJUA_CF_SEC_20230125.xlsx]CF PNP'!</v>
      </c>
      <c r="G888" s="7" t="s">
        <v>37</v>
      </c>
      <c r="H888" s="4">
        <f t="shared" si="195"/>
        <v>48</v>
      </c>
      <c r="I888" s="4" t="str">
        <f t="shared" si="193"/>
        <v>='C:\Users\jaime.benazar\Quorum Business Solutions\Ecopetrol Prometeo - Documents\Planning Space Implementation\3. Analysis &amp; Design\Design\FC22\DRR Jaime\QUIFA-CAJÚA\Cajua\[VAS_CAJUA_CF_SEC_20230125.xlsx]CF PNP'!$BW$48</v>
      </c>
      <c r="J888" s="4" t="s">
        <v>548</v>
      </c>
    </row>
    <row r="889" spans="1:10" x14ac:dyDescent="0.25">
      <c r="A889" s="7" t="s">
        <v>2</v>
      </c>
      <c r="B889" s="7">
        <f t="shared" si="204"/>
        <v>2036</v>
      </c>
      <c r="C889" s="4" t="s">
        <v>11</v>
      </c>
      <c r="D889" s="5" t="s">
        <v>128</v>
      </c>
      <c r="E889" s="10" t="str">
        <f t="shared" si="192"/>
        <v>PNP'!</v>
      </c>
      <c r="F889" s="5" t="str">
        <f t="shared" si="203"/>
        <v>C:\Users\jaime.benazar\Quorum Business Solutions\Ecopetrol Prometeo - Documents\Planning Space Implementation\3. Analysis &amp; Design\Design\FC22\DRR Jaime\QUIFA-CAJÚA\Cajua\[VAS_CAJUA_CF_SEC_20230125.xlsx]CF PNP'!</v>
      </c>
      <c r="G889" s="7" t="s">
        <v>37</v>
      </c>
      <c r="H889" s="4">
        <f t="shared" si="195"/>
        <v>49</v>
      </c>
      <c r="I889" s="4" t="str">
        <f t="shared" si="193"/>
        <v>='C:\Users\jaime.benazar\Quorum Business Solutions\Ecopetrol Prometeo - Documents\Planning Space Implementation\3. Analysis &amp; Design\Design\FC22\DRR Jaime\QUIFA-CAJÚA\Cajua\[VAS_CAJUA_CF_SEC_20230125.xlsx]CF PNP'!$BW$49</v>
      </c>
      <c r="J889" s="4" t="s">
        <v>549</v>
      </c>
    </row>
    <row r="890" spans="1:10" x14ac:dyDescent="0.25">
      <c r="A890" s="7" t="s">
        <v>2</v>
      </c>
      <c r="B890" s="7">
        <f>+B889+1</f>
        <v>2037</v>
      </c>
      <c r="C890" s="4" t="s">
        <v>11</v>
      </c>
      <c r="D890" s="5" t="s">
        <v>128</v>
      </c>
      <c r="E890" s="10" t="str">
        <f t="shared" si="192"/>
        <v>PNP'!</v>
      </c>
      <c r="F890" s="5" t="str">
        <f t="shared" si="203"/>
        <v>C:\Users\jaime.benazar\Quorum Business Solutions\Ecopetrol Prometeo - Documents\Planning Space Implementation\3. Analysis &amp; Design\Design\FC22\DRR Jaime\QUIFA-CAJÚA\Cajua\[VAS_CAJUA_CF_SEC_20230125.xlsx]CF PNP'!</v>
      </c>
      <c r="G890" s="7" t="s">
        <v>37</v>
      </c>
      <c r="H890" s="4">
        <f t="shared" si="195"/>
        <v>50</v>
      </c>
      <c r="I890" s="4" t="str">
        <f t="shared" si="193"/>
        <v>='C:\Users\jaime.benazar\Quorum Business Solutions\Ecopetrol Prometeo - Documents\Planning Space Implementation\3. Analysis &amp; Design\Design\FC22\DRR Jaime\QUIFA-CAJÚA\Cajua\[VAS_CAJUA_CF_SEC_20230125.xlsx]CF PNP'!$BW$50</v>
      </c>
      <c r="J890" s="4" t="s">
        <v>550</v>
      </c>
    </row>
    <row r="891" spans="1:10" x14ac:dyDescent="0.25">
      <c r="A891" s="7" t="s">
        <v>2</v>
      </c>
      <c r="B891" s="7">
        <f t="shared" ref="B891:B893" si="205">+B890+1</f>
        <v>2038</v>
      </c>
      <c r="C891" s="4" t="s">
        <v>11</v>
      </c>
      <c r="D891" s="5" t="s">
        <v>128</v>
      </c>
      <c r="E891" s="10" t="str">
        <f t="shared" si="192"/>
        <v>PNP'!</v>
      </c>
      <c r="F891" s="5" t="str">
        <f t="shared" si="203"/>
        <v>C:\Users\jaime.benazar\Quorum Business Solutions\Ecopetrol Prometeo - Documents\Planning Space Implementation\3. Analysis &amp; Design\Design\FC22\DRR Jaime\QUIFA-CAJÚA\Cajua\[VAS_CAJUA_CF_SEC_20230125.xlsx]CF PNP'!</v>
      </c>
      <c r="G891" s="7" t="s">
        <v>37</v>
      </c>
      <c r="H891" s="4">
        <f t="shared" si="195"/>
        <v>51</v>
      </c>
      <c r="I891" s="4" t="str">
        <f t="shared" si="193"/>
        <v>='C:\Users\jaime.benazar\Quorum Business Solutions\Ecopetrol Prometeo - Documents\Planning Space Implementation\3. Analysis &amp; Design\Design\FC22\DRR Jaime\QUIFA-CAJÚA\Cajua\[VAS_CAJUA_CF_SEC_20230125.xlsx]CF PNP'!$BW$51</v>
      </c>
      <c r="J891" s="4" t="s">
        <v>551</v>
      </c>
    </row>
    <row r="892" spans="1:10" x14ac:dyDescent="0.25">
      <c r="A892" s="7" t="s">
        <v>2</v>
      </c>
      <c r="B892" s="7">
        <f t="shared" si="205"/>
        <v>2039</v>
      </c>
      <c r="C892" s="4" t="s">
        <v>11</v>
      </c>
      <c r="D892" s="5" t="s">
        <v>128</v>
      </c>
      <c r="E892" s="10" t="str">
        <f t="shared" si="192"/>
        <v>PNP'!</v>
      </c>
      <c r="F892" s="5" t="str">
        <f t="shared" si="203"/>
        <v>C:\Users\jaime.benazar\Quorum Business Solutions\Ecopetrol Prometeo - Documents\Planning Space Implementation\3. Analysis &amp; Design\Design\FC22\DRR Jaime\QUIFA-CAJÚA\Cajua\[VAS_CAJUA_CF_SEC_20230125.xlsx]CF PNP'!</v>
      </c>
      <c r="G892" s="7" t="s">
        <v>37</v>
      </c>
      <c r="H892" s="4">
        <f t="shared" si="195"/>
        <v>52</v>
      </c>
      <c r="I892" s="4" t="str">
        <f t="shared" si="193"/>
        <v>='C:\Users\jaime.benazar\Quorum Business Solutions\Ecopetrol Prometeo - Documents\Planning Space Implementation\3. Analysis &amp; Design\Design\FC22\DRR Jaime\QUIFA-CAJÚA\Cajua\[VAS_CAJUA_CF_SEC_20230125.xlsx]CF PNP'!$BW$52</v>
      </c>
      <c r="J892" s="4" t="s">
        <v>552</v>
      </c>
    </row>
    <row r="893" spans="1:10" x14ac:dyDescent="0.25">
      <c r="A893" s="7" t="s">
        <v>2</v>
      </c>
      <c r="B893" s="7">
        <f t="shared" si="205"/>
        <v>2040</v>
      </c>
      <c r="C893" s="4" t="s">
        <v>11</v>
      </c>
      <c r="D893" s="5" t="s">
        <v>128</v>
      </c>
      <c r="E893" s="10" t="str">
        <f t="shared" si="192"/>
        <v>PNP'!</v>
      </c>
      <c r="F893" s="5" t="str">
        <f t="shared" si="203"/>
        <v>C:\Users\jaime.benazar\Quorum Business Solutions\Ecopetrol Prometeo - Documents\Planning Space Implementation\3. Analysis &amp; Design\Design\FC22\DRR Jaime\QUIFA-CAJÚA\Cajua\[VAS_CAJUA_CF_SEC_20230125.xlsx]CF PNP'!</v>
      </c>
      <c r="G893" s="7" t="s">
        <v>37</v>
      </c>
      <c r="H893" s="4">
        <f t="shared" si="195"/>
        <v>53</v>
      </c>
      <c r="I893" s="4" t="str">
        <f t="shared" si="193"/>
        <v>='C:\Users\jaime.benazar\Quorum Business Solutions\Ecopetrol Prometeo - Documents\Planning Space Implementation\3. Analysis &amp; Design\Design\FC22\DRR Jaime\QUIFA-CAJÚA\Cajua\[VAS_CAJUA_CF_SEC_20230125.xlsx]CF PNP'!$BW$53</v>
      </c>
      <c r="J893" s="4" t="s">
        <v>553</v>
      </c>
    </row>
    <row r="894" spans="1:10" x14ac:dyDescent="0.25">
      <c r="A894" s="7" t="s">
        <v>2</v>
      </c>
      <c r="B894" s="7">
        <f>+B893+1</f>
        <v>2041</v>
      </c>
      <c r="C894" s="4" t="s">
        <v>11</v>
      </c>
      <c r="D894" s="5" t="s">
        <v>128</v>
      </c>
      <c r="E894" s="10" t="str">
        <f t="shared" si="192"/>
        <v>PNP'!</v>
      </c>
      <c r="F894" s="5" t="str">
        <f t="shared" si="203"/>
        <v>C:\Users\jaime.benazar\Quorum Business Solutions\Ecopetrol Prometeo - Documents\Planning Space Implementation\3. Analysis &amp; Design\Design\FC22\DRR Jaime\QUIFA-CAJÚA\Cajua\[VAS_CAJUA_CF_SEC_20230125.xlsx]CF PNP'!</v>
      </c>
      <c r="G894" s="7" t="s">
        <v>37</v>
      </c>
      <c r="H894" s="4">
        <f t="shared" si="195"/>
        <v>54</v>
      </c>
      <c r="I894" s="4" t="str">
        <f t="shared" si="193"/>
        <v>='C:\Users\jaime.benazar\Quorum Business Solutions\Ecopetrol Prometeo - Documents\Planning Space Implementation\3. Analysis &amp; Design\Design\FC22\DRR Jaime\QUIFA-CAJÚA\Cajua\[VAS_CAJUA_CF_SEC_20230125.xlsx]CF PNP'!$BW$54</v>
      </c>
      <c r="J894" s="4" t="s">
        <v>554</v>
      </c>
    </row>
    <row r="895" spans="1:10" x14ac:dyDescent="0.25">
      <c r="A895" s="7" t="s">
        <v>2</v>
      </c>
      <c r="B895" s="7">
        <f t="shared" ref="B895:B896" si="206">+B894+1</f>
        <v>2042</v>
      </c>
      <c r="C895" s="4" t="s">
        <v>11</v>
      </c>
      <c r="D895" s="5" t="s">
        <v>128</v>
      </c>
      <c r="E895" s="10" t="str">
        <f t="shared" si="192"/>
        <v>PNP'!</v>
      </c>
      <c r="F895" s="5" t="str">
        <f t="shared" si="203"/>
        <v>C:\Users\jaime.benazar\Quorum Business Solutions\Ecopetrol Prometeo - Documents\Planning Space Implementation\3. Analysis &amp; Design\Design\FC22\DRR Jaime\QUIFA-CAJÚA\Cajua\[VAS_CAJUA_CF_SEC_20230125.xlsx]CF PNP'!</v>
      </c>
      <c r="G895" s="7" t="s">
        <v>37</v>
      </c>
      <c r="H895" s="4">
        <f t="shared" si="195"/>
        <v>55</v>
      </c>
      <c r="I895" s="4" t="str">
        <f t="shared" si="193"/>
        <v>='C:\Users\jaime.benazar\Quorum Business Solutions\Ecopetrol Prometeo - Documents\Planning Space Implementation\3. Analysis &amp; Design\Design\FC22\DRR Jaime\QUIFA-CAJÚA\Cajua\[VAS_CAJUA_CF_SEC_20230125.xlsx]CF PNP'!$BW$55</v>
      </c>
      <c r="J895" s="4" t="s">
        <v>555</v>
      </c>
    </row>
    <row r="896" spans="1:10" x14ac:dyDescent="0.25">
      <c r="A896" s="7" t="s">
        <v>2</v>
      </c>
      <c r="B896" s="7">
        <f t="shared" si="206"/>
        <v>2043</v>
      </c>
      <c r="C896" s="4" t="s">
        <v>11</v>
      </c>
      <c r="D896" s="5" t="s">
        <v>128</v>
      </c>
      <c r="E896" s="10" t="str">
        <f t="shared" si="192"/>
        <v>PNP'!</v>
      </c>
      <c r="F896" s="5" t="str">
        <f t="shared" si="203"/>
        <v>C:\Users\jaime.benazar\Quorum Business Solutions\Ecopetrol Prometeo - Documents\Planning Space Implementation\3. Analysis &amp; Design\Design\FC22\DRR Jaime\QUIFA-CAJÚA\Cajua\[VAS_CAJUA_CF_SEC_20230125.xlsx]CF PNP'!</v>
      </c>
      <c r="G896" s="7" t="s">
        <v>37</v>
      </c>
      <c r="H896" s="4">
        <f t="shared" si="195"/>
        <v>56</v>
      </c>
      <c r="I896" s="4" t="str">
        <f t="shared" si="193"/>
        <v>='C:\Users\jaime.benazar\Quorum Business Solutions\Ecopetrol Prometeo - Documents\Planning Space Implementation\3. Analysis &amp; Design\Design\FC22\DRR Jaime\QUIFA-CAJÚA\Cajua\[VAS_CAJUA_CF_SEC_20230125.xlsx]CF PNP'!$BW$56</v>
      </c>
      <c r="J896" s="4" t="s">
        <v>556</v>
      </c>
    </row>
    <row r="897" spans="1:10" x14ac:dyDescent="0.25">
      <c r="A897" s="7" t="s">
        <v>2</v>
      </c>
      <c r="B897" s="7">
        <f>+B896+1</f>
        <v>2044</v>
      </c>
      <c r="C897" s="4" t="s">
        <v>11</v>
      </c>
      <c r="D897" s="5" t="s">
        <v>128</v>
      </c>
      <c r="E897" s="10" t="str">
        <f t="shared" ref="E897:E912" si="207">_xlfn.CONCAT(A897,"'!")</f>
        <v>PNP'!</v>
      </c>
      <c r="F897" s="5" t="str">
        <f t="shared" ref="F897:F912" si="208">_xlfn.CONCAT(D897," ",E897)</f>
        <v>C:\Users\jaime.benazar\Quorum Business Solutions\Ecopetrol Prometeo - Documents\Planning Space Implementation\3. Analysis &amp; Design\Design\FC22\DRR Jaime\QUIFA-CAJÚA\Cajua\[VAS_CAJUA_CF_SEC_20230125.xlsx]CF PNP'!</v>
      </c>
      <c r="G897" s="7" t="s">
        <v>37</v>
      </c>
      <c r="H897" s="4">
        <f t="shared" ref="H897:H912" si="209">IF(A897&lt;&gt;A896,36,H896+1)</f>
        <v>57</v>
      </c>
      <c r="I897" s="4" t="str">
        <f t="shared" ref="I897:I912" si="210">_xlfn.CONCAT("='",F897:H897)</f>
        <v>='C:\Users\jaime.benazar\Quorum Business Solutions\Ecopetrol Prometeo - Documents\Planning Space Implementation\3. Analysis &amp; Design\Design\FC22\DRR Jaime\QUIFA-CAJÚA\Cajua\[VAS_CAJUA_CF_SEC_20230125.xlsx]CF PNP'!$BW$57</v>
      </c>
      <c r="J897" s="4" t="s">
        <v>557</v>
      </c>
    </row>
    <row r="898" spans="1:10" x14ac:dyDescent="0.25">
      <c r="A898" s="7" t="s">
        <v>2</v>
      </c>
      <c r="B898" s="7">
        <f t="shared" ref="B898:B912" si="211">+B897+1</f>
        <v>2045</v>
      </c>
      <c r="C898" s="4" t="s">
        <v>11</v>
      </c>
      <c r="D898" s="5" t="s">
        <v>128</v>
      </c>
      <c r="E898" s="10" t="str">
        <f t="shared" si="207"/>
        <v>PNP'!</v>
      </c>
      <c r="F898" s="5" t="str">
        <f t="shared" si="208"/>
        <v>C:\Users\jaime.benazar\Quorum Business Solutions\Ecopetrol Prometeo - Documents\Planning Space Implementation\3. Analysis &amp; Design\Design\FC22\DRR Jaime\QUIFA-CAJÚA\Cajua\[VAS_CAJUA_CF_SEC_20230125.xlsx]CF PNP'!</v>
      </c>
      <c r="G898" s="7" t="s">
        <v>37</v>
      </c>
      <c r="H898" s="4">
        <f t="shared" si="209"/>
        <v>58</v>
      </c>
      <c r="I898" s="4" t="str">
        <f t="shared" si="210"/>
        <v>='C:\Users\jaime.benazar\Quorum Business Solutions\Ecopetrol Prometeo - Documents\Planning Space Implementation\3. Analysis &amp; Design\Design\FC22\DRR Jaime\QUIFA-CAJÚA\Cajua\[VAS_CAJUA_CF_SEC_20230125.xlsx]CF PNP'!$BW$58</v>
      </c>
      <c r="J898" s="4" t="s">
        <v>558</v>
      </c>
    </row>
    <row r="899" spans="1:10" x14ac:dyDescent="0.25">
      <c r="A899" s="7" t="s">
        <v>2</v>
      </c>
      <c r="B899" s="7">
        <f t="shared" si="211"/>
        <v>2046</v>
      </c>
      <c r="C899" s="4" t="s">
        <v>11</v>
      </c>
      <c r="D899" s="5" t="s">
        <v>128</v>
      </c>
      <c r="E899" s="10" t="str">
        <f t="shared" si="207"/>
        <v>PNP'!</v>
      </c>
      <c r="F899" s="5" t="str">
        <f t="shared" si="208"/>
        <v>C:\Users\jaime.benazar\Quorum Business Solutions\Ecopetrol Prometeo - Documents\Planning Space Implementation\3. Analysis &amp; Design\Design\FC22\DRR Jaime\QUIFA-CAJÚA\Cajua\[VAS_CAJUA_CF_SEC_20230125.xlsx]CF PNP'!</v>
      </c>
      <c r="G899" s="7" t="s">
        <v>37</v>
      </c>
      <c r="H899" s="4">
        <f t="shared" si="209"/>
        <v>59</v>
      </c>
      <c r="I899" s="4" t="str">
        <f t="shared" si="210"/>
        <v>='C:\Users\jaime.benazar\Quorum Business Solutions\Ecopetrol Prometeo - Documents\Planning Space Implementation\3. Analysis &amp; Design\Design\FC22\DRR Jaime\QUIFA-CAJÚA\Cajua\[VAS_CAJUA_CF_SEC_20230125.xlsx]CF PNP'!$BW$59</v>
      </c>
      <c r="J899" s="4" t="s">
        <v>559</v>
      </c>
    </row>
    <row r="900" spans="1:10" x14ac:dyDescent="0.25">
      <c r="A900" s="7" t="s">
        <v>2</v>
      </c>
      <c r="B900" s="7">
        <f t="shared" si="211"/>
        <v>2047</v>
      </c>
      <c r="C900" s="4" t="s">
        <v>11</v>
      </c>
      <c r="D900" s="5" t="s">
        <v>128</v>
      </c>
      <c r="E900" s="10" t="str">
        <f t="shared" si="207"/>
        <v>PNP'!</v>
      </c>
      <c r="F900" s="5" t="str">
        <f t="shared" si="208"/>
        <v>C:\Users\jaime.benazar\Quorum Business Solutions\Ecopetrol Prometeo - Documents\Planning Space Implementation\3. Analysis &amp; Design\Design\FC22\DRR Jaime\QUIFA-CAJÚA\Cajua\[VAS_CAJUA_CF_SEC_20230125.xlsx]CF PNP'!</v>
      </c>
      <c r="G900" s="7" t="s">
        <v>37</v>
      </c>
      <c r="H900" s="4">
        <f t="shared" si="209"/>
        <v>60</v>
      </c>
      <c r="I900" s="4" t="str">
        <f t="shared" si="210"/>
        <v>='C:\Users\jaime.benazar\Quorum Business Solutions\Ecopetrol Prometeo - Documents\Planning Space Implementation\3. Analysis &amp; Design\Design\FC22\DRR Jaime\QUIFA-CAJÚA\Cajua\[VAS_CAJUA_CF_SEC_20230125.xlsx]CF PNP'!$BW$60</v>
      </c>
      <c r="J900" s="4" t="s">
        <v>560</v>
      </c>
    </row>
    <row r="901" spans="1:10" x14ac:dyDescent="0.25">
      <c r="A901" s="7" t="s">
        <v>2</v>
      </c>
      <c r="B901" s="7">
        <f t="shared" si="211"/>
        <v>2048</v>
      </c>
      <c r="C901" s="4" t="s">
        <v>11</v>
      </c>
      <c r="D901" s="5" t="s">
        <v>128</v>
      </c>
      <c r="E901" s="10" t="str">
        <f t="shared" si="207"/>
        <v>PNP'!</v>
      </c>
      <c r="F901" s="5" t="str">
        <f t="shared" si="208"/>
        <v>C:\Users\jaime.benazar\Quorum Business Solutions\Ecopetrol Prometeo - Documents\Planning Space Implementation\3. Analysis &amp; Design\Design\FC22\DRR Jaime\QUIFA-CAJÚA\Cajua\[VAS_CAJUA_CF_SEC_20230125.xlsx]CF PNP'!</v>
      </c>
      <c r="G901" s="7" t="s">
        <v>37</v>
      </c>
      <c r="H901" s="4">
        <f t="shared" si="209"/>
        <v>61</v>
      </c>
      <c r="I901" s="4" t="str">
        <f t="shared" si="210"/>
        <v>='C:\Users\jaime.benazar\Quorum Business Solutions\Ecopetrol Prometeo - Documents\Planning Space Implementation\3. Analysis &amp; Design\Design\FC22\DRR Jaime\QUIFA-CAJÚA\Cajua\[VAS_CAJUA_CF_SEC_20230125.xlsx]CF PNP'!$BW$61</v>
      </c>
      <c r="J901" s="4" t="s">
        <v>561</v>
      </c>
    </row>
    <row r="902" spans="1:10" x14ac:dyDescent="0.25">
      <c r="A902" s="7" t="s">
        <v>2</v>
      </c>
      <c r="B902" s="7">
        <f t="shared" si="211"/>
        <v>2049</v>
      </c>
      <c r="C902" s="4" t="s">
        <v>11</v>
      </c>
      <c r="D902" s="5" t="s">
        <v>128</v>
      </c>
      <c r="E902" s="10" t="str">
        <f t="shared" si="207"/>
        <v>PNP'!</v>
      </c>
      <c r="F902" s="5" t="str">
        <f t="shared" si="208"/>
        <v>C:\Users\jaime.benazar\Quorum Business Solutions\Ecopetrol Prometeo - Documents\Planning Space Implementation\3. Analysis &amp; Design\Design\FC22\DRR Jaime\QUIFA-CAJÚA\Cajua\[VAS_CAJUA_CF_SEC_20230125.xlsx]CF PNP'!</v>
      </c>
      <c r="G902" s="7" t="s">
        <v>37</v>
      </c>
      <c r="H902" s="4">
        <f t="shared" si="209"/>
        <v>62</v>
      </c>
      <c r="I902" s="4" t="str">
        <f t="shared" si="210"/>
        <v>='C:\Users\jaime.benazar\Quorum Business Solutions\Ecopetrol Prometeo - Documents\Planning Space Implementation\3. Analysis &amp; Design\Design\FC22\DRR Jaime\QUIFA-CAJÚA\Cajua\[VAS_CAJUA_CF_SEC_20230125.xlsx]CF PNP'!$BW$62</v>
      </c>
      <c r="J902" s="4" t="s">
        <v>562</v>
      </c>
    </row>
    <row r="903" spans="1:10" x14ac:dyDescent="0.25">
      <c r="A903" s="7" t="s">
        <v>2</v>
      </c>
      <c r="B903" s="7">
        <f t="shared" si="211"/>
        <v>2050</v>
      </c>
      <c r="C903" s="4" t="s">
        <v>11</v>
      </c>
      <c r="D903" s="5" t="s">
        <v>128</v>
      </c>
      <c r="E903" s="10" t="str">
        <f t="shared" si="207"/>
        <v>PNP'!</v>
      </c>
      <c r="F903" s="5" t="str">
        <f t="shared" si="208"/>
        <v>C:\Users\jaime.benazar\Quorum Business Solutions\Ecopetrol Prometeo - Documents\Planning Space Implementation\3. Analysis &amp; Design\Design\FC22\DRR Jaime\QUIFA-CAJÚA\Cajua\[VAS_CAJUA_CF_SEC_20230125.xlsx]CF PNP'!</v>
      </c>
      <c r="G903" s="7" t="s">
        <v>37</v>
      </c>
      <c r="H903" s="4">
        <f t="shared" si="209"/>
        <v>63</v>
      </c>
      <c r="I903" s="4" t="str">
        <f t="shared" si="210"/>
        <v>='C:\Users\jaime.benazar\Quorum Business Solutions\Ecopetrol Prometeo - Documents\Planning Space Implementation\3. Analysis &amp; Design\Design\FC22\DRR Jaime\QUIFA-CAJÚA\Cajua\[VAS_CAJUA_CF_SEC_20230125.xlsx]CF PNP'!$BW$63</v>
      </c>
      <c r="J903" s="4" t="s">
        <v>563</v>
      </c>
    </row>
    <row r="904" spans="1:10" x14ac:dyDescent="0.25">
      <c r="A904" s="7" t="s">
        <v>2</v>
      </c>
      <c r="B904" s="7">
        <f t="shared" si="211"/>
        <v>2051</v>
      </c>
      <c r="C904" s="4" t="s">
        <v>11</v>
      </c>
      <c r="D904" s="5" t="s">
        <v>128</v>
      </c>
      <c r="E904" s="10" t="str">
        <f t="shared" si="207"/>
        <v>PNP'!</v>
      </c>
      <c r="F904" s="5" t="str">
        <f t="shared" si="208"/>
        <v>C:\Users\jaime.benazar\Quorum Business Solutions\Ecopetrol Prometeo - Documents\Planning Space Implementation\3. Analysis &amp; Design\Design\FC22\DRR Jaime\QUIFA-CAJÚA\Cajua\[VAS_CAJUA_CF_SEC_20230125.xlsx]CF PNP'!</v>
      </c>
      <c r="G904" s="7" t="s">
        <v>37</v>
      </c>
      <c r="H904" s="4">
        <f t="shared" si="209"/>
        <v>64</v>
      </c>
      <c r="I904" s="4" t="str">
        <f t="shared" si="210"/>
        <v>='C:\Users\jaime.benazar\Quorum Business Solutions\Ecopetrol Prometeo - Documents\Planning Space Implementation\3. Analysis &amp; Design\Design\FC22\DRR Jaime\QUIFA-CAJÚA\Cajua\[VAS_CAJUA_CF_SEC_20230125.xlsx]CF PNP'!$BW$64</v>
      </c>
      <c r="J904" s="4" t="s">
        <v>564</v>
      </c>
    </row>
    <row r="905" spans="1:10" x14ac:dyDescent="0.25">
      <c r="A905" s="7" t="s">
        <v>2</v>
      </c>
      <c r="B905" s="7">
        <f t="shared" si="211"/>
        <v>2052</v>
      </c>
      <c r="C905" s="4" t="s">
        <v>11</v>
      </c>
      <c r="D905" s="5" t="s">
        <v>128</v>
      </c>
      <c r="E905" s="10" t="str">
        <f t="shared" si="207"/>
        <v>PNP'!</v>
      </c>
      <c r="F905" s="5" t="str">
        <f t="shared" si="208"/>
        <v>C:\Users\jaime.benazar\Quorum Business Solutions\Ecopetrol Prometeo - Documents\Planning Space Implementation\3. Analysis &amp; Design\Design\FC22\DRR Jaime\QUIFA-CAJÚA\Cajua\[VAS_CAJUA_CF_SEC_20230125.xlsx]CF PNP'!</v>
      </c>
      <c r="G905" s="7" t="s">
        <v>37</v>
      </c>
      <c r="H905" s="4">
        <f t="shared" si="209"/>
        <v>65</v>
      </c>
      <c r="I905" s="4" t="str">
        <f t="shared" si="210"/>
        <v>='C:\Users\jaime.benazar\Quorum Business Solutions\Ecopetrol Prometeo - Documents\Planning Space Implementation\3. Analysis &amp; Design\Design\FC22\DRR Jaime\QUIFA-CAJÚA\Cajua\[VAS_CAJUA_CF_SEC_20230125.xlsx]CF PNP'!$BW$65</v>
      </c>
      <c r="J905" s="4" t="s">
        <v>565</v>
      </c>
    </row>
    <row r="906" spans="1:10" x14ac:dyDescent="0.25">
      <c r="A906" s="7" t="s">
        <v>2</v>
      </c>
      <c r="B906" s="7">
        <f t="shared" si="211"/>
        <v>2053</v>
      </c>
      <c r="C906" s="4" t="s">
        <v>11</v>
      </c>
      <c r="D906" s="5" t="s">
        <v>128</v>
      </c>
      <c r="E906" s="10" t="str">
        <f t="shared" si="207"/>
        <v>PNP'!</v>
      </c>
      <c r="F906" s="5" t="str">
        <f t="shared" si="208"/>
        <v>C:\Users\jaime.benazar\Quorum Business Solutions\Ecopetrol Prometeo - Documents\Planning Space Implementation\3. Analysis &amp; Design\Design\FC22\DRR Jaime\QUIFA-CAJÚA\Cajua\[VAS_CAJUA_CF_SEC_20230125.xlsx]CF PNP'!</v>
      </c>
      <c r="G906" s="7" t="s">
        <v>37</v>
      </c>
      <c r="H906" s="4">
        <f t="shared" si="209"/>
        <v>66</v>
      </c>
      <c r="I906" s="4" t="str">
        <f t="shared" si="210"/>
        <v>='C:\Users\jaime.benazar\Quorum Business Solutions\Ecopetrol Prometeo - Documents\Planning Space Implementation\3. Analysis &amp; Design\Design\FC22\DRR Jaime\QUIFA-CAJÚA\Cajua\[VAS_CAJUA_CF_SEC_20230125.xlsx]CF PNP'!$BW$66</v>
      </c>
      <c r="J906" s="4" t="s">
        <v>566</v>
      </c>
    </row>
    <row r="907" spans="1:10" x14ac:dyDescent="0.25">
      <c r="A907" s="7" t="s">
        <v>2</v>
      </c>
      <c r="B907" s="7">
        <f t="shared" si="211"/>
        <v>2054</v>
      </c>
      <c r="C907" s="4" t="s">
        <v>11</v>
      </c>
      <c r="D907" s="5" t="s">
        <v>128</v>
      </c>
      <c r="E907" s="10" t="str">
        <f t="shared" si="207"/>
        <v>PNP'!</v>
      </c>
      <c r="F907" s="5" t="str">
        <f t="shared" si="208"/>
        <v>C:\Users\jaime.benazar\Quorum Business Solutions\Ecopetrol Prometeo - Documents\Planning Space Implementation\3. Analysis &amp; Design\Design\FC22\DRR Jaime\QUIFA-CAJÚA\Cajua\[VAS_CAJUA_CF_SEC_20230125.xlsx]CF PNP'!</v>
      </c>
      <c r="G907" s="7" t="s">
        <v>37</v>
      </c>
      <c r="H907" s="4">
        <f t="shared" si="209"/>
        <v>67</v>
      </c>
      <c r="I907" s="4" t="str">
        <f t="shared" si="210"/>
        <v>='C:\Users\jaime.benazar\Quorum Business Solutions\Ecopetrol Prometeo - Documents\Planning Space Implementation\3. Analysis &amp; Design\Design\FC22\DRR Jaime\QUIFA-CAJÚA\Cajua\[VAS_CAJUA_CF_SEC_20230125.xlsx]CF PNP'!$BW$67</v>
      </c>
      <c r="J907" s="4" t="s">
        <v>567</v>
      </c>
    </row>
    <row r="908" spans="1:10" x14ac:dyDescent="0.25">
      <c r="A908" s="7" t="s">
        <v>2</v>
      </c>
      <c r="B908" s="7">
        <f t="shared" si="211"/>
        <v>2055</v>
      </c>
      <c r="C908" s="4" t="s">
        <v>11</v>
      </c>
      <c r="D908" s="5" t="s">
        <v>128</v>
      </c>
      <c r="E908" s="10" t="str">
        <f t="shared" si="207"/>
        <v>PNP'!</v>
      </c>
      <c r="F908" s="5" t="str">
        <f t="shared" si="208"/>
        <v>C:\Users\jaime.benazar\Quorum Business Solutions\Ecopetrol Prometeo - Documents\Planning Space Implementation\3. Analysis &amp; Design\Design\FC22\DRR Jaime\QUIFA-CAJÚA\Cajua\[VAS_CAJUA_CF_SEC_20230125.xlsx]CF PNP'!</v>
      </c>
      <c r="G908" s="7" t="s">
        <v>37</v>
      </c>
      <c r="H908" s="4">
        <f t="shared" si="209"/>
        <v>68</v>
      </c>
      <c r="I908" s="4" t="str">
        <f t="shared" si="210"/>
        <v>='C:\Users\jaime.benazar\Quorum Business Solutions\Ecopetrol Prometeo - Documents\Planning Space Implementation\3. Analysis &amp; Design\Design\FC22\DRR Jaime\QUIFA-CAJÚA\Cajua\[VAS_CAJUA_CF_SEC_20230125.xlsx]CF PNP'!$BW$68</v>
      </c>
      <c r="J908" s="4" t="s">
        <v>568</v>
      </c>
    </row>
    <row r="909" spans="1:10" x14ac:dyDescent="0.25">
      <c r="A909" s="7" t="s">
        <v>2</v>
      </c>
      <c r="B909" s="7">
        <f t="shared" si="211"/>
        <v>2056</v>
      </c>
      <c r="C909" s="4" t="s">
        <v>11</v>
      </c>
      <c r="D909" s="5" t="s">
        <v>128</v>
      </c>
      <c r="E909" s="10" t="str">
        <f t="shared" si="207"/>
        <v>PNP'!</v>
      </c>
      <c r="F909" s="5" t="str">
        <f t="shared" si="208"/>
        <v>C:\Users\jaime.benazar\Quorum Business Solutions\Ecopetrol Prometeo - Documents\Planning Space Implementation\3. Analysis &amp; Design\Design\FC22\DRR Jaime\QUIFA-CAJÚA\Cajua\[VAS_CAJUA_CF_SEC_20230125.xlsx]CF PNP'!</v>
      </c>
      <c r="G909" s="7" t="s">
        <v>37</v>
      </c>
      <c r="H909" s="4">
        <f t="shared" si="209"/>
        <v>69</v>
      </c>
      <c r="I909" s="4" t="str">
        <f t="shared" si="210"/>
        <v>='C:\Users\jaime.benazar\Quorum Business Solutions\Ecopetrol Prometeo - Documents\Planning Space Implementation\3. Analysis &amp; Design\Design\FC22\DRR Jaime\QUIFA-CAJÚA\Cajua\[VAS_CAJUA_CF_SEC_20230125.xlsx]CF PNP'!$BW$69</v>
      </c>
      <c r="J909" s="4" t="s">
        <v>569</v>
      </c>
    </row>
    <row r="910" spans="1:10" x14ac:dyDescent="0.25">
      <c r="A910" s="7" t="s">
        <v>2</v>
      </c>
      <c r="B910" s="7">
        <f t="shared" si="211"/>
        <v>2057</v>
      </c>
      <c r="C910" s="4" t="s">
        <v>11</v>
      </c>
      <c r="D910" s="5" t="s">
        <v>128</v>
      </c>
      <c r="E910" s="10" t="str">
        <f t="shared" si="207"/>
        <v>PNP'!</v>
      </c>
      <c r="F910" s="5" t="str">
        <f t="shared" si="208"/>
        <v>C:\Users\jaime.benazar\Quorum Business Solutions\Ecopetrol Prometeo - Documents\Planning Space Implementation\3. Analysis &amp; Design\Design\FC22\DRR Jaime\QUIFA-CAJÚA\Cajua\[VAS_CAJUA_CF_SEC_20230125.xlsx]CF PNP'!</v>
      </c>
      <c r="G910" s="7" t="s">
        <v>37</v>
      </c>
      <c r="H910" s="4">
        <f t="shared" si="209"/>
        <v>70</v>
      </c>
      <c r="I910" s="4" t="str">
        <f t="shared" si="210"/>
        <v>='C:\Users\jaime.benazar\Quorum Business Solutions\Ecopetrol Prometeo - Documents\Planning Space Implementation\3. Analysis &amp; Design\Design\FC22\DRR Jaime\QUIFA-CAJÚA\Cajua\[VAS_CAJUA_CF_SEC_20230125.xlsx]CF PNP'!$BW$70</v>
      </c>
      <c r="J910" s="4" t="s">
        <v>570</v>
      </c>
    </row>
    <row r="911" spans="1:10" x14ac:dyDescent="0.25">
      <c r="A911" s="7" t="s">
        <v>2</v>
      </c>
      <c r="B911" s="7">
        <f t="shared" si="211"/>
        <v>2058</v>
      </c>
      <c r="C911" s="4" t="s">
        <v>11</v>
      </c>
      <c r="D911" s="5" t="s">
        <v>128</v>
      </c>
      <c r="E911" s="10" t="str">
        <f t="shared" si="207"/>
        <v>PNP'!</v>
      </c>
      <c r="F911" s="5" t="str">
        <f t="shared" si="208"/>
        <v>C:\Users\jaime.benazar\Quorum Business Solutions\Ecopetrol Prometeo - Documents\Planning Space Implementation\3. Analysis &amp; Design\Design\FC22\DRR Jaime\QUIFA-CAJÚA\Cajua\[VAS_CAJUA_CF_SEC_20230125.xlsx]CF PNP'!</v>
      </c>
      <c r="G911" s="7" t="s">
        <v>37</v>
      </c>
      <c r="H911" s="4">
        <f t="shared" si="209"/>
        <v>71</v>
      </c>
      <c r="I911" s="4" t="str">
        <f t="shared" si="210"/>
        <v>='C:\Users\jaime.benazar\Quorum Business Solutions\Ecopetrol Prometeo - Documents\Planning Space Implementation\3. Analysis &amp; Design\Design\FC22\DRR Jaime\QUIFA-CAJÚA\Cajua\[VAS_CAJUA_CF_SEC_20230125.xlsx]CF PNP'!$BW$71</v>
      </c>
      <c r="J911" s="4" t="s">
        <v>571</v>
      </c>
    </row>
    <row r="912" spans="1:10" x14ac:dyDescent="0.25">
      <c r="A912" s="7" t="s">
        <v>2</v>
      </c>
      <c r="B912" s="7">
        <f t="shared" si="211"/>
        <v>2059</v>
      </c>
      <c r="C912" s="4" t="s">
        <v>11</v>
      </c>
      <c r="D912" s="5" t="s">
        <v>128</v>
      </c>
      <c r="E912" s="10" t="str">
        <f t="shared" si="207"/>
        <v>PNP'!</v>
      </c>
      <c r="F912" s="5" t="str">
        <f t="shared" si="208"/>
        <v>C:\Users\jaime.benazar\Quorum Business Solutions\Ecopetrol Prometeo - Documents\Planning Space Implementation\3. Analysis &amp; Design\Design\FC22\DRR Jaime\QUIFA-CAJÚA\Cajua\[VAS_CAJUA_CF_SEC_20230125.xlsx]CF PNP'!</v>
      </c>
      <c r="G912" s="7" t="s">
        <v>37</v>
      </c>
      <c r="H912" s="4">
        <f t="shared" si="209"/>
        <v>72</v>
      </c>
      <c r="I912" s="4" t="str">
        <f t="shared" si="210"/>
        <v>='C:\Users\jaime.benazar\Quorum Business Solutions\Ecopetrol Prometeo - Documents\Planning Space Implementation\3. Analysis &amp; Design\Design\FC22\DRR Jaime\QUIFA-CAJÚA\Cajua\[VAS_CAJUA_CF_SEC_20230125.xlsx]CF PNP'!$BW$72</v>
      </c>
      <c r="J912" s="4" t="s">
        <v>572</v>
      </c>
    </row>
    <row r="913" spans="1:10" x14ac:dyDescent="0.25">
      <c r="A913" s="7" t="s">
        <v>28</v>
      </c>
      <c r="B913" s="7"/>
      <c r="C913" s="4" t="s">
        <v>11</v>
      </c>
      <c r="D913" s="5"/>
      <c r="E913" s="10"/>
      <c r="F913" s="5"/>
      <c r="G913" s="7"/>
      <c r="H913" s="4"/>
      <c r="I913" s="4"/>
      <c r="J913" s="4"/>
    </row>
    <row r="914" spans="1:10" x14ac:dyDescent="0.25">
      <c r="A914" s="7" t="s">
        <v>3</v>
      </c>
      <c r="B914" s="7">
        <v>2023</v>
      </c>
      <c r="C914" s="4" t="s">
        <v>11</v>
      </c>
      <c r="D914" s="5" t="s">
        <v>128</v>
      </c>
      <c r="E914" s="10" t="str">
        <f t="shared" si="192"/>
        <v>PND'!</v>
      </c>
      <c r="F914" s="5" t="str">
        <f>_xlfn.CONCAT(D914," ",E914)</f>
        <v>C:\Users\jaime.benazar\Quorum Business Solutions\Ecopetrol Prometeo - Documents\Planning Space Implementation\3. Analysis &amp; Design\Design\FC22\DRR Jaime\QUIFA-CAJÚA\Cajua\[VAS_CAJUA_CF_SEC_20230125.xlsx]CF PND'!</v>
      </c>
      <c r="G914" s="7" t="s">
        <v>37</v>
      </c>
      <c r="H914" s="4">
        <f>IF(A914&lt;&gt;A898,36,H898+1)</f>
        <v>36</v>
      </c>
      <c r="I914" s="4" t="str">
        <f t="shared" si="193"/>
        <v>='C:\Users\jaime.benazar\Quorum Business Solutions\Ecopetrol Prometeo - Documents\Planning Space Implementation\3. Analysis &amp; Design\Design\FC22\DRR Jaime\QUIFA-CAJÚA\Cajua\[VAS_CAJUA_CF_SEC_20230125.xlsx]CF PND'!$BW$36</v>
      </c>
      <c r="J914" s="4" t="s">
        <v>573</v>
      </c>
    </row>
    <row r="915" spans="1:10" x14ac:dyDescent="0.25">
      <c r="A915" s="7" t="s">
        <v>3</v>
      </c>
      <c r="B915" s="7">
        <f>+B914+1</f>
        <v>2024</v>
      </c>
      <c r="C915" s="4" t="s">
        <v>11</v>
      </c>
      <c r="D915" s="5" t="s">
        <v>128</v>
      </c>
      <c r="E915" s="10" t="str">
        <f t="shared" si="192"/>
        <v>PND'!</v>
      </c>
      <c r="F915" s="5" t="str">
        <f t="shared" ref="F915:F1006" si="212">_xlfn.CONCAT(D915," ",E915)</f>
        <v>C:\Users\jaime.benazar\Quorum Business Solutions\Ecopetrol Prometeo - Documents\Planning Space Implementation\3. Analysis &amp; Design\Design\FC22\DRR Jaime\QUIFA-CAJÚA\Cajua\[VAS_CAJUA_CF_SEC_20230125.xlsx]CF PND'!</v>
      </c>
      <c r="G915" s="7" t="s">
        <v>37</v>
      </c>
      <c r="H915" s="4">
        <f t="shared" si="195"/>
        <v>37</v>
      </c>
      <c r="I915" s="4" t="str">
        <f t="shared" si="193"/>
        <v>='C:\Users\jaime.benazar\Quorum Business Solutions\Ecopetrol Prometeo - Documents\Planning Space Implementation\3. Analysis &amp; Design\Design\FC22\DRR Jaime\QUIFA-CAJÚA\Cajua\[VAS_CAJUA_CF_SEC_20230125.xlsx]CF PND'!$BW$37</v>
      </c>
      <c r="J915" s="4" t="s">
        <v>574</v>
      </c>
    </row>
    <row r="916" spans="1:10" x14ac:dyDescent="0.25">
      <c r="A916" s="7" t="s">
        <v>3</v>
      </c>
      <c r="B916" s="7">
        <f t="shared" ref="B916:B927" si="213">+B915+1</f>
        <v>2025</v>
      </c>
      <c r="C916" s="4" t="s">
        <v>11</v>
      </c>
      <c r="D916" s="5" t="s">
        <v>128</v>
      </c>
      <c r="E916" s="10" t="str">
        <f t="shared" si="192"/>
        <v>PND'!</v>
      </c>
      <c r="F916" s="5" t="str">
        <f t="shared" si="212"/>
        <v>C:\Users\jaime.benazar\Quorum Business Solutions\Ecopetrol Prometeo - Documents\Planning Space Implementation\3. Analysis &amp; Design\Design\FC22\DRR Jaime\QUIFA-CAJÚA\Cajua\[VAS_CAJUA_CF_SEC_20230125.xlsx]CF PND'!</v>
      </c>
      <c r="G916" s="7" t="s">
        <v>37</v>
      </c>
      <c r="H916" s="4">
        <f t="shared" si="195"/>
        <v>38</v>
      </c>
      <c r="I916" s="4" t="str">
        <f t="shared" si="193"/>
        <v>='C:\Users\jaime.benazar\Quorum Business Solutions\Ecopetrol Prometeo - Documents\Planning Space Implementation\3. Analysis &amp; Design\Design\FC22\DRR Jaime\QUIFA-CAJÚA\Cajua\[VAS_CAJUA_CF_SEC_20230125.xlsx]CF PND'!$BW$38</v>
      </c>
      <c r="J916" s="4" t="s">
        <v>575</v>
      </c>
    </row>
    <row r="917" spans="1:10" x14ac:dyDescent="0.25">
      <c r="A917" s="7" t="s">
        <v>3</v>
      </c>
      <c r="B917" s="7">
        <f t="shared" si="213"/>
        <v>2026</v>
      </c>
      <c r="C917" s="4" t="s">
        <v>11</v>
      </c>
      <c r="D917" s="5" t="s">
        <v>128</v>
      </c>
      <c r="E917" s="10" t="str">
        <f t="shared" si="192"/>
        <v>PND'!</v>
      </c>
      <c r="F917" s="5" t="str">
        <f t="shared" si="212"/>
        <v>C:\Users\jaime.benazar\Quorum Business Solutions\Ecopetrol Prometeo - Documents\Planning Space Implementation\3. Analysis &amp; Design\Design\FC22\DRR Jaime\QUIFA-CAJÚA\Cajua\[VAS_CAJUA_CF_SEC_20230125.xlsx]CF PND'!</v>
      </c>
      <c r="G917" s="7" t="s">
        <v>37</v>
      </c>
      <c r="H917" s="4">
        <f t="shared" si="195"/>
        <v>39</v>
      </c>
      <c r="I917" s="4" t="str">
        <f t="shared" si="193"/>
        <v>='C:\Users\jaime.benazar\Quorum Business Solutions\Ecopetrol Prometeo - Documents\Planning Space Implementation\3. Analysis &amp; Design\Design\FC22\DRR Jaime\QUIFA-CAJÚA\Cajua\[VAS_CAJUA_CF_SEC_20230125.xlsx]CF PND'!$BW$39</v>
      </c>
      <c r="J917" s="4" t="s">
        <v>576</v>
      </c>
    </row>
    <row r="918" spans="1:10" x14ac:dyDescent="0.25">
      <c r="A918" s="7" t="s">
        <v>3</v>
      </c>
      <c r="B918" s="7">
        <f t="shared" si="213"/>
        <v>2027</v>
      </c>
      <c r="C918" s="4" t="s">
        <v>11</v>
      </c>
      <c r="D918" s="5" t="s">
        <v>128</v>
      </c>
      <c r="E918" s="10" t="str">
        <f t="shared" si="192"/>
        <v>PND'!</v>
      </c>
      <c r="F918" s="5" t="str">
        <f t="shared" si="212"/>
        <v>C:\Users\jaime.benazar\Quorum Business Solutions\Ecopetrol Prometeo - Documents\Planning Space Implementation\3. Analysis &amp; Design\Design\FC22\DRR Jaime\QUIFA-CAJÚA\Cajua\[VAS_CAJUA_CF_SEC_20230125.xlsx]CF PND'!</v>
      </c>
      <c r="G918" s="7" t="s">
        <v>37</v>
      </c>
      <c r="H918" s="4">
        <f t="shared" si="195"/>
        <v>40</v>
      </c>
      <c r="I918" s="4" t="str">
        <f t="shared" si="193"/>
        <v>='C:\Users\jaime.benazar\Quorum Business Solutions\Ecopetrol Prometeo - Documents\Planning Space Implementation\3. Analysis &amp; Design\Design\FC22\DRR Jaime\QUIFA-CAJÚA\Cajua\[VAS_CAJUA_CF_SEC_20230125.xlsx]CF PND'!$BW$40</v>
      </c>
      <c r="J918" s="4" t="s">
        <v>577</v>
      </c>
    </row>
    <row r="919" spans="1:10" x14ac:dyDescent="0.25">
      <c r="A919" s="7" t="s">
        <v>3</v>
      </c>
      <c r="B919" s="7">
        <f t="shared" si="213"/>
        <v>2028</v>
      </c>
      <c r="C919" s="4" t="s">
        <v>11</v>
      </c>
      <c r="D919" s="5" t="s">
        <v>128</v>
      </c>
      <c r="E919" s="10" t="str">
        <f t="shared" si="192"/>
        <v>PND'!</v>
      </c>
      <c r="F919" s="5" t="str">
        <f t="shared" si="212"/>
        <v>C:\Users\jaime.benazar\Quorum Business Solutions\Ecopetrol Prometeo - Documents\Planning Space Implementation\3. Analysis &amp; Design\Design\FC22\DRR Jaime\QUIFA-CAJÚA\Cajua\[VAS_CAJUA_CF_SEC_20230125.xlsx]CF PND'!</v>
      </c>
      <c r="G919" s="7" t="s">
        <v>37</v>
      </c>
      <c r="H919" s="4">
        <f t="shared" si="195"/>
        <v>41</v>
      </c>
      <c r="I919" s="4" t="str">
        <f t="shared" si="193"/>
        <v>='C:\Users\jaime.benazar\Quorum Business Solutions\Ecopetrol Prometeo - Documents\Planning Space Implementation\3. Analysis &amp; Design\Design\FC22\DRR Jaime\QUIFA-CAJÚA\Cajua\[VAS_CAJUA_CF_SEC_20230125.xlsx]CF PND'!$BW$41</v>
      </c>
      <c r="J919" s="4" t="s">
        <v>578</v>
      </c>
    </row>
    <row r="920" spans="1:10" x14ac:dyDescent="0.25">
      <c r="A920" s="7" t="s">
        <v>3</v>
      </c>
      <c r="B920" s="7">
        <f t="shared" si="213"/>
        <v>2029</v>
      </c>
      <c r="C920" s="4" t="s">
        <v>11</v>
      </c>
      <c r="D920" s="5" t="s">
        <v>128</v>
      </c>
      <c r="E920" s="10" t="str">
        <f t="shared" si="192"/>
        <v>PND'!</v>
      </c>
      <c r="F920" s="5" t="str">
        <f t="shared" si="212"/>
        <v>C:\Users\jaime.benazar\Quorum Business Solutions\Ecopetrol Prometeo - Documents\Planning Space Implementation\3. Analysis &amp; Design\Design\FC22\DRR Jaime\QUIFA-CAJÚA\Cajua\[VAS_CAJUA_CF_SEC_20230125.xlsx]CF PND'!</v>
      </c>
      <c r="G920" s="7" t="s">
        <v>37</v>
      </c>
      <c r="H920" s="4">
        <f t="shared" si="195"/>
        <v>42</v>
      </c>
      <c r="I920" s="4" t="str">
        <f t="shared" si="193"/>
        <v>='C:\Users\jaime.benazar\Quorum Business Solutions\Ecopetrol Prometeo - Documents\Planning Space Implementation\3. Analysis &amp; Design\Design\FC22\DRR Jaime\QUIFA-CAJÚA\Cajua\[VAS_CAJUA_CF_SEC_20230125.xlsx]CF PND'!$BW$42</v>
      </c>
      <c r="J920" s="4" t="s">
        <v>579</v>
      </c>
    </row>
    <row r="921" spans="1:10" x14ac:dyDescent="0.25">
      <c r="A921" s="7" t="s">
        <v>3</v>
      </c>
      <c r="B921" s="7">
        <f t="shared" si="213"/>
        <v>2030</v>
      </c>
      <c r="C921" s="4" t="s">
        <v>11</v>
      </c>
      <c r="D921" s="5" t="s">
        <v>128</v>
      </c>
      <c r="E921" s="10" t="str">
        <f t="shared" si="192"/>
        <v>PND'!</v>
      </c>
      <c r="F921" s="5" t="str">
        <f t="shared" si="212"/>
        <v>C:\Users\jaime.benazar\Quorum Business Solutions\Ecopetrol Prometeo - Documents\Planning Space Implementation\3. Analysis &amp; Design\Design\FC22\DRR Jaime\QUIFA-CAJÚA\Cajua\[VAS_CAJUA_CF_SEC_20230125.xlsx]CF PND'!</v>
      </c>
      <c r="G921" s="7" t="s">
        <v>37</v>
      </c>
      <c r="H921" s="4">
        <f t="shared" si="195"/>
        <v>43</v>
      </c>
      <c r="I921" s="4" t="str">
        <f t="shared" si="193"/>
        <v>='C:\Users\jaime.benazar\Quorum Business Solutions\Ecopetrol Prometeo - Documents\Planning Space Implementation\3. Analysis &amp; Design\Design\FC22\DRR Jaime\QUIFA-CAJÚA\Cajua\[VAS_CAJUA_CF_SEC_20230125.xlsx]CF PND'!$BW$43</v>
      </c>
      <c r="J921" s="4" t="s">
        <v>580</v>
      </c>
    </row>
    <row r="922" spans="1:10" x14ac:dyDescent="0.25">
      <c r="A922" s="7" t="s">
        <v>3</v>
      </c>
      <c r="B922" s="7">
        <f t="shared" si="213"/>
        <v>2031</v>
      </c>
      <c r="C922" s="4" t="s">
        <v>11</v>
      </c>
      <c r="D922" s="5" t="s">
        <v>128</v>
      </c>
      <c r="E922" s="10" t="str">
        <f t="shared" si="192"/>
        <v>PND'!</v>
      </c>
      <c r="F922" s="5" t="str">
        <f t="shared" si="212"/>
        <v>C:\Users\jaime.benazar\Quorum Business Solutions\Ecopetrol Prometeo - Documents\Planning Space Implementation\3. Analysis &amp; Design\Design\FC22\DRR Jaime\QUIFA-CAJÚA\Cajua\[VAS_CAJUA_CF_SEC_20230125.xlsx]CF PND'!</v>
      </c>
      <c r="G922" s="7" t="s">
        <v>37</v>
      </c>
      <c r="H922" s="4">
        <f t="shared" si="195"/>
        <v>44</v>
      </c>
      <c r="I922" s="4" t="str">
        <f t="shared" si="193"/>
        <v>='C:\Users\jaime.benazar\Quorum Business Solutions\Ecopetrol Prometeo - Documents\Planning Space Implementation\3. Analysis &amp; Design\Design\FC22\DRR Jaime\QUIFA-CAJÚA\Cajua\[VAS_CAJUA_CF_SEC_20230125.xlsx]CF PND'!$BW$44</v>
      </c>
      <c r="J922" s="4" t="s">
        <v>581</v>
      </c>
    </row>
    <row r="923" spans="1:10" x14ac:dyDescent="0.25">
      <c r="A923" s="7" t="s">
        <v>3</v>
      </c>
      <c r="B923" s="7">
        <f t="shared" si="213"/>
        <v>2032</v>
      </c>
      <c r="C923" s="4" t="s">
        <v>11</v>
      </c>
      <c r="D923" s="5" t="s">
        <v>128</v>
      </c>
      <c r="E923" s="10" t="str">
        <f t="shared" si="192"/>
        <v>PND'!</v>
      </c>
      <c r="F923" s="5" t="str">
        <f t="shared" si="212"/>
        <v>C:\Users\jaime.benazar\Quorum Business Solutions\Ecopetrol Prometeo - Documents\Planning Space Implementation\3. Analysis &amp; Design\Design\FC22\DRR Jaime\QUIFA-CAJÚA\Cajua\[VAS_CAJUA_CF_SEC_20230125.xlsx]CF PND'!</v>
      </c>
      <c r="G923" s="7" t="s">
        <v>37</v>
      </c>
      <c r="H923" s="4">
        <f t="shared" si="195"/>
        <v>45</v>
      </c>
      <c r="I923" s="4" t="str">
        <f t="shared" si="193"/>
        <v>='C:\Users\jaime.benazar\Quorum Business Solutions\Ecopetrol Prometeo - Documents\Planning Space Implementation\3. Analysis &amp; Design\Design\FC22\DRR Jaime\QUIFA-CAJÚA\Cajua\[VAS_CAJUA_CF_SEC_20230125.xlsx]CF PND'!$BW$45</v>
      </c>
      <c r="J923" s="4" t="s">
        <v>582</v>
      </c>
    </row>
    <row r="924" spans="1:10" x14ac:dyDescent="0.25">
      <c r="A924" s="7" t="s">
        <v>3</v>
      </c>
      <c r="B924" s="7">
        <f t="shared" si="213"/>
        <v>2033</v>
      </c>
      <c r="C924" s="4" t="s">
        <v>11</v>
      </c>
      <c r="D924" s="5" t="s">
        <v>128</v>
      </c>
      <c r="E924" s="10" t="str">
        <f t="shared" si="192"/>
        <v>PND'!</v>
      </c>
      <c r="F924" s="5" t="str">
        <f t="shared" si="212"/>
        <v>C:\Users\jaime.benazar\Quorum Business Solutions\Ecopetrol Prometeo - Documents\Planning Space Implementation\3. Analysis &amp; Design\Design\FC22\DRR Jaime\QUIFA-CAJÚA\Cajua\[VAS_CAJUA_CF_SEC_20230125.xlsx]CF PND'!</v>
      </c>
      <c r="G924" s="7" t="s">
        <v>37</v>
      </c>
      <c r="H924" s="4">
        <f t="shared" si="195"/>
        <v>46</v>
      </c>
      <c r="I924" s="4" t="str">
        <f t="shared" si="193"/>
        <v>='C:\Users\jaime.benazar\Quorum Business Solutions\Ecopetrol Prometeo - Documents\Planning Space Implementation\3. Analysis &amp; Design\Design\FC22\DRR Jaime\QUIFA-CAJÚA\Cajua\[VAS_CAJUA_CF_SEC_20230125.xlsx]CF PND'!$BW$46</v>
      </c>
      <c r="J924" s="4" t="s">
        <v>583</v>
      </c>
    </row>
    <row r="925" spans="1:10" x14ac:dyDescent="0.25">
      <c r="A925" s="7" t="s">
        <v>3</v>
      </c>
      <c r="B925" s="7">
        <f t="shared" si="213"/>
        <v>2034</v>
      </c>
      <c r="C925" s="4" t="s">
        <v>11</v>
      </c>
      <c r="D925" s="5" t="s">
        <v>128</v>
      </c>
      <c r="E925" s="10" t="str">
        <f t="shared" si="192"/>
        <v>PND'!</v>
      </c>
      <c r="F925" s="5" t="str">
        <f t="shared" si="212"/>
        <v>C:\Users\jaime.benazar\Quorum Business Solutions\Ecopetrol Prometeo - Documents\Planning Space Implementation\3. Analysis &amp; Design\Design\FC22\DRR Jaime\QUIFA-CAJÚA\Cajua\[VAS_CAJUA_CF_SEC_20230125.xlsx]CF PND'!</v>
      </c>
      <c r="G925" s="7" t="s">
        <v>37</v>
      </c>
      <c r="H925" s="4">
        <f t="shared" si="195"/>
        <v>47</v>
      </c>
      <c r="I925" s="4" t="str">
        <f t="shared" si="193"/>
        <v>='C:\Users\jaime.benazar\Quorum Business Solutions\Ecopetrol Prometeo - Documents\Planning Space Implementation\3. Analysis &amp; Design\Design\FC22\DRR Jaime\QUIFA-CAJÚA\Cajua\[VAS_CAJUA_CF_SEC_20230125.xlsx]CF PND'!$BW$47</v>
      </c>
      <c r="J925" s="4" t="s">
        <v>584</v>
      </c>
    </row>
    <row r="926" spans="1:10" x14ac:dyDescent="0.25">
      <c r="A926" s="7" t="s">
        <v>3</v>
      </c>
      <c r="B926" s="7">
        <f t="shared" si="213"/>
        <v>2035</v>
      </c>
      <c r="C926" s="4" t="s">
        <v>11</v>
      </c>
      <c r="D926" s="5" t="s">
        <v>128</v>
      </c>
      <c r="E926" s="10" t="str">
        <f t="shared" si="192"/>
        <v>PND'!</v>
      </c>
      <c r="F926" s="5" t="str">
        <f t="shared" si="212"/>
        <v>C:\Users\jaime.benazar\Quorum Business Solutions\Ecopetrol Prometeo - Documents\Planning Space Implementation\3. Analysis &amp; Design\Design\FC22\DRR Jaime\QUIFA-CAJÚA\Cajua\[VAS_CAJUA_CF_SEC_20230125.xlsx]CF PND'!</v>
      </c>
      <c r="G926" s="7" t="s">
        <v>37</v>
      </c>
      <c r="H926" s="4">
        <f t="shared" si="195"/>
        <v>48</v>
      </c>
      <c r="I926" s="4" t="str">
        <f t="shared" si="193"/>
        <v>='C:\Users\jaime.benazar\Quorum Business Solutions\Ecopetrol Prometeo - Documents\Planning Space Implementation\3. Analysis &amp; Design\Design\FC22\DRR Jaime\QUIFA-CAJÚA\Cajua\[VAS_CAJUA_CF_SEC_20230125.xlsx]CF PND'!$BW$48</v>
      </c>
      <c r="J926" s="4" t="s">
        <v>585</v>
      </c>
    </row>
    <row r="927" spans="1:10" x14ac:dyDescent="0.25">
      <c r="A927" s="7" t="s">
        <v>3</v>
      </c>
      <c r="B927" s="7">
        <f t="shared" si="213"/>
        <v>2036</v>
      </c>
      <c r="C927" s="4" t="s">
        <v>11</v>
      </c>
      <c r="D927" s="5" t="s">
        <v>128</v>
      </c>
      <c r="E927" s="10" t="str">
        <f t="shared" si="192"/>
        <v>PND'!</v>
      </c>
      <c r="F927" s="5" t="str">
        <f t="shared" si="212"/>
        <v>C:\Users\jaime.benazar\Quorum Business Solutions\Ecopetrol Prometeo - Documents\Planning Space Implementation\3. Analysis &amp; Design\Design\FC22\DRR Jaime\QUIFA-CAJÚA\Cajua\[VAS_CAJUA_CF_SEC_20230125.xlsx]CF PND'!</v>
      </c>
      <c r="G927" s="7" t="s">
        <v>37</v>
      </c>
      <c r="H927" s="4">
        <f t="shared" si="195"/>
        <v>49</v>
      </c>
      <c r="I927" s="4" t="str">
        <f t="shared" si="193"/>
        <v>='C:\Users\jaime.benazar\Quorum Business Solutions\Ecopetrol Prometeo - Documents\Planning Space Implementation\3. Analysis &amp; Design\Design\FC22\DRR Jaime\QUIFA-CAJÚA\Cajua\[VAS_CAJUA_CF_SEC_20230125.xlsx]CF PND'!$BW$49</v>
      </c>
      <c r="J927" s="4" t="s">
        <v>586</v>
      </c>
    </row>
    <row r="928" spans="1:10" x14ac:dyDescent="0.25">
      <c r="A928" s="7" t="s">
        <v>3</v>
      </c>
      <c r="B928" s="7">
        <f>+B927+1</f>
        <v>2037</v>
      </c>
      <c r="C928" s="4" t="s">
        <v>11</v>
      </c>
      <c r="D928" s="5" t="s">
        <v>128</v>
      </c>
      <c r="E928" s="10" t="str">
        <f t="shared" si="192"/>
        <v>PND'!</v>
      </c>
      <c r="F928" s="5" t="str">
        <f t="shared" si="212"/>
        <v>C:\Users\jaime.benazar\Quorum Business Solutions\Ecopetrol Prometeo - Documents\Planning Space Implementation\3. Analysis &amp; Design\Design\FC22\DRR Jaime\QUIFA-CAJÚA\Cajua\[VAS_CAJUA_CF_SEC_20230125.xlsx]CF PND'!</v>
      </c>
      <c r="G928" s="7" t="s">
        <v>37</v>
      </c>
      <c r="H928" s="4">
        <f t="shared" si="195"/>
        <v>50</v>
      </c>
      <c r="I928" s="4" t="str">
        <f t="shared" si="193"/>
        <v>='C:\Users\jaime.benazar\Quorum Business Solutions\Ecopetrol Prometeo - Documents\Planning Space Implementation\3. Analysis &amp; Design\Design\FC22\DRR Jaime\QUIFA-CAJÚA\Cajua\[VAS_CAJUA_CF_SEC_20230125.xlsx]CF PND'!$BW$50</v>
      </c>
      <c r="J928" s="4" t="s">
        <v>587</v>
      </c>
    </row>
    <row r="929" spans="1:10" x14ac:dyDescent="0.25">
      <c r="A929" s="7" t="s">
        <v>3</v>
      </c>
      <c r="B929" s="7">
        <f t="shared" ref="B929:B931" si="214">+B928+1</f>
        <v>2038</v>
      </c>
      <c r="C929" s="4" t="s">
        <v>11</v>
      </c>
      <c r="D929" s="5" t="s">
        <v>128</v>
      </c>
      <c r="E929" s="10" t="str">
        <f t="shared" si="192"/>
        <v>PND'!</v>
      </c>
      <c r="F929" s="5" t="str">
        <f t="shared" si="212"/>
        <v>C:\Users\jaime.benazar\Quorum Business Solutions\Ecopetrol Prometeo - Documents\Planning Space Implementation\3. Analysis &amp; Design\Design\FC22\DRR Jaime\QUIFA-CAJÚA\Cajua\[VAS_CAJUA_CF_SEC_20230125.xlsx]CF PND'!</v>
      </c>
      <c r="G929" s="7" t="s">
        <v>37</v>
      </c>
      <c r="H929" s="4">
        <f t="shared" si="195"/>
        <v>51</v>
      </c>
      <c r="I929" s="4" t="str">
        <f t="shared" si="193"/>
        <v>='C:\Users\jaime.benazar\Quorum Business Solutions\Ecopetrol Prometeo - Documents\Planning Space Implementation\3. Analysis &amp; Design\Design\FC22\DRR Jaime\QUIFA-CAJÚA\Cajua\[VAS_CAJUA_CF_SEC_20230125.xlsx]CF PND'!$BW$51</v>
      </c>
      <c r="J929" s="4" t="s">
        <v>588</v>
      </c>
    </row>
    <row r="930" spans="1:10" x14ac:dyDescent="0.25">
      <c r="A930" s="7" t="s">
        <v>3</v>
      </c>
      <c r="B930" s="7">
        <f t="shared" si="214"/>
        <v>2039</v>
      </c>
      <c r="C930" s="4" t="s">
        <v>11</v>
      </c>
      <c r="D930" s="5" t="s">
        <v>128</v>
      </c>
      <c r="E930" s="10" t="str">
        <f t="shared" si="192"/>
        <v>PND'!</v>
      </c>
      <c r="F930" s="5" t="str">
        <f t="shared" si="212"/>
        <v>C:\Users\jaime.benazar\Quorum Business Solutions\Ecopetrol Prometeo - Documents\Planning Space Implementation\3. Analysis &amp; Design\Design\FC22\DRR Jaime\QUIFA-CAJÚA\Cajua\[VAS_CAJUA_CF_SEC_20230125.xlsx]CF PND'!</v>
      </c>
      <c r="G930" s="7" t="s">
        <v>37</v>
      </c>
      <c r="H930" s="4">
        <f t="shared" si="195"/>
        <v>52</v>
      </c>
      <c r="I930" s="4" t="str">
        <f t="shared" si="193"/>
        <v>='C:\Users\jaime.benazar\Quorum Business Solutions\Ecopetrol Prometeo - Documents\Planning Space Implementation\3. Analysis &amp; Design\Design\FC22\DRR Jaime\QUIFA-CAJÚA\Cajua\[VAS_CAJUA_CF_SEC_20230125.xlsx]CF PND'!$BW$52</v>
      </c>
      <c r="J930" s="4" t="s">
        <v>589</v>
      </c>
    </row>
    <row r="931" spans="1:10" x14ac:dyDescent="0.25">
      <c r="A931" s="7" t="s">
        <v>3</v>
      </c>
      <c r="B931" s="7">
        <f t="shared" si="214"/>
        <v>2040</v>
      </c>
      <c r="C931" s="4" t="s">
        <v>11</v>
      </c>
      <c r="D931" s="5" t="s">
        <v>128</v>
      </c>
      <c r="E931" s="10" t="str">
        <f t="shared" si="192"/>
        <v>PND'!</v>
      </c>
      <c r="F931" s="5" t="str">
        <f t="shared" si="212"/>
        <v>C:\Users\jaime.benazar\Quorum Business Solutions\Ecopetrol Prometeo - Documents\Planning Space Implementation\3. Analysis &amp; Design\Design\FC22\DRR Jaime\QUIFA-CAJÚA\Cajua\[VAS_CAJUA_CF_SEC_20230125.xlsx]CF PND'!</v>
      </c>
      <c r="G931" s="7" t="s">
        <v>37</v>
      </c>
      <c r="H931" s="4">
        <f t="shared" si="195"/>
        <v>53</v>
      </c>
      <c r="I931" s="4" t="str">
        <f t="shared" si="193"/>
        <v>='C:\Users\jaime.benazar\Quorum Business Solutions\Ecopetrol Prometeo - Documents\Planning Space Implementation\3. Analysis &amp; Design\Design\FC22\DRR Jaime\QUIFA-CAJÚA\Cajua\[VAS_CAJUA_CF_SEC_20230125.xlsx]CF PND'!$BW$53</v>
      </c>
      <c r="J931" s="4" t="s">
        <v>590</v>
      </c>
    </row>
    <row r="932" spans="1:10" x14ac:dyDescent="0.25">
      <c r="A932" s="7" t="s">
        <v>3</v>
      </c>
      <c r="B932" s="7">
        <f>+B931+1</f>
        <v>2041</v>
      </c>
      <c r="C932" s="4" t="s">
        <v>11</v>
      </c>
      <c r="D932" s="5" t="s">
        <v>128</v>
      </c>
      <c r="E932" s="10" t="str">
        <f t="shared" si="192"/>
        <v>PND'!</v>
      </c>
      <c r="F932" s="5" t="str">
        <f t="shared" si="212"/>
        <v>C:\Users\jaime.benazar\Quorum Business Solutions\Ecopetrol Prometeo - Documents\Planning Space Implementation\3. Analysis &amp; Design\Design\FC22\DRR Jaime\QUIFA-CAJÚA\Cajua\[VAS_CAJUA_CF_SEC_20230125.xlsx]CF PND'!</v>
      </c>
      <c r="G932" s="7" t="s">
        <v>37</v>
      </c>
      <c r="H932" s="4">
        <f t="shared" si="195"/>
        <v>54</v>
      </c>
      <c r="I932" s="4" t="str">
        <f t="shared" si="193"/>
        <v>='C:\Users\jaime.benazar\Quorum Business Solutions\Ecopetrol Prometeo - Documents\Planning Space Implementation\3. Analysis &amp; Design\Design\FC22\DRR Jaime\QUIFA-CAJÚA\Cajua\[VAS_CAJUA_CF_SEC_20230125.xlsx]CF PND'!$BW$54</v>
      </c>
      <c r="J932" s="4" t="s">
        <v>591</v>
      </c>
    </row>
    <row r="933" spans="1:10" x14ac:dyDescent="0.25">
      <c r="A933" s="7" t="s">
        <v>3</v>
      </c>
      <c r="B933" s="7">
        <f t="shared" ref="B933:B934" si="215">+B932+1</f>
        <v>2042</v>
      </c>
      <c r="C933" s="4" t="s">
        <v>11</v>
      </c>
      <c r="D933" s="5" t="s">
        <v>128</v>
      </c>
      <c r="E933" s="10" t="str">
        <f t="shared" ref="E933:E1238" si="216">_xlfn.CONCAT(A933,"'!")</f>
        <v>PND'!</v>
      </c>
      <c r="F933" s="5" t="str">
        <f t="shared" si="212"/>
        <v>C:\Users\jaime.benazar\Quorum Business Solutions\Ecopetrol Prometeo - Documents\Planning Space Implementation\3. Analysis &amp; Design\Design\FC22\DRR Jaime\QUIFA-CAJÚA\Cajua\[VAS_CAJUA_CF_SEC_20230125.xlsx]CF PND'!</v>
      </c>
      <c r="G933" s="7" t="s">
        <v>37</v>
      </c>
      <c r="H933" s="4">
        <f t="shared" si="195"/>
        <v>55</v>
      </c>
      <c r="I933" s="4" t="str">
        <f t="shared" ref="I933:I1238" si="217">_xlfn.CONCAT("='",F933:H933)</f>
        <v>='C:\Users\jaime.benazar\Quorum Business Solutions\Ecopetrol Prometeo - Documents\Planning Space Implementation\3. Analysis &amp; Design\Design\FC22\DRR Jaime\QUIFA-CAJÚA\Cajua\[VAS_CAJUA_CF_SEC_20230125.xlsx]CF PND'!$BW$55</v>
      </c>
      <c r="J933" s="4" t="s">
        <v>592</v>
      </c>
    </row>
    <row r="934" spans="1:10" x14ac:dyDescent="0.25">
      <c r="A934" s="7" t="s">
        <v>3</v>
      </c>
      <c r="B934" s="7">
        <f t="shared" si="215"/>
        <v>2043</v>
      </c>
      <c r="C934" s="4" t="s">
        <v>11</v>
      </c>
      <c r="D934" s="5" t="s">
        <v>128</v>
      </c>
      <c r="E934" s="10" t="str">
        <f t="shared" si="216"/>
        <v>PND'!</v>
      </c>
      <c r="F934" s="5" t="str">
        <f t="shared" si="212"/>
        <v>C:\Users\jaime.benazar\Quorum Business Solutions\Ecopetrol Prometeo - Documents\Planning Space Implementation\3. Analysis &amp; Design\Design\FC22\DRR Jaime\QUIFA-CAJÚA\Cajua\[VAS_CAJUA_CF_SEC_20230125.xlsx]CF PND'!</v>
      </c>
      <c r="G934" s="7" t="s">
        <v>37</v>
      </c>
      <c r="H934" s="4">
        <f t="shared" ref="H934:H1238" si="218">IF(A934&lt;&gt;A933,36,H933+1)</f>
        <v>56</v>
      </c>
      <c r="I934" s="4" t="str">
        <f t="shared" si="217"/>
        <v>='C:\Users\jaime.benazar\Quorum Business Solutions\Ecopetrol Prometeo - Documents\Planning Space Implementation\3. Analysis &amp; Design\Design\FC22\DRR Jaime\QUIFA-CAJÚA\Cajua\[VAS_CAJUA_CF_SEC_20230125.xlsx]CF PND'!$BW$56</v>
      </c>
      <c r="J934" s="4" t="s">
        <v>593</v>
      </c>
    </row>
    <row r="935" spans="1:10" x14ac:dyDescent="0.25">
      <c r="A935" s="7" t="s">
        <v>3</v>
      </c>
      <c r="B935" s="7">
        <f>+B934+1</f>
        <v>2044</v>
      </c>
      <c r="C935" s="4" t="s">
        <v>11</v>
      </c>
      <c r="D935" s="5" t="s">
        <v>128</v>
      </c>
      <c r="E935" s="10" t="str">
        <f t="shared" ref="E935:E950" si="219">_xlfn.CONCAT(A935,"'!")</f>
        <v>PND'!</v>
      </c>
      <c r="F935" s="5" t="str">
        <f t="shared" ref="F935:F950" si="220">_xlfn.CONCAT(D935," ",E935)</f>
        <v>C:\Users\jaime.benazar\Quorum Business Solutions\Ecopetrol Prometeo - Documents\Planning Space Implementation\3. Analysis &amp; Design\Design\FC22\DRR Jaime\QUIFA-CAJÚA\Cajua\[VAS_CAJUA_CF_SEC_20230125.xlsx]CF PND'!</v>
      </c>
      <c r="G935" s="7" t="s">
        <v>37</v>
      </c>
      <c r="H935" s="4">
        <f t="shared" ref="H935:H950" si="221">IF(A935&lt;&gt;A934,36,H934+1)</f>
        <v>57</v>
      </c>
      <c r="I935" s="4" t="str">
        <f t="shared" ref="I935:I950" si="222">_xlfn.CONCAT("='",F935:H935)</f>
        <v>='C:\Users\jaime.benazar\Quorum Business Solutions\Ecopetrol Prometeo - Documents\Planning Space Implementation\3. Analysis &amp; Design\Design\FC22\DRR Jaime\QUIFA-CAJÚA\Cajua\[VAS_CAJUA_CF_SEC_20230125.xlsx]CF PND'!$BW$57</v>
      </c>
      <c r="J935" s="4" t="s">
        <v>594</v>
      </c>
    </row>
    <row r="936" spans="1:10" x14ac:dyDescent="0.25">
      <c r="A936" s="7" t="s">
        <v>3</v>
      </c>
      <c r="B936" s="7">
        <f t="shared" ref="B936:B950" si="223">+B935+1</f>
        <v>2045</v>
      </c>
      <c r="C936" s="4" t="s">
        <v>11</v>
      </c>
      <c r="D936" s="5" t="s">
        <v>128</v>
      </c>
      <c r="E936" s="10" t="str">
        <f t="shared" si="219"/>
        <v>PND'!</v>
      </c>
      <c r="F936" s="5" t="str">
        <f t="shared" si="220"/>
        <v>C:\Users\jaime.benazar\Quorum Business Solutions\Ecopetrol Prometeo - Documents\Planning Space Implementation\3. Analysis &amp; Design\Design\FC22\DRR Jaime\QUIFA-CAJÚA\Cajua\[VAS_CAJUA_CF_SEC_20230125.xlsx]CF PND'!</v>
      </c>
      <c r="G936" s="7" t="s">
        <v>37</v>
      </c>
      <c r="H936" s="4">
        <f t="shared" si="221"/>
        <v>58</v>
      </c>
      <c r="I936" s="4" t="str">
        <f t="shared" si="222"/>
        <v>='C:\Users\jaime.benazar\Quorum Business Solutions\Ecopetrol Prometeo - Documents\Planning Space Implementation\3. Analysis &amp; Design\Design\FC22\DRR Jaime\QUIFA-CAJÚA\Cajua\[VAS_CAJUA_CF_SEC_20230125.xlsx]CF PND'!$BW$58</v>
      </c>
      <c r="J936" s="4" t="s">
        <v>595</v>
      </c>
    </row>
    <row r="937" spans="1:10" x14ac:dyDescent="0.25">
      <c r="A937" s="7" t="s">
        <v>3</v>
      </c>
      <c r="B937" s="7">
        <f t="shared" si="223"/>
        <v>2046</v>
      </c>
      <c r="C937" s="4" t="s">
        <v>11</v>
      </c>
      <c r="D937" s="5" t="s">
        <v>128</v>
      </c>
      <c r="E937" s="10" t="str">
        <f t="shared" si="219"/>
        <v>PND'!</v>
      </c>
      <c r="F937" s="5" t="str">
        <f t="shared" si="220"/>
        <v>C:\Users\jaime.benazar\Quorum Business Solutions\Ecopetrol Prometeo - Documents\Planning Space Implementation\3. Analysis &amp; Design\Design\FC22\DRR Jaime\QUIFA-CAJÚA\Cajua\[VAS_CAJUA_CF_SEC_20230125.xlsx]CF PND'!</v>
      </c>
      <c r="G937" s="7" t="s">
        <v>37</v>
      </c>
      <c r="H937" s="4">
        <f t="shared" si="221"/>
        <v>59</v>
      </c>
      <c r="I937" s="4" t="str">
        <f t="shared" si="222"/>
        <v>='C:\Users\jaime.benazar\Quorum Business Solutions\Ecopetrol Prometeo - Documents\Planning Space Implementation\3. Analysis &amp; Design\Design\FC22\DRR Jaime\QUIFA-CAJÚA\Cajua\[VAS_CAJUA_CF_SEC_20230125.xlsx]CF PND'!$BW$59</v>
      </c>
      <c r="J937" s="4" t="s">
        <v>596</v>
      </c>
    </row>
    <row r="938" spans="1:10" x14ac:dyDescent="0.25">
      <c r="A938" s="7" t="s">
        <v>3</v>
      </c>
      <c r="B938" s="7">
        <f t="shared" si="223"/>
        <v>2047</v>
      </c>
      <c r="C938" s="4" t="s">
        <v>11</v>
      </c>
      <c r="D938" s="5" t="s">
        <v>128</v>
      </c>
      <c r="E938" s="10" t="str">
        <f t="shared" si="219"/>
        <v>PND'!</v>
      </c>
      <c r="F938" s="5" t="str">
        <f t="shared" si="220"/>
        <v>C:\Users\jaime.benazar\Quorum Business Solutions\Ecopetrol Prometeo - Documents\Planning Space Implementation\3. Analysis &amp; Design\Design\FC22\DRR Jaime\QUIFA-CAJÚA\Cajua\[VAS_CAJUA_CF_SEC_20230125.xlsx]CF PND'!</v>
      </c>
      <c r="G938" s="7" t="s">
        <v>37</v>
      </c>
      <c r="H938" s="4">
        <f t="shared" si="221"/>
        <v>60</v>
      </c>
      <c r="I938" s="4" t="str">
        <f t="shared" si="222"/>
        <v>='C:\Users\jaime.benazar\Quorum Business Solutions\Ecopetrol Prometeo - Documents\Planning Space Implementation\3. Analysis &amp; Design\Design\FC22\DRR Jaime\QUIFA-CAJÚA\Cajua\[VAS_CAJUA_CF_SEC_20230125.xlsx]CF PND'!$BW$60</v>
      </c>
      <c r="J938" s="4" t="s">
        <v>597</v>
      </c>
    </row>
    <row r="939" spans="1:10" x14ac:dyDescent="0.25">
      <c r="A939" s="7" t="s">
        <v>3</v>
      </c>
      <c r="B939" s="7">
        <f t="shared" si="223"/>
        <v>2048</v>
      </c>
      <c r="C939" s="4" t="s">
        <v>11</v>
      </c>
      <c r="D939" s="5" t="s">
        <v>128</v>
      </c>
      <c r="E939" s="10" t="str">
        <f t="shared" si="219"/>
        <v>PND'!</v>
      </c>
      <c r="F939" s="5" t="str">
        <f t="shared" si="220"/>
        <v>C:\Users\jaime.benazar\Quorum Business Solutions\Ecopetrol Prometeo - Documents\Planning Space Implementation\3. Analysis &amp; Design\Design\FC22\DRR Jaime\QUIFA-CAJÚA\Cajua\[VAS_CAJUA_CF_SEC_20230125.xlsx]CF PND'!</v>
      </c>
      <c r="G939" s="7" t="s">
        <v>37</v>
      </c>
      <c r="H939" s="4">
        <f t="shared" si="221"/>
        <v>61</v>
      </c>
      <c r="I939" s="4" t="str">
        <f t="shared" si="222"/>
        <v>='C:\Users\jaime.benazar\Quorum Business Solutions\Ecopetrol Prometeo - Documents\Planning Space Implementation\3. Analysis &amp; Design\Design\FC22\DRR Jaime\QUIFA-CAJÚA\Cajua\[VAS_CAJUA_CF_SEC_20230125.xlsx]CF PND'!$BW$61</v>
      </c>
      <c r="J939" s="4" t="s">
        <v>598</v>
      </c>
    </row>
    <row r="940" spans="1:10" x14ac:dyDescent="0.25">
      <c r="A940" s="7" t="s">
        <v>3</v>
      </c>
      <c r="B940" s="7">
        <f t="shared" si="223"/>
        <v>2049</v>
      </c>
      <c r="C940" s="4" t="s">
        <v>11</v>
      </c>
      <c r="D940" s="5" t="s">
        <v>128</v>
      </c>
      <c r="E940" s="10" t="str">
        <f t="shared" si="219"/>
        <v>PND'!</v>
      </c>
      <c r="F940" s="5" t="str">
        <f t="shared" si="220"/>
        <v>C:\Users\jaime.benazar\Quorum Business Solutions\Ecopetrol Prometeo - Documents\Planning Space Implementation\3. Analysis &amp; Design\Design\FC22\DRR Jaime\QUIFA-CAJÚA\Cajua\[VAS_CAJUA_CF_SEC_20230125.xlsx]CF PND'!</v>
      </c>
      <c r="G940" s="7" t="s">
        <v>37</v>
      </c>
      <c r="H940" s="4">
        <f t="shared" si="221"/>
        <v>62</v>
      </c>
      <c r="I940" s="4" t="str">
        <f t="shared" si="222"/>
        <v>='C:\Users\jaime.benazar\Quorum Business Solutions\Ecopetrol Prometeo - Documents\Planning Space Implementation\3. Analysis &amp; Design\Design\FC22\DRR Jaime\QUIFA-CAJÚA\Cajua\[VAS_CAJUA_CF_SEC_20230125.xlsx]CF PND'!$BW$62</v>
      </c>
      <c r="J940" s="4" t="s">
        <v>599</v>
      </c>
    </row>
    <row r="941" spans="1:10" x14ac:dyDescent="0.25">
      <c r="A941" s="7" t="s">
        <v>3</v>
      </c>
      <c r="B941" s="7">
        <f t="shared" si="223"/>
        <v>2050</v>
      </c>
      <c r="C941" s="4" t="s">
        <v>11</v>
      </c>
      <c r="D941" s="5" t="s">
        <v>128</v>
      </c>
      <c r="E941" s="10" t="str">
        <f t="shared" si="219"/>
        <v>PND'!</v>
      </c>
      <c r="F941" s="5" t="str">
        <f t="shared" si="220"/>
        <v>C:\Users\jaime.benazar\Quorum Business Solutions\Ecopetrol Prometeo - Documents\Planning Space Implementation\3. Analysis &amp; Design\Design\FC22\DRR Jaime\QUIFA-CAJÚA\Cajua\[VAS_CAJUA_CF_SEC_20230125.xlsx]CF PND'!</v>
      </c>
      <c r="G941" s="7" t="s">
        <v>37</v>
      </c>
      <c r="H941" s="4">
        <f t="shared" si="221"/>
        <v>63</v>
      </c>
      <c r="I941" s="4" t="str">
        <f t="shared" si="222"/>
        <v>='C:\Users\jaime.benazar\Quorum Business Solutions\Ecopetrol Prometeo - Documents\Planning Space Implementation\3. Analysis &amp; Design\Design\FC22\DRR Jaime\QUIFA-CAJÚA\Cajua\[VAS_CAJUA_CF_SEC_20230125.xlsx]CF PND'!$BW$63</v>
      </c>
      <c r="J941" s="4" t="s">
        <v>600</v>
      </c>
    </row>
    <row r="942" spans="1:10" x14ac:dyDescent="0.25">
      <c r="A942" s="7" t="s">
        <v>3</v>
      </c>
      <c r="B942" s="7">
        <f t="shared" si="223"/>
        <v>2051</v>
      </c>
      <c r="C942" s="4" t="s">
        <v>11</v>
      </c>
      <c r="D942" s="5" t="s">
        <v>128</v>
      </c>
      <c r="E942" s="10" t="str">
        <f t="shared" si="219"/>
        <v>PND'!</v>
      </c>
      <c r="F942" s="5" t="str">
        <f t="shared" si="220"/>
        <v>C:\Users\jaime.benazar\Quorum Business Solutions\Ecopetrol Prometeo - Documents\Planning Space Implementation\3. Analysis &amp; Design\Design\FC22\DRR Jaime\QUIFA-CAJÚA\Cajua\[VAS_CAJUA_CF_SEC_20230125.xlsx]CF PND'!</v>
      </c>
      <c r="G942" s="7" t="s">
        <v>37</v>
      </c>
      <c r="H942" s="4">
        <f t="shared" si="221"/>
        <v>64</v>
      </c>
      <c r="I942" s="4" t="str">
        <f t="shared" si="222"/>
        <v>='C:\Users\jaime.benazar\Quorum Business Solutions\Ecopetrol Prometeo - Documents\Planning Space Implementation\3. Analysis &amp; Design\Design\FC22\DRR Jaime\QUIFA-CAJÚA\Cajua\[VAS_CAJUA_CF_SEC_20230125.xlsx]CF PND'!$BW$64</v>
      </c>
      <c r="J942" s="4" t="s">
        <v>601</v>
      </c>
    </row>
    <row r="943" spans="1:10" x14ac:dyDescent="0.25">
      <c r="A943" s="7" t="s">
        <v>3</v>
      </c>
      <c r="B943" s="7">
        <f t="shared" si="223"/>
        <v>2052</v>
      </c>
      <c r="C943" s="4" t="s">
        <v>11</v>
      </c>
      <c r="D943" s="5" t="s">
        <v>128</v>
      </c>
      <c r="E943" s="10" t="str">
        <f t="shared" si="219"/>
        <v>PND'!</v>
      </c>
      <c r="F943" s="5" t="str">
        <f t="shared" si="220"/>
        <v>C:\Users\jaime.benazar\Quorum Business Solutions\Ecopetrol Prometeo - Documents\Planning Space Implementation\3. Analysis &amp; Design\Design\FC22\DRR Jaime\QUIFA-CAJÚA\Cajua\[VAS_CAJUA_CF_SEC_20230125.xlsx]CF PND'!</v>
      </c>
      <c r="G943" s="7" t="s">
        <v>37</v>
      </c>
      <c r="H943" s="4">
        <f t="shared" si="221"/>
        <v>65</v>
      </c>
      <c r="I943" s="4" t="str">
        <f t="shared" si="222"/>
        <v>='C:\Users\jaime.benazar\Quorum Business Solutions\Ecopetrol Prometeo - Documents\Planning Space Implementation\3. Analysis &amp; Design\Design\FC22\DRR Jaime\QUIFA-CAJÚA\Cajua\[VAS_CAJUA_CF_SEC_20230125.xlsx]CF PND'!$BW$65</v>
      </c>
      <c r="J943" s="4" t="s">
        <v>602</v>
      </c>
    </row>
    <row r="944" spans="1:10" x14ac:dyDescent="0.25">
      <c r="A944" s="7" t="s">
        <v>3</v>
      </c>
      <c r="B944" s="7">
        <f t="shared" si="223"/>
        <v>2053</v>
      </c>
      <c r="C944" s="4" t="s">
        <v>11</v>
      </c>
      <c r="D944" s="5" t="s">
        <v>128</v>
      </c>
      <c r="E944" s="10" t="str">
        <f t="shared" si="219"/>
        <v>PND'!</v>
      </c>
      <c r="F944" s="5" t="str">
        <f t="shared" si="220"/>
        <v>C:\Users\jaime.benazar\Quorum Business Solutions\Ecopetrol Prometeo - Documents\Planning Space Implementation\3. Analysis &amp; Design\Design\FC22\DRR Jaime\QUIFA-CAJÚA\Cajua\[VAS_CAJUA_CF_SEC_20230125.xlsx]CF PND'!</v>
      </c>
      <c r="G944" s="7" t="s">
        <v>37</v>
      </c>
      <c r="H944" s="4">
        <f t="shared" si="221"/>
        <v>66</v>
      </c>
      <c r="I944" s="4" t="str">
        <f t="shared" si="222"/>
        <v>='C:\Users\jaime.benazar\Quorum Business Solutions\Ecopetrol Prometeo - Documents\Planning Space Implementation\3. Analysis &amp; Design\Design\FC22\DRR Jaime\QUIFA-CAJÚA\Cajua\[VAS_CAJUA_CF_SEC_20230125.xlsx]CF PND'!$BW$66</v>
      </c>
      <c r="J944" s="4" t="s">
        <v>603</v>
      </c>
    </row>
    <row r="945" spans="1:10" x14ac:dyDescent="0.25">
      <c r="A945" s="7" t="s">
        <v>3</v>
      </c>
      <c r="B945" s="7">
        <f t="shared" si="223"/>
        <v>2054</v>
      </c>
      <c r="C945" s="4" t="s">
        <v>11</v>
      </c>
      <c r="D945" s="5" t="s">
        <v>128</v>
      </c>
      <c r="E945" s="10" t="str">
        <f t="shared" si="219"/>
        <v>PND'!</v>
      </c>
      <c r="F945" s="5" t="str">
        <f t="shared" si="220"/>
        <v>C:\Users\jaime.benazar\Quorum Business Solutions\Ecopetrol Prometeo - Documents\Planning Space Implementation\3. Analysis &amp; Design\Design\FC22\DRR Jaime\QUIFA-CAJÚA\Cajua\[VAS_CAJUA_CF_SEC_20230125.xlsx]CF PND'!</v>
      </c>
      <c r="G945" s="7" t="s">
        <v>37</v>
      </c>
      <c r="H945" s="4">
        <f t="shared" si="221"/>
        <v>67</v>
      </c>
      <c r="I945" s="4" t="str">
        <f t="shared" si="222"/>
        <v>='C:\Users\jaime.benazar\Quorum Business Solutions\Ecopetrol Prometeo - Documents\Planning Space Implementation\3. Analysis &amp; Design\Design\FC22\DRR Jaime\QUIFA-CAJÚA\Cajua\[VAS_CAJUA_CF_SEC_20230125.xlsx]CF PND'!$BW$67</v>
      </c>
      <c r="J945" s="4" t="s">
        <v>604</v>
      </c>
    </row>
    <row r="946" spans="1:10" x14ac:dyDescent="0.25">
      <c r="A946" s="7" t="s">
        <v>3</v>
      </c>
      <c r="B946" s="7">
        <f t="shared" si="223"/>
        <v>2055</v>
      </c>
      <c r="C946" s="4" t="s">
        <v>11</v>
      </c>
      <c r="D946" s="5" t="s">
        <v>128</v>
      </c>
      <c r="E946" s="10" t="str">
        <f t="shared" si="219"/>
        <v>PND'!</v>
      </c>
      <c r="F946" s="5" t="str">
        <f t="shared" si="220"/>
        <v>C:\Users\jaime.benazar\Quorum Business Solutions\Ecopetrol Prometeo - Documents\Planning Space Implementation\3. Analysis &amp; Design\Design\FC22\DRR Jaime\QUIFA-CAJÚA\Cajua\[VAS_CAJUA_CF_SEC_20230125.xlsx]CF PND'!</v>
      </c>
      <c r="G946" s="7" t="s">
        <v>37</v>
      </c>
      <c r="H946" s="4">
        <f t="shared" si="221"/>
        <v>68</v>
      </c>
      <c r="I946" s="4" t="str">
        <f t="shared" si="222"/>
        <v>='C:\Users\jaime.benazar\Quorum Business Solutions\Ecopetrol Prometeo - Documents\Planning Space Implementation\3. Analysis &amp; Design\Design\FC22\DRR Jaime\QUIFA-CAJÚA\Cajua\[VAS_CAJUA_CF_SEC_20230125.xlsx]CF PND'!$BW$68</v>
      </c>
      <c r="J946" s="4" t="s">
        <v>605</v>
      </c>
    </row>
    <row r="947" spans="1:10" x14ac:dyDescent="0.25">
      <c r="A947" s="7" t="s">
        <v>3</v>
      </c>
      <c r="B947" s="7">
        <f t="shared" si="223"/>
        <v>2056</v>
      </c>
      <c r="C947" s="4" t="s">
        <v>11</v>
      </c>
      <c r="D947" s="5" t="s">
        <v>128</v>
      </c>
      <c r="E947" s="10" t="str">
        <f t="shared" si="219"/>
        <v>PND'!</v>
      </c>
      <c r="F947" s="5" t="str">
        <f t="shared" si="220"/>
        <v>C:\Users\jaime.benazar\Quorum Business Solutions\Ecopetrol Prometeo - Documents\Planning Space Implementation\3. Analysis &amp; Design\Design\FC22\DRR Jaime\QUIFA-CAJÚA\Cajua\[VAS_CAJUA_CF_SEC_20230125.xlsx]CF PND'!</v>
      </c>
      <c r="G947" s="7" t="s">
        <v>37</v>
      </c>
      <c r="H947" s="4">
        <f t="shared" si="221"/>
        <v>69</v>
      </c>
      <c r="I947" s="4" t="str">
        <f t="shared" si="222"/>
        <v>='C:\Users\jaime.benazar\Quorum Business Solutions\Ecopetrol Prometeo - Documents\Planning Space Implementation\3. Analysis &amp; Design\Design\FC22\DRR Jaime\QUIFA-CAJÚA\Cajua\[VAS_CAJUA_CF_SEC_20230125.xlsx]CF PND'!$BW$69</v>
      </c>
      <c r="J947" s="4" t="s">
        <v>606</v>
      </c>
    </row>
    <row r="948" spans="1:10" x14ac:dyDescent="0.25">
      <c r="A948" s="7" t="s">
        <v>3</v>
      </c>
      <c r="B948" s="7">
        <f t="shared" si="223"/>
        <v>2057</v>
      </c>
      <c r="C948" s="4" t="s">
        <v>11</v>
      </c>
      <c r="D948" s="5" t="s">
        <v>128</v>
      </c>
      <c r="E948" s="10" t="str">
        <f t="shared" si="219"/>
        <v>PND'!</v>
      </c>
      <c r="F948" s="5" t="str">
        <f t="shared" si="220"/>
        <v>C:\Users\jaime.benazar\Quorum Business Solutions\Ecopetrol Prometeo - Documents\Planning Space Implementation\3. Analysis &amp; Design\Design\FC22\DRR Jaime\QUIFA-CAJÚA\Cajua\[VAS_CAJUA_CF_SEC_20230125.xlsx]CF PND'!</v>
      </c>
      <c r="G948" s="7" t="s">
        <v>37</v>
      </c>
      <c r="H948" s="4">
        <f t="shared" si="221"/>
        <v>70</v>
      </c>
      <c r="I948" s="4" t="str">
        <f t="shared" si="222"/>
        <v>='C:\Users\jaime.benazar\Quorum Business Solutions\Ecopetrol Prometeo - Documents\Planning Space Implementation\3. Analysis &amp; Design\Design\FC22\DRR Jaime\QUIFA-CAJÚA\Cajua\[VAS_CAJUA_CF_SEC_20230125.xlsx]CF PND'!$BW$70</v>
      </c>
      <c r="J948" s="4" t="s">
        <v>607</v>
      </c>
    </row>
    <row r="949" spans="1:10" x14ac:dyDescent="0.25">
      <c r="A949" s="7" t="s">
        <v>3</v>
      </c>
      <c r="B949" s="7">
        <f t="shared" si="223"/>
        <v>2058</v>
      </c>
      <c r="C949" s="4" t="s">
        <v>11</v>
      </c>
      <c r="D949" s="5" t="s">
        <v>128</v>
      </c>
      <c r="E949" s="10" t="str">
        <f t="shared" si="219"/>
        <v>PND'!</v>
      </c>
      <c r="F949" s="5" t="str">
        <f t="shared" si="220"/>
        <v>C:\Users\jaime.benazar\Quorum Business Solutions\Ecopetrol Prometeo - Documents\Planning Space Implementation\3. Analysis &amp; Design\Design\FC22\DRR Jaime\QUIFA-CAJÚA\Cajua\[VAS_CAJUA_CF_SEC_20230125.xlsx]CF PND'!</v>
      </c>
      <c r="G949" s="7" t="s">
        <v>37</v>
      </c>
      <c r="H949" s="4">
        <f t="shared" si="221"/>
        <v>71</v>
      </c>
      <c r="I949" s="4" t="str">
        <f t="shared" si="222"/>
        <v>='C:\Users\jaime.benazar\Quorum Business Solutions\Ecopetrol Prometeo - Documents\Planning Space Implementation\3. Analysis &amp; Design\Design\FC22\DRR Jaime\QUIFA-CAJÚA\Cajua\[VAS_CAJUA_CF_SEC_20230125.xlsx]CF PND'!$BW$71</v>
      </c>
      <c r="J949" s="4" t="s">
        <v>608</v>
      </c>
    </row>
    <row r="950" spans="1:10" x14ac:dyDescent="0.25">
      <c r="A950" s="7" t="s">
        <v>3</v>
      </c>
      <c r="B950" s="7">
        <f t="shared" si="223"/>
        <v>2059</v>
      </c>
      <c r="C950" s="4" t="s">
        <v>11</v>
      </c>
      <c r="D950" s="5" t="s">
        <v>128</v>
      </c>
      <c r="E950" s="10" t="str">
        <f t="shared" si="219"/>
        <v>PND'!</v>
      </c>
      <c r="F950" s="5" t="str">
        <f t="shared" si="220"/>
        <v>C:\Users\jaime.benazar\Quorum Business Solutions\Ecopetrol Prometeo - Documents\Planning Space Implementation\3. Analysis &amp; Design\Design\FC22\DRR Jaime\QUIFA-CAJÚA\Cajua\[VAS_CAJUA_CF_SEC_20230125.xlsx]CF PND'!</v>
      </c>
      <c r="G950" s="7" t="s">
        <v>37</v>
      </c>
      <c r="H950" s="4">
        <f t="shared" si="221"/>
        <v>72</v>
      </c>
      <c r="I950" s="4" t="str">
        <f t="shared" si="222"/>
        <v>='C:\Users\jaime.benazar\Quorum Business Solutions\Ecopetrol Prometeo - Documents\Planning Space Implementation\3. Analysis &amp; Design\Design\FC22\DRR Jaime\QUIFA-CAJÚA\Cajua\[VAS_CAJUA_CF_SEC_20230125.xlsx]CF PND'!$BW$72</v>
      </c>
      <c r="J950" s="4" t="s">
        <v>609</v>
      </c>
    </row>
    <row r="951" spans="1:10" x14ac:dyDescent="0.25">
      <c r="A951" s="7" t="s">
        <v>28</v>
      </c>
      <c r="B951" s="7"/>
      <c r="C951" s="4" t="s">
        <v>11</v>
      </c>
      <c r="D951" s="5"/>
      <c r="E951" s="10"/>
      <c r="F951" s="5" t="str">
        <f t="shared" si="212"/>
        <v xml:space="preserve"> </v>
      </c>
      <c r="G951" s="7"/>
      <c r="H951" s="4"/>
      <c r="I951" s="4"/>
      <c r="J951" s="4"/>
    </row>
    <row r="952" spans="1:10" x14ac:dyDescent="0.25">
      <c r="A952" s="7" t="s">
        <v>99</v>
      </c>
      <c r="B952" s="7">
        <v>2023</v>
      </c>
      <c r="C952" s="4" t="s">
        <v>11</v>
      </c>
      <c r="D952" s="5" t="s">
        <v>128</v>
      </c>
      <c r="E952" s="10" t="str">
        <f t="shared" ref="E952:E972" si="224">_xlfn.CONCAT(A952,"'!")</f>
        <v>PRBDP'!</v>
      </c>
      <c r="F952" s="5" t="str">
        <f t="shared" si="212"/>
        <v>C:\Users\jaime.benazar\Quorum Business Solutions\Ecopetrol Prometeo - Documents\Planning Space Implementation\3. Analysis &amp; Design\Design\FC22\DRR Jaime\QUIFA-CAJÚA\Cajua\[VAS_CAJUA_CF_SEC_20230125.xlsx]CF PRBDP'!</v>
      </c>
      <c r="G952" s="7" t="s">
        <v>37</v>
      </c>
      <c r="H952" s="4"/>
      <c r="I952" s="4"/>
      <c r="J952" s="4"/>
    </row>
    <row r="953" spans="1:10" x14ac:dyDescent="0.25">
      <c r="A953" s="7" t="s">
        <v>99</v>
      </c>
      <c r="B953" s="7">
        <f>+B952+1</f>
        <v>2024</v>
      </c>
      <c r="C953" s="4" t="s">
        <v>11</v>
      </c>
      <c r="D953" s="5" t="s">
        <v>128</v>
      </c>
      <c r="E953" s="10" t="str">
        <f t="shared" si="224"/>
        <v>PRBDP'!</v>
      </c>
      <c r="F953" s="5" t="str">
        <f t="shared" si="212"/>
        <v>C:\Users\jaime.benazar\Quorum Business Solutions\Ecopetrol Prometeo - Documents\Planning Space Implementation\3. Analysis &amp; Design\Design\FC22\DRR Jaime\QUIFA-CAJÚA\Cajua\[VAS_CAJUA_CF_SEC_20230125.xlsx]CF PRBDP'!</v>
      </c>
      <c r="G953" s="7" t="s">
        <v>37</v>
      </c>
      <c r="H953" s="4"/>
      <c r="I953" s="4"/>
      <c r="J953" s="4"/>
    </row>
    <row r="954" spans="1:10" x14ac:dyDescent="0.25">
      <c r="A954" s="7" t="s">
        <v>99</v>
      </c>
      <c r="B954" s="7">
        <f t="shared" ref="B954:B965" si="225">+B953+1</f>
        <v>2025</v>
      </c>
      <c r="C954" s="4" t="s">
        <v>11</v>
      </c>
      <c r="D954" s="5" t="s">
        <v>128</v>
      </c>
      <c r="E954" s="10" t="str">
        <f t="shared" si="224"/>
        <v>PRBDP'!</v>
      </c>
      <c r="F954" s="5" t="str">
        <f t="shared" si="212"/>
        <v>C:\Users\jaime.benazar\Quorum Business Solutions\Ecopetrol Prometeo - Documents\Planning Space Implementation\3. Analysis &amp; Design\Design\FC22\DRR Jaime\QUIFA-CAJÚA\Cajua\[VAS_CAJUA_CF_SEC_20230125.xlsx]CF PRBDP'!</v>
      </c>
      <c r="G954" s="7" t="s">
        <v>37</v>
      </c>
      <c r="H954" s="4"/>
      <c r="I954" s="4"/>
      <c r="J954" s="4"/>
    </row>
    <row r="955" spans="1:10" x14ac:dyDescent="0.25">
      <c r="A955" s="7" t="s">
        <v>99</v>
      </c>
      <c r="B955" s="7">
        <f t="shared" si="225"/>
        <v>2026</v>
      </c>
      <c r="C955" s="4" t="s">
        <v>11</v>
      </c>
      <c r="D955" s="5" t="s">
        <v>128</v>
      </c>
      <c r="E955" s="10" t="str">
        <f t="shared" si="224"/>
        <v>PRBDP'!</v>
      </c>
      <c r="F955" s="5" t="str">
        <f t="shared" si="212"/>
        <v>C:\Users\jaime.benazar\Quorum Business Solutions\Ecopetrol Prometeo - Documents\Planning Space Implementation\3. Analysis &amp; Design\Design\FC22\DRR Jaime\QUIFA-CAJÚA\Cajua\[VAS_CAJUA_CF_SEC_20230125.xlsx]CF PRBDP'!</v>
      </c>
      <c r="G955" s="7" t="s">
        <v>37</v>
      </c>
      <c r="H955" s="4"/>
      <c r="I955" s="4"/>
      <c r="J955" s="4"/>
    </row>
    <row r="956" spans="1:10" x14ac:dyDescent="0.25">
      <c r="A956" s="7" t="s">
        <v>99</v>
      </c>
      <c r="B956" s="7">
        <f t="shared" si="225"/>
        <v>2027</v>
      </c>
      <c r="C956" s="4" t="s">
        <v>11</v>
      </c>
      <c r="D956" s="5" t="s">
        <v>128</v>
      </c>
      <c r="E956" s="10" t="str">
        <f t="shared" si="224"/>
        <v>PRBDP'!</v>
      </c>
      <c r="F956" s="5" t="str">
        <f t="shared" si="212"/>
        <v>C:\Users\jaime.benazar\Quorum Business Solutions\Ecopetrol Prometeo - Documents\Planning Space Implementation\3. Analysis &amp; Design\Design\FC22\DRR Jaime\QUIFA-CAJÚA\Cajua\[VAS_CAJUA_CF_SEC_20230125.xlsx]CF PRBDP'!</v>
      </c>
      <c r="G956" s="7" t="s">
        <v>37</v>
      </c>
      <c r="H956" s="4"/>
      <c r="I956" s="4"/>
      <c r="J956" s="4"/>
    </row>
    <row r="957" spans="1:10" x14ac:dyDescent="0.25">
      <c r="A957" s="7" t="s">
        <v>99</v>
      </c>
      <c r="B957" s="7">
        <f t="shared" si="225"/>
        <v>2028</v>
      </c>
      <c r="C957" s="4" t="s">
        <v>11</v>
      </c>
      <c r="D957" s="5" t="s">
        <v>128</v>
      </c>
      <c r="E957" s="10" t="str">
        <f t="shared" si="224"/>
        <v>PRBDP'!</v>
      </c>
      <c r="F957" s="5" t="str">
        <f t="shared" si="212"/>
        <v>C:\Users\jaime.benazar\Quorum Business Solutions\Ecopetrol Prometeo - Documents\Planning Space Implementation\3. Analysis &amp; Design\Design\FC22\DRR Jaime\QUIFA-CAJÚA\Cajua\[VAS_CAJUA_CF_SEC_20230125.xlsx]CF PRBDP'!</v>
      </c>
      <c r="G957" s="7" t="s">
        <v>37</v>
      </c>
      <c r="H957" s="4"/>
      <c r="I957" s="4"/>
      <c r="J957" s="4"/>
    </row>
    <row r="958" spans="1:10" x14ac:dyDescent="0.25">
      <c r="A958" s="7" t="s">
        <v>99</v>
      </c>
      <c r="B958" s="7">
        <f t="shared" si="225"/>
        <v>2029</v>
      </c>
      <c r="C958" s="4" t="s">
        <v>11</v>
      </c>
      <c r="D958" s="5" t="s">
        <v>128</v>
      </c>
      <c r="E958" s="10" t="str">
        <f t="shared" si="224"/>
        <v>PRBDP'!</v>
      </c>
      <c r="F958" s="5" t="str">
        <f t="shared" si="212"/>
        <v>C:\Users\jaime.benazar\Quorum Business Solutions\Ecopetrol Prometeo - Documents\Planning Space Implementation\3. Analysis &amp; Design\Design\FC22\DRR Jaime\QUIFA-CAJÚA\Cajua\[VAS_CAJUA_CF_SEC_20230125.xlsx]CF PRBDP'!</v>
      </c>
      <c r="G958" s="7" t="s">
        <v>37</v>
      </c>
      <c r="H958" s="4"/>
      <c r="I958" s="4"/>
      <c r="J958" s="4"/>
    </row>
    <row r="959" spans="1:10" x14ac:dyDescent="0.25">
      <c r="A959" s="7" t="s">
        <v>99</v>
      </c>
      <c r="B959" s="7">
        <f t="shared" si="225"/>
        <v>2030</v>
      </c>
      <c r="C959" s="4" t="s">
        <v>11</v>
      </c>
      <c r="D959" s="5" t="s">
        <v>128</v>
      </c>
      <c r="E959" s="10" t="str">
        <f t="shared" si="224"/>
        <v>PRBDP'!</v>
      </c>
      <c r="F959" s="5" t="str">
        <f t="shared" si="212"/>
        <v>C:\Users\jaime.benazar\Quorum Business Solutions\Ecopetrol Prometeo - Documents\Planning Space Implementation\3. Analysis &amp; Design\Design\FC22\DRR Jaime\QUIFA-CAJÚA\Cajua\[VAS_CAJUA_CF_SEC_20230125.xlsx]CF PRBDP'!</v>
      </c>
      <c r="G959" s="7" t="s">
        <v>37</v>
      </c>
      <c r="H959" s="4"/>
      <c r="I959" s="4"/>
      <c r="J959" s="4"/>
    </row>
    <row r="960" spans="1:10" x14ac:dyDescent="0.25">
      <c r="A960" s="7" t="s">
        <v>99</v>
      </c>
      <c r="B960" s="7">
        <f t="shared" si="225"/>
        <v>2031</v>
      </c>
      <c r="C960" s="4" t="s">
        <v>11</v>
      </c>
      <c r="D960" s="5" t="s">
        <v>128</v>
      </c>
      <c r="E960" s="10" t="str">
        <f t="shared" si="224"/>
        <v>PRBDP'!</v>
      </c>
      <c r="F960" s="5" t="str">
        <f t="shared" si="212"/>
        <v>C:\Users\jaime.benazar\Quorum Business Solutions\Ecopetrol Prometeo - Documents\Planning Space Implementation\3. Analysis &amp; Design\Design\FC22\DRR Jaime\QUIFA-CAJÚA\Cajua\[VAS_CAJUA_CF_SEC_20230125.xlsx]CF PRBDP'!</v>
      </c>
      <c r="G960" s="7" t="s">
        <v>37</v>
      </c>
      <c r="H960" s="4"/>
      <c r="I960" s="4"/>
      <c r="J960" s="4"/>
    </row>
    <row r="961" spans="1:10" x14ac:dyDescent="0.25">
      <c r="A961" s="7" t="s">
        <v>99</v>
      </c>
      <c r="B961" s="7">
        <f t="shared" si="225"/>
        <v>2032</v>
      </c>
      <c r="C961" s="4" t="s">
        <v>11</v>
      </c>
      <c r="D961" s="5" t="s">
        <v>128</v>
      </c>
      <c r="E961" s="10" t="str">
        <f t="shared" si="224"/>
        <v>PRBDP'!</v>
      </c>
      <c r="F961" s="5" t="str">
        <f t="shared" si="212"/>
        <v>C:\Users\jaime.benazar\Quorum Business Solutions\Ecopetrol Prometeo - Documents\Planning Space Implementation\3. Analysis &amp; Design\Design\FC22\DRR Jaime\QUIFA-CAJÚA\Cajua\[VAS_CAJUA_CF_SEC_20230125.xlsx]CF PRBDP'!</v>
      </c>
      <c r="G961" s="7" t="s">
        <v>37</v>
      </c>
      <c r="H961" s="4"/>
      <c r="I961" s="4"/>
      <c r="J961" s="4"/>
    </row>
    <row r="962" spans="1:10" x14ac:dyDescent="0.25">
      <c r="A962" s="7" t="s">
        <v>99</v>
      </c>
      <c r="B962" s="7">
        <f t="shared" si="225"/>
        <v>2033</v>
      </c>
      <c r="C962" s="4" t="s">
        <v>11</v>
      </c>
      <c r="D962" s="5" t="s">
        <v>128</v>
      </c>
      <c r="E962" s="10" t="str">
        <f t="shared" si="224"/>
        <v>PRBDP'!</v>
      </c>
      <c r="F962" s="5" t="str">
        <f t="shared" si="212"/>
        <v>C:\Users\jaime.benazar\Quorum Business Solutions\Ecopetrol Prometeo - Documents\Planning Space Implementation\3. Analysis &amp; Design\Design\FC22\DRR Jaime\QUIFA-CAJÚA\Cajua\[VAS_CAJUA_CF_SEC_20230125.xlsx]CF PRBDP'!</v>
      </c>
      <c r="G962" s="7" t="s">
        <v>37</v>
      </c>
      <c r="H962" s="4"/>
      <c r="I962" s="4"/>
      <c r="J962" s="4"/>
    </row>
    <row r="963" spans="1:10" x14ac:dyDescent="0.25">
      <c r="A963" s="7" t="s">
        <v>99</v>
      </c>
      <c r="B963" s="7">
        <f t="shared" si="225"/>
        <v>2034</v>
      </c>
      <c r="C963" s="4" t="s">
        <v>11</v>
      </c>
      <c r="D963" s="5" t="s">
        <v>128</v>
      </c>
      <c r="E963" s="10" t="str">
        <f t="shared" si="224"/>
        <v>PRBDP'!</v>
      </c>
      <c r="F963" s="5" t="str">
        <f t="shared" si="212"/>
        <v>C:\Users\jaime.benazar\Quorum Business Solutions\Ecopetrol Prometeo - Documents\Planning Space Implementation\3. Analysis &amp; Design\Design\FC22\DRR Jaime\QUIFA-CAJÚA\Cajua\[VAS_CAJUA_CF_SEC_20230125.xlsx]CF PRBDP'!</v>
      </c>
      <c r="G963" s="7" t="s">
        <v>37</v>
      </c>
      <c r="H963" s="4"/>
      <c r="I963" s="4"/>
      <c r="J963" s="4"/>
    </row>
    <row r="964" spans="1:10" x14ac:dyDescent="0.25">
      <c r="A964" s="7" t="s">
        <v>99</v>
      </c>
      <c r="B964" s="7">
        <f t="shared" si="225"/>
        <v>2035</v>
      </c>
      <c r="C964" s="4" t="s">
        <v>11</v>
      </c>
      <c r="D964" s="5" t="s">
        <v>128</v>
      </c>
      <c r="E964" s="10" t="str">
        <f t="shared" si="224"/>
        <v>PRBDP'!</v>
      </c>
      <c r="F964" s="5" t="str">
        <f t="shared" si="212"/>
        <v>C:\Users\jaime.benazar\Quorum Business Solutions\Ecopetrol Prometeo - Documents\Planning Space Implementation\3. Analysis &amp; Design\Design\FC22\DRR Jaime\QUIFA-CAJÚA\Cajua\[VAS_CAJUA_CF_SEC_20230125.xlsx]CF PRBDP'!</v>
      </c>
      <c r="G964" s="7" t="s">
        <v>37</v>
      </c>
      <c r="H964" s="4"/>
      <c r="I964" s="4"/>
      <c r="J964" s="4"/>
    </row>
    <row r="965" spans="1:10" x14ac:dyDescent="0.25">
      <c r="A965" s="7" t="s">
        <v>99</v>
      </c>
      <c r="B965" s="7">
        <f t="shared" si="225"/>
        <v>2036</v>
      </c>
      <c r="C965" s="4" t="s">
        <v>11</v>
      </c>
      <c r="D965" s="5" t="s">
        <v>128</v>
      </c>
      <c r="E965" s="10" t="str">
        <f t="shared" si="224"/>
        <v>PRBDP'!</v>
      </c>
      <c r="F965" s="5" t="str">
        <f t="shared" si="212"/>
        <v>C:\Users\jaime.benazar\Quorum Business Solutions\Ecopetrol Prometeo - Documents\Planning Space Implementation\3. Analysis &amp; Design\Design\FC22\DRR Jaime\QUIFA-CAJÚA\Cajua\[VAS_CAJUA_CF_SEC_20230125.xlsx]CF PRBDP'!</v>
      </c>
      <c r="G965" s="7" t="s">
        <v>37</v>
      </c>
      <c r="H965" s="4"/>
      <c r="I965" s="4"/>
      <c r="J965" s="4"/>
    </row>
    <row r="966" spans="1:10" x14ac:dyDescent="0.25">
      <c r="A966" s="7" t="s">
        <v>99</v>
      </c>
      <c r="B966" s="7">
        <f>+B965+1</f>
        <v>2037</v>
      </c>
      <c r="C966" s="4" t="s">
        <v>11</v>
      </c>
      <c r="D966" s="5" t="s">
        <v>128</v>
      </c>
      <c r="E966" s="10" t="str">
        <f t="shared" si="224"/>
        <v>PRBDP'!</v>
      </c>
      <c r="F966" s="5" t="str">
        <f t="shared" si="212"/>
        <v>C:\Users\jaime.benazar\Quorum Business Solutions\Ecopetrol Prometeo - Documents\Planning Space Implementation\3. Analysis &amp; Design\Design\FC22\DRR Jaime\QUIFA-CAJÚA\Cajua\[VAS_CAJUA_CF_SEC_20230125.xlsx]CF PRBDP'!</v>
      </c>
      <c r="G966" s="7" t="s">
        <v>37</v>
      </c>
      <c r="H966" s="4"/>
      <c r="I966" s="4"/>
      <c r="J966" s="4"/>
    </row>
    <row r="967" spans="1:10" x14ac:dyDescent="0.25">
      <c r="A967" s="7" t="s">
        <v>99</v>
      </c>
      <c r="B967" s="7">
        <f t="shared" ref="B967:B969" si="226">+B966+1</f>
        <v>2038</v>
      </c>
      <c r="C967" s="4" t="s">
        <v>11</v>
      </c>
      <c r="D967" s="5" t="s">
        <v>128</v>
      </c>
      <c r="E967" s="10" t="str">
        <f t="shared" si="224"/>
        <v>PRBDP'!</v>
      </c>
      <c r="F967" s="5" t="str">
        <f t="shared" si="212"/>
        <v>C:\Users\jaime.benazar\Quorum Business Solutions\Ecopetrol Prometeo - Documents\Planning Space Implementation\3. Analysis &amp; Design\Design\FC22\DRR Jaime\QUIFA-CAJÚA\Cajua\[VAS_CAJUA_CF_SEC_20230125.xlsx]CF PRBDP'!</v>
      </c>
      <c r="G967" s="7" t="s">
        <v>37</v>
      </c>
      <c r="H967" s="4"/>
      <c r="I967" s="4"/>
      <c r="J967" s="4"/>
    </row>
    <row r="968" spans="1:10" x14ac:dyDescent="0.25">
      <c r="A968" s="7" t="s">
        <v>99</v>
      </c>
      <c r="B968" s="7">
        <f t="shared" si="226"/>
        <v>2039</v>
      </c>
      <c r="C968" s="4" t="s">
        <v>11</v>
      </c>
      <c r="D968" s="5" t="s">
        <v>128</v>
      </c>
      <c r="E968" s="10" t="str">
        <f t="shared" si="224"/>
        <v>PRBDP'!</v>
      </c>
      <c r="F968" s="5" t="str">
        <f t="shared" si="212"/>
        <v>C:\Users\jaime.benazar\Quorum Business Solutions\Ecopetrol Prometeo - Documents\Planning Space Implementation\3. Analysis &amp; Design\Design\FC22\DRR Jaime\QUIFA-CAJÚA\Cajua\[VAS_CAJUA_CF_SEC_20230125.xlsx]CF PRBDP'!</v>
      </c>
      <c r="G968" s="7" t="s">
        <v>37</v>
      </c>
      <c r="H968" s="4"/>
      <c r="I968" s="4"/>
      <c r="J968" s="4"/>
    </row>
    <row r="969" spans="1:10" x14ac:dyDescent="0.25">
      <c r="A969" s="7" t="s">
        <v>99</v>
      </c>
      <c r="B969" s="7">
        <f t="shared" si="226"/>
        <v>2040</v>
      </c>
      <c r="C969" s="4" t="s">
        <v>11</v>
      </c>
      <c r="D969" s="5" t="s">
        <v>128</v>
      </c>
      <c r="E969" s="10" t="str">
        <f t="shared" si="224"/>
        <v>PRBDP'!</v>
      </c>
      <c r="F969" s="5" t="str">
        <f t="shared" si="212"/>
        <v>C:\Users\jaime.benazar\Quorum Business Solutions\Ecopetrol Prometeo - Documents\Planning Space Implementation\3. Analysis &amp; Design\Design\FC22\DRR Jaime\QUIFA-CAJÚA\Cajua\[VAS_CAJUA_CF_SEC_20230125.xlsx]CF PRBDP'!</v>
      </c>
      <c r="G969" s="7" t="s">
        <v>37</v>
      </c>
      <c r="H969" s="4"/>
      <c r="I969" s="4"/>
      <c r="J969" s="4"/>
    </row>
    <row r="970" spans="1:10" x14ac:dyDescent="0.25">
      <c r="A970" s="7" t="s">
        <v>99</v>
      </c>
      <c r="B970" s="7">
        <f>+B969+1</f>
        <v>2041</v>
      </c>
      <c r="C970" s="4" t="s">
        <v>11</v>
      </c>
      <c r="D970" s="5" t="s">
        <v>128</v>
      </c>
      <c r="E970" s="10" t="str">
        <f t="shared" si="224"/>
        <v>PRBDP'!</v>
      </c>
      <c r="F970" s="5" t="str">
        <f t="shared" si="212"/>
        <v>C:\Users\jaime.benazar\Quorum Business Solutions\Ecopetrol Prometeo - Documents\Planning Space Implementation\3. Analysis &amp; Design\Design\FC22\DRR Jaime\QUIFA-CAJÚA\Cajua\[VAS_CAJUA_CF_SEC_20230125.xlsx]CF PRBDP'!</v>
      </c>
      <c r="G970" s="7" t="s">
        <v>37</v>
      </c>
      <c r="H970" s="4"/>
      <c r="I970" s="4"/>
      <c r="J970" s="4"/>
    </row>
    <row r="971" spans="1:10" x14ac:dyDescent="0.25">
      <c r="A971" s="7" t="s">
        <v>99</v>
      </c>
      <c r="B971" s="7">
        <f t="shared" ref="B971:B972" si="227">+B970+1</f>
        <v>2042</v>
      </c>
      <c r="C971" s="4" t="s">
        <v>11</v>
      </c>
      <c r="D971" s="5" t="s">
        <v>128</v>
      </c>
      <c r="E971" s="10" t="str">
        <f t="shared" si="224"/>
        <v>PRBDP'!</v>
      </c>
      <c r="F971" s="5" t="str">
        <f t="shared" si="212"/>
        <v>C:\Users\jaime.benazar\Quorum Business Solutions\Ecopetrol Prometeo - Documents\Planning Space Implementation\3. Analysis &amp; Design\Design\FC22\DRR Jaime\QUIFA-CAJÚA\Cajua\[VAS_CAJUA_CF_SEC_20230125.xlsx]CF PRBDP'!</v>
      </c>
      <c r="G971" s="7" t="s">
        <v>37</v>
      </c>
      <c r="H971" s="4"/>
      <c r="I971" s="4"/>
      <c r="J971" s="4"/>
    </row>
    <row r="972" spans="1:10" x14ac:dyDescent="0.25">
      <c r="A972" s="7" t="s">
        <v>99</v>
      </c>
      <c r="B972" s="7">
        <f t="shared" si="227"/>
        <v>2043</v>
      </c>
      <c r="C972" s="4" t="s">
        <v>11</v>
      </c>
      <c r="D972" s="5" t="s">
        <v>128</v>
      </c>
      <c r="E972" s="10" t="str">
        <f t="shared" si="224"/>
        <v>PRBDP'!</v>
      </c>
      <c r="F972" s="5" t="str">
        <f t="shared" si="212"/>
        <v>C:\Users\jaime.benazar\Quorum Business Solutions\Ecopetrol Prometeo - Documents\Planning Space Implementation\3. Analysis &amp; Design\Design\FC22\DRR Jaime\QUIFA-CAJÚA\Cajua\[VAS_CAJUA_CF_SEC_20230125.xlsx]CF PRBDP'!</v>
      </c>
      <c r="G972" s="7" t="s">
        <v>37</v>
      </c>
      <c r="H972" s="4"/>
      <c r="I972" s="4"/>
      <c r="J972" s="4"/>
    </row>
    <row r="973" spans="1:10" x14ac:dyDescent="0.25">
      <c r="A973" s="7" t="s">
        <v>99</v>
      </c>
      <c r="B973" s="7">
        <f>+B972+1</f>
        <v>2044</v>
      </c>
      <c r="C973" s="4" t="s">
        <v>11</v>
      </c>
      <c r="D973" s="5" t="s">
        <v>128</v>
      </c>
      <c r="E973" s="10" t="str">
        <f t="shared" ref="E973:E988" si="228">_xlfn.CONCAT(A973,"'!")</f>
        <v>PRBDP'!</v>
      </c>
      <c r="F973" s="5" t="str">
        <f t="shared" ref="F973:F988" si="229">_xlfn.CONCAT(D973," ",E973)</f>
        <v>C:\Users\jaime.benazar\Quorum Business Solutions\Ecopetrol Prometeo - Documents\Planning Space Implementation\3. Analysis &amp; Design\Design\FC22\DRR Jaime\QUIFA-CAJÚA\Cajua\[VAS_CAJUA_CF_SEC_20230125.xlsx]CF PRBDP'!</v>
      </c>
      <c r="G973" s="7" t="s">
        <v>37</v>
      </c>
      <c r="H973" s="4"/>
      <c r="I973" s="4"/>
      <c r="J973" s="4"/>
    </row>
    <row r="974" spans="1:10" x14ac:dyDescent="0.25">
      <c r="A974" s="7" t="s">
        <v>99</v>
      </c>
      <c r="B974" s="7">
        <f t="shared" ref="B974:B988" si="230">+B973+1</f>
        <v>2045</v>
      </c>
      <c r="C974" s="4" t="s">
        <v>11</v>
      </c>
      <c r="D974" s="5" t="s">
        <v>128</v>
      </c>
      <c r="E974" s="10" t="str">
        <f t="shared" si="228"/>
        <v>PRBDP'!</v>
      </c>
      <c r="F974" s="5" t="str">
        <f t="shared" si="229"/>
        <v>C:\Users\jaime.benazar\Quorum Business Solutions\Ecopetrol Prometeo - Documents\Planning Space Implementation\3. Analysis &amp; Design\Design\FC22\DRR Jaime\QUIFA-CAJÚA\Cajua\[VAS_CAJUA_CF_SEC_20230125.xlsx]CF PRBDP'!</v>
      </c>
      <c r="G974" s="7" t="s">
        <v>37</v>
      </c>
      <c r="H974" s="4"/>
      <c r="I974" s="4"/>
      <c r="J974" s="4"/>
    </row>
    <row r="975" spans="1:10" x14ac:dyDescent="0.25">
      <c r="A975" s="7" t="s">
        <v>99</v>
      </c>
      <c r="B975" s="7">
        <f t="shared" si="230"/>
        <v>2046</v>
      </c>
      <c r="C975" s="4" t="s">
        <v>11</v>
      </c>
      <c r="D975" s="5" t="s">
        <v>128</v>
      </c>
      <c r="E975" s="10" t="str">
        <f t="shared" si="228"/>
        <v>PRBDP'!</v>
      </c>
      <c r="F975" s="5" t="str">
        <f t="shared" si="229"/>
        <v>C:\Users\jaime.benazar\Quorum Business Solutions\Ecopetrol Prometeo - Documents\Planning Space Implementation\3. Analysis &amp; Design\Design\FC22\DRR Jaime\QUIFA-CAJÚA\Cajua\[VAS_CAJUA_CF_SEC_20230125.xlsx]CF PRBDP'!</v>
      </c>
      <c r="G975" s="7" t="s">
        <v>37</v>
      </c>
      <c r="H975" s="4"/>
      <c r="I975" s="4"/>
      <c r="J975" s="4"/>
    </row>
    <row r="976" spans="1:10" x14ac:dyDescent="0.25">
      <c r="A976" s="7" t="s">
        <v>99</v>
      </c>
      <c r="B976" s="7">
        <f t="shared" si="230"/>
        <v>2047</v>
      </c>
      <c r="C976" s="4" t="s">
        <v>11</v>
      </c>
      <c r="D976" s="5" t="s">
        <v>128</v>
      </c>
      <c r="E976" s="10" t="str">
        <f t="shared" si="228"/>
        <v>PRBDP'!</v>
      </c>
      <c r="F976" s="5" t="str">
        <f t="shared" si="229"/>
        <v>C:\Users\jaime.benazar\Quorum Business Solutions\Ecopetrol Prometeo - Documents\Planning Space Implementation\3. Analysis &amp; Design\Design\FC22\DRR Jaime\QUIFA-CAJÚA\Cajua\[VAS_CAJUA_CF_SEC_20230125.xlsx]CF PRBDP'!</v>
      </c>
      <c r="G976" s="7" t="s">
        <v>37</v>
      </c>
      <c r="H976" s="4"/>
      <c r="I976" s="4"/>
      <c r="J976" s="4"/>
    </row>
    <row r="977" spans="1:10" x14ac:dyDescent="0.25">
      <c r="A977" s="7" t="s">
        <v>99</v>
      </c>
      <c r="B977" s="7">
        <f t="shared" si="230"/>
        <v>2048</v>
      </c>
      <c r="C977" s="4" t="s">
        <v>11</v>
      </c>
      <c r="D977" s="5" t="s">
        <v>128</v>
      </c>
      <c r="E977" s="10" t="str">
        <f t="shared" si="228"/>
        <v>PRBDP'!</v>
      </c>
      <c r="F977" s="5" t="str">
        <f t="shared" si="229"/>
        <v>C:\Users\jaime.benazar\Quorum Business Solutions\Ecopetrol Prometeo - Documents\Planning Space Implementation\3. Analysis &amp; Design\Design\FC22\DRR Jaime\QUIFA-CAJÚA\Cajua\[VAS_CAJUA_CF_SEC_20230125.xlsx]CF PRBDP'!</v>
      </c>
      <c r="G977" s="7" t="s">
        <v>37</v>
      </c>
      <c r="H977" s="4"/>
      <c r="I977" s="4"/>
      <c r="J977" s="4"/>
    </row>
    <row r="978" spans="1:10" x14ac:dyDescent="0.25">
      <c r="A978" s="7" t="s">
        <v>99</v>
      </c>
      <c r="B978" s="7">
        <f t="shared" si="230"/>
        <v>2049</v>
      </c>
      <c r="C978" s="4" t="s">
        <v>11</v>
      </c>
      <c r="D978" s="5" t="s">
        <v>128</v>
      </c>
      <c r="E978" s="10" t="str">
        <f t="shared" si="228"/>
        <v>PRBDP'!</v>
      </c>
      <c r="F978" s="5" t="str">
        <f t="shared" si="229"/>
        <v>C:\Users\jaime.benazar\Quorum Business Solutions\Ecopetrol Prometeo - Documents\Planning Space Implementation\3. Analysis &amp; Design\Design\FC22\DRR Jaime\QUIFA-CAJÚA\Cajua\[VAS_CAJUA_CF_SEC_20230125.xlsx]CF PRBDP'!</v>
      </c>
      <c r="G978" s="7" t="s">
        <v>37</v>
      </c>
      <c r="H978" s="4"/>
      <c r="I978" s="4"/>
      <c r="J978" s="4"/>
    </row>
    <row r="979" spans="1:10" x14ac:dyDescent="0.25">
      <c r="A979" s="7" t="s">
        <v>99</v>
      </c>
      <c r="B979" s="7">
        <f t="shared" si="230"/>
        <v>2050</v>
      </c>
      <c r="C979" s="4" t="s">
        <v>11</v>
      </c>
      <c r="D979" s="5" t="s">
        <v>128</v>
      </c>
      <c r="E979" s="10" t="str">
        <f t="shared" si="228"/>
        <v>PRBDP'!</v>
      </c>
      <c r="F979" s="5" t="str">
        <f t="shared" si="229"/>
        <v>C:\Users\jaime.benazar\Quorum Business Solutions\Ecopetrol Prometeo - Documents\Planning Space Implementation\3. Analysis &amp; Design\Design\FC22\DRR Jaime\QUIFA-CAJÚA\Cajua\[VAS_CAJUA_CF_SEC_20230125.xlsx]CF PRBDP'!</v>
      </c>
      <c r="G979" s="7" t="s">
        <v>37</v>
      </c>
      <c r="H979" s="4"/>
      <c r="I979" s="4"/>
      <c r="J979" s="4"/>
    </row>
    <row r="980" spans="1:10" x14ac:dyDescent="0.25">
      <c r="A980" s="7" t="s">
        <v>99</v>
      </c>
      <c r="B980" s="7">
        <f t="shared" si="230"/>
        <v>2051</v>
      </c>
      <c r="C980" s="4" t="s">
        <v>11</v>
      </c>
      <c r="D980" s="5" t="s">
        <v>128</v>
      </c>
      <c r="E980" s="10" t="str">
        <f t="shared" si="228"/>
        <v>PRBDP'!</v>
      </c>
      <c r="F980" s="5" t="str">
        <f t="shared" si="229"/>
        <v>C:\Users\jaime.benazar\Quorum Business Solutions\Ecopetrol Prometeo - Documents\Planning Space Implementation\3. Analysis &amp; Design\Design\FC22\DRR Jaime\QUIFA-CAJÚA\Cajua\[VAS_CAJUA_CF_SEC_20230125.xlsx]CF PRBDP'!</v>
      </c>
      <c r="G980" s="7" t="s">
        <v>37</v>
      </c>
      <c r="H980" s="4"/>
      <c r="I980" s="4"/>
      <c r="J980" s="4"/>
    </row>
    <row r="981" spans="1:10" x14ac:dyDescent="0.25">
      <c r="A981" s="7" t="s">
        <v>99</v>
      </c>
      <c r="B981" s="7">
        <f t="shared" si="230"/>
        <v>2052</v>
      </c>
      <c r="C981" s="4" t="s">
        <v>11</v>
      </c>
      <c r="D981" s="5" t="s">
        <v>128</v>
      </c>
      <c r="E981" s="10" t="str">
        <f t="shared" si="228"/>
        <v>PRBDP'!</v>
      </c>
      <c r="F981" s="5" t="str">
        <f t="shared" si="229"/>
        <v>C:\Users\jaime.benazar\Quorum Business Solutions\Ecopetrol Prometeo - Documents\Planning Space Implementation\3. Analysis &amp; Design\Design\FC22\DRR Jaime\QUIFA-CAJÚA\Cajua\[VAS_CAJUA_CF_SEC_20230125.xlsx]CF PRBDP'!</v>
      </c>
      <c r="G981" s="7" t="s">
        <v>37</v>
      </c>
      <c r="H981" s="4"/>
      <c r="I981" s="4"/>
      <c r="J981" s="4"/>
    </row>
    <row r="982" spans="1:10" x14ac:dyDescent="0.25">
      <c r="A982" s="7" t="s">
        <v>99</v>
      </c>
      <c r="B982" s="7">
        <f t="shared" si="230"/>
        <v>2053</v>
      </c>
      <c r="C982" s="4" t="s">
        <v>11</v>
      </c>
      <c r="D982" s="5" t="s">
        <v>128</v>
      </c>
      <c r="E982" s="10" t="str">
        <f t="shared" si="228"/>
        <v>PRBDP'!</v>
      </c>
      <c r="F982" s="5" t="str">
        <f t="shared" si="229"/>
        <v>C:\Users\jaime.benazar\Quorum Business Solutions\Ecopetrol Prometeo - Documents\Planning Space Implementation\3. Analysis &amp; Design\Design\FC22\DRR Jaime\QUIFA-CAJÚA\Cajua\[VAS_CAJUA_CF_SEC_20230125.xlsx]CF PRBDP'!</v>
      </c>
      <c r="G982" s="7" t="s">
        <v>37</v>
      </c>
      <c r="H982" s="4"/>
      <c r="I982" s="4"/>
      <c r="J982" s="4"/>
    </row>
    <row r="983" spans="1:10" x14ac:dyDescent="0.25">
      <c r="A983" s="7" t="s">
        <v>99</v>
      </c>
      <c r="B983" s="7">
        <f t="shared" si="230"/>
        <v>2054</v>
      </c>
      <c r="C983" s="4" t="s">
        <v>11</v>
      </c>
      <c r="D983" s="5" t="s">
        <v>128</v>
      </c>
      <c r="E983" s="10" t="str">
        <f t="shared" si="228"/>
        <v>PRBDP'!</v>
      </c>
      <c r="F983" s="5" t="str">
        <f t="shared" si="229"/>
        <v>C:\Users\jaime.benazar\Quorum Business Solutions\Ecopetrol Prometeo - Documents\Planning Space Implementation\3. Analysis &amp; Design\Design\FC22\DRR Jaime\QUIFA-CAJÚA\Cajua\[VAS_CAJUA_CF_SEC_20230125.xlsx]CF PRBDP'!</v>
      </c>
      <c r="G983" s="7" t="s">
        <v>37</v>
      </c>
      <c r="H983" s="4"/>
      <c r="I983" s="4"/>
      <c r="J983" s="4"/>
    </row>
    <row r="984" spans="1:10" x14ac:dyDescent="0.25">
      <c r="A984" s="7" t="s">
        <v>99</v>
      </c>
      <c r="B984" s="7">
        <f t="shared" si="230"/>
        <v>2055</v>
      </c>
      <c r="C984" s="4" t="s">
        <v>11</v>
      </c>
      <c r="D984" s="5" t="s">
        <v>128</v>
      </c>
      <c r="E984" s="10" t="str">
        <f t="shared" si="228"/>
        <v>PRBDP'!</v>
      </c>
      <c r="F984" s="5" t="str">
        <f t="shared" si="229"/>
        <v>C:\Users\jaime.benazar\Quorum Business Solutions\Ecopetrol Prometeo - Documents\Planning Space Implementation\3. Analysis &amp; Design\Design\FC22\DRR Jaime\QUIFA-CAJÚA\Cajua\[VAS_CAJUA_CF_SEC_20230125.xlsx]CF PRBDP'!</v>
      </c>
      <c r="G984" s="7" t="s">
        <v>37</v>
      </c>
      <c r="H984" s="4"/>
      <c r="I984" s="4"/>
      <c r="J984" s="4"/>
    </row>
    <row r="985" spans="1:10" x14ac:dyDescent="0.25">
      <c r="A985" s="7" t="s">
        <v>99</v>
      </c>
      <c r="B985" s="7">
        <f t="shared" si="230"/>
        <v>2056</v>
      </c>
      <c r="C985" s="4" t="s">
        <v>11</v>
      </c>
      <c r="D985" s="5" t="s">
        <v>128</v>
      </c>
      <c r="E985" s="10" t="str">
        <f t="shared" si="228"/>
        <v>PRBDP'!</v>
      </c>
      <c r="F985" s="5" t="str">
        <f t="shared" si="229"/>
        <v>C:\Users\jaime.benazar\Quorum Business Solutions\Ecopetrol Prometeo - Documents\Planning Space Implementation\3. Analysis &amp; Design\Design\FC22\DRR Jaime\QUIFA-CAJÚA\Cajua\[VAS_CAJUA_CF_SEC_20230125.xlsx]CF PRBDP'!</v>
      </c>
      <c r="G985" s="7" t="s">
        <v>37</v>
      </c>
      <c r="H985" s="4"/>
      <c r="I985" s="4"/>
      <c r="J985" s="4"/>
    </row>
    <row r="986" spans="1:10" x14ac:dyDescent="0.25">
      <c r="A986" s="7" t="s">
        <v>99</v>
      </c>
      <c r="B986" s="7">
        <f t="shared" si="230"/>
        <v>2057</v>
      </c>
      <c r="C986" s="4" t="s">
        <v>11</v>
      </c>
      <c r="D986" s="5" t="s">
        <v>128</v>
      </c>
      <c r="E986" s="10" t="str">
        <f t="shared" si="228"/>
        <v>PRBDP'!</v>
      </c>
      <c r="F986" s="5" t="str">
        <f t="shared" si="229"/>
        <v>C:\Users\jaime.benazar\Quorum Business Solutions\Ecopetrol Prometeo - Documents\Planning Space Implementation\3. Analysis &amp; Design\Design\FC22\DRR Jaime\QUIFA-CAJÚA\Cajua\[VAS_CAJUA_CF_SEC_20230125.xlsx]CF PRBDP'!</v>
      </c>
      <c r="G986" s="7" t="s">
        <v>37</v>
      </c>
      <c r="H986" s="4"/>
      <c r="I986" s="4"/>
      <c r="J986" s="4"/>
    </row>
    <row r="987" spans="1:10" x14ac:dyDescent="0.25">
      <c r="A987" s="7" t="s">
        <v>99</v>
      </c>
      <c r="B987" s="7">
        <f t="shared" si="230"/>
        <v>2058</v>
      </c>
      <c r="C987" s="4" t="s">
        <v>11</v>
      </c>
      <c r="D987" s="5" t="s">
        <v>128</v>
      </c>
      <c r="E987" s="10" t="str">
        <f t="shared" si="228"/>
        <v>PRBDP'!</v>
      </c>
      <c r="F987" s="5" t="str">
        <f t="shared" si="229"/>
        <v>C:\Users\jaime.benazar\Quorum Business Solutions\Ecopetrol Prometeo - Documents\Planning Space Implementation\3. Analysis &amp; Design\Design\FC22\DRR Jaime\QUIFA-CAJÚA\Cajua\[VAS_CAJUA_CF_SEC_20230125.xlsx]CF PRBDP'!</v>
      </c>
      <c r="G987" s="7" t="s">
        <v>37</v>
      </c>
      <c r="H987" s="4"/>
      <c r="I987" s="4"/>
      <c r="J987" s="4"/>
    </row>
    <row r="988" spans="1:10" x14ac:dyDescent="0.25">
      <c r="A988" s="7" t="s">
        <v>99</v>
      </c>
      <c r="B988" s="7">
        <f t="shared" si="230"/>
        <v>2059</v>
      </c>
      <c r="C988" s="4" t="s">
        <v>11</v>
      </c>
      <c r="D988" s="5" t="s">
        <v>128</v>
      </c>
      <c r="E988" s="10" t="str">
        <f t="shared" si="228"/>
        <v>PRBDP'!</v>
      </c>
      <c r="F988" s="5" t="str">
        <f t="shared" si="229"/>
        <v>C:\Users\jaime.benazar\Quorum Business Solutions\Ecopetrol Prometeo - Documents\Planning Space Implementation\3. Analysis &amp; Design\Design\FC22\DRR Jaime\QUIFA-CAJÚA\Cajua\[VAS_CAJUA_CF_SEC_20230125.xlsx]CF PRBDP'!</v>
      </c>
      <c r="G988" s="7" t="s">
        <v>37</v>
      </c>
      <c r="H988" s="4"/>
      <c r="I988" s="4"/>
      <c r="J988" s="4"/>
    </row>
    <row r="989" spans="1:10" x14ac:dyDescent="0.25">
      <c r="A989" s="7" t="s">
        <v>28</v>
      </c>
      <c r="B989" s="7"/>
      <c r="C989" s="4" t="s">
        <v>11</v>
      </c>
      <c r="D989" s="5"/>
      <c r="E989" s="10"/>
      <c r="F989" s="5" t="str">
        <f t="shared" si="212"/>
        <v xml:space="preserve"> </v>
      </c>
      <c r="G989" s="7"/>
      <c r="H989" s="4"/>
      <c r="I989" s="4"/>
      <c r="J989" s="4"/>
    </row>
    <row r="990" spans="1:10" x14ac:dyDescent="0.25">
      <c r="A990" s="7" t="s">
        <v>100</v>
      </c>
      <c r="B990" s="7">
        <v>2023</v>
      </c>
      <c r="C990" s="4" t="s">
        <v>11</v>
      </c>
      <c r="D990" s="5" t="s">
        <v>128</v>
      </c>
      <c r="E990" s="10" t="str">
        <f t="shared" ref="E990:E1010" si="231">_xlfn.CONCAT(A990,"'!")</f>
        <v>PRBNP'!</v>
      </c>
      <c r="F990" s="5" t="str">
        <f t="shared" si="212"/>
        <v>C:\Users\jaime.benazar\Quorum Business Solutions\Ecopetrol Prometeo - Documents\Planning Space Implementation\3. Analysis &amp; Design\Design\FC22\DRR Jaime\QUIFA-CAJÚA\Cajua\[VAS_CAJUA_CF_SEC_20230125.xlsx]CF PRBNP'!</v>
      </c>
      <c r="G990" s="7" t="s">
        <v>37</v>
      </c>
      <c r="H990" s="4"/>
      <c r="I990" s="4"/>
      <c r="J990" s="4"/>
    </row>
    <row r="991" spans="1:10" x14ac:dyDescent="0.25">
      <c r="A991" s="7" t="s">
        <v>100</v>
      </c>
      <c r="B991" s="7">
        <f>+B990+1</f>
        <v>2024</v>
      </c>
      <c r="C991" s="4" t="s">
        <v>11</v>
      </c>
      <c r="D991" s="5" t="s">
        <v>128</v>
      </c>
      <c r="E991" s="10" t="str">
        <f t="shared" si="231"/>
        <v>PRBNP'!</v>
      </c>
      <c r="F991" s="5" t="str">
        <f t="shared" si="212"/>
        <v>C:\Users\jaime.benazar\Quorum Business Solutions\Ecopetrol Prometeo - Documents\Planning Space Implementation\3. Analysis &amp; Design\Design\FC22\DRR Jaime\QUIFA-CAJÚA\Cajua\[VAS_CAJUA_CF_SEC_20230125.xlsx]CF PRBNP'!</v>
      </c>
      <c r="G991" s="7" t="s">
        <v>37</v>
      </c>
      <c r="H991" s="4"/>
      <c r="I991" s="4"/>
      <c r="J991" s="4"/>
    </row>
    <row r="992" spans="1:10" x14ac:dyDescent="0.25">
      <c r="A992" s="7" t="s">
        <v>100</v>
      </c>
      <c r="B992" s="7">
        <f t="shared" ref="B992:B1003" si="232">+B991+1</f>
        <v>2025</v>
      </c>
      <c r="C992" s="4" t="s">
        <v>11</v>
      </c>
      <c r="D992" s="5" t="s">
        <v>128</v>
      </c>
      <c r="E992" s="10" t="str">
        <f t="shared" si="231"/>
        <v>PRBNP'!</v>
      </c>
      <c r="F992" s="5" t="str">
        <f t="shared" si="212"/>
        <v>C:\Users\jaime.benazar\Quorum Business Solutions\Ecopetrol Prometeo - Documents\Planning Space Implementation\3. Analysis &amp; Design\Design\FC22\DRR Jaime\QUIFA-CAJÚA\Cajua\[VAS_CAJUA_CF_SEC_20230125.xlsx]CF PRBNP'!</v>
      </c>
      <c r="G992" s="7" t="s">
        <v>37</v>
      </c>
      <c r="H992" s="4"/>
      <c r="I992" s="4"/>
      <c r="J992" s="4"/>
    </row>
    <row r="993" spans="1:10" x14ac:dyDescent="0.25">
      <c r="A993" s="7" t="s">
        <v>100</v>
      </c>
      <c r="B993" s="7">
        <f t="shared" si="232"/>
        <v>2026</v>
      </c>
      <c r="C993" s="4" t="s">
        <v>11</v>
      </c>
      <c r="D993" s="5" t="s">
        <v>128</v>
      </c>
      <c r="E993" s="10" t="str">
        <f t="shared" si="231"/>
        <v>PRBNP'!</v>
      </c>
      <c r="F993" s="5" t="str">
        <f t="shared" si="212"/>
        <v>C:\Users\jaime.benazar\Quorum Business Solutions\Ecopetrol Prometeo - Documents\Planning Space Implementation\3. Analysis &amp; Design\Design\FC22\DRR Jaime\QUIFA-CAJÚA\Cajua\[VAS_CAJUA_CF_SEC_20230125.xlsx]CF PRBNP'!</v>
      </c>
      <c r="G993" s="7" t="s">
        <v>37</v>
      </c>
      <c r="H993" s="4"/>
      <c r="I993" s="4"/>
      <c r="J993" s="4"/>
    </row>
    <row r="994" spans="1:10" x14ac:dyDescent="0.25">
      <c r="A994" s="7" t="s">
        <v>100</v>
      </c>
      <c r="B994" s="7">
        <f t="shared" si="232"/>
        <v>2027</v>
      </c>
      <c r="C994" s="4" t="s">
        <v>11</v>
      </c>
      <c r="D994" s="5" t="s">
        <v>128</v>
      </c>
      <c r="E994" s="10" t="str">
        <f t="shared" si="231"/>
        <v>PRBNP'!</v>
      </c>
      <c r="F994" s="5" t="str">
        <f t="shared" si="212"/>
        <v>C:\Users\jaime.benazar\Quorum Business Solutions\Ecopetrol Prometeo - Documents\Planning Space Implementation\3. Analysis &amp; Design\Design\FC22\DRR Jaime\QUIFA-CAJÚA\Cajua\[VAS_CAJUA_CF_SEC_20230125.xlsx]CF PRBNP'!</v>
      </c>
      <c r="G994" s="7" t="s">
        <v>37</v>
      </c>
      <c r="H994" s="4"/>
      <c r="I994" s="4"/>
      <c r="J994" s="4"/>
    </row>
    <row r="995" spans="1:10" x14ac:dyDescent="0.25">
      <c r="A995" s="7" t="s">
        <v>100</v>
      </c>
      <c r="B995" s="7">
        <f t="shared" si="232"/>
        <v>2028</v>
      </c>
      <c r="C995" s="4" t="s">
        <v>11</v>
      </c>
      <c r="D995" s="5" t="s">
        <v>128</v>
      </c>
      <c r="E995" s="10" t="str">
        <f t="shared" si="231"/>
        <v>PRBNP'!</v>
      </c>
      <c r="F995" s="5" t="str">
        <f t="shared" si="212"/>
        <v>C:\Users\jaime.benazar\Quorum Business Solutions\Ecopetrol Prometeo - Documents\Planning Space Implementation\3. Analysis &amp; Design\Design\FC22\DRR Jaime\QUIFA-CAJÚA\Cajua\[VAS_CAJUA_CF_SEC_20230125.xlsx]CF PRBNP'!</v>
      </c>
      <c r="G995" s="7" t="s">
        <v>37</v>
      </c>
      <c r="H995" s="4"/>
      <c r="I995" s="4"/>
      <c r="J995" s="4"/>
    </row>
    <row r="996" spans="1:10" x14ac:dyDescent="0.25">
      <c r="A996" s="7" t="s">
        <v>100</v>
      </c>
      <c r="B996" s="7">
        <f t="shared" si="232"/>
        <v>2029</v>
      </c>
      <c r="C996" s="4" t="s">
        <v>11</v>
      </c>
      <c r="D996" s="5" t="s">
        <v>128</v>
      </c>
      <c r="E996" s="10" t="str">
        <f t="shared" si="231"/>
        <v>PRBNP'!</v>
      </c>
      <c r="F996" s="5" t="str">
        <f t="shared" si="212"/>
        <v>C:\Users\jaime.benazar\Quorum Business Solutions\Ecopetrol Prometeo - Documents\Planning Space Implementation\3. Analysis &amp; Design\Design\FC22\DRR Jaime\QUIFA-CAJÚA\Cajua\[VAS_CAJUA_CF_SEC_20230125.xlsx]CF PRBNP'!</v>
      </c>
      <c r="G996" s="7" t="s">
        <v>37</v>
      </c>
      <c r="H996" s="4"/>
      <c r="I996" s="4"/>
      <c r="J996" s="4"/>
    </row>
    <row r="997" spans="1:10" x14ac:dyDescent="0.25">
      <c r="A997" s="7" t="s">
        <v>100</v>
      </c>
      <c r="B997" s="7">
        <f t="shared" si="232"/>
        <v>2030</v>
      </c>
      <c r="C997" s="4" t="s">
        <v>11</v>
      </c>
      <c r="D997" s="5" t="s">
        <v>128</v>
      </c>
      <c r="E997" s="10" t="str">
        <f t="shared" si="231"/>
        <v>PRBNP'!</v>
      </c>
      <c r="F997" s="5" t="str">
        <f t="shared" si="212"/>
        <v>C:\Users\jaime.benazar\Quorum Business Solutions\Ecopetrol Prometeo - Documents\Planning Space Implementation\3. Analysis &amp; Design\Design\FC22\DRR Jaime\QUIFA-CAJÚA\Cajua\[VAS_CAJUA_CF_SEC_20230125.xlsx]CF PRBNP'!</v>
      </c>
      <c r="G997" s="7" t="s">
        <v>37</v>
      </c>
      <c r="H997" s="4"/>
      <c r="I997" s="4"/>
      <c r="J997" s="4"/>
    </row>
    <row r="998" spans="1:10" x14ac:dyDescent="0.25">
      <c r="A998" s="7" t="s">
        <v>100</v>
      </c>
      <c r="B998" s="7">
        <f t="shared" si="232"/>
        <v>2031</v>
      </c>
      <c r="C998" s="4" t="s">
        <v>11</v>
      </c>
      <c r="D998" s="5" t="s">
        <v>128</v>
      </c>
      <c r="E998" s="10" t="str">
        <f t="shared" si="231"/>
        <v>PRBNP'!</v>
      </c>
      <c r="F998" s="5" t="str">
        <f t="shared" si="212"/>
        <v>C:\Users\jaime.benazar\Quorum Business Solutions\Ecopetrol Prometeo - Documents\Planning Space Implementation\3. Analysis &amp; Design\Design\FC22\DRR Jaime\QUIFA-CAJÚA\Cajua\[VAS_CAJUA_CF_SEC_20230125.xlsx]CF PRBNP'!</v>
      </c>
      <c r="G998" s="7" t="s">
        <v>37</v>
      </c>
      <c r="H998" s="4"/>
      <c r="I998" s="4"/>
      <c r="J998" s="4"/>
    </row>
    <row r="999" spans="1:10" x14ac:dyDescent="0.25">
      <c r="A999" s="7" t="s">
        <v>100</v>
      </c>
      <c r="B999" s="7">
        <f t="shared" si="232"/>
        <v>2032</v>
      </c>
      <c r="C999" s="4" t="s">
        <v>11</v>
      </c>
      <c r="D999" s="5" t="s">
        <v>128</v>
      </c>
      <c r="E999" s="10" t="str">
        <f t="shared" si="231"/>
        <v>PRBNP'!</v>
      </c>
      <c r="F999" s="5" t="str">
        <f t="shared" si="212"/>
        <v>C:\Users\jaime.benazar\Quorum Business Solutions\Ecopetrol Prometeo - Documents\Planning Space Implementation\3. Analysis &amp; Design\Design\FC22\DRR Jaime\QUIFA-CAJÚA\Cajua\[VAS_CAJUA_CF_SEC_20230125.xlsx]CF PRBNP'!</v>
      </c>
      <c r="G999" s="7" t="s">
        <v>37</v>
      </c>
      <c r="H999" s="4"/>
      <c r="I999" s="4"/>
      <c r="J999" s="4"/>
    </row>
    <row r="1000" spans="1:10" x14ac:dyDescent="0.25">
      <c r="A1000" s="7" t="s">
        <v>100</v>
      </c>
      <c r="B1000" s="7">
        <f t="shared" si="232"/>
        <v>2033</v>
      </c>
      <c r="C1000" s="4" t="s">
        <v>11</v>
      </c>
      <c r="D1000" s="5" t="s">
        <v>128</v>
      </c>
      <c r="E1000" s="10" t="str">
        <f t="shared" si="231"/>
        <v>PRBNP'!</v>
      </c>
      <c r="F1000" s="5" t="str">
        <f t="shared" si="212"/>
        <v>C:\Users\jaime.benazar\Quorum Business Solutions\Ecopetrol Prometeo - Documents\Planning Space Implementation\3. Analysis &amp; Design\Design\FC22\DRR Jaime\QUIFA-CAJÚA\Cajua\[VAS_CAJUA_CF_SEC_20230125.xlsx]CF PRBNP'!</v>
      </c>
      <c r="G1000" s="7" t="s">
        <v>37</v>
      </c>
      <c r="H1000" s="4"/>
      <c r="I1000" s="4"/>
      <c r="J1000" s="4"/>
    </row>
    <row r="1001" spans="1:10" x14ac:dyDescent="0.25">
      <c r="A1001" s="7" t="s">
        <v>100</v>
      </c>
      <c r="B1001" s="7">
        <f t="shared" si="232"/>
        <v>2034</v>
      </c>
      <c r="C1001" s="4" t="s">
        <v>11</v>
      </c>
      <c r="D1001" s="5" t="s">
        <v>128</v>
      </c>
      <c r="E1001" s="10" t="str">
        <f t="shared" si="231"/>
        <v>PRBNP'!</v>
      </c>
      <c r="F1001" s="5" t="str">
        <f t="shared" si="212"/>
        <v>C:\Users\jaime.benazar\Quorum Business Solutions\Ecopetrol Prometeo - Documents\Planning Space Implementation\3. Analysis &amp; Design\Design\FC22\DRR Jaime\QUIFA-CAJÚA\Cajua\[VAS_CAJUA_CF_SEC_20230125.xlsx]CF PRBNP'!</v>
      </c>
      <c r="G1001" s="7" t="s">
        <v>37</v>
      </c>
      <c r="H1001" s="4"/>
      <c r="I1001" s="4"/>
      <c r="J1001" s="4"/>
    </row>
    <row r="1002" spans="1:10" x14ac:dyDescent="0.25">
      <c r="A1002" s="7" t="s">
        <v>100</v>
      </c>
      <c r="B1002" s="7">
        <f t="shared" si="232"/>
        <v>2035</v>
      </c>
      <c r="C1002" s="4" t="s">
        <v>11</v>
      </c>
      <c r="D1002" s="5" t="s">
        <v>128</v>
      </c>
      <c r="E1002" s="10" t="str">
        <f t="shared" si="231"/>
        <v>PRBNP'!</v>
      </c>
      <c r="F1002" s="5" t="str">
        <f t="shared" si="212"/>
        <v>C:\Users\jaime.benazar\Quorum Business Solutions\Ecopetrol Prometeo - Documents\Planning Space Implementation\3. Analysis &amp; Design\Design\FC22\DRR Jaime\QUIFA-CAJÚA\Cajua\[VAS_CAJUA_CF_SEC_20230125.xlsx]CF PRBNP'!</v>
      </c>
      <c r="G1002" s="7" t="s">
        <v>37</v>
      </c>
      <c r="H1002" s="4"/>
      <c r="I1002" s="4"/>
      <c r="J1002" s="4"/>
    </row>
    <row r="1003" spans="1:10" x14ac:dyDescent="0.25">
      <c r="A1003" s="7" t="s">
        <v>100</v>
      </c>
      <c r="B1003" s="7">
        <f t="shared" si="232"/>
        <v>2036</v>
      </c>
      <c r="C1003" s="4" t="s">
        <v>11</v>
      </c>
      <c r="D1003" s="5" t="s">
        <v>128</v>
      </c>
      <c r="E1003" s="10" t="str">
        <f t="shared" si="231"/>
        <v>PRBNP'!</v>
      </c>
      <c r="F1003" s="5" t="str">
        <f t="shared" si="212"/>
        <v>C:\Users\jaime.benazar\Quorum Business Solutions\Ecopetrol Prometeo - Documents\Planning Space Implementation\3. Analysis &amp; Design\Design\FC22\DRR Jaime\QUIFA-CAJÚA\Cajua\[VAS_CAJUA_CF_SEC_20230125.xlsx]CF PRBNP'!</v>
      </c>
      <c r="G1003" s="7" t="s">
        <v>37</v>
      </c>
      <c r="H1003" s="4"/>
      <c r="I1003" s="4"/>
      <c r="J1003" s="4"/>
    </row>
    <row r="1004" spans="1:10" x14ac:dyDescent="0.25">
      <c r="A1004" s="7" t="s">
        <v>100</v>
      </c>
      <c r="B1004" s="7">
        <f>+B1003+1</f>
        <v>2037</v>
      </c>
      <c r="C1004" s="4" t="s">
        <v>11</v>
      </c>
      <c r="D1004" s="5" t="s">
        <v>128</v>
      </c>
      <c r="E1004" s="10" t="str">
        <f t="shared" si="231"/>
        <v>PRBNP'!</v>
      </c>
      <c r="F1004" s="5" t="str">
        <f t="shared" si="212"/>
        <v>C:\Users\jaime.benazar\Quorum Business Solutions\Ecopetrol Prometeo - Documents\Planning Space Implementation\3. Analysis &amp; Design\Design\FC22\DRR Jaime\QUIFA-CAJÚA\Cajua\[VAS_CAJUA_CF_SEC_20230125.xlsx]CF PRBNP'!</v>
      </c>
      <c r="G1004" s="7" t="s">
        <v>37</v>
      </c>
      <c r="H1004" s="4"/>
      <c r="I1004" s="4"/>
      <c r="J1004" s="4"/>
    </row>
    <row r="1005" spans="1:10" x14ac:dyDescent="0.25">
      <c r="A1005" s="7" t="s">
        <v>100</v>
      </c>
      <c r="B1005" s="7">
        <f t="shared" ref="B1005:B1007" si="233">+B1004+1</f>
        <v>2038</v>
      </c>
      <c r="C1005" s="4" t="s">
        <v>11</v>
      </c>
      <c r="D1005" s="5" t="s">
        <v>128</v>
      </c>
      <c r="E1005" s="10" t="str">
        <f t="shared" si="231"/>
        <v>PRBNP'!</v>
      </c>
      <c r="F1005" s="5" t="str">
        <f t="shared" si="212"/>
        <v>C:\Users\jaime.benazar\Quorum Business Solutions\Ecopetrol Prometeo - Documents\Planning Space Implementation\3. Analysis &amp; Design\Design\FC22\DRR Jaime\QUIFA-CAJÚA\Cajua\[VAS_CAJUA_CF_SEC_20230125.xlsx]CF PRBNP'!</v>
      </c>
      <c r="G1005" s="7" t="s">
        <v>37</v>
      </c>
      <c r="H1005" s="4"/>
      <c r="I1005" s="4"/>
      <c r="J1005" s="4"/>
    </row>
    <row r="1006" spans="1:10" x14ac:dyDescent="0.25">
      <c r="A1006" s="7" t="s">
        <v>100</v>
      </c>
      <c r="B1006" s="7">
        <f t="shared" si="233"/>
        <v>2039</v>
      </c>
      <c r="C1006" s="4" t="s">
        <v>11</v>
      </c>
      <c r="D1006" s="5" t="s">
        <v>128</v>
      </c>
      <c r="E1006" s="10" t="str">
        <f t="shared" si="231"/>
        <v>PRBNP'!</v>
      </c>
      <c r="F1006" s="5" t="str">
        <f t="shared" si="212"/>
        <v>C:\Users\jaime.benazar\Quorum Business Solutions\Ecopetrol Prometeo - Documents\Planning Space Implementation\3. Analysis &amp; Design\Design\FC22\DRR Jaime\QUIFA-CAJÚA\Cajua\[VAS_CAJUA_CF_SEC_20230125.xlsx]CF PRBNP'!</v>
      </c>
      <c r="G1006" s="7" t="s">
        <v>37</v>
      </c>
      <c r="H1006" s="4"/>
      <c r="I1006" s="4"/>
      <c r="J1006" s="4"/>
    </row>
    <row r="1007" spans="1:10" x14ac:dyDescent="0.25">
      <c r="A1007" s="7" t="s">
        <v>100</v>
      </c>
      <c r="B1007" s="7">
        <f t="shared" si="233"/>
        <v>2040</v>
      </c>
      <c r="C1007" s="4" t="s">
        <v>11</v>
      </c>
      <c r="D1007" s="5" t="s">
        <v>128</v>
      </c>
      <c r="E1007" s="10" t="str">
        <f t="shared" si="231"/>
        <v>PRBNP'!</v>
      </c>
      <c r="F1007" s="5" t="str">
        <f t="shared" ref="F1007:F1112" si="234">_xlfn.CONCAT(D1007," ",E1007)</f>
        <v>C:\Users\jaime.benazar\Quorum Business Solutions\Ecopetrol Prometeo - Documents\Planning Space Implementation\3. Analysis &amp; Design\Design\FC22\DRR Jaime\QUIFA-CAJÚA\Cajua\[VAS_CAJUA_CF_SEC_20230125.xlsx]CF PRBNP'!</v>
      </c>
      <c r="G1007" s="7" t="s">
        <v>37</v>
      </c>
      <c r="H1007" s="4"/>
      <c r="I1007" s="4"/>
      <c r="J1007" s="4"/>
    </row>
    <row r="1008" spans="1:10" x14ac:dyDescent="0.25">
      <c r="A1008" s="7" t="s">
        <v>100</v>
      </c>
      <c r="B1008" s="7">
        <f>+B1007+1</f>
        <v>2041</v>
      </c>
      <c r="C1008" s="4" t="s">
        <v>11</v>
      </c>
      <c r="D1008" s="5" t="s">
        <v>128</v>
      </c>
      <c r="E1008" s="10" t="str">
        <f t="shared" si="231"/>
        <v>PRBNP'!</v>
      </c>
      <c r="F1008" s="5" t="str">
        <f t="shared" si="234"/>
        <v>C:\Users\jaime.benazar\Quorum Business Solutions\Ecopetrol Prometeo - Documents\Planning Space Implementation\3. Analysis &amp; Design\Design\FC22\DRR Jaime\QUIFA-CAJÚA\Cajua\[VAS_CAJUA_CF_SEC_20230125.xlsx]CF PRBNP'!</v>
      </c>
      <c r="G1008" s="7" t="s">
        <v>37</v>
      </c>
      <c r="H1008" s="4"/>
      <c r="I1008" s="4"/>
      <c r="J1008" s="4"/>
    </row>
    <row r="1009" spans="1:10" x14ac:dyDescent="0.25">
      <c r="A1009" s="7" t="s">
        <v>100</v>
      </c>
      <c r="B1009" s="7">
        <f t="shared" ref="B1009:B1010" si="235">+B1008+1</f>
        <v>2042</v>
      </c>
      <c r="C1009" s="4" t="s">
        <v>11</v>
      </c>
      <c r="D1009" s="5" t="s">
        <v>128</v>
      </c>
      <c r="E1009" s="10" t="str">
        <f t="shared" si="231"/>
        <v>PRBNP'!</v>
      </c>
      <c r="F1009" s="5" t="str">
        <f t="shared" si="234"/>
        <v>C:\Users\jaime.benazar\Quorum Business Solutions\Ecopetrol Prometeo - Documents\Planning Space Implementation\3. Analysis &amp; Design\Design\FC22\DRR Jaime\QUIFA-CAJÚA\Cajua\[VAS_CAJUA_CF_SEC_20230125.xlsx]CF PRBNP'!</v>
      </c>
      <c r="G1009" s="7" t="s">
        <v>37</v>
      </c>
      <c r="H1009" s="4"/>
      <c r="I1009" s="4"/>
      <c r="J1009" s="4"/>
    </row>
    <row r="1010" spans="1:10" x14ac:dyDescent="0.25">
      <c r="A1010" s="7" t="s">
        <v>100</v>
      </c>
      <c r="B1010" s="7">
        <f t="shared" si="235"/>
        <v>2043</v>
      </c>
      <c r="C1010" s="4" t="s">
        <v>11</v>
      </c>
      <c r="D1010" s="5" t="s">
        <v>128</v>
      </c>
      <c r="E1010" s="10" t="str">
        <f t="shared" si="231"/>
        <v>PRBNP'!</v>
      </c>
      <c r="F1010" s="5" t="str">
        <f t="shared" si="234"/>
        <v>C:\Users\jaime.benazar\Quorum Business Solutions\Ecopetrol Prometeo - Documents\Planning Space Implementation\3. Analysis &amp; Design\Design\FC22\DRR Jaime\QUIFA-CAJÚA\Cajua\[VAS_CAJUA_CF_SEC_20230125.xlsx]CF PRBNP'!</v>
      </c>
      <c r="G1010" s="7" t="s">
        <v>37</v>
      </c>
      <c r="H1010" s="4"/>
      <c r="I1010" s="4"/>
      <c r="J1010" s="4"/>
    </row>
    <row r="1011" spans="1:10" x14ac:dyDescent="0.25">
      <c r="A1011" s="7" t="s">
        <v>100</v>
      </c>
      <c r="B1011" s="7">
        <f>+B1010+1</f>
        <v>2044</v>
      </c>
      <c r="C1011" s="4" t="s">
        <v>11</v>
      </c>
      <c r="D1011" s="5" t="s">
        <v>128</v>
      </c>
      <c r="E1011" s="10" t="str">
        <f t="shared" ref="E1011:E1026" si="236">_xlfn.CONCAT(A1011,"'!")</f>
        <v>PRBNP'!</v>
      </c>
      <c r="F1011" s="5" t="str">
        <f t="shared" ref="F1011:F1026" si="237">_xlfn.CONCAT(D1011," ",E1011)</f>
        <v>C:\Users\jaime.benazar\Quorum Business Solutions\Ecopetrol Prometeo - Documents\Planning Space Implementation\3. Analysis &amp; Design\Design\FC22\DRR Jaime\QUIFA-CAJÚA\Cajua\[VAS_CAJUA_CF_SEC_20230125.xlsx]CF PRBNP'!</v>
      </c>
      <c r="G1011" s="7" t="s">
        <v>37</v>
      </c>
      <c r="H1011" s="4"/>
      <c r="I1011" s="4"/>
      <c r="J1011" s="4"/>
    </row>
    <row r="1012" spans="1:10" x14ac:dyDescent="0.25">
      <c r="A1012" s="7" t="s">
        <v>100</v>
      </c>
      <c r="B1012" s="7">
        <f t="shared" ref="B1012:B1026" si="238">+B1011+1</f>
        <v>2045</v>
      </c>
      <c r="C1012" s="4" t="s">
        <v>11</v>
      </c>
      <c r="D1012" s="5" t="s">
        <v>128</v>
      </c>
      <c r="E1012" s="10" t="str">
        <f t="shared" si="236"/>
        <v>PRBNP'!</v>
      </c>
      <c r="F1012" s="5" t="str">
        <f t="shared" si="237"/>
        <v>C:\Users\jaime.benazar\Quorum Business Solutions\Ecopetrol Prometeo - Documents\Planning Space Implementation\3. Analysis &amp; Design\Design\FC22\DRR Jaime\QUIFA-CAJÚA\Cajua\[VAS_CAJUA_CF_SEC_20230125.xlsx]CF PRBNP'!</v>
      </c>
      <c r="G1012" s="7" t="s">
        <v>37</v>
      </c>
      <c r="H1012" s="4"/>
      <c r="I1012" s="4"/>
      <c r="J1012" s="4"/>
    </row>
    <row r="1013" spans="1:10" x14ac:dyDescent="0.25">
      <c r="A1013" s="7" t="s">
        <v>100</v>
      </c>
      <c r="B1013" s="7">
        <f t="shared" si="238"/>
        <v>2046</v>
      </c>
      <c r="C1013" s="4" t="s">
        <v>11</v>
      </c>
      <c r="D1013" s="5" t="s">
        <v>128</v>
      </c>
      <c r="E1013" s="10" t="str">
        <f t="shared" si="236"/>
        <v>PRBNP'!</v>
      </c>
      <c r="F1013" s="5" t="str">
        <f t="shared" si="237"/>
        <v>C:\Users\jaime.benazar\Quorum Business Solutions\Ecopetrol Prometeo - Documents\Planning Space Implementation\3. Analysis &amp; Design\Design\FC22\DRR Jaime\QUIFA-CAJÚA\Cajua\[VAS_CAJUA_CF_SEC_20230125.xlsx]CF PRBNP'!</v>
      </c>
      <c r="G1013" s="7" t="s">
        <v>37</v>
      </c>
      <c r="H1013" s="4"/>
      <c r="I1013" s="4"/>
      <c r="J1013" s="4"/>
    </row>
    <row r="1014" spans="1:10" x14ac:dyDescent="0.25">
      <c r="A1014" s="7" t="s">
        <v>100</v>
      </c>
      <c r="B1014" s="7">
        <f t="shared" si="238"/>
        <v>2047</v>
      </c>
      <c r="C1014" s="4" t="s">
        <v>11</v>
      </c>
      <c r="D1014" s="5" t="s">
        <v>128</v>
      </c>
      <c r="E1014" s="10" t="str">
        <f t="shared" si="236"/>
        <v>PRBNP'!</v>
      </c>
      <c r="F1014" s="5" t="str">
        <f t="shared" si="237"/>
        <v>C:\Users\jaime.benazar\Quorum Business Solutions\Ecopetrol Prometeo - Documents\Planning Space Implementation\3. Analysis &amp; Design\Design\FC22\DRR Jaime\QUIFA-CAJÚA\Cajua\[VAS_CAJUA_CF_SEC_20230125.xlsx]CF PRBNP'!</v>
      </c>
      <c r="G1014" s="7" t="s">
        <v>37</v>
      </c>
      <c r="H1014" s="4"/>
      <c r="I1014" s="4"/>
      <c r="J1014" s="4"/>
    </row>
    <row r="1015" spans="1:10" x14ac:dyDescent="0.25">
      <c r="A1015" s="7" t="s">
        <v>100</v>
      </c>
      <c r="B1015" s="7">
        <f t="shared" si="238"/>
        <v>2048</v>
      </c>
      <c r="C1015" s="4" t="s">
        <v>11</v>
      </c>
      <c r="D1015" s="5" t="s">
        <v>128</v>
      </c>
      <c r="E1015" s="10" t="str">
        <f t="shared" si="236"/>
        <v>PRBNP'!</v>
      </c>
      <c r="F1015" s="5" t="str">
        <f t="shared" si="237"/>
        <v>C:\Users\jaime.benazar\Quorum Business Solutions\Ecopetrol Prometeo - Documents\Planning Space Implementation\3. Analysis &amp; Design\Design\FC22\DRR Jaime\QUIFA-CAJÚA\Cajua\[VAS_CAJUA_CF_SEC_20230125.xlsx]CF PRBNP'!</v>
      </c>
      <c r="G1015" s="7" t="s">
        <v>37</v>
      </c>
      <c r="H1015" s="4"/>
      <c r="I1015" s="4"/>
      <c r="J1015" s="4"/>
    </row>
    <row r="1016" spans="1:10" x14ac:dyDescent="0.25">
      <c r="A1016" s="7" t="s">
        <v>100</v>
      </c>
      <c r="B1016" s="7">
        <f t="shared" si="238"/>
        <v>2049</v>
      </c>
      <c r="C1016" s="4" t="s">
        <v>11</v>
      </c>
      <c r="D1016" s="5" t="s">
        <v>128</v>
      </c>
      <c r="E1016" s="10" t="str">
        <f t="shared" si="236"/>
        <v>PRBNP'!</v>
      </c>
      <c r="F1016" s="5" t="str">
        <f t="shared" si="237"/>
        <v>C:\Users\jaime.benazar\Quorum Business Solutions\Ecopetrol Prometeo - Documents\Planning Space Implementation\3. Analysis &amp; Design\Design\FC22\DRR Jaime\QUIFA-CAJÚA\Cajua\[VAS_CAJUA_CF_SEC_20230125.xlsx]CF PRBNP'!</v>
      </c>
      <c r="G1016" s="7" t="s">
        <v>37</v>
      </c>
      <c r="H1016" s="4"/>
      <c r="I1016" s="4"/>
      <c r="J1016" s="4"/>
    </row>
    <row r="1017" spans="1:10" x14ac:dyDescent="0.25">
      <c r="A1017" s="7" t="s">
        <v>100</v>
      </c>
      <c r="B1017" s="7">
        <f t="shared" si="238"/>
        <v>2050</v>
      </c>
      <c r="C1017" s="4" t="s">
        <v>11</v>
      </c>
      <c r="D1017" s="5" t="s">
        <v>128</v>
      </c>
      <c r="E1017" s="10" t="str">
        <f t="shared" si="236"/>
        <v>PRBNP'!</v>
      </c>
      <c r="F1017" s="5" t="str">
        <f t="shared" si="237"/>
        <v>C:\Users\jaime.benazar\Quorum Business Solutions\Ecopetrol Prometeo - Documents\Planning Space Implementation\3. Analysis &amp; Design\Design\FC22\DRR Jaime\QUIFA-CAJÚA\Cajua\[VAS_CAJUA_CF_SEC_20230125.xlsx]CF PRBNP'!</v>
      </c>
      <c r="G1017" s="7" t="s">
        <v>37</v>
      </c>
      <c r="H1017" s="4"/>
      <c r="I1017" s="4"/>
      <c r="J1017" s="4"/>
    </row>
    <row r="1018" spans="1:10" x14ac:dyDescent="0.25">
      <c r="A1018" s="7" t="s">
        <v>100</v>
      </c>
      <c r="B1018" s="7">
        <f t="shared" si="238"/>
        <v>2051</v>
      </c>
      <c r="C1018" s="4" t="s">
        <v>11</v>
      </c>
      <c r="D1018" s="5" t="s">
        <v>128</v>
      </c>
      <c r="E1018" s="10" t="str">
        <f t="shared" si="236"/>
        <v>PRBNP'!</v>
      </c>
      <c r="F1018" s="5" t="str">
        <f t="shared" si="237"/>
        <v>C:\Users\jaime.benazar\Quorum Business Solutions\Ecopetrol Prometeo - Documents\Planning Space Implementation\3. Analysis &amp; Design\Design\FC22\DRR Jaime\QUIFA-CAJÚA\Cajua\[VAS_CAJUA_CF_SEC_20230125.xlsx]CF PRBNP'!</v>
      </c>
      <c r="G1018" s="7" t="s">
        <v>37</v>
      </c>
      <c r="H1018" s="4"/>
      <c r="I1018" s="4"/>
      <c r="J1018" s="4"/>
    </row>
    <row r="1019" spans="1:10" x14ac:dyDescent="0.25">
      <c r="A1019" s="7" t="s">
        <v>100</v>
      </c>
      <c r="B1019" s="7">
        <f t="shared" si="238"/>
        <v>2052</v>
      </c>
      <c r="C1019" s="4" t="s">
        <v>11</v>
      </c>
      <c r="D1019" s="5" t="s">
        <v>128</v>
      </c>
      <c r="E1019" s="10" t="str">
        <f t="shared" si="236"/>
        <v>PRBNP'!</v>
      </c>
      <c r="F1019" s="5" t="str">
        <f t="shared" si="237"/>
        <v>C:\Users\jaime.benazar\Quorum Business Solutions\Ecopetrol Prometeo - Documents\Planning Space Implementation\3. Analysis &amp; Design\Design\FC22\DRR Jaime\QUIFA-CAJÚA\Cajua\[VAS_CAJUA_CF_SEC_20230125.xlsx]CF PRBNP'!</v>
      </c>
      <c r="G1019" s="7" t="s">
        <v>37</v>
      </c>
      <c r="H1019" s="4"/>
      <c r="I1019" s="4"/>
      <c r="J1019" s="4"/>
    </row>
    <row r="1020" spans="1:10" x14ac:dyDescent="0.25">
      <c r="A1020" s="7" t="s">
        <v>100</v>
      </c>
      <c r="B1020" s="7">
        <f t="shared" si="238"/>
        <v>2053</v>
      </c>
      <c r="C1020" s="4" t="s">
        <v>11</v>
      </c>
      <c r="D1020" s="5" t="s">
        <v>128</v>
      </c>
      <c r="E1020" s="10" t="str">
        <f t="shared" si="236"/>
        <v>PRBNP'!</v>
      </c>
      <c r="F1020" s="5" t="str">
        <f t="shared" si="237"/>
        <v>C:\Users\jaime.benazar\Quorum Business Solutions\Ecopetrol Prometeo - Documents\Planning Space Implementation\3. Analysis &amp; Design\Design\FC22\DRR Jaime\QUIFA-CAJÚA\Cajua\[VAS_CAJUA_CF_SEC_20230125.xlsx]CF PRBNP'!</v>
      </c>
      <c r="G1020" s="7" t="s">
        <v>37</v>
      </c>
      <c r="H1020" s="4"/>
      <c r="I1020" s="4"/>
      <c r="J1020" s="4"/>
    </row>
    <row r="1021" spans="1:10" x14ac:dyDescent="0.25">
      <c r="A1021" s="7" t="s">
        <v>100</v>
      </c>
      <c r="B1021" s="7">
        <f t="shared" si="238"/>
        <v>2054</v>
      </c>
      <c r="C1021" s="4" t="s">
        <v>11</v>
      </c>
      <c r="D1021" s="5" t="s">
        <v>128</v>
      </c>
      <c r="E1021" s="10" t="str">
        <f t="shared" si="236"/>
        <v>PRBNP'!</v>
      </c>
      <c r="F1021" s="5" t="str">
        <f t="shared" si="237"/>
        <v>C:\Users\jaime.benazar\Quorum Business Solutions\Ecopetrol Prometeo - Documents\Planning Space Implementation\3. Analysis &amp; Design\Design\FC22\DRR Jaime\QUIFA-CAJÚA\Cajua\[VAS_CAJUA_CF_SEC_20230125.xlsx]CF PRBNP'!</v>
      </c>
      <c r="G1021" s="7" t="s">
        <v>37</v>
      </c>
      <c r="H1021" s="4"/>
      <c r="I1021" s="4"/>
      <c r="J1021" s="4"/>
    </row>
    <row r="1022" spans="1:10" x14ac:dyDescent="0.25">
      <c r="A1022" s="7" t="s">
        <v>100</v>
      </c>
      <c r="B1022" s="7">
        <f t="shared" si="238"/>
        <v>2055</v>
      </c>
      <c r="C1022" s="4" t="s">
        <v>11</v>
      </c>
      <c r="D1022" s="5" t="s">
        <v>128</v>
      </c>
      <c r="E1022" s="10" t="str">
        <f t="shared" si="236"/>
        <v>PRBNP'!</v>
      </c>
      <c r="F1022" s="5" t="str">
        <f t="shared" si="237"/>
        <v>C:\Users\jaime.benazar\Quorum Business Solutions\Ecopetrol Prometeo - Documents\Planning Space Implementation\3. Analysis &amp; Design\Design\FC22\DRR Jaime\QUIFA-CAJÚA\Cajua\[VAS_CAJUA_CF_SEC_20230125.xlsx]CF PRBNP'!</v>
      </c>
      <c r="G1022" s="7" t="s">
        <v>37</v>
      </c>
      <c r="H1022" s="4"/>
      <c r="I1022" s="4"/>
      <c r="J1022" s="4"/>
    </row>
    <row r="1023" spans="1:10" x14ac:dyDescent="0.25">
      <c r="A1023" s="7" t="s">
        <v>100</v>
      </c>
      <c r="B1023" s="7">
        <f t="shared" si="238"/>
        <v>2056</v>
      </c>
      <c r="C1023" s="4" t="s">
        <v>11</v>
      </c>
      <c r="D1023" s="5" t="s">
        <v>128</v>
      </c>
      <c r="E1023" s="10" t="str">
        <f t="shared" si="236"/>
        <v>PRBNP'!</v>
      </c>
      <c r="F1023" s="5" t="str">
        <f t="shared" si="237"/>
        <v>C:\Users\jaime.benazar\Quorum Business Solutions\Ecopetrol Prometeo - Documents\Planning Space Implementation\3. Analysis &amp; Design\Design\FC22\DRR Jaime\QUIFA-CAJÚA\Cajua\[VAS_CAJUA_CF_SEC_20230125.xlsx]CF PRBNP'!</v>
      </c>
      <c r="G1023" s="7" t="s">
        <v>37</v>
      </c>
      <c r="H1023" s="4"/>
      <c r="I1023" s="4"/>
      <c r="J1023" s="4"/>
    </row>
    <row r="1024" spans="1:10" x14ac:dyDescent="0.25">
      <c r="A1024" s="7" t="s">
        <v>100</v>
      </c>
      <c r="B1024" s="7">
        <f t="shared" si="238"/>
        <v>2057</v>
      </c>
      <c r="C1024" s="4" t="s">
        <v>11</v>
      </c>
      <c r="D1024" s="5" t="s">
        <v>128</v>
      </c>
      <c r="E1024" s="10" t="str">
        <f t="shared" si="236"/>
        <v>PRBNP'!</v>
      </c>
      <c r="F1024" s="5" t="str">
        <f t="shared" si="237"/>
        <v>C:\Users\jaime.benazar\Quorum Business Solutions\Ecopetrol Prometeo - Documents\Planning Space Implementation\3. Analysis &amp; Design\Design\FC22\DRR Jaime\QUIFA-CAJÚA\Cajua\[VAS_CAJUA_CF_SEC_20230125.xlsx]CF PRBNP'!</v>
      </c>
      <c r="G1024" s="7" t="s">
        <v>37</v>
      </c>
      <c r="H1024" s="4"/>
      <c r="I1024" s="4"/>
      <c r="J1024" s="4"/>
    </row>
    <row r="1025" spans="1:10" x14ac:dyDescent="0.25">
      <c r="A1025" s="7" t="s">
        <v>100</v>
      </c>
      <c r="B1025" s="7">
        <f t="shared" si="238"/>
        <v>2058</v>
      </c>
      <c r="C1025" s="4" t="s">
        <v>11</v>
      </c>
      <c r="D1025" s="5" t="s">
        <v>128</v>
      </c>
      <c r="E1025" s="10" t="str">
        <f t="shared" si="236"/>
        <v>PRBNP'!</v>
      </c>
      <c r="F1025" s="5" t="str">
        <f t="shared" si="237"/>
        <v>C:\Users\jaime.benazar\Quorum Business Solutions\Ecopetrol Prometeo - Documents\Planning Space Implementation\3. Analysis &amp; Design\Design\FC22\DRR Jaime\QUIFA-CAJÚA\Cajua\[VAS_CAJUA_CF_SEC_20230125.xlsx]CF PRBNP'!</v>
      </c>
      <c r="G1025" s="7" t="s">
        <v>37</v>
      </c>
      <c r="H1025" s="4"/>
      <c r="I1025" s="4"/>
      <c r="J1025" s="4"/>
    </row>
    <row r="1026" spans="1:10" x14ac:dyDescent="0.25">
      <c r="A1026" s="7" t="s">
        <v>100</v>
      </c>
      <c r="B1026" s="7">
        <f t="shared" si="238"/>
        <v>2059</v>
      </c>
      <c r="C1026" s="4" t="s">
        <v>11</v>
      </c>
      <c r="D1026" s="5" t="s">
        <v>128</v>
      </c>
      <c r="E1026" s="10" t="str">
        <f t="shared" si="236"/>
        <v>PRBNP'!</v>
      </c>
      <c r="F1026" s="5" t="str">
        <f t="shared" si="237"/>
        <v>C:\Users\jaime.benazar\Quorum Business Solutions\Ecopetrol Prometeo - Documents\Planning Space Implementation\3. Analysis &amp; Design\Design\FC22\DRR Jaime\QUIFA-CAJÚA\Cajua\[VAS_CAJUA_CF_SEC_20230125.xlsx]CF PRBNP'!</v>
      </c>
      <c r="G1026" s="7" t="s">
        <v>37</v>
      </c>
      <c r="H1026" s="4"/>
      <c r="I1026" s="4"/>
      <c r="J1026" s="4"/>
    </row>
    <row r="1027" spans="1:10" x14ac:dyDescent="0.25">
      <c r="A1027" s="7" t="s">
        <v>28</v>
      </c>
      <c r="B1027" s="7"/>
      <c r="C1027" s="4" t="s">
        <v>11</v>
      </c>
      <c r="D1027" s="5"/>
      <c r="E1027" s="10"/>
      <c r="F1027" s="5" t="str">
        <f t="shared" si="234"/>
        <v xml:space="preserve"> </v>
      </c>
      <c r="G1027" s="7"/>
      <c r="H1027" s="4"/>
      <c r="I1027" s="4"/>
      <c r="J1027" s="4"/>
    </row>
    <row r="1028" spans="1:10" x14ac:dyDescent="0.25">
      <c r="A1028" s="7" t="s">
        <v>101</v>
      </c>
      <c r="B1028" s="7">
        <v>2023</v>
      </c>
      <c r="C1028" s="4" t="s">
        <v>11</v>
      </c>
      <c r="D1028" s="5" t="s">
        <v>128</v>
      </c>
      <c r="E1028" s="10" t="str">
        <f t="shared" ref="E1028:E1048" si="239">_xlfn.CONCAT(A1028,"'!")</f>
        <v>PRBND'!</v>
      </c>
      <c r="F1028" s="5" t="str">
        <f t="shared" si="234"/>
        <v>C:\Users\jaime.benazar\Quorum Business Solutions\Ecopetrol Prometeo - Documents\Planning Space Implementation\3. Analysis &amp; Design\Design\FC22\DRR Jaime\QUIFA-CAJÚA\Cajua\[VAS_CAJUA_CF_SEC_20230125.xlsx]CF PRBND'!</v>
      </c>
      <c r="G1028" s="7" t="s">
        <v>37</v>
      </c>
      <c r="H1028" s="4"/>
      <c r="I1028" s="4"/>
      <c r="J1028" s="4"/>
    </row>
    <row r="1029" spans="1:10" x14ac:dyDescent="0.25">
      <c r="A1029" s="7" t="s">
        <v>101</v>
      </c>
      <c r="B1029" s="7">
        <f>+B1028+1</f>
        <v>2024</v>
      </c>
      <c r="C1029" s="4" t="s">
        <v>11</v>
      </c>
      <c r="D1029" s="5" t="s">
        <v>128</v>
      </c>
      <c r="E1029" s="10" t="str">
        <f t="shared" si="239"/>
        <v>PRBND'!</v>
      </c>
      <c r="F1029" s="5" t="str">
        <f t="shared" si="234"/>
        <v>C:\Users\jaime.benazar\Quorum Business Solutions\Ecopetrol Prometeo - Documents\Planning Space Implementation\3. Analysis &amp; Design\Design\FC22\DRR Jaime\QUIFA-CAJÚA\Cajua\[VAS_CAJUA_CF_SEC_20230125.xlsx]CF PRBND'!</v>
      </c>
      <c r="G1029" s="7" t="s">
        <v>37</v>
      </c>
      <c r="H1029" s="4"/>
      <c r="I1029" s="4"/>
      <c r="J1029" s="4"/>
    </row>
    <row r="1030" spans="1:10" x14ac:dyDescent="0.25">
      <c r="A1030" s="7" t="s">
        <v>101</v>
      </c>
      <c r="B1030" s="7">
        <f t="shared" ref="B1030:B1041" si="240">+B1029+1</f>
        <v>2025</v>
      </c>
      <c r="C1030" s="4" t="s">
        <v>11</v>
      </c>
      <c r="D1030" s="5" t="s">
        <v>128</v>
      </c>
      <c r="E1030" s="10" t="str">
        <f t="shared" si="239"/>
        <v>PRBND'!</v>
      </c>
      <c r="F1030" s="5" t="str">
        <f t="shared" si="234"/>
        <v>C:\Users\jaime.benazar\Quorum Business Solutions\Ecopetrol Prometeo - Documents\Planning Space Implementation\3. Analysis &amp; Design\Design\FC22\DRR Jaime\QUIFA-CAJÚA\Cajua\[VAS_CAJUA_CF_SEC_20230125.xlsx]CF PRBND'!</v>
      </c>
      <c r="G1030" s="7" t="s">
        <v>37</v>
      </c>
      <c r="H1030" s="4"/>
      <c r="I1030" s="4"/>
      <c r="J1030" s="4"/>
    </row>
    <row r="1031" spans="1:10" x14ac:dyDescent="0.25">
      <c r="A1031" s="7" t="s">
        <v>101</v>
      </c>
      <c r="B1031" s="7">
        <f t="shared" si="240"/>
        <v>2026</v>
      </c>
      <c r="C1031" s="4" t="s">
        <v>11</v>
      </c>
      <c r="D1031" s="5" t="s">
        <v>128</v>
      </c>
      <c r="E1031" s="10" t="str">
        <f t="shared" si="239"/>
        <v>PRBND'!</v>
      </c>
      <c r="F1031" s="5" t="str">
        <f t="shared" si="234"/>
        <v>C:\Users\jaime.benazar\Quorum Business Solutions\Ecopetrol Prometeo - Documents\Planning Space Implementation\3. Analysis &amp; Design\Design\FC22\DRR Jaime\QUIFA-CAJÚA\Cajua\[VAS_CAJUA_CF_SEC_20230125.xlsx]CF PRBND'!</v>
      </c>
      <c r="G1031" s="7" t="s">
        <v>37</v>
      </c>
      <c r="H1031" s="4"/>
      <c r="I1031" s="4"/>
      <c r="J1031" s="4"/>
    </row>
    <row r="1032" spans="1:10" x14ac:dyDescent="0.25">
      <c r="A1032" s="7" t="s">
        <v>101</v>
      </c>
      <c r="B1032" s="7">
        <f t="shared" si="240"/>
        <v>2027</v>
      </c>
      <c r="C1032" s="4" t="s">
        <v>11</v>
      </c>
      <c r="D1032" s="5" t="s">
        <v>128</v>
      </c>
      <c r="E1032" s="10" t="str">
        <f t="shared" si="239"/>
        <v>PRBND'!</v>
      </c>
      <c r="F1032" s="5" t="str">
        <f t="shared" si="234"/>
        <v>C:\Users\jaime.benazar\Quorum Business Solutions\Ecopetrol Prometeo - Documents\Planning Space Implementation\3. Analysis &amp; Design\Design\FC22\DRR Jaime\QUIFA-CAJÚA\Cajua\[VAS_CAJUA_CF_SEC_20230125.xlsx]CF PRBND'!</v>
      </c>
      <c r="G1032" s="7" t="s">
        <v>37</v>
      </c>
      <c r="H1032" s="4"/>
      <c r="I1032" s="4"/>
      <c r="J1032" s="4"/>
    </row>
    <row r="1033" spans="1:10" x14ac:dyDescent="0.25">
      <c r="A1033" s="7" t="s">
        <v>101</v>
      </c>
      <c r="B1033" s="7">
        <f t="shared" si="240"/>
        <v>2028</v>
      </c>
      <c r="C1033" s="4" t="s">
        <v>11</v>
      </c>
      <c r="D1033" s="5" t="s">
        <v>128</v>
      </c>
      <c r="E1033" s="10" t="str">
        <f t="shared" si="239"/>
        <v>PRBND'!</v>
      </c>
      <c r="F1033" s="5" t="str">
        <f t="shared" si="234"/>
        <v>C:\Users\jaime.benazar\Quorum Business Solutions\Ecopetrol Prometeo - Documents\Planning Space Implementation\3. Analysis &amp; Design\Design\FC22\DRR Jaime\QUIFA-CAJÚA\Cajua\[VAS_CAJUA_CF_SEC_20230125.xlsx]CF PRBND'!</v>
      </c>
      <c r="G1033" s="7" t="s">
        <v>37</v>
      </c>
      <c r="H1033" s="4"/>
      <c r="I1033" s="4"/>
      <c r="J1033" s="4"/>
    </row>
    <row r="1034" spans="1:10" x14ac:dyDescent="0.25">
      <c r="A1034" s="7" t="s">
        <v>101</v>
      </c>
      <c r="B1034" s="7">
        <f t="shared" si="240"/>
        <v>2029</v>
      </c>
      <c r="C1034" s="4" t="s">
        <v>11</v>
      </c>
      <c r="D1034" s="5" t="s">
        <v>128</v>
      </c>
      <c r="E1034" s="10" t="str">
        <f t="shared" si="239"/>
        <v>PRBND'!</v>
      </c>
      <c r="F1034" s="5" t="str">
        <f t="shared" si="234"/>
        <v>C:\Users\jaime.benazar\Quorum Business Solutions\Ecopetrol Prometeo - Documents\Planning Space Implementation\3. Analysis &amp; Design\Design\FC22\DRR Jaime\QUIFA-CAJÚA\Cajua\[VAS_CAJUA_CF_SEC_20230125.xlsx]CF PRBND'!</v>
      </c>
      <c r="G1034" s="7" t="s">
        <v>37</v>
      </c>
      <c r="H1034" s="4"/>
      <c r="I1034" s="4"/>
      <c r="J1034" s="4"/>
    </row>
    <row r="1035" spans="1:10" x14ac:dyDescent="0.25">
      <c r="A1035" s="7" t="s">
        <v>101</v>
      </c>
      <c r="B1035" s="7">
        <f t="shared" si="240"/>
        <v>2030</v>
      </c>
      <c r="C1035" s="4" t="s">
        <v>11</v>
      </c>
      <c r="D1035" s="5" t="s">
        <v>128</v>
      </c>
      <c r="E1035" s="10" t="str">
        <f t="shared" si="239"/>
        <v>PRBND'!</v>
      </c>
      <c r="F1035" s="5" t="str">
        <f t="shared" si="234"/>
        <v>C:\Users\jaime.benazar\Quorum Business Solutions\Ecopetrol Prometeo - Documents\Planning Space Implementation\3. Analysis &amp; Design\Design\FC22\DRR Jaime\QUIFA-CAJÚA\Cajua\[VAS_CAJUA_CF_SEC_20230125.xlsx]CF PRBND'!</v>
      </c>
      <c r="G1035" s="7" t="s">
        <v>37</v>
      </c>
      <c r="H1035" s="4"/>
      <c r="I1035" s="4"/>
      <c r="J1035" s="4"/>
    </row>
    <row r="1036" spans="1:10" x14ac:dyDescent="0.25">
      <c r="A1036" s="7" t="s">
        <v>101</v>
      </c>
      <c r="B1036" s="7">
        <f t="shared" si="240"/>
        <v>2031</v>
      </c>
      <c r="C1036" s="4" t="s">
        <v>11</v>
      </c>
      <c r="D1036" s="5" t="s">
        <v>128</v>
      </c>
      <c r="E1036" s="10" t="str">
        <f t="shared" si="239"/>
        <v>PRBND'!</v>
      </c>
      <c r="F1036" s="5" t="str">
        <f t="shared" si="234"/>
        <v>C:\Users\jaime.benazar\Quorum Business Solutions\Ecopetrol Prometeo - Documents\Planning Space Implementation\3. Analysis &amp; Design\Design\FC22\DRR Jaime\QUIFA-CAJÚA\Cajua\[VAS_CAJUA_CF_SEC_20230125.xlsx]CF PRBND'!</v>
      </c>
      <c r="G1036" s="7" t="s">
        <v>37</v>
      </c>
      <c r="H1036" s="4"/>
      <c r="I1036" s="4"/>
      <c r="J1036" s="4"/>
    </row>
    <row r="1037" spans="1:10" x14ac:dyDescent="0.25">
      <c r="A1037" s="7" t="s">
        <v>101</v>
      </c>
      <c r="B1037" s="7">
        <f t="shared" si="240"/>
        <v>2032</v>
      </c>
      <c r="C1037" s="4" t="s">
        <v>11</v>
      </c>
      <c r="D1037" s="5" t="s">
        <v>128</v>
      </c>
      <c r="E1037" s="10" t="str">
        <f t="shared" si="239"/>
        <v>PRBND'!</v>
      </c>
      <c r="F1037" s="5" t="str">
        <f t="shared" si="234"/>
        <v>C:\Users\jaime.benazar\Quorum Business Solutions\Ecopetrol Prometeo - Documents\Planning Space Implementation\3. Analysis &amp; Design\Design\FC22\DRR Jaime\QUIFA-CAJÚA\Cajua\[VAS_CAJUA_CF_SEC_20230125.xlsx]CF PRBND'!</v>
      </c>
      <c r="G1037" s="7" t="s">
        <v>37</v>
      </c>
      <c r="H1037" s="4"/>
      <c r="I1037" s="4"/>
      <c r="J1037" s="4"/>
    </row>
    <row r="1038" spans="1:10" x14ac:dyDescent="0.25">
      <c r="A1038" s="7" t="s">
        <v>101</v>
      </c>
      <c r="B1038" s="7">
        <f t="shared" si="240"/>
        <v>2033</v>
      </c>
      <c r="C1038" s="4" t="s">
        <v>11</v>
      </c>
      <c r="D1038" s="5" t="s">
        <v>128</v>
      </c>
      <c r="E1038" s="10" t="str">
        <f t="shared" si="239"/>
        <v>PRBND'!</v>
      </c>
      <c r="F1038" s="5" t="str">
        <f t="shared" si="234"/>
        <v>C:\Users\jaime.benazar\Quorum Business Solutions\Ecopetrol Prometeo - Documents\Planning Space Implementation\3. Analysis &amp; Design\Design\FC22\DRR Jaime\QUIFA-CAJÚA\Cajua\[VAS_CAJUA_CF_SEC_20230125.xlsx]CF PRBND'!</v>
      </c>
      <c r="G1038" s="7" t="s">
        <v>37</v>
      </c>
      <c r="H1038" s="4"/>
      <c r="I1038" s="4"/>
      <c r="J1038" s="4"/>
    </row>
    <row r="1039" spans="1:10" x14ac:dyDescent="0.25">
      <c r="A1039" s="7" t="s">
        <v>101</v>
      </c>
      <c r="B1039" s="7">
        <f t="shared" si="240"/>
        <v>2034</v>
      </c>
      <c r="C1039" s="4" t="s">
        <v>11</v>
      </c>
      <c r="D1039" s="5" t="s">
        <v>128</v>
      </c>
      <c r="E1039" s="10" t="str">
        <f t="shared" si="239"/>
        <v>PRBND'!</v>
      </c>
      <c r="F1039" s="5" t="str">
        <f t="shared" si="234"/>
        <v>C:\Users\jaime.benazar\Quorum Business Solutions\Ecopetrol Prometeo - Documents\Planning Space Implementation\3. Analysis &amp; Design\Design\FC22\DRR Jaime\QUIFA-CAJÚA\Cajua\[VAS_CAJUA_CF_SEC_20230125.xlsx]CF PRBND'!</v>
      </c>
      <c r="G1039" s="7" t="s">
        <v>37</v>
      </c>
      <c r="H1039" s="4"/>
      <c r="I1039" s="4"/>
      <c r="J1039" s="4"/>
    </row>
    <row r="1040" spans="1:10" x14ac:dyDescent="0.25">
      <c r="A1040" s="7" t="s">
        <v>101</v>
      </c>
      <c r="B1040" s="7">
        <f t="shared" si="240"/>
        <v>2035</v>
      </c>
      <c r="C1040" s="4" t="s">
        <v>11</v>
      </c>
      <c r="D1040" s="5" t="s">
        <v>128</v>
      </c>
      <c r="E1040" s="10" t="str">
        <f t="shared" si="239"/>
        <v>PRBND'!</v>
      </c>
      <c r="F1040" s="5" t="str">
        <f t="shared" si="234"/>
        <v>C:\Users\jaime.benazar\Quorum Business Solutions\Ecopetrol Prometeo - Documents\Planning Space Implementation\3. Analysis &amp; Design\Design\FC22\DRR Jaime\QUIFA-CAJÚA\Cajua\[VAS_CAJUA_CF_SEC_20230125.xlsx]CF PRBND'!</v>
      </c>
      <c r="G1040" s="7" t="s">
        <v>37</v>
      </c>
      <c r="H1040" s="4"/>
      <c r="I1040" s="4"/>
      <c r="J1040" s="4"/>
    </row>
    <row r="1041" spans="1:10" x14ac:dyDescent="0.25">
      <c r="A1041" s="7" t="s">
        <v>101</v>
      </c>
      <c r="B1041" s="7">
        <f t="shared" si="240"/>
        <v>2036</v>
      </c>
      <c r="C1041" s="4" t="s">
        <v>11</v>
      </c>
      <c r="D1041" s="5" t="s">
        <v>128</v>
      </c>
      <c r="E1041" s="10" t="str">
        <f t="shared" si="239"/>
        <v>PRBND'!</v>
      </c>
      <c r="F1041" s="5" t="str">
        <f t="shared" si="234"/>
        <v>C:\Users\jaime.benazar\Quorum Business Solutions\Ecopetrol Prometeo - Documents\Planning Space Implementation\3. Analysis &amp; Design\Design\FC22\DRR Jaime\QUIFA-CAJÚA\Cajua\[VAS_CAJUA_CF_SEC_20230125.xlsx]CF PRBND'!</v>
      </c>
      <c r="G1041" s="7" t="s">
        <v>37</v>
      </c>
      <c r="H1041" s="4"/>
      <c r="I1041" s="4"/>
      <c r="J1041" s="4"/>
    </row>
    <row r="1042" spans="1:10" x14ac:dyDescent="0.25">
      <c r="A1042" s="7" t="s">
        <v>101</v>
      </c>
      <c r="B1042" s="7">
        <f>+B1041+1</f>
        <v>2037</v>
      </c>
      <c r="C1042" s="4" t="s">
        <v>11</v>
      </c>
      <c r="D1042" s="5" t="s">
        <v>128</v>
      </c>
      <c r="E1042" s="10" t="str">
        <f t="shared" si="239"/>
        <v>PRBND'!</v>
      </c>
      <c r="F1042" s="5" t="str">
        <f t="shared" si="234"/>
        <v>C:\Users\jaime.benazar\Quorum Business Solutions\Ecopetrol Prometeo - Documents\Planning Space Implementation\3. Analysis &amp; Design\Design\FC22\DRR Jaime\QUIFA-CAJÚA\Cajua\[VAS_CAJUA_CF_SEC_20230125.xlsx]CF PRBND'!</v>
      </c>
      <c r="G1042" s="7" t="s">
        <v>37</v>
      </c>
      <c r="H1042" s="4"/>
      <c r="I1042" s="4"/>
      <c r="J1042" s="4"/>
    </row>
    <row r="1043" spans="1:10" x14ac:dyDescent="0.25">
      <c r="A1043" s="7" t="s">
        <v>101</v>
      </c>
      <c r="B1043" s="7">
        <f t="shared" ref="B1043:B1045" si="241">+B1042+1</f>
        <v>2038</v>
      </c>
      <c r="C1043" s="4" t="s">
        <v>11</v>
      </c>
      <c r="D1043" s="5" t="s">
        <v>128</v>
      </c>
      <c r="E1043" s="10" t="str">
        <f t="shared" si="239"/>
        <v>PRBND'!</v>
      </c>
      <c r="F1043" s="5" t="str">
        <f t="shared" si="234"/>
        <v>C:\Users\jaime.benazar\Quorum Business Solutions\Ecopetrol Prometeo - Documents\Planning Space Implementation\3. Analysis &amp; Design\Design\FC22\DRR Jaime\QUIFA-CAJÚA\Cajua\[VAS_CAJUA_CF_SEC_20230125.xlsx]CF PRBND'!</v>
      </c>
      <c r="G1043" s="7" t="s">
        <v>37</v>
      </c>
      <c r="H1043" s="4"/>
      <c r="I1043" s="4"/>
      <c r="J1043" s="4"/>
    </row>
    <row r="1044" spans="1:10" x14ac:dyDescent="0.25">
      <c r="A1044" s="7" t="s">
        <v>101</v>
      </c>
      <c r="B1044" s="7">
        <f t="shared" si="241"/>
        <v>2039</v>
      </c>
      <c r="C1044" s="4" t="s">
        <v>11</v>
      </c>
      <c r="D1044" s="5" t="s">
        <v>128</v>
      </c>
      <c r="E1044" s="10" t="str">
        <f t="shared" si="239"/>
        <v>PRBND'!</v>
      </c>
      <c r="F1044" s="5" t="str">
        <f t="shared" si="234"/>
        <v>C:\Users\jaime.benazar\Quorum Business Solutions\Ecopetrol Prometeo - Documents\Planning Space Implementation\3. Analysis &amp; Design\Design\FC22\DRR Jaime\QUIFA-CAJÚA\Cajua\[VAS_CAJUA_CF_SEC_20230125.xlsx]CF PRBND'!</v>
      </c>
      <c r="G1044" s="7" t="s">
        <v>37</v>
      </c>
      <c r="H1044" s="4"/>
      <c r="I1044" s="4"/>
      <c r="J1044" s="4"/>
    </row>
    <row r="1045" spans="1:10" x14ac:dyDescent="0.25">
      <c r="A1045" s="7" t="s">
        <v>101</v>
      </c>
      <c r="B1045" s="7">
        <f t="shared" si="241"/>
        <v>2040</v>
      </c>
      <c r="C1045" s="4" t="s">
        <v>11</v>
      </c>
      <c r="D1045" s="5" t="s">
        <v>128</v>
      </c>
      <c r="E1045" s="10" t="str">
        <f t="shared" si="239"/>
        <v>PRBND'!</v>
      </c>
      <c r="F1045" s="5" t="str">
        <f t="shared" si="234"/>
        <v>C:\Users\jaime.benazar\Quorum Business Solutions\Ecopetrol Prometeo - Documents\Planning Space Implementation\3. Analysis &amp; Design\Design\FC22\DRR Jaime\QUIFA-CAJÚA\Cajua\[VAS_CAJUA_CF_SEC_20230125.xlsx]CF PRBND'!</v>
      </c>
      <c r="G1045" s="7" t="s">
        <v>37</v>
      </c>
      <c r="H1045" s="4"/>
      <c r="I1045" s="4"/>
      <c r="J1045" s="4"/>
    </row>
    <row r="1046" spans="1:10" x14ac:dyDescent="0.25">
      <c r="A1046" s="7" t="s">
        <v>101</v>
      </c>
      <c r="B1046" s="7">
        <f>+B1045+1</f>
        <v>2041</v>
      </c>
      <c r="C1046" s="4" t="s">
        <v>11</v>
      </c>
      <c r="D1046" s="5" t="s">
        <v>128</v>
      </c>
      <c r="E1046" s="10" t="str">
        <f t="shared" si="239"/>
        <v>PRBND'!</v>
      </c>
      <c r="F1046" s="5" t="str">
        <f t="shared" si="234"/>
        <v>C:\Users\jaime.benazar\Quorum Business Solutions\Ecopetrol Prometeo - Documents\Planning Space Implementation\3. Analysis &amp; Design\Design\FC22\DRR Jaime\QUIFA-CAJÚA\Cajua\[VAS_CAJUA_CF_SEC_20230125.xlsx]CF PRBND'!</v>
      </c>
      <c r="G1046" s="7" t="s">
        <v>37</v>
      </c>
      <c r="H1046" s="4"/>
      <c r="I1046" s="4"/>
      <c r="J1046" s="4"/>
    </row>
    <row r="1047" spans="1:10" x14ac:dyDescent="0.25">
      <c r="A1047" s="7" t="s">
        <v>101</v>
      </c>
      <c r="B1047" s="7">
        <f t="shared" ref="B1047:B1048" si="242">+B1046+1</f>
        <v>2042</v>
      </c>
      <c r="C1047" s="4" t="s">
        <v>11</v>
      </c>
      <c r="D1047" s="5" t="s">
        <v>128</v>
      </c>
      <c r="E1047" s="10" t="str">
        <f t="shared" si="239"/>
        <v>PRBND'!</v>
      </c>
      <c r="F1047" s="5" t="str">
        <f t="shared" si="234"/>
        <v>C:\Users\jaime.benazar\Quorum Business Solutions\Ecopetrol Prometeo - Documents\Planning Space Implementation\3. Analysis &amp; Design\Design\FC22\DRR Jaime\QUIFA-CAJÚA\Cajua\[VAS_CAJUA_CF_SEC_20230125.xlsx]CF PRBND'!</v>
      </c>
      <c r="G1047" s="7" t="s">
        <v>37</v>
      </c>
      <c r="H1047" s="4"/>
      <c r="I1047" s="4"/>
      <c r="J1047" s="4"/>
    </row>
    <row r="1048" spans="1:10" x14ac:dyDescent="0.25">
      <c r="A1048" s="7" t="s">
        <v>101</v>
      </c>
      <c r="B1048" s="7">
        <f t="shared" si="242"/>
        <v>2043</v>
      </c>
      <c r="C1048" s="4" t="s">
        <v>11</v>
      </c>
      <c r="D1048" s="5" t="s">
        <v>128</v>
      </c>
      <c r="E1048" s="10" t="str">
        <f t="shared" si="239"/>
        <v>PRBND'!</v>
      </c>
      <c r="F1048" s="5" t="str">
        <f t="shared" si="234"/>
        <v>C:\Users\jaime.benazar\Quorum Business Solutions\Ecopetrol Prometeo - Documents\Planning Space Implementation\3. Analysis &amp; Design\Design\FC22\DRR Jaime\QUIFA-CAJÚA\Cajua\[VAS_CAJUA_CF_SEC_20230125.xlsx]CF PRBND'!</v>
      </c>
      <c r="G1048" s="7" t="s">
        <v>37</v>
      </c>
      <c r="H1048" s="4"/>
      <c r="I1048" s="4"/>
      <c r="J1048" s="4"/>
    </row>
    <row r="1049" spans="1:10" x14ac:dyDescent="0.25">
      <c r="A1049" s="7" t="s">
        <v>101</v>
      </c>
      <c r="B1049" s="7">
        <f>+B1048+1</f>
        <v>2044</v>
      </c>
      <c r="C1049" s="4" t="s">
        <v>11</v>
      </c>
      <c r="D1049" s="5" t="s">
        <v>128</v>
      </c>
      <c r="E1049" s="10" t="str">
        <f t="shared" ref="E1049:E1064" si="243">_xlfn.CONCAT(A1049,"'!")</f>
        <v>PRBND'!</v>
      </c>
      <c r="F1049" s="5" t="str">
        <f t="shared" ref="F1049:F1064" si="244">_xlfn.CONCAT(D1049," ",E1049)</f>
        <v>C:\Users\jaime.benazar\Quorum Business Solutions\Ecopetrol Prometeo - Documents\Planning Space Implementation\3. Analysis &amp; Design\Design\FC22\DRR Jaime\QUIFA-CAJÚA\Cajua\[VAS_CAJUA_CF_SEC_20230125.xlsx]CF PRBND'!</v>
      </c>
      <c r="G1049" s="7" t="s">
        <v>37</v>
      </c>
      <c r="H1049" s="4"/>
      <c r="I1049" s="4"/>
      <c r="J1049" s="4"/>
    </row>
    <row r="1050" spans="1:10" x14ac:dyDescent="0.25">
      <c r="A1050" s="7" t="s">
        <v>101</v>
      </c>
      <c r="B1050" s="7">
        <f t="shared" ref="B1050:B1064" si="245">+B1049+1</f>
        <v>2045</v>
      </c>
      <c r="C1050" s="4" t="s">
        <v>11</v>
      </c>
      <c r="D1050" s="5" t="s">
        <v>128</v>
      </c>
      <c r="E1050" s="10" t="str">
        <f t="shared" si="243"/>
        <v>PRBND'!</v>
      </c>
      <c r="F1050" s="5" t="str">
        <f t="shared" si="244"/>
        <v>C:\Users\jaime.benazar\Quorum Business Solutions\Ecopetrol Prometeo - Documents\Planning Space Implementation\3. Analysis &amp; Design\Design\FC22\DRR Jaime\QUIFA-CAJÚA\Cajua\[VAS_CAJUA_CF_SEC_20230125.xlsx]CF PRBND'!</v>
      </c>
      <c r="G1050" s="7" t="s">
        <v>37</v>
      </c>
      <c r="H1050" s="4"/>
      <c r="I1050" s="4"/>
      <c r="J1050" s="4"/>
    </row>
    <row r="1051" spans="1:10" x14ac:dyDescent="0.25">
      <c r="A1051" s="7" t="s">
        <v>101</v>
      </c>
      <c r="B1051" s="7">
        <f t="shared" si="245"/>
        <v>2046</v>
      </c>
      <c r="C1051" s="4" t="s">
        <v>11</v>
      </c>
      <c r="D1051" s="5" t="s">
        <v>128</v>
      </c>
      <c r="E1051" s="10" t="str">
        <f t="shared" si="243"/>
        <v>PRBND'!</v>
      </c>
      <c r="F1051" s="5" t="str">
        <f t="shared" si="244"/>
        <v>C:\Users\jaime.benazar\Quorum Business Solutions\Ecopetrol Prometeo - Documents\Planning Space Implementation\3. Analysis &amp; Design\Design\FC22\DRR Jaime\QUIFA-CAJÚA\Cajua\[VAS_CAJUA_CF_SEC_20230125.xlsx]CF PRBND'!</v>
      </c>
      <c r="G1051" s="7" t="s">
        <v>37</v>
      </c>
      <c r="H1051" s="4"/>
      <c r="I1051" s="4"/>
      <c r="J1051" s="4"/>
    </row>
    <row r="1052" spans="1:10" x14ac:dyDescent="0.25">
      <c r="A1052" s="7" t="s">
        <v>101</v>
      </c>
      <c r="B1052" s="7">
        <f t="shared" si="245"/>
        <v>2047</v>
      </c>
      <c r="C1052" s="4" t="s">
        <v>11</v>
      </c>
      <c r="D1052" s="5" t="s">
        <v>128</v>
      </c>
      <c r="E1052" s="10" t="str">
        <f t="shared" si="243"/>
        <v>PRBND'!</v>
      </c>
      <c r="F1052" s="5" t="str">
        <f t="shared" si="244"/>
        <v>C:\Users\jaime.benazar\Quorum Business Solutions\Ecopetrol Prometeo - Documents\Planning Space Implementation\3. Analysis &amp; Design\Design\FC22\DRR Jaime\QUIFA-CAJÚA\Cajua\[VAS_CAJUA_CF_SEC_20230125.xlsx]CF PRBND'!</v>
      </c>
      <c r="G1052" s="7" t="s">
        <v>37</v>
      </c>
      <c r="H1052" s="4"/>
      <c r="I1052" s="4"/>
      <c r="J1052" s="4"/>
    </row>
    <row r="1053" spans="1:10" x14ac:dyDescent="0.25">
      <c r="A1053" s="7" t="s">
        <v>101</v>
      </c>
      <c r="B1053" s="7">
        <f t="shared" si="245"/>
        <v>2048</v>
      </c>
      <c r="C1053" s="4" t="s">
        <v>11</v>
      </c>
      <c r="D1053" s="5" t="s">
        <v>128</v>
      </c>
      <c r="E1053" s="10" t="str">
        <f t="shared" si="243"/>
        <v>PRBND'!</v>
      </c>
      <c r="F1053" s="5" t="str">
        <f t="shared" si="244"/>
        <v>C:\Users\jaime.benazar\Quorum Business Solutions\Ecopetrol Prometeo - Documents\Planning Space Implementation\3. Analysis &amp; Design\Design\FC22\DRR Jaime\QUIFA-CAJÚA\Cajua\[VAS_CAJUA_CF_SEC_20230125.xlsx]CF PRBND'!</v>
      </c>
      <c r="G1053" s="7" t="s">
        <v>37</v>
      </c>
      <c r="H1053" s="4"/>
      <c r="I1053" s="4"/>
      <c r="J1053" s="4"/>
    </row>
    <row r="1054" spans="1:10" x14ac:dyDescent="0.25">
      <c r="A1054" s="7" t="s">
        <v>101</v>
      </c>
      <c r="B1054" s="7">
        <f t="shared" si="245"/>
        <v>2049</v>
      </c>
      <c r="C1054" s="4" t="s">
        <v>11</v>
      </c>
      <c r="D1054" s="5" t="s">
        <v>128</v>
      </c>
      <c r="E1054" s="10" t="str">
        <f t="shared" si="243"/>
        <v>PRBND'!</v>
      </c>
      <c r="F1054" s="5" t="str">
        <f t="shared" si="244"/>
        <v>C:\Users\jaime.benazar\Quorum Business Solutions\Ecopetrol Prometeo - Documents\Planning Space Implementation\3. Analysis &amp; Design\Design\FC22\DRR Jaime\QUIFA-CAJÚA\Cajua\[VAS_CAJUA_CF_SEC_20230125.xlsx]CF PRBND'!</v>
      </c>
      <c r="G1054" s="7" t="s">
        <v>37</v>
      </c>
      <c r="H1054" s="4"/>
      <c r="I1054" s="4"/>
      <c r="J1054" s="4"/>
    </row>
    <row r="1055" spans="1:10" x14ac:dyDescent="0.25">
      <c r="A1055" s="7" t="s">
        <v>101</v>
      </c>
      <c r="B1055" s="7">
        <f t="shared" si="245"/>
        <v>2050</v>
      </c>
      <c r="C1055" s="4" t="s">
        <v>11</v>
      </c>
      <c r="D1055" s="5" t="s">
        <v>128</v>
      </c>
      <c r="E1055" s="10" t="str">
        <f t="shared" si="243"/>
        <v>PRBND'!</v>
      </c>
      <c r="F1055" s="5" t="str">
        <f t="shared" si="244"/>
        <v>C:\Users\jaime.benazar\Quorum Business Solutions\Ecopetrol Prometeo - Documents\Planning Space Implementation\3. Analysis &amp; Design\Design\FC22\DRR Jaime\QUIFA-CAJÚA\Cajua\[VAS_CAJUA_CF_SEC_20230125.xlsx]CF PRBND'!</v>
      </c>
      <c r="G1055" s="7" t="s">
        <v>37</v>
      </c>
      <c r="H1055" s="4"/>
      <c r="I1055" s="4"/>
      <c r="J1055" s="4"/>
    </row>
    <row r="1056" spans="1:10" x14ac:dyDescent="0.25">
      <c r="A1056" s="7" t="s">
        <v>101</v>
      </c>
      <c r="B1056" s="7">
        <f t="shared" si="245"/>
        <v>2051</v>
      </c>
      <c r="C1056" s="4" t="s">
        <v>11</v>
      </c>
      <c r="D1056" s="5" t="s">
        <v>128</v>
      </c>
      <c r="E1056" s="10" t="str">
        <f t="shared" si="243"/>
        <v>PRBND'!</v>
      </c>
      <c r="F1056" s="5" t="str">
        <f t="shared" si="244"/>
        <v>C:\Users\jaime.benazar\Quorum Business Solutions\Ecopetrol Prometeo - Documents\Planning Space Implementation\3. Analysis &amp; Design\Design\FC22\DRR Jaime\QUIFA-CAJÚA\Cajua\[VAS_CAJUA_CF_SEC_20230125.xlsx]CF PRBND'!</v>
      </c>
      <c r="G1056" s="7" t="s">
        <v>37</v>
      </c>
      <c r="H1056" s="4"/>
      <c r="I1056" s="4"/>
      <c r="J1056" s="4"/>
    </row>
    <row r="1057" spans="1:10" x14ac:dyDescent="0.25">
      <c r="A1057" s="7" t="s">
        <v>101</v>
      </c>
      <c r="B1057" s="7">
        <f t="shared" si="245"/>
        <v>2052</v>
      </c>
      <c r="C1057" s="4" t="s">
        <v>11</v>
      </c>
      <c r="D1057" s="5" t="s">
        <v>128</v>
      </c>
      <c r="E1057" s="10" t="str">
        <f t="shared" si="243"/>
        <v>PRBND'!</v>
      </c>
      <c r="F1057" s="5" t="str">
        <f t="shared" si="244"/>
        <v>C:\Users\jaime.benazar\Quorum Business Solutions\Ecopetrol Prometeo - Documents\Planning Space Implementation\3. Analysis &amp; Design\Design\FC22\DRR Jaime\QUIFA-CAJÚA\Cajua\[VAS_CAJUA_CF_SEC_20230125.xlsx]CF PRBND'!</v>
      </c>
      <c r="G1057" s="7" t="s">
        <v>37</v>
      </c>
      <c r="H1057" s="4"/>
      <c r="I1057" s="4"/>
      <c r="J1057" s="4"/>
    </row>
    <row r="1058" spans="1:10" x14ac:dyDescent="0.25">
      <c r="A1058" s="7" t="s">
        <v>101</v>
      </c>
      <c r="B1058" s="7">
        <f t="shared" si="245"/>
        <v>2053</v>
      </c>
      <c r="C1058" s="4" t="s">
        <v>11</v>
      </c>
      <c r="D1058" s="5" t="s">
        <v>128</v>
      </c>
      <c r="E1058" s="10" t="str">
        <f t="shared" si="243"/>
        <v>PRBND'!</v>
      </c>
      <c r="F1058" s="5" t="str">
        <f t="shared" si="244"/>
        <v>C:\Users\jaime.benazar\Quorum Business Solutions\Ecopetrol Prometeo - Documents\Planning Space Implementation\3. Analysis &amp; Design\Design\FC22\DRR Jaime\QUIFA-CAJÚA\Cajua\[VAS_CAJUA_CF_SEC_20230125.xlsx]CF PRBND'!</v>
      </c>
      <c r="G1058" s="7" t="s">
        <v>37</v>
      </c>
      <c r="H1058" s="4"/>
      <c r="I1058" s="4"/>
      <c r="J1058" s="4"/>
    </row>
    <row r="1059" spans="1:10" x14ac:dyDescent="0.25">
      <c r="A1059" s="7" t="s">
        <v>101</v>
      </c>
      <c r="B1059" s="7">
        <f t="shared" si="245"/>
        <v>2054</v>
      </c>
      <c r="C1059" s="4" t="s">
        <v>11</v>
      </c>
      <c r="D1059" s="5" t="s">
        <v>128</v>
      </c>
      <c r="E1059" s="10" t="str">
        <f t="shared" si="243"/>
        <v>PRBND'!</v>
      </c>
      <c r="F1059" s="5" t="str">
        <f t="shared" si="244"/>
        <v>C:\Users\jaime.benazar\Quorum Business Solutions\Ecopetrol Prometeo - Documents\Planning Space Implementation\3. Analysis &amp; Design\Design\FC22\DRR Jaime\QUIFA-CAJÚA\Cajua\[VAS_CAJUA_CF_SEC_20230125.xlsx]CF PRBND'!</v>
      </c>
      <c r="G1059" s="7" t="s">
        <v>37</v>
      </c>
      <c r="H1059" s="4"/>
      <c r="I1059" s="4"/>
      <c r="J1059" s="4"/>
    </row>
    <row r="1060" spans="1:10" x14ac:dyDescent="0.25">
      <c r="A1060" s="7" t="s">
        <v>101</v>
      </c>
      <c r="B1060" s="7">
        <f t="shared" si="245"/>
        <v>2055</v>
      </c>
      <c r="C1060" s="4" t="s">
        <v>11</v>
      </c>
      <c r="D1060" s="5" t="s">
        <v>128</v>
      </c>
      <c r="E1060" s="10" t="str">
        <f t="shared" si="243"/>
        <v>PRBND'!</v>
      </c>
      <c r="F1060" s="5" t="str">
        <f t="shared" si="244"/>
        <v>C:\Users\jaime.benazar\Quorum Business Solutions\Ecopetrol Prometeo - Documents\Planning Space Implementation\3. Analysis &amp; Design\Design\FC22\DRR Jaime\QUIFA-CAJÚA\Cajua\[VAS_CAJUA_CF_SEC_20230125.xlsx]CF PRBND'!</v>
      </c>
      <c r="G1060" s="7" t="s">
        <v>37</v>
      </c>
      <c r="H1060" s="4"/>
      <c r="I1060" s="4"/>
      <c r="J1060" s="4"/>
    </row>
    <row r="1061" spans="1:10" x14ac:dyDescent="0.25">
      <c r="A1061" s="7" t="s">
        <v>101</v>
      </c>
      <c r="B1061" s="7">
        <f t="shared" si="245"/>
        <v>2056</v>
      </c>
      <c r="C1061" s="4" t="s">
        <v>11</v>
      </c>
      <c r="D1061" s="5" t="s">
        <v>128</v>
      </c>
      <c r="E1061" s="10" t="str">
        <f t="shared" si="243"/>
        <v>PRBND'!</v>
      </c>
      <c r="F1061" s="5" t="str">
        <f t="shared" si="244"/>
        <v>C:\Users\jaime.benazar\Quorum Business Solutions\Ecopetrol Prometeo - Documents\Planning Space Implementation\3. Analysis &amp; Design\Design\FC22\DRR Jaime\QUIFA-CAJÚA\Cajua\[VAS_CAJUA_CF_SEC_20230125.xlsx]CF PRBND'!</v>
      </c>
      <c r="G1061" s="7" t="s">
        <v>37</v>
      </c>
      <c r="H1061" s="4"/>
      <c r="I1061" s="4"/>
      <c r="J1061" s="4"/>
    </row>
    <row r="1062" spans="1:10" x14ac:dyDescent="0.25">
      <c r="A1062" s="7" t="s">
        <v>101</v>
      </c>
      <c r="B1062" s="7">
        <f t="shared" si="245"/>
        <v>2057</v>
      </c>
      <c r="C1062" s="4" t="s">
        <v>11</v>
      </c>
      <c r="D1062" s="5" t="s">
        <v>128</v>
      </c>
      <c r="E1062" s="10" t="str">
        <f t="shared" si="243"/>
        <v>PRBND'!</v>
      </c>
      <c r="F1062" s="5" t="str">
        <f t="shared" si="244"/>
        <v>C:\Users\jaime.benazar\Quorum Business Solutions\Ecopetrol Prometeo - Documents\Planning Space Implementation\3. Analysis &amp; Design\Design\FC22\DRR Jaime\QUIFA-CAJÚA\Cajua\[VAS_CAJUA_CF_SEC_20230125.xlsx]CF PRBND'!</v>
      </c>
      <c r="G1062" s="7" t="s">
        <v>37</v>
      </c>
      <c r="H1062" s="4"/>
      <c r="I1062" s="4"/>
      <c r="J1062" s="4"/>
    </row>
    <row r="1063" spans="1:10" x14ac:dyDescent="0.25">
      <c r="A1063" s="7" t="s">
        <v>101</v>
      </c>
      <c r="B1063" s="7">
        <f t="shared" si="245"/>
        <v>2058</v>
      </c>
      <c r="C1063" s="4" t="s">
        <v>11</v>
      </c>
      <c r="D1063" s="5" t="s">
        <v>128</v>
      </c>
      <c r="E1063" s="10" t="str">
        <f t="shared" si="243"/>
        <v>PRBND'!</v>
      </c>
      <c r="F1063" s="5" t="str">
        <f t="shared" si="244"/>
        <v>C:\Users\jaime.benazar\Quorum Business Solutions\Ecopetrol Prometeo - Documents\Planning Space Implementation\3. Analysis &amp; Design\Design\FC22\DRR Jaime\QUIFA-CAJÚA\Cajua\[VAS_CAJUA_CF_SEC_20230125.xlsx]CF PRBND'!</v>
      </c>
      <c r="G1063" s="7" t="s">
        <v>37</v>
      </c>
      <c r="H1063" s="4"/>
      <c r="I1063" s="4"/>
      <c r="J1063" s="4"/>
    </row>
    <row r="1064" spans="1:10" x14ac:dyDescent="0.25">
      <c r="A1064" s="7" t="s">
        <v>101</v>
      </c>
      <c r="B1064" s="7">
        <f t="shared" si="245"/>
        <v>2059</v>
      </c>
      <c r="C1064" s="4" t="s">
        <v>11</v>
      </c>
      <c r="D1064" s="5" t="s">
        <v>128</v>
      </c>
      <c r="E1064" s="10" t="str">
        <f t="shared" si="243"/>
        <v>PRBND'!</v>
      </c>
      <c r="F1064" s="5" t="str">
        <f t="shared" si="244"/>
        <v>C:\Users\jaime.benazar\Quorum Business Solutions\Ecopetrol Prometeo - Documents\Planning Space Implementation\3. Analysis &amp; Design\Design\FC22\DRR Jaime\QUIFA-CAJÚA\Cajua\[VAS_CAJUA_CF_SEC_20230125.xlsx]CF PRBND'!</v>
      </c>
      <c r="G1064" s="7" t="s">
        <v>37</v>
      </c>
      <c r="H1064" s="4"/>
      <c r="I1064" s="4"/>
      <c r="J1064" s="4"/>
    </row>
    <row r="1065" spans="1:10" x14ac:dyDescent="0.25">
      <c r="A1065" s="7" t="s">
        <v>28</v>
      </c>
      <c r="B1065" s="7"/>
      <c r="C1065" s="4" t="s">
        <v>11</v>
      </c>
      <c r="D1065" s="5"/>
      <c r="E1065" s="10"/>
      <c r="F1065" s="5" t="str">
        <f t="shared" si="234"/>
        <v xml:space="preserve"> </v>
      </c>
      <c r="G1065" s="7"/>
      <c r="H1065" s="4"/>
      <c r="I1065" s="4"/>
      <c r="J1065" s="4"/>
    </row>
    <row r="1066" spans="1:10" x14ac:dyDescent="0.25">
      <c r="A1066" s="7" t="s">
        <v>4</v>
      </c>
      <c r="B1066" s="7">
        <v>2023</v>
      </c>
      <c r="C1066" s="4" t="s">
        <v>11</v>
      </c>
      <c r="D1066" s="5" t="s">
        <v>128</v>
      </c>
      <c r="E1066" s="10" t="str">
        <f t="shared" si="216"/>
        <v>PRB'!</v>
      </c>
      <c r="F1066" s="5" t="str">
        <f t="shared" si="234"/>
        <v>C:\Users\jaime.benazar\Quorum Business Solutions\Ecopetrol Prometeo - Documents\Planning Space Implementation\3. Analysis &amp; Design\Design\FC22\DRR Jaime\QUIFA-CAJÚA\Cajua\[VAS_CAJUA_CF_SEC_20230125.xlsx]CF PRB'!</v>
      </c>
      <c r="G1066" s="7" t="s">
        <v>37</v>
      </c>
      <c r="H1066" s="4">
        <f>IF(A1066&lt;&gt;A936,36,H936+1)</f>
        <v>36</v>
      </c>
      <c r="I1066" s="4" t="str">
        <f t="shared" si="217"/>
        <v>='C:\Users\jaime.benazar\Quorum Business Solutions\Ecopetrol Prometeo - Documents\Planning Space Implementation\3. Analysis &amp; Design\Design\FC22\DRR Jaime\QUIFA-CAJÚA\Cajua\[VAS_CAJUA_CF_SEC_20230125.xlsx]CF PRB'!$BW$36</v>
      </c>
      <c r="J1066" s="4" t="s">
        <v>610</v>
      </c>
    </row>
    <row r="1067" spans="1:10" x14ac:dyDescent="0.25">
      <c r="A1067" s="7" t="s">
        <v>4</v>
      </c>
      <c r="B1067" s="7">
        <f>+B1066+1</f>
        <v>2024</v>
      </c>
      <c r="C1067" s="4" t="s">
        <v>11</v>
      </c>
      <c r="D1067" s="5" t="s">
        <v>128</v>
      </c>
      <c r="E1067" s="10" t="str">
        <f t="shared" si="216"/>
        <v>PRB'!</v>
      </c>
      <c r="F1067" s="5" t="str">
        <f t="shared" si="234"/>
        <v>C:\Users\jaime.benazar\Quorum Business Solutions\Ecopetrol Prometeo - Documents\Planning Space Implementation\3. Analysis &amp; Design\Design\FC22\DRR Jaime\QUIFA-CAJÚA\Cajua\[VAS_CAJUA_CF_SEC_20230125.xlsx]CF PRB'!</v>
      </c>
      <c r="G1067" s="7" t="s">
        <v>37</v>
      </c>
      <c r="H1067" s="4">
        <f t="shared" si="218"/>
        <v>37</v>
      </c>
      <c r="I1067" s="4" t="str">
        <f t="shared" si="217"/>
        <v>='C:\Users\jaime.benazar\Quorum Business Solutions\Ecopetrol Prometeo - Documents\Planning Space Implementation\3. Analysis &amp; Design\Design\FC22\DRR Jaime\QUIFA-CAJÚA\Cajua\[VAS_CAJUA_CF_SEC_20230125.xlsx]CF PRB'!$BW$37</v>
      </c>
      <c r="J1067" s="4" t="s">
        <v>611</v>
      </c>
    </row>
    <row r="1068" spans="1:10" x14ac:dyDescent="0.25">
      <c r="A1068" s="7" t="s">
        <v>4</v>
      </c>
      <c r="B1068" s="7">
        <f t="shared" ref="B1068:B1079" si="246">+B1067+1</f>
        <v>2025</v>
      </c>
      <c r="C1068" s="4" t="s">
        <v>11</v>
      </c>
      <c r="D1068" s="5" t="s">
        <v>128</v>
      </c>
      <c r="E1068" s="10" t="str">
        <f t="shared" si="216"/>
        <v>PRB'!</v>
      </c>
      <c r="F1068" s="5" t="str">
        <f t="shared" si="234"/>
        <v>C:\Users\jaime.benazar\Quorum Business Solutions\Ecopetrol Prometeo - Documents\Planning Space Implementation\3. Analysis &amp; Design\Design\FC22\DRR Jaime\QUIFA-CAJÚA\Cajua\[VAS_CAJUA_CF_SEC_20230125.xlsx]CF PRB'!</v>
      </c>
      <c r="G1068" s="7" t="s">
        <v>37</v>
      </c>
      <c r="H1068" s="4">
        <f t="shared" si="218"/>
        <v>38</v>
      </c>
      <c r="I1068" s="4" t="str">
        <f t="shared" si="217"/>
        <v>='C:\Users\jaime.benazar\Quorum Business Solutions\Ecopetrol Prometeo - Documents\Planning Space Implementation\3. Analysis &amp; Design\Design\FC22\DRR Jaime\QUIFA-CAJÚA\Cajua\[VAS_CAJUA_CF_SEC_20230125.xlsx]CF PRB'!$BW$38</v>
      </c>
      <c r="J1068" s="4" t="s">
        <v>612</v>
      </c>
    </row>
    <row r="1069" spans="1:10" x14ac:dyDescent="0.25">
      <c r="A1069" s="7" t="s">
        <v>4</v>
      </c>
      <c r="B1069" s="7">
        <f t="shared" si="246"/>
        <v>2026</v>
      </c>
      <c r="C1069" s="4" t="s">
        <v>11</v>
      </c>
      <c r="D1069" s="5" t="s">
        <v>128</v>
      </c>
      <c r="E1069" s="10" t="str">
        <f t="shared" si="216"/>
        <v>PRB'!</v>
      </c>
      <c r="F1069" s="5" t="str">
        <f t="shared" si="234"/>
        <v>C:\Users\jaime.benazar\Quorum Business Solutions\Ecopetrol Prometeo - Documents\Planning Space Implementation\3. Analysis &amp; Design\Design\FC22\DRR Jaime\QUIFA-CAJÚA\Cajua\[VAS_CAJUA_CF_SEC_20230125.xlsx]CF PRB'!</v>
      </c>
      <c r="G1069" s="7" t="s">
        <v>37</v>
      </c>
      <c r="H1069" s="4">
        <f t="shared" si="218"/>
        <v>39</v>
      </c>
      <c r="I1069" s="4" t="str">
        <f t="shared" si="217"/>
        <v>='C:\Users\jaime.benazar\Quorum Business Solutions\Ecopetrol Prometeo - Documents\Planning Space Implementation\3. Analysis &amp; Design\Design\FC22\DRR Jaime\QUIFA-CAJÚA\Cajua\[VAS_CAJUA_CF_SEC_20230125.xlsx]CF PRB'!$BW$39</v>
      </c>
      <c r="J1069" s="4" t="s">
        <v>613</v>
      </c>
    </row>
    <row r="1070" spans="1:10" x14ac:dyDescent="0.25">
      <c r="A1070" s="7" t="s">
        <v>4</v>
      </c>
      <c r="B1070" s="7">
        <f t="shared" si="246"/>
        <v>2027</v>
      </c>
      <c r="C1070" s="4" t="s">
        <v>11</v>
      </c>
      <c r="D1070" s="5" t="s">
        <v>128</v>
      </c>
      <c r="E1070" s="10" t="str">
        <f t="shared" si="216"/>
        <v>PRB'!</v>
      </c>
      <c r="F1070" s="5" t="str">
        <f t="shared" si="234"/>
        <v>C:\Users\jaime.benazar\Quorum Business Solutions\Ecopetrol Prometeo - Documents\Planning Space Implementation\3. Analysis &amp; Design\Design\FC22\DRR Jaime\QUIFA-CAJÚA\Cajua\[VAS_CAJUA_CF_SEC_20230125.xlsx]CF PRB'!</v>
      </c>
      <c r="G1070" s="7" t="s">
        <v>37</v>
      </c>
      <c r="H1070" s="4">
        <f t="shared" si="218"/>
        <v>40</v>
      </c>
      <c r="I1070" s="4" t="str">
        <f t="shared" si="217"/>
        <v>='C:\Users\jaime.benazar\Quorum Business Solutions\Ecopetrol Prometeo - Documents\Planning Space Implementation\3. Analysis &amp; Design\Design\FC22\DRR Jaime\QUIFA-CAJÚA\Cajua\[VAS_CAJUA_CF_SEC_20230125.xlsx]CF PRB'!$BW$40</v>
      </c>
      <c r="J1070" s="4" t="s">
        <v>614</v>
      </c>
    </row>
    <row r="1071" spans="1:10" x14ac:dyDescent="0.25">
      <c r="A1071" s="7" t="s">
        <v>4</v>
      </c>
      <c r="B1071" s="7">
        <f t="shared" si="246"/>
        <v>2028</v>
      </c>
      <c r="C1071" s="4" t="s">
        <v>11</v>
      </c>
      <c r="D1071" s="5" t="s">
        <v>128</v>
      </c>
      <c r="E1071" s="10" t="str">
        <f t="shared" si="216"/>
        <v>PRB'!</v>
      </c>
      <c r="F1071" s="5" t="str">
        <f t="shared" si="234"/>
        <v>C:\Users\jaime.benazar\Quorum Business Solutions\Ecopetrol Prometeo - Documents\Planning Space Implementation\3. Analysis &amp; Design\Design\FC22\DRR Jaime\QUIFA-CAJÚA\Cajua\[VAS_CAJUA_CF_SEC_20230125.xlsx]CF PRB'!</v>
      </c>
      <c r="G1071" s="7" t="s">
        <v>37</v>
      </c>
      <c r="H1071" s="4">
        <f t="shared" si="218"/>
        <v>41</v>
      </c>
      <c r="I1071" s="4" t="str">
        <f t="shared" si="217"/>
        <v>='C:\Users\jaime.benazar\Quorum Business Solutions\Ecopetrol Prometeo - Documents\Planning Space Implementation\3. Analysis &amp; Design\Design\FC22\DRR Jaime\QUIFA-CAJÚA\Cajua\[VAS_CAJUA_CF_SEC_20230125.xlsx]CF PRB'!$BW$41</v>
      </c>
      <c r="J1071" s="4" t="s">
        <v>615</v>
      </c>
    </row>
    <row r="1072" spans="1:10" x14ac:dyDescent="0.25">
      <c r="A1072" s="7" t="s">
        <v>4</v>
      </c>
      <c r="B1072" s="7">
        <f t="shared" si="246"/>
        <v>2029</v>
      </c>
      <c r="C1072" s="4" t="s">
        <v>11</v>
      </c>
      <c r="D1072" s="5" t="s">
        <v>128</v>
      </c>
      <c r="E1072" s="10" t="str">
        <f t="shared" si="216"/>
        <v>PRB'!</v>
      </c>
      <c r="F1072" s="5" t="str">
        <f t="shared" si="234"/>
        <v>C:\Users\jaime.benazar\Quorum Business Solutions\Ecopetrol Prometeo - Documents\Planning Space Implementation\3. Analysis &amp; Design\Design\FC22\DRR Jaime\QUIFA-CAJÚA\Cajua\[VAS_CAJUA_CF_SEC_20230125.xlsx]CF PRB'!</v>
      </c>
      <c r="G1072" s="7" t="s">
        <v>37</v>
      </c>
      <c r="H1072" s="4">
        <f t="shared" si="218"/>
        <v>42</v>
      </c>
      <c r="I1072" s="4" t="str">
        <f t="shared" si="217"/>
        <v>='C:\Users\jaime.benazar\Quorum Business Solutions\Ecopetrol Prometeo - Documents\Planning Space Implementation\3. Analysis &amp; Design\Design\FC22\DRR Jaime\QUIFA-CAJÚA\Cajua\[VAS_CAJUA_CF_SEC_20230125.xlsx]CF PRB'!$BW$42</v>
      </c>
      <c r="J1072" s="4" t="s">
        <v>616</v>
      </c>
    </row>
    <row r="1073" spans="1:10" x14ac:dyDescent="0.25">
      <c r="A1073" s="7" t="s">
        <v>4</v>
      </c>
      <c r="B1073" s="7">
        <f t="shared" si="246"/>
        <v>2030</v>
      </c>
      <c r="C1073" s="4" t="s">
        <v>11</v>
      </c>
      <c r="D1073" s="5" t="s">
        <v>128</v>
      </c>
      <c r="E1073" s="10" t="str">
        <f t="shared" si="216"/>
        <v>PRB'!</v>
      </c>
      <c r="F1073" s="5" t="str">
        <f t="shared" si="234"/>
        <v>C:\Users\jaime.benazar\Quorum Business Solutions\Ecopetrol Prometeo - Documents\Planning Space Implementation\3. Analysis &amp; Design\Design\FC22\DRR Jaime\QUIFA-CAJÚA\Cajua\[VAS_CAJUA_CF_SEC_20230125.xlsx]CF PRB'!</v>
      </c>
      <c r="G1073" s="7" t="s">
        <v>37</v>
      </c>
      <c r="H1073" s="4">
        <f t="shared" si="218"/>
        <v>43</v>
      </c>
      <c r="I1073" s="4" t="str">
        <f t="shared" si="217"/>
        <v>='C:\Users\jaime.benazar\Quorum Business Solutions\Ecopetrol Prometeo - Documents\Planning Space Implementation\3. Analysis &amp; Design\Design\FC22\DRR Jaime\QUIFA-CAJÚA\Cajua\[VAS_CAJUA_CF_SEC_20230125.xlsx]CF PRB'!$BW$43</v>
      </c>
      <c r="J1073" s="4" t="s">
        <v>617</v>
      </c>
    </row>
    <row r="1074" spans="1:10" x14ac:dyDescent="0.25">
      <c r="A1074" s="7" t="s">
        <v>4</v>
      </c>
      <c r="B1074" s="7">
        <f t="shared" si="246"/>
        <v>2031</v>
      </c>
      <c r="C1074" s="4" t="s">
        <v>11</v>
      </c>
      <c r="D1074" s="5" t="s">
        <v>128</v>
      </c>
      <c r="E1074" s="10" t="str">
        <f t="shared" si="216"/>
        <v>PRB'!</v>
      </c>
      <c r="F1074" s="5" t="str">
        <f t="shared" si="234"/>
        <v>C:\Users\jaime.benazar\Quorum Business Solutions\Ecopetrol Prometeo - Documents\Planning Space Implementation\3. Analysis &amp; Design\Design\FC22\DRR Jaime\QUIFA-CAJÚA\Cajua\[VAS_CAJUA_CF_SEC_20230125.xlsx]CF PRB'!</v>
      </c>
      <c r="G1074" s="7" t="s">
        <v>37</v>
      </c>
      <c r="H1074" s="4">
        <f t="shared" si="218"/>
        <v>44</v>
      </c>
      <c r="I1074" s="4" t="str">
        <f t="shared" si="217"/>
        <v>='C:\Users\jaime.benazar\Quorum Business Solutions\Ecopetrol Prometeo - Documents\Planning Space Implementation\3. Analysis &amp; Design\Design\FC22\DRR Jaime\QUIFA-CAJÚA\Cajua\[VAS_CAJUA_CF_SEC_20230125.xlsx]CF PRB'!$BW$44</v>
      </c>
      <c r="J1074" s="4" t="s">
        <v>618</v>
      </c>
    </row>
    <row r="1075" spans="1:10" x14ac:dyDescent="0.25">
      <c r="A1075" s="7" t="s">
        <v>4</v>
      </c>
      <c r="B1075" s="7">
        <f t="shared" si="246"/>
        <v>2032</v>
      </c>
      <c r="C1075" s="4" t="s">
        <v>11</v>
      </c>
      <c r="D1075" s="5" t="s">
        <v>128</v>
      </c>
      <c r="E1075" s="10" t="str">
        <f t="shared" si="216"/>
        <v>PRB'!</v>
      </c>
      <c r="F1075" s="5" t="str">
        <f t="shared" si="234"/>
        <v>C:\Users\jaime.benazar\Quorum Business Solutions\Ecopetrol Prometeo - Documents\Planning Space Implementation\3. Analysis &amp; Design\Design\FC22\DRR Jaime\QUIFA-CAJÚA\Cajua\[VAS_CAJUA_CF_SEC_20230125.xlsx]CF PRB'!</v>
      </c>
      <c r="G1075" s="7" t="s">
        <v>37</v>
      </c>
      <c r="H1075" s="4">
        <f t="shared" si="218"/>
        <v>45</v>
      </c>
      <c r="I1075" s="4" t="str">
        <f t="shared" si="217"/>
        <v>='C:\Users\jaime.benazar\Quorum Business Solutions\Ecopetrol Prometeo - Documents\Planning Space Implementation\3. Analysis &amp; Design\Design\FC22\DRR Jaime\QUIFA-CAJÚA\Cajua\[VAS_CAJUA_CF_SEC_20230125.xlsx]CF PRB'!$BW$45</v>
      </c>
      <c r="J1075" s="4" t="s">
        <v>619</v>
      </c>
    </row>
    <row r="1076" spans="1:10" x14ac:dyDescent="0.25">
      <c r="A1076" s="7" t="s">
        <v>4</v>
      </c>
      <c r="B1076" s="7">
        <f t="shared" si="246"/>
        <v>2033</v>
      </c>
      <c r="C1076" s="4" t="s">
        <v>11</v>
      </c>
      <c r="D1076" s="5" t="s">
        <v>128</v>
      </c>
      <c r="E1076" s="10" t="str">
        <f t="shared" si="216"/>
        <v>PRB'!</v>
      </c>
      <c r="F1076" s="5" t="str">
        <f t="shared" si="234"/>
        <v>C:\Users\jaime.benazar\Quorum Business Solutions\Ecopetrol Prometeo - Documents\Planning Space Implementation\3. Analysis &amp; Design\Design\FC22\DRR Jaime\QUIFA-CAJÚA\Cajua\[VAS_CAJUA_CF_SEC_20230125.xlsx]CF PRB'!</v>
      </c>
      <c r="G1076" s="7" t="s">
        <v>37</v>
      </c>
      <c r="H1076" s="4">
        <f t="shared" si="218"/>
        <v>46</v>
      </c>
      <c r="I1076" s="4" t="str">
        <f t="shared" si="217"/>
        <v>='C:\Users\jaime.benazar\Quorum Business Solutions\Ecopetrol Prometeo - Documents\Planning Space Implementation\3. Analysis &amp; Design\Design\FC22\DRR Jaime\QUIFA-CAJÚA\Cajua\[VAS_CAJUA_CF_SEC_20230125.xlsx]CF PRB'!$BW$46</v>
      </c>
      <c r="J1076" s="4" t="s">
        <v>620</v>
      </c>
    </row>
    <row r="1077" spans="1:10" x14ac:dyDescent="0.25">
      <c r="A1077" s="7" t="s">
        <v>4</v>
      </c>
      <c r="B1077" s="7">
        <f t="shared" si="246"/>
        <v>2034</v>
      </c>
      <c r="C1077" s="4" t="s">
        <v>11</v>
      </c>
      <c r="D1077" s="5" t="s">
        <v>128</v>
      </c>
      <c r="E1077" s="10" t="str">
        <f t="shared" si="216"/>
        <v>PRB'!</v>
      </c>
      <c r="F1077" s="5" t="str">
        <f t="shared" si="234"/>
        <v>C:\Users\jaime.benazar\Quorum Business Solutions\Ecopetrol Prometeo - Documents\Planning Space Implementation\3. Analysis &amp; Design\Design\FC22\DRR Jaime\QUIFA-CAJÚA\Cajua\[VAS_CAJUA_CF_SEC_20230125.xlsx]CF PRB'!</v>
      </c>
      <c r="G1077" s="7" t="s">
        <v>37</v>
      </c>
      <c r="H1077" s="4">
        <f t="shared" si="218"/>
        <v>47</v>
      </c>
      <c r="I1077" s="4" t="str">
        <f t="shared" si="217"/>
        <v>='C:\Users\jaime.benazar\Quorum Business Solutions\Ecopetrol Prometeo - Documents\Planning Space Implementation\3. Analysis &amp; Design\Design\FC22\DRR Jaime\QUIFA-CAJÚA\Cajua\[VAS_CAJUA_CF_SEC_20230125.xlsx]CF PRB'!$BW$47</v>
      </c>
      <c r="J1077" s="4" t="s">
        <v>621</v>
      </c>
    </row>
    <row r="1078" spans="1:10" x14ac:dyDescent="0.25">
      <c r="A1078" s="7" t="s">
        <v>4</v>
      </c>
      <c r="B1078" s="7">
        <f t="shared" si="246"/>
        <v>2035</v>
      </c>
      <c r="C1078" s="4" t="s">
        <v>11</v>
      </c>
      <c r="D1078" s="5" t="s">
        <v>128</v>
      </c>
      <c r="E1078" s="10" t="str">
        <f t="shared" si="216"/>
        <v>PRB'!</v>
      </c>
      <c r="F1078" s="5" t="str">
        <f t="shared" si="234"/>
        <v>C:\Users\jaime.benazar\Quorum Business Solutions\Ecopetrol Prometeo - Documents\Planning Space Implementation\3. Analysis &amp; Design\Design\FC22\DRR Jaime\QUIFA-CAJÚA\Cajua\[VAS_CAJUA_CF_SEC_20230125.xlsx]CF PRB'!</v>
      </c>
      <c r="G1078" s="7" t="s">
        <v>37</v>
      </c>
      <c r="H1078" s="4">
        <f t="shared" si="218"/>
        <v>48</v>
      </c>
      <c r="I1078" s="4" t="str">
        <f t="shared" si="217"/>
        <v>='C:\Users\jaime.benazar\Quorum Business Solutions\Ecopetrol Prometeo - Documents\Planning Space Implementation\3. Analysis &amp; Design\Design\FC22\DRR Jaime\QUIFA-CAJÚA\Cajua\[VAS_CAJUA_CF_SEC_20230125.xlsx]CF PRB'!$BW$48</v>
      </c>
      <c r="J1078" s="4" t="s">
        <v>622</v>
      </c>
    </row>
    <row r="1079" spans="1:10" x14ac:dyDescent="0.25">
      <c r="A1079" s="7" t="s">
        <v>4</v>
      </c>
      <c r="B1079" s="7">
        <f t="shared" si="246"/>
        <v>2036</v>
      </c>
      <c r="C1079" s="4" t="s">
        <v>11</v>
      </c>
      <c r="D1079" s="5" t="s">
        <v>128</v>
      </c>
      <c r="E1079" s="10" t="str">
        <f t="shared" si="216"/>
        <v>PRB'!</v>
      </c>
      <c r="F1079" s="5" t="str">
        <f t="shared" si="234"/>
        <v>C:\Users\jaime.benazar\Quorum Business Solutions\Ecopetrol Prometeo - Documents\Planning Space Implementation\3. Analysis &amp; Design\Design\FC22\DRR Jaime\QUIFA-CAJÚA\Cajua\[VAS_CAJUA_CF_SEC_20230125.xlsx]CF PRB'!</v>
      </c>
      <c r="G1079" s="7" t="s">
        <v>37</v>
      </c>
      <c r="H1079" s="4">
        <f t="shared" si="218"/>
        <v>49</v>
      </c>
      <c r="I1079" s="4" t="str">
        <f t="shared" si="217"/>
        <v>='C:\Users\jaime.benazar\Quorum Business Solutions\Ecopetrol Prometeo - Documents\Planning Space Implementation\3. Analysis &amp; Design\Design\FC22\DRR Jaime\QUIFA-CAJÚA\Cajua\[VAS_CAJUA_CF_SEC_20230125.xlsx]CF PRB'!$BW$49</v>
      </c>
      <c r="J1079" s="4" t="s">
        <v>623</v>
      </c>
    </row>
    <row r="1080" spans="1:10" x14ac:dyDescent="0.25">
      <c r="A1080" s="7" t="s">
        <v>4</v>
      </c>
      <c r="B1080" s="7">
        <f>+B1079+1</f>
        <v>2037</v>
      </c>
      <c r="C1080" s="4" t="s">
        <v>11</v>
      </c>
      <c r="D1080" s="5" t="s">
        <v>128</v>
      </c>
      <c r="E1080" s="10" t="str">
        <f t="shared" si="216"/>
        <v>PRB'!</v>
      </c>
      <c r="F1080" s="5" t="str">
        <f t="shared" si="234"/>
        <v>C:\Users\jaime.benazar\Quorum Business Solutions\Ecopetrol Prometeo - Documents\Planning Space Implementation\3. Analysis &amp; Design\Design\FC22\DRR Jaime\QUIFA-CAJÚA\Cajua\[VAS_CAJUA_CF_SEC_20230125.xlsx]CF PRB'!</v>
      </c>
      <c r="G1080" s="7" t="s">
        <v>37</v>
      </c>
      <c r="H1080" s="4">
        <f t="shared" si="218"/>
        <v>50</v>
      </c>
      <c r="I1080" s="4" t="str">
        <f t="shared" si="217"/>
        <v>='C:\Users\jaime.benazar\Quorum Business Solutions\Ecopetrol Prometeo - Documents\Planning Space Implementation\3. Analysis &amp; Design\Design\FC22\DRR Jaime\QUIFA-CAJÚA\Cajua\[VAS_CAJUA_CF_SEC_20230125.xlsx]CF PRB'!$BW$50</v>
      </c>
      <c r="J1080" s="4" t="s">
        <v>624</v>
      </c>
    </row>
    <row r="1081" spans="1:10" x14ac:dyDescent="0.25">
      <c r="A1081" s="7" t="s">
        <v>4</v>
      </c>
      <c r="B1081" s="7">
        <f t="shared" ref="B1081:B1083" si="247">+B1080+1</f>
        <v>2038</v>
      </c>
      <c r="C1081" s="4" t="s">
        <v>11</v>
      </c>
      <c r="D1081" s="5" t="s">
        <v>128</v>
      </c>
      <c r="E1081" s="10" t="str">
        <f t="shared" si="216"/>
        <v>PRB'!</v>
      </c>
      <c r="F1081" s="5" t="str">
        <f t="shared" si="234"/>
        <v>C:\Users\jaime.benazar\Quorum Business Solutions\Ecopetrol Prometeo - Documents\Planning Space Implementation\3. Analysis &amp; Design\Design\FC22\DRR Jaime\QUIFA-CAJÚA\Cajua\[VAS_CAJUA_CF_SEC_20230125.xlsx]CF PRB'!</v>
      </c>
      <c r="G1081" s="7" t="s">
        <v>37</v>
      </c>
      <c r="H1081" s="4">
        <f t="shared" si="218"/>
        <v>51</v>
      </c>
      <c r="I1081" s="4" t="str">
        <f t="shared" si="217"/>
        <v>='C:\Users\jaime.benazar\Quorum Business Solutions\Ecopetrol Prometeo - Documents\Planning Space Implementation\3. Analysis &amp; Design\Design\FC22\DRR Jaime\QUIFA-CAJÚA\Cajua\[VAS_CAJUA_CF_SEC_20230125.xlsx]CF PRB'!$BW$51</v>
      </c>
      <c r="J1081" s="4" t="s">
        <v>625</v>
      </c>
    </row>
    <row r="1082" spans="1:10" x14ac:dyDescent="0.25">
      <c r="A1082" s="7" t="s">
        <v>4</v>
      </c>
      <c r="B1082" s="7">
        <f t="shared" si="247"/>
        <v>2039</v>
      </c>
      <c r="C1082" s="4" t="s">
        <v>11</v>
      </c>
      <c r="D1082" s="5" t="s">
        <v>128</v>
      </c>
      <c r="E1082" s="10" t="str">
        <f t="shared" si="216"/>
        <v>PRB'!</v>
      </c>
      <c r="F1082" s="5" t="str">
        <f t="shared" si="234"/>
        <v>C:\Users\jaime.benazar\Quorum Business Solutions\Ecopetrol Prometeo - Documents\Planning Space Implementation\3. Analysis &amp; Design\Design\FC22\DRR Jaime\QUIFA-CAJÚA\Cajua\[VAS_CAJUA_CF_SEC_20230125.xlsx]CF PRB'!</v>
      </c>
      <c r="G1082" s="7" t="s">
        <v>37</v>
      </c>
      <c r="H1082" s="4">
        <f t="shared" si="218"/>
        <v>52</v>
      </c>
      <c r="I1082" s="4" t="str">
        <f t="shared" si="217"/>
        <v>='C:\Users\jaime.benazar\Quorum Business Solutions\Ecopetrol Prometeo - Documents\Planning Space Implementation\3. Analysis &amp; Design\Design\FC22\DRR Jaime\QUIFA-CAJÚA\Cajua\[VAS_CAJUA_CF_SEC_20230125.xlsx]CF PRB'!$BW$52</v>
      </c>
      <c r="J1082" s="4" t="s">
        <v>626</v>
      </c>
    </row>
    <row r="1083" spans="1:10" x14ac:dyDescent="0.25">
      <c r="A1083" s="7" t="s">
        <v>4</v>
      </c>
      <c r="B1083" s="7">
        <f t="shared" si="247"/>
        <v>2040</v>
      </c>
      <c r="C1083" s="4" t="s">
        <v>11</v>
      </c>
      <c r="D1083" s="5" t="s">
        <v>128</v>
      </c>
      <c r="E1083" s="10" t="str">
        <f t="shared" si="216"/>
        <v>PRB'!</v>
      </c>
      <c r="F1083" s="5" t="str">
        <f t="shared" si="234"/>
        <v>C:\Users\jaime.benazar\Quorum Business Solutions\Ecopetrol Prometeo - Documents\Planning Space Implementation\3. Analysis &amp; Design\Design\FC22\DRR Jaime\QUIFA-CAJÚA\Cajua\[VAS_CAJUA_CF_SEC_20230125.xlsx]CF PRB'!</v>
      </c>
      <c r="G1083" s="7" t="s">
        <v>37</v>
      </c>
      <c r="H1083" s="4">
        <f t="shared" si="218"/>
        <v>53</v>
      </c>
      <c r="I1083" s="4" t="str">
        <f t="shared" si="217"/>
        <v>='C:\Users\jaime.benazar\Quorum Business Solutions\Ecopetrol Prometeo - Documents\Planning Space Implementation\3. Analysis &amp; Design\Design\FC22\DRR Jaime\QUIFA-CAJÚA\Cajua\[VAS_CAJUA_CF_SEC_20230125.xlsx]CF PRB'!$BW$53</v>
      </c>
      <c r="J1083" s="4" t="s">
        <v>627</v>
      </c>
    </row>
    <row r="1084" spans="1:10" x14ac:dyDescent="0.25">
      <c r="A1084" s="7" t="s">
        <v>4</v>
      </c>
      <c r="B1084" s="7">
        <f>+B1083+1</f>
        <v>2041</v>
      </c>
      <c r="C1084" s="4" t="s">
        <v>11</v>
      </c>
      <c r="D1084" s="5" t="s">
        <v>128</v>
      </c>
      <c r="E1084" s="10" t="str">
        <f t="shared" si="216"/>
        <v>PRB'!</v>
      </c>
      <c r="F1084" s="5" t="str">
        <f t="shared" si="234"/>
        <v>C:\Users\jaime.benazar\Quorum Business Solutions\Ecopetrol Prometeo - Documents\Planning Space Implementation\3. Analysis &amp; Design\Design\FC22\DRR Jaime\QUIFA-CAJÚA\Cajua\[VAS_CAJUA_CF_SEC_20230125.xlsx]CF PRB'!</v>
      </c>
      <c r="G1084" s="7" t="s">
        <v>37</v>
      </c>
      <c r="H1084" s="4">
        <f t="shared" si="218"/>
        <v>54</v>
      </c>
      <c r="I1084" s="4" t="str">
        <f t="shared" si="217"/>
        <v>='C:\Users\jaime.benazar\Quorum Business Solutions\Ecopetrol Prometeo - Documents\Planning Space Implementation\3. Analysis &amp; Design\Design\FC22\DRR Jaime\QUIFA-CAJÚA\Cajua\[VAS_CAJUA_CF_SEC_20230125.xlsx]CF PRB'!$BW$54</v>
      </c>
      <c r="J1084" s="4" t="s">
        <v>628</v>
      </c>
    </row>
    <row r="1085" spans="1:10" x14ac:dyDescent="0.25">
      <c r="A1085" s="7" t="s">
        <v>4</v>
      </c>
      <c r="B1085" s="7">
        <f t="shared" ref="B1085:B1086" si="248">+B1084+1</f>
        <v>2042</v>
      </c>
      <c r="C1085" s="4" t="s">
        <v>11</v>
      </c>
      <c r="D1085" s="5" t="s">
        <v>128</v>
      </c>
      <c r="E1085" s="10" t="str">
        <f t="shared" si="216"/>
        <v>PRB'!</v>
      </c>
      <c r="F1085" s="5" t="str">
        <f t="shared" si="234"/>
        <v>C:\Users\jaime.benazar\Quorum Business Solutions\Ecopetrol Prometeo - Documents\Planning Space Implementation\3. Analysis &amp; Design\Design\FC22\DRR Jaime\QUIFA-CAJÚA\Cajua\[VAS_CAJUA_CF_SEC_20230125.xlsx]CF PRB'!</v>
      </c>
      <c r="G1085" s="7" t="s">
        <v>37</v>
      </c>
      <c r="H1085" s="4">
        <f t="shared" si="218"/>
        <v>55</v>
      </c>
      <c r="I1085" s="4" t="str">
        <f t="shared" si="217"/>
        <v>='C:\Users\jaime.benazar\Quorum Business Solutions\Ecopetrol Prometeo - Documents\Planning Space Implementation\3. Analysis &amp; Design\Design\FC22\DRR Jaime\QUIFA-CAJÚA\Cajua\[VAS_CAJUA_CF_SEC_20230125.xlsx]CF PRB'!$BW$55</v>
      </c>
      <c r="J1085" s="4" t="s">
        <v>629</v>
      </c>
    </row>
    <row r="1086" spans="1:10" x14ac:dyDescent="0.25">
      <c r="A1086" s="7" t="s">
        <v>4</v>
      </c>
      <c r="B1086" s="7">
        <f t="shared" si="248"/>
        <v>2043</v>
      </c>
      <c r="C1086" s="4" t="s">
        <v>11</v>
      </c>
      <c r="D1086" s="5" t="s">
        <v>128</v>
      </c>
      <c r="E1086" s="10" t="str">
        <f t="shared" si="216"/>
        <v>PRB'!</v>
      </c>
      <c r="F1086" s="5" t="str">
        <f t="shared" si="234"/>
        <v>C:\Users\jaime.benazar\Quorum Business Solutions\Ecopetrol Prometeo - Documents\Planning Space Implementation\3. Analysis &amp; Design\Design\FC22\DRR Jaime\QUIFA-CAJÚA\Cajua\[VAS_CAJUA_CF_SEC_20230125.xlsx]CF PRB'!</v>
      </c>
      <c r="G1086" s="7" t="s">
        <v>37</v>
      </c>
      <c r="H1086" s="4">
        <f t="shared" si="218"/>
        <v>56</v>
      </c>
      <c r="I1086" s="4" t="str">
        <f t="shared" si="217"/>
        <v>='C:\Users\jaime.benazar\Quorum Business Solutions\Ecopetrol Prometeo - Documents\Planning Space Implementation\3. Analysis &amp; Design\Design\FC22\DRR Jaime\QUIFA-CAJÚA\Cajua\[VAS_CAJUA_CF_SEC_20230125.xlsx]CF PRB'!$BW$56</v>
      </c>
      <c r="J1086" s="4" t="s">
        <v>630</v>
      </c>
    </row>
    <row r="1087" spans="1:10" x14ac:dyDescent="0.25">
      <c r="A1087" s="7" t="s">
        <v>4</v>
      </c>
      <c r="B1087" s="7">
        <f>+B1086+1</f>
        <v>2044</v>
      </c>
      <c r="C1087" s="4" t="s">
        <v>11</v>
      </c>
      <c r="D1087" s="5" t="s">
        <v>128</v>
      </c>
      <c r="E1087" s="10" t="str">
        <f t="shared" ref="E1087:E1102" si="249">_xlfn.CONCAT(A1087,"'!")</f>
        <v>PRB'!</v>
      </c>
      <c r="F1087" s="5" t="str">
        <f t="shared" ref="F1087:F1102" si="250">_xlfn.CONCAT(D1087," ",E1087)</f>
        <v>C:\Users\jaime.benazar\Quorum Business Solutions\Ecopetrol Prometeo - Documents\Planning Space Implementation\3. Analysis &amp; Design\Design\FC22\DRR Jaime\QUIFA-CAJÚA\Cajua\[VAS_CAJUA_CF_SEC_20230125.xlsx]CF PRB'!</v>
      </c>
      <c r="G1087" s="7" t="s">
        <v>37</v>
      </c>
      <c r="H1087" s="4">
        <f t="shared" ref="H1087:H1102" si="251">IF(A1087&lt;&gt;A1086,36,H1086+1)</f>
        <v>57</v>
      </c>
      <c r="I1087" s="4" t="str">
        <f t="shared" ref="I1087:I1102" si="252">_xlfn.CONCAT("='",F1087:H1087)</f>
        <v>='C:\Users\jaime.benazar\Quorum Business Solutions\Ecopetrol Prometeo - Documents\Planning Space Implementation\3. Analysis &amp; Design\Design\FC22\DRR Jaime\QUIFA-CAJÚA\Cajua\[VAS_CAJUA_CF_SEC_20230125.xlsx]CF PRB'!$BW$57</v>
      </c>
      <c r="J1087" s="4" t="s">
        <v>631</v>
      </c>
    </row>
    <row r="1088" spans="1:10" x14ac:dyDescent="0.25">
      <c r="A1088" s="7" t="s">
        <v>4</v>
      </c>
      <c r="B1088" s="7">
        <f t="shared" ref="B1088:B1102" si="253">+B1087+1</f>
        <v>2045</v>
      </c>
      <c r="C1088" s="4" t="s">
        <v>11</v>
      </c>
      <c r="D1088" s="5" t="s">
        <v>128</v>
      </c>
      <c r="E1088" s="10" t="str">
        <f t="shared" si="249"/>
        <v>PRB'!</v>
      </c>
      <c r="F1088" s="5" t="str">
        <f t="shared" si="250"/>
        <v>C:\Users\jaime.benazar\Quorum Business Solutions\Ecopetrol Prometeo - Documents\Planning Space Implementation\3. Analysis &amp; Design\Design\FC22\DRR Jaime\QUIFA-CAJÚA\Cajua\[VAS_CAJUA_CF_SEC_20230125.xlsx]CF PRB'!</v>
      </c>
      <c r="G1088" s="7" t="s">
        <v>37</v>
      </c>
      <c r="H1088" s="4">
        <f t="shared" si="251"/>
        <v>58</v>
      </c>
      <c r="I1088" s="4" t="str">
        <f t="shared" si="252"/>
        <v>='C:\Users\jaime.benazar\Quorum Business Solutions\Ecopetrol Prometeo - Documents\Planning Space Implementation\3. Analysis &amp; Design\Design\FC22\DRR Jaime\QUIFA-CAJÚA\Cajua\[VAS_CAJUA_CF_SEC_20230125.xlsx]CF PRB'!$BW$58</v>
      </c>
      <c r="J1088" s="4" t="s">
        <v>632</v>
      </c>
    </row>
    <row r="1089" spans="1:10" x14ac:dyDescent="0.25">
      <c r="A1089" s="7" t="s">
        <v>4</v>
      </c>
      <c r="B1089" s="7">
        <f t="shared" si="253"/>
        <v>2046</v>
      </c>
      <c r="C1089" s="4" t="s">
        <v>11</v>
      </c>
      <c r="D1089" s="5" t="s">
        <v>128</v>
      </c>
      <c r="E1089" s="10" t="str">
        <f t="shared" si="249"/>
        <v>PRB'!</v>
      </c>
      <c r="F1089" s="5" t="str">
        <f t="shared" si="250"/>
        <v>C:\Users\jaime.benazar\Quorum Business Solutions\Ecopetrol Prometeo - Documents\Planning Space Implementation\3. Analysis &amp; Design\Design\FC22\DRR Jaime\QUIFA-CAJÚA\Cajua\[VAS_CAJUA_CF_SEC_20230125.xlsx]CF PRB'!</v>
      </c>
      <c r="G1089" s="7" t="s">
        <v>37</v>
      </c>
      <c r="H1089" s="4">
        <f t="shared" si="251"/>
        <v>59</v>
      </c>
      <c r="I1089" s="4" t="str">
        <f t="shared" si="252"/>
        <v>='C:\Users\jaime.benazar\Quorum Business Solutions\Ecopetrol Prometeo - Documents\Planning Space Implementation\3. Analysis &amp; Design\Design\FC22\DRR Jaime\QUIFA-CAJÚA\Cajua\[VAS_CAJUA_CF_SEC_20230125.xlsx]CF PRB'!$BW$59</v>
      </c>
      <c r="J1089" s="4" t="s">
        <v>633</v>
      </c>
    </row>
    <row r="1090" spans="1:10" x14ac:dyDescent="0.25">
      <c r="A1090" s="7" t="s">
        <v>4</v>
      </c>
      <c r="B1090" s="7">
        <f t="shared" si="253"/>
        <v>2047</v>
      </c>
      <c r="C1090" s="4" t="s">
        <v>11</v>
      </c>
      <c r="D1090" s="5" t="s">
        <v>128</v>
      </c>
      <c r="E1090" s="10" t="str">
        <f t="shared" si="249"/>
        <v>PRB'!</v>
      </c>
      <c r="F1090" s="5" t="str">
        <f t="shared" si="250"/>
        <v>C:\Users\jaime.benazar\Quorum Business Solutions\Ecopetrol Prometeo - Documents\Planning Space Implementation\3. Analysis &amp; Design\Design\FC22\DRR Jaime\QUIFA-CAJÚA\Cajua\[VAS_CAJUA_CF_SEC_20230125.xlsx]CF PRB'!</v>
      </c>
      <c r="G1090" s="7" t="s">
        <v>37</v>
      </c>
      <c r="H1090" s="4">
        <f t="shared" si="251"/>
        <v>60</v>
      </c>
      <c r="I1090" s="4" t="str">
        <f t="shared" si="252"/>
        <v>='C:\Users\jaime.benazar\Quorum Business Solutions\Ecopetrol Prometeo - Documents\Planning Space Implementation\3. Analysis &amp; Design\Design\FC22\DRR Jaime\QUIFA-CAJÚA\Cajua\[VAS_CAJUA_CF_SEC_20230125.xlsx]CF PRB'!$BW$60</v>
      </c>
      <c r="J1090" s="4" t="s">
        <v>634</v>
      </c>
    </row>
    <row r="1091" spans="1:10" x14ac:dyDescent="0.25">
      <c r="A1091" s="7" t="s">
        <v>4</v>
      </c>
      <c r="B1091" s="7">
        <f t="shared" si="253"/>
        <v>2048</v>
      </c>
      <c r="C1091" s="4" t="s">
        <v>11</v>
      </c>
      <c r="D1091" s="5" t="s">
        <v>128</v>
      </c>
      <c r="E1091" s="10" t="str">
        <f t="shared" si="249"/>
        <v>PRB'!</v>
      </c>
      <c r="F1091" s="5" t="str">
        <f t="shared" si="250"/>
        <v>C:\Users\jaime.benazar\Quorum Business Solutions\Ecopetrol Prometeo - Documents\Planning Space Implementation\3. Analysis &amp; Design\Design\FC22\DRR Jaime\QUIFA-CAJÚA\Cajua\[VAS_CAJUA_CF_SEC_20230125.xlsx]CF PRB'!</v>
      </c>
      <c r="G1091" s="7" t="s">
        <v>37</v>
      </c>
      <c r="H1091" s="4">
        <f t="shared" si="251"/>
        <v>61</v>
      </c>
      <c r="I1091" s="4" t="str">
        <f t="shared" si="252"/>
        <v>='C:\Users\jaime.benazar\Quorum Business Solutions\Ecopetrol Prometeo - Documents\Planning Space Implementation\3. Analysis &amp; Design\Design\FC22\DRR Jaime\QUIFA-CAJÚA\Cajua\[VAS_CAJUA_CF_SEC_20230125.xlsx]CF PRB'!$BW$61</v>
      </c>
      <c r="J1091" s="4" t="s">
        <v>635</v>
      </c>
    </row>
    <row r="1092" spans="1:10" x14ac:dyDescent="0.25">
      <c r="A1092" s="7" t="s">
        <v>4</v>
      </c>
      <c r="B1092" s="7">
        <f t="shared" si="253"/>
        <v>2049</v>
      </c>
      <c r="C1092" s="4" t="s">
        <v>11</v>
      </c>
      <c r="D1092" s="5" t="s">
        <v>128</v>
      </c>
      <c r="E1092" s="10" t="str">
        <f t="shared" si="249"/>
        <v>PRB'!</v>
      </c>
      <c r="F1092" s="5" t="str">
        <f t="shared" si="250"/>
        <v>C:\Users\jaime.benazar\Quorum Business Solutions\Ecopetrol Prometeo - Documents\Planning Space Implementation\3. Analysis &amp; Design\Design\FC22\DRR Jaime\QUIFA-CAJÚA\Cajua\[VAS_CAJUA_CF_SEC_20230125.xlsx]CF PRB'!</v>
      </c>
      <c r="G1092" s="7" t="s">
        <v>37</v>
      </c>
      <c r="H1092" s="4">
        <f t="shared" si="251"/>
        <v>62</v>
      </c>
      <c r="I1092" s="4" t="str">
        <f t="shared" si="252"/>
        <v>='C:\Users\jaime.benazar\Quorum Business Solutions\Ecopetrol Prometeo - Documents\Planning Space Implementation\3. Analysis &amp; Design\Design\FC22\DRR Jaime\QUIFA-CAJÚA\Cajua\[VAS_CAJUA_CF_SEC_20230125.xlsx]CF PRB'!$BW$62</v>
      </c>
      <c r="J1092" s="4" t="s">
        <v>636</v>
      </c>
    </row>
    <row r="1093" spans="1:10" x14ac:dyDescent="0.25">
      <c r="A1093" s="7" t="s">
        <v>4</v>
      </c>
      <c r="B1093" s="7">
        <f t="shared" si="253"/>
        <v>2050</v>
      </c>
      <c r="C1093" s="4" t="s">
        <v>11</v>
      </c>
      <c r="D1093" s="5" t="s">
        <v>128</v>
      </c>
      <c r="E1093" s="10" t="str">
        <f t="shared" si="249"/>
        <v>PRB'!</v>
      </c>
      <c r="F1093" s="5" t="str">
        <f t="shared" si="250"/>
        <v>C:\Users\jaime.benazar\Quorum Business Solutions\Ecopetrol Prometeo - Documents\Planning Space Implementation\3. Analysis &amp; Design\Design\FC22\DRR Jaime\QUIFA-CAJÚA\Cajua\[VAS_CAJUA_CF_SEC_20230125.xlsx]CF PRB'!</v>
      </c>
      <c r="G1093" s="7" t="s">
        <v>37</v>
      </c>
      <c r="H1093" s="4">
        <f t="shared" si="251"/>
        <v>63</v>
      </c>
      <c r="I1093" s="4" t="str">
        <f t="shared" si="252"/>
        <v>='C:\Users\jaime.benazar\Quorum Business Solutions\Ecopetrol Prometeo - Documents\Planning Space Implementation\3. Analysis &amp; Design\Design\FC22\DRR Jaime\QUIFA-CAJÚA\Cajua\[VAS_CAJUA_CF_SEC_20230125.xlsx]CF PRB'!$BW$63</v>
      </c>
      <c r="J1093" s="4" t="s">
        <v>637</v>
      </c>
    </row>
    <row r="1094" spans="1:10" x14ac:dyDescent="0.25">
      <c r="A1094" s="7" t="s">
        <v>4</v>
      </c>
      <c r="B1094" s="7">
        <f t="shared" si="253"/>
        <v>2051</v>
      </c>
      <c r="C1094" s="4" t="s">
        <v>11</v>
      </c>
      <c r="D1094" s="5" t="s">
        <v>128</v>
      </c>
      <c r="E1094" s="10" t="str">
        <f t="shared" si="249"/>
        <v>PRB'!</v>
      </c>
      <c r="F1094" s="5" t="str">
        <f t="shared" si="250"/>
        <v>C:\Users\jaime.benazar\Quorum Business Solutions\Ecopetrol Prometeo - Documents\Planning Space Implementation\3. Analysis &amp; Design\Design\FC22\DRR Jaime\QUIFA-CAJÚA\Cajua\[VAS_CAJUA_CF_SEC_20230125.xlsx]CF PRB'!</v>
      </c>
      <c r="G1094" s="7" t="s">
        <v>37</v>
      </c>
      <c r="H1094" s="4">
        <f t="shared" si="251"/>
        <v>64</v>
      </c>
      <c r="I1094" s="4" t="str">
        <f t="shared" si="252"/>
        <v>='C:\Users\jaime.benazar\Quorum Business Solutions\Ecopetrol Prometeo - Documents\Planning Space Implementation\3. Analysis &amp; Design\Design\FC22\DRR Jaime\QUIFA-CAJÚA\Cajua\[VAS_CAJUA_CF_SEC_20230125.xlsx]CF PRB'!$BW$64</v>
      </c>
      <c r="J1094" s="4" t="s">
        <v>638</v>
      </c>
    </row>
    <row r="1095" spans="1:10" x14ac:dyDescent="0.25">
      <c r="A1095" s="7" t="s">
        <v>4</v>
      </c>
      <c r="B1095" s="7">
        <f t="shared" si="253"/>
        <v>2052</v>
      </c>
      <c r="C1095" s="4" t="s">
        <v>11</v>
      </c>
      <c r="D1095" s="5" t="s">
        <v>128</v>
      </c>
      <c r="E1095" s="10" t="str">
        <f t="shared" si="249"/>
        <v>PRB'!</v>
      </c>
      <c r="F1095" s="5" t="str">
        <f t="shared" si="250"/>
        <v>C:\Users\jaime.benazar\Quorum Business Solutions\Ecopetrol Prometeo - Documents\Planning Space Implementation\3. Analysis &amp; Design\Design\FC22\DRR Jaime\QUIFA-CAJÚA\Cajua\[VAS_CAJUA_CF_SEC_20230125.xlsx]CF PRB'!</v>
      </c>
      <c r="G1095" s="7" t="s">
        <v>37</v>
      </c>
      <c r="H1095" s="4">
        <f t="shared" si="251"/>
        <v>65</v>
      </c>
      <c r="I1095" s="4" t="str">
        <f t="shared" si="252"/>
        <v>='C:\Users\jaime.benazar\Quorum Business Solutions\Ecopetrol Prometeo - Documents\Planning Space Implementation\3. Analysis &amp; Design\Design\FC22\DRR Jaime\QUIFA-CAJÚA\Cajua\[VAS_CAJUA_CF_SEC_20230125.xlsx]CF PRB'!$BW$65</v>
      </c>
      <c r="J1095" s="4" t="s">
        <v>639</v>
      </c>
    </row>
    <row r="1096" spans="1:10" x14ac:dyDescent="0.25">
      <c r="A1096" s="7" t="s">
        <v>4</v>
      </c>
      <c r="B1096" s="7">
        <f t="shared" si="253"/>
        <v>2053</v>
      </c>
      <c r="C1096" s="4" t="s">
        <v>11</v>
      </c>
      <c r="D1096" s="5" t="s">
        <v>128</v>
      </c>
      <c r="E1096" s="10" t="str">
        <f t="shared" si="249"/>
        <v>PRB'!</v>
      </c>
      <c r="F1096" s="5" t="str">
        <f t="shared" si="250"/>
        <v>C:\Users\jaime.benazar\Quorum Business Solutions\Ecopetrol Prometeo - Documents\Planning Space Implementation\3. Analysis &amp; Design\Design\FC22\DRR Jaime\QUIFA-CAJÚA\Cajua\[VAS_CAJUA_CF_SEC_20230125.xlsx]CF PRB'!</v>
      </c>
      <c r="G1096" s="7" t="s">
        <v>37</v>
      </c>
      <c r="H1096" s="4">
        <f t="shared" si="251"/>
        <v>66</v>
      </c>
      <c r="I1096" s="4" t="str">
        <f t="shared" si="252"/>
        <v>='C:\Users\jaime.benazar\Quorum Business Solutions\Ecopetrol Prometeo - Documents\Planning Space Implementation\3. Analysis &amp; Design\Design\FC22\DRR Jaime\QUIFA-CAJÚA\Cajua\[VAS_CAJUA_CF_SEC_20230125.xlsx]CF PRB'!$BW$66</v>
      </c>
      <c r="J1096" s="4" t="s">
        <v>640</v>
      </c>
    </row>
    <row r="1097" spans="1:10" x14ac:dyDescent="0.25">
      <c r="A1097" s="7" t="s">
        <v>4</v>
      </c>
      <c r="B1097" s="7">
        <f t="shared" si="253"/>
        <v>2054</v>
      </c>
      <c r="C1097" s="4" t="s">
        <v>11</v>
      </c>
      <c r="D1097" s="5" t="s">
        <v>128</v>
      </c>
      <c r="E1097" s="10" t="str">
        <f t="shared" si="249"/>
        <v>PRB'!</v>
      </c>
      <c r="F1097" s="5" t="str">
        <f t="shared" si="250"/>
        <v>C:\Users\jaime.benazar\Quorum Business Solutions\Ecopetrol Prometeo - Documents\Planning Space Implementation\3. Analysis &amp; Design\Design\FC22\DRR Jaime\QUIFA-CAJÚA\Cajua\[VAS_CAJUA_CF_SEC_20230125.xlsx]CF PRB'!</v>
      </c>
      <c r="G1097" s="7" t="s">
        <v>37</v>
      </c>
      <c r="H1097" s="4">
        <f t="shared" si="251"/>
        <v>67</v>
      </c>
      <c r="I1097" s="4" t="str">
        <f t="shared" si="252"/>
        <v>='C:\Users\jaime.benazar\Quorum Business Solutions\Ecopetrol Prometeo - Documents\Planning Space Implementation\3. Analysis &amp; Design\Design\FC22\DRR Jaime\QUIFA-CAJÚA\Cajua\[VAS_CAJUA_CF_SEC_20230125.xlsx]CF PRB'!$BW$67</v>
      </c>
      <c r="J1097" s="4" t="s">
        <v>641</v>
      </c>
    </row>
    <row r="1098" spans="1:10" x14ac:dyDescent="0.25">
      <c r="A1098" s="7" t="s">
        <v>4</v>
      </c>
      <c r="B1098" s="7">
        <f t="shared" si="253"/>
        <v>2055</v>
      </c>
      <c r="C1098" s="4" t="s">
        <v>11</v>
      </c>
      <c r="D1098" s="5" t="s">
        <v>128</v>
      </c>
      <c r="E1098" s="10" t="str">
        <f t="shared" si="249"/>
        <v>PRB'!</v>
      </c>
      <c r="F1098" s="5" t="str">
        <f t="shared" si="250"/>
        <v>C:\Users\jaime.benazar\Quorum Business Solutions\Ecopetrol Prometeo - Documents\Planning Space Implementation\3. Analysis &amp; Design\Design\FC22\DRR Jaime\QUIFA-CAJÚA\Cajua\[VAS_CAJUA_CF_SEC_20230125.xlsx]CF PRB'!</v>
      </c>
      <c r="G1098" s="7" t="s">
        <v>37</v>
      </c>
      <c r="H1098" s="4">
        <f t="shared" si="251"/>
        <v>68</v>
      </c>
      <c r="I1098" s="4" t="str">
        <f t="shared" si="252"/>
        <v>='C:\Users\jaime.benazar\Quorum Business Solutions\Ecopetrol Prometeo - Documents\Planning Space Implementation\3. Analysis &amp; Design\Design\FC22\DRR Jaime\QUIFA-CAJÚA\Cajua\[VAS_CAJUA_CF_SEC_20230125.xlsx]CF PRB'!$BW$68</v>
      </c>
      <c r="J1098" s="4" t="s">
        <v>642</v>
      </c>
    </row>
    <row r="1099" spans="1:10" x14ac:dyDescent="0.25">
      <c r="A1099" s="7" t="s">
        <v>4</v>
      </c>
      <c r="B1099" s="7">
        <f t="shared" si="253"/>
        <v>2056</v>
      </c>
      <c r="C1099" s="4" t="s">
        <v>11</v>
      </c>
      <c r="D1099" s="5" t="s">
        <v>128</v>
      </c>
      <c r="E1099" s="10" t="str">
        <f t="shared" si="249"/>
        <v>PRB'!</v>
      </c>
      <c r="F1099" s="5" t="str">
        <f t="shared" si="250"/>
        <v>C:\Users\jaime.benazar\Quorum Business Solutions\Ecopetrol Prometeo - Documents\Planning Space Implementation\3. Analysis &amp; Design\Design\FC22\DRR Jaime\QUIFA-CAJÚA\Cajua\[VAS_CAJUA_CF_SEC_20230125.xlsx]CF PRB'!</v>
      </c>
      <c r="G1099" s="7" t="s">
        <v>37</v>
      </c>
      <c r="H1099" s="4">
        <f t="shared" si="251"/>
        <v>69</v>
      </c>
      <c r="I1099" s="4" t="str">
        <f t="shared" si="252"/>
        <v>='C:\Users\jaime.benazar\Quorum Business Solutions\Ecopetrol Prometeo - Documents\Planning Space Implementation\3. Analysis &amp; Design\Design\FC22\DRR Jaime\QUIFA-CAJÚA\Cajua\[VAS_CAJUA_CF_SEC_20230125.xlsx]CF PRB'!$BW$69</v>
      </c>
      <c r="J1099" s="4" t="s">
        <v>643</v>
      </c>
    </row>
    <row r="1100" spans="1:10" x14ac:dyDescent="0.25">
      <c r="A1100" s="7" t="s">
        <v>4</v>
      </c>
      <c r="B1100" s="7">
        <f t="shared" si="253"/>
        <v>2057</v>
      </c>
      <c r="C1100" s="4" t="s">
        <v>11</v>
      </c>
      <c r="D1100" s="5" t="s">
        <v>128</v>
      </c>
      <c r="E1100" s="10" t="str">
        <f t="shared" si="249"/>
        <v>PRB'!</v>
      </c>
      <c r="F1100" s="5" t="str">
        <f t="shared" si="250"/>
        <v>C:\Users\jaime.benazar\Quorum Business Solutions\Ecopetrol Prometeo - Documents\Planning Space Implementation\3. Analysis &amp; Design\Design\FC22\DRR Jaime\QUIFA-CAJÚA\Cajua\[VAS_CAJUA_CF_SEC_20230125.xlsx]CF PRB'!</v>
      </c>
      <c r="G1100" s="7" t="s">
        <v>37</v>
      </c>
      <c r="H1100" s="4">
        <f t="shared" si="251"/>
        <v>70</v>
      </c>
      <c r="I1100" s="4" t="str">
        <f t="shared" si="252"/>
        <v>='C:\Users\jaime.benazar\Quorum Business Solutions\Ecopetrol Prometeo - Documents\Planning Space Implementation\3. Analysis &amp; Design\Design\FC22\DRR Jaime\QUIFA-CAJÚA\Cajua\[VAS_CAJUA_CF_SEC_20230125.xlsx]CF PRB'!$BW$70</v>
      </c>
      <c r="J1100" s="4" t="s">
        <v>644</v>
      </c>
    </row>
    <row r="1101" spans="1:10" x14ac:dyDescent="0.25">
      <c r="A1101" s="7" t="s">
        <v>4</v>
      </c>
      <c r="B1101" s="7">
        <f t="shared" si="253"/>
        <v>2058</v>
      </c>
      <c r="C1101" s="4" t="s">
        <v>11</v>
      </c>
      <c r="D1101" s="5" t="s">
        <v>128</v>
      </c>
      <c r="E1101" s="10" t="str">
        <f t="shared" si="249"/>
        <v>PRB'!</v>
      </c>
      <c r="F1101" s="5" t="str">
        <f t="shared" si="250"/>
        <v>C:\Users\jaime.benazar\Quorum Business Solutions\Ecopetrol Prometeo - Documents\Planning Space Implementation\3. Analysis &amp; Design\Design\FC22\DRR Jaime\QUIFA-CAJÚA\Cajua\[VAS_CAJUA_CF_SEC_20230125.xlsx]CF PRB'!</v>
      </c>
      <c r="G1101" s="7" t="s">
        <v>37</v>
      </c>
      <c r="H1101" s="4">
        <f t="shared" si="251"/>
        <v>71</v>
      </c>
      <c r="I1101" s="4" t="str">
        <f t="shared" si="252"/>
        <v>='C:\Users\jaime.benazar\Quorum Business Solutions\Ecopetrol Prometeo - Documents\Planning Space Implementation\3. Analysis &amp; Design\Design\FC22\DRR Jaime\QUIFA-CAJÚA\Cajua\[VAS_CAJUA_CF_SEC_20230125.xlsx]CF PRB'!$BW$71</v>
      </c>
      <c r="J1101" s="4" t="s">
        <v>645</v>
      </c>
    </row>
    <row r="1102" spans="1:10" x14ac:dyDescent="0.25">
      <c r="A1102" s="7" t="s">
        <v>4</v>
      </c>
      <c r="B1102" s="7">
        <f t="shared" si="253"/>
        <v>2059</v>
      </c>
      <c r="C1102" s="4" t="s">
        <v>11</v>
      </c>
      <c r="D1102" s="5" t="s">
        <v>128</v>
      </c>
      <c r="E1102" s="10" t="str">
        <f t="shared" si="249"/>
        <v>PRB'!</v>
      </c>
      <c r="F1102" s="5" t="str">
        <f t="shared" si="250"/>
        <v>C:\Users\jaime.benazar\Quorum Business Solutions\Ecopetrol Prometeo - Documents\Planning Space Implementation\3. Analysis &amp; Design\Design\FC22\DRR Jaime\QUIFA-CAJÚA\Cajua\[VAS_CAJUA_CF_SEC_20230125.xlsx]CF PRB'!</v>
      </c>
      <c r="G1102" s="7" t="s">
        <v>37</v>
      </c>
      <c r="H1102" s="4">
        <f t="shared" si="251"/>
        <v>72</v>
      </c>
      <c r="I1102" s="4" t="str">
        <f t="shared" si="252"/>
        <v>='C:\Users\jaime.benazar\Quorum Business Solutions\Ecopetrol Prometeo - Documents\Planning Space Implementation\3. Analysis &amp; Design\Design\FC22\DRR Jaime\QUIFA-CAJÚA\Cajua\[VAS_CAJUA_CF_SEC_20230125.xlsx]CF PRB'!$BW$72</v>
      </c>
      <c r="J1102" s="4" t="s">
        <v>646</v>
      </c>
    </row>
    <row r="1103" spans="1:10" x14ac:dyDescent="0.25">
      <c r="A1103" s="7" t="s">
        <v>28</v>
      </c>
      <c r="B1103" s="7"/>
      <c r="C1103" s="4" t="s">
        <v>11</v>
      </c>
      <c r="D1103" s="5"/>
      <c r="E1103" s="10"/>
      <c r="F1103" s="5" t="str">
        <f t="shared" si="234"/>
        <v xml:space="preserve"> </v>
      </c>
      <c r="G1103" s="7"/>
      <c r="H1103" s="4"/>
      <c r="I1103" s="4"/>
      <c r="J1103" s="4"/>
    </row>
    <row r="1104" spans="1:10" x14ac:dyDescent="0.25">
      <c r="A1104" s="7" t="s">
        <v>102</v>
      </c>
      <c r="B1104" s="7">
        <v>2023</v>
      </c>
      <c r="C1104" s="4" t="s">
        <v>11</v>
      </c>
      <c r="D1104" s="5" t="s">
        <v>128</v>
      </c>
      <c r="E1104" s="10" t="str">
        <f t="shared" ref="E1104:E1124" si="254">_xlfn.CONCAT(A1104,"'!")</f>
        <v>PSDP'!</v>
      </c>
      <c r="F1104" s="5" t="str">
        <f t="shared" si="234"/>
        <v>C:\Users\jaime.benazar\Quorum Business Solutions\Ecopetrol Prometeo - Documents\Planning Space Implementation\3. Analysis &amp; Design\Design\FC22\DRR Jaime\QUIFA-CAJÚA\Cajua\[VAS_CAJUA_CF_SEC_20230125.xlsx]CF PSDP'!</v>
      </c>
      <c r="G1104" s="7" t="s">
        <v>37</v>
      </c>
      <c r="H1104" s="4"/>
      <c r="I1104" s="4"/>
      <c r="J1104" s="4"/>
    </row>
    <row r="1105" spans="1:10" x14ac:dyDescent="0.25">
      <c r="A1105" s="7" t="s">
        <v>102</v>
      </c>
      <c r="B1105" s="7">
        <f>+B1104+1</f>
        <v>2024</v>
      </c>
      <c r="C1105" s="4" t="s">
        <v>11</v>
      </c>
      <c r="D1105" s="5" t="s">
        <v>128</v>
      </c>
      <c r="E1105" s="10" t="str">
        <f t="shared" si="254"/>
        <v>PSDP'!</v>
      </c>
      <c r="F1105" s="5" t="str">
        <f t="shared" si="234"/>
        <v>C:\Users\jaime.benazar\Quorum Business Solutions\Ecopetrol Prometeo - Documents\Planning Space Implementation\3. Analysis &amp; Design\Design\FC22\DRR Jaime\QUIFA-CAJÚA\Cajua\[VAS_CAJUA_CF_SEC_20230125.xlsx]CF PSDP'!</v>
      </c>
      <c r="G1105" s="7" t="s">
        <v>37</v>
      </c>
      <c r="H1105" s="4"/>
      <c r="I1105" s="4"/>
      <c r="J1105" s="4"/>
    </row>
    <row r="1106" spans="1:10" x14ac:dyDescent="0.25">
      <c r="A1106" s="7" t="s">
        <v>102</v>
      </c>
      <c r="B1106" s="7">
        <f t="shared" ref="B1106:B1117" si="255">+B1105+1</f>
        <v>2025</v>
      </c>
      <c r="C1106" s="4" t="s">
        <v>11</v>
      </c>
      <c r="D1106" s="5" t="s">
        <v>128</v>
      </c>
      <c r="E1106" s="10" t="str">
        <f t="shared" si="254"/>
        <v>PSDP'!</v>
      </c>
      <c r="F1106" s="5" t="str">
        <f t="shared" si="234"/>
        <v>C:\Users\jaime.benazar\Quorum Business Solutions\Ecopetrol Prometeo - Documents\Planning Space Implementation\3. Analysis &amp; Design\Design\FC22\DRR Jaime\QUIFA-CAJÚA\Cajua\[VAS_CAJUA_CF_SEC_20230125.xlsx]CF PSDP'!</v>
      </c>
      <c r="G1106" s="7" t="s">
        <v>37</v>
      </c>
      <c r="H1106" s="4"/>
      <c r="I1106" s="4"/>
      <c r="J1106" s="4"/>
    </row>
    <row r="1107" spans="1:10" x14ac:dyDescent="0.25">
      <c r="A1107" s="7" t="s">
        <v>102</v>
      </c>
      <c r="B1107" s="7">
        <f t="shared" si="255"/>
        <v>2026</v>
      </c>
      <c r="C1107" s="4" t="s">
        <v>11</v>
      </c>
      <c r="D1107" s="5" t="s">
        <v>128</v>
      </c>
      <c r="E1107" s="10" t="str">
        <f t="shared" si="254"/>
        <v>PSDP'!</v>
      </c>
      <c r="F1107" s="5" t="str">
        <f t="shared" si="234"/>
        <v>C:\Users\jaime.benazar\Quorum Business Solutions\Ecopetrol Prometeo - Documents\Planning Space Implementation\3. Analysis &amp; Design\Design\FC22\DRR Jaime\QUIFA-CAJÚA\Cajua\[VAS_CAJUA_CF_SEC_20230125.xlsx]CF PSDP'!</v>
      </c>
      <c r="G1107" s="7" t="s">
        <v>37</v>
      </c>
      <c r="H1107" s="4"/>
      <c r="I1107" s="4"/>
      <c r="J1107" s="4"/>
    </row>
    <row r="1108" spans="1:10" x14ac:dyDescent="0.25">
      <c r="A1108" s="7" t="s">
        <v>102</v>
      </c>
      <c r="B1108" s="7">
        <f t="shared" si="255"/>
        <v>2027</v>
      </c>
      <c r="C1108" s="4" t="s">
        <v>11</v>
      </c>
      <c r="D1108" s="5" t="s">
        <v>128</v>
      </c>
      <c r="E1108" s="10" t="str">
        <f t="shared" si="254"/>
        <v>PSDP'!</v>
      </c>
      <c r="F1108" s="5" t="str">
        <f t="shared" si="234"/>
        <v>C:\Users\jaime.benazar\Quorum Business Solutions\Ecopetrol Prometeo - Documents\Planning Space Implementation\3. Analysis &amp; Design\Design\FC22\DRR Jaime\QUIFA-CAJÚA\Cajua\[VAS_CAJUA_CF_SEC_20230125.xlsx]CF PSDP'!</v>
      </c>
      <c r="G1108" s="7" t="s">
        <v>37</v>
      </c>
      <c r="H1108" s="4"/>
      <c r="I1108" s="4"/>
      <c r="J1108" s="4"/>
    </row>
    <row r="1109" spans="1:10" x14ac:dyDescent="0.25">
      <c r="A1109" s="7" t="s">
        <v>102</v>
      </c>
      <c r="B1109" s="7">
        <f t="shared" si="255"/>
        <v>2028</v>
      </c>
      <c r="C1109" s="4" t="s">
        <v>11</v>
      </c>
      <c r="D1109" s="5" t="s">
        <v>128</v>
      </c>
      <c r="E1109" s="10" t="str">
        <f t="shared" si="254"/>
        <v>PSDP'!</v>
      </c>
      <c r="F1109" s="5" t="str">
        <f t="shared" si="234"/>
        <v>C:\Users\jaime.benazar\Quorum Business Solutions\Ecopetrol Prometeo - Documents\Planning Space Implementation\3. Analysis &amp; Design\Design\FC22\DRR Jaime\QUIFA-CAJÚA\Cajua\[VAS_CAJUA_CF_SEC_20230125.xlsx]CF PSDP'!</v>
      </c>
      <c r="G1109" s="7" t="s">
        <v>37</v>
      </c>
      <c r="H1109" s="4"/>
      <c r="I1109" s="4"/>
      <c r="J1109" s="4"/>
    </row>
    <row r="1110" spans="1:10" x14ac:dyDescent="0.25">
      <c r="A1110" s="7" t="s">
        <v>102</v>
      </c>
      <c r="B1110" s="7">
        <f t="shared" si="255"/>
        <v>2029</v>
      </c>
      <c r="C1110" s="4" t="s">
        <v>11</v>
      </c>
      <c r="D1110" s="5" t="s">
        <v>128</v>
      </c>
      <c r="E1110" s="10" t="str">
        <f t="shared" si="254"/>
        <v>PSDP'!</v>
      </c>
      <c r="F1110" s="5" t="str">
        <f t="shared" si="234"/>
        <v>C:\Users\jaime.benazar\Quorum Business Solutions\Ecopetrol Prometeo - Documents\Planning Space Implementation\3. Analysis &amp; Design\Design\FC22\DRR Jaime\QUIFA-CAJÚA\Cajua\[VAS_CAJUA_CF_SEC_20230125.xlsx]CF PSDP'!</v>
      </c>
      <c r="G1110" s="7" t="s">
        <v>37</v>
      </c>
      <c r="H1110" s="4"/>
      <c r="I1110" s="4"/>
      <c r="J1110" s="4"/>
    </row>
    <row r="1111" spans="1:10" x14ac:dyDescent="0.25">
      <c r="A1111" s="7" t="s">
        <v>102</v>
      </c>
      <c r="B1111" s="7">
        <f t="shared" si="255"/>
        <v>2030</v>
      </c>
      <c r="C1111" s="4" t="s">
        <v>11</v>
      </c>
      <c r="D1111" s="5" t="s">
        <v>128</v>
      </c>
      <c r="E1111" s="10" t="str">
        <f t="shared" si="254"/>
        <v>PSDP'!</v>
      </c>
      <c r="F1111" s="5" t="str">
        <f t="shared" si="234"/>
        <v>C:\Users\jaime.benazar\Quorum Business Solutions\Ecopetrol Prometeo - Documents\Planning Space Implementation\3. Analysis &amp; Design\Design\FC22\DRR Jaime\QUIFA-CAJÚA\Cajua\[VAS_CAJUA_CF_SEC_20230125.xlsx]CF PSDP'!</v>
      </c>
      <c r="G1111" s="7" t="s">
        <v>37</v>
      </c>
      <c r="H1111" s="4"/>
      <c r="I1111" s="4"/>
      <c r="J1111" s="4"/>
    </row>
    <row r="1112" spans="1:10" x14ac:dyDescent="0.25">
      <c r="A1112" s="7" t="s">
        <v>102</v>
      </c>
      <c r="B1112" s="7">
        <f t="shared" si="255"/>
        <v>2031</v>
      </c>
      <c r="C1112" s="4" t="s">
        <v>11</v>
      </c>
      <c r="D1112" s="5" t="s">
        <v>128</v>
      </c>
      <c r="E1112" s="10" t="str">
        <f t="shared" si="254"/>
        <v>PSDP'!</v>
      </c>
      <c r="F1112" s="5" t="str">
        <f t="shared" si="234"/>
        <v>C:\Users\jaime.benazar\Quorum Business Solutions\Ecopetrol Prometeo - Documents\Planning Space Implementation\3. Analysis &amp; Design\Design\FC22\DRR Jaime\QUIFA-CAJÚA\Cajua\[VAS_CAJUA_CF_SEC_20230125.xlsx]CF PSDP'!</v>
      </c>
      <c r="G1112" s="7" t="s">
        <v>37</v>
      </c>
      <c r="H1112" s="4"/>
      <c r="I1112" s="4"/>
      <c r="J1112" s="4"/>
    </row>
    <row r="1113" spans="1:10" x14ac:dyDescent="0.25">
      <c r="A1113" s="7" t="s">
        <v>102</v>
      </c>
      <c r="B1113" s="7">
        <f t="shared" si="255"/>
        <v>2032</v>
      </c>
      <c r="C1113" s="4" t="s">
        <v>11</v>
      </c>
      <c r="D1113" s="5" t="s">
        <v>128</v>
      </c>
      <c r="E1113" s="10" t="str">
        <f t="shared" si="254"/>
        <v>PSDP'!</v>
      </c>
      <c r="F1113" s="5" t="str">
        <f t="shared" ref="F1113:F1218" si="256">_xlfn.CONCAT(D1113," ",E1113)</f>
        <v>C:\Users\jaime.benazar\Quorum Business Solutions\Ecopetrol Prometeo - Documents\Planning Space Implementation\3. Analysis &amp; Design\Design\FC22\DRR Jaime\QUIFA-CAJÚA\Cajua\[VAS_CAJUA_CF_SEC_20230125.xlsx]CF PSDP'!</v>
      </c>
      <c r="G1113" s="7" t="s">
        <v>37</v>
      </c>
      <c r="H1113" s="4"/>
      <c r="I1113" s="4"/>
      <c r="J1113" s="4"/>
    </row>
    <row r="1114" spans="1:10" x14ac:dyDescent="0.25">
      <c r="A1114" s="7" t="s">
        <v>102</v>
      </c>
      <c r="B1114" s="7">
        <f t="shared" si="255"/>
        <v>2033</v>
      </c>
      <c r="C1114" s="4" t="s">
        <v>11</v>
      </c>
      <c r="D1114" s="5" t="s">
        <v>128</v>
      </c>
      <c r="E1114" s="10" t="str">
        <f t="shared" si="254"/>
        <v>PSDP'!</v>
      </c>
      <c r="F1114" s="5" t="str">
        <f t="shared" si="256"/>
        <v>C:\Users\jaime.benazar\Quorum Business Solutions\Ecopetrol Prometeo - Documents\Planning Space Implementation\3. Analysis &amp; Design\Design\FC22\DRR Jaime\QUIFA-CAJÚA\Cajua\[VAS_CAJUA_CF_SEC_20230125.xlsx]CF PSDP'!</v>
      </c>
      <c r="G1114" s="7" t="s">
        <v>37</v>
      </c>
      <c r="H1114" s="4"/>
      <c r="I1114" s="4"/>
      <c r="J1114" s="4"/>
    </row>
    <row r="1115" spans="1:10" x14ac:dyDescent="0.25">
      <c r="A1115" s="7" t="s">
        <v>102</v>
      </c>
      <c r="B1115" s="7">
        <f t="shared" si="255"/>
        <v>2034</v>
      </c>
      <c r="C1115" s="4" t="s">
        <v>11</v>
      </c>
      <c r="D1115" s="5" t="s">
        <v>128</v>
      </c>
      <c r="E1115" s="10" t="str">
        <f t="shared" si="254"/>
        <v>PSDP'!</v>
      </c>
      <c r="F1115" s="5" t="str">
        <f t="shared" si="256"/>
        <v>C:\Users\jaime.benazar\Quorum Business Solutions\Ecopetrol Prometeo - Documents\Planning Space Implementation\3. Analysis &amp; Design\Design\FC22\DRR Jaime\QUIFA-CAJÚA\Cajua\[VAS_CAJUA_CF_SEC_20230125.xlsx]CF PSDP'!</v>
      </c>
      <c r="G1115" s="7" t="s">
        <v>37</v>
      </c>
      <c r="H1115" s="4"/>
      <c r="I1115" s="4"/>
      <c r="J1115" s="4"/>
    </row>
    <row r="1116" spans="1:10" x14ac:dyDescent="0.25">
      <c r="A1116" s="7" t="s">
        <v>102</v>
      </c>
      <c r="B1116" s="7">
        <f t="shared" si="255"/>
        <v>2035</v>
      </c>
      <c r="C1116" s="4" t="s">
        <v>11</v>
      </c>
      <c r="D1116" s="5" t="s">
        <v>128</v>
      </c>
      <c r="E1116" s="10" t="str">
        <f t="shared" si="254"/>
        <v>PSDP'!</v>
      </c>
      <c r="F1116" s="5" t="str">
        <f t="shared" si="256"/>
        <v>C:\Users\jaime.benazar\Quorum Business Solutions\Ecopetrol Prometeo - Documents\Planning Space Implementation\3. Analysis &amp; Design\Design\FC22\DRR Jaime\QUIFA-CAJÚA\Cajua\[VAS_CAJUA_CF_SEC_20230125.xlsx]CF PSDP'!</v>
      </c>
      <c r="G1116" s="7" t="s">
        <v>37</v>
      </c>
      <c r="H1116" s="4"/>
      <c r="I1116" s="4"/>
      <c r="J1116" s="4"/>
    </row>
    <row r="1117" spans="1:10" x14ac:dyDescent="0.25">
      <c r="A1117" s="7" t="s">
        <v>102</v>
      </c>
      <c r="B1117" s="7">
        <f t="shared" si="255"/>
        <v>2036</v>
      </c>
      <c r="C1117" s="4" t="s">
        <v>11</v>
      </c>
      <c r="D1117" s="5" t="s">
        <v>128</v>
      </c>
      <c r="E1117" s="10" t="str">
        <f t="shared" si="254"/>
        <v>PSDP'!</v>
      </c>
      <c r="F1117" s="5" t="str">
        <f t="shared" si="256"/>
        <v>C:\Users\jaime.benazar\Quorum Business Solutions\Ecopetrol Prometeo - Documents\Planning Space Implementation\3. Analysis &amp; Design\Design\FC22\DRR Jaime\QUIFA-CAJÚA\Cajua\[VAS_CAJUA_CF_SEC_20230125.xlsx]CF PSDP'!</v>
      </c>
      <c r="G1117" s="7" t="s">
        <v>37</v>
      </c>
      <c r="H1117" s="4"/>
      <c r="I1117" s="4"/>
      <c r="J1117" s="4"/>
    </row>
    <row r="1118" spans="1:10" x14ac:dyDescent="0.25">
      <c r="A1118" s="7" t="s">
        <v>102</v>
      </c>
      <c r="B1118" s="7">
        <f>+B1117+1</f>
        <v>2037</v>
      </c>
      <c r="C1118" s="4" t="s">
        <v>11</v>
      </c>
      <c r="D1118" s="5" t="s">
        <v>128</v>
      </c>
      <c r="E1118" s="10" t="str">
        <f t="shared" si="254"/>
        <v>PSDP'!</v>
      </c>
      <c r="F1118" s="5" t="str">
        <f t="shared" si="256"/>
        <v>C:\Users\jaime.benazar\Quorum Business Solutions\Ecopetrol Prometeo - Documents\Planning Space Implementation\3. Analysis &amp; Design\Design\FC22\DRR Jaime\QUIFA-CAJÚA\Cajua\[VAS_CAJUA_CF_SEC_20230125.xlsx]CF PSDP'!</v>
      </c>
      <c r="G1118" s="7" t="s">
        <v>37</v>
      </c>
      <c r="H1118" s="4"/>
      <c r="I1118" s="4"/>
      <c r="J1118" s="4"/>
    </row>
    <row r="1119" spans="1:10" x14ac:dyDescent="0.25">
      <c r="A1119" s="7" t="s">
        <v>102</v>
      </c>
      <c r="B1119" s="7">
        <f t="shared" ref="B1119:B1121" si="257">+B1118+1</f>
        <v>2038</v>
      </c>
      <c r="C1119" s="4" t="s">
        <v>11</v>
      </c>
      <c r="D1119" s="5" t="s">
        <v>128</v>
      </c>
      <c r="E1119" s="10" t="str">
        <f t="shared" si="254"/>
        <v>PSDP'!</v>
      </c>
      <c r="F1119" s="5" t="str">
        <f t="shared" si="256"/>
        <v>C:\Users\jaime.benazar\Quorum Business Solutions\Ecopetrol Prometeo - Documents\Planning Space Implementation\3. Analysis &amp; Design\Design\FC22\DRR Jaime\QUIFA-CAJÚA\Cajua\[VAS_CAJUA_CF_SEC_20230125.xlsx]CF PSDP'!</v>
      </c>
      <c r="G1119" s="7" t="s">
        <v>37</v>
      </c>
      <c r="H1119" s="4"/>
      <c r="I1119" s="4"/>
      <c r="J1119" s="4"/>
    </row>
    <row r="1120" spans="1:10" x14ac:dyDescent="0.25">
      <c r="A1120" s="7" t="s">
        <v>102</v>
      </c>
      <c r="B1120" s="7">
        <f t="shared" si="257"/>
        <v>2039</v>
      </c>
      <c r="C1120" s="4" t="s">
        <v>11</v>
      </c>
      <c r="D1120" s="5" t="s">
        <v>128</v>
      </c>
      <c r="E1120" s="10" t="str">
        <f t="shared" si="254"/>
        <v>PSDP'!</v>
      </c>
      <c r="F1120" s="5" t="str">
        <f t="shared" si="256"/>
        <v>C:\Users\jaime.benazar\Quorum Business Solutions\Ecopetrol Prometeo - Documents\Planning Space Implementation\3. Analysis &amp; Design\Design\FC22\DRR Jaime\QUIFA-CAJÚA\Cajua\[VAS_CAJUA_CF_SEC_20230125.xlsx]CF PSDP'!</v>
      </c>
      <c r="G1120" s="7" t="s">
        <v>37</v>
      </c>
      <c r="H1120" s="4"/>
      <c r="I1120" s="4"/>
      <c r="J1120" s="4"/>
    </row>
    <row r="1121" spans="1:10" x14ac:dyDescent="0.25">
      <c r="A1121" s="7" t="s">
        <v>102</v>
      </c>
      <c r="B1121" s="7">
        <f t="shared" si="257"/>
        <v>2040</v>
      </c>
      <c r="C1121" s="4" t="s">
        <v>11</v>
      </c>
      <c r="D1121" s="5" t="s">
        <v>128</v>
      </c>
      <c r="E1121" s="10" t="str">
        <f t="shared" si="254"/>
        <v>PSDP'!</v>
      </c>
      <c r="F1121" s="5" t="str">
        <f t="shared" si="256"/>
        <v>C:\Users\jaime.benazar\Quorum Business Solutions\Ecopetrol Prometeo - Documents\Planning Space Implementation\3. Analysis &amp; Design\Design\FC22\DRR Jaime\QUIFA-CAJÚA\Cajua\[VAS_CAJUA_CF_SEC_20230125.xlsx]CF PSDP'!</v>
      </c>
      <c r="G1121" s="7" t="s">
        <v>37</v>
      </c>
      <c r="H1121" s="4"/>
      <c r="I1121" s="4"/>
      <c r="J1121" s="4"/>
    </row>
    <row r="1122" spans="1:10" x14ac:dyDescent="0.25">
      <c r="A1122" s="7" t="s">
        <v>102</v>
      </c>
      <c r="B1122" s="7">
        <f>+B1121+1</f>
        <v>2041</v>
      </c>
      <c r="C1122" s="4" t="s">
        <v>11</v>
      </c>
      <c r="D1122" s="5" t="s">
        <v>128</v>
      </c>
      <c r="E1122" s="10" t="str">
        <f t="shared" si="254"/>
        <v>PSDP'!</v>
      </c>
      <c r="F1122" s="5" t="str">
        <f t="shared" si="256"/>
        <v>C:\Users\jaime.benazar\Quorum Business Solutions\Ecopetrol Prometeo - Documents\Planning Space Implementation\3. Analysis &amp; Design\Design\FC22\DRR Jaime\QUIFA-CAJÚA\Cajua\[VAS_CAJUA_CF_SEC_20230125.xlsx]CF PSDP'!</v>
      </c>
      <c r="G1122" s="7" t="s">
        <v>37</v>
      </c>
      <c r="H1122" s="4"/>
      <c r="I1122" s="4"/>
      <c r="J1122" s="4"/>
    </row>
    <row r="1123" spans="1:10" x14ac:dyDescent="0.25">
      <c r="A1123" s="7" t="s">
        <v>102</v>
      </c>
      <c r="B1123" s="7">
        <f t="shared" ref="B1123:B1124" si="258">+B1122+1</f>
        <v>2042</v>
      </c>
      <c r="C1123" s="4" t="s">
        <v>11</v>
      </c>
      <c r="D1123" s="5" t="s">
        <v>128</v>
      </c>
      <c r="E1123" s="10" t="str">
        <f t="shared" si="254"/>
        <v>PSDP'!</v>
      </c>
      <c r="F1123" s="5" t="str">
        <f t="shared" si="256"/>
        <v>C:\Users\jaime.benazar\Quorum Business Solutions\Ecopetrol Prometeo - Documents\Planning Space Implementation\3. Analysis &amp; Design\Design\FC22\DRR Jaime\QUIFA-CAJÚA\Cajua\[VAS_CAJUA_CF_SEC_20230125.xlsx]CF PSDP'!</v>
      </c>
      <c r="G1123" s="7" t="s">
        <v>37</v>
      </c>
      <c r="H1123" s="4"/>
      <c r="I1123" s="4"/>
      <c r="J1123" s="4"/>
    </row>
    <row r="1124" spans="1:10" x14ac:dyDescent="0.25">
      <c r="A1124" s="7" t="s">
        <v>102</v>
      </c>
      <c r="B1124" s="7">
        <f t="shared" si="258"/>
        <v>2043</v>
      </c>
      <c r="C1124" s="4" t="s">
        <v>11</v>
      </c>
      <c r="D1124" s="5" t="s">
        <v>128</v>
      </c>
      <c r="E1124" s="10" t="str">
        <f t="shared" si="254"/>
        <v>PSDP'!</v>
      </c>
      <c r="F1124" s="5" t="str">
        <f t="shared" si="256"/>
        <v>C:\Users\jaime.benazar\Quorum Business Solutions\Ecopetrol Prometeo - Documents\Planning Space Implementation\3. Analysis &amp; Design\Design\FC22\DRR Jaime\QUIFA-CAJÚA\Cajua\[VAS_CAJUA_CF_SEC_20230125.xlsx]CF PSDP'!</v>
      </c>
      <c r="G1124" s="7" t="s">
        <v>37</v>
      </c>
      <c r="H1124" s="4"/>
      <c r="I1124" s="4"/>
      <c r="J1124" s="4"/>
    </row>
    <row r="1125" spans="1:10" x14ac:dyDescent="0.25">
      <c r="A1125" s="7" t="s">
        <v>102</v>
      </c>
      <c r="B1125" s="7">
        <f>+B1124+1</f>
        <v>2044</v>
      </c>
      <c r="C1125" s="4" t="s">
        <v>11</v>
      </c>
      <c r="D1125" s="5" t="s">
        <v>128</v>
      </c>
      <c r="E1125" s="10" t="str">
        <f t="shared" ref="E1125:E1140" si="259">_xlfn.CONCAT(A1125,"'!")</f>
        <v>PSDP'!</v>
      </c>
      <c r="F1125" s="5" t="str">
        <f t="shared" ref="F1125:F1140" si="260">_xlfn.CONCAT(D1125," ",E1125)</f>
        <v>C:\Users\jaime.benazar\Quorum Business Solutions\Ecopetrol Prometeo - Documents\Planning Space Implementation\3. Analysis &amp; Design\Design\FC22\DRR Jaime\QUIFA-CAJÚA\Cajua\[VAS_CAJUA_CF_SEC_20230125.xlsx]CF PSDP'!</v>
      </c>
      <c r="G1125" s="7" t="s">
        <v>37</v>
      </c>
      <c r="H1125" s="4"/>
      <c r="I1125" s="4"/>
      <c r="J1125" s="4"/>
    </row>
    <row r="1126" spans="1:10" x14ac:dyDescent="0.25">
      <c r="A1126" s="7" t="s">
        <v>102</v>
      </c>
      <c r="B1126" s="7">
        <f t="shared" ref="B1126:B1140" si="261">+B1125+1</f>
        <v>2045</v>
      </c>
      <c r="C1126" s="4" t="s">
        <v>11</v>
      </c>
      <c r="D1126" s="5" t="s">
        <v>128</v>
      </c>
      <c r="E1126" s="10" t="str">
        <f t="shared" si="259"/>
        <v>PSDP'!</v>
      </c>
      <c r="F1126" s="5" t="str">
        <f t="shared" si="260"/>
        <v>C:\Users\jaime.benazar\Quorum Business Solutions\Ecopetrol Prometeo - Documents\Planning Space Implementation\3. Analysis &amp; Design\Design\FC22\DRR Jaime\QUIFA-CAJÚA\Cajua\[VAS_CAJUA_CF_SEC_20230125.xlsx]CF PSDP'!</v>
      </c>
      <c r="G1126" s="7" t="s">
        <v>37</v>
      </c>
      <c r="H1126" s="4"/>
      <c r="I1126" s="4"/>
      <c r="J1126" s="4"/>
    </row>
    <row r="1127" spans="1:10" x14ac:dyDescent="0.25">
      <c r="A1127" s="7" t="s">
        <v>102</v>
      </c>
      <c r="B1127" s="7">
        <f t="shared" si="261"/>
        <v>2046</v>
      </c>
      <c r="C1127" s="4" t="s">
        <v>11</v>
      </c>
      <c r="D1127" s="5" t="s">
        <v>128</v>
      </c>
      <c r="E1127" s="10" t="str">
        <f t="shared" si="259"/>
        <v>PSDP'!</v>
      </c>
      <c r="F1127" s="5" t="str">
        <f t="shared" si="260"/>
        <v>C:\Users\jaime.benazar\Quorum Business Solutions\Ecopetrol Prometeo - Documents\Planning Space Implementation\3. Analysis &amp; Design\Design\FC22\DRR Jaime\QUIFA-CAJÚA\Cajua\[VAS_CAJUA_CF_SEC_20230125.xlsx]CF PSDP'!</v>
      </c>
      <c r="G1127" s="7" t="s">
        <v>37</v>
      </c>
      <c r="H1127" s="4"/>
      <c r="I1127" s="4"/>
      <c r="J1127" s="4"/>
    </row>
    <row r="1128" spans="1:10" x14ac:dyDescent="0.25">
      <c r="A1128" s="7" t="s">
        <v>102</v>
      </c>
      <c r="B1128" s="7">
        <f t="shared" si="261"/>
        <v>2047</v>
      </c>
      <c r="C1128" s="4" t="s">
        <v>11</v>
      </c>
      <c r="D1128" s="5" t="s">
        <v>128</v>
      </c>
      <c r="E1128" s="10" t="str">
        <f t="shared" si="259"/>
        <v>PSDP'!</v>
      </c>
      <c r="F1128" s="5" t="str">
        <f t="shared" si="260"/>
        <v>C:\Users\jaime.benazar\Quorum Business Solutions\Ecopetrol Prometeo - Documents\Planning Space Implementation\3. Analysis &amp; Design\Design\FC22\DRR Jaime\QUIFA-CAJÚA\Cajua\[VAS_CAJUA_CF_SEC_20230125.xlsx]CF PSDP'!</v>
      </c>
      <c r="G1128" s="7" t="s">
        <v>37</v>
      </c>
      <c r="H1128" s="4"/>
      <c r="I1128" s="4"/>
      <c r="J1128" s="4"/>
    </row>
    <row r="1129" spans="1:10" x14ac:dyDescent="0.25">
      <c r="A1129" s="7" t="s">
        <v>102</v>
      </c>
      <c r="B1129" s="7">
        <f t="shared" si="261"/>
        <v>2048</v>
      </c>
      <c r="C1129" s="4" t="s">
        <v>11</v>
      </c>
      <c r="D1129" s="5" t="s">
        <v>128</v>
      </c>
      <c r="E1129" s="10" t="str">
        <f t="shared" si="259"/>
        <v>PSDP'!</v>
      </c>
      <c r="F1129" s="5" t="str">
        <f t="shared" si="260"/>
        <v>C:\Users\jaime.benazar\Quorum Business Solutions\Ecopetrol Prometeo - Documents\Planning Space Implementation\3. Analysis &amp; Design\Design\FC22\DRR Jaime\QUIFA-CAJÚA\Cajua\[VAS_CAJUA_CF_SEC_20230125.xlsx]CF PSDP'!</v>
      </c>
      <c r="G1129" s="7" t="s">
        <v>37</v>
      </c>
      <c r="H1129" s="4"/>
      <c r="I1129" s="4"/>
      <c r="J1129" s="4"/>
    </row>
    <row r="1130" spans="1:10" x14ac:dyDescent="0.25">
      <c r="A1130" s="7" t="s">
        <v>102</v>
      </c>
      <c r="B1130" s="7">
        <f t="shared" si="261"/>
        <v>2049</v>
      </c>
      <c r="C1130" s="4" t="s">
        <v>11</v>
      </c>
      <c r="D1130" s="5" t="s">
        <v>128</v>
      </c>
      <c r="E1130" s="10" t="str">
        <f t="shared" si="259"/>
        <v>PSDP'!</v>
      </c>
      <c r="F1130" s="5" t="str">
        <f t="shared" si="260"/>
        <v>C:\Users\jaime.benazar\Quorum Business Solutions\Ecopetrol Prometeo - Documents\Planning Space Implementation\3. Analysis &amp; Design\Design\FC22\DRR Jaime\QUIFA-CAJÚA\Cajua\[VAS_CAJUA_CF_SEC_20230125.xlsx]CF PSDP'!</v>
      </c>
      <c r="G1130" s="7" t="s">
        <v>37</v>
      </c>
      <c r="H1130" s="4"/>
      <c r="I1130" s="4"/>
      <c r="J1130" s="4"/>
    </row>
    <row r="1131" spans="1:10" x14ac:dyDescent="0.25">
      <c r="A1131" s="7" t="s">
        <v>102</v>
      </c>
      <c r="B1131" s="7">
        <f t="shared" si="261"/>
        <v>2050</v>
      </c>
      <c r="C1131" s="4" t="s">
        <v>11</v>
      </c>
      <c r="D1131" s="5" t="s">
        <v>128</v>
      </c>
      <c r="E1131" s="10" t="str">
        <f t="shared" si="259"/>
        <v>PSDP'!</v>
      </c>
      <c r="F1131" s="5" t="str">
        <f t="shared" si="260"/>
        <v>C:\Users\jaime.benazar\Quorum Business Solutions\Ecopetrol Prometeo - Documents\Planning Space Implementation\3. Analysis &amp; Design\Design\FC22\DRR Jaime\QUIFA-CAJÚA\Cajua\[VAS_CAJUA_CF_SEC_20230125.xlsx]CF PSDP'!</v>
      </c>
      <c r="G1131" s="7" t="s">
        <v>37</v>
      </c>
      <c r="H1131" s="4"/>
      <c r="I1131" s="4"/>
      <c r="J1131" s="4"/>
    </row>
    <row r="1132" spans="1:10" x14ac:dyDescent="0.25">
      <c r="A1132" s="7" t="s">
        <v>102</v>
      </c>
      <c r="B1132" s="7">
        <f t="shared" si="261"/>
        <v>2051</v>
      </c>
      <c r="C1132" s="4" t="s">
        <v>11</v>
      </c>
      <c r="D1132" s="5" t="s">
        <v>128</v>
      </c>
      <c r="E1132" s="10" t="str">
        <f t="shared" si="259"/>
        <v>PSDP'!</v>
      </c>
      <c r="F1132" s="5" t="str">
        <f t="shared" si="260"/>
        <v>C:\Users\jaime.benazar\Quorum Business Solutions\Ecopetrol Prometeo - Documents\Planning Space Implementation\3. Analysis &amp; Design\Design\FC22\DRR Jaime\QUIFA-CAJÚA\Cajua\[VAS_CAJUA_CF_SEC_20230125.xlsx]CF PSDP'!</v>
      </c>
      <c r="G1132" s="7" t="s">
        <v>37</v>
      </c>
      <c r="H1132" s="4"/>
      <c r="I1132" s="4"/>
      <c r="J1132" s="4"/>
    </row>
    <row r="1133" spans="1:10" x14ac:dyDescent="0.25">
      <c r="A1133" s="7" t="s">
        <v>102</v>
      </c>
      <c r="B1133" s="7">
        <f t="shared" si="261"/>
        <v>2052</v>
      </c>
      <c r="C1133" s="4" t="s">
        <v>11</v>
      </c>
      <c r="D1133" s="5" t="s">
        <v>128</v>
      </c>
      <c r="E1133" s="10" t="str">
        <f t="shared" si="259"/>
        <v>PSDP'!</v>
      </c>
      <c r="F1133" s="5" t="str">
        <f t="shared" si="260"/>
        <v>C:\Users\jaime.benazar\Quorum Business Solutions\Ecopetrol Prometeo - Documents\Planning Space Implementation\3. Analysis &amp; Design\Design\FC22\DRR Jaime\QUIFA-CAJÚA\Cajua\[VAS_CAJUA_CF_SEC_20230125.xlsx]CF PSDP'!</v>
      </c>
      <c r="G1133" s="7" t="s">
        <v>37</v>
      </c>
      <c r="H1133" s="4"/>
      <c r="I1133" s="4"/>
      <c r="J1133" s="4"/>
    </row>
    <row r="1134" spans="1:10" x14ac:dyDescent="0.25">
      <c r="A1134" s="7" t="s">
        <v>102</v>
      </c>
      <c r="B1134" s="7">
        <f t="shared" si="261"/>
        <v>2053</v>
      </c>
      <c r="C1134" s="4" t="s">
        <v>11</v>
      </c>
      <c r="D1134" s="5" t="s">
        <v>128</v>
      </c>
      <c r="E1134" s="10" t="str">
        <f t="shared" si="259"/>
        <v>PSDP'!</v>
      </c>
      <c r="F1134" s="5" t="str">
        <f t="shared" si="260"/>
        <v>C:\Users\jaime.benazar\Quorum Business Solutions\Ecopetrol Prometeo - Documents\Planning Space Implementation\3. Analysis &amp; Design\Design\FC22\DRR Jaime\QUIFA-CAJÚA\Cajua\[VAS_CAJUA_CF_SEC_20230125.xlsx]CF PSDP'!</v>
      </c>
      <c r="G1134" s="7" t="s">
        <v>37</v>
      </c>
      <c r="H1134" s="4"/>
      <c r="I1134" s="4"/>
      <c r="J1134" s="4"/>
    </row>
    <row r="1135" spans="1:10" x14ac:dyDescent="0.25">
      <c r="A1135" s="7" t="s">
        <v>102</v>
      </c>
      <c r="B1135" s="7">
        <f t="shared" si="261"/>
        <v>2054</v>
      </c>
      <c r="C1135" s="4" t="s">
        <v>11</v>
      </c>
      <c r="D1135" s="5" t="s">
        <v>128</v>
      </c>
      <c r="E1135" s="10" t="str">
        <f t="shared" si="259"/>
        <v>PSDP'!</v>
      </c>
      <c r="F1135" s="5" t="str">
        <f t="shared" si="260"/>
        <v>C:\Users\jaime.benazar\Quorum Business Solutions\Ecopetrol Prometeo - Documents\Planning Space Implementation\3. Analysis &amp; Design\Design\FC22\DRR Jaime\QUIFA-CAJÚA\Cajua\[VAS_CAJUA_CF_SEC_20230125.xlsx]CF PSDP'!</v>
      </c>
      <c r="G1135" s="7" t="s">
        <v>37</v>
      </c>
      <c r="H1135" s="4"/>
      <c r="I1135" s="4"/>
      <c r="J1135" s="4"/>
    </row>
    <row r="1136" spans="1:10" x14ac:dyDescent="0.25">
      <c r="A1136" s="7" t="s">
        <v>102</v>
      </c>
      <c r="B1136" s="7">
        <f t="shared" si="261"/>
        <v>2055</v>
      </c>
      <c r="C1136" s="4" t="s">
        <v>11</v>
      </c>
      <c r="D1136" s="5" t="s">
        <v>128</v>
      </c>
      <c r="E1136" s="10" t="str">
        <f t="shared" si="259"/>
        <v>PSDP'!</v>
      </c>
      <c r="F1136" s="5" t="str">
        <f t="shared" si="260"/>
        <v>C:\Users\jaime.benazar\Quorum Business Solutions\Ecopetrol Prometeo - Documents\Planning Space Implementation\3. Analysis &amp; Design\Design\FC22\DRR Jaime\QUIFA-CAJÚA\Cajua\[VAS_CAJUA_CF_SEC_20230125.xlsx]CF PSDP'!</v>
      </c>
      <c r="G1136" s="7" t="s">
        <v>37</v>
      </c>
      <c r="H1136" s="4"/>
      <c r="I1136" s="4"/>
      <c r="J1136" s="4"/>
    </row>
    <row r="1137" spans="1:10" x14ac:dyDescent="0.25">
      <c r="A1137" s="7" t="s">
        <v>102</v>
      </c>
      <c r="B1137" s="7">
        <f t="shared" si="261"/>
        <v>2056</v>
      </c>
      <c r="C1137" s="4" t="s">
        <v>11</v>
      </c>
      <c r="D1137" s="5" t="s">
        <v>128</v>
      </c>
      <c r="E1137" s="10" t="str">
        <f t="shared" si="259"/>
        <v>PSDP'!</v>
      </c>
      <c r="F1137" s="5" t="str">
        <f t="shared" si="260"/>
        <v>C:\Users\jaime.benazar\Quorum Business Solutions\Ecopetrol Prometeo - Documents\Planning Space Implementation\3. Analysis &amp; Design\Design\FC22\DRR Jaime\QUIFA-CAJÚA\Cajua\[VAS_CAJUA_CF_SEC_20230125.xlsx]CF PSDP'!</v>
      </c>
      <c r="G1137" s="7" t="s">
        <v>37</v>
      </c>
      <c r="H1137" s="4"/>
      <c r="I1137" s="4"/>
      <c r="J1137" s="4"/>
    </row>
    <row r="1138" spans="1:10" x14ac:dyDescent="0.25">
      <c r="A1138" s="7" t="s">
        <v>102</v>
      </c>
      <c r="B1138" s="7">
        <f t="shared" si="261"/>
        <v>2057</v>
      </c>
      <c r="C1138" s="4" t="s">
        <v>11</v>
      </c>
      <c r="D1138" s="5" t="s">
        <v>128</v>
      </c>
      <c r="E1138" s="10" t="str">
        <f t="shared" si="259"/>
        <v>PSDP'!</v>
      </c>
      <c r="F1138" s="5" t="str">
        <f t="shared" si="260"/>
        <v>C:\Users\jaime.benazar\Quorum Business Solutions\Ecopetrol Prometeo - Documents\Planning Space Implementation\3. Analysis &amp; Design\Design\FC22\DRR Jaime\QUIFA-CAJÚA\Cajua\[VAS_CAJUA_CF_SEC_20230125.xlsx]CF PSDP'!</v>
      </c>
      <c r="G1138" s="7" t="s">
        <v>37</v>
      </c>
      <c r="H1138" s="4"/>
      <c r="I1138" s="4"/>
      <c r="J1138" s="4"/>
    </row>
    <row r="1139" spans="1:10" x14ac:dyDescent="0.25">
      <c r="A1139" s="7" t="s">
        <v>102</v>
      </c>
      <c r="B1139" s="7">
        <f t="shared" si="261"/>
        <v>2058</v>
      </c>
      <c r="C1139" s="4" t="s">
        <v>11</v>
      </c>
      <c r="D1139" s="5" t="s">
        <v>128</v>
      </c>
      <c r="E1139" s="10" t="str">
        <f t="shared" si="259"/>
        <v>PSDP'!</v>
      </c>
      <c r="F1139" s="5" t="str">
        <f t="shared" si="260"/>
        <v>C:\Users\jaime.benazar\Quorum Business Solutions\Ecopetrol Prometeo - Documents\Planning Space Implementation\3. Analysis &amp; Design\Design\FC22\DRR Jaime\QUIFA-CAJÚA\Cajua\[VAS_CAJUA_CF_SEC_20230125.xlsx]CF PSDP'!</v>
      </c>
      <c r="G1139" s="7" t="s">
        <v>37</v>
      </c>
      <c r="H1139" s="4"/>
      <c r="I1139" s="4"/>
      <c r="J1139" s="4"/>
    </row>
    <row r="1140" spans="1:10" x14ac:dyDescent="0.25">
      <c r="A1140" s="7" t="s">
        <v>102</v>
      </c>
      <c r="B1140" s="7">
        <f t="shared" si="261"/>
        <v>2059</v>
      </c>
      <c r="C1140" s="4" t="s">
        <v>11</v>
      </c>
      <c r="D1140" s="5" t="s">
        <v>128</v>
      </c>
      <c r="E1140" s="10" t="str">
        <f t="shared" si="259"/>
        <v>PSDP'!</v>
      </c>
      <c r="F1140" s="5" t="str">
        <f t="shared" si="260"/>
        <v>C:\Users\jaime.benazar\Quorum Business Solutions\Ecopetrol Prometeo - Documents\Planning Space Implementation\3. Analysis &amp; Design\Design\FC22\DRR Jaime\QUIFA-CAJÚA\Cajua\[VAS_CAJUA_CF_SEC_20230125.xlsx]CF PSDP'!</v>
      </c>
      <c r="G1140" s="7" t="s">
        <v>37</v>
      </c>
      <c r="H1140" s="4"/>
      <c r="I1140" s="4"/>
      <c r="J1140" s="4"/>
    </row>
    <row r="1141" spans="1:10" x14ac:dyDescent="0.25">
      <c r="A1141" s="7" t="s">
        <v>28</v>
      </c>
      <c r="B1141" s="7"/>
      <c r="C1141" s="4" t="s">
        <v>11</v>
      </c>
      <c r="D1141" s="5"/>
      <c r="E1141" s="10"/>
      <c r="F1141" s="5" t="str">
        <f t="shared" si="256"/>
        <v xml:space="preserve"> </v>
      </c>
      <c r="G1141" s="7"/>
      <c r="H1141" s="4"/>
      <c r="I1141" s="4"/>
      <c r="J1141" s="4"/>
    </row>
    <row r="1142" spans="1:10" x14ac:dyDescent="0.25">
      <c r="A1142" s="7" t="s">
        <v>103</v>
      </c>
      <c r="B1142" s="7">
        <v>2023</v>
      </c>
      <c r="C1142" s="4" t="s">
        <v>11</v>
      </c>
      <c r="D1142" s="5" t="s">
        <v>128</v>
      </c>
      <c r="E1142" s="10" t="str">
        <f t="shared" ref="E1142:E1162" si="262">_xlfn.CONCAT(A1142,"'!")</f>
        <v>PSNP'!</v>
      </c>
      <c r="F1142" s="5" t="str">
        <f t="shared" si="256"/>
        <v>C:\Users\jaime.benazar\Quorum Business Solutions\Ecopetrol Prometeo - Documents\Planning Space Implementation\3. Analysis &amp; Design\Design\FC22\DRR Jaime\QUIFA-CAJÚA\Cajua\[VAS_CAJUA_CF_SEC_20230125.xlsx]CF PSNP'!</v>
      </c>
      <c r="G1142" s="7" t="s">
        <v>37</v>
      </c>
      <c r="H1142" s="4"/>
      <c r="I1142" s="4"/>
      <c r="J1142" s="4"/>
    </row>
    <row r="1143" spans="1:10" x14ac:dyDescent="0.25">
      <c r="A1143" s="7" t="s">
        <v>103</v>
      </c>
      <c r="B1143" s="7">
        <f>+B1142+1</f>
        <v>2024</v>
      </c>
      <c r="C1143" s="4" t="s">
        <v>11</v>
      </c>
      <c r="D1143" s="5" t="s">
        <v>128</v>
      </c>
      <c r="E1143" s="10" t="str">
        <f t="shared" si="262"/>
        <v>PSNP'!</v>
      </c>
      <c r="F1143" s="5" t="str">
        <f t="shared" si="256"/>
        <v>C:\Users\jaime.benazar\Quorum Business Solutions\Ecopetrol Prometeo - Documents\Planning Space Implementation\3. Analysis &amp; Design\Design\FC22\DRR Jaime\QUIFA-CAJÚA\Cajua\[VAS_CAJUA_CF_SEC_20230125.xlsx]CF PSNP'!</v>
      </c>
      <c r="G1143" s="7" t="s">
        <v>37</v>
      </c>
      <c r="H1143" s="4"/>
      <c r="I1143" s="4"/>
      <c r="J1143" s="4"/>
    </row>
    <row r="1144" spans="1:10" x14ac:dyDescent="0.25">
      <c r="A1144" s="7" t="s">
        <v>103</v>
      </c>
      <c r="B1144" s="7">
        <f t="shared" ref="B1144:B1155" si="263">+B1143+1</f>
        <v>2025</v>
      </c>
      <c r="C1144" s="4" t="s">
        <v>11</v>
      </c>
      <c r="D1144" s="5" t="s">
        <v>128</v>
      </c>
      <c r="E1144" s="10" t="str">
        <f t="shared" si="262"/>
        <v>PSNP'!</v>
      </c>
      <c r="F1144" s="5" t="str">
        <f t="shared" si="256"/>
        <v>C:\Users\jaime.benazar\Quorum Business Solutions\Ecopetrol Prometeo - Documents\Planning Space Implementation\3. Analysis &amp; Design\Design\FC22\DRR Jaime\QUIFA-CAJÚA\Cajua\[VAS_CAJUA_CF_SEC_20230125.xlsx]CF PSNP'!</v>
      </c>
      <c r="G1144" s="7" t="s">
        <v>37</v>
      </c>
      <c r="H1144" s="4"/>
      <c r="I1144" s="4"/>
      <c r="J1144" s="4"/>
    </row>
    <row r="1145" spans="1:10" x14ac:dyDescent="0.25">
      <c r="A1145" s="7" t="s">
        <v>103</v>
      </c>
      <c r="B1145" s="7">
        <f t="shared" si="263"/>
        <v>2026</v>
      </c>
      <c r="C1145" s="4" t="s">
        <v>11</v>
      </c>
      <c r="D1145" s="5" t="s">
        <v>128</v>
      </c>
      <c r="E1145" s="10" t="str">
        <f t="shared" si="262"/>
        <v>PSNP'!</v>
      </c>
      <c r="F1145" s="5" t="str">
        <f t="shared" si="256"/>
        <v>C:\Users\jaime.benazar\Quorum Business Solutions\Ecopetrol Prometeo - Documents\Planning Space Implementation\3. Analysis &amp; Design\Design\FC22\DRR Jaime\QUIFA-CAJÚA\Cajua\[VAS_CAJUA_CF_SEC_20230125.xlsx]CF PSNP'!</v>
      </c>
      <c r="G1145" s="7" t="s">
        <v>37</v>
      </c>
      <c r="H1145" s="4"/>
      <c r="I1145" s="4"/>
      <c r="J1145" s="4"/>
    </row>
    <row r="1146" spans="1:10" x14ac:dyDescent="0.25">
      <c r="A1146" s="7" t="s">
        <v>103</v>
      </c>
      <c r="B1146" s="7">
        <f t="shared" si="263"/>
        <v>2027</v>
      </c>
      <c r="C1146" s="4" t="s">
        <v>11</v>
      </c>
      <c r="D1146" s="5" t="s">
        <v>128</v>
      </c>
      <c r="E1146" s="10" t="str">
        <f t="shared" si="262"/>
        <v>PSNP'!</v>
      </c>
      <c r="F1146" s="5" t="str">
        <f t="shared" si="256"/>
        <v>C:\Users\jaime.benazar\Quorum Business Solutions\Ecopetrol Prometeo - Documents\Planning Space Implementation\3. Analysis &amp; Design\Design\FC22\DRR Jaime\QUIFA-CAJÚA\Cajua\[VAS_CAJUA_CF_SEC_20230125.xlsx]CF PSNP'!</v>
      </c>
      <c r="G1146" s="7" t="s">
        <v>37</v>
      </c>
      <c r="H1146" s="4"/>
      <c r="I1146" s="4"/>
      <c r="J1146" s="4"/>
    </row>
    <row r="1147" spans="1:10" x14ac:dyDescent="0.25">
      <c r="A1147" s="7" t="s">
        <v>103</v>
      </c>
      <c r="B1147" s="7">
        <f t="shared" si="263"/>
        <v>2028</v>
      </c>
      <c r="C1147" s="4" t="s">
        <v>11</v>
      </c>
      <c r="D1147" s="5" t="s">
        <v>128</v>
      </c>
      <c r="E1147" s="10" t="str">
        <f t="shared" si="262"/>
        <v>PSNP'!</v>
      </c>
      <c r="F1147" s="5" t="str">
        <f t="shared" si="256"/>
        <v>C:\Users\jaime.benazar\Quorum Business Solutions\Ecopetrol Prometeo - Documents\Planning Space Implementation\3. Analysis &amp; Design\Design\FC22\DRR Jaime\QUIFA-CAJÚA\Cajua\[VAS_CAJUA_CF_SEC_20230125.xlsx]CF PSNP'!</v>
      </c>
      <c r="G1147" s="7" t="s">
        <v>37</v>
      </c>
      <c r="H1147" s="4"/>
      <c r="I1147" s="4"/>
      <c r="J1147" s="4"/>
    </row>
    <row r="1148" spans="1:10" x14ac:dyDescent="0.25">
      <c r="A1148" s="7" t="s">
        <v>103</v>
      </c>
      <c r="B1148" s="7">
        <f t="shared" si="263"/>
        <v>2029</v>
      </c>
      <c r="C1148" s="4" t="s">
        <v>11</v>
      </c>
      <c r="D1148" s="5" t="s">
        <v>128</v>
      </c>
      <c r="E1148" s="10" t="str">
        <f t="shared" si="262"/>
        <v>PSNP'!</v>
      </c>
      <c r="F1148" s="5" t="str">
        <f t="shared" si="256"/>
        <v>C:\Users\jaime.benazar\Quorum Business Solutions\Ecopetrol Prometeo - Documents\Planning Space Implementation\3. Analysis &amp; Design\Design\FC22\DRR Jaime\QUIFA-CAJÚA\Cajua\[VAS_CAJUA_CF_SEC_20230125.xlsx]CF PSNP'!</v>
      </c>
      <c r="G1148" s="7" t="s">
        <v>37</v>
      </c>
      <c r="H1148" s="4"/>
      <c r="I1148" s="4"/>
      <c r="J1148" s="4"/>
    </row>
    <row r="1149" spans="1:10" x14ac:dyDescent="0.25">
      <c r="A1149" s="7" t="s">
        <v>103</v>
      </c>
      <c r="B1149" s="7">
        <f t="shared" si="263"/>
        <v>2030</v>
      </c>
      <c r="C1149" s="4" t="s">
        <v>11</v>
      </c>
      <c r="D1149" s="5" t="s">
        <v>128</v>
      </c>
      <c r="E1149" s="10" t="str">
        <f t="shared" si="262"/>
        <v>PSNP'!</v>
      </c>
      <c r="F1149" s="5" t="str">
        <f t="shared" si="256"/>
        <v>C:\Users\jaime.benazar\Quorum Business Solutions\Ecopetrol Prometeo - Documents\Planning Space Implementation\3. Analysis &amp; Design\Design\FC22\DRR Jaime\QUIFA-CAJÚA\Cajua\[VAS_CAJUA_CF_SEC_20230125.xlsx]CF PSNP'!</v>
      </c>
      <c r="G1149" s="7" t="s">
        <v>37</v>
      </c>
      <c r="H1149" s="4"/>
      <c r="I1149" s="4"/>
      <c r="J1149" s="4"/>
    </row>
    <row r="1150" spans="1:10" x14ac:dyDescent="0.25">
      <c r="A1150" s="7" t="s">
        <v>103</v>
      </c>
      <c r="B1150" s="7">
        <f t="shared" si="263"/>
        <v>2031</v>
      </c>
      <c r="C1150" s="4" t="s">
        <v>11</v>
      </c>
      <c r="D1150" s="5" t="s">
        <v>128</v>
      </c>
      <c r="E1150" s="10" t="str">
        <f t="shared" si="262"/>
        <v>PSNP'!</v>
      </c>
      <c r="F1150" s="5" t="str">
        <f t="shared" si="256"/>
        <v>C:\Users\jaime.benazar\Quorum Business Solutions\Ecopetrol Prometeo - Documents\Planning Space Implementation\3. Analysis &amp; Design\Design\FC22\DRR Jaime\QUIFA-CAJÚA\Cajua\[VAS_CAJUA_CF_SEC_20230125.xlsx]CF PSNP'!</v>
      </c>
      <c r="G1150" s="7" t="s">
        <v>37</v>
      </c>
      <c r="H1150" s="4"/>
      <c r="I1150" s="4"/>
      <c r="J1150" s="4"/>
    </row>
    <row r="1151" spans="1:10" x14ac:dyDescent="0.25">
      <c r="A1151" s="7" t="s">
        <v>103</v>
      </c>
      <c r="B1151" s="7">
        <f t="shared" si="263"/>
        <v>2032</v>
      </c>
      <c r="C1151" s="4" t="s">
        <v>11</v>
      </c>
      <c r="D1151" s="5" t="s">
        <v>128</v>
      </c>
      <c r="E1151" s="10" t="str">
        <f t="shared" si="262"/>
        <v>PSNP'!</v>
      </c>
      <c r="F1151" s="5" t="str">
        <f t="shared" si="256"/>
        <v>C:\Users\jaime.benazar\Quorum Business Solutions\Ecopetrol Prometeo - Documents\Planning Space Implementation\3. Analysis &amp; Design\Design\FC22\DRR Jaime\QUIFA-CAJÚA\Cajua\[VAS_CAJUA_CF_SEC_20230125.xlsx]CF PSNP'!</v>
      </c>
      <c r="G1151" s="7" t="s">
        <v>37</v>
      </c>
      <c r="H1151" s="4"/>
      <c r="I1151" s="4"/>
      <c r="J1151" s="4"/>
    </row>
    <row r="1152" spans="1:10" x14ac:dyDescent="0.25">
      <c r="A1152" s="7" t="s">
        <v>103</v>
      </c>
      <c r="B1152" s="7">
        <f t="shared" si="263"/>
        <v>2033</v>
      </c>
      <c r="C1152" s="4" t="s">
        <v>11</v>
      </c>
      <c r="D1152" s="5" t="s">
        <v>128</v>
      </c>
      <c r="E1152" s="10" t="str">
        <f t="shared" si="262"/>
        <v>PSNP'!</v>
      </c>
      <c r="F1152" s="5" t="str">
        <f t="shared" si="256"/>
        <v>C:\Users\jaime.benazar\Quorum Business Solutions\Ecopetrol Prometeo - Documents\Planning Space Implementation\3. Analysis &amp; Design\Design\FC22\DRR Jaime\QUIFA-CAJÚA\Cajua\[VAS_CAJUA_CF_SEC_20230125.xlsx]CF PSNP'!</v>
      </c>
      <c r="G1152" s="7" t="s">
        <v>37</v>
      </c>
      <c r="H1152" s="4"/>
      <c r="I1152" s="4"/>
      <c r="J1152" s="4"/>
    </row>
    <row r="1153" spans="1:10" x14ac:dyDescent="0.25">
      <c r="A1153" s="7" t="s">
        <v>103</v>
      </c>
      <c r="B1153" s="7">
        <f t="shared" si="263"/>
        <v>2034</v>
      </c>
      <c r="C1153" s="4" t="s">
        <v>11</v>
      </c>
      <c r="D1153" s="5" t="s">
        <v>128</v>
      </c>
      <c r="E1153" s="10" t="str">
        <f t="shared" si="262"/>
        <v>PSNP'!</v>
      </c>
      <c r="F1153" s="5" t="str">
        <f t="shared" si="256"/>
        <v>C:\Users\jaime.benazar\Quorum Business Solutions\Ecopetrol Prometeo - Documents\Planning Space Implementation\3. Analysis &amp; Design\Design\FC22\DRR Jaime\QUIFA-CAJÚA\Cajua\[VAS_CAJUA_CF_SEC_20230125.xlsx]CF PSNP'!</v>
      </c>
      <c r="G1153" s="7" t="s">
        <v>37</v>
      </c>
      <c r="H1153" s="4"/>
      <c r="I1153" s="4"/>
      <c r="J1153" s="4"/>
    </row>
    <row r="1154" spans="1:10" x14ac:dyDescent="0.25">
      <c r="A1154" s="7" t="s">
        <v>103</v>
      </c>
      <c r="B1154" s="7">
        <f t="shared" si="263"/>
        <v>2035</v>
      </c>
      <c r="C1154" s="4" t="s">
        <v>11</v>
      </c>
      <c r="D1154" s="5" t="s">
        <v>128</v>
      </c>
      <c r="E1154" s="10" t="str">
        <f t="shared" si="262"/>
        <v>PSNP'!</v>
      </c>
      <c r="F1154" s="5" t="str">
        <f t="shared" si="256"/>
        <v>C:\Users\jaime.benazar\Quorum Business Solutions\Ecopetrol Prometeo - Documents\Planning Space Implementation\3. Analysis &amp; Design\Design\FC22\DRR Jaime\QUIFA-CAJÚA\Cajua\[VAS_CAJUA_CF_SEC_20230125.xlsx]CF PSNP'!</v>
      </c>
      <c r="G1154" s="7" t="s">
        <v>37</v>
      </c>
      <c r="H1154" s="4"/>
      <c r="I1154" s="4"/>
      <c r="J1154" s="4"/>
    </row>
    <row r="1155" spans="1:10" x14ac:dyDescent="0.25">
      <c r="A1155" s="7" t="s">
        <v>103</v>
      </c>
      <c r="B1155" s="7">
        <f t="shared" si="263"/>
        <v>2036</v>
      </c>
      <c r="C1155" s="4" t="s">
        <v>11</v>
      </c>
      <c r="D1155" s="5" t="s">
        <v>128</v>
      </c>
      <c r="E1155" s="10" t="str">
        <f t="shared" si="262"/>
        <v>PSNP'!</v>
      </c>
      <c r="F1155" s="5" t="str">
        <f t="shared" si="256"/>
        <v>C:\Users\jaime.benazar\Quorum Business Solutions\Ecopetrol Prometeo - Documents\Planning Space Implementation\3. Analysis &amp; Design\Design\FC22\DRR Jaime\QUIFA-CAJÚA\Cajua\[VAS_CAJUA_CF_SEC_20230125.xlsx]CF PSNP'!</v>
      </c>
      <c r="G1155" s="7" t="s">
        <v>37</v>
      </c>
      <c r="H1155" s="4"/>
      <c r="I1155" s="4"/>
      <c r="J1155" s="4"/>
    </row>
    <row r="1156" spans="1:10" x14ac:dyDescent="0.25">
      <c r="A1156" s="7" t="s">
        <v>103</v>
      </c>
      <c r="B1156" s="7">
        <f>+B1155+1</f>
        <v>2037</v>
      </c>
      <c r="C1156" s="4" t="s">
        <v>11</v>
      </c>
      <c r="D1156" s="5" t="s">
        <v>128</v>
      </c>
      <c r="E1156" s="10" t="str">
        <f t="shared" si="262"/>
        <v>PSNP'!</v>
      </c>
      <c r="F1156" s="5" t="str">
        <f t="shared" si="256"/>
        <v>C:\Users\jaime.benazar\Quorum Business Solutions\Ecopetrol Prometeo - Documents\Planning Space Implementation\3. Analysis &amp; Design\Design\FC22\DRR Jaime\QUIFA-CAJÚA\Cajua\[VAS_CAJUA_CF_SEC_20230125.xlsx]CF PSNP'!</v>
      </c>
      <c r="G1156" s="7" t="s">
        <v>37</v>
      </c>
      <c r="H1156" s="4"/>
      <c r="I1156" s="4"/>
      <c r="J1156" s="4"/>
    </row>
    <row r="1157" spans="1:10" x14ac:dyDescent="0.25">
      <c r="A1157" s="7" t="s">
        <v>103</v>
      </c>
      <c r="B1157" s="7">
        <f t="shared" ref="B1157:B1159" si="264">+B1156+1</f>
        <v>2038</v>
      </c>
      <c r="C1157" s="4" t="s">
        <v>11</v>
      </c>
      <c r="D1157" s="5" t="s">
        <v>128</v>
      </c>
      <c r="E1157" s="10" t="str">
        <f t="shared" si="262"/>
        <v>PSNP'!</v>
      </c>
      <c r="F1157" s="5" t="str">
        <f t="shared" si="256"/>
        <v>C:\Users\jaime.benazar\Quorum Business Solutions\Ecopetrol Prometeo - Documents\Planning Space Implementation\3. Analysis &amp; Design\Design\FC22\DRR Jaime\QUIFA-CAJÚA\Cajua\[VAS_CAJUA_CF_SEC_20230125.xlsx]CF PSNP'!</v>
      </c>
      <c r="G1157" s="7" t="s">
        <v>37</v>
      </c>
      <c r="H1157" s="4"/>
      <c r="I1157" s="4"/>
      <c r="J1157" s="4"/>
    </row>
    <row r="1158" spans="1:10" x14ac:dyDescent="0.25">
      <c r="A1158" s="7" t="s">
        <v>103</v>
      </c>
      <c r="B1158" s="7">
        <f t="shared" si="264"/>
        <v>2039</v>
      </c>
      <c r="C1158" s="4" t="s">
        <v>11</v>
      </c>
      <c r="D1158" s="5" t="s">
        <v>128</v>
      </c>
      <c r="E1158" s="10" t="str">
        <f t="shared" si="262"/>
        <v>PSNP'!</v>
      </c>
      <c r="F1158" s="5" t="str">
        <f t="shared" si="256"/>
        <v>C:\Users\jaime.benazar\Quorum Business Solutions\Ecopetrol Prometeo - Documents\Planning Space Implementation\3. Analysis &amp; Design\Design\FC22\DRR Jaime\QUIFA-CAJÚA\Cajua\[VAS_CAJUA_CF_SEC_20230125.xlsx]CF PSNP'!</v>
      </c>
      <c r="G1158" s="7" t="s">
        <v>37</v>
      </c>
      <c r="H1158" s="4"/>
      <c r="I1158" s="4"/>
      <c r="J1158" s="4"/>
    </row>
    <row r="1159" spans="1:10" x14ac:dyDescent="0.25">
      <c r="A1159" s="7" t="s">
        <v>103</v>
      </c>
      <c r="B1159" s="7">
        <f t="shared" si="264"/>
        <v>2040</v>
      </c>
      <c r="C1159" s="4" t="s">
        <v>11</v>
      </c>
      <c r="D1159" s="5" t="s">
        <v>128</v>
      </c>
      <c r="E1159" s="10" t="str">
        <f t="shared" si="262"/>
        <v>PSNP'!</v>
      </c>
      <c r="F1159" s="5" t="str">
        <f t="shared" si="256"/>
        <v>C:\Users\jaime.benazar\Quorum Business Solutions\Ecopetrol Prometeo - Documents\Planning Space Implementation\3. Analysis &amp; Design\Design\FC22\DRR Jaime\QUIFA-CAJÚA\Cajua\[VAS_CAJUA_CF_SEC_20230125.xlsx]CF PSNP'!</v>
      </c>
      <c r="G1159" s="7" t="s">
        <v>37</v>
      </c>
      <c r="H1159" s="4"/>
      <c r="I1159" s="4"/>
      <c r="J1159" s="4"/>
    </row>
    <row r="1160" spans="1:10" x14ac:dyDescent="0.25">
      <c r="A1160" s="7" t="s">
        <v>103</v>
      </c>
      <c r="B1160" s="7">
        <f>+B1159+1</f>
        <v>2041</v>
      </c>
      <c r="C1160" s="4" t="s">
        <v>11</v>
      </c>
      <c r="D1160" s="5" t="s">
        <v>128</v>
      </c>
      <c r="E1160" s="10" t="str">
        <f t="shared" si="262"/>
        <v>PSNP'!</v>
      </c>
      <c r="F1160" s="5" t="str">
        <f t="shared" si="256"/>
        <v>C:\Users\jaime.benazar\Quorum Business Solutions\Ecopetrol Prometeo - Documents\Planning Space Implementation\3. Analysis &amp; Design\Design\FC22\DRR Jaime\QUIFA-CAJÚA\Cajua\[VAS_CAJUA_CF_SEC_20230125.xlsx]CF PSNP'!</v>
      </c>
      <c r="G1160" s="7" t="s">
        <v>37</v>
      </c>
      <c r="H1160" s="4"/>
      <c r="I1160" s="4"/>
      <c r="J1160" s="4"/>
    </row>
    <row r="1161" spans="1:10" x14ac:dyDescent="0.25">
      <c r="A1161" s="7" t="s">
        <v>103</v>
      </c>
      <c r="B1161" s="7">
        <f t="shared" ref="B1161:B1162" si="265">+B1160+1</f>
        <v>2042</v>
      </c>
      <c r="C1161" s="4" t="s">
        <v>11</v>
      </c>
      <c r="D1161" s="5" t="s">
        <v>128</v>
      </c>
      <c r="E1161" s="10" t="str">
        <f t="shared" si="262"/>
        <v>PSNP'!</v>
      </c>
      <c r="F1161" s="5" t="str">
        <f t="shared" si="256"/>
        <v>C:\Users\jaime.benazar\Quorum Business Solutions\Ecopetrol Prometeo - Documents\Planning Space Implementation\3. Analysis &amp; Design\Design\FC22\DRR Jaime\QUIFA-CAJÚA\Cajua\[VAS_CAJUA_CF_SEC_20230125.xlsx]CF PSNP'!</v>
      </c>
      <c r="G1161" s="7" t="s">
        <v>37</v>
      </c>
      <c r="H1161" s="4"/>
      <c r="I1161" s="4"/>
      <c r="J1161" s="4"/>
    </row>
    <row r="1162" spans="1:10" x14ac:dyDescent="0.25">
      <c r="A1162" s="7" t="s">
        <v>103</v>
      </c>
      <c r="B1162" s="7">
        <f t="shared" si="265"/>
        <v>2043</v>
      </c>
      <c r="C1162" s="4" t="s">
        <v>11</v>
      </c>
      <c r="D1162" s="5" t="s">
        <v>128</v>
      </c>
      <c r="E1162" s="10" t="str">
        <f t="shared" si="262"/>
        <v>PSNP'!</v>
      </c>
      <c r="F1162" s="5" t="str">
        <f t="shared" si="256"/>
        <v>C:\Users\jaime.benazar\Quorum Business Solutions\Ecopetrol Prometeo - Documents\Planning Space Implementation\3. Analysis &amp; Design\Design\FC22\DRR Jaime\QUIFA-CAJÚA\Cajua\[VAS_CAJUA_CF_SEC_20230125.xlsx]CF PSNP'!</v>
      </c>
      <c r="G1162" s="7" t="s">
        <v>37</v>
      </c>
      <c r="H1162" s="4"/>
      <c r="I1162" s="4"/>
      <c r="J1162" s="4"/>
    </row>
    <row r="1163" spans="1:10" x14ac:dyDescent="0.25">
      <c r="A1163" s="7" t="s">
        <v>103</v>
      </c>
      <c r="B1163" s="7">
        <f>+B1162+1</f>
        <v>2044</v>
      </c>
      <c r="C1163" s="4" t="s">
        <v>11</v>
      </c>
      <c r="D1163" s="5" t="s">
        <v>128</v>
      </c>
      <c r="E1163" s="10" t="str">
        <f t="shared" ref="E1163:E1178" si="266">_xlfn.CONCAT(A1163,"'!")</f>
        <v>PSNP'!</v>
      </c>
      <c r="F1163" s="5" t="str">
        <f t="shared" ref="F1163:F1178" si="267">_xlfn.CONCAT(D1163," ",E1163)</f>
        <v>C:\Users\jaime.benazar\Quorum Business Solutions\Ecopetrol Prometeo - Documents\Planning Space Implementation\3. Analysis &amp; Design\Design\FC22\DRR Jaime\QUIFA-CAJÚA\Cajua\[VAS_CAJUA_CF_SEC_20230125.xlsx]CF PSNP'!</v>
      </c>
      <c r="G1163" s="7" t="s">
        <v>37</v>
      </c>
      <c r="H1163" s="4"/>
      <c r="I1163" s="4"/>
      <c r="J1163" s="4"/>
    </row>
    <row r="1164" spans="1:10" x14ac:dyDescent="0.25">
      <c r="A1164" s="7" t="s">
        <v>103</v>
      </c>
      <c r="B1164" s="7">
        <f t="shared" ref="B1164:B1178" si="268">+B1163+1</f>
        <v>2045</v>
      </c>
      <c r="C1164" s="4" t="s">
        <v>11</v>
      </c>
      <c r="D1164" s="5" t="s">
        <v>128</v>
      </c>
      <c r="E1164" s="10" t="str">
        <f t="shared" si="266"/>
        <v>PSNP'!</v>
      </c>
      <c r="F1164" s="5" t="str">
        <f t="shared" si="267"/>
        <v>C:\Users\jaime.benazar\Quorum Business Solutions\Ecopetrol Prometeo - Documents\Planning Space Implementation\3. Analysis &amp; Design\Design\FC22\DRR Jaime\QUIFA-CAJÚA\Cajua\[VAS_CAJUA_CF_SEC_20230125.xlsx]CF PSNP'!</v>
      </c>
      <c r="G1164" s="7" t="s">
        <v>37</v>
      </c>
      <c r="H1164" s="4"/>
      <c r="I1164" s="4"/>
      <c r="J1164" s="4"/>
    </row>
    <row r="1165" spans="1:10" x14ac:dyDescent="0.25">
      <c r="A1165" s="7" t="s">
        <v>103</v>
      </c>
      <c r="B1165" s="7">
        <f t="shared" si="268"/>
        <v>2046</v>
      </c>
      <c r="C1165" s="4" t="s">
        <v>11</v>
      </c>
      <c r="D1165" s="5" t="s">
        <v>128</v>
      </c>
      <c r="E1165" s="10" t="str">
        <f t="shared" si="266"/>
        <v>PSNP'!</v>
      </c>
      <c r="F1165" s="5" t="str">
        <f t="shared" si="267"/>
        <v>C:\Users\jaime.benazar\Quorum Business Solutions\Ecopetrol Prometeo - Documents\Planning Space Implementation\3. Analysis &amp; Design\Design\FC22\DRR Jaime\QUIFA-CAJÚA\Cajua\[VAS_CAJUA_CF_SEC_20230125.xlsx]CF PSNP'!</v>
      </c>
      <c r="G1165" s="7" t="s">
        <v>37</v>
      </c>
      <c r="H1165" s="4"/>
      <c r="I1165" s="4"/>
      <c r="J1165" s="4"/>
    </row>
    <row r="1166" spans="1:10" x14ac:dyDescent="0.25">
      <c r="A1166" s="7" t="s">
        <v>103</v>
      </c>
      <c r="B1166" s="7">
        <f t="shared" si="268"/>
        <v>2047</v>
      </c>
      <c r="C1166" s="4" t="s">
        <v>11</v>
      </c>
      <c r="D1166" s="5" t="s">
        <v>128</v>
      </c>
      <c r="E1166" s="10" t="str">
        <f t="shared" si="266"/>
        <v>PSNP'!</v>
      </c>
      <c r="F1166" s="5" t="str">
        <f t="shared" si="267"/>
        <v>C:\Users\jaime.benazar\Quorum Business Solutions\Ecopetrol Prometeo - Documents\Planning Space Implementation\3. Analysis &amp; Design\Design\FC22\DRR Jaime\QUIFA-CAJÚA\Cajua\[VAS_CAJUA_CF_SEC_20230125.xlsx]CF PSNP'!</v>
      </c>
      <c r="G1166" s="7" t="s">
        <v>37</v>
      </c>
      <c r="H1166" s="4"/>
      <c r="I1166" s="4"/>
      <c r="J1166" s="4"/>
    </row>
    <row r="1167" spans="1:10" x14ac:dyDescent="0.25">
      <c r="A1167" s="7" t="s">
        <v>103</v>
      </c>
      <c r="B1167" s="7">
        <f t="shared" si="268"/>
        <v>2048</v>
      </c>
      <c r="C1167" s="4" t="s">
        <v>11</v>
      </c>
      <c r="D1167" s="5" t="s">
        <v>128</v>
      </c>
      <c r="E1167" s="10" t="str">
        <f t="shared" si="266"/>
        <v>PSNP'!</v>
      </c>
      <c r="F1167" s="5" t="str">
        <f t="shared" si="267"/>
        <v>C:\Users\jaime.benazar\Quorum Business Solutions\Ecopetrol Prometeo - Documents\Planning Space Implementation\3. Analysis &amp; Design\Design\FC22\DRR Jaime\QUIFA-CAJÚA\Cajua\[VAS_CAJUA_CF_SEC_20230125.xlsx]CF PSNP'!</v>
      </c>
      <c r="G1167" s="7" t="s">
        <v>37</v>
      </c>
      <c r="H1167" s="4"/>
      <c r="I1167" s="4"/>
      <c r="J1167" s="4"/>
    </row>
    <row r="1168" spans="1:10" x14ac:dyDescent="0.25">
      <c r="A1168" s="7" t="s">
        <v>103</v>
      </c>
      <c r="B1168" s="7">
        <f t="shared" si="268"/>
        <v>2049</v>
      </c>
      <c r="C1168" s="4" t="s">
        <v>11</v>
      </c>
      <c r="D1168" s="5" t="s">
        <v>128</v>
      </c>
      <c r="E1168" s="10" t="str">
        <f t="shared" si="266"/>
        <v>PSNP'!</v>
      </c>
      <c r="F1168" s="5" t="str">
        <f t="shared" si="267"/>
        <v>C:\Users\jaime.benazar\Quorum Business Solutions\Ecopetrol Prometeo - Documents\Planning Space Implementation\3. Analysis &amp; Design\Design\FC22\DRR Jaime\QUIFA-CAJÚA\Cajua\[VAS_CAJUA_CF_SEC_20230125.xlsx]CF PSNP'!</v>
      </c>
      <c r="G1168" s="7" t="s">
        <v>37</v>
      </c>
      <c r="H1168" s="4"/>
      <c r="I1168" s="4"/>
      <c r="J1168" s="4"/>
    </row>
    <row r="1169" spans="1:10" x14ac:dyDescent="0.25">
      <c r="A1169" s="7" t="s">
        <v>103</v>
      </c>
      <c r="B1169" s="7">
        <f t="shared" si="268"/>
        <v>2050</v>
      </c>
      <c r="C1169" s="4" t="s">
        <v>11</v>
      </c>
      <c r="D1169" s="5" t="s">
        <v>128</v>
      </c>
      <c r="E1169" s="10" t="str">
        <f t="shared" si="266"/>
        <v>PSNP'!</v>
      </c>
      <c r="F1169" s="5" t="str">
        <f t="shared" si="267"/>
        <v>C:\Users\jaime.benazar\Quorum Business Solutions\Ecopetrol Prometeo - Documents\Planning Space Implementation\3. Analysis &amp; Design\Design\FC22\DRR Jaime\QUIFA-CAJÚA\Cajua\[VAS_CAJUA_CF_SEC_20230125.xlsx]CF PSNP'!</v>
      </c>
      <c r="G1169" s="7" t="s">
        <v>37</v>
      </c>
      <c r="H1169" s="4"/>
      <c r="I1169" s="4"/>
      <c r="J1169" s="4"/>
    </row>
    <row r="1170" spans="1:10" x14ac:dyDescent="0.25">
      <c r="A1170" s="7" t="s">
        <v>103</v>
      </c>
      <c r="B1170" s="7">
        <f t="shared" si="268"/>
        <v>2051</v>
      </c>
      <c r="C1170" s="4" t="s">
        <v>11</v>
      </c>
      <c r="D1170" s="5" t="s">
        <v>128</v>
      </c>
      <c r="E1170" s="10" t="str">
        <f t="shared" si="266"/>
        <v>PSNP'!</v>
      </c>
      <c r="F1170" s="5" t="str">
        <f t="shared" si="267"/>
        <v>C:\Users\jaime.benazar\Quorum Business Solutions\Ecopetrol Prometeo - Documents\Planning Space Implementation\3. Analysis &amp; Design\Design\FC22\DRR Jaime\QUIFA-CAJÚA\Cajua\[VAS_CAJUA_CF_SEC_20230125.xlsx]CF PSNP'!</v>
      </c>
      <c r="G1170" s="7" t="s">
        <v>37</v>
      </c>
      <c r="H1170" s="4"/>
      <c r="I1170" s="4"/>
      <c r="J1170" s="4"/>
    </row>
    <row r="1171" spans="1:10" x14ac:dyDescent="0.25">
      <c r="A1171" s="7" t="s">
        <v>103</v>
      </c>
      <c r="B1171" s="7">
        <f t="shared" si="268"/>
        <v>2052</v>
      </c>
      <c r="C1171" s="4" t="s">
        <v>11</v>
      </c>
      <c r="D1171" s="5" t="s">
        <v>128</v>
      </c>
      <c r="E1171" s="10" t="str">
        <f t="shared" si="266"/>
        <v>PSNP'!</v>
      </c>
      <c r="F1171" s="5" t="str">
        <f t="shared" si="267"/>
        <v>C:\Users\jaime.benazar\Quorum Business Solutions\Ecopetrol Prometeo - Documents\Planning Space Implementation\3. Analysis &amp; Design\Design\FC22\DRR Jaime\QUIFA-CAJÚA\Cajua\[VAS_CAJUA_CF_SEC_20230125.xlsx]CF PSNP'!</v>
      </c>
      <c r="G1171" s="7" t="s">
        <v>37</v>
      </c>
      <c r="H1171" s="4"/>
      <c r="I1171" s="4"/>
      <c r="J1171" s="4"/>
    </row>
    <row r="1172" spans="1:10" x14ac:dyDescent="0.25">
      <c r="A1172" s="7" t="s">
        <v>103</v>
      </c>
      <c r="B1172" s="7">
        <f t="shared" si="268"/>
        <v>2053</v>
      </c>
      <c r="C1172" s="4" t="s">
        <v>11</v>
      </c>
      <c r="D1172" s="5" t="s">
        <v>128</v>
      </c>
      <c r="E1172" s="10" t="str">
        <f t="shared" si="266"/>
        <v>PSNP'!</v>
      </c>
      <c r="F1172" s="5" t="str">
        <f t="shared" si="267"/>
        <v>C:\Users\jaime.benazar\Quorum Business Solutions\Ecopetrol Prometeo - Documents\Planning Space Implementation\3. Analysis &amp; Design\Design\FC22\DRR Jaime\QUIFA-CAJÚA\Cajua\[VAS_CAJUA_CF_SEC_20230125.xlsx]CF PSNP'!</v>
      </c>
      <c r="G1172" s="7" t="s">
        <v>37</v>
      </c>
      <c r="H1172" s="4"/>
      <c r="I1172" s="4"/>
      <c r="J1172" s="4"/>
    </row>
    <row r="1173" spans="1:10" x14ac:dyDescent="0.25">
      <c r="A1173" s="7" t="s">
        <v>103</v>
      </c>
      <c r="B1173" s="7">
        <f t="shared" si="268"/>
        <v>2054</v>
      </c>
      <c r="C1173" s="4" t="s">
        <v>11</v>
      </c>
      <c r="D1173" s="5" t="s">
        <v>128</v>
      </c>
      <c r="E1173" s="10" t="str">
        <f t="shared" si="266"/>
        <v>PSNP'!</v>
      </c>
      <c r="F1173" s="5" t="str">
        <f t="shared" si="267"/>
        <v>C:\Users\jaime.benazar\Quorum Business Solutions\Ecopetrol Prometeo - Documents\Planning Space Implementation\3. Analysis &amp; Design\Design\FC22\DRR Jaime\QUIFA-CAJÚA\Cajua\[VAS_CAJUA_CF_SEC_20230125.xlsx]CF PSNP'!</v>
      </c>
      <c r="G1173" s="7" t="s">
        <v>37</v>
      </c>
      <c r="H1173" s="4"/>
      <c r="I1173" s="4"/>
      <c r="J1173" s="4"/>
    </row>
    <row r="1174" spans="1:10" x14ac:dyDescent="0.25">
      <c r="A1174" s="7" t="s">
        <v>103</v>
      </c>
      <c r="B1174" s="7">
        <f t="shared" si="268"/>
        <v>2055</v>
      </c>
      <c r="C1174" s="4" t="s">
        <v>11</v>
      </c>
      <c r="D1174" s="5" t="s">
        <v>128</v>
      </c>
      <c r="E1174" s="10" t="str">
        <f t="shared" si="266"/>
        <v>PSNP'!</v>
      </c>
      <c r="F1174" s="5" t="str">
        <f t="shared" si="267"/>
        <v>C:\Users\jaime.benazar\Quorum Business Solutions\Ecopetrol Prometeo - Documents\Planning Space Implementation\3. Analysis &amp; Design\Design\FC22\DRR Jaime\QUIFA-CAJÚA\Cajua\[VAS_CAJUA_CF_SEC_20230125.xlsx]CF PSNP'!</v>
      </c>
      <c r="G1174" s="7" t="s">
        <v>37</v>
      </c>
      <c r="H1174" s="4"/>
      <c r="I1174" s="4"/>
      <c r="J1174" s="4"/>
    </row>
    <row r="1175" spans="1:10" x14ac:dyDescent="0.25">
      <c r="A1175" s="7" t="s">
        <v>103</v>
      </c>
      <c r="B1175" s="7">
        <f t="shared" si="268"/>
        <v>2056</v>
      </c>
      <c r="C1175" s="4" t="s">
        <v>11</v>
      </c>
      <c r="D1175" s="5" t="s">
        <v>128</v>
      </c>
      <c r="E1175" s="10" t="str">
        <f t="shared" si="266"/>
        <v>PSNP'!</v>
      </c>
      <c r="F1175" s="5" t="str">
        <f t="shared" si="267"/>
        <v>C:\Users\jaime.benazar\Quorum Business Solutions\Ecopetrol Prometeo - Documents\Planning Space Implementation\3. Analysis &amp; Design\Design\FC22\DRR Jaime\QUIFA-CAJÚA\Cajua\[VAS_CAJUA_CF_SEC_20230125.xlsx]CF PSNP'!</v>
      </c>
      <c r="G1175" s="7" t="s">
        <v>37</v>
      </c>
      <c r="H1175" s="4"/>
      <c r="I1175" s="4"/>
      <c r="J1175" s="4"/>
    </row>
    <row r="1176" spans="1:10" x14ac:dyDescent="0.25">
      <c r="A1176" s="7" t="s">
        <v>103</v>
      </c>
      <c r="B1176" s="7">
        <f t="shared" si="268"/>
        <v>2057</v>
      </c>
      <c r="C1176" s="4" t="s">
        <v>11</v>
      </c>
      <c r="D1176" s="5" t="s">
        <v>128</v>
      </c>
      <c r="E1176" s="10" t="str">
        <f t="shared" si="266"/>
        <v>PSNP'!</v>
      </c>
      <c r="F1176" s="5" t="str">
        <f t="shared" si="267"/>
        <v>C:\Users\jaime.benazar\Quorum Business Solutions\Ecopetrol Prometeo - Documents\Planning Space Implementation\3. Analysis &amp; Design\Design\FC22\DRR Jaime\QUIFA-CAJÚA\Cajua\[VAS_CAJUA_CF_SEC_20230125.xlsx]CF PSNP'!</v>
      </c>
      <c r="G1176" s="7" t="s">
        <v>37</v>
      </c>
      <c r="H1176" s="4"/>
      <c r="I1176" s="4"/>
      <c r="J1176" s="4"/>
    </row>
    <row r="1177" spans="1:10" x14ac:dyDescent="0.25">
      <c r="A1177" s="7" t="s">
        <v>103</v>
      </c>
      <c r="B1177" s="7">
        <f t="shared" si="268"/>
        <v>2058</v>
      </c>
      <c r="C1177" s="4" t="s">
        <v>11</v>
      </c>
      <c r="D1177" s="5" t="s">
        <v>128</v>
      </c>
      <c r="E1177" s="10" t="str">
        <f t="shared" si="266"/>
        <v>PSNP'!</v>
      </c>
      <c r="F1177" s="5" t="str">
        <f t="shared" si="267"/>
        <v>C:\Users\jaime.benazar\Quorum Business Solutions\Ecopetrol Prometeo - Documents\Planning Space Implementation\3. Analysis &amp; Design\Design\FC22\DRR Jaime\QUIFA-CAJÚA\Cajua\[VAS_CAJUA_CF_SEC_20230125.xlsx]CF PSNP'!</v>
      </c>
      <c r="G1177" s="7" t="s">
        <v>37</v>
      </c>
      <c r="H1177" s="4"/>
      <c r="I1177" s="4"/>
      <c r="J1177" s="4"/>
    </row>
    <row r="1178" spans="1:10" x14ac:dyDescent="0.25">
      <c r="A1178" s="7" t="s">
        <v>103</v>
      </c>
      <c r="B1178" s="7">
        <f t="shared" si="268"/>
        <v>2059</v>
      </c>
      <c r="C1178" s="4" t="s">
        <v>11</v>
      </c>
      <c r="D1178" s="5" t="s">
        <v>128</v>
      </c>
      <c r="E1178" s="10" t="str">
        <f t="shared" si="266"/>
        <v>PSNP'!</v>
      </c>
      <c r="F1178" s="5" t="str">
        <f t="shared" si="267"/>
        <v>C:\Users\jaime.benazar\Quorum Business Solutions\Ecopetrol Prometeo - Documents\Planning Space Implementation\3. Analysis &amp; Design\Design\FC22\DRR Jaime\QUIFA-CAJÚA\Cajua\[VAS_CAJUA_CF_SEC_20230125.xlsx]CF PSNP'!</v>
      </c>
      <c r="G1178" s="7" t="s">
        <v>37</v>
      </c>
      <c r="H1178" s="4"/>
      <c r="I1178" s="4"/>
      <c r="J1178" s="4"/>
    </row>
    <row r="1179" spans="1:10" x14ac:dyDescent="0.25">
      <c r="A1179" s="7" t="s">
        <v>28</v>
      </c>
      <c r="B1179" s="7"/>
      <c r="C1179" s="4" t="s">
        <v>11</v>
      </c>
      <c r="D1179" s="5"/>
      <c r="E1179" s="10"/>
      <c r="F1179" s="5" t="str">
        <f t="shared" si="256"/>
        <v xml:space="preserve"> </v>
      </c>
      <c r="G1179" s="7"/>
      <c r="H1179" s="4"/>
      <c r="I1179" s="4"/>
      <c r="J1179" s="4"/>
    </row>
    <row r="1180" spans="1:10" x14ac:dyDescent="0.25">
      <c r="A1180" s="7" t="s">
        <v>104</v>
      </c>
      <c r="B1180" s="7">
        <v>2023</v>
      </c>
      <c r="C1180" s="4" t="s">
        <v>11</v>
      </c>
      <c r="D1180" s="5" t="s">
        <v>128</v>
      </c>
      <c r="E1180" s="10" t="str">
        <f t="shared" ref="E1180:E1200" si="269">_xlfn.CONCAT(A1180,"'!")</f>
        <v>PSND'!</v>
      </c>
      <c r="F1180" s="5" t="str">
        <f t="shared" si="256"/>
        <v>C:\Users\jaime.benazar\Quorum Business Solutions\Ecopetrol Prometeo - Documents\Planning Space Implementation\3. Analysis &amp; Design\Design\FC22\DRR Jaime\QUIFA-CAJÚA\Cajua\[VAS_CAJUA_CF_SEC_20230125.xlsx]CF PSND'!</v>
      </c>
      <c r="G1180" s="7" t="s">
        <v>37</v>
      </c>
      <c r="H1180" s="4"/>
      <c r="I1180" s="4"/>
      <c r="J1180" s="4"/>
    </row>
    <row r="1181" spans="1:10" x14ac:dyDescent="0.25">
      <c r="A1181" s="7" t="s">
        <v>104</v>
      </c>
      <c r="B1181" s="7">
        <f>+B1180+1</f>
        <v>2024</v>
      </c>
      <c r="C1181" s="4" t="s">
        <v>11</v>
      </c>
      <c r="D1181" s="5" t="s">
        <v>128</v>
      </c>
      <c r="E1181" s="10" t="str">
        <f t="shared" si="269"/>
        <v>PSND'!</v>
      </c>
      <c r="F1181" s="5" t="str">
        <f t="shared" si="256"/>
        <v>C:\Users\jaime.benazar\Quorum Business Solutions\Ecopetrol Prometeo - Documents\Planning Space Implementation\3. Analysis &amp; Design\Design\FC22\DRR Jaime\QUIFA-CAJÚA\Cajua\[VAS_CAJUA_CF_SEC_20230125.xlsx]CF PSND'!</v>
      </c>
      <c r="G1181" s="7" t="s">
        <v>37</v>
      </c>
      <c r="H1181" s="4"/>
      <c r="I1181" s="4"/>
      <c r="J1181" s="4"/>
    </row>
    <row r="1182" spans="1:10" x14ac:dyDescent="0.25">
      <c r="A1182" s="7" t="s">
        <v>104</v>
      </c>
      <c r="B1182" s="7">
        <f t="shared" ref="B1182:B1193" si="270">+B1181+1</f>
        <v>2025</v>
      </c>
      <c r="C1182" s="4" t="s">
        <v>11</v>
      </c>
      <c r="D1182" s="5" t="s">
        <v>128</v>
      </c>
      <c r="E1182" s="10" t="str">
        <f t="shared" si="269"/>
        <v>PSND'!</v>
      </c>
      <c r="F1182" s="5" t="str">
        <f t="shared" si="256"/>
        <v>C:\Users\jaime.benazar\Quorum Business Solutions\Ecopetrol Prometeo - Documents\Planning Space Implementation\3. Analysis &amp; Design\Design\FC22\DRR Jaime\QUIFA-CAJÚA\Cajua\[VAS_CAJUA_CF_SEC_20230125.xlsx]CF PSND'!</v>
      </c>
      <c r="G1182" s="7" t="s">
        <v>37</v>
      </c>
      <c r="H1182" s="4"/>
      <c r="I1182" s="4"/>
      <c r="J1182" s="4"/>
    </row>
    <row r="1183" spans="1:10" x14ac:dyDescent="0.25">
      <c r="A1183" s="7" t="s">
        <v>104</v>
      </c>
      <c r="B1183" s="7">
        <f t="shared" si="270"/>
        <v>2026</v>
      </c>
      <c r="C1183" s="4" t="s">
        <v>11</v>
      </c>
      <c r="D1183" s="5" t="s">
        <v>128</v>
      </c>
      <c r="E1183" s="10" t="str">
        <f t="shared" si="269"/>
        <v>PSND'!</v>
      </c>
      <c r="F1183" s="5" t="str">
        <f t="shared" si="256"/>
        <v>C:\Users\jaime.benazar\Quorum Business Solutions\Ecopetrol Prometeo - Documents\Planning Space Implementation\3. Analysis &amp; Design\Design\FC22\DRR Jaime\QUIFA-CAJÚA\Cajua\[VAS_CAJUA_CF_SEC_20230125.xlsx]CF PSND'!</v>
      </c>
      <c r="G1183" s="7" t="s">
        <v>37</v>
      </c>
      <c r="H1183" s="4"/>
      <c r="I1183" s="4"/>
      <c r="J1183" s="4"/>
    </row>
    <row r="1184" spans="1:10" x14ac:dyDescent="0.25">
      <c r="A1184" s="7" t="s">
        <v>104</v>
      </c>
      <c r="B1184" s="7">
        <f t="shared" si="270"/>
        <v>2027</v>
      </c>
      <c r="C1184" s="4" t="s">
        <v>11</v>
      </c>
      <c r="D1184" s="5" t="s">
        <v>128</v>
      </c>
      <c r="E1184" s="10" t="str">
        <f t="shared" si="269"/>
        <v>PSND'!</v>
      </c>
      <c r="F1184" s="5" t="str">
        <f t="shared" si="256"/>
        <v>C:\Users\jaime.benazar\Quorum Business Solutions\Ecopetrol Prometeo - Documents\Planning Space Implementation\3. Analysis &amp; Design\Design\FC22\DRR Jaime\QUIFA-CAJÚA\Cajua\[VAS_CAJUA_CF_SEC_20230125.xlsx]CF PSND'!</v>
      </c>
      <c r="G1184" s="7" t="s">
        <v>37</v>
      </c>
      <c r="H1184" s="4"/>
      <c r="I1184" s="4"/>
      <c r="J1184" s="4"/>
    </row>
    <row r="1185" spans="1:10" x14ac:dyDescent="0.25">
      <c r="A1185" s="7" t="s">
        <v>104</v>
      </c>
      <c r="B1185" s="7">
        <f t="shared" si="270"/>
        <v>2028</v>
      </c>
      <c r="C1185" s="4" t="s">
        <v>11</v>
      </c>
      <c r="D1185" s="5" t="s">
        <v>128</v>
      </c>
      <c r="E1185" s="10" t="str">
        <f t="shared" si="269"/>
        <v>PSND'!</v>
      </c>
      <c r="F1185" s="5" t="str">
        <f t="shared" si="256"/>
        <v>C:\Users\jaime.benazar\Quorum Business Solutions\Ecopetrol Prometeo - Documents\Planning Space Implementation\3. Analysis &amp; Design\Design\FC22\DRR Jaime\QUIFA-CAJÚA\Cajua\[VAS_CAJUA_CF_SEC_20230125.xlsx]CF PSND'!</v>
      </c>
      <c r="G1185" s="7" t="s">
        <v>37</v>
      </c>
      <c r="H1185" s="4"/>
      <c r="I1185" s="4"/>
      <c r="J1185" s="4"/>
    </row>
    <row r="1186" spans="1:10" x14ac:dyDescent="0.25">
      <c r="A1186" s="7" t="s">
        <v>104</v>
      </c>
      <c r="B1186" s="7">
        <f t="shared" si="270"/>
        <v>2029</v>
      </c>
      <c r="C1186" s="4" t="s">
        <v>11</v>
      </c>
      <c r="D1186" s="5" t="s">
        <v>128</v>
      </c>
      <c r="E1186" s="10" t="str">
        <f t="shared" si="269"/>
        <v>PSND'!</v>
      </c>
      <c r="F1186" s="5" t="str">
        <f t="shared" si="256"/>
        <v>C:\Users\jaime.benazar\Quorum Business Solutions\Ecopetrol Prometeo - Documents\Planning Space Implementation\3. Analysis &amp; Design\Design\FC22\DRR Jaime\QUIFA-CAJÚA\Cajua\[VAS_CAJUA_CF_SEC_20230125.xlsx]CF PSND'!</v>
      </c>
      <c r="G1186" s="7" t="s">
        <v>37</v>
      </c>
      <c r="H1186" s="4"/>
      <c r="I1186" s="4"/>
      <c r="J1186" s="4"/>
    </row>
    <row r="1187" spans="1:10" x14ac:dyDescent="0.25">
      <c r="A1187" s="7" t="s">
        <v>104</v>
      </c>
      <c r="B1187" s="7">
        <f t="shared" si="270"/>
        <v>2030</v>
      </c>
      <c r="C1187" s="4" t="s">
        <v>11</v>
      </c>
      <c r="D1187" s="5" t="s">
        <v>128</v>
      </c>
      <c r="E1187" s="10" t="str">
        <f t="shared" si="269"/>
        <v>PSND'!</v>
      </c>
      <c r="F1187" s="5" t="str">
        <f t="shared" si="256"/>
        <v>C:\Users\jaime.benazar\Quorum Business Solutions\Ecopetrol Prometeo - Documents\Planning Space Implementation\3. Analysis &amp; Design\Design\FC22\DRR Jaime\QUIFA-CAJÚA\Cajua\[VAS_CAJUA_CF_SEC_20230125.xlsx]CF PSND'!</v>
      </c>
      <c r="G1187" s="7" t="s">
        <v>37</v>
      </c>
      <c r="H1187" s="4"/>
      <c r="I1187" s="4"/>
      <c r="J1187" s="4"/>
    </row>
    <row r="1188" spans="1:10" x14ac:dyDescent="0.25">
      <c r="A1188" s="7" t="s">
        <v>104</v>
      </c>
      <c r="B1188" s="7">
        <f t="shared" si="270"/>
        <v>2031</v>
      </c>
      <c r="C1188" s="4" t="s">
        <v>11</v>
      </c>
      <c r="D1188" s="5" t="s">
        <v>128</v>
      </c>
      <c r="E1188" s="10" t="str">
        <f t="shared" si="269"/>
        <v>PSND'!</v>
      </c>
      <c r="F1188" s="5" t="str">
        <f t="shared" si="256"/>
        <v>C:\Users\jaime.benazar\Quorum Business Solutions\Ecopetrol Prometeo - Documents\Planning Space Implementation\3. Analysis &amp; Design\Design\FC22\DRR Jaime\QUIFA-CAJÚA\Cajua\[VAS_CAJUA_CF_SEC_20230125.xlsx]CF PSND'!</v>
      </c>
      <c r="G1188" s="7" t="s">
        <v>37</v>
      </c>
      <c r="H1188" s="4"/>
      <c r="I1188" s="4"/>
      <c r="J1188" s="4"/>
    </row>
    <row r="1189" spans="1:10" x14ac:dyDescent="0.25">
      <c r="A1189" s="7" t="s">
        <v>104</v>
      </c>
      <c r="B1189" s="7">
        <f t="shared" si="270"/>
        <v>2032</v>
      </c>
      <c r="C1189" s="4" t="s">
        <v>11</v>
      </c>
      <c r="D1189" s="5" t="s">
        <v>128</v>
      </c>
      <c r="E1189" s="10" t="str">
        <f t="shared" si="269"/>
        <v>PSND'!</v>
      </c>
      <c r="F1189" s="5" t="str">
        <f t="shared" si="256"/>
        <v>C:\Users\jaime.benazar\Quorum Business Solutions\Ecopetrol Prometeo - Documents\Planning Space Implementation\3. Analysis &amp; Design\Design\FC22\DRR Jaime\QUIFA-CAJÚA\Cajua\[VAS_CAJUA_CF_SEC_20230125.xlsx]CF PSND'!</v>
      </c>
      <c r="G1189" s="7" t="s">
        <v>37</v>
      </c>
      <c r="H1189" s="4"/>
      <c r="I1189" s="4"/>
      <c r="J1189" s="4"/>
    </row>
    <row r="1190" spans="1:10" x14ac:dyDescent="0.25">
      <c r="A1190" s="7" t="s">
        <v>104</v>
      </c>
      <c r="B1190" s="7">
        <f t="shared" si="270"/>
        <v>2033</v>
      </c>
      <c r="C1190" s="4" t="s">
        <v>11</v>
      </c>
      <c r="D1190" s="5" t="s">
        <v>128</v>
      </c>
      <c r="E1190" s="10" t="str">
        <f t="shared" si="269"/>
        <v>PSND'!</v>
      </c>
      <c r="F1190" s="5" t="str">
        <f t="shared" si="256"/>
        <v>C:\Users\jaime.benazar\Quorum Business Solutions\Ecopetrol Prometeo - Documents\Planning Space Implementation\3. Analysis &amp; Design\Design\FC22\DRR Jaime\QUIFA-CAJÚA\Cajua\[VAS_CAJUA_CF_SEC_20230125.xlsx]CF PSND'!</v>
      </c>
      <c r="G1190" s="7" t="s">
        <v>37</v>
      </c>
      <c r="H1190" s="4"/>
      <c r="I1190" s="4"/>
      <c r="J1190" s="4"/>
    </row>
    <row r="1191" spans="1:10" x14ac:dyDescent="0.25">
      <c r="A1191" s="7" t="s">
        <v>104</v>
      </c>
      <c r="B1191" s="7">
        <f t="shared" si="270"/>
        <v>2034</v>
      </c>
      <c r="C1191" s="4" t="s">
        <v>11</v>
      </c>
      <c r="D1191" s="5" t="s">
        <v>128</v>
      </c>
      <c r="E1191" s="10" t="str">
        <f t="shared" si="269"/>
        <v>PSND'!</v>
      </c>
      <c r="F1191" s="5" t="str">
        <f t="shared" si="256"/>
        <v>C:\Users\jaime.benazar\Quorum Business Solutions\Ecopetrol Prometeo - Documents\Planning Space Implementation\3. Analysis &amp; Design\Design\FC22\DRR Jaime\QUIFA-CAJÚA\Cajua\[VAS_CAJUA_CF_SEC_20230125.xlsx]CF PSND'!</v>
      </c>
      <c r="G1191" s="7" t="s">
        <v>37</v>
      </c>
      <c r="H1191" s="4"/>
      <c r="I1191" s="4"/>
      <c r="J1191" s="4"/>
    </row>
    <row r="1192" spans="1:10" x14ac:dyDescent="0.25">
      <c r="A1192" s="7" t="s">
        <v>104</v>
      </c>
      <c r="B1192" s="7">
        <f t="shared" si="270"/>
        <v>2035</v>
      </c>
      <c r="C1192" s="4" t="s">
        <v>11</v>
      </c>
      <c r="D1192" s="5" t="s">
        <v>128</v>
      </c>
      <c r="E1192" s="10" t="str">
        <f t="shared" si="269"/>
        <v>PSND'!</v>
      </c>
      <c r="F1192" s="5" t="str">
        <f t="shared" si="256"/>
        <v>C:\Users\jaime.benazar\Quorum Business Solutions\Ecopetrol Prometeo - Documents\Planning Space Implementation\3. Analysis &amp; Design\Design\FC22\DRR Jaime\QUIFA-CAJÚA\Cajua\[VAS_CAJUA_CF_SEC_20230125.xlsx]CF PSND'!</v>
      </c>
      <c r="G1192" s="7" t="s">
        <v>37</v>
      </c>
      <c r="H1192" s="4"/>
      <c r="I1192" s="4"/>
      <c r="J1192" s="4"/>
    </row>
    <row r="1193" spans="1:10" x14ac:dyDescent="0.25">
      <c r="A1193" s="7" t="s">
        <v>104</v>
      </c>
      <c r="B1193" s="7">
        <f t="shared" si="270"/>
        <v>2036</v>
      </c>
      <c r="C1193" s="4" t="s">
        <v>11</v>
      </c>
      <c r="D1193" s="5" t="s">
        <v>128</v>
      </c>
      <c r="E1193" s="10" t="str">
        <f t="shared" si="269"/>
        <v>PSND'!</v>
      </c>
      <c r="F1193" s="5" t="str">
        <f t="shared" si="256"/>
        <v>C:\Users\jaime.benazar\Quorum Business Solutions\Ecopetrol Prometeo - Documents\Planning Space Implementation\3. Analysis &amp; Design\Design\FC22\DRR Jaime\QUIFA-CAJÚA\Cajua\[VAS_CAJUA_CF_SEC_20230125.xlsx]CF PSND'!</v>
      </c>
      <c r="G1193" s="7" t="s">
        <v>37</v>
      </c>
      <c r="H1193" s="4"/>
      <c r="I1193" s="4"/>
      <c r="J1193" s="4"/>
    </row>
    <row r="1194" spans="1:10" x14ac:dyDescent="0.25">
      <c r="A1194" s="7" t="s">
        <v>104</v>
      </c>
      <c r="B1194" s="7">
        <f>+B1193+1</f>
        <v>2037</v>
      </c>
      <c r="C1194" s="4" t="s">
        <v>11</v>
      </c>
      <c r="D1194" s="5" t="s">
        <v>128</v>
      </c>
      <c r="E1194" s="10" t="str">
        <f t="shared" si="269"/>
        <v>PSND'!</v>
      </c>
      <c r="F1194" s="5" t="str">
        <f t="shared" si="256"/>
        <v>C:\Users\jaime.benazar\Quorum Business Solutions\Ecopetrol Prometeo - Documents\Planning Space Implementation\3. Analysis &amp; Design\Design\FC22\DRR Jaime\QUIFA-CAJÚA\Cajua\[VAS_CAJUA_CF_SEC_20230125.xlsx]CF PSND'!</v>
      </c>
      <c r="G1194" s="7" t="s">
        <v>37</v>
      </c>
      <c r="H1194" s="4"/>
      <c r="I1194" s="4"/>
      <c r="J1194" s="4"/>
    </row>
    <row r="1195" spans="1:10" x14ac:dyDescent="0.25">
      <c r="A1195" s="7" t="s">
        <v>104</v>
      </c>
      <c r="B1195" s="7">
        <f t="shared" ref="B1195:B1197" si="271">+B1194+1</f>
        <v>2038</v>
      </c>
      <c r="C1195" s="4" t="s">
        <v>11</v>
      </c>
      <c r="D1195" s="5" t="s">
        <v>128</v>
      </c>
      <c r="E1195" s="10" t="str">
        <f t="shared" si="269"/>
        <v>PSND'!</v>
      </c>
      <c r="F1195" s="5" t="str">
        <f t="shared" si="256"/>
        <v>C:\Users\jaime.benazar\Quorum Business Solutions\Ecopetrol Prometeo - Documents\Planning Space Implementation\3. Analysis &amp; Design\Design\FC22\DRR Jaime\QUIFA-CAJÚA\Cajua\[VAS_CAJUA_CF_SEC_20230125.xlsx]CF PSND'!</v>
      </c>
      <c r="G1195" s="7" t="s">
        <v>37</v>
      </c>
      <c r="H1195" s="4"/>
      <c r="I1195" s="4"/>
      <c r="J1195" s="4"/>
    </row>
    <row r="1196" spans="1:10" x14ac:dyDescent="0.25">
      <c r="A1196" s="7" t="s">
        <v>104</v>
      </c>
      <c r="B1196" s="7">
        <f t="shared" si="271"/>
        <v>2039</v>
      </c>
      <c r="C1196" s="4" t="s">
        <v>11</v>
      </c>
      <c r="D1196" s="5" t="s">
        <v>128</v>
      </c>
      <c r="E1196" s="10" t="str">
        <f t="shared" si="269"/>
        <v>PSND'!</v>
      </c>
      <c r="F1196" s="5" t="str">
        <f t="shared" si="256"/>
        <v>C:\Users\jaime.benazar\Quorum Business Solutions\Ecopetrol Prometeo - Documents\Planning Space Implementation\3. Analysis &amp; Design\Design\FC22\DRR Jaime\QUIFA-CAJÚA\Cajua\[VAS_CAJUA_CF_SEC_20230125.xlsx]CF PSND'!</v>
      </c>
      <c r="G1196" s="7" t="s">
        <v>37</v>
      </c>
      <c r="H1196" s="4"/>
      <c r="I1196" s="4"/>
      <c r="J1196" s="4"/>
    </row>
    <row r="1197" spans="1:10" x14ac:dyDescent="0.25">
      <c r="A1197" s="7" t="s">
        <v>104</v>
      </c>
      <c r="B1197" s="7">
        <f t="shared" si="271"/>
        <v>2040</v>
      </c>
      <c r="C1197" s="4" t="s">
        <v>11</v>
      </c>
      <c r="D1197" s="5" t="s">
        <v>128</v>
      </c>
      <c r="E1197" s="10" t="str">
        <f t="shared" si="269"/>
        <v>PSND'!</v>
      </c>
      <c r="F1197" s="5" t="str">
        <f t="shared" si="256"/>
        <v>C:\Users\jaime.benazar\Quorum Business Solutions\Ecopetrol Prometeo - Documents\Planning Space Implementation\3. Analysis &amp; Design\Design\FC22\DRR Jaime\QUIFA-CAJÚA\Cajua\[VAS_CAJUA_CF_SEC_20230125.xlsx]CF PSND'!</v>
      </c>
      <c r="G1197" s="7" t="s">
        <v>37</v>
      </c>
      <c r="H1197" s="4"/>
      <c r="I1197" s="4"/>
      <c r="J1197" s="4"/>
    </row>
    <row r="1198" spans="1:10" x14ac:dyDescent="0.25">
      <c r="A1198" s="7" t="s">
        <v>104</v>
      </c>
      <c r="B1198" s="7">
        <f>+B1197+1</f>
        <v>2041</v>
      </c>
      <c r="C1198" s="4" t="s">
        <v>11</v>
      </c>
      <c r="D1198" s="5" t="s">
        <v>128</v>
      </c>
      <c r="E1198" s="10" t="str">
        <f t="shared" si="269"/>
        <v>PSND'!</v>
      </c>
      <c r="F1198" s="5" t="str">
        <f t="shared" si="256"/>
        <v>C:\Users\jaime.benazar\Quorum Business Solutions\Ecopetrol Prometeo - Documents\Planning Space Implementation\3. Analysis &amp; Design\Design\FC22\DRR Jaime\QUIFA-CAJÚA\Cajua\[VAS_CAJUA_CF_SEC_20230125.xlsx]CF PSND'!</v>
      </c>
      <c r="G1198" s="7" t="s">
        <v>37</v>
      </c>
      <c r="H1198" s="4"/>
      <c r="I1198" s="4"/>
      <c r="J1198" s="4"/>
    </row>
    <row r="1199" spans="1:10" x14ac:dyDescent="0.25">
      <c r="A1199" s="7" t="s">
        <v>104</v>
      </c>
      <c r="B1199" s="7">
        <f t="shared" ref="B1199:B1200" si="272">+B1198+1</f>
        <v>2042</v>
      </c>
      <c r="C1199" s="4" t="s">
        <v>11</v>
      </c>
      <c r="D1199" s="5" t="s">
        <v>128</v>
      </c>
      <c r="E1199" s="10" t="str">
        <f t="shared" si="269"/>
        <v>PSND'!</v>
      </c>
      <c r="F1199" s="5" t="str">
        <f t="shared" si="256"/>
        <v>C:\Users\jaime.benazar\Quorum Business Solutions\Ecopetrol Prometeo - Documents\Planning Space Implementation\3. Analysis &amp; Design\Design\FC22\DRR Jaime\QUIFA-CAJÚA\Cajua\[VAS_CAJUA_CF_SEC_20230125.xlsx]CF PSND'!</v>
      </c>
      <c r="G1199" s="7" t="s">
        <v>37</v>
      </c>
      <c r="H1199" s="4"/>
      <c r="I1199" s="4"/>
      <c r="J1199" s="4"/>
    </row>
    <row r="1200" spans="1:10" x14ac:dyDescent="0.25">
      <c r="A1200" s="7" t="s">
        <v>104</v>
      </c>
      <c r="B1200" s="7">
        <f t="shared" si="272"/>
        <v>2043</v>
      </c>
      <c r="C1200" s="4" t="s">
        <v>11</v>
      </c>
      <c r="D1200" s="5" t="s">
        <v>128</v>
      </c>
      <c r="E1200" s="10" t="str">
        <f t="shared" si="269"/>
        <v>PSND'!</v>
      </c>
      <c r="F1200" s="5" t="str">
        <f t="shared" si="256"/>
        <v>C:\Users\jaime.benazar\Quorum Business Solutions\Ecopetrol Prometeo - Documents\Planning Space Implementation\3. Analysis &amp; Design\Design\FC22\DRR Jaime\QUIFA-CAJÚA\Cajua\[VAS_CAJUA_CF_SEC_20230125.xlsx]CF PSND'!</v>
      </c>
      <c r="G1200" s="7" t="s">
        <v>37</v>
      </c>
      <c r="H1200" s="4"/>
      <c r="I1200" s="4"/>
      <c r="J1200" s="4"/>
    </row>
    <row r="1201" spans="1:10" x14ac:dyDescent="0.25">
      <c r="A1201" s="7" t="s">
        <v>104</v>
      </c>
      <c r="B1201" s="7">
        <f>+B1200+1</f>
        <v>2044</v>
      </c>
      <c r="C1201" s="4" t="s">
        <v>11</v>
      </c>
      <c r="D1201" s="5" t="s">
        <v>128</v>
      </c>
      <c r="E1201" s="10" t="str">
        <f t="shared" ref="E1201:E1216" si="273">_xlfn.CONCAT(A1201,"'!")</f>
        <v>PSND'!</v>
      </c>
      <c r="F1201" s="5" t="str">
        <f t="shared" ref="F1201:F1216" si="274">_xlfn.CONCAT(D1201," ",E1201)</f>
        <v>C:\Users\jaime.benazar\Quorum Business Solutions\Ecopetrol Prometeo - Documents\Planning Space Implementation\3. Analysis &amp; Design\Design\FC22\DRR Jaime\QUIFA-CAJÚA\Cajua\[VAS_CAJUA_CF_SEC_20230125.xlsx]CF PSND'!</v>
      </c>
      <c r="G1201" s="7" t="s">
        <v>37</v>
      </c>
      <c r="H1201" s="4"/>
      <c r="I1201" s="4"/>
      <c r="J1201" s="4"/>
    </row>
    <row r="1202" spans="1:10" x14ac:dyDescent="0.25">
      <c r="A1202" s="7" t="s">
        <v>104</v>
      </c>
      <c r="B1202" s="7">
        <f t="shared" ref="B1202:B1216" si="275">+B1201+1</f>
        <v>2045</v>
      </c>
      <c r="C1202" s="4" t="s">
        <v>11</v>
      </c>
      <c r="D1202" s="5" t="s">
        <v>128</v>
      </c>
      <c r="E1202" s="10" t="str">
        <f t="shared" si="273"/>
        <v>PSND'!</v>
      </c>
      <c r="F1202" s="5" t="str">
        <f t="shared" si="274"/>
        <v>C:\Users\jaime.benazar\Quorum Business Solutions\Ecopetrol Prometeo - Documents\Planning Space Implementation\3. Analysis &amp; Design\Design\FC22\DRR Jaime\QUIFA-CAJÚA\Cajua\[VAS_CAJUA_CF_SEC_20230125.xlsx]CF PSND'!</v>
      </c>
      <c r="G1202" s="7" t="s">
        <v>37</v>
      </c>
      <c r="H1202" s="4"/>
      <c r="I1202" s="4"/>
      <c r="J1202" s="4"/>
    </row>
    <row r="1203" spans="1:10" x14ac:dyDescent="0.25">
      <c r="A1203" s="7" t="s">
        <v>104</v>
      </c>
      <c r="B1203" s="7">
        <f t="shared" si="275"/>
        <v>2046</v>
      </c>
      <c r="C1203" s="4" t="s">
        <v>11</v>
      </c>
      <c r="D1203" s="5" t="s">
        <v>128</v>
      </c>
      <c r="E1203" s="10" t="str">
        <f t="shared" si="273"/>
        <v>PSND'!</v>
      </c>
      <c r="F1203" s="5" t="str">
        <f t="shared" si="274"/>
        <v>C:\Users\jaime.benazar\Quorum Business Solutions\Ecopetrol Prometeo - Documents\Planning Space Implementation\3. Analysis &amp; Design\Design\FC22\DRR Jaime\QUIFA-CAJÚA\Cajua\[VAS_CAJUA_CF_SEC_20230125.xlsx]CF PSND'!</v>
      </c>
      <c r="G1203" s="7" t="s">
        <v>37</v>
      </c>
      <c r="H1203" s="4"/>
      <c r="I1203" s="4"/>
      <c r="J1203" s="4"/>
    </row>
    <row r="1204" spans="1:10" x14ac:dyDescent="0.25">
      <c r="A1204" s="7" t="s">
        <v>104</v>
      </c>
      <c r="B1204" s="7">
        <f t="shared" si="275"/>
        <v>2047</v>
      </c>
      <c r="C1204" s="4" t="s">
        <v>11</v>
      </c>
      <c r="D1204" s="5" t="s">
        <v>128</v>
      </c>
      <c r="E1204" s="10" t="str">
        <f t="shared" si="273"/>
        <v>PSND'!</v>
      </c>
      <c r="F1204" s="5" t="str">
        <f t="shared" si="274"/>
        <v>C:\Users\jaime.benazar\Quorum Business Solutions\Ecopetrol Prometeo - Documents\Planning Space Implementation\3. Analysis &amp; Design\Design\FC22\DRR Jaime\QUIFA-CAJÚA\Cajua\[VAS_CAJUA_CF_SEC_20230125.xlsx]CF PSND'!</v>
      </c>
      <c r="G1204" s="7" t="s">
        <v>37</v>
      </c>
      <c r="H1204" s="4"/>
      <c r="I1204" s="4"/>
      <c r="J1204" s="4"/>
    </row>
    <row r="1205" spans="1:10" x14ac:dyDescent="0.25">
      <c r="A1205" s="7" t="s">
        <v>104</v>
      </c>
      <c r="B1205" s="7">
        <f t="shared" si="275"/>
        <v>2048</v>
      </c>
      <c r="C1205" s="4" t="s">
        <v>11</v>
      </c>
      <c r="D1205" s="5" t="s">
        <v>128</v>
      </c>
      <c r="E1205" s="10" t="str">
        <f t="shared" si="273"/>
        <v>PSND'!</v>
      </c>
      <c r="F1205" s="5" t="str">
        <f t="shared" si="274"/>
        <v>C:\Users\jaime.benazar\Quorum Business Solutions\Ecopetrol Prometeo - Documents\Planning Space Implementation\3. Analysis &amp; Design\Design\FC22\DRR Jaime\QUIFA-CAJÚA\Cajua\[VAS_CAJUA_CF_SEC_20230125.xlsx]CF PSND'!</v>
      </c>
      <c r="G1205" s="7" t="s">
        <v>37</v>
      </c>
      <c r="H1205" s="4"/>
      <c r="I1205" s="4"/>
      <c r="J1205" s="4"/>
    </row>
    <row r="1206" spans="1:10" x14ac:dyDescent="0.25">
      <c r="A1206" s="7" t="s">
        <v>104</v>
      </c>
      <c r="B1206" s="7">
        <f t="shared" si="275"/>
        <v>2049</v>
      </c>
      <c r="C1206" s="4" t="s">
        <v>11</v>
      </c>
      <c r="D1206" s="5" t="s">
        <v>128</v>
      </c>
      <c r="E1206" s="10" t="str">
        <f t="shared" si="273"/>
        <v>PSND'!</v>
      </c>
      <c r="F1206" s="5" t="str">
        <f t="shared" si="274"/>
        <v>C:\Users\jaime.benazar\Quorum Business Solutions\Ecopetrol Prometeo - Documents\Planning Space Implementation\3. Analysis &amp; Design\Design\FC22\DRR Jaime\QUIFA-CAJÚA\Cajua\[VAS_CAJUA_CF_SEC_20230125.xlsx]CF PSND'!</v>
      </c>
      <c r="G1206" s="7" t="s">
        <v>37</v>
      </c>
      <c r="H1206" s="4"/>
      <c r="I1206" s="4"/>
      <c r="J1206" s="4"/>
    </row>
    <row r="1207" spans="1:10" x14ac:dyDescent="0.25">
      <c r="A1207" s="7" t="s">
        <v>104</v>
      </c>
      <c r="B1207" s="7">
        <f t="shared" si="275"/>
        <v>2050</v>
      </c>
      <c r="C1207" s="4" t="s">
        <v>11</v>
      </c>
      <c r="D1207" s="5" t="s">
        <v>128</v>
      </c>
      <c r="E1207" s="10" t="str">
        <f t="shared" si="273"/>
        <v>PSND'!</v>
      </c>
      <c r="F1207" s="5" t="str">
        <f t="shared" si="274"/>
        <v>C:\Users\jaime.benazar\Quorum Business Solutions\Ecopetrol Prometeo - Documents\Planning Space Implementation\3. Analysis &amp; Design\Design\FC22\DRR Jaime\QUIFA-CAJÚA\Cajua\[VAS_CAJUA_CF_SEC_20230125.xlsx]CF PSND'!</v>
      </c>
      <c r="G1207" s="7" t="s">
        <v>37</v>
      </c>
      <c r="H1207" s="4"/>
      <c r="I1207" s="4"/>
      <c r="J1207" s="4"/>
    </row>
    <row r="1208" spans="1:10" x14ac:dyDescent="0.25">
      <c r="A1208" s="7" t="s">
        <v>104</v>
      </c>
      <c r="B1208" s="7">
        <f t="shared" si="275"/>
        <v>2051</v>
      </c>
      <c r="C1208" s="4" t="s">
        <v>11</v>
      </c>
      <c r="D1208" s="5" t="s">
        <v>128</v>
      </c>
      <c r="E1208" s="10" t="str">
        <f t="shared" si="273"/>
        <v>PSND'!</v>
      </c>
      <c r="F1208" s="5" t="str">
        <f t="shared" si="274"/>
        <v>C:\Users\jaime.benazar\Quorum Business Solutions\Ecopetrol Prometeo - Documents\Planning Space Implementation\3. Analysis &amp; Design\Design\FC22\DRR Jaime\QUIFA-CAJÚA\Cajua\[VAS_CAJUA_CF_SEC_20230125.xlsx]CF PSND'!</v>
      </c>
      <c r="G1208" s="7" t="s">
        <v>37</v>
      </c>
      <c r="H1208" s="4"/>
      <c r="I1208" s="4"/>
      <c r="J1208" s="4"/>
    </row>
    <row r="1209" spans="1:10" x14ac:dyDescent="0.25">
      <c r="A1209" s="7" t="s">
        <v>104</v>
      </c>
      <c r="B1209" s="7">
        <f t="shared" si="275"/>
        <v>2052</v>
      </c>
      <c r="C1209" s="4" t="s">
        <v>11</v>
      </c>
      <c r="D1209" s="5" t="s">
        <v>128</v>
      </c>
      <c r="E1209" s="10" t="str">
        <f t="shared" si="273"/>
        <v>PSND'!</v>
      </c>
      <c r="F1209" s="5" t="str">
        <f t="shared" si="274"/>
        <v>C:\Users\jaime.benazar\Quorum Business Solutions\Ecopetrol Prometeo - Documents\Planning Space Implementation\3. Analysis &amp; Design\Design\FC22\DRR Jaime\QUIFA-CAJÚA\Cajua\[VAS_CAJUA_CF_SEC_20230125.xlsx]CF PSND'!</v>
      </c>
      <c r="G1209" s="7" t="s">
        <v>37</v>
      </c>
      <c r="H1209" s="4"/>
      <c r="I1209" s="4"/>
      <c r="J1209" s="4"/>
    </row>
    <row r="1210" spans="1:10" x14ac:dyDescent="0.25">
      <c r="A1210" s="7" t="s">
        <v>104</v>
      </c>
      <c r="B1210" s="7">
        <f t="shared" si="275"/>
        <v>2053</v>
      </c>
      <c r="C1210" s="4" t="s">
        <v>11</v>
      </c>
      <c r="D1210" s="5" t="s">
        <v>128</v>
      </c>
      <c r="E1210" s="10" t="str">
        <f t="shared" si="273"/>
        <v>PSND'!</v>
      </c>
      <c r="F1210" s="5" t="str">
        <f t="shared" si="274"/>
        <v>C:\Users\jaime.benazar\Quorum Business Solutions\Ecopetrol Prometeo - Documents\Planning Space Implementation\3. Analysis &amp; Design\Design\FC22\DRR Jaime\QUIFA-CAJÚA\Cajua\[VAS_CAJUA_CF_SEC_20230125.xlsx]CF PSND'!</v>
      </c>
      <c r="G1210" s="7" t="s">
        <v>37</v>
      </c>
      <c r="H1210" s="4"/>
      <c r="I1210" s="4"/>
      <c r="J1210" s="4"/>
    </row>
    <row r="1211" spans="1:10" x14ac:dyDescent="0.25">
      <c r="A1211" s="7" t="s">
        <v>104</v>
      </c>
      <c r="B1211" s="7">
        <f t="shared" si="275"/>
        <v>2054</v>
      </c>
      <c r="C1211" s="4" t="s">
        <v>11</v>
      </c>
      <c r="D1211" s="5" t="s">
        <v>128</v>
      </c>
      <c r="E1211" s="10" t="str">
        <f t="shared" si="273"/>
        <v>PSND'!</v>
      </c>
      <c r="F1211" s="5" t="str">
        <f t="shared" si="274"/>
        <v>C:\Users\jaime.benazar\Quorum Business Solutions\Ecopetrol Prometeo - Documents\Planning Space Implementation\3. Analysis &amp; Design\Design\FC22\DRR Jaime\QUIFA-CAJÚA\Cajua\[VAS_CAJUA_CF_SEC_20230125.xlsx]CF PSND'!</v>
      </c>
      <c r="G1211" s="7" t="s">
        <v>37</v>
      </c>
      <c r="H1211" s="4"/>
      <c r="I1211" s="4"/>
      <c r="J1211" s="4"/>
    </row>
    <row r="1212" spans="1:10" x14ac:dyDescent="0.25">
      <c r="A1212" s="7" t="s">
        <v>104</v>
      </c>
      <c r="B1212" s="7">
        <f t="shared" si="275"/>
        <v>2055</v>
      </c>
      <c r="C1212" s="4" t="s">
        <v>11</v>
      </c>
      <c r="D1212" s="5" t="s">
        <v>128</v>
      </c>
      <c r="E1212" s="10" t="str">
        <f t="shared" si="273"/>
        <v>PSND'!</v>
      </c>
      <c r="F1212" s="5" t="str">
        <f t="shared" si="274"/>
        <v>C:\Users\jaime.benazar\Quorum Business Solutions\Ecopetrol Prometeo - Documents\Planning Space Implementation\3. Analysis &amp; Design\Design\FC22\DRR Jaime\QUIFA-CAJÚA\Cajua\[VAS_CAJUA_CF_SEC_20230125.xlsx]CF PSND'!</v>
      </c>
      <c r="G1212" s="7" t="s">
        <v>37</v>
      </c>
      <c r="H1212" s="4"/>
      <c r="I1212" s="4"/>
      <c r="J1212" s="4"/>
    </row>
    <row r="1213" spans="1:10" x14ac:dyDescent="0.25">
      <c r="A1213" s="7" t="s">
        <v>104</v>
      </c>
      <c r="B1213" s="7">
        <f t="shared" si="275"/>
        <v>2056</v>
      </c>
      <c r="C1213" s="4" t="s">
        <v>11</v>
      </c>
      <c r="D1213" s="5" t="s">
        <v>128</v>
      </c>
      <c r="E1213" s="10" t="str">
        <f t="shared" si="273"/>
        <v>PSND'!</v>
      </c>
      <c r="F1213" s="5" t="str">
        <f t="shared" si="274"/>
        <v>C:\Users\jaime.benazar\Quorum Business Solutions\Ecopetrol Prometeo - Documents\Planning Space Implementation\3. Analysis &amp; Design\Design\FC22\DRR Jaime\QUIFA-CAJÚA\Cajua\[VAS_CAJUA_CF_SEC_20230125.xlsx]CF PSND'!</v>
      </c>
      <c r="G1213" s="7" t="s">
        <v>37</v>
      </c>
      <c r="H1213" s="4"/>
      <c r="I1213" s="4"/>
      <c r="J1213" s="4"/>
    </row>
    <row r="1214" spans="1:10" x14ac:dyDescent="0.25">
      <c r="A1214" s="7" t="s">
        <v>104</v>
      </c>
      <c r="B1214" s="7">
        <f t="shared" si="275"/>
        <v>2057</v>
      </c>
      <c r="C1214" s="4" t="s">
        <v>11</v>
      </c>
      <c r="D1214" s="5" t="s">
        <v>128</v>
      </c>
      <c r="E1214" s="10" t="str">
        <f t="shared" si="273"/>
        <v>PSND'!</v>
      </c>
      <c r="F1214" s="5" t="str">
        <f t="shared" si="274"/>
        <v>C:\Users\jaime.benazar\Quorum Business Solutions\Ecopetrol Prometeo - Documents\Planning Space Implementation\3. Analysis &amp; Design\Design\FC22\DRR Jaime\QUIFA-CAJÚA\Cajua\[VAS_CAJUA_CF_SEC_20230125.xlsx]CF PSND'!</v>
      </c>
      <c r="G1214" s="7" t="s">
        <v>37</v>
      </c>
      <c r="H1214" s="4"/>
      <c r="I1214" s="4"/>
      <c r="J1214" s="4"/>
    </row>
    <row r="1215" spans="1:10" x14ac:dyDescent="0.25">
      <c r="A1215" s="7" t="s">
        <v>104</v>
      </c>
      <c r="B1215" s="7">
        <f t="shared" si="275"/>
        <v>2058</v>
      </c>
      <c r="C1215" s="4" t="s">
        <v>11</v>
      </c>
      <c r="D1215" s="5" t="s">
        <v>128</v>
      </c>
      <c r="E1215" s="10" t="str">
        <f t="shared" si="273"/>
        <v>PSND'!</v>
      </c>
      <c r="F1215" s="5" t="str">
        <f t="shared" si="274"/>
        <v>C:\Users\jaime.benazar\Quorum Business Solutions\Ecopetrol Prometeo - Documents\Planning Space Implementation\3. Analysis &amp; Design\Design\FC22\DRR Jaime\QUIFA-CAJÚA\Cajua\[VAS_CAJUA_CF_SEC_20230125.xlsx]CF PSND'!</v>
      </c>
      <c r="G1215" s="7" t="s">
        <v>37</v>
      </c>
      <c r="H1215" s="4"/>
      <c r="I1215" s="4"/>
      <c r="J1215" s="4"/>
    </row>
    <row r="1216" spans="1:10" x14ac:dyDescent="0.25">
      <c r="A1216" s="7" t="s">
        <v>104</v>
      </c>
      <c r="B1216" s="7">
        <f t="shared" si="275"/>
        <v>2059</v>
      </c>
      <c r="C1216" s="4" t="s">
        <v>11</v>
      </c>
      <c r="D1216" s="5" t="s">
        <v>128</v>
      </c>
      <c r="E1216" s="10" t="str">
        <f t="shared" si="273"/>
        <v>PSND'!</v>
      </c>
      <c r="F1216" s="5" t="str">
        <f t="shared" si="274"/>
        <v>C:\Users\jaime.benazar\Quorum Business Solutions\Ecopetrol Prometeo - Documents\Planning Space Implementation\3. Analysis &amp; Design\Design\FC22\DRR Jaime\QUIFA-CAJÚA\Cajua\[VAS_CAJUA_CF_SEC_20230125.xlsx]CF PSND'!</v>
      </c>
      <c r="G1216" s="7" t="s">
        <v>37</v>
      </c>
      <c r="H1216" s="4"/>
      <c r="I1216" s="4"/>
      <c r="J1216" s="4"/>
    </row>
    <row r="1217" spans="1:10" x14ac:dyDescent="0.25">
      <c r="A1217" s="7" t="s">
        <v>28</v>
      </c>
      <c r="B1217" s="7"/>
      <c r="C1217" s="4" t="s">
        <v>11</v>
      </c>
      <c r="D1217" s="5"/>
      <c r="E1217" s="10"/>
      <c r="F1217" s="5" t="str">
        <f t="shared" si="256"/>
        <v xml:space="preserve"> </v>
      </c>
      <c r="G1217" s="7"/>
      <c r="H1217" s="4"/>
      <c r="I1217" s="4"/>
      <c r="J1217" s="4"/>
    </row>
    <row r="1218" spans="1:10" x14ac:dyDescent="0.25">
      <c r="A1218" s="7" t="s">
        <v>34</v>
      </c>
      <c r="B1218" s="7">
        <v>2023</v>
      </c>
      <c r="C1218" s="4" t="s">
        <v>11</v>
      </c>
      <c r="D1218" s="5" t="s">
        <v>128</v>
      </c>
      <c r="E1218" s="10" t="str">
        <f t="shared" si="216"/>
        <v>PS'!</v>
      </c>
      <c r="F1218" s="5" t="str">
        <f t="shared" si="256"/>
        <v>C:\Users\jaime.benazar\Quorum Business Solutions\Ecopetrol Prometeo - Documents\Planning Space Implementation\3. Analysis &amp; Design\Design\FC22\DRR Jaime\QUIFA-CAJÚA\Cajua\[VAS_CAJUA_CF_SEC_20230125.xlsx]CF PS'!</v>
      </c>
      <c r="G1218" s="7" t="s">
        <v>37</v>
      </c>
      <c r="H1218" s="4">
        <f>IF(A1218&lt;&gt;A1088,36,H1088+1)</f>
        <v>36</v>
      </c>
      <c r="I1218" s="4" t="str">
        <f t="shared" si="217"/>
        <v>='C:\Users\jaime.benazar\Quorum Business Solutions\Ecopetrol Prometeo - Documents\Planning Space Implementation\3. Analysis &amp; Design\Design\FC22\DRR Jaime\QUIFA-CAJÚA\Cajua\[VAS_CAJUA_CF_SEC_20230125.xlsx]CF PS'!$BW$36</v>
      </c>
      <c r="J1218" s="4" t="s">
        <v>647</v>
      </c>
    </row>
    <row r="1219" spans="1:10" x14ac:dyDescent="0.25">
      <c r="A1219" s="7" t="s">
        <v>34</v>
      </c>
      <c r="B1219" s="7">
        <f>+B1218+1</f>
        <v>2024</v>
      </c>
      <c r="C1219" s="4" t="s">
        <v>11</v>
      </c>
      <c r="D1219" s="5" t="s">
        <v>128</v>
      </c>
      <c r="E1219" s="10" t="str">
        <f t="shared" si="216"/>
        <v>PS'!</v>
      </c>
      <c r="F1219" s="5" t="str">
        <f t="shared" ref="F1219:F1310" si="276">_xlfn.CONCAT(D1219," ",E1219)</f>
        <v>C:\Users\jaime.benazar\Quorum Business Solutions\Ecopetrol Prometeo - Documents\Planning Space Implementation\3. Analysis &amp; Design\Design\FC22\DRR Jaime\QUIFA-CAJÚA\Cajua\[VAS_CAJUA_CF_SEC_20230125.xlsx]CF PS'!</v>
      </c>
      <c r="G1219" s="7" t="s">
        <v>37</v>
      </c>
      <c r="H1219" s="4">
        <f t="shared" si="218"/>
        <v>37</v>
      </c>
      <c r="I1219" s="4" t="str">
        <f t="shared" si="217"/>
        <v>='C:\Users\jaime.benazar\Quorum Business Solutions\Ecopetrol Prometeo - Documents\Planning Space Implementation\3. Analysis &amp; Design\Design\FC22\DRR Jaime\QUIFA-CAJÚA\Cajua\[VAS_CAJUA_CF_SEC_20230125.xlsx]CF PS'!$BW$37</v>
      </c>
      <c r="J1219" s="4" t="s">
        <v>648</v>
      </c>
    </row>
    <row r="1220" spans="1:10" x14ac:dyDescent="0.25">
      <c r="A1220" s="7" t="s">
        <v>34</v>
      </c>
      <c r="B1220" s="7">
        <f t="shared" ref="B1220:B1231" si="277">+B1219+1</f>
        <v>2025</v>
      </c>
      <c r="C1220" s="4" t="s">
        <v>11</v>
      </c>
      <c r="D1220" s="5" t="s">
        <v>128</v>
      </c>
      <c r="E1220" s="10" t="str">
        <f t="shared" si="216"/>
        <v>PS'!</v>
      </c>
      <c r="F1220" s="5" t="str">
        <f t="shared" si="276"/>
        <v>C:\Users\jaime.benazar\Quorum Business Solutions\Ecopetrol Prometeo - Documents\Planning Space Implementation\3. Analysis &amp; Design\Design\FC22\DRR Jaime\QUIFA-CAJÚA\Cajua\[VAS_CAJUA_CF_SEC_20230125.xlsx]CF PS'!</v>
      </c>
      <c r="G1220" s="7" t="s">
        <v>37</v>
      </c>
      <c r="H1220" s="4">
        <f t="shared" si="218"/>
        <v>38</v>
      </c>
      <c r="I1220" s="4" t="str">
        <f t="shared" si="217"/>
        <v>='C:\Users\jaime.benazar\Quorum Business Solutions\Ecopetrol Prometeo - Documents\Planning Space Implementation\3. Analysis &amp; Design\Design\FC22\DRR Jaime\QUIFA-CAJÚA\Cajua\[VAS_CAJUA_CF_SEC_20230125.xlsx]CF PS'!$BW$38</v>
      </c>
      <c r="J1220" s="4" t="s">
        <v>649</v>
      </c>
    </row>
    <row r="1221" spans="1:10" x14ac:dyDescent="0.25">
      <c r="A1221" s="7" t="s">
        <v>34</v>
      </c>
      <c r="B1221" s="7">
        <f t="shared" si="277"/>
        <v>2026</v>
      </c>
      <c r="C1221" s="4" t="s">
        <v>11</v>
      </c>
      <c r="D1221" s="5" t="s">
        <v>128</v>
      </c>
      <c r="E1221" s="10" t="str">
        <f t="shared" si="216"/>
        <v>PS'!</v>
      </c>
      <c r="F1221" s="5" t="str">
        <f t="shared" si="276"/>
        <v>C:\Users\jaime.benazar\Quorum Business Solutions\Ecopetrol Prometeo - Documents\Planning Space Implementation\3. Analysis &amp; Design\Design\FC22\DRR Jaime\QUIFA-CAJÚA\Cajua\[VAS_CAJUA_CF_SEC_20230125.xlsx]CF PS'!</v>
      </c>
      <c r="G1221" s="7" t="s">
        <v>37</v>
      </c>
      <c r="H1221" s="4">
        <f t="shared" si="218"/>
        <v>39</v>
      </c>
      <c r="I1221" s="4" t="str">
        <f t="shared" si="217"/>
        <v>='C:\Users\jaime.benazar\Quorum Business Solutions\Ecopetrol Prometeo - Documents\Planning Space Implementation\3. Analysis &amp; Design\Design\FC22\DRR Jaime\QUIFA-CAJÚA\Cajua\[VAS_CAJUA_CF_SEC_20230125.xlsx]CF PS'!$BW$39</v>
      </c>
      <c r="J1221" s="4" t="s">
        <v>650</v>
      </c>
    </row>
    <row r="1222" spans="1:10" x14ac:dyDescent="0.25">
      <c r="A1222" s="7" t="s">
        <v>34</v>
      </c>
      <c r="B1222" s="7">
        <f t="shared" si="277"/>
        <v>2027</v>
      </c>
      <c r="C1222" s="4" t="s">
        <v>11</v>
      </c>
      <c r="D1222" s="5" t="s">
        <v>128</v>
      </c>
      <c r="E1222" s="10" t="str">
        <f t="shared" si="216"/>
        <v>PS'!</v>
      </c>
      <c r="F1222" s="5" t="str">
        <f t="shared" si="276"/>
        <v>C:\Users\jaime.benazar\Quorum Business Solutions\Ecopetrol Prometeo - Documents\Planning Space Implementation\3. Analysis &amp; Design\Design\FC22\DRR Jaime\QUIFA-CAJÚA\Cajua\[VAS_CAJUA_CF_SEC_20230125.xlsx]CF PS'!</v>
      </c>
      <c r="G1222" s="7" t="s">
        <v>37</v>
      </c>
      <c r="H1222" s="4">
        <f t="shared" si="218"/>
        <v>40</v>
      </c>
      <c r="I1222" s="4" t="str">
        <f t="shared" si="217"/>
        <v>='C:\Users\jaime.benazar\Quorum Business Solutions\Ecopetrol Prometeo - Documents\Planning Space Implementation\3. Analysis &amp; Design\Design\FC22\DRR Jaime\QUIFA-CAJÚA\Cajua\[VAS_CAJUA_CF_SEC_20230125.xlsx]CF PS'!$BW$40</v>
      </c>
      <c r="J1222" s="4" t="s">
        <v>651</v>
      </c>
    </row>
    <row r="1223" spans="1:10" x14ac:dyDescent="0.25">
      <c r="A1223" s="7" t="s">
        <v>34</v>
      </c>
      <c r="B1223" s="7">
        <f t="shared" si="277"/>
        <v>2028</v>
      </c>
      <c r="C1223" s="4" t="s">
        <v>11</v>
      </c>
      <c r="D1223" s="5" t="s">
        <v>128</v>
      </c>
      <c r="E1223" s="10" t="str">
        <f t="shared" si="216"/>
        <v>PS'!</v>
      </c>
      <c r="F1223" s="5" t="str">
        <f t="shared" si="276"/>
        <v>C:\Users\jaime.benazar\Quorum Business Solutions\Ecopetrol Prometeo - Documents\Planning Space Implementation\3. Analysis &amp; Design\Design\FC22\DRR Jaime\QUIFA-CAJÚA\Cajua\[VAS_CAJUA_CF_SEC_20230125.xlsx]CF PS'!</v>
      </c>
      <c r="G1223" s="7" t="s">
        <v>37</v>
      </c>
      <c r="H1223" s="4">
        <f t="shared" si="218"/>
        <v>41</v>
      </c>
      <c r="I1223" s="4" t="str">
        <f t="shared" si="217"/>
        <v>='C:\Users\jaime.benazar\Quorum Business Solutions\Ecopetrol Prometeo - Documents\Planning Space Implementation\3. Analysis &amp; Design\Design\FC22\DRR Jaime\QUIFA-CAJÚA\Cajua\[VAS_CAJUA_CF_SEC_20230125.xlsx]CF PS'!$BW$41</v>
      </c>
      <c r="J1223" s="4" t="s">
        <v>652</v>
      </c>
    </row>
    <row r="1224" spans="1:10" x14ac:dyDescent="0.25">
      <c r="A1224" s="7" t="s">
        <v>34</v>
      </c>
      <c r="B1224" s="7">
        <f t="shared" si="277"/>
        <v>2029</v>
      </c>
      <c r="C1224" s="4" t="s">
        <v>11</v>
      </c>
      <c r="D1224" s="5" t="s">
        <v>128</v>
      </c>
      <c r="E1224" s="10" t="str">
        <f t="shared" si="216"/>
        <v>PS'!</v>
      </c>
      <c r="F1224" s="5" t="str">
        <f t="shared" si="276"/>
        <v>C:\Users\jaime.benazar\Quorum Business Solutions\Ecopetrol Prometeo - Documents\Planning Space Implementation\3. Analysis &amp; Design\Design\FC22\DRR Jaime\QUIFA-CAJÚA\Cajua\[VAS_CAJUA_CF_SEC_20230125.xlsx]CF PS'!</v>
      </c>
      <c r="G1224" s="7" t="s">
        <v>37</v>
      </c>
      <c r="H1224" s="4">
        <f t="shared" si="218"/>
        <v>42</v>
      </c>
      <c r="I1224" s="4" t="str">
        <f t="shared" si="217"/>
        <v>='C:\Users\jaime.benazar\Quorum Business Solutions\Ecopetrol Prometeo - Documents\Planning Space Implementation\3. Analysis &amp; Design\Design\FC22\DRR Jaime\QUIFA-CAJÚA\Cajua\[VAS_CAJUA_CF_SEC_20230125.xlsx]CF PS'!$BW$42</v>
      </c>
      <c r="J1224" s="4" t="s">
        <v>653</v>
      </c>
    </row>
    <row r="1225" spans="1:10" x14ac:dyDescent="0.25">
      <c r="A1225" s="7" t="s">
        <v>34</v>
      </c>
      <c r="B1225" s="7">
        <f t="shared" si="277"/>
        <v>2030</v>
      </c>
      <c r="C1225" s="4" t="s">
        <v>11</v>
      </c>
      <c r="D1225" s="5" t="s">
        <v>128</v>
      </c>
      <c r="E1225" s="10" t="str">
        <f t="shared" si="216"/>
        <v>PS'!</v>
      </c>
      <c r="F1225" s="5" t="str">
        <f t="shared" si="276"/>
        <v>C:\Users\jaime.benazar\Quorum Business Solutions\Ecopetrol Prometeo - Documents\Planning Space Implementation\3. Analysis &amp; Design\Design\FC22\DRR Jaime\QUIFA-CAJÚA\Cajua\[VAS_CAJUA_CF_SEC_20230125.xlsx]CF PS'!</v>
      </c>
      <c r="G1225" s="7" t="s">
        <v>37</v>
      </c>
      <c r="H1225" s="4">
        <f t="shared" si="218"/>
        <v>43</v>
      </c>
      <c r="I1225" s="4" t="str">
        <f t="shared" si="217"/>
        <v>='C:\Users\jaime.benazar\Quorum Business Solutions\Ecopetrol Prometeo - Documents\Planning Space Implementation\3. Analysis &amp; Design\Design\FC22\DRR Jaime\QUIFA-CAJÚA\Cajua\[VAS_CAJUA_CF_SEC_20230125.xlsx]CF PS'!$BW$43</v>
      </c>
      <c r="J1225" s="4" t="s">
        <v>654</v>
      </c>
    </row>
    <row r="1226" spans="1:10" x14ac:dyDescent="0.25">
      <c r="A1226" s="7" t="s">
        <v>34</v>
      </c>
      <c r="B1226" s="7">
        <f t="shared" si="277"/>
        <v>2031</v>
      </c>
      <c r="C1226" s="4" t="s">
        <v>11</v>
      </c>
      <c r="D1226" s="5" t="s">
        <v>128</v>
      </c>
      <c r="E1226" s="10" t="str">
        <f t="shared" si="216"/>
        <v>PS'!</v>
      </c>
      <c r="F1226" s="5" t="str">
        <f t="shared" si="276"/>
        <v>C:\Users\jaime.benazar\Quorum Business Solutions\Ecopetrol Prometeo - Documents\Planning Space Implementation\3. Analysis &amp; Design\Design\FC22\DRR Jaime\QUIFA-CAJÚA\Cajua\[VAS_CAJUA_CF_SEC_20230125.xlsx]CF PS'!</v>
      </c>
      <c r="G1226" s="7" t="s">
        <v>37</v>
      </c>
      <c r="H1226" s="4">
        <f t="shared" si="218"/>
        <v>44</v>
      </c>
      <c r="I1226" s="4" t="str">
        <f t="shared" si="217"/>
        <v>='C:\Users\jaime.benazar\Quorum Business Solutions\Ecopetrol Prometeo - Documents\Planning Space Implementation\3. Analysis &amp; Design\Design\FC22\DRR Jaime\QUIFA-CAJÚA\Cajua\[VAS_CAJUA_CF_SEC_20230125.xlsx]CF PS'!$BW$44</v>
      </c>
      <c r="J1226" s="4" t="s">
        <v>655</v>
      </c>
    </row>
    <row r="1227" spans="1:10" x14ac:dyDescent="0.25">
      <c r="A1227" s="7" t="s">
        <v>34</v>
      </c>
      <c r="B1227" s="7">
        <f t="shared" si="277"/>
        <v>2032</v>
      </c>
      <c r="C1227" s="4" t="s">
        <v>11</v>
      </c>
      <c r="D1227" s="5" t="s">
        <v>128</v>
      </c>
      <c r="E1227" s="10" t="str">
        <f t="shared" si="216"/>
        <v>PS'!</v>
      </c>
      <c r="F1227" s="5" t="str">
        <f t="shared" si="276"/>
        <v>C:\Users\jaime.benazar\Quorum Business Solutions\Ecopetrol Prometeo - Documents\Planning Space Implementation\3. Analysis &amp; Design\Design\FC22\DRR Jaime\QUIFA-CAJÚA\Cajua\[VAS_CAJUA_CF_SEC_20230125.xlsx]CF PS'!</v>
      </c>
      <c r="G1227" s="7" t="s">
        <v>37</v>
      </c>
      <c r="H1227" s="4">
        <f t="shared" si="218"/>
        <v>45</v>
      </c>
      <c r="I1227" s="4" t="str">
        <f t="shared" si="217"/>
        <v>='C:\Users\jaime.benazar\Quorum Business Solutions\Ecopetrol Prometeo - Documents\Planning Space Implementation\3. Analysis &amp; Design\Design\FC22\DRR Jaime\QUIFA-CAJÚA\Cajua\[VAS_CAJUA_CF_SEC_20230125.xlsx]CF PS'!$BW$45</v>
      </c>
      <c r="J1227" s="4" t="s">
        <v>656</v>
      </c>
    </row>
    <row r="1228" spans="1:10" x14ac:dyDescent="0.25">
      <c r="A1228" s="7" t="s">
        <v>34</v>
      </c>
      <c r="B1228" s="7">
        <f t="shared" si="277"/>
        <v>2033</v>
      </c>
      <c r="C1228" s="4" t="s">
        <v>11</v>
      </c>
      <c r="D1228" s="5" t="s">
        <v>128</v>
      </c>
      <c r="E1228" s="10" t="str">
        <f t="shared" si="216"/>
        <v>PS'!</v>
      </c>
      <c r="F1228" s="5" t="str">
        <f t="shared" si="276"/>
        <v>C:\Users\jaime.benazar\Quorum Business Solutions\Ecopetrol Prometeo - Documents\Planning Space Implementation\3. Analysis &amp; Design\Design\FC22\DRR Jaime\QUIFA-CAJÚA\Cajua\[VAS_CAJUA_CF_SEC_20230125.xlsx]CF PS'!</v>
      </c>
      <c r="G1228" s="7" t="s">
        <v>37</v>
      </c>
      <c r="H1228" s="4">
        <f t="shared" si="218"/>
        <v>46</v>
      </c>
      <c r="I1228" s="4" t="str">
        <f t="shared" si="217"/>
        <v>='C:\Users\jaime.benazar\Quorum Business Solutions\Ecopetrol Prometeo - Documents\Planning Space Implementation\3. Analysis &amp; Design\Design\FC22\DRR Jaime\QUIFA-CAJÚA\Cajua\[VAS_CAJUA_CF_SEC_20230125.xlsx]CF PS'!$BW$46</v>
      </c>
      <c r="J1228" s="4" t="s">
        <v>657</v>
      </c>
    </row>
    <row r="1229" spans="1:10" x14ac:dyDescent="0.25">
      <c r="A1229" s="7" t="s">
        <v>34</v>
      </c>
      <c r="B1229" s="7">
        <f t="shared" si="277"/>
        <v>2034</v>
      </c>
      <c r="C1229" s="4" t="s">
        <v>11</v>
      </c>
      <c r="D1229" s="5" t="s">
        <v>128</v>
      </c>
      <c r="E1229" s="10" t="str">
        <f t="shared" si="216"/>
        <v>PS'!</v>
      </c>
      <c r="F1229" s="5" t="str">
        <f t="shared" si="276"/>
        <v>C:\Users\jaime.benazar\Quorum Business Solutions\Ecopetrol Prometeo - Documents\Planning Space Implementation\3. Analysis &amp; Design\Design\FC22\DRR Jaime\QUIFA-CAJÚA\Cajua\[VAS_CAJUA_CF_SEC_20230125.xlsx]CF PS'!</v>
      </c>
      <c r="G1229" s="7" t="s">
        <v>37</v>
      </c>
      <c r="H1229" s="4">
        <f t="shared" si="218"/>
        <v>47</v>
      </c>
      <c r="I1229" s="4" t="str">
        <f t="shared" si="217"/>
        <v>='C:\Users\jaime.benazar\Quorum Business Solutions\Ecopetrol Prometeo - Documents\Planning Space Implementation\3. Analysis &amp; Design\Design\FC22\DRR Jaime\QUIFA-CAJÚA\Cajua\[VAS_CAJUA_CF_SEC_20230125.xlsx]CF PS'!$BW$47</v>
      </c>
      <c r="J1229" s="4" t="s">
        <v>658</v>
      </c>
    </row>
    <row r="1230" spans="1:10" x14ac:dyDescent="0.25">
      <c r="A1230" s="7" t="s">
        <v>34</v>
      </c>
      <c r="B1230" s="7">
        <f t="shared" si="277"/>
        <v>2035</v>
      </c>
      <c r="C1230" s="4" t="s">
        <v>11</v>
      </c>
      <c r="D1230" s="5" t="s">
        <v>128</v>
      </c>
      <c r="E1230" s="10" t="str">
        <f t="shared" si="216"/>
        <v>PS'!</v>
      </c>
      <c r="F1230" s="5" t="str">
        <f t="shared" si="276"/>
        <v>C:\Users\jaime.benazar\Quorum Business Solutions\Ecopetrol Prometeo - Documents\Planning Space Implementation\3. Analysis &amp; Design\Design\FC22\DRR Jaime\QUIFA-CAJÚA\Cajua\[VAS_CAJUA_CF_SEC_20230125.xlsx]CF PS'!</v>
      </c>
      <c r="G1230" s="7" t="s">
        <v>37</v>
      </c>
      <c r="H1230" s="4">
        <f t="shared" si="218"/>
        <v>48</v>
      </c>
      <c r="I1230" s="4" t="str">
        <f t="shared" si="217"/>
        <v>='C:\Users\jaime.benazar\Quorum Business Solutions\Ecopetrol Prometeo - Documents\Planning Space Implementation\3. Analysis &amp; Design\Design\FC22\DRR Jaime\QUIFA-CAJÚA\Cajua\[VAS_CAJUA_CF_SEC_20230125.xlsx]CF PS'!$BW$48</v>
      </c>
      <c r="J1230" s="4" t="s">
        <v>659</v>
      </c>
    </row>
    <row r="1231" spans="1:10" x14ac:dyDescent="0.25">
      <c r="A1231" s="7" t="s">
        <v>34</v>
      </c>
      <c r="B1231" s="7">
        <f t="shared" si="277"/>
        <v>2036</v>
      </c>
      <c r="C1231" s="4" t="s">
        <v>11</v>
      </c>
      <c r="D1231" s="5" t="s">
        <v>128</v>
      </c>
      <c r="E1231" s="10" t="str">
        <f t="shared" si="216"/>
        <v>PS'!</v>
      </c>
      <c r="F1231" s="5" t="str">
        <f t="shared" si="276"/>
        <v>C:\Users\jaime.benazar\Quorum Business Solutions\Ecopetrol Prometeo - Documents\Planning Space Implementation\3. Analysis &amp; Design\Design\FC22\DRR Jaime\QUIFA-CAJÚA\Cajua\[VAS_CAJUA_CF_SEC_20230125.xlsx]CF PS'!</v>
      </c>
      <c r="G1231" s="7" t="s">
        <v>37</v>
      </c>
      <c r="H1231" s="4">
        <f t="shared" si="218"/>
        <v>49</v>
      </c>
      <c r="I1231" s="4" t="str">
        <f t="shared" si="217"/>
        <v>='C:\Users\jaime.benazar\Quorum Business Solutions\Ecopetrol Prometeo - Documents\Planning Space Implementation\3. Analysis &amp; Design\Design\FC22\DRR Jaime\QUIFA-CAJÚA\Cajua\[VAS_CAJUA_CF_SEC_20230125.xlsx]CF PS'!$BW$49</v>
      </c>
      <c r="J1231" s="4" t="s">
        <v>660</v>
      </c>
    </row>
    <row r="1232" spans="1:10" x14ac:dyDescent="0.25">
      <c r="A1232" s="7" t="s">
        <v>34</v>
      </c>
      <c r="B1232" s="7">
        <f>+B1231+1</f>
        <v>2037</v>
      </c>
      <c r="C1232" s="4" t="s">
        <v>11</v>
      </c>
      <c r="D1232" s="5" t="s">
        <v>128</v>
      </c>
      <c r="E1232" s="10" t="str">
        <f t="shared" si="216"/>
        <v>PS'!</v>
      </c>
      <c r="F1232" s="5" t="str">
        <f t="shared" si="276"/>
        <v>C:\Users\jaime.benazar\Quorum Business Solutions\Ecopetrol Prometeo - Documents\Planning Space Implementation\3. Analysis &amp; Design\Design\FC22\DRR Jaime\QUIFA-CAJÚA\Cajua\[VAS_CAJUA_CF_SEC_20230125.xlsx]CF PS'!</v>
      </c>
      <c r="G1232" s="7" t="s">
        <v>37</v>
      </c>
      <c r="H1232" s="4">
        <f t="shared" si="218"/>
        <v>50</v>
      </c>
      <c r="I1232" s="4" t="str">
        <f t="shared" si="217"/>
        <v>='C:\Users\jaime.benazar\Quorum Business Solutions\Ecopetrol Prometeo - Documents\Planning Space Implementation\3. Analysis &amp; Design\Design\FC22\DRR Jaime\QUIFA-CAJÚA\Cajua\[VAS_CAJUA_CF_SEC_20230125.xlsx]CF PS'!$BW$50</v>
      </c>
      <c r="J1232" s="4" t="s">
        <v>661</v>
      </c>
    </row>
    <row r="1233" spans="1:10" x14ac:dyDescent="0.25">
      <c r="A1233" s="7" t="s">
        <v>34</v>
      </c>
      <c r="B1233" s="7">
        <f t="shared" ref="B1233:B1235" si="278">+B1232+1</f>
        <v>2038</v>
      </c>
      <c r="C1233" s="4" t="s">
        <v>11</v>
      </c>
      <c r="D1233" s="5" t="s">
        <v>128</v>
      </c>
      <c r="E1233" s="10" t="str">
        <f t="shared" si="216"/>
        <v>PS'!</v>
      </c>
      <c r="F1233" s="5" t="str">
        <f t="shared" si="276"/>
        <v>C:\Users\jaime.benazar\Quorum Business Solutions\Ecopetrol Prometeo - Documents\Planning Space Implementation\3. Analysis &amp; Design\Design\FC22\DRR Jaime\QUIFA-CAJÚA\Cajua\[VAS_CAJUA_CF_SEC_20230125.xlsx]CF PS'!</v>
      </c>
      <c r="G1233" s="7" t="s">
        <v>37</v>
      </c>
      <c r="H1233" s="4">
        <f t="shared" si="218"/>
        <v>51</v>
      </c>
      <c r="I1233" s="4" t="str">
        <f t="shared" si="217"/>
        <v>='C:\Users\jaime.benazar\Quorum Business Solutions\Ecopetrol Prometeo - Documents\Planning Space Implementation\3. Analysis &amp; Design\Design\FC22\DRR Jaime\QUIFA-CAJÚA\Cajua\[VAS_CAJUA_CF_SEC_20230125.xlsx]CF PS'!$BW$51</v>
      </c>
      <c r="J1233" s="4" t="s">
        <v>662</v>
      </c>
    </row>
    <row r="1234" spans="1:10" x14ac:dyDescent="0.25">
      <c r="A1234" s="7" t="s">
        <v>34</v>
      </c>
      <c r="B1234" s="7">
        <f t="shared" si="278"/>
        <v>2039</v>
      </c>
      <c r="C1234" s="4" t="s">
        <v>11</v>
      </c>
      <c r="D1234" s="5" t="s">
        <v>128</v>
      </c>
      <c r="E1234" s="10" t="str">
        <f t="shared" si="216"/>
        <v>PS'!</v>
      </c>
      <c r="F1234" s="5" t="str">
        <f t="shared" si="276"/>
        <v>C:\Users\jaime.benazar\Quorum Business Solutions\Ecopetrol Prometeo - Documents\Planning Space Implementation\3. Analysis &amp; Design\Design\FC22\DRR Jaime\QUIFA-CAJÚA\Cajua\[VAS_CAJUA_CF_SEC_20230125.xlsx]CF PS'!</v>
      </c>
      <c r="G1234" s="7" t="s">
        <v>37</v>
      </c>
      <c r="H1234" s="4">
        <f t="shared" si="218"/>
        <v>52</v>
      </c>
      <c r="I1234" s="4" t="str">
        <f t="shared" si="217"/>
        <v>='C:\Users\jaime.benazar\Quorum Business Solutions\Ecopetrol Prometeo - Documents\Planning Space Implementation\3. Analysis &amp; Design\Design\FC22\DRR Jaime\QUIFA-CAJÚA\Cajua\[VAS_CAJUA_CF_SEC_20230125.xlsx]CF PS'!$BW$52</v>
      </c>
      <c r="J1234" s="4" t="s">
        <v>663</v>
      </c>
    </row>
    <row r="1235" spans="1:10" x14ac:dyDescent="0.25">
      <c r="A1235" s="7" t="s">
        <v>34</v>
      </c>
      <c r="B1235" s="7">
        <f t="shared" si="278"/>
        <v>2040</v>
      </c>
      <c r="C1235" s="4" t="s">
        <v>11</v>
      </c>
      <c r="D1235" s="5" t="s">
        <v>128</v>
      </c>
      <c r="E1235" s="10" t="str">
        <f t="shared" si="216"/>
        <v>PS'!</v>
      </c>
      <c r="F1235" s="5" t="str">
        <f t="shared" si="276"/>
        <v>C:\Users\jaime.benazar\Quorum Business Solutions\Ecopetrol Prometeo - Documents\Planning Space Implementation\3. Analysis &amp; Design\Design\FC22\DRR Jaime\QUIFA-CAJÚA\Cajua\[VAS_CAJUA_CF_SEC_20230125.xlsx]CF PS'!</v>
      </c>
      <c r="G1235" s="7" t="s">
        <v>37</v>
      </c>
      <c r="H1235" s="4">
        <f t="shared" si="218"/>
        <v>53</v>
      </c>
      <c r="I1235" s="4" t="str">
        <f t="shared" si="217"/>
        <v>='C:\Users\jaime.benazar\Quorum Business Solutions\Ecopetrol Prometeo - Documents\Planning Space Implementation\3. Analysis &amp; Design\Design\FC22\DRR Jaime\QUIFA-CAJÚA\Cajua\[VAS_CAJUA_CF_SEC_20230125.xlsx]CF PS'!$BW$53</v>
      </c>
      <c r="J1235" s="4" t="s">
        <v>664</v>
      </c>
    </row>
    <row r="1236" spans="1:10" x14ac:dyDescent="0.25">
      <c r="A1236" s="7" t="s">
        <v>34</v>
      </c>
      <c r="B1236" s="7">
        <f>+B1235+1</f>
        <v>2041</v>
      </c>
      <c r="C1236" s="4" t="s">
        <v>11</v>
      </c>
      <c r="D1236" s="5" t="s">
        <v>128</v>
      </c>
      <c r="E1236" s="10" t="str">
        <f t="shared" si="216"/>
        <v>PS'!</v>
      </c>
      <c r="F1236" s="5" t="str">
        <f t="shared" si="276"/>
        <v>C:\Users\jaime.benazar\Quorum Business Solutions\Ecopetrol Prometeo - Documents\Planning Space Implementation\3. Analysis &amp; Design\Design\FC22\DRR Jaime\QUIFA-CAJÚA\Cajua\[VAS_CAJUA_CF_SEC_20230125.xlsx]CF PS'!</v>
      </c>
      <c r="G1236" s="7" t="s">
        <v>37</v>
      </c>
      <c r="H1236" s="4">
        <f t="shared" si="218"/>
        <v>54</v>
      </c>
      <c r="I1236" s="4" t="str">
        <f t="shared" si="217"/>
        <v>='C:\Users\jaime.benazar\Quorum Business Solutions\Ecopetrol Prometeo - Documents\Planning Space Implementation\3. Analysis &amp; Design\Design\FC22\DRR Jaime\QUIFA-CAJÚA\Cajua\[VAS_CAJUA_CF_SEC_20230125.xlsx]CF PS'!$BW$54</v>
      </c>
      <c r="J1236" s="4" t="s">
        <v>665</v>
      </c>
    </row>
    <row r="1237" spans="1:10" x14ac:dyDescent="0.25">
      <c r="A1237" s="7" t="s">
        <v>34</v>
      </c>
      <c r="B1237" s="7">
        <f t="shared" ref="B1237:B1238" si="279">+B1236+1</f>
        <v>2042</v>
      </c>
      <c r="C1237" s="4" t="s">
        <v>11</v>
      </c>
      <c r="D1237" s="5" t="s">
        <v>128</v>
      </c>
      <c r="E1237" s="10" t="str">
        <f t="shared" si="216"/>
        <v>PS'!</v>
      </c>
      <c r="F1237" s="5" t="str">
        <f t="shared" si="276"/>
        <v>C:\Users\jaime.benazar\Quorum Business Solutions\Ecopetrol Prometeo - Documents\Planning Space Implementation\3. Analysis &amp; Design\Design\FC22\DRR Jaime\QUIFA-CAJÚA\Cajua\[VAS_CAJUA_CF_SEC_20230125.xlsx]CF PS'!</v>
      </c>
      <c r="G1237" s="7" t="s">
        <v>37</v>
      </c>
      <c r="H1237" s="4">
        <f t="shared" si="218"/>
        <v>55</v>
      </c>
      <c r="I1237" s="4" t="str">
        <f t="shared" si="217"/>
        <v>='C:\Users\jaime.benazar\Quorum Business Solutions\Ecopetrol Prometeo - Documents\Planning Space Implementation\3. Analysis &amp; Design\Design\FC22\DRR Jaime\QUIFA-CAJÚA\Cajua\[VAS_CAJUA_CF_SEC_20230125.xlsx]CF PS'!$BW$55</v>
      </c>
      <c r="J1237" s="4" t="s">
        <v>666</v>
      </c>
    </row>
    <row r="1238" spans="1:10" x14ac:dyDescent="0.25">
      <c r="A1238" s="7" t="s">
        <v>34</v>
      </c>
      <c r="B1238" s="7">
        <f t="shared" si="279"/>
        <v>2043</v>
      </c>
      <c r="C1238" s="4" t="s">
        <v>11</v>
      </c>
      <c r="D1238" s="5" t="s">
        <v>128</v>
      </c>
      <c r="E1238" s="10" t="str">
        <f t="shared" si="216"/>
        <v>PS'!</v>
      </c>
      <c r="F1238" s="5" t="str">
        <f t="shared" si="276"/>
        <v>C:\Users\jaime.benazar\Quorum Business Solutions\Ecopetrol Prometeo - Documents\Planning Space Implementation\3. Analysis &amp; Design\Design\FC22\DRR Jaime\QUIFA-CAJÚA\Cajua\[VAS_CAJUA_CF_SEC_20230125.xlsx]CF PS'!</v>
      </c>
      <c r="G1238" s="7" t="s">
        <v>37</v>
      </c>
      <c r="H1238" s="4">
        <f t="shared" si="218"/>
        <v>56</v>
      </c>
      <c r="I1238" s="4" t="str">
        <f t="shared" si="217"/>
        <v>='C:\Users\jaime.benazar\Quorum Business Solutions\Ecopetrol Prometeo - Documents\Planning Space Implementation\3. Analysis &amp; Design\Design\FC22\DRR Jaime\QUIFA-CAJÚA\Cajua\[VAS_CAJUA_CF_SEC_20230125.xlsx]CF PS'!$BW$56</v>
      </c>
      <c r="J1238" s="4" t="s">
        <v>667</v>
      </c>
    </row>
    <row r="1239" spans="1:10" x14ac:dyDescent="0.25">
      <c r="A1239" s="7" t="s">
        <v>34</v>
      </c>
      <c r="B1239" s="7">
        <f>+B1238+1</f>
        <v>2044</v>
      </c>
      <c r="C1239" s="4" t="s">
        <v>11</v>
      </c>
      <c r="D1239" s="5" t="s">
        <v>128</v>
      </c>
      <c r="E1239" s="10" t="str">
        <f t="shared" ref="E1239:E1254" si="280">_xlfn.CONCAT(A1239,"'!")</f>
        <v>PS'!</v>
      </c>
      <c r="F1239" s="5" t="str">
        <f t="shared" ref="F1239:F1254" si="281">_xlfn.CONCAT(D1239," ",E1239)</f>
        <v>C:\Users\jaime.benazar\Quorum Business Solutions\Ecopetrol Prometeo - Documents\Planning Space Implementation\3. Analysis &amp; Design\Design\FC22\DRR Jaime\QUIFA-CAJÚA\Cajua\[VAS_CAJUA_CF_SEC_20230125.xlsx]CF PS'!</v>
      </c>
      <c r="G1239" s="7" t="s">
        <v>37</v>
      </c>
      <c r="H1239" s="4">
        <f t="shared" ref="H1239:H1254" si="282">IF(A1239&lt;&gt;A1238,36,H1238+1)</f>
        <v>57</v>
      </c>
      <c r="I1239" s="4" t="str">
        <f t="shared" ref="I1239:I1254" si="283">_xlfn.CONCAT("='",F1239:H1239)</f>
        <v>='C:\Users\jaime.benazar\Quorum Business Solutions\Ecopetrol Prometeo - Documents\Planning Space Implementation\3. Analysis &amp; Design\Design\FC22\DRR Jaime\QUIFA-CAJÚA\Cajua\[VAS_CAJUA_CF_SEC_20230125.xlsx]CF PS'!$BW$57</v>
      </c>
      <c r="J1239" s="4" t="s">
        <v>668</v>
      </c>
    </row>
    <row r="1240" spans="1:10" x14ac:dyDescent="0.25">
      <c r="A1240" s="7" t="s">
        <v>34</v>
      </c>
      <c r="B1240" s="7">
        <f t="shared" ref="B1240:B1254" si="284">+B1239+1</f>
        <v>2045</v>
      </c>
      <c r="C1240" s="4" t="s">
        <v>11</v>
      </c>
      <c r="D1240" s="5" t="s">
        <v>128</v>
      </c>
      <c r="E1240" s="10" t="str">
        <f t="shared" si="280"/>
        <v>PS'!</v>
      </c>
      <c r="F1240" s="5" t="str">
        <f t="shared" si="281"/>
        <v>C:\Users\jaime.benazar\Quorum Business Solutions\Ecopetrol Prometeo - Documents\Planning Space Implementation\3. Analysis &amp; Design\Design\FC22\DRR Jaime\QUIFA-CAJÚA\Cajua\[VAS_CAJUA_CF_SEC_20230125.xlsx]CF PS'!</v>
      </c>
      <c r="G1240" s="7" t="s">
        <v>37</v>
      </c>
      <c r="H1240" s="4">
        <f t="shared" si="282"/>
        <v>58</v>
      </c>
      <c r="I1240" s="4" t="str">
        <f t="shared" si="283"/>
        <v>='C:\Users\jaime.benazar\Quorum Business Solutions\Ecopetrol Prometeo - Documents\Planning Space Implementation\3. Analysis &amp; Design\Design\FC22\DRR Jaime\QUIFA-CAJÚA\Cajua\[VAS_CAJUA_CF_SEC_20230125.xlsx]CF PS'!$BW$58</v>
      </c>
      <c r="J1240" s="4" t="s">
        <v>669</v>
      </c>
    </row>
    <row r="1241" spans="1:10" x14ac:dyDescent="0.25">
      <c r="A1241" s="7" t="s">
        <v>34</v>
      </c>
      <c r="B1241" s="7">
        <f t="shared" si="284"/>
        <v>2046</v>
      </c>
      <c r="C1241" s="4" t="s">
        <v>11</v>
      </c>
      <c r="D1241" s="5" t="s">
        <v>128</v>
      </c>
      <c r="E1241" s="10" t="str">
        <f t="shared" si="280"/>
        <v>PS'!</v>
      </c>
      <c r="F1241" s="5" t="str">
        <f t="shared" si="281"/>
        <v>C:\Users\jaime.benazar\Quorum Business Solutions\Ecopetrol Prometeo - Documents\Planning Space Implementation\3. Analysis &amp; Design\Design\FC22\DRR Jaime\QUIFA-CAJÚA\Cajua\[VAS_CAJUA_CF_SEC_20230125.xlsx]CF PS'!</v>
      </c>
      <c r="G1241" s="7" t="s">
        <v>37</v>
      </c>
      <c r="H1241" s="4">
        <f t="shared" si="282"/>
        <v>59</v>
      </c>
      <c r="I1241" s="4" t="str">
        <f t="shared" si="283"/>
        <v>='C:\Users\jaime.benazar\Quorum Business Solutions\Ecopetrol Prometeo - Documents\Planning Space Implementation\3. Analysis &amp; Design\Design\FC22\DRR Jaime\QUIFA-CAJÚA\Cajua\[VAS_CAJUA_CF_SEC_20230125.xlsx]CF PS'!$BW$59</v>
      </c>
      <c r="J1241" s="4" t="s">
        <v>670</v>
      </c>
    </row>
    <row r="1242" spans="1:10" x14ac:dyDescent="0.25">
      <c r="A1242" s="7" t="s">
        <v>34</v>
      </c>
      <c r="B1242" s="7">
        <f t="shared" si="284"/>
        <v>2047</v>
      </c>
      <c r="C1242" s="4" t="s">
        <v>11</v>
      </c>
      <c r="D1242" s="5" t="s">
        <v>128</v>
      </c>
      <c r="E1242" s="10" t="str">
        <f t="shared" si="280"/>
        <v>PS'!</v>
      </c>
      <c r="F1242" s="5" t="str">
        <f t="shared" si="281"/>
        <v>C:\Users\jaime.benazar\Quorum Business Solutions\Ecopetrol Prometeo - Documents\Planning Space Implementation\3. Analysis &amp; Design\Design\FC22\DRR Jaime\QUIFA-CAJÚA\Cajua\[VAS_CAJUA_CF_SEC_20230125.xlsx]CF PS'!</v>
      </c>
      <c r="G1242" s="7" t="s">
        <v>37</v>
      </c>
      <c r="H1242" s="4">
        <f t="shared" si="282"/>
        <v>60</v>
      </c>
      <c r="I1242" s="4" t="str">
        <f t="shared" si="283"/>
        <v>='C:\Users\jaime.benazar\Quorum Business Solutions\Ecopetrol Prometeo - Documents\Planning Space Implementation\3. Analysis &amp; Design\Design\FC22\DRR Jaime\QUIFA-CAJÚA\Cajua\[VAS_CAJUA_CF_SEC_20230125.xlsx]CF PS'!$BW$60</v>
      </c>
      <c r="J1242" s="4" t="s">
        <v>671</v>
      </c>
    </row>
    <row r="1243" spans="1:10" x14ac:dyDescent="0.25">
      <c r="A1243" s="7" t="s">
        <v>34</v>
      </c>
      <c r="B1243" s="7">
        <f t="shared" si="284"/>
        <v>2048</v>
      </c>
      <c r="C1243" s="4" t="s">
        <v>11</v>
      </c>
      <c r="D1243" s="5" t="s">
        <v>128</v>
      </c>
      <c r="E1243" s="10" t="str">
        <f t="shared" si="280"/>
        <v>PS'!</v>
      </c>
      <c r="F1243" s="5" t="str">
        <f t="shared" si="281"/>
        <v>C:\Users\jaime.benazar\Quorum Business Solutions\Ecopetrol Prometeo - Documents\Planning Space Implementation\3. Analysis &amp; Design\Design\FC22\DRR Jaime\QUIFA-CAJÚA\Cajua\[VAS_CAJUA_CF_SEC_20230125.xlsx]CF PS'!</v>
      </c>
      <c r="G1243" s="7" t="s">
        <v>37</v>
      </c>
      <c r="H1243" s="4">
        <f t="shared" si="282"/>
        <v>61</v>
      </c>
      <c r="I1243" s="4" t="str">
        <f t="shared" si="283"/>
        <v>='C:\Users\jaime.benazar\Quorum Business Solutions\Ecopetrol Prometeo - Documents\Planning Space Implementation\3. Analysis &amp; Design\Design\FC22\DRR Jaime\QUIFA-CAJÚA\Cajua\[VAS_CAJUA_CF_SEC_20230125.xlsx]CF PS'!$BW$61</v>
      </c>
      <c r="J1243" s="4" t="s">
        <v>672</v>
      </c>
    </row>
    <row r="1244" spans="1:10" x14ac:dyDescent="0.25">
      <c r="A1244" s="7" t="s">
        <v>34</v>
      </c>
      <c r="B1244" s="7">
        <f t="shared" si="284"/>
        <v>2049</v>
      </c>
      <c r="C1244" s="4" t="s">
        <v>11</v>
      </c>
      <c r="D1244" s="5" t="s">
        <v>128</v>
      </c>
      <c r="E1244" s="10" t="str">
        <f t="shared" si="280"/>
        <v>PS'!</v>
      </c>
      <c r="F1244" s="5" t="str">
        <f t="shared" si="281"/>
        <v>C:\Users\jaime.benazar\Quorum Business Solutions\Ecopetrol Prometeo - Documents\Planning Space Implementation\3. Analysis &amp; Design\Design\FC22\DRR Jaime\QUIFA-CAJÚA\Cajua\[VAS_CAJUA_CF_SEC_20230125.xlsx]CF PS'!</v>
      </c>
      <c r="G1244" s="7" t="s">
        <v>37</v>
      </c>
      <c r="H1244" s="4">
        <f t="shared" si="282"/>
        <v>62</v>
      </c>
      <c r="I1244" s="4" t="str">
        <f t="shared" si="283"/>
        <v>='C:\Users\jaime.benazar\Quorum Business Solutions\Ecopetrol Prometeo - Documents\Planning Space Implementation\3. Analysis &amp; Design\Design\FC22\DRR Jaime\QUIFA-CAJÚA\Cajua\[VAS_CAJUA_CF_SEC_20230125.xlsx]CF PS'!$BW$62</v>
      </c>
      <c r="J1244" s="4" t="s">
        <v>673</v>
      </c>
    </row>
    <row r="1245" spans="1:10" x14ac:dyDescent="0.25">
      <c r="A1245" s="7" t="s">
        <v>34</v>
      </c>
      <c r="B1245" s="7">
        <f t="shared" si="284"/>
        <v>2050</v>
      </c>
      <c r="C1245" s="4" t="s">
        <v>11</v>
      </c>
      <c r="D1245" s="5" t="s">
        <v>128</v>
      </c>
      <c r="E1245" s="10" t="str">
        <f t="shared" si="280"/>
        <v>PS'!</v>
      </c>
      <c r="F1245" s="5" t="str">
        <f t="shared" si="281"/>
        <v>C:\Users\jaime.benazar\Quorum Business Solutions\Ecopetrol Prometeo - Documents\Planning Space Implementation\3. Analysis &amp; Design\Design\FC22\DRR Jaime\QUIFA-CAJÚA\Cajua\[VAS_CAJUA_CF_SEC_20230125.xlsx]CF PS'!</v>
      </c>
      <c r="G1245" s="7" t="s">
        <v>37</v>
      </c>
      <c r="H1245" s="4">
        <f t="shared" si="282"/>
        <v>63</v>
      </c>
      <c r="I1245" s="4" t="str">
        <f t="shared" si="283"/>
        <v>='C:\Users\jaime.benazar\Quorum Business Solutions\Ecopetrol Prometeo - Documents\Planning Space Implementation\3. Analysis &amp; Design\Design\FC22\DRR Jaime\QUIFA-CAJÚA\Cajua\[VAS_CAJUA_CF_SEC_20230125.xlsx]CF PS'!$BW$63</v>
      </c>
      <c r="J1245" s="4" t="s">
        <v>674</v>
      </c>
    </row>
    <row r="1246" spans="1:10" x14ac:dyDescent="0.25">
      <c r="A1246" s="7" t="s">
        <v>34</v>
      </c>
      <c r="B1246" s="7">
        <f t="shared" si="284"/>
        <v>2051</v>
      </c>
      <c r="C1246" s="4" t="s">
        <v>11</v>
      </c>
      <c r="D1246" s="5" t="s">
        <v>128</v>
      </c>
      <c r="E1246" s="10" t="str">
        <f t="shared" si="280"/>
        <v>PS'!</v>
      </c>
      <c r="F1246" s="5" t="str">
        <f t="shared" si="281"/>
        <v>C:\Users\jaime.benazar\Quorum Business Solutions\Ecopetrol Prometeo - Documents\Planning Space Implementation\3. Analysis &amp; Design\Design\FC22\DRR Jaime\QUIFA-CAJÚA\Cajua\[VAS_CAJUA_CF_SEC_20230125.xlsx]CF PS'!</v>
      </c>
      <c r="G1246" s="7" t="s">
        <v>37</v>
      </c>
      <c r="H1246" s="4">
        <f t="shared" si="282"/>
        <v>64</v>
      </c>
      <c r="I1246" s="4" t="str">
        <f t="shared" si="283"/>
        <v>='C:\Users\jaime.benazar\Quorum Business Solutions\Ecopetrol Prometeo - Documents\Planning Space Implementation\3. Analysis &amp; Design\Design\FC22\DRR Jaime\QUIFA-CAJÚA\Cajua\[VAS_CAJUA_CF_SEC_20230125.xlsx]CF PS'!$BW$64</v>
      </c>
      <c r="J1246" s="4" t="s">
        <v>675</v>
      </c>
    </row>
    <row r="1247" spans="1:10" x14ac:dyDescent="0.25">
      <c r="A1247" s="7" t="s">
        <v>34</v>
      </c>
      <c r="B1247" s="7">
        <f t="shared" si="284"/>
        <v>2052</v>
      </c>
      <c r="C1247" s="4" t="s">
        <v>11</v>
      </c>
      <c r="D1247" s="5" t="s">
        <v>128</v>
      </c>
      <c r="E1247" s="10" t="str">
        <f t="shared" si="280"/>
        <v>PS'!</v>
      </c>
      <c r="F1247" s="5" t="str">
        <f t="shared" si="281"/>
        <v>C:\Users\jaime.benazar\Quorum Business Solutions\Ecopetrol Prometeo - Documents\Planning Space Implementation\3. Analysis &amp; Design\Design\FC22\DRR Jaime\QUIFA-CAJÚA\Cajua\[VAS_CAJUA_CF_SEC_20230125.xlsx]CF PS'!</v>
      </c>
      <c r="G1247" s="7" t="s">
        <v>37</v>
      </c>
      <c r="H1247" s="4">
        <f t="shared" si="282"/>
        <v>65</v>
      </c>
      <c r="I1247" s="4" t="str">
        <f t="shared" si="283"/>
        <v>='C:\Users\jaime.benazar\Quorum Business Solutions\Ecopetrol Prometeo - Documents\Planning Space Implementation\3. Analysis &amp; Design\Design\FC22\DRR Jaime\QUIFA-CAJÚA\Cajua\[VAS_CAJUA_CF_SEC_20230125.xlsx]CF PS'!$BW$65</v>
      </c>
      <c r="J1247" s="4" t="s">
        <v>676</v>
      </c>
    </row>
    <row r="1248" spans="1:10" x14ac:dyDescent="0.25">
      <c r="A1248" s="7" t="s">
        <v>34</v>
      </c>
      <c r="B1248" s="7">
        <f t="shared" si="284"/>
        <v>2053</v>
      </c>
      <c r="C1248" s="4" t="s">
        <v>11</v>
      </c>
      <c r="D1248" s="5" t="s">
        <v>128</v>
      </c>
      <c r="E1248" s="10" t="str">
        <f t="shared" si="280"/>
        <v>PS'!</v>
      </c>
      <c r="F1248" s="5" t="str">
        <f t="shared" si="281"/>
        <v>C:\Users\jaime.benazar\Quorum Business Solutions\Ecopetrol Prometeo - Documents\Planning Space Implementation\3. Analysis &amp; Design\Design\FC22\DRR Jaime\QUIFA-CAJÚA\Cajua\[VAS_CAJUA_CF_SEC_20230125.xlsx]CF PS'!</v>
      </c>
      <c r="G1248" s="7" t="s">
        <v>37</v>
      </c>
      <c r="H1248" s="4">
        <f t="shared" si="282"/>
        <v>66</v>
      </c>
      <c r="I1248" s="4" t="str">
        <f t="shared" si="283"/>
        <v>='C:\Users\jaime.benazar\Quorum Business Solutions\Ecopetrol Prometeo - Documents\Planning Space Implementation\3. Analysis &amp; Design\Design\FC22\DRR Jaime\QUIFA-CAJÚA\Cajua\[VAS_CAJUA_CF_SEC_20230125.xlsx]CF PS'!$BW$66</v>
      </c>
      <c r="J1248" s="4" t="s">
        <v>677</v>
      </c>
    </row>
    <row r="1249" spans="1:10" x14ac:dyDescent="0.25">
      <c r="A1249" s="7" t="s">
        <v>34</v>
      </c>
      <c r="B1249" s="7">
        <f t="shared" si="284"/>
        <v>2054</v>
      </c>
      <c r="C1249" s="4" t="s">
        <v>11</v>
      </c>
      <c r="D1249" s="5" t="s">
        <v>128</v>
      </c>
      <c r="E1249" s="10" t="str">
        <f t="shared" si="280"/>
        <v>PS'!</v>
      </c>
      <c r="F1249" s="5" t="str">
        <f t="shared" si="281"/>
        <v>C:\Users\jaime.benazar\Quorum Business Solutions\Ecopetrol Prometeo - Documents\Planning Space Implementation\3. Analysis &amp; Design\Design\FC22\DRR Jaime\QUIFA-CAJÚA\Cajua\[VAS_CAJUA_CF_SEC_20230125.xlsx]CF PS'!</v>
      </c>
      <c r="G1249" s="7" t="s">
        <v>37</v>
      </c>
      <c r="H1249" s="4">
        <f t="shared" si="282"/>
        <v>67</v>
      </c>
      <c r="I1249" s="4" t="str">
        <f t="shared" si="283"/>
        <v>='C:\Users\jaime.benazar\Quorum Business Solutions\Ecopetrol Prometeo - Documents\Planning Space Implementation\3. Analysis &amp; Design\Design\FC22\DRR Jaime\QUIFA-CAJÚA\Cajua\[VAS_CAJUA_CF_SEC_20230125.xlsx]CF PS'!$BW$67</v>
      </c>
      <c r="J1249" s="4" t="s">
        <v>678</v>
      </c>
    </row>
    <row r="1250" spans="1:10" x14ac:dyDescent="0.25">
      <c r="A1250" s="7" t="s">
        <v>34</v>
      </c>
      <c r="B1250" s="7">
        <f t="shared" si="284"/>
        <v>2055</v>
      </c>
      <c r="C1250" s="4" t="s">
        <v>11</v>
      </c>
      <c r="D1250" s="5" t="s">
        <v>128</v>
      </c>
      <c r="E1250" s="10" t="str">
        <f t="shared" si="280"/>
        <v>PS'!</v>
      </c>
      <c r="F1250" s="5" t="str">
        <f t="shared" si="281"/>
        <v>C:\Users\jaime.benazar\Quorum Business Solutions\Ecopetrol Prometeo - Documents\Planning Space Implementation\3. Analysis &amp; Design\Design\FC22\DRR Jaime\QUIFA-CAJÚA\Cajua\[VAS_CAJUA_CF_SEC_20230125.xlsx]CF PS'!</v>
      </c>
      <c r="G1250" s="7" t="s">
        <v>37</v>
      </c>
      <c r="H1250" s="4">
        <f t="shared" si="282"/>
        <v>68</v>
      </c>
      <c r="I1250" s="4" t="str">
        <f t="shared" si="283"/>
        <v>='C:\Users\jaime.benazar\Quorum Business Solutions\Ecopetrol Prometeo - Documents\Planning Space Implementation\3. Analysis &amp; Design\Design\FC22\DRR Jaime\QUIFA-CAJÚA\Cajua\[VAS_CAJUA_CF_SEC_20230125.xlsx]CF PS'!$BW$68</v>
      </c>
      <c r="J1250" s="4" t="s">
        <v>679</v>
      </c>
    </row>
    <row r="1251" spans="1:10" x14ac:dyDescent="0.25">
      <c r="A1251" s="7" t="s">
        <v>34</v>
      </c>
      <c r="B1251" s="7">
        <f t="shared" si="284"/>
        <v>2056</v>
      </c>
      <c r="C1251" s="4" t="s">
        <v>11</v>
      </c>
      <c r="D1251" s="5" t="s">
        <v>128</v>
      </c>
      <c r="E1251" s="10" t="str">
        <f t="shared" si="280"/>
        <v>PS'!</v>
      </c>
      <c r="F1251" s="5" t="str">
        <f t="shared" si="281"/>
        <v>C:\Users\jaime.benazar\Quorum Business Solutions\Ecopetrol Prometeo - Documents\Planning Space Implementation\3. Analysis &amp; Design\Design\FC22\DRR Jaime\QUIFA-CAJÚA\Cajua\[VAS_CAJUA_CF_SEC_20230125.xlsx]CF PS'!</v>
      </c>
      <c r="G1251" s="7" t="s">
        <v>37</v>
      </c>
      <c r="H1251" s="4">
        <f t="shared" si="282"/>
        <v>69</v>
      </c>
      <c r="I1251" s="4" t="str">
        <f t="shared" si="283"/>
        <v>='C:\Users\jaime.benazar\Quorum Business Solutions\Ecopetrol Prometeo - Documents\Planning Space Implementation\3. Analysis &amp; Design\Design\FC22\DRR Jaime\QUIFA-CAJÚA\Cajua\[VAS_CAJUA_CF_SEC_20230125.xlsx]CF PS'!$BW$69</v>
      </c>
      <c r="J1251" s="4" t="s">
        <v>680</v>
      </c>
    </row>
    <row r="1252" spans="1:10" x14ac:dyDescent="0.25">
      <c r="A1252" s="7" t="s">
        <v>34</v>
      </c>
      <c r="B1252" s="7">
        <f t="shared" si="284"/>
        <v>2057</v>
      </c>
      <c r="C1252" s="4" t="s">
        <v>11</v>
      </c>
      <c r="D1252" s="5" t="s">
        <v>128</v>
      </c>
      <c r="E1252" s="10" t="str">
        <f t="shared" si="280"/>
        <v>PS'!</v>
      </c>
      <c r="F1252" s="5" t="str">
        <f t="shared" si="281"/>
        <v>C:\Users\jaime.benazar\Quorum Business Solutions\Ecopetrol Prometeo - Documents\Planning Space Implementation\3. Analysis &amp; Design\Design\FC22\DRR Jaime\QUIFA-CAJÚA\Cajua\[VAS_CAJUA_CF_SEC_20230125.xlsx]CF PS'!</v>
      </c>
      <c r="G1252" s="7" t="s">
        <v>37</v>
      </c>
      <c r="H1252" s="4">
        <f t="shared" si="282"/>
        <v>70</v>
      </c>
      <c r="I1252" s="4" t="str">
        <f t="shared" si="283"/>
        <v>='C:\Users\jaime.benazar\Quorum Business Solutions\Ecopetrol Prometeo - Documents\Planning Space Implementation\3. Analysis &amp; Design\Design\FC22\DRR Jaime\QUIFA-CAJÚA\Cajua\[VAS_CAJUA_CF_SEC_20230125.xlsx]CF PS'!$BW$70</v>
      </c>
      <c r="J1252" s="4" t="s">
        <v>681</v>
      </c>
    </row>
    <row r="1253" spans="1:10" x14ac:dyDescent="0.25">
      <c r="A1253" s="7" t="s">
        <v>34</v>
      </c>
      <c r="B1253" s="7">
        <f t="shared" si="284"/>
        <v>2058</v>
      </c>
      <c r="C1253" s="4" t="s">
        <v>11</v>
      </c>
      <c r="D1253" s="5" t="s">
        <v>128</v>
      </c>
      <c r="E1253" s="10" t="str">
        <f t="shared" si="280"/>
        <v>PS'!</v>
      </c>
      <c r="F1253" s="5" t="str">
        <f t="shared" si="281"/>
        <v>C:\Users\jaime.benazar\Quorum Business Solutions\Ecopetrol Prometeo - Documents\Planning Space Implementation\3. Analysis &amp; Design\Design\FC22\DRR Jaime\QUIFA-CAJÚA\Cajua\[VAS_CAJUA_CF_SEC_20230125.xlsx]CF PS'!</v>
      </c>
      <c r="G1253" s="7" t="s">
        <v>37</v>
      </c>
      <c r="H1253" s="4">
        <f t="shared" si="282"/>
        <v>71</v>
      </c>
      <c r="I1253" s="4" t="str">
        <f t="shared" si="283"/>
        <v>='C:\Users\jaime.benazar\Quorum Business Solutions\Ecopetrol Prometeo - Documents\Planning Space Implementation\3. Analysis &amp; Design\Design\FC22\DRR Jaime\QUIFA-CAJÚA\Cajua\[VAS_CAJUA_CF_SEC_20230125.xlsx]CF PS'!$BW$71</v>
      </c>
      <c r="J1253" s="4" t="s">
        <v>682</v>
      </c>
    </row>
    <row r="1254" spans="1:10" x14ac:dyDescent="0.25">
      <c r="A1254" s="7" t="s">
        <v>34</v>
      </c>
      <c r="B1254" s="7">
        <f t="shared" si="284"/>
        <v>2059</v>
      </c>
      <c r="C1254" s="4" t="s">
        <v>11</v>
      </c>
      <c r="D1254" s="5" t="s">
        <v>128</v>
      </c>
      <c r="E1254" s="10" t="str">
        <f t="shared" si="280"/>
        <v>PS'!</v>
      </c>
      <c r="F1254" s="5" t="str">
        <f t="shared" si="281"/>
        <v>C:\Users\jaime.benazar\Quorum Business Solutions\Ecopetrol Prometeo - Documents\Planning Space Implementation\3. Analysis &amp; Design\Design\FC22\DRR Jaime\QUIFA-CAJÚA\Cajua\[VAS_CAJUA_CF_SEC_20230125.xlsx]CF PS'!</v>
      </c>
      <c r="G1254" s="7" t="s">
        <v>37</v>
      </c>
      <c r="H1254" s="4">
        <f t="shared" si="282"/>
        <v>72</v>
      </c>
      <c r="I1254" s="4" t="str">
        <f t="shared" si="283"/>
        <v>='C:\Users\jaime.benazar\Quorum Business Solutions\Ecopetrol Prometeo - Documents\Planning Space Implementation\3. Analysis &amp; Design\Design\FC22\DRR Jaime\QUIFA-CAJÚA\Cajua\[VAS_CAJUA_CF_SEC_20230125.xlsx]CF PS'!$BW$72</v>
      </c>
      <c r="J1254" s="4" t="s">
        <v>683</v>
      </c>
    </row>
    <row r="1255" spans="1:10" x14ac:dyDescent="0.25">
      <c r="A1255" s="7" t="s">
        <v>28</v>
      </c>
      <c r="B1255" s="7"/>
      <c r="C1255" s="4" t="s">
        <v>11</v>
      </c>
      <c r="D1255" s="5"/>
      <c r="E1255" s="10"/>
      <c r="F1255" s="5" t="str">
        <f t="shared" si="276"/>
        <v xml:space="preserve"> </v>
      </c>
      <c r="G1255" s="7"/>
      <c r="H1255" s="4"/>
      <c r="I1255" s="4"/>
      <c r="J1255" s="4"/>
    </row>
    <row r="1256" spans="1:10" x14ac:dyDescent="0.25">
      <c r="A1256" s="6" t="s">
        <v>1</v>
      </c>
      <c r="B1256" s="6">
        <v>2023</v>
      </c>
      <c r="C1256" s="1" t="s">
        <v>14</v>
      </c>
      <c r="D1256" s="2" t="s">
        <v>128</v>
      </c>
      <c r="E1256" s="9" t="str">
        <f>_xlfn.CONCAT(A1256,"'!")</f>
        <v>PDP'!</v>
      </c>
      <c r="F1256" s="5" t="str">
        <f t="shared" si="276"/>
        <v>C:\Users\jaime.benazar\Quorum Business Solutions\Ecopetrol Prometeo - Documents\Planning Space Implementation\3. Analysis &amp; Design\Design\FC22\DRR Jaime\QUIFA-CAJÚA\Cajua\[VAS_CAJUA_CF_SEC_20230125.xlsx]CF PDP'!</v>
      </c>
      <c r="G1256" s="6" t="s">
        <v>38</v>
      </c>
      <c r="H1256" s="1">
        <f>IF(A1256&lt;&gt;A1240,36,H1240+1)</f>
        <v>36</v>
      </c>
      <c r="I1256" s="1" t="str">
        <f>_xlfn.CONCAT("='",F1256:H1256)</f>
        <v>='C:\Users\jaime.benazar\Quorum Business Solutions\Ecopetrol Prometeo - Documents\Planning Space Implementation\3. Analysis &amp; Design\Design\FC22\DRR Jaime\QUIFA-CAJÚA\Cajua\[VAS_CAJUA_CF_SEC_20230125.xlsx]CF PDP'!$BX$36</v>
      </c>
      <c r="J1256" s="1" t="s">
        <v>684</v>
      </c>
    </row>
    <row r="1257" spans="1:10" x14ac:dyDescent="0.25">
      <c r="A1257" s="6" t="s">
        <v>1</v>
      </c>
      <c r="B1257" s="6">
        <f>+B1256+1</f>
        <v>2024</v>
      </c>
      <c r="C1257" s="1" t="s">
        <v>14</v>
      </c>
      <c r="D1257" s="2" t="s">
        <v>128</v>
      </c>
      <c r="E1257" s="9" t="str">
        <f t="shared" ref="E1257:E1350" si="285">_xlfn.CONCAT(A1257,"'!")</f>
        <v>PDP'!</v>
      </c>
      <c r="F1257" s="5" t="str">
        <f t="shared" si="276"/>
        <v>C:\Users\jaime.benazar\Quorum Business Solutions\Ecopetrol Prometeo - Documents\Planning Space Implementation\3. Analysis &amp; Design\Design\FC22\DRR Jaime\QUIFA-CAJÚA\Cajua\[VAS_CAJUA_CF_SEC_20230125.xlsx]CF PDP'!</v>
      </c>
      <c r="G1257" s="6" t="s">
        <v>38</v>
      </c>
      <c r="H1257" s="1">
        <f>IF(A1257&lt;&gt;A1256,36,H1256+1)</f>
        <v>37</v>
      </c>
      <c r="I1257" s="1" t="str">
        <f t="shared" ref="I1257:I1350" si="286">_xlfn.CONCAT("='",F1257:H1257)</f>
        <v>='C:\Users\jaime.benazar\Quorum Business Solutions\Ecopetrol Prometeo - Documents\Planning Space Implementation\3. Analysis &amp; Design\Design\FC22\DRR Jaime\QUIFA-CAJÚA\Cajua\[VAS_CAJUA_CF_SEC_20230125.xlsx]CF PDP'!$BX$37</v>
      </c>
      <c r="J1257" s="1" t="s">
        <v>685</v>
      </c>
    </row>
    <row r="1258" spans="1:10" x14ac:dyDescent="0.25">
      <c r="A1258" s="6" t="s">
        <v>1</v>
      </c>
      <c r="B1258" s="6">
        <f t="shared" ref="B1258:B1269" si="287">+B1257+1</f>
        <v>2025</v>
      </c>
      <c r="C1258" s="1" t="s">
        <v>14</v>
      </c>
      <c r="D1258" s="2" t="s">
        <v>128</v>
      </c>
      <c r="E1258" s="9" t="str">
        <f t="shared" si="285"/>
        <v>PDP'!</v>
      </c>
      <c r="F1258" s="5" t="str">
        <f t="shared" si="276"/>
        <v>C:\Users\jaime.benazar\Quorum Business Solutions\Ecopetrol Prometeo - Documents\Planning Space Implementation\3. Analysis &amp; Design\Design\FC22\DRR Jaime\QUIFA-CAJÚA\Cajua\[VAS_CAJUA_CF_SEC_20230125.xlsx]CF PDP'!</v>
      </c>
      <c r="G1258" s="6" t="s">
        <v>38</v>
      </c>
      <c r="H1258" s="1">
        <f t="shared" ref="H1258:H1351" si="288">IF(A1258&lt;&gt;A1257,36,H1257+1)</f>
        <v>38</v>
      </c>
      <c r="I1258" s="1" t="str">
        <f t="shared" si="286"/>
        <v>='C:\Users\jaime.benazar\Quorum Business Solutions\Ecopetrol Prometeo - Documents\Planning Space Implementation\3. Analysis &amp; Design\Design\FC22\DRR Jaime\QUIFA-CAJÚA\Cajua\[VAS_CAJUA_CF_SEC_20230125.xlsx]CF PDP'!$BX$38</v>
      </c>
      <c r="J1258" s="1" t="s">
        <v>686</v>
      </c>
    </row>
    <row r="1259" spans="1:10" x14ac:dyDescent="0.25">
      <c r="A1259" s="6" t="s">
        <v>1</v>
      </c>
      <c r="B1259" s="6">
        <f t="shared" si="287"/>
        <v>2026</v>
      </c>
      <c r="C1259" s="1" t="s">
        <v>14</v>
      </c>
      <c r="D1259" s="2" t="s">
        <v>128</v>
      </c>
      <c r="E1259" s="9" t="str">
        <f t="shared" si="285"/>
        <v>PDP'!</v>
      </c>
      <c r="F1259" s="5" t="str">
        <f t="shared" si="276"/>
        <v>C:\Users\jaime.benazar\Quorum Business Solutions\Ecopetrol Prometeo - Documents\Planning Space Implementation\3. Analysis &amp; Design\Design\FC22\DRR Jaime\QUIFA-CAJÚA\Cajua\[VAS_CAJUA_CF_SEC_20230125.xlsx]CF PDP'!</v>
      </c>
      <c r="G1259" s="6" t="s">
        <v>38</v>
      </c>
      <c r="H1259" s="1">
        <f t="shared" si="288"/>
        <v>39</v>
      </c>
      <c r="I1259" s="1" t="str">
        <f t="shared" si="286"/>
        <v>='C:\Users\jaime.benazar\Quorum Business Solutions\Ecopetrol Prometeo - Documents\Planning Space Implementation\3. Analysis &amp; Design\Design\FC22\DRR Jaime\QUIFA-CAJÚA\Cajua\[VAS_CAJUA_CF_SEC_20230125.xlsx]CF PDP'!$BX$39</v>
      </c>
      <c r="J1259" s="1" t="s">
        <v>687</v>
      </c>
    </row>
    <row r="1260" spans="1:10" x14ac:dyDescent="0.25">
      <c r="A1260" s="6" t="s">
        <v>1</v>
      </c>
      <c r="B1260" s="6">
        <f t="shared" si="287"/>
        <v>2027</v>
      </c>
      <c r="C1260" s="1" t="s">
        <v>14</v>
      </c>
      <c r="D1260" s="2" t="s">
        <v>128</v>
      </c>
      <c r="E1260" s="9" t="str">
        <f t="shared" si="285"/>
        <v>PDP'!</v>
      </c>
      <c r="F1260" s="5" t="str">
        <f t="shared" si="276"/>
        <v>C:\Users\jaime.benazar\Quorum Business Solutions\Ecopetrol Prometeo - Documents\Planning Space Implementation\3. Analysis &amp; Design\Design\FC22\DRR Jaime\QUIFA-CAJÚA\Cajua\[VAS_CAJUA_CF_SEC_20230125.xlsx]CF PDP'!</v>
      </c>
      <c r="G1260" s="6" t="s">
        <v>38</v>
      </c>
      <c r="H1260" s="1">
        <f t="shared" si="288"/>
        <v>40</v>
      </c>
      <c r="I1260" s="1" t="str">
        <f t="shared" si="286"/>
        <v>='C:\Users\jaime.benazar\Quorum Business Solutions\Ecopetrol Prometeo - Documents\Planning Space Implementation\3. Analysis &amp; Design\Design\FC22\DRR Jaime\QUIFA-CAJÚA\Cajua\[VAS_CAJUA_CF_SEC_20230125.xlsx]CF PDP'!$BX$40</v>
      </c>
      <c r="J1260" s="1" t="s">
        <v>688</v>
      </c>
    </row>
    <row r="1261" spans="1:10" x14ac:dyDescent="0.25">
      <c r="A1261" s="6" t="s">
        <v>1</v>
      </c>
      <c r="B1261" s="6">
        <f t="shared" si="287"/>
        <v>2028</v>
      </c>
      <c r="C1261" s="1" t="s">
        <v>14</v>
      </c>
      <c r="D1261" s="2" t="s">
        <v>128</v>
      </c>
      <c r="E1261" s="9" t="str">
        <f t="shared" si="285"/>
        <v>PDP'!</v>
      </c>
      <c r="F1261" s="5" t="str">
        <f t="shared" si="276"/>
        <v>C:\Users\jaime.benazar\Quorum Business Solutions\Ecopetrol Prometeo - Documents\Planning Space Implementation\3. Analysis &amp; Design\Design\FC22\DRR Jaime\QUIFA-CAJÚA\Cajua\[VAS_CAJUA_CF_SEC_20230125.xlsx]CF PDP'!</v>
      </c>
      <c r="G1261" s="6" t="s">
        <v>38</v>
      </c>
      <c r="H1261" s="1">
        <f t="shared" si="288"/>
        <v>41</v>
      </c>
      <c r="I1261" s="1" t="str">
        <f t="shared" si="286"/>
        <v>='C:\Users\jaime.benazar\Quorum Business Solutions\Ecopetrol Prometeo - Documents\Planning Space Implementation\3. Analysis &amp; Design\Design\FC22\DRR Jaime\QUIFA-CAJÚA\Cajua\[VAS_CAJUA_CF_SEC_20230125.xlsx]CF PDP'!$BX$41</v>
      </c>
      <c r="J1261" s="1" t="s">
        <v>689</v>
      </c>
    </row>
    <row r="1262" spans="1:10" x14ac:dyDescent="0.25">
      <c r="A1262" s="6" t="s">
        <v>1</v>
      </c>
      <c r="B1262" s="6">
        <f t="shared" si="287"/>
        <v>2029</v>
      </c>
      <c r="C1262" s="1" t="s">
        <v>14</v>
      </c>
      <c r="D1262" s="2" t="s">
        <v>128</v>
      </c>
      <c r="E1262" s="9" t="str">
        <f t="shared" si="285"/>
        <v>PDP'!</v>
      </c>
      <c r="F1262" s="5" t="str">
        <f t="shared" si="276"/>
        <v>C:\Users\jaime.benazar\Quorum Business Solutions\Ecopetrol Prometeo - Documents\Planning Space Implementation\3. Analysis &amp; Design\Design\FC22\DRR Jaime\QUIFA-CAJÚA\Cajua\[VAS_CAJUA_CF_SEC_20230125.xlsx]CF PDP'!</v>
      </c>
      <c r="G1262" s="6" t="s">
        <v>38</v>
      </c>
      <c r="H1262" s="1">
        <f t="shared" si="288"/>
        <v>42</v>
      </c>
      <c r="I1262" s="1" t="str">
        <f t="shared" si="286"/>
        <v>='C:\Users\jaime.benazar\Quorum Business Solutions\Ecopetrol Prometeo - Documents\Planning Space Implementation\3. Analysis &amp; Design\Design\FC22\DRR Jaime\QUIFA-CAJÚA\Cajua\[VAS_CAJUA_CF_SEC_20230125.xlsx]CF PDP'!$BX$42</v>
      </c>
      <c r="J1262" s="1" t="s">
        <v>690</v>
      </c>
    </row>
    <row r="1263" spans="1:10" x14ac:dyDescent="0.25">
      <c r="A1263" s="6" t="s">
        <v>1</v>
      </c>
      <c r="B1263" s="6">
        <f t="shared" si="287"/>
        <v>2030</v>
      </c>
      <c r="C1263" s="1" t="s">
        <v>14</v>
      </c>
      <c r="D1263" s="2" t="s">
        <v>128</v>
      </c>
      <c r="E1263" s="9" t="str">
        <f t="shared" si="285"/>
        <v>PDP'!</v>
      </c>
      <c r="F1263" s="5" t="str">
        <f t="shared" si="276"/>
        <v>C:\Users\jaime.benazar\Quorum Business Solutions\Ecopetrol Prometeo - Documents\Planning Space Implementation\3. Analysis &amp; Design\Design\FC22\DRR Jaime\QUIFA-CAJÚA\Cajua\[VAS_CAJUA_CF_SEC_20230125.xlsx]CF PDP'!</v>
      </c>
      <c r="G1263" s="6" t="s">
        <v>38</v>
      </c>
      <c r="H1263" s="1">
        <f t="shared" si="288"/>
        <v>43</v>
      </c>
      <c r="I1263" s="1" t="str">
        <f t="shared" si="286"/>
        <v>='C:\Users\jaime.benazar\Quorum Business Solutions\Ecopetrol Prometeo - Documents\Planning Space Implementation\3. Analysis &amp; Design\Design\FC22\DRR Jaime\QUIFA-CAJÚA\Cajua\[VAS_CAJUA_CF_SEC_20230125.xlsx]CF PDP'!$BX$43</v>
      </c>
      <c r="J1263" s="1" t="s">
        <v>691</v>
      </c>
    </row>
    <row r="1264" spans="1:10" x14ac:dyDescent="0.25">
      <c r="A1264" s="6" t="s">
        <v>1</v>
      </c>
      <c r="B1264" s="6">
        <f t="shared" si="287"/>
        <v>2031</v>
      </c>
      <c r="C1264" s="1" t="s">
        <v>14</v>
      </c>
      <c r="D1264" s="2" t="s">
        <v>128</v>
      </c>
      <c r="E1264" s="9" t="str">
        <f t="shared" si="285"/>
        <v>PDP'!</v>
      </c>
      <c r="F1264" s="5" t="str">
        <f t="shared" si="276"/>
        <v>C:\Users\jaime.benazar\Quorum Business Solutions\Ecopetrol Prometeo - Documents\Planning Space Implementation\3. Analysis &amp; Design\Design\FC22\DRR Jaime\QUIFA-CAJÚA\Cajua\[VAS_CAJUA_CF_SEC_20230125.xlsx]CF PDP'!</v>
      </c>
      <c r="G1264" s="6" t="s">
        <v>38</v>
      </c>
      <c r="H1264" s="1">
        <f t="shared" si="288"/>
        <v>44</v>
      </c>
      <c r="I1264" s="1" t="str">
        <f t="shared" si="286"/>
        <v>='C:\Users\jaime.benazar\Quorum Business Solutions\Ecopetrol Prometeo - Documents\Planning Space Implementation\3. Analysis &amp; Design\Design\FC22\DRR Jaime\QUIFA-CAJÚA\Cajua\[VAS_CAJUA_CF_SEC_20230125.xlsx]CF PDP'!$BX$44</v>
      </c>
      <c r="J1264" s="1" t="s">
        <v>692</v>
      </c>
    </row>
    <row r="1265" spans="1:10" x14ac:dyDescent="0.25">
      <c r="A1265" s="6" t="s">
        <v>1</v>
      </c>
      <c r="B1265" s="6">
        <f t="shared" si="287"/>
        <v>2032</v>
      </c>
      <c r="C1265" s="1" t="s">
        <v>14</v>
      </c>
      <c r="D1265" s="2" t="s">
        <v>128</v>
      </c>
      <c r="E1265" s="9" t="str">
        <f t="shared" si="285"/>
        <v>PDP'!</v>
      </c>
      <c r="F1265" s="5" t="str">
        <f t="shared" si="276"/>
        <v>C:\Users\jaime.benazar\Quorum Business Solutions\Ecopetrol Prometeo - Documents\Planning Space Implementation\3. Analysis &amp; Design\Design\FC22\DRR Jaime\QUIFA-CAJÚA\Cajua\[VAS_CAJUA_CF_SEC_20230125.xlsx]CF PDP'!</v>
      </c>
      <c r="G1265" s="6" t="s">
        <v>38</v>
      </c>
      <c r="H1265" s="1">
        <f t="shared" si="288"/>
        <v>45</v>
      </c>
      <c r="I1265" s="1" t="str">
        <f t="shared" si="286"/>
        <v>='C:\Users\jaime.benazar\Quorum Business Solutions\Ecopetrol Prometeo - Documents\Planning Space Implementation\3. Analysis &amp; Design\Design\FC22\DRR Jaime\QUIFA-CAJÚA\Cajua\[VAS_CAJUA_CF_SEC_20230125.xlsx]CF PDP'!$BX$45</v>
      </c>
      <c r="J1265" s="1" t="s">
        <v>693</v>
      </c>
    </row>
    <row r="1266" spans="1:10" x14ac:dyDescent="0.25">
      <c r="A1266" s="6" t="s">
        <v>1</v>
      </c>
      <c r="B1266" s="6">
        <f t="shared" si="287"/>
        <v>2033</v>
      </c>
      <c r="C1266" s="1" t="s">
        <v>14</v>
      </c>
      <c r="D1266" s="2" t="s">
        <v>128</v>
      </c>
      <c r="E1266" s="9" t="str">
        <f t="shared" si="285"/>
        <v>PDP'!</v>
      </c>
      <c r="F1266" s="5" t="str">
        <f t="shared" si="276"/>
        <v>C:\Users\jaime.benazar\Quorum Business Solutions\Ecopetrol Prometeo - Documents\Planning Space Implementation\3. Analysis &amp; Design\Design\FC22\DRR Jaime\QUIFA-CAJÚA\Cajua\[VAS_CAJUA_CF_SEC_20230125.xlsx]CF PDP'!</v>
      </c>
      <c r="G1266" s="6" t="s">
        <v>38</v>
      </c>
      <c r="H1266" s="1">
        <f t="shared" si="288"/>
        <v>46</v>
      </c>
      <c r="I1266" s="1" t="str">
        <f t="shared" si="286"/>
        <v>='C:\Users\jaime.benazar\Quorum Business Solutions\Ecopetrol Prometeo - Documents\Planning Space Implementation\3. Analysis &amp; Design\Design\FC22\DRR Jaime\QUIFA-CAJÚA\Cajua\[VAS_CAJUA_CF_SEC_20230125.xlsx]CF PDP'!$BX$46</v>
      </c>
      <c r="J1266" s="1" t="s">
        <v>694</v>
      </c>
    </row>
    <row r="1267" spans="1:10" x14ac:dyDescent="0.25">
      <c r="A1267" s="6" t="s">
        <v>1</v>
      </c>
      <c r="B1267" s="6">
        <f t="shared" si="287"/>
        <v>2034</v>
      </c>
      <c r="C1267" s="1" t="s">
        <v>14</v>
      </c>
      <c r="D1267" s="2" t="s">
        <v>128</v>
      </c>
      <c r="E1267" s="9" t="str">
        <f t="shared" si="285"/>
        <v>PDP'!</v>
      </c>
      <c r="F1267" s="5" t="str">
        <f t="shared" si="276"/>
        <v>C:\Users\jaime.benazar\Quorum Business Solutions\Ecopetrol Prometeo - Documents\Planning Space Implementation\3. Analysis &amp; Design\Design\FC22\DRR Jaime\QUIFA-CAJÚA\Cajua\[VAS_CAJUA_CF_SEC_20230125.xlsx]CF PDP'!</v>
      </c>
      <c r="G1267" s="6" t="s">
        <v>38</v>
      </c>
      <c r="H1267" s="1">
        <f t="shared" si="288"/>
        <v>47</v>
      </c>
      <c r="I1267" s="1" t="str">
        <f t="shared" si="286"/>
        <v>='C:\Users\jaime.benazar\Quorum Business Solutions\Ecopetrol Prometeo - Documents\Planning Space Implementation\3. Analysis &amp; Design\Design\FC22\DRR Jaime\QUIFA-CAJÚA\Cajua\[VAS_CAJUA_CF_SEC_20230125.xlsx]CF PDP'!$BX$47</v>
      </c>
      <c r="J1267" s="1" t="s">
        <v>695</v>
      </c>
    </row>
    <row r="1268" spans="1:10" x14ac:dyDescent="0.25">
      <c r="A1268" s="6" t="s">
        <v>1</v>
      </c>
      <c r="B1268" s="6">
        <f t="shared" si="287"/>
        <v>2035</v>
      </c>
      <c r="C1268" s="1" t="s">
        <v>14</v>
      </c>
      <c r="D1268" s="2" t="s">
        <v>128</v>
      </c>
      <c r="E1268" s="9" t="str">
        <f t="shared" si="285"/>
        <v>PDP'!</v>
      </c>
      <c r="F1268" s="5" t="str">
        <f t="shared" si="276"/>
        <v>C:\Users\jaime.benazar\Quorum Business Solutions\Ecopetrol Prometeo - Documents\Planning Space Implementation\3. Analysis &amp; Design\Design\FC22\DRR Jaime\QUIFA-CAJÚA\Cajua\[VAS_CAJUA_CF_SEC_20230125.xlsx]CF PDP'!</v>
      </c>
      <c r="G1268" s="6" t="s">
        <v>38</v>
      </c>
      <c r="H1268" s="1">
        <f t="shared" si="288"/>
        <v>48</v>
      </c>
      <c r="I1268" s="1" t="str">
        <f t="shared" si="286"/>
        <v>='C:\Users\jaime.benazar\Quorum Business Solutions\Ecopetrol Prometeo - Documents\Planning Space Implementation\3. Analysis &amp; Design\Design\FC22\DRR Jaime\QUIFA-CAJÚA\Cajua\[VAS_CAJUA_CF_SEC_20230125.xlsx]CF PDP'!$BX$48</v>
      </c>
      <c r="J1268" s="1" t="s">
        <v>696</v>
      </c>
    </row>
    <row r="1269" spans="1:10" x14ac:dyDescent="0.25">
      <c r="A1269" s="6" t="s">
        <v>1</v>
      </c>
      <c r="B1269" s="6">
        <f t="shared" si="287"/>
        <v>2036</v>
      </c>
      <c r="C1269" s="1" t="s">
        <v>14</v>
      </c>
      <c r="D1269" s="2" t="s">
        <v>128</v>
      </c>
      <c r="E1269" s="9" t="str">
        <f t="shared" si="285"/>
        <v>PDP'!</v>
      </c>
      <c r="F1269" s="5" t="str">
        <f t="shared" si="276"/>
        <v>C:\Users\jaime.benazar\Quorum Business Solutions\Ecopetrol Prometeo - Documents\Planning Space Implementation\3. Analysis &amp; Design\Design\FC22\DRR Jaime\QUIFA-CAJÚA\Cajua\[VAS_CAJUA_CF_SEC_20230125.xlsx]CF PDP'!</v>
      </c>
      <c r="G1269" s="6" t="s">
        <v>38</v>
      </c>
      <c r="H1269" s="1">
        <f t="shared" si="288"/>
        <v>49</v>
      </c>
      <c r="I1269" s="1" t="str">
        <f t="shared" si="286"/>
        <v>='C:\Users\jaime.benazar\Quorum Business Solutions\Ecopetrol Prometeo - Documents\Planning Space Implementation\3. Analysis &amp; Design\Design\FC22\DRR Jaime\QUIFA-CAJÚA\Cajua\[VAS_CAJUA_CF_SEC_20230125.xlsx]CF PDP'!$BX$49</v>
      </c>
      <c r="J1269" s="1" t="s">
        <v>697</v>
      </c>
    </row>
    <row r="1270" spans="1:10" x14ac:dyDescent="0.25">
      <c r="A1270" s="6" t="s">
        <v>1</v>
      </c>
      <c r="B1270" s="6">
        <f>+B1269+1</f>
        <v>2037</v>
      </c>
      <c r="C1270" s="1" t="s">
        <v>14</v>
      </c>
      <c r="D1270" s="2" t="s">
        <v>128</v>
      </c>
      <c r="E1270" s="9" t="str">
        <f t="shared" si="285"/>
        <v>PDP'!</v>
      </c>
      <c r="F1270" s="5" t="str">
        <f t="shared" si="276"/>
        <v>C:\Users\jaime.benazar\Quorum Business Solutions\Ecopetrol Prometeo - Documents\Planning Space Implementation\3. Analysis &amp; Design\Design\FC22\DRR Jaime\QUIFA-CAJÚA\Cajua\[VAS_CAJUA_CF_SEC_20230125.xlsx]CF PDP'!</v>
      </c>
      <c r="G1270" s="6" t="s">
        <v>38</v>
      </c>
      <c r="H1270" s="1">
        <f t="shared" si="288"/>
        <v>50</v>
      </c>
      <c r="I1270" s="1" t="str">
        <f t="shared" si="286"/>
        <v>='C:\Users\jaime.benazar\Quorum Business Solutions\Ecopetrol Prometeo - Documents\Planning Space Implementation\3. Analysis &amp; Design\Design\FC22\DRR Jaime\QUIFA-CAJÚA\Cajua\[VAS_CAJUA_CF_SEC_20230125.xlsx]CF PDP'!$BX$50</v>
      </c>
      <c r="J1270" s="1" t="s">
        <v>698</v>
      </c>
    </row>
    <row r="1271" spans="1:10" x14ac:dyDescent="0.25">
      <c r="A1271" s="6" t="s">
        <v>1</v>
      </c>
      <c r="B1271" s="6">
        <f t="shared" ref="B1271:B1273" si="289">+B1270+1</f>
        <v>2038</v>
      </c>
      <c r="C1271" s="1" t="s">
        <v>14</v>
      </c>
      <c r="D1271" s="2" t="s">
        <v>128</v>
      </c>
      <c r="E1271" s="9" t="str">
        <f t="shared" si="285"/>
        <v>PDP'!</v>
      </c>
      <c r="F1271" s="5" t="str">
        <f t="shared" si="276"/>
        <v>C:\Users\jaime.benazar\Quorum Business Solutions\Ecopetrol Prometeo - Documents\Planning Space Implementation\3. Analysis &amp; Design\Design\FC22\DRR Jaime\QUIFA-CAJÚA\Cajua\[VAS_CAJUA_CF_SEC_20230125.xlsx]CF PDP'!</v>
      </c>
      <c r="G1271" s="6" t="s">
        <v>38</v>
      </c>
      <c r="H1271" s="1">
        <f t="shared" si="288"/>
        <v>51</v>
      </c>
      <c r="I1271" s="1" t="str">
        <f t="shared" si="286"/>
        <v>='C:\Users\jaime.benazar\Quorum Business Solutions\Ecopetrol Prometeo - Documents\Planning Space Implementation\3. Analysis &amp; Design\Design\FC22\DRR Jaime\QUIFA-CAJÚA\Cajua\[VAS_CAJUA_CF_SEC_20230125.xlsx]CF PDP'!$BX$51</v>
      </c>
      <c r="J1271" s="1" t="s">
        <v>699</v>
      </c>
    </row>
    <row r="1272" spans="1:10" x14ac:dyDescent="0.25">
      <c r="A1272" s="6" t="s">
        <v>1</v>
      </c>
      <c r="B1272" s="6">
        <f t="shared" si="289"/>
        <v>2039</v>
      </c>
      <c r="C1272" s="1" t="s">
        <v>14</v>
      </c>
      <c r="D1272" s="2" t="s">
        <v>128</v>
      </c>
      <c r="E1272" s="9" t="str">
        <f t="shared" si="285"/>
        <v>PDP'!</v>
      </c>
      <c r="F1272" s="5" t="str">
        <f t="shared" si="276"/>
        <v>C:\Users\jaime.benazar\Quorum Business Solutions\Ecopetrol Prometeo - Documents\Planning Space Implementation\3. Analysis &amp; Design\Design\FC22\DRR Jaime\QUIFA-CAJÚA\Cajua\[VAS_CAJUA_CF_SEC_20230125.xlsx]CF PDP'!</v>
      </c>
      <c r="G1272" s="6" t="s">
        <v>38</v>
      </c>
      <c r="H1272" s="1">
        <f t="shared" si="288"/>
        <v>52</v>
      </c>
      <c r="I1272" s="1" t="str">
        <f t="shared" si="286"/>
        <v>='C:\Users\jaime.benazar\Quorum Business Solutions\Ecopetrol Prometeo - Documents\Planning Space Implementation\3. Analysis &amp; Design\Design\FC22\DRR Jaime\QUIFA-CAJÚA\Cajua\[VAS_CAJUA_CF_SEC_20230125.xlsx]CF PDP'!$BX$52</v>
      </c>
      <c r="J1272" s="1" t="s">
        <v>700</v>
      </c>
    </row>
    <row r="1273" spans="1:10" x14ac:dyDescent="0.25">
      <c r="A1273" s="6" t="s">
        <v>1</v>
      </c>
      <c r="B1273" s="6">
        <f t="shared" si="289"/>
        <v>2040</v>
      </c>
      <c r="C1273" s="1" t="s">
        <v>14</v>
      </c>
      <c r="D1273" s="2" t="s">
        <v>128</v>
      </c>
      <c r="E1273" s="9" t="str">
        <f t="shared" si="285"/>
        <v>PDP'!</v>
      </c>
      <c r="F1273" s="5" t="str">
        <f t="shared" si="276"/>
        <v>C:\Users\jaime.benazar\Quorum Business Solutions\Ecopetrol Prometeo - Documents\Planning Space Implementation\3. Analysis &amp; Design\Design\FC22\DRR Jaime\QUIFA-CAJÚA\Cajua\[VAS_CAJUA_CF_SEC_20230125.xlsx]CF PDP'!</v>
      </c>
      <c r="G1273" s="6" t="s">
        <v>38</v>
      </c>
      <c r="H1273" s="1">
        <f t="shared" si="288"/>
        <v>53</v>
      </c>
      <c r="I1273" s="1" t="str">
        <f t="shared" si="286"/>
        <v>='C:\Users\jaime.benazar\Quorum Business Solutions\Ecopetrol Prometeo - Documents\Planning Space Implementation\3. Analysis &amp; Design\Design\FC22\DRR Jaime\QUIFA-CAJÚA\Cajua\[VAS_CAJUA_CF_SEC_20230125.xlsx]CF PDP'!$BX$53</v>
      </c>
      <c r="J1273" s="1" t="s">
        <v>701</v>
      </c>
    </row>
    <row r="1274" spans="1:10" x14ac:dyDescent="0.25">
      <c r="A1274" s="6" t="s">
        <v>1</v>
      </c>
      <c r="B1274" s="6">
        <f>+B1273+1</f>
        <v>2041</v>
      </c>
      <c r="C1274" s="1" t="s">
        <v>14</v>
      </c>
      <c r="D1274" s="2" t="s">
        <v>128</v>
      </c>
      <c r="E1274" s="9" t="str">
        <f t="shared" si="285"/>
        <v>PDP'!</v>
      </c>
      <c r="F1274" s="5" t="str">
        <f t="shared" si="276"/>
        <v>C:\Users\jaime.benazar\Quorum Business Solutions\Ecopetrol Prometeo - Documents\Planning Space Implementation\3. Analysis &amp; Design\Design\FC22\DRR Jaime\QUIFA-CAJÚA\Cajua\[VAS_CAJUA_CF_SEC_20230125.xlsx]CF PDP'!</v>
      </c>
      <c r="G1274" s="6" t="s">
        <v>38</v>
      </c>
      <c r="H1274" s="1">
        <f t="shared" si="288"/>
        <v>54</v>
      </c>
      <c r="I1274" s="1" t="str">
        <f t="shared" si="286"/>
        <v>='C:\Users\jaime.benazar\Quorum Business Solutions\Ecopetrol Prometeo - Documents\Planning Space Implementation\3. Analysis &amp; Design\Design\FC22\DRR Jaime\QUIFA-CAJÚA\Cajua\[VAS_CAJUA_CF_SEC_20230125.xlsx]CF PDP'!$BX$54</v>
      </c>
      <c r="J1274" s="1" t="s">
        <v>702</v>
      </c>
    </row>
    <row r="1275" spans="1:10" x14ac:dyDescent="0.25">
      <c r="A1275" s="6" t="s">
        <v>1</v>
      </c>
      <c r="B1275" s="6">
        <f t="shared" ref="B1275:B1276" si="290">+B1274+1</f>
        <v>2042</v>
      </c>
      <c r="C1275" s="1" t="s">
        <v>14</v>
      </c>
      <c r="D1275" s="2" t="s">
        <v>128</v>
      </c>
      <c r="E1275" s="9" t="str">
        <f t="shared" si="285"/>
        <v>PDP'!</v>
      </c>
      <c r="F1275" s="5" t="str">
        <f t="shared" si="276"/>
        <v>C:\Users\jaime.benazar\Quorum Business Solutions\Ecopetrol Prometeo - Documents\Planning Space Implementation\3. Analysis &amp; Design\Design\FC22\DRR Jaime\QUIFA-CAJÚA\Cajua\[VAS_CAJUA_CF_SEC_20230125.xlsx]CF PDP'!</v>
      </c>
      <c r="G1275" s="6" t="s">
        <v>38</v>
      </c>
      <c r="H1275" s="1">
        <f t="shared" si="288"/>
        <v>55</v>
      </c>
      <c r="I1275" s="1" t="str">
        <f t="shared" si="286"/>
        <v>='C:\Users\jaime.benazar\Quorum Business Solutions\Ecopetrol Prometeo - Documents\Planning Space Implementation\3. Analysis &amp; Design\Design\FC22\DRR Jaime\QUIFA-CAJÚA\Cajua\[VAS_CAJUA_CF_SEC_20230125.xlsx]CF PDP'!$BX$55</v>
      </c>
      <c r="J1275" s="1" t="s">
        <v>703</v>
      </c>
    </row>
    <row r="1276" spans="1:10" x14ac:dyDescent="0.25">
      <c r="A1276" s="6" t="s">
        <v>1</v>
      </c>
      <c r="B1276" s="6">
        <f t="shared" si="290"/>
        <v>2043</v>
      </c>
      <c r="C1276" s="1" t="s">
        <v>14</v>
      </c>
      <c r="D1276" s="2" t="s">
        <v>128</v>
      </c>
      <c r="E1276" s="9" t="str">
        <f t="shared" si="285"/>
        <v>PDP'!</v>
      </c>
      <c r="F1276" s="5" t="str">
        <f t="shared" si="276"/>
        <v>C:\Users\jaime.benazar\Quorum Business Solutions\Ecopetrol Prometeo - Documents\Planning Space Implementation\3. Analysis &amp; Design\Design\FC22\DRR Jaime\QUIFA-CAJÚA\Cajua\[VAS_CAJUA_CF_SEC_20230125.xlsx]CF PDP'!</v>
      </c>
      <c r="G1276" s="6" t="s">
        <v>38</v>
      </c>
      <c r="H1276" s="1">
        <f t="shared" si="288"/>
        <v>56</v>
      </c>
      <c r="I1276" s="1" t="str">
        <f t="shared" si="286"/>
        <v>='C:\Users\jaime.benazar\Quorum Business Solutions\Ecopetrol Prometeo - Documents\Planning Space Implementation\3. Analysis &amp; Design\Design\FC22\DRR Jaime\QUIFA-CAJÚA\Cajua\[VAS_CAJUA_CF_SEC_20230125.xlsx]CF PDP'!$BX$56</v>
      </c>
      <c r="J1276" s="1" t="s">
        <v>704</v>
      </c>
    </row>
    <row r="1277" spans="1:10" x14ac:dyDescent="0.25">
      <c r="A1277" s="6" t="s">
        <v>1</v>
      </c>
      <c r="B1277" s="6">
        <f>+B1276+1</f>
        <v>2044</v>
      </c>
      <c r="C1277" s="1" t="s">
        <v>14</v>
      </c>
      <c r="D1277" s="2" t="s">
        <v>128</v>
      </c>
      <c r="E1277" s="9" t="str">
        <f t="shared" ref="E1277:E1292" si="291">_xlfn.CONCAT(A1277,"'!")</f>
        <v>PDP'!</v>
      </c>
      <c r="F1277" s="5" t="str">
        <f t="shared" ref="F1277:F1292" si="292">_xlfn.CONCAT(D1277," ",E1277)</f>
        <v>C:\Users\jaime.benazar\Quorum Business Solutions\Ecopetrol Prometeo - Documents\Planning Space Implementation\3. Analysis &amp; Design\Design\FC22\DRR Jaime\QUIFA-CAJÚA\Cajua\[VAS_CAJUA_CF_SEC_20230125.xlsx]CF PDP'!</v>
      </c>
      <c r="G1277" s="6" t="s">
        <v>38</v>
      </c>
      <c r="H1277" s="1">
        <f t="shared" ref="H1277:H1292" si="293">IF(A1277&lt;&gt;A1276,36,H1276+1)</f>
        <v>57</v>
      </c>
      <c r="I1277" s="1" t="str">
        <f t="shared" ref="I1277:I1292" si="294">_xlfn.CONCAT("='",F1277:H1277)</f>
        <v>='C:\Users\jaime.benazar\Quorum Business Solutions\Ecopetrol Prometeo - Documents\Planning Space Implementation\3. Analysis &amp; Design\Design\FC22\DRR Jaime\QUIFA-CAJÚA\Cajua\[VAS_CAJUA_CF_SEC_20230125.xlsx]CF PDP'!$BX$57</v>
      </c>
      <c r="J1277" s="1" t="s">
        <v>705</v>
      </c>
    </row>
    <row r="1278" spans="1:10" x14ac:dyDescent="0.25">
      <c r="A1278" s="6" t="s">
        <v>1</v>
      </c>
      <c r="B1278" s="6">
        <f t="shared" ref="B1278:B1292" si="295">+B1277+1</f>
        <v>2045</v>
      </c>
      <c r="C1278" s="1" t="s">
        <v>14</v>
      </c>
      <c r="D1278" s="2" t="s">
        <v>128</v>
      </c>
      <c r="E1278" s="9" t="str">
        <f t="shared" si="291"/>
        <v>PDP'!</v>
      </c>
      <c r="F1278" s="5" t="str">
        <f t="shared" si="292"/>
        <v>C:\Users\jaime.benazar\Quorum Business Solutions\Ecopetrol Prometeo - Documents\Planning Space Implementation\3. Analysis &amp; Design\Design\FC22\DRR Jaime\QUIFA-CAJÚA\Cajua\[VAS_CAJUA_CF_SEC_20230125.xlsx]CF PDP'!</v>
      </c>
      <c r="G1278" s="6" t="s">
        <v>38</v>
      </c>
      <c r="H1278" s="1">
        <f t="shared" si="293"/>
        <v>58</v>
      </c>
      <c r="I1278" s="1" t="str">
        <f t="shared" si="294"/>
        <v>='C:\Users\jaime.benazar\Quorum Business Solutions\Ecopetrol Prometeo - Documents\Planning Space Implementation\3. Analysis &amp; Design\Design\FC22\DRR Jaime\QUIFA-CAJÚA\Cajua\[VAS_CAJUA_CF_SEC_20230125.xlsx]CF PDP'!$BX$58</v>
      </c>
      <c r="J1278" s="1" t="s">
        <v>706</v>
      </c>
    </row>
    <row r="1279" spans="1:10" x14ac:dyDescent="0.25">
      <c r="A1279" s="6" t="s">
        <v>1</v>
      </c>
      <c r="B1279" s="6">
        <f t="shared" si="295"/>
        <v>2046</v>
      </c>
      <c r="C1279" s="1" t="s">
        <v>14</v>
      </c>
      <c r="D1279" s="2" t="s">
        <v>128</v>
      </c>
      <c r="E1279" s="9" t="str">
        <f t="shared" si="291"/>
        <v>PDP'!</v>
      </c>
      <c r="F1279" s="5" t="str">
        <f t="shared" si="292"/>
        <v>C:\Users\jaime.benazar\Quorum Business Solutions\Ecopetrol Prometeo - Documents\Planning Space Implementation\3. Analysis &amp; Design\Design\FC22\DRR Jaime\QUIFA-CAJÚA\Cajua\[VAS_CAJUA_CF_SEC_20230125.xlsx]CF PDP'!</v>
      </c>
      <c r="G1279" s="6" t="s">
        <v>38</v>
      </c>
      <c r="H1279" s="1">
        <f t="shared" si="293"/>
        <v>59</v>
      </c>
      <c r="I1279" s="1" t="str">
        <f t="shared" si="294"/>
        <v>='C:\Users\jaime.benazar\Quorum Business Solutions\Ecopetrol Prometeo - Documents\Planning Space Implementation\3. Analysis &amp; Design\Design\FC22\DRR Jaime\QUIFA-CAJÚA\Cajua\[VAS_CAJUA_CF_SEC_20230125.xlsx]CF PDP'!$BX$59</v>
      </c>
      <c r="J1279" s="1" t="s">
        <v>707</v>
      </c>
    </row>
    <row r="1280" spans="1:10" x14ac:dyDescent="0.25">
      <c r="A1280" s="6" t="s">
        <v>1</v>
      </c>
      <c r="B1280" s="6">
        <f t="shared" si="295"/>
        <v>2047</v>
      </c>
      <c r="C1280" s="1" t="s">
        <v>14</v>
      </c>
      <c r="D1280" s="2" t="s">
        <v>128</v>
      </c>
      <c r="E1280" s="9" t="str">
        <f t="shared" si="291"/>
        <v>PDP'!</v>
      </c>
      <c r="F1280" s="5" t="str">
        <f t="shared" si="292"/>
        <v>C:\Users\jaime.benazar\Quorum Business Solutions\Ecopetrol Prometeo - Documents\Planning Space Implementation\3. Analysis &amp; Design\Design\FC22\DRR Jaime\QUIFA-CAJÚA\Cajua\[VAS_CAJUA_CF_SEC_20230125.xlsx]CF PDP'!</v>
      </c>
      <c r="G1280" s="6" t="s">
        <v>38</v>
      </c>
      <c r="H1280" s="1">
        <f t="shared" si="293"/>
        <v>60</v>
      </c>
      <c r="I1280" s="1" t="str">
        <f t="shared" si="294"/>
        <v>='C:\Users\jaime.benazar\Quorum Business Solutions\Ecopetrol Prometeo - Documents\Planning Space Implementation\3. Analysis &amp; Design\Design\FC22\DRR Jaime\QUIFA-CAJÚA\Cajua\[VAS_CAJUA_CF_SEC_20230125.xlsx]CF PDP'!$BX$60</v>
      </c>
      <c r="J1280" s="1" t="s">
        <v>708</v>
      </c>
    </row>
    <row r="1281" spans="1:10" x14ac:dyDescent="0.25">
      <c r="A1281" s="6" t="s">
        <v>1</v>
      </c>
      <c r="B1281" s="6">
        <f t="shared" si="295"/>
        <v>2048</v>
      </c>
      <c r="C1281" s="1" t="s">
        <v>14</v>
      </c>
      <c r="D1281" s="2" t="s">
        <v>128</v>
      </c>
      <c r="E1281" s="9" t="str">
        <f t="shared" si="291"/>
        <v>PDP'!</v>
      </c>
      <c r="F1281" s="5" t="str">
        <f t="shared" si="292"/>
        <v>C:\Users\jaime.benazar\Quorum Business Solutions\Ecopetrol Prometeo - Documents\Planning Space Implementation\3. Analysis &amp; Design\Design\FC22\DRR Jaime\QUIFA-CAJÚA\Cajua\[VAS_CAJUA_CF_SEC_20230125.xlsx]CF PDP'!</v>
      </c>
      <c r="G1281" s="6" t="s">
        <v>38</v>
      </c>
      <c r="H1281" s="1">
        <f t="shared" si="293"/>
        <v>61</v>
      </c>
      <c r="I1281" s="1" t="str">
        <f t="shared" si="294"/>
        <v>='C:\Users\jaime.benazar\Quorum Business Solutions\Ecopetrol Prometeo - Documents\Planning Space Implementation\3. Analysis &amp; Design\Design\FC22\DRR Jaime\QUIFA-CAJÚA\Cajua\[VAS_CAJUA_CF_SEC_20230125.xlsx]CF PDP'!$BX$61</v>
      </c>
      <c r="J1281" s="1" t="s">
        <v>709</v>
      </c>
    </row>
    <row r="1282" spans="1:10" x14ac:dyDescent="0.25">
      <c r="A1282" s="6" t="s">
        <v>1</v>
      </c>
      <c r="B1282" s="6">
        <f t="shared" si="295"/>
        <v>2049</v>
      </c>
      <c r="C1282" s="1" t="s">
        <v>14</v>
      </c>
      <c r="D1282" s="2" t="s">
        <v>128</v>
      </c>
      <c r="E1282" s="9" t="str">
        <f t="shared" si="291"/>
        <v>PDP'!</v>
      </c>
      <c r="F1282" s="5" t="str">
        <f t="shared" si="292"/>
        <v>C:\Users\jaime.benazar\Quorum Business Solutions\Ecopetrol Prometeo - Documents\Planning Space Implementation\3. Analysis &amp; Design\Design\FC22\DRR Jaime\QUIFA-CAJÚA\Cajua\[VAS_CAJUA_CF_SEC_20230125.xlsx]CF PDP'!</v>
      </c>
      <c r="G1282" s="6" t="s">
        <v>38</v>
      </c>
      <c r="H1282" s="1">
        <f t="shared" si="293"/>
        <v>62</v>
      </c>
      <c r="I1282" s="1" t="str">
        <f t="shared" si="294"/>
        <v>='C:\Users\jaime.benazar\Quorum Business Solutions\Ecopetrol Prometeo - Documents\Planning Space Implementation\3. Analysis &amp; Design\Design\FC22\DRR Jaime\QUIFA-CAJÚA\Cajua\[VAS_CAJUA_CF_SEC_20230125.xlsx]CF PDP'!$BX$62</v>
      </c>
      <c r="J1282" s="1" t="s">
        <v>710</v>
      </c>
    </row>
    <row r="1283" spans="1:10" x14ac:dyDescent="0.25">
      <c r="A1283" s="6" t="s">
        <v>1</v>
      </c>
      <c r="B1283" s="6">
        <f t="shared" si="295"/>
        <v>2050</v>
      </c>
      <c r="C1283" s="1" t="s">
        <v>14</v>
      </c>
      <c r="D1283" s="2" t="s">
        <v>128</v>
      </c>
      <c r="E1283" s="9" t="str">
        <f t="shared" si="291"/>
        <v>PDP'!</v>
      </c>
      <c r="F1283" s="5" t="str">
        <f t="shared" si="292"/>
        <v>C:\Users\jaime.benazar\Quorum Business Solutions\Ecopetrol Prometeo - Documents\Planning Space Implementation\3. Analysis &amp; Design\Design\FC22\DRR Jaime\QUIFA-CAJÚA\Cajua\[VAS_CAJUA_CF_SEC_20230125.xlsx]CF PDP'!</v>
      </c>
      <c r="G1283" s="6" t="s">
        <v>38</v>
      </c>
      <c r="H1283" s="1">
        <f t="shared" si="293"/>
        <v>63</v>
      </c>
      <c r="I1283" s="1" t="str">
        <f t="shared" si="294"/>
        <v>='C:\Users\jaime.benazar\Quorum Business Solutions\Ecopetrol Prometeo - Documents\Planning Space Implementation\3. Analysis &amp; Design\Design\FC22\DRR Jaime\QUIFA-CAJÚA\Cajua\[VAS_CAJUA_CF_SEC_20230125.xlsx]CF PDP'!$BX$63</v>
      </c>
      <c r="J1283" s="1" t="s">
        <v>711</v>
      </c>
    </row>
    <row r="1284" spans="1:10" x14ac:dyDescent="0.25">
      <c r="A1284" s="6" t="s">
        <v>1</v>
      </c>
      <c r="B1284" s="6">
        <f t="shared" si="295"/>
        <v>2051</v>
      </c>
      <c r="C1284" s="1" t="s">
        <v>14</v>
      </c>
      <c r="D1284" s="2" t="s">
        <v>128</v>
      </c>
      <c r="E1284" s="9" t="str">
        <f t="shared" si="291"/>
        <v>PDP'!</v>
      </c>
      <c r="F1284" s="5" t="str">
        <f t="shared" si="292"/>
        <v>C:\Users\jaime.benazar\Quorum Business Solutions\Ecopetrol Prometeo - Documents\Planning Space Implementation\3. Analysis &amp; Design\Design\FC22\DRR Jaime\QUIFA-CAJÚA\Cajua\[VAS_CAJUA_CF_SEC_20230125.xlsx]CF PDP'!</v>
      </c>
      <c r="G1284" s="6" t="s">
        <v>38</v>
      </c>
      <c r="H1284" s="1">
        <f t="shared" si="293"/>
        <v>64</v>
      </c>
      <c r="I1284" s="1" t="str">
        <f t="shared" si="294"/>
        <v>='C:\Users\jaime.benazar\Quorum Business Solutions\Ecopetrol Prometeo - Documents\Planning Space Implementation\3. Analysis &amp; Design\Design\FC22\DRR Jaime\QUIFA-CAJÚA\Cajua\[VAS_CAJUA_CF_SEC_20230125.xlsx]CF PDP'!$BX$64</v>
      </c>
      <c r="J1284" s="1" t="s">
        <v>712</v>
      </c>
    </row>
    <row r="1285" spans="1:10" x14ac:dyDescent="0.25">
      <c r="A1285" s="6" t="s">
        <v>1</v>
      </c>
      <c r="B1285" s="6">
        <f t="shared" si="295"/>
        <v>2052</v>
      </c>
      <c r="C1285" s="1" t="s">
        <v>14</v>
      </c>
      <c r="D1285" s="2" t="s">
        <v>128</v>
      </c>
      <c r="E1285" s="9" t="str">
        <f t="shared" si="291"/>
        <v>PDP'!</v>
      </c>
      <c r="F1285" s="5" t="str">
        <f t="shared" si="292"/>
        <v>C:\Users\jaime.benazar\Quorum Business Solutions\Ecopetrol Prometeo - Documents\Planning Space Implementation\3. Analysis &amp; Design\Design\FC22\DRR Jaime\QUIFA-CAJÚA\Cajua\[VAS_CAJUA_CF_SEC_20230125.xlsx]CF PDP'!</v>
      </c>
      <c r="G1285" s="6" t="s">
        <v>38</v>
      </c>
      <c r="H1285" s="1">
        <f t="shared" si="293"/>
        <v>65</v>
      </c>
      <c r="I1285" s="1" t="str">
        <f t="shared" si="294"/>
        <v>='C:\Users\jaime.benazar\Quorum Business Solutions\Ecopetrol Prometeo - Documents\Planning Space Implementation\3. Analysis &amp; Design\Design\FC22\DRR Jaime\QUIFA-CAJÚA\Cajua\[VAS_CAJUA_CF_SEC_20230125.xlsx]CF PDP'!$BX$65</v>
      </c>
      <c r="J1285" s="1" t="s">
        <v>713</v>
      </c>
    </row>
    <row r="1286" spans="1:10" x14ac:dyDescent="0.25">
      <c r="A1286" s="6" t="s">
        <v>1</v>
      </c>
      <c r="B1286" s="6">
        <f t="shared" si="295"/>
        <v>2053</v>
      </c>
      <c r="C1286" s="1" t="s">
        <v>14</v>
      </c>
      <c r="D1286" s="2" t="s">
        <v>128</v>
      </c>
      <c r="E1286" s="9" t="str">
        <f t="shared" si="291"/>
        <v>PDP'!</v>
      </c>
      <c r="F1286" s="5" t="str">
        <f t="shared" si="292"/>
        <v>C:\Users\jaime.benazar\Quorum Business Solutions\Ecopetrol Prometeo - Documents\Planning Space Implementation\3. Analysis &amp; Design\Design\FC22\DRR Jaime\QUIFA-CAJÚA\Cajua\[VAS_CAJUA_CF_SEC_20230125.xlsx]CF PDP'!</v>
      </c>
      <c r="G1286" s="6" t="s">
        <v>38</v>
      </c>
      <c r="H1286" s="1">
        <f t="shared" si="293"/>
        <v>66</v>
      </c>
      <c r="I1286" s="1" t="str">
        <f t="shared" si="294"/>
        <v>='C:\Users\jaime.benazar\Quorum Business Solutions\Ecopetrol Prometeo - Documents\Planning Space Implementation\3. Analysis &amp; Design\Design\FC22\DRR Jaime\QUIFA-CAJÚA\Cajua\[VAS_CAJUA_CF_SEC_20230125.xlsx]CF PDP'!$BX$66</v>
      </c>
      <c r="J1286" s="1" t="s">
        <v>714</v>
      </c>
    </row>
    <row r="1287" spans="1:10" x14ac:dyDescent="0.25">
      <c r="A1287" s="6" t="s">
        <v>1</v>
      </c>
      <c r="B1287" s="6">
        <f t="shared" si="295"/>
        <v>2054</v>
      </c>
      <c r="C1287" s="1" t="s">
        <v>14</v>
      </c>
      <c r="D1287" s="2" t="s">
        <v>128</v>
      </c>
      <c r="E1287" s="9" t="str">
        <f t="shared" si="291"/>
        <v>PDP'!</v>
      </c>
      <c r="F1287" s="5" t="str">
        <f t="shared" si="292"/>
        <v>C:\Users\jaime.benazar\Quorum Business Solutions\Ecopetrol Prometeo - Documents\Planning Space Implementation\3. Analysis &amp; Design\Design\FC22\DRR Jaime\QUIFA-CAJÚA\Cajua\[VAS_CAJUA_CF_SEC_20230125.xlsx]CF PDP'!</v>
      </c>
      <c r="G1287" s="6" t="s">
        <v>38</v>
      </c>
      <c r="H1287" s="1">
        <f t="shared" si="293"/>
        <v>67</v>
      </c>
      <c r="I1287" s="1" t="str">
        <f t="shared" si="294"/>
        <v>='C:\Users\jaime.benazar\Quorum Business Solutions\Ecopetrol Prometeo - Documents\Planning Space Implementation\3. Analysis &amp; Design\Design\FC22\DRR Jaime\QUIFA-CAJÚA\Cajua\[VAS_CAJUA_CF_SEC_20230125.xlsx]CF PDP'!$BX$67</v>
      </c>
      <c r="J1287" s="1" t="s">
        <v>715</v>
      </c>
    </row>
    <row r="1288" spans="1:10" x14ac:dyDescent="0.25">
      <c r="A1288" s="6" t="s">
        <v>1</v>
      </c>
      <c r="B1288" s="6">
        <f t="shared" si="295"/>
        <v>2055</v>
      </c>
      <c r="C1288" s="1" t="s">
        <v>14</v>
      </c>
      <c r="D1288" s="2" t="s">
        <v>128</v>
      </c>
      <c r="E1288" s="9" t="str">
        <f t="shared" si="291"/>
        <v>PDP'!</v>
      </c>
      <c r="F1288" s="5" t="str">
        <f t="shared" si="292"/>
        <v>C:\Users\jaime.benazar\Quorum Business Solutions\Ecopetrol Prometeo - Documents\Planning Space Implementation\3. Analysis &amp; Design\Design\FC22\DRR Jaime\QUIFA-CAJÚA\Cajua\[VAS_CAJUA_CF_SEC_20230125.xlsx]CF PDP'!</v>
      </c>
      <c r="G1288" s="6" t="s">
        <v>38</v>
      </c>
      <c r="H1288" s="1">
        <f t="shared" si="293"/>
        <v>68</v>
      </c>
      <c r="I1288" s="1" t="str">
        <f t="shared" si="294"/>
        <v>='C:\Users\jaime.benazar\Quorum Business Solutions\Ecopetrol Prometeo - Documents\Planning Space Implementation\3. Analysis &amp; Design\Design\FC22\DRR Jaime\QUIFA-CAJÚA\Cajua\[VAS_CAJUA_CF_SEC_20230125.xlsx]CF PDP'!$BX$68</v>
      </c>
      <c r="J1288" s="1" t="s">
        <v>716</v>
      </c>
    </row>
    <row r="1289" spans="1:10" x14ac:dyDescent="0.25">
      <c r="A1289" s="6" t="s">
        <v>1</v>
      </c>
      <c r="B1289" s="6">
        <f t="shared" si="295"/>
        <v>2056</v>
      </c>
      <c r="C1289" s="1" t="s">
        <v>14</v>
      </c>
      <c r="D1289" s="2" t="s">
        <v>128</v>
      </c>
      <c r="E1289" s="9" t="str">
        <f t="shared" si="291"/>
        <v>PDP'!</v>
      </c>
      <c r="F1289" s="5" t="str">
        <f t="shared" si="292"/>
        <v>C:\Users\jaime.benazar\Quorum Business Solutions\Ecopetrol Prometeo - Documents\Planning Space Implementation\3. Analysis &amp; Design\Design\FC22\DRR Jaime\QUIFA-CAJÚA\Cajua\[VAS_CAJUA_CF_SEC_20230125.xlsx]CF PDP'!</v>
      </c>
      <c r="G1289" s="6" t="s">
        <v>38</v>
      </c>
      <c r="H1289" s="1">
        <f t="shared" si="293"/>
        <v>69</v>
      </c>
      <c r="I1289" s="1" t="str">
        <f t="shared" si="294"/>
        <v>='C:\Users\jaime.benazar\Quorum Business Solutions\Ecopetrol Prometeo - Documents\Planning Space Implementation\3. Analysis &amp; Design\Design\FC22\DRR Jaime\QUIFA-CAJÚA\Cajua\[VAS_CAJUA_CF_SEC_20230125.xlsx]CF PDP'!$BX$69</v>
      </c>
      <c r="J1289" s="1" t="s">
        <v>717</v>
      </c>
    </row>
    <row r="1290" spans="1:10" x14ac:dyDescent="0.25">
      <c r="A1290" s="6" t="s">
        <v>1</v>
      </c>
      <c r="B1290" s="6">
        <f t="shared" si="295"/>
        <v>2057</v>
      </c>
      <c r="C1290" s="1" t="s">
        <v>14</v>
      </c>
      <c r="D1290" s="2" t="s">
        <v>128</v>
      </c>
      <c r="E1290" s="9" t="str">
        <f t="shared" si="291"/>
        <v>PDP'!</v>
      </c>
      <c r="F1290" s="5" t="str">
        <f t="shared" si="292"/>
        <v>C:\Users\jaime.benazar\Quorum Business Solutions\Ecopetrol Prometeo - Documents\Planning Space Implementation\3. Analysis &amp; Design\Design\FC22\DRR Jaime\QUIFA-CAJÚA\Cajua\[VAS_CAJUA_CF_SEC_20230125.xlsx]CF PDP'!</v>
      </c>
      <c r="G1290" s="6" t="s">
        <v>38</v>
      </c>
      <c r="H1290" s="1">
        <f t="shared" si="293"/>
        <v>70</v>
      </c>
      <c r="I1290" s="1" t="str">
        <f t="shared" si="294"/>
        <v>='C:\Users\jaime.benazar\Quorum Business Solutions\Ecopetrol Prometeo - Documents\Planning Space Implementation\3. Analysis &amp; Design\Design\FC22\DRR Jaime\QUIFA-CAJÚA\Cajua\[VAS_CAJUA_CF_SEC_20230125.xlsx]CF PDP'!$BX$70</v>
      </c>
      <c r="J1290" s="1" t="s">
        <v>718</v>
      </c>
    </row>
    <row r="1291" spans="1:10" x14ac:dyDescent="0.25">
      <c r="A1291" s="6" t="s">
        <v>1</v>
      </c>
      <c r="B1291" s="6">
        <f t="shared" si="295"/>
        <v>2058</v>
      </c>
      <c r="C1291" s="1" t="s">
        <v>14</v>
      </c>
      <c r="D1291" s="2" t="s">
        <v>128</v>
      </c>
      <c r="E1291" s="9" t="str">
        <f t="shared" si="291"/>
        <v>PDP'!</v>
      </c>
      <c r="F1291" s="5" t="str">
        <f t="shared" si="292"/>
        <v>C:\Users\jaime.benazar\Quorum Business Solutions\Ecopetrol Prometeo - Documents\Planning Space Implementation\3. Analysis &amp; Design\Design\FC22\DRR Jaime\QUIFA-CAJÚA\Cajua\[VAS_CAJUA_CF_SEC_20230125.xlsx]CF PDP'!</v>
      </c>
      <c r="G1291" s="6" t="s">
        <v>38</v>
      </c>
      <c r="H1291" s="1">
        <f t="shared" si="293"/>
        <v>71</v>
      </c>
      <c r="I1291" s="1" t="str">
        <f t="shared" si="294"/>
        <v>='C:\Users\jaime.benazar\Quorum Business Solutions\Ecopetrol Prometeo - Documents\Planning Space Implementation\3. Analysis &amp; Design\Design\FC22\DRR Jaime\QUIFA-CAJÚA\Cajua\[VAS_CAJUA_CF_SEC_20230125.xlsx]CF PDP'!$BX$71</v>
      </c>
      <c r="J1291" s="1" t="s">
        <v>719</v>
      </c>
    </row>
    <row r="1292" spans="1:10" x14ac:dyDescent="0.25">
      <c r="A1292" s="6" t="s">
        <v>1</v>
      </c>
      <c r="B1292" s="6">
        <f t="shared" si="295"/>
        <v>2059</v>
      </c>
      <c r="C1292" s="1" t="s">
        <v>14</v>
      </c>
      <c r="D1292" s="2" t="s">
        <v>128</v>
      </c>
      <c r="E1292" s="9" t="str">
        <f t="shared" si="291"/>
        <v>PDP'!</v>
      </c>
      <c r="F1292" s="5" t="str">
        <f t="shared" si="292"/>
        <v>C:\Users\jaime.benazar\Quorum Business Solutions\Ecopetrol Prometeo - Documents\Planning Space Implementation\3. Analysis &amp; Design\Design\FC22\DRR Jaime\QUIFA-CAJÚA\Cajua\[VAS_CAJUA_CF_SEC_20230125.xlsx]CF PDP'!</v>
      </c>
      <c r="G1292" s="6" t="s">
        <v>38</v>
      </c>
      <c r="H1292" s="1">
        <f t="shared" si="293"/>
        <v>72</v>
      </c>
      <c r="I1292" s="1" t="str">
        <f t="shared" si="294"/>
        <v>='C:\Users\jaime.benazar\Quorum Business Solutions\Ecopetrol Prometeo - Documents\Planning Space Implementation\3. Analysis &amp; Design\Design\FC22\DRR Jaime\QUIFA-CAJÚA\Cajua\[VAS_CAJUA_CF_SEC_20230125.xlsx]CF PDP'!$BX$72</v>
      </c>
      <c r="J1292" s="1" t="s">
        <v>720</v>
      </c>
    </row>
    <row r="1293" spans="1:10" x14ac:dyDescent="0.25">
      <c r="A1293" s="6" t="s">
        <v>28</v>
      </c>
      <c r="B1293" s="6"/>
      <c r="C1293" s="1" t="s">
        <v>14</v>
      </c>
      <c r="D1293" s="2"/>
      <c r="E1293" s="9"/>
      <c r="F1293" s="5" t="str">
        <f t="shared" si="276"/>
        <v xml:space="preserve"> </v>
      </c>
      <c r="G1293" s="6"/>
      <c r="H1293" s="1"/>
      <c r="I1293" s="1"/>
      <c r="J1293" s="4"/>
    </row>
    <row r="1294" spans="1:10" x14ac:dyDescent="0.25">
      <c r="A1294" s="6" t="s">
        <v>2</v>
      </c>
      <c r="B1294" s="6">
        <v>2023</v>
      </c>
      <c r="C1294" s="1" t="s">
        <v>14</v>
      </c>
      <c r="D1294" s="2" t="s">
        <v>128</v>
      </c>
      <c r="E1294" s="9" t="str">
        <f t="shared" si="285"/>
        <v>PNP'!</v>
      </c>
      <c r="F1294" s="5" t="str">
        <f t="shared" si="276"/>
        <v>C:\Users\jaime.benazar\Quorum Business Solutions\Ecopetrol Prometeo - Documents\Planning Space Implementation\3. Analysis &amp; Design\Design\FC22\DRR Jaime\QUIFA-CAJÚA\Cajua\[VAS_CAJUA_CF_SEC_20230125.xlsx]CF PNP'!</v>
      </c>
      <c r="G1294" s="6" t="s">
        <v>38</v>
      </c>
      <c r="H1294" s="1">
        <f>IF(A1294&lt;&gt;A1278,36,H1278+1)</f>
        <v>36</v>
      </c>
      <c r="I1294" s="1" t="str">
        <f t="shared" si="286"/>
        <v>='C:\Users\jaime.benazar\Quorum Business Solutions\Ecopetrol Prometeo - Documents\Planning Space Implementation\3. Analysis &amp; Design\Design\FC22\DRR Jaime\QUIFA-CAJÚA\Cajua\[VAS_CAJUA_CF_SEC_20230125.xlsx]CF PNP'!$BX$36</v>
      </c>
      <c r="J1294" s="1" t="s">
        <v>721</v>
      </c>
    </row>
    <row r="1295" spans="1:10" x14ac:dyDescent="0.25">
      <c r="A1295" s="6" t="s">
        <v>2</v>
      </c>
      <c r="B1295" s="6">
        <f>+B1294+1</f>
        <v>2024</v>
      </c>
      <c r="C1295" s="1" t="s">
        <v>14</v>
      </c>
      <c r="D1295" s="2" t="s">
        <v>128</v>
      </c>
      <c r="E1295" s="9" t="str">
        <f t="shared" si="285"/>
        <v>PNP'!</v>
      </c>
      <c r="F1295" s="5" t="str">
        <f t="shared" si="276"/>
        <v>C:\Users\jaime.benazar\Quorum Business Solutions\Ecopetrol Prometeo - Documents\Planning Space Implementation\3. Analysis &amp; Design\Design\FC22\DRR Jaime\QUIFA-CAJÚA\Cajua\[VAS_CAJUA_CF_SEC_20230125.xlsx]CF PNP'!</v>
      </c>
      <c r="G1295" s="6" t="s">
        <v>38</v>
      </c>
      <c r="H1295" s="1">
        <f t="shared" si="288"/>
        <v>37</v>
      </c>
      <c r="I1295" s="1" t="str">
        <f t="shared" si="286"/>
        <v>='C:\Users\jaime.benazar\Quorum Business Solutions\Ecopetrol Prometeo - Documents\Planning Space Implementation\3. Analysis &amp; Design\Design\FC22\DRR Jaime\QUIFA-CAJÚA\Cajua\[VAS_CAJUA_CF_SEC_20230125.xlsx]CF PNP'!$BX$37</v>
      </c>
      <c r="J1295" s="1" t="s">
        <v>722</v>
      </c>
    </row>
    <row r="1296" spans="1:10" x14ac:dyDescent="0.25">
      <c r="A1296" s="6" t="s">
        <v>2</v>
      </c>
      <c r="B1296" s="6">
        <f t="shared" ref="B1296:B1307" si="296">+B1295+1</f>
        <v>2025</v>
      </c>
      <c r="C1296" s="1" t="s">
        <v>14</v>
      </c>
      <c r="D1296" s="2" t="s">
        <v>128</v>
      </c>
      <c r="E1296" s="9" t="str">
        <f t="shared" si="285"/>
        <v>PNP'!</v>
      </c>
      <c r="F1296" s="5" t="str">
        <f t="shared" si="276"/>
        <v>C:\Users\jaime.benazar\Quorum Business Solutions\Ecopetrol Prometeo - Documents\Planning Space Implementation\3. Analysis &amp; Design\Design\FC22\DRR Jaime\QUIFA-CAJÚA\Cajua\[VAS_CAJUA_CF_SEC_20230125.xlsx]CF PNP'!</v>
      </c>
      <c r="G1296" s="6" t="s">
        <v>38</v>
      </c>
      <c r="H1296" s="1">
        <f t="shared" si="288"/>
        <v>38</v>
      </c>
      <c r="I1296" s="1" t="str">
        <f t="shared" si="286"/>
        <v>='C:\Users\jaime.benazar\Quorum Business Solutions\Ecopetrol Prometeo - Documents\Planning Space Implementation\3. Analysis &amp; Design\Design\FC22\DRR Jaime\QUIFA-CAJÚA\Cajua\[VAS_CAJUA_CF_SEC_20230125.xlsx]CF PNP'!$BX$38</v>
      </c>
      <c r="J1296" s="1" t="s">
        <v>723</v>
      </c>
    </row>
    <row r="1297" spans="1:10" x14ac:dyDescent="0.25">
      <c r="A1297" s="6" t="s">
        <v>2</v>
      </c>
      <c r="B1297" s="6">
        <f t="shared" si="296"/>
        <v>2026</v>
      </c>
      <c r="C1297" s="1" t="s">
        <v>14</v>
      </c>
      <c r="D1297" s="2" t="s">
        <v>128</v>
      </c>
      <c r="E1297" s="9" t="str">
        <f t="shared" si="285"/>
        <v>PNP'!</v>
      </c>
      <c r="F1297" s="5" t="str">
        <f t="shared" si="276"/>
        <v>C:\Users\jaime.benazar\Quorum Business Solutions\Ecopetrol Prometeo - Documents\Planning Space Implementation\3. Analysis &amp; Design\Design\FC22\DRR Jaime\QUIFA-CAJÚA\Cajua\[VAS_CAJUA_CF_SEC_20230125.xlsx]CF PNP'!</v>
      </c>
      <c r="G1297" s="6" t="s">
        <v>38</v>
      </c>
      <c r="H1297" s="1">
        <f t="shared" si="288"/>
        <v>39</v>
      </c>
      <c r="I1297" s="1" t="str">
        <f t="shared" si="286"/>
        <v>='C:\Users\jaime.benazar\Quorum Business Solutions\Ecopetrol Prometeo - Documents\Planning Space Implementation\3. Analysis &amp; Design\Design\FC22\DRR Jaime\QUIFA-CAJÚA\Cajua\[VAS_CAJUA_CF_SEC_20230125.xlsx]CF PNP'!$BX$39</v>
      </c>
      <c r="J1297" s="1" t="s">
        <v>724</v>
      </c>
    </row>
    <row r="1298" spans="1:10" x14ac:dyDescent="0.25">
      <c r="A1298" s="6" t="s">
        <v>2</v>
      </c>
      <c r="B1298" s="6">
        <f t="shared" si="296"/>
        <v>2027</v>
      </c>
      <c r="C1298" s="1" t="s">
        <v>14</v>
      </c>
      <c r="D1298" s="2" t="s">
        <v>128</v>
      </c>
      <c r="E1298" s="9" t="str">
        <f t="shared" si="285"/>
        <v>PNP'!</v>
      </c>
      <c r="F1298" s="5" t="str">
        <f t="shared" si="276"/>
        <v>C:\Users\jaime.benazar\Quorum Business Solutions\Ecopetrol Prometeo - Documents\Planning Space Implementation\3. Analysis &amp; Design\Design\FC22\DRR Jaime\QUIFA-CAJÚA\Cajua\[VAS_CAJUA_CF_SEC_20230125.xlsx]CF PNP'!</v>
      </c>
      <c r="G1298" s="6" t="s">
        <v>38</v>
      </c>
      <c r="H1298" s="1">
        <f t="shared" si="288"/>
        <v>40</v>
      </c>
      <c r="I1298" s="1" t="str">
        <f t="shared" si="286"/>
        <v>='C:\Users\jaime.benazar\Quorum Business Solutions\Ecopetrol Prometeo - Documents\Planning Space Implementation\3. Analysis &amp; Design\Design\FC22\DRR Jaime\QUIFA-CAJÚA\Cajua\[VAS_CAJUA_CF_SEC_20230125.xlsx]CF PNP'!$BX$40</v>
      </c>
      <c r="J1298" s="1" t="s">
        <v>725</v>
      </c>
    </row>
    <row r="1299" spans="1:10" x14ac:dyDescent="0.25">
      <c r="A1299" s="6" t="s">
        <v>2</v>
      </c>
      <c r="B1299" s="6">
        <f t="shared" si="296"/>
        <v>2028</v>
      </c>
      <c r="C1299" s="1" t="s">
        <v>14</v>
      </c>
      <c r="D1299" s="2" t="s">
        <v>128</v>
      </c>
      <c r="E1299" s="9" t="str">
        <f t="shared" si="285"/>
        <v>PNP'!</v>
      </c>
      <c r="F1299" s="5" t="str">
        <f t="shared" si="276"/>
        <v>C:\Users\jaime.benazar\Quorum Business Solutions\Ecopetrol Prometeo - Documents\Planning Space Implementation\3. Analysis &amp; Design\Design\FC22\DRR Jaime\QUIFA-CAJÚA\Cajua\[VAS_CAJUA_CF_SEC_20230125.xlsx]CF PNP'!</v>
      </c>
      <c r="G1299" s="6" t="s">
        <v>38</v>
      </c>
      <c r="H1299" s="1">
        <f t="shared" si="288"/>
        <v>41</v>
      </c>
      <c r="I1299" s="1" t="str">
        <f t="shared" si="286"/>
        <v>='C:\Users\jaime.benazar\Quorum Business Solutions\Ecopetrol Prometeo - Documents\Planning Space Implementation\3. Analysis &amp; Design\Design\FC22\DRR Jaime\QUIFA-CAJÚA\Cajua\[VAS_CAJUA_CF_SEC_20230125.xlsx]CF PNP'!$BX$41</v>
      </c>
      <c r="J1299" s="1" t="s">
        <v>726</v>
      </c>
    </row>
    <row r="1300" spans="1:10" x14ac:dyDescent="0.25">
      <c r="A1300" s="6" t="s">
        <v>2</v>
      </c>
      <c r="B1300" s="6">
        <f t="shared" si="296"/>
        <v>2029</v>
      </c>
      <c r="C1300" s="1" t="s">
        <v>14</v>
      </c>
      <c r="D1300" s="2" t="s">
        <v>128</v>
      </c>
      <c r="E1300" s="9" t="str">
        <f t="shared" si="285"/>
        <v>PNP'!</v>
      </c>
      <c r="F1300" s="5" t="str">
        <f t="shared" si="276"/>
        <v>C:\Users\jaime.benazar\Quorum Business Solutions\Ecopetrol Prometeo - Documents\Planning Space Implementation\3. Analysis &amp; Design\Design\FC22\DRR Jaime\QUIFA-CAJÚA\Cajua\[VAS_CAJUA_CF_SEC_20230125.xlsx]CF PNP'!</v>
      </c>
      <c r="G1300" s="6" t="s">
        <v>38</v>
      </c>
      <c r="H1300" s="1">
        <f t="shared" si="288"/>
        <v>42</v>
      </c>
      <c r="I1300" s="1" t="str">
        <f t="shared" si="286"/>
        <v>='C:\Users\jaime.benazar\Quorum Business Solutions\Ecopetrol Prometeo - Documents\Planning Space Implementation\3. Analysis &amp; Design\Design\FC22\DRR Jaime\QUIFA-CAJÚA\Cajua\[VAS_CAJUA_CF_SEC_20230125.xlsx]CF PNP'!$BX$42</v>
      </c>
      <c r="J1300" s="1" t="s">
        <v>727</v>
      </c>
    </row>
    <row r="1301" spans="1:10" x14ac:dyDescent="0.25">
      <c r="A1301" s="6" t="s">
        <v>2</v>
      </c>
      <c r="B1301" s="6">
        <f t="shared" si="296"/>
        <v>2030</v>
      </c>
      <c r="C1301" s="1" t="s">
        <v>14</v>
      </c>
      <c r="D1301" s="2" t="s">
        <v>128</v>
      </c>
      <c r="E1301" s="9" t="str">
        <f t="shared" si="285"/>
        <v>PNP'!</v>
      </c>
      <c r="F1301" s="5" t="str">
        <f t="shared" si="276"/>
        <v>C:\Users\jaime.benazar\Quorum Business Solutions\Ecopetrol Prometeo - Documents\Planning Space Implementation\3. Analysis &amp; Design\Design\FC22\DRR Jaime\QUIFA-CAJÚA\Cajua\[VAS_CAJUA_CF_SEC_20230125.xlsx]CF PNP'!</v>
      </c>
      <c r="G1301" s="6" t="s">
        <v>38</v>
      </c>
      <c r="H1301" s="1">
        <f t="shared" si="288"/>
        <v>43</v>
      </c>
      <c r="I1301" s="1" t="str">
        <f t="shared" si="286"/>
        <v>='C:\Users\jaime.benazar\Quorum Business Solutions\Ecopetrol Prometeo - Documents\Planning Space Implementation\3. Analysis &amp; Design\Design\FC22\DRR Jaime\QUIFA-CAJÚA\Cajua\[VAS_CAJUA_CF_SEC_20230125.xlsx]CF PNP'!$BX$43</v>
      </c>
      <c r="J1301" s="1" t="s">
        <v>728</v>
      </c>
    </row>
    <row r="1302" spans="1:10" x14ac:dyDescent="0.25">
      <c r="A1302" s="6" t="s">
        <v>2</v>
      </c>
      <c r="B1302" s="6">
        <f t="shared" si="296"/>
        <v>2031</v>
      </c>
      <c r="C1302" s="1" t="s">
        <v>14</v>
      </c>
      <c r="D1302" s="2" t="s">
        <v>128</v>
      </c>
      <c r="E1302" s="9" t="str">
        <f t="shared" si="285"/>
        <v>PNP'!</v>
      </c>
      <c r="F1302" s="5" t="str">
        <f t="shared" si="276"/>
        <v>C:\Users\jaime.benazar\Quorum Business Solutions\Ecopetrol Prometeo - Documents\Planning Space Implementation\3. Analysis &amp; Design\Design\FC22\DRR Jaime\QUIFA-CAJÚA\Cajua\[VAS_CAJUA_CF_SEC_20230125.xlsx]CF PNP'!</v>
      </c>
      <c r="G1302" s="6" t="s">
        <v>38</v>
      </c>
      <c r="H1302" s="1">
        <f t="shared" si="288"/>
        <v>44</v>
      </c>
      <c r="I1302" s="1" t="str">
        <f t="shared" si="286"/>
        <v>='C:\Users\jaime.benazar\Quorum Business Solutions\Ecopetrol Prometeo - Documents\Planning Space Implementation\3. Analysis &amp; Design\Design\FC22\DRR Jaime\QUIFA-CAJÚA\Cajua\[VAS_CAJUA_CF_SEC_20230125.xlsx]CF PNP'!$BX$44</v>
      </c>
      <c r="J1302" s="1" t="s">
        <v>729</v>
      </c>
    </row>
    <row r="1303" spans="1:10" x14ac:dyDescent="0.25">
      <c r="A1303" s="6" t="s">
        <v>2</v>
      </c>
      <c r="B1303" s="6">
        <f t="shared" si="296"/>
        <v>2032</v>
      </c>
      <c r="C1303" s="1" t="s">
        <v>14</v>
      </c>
      <c r="D1303" s="2" t="s">
        <v>128</v>
      </c>
      <c r="E1303" s="9" t="str">
        <f t="shared" si="285"/>
        <v>PNP'!</v>
      </c>
      <c r="F1303" s="5" t="str">
        <f t="shared" si="276"/>
        <v>C:\Users\jaime.benazar\Quorum Business Solutions\Ecopetrol Prometeo - Documents\Planning Space Implementation\3. Analysis &amp; Design\Design\FC22\DRR Jaime\QUIFA-CAJÚA\Cajua\[VAS_CAJUA_CF_SEC_20230125.xlsx]CF PNP'!</v>
      </c>
      <c r="G1303" s="6" t="s">
        <v>38</v>
      </c>
      <c r="H1303" s="1">
        <f t="shared" si="288"/>
        <v>45</v>
      </c>
      <c r="I1303" s="1" t="str">
        <f t="shared" si="286"/>
        <v>='C:\Users\jaime.benazar\Quorum Business Solutions\Ecopetrol Prometeo - Documents\Planning Space Implementation\3. Analysis &amp; Design\Design\FC22\DRR Jaime\QUIFA-CAJÚA\Cajua\[VAS_CAJUA_CF_SEC_20230125.xlsx]CF PNP'!$BX$45</v>
      </c>
      <c r="J1303" s="1" t="s">
        <v>730</v>
      </c>
    </row>
    <row r="1304" spans="1:10" x14ac:dyDescent="0.25">
      <c r="A1304" s="6" t="s">
        <v>2</v>
      </c>
      <c r="B1304" s="6">
        <f t="shared" si="296"/>
        <v>2033</v>
      </c>
      <c r="C1304" s="1" t="s">
        <v>14</v>
      </c>
      <c r="D1304" s="2" t="s">
        <v>128</v>
      </c>
      <c r="E1304" s="9" t="str">
        <f t="shared" si="285"/>
        <v>PNP'!</v>
      </c>
      <c r="F1304" s="5" t="str">
        <f t="shared" si="276"/>
        <v>C:\Users\jaime.benazar\Quorum Business Solutions\Ecopetrol Prometeo - Documents\Planning Space Implementation\3. Analysis &amp; Design\Design\FC22\DRR Jaime\QUIFA-CAJÚA\Cajua\[VAS_CAJUA_CF_SEC_20230125.xlsx]CF PNP'!</v>
      </c>
      <c r="G1304" s="6" t="s">
        <v>38</v>
      </c>
      <c r="H1304" s="1">
        <f t="shared" si="288"/>
        <v>46</v>
      </c>
      <c r="I1304" s="1" t="str">
        <f t="shared" si="286"/>
        <v>='C:\Users\jaime.benazar\Quorum Business Solutions\Ecopetrol Prometeo - Documents\Planning Space Implementation\3. Analysis &amp; Design\Design\FC22\DRR Jaime\QUIFA-CAJÚA\Cajua\[VAS_CAJUA_CF_SEC_20230125.xlsx]CF PNP'!$BX$46</v>
      </c>
      <c r="J1304" s="1" t="s">
        <v>731</v>
      </c>
    </row>
    <row r="1305" spans="1:10" x14ac:dyDescent="0.25">
      <c r="A1305" s="6" t="s">
        <v>2</v>
      </c>
      <c r="B1305" s="6">
        <f t="shared" si="296"/>
        <v>2034</v>
      </c>
      <c r="C1305" s="1" t="s">
        <v>14</v>
      </c>
      <c r="D1305" s="2" t="s">
        <v>128</v>
      </c>
      <c r="E1305" s="9" t="str">
        <f t="shared" si="285"/>
        <v>PNP'!</v>
      </c>
      <c r="F1305" s="5" t="str">
        <f t="shared" si="276"/>
        <v>C:\Users\jaime.benazar\Quorum Business Solutions\Ecopetrol Prometeo - Documents\Planning Space Implementation\3. Analysis &amp; Design\Design\FC22\DRR Jaime\QUIFA-CAJÚA\Cajua\[VAS_CAJUA_CF_SEC_20230125.xlsx]CF PNP'!</v>
      </c>
      <c r="G1305" s="6" t="s">
        <v>38</v>
      </c>
      <c r="H1305" s="1">
        <f t="shared" si="288"/>
        <v>47</v>
      </c>
      <c r="I1305" s="1" t="str">
        <f t="shared" si="286"/>
        <v>='C:\Users\jaime.benazar\Quorum Business Solutions\Ecopetrol Prometeo - Documents\Planning Space Implementation\3. Analysis &amp; Design\Design\FC22\DRR Jaime\QUIFA-CAJÚA\Cajua\[VAS_CAJUA_CF_SEC_20230125.xlsx]CF PNP'!$BX$47</v>
      </c>
      <c r="J1305" s="1" t="s">
        <v>732</v>
      </c>
    </row>
    <row r="1306" spans="1:10" x14ac:dyDescent="0.25">
      <c r="A1306" s="6" t="s">
        <v>2</v>
      </c>
      <c r="B1306" s="6">
        <f t="shared" si="296"/>
        <v>2035</v>
      </c>
      <c r="C1306" s="1" t="s">
        <v>14</v>
      </c>
      <c r="D1306" s="2" t="s">
        <v>128</v>
      </c>
      <c r="E1306" s="9" t="str">
        <f t="shared" si="285"/>
        <v>PNP'!</v>
      </c>
      <c r="F1306" s="5" t="str">
        <f t="shared" si="276"/>
        <v>C:\Users\jaime.benazar\Quorum Business Solutions\Ecopetrol Prometeo - Documents\Planning Space Implementation\3. Analysis &amp; Design\Design\FC22\DRR Jaime\QUIFA-CAJÚA\Cajua\[VAS_CAJUA_CF_SEC_20230125.xlsx]CF PNP'!</v>
      </c>
      <c r="G1306" s="6" t="s">
        <v>38</v>
      </c>
      <c r="H1306" s="1">
        <f t="shared" si="288"/>
        <v>48</v>
      </c>
      <c r="I1306" s="1" t="str">
        <f t="shared" si="286"/>
        <v>='C:\Users\jaime.benazar\Quorum Business Solutions\Ecopetrol Prometeo - Documents\Planning Space Implementation\3. Analysis &amp; Design\Design\FC22\DRR Jaime\QUIFA-CAJÚA\Cajua\[VAS_CAJUA_CF_SEC_20230125.xlsx]CF PNP'!$BX$48</v>
      </c>
      <c r="J1306" s="1" t="s">
        <v>733</v>
      </c>
    </row>
    <row r="1307" spans="1:10" x14ac:dyDescent="0.25">
      <c r="A1307" s="6" t="s">
        <v>2</v>
      </c>
      <c r="B1307" s="6">
        <f t="shared" si="296"/>
        <v>2036</v>
      </c>
      <c r="C1307" s="1" t="s">
        <v>14</v>
      </c>
      <c r="D1307" s="2" t="s">
        <v>128</v>
      </c>
      <c r="E1307" s="9" t="str">
        <f t="shared" si="285"/>
        <v>PNP'!</v>
      </c>
      <c r="F1307" s="5" t="str">
        <f t="shared" si="276"/>
        <v>C:\Users\jaime.benazar\Quorum Business Solutions\Ecopetrol Prometeo - Documents\Planning Space Implementation\3. Analysis &amp; Design\Design\FC22\DRR Jaime\QUIFA-CAJÚA\Cajua\[VAS_CAJUA_CF_SEC_20230125.xlsx]CF PNP'!</v>
      </c>
      <c r="G1307" s="6" t="s">
        <v>38</v>
      </c>
      <c r="H1307" s="1">
        <f t="shared" si="288"/>
        <v>49</v>
      </c>
      <c r="I1307" s="1" t="str">
        <f t="shared" si="286"/>
        <v>='C:\Users\jaime.benazar\Quorum Business Solutions\Ecopetrol Prometeo - Documents\Planning Space Implementation\3. Analysis &amp; Design\Design\FC22\DRR Jaime\QUIFA-CAJÚA\Cajua\[VAS_CAJUA_CF_SEC_20230125.xlsx]CF PNP'!$BX$49</v>
      </c>
      <c r="J1307" s="1" t="s">
        <v>734</v>
      </c>
    </row>
    <row r="1308" spans="1:10" x14ac:dyDescent="0.25">
      <c r="A1308" s="6" t="s">
        <v>2</v>
      </c>
      <c r="B1308" s="6">
        <f>+B1307+1</f>
        <v>2037</v>
      </c>
      <c r="C1308" s="1" t="s">
        <v>14</v>
      </c>
      <c r="D1308" s="2" t="s">
        <v>128</v>
      </c>
      <c r="E1308" s="9" t="str">
        <f t="shared" si="285"/>
        <v>PNP'!</v>
      </c>
      <c r="F1308" s="5" t="str">
        <f t="shared" si="276"/>
        <v>C:\Users\jaime.benazar\Quorum Business Solutions\Ecopetrol Prometeo - Documents\Planning Space Implementation\3. Analysis &amp; Design\Design\FC22\DRR Jaime\QUIFA-CAJÚA\Cajua\[VAS_CAJUA_CF_SEC_20230125.xlsx]CF PNP'!</v>
      </c>
      <c r="G1308" s="6" t="s">
        <v>38</v>
      </c>
      <c r="H1308" s="1">
        <f t="shared" si="288"/>
        <v>50</v>
      </c>
      <c r="I1308" s="1" t="str">
        <f t="shared" si="286"/>
        <v>='C:\Users\jaime.benazar\Quorum Business Solutions\Ecopetrol Prometeo - Documents\Planning Space Implementation\3. Analysis &amp; Design\Design\FC22\DRR Jaime\QUIFA-CAJÚA\Cajua\[VAS_CAJUA_CF_SEC_20230125.xlsx]CF PNP'!$BX$50</v>
      </c>
      <c r="J1308" s="1" t="s">
        <v>735</v>
      </c>
    </row>
    <row r="1309" spans="1:10" x14ac:dyDescent="0.25">
      <c r="A1309" s="6" t="s">
        <v>2</v>
      </c>
      <c r="B1309" s="6">
        <f t="shared" ref="B1309:B1311" si="297">+B1308+1</f>
        <v>2038</v>
      </c>
      <c r="C1309" s="1" t="s">
        <v>14</v>
      </c>
      <c r="D1309" s="2" t="s">
        <v>128</v>
      </c>
      <c r="E1309" s="9" t="str">
        <f t="shared" si="285"/>
        <v>PNP'!</v>
      </c>
      <c r="F1309" s="5" t="str">
        <f t="shared" si="276"/>
        <v>C:\Users\jaime.benazar\Quorum Business Solutions\Ecopetrol Prometeo - Documents\Planning Space Implementation\3. Analysis &amp; Design\Design\FC22\DRR Jaime\QUIFA-CAJÚA\Cajua\[VAS_CAJUA_CF_SEC_20230125.xlsx]CF PNP'!</v>
      </c>
      <c r="G1309" s="6" t="s">
        <v>38</v>
      </c>
      <c r="H1309" s="1">
        <f t="shared" si="288"/>
        <v>51</v>
      </c>
      <c r="I1309" s="1" t="str">
        <f t="shared" si="286"/>
        <v>='C:\Users\jaime.benazar\Quorum Business Solutions\Ecopetrol Prometeo - Documents\Planning Space Implementation\3. Analysis &amp; Design\Design\FC22\DRR Jaime\QUIFA-CAJÚA\Cajua\[VAS_CAJUA_CF_SEC_20230125.xlsx]CF PNP'!$BX$51</v>
      </c>
      <c r="J1309" s="1" t="s">
        <v>736</v>
      </c>
    </row>
    <row r="1310" spans="1:10" x14ac:dyDescent="0.25">
      <c r="A1310" s="6" t="s">
        <v>2</v>
      </c>
      <c r="B1310" s="6">
        <f t="shared" si="297"/>
        <v>2039</v>
      </c>
      <c r="C1310" s="1" t="s">
        <v>14</v>
      </c>
      <c r="D1310" s="2" t="s">
        <v>128</v>
      </c>
      <c r="E1310" s="9" t="str">
        <f t="shared" si="285"/>
        <v>PNP'!</v>
      </c>
      <c r="F1310" s="5" t="str">
        <f t="shared" si="276"/>
        <v>C:\Users\jaime.benazar\Quorum Business Solutions\Ecopetrol Prometeo - Documents\Planning Space Implementation\3. Analysis &amp; Design\Design\FC22\DRR Jaime\QUIFA-CAJÚA\Cajua\[VAS_CAJUA_CF_SEC_20230125.xlsx]CF PNP'!</v>
      </c>
      <c r="G1310" s="6" t="s">
        <v>38</v>
      </c>
      <c r="H1310" s="1">
        <f t="shared" si="288"/>
        <v>52</v>
      </c>
      <c r="I1310" s="1" t="str">
        <f t="shared" si="286"/>
        <v>='C:\Users\jaime.benazar\Quorum Business Solutions\Ecopetrol Prometeo - Documents\Planning Space Implementation\3. Analysis &amp; Design\Design\FC22\DRR Jaime\QUIFA-CAJÚA\Cajua\[VAS_CAJUA_CF_SEC_20230125.xlsx]CF PNP'!$BX$52</v>
      </c>
      <c r="J1310" s="1" t="s">
        <v>737</v>
      </c>
    </row>
    <row r="1311" spans="1:10" x14ac:dyDescent="0.25">
      <c r="A1311" s="6" t="s">
        <v>2</v>
      </c>
      <c r="B1311" s="6">
        <f t="shared" si="297"/>
        <v>2040</v>
      </c>
      <c r="C1311" s="1" t="s">
        <v>14</v>
      </c>
      <c r="D1311" s="2" t="s">
        <v>128</v>
      </c>
      <c r="E1311" s="9" t="str">
        <f t="shared" si="285"/>
        <v>PNP'!</v>
      </c>
      <c r="F1311" s="5" t="str">
        <f t="shared" ref="F1311:F1416" si="298">_xlfn.CONCAT(D1311," ",E1311)</f>
        <v>C:\Users\jaime.benazar\Quorum Business Solutions\Ecopetrol Prometeo - Documents\Planning Space Implementation\3. Analysis &amp; Design\Design\FC22\DRR Jaime\QUIFA-CAJÚA\Cajua\[VAS_CAJUA_CF_SEC_20230125.xlsx]CF PNP'!</v>
      </c>
      <c r="G1311" s="6" t="s">
        <v>38</v>
      </c>
      <c r="H1311" s="1">
        <f t="shared" si="288"/>
        <v>53</v>
      </c>
      <c r="I1311" s="1" t="str">
        <f t="shared" si="286"/>
        <v>='C:\Users\jaime.benazar\Quorum Business Solutions\Ecopetrol Prometeo - Documents\Planning Space Implementation\3. Analysis &amp; Design\Design\FC22\DRR Jaime\QUIFA-CAJÚA\Cajua\[VAS_CAJUA_CF_SEC_20230125.xlsx]CF PNP'!$BX$53</v>
      </c>
      <c r="J1311" s="1" t="s">
        <v>738</v>
      </c>
    </row>
    <row r="1312" spans="1:10" x14ac:dyDescent="0.25">
      <c r="A1312" s="6" t="s">
        <v>2</v>
      </c>
      <c r="B1312" s="6">
        <f>+B1311+1</f>
        <v>2041</v>
      </c>
      <c r="C1312" s="1" t="s">
        <v>14</v>
      </c>
      <c r="D1312" s="2" t="s">
        <v>128</v>
      </c>
      <c r="E1312" s="9" t="str">
        <f t="shared" si="285"/>
        <v>PNP'!</v>
      </c>
      <c r="F1312" s="5" t="str">
        <f t="shared" si="298"/>
        <v>C:\Users\jaime.benazar\Quorum Business Solutions\Ecopetrol Prometeo - Documents\Planning Space Implementation\3. Analysis &amp; Design\Design\FC22\DRR Jaime\QUIFA-CAJÚA\Cajua\[VAS_CAJUA_CF_SEC_20230125.xlsx]CF PNP'!</v>
      </c>
      <c r="G1312" s="6" t="s">
        <v>38</v>
      </c>
      <c r="H1312" s="1">
        <f t="shared" si="288"/>
        <v>54</v>
      </c>
      <c r="I1312" s="1" t="str">
        <f t="shared" si="286"/>
        <v>='C:\Users\jaime.benazar\Quorum Business Solutions\Ecopetrol Prometeo - Documents\Planning Space Implementation\3. Analysis &amp; Design\Design\FC22\DRR Jaime\QUIFA-CAJÚA\Cajua\[VAS_CAJUA_CF_SEC_20230125.xlsx]CF PNP'!$BX$54</v>
      </c>
      <c r="J1312" s="1" t="s">
        <v>739</v>
      </c>
    </row>
    <row r="1313" spans="1:10" x14ac:dyDescent="0.25">
      <c r="A1313" s="6" t="s">
        <v>2</v>
      </c>
      <c r="B1313" s="6">
        <f t="shared" ref="B1313:B1314" si="299">+B1312+1</f>
        <v>2042</v>
      </c>
      <c r="C1313" s="1" t="s">
        <v>14</v>
      </c>
      <c r="D1313" s="2" t="s">
        <v>128</v>
      </c>
      <c r="E1313" s="9" t="str">
        <f t="shared" si="285"/>
        <v>PNP'!</v>
      </c>
      <c r="F1313" s="5" t="str">
        <f t="shared" si="298"/>
        <v>C:\Users\jaime.benazar\Quorum Business Solutions\Ecopetrol Prometeo - Documents\Planning Space Implementation\3. Analysis &amp; Design\Design\FC22\DRR Jaime\QUIFA-CAJÚA\Cajua\[VAS_CAJUA_CF_SEC_20230125.xlsx]CF PNP'!</v>
      </c>
      <c r="G1313" s="6" t="s">
        <v>38</v>
      </c>
      <c r="H1313" s="1">
        <f t="shared" si="288"/>
        <v>55</v>
      </c>
      <c r="I1313" s="1" t="str">
        <f t="shared" si="286"/>
        <v>='C:\Users\jaime.benazar\Quorum Business Solutions\Ecopetrol Prometeo - Documents\Planning Space Implementation\3. Analysis &amp; Design\Design\FC22\DRR Jaime\QUIFA-CAJÚA\Cajua\[VAS_CAJUA_CF_SEC_20230125.xlsx]CF PNP'!$BX$55</v>
      </c>
      <c r="J1313" s="1" t="s">
        <v>740</v>
      </c>
    </row>
    <row r="1314" spans="1:10" x14ac:dyDescent="0.25">
      <c r="A1314" s="6" t="s">
        <v>2</v>
      </c>
      <c r="B1314" s="6">
        <f t="shared" si="299"/>
        <v>2043</v>
      </c>
      <c r="C1314" s="1" t="s">
        <v>14</v>
      </c>
      <c r="D1314" s="2" t="s">
        <v>128</v>
      </c>
      <c r="E1314" s="9" t="str">
        <f t="shared" si="285"/>
        <v>PNP'!</v>
      </c>
      <c r="F1314" s="5" t="str">
        <f t="shared" si="298"/>
        <v>C:\Users\jaime.benazar\Quorum Business Solutions\Ecopetrol Prometeo - Documents\Planning Space Implementation\3. Analysis &amp; Design\Design\FC22\DRR Jaime\QUIFA-CAJÚA\Cajua\[VAS_CAJUA_CF_SEC_20230125.xlsx]CF PNP'!</v>
      </c>
      <c r="G1314" s="6" t="s">
        <v>38</v>
      </c>
      <c r="H1314" s="1">
        <f t="shared" si="288"/>
        <v>56</v>
      </c>
      <c r="I1314" s="1" t="str">
        <f t="shared" si="286"/>
        <v>='C:\Users\jaime.benazar\Quorum Business Solutions\Ecopetrol Prometeo - Documents\Planning Space Implementation\3. Analysis &amp; Design\Design\FC22\DRR Jaime\QUIFA-CAJÚA\Cajua\[VAS_CAJUA_CF_SEC_20230125.xlsx]CF PNP'!$BX$56</v>
      </c>
      <c r="J1314" s="1" t="s">
        <v>741</v>
      </c>
    </row>
    <row r="1315" spans="1:10" x14ac:dyDescent="0.25">
      <c r="A1315" s="6" t="s">
        <v>2</v>
      </c>
      <c r="B1315" s="6">
        <f>+B1314+1</f>
        <v>2044</v>
      </c>
      <c r="C1315" s="1" t="s">
        <v>14</v>
      </c>
      <c r="D1315" s="2" t="s">
        <v>128</v>
      </c>
      <c r="E1315" s="9" t="str">
        <f t="shared" ref="E1315:E1330" si="300">_xlfn.CONCAT(A1315,"'!")</f>
        <v>PNP'!</v>
      </c>
      <c r="F1315" s="5" t="str">
        <f t="shared" ref="F1315:F1330" si="301">_xlfn.CONCAT(D1315," ",E1315)</f>
        <v>C:\Users\jaime.benazar\Quorum Business Solutions\Ecopetrol Prometeo - Documents\Planning Space Implementation\3. Analysis &amp; Design\Design\FC22\DRR Jaime\QUIFA-CAJÚA\Cajua\[VAS_CAJUA_CF_SEC_20230125.xlsx]CF PNP'!</v>
      </c>
      <c r="G1315" s="6" t="s">
        <v>38</v>
      </c>
      <c r="H1315" s="1">
        <f t="shared" ref="H1315:H1330" si="302">IF(A1315&lt;&gt;A1314,36,H1314+1)</f>
        <v>57</v>
      </c>
      <c r="I1315" s="1" t="str">
        <f t="shared" ref="I1315:I1330" si="303">_xlfn.CONCAT("='",F1315:H1315)</f>
        <v>='C:\Users\jaime.benazar\Quorum Business Solutions\Ecopetrol Prometeo - Documents\Planning Space Implementation\3. Analysis &amp; Design\Design\FC22\DRR Jaime\QUIFA-CAJÚA\Cajua\[VAS_CAJUA_CF_SEC_20230125.xlsx]CF PNP'!$BX$57</v>
      </c>
      <c r="J1315" s="1" t="s">
        <v>742</v>
      </c>
    </row>
    <row r="1316" spans="1:10" x14ac:dyDescent="0.25">
      <c r="A1316" s="6" t="s">
        <v>2</v>
      </c>
      <c r="B1316" s="6">
        <f t="shared" ref="B1316:B1330" si="304">+B1315+1</f>
        <v>2045</v>
      </c>
      <c r="C1316" s="1" t="s">
        <v>14</v>
      </c>
      <c r="D1316" s="2" t="s">
        <v>128</v>
      </c>
      <c r="E1316" s="9" t="str">
        <f t="shared" si="300"/>
        <v>PNP'!</v>
      </c>
      <c r="F1316" s="5" t="str">
        <f t="shared" si="301"/>
        <v>C:\Users\jaime.benazar\Quorum Business Solutions\Ecopetrol Prometeo - Documents\Planning Space Implementation\3. Analysis &amp; Design\Design\FC22\DRR Jaime\QUIFA-CAJÚA\Cajua\[VAS_CAJUA_CF_SEC_20230125.xlsx]CF PNP'!</v>
      </c>
      <c r="G1316" s="6" t="s">
        <v>38</v>
      </c>
      <c r="H1316" s="1">
        <f t="shared" si="302"/>
        <v>58</v>
      </c>
      <c r="I1316" s="1" t="str">
        <f t="shared" si="303"/>
        <v>='C:\Users\jaime.benazar\Quorum Business Solutions\Ecopetrol Prometeo - Documents\Planning Space Implementation\3. Analysis &amp; Design\Design\FC22\DRR Jaime\QUIFA-CAJÚA\Cajua\[VAS_CAJUA_CF_SEC_20230125.xlsx]CF PNP'!$BX$58</v>
      </c>
      <c r="J1316" s="1" t="s">
        <v>743</v>
      </c>
    </row>
    <row r="1317" spans="1:10" x14ac:dyDescent="0.25">
      <c r="A1317" s="6" t="s">
        <v>2</v>
      </c>
      <c r="B1317" s="6">
        <f t="shared" si="304"/>
        <v>2046</v>
      </c>
      <c r="C1317" s="1" t="s">
        <v>14</v>
      </c>
      <c r="D1317" s="2" t="s">
        <v>128</v>
      </c>
      <c r="E1317" s="9" t="str">
        <f t="shared" si="300"/>
        <v>PNP'!</v>
      </c>
      <c r="F1317" s="5" t="str">
        <f t="shared" si="301"/>
        <v>C:\Users\jaime.benazar\Quorum Business Solutions\Ecopetrol Prometeo - Documents\Planning Space Implementation\3. Analysis &amp; Design\Design\FC22\DRR Jaime\QUIFA-CAJÚA\Cajua\[VAS_CAJUA_CF_SEC_20230125.xlsx]CF PNP'!</v>
      </c>
      <c r="G1317" s="6" t="s">
        <v>38</v>
      </c>
      <c r="H1317" s="1">
        <f t="shared" si="302"/>
        <v>59</v>
      </c>
      <c r="I1317" s="1" t="str">
        <f t="shared" si="303"/>
        <v>='C:\Users\jaime.benazar\Quorum Business Solutions\Ecopetrol Prometeo - Documents\Planning Space Implementation\3. Analysis &amp; Design\Design\FC22\DRR Jaime\QUIFA-CAJÚA\Cajua\[VAS_CAJUA_CF_SEC_20230125.xlsx]CF PNP'!$BX$59</v>
      </c>
      <c r="J1317" s="1" t="s">
        <v>744</v>
      </c>
    </row>
    <row r="1318" spans="1:10" x14ac:dyDescent="0.25">
      <c r="A1318" s="6" t="s">
        <v>2</v>
      </c>
      <c r="B1318" s="6">
        <f t="shared" si="304"/>
        <v>2047</v>
      </c>
      <c r="C1318" s="1" t="s">
        <v>14</v>
      </c>
      <c r="D1318" s="2" t="s">
        <v>128</v>
      </c>
      <c r="E1318" s="9" t="str">
        <f t="shared" si="300"/>
        <v>PNP'!</v>
      </c>
      <c r="F1318" s="5" t="str">
        <f t="shared" si="301"/>
        <v>C:\Users\jaime.benazar\Quorum Business Solutions\Ecopetrol Prometeo - Documents\Planning Space Implementation\3. Analysis &amp; Design\Design\FC22\DRR Jaime\QUIFA-CAJÚA\Cajua\[VAS_CAJUA_CF_SEC_20230125.xlsx]CF PNP'!</v>
      </c>
      <c r="G1318" s="6" t="s">
        <v>38</v>
      </c>
      <c r="H1318" s="1">
        <f t="shared" si="302"/>
        <v>60</v>
      </c>
      <c r="I1318" s="1" t="str">
        <f t="shared" si="303"/>
        <v>='C:\Users\jaime.benazar\Quorum Business Solutions\Ecopetrol Prometeo - Documents\Planning Space Implementation\3. Analysis &amp; Design\Design\FC22\DRR Jaime\QUIFA-CAJÚA\Cajua\[VAS_CAJUA_CF_SEC_20230125.xlsx]CF PNP'!$BX$60</v>
      </c>
      <c r="J1318" s="1" t="s">
        <v>745</v>
      </c>
    </row>
    <row r="1319" spans="1:10" x14ac:dyDescent="0.25">
      <c r="A1319" s="6" t="s">
        <v>2</v>
      </c>
      <c r="B1319" s="6">
        <f t="shared" si="304"/>
        <v>2048</v>
      </c>
      <c r="C1319" s="1" t="s">
        <v>14</v>
      </c>
      <c r="D1319" s="2" t="s">
        <v>128</v>
      </c>
      <c r="E1319" s="9" t="str">
        <f t="shared" si="300"/>
        <v>PNP'!</v>
      </c>
      <c r="F1319" s="5" t="str">
        <f t="shared" si="301"/>
        <v>C:\Users\jaime.benazar\Quorum Business Solutions\Ecopetrol Prometeo - Documents\Planning Space Implementation\3. Analysis &amp; Design\Design\FC22\DRR Jaime\QUIFA-CAJÚA\Cajua\[VAS_CAJUA_CF_SEC_20230125.xlsx]CF PNP'!</v>
      </c>
      <c r="G1319" s="6" t="s">
        <v>38</v>
      </c>
      <c r="H1319" s="1">
        <f t="shared" si="302"/>
        <v>61</v>
      </c>
      <c r="I1319" s="1" t="str">
        <f t="shared" si="303"/>
        <v>='C:\Users\jaime.benazar\Quorum Business Solutions\Ecopetrol Prometeo - Documents\Planning Space Implementation\3. Analysis &amp; Design\Design\FC22\DRR Jaime\QUIFA-CAJÚA\Cajua\[VAS_CAJUA_CF_SEC_20230125.xlsx]CF PNP'!$BX$61</v>
      </c>
      <c r="J1319" s="1" t="s">
        <v>746</v>
      </c>
    </row>
    <row r="1320" spans="1:10" x14ac:dyDescent="0.25">
      <c r="A1320" s="6" t="s">
        <v>2</v>
      </c>
      <c r="B1320" s="6">
        <f t="shared" si="304"/>
        <v>2049</v>
      </c>
      <c r="C1320" s="1" t="s">
        <v>14</v>
      </c>
      <c r="D1320" s="2" t="s">
        <v>128</v>
      </c>
      <c r="E1320" s="9" t="str">
        <f t="shared" si="300"/>
        <v>PNP'!</v>
      </c>
      <c r="F1320" s="5" t="str">
        <f t="shared" si="301"/>
        <v>C:\Users\jaime.benazar\Quorum Business Solutions\Ecopetrol Prometeo - Documents\Planning Space Implementation\3. Analysis &amp; Design\Design\FC22\DRR Jaime\QUIFA-CAJÚA\Cajua\[VAS_CAJUA_CF_SEC_20230125.xlsx]CF PNP'!</v>
      </c>
      <c r="G1320" s="6" t="s">
        <v>38</v>
      </c>
      <c r="H1320" s="1">
        <f t="shared" si="302"/>
        <v>62</v>
      </c>
      <c r="I1320" s="1" t="str">
        <f t="shared" si="303"/>
        <v>='C:\Users\jaime.benazar\Quorum Business Solutions\Ecopetrol Prometeo - Documents\Planning Space Implementation\3. Analysis &amp; Design\Design\FC22\DRR Jaime\QUIFA-CAJÚA\Cajua\[VAS_CAJUA_CF_SEC_20230125.xlsx]CF PNP'!$BX$62</v>
      </c>
      <c r="J1320" s="1" t="s">
        <v>747</v>
      </c>
    </row>
    <row r="1321" spans="1:10" x14ac:dyDescent="0.25">
      <c r="A1321" s="6" t="s">
        <v>2</v>
      </c>
      <c r="B1321" s="6">
        <f t="shared" si="304"/>
        <v>2050</v>
      </c>
      <c r="C1321" s="1" t="s">
        <v>14</v>
      </c>
      <c r="D1321" s="2" t="s">
        <v>128</v>
      </c>
      <c r="E1321" s="9" t="str">
        <f t="shared" si="300"/>
        <v>PNP'!</v>
      </c>
      <c r="F1321" s="5" t="str">
        <f t="shared" si="301"/>
        <v>C:\Users\jaime.benazar\Quorum Business Solutions\Ecopetrol Prometeo - Documents\Planning Space Implementation\3. Analysis &amp; Design\Design\FC22\DRR Jaime\QUIFA-CAJÚA\Cajua\[VAS_CAJUA_CF_SEC_20230125.xlsx]CF PNP'!</v>
      </c>
      <c r="G1321" s="6" t="s">
        <v>38</v>
      </c>
      <c r="H1321" s="1">
        <f t="shared" si="302"/>
        <v>63</v>
      </c>
      <c r="I1321" s="1" t="str">
        <f t="shared" si="303"/>
        <v>='C:\Users\jaime.benazar\Quorum Business Solutions\Ecopetrol Prometeo - Documents\Planning Space Implementation\3. Analysis &amp; Design\Design\FC22\DRR Jaime\QUIFA-CAJÚA\Cajua\[VAS_CAJUA_CF_SEC_20230125.xlsx]CF PNP'!$BX$63</v>
      </c>
      <c r="J1321" s="1" t="s">
        <v>748</v>
      </c>
    </row>
    <row r="1322" spans="1:10" x14ac:dyDescent="0.25">
      <c r="A1322" s="6" t="s">
        <v>2</v>
      </c>
      <c r="B1322" s="6">
        <f t="shared" si="304"/>
        <v>2051</v>
      </c>
      <c r="C1322" s="1" t="s">
        <v>14</v>
      </c>
      <c r="D1322" s="2" t="s">
        <v>128</v>
      </c>
      <c r="E1322" s="9" t="str">
        <f t="shared" si="300"/>
        <v>PNP'!</v>
      </c>
      <c r="F1322" s="5" t="str">
        <f t="shared" si="301"/>
        <v>C:\Users\jaime.benazar\Quorum Business Solutions\Ecopetrol Prometeo - Documents\Planning Space Implementation\3. Analysis &amp; Design\Design\FC22\DRR Jaime\QUIFA-CAJÚA\Cajua\[VAS_CAJUA_CF_SEC_20230125.xlsx]CF PNP'!</v>
      </c>
      <c r="G1322" s="6" t="s">
        <v>38</v>
      </c>
      <c r="H1322" s="1">
        <f t="shared" si="302"/>
        <v>64</v>
      </c>
      <c r="I1322" s="1" t="str">
        <f t="shared" si="303"/>
        <v>='C:\Users\jaime.benazar\Quorum Business Solutions\Ecopetrol Prometeo - Documents\Planning Space Implementation\3. Analysis &amp; Design\Design\FC22\DRR Jaime\QUIFA-CAJÚA\Cajua\[VAS_CAJUA_CF_SEC_20230125.xlsx]CF PNP'!$BX$64</v>
      </c>
      <c r="J1322" s="1" t="s">
        <v>749</v>
      </c>
    </row>
    <row r="1323" spans="1:10" x14ac:dyDescent="0.25">
      <c r="A1323" s="6" t="s">
        <v>2</v>
      </c>
      <c r="B1323" s="6">
        <f t="shared" si="304"/>
        <v>2052</v>
      </c>
      <c r="C1323" s="1" t="s">
        <v>14</v>
      </c>
      <c r="D1323" s="2" t="s">
        <v>128</v>
      </c>
      <c r="E1323" s="9" t="str">
        <f t="shared" si="300"/>
        <v>PNP'!</v>
      </c>
      <c r="F1323" s="5" t="str">
        <f t="shared" si="301"/>
        <v>C:\Users\jaime.benazar\Quorum Business Solutions\Ecopetrol Prometeo - Documents\Planning Space Implementation\3. Analysis &amp; Design\Design\FC22\DRR Jaime\QUIFA-CAJÚA\Cajua\[VAS_CAJUA_CF_SEC_20230125.xlsx]CF PNP'!</v>
      </c>
      <c r="G1323" s="6" t="s">
        <v>38</v>
      </c>
      <c r="H1323" s="1">
        <f t="shared" si="302"/>
        <v>65</v>
      </c>
      <c r="I1323" s="1" t="str">
        <f t="shared" si="303"/>
        <v>='C:\Users\jaime.benazar\Quorum Business Solutions\Ecopetrol Prometeo - Documents\Planning Space Implementation\3. Analysis &amp; Design\Design\FC22\DRR Jaime\QUIFA-CAJÚA\Cajua\[VAS_CAJUA_CF_SEC_20230125.xlsx]CF PNP'!$BX$65</v>
      </c>
      <c r="J1323" s="1" t="s">
        <v>750</v>
      </c>
    </row>
    <row r="1324" spans="1:10" x14ac:dyDescent="0.25">
      <c r="A1324" s="6" t="s">
        <v>2</v>
      </c>
      <c r="B1324" s="6">
        <f t="shared" si="304"/>
        <v>2053</v>
      </c>
      <c r="C1324" s="1" t="s">
        <v>14</v>
      </c>
      <c r="D1324" s="2" t="s">
        <v>128</v>
      </c>
      <c r="E1324" s="9" t="str">
        <f t="shared" si="300"/>
        <v>PNP'!</v>
      </c>
      <c r="F1324" s="5" t="str">
        <f t="shared" si="301"/>
        <v>C:\Users\jaime.benazar\Quorum Business Solutions\Ecopetrol Prometeo - Documents\Planning Space Implementation\3. Analysis &amp; Design\Design\FC22\DRR Jaime\QUIFA-CAJÚA\Cajua\[VAS_CAJUA_CF_SEC_20230125.xlsx]CF PNP'!</v>
      </c>
      <c r="G1324" s="6" t="s">
        <v>38</v>
      </c>
      <c r="H1324" s="1">
        <f t="shared" si="302"/>
        <v>66</v>
      </c>
      <c r="I1324" s="1" t="str">
        <f t="shared" si="303"/>
        <v>='C:\Users\jaime.benazar\Quorum Business Solutions\Ecopetrol Prometeo - Documents\Planning Space Implementation\3. Analysis &amp; Design\Design\FC22\DRR Jaime\QUIFA-CAJÚA\Cajua\[VAS_CAJUA_CF_SEC_20230125.xlsx]CF PNP'!$BX$66</v>
      </c>
      <c r="J1324" s="1" t="s">
        <v>751</v>
      </c>
    </row>
    <row r="1325" spans="1:10" x14ac:dyDescent="0.25">
      <c r="A1325" s="6" t="s">
        <v>2</v>
      </c>
      <c r="B1325" s="6">
        <f t="shared" si="304"/>
        <v>2054</v>
      </c>
      <c r="C1325" s="1" t="s">
        <v>14</v>
      </c>
      <c r="D1325" s="2" t="s">
        <v>128</v>
      </c>
      <c r="E1325" s="9" t="str">
        <f t="shared" si="300"/>
        <v>PNP'!</v>
      </c>
      <c r="F1325" s="5" t="str">
        <f t="shared" si="301"/>
        <v>C:\Users\jaime.benazar\Quorum Business Solutions\Ecopetrol Prometeo - Documents\Planning Space Implementation\3. Analysis &amp; Design\Design\FC22\DRR Jaime\QUIFA-CAJÚA\Cajua\[VAS_CAJUA_CF_SEC_20230125.xlsx]CF PNP'!</v>
      </c>
      <c r="G1325" s="6" t="s">
        <v>38</v>
      </c>
      <c r="H1325" s="1">
        <f t="shared" si="302"/>
        <v>67</v>
      </c>
      <c r="I1325" s="1" t="str">
        <f t="shared" si="303"/>
        <v>='C:\Users\jaime.benazar\Quorum Business Solutions\Ecopetrol Prometeo - Documents\Planning Space Implementation\3. Analysis &amp; Design\Design\FC22\DRR Jaime\QUIFA-CAJÚA\Cajua\[VAS_CAJUA_CF_SEC_20230125.xlsx]CF PNP'!$BX$67</v>
      </c>
      <c r="J1325" s="1" t="s">
        <v>752</v>
      </c>
    </row>
    <row r="1326" spans="1:10" x14ac:dyDescent="0.25">
      <c r="A1326" s="6" t="s">
        <v>2</v>
      </c>
      <c r="B1326" s="6">
        <f t="shared" si="304"/>
        <v>2055</v>
      </c>
      <c r="C1326" s="1" t="s">
        <v>14</v>
      </c>
      <c r="D1326" s="2" t="s">
        <v>128</v>
      </c>
      <c r="E1326" s="9" t="str">
        <f t="shared" si="300"/>
        <v>PNP'!</v>
      </c>
      <c r="F1326" s="5" t="str">
        <f t="shared" si="301"/>
        <v>C:\Users\jaime.benazar\Quorum Business Solutions\Ecopetrol Prometeo - Documents\Planning Space Implementation\3. Analysis &amp; Design\Design\FC22\DRR Jaime\QUIFA-CAJÚA\Cajua\[VAS_CAJUA_CF_SEC_20230125.xlsx]CF PNP'!</v>
      </c>
      <c r="G1326" s="6" t="s">
        <v>38</v>
      </c>
      <c r="H1326" s="1">
        <f t="shared" si="302"/>
        <v>68</v>
      </c>
      <c r="I1326" s="1" t="str">
        <f t="shared" si="303"/>
        <v>='C:\Users\jaime.benazar\Quorum Business Solutions\Ecopetrol Prometeo - Documents\Planning Space Implementation\3. Analysis &amp; Design\Design\FC22\DRR Jaime\QUIFA-CAJÚA\Cajua\[VAS_CAJUA_CF_SEC_20230125.xlsx]CF PNP'!$BX$68</v>
      </c>
      <c r="J1326" s="1" t="s">
        <v>753</v>
      </c>
    </row>
    <row r="1327" spans="1:10" x14ac:dyDescent="0.25">
      <c r="A1327" s="6" t="s">
        <v>2</v>
      </c>
      <c r="B1327" s="6">
        <f t="shared" si="304"/>
        <v>2056</v>
      </c>
      <c r="C1327" s="1" t="s">
        <v>14</v>
      </c>
      <c r="D1327" s="2" t="s">
        <v>128</v>
      </c>
      <c r="E1327" s="9" t="str">
        <f t="shared" si="300"/>
        <v>PNP'!</v>
      </c>
      <c r="F1327" s="5" t="str">
        <f t="shared" si="301"/>
        <v>C:\Users\jaime.benazar\Quorum Business Solutions\Ecopetrol Prometeo - Documents\Planning Space Implementation\3. Analysis &amp; Design\Design\FC22\DRR Jaime\QUIFA-CAJÚA\Cajua\[VAS_CAJUA_CF_SEC_20230125.xlsx]CF PNP'!</v>
      </c>
      <c r="G1327" s="6" t="s">
        <v>38</v>
      </c>
      <c r="H1327" s="1">
        <f t="shared" si="302"/>
        <v>69</v>
      </c>
      <c r="I1327" s="1" t="str">
        <f t="shared" si="303"/>
        <v>='C:\Users\jaime.benazar\Quorum Business Solutions\Ecopetrol Prometeo - Documents\Planning Space Implementation\3. Analysis &amp; Design\Design\FC22\DRR Jaime\QUIFA-CAJÚA\Cajua\[VAS_CAJUA_CF_SEC_20230125.xlsx]CF PNP'!$BX$69</v>
      </c>
      <c r="J1327" s="1" t="s">
        <v>754</v>
      </c>
    </row>
    <row r="1328" spans="1:10" x14ac:dyDescent="0.25">
      <c r="A1328" s="6" t="s">
        <v>2</v>
      </c>
      <c r="B1328" s="6">
        <f t="shared" si="304"/>
        <v>2057</v>
      </c>
      <c r="C1328" s="1" t="s">
        <v>14</v>
      </c>
      <c r="D1328" s="2" t="s">
        <v>128</v>
      </c>
      <c r="E1328" s="9" t="str">
        <f t="shared" si="300"/>
        <v>PNP'!</v>
      </c>
      <c r="F1328" s="5" t="str">
        <f t="shared" si="301"/>
        <v>C:\Users\jaime.benazar\Quorum Business Solutions\Ecopetrol Prometeo - Documents\Planning Space Implementation\3. Analysis &amp; Design\Design\FC22\DRR Jaime\QUIFA-CAJÚA\Cajua\[VAS_CAJUA_CF_SEC_20230125.xlsx]CF PNP'!</v>
      </c>
      <c r="G1328" s="6" t="s">
        <v>38</v>
      </c>
      <c r="H1328" s="1">
        <f t="shared" si="302"/>
        <v>70</v>
      </c>
      <c r="I1328" s="1" t="str">
        <f t="shared" si="303"/>
        <v>='C:\Users\jaime.benazar\Quorum Business Solutions\Ecopetrol Prometeo - Documents\Planning Space Implementation\3. Analysis &amp; Design\Design\FC22\DRR Jaime\QUIFA-CAJÚA\Cajua\[VAS_CAJUA_CF_SEC_20230125.xlsx]CF PNP'!$BX$70</v>
      </c>
      <c r="J1328" s="1" t="s">
        <v>755</v>
      </c>
    </row>
    <row r="1329" spans="1:10" x14ac:dyDescent="0.25">
      <c r="A1329" s="6" t="s">
        <v>2</v>
      </c>
      <c r="B1329" s="6">
        <f t="shared" si="304"/>
        <v>2058</v>
      </c>
      <c r="C1329" s="1" t="s">
        <v>14</v>
      </c>
      <c r="D1329" s="2" t="s">
        <v>128</v>
      </c>
      <c r="E1329" s="9" t="str">
        <f t="shared" si="300"/>
        <v>PNP'!</v>
      </c>
      <c r="F1329" s="5" t="str">
        <f t="shared" si="301"/>
        <v>C:\Users\jaime.benazar\Quorum Business Solutions\Ecopetrol Prometeo - Documents\Planning Space Implementation\3. Analysis &amp; Design\Design\FC22\DRR Jaime\QUIFA-CAJÚA\Cajua\[VAS_CAJUA_CF_SEC_20230125.xlsx]CF PNP'!</v>
      </c>
      <c r="G1329" s="6" t="s">
        <v>38</v>
      </c>
      <c r="H1329" s="1">
        <f t="shared" si="302"/>
        <v>71</v>
      </c>
      <c r="I1329" s="1" t="str">
        <f t="shared" si="303"/>
        <v>='C:\Users\jaime.benazar\Quorum Business Solutions\Ecopetrol Prometeo - Documents\Planning Space Implementation\3. Analysis &amp; Design\Design\FC22\DRR Jaime\QUIFA-CAJÚA\Cajua\[VAS_CAJUA_CF_SEC_20230125.xlsx]CF PNP'!$BX$71</v>
      </c>
      <c r="J1329" s="1" t="s">
        <v>756</v>
      </c>
    </row>
    <row r="1330" spans="1:10" x14ac:dyDescent="0.25">
      <c r="A1330" s="6" t="s">
        <v>2</v>
      </c>
      <c r="B1330" s="6">
        <f t="shared" si="304"/>
        <v>2059</v>
      </c>
      <c r="C1330" s="1" t="s">
        <v>14</v>
      </c>
      <c r="D1330" s="2" t="s">
        <v>128</v>
      </c>
      <c r="E1330" s="9" t="str">
        <f t="shared" si="300"/>
        <v>PNP'!</v>
      </c>
      <c r="F1330" s="5" t="str">
        <f t="shared" si="301"/>
        <v>C:\Users\jaime.benazar\Quorum Business Solutions\Ecopetrol Prometeo - Documents\Planning Space Implementation\3. Analysis &amp; Design\Design\FC22\DRR Jaime\QUIFA-CAJÚA\Cajua\[VAS_CAJUA_CF_SEC_20230125.xlsx]CF PNP'!</v>
      </c>
      <c r="G1330" s="6" t="s">
        <v>38</v>
      </c>
      <c r="H1330" s="1">
        <f t="shared" si="302"/>
        <v>72</v>
      </c>
      <c r="I1330" s="1" t="str">
        <f t="shared" si="303"/>
        <v>='C:\Users\jaime.benazar\Quorum Business Solutions\Ecopetrol Prometeo - Documents\Planning Space Implementation\3. Analysis &amp; Design\Design\FC22\DRR Jaime\QUIFA-CAJÚA\Cajua\[VAS_CAJUA_CF_SEC_20230125.xlsx]CF PNP'!$BX$72</v>
      </c>
      <c r="J1330" s="1" t="s">
        <v>757</v>
      </c>
    </row>
    <row r="1331" spans="1:10" x14ac:dyDescent="0.25">
      <c r="A1331" s="6" t="s">
        <v>28</v>
      </c>
      <c r="B1331" s="6"/>
      <c r="C1331" s="1" t="s">
        <v>14</v>
      </c>
      <c r="D1331" s="2"/>
      <c r="E1331" s="9"/>
      <c r="F1331" s="5" t="str">
        <f t="shared" si="298"/>
        <v xml:space="preserve"> </v>
      </c>
      <c r="G1331" s="6"/>
      <c r="H1331" s="1"/>
      <c r="I1331" s="1"/>
      <c r="J1331" s="4"/>
    </row>
    <row r="1332" spans="1:10" x14ac:dyDescent="0.25">
      <c r="A1332" s="6" t="s">
        <v>3</v>
      </c>
      <c r="B1332" s="6">
        <v>2023</v>
      </c>
      <c r="C1332" s="1" t="s">
        <v>14</v>
      </c>
      <c r="D1332" s="2" t="s">
        <v>128</v>
      </c>
      <c r="E1332" s="9" t="str">
        <f t="shared" si="285"/>
        <v>PND'!</v>
      </c>
      <c r="F1332" s="5" t="str">
        <f t="shared" si="298"/>
        <v>C:\Users\jaime.benazar\Quorum Business Solutions\Ecopetrol Prometeo - Documents\Planning Space Implementation\3. Analysis &amp; Design\Design\FC22\DRR Jaime\QUIFA-CAJÚA\Cajua\[VAS_CAJUA_CF_SEC_20230125.xlsx]CF PND'!</v>
      </c>
      <c r="G1332" s="6" t="s">
        <v>38</v>
      </c>
      <c r="H1332" s="1">
        <f>IF(A1332&lt;&gt;A1316,36,H1316+1)</f>
        <v>36</v>
      </c>
      <c r="I1332" s="1" t="str">
        <f t="shared" si="286"/>
        <v>='C:\Users\jaime.benazar\Quorum Business Solutions\Ecopetrol Prometeo - Documents\Planning Space Implementation\3. Analysis &amp; Design\Design\FC22\DRR Jaime\QUIFA-CAJÚA\Cajua\[VAS_CAJUA_CF_SEC_20230125.xlsx]CF PND'!$BX$36</v>
      </c>
      <c r="J1332" s="1" t="s">
        <v>758</v>
      </c>
    </row>
    <row r="1333" spans="1:10" x14ac:dyDescent="0.25">
      <c r="A1333" s="6" t="s">
        <v>3</v>
      </c>
      <c r="B1333" s="6">
        <f>+B1332+1</f>
        <v>2024</v>
      </c>
      <c r="C1333" s="1" t="s">
        <v>14</v>
      </c>
      <c r="D1333" s="2" t="s">
        <v>128</v>
      </c>
      <c r="E1333" s="9" t="str">
        <f t="shared" si="285"/>
        <v>PND'!</v>
      </c>
      <c r="F1333" s="5" t="str">
        <f t="shared" si="298"/>
        <v>C:\Users\jaime.benazar\Quorum Business Solutions\Ecopetrol Prometeo - Documents\Planning Space Implementation\3. Analysis &amp; Design\Design\FC22\DRR Jaime\QUIFA-CAJÚA\Cajua\[VAS_CAJUA_CF_SEC_20230125.xlsx]CF PND'!</v>
      </c>
      <c r="G1333" s="6" t="s">
        <v>38</v>
      </c>
      <c r="H1333" s="1">
        <f t="shared" si="288"/>
        <v>37</v>
      </c>
      <c r="I1333" s="1" t="str">
        <f t="shared" si="286"/>
        <v>='C:\Users\jaime.benazar\Quorum Business Solutions\Ecopetrol Prometeo - Documents\Planning Space Implementation\3. Analysis &amp; Design\Design\FC22\DRR Jaime\QUIFA-CAJÚA\Cajua\[VAS_CAJUA_CF_SEC_20230125.xlsx]CF PND'!$BX$37</v>
      </c>
      <c r="J1333" s="1" t="s">
        <v>759</v>
      </c>
    </row>
    <row r="1334" spans="1:10" x14ac:dyDescent="0.25">
      <c r="A1334" s="6" t="s">
        <v>3</v>
      </c>
      <c r="B1334" s="6">
        <f t="shared" ref="B1334:B1345" si="305">+B1333+1</f>
        <v>2025</v>
      </c>
      <c r="C1334" s="1" t="s">
        <v>14</v>
      </c>
      <c r="D1334" s="2" t="s">
        <v>128</v>
      </c>
      <c r="E1334" s="9" t="str">
        <f t="shared" si="285"/>
        <v>PND'!</v>
      </c>
      <c r="F1334" s="5" t="str">
        <f t="shared" si="298"/>
        <v>C:\Users\jaime.benazar\Quorum Business Solutions\Ecopetrol Prometeo - Documents\Planning Space Implementation\3. Analysis &amp; Design\Design\FC22\DRR Jaime\QUIFA-CAJÚA\Cajua\[VAS_CAJUA_CF_SEC_20230125.xlsx]CF PND'!</v>
      </c>
      <c r="G1334" s="6" t="s">
        <v>38</v>
      </c>
      <c r="H1334" s="1">
        <f t="shared" si="288"/>
        <v>38</v>
      </c>
      <c r="I1334" s="1" t="str">
        <f t="shared" si="286"/>
        <v>='C:\Users\jaime.benazar\Quorum Business Solutions\Ecopetrol Prometeo - Documents\Planning Space Implementation\3. Analysis &amp; Design\Design\FC22\DRR Jaime\QUIFA-CAJÚA\Cajua\[VAS_CAJUA_CF_SEC_20230125.xlsx]CF PND'!$BX$38</v>
      </c>
      <c r="J1334" s="1" t="s">
        <v>760</v>
      </c>
    </row>
    <row r="1335" spans="1:10" x14ac:dyDescent="0.25">
      <c r="A1335" s="6" t="s">
        <v>3</v>
      </c>
      <c r="B1335" s="6">
        <f t="shared" si="305"/>
        <v>2026</v>
      </c>
      <c r="C1335" s="1" t="s">
        <v>14</v>
      </c>
      <c r="D1335" s="2" t="s">
        <v>128</v>
      </c>
      <c r="E1335" s="9" t="str">
        <f t="shared" si="285"/>
        <v>PND'!</v>
      </c>
      <c r="F1335" s="5" t="str">
        <f t="shared" si="298"/>
        <v>C:\Users\jaime.benazar\Quorum Business Solutions\Ecopetrol Prometeo - Documents\Planning Space Implementation\3. Analysis &amp; Design\Design\FC22\DRR Jaime\QUIFA-CAJÚA\Cajua\[VAS_CAJUA_CF_SEC_20230125.xlsx]CF PND'!</v>
      </c>
      <c r="G1335" s="6" t="s">
        <v>38</v>
      </c>
      <c r="H1335" s="1">
        <f t="shared" si="288"/>
        <v>39</v>
      </c>
      <c r="I1335" s="1" t="str">
        <f t="shared" si="286"/>
        <v>='C:\Users\jaime.benazar\Quorum Business Solutions\Ecopetrol Prometeo - Documents\Planning Space Implementation\3. Analysis &amp; Design\Design\FC22\DRR Jaime\QUIFA-CAJÚA\Cajua\[VAS_CAJUA_CF_SEC_20230125.xlsx]CF PND'!$BX$39</v>
      </c>
      <c r="J1335" s="1" t="s">
        <v>761</v>
      </c>
    </row>
    <row r="1336" spans="1:10" x14ac:dyDescent="0.25">
      <c r="A1336" s="6" t="s">
        <v>3</v>
      </c>
      <c r="B1336" s="6">
        <f t="shared" si="305"/>
        <v>2027</v>
      </c>
      <c r="C1336" s="1" t="s">
        <v>14</v>
      </c>
      <c r="D1336" s="2" t="s">
        <v>128</v>
      </c>
      <c r="E1336" s="9" t="str">
        <f t="shared" si="285"/>
        <v>PND'!</v>
      </c>
      <c r="F1336" s="5" t="str">
        <f t="shared" si="298"/>
        <v>C:\Users\jaime.benazar\Quorum Business Solutions\Ecopetrol Prometeo - Documents\Planning Space Implementation\3. Analysis &amp; Design\Design\FC22\DRR Jaime\QUIFA-CAJÚA\Cajua\[VAS_CAJUA_CF_SEC_20230125.xlsx]CF PND'!</v>
      </c>
      <c r="G1336" s="6" t="s">
        <v>38</v>
      </c>
      <c r="H1336" s="1">
        <f t="shared" si="288"/>
        <v>40</v>
      </c>
      <c r="I1336" s="1" t="str">
        <f t="shared" si="286"/>
        <v>='C:\Users\jaime.benazar\Quorum Business Solutions\Ecopetrol Prometeo - Documents\Planning Space Implementation\3. Analysis &amp; Design\Design\FC22\DRR Jaime\QUIFA-CAJÚA\Cajua\[VAS_CAJUA_CF_SEC_20230125.xlsx]CF PND'!$BX$40</v>
      </c>
      <c r="J1336" s="1" t="s">
        <v>762</v>
      </c>
    </row>
    <row r="1337" spans="1:10" x14ac:dyDescent="0.25">
      <c r="A1337" s="6" t="s">
        <v>3</v>
      </c>
      <c r="B1337" s="6">
        <f t="shared" si="305"/>
        <v>2028</v>
      </c>
      <c r="C1337" s="1" t="s">
        <v>14</v>
      </c>
      <c r="D1337" s="2" t="s">
        <v>128</v>
      </c>
      <c r="E1337" s="9" t="str">
        <f t="shared" si="285"/>
        <v>PND'!</v>
      </c>
      <c r="F1337" s="5" t="str">
        <f t="shared" si="298"/>
        <v>C:\Users\jaime.benazar\Quorum Business Solutions\Ecopetrol Prometeo - Documents\Planning Space Implementation\3. Analysis &amp; Design\Design\FC22\DRR Jaime\QUIFA-CAJÚA\Cajua\[VAS_CAJUA_CF_SEC_20230125.xlsx]CF PND'!</v>
      </c>
      <c r="G1337" s="6" t="s">
        <v>38</v>
      </c>
      <c r="H1337" s="1">
        <f t="shared" si="288"/>
        <v>41</v>
      </c>
      <c r="I1337" s="1" t="str">
        <f t="shared" si="286"/>
        <v>='C:\Users\jaime.benazar\Quorum Business Solutions\Ecopetrol Prometeo - Documents\Planning Space Implementation\3. Analysis &amp; Design\Design\FC22\DRR Jaime\QUIFA-CAJÚA\Cajua\[VAS_CAJUA_CF_SEC_20230125.xlsx]CF PND'!$BX$41</v>
      </c>
      <c r="J1337" s="1" t="s">
        <v>763</v>
      </c>
    </row>
    <row r="1338" spans="1:10" x14ac:dyDescent="0.25">
      <c r="A1338" s="6" t="s">
        <v>3</v>
      </c>
      <c r="B1338" s="6">
        <f t="shared" si="305"/>
        <v>2029</v>
      </c>
      <c r="C1338" s="1" t="s">
        <v>14</v>
      </c>
      <c r="D1338" s="2" t="s">
        <v>128</v>
      </c>
      <c r="E1338" s="9" t="str">
        <f t="shared" si="285"/>
        <v>PND'!</v>
      </c>
      <c r="F1338" s="5" t="str">
        <f t="shared" si="298"/>
        <v>C:\Users\jaime.benazar\Quorum Business Solutions\Ecopetrol Prometeo - Documents\Planning Space Implementation\3. Analysis &amp; Design\Design\FC22\DRR Jaime\QUIFA-CAJÚA\Cajua\[VAS_CAJUA_CF_SEC_20230125.xlsx]CF PND'!</v>
      </c>
      <c r="G1338" s="6" t="s">
        <v>38</v>
      </c>
      <c r="H1338" s="1">
        <f t="shared" si="288"/>
        <v>42</v>
      </c>
      <c r="I1338" s="1" t="str">
        <f t="shared" si="286"/>
        <v>='C:\Users\jaime.benazar\Quorum Business Solutions\Ecopetrol Prometeo - Documents\Planning Space Implementation\3. Analysis &amp; Design\Design\FC22\DRR Jaime\QUIFA-CAJÚA\Cajua\[VAS_CAJUA_CF_SEC_20230125.xlsx]CF PND'!$BX$42</v>
      </c>
      <c r="J1338" s="1" t="s">
        <v>764</v>
      </c>
    </row>
    <row r="1339" spans="1:10" x14ac:dyDescent="0.25">
      <c r="A1339" s="6" t="s">
        <v>3</v>
      </c>
      <c r="B1339" s="6">
        <f t="shared" si="305"/>
        <v>2030</v>
      </c>
      <c r="C1339" s="1" t="s">
        <v>14</v>
      </c>
      <c r="D1339" s="2" t="s">
        <v>128</v>
      </c>
      <c r="E1339" s="9" t="str">
        <f t="shared" si="285"/>
        <v>PND'!</v>
      </c>
      <c r="F1339" s="5" t="str">
        <f t="shared" si="298"/>
        <v>C:\Users\jaime.benazar\Quorum Business Solutions\Ecopetrol Prometeo - Documents\Planning Space Implementation\3. Analysis &amp; Design\Design\FC22\DRR Jaime\QUIFA-CAJÚA\Cajua\[VAS_CAJUA_CF_SEC_20230125.xlsx]CF PND'!</v>
      </c>
      <c r="G1339" s="6" t="s">
        <v>38</v>
      </c>
      <c r="H1339" s="1">
        <f t="shared" si="288"/>
        <v>43</v>
      </c>
      <c r="I1339" s="1" t="str">
        <f t="shared" si="286"/>
        <v>='C:\Users\jaime.benazar\Quorum Business Solutions\Ecopetrol Prometeo - Documents\Planning Space Implementation\3. Analysis &amp; Design\Design\FC22\DRR Jaime\QUIFA-CAJÚA\Cajua\[VAS_CAJUA_CF_SEC_20230125.xlsx]CF PND'!$BX$43</v>
      </c>
      <c r="J1339" s="1" t="s">
        <v>765</v>
      </c>
    </row>
    <row r="1340" spans="1:10" x14ac:dyDescent="0.25">
      <c r="A1340" s="6" t="s">
        <v>3</v>
      </c>
      <c r="B1340" s="6">
        <f t="shared" si="305"/>
        <v>2031</v>
      </c>
      <c r="C1340" s="1" t="s">
        <v>14</v>
      </c>
      <c r="D1340" s="2" t="s">
        <v>128</v>
      </c>
      <c r="E1340" s="9" t="str">
        <f t="shared" si="285"/>
        <v>PND'!</v>
      </c>
      <c r="F1340" s="5" t="str">
        <f t="shared" si="298"/>
        <v>C:\Users\jaime.benazar\Quorum Business Solutions\Ecopetrol Prometeo - Documents\Planning Space Implementation\3. Analysis &amp; Design\Design\FC22\DRR Jaime\QUIFA-CAJÚA\Cajua\[VAS_CAJUA_CF_SEC_20230125.xlsx]CF PND'!</v>
      </c>
      <c r="G1340" s="6" t="s">
        <v>38</v>
      </c>
      <c r="H1340" s="1">
        <f t="shared" si="288"/>
        <v>44</v>
      </c>
      <c r="I1340" s="1" t="str">
        <f t="shared" si="286"/>
        <v>='C:\Users\jaime.benazar\Quorum Business Solutions\Ecopetrol Prometeo - Documents\Planning Space Implementation\3. Analysis &amp; Design\Design\FC22\DRR Jaime\QUIFA-CAJÚA\Cajua\[VAS_CAJUA_CF_SEC_20230125.xlsx]CF PND'!$BX$44</v>
      </c>
      <c r="J1340" s="1" t="s">
        <v>766</v>
      </c>
    </row>
    <row r="1341" spans="1:10" x14ac:dyDescent="0.25">
      <c r="A1341" s="6" t="s">
        <v>3</v>
      </c>
      <c r="B1341" s="6">
        <f t="shared" si="305"/>
        <v>2032</v>
      </c>
      <c r="C1341" s="1" t="s">
        <v>14</v>
      </c>
      <c r="D1341" s="2" t="s">
        <v>128</v>
      </c>
      <c r="E1341" s="9" t="str">
        <f t="shared" si="285"/>
        <v>PND'!</v>
      </c>
      <c r="F1341" s="5" t="str">
        <f t="shared" si="298"/>
        <v>C:\Users\jaime.benazar\Quorum Business Solutions\Ecopetrol Prometeo - Documents\Planning Space Implementation\3. Analysis &amp; Design\Design\FC22\DRR Jaime\QUIFA-CAJÚA\Cajua\[VAS_CAJUA_CF_SEC_20230125.xlsx]CF PND'!</v>
      </c>
      <c r="G1341" s="6" t="s">
        <v>38</v>
      </c>
      <c r="H1341" s="1">
        <f t="shared" si="288"/>
        <v>45</v>
      </c>
      <c r="I1341" s="1" t="str">
        <f t="shared" si="286"/>
        <v>='C:\Users\jaime.benazar\Quorum Business Solutions\Ecopetrol Prometeo - Documents\Planning Space Implementation\3. Analysis &amp; Design\Design\FC22\DRR Jaime\QUIFA-CAJÚA\Cajua\[VAS_CAJUA_CF_SEC_20230125.xlsx]CF PND'!$BX$45</v>
      </c>
      <c r="J1341" s="1" t="s">
        <v>767</v>
      </c>
    </row>
    <row r="1342" spans="1:10" x14ac:dyDescent="0.25">
      <c r="A1342" s="6" t="s">
        <v>3</v>
      </c>
      <c r="B1342" s="6">
        <f t="shared" si="305"/>
        <v>2033</v>
      </c>
      <c r="C1342" s="1" t="s">
        <v>14</v>
      </c>
      <c r="D1342" s="2" t="s">
        <v>128</v>
      </c>
      <c r="E1342" s="9" t="str">
        <f t="shared" si="285"/>
        <v>PND'!</v>
      </c>
      <c r="F1342" s="5" t="str">
        <f t="shared" si="298"/>
        <v>C:\Users\jaime.benazar\Quorum Business Solutions\Ecopetrol Prometeo - Documents\Planning Space Implementation\3. Analysis &amp; Design\Design\FC22\DRR Jaime\QUIFA-CAJÚA\Cajua\[VAS_CAJUA_CF_SEC_20230125.xlsx]CF PND'!</v>
      </c>
      <c r="G1342" s="6" t="s">
        <v>38</v>
      </c>
      <c r="H1342" s="1">
        <f t="shared" si="288"/>
        <v>46</v>
      </c>
      <c r="I1342" s="1" t="str">
        <f t="shared" si="286"/>
        <v>='C:\Users\jaime.benazar\Quorum Business Solutions\Ecopetrol Prometeo - Documents\Planning Space Implementation\3. Analysis &amp; Design\Design\FC22\DRR Jaime\QUIFA-CAJÚA\Cajua\[VAS_CAJUA_CF_SEC_20230125.xlsx]CF PND'!$BX$46</v>
      </c>
      <c r="J1342" s="1" t="s">
        <v>768</v>
      </c>
    </row>
    <row r="1343" spans="1:10" x14ac:dyDescent="0.25">
      <c r="A1343" s="6" t="s">
        <v>3</v>
      </c>
      <c r="B1343" s="6">
        <f t="shared" si="305"/>
        <v>2034</v>
      </c>
      <c r="C1343" s="1" t="s">
        <v>14</v>
      </c>
      <c r="D1343" s="2" t="s">
        <v>128</v>
      </c>
      <c r="E1343" s="9" t="str">
        <f t="shared" si="285"/>
        <v>PND'!</v>
      </c>
      <c r="F1343" s="5" t="str">
        <f t="shared" si="298"/>
        <v>C:\Users\jaime.benazar\Quorum Business Solutions\Ecopetrol Prometeo - Documents\Planning Space Implementation\3. Analysis &amp; Design\Design\FC22\DRR Jaime\QUIFA-CAJÚA\Cajua\[VAS_CAJUA_CF_SEC_20230125.xlsx]CF PND'!</v>
      </c>
      <c r="G1343" s="6" t="s">
        <v>38</v>
      </c>
      <c r="H1343" s="1">
        <f t="shared" si="288"/>
        <v>47</v>
      </c>
      <c r="I1343" s="1" t="str">
        <f t="shared" si="286"/>
        <v>='C:\Users\jaime.benazar\Quorum Business Solutions\Ecopetrol Prometeo - Documents\Planning Space Implementation\3. Analysis &amp; Design\Design\FC22\DRR Jaime\QUIFA-CAJÚA\Cajua\[VAS_CAJUA_CF_SEC_20230125.xlsx]CF PND'!$BX$47</v>
      </c>
      <c r="J1343" s="1" t="s">
        <v>769</v>
      </c>
    </row>
    <row r="1344" spans="1:10" x14ac:dyDescent="0.25">
      <c r="A1344" s="6" t="s">
        <v>3</v>
      </c>
      <c r="B1344" s="6">
        <f t="shared" si="305"/>
        <v>2035</v>
      </c>
      <c r="C1344" s="1" t="s">
        <v>14</v>
      </c>
      <c r="D1344" s="2" t="s">
        <v>128</v>
      </c>
      <c r="E1344" s="9" t="str">
        <f t="shared" si="285"/>
        <v>PND'!</v>
      </c>
      <c r="F1344" s="5" t="str">
        <f t="shared" si="298"/>
        <v>C:\Users\jaime.benazar\Quorum Business Solutions\Ecopetrol Prometeo - Documents\Planning Space Implementation\3. Analysis &amp; Design\Design\FC22\DRR Jaime\QUIFA-CAJÚA\Cajua\[VAS_CAJUA_CF_SEC_20230125.xlsx]CF PND'!</v>
      </c>
      <c r="G1344" s="6" t="s">
        <v>38</v>
      </c>
      <c r="H1344" s="1">
        <f t="shared" si="288"/>
        <v>48</v>
      </c>
      <c r="I1344" s="1" t="str">
        <f t="shared" si="286"/>
        <v>='C:\Users\jaime.benazar\Quorum Business Solutions\Ecopetrol Prometeo - Documents\Planning Space Implementation\3. Analysis &amp; Design\Design\FC22\DRR Jaime\QUIFA-CAJÚA\Cajua\[VAS_CAJUA_CF_SEC_20230125.xlsx]CF PND'!$BX$48</v>
      </c>
      <c r="J1344" s="1" t="s">
        <v>770</v>
      </c>
    </row>
    <row r="1345" spans="1:10" x14ac:dyDescent="0.25">
      <c r="A1345" s="6" t="s">
        <v>3</v>
      </c>
      <c r="B1345" s="6">
        <f t="shared" si="305"/>
        <v>2036</v>
      </c>
      <c r="C1345" s="1" t="s">
        <v>14</v>
      </c>
      <c r="D1345" s="2" t="s">
        <v>128</v>
      </c>
      <c r="E1345" s="9" t="str">
        <f t="shared" si="285"/>
        <v>PND'!</v>
      </c>
      <c r="F1345" s="5" t="str">
        <f t="shared" si="298"/>
        <v>C:\Users\jaime.benazar\Quorum Business Solutions\Ecopetrol Prometeo - Documents\Planning Space Implementation\3. Analysis &amp; Design\Design\FC22\DRR Jaime\QUIFA-CAJÚA\Cajua\[VAS_CAJUA_CF_SEC_20230125.xlsx]CF PND'!</v>
      </c>
      <c r="G1345" s="6" t="s">
        <v>38</v>
      </c>
      <c r="H1345" s="1">
        <f t="shared" si="288"/>
        <v>49</v>
      </c>
      <c r="I1345" s="1" t="str">
        <f t="shared" si="286"/>
        <v>='C:\Users\jaime.benazar\Quorum Business Solutions\Ecopetrol Prometeo - Documents\Planning Space Implementation\3. Analysis &amp; Design\Design\FC22\DRR Jaime\QUIFA-CAJÚA\Cajua\[VAS_CAJUA_CF_SEC_20230125.xlsx]CF PND'!$BX$49</v>
      </c>
      <c r="J1345" s="1" t="s">
        <v>771</v>
      </c>
    </row>
    <row r="1346" spans="1:10" x14ac:dyDescent="0.25">
      <c r="A1346" s="6" t="s">
        <v>3</v>
      </c>
      <c r="B1346" s="6">
        <f>+B1345+1</f>
        <v>2037</v>
      </c>
      <c r="C1346" s="1" t="s">
        <v>14</v>
      </c>
      <c r="D1346" s="2" t="s">
        <v>128</v>
      </c>
      <c r="E1346" s="9" t="str">
        <f t="shared" si="285"/>
        <v>PND'!</v>
      </c>
      <c r="F1346" s="5" t="str">
        <f t="shared" si="298"/>
        <v>C:\Users\jaime.benazar\Quorum Business Solutions\Ecopetrol Prometeo - Documents\Planning Space Implementation\3. Analysis &amp; Design\Design\FC22\DRR Jaime\QUIFA-CAJÚA\Cajua\[VAS_CAJUA_CF_SEC_20230125.xlsx]CF PND'!</v>
      </c>
      <c r="G1346" s="6" t="s">
        <v>38</v>
      </c>
      <c r="H1346" s="1">
        <f t="shared" si="288"/>
        <v>50</v>
      </c>
      <c r="I1346" s="1" t="str">
        <f t="shared" si="286"/>
        <v>='C:\Users\jaime.benazar\Quorum Business Solutions\Ecopetrol Prometeo - Documents\Planning Space Implementation\3. Analysis &amp; Design\Design\FC22\DRR Jaime\QUIFA-CAJÚA\Cajua\[VAS_CAJUA_CF_SEC_20230125.xlsx]CF PND'!$BX$50</v>
      </c>
      <c r="J1346" s="1" t="s">
        <v>772</v>
      </c>
    </row>
    <row r="1347" spans="1:10" x14ac:dyDescent="0.25">
      <c r="A1347" s="6" t="s">
        <v>3</v>
      </c>
      <c r="B1347" s="6">
        <f t="shared" ref="B1347:B1349" si="306">+B1346+1</f>
        <v>2038</v>
      </c>
      <c r="C1347" s="1" t="s">
        <v>14</v>
      </c>
      <c r="D1347" s="2" t="s">
        <v>128</v>
      </c>
      <c r="E1347" s="9" t="str">
        <f t="shared" si="285"/>
        <v>PND'!</v>
      </c>
      <c r="F1347" s="5" t="str">
        <f t="shared" si="298"/>
        <v>C:\Users\jaime.benazar\Quorum Business Solutions\Ecopetrol Prometeo - Documents\Planning Space Implementation\3. Analysis &amp; Design\Design\FC22\DRR Jaime\QUIFA-CAJÚA\Cajua\[VAS_CAJUA_CF_SEC_20230125.xlsx]CF PND'!</v>
      </c>
      <c r="G1347" s="6" t="s">
        <v>38</v>
      </c>
      <c r="H1347" s="1">
        <f t="shared" si="288"/>
        <v>51</v>
      </c>
      <c r="I1347" s="1" t="str">
        <f t="shared" si="286"/>
        <v>='C:\Users\jaime.benazar\Quorum Business Solutions\Ecopetrol Prometeo - Documents\Planning Space Implementation\3. Analysis &amp; Design\Design\FC22\DRR Jaime\QUIFA-CAJÚA\Cajua\[VAS_CAJUA_CF_SEC_20230125.xlsx]CF PND'!$BX$51</v>
      </c>
      <c r="J1347" s="1" t="s">
        <v>773</v>
      </c>
    </row>
    <row r="1348" spans="1:10" x14ac:dyDescent="0.25">
      <c r="A1348" s="6" t="s">
        <v>3</v>
      </c>
      <c r="B1348" s="6">
        <f t="shared" si="306"/>
        <v>2039</v>
      </c>
      <c r="C1348" s="1" t="s">
        <v>14</v>
      </c>
      <c r="D1348" s="2" t="s">
        <v>128</v>
      </c>
      <c r="E1348" s="9" t="str">
        <f t="shared" si="285"/>
        <v>PND'!</v>
      </c>
      <c r="F1348" s="5" t="str">
        <f t="shared" si="298"/>
        <v>C:\Users\jaime.benazar\Quorum Business Solutions\Ecopetrol Prometeo - Documents\Planning Space Implementation\3. Analysis &amp; Design\Design\FC22\DRR Jaime\QUIFA-CAJÚA\Cajua\[VAS_CAJUA_CF_SEC_20230125.xlsx]CF PND'!</v>
      </c>
      <c r="G1348" s="6" t="s">
        <v>38</v>
      </c>
      <c r="H1348" s="1">
        <f t="shared" si="288"/>
        <v>52</v>
      </c>
      <c r="I1348" s="1" t="str">
        <f t="shared" si="286"/>
        <v>='C:\Users\jaime.benazar\Quorum Business Solutions\Ecopetrol Prometeo - Documents\Planning Space Implementation\3. Analysis &amp; Design\Design\FC22\DRR Jaime\QUIFA-CAJÚA\Cajua\[VAS_CAJUA_CF_SEC_20230125.xlsx]CF PND'!$BX$52</v>
      </c>
      <c r="J1348" s="1" t="s">
        <v>774</v>
      </c>
    </row>
    <row r="1349" spans="1:10" x14ac:dyDescent="0.25">
      <c r="A1349" s="6" t="s">
        <v>3</v>
      </c>
      <c r="B1349" s="6">
        <f t="shared" si="306"/>
        <v>2040</v>
      </c>
      <c r="C1349" s="1" t="s">
        <v>14</v>
      </c>
      <c r="D1349" s="2" t="s">
        <v>128</v>
      </c>
      <c r="E1349" s="9" t="str">
        <f t="shared" si="285"/>
        <v>PND'!</v>
      </c>
      <c r="F1349" s="5" t="str">
        <f t="shared" si="298"/>
        <v>C:\Users\jaime.benazar\Quorum Business Solutions\Ecopetrol Prometeo - Documents\Planning Space Implementation\3. Analysis &amp; Design\Design\FC22\DRR Jaime\QUIFA-CAJÚA\Cajua\[VAS_CAJUA_CF_SEC_20230125.xlsx]CF PND'!</v>
      </c>
      <c r="G1349" s="6" t="s">
        <v>38</v>
      </c>
      <c r="H1349" s="1">
        <f t="shared" si="288"/>
        <v>53</v>
      </c>
      <c r="I1349" s="1" t="str">
        <f t="shared" si="286"/>
        <v>='C:\Users\jaime.benazar\Quorum Business Solutions\Ecopetrol Prometeo - Documents\Planning Space Implementation\3. Analysis &amp; Design\Design\FC22\DRR Jaime\QUIFA-CAJÚA\Cajua\[VAS_CAJUA_CF_SEC_20230125.xlsx]CF PND'!$BX$53</v>
      </c>
      <c r="J1349" s="1" t="s">
        <v>775</v>
      </c>
    </row>
    <row r="1350" spans="1:10" x14ac:dyDescent="0.25">
      <c r="A1350" s="6" t="s">
        <v>3</v>
      </c>
      <c r="B1350" s="6">
        <f>+B1349+1</f>
        <v>2041</v>
      </c>
      <c r="C1350" s="1" t="s">
        <v>14</v>
      </c>
      <c r="D1350" s="2" t="s">
        <v>128</v>
      </c>
      <c r="E1350" s="9" t="str">
        <f t="shared" si="285"/>
        <v>PND'!</v>
      </c>
      <c r="F1350" s="5" t="str">
        <f t="shared" si="298"/>
        <v>C:\Users\jaime.benazar\Quorum Business Solutions\Ecopetrol Prometeo - Documents\Planning Space Implementation\3. Analysis &amp; Design\Design\FC22\DRR Jaime\QUIFA-CAJÚA\Cajua\[VAS_CAJUA_CF_SEC_20230125.xlsx]CF PND'!</v>
      </c>
      <c r="G1350" s="6" t="s">
        <v>38</v>
      </c>
      <c r="H1350" s="1">
        <f t="shared" si="288"/>
        <v>54</v>
      </c>
      <c r="I1350" s="1" t="str">
        <f t="shared" si="286"/>
        <v>='C:\Users\jaime.benazar\Quorum Business Solutions\Ecopetrol Prometeo - Documents\Planning Space Implementation\3. Analysis &amp; Design\Design\FC22\DRR Jaime\QUIFA-CAJÚA\Cajua\[VAS_CAJUA_CF_SEC_20230125.xlsx]CF PND'!$BX$54</v>
      </c>
      <c r="J1350" s="1" t="s">
        <v>776</v>
      </c>
    </row>
    <row r="1351" spans="1:10" x14ac:dyDescent="0.25">
      <c r="A1351" s="6" t="s">
        <v>3</v>
      </c>
      <c r="B1351" s="6">
        <f t="shared" ref="B1351:B1352" si="307">+B1350+1</f>
        <v>2042</v>
      </c>
      <c r="C1351" s="1" t="s">
        <v>14</v>
      </c>
      <c r="D1351" s="2" t="s">
        <v>128</v>
      </c>
      <c r="E1351" s="9" t="str">
        <f t="shared" ref="E1351:E1656" si="308">_xlfn.CONCAT(A1351,"'!")</f>
        <v>PND'!</v>
      </c>
      <c r="F1351" s="5" t="str">
        <f t="shared" si="298"/>
        <v>C:\Users\jaime.benazar\Quorum Business Solutions\Ecopetrol Prometeo - Documents\Planning Space Implementation\3. Analysis &amp; Design\Design\FC22\DRR Jaime\QUIFA-CAJÚA\Cajua\[VAS_CAJUA_CF_SEC_20230125.xlsx]CF PND'!</v>
      </c>
      <c r="G1351" s="6" t="s">
        <v>38</v>
      </c>
      <c r="H1351" s="1">
        <f t="shared" si="288"/>
        <v>55</v>
      </c>
      <c r="I1351" s="1" t="str">
        <f t="shared" ref="I1351:I1656" si="309">_xlfn.CONCAT("='",F1351:H1351)</f>
        <v>='C:\Users\jaime.benazar\Quorum Business Solutions\Ecopetrol Prometeo - Documents\Planning Space Implementation\3. Analysis &amp; Design\Design\FC22\DRR Jaime\QUIFA-CAJÚA\Cajua\[VAS_CAJUA_CF_SEC_20230125.xlsx]CF PND'!$BX$55</v>
      </c>
      <c r="J1351" s="1" t="s">
        <v>777</v>
      </c>
    </row>
    <row r="1352" spans="1:10" x14ac:dyDescent="0.25">
      <c r="A1352" s="6" t="s">
        <v>3</v>
      </c>
      <c r="B1352" s="6">
        <f t="shared" si="307"/>
        <v>2043</v>
      </c>
      <c r="C1352" s="1" t="s">
        <v>14</v>
      </c>
      <c r="D1352" s="2" t="s">
        <v>128</v>
      </c>
      <c r="E1352" s="9" t="str">
        <f t="shared" si="308"/>
        <v>PND'!</v>
      </c>
      <c r="F1352" s="5" t="str">
        <f t="shared" si="298"/>
        <v>C:\Users\jaime.benazar\Quorum Business Solutions\Ecopetrol Prometeo - Documents\Planning Space Implementation\3. Analysis &amp; Design\Design\FC22\DRR Jaime\QUIFA-CAJÚA\Cajua\[VAS_CAJUA_CF_SEC_20230125.xlsx]CF PND'!</v>
      </c>
      <c r="G1352" s="6" t="s">
        <v>38</v>
      </c>
      <c r="H1352" s="1">
        <f t="shared" ref="H1352:H1656" si="310">IF(A1352&lt;&gt;A1351,36,H1351+1)</f>
        <v>56</v>
      </c>
      <c r="I1352" s="1" t="str">
        <f t="shared" si="309"/>
        <v>='C:\Users\jaime.benazar\Quorum Business Solutions\Ecopetrol Prometeo - Documents\Planning Space Implementation\3. Analysis &amp; Design\Design\FC22\DRR Jaime\QUIFA-CAJÚA\Cajua\[VAS_CAJUA_CF_SEC_20230125.xlsx]CF PND'!$BX$56</v>
      </c>
      <c r="J1352" s="1" t="s">
        <v>778</v>
      </c>
    </row>
    <row r="1353" spans="1:10" x14ac:dyDescent="0.25">
      <c r="A1353" s="6" t="s">
        <v>3</v>
      </c>
      <c r="B1353" s="6">
        <f>+B1352+1</f>
        <v>2044</v>
      </c>
      <c r="C1353" s="1" t="s">
        <v>14</v>
      </c>
      <c r="D1353" s="2" t="s">
        <v>128</v>
      </c>
      <c r="E1353" s="9" t="str">
        <f t="shared" ref="E1353:E1368" si="311">_xlfn.CONCAT(A1353,"'!")</f>
        <v>PND'!</v>
      </c>
      <c r="F1353" s="5" t="str">
        <f t="shared" ref="F1353:F1368" si="312">_xlfn.CONCAT(D1353," ",E1353)</f>
        <v>C:\Users\jaime.benazar\Quorum Business Solutions\Ecopetrol Prometeo - Documents\Planning Space Implementation\3. Analysis &amp; Design\Design\FC22\DRR Jaime\QUIFA-CAJÚA\Cajua\[VAS_CAJUA_CF_SEC_20230125.xlsx]CF PND'!</v>
      </c>
      <c r="G1353" s="6" t="s">
        <v>38</v>
      </c>
      <c r="H1353" s="1">
        <f t="shared" ref="H1353:H1368" si="313">IF(A1353&lt;&gt;A1352,36,H1352+1)</f>
        <v>57</v>
      </c>
      <c r="I1353" s="1" t="str">
        <f t="shared" ref="I1353:I1368" si="314">_xlfn.CONCAT("='",F1353:H1353)</f>
        <v>='C:\Users\jaime.benazar\Quorum Business Solutions\Ecopetrol Prometeo - Documents\Planning Space Implementation\3. Analysis &amp; Design\Design\FC22\DRR Jaime\QUIFA-CAJÚA\Cajua\[VAS_CAJUA_CF_SEC_20230125.xlsx]CF PND'!$BX$57</v>
      </c>
      <c r="J1353" s="1" t="s">
        <v>779</v>
      </c>
    </row>
    <row r="1354" spans="1:10" x14ac:dyDescent="0.25">
      <c r="A1354" s="6" t="s">
        <v>3</v>
      </c>
      <c r="B1354" s="6">
        <f t="shared" ref="B1354:B1368" si="315">+B1353+1</f>
        <v>2045</v>
      </c>
      <c r="C1354" s="1" t="s">
        <v>14</v>
      </c>
      <c r="D1354" s="2" t="s">
        <v>128</v>
      </c>
      <c r="E1354" s="9" t="str">
        <f t="shared" si="311"/>
        <v>PND'!</v>
      </c>
      <c r="F1354" s="5" t="str">
        <f t="shared" si="312"/>
        <v>C:\Users\jaime.benazar\Quorum Business Solutions\Ecopetrol Prometeo - Documents\Planning Space Implementation\3. Analysis &amp; Design\Design\FC22\DRR Jaime\QUIFA-CAJÚA\Cajua\[VAS_CAJUA_CF_SEC_20230125.xlsx]CF PND'!</v>
      </c>
      <c r="G1354" s="6" t="s">
        <v>38</v>
      </c>
      <c r="H1354" s="1">
        <f t="shared" si="313"/>
        <v>58</v>
      </c>
      <c r="I1354" s="1" t="str">
        <f t="shared" si="314"/>
        <v>='C:\Users\jaime.benazar\Quorum Business Solutions\Ecopetrol Prometeo - Documents\Planning Space Implementation\3. Analysis &amp; Design\Design\FC22\DRR Jaime\QUIFA-CAJÚA\Cajua\[VAS_CAJUA_CF_SEC_20230125.xlsx]CF PND'!$BX$58</v>
      </c>
      <c r="J1354" s="1" t="s">
        <v>780</v>
      </c>
    </row>
    <row r="1355" spans="1:10" x14ac:dyDescent="0.25">
      <c r="A1355" s="6" t="s">
        <v>3</v>
      </c>
      <c r="B1355" s="6">
        <f t="shared" si="315"/>
        <v>2046</v>
      </c>
      <c r="C1355" s="1" t="s">
        <v>14</v>
      </c>
      <c r="D1355" s="2" t="s">
        <v>128</v>
      </c>
      <c r="E1355" s="9" t="str">
        <f t="shared" si="311"/>
        <v>PND'!</v>
      </c>
      <c r="F1355" s="5" t="str">
        <f t="shared" si="312"/>
        <v>C:\Users\jaime.benazar\Quorum Business Solutions\Ecopetrol Prometeo - Documents\Planning Space Implementation\3. Analysis &amp; Design\Design\FC22\DRR Jaime\QUIFA-CAJÚA\Cajua\[VAS_CAJUA_CF_SEC_20230125.xlsx]CF PND'!</v>
      </c>
      <c r="G1355" s="6" t="s">
        <v>38</v>
      </c>
      <c r="H1355" s="1">
        <f t="shared" si="313"/>
        <v>59</v>
      </c>
      <c r="I1355" s="1" t="str">
        <f t="shared" si="314"/>
        <v>='C:\Users\jaime.benazar\Quorum Business Solutions\Ecopetrol Prometeo - Documents\Planning Space Implementation\3. Analysis &amp; Design\Design\FC22\DRR Jaime\QUIFA-CAJÚA\Cajua\[VAS_CAJUA_CF_SEC_20230125.xlsx]CF PND'!$BX$59</v>
      </c>
      <c r="J1355" s="1" t="s">
        <v>781</v>
      </c>
    </row>
    <row r="1356" spans="1:10" x14ac:dyDescent="0.25">
      <c r="A1356" s="6" t="s">
        <v>3</v>
      </c>
      <c r="B1356" s="6">
        <f t="shared" si="315"/>
        <v>2047</v>
      </c>
      <c r="C1356" s="1" t="s">
        <v>14</v>
      </c>
      <c r="D1356" s="2" t="s">
        <v>128</v>
      </c>
      <c r="E1356" s="9" t="str">
        <f t="shared" si="311"/>
        <v>PND'!</v>
      </c>
      <c r="F1356" s="5" t="str">
        <f t="shared" si="312"/>
        <v>C:\Users\jaime.benazar\Quorum Business Solutions\Ecopetrol Prometeo - Documents\Planning Space Implementation\3. Analysis &amp; Design\Design\FC22\DRR Jaime\QUIFA-CAJÚA\Cajua\[VAS_CAJUA_CF_SEC_20230125.xlsx]CF PND'!</v>
      </c>
      <c r="G1356" s="6" t="s">
        <v>38</v>
      </c>
      <c r="H1356" s="1">
        <f t="shared" si="313"/>
        <v>60</v>
      </c>
      <c r="I1356" s="1" t="str">
        <f t="shared" si="314"/>
        <v>='C:\Users\jaime.benazar\Quorum Business Solutions\Ecopetrol Prometeo - Documents\Planning Space Implementation\3. Analysis &amp; Design\Design\FC22\DRR Jaime\QUIFA-CAJÚA\Cajua\[VAS_CAJUA_CF_SEC_20230125.xlsx]CF PND'!$BX$60</v>
      </c>
      <c r="J1356" s="1" t="s">
        <v>782</v>
      </c>
    </row>
    <row r="1357" spans="1:10" x14ac:dyDescent="0.25">
      <c r="A1357" s="6" t="s">
        <v>3</v>
      </c>
      <c r="B1357" s="6">
        <f t="shared" si="315"/>
        <v>2048</v>
      </c>
      <c r="C1357" s="1" t="s">
        <v>14</v>
      </c>
      <c r="D1357" s="2" t="s">
        <v>128</v>
      </c>
      <c r="E1357" s="9" t="str">
        <f t="shared" si="311"/>
        <v>PND'!</v>
      </c>
      <c r="F1357" s="5" t="str">
        <f t="shared" si="312"/>
        <v>C:\Users\jaime.benazar\Quorum Business Solutions\Ecopetrol Prometeo - Documents\Planning Space Implementation\3. Analysis &amp; Design\Design\FC22\DRR Jaime\QUIFA-CAJÚA\Cajua\[VAS_CAJUA_CF_SEC_20230125.xlsx]CF PND'!</v>
      </c>
      <c r="G1357" s="6" t="s">
        <v>38</v>
      </c>
      <c r="H1357" s="1">
        <f t="shared" si="313"/>
        <v>61</v>
      </c>
      <c r="I1357" s="1" t="str">
        <f t="shared" si="314"/>
        <v>='C:\Users\jaime.benazar\Quorum Business Solutions\Ecopetrol Prometeo - Documents\Planning Space Implementation\3. Analysis &amp; Design\Design\FC22\DRR Jaime\QUIFA-CAJÚA\Cajua\[VAS_CAJUA_CF_SEC_20230125.xlsx]CF PND'!$BX$61</v>
      </c>
      <c r="J1357" s="1" t="s">
        <v>783</v>
      </c>
    </row>
    <row r="1358" spans="1:10" x14ac:dyDescent="0.25">
      <c r="A1358" s="6" t="s">
        <v>3</v>
      </c>
      <c r="B1358" s="6">
        <f t="shared" si="315"/>
        <v>2049</v>
      </c>
      <c r="C1358" s="1" t="s">
        <v>14</v>
      </c>
      <c r="D1358" s="2" t="s">
        <v>128</v>
      </c>
      <c r="E1358" s="9" t="str">
        <f t="shared" si="311"/>
        <v>PND'!</v>
      </c>
      <c r="F1358" s="5" t="str">
        <f t="shared" si="312"/>
        <v>C:\Users\jaime.benazar\Quorum Business Solutions\Ecopetrol Prometeo - Documents\Planning Space Implementation\3. Analysis &amp; Design\Design\FC22\DRR Jaime\QUIFA-CAJÚA\Cajua\[VAS_CAJUA_CF_SEC_20230125.xlsx]CF PND'!</v>
      </c>
      <c r="G1358" s="6" t="s">
        <v>38</v>
      </c>
      <c r="H1358" s="1">
        <f t="shared" si="313"/>
        <v>62</v>
      </c>
      <c r="I1358" s="1" t="str">
        <f t="shared" si="314"/>
        <v>='C:\Users\jaime.benazar\Quorum Business Solutions\Ecopetrol Prometeo - Documents\Planning Space Implementation\3. Analysis &amp; Design\Design\FC22\DRR Jaime\QUIFA-CAJÚA\Cajua\[VAS_CAJUA_CF_SEC_20230125.xlsx]CF PND'!$BX$62</v>
      </c>
      <c r="J1358" s="1" t="s">
        <v>784</v>
      </c>
    </row>
    <row r="1359" spans="1:10" x14ac:dyDescent="0.25">
      <c r="A1359" s="6" t="s">
        <v>3</v>
      </c>
      <c r="B1359" s="6">
        <f t="shared" si="315"/>
        <v>2050</v>
      </c>
      <c r="C1359" s="1" t="s">
        <v>14</v>
      </c>
      <c r="D1359" s="2" t="s">
        <v>128</v>
      </c>
      <c r="E1359" s="9" t="str">
        <f t="shared" si="311"/>
        <v>PND'!</v>
      </c>
      <c r="F1359" s="5" t="str">
        <f t="shared" si="312"/>
        <v>C:\Users\jaime.benazar\Quorum Business Solutions\Ecopetrol Prometeo - Documents\Planning Space Implementation\3. Analysis &amp; Design\Design\FC22\DRR Jaime\QUIFA-CAJÚA\Cajua\[VAS_CAJUA_CF_SEC_20230125.xlsx]CF PND'!</v>
      </c>
      <c r="G1359" s="6" t="s">
        <v>38</v>
      </c>
      <c r="H1359" s="1">
        <f t="shared" si="313"/>
        <v>63</v>
      </c>
      <c r="I1359" s="1" t="str">
        <f t="shared" si="314"/>
        <v>='C:\Users\jaime.benazar\Quorum Business Solutions\Ecopetrol Prometeo - Documents\Planning Space Implementation\3. Analysis &amp; Design\Design\FC22\DRR Jaime\QUIFA-CAJÚA\Cajua\[VAS_CAJUA_CF_SEC_20230125.xlsx]CF PND'!$BX$63</v>
      </c>
      <c r="J1359" s="1" t="s">
        <v>785</v>
      </c>
    </row>
    <row r="1360" spans="1:10" x14ac:dyDescent="0.25">
      <c r="A1360" s="6" t="s">
        <v>3</v>
      </c>
      <c r="B1360" s="6">
        <f t="shared" si="315"/>
        <v>2051</v>
      </c>
      <c r="C1360" s="1" t="s">
        <v>14</v>
      </c>
      <c r="D1360" s="2" t="s">
        <v>128</v>
      </c>
      <c r="E1360" s="9" t="str">
        <f t="shared" si="311"/>
        <v>PND'!</v>
      </c>
      <c r="F1360" s="5" t="str">
        <f t="shared" si="312"/>
        <v>C:\Users\jaime.benazar\Quorum Business Solutions\Ecopetrol Prometeo - Documents\Planning Space Implementation\3. Analysis &amp; Design\Design\FC22\DRR Jaime\QUIFA-CAJÚA\Cajua\[VAS_CAJUA_CF_SEC_20230125.xlsx]CF PND'!</v>
      </c>
      <c r="G1360" s="6" t="s">
        <v>38</v>
      </c>
      <c r="H1360" s="1">
        <f t="shared" si="313"/>
        <v>64</v>
      </c>
      <c r="I1360" s="1" t="str">
        <f t="shared" si="314"/>
        <v>='C:\Users\jaime.benazar\Quorum Business Solutions\Ecopetrol Prometeo - Documents\Planning Space Implementation\3. Analysis &amp; Design\Design\FC22\DRR Jaime\QUIFA-CAJÚA\Cajua\[VAS_CAJUA_CF_SEC_20230125.xlsx]CF PND'!$BX$64</v>
      </c>
      <c r="J1360" s="1" t="s">
        <v>786</v>
      </c>
    </row>
    <row r="1361" spans="1:10" x14ac:dyDescent="0.25">
      <c r="A1361" s="6" t="s">
        <v>3</v>
      </c>
      <c r="B1361" s="6">
        <f t="shared" si="315"/>
        <v>2052</v>
      </c>
      <c r="C1361" s="1" t="s">
        <v>14</v>
      </c>
      <c r="D1361" s="2" t="s">
        <v>128</v>
      </c>
      <c r="E1361" s="9" t="str">
        <f t="shared" si="311"/>
        <v>PND'!</v>
      </c>
      <c r="F1361" s="5" t="str">
        <f t="shared" si="312"/>
        <v>C:\Users\jaime.benazar\Quorum Business Solutions\Ecopetrol Prometeo - Documents\Planning Space Implementation\3. Analysis &amp; Design\Design\FC22\DRR Jaime\QUIFA-CAJÚA\Cajua\[VAS_CAJUA_CF_SEC_20230125.xlsx]CF PND'!</v>
      </c>
      <c r="G1361" s="6" t="s">
        <v>38</v>
      </c>
      <c r="H1361" s="1">
        <f t="shared" si="313"/>
        <v>65</v>
      </c>
      <c r="I1361" s="1" t="str">
        <f t="shared" si="314"/>
        <v>='C:\Users\jaime.benazar\Quorum Business Solutions\Ecopetrol Prometeo - Documents\Planning Space Implementation\3. Analysis &amp; Design\Design\FC22\DRR Jaime\QUIFA-CAJÚA\Cajua\[VAS_CAJUA_CF_SEC_20230125.xlsx]CF PND'!$BX$65</v>
      </c>
      <c r="J1361" s="1" t="s">
        <v>787</v>
      </c>
    </row>
    <row r="1362" spans="1:10" x14ac:dyDescent="0.25">
      <c r="A1362" s="6" t="s">
        <v>3</v>
      </c>
      <c r="B1362" s="6">
        <f t="shared" si="315"/>
        <v>2053</v>
      </c>
      <c r="C1362" s="1" t="s">
        <v>14</v>
      </c>
      <c r="D1362" s="2" t="s">
        <v>128</v>
      </c>
      <c r="E1362" s="9" t="str">
        <f t="shared" si="311"/>
        <v>PND'!</v>
      </c>
      <c r="F1362" s="5" t="str">
        <f t="shared" si="312"/>
        <v>C:\Users\jaime.benazar\Quorum Business Solutions\Ecopetrol Prometeo - Documents\Planning Space Implementation\3. Analysis &amp; Design\Design\FC22\DRR Jaime\QUIFA-CAJÚA\Cajua\[VAS_CAJUA_CF_SEC_20230125.xlsx]CF PND'!</v>
      </c>
      <c r="G1362" s="6" t="s">
        <v>38</v>
      </c>
      <c r="H1362" s="1">
        <f t="shared" si="313"/>
        <v>66</v>
      </c>
      <c r="I1362" s="1" t="str">
        <f t="shared" si="314"/>
        <v>='C:\Users\jaime.benazar\Quorum Business Solutions\Ecopetrol Prometeo - Documents\Planning Space Implementation\3. Analysis &amp; Design\Design\FC22\DRR Jaime\QUIFA-CAJÚA\Cajua\[VAS_CAJUA_CF_SEC_20230125.xlsx]CF PND'!$BX$66</v>
      </c>
      <c r="J1362" s="1" t="s">
        <v>788</v>
      </c>
    </row>
    <row r="1363" spans="1:10" x14ac:dyDescent="0.25">
      <c r="A1363" s="6" t="s">
        <v>3</v>
      </c>
      <c r="B1363" s="6">
        <f t="shared" si="315"/>
        <v>2054</v>
      </c>
      <c r="C1363" s="1" t="s">
        <v>14</v>
      </c>
      <c r="D1363" s="2" t="s">
        <v>128</v>
      </c>
      <c r="E1363" s="9" t="str">
        <f t="shared" si="311"/>
        <v>PND'!</v>
      </c>
      <c r="F1363" s="5" t="str">
        <f t="shared" si="312"/>
        <v>C:\Users\jaime.benazar\Quorum Business Solutions\Ecopetrol Prometeo - Documents\Planning Space Implementation\3. Analysis &amp; Design\Design\FC22\DRR Jaime\QUIFA-CAJÚA\Cajua\[VAS_CAJUA_CF_SEC_20230125.xlsx]CF PND'!</v>
      </c>
      <c r="G1363" s="6" t="s">
        <v>38</v>
      </c>
      <c r="H1363" s="1">
        <f t="shared" si="313"/>
        <v>67</v>
      </c>
      <c r="I1363" s="1" t="str">
        <f t="shared" si="314"/>
        <v>='C:\Users\jaime.benazar\Quorum Business Solutions\Ecopetrol Prometeo - Documents\Planning Space Implementation\3. Analysis &amp; Design\Design\FC22\DRR Jaime\QUIFA-CAJÚA\Cajua\[VAS_CAJUA_CF_SEC_20230125.xlsx]CF PND'!$BX$67</v>
      </c>
      <c r="J1363" s="1" t="s">
        <v>789</v>
      </c>
    </row>
    <row r="1364" spans="1:10" x14ac:dyDescent="0.25">
      <c r="A1364" s="6" t="s">
        <v>3</v>
      </c>
      <c r="B1364" s="6">
        <f t="shared" si="315"/>
        <v>2055</v>
      </c>
      <c r="C1364" s="1" t="s">
        <v>14</v>
      </c>
      <c r="D1364" s="2" t="s">
        <v>128</v>
      </c>
      <c r="E1364" s="9" t="str">
        <f t="shared" si="311"/>
        <v>PND'!</v>
      </c>
      <c r="F1364" s="5" t="str">
        <f t="shared" si="312"/>
        <v>C:\Users\jaime.benazar\Quorum Business Solutions\Ecopetrol Prometeo - Documents\Planning Space Implementation\3. Analysis &amp; Design\Design\FC22\DRR Jaime\QUIFA-CAJÚA\Cajua\[VAS_CAJUA_CF_SEC_20230125.xlsx]CF PND'!</v>
      </c>
      <c r="G1364" s="6" t="s">
        <v>38</v>
      </c>
      <c r="H1364" s="1">
        <f t="shared" si="313"/>
        <v>68</v>
      </c>
      <c r="I1364" s="1" t="str">
        <f t="shared" si="314"/>
        <v>='C:\Users\jaime.benazar\Quorum Business Solutions\Ecopetrol Prometeo - Documents\Planning Space Implementation\3. Analysis &amp; Design\Design\FC22\DRR Jaime\QUIFA-CAJÚA\Cajua\[VAS_CAJUA_CF_SEC_20230125.xlsx]CF PND'!$BX$68</v>
      </c>
      <c r="J1364" s="1" t="s">
        <v>790</v>
      </c>
    </row>
    <row r="1365" spans="1:10" x14ac:dyDescent="0.25">
      <c r="A1365" s="6" t="s">
        <v>3</v>
      </c>
      <c r="B1365" s="6">
        <f t="shared" si="315"/>
        <v>2056</v>
      </c>
      <c r="C1365" s="1" t="s">
        <v>14</v>
      </c>
      <c r="D1365" s="2" t="s">
        <v>128</v>
      </c>
      <c r="E1365" s="9" t="str">
        <f t="shared" si="311"/>
        <v>PND'!</v>
      </c>
      <c r="F1365" s="5" t="str">
        <f t="shared" si="312"/>
        <v>C:\Users\jaime.benazar\Quorum Business Solutions\Ecopetrol Prometeo - Documents\Planning Space Implementation\3. Analysis &amp; Design\Design\FC22\DRR Jaime\QUIFA-CAJÚA\Cajua\[VAS_CAJUA_CF_SEC_20230125.xlsx]CF PND'!</v>
      </c>
      <c r="G1365" s="6" t="s">
        <v>38</v>
      </c>
      <c r="H1365" s="1">
        <f t="shared" si="313"/>
        <v>69</v>
      </c>
      <c r="I1365" s="1" t="str">
        <f t="shared" si="314"/>
        <v>='C:\Users\jaime.benazar\Quorum Business Solutions\Ecopetrol Prometeo - Documents\Planning Space Implementation\3. Analysis &amp; Design\Design\FC22\DRR Jaime\QUIFA-CAJÚA\Cajua\[VAS_CAJUA_CF_SEC_20230125.xlsx]CF PND'!$BX$69</v>
      </c>
      <c r="J1365" s="1" t="s">
        <v>791</v>
      </c>
    </row>
    <row r="1366" spans="1:10" x14ac:dyDescent="0.25">
      <c r="A1366" s="6" t="s">
        <v>3</v>
      </c>
      <c r="B1366" s="6">
        <f t="shared" si="315"/>
        <v>2057</v>
      </c>
      <c r="C1366" s="1" t="s">
        <v>14</v>
      </c>
      <c r="D1366" s="2" t="s">
        <v>128</v>
      </c>
      <c r="E1366" s="9" t="str">
        <f t="shared" si="311"/>
        <v>PND'!</v>
      </c>
      <c r="F1366" s="5" t="str">
        <f t="shared" si="312"/>
        <v>C:\Users\jaime.benazar\Quorum Business Solutions\Ecopetrol Prometeo - Documents\Planning Space Implementation\3. Analysis &amp; Design\Design\FC22\DRR Jaime\QUIFA-CAJÚA\Cajua\[VAS_CAJUA_CF_SEC_20230125.xlsx]CF PND'!</v>
      </c>
      <c r="G1366" s="6" t="s">
        <v>38</v>
      </c>
      <c r="H1366" s="1">
        <f t="shared" si="313"/>
        <v>70</v>
      </c>
      <c r="I1366" s="1" t="str">
        <f t="shared" si="314"/>
        <v>='C:\Users\jaime.benazar\Quorum Business Solutions\Ecopetrol Prometeo - Documents\Planning Space Implementation\3. Analysis &amp; Design\Design\FC22\DRR Jaime\QUIFA-CAJÚA\Cajua\[VAS_CAJUA_CF_SEC_20230125.xlsx]CF PND'!$BX$70</v>
      </c>
      <c r="J1366" s="1" t="s">
        <v>792</v>
      </c>
    </row>
    <row r="1367" spans="1:10" x14ac:dyDescent="0.25">
      <c r="A1367" s="6" t="s">
        <v>3</v>
      </c>
      <c r="B1367" s="6">
        <f t="shared" si="315"/>
        <v>2058</v>
      </c>
      <c r="C1367" s="1" t="s">
        <v>14</v>
      </c>
      <c r="D1367" s="2" t="s">
        <v>128</v>
      </c>
      <c r="E1367" s="9" t="str">
        <f t="shared" si="311"/>
        <v>PND'!</v>
      </c>
      <c r="F1367" s="5" t="str">
        <f t="shared" si="312"/>
        <v>C:\Users\jaime.benazar\Quorum Business Solutions\Ecopetrol Prometeo - Documents\Planning Space Implementation\3. Analysis &amp; Design\Design\FC22\DRR Jaime\QUIFA-CAJÚA\Cajua\[VAS_CAJUA_CF_SEC_20230125.xlsx]CF PND'!</v>
      </c>
      <c r="G1367" s="6" t="s">
        <v>38</v>
      </c>
      <c r="H1367" s="1">
        <f t="shared" si="313"/>
        <v>71</v>
      </c>
      <c r="I1367" s="1" t="str">
        <f t="shared" si="314"/>
        <v>='C:\Users\jaime.benazar\Quorum Business Solutions\Ecopetrol Prometeo - Documents\Planning Space Implementation\3. Analysis &amp; Design\Design\FC22\DRR Jaime\QUIFA-CAJÚA\Cajua\[VAS_CAJUA_CF_SEC_20230125.xlsx]CF PND'!$BX$71</v>
      </c>
      <c r="J1367" s="1" t="s">
        <v>793</v>
      </c>
    </row>
    <row r="1368" spans="1:10" x14ac:dyDescent="0.25">
      <c r="A1368" s="6" t="s">
        <v>3</v>
      </c>
      <c r="B1368" s="6">
        <f t="shared" si="315"/>
        <v>2059</v>
      </c>
      <c r="C1368" s="1" t="s">
        <v>14</v>
      </c>
      <c r="D1368" s="2" t="s">
        <v>128</v>
      </c>
      <c r="E1368" s="9" t="str">
        <f t="shared" si="311"/>
        <v>PND'!</v>
      </c>
      <c r="F1368" s="5" t="str">
        <f t="shared" si="312"/>
        <v>C:\Users\jaime.benazar\Quorum Business Solutions\Ecopetrol Prometeo - Documents\Planning Space Implementation\3. Analysis &amp; Design\Design\FC22\DRR Jaime\QUIFA-CAJÚA\Cajua\[VAS_CAJUA_CF_SEC_20230125.xlsx]CF PND'!</v>
      </c>
      <c r="G1368" s="6" t="s">
        <v>38</v>
      </c>
      <c r="H1368" s="1">
        <f t="shared" si="313"/>
        <v>72</v>
      </c>
      <c r="I1368" s="1" t="str">
        <f t="shared" si="314"/>
        <v>='C:\Users\jaime.benazar\Quorum Business Solutions\Ecopetrol Prometeo - Documents\Planning Space Implementation\3. Analysis &amp; Design\Design\FC22\DRR Jaime\QUIFA-CAJÚA\Cajua\[VAS_CAJUA_CF_SEC_20230125.xlsx]CF PND'!$BX$72</v>
      </c>
      <c r="J1368" s="1" t="s">
        <v>794</v>
      </c>
    </row>
    <row r="1369" spans="1:10" x14ac:dyDescent="0.25">
      <c r="A1369" s="6" t="s">
        <v>28</v>
      </c>
      <c r="B1369" s="6"/>
      <c r="C1369" s="1" t="s">
        <v>14</v>
      </c>
      <c r="D1369" s="2"/>
      <c r="E1369" s="9"/>
      <c r="F1369" s="5" t="str">
        <f t="shared" si="298"/>
        <v xml:space="preserve"> </v>
      </c>
      <c r="G1369" s="6"/>
      <c r="H1369" s="1"/>
      <c r="I1369" s="1"/>
      <c r="J1369" s="4"/>
    </row>
    <row r="1370" spans="1:10" x14ac:dyDescent="0.25">
      <c r="A1370" s="6" t="s">
        <v>99</v>
      </c>
      <c r="B1370" s="6">
        <v>2023</v>
      </c>
      <c r="C1370" s="1" t="s">
        <v>14</v>
      </c>
      <c r="D1370" s="2" t="s">
        <v>128</v>
      </c>
      <c r="E1370" s="9" t="str">
        <f t="shared" ref="E1370:E1390" si="316">_xlfn.CONCAT(A1370,"'!")</f>
        <v>PRBDP'!</v>
      </c>
      <c r="F1370" s="5" t="str">
        <f t="shared" si="298"/>
        <v>C:\Users\jaime.benazar\Quorum Business Solutions\Ecopetrol Prometeo - Documents\Planning Space Implementation\3. Analysis &amp; Design\Design\FC22\DRR Jaime\QUIFA-CAJÚA\Cajua\[VAS_CAJUA_CF_SEC_20230125.xlsx]CF PRBDP'!</v>
      </c>
      <c r="G1370" s="6" t="s">
        <v>38</v>
      </c>
      <c r="H1370" s="1"/>
      <c r="I1370" s="1"/>
      <c r="J1370" s="1"/>
    </row>
    <row r="1371" spans="1:10" x14ac:dyDescent="0.25">
      <c r="A1371" s="6" t="s">
        <v>99</v>
      </c>
      <c r="B1371" s="6">
        <f>+B1370+1</f>
        <v>2024</v>
      </c>
      <c r="C1371" s="1" t="s">
        <v>14</v>
      </c>
      <c r="D1371" s="2" t="s">
        <v>128</v>
      </c>
      <c r="E1371" s="9" t="str">
        <f t="shared" si="316"/>
        <v>PRBDP'!</v>
      </c>
      <c r="F1371" s="5" t="str">
        <f t="shared" si="298"/>
        <v>C:\Users\jaime.benazar\Quorum Business Solutions\Ecopetrol Prometeo - Documents\Planning Space Implementation\3. Analysis &amp; Design\Design\FC22\DRR Jaime\QUIFA-CAJÚA\Cajua\[VAS_CAJUA_CF_SEC_20230125.xlsx]CF PRBDP'!</v>
      </c>
      <c r="G1371" s="6" t="s">
        <v>38</v>
      </c>
      <c r="H1371" s="1"/>
      <c r="I1371" s="1"/>
      <c r="J1371" s="1"/>
    </row>
    <row r="1372" spans="1:10" x14ac:dyDescent="0.25">
      <c r="A1372" s="6" t="s">
        <v>99</v>
      </c>
      <c r="B1372" s="6">
        <f t="shared" ref="B1372:B1383" si="317">+B1371+1</f>
        <v>2025</v>
      </c>
      <c r="C1372" s="1" t="s">
        <v>14</v>
      </c>
      <c r="D1372" s="2" t="s">
        <v>128</v>
      </c>
      <c r="E1372" s="9" t="str">
        <f t="shared" si="316"/>
        <v>PRBDP'!</v>
      </c>
      <c r="F1372" s="5" t="str">
        <f t="shared" si="298"/>
        <v>C:\Users\jaime.benazar\Quorum Business Solutions\Ecopetrol Prometeo - Documents\Planning Space Implementation\3. Analysis &amp; Design\Design\FC22\DRR Jaime\QUIFA-CAJÚA\Cajua\[VAS_CAJUA_CF_SEC_20230125.xlsx]CF PRBDP'!</v>
      </c>
      <c r="G1372" s="6" t="s">
        <v>38</v>
      </c>
      <c r="H1372" s="1"/>
      <c r="I1372" s="1"/>
      <c r="J1372" s="1"/>
    </row>
    <row r="1373" spans="1:10" x14ac:dyDescent="0.25">
      <c r="A1373" s="6" t="s">
        <v>99</v>
      </c>
      <c r="B1373" s="6">
        <f t="shared" si="317"/>
        <v>2026</v>
      </c>
      <c r="C1373" s="1" t="s">
        <v>14</v>
      </c>
      <c r="D1373" s="2" t="s">
        <v>128</v>
      </c>
      <c r="E1373" s="9" t="str">
        <f t="shared" si="316"/>
        <v>PRBDP'!</v>
      </c>
      <c r="F1373" s="5" t="str">
        <f t="shared" si="298"/>
        <v>C:\Users\jaime.benazar\Quorum Business Solutions\Ecopetrol Prometeo - Documents\Planning Space Implementation\3. Analysis &amp; Design\Design\FC22\DRR Jaime\QUIFA-CAJÚA\Cajua\[VAS_CAJUA_CF_SEC_20230125.xlsx]CF PRBDP'!</v>
      </c>
      <c r="G1373" s="6" t="s">
        <v>38</v>
      </c>
      <c r="H1373" s="1"/>
      <c r="I1373" s="1"/>
      <c r="J1373" s="1"/>
    </row>
    <row r="1374" spans="1:10" x14ac:dyDescent="0.25">
      <c r="A1374" s="6" t="s">
        <v>99</v>
      </c>
      <c r="B1374" s="6">
        <f t="shared" si="317"/>
        <v>2027</v>
      </c>
      <c r="C1374" s="1" t="s">
        <v>14</v>
      </c>
      <c r="D1374" s="2" t="s">
        <v>128</v>
      </c>
      <c r="E1374" s="9" t="str">
        <f t="shared" si="316"/>
        <v>PRBDP'!</v>
      </c>
      <c r="F1374" s="5" t="str">
        <f t="shared" si="298"/>
        <v>C:\Users\jaime.benazar\Quorum Business Solutions\Ecopetrol Prometeo - Documents\Planning Space Implementation\3. Analysis &amp; Design\Design\FC22\DRR Jaime\QUIFA-CAJÚA\Cajua\[VAS_CAJUA_CF_SEC_20230125.xlsx]CF PRBDP'!</v>
      </c>
      <c r="G1374" s="6" t="s">
        <v>38</v>
      </c>
      <c r="H1374" s="1"/>
      <c r="I1374" s="1"/>
      <c r="J1374" s="1"/>
    </row>
    <row r="1375" spans="1:10" x14ac:dyDescent="0.25">
      <c r="A1375" s="6" t="s">
        <v>99</v>
      </c>
      <c r="B1375" s="6">
        <f t="shared" si="317"/>
        <v>2028</v>
      </c>
      <c r="C1375" s="1" t="s">
        <v>14</v>
      </c>
      <c r="D1375" s="2" t="s">
        <v>128</v>
      </c>
      <c r="E1375" s="9" t="str">
        <f t="shared" si="316"/>
        <v>PRBDP'!</v>
      </c>
      <c r="F1375" s="5" t="str">
        <f t="shared" si="298"/>
        <v>C:\Users\jaime.benazar\Quorum Business Solutions\Ecopetrol Prometeo - Documents\Planning Space Implementation\3. Analysis &amp; Design\Design\FC22\DRR Jaime\QUIFA-CAJÚA\Cajua\[VAS_CAJUA_CF_SEC_20230125.xlsx]CF PRBDP'!</v>
      </c>
      <c r="G1375" s="6" t="s">
        <v>38</v>
      </c>
      <c r="H1375" s="1"/>
      <c r="I1375" s="1"/>
      <c r="J1375" s="1"/>
    </row>
    <row r="1376" spans="1:10" x14ac:dyDescent="0.25">
      <c r="A1376" s="6" t="s">
        <v>99</v>
      </c>
      <c r="B1376" s="6">
        <f t="shared" si="317"/>
        <v>2029</v>
      </c>
      <c r="C1376" s="1" t="s">
        <v>14</v>
      </c>
      <c r="D1376" s="2" t="s">
        <v>128</v>
      </c>
      <c r="E1376" s="9" t="str">
        <f t="shared" si="316"/>
        <v>PRBDP'!</v>
      </c>
      <c r="F1376" s="5" t="str">
        <f t="shared" si="298"/>
        <v>C:\Users\jaime.benazar\Quorum Business Solutions\Ecopetrol Prometeo - Documents\Planning Space Implementation\3. Analysis &amp; Design\Design\FC22\DRR Jaime\QUIFA-CAJÚA\Cajua\[VAS_CAJUA_CF_SEC_20230125.xlsx]CF PRBDP'!</v>
      </c>
      <c r="G1376" s="6" t="s">
        <v>38</v>
      </c>
      <c r="H1376" s="1"/>
      <c r="I1376" s="1"/>
      <c r="J1376" s="1"/>
    </row>
    <row r="1377" spans="1:10" x14ac:dyDescent="0.25">
      <c r="A1377" s="6" t="s">
        <v>99</v>
      </c>
      <c r="B1377" s="6">
        <f t="shared" si="317"/>
        <v>2030</v>
      </c>
      <c r="C1377" s="1" t="s">
        <v>14</v>
      </c>
      <c r="D1377" s="2" t="s">
        <v>128</v>
      </c>
      <c r="E1377" s="9" t="str">
        <f t="shared" si="316"/>
        <v>PRBDP'!</v>
      </c>
      <c r="F1377" s="5" t="str">
        <f t="shared" si="298"/>
        <v>C:\Users\jaime.benazar\Quorum Business Solutions\Ecopetrol Prometeo - Documents\Planning Space Implementation\3. Analysis &amp; Design\Design\FC22\DRR Jaime\QUIFA-CAJÚA\Cajua\[VAS_CAJUA_CF_SEC_20230125.xlsx]CF PRBDP'!</v>
      </c>
      <c r="G1377" s="6" t="s">
        <v>38</v>
      </c>
      <c r="H1377" s="1"/>
      <c r="I1377" s="1"/>
      <c r="J1377" s="1"/>
    </row>
    <row r="1378" spans="1:10" x14ac:dyDescent="0.25">
      <c r="A1378" s="6" t="s">
        <v>99</v>
      </c>
      <c r="B1378" s="6">
        <f t="shared" si="317"/>
        <v>2031</v>
      </c>
      <c r="C1378" s="1" t="s">
        <v>14</v>
      </c>
      <c r="D1378" s="2" t="s">
        <v>128</v>
      </c>
      <c r="E1378" s="9" t="str">
        <f t="shared" si="316"/>
        <v>PRBDP'!</v>
      </c>
      <c r="F1378" s="5" t="str">
        <f t="shared" si="298"/>
        <v>C:\Users\jaime.benazar\Quorum Business Solutions\Ecopetrol Prometeo - Documents\Planning Space Implementation\3. Analysis &amp; Design\Design\FC22\DRR Jaime\QUIFA-CAJÚA\Cajua\[VAS_CAJUA_CF_SEC_20230125.xlsx]CF PRBDP'!</v>
      </c>
      <c r="G1378" s="6" t="s">
        <v>38</v>
      </c>
      <c r="H1378" s="1"/>
      <c r="I1378" s="1"/>
      <c r="J1378" s="1"/>
    </row>
    <row r="1379" spans="1:10" x14ac:dyDescent="0.25">
      <c r="A1379" s="6" t="s">
        <v>99</v>
      </c>
      <c r="B1379" s="6">
        <f t="shared" si="317"/>
        <v>2032</v>
      </c>
      <c r="C1379" s="1" t="s">
        <v>14</v>
      </c>
      <c r="D1379" s="2" t="s">
        <v>128</v>
      </c>
      <c r="E1379" s="9" t="str">
        <f t="shared" si="316"/>
        <v>PRBDP'!</v>
      </c>
      <c r="F1379" s="5" t="str">
        <f t="shared" si="298"/>
        <v>C:\Users\jaime.benazar\Quorum Business Solutions\Ecopetrol Prometeo - Documents\Planning Space Implementation\3. Analysis &amp; Design\Design\FC22\DRR Jaime\QUIFA-CAJÚA\Cajua\[VAS_CAJUA_CF_SEC_20230125.xlsx]CF PRBDP'!</v>
      </c>
      <c r="G1379" s="6" t="s">
        <v>38</v>
      </c>
      <c r="H1379" s="1"/>
      <c r="I1379" s="1"/>
      <c r="J1379" s="1"/>
    </row>
    <row r="1380" spans="1:10" x14ac:dyDescent="0.25">
      <c r="A1380" s="6" t="s">
        <v>99</v>
      </c>
      <c r="B1380" s="6">
        <f t="shared" si="317"/>
        <v>2033</v>
      </c>
      <c r="C1380" s="1" t="s">
        <v>14</v>
      </c>
      <c r="D1380" s="2" t="s">
        <v>128</v>
      </c>
      <c r="E1380" s="9" t="str">
        <f t="shared" si="316"/>
        <v>PRBDP'!</v>
      </c>
      <c r="F1380" s="5" t="str">
        <f t="shared" si="298"/>
        <v>C:\Users\jaime.benazar\Quorum Business Solutions\Ecopetrol Prometeo - Documents\Planning Space Implementation\3. Analysis &amp; Design\Design\FC22\DRR Jaime\QUIFA-CAJÚA\Cajua\[VAS_CAJUA_CF_SEC_20230125.xlsx]CF PRBDP'!</v>
      </c>
      <c r="G1380" s="6" t="s">
        <v>38</v>
      </c>
      <c r="H1380" s="1"/>
      <c r="I1380" s="1"/>
      <c r="J1380" s="1"/>
    </row>
    <row r="1381" spans="1:10" x14ac:dyDescent="0.25">
      <c r="A1381" s="6" t="s">
        <v>99</v>
      </c>
      <c r="B1381" s="6">
        <f t="shared" si="317"/>
        <v>2034</v>
      </c>
      <c r="C1381" s="1" t="s">
        <v>14</v>
      </c>
      <c r="D1381" s="2" t="s">
        <v>128</v>
      </c>
      <c r="E1381" s="9" t="str">
        <f t="shared" si="316"/>
        <v>PRBDP'!</v>
      </c>
      <c r="F1381" s="5" t="str">
        <f t="shared" si="298"/>
        <v>C:\Users\jaime.benazar\Quorum Business Solutions\Ecopetrol Prometeo - Documents\Planning Space Implementation\3. Analysis &amp; Design\Design\FC22\DRR Jaime\QUIFA-CAJÚA\Cajua\[VAS_CAJUA_CF_SEC_20230125.xlsx]CF PRBDP'!</v>
      </c>
      <c r="G1381" s="6" t="s">
        <v>38</v>
      </c>
      <c r="H1381" s="1"/>
      <c r="I1381" s="1"/>
      <c r="J1381" s="1"/>
    </row>
    <row r="1382" spans="1:10" x14ac:dyDescent="0.25">
      <c r="A1382" s="6" t="s">
        <v>99</v>
      </c>
      <c r="B1382" s="6">
        <f t="shared" si="317"/>
        <v>2035</v>
      </c>
      <c r="C1382" s="1" t="s">
        <v>14</v>
      </c>
      <c r="D1382" s="2" t="s">
        <v>128</v>
      </c>
      <c r="E1382" s="9" t="str">
        <f t="shared" si="316"/>
        <v>PRBDP'!</v>
      </c>
      <c r="F1382" s="5" t="str">
        <f t="shared" si="298"/>
        <v>C:\Users\jaime.benazar\Quorum Business Solutions\Ecopetrol Prometeo - Documents\Planning Space Implementation\3. Analysis &amp; Design\Design\FC22\DRR Jaime\QUIFA-CAJÚA\Cajua\[VAS_CAJUA_CF_SEC_20230125.xlsx]CF PRBDP'!</v>
      </c>
      <c r="G1382" s="6" t="s">
        <v>38</v>
      </c>
      <c r="H1382" s="1"/>
      <c r="I1382" s="1"/>
      <c r="J1382" s="1"/>
    </row>
    <row r="1383" spans="1:10" x14ac:dyDescent="0.25">
      <c r="A1383" s="6" t="s">
        <v>99</v>
      </c>
      <c r="B1383" s="6">
        <f t="shared" si="317"/>
        <v>2036</v>
      </c>
      <c r="C1383" s="1" t="s">
        <v>14</v>
      </c>
      <c r="D1383" s="2" t="s">
        <v>128</v>
      </c>
      <c r="E1383" s="9" t="str">
        <f t="shared" si="316"/>
        <v>PRBDP'!</v>
      </c>
      <c r="F1383" s="5" t="str">
        <f t="shared" si="298"/>
        <v>C:\Users\jaime.benazar\Quorum Business Solutions\Ecopetrol Prometeo - Documents\Planning Space Implementation\3. Analysis &amp; Design\Design\FC22\DRR Jaime\QUIFA-CAJÚA\Cajua\[VAS_CAJUA_CF_SEC_20230125.xlsx]CF PRBDP'!</v>
      </c>
      <c r="G1383" s="6" t="s">
        <v>38</v>
      </c>
      <c r="H1383" s="1"/>
      <c r="I1383" s="1"/>
      <c r="J1383" s="1"/>
    </row>
    <row r="1384" spans="1:10" x14ac:dyDescent="0.25">
      <c r="A1384" s="6" t="s">
        <v>99</v>
      </c>
      <c r="B1384" s="6">
        <f>+B1383+1</f>
        <v>2037</v>
      </c>
      <c r="C1384" s="1" t="s">
        <v>14</v>
      </c>
      <c r="D1384" s="2" t="s">
        <v>128</v>
      </c>
      <c r="E1384" s="9" t="str">
        <f t="shared" si="316"/>
        <v>PRBDP'!</v>
      </c>
      <c r="F1384" s="5" t="str">
        <f t="shared" si="298"/>
        <v>C:\Users\jaime.benazar\Quorum Business Solutions\Ecopetrol Prometeo - Documents\Planning Space Implementation\3. Analysis &amp; Design\Design\FC22\DRR Jaime\QUIFA-CAJÚA\Cajua\[VAS_CAJUA_CF_SEC_20230125.xlsx]CF PRBDP'!</v>
      </c>
      <c r="G1384" s="6" t="s">
        <v>38</v>
      </c>
      <c r="H1384" s="1"/>
      <c r="I1384" s="1"/>
      <c r="J1384" s="1"/>
    </row>
    <row r="1385" spans="1:10" x14ac:dyDescent="0.25">
      <c r="A1385" s="6" t="s">
        <v>99</v>
      </c>
      <c r="B1385" s="6">
        <f t="shared" ref="B1385:B1387" si="318">+B1384+1</f>
        <v>2038</v>
      </c>
      <c r="C1385" s="1" t="s">
        <v>14</v>
      </c>
      <c r="D1385" s="2" t="s">
        <v>128</v>
      </c>
      <c r="E1385" s="9" t="str">
        <f t="shared" si="316"/>
        <v>PRBDP'!</v>
      </c>
      <c r="F1385" s="5" t="str">
        <f t="shared" si="298"/>
        <v>C:\Users\jaime.benazar\Quorum Business Solutions\Ecopetrol Prometeo - Documents\Planning Space Implementation\3. Analysis &amp; Design\Design\FC22\DRR Jaime\QUIFA-CAJÚA\Cajua\[VAS_CAJUA_CF_SEC_20230125.xlsx]CF PRBDP'!</v>
      </c>
      <c r="G1385" s="6" t="s">
        <v>38</v>
      </c>
      <c r="H1385" s="1"/>
      <c r="I1385" s="1"/>
      <c r="J1385" s="1"/>
    </row>
    <row r="1386" spans="1:10" x14ac:dyDescent="0.25">
      <c r="A1386" s="6" t="s">
        <v>99</v>
      </c>
      <c r="B1386" s="6">
        <f t="shared" si="318"/>
        <v>2039</v>
      </c>
      <c r="C1386" s="1" t="s">
        <v>14</v>
      </c>
      <c r="D1386" s="2" t="s">
        <v>128</v>
      </c>
      <c r="E1386" s="9" t="str">
        <f t="shared" si="316"/>
        <v>PRBDP'!</v>
      </c>
      <c r="F1386" s="5" t="str">
        <f t="shared" si="298"/>
        <v>C:\Users\jaime.benazar\Quorum Business Solutions\Ecopetrol Prometeo - Documents\Planning Space Implementation\3. Analysis &amp; Design\Design\FC22\DRR Jaime\QUIFA-CAJÚA\Cajua\[VAS_CAJUA_CF_SEC_20230125.xlsx]CF PRBDP'!</v>
      </c>
      <c r="G1386" s="6" t="s">
        <v>38</v>
      </c>
      <c r="H1386" s="1"/>
      <c r="I1386" s="1"/>
      <c r="J1386" s="1"/>
    </row>
    <row r="1387" spans="1:10" x14ac:dyDescent="0.25">
      <c r="A1387" s="6" t="s">
        <v>99</v>
      </c>
      <c r="B1387" s="6">
        <f t="shared" si="318"/>
        <v>2040</v>
      </c>
      <c r="C1387" s="1" t="s">
        <v>14</v>
      </c>
      <c r="D1387" s="2" t="s">
        <v>128</v>
      </c>
      <c r="E1387" s="9" t="str">
        <f t="shared" si="316"/>
        <v>PRBDP'!</v>
      </c>
      <c r="F1387" s="5" t="str">
        <f t="shared" si="298"/>
        <v>C:\Users\jaime.benazar\Quorum Business Solutions\Ecopetrol Prometeo - Documents\Planning Space Implementation\3. Analysis &amp; Design\Design\FC22\DRR Jaime\QUIFA-CAJÚA\Cajua\[VAS_CAJUA_CF_SEC_20230125.xlsx]CF PRBDP'!</v>
      </c>
      <c r="G1387" s="6" t="s">
        <v>38</v>
      </c>
      <c r="H1387" s="1"/>
      <c r="I1387" s="1"/>
      <c r="J1387" s="1"/>
    </row>
    <row r="1388" spans="1:10" x14ac:dyDescent="0.25">
      <c r="A1388" s="6" t="s">
        <v>99</v>
      </c>
      <c r="B1388" s="6">
        <f>+B1387+1</f>
        <v>2041</v>
      </c>
      <c r="C1388" s="1" t="s">
        <v>14</v>
      </c>
      <c r="D1388" s="2" t="s">
        <v>128</v>
      </c>
      <c r="E1388" s="9" t="str">
        <f t="shared" si="316"/>
        <v>PRBDP'!</v>
      </c>
      <c r="F1388" s="5" t="str">
        <f t="shared" si="298"/>
        <v>C:\Users\jaime.benazar\Quorum Business Solutions\Ecopetrol Prometeo - Documents\Planning Space Implementation\3. Analysis &amp; Design\Design\FC22\DRR Jaime\QUIFA-CAJÚA\Cajua\[VAS_CAJUA_CF_SEC_20230125.xlsx]CF PRBDP'!</v>
      </c>
      <c r="G1388" s="6" t="s">
        <v>38</v>
      </c>
      <c r="H1388" s="1"/>
      <c r="I1388" s="1"/>
      <c r="J1388" s="1"/>
    </row>
    <row r="1389" spans="1:10" x14ac:dyDescent="0.25">
      <c r="A1389" s="6" t="s">
        <v>99</v>
      </c>
      <c r="B1389" s="6">
        <f t="shared" ref="B1389:B1390" si="319">+B1388+1</f>
        <v>2042</v>
      </c>
      <c r="C1389" s="1" t="s">
        <v>14</v>
      </c>
      <c r="D1389" s="2" t="s">
        <v>128</v>
      </c>
      <c r="E1389" s="9" t="str">
        <f t="shared" si="316"/>
        <v>PRBDP'!</v>
      </c>
      <c r="F1389" s="5" t="str">
        <f t="shared" si="298"/>
        <v>C:\Users\jaime.benazar\Quorum Business Solutions\Ecopetrol Prometeo - Documents\Planning Space Implementation\3. Analysis &amp; Design\Design\FC22\DRR Jaime\QUIFA-CAJÚA\Cajua\[VAS_CAJUA_CF_SEC_20230125.xlsx]CF PRBDP'!</v>
      </c>
      <c r="G1389" s="6" t="s">
        <v>38</v>
      </c>
      <c r="H1389" s="1"/>
      <c r="I1389" s="1"/>
      <c r="J1389" s="1"/>
    </row>
    <row r="1390" spans="1:10" x14ac:dyDescent="0.25">
      <c r="A1390" s="6" t="s">
        <v>99</v>
      </c>
      <c r="B1390" s="6">
        <f t="shared" si="319"/>
        <v>2043</v>
      </c>
      <c r="C1390" s="1" t="s">
        <v>14</v>
      </c>
      <c r="D1390" s="2" t="s">
        <v>128</v>
      </c>
      <c r="E1390" s="9" t="str">
        <f t="shared" si="316"/>
        <v>PRBDP'!</v>
      </c>
      <c r="F1390" s="5" t="str">
        <f t="shared" si="298"/>
        <v>C:\Users\jaime.benazar\Quorum Business Solutions\Ecopetrol Prometeo - Documents\Planning Space Implementation\3. Analysis &amp; Design\Design\FC22\DRR Jaime\QUIFA-CAJÚA\Cajua\[VAS_CAJUA_CF_SEC_20230125.xlsx]CF PRBDP'!</v>
      </c>
      <c r="G1390" s="6" t="s">
        <v>38</v>
      </c>
      <c r="H1390" s="1"/>
      <c r="I1390" s="1"/>
      <c r="J1390" s="1"/>
    </row>
    <row r="1391" spans="1:10" x14ac:dyDescent="0.25">
      <c r="A1391" s="6" t="s">
        <v>99</v>
      </c>
      <c r="B1391" s="6">
        <f>+B1390+1</f>
        <v>2044</v>
      </c>
      <c r="C1391" s="1" t="s">
        <v>14</v>
      </c>
      <c r="D1391" s="2" t="s">
        <v>128</v>
      </c>
      <c r="E1391" s="9" t="str">
        <f t="shared" ref="E1391:E1406" si="320">_xlfn.CONCAT(A1391,"'!")</f>
        <v>PRBDP'!</v>
      </c>
      <c r="F1391" s="5" t="str">
        <f t="shared" ref="F1391:F1406" si="321">_xlfn.CONCAT(D1391," ",E1391)</f>
        <v>C:\Users\jaime.benazar\Quorum Business Solutions\Ecopetrol Prometeo - Documents\Planning Space Implementation\3. Analysis &amp; Design\Design\FC22\DRR Jaime\QUIFA-CAJÚA\Cajua\[VAS_CAJUA_CF_SEC_20230125.xlsx]CF PRBDP'!</v>
      </c>
      <c r="G1391" s="6" t="s">
        <v>38</v>
      </c>
      <c r="H1391" s="1"/>
      <c r="I1391" s="1"/>
      <c r="J1391" s="1"/>
    </row>
    <row r="1392" spans="1:10" x14ac:dyDescent="0.25">
      <c r="A1392" s="6" t="s">
        <v>99</v>
      </c>
      <c r="B1392" s="6">
        <f t="shared" ref="B1392:B1406" si="322">+B1391+1</f>
        <v>2045</v>
      </c>
      <c r="C1392" s="1" t="s">
        <v>14</v>
      </c>
      <c r="D1392" s="2" t="s">
        <v>128</v>
      </c>
      <c r="E1392" s="9" t="str">
        <f t="shared" si="320"/>
        <v>PRBDP'!</v>
      </c>
      <c r="F1392" s="5" t="str">
        <f t="shared" si="321"/>
        <v>C:\Users\jaime.benazar\Quorum Business Solutions\Ecopetrol Prometeo - Documents\Planning Space Implementation\3. Analysis &amp; Design\Design\FC22\DRR Jaime\QUIFA-CAJÚA\Cajua\[VAS_CAJUA_CF_SEC_20230125.xlsx]CF PRBDP'!</v>
      </c>
      <c r="G1392" s="6" t="s">
        <v>38</v>
      </c>
      <c r="H1392" s="1"/>
      <c r="I1392" s="1"/>
      <c r="J1392" s="1"/>
    </row>
    <row r="1393" spans="1:10" x14ac:dyDescent="0.25">
      <c r="A1393" s="6" t="s">
        <v>99</v>
      </c>
      <c r="B1393" s="6">
        <f t="shared" si="322"/>
        <v>2046</v>
      </c>
      <c r="C1393" s="1" t="s">
        <v>14</v>
      </c>
      <c r="D1393" s="2" t="s">
        <v>128</v>
      </c>
      <c r="E1393" s="9" t="str">
        <f t="shared" si="320"/>
        <v>PRBDP'!</v>
      </c>
      <c r="F1393" s="5" t="str">
        <f t="shared" si="321"/>
        <v>C:\Users\jaime.benazar\Quorum Business Solutions\Ecopetrol Prometeo - Documents\Planning Space Implementation\3. Analysis &amp; Design\Design\FC22\DRR Jaime\QUIFA-CAJÚA\Cajua\[VAS_CAJUA_CF_SEC_20230125.xlsx]CF PRBDP'!</v>
      </c>
      <c r="G1393" s="6" t="s">
        <v>38</v>
      </c>
      <c r="H1393" s="1"/>
      <c r="I1393" s="1"/>
      <c r="J1393" s="1"/>
    </row>
    <row r="1394" spans="1:10" x14ac:dyDescent="0.25">
      <c r="A1394" s="6" t="s">
        <v>99</v>
      </c>
      <c r="B1394" s="6">
        <f t="shared" si="322"/>
        <v>2047</v>
      </c>
      <c r="C1394" s="1" t="s">
        <v>14</v>
      </c>
      <c r="D1394" s="2" t="s">
        <v>128</v>
      </c>
      <c r="E1394" s="9" t="str">
        <f t="shared" si="320"/>
        <v>PRBDP'!</v>
      </c>
      <c r="F1394" s="5" t="str">
        <f t="shared" si="321"/>
        <v>C:\Users\jaime.benazar\Quorum Business Solutions\Ecopetrol Prometeo - Documents\Planning Space Implementation\3. Analysis &amp; Design\Design\FC22\DRR Jaime\QUIFA-CAJÚA\Cajua\[VAS_CAJUA_CF_SEC_20230125.xlsx]CF PRBDP'!</v>
      </c>
      <c r="G1394" s="6" t="s">
        <v>38</v>
      </c>
      <c r="H1394" s="1"/>
      <c r="I1394" s="1"/>
      <c r="J1394" s="1"/>
    </row>
    <row r="1395" spans="1:10" x14ac:dyDescent="0.25">
      <c r="A1395" s="6" t="s">
        <v>99</v>
      </c>
      <c r="B1395" s="6">
        <f t="shared" si="322"/>
        <v>2048</v>
      </c>
      <c r="C1395" s="1" t="s">
        <v>14</v>
      </c>
      <c r="D1395" s="2" t="s">
        <v>128</v>
      </c>
      <c r="E1395" s="9" t="str">
        <f t="shared" si="320"/>
        <v>PRBDP'!</v>
      </c>
      <c r="F1395" s="5" t="str">
        <f t="shared" si="321"/>
        <v>C:\Users\jaime.benazar\Quorum Business Solutions\Ecopetrol Prometeo - Documents\Planning Space Implementation\3. Analysis &amp; Design\Design\FC22\DRR Jaime\QUIFA-CAJÚA\Cajua\[VAS_CAJUA_CF_SEC_20230125.xlsx]CF PRBDP'!</v>
      </c>
      <c r="G1395" s="6" t="s">
        <v>38</v>
      </c>
      <c r="H1395" s="1"/>
      <c r="I1395" s="1"/>
      <c r="J1395" s="1"/>
    </row>
    <row r="1396" spans="1:10" x14ac:dyDescent="0.25">
      <c r="A1396" s="6" t="s">
        <v>99</v>
      </c>
      <c r="B1396" s="6">
        <f t="shared" si="322"/>
        <v>2049</v>
      </c>
      <c r="C1396" s="1" t="s">
        <v>14</v>
      </c>
      <c r="D1396" s="2" t="s">
        <v>128</v>
      </c>
      <c r="E1396" s="9" t="str">
        <f t="shared" si="320"/>
        <v>PRBDP'!</v>
      </c>
      <c r="F1396" s="5" t="str">
        <f t="shared" si="321"/>
        <v>C:\Users\jaime.benazar\Quorum Business Solutions\Ecopetrol Prometeo - Documents\Planning Space Implementation\3. Analysis &amp; Design\Design\FC22\DRR Jaime\QUIFA-CAJÚA\Cajua\[VAS_CAJUA_CF_SEC_20230125.xlsx]CF PRBDP'!</v>
      </c>
      <c r="G1396" s="6" t="s">
        <v>38</v>
      </c>
      <c r="H1396" s="1"/>
      <c r="I1396" s="1"/>
      <c r="J1396" s="1"/>
    </row>
    <row r="1397" spans="1:10" x14ac:dyDescent="0.25">
      <c r="A1397" s="6" t="s">
        <v>99</v>
      </c>
      <c r="B1397" s="6">
        <f t="shared" si="322"/>
        <v>2050</v>
      </c>
      <c r="C1397" s="1" t="s">
        <v>14</v>
      </c>
      <c r="D1397" s="2" t="s">
        <v>128</v>
      </c>
      <c r="E1397" s="9" t="str">
        <f t="shared" si="320"/>
        <v>PRBDP'!</v>
      </c>
      <c r="F1397" s="5" t="str">
        <f t="shared" si="321"/>
        <v>C:\Users\jaime.benazar\Quorum Business Solutions\Ecopetrol Prometeo - Documents\Planning Space Implementation\3. Analysis &amp; Design\Design\FC22\DRR Jaime\QUIFA-CAJÚA\Cajua\[VAS_CAJUA_CF_SEC_20230125.xlsx]CF PRBDP'!</v>
      </c>
      <c r="G1397" s="6" t="s">
        <v>38</v>
      </c>
      <c r="H1397" s="1"/>
      <c r="I1397" s="1"/>
      <c r="J1397" s="1"/>
    </row>
    <row r="1398" spans="1:10" x14ac:dyDescent="0.25">
      <c r="A1398" s="6" t="s">
        <v>99</v>
      </c>
      <c r="B1398" s="6">
        <f t="shared" si="322"/>
        <v>2051</v>
      </c>
      <c r="C1398" s="1" t="s">
        <v>14</v>
      </c>
      <c r="D1398" s="2" t="s">
        <v>128</v>
      </c>
      <c r="E1398" s="9" t="str">
        <f t="shared" si="320"/>
        <v>PRBDP'!</v>
      </c>
      <c r="F1398" s="5" t="str">
        <f t="shared" si="321"/>
        <v>C:\Users\jaime.benazar\Quorum Business Solutions\Ecopetrol Prometeo - Documents\Planning Space Implementation\3. Analysis &amp; Design\Design\FC22\DRR Jaime\QUIFA-CAJÚA\Cajua\[VAS_CAJUA_CF_SEC_20230125.xlsx]CF PRBDP'!</v>
      </c>
      <c r="G1398" s="6" t="s">
        <v>38</v>
      </c>
      <c r="H1398" s="1"/>
      <c r="I1398" s="1"/>
      <c r="J1398" s="1"/>
    </row>
    <row r="1399" spans="1:10" x14ac:dyDescent="0.25">
      <c r="A1399" s="6" t="s">
        <v>99</v>
      </c>
      <c r="B1399" s="6">
        <f t="shared" si="322"/>
        <v>2052</v>
      </c>
      <c r="C1399" s="1" t="s">
        <v>14</v>
      </c>
      <c r="D1399" s="2" t="s">
        <v>128</v>
      </c>
      <c r="E1399" s="9" t="str">
        <f t="shared" si="320"/>
        <v>PRBDP'!</v>
      </c>
      <c r="F1399" s="5" t="str">
        <f t="shared" si="321"/>
        <v>C:\Users\jaime.benazar\Quorum Business Solutions\Ecopetrol Prometeo - Documents\Planning Space Implementation\3. Analysis &amp; Design\Design\FC22\DRR Jaime\QUIFA-CAJÚA\Cajua\[VAS_CAJUA_CF_SEC_20230125.xlsx]CF PRBDP'!</v>
      </c>
      <c r="G1399" s="6" t="s">
        <v>38</v>
      </c>
      <c r="H1399" s="1"/>
      <c r="I1399" s="1"/>
      <c r="J1399" s="1"/>
    </row>
    <row r="1400" spans="1:10" x14ac:dyDescent="0.25">
      <c r="A1400" s="6" t="s">
        <v>99</v>
      </c>
      <c r="B1400" s="6">
        <f t="shared" si="322"/>
        <v>2053</v>
      </c>
      <c r="C1400" s="1" t="s">
        <v>14</v>
      </c>
      <c r="D1400" s="2" t="s">
        <v>128</v>
      </c>
      <c r="E1400" s="9" t="str">
        <f t="shared" si="320"/>
        <v>PRBDP'!</v>
      </c>
      <c r="F1400" s="5" t="str">
        <f t="shared" si="321"/>
        <v>C:\Users\jaime.benazar\Quorum Business Solutions\Ecopetrol Prometeo - Documents\Planning Space Implementation\3. Analysis &amp; Design\Design\FC22\DRR Jaime\QUIFA-CAJÚA\Cajua\[VAS_CAJUA_CF_SEC_20230125.xlsx]CF PRBDP'!</v>
      </c>
      <c r="G1400" s="6" t="s">
        <v>38</v>
      </c>
      <c r="H1400" s="1"/>
      <c r="I1400" s="1"/>
      <c r="J1400" s="1"/>
    </row>
    <row r="1401" spans="1:10" x14ac:dyDescent="0.25">
      <c r="A1401" s="6" t="s">
        <v>99</v>
      </c>
      <c r="B1401" s="6">
        <f t="shared" si="322"/>
        <v>2054</v>
      </c>
      <c r="C1401" s="1" t="s">
        <v>14</v>
      </c>
      <c r="D1401" s="2" t="s">
        <v>128</v>
      </c>
      <c r="E1401" s="9" t="str">
        <f t="shared" si="320"/>
        <v>PRBDP'!</v>
      </c>
      <c r="F1401" s="5" t="str">
        <f t="shared" si="321"/>
        <v>C:\Users\jaime.benazar\Quorum Business Solutions\Ecopetrol Prometeo - Documents\Planning Space Implementation\3. Analysis &amp; Design\Design\FC22\DRR Jaime\QUIFA-CAJÚA\Cajua\[VAS_CAJUA_CF_SEC_20230125.xlsx]CF PRBDP'!</v>
      </c>
      <c r="G1401" s="6" t="s">
        <v>38</v>
      </c>
      <c r="H1401" s="1"/>
      <c r="I1401" s="1"/>
      <c r="J1401" s="1"/>
    </row>
    <row r="1402" spans="1:10" x14ac:dyDescent="0.25">
      <c r="A1402" s="6" t="s">
        <v>99</v>
      </c>
      <c r="B1402" s="6">
        <f t="shared" si="322"/>
        <v>2055</v>
      </c>
      <c r="C1402" s="1" t="s">
        <v>14</v>
      </c>
      <c r="D1402" s="2" t="s">
        <v>128</v>
      </c>
      <c r="E1402" s="9" t="str">
        <f t="shared" si="320"/>
        <v>PRBDP'!</v>
      </c>
      <c r="F1402" s="5" t="str">
        <f t="shared" si="321"/>
        <v>C:\Users\jaime.benazar\Quorum Business Solutions\Ecopetrol Prometeo - Documents\Planning Space Implementation\3. Analysis &amp; Design\Design\FC22\DRR Jaime\QUIFA-CAJÚA\Cajua\[VAS_CAJUA_CF_SEC_20230125.xlsx]CF PRBDP'!</v>
      </c>
      <c r="G1402" s="6" t="s">
        <v>38</v>
      </c>
      <c r="H1402" s="1"/>
      <c r="I1402" s="1"/>
      <c r="J1402" s="1"/>
    </row>
    <row r="1403" spans="1:10" x14ac:dyDescent="0.25">
      <c r="A1403" s="6" t="s">
        <v>99</v>
      </c>
      <c r="B1403" s="6">
        <f t="shared" si="322"/>
        <v>2056</v>
      </c>
      <c r="C1403" s="1" t="s">
        <v>14</v>
      </c>
      <c r="D1403" s="2" t="s">
        <v>128</v>
      </c>
      <c r="E1403" s="9" t="str">
        <f t="shared" si="320"/>
        <v>PRBDP'!</v>
      </c>
      <c r="F1403" s="5" t="str">
        <f t="shared" si="321"/>
        <v>C:\Users\jaime.benazar\Quorum Business Solutions\Ecopetrol Prometeo - Documents\Planning Space Implementation\3. Analysis &amp; Design\Design\FC22\DRR Jaime\QUIFA-CAJÚA\Cajua\[VAS_CAJUA_CF_SEC_20230125.xlsx]CF PRBDP'!</v>
      </c>
      <c r="G1403" s="6" t="s">
        <v>38</v>
      </c>
      <c r="H1403" s="1"/>
      <c r="I1403" s="1"/>
      <c r="J1403" s="1"/>
    </row>
    <row r="1404" spans="1:10" x14ac:dyDescent="0.25">
      <c r="A1404" s="6" t="s">
        <v>99</v>
      </c>
      <c r="B1404" s="6">
        <f t="shared" si="322"/>
        <v>2057</v>
      </c>
      <c r="C1404" s="1" t="s">
        <v>14</v>
      </c>
      <c r="D1404" s="2" t="s">
        <v>128</v>
      </c>
      <c r="E1404" s="9" t="str">
        <f t="shared" si="320"/>
        <v>PRBDP'!</v>
      </c>
      <c r="F1404" s="5" t="str">
        <f t="shared" si="321"/>
        <v>C:\Users\jaime.benazar\Quorum Business Solutions\Ecopetrol Prometeo - Documents\Planning Space Implementation\3. Analysis &amp; Design\Design\FC22\DRR Jaime\QUIFA-CAJÚA\Cajua\[VAS_CAJUA_CF_SEC_20230125.xlsx]CF PRBDP'!</v>
      </c>
      <c r="G1404" s="6" t="s">
        <v>38</v>
      </c>
      <c r="H1404" s="1"/>
      <c r="I1404" s="1"/>
      <c r="J1404" s="1"/>
    </row>
    <row r="1405" spans="1:10" x14ac:dyDescent="0.25">
      <c r="A1405" s="6" t="s">
        <v>99</v>
      </c>
      <c r="B1405" s="6">
        <f t="shared" si="322"/>
        <v>2058</v>
      </c>
      <c r="C1405" s="1" t="s">
        <v>14</v>
      </c>
      <c r="D1405" s="2" t="s">
        <v>128</v>
      </c>
      <c r="E1405" s="9" t="str">
        <f t="shared" si="320"/>
        <v>PRBDP'!</v>
      </c>
      <c r="F1405" s="5" t="str">
        <f t="shared" si="321"/>
        <v>C:\Users\jaime.benazar\Quorum Business Solutions\Ecopetrol Prometeo - Documents\Planning Space Implementation\3. Analysis &amp; Design\Design\FC22\DRR Jaime\QUIFA-CAJÚA\Cajua\[VAS_CAJUA_CF_SEC_20230125.xlsx]CF PRBDP'!</v>
      </c>
      <c r="G1405" s="6" t="s">
        <v>38</v>
      </c>
      <c r="H1405" s="1"/>
      <c r="I1405" s="1"/>
      <c r="J1405" s="1"/>
    </row>
    <row r="1406" spans="1:10" x14ac:dyDescent="0.25">
      <c r="A1406" s="6" t="s">
        <v>99</v>
      </c>
      <c r="B1406" s="6">
        <f t="shared" si="322"/>
        <v>2059</v>
      </c>
      <c r="C1406" s="1" t="s">
        <v>14</v>
      </c>
      <c r="D1406" s="2" t="s">
        <v>128</v>
      </c>
      <c r="E1406" s="9" t="str">
        <f t="shared" si="320"/>
        <v>PRBDP'!</v>
      </c>
      <c r="F1406" s="5" t="str">
        <f t="shared" si="321"/>
        <v>C:\Users\jaime.benazar\Quorum Business Solutions\Ecopetrol Prometeo - Documents\Planning Space Implementation\3. Analysis &amp; Design\Design\FC22\DRR Jaime\QUIFA-CAJÚA\Cajua\[VAS_CAJUA_CF_SEC_20230125.xlsx]CF PRBDP'!</v>
      </c>
      <c r="G1406" s="6" t="s">
        <v>38</v>
      </c>
      <c r="H1406" s="1"/>
      <c r="I1406" s="1"/>
      <c r="J1406" s="1"/>
    </row>
    <row r="1407" spans="1:10" x14ac:dyDescent="0.25">
      <c r="A1407" s="6" t="s">
        <v>28</v>
      </c>
      <c r="B1407" s="6"/>
      <c r="C1407" s="1" t="s">
        <v>14</v>
      </c>
      <c r="D1407" s="2"/>
      <c r="E1407" s="9"/>
      <c r="F1407" s="5" t="str">
        <f t="shared" si="298"/>
        <v xml:space="preserve"> </v>
      </c>
      <c r="G1407" s="6"/>
      <c r="H1407" s="1"/>
      <c r="I1407" s="1"/>
      <c r="J1407" s="1"/>
    </row>
    <row r="1408" spans="1:10" x14ac:dyDescent="0.25">
      <c r="A1408" s="6" t="s">
        <v>100</v>
      </c>
      <c r="B1408" s="6">
        <v>2023</v>
      </c>
      <c r="C1408" s="1" t="s">
        <v>14</v>
      </c>
      <c r="D1408" s="2" t="s">
        <v>128</v>
      </c>
      <c r="E1408" s="9" t="str">
        <f t="shared" ref="E1408:E1428" si="323">_xlfn.CONCAT(A1408,"'!")</f>
        <v>PRBNP'!</v>
      </c>
      <c r="F1408" s="5" t="str">
        <f t="shared" si="298"/>
        <v>C:\Users\jaime.benazar\Quorum Business Solutions\Ecopetrol Prometeo - Documents\Planning Space Implementation\3. Analysis &amp; Design\Design\FC22\DRR Jaime\QUIFA-CAJÚA\Cajua\[VAS_CAJUA_CF_SEC_20230125.xlsx]CF PRBNP'!</v>
      </c>
      <c r="G1408" s="6" t="s">
        <v>38</v>
      </c>
      <c r="H1408" s="1"/>
      <c r="I1408" s="1"/>
      <c r="J1408" s="1"/>
    </row>
    <row r="1409" spans="1:10" x14ac:dyDescent="0.25">
      <c r="A1409" s="6" t="s">
        <v>100</v>
      </c>
      <c r="B1409" s="6">
        <f>+B1408+1</f>
        <v>2024</v>
      </c>
      <c r="C1409" s="1" t="s">
        <v>14</v>
      </c>
      <c r="D1409" s="2" t="s">
        <v>128</v>
      </c>
      <c r="E1409" s="9" t="str">
        <f t="shared" si="323"/>
        <v>PRBNP'!</v>
      </c>
      <c r="F1409" s="5" t="str">
        <f t="shared" si="298"/>
        <v>C:\Users\jaime.benazar\Quorum Business Solutions\Ecopetrol Prometeo - Documents\Planning Space Implementation\3. Analysis &amp; Design\Design\FC22\DRR Jaime\QUIFA-CAJÚA\Cajua\[VAS_CAJUA_CF_SEC_20230125.xlsx]CF PRBNP'!</v>
      </c>
      <c r="G1409" s="6" t="s">
        <v>38</v>
      </c>
      <c r="H1409" s="1"/>
      <c r="I1409" s="1"/>
      <c r="J1409" s="1"/>
    </row>
    <row r="1410" spans="1:10" x14ac:dyDescent="0.25">
      <c r="A1410" s="6" t="s">
        <v>100</v>
      </c>
      <c r="B1410" s="6">
        <f t="shared" ref="B1410:B1421" si="324">+B1409+1</f>
        <v>2025</v>
      </c>
      <c r="C1410" s="1" t="s">
        <v>14</v>
      </c>
      <c r="D1410" s="2" t="s">
        <v>128</v>
      </c>
      <c r="E1410" s="9" t="str">
        <f t="shared" si="323"/>
        <v>PRBNP'!</v>
      </c>
      <c r="F1410" s="5" t="str">
        <f t="shared" si="298"/>
        <v>C:\Users\jaime.benazar\Quorum Business Solutions\Ecopetrol Prometeo - Documents\Planning Space Implementation\3. Analysis &amp; Design\Design\FC22\DRR Jaime\QUIFA-CAJÚA\Cajua\[VAS_CAJUA_CF_SEC_20230125.xlsx]CF PRBNP'!</v>
      </c>
      <c r="G1410" s="6" t="s">
        <v>38</v>
      </c>
      <c r="H1410" s="1"/>
      <c r="I1410" s="1"/>
      <c r="J1410" s="1"/>
    </row>
    <row r="1411" spans="1:10" x14ac:dyDescent="0.25">
      <c r="A1411" s="6" t="s">
        <v>100</v>
      </c>
      <c r="B1411" s="6">
        <f t="shared" si="324"/>
        <v>2026</v>
      </c>
      <c r="C1411" s="1" t="s">
        <v>14</v>
      </c>
      <c r="D1411" s="2" t="s">
        <v>128</v>
      </c>
      <c r="E1411" s="9" t="str">
        <f t="shared" si="323"/>
        <v>PRBNP'!</v>
      </c>
      <c r="F1411" s="5" t="str">
        <f t="shared" si="298"/>
        <v>C:\Users\jaime.benazar\Quorum Business Solutions\Ecopetrol Prometeo - Documents\Planning Space Implementation\3. Analysis &amp; Design\Design\FC22\DRR Jaime\QUIFA-CAJÚA\Cajua\[VAS_CAJUA_CF_SEC_20230125.xlsx]CF PRBNP'!</v>
      </c>
      <c r="G1411" s="6" t="s">
        <v>38</v>
      </c>
      <c r="H1411" s="1"/>
      <c r="I1411" s="1"/>
      <c r="J1411" s="1"/>
    </row>
    <row r="1412" spans="1:10" x14ac:dyDescent="0.25">
      <c r="A1412" s="6" t="s">
        <v>100</v>
      </c>
      <c r="B1412" s="6">
        <f t="shared" si="324"/>
        <v>2027</v>
      </c>
      <c r="C1412" s="1" t="s">
        <v>14</v>
      </c>
      <c r="D1412" s="2" t="s">
        <v>128</v>
      </c>
      <c r="E1412" s="9" t="str">
        <f t="shared" si="323"/>
        <v>PRBNP'!</v>
      </c>
      <c r="F1412" s="5" t="str">
        <f t="shared" si="298"/>
        <v>C:\Users\jaime.benazar\Quorum Business Solutions\Ecopetrol Prometeo - Documents\Planning Space Implementation\3. Analysis &amp; Design\Design\FC22\DRR Jaime\QUIFA-CAJÚA\Cajua\[VAS_CAJUA_CF_SEC_20230125.xlsx]CF PRBNP'!</v>
      </c>
      <c r="G1412" s="6" t="s">
        <v>38</v>
      </c>
      <c r="H1412" s="1"/>
      <c r="I1412" s="1"/>
      <c r="J1412" s="1"/>
    </row>
    <row r="1413" spans="1:10" x14ac:dyDescent="0.25">
      <c r="A1413" s="6" t="s">
        <v>100</v>
      </c>
      <c r="B1413" s="6">
        <f t="shared" si="324"/>
        <v>2028</v>
      </c>
      <c r="C1413" s="1" t="s">
        <v>14</v>
      </c>
      <c r="D1413" s="2" t="s">
        <v>128</v>
      </c>
      <c r="E1413" s="9" t="str">
        <f t="shared" si="323"/>
        <v>PRBNP'!</v>
      </c>
      <c r="F1413" s="5" t="str">
        <f t="shared" si="298"/>
        <v>C:\Users\jaime.benazar\Quorum Business Solutions\Ecopetrol Prometeo - Documents\Planning Space Implementation\3. Analysis &amp; Design\Design\FC22\DRR Jaime\QUIFA-CAJÚA\Cajua\[VAS_CAJUA_CF_SEC_20230125.xlsx]CF PRBNP'!</v>
      </c>
      <c r="G1413" s="6" t="s">
        <v>38</v>
      </c>
      <c r="H1413" s="1"/>
      <c r="I1413" s="1"/>
      <c r="J1413" s="1"/>
    </row>
    <row r="1414" spans="1:10" x14ac:dyDescent="0.25">
      <c r="A1414" s="6" t="s">
        <v>100</v>
      </c>
      <c r="B1414" s="6">
        <f t="shared" si="324"/>
        <v>2029</v>
      </c>
      <c r="C1414" s="1" t="s">
        <v>14</v>
      </c>
      <c r="D1414" s="2" t="s">
        <v>128</v>
      </c>
      <c r="E1414" s="9" t="str">
        <f t="shared" si="323"/>
        <v>PRBNP'!</v>
      </c>
      <c r="F1414" s="5" t="str">
        <f t="shared" si="298"/>
        <v>C:\Users\jaime.benazar\Quorum Business Solutions\Ecopetrol Prometeo - Documents\Planning Space Implementation\3. Analysis &amp; Design\Design\FC22\DRR Jaime\QUIFA-CAJÚA\Cajua\[VAS_CAJUA_CF_SEC_20230125.xlsx]CF PRBNP'!</v>
      </c>
      <c r="G1414" s="6" t="s">
        <v>38</v>
      </c>
      <c r="H1414" s="1"/>
      <c r="I1414" s="1"/>
      <c r="J1414" s="1"/>
    </row>
    <row r="1415" spans="1:10" x14ac:dyDescent="0.25">
      <c r="A1415" s="6" t="s">
        <v>100</v>
      </c>
      <c r="B1415" s="6">
        <f t="shared" si="324"/>
        <v>2030</v>
      </c>
      <c r="C1415" s="1" t="s">
        <v>14</v>
      </c>
      <c r="D1415" s="2" t="s">
        <v>128</v>
      </c>
      <c r="E1415" s="9" t="str">
        <f t="shared" si="323"/>
        <v>PRBNP'!</v>
      </c>
      <c r="F1415" s="5" t="str">
        <f t="shared" si="298"/>
        <v>C:\Users\jaime.benazar\Quorum Business Solutions\Ecopetrol Prometeo - Documents\Planning Space Implementation\3. Analysis &amp; Design\Design\FC22\DRR Jaime\QUIFA-CAJÚA\Cajua\[VAS_CAJUA_CF_SEC_20230125.xlsx]CF PRBNP'!</v>
      </c>
      <c r="G1415" s="6" t="s">
        <v>38</v>
      </c>
      <c r="H1415" s="1"/>
      <c r="I1415" s="1"/>
      <c r="J1415" s="1"/>
    </row>
    <row r="1416" spans="1:10" x14ac:dyDescent="0.25">
      <c r="A1416" s="6" t="s">
        <v>100</v>
      </c>
      <c r="B1416" s="6">
        <f t="shared" si="324"/>
        <v>2031</v>
      </c>
      <c r="C1416" s="1" t="s">
        <v>14</v>
      </c>
      <c r="D1416" s="2" t="s">
        <v>128</v>
      </c>
      <c r="E1416" s="9" t="str">
        <f t="shared" si="323"/>
        <v>PRBNP'!</v>
      </c>
      <c r="F1416" s="5" t="str">
        <f t="shared" si="298"/>
        <v>C:\Users\jaime.benazar\Quorum Business Solutions\Ecopetrol Prometeo - Documents\Planning Space Implementation\3. Analysis &amp; Design\Design\FC22\DRR Jaime\QUIFA-CAJÚA\Cajua\[VAS_CAJUA_CF_SEC_20230125.xlsx]CF PRBNP'!</v>
      </c>
      <c r="G1416" s="6" t="s">
        <v>38</v>
      </c>
      <c r="H1416" s="1"/>
      <c r="I1416" s="1"/>
      <c r="J1416" s="1"/>
    </row>
    <row r="1417" spans="1:10" x14ac:dyDescent="0.25">
      <c r="A1417" s="6" t="s">
        <v>100</v>
      </c>
      <c r="B1417" s="6">
        <f t="shared" si="324"/>
        <v>2032</v>
      </c>
      <c r="C1417" s="1" t="s">
        <v>14</v>
      </c>
      <c r="D1417" s="2" t="s">
        <v>128</v>
      </c>
      <c r="E1417" s="9" t="str">
        <f t="shared" si="323"/>
        <v>PRBNP'!</v>
      </c>
      <c r="F1417" s="5" t="str">
        <f t="shared" ref="F1417:F1428" si="325">_xlfn.CONCAT(D1417," ",E1417)</f>
        <v>C:\Users\jaime.benazar\Quorum Business Solutions\Ecopetrol Prometeo - Documents\Planning Space Implementation\3. Analysis &amp; Design\Design\FC22\DRR Jaime\QUIFA-CAJÚA\Cajua\[VAS_CAJUA_CF_SEC_20230125.xlsx]CF PRBNP'!</v>
      </c>
      <c r="G1417" s="6" t="s">
        <v>38</v>
      </c>
      <c r="H1417" s="1"/>
      <c r="I1417" s="1"/>
      <c r="J1417" s="1"/>
    </row>
    <row r="1418" spans="1:10" x14ac:dyDescent="0.25">
      <c r="A1418" s="6" t="s">
        <v>100</v>
      </c>
      <c r="B1418" s="6">
        <f t="shared" si="324"/>
        <v>2033</v>
      </c>
      <c r="C1418" s="1" t="s">
        <v>14</v>
      </c>
      <c r="D1418" s="2" t="s">
        <v>128</v>
      </c>
      <c r="E1418" s="9" t="str">
        <f t="shared" si="323"/>
        <v>PRBNP'!</v>
      </c>
      <c r="F1418" s="5" t="str">
        <f t="shared" si="325"/>
        <v>C:\Users\jaime.benazar\Quorum Business Solutions\Ecopetrol Prometeo - Documents\Planning Space Implementation\3. Analysis &amp; Design\Design\FC22\DRR Jaime\QUIFA-CAJÚA\Cajua\[VAS_CAJUA_CF_SEC_20230125.xlsx]CF PRBNP'!</v>
      </c>
      <c r="G1418" s="6" t="s">
        <v>38</v>
      </c>
      <c r="H1418" s="1"/>
      <c r="I1418" s="1"/>
      <c r="J1418" s="1"/>
    </row>
    <row r="1419" spans="1:10" x14ac:dyDescent="0.25">
      <c r="A1419" s="6" t="s">
        <v>100</v>
      </c>
      <c r="B1419" s="6">
        <f t="shared" si="324"/>
        <v>2034</v>
      </c>
      <c r="C1419" s="1" t="s">
        <v>14</v>
      </c>
      <c r="D1419" s="2" t="s">
        <v>128</v>
      </c>
      <c r="E1419" s="9" t="str">
        <f t="shared" si="323"/>
        <v>PRBNP'!</v>
      </c>
      <c r="F1419" s="5" t="str">
        <f t="shared" si="325"/>
        <v>C:\Users\jaime.benazar\Quorum Business Solutions\Ecopetrol Prometeo - Documents\Planning Space Implementation\3. Analysis &amp; Design\Design\FC22\DRR Jaime\QUIFA-CAJÚA\Cajua\[VAS_CAJUA_CF_SEC_20230125.xlsx]CF PRBNP'!</v>
      </c>
      <c r="G1419" s="6" t="s">
        <v>38</v>
      </c>
      <c r="H1419" s="1"/>
      <c r="I1419" s="1"/>
      <c r="J1419" s="1"/>
    </row>
    <row r="1420" spans="1:10" x14ac:dyDescent="0.25">
      <c r="A1420" s="6" t="s">
        <v>100</v>
      </c>
      <c r="B1420" s="6">
        <f t="shared" si="324"/>
        <v>2035</v>
      </c>
      <c r="C1420" s="1" t="s">
        <v>14</v>
      </c>
      <c r="D1420" s="2" t="s">
        <v>128</v>
      </c>
      <c r="E1420" s="9" t="str">
        <f t="shared" si="323"/>
        <v>PRBNP'!</v>
      </c>
      <c r="F1420" s="5" t="str">
        <f t="shared" si="325"/>
        <v>C:\Users\jaime.benazar\Quorum Business Solutions\Ecopetrol Prometeo - Documents\Planning Space Implementation\3. Analysis &amp; Design\Design\FC22\DRR Jaime\QUIFA-CAJÚA\Cajua\[VAS_CAJUA_CF_SEC_20230125.xlsx]CF PRBNP'!</v>
      </c>
      <c r="G1420" s="6" t="s">
        <v>38</v>
      </c>
      <c r="H1420" s="1"/>
      <c r="I1420" s="1"/>
      <c r="J1420" s="1"/>
    </row>
    <row r="1421" spans="1:10" x14ac:dyDescent="0.25">
      <c r="A1421" s="6" t="s">
        <v>100</v>
      </c>
      <c r="B1421" s="6">
        <f t="shared" si="324"/>
        <v>2036</v>
      </c>
      <c r="C1421" s="1" t="s">
        <v>14</v>
      </c>
      <c r="D1421" s="2" t="s">
        <v>128</v>
      </c>
      <c r="E1421" s="9" t="str">
        <f t="shared" si="323"/>
        <v>PRBNP'!</v>
      </c>
      <c r="F1421" s="5" t="str">
        <f t="shared" si="325"/>
        <v>C:\Users\jaime.benazar\Quorum Business Solutions\Ecopetrol Prometeo - Documents\Planning Space Implementation\3. Analysis &amp; Design\Design\FC22\DRR Jaime\QUIFA-CAJÚA\Cajua\[VAS_CAJUA_CF_SEC_20230125.xlsx]CF PRBNP'!</v>
      </c>
      <c r="G1421" s="6" t="s">
        <v>38</v>
      </c>
      <c r="H1421" s="1"/>
      <c r="I1421" s="1"/>
      <c r="J1421" s="1"/>
    </row>
    <row r="1422" spans="1:10" x14ac:dyDescent="0.25">
      <c r="A1422" s="6" t="s">
        <v>100</v>
      </c>
      <c r="B1422" s="6">
        <f>+B1421+1</f>
        <v>2037</v>
      </c>
      <c r="C1422" s="1" t="s">
        <v>14</v>
      </c>
      <c r="D1422" s="2" t="s">
        <v>128</v>
      </c>
      <c r="E1422" s="9" t="str">
        <f t="shared" si="323"/>
        <v>PRBNP'!</v>
      </c>
      <c r="F1422" s="5" t="str">
        <f t="shared" si="325"/>
        <v>C:\Users\jaime.benazar\Quorum Business Solutions\Ecopetrol Prometeo - Documents\Planning Space Implementation\3. Analysis &amp; Design\Design\FC22\DRR Jaime\QUIFA-CAJÚA\Cajua\[VAS_CAJUA_CF_SEC_20230125.xlsx]CF PRBNP'!</v>
      </c>
      <c r="G1422" s="6" t="s">
        <v>38</v>
      </c>
      <c r="H1422" s="1"/>
      <c r="I1422" s="1"/>
      <c r="J1422" s="1"/>
    </row>
    <row r="1423" spans="1:10" x14ac:dyDescent="0.25">
      <c r="A1423" s="6" t="s">
        <v>100</v>
      </c>
      <c r="B1423" s="6">
        <f t="shared" ref="B1423:B1425" si="326">+B1422+1</f>
        <v>2038</v>
      </c>
      <c r="C1423" s="1" t="s">
        <v>14</v>
      </c>
      <c r="D1423" s="2" t="s">
        <v>128</v>
      </c>
      <c r="E1423" s="9" t="str">
        <f t="shared" si="323"/>
        <v>PRBNP'!</v>
      </c>
      <c r="F1423" s="5" t="str">
        <f t="shared" si="325"/>
        <v>C:\Users\jaime.benazar\Quorum Business Solutions\Ecopetrol Prometeo - Documents\Planning Space Implementation\3. Analysis &amp; Design\Design\FC22\DRR Jaime\QUIFA-CAJÚA\Cajua\[VAS_CAJUA_CF_SEC_20230125.xlsx]CF PRBNP'!</v>
      </c>
      <c r="G1423" s="6" t="s">
        <v>38</v>
      </c>
      <c r="H1423" s="1"/>
      <c r="I1423" s="1"/>
      <c r="J1423" s="1"/>
    </row>
    <row r="1424" spans="1:10" x14ac:dyDescent="0.25">
      <c r="A1424" s="6" t="s">
        <v>100</v>
      </c>
      <c r="B1424" s="6">
        <f t="shared" si="326"/>
        <v>2039</v>
      </c>
      <c r="C1424" s="1" t="s">
        <v>14</v>
      </c>
      <c r="D1424" s="2" t="s">
        <v>128</v>
      </c>
      <c r="E1424" s="9" t="str">
        <f t="shared" si="323"/>
        <v>PRBNP'!</v>
      </c>
      <c r="F1424" s="5" t="str">
        <f t="shared" si="325"/>
        <v>C:\Users\jaime.benazar\Quorum Business Solutions\Ecopetrol Prometeo - Documents\Planning Space Implementation\3. Analysis &amp; Design\Design\FC22\DRR Jaime\QUIFA-CAJÚA\Cajua\[VAS_CAJUA_CF_SEC_20230125.xlsx]CF PRBNP'!</v>
      </c>
      <c r="G1424" s="6" t="s">
        <v>38</v>
      </c>
      <c r="H1424" s="1"/>
      <c r="I1424" s="1"/>
      <c r="J1424" s="1"/>
    </row>
    <row r="1425" spans="1:10" x14ac:dyDescent="0.25">
      <c r="A1425" s="6" t="s">
        <v>100</v>
      </c>
      <c r="B1425" s="6">
        <f t="shared" si="326"/>
        <v>2040</v>
      </c>
      <c r="C1425" s="1" t="s">
        <v>14</v>
      </c>
      <c r="D1425" s="2" t="s">
        <v>128</v>
      </c>
      <c r="E1425" s="9" t="str">
        <f t="shared" si="323"/>
        <v>PRBNP'!</v>
      </c>
      <c r="F1425" s="5" t="str">
        <f t="shared" si="325"/>
        <v>C:\Users\jaime.benazar\Quorum Business Solutions\Ecopetrol Prometeo - Documents\Planning Space Implementation\3. Analysis &amp; Design\Design\FC22\DRR Jaime\QUIFA-CAJÚA\Cajua\[VAS_CAJUA_CF_SEC_20230125.xlsx]CF PRBNP'!</v>
      </c>
      <c r="G1425" s="6" t="s">
        <v>38</v>
      </c>
      <c r="H1425" s="1"/>
      <c r="I1425" s="1"/>
      <c r="J1425" s="1"/>
    </row>
    <row r="1426" spans="1:10" x14ac:dyDescent="0.25">
      <c r="A1426" s="6" t="s">
        <v>100</v>
      </c>
      <c r="B1426" s="6">
        <f>+B1425+1</f>
        <v>2041</v>
      </c>
      <c r="C1426" s="1" t="s">
        <v>14</v>
      </c>
      <c r="D1426" s="2" t="s">
        <v>128</v>
      </c>
      <c r="E1426" s="9" t="str">
        <f t="shared" si="323"/>
        <v>PRBNP'!</v>
      </c>
      <c r="F1426" s="5" t="str">
        <f t="shared" si="325"/>
        <v>C:\Users\jaime.benazar\Quorum Business Solutions\Ecopetrol Prometeo - Documents\Planning Space Implementation\3. Analysis &amp; Design\Design\FC22\DRR Jaime\QUIFA-CAJÚA\Cajua\[VAS_CAJUA_CF_SEC_20230125.xlsx]CF PRBNP'!</v>
      </c>
      <c r="G1426" s="6" t="s">
        <v>38</v>
      </c>
      <c r="H1426" s="1"/>
      <c r="I1426" s="1"/>
      <c r="J1426" s="1"/>
    </row>
    <row r="1427" spans="1:10" x14ac:dyDescent="0.25">
      <c r="A1427" s="6" t="s">
        <v>100</v>
      </c>
      <c r="B1427" s="6">
        <f t="shared" ref="B1427:B1428" si="327">+B1426+1</f>
        <v>2042</v>
      </c>
      <c r="C1427" s="1" t="s">
        <v>14</v>
      </c>
      <c r="D1427" s="2" t="s">
        <v>128</v>
      </c>
      <c r="E1427" s="9" t="str">
        <f t="shared" si="323"/>
        <v>PRBNP'!</v>
      </c>
      <c r="F1427" s="5" t="str">
        <f t="shared" si="325"/>
        <v>C:\Users\jaime.benazar\Quorum Business Solutions\Ecopetrol Prometeo - Documents\Planning Space Implementation\3. Analysis &amp; Design\Design\FC22\DRR Jaime\QUIFA-CAJÚA\Cajua\[VAS_CAJUA_CF_SEC_20230125.xlsx]CF PRBNP'!</v>
      </c>
      <c r="G1427" s="6" t="s">
        <v>38</v>
      </c>
      <c r="H1427" s="1"/>
      <c r="I1427" s="1"/>
      <c r="J1427" s="1"/>
    </row>
    <row r="1428" spans="1:10" x14ac:dyDescent="0.25">
      <c r="A1428" s="6" t="s">
        <v>100</v>
      </c>
      <c r="B1428" s="6">
        <f t="shared" si="327"/>
        <v>2043</v>
      </c>
      <c r="C1428" s="1" t="s">
        <v>14</v>
      </c>
      <c r="D1428" s="2" t="s">
        <v>128</v>
      </c>
      <c r="E1428" s="9" t="str">
        <f t="shared" si="323"/>
        <v>PRBNP'!</v>
      </c>
      <c r="F1428" s="5" t="str">
        <f t="shared" si="325"/>
        <v>C:\Users\jaime.benazar\Quorum Business Solutions\Ecopetrol Prometeo - Documents\Planning Space Implementation\3. Analysis &amp; Design\Design\FC22\DRR Jaime\QUIFA-CAJÚA\Cajua\[VAS_CAJUA_CF_SEC_20230125.xlsx]CF PRBNP'!</v>
      </c>
      <c r="G1428" s="6" t="s">
        <v>38</v>
      </c>
      <c r="H1428" s="1"/>
      <c r="I1428" s="1"/>
      <c r="J1428" s="1"/>
    </row>
    <row r="1429" spans="1:10" x14ac:dyDescent="0.25">
      <c r="A1429" s="6" t="s">
        <v>100</v>
      </c>
      <c r="B1429" s="6">
        <f>+B1428+1</f>
        <v>2044</v>
      </c>
      <c r="C1429" s="1" t="s">
        <v>14</v>
      </c>
      <c r="D1429" s="2" t="s">
        <v>128</v>
      </c>
      <c r="E1429" s="9" t="str">
        <f t="shared" ref="E1429:E1444" si="328">_xlfn.CONCAT(A1429,"'!")</f>
        <v>PRBNP'!</v>
      </c>
      <c r="F1429" s="5" t="str">
        <f t="shared" ref="F1429:F1444" si="329">_xlfn.CONCAT(D1429," ",E1429)</f>
        <v>C:\Users\jaime.benazar\Quorum Business Solutions\Ecopetrol Prometeo - Documents\Planning Space Implementation\3. Analysis &amp; Design\Design\FC22\DRR Jaime\QUIFA-CAJÚA\Cajua\[VAS_CAJUA_CF_SEC_20230125.xlsx]CF PRBNP'!</v>
      </c>
      <c r="G1429" s="6" t="s">
        <v>38</v>
      </c>
      <c r="H1429" s="1"/>
      <c r="I1429" s="1"/>
      <c r="J1429" s="1"/>
    </row>
    <row r="1430" spans="1:10" x14ac:dyDescent="0.25">
      <c r="A1430" s="6" t="s">
        <v>100</v>
      </c>
      <c r="B1430" s="6">
        <f t="shared" ref="B1430:B1444" si="330">+B1429+1</f>
        <v>2045</v>
      </c>
      <c r="C1430" s="1" t="s">
        <v>14</v>
      </c>
      <c r="D1430" s="2" t="s">
        <v>128</v>
      </c>
      <c r="E1430" s="9" t="str">
        <f t="shared" si="328"/>
        <v>PRBNP'!</v>
      </c>
      <c r="F1430" s="5" t="str">
        <f t="shared" si="329"/>
        <v>C:\Users\jaime.benazar\Quorum Business Solutions\Ecopetrol Prometeo - Documents\Planning Space Implementation\3. Analysis &amp; Design\Design\FC22\DRR Jaime\QUIFA-CAJÚA\Cajua\[VAS_CAJUA_CF_SEC_20230125.xlsx]CF PRBNP'!</v>
      </c>
      <c r="G1430" s="6" t="s">
        <v>38</v>
      </c>
      <c r="H1430" s="1"/>
      <c r="I1430" s="1"/>
      <c r="J1430" s="1"/>
    </row>
    <row r="1431" spans="1:10" x14ac:dyDescent="0.25">
      <c r="A1431" s="6" t="s">
        <v>100</v>
      </c>
      <c r="B1431" s="6">
        <f t="shared" si="330"/>
        <v>2046</v>
      </c>
      <c r="C1431" s="1" t="s">
        <v>14</v>
      </c>
      <c r="D1431" s="2" t="s">
        <v>128</v>
      </c>
      <c r="E1431" s="9" t="str">
        <f t="shared" si="328"/>
        <v>PRBNP'!</v>
      </c>
      <c r="F1431" s="5" t="str">
        <f t="shared" si="329"/>
        <v>C:\Users\jaime.benazar\Quorum Business Solutions\Ecopetrol Prometeo - Documents\Planning Space Implementation\3. Analysis &amp; Design\Design\FC22\DRR Jaime\QUIFA-CAJÚA\Cajua\[VAS_CAJUA_CF_SEC_20230125.xlsx]CF PRBNP'!</v>
      </c>
      <c r="G1431" s="6" t="s">
        <v>38</v>
      </c>
      <c r="H1431" s="1"/>
      <c r="I1431" s="1"/>
      <c r="J1431" s="1"/>
    </row>
    <row r="1432" spans="1:10" x14ac:dyDescent="0.25">
      <c r="A1432" s="6" t="s">
        <v>100</v>
      </c>
      <c r="B1432" s="6">
        <f t="shared" si="330"/>
        <v>2047</v>
      </c>
      <c r="C1432" s="1" t="s">
        <v>14</v>
      </c>
      <c r="D1432" s="2" t="s">
        <v>128</v>
      </c>
      <c r="E1432" s="9" t="str">
        <f t="shared" si="328"/>
        <v>PRBNP'!</v>
      </c>
      <c r="F1432" s="5" t="str">
        <f t="shared" si="329"/>
        <v>C:\Users\jaime.benazar\Quorum Business Solutions\Ecopetrol Prometeo - Documents\Planning Space Implementation\3. Analysis &amp; Design\Design\FC22\DRR Jaime\QUIFA-CAJÚA\Cajua\[VAS_CAJUA_CF_SEC_20230125.xlsx]CF PRBNP'!</v>
      </c>
      <c r="G1432" s="6" t="s">
        <v>38</v>
      </c>
      <c r="H1432" s="1"/>
      <c r="I1432" s="1"/>
      <c r="J1432" s="1"/>
    </row>
    <row r="1433" spans="1:10" x14ac:dyDescent="0.25">
      <c r="A1433" s="6" t="s">
        <v>100</v>
      </c>
      <c r="B1433" s="6">
        <f t="shared" si="330"/>
        <v>2048</v>
      </c>
      <c r="C1433" s="1" t="s">
        <v>14</v>
      </c>
      <c r="D1433" s="2" t="s">
        <v>128</v>
      </c>
      <c r="E1433" s="9" t="str">
        <f t="shared" si="328"/>
        <v>PRBNP'!</v>
      </c>
      <c r="F1433" s="5" t="str">
        <f t="shared" si="329"/>
        <v>C:\Users\jaime.benazar\Quorum Business Solutions\Ecopetrol Prometeo - Documents\Planning Space Implementation\3. Analysis &amp; Design\Design\FC22\DRR Jaime\QUIFA-CAJÚA\Cajua\[VAS_CAJUA_CF_SEC_20230125.xlsx]CF PRBNP'!</v>
      </c>
      <c r="G1433" s="6" t="s">
        <v>38</v>
      </c>
      <c r="H1433" s="1"/>
      <c r="I1433" s="1"/>
      <c r="J1433" s="1"/>
    </row>
    <row r="1434" spans="1:10" x14ac:dyDescent="0.25">
      <c r="A1434" s="6" t="s">
        <v>100</v>
      </c>
      <c r="B1434" s="6">
        <f t="shared" si="330"/>
        <v>2049</v>
      </c>
      <c r="C1434" s="1" t="s">
        <v>14</v>
      </c>
      <c r="D1434" s="2" t="s">
        <v>128</v>
      </c>
      <c r="E1434" s="9" t="str">
        <f t="shared" si="328"/>
        <v>PRBNP'!</v>
      </c>
      <c r="F1434" s="5" t="str">
        <f t="shared" si="329"/>
        <v>C:\Users\jaime.benazar\Quorum Business Solutions\Ecopetrol Prometeo - Documents\Planning Space Implementation\3. Analysis &amp; Design\Design\FC22\DRR Jaime\QUIFA-CAJÚA\Cajua\[VAS_CAJUA_CF_SEC_20230125.xlsx]CF PRBNP'!</v>
      </c>
      <c r="G1434" s="6" t="s">
        <v>38</v>
      </c>
      <c r="H1434" s="1"/>
      <c r="I1434" s="1"/>
      <c r="J1434" s="1"/>
    </row>
    <row r="1435" spans="1:10" x14ac:dyDescent="0.25">
      <c r="A1435" s="6" t="s">
        <v>100</v>
      </c>
      <c r="B1435" s="6">
        <f t="shared" si="330"/>
        <v>2050</v>
      </c>
      <c r="C1435" s="1" t="s">
        <v>14</v>
      </c>
      <c r="D1435" s="2" t="s">
        <v>128</v>
      </c>
      <c r="E1435" s="9" t="str">
        <f t="shared" si="328"/>
        <v>PRBNP'!</v>
      </c>
      <c r="F1435" s="5" t="str">
        <f t="shared" si="329"/>
        <v>C:\Users\jaime.benazar\Quorum Business Solutions\Ecopetrol Prometeo - Documents\Planning Space Implementation\3. Analysis &amp; Design\Design\FC22\DRR Jaime\QUIFA-CAJÚA\Cajua\[VAS_CAJUA_CF_SEC_20230125.xlsx]CF PRBNP'!</v>
      </c>
      <c r="G1435" s="6" t="s">
        <v>38</v>
      </c>
      <c r="H1435" s="1"/>
      <c r="I1435" s="1"/>
      <c r="J1435" s="1"/>
    </row>
    <row r="1436" spans="1:10" x14ac:dyDescent="0.25">
      <c r="A1436" s="6" t="s">
        <v>100</v>
      </c>
      <c r="B1436" s="6">
        <f t="shared" si="330"/>
        <v>2051</v>
      </c>
      <c r="C1436" s="1" t="s">
        <v>14</v>
      </c>
      <c r="D1436" s="2" t="s">
        <v>128</v>
      </c>
      <c r="E1436" s="9" t="str">
        <f t="shared" si="328"/>
        <v>PRBNP'!</v>
      </c>
      <c r="F1436" s="5" t="str">
        <f t="shared" si="329"/>
        <v>C:\Users\jaime.benazar\Quorum Business Solutions\Ecopetrol Prometeo - Documents\Planning Space Implementation\3. Analysis &amp; Design\Design\FC22\DRR Jaime\QUIFA-CAJÚA\Cajua\[VAS_CAJUA_CF_SEC_20230125.xlsx]CF PRBNP'!</v>
      </c>
      <c r="G1436" s="6" t="s">
        <v>38</v>
      </c>
      <c r="H1436" s="1"/>
      <c r="I1436" s="1"/>
      <c r="J1436" s="1"/>
    </row>
    <row r="1437" spans="1:10" x14ac:dyDescent="0.25">
      <c r="A1437" s="6" t="s">
        <v>100</v>
      </c>
      <c r="B1437" s="6">
        <f t="shared" si="330"/>
        <v>2052</v>
      </c>
      <c r="C1437" s="1" t="s">
        <v>14</v>
      </c>
      <c r="D1437" s="2" t="s">
        <v>128</v>
      </c>
      <c r="E1437" s="9" t="str">
        <f t="shared" si="328"/>
        <v>PRBNP'!</v>
      </c>
      <c r="F1437" s="5" t="str">
        <f t="shared" si="329"/>
        <v>C:\Users\jaime.benazar\Quorum Business Solutions\Ecopetrol Prometeo - Documents\Planning Space Implementation\3. Analysis &amp; Design\Design\FC22\DRR Jaime\QUIFA-CAJÚA\Cajua\[VAS_CAJUA_CF_SEC_20230125.xlsx]CF PRBNP'!</v>
      </c>
      <c r="G1437" s="6" t="s">
        <v>38</v>
      </c>
      <c r="H1437" s="1"/>
      <c r="I1437" s="1"/>
      <c r="J1437" s="1"/>
    </row>
    <row r="1438" spans="1:10" x14ac:dyDescent="0.25">
      <c r="A1438" s="6" t="s">
        <v>100</v>
      </c>
      <c r="B1438" s="6">
        <f t="shared" si="330"/>
        <v>2053</v>
      </c>
      <c r="C1438" s="1" t="s">
        <v>14</v>
      </c>
      <c r="D1438" s="2" t="s">
        <v>128</v>
      </c>
      <c r="E1438" s="9" t="str">
        <f t="shared" si="328"/>
        <v>PRBNP'!</v>
      </c>
      <c r="F1438" s="5" t="str">
        <f t="shared" si="329"/>
        <v>C:\Users\jaime.benazar\Quorum Business Solutions\Ecopetrol Prometeo - Documents\Planning Space Implementation\3. Analysis &amp; Design\Design\FC22\DRR Jaime\QUIFA-CAJÚA\Cajua\[VAS_CAJUA_CF_SEC_20230125.xlsx]CF PRBNP'!</v>
      </c>
      <c r="G1438" s="6" t="s">
        <v>38</v>
      </c>
      <c r="H1438" s="1"/>
      <c r="I1438" s="1"/>
      <c r="J1438" s="1"/>
    </row>
    <row r="1439" spans="1:10" x14ac:dyDescent="0.25">
      <c r="A1439" s="6" t="s">
        <v>100</v>
      </c>
      <c r="B1439" s="6">
        <f t="shared" si="330"/>
        <v>2054</v>
      </c>
      <c r="C1439" s="1" t="s">
        <v>14</v>
      </c>
      <c r="D1439" s="2" t="s">
        <v>128</v>
      </c>
      <c r="E1439" s="9" t="str">
        <f t="shared" si="328"/>
        <v>PRBNP'!</v>
      </c>
      <c r="F1439" s="5" t="str">
        <f t="shared" si="329"/>
        <v>C:\Users\jaime.benazar\Quorum Business Solutions\Ecopetrol Prometeo - Documents\Planning Space Implementation\3. Analysis &amp; Design\Design\FC22\DRR Jaime\QUIFA-CAJÚA\Cajua\[VAS_CAJUA_CF_SEC_20230125.xlsx]CF PRBNP'!</v>
      </c>
      <c r="G1439" s="6" t="s">
        <v>38</v>
      </c>
      <c r="H1439" s="1"/>
      <c r="I1439" s="1"/>
      <c r="J1439" s="1"/>
    </row>
    <row r="1440" spans="1:10" x14ac:dyDescent="0.25">
      <c r="A1440" s="6" t="s">
        <v>100</v>
      </c>
      <c r="B1440" s="6">
        <f t="shared" si="330"/>
        <v>2055</v>
      </c>
      <c r="C1440" s="1" t="s">
        <v>14</v>
      </c>
      <c r="D1440" s="2" t="s">
        <v>128</v>
      </c>
      <c r="E1440" s="9" t="str">
        <f t="shared" si="328"/>
        <v>PRBNP'!</v>
      </c>
      <c r="F1440" s="5" t="str">
        <f t="shared" si="329"/>
        <v>C:\Users\jaime.benazar\Quorum Business Solutions\Ecopetrol Prometeo - Documents\Planning Space Implementation\3. Analysis &amp; Design\Design\FC22\DRR Jaime\QUIFA-CAJÚA\Cajua\[VAS_CAJUA_CF_SEC_20230125.xlsx]CF PRBNP'!</v>
      </c>
      <c r="G1440" s="6" t="s">
        <v>38</v>
      </c>
      <c r="H1440" s="1"/>
      <c r="I1440" s="1"/>
      <c r="J1440" s="1"/>
    </row>
    <row r="1441" spans="1:10" x14ac:dyDescent="0.25">
      <c r="A1441" s="6" t="s">
        <v>100</v>
      </c>
      <c r="B1441" s="6">
        <f t="shared" si="330"/>
        <v>2056</v>
      </c>
      <c r="C1441" s="1" t="s">
        <v>14</v>
      </c>
      <c r="D1441" s="2" t="s">
        <v>128</v>
      </c>
      <c r="E1441" s="9" t="str">
        <f t="shared" si="328"/>
        <v>PRBNP'!</v>
      </c>
      <c r="F1441" s="5" t="str">
        <f t="shared" si="329"/>
        <v>C:\Users\jaime.benazar\Quorum Business Solutions\Ecopetrol Prometeo - Documents\Planning Space Implementation\3. Analysis &amp; Design\Design\FC22\DRR Jaime\QUIFA-CAJÚA\Cajua\[VAS_CAJUA_CF_SEC_20230125.xlsx]CF PRBNP'!</v>
      </c>
      <c r="G1441" s="6" t="s">
        <v>38</v>
      </c>
      <c r="H1441" s="1"/>
      <c r="I1441" s="1"/>
      <c r="J1441" s="1"/>
    </row>
    <row r="1442" spans="1:10" x14ac:dyDescent="0.25">
      <c r="A1442" s="6" t="s">
        <v>100</v>
      </c>
      <c r="B1442" s="6">
        <f t="shared" si="330"/>
        <v>2057</v>
      </c>
      <c r="C1442" s="1" t="s">
        <v>14</v>
      </c>
      <c r="D1442" s="2" t="s">
        <v>128</v>
      </c>
      <c r="E1442" s="9" t="str">
        <f t="shared" si="328"/>
        <v>PRBNP'!</v>
      </c>
      <c r="F1442" s="5" t="str">
        <f t="shared" si="329"/>
        <v>C:\Users\jaime.benazar\Quorum Business Solutions\Ecopetrol Prometeo - Documents\Planning Space Implementation\3. Analysis &amp; Design\Design\FC22\DRR Jaime\QUIFA-CAJÚA\Cajua\[VAS_CAJUA_CF_SEC_20230125.xlsx]CF PRBNP'!</v>
      </c>
      <c r="G1442" s="6" t="s">
        <v>38</v>
      </c>
      <c r="H1442" s="1"/>
      <c r="I1442" s="1"/>
      <c r="J1442" s="1"/>
    </row>
    <row r="1443" spans="1:10" x14ac:dyDescent="0.25">
      <c r="A1443" s="6" t="s">
        <v>100</v>
      </c>
      <c r="B1443" s="6">
        <f t="shared" si="330"/>
        <v>2058</v>
      </c>
      <c r="C1443" s="1" t="s">
        <v>14</v>
      </c>
      <c r="D1443" s="2" t="s">
        <v>128</v>
      </c>
      <c r="E1443" s="9" t="str">
        <f t="shared" si="328"/>
        <v>PRBNP'!</v>
      </c>
      <c r="F1443" s="5" t="str">
        <f t="shared" si="329"/>
        <v>C:\Users\jaime.benazar\Quorum Business Solutions\Ecopetrol Prometeo - Documents\Planning Space Implementation\3. Analysis &amp; Design\Design\FC22\DRR Jaime\QUIFA-CAJÚA\Cajua\[VAS_CAJUA_CF_SEC_20230125.xlsx]CF PRBNP'!</v>
      </c>
      <c r="G1443" s="6" t="s">
        <v>38</v>
      </c>
      <c r="H1443" s="1"/>
      <c r="I1443" s="1"/>
      <c r="J1443" s="1"/>
    </row>
    <row r="1444" spans="1:10" x14ac:dyDescent="0.25">
      <c r="A1444" s="6" t="s">
        <v>100</v>
      </c>
      <c r="B1444" s="6">
        <f t="shared" si="330"/>
        <v>2059</v>
      </c>
      <c r="C1444" s="1" t="s">
        <v>14</v>
      </c>
      <c r="D1444" s="2" t="s">
        <v>128</v>
      </c>
      <c r="E1444" s="9" t="str">
        <f t="shared" si="328"/>
        <v>PRBNP'!</v>
      </c>
      <c r="F1444" s="5" t="str">
        <f t="shared" si="329"/>
        <v>C:\Users\jaime.benazar\Quorum Business Solutions\Ecopetrol Prometeo - Documents\Planning Space Implementation\3. Analysis &amp; Design\Design\FC22\DRR Jaime\QUIFA-CAJÚA\Cajua\[VAS_CAJUA_CF_SEC_20230125.xlsx]CF PRBNP'!</v>
      </c>
      <c r="G1444" s="6" t="s">
        <v>38</v>
      </c>
      <c r="H1444" s="1"/>
      <c r="I1444" s="1"/>
      <c r="J1444" s="1"/>
    </row>
    <row r="1445" spans="1:10" x14ac:dyDescent="0.25">
      <c r="A1445" s="6" t="s">
        <v>28</v>
      </c>
      <c r="B1445" s="6"/>
      <c r="C1445" s="1" t="s">
        <v>14</v>
      </c>
      <c r="D1445" s="2"/>
      <c r="E1445" s="9"/>
      <c r="F1445" s="2"/>
      <c r="G1445" s="6"/>
      <c r="H1445" s="1"/>
      <c r="I1445" s="1"/>
      <c r="J1445" s="1"/>
    </row>
    <row r="1446" spans="1:10" x14ac:dyDescent="0.25">
      <c r="A1446" s="6" t="s">
        <v>101</v>
      </c>
      <c r="B1446" s="6">
        <v>2023</v>
      </c>
      <c r="C1446" s="1" t="s">
        <v>14</v>
      </c>
      <c r="D1446" s="2" t="s">
        <v>128</v>
      </c>
      <c r="E1446" s="9" t="str">
        <f t="shared" ref="E1446:E1466" si="331">_xlfn.CONCAT(A1446,"'!")</f>
        <v>PRBND'!</v>
      </c>
      <c r="F1446" s="5" t="str">
        <f t="shared" ref="F1446:F1537" si="332">_xlfn.CONCAT(D1446," ",E1446)</f>
        <v>C:\Users\jaime.benazar\Quorum Business Solutions\Ecopetrol Prometeo - Documents\Planning Space Implementation\3. Analysis &amp; Design\Design\FC22\DRR Jaime\QUIFA-CAJÚA\Cajua\[VAS_CAJUA_CF_SEC_20230125.xlsx]CF PRBND'!</v>
      </c>
      <c r="G1446" s="6" t="s">
        <v>38</v>
      </c>
      <c r="H1446" s="1"/>
      <c r="I1446" s="1"/>
      <c r="J1446" s="1"/>
    </row>
    <row r="1447" spans="1:10" x14ac:dyDescent="0.25">
      <c r="A1447" s="6" t="s">
        <v>101</v>
      </c>
      <c r="B1447" s="6">
        <f>+B1446+1</f>
        <v>2024</v>
      </c>
      <c r="C1447" s="1" t="s">
        <v>14</v>
      </c>
      <c r="D1447" s="2" t="s">
        <v>128</v>
      </c>
      <c r="E1447" s="9" t="str">
        <f t="shared" si="331"/>
        <v>PRBND'!</v>
      </c>
      <c r="F1447" s="5" t="str">
        <f t="shared" si="332"/>
        <v>C:\Users\jaime.benazar\Quorum Business Solutions\Ecopetrol Prometeo - Documents\Planning Space Implementation\3. Analysis &amp; Design\Design\FC22\DRR Jaime\QUIFA-CAJÚA\Cajua\[VAS_CAJUA_CF_SEC_20230125.xlsx]CF PRBND'!</v>
      </c>
      <c r="G1447" s="6" t="s">
        <v>38</v>
      </c>
      <c r="H1447" s="1"/>
      <c r="I1447" s="1"/>
      <c r="J1447" s="1"/>
    </row>
    <row r="1448" spans="1:10" x14ac:dyDescent="0.25">
      <c r="A1448" s="6" t="s">
        <v>101</v>
      </c>
      <c r="B1448" s="6">
        <f t="shared" ref="B1448:B1459" si="333">+B1447+1</f>
        <v>2025</v>
      </c>
      <c r="C1448" s="1" t="s">
        <v>14</v>
      </c>
      <c r="D1448" s="2" t="s">
        <v>128</v>
      </c>
      <c r="E1448" s="9" t="str">
        <f t="shared" si="331"/>
        <v>PRBND'!</v>
      </c>
      <c r="F1448" s="5" t="str">
        <f t="shared" si="332"/>
        <v>C:\Users\jaime.benazar\Quorum Business Solutions\Ecopetrol Prometeo - Documents\Planning Space Implementation\3. Analysis &amp; Design\Design\FC22\DRR Jaime\QUIFA-CAJÚA\Cajua\[VAS_CAJUA_CF_SEC_20230125.xlsx]CF PRBND'!</v>
      </c>
      <c r="G1448" s="6" t="s">
        <v>38</v>
      </c>
      <c r="H1448" s="1"/>
      <c r="I1448" s="1"/>
      <c r="J1448" s="1"/>
    </row>
    <row r="1449" spans="1:10" x14ac:dyDescent="0.25">
      <c r="A1449" s="6" t="s">
        <v>101</v>
      </c>
      <c r="B1449" s="6">
        <f t="shared" si="333"/>
        <v>2026</v>
      </c>
      <c r="C1449" s="1" t="s">
        <v>14</v>
      </c>
      <c r="D1449" s="2" t="s">
        <v>128</v>
      </c>
      <c r="E1449" s="9" t="str">
        <f t="shared" si="331"/>
        <v>PRBND'!</v>
      </c>
      <c r="F1449" s="5" t="str">
        <f t="shared" si="332"/>
        <v>C:\Users\jaime.benazar\Quorum Business Solutions\Ecopetrol Prometeo - Documents\Planning Space Implementation\3. Analysis &amp; Design\Design\FC22\DRR Jaime\QUIFA-CAJÚA\Cajua\[VAS_CAJUA_CF_SEC_20230125.xlsx]CF PRBND'!</v>
      </c>
      <c r="G1449" s="6" t="s">
        <v>38</v>
      </c>
      <c r="H1449" s="1"/>
      <c r="I1449" s="1"/>
      <c r="J1449" s="1"/>
    </row>
    <row r="1450" spans="1:10" x14ac:dyDescent="0.25">
      <c r="A1450" s="6" t="s">
        <v>101</v>
      </c>
      <c r="B1450" s="6">
        <f t="shared" si="333"/>
        <v>2027</v>
      </c>
      <c r="C1450" s="1" t="s">
        <v>14</v>
      </c>
      <c r="D1450" s="2" t="s">
        <v>128</v>
      </c>
      <c r="E1450" s="9" t="str">
        <f t="shared" si="331"/>
        <v>PRBND'!</v>
      </c>
      <c r="F1450" s="5" t="str">
        <f t="shared" si="332"/>
        <v>C:\Users\jaime.benazar\Quorum Business Solutions\Ecopetrol Prometeo - Documents\Planning Space Implementation\3. Analysis &amp; Design\Design\FC22\DRR Jaime\QUIFA-CAJÚA\Cajua\[VAS_CAJUA_CF_SEC_20230125.xlsx]CF PRBND'!</v>
      </c>
      <c r="G1450" s="6" t="s">
        <v>38</v>
      </c>
      <c r="H1450" s="1"/>
      <c r="I1450" s="1"/>
      <c r="J1450" s="1"/>
    </row>
    <row r="1451" spans="1:10" x14ac:dyDescent="0.25">
      <c r="A1451" s="6" t="s">
        <v>101</v>
      </c>
      <c r="B1451" s="6">
        <f t="shared" si="333"/>
        <v>2028</v>
      </c>
      <c r="C1451" s="1" t="s">
        <v>14</v>
      </c>
      <c r="D1451" s="2" t="s">
        <v>128</v>
      </c>
      <c r="E1451" s="9" t="str">
        <f t="shared" si="331"/>
        <v>PRBND'!</v>
      </c>
      <c r="F1451" s="5" t="str">
        <f t="shared" si="332"/>
        <v>C:\Users\jaime.benazar\Quorum Business Solutions\Ecopetrol Prometeo - Documents\Planning Space Implementation\3. Analysis &amp; Design\Design\FC22\DRR Jaime\QUIFA-CAJÚA\Cajua\[VAS_CAJUA_CF_SEC_20230125.xlsx]CF PRBND'!</v>
      </c>
      <c r="G1451" s="6" t="s">
        <v>38</v>
      </c>
      <c r="H1451" s="1"/>
      <c r="I1451" s="1"/>
      <c r="J1451" s="1"/>
    </row>
    <row r="1452" spans="1:10" x14ac:dyDescent="0.25">
      <c r="A1452" s="6" t="s">
        <v>101</v>
      </c>
      <c r="B1452" s="6">
        <f t="shared" si="333"/>
        <v>2029</v>
      </c>
      <c r="C1452" s="1" t="s">
        <v>14</v>
      </c>
      <c r="D1452" s="2" t="s">
        <v>128</v>
      </c>
      <c r="E1452" s="9" t="str">
        <f t="shared" si="331"/>
        <v>PRBND'!</v>
      </c>
      <c r="F1452" s="5" t="str">
        <f t="shared" si="332"/>
        <v>C:\Users\jaime.benazar\Quorum Business Solutions\Ecopetrol Prometeo - Documents\Planning Space Implementation\3. Analysis &amp; Design\Design\FC22\DRR Jaime\QUIFA-CAJÚA\Cajua\[VAS_CAJUA_CF_SEC_20230125.xlsx]CF PRBND'!</v>
      </c>
      <c r="G1452" s="6" t="s">
        <v>38</v>
      </c>
      <c r="H1452" s="1"/>
      <c r="I1452" s="1"/>
      <c r="J1452" s="1"/>
    </row>
    <row r="1453" spans="1:10" x14ac:dyDescent="0.25">
      <c r="A1453" s="6" t="s">
        <v>101</v>
      </c>
      <c r="B1453" s="6">
        <f t="shared" si="333"/>
        <v>2030</v>
      </c>
      <c r="C1453" s="1" t="s">
        <v>14</v>
      </c>
      <c r="D1453" s="2" t="s">
        <v>128</v>
      </c>
      <c r="E1453" s="9" t="str">
        <f t="shared" si="331"/>
        <v>PRBND'!</v>
      </c>
      <c r="F1453" s="5" t="str">
        <f t="shared" si="332"/>
        <v>C:\Users\jaime.benazar\Quorum Business Solutions\Ecopetrol Prometeo - Documents\Planning Space Implementation\3. Analysis &amp; Design\Design\FC22\DRR Jaime\QUIFA-CAJÚA\Cajua\[VAS_CAJUA_CF_SEC_20230125.xlsx]CF PRBND'!</v>
      </c>
      <c r="G1453" s="6" t="s">
        <v>38</v>
      </c>
      <c r="H1453" s="1"/>
      <c r="I1453" s="1"/>
      <c r="J1453" s="1"/>
    </row>
    <row r="1454" spans="1:10" x14ac:dyDescent="0.25">
      <c r="A1454" s="6" t="s">
        <v>101</v>
      </c>
      <c r="B1454" s="6">
        <f t="shared" si="333"/>
        <v>2031</v>
      </c>
      <c r="C1454" s="1" t="s">
        <v>14</v>
      </c>
      <c r="D1454" s="2" t="s">
        <v>128</v>
      </c>
      <c r="E1454" s="9" t="str">
        <f t="shared" si="331"/>
        <v>PRBND'!</v>
      </c>
      <c r="F1454" s="5" t="str">
        <f t="shared" si="332"/>
        <v>C:\Users\jaime.benazar\Quorum Business Solutions\Ecopetrol Prometeo - Documents\Planning Space Implementation\3. Analysis &amp; Design\Design\FC22\DRR Jaime\QUIFA-CAJÚA\Cajua\[VAS_CAJUA_CF_SEC_20230125.xlsx]CF PRBND'!</v>
      </c>
      <c r="G1454" s="6" t="s">
        <v>38</v>
      </c>
      <c r="H1454" s="1"/>
      <c r="I1454" s="1"/>
      <c r="J1454" s="1"/>
    </row>
    <row r="1455" spans="1:10" x14ac:dyDescent="0.25">
      <c r="A1455" s="6" t="s">
        <v>101</v>
      </c>
      <c r="B1455" s="6">
        <f t="shared" si="333"/>
        <v>2032</v>
      </c>
      <c r="C1455" s="1" t="s">
        <v>14</v>
      </c>
      <c r="D1455" s="2" t="s">
        <v>128</v>
      </c>
      <c r="E1455" s="9" t="str">
        <f t="shared" si="331"/>
        <v>PRBND'!</v>
      </c>
      <c r="F1455" s="5" t="str">
        <f t="shared" si="332"/>
        <v>C:\Users\jaime.benazar\Quorum Business Solutions\Ecopetrol Prometeo - Documents\Planning Space Implementation\3. Analysis &amp; Design\Design\FC22\DRR Jaime\QUIFA-CAJÚA\Cajua\[VAS_CAJUA_CF_SEC_20230125.xlsx]CF PRBND'!</v>
      </c>
      <c r="G1455" s="6" t="s">
        <v>38</v>
      </c>
      <c r="H1455" s="1"/>
      <c r="I1455" s="1"/>
      <c r="J1455" s="1"/>
    </row>
    <row r="1456" spans="1:10" x14ac:dyDescent="0.25">
      <c r="A1456" s="6" t="s">
        <v>101</v>
      </c>
      <c r="B1456" s="6">
        <f t="shared" si="333"/>
        <v>2033</v>
      </c>
      <c r="C1456" s="1" t="s">
        <v>14</v>
      </c>
      <c r="D1456" s="2" t="s">
        <v>128</v>
      </c>
      <c r="E1456" s="9" t="str">
        <f t="shared" si="331"/>
        <v>PRBND'!</v>
      </c>
      <c r="F1456" s="5" t="str">
        <f t="shared" si="332"/>
        <v>C:\Users\jaime.benazar\Quorum Business Solutions\Ecopetrol Prometeo - Documents\Planning Space Implementation\3. Analysis &amp; Design\Design\FC22\DRR Jaime\QUIFA-CAJÚA\Cajua\[VAS_CAJUA_CF_SEC_20230125.xlsx]CF PRBND'!</v>
      </c>
      <c r="G1456" s="6" t="s">
        <v>38</v>
      </c>
      <c r="H1456" s="1"/>
      <c r="I1456" s="1"/>
      <c r="J1456" s="1"/>
    </row>
    <row r="1457" spans="1:10" x14ac:dyDescent="0.25">
      <c r="A1457" s="6" t="s">
        <v>101</v>
      </c>
      <c r="B1457" s="6">
        <f t="shared" si="333"/>
        <v>2034</v>
      </c>
      <c r="C1457" s="1" t="s">
        <v>14</v>
      </c>
      <c r="D1457" s="2" t="s">
        <v>128</v>
      </c>
      <c r="E1457" s="9" t="str">
        <f t="shared" si="331"/>
        <v>PRBND'!</v>
      </c>
      <c r="F1457" s="5" t="str">
        <f t="shared" si="332"/>
        <v>C:\Users\jaime.benazar\Quorum Business Solutions\Ecopetrol Prometeo - Documents\Planning Space Implementation\3. Analysis &amp; Design\Design\FC22\DRR Jaime\QUIFA-CAJÚA\Cajua\[VAS_CAJUA_CF_SEC_20230125.xlsx]CF PRBND'!</v>
      </c>
      <c r="G1457" s="6" t="s">
        <v>38</v>
      </c>
      <c r="H1457" s="1"/>
      <c r="I1457" s="1"/>
      <c r="J1457" s="1"/>
    </row>
    <row r="1458" spans="1:10" x14ac:dyDescent="0.25">
      <c r="A1458" s="6" t="s">
        <v>101</v>
      </c>
      <c r="B1458" s="6">
        <f t="shared" si="333"/>
        <v>2035</v>
      </c>
      <c r="C1458" s="1" t="s">
        <v>14</v>
      </c>
      <c r="D1458" s="2" t="s">
        <v>128</v>
      </c>
      <c r="E1458" s="9" t="str">
        <f t="shared" si="331"/>
        <v>PRBND'!</v>
      </c>
      <c r="F1458" s="5" t="str">
        <f t="shared" si="332"/>
        <v>C:\Users\jaime.benazar\Quorum Business Solutions\Ecopetrol Prometeo - Documents\Planning Space Implementation\3. Analysis &amp; Design\Design\FC22\DRR Jaime\QUIFA-CAJÚA\Cajua\[VAS_CAJUA_CF_SEC_20230125.xlsx]CF PRBND'!</v>
      </c>
      <c r="G1458" s="6" t="s">
        <v>38</v>
      </c>
      <c r="H1458" s="1"/>
      <c r="I1458" s="1"/>
      <c r="J1458" s="1"/>
    </row>
    <row r="1459" spans="1:10" x14ac:dyDescent="0.25">
      <c r="A1459" s="6" t="s">
        <v>101</v>
      </c>
      <c r="B1459" s="6">
        <f t="shared" si="333"/>
        <v>2036</v>
      </c>
      <c r="C1459" s="1" t="s">
        <v>14</v>
      </c>
      <c r="D1459" s="2" t="s">
        <v>128</v>
      </c>
      <c r="E1459" s="9" t="str">
        <f t="shared" si="331"/>
        <v>PRBND'!</v>
      </c>
      <c r="F1459" s="5" t="str">
        <f t="shared" si="332"/>
        <v>C:\Users\jaime.benazar\Quorum Business Solutions\Ecopetrol Prometeo - Documents\Planning Space Implementation\3. Analysis &amp; Design\Design\FC22\DRR Jaime\QUIFA-CAJÚA\Cajua\[VAS_CAJUA_CF_SEC_20230125.xlsx]CF PRBND'!</v>
      </c>
      <c r="G1459" s="6" t="s">
        <v>38</v>
      </c>
      <c r="H1459" s="1"/>
      <c r="I1459" s="1"/>
      <c r="J1459" s="1"/>
    </row>
    <row r="1460" spans="1:10" x14ac:dyDescent="0.25">
      <c r="A1460" s="6" t="s">
        <v>101</v>
      </c>
      <c r="B1460" s="6">
        <f>+B1459+1</f>
        <v>2037</v>
      </c>
      <c r="C1460" s="1" t="s">
        <v>14</v>
      </c>
      <c r="D1460" s="2" t="s">
        <v>128</v>
      </c>
      <c r="E1460" s="9" t="str">
        <f t="shared" si="331"/>
        <v>PRBND'!</v>
      </c>
      <c r="F1460" s="5" t="str">
        <f t="shared" si="332"/>
        <v>C:\Users\jaime.benazar\Quorum Business Solutions\Ecopetrol Prometeo - Documents\Planning Space Implementation\3. Analysis &amp; Design\Design\FC22\DRR Jaime\QUIFA-CAJÚA\Cajua\[VAS_CAJUA_CF_SEC_20230125.xlsx]CF PRBND'!</v>
      </c>
      <c r="G1460" s="6" t="s">
        <v>38</v>
      </c>
      <c r="H1460" s="1"/>
      <c r="I1460" s="1"/>
      <c r="J1460" s="1"/>
    </row>
    <row r="1461" spans="1:10" x14ac:dyDescent="0.25">
      <c r="A1461" s="6" t="s">
        <v>101</v>
      </c>
      <c r="B1461" s="6">
        <f t="shared" ref="B1461:B1463" si="334">+B1460+1</f>
        <v>2038</v>
      </c>
      <c r="C1461" s="1" t="s">
        <v>14</v>
      </c>
      <c r="D1461" s="2" t="s">
        <v>128</v>
      </c>
      <c r="E1461" s="9" t="str">
        <f t="shared" si="331"/>
        <v>PRBND'!</v>
      </c>
      <c r="F1461" s="5" t="str">
        <f t="shared" si="332"/>
        <v>C:\Users\jaime.benazar\Quorum Business Solutions\Ecopetrol Prometeo - Documents\Planning Space Implementation\3. Analysis &amp; Design\Design\FC22\DRR Jaime\QUIFA-CAJÚA\Cajua\[VAS_CAJUA_CF_SEC_20230125.xlsx]CF PRBND'!</v>
      </c>
      <c r="G1461" s="6" t="s">
        <v>38</v>
      </c>
      <c r="H1461" s="1"/>
      <c r="I1461" s="1"/>
      <c r="J1461" s="1"/>
    </row>
    <row r="1462" spans="1:10" x14ac:dyDescent="0.25">
      <c r="A1462" s="6" t="s">
        <v>101</v>
      </c>
      <c r="B1462" s="6">
        <f t="shared" si="334"/>
        <v>2039</v>
      </c>
      <c r="C1462" s="1" t="s">
        <v>14</v>
      </c>
      <c r="D1462" s="2" t="s">
        <v>128</v>
      </c>
      <c r="E1462" s="9" t="str">
        <f t="shared" si="331"/>
        <v>PRBND'!</v>
      </c>
      <c r="F1462" s="5" t="str">
        <f t="shared" si="332"/>
        <v>C:\Users\jaime.benazar\Quorum Business Solutions\Ecopetrol Prometeo - Documents\Planning Space Implementation\3. Analysis &amp; Design\Design\FC22\DRR Jaime\QUIFA-CAJÚA\Cajua\[VAS_CAJUA_CF_SEC_20230125.xlsx]CF PRBND'!</v>
      </c>
      <c r="G1462" s="6" t="s">
        <v>38</v>
      </c>
      <c r="H1462" s="1"/>
      <c r="I1462" s="1"/>
      <c r="J1462" s="1"/>
    </row>
    <row r="1463" spans="1:10" x14ac:dyDescent="0.25">
      <c r="A1463" s="6" t="s">
        <v>101</v>
      </c>
      <c r="B1463" s="6">
        <f t="shared" si="334"/>
        <v>2040</v>
      </c>
      <c r="C1463" s="1" t="s">
        <v>14</v>
      </c>
      <c r="D1463" s="2" t="s">
        <v>128</v>
      </c>
      <c r="E1463" s="9" t="str">
        <f t="shared" si="331"/>
        <v>PRBND'!</v>
      </c>
      <c r="F1463" s="5" t="str">
        <f t="shared" si="332"/>
        <v>C:\Users\jaime.benazar\Quorum Business Solutions\Ecopetrol Prometeo - Documents\Planning Space Implementation\3. Analysis &amp; Design\Design\FC22\DRR Jaime\QUIFA-CAJÚA\Cajua\[VAS_CAJUA_CF_SEC_20230125.xlsx]CF PRBND'!</v>
      </c>
      <c r="G1463" s="6" t="s">
        <v>38</v>
      </c>
      <c r="H1463" s="1"/>
      <c r="I1463" s="1"/>
      <c r="J1463" s="1"/>
    </row>
    <row r="1464" spans="1:10" x14ac:dyDescent="0.25">
      <c r="A1464" s="6" t="s">
        <v>101</v>
      </c>
      <c r="B1464" s="6">
        <f>+B1463+1</f>
        <v>2041</v>
      </c>
      <c r="C1464" s="1" t="s">
        <v>14</v>
      </c>
      <c r="D1464" s="2" t="s">
        <v>128</v>
      </c>
      <c r="E1464" s="9" t="str">
        <f t="shared" si="331"/>
        <v>PRBND'!</v>
      </c>
      <c r="F1464" s="5" t="str">
        <f t="shared" si="332"/>
        <v>C:\Users\jaime.benazar\Quorum Business Solutions\Ecopetrol Prometeo - Documents\Planning Space Implementation\3. Analysis &amp; Design\Design\FC22\DRR Jaime\QUIFA-CAJÚA\Cajua\[VAS_CAJUA_CF_SEC_20230125.xlsx]CF PRBND'!</v>
      </c>
      <c r="G1464" s="6" t="s">
        <v>38</v>
      </c>
      <c r="H1464" s="1"/>
      <c r="I1464" s="1"/>
      <c r="J1464" s="1"/>
    </row>
    <row r="1465" spans="1:10" x14ac:dyDescent="0.25">
      <c r="A1465" s="6" t="s">
        <v>101</v>
      </c>
      <c r="B1465" s="6">
        <f t="shared" ref="B1465:B1466" si="335">+B1464+1</f>
        <v>2042</v>
      </c>
      <c r="C1465" s="1" t="s">
        <v>14</v>
      </c>
      <c r="D1465" s="2" t="s">
        <v>128</v>
      </c>
      <c r="E1465" s="9" t="str">
        <f t="shared" si="331"/>
        <v>PRBND'!</v>
      </c>
      <c r="F1465" s="5" t="str">
        <f t="shared" si="332"/>
        <v>C:\Users\jaime.benazar\Quorum Business Solutions\Ecopetrol Prometeo - Documents\Planning Space Implementation\3. Analysis &amp; Design\Design\FC22\DRR Jaime\QUIFA-CAJÚA\Cajua\[VAS_CAJUA_CF_SEC_20230125.xlsx]CF PRBND'!</v>
      </c>
      <c r="G1465" s="6" t="s">
        <v>38</v>
      </c>
      <c r="H1465" s="1"/>
      <c r="I1465" s="1"/>
      <c r="J1465" s="1"/>
    </row>
    <row r="1466" spans="1:10" x14ac:dyDescent="0.25">
      <c r="A1466" s="6" t="s">
        <v>101</v>
      </c>
      <c r="B1466" s="6">
        <f t="shared" si="335"/>
        <v>2043</v>
      </c>
      <c r="C1466" s="1" t="s">
        <v>14</v>
      </c>
      <c r="D1466" s="2" t="s">
        <v>128</v>
      </c>
      <c r="E1466" s="9" t="str">
        <f t="shared" si="331"/>
        <v>PRBND'!</v>
      </c>
      <c r="F1466" s="5" t="str">
        <f t="shared" si="332"/>
        <v>C:\Users\jaime.benazar\Quorum Business Solutions\Ecopetrol Prometeo - Documents\Planning Space Implementation\3. Analysis &amp; Design\Design\FC22\DRR Jaime\QUIFA-CAJÚA\Cajua\[VAS_CAJUA_CF_SEC_20230125.xlsx]CF PRBND'!</v>
      </c>
      <c r="G1466" s="6" t="s">
        <v>38</v>
      </c>
      <c r="H1466" s="1"/>
      <c r="I1466" s="1"/>
      <c r="J1466" s="1"/>
    </row>
    <row r="1467" spans="1:10" x14ac:dyDescent="0.25">
      <c r="A1467" s="6" t="s">
        <v>101</v>
      </c>
      <c r="B1467" s="6">
        <f>+B1466+1</f>
        <v>2044</v>
      </c>
      <c r="C1467" s="1" t="s">
        <v>14</v>
      </c>
      <c r="D1467" s="2" t="s">
        <v>128</v>
      </c>
      <c r="E1467" s="9" t="str">
        <f t="shared" ref="E1467:E1482" si="336">_xlfn.CONCAT(A1467,"'!")</f>
        <v>PRBND'!</v>
      </c>
      <c r="F1467" s="5" t="str">
        <f t="shared" ref="F1467:F1482" si="337">_xlfn.CONCAT(D1467," ",E1467)</f>
        <v>C:\Users\jaime.benazar\Quorum Business Solutions\Ecopetrol Prometeo - Documents\Planning Space Implementation\3. Analysis &amp; Design\Design\FC22\DRR Jaime\QUIFA-CAJÚA\Cajua\[VAS_CAJUA_CF_SEC_20230125.xlsx]CF PRBND'!</v>
      </c>
      <c r="G1467" s="6" t="s">
        <v>38</v>
      </c>
      <c r="H1467" s="1"/>
      <c r="I1467" s="1"/>
      <c r="J1467" s="1"/>
    </row>
    <row r="1468" spans="1:10" x14ac:dyDescent="0.25">
      <c r="A1468" s="6" t="s">
        <v>101</v>
      </c>
      <c r="B1468" s="6">
        <f t="shared" ref="B1468:B1482" si="338">+B1467+1</f>
        <v>2045</v>
      </c>
      <c r="C1468" s="1" t="s">
        <v>14</v>
      </c>
      <c r="D1468" s="2" t="s">
        <v>128</v>
      </c>
      <c r="E1468" s="9" t="str">
        <f t="shared" si="336"/>
        <v>PRBND'!</v>
      </c>
      <c r="F1468" s="5" t="str">
        <f t="shared" si="337"/>
        <v>C:\Users\jaime.benazar\Quorum Business Solutions\Ecopetrol Prometeo - Documents\Planning Space Implementation\3. Analysis &amp; Design\Design\FC22\DRR Jaime\QUIFA-CAJÚA\Cajua\[VAS_CAJUA_CF_SEC_20230125.xlsx]CF PRBND'!</v>
      </c>
      <c r="G1468" s="6" t="s">
        <v>38</v>
      </c>
      <c r="H1468" s="1"/>
      <c r="I1468" s="1"/>
      <c r="J1468" s="1"/>
    </row>
    <row r="1469" spans="1:10" x14ac:dyDescent="0.25">
      <c r="A1469" s="6" t="s">
        <v>101</v>
      </c>
      <c r="B1469" s="6">
        <f t="shared" si="338"/>
        <v>2046</v>
      </c>
      <c r="C1469" s="1" t="s">
        <v>14</v>
      </c>
      <c r="D1469" s="2" t="s">
        <v>128</v>
      </c>
      <c r="E1469" s="9" t="str">
        <f t="shared" si="336"/>
        <v>PRBND'!</v>
      </c>
      <c r="F1469" s="5" t="str">
        <f t="shared" si="337"/>
        <v>C:\Users\jaime.benazar\Quorum Business Solutions\Ecopetrol Prometeo - Documents\Planning Space Implementation\3. Analysis &amp; Design\Design\FC22\DRR Jaime\QUIFA-CAJÚA\Cajua\[VAS_CAJUA_CF_SEC_20230125.xlsx]CF PRBND'!</v>
      </c>
      <c r="G1469" s="6" t="s">
        <v>38</v>
      </c>
      <c r="H1469" s="1"/>
      <c r="I1469" s="1"/>
      <c r="J1469" s="1"/>
    </row>
    <row r="1470" spans="1:10" x14ac:dyDescent="0.25">
      <c r="A1470" s="6" t="s">
        <v>101</v>
      </c>
      <c r="B1470" s="6">
        <f t="shared" si="338"/>
        <v>2047</v>
      </c>
      <c r="C1470" s="1" t="s">
        <v>14</v>
      </c>
      <c r="D1470" s="2" t="s">
        <v>128</v>
      </c>
      <c r="E1470" s="9" t="str">
        <f t="shared" si="336"/>
        <v>PRBND'!</v>
      </c>
      <c r="F1470" s="5" t="str">
        <f t="shared" si="337"/>
        <v>C:\Users\jaime.benazar\Quorum Business Solutions\Ecopetrol Prometeo - Documents\Planning Space Implementation\3. Analysis &amp; Design\Design\FC22\DRR Jaime\QUIFA-CAJÚA\Cajua\[VAS_CAJUA_CF_SEC_20230125.xlsx]CF PRBND'!</v>
      </c>
      <c r="G1470" s="6" t="s">
        <v>38</v>
      </c>
      <c r="H1470" s="1"/>
      <c r="I1470" s="1"/>
      <c r="J1470" s="1"/>
    </row>
    <row r="1471" spans="1:10" x14ac:dyDescent="0.25">
      <c r="A1471" s="6" t="s">
        <v>101</v>
      </c>
      <c r="B1471" s="6">
        <f t="shared" si="338"/>
        <v>2048</v>
      </c>
      <c r="C1471" s="1" t="s">
        <v>14</v>
      </c>
      <c r="D1471" s="2" t="s">
        <v>128</v>
      </c>
      <c r="E1471" s="9" t="str">
        <f t="shared" si="336"/>
        <v>PRBND'!</v>
      </c>
      <c r="F1471" s="5" t="str">
        <f t="shared" si="337"/>
        <v>C:\Users\jaime.benazar\Quorum Business Solutions\Ecopetrol Prometeo - Documents\Planning Space Implementation\3. Analysis &amp; Design\Design\FC22\DRR Jaime\QUIFA-CAJÚA\Cajua\[VAS_CAJUA_CF_SEC_20230125.xlsx]CF PRBND'!</v>
      </c>
      <c r="G1471" s="6" t="s">
        <v>38</v>
      </c>
      <c r="H1471" s="1"/>
      <c r="I1471" s="1"/>
      <c r="J1471" s="1"/>
    </row>
    <row r="1472" spans="1:10" x14ac:dyDescent="0.25">
      <c r="A1472" s="6" t="s">
        <v>101</v>
      </c>
      <c r="B1472" s="6">
        <f t="shared" si="338"/>
        <v>2049</v>
      </c>
      <c r="C1472" s="1" t="s">
        <v>14</v>
      </c>
      <c r="D1472" s="2" t="s">
        <v>128</v>
      </c>
      <c r="E1472" s="9" t="str">
        <f t="shared" si="336"/>
        <v>PRBND'!</v>
      </c>
      <c r="F1472" s="5" t="str">
        <f t="shared" si="337"/>
        <v>C:\Users\jaime.benazar\Quorum Business Solutions\Ecopetrol Prometeo - Documents\Planning Space Implementation\3. Analysis &amp; Design\Design\FC22\DRR Jaime\QUIFA-CAJÚA\Cajua\[VAS_CAJUA_CF_SEC_20230125.xlsx]CF PRBND'!</v>
      </c>
      <c r="G1472" s="6" t="s">
        <v>38</v>
      </c>
      <c r="H1472" s="1"/>
      <c r="I1472" s="1"/>
      <c r="J1472" s="1"/>
    </row>
    <row r="1473" spans="1:10" x14ac:dyDescent="0.25">
      <c r="A1473" s="6" t="s">
        <v>101</v>
      </c>
      <c r="B1473" s="6">
        <f t="shared" si="338"/>
        <v>2050</v>
      </c>
      <c r="C1473" s="1" t="s">
        <v>14</v>
      </c>
      <c r="D1473" s="2" t="s">
        <v>128</v>
      </c>
      <c r="E1473" s="9" t="str">
        <f t="shared" si="336"/>
        <v>PRBND'!</v>
      </c>
      <c r="F1473" s="5" t="str">
        <f t="shared" si="337"/>
        <v>C:\Users\jaime.benazar\Quorum Business Solutions\Ecopetrol Prometeo - Documents\Planning Space Implementation\3. Analysis &amp; Design\Design\FC22\DRR Jaime\QUIFA-CAJÚA\Cajua\[VAS_CAJUA_CF_SEC_20230125.xlsx]CF PRBND'!</v>
      </c>
      <c r="G1473" s="6" t="s">
        <v>38</v>
      </c>
      <c r="H1473" s="1"/>
      <c r="I1473" s="1"/>
      <c r="J1473" s="1"/>
    </row>
    <row r="1474" spans="1:10" x14ac:dyDescent="0.25">
      <c r="A1474" s="6" t="s">
        <v>101</v>
      </c>
      <c r="B1474" s="6">
        <f t="shared" si="338"/>
        <v>2051</v>
      </c>
      <c r="C1474" s="1" t="s">
        <v>14</v>
      </c>
      <c r="D1474" s="2" t="s">
        <v>128</v>
      </c>
      <c r="E1474" s="9" t="str">
        <f t="shared" si="336"/>
        <v>PRBND'!</v>
      </c>
      <c r="F1474" s="5" t="str">
        <f t="shared" si="337"/>
        <v>C:\Users\jaime.benazar\Quorum Business Solutions\Ecopetrol Prometeo - Documents\Planning Space Implementation\3. Analysis &amp; Design\Design\FC22\DRR Jaime\QUIFA-CAJÚA\Cajua\[VAS_CAJUA_CF_SEC_20230125.xlsx]CF PRBND'!</v>
      </c>
      <c r="G1474" s="6" t="s">
        <v>38</v>
      </c>
      <c r="H1474" s="1"/>
      <c r="I1474" s="1"/>
      <c r="J1474" s="1"/>
    </row>
    <row r="1475" spans="1:10" x14ac:dyDescent="0.25">
      <c r="A1475" s="6" t="s">
        <v>101</v>
      </c>
      <c r="B1475" s="6">
        <f t="shared" si="338"/>
        <v>2052</v>
      </c>
      <c r="C1475" s="1" t="s">
        <v>14</v>
      </c>
      <c r="D1475" s="2" t="s">
        <v>128</v>
      </c>
      <c r="E1475" s="9" t="str">
        <f t="shared" si="336"/>
        <v>PRBND'!</v>
      </c>
      <c r="F1475" s="5" t="str">
        <f t="shared" si="337"/>
        <v>C:\Users\jaime.benazar\Quorum Business Solutions\Ecopetrol Prometeo - Documents\Planning Space Implementation\3. Analysis &amp; Design\Design\FC22\DRR Jaime\QUIFA-CAJÚA\Cajua\[VAS_CAJUA_CF_SEC_20230125.xlsx]CF PRBND'!</v>
      </c>
      <c r="G1475" s="6" t="s">
        <v>38</v>
      </c>
      <c r="H1475" s="1"/>
      <c r="I1475" s="1"/>
      <c r="J1475" s="1"/>
    </row>
    <row r="1476" spans="1:10" x14ac:dyDescent="0.25">
      <c r="A1476" s="6" t="s">
        <v>101</v>
      </c>
      <c r="B1476" s="6">
        <f t="shared" si="338"/>
        <v>2053</v>
      </c>
      <c r="C1476" s="1" t="s">
        <v>14</v>
      </c>
      <c r="D1476" s="2" t="s">
        <v>128</v>
      </c>
      <c r="E1476" s="9" t="str">
        <f t="shared" si="336"/>
        <v>PRBND'!</v>
      </c>
      <c r="F1476" s="5" t="str">
        <f t="shared" si="337"/>
        <v>C:\Users\jaime.benazar\Quorum Business Solutions\Ecopetrol Prometeo - Documents\Planning Space Implementation\3. Analysis &amp; Design\Design\FC22\DRR Jaime\QUIFA-CAJÚA\Cajua\[VAS_CAJUA_CF_SEC_20230125.xlsx]CF PRBND'!</v>
      </c>
      <c r="G1476" s="6" t="s">
        <v>38</v>
      </c>
      <c r="H1476" s="1"/>
      <c r="I1476" s="1"/>
      <c r="J1476" s="1"/>
    </row>
    <row r="1477" spans="1:10" x14ac:dyDescent="0.25">
      <c r="A1477" s="6" t="s">
        <v>101</v>
      </c>
      <c r="B1477" s="6">
        <f t="shared" si="338"/>
        <v>2054</v>
      </c>
      <c r="C1477" s="1" t="s">
        <v>14</v>
      </c>
      <c r="D1477" s="2" t="s">
        <v>128</v>
      </c>
      <c r="E1477" s="9" t="str">
        <f t="shared" si="336"/>
        <v>PRBND'!</v>
      </c>
      <c r="F1477" s="5" t="str">
        <f t="shared" si="337"/>
        <v>C:\Users\jaime.benazar\Quorum Business Solutions\Ecopetrol Prometeo - Documents\Planning Space Implementation\3. Analysis &amp; Design\Design\FC22\DRR Jaime\QUIFA-CAJÚA\Cajua\[VAS_CAJUA_CF_SEC_20230125.xlsx]CF PRBND'!</v>
      </c>
      <c r="G1477" s="6" t="s">
        <v>38</v>
      </c>
      <c r="H1477" s="1"/>
      <c r="I1477" s="1"/>
      <c r="J1477" s="1"/>
    </row>
    <row r="1478" spans="1:10" x14ac:dyDescent="0.25">
      <c r="A1478" s="6" t="s">
        <v>101</v>
      </c>
      <c r="B1478" s="6">
        <f t="shared" si="338"/>
        <v>2055</v>
      </c>
      <c r="C1478" s="1" t="s">
        <v>14</v>
      </c>
      <c r="D1478" s="2" t="s">
        <v>128</v>
      </c>
      <c r="E1478" s="9" t="str">
        <f t="shared" si="336"/>
        <v>PRBND'!</v>
      </c>
      <c r="F1478" s="5" t="str">
        <f t="shared" si="337"/>
        <v>C:\Users\jaime.benazar\Quorum Business Solutions\Ecopetrol Prometeo - Documents\Planning Space Implementation\3. Analysis &amp; Design\Design\FC22\DRR Jaime\QUIFA-CAJÚA\Cajua\[VAS_CAJUA_CF_SEC_20230125.xlsx]CF PRBND'!</v>
      </c>
      <c r="G1478" s="6" t="s">
        <v>38</v>
      </c>
      <c r="H1478" s="1"/>
      <c r="I1478" s="1"/>
      <c r="J1478" s="1"/>
    </row>
    <row r="1479" spans="1:10" x14ac:dyDescent="0.25">
      <c r="A1479" s="6" t="s">
        <v>101</v>
      </c>
      <c r="B1479" s="6">
        <f t="shared" si="338"/>
        <v>2056</v>
      </c>
      <c r="C1479" s="1" t="s">
        <v>14</v>
      </c>
      <c r="D1479" s="2" t="s">
        <v>128</v>
      </c>
      <c r="E1479" s="9" t="str">
        <f t="shared" si="336"/>
        <v>PRBND'!</v>
      </c>
      <c r="F1479" s="5" t="str">
        <f t="shared" si="337"/>
        <v>C:\Users\jaime.benazar\Quorum Business Solutions\Ecopetrol Prometeo - Documents\Planning Space Implementation\3. Analysis &amp; Design\Design\FC22\DRR Jaime\QUIFA-CAJÚA\Cajua\[VAS_CAJUA_CF_SEC_20230125.xlsx]CF PRBND'!</v>
      </c>
      <c r="G1479" s="6" t="s">
        <v>38</v>
      </c>
      <c r="H1479" s="1"/>
      <c r="I1479" s="1"/>
      <c r="J1479" s="1"/>
    </row>
    <row r="1480" spans="1:10" x14ac:dyDescent="0.25">
      <c r="A1480" s="6" t="s">
        <v>101</v>
      </c>
      <c r="B1480" s="6">
        <f t="shared" si="338"/>
        <v>2057</v>
      </c>
      <c r="C1480" s="1" t="s">
        <v>14</v>
      </c>
      <c r="D1480" s="2" t="s">
        <v>128</v>
      </c>
      <c r="E1480" s="9" t="str">
        <f t="shared" si="336"/>
        <v>PRBND'!</v>
      </c>
      <c r="F1480" s="5" t="str">
        <f t="shared" si="337"/>
        <v>C:\Users\jaime.benazar\Quorum Business Solutions\Ecopetrol Prometeo - Documents\Planning Space Implementation\3. Analysis &amp; Design\Design\FC22\DRR Jaime\QUIFA-CAJÚA\Cajua\[VAS_CAJUA_CF_SEC_20230125.xlsx]CF PRBND'!</v>
      </c>
      <c r="G1480" s="6" t="s">
        <v>38</v>
      </c>
      <c r="H1480" s="1"/>
      <c r="I1480" s="1"/>
      <c r="J1480" s="1"/>
    </row>
    <row r="1481" spans="1:10" x14ac:dyDescent="0.25">
      <c r="A1481" s="6" t="s">
        <v>101</v>
      </c>
      <c r="B1481" s="6">
        <f t="shared" si="338"/>
        <v>2058</v>
      </c>
      <c r="C1481" s="1" t="s">
        <v>14</v>
      </c>
      <c r="D1481" s="2" t="s">
        <v>128</v>
      </c>
      <c r="E1481" s="9" t="str">
        <f t="shared" si="336"/>
        <v>PRBND'!</v>
      </c>
      <c r="F1481" s="5" t="str">
        <f t="shared" si="337"/>
        <v>C:\Users\jaime.benazar\Quorum Business Solutions\Ecopetrol Prometeo - Documents\Planning Space Implementation\3. Analysis &amp; Design\Design\FC22\DRR Jaime\QUIFA-CAJÚA\Cajua\[VAS_CAJUA_CF_SEC_20230125.xlsx]CF PRBND'!</v>
      </c>
      <c r="G1481" s="6" t="s">
        <v>38</v>
      </c>
      <c r="H1481" s="1"/>
      <c r="I1481" s="1"/>
      <c r="J1481" s="1"/>
    </row>
    <row r="1482" spans="1:10" x14ac:dyDescent="0.25">
      <c r="A1482" s="6" t="s">
        <v>101</v>
      </c>
      <c r="B1482" s="6">
        <f t="shared" si="338"/>
        <v>2059</v>
      </c>
      <c r="C1482" s="1" t="s">
        <v>14</v>
      </c>
      <c r="D1482" s="2" t="s">
        <v>128</v>
      </c>
      <c r="E1482" s="9" t="str">
        <f t="shared" si="336"/>
        <v>PRBND'!</v>
      </c>
      <c r="F1482" s="5" t="str">
        <f t="shared" si="337"/>
        <v>C:\Users\jaime.benazar\Quorum Business Solutions\Ecopetrol Prometeo - Documents\Planning Space Implementation\3. Analysis &amp; Design\Design\FC22\DRR Jaime\QUIFA-CAJÚA\Cajua\[VAS_CAJUA_CF_SEC_20230125.xlsx]CF PRBND'!</v>
      </c>
      <c r="G1482" s="6" t="s">
        <v>38</v>
      </c>
      <c r="H1482" s="1"/>
      <c r="I1482" s="1"/>
      <c r="J1482" s="1"/>
    </row>
    <row r="1483" spans="1:10" x14ac:dyDescent="0.25">
      <c r="A1483" s="6" t="s">
        <v>28</v>
      </c>
      <c r="B1483" s="6"/>
      <c r="C1483" s="1" t="s">
        <v>14</v>
      </c>
      <c r="D1483" s="2"/>
      <c r="E1483" s="9"/>
      <c r="F1483" s="2"/>
      <c r="G1483" s="6"/>
      <c r="H1483" s="1"/>
      <c r="I1483" s="1"/>
      <c r="J1483" s="1"/>
    </row>
    <row r="1484" spans="1:10" x14ac:dyDescent="0.25">
      <c r="A1484" s="6" t="s">
        <v>4</v>
      </c>
      <c r="B1484" s="6">
        <v>2023</v>
      </c>
      <c r="C1484" s="1" t="s">
        <v>14</v>
      </c>
      <c r="D1484" s="2" t="s">
        <v>128</v>
      </c>
      <c r="E1484" s="9" t="str">
        <f t="shared" si="308"/>
        <v>PRB'!</v>
      </c>
      <c r="F1484" s="5" t="str">
        <f t="shared" si="332"/>
        <v>C:\Users\jaime.benazar\Quorum Business Solutions\Ecopetrol Prometeo - Documents\Planning Space Implementation\3. Analysis &amp; Design\Design\FC22\DRR Jaime\QUIFA-CAJÚA\Cajua\[VAS_CAJUA_CF_SEC_20230125.xlsx]CF PRB'!</v>
      </c>
      <c r="G1484" s="6" t="s">
        <v>38</v>
      </c>
      <c r="H1484" s="1">
        <f>IF(A1484&lt;&gt;A1354,36,H1354+1)</f>
        <v>36</v>
      </c>
      <c r="I1484" s="1" t="str">
        <f t="shared" si="309"/>
        <v>='C:\Users\jaime.benazar\Quorum Business Solutions\Ecopetrol Prometeo - Documents\Planning Space Implementation\3. Analysis &amp; Design\Design\FC22\DRR Jaime\QUIFA-CAJÚA\Cajua\[VAS_CAJUA_CF_SEC_20230125.xlsx]CF PRB'!$BX$36</v>
      </c>
      <c r="J1484" s="1" t="s">
        <v>795</v>
      </c>
    </row>
    <row r="1485" spans="1:10" x14ac:dyDescent="0.25">
      <c r="A1485" s="6" t="s">
        <v>4</v>
      </c>
      <c r="B1485" s="6">
        <f>+B1484+1</f>
        <v>2024</v>
      </c>
      <c r="C1485" s="1" t="s">
        <v>14</v>
      </c>
      <c r="D1485" s="2" t="s">
        <v>128</v>
      </c>
      <c r="E1485" s="9" t="str">
        <f t="shared" si="308"/>
        <v>PRB'!</v>
      </c>
      <c r="F1485" s="5" t="str">
        <f t="shared" si="332"/>
        <v>C:\Users\jaime.benazar\Quorum Business Solutions\Ecopetrol Prometeo - Documents\Planning Space Implementation\3. Analysis &amp; Design\Design\FC22\DRR Jaime\QUIFA-CAJÚA\Cajua\[VAS_CAJUA_CF_SEC_20230125.xlsx]CF PRB'!</v>
      </c>
      <c r="G1485" s="6" t="s">
        <v>38</v>
      </c>
      <c r="H1485" s="1">
        <f t="shared" si="310"/>
        <v>37</v>
      </c>
      <c r="I1485" s="1" t="str">
        <f t="shared" si="309"/>
        <v>='C:\Users\jaime.benazar\Quorum Business Solutions\Ecopetrol Prometeo - Documents\Planning Space Implementation\3. Analysis &amp; Design\Design\FC22\DRR Jaime\QUIFA-CAJÚA\Cajua\[VAS_CAJUA_CF_SEC_20230125.xlsx]CF PRB'!$BX$37</v>
      </c>
      <c r="J1485" s="1" t="s">
        <v>796</v>
      </c>
    </row>
    <row r="1486" spans="1:10" x14ac:dyDescent="0.25">
      <c r="A1486" s="6" t="s">
        <v>4</v>
      </c>
      <c r="B1486" s="6">
        <f t="shared" ref="B1486:B1497" si="339">+B1485+1</f>
        <v>2025</v>
      </c>
      <c r="C1486" s="1" t="s">
        <v>14</v>
      </c>
      <c r="D1486" s="2" t="s">
        <v>128</v>
      </c>
      <c r="E1486" s="9" t="str">
        <f t="shared" si="308"/>
        <v>PRB'!</v>
      </c>
      <c r="F1486" s="5" t="str">
        <f t="shared" si="332"/>
        <v>C:\Users\jaime.benazar\Quorum Business Solutions\Ecopetrol Prometeo - Documents\Planning Space Implementation\3. Analysis &amp; Design\Design\FC22\DRR Jaime\QUIFA-CAJÚA\Cajua\[VAS_CAJUA_CF_SEC_20230125.xlsx]CF PRB'!</v>
      </c>
      <c r="G1486" s="6" t="s">
        <v>38</v>
      </c>
      <c r="H1486" s="1">
        <f t="shared" si="310"/>
        <v>38</v>
      </c>
      <c r="I1486" s="1" t="str">
        <f t="shared" si="309"/>
        <v>='C:\Users\jaime.benazar\Quorum Business Solutions\Ecopetrol Prometeo - Documents\Planning Space Implementation\3. Analysis &amp; Design\Design\FC22\DRR Jaime\QUIFA-CAJÚA\Cajua\[VAS_CAJUA_CF_SEC_20230125.xlsx]CF PRB'!$BX$38</v>
      </c>
      <c r="J1486" s="1" t="s">
        <v>797</v>
      </c>
    </row>
    <row r="1487" spans="1:10" x14ac:dyDescent="0.25">
      <c r="A1487" s="6" t="s">
        <v>4</v>
      </c>
      <c r="B1487" s="6">
        <f t="shared" si="339"/>
        <v>2026</v>
      </c>
      <c r="C1487" s="1" t="s">
        <v>14</v>
      </c>
      <c r="D1487" s="2" t="s">
        <v>128</v>
      </c>
      <c r="E1487" s="9" t="str">
        <f t="shared" si="308"/>
        <v>PRB'!</v>
      </c>
      <c r="F1487" s="5" t="str">
        <f t="shared" si="332"/>
        <v>C:\Users\jaime.benazar\Quorum Business Solutions\Ecopetrol Prometeo - Documents\Planning Space Implementation\3. Analysis &amp; Design\Design\FC22\DRR Jaime\QUIFA-CAJÚA\Cajua\[VAS_CAJUA_CF_SEC_20230125.xlsx]CF PRB'!</v>
      </c>
      <c r="G1487" s="6" t="s">
        <v>38</v>
      </c>
      <c r="H1487" s="1">
        <f t="shared" si="310"/>
        <v>39</v>
      </c>
      <c r="I1487" s="1" t="str">
        <f t="shared" si="309"/>
        <v>='C:\Users\jaime.benazar\Quorum Business Solutions\Ecopetrol Prometeo - Documents\Planning Space Implementation\3. Analysis &amp; Design\Design\FC22\DRR Jaime\QUIFA-CAJÚA\Cajua\[VAS_CAJUA_CF_SEC_20230125.xlsx]CF PRB'!$BX$39</v>
      </c>
      <c r="J1487" s="1" t="s">
        <v>798</v>
      </c>
    </row>
    <row r="1488" spans="1:10" x14ac:dyDescent="0.25">
      <c r="A1488" s="6" t="s">
        <v>4</v>
      </c>
      <c r="B1488" s="6">
        <f t="shared" si="339"/>
        <v>2027</v>
      </c>
      <c r="C1488" s="1" t="s">
        <v>14</v>
      </c>
      <c r="D1488" s="2" t="s">
        <v>128</v>
      </c>
      <c r="E1488" s="9" t="str">
        <f t="shared" si="308"/>
        <v>PRB'!</v>
      </c>
      <c r="F1488" s="5" t="str">
        <f t="shared" si="332"/>
        <v>C:\Users\jaime.benazar\Quorum Business Solutions\Ecopetrol Prometeo - Documents\Planning Space Implementation\3. Analysis &amp; Design\Design\FC22\DRR Jaime\QUIFA-CAJÚA\Cajua\[VAS_CAJUA_CF_SEC_20230125.xlsx]CF PRB'!</v>
      </c>
      <c r="G1488" s="6" t="s">
        <v>38</v>
      </c>
      <c r="H1488" s="1">
        <f t="shared" si="310"/>
        <v>40</v>
      </c>
      <c r="I1488" s="1" t="str">
        <f t="shared" si="309"/>
        <v>='C:\Users\jaime.benazar\Quorum Business Solutions\Ecopetrol Prometeo - Documents\Planning Space Implementation\3. Analysis &amp; Design\Design\FC22\DRR Jaime\QUIFA-CAJÚA\Cajua\[VAS_CAJUA_CF_SEC_20230125.xlsx]CF PRB'!$BX$40</v>
      </c>
      <c r="J1488" s="1" t="s">
        <v>799</v>
      </c>
    </row>
    <row r="1489" spans="1:10" x14ac:dyDescent="0.25">
      <c r="A1489" s="6" t="s">
        <v>4</v>
      </c>
      <c r="B1489" s="6">
        <f t="shared" si="339"/>
        <v>2028</v>
      </c>
      <c r="C1489" s="1" t="s">
        <v>14</v>
      </c>
      <c r="D1489" s="2" t="s">
        <v>128</v>
      </c>
      <c r="E1489" s="9" t="str">
        <f t="shared" si="308"/>
        <v>PRB'!</v>
      </c>
      <c r="F1489" s="5" t="str">
        <f t="shared" si="332"/>
        <v>C:\Users\jaime.benazar\Quorum Business Solutions\Ecopetrol Prometeo - Documents\Planning Space Implementation\3. Analysis &amp; Design\Design\FC22\DRR Jaime\QUIFA-CAJÚA\Cajua\[VAS_CAJUA_CF_SEC_20230125.xlsx]CF PRB'!</v>
      </c>
      <c r="G1489" s="6" t="s">
        <v>38</v>
      </c>
      <c r="H1489" s="1">
        <f t="shared" si="310"/>
        <v>41</v>
      </c>
      <c r="I1489" s="1" t="str">
        <f t="shared" si="309"/>
        <v>='C:\Users\jaime.benazar\Quorum Business Solutions\Ecopetrol Prometeo - Documents\Planning Space Implementation\3. Analysis &amp; Design\Design\FC22\DRR Jaime\QUIFA-CAJÚA\Cajua\[VAS_CAJUA_CF_SEC_20230125.xlsx]CF PRB'!$BX$41</v>
      </c>
      <c r="J1489" s="1" t="s">
        <v>800</v>
      </c>
    </row>
    <row r="1490" spans="1:10" x14ac:dyDescent="0.25">
      <c r="A1490" s="6" t="s">
        <v>4</v>
      </c>
      <c r="B1490" s="6">
        <f t="shared" si="339"/>
        <v>2029</v>
      </c>
      <c r="C1490" s="1" t="s">
        <v>14</v>
      </c>
      <c r="D1490" s="2" t="s">
        <v>128</v>
      </c>
      <c r="E1490" s="9" t="str">
        <f t="shared" si="308"/>
        <v>PRB'!</v>
      </c>
      <c r="F1490" s="5" t="str">
        <f t="shared" si="332"/>
        <v>C:\Users\jaime.benazar\Quorum Business Solutions\Ecopetrol Prometeo - Documents\Planning Space Implementation\3. Analysis &amp; Design\Design\FC22\DRR Jaime\QUIFA-CAJÚA\Cajua\[VAS_CAJUA_CF_SEC_20230125.xlsx]CF PRB'!</v>
      </c>
      <c r="G1490" s="6" t="s">
        <v>38</v>
      </c>
      <c r="H1490" s="1">
        <f t="shared" si="310"/>
        <v>42</v>
      </c>
      <c r="I1490" s="1" t="str">
        <f t="shared" si="309"/>
        <v>='C:\Users\jaime.benazar\Quorum Business Solutions\Ecopetrol Prometeo - Documents\Planning Space Implementation\3. Analysis &amp; Design\Design\FC22\DRR Jaime\QUIFA-CAJÚA\Cajua\[VAS_CAJUA_CF_SEC_20230125.xlsx]CF PRB'!$BX$42</v>
      </c>
      <c r="J1490" s="1" t="s">
        <v>801</v>
      </c>
    </row>
    <row r="1491" spans="1:10" x14ac:dyDescent="0.25">
      <c r="A1491" s="6" t="s">
        <v>4</v>
      </c>
      <c r="B1491" s="6">
        <f t="shared" si="339"/>
        <v>2030</v>
      </c>
      <c r="C1491" s="1" t="s">
        <v>14</v>
      </c>
      <c r="D1491" s="2" t="s">
        <v>128</v>
      </c>
      <c r="E1491" s="9" t="str">
        <f t="shared" si="308"/>
        <v>PRB'!</v>
      </c>
      <c r="F1491" s="5" t="str">
        <f t="shared" si="332"/>
        <v>C:\Users\jaime.benazar\Quorum Business Solutions\Ecopetrol Prometeo - Documents\Planning Space Implementation\3. Analysis &amp; Design\Design\FC22\DRR Jaime\QUIFA-CAJÚA\Cajua\[VAS_CAJUA_CF_SEC_20230125.xlsx]CF PRB'!</v>
      </c>
      <c r="G1491" s="6" t="s">
        <v>38</v>
      </c>
      <c r="H1491" s="1">
        <f t="shared" si="310"/>
        <v>43</v>
      </c>
      <c r="I1491" s="1" t="str">
        <f t="shared" si="309"/>
        <v>='C:\Users\jaime.benazar\Quorum Business Solutions\Ecopetrol Prometeo - Documents\Planning Space Implementation\3. Analysis &amp; Design\Design\FC22\DRR Jaime\QUIFA-CAJÚA\Cajua\[VAS_CAJUA_CF_SEC_20230125.xlsx]CF PRB'!$BX$43</v>
      </c>
      <c r="J1491" s="1" t="s">
        <v>802</v>
      </c>
    </row>
    <row r="1492" spans="1:10" x14ac:dyDescent="0.25">
      <c r="A1492" s="6" t="s">
        <v>4</v>
      </c>
      <c r="B1492" s="6">
        <f t="shared" si="339"/>
        <v>2031</v>
      </c>
      <c r="C1492" s="1" t="s">
        <v>14</v>
      </c>
      <c r="D1492" s="2" t="s">
        <v>128</v>
      </c>
      <c r="E1492" s="9" t="str">
        <f t="shared" si="308"/>
        <v>PRB'!</v>
      </c>
      <c r="F1492" s="5" t="str">
        <f t="shared" si="332"/>
        <v>C:\Users\jaime.benazar\Quorum Business Solutions\Ecopetrol Prometeo - Documents\Planning Space Implementation\3. Analysis &amp; Design\Design\FC22\DRR Jaime\QUIFA-CAJÚA\Cajua\[VAS_CAJUA_CF_SEC_20230125.xlsx]CF PRB'!</v>
      </c>
      <c r="G1492" s="6" t="s">
        <v>38</v>
      </c>
      <c r="H1492" s="1">
        <f t="shared" si="310"/>
        <v>44</v>
      </c>
      <c r="I1492" s="1" t="str">
        <f t="shared" si="309"/>
        <v>='C:\Users\jaime.benazar\Quorum Business Solutions\Ecopetrol Prometeo - Documents\Planning Space Implementation\3. Analysis &amp; Design\Design\FC22\DRR Jaime\QUIFA-CAJÚA\Cajua\[VAS_CAJUA_CF_SEC_20230125.xlsx]CF PRB'!$BX$44</v>
      </c>
      <c r="J1492" s="1" t="s">
        <v>803</v>
      </c>
    </row>
    <row r="1493" spans="1:10" x14ac:dyDescent="0.25">
      <c r="A1493" s="6" t="s">
        <v>4</v>
      </c>
      <c r="B1493" s="6">
        <f t="shared" si="339"/>
        <v>2032</v>
      </c>
      <c r="C1493" s="1" t="s">
        <v>14</v>
      </c>
      <c r="D1493" s="2" t="s">
        <v>128</v>
      </c>
      <c r="E1493" s="9" t="str">
        <f t="shared" si="308"/>
        <v>PRB'!</v>
      </c>
      <c r="F1493" s="5" t="str">
        <f t="shared" si="332"/>
        <v>C:\Users\jaime.benazar\Quorum Business Solutions\Ecopetrol Prometeo - Documents\Planning Space Implementation\3. Analysis &amp; Design\Design\FC22\DRR Jaime\QUIFA-CAJÚA\Cajua\[VAS_CAJUA_CF_SEC_20230125.xlsx]CF PRB'!</v>
      </c>
      <c r="G1493" s="6" t="s">
        <v>38</v>
      </c>
      <c r="H1493" s="1">
        <f t="shared" si="310"/>
        <v>45</v>
      </c>
      <c r="I1493" s="1" t="str">
        <f t="shared" si="309"/>
        <v>='C:\Users\jaime.benazar\Quorum Business Solutions\Ecopetrol Prometeo - Documents\Planning Space Implementation\3. Analysis &amp; Design\Design\FC22\DRR Jaime\QUIFA-CAJÚA\Cajua\[VAS_CAJUA_CF_SEC_20230125.xlsx]CF PRB'!$BX$45</v>
      </c>
      <c r="J1493" s="1" t="s">
        <v>804</v>
      </c>
    </row>
    <row r="1494" spans="1:10" x14ac:dyDescent="0.25">
      <c r="A1494" s="6" t="s">
        <v>4</v>
      </c>
      <c r="B1494" s="6">
        <f t="shared" si="339"/>
        <v>2033</v>
      </c>
      <c r="C1494" s="1" t="s">
        <v>14</v>
      </c>
      <c r="D1494" s="2" t="s">
        <v>128</v>
      </c>
      <c r="E1494" s="9" t="str">
        <f t="shared" si="308"/>
        <v>PRB'!</v>
      </c>
      <c r="F1494" s="5" t="str">
        <f t="shared" si="332"/>
        <v>C:\Users\jaime.benazar\Quorum Business Solutions\Ecopetrol Prometeo - Documents\Planning Space Implementation\3. Analysis &amp; Design\Design\FC22\DRR Jaime\QUIFA-CAJÚA\Cajua\[VAS_CAJUA_CF_SEC_20230125.xlsx]CF PRB'!</v>
      </c>
      <c r="G1494" s="6" t="s">
        <v>38</v>
      </c>
      <c r="H1494" s="1">
        <f t="shared" si="310"/>
        <v>46</v>
      </c>
      <c r="I1494" s="1" t="str">
        <f t="shared" si="309"/>
        <v>='C:\Users\jaime.benazar\Quorum Business Solutions\Ecopetrol Prometeo - Documents\Planning Space Implementation\3. Analysis &amp; Design\Design\FC22\DRR Jaime\QUIFA-CAJÚA\Cajua\[VAS_CAJUA_CF_SEC_20230125.xlsx]CF PRB'!$BX$46</v>
      </c>
      <c r="J1494" s="1" t="s">
        <v>805</v>
      </c>
    </row>
    <row r="1495" spans="1:10" x14ac:dyDescent="0.25">
      <c r="A1495" s="6" t="s">
        <v>4</v>
      </c>
      <c r="B1495" s="6">
        <f t="shared" si="339"/>
        <v>2034</v>
      </c>
      <c r="C1495" s="1" t="s">
        <v>14</v>
      </c>
      <c r="D1495" s="2" t="s">
        <v>128</v>
      </c>
      <c r="E1495" s="9" t="str">
        <f t="shared" si="308"/>
        <v>PRB'!</v>
      </c>
      <c r="F1495" s="5" t="str">
        <f t="shared" si="332"/>
        <v>C:\Users\jaime.benazar\Quorum Business Solutions\Ecopetrol Prometeo - Documents\Planning Space Implementation\3. Analysis &amp; Design\Design\FC22\DRR Jaime\QUIFA-CAJÚA\Cajua\[VAS_CAJUA_CF_SEC_20230125.xlsx]CF PRB'!</v>
      </c>
      <c r="G1495" s="6" t="s">
        <v>38</v>
      </c>
      <c r="H1495" s="1">
        <f t="shared" si="310"/>
        <v>47</v>
      </c>
      <c r="I1495" s="1" t="str">
        <f t="shared" si="309"/>
        <v>='C:\Users\jaime.benazar\Quorum Business Solutions\Ecopetrol Prometeo - Documents\Planning Space Implementation\3. Analysis &amp; Design\Design\FC22\DRR Jaime\QUIFA-CAJÚA\Cajua\[VAS_CAJUA_CF_SEC_20230125.xlsx]CF PRB'!$BX$47</v>
      </c>
      <c r="J1495" s="1" t="s">
        <v>806</v>
      </c>
    </row>
    <row r="1496" spans="1:10" x14ac:dyDescent="0.25">
      <c r="A1496" s="6" t="s">
        <v>4</v>
      </c>
      <c r="B1496" s="6">
        <f t="shared" si="339"/>
        <v>2035</v>
      </c>
      <c r="C1496" s="1" t="s">
        <v>14</v>
      </c>
      <c r="D1496" s="2" t="s">
        <v>128</v>
      </c>
      <c r="E1496" s="9" t="str">
        <f t="shared" si="308"/>
        <v>PRB'!</v>
      </c>
      <c r="F1496" s="5" t="str">
        <f t="shared" si="332"/>
        <v>C:\Users\jaime.benazar\Quorum Business Solutions\Ecopetrol Prometeo - Documents\Planning Space Implementation\3. Analysis &amp; Design\Design\FC22\DRR Jaime\QUIFA-CAJÚA\Cajua\[VAS_CAJUA_CF_SEC_20230125.xlsx]CF PRB'!</v>
      </c>
      <c r="G1496" s="6" t="s">
        <v>38</v>
      </c>
      <c r="H1496" s="1">
        <f t="shared" si="310"/>
        <v>48</v>
      </c>
      <c r="I1496" s="1" t="str">
        <f t="shared" si="309"/>
        <v>='C:\Users\jaime.benazar\Quorum Business Solutions\Ecopetrol Prometeo - Documents\Planning Space Implementation\3. Analysis &amp; Design\Design\FC22\DRR Jaime\QUIFA-CAJÚA\Cajua\[VAS_CAJUA_CF_SEC_20230125.xlsx]CF PRB'!$BX$48</v>
      </c>
      <c r="J1496" s="1" t="s">
        <v>807</v>
      </c>
    </row>
    <row r="1497" spans="1:10" x14ac:dyDescent="0.25">
      <c r="A1497" s="6" t="s">
        <v>4</v>
      </c>
      <c r="B1497" s="6">
        <f t="shared" si="339"/>
        <v>2036</v>
      </c>
      <c r="C1497" s="1" t="s">
        <v>14</v>
      </c>
      <c r="D1497" s="2" t="s">
        <v>128</v>
      </c>
      <c r="E1497" s="9" t="str">
        <f t="shared" si="308"/>
        <v>PRB'!</v>
      </c>
      <c r="F1497" s="5" t="str">
        <f t="shared" si="332"/>
        <v>C:\Users\jaime.benazar\Quorum Business Solutions\Ecopetrol Prometeo - Documents\Planning Space Implementation\3. Analysis &amp; Design\Design\FC22\DRR Jaime\QUIFA-CAJÚA\Cajua\[VAS_CAJUA_CF_SEC_20230125.xlsx]CF PRB'!</v>
      </c>
      <c r="G1497" s="6" t="s">
        <v>38</v>
      </c>
      <c r="H1497" s="1">
        <f t="shared" si="310"/>
        <v>49</v>
      </c>
      <c r="I1497" s="1" t="str">
        <f t="shared" si="309"/>
        <v>='C:\Users\jaime.benazar\Quorum Business Solutions\Ecopetrol Prometeo - Documents\Planning Space Implementation\3. Analysis &amp; Design\Design\FC22\DRR Jaime\QUIFA-CAJÚA\Cajua\[VAS_CAJUA_CF_SEC_20230125.xlsx]CF PRB'!$BX$49</v>
      </c>
      <c r="J1497" s="1" t="s">
        <v>808</v>
      </c>
    </row>
    <row r="1498" spans="1:10" x14ac:dyDescent="0.25">
      <c r="A1498" s="6" t="s">
        <v>4</v>
      </c>
      <c r="B1498" s="6">
        <f>+B1497+1</f>
        <v>2037</v>
      </c>
      <c r="C1498" s="1" t="s">
        <v>14</v>
      </c>
      <c r="D1498" s="2" t="s">
        <v>128</v>
      </c>
      <c r="E1498" s="9" t="str">
        <f t="shared" si="308"/>
        <v>PRB'!</v>
      </c>
      <c r="F1498" s="5" t="str">
        <f t="shared" si="332"/>
        <v>C:\Users\jaime.benazar\Quorum Business Solutions\Ecopetrol Prometeo - Documents\Planning Space Implementation\3. Analysis &amp; Design\Design\FC22\DRR Jaime\QUIFA-CAJÚA\Cajua\[VAS_CAJUA_CF_SEC_20230125.xlsx]CF PRB'!</v>
      </c>
      <c r="G1498" s="6" t="s">
        <v>38</v>
      </c>
      <c r="H1498" s="1">
        <f t="shared" si="310"/>
        <v>50</v>
      </c>
      <c r="I1498" s="1" t="str">
        <f t="shared" si="309"/>
        <v>='C:\Users\jaime.benazar\Quorum Business Solutions\Ecopetrol Prometeo - Documents\Planning Space Implementation\3. Analysis &amp; Design\Design\FC22\DRR Jaime\QUIFA-CAJÚA\Cajua\[VAS_CAJUA_CF_SEC_20230125.xlsx]CF PRB'!$BX$50</v>
      </c>
      <c r="J1498" s="1" t="s">
        <v>809</v>
      </c>
    </row>
    <row r="1499" spans="1:10" x14ac:dyDescent="0.25">
      <c r="A1499" s="6" t="s">
        <v>4</v>
      </c>
      <c r="B1499" s="6">
        <f t="shared" ref="B1499:B1501" si="340">+B1498+1</f>
        <v>2038</v>
      </c>
      <c r="C1499" s="1" t="s">
        <v>14</v>
      </c>
      <c r="D1499" s="2" t="s">
        <v>128</v>
      </c>
      <c r="E1499" s="9" t="str">
        <f t="shared" si="308"/>
        <v>PRB'!</v>
      </c>
      <c r="F1499" s="5" t="str">
        <f t="shared" si="332"/>
        <v>C:\Users\jaime.benazar\Quorum Business Solutions\Ecopetrol Prometeo - Documents\Planning Space Implementation\3. Analysis &amp; Design\Design\FC22\DRR Jaime\QUIFA-CAJÚA\Cajua\[VAS_CAJUA_CF_SEC_20230125.xlsx]CF PRB'!</v>
      </c>
      <c r="G1499" s="6" t="s">
        <v>38</v>
      </c>
      <c r="H1499" s="1">
        <f t="shared" si="310"/>
        <v>51</v>
      </c>
      <c r="I1499" s="1" t="str">
        <f t="shared" si="309"/>
        <v>='C:\Users\jaime.benazar\Quorum Business Solutions\Ecopetrol Prometeo - Documents\Planning Space Implementation\3. Analysis &amp; Design\Design\FC22\DRR Jaime\QUIFA-CAJÚA\Cajua\[VAS_CAJUA_CF_SEC_20230125.xlsx]CF PRB'!$BX$51</v>
      </c>
      <c r="J1499" s="1" t="s">
        <v>810</v>
      </c>
    </row>
    <row r="1500" spans="1:10" x14ac:dyDescent="0.25">
      <c r="A1500" s="6" t="s">
        <v>4</v>
      </c>
      <c r="B1500" s="6">
        <f t="shared" si="340"/>
        <v>2039</v>
      </c>
      <c r="C1500" s="1" t="s">
        <v>14</v>
      </c>
      <c r="D1500" s="2" t="s">
        <v>128</v>
      </c>
      <c r="E1500" s="9" t="str">
        <f t="shared" si="308"/>
        <v>PRB'!</v>
      </c>
      <c r="F1500" s="5" t="str">
        <f t="shared" si="332"/>
        <v>C:\Users\jaime.benazar\Quorum Business Solutions\Ecopetrol Prometeo - Documents\Planning Space Implementation\3. Analysis &amp; Design\Design\FC22\DRR Jaime\QUIFA-CAJÚA\Cajua\[VAS_CAJUA_CF_SEC_20230125.xlsx]CF PRB'!</v>
      </c>
      <c r="G1500" s="6" t="s">
        <v>38</v>
      </c>
      <c r="H1500" s="1">
        <f t="shared" si="310"/>
        <v>52</v>
      </c>
      <c r="I1500" s="1" t="str">
        <f t="shared" si="309"/>
        <v>='C:\Users\jaime.benazar\Quorum Business Solutions\Ecopetrol Prometeo - Documents\Planning Space Implementation\3. Analysis &amp; Design\Design\FC22\DRR Jaime\QUIFA-CAJÚA\Cajua\[VAS_CAJUA_CF_SEC_20230125.xlsx]CF PRB'!$BX$52</v>
      </c>
      <c r="J1500" s="1" t="s">
        <v>811</v>
      </c>
    </row>
    <row r="1501" spans="1:10" x14ac:dyDescent="0.25">
      <c r="A1501" s="6" t="s">
        <v>4</v>
      </c>
      <c r="B1501" s="6">
        <f t="shared" si="340"/>
        <v>2040</v>
      </c>
      <c r="C1501" s="1" t="s">
        <v>14</v>
      </c>
      <c r="D1501" s="2" t="s">
        <v>128</v>
      </c>
      <c r="E1501" s="9" t="str">
        <f t="shared" si="308"/>
        <v>PRB'!</v>
      </c>
      <c r="F1501" s="5" t="str">
        <f t="shared" si="332"/>
        <v>C:\Users\jaime.benazar\Quorum Business Solutions\Ecopetrol Prometeo - Documents\Planning Space Implementation\3. Analysis &amp; Design\Design\FC22\DRR Jaime\QUIFA-CAJÚA\Cajua\[VAS_CAJUA_CF_SEC_20230125.xlsx]CF PRB'!</v>
      </c>
      <c r="G1501" s="6" t="s">
        <v>38</v>
      </c>
      <c r="H1501" s="1">
        <f t="shared" si="310"/>
        <v>53</v>
      </c>
      <c r="I1501" s="1" t="str">
        <f t="shared" si="309"/>
        <v>='C:\Users\jaime.benazar\Quorum Business Solutions\Ecopetrol Prometeo - Documents\Planning Space Implementation\3. Analysis &amp; Design\Design\FC22\DRR Jaime\QUIFA-CAJÚA\Cajua\[VAS_CAJUA_CF_SEC_20230125.xlsx]CF PRB'!$BX$53</v>
      </c>
      <c r="J1501" s="1" t="s">
        <v>812</v>
      </c>
    </row>
    <row r="1502" spans="1:10" x14ac:dyDescent="0.25">
      <c r="A1502" s="6" t="s">
        <v>4</v>
      </c>
      <c r="B1502" s="6">
        <f>+B1501+1</f>
        <v>2041</v>
      </c>
      <c r="C1502" s="1" t="s">
        <v>14</v>
      </c>
      <c r="D1502" s="2" t="s">
        <v>128</v>
      </c>
      <c r="E1502" s="9" t="str">
        <f t="shared" si="308"/>
        <v>PRB'!</v>
      </c>
      <c r="F1502" s="5" t="str">
        <f t="shared" si="332"/>
        <v>C:\Users\jaime.benazar\Quorum Business Solutions\Ecopetrol Prometeo - Documents\Planning Space Implementation\3. Analysis &amp; Design\Design\FC22\DRR Jaime\QUIFA-CAJÚA\Cajua\[VAS_CAJUA_CF_SEC_20230125.xlsx]CF PRB'!</v>
      </c>
      <c r="G1502" s="6" t="s">
        <v>38</v>
      </c>
      <c r="H1502" s="1">
        <f t="shared" si="310"/>
        <v>54</v>
      </c>
      <c r="I1502" s="1" t="str">
        <f t="shared" si="309"/>
        <v>='C:\Users\jaime.benazar\Quorum Business Solutions\Ecopetrol Prometeo - Documents\Planning Space Implementation\3. Analysis &amp; Design\Design\FC22\DRR Jaime\QUIFA-CAJÚA\Cajua\[VAS_CAJUA_CF_SEC_20230125.xlsx]CF PRB'!$BX$54</v>
      </c>
      <c r="J1502" s="1" t="s">
        <v>813</v>
      </c>
    </row>
    <row r="1503" spans="1:10" x14ac:dyDescent="0.25">
      <c r="A1503" s="6" t="s">
        <v>4</v>
      </c>
      <c r="B1503" s="6">
        <f t="shared" ref="B1503:B1504" si="341">+B1502+1</f>
        <v>2042</v>
      </c>
      <c r="C1503" s="1" t="s">
        <v>14</v>
      </c>
      <c r="D1503" s="2" t="s">
        <v>128</v>
      </c>
      <c r="E1503" s="9" t="str">
        <f t="shared" si="308"/>
        <v>PRB'!</v>
      </c>
      <c r="F1503" s="5" t="str">
        <f t="shared" si="332"/>
        <v>C:\Users\jaime.benazar\Quorum Business Solutions\Ecopetrol Prometeo - Documents\Planning Space Implementation\3. Analysis &amp; Design\Design\FC22\DRR Jaime\QUIFA-CAJÚA\Cajua\[VAS_CAJUA_CF_SEC_20230125.xlsx]CF PRB'!</v>
      </c>
      <c r="G1503" s="6" t="s">
        <v>38</v>
      </c>
      <c r="H1503" s="1">
        <f t="shared" si="310"/>
        <v>55</v>
      </c>
      <c r="I1503" s="1" t="str">
        <f t="shared" si="309"/>
        <v>='C:\Users\jaime.benazar\Quorum Business Solutions\Ecopetrol Prometeo - Documents\Planning Space Implementation\3. Analysis &amp; Design\Design\FC22\DRR Jaime\QUIFA-CAJÚA\Cajua\[VAS_CAJUA_CF_SEC_20230125.xlsx]CF PRB'!$BX$55</v>
      </c>
      <c r="J1503" s="1" t="s">
        <v>814</v>
      </c>
    </row>
    <row r="1504" spans="1:10" x14ac:dyDescent="0.25">
      <c r="A1504" s="6" t="s">
        <v>4</v>
      </c>
      <c r="B1504" s="6">
        <f t="shared" si="341"/>
        <v>2043</v>
      </c>
      <c r="C1504" s="1" t="s">
        <v>14</v>
      </c>
      <c r="D1504" s="2" t="s">
        <v>128</v>
      </c>
      <c r="E1504" s="9" t="str">
        <f t="shared" si="308"/>
        <v>PRB'!</v>
      </c>
      <c r="F1504" s="5" t="str">
        <f t="shared" si="332"/>
        <v>C:\Users\jaime.benazar\Quorum Business Solutions\Ecopetrol Prometeo - Documents\Planning Space Implementation\3. Analysis &amp; Design\Design\FC22\DRR Jaime\QUIFA-CAJÚA\Cajua\[VAS_CAJUA_CF_SEC_20230125.xlsx]CF PRB'!</v>
      </c>
      <c r="G1504" s="6" t="s">
        <v>38</v>
      </c>
      <c r="H1504" s="1">
        <f t="shared" si="310"/>
        <v>56</v>
      </c>
      <c r="I1504" s="1" t="str">
        <f t="shared" si="309"/>
        <v>='C:\Users\jaime.benazar\Quorum Business Solutions\Ecopetrol Prometeo - Documents\Planning Space Implementation\3. Analysis &amp; Design\Design\FC22\DRR Jaime\QUIFA-CAJÚA\Cajua\[VAS_CAJUA_CF_SEC_20230125.xlsx]CF PRB'!$BX$56</v>
      </c>
      <c r="J1504" s="1" t="s">
        <v>815</v>
      </c>
    </row>
    <row r="1505" spans="1:10" x14ac:dyDescent="0.25">
      <c r="A1505" s="6" t="s">
        <v>4</v>
      </c>
      <c r="B1505" s="6">
        <f>+B1504+1</f>
        <v>2044</v>
      </c>
      <c r="C1505" s="1" t="s">
        <v>14</v>
      </c>
      <c r="D1505" s="2" t="s">
        <v>128</v>
      </c>
      <c r="E1505" s="9" t="str">
        <f t="shared" ref="E1505:E1520" si="342">_xlfn.CONCAT(A1505,"'!")</f>
        <v>PRB'!</v>
      </c>
      <c r="F1505" s="5" t="str">
        <f t="shared" ref="F1505:F1520" si="343">_xlfn.CONCAT(D1505," ",E1505)</f>
        <v>C:\Users\jaime.benazar\Quorum Business Solutions\Ecopetrol Prometeo - Documents\Planning Space Implementation\3. Analysis &amp; Design\Design\FC22\DRR Jaime\QUIFA-CAJÚA\Cajua\[VAS_CAJUA_CF_SEC_20230125.xlsx]CF PRB'!</v>
      </c>
      <c r="G1505" s="6" t="s">
        <v>38</v>
      </c>
      <c r="H1505" s="1">
        <f t="shared" ref="H1505:H1520" si="344">IF(A1505&lt;&gt;A1504,36,H1504+1)</f>
        <v>57</v>
      </c>
      <c r="I1505" s="1" t="str">
        <f t="shared" ref="I1505:I1520" si="345">_xlfn.CONCAT("='",F1505:H1505)</f>
        <v>='C:\Users\jaime.benazar\Quorum Business Solutions\Ecopetrol Prometeo - Documents\Planning Space Implementation\3. Analysis &amp; Design\Design\FC22\DRR Jaime\QUIFA-CAJÚA\Cajua\[VAS_CAJUA_CF_SEC_20230125.xlsx]CF PRB'!$BX$57</v>
      </c>
      <c r="J1505" s="1" t="s">
        <v>816</v>
      </c>
    </row>
    <row r="1506" spans="1:10" x14ac:dyDescent="0.25">
      <c r="A1506" s="6" t="s">
        <v>4</v>
      </c>
      <c r="B1506" s="6">
        <f t="shared" ref="B1506:B1520" si="346">+B1505+1</f>
        <v>2045</v>
      </c>
      <c r="C1506" s="1" t="s">
        <v>14</v>
      </c>
      <c r="D1506" s="2" t="s">
        <v>128</v>
      </c>
      <c r="E1506" s="9" t="str">
        <f t="shared" si="342"/>
        <v>PRB'!</v>
      </c>
      <c r="F1506" s="5" t="str">
        <f t="shared" si="343"/>
        <v>C:\Users\jaime.benazar\Quorum Business Solutions\Ecopetrol Prometeo - Documents\Planning Space Implementation\3. Analysis &amp; Design\Design\FC22\DRR Jaime\QUIFA-CAJÚA\Cajua\[VAS_CAJUA_CF_SEC_20230125.xlsx]CF PRB'!</v>
      </c>
      <c r="G1506" s="6" t="s">
        <v>38</v>
      </c>
      <c r="H1506" s="1">
        <f t="shared" si="344"/>
        <v>58</v>
      </c>
      <c r="I1506" s="1" t="str">
        <f t="shared" si="345"/>
        <v>='C:\Users\jaime.benazar\Quorum Business Solutions\Ecopetrol Prometeo - Documents\Planning Space Implementation\3. Analysis &amp; Design\Design\FC22\DRR Jaime\QUIFA-CAJÚA\Cajua\[VAS_CAJUA_CF_SEC_20230125.xlsx]CF PRB'!$BX$58</v>
      </c>
      <c r="J1506" s="1" t="s">
        <v>817</v>
      </c>
    </row>
    <row r="1507" spans="1:10" x14ac:dyDescent="0.25">
      <c r="A1507" s="6" t="s">
        <v>4</v>
      </c>
      <c r="B1507" s="6">
        <f t="shared" si="346"/>
        <v>2046</v>
      </c>
      <c r="C1507" s="1" t="s">
        <v>14</v>
      </c>
      <c r="D1507" s="2" t="s">
        <v>128</v>
      </c>
      <c r="E1507" s="9" t="str">
        <f t="shared" si="342"/>
        <v>PRB'!</v>
      </c>
      <c r="F1507" s="5" t="str">
        <f t="shared" si="343"/>
        <v>C:\Users\jaime.benazar\Quorum Business Solutions\Ecopetrol Prometeo - Documents\Planning Space Implementation\3. Analysis &amp; Design\Design\FC22\DRR Jaime\QUIFA-CAJÚA\Cajua\[VAS_CAJUA_CF_SEC_20230125.xlsx]CF PRB'!</v>
      </c>
      <c r="G1507" s="6" t="s">
        <v>38</v>
      </c>
      <c r="H1507" s="1">
        <f t="shared" si="344"/>
        <v>59</v>
      </c>
      <c r="I1507" s="1" t="str">
        <f t="shared" si="345"/>
        <v>='C:\Users\jaime.benazar\Quorum Business Solutions\Ecopetrol Prometeo - Documents\Planning Space Implementation\3. Analysis &amp; Design\Design\FC22\DRR Jaime\QUIFA-CAJÚA\Cajua\[VAS_CAJUA_CF_SEC_20230125.xlsx]CF PRB'!$BX$59</v>
      </c>
      <c r="J1507" s="1" t="s">
        <v>818</v>
      </c>
    </row>
    <row r="1508" spans="1:10" x14ac:dyDescent="0.25">
      <c r="A1508" s="6" t="s">
        <v>4</v>
      </c>
      <c r="B1508" s="6">
        <f t="shared" si="346"/>
        <v>2047</v>
      </c>
      <c r="C1508" s="1" t="s">
        <v>14</v>
      </c>
      <c r="D1508" s="2" t="s">
        <v>128</v>
      </c>
      <c r="E1508" s="9" t="str">
        <f t="shared" si="342"/>
        <v>PRB'!</v>
      </c>
      <c r="F1508" s="5" t="str">
        <f t="shared" si="343"/>
        <v>C:\Users\jaime.benazar\Quorum Business Solutions\Ecopetrol Prometeo - Documents\Planning Space Implementation\3. Analysis &amp; Design\Design\FC22\DRR Jaime\QUIFA-CAJÚA\Cajua\[VAS_CAJUA_CF_SEC_20230125.xlsx]CF PRB'!</v>
      </c>
      <c r="G1508" s="6" t="s">
        <v>38</v>
      </c>
      <c r="H1508" s="1">
        <f t="shared" si="344"/>
        <v>60</v>
      </c>
      <c r="I1508" s="1" t="str">
        <f t="shared" si="345"/>
        <v>='C:\Users\jaime.benazar\Quorum Business Solutions\Ecopetrol Prometeo - Documents\Planning Space Implementation\3. Analysis &amp; Design\Design\FC22\DRR Jaime\QUIFA-CAJÚA\Cajua\[VAS_CAJUA_CF_SEC_20230125.xlsx]CF PRB'!$BX$60</v>
      </c>
      <c r="J1508" s="1" t="s">
        <v>819</v>
      </c>
    </row>
    <row r="1509" spans="1:10" x14ac:dyDescent="0.25">
      <c r="A1509" s="6" t="s">
        <v>4</v>
      </c>
      <c r="B1509" s="6">
        <f t="shared" si="346"/>
        <v>2048</v>
      </c>
      <c r="C1509" s="1" t="s">
        <v>14</v>
      </c>
      <c r="D1509" s="2" t="s">
        <v>128</v>
      </c>
      <c r="E1509" s="9" t="str">
        <f t="shared" si="342"/>
        <v>PRB'!</v>
      </c>
      <c r="F1509" s="5" t="str">
        <f t="shared" si="343"/>
        <v>C:\Users\jaime.benazar\Quorum Business Solutions\Ecopetrol Prometeo - Documents\Planning Space Implementation\3. Analysis &amp; Design\Design\FC22\DRR Jaime\QUIFA-CAJÚA\Cajua\[VAS_CAJUA_CF_SEC_20230125.xlsx]CF PRB'!</v>
      </c>
      <c r="G1509" s="6" t="s">
        <v>38</v>
      </c>
      <c r="H1509" s="1">
        <f t="shared" si="344"/>
        <v>61</v>
      </c>
      <c r="I1509" s="1" t="str">
        <f t="shared" si="345"/>
        <v>='C:\Users\jaime.benazar\Quorum Business Solutions\Ecopetrol Prometeo - Documents\Planning Space Implementation\3. Analysis &amp; Design\Design\FC22\DRR Jaime\QUIFA-CAJÚA\Cajua\[VAS_CAJUA_CF_SEC_20230125.xlsx]CF PRB'!$BX$61</v>
      </c>
      <c r="J1509" s="1" t="s">
        <v>820</v>
      </c>
    </row>
    <row r="1510" spans="1:10" x14ac:dyDescent="0.25">
      <c r="A1510" s="6" t="s">
        <v>4</v>
      </c>
      <c r="B1510" s="6">
        <f t="shared" si="346"/>
        <v>2049</v>
      </c>
      <c r="C1510" s="1" t="s">
        <v>14</v>
      </c>
      <c r="D1510" s="2" t="s">
        <v>128</v>
      </c>
      <c r="E1510" s="9" t="str">
        <f t="shared" si="342"/>
        <v>PRB'!</v>
      </c>
      <c r="F1510" s="5" t="str">
        <f t="shared" si="343"/>
        <v>C:\Users\jaime.benazar\Quorum Business Solutions\Ecopetrol Prometeo - Documents\Planning Space Implementation\3. Analysis &amp; Design\Design\FC22\DRR Jaime\QUIFA-CAJÚA\Cajua\[VAS_CAJUA_CF_SEC_20230125.xlsx]CF PRB'!</v>
      </c>
      <c r="G1510" s="6" t="s">
        <v>38</v>
      </c>
      <c r="H1510" s="1">
        <f t="shared" si="344"/>
        <v>62</v>
      </c>
      <c r="I1510" s="1" t="str">
        <f t="shared" si="345"/>
        <v>='C:\Users\jaime.benazar\Quorum Business Solutions\Ecopetrol Prometeo - Documents\Planning Space Implementation\3. Analysis &amp; Design\Design\FC22\DRR Jaime\QUIFA-CAJÚA\Cajua\[VAS_CAJUA_CF_SEC_20230125.xlsx]CF PRB'!$BX$62</v>
      </c>
      <c r="J1510" s="1" t="s">
        <v>821</v>
      </c>
    </row>
    <row r="1511" spans="1:10" x14ac:dyDescent="0.25">
      <c r="A1511" s="6" t="s">
        <v>4</v>
      </c>
      <c r="B1511" s="6">
        <f t="shared" si="346"/>
        <v>2050</v>
      </c>
      <c r="C1511" s="1" t="s">
        <v>14</v>
      </c>
      <c r="D1511" s="2" t="s">
        <v>128</v>
      </c>
      <c r="E1511" s="9" t="str">
        <f t="shared" si="342"/>
        <v>PRB'!</v>
      </c>
      <c r="F1511" s="5" t="str">
        <f t="shared" si="343"/>
        <v>C:\Users\jaime.benazar\Quorum Business Solutions\Ecopetrol Prometeo - Documents\Planning Space Implementation\3. Analysis &amp; Design\Design\FC22\DRR Jaime\QUIFA-CAJÚA\Cajua\[VAS_CAJUA_CF_SEC_20230125.xlsx]CF PRB'!</v>
      </c>
      <c r="G1511" s="6" t="s">
        <v>38</v>
      </c>
      <c r="H1511" s="1">
        <f t="shared" si="344"/>
        <v>63</v>
      </c>
      <c r="I1511" s="1" t="str">
        <f t="shared" si="345"/>
        <v>='C:\Users\jaime.benazar\Quorum Business Solutions\Ecopetrol Prometeo - Documents\Planning Space Implementation\3. Analysis &amp; Design\Design\FC22\DRR Jaime\QUIFA-CAJÚA\Cajua\[VAS_CAJUA_CF_SEC_20230125.xlsx]CF PRB'!$BX$63</v>
      </c>
      <c r="J1511" s="1" t="s">
        <v>822</v>
      </c>
    </row>
    <row r="1512" spans="1:10" x14ac:dyDescent="0.25">
      <c r="A1512" s="6" t="s">
        <v>4</v>
      </c>
      <c r="B1512" s="6">
        <f t="shared" si="346"/>
        <v>2051</v>
      </c>
      <c r="C1512" s="1" t="s">
        <v>14</v>
      </c>
      <c r="D1512" s="2" t="s">
        <v>128</v>
      </c>
      <c r="E1512" s="9" t="str">
        <f t="shared" si="342"/>
        <v>PRB'!</v>
      </c>
      <c r="F1512" s="5" t="str">
        <f t="shared" si="343"/>
        <v>C:\Users\jaime.benazar\Quorum Business Solutions\Ecopetrol Prometeo - Documents\Planning Space Implementation\3. Analysis &amp; Design\Design\FC22\DRR Jaime\QUIFA-CAJÚA\Cajua\[VAS_CAJUA_CF_SEC_20230125.xlsx]CF PRB'!</v>
      </c>
      <c r="G1512" s="6" t="s">
        <v>38</v>
      </c>
      <c r="H1512" s="1">
        <f t="shared" si="344"/>
        <v>64</v>
      </c>
      <c r="I1512" s="1" t="str">
        <f t="shared" si="345"/>
        <v>='C:\Users\jaime.benazar\Quorum Business Solutions\Ecopetrol Prometeo - Documents\Planning Space Implementation\3. Analysis &amp; Design\Design\FC22\DRR Jaime\QUIFA-CAJÚA\Cajua\[VAS_CAJUA_CF_SEC_20230125.xlsx]CF PRB'!$BX$64</v>
      </c>
      <c r="J1512" s="1" t="s">
        <v>823</v>
      </c>
    </row>
    <row r="1513" spans="1:10" x14ac:dyDescent="0.25">
      <c r="A1513" s="6" t="s">
        <v>4</v>
      </c>
      <c r="B1513" s="6">
        <f t="shared" si="346"/>
        <v>2052</v>
      </c>
      <c r="C1513" s="1" t="s">
        <v>14</v>
      </c>
      <c r="D1513" s="2" t="s">
        <v>128</v>
      </c>
      <c r="E1513" s="9" t="str">
        <f t="shared" si="342"/>
        <v>PRB'!</v>
      </c>
      <c r="F1513" s="5" t="str">
        <f t="shared" si="343"/>
        <v>C:\Users\jaime.benazar\Quorum Business Solutions\Ecopetrol Prometeo - Documents\Planning Space Implementation\3. Analysis &amp; Design\Design\FC22\DRR Jaime\QUIFA-CAJÚA\Cajua\[VAS_CAJUA_CF_SEC_20230125.xlsx]CF PRB'!</v>
      </c>
      <c r="G1513" s="6" t="s">
        <v>38</v>
      </c>
      <c r="H1513" s="1">
        <f t="shared" si="344"/>
        <v>65</v>
      </c>
      <c r="I1513" s="1" t="str">
        <f t="shared" si="345"/>
        <v>='C:\Users\jaime.benazar\Quorum Business Solutions\Ecopetrol Prometeo - Documents\Planning Space Implementation\3. Analysis &amp; Design\Design\FC22\DRR Jaime\QUIFA-CAJÚA\Cajua\[VAS_CAJUA_CF_SEC_20230125.xlsx]CF PRB'!$BX$65</v>
      </c>
      <c r="J1513" s="1" t="s">
        <v>824</v>
      </c>
    </row>
    <row r="1514" spans="1:10" x14ac:dyDescent="0.25">
      <c r="A1514" s="6" t="s">
        <v>4</v>
      </c>
      <c r="B1514" s="6">
        <f t="shared" si="346"/>
        <v>2053</v>
      </c>
      <c r="C1514" s="1" t="s">
        <v>14</v>
      </c>
      <c r="D1514" s="2" t="s">
        <v>128</v>
      </c>
      <c r="E1514" s="9" t="str">
        <f t="shared" si="342"/>
        <v>PRB'!</v>
      </c>
      <c r="F1514" s="5" t="str">
        <f t="shared" si="343"/>
        <v>C:\Users\jaime.benazar\Quorum Business Solutions\Ecopetrol Prometeo - Documents\Planning Space Implementation\3. Analysis &amp; Design\Design\FC22\DRR Jaime\QUIFA-CAJÚA\Cajua\[VAS_CAJUA_CF_SEC_20230125.xlsx]CF PRB'!</v>
      </c>
      <c r="G1514" s="6" t="s">
        <v>38</v>
      </c>
      <c r="H1514" s="1">
        <f t="shared" si="344"/>
        <v>66</v>
      </c>
      <c r="I1514" s="1" t="str">
        <f t="shared" si="345"/>
        <v>='C:\Users\jaime.benazar\Quorum Business Solutions\Ecopetrol Prometeo - Documents\Planning Space Implementation\3. Analysis &amp; Design\Design\FC22\DRR Jaime\QUIFA-CAJÚA\Cajua\[VAS_CAJUA_CF_SEC_20230125.xlsx]CF PRB'!$BX$66</v>
      </c>
      <c r="J1514" s="1" t="s">
        <v>825</v>
      </c>
    </row>
    <row r="1515" spans="1:10" x14ac:dyDescent="0.25">
      <c r="A1515" s="6" t="s">
        <v>4</v>
      </c>
      <c r="B1515" s="6">
        <f t="shared" si="346"/>
        <v>2054</v>
      </c>
      <c r="C1515" s="1" t="s">
        <v>14</v>
      </c>
      <c r="D1515" s="2" t="s">
        <v>128</v>
      </c>
      <c r="E1515" s="9" t="str">
        <f t="shared" si="342"/>
        <v>PRB'!</v>
      </c>
      <c r="F1515" s="5" t="str">
        <f t="shared" si="343"/>
        <v>C:\Users\jaime.benazar\Quorum Business Solutions\Ecopetrol Prometeo - Documents\Planning Space Implementation\3. Analysis &amp; Design\Design\FC22\DRR Jaime\QUIFA-CAJÚA\Cajua\[VAS_CAJUA_CF_SEC_20230125.xlsx]CF PRB'!</v>
      </c>
      <c r="G1515" s="6" t="s">
        <v>38</v>
      </c>
      <c r="H1515" s="1">
        <f t="shared" si="344"/>
        <v>67</v>
      </c>
      <c r="I1515" s="1" t="str">
        <f t="shared" si="345"/>
        <v>='C:\Users\jaime.benazar\Quorum Business Solutions\Ecopetrol Prometeo - Documents\Planning Space Implementation\3. Analysis &amp; Design\Design\FC22\DRR Jaime\QUIFA-CAJÚA\Cajua\[VAS_CAJUA_CF_SEC_20230125.xlsx]CF PRB'!$BX$67</v>
      </c>
      <c r="J1515" s="1" t="s">
        <v>826</v>
      </c>
    </row>
    <row r="1516" spans="1:10" x14ac:dyDescent="0.25">
      <c r="A1516" s="6" t="s">
        <v>4</v>
      </c>
      <c r="B1516" s="6">
        <f t="shared" si="346"/>
        <v>2055</v>
      </c>
      <c r="C1516" s="1" t="s">
        <v>14</v>
      </c>
      <c r="D1516" s="2" t="s">
        <v>128</v>
      </c>
      <c r="E1516" s="9" t="str">
        <f t="shared" si="342"/>
        <v>PRB'!</v>
      </c>
      <c r="F1516" s="5" t="str">
        <f t="shared" si="343"/>
        <v>C:\Users\jaime.benazar\Quorum Business Solutions\Ecopetrol Prometeo - Documents\Planning Space Implementation\3. Analysis &amp; Design\Design\FC22\DRR Jaime\QUIFA-CAJÚA\Cajua\[VAS_CAJUA_CF_SEC_20230125.xlsx]CF PRB'!</v>
      </c>
      <c r="G1516" s="6" t="s">
        <v>38</v>
      </c>
      <c r="H1516" s="1">
        <f t="shared" si="344"/>
        <v>68</v>
      </c>
      <c r="I1516" s="1" t="str">
        <f t="shared" si="345"/>
        <v>='C:\Users\jaime.benazar\Quorum Business Solutions\Ecopetrol Prometeo - Documents\Planning Space Implementation\3. Analysis &amp; Design\Design\FC22\DRR Jaime\QUIFA-CAJÚA\Cajua\[VAS_CAJUA_CF_SEC_20230125.xlsx]CF PRB'!$BX$68</v>
      </c>
      <c r="J1516" s="1" t="s">
        <v>827</v>
      </c>
    </row>
    <row r="1517" spans="1:10" x14ac:dyDescent="0.25">
      <c r="A1517" s="6" t="s">
        <v>4</v>
      </c>
      <c r="B1517" s="6">
        <f t="shared" si="346"/>
        <v>2056</v>
      </c>
      <c r="C1517" s="1" t="s">
        <v>14</v>
      </c>
      <c r="D1517" s="2" t="s">
        <v>128</v>
      </c>
      <c r="E1517" s="9" t="str">
        <f t="shared" si="342"/>
        <v>PRB'!</v>
      </c>
      <c r="F1517" s="5" t="str">
        <f t="shared" si="343"/>
        <v>C:\Users\jaime.benazar\Quorum Business Solutions\Ecopetrol Prometeo - Documents\Planning Space Implementation\3. Analysis &amp; Design\Design\FC22\DRR Jaime\QUIFA-CAJÚA\Cajua\[VAS_CAJUA_CF_SEC_20230125.xlsx]CF PRB'!</v>
      </c>
      <c r="G1517" s="6" t="s">
        <v>38</v>
      </c>
      <c r="H1517" s="1">
        <f t="shared" si="344"/>
        <v>69</v>
      </c>
      <c r="I1517" s="1" t="str">
        <f t="shared" si="345"/>
        <v>='C:\Users\jaime.benazar\Quorum Business Solutions\Ecopetrol Prometeo - Documents\Planning Space Implementation\3. Analysis &amp; Design\Design\FC22\DRR Jaime\QUIFA-CAJÚA\Cajua\[VAS_CAJUA_CF_SEC_20230125.xlsx]CF PRB'!$BX$69</v>
      </c>
      <c r="J1517" s="1" t="s">
        <v>828</v>
      </c>
    </row>
    <row r="1518" spans="1:10" x14ac:dyDescent="0.25">
      <c r="A1518" s="6" t="s">
        <v>4</v>
      </c>
      <c r="B1518" s="6">
        <f t="shared" si="346"/>
        <v>2057</v>
      </c>
      <c r="C1518" s="1" t="s">
        <v>14</v>
      </c>
      <c r="D1518" s="2" t="s">
        <v>128</v>
      </c>
      <c r="E1518" s="9" t="str">
        <f t="shared" si="342"/>
        <v>PRB'!</v>
      </c>
      <c r="F1518" s="5" t="str">
        <f t="shared" si="343"/>
        <v>C:\Users\jaime.benazar\Quorum Business Solutions\Ecopetrol Prometeo - Documents\Planning Space Implementation\3. Analysis &amp; Design\Design\FC22\DRR Jaime\QUIFA-CAJÚA\Cajua\[VAS_CAJUA_CF_SEC_20230125.xlsx]CF PRB'!</v>
      </c>
      <c r="G1518" s="6" t="s">
        <v>38</v>
      </c>
      <c r="H1518" s="1">
        <f t="shared" si="344"/>
        <v>70</v>
      </c>
      <c r="I1518" s="1" t="str">
        <f t="shared" si="345"/>
        <v>='C:\Users\jaime.benazar\Quorum Business Solutions\Ecopetrol Prometeo - Documents\Planning Space Implementation\3. Analysis &amp; Design\Design\FC22\DRR Jaime\QUIFA-CAJÚA\Cajua\[VAS_CAJUA_CF_SEC_20230125.xlsx]CF PRB'!$BX$70</v>
      </c>
      <c r="J1518" s="1" t="s">
        <v>829</v>
      </c>
    </row>
    <row r="1519" spans="1:10" x14ac:dyDescent="0.25">
      <c r="A1519" s="6" t="s">
        <v>4</v>
      </c>
      <c r="B1519" s="6">
        <f t="shared" si="346"/>
        <v>2058</v>
      </c>
      <c r="C1519" s="1" t="s">
        <v>14</v>
      </c>
      <c r="D1519" s="2" t="s">
        <v>128</v>
      </c>
      <c r="E1519" s="9" t="str">
        <f t="shared" si="342"/>
        <v>PRB'!</v>
      </c>
      <c r="F1519" s="5" t="str">
        <f t="shared" si="343"/>
        <v>C:\Users\jaime.benazar\Quorum Business Solutions\Ecopetrol Prometeo - Documents\Planning Space Implementation\3. Analysis &amp; Design\Design\FC22\DRR Jaime\QUIFA-CAJÚA\Cajua\[VAS_CAJUA_CF_SEC_20230125.xlsx]CF PRB'!</v>
      </c>
      <c r="G1519" s="6" t="s">
        <v>38</v>
      </c>
      <c r="H1519" s="1">
        <f t="shared" si="344"/>
        <v>71</v>
      </c>
      <c r="I1519" s="1" t="str">
        <f t="shared" si="345"/>
        <v>='C:\Users\jaime.benazar\Quorum Business Solutions\Ecopetrol Prometeo - Documents\Planning Space Implementation\3. Analysis &amp; Design\Design\FC22\DRR Jaime\QUIFA-CAJÚA\Cajua\[VAS_CAJUA_CF_SEC_20230125.xlsx]CF PRB'!$BX$71</v>
      </c>
      <c r="J1519" s="1" t="s">
        <v>830</v>
      </c>
    </row>
    <row r="1520" spans="1:10" x14ac:dyDescent="0.25">
      <c r="A1520" s="6" t="s">
        <v>4</v>
      </c>
      <c r="B1520" s="6">
        <f t="shared" si="346"/>
        <v>2059</v>
      </c>
      <c r="C1520" s="1" t="s">
        <v>14</v>
      </c>
      <c r="D1520" s="2" t="s">
        <v>128</v>
      </c>
      <c r="E1520" s="9" t="str">
        <f t="shared" si="342"/>
        <v>PRB'!</v>
      </c>
      <c r="F1520" s="5" t="str">
        <f t="shared" si="343"/>
        <v>C:\Users\jaime.benazar\Quorum Business Solutions\Ecopetrol Prometeo - Documents\Planning Space Implementation\3. Analysis &amp; Design\Design\FC22\DRR Jaime\QUIFA-CAJÚA\Cajua\[VAS_CAJUA_CF_SEC_20230125.xlsx]CF PRB'!</v>
      </c>
      <c r="G1520" s="6" t="s">
        <v>38</v>
      </c>
      <c r="H1520" s="1">
        <f t="shared" si="344"/>
        <v>72</v>
      </c>
      <c r="I1520" s="1" t="str">
        <f t="shared" si="345"/>
        <v>='C:\Users\jaime.benazar\Quorum Business Solutions\Ecopetrol Prometeo - Documents\Planning Space Implementation\3. Analysis &amp; Design\Design\FC22\DRR Jaime\QUIFA-CAJÚA\Cajua\[VAS_CAJUA_CF_SEC_20230125.xlsx]CF PRB'!$BX$72</v>
      </c>
      <c r="J1520" s="1" t="s">
        <v>831</v>
      </c>
    </row>
    <row r="1521" spans="1:10" x14ac:dyDescent="0.25">
      <c r="A1521" s="6" t="s">
        <v>28</v>
      </c>
      <c r="B1521" s="6"/>
      <c r="C1521" s="1" t="s">
        <v>14</v>
      </c>
      <c r="D1521" s="2"/>
      <c r="E1521" s="9"/>
      <c r="F1521" s="2"/>
      <c r="G1521" s="6"/>
      <c r="H1521" s="1"/>
      <c r="I1521" s="1"/>
      <c r="J1521" s="4"/>
    </row>
    <row r="1522" spans="1:10" x14ac:dyDescent="0.25">
      <c r="A1522" s="6" t="s">
        <v>102</v>
      </c>
      <c r="B1522" s="6">
        <v>2023</v>
      </c>
      <c r="C1522" s="1" t="s">
        <v>14</v>
      </c>
      <c r="D1522" s="2" t="s">
        <v>128</v>
      </c>
      <c r="E1522" s="9" t="str">
        <f t="shared" ref="E1522:E1542" si="347">_xlfn.CONCAT(A1522,"'!")</f>
        <v>PSDP'!</v>
      </c>
      <c r="F1522" s="5" t="str">
        <f t="shared" si="332"/>
        <v>C:\Users\jaime.benazar\Quorum Business Solutions\Ecopetrol Prometeo - Documents\Planning Space Implementation\3. Analysis &amp; Design\Design\FC22\DRR Jaime\QUIFA-CAJÚA\Cajua\[VAS_CAJUA_CF_SEC_20230125.xlsx]CF PSDP'!</v>
      </c>
      <c r="G1522" s="6" t="s">
        <v>38</v>
      </c>
      <c r="H1522" s="1"/>
      <c r="I1522" s="1"/>
      <c r="J1522" s="1"/>
    </row>
    <row r="1523" spans="1:10" x14ac:dyDescent="0.25">
      <c r="A1523" s="6" t="s">
        <v>102</v>
      </c>
      <c r="B1523" s="6">
        <f>+B1522+1</f>
        <v>2024</v>
      </c>
      <c r="C1523" s="1" t="s">
        <v>14</v>
      </c>
      <c r="D1523" s="2" t="s">
        <v>128</v>
      </c>
      <c r="E1523" s="9" t="str">
        <f t="shared" si="347"/>
        <v>PSDP'!</v>
      </c>
      <c r="F1523" s="5" t="str">
        <f t="shared" si="332"/>
        <v>C:\Users\jaime.benazar\Quorum Business Solutions\Ecopetrol Prometeo - Documents\Planning Space Implementation\3. Analysis &amp; Design\Design\FC22\DRR Jaime\QUIFA-CAJÚA\Cajua\[VAS_CAJUA_CF_SEC_20230125.xlsx]CF PSDP'!</v>
      </c>
      <c r="G1523" s="6" t="s">
        <v>38</v>
      </c>
      <c r="H1523" s="1"/>
      <c r="I1523" s="1"/>
      <c r="J1523" s="1"/>
    </row>
    <row r="1524" spans="1:10" x14ac:dyDescent="0.25">
      <c r="A1524" s="6" t="s">
        <v>102</v>
      </c>
      <c r="B1524" s="6">
        <f t="shared" ref="B1524:B1535" si="348">+B1523+1</f>
        <v>2025</v>
      </c>
      <c r="C1524" s="1" t="s">
        <v>14</v>
      </c>
      <c r="D1524" s="2" t="s">
        <v>128</v>
      </c>
      <c r="E1524" s="9" t="str">
        <f t="shared" si="347"/>
        <v>PSDP'!</v>
      </c>
      <c r="F1524" s="5" t="str">
        <f t="shared" si="332"/>
        <v>C:\Users\jaime.benazar\Quorum Business Solutions\Ecopetrol Prometeo - Documents\Planning Space Implementation\3. Analysis &amp; Design\Design\FC22\DRR Jaime\QUIFA-CAJÚA\Cajua\[VAS_CAJUA_CF_SEC_20230125.xlsx]CF PSDP'!</v>
      </c>
      <c r="G1524" s="6" t="s">
        <v>38</v>
      </c>
      <c r="H1524" s="1"/>
      <c r="I1524" s="1"/>
      <c r="J1524" s="1"/>
    </row>
    <row r="1525" spans="1:10" x14ac:dyDescent="0.25">
      <c r="A1525" s="6" t="s">
        <v>102</v>
      </c>
      <c r="B1525" s="6">
        <f t="shared" si="348"/>
        <v>2026</v>
      </c>
      <c r="C1525" s="1" t="s">
        <v>14</v>
      </c>
      <c r="D1525" s="2" t="s">
        <v>128</v>
      </c>
      <c r="E1525" s="9" t="str">
        <f t="shared" si="347"/>
        <v>PSDP'!</v>
      </c>
      <c r="F1525" s="5" t="str">
        <f t="shared" si="332"/>
        <v>C:\Users\jaime.benazar\Quorum Business Solutions\Ecopetrol Prometeo - Documents\Planning Space Implementation\3. Analysis &amp; Design\Design\FC22\DRR Jaime\QUIFA-CAJÚA\Cajua\[VAS_CAJUA_CF_SEC_20230125.xlsx]CF PSDP'!</v>
      </c>
      <c r="G1525" s="6" t="s">
        <v>38</v>
      </c>
      <c r="H1525" s="1"/>
      <c r="I1525" s="1"/>
      <c r="J1525" s="1"/>
    </row>
    <row r="1526" spans="1:10" x14ac:dyDescent="0.25">
      <c r="A1526" s="6" t="s">
        <v>102</v>
      </c>
      <c r="B1526" s="6">
        <f t="shared" si="348"/>
        <v>2027</v>
      </c>
      <c r="C1526" s="1" t="s">
        <v>14</v>
      </c>
      <c r="D1526" s="2" t="s">
        <v>128</v>
      </c>
      <c r="E1526" s="9" t="str">
        <f t="shared" si="347"/>
        <v>PSDP'!</v>
      </c>
      <c r="F1526" s="5" t="str">
        <f t="shared" si="332"/>
        <v>C:\Users\jaime.benazar\Quorum Business Solutions\Ecopetrol Prometeo - Documents\Planning Space Implementation\3. Analysis &amp; Design\Design\FC22\DRR Jaime\QUIFA-CAJÚA\Cajua\[VAS_CAJUA_CF_SEC_20230125.xlsx]CF PSDP'!</v>
      </c>
      <c r="G1526" s="6" t="s">
        <v>38</v>
      </c>
      <c r="H1526" s="1"/>
      <c r="I1526" s="1"/>
      <c r="J1526" s="1"/>
    </row>
    <row r="1527" spans="1:10" x14ac:dyDescent="0.25">
      <c r="A1527" s="6" t="s">
        <v>102</v>
      </c>
      <c r="B1527" s="6">
        <f t="shared" si="348"/>
        <v>2028</v>
      </c>
      <c r="C1527" s="1" t="s">
        <v>14</v>
      </c>
      <c r="D1527" s="2" t="s">
        <v>128</v>
      </c>
      <c r="E1527" s="9" t="str">
        <f t="shared" si="347"/>
        <v>PSDP'!</v>
      </c>
      <c r="F1527" s="5" t="str">
        <f t="shared" si="332"/>
        <v>C:\Users\jaime.benazar\Quorum Business Solutions\Ecopetrol Prometeo - Documents\Planning Space Implementation\3. Analysis &amp; Design\Design\FC22\DRR Jaime\QUIFA-CAJÚA\Cajua\[VAS_CAJUA_CF_SEC_20230125.xlsx]CF PSDP'!</v>
      </c>
      <c r="G1527" s="6" t="s">
        <v>38</v>
      </c>
      <c r="H1527" s="1"/>
      <c r="I1527" s="1"/>
      <c r="J1527" s="1"/>
    </row>
    <row r="1528" spans="1:10" x14ac:dyDescent="0.25">
      <c r="A1528" s="6" t="s">
        <v>102</v>
      </c>
      <c r="B1528" s="6">
        <f t="shared" si="348"/>
        <v>2029</v>
      </c>
      <c r="C1528" s="1" t="s">
        <v>14</v>
      </c>
      <c r="D1528" s="2" t="s">
        <v>128</v>
      </c>
      <c r="E1528" s="9" t="str">
        <f t="shared" si="347"/>
        <v>PSDP'!</v>
      </c>
      <c r="F1528" s="5" t="str">
        <f t="shared" si="332"/>
        <v>C:\Users\jaime.benazar\Quorum Business Solutions\Ecopetrol Prometeo - Documents\Planning Space Implementation\3. Analysis &amp; Design\Design\FC22\DRR Jaime\QUIFA-CAJÚA\Cajua\[VAS_CAJUA_CF_SEC_20230125.xlsx]CF PSDP'!</v>
      </c>
      <c r="G1528" s="6" t="s">
        <v>38</v>
      </c>
      <c r="H1528" s="1"/>
      <c r="I1528" s="1"/>
      <c r="J1528" s="1"/>
    </row>
    <row r="1529" spans="1:10" x14ac:dyDescent="0.25">
      <c r="A1529" s="6" t="s">
        <v>102</v>
      </c>
      <c r="B1529" s="6">
        <f t="shared" si="348"/>
        <v>2030</v>
      </c>
      <c r="C1529" s="1" t="s">
        <v>14</v>
      </c>
      <c r="D1529" s="2" t="s">
        <v>128</v>
      </c>
      <c r="E1529" s="9" t="str">
        <f t="shared" si="347"/>
        <v>PSDP'!</v>
      </c>
      <c r="F1529" s="5" t="str">
        <f t="shared" si="332"/>
        <v>C:\Users\jaime.benazar\Quorum Business Solutions\Ecopetrol Prometeo - Documents\Planning Space Implementation\3. Analysis &amp; Design\Design\FC22\DRR Jaime\QUIFA-CAJÚA\Cajua\[VAS_CAJUA_CF_SEC_20230125.xlsx]CF PSDP'!</v>
      </c>
      <c r="G1529" s="6" t="s">
        <v>38</v>
      </c>
      <c r="H1529" s="1"/>
      <c r="I1529" s="1"/>
      <c r="J1529" s="1"/>
    </row>
    <row r="1530" spans="1:10" x14ac:dyDescent="0.25">
      <c r="A1530" s="6" t="s">
        <v>102</v>
      </c>
      <c r="B1530" s="6">
        <f t="shared" si="348"/>
        <v>2031</v>
      </c>
      <c r="C1530" s="1" t="s">
        <v>14</v>
      </c>
      <c r="D1530" s="2" t="s">
        <v>128</v>
      </c>
      <c r="E1530" s="9" t="str">
        <f t="shared" si="347"/>
        <v>PSDP'!</v>
      </c>
      <c r="F1530" s="5" t="str">
        <f t="shared" si="332"/>
        <v>C:\Users\jaime.benazar\Quorum Business Solutions\Ecopetrol Prometeo - Documents\Planning Space Implementation\3. Analysis &amp; Design\Design\FC22\DRR Jaime\QUIFA-CAJÚA\Cajua\[VAS_CAJUA_CF_SEC_20230125.xlsx]CF PSDP'!</v>
      </c>
      <c r="G1530" s="6" t="s">
        <v>38</v>
      </c>
      <c r="H1530" s="1"/>
      <c r="I1530" s="1"/>
      <c r="J1530" s="1"/>
    </row>
    <row r="1531" spans="1:10" x14ac:dyDescent="0.25">
      <c r="A1531" s="6" t="s">
        <v>102</v>
      </c>
      <c r="B1531" s="6">
        <f t="shared" si="348"/>
        <v>2032</v>
      </c>
      <c r="C1531" s="1" t="s">
        <v>14</v>
      </c>
      <c r="D1531" s="2" t="s">
        <v>128</v>
      </c>
      <c r="E1531" s="9" t="str">
        <f t="shared" si="347"/>
        <v>PSDP'!</v>
      </c>
      <c r="F1531" s="5" t="str">
        <f t="shared" si="332"/>
        <v>C:\Users\jaime.benazar\Quorum Business Solutions\Ecopetrol Prometeo - Documents\Planning Space Implementation\3. Analysis &amp; Design\Design\FC22\DRR Jaime\QUIFA-CAJÚA\Cajua\[VAS_CAJUA_CF_SEC_20230125.xlsx]CF PSDP'!</v>
      </c>
      <c r="G1531" s="6" t="s">
        <v>38</v>
      </c>
      <c r="H1531" s="1"/>
      <c r="I1531" s="1"/>
      <c r="J1531" s="1"/>
    </row>
    <row r="1532" spans="1:10" x14ac:dyDescent="0.25">
      <c r="A1532" s="6" t="s">
        <v>102</v>
      </c>
      <c r="B1532" s="6">
        <f t="shared" si="348"/>
        <v>2033</v>
      </c>
      <c r="C1532" s="1" t="s">
        <v>14</v>
      </c>
      <c r="D1532" s="2" t="s">
        <v>128</v>
      </c>
      <c r="E1532" s="9" t="str">
        <f t="shared" si="347"/>
        <v>PSDP'!</v>
      </c>
      <c r="F1532" s="5" t="str">
        <f t="shared" si="332"/>
        <v>C:\Users\jaime.benazar\Quorum Business Solutions\Ecopetrol Prometeo - Documents\Planning Space Implementation\3. Analysis &amp; Design\Design\FC22\DRR Jaime\QUIFA-CAJÚA\Cajua\[VAS_CAJUA_CF_SEC_20230125.xlsx]CF PSDP'!</v>
      </c>
      <c r="G1532" s="6" t="s">
        <v>38</v>
      </c>
      <c r="H1532" s="1"/>
      <c r="I1532" s="1"/>
      <c r="J1532" s="1"/>
    </row>
    <row r="1533" spans="1:10" x14ac:dyDescent="0.25">
      <c r="A1533" s="6" t="s">
        <v>102</v>
      </c>
      <c r="B1533" s="6">
        <f t="shared" si="348"/>
        <v>2034</v>
      </c>
      <c r="C1533" s="1" t="s">
        <v>14</v>
      </c>
      <c r="D1533" s="2" t="s">
        <v>128</v>
      </c>
      <c r="E1533" s="9" t="str">
        <f t="shared" si="347"/>
        <v>PSDP'!</v>
      </c>
      <c r="F1533" s="5" t="str">
        <f t="shared" si="332"/>
        <v>C:\Users\jaime.benazar\Quorum Business Solutions\Ecopetrol Prometeo - Documents\Planning Space Implementation\3. Analysis &amp; Design\Design\FC22\DRR Jaime\QUIFA-CAJÚA\Cajua\[VAS_CAJUA_CF_SEC_20230125.xlsx]CF PSDP'!</v>
      </c>
      <c r="G1533" s="6" t="s">
        <v>38</v>
      </c>
      <c r="H1533" s="1"/>
      <c r="I1533" s="1"/>
      <c r="J1533" s="1"/>
    </row>
    <row r="1534" spans="1:10" x14ac:dyDescent="0.25">
      <c r="A1534" s="6" t="s">
        <v>102</v>
      </c>
      <c r="B1534" s="6">
        <f t="shared" si="348"/>
        <v>2035</v>
      </c>
      <c r="C1534" s="1" t="s">
        <v>14</v>
      </c>
      <c r="D1534" s="2" t="s">
        <v>128</v>
      </c>
      <c r="E1534" s="9" t="str">
        <f t="shared" si="347"/>
        <v>PSDP'!</v>
      </c>
      <c r="F1534" s="5" t="str">
        <f t="shared" si="332"/>
        <v>C:\Users\jaime.benazar\Quorum Business Solutions\Ecopetrol Prometeo - Documents\Planning Space Implementation\3. Analysis &amp; Design\Design\FC22\DRR Jaime\QUIFA-CAJÚA\Cajua\[VAS_CAJUA_CF_SEC_20230125.xlsx]CF PSDP'!</v>
      </c>
      <c r="G1534" s="6" t="s">
        <v>38</v>
      </c>
      <c r="H1534" s="1"/>
      <c r="I1534" s="1"/>
      <c r="J1534" s="1"/>
    </row>
    <row r="1535" spans="1:10" x14ac:dyDescent="0.25">
      <c r="A1535" s="6" t="s">
        <v>102</v>
      </c>
      <c r="B1535" s="6">
        <f t="shared" si="348"/>
        <v>2036</v>
      </c>
      <c r="C1535" s="1" t="s">
        <v>14</v>
      </c>
      <c r="D1535" s="2" t="s">
        <v>128</v>
      </c>
      <c r="E1535" s="9" t="str">
        <f t="shared" si="347"/>
        <v>PSDP'!</v>
      </c>
      <c r="F1535" s="5" t="str">
        <f t="shared" si="332"/>
        <v>C:\Users\jaime.benazar\Quorum Business Solutions\Ecopetrol Prometeo - Documents\Planning Space Implementation\3. Analysis &amp; Design\Design\FC22\DRR Jaime\QUIFA-CAJÚA\Cajua\[VAS_CAJUA_CF_SEC_20230125.xlsx]CF PSDP'!</v>
      </c>
      <c r="G1535" s="6" t="s">
        <v>38</v>
      </c>
      <c r="H1535" s="1"/>
      <c r="I1535" s="1"/>
      <c r="J1535" s="1"/>
    </row>
    <row r="1536" spans="1:10" x14ac:dyDescent="0.25">
      <c r="A1536" s="6" t="s">
        <v>102</v>
      </c>
      <c r="B1536" s="6">
        <f>+B1535+1</f>
        <v>2037</v>
      </c>
      <c r="C1536" s="1" t="s">
        <v>14</v>
      </c>
      <c r="D1536" s="2" t="s">
        <v>128</v>
      </c>
      <c r="E1536" s="9" t="str">
        <f t="shared" si="347"/>
        <v>PSDP'!</v>
      </c>
      <c r="F1536" s="5" t="str">
        <f t="shared" si="332"/>
        <v>C:\Users\jaime.benazar\Quorum Business Solutions\Ecopetrol Prometeo - Documents\Planning Space Implementation\3. Analysis &amp; Design\Design\FC22\DRR Jaime\QUIFA-CAJÚA\Cajua\[VAS_CAJUA_CF_SEC_20230125.xlsx]CF PSDP'!</v>
      </c>
      <c r="G1536" s="6" t="s">
        <v>38</v>
      </c>
      <c r="H1536" s="1"/>
      <c r="I1536" s="1"/>
      <c r="J1536" s="1"/>
    </row>
    <row r="1537" spans="1:10" x14ac:dyDescent="0.25">
      <c r="A1537" s="6" t="s">
        <v>102</v>
      </c>
      <c r="B1537" s="6">
        <f t="shared" ref="B1537:B1539" si="349">+B1536+1</f>
        <v>2038</v>
      </c>
      <c r="C1537" s="1" t="s">
        <v>14</v>
      </c>
      <c r="D1537" s="2" t="s">
        <v>128</v>
      </c>
      <c r="E1537" s="9" t="str">
        <f t="shared" si="347"/>
        <v>PSDP'!</v>
      </c>
      <c r="F1537" s="5" t="str">
        <f t="shared" si="332"/>
        <v>C:\Users\jaime.benazar\Quorum Business Solutions\Ecopetrol Prometeo - Documents\Planning Space Implementation\3. Analysis &amp; Design\Design\FC22\DRR Jaime\QUIFA-CAJÚA\Cajua\[VAS_CAJUA_CF_SEC_20230125.xlsx]CF PSDP'!</v>
      </c>
      <c r="G1537" s="6" t="s">
        <v>38</v>
      </c>
      <c r="H1537" s="1"/>
      <c r="I1537" s="1"/>
      <c r="J1537" s="1"/>
    </row>
    <row r="1538" spans="1:10" x14ac:dyDescent="0.25">
      <c r="A1538" s="6" t="s">
        <v>102</v>
      </c>
      <c r="B1538" s="6">
        <f t="shared" si="349"/>
        <v>2039</v>
      </c>
      <c r="C1538" s="1" t="s">
        <v>14</v>
      </c>
      <c r="D1538" s="2" t="s">
        <v>128</v>
      </c>
      <c r="E1538" s="9" t="str">
        <f t="shared" si="347"/>
        <v>PSDP'!</v>
      </c>
      <c r="F1538" s="5" t="str">
        <f t="shared" ref="F1538:F1542" si="350">_xlfn.CONCAT(D1538," ",E1538)</f>
        <v>C:\Users\jaime.benazar\Quorum Business Solutions\Ecopetrol Prometeo - Documents\Planning Space Implementation\3. Analysis &amp; Design\Design\FC22\DRR Jaime\QUIFA-CAJÚA\Cajua\[VAS_CAJUA_CF_SEC_20230125.xlsx]CF PSDP'!</v>
      </c>
      <c r="G1538" s="6" t="s">
        <v>38</v>
      </c>
      <c r="H1538" s="1"/>
      <c r="I1538" s="1"/>
      <c r="J1538" s="1"/>
    </row>
    <row r="1539" spans="1:10" x14ac:dyDescent="0.25">
      <c r="A1539" s="6" t="s">
        <v>102</v>
      </c>
      <c r="B1539" s="6">
        <f t="shared" si="349"/>
        <v>2040</v>
      </c>
      <c r="C1539" s="1" t="s">
        <v>14</v>
      </c>
      <c r="D1539" s="2" t="s">
        <v>128</v>
      </c>
      <c r="E1539" s="9" t="str">
        <f t="shared" si="347"/>
        <v>PSDP'!</v>
      </c>
      <c r="F1539" s="5" t="str">
        <f t="shared" si="350"/>
        <v>C:\Users\jaime.benazar\Quorum Business Solutions\Ecopetrol Prometeo - Documents\Planning Space Implementation\3. Analysis &amp; Design\Design\FC22\DRR Jaime\QUIFA-CAJÚA\Cajua\[VAS_CAJUA_CF_SEC_20230125.xlsx]CF PSDP'!</v>
      </c>
      <c r="G1539" s="6" t="s">
        <v>38</v>
      </c>
      <c r="H1539" s="1"/>
      <c r="I1539" s="1"/>
      <c r="J1539" s="1"/>
    </row>
    <row r="1540" spans="1:10" x14ac:dyDescent="0.25">
      <c r="A1540" s="6" t="s">
        <v>102</v>
      </c>
      <c r="B1540" s="6">
        <f>+B1539+1</f>
        <v>2041</v>
      </c>
      <c r="C1540" s="1" t="s">
        <v>14</v>
      </c>
      <c r="D1540" s="2" t="s">
        <v>128</v>
      </c>
      <c r="E1540" s="9" t="str">
        <f t="shared" si="347"/>
        <v>PSDP'!</v>
      </c>
      <c r="F1540" s="5" t="str">
        <f t="shared" si="350"/>
        <v>C:\Users\jaime.benazar\Quorum Business Solutions\Ecopetrol Prometeo - Documents\Planning Space Implementation\3. Analysis &amp; Design\Design\FC22\DRR Jaime\QUIFA-CAJÚA\Cajua\[VAS_CAJUA_CF_SEC_20230125.xlsx]CF PSDP'!</v>
      </c>
      <c r="G1540" s="6" t="s">
        <v>38</v>
      </c>
      <c r="H1540" s="1"/>
      <c r="I1540" s="1"/>
      <c r="J1540" s="1"/>
    </row>
    <row r="1541" spans="1:10" x14ac:dyDescent="0.25">
      <c r="A1541" s="6" t="s">
        <v>102</v>
      </c>
      <c r="B1541" s="6">
        <f t="shared" ref="B1541:B1542" si="351">+B1540+1</f>
        <v>2042</v>
      </c>
      <c r="C1541" s="1" t="s">
        <v>14</v>
      </c>
      <c r="D1541" s="2" t="s">
        <v>128</v>
      </c>
      <c r="E1541" s="9" t="str">
        <f t="shared" si="347"/>
        <v>PSDP'!</v>
      </c>
      <c r="F1541" s="5" t="str">
        <f t="shared" si="350"/>
        <v>C:\Users\jaime.benazar\Quorum Business Solutions\Ecopetrol Prometeo - Documents\Planning Space Implementation\3. Analysis &amp; Design\Design\FC22\DRR Jaime\QUIFA-CAJÚA\Cajua\[VAS_CAJUA_CF_SEC_20230125.xlsx]CF PSDP'!</v>
      </c>
      <c r="G1541" s="6" t="s">
        <v>38</v>
      </c>
      <c r="H1541" s="1"/>
      <c r="I1541" s="1"/>
      <c r="J1541" s="1"/>
    </row>
    <row r="1542" spans="1:10" x14ac:dyDescent="0.25">
      <c r="A1542" s="6" t="s">
        <v>102</v>
      </c>
      <c r="B1542" s="6">
        <f t="shared" si="351"/>
        <v>2043</v>
      </c>
      <c r="C1542" s="1" t="s">
        <v>14</v>
      </c>
      <c r="D1542" s="2" t="s">
        <v>128</v>
      </c>
      <c r="E1542" s="9" t="str">
        <f t="shared" si="347"/>
        <v>PSDP'!</v>
      </c>
      <c r="F1542" s="5" t="str">
        <f t="shared" si="350"/>
        <v>C:\Users\jaime.benazar\Quorum Business Solutions\Ecopetrol Prometeo - Documents\Planning Space Implementation\3. Analysis &amp; Design\Design\FC22\DRR Jaime\QUIFA-CAJÚA\Cajua\[VAS_CAJUA_CF_SEC_20230125.xlsx]CF PSDP'!</v>
      </c>
      <c r="G1542" s="6" t="s">
        <v>38</v>
      </c>
      <c r="H1542" s="1"/>
      <c r="I1542" s="1"/>
      <c r="J1542" s="1"/>
    </row>
    <row r="1543" spans="1:10" x14ac:dyDescent="0.25">
      <c r="A1543" s="6" t="s">
        <v>102</v>
      </c>
      <c r="B1543" s="6">
        <f>+B1542+1</f>
        <v>2044</v>
      </c>
      <c r="C1543" s="1" t="s">
        <v>14</v>
      </c>
      <c r="D1543" s="2" t="s">
        <v>128</v>
      </c>
      <c r="E1543" s="9" t="str">
        <f t="shared" ref="E1543:E1558" si="352">_xlfn.CONCAT(A1543,"'!")</f>
        <v>PSDP'!</v>
      </c>
      <c r="F1543" s="5" t="str">
        <f t="shared" ref="F1543:F1558" si="353">_xlfn.CONCAT(D1543," ",E1543)</f>
        <v>C:\Users\jaime.benazar\Quorum Business Solutions\Ecopetrol Prometeo - Documents\Planning Space Implementation\3. Analysis &amp; Design\Design\FC22\DRR Jaime\QUIFA-CAJÚA\Cajua\[VAS_CAJUA_CF_SEC_20230125.xlsx]CF PSDP'!</v>
      </c>
      <c r="G1543" s="6" t="s">
        <v>38</v>
      </c>
      <c r="H1543" s="1"/>
      <c r="I1543" s="1"/>
      <c r="J1543" s="1"/>
    </row>
    <row r="1544" spans="1:10" x14ac:dyDescent="0.25">
      <c r="A1544" s="6" t="s">
        <v>102</v>
      </c>
      <c r="B1544" s="6">
        <f t="shared" ref="B1544:B1558" si="354">+B1543+1</f>
        <v>2045</v>
      </c>
      <c r="C1544" s="1" t="s">
        <v>14</v>
      </c>
      <c r="D1544" s="2" t="s">
        <v>128</v>
      </c>
      <c r="E1544" s="9" t="str">
        <f t="shared" si="352"/>
        <v>PSDP'!</v>
      </c>
      <c r="F1544" s="5" t="str">
        <f t="shared" si="353"/>
        <v>C:\Users\jaime.benazar\Quorum Business Solutions\Ecopetrol Prometeo - Documents\Planning Space Implementation\3. Analysis &amp; Design\Design\FC22\DRR Jaime\QUIFA-CAJÚA\Cajua\[VAS_CAJUA_CF_SEC_20230125.xlsx]CF PSDP'!</v>
      </c>
      <c r="G1544" s="6" t="s">
        <v>38</v>
      </c>
      <c r="H1544" s="1"/>
      <c r="I1544" s="1"/>
      <c r="J1544" s="1"/>
    </row>
    <row r="1545" spans="1:10" x14ac:dyDescent="0.25">
      <c r="A1545" s="6" t="s">
        <v>102</v>
      </c>
      <c r="B1545" s="6">
        <f t="shared" si="354"/>
        <v>2046</v>
      </c>
      <c r="C1545" s="1" t="s">
        <v>14</v>
      </c>
      <c r="D1545" s="2" t="s">
        <v>128</v>
      </c>
      <c r="E1545" s="9" t="str">
        <f t="shared" si="352"/>
        <v>PSDP'!</v>
      </c>
      <c r="F1545" s="5" t="str">
        <f t="shared" si="353"/>
        <v>C:\Users\jaime.benazar\Quorum Business Solutions\Ecopetrol Prometeo - Documents\Planning Space Implementation\3. Analysis &amp; Design\Design\FC22\DRR Jaime\QUIFA-CAJÚA\Cajua\[VAS_CAJUA_CF_SEC_20230125.xlsx]CF PSDP'!</v>
      </c>
      <c r="G1545" s="6" t="s">
        <v>38</v>
      </c>
      <c r="H1545" s="1"/>
      <c r="I1545" s="1"/>
      <c r="J1545" s="1"/>
    </row>
    <row r="1546" spans="1:10" x14ac:dyDescent="0.25">
      <c r="A1546" s="6" t="s">
        <v>102</v>
      </c>
      <c r="B1546" s="6">
        <f t="shared" si="354"/>
        <v>2047</v>
      </c>
      <c r="C1546" s="1" t="s">
        <v>14</v>
      </c>
      <c r="D1546" s="2" t="s">
        <v>128</v>
      </c>
      <c r="E1546" s="9" t="str">
        <f t="shared" si="352"/>
        <v>PSDP'!</v>
      </c>
      <c r="F1546" s="5" t="str">
        <f t="shared" si="353"/>
        <v>C:\Users\jaime.benazar\Quorum Business Solutions\Ecopetrol Prometeo - Documents\Planning Space Implementation\3. Analysis &amp; Design\Design\FC22\DRR Jaime\QUIFA-CAJÚA\Cajua\[VAS_CAJUA_CF_SEC_20230125.xlsx]CF PSDP'!</v>
      </c>
      <c r="G1546" s="6" t="s">
        <v>38</v>
      </c>
      <c r="H1546" s="1"/>
      <c r="I1546" s="1"/>
      <c r="J1546" s="1"/>
    </row>
    <row r="1547" spans="1:10" x14ac:dyDescent="0.25">
      <c r="A1547" s="6" t="s">
        <v>102</v>
      </c>
      <c r="B1547" s="6">
        <f t="shared" si="354"/>
        <v>2048</v>
      </c>
      <c r="C1547" s="1" t="s">
        <v>14</v>
      </c>
      <c r="D1547" s="2" t="s">
        <v>128</v>
      </c>
      <c r="E1547" s="9" t="str">
        <f t="shared" si="352"/>
        <v>PSDP'!</v>
      </c>
      <c r="F1547" s="5" t="str">
        <f t="shared" si="353"/>
        <v>C:\Users\jaime.benazar\Quorum Business Solutions\Ecopetrol Prometeo - Documents\Planning Space Implementation\3. Analysis &amp; Design\Design\FC22\DRR Jaime\QUIFA-CAJÚA\Cajua\[VAS_CAJUA_CF_SEC_20230125.xlsx]CF PSDP'!</v>
      </c>
      <c r="G1547" s="6" t="s">
        <v>38</v>
      </c>
      <c r="H1547" s="1"/>
      <c r="I1547" s="1"/>
      <c r="J1547" s="1"/>
    </row>
    <row r="1548" spans="1:10" x14ac:dyDescent="0.25">
      <c r="A1548" s="6" t="s">
        <v>102</v>
      </c>
      <c r="B1548" s="6">
        <f t="shared" si="354"/>
        <v>2049</v>
      </c>
      <c r="C1548" s="1" t="s">
        <v>14</v>
      </c>
      <c r="D1548" s="2" t="s">
        <v>128</v>
      </c>
      <c r="E1548" s="9" t="str">
        <f t="shared" si="352"/>
        <v>PSDP'!</v>
      </c>
      <c r="F1548" s="5" t="str">
        <f t="shared" si="353"/>
        <v>C:\Users\jaime.benazar\Quorum Business Solutions\Ecopetrol Prometeo - Documents\Planning Space Implementation\3. Analysis &amp; Design\Design\FC22\DRR Jaime\QUIFA-CAJÚA\Cajua\[VAS_CAJUA_CF_SEC_20230125.xlsx]CF PSDP'!</v>
      </c>
      <c r="G1548" s="6" t="s">
        <v>38</v>
      </c>
      <c r="H1548" s="1"/>
      <c r="I1548" s="1"/>
      <c r="J1548" s="1"/>
    </row>
    <row r="1549" spans="1:10" x14ac:dyDescent="0.25">
      <c r="A1549" s="6" t="s">
        <v>102</v>
      </c>
      <c r="B1549" s="6">
        <f t="shared" si="354"/>
        <v>2050</v>
      </c>
      <c r="C1549" s="1" t="s">
        <v>14</v>
      </c>
      <c r="D1549" s="2" t="s">
        <v>128</v>
      </c>
      <c r="E1549" s="9" t="str">
        <f t="shared" si="352"/>
        <v>PSDP'!</v>
      </c>
      <c r="F1549" s="5" t="str">
        <f t="shared" si="353"/>
        <v>C:\Users\jaime.benazar\Quorum Business Solutions\Ecopetrol Prometeo - Documents\Planning Space Implementation\3. Analysis &amp; Design\Design\FC22\DRR Jaime\QUIFA-CAJÚA\Cajua\[VAS_CAJUA_CF_SEC_20230125.xlsx]CF PSDP'!</v>
      </c>
      <c r="G1549" s="6" t="s">
        <v>38</v>
      </c>
      <c r="H1549" s="1"/>
      <c r="I1549" s="1"/>
      <c r="J1549" s="1"/>
    </row>
    <row r="1550" spans="1:10" x14ac:dyDescent="0.25">
      <c r="A1550" s="6" t="s">
        <v>102</v>
      </c>
      <c r="B1550" s="6">
        <f t="shared" si="354"/>
        <v>2051</v>
      </c>
      <c r="C1550" s="1" t="s">
        <v>14</v>
      </c>
      <c r="D1550" s="2" t="s">
        <v>128</v>
      </c>
      <c r="E1550" s="9" t="str">
        <f t="shared" si="352"/>
        <v>PSDP'!</v>
      </c>
      <c r="F1550" s="5" t="str">
        <f t="shared" si="353"/>
        <v>C:\Users\jaime.benazar\Quorum Business Solutions\Ecopetrol Prometeo - Documents\Planning Space Implementation\3. Analysis &amp; Design\Design\FC22\DRR Jaime\QUIFA-CAJÚA\Cajua\[VAS_CAJUA_CF_SEC_20230125.xlsx]CF PSDP'!</v>
      </c>
      <c r="G1550" s="6" t="s">
        <v>38</v>
      </c>
      <c r="H1550" s="1"/>
      <c r="I1550" s="1"/>
      <c r="J1550" s="1"/>
    </row>
    <row r="1551" spans="1:10" x14ac:dyDescent="0.25">
      <c r="A1551" s="6" t="s">
        <v>102</v>
      </c>
      <c r="B1551" s="6">
        <f t="shared" si="354"/>
        <v>2052</v>
      </c>
      <c r="C1551" s="1" t="s">
        <v>14</v>
      </c>
      <c r="D1551" s="2" t="s">
        <v>128</v>
      </c>
      <c r="E1551" s="9" t="str">
        <f t="shared" si="352"/>
        <v>PSDP'!</v>
      </c>
      <c r="F1551" s="5" t="str">
        <f t="shared" si="353"/>
        <v>C:\Users\jaime.benazar\Quorum Business Solutions\Ecopetrol Prometeo - Documents\Planning Space Implementation\3. Analysis &amp; Design\Design\FC22\DRR Jaime\QUIFA-CAJÚA\Cajua\[VAS_CAJUA_CF_SEC_20230125.xlsx]CF PSDP'!</v>
      </c>
      <c r="G1551" s="6" t="s">
        <v>38</v>
      </c>
      <c r="H1551" s="1"/>
      <c r="I1551" s="1"/>
      <c r="J1551" s="1"/>
    </row>
    <row r="1552" spans="1:10" x14ac:dyDescent="0.25">
      <c r="A1552" s="6" t="s">
        <v>102</v>
      </c>
      <c r="B1552" s="6">
        <f t="shared" si="354"/>
        <v>2053</v>
      </c>
      <c r="C1552" s="1" t="s">
        <v>14</v>
      </c>
      <c r="D1552" s="2" t="s">
        <v>128</v>
      </c>
      <c r="E1552" s="9" t="str">
        <f t="shared" si="352"/>
        <v>PSDP'!</v>
      </c>
      <c r="F1552" s="5" t="str">
        <f t="shared" si="353"/>
        <v>C:\Users\jaime.benazar\Quorum Business Solutions\Ecopetrol Prometeo - Documents\Planning Space Implementation\3. Analysis &amp; Design\Design\FC22\DRR Jaime\QUIFA-CAJÚA\Cajua\[VAS_CAJUA_CF_SEC_20230125.xlsx]CF PSDP'!</v>
      </c>
      <c r="G1552" s="6" t="s">
        <v>38</v>
      </c>
      <c r="H1552" s="1"/>
      <c r="I1552" s="1"/>
      <c r="J1552" s="1"/>
    </row>
    <row r="1553" spans="1:10" x14ac:dyDescent="0.25">
      <c r="A1553" s="6" t="s">
        <v>102</v>
      </c>
      <c r="B1553" s="6">
        <f t="shared" si="354"/>
        <v>2054</v>
      </c>
      <c r="C1553" s="1" t="s">
        <v>14</v>
      </c>
      <c r="D1553" s="2" t="s">
        <v>128</v>
      </c>
      <c r="E1553" s="9" t="str">
        <f t="shared" si="352"/>
        <v>PSDP'!</v>
      </c>
      <c r="F1553" s="5" t="str">
        <f t="shared" si="353"/>
        <v>C:\Users\jaime.benazar\Quorum Business Solutions\Ecopetrol Prometeo - Documents\Planning Space Implementation\3. Analysis &amp; Design\Design\FC22\DRR Jaime\QUIFA-CAJÚA\Cajua\[VAS_CAJUA_CF_SEC_20230125.xlsx]CF PSDP'!</v>
      </c>
      <c r="G1553" s="6" t="s">
        <v>38</v>
      </c>
      <c r="H1553" s="1"/>
      <c r="I1553" s="1"/>
      <c r="J1553" s="1"/>
    </row>
    <row r="1554" spans="1:10" x14ac:dyDescent="0.25">
      <c r="A1554" s="6" t="s">
        <v>102</v>
      </c>
      <c r="B1554" s="6">
        <f t="shared" si="354"/>
        <v>2055</v>
      </c>
      <c r="C1554" s="1" t="s">
        <v>14</v>
      </c>
      <c r="D1554" s="2" t="s">
        <v>128</v>
      </c>
      <c r="E1554" s="9" t="str">
        <f t="shared" si="352"/>
        <v>PSDP'!</v>
      </c>
      <c r="F1554" s="5" t="str">
        <f t="shared" si="353"/>
        <v>C:\Users\jaime.benazar\Quorum Business Solutions\Ecopetrol Prometeo - Documents\Planning Space Implementation\3. Analysis &amp; Design\Design\FC22\DRR Jaime\QUIFA-CAJÚA\Cajua\[VAS_CAJUA_CF_SEC_20230125.xlsx]CF PSDP'!</v>
      </c>
      <c r="G1554" s="6" t="s">
        <v>38</v>
      </c>
      <c r="H1554" s="1"/>
      <c r="I1554" s="1"/>
      <c r="J1554" s="1"/>
    </row>
    <row r="1555" spans="1:10" x14ac:dyDescent="0.25">
      <c r="A1555" s="6" t="s">
        <v>102</v>
      </c>
      <c r="B1555" s="6">
        <f t="shared" si="354"/>
        <v>2056</v>
      </c>
      <c r="C1555" s="1" t="s">
        <v>14</v>
      </c>
      <c r="D1555" s="2" t="s">
        <v>128</v>
      </c>
      <c r="E1555" s="9" t="str">
        <f t="shared" si="352"/>
        <v>PSDP'!</v>
      </c>
      <c r="F1555" s="5" t="str">
        <f t="shared" si="353"/>
        <v>C:\Users\jaime.benazar\Quorum Business Solutions\Ecopetrol Prometeo - Documents\Planning Space Implementation\3. Analysis &amp; Design\Design\FC22\DRR Jaime\QUIFA-CAJÚA\Cajua\[VAS_CAJUA_CF_SEC_20230125.xlsx]CF PSDP'!</v>
      </c>
      <c r="G1555" s="6" t="s">
        <v>38</v>
      </c>
      <c r="H1555" s="1"/>
      <c r="I1555" s="1"/>
      <c r="J1555" s="1"/>
    </row>
    <row r="1556" spans="1:10" x14ac:dyDescent="0.25">
      <c r="A1556" s="6" t="s">
        <v>102</v>
      </c>
      <c r="B1556" s="6">
        <f t="shared" si="354"/>
        <v>2057</v>
      </c>
      <c r="C1556" s="1" t="s">
        <v>14</v>
      </c>
      <c r="D1556" s="2" t="s">
        <v>128</v>
      </c>
      <c r="E1556" s="9" t="str">
        <f t="shared" si="352"/>
        <v>PSDP'!</v>
      </c>
      <c r="F1556" s="5" t="str">
        <f t="shared" si="353"/>
        <v>C:\Users\jaime.benazar\Quorum Business Solutions\Ecopetrol Prometeo - Documents\Planning Space Implementation\3. Analysis &amp; Design\Design\FC22\DRR Jaime\QUIFA-CAJÚA\Cajua\[VAS_CAJUA_CF_SEC_20230125.xlsx]CF PSDP'!</v>
      </c>
      <c r="G1556" s="6" t="s">
        <v>38</v>
      </c>
      <c r="H1556" s="1"/>
      <c r="I1556" s="1"/>
      <c r="J1556" s="1"/>
    </row>
    <row r="1557" spans="1:10" x14ac:dyDescent="0.25">
      <c r="A1557" s="6" t="s">
        <v>102</v>
      </c>
      <c r="B1557" s="6">
        <f t="shared" si="354"/>
        <v>2058</v>
      </c>
      <c r="C1557" s="1" t="s">
        <v>14</v>
      </c>
      <c r="D1557" s="2" t="s">
        <v>128</v>
      </c>
      <c r="E1557" s="9" t="str">
        <f t="shared" si="352"/>
        <v>PSDP'!</v>
      </c>
      <c r="F1557" s="5" t="str">
        <f t="shared" si="353"/>
        <v>C:\Users\jaime.benazar\Quorum Business Solutions\Ecopetrol Prometeo - Documents\Planning Space Implementation\3. Analysis &amp; Design\Design\FC22\DRR Jaime\QUIFA-CAJÚA\Cajua\[VAS_CAJUA_CF_SEC_20230125.xlsx]CF PSDP'!</v>
      </c>
      <c r="G1557" s="6" t="s">
        <v>38</v>
      </c>
      <c r="H1557" s="1"/>
      <c r="I1557" s="1"/>
      <c r="J1557" s="1"/>
    </row>
    <row r="1558" spans="1:10" x14ac:dyDescent="0.25">
      <c r="A1558" s="6" t="s">
        <v>102</v>
      </c>
      <c r="B1558" s="6">
        <f t="shared" si="354"/>
        <v>2059</v>
      </c>
      <c r="C1558" s="1" t="s">
        <v>14</v>
      </c>
      <c r="D1558" s="2" t="s">
        <v>128</v>
      </c>
      <c r="E1558" s="9" t="str">
        <f t="shared" si="352"/>
        <v>PSDP'!</v>
      </c>
      <c r="F1558" s="5" t="str">
        <f t="shared" si="353"/>
        <v>C:\Users\jaime.benazar\Quorum Business Solutions\Ecopetrol Prometeo - Documents\Planning Space Implementation\3. Analysis &amp; Design\Design\FC22\DRR Jaime\QUIFA-CAJÚA\Cajua\[VAS_CAJUA_CF_SEC_20230125.xlsx]CF PSDP'!</v>
      </c>
      <c r="G1558" s="6" t="s">
        <v>38</v>
      </c>
      <c r="H1558" s="1"/>
      <c r="I1558" s="1"/>
      <c r="J1558" s="1"/>
    </row>
    <row r="1559" spans="1:10" x14ac:dyDescent="0.25">
      <c r="A1559" s="6" t="s">
        <v>28</v>
      </c>
      <c r="B1559" s="6"/>
      <c r="C1559" s="1" t="s">
        <v>14</v>
      </c>
      <c r="D1559" s="2"/>
      <c r="E1559" s="9"/>
      <c r="F1559" s="2"/>
      <c r="G1559" s="6"/>
      <c r="H1559" s="1"/>
      <c r="I1559" s="1"/>
      <c r="J1559" s="1"/>
    </row>
    <row r="1560" spans="1:10" x14ac:dyDescent="0.25">
      <c r="A1560" s="6" t="s">
        <v>103</v>
      </c>
      <c r="B1560" s="6">
        <v>2023</v>
      </c>
      <c r="C1560" s="1" t="s">
        <v>14</v>
      </c>
      <c r="D1560" s="2" t="s">
        <v>128</v>
      </c>
      <c r="E1560" s="9" t="str">
        <f t="shared" ref="E1560:E1580" si="355">_xlfn.CONCAT(A1560,"'!")</f>
        <v>PSNP'!</v>
      </c>
      <c r="F1560" s="5" t="str">
        <f t="shared" ref="F1560:F1580" si="356">_xlfn.CONCAT(D1560," ",E1560)</f>
        <v>C:\Users\jaime.benazar\Quorum Business Solutions\Ecopetrol Prometeo - Documents\Planning Space Implementation\3. Analysis &amp; Design\Design\FC22\DRR Jaime\QUIFA-CAJÚA\Cajua\[VAS_CAJUA_CF_SEC_20230125.xlsx]CF PSNP'!</v>
      </c>
      <c r="G1560" s="6" t="s">
        <v>38</v>
      </c>
      <c r="H1560" s="1"/>
      <c r="I1560" s="1"/>
      <c r="J1560" s="1"/>
    </row>
    <row r="1561" spans="1:10" x14ac:dyDescent="0.25">
      <c r="A1561" s="6" t="s">
        <v>103</v>
      </c>
      <c r="B1561" s="6">
        <f>+B1560+1</f>
        <v>2024</v>
      </c>
      <c r="C1561" s="1" t="s">
        <v>14</v>
      </c>
      <c r="D1561" s="2" t="s">
        <v>128</v>
      </c>
      <c r="E1561" s="9" t="str">
        <f t="shared" si="355"/>
        <v>PSNP'!</v>
      </c>
      <c r="F1561" s="5" t="str">
        <f t="shared" si="356"/>
        <v>C:\Users\jaime.benazar\Quorum Business Solutions\Ecopetrol Prometeo - Documents\Planning Space Implementation\3. Analysis &amp; Design\Design\FC22\DRR Jaime\QUIFA-CAJÚA\Cajua\[VAS_CAJUA_CF_SEC_20230125.xlsx]CF PSNP'!</v>
      </c>
      <c r="G1561" s="6" t="s">
        <v>38</v>
      </c>
      <c r="H1561" s="1"/>
      <c r="I1561" s="1"/>
      <c r="J1561" s="1"/>
    </row>
    <row r="1562" spans="1:10" x14ac:dyDescent="0.25">
      <c r="A1562" s="6" t="s">
        <v>103</v>
      </c>
      <c r="B1562" s="6">
        <f t="shared" ref="B1562:B1573" si="357">+B1561+1</f>
        <v>2025</v>
      </c>
      <c r="C1562" s="1" t="s">
        <v>14</v>
      </c>
      <c r="D1562" s="2" t="s">
        <v>128</v>
      </c>
      <c r="E1562" s="9" t="str">
        <f t="shared" si="355"/>
        <v>PSNP'!</v>
      </c>
      <c r="F1562" s="5" t="str">
        <f t="shared" si="356"/>
        <v>C:\Users\jaime.benazar\Quorum Business Solutions\Ecopetrol Prometeo - Documents\Planning Space Implementation\3. Analysis &amp; Design\Design\FC22\DRR Jaime\QUIFA-CAJÚA\Cajua\[VAS_CAJUA_CF_SEC_20230125.xlsx]CF PSNP'!</v>
      </c>
      <c r="G1562" s="6" t="s">
        <v>38</v>
      </c>
      <c r="H1562" s="1"/>
      <c r="I1562" s="1"/>
      <c r="J1562" s="1"/>
    </row>
    <row r="1563" spans="1:10" x14ac:dyDescent="0.25">
      <c r="A1563" s="6" t="s">
        <v>103</v>
      </c>
      <c r="B1563" s="6">
        <f t="shared" si="357"/>
        <v>2026</v>
      </c>
      <c r="C1563" s="1" t="s">
        <v>14</v>
      </c>
      <c r="D1563" s="2" t="s">
        <v>128</v>
      </c>
      <c r="E1563" s="9" t="str">
        <f t="shared" si="355"/>
        <v>PSNP'!</v>
      </c>
      <c r="F1563" s="5" t="str">
        <f t="shared" si="356"/>
        <v>C:\Users\jaime.benazar\Quorum Business Solutions\Ecopetrol Prometeo - Documents\Planning Space Implementation\3. Analysis &amp; Design\Design\FC22\DRR Jaime\QUIFA-CAJÚA\Cajua\[VAS_CAJUA_CF_SEC_20230125.xlsx]CF PSNP'!</v>
      </c>
      <c r="G1563" s="6" t="s">
        <v>38</v>
      </c>
      <c r="H1563" s="1"/>
      <c r="I1563" s="1"/>
      <c r="J1563" s="1"/>
    </row>
    <row r="1564" spans="1:10" x14ac:dyDescent="0.25">
      <c r="A1564" s="6" t="s">
        <v>103</v>
      </c>
      <c r="B1564" s="6">
        <f t="shared" si="357"/>
        <v>2027</v>
      </c>
      <c r="C1564" s="1" t="s">
        <v>14</v>
      </c>
      <c r="D1564" s="2" t="s">
        <v>128</v>
      </c>
      <c r="E1564" s="9" t="str">
        <f t="shared" si="355"/>
        <v>PSNP'!</v>
      </c>
      <c r="F1564" s="5" t="str">
        <f t="shared" si="356"/>
        <v>C:\Users\jaime.benazar\Quorum Business Solutions\Ecopetrol Prometeo - Documents\Planning Space Implementation\3. Analysis &amp; Design\Design\FC22\DRR Jaime\QUIFA-CAJÚA\Cajua\[VAS_CAJUA_CF_SEC_20230125.xlsx]CF PSNP'!</v>
      </c>
      <c r="G1564" s="6" t="s">
        <v>38</v>
      </c>
      <c r="H1564" s="1"/>
      <c r="I1564" s="1"/>
      <c r="J1564" s="1"/>
    </row>
    <row r="1565" spans="1:10" x14ac:dyDescent="0.25">
      <c r="A1565" s="6" t="s">
        <v>103</v>
      </c>
      <c r="B1565" s="6">
        <f t="shared" si="357"/>
        <v>2028</v>
      </c>
      <c r="C1565" s="1" t="s">
        <v>14</v>
      </c>
      <c r="D1565" s="2" t="s">
        <v>128</v>
      </c>
      <c r="E1565" s="9" t="str">
        <f t="shared" si="355"/>
        <v>PSNP'!</v>
      </c>
      <c r="F1565" s="5" t="str">
        <f t="shared" si="356"/>
        <v>C:\Users\jaime.benazar\Quorum Business Solutions\Ecopetrol Prometeo - Documents\Planning Space Implementation\3. Analysis &amp; Design\Design\FC22\DRR Jaime\QUIFA-CAJÚA\Cajua\[VAS_CAJUA_CF_SEC_20230125.xlsx]CF PSNP'!</v>
      </c>
      <c r="G1565" s="6" t="s">
        <v>38</v>
      </c>
      <c r="H1565" s="1"/>
      <c r="I1565" s="1"/>
      <c r="J1565" s="1"/>
    </row>
    <row r="1566" spans="1:10" x14ac:dyDescent="0.25">
      <c r="A1566" s="6" t="s">
        <v>103</v>
      </c>
      <c r="B1566" s="6">
        <f t="shared" si="357"/>
        <v>2029</v>
      </c>
      <c r="C1566" s="1" t="s">
        <v>14</v>
      </c>
      <c r="D1566" s="2" t="s">
        <v>128</v>
      </c>
      <c r="E1566" s="9" t="str">
        <f t="shared" si="355"/>
        <v>PSNP'!</v>
      </c>
      <c r="F1566" s="5" t="str">
        <f t="shared" si="356"/>
        <v>C:\Users\jaime.benazar\Quorum Business Solutions\Ecopetrol Prometeo - Documents\Planning Space Implementation\3. Analysis &amp; Design\Design\FC22\DRR Jaime\QUIFA-CAJÚA\Cajua\[VAS_CAJUA_CF_SEC_20230125.xlsx]CF PSNP'!</v>
      </c>
      <c r="G1566" s="6" t="s">
        <v>38</v>
      </c>
      <c r="H1566" s="1"/>
      <c r="I1566" s="1"/>
      <c r="J1566" s="1"/>
    </row>
    <row r="1567" spans="1:10" x14ac:dyDescent="0.25">
      <c r="A1567" s="6" t="s">
        <v>103</v>
      </c>
      <c r="B1567" s="6">
        <f t="shared" si="357"/>
        <v>2030</v>
      </c>
      <c r="C1567" s="1" t="s">
        <v>14</v>
      </c>
      <c r="D1567" s="2" t="s">
        <v>128</v>
      </c>
      <c r="E1567" s="9" t="str">
        <f t="shared" si="355"/>
        <v>PSNP'!</v>
      </c>
      <c r="F1567" s="5" t="str">
        <f t="shared" si="356"/>
        <v>C:\Users\jaime.benazar\Quorum Business Solutions\Ecopetrol Prometeo - Documents\Planning Space Implementation\3. Analysis &amp; Design\Design\FC22\DRR Jaime\QUIFA-CAJÚA\Cajua\[VAS_CAJUA_CF_SEC_20230125.xlsx]CF PSNP'!</v>
      </c>
      <c r="G1567" s="6" t="s">
        <v>38</v>
      </c>
      <c r="H1567" s="1"/>
      <c r="I1567" s="1"/>
      <c r="J1567" s="1"/>
    </row>
    <row r="1568" spans="1:10" x14ac:dyDescent="0.25">
      <c r="A1568" s="6" t="s">
        <v>103</v>
      </c>
      <c r="B1568" s="6">
        <f t="shared" si="357"/>
        <v>2031</v>
      </c>
      <c r="C1568" s="1" t="s">
        <v>14</v>
      </c>
      <c r="D1568" s="2" t="s">
        <v>128</v>
      </c>
      <c r="E1568" s="9" t="str">
        <f t="shared" si="355"/>
        <v>PSNP'!</v>
      </c>
      <c r="F1568" s="5" t="str">
        <f t="shared" si="356"/>
        <v>C:\Users\jaime.benazar\Quorum Business Solutions\Ecopetrol Prometeo - Documents\Planning Space Implementation\3. Analysis &amp; Design\Design\FC22\DRR Jaime\QUIFA-CAJÚA\Cajua\[VAS_CAJUA_CF_SEC_20230125.xlsx]CF PSNP'!</v>
      </c>
      <c r="G1568" s="6" t="s">
        <v>38</v>
      </c>
      <c r="H1568" s="1"/>
      <c r="I1568" s="1"/>
      <c r="J1568" s="1"/>
    </row>
    <row r="1569" spans="1:10" x14ac:dyDescent="0.25">
      <c r="A1569" s="6" t="s">
        <v>103</v>
      </c>
      <c r="B1569" s="6">
        <f t="shared" si="357"/>
        <v>2032</v>
      </c>
      <c r="C1569" s="1" t="s">
        <v>14</v>
      </c>
      <c r="D1569" s="2" t="s">
        <v>128</v>
      </c>
      <c r="E1569" s="9" t="str">
        <f t="shared" si="355"/>
        <v>PSNP'!</v>
      </c>
      <c r="F1569" s="5" t="str">
        <f t="shared" si="356"/>
        <v>C:\Users\jaime.benazar\Quorum Business Solutions\Ecopetrol Prometeo - Documents\Planning Space Implementation\3. Analysis &amp; Design\Design\FC22\DRR Jaime\QUIFA-CAJÚA\Cajua\[VAS_CAJUA_CF_SEC_20230125.xlsx]CF PSNP'!</v>
      </c>
      <c r="G1569" s="6" t="s">
        <v>38</v>
      </c>
      <c r="H1569" s="1"/>
      <c r="I1569" s="1"/>
      <c r="J1569" s="1"/>
    </row>
    <row r="1570" spans="1:10" x14ac:dyDescent="0.25">
      <c r="A1570" s="6" t="s">
        <v>103</v>
      </c>
      <c r="B1570" s="6">
        <f t="shared" si="357"/>
        <v>2033</v>
      </c>
      <c r="C1570" s="1" t="s">
        <v>14</v>
      </c>
      <c r="D1570" s="2" t="s">
        <v>128</v>
      </c>
      <c r="E1570" s="9" t="str">
        <f t="shared" si="355"/>
        <v>PSNP'!</v>
      </c>
      <c r="F1570" s="5" t="str">
        <f t="shared" si="356"/>
        <v>C:\Users\jaime.benazar\Quorum Business Solutions\Ecopetrol Prometeo - Documents\Planning Space Implementation\3. Analysis &amp; Design\Design\FC22\DRR Jaime\QUIFA-CAJÚA\Cajua\[VAS_CAJUA_CF_SEC_20230125.xlsx]CF PSNP'!</v>
      </c>
      <c r="G1570" s="6" t="s">
        <v>38</v>
      </c>
      <c r="H1570" s="1"/>
      <c r="I1570" s="1"/>
      <c r="J1570" s="1"/>
    </row>
    <row r="1571" spans="1:10" x14ac:dyDescent="0.25">
      <c r="A1571" s="6" t="s">
        <v>103</v>
      </c>
      <c r="B1571" s="6">
        <f t="shared" si="357"/>
        <v>2034</v>
      </c>
      <c r="C1571" s="1" t="s">
        <v>14</v>
      </c>
      <c r="D1571" s="2" t="s">
        <v>128</v>
      </c>
      <c r="E1571" s="9" t="str">
        <f t="shared" si="355"/>
        <v>PSNP'!</v>
      </c>
      <c r="F1571" s="5" t="str">
        <f t="shared" si="356"/>
        <v>C:\Users\jaime.benazar\Quorum Business Solutions\Ecopetrol Prometeo - Documents\Planning Space Implementation\3. Analysis &amp; Design\Design\FC22\DRR Jaime\QUIFA-CAJÚA\Cajua\[VAS_CAJUA_CF_SEC_20230125.xlsx]CF PSNP'!</v>
      </c>
      <c r="G1571" s="6" t="s">
        <v>38</v>
      </c>
      <c r="H1571" s="1"/>
      <c r="I1571" s="1"/>
      <c r="J1571" s="1"/>
    </row>
    <row r="1572" spans="1:10" x14ac:dyDescent="0.25">
      <c r="A1572" s="6" t="s">
        <v>103</v>
      </c>
      <c r="B1572" s="6">
        <f t="shared" si="357"/>
        <v>2035</v>
      </c>
      <c r="C1572" s="1" t="s">
        <v>14</v>
      </c>
      <c r="D1572" s="2" t="s">
        <v>128</v>
      </c>
      <c r="E1572" s="9" t="str">
        <f t="shared" si="355"/>
        <v>PSNP'!</v>
      </c>
      <c r="F1572" s="5" t="str">
        <f t="shared" si="356"/>
        <v>C:\Users\jaime.benazar\Quorum Business Solutions\Ecopetrol Prometeo - Documents\Planning Space Implementation\3. Analysis &amp; Design\Design\FC22\DRR Jaime\QUIFA-CAJÚA\Cajua\[VAS_CAJUA_CF_SEC_20230125.xlsx]CF PSNP'!</v>
      </c>
      <c r="G1572" s="6" t="s">
        <v>38</v>
      </c>
      <c r="H1572" s="1"/>
      <c r="I1572" s="1"/>
      <c r="J1572" s="1"/>
    </row>
    <row r="1573" spans="1:10" x14ac:dyDescent="0.25">
      <c r="A1573" s="6" t="s">
        <v>103</v>
      </c>
      <c r="B1573" s="6">
        <f t="shared" si="357"/>
        <v>2036</v>
      </c>
      <c r="C1573" s="1" t="s">
        <v>14</v>
      </c>
      <c r="D1573" s="2" t="s">
        <v>128</v>
      </c>
      <c r="E1573" s="9" t="str">
        <f t="shared" si="355"/>
        <v>PSNP'!</v>
      </c>
      <c r="F1573" s="5" t="str">
        <f t="shared" si="356"/>
        <v>C:\Users\jaime.benazar\Quorum Business Solutions\Ecopetrol Prometeo - Documents\Planning Space Implementation\3. Analysis &amp; Design\Design\FC22\DRR Jaime\QUIFA-CAJÚA\Cajua\[VAS_CAJUA_CF_SEC_20230125.xlsx]CF PSNP'!</v>
      </c>
      <c r="G1573" s="6" t="s">
        <v>38</v>
      </c>
      <c r="H1573" s="1"/>
      <c r="I1573" s="1"/>
      <c r="J1573" s="1"/>
    </row>
    <row r="1574" spans="1:10" x14ac:dyDescent="0.25">
      <c r="A1574" s="6" t="s">
        <v>103</v>
      </c>
      <c r="B1574" s="6">
        <f>+B1573+1</f>
        <v>2037</v>
      </c>
      <c r="C1574" s="1" t="s">
        <v>14</v>
      </c>
      <c r="D1574" s="2" t="s">
        <v>128</v>
      </c>
      <c r="E1574" s="9" t="str">
        <f t="shared" si="355"/>
        <v>PSNP'!</v>
      </c>
      <c r="F1574" s="5" t="str">
        <f t="shared" si="356"/>
        <v>C:\Users\jaime.benazar\Quorum Business Solutions\Ecopetrol Prometeo - Documents\Planning Space Implementation\3. Analysis &amp; Design\Design\FC22\DRR Jaime\QUIFA-CAJÚA\Cajua\[VAS_CAJUA_CF_SEC_20230125.xlsx]CF PSNP'!</v>
      </c>
      <c r="G1574" s="6" t="s">
        <v>38</v>
      </c>
      <c r="H1574" s="1"/>
      <c r="I1574" s="1"/>
      <c r="J1574" s="1"/>
    </row>
    <row r="1575" spans="1:10" x14ac:dyDescent="0.25">
      <c r="A1575" s="6" t="s">
        <v>103</v>
      </c>
      <c r="B1575" s="6">
        <f t="shared" ref="B1575:B1577" si="358">+B1574+1</f>
        <v>2038</v>
      </c>
      <c r="C1575" s="1" t="s">
        <v>14</v>
      </c>
      <c r="D1575" s="2" t="s">
        <v>128</v>
      </c>
      <c r="E1575" s="9" t="str">
        <f t="shared" si="355"/>
        <v>PSNP'!</v>
      </c>
      <c r="F1575" s="5" t="str">
        <f t="shared" si="356"/>
        <v>C:\Users\jaime.benazar\Quorum Business Solutions\Ecopetrol Prometeo - Documents\Planning Space Implementation\3. Analysis &amp; Design\Design\FC22\DRR Jaime\QUIFA-CAJÚA\Cajua\[VAS_CAJUA_CF_SEC_20230125.xlsx]CF PSNP'!</v>
      </c>
      <c r="G1575" s="6" t="s">
        <v>38</v>
      </c>
      <c r="H1575" s="1"/>
      <c r="I1575" s="1"/>
      <c r="J1575" s="1"/>
    </row>
    <row r="1576" spans="1:10" x14ac:dyDescent="0.25">
      <c r="A1576" s="6" t="s">
        <v>103</v>
      </c>
      <c r="B1576" s="6">
        <f t="shared" si="358"/>
        <v>2039</v>
      </c>
      <c r="C1576" s="1" t="s">
        <v>14</v>
      </c>
      <c r="D1576" s="2" t="s">
        <v>128</v>
      </c>
      <c r="E1576" s="9" t="str">
        <f t="shared" si="355"/>
        <v>PSNP'!</v>
      </c>
      <c r="F1576" s="5" t="str">
        <f t="shared" si="356"/>
        <v>C:\Users\jaime.benazar\Quorum Business Solutions\Ecopetrol Prometeo - Documents\Planning Space Implementation\3. Analysis &amp; Design\Design\FC22\DRR Jaime\QUIFA-CAJÚA\Cajua\[VAS_CAJUA_CF_SEC_20230125.xlsx]CF PSNP'!</v>
      </c>
      <c r="G1576" s="6" t="s">
        <v>38</v>
      </c>
      <c r="H1576" s="1"/>
      <c r="I1576" s="1"/>
      <c r="J1576" s="1"/>
    </row>
    <row r="1577" spans="1:10" x14ac:dyDescent="0.25">
      <c r="A1577" s="6" t="s">
        <v>103</v>
      </c>
      <c r="B1577" s="6">
        <f t="shared" si="358"/>
        <v>2040</v>
      </c>
      <c r="C1577" s="1" t="s">
        <v>14</v>
      </c>
      <c r="D1577" s="2" t="s">
        <v>128</v>
      </c>
      <c r="E1577" s="9" t="str">
        <f t="shared" si="355"/>
        <v>PSNP'!</v>
      </c>
      <c r="F1577" s="5" t="str">
        <f t="shared" si="356"/>
        <v>C:\Users\jaime.benazar\Quorum Business Solutions\Ecopetrol Prometeo - Documents\Planning Space Implementation\3. Analysis &amp; Design\Design\FC22\DRR Jaime\QUIFA-CAJÚA\Cajua\[VAS_CAJUA_CF_SEC_20230125.xlsx]CF PSNP'!</v>
      </c>
      <c r="G1577" s="6" t="s">
        <v>38</v>
      </c>
      <c r="H1577" s="1"/>
      <c r="I1577" s="1"/>
      <c r="J1577" s="1"/>
    </row>
    <row r="1578" spans="1:10" x14ac:dyDescent="0.25">
      <c r="A1578" s="6" t="s">
        <v>103</v>
      </c>
      <c r="B1578" s="6">
        <f>+B1577+1</f>
        <v>2041</v>
      </c>
      <c r="C1578" s="1" t="s">
        <v>14</v>
      </c>
      <c r="D1578" s="2" t="s">
        <v>128</v>
      </c>
      <c r="E1578" s="9" t="str">
        <f t="shared" si="355"/>
        <v>PSNP'!</v>
      </c>
      <c r="F1578" s="5" t="str">
        <f t="shared" si="356"/>
        <v>C:\Users\jaime.benazar\Quorum Business Solutions\Ecopetrol Prometeo - Documents\Planning Space Implementation\3. Analysis &amp; Design\Design\FC22\DRR Jaime\QUIFA-CAJÚA\Cajua\[VAS_CAJUA_CF_SEC_20230125.xlsx]CF PSNP'!</v>
      </c>
      <c r="G1578" s="6" t="s">
        <v>38</v>
      </c>
      <c r="H1578" s="1"/>
      <c r="I1578" s="1"/>
      <c r="J1578" s="1"/>
    </row>
    <row r="1579" spans="1:10" x14ac:dyDescent="0.25">
      <c r="A1579" s="6" t="s">
        <v>103</v>
      </c>
      <c r="B1579" s="6">
        <f t="shared" ref="B1579:B1580" si="359">+B1578+1</f>
        <v>2042</v>
      </c>
      <c r="C1579" s="1" t="s">
        <v>14</v>
      </c>
      <c r="D1579" s="2" t="s">
        <v>128</v>
      </c>
      <c r="E1579" s="9" t="str">
        <f t="shared" si="355"/>
        <v>PSNP'!</v>
      </c>
      <c r="F1579" s="5" t="str">
        <f t="shared" si="356"/>
        <v>C:\Users\jaime.benazar\Quorum Business Solutions\Ecopetrol Prometeo - Documents\Planning Space Implementation\3. Analysis &amp; Design\Design\FC22\DRR Jaime\QUIFA-CAJÚA\Cajua\[VAS_CAJUA_CF_SEC_20230125.xlsx]CF PSNP'!</v>
      </c>
      <c r="G1579" s="6" t="s">
        <v>38</v>
      </c>
      <c r="H1579" s="1"/>
      <c r="I1579" s="1"/>
      <c r="J1579" s="1"/>
    </row>
    <row r="1580" spans="1:10" x14ac:dyDescent="0.25">
      <c r="A1580" s="6" t="s">
        <v>103</v>
      </c>
      <c r="B1580" s="6">
        <f t="shared" si="359"/>
        <v>2043</v>
      </c>
      <c r="C1580" s="1" t="s">
        <v>14</v>
      </c>
      <c r="D1580" s="2" t="s">
        <v>128</v>
      </c>
      <c r="E1580" s="9" t="str">
        <f t="shared" si="355"/>
        <v>PSNP'!</v>
      </c>
      <c r="F1580" s="5" t="str">
        <f t="shared" si="356"/>
        <v>C:\Users\jaime.benazar\Quorum Business Solutions\Ecopetrol Prometeo - Documents\Planning Space Implementation\3. Analysis &amp; Design\Design\FC22\DRR Jaime\QUIFA-CAJÚA\Cajua\[VAS_CAJUA_CF_SEC_20230125.xlsx]CF PSNP'!</v>
      </c>
      <c r="G1580" s="6" t="s">
        <v>38</v>
      </c>
      <c r="H1580" s="1"/>
      <c r="I1580" s="1"/>
      <c r="J1580" s="1"/>
    </row>
    <row r="1581" spans="1:10" x14ac:dyDescent="0.25">
      <c r="A1581" s="6" t="s">
        <v>103</v>
      </c>
      <c r="B1581" s="6">
        <f>+B1580+1</f>
        <v>2044</v>
      </c>
      <c r="C1581" s="1" t="s">
        <v>14</v>
      </c>
      <c r="D1581" s="2" t="s">
        <v>128</v>
      </c>
      <c r="E1581" s="9" t="str">
        <f t="shared" ref="E1581:E1596" si="360">_xlfn.CONCAT(A1581,"'!")</f>
        <v>PSNP'!</v>
      </c>
      <c r="F1581" s="5" t="str">
        <f t="shared" ref="F1581:F1596" si="361">_xlfn.CONCAT(D1581," ",E1581)</f>
        <v>C:\Users\jaime.benazar\Quorum Business Solutions\Ecopetrol Prometeo - Documents\Planning Space Implementation\3. Analysis &amp; Design\Design\FC22\DRR Jaime\QUIFA-CAJÚA\Cajua\[VAS_CAJUA_CF_SEC_20230125.xlsx]CF PSNP'!</v>
      </c>
      <c r="G1581" s="6" t="s">
        <v>38</v>
      </c>
      <c r="H1581" s="1"/>
      <c r="I1581" s="1"/>
      <c r="J1581" s="1"/>
    </row>
    <row r="1582" spans="1:10" x14ac:dyDescent="0.25">
      <c r="A1582" s="6" t="s">
        <v>103</v>
      </c>
      <c r="B1582" s="6">
        <f t="shared" ref="B1582:B1596" si="362">+B1581+1</f>
        <v>2045</v>
      </c>
      <c r="C1582" s="1" t="s">
        <v>14</v>
      </c>
      <c r="D1582" s="2" t="s">
        <v>128</v>
      </c>
      <c r="E1582" s="9" t="str">
        <f t="shared" si="360"/>
        <v>PSNP'!</v>
      </c>
      <c r="F1582" s="5" t="str">
        <f t="shared" si="361"/>
        <v>C:\Users\jaime.benazar\Quorum Business Solutions\Ecopetrol Prometeo - Documents\Planning Space Implementation\3. Analysis &amp; Design\Design\FC22\DRR Jaime\QUIFA-CAJÚA\Cajua\[VAS_CAJUA_CF_SEC_20230125.xlsx]CF PSNP'!</v>
      </c>
      <c r="G1582" s="6" t="s">
        <v>38</v>
      </c>
      <c r="H1582" s="1"/>
      <c r="I1582" s="1"/>
      <c r="J1582" s="1"/>
    </row>
    <row r="1583" spans="1:10" x14ac:dyDescent="0.25">
      <c r="A1583" s="6" t="s">
        <v>103</v>
      </c>
      <c r="B1583" s="6">
        <f t="shared" si="362"/>
        <v>2046</v>
      </c>
      <c r="C1583" s="1" t="s">
        <v>14</v>
      </c>
      <c r="D1583" s="2" t="s">
        <v>128</v>
      </c>
      <c r="E1583" s="9" t="str">
        <f t="shared" si="360"/>
        <v>PSNP'!</v>
      </c>
      <c r="F1583" s="5" t="str">
        <f t="shared" si="361"/>
        <v>C:\Users\jaime.benazar\Quorum Business Solutions\Ecopetrol Prometeo - Documents\Planning Space Implementation\3. Analysis &amp; Design\Design\FC22\DRR Jaime\QUIFA-CAJÚA\Cajua\[VAS_CAJUA_CF_SEC_20230125.xlsx]CF PSNP'!</v>
      </c>
      <c r="G1583" s="6" t="s">
        <v>38</v>
      </c>
      <c r="H1583" s="1"/>
      <c r="I1583" s="1"/>
      <c r="J1583" s="1"/>
    </row>
    <row r="1584" spans="1:10" x14ac:dyDescent="0.25">
      <c r="A1584" s="6" t="s">
        <v>103</v>
      </c>
      <c r="B1584" s="6">
        <f t="shared" si="362"/>
        <v>2047</v>
      </c>
      <c r="C1584" s="1" t="s">
        <v>14</v>
      </c>
      <c r="D1584" s="2" t="s">
        <v>128</v>
      </c>
      <c r="E1584" s="9" t="str">
        <f t="shared" si="360"/>
        <v>PSNP'!</v>
      </c>
      <c r="F1584" s="5" t="str">
        <f t="shared" si="361"/>
        <v>C:\Users\jaime.benazar\Quorum Business Solutions\Ecopetrol Prometeo - Documents\Planning Space Implementation\3. Analysis &amp; Design\Design\FC22\DRR Jaime\QUIFA-CAJÚA\Cajua\[VAS_CAJUA_CF_SEC_20230125.xlsx]CF PSNP'!</v>
      </c>
      <c r="G1584" s="6" t="s">
        <v>38</v>
      </c>
      <c r="H1584" s="1"/>
      <c r="I1584" s="1"/>
      <c r="J1584" s="1"/>
    </row>
    <row r="1585" spans="1:10" x14ac:dyDescent="0.25">
      <c r="A1585" s="6" t="s">
        <v>103</v>
      </c>
      <c r="B1585" s="6">
        <f t="shared" si="362"/>
        <v>2048</v>
      </c>
      <c r="C1585" s="1" t="s">
        <v>14</v>
      </c>
      <c r="D1585" s="2" t="s">
        <v>128</v>
      </c>
      <c r="E1585" s="9" t="str">
        <f t="shared" si="360"/>
        <v>PSNP'!</v>
      </c>
      <c r="F1585" s="5" t="str">
        <f t="shared" si="361"/>
        <v>C:\Users\jaime.benazar\Quorum Business Solutions\Ecopetrol Prometeo - Documents\Planning Space Implementation\3. Analysis &amp; Design\Design\FC22\DRR Jaime\QUIFA-CAJÚA\Cajua\[VAS_CAJUA_CF_SEC_20230125.xlsx]CF PSNP'!</v>
      </c>
      <c r="G1585" s="6" t="s">
        <v>38</v>
      </c>
      <c r="H1585" s="1"/>
      <c r="I1585" s="1"/>
      <c r="J1585" s="1"/>
    </row>
    <row r="1586" spans="1:10" x14ac:dyDescent="0.25">
      <c r="A1586" s="6" t="s">
        <v>103</v>
      </c>
      <c r="B1586" s="6">
        <f t="shared" si="362"/>
        <v>2049</v>
      </c>
      <c r="C1586" s="1" t="s">
        <v>14</v>
      </c>
      <c r="D1586" s="2" t="s">
        <v>128</v>
      </c>
      <c r="E1586" s="9" t="str">
        <f t="shared" si="360"/>
        <v>PSNP'!</v>
      </c>
      <c r="F1586" s="5" t="str">
        <f t="shared" si="361"/>
        <v>C:\Users\jaime.benazar\Quorum Business Solutions\Ecopetrol Prometeo - Documents\Planning Space Implementation\3. Analysis &amp; Design\Design\FC22\DRR Jaime\QUIFA-CAJÚA\Cajua\[VAS_CAJUA_CF_SEC_20230125.xlsx]CF PSNP'!</v>
      </c>
      <c r="G1586" s="6" t="s">
        <v>38</v>
      </c>
      <c r="H1586" s="1"/>
      <c r="I1586" s="1"/>
      <c r="J1586" s="1"/>
    </row>
    <row r="1587" spans="1:10" x14ac:dyDescent="0.25">
      <c r="A1587" s="6" t="s">
        <v>103</v>
      </c>
      <c r="B1587" s="6">
        <f t="shared" si="362"/>
        <v>2050</v>
      </c>
      <c r="C1587" s="1" t="s">
        <v>14</v>
      </c>
      <c r="D1587" s="2" t="s">
        <v>128</v>
      </c>
      <c r="E1587" s="9" t="str">
        <f t="shared" si="360"/>
        <v>PSNP'!</v>
      </c>
      <c r="F1587" s="5" t="str">
        <f t="shared" si="361"/>
        <v>C:\Users\jaime.benazar\Quorum Business Solutions\Ecopetrol Prometeo - Documents\Planning Space Implementation\3. Analysis &amp; Design\Design\FC22\DRR Jaime\QUIFA-CAJÚA\Cajua\[VAS_CAJUA_CF_SEC_20230125.xlsx]CF PSNP'!</v>
      </c>
      <c r="G1587" s="6" t="s">
        <v>38</v>
      </c>
      <c r="H1587" s="1"/>
      <c r="I1587" s="1"/>
      <c r="J1587" s="1"/>
    </row>
    <row r="1588" spans="1:10" x14ac:dyDescent="0.25">
      <c r="A1588" s="6" t="s">
        <v>103</v>
      </c>
      <c r="B1588" s="6">
        <f t="shared" si="362"/>
        <v>2051</v>
      </c>
      <c r="C1588" s="1" t="s">
        <v>14</v>
      </c>
      <c r="D1588" s="2" t="s">
        <v>128</v>
      </c>
      <c r="E1588" s="9" t="str">
        <f t="shared" si="360"/>
        <v>PSNP'!</v>
      </c>
      <c r="F1588" s="5" t="str">
        <f t="shared" si="361"/>
        <v>C:\Users\jaime.benazar\Quorum Business Solutions\Ecopetrol Prometeo - Documents\Planning Space Implementation\3. Analysis &amp; Design\Design\FC22\DRR Jaime\QUIFA-CAJÚA\Cajua\[VAS_CAJUA_CF_SEC_20230125.xlsx]CF PSNP'!</v>
      </c>
      <c r="G1588" s="6" t="s">
        <v>38</v>
      </c>
      <c r="H1588" s="1"/>
      <c r="I1588" s="1"/>
      <c r="J1588" s="1"/>
    </row>
    <row r="1589" spans="1:10" x14ac:dyDescent="0.25">
      <c r="A1589" s="6" t="s">
        <v>103</v>
      </c>
      <c r="B1589" s="6">
        <f t="shared" si="362"/>
        <v>2052</v>
      </c>
      <c r="C1589" s="1" t="s">
        <v>14</v>
      </c>
      <c r="D1589" s="2" t="s">
        <v>128</v>
      </c>
      <c r="E1589" s="9" t="str">
        <f t="shared" si="360"/>
        <v>PSNP'!</v>
      </c>
      <c r="F1589" s="5" t="str">
        <f t="shared" si="361"/>
        <v>C:\Users\jaime.benazar\Quorum Business Solutions\Ecopetrol Prometeo - Documents\Planning Space Implementation\3. Analysis &amp; Design\Design\FC22\DRR Jaime\QUIFA-CAJÚA\Cajua\[VAS_CAJUA_CF_SEC_20230125.xlsx]CF PSNP'!</v>
      </c>
      <c r="G1589" s="6" t="s">
        <v>38</v>
      </c>
      <c r="H1589" s="1"/>
      <c r="I1589" s="1"/>
      <c r="J1589" s="1"/>
    </row>
    <row r="1590" spans="1:10" x14ac:dyDescent="0.25">
      <c r="A1590" s="6" t="s">
        <v>103</v>
      </c>
      <c r="B1590" s="6">
        <f t="shared" si="362"/>
        <v>2053</v>
      </c>
      <c r="C1590" s="1" t="s">
        <v>14</v>
      </c>
      <c r="D1590" s="2" t="s">
        <v>128</v>
      </c>
      <c r="E1590" s="9" t="str">
        <f t="shared" si="360"/>
        <v>PSNP'!</v>
      </c>
      <c r="F1590" s="5" t="str">
        <f t="shared" si="361"/>
        <v>C:\Users\jaime.benazar\Quorum Business Solutions\Ecopetrol Prometeo - Documents\Planning Space Implementation\3. Analysis &amp; Design\Design\FC22\DRR Jaime\QUIFA-CAJÚA\Cajua\[VAS_CAJUA_CF_SEC_20230125.xlsx]CF PSNP'!</v>
      </c>
      <c r="G1590" s="6" t="s">
        <v>38</v>
      </c>
      <c r="H1590" s="1"/>
      <c r="I1590" s="1"/>
      <c r="J1590" s="1"/>
    </row>
    <row r="1591" spans="1:10" x14ac:dyDescent="0.25">
      <c r="A1591" s="6" t="s">
        <v>103</v>
      </c>
      <c r="B1591" s="6">
        <f t="shared" si="362"/>
        <v>2054</v>
      </c>
      <c r="C1591" s="1" t="s">
        <v>14</v>
      </c>
      <c r="D1591" s="2" t="s">
        <v>128</v>
      </c>
      <c r="E1591" s="9" t="str">
        <f t="shared" si="360"/>
        <v>PSNP'!</v>
      </c>
      <c r="F1591" s="5" t="str">
        <f t="shared" si="361"/>
        <v>C:\Users\jaime.benazar\Quorum Business Solutions\Ecopetrol Prometeo - Documents\Planning Space Implementation\3. Analysis &amp; Design\Design\FC22\DRR Jaime\QUIFA-CAJÚA\Cajua\[VAS_CAJUA_CF_SEC_20230125.xlsx]CF PSNP'!</v>
      </c>
      <c r="G1591" s="6" t="s">
        <v>38</v>
      </c>
      <c r="H1591" s="1"/>
      <c r="I1591" s="1"/>
      <c r="J1591" s="1"/>
    </row>
    <row r="1592" spans="1:10" x14ac:dyDescent="0.25">
      <c r="A1592" s="6" t="s">
        <v>103</v>
      </c>
      <c r="B1592" s="6">
        <f t="shared" si="362"/>
        <v>2055</v>
      </c>
      <c r="C1592" s="1" t="s">
        <v>14</v>
      </c>
      <c r="D1592" s="2" t="s">
        <v>128</v>
      </c>
      <c r="E1592" s="9" t="str">
        <f t="shared" si="360"/>
        <v>PSNP'!</v>
      </c>
      <c r="F1592" s="5" t="str">
        <f t="shared" si="361"/>
        <v>C:\Users\jaime.benazar\Quorum Business Solutions\Ecopetrol Prometeo - Documents\Planning Space Implementation\3. Analysis &amp; Design\Design\FC22\DRR Jaime\QUIFA-CAJÚA\Cajua\[VAS_CAJUA_CF_SEC_20230125.xlsx]CF PSNP'!</v>
      </c>
      <c r="G1592" s="6" t="s">
        <v>38</v>
      </c>
      <c r="H1592" s="1"/>
      <c r="I1592" s="1"/>
      <c r="J1592" s="1"/>
    </row>
    <row r="1593" spans="1:10" x14ac:dyDescent="0.25">
      <c r="A1593" s="6" t="s">
        <v>103</v>
      </c>
      <c r="B1593" s="6">
        <f t="shared" si="362"/>
        <v>2056</v>
      </c>
      <c r="C1593" s="1" t="s">
        <v>14</v>
      </c>
      <c r="D1593" s="2" t="s">
        <v>128</v>
      </c>
      <c r="E1593" s="9" t="str">
        <f t="shared" si="360"/>
        <v>PSNP'!</v>
      </c>
      <c r="F1593" s="5" t="str">
        <f t="shared" si="361"/>
        <v>C:\Users\jaime.benazar\Quorum Business Solutions\Ecopetrol Prometeo - Documents\Planning Space Implementation\3. Analysis &amp; Design\Design\FC22\DRR Jaime\QUIFA-CAJÚA\Cajua\[VAS_CAJUA_CF_SEC_20230125.xlsx]CF PSNP'!</v>
      </c>
      <c r="G1593" s="6" t="s">
        <v>38</v>
      </c>
      <c r="H1593" s="1"/>
      <c r="I1593" s="1"/>
      <c r="J1593" s="1"/>
    </row>
    <row r="1594" spans="1:10" x14ac:dyDescent="0.25">
      <c r="A1594" s="6" t="s">
        <v>103</v>
      </c>
      <c r="B1594" s="6">
        <f t="shared" si="362"/>
        <v>2057</v>
      </c>
      <c r="C1594" s="1" t="s">
        <v>14</v>
      </c>
      <c r="D1594" s="2" t="s">
        <v>128</v>
      </c>
      <c r="E1594" s="9" t="str">
        <f t="shared" si="360"/>
        <v>PSNP'!</v>
      </c>
      <c r="F1594" s="5" t="str">
        <f t="shared" si="361"/>
        <v>C:\Users\jaime.benazar\Quorum Business Solutions\Ecopetrol Prometeo - Documents\Planning Space Implementation\3. Analysis &amp; Design\Design\FC22\DRR Jaime\QUIFA-CAJÚA\Cajua\[VAS_CAJUA_CF_SEC_20230125.xlsx]CF PSNP'!</v>
      </c>
      <c r="G1594" s="6" t="s">
        <v>38</v>
      </c>
      <c r="H1594" s="1"/>
      <c r="I1594" s="1"/>
      <c r="J1594" s="1"/>
    </row>
    <row r="1595" spans="1:10" x14ac:dyDescent="0.25">
      <c r="A1595" s="6" t="s">
        <v>103</v>
      </c>
      <c r="B1595" s="6">
        <f t="shared" si="362"/>
        <v>2058</v>
      </c>
      <c r="C1595" s="1" t="s">
        <v>14</v>
      </c>
      <c r="D1595" s="2" t="s">
        <v>128</v>
      </c>
      <c r="E1595" s="9" t="str">
        <f t="shared" si="360"/>
        <v>PSNP'!</v>
      </c>
      <c r="F1595" s="5" t="str">
        <f t="shared" si="361"/>
        <v>C:\Users\jaime.benazar\Quorum Business Solutions\Ecopetrol Prometeo - Documents\Planning Space Implementation\3. Analysis &amp; Design\Design\FC22\DRR Jaime\QUIFA-CAJÚA\Cajua\[VAS_CAJUA_CF_SEC_20230125.xlsx]CF PSNP'!</v>
      </c>
      <c r="G1595" s="6" t="s">
        <v>38</v>
      </c>
      <c r="H1595" s="1"/>
      <c r="I1595" s="1"/>
      <c r="J1595" s="1"/>
    </row>
    <row r="1596" spans="1:10" x14ac:dyDescent="0.25">
      <c r="A1596" s="6" t="s">
        <v>103</v>
      </c>
      <c r="B1596" s="6">
        <f t="shared" si="362"/>
        <v>2059</v>
      </c>
      <c r="C1596" s="1" t="s">
        <v>14</v>
      </c>
      <c r="D1596" s="2" t="s">
        <v>128</v>
      </c>
      <c r="E1596" s="9" t="str">
        <f t="shared" si="360"/>
        <v>PSNP'!</v>
      </c>
      <c r="F1596" s="5" t="str">
        <f t="shared" si="361"/>
        <v>C:\Users\jaime.benazar\Quorum Business Solutions\Ecopetrol Prometeo - Documents\Planning Space Implementation\3. Analysis &amp; Design\Design\FC22\DRR Jaime\QUIFA-CAJÚA\Cajua\[VAS_CAJUA_CF_SEC_20230125.xlsx]CF PSNP'!</v>
      </c>
      <c r="G1596" s="6" t="s">
        <v>38</v>
      </c>
      <c r="H1596" s="1"/>
      <c r="I1596" s="1"/>
      <c r="J1596" s="1"/>
    </row>
    <row r="1597" spans="1:10" x14ac:dyDescent="0.25">
      <c r="A1597" s="6" t="s">
        <v>28</v>
      </c>
      <c r="B1597" s="6"/>
      <c r="C1597" s="1" t="s">
        <v>14</v>
      </c>
      <c r="D1597" s="2"/>
      <c r="E1597" s="9"/>
      <c r="F1597" s="2"/>
      <c r="G1597" s="6"/>
      <c r="H1597" s="1"/>
      <c r="I1597" s="1"/>
      <c r="J1597" s="1"/>
    </row>
    <row r="1598" spans="1:10" x14ac:dyDescent="0.25">
      <c r="A1598" s="6" t="s">
        <v>104</v>
      </c>
      <c r="B1598" s="6">
        <v>2023</v>
      </c>
      <c r="C1598" s="1" t="s">
        <v>14</v>
      </c>
      <c r="D1598" s="2" t="s">
        <v>128</v>
      </c>
      <c r="E1598" s="9" t="str">
        <f t="shared" ref="E1598:E1618" si="363">_xlfn.CONCAT(A1598,"'!")</f>
        <v>PSND'!</v>
      </c>
      <c r="F1598" s="5" t="str">
        <f t="shared" ref="F1598:F1618" si="364">_xlfn.CONCAT(D1598," ",E1598)</f>
        <v>C:\Users\jaime.benazar\Quorum Business Solutions\Ecopetrol Prometeo - Documents\Planning Space Implementation\3. Analysis &amp; Design\Design\FC22\DRR Jaime\QUIFA-CAJÚA\Cajua\[VAS_CAJUA_CF_SEC_20230125.xlsx]CF PSND'!</v>
      </c>
      <c r="G1598" s="6" t="s">
        <v>38</v>
      </c>
      <c r="H1598" s="1"/>
      <c r="I1598" s="1"/>
      <c r="J1598" s="1"/>
    </row>
    <row r="1599" spans="1:10" x14ac:dyDescent="0.25">
      <c r="A1599" s="6" t="s">
        <v>104</v>
      </c>
      <c r="B1599" s="6">
        <f>+B1598+1</f>
        <v>2024</v>
      </c>
      <c r="C1599" s="1" t="s">
        <v>14</v>
      </c>
      <c r="D1599" s="2" t="s">
        <v>128</v>
      </c>
      <c r="E1599" s="9" t="str">
        <f t="shared" si="363"/>
        <v>PSND'!</v>
      </c>
      <c r="F1599" s="5" t="str">
        <f t="shared" si="364"/>
        <v>C:\Users\jaime.benazar\Quorum Business Solutions\Ecopetrol Prometeo - Documents\Planning Space Implementation\3. Analysis &amp; Design\Design\FC22\DRR Jaime\QUIFA-CAJÚA\Cajua\[VAS_CAJUA_CF_SEC_20230125.xlsx]CF PSND'!</v>
      </c>
      <c r="G1599" s="6" t="s">
        <v>38</v>
      </c>
      <c r="H1599" s="1"/>
      <c r="I1599" s="1"/>
      <c r="J1599" s="1"/>
    </row>
    <row r="1600" spans="1:10" x14ac:dyDescent="0.25">
      <c r="A1600" s="6" t="s">
        <v>104</v>
      </c>
      <c r="B1600" s="6">
        <f t="shared" ref="B1600:B1611" si="365">+B1599+1</f>
        <v>2025</v>
      </c>
      <c r="C1600" s="1" t="s">
        <v>14</v>
      </c>
      <c r="D1600" s="2" t="s">
        <v>128</v>
      </c>
      <c r="E1600" s="9" t="str">
        <f t="shared" si="363"/>
        <v>PSND'!</v>
      </c>
      <c r="F1600" s="5" t="str">
        <f t="shared" si="364"/>
        <v>C:\Users\jaime.benazar\Quorum Business Solutions\Ecopetrol Prometeo - Documents\Planning Space Implementation\3. Analysis &amp; Design\Design\FC22\DRR Jaime\QUIFA-CAJÚA\Cajua\[VAS_CAJUA_CF_SEC_20230125.xlsx]CF PSND'!</v>
      </c>
      <c r="G1600" s="6" t="s">
        <v>38</v>
      </c>
      <c r="H1600" s="1"/>
      <c r="I1600" s="1"/>
      <c r="J1600" s="1"/>
    </row>
    <row r="1601" spans="1:10" x14ac:dyDescent="0.25">
      <c r="A1601" s="6" t="s">
        <v>104</v>
      </c>
      <c r="B1601" s="6">
        <f t="shared" si="365"/>
        <v>2026</v>
      </c>
      <c r="C1601" s="1" t="s">
        <v>14</v>
      </c>
      <c r="D1601" s="2" t="s">
        <v>128</v>
      </c>
      <c r="E1601" s="9" t="str">
        <f t="shared" si="363"/>
        <v>PSND'!</v>
      </c>
      <c r="F1601" s="5" t="str">
        <f t="shared" si="364"/>
        <v>C:\Users\jaime.benazar\Quorum Business Solutions\Ecopetrol Prometeo - Documents\Planning Space Implementation\3. Analysis &amp; Design\Design\FC22\DRR Jaime\QUIFA-CAJÚA\Cajua\[VAS_CAJUA_CF_SEC_20230125.xlsx]CF PSND'!</v>
      </c>
      <c r="G1601" s="6" t="s">
        <v>38</v>
      </c>
      <c r="H1601" s="1"/>
      <c r="I1601" s="1"/>
      <c r="J1601" s="1"/>
    </row>
    <row r="1602" spans="1:10" x14ac:dyDescent="0.25">
      <c r="A1602" s="6" t="s">
        <v>104</v>
      </c>
      <c r="B1602" s="6">
        <f t="shared" si="365"/>
        <v>2027</v>
      </c>
      <c r="C1602" s="1" t="s">
        <v>14</v>
      </c>
      <c r="D1602" s="2" t="s">
        <v>128</v>
      </c>
      <c r="E1602" s="9" t="str">
        <f t="shared" si="363"/>
        <v>PSND'!</v>
      </c>
      <c r="F1602" s="5" t="str">
        <f t="shared" si="364"/>
        <v>C:\Users\jaime.benazar\Quorum Business Solutions\Ecopetrol Prometeo - Documents\Planning Space Implementation\3. Analysis &amp; Design\Design\FC22\DRR Jaime\QUIFA-CAJÚA\Cajua\[VAS_CAJUA_CF_SEC_20230125.xlsx]CF PSND'!</v>
      </c>
      <c r="G1602" s="6" t="s">
        <v>38</v>
      </c>
      <c r="H1602" s="1"/>
      <c r="I1602" s="1"/>
      <c r="J1602" s="1"/>
    </row>
    <row r="1603" spans="1:10" x14ac:dyDescent="0.25">
      <c r="A1603" s="6" t="s">
        <v>104</v>
      </c>
      <c r="B1603" s="6">
        <f t="shared" si="365"/>
        <v>2028</v>
      </c>
      <c r="C1603" s="1" t="s">
        <v>14</v>
      </c>
      <c r="D1603" s="2" t="s">
        <v>128</v>
      </c>
      <c r="E1603" s="9" t="str">
        <f t="shared" si="363"/>
        <v>PSND'!</v>
      </c>
      <c r="F1603" s="5" t="str">
        <f t="shared" si="364"/>
        <v>C:\Users\jaime.benazar\Quorum Business Solutions\Ecopetrol Prometeo - Documents\Planning Space Implementation\3. Analysis &amp; Design\Design\FC22\DRR Jaime\QUIFA-CAJÚA\Cajua\[VAS_CAJUA_CF_SEC_20230125.xlsx]CF PSND'!</v>
      </c>
      <c r="G1603" s="6" t="s">
        <v>38</v>
      </c>
      <c r="H1603" s="1"/>
      <c r="I1603" s="1"/>
      <c r="J1603" s="1"/>
    </row>
    <row r="1604" spans="1:10" x14ac:dyDescent="0.25">
      <c r="A1604" s="6" t="s">
        <v>104</v>
      </c>
      <c r="B1604" s="6">
        <f t="shared" si="365"/>
        <v>2029</v>
      </c>
      <c r="C1604" s="1" t="s">
        <v>14</v>
      </c>
      <c r="D1604" s="2" t="s">
        <v>128</v>
      </c>
      <c r="E1604" s="9" t="str">
        <f t="shared" si="363"/>
        <v>PSND'!</v>
      </c>
      <c r="F1604" s="5" t="str">
        <f t="shared" si="364"/>
        <v>C:\Users\jaime.benazar\Quorum Business Solutions\Ecopetrol Prometeo - Documents\Planning Space Implementation\3. Analysis &amp; Design\Design\FC22\DRR Jaime\QUIFA-CAJÚA\Cajua\[VAS_CAJUA_CF_SEC_20230125.xlsx]CF PSND'!</v>
      </c>
      <c r="G1604" s="6" t="s">
        <v>38</v>
      </c>
      <c r="H1604" s="1"/>
      <c r="I1604" s="1"/>
      <c r="J1604" s="1"/>
    </row>
    <row r="1605" spans="1:10" x14ac:dyDescent="0.25">
      <c r="A1605" s="6" t="s">
        <v>104</v>
      </c>
      <c r="B1605" s="6">
        <f t="shared" si="365"/>
        <v>2030</v>
      </c>
      <c r="C1605" s="1" t="s">
        <v>14</v>
      </c>
      <c r="D1605" s="2" t="s">
        <v>128</v>
      </c>
      <c r="E1605" s="9" t="str">
        <f t="shared" si="363"/>
        <v>PSND'!</v>
      </c>
      <c r="F1605" s="5" t="str">
        <f t="shared" si="364"/>
        <v>C:\Users\jaime.benazar\Quorum Business Solutions\Ecopetrol Prometeo - Documents\Planning Space Implementation\3. Analysis &amp; Design\Design\FC22\DRR Jaime\QUIFA-CAJÚA\Cajua\[VAS_CAJUA_CF_SEC_20230125.xlsx]CF PSND'!</v>
      </c>
      <c r="G1605" s="6" t="s">
        <v>38</v>
      </c>
      <c r="H1605" s="1"/>
      <c r="I1605" s="1"/>
      <c r="J1605" s="1"/>
    </row>
    <row r="1606" spans="1:10" x14ac:dyDescent="0.25">
      <c r="A1606" s="6" t="s">
        <v>104</v>
      </c>
      <c r="B1606" s="6">
        <f t="shared" si="365"/>
        <v>2031</v>
      </c>
      <c r="C1606" s="1" t="s">
        <v>14</v>
      </c>
      <c r="D1606" s="2" t="s">
        <v>128</v>
      </c>
      <c r="E1606" s="9" t="str">
        <f t="shared" si="363"/>
        <v>PSND'!</v>
      </c>
      <c r="F1606" s="5" t="str">
        <f t="shared" si="364"/>
        <v>C:\Users\jaime.benazar\Quorum Business Solutions\Ecopetrol Prometeo - Documents\Planning Space Implementation\3. Analysis &amp; Design\Design\FC22\DRR Jaime\QUIFA-CAJÚA\Cajua\[VAS_CAJUA_CF_SEC_20230125.xlsx]CF PSND'!</v>
      </c>
      <c r="G1606" s="6" t="s">
        <v>38</v>
      </c>
      <c r="H1606" s="1"/>
      <c r="I1606" s="1"/>
      <c r="J1606" s="1"/>
    </row>
    <row r="1607" spans="1:10" x14ac:dyDescent="0.25">
      <c r="A1607" s="6" t="s">
        <v>104</v>
      </c>
      <c r="B1607" s="6">
        <f t="shared" si="365"/>
        <v>2032</v>
      </c>
      <c r="C1607" s="1" t="s">
        <v>14</v>
      </c>
      <c r="D1607" s="2" t="s">
        <v>128</v>
      </c>
      <c r="E1607" s="9" t="str">
        <f t="shared" si="363"/>
        <v>PSND'!</v>
      </c>
      <c r="F1607" s="5" t="str">
        <f t="shared" si="364"/>
        <v>C:\Users\jaime.benazar\Quorum Business Solutions\Ecopetrol Prometeo - Documents\Planning Space Implementation\3. Analysis &amp; Design\Design\FC22\DRR Jaime\QUIFA-CAJÚA\Cajua\[VAS_CAJUA_CF_SEC_20230125.xlsx]CF PSND'!</v>
      </c>
      <c r="G1607" s="6" t="s">
        <v>38</v>
      </c>
      <c r="H1607" s="1"/>
      <c r="I1607" s="1"/>
      <c r="J1607" s="1"/>
    </row>
    <row r="1608" spans="1:10" x14ac:dyDescent="0.25">
      <c r="A1608" s="6" t="s">
        <v>104</v>
      </c>
      <c r="B1608" s="6">
        <f t="shared" si="365"/>
        <v>2033</v>
      </c>
      <c r="C1608" s="1" t="s">
        <v>14</v>
      </c>
      <c r="D1608" s="2" t="s">
        <v>128</v>
      </c>
      <c r="E1608" s="9" t="str">
        <f t="shared" si="363"/>
        <v>PSND'!</v>
      </c>
      <c r="F1608" s="5" t="str">
        <f t="shared" si="364"/>
        <v>C:\Users\jaime.benazar\Quorum Business Solutions\Ecopetrol Prometeo - Documents\Planning Space Implementation\3. Analysis &amp; Design\Design\FC22\DRR Jaime\QUIFA-CAJÚA\Cajua\[VAS_CAJUA_CF_SEC_20230125.xlsx]CF PSND'!</v>
      </c>
      <c r="G1608" s="6" t="s">
        <v>38</v>
      </c>
      <c r="H1608" s="1"/>
      <c r="I1608" s="1"/>
      <c r="J1608" s="1"/>
    </row>
    <row r="1609" spans="1:10" x14ac:dyDescent="0.25">
      <c r="A1609" s="6" t="s">
        <v>104</v>
      </c>
      <c r="B1609" s="6">
        <f t="shared" si="365"/>
        <v>2034</v>
      </c>
      <c r="C1609" s="1" t="s">
        <v>14</v>
      </c>
      <c r="D1609" s="2" t="s">
        <v>128</v>
      </c>
      <c r="E1609" s="9" t="str">
        <f t="shared" si="363"/>
        <v>PSND'!</v>
      </c>
      <c r="F1609" s="5" t="str">
        <f t="shared" si="364"/>
        <v>C:\Users\jaime.benazar\Quorum Business Solutions\Ecopetrol Prometeo - Documents\Planning Space Implementation\3. Analysis &amp; Design\Design\FC22\DRR Jaime\QUIFA-CAJÚA\Cajua\[VAS_CAJUA_CF_SEC_20230125.xlsx]CF PSND'!</v>
      </c>
      <c r="G1609" s="6" t="s">
        <v>38</v>
      </c>
      <c r="H1609" s="1"/>
      <c r="I1609" s="1"/>
      <c r="J1609" s="1"/>
    </row>
    <row r="1610" spans="1:10" x14ac:dyDescent="0.25">
      <c r="A1610" s="6" t="s">
        <v>104</v>
      </c>
      <c r="B1610" s="6">
        <f t="shared" si="365"/>
        <v>2035</v>
      </c>
      <c r="C1610" s="1" t="s">
        <v>14</v>
      </c>
      <c r="D1610" s="2" t="s">
        <v>128</v>
      </c>
      <c r="E1610" s="9" t="str">
        <f t="shared" si="363"/>
        <v>PSND'!</v>
      </c>
      <c r="F1610" s="5" t="str">
        <f t="shared" si="364"/>
        <v>C:\Users\jaime.benazar\Quorum Business Solutions\Ecopetrol Prometeo - Documents\Planning Space Implementation\3. Analysis &amp; Design\Design\FC22\DRR Jaime\QUIFA-CAJÚA\Cajua\[VAS_CAJUA_CF_SEC_20230125.xlsx]CF PSND'!</v>
      </c>
      <c r="G1610" s="6" t="s">
        <v>38</v>
      </c>
      <c r="H1610" s="1"/>
      <c r="I1610" s="1"/>
      <c r="J1610" s="1"/>
    </row>
    <row r="1611" spans="1:10" x14ac:dyDescent="0.25">
      <c r="A1611" s="6" t="s">
        <v>104</v>
      </c>
      <c r="B1611" s="6">
        <f t="shared" si="365"/>
        <v>2036</v>
      </c>
      <c r="C1611" s="1" t="s">
        <v>14</v>
      </c>
      <c r="D1611" s="2" t="s">
        <v>128</v>
      </c>
      <c r="E1611" s="9" t="str">
        <f t="shared" si="363"/>
        <v>PSND'!</v>
      </c>
      <c r="F1611" s="5" t="str">
        <f t="shared" si="364"/>
        <v>C:\Users\jaime.benazar\Quorum Business Solutions\Ecopetrol Prometeo - Documents\Planning Space Implementation\3. Analysis &amp; Design\Design\FC22\DRR Jaime\QUIFA-CAJÚA\Cajua\[VAS_CAJUA_CF_SEC_20230125.xlsx]CF PSND'!</v>
      </c>
      <c r="G1611" s="6" t="s">
        <v>38</v>
      </c>
      <c r="H1611" s="1"/>
      <c r="I1611" s="1"/>
      <c r="J1611" s="1"/>
    </row>
    <row r="1612" spans="1:10" x14ac:dyDescent="0.25">
      <c r="A1612" s="6" t="s">
        <v>104</v>
      </c>
      <c r="B1612" s="6">
        <f>+B1611+1</f>
        <v>2037</v>
      </c>
      <c r="C1612" s="1" t="s">
        <v>14</v>
      </c>
      <c r="D1612" s="2" t="s">
        <v>128</v>
      </c>
      <c r="E1612" s="9" t="str">
        <f t="shared" si="363"/>
        <v>PSND'!</v>
      </c>
      <c r="F1612" s="5" t="str">
        <f t="shared" si="364"/>
        <v>C:\Users\jaime.benazar\Quorum Business Solutions\Ecopetrol Prometeo - Documents\Planning Space Implementation\3. Analysis &amp; Design\Design\FC22\DRR Jaime\QUIFA-CAJÚA\Cajua\[VAS_CAJUA_CF_SEC_20230125.xlsx]CF PSND'!</v>
      </c>
      <c r="G1612" s="6" t="s">
        <v>38</v>
      </c>
      <c r="H1612" s="1"/>
      <c r="I1612" s="1"/>
      <c r="J1612" s="1"/>
    </row>
    <row r="1613" spans="1:10" x14ac:dyDescent="0.25">
      <c r="A1613" s="6" t="s">
        <v>104</v>
      </c>
      <c r="B1613" s="6">
        <f t="shared" ref="B1613:B1615" si="366">+B1612+1</f>
        <v>2038</v>
      </c>
      <c r="C1613" s="1" t="s">
        <v>14</v>
      </c>
      <c r="D1613" s="2" t="s">
        <v>128</v>
      </c>
      <c r="E1613" s="9" t="str">
        <f t="shared" si="363"/>
        <v>PSND'!</v>
      </c>
      <c r="F1613" s="5" t="str">
        <f t="shared" si="364"/>
        <v>C:\Users\jaime.benazar\Quorum Business Solutions\Ecopetrol Prometeo - Documents\Planning Space Implementation\3. Analysis &amp; Design\Design\FC22\DRR Jaime\QUIFA-CAJÚA\Cajua\[VAS_CAJUA_CF_SEC_20230125.xlsx]CF PSND'!</v>
      </c>
      <c r="G1613" s="6" t="s">
        <v>38</v>
      </c>
      <c r="H1613" s="1"/>
      <c r="I1613" s="1"/>
      <c r="J1613" s="1"/>
    </row>
    <row r="1614" spans="1:10" x14ac:dyDescent="0.25">
      <c r="A1614" s="6" t="s">
        <v>104</v>
      </c>
      <c r="B1614" s="6">
        <f t="shared" si="366"/>
        <v>2039</v>
      </c>
      <c r="C1614" s="1" t="s">
        <v>14</v>
      </c>
      <c r="D1614" s="2" t="s">
        <v>128</v>
      </c>
      <c r="E1614" s="9" t="str">
        <f t="shared" si="363"/>
        <v>PSND'!</v>
      </c>
      <c r="F1614" s="5" t="str">
        <f t="shared" si="364"/>
        <v>C:\Users\jaime.benazar\Quorum Business Solutions\Ecopetrol Prometeo - Documents\Planning Space Implementation\3. Analysis &amp; Design\Design\FC22\DRR Jaime\QUIFA-CAJÚA\Cajua\[VAS_CAJUA_CF_SEC_20230125.xlsx]CF PSND'!</v>
      </c>
      <c r="G1614" s="6" t="s">
        <v>38</v>
      </c>
      <c r="H1614" s="1"/>
      <c r="I1614" s="1"/>
      <c r="J1614" s="1"/>
    </row>
    <row r="1615" spans="1:10" x14ac:dyDescent="0.25">
      <c r="A1615" s="6" t="s">
        <v>104</v>
      </c>
      <c r="B1615" s="6">
        <f t="shared" si="366"/>
        <v>2040</v>
      </c>
      <c r="C1615" s="1" t="s">
        <v>14</v>
      </c>
      <c r="D1615" s="2" t="s">
        <v>128</v>
      </c>
      <c r="E1615" s="9" t="str">
        <f t="shared" si="363"/>
        <v>PSND'!</v>
      </c>
      <c r="F1615" s="5" t="str">
        <f t="shared" si="364"/>
        <v>C:\Users\jaime.benazar\Quorum Business Solutions\Ecopetrol Prometeo - Documents\Planning Space Implementation\3. Analysis &amp; Design\Design\FC22\DRR Jaime\QUIFA-CAJÚA\Cajua\[VAS_CAJUA_CF_SEC_20230125.xlsx]CF PSND'!</v>
      </c>
      <c r="G1615" s="6" t="s">
        <v>38</v>
      </c>
      <c r="H1615" s="1"/>
      <c r="I1615" s="1"/>
      <c r="J1615" s="1"/>
    </row>
    <row r="1616" spans="1:10" x14ac:dyDescent="0.25">
      <c r="A1616" s="6" t="s">
        <v>104</v>
      </c>
      <c r="B1616" s="6">
        <f>+B1615+1</f>
        <v>2041</v>
      </c>
      <c r="C1616" s="1" t="s">
        <v>14</v>
      </c>
      <c r="D1616" s="2" t="s">
        <v>128</v>
      </c>
      <c r="E1616" s="9" t="str">
        <f t="shared" si="363"/>
        <v>PSND'!</v>
      </c>
      <c r="F1616" s="5" t="str">
        <f t="shared" si="364"/>
        <v>C:\Users\jaime.benazar\Quorum Business Solutions\Ecopetrol Prometeo - Documents\Planning Space Implementation\3. Analysis &amp; Design\Design\FC22\DRR Jaime\QUIFA-CAJÚA\Cajua\[VAS_CAJUA_CF_SEC_20230125.xlsx]CF PSND'!</v>
      </c>
      <c r="G1616" s="6" t="s">
        <v>38</v>
      </c>
      <c r="H1616" s="1"/>
      <c r="I1616" s="1"/>
      <c r="J1616" s="1"/>
    </row>
    <row r="1617" spans="1:10" x14ac:dyDescent="0.25">
      <c r="A1617" s="6" t="s">
        <v>104</v>
      </c>
      <c r="B1617" s="6">
        <f t="shared" ref="B1617:B1618" si="367">+B1616+1</f>
        <v>2042</v>
      </c>
      <c r="C1617" s="1" t="s">
        <v>14</v>
      </c>
      <c r="D1617" s="2" t="s">
        <v>128</v>
      </c>
      <c r="E1617" s="9" t="str">
        <f t="shared" si="363"/>
        <v>PSND'!</v>
      </c>
      <c r="F1617" s="5" t="str">
        <f t="shared" si="364"/>
        <v>C:\Users\jaime.benazar\Quorum Business Solutions\Ecopetrol Prometeo - Documents\Planning Space Implementation\3. Analysis &amp; Design\Design\FC22\DRR Jaime\QUIFA-CAJÚA\Cajua\[VAS_CAJUA_CF_SEC_20230125.xlsx]CF PSND'!</v>
      </c>
      <c r="G1617" s="6" t="s">
        <v>38</v>
      </c>
      <c r="H1617" s="1"/>
      <c r="I1617" s="1"/>
      <c r="J1617" s="1"/>
    </row>
    <row r="1618" spans="1:10" x14ac:dyDescent="0.25">
      <c r="A1618" s="6" t="s">
        <v>104</v>
      </c>
      <c r="B1618" s="6">
        <f t="shared" si="367"/>
        <v>2043</v>
      </c>
      <c r="C1618" s="1" t="s">
        <v>14</v>
      </c>
      <c r="D1618" s="2" t="s">
        <v>128</v>
      </c>
      <c r="E1618" s="9" t="str">
        <f t="shared" si="363"/>
        <v>PSND'!</v>
      </c>
      <c r="F1618" s="5" t="str">
        <f t="shared" si="364"/>
        <v>C:\Users\jaime.benazar\Quorum Business Solutions\Ecopetrol Prometeo - Documents\Planning Space Implementation\3. Analysis &amp; Design\Design\FC22\DRR Jaime\QUIFA-CAJÚA\Cajua\[VAS_CAJUA_CF_SEC_20230125.xlsx]CF PSND'!</v>
      </c>
      <c r="G1618" s="6" t="s">
        <v>38</v>
      </c>
      <c r="H1618" s="1"/>
      <c r="I1618" s="1"/>
      <c r="J1618" s="1"/>
    </row>
    <row r="1619" spans="1:10" x14ac:dyDescent="0.25">
      <c r="A1619" s="6" t="s">
        <v>104</v>
      </c>
      <c r="B1619" s="6">
        <f>+B1618+1</f>
        <v>2044</v>
      </c>
      <c r="C1619" s="1" t="s">
        <v>14</v>
      </c>
      <c r="D1619" s="2" t="s">
        <v>128</v>
      </c>
      <c r="E1619" s="9" t="str">
        <f t="shared" ref="E1619:E1634" si="368">_xlfn.CONCAT(A1619,"'!")</f>
        <v>PSND'!</v>
      </c>
      <c r="F1619" s="5" t="str">
        <f t="shared" ref="F1619:F1634" si="369">_xlfn.CONCAT(D1619," ",E1619)</f>
        <v>C:\Users\jaime.benazar\Quorum Business Solutions\Ecopetrol Prometeo - Documents\Planning Space Implementation\3. Analysis &amp; Design\Design\FC22\DRR Jaime\QUIFA-CAJÚA\Cajua\[VAS_CAJUA_CF_SEC_20230125.xlsx]CF PSND'!</v>
      </c>
      <c r="G1619" s="6" t="s">
        <v>38</v>
      </c>
      <c r="H1619" s="1"/>
      <c r="I1619" s="1"/>
      <c r="J1619" s="1"/>
    </row>
    <row r="1620" spans="1:10" x14ac:dyDescent="0.25">
      <c r="A1620" s="6" t="s">
        <v>104</v>
      </c>
      <c r="B1620" s="6">
        <f t="shared" ref="B1620:B1634" si="370">+B1619+1</f>
        <v>2045</v>
      </c>
      <c r="C1620" s="1" t="s">
        <v>14</v>
      </c>
      <c r="D1620" s="2" t="s">
        <v>128</v>
      </c>
      <c r="E1620" s="9" t="str">
        <f t="shared" si="368"/>
        <v>PSND'!</v>
      </c>
      <c r="F1620" s="5" t="str">
        <f t="shared" si="369"/>
        <v>C:\Users\jaime.benazar\Quorum Business Solutions\Ecopetrol Prometeo - Documents\Planning Space Implementation\3. Analysis &amp; Design\Design\FC22\DRR Jaime\QUIFA-CAJÚA\Cajua\[VAS_CAJUA_CF_SEC_20230125.xlsx]CF PSND'!</v>
      </c>
      <c r="G1620" s="6" t="s">
        <v>38</v>
      </c>
      <c r="H1620" s="1"/>
      <c r="I1620" s="1"/>
      <c r="J1620" s="1"/>
    </row>
    <row r="1621" spans="1:10" x14ac:dyDescent="0.25">
      <c r="A1621" s="6" t="s">
        <v>104</v>
      </c>
      <c r="B1621" s="6">
        <f t="shared" si="370"/>
        <v>2046</v>
      </c>
      <c r="C1621" s="1" t="s">
        <v>14</v>
      </c>
      <c r="D1621" s="2" t="s">
        <v>128</v>
      </c>
      <c r="E1621" s="9" t="str">
        <f t="shared" si="368"/>
        <v>PSND'!</v>
      </c>
      <c r="F1621" s="5" t="str">
        <f t="shared" si="369"/>
        <v>C:\Users\jaime.benazar\Quorum Business Solutions\Ecopetrol Prometeo - Documents\Planning Space Implementation\3. Analysis &amp; Design\Design\FC22\DRR Jaime\QUIFA-CAJÚA\Cajua\[VAS_CAJUA_CF_SEC_20230125.xlsx]CF PSND'!</v>
      </c>
      <c r="G1621" s="6" t="s">
        <v>38</v>
      </c>
      <c r="H1621" s="1"/>
      <c r="I1621" s="1"/>
      <c r="J1621" s="1"/>
    </row>
    <row r="1622" spans="1:10" x14ac:dyDescent="0.25">
      <c r="A1622" s="6" t="s">
        <v>104</v>
      </c>
      <c r="B1622" s="6">
        <f t="shared" si="370"/>
        <v>2047</v>
      </c>
      <c r="C1622" s="1" t="s">
        <v>14</v>
      </c>
      <c r="D1622" s="2" t="s">
        <v>128</v>
      </c>
      <c r="E1622" s="9" t="str">
        <f t="shared" si="368"/>
        <v>PSND'!</v>
      </c>
      <c r="F1622" s="5" t="str">
        <f t="shared" si="369"/>
        <v>C:\Users\jaime.benazar\Quorum Business Solutions\Ecopetrol Prometeo - Documents\Planning Space Implementation\3. Analysis &amp; Design\Design\FC22\DRR Jaime\QUIFA-CAJÚA\Cajua\[VAS_CAJUA_CF_SEC_20230125.xlsx]CF PSND'!</v>
      </c>
      <c r="G1622" s="6" t="s">
        <v>38</v>
      </c>
      <c r="H1622" s="1"/>
      <c r="I1622" s="1"/>
      <c r="J1622" s="1"/>
    </row>
    <row r="1623" spans="1:10" x14ac:dyDescent="0.25">
      <c r="A1623" s="6" t="s">
        <v>104</v>
      </c>
      <c r="B1623" s="6">
        <f t="shared" si="370"/>
        <v>2048</v>
      </c>
      <c r="C1623" s="1" t="s">
        <v>14</v>
      </c>
      <c r="D1623" s="2" t="s">
        <v>128</v>
      </c>
      <c r="E1623" s="9" t="str">
        <f t="shared" si="368"/>
        <v>PSND'!</v>
      </c>
      <c r="F1623" s="5" t="str">
        <f t="shared" si="369"/>
        <v>C:\Users\jaime.benazar\Quorum Business Solutions\Ecopetrol Prometeo - Documents\Planning Space Implementation\3. Analysis &amp; Design\Design\FC22\DRR Jaime\QUIFA-CAJÚA\Cajua\[VAS_CAJUA_CF_SEC_20230125.xlsx]CF PSND'!</v>
      </c>
      <c r="G1623" s="6" t="s">
        <v>38</v>
      </c>
      <c r="H1623" s="1"/>
      <c r="I1623" s="1"/>
      <c r="J1623" s="1"/>
    </row>
    <row r="1624" spans="1:10" x14ac:dyDescent="0.25">
      <c r="A1624" s="6" t="s">
        <v>104</v>
      </c>
      <c r="B1624" s="6">
        <f t="shared" si="370"/>
        <v>2049</v>
      </c>
      <c r="C1624" s="1" t="s">
        <v>14</v>
      </c>
      <c r="D1624" s="2" t="s">
        <v>128</v>
      </c>
      <c r="E1624" s="9" t="str">
        <f t="shared" si="368"/>
        <v>PSND'!</v>
      </c>
      <c r="F1624" s="5" t="str">
        <f t="shared" si="369"/>
        <v>C:\Users\jaime.benazar\Quorum Business Solutions\Ecopetrol Prometeo - Documents\Planning Space Implementation\3. Analysis &amp; Design\Design\FC22\DRR Jaime\QUIFA-CAJÚA\Cajua\[VAS_CAJUA_CF_SEC_20230125.xlsx]CF PSND'!</v>
      </c>
      <c r="G1624" s="6" t="s">
        <v>38</v>
      </c>
      <c r="H1624" s="1"/>
      <c r="I1624" s="1"/>
      <c r="J1624" s="1"/>
    </row>
    <row r="1625" spans="1:10" x14ac:dyDescent="0.25">
      <c r="A1625" s="6" t="s">
        <v>104</v>
      </c>
      <c r="B1625" s="6">
        <f t="shared" si="370"/>
        <v>2050</v>
      </c>
      <c r="C1625" s="1" t="s">
        <v>14</v>
      </c>
      <c r="D1625" s="2" t="s">
        <v>128</v>
      </c>
      <c r="E1625" s="9" t="str">
        <f t="shared" si="368"/>
        <v>PSND'!</v>
      </c>
      <c r="F1625" s="5" t="str">
        <f t="shared" si="369"/>
        <v>C:\Users\jaime.benazar\Quorum Business Solutions\Ecopetrol Prometeo - Documents\Planning Space Implementation\3. Analysis &amp; Design\Design\FC22\DRR Jaime\QUIFA-CAJÚA\Cajua\[VAS_CAJUA_CF_SEC_20230125.xlsx]CF PSND'!</v>
      </c>
      <c r="G1625" s="6" t="s">
        <v>38</v>
      </c>
      <c r="H1625" s="1"/>
      <c r="I1625" s="1"/>
      <c r="J1625" s="1"/>
    </row>
    <row r="1626" spans="1:10" x14ac:dyDescent="0.25">
      <c r="A1626" s="6" t="s">
        <v>104</v>
      </c>
      <c r="B1626" s="6">
        <f t="shared" si="370"/>
        <v>2051</v>
      </c>
      <c r="C1626" s="1" t="s">
        <v>14</v>
      </c>
      <c r="D1626" s="2" t="s">
        <v>128</v>
      </c>
      <c r="E1626" s="9" t="str">
        <f t="shared" si="368"/>
        <v>PSND'!</v>
      </c>
      <c r="F1626" s="5" t="str">
        <f t="shared" si="369"/>
        <v>C:\Users\jaime.benazar\Quorum Business Solutions\Ecopetrol Prometeo - Documents\Planning Space Implementation\3. Analysis &amp; Design\Design\FC22\DRR Jaime\QUIFA-CAJÚA\Cajua\[VAS_CAJUA_CF_SEC_20230125.xlsx]CF PSND'!</v>
      </c>
      <c r="G1626" s="6" t="s">
        <v>38</v>
      </c>
      <c r="H1626" s="1"/>
      <c r="I1626" s="1"/>
      <c r="J1626" s="1"/>
    </row>
    <row r="1627" spans="1:10" x14ac:dyDescent="0.25">
      <c r="A1627" s="6" t="s">
        <v>104</v>
      </c>
      <c r="B1627" s="6">
        <f t="shared" si="370"/>
        <v>2052</v>
      </c>
      <c r="C1627" s="1" t="s">
        <v>14</v>
      </c>
      <c r="D1627" s="2" t="s">
        <v>128</v>
      </c>
      <c r="E1627" s="9" t="str">
        <f t="shared" si="368"/>
        <v>PSND'!</v>
      </c>
      <c r="F1627" s="5" t="str">
        <f t="shared" si="369"/>
        <v>C:\Users\jaime.benazar\Quorum Business Solutions\Ecopetrol Prometeo - Documents\Planning Space Implementation\3. Analysis &amp; Design\Design\FC22\DRR Jaime\QUIFA-CAJÚA\Cajua\[VAS_CAJUA_CF_SEC_20230125.xlsx]CF PSND'!</v>
      </c>
      <c r="G1627" s="6" t="s">
        <v>38</v>
      </c>
      <c r="H1627" s="1"/>
      <c r="I1627" s="1"/>
      <c r="J1627" s="1"/>
    </row>
    <row r="1628" spans="1:10" x14ac:dyDescent="0.25">
      <c r="A1628" s="6" t="s">
        <v>104</v>
      </c>
      <c r="B1628" s="6">
        <f t="shared" si="370"/>
        <v>2053</v>
      </c>
      <c r="C1628" s="1" t="s">
        <v>14</v>
      </c>
      <c r="D1628" s="2" t="s">
        <v>128</v>
      </c>
      <c r="E1628" s="9" t="str">
        <f t="shared" si="368"/>
        <v>PSND'!</v>
      </c>
      <c r="F1628" s="5" t="str">
        <f t="shared" si="369"/>
        <v>C:\Users\jaime.benazar\Quorum Business Solutions\Ecopetrol Prometeo - Documents\Planning Space Implementation\3. Analysis &amp; Design\Design\FC22\DRR Jaime\QUIFA-CAJÚA\Cajua\[VAS_CAJUA_CF_SEC_20230125.xlsx]CF PSND'!</v>
      </c>
      <c r="G1628" s="6" t="s">
        <v>38</v>
      </c>
      <c r="H1628" s="1"/>
      <c r="I1628" s="1"/>
      <c r="J1628" s="1"/>
    </row>
    <row r="1629" spans="1:10" x14ac:dyDescent="0.25">
      <c r="A1629" s="6" t="s">
        <v>104</v>
      </c>
      <c r="B1629" s="6">
        <f t="shared" si="370"/>
        <v>2054</v>
      </c>
      <c r="C1629" s="1" t="s">
        <v>14</v>
      </c>
      <c r="D1629" s="2" t="s">
        <v>128</v>
      </c>
      <c r="E1629" s="9" t="str">
        <f t="shared" si="368"/>
        <v>PSND'!</v>
      </c>
      <c r="F1629" s="5" t="str">
        <f t="shared" si="369"/>
        <v>C:\Users\jaime.benazar\Quorum Business Solutions\Ecopetrol Prometeo - Documents\Planning Space Implementation\3. Analysis &amp; Design\Design\FC22\DRR Jaime\QUIFA-CAJÚA\Cajua\[VAS_CAJUA_CF_SEC_20230125.xlsx]CF PSND'!</v>
      </c>
      <c r="G1629" s="6" t="s">
        <v>38</v>
      </c>
      <c r="H1629" s="1"/>
      <c r="I1629" s="1"/>
      <c r="J1629" s="1"/>
    </row>
    <row r="1630" spans="1:10" x14ac:dyDescent="0.25">
      <c r="A1630" s="6" t="s">
        <v>104</v>
      </c>
      <c r="B1630" s="6">
        <f t="shared" si="370"/>
        <v>2055</v>
      </c>
      <c r="C1630" s="1" t="s">
        <v>14</v>
      </c>
      <c r="D1630" s="2" t="s">
        <v>128</v>
      </c>
      <c r="E1630" s="9" t="str">
        <f t="shared" si="368"/>
        <v>PSND'!</v>
      </c>
      <c r="F1630" s="5" t="str">
        <f t="shared" si="369"/>
        <v>C:\Users\jaime.benazar\Quorum Business Solutions\Ecopetrol Prometeo - Documents\Planning Space Implementation\3. Analysis &amp; Design\Design\FC22\DRR Jaime\QUIFA-CAJÚA\Cajua\[VAS_CAJUA_CF_SEC_20230125.xlsx]CF PSND'!</v>
      </c>
      <c r="G1630" s="6" t="s">
        <v>38</v>
      </c>
      <c r="H1630" s="1"/>
      <c r="I1630" s="1"/>
      <c r="J1630" s="1"/>
    </row>
    <row r="1631" spans="1:10" x14ac:dyDescent="0.25">
      <c r="A1631" s="6" t="s">
        <v>104</v>
      </c>
      <c r="B1631" s="6">
        <f t="shared" si="370"/>
        <v>2056</v>
      </c>
      <c r="C1631" s="1" t="s">
        <v>14</v>
      </c>
      <c r="D1631" s="2" t="s">
        <v>128</v>
      </c>
      <c r="E1631" s="9" t="str">
        <f t="shared" si="368"/>
        <v>PSND'!</v>
      </c>
      <c r="F1631" s="5" t="str">
        <f t="shared" si="369"/>
        <v>C:\Users\jaime.benazar\Quorum Business Solutions\Ecopetrol Prometeo - Documents\Planning Space Implementation\3. Analysis &amp; Design\Design\FC22\DRR Jaime\QUIFA-CAJÚA\Cajua\[VAS_CAJUA_CF_SEC_20230125.xlsx]CF PSND'!</v>
      </c>
      <c r="G1631" s="6" t="s">
        <v>38</v>
      </c>
      <c r="H1631" s="1"/>
      <c r="I1631" s="1"/>
      <c r="J1631" s="1"/>
    </row>
    <row r="1632" spans="1:10" x14ac:dyDescent="0.25">
      <c r="A1632" s="6" t="s">
        <v>104</v>
      </c>
      <c r="B1632" s="6">
        <f t="shared" si="370"/>
        <v>2057</v>
      </c>
      <c r="C1632" s="1" t="s">
        <v>14</v>
      </c>
      <c r="D1632" s="2" t="s">
        <v>128</v>
      </c>
      <c r="E1632" s="9" t="str">
        <f t="shared" si="368"/>
        <v>PSND'!</v>
      </c>
      <c r="F1632" s="5" t="str">
        <f t="shared" si="369"/>
        <v>C:\Users\jaime.benazar\Quorum Business Solutions\Ecopetrol Prometeo - Documents\Planning Space Implementation\3. Analysis &amp; Design\Design\FC22\DRR Jaime\QUIFA-CAJÚA\Cajua\[VAS_CAJUA_CF_SEC_20230125.xlsx]CF PSND'!</v>
      </c>
      <c r="G1632" s="6" t="s">
        <v>38</v>
      </c>
      <c r="H1632" s="1"/>
      <c r="I1632" s="1"/>
      <c r="J1632" s="1"/>
    </row>
    <row r="1633" spans="1:10" x14ac:dyDescent="0.25">
      <c r="A1633" s="6" t="s">
        <v>104</v>
      </c>
      <c r="B1633" s="6">
        <f t="shared" si="370"/>
        <v>2058</v>
      </c>
      <c r="C1633" s="1" t="s">
        <v>14</v>
      </c>
      <c r="D1633" s="2" t="s">
        <v>128</v>
      </c>
      <c r="E1633" s="9" t="str">
        <f t="shared" si="368"/>
        <v>PSND'!</v>
      </c>
      <c r="F1633" s="5" t="str">
        <f t="shared" si="369"/>
        <v>C:\Users\jaime.benazar\Quorum Business Solutions\Ecopetrol Prometeo - Documents\Planning Space Implementation\3. Analysis &amp; Design\Design\FC22\DRR Jaime\QUIFA-CAJÚA\Cajua\[VAS_CAJUA_CF_SEC_20230125.xlsx]CF PSND'!</v>
      </c>
      <c r="G1633" s="6" t="s">
        <v>38</v>
      </c>
      <c r="H1633" s="1"/>
      <c r="I1633" s="1"/>
      <c r="J1633" s="1"/>
    </row>
    <row r="1634" spans="1:10" x14ac:dyDescent="0.25">
      <c r="A1634" s="6" t="s">
        <v>104</v>
      </c>
      <c r="B1634" s="6">
        <f t="shared" si="370"/>
        <v>2059</v>
      </c>
      <c r="C1634" s="1" t="s">
        <v>14</v>
      </c>
      <c r="D1634" s="2" t="s">
        <v>128</v>
      </c>
      <c r="E1634" s="9" t="str">
        <f t="shared" si="368"/>
        <v>PSND'!</v>
      </c>
      <c r="F1634" s="5" t="str">
        <f t="shared" si="369"/>
        <v>C:\Users\jaime.benazar\Quorum Business Solutions\Ecopetrol Prometeo - Documents\Planning Space Implementation\3. Analysis &amp; Design\Design\FC22\DRR Jaime\QUIFA-CAJÚA\Cajua\[VAS_CAJUA_CF_SEC_20230125.xlsx]CF PSND'!</v>
      </c>
      <c r="G1634" s="6" t="s">
        <v>38</v>
      </c>
      <c r="H1634" s="1"/>
      <c r="I1634" s="1"/>
      <c r="J1634" s="1"/>
    </row>
    <row r="1635" spans="1:10" x14ac:dyDescent="0.25">
      <c r="A1635" s="6" t="s">
        <v>28</v>
      </c>
      <c r="B1635" s="6"/>
      <c r="C1635" s="1" t="s">
        <v>14</v>
      </c>
      <c r="D1635" s="2"/>
      <c r="E1635" s="9"/>
      <c r="F1635" s="2"/>
      <c r="G1635" s="6"/>
      <c r="H1635" s="1"/>
      <c r="I1635" s="1"/>
      <c r="J1635" s="1"/>
    </row>
    <row r="1636" spans="1:10" x14ac:dyDescent="0.25">
      <c r="A1636" s="6" t="s">
        <v>34</v>
      </c>
      <c r="B1636" s="6">
        <v>2023</v>
      </c>
      <c r="C1636" s="1" t="s">
        <v>14</v>
      </c>
      <c r="D1636" s="2" t="s">
        <v>128</v>
      </c>
      <c r="E1636" s="9" t="str">
        <f t="shared" si="308"/>
        <v>PS'!</v>
      </c>
      <c r="F1636" s="5" t="str">
        <f t="shared" ref="F1636:F1656" si="371">_xlfn.CONCAT(D1636," ",E1636)</f>
        <v>C:\Users\jaime.benazar\Quorum Business Solutions\Ecopetrol Prometeo - Documents\Planning Space Implementation\3. Analysis &amp; Design\Design\FC22\DRR Jaime\QUIFA-CAJÚA\Cajua\[VAS_CAJUA_CF_SEC_20230125.xlsx]CF PS'!</v>
      </c>
      <c r="G1636" s="6" t="s">
        <v>38</v>
      </c>
      <c r="H1636" s="1">
        <f>IF(A1636&lt;&gt;A1506,36,H1506+1)</f>
        <v>36</v>
      </c>
      <c r="I1636" s="1" t="str">
        <f t="shared" si="309"/>
        <v>='C:\Users\jaime.benazar\Quorum Business Solutions\Ecopetrol Prometeo - Documents\Planning Space Implementation\3. Analysis &amp; Design\Design\FC22\DRR Jaime\QUIFA-CAJÚA\Cajua\[VAS_CAJUA_CF_SEC_20230125.xlsx]CF PS'!$BX$36</v>
      </c>
      <c r="J1636" s="1" t="s">
        <v>832</v>
      </c>
    </row>
    <row r="1637" spans="1:10" x14ac:dyDescent="0.25">
      <c r="A1637" s="6" t="s">
        <v>34</v>
      </c>
      <c r="B1637" s="6">
        <f>+B1636+1</f>
        <v>2024</v>
      </c>
      <c r="C1637" s="1" t="s">
        <v>14</v>
      </c>
      <c r="D1637" s="2" t="s">
        <v>128</v>
      </c>
      <c r="E1637" s="9" t="str">
        <f t="shared" si="308"/>
        <v>PS'!</v>
      </c>
      <c r="F1637" s="5" t="str">
        <f t="shared" si="371"/>
        <v>C:\Users\jaime.benazar\Quorum Business Solutions\Ecopetrol Prometeo - Documents\Planning Space Implementation\3. Analysis &amp; Design\Design\FC22\DRR Jaime\QUIFA-CAJÚA\Cajua\[VAS_CAJUA_CF_SEC_20230125.xlsx]CF PS'!</v>
      </c>
      <c r="G1637" s="6" t="s">
        <v>38</v>
      </c>
      <c r="H1637" s="1">
        <f t="shared" si="310"/>
        <v>37</v>
      </c>
      <c r="I1637" s="1" t="str">
        <f t="shared" si="309"/>
        <v>='C:\Users\jaime.benazar\Quorum Business Solutions\Ecopetrol Prometeo - Documents\Planning Space Implementation\3. Analysis &amp; Design\Design\FC22\DRR Jaime\QUIFA-CAJÚA\Cajua\[VAS_CAJUA_CF_SEC_20230125.xlsx]CF PS'!$BX$37</v>
      </c>
      <c r="J1637" s="1" t="s">
        <v>833</v>
      </c>
    </row>
    <row r="1638" spans="1:10" x14ac:dyDescent="0.25">
      <c r="A1638" s="6" t="s">
        <v>34</v>
      </c>
      <c r="B1638" s="6">
        <f t="shared" ref="B1638:B1649" si="372">+B1637+1</f>
        <v>2025</v>
      </c>
      <c r="C1638" s="1" t="s">
        <v>14</v>
      </c>
      <c r="D1638" s="2" t="s">
        <v>128</v>
      </c>
      <c r="E1638" s="9" t="str">
        <f t="shared" si="308"/>
        <v>PS'!</v>
      </c>
      <c r="F1638" s="5" t="str">
        <f t="shared" si="371"/>
        <v>C:\Users\jaime.benazar\Quorum Business Solutions\Ecopetrol Prometeo - Documents\Planning Space Implementation\3. Analysis &amp; Design\Design\FC22\DRR Jaime\QUIFA-CAJÚA\Cajua\[VAS_CAJUA_CF_SEC_20230125.xlsx]CF PS'!</v>
      </c>
      <c r="G1638" s="6" t="s">
        <v>38</v>
      </c>
      <c r="H1638" s="1">
        <f t="shared" si="310"/>
        <v>38</v>
      </c>
      <c r="I1638" s="1" t="str">
        <f t="shared" si="309"/>
        <v>='C:\Users\jaime.benazar\Quorum Business Solutions\Ecopetrol Prometeo - Documents\Planning Space Implementation\3. Analysis &amp; Design\Design\FC22\DRR Jaime\QUIFA-CAJÚA\Cajua\[VAS_CAJUA_CF_SEC_20230125.xlsx]CF PS'!$BX$38</v>
      </c>
      <c r="J1638" s="1" t="s">
        <v>834</v>
      </c>
    </row>
    <row r="1639" spans="1:10" x14ac:dyDescent="0.25">
      <c r="A1639" s="6" t="s">
        <v>34</v>
      </c>
      <c r="B1639" s="6">
        <f t="shared" si="372"/>
        <v>2026</v>
      </c>
      <c r="C1639" s="1" t="s">
        <v>14</v>
      </c>
      <c r="D1639" s="2" t="s">
        <v>128</v>
      </c>
      <c r="E1639" s="9" t="str">
        <f t="shared" si="308"/>
        <v>PS'!</v>
      </c>
      <c r="F1639" s="5" t="str">
        <f t="shared" si="371"/>
        <v>C:\Users\jaime.benazar\Quorum Business Solutions\Ecopetrol Prometeo - Documents\Planning Space Implementation\3. Analysis &amp; Design\Design\FC22\DRR Jaime\QUIFA-CAJÚA\Cajua\[VAS_CAJUA_CF_SEC_20230125.xlsx]CF PS'!</v>
      </c>
      <c r="G1639" s="6" t="s">
        <v>38</v>
      </c>
      <c r="H1639" s="1">
        <f t="shared" si="310"/>
        <v>39</v>
      </c>
      <c r="I1639" s="1" t="str">
        <f t="shared" si="309"/>
        <v>='C:\Users\jaime.benazar\Quorum Business Solutions\Ecopetrol Prometeo - Documents\Planning Space Implementation\3. Analysis &amp; Design\Design\FC22\DRR Jaime\QUIFA-CAJÚA\Cajua\[VAS_CAJUA_CF_SEC_20230125.xlsx]CF PS'!$BX$39</v>
      </c>
      <c r="J1639" s="1" t="s">
        <v>835</v>
      </c>
    </row>
    <row r="1640" spans="1:10" x14ac:dyDescent="0.25">
      <c r="A1640" s="6" t="s">
        <v>34</v>
      </c>
      <c r="B1640" s="6">
        <f t="shared" si="372"/>
        <v>2027</v>
      </c>
      <c r="C1640" s="1" t="s">
        <v>14</v>
      </c>
      <c r="D1640" s="2" t="s">
        <v>128</v>
      </c>
      <c r="E1640" s="9" t="str">
        <f t="shared" si="308"/>
        <v>PS'!</v>
      </c>
      <c r="F1640" s="5" t="str">
        <f t="shared" si="371"/>
        <v>C:\Users\jaime.benazar\Quorum Business Solutions\Ecopetrol Prometeo - Documents\Planning Space Implementation\3. Analysis &amp; Design\Design\FC22\DRR Jaime\QUIFA-CAJÚA\Cajua\[VAS_CAJUA_CF_SEC_20230125.xlsx]CF PS'!</v>
      </c>
      <c r="G1640" s="6" t="s">
        <v>38</v>
      </c>
      <c r="H1640" s="1">
        <f t="shared" si="310"/>
        <v>40</v>
      </c>
      <c r="I1640" s="1" t="str">
        <f t="shared" si="309"/>
        <v>='C:\Users\jaime.benazar\Quorum Business Solutions\Ecopetrol Prometeo - Documents\Planning Space Implementation\3. Analysis &amp; Design\Design\FC22\DRR Jaime\QUIFA-CAJÚA\Cajua\[VAS_CAJUA_CF_SEC_20230125.xlsx]CF PS'!$BX$40</v>
      </c>
      <c r="J1640" s="1" t="s">
        <v>836</v>
      </c>
    </row>
    <row r="1641" spans="1:10" x14ac:dyDescent="0.25">
      <c r="A1641" s="6" t="s">
        <v>34</v>
      </c>
      <c r="B1641" s="6">
        <f t="shared" si="372"/>
        <v>2028</v>
      </c>
      <c r="C1641" s="1" t="s">
        <v>14</v>
      </c>
      <c r="D1641" s="2" t="s">
        <v>128</v>
      </c>
      <c r="E1641" s="9" t="str">
        <f t="shared" si="308"/>
        <v>PS'!</v>
      </c>
      <c r="F1641" s="5" t="str">
        <f t="shared" si="371"/>
        <v>C:\Users\jaime.benazar\Quorum Business Solutions\Ecopetrol Prometeo - Documents\Planning Space Implementation\3. Analysis &amp; Design\Design\FC22\DRR Jaime\QUIFA-CAJÚA\Cajua\[VAS_CAJUA_CF_SEC_20230125.xlsx]CF PS'!</v>
      </c>
      <c r="G1641" s="6" t="s">
        <v>38</v>
      </c>
      <c r="H1641" s="1">
        <f t="shared" si="310"/>
        <v>41</v>
      </c>
      <c r="I1641" s="1" t="str">
        <f t="shared" si="309"/>
        <v>='C:\Users\jaime.benazar\Quorum Business Solutions\Ecopetrol Prometeo - Documents\Planning Space Implementation\3. Analysis &amp; Design\Design\FC22\DRR Jaime\QUIFA-CAJÚA\Cajua\[VAS_CAJUA_CF_SEC_20230125.xlsx]CF PS'!$BX$41</v>
      </c>
      <c r="J1641" s="1" t="s">
        <v>837</v>
      </c>
    </row>
    <row r="1642" spans="1:10" x14ac:dyDescent="0.25">
      <c r="A1642" s="6" t="s">
        <v>34</v>
      </c>
      <c r="B1642" s="6">
        <f t="shared" si="372"/>
        <v>2029</v>
      </c>
      <c r="C1642" s="1" t="s">
        <v>14</v>
      </c>
      <c r="D1642" s="2" t="s">
        <v>128</v>
      </c>
      <c r="E1642" s="9" t="str">
        <f t="shared" si="308"/>
        <v>PS'!</v>
      </c>
      <c r="F1642" s="5" t="str">
        <f t="shared" si="371"/>
        <v>C:\Users\jaime.benazar\Quorum Business Solutions\Ecopetrol Prometeo - Documents\Planning Space Implementation\3. Analysis &amp; Design\Design\FC22\DRR Jaime\QUIFA-CAJÚA\Cajua\[VAS_CAJUA_CF_SEC_20230125.xlsx]CF PS'!</v>
      </c>
      <c r="G1642" s="6" t="s">
        <v>38</v>
      </c>
      <c r="H1642" s="1">
        <f t="shared" si="310"/>
        <v>42</v>
      </c>
      <c r="I1642" s="1" t="str">
        <f t="shared" si="309"/>
        <v>='C:\Users\jaime.benazar\Quorum Business Solutions\Ecopetrol Prometeo - Documents\Planning Space Implementation\3. Analysis &amp; Design\Design\FC22\DRR Jaime\QUIFA-CAJÚA\Cajua\[VAS_CAJUA_CF_SEC_20230125.xlsx]CF PS'!$BX$42</v>
      </c>
      <c r="J1642" s="1" t="s">
        <v>838</v>
      </c>
    </row>
    <row r="1643" spans="1:10" x14ac:dyDescent="0.25">
      <c r="A1643" s="6" t="s">
        <v>34</v>
      </c>
      <c r="B1643" s="6">
        <f t="shared" si="372"/>
        <v>2030</v>
      </c>
      <c r="C1643" s="1" t="s">
        <v>14</v>
      </c>
      <c r="D1643" s="2" t="s">
        <v>128</v>
      </c>
      <c r="E1643" s="9" t="str">
        <f t="shared" si="308"/>
        <v>PS'!</v>
      </c>
      <c r="F1643" s="5" t="str">
        <f t="shared" si="371"/>
        <v>C:\Users\jaime.benazar\Quorum Business Solutions\Ecopetrol Prometeo - Documents\Planning Space Implementation\3. Analysis &amp; Design\Design\FC22\DRR Jaime\QUIFA-CAJÚA\Cajua\[VAS_CAJUA_CF_SEC_20230125.xlsx]CF PS'!</v>
      </c>
      <c r="G1643" s="6" t="s">
        <v>38</v>
      </c>
      <c r="H1643" s="1">
        <f t="shared" si="310"/>
        <v>43</v>
      </c>
      <c r="I1643" s="1" t="str">
        <f t="shared" si="309"/>
        <v>='C:\Users\jaime.benazar\Quorum Business Solutions\Ecopetrol Prometeo - Documents\Planning Space Implementation\3. Analysis &amp; Design\Design\FC22\DRR Jaime\QUIFA-CAJÚA\Cajua\[VAS_CAJUA_CF_SEC_20230125.xlsx]CF PS'!$BX$43</v>
      </c>
      <c r="J1643" s="1" t="s">
        <v>839</v>
      </c>
    </row>
    <row r="1644" spans="1:10" x14ac:dyDescent="0.25">
      <c r="A1644" s="6" t="s">
        <v>34</v>
      </c>
      <c r="B1644" s="6">
        <f t="shared" si="372"/>
        <v>2031</v>
      </c>
      <c r="C1644" s="1" t="s">
        <v>14</v>
      </c>
      <c r="D1644" s="2" t="s">
        <v>128</v>
      </c>
      <c r="E1644" s="9" t="str">
        <f t="shared" si="308"/>
        <v>PS'!</v>
      </c>
      <c r="F1644" s="5" t="str">
        <f t="shared" si="371"/>
        <v>C:\Users\jaime.benazar\Quorum Business Solutions\Ecopetrol Prometeo - Documents\Planning Space Implementation\3. Analysis &amp; Design\Design\FC22\DRR Jaime\QUIFA-CAJÚA\Cajua\[VAS_CAJUA_CF_SEC_20230125.xlsx]CF PS'!</v>
      </c>
      <c r="G1644" s="6" t="s">
        <v>38</v>
      </c>
      <c r="H1644" s="1">
        <f t="shared" si="310"/>
        <v>44</v>
      </c>
      <c r="I1644" s="1" t="str">
        <f t="shared" si="309"/>
        <v>='C:\Users\jaime.benazar\Quorum Business Solutions\Ecopetrol Prometeo - Documents\Planning Space Implementation\3. Analysis &amp; Design\Design\FC22\DRR Jaime\QUIFA-CAJÚA\Cajua\[VAS_CAJUA_CF_SEC_20230125.xlsx]CF PS'!$BX$44</v>
      </c>
      <c r="J1644" s="1" t="s">
        <v>840</v>
      </c>
    </row>
    <row r="1645" spans="1:10" x14ac:dyDescent="0.25">
      <c r="A1645" s="6" t="s">
        <v>34</v>
      </c>
      <c r="B1645" s="6">
        <f t="shared" si="372"/>
        <v>2032</v>
      </c>
      <c r="C1645" s="1" t="s">
        <v>14</v>
      </c>
      <c r="D1645" s="2" t="s">
        <v>128</v>
      </c>
      <c r="E1645" s="9" t="str">
        <f t="shared" si="308"/>
        <v>PS'!</v>
      </c>
      <c r="F1645" s="5" t="str">
        <f t="shared" si="371"/>
        <v>C:\Users\jaime.benazar\Quorum Business Solutions\Ecopetrol Prometeo - Documents\Planning Space Implementation\3. Analysis &amp; Design\Design\FC22\DRR Jaime\QUIFA-CAJÚA\Cajua\[VAS_CAJUA_CF_SEC_20230125.xlsx]CF PS'!</v>
      </c>
      <c r="G1645" s="6" t="s">
        <v>38</v>
      </c>
      <c r="H1645" s="1">
        <f t="shared" si="310"/>
        <v>45</v>
      </c>
      <c r="I1645" s="1" t="str">
        <f t="shared" si="309"/>
        <v>='C:\Users\jaime.benazar\Quorum Business Solutions\Ecopetrol Prometeo - Documents\Planning Space Implementation\3. Analysis &amp; Design\Design\FC22\DRR Jaime\QUIFA-CAJÚA\Cajua\[VAS_CAJUA_CF_SEC_20230125.xlsx]CF PS'!$BX$45</v>
      </c>
      <c r="J1645" s="1" t="s">
        <v>841</v>
      </c>
    </row>
    <row r="1646" spans="1:10" x14ac:dyDescent="0.25">
      <c r="A1646" s="6" t="s">
        <v>34</v>
      </c>
      <c r="B1646" s="6">
        <f t="shared" si="372"/>
        <v>2033</v>
      </c>
      <c r="C1646" s="1" t="s">
        <v>14</v>
      </c>
      <c r="D1646" s="2" t="s">
        <v>128</v>
      </c>
      <c r="E1646" s="9" t="str">
        <f t="shared" si="308"/>
        <v>PS'!</v>
      </c>
      <c r="F1646" s="5" t="str">
        <f t="shared" si="371"/>
        <v>C:\Users\jaime.benazar\Quorum Business Solutions\Ecopetrol Prometeo - Documents\Planning Space Implementation\3. Analysis &amp; Design\Design\FC22\DRR Jaime\QUIFA-CAJÚA\Cajua\[VAS_CAJUA_CF_SEC_20230125.xlsx]CF PS'!</v>
      </c>
      <c r="G1646" s="6" t="s">
        <v>38</v>
      </c>
      <c r="H1646" s="1">
        <f t="shared" si="310"/>
        <v>46</v>
      </c>
      <c r="I1646" s="1" t="str">
        <f t="shared" si="309"/>
        <v>='C:\Users\jaime.benazar\Quorum Business Solutions\Ecopetrol Prometeo - Documents\Planning Space Implementation\3. Analysis &amp; Design\Design\FC22\DRR Jaime\QUIFA-CAJÚA\Cajua\[VAS_CAJUA_CF_SEC_20230125.xlsx]CF PS'!$BX$46</v>
      </c>
      <c r="J1646" s="1" t="s">
        <v>842</v>
      </c>
    </row>
    <row r="1647" spans="1:10" x14ac:dyDescent="0.25">
      <c r="A1647" s="6" t="s">
        <v>34</v>
      </c>
      <c r="B1647" s="6">
        <f t="shared" si="372"/>
        <v>2034</v>
      </c>
      <c r="C1647" s="1" t="s">
        <v>14</v>
      </c>
      <c r="D1647" s="2" t="s">
        <v>128</v>
      </c>
      <c r="E1647" s="9" t="str">
        <f t="shared" si="308"/>
        <v>PS'!</v>
      </c>
      <c r="F1647" s="5" t="str">
        <f t="shared" si="371"/>
        <v>C:\Users\jaime.benazar\Quorum Business Solutions\Ecopetrol Prometeo - Documents\Planning Space Implementation\3. Analysis &amp; Design\Design\FC22\DRR Jaime\QUIFA-CAJÚA\Cajua\[VAS_CAJUA_CF_SEC_20230125.xlsx]CF PS'!</v>
      </c>
      <c r="G1647" s="6" t="s">
        <v>38</v>
      </c>
      <c r="H1647" s="1">
        <f t="shared" si="310"/>
        <v>47</v>
      </c>
      <c r="I1647" s="1" t="str">
        <f t="shared" si="309"/>
        <v>='C:\Users\jaime.benazar\Quorum Business Solutions\Ecopetrol Prometeo - Documents\Planning Space Implementation\3. Analysis &amp; Design\Design\FC22\DRR Jaime\QUIFA-CAJÚA\Cajua\[VAS_CAJUA_CF_SEC_20230125.xlsx]CF PS'!$BX$47</v>
      </c>
      <c r="J1647" s="1" t="s">
        <v>843</v>
      </c>
    </row>
    <row r="1648" spans="1:10" x14ac:dyDescent="0.25">
      <c r="A1648" s="6" t="s">
        <v>34</v>
      </c>
      <c r="B1648" s="6">
        <f t="shared" si="372"/>
        <v>2035</v>
      </c>
      <c r="C1648" s="1" t="s">
        <v>14</v>
      </c>
      <c r="D1648" s="2" t="s">
        <v>128</v>
      </c>
      <c r="E1648" s="9" t="str">
        <f t="shared" si="308"/>
        <v>PS'!</v>
      </c>
      <c r="F1648" s="5" t="str">
        <f t="shared" si="371"/>
        <v>C:\Users\jaime.benazar\Quorum Business Solutions\Ecopetrol Prometeo - Documents\Planning Space Implementation\3. Analysis &amp; Design\Design\FC22\DRR Jaime\QUIFA-CAJÚA\Cajua\[VAS_CAJUA_CF_SEC_20230125.xlsx]CF PS'!</v>
      </c>
      <c r="G1648" s="6" t="s">
        <v>38</v>
      </c>
      <c r="H1648" s="1">
        <f t="shared" si="310"/>
        <v>48</v>
      </c>
      <c r="I1648" s="1" t="str">
        <f t="shared" si="309"/>
        <v>='C:\Users\jaime.benazar\Quorum Business Solutions\Ecopetrol Prometeo - Documents\Planning Space Implementation\3. Analysis &amp; Design\Design\FC22\DRR Jaime\QUIFA-CAJÚA\Cajua\[VAS_CAJUA_CF_SEC_20230125.xlsx]CF PS'!$BX$48</v>
      </c>
      <c r="J1648" s="1" t="s">
        <v>844</v>
      </c>
    </row>
    <row r="1649" spans="1:10" x14ac:dyDescent="0.25">
      <c r="A1649" s="6" t="s">
        <v>34</v>
      </c>
      <c r="B1649" s="6">
        <f t="shared" si="372"/>
        <v>2036</v>
      </c>
      <c r="C1649" s="1" t="s">
        <v>14</v>
      </c>
      <c r="D1649" s="2" t="s">
        <v>128</v>
      </c>
      <c r="E1649" s="9" t="str">
        <f t="shared" si="308"/>
        <v>PS'!</v>
      </c>
      <c r="F1649" s="5" t="str">
        <f t="shared" si="371"/>
        <v>C:\Users\jaime.benazar\Quorum Business Solutions\Ecopetrol Prometeo - Documents\Planning Space Implementation\3. Analysis &amp; Design\Design\FC22\DRR Jaime\QUIFA-CAJÚA\Cajua\[VAS_CAJUA_CF_SEC_20230125.xlsx]CF PS'!</v>
      </c>
      <c r="G1649" s="6" t="s">
        <v>38</v>
      </c>
      <c r="H1649" s="1">
        <f t="shared" si="310"/>
        <v>49</v>
      </c>
      <c r="I1649" s="1" t="str">
        <f t="shared" si="309"/>
        <v>='C:\Users\jaime.benazar\Quorum Business Solutions\Ecopetrol Prometeo - Documents\Planning Space Implementation\3. Analysis &amp; Design\Design\FC22\DRR Jaime\QUIFA-CAJÚA\Cajua\[VAS_CAJUA_CF_SEC_20230125.xlsx]CF PS'!$BX$49</v>
      </c>
      <c r="J1649" s="1" t="s">
        <v>845</v>
      </c>
    </row>
    <row r="1650" spans="1:10" x14ac:dyDescent="0.25">
      <c r="A1650" s="6" t="s">
        <v>34</v>
      </c>
      <c r="B1650" s="6">
        <f>+B1649+1</f>
        <v>2037</v>
      </c>
      <c r="C1650" s="1" t="s">
        <v>14</v>
      </c>
      <c r="D1650" s="2" t="s">
        <v>128</v>
      </c>
      <c r="E1650" s="9" t="str">
        <f t="shared" si="308"/>
        <v>PS'!</v>
      </c>
      <c r="F1650" s="5" t="str">
        <f t="shared" si="371"/>
        <v>C:\Users\jaime.benazar\Quorum Business Solutions\Ecopetrol Prometeo - Documents\Planning Space Implementation\3. Analysis &amp; Design\Design\FC22\DRR Jaime\QUIFA-CAJÚA\Cajua\[VAS_CAJUA_CF_SEC_20230125.xlsx]CF PS'!</v>
      </c>
      <c r="G1650" s="6" t="s">
        <v>38</v>
      </c>
      <c r="H1650" s="1">
        <f t="shared" si="310"/>
        <v>50</v>
      </c>
      <c r="I1650" s="1" t="str">
        <f t="shared" si="309"/>
        <v>='C:\Users\jaime.benazar\Quorum Business Solutions\Ecopetrol Prometeo - Documents\Planning Space Implementation\3. Analysis &amp; Design\Design\FC22\DRR Jaime\QUIFA-CAJÚA\Cajua\[VAS_CAJUA_CF_SEC_20230125.xlsx]CF PS'!$BX$50</v>
      </c>
      <c r="J1650" s="1" t="s">
        <v>846</v>
      </c>
    </row>
    <row r="1651" spans="1:10" x14ac:dyDescent="0.25">
      <c r="A1651" s="6" t="s">
        <v>34</v>
      </c>
      <c r="B1651" s="6">
        <f t="shared" ref="B1651:B1653" si="373">+B1650+1</f>
        <v>2038</v>
      </c>
      <c r="C1651" s="1" t="s">
        <v>14</v>
      </c>
      <c r="D1651" s="2" t="s">
        <v>128</v>
      </c>
      <c r="E1651" s="9" t="str">
        <f t="shared" si="308"/>
        <v>PS'!</v>
      </c>
      <c r="F1651" s="5" t="str">
        <f t="shared" si="371"/>
        <v>C:\Users\jaime.benazar\Quorum Business Solutions\Ecopetrol Prometeo - Documents\Planning Space Implementation\3. Analysis &amp; Design\Design\FC22\DRR Jaime\QUIFA-CAJÚA\Cajua\[VAS_CAJUA_CF_SEC_20230125.xlsx]CF PS'!</v>
      </c>
      <c r="G1651" s="6" t="s">
        <v>38</v>
      </c>
      <c r="H1651" s="1">
        <f t="shared" si="310"/>
        <v>51</v>
      </c>
      <c r="I1651" s="1" t="str">
        <f t="shared" si="309"/>
        <v>='C:\Users\jaime.benazar\Quorum Business Solutions\Ecopetrol Prometeo - Documents\Planning Space Implementation\3. Analysis &amp; Design\Design\FC22\DRR Jaime\QUIFA-CAJÚA\Cajua\[VAS_CAJUA_CF_SEC_20230125.xlsx]CF PS'!$BX$51</v>
      </c>
      <c r="J1651" s="1" t="s">
        <v>847</v>
      </c>
    </row>
    <row r="1652" spans="1:10" x14ac:dyDescent="0.25">
      <c r="A1652" s="6" t="s">
        <v>34</v>
      </c>
      <c r="B1652" s="6">
        <f t="shared" si="373"/>
        <v>2039</v>
      </c>
      <c r="C1652" s="1" t="s">
        <v>14</v>
      </c>
      <c r="D1652" s="2" t="s">
        <v>128</v>
      </c>
      <c r="E1652" s="9" t="str">
        <f t="shared" si="308"/>
        <v>PS'!</v>
      </c>
      <c r="F1652" s="5" t="str">
        <f t="shared" si="371"/>
        <v>C:\Users\jaime.benazar\Quorum Business Solutions\Ecopetrol Prometeo - Documents\Planning Space Implementation\3. Analysis &amp; Design\Design\FC22\DRR Jaime\QUIFA-CAJÚA\Cajua\[VAS_CAJUA_CF_SEC_20230125.xlsx]CF PS'!</v>
      </c>
      <c r="G1652" s="6" t="s">
        <v>38</v>
      </c>
      <c r="H1652" s="1">
        <f t="shared" si="310"/>
        <v>52</v>
      </c>
      <c r="I1652" s="1" t="str">
        <f t="shared" si="309"/>
        <v>='C:\Users\jaime.benazar\Quorum Business Solutions\Ecopetrol Prometeo - Documents\Planning Space Implementation\3. Analysis &amp; Design\Design\FC22\DRR Jaime\QUIFA-CAJÚA\Cajua\[VAS_CAJUA_CF_SEC_20230125.xlsx]CF PS'!$BX$52</v>
      </c>
      <c r="J1652" s="1" t="s">
        <v>848</v>
      </c>
    </row>
    <row r="1653" spans="1:10" x14ac:dyDescent="0.25">
      <c r="A1653" s="6" t="s">
        <v>34</v>
      </c>
      <c r="B1653" s="6">
        <f t="shared" si="373"/>
        <v>2040</v>
      </c>
      <c r="C1653" s="1" t="s">
        <v>14</v>
      </c>
      <c r="D1653" s="2" t="s">
        <v>128</v>
      </c>
      <c r="E1653" s="9" t="str">
        <f t="shared" si="308"/>
        <v>PS'!</v>
      </c>
      <c r="F1653" s="5" t="str">
        <f t="shared" si="371"/>
        <v>C:\Users\jaime.benazar\Quorum Business Solutions\Ecopetrol Prometeo - Documents\Planning Space Implementation\3. Analysis &amp; Design\Design\FC22\DRR Jaime\QUIFA-CAJÚA\Cajua\[VAS_CAJUA_CF_SEC_20230125.xlsx]CF PS'!</v>
      </c>
      <c r="G1653" s="6" t="s">
        <v>38</v>
      </c>
      <c r="H1653" s="1">
        <f t="shared" si="310"/>
        <v>53</v>
      </c>
      <c r="I1653" s="1" t="str">
        <f t="shared" si="309"/>
        <v>='C:\Users\jaime.benazar\Quorum Business Solutions\Ecopetrol Prometeo - Documents\Planning Space Implementation\3. Analysis &amp; Design\Design\FC22\DRR Jaime\QUIFA-CAJÚA\Cajua\[VAS_CAJUA_CF_SEC_20230125.xlsx]CF PS'!$BX$53</v>
      </c>
      <c r="J1653" s="1" t="s">
        <v>849</v>
      </c>
    </row>
    <row r="1654" spans="1:10" x14ac:dyDescent="0.25">
      <c r="A1654" s="6" t="s">
        <v>34</v>
      </c>
      <c r="B1654" s="6">
        <f>+B1653+1</f>
        <v>2041</v>
      </c>
      <c r="C1654" s="1" t="s">
        <v>14</v>
      </c>
      <c r="D1654" s="2" t="s">
        <v>128</v>
      </c>
      <c r="E1654" s="9" t="str">
        <f t="shared" si="308"/>
        <v>PS'!</v>
      </c>
      <c r="F1654" s="5" t="str">
        <f t="shared" si="371"/>
        <v>C:\Users\jaime.benazar\Quorum Business Solutions\Ecopetrol Prometeo - Documents\Planning Space Implementation\3. Analysis &amp; Design\Design\FC22\DRR Jaime\QUIFA-CAJÚA\Cajua\[VAS_CAJUA_CF_SEC_20230125.xlsx]CF PS'!</v>
      </c>
      <c r="G1654" s="6" t="s">
        <v>38</v>
      </c>
      <c r="H1654" s="1">
        <f t="shared" si="310"/>
        <v>54</v>
      </c>
      <c r="I1654" s="1" t="str">
        <f t="shared" si="309"/>
        <v>='C:\Users\jaime.benazar\Quorum Business Solutions\Ecopetrol Prometeo - Documents\Planning Space Implementation\3. Analysis &amp; Design\Design\FC22\DRR Jaime\QUIFA-CAJÚA\Cajua\[VAS_CAJUA_CF_SEC_20230125.xlsx]CF PS'!$BX$54</v>
      </c>
      <c r="J1654" s="1" t="s">
        <v>850</v>
      </c>
    </row>
    <row r="1655" spans="1:10" x14ac:dyDescent="0.25">
      <c r="A1655" s="6" t="s">
        <v>34</v>
      </c>
      <c r="B1655" s="6">
        <f t="shared" ref="B1655:B1656" si="374">+B1654+1</f>
        <v>2042</v>
      </c>
      <c r="C1655" s="1" t="s">
        <v>14</v>
      </c>
      <c r="D1655" s="2" t="s">
        <v>128</v>
      </c>
      <c r="E1655" s="9" t="str">
        <f t="shared" si="308"/>
        <v>PS'!</v>
      </c>
      <c r="F1655" s="5" t="str">
        <f t="shared" si="371"/>
        <v>C:\Users\jaime.benazar\Quorum Business Solutions\Ecopetrol Prometeo - Documents\Planning Space Implementation\3. Analysis &amp; Design\Design\FC22\DRR Jaime\QUIFA-CAJÚA\Cajua\[VAS_CAJUA_CF_SEC_20230125.xlsx]CF PS'!</v>
      </c>
      <c r="G1655" s="6" t="s">
        <v>38</v>
      </c>
      <c r="H1655" s="1">
        <f t="shared" si="310"/>
        <v>55</v>
      </c>
      <c r="I1655" s="1" t="str">
        <f t="shared" si="309"/>
        <v>='C:\Users\jaime.benazar\Quorum Business Solutions\Ecopetrol Prometeo - Documents\Planning Space Implementation\3. Analysis &amp; Design\Design\FC22\DRR Jaime\QUIFA-CAJÚA\Cajua\[VAS_CAJUA_CF_SEC_20230125.xlsx]CF PS'!$BX$55</v>
      </c>
      <c r="J1655" s="1" t="s">
        <v>851</v>
      </c>
    </row>
    <row r="1656" spans="1:10" x14ac:dyDescent="0.25">
      <c r="A1656" s="6" t="s">
        <v>34</v>
      </c>
      <c r="B1656" s="6">
        <f t="shared" si="374"/>
        <v>2043</v>
      </c>
      <c r="C1656" s="1" t="s">
        <v>14</v>
      </c>
      <c r="D1656" s="2" t="s">
        <v>128</v>
      </c>
      <c r="E1656" s="9" t="str">
        <f t="shared" si="308"/>
        <v>PS'!</v>
      </c>
      <c r="F1656" s="5" t="str">
        <f t="shared" si="371"/>
        <v>C:\Users\jaime.benazar\Quorum Business Solutions\Ecopetrol Prometeo - Documents\Planning Space Implementation\3. Analysis &amp; Design\Design\FC22\DRR Jaime\QUIFA-CAJÚA\Cajua\[VAS_CAJUA_CF_SEC_20230125.xlsx]CF PS'!</v>
      </c>
      <c r="G1656" s="6" t="s">
        <v>38</v>
      </c>
      <c r="H1656" s="1">
        <f t="shared" si="310"/>
        <v>56</v>
      </c>
      <c r="I1656" s="1" t="str">
        <f t="shared" si="309"/>
        <v>='C:\Users\jaime.benazar\Quorum Business Solutions\Ecopetrol Prometeo - Documents\Planning Space Implementation\3. Analysis &amp; Design\Design\FC22\DRR Jaime\QUIFA-CAJÚA\Cajua\[VAS_CAJUA_CF_SEC_20230125.xlsx]CF PS'!$BX$56</v>
      </c>
      <c r="J1656" s="1" t="s">
        <v>852</v>
      </c>
    </row>
    <row r="1657" spans="1:10" x14ac:dyDescent="0.25">
      <c r="A1657" s="6" t="s">
        <v>34</v>
      </c>
      <c r="B1657" s="6">
        <f>+B1656+1</f>
        <v>2044</v>
      </c>
      <c r="C1657" s="1" t="s">
        <v>14</v>
      </c>
      <c r="D1657" s="2" t="s">
        <v>128</v>
      </c>
      <c r="E1657" s="9" t="str">
        <f t="shared" ref="E1657:E1672" si="375">_xlfn.CONCAT(A1657,"'!")</f>
        <v>PS'!</v>
      </c>
      <c r="F1657" s="5" t="str">
        <f t="shared" ref="F1657:F1672" si="376">_xlfn.CONCAT(D1657," ",E1657)</f>
        <v>C:\Users\jaime.benazar\Quorum Business Solutions\Ecopetrol Prometeo - Documents\Planning Space Implementation\3. Analysis &amp; Design\Design\FC22\DRR Jaime\QUIFA-CAJÚA\Cajua\[VAS_CAJUA_CF_SEC_20230125.xlsx]CF PS'!</v>
      </c>
      <c r="G1657" s="6" t="s">
        <v>38</v>
      </c>
      <c r="H1657" s="1">
        <f t="shared" ref="H1657:H1672" si="377">IF(A1657&lt;&gt;A1656,36,H1656+1)</f>
        <v>57</v>
      </c>
      <c r="I1657" s="1" t="str">
        <f t="shared" ref="I1657:I1672" si="378">_xlfn.CONCAT("='",F1657:H1657)</f>
        <v>='C:\Users\jaime.benazar\Quorum Business Solutions\Ecopetrol Prometeo - Documents\Planning Space Implementation\3. Analysis &amp; Design\Design\FC22\DRR Jaime\QUIFA-CAJÚA\Cajua\[VAS_CAJUA_CF_SEC_20230125.xlsx]CF PS'!$BX$57</v>
      </c>
      <c r="J1657" s="1" t="s">
        <v>853</v>
      </c>
    </row>
    <row r="1658" spans="1:10" x14ac:dyDescent="0.25">
      <c r="A1658" s="6" t="s">
        <v>34</v>
      </c>
      <c r="B1658" s="6">
        <f t="shared" ref="B1658:B1672" si="379">+B1657+1</f>
        <v>2045</v>
      </c>
      <c r="C1658" s="1" t="s">
        <v>14</v>
      </c>
      <c r="D1658" s="2" t="s">
        <v>128</v>
      </c>
      <c r="E1658" s="9" t="str">
        <f t="shared" si="375"/>
        <v>PS'!</v>
      </c>
      <c r="F1658" s="5" t="str">
        <f t="shared" si="376"/>
        <v>C:\Users\jaime.benazar\Quorum Business Solutions\Ecopetrol Prometeo - Documents\Planning Space Implementation\3. Analysis &amp; Design\Design\FC22\DRR Jaime\QUIFA-CAJÚA\Cajua\[VAS_CAJUA_CF_SEC_20230125.xlsx]CF PS'!</v>
      </c>
      <c r="G1658" s="6" t="s">
        <v>38</v>
      </c>
      <c r="H1658" s="1">
        <f t="shared" si="377"/>
        <v>58</v>
      </c>
      <c r="I1658" s="1" t="str">
        <f t="shared" si="378"/>
        <v>='C:\Users\jaime.benazar\Quorum Business Solutions\Ecopetrol Prometeo - Documents\Planning Space Implementation\3. Analysis &amp; Design\Design\FC22\DRR Jaime\QUIFA-CAJÚA\Cajua\[VAS_CAJUA_CF_SEC_20230125.xlsx]CF PS'!$BX$58</v>
      </c>
      <c r="J1658" s="1" t="s">
        <v>854</v>
      </c>
    </row>
    <row r="1659" spans="1:10" x14ac:dyDescent="0.25">
      <c r="A1659" s="6" t="s">
        <v>34</v>
      </c>
      <c r="B1659" s="6">
        <f t="shared" si="379"/>
        <v>2046</v>
      </c>
      <c r="C1659" s="1" t="s">
        <v>14</v>
      </c>
      <c r="D1659" s="2" t="s">
        <v>128</v>
      </c>
      <c r="E1659" s="9" t="str">
        <f t="shared" si="375"/>
        <v>PS'!</v>
      </c>
      <c r="F1659" s="5" t="str">
        <f t="shared" si="376"/>
        <v>C:\Users\jaime.benazar\Quorum Business Solutions\Ecopetrol Prometeo - Documents\Planning Space Implementation\3. Analysis &amp; Design\Design\FC22\DRR Jaime\QUIFA-CAJÚA\Cajua\[VAS_CAJUA_CF_SEC_20230125.xlsx]CF PS'!</v>
      </c>
      <c r="G1659" s="6" t="s">
        <v>38</v>
      </c>
      <c r="H1659" s="1">
        <f t="shared" si="377"/>
        <v>59</v>
      </c>
      <c r="I1659" s="1" t="str">
        <f t="shared" si="378"/>
        <v>='C:\Users\jaime.benazar\Quorum Business Solutions\Ecopetrol Prometeo - Documents\Planning Space Implementation\3. Analysis &amp; Design\Design\FC22\DRR Jaime\QUIFA-CAJÚA\Cajua\[VAS_CAJUA_CF_SEC_20230125.xlsx]CF PS'!$BX$59</v>
      </c>
      <c r="J1659" s="1" t="s">
        <v>855</v>
      </c>
    </row>
    <row r="1660" spans="1:10" x14ac:dyDescent="0.25">
      <c r="A1660" s="6" t="s">
        <v>34</v>
      </c>
      <c r="B1660" s="6">
        <f t="shared" si="379"/>
        <v>2047</v>
      </c>
      <c r="C1660" s="1" t="s">
        <v>14</v>
      </c>
      <c r="D1660" s="2" t="s">
        <v>128</v>
      </c>
      <c r="E1660" s="9" t="str">
        <f t="shared" si="375"/>
        <v>PS'!</v>
      </c>
      <c r="F1660" s="5" t="str">
        <f t="shared" si="376"/>
        <v>C:\Users\jaime.benazar\Quorum Business Solutions\Ecopetrol Prometeo - Documents\Planning Space Implementation\3. Analysis &amp; Design\Design\FC22\DRR Jaime\QUIFA-CAJÚA\Cajua\[VAS_CAJUA_CF_SEC_20230125.xlsx]CF PS'!</v>
      </c>
      <c r="G1660" s="6" t="s">
        <v>38</v>
      </c>
      <c r="H1660" s="1">
        <f t="shared" si="377"/>
        <v>60</v>
      </c>
      <c r="I1660" s="1" t="str">
        <f t="shared" si="378"/>
        <v>='C:\Users\jaime.benazar\Quorum Business Solutions\Ecopetrol Prometeo - Documents\Planning Space Implementation\3. Analysis &amp; Design\Design\FC22\DRR Jaime\QUIFA-CAJÚA\Cajua\[VAS_CAJUA_CF_SEC_20230125.xlsx]CF PS'!$BX$60</v>
      </c>
      <c r="J1660" s="1" t="s">
        <v>856</v>
      </c>
    </row>
    <row r="1661" spans="1:10" x14ac:dyDescent="0.25">
      <c r="A1661" s="6" t="s">
        <v>34</v>
      </c>
      <c r="B1661" s="6">
        <f t="shared" si="379"/>
        <v>2048</v>
      </c>
      <c r="C1661" s="1" t="s">
        <v>14</v>
      </c>
      <c r="D1661" s="2" t="s">
        <v>128</v>
      </c>
      <c r="E1661" s="9" t="str">
        <f t="shared" si="375"/>
        <v>PS'!</v>
      </c>
      <c r="F1661" s="5" t="str">
        <f t="shared" si="376"/>
        <v>C:\Users\jaime.benazar\Quorum Business Solutions\Ecopetrol Prometeo - Documents\Planning Space Implementation\3. Analysis &amp; Design\Design\FC22\DRR Jaime\QUIFA-CAJÚA\Cajua\[VAS_CAJUA_CF_SEC_20230125.xlsx]CF PS'!</v>
      </c>
      <c r="G1661" s="6" t="s">
        <v>38</v>
      </c>
      <c r="H1661" s="1">
        <f t="shared" si="377"/>
        <v>61</v>
      </c>
      <c r="I1661" s="1" t="str">
        <f t="shared" si="378"/>
        <v>='C:\Users\jaime.benazar\Quorum Business Solutions\Ecopetrol Prometeo - Documents\Planning Space Implementation\3. Analysis &amp; Design\Design\FC22\DRR Jaime\QUIFA-CAJÚA\Cajua\[VAS_CAJUA_CF_SEC_20230125.xlsx]CF PS'!$BX$61</v>
      </c>
      <c r="J1661" s="1" t="s">
        <v>857</v>
      </c>
    </row>
    <row r="1662" spans="1:10" x14ac:dyDescent="0.25">
      <c r="A1662" s="6" t="s">
        <v>34</v>
      </c>
      <c r="B1662" s="6">
        <f t="shared" si="379"/>
        <v>2049</v>
      </c>
      <c r="C1662" s="1" t="s">
        <v>14</v>
      </c>
      <c r="D1662" s="2" t="s">
        <v>128</v>
      </c>
      <c r="E1662" s="9" t="str">
        <f t="shared" si="375"/>
        <v>PS'!</v>
      </c>
      <c r="F1662" s="5" t="str">
        <f t="shared" si="376"/>
        <v>C:\Users\jaime.benazar\Quorum Business Solutions\Ecopetrol Prometeo - Documents\Planning Space Implementation\3. Analysis &amp; Design\Design\FC22\DRR Jaime\QUIFA-CAJÚA\Cajua\[VAS_CAJUA_CF_SEC_20230125.xlsx]CF PS'!</v>
      </c>
      <c r="G1662" s="6" t="s">
        <v>38</v>
      </c>
      <c r="H1662" s="1">
        <f t="shared" si="377"/>
        <v>62</v>
      </c>
      <c r="I1662" s="1" t="str">
        <f t="shared" si="378"/>
        <v>='C:\Users\jaime.benazar\Quorum Business Solutions\Ecopetrol Prometeo - Documents\Planning Space Implementation\3. Analysis &amp; Design\Design\FC22\DRR Jaime\QUIFA-CAJÚA\Cajua\[VAS_CAJUA_CF_SEC_20230125.xlsx]CF PS'!$BX$62</v>
      </c>
      <c r="J1662" s="1" t="s">
        <v>858</v>
      </c>
    </row>
    <row r="1663" spans="1:10" x14ac:dyDescent="0.25">
      <c r="A1663" s="6" t="s">
        <v>34</v>
      </c>
      <c r="B1663" s="6">
        <f t="shared" si="379"/>
        <v>2050</v>
      </c>
      <c r="C1663" s="1" t="s">
        <v>14</v>
      </c>
      <c r="D1663" s="2" t="s">
        <v>128</v>
      </c>
      <c r="E1663" s="9" t="str">
        <f t="shared" si="375"/>
        <v>PS'!</v>
      </c>
      <c r="F1663" s="5" t="str">
        <f t="shared" si="376"/>
        <v>C:\Users\jaime.benazar\Quorum Business Solutions\Ecopetrol Prometeo - Documents\Planning Space Implementation\3. Analysis &amp; Design\Design\FC22\DRR Jaime\QUIFA-CAJÚA\Cajua\[VAS_CAJUA_CF_SEC_20230125.xlsx]CF PS'!</v>
      </c>
      <c r="G1663" s="6" t="s">
        <v>38</v>
      </c>
      <c r="H1663" s="1">
        <f t="shared" si="377"/>
        <v>63</v>
      </c>
      <c r="I1663" s="1" t="str">
        <f t="shared" si="378"/>
        <v>='C:\Users\jaime.benazar\Quorum Business Solutions\Ecopetrol Prometeo - Documents\Planning Space Implementation\3. Analysis &amp; Design\Design\FC22\DRR Jaime\QUIFA-CAJÚA\Cajua\[VAS_CAJUA_CF_SEC_20230125.xlsx]CF PS'!$BX$63</v>
      </c>
      <c r="J1663" s="1" t="s">
        <v>859</v>
      </c>
    </row>
    <row r="1664" spans="1:10" x14ac:dyDescent="0.25">
      <c r="A1664" s="6" t="s">
        <v>34</v>
      </c>
      <c r="B1664" s="6">
        <f t="shared" si="379"/>
        <v>2051</v>
      </c>
      <c r="C1664" s="1" t="s">
        <v>14</v>
      </c>
      <c r="D1664" s="2" t="s">
        <v>128</v>
      </c>
      <c r="E1664" s="9" t="str">
        <f t="shared" si="375"/>
        <v>PS'!</v>
      </c>
      <c r="F1664" s="5" t="str">
        <f t="shared" si="376"/>
        <v>C:\Users\jaime.benazar\Quorum Business Solutions\Ecopetrol Prometeo - Documents\Planning Space Implementation\3. Analysis &amp; Design\Design\FC22\DRR Jaime\QUIFA-CAJÚA\Cajua\[VAS_CAJUA_CF_SEC_20230125.xlsx]CF PS'!</v>
      </c>
      <c r="G1664" s="6" t="s">
        <v>38</v>
      </c>
      <c r="H1664" s="1">
        <f t="shared" si="377"/>
        <v>64</v>
      </c>
      <c r="I1664" s="1" t="str">
        <f t="shared" si="378"/>
        <v>='C:\Users\jaime.benazar\Quorum Business Solutions\Ecopetrol Prometeo - Documents\Planning Space Implementation\3. Analysis &amp; Design\Design\FC22\DRR Jaime\QUIFA-CAJÚA\Cajua\[VAS_CAJUA_CF_SEC_20230125.xlsx]CF PS'!$BX$64</v>
      </c>
      <c r="J1664" s="1" t="s">
        <v>860</v>
      </c>
    </row>
    <row r="1665" spans="1:10" x14ac:dyDescent="0.25">
      <c r="A1665" s="6" t="s">
        <v>34</v>
      </c>
      <c r="B1665" s="6">
        <f t="shared" si="379"/>
        <v>2052</v>
      </c>
      <c r="C1665" s="1" t="s">
        <v>14</v>
      </c>
      <c r="D1665" s="2" t="s">
        <v>128</v>
      </c>
      <c r="E1665" s="9" t="str">
        <f t="shared" si="375"/>
        <v>PS'!</v>
      </c>
      <c r="F1665" s="5" t="str">
        <f t="shared" si="376"/>
        <v>C:\Users\jaime.benazar\Quorum Business Solutions\Ecopetrol Prometeo - Documents\Planning Space Implementation\3. Analysis &amp; Design\Design\FC22\DRR Jaime\QUIFA-CAJÚA\Cajua\[VAS_CAJUA_CF_SEC_20230125.xlsx]CF PS'!</v>
      </c>
      <c r="G1665" s="6" t="s">
        <v>38</v>
      </c>
      <c r="H1665" s="1">
        <f t="shared" si="377"/>
        <v>65</v>
      </c>
      <c r="I1665" s="1" t="str">
        <f t="shared" si="378"/>
        <v>='C:\Users\jaime.benazar\Quorum Business Solutions\Ecopetrol Prometeo - Documents\Planning Space Implementation\3. Analysis &amp; Design\Design\FC22\DRR Jaime\QUIFA-CAJÚA\Cajua\[VAS_CAJUA_CF_SEC_20230125.xlsx]CF PS'!$BX$65</v>
      </c>
      <c r="J1665" s="1" t="s">
        <v>861</v>
      </c>
    </row>
    <row r="1666" spans="1:10" x14ac:dyDescent="0.25">
      <c r="A1666" s="6" t="s">
        <v>34</v>
      </c>
      <c r="B1666" s="6">
        <f t="shared" si="379"/>
        <v>2053</v>
      </c>
      <c r="C1666" s="1" t="s">
        <v>14</v>
      </c>
      <c r="D1666" s="2" t="s">
        <v>128</v>
      </c>
      <c r="E1666" s="9" t="str">
        <f t="shared" si="375"/>
        <v>PS'!</v>
      </c>
      <c r="F1666" s="5" t="str">
        <f t="shared" si="376"/>
        <v>C:\Users\jaime.benazar\Quorum Business Solutions\Ecopetrol Prometeo - Documents\Planning Space Implementation\3. Analysis &amp; Design\Design\FC22\DRR Jaime\QUIFA-CAJÚA\Cajua\[VAS_CAJUA_CF_SEC_20230125.xlsx]CF PS'!</v>
      </c>
      <c r="G1666" s="6" t="s">
        <v>38</v>
      </c>
      <c r="H1666" s="1">
        <f t="shared" si="377"/>
        <v>66</v>
      </c>
      <c r="I1666" s="1" t="str">
        <f t="shared" si="378"/>
        <v>='C:\Users\jaime.benazar\Quorum Business Solutions\Ecopetrol Prometeo - Documents\Planning Space Implementation\3. Analysis &amp; Design\Design\FC22\DRR Jaime\QUIFA-CAJÚA\Cajua\[VAS_CAJUA_CF_SEC_20230125.xlsx]CF PS'!$BX$66</v>
      </c>
      <c r="J1666" s="1" t="s">
        <v>862</v>
      </c>
    </row>
    <row r="1667" spans="1:10" x14ac:dyDescent="0.25">
      <c r="A1667" s="6" t="s">
        <v>34</v>
      </c>
      <c r="B1667" s="6">
        <f t="shared" si="379"/>
        <v>2054</v>
      </c>
      <c r="C1667" s="1" t="s">
        <v>14</v>
      </c>
      <c r="D1667" s="2" t="s">
        <v>128</v>
      </c>
      <c r="E1667" s="9" t="str">
        <f t="shared" si="375"/>
        <v>PS'!</v>
      </c>
      <c r="F1667" s="5" t="str">
        <f t="shared" si="376"/>
        <v>C:\Users\jaime.benazar\Quorum Business Solutions\Ecopetrol Prometeo - Documents\Planning Space Implementation\3. Analysis &amp; Design\Design\FC22\DRR Jaime\QUIFA-CAJÚA\Cajua\[VAS_CAJUA_CF_SEC_20230125.xlsx]CF PS'!</v>
      </c>
      <c r="G1667" s="6" t="s">
        <v>38</v>
      </c>
      <c r="H1667" s="1">
        <f t="shared" si="377"/>
        <v>67</v>
      </c>
      <c r="I1667" s="1" t="str">
        <f t="shared" si="378"/>
        <v>='C:\Users\jaime.benazar\Quorum Business Solutions\Ecopetrol Prometeo - Documents\Planning Space Implementation\3. Analysis &amp; Design\Design\FC22\DRR Jaime\QUIFA-CAJÚA\Cajua\[VAS_CAJUA_CF_SEC_20230125.xlsx]CF PS'!$BX$67</v>
      </c>
      <c r="J1667" s="1" t="s">
        <v>863</v>
      </c>
    </row>
    <row r="1668" spans="1:10" x14ac:dyDescent="0.25">
      <c r="A1668" s="6" t="s">
        <v>34</v>
      </c>
      <c r="B1668" s="6">
        <f t="shared" si="379"/>
        <v>2055</v>
      </c>
      <c r="C1668" s="1" t="s">
        <v>14</v>
      </c>
      <c r="D1668" s="2" t="s">
        <v>128</v>
      </c>
      <c r="E1668" s="9" t="str">
        <f t="shared" si="375"/>
        <v>PS'!</v>
      </c>
      <c r="F1668" s="5" t="str">
        <f t="shared" si="376"/>
        <v>C:\Users\jaime.benazar\Quorum Business Solutions\Ecopetrol Prometeo - Documents\Planning Space Implementation\3. Analysis &amp; Design\Design\FC22\DRR Jaime\QUIFA-CAJÚA\Cajua\[VAS_CAJUA_CF_SEC_20230125.xlsx]CF PS'!</v>
      </c>
      <c r="G1668" s="6" t="s">
        <v>38</v>
      </c>
      <c r="H1668" s="1">
        <f t="shared" si="377"/>
        <v>68</v>
      </c>
      <c r="I1668" s="1" t="str">
        <f t="shared" si="378"/>
        <v>='C:\Users\jaime.benazar\Quorum Business Solutions\Ecopetrol Prometeo - Documents\Planning Space Implementation\3. Analysis &amp; Design\Design\FC22\DRR Jaime\QUIFA-CAJÚA\Cajua\[VAS_CAJUA_CF_SEC_20230125.xlsx]CF PS'!$BX$68</v>
      </c>
      <c r="J1668" s="1" t="s">
        <v>864</v>
      </c>
    </row>
    <row r="1669" spans="1:10" x14ac:dyDescent="0.25">
      <c r="A1669" s="6" t="s">
        <v>34</v>
      </c>
      <c r="B1669" s="6">
        <f t="shared" si="379"/>
        <v>2056</v>
      </c>
      <c r="C1669" s="1" t="s">
        <v>14</v>
      </c>
      <c r="D1669" s="2" t="s">
        <v>128</v>
      </c>
      <c r="E1669" s="9" t="str">
        <f t="shared" si="375"/>
        <v>PS'!</v>
      </c>
      <c r="F1669" s="5" t="str">
        <f t="shared" si="376"/>
        <v>C:\Users\jaime.benazar\Quorum Business Solutions\Ecopetrol Prometeo - Documents\Planning Space Implementation\3. Analysis &amp; Design\Design\FC22\DRR Jaime\QUIFA-CAJÚA\Cajua\[VAS_CAJUA_CF_SEC_20230125.xlsx]CF PS'!</v>
      </c>
      <c r="G1669" s="6" t="s">
        <v>38</v>
      </c>
      <c r="H1669" s="1">
        <f t="shared" si="377"/>
        <v>69</v>
      </c>
      <c r="I1669" s="1" t="str">
        <f t="shared" si="378"/>
        <v>='C:\Users\jaime.benazar\Quorum Business Solutions\Ecopetrol Prometeo - Documents\Planning Space Implementation\3. Analysis &amp; Design\Design\FC22\DRR Jaime\QUIFA-CAJÚA\Cajua\[VAS_CAJUA_CF_SEC_20230125.xlsx]CF PS'!$BX$69</v>
      </c>
      <c r="J1669" s="1" t="s">
        <v>865</v>
      </c>
    </row>
    <row r="1670" spans="1:10" x14ac:dyDescent="0.25">
      <c r="A1670" s="6" t="s">
        <v>34</v>
      </c>
      <c r="B1670" s="6">
        <f t="shared" si="379"/>
        <v>2057</v>
      </c>
      <c r="C1670" s="1" t="s">
        <v>14</v>
      </c>
      <c r="D1670" s="2" t="s">
        <v>128</v>
      </c>
      <c r="E1670" s="9" t="str">
        <f t="shared" si="375"/>
        <v>PS'!</v>
      </c>
      <c r="F1670" s="5" t="str">
        <f t="shared" si="376"/>
        <v>C:\Users\jaime.benazar\Quorum Business Solutions\Ecopetrol Prometeo - Documents\Planning Space Implementation\3. Analysis &amp; Design\Design\FC22\DRR Jaime\QUIFA-CAJÚA\Cajua\[VAS_CAJUA_CF_SEC_20230125.xlsx]CF PS'!</v>
      </c>
      <c r="G1670" s="6" t="s">
        <v>38</v>
      </c>
      <c r="H1670" s="1">
        <f t="shared" si="377"/>
        <v>70</v>
      </c>
      <c r="I1670" s="1" t="str">
        <f t="shared" si="378"/>
        <v>='C:\Users\jaime.benazar\Quorum Business Solutions\Ecopetrol Prometeo - Documents\Planning Space Implementation\3. Analysis &amp; Design\Design\FC22\DRR Jaime\QUIFA-CAJÚA\Cajua\[VAS_CAJUA_CF_SEC_20230125.xlsx]CF PS'!$BX$70</v>
      </c>
      <c r="J1670" s="1" t="s">
        <v>866</v>
      </c>
    </row>
    <row r="1671" spans="1:10" x14ac:dyDescent="0.25">
      <c r="A1671" s="6" t="s">
        <v>34</v>
      </c>
      <c r="B1671" s="6">
        <f t="shared" si="379"/>
        <v>2058</v>
      </c>
      <c r="C1671" s="1" t="s">
        <v>14</v>
      </c>
      <c r="D1671" s="2" t="s">
        <v>128</v>
      </c>
      <c r="E1671" s="9" t="str">
        <f t="shared" si="375"/>
        <v>PS'!</v>
      </c>
      <c r="F1671" s="5" t="str">
        <f t="shared" si="376"/>
        <v>C:\Users\jaime.benazar\Quorum Business Solutions\Ecopetrol Prometeo - Documents\Planning Space Implementation\3. Analysis &amp; Design\Design\FC22\DRR Jaime\QUIFA-CAJÚA\Cajua\[VAS_CAJUA_CF_SEC_20230125.xlsx]CF PS'!</v>
      </c>
      <c r="G1671" s="6" t="s">
        <v>38</v>
      </c>
      <c r="H1671" s="1">
        <f t="shared" si="377"/>
        <v>71</v>
      </c>
      <c r="I1671" s="1" t="str">
        <f t="shared" si="378"/>
        <v>='C:\Users\jaime.benazar\Quorum Business Solutions\Ecopetrol Prometeo - Documents\Planning Space Implementation\3. Analysis &amp; Design\Design\FC22\DRR Jaime\QUIFA-CAJÚA\Cajua\[VAS_CAJUA_CF_SEC_20230125.xlsx]CF PS'!$BX$71</v>
      </c>
      <c r="J1671" s="1" t="s">
        <v>867</v>
      </c>
    </row>
    <row r="1672" spans="1:10" x14ac:dyDescent="0.25">
      <c r="A1672" s="6" t="s">
        <v>34</v>
      </c>
      <c r="B1672" s="6">
        <f t="shared" si="379"/>
        <v>2059</v>
      </c>
      <c r="C1672" s="1" t="s">
        <v>14</v>
      </c>
      <c r="D1672" s="2" t="s">
        <v>128</v>
      </c>
      <c r="E1672" s="9" t="str">
        <f t="shared" si="375"/>
        <v>PS'!</v>
      </c>
      <c r="F1672" s="5" t="str">
        <f t="shared" si="376"/>
        <v>C:\Users\jaime.benazar\Quorum Business Solutions\Ecopetrol Prometeo - Documents\Planning Space Implementation\3. Analysis &amp; Design\Design\FC22\DRR Jaime\QUIFA-CAJÚA\Cajua\[VAS_CAJUA_CF_SEC_20230125.xlsx]CF PS'!</v>
      </c>
      <c r="G1672" s="6" t="s">
        <v>38</v>
      </c>
      <c r="H1672" s="1">
        <f t="shared" si="377"/>
        <v>72</v>
      </c>
      <c r="I1672" s="1" t="str">
        <f t="shared" si="378"/>
        <v>='C:\Users\jaime.benazar\Quorum Business Solutions\Ecopetrol Prometeo - Documents\Planning Space Implementation\3. Analysis &amp; Design\Design\FC22\DRR Jaime\QUIFA-CAJÚA\Cajua\[VAS_CAJUA_CF_SEC_20230125.xlsx]CF PS'!$BX$72</v>
      </c>
      <c r="J1672" s="1" t="s">
        <v>868</v>
      </c>
    </row>
    <row r="1673" spans="1:10" x14ac:dyDescent="0.25">
      <c r="A1673" s="6" t="s">
        <v>28</v>
      </c>
      <c r="B1673" s="6"/>
      <c r="C1673" s="1" t="s">
        <v>14</v>
      </c>
      <c r="D1673" s="2"/>
      <c r="E1673" s="9"/>
      <c r="F1673" s="2"/>
      <c r="G1673" s="6"/>
      <c r="H1673" s="1"/>
      <c r="I1673" s="1"/>
      <c r="J1673" s="4"/>
    </row>
    <row r="1674" spans="1:10" x14ac:dyDescent="0.25">
      <c r="A1674" s="7" t="s">
        <v>1</v>
      </c>
      <c r="B1674" s="7">
        <v>2023</v>
      </c>
      <c r="C1674" s="4" t="s">
        <v>17</v>
      </c>
      <c r="D1674" s="5" t="s">
        <v>128</v>
      </c>
      <c r="E1674" s="10" t="str">
        <f>_xlfn.CONCAT(A1674,"'!")</f>
        <v>PDP'!</v>
      </c>
      <c r="F1674" s="5" t="str">
        <f t="shared" ref="F1674:F1694" si="380">_xlfn.CONCAT(D1674," ",E1674)</f>
        <v>C:\Users\jaime.benazar\Quorum Business Solutions\Ecopetrol Prometeo - Documents\Planning Space Implementation\3. Analysis &amp; Design\Design\FC22\DRR Jaime\QUIFA-CAJÚA\Cajua\[VAS_CAJUA_CF_SEC_20230125.xlsx]CF PDP'!</v>
      </c>
      <c r="G1674" s="7" t="s">
        <v>39</v>
      </c>
      <c r="H1674" s="4">
        <f>IF(A1674&lt;&gt;A1658,36,H1658+1)</f>
        <v>36</v>
      </c>
      <c r="I1674" s="4" t="str">
        <f>_xlfn.CONCAT("='",F1674:H1674)</f>
        <v>='C:\Users\jaime.benazar\Quorum Business Solutions\Ecopetrol Prometeo - Documents\Planning Space Implementation\3. Analysis &amp; Design\Design\FC22\DRR Jaime\QUIFA-CAJÚA\Cajua\[VAS_CAJUA_CF_SEC_20230125.xlsx]CF PDP'!$BU$36</v>
      </c>
      <c r="J1674" s="4" t="s">
        <v>869</v>
      </c>
    </row>
    <row r="1675" spans="1:10" x14ac:dyDescent="0.25">
      <c r="A1675" s="7" t="s">
        <v>1</v>
      </c>
      <c r="B1675" s="7">
        <f>+B1674+1</f>
        <v>2024</v>
      </c>
      <c r="C1675" s="4" t="s">
        <v>17</v>
      </c>
      <c r="D1675" s="5" t="s">
        <v>128</v>
      </c>
      <c r="E1675" s="10" t="str">
        <f t="shared" ref="E1675:E1768" si="381">_xlfn.CONCAT(A1675,"'!")</f>
        <v>PDP'!</v>
      </c>
      <c r="F1675" s="5" t="str">
        <f t="shared" si="380"/>
        <v>C:\Users\jaime.benazar\Quorum Business Solutions\Ecopetrol Prometeo - Documents\Planning Space Implementation\3. Analysis &amp; Design\Design\FC22\DRR Jaime\QUIFA-CAJÚA\Cajua\[VAS_CAJUA_CF_SEC_20230125.xlsx]CF PDP'!</v>
      </c>
      <c r="G1675" s="7" t="s">
        <v>39</v>
      </c>
      <c r="H1675" s="4">
        <f>IF(A1675&lt;&gt;A1674,36,H1674+1)</f>
        <v>37</v>
      </c>
      <c r="I1675" s="4" t="str">
        <f t="shared" ref="I1675:I1768" si="382">_xlfn.CONCAT("='",F1675:H1675)</f>
        <v>='C:\Users\jaime.benazar\Quorum Business Solutions\Ecopetrol Prometeo - Documents\Planning Space Implementation\3. Analysis &amp; Design\Design\FC22\DRR Jaime\QUIFA-CAJÚA\Cajua\[VAS_CAJUA_CF_SEC_20230125.xlsx]CF PDP'!$BU$37</v>
      </c>
      <c r="J1675" s="4" t="s">
        <v>870</v>
      </c>
    </row>
    <row r="1676" spans="1:10" x14ac:dyDescent="0.25">
      <c r="A1676" s="7" t="s">
        <v>1</v>
      </c>
      <c r="B1676" s="7">
        <f t="shared" ref="B1676:B1687" si="383">+B1675+1</f>
        <v>2025</v>
      </c>
      <c r="C1676" s="4" t="s">
        <v>17</v>
      </c>
      <c r="D1676" s="5" t="s">
        <v>128</v>
      </c>
      <c r="E1676" s="10" t="str">
        <f t="shared" si="381"/>
        <v>PDP'!</v>
      </c>
      <c r="F1676" s="5" t="str">
        <f t="shared" si="380"/>
        <v>C:\Users\jaime.benazar\Quorum Business Solutions\Ecopetrol Prometeo - Documents\Planning Space Implementation\3. Analysis &amp; Design\Design\FC22\DRR Jaime\QUIFA-CAJÚA\Cajua\[VAS_CAJUA_CF_SEC_20230125.xlsx]CF PDP'!</v>
      </c>
      <c r="G1676" s="7" t="s">
        <v>39</v>
      </c>
      <c r="H1676" s="4">
        <f t="shared" ref="H1676:H1769" si="384">IF(A1676&lt;&gt;A1675,36,H1675+1)</f>
        <v>38</v>
      </c>
      <c r="I1676" s="4" t="str">
        <f t="shared" si="382"/>
        <v>='C:\Users\jaime.benazar\Quorum Business Solutions\Ecopetrol Prometeo - Documents\Planning Space Implementation\3. Analysis &amp; Design\Design\FC22\DRR Jaime\QUIFA-CAJÚA\Cajua\[VAS_CAJUA_CF_SEC_20230125.xlsx]CF PDP'!$BU$38</v>
      </c>
      <c r="J1676" s="4" t="s">
        <v>871</v>
      </c>
    </row>
    <row r="1677" spans="1:10" x14ac:dyDescent="0.25">
      <c r="A1677" s="7" t="s">
        <v>1</v>
      </c>
      <c r="B1677" s="7">
        <f t="shared" si="383"/>
        <v>2026</v>
      </c>
      <c r="C1677" s="4" t="s">
        <v>17</v>
      </c>
      <c r="D1677" s="5" t="s">
        <v>128</v>
      </c>
      <c r="E1677" s="10" t="str">
        <f t="shared" si="381"/>
        <v>PDP'!</v>
      </c>
      <c r="F1677" s="5" t="str">
        <f t="shared" si="380"/>
        <v>C:\Users\jaime.benazar\Quorum Business Solutions\Ecopetrol Prometeo - Documents\Planning Space Implementation\3. Analysis &amp; Design\Design\FC22\DRR Jaime\QUIFA-CAJÚA\Cajua\[VAS_CAJUA_CF_SEC_20230125.xlsx]CF PDP'!</v>
      </c>
      <c r="G1677" s="7" t="s">
        <v>39</v>
      </c>
      <c r="H1677" s="4">
        <f t="shared" si="384"/>
        <v>39</v>
      </c>
      <c r="I1677" s="4" t="str">
        <f t="shared" si="382"/>
        <v>='C:\Users\jaime.benazar\Quorum Business Solutions\Ecopetrol Prometeo - Documents\Planning Space Implementation\3. Analysis &amp; Design\Design\FC22\DRR Jaime\QUIFA-CAJÚA\Cajua\[VAS_CAJUA_CF_SEC_20230125.xlsx]CF PDP'!$BU$39</v>
      </c>
      <c r="J1677" s="4" t="s">
        <v>872</v>
      </c>
    </row>
    <row r="1678" spans="1:10" x14ac:dyDescent="0.25">
      <c r="A1678" s="7" t="s">
        <v>1</v>
      </c>
      <c r="B1678" s="7">
        <f t="shared" si="383"/>
        <v>2027</v>
      </c>
      <c r="C1678" s="4" t="s">
        <v>17</v>
      </c>
      <c r="D1678" s="5" t="s">
        <v>128</v>
      </c>
      <c r="E1678" s="10" t="str">
        <f t="shared" si="381"/>
        <v>PDP'!</v>
      </c>
      <c r="F1678" s="5" t="str">
        <f t="shared" si="380"/>
        <v>C:\Users\jaime.benazar\Quorum Business Solutions\Ecopetrol Prometeo - Documents\Planning Space Implementation\3. Analysis &amp; Design\Design\FC22\DRR Jaime\QUIFA-CAJÚA\Cajua\[VAS_CAJUA_CF_SEC_20230125.xlsx]CF PDP'!</v>
      </c>
      <c r="G1678" s="7" t="s">
        <v>39</v>
      </c>
      <c r="H1678" s="4">
        <f t="shared" si="384"/>
        <v>40</v>
      </c>
      <c r="I1678" s="4" t="str">
        <f t="shared" si="382"/>
        <v>='C:\Users\jaime.benazar\Quorum Business Solutions\Ecopetrol Prometeo - Documents\Planning Space Implementation\3. Analysis &amp; Design\Design\FC22\DRR Jaime\QUIFA-CAJÚA\Cajua\[VAS_CAJUA_CF_SEC_20230125.xlsx]CF PDP'!$BU$40</v>
      </c>
      <c r="J1678" s="4" t="s">
        <v>873</v>
      </c>
    </row>
    <row r="1679" spans="1:10" x14ac:dyDescent="0.25">
      <c r="A1679" s="7" t="s">
        <v>1</v>
      </c>
      <c r="B1679" s="7">
        <f t="shared" si="383"/>
        <v>2028</v>
      </c>
      <c r="C1679" s="4" t="s">
        <v>17</v>
      </c>
      <c r="D1679" s="5" t="s">
        <v>128</v>
      </c>
      <c r="E1679" s="10" t="str">
        <f t="shared" si="381"/>
        <v>PDP'!</v>
      </c>
      <c r="F1679" s="5" t="str">
        <f t="shared" si="380"/>
        <v>C:\Users\jaime.benazar\Quorum Business Solutions\Ecopetrol Prometeo - Documents\Planning Space Implementation\3. Analysis &amp; Design\Design\FC22\DRR Jaime\QUIFA-CAJÚA\Cajua\[VAS_CAJUA_CF_SEC_20230125.xlsx]CF PDP'!</v>
      </c>
      <c r="G1679" s="7" t="s">
        <v>39</v>
      </c>
      <c r="H1679" s="4">
        <f t="shared" si="384"/>
        <v>41</v>
      </c>
      <c r="I1679" s="4" t="str">
        <f t="shared" si="382"/>
        <v>='C:\Users\jaime.benazar\Quorum Business Solutions\Ecopetrol Prometeo - Documents\Planning Space Implementation\3. Analysis &amp; Design\Design\FC22\DRR Jaime\QUIFA-CAJÚA\Cajua\[VAS_CAJUA_CF_SEC_20230125.xlsx]CF PDP'!$BU$41</v>
      </c>
      <c r="J1679" s="4" t="s">
        <v>874</v>
      </c>
    </row>
    <row r="1680" spans="1:10" x14ac:dyDescent="0.25">
      <c r="A1680" s="7" t="s">
        <v>1</v>
      </c>
      <c r="B1680" s="7">
        <f t="shared" si="383"/>
        <v>2029</v>
      </c>
      <c r="C1680" s="4" t="s">
        <v>17</v>
      </c>
      <c r="D1680" s="5" t="s">
        <v>128</v>
      </c>
      <c r="E1680" s="10" t="str">
        <f t="shared" si="381"/>
        <v>PDP'!</v>
      </c>
      <c r="F1680" s="5" t="str">
        <f t="shared" si="380"/>
        <v>C:\Users\jaime.benazar\Quorum Business Solutions\Ecopetrol Prometeo - Documents\Planning Space Implementation\3. Analysis &amp; Design\Design\FC22\DRR Jaime\QUIFA-CAJÚA\Cajua\[VAS_CAJUA_CF_SEC_20230125.xlsx]CF PDP'!</v>
      </c>
      <c r="G1680" s="7" t="s">
        <v>39</v>
      </c>
      <c r="H1680" s="4">
        <f t="shared" si="384"/>
        <v>42</v>
      </c>
      <c r="I1680" s="4" t="str">
        <f t="shared" si="382"/>
        <v>='C:\Users\jaime.benazar\Quorum Business Solutions\Ecopetrol Prometeo - Documents\Planning Space Implementation\3. Analysis &amp; Design\Design\FC22\DRR Jaime\QUIFA-CAJÚA\Cajua\[VAS_CAJUA_CF_SEC_20230125.xlsx]CF PDP'!$BU$42</v>
      </c>
      <c r="J1680" s="4" t="s">
        <v>875</v>
      </c>
    </row>
    <row r="1681" spans="1:10" x14ac:dyDescent="0.25">
      <c r="A1681" s="7" t="s">
        <v>1</v>
      </c>
      <c r="B1681" s="7">
        <f t="shared" si="383"/>
        <v>2030</v>
      </c>
      <c r="C1681" s="4" t="s">
        <v>17</v>
      </c>
      <c r="D1681" s="5" t="s">
        <v>128</v>
      </c>
      <c r="E1681" s="10" t="str">
        <f t="shared" si="381"/>
        <v>PDP'!</v>
      </c>
      <c r="F1681" s="5" t="str">
        <f t="shared" si="380"/>
        <v>C:\Users\jaime.benazar\Quorum Business Solutions\Ecopetrol Prometeo - Documents\Planning Space Implementation\3. Analysis &amp; Design\Design\FC22\DRR Jaime\QUIFA-CAJÚA\Cajua\[VAS_CAJUA_CF_SEC_20230125.xlsx]CF PDP'!</v>
      </c>
      <c r="G1681" s="7" t="s">
        <v>39</v>
      </c>
      <c r="H1681" s="4">
        <f t="shared" si="384"/>
        <v>43</v>
      </c>
      <c r="I1681" s="4" t="str">
        <f t="shared" si="382"/>
        <v>='C:\Users\jaime.benazar\Quorum Business Solutions\Ecopetrol Prometeo - Documents\Planning Space Implementation\3. Analysis &amp; Design\Design\FC22\DRR Jaime\QUIFA-CAJÚA\Cajua\[VAS_CAJUA_CF_SEC_20230125.xlsx]CF PDP'!$BU$43</v>
      </c>
      <c r="J1681" s="4" t="s">
        <v>876</v>
      </c>
    </row>
    <row r="1682" spans="1:10" x14ac:dyDescent="0.25">
      <c r="A1682" s="7" t="s">
        <v>1</v>
      </c>
      <c r="B1682" s="7">
        <f t="shared" si="383"/>
        <v>2031</v>
      </c>
      <c r="C1682" s="4" t="s">
        <v>17</v>
      </c>
      <c r="D1682" s="5" t="s">
        <v>128</v>
      </c>
      <c r="E1682" s="10" t="str">
        <f t="shared" si="381"/>
        <v>PDP'!</v>
      </c>
      <c r="F1682" s="5" t="str">
        <f t="shared" si="380"/>
        <v>C:\Users\jaime.benazar\Quorum Business Solutions\Ecopetrol Prometeo - Documents\Planning Space Implementation\3. Analysis &amp; Design\Design\FC22\DRR Jaime\QUIFA-CAJÚA\Cajua\[VAS_CAJUA_CF_SEC_20230125.xlsx]CF PDP'!</v>
      </c>
      <c r="G1682" s="7" t="s">
        <v>39</v>
      </c>
      <c r="H1682" s="4">
        <f t="shared" si="384"/>
        <v>44</v>
      </c>
      <c r="I1682" s="4" t="str">
        <f t="shared" si="382"/>
        <v>='C:\Users\jaime.benazar\Quorum Business Solutions\Ecopetrol Prometeo - Documents\Planning Space Implementation\3. Analysis &amp; Design\Design\FC22\DRR Jaime\QUIFA-CAJÚA\Cajua\[VAS_CAJUA_CF_SEC_20230125.xlsx]CF PDP'!$BU$44</v>
      </c>
      <c r="J1682" s="4" t="s">
        <v>877</v>
      </c>
    </row>
    <row r="1683" spans="1:10" x14ac:dyDescent="0.25">
      <c r="A1683" s="7" t="s">
        <v>1</v>
      </c>
      <c r="B1683" s="7">
        <f t="shared" si="383"/>
        <v>2032</v>
      </c>
      <c r="C1683" s="4" t="s">
        <v>17</v>
      </c>
      <c r="D1683" s="5" t="s">
        <v>128</v>
      </c>
      <c r="E1683" s="10" t="str">
        <f t="shared" si="381"/>
        <v>PDP'!</v>
      </c>
      <c r="F1683" s="5" t="str">
        <f t="shared" si="380"/>
        <v>C:\Users\jaime.benazar\Quorum Business Solutions\Ecopetrol Prometeo - Documents\Planning Space Implementation\3. Analysis &amp; Design\Design\FC22\DRR Jaime\QUIFA-CAJÚA\Cajua\[VAS_CAJUA_CF_SEC_20230125.xlsx]CF PDP'!</v>
      </c>
      <c r="G1683" s="7" t="s">
        <v>39</v>
      </c>
      <c r="H1683" s="4">
        <f t="shared" si="384"/>
        <v>45</v>
      </c>
      <c r="I1683" s="4" t="str">
        <f t="shared" si="382"/>
        <v>='C:\Users\jaime.benazar\Quorum Business Solutions\Ecopetrol Prometeo - Documents\Planning Space Implementation\3. Analysis &amp; Design\Design\FC22\DRR Jaime\QUIFA-CAJÚA\Cajua\[VAS_CAJUA_CF_SEC_20230125.xlsx]CF PDP'!$BU$45</v>
      </c>
      <c r="J1683" s="4" t="s">
        <v>878</v>
      </c>
    </row>
    <row r="1684" spans="1:10" x14ac:dyDescent="0.25">
      <c r="A1684" s="7" t="s">
        <v>1</v>
      </c>
      <c r="B1684" s="7">
        <f t="shared" si="383"/>
        <v>2033</v>
      </c>
      <c r="C1684" s="4" t="s">
        <v>17</v>
      </c>
      <c r="D1684" s="5" t="s">
        <v>128</v>
      </c>
      <c r="E1684" s="10" t="str">
        <f t="shared" si="381"/>
        <v>PDP'!</v>
      </c>
      <c r="F1684" s="5" t="str">
        <f t="shared" si="380"/>
        <v>C:\Users\jaime.benazar\Quorum Business Solutions\Ecopetrol Prometeo - Documents\Planning Space Implementation\3. Analysis &amp; Design\Design\FC22\DRR Jaime\QUIFA-CAJÚA\Cajua\[VAS_CAJUA_CF_SEC_20230125.xlsx]CF PDP'!</v>
      </c>
      <c r="G1684" s="7" t="s">
        <v>39</v>
      </c>
      <c r="H1684" s="4">
        <f t="shared" si="384"/>
        <v>46</v>
      </c>
      <c r="I1684" s="4" t="str">
        <f t="shared" si="382"/>
        <v>='C:\Users\jaime.benazar\Quorum Business Solutions\Ecopetrol Prometeo - Documents\Planning Space Implementation\3. Analysis &amp; Design\Design\FC22\DRR Jaime\QUIFA-CAJÚA\Cajua\[VAS_CAJUA_CF_SEC_20230125.xlsx]CF PDP'!$BU$46</v>
      </c>
      <c r="J1684" s="4" t="s">
        <v>879</v>
      </c>
    </row>
    <row r="1685" spans="1:10" x14ac:dyDescent="0.25">
      <c r="A1685" s="7" t="s">
        <v>1</v>
      </c>
      <c r="B1685" s="7">
        <f t="shared" si="383"/>
        <v>2034</v>
      </c>
      <c r="C1685" s="4" t="s">
        <v>17</v>
      </c>
      <c r="D1685" s="5" t="s">
        <v>128</v>
      </c>
      <c r="E1685" s="10" t="str">
        <f t="shared" si="381"/>
        <v>PDP'!</v>
      </c>
      <c r="F1685" s="5" t="str">
        <f t="shared" si="380"/>
        <v>C:\Users\jaime.benazar\Quorum Business Solutions\Ecopetrol Prometeo - Documents\Planning Space Implementation\3. Analysis &amp; Design\Design\FC22\DRR Jaime\QUIFA-CAJÚA\Cajua\[VAS_CAJUA_CF_SEC_20230125.xlsx]CF PDP'!</v>
      </c>
      <c r="G1685" s="7" t="s">
        <v>39</v>
      </c>
      <c r="H1685" s="4">
        <f t="shared" si="384"/>
        <v>47</v>
      </c>
      <c r="I1685" s="4" t="str">
        <f t="shared" si="382"/>
        <v>='C:\Users\jaime.benazar\Quorum Business Solutions\Ecopetrol Prometeo - Documents\Planning Space Implementation\3. Analysis &amp; Design\Design\FC22\DRR Jaime\QUIFA-CAJÚA\Cajua\[VAS_CAJUA_CF_SEC_20230125.xlsx]CF PDP'!$BU$47</v>
      </c>
      <c r="J1685" s="4" t="s">
        <v>880</v>
      </c>
    </row>
    <row r="1686" spans="1:10" x14ac:dyDescent="0.25">
      <c r="A1686" s="7" t="s">
        <v>1</v>
      </c>
      <c r="B1686" s="7">
        <f t="shared" si="383"/>
        <v>2035</v>
      </c>
      <c r="C1686" s="4" t="s">
        <v>17</v>
      </c>
      <c r="D1686" s="5" t="s">
        <v>128</v>
      </c>
      <c r="E1686" s="10" t="str">
        <f t="shared" si="381"/>
        <v>PDP'!</v>
      </c>
      <c r="F1686" s="5" t="str">
        <f t="shared" si="380"/>
        <v>C:\Users\jaime.benazar\Quorum Business Solutions\Ecopetrol Prometeo - Documents\Planning Space Implementation\3. Analysis &amp; Design\Design\FC22\DRR Jaime\QUIFA-CAJÚA\Cajua\[VAS_CAJUA_CF_SEC_20230125.xlsx]CF PDP'!</v>
      </c>
      <c r="G1686" s="7" t="s">
        <v>39</v>
      </c>
      <c r="H1686" s="4">
        <f t="shared" si="384"/>
        <v>48</v>
      </c>
      <c r="I1686" s="4" t="str">
        <f t="shared" si="382"/>
        <v>='C:\Users\jaime.benazar\Quorum Business Solutions\Ecopetrol Prometeo - Documents\Planning Space Implementation\3. Analysis &amp; Design\Design\FC22\DRR Jaime\QUIFA-CAJÚA\Cajua\[VAS_CAJUA_CF_SEC_20230125.xlsx]CF PDP'!$BU$48</v>
      </c>
      <c r="J1686" s="4" t="s">
        <v>881</v>
      </c>
    </row>
    <row r="1687" spans="1:10" x14ac:dyDescent="0.25">
      <c r="A1687" s="7" t="s">
        <v>1</v>
      </c>
      <c r="B1687" s="7">
        <f t="shared" si="383"/>
        <v>2036</v>
      </c>
      <c r="C1687" s="4" t="s">
        <v>17</v>
      </c>
      <c r="D1687" s="5" t="s">
        <v>128</v>
      </c>
      <c r="E1687" s="10" t="str">
        <f t="shared" si="381"/>
        <v>PDP'!</v>
      </c>
      <c r="F1687" s="5" t="str">
        <f t="shared" si="380"/>
        <v>C:\Users\jaime.benazar\Quorum Business Solutions\Ecopetrol Prometeo - Documents\Planning Space Implementation\3. Analysis &amp; Design\Design\FC22\DRR Jaime\QUIFA-CAJÚA\Cajua\[VAS_CAJUA_CF_SEC_20230125.xlsx]CF PDP'!</v>
      </c>
      <c r="G1687" s="7" t="s">
        <v>39</v>
      </c>
      <c r="H1687" s="4">
        <f t="shared" si="384"/>
        <v>49</v>
      </c>
      <c r="I1687" s="4" t="str">
        <f t="shared" si="382"/>
        <v>='C:\Users\jaime.benazar\Quorum Business Solutions\Ecopetrol Prometeo - Documents\Planning Space Implementation\3. Analysis &amp; Design\Design\FC22\DRR Jaime\QUIFA-CAJÚA\Cajua\[VAS_CAJUA_CF_SEC_20230125.xlsx]CF PDP'!$BU$49</v>
      </c>
      <c r="J1687" s="4" t="s">
        <v>882</v>
      </c>
    </row>
    <row r="1688" spans="1:10" x14ac:dyDescent="0.25">
      <c r="A1688" s="7" t="s">
        <v>1</v>
      </c>
      <c r="B1688" s="7">
        <f>+B1687+1</f>
        <v>2037</v>
      </c>
      <c r="C1688" s="4" t="s">
        <v>17</v>
      </c>
      <c r="D1688" s="5" t="s">
        <v>128</v>
      </c>
      <c r="E1688" s="10" t="str">
        <f t="shared" si="381"/>
        <v>PDP'!</v>
      </c>
      <c r="F1688" s="5" t="str">
        <f t="shared" si="380"/>
        <v>C:\Users\jaime.benazar\Quorum Business Solutions\Ecopetrol Prometeo - Documents\Planning Space Implementation\3. Analysis &amp; Design\Design\FC22\DRR Jaime\QUIFA-CAJÚA\Cajua\[VAS_CAJUA_CF_SEC_20230125.xlsx]CF PDP'!</v>
      </c>
      <c r="G1688" s="7" t="s">
        <v>39</v>
      </c>
      <c r="H1688" s="4">
        <f t="shared" si="384"/>
        <v>50</v>
      </c>
      <c r="I1688" s="4" t="str">
        <f t="shared" si="382"/>
        <v>='C:\Users\jaime.benazar\Quorum Business Solutions\Ecopetrol Prometeo - Documents\Planning Space Implementation\3. Analysis &amp; Design\Design\FC22\DRR Jaime\QUIFA-CAJÚA\Cajua\[VAS_CAJUA_CF_SEC_20230125.xlsx]CF PDP'!$BU$50</v>
      </c>
      <c r="J1688" s="4" t="s">
        <v>883</v>
      </c>
    </row>
    <row r="1689" spans="1:10" x14ac:dyDescent="0.25">
      <c r="A1689" s="7" t="s">
        <v>1</v>
      </c>
      <c r="B1689" s="7">
        <f t="shared" ref="B1689:B1691" si="385">+B1688+1</f>
        <v>2038</v>
      </c>
      <c r="C1689" s="4" t="s">
        <v>17</v>
      </c>
      <c r="D1689" s="5" t="s">
        <v>128</v>
      </c>
      <c r="E1689" s="10" t="str">
        <f t="shared" si="381"/>
        <v>PDP'!</v>
      </c>
      <c r="F1689" s="5" t="str">
        <f t="shared" si="380"/>
        <v>C:\Users\jaime.benazar\Quorum Business Solutions\Ecopetrol Prometeo - Documents\Planning Space Implementation\3. Analysis &amp; Design\Design\FC22\DRR Jaime\QUIFA-CAJÚA\Cajua\[VAS_CAJUA_CF_SEC_20230125.xlsx]CF PDP'!</v>
      </c>
      <c r="G1689" s="7" t="s">
        <v>39</v>
      </c>
      <c r="H1689" s="4">
        <f t="shared" si="384"/>
        <v>51</v>
      </c>
      <c r="I1689" s="4" t="str">
        <f t="shared" si="382"/>
        <v>='C:\Users\jaime.benazar\Quorum Business Solutions\Ecopetrol Prometeo - Documents\Planning Space Implementation\3. Analysis &amp; Design\Design\FC22\DRR Jaime\QUIFA-CAJÚA\Cajua\[VAS_CAJUA_CF_SEC_20230125.xlsx]CF PDP'!$BU$51</v>
      </c>
      <c r="J1689" s="4" t="s">
        <v>884</v>
      </c>
    </row>
    <row r="1690" spans="1:10" x14ac:dyDescent="0.25">
      <c r="A1690" s="7" t="s">
        <v>1</v>
      </c>
      <c r="B1690" s="7">
        <f t="shared" si="385"/>
        <v>2039</v>
      </c>
      <c r="C1690" s="4" t="s">
        <v>17</v>
      </c>
      <c r="D1690" s="5" t="s">
        <v>128</v>
      </c>
      <c r="E1690" s="10" t="str">
        <f t="shared" si="381"/>
        <v>PDP'!</v>
      </c>
      <c r="F1690" s="5" t="str">
        <f t="shared" si="380"/>
        <v>C:\Users\jaime.benazar\Quorum Business Solutions\Ecopetrol Prometeo - Documents\Planning Space Implementation\3. Analysis &amp; Design\Design\FC22\DRR Jaime\QUIFA-CAJÚA\Cajua\[VAS_CAJUA_CF_SEC_20230125.xlsx]CF PDP'!</v>
      </c>
      <c r="G1690" s="7" t="s">
        <v>39</v>
      </c>
      <c r="H1690" s="4">
        <f t="shared" si="384"/>
        <v>52</v>
      </c>
      <c r="I1690" s="4" t="str">
        <f t="shared" si="382"/>
        <v>='C:\Users\jaime.benazar\Quorum Business Solutions\Ecopetrol Prometeo - Documents\Planning Space Implementation\3. Analysis &amp; Design\Design\FC22\DRR Jaime\QUIFA-CAJÚA\Cajua\[VAS_CAJUA_CF_SEC_20230125.xlsx]CF PDP'!$BU$52</v>
      </c>
      <c r="J1690" s="4" t="s">
        <v>885</v>
      </c>
    </row>
    <row r="1691" spans="1:10" x14ac:dyDescent="0.25">
      <c r="A1691" s="7" t="s">
        <v>1</v>
      </c>
      <c r="B1691" s="7">
        <f t="shared" si="385"/>
        <v>2040</v>
      </c>
      <c r="C1691" s="4" t="s">
        <v>17</v>
      </c>
      <c r="D1691" s="5" t="s">
        <v>128</v>
      </c>
      <c r="E1691" s="10" t="str">
        <f t="shared" si="381"/>
        <v>PDP'!</v>
      </c>
      <c r="F1691" s="5" t="str">
        <f t="shared" si="380"/>
        <v>C:\Users\jaime.benazar\Quorum Business Solutions\Ecopetrol Prometeo - Documents\Planning Space Implementation\3. Analysis &amp; Design\Design\FC22\DRR Jaime\QUIFA-CAJÚA\Cajua\[VAS_CAJUA_CF_SEC_20230125.xlsx]CF PDP'!</v>
      </c>
      <c r="G1691" s="7" t="s">
        <v>39</v>
      </c>
      <c r="H1691" s="4">
        <f t="shared" si="384"/>
        <v>53</v>
      </c>
      <c r="I1691" s="4" t="str">
        <f t="shared" si="382"/>
        <v>='C:\Users\jaime.benazar\Quorum Business Solutions\Ecopetrol Prometeo - Documents\Planning Space Implementation\3. Analysis &amp; Design\Design\FC22\DRR Jaime\QUIFA-CAJÚA\Cajua\[VAS_CAJUA_CF_SEC_20230125.xlsx]CF PDP'!$BU$53</v>
      </c>
      <c r="J1691" s="4" t="s">
        <v>886</v>
      </c>
    </row>
    <row r="1692" spans="1:10" x14ac:dyDescent="0.25">
      <c r="A1692" s="7" t="s">
        <v>1</v>
      </c>
      <c r="B1692" s="7">
        <f>+B1691+1</f>
        <v>2041</v>
      </c>
      <c r="C1692" s="4" t="s">
        <v>17</v>
      </c>
      <c r="D1692" s="5" t="s">
        <v>128</v>
      </c>
      <c r="E1692" s="10" t="str">
        <f t="shared" si="381"/>
        <v>PDP'!</v>
      </c>
      <c r="F1692" s="5" t="str">
        <f t="shared" si="380"/>
        <v>C:\Users\jaime.benazar\Quorum Business Solutions\Ecopetrol Prometeo - Documents\Planning Space Implementation\3. Analysis &amp; Design\Design\FC22\DRR Jaime\QUIFA-CAJÚA\Cajua\[VAS_CAJUA_CF_SEC_20230125.xlsx]CF PDP'!</v>
      </c>
      <c r="G1692" s="7" t="s">
        <v>39</v>
      </c>
      <c r="H1692" s="4">
        <f t="shared" si="384"/>
        <v>54</v>
      </c>
      <c r="I1692" s="4" t="str">
        <f t="shared" si="382"/>
        <v>='C:\Users\jaime.benazar\Quorum Business Solutions\Ecopetrol Prometeo - Documents\Planning Space Implementation\3. Analysis &amp; Design\Design\FC22\DRR Jaime\QUIFA-CAJÚA\Cajua\[VAS_CAJUA_CF_SEC_20230125.xlsx]CF PDP'!$BU$54</v>
      </c>
      <c r="J1692" s="4" t="s">
        <v>887</v>
      </c>
    </row>
    <row r="1693" spans="1:10" x14ac:dyDescent="0.25">
      <c r="A1693" s="7" t="s">
        <v>1</v>
      </c>
      <c r="B1693" s="7">
        <f t="shared" ref="B1693:B1694" si="386">+B1692+1</f>
        <v>2042</v>
      </c>
      <c r="C1693" s="4" t="s">
        <v>17</v>
      </c>
      <c r="D1693" s="5" t="s">
        <v>128</v>
      </c>
      <c r="E1693" s="10" t="str">
        <f t="shared" si="381"/>
        <v>PDP'!</v>
      </c>
      <c r="F1693" s="5" t="str">
        <f t="shared" si="380"/>
        <v>C:\Users\jaime.benazar\Quorum Business Solutions\Ecopetrol Prometeo - Documents\Planning Space Implementation\3. Analysis &amp; Design\Design\FC22\DRR Jaime\QUIFA-CAJÚA\Cajua\[VAS_CAJUA_CF_SEC_20230125.xlsx]CF PDP'!</v>
      </c>
      <c r="G1693" s="7" t="s">
        <v>39</v>
      </c>
      <c r="H1693" s="4">
        <f t="shared" si="384"/>
        <v>55</v>
      </c>
      <c r="I1693" s="4" t="str">
        <f t="shared" si="382"/>
        <v>='C:\Users\jaime.benazar\Quorum Business Solutions\Ecopetrol Prometeo - Documents\Planning Space Implementation\3. Analysis &amp; Design\Design\FC22\DRR Jaime\QUIFA-CAJÚA\Cajua\[VAS_CAJUA_CF_SEC_20230125.xlsx]CF PDP'!$BU$55</v>
      </c>
      <c r="J1693" s="4" t="s">
        <v>888</v>
      </c>
    </row>
    <row r="1694" spans="1:10" x14ac:dyDescent="0.25">
      <c r="A1694" s="7" t="s">
        <v>1</v>
      </c>
      <c r="B1694" s="7">
        <f t="shared" si="386"/>
        <v>2043</v>
      </c>
      <c r="C1694" s="4" t="s">
        <v>17</v>
      </c>
      <c r="D1694" s="5" t="s">
        <v>128</v>
      </c>
      <c r="E1694" s="10" t="str">
        <f t="shared" si="381"/>
        <v>PDP'!</v>
      </c>
      <c r="F1694" s="5" t="str">
        <f t="shared" si="380"/>
        <v>C:\Users\jaime.benazar\Quorum Business Solutions\Ecopetrol Prometeo - Documents\Planning Space Implementation\3. Analysis &amp; Design\Design\FC22\DRR Jaime\QUIFA-CAJÚA\Cajua\[VAS_CAJUA_CF_SEC_20230125.xlsx]CF PDP'!</v>
      </c>
      <c r="G1694" s="7" t="s">
        <v>39</v>
      </c>
      <c r="H1694" s="4">
        <f t="shared" si="384"/>
        <v>56</v>
      </c>
      <c r="I1694" s="4" t="str">
        <f t="shared" si="382"/>
        <v>='C:\Users\jaime.benazar\Quorum Business Solutions\Ecopetrol Prometeo - Documents\Planning Space Implementation\3. Analysis &amp; Design\Design\FC22\DRR Jaime\QUIFA-CAJÚA\Cajua\[VAS_CAJUA_CF_SEC_20230125.xlsx]CF PDP'!$BU$56</v>
      </c>
      <c r="J1694" s="4" t="s">
        <v>889</v>
      </c>
    </row>
    <row r="1695" spans="1:10" x14ac:dyDescent="0.25">
      <c r="A1695" s="7" t="s">
        <v>1</v>
      </c>
      <c r="B1695" s="7">
        <f>+B1694+1</f>
        <v>2044</v>
      </c>
      <c r="C1695" s="4" t="s">
        <v>17</v>
      </c>
      <c r="D1695" s="5" t="s">
        <v>128</v>
      </c>
      <c r="E1695" s="10" t="str">
        <f t="shared" ref="E1695:E1710" si="387">_xlfn.CONCAT(A1695,"'!")</f>
        <v>PDP'!</v>
      </c>
      <c r="F1695" s="5" t="str">
        <f t="shared" ref="F1695:F1710" si="388">_xlfn.CONCAT(D1695," ",E1695)</f>
        <v>C:\Users\jaime.benazar\Quorum Business Solutions\Ecopetrol Prometeo - Documents\Planning Space Implementation\3. Analysis &amp; Design\Design\FC22\DRR Jaime\QUIFA-CAJÚA\Cajua\[VAS_CAJUA_CF_SEC_20230125.xlsx]CF PDP'!</v>
      </c>
      <c r="G1695" s="7" t="s">
        <v>39</v>
      </c>
      <c r="H1695" s="4">
        <f t="shared" ref="H1695:H1710" si="389">IF(A1695&lt;&gt;A1694,36,H1694+1)</f>
        <v>57</v>
      </c>
      <c r="I1695" s="4" t="str">
        <f t="shared" ref="I1695:I1710" si="390">_xlfn.CONCAT("='",F1695:H1695)</f>
        <v>='C:\Users\jaime.benazar\Quorum Business Solutions\Ecopetrol Prometeo - Documents\Planning Space Implementation\3. Analysis &amp; Design\Design\FC22\DRR Jaime\QUIFA-CAJÚA\Cajua\[VAS_CAJUA_CF_SEC_20230125.xlsx]CF PDP'!$BU$57</v>
      </c>
      <c r="J1695" s="4" t="s">
        <v>890</v>
      </c>
    </row>
    <row r="1696" spans="1:10" x14ac:dyDescent="0.25">
      <c r="A1696" s="7" t="s">
        <v>1</v>
      </c>
      <c r="B1696" s="7">
        <f t="shared" ref="B1696:B1710" si="391">+B1695+1</f>
        <v>2045</v>
      </c>
      <c r="C1696" s="4" t="s">
        <v>17</v>
      </c>
      <c r="D1696" s="5" t="s">
        <v>128</v>
      </c>
      <c r="E1696" s="10" t="str">
        <f t="shared" si="387"/>
        <v>PDP'!</v>
      </c>
      <c r="F1696" s="5" t="str">
        <f t="shared" si="388"/>
        <v>C:\Users\jaime.benazar\Quorum Business Solutions\Ecopetrol Prometeo - Documents\Planning Space Implementation\3. Analysis &amp; Design\Design\FC22\DRR Jaime\QUIFA-CAJÚA\Cajua\[VAS_CAJUA_CF_SEC_20230125.xlsx]CF PDP'!</v>
      </c>
      <c r="G1696" s="7" t="s">
        <v>39</v>
      </c>
      <c r="H1696" s="4">
        <f t="shared" si="389"/>
        <v>58</v>
      </c>
      <c r="I1696" s="4" t="str">
        <f t="shared" si="390"/>
        <v>='C:\Users\jaime.benazar\Quorum Business Solutions\Ecopetrol Prometeo - Documents\Planning Space Implementation\3. Analysis &amp; Design\Design\FC22\DRR Jaime\QUIFA-CAJÚA\Cajua\[VAS_CAJUA_CF_SEC_20230125.xlsx]CF PDP'!$BU$58</v>
      </c>
      <c r="J1696" s="4" t="s">
        <v>891</v>
      </c>
    </row>
    <row r="1697" spans="1:10" x14ac:dyDescent="0.25">
      <c r="A1697" s="7" t="s">
        <v>1</v>
      </c>
      <c r="B1697" s="7">
        <f t="shared" si="391"/>
        <v>2046</v>
      </c>
      <c r="C1697" s="4" t="s">
        <v>17</v>
      </c>
      <c r="D1697" s="5" t="s">
        <v>128</v>
      </c>
      <c r="E1697" s="10" t="str">
        <f t="shared" si="387"/>
        <v>PDP'!</v>
      </c>
      <c r="F1697" s="5" t="str">
        <f t="shared" si="388"/>
        <v>C:\Users\jaime.benazar\Quorum Business Solutions\Ecopetrol Prometeo - Documents\Planning Space Implementation\3. Analysis &amp; Design\Design\FC22\DRR Jaime\QUIFA-CAJÚA\Cajua\[VAS_CAJUA_CF_SEC_20230125.xlsx]CF PDP'!</v>
      </c>
      <c r="G1697" s="7" t="s">
        <v>39</v>
      </c>
      <c r="H1697" s="4">
        <f t="shared" si="389"/>
        <v>59</v>
      </c>
      <c r="I1697" s="4" t="str">
        <f t="shared" si="390"/>
        <v>='C:\Users\jaime.benazar\Quorum Business Solutions\Ecopetrol Prometeo - Documents\Planning Space Implementation\3. Analysis &amp; Design\Design\FC22\DRR Jaime\QUIFA-CAJÚA\Cajua\[VAS_CAJUA_CF_SEC_20230125.xlsx]CF PDP'!$BU$59</v>
      </c>
      <c r="J1697" s="4" t="s">
        <v>892</v>
      </c>
    </row>
    <row r="1698" spans="1:10" x14ac:dyDescent="0.25">
      <c r="A1698" s="7" t="s">
        <v>1</v>
      </c>
      <c r="B1698" s="7">
        <f t="shared" si="391"/>
        <v>2047</v>
      </c>
      <c r="C1698" s="4" t="s">
        <v>17</v>
      </c>
      <c r="D1698" s="5" t="s">
        <v>128</v>
      </c>
      <c r="E1698" s="10" t="str">
        <f t="shared" si="387"/>
        <v>PDP'!</v>
      </c>
      <c r="F1698" s="5" t="str">
        <f t="shared" si="388"/>
        <v>C:\Users\jaime.benazar\Quorum Business Solutions\Ecopetrol Prometeo - Documents\Planning Space Implementation\3. Analysis &amp; Design\Design\FC22\DRR Jaime\QUIFA-CAJÚA\Cajua\[VAS_CAJUA_CF_SEC_20230125.xlsx]CF PDP'!</v>
      </c>
      <c r="G1698" s="7" t="s">
        <v>39</v>
      </c>
      <c r="H1698" s="4">
        <f t="shared" si="389"/>
        <v>60</v>
      </c>
      <c r="I1698" s="4" t="str">
        <f t="shared" si="390"/>
        <v>='C:\Users\jaime.benazar\Quorum Business Solutions\Ecopetrol Prometeo - Documents\Planning Space Implementation\3. Analysis &amp; Design\Design\FC22\DRR Jaime\QUIFA-CAJÚA\Cajua\[VAS_CAJUA_CF_SEC_20230125.xlsx]CF PDP'!$BU$60</v>
      </c>
      <c r="J1698" s="4" t="s">
        <v>893</v>
      </c>
    </row>
    <row r="1699" spans="1:10" x14ac:dyDescent="0.25">
      <c r="A1699" s="7" t="s">
        <v>1</v>
      </c>
      <c r="B1699" s="7">
        <f t="shared" si="391"/>
        <v>2048</v>
      </c>
      <c r="C1699" s="4" t="s">
        <v>17</v>
      </c>
      <c r="D1699" s="5" t="s">
        <v>128</v>
      </c>
      <c r="E1699" s="10" t="str">
        <f t="shared" si="387"/>
        <v>PDP'!</v>
      </c>
      <c r="F1699" s="5" t="str">
        <f t="shared" si="388"/>
        <v>C:\Users\jaime.benazar\Quorum Business Solutions\Ecopetrol Prometeo - Documents\Planning Space Implementation\3. Analysis &amp; Design\Design\FC22\DRR Jaime\QUIFA-CAJÚA\Cajua\[VAS_CAJUA_CF_SEC_20230125.xlsx]CF PDP'!</v>
      </c>
      <c r="G1699" s="7" t="s">
        <v>39</v>
      </c>
      <c r="H1699" s="4">
        <f t="shared" si="389"/>
        <v>61</v>
      </c>
      <c r="I1699" s="4" t="str">
        <f t="shared" si="390"/>
        <v>='C:\Users\jaime.benazar\Quorum Business Solutions\Ecopetrol Prometeo - Documents\Planning Space Implementation\3. Analysis &amp; Design\Design\FC22\DRR Jaime\QUIFA-CAJÚA\Cajua\[VAS_CAJUA_CF_SEC_20230125.xlsx]CF PDP'!$BU$61</v>
      </c>
      <c r="J1699" s="4" t="s">
        <v>894</v>
      </c>
    </row>
    <row r="1700" spans="1:10" x14ac:dyDescent="0.25">
      <c r="A1700" s="7" t="s">
        <v>1</v>
      </c>
      <c r="B1700" s="7">
        <f t="shared" si="391"/>
        <v>2049</v>
      </c>
      <c r="C1700" s="4" t="s">
        <v>17</v>
      </c>
      <c r="D1700" s="5" t="s">
        <v>128</v>
      </c>
      <c r="E1700" s="10" t="str">
        <f t="shared" si="387"/>
        <v>PDP'!</v>
      </c>
      <c r="F1700" s="5" t="str">
        <f t="shared" si="388"/>
        <v>C:\Users\jaime.benazar\Quorum Business Solutions\Ecopetrol Prometeo - Documents\Planning Space Implementation\3. Analysis &amp; Design\Design\FC22\DRR Jaime\QUIFA-CAJÚA\Cajua\[VAS_CAJUA_CF_SEC_20230125.xlsx]CF PDP'!</v>
      </c>
      <c r="G1700" s="7" t="s">
        <v>39</v>
      </c>
      <c r="H1700" s="4">
        <f t="shared" si="389"/>
        <v>62</v>
      </c>
      <c r="I1700" s="4" t="str">
        <f t="shared" si="390"/>
        <v>='C:\Users\jaime.benazar\Quorum Business Solutions\Ecopetrol Prometeo - Documents\Planning Space Implementation\3. Analysis &amp; Design\Design\FC22\DRR Jaime\QUIFA-CAJÚA\Cajua\[VAS_CAJUA_CF_SEC_20230125.xlsx]CF PDP'!$BU$62</v>
      </c>
      <c r="J1700" s="4" t="s">
        <v>895</v>
      </c>
    </row>
    <row r="1701" spans="1:10" x14ac:dyDescent="0.25">
      <c r="A1701" s="7" t="s">
        <v>1</v>
      </c>
      <c r="B1701" s="7">
        <f t="shared" si="391"/>
        <v>2050</v>
      </c>
      <c r="C1701" s="4" t="s">
        <v>17</v>
      </c>
      <c r="D1701" s="5" t="s">
        <v>128</v>
      </c>
      <c r="E1701" s="10" t="str">
        <f t="shared" si="387"/>
        <v>PDP'!</v>
      </c>
      <c r="F1701" s="5" t="str">
        <f t="shared" si="388"/>
        <v>C:\Users\jaime.benazar\Quorum Business Solutions\Ecopetrol Prometeo - Documents\Planning Space Implementation\3. Analysis &amp; Design\Design\FC22\DRR Jaime\QUIFA-CAJÚA\Cajua\[VAS_CAJUA_CF_SEC_20230125.xlsx]CF PDP'!</v>
      </c>
      <c r="G1701" s="7" t="s">
        <v>39</v>
      </c>
      <c r="H1701" s="4">
        <f t="shared" si="389"/>
        <v>63</v>
      </c>
      <c r="I1701" s="4" t="str">
        <f t="shared" si="390"/>
        <v>='C:\Users\jaime.benazar\Quorum Business Solutions\Ecopetrol Prometeo - Documents\Planning Space Implementation\3. Analysis &amp; Design\Design\FC22\DRR Jaime\QUIFA-CAJÚA\Cajua\[VAS_CAJUA_CF_SEC_20230125.xlsx]CF PDP'!$BU$63</v>
      </c>
      <c r="J1701" s="4" t="s">
        <v>896</v>
      </c>
    </row>
    <row r="1702" spans="1:10" x14ac:dyDescent="0.25">
      <c r="A1702" s="7" t="s">
        <v>1</v>
      </c>
      <c r="B1702" s="7">
        <f t="shared" si="391"/>
        <v>2051</v>
      </c>
      <c r="C1702" s="4" t="s">
        <v>17</v>
      </c>
      <c r="D1702" s="5" t="s">
        <v>128</v>
      </c>
      <c r="E1702" s="10" t="str">
        <f t="shared" si="387"/>
        <v>PDP'!</v>
      </c>
      <c r="F1702" s="5" t="str">
        <f t="shared" si="388"/>
        <v>C:\Users\jaime.benazar\Quorum Business Solutions\Ecopetrol Prometeo - Documents\Planning Space Implementation\3. Analysis &amp; Design\Design\FC22\DRR Jaime\QUIFA-CAJÚA\Cajua\[VAS_CAJUA_CF_SEC_20230125.xlsx]CF PDP'!</v>
      </c>
      <c r="G1702" s="7" t="s">
        <v>39</v>
      </c>
      <c r="H1702" s="4">
        <f t="shared" si="389"/>
        <v>64</v>
      </c>
      <c r="I1702" s="4" t="str">
        <f t="shared" si="390"/>
        <v>='C:\Users\jaime.benazar\Quorum Business Solutions\Ecopetrol Prometeo - Documents\Planning Space Implementation\3. Analysis &amp; Design\Design\FC22\DRR Jaime\QUIFA-CAJÚA\Cajua\[VAS_CAJUA_CF_SEC_20230125.xlsx]CF PDP'!$BU$64</v>
      </c>
      <c r="J1702" s="4" t="s">
        <v>897</v>
      </c>
    </row>
    <row r="1703" spans="1:10" x14ac:dyDescent="0.25">
      <c r="A1703" s="7" t="s">
        <v>1</v>
      </c>
      <c r="B1703" s="7">
        <f t="shared" si="391"/>
        <v>2052</v>
      </c>
      <c r="C1703" s="4" t="s">
        <v>17</v>
      </c>
      <c r="D1703" s="5" t="s">
        <v>128</v>
      </c>
      <c r="E1703" s="10" t="str">
        <f t="shared" si="387"/>
        <v>PDP'!</v>
      </c>
      <c r="F1703" s="5" t="str">
        <f t="shared" si="388"/>
        <v>C:\Users\jaime.benazar\Quorum Business Solutions\Ecopetrol Prometeo - Documents\Planning Space Implementation\3. Analysis &amp; Design\Design\FC22\DRR Jaime\QUIFA-CAJÚA\Cajua\[VAS_CAJUA_CF_SEC_20230125.xlsx]CF PDP'!</v>
      </c>
      <c r="G1703" s="7" t="s">
        <v>39</v>
      </c>
      <c r="H1703" s="4">
        <f t="shared" si="389"/>
        <v>65</v>
      </c>
      <c r="I1703" s="4" t="str">
        <f t="shared" si="390"/>
        <v>='C:\Users\jaime.benazar\Quorum Business Solutions\Ecopetrol Prometeo - Documents\Planning Space Implementation\3. Analysis &amp; Design\Design\FC22\DRR Jaime\QUIFA-CAJÚA\Cajua\[VAS_CAJUA_CF_SEC_20230125.xlsx]CF PDP'!$BU$65</v>
      </c>
      <c r="J1703" s="4" t="s">
        <v>898</v>
      </c>
    </row>
    <row r="1704" spans="1:10" x14ac:dyDescent="0.25">
      <c r="A1704" s="7" t="s">
        <v>1</v>
      </c>
      <c r="B1704" s="7">
        <f t="shared" si="391"/>
        <v>2053</v>
      </c>
      <c r="C1704" s="4" t="s">
        <v>17</v>
      </c>
      <c r="D1704" s="5" t="s">
        <v>128</v>
      </c>
      <c r="E1704" s="10" t="str">
        <f t="shared" si="387"/>
        <v>PDP'!</v>
      </c>
      <c r="F1704" s="5" t="str">
        <f t="shared" si="388"/>
        <v>C:\Users\jaime.benazar\Quorum Business Solutions\Ecopetrol Prometeo - Documents\Planning Space Implementation\3. Analysis &amp; Design\Design\FC22\DRR Jaime\QUIFA-CAJÚA\Cajua\[VAS_CAJUA_CF_SEC_20230125.xlsx]CF PDP'!</v>
      </c>
      <c r="G1704" s="7" t="s">
        <v>39</v>
      </c>
      <c r="H1704" s="4">
        <f t="shared" si="389"/>
        <v>66</v>
      </c>
      <c r="I1704" s="4" t="str">
        <f t="shared" si="390"/>
        <v>='C:\Users\jaime.benazar\Quorum Business Solutions\Ecopetrol Prometeo - Documents\Planning Space Implementation\3. Analysis &amp; Design\Design\FC22\DRR Jaime\QUIFA-CAJÚA\Cajua\[VAS_CAJUA_CF_SEC_20230125.xlsx]CF PDP'!$BU$66</v>
      </c>
      <c r="J1704" s="4" t="s">
        <v>899</v>
      </c>
    </row>
    <row r="1705" spans="1:10" x14ac:dyDescent="0.25">
      <c r="A1705" s="7" t="s">
        <v>1</v>
      </c>
      <c r="B1705" s="7">
        <f t="shared" si="391"/>
        <v>2054</v>
      </c>
      <c r="C1705" s="4" t="s">
        <v>17</v>
      </c>
      <c r="D1705" s="5" t="s">
        <v>128</v>
      </c>
      <c r="E1705" s="10" t="str">
        <f t="shared" si="387"/>
        <v>PDP'!</v>
      </c>
      <c r="F1705" s="5" t="str">
        <f t="shared" si="388"/>
        <v>C:\Users\jaime.benazar\Quorum Business Solutions\Ecopetrol Prometeo - Documents\Planning Space Implementation\3. Analysis &amp; Design\Design\FC22\DRR Jaime\QUIFA-CAJÚA\Cajua\[VAS_CAJUA_CF_SEC_20230125.xlsx]CF PDP'!</v>
      </c>
      <c r="G1705" s="7" t="s">
        <v>39</v>
      </c>
      <c r="H1705" s="4">
        <f t="shared" si="389"/>
        <v>67</v>
      </c>
      <c r="I1705" s="4" t="str">
        <f t="shared" si="390"/>
        <v>='C:\Users\jaime.benazar\Quorum Business Solutions\Ecopetrol Prometeo - Documents\Planning Space Implementation\3. Analysis &amp; Design\Design\FC22\DRR Jaime\QUIFA-CAJÚA\Cajua\[VAS_CAJUA_CF_SEC_20230125.xlsx]CF PDP'!$BU$67</v>
      </c>
      <c r="J1705" s="4" t="s">
        <v>900</v>
      </c>
    </row>
    <row r="1706" spans="1:10" x14ac:dyDescent="0.25">
      <c r="A1706" s="7" t="s">
        <v>1</v>
      </c>
      <c r="B1706" s="7">
        <f t="shared" si="391"/>
        <v>2055</v>
      </c>
      <c r="C1706" s="4" t="s">
        <v>17</v>
      </c>
      <c r="D1706" s="5" t="s">
        <v>128</v>
      </c>
      <c r="E1706" s="10" t="str">
        <f t="shared" si="387"/>
        <v>PDP'!</v>
      </c>
      <c r="F1706" s="5" t="str">
        <f t="shared" si="388"/>
        <v>C:\Users\jaime.benazar\Quorum Business Solutions\Ecopetrol Prometeo - Documents\Planning Space Implementation\3. Analysis &amp; Design\Design\FC22\DRR Jaime\QUIFA-CAJÚA\Cajua\[VAS_CAJUA_CF_SEC_20230125.xlsx]CF PDP'!</v>
      </c>
      <c r="G1706" s="7" t="s">
        <v>39</v>
      </c>
      <c r="H1706" s="4">
        <f t="shared" si="389"/>
        <v>68</v>
      </c>
      <c r="I1706" s="4" t="str">
        <f t="shared" si="390"/>
        <v>='C:\Users\jaime.benazar\Quorum Business Solutions\Ecopetrol Prometeo - Documents\Planning Space Implementation\3. Analysis &amp; Design\Design\FC22\DRR Jaime\QUIFA-CAJÚA\Cajua\[VAS_CAJUA_CF_SEC_20230125.xlsx]CF PDP'!$BU$68</v>
      </c>
      <c r="J1706" s="4" t="s">
        <v>901</v>
      </c>
    </row>
    <row r="1707" spans="1:10" x14ac:dyDescent="0.25">
      <c r="A1707" s="7" t="s">
        <v>1</v>
      </c>
      <c r="B1707" s="7">
        <f t="shared" si="391"/>
        <v>2056</v>
      </c>
      <c r="C1707" s="4" t="s">
        <v>17</v>
      </c>
      <c r="D1707" s="5" t="s">
        <v>128</v>
      </c>
      <c r="E1707" s="10" t="str">
        <f t="shared" si="387"/>
        <v>PDP'!</v>
      </c>
      <c r="F1707" s="5" t="str">
        <f t="shared" si="388"/>
        <v>C:\Users\jaime.benazar\Quorum Business Solutions\Ecopetrol Prometeo - Documents\Planning Space Implementation\3. Analysis &amp; Design\Design\FC22\DRR Jaime\QUIFA-CAJÚA\Cajua\[VAS_CAJUA_CF_SEC_20230125.xlsx]CF PDP'!</v>
      </c>
      <c r="G1707" s="7" t="s">
        <v>39</v>
      </c>
      <c r="H1707" s="4">
        <f t="shared" si="389"/>
        <v>69</v>
      </c>
      <c r="I1707" s="4" t="str">
        <f t="shared" si="390"/>
        <v>='C:\Users\jaime.benazar\Quorum Business Solutions\Ecopetrol Prometeo - Documents\Planning Space Implementation\3. Analysis &amp; Design\Design\FC22\DRR Jaime\QUIFA-CAJÚA\Cajua\[VAS_CAJUA_CF_SEC_20230125.xlsx]CF PDP'!$BU$69</v>
      </c>
      <c r="J1707" s="4" t="s">
        <v>902</v>
      </c>
    </row>
    <row r="1708" spans="1:10" x14ac:dyDescent="0.25">
      <c r="A1708" s="7" t="s">
        <v>1</v>
      </c>
      <c r="B1708" s="7">
        <f t="shared" si="391"/>
        <v>2057</v>
      </c>
      <c r="C1708" s="4" t="s">
        <v>17</v>
      </c>
      <c r="D1708" s="5" t="s">
        <v>128</v>
      </c>
      <c r="E1708" s="10" t="str">
        <f t="shared" si="387"/>
        <v>PDP'!</v>
      </c>
      <c r="F1708" s="5" t="str">
        <f t="shared" si="388"/>
        <v>C:\Users\jaime.benazar\Quorum Business Solutions\Ecopetrol Prometeo - Documents\Planning Space Implementation\3. Analysis &amp; Design\Design\FC22\DRR Jaime\QUIFA-CAJÚA\Cajua\[VAS_CAJUA_CF_SEC_20230125.xlsx]CF PDP'!</v>
      </c>
      <c r="G1708" s="7" t="s">
        <v>39</v>
      </c>
      <c r="H1708" s="4">
        <f t="shared" si="389"/>
        <v>70</v>
      </c>
      <c r="I1708" s="4" t="str">
        <f t="shared" si="390"/>
        <v>='C:\Users\jaime.benazar\Quorum Business Solutions\Ecopetrol Prometeo - Documents\Planning Space Implementation\3. Analysis &amp; Design\Design\FC22\DRR Jaime\QUIFA-CAJÚA\Cajua\[VAS_CAJUA_CF_SEC_20230125.xlsx]CF PDP'!$BU$70</v>
      </c>
      <c r="J1708" s="4" t="s">
        <v>903</v>
      </c>
    </row>
    <row r="1709" spans="1:10" x14ac:dyDescent="0.25">
      <c r="A1709" s="7" t="s">
        <v>1</v>
      </c>
      <c r="B1709" s="7">
        <f t="shared" si="391"/>
        <v>2058</v>
      </c>
      <c r="C1709" s="4" t="s">
        <v>17</v>
      </c>
      <c r="D1709" s="5" t="s">
        <v>128</v>
      </c>
      <c r="E1709" s="10" t="str">
        <f t="shared" si="387"/>
        <v>PDP'!</v>
      </c>
      <c r="F1709" s="5" t="str">
        <f t="shared" si="388"/>
        <v>C:\Users\jaime.benazar\Quorum Business Solutions\Ecopetrol Prometeo - Documents\Planning Space Implementation\3. Analysis &amp; Design\Design\FC22\DRR Jaime\QUIFA-CAJÚA\Cajua\[VAS_CAJUA_CF_SEC_20230125.xlsx]CF PDP'!</v>
      </c>
      <c r="G1709" s="7" t="s">
        <v>39</v>
      </c>
      <c r="H1709" s="4">
        <f t="shared" si="389"/>
        <v>71</v>
      </c>
      <c r="I1709" s="4" t="str">
        <f t="shared" si="390"/>
        <v>='C:\Users\jaime.benazar\Quorum Business Solutions\Ecopetrol Prometeo - Documents\Planning Space Implementation\3. Analysis &amp; Design\Design\FC22\DRR Jaime\QUIFA-CAJÚA\Cajua\[VAS_CAJUA_CF_SEC_20230125.xlsx]CF PDP'!$BU$71</v>
      </c>
      <c r="J1709" s="4" t="s">
        <v>904</v>
      </c>
    </row>
    <row r="1710" spans="1:10" x14ac:dyDescent="0.25">
      <c r="A1710" s="7" t="s">
        <v>1</v>
      </c>
      <c r="B1710" s="7">
        <f t="shared" si="391"/>
        <v>2059</v>
      </c>
      <c r="C1710" s="4" t="s">
        <v>17</v>
      </c>
      <c r="D1710" s="5" t="s">
        <v>128</v>
      </c>
      <c r="E1710" s="10" t="str">
        <f t="shared" si="387"/>
        <v>PDP'!</v>
      </c>
      <c r="F1710" s="5" t="str">
        <f t="shared" si="388"/>
        <v>C:\Users\jaime.benazar\Quorum Business Solutions\Ecopetrol Prometeo - Documents\Planning Space Implementation\3. Analysis &amp; Design\Design\FC22\DRR Jaime\QUIFA-CAJÚA\Cajua\[VAS_CAJUA_CF_SEC_20230125.xlsx]CF PDP'!</v>
      </c>
      <c r="G1710" s="7" t="s">
        <v>39</v>
      </c>
      <c r="H1710" s="4">
        <f t="shared" si="389"/>
        <v>72</v>
      </c>
      <c r="I1710" s="4" t="str">
        <f t="shared" si="390"/>
        <v>='C:\Users\jaime.benazar\Quorum Business Solutions\Ecopetrol Prometeo - Documents\Planning Space Implementation\3. Analysis &amp; Design\Design\FC22\DRR Jaime\QUIFA-CAJÚA\Cajua\[VAS_CAJUA_CF_SEC_20230125.xlsx]CF PDP'!$BU$72</v>
      </c>
      <c r="J1710" s="4" t="s">
        <v>905</v>
      </c>
    </row>
    <row r="1711" spans="1:10" x14ac:dyDescent="0.25">
      <c r="A1711" s="7" t="s">
        <v>28</v>
      </c>
      <c r="B1711" s="7"/>
      <c r="C1711" s="4" t="s">
        <v>17</v>
      </c>
      <c r="D1711" s="5"/>
      <c r="E1711" s="10"/>
      <c r="F1711" s="2"/>
      <c r="G1711" s="7"/>
      <c r="H1711" s="4"/>
      <c r="I1711" s="4"/>
      <c r="J1711" s="4"/>
    </row>
    <row r="1712" spans="1:10" x14ac:dyDescent="0.25">
      <c r="A1712" s="7" t="s">
        <v>2</v>
      </c>
      <c r="B1712" s="7">
        <v>2023</v>
      </c>
      <c r="C1712" s="4" t="s">
        <v>17</v>
      </c>
      <c r="D1712" s="5" t="s">
        <v>128</v>
      </c>
      <c r="E1712" s="10" t="str">
        <f t="shared" si="381"/>
        <v>PNP'!</v>
      </c>
      <c r="F1712" s="5" t="str">
        <f t="shared" ref="F1712:F1732" si="392">_xlfn.CONCAT(D1712," ",E1712)</f>
        <v>C:\Users\jaime.benazar\Quorum Business Solutions\Ecopetrol Prometeo - Documents\Planning Space Implementation\3. Analysis &amp; Design\Design\FC22\DRR Jaime\QUIFA-CAJÚA\Cajua\[VAS_CAJUA_CF_SEC_20230125.xlsx]CF PNP'!</v>
      </c>
      <c r="G1712" s="7" t="s">
        <v>39</v>
      </c>
      <c r="H1712" s="4">
        <f>IF(A1712&lt;&gt;A1696,36,H1696+1)</f>
        <v>36</v>
      </c>
      <c r="I1712" s="4" t="str">
        <f t="shared" si="382"/>
        <v>='C:\Users\jaime.benazar\Quorum Business Solutions\Ecopetrol Prometeo - Documents\Planning Space Implementation\3. Analysis &amp; Design\Design\FC22\DRR Jaime\QUIFA-CAJÚA\Cajua\[VAS_CAJUA_CF_SEC_20230125.xlsx]CF PNP'!$BU$36</v>
      </c>
      <c r="J1712" s="4" t="s">
        <v>906</v>
      </c>
    </row>
    <row r="1713" spans="1:10" x14ac:dyDescent="0.25">
      <c r="A1713" s="7" t="s">
        <v>2</v>
      </c>
      <c r="B1713" s="7">
        <f>+B1712+1</f>
        <v>2024</v>
      </c>
      <c r="C1713" s="4" t="s">
        <v>17</v>
      </c>
      <c r="D1713" s="5" t="s">
        <v>128</v>
      </c>
      <c r="E1713" s="10" t="str">
        <f t="shared" si="381"/>
        <v>PNP'!</v>
      </c>
      <c r="F1713" s="5" t="str">
        <f t="shared" si="392"/>
        <v>C:\Users\jaime.benazar\Quorum Business Solutions\Ecopetrol Prometeo - Documents\Planning Space Implementation\3. Analysis &amp; Design\Design\FC22\DRR Jaime\QUIFA-CAJÚA\Cajua\[VAS_CAJUA_CF_SEC_20230125.xlsx]CF PNP'!</v>
      </c>
      <c r="G1713" s="7" t="s">
        <v>39</v>
      </c>
      <c r="H1713" s="4">
        <f t="shared" si="384"/>
        <v>37</v>
      </c>
      <c r="I1713" s="4" t="str">
        <f t="shared" si="382"/>
        <v>='C:\Users\jaime.benazar\Quorum Business Solutions\Ecopetrol Prometeo - Documents\Planning Space Implementation\3. Analysis &amp; Design\Design\FC22\DRR Jaime\QUIFA-CAJÚA\Cajua\[VAS_CAJUA_CF_SEC_20230125.xlsx]CF PNP'!$BU$37</v>
      </c>
      <c r="J1713" s="4" t="s">
        <v>907</v>
      </c>
    </row>
    <row r="1714" spans="1:10" x14ac:dyDescent="0.25">
      <c r="A1714" s="7" t="s">
        <v>2</v>
      </c>
      <c r="B1714" s="7">
        <f t="shared" ref="B1714:B1725" si="393">+B1713+1</f>
        <v>2025</v>
      </c>
      <c r="C1714" s="4" t="s">
        <v>17</v>
      </c>
      <c r="D1714" s="5" t="s">
        <v>128</v>
      </c>
      <c r="E1714" s="10" t="str">
        <f t="shared" si="381"/>
        <v>PNP'!</v>
      </c>
      <c r="F1714" s="5" t="str">
        <f t="shared" si="392"/>
        <v>C:\Users\jaime.benazar\Quorum Business Solutions\Ecopetrol Prometeo - Documents\Planning Space Implementation\3. Analysis &amp; Design\Design\FC22\DRR Jaime\QUIFA-CAJÚA\Cajua\[VAS_CAJUA_CF_SEC_20230125.xlsx]CF PNP'!</v>
      </c>
      <c r="G1714" s="7" t="s">
        <v>39</v>
      </c>
      <c r="H1714" s="4">
        <f t="shared" si="384"/>
        <v>38</v>
      </c>
      <c r="I1714" s="4" t="str">
        <f t="shared" si="382"/>
        <v>='C:\Users\jaime.benazar\Quorum Business Solutions\Ecopetrol Prometeo - Documents\Planning Space Implementation\3. Analysis &amp; Design\Design\FC22\DRR Jaime\QUIFA-CAJÚA\Cajua\[VAS_CAJUA_CF_SEC_20230125.xlsx]CF PNP'!$BU$38</v>
      </c>
      <c r="J1714" s="4" t="s">
        <v>908</v>
      </c>
    </row>
    <row r="1715" spans="1:10" x14ac:dyDescent="0.25">
      <c r="A1715" s="7" t="s">
        <v>2</v>
      </c>
      <c r="B1715" s="7">
        <f t="shared" si="393"/>
        <v>2026</v>
      </c>
      <c r="C1715" s="4" t="s">
        <v>17</v>
      </c>
      <c r="D1715" s="5" t="s">
        <v>128</v>
      </c>
      <c r="E1715" s="10" t="str">
        <f t="shared" si="381"/>
        <v>PNP'!</v>
      </c>
      <c r="F1715" s="5" t="str">
        <f t="shared" si="392"/>
        <v>C:\Users\jaime.benazar\Quorum Business Solutions\Ecopetrol Prometeo - Documents\Planning Space Implementation\3. Analysis &amp; Design\Design\FC22\DRR Jaime\QUIFA-CAJÚA\Cajua\[VAS_CAJUA_CF_SEC_20230125.xlsx]CF PNP'!</v>
      </c>
      <c r="G1715" s="7" t="s">
        <v>39</v>
      </c>
      <c r="H1715" s="4">
        <f t="shared" si="384"/>
        <v>39</v>
      </c>
      <c r="I1715" s="4" t="str">
        <f t="shared" si="382"/>
        <v>='C:\Users\jaime.benazar\Quorum Business Solutions\Ecopetrol Prometeo - Documents\Planning Space Implementation\3. Analysis &amp; Design\Design\FC22\DRR Jaime\QUIFA-CAJÚA\Cajua\[VAS_CAJUA_CF_SEC_20230125.xlsx]CF PNP'!$BU$39</v>
      </c>
      <c r="J1715" s="4" t="s">
        <v>909</v>
      </c>
    </row>
    <row r="1716" spans="1:10" x14ac:dyDescent="0.25">
      <c r="A1716" s="7" t="s">
        <v>2</v>
      </c>
      <c r="B1716" s="7">
        <f t="shared" si="393"/>
        <v>2027</v>
      </c>
      <c r="C1716" s="4" t="s">
        <v>17</v>
      </c>
      <c r="D1716" s="5" t="s">
        <v>128</v>
      </c>
      <c r="E1716" s="10" t="str">
        <f t="shared" si="381"/>
        <v>PNP'!</v>
      </c>
      <c r="F1716" s="5" t="str">
        <f t="shared" si="392"/>
        <v>C:\Users\jaime.benazar\Quorum Business Solutions\Ecopetrol Prometeo - Documents\Planning Space Implementation\3. Analysis &amp; Design\Design\FC22\DRR Jaime\QUIFA-CAJÚA\Cajua\[VAS_CAJUA_CF_SEC_20230125.xlsx]CF PNP'!</v>
      </c>
      <c r="G1716" s="7" t="s">
        <v>39</v>
      </c>
      <c r="H1716" s="4">
        <f t="shared" si="384"/>
        <v>40</v>
      </c>
      <c r="I1716" s="4" t="str">
        <f t="shared" si="382"/>
        <v>='C:\Users\jaime.benazar\Quorum Business Solutions\Ecopetrol Prometeo - Documents\Planning Space Implementation\3. Analysis &amp; Design\Design\FC22\DRR Jaime\QUIFA-CAJÚA\Cajua\[VAS_CAJUA_CF_SEC_20230125.xlsx]CF PNP'!$BU$40</v>
      </c>
      <c r="J1716" s="4" t="s">
        <v>910</v>
      </c>
    </row>
    <row r="1717" spans="1:10" x14ac:dyDescent="0.25">
      <c r="A1717" s="7" t="s">
        <v>2</v>
      </c>
      <c r="B1717" s="7">
        <f t="shared" si="393"/>
        <v>2028</v>
      </c>
      <c r="C1717" s="4" t="s">
        <v>17</v>
      </c>
      <c r="D1717" s="5" t="s">
        <v>128</v>
      </c>
      <c r="E1717" s="10" t="str">
        <f t="shared" si="381"/>
        <v>PNP'!</v>
      </c>
      <c r="F1717" s="5" t="str">
        <f t="shared" si="392"/>
        <v>C:\Users\jaime.benazar\Quorum Business Solutions\Ecopetrol Prometeo - Documents\Planning Space Implementation\3. Analysis &amp; Design\Design\FC22\DRR Jaime\QUIFA-CAJÚA\Cajua\[VAS_CAJUA_CF_SEC_20230125.xlsx]CF PNP'!</v>
      </c>
      <c r="G1717" s="7" t="s">
        <v>39</v>
      </c>
      <c r="H1717" s="4">
        <f t="shared" si="384"/>
        <v>41</v>
      </c>
      <c r="I1717" s="4" t="str">
        <f t="shared" si="382"/>
        <v>='C:\Users\jaime.benazar\Quorum Business Solutions\Ecopetrol Prometeo - Documents\Planning Space Implementation\3. Analysis &amp; Design\Design\FC22\DRR Jaime\QUIFA-CAJÚA\Cajua\[VAS_CAJUA_CF_SEC_20230125.xlsx]CF PNP'!$BU$41</v>
      </c>
      <c r="J1717" s="4" t="s">
        <v>911</v>
      </c>
    </row>
    <row r="1718" spans="1:10" x14ac:dyDescent="0.25">
      <c r="A1718" s="7" t="s">
        <v>2</v>
      </c>
      <c r="B1718" s="7">
        <f t="shared" si="393"/>
        <v>2029</v>
      </c>
      <c r="C1718" s="4" t="s">
        <v>17</v>
      </c>
      <c r="D1718" s="5" t="s">
        <v>128</v>
      </c>
      <c r="E1718" s="10" t="str">
        <f t="shared" si="381"/>
        <v>PNP'!</v>
      </c>
      <c r="F1718" s="5" t="str">
        <f t="shared" si="392"/>
        <v>C:\Users\jaime.benazar\Quorum Business Solutions\Ecopetrol Prometeo - Documents\Planning Space Implementation\3. Analysis &amp; Design\Design\FC22\DRR Jaime\QUIFA-CAJÚA\Cajua\[VAS_CAJUA_CF_SEC_20230125.xlsx]CF PNP'!</v>
      </c>
      <c r="G1718" s="7" t="s">
        <v>39</v>
      </c>
      <c r="H1718" s="4">
        <f t="shared" si="384"/>
        <v>42</v>
      </c>
      <c r="I1718" s="4" t="str">
        <f t="shared" si="382"/>
        <v>='C:\Users\jaime.benazar\Quorum Business Solutions\Ecopetrol Prometeo - Documents\Planning Space Implementation\3. Analysis &amp; Design\Design\FC22\DRR Jaime\QUIFA-CAJÚA\Cajua\[VAS_CAJUA_CF_SEC_20230125.xlsx]CF PNP'!$BU$42</v>
      </c>
      <c r="J1718" s="4" t="s">
        <v>912</v>
      </c>
    </row>
    <row r="1719" spans="1:10" x14ac:dyDescent="0.25">
      <c r="A1719" s="7" t="s">
        <v>2</v>
      </c>
      <c r="B1719" s="7">
        <f t="shared" si="393"/>
        <v>2030</v>
      </c>
      <c r="C1719" s="4" t="s">
        <v>17</v>
      </c>
      <c r="D1719" s="5" t="s">
        <v>128</v>
      </c>
      <c r="E1719" s="10" t="str">
        <f t="shared" si="381"/>
        <v>PNP'!</v>
      </c>
      <c r="F1719" s="5" t="str">
        <f t="shared" si="392"/>
        <v>C:\Users\jaime.benazar\Quorum Business Solutions\Ecopetrol Prometeo - Documents\Planning Space Implementation\3. Analysis &amp; Design\Design\FC22\DRR Jaime\QUIFA-CAJÚA\Cajua\[VAS_CAJUA_CF_SEC_20230125.xlsx]CF PNP'!</v>
      </c>
      <c r="G1719" s="7" t="s">
        <v>39</v>
      </c>
      <c r="H1719" s="4">
        <f t="shared" si="384"/>
        <v>43</v>
      </c>
      <c r="I1719" s="4" t="str">
        <f t="shared" si="382"/>
        <v>='C:\Users\jaime.benazar\Quorum Business Solutions\Ecopetrol Prometeo - Documents\Planning Space Implementation\3. Analysis &amp; Design\Design\FC22\DRR Jaime\QUIFA-CAJÚA\Cajua\[VAS_CAJUA_CF_SEC_20230125.xlsx]CF PNP'!$BU$43</v>
      </c>
      <c r="J1719" s="4" t="s">
        <v>913</v>
      </c>
    </row>
    <row r="1720" spans="1:10" x14ac:dyDescent="0.25">
      <c r="A1720" s="7" t="s">
        <v>2</v>
      </c>
      <c r="B1720" s="7">
        <f t="shared" si="393"/>
        <v>2031</v>
      </c>
      <c r="C1720" s="4" t="s">
        <v>17</v>
      </c>
      <c r="D1720" s="5" t="s">
        <v>128</v>
      </c>
      <c r="E1720" s="10" t="str">
        <f t="shared" si="381"/>
        <v>PNP'!</v>
      </c>
      <c r="F1720" s="5" t="str">
        <f t="shared" si="392"/>
        <v>C:\Users\jaime.benazar\Quorum Business Solutions\Ecopetrol Prometeo - Documents\Planning Space Implementation\3. Analysis &amp; Design\Design\FC22\DRR Jaime\QUIFA-CAJÚA\Cajua\[VAS_CAJUA_CF_SEC_20230125.xlsx]CF PNP'!</v>
      </c>
      <c r="G1720" s="7" t="s">
        <v>39</v>
      </c>
      <c r="H1720" s="4">
        <f t="shared" si="384"/>
        <v>44</v>
      </c>
      <c r="I1720" s="4" t="str">
        <f t="shared" si="382"/>
        <v>='C:\Users\jaime.benazar\Quorum Business Solutions\Ecopetrol Prometeo - Documents\Planning Space Implementation\3. Analysis &amp; Design\Design\FC22\DRR Jaime\QUIFA-CAJÚA\Cajua\[VAS_CAJUA_CF_SEC_20230125.xlsx]CF PNP'!$BU$44</v>
      </c>
      <c r="J1720" s="4" t="s">
        <v>914</v>
      </c>
    </row>
    <row r="1721" spans="1:10" x14ac:dyDescent="0.25">
      <c r="A1721" s="7" t="s">
        <v>2</v>
      </c>
      <c r="B1721" s="7">
        <f t="shared" si="393"/>
        <v>2032</v>
      </c>
      <c r="C1721" s="4" t="s">
        <v>17</v>
      </c>
      <c r="D1721" s="5" t="s">
        <v>128</v>
      </c>
      <c r="E1721" s="10" t="str">
        <f t="shared" si="381"/>
        <v>PNP'!</v>
      </c>
      <c r="F1721" s="5" t="str">
        <f t="shared" si="392"/>
        <v>C:\Users\jaime.benazar\Quorum Business Solutions\Ecopetrol Prometeo - Documents\Planning Space Implementation\3. Analysis &amp; Design\Design\FC22\DRR Jaime\QUIFA-CAJÚA\Cajua\[VAS_CAJUA_CF_SEC_20230125.xlsx]CF PNP'!</v>
      </c>
      <c r="G1721" s="7" t="s">
        <v>39</v>
      </c>
      <c r="H1721" s="4">
        <f t="shared" si="384"/>
        <v>45</v>
      </c>
      <c r="I1721" s="4" t="str">
        <f t="shared" si="382"/>
        <v>='C:\Users\jaime.benazar\Quorum Business Solutions\Ecopetrol Prometeo - Documents\Planning Space Implementation\3. Analysis &amp; Design\Design\FC22\DRR Jaime\QUIFA-CAJÚA\Cajua\[VAS_CAJUA_CF_SEC_20230125.xlsx]CF PNP'!$BU$45</v>
      </c>
      <c r="J1721" s="4" t="s">
        <v>915</v>
      </c>
    </row>
    <row r="1722" spans="1:10" x14ac:dyDescent="0.25">
      <c r="A1722" s="7" t="s">
        <v>2</v>
      </c>
      <c r="B1722" s="7">
        <f t="shared" si="393"/>
        <v>2033</v>
      </c>
      <c r="C1722" s="4" t="s">
        <v>17</v>
      </c>
      <c r="D1722" s="5" t="s">
        <v>128</v>
      </c>
      <c r="E1722" s="10" t="str">
        <f t="shared" si="381"/>
        <v>PNP'!</v>
      </c>
      <c r="F1722" s="5" t="str">
        <f t="shared" si="392"/>
        <v>C:\Users\jaime.benazar\Quorum Business Solutions\Ecopetrol Prometeo - Documents\Planning Space Implementation\3. Analysis &amp; Design\Design\FC22\DRR Jaime\QUIFA-CAJÚA\Cajua\[VAS_CAJUA_CF_SEC_20230125.xlsx]CF PNP'!</v>
      </c>
      <c r="G1722" s="7" t="s">
        <v>39</v>
      </c>
      <c r="H1722" s="4">
        <f t="shared" si="384"/>
        <v>46</v>
      </c>
      <c r="I1722" s="4" t="str">
        <f t="shared" si="382"/>
        <v>='C:\Users\jaime.benazar\Quorum Business Solutions\Ecopetrol Prometeo - Documents\Planning Space Implementation\3. Analysis &amp; Design\Design\FC22\DRR Jaime\QUIFA-CAJÚA\Cajua\[VAS_CAJUA_CF_SEC_20230125.xlsx]CF PNP'!$BU$46</v>
      </c>
      <c r="J1722" s="4" t="s">
        <v>916</v>
      </c>
    </row>
    <row r="1723" spans="1:10" x14ac:dyDescent="0.25">
      <c r="A1723" s="7" t="s">
        <v>2</v>
      </c>
      <c r="B1723" s="7">
        <f t="shared" si="393"/>
        <v>2034</v>
      </c>
      <c r="C1723" s="4" t="s">
        <v>17</v>
      </c>
      <c r="D1723" s="5" t="s">
        <v>128</v>
      </c>
      <c r="E1723" s="10" t="str">
        <f t="shared" si="381"/>
        <v>PNP'!</v>
      </c>
      <c r="F1723" s="5" t="str">
        <f t="shared" si="392"/>
        <v>C:\Users\jaime.benazar\Quorum Business Solutions\Ecopetrol Prometeo - Documents\Planning Space Implementation\3. Analysis &amp; Design\Design\FC22\DRR Jaime\QUIFA-CAJÚA\Cajua\[VAS_CAJUA_CF_SEC_20230125.xlsx]CF PNP'!</v>
      </c>
      <c r="G1723" s="7" t="s">
        <v>39</v>
      </c>
      <c r="H1723" s="4">
        <f t="shared" si="384"/>
        <v>47</v>
      </c>
      <c r="I1723" s="4" t="str">
        <f t="shared" si="382"/>
        <v>='C:\Users\jaime.benazar\Quorum Business Solutions\Ecopetrol Prometeo - Documents\Planning Space Implementation\3. Analysis &amp; Design\Design\FC22\DRR Jaime\QUIFA-CAJÚA\Cajua\[VAS_CAJUA_CF_SEC_20230125.xlsx]CF PNP'!$BU$47</v>
      </c>
      <c r="J1723" s="4" t="s">
        <v>917</v>
      </c>
    </row>
    <row r="1724" spans="1:10" x14ac:dyDescent="0.25">
      <c r="A1724" s="7" t="s">
        <v>2</v>
      </c>
      <c r="B1724" s="7">
        <f t="shared" si="393"/>
        <v>2035</v>
      </c>
      <c r="C1724" s="4" t="s">
        <v>17</v>
      </c>
      <c r="D1724" s="5" t="s">
        <v>128</v>
      </c>
      <c r="E1724" s="10" t="str">
        <f t="shared" si="381"/>
        <v>PNP'!</v>
      </c>
      <c r="F1724" s="5" t="str">
        <f t="shared" si="392"/>
        <v>C:\Users\jaime.benazar\Quorum Business Solutions\Ecopetrol Prometeo - Documents\Planning Space Implementation\3. Analysis &amp; Design\Design\FC22\DRR Jaime\QUIFA-CAJÚA\Cajua\[VAS_CAJUA_CF_SEC_20230125.xlsx]CF PNP'!</v>
      </c>
      <c r="G1724" s="7" t="s">
        <v>39</v>
      </c>
      <c r="H1724" s="4">
        <f t="shared" si="384"/>
        <v>48</v>
      </c>
      <c r="I1724" s="4" t="str">
        <f t="shared" si="382"/>
        <v>='C:\Users\jaime.benazar\Quorum Business Solutions\Ecopetrol Prometeo - Documents\Planning Space Implementation\3. Analysis &amp; Design\Design\FC22\DRR Jaime\QUIFA-CAJÚA\Cajua\[VAS_CAJUA_CF_SEC_20230125.xlsx]CF PNP'!$BU$48</v>
      </c>
      <c r="J1724" s="4" t="s">
        <v>918</v>
      </c>
    </row>
    <row r="1725" spans="1:10" x14ac:dyDescent="0.25">
      <c r="A1725" s="7" t="s">
        <v>2</v>
      </c>
      <c r="B1725" s="7">
        <f t="shared" si="393"/>
        <v>2036</v>
      </c>
      <c r="C1725" s="4" t="s">
        <v>17</v>
      </c>
      <c r="D1725" s="5" t="s">
        <v>128</v>
      </c>
      <c r="E1725" s="10" t="str">
        <f t="shared" si="381"/>
        <v>PNP'!</v>
      </c>
      <c r="F1725" s="5" t="str">
        <f t="shared" si="392"/>
        <v>C:\Users\jaime.benazar\Quorum Business Solutions\Ecopetrol Prometeo - Documents\Planning Space Implementation\3. Analysis &amp; Design\Design\FC22\DRR Jaime\QUIFA-CAJÚA\Cajua\[VAS_CAJUA_CF_SEC_20230125.xlsx]CF PNP'!</v>
      </c>
      <c r="G1725" s="7" t="s">
        <v>39</v>
      </c>
      <c r="H1725" s="4">
        <f t="shared" si="384"/>
        <v>49</v>
      </c>
      <c r="I1725" s="4" t="str">
        <f t="shared" si="382"/>
        <v>='C:\Users\jaime.benazar\Quorum Business Solutions\Ecopetrol Prometeo - Documents\Planning Space Implementation\3. Analysis &amp; Design\Design\FC22\DRR Jaime\QUIFA-CAJÚA\Cajua\[VAS_CAJUA_CF_SEC_20230125.xlsx]CF PNP'!$BU$49</v>
      </c>
      <c r="J1725" s="4" t="s">
        <v>919</v>
      </c>
    </row>
    <row r="1726" spans="1:10" x14ac:dyDescent="0.25">
      <c r="A1726" s="7" t="s">
        <v>2</v>
      </c>
      <c r="B1726" s="7">
        <f>+B1725+1</f>
        <v>2037</v>
      </c>
      <c r="C1726" s="4" t="s">
        <v>17</v>
      </c>
      <c r="D1726" s="5" t="s">
        <v>128</v>
      </c>
      <c r="E1726" s="10" t="str">
        <f t="shared" si="381"/>
        <v>PNP'!</v>
      </c>
      <c r="F1726" s="5" t="str">
        <f t="shared" si="392"/>
        <v>C:\Users\jaime.benazar\Quorum Business Solutions\Ecopetrol Prometeo - Documents\Planning Space Implementation\3. Analysis &amp; Design\Design\FC22\DRR Jaime\QUIFA-CAJÚA\Cajua\[VAS_CAJUA_CF_SEC_20230125.xlsx]CF PNP'!</v>
      </c>
      <c r="G1726" s="7" t="s">
        <v>39</v>
      </c>
      <c r="H1726" s="4">
        <f t="shared" si="384"/>
        <v>50</v>
      </c>
      <c r="I1726" s="4" t="str">
        <f t="shared" si="382"/>
        <v>='C:\Users\jaime.benazar\Quorum Business Solutions\Ecopetrol Prometeo - Documents\Planning Space Implementation\3. Analysis &amp; Design\Design\FC22\DRR Jaime\QUIFA-CAJÚA\Cajua\[VAS_CAJUA_CF_SEC_20230125.xlsx]CF PNP'!$BU$50</v>
      </c>
      <c r="J1726" s="4" t="s">
        <v>920</v>
      </c>
    </row>
    <row r="1727" spans="1:10" x14ac:dyDescent="0.25">
      <c r="A1727" s="7" t="s">
        <v>2</v>
      </c>
      <c r="B1727" s="7">
        <f t="shared" ref="B1727:B1729" si="394">+B1726+1</f>
        <v>2038</v>
      </c>
      <c r="C1727" s="4" t="s">
        <v>17</v>
      </c>
      <c r="D1727" s="5" t="s">
        <v>128</v>
      </c>
      <c r="E1727" s="10" t="str">
        <f t="shared" si="381"/>
        <v>PNP'!</v>
      </c>
      <c r="F1727" s="5" t="str">
        <f t="shared" si="392"/>
        <v>C:\Users\jaime.benazar\Quorum Business Solutions\Ecopetrol Prometeo - Documents\Planning Space Implementation\3. Analysis &amp; Design\Design\FC22\DRR Jaime\QUIFA-CAJÚA\Cajua\[VAS_CAJUA_CF_SEC_20230125.xlsx]CF PNP'!</v>
      </c>
      <c r="G1727" s="7" t="s">
        <v>39</v>
      </c>
      <c r="H1727" s="4">
        <f t="shared" si="384"/>
        <v>51</v>
      </c>
      <c r="I1727" s="4" t="str">
        <f t="shared" si="382"/>
        <v>='C:\Users\jaime.benazar\Quorum Business Solutions\Ecopetrol Prometeo - Documents\Planning Space Implementation\3. Analysis &amp; Design\Design\FC22\DRR Jaime\QUIFA-CAJÚA\Cajua\[VAS_CAJUA_CF_SEC_20230125.xlsx]CF PNP'!$BU$51</v>
      </c>
      <c r="J1727" s="4" t="s">
        <v>921</v>
      </c>
    </row>
    <row r="1728" spans="1:10" x14ac:dyDescent="0.25">
      <c r="A1728" s="7" t="s">
        <v>2</v>
      </c>
      <c r="B1728" s="7">
        <f t="shared" si="394"/>
        <v>2039</v>
      </c>
      <c r="C1728" s="4" t="s">
        <v>17</v>
      </c>
      <c r="D1728" s="5" t="s">
        <v>128</v>
      </c>
      <c r="E1728" s="10" t="str">
        <f t="shared" si="381"/>
        <v>PNP'!</v>
      </c>
      <c r="F1728" s="5" t="str">
        <f t="shared" si="392"/>
        <v>C:\Users\jaime.benazar\Quorum Business Solutions\Ecopetrol Prometeo - Documents\Planning Space Implementation\3. Analysis &amp; Design\Design\FC22\DRR Jaime\QUIFA-CAJÚA\Cajua\[VAS_CAJUA_CF_SEC_20230125.xlsx]CF PNP'!</v>
      </c>
      <c r="G1728" s="7" t="s">
        <v>39</v>
      </c>
      <c r="H1728" s="4">
        <f t="shared" si="384"/>
        <v>52</v>
      </c>
      <c r="I1728" s="4" t="str">
        <f t="shared" si="382"/>
        <v>='C:\Users\jaime.benazar\Quorum Business Solutions\Ecopetrol Prometeo - Documents\Planning Space Implementation\3. Analysis &amp; Design\Design\FC22\DRR Jaime\QUIFA-CAJÚA\Cajua\[VAS_CAJUA_CF_SEC_20230125.xlsx]CF PNP'!$BU$52</v>
      </c>
      <c r="J1728" s="4" t="s">
        <v>922</v>
      </c>
    </row>
    <row r="1729" spans="1:10" x14ac:dyDescent="0.25">
      <c r="A1729" s="7" t="s">
        <v>2</v>
      </c>
      <c r="B1729" s="7">
        <f t="shared" si="394"/>
        <v>2040</v>
      </c>
      <c r="C1729" s="4" t="s">
        <v>17</v>
      </c>
      <c r="D1729" s="5" t="s">
        <v>128</v>
      </c>
      <c r="E1729" s="10" t="str">
        <f t="shared" si="381"/>
        <v>PNP'!</v>
      </c>
      <c r="F1729" s="5" t="str">
        <f t="shared" si="392"/>
        <v>C:\Users\jaime.benazar\Quorum Business Solutions\Ecopetrol Prometeo - Documents\Planning Space Implementation\3. Analysis &amp; Design\Design\FC22\DRR Jaime\QUIFA-CAJÚA\Cajua\[VAS_CAJUA_CF_SEC_20230125.xlsx]CF PNP'!</v>
      </c>
      <c r="G1729" s="7" t="s">
        <v>39</v>
      </c>
      <c r="H1729" s="4">
        <f t="shared" si="384"/>
        <v>53</v>
      </c>
      <c r="I1729" s="4" t="str">
        <f t="shared" si="382"/>
        <v>='C:\Users\jaime.benazar\Quorum Business Solutions\Ecopetrol Prometeo - Documents\Planning Space Implementation\3. Analysis &amp; Design\Design\FC22\DRR Jaime\QUIFA-CAJÚA\Cajua\[VAS_CAJUA_CF_SEC_20230125.xlsx]CF PNP'!$BU$53</v>
      </c>
      <c r="J1729" s="4" t="s">
        <v>923</v>
      </c>
    </row>
    <row r="1730" spans="1:10" x14ac:dyDescent="0.25">
      <c r="A1730" s="7" t="s">
        <v>2</v>
      </c>
      <c r="B1730" s="7">
        <f>+B1729+1</f>
        <v>2041</v>
      </c>
      <c r="C1730" s="4" t="s">
        <v>17</v>
      </c>
      <c r="D1730" s="5" t="s">
        <v>128</v>
      </c>
      <c r="E1730" s="10" t="str">
        <f t="shared" si="381"/>
        <v>PNP'!</v>
      </c>
      <c r="F1730" s="5" t="str">
        <f t="shared" si="392"/>
        <v>C:\Users\jaime.benazar\Quorum Business Solutions\Ecopetrol Prometeo - Documents\Planning Space Implementation\3. Analysis &amp; Design\Design\FC22\DRR Jaime\QUIFA-CAJÚA\Cajua\[VAS_CAJUA_CF_SEC_20230125.xlsx]CF PNP'!</v>
      </c>
      <c r="G1730" s="7" t="s">
        <v>39</v>
      </c>
      <c r="H1730" s="4">
        <f t="shared" si="384"/>
        <v>54</v>
      </c>
      <c r="I1730" s="4" t="str">
        <f t="shared" si="382"/>
        <v>='C:\Users\jaime.benazar\Quorum Business Solutions\Ecopetrol Prometeo - Documents\Planning Space Implementation\3. Analysis &amp; Design\Design\FC22\DRR Jaime\QUIFA-CAJÚA\Cajua\[VAS_CAJUA_CF_SEC_20230125.xlsx]CF PNP'!$BU$54</v>
      </c>
      <c r="J1730" s="4" t="s">
        <v>924</v>
      </c>
    </row>
    <row r="1731" spans="1:10" x14ac:dyDescent="0.25">
      <c r="A1731" s="7" t="s">
        <v>2</v>
      </c>
      <c r="B1731" s="7">
        <f t="shared" ref="B1731:B1732" si="395">+B1730+1</f>
        <v>2042</v>
      </c>
      <c r="C1731" s="4" t="s">
        <v>17</v>
      </c>
      <c r="D1731" s="5" t="s">
        <v>128</v>
      </c>
      <c r="E1731" s="10" t="str">
        <f t="shared" si="381"/>
        <v>PNP'!</v>
      </c>
      <c r="F1731" s="5" t="str">
        <f t="shared" si="392"/>
        <v>C:\Users\jaime.benazar\Quorum Business Solutions\Ecopetrol Prometeo - Documents\Planning Space Implementation\3. Analysis &amp; Design\Design\FC22\DRR Jaime\QUIFA-CAJÚA\Cajua\[VAS_CAJUA_CF_SEC_20230125.xlsx]CF PNP'!</v>
      </c>
      <c r="G1731" s="7" t="s">
        <v>39</v>
      </c>
      <c r="H1731" s="4">
        <f t="shared" si="384"/>
        <v>55</v>
      </c>
      <c r="I1731" s="4" t="str">
        <f t="shared" si="382"/>
        <v>='C:\Users\jaime.benazar\Quorum Business Solutions\Ecopetrol Prometeo - Documents\Planning Space Implementation\3. Analysis &amp; Design\Design\FC22\DRR Jaime\QUIFA-CAJÚA\Cajua\[VAS_CAJUA_CF_SEC_20230125.xlsx]CF PNP'!$BU$55</v>
      </c>
      <c r="J1731" s="4" t="s">
        <v>925</v>
      </c>
    </row>
    <row r="1732" spans="1:10" x14ac:dyDescent="0.25">
      <c r="A1732" s="7" t="s">
        <v>2</v>
      </c>
      <c r="B1732" s="7">
        <f t="shared" si="395"/>
        <v>2043</v>
      </c>
      <c r="C1732" s="4" t="s">
        <v>17</v>
      </c>
      <c r="D1732" s="5" t="s">
        <v>128</v>
      </c>
      <c r="E1732" s="10" t="str">
        <f t="shared" si="381"/>
        <v>PNP'!</v>
      </c>
      <c r="F1732" s="5" t="str">
        <f t="shared" si="392"/>
        <v>C:\Users\jaime.benazar\Quorum Business Solutions\Ecopetrol Prometeo - Documents\Planning Space Implementation\3. Analysis &amp; Design\Design\FC22\DRR Jaime\QUIFA-CAJÚA\Cajua\[VAS_CAJUA_CF_SEC_20230125.xlsx]CF PNP'!</v>
      </c>
      <c r="G1732" s="7" t="s">
        <v>39</v>
      </c>
      <c r="H1732" s="4">
        <f t="shared" si="384"/>
        <v>56</v>
      </c>
      <c r="I1732" s="4" t="str">
        <f t="shared" si="382"/>
        <v>='C:\Users\jaime.benazar\Quorum Business Solutions\Ecopetrol Prometeo - Documents\Planning Space Implementation\3. Analysis &amp; Design\Design\FC22\DRR Jaime\QUIFA-CAJÚA\Cajua\[VAS_CAJUA_CF_SEC_20230125.xlsx]CF PNP'!$BU$56</v>
      </c>
      <c r="J1732" s="4" t="s">
        <v>926</v>
      </c>
    </row>
    <row r="1733" spans="1:10" x14ac:dyDescent="0.25">
      <c r="A1733" s="7" t="s">
        <v>2</v>
      </c>
      <c r="B1733" s="7">
        <f>+B1732+1</f>
        <v>2044</v>
      </c>
      <c r="C1733" s="4" t="s">
        <v>17</v>
      </c>
      <c r="D1733" s="5" t="s">
        <v>128</v>
      </c>
      <c r="E1733" s="10" t="str">
        <f t="shared" ref="E1733:E1748" si="396">_xlfn.CONCAT(A1733,"'!")</f>
        <v>PNP'!</v>
      </c>
      <c r="F1733" s="5" t="str">
        <f t="shared" ref="F1733:F1748" si="397">_xlfn.CONCAT(D1733," ",E1733)</f>
        <v>C:\Users\jaime.benazar\Quorum Business Solutions\Ecopetrol Prometeo - Documents\Planning Space Implementation\3. Analysis &amp; Design\Design\FC22\DRR Jaime\QUIFA-CAJÚA\Cajua\[VAS_CAJUA_CF_SEC_20230125.xlsx]CF PNP'!</v>
      </c>
      <c r="G1733" s="7" t="s">
        <v>39</v>
      </c>
      <c r="H1733" s="4">
        <f t="shared" ref="H1733:H1748" si="398">IF(A1733&lt;&gt;A1732,36,H1732+1)</f>
        <v>57</v>
      </c>
      <c r="I1733" s="4" t="str">
        <f t="shared" ref="I1733:I1748" si="399">_xlfn.CONCAT("='",F1733:H1733)</f>
        <v>='C:\Users\jaime.benazar\Quorum Business Solutions\Ecopetrol Prometeo - Documents\Planning Space Implementation\3. Analysis &amp; Design\Design\FC22\DRR Jaime\QUIFA-CAJÚA\Cajua\[VAS_CAJUA_CF_SEC_20230125.xlsx]CF PNP'!$BU$57</v>
      </c>
      <c r="J1733" s="4" t="s">
        <v>927</v>
      </c>
    </row>
    <row r="1734" spans="1:10" x14ac:dyDescent="0.25">
      <c r="A1734" s="7" t="s">
        <v>2</v>
      </c>
      <c r="B1734" s="7">
        <f t="shared" ref="B1734:B1748" si="400">+B1733+1</f>
        <v>2045</v>
      </c>
      <c r="C1734" s="4" t="s">
        <v>17</v>
      </c>
      <c r="D1734" s="5" t="s">
        <v>128</v>
      </c>
      <c r="E1734" s="10" t="str">
        <f t="shared" si="396"/>
        <v>PNP'!</v>
      </c>
      <c r="F1734" s="5" t="str">
        <f t="shared" si="397"/>
        <v>C:\Users\jaime.benazar\Quorum Business Solutions\Ecopetrol Prometeo - Documents\Planning Space Implementation\3. Analysis &amp; Design\Design\FC22\DRR Jaime\QUIFA-CAJÚA\Cajua\[VAS_CAJUA_CF_SEC_20230125.xlsx]CF PNP'!</v>
      </c>
      <c r="G1734" s="7" t="s">
        <v>39</v>
      </c>
      <c r="H1734" s="4">
        <f t="shared" si="398"/>
        <v>58</v>
      </c>
      <c r="I1734" s="4" t="str">
        <f t="shared" si="399"/>
        <v>='C:\Users\jaime.benazar\Quorum Business Solutions\Ecopetrol Prometeo - Documents\Planning Space Implementation\3. Analysis &amp; Design\Design\FC22\DRR Jaime\QUIFA-CAJÚA\Cajua\[VAS_CAJUA_CF_SEC_20230125.xlsx]CF PNP'!$BU$58</v>
      </c>
      <c r="J1734" s="4" t="s">
        <v>928</v>
      </c>
    </row>
    <row r="1735" spans="1:10" x14ac:dyDescent="0.25">
      <c r="A1735" s="7" t="s">
        <v>2</v>
      </c>
      <c r="B1735" s="7">
        <f t="shared" si="400"/>
        <v>2046</v>
      </c>
      <c r="C1735" s="4" t="s">
        <v>17</v>
      </c>
      <c r="D1735" s="5" t="s">
        <v>128</v>
      </c>
      <c r="E1735" s="10" t="str">
        <f t="shared" si="396"/>
        <v>PNP'!</v>
      </c>
      <c r="F1735" s="5" t="str">
        <f t="shared" si="397"/>
        <v>C:\Users\jaime.benazar\Quorum Business Solutions\Ecopetrol Prometeo - Documents\Planning Space Implementation\3. Analysis &amp; Design\Design\FC22\DRR Jaime\QUIFA-CAJÚA\Cajua\[VAS_CAJUA_CF_SEC_20230125.xlsx]CF PNP'!</v>
      </c>
      <c r="G1735" s="7" t="s">
        <v>39</v>
      </c>
      <c r="H1735" s="4">
        <f t="shared" si="398"/>
        <v>59</v>
      </c>
      <c r="I1735" s="4" t="str">
        <f t="shared" si="399"/>
        <v>='C:\Users\jaime.benazar\Quorum Business Solutions\Ecopetrol Prometeo - Documents\Planning Space Implementation\3. Analysis &amp; Design\Design\FC22\DRR Jaime\QUIFA-CAJÚA\Cajua\[VAS_CAJUA_CF_SEC_20230125.xlsx]CF PNP'!$BU$59</v>
      </c>
      <c r="J1735" s="4" t="s">
        <v>929</v>
      </c>
    </row>
    <row r="1736" spans="1:10" x14ac:dyDescent="0.25">
      <c r="A1736" s="7" t="s">
        <v>2</v>
      </c>
      <c r="B1736" s="7">
        <f t="shared" si="400"/>
        <v>2047</v>
      </c>
      <c r="C1736" s="4" t="s">
        <v>17</v>
      </c>
      <c r="D1736" s="5" t="s">
        <v>128</v>
      </c>
      <c r="E1736" s="10" t="str">
        <f t="shared" si="396"/>
        <v>PNP'!</v>
      </c>
      <c r="F1736" s="5" t="str">
        <f t="shared" si="397"/>
        <v>C:\Users\jaime.benazar\Quorum Business Solutions\Ecopetrol Prometeo - Documents\Planning Space Implementation\3. Analysis &amp; Design\Design\FC22\DRR Jaime\QUIFA-CAJÚA\Cajua\[VAS_CAJUA_CF_SEC_20230125.xlsx]CF PNP'!</v>
      </c>
      <c r="G1736" s="7" t="s">
        <v>39</v>
      </c>
      <c r="H1736" s="4">
        <f t="shared" si="398"/>
        <v>60</v>
      </c>
      <c r="I1736" s="4" t="str">
        <f t="shared" si="399"/>
        <v>='C:\Users\jaime.benazar\Quorum Business Solutions\Ecopetrol Prometeo - Documents\Planning Space Implementation\3. Analysis &amp; Design\Design\FC22\DRR Jaime\QUIFA-CAJÚA\Cajua\[VAS_CAJUA_CF_SEC_20230125.xlsx]CF PNP'!$BU$60</v>
      </c>
      <c r="J1736" s="4" t="s">
        <v>930</v>
      </c>
    </row>
    <row r="1737" spans="1:10" x14ac:dyDescent="0.25">
      <c r="A1737" s="7" t="s">
        <v>2</v>
      </c>
      <c r="B1737" s="7">
        <f t="shared" si="400"/>
        <v>2048</v>
      </c>
      <c r="C1737" s="4" t="s">
        <v>17</v>
      </c>
      <c r="D1737" s="5" t="s">
        <v>128</v>
      </c>
      <c r="E1737" s="10" t="str">
        <f t="shared" si="396"/>
        <v>PNP'!</v>
      </c>
      <c r="F1737" s="5" t="str">
        <f t="shared" si="397"/>
        <v>C:\Users\jaime.benazar\Quorum Business Solutions\Ecopetrol Prometeo - Documents\Planning Space Implementation\3. Analysis &amp; Design\Design\FC22\DRR Jaime\QUIFA-CAJÚA\Cajua\[VAS_CAJUA_CF_SEC_20230125.xlsx]CF PNP'!</v>
      </c>
      <c r="G1737" s="7" t="s">
        <v>39</v>
      </c>
      <c r="H1737" s="4">
        <f t="shared" si="398"/>
        <v>61</v>
      </c>
      <c r="I1737" s="4" t="str">
        <f t="shared" si="399"/>
        <v>='C:\Users\jaime.benazar\Quorum Business Solutions\Ecopetrol Prometeo - Documents\Planning Space Implementation\3. Analysis &amp; Design\Design\FC22\DRR Jaime\QUIFA-CAJÚA\Cajua\[VAS_CAJUA_CF_SEC_20230125.xlsx]CF PNP'!$BU$61</v>
      </c>
      <c r="J1737" s="4" t="s">
        <v>931</v>
      </c>
    </row>
    <row r="1738" spans="1:10" x14ac:dyDescent="0.25">
      <c r="A1738" s="7" t="s">
        <v>2</v>
      </c>
      <c r="B1738" s="7">
        <f t="shared" si="400"/>
        <v>2049</v>
      </c>
      <c r="C1738" s="4" t="s">
        <v>17</v>
      </c>
      <c r="D1738" s="5" t="s">
        <v>128</v>
      </c>
      <c r="E1738" s="10" t="str">
        <f t="shared" si="396"/>
        <v>PNP'!</v>
      </c>
      <c r="F1738" s="5" t="str">
        <f t="shared" si="397"/>
        <v>C:\Users\jaime.benazar\Quorum Business Solutions\Ecopetrol Prometeo - Documents\Planning Space Implementation\3. Analysis &amp; Design\Design\FC22\DRR Jaime\QUIFA-CAJÚA\Cajua\[VAS_CAJUA_CF_SEC_20230125.xlsx]CF PNP'!</v>
      </c>
      <c r="G1738" s="7" t="s">
        <v>39</v>
      </c>
      <c r="H1738" s="4">
        <f t="shared" si="398"/>
        <v>62</v>
      </c>
      <c r="I1738" s="4" t="str">
        <f t="shared" si="399"/>
        <v>='C:\Users\jaime.benazar\Quorum Business Solutions\Ecopetrol Prometeo - Documents\Planning Space Implementation\3. Analysis &amp; Design\Design\FC22\DRR Jaime\QUIFA-CAJÚA\Cajua\[VAS_CAJUA_CF_SEC_20230125.xlsx]CF PNP'!$BU$62</v>
      </c>
      <c r="J1738" s="4" t="s">
        <v>932</v>
      </c>
    </row>
    <row r="1739" spans="1:10" x14ac:dyDescent="0.25">
      <c r="A1739" s="7" t="s">
        <v>2</v>
      </c>
      <c r="B1739" s="7">
        <f t="shared" si="400"/>
        <v>2050</v>
      </c>
      <c r="C1739" s="4" t="s">
        <v>17</v>
      </c>
      <c r="D1739" s="5" t="s">
        <v>128</v>
      </c>
      <c r="E1739" s="10" t="str">
        <f t="shared" si="396"/>
        <v>PNP'!</v>
      </c>
      <c r="F1739" s="5" t="str">
        <f t="shared" si="397"/>
        <v>C:\Users\jaime.benazar\Quorum Business Solutions\Ecopetrol Prometeo - Documents\Planning Space Implementation\3. Analysis &amp; Design\Design\FC22\DRR Jaime\QUIFA-CAJÚA\Cajua\[VAS_CAJUA_CF_SEC_20230125.xlsx]CF PNP'!</v>
      </c>
      <c r="G1739" s="7" t="s">
        <v>39</v>
      </c>
      <c r="H1739" s="4">
        <f t="shared" si="398"/>
        <v>63</v>
      </c>
      <c r="I1739" s="4" t="str">
        <f t="shared" si="399"/>
        <v>='C:\Users\jaime.benazar\Quorum Business Solutions\Ecopetrol Prometeo - Documents\Planning Space Implementation\3. Analysis &amp; Design\Design\FC22\DRR Jaime\QUIFA-CAJÚA\Cajua\[VAS_CAJUA_CF_SEC_20230125.xlsx]CF PNP'!$BU$63</v>
      </c>
      <c r="J1739" s="4" t="s">
        <v>933</v>
      </c>
    </row>
    <row r="1740" spans="1:10" x14ac:dyDescent="0.25">
      <c r="A1740" s="7" t="s">
        <v>2</v>
      </c>
      <c r="B1740" s="7">
        <f t="shared" si="400"/>
        <v>2051</v>
      </c>
      <c r="C1740" s="4" t="s">
        <v>17</v>
      </c>
      <c r="D1740" s="5" t="s">
        <v>128</v>
      </c>
      <c r="E1740" s="10" t="str">
        <f t="shared" si="396"/>
        <v>PNP'!</v>
      </c>
      <c r="F1740" s="5" t="str">
        <f t="shared" si="397"/>
        <v>C:\Users\jaime.benazar\Quorum Business Solutions\Ecopetrol Prometeo - Documents\Planning Space Implementation\3. Analysis &amp; Design\Design\FC22\DRR Jaime\QUIFA-CAJÚA\Cajua\[VAS_CAJUA_CF_SEC_20230125.xlsx]CF PNP'!</v>
      </c>
      <c r="G1740" s="7" t="s">
        <v>39</v>
      </c>
      <c r="H1740" s="4">
        <f t="shared" si="398"/>
        <v>64</v>
      </c>
      <c r="I1740" s="4" t="str">
        <f t="shared" si="399"/>
        <v>='C:\Users\jaime.benazar\Quorum Business Solutions\Ecopetrol Prometeo - Documents\Planning Space Implementation\3. Analysis &amp; Design\Design\FC22\DRR Jaime\QUIFA-CAJÚA\Cajua\[VAS_CAJUA_CF_SEC_20230125.xlsx]CF PNP'!$BU$64</v>
      </c>
      <c r="J1740" s="4" t="s">
        <v>934</v>
      </c>
    </row>
    <row r="1741" spans="1:10" x14ac:dyDescent="0.25">
      <c r="A1741" s="7" t="s">
        <v>2</v>
      </c>
      <c r="B1741" s="7">
        <f t="shared" si="400"/>
        <v>2052</v>
      </c>
      <c r="C1741" s="4" t="s">
        <v>17</v>
      </c>
      <c r="D1741" s="5" t="s">
        <v>128</v>
      </c>
      <c r="E1741" s="10" t="str">
        <f t="shared" si="396"/>
        <v>PNP'!</v>
      </c>
      <c r="F1741" s="5" t="str">
        <f t="shared" si="397"/>
        <v>C:\Users\jaime.benazar\Quorum Business Solutions\Ecopetrol Prometeo - Documents\Planning Space Implementation\3. Analysis &amp; Design\Design\FC22\DRR Jaime\QUIFA-CAJÚA\Cajua\[VAS_CAJUA_CF_SEC_20230125.xlsx]CF PNP'!</v>
      </c>
      <c r="G1741" s="7" t="s">
        <v>39</v>
      </c>
      <c r="H1741" s="4">
        <f t="shared" si="398"/>
        <v>65</v>
      </c>
      <c r="I1741" s="4" t="str">
        <f t="shared" si="399"/>
        <v>='C:\Users\jaime.benazar\Quorum Business Solutions\Ecopetrol Prometeo - Documents\Planning Space Implementation\3. Analysis &amp; Design\Design\FC22\DRR Jaime\QUIFA-CAJÚA\Cajua\[VAS_CAJUA_CF_SEC_20230125.xlsx]CF PNP'!$BU$65</v>
      </c>
      <c r="J1741" s="4" t="s">
        <v>935</v>
      </c>
    </row>
    <row r="1742" spans="1:10" x14ac:dyDescent="0.25">
      <c r="A1742" s="7" t="s">
        <v>2</v>
      </c>
      <c r="B1742" s="7">
        <f t="shared" si="400"/>
        <v>2053</v>
      </c>
      <c r="C1742" s="4" t="s">
        <v>17</v>
      </c>
      <c r="D1742" s="5" t="s">
        <v>128</v>
      </c>
      <c r="E1742" s="10" t="str">
        <f t="shared" si="396"/>
        <v>PNP'!</v>
      </c>
      <c r="F1742" s="5" t="str">
        <f t="shared" si="397"/>
        <v>C:\Users\jaime.benazar\Quorum Business Solutions\Ecopetrol Prometeo - Documents\Planning Space Implementation\3. Analysis &amp; Design\Design\FC22\DRR Jaime\QUIFA-CAJÚA\Cajua\[VAS_CAJUA_CF_SEC_20230125.xlsx]CF PNP'!</v>
      </c>
      <c r="G1742" s="7" t="s">
        <v>39</v>
      </c>
      <c r="H1742" s="4">
        <f t="shared" si="398"/>
        <v>66</v>
      </c>
      <c r="I1742" s="4" t="str">
        <f t="shared" si="399"/>
        <v>='C:\Users\jaime.benazar\Quorum Business Solutions\Ecopetrol Prometeo - Documents\Planning Space Implementation\3. Analysis &amp; Design\Design\FC22\DRR Jaime\QUIFA-CAJÚA\Cajua\[VAS_CAJUA_CF_SEC_20230125.xlsx]CF PNP'!$BU$66</v>
      </c>
      <c r="J1742" s="4" t="s">
        <v>936</v>
      </c>
    </row>
    <row r="1743" spans="1:10" x14ac:dyDescent="0.25">
      <c r="A1743" s="7" t="s">
        <v>2</v>
      </c>
      <c r="B1743" s="7">
        <f t="shared" si="400"/>
        <v>2054</v>
      </c>
      <c r="C1743" s="4" t="s">
        <v>17</v>
      </c>
      <c r="D1743" s="5" t="s">
        <v>128</v>
      </c>
      <c r="E1743" s="10" t="str">
        <f t="shared" si="396"/>
        <v>PNP'!</v>
      </c>
      <c r="F1743" s="5" t="str">
        <f t="shared" si="397"/>
        <v>C:\Users\jaime.benazar\Quorum Business Solutions\Ecopetrol Prometeo - Documents\Planning Space Implementation\3. Analysis &amp; Design\Design\FC22\DRR Jaime\QUIFA-CAJÚA\Cajua\[VAS_CAJUA_CF_SEC_20230125.xlsx]CF PNP'!</v>
      </c>
      <c r="G1743" s="7" t="s">
        <v>39</v>
      </c>
      <c r="H1743" s="4">
        <f t="shared" si="398"/>
        <v>67</v>
      </c>
      <c r="I1743" s="4" t="str">
        <f t="shared" si="399"/>
        <v>='C:\Users\jaime.benazar\Quorum Business Solutions\Ecopetrol Prometeo - Documents\Planning Space Implementation\3. Analysis &amp; Design\Design\FC22\DRR Jaime\QUIFA-CAJÚA\Cajua\[VAS_CAJUA_CF_SEC_20230125.xlsx]CF PNP'!$BU$67</v>
      </c>
      <c r="J1743" s="4" t="s">
        <v>937</v>
      </c>
    </row>
    <row r="1744" spans="1:10" x14ac:dyDescent="0.25">
      <c r="A1744" s="7" t="s">
        <v>2</v>
      </c>
      <c r="B1744" s="7">
        <f t="shared" si="400"/>
        <v>2055</v>
      </c>
      <c r="C1744" s="4" t="s">
        <v>17</v>
      </c>
      <c r="D1744" s="5" t="s">
        <v>128</v>
      </c>
      <c r="E1744" s="10" t="str">
        <f t="shared" si="396"/>
        <v>PNP'!</v>
      </c>
      <c r="F1744" s="5" t="str">
        <f t="shared" si="397"/>
        <v>C:\Users\jaime.benazar\Quorum Business Solutions\Ecopetrol Prometeo - Documents\Planning Space Implementation\3. Analysis &amp; Design\Design\FC22\DRR Jaime\QUIFA-CAJÚA\Cajua\[VAS_CAJUA_CF_SEC_20230125.xlsx]CF PNP'!</v>
      </c>
      <c r="G1744" s="7" t="s">
        <v>39</v>
      </c>
      <c r="H1744" s="4">
        <f t="shared" si="398"/>
        <v>68</v>
      </c>
      <c r="I1744" s="4" t="str">
        <f t="shared" si="399"/>
        <v>='C:\Users\jaime.benazar\Quorum Business Solutions\Ecopetrol Prometeo - Documents\Planning Space Implementation\3. Analysis &amp; Design\Design\FC22\DRR Jaime\QUIFA-CAJÚA\Cajua\[VAS_CAJUA_CF_SEC_20230125.xlsx]CF PNP'!$BU$68</v>
      </c>
      <c r="J1744" s="4" t="s">
        <v>938</v>
      </c>
    </row>
    <row r="1745" spans="1:10" x14ac:dyDescent="0.25">
      <c r="A1745" s="7" t="s">
        <v>2</v>
      </c>
      <c r="B1745" s="7">
        <f t="shared" si="400"/>
        <v>2056</v>
      </c>
      <c r="C1745" s="4" t="s">
        <v>17</v>
      </c>
      <c r="D1745" s="5" t="s">
        <v>128</v>
      </c>
      <c r="E1745" s="10" t="str">
        <f t="shared" si="396"/>
        <v>PNP'!</v>
      </c>
      <c r="F1745" s="5" t="str">
        <f t="shared" si="397"/>
        <v>C:\Users\jaime.benazar\Quorum Business Solutions\Ecopetrol Prometeo - Documents\Planning Space Implementation\3. Analysis &amp; Design\Design\FC22\DRR Jaime\QUIFA-CAJÚA\Cajua\[VAS_CAJUA_CF_SEC_20230125.xlsx]CF PNP'!</v>
      </c>
      <c r="G1745" s="7" t="s">
        <v>39</v>
      </c>
      <c r="H1745" s="4">
        <f t="shared" si="398"/>
        <v>69</v>
      </c>
      <c r="I1745" s="4" t="str">
        <f t="shared" si="399"/>
        <v>='C:\Users\jaime.benazar\Quorum Business Solutions\Ecopetrol Prometeo - Documents\Planning Space Implementation\3. Analysis &amp; Design\Design\FC22\DRR Jaime\QUIFA-CAJÚA\Cajua\[VAS_CAJUA_CF_SEC_20230125.xlsx]CF PNP'!$BU$69</v>
      </c>
      <c r="J1745" s="4" t="s">
        <v>939</v>
      </c>
    </row>
    <row r="1746" spans="1:10" x14ac:dyDescent="0.25">
      <c r="A1746" s="7" t="s">
        <v>2</v>
      </c>
      <c r="B1746" s="7">
        <f t="shared" si="400"/>
        <v>2057</v>
      </c>
      <c r="C1746" s="4" t="s">
        <v>17</v>
      </c>
      <c r="D1746" s="5" t="s">
        <v>128</v>
      </c>
      <c r="E1746" s="10" t="str">
        <f t="shared" si="396"/>
        <v>PNP'!</v>
      </c>
      <c r="F1746" s="5" t="str">
        <f t="shared" si="397"/>
        <v>C:\Users\jaime.benazar\Quorum Business Solutions\Ecopetrol Prometeo - Documents\Planning Space Implementation\3. Analysis &amp; Design\Design\FC22\DRR Jaime\QUIFA-CAJÚA\Cajua\[VAS_CAJUA_CF_SEC_20230125.xlsx]CF PNP'!</v>
      </c>
      <c r="G1746" s="7" t="s">
        <v>39</v>
      </c>
      <c r="H1746" s="4">
        <f t="shared" si="398"/>
        <v>70</v>
      </c>
      <c r="I1746" s="4" t="str">
        <f t="shared" si="399"/>
        <v>='C:\Users\jaime.benazar\Quorum Business Solutions\Ecopetrol Prometeo - Documents\Planning Space Implementation\3. Analysis &amp; Design\Design\FC22\DRR Jaime\QUIFA-CAJÚA\Cajua\[VAS_CAJUA_CF_SEC_20230125.xlsx]CF PNP'!$BU$70</v>
      </c>
      <c r="J1746" s="4" t="s">
        <v>940</v>
      </c>
    </row>
    <row r="1747" spans="1:10" x14ac:dyDescent="0.25">
      <c r="A1747" s="7" t="s">
        <v>2</v>
      </c>
      <c r="B1747" s="7">
        <f t="shared" si="400"/>
        <v>2058</v>
      </c>
      <c r="C1747" s="4" t="s">
        <v>17</v>
      </c>
      <c r="D1747" s="5" t="s">
        <v>128</v>
      </c>
      <c r="E1747" s="10" t="str">
        <f t="shared" si="396"/>
        <v>PNP'!</v>
      </c>
      <c r="F1747" s="5" t="str">
        <f t="shared" si="397"/>
        <v>C:\Users\jaime.benazar\Quorum Business Solutions\Ecopetrol Prometeo - Documents\Planning Space Implementation\3. Analysis &amp; Design\Design\FC22\DRR Jaime\QUIFA-CAJÚA\Cajua\[VAS_CAJUA_CF_SEC_20230125.xlsx]CF PNP'!</v>
      </c>
      <c r="G1747" s="7" t="s">
        <v>39</v>
      </c>
      <c r="H1747" s="4">
        <f t="shared" si="398"/>
        <v>71</v>
      </c>
      <c r="I1747" s="4" t="str">
        <f t="shared" si="399"/>
        <v>='C:\Users\jaime.benazar\Quorum Business Solutions\Ecopetrol Prometeo - Documents\Planning Space Implementation\3. Analysis &amp; Design\Design\FC22\DRR Jaime\QUIFA-CAJÚA\Cajua\[VAS_CAJUA_CF_SEC_20230125.xlsx]CF PNP'!$BU$71</v>
      </c>
      <c r="J1747" s="4" t="s">
        <v>941</v>
      </c>
    </row>
    <row r="1748" spans="1:10" x14ac:dyDescent="0.25">
      <c r="A1748" s="7" t="s">
        <v>2</v>
      </c>
      <c r="B1748" s="7">
        <f t="shared" si="400"/>
        <v>2059</v>
      </c>
      <c r="C1748" s="4" t="s">
        <v>17</v>
      </c>
      <c r="D1748" s="5" t="s">
        <v>128</v>
      </c>
      <c r="E1748" s="10" t="str">
        <f t="shared" si="396"/>
        <v>PNP'!</v>
      </c>
      <c r="F1748" s="5" t="str">
        <f t="shared" si="397"/>
        <v>C:\Users\jaime.benazar\Quorum Business Solutions\Ecopetrol Prometeo - Documents\Planning Space Implementation\3. Analysis &amp; Design\Design\FC22\DRR Jaime\QUIFA-CAJÚA\Cajua\[VAS_CAJUA_CF_SEC_20230125.xlsx]CF PNP'!</v>
      </c>
      <c r="G1748" s="7" t="s">
        <v>39</v>
      </c>
      <c r="H1748" s="4">
        <f t="shared" si="398"/>
        <v>72</v>
      </c>
      <c r="I1748" s="4" t="str">
        <f t="shared" si="399"/>
        <v>='C:\Users\jaime.benazar\Quorum Business Solutions\Ecopetrol Prometeo - Documents\Planning Space Implementation\3. Analysis &amp; Design\Design\FC22\DRR Jaime\QUIFA-CAJÚA\Cajua\[VAS_CAJUA_CF_SEC_20230125.xlsx]CF PNP'!$BU$72</v>
      </c>
      <c r="J1748" s="4" t="s">
        <v>942</v>
      </c>
    </row>
    <row r="1749" spans="1:10" x14ac:dyDescent="0.25">
      <c r="A1749" s="7" t="s">
        <v>28</v>
      </c>
      <c r="B1749" s="7"/>
      <c r="C1749" s="4" t="s">
        <v>17</v>
      </c>
      <c r="D1749" s="5"/>
      <c r="E1749" s="10"/>
      <c r="F1749" s="2"/>
      <c r="G1749" s="7"/>
      <c r="H1749" s="4"/>
      <c r="I1749" s="4"/>
      <c r="J1749" s="4"/>
    </row>
    <row r="1750" spans="1:10" x14ac:dyDescent="0.25">
      <c r="A1750" s="7" t="s">
        <v>3</v>
      </c>
      <c r="B1750" s="7">
        <v>2023</v>
      </c>
      <c r="C1750" s="4" t="s">
        <v>17</v>
      </c>
      <c r="D1750" s="5" t="s">
        <v>128</v>
      </c>
      <c r="E1750" s="10" t="str">
        <f t="shared" si="381"/>
        <v>PND'!</v>
      </c>
      <c r="F1750" s="5" t="str">
        <f t="shared" ref="F1750:F1770" si="401">_xlfn.CONCAT(D1750," ",E1750)</f>
        <v>C:\Users\jaime.benazar\Quorum Business Solutions\Ecopetrol Prometeo - Documents\Planning Space Implementation\3. Analysis &amp; Design\Design\FC22\DRR Jaime\QUIFA-CAJÚA\Cajua\[VAS_CAJUA_CF_SEC_20230125.xlsx]CF PND'!</v>
      </c>
      <c r="G1750" s="7" t="s">
        <v>39</v>
      </c>
      <c r="H1750" s="4">
        <f>IF(A1750&lt;&gt;A1734,36,H1734+1)</f>
        <v>36</v>
      </c>
      <c r="I1750" s="4" t="str">
        <f t="shared" si="382"/>
        <v>='C:\Users\jaime.benazar\Quorum Business Solutions\Ecopetrol Prometeo - Documents\Planning Space Implementation\3. Analysis &amp; Design\Design\FC22\DRR Jaime\QUIFA-CAJÚA\Cajua\[VAS_CAJUA_CF_SEC_20230125.xlsx]CF PND'!$BU$36</v>
      </c>
      <c r="J1750" s="4" t="s">
        <v>943</v>
      </c>
    </row>
    <row r="1751" spans="1:10" x14ac:dyDescent="0.25">
      <c r="A1751" s="7" t="s">
        <v>3</v>
      </c>
      <c r="B1751" s="7">
        <f>+B1750+1</f>
        <v>2024</v>
      </c>
      <c r="C1751" s="4" t="s">
        <v>17</v>
      </c>
      <c r="D1751" s="5" t="s">
        <v>128</v>
      </c>
      <c r="E1751" s="10" t="str">
        <f t="shared" si="381"/>
        <v>PND'!</v>
      </c>
      <c r="F1751" s="5" t="str">
        <f t="shared" si="401"/>
        <v>C:\Users\jaime.benazar\Quorum Business Solutions\Ecopetrol Prometeo - Documents\Planning Space Implementation\3. Analysis &amp; Design\Design\FC22\DRR Jaime\QUIFA-CAJÚA\Cajua\[VAS_CAJUA_CF_SEC_20230125.xlsx]CF PND'!</v>
      </c>
      <c r="G1751" s="7" t="s">
        <v>39</v>
      </c>
      <c r="H1751" s="4">
        <f t="shared" si="384"/>
        <v>37</v>
      </c>
      <c r="I1751" s="4" t="str">
        <f t="shared" si="382"/>
        <v>='C:\Users\jaime.benazar\Quorum Business Solutions\Ecopetrol Prometeo - Documents\Planning Space Implementation\3. Analysis &amp; Design\Design\FC22\DRR Jaime\QUIFA-CAJÚA\Cajua\[VAS_CAJUA_CF_SEC_20230125.xlsx]CF PND'!$BU$37</v>
      </c>
      <c r="J1751" s="4" t="s">
        <v>944</v>
      </c>
    </row>
    <row r="1752" spans="1:10" x14ac:dyDescent="0.25">
      <c r="A1752" s="7" t="s">
        <v>3</v>
      </c>
      <c r="B1752" s="7">
        <f t="shared" ref="B1752:B1763" si="402">+B1751+1</f>
        <v>2025</v>
      </c>
      <c r="C1752" s="4" t="s">
        <v>17</v>
      </c>
      <c r="D1752" s="5" t="s">
        <v>128</v>
      </c>
      <c r="E1752" s="10" t="str">
        <f t="shared" si="381"/>
        <v>PND'!</v>
      </c>
      <c r="F1752" s="5" t="str">
        <f t="shared" si="401"/>
        <v>C:\Users\jaime.benazar\Quorum Business Solutions\Ecopetrol Prometeo - Documents\Planning Space Implementation\3. Analysis &amp; Design\Design\FC22\DRR Jaime\QUIFA-CAJÚA\Cajua\[VAS_CAJUA_CF_SEC_20230125.xlsx]CF PND'!</v>
      </c>
      <c r="G1752" s="7" t="s">
        <v>39</v>
      </c>
      <c r="H1752" s="4">
        <f t="shared" si="384"/>
        <v>38</v>
      </c>
      <c r="I1752" s="4" t="str">
        <f t="shared" si="382"/>
        <v>='C:\Users\jaime.benazar\Quorum Business Solutions\Ecopetrol Prometeo - Documents\Planning Space Implementation\3. Analysis &amp; Design\Design\FC22\DRR Jaime\QUIFA-CAJÚA\Cajua\[VAS_CAJUA_CF_SEC_20230125.xlsx]CF PND'!$BU$38</v>
      </c>
      <c r="J1752" s="4" t="s">
        <v>945</v>
      </c>
    </row>
    <row r="1753" spans="1:10" x14ac:dyDescent="0.25">
      <c r="A1753" s="7" t="s">
        <v>3</v>
      </c>
      <c r="B1753" s="7">
        <f t="shared" si="402"/>
        <v>2026</v>
      </c>
      <c r="C1753" s="4" t="s">
        <v>17</v>
      </c>
      <c r="D1753" s="5" t="s">
        <v>128</v>
      </c>
      <c r="E1753" s="10" t="str">
        <f t="shared" si="381"/>
        <v>PND'!</v>
      </c>
      <c r="F1753" s="5" t="str">
        <f t="shared" si="401"/>
        <v>C:\Users\jaime.benazar\Quorum Business Solutions\Ecopetrol Prometeo - Documents\Planning Space Implementation\3. Analysis &amp; Design\Design\FC22\DRR Jaime\QUIFA-CAJÚA\Cajua\[VAS_CAJUA_CF_SEC_20230125.xlsx]CF PND'!</v>
      </c>
      <c r="G1753" s="7" t="s">
        <v>39</v>
      </c>
      <c r="H1753" s="4">
        <f t="shared" si="384"/>
        <v>39</v>
      </c>
      <c r="I1753" s="4" t="str">
        <f t="shared" si="382"/>
        <v>='C:\Users\jaime.benazar\Quorum Business Solutions\Ecopetrol Prometeo - Documents\Planning Space Implementation\3. Analysis &amp; Design\Design\FC22\DRR Jaime\QUIFA-CAJÚA\Cajua\[VAS_CAJUA_CF_SEC_20230125.xlsx]CF PND'!$BU$39</v>
      </c>
      <c r="J1753" s="4" t="s">
        <v>946</v>
      </c>
    </row>
    <row r="1754" spans="1:10" x14ac:dyDescent="0.25">
      <c r="A1754" s="7" t="s">
        <v>3</v>
      </c>
      <c r="B1754" s="7">
        <f t="shared" si="402"/>
        <v>2027</v>
      </c>
      <c r="C1754" s="4" t="s">
        <v>17</v>
      </c>
      <c r="D1754" s="5" t="s">
        <v>128</v>
      </c>
      <c r="E1754" s="10" t="str">
        <f t="shared" si="381"/>
        <v>PND'!</v>
      </c>
      <c r="F1754" s="5" t="str">
        <f t="shared" si="401"/>
        <v>C:\Users\jaime.benazar\Quorum Business Solutions\Ecopetrol Prometeo - Documents\Planning Space Implementation\3. Analysis &amp; Design\Design\FC22\DRR Jaime\QUIFA-CAJÚA\Cajua\[VAS_CAJUA_CF_SEC_20230125.xlsx]CF PND'!</v>
      </c>
      <c r="G1754" s="7" t="s">
        <v>39</v>
      </c>
      <c r="H1754" s="4">
        <f t="shared" si="384"/>
        <v>40</v>
      </c>
      <c r="I1754" s="4" t="str">
        <f t="shared" si="382"/>
        <v>='C:\Users\jaime.benazar\Quorum Business Solutions\Ecopetrol Prometeo - Documents\Planning Space Implementation\3. Analysis &amp; Design\Design\FC22\DRR Jaime\QUIFA-CAJÚA\Cajua\[VAS_CAJUA_CF_SEC_20230125.xlsx]CF PND'!$BU$40</v>
      </c>
      <c r="J1754" s="4" t="s">
        <v>947</v>
      </c>
    </row>
    <row r="1755" spans="1:10" x14ac:dyDescent="0.25">
      <c r="A1755" s="7" t="s">
        <v>3</v>
      </c>
      <c r="B1755" s="7">
        <f t="shared" si="402"/>
        <v>2028</v>
      </c>
      <c r="C1755" s="4" t="s">
        <v>17</v>
      </c>
      <c r="D1755" s="5" t="s">
        <v>128</v>
      </c>
      <c r="E1755" s="10" t="str">
        <f t="shared" si="381"/>
        <v>PND'!</v>
      </c>
      <c r="F1755" s="5" t="str">
        <f t="shared" si="401"/>
        <v>C:\Users\jaime.benazar\Quorum Business Solutions\Ecopetrol Prometeo - Documents\Planning Space Implementation\3. Analysis &amp; Design\Design\FC22\DRR Jaime\QUIFA-CAJÚA\Cajua\[VAS_CAJUA_CF_SEC_20230125.xlsx]CF PND'!</v>
      </c>
      <c r="G1755" s="7" t="s">
        <v>39</v>
      </c>
      <c r="H1755" s="4">
        <f t="shared" si="384"/>
        <v>41</v>
      </c>
      <c r="I1755" s="4" t="str">
        <f t="shared" si="382"/>
        <v>='C:\Users\jaime.benazar\Quorum Business Solutions\Ecopetrol Prometeo - Documents\Planning Space Implementation\3. Analysis &amp; Design\Design\FC22\DRR Jaime\QUIFA-CAJÚA\Cajua\[VAS_CAJUA_CF_SEC_20230125.xlsx]CF PND'!$BU$41</v>
      </c>
      <c r="J1755" s="4" t="s">
        <v>948</v>
      </c>
    </row>
    <row r="1756" spans="1:10" x14ac:dyDescent="0.25">
      <c r="A1756" s="7" t="s">
        <v>3</v>
      </c>
      <c r="B1756" s="7">
        <f t="shared" si="402"/>
        <v>2029</v>
      </c>
      <c r="C1756" s="4" t="s">
        <v>17</v>
      </c>
      <c r="D1756" s="5" t="s">
        <v>128</v>
      </c>
      <c r="E1756" s="10" t="str">
        <f t="shared" si="381"/>
        <v>PND'!</v>
      </c>
      <c r="F1756" s="5" t="str">
        <f t="shared" si="401"/>
        <v>C:\Users\jaime.benazar\Quorum Business Solutions\Ecopetrol Prometeo - Documents\Planning Space Implementation\3. Analysis &amp; Design\Design\FC22\DRR Jaime\QUIFA-CAJÚA\Cajua\[VAS_CAJUA_CF_SEC_20230125.xlsx]CF PND'!</v>
      </c>
      <c r="G1756" s="7" t="s">
        <v>39</v>
      </c>
      <c r="H1756" s="4">
        <f t="shared" si="384"/>
        <v>42</v>
      </c>
      <c r="I1756" s="4" t="str">
        <f t="shared" si="382"/>
        <v>='C:\Users\jaime.benazar\Quorum Business Solutions\Ecopetrol Prometeo - Documents\Planning Space Implementation\3. Analysis &amp; Design\Design\FC22\DRR Jaime\QUIFA-CAJÚA\Cajua\[VAS_CAJUA_CF_SEC_20230125.xlsx]CF PND'!$BU$42</v>
      </c>
      <c r="J1756" s="4" t="s">
        <v>949</v>
      </c>
    </row>
    <row r="1757" spans="1:10" x14ac:dyDescent="0.25">
      <c r="A1757" s="7" t="s">
        <v>3</v>
      </c>
      <c r="B1757" s="7">
        <f t="shared" si="402"/>
        <v>2030</v>
      </c>
      <c r="C1757" s="4" t="s">
        <v>17</v>
      </c>
      <c r="D1757" s="5" t="s">
        <v>128</v>
      </c>
      <c r="E1757" s="10" t="str">
        <f t="shared" si="381"/>
        <v>PND'!</v>
      </c>
      <c r="F1757" s="5" t="str">
        <f t="shared" si="401"/>
        <v>C:\Users\jaime.benazar\Quorum Business Solutions\Ecopetrol Prometeo - Documents\Planning Space Implementation\3. Analysis &amp; Design\Design\FC22\DRR Jaime\QUIFA-CAJÚA\Cajua\[VAS_CAJUA_CF_SEC_20230125.xlsx]CF PND'!</v>
      </c>
      <c r="G1757" s="7" t="s">
        <v>39</v>
      </c>
      <c r="H1757" s="4">
        <f t="shared" si="384"/>
        <v>43</v>
      </c>
      <c r="I1757" s="4" t="str">
        <f t="shared" si="382"/>
        <v>='C:\Users\jaime.benazar\Quorum Business Solutions\Ecopetrol Prometeo - Documents\Planning Space Implementation\3. Analysis &amp; Design\Design\FC22\DRR Jaime\QUIFA-CAJÚA\Cajua\[VAS_CAJUA_CF_SEC_20230125.xlsx]CF PND'!$BU$43</v>
      </c>
      <c r="J1757" s="4" t="s">
        <v>950</v>
      </c>
    </row>
    <row r="1758" spans="1:10" x14ac:dyDescent="0.25">
      <c r="A1758" s="7" t="s">
        <v>3</v>
      </c>
      <c r="B1758" s="7">
        <f t="shared" si="402"/>
        <v>2031</v>
      </c>
      <c r="C1758" s="4" t="s">
        <v>17</v>
      </c>
      <c r="D1758" s="5" t="s">
        <v>128</v>
      </c>
      <c r="E1758" s="10" t="str">
        <f t="shared" si="381"/>
        <v>PND'!</v>
      </c>
      <c r="F1758" s="5" t="str">
        <f t="shared" si="401"/>
        <v>C:\Users\jaime.benazar\Quorum Business Solutions\Ecopetrol Prometeo - Documents\Planning Space Implementation\3. Analysis &amp; Design\Design\FC22\DRR Jaime\QUIFA-CAJÚA\Cajua\[VAS_CAJUA_CF_SEC_20230125.xlsx]CF PND'!</v>
      </c>
      <c r="G1758" s="7" t="s">
        <v>39</v>
      </c>
      <c r="H1758" s="4">
        <f t="shared" si="384"/>
        <v>44</v>
      </c>
      <c r="I1758" s="4" t="str">
        <f t="shared" si="382"/>
        <v>='C:\Users\jaime.benazar\Quorum Business Solutions\Ecopetrol Prometeo - Documents\Planning Space Implementation\3. Analysis &amp; Design\Design\FC22\DRR Jaime\QUIFA-CAJÚA\Cajua\[VAS_CAJUA_CF_SEC_20230125.xlsx]CF PND'!$BU$44</v>
      </c>
      <c r="J1758" s="4" t="s">
        <v>951</v>
      </c>
    </row>
    <row r="1759" spans="1:10" x14ac:dyDescent="0.25">
      <c r="A1759" s="7" t="s">
        <v>3</v>
      </c>
      <c r="B1759" s="7">
        <f t="shared" si="402"/>
        <v>2032</v>
      </c>
      <c r="C1759" s="4" t="s">
        <v>17</v>
      </c>
      <c r="D1759" s="5" t="s">
        <v>128</v>
      </c>
      <c r="E1759" s="10" t="str">
        <f t="shared" si="381"/>
        <v>PND'!</v>
      </c>
      <c r="F1759" s="5" t="str">
        <f t="shared" si="401"/>
        <v>C:\Users\jaime.benazar\Quorum Business Solutions\Ecopetrol Prometeo - Documents\Planning Space Implementation\3. Analysis &amp; Design\Design\FC22\DRR Jaime\QUIFA-CAJÚA\Cajua\[VAS_CAJUA_CF_SEC_20230125.xlsx]CF PND'!</v>
      </c>
      <c r="G1759" s="7" t="s">
        <v>39</v>
      </c>
      <c r="H1759" s="4">
        <f t="shared" si="384"/>
        <v>45</v>
      </c>
      <c r="I1759" s="4" t="str">
        <f t="shared" si="382"/>
        <v>='C:\Users\jaime.benazar\Quorum Business Solutions\Ecopetrol Prometeo - Documents\Planning Space Implementation\3. Analysis &amp; Design\Design\FC22\DRR Jaime\QUIFA-CAJÚA\Cajua\[VAS_CAJUA_CF_SEC_20230125.xlsx]CF PND'!$BU$45</v>
      </c>
      <c r="J1759" s="4" t="s">
        <v>952</v>
      </c>
    </row>
    <row r="1760" spans="1:10" x14ac:dyDescent="0.25">
      <c r="A1760" s="7" t="s">
        <v>3</v>
      </c>
      <c r="B1760" s="7">
        <f t="shared" si="402"/>
        <v>2033</v>
      </c>
      <c r="C1760" s="4" t="s">
        <v>17</v>
      </c>
      <c r="D1760" s="5" t="s">
        <v>128</v>
      </c>
      <c r="E1760" s="10" t="str">
        <f t="shared" si="381"/>
        <v>PND'!</v>
      </c>
      <c r="F1760" s="5" t="str">
        <f t="shared" si="401"/>
        <v>C:\Users\jaime.benazar\Quorum Business Solutions\Ecopetrol Prometeo - Documents\Planning Space Implementation\3. Analysis &amp; Design\Design\FC22\DRR Jaime\QUIFA-CAJÚA\Cajua\[VAS_CAJUA_CF_SEC_20230125.xlsx]CF PND'!</v>
      </c>
      <c r="G1760" s="7" t="s">
        <v>39</v>
      </c>
      <c r="H1760" s="4">
        <f t="shared" si="384"/>
        <v>46</v>
      </c>
      <c r="I1760" s="4" t="str">
        <f t="shared" si="382"/>
        <v>='C:\Users\jaime.benazar\Quorum Business Solutions\Ecopetrol Prometeo - Documents\Planning Space Implementation\3. Analysis &amp; Design\Design\FC22\DRR Jaime\QUIFA-CAJÚA\Cajua\[VAS_CAJUA_CF_SEC_20230125.xlsx]CF PND'!$BU$46</v>
      </c>
      <c r="J1760" s="4" t="s">
        <v>953</v>
      </c>
    </row>
    <row r="1761" spans="1:10" x14ac:dyDescent="0.25">
      <c r="A1761" s="7" t="s">
        <v>3</v>
      </c>
      <c r="B1761" s="7">
        <f t="shared" si="402"/>
        <v>2034</v>
      </c>
      <c r="C1761" s="4" t="s">
        <v>17</v>
      </c>
      <c r="D1761" s="5" t="s">
        <v>128</v>
      </c>
      <c r="E1761" s="10" t="str">
        <f t="shared" si="381"/>
        <v>PND'!</v>
      </c>
      <c r="F1761" s="5" t="str">
        <f t="shared" si="401"/>
        <v>C:\Users\jaime.benazar\Quorum Business Solutions\Ecopetrol Prometeo - Documents\Planning Space Implementation\3. Analysis &amp; Design\Design\FC22\DRR Jaime\QUIFA-CAJÚA\Cajua\[VAS_CAJUA_CF_SEC_20230125.xlsx]CF PND'!</v>
      </c>
      <c r="G1761" s="7" t="s">
        <v>39</v>
      </c>
      <c r="H1761" s="4">
        <f t="shared" si="384"/>
        <v>47</v>
      </c>
      <c r="I1761" s="4" t="str">
        <f t="shared" si="382"/>
        <v>='C:\Users\jaime.benazar\Quorum Business Solutions\Ecopetrol Prometeo - Documents\Planning Space Implementation\3. Analysis &amp; Design\Design\FC22\DRR Jaime\QUIFA-CAJÚA\Cajua\[VAS_CAJUA_CF_SEC_20230125.xlsx]CF PND'!$BU$47</v>
      </c>
      <c r="J1761" s="4" t="s">
        <v>954</v>
      </c>
    </row>
    <row r="1762" spans="1:10" x14ac:dyDescent="0.25">
      <c r="A1762" s="7" t="s">
        <v>3</v>
      </c>
      <c r="B1762" s="7">
        <f t="shared" si="402"/>
        <v>2035</v>
      </c>
      <c r="C1762" s="4" t="s">
        <v>17</v>
      </c>
      <c r="D1762" s="5" t="s">
        <v>128</v>
      </c>
      <c r="E1762" s="10" t="str">
        <f t="shared" si="381"/>
        <v>PND'!</v>
      </c>
      <c r="F1762" s="5" t="str">
        <f t="shared" si="401"/>
        <v>C:\Users\jaime.benazar\Quorum Business Solutions\Ecopetrol Prometeo - Documents\Planning Space Implementation\3. Analysis &amp; Design\Design\FC22\DRR Jaime\QUIFA-CAJÚA\Cajua\[VAS_CAJUA_CF_SEC_20230125.xlsx]CF PND'!</v>
      </c>
      <c r="G1762" s="7" t="s">
        <v>39</v>
      </c>
      <c r="H1762" s="4">
        <f t="shared" si="384"/>
        <v>48</v>
      </c>
      <c r="I1762" s="4" t="str">
        <f t="shared" si="382"/>
        <v>='C:\Users\jaime.benazar\Quorum Business Solutions\Ecopetrol Prometeo - Documents\Planning Space Implementation\3. Analysis &amp; Design\Design\FC22\DRR Jaime\QUIFA-CAJÚA\Cajua\[VAS_CAJUA_CF_SEC_20230125.xlsx]CF PND'!$BU$48</v>
      </c>
      <c r="J1762" s="4" t="s">
        <v>955</v>
      </c>
    </row>
    <row r="1763" spans="1:10" x14ac:dyDescent="0.25">
      <c r="A1763" s="7" t="s">
        <v>3</v>
      </c>
      <c r="B1763" s="7">
        <f t="shared" si="402"/>
        <v>2036</v>
      </c>
      <c r="C1763" s="4" t="s">
        <v>17</v>
      </c>
      <c r="D1763" s="5" t="s">
        <v>128</v>
      </c>
      <c r="E1763" s="10" t="str">
        <f t="shared" si="381"/>
        <v>PND'!</v>
      </c>
      <c r="F1763" s="5" t="str">
        <f t="shared" si="401"/>
        <v>C:\Users\jaime.benazar\Quorum Business Solutions\Ecopetrol Prometeo - Documents\Planning Space Implementation\3. Analysis &amp; Design\Design\FC22\DRR Jaime\QUIFA-CAJÚA\Cajua\[VAS_CAJUA_CF_SEC_20230125.xlsx]CF PND'!</v>
      </c>
      <c r="G1763" s="7" t="s">
        <v>39</v>
      </c>
      <c r="H1763" s="4">
        <f t="shared" si="384"/>
        <v>49</v>
      </c>
      <c r="I1763" s="4" t="str">
        <f t="shared" si="382"/>
        <v>='C:\Users\jaime.benazar\Quorum Business Solutions\Ecopetrol Prometeo - Documents\Planning Space Implementation\3. Analysis &amp; Design\Design\FC22\DRR Jaime\QUIFA-CAJÚA\Cajua\[VAS_CAJUA_CF_SEC_20230125.xlsx]CF PND'!$BU$49</v>
      </c>
      <c r="J1763" s="4" t="s">
        <v>956</v>
      </c>
    </row>
    <row r="1764" spans="1:10" x14ac:dyDescent="0.25">
      <c r="A1764" s="7" t="s">
        <v>3</v>
      </c>
      <c r="B1764" s="7">
        <f>+B1763+1</f>
        <v>2037</v>
      </c>
      <c r="C1764" s="4" t="s">
        <v>17</v>
      </c>
      <c r="D1764" s="5" t="s">
        <v>128</v>
      </c>
      <c r="E1764" s="10" t="str">
        <f t="shared" si="381"/>
        <v>PND'!</v>
      </c>
      <c r="F1764" s="5" t="str">
        <f t="shared" si="401"/>
        <v>C:\Users\jaime.benazar\Quorum Business Solutions\Ecopetrol Prometeo - Documents\Planning Space Implementation\3. Analysis &amp; Design\Design\FC22\DRR Jaime\QUIFA-CAJÚA\Cajua\[VAS_CAJUA_CF_SEC_20230125.xlsx]CF PND'!</v>
      </c>
      <c r="G1764" s="7" t="s">
        <v>39</v>
      </c>
      <c r="H1764" s="4">
        <f t="shared" si="384"/>
        <v>50</v>
      </c>
      <c r="I1764" s="4" t="str">
        <f t="shared" si="382"/>
        <v>='C:\Users\jaime.benazar\Quorum Business Solutions\Ecopetrol Prometeo - Documents\Planning Space Implementation\3. Analysis &amp; Design\Design\FC22\DRR Jaime\QUIFA-CAJÚA\Cajua\[VAS_CAJUA_CF_SEC_20230125.xlsx]CF PND'!$BU$50</v>
      </c>
      <c r="J1764" s="4" t="s">
        <v>957</v>
      </c>
    </row>
    <row r="1765" spans="1:10" x14ac:dyDescent="0.25">
      <c r="A1765" s="7" t="s">
        <v>3</v>
      </c>
      <c r="B1765" s="7">
        <f t="shared" ref="B1765:B1767" si="403">+B1764+1</f>
        <v>2038</v>
      </c>
      <c r="C1765" s="4" t="s">
        <v>17</v>
      </c>
      <c r="D1765" s="5" t="s">
        <v>128</v>
      </c>
      <c r="E1765" s="10" t="str">
        <f t="shared" si="381"/>
        <v>PND'!</v>
      </c>
      <c r="F1765" s="5" t="str">
        <f t="shared" si="401"/>
        <v>C:\Users\jaime.benazar\Quorum Business Solutions\Ecopetrol Prometeo - Documents\Planning Space Implementation\3. Analysis &amp; Design\Design\FC22\DRR Jaime\QUIFA-CAJÚA\Cajua\[VAS_CAJUA_CF_SEC_20230125.xlsx]CF PND'!</v>
      </c>
      <c r="G1765" s="7" t="s">
        <v>39</v>
      </c>
      <c r="H1765" s="4">
        <f t="shared" si="384"/>
        <v>51</v>
      </c>
      <c r="I1765" s="4" t="str">
        <f t="shared" si="382"/>
        <v>='C:\Users\jaime.benazar\Quorum Business Solutions\Ecopetrol Prometeo - Documents\Planning Space Implementation\3. Analysis &amp; Design\Design\FC22\DRR Jaime\QUIFA-CAJÚA\Cajua\[VAS_CAJUA_CF_SEC_20230125.xlsx]CF PND'!$BU$51</v>
      </c>
      <c r="J1765" s="4" t="s">
        <v>958</v>
      </c>
    </row>
    <row r="1766" spans="1:10" x14ac:dyDescent="0.25">
      <c r="A1766" s="7" t="s">
        <v>3</v>
      </c>
      <c r="B1766" s="7">
        <f t="shared" si="403"/>
        <v>2039</v>
      </c>
      <c r="C1766" s="4" t="s">
        <v>17</v>
      </c>
      <c r="D1766" s="5" t="s">
        <v>128</v>
      </c>
      <c r="E1766" s="10" t="str">
        <f t="shared" si="381"/>
        <v>PND'!</v>
      </c>
      <c r="F1766" s="5" t="str">
        <f t="shared" si="401"/>
        <v>C:\Users\jaime.benazar\Quorum Business Solutions\Ecopetrol Prometeo - Documents\Planning Space Implementation\3. Analysis &amp; Design\Design\FC22\DRR Jaime\QUIFA-CAJÚA\Cajua\[VAS_CAJUA_CF_SEC_20230125.xlsx]CF PND'!</v>
      </c>
      <c r="G1766" s="7" t="s">
        <v>39</v>
      </c>
      <c r="H1766" s="4">
        <f t="shared" si="384"/>
        <v>52</v>
      </c>
      <c r="I1766" s="4" t="str">
        <f t="shared" si="382"/>
        <v>='C:\Users\jaime.benazar\Quorum Business Solutions\Ecopetrol Prometeo - Documents\Planning Space Implementation\3. Analysis &amp; Design\Design\FC22\DRR Jaime\QUIFA-CAJÚA\Cajua\[VAS_CAJUA_CF_SEC_20230125.xlsx]CF PND'!$BU$52</v>
      </c>
      <c r="J1766" s="4" t="s">
        <v>959</v>
      </c>
    </row>
    <row r="1767" spans="1:10" x14ac:dyDescent="0.25">
      <c r="A1767" s="7" t="s">
        <v>3</v>
      </c>
      <c r="B1767" s="7">
        <f t="shared" si="403"/>
        <v>2040</v>
      </c>
      <c r="C1767" s="4" t="s">
        <v>17</v>
      </c>
      <c r="D1767" s="5" t="s">
        <v>128</v>
      </c>
      <c r="E1767" s="10" t="str">
        <f t="shared" si="381"/>
        <v>PND'!</v>
      </c>
      <c r="F1767" s="5" t="str">
        <f t="shared" si="401"/>
        <v>C:\Users\jaime.benazar\Quorum Business Solutions\Ecopetrol Prometeo - Documents\Planning Space Implementation\3. Analysis &amp; Design\Design\FC22\DRR Jaime\QUIFA-CAJÚA\Cajua\[VAS_CAJUA_CF_SEC_20230125.xlsx]CF PND'!</v>
      </c>
      <c r="G1767" s="7" t="s">
        <v>39</v>
      </c>
      <c r="H1767" s="4">
        <f t="shared" si="384"/>
        <v>53</v>
      </c>
      <c r="I1767" s="4" t="str">
        <f t="shared" si="382"/>
        <v>='C:\Users\jaime.benazar\Quorum Business Solutions\Ecopetrol Prometeo - Documents\Planning Space Implementation\3. Analysis &amp; Design\Design\FC22\DRR Jaime\QUIFA-CAJÚA\Cajua\[VAS_CAJUA_CF_SEC_20230125.xlsx]CF PND'!$BU$53</v>
      </c>
      <c r="J1767" s="4" t="s">
        <v>960</v>
      </c>
    </row>
    <row r="1768" spans="1:10" x14ac:dyDescent="0.25">
      <c r="A1768" s="7" t="s">
        <v>3</v>
      </c>
      <c r="B1768" s="7">
        <f>+B1767+1</f>
        <v>2041</v>
      </c>
      <c r="C1768" s="4" t="s">
        <v>17</v>
      </c>
      <c r="D1768" s="5" t="s">
        <v>128</v>
      </c>
      <c r="E1768" s="10" t="str">
        <f t="shared" si="381"/>
        <v>PND'!</v>
      </c>
      <c r="F1768" s="5" t="str">
        <f t="shared" si="401"/>
        <v>C:\Users\jaime.benazar\Quorum Business Solutions\Ecopetrol Prometeo - Documents\Planning Space Implementation\3. Analysis &amp; Design\Design\FC22\DRR Jaime\QUIFA-CAJÚA\Cajua\[VAS_CAJUA_CF_SEC_20230125.xlsx]CF PND'!</v>
      </c>
      <c r="G1768" s="7" t="s">
        <v>39</v>
      </c>
      <c r="H1768" s="4">
        <f t="shared" si="384"/>
        <v>54</v>
      </c>
      <c r="I1768" s="4" t="str">
        <f t="shared" si="382"/>
        <v>='C:\Users\jaime.benazar\Quorum Business Solutions\Ecopetrol Prometeo - Documents\Planning Space Implementation\3. Analysis &amp; Design\Design\FC22\DRR Jaime\QUIFA-CAJÚA\Cajua\[VAS_CAJUA_CF_SEC_20230125.xlsx]CF PND'!$BU$54</v>
      </c>
      <c r="J1768" s="4" t="s">
        <v>961</v>
      </c>
    </row>
    <row r="1769" spans="1:10" x14ac:dyDescent="0.25">
      <c r="A1769" s="7" t="s">
        <v>3</v>
      </c>
      <c r="B1769" s="7">
        <f t="shared" ref="B1769:B1770" si="404">+B1768+1</f>
        <v>2042</v>
      </c>
      <c r="C1769" s="4" t="s">
        <v>17</v>
      </c>
      <c r="D1769" s="5" t="s">
        <v>128</v>
      </c>
      <c r="E1769" s="10" t="str">
        <f t="shared" ref="E1769:E2074" si="405">_xlfn.CONCAT(A1769,"'!")</f>
        <v>PND'!</v>
      </c>
      <c r="F1769" s="5" t="str">
        <f t="shared" si="401"/>
        <v>C:\Users\jaime.benazar\Quorum Business Solutions\Ecopetrol Prometeo - Documents\Planning Space Implementation\3. Analysis &amp; Design\Design\FC22\DRR Jaime\QUIFA-CAJÚA\Cajua\[VAS_CAJUA_CF_SEC_20230125.xlsx]CF PND'!</v>
      </c>
      <c r="G1769" s="7" t="s">
        <v>39</v>
      </c>
      <c r="H1769" s="4">
        <f t="shared" si="384"/>
        <v>55</v>
      </c>
      <c r="I1769" s="4" t="str">
        <f t="shared" ref="I1769:I2074" si="406">_xlfn.CONCAT("='",F1769:H1769)</f>
        <v>='C:\Users\jaime.benazar\Quorum Business Solutions\Ecopetrol Prometeo - Documents\Planning Space Implementation\3. Analysis &amp; Design\Design\FC22\DRR Jaime\QUIFA-CAJÚA\Cajua\[VAS_CAJUA_CF_SEC_20230125.xlsx]CF PND'!$BU$55</v>
      </c>
      <c r="J1769" s="4" t="s">
        <v>962</v>
      </c>
    </row>
    <row r="1770" spans="1:10" x14ac:dyDescent="0.25">
      <c r="A1770" s="7" t="s">
        <v>3</v>
      </c>
      <c r="B1770" s="7">
        <f t="shared" si="404"/>
        <v>2043</v>
      </c>
      <c r="C1770" s="4" t="s">
        <v>17</v>
      </c>
      <c r="D1770" s="5" t="s">
        <v>128</v>
      </c>
      <c r="E1770" s="10" t="str">
        <f t="shared" si="405"/>
        <v>PND'!</v>
      </c>
      <c r="F1770" s="5" t="str">
        <f t="shared" si="401"/>
        <v>C:\Users\jaime.benazar\Quorum Business Solutions\Ecopetrol Prometeo - Documents\Planning Space Implementation\3. Analysis &amp; Design\Design\FC22\DRR Jaime\QUIFA-CAJÚA\Cajua\[VAS_CAJUA_CF_SEC_20230125.xlsx]CF PND'!</v>
      </c>
      <c r="G1770" s="7" t="s">
        <v>39</v>
      </c>
      <c r="H1770" s="4">
        <f t="shared" ref="H1770:H2074" si="407">IF(A1770&lt;&gt;A1769,36,H1769+1)</f>
        <v>56</v>
      </c>
      <c r="I1770" s="4" t="str">
        <f t="shared" si="406"/>
        <v>='C:\Users\jaime.benazar\Quorum Business Solutions\Ecopetrol Prometeo - Documents\Planning Space Implementation\3. Analysis &amp; Design\Design\FC22\DRR Jaime\QUIFA-CAJÚA\Cajua\[VAS_CAJUA_CF_SEC_20230125.xlsx]CF PND'!$BU$56</v>
      </c>
      <c r="J1770" s="4" t="s">
        <v>963</v>
      </c>
    </row>
    <row r="1771" spans="1:10" x14ac:dyDescent="0.25">
      <c r="A1771" s="7" t="s">
        <v>3</v>
      </c>
      <c r="B1771" s="7">
        <f>+B1770+1</f>
        <v>2044</v>
      </c>
      <c r="C1771" s="4" t="s">
        <v>17</v>
      </c>
      <c r="D1771" s="5" t="s">
        <v>128</v>
      </c>
      <c r="E1771" s="10" t="str">
        <f t="shared" ref="E1771:E1786" si="408">_xlfn.CONCAT(A1771,"'!")</f>
        <v>PND'!</v>
      </c>
      <c r="F1771" s="5" t="str">
        <f t="shared" ref="F1771:F1786" si="409">_xlfn.CONCAT(D1771," ",E1771)</f>
        <v>C:\Users\jaime.benazar\Quorum Business Solutions\Ecopetrol Prometeo - Documents\Planning Space Implementation\3. Analysis &amp; Design\Design\FC22\DRR Jaime\QUIFA-CAJÚA\Cajua\[VAS_CAJUA_CF_SEC_20230125.xlsx]CF PND'!</v>
      </c>
      <c r="G1771" s="7" t="s">
        <v>39</v>
      </c>
      <c r="H1771" s="4">
        <f t="shared" ref="H1771:H1786" si="410">IF(A1771&lt;&gt;A1770,36,H1770+1)</f>
        <v>57</v>
      </c>
      <c r="I1771" s="4" t="str">
        <f t="shared" ref="I1771:I1786" si="411">_xlfn.CONCAT("='",F1771:H1771)</f>
        <v>='C:\Users\jaime.benazar\Quorum Business Solutions\Ecopetrol Prometeo - Documents\Planning Space Implementation\3. Analysis &amp; Design\Design\FC22\DRR Jaime\QUIFA-CAJÚA\Cajua\[VAS_CAJUA_CF_SEC_20230125.xlsx]CF PND'!$BU$57</v>
      </c>
      <c r="J1771" s="4" t="s">
        <v>964</v>
      </c>
    </row>
    <row r="1772" spans="1:10" x14ac:dyDescent="0.25">
      <c r="A1772" s="7" t="s">
        <v>3</v>
      </c>
      <c r="B1772" s="7">
        <f t="shared" ref="B1772:B1786" si="412">+B1771+1</f>
        <v>2045</v>
      </c>
      <c r="C1772" s="4" t="s">
        <v>17</v>
      </c>
      <c r="D1772" s="5" t="s">
        <v>128</v>
      </c>
      <c r="E1772" s="10" t="str">
        <f t="shared" si="408"/>
        <v>PND'!</v>
      </c>
      <c r="F1772" s="5" t="str">
        <f t="shared" si="409"/>
        <v>C:\Users\jaime.benazar\Quorum Business Solutions\Ecopetrol Prometeo - Documents\Planning Space Implementation\3. Analysis &amp; Design\Design\FC22\DRR Jaime\QUIFA-CAJÚA\Cajua\[VAS_CAJUA_CF_SEC_20230125.xlsx]CF PND'!</v>
      </c>
      <c r="G1772" s="7" t="s">
        <v>39</v>
      </c>
      <c r="H1772" s="4">
        <f t="shared" si="410"/>
        <v>58</v>
      </c>
      <c r="I1772" s="4" t="str">
        <f t="shared" si="411"/>
        <v>='C:\Users\jaime.benazar\Quorum Business Solutions\Ecopetrol Prometeo - Documents\Planning Space Implementation\3. Analysis &amp; Design\Design\FC22\DRR Jaime\QUIFA-CAJÚA\Cajua\[VAS_CAJUA_CF_SEC_20230125.xlsx]CF PND'!$BU$58</v>
      </c>
      <c r="J1772" s="4" t="s">
        <v>965</v>
      </c>
    </row>
    <row r="1773" spans="1:10" x14ac:dyDescent="0.25">
      <c r="A1773" s="7" t="s">
        <v>3</v>
      </c>
      <c r="B1773" s="7">
        <f t="shared" si="412"/>
        <v>2046</v>
      </c>
      <c r="C1773" s="4" t="s">
        <v>17</v>
      </c>
      <c r="D1773" s="5" t="s">
        <v>128</v>
      </c>
      <c r="E1773" s="10" t="str">
        <f t="shared" si="408"/>
        <v>PND'!</v>
      </c>
      <c r="F1773" s="5" t="str">
        <f t="shared" si="409"/>
        <v>C:\Users\jaime.benazar\Quorum Business Solutions\Ecopetrol Prometeo - Documents\Planning Space Implementation\3. Analysis &amp; Design\Design\FC22\DRR Jaime\QUIFA-CAJÚA\Cajua\[VAS_CAJUA_CF_SEC_20230125.xlsx]CF PND'!</v>
      </c>
      <c r="G1773" s="7" t="s">
        <v>39</v>
      </c>
      <c r="H1773" s="4">
        <f t="shared" si="410"/>
        <v>59</v>
      </c>
      <c r="I1773" s="4" t="str">
        <f t="shared" si="411"/>
        <v>='C:\Users\jaime.benazar\Quorum Business Solutions\Ecopetrol Prometeo - Documents\Planning Space Implementation\3. Analysis &amp; Design\Design\FC22\DRR Jaime\QUIFA-CAJÚA\Cajua\[VAS_CAJUA_CF_SEC_20230125.xlsx]CF PND'!$BU$59</v>
      </c>
      <c r="J1773" s="4" t="s">
        <v>966</v>
      </c>
    </row>
    <row r="1774" spans="1:10" x14ac:dyDescent="0.25">
      <c r="A1774" s="7" t="s">
        <v>3</v>
      </c>
      <c r="B1774" s="7">
        <f t="shared" si="412"/>
        <v>2047</v>
      </c>
      <c r="C1774" s="4" t="s">
        <v>17</v>
      </c>
      <c r="D1774" s="5" t="s">
        <v>128</v>
      </c>
      <c r="E1774" s="10" t="str">
        <f t="shared" si="408"/>
        <v>PND'!</v>
      </c>
      <c r="F1774" s="5" t="str">
        <f t="shared" si="409"/>
        <v>C:\Users\jaime.benazar\Quorum Business Solutions\Ecopetrol Prometeo - Documents\Planning Space Implementation\3. Analysis &amp; Design\Design\FC22\DRR Jaime\QUIFA-CAJÚA\Cajua\[VAS_CAJUA_CF_SEC_20230125.xlsx]CF PND'!</v>
      </c>
      <c r="G1774" s="7" t="s">
        <v>39</v>
      </c>
      <c r="H1774" s="4">
        <f t="shared" si="410"/>
        <v>60</v>
      </c>
      <c r="I1774" s="4" t="str">
        <f t="shared" si="411"/>
        <v>='C:\Users\jaime.benazar\Quorum Business Solutions\Ecopetrol Prometeo - Documents\Planning Space Implementation\3. Analysis &amp; Design\Design\FC22\DRR Jaime\QUIFA-CAJÚA\Cajua\[VAS_CAJUA_CF_SEC_20230125.xlsx]CF PND'!$BU$60</v>
      </c>
      <c r="J1774" s="4" t="s">
        <v>967</v>
      </c>
    </row>
    <row r="1775" spans="1:10" x14ac:dyDescent="0.25">
      <c r="A1775" s="7" t="s">
        <v>3</v>
      </c>
      <c r="B1775" s="7">
        <f t="shared" si="412"/>
        <v>2048</v>
      </c>
      <c r="C1775" s="4" t="s">
        <v>17</v>
      </c>
      <c r="D1775" s="5" t="s">
        <v>128</v>
      </c>
      <c r="E1775" s="10" t="str">
        <f t="shared" si="408"/>
        <v>PND'!</v>
      </c>
      <c r="F1775" s="5" t="str">
        <f t="shared" si="409"/>
        <v>C:\Users\jaime.benazar\Quorum Business Solutions\Ecopetrol Prometeo - Documents\Planning Space Implementation\3. Analysis &amp; Design\Design\FC22\DRR Jaime\QUIFA-CAJÚA\Cajua\[VAS_CAJUA_CF_SEC_20230125.xlsx]CF PND'!</v>
      </c>
      <c r="G1775" s="7" t="s">
        <v>39</v>
      </c>
      <c r="H1775" s="4">
        <f t="shared" si="410"/>
        <v>61</v>
      </c>
      <c r="I1775" s="4" t="str">
        <f t="shared" si="411"/>
        <v>='C:\Users\jaime.benazar\Quorum Business Solutions\Ecopetrol Prometeo - Documents\Planning Space Implementation\3. Analysis &amp; Design\Design\FC22\DRR Jaime\QUIFA-CAJÚA\Cajua\[VAS_CAJUA_CF_SEC_20230125.xlsx]CF PND'!$BU$61</v>
      </c>
      <c r="J1775" s="4" t="s">
        <v>968</v>
      </c>
    </row>
    <row r="1776" spans="1:10" x14ac:dyDescent="0.25">
      <c r="A1776" s="7" t="s">
        <v>3</v>
      </c>
      <c r="B1776" s="7">
        <f t="shared" si="412"/>
        <v>2049</v>
      </c>
      <c r="C1776" s="4" t="s">
        <v>17</v>
      </c>
      <c r="D1776" s="5" t="s">
        <v>128</v>
      </c>
      <c r="E1776" s="10" t="str">
        <f t="shared" si="408"/>
        <v>PND'!</v>
      </c>
      <c r="F1776" s="5" t="str">
        <f t="shared" si="409"/>
        <v>C:\Users\jaime.benazar\Quorum Business Solutions\Ecopetrol Prometeo - Documents\Planning Space Implementation\3. Analysis &amp; Design\Design\FC22\DRR Jaime\QUIFA-CAJÚA\Cajua\[VAS_CAJUA_CF_SEC_20230125.xlsx]CF PND'!</v>
      </c>
      <c r="G1776" s="7" t="s">
        <v>39</v>
      </c>
      <c r="H1776" s="4">
        <f t="shared" si="410"/>
        <v>62</v>
      </c>
      <c r="I1776" s="4" t="str">
        <f t="shared" si="411"/>
        <v>='C:\Users\jaime.benazar\Quorum Business Solutions\Ecopetrol Prometeo - Documents\Planning Space Implementation\3. Analysis &amp; Design\Design\FC22\DRR Jaime\QUIFA-CAJÚA\Cajua\[VAS_CAJUA_CF_SEC_20230125.xlsx]CF PND'!$BU$62</v>
      </c>
      <c r="J1776" s="4" t="s">
        <v>969</v>
      </c>
    </row>
    <row r="1777" spans="1:10" x14ac:dyDescent="0.25">
      <c r="A1777" s="7" t="s">
        <v>3</v>
      </c>
      <c r="B1777" s="7">
        <f t="shared" si="412"/>
        <v>2050</v>
      </c>
      <c r="C1777" s="4" t="s">
        <v>17</v>
      </c>
      <c r="D1777" s="5" t="s">
        <v>128</v>
      </c>
      <c r="E1777" s="10" t="str">
        <f t="shared" si="408"/>
        <v>PND'!</v>
      </c>
      <c r="F1777" s="5" t="str">
        <f t="shared" si="409"/>
        <v>C:\Users\jaime.benazar\Quorum Business Solutions\Ecopetrol Prometeo - Documents\Planning Space Implementation\3. Analysis &amp; Design\Design\FC22\DRR Jaime\QUIFA-CAJÚA\Cajua\[VAS_CAJUA_CF_SEC_20230125.xlsx]CF PND'!</v>
      </c>
      <c r="G1777" s="7" t="s">
        <v>39</v>
      </c>
      <c r="H1777" s="4">
        <f t="shared" si="410"/>
        <v>63</v>
      </c>
      <c r="I1777" s="4" t="str">
        <f t="shared" si="411"/>
        <v>='C:\Users\jaime.benazar\Quorum Business Solutions\Ecopetrol Prometeo - Documents\Planning Space Implementation\3. Analysis &amp; Design\Design\FC22\DRR Jaime\QUIFA-CAJÚA\Cajua\[VAS_CAJUA_CF_SEC_20230125.xlsx]CF PND'!$BU$63</v>
      </c>
      <c r="J1777" s="4" t="s">
        <v>970</v>
      </c>
    </row>
    <row r="1778" spans="1:10" x14ac:dyDescent="0.25">
      <c r="A1778" s="7" t="s">
        <v>3</v>
      </c>
      <c r="B1778" s="7">
        <f t="shared" si="412"/>
        <v>2051</v>
      </c>
      <c r="C1778" s="4" t="s">
        <v>17</v>
      </c>
      <c r="D1778" s="5" t="s">
        <v>128</v>
      </c>
      <c r="E1778" s="10" t="str">
        <f t="shared" si="408"/>
        <v>PND'!</v>
      </c>
      <c r="F1778" s="5" t="str">
        <f t="shared" si="409"/>
        <v>C:\Users\jaime.benazar\Quorum Business Solutions\Ecopetrol Prometeo - Documents\Planning Space Implementation\3. Analysis &amp; Design\Design\FC22\DRR Jaime\QUIFA-CAJÚA\Cajua\[VAS_CAJUA_CF_SEC_20230125.xlsx]CF PND'!</v>
      </c>
      <c r="G1778" s="7" t="s">
        <v>39</v>
      </c>
      <c r="H1778" s="4">
        <f t="shared" si="410"/>
        <v>64</v>
      </c>
      <c r="I1778" s="4" t="str">
        <f t="shared" si="411"/>
        <v>='C:\Users\jaime.benazar\Quorum Business Solutions\Ecopetrol Prometeo - Documents\Planning Space Implementation\3. Analysis &amp; Design\Design\FC22\DRR Jaime\QUIFA-CAJÚA\Cajua\[VAS_CAJUA_CF_SEC_20230125.xlsx]CF PND'!$BU$64</v>
      </c>
      <c r="J1778" s="4" t="s">
        <v>971</v>
      </c>
    </row>
    <row r="1779" spans="1:10" x14ac:dyDescent="0.25">
      <c r="A1779" s="7" t="s">
        <v>3</v>
      </c>
      <c r="B1779" s="7">
        <f t="shared" si="412"/>
        <v>2052</v>
      </c>
      <c r="C1779" s="4" t="s">
        <v>17</v>
      </c>
      <c r="D1779" s="5" t="s">
        <v>128</v>
      </c>
      <c r="E1779" s="10" t="str">
        <f t="shared" si="408"/>
        <v>PND'!</v>
      </c>
      <c r="F1779" s="5" t="str">
        <f t="shared" si="409"/>
        <v>C:\Users\jaime.benazar\Quorum Business Solutions\Ecopetrol Prometeo - Documents\Planning Space Implementation\3. Analysis &amp; Design\Design\FC22\DRR Jaime\QUIFA-CAJÚA\Cajua\[VAS_CAJUA_CF_SEC_20230125.xlsx]CF PND'!</v>
      </c>
      <c r="G1779" s="7" t="s">
        <v>39</v>
      </c>
      <c r="H1779" s="4">
        <f t="shared" si="410"/>
        <v>65</v>
      </c>
      <c r="I1779" s="4" t="str">
        <f t="shared" si="411"/>
        <v>='C:\Users\jaime.benazar\Quorum Business Solutions\Ecopetrol Prometeo - Documents\Planning Space Implementation\3. Analysis &amp; Design\Design\FC22\DRR Jaime\QUIFA-CAJÚA\Cajua\[VAS_CAJUA_CF_SEC_20230125.xlsx]CF PND'!$BU$65</v>
      </c>
      <c r="J1779" s="4" t="s">
        <v>972</v>
      </c>
    </row>
    <row r="1780" spans="1:10" x14ac:dyDescent="0.25">
      <c r="A1780" s="7" t="s">
        <v>3</v>
      </c>
      <c r="B1780" s="7">
        <f t="shared" si="412"/>
        <v>2053</v>
      </c>
      <c r="C1780" s="4" t="s">
        <v>17</v>
      </c>
      <c r="D1780" s="5" t="s">
        <v>128</v>
      </c>
      <c r="E1780" s="10" t="str">
        <f t="shared" si="408"/>
        <v>PND'!</v>
      </c>
      <c r="F1780" s="5" t="str">
        <f t="shared" si="409"/>
        <v>C:\Users\jaime.benazar\Quorum Business Solutions\Ecopetrol Prometeo - Documents\Planning Space Implementation\3. Analysis &amp; Design\Design\FC22\DRR Jaime\QUIFA-CAJÚA\Cajua\[VAS_CAJUA_CF_SEC_20230125.xlsx]CF PND'!</v>
      </c>
      <c r="G1780" s="7" t="s">
        <v>39</v>
      </c>
      <c r="H1780" s="4">
        <f t="shared" si="410"/>
        <v>66</v>
      </c>
      <c r="I1780" s="4" t="str">
        <f t="shared" si="411"/>
        <v>='C:\Users\jaime.benazar\Quorum Business Solutions\Ecopetrol Prometeo - Documents\Planning Space Implementation\3. Analysis &amp; Design\Design\FC22\DRR Jaime\QUIFA-CAJÚA\Cajua\[VAS_CAJUA_CF_SEC_20230125.xlsx]CF PND'!$BU$66</v>
      </c>
      <c r="J1780" s="4" t="s">
        <v>973</v>
      </c>
    </row>
    <row r="1781" spans="1:10" x14ac:dyDescent="0.25">
      <c r="A1781" s="7" t="s">
        <v>3</v>
      </c>
      <c r="B1781" s="7">
        <f t="shared" si="412"/>
        <v>2054</v>
      </c>
      <c r="C1781" s="4" t="s">
        <v>17</v>
      </c>
      <c r="D1781" s="5" t="s">
        <v>128</v>
      </c>
      <c r="E1781" s="10" t="str">
        <f t="shared" si="408"/>
        <v>PND'!</v>
      </c>
      <c r="F1781" s="5" t="str">
        <f t="shared" si="409"/>
        <v>C:\Users\jaime.benazar\Quorum Business Solutions\Ecopetrol Prometeo - Documents\Planning Space Implementation\3. Analysis &amp; Design\Design\FC22\DRR Jaime\QUIFA-CAJÚA\Cajua\[VAS_CAJUA_CF_SEC_20230125.xlsx]CF PND'!</v>
      </c>
      <c r="G1781" s="7" t="s">
        <v>39</v>
      </c>
      <c r="H1781" s="4">
        <f t="shared" si="410"/>
        <v>67</v>
      </c>
      <c r="I1781" s="4" t="str">
        <f t="shared" si="411"/>
        <v>='C:\Users\jaime.benazar\Quorum Business Solutions\Ecopetrol Prometeo - Documents\Planning Space Implementation\3. Analysis &amp; Design\Design\FC22\DRR Jaime\QUIFA-CAJÚA\Cajua\[VAS_CAJUA_CF_SEC_20230125.xlsx]CF PND'!$BU$67</v>
      </c>
      <c r="J1781" s="4" t="s">
        <v>974</v>
      </c>
    </row>
    <row r="1782" spans="1:10" x14ac:dyDescent="0.25">
      <c r="A1782" s="7" t="s">
        <v>3</v>
      </c>
      <c r="B1782" s="7">
        <f t="shared" si="412"/>
        <v>2055</v>
      </c>
      <c r="C1782" s="4" t="s">
        <v>17</v>
      </c>
      <c r="D1782" s="5" t="s">
        <v>128</v>
      </c>
      <c r="E1782" s="10" t="str">
        <f t="shared" si="408"/>
        <v>PND'!</v>
      </c>
      <c r="F1782" s="5" t="str">
        <f t="shared" si="409"/>
        <v>C:\Users\jaime.benazar\Quorum Business Solutions\Ecopetrol Prometeo - Documents\Planning Space Implementation\3. Analysis &amp; Design\Design\FC22\DRR Jaime\QUIFA-CAJÚA\Cajua\[VAS_CAJUA_CF_SEC_20230125.xlsx]CF PND'!</v>
      </c>
      <c r="G1782" s="7" t="s">
        <v>39</v>
      </c>
      <c r="H1782" s="4">
        <f t="shared" si="410"/>
        <v>68</v>
      </c>
      <c r="I1782" s="4" t="str">
        <f t="shared" si="411"/>
        <v>='C:\Users\jaime.benazar\Quorum Business Solutions\Ecopetrol Prometeo - Documents\Planning Space Implementation\3. Analysis &amp; Design\Design\FC22\DRR Jaime\QUIFA-CAJÚA\Cajua\[VAS_CAJUA_CF_SEC_20230125.xlsx]CF PND'!$BU$68</v>
      </c>
      <c r="J1782" s="4" t="s">
        <v>975</v>
      </c>
    </row>
    <row r="1783" spans="1:10" x14ac:dyDescent="0.25">
      <c r="A1783" s="7" t="s">
        <v>3</v>
      </c>
      <c r="B1783" s="7">
        <f t="shared" si="412"/>
        <v>2056</v>
      </c>
      <c r="C1783" s="4" t="s">
        <v>17</v>
      </c>
      <c r="D1783" s="5" t="s">
        <v>128</v>
      </c>
      <c r="E1783" s="10" t="str">
        <f t="shared" si="408"/>
        <v>PND'!</v>
      </c>
      <c r="F1783" s="5" t="str">
        <f t="shared" si="409"/>
        <v>C:\Users\jaime.benazar\Quorum Business Solutions\Ecopetrol Prometeo - Documents\Planning Space Implementation\3. Analysis &amp; Design\Design\FC22\DRR Jaime\QUIFA-CAJÚA\Cajua\[VAS_CAJUA_CF_SEC_20230125.xlsx]CF PND'!</v>
      </c>
      <c r="G1783" s="7" t="s">
        <v>39</v>
      </c>
      <c r="H1783" s="4">
        <f t="shared" si="410"/>
        <v>69</v>
      </c>
      <c r="I1783" s="4" t="str">
        <f t="shared" si="411"/>
        <v>='C:\Users\jaime.benazar\Quorum Business Solutions\Ecopetrol Prometeo - Documents\Planning Space Implementation\3. Analysis &amp; Design\Design\FC22\DRR Jaime\QUIFA-CAJÚA\Cajua\[VAS_CAJUA_CF_SEC_20230125.xlsx]CF PND'!$BU$69</v>
      </c>
      <c r="J1783" s="4" t="s">
        <v>976</v>
      </c>
    </row>
    <row r="1784" spans="1:10" x14ac:dyDescent="0.25">
      <c r="A1784" s="7" t="s">
        <v>3</v>
      </c>
      <c r="B1784" s="7">
        <f t="shared" si="412"/>
        <v>2057</v>
      </c>
      <c r="C1784" s="4" t="s">
        <v>17</v>
      </c>
      <c r="D1784" s="5" t="s">
        <v>128</v>
      </c>
      <c r="E1784" s="10" t="str">
        <f t="shared" si="408"/>
        <v>PND'!</v>
      </c>
      <c r="F1784" s="5" t="str">
        <f t="shared" si="409"/>
        <v>C:\Users\jaime.benazar\Quorum Business Solutions\Ecopetrol Prometeo - Documents\Planning Space Implementation\3. Analysis &amp; Design\Design\FC22\DRR Jaime\QUIFA-CAJÚA\Cajua\[VAS_CAJUA_CF_SEC_20230125.xlsx]CF PND'!</v>
      </c>
      <c r="G1784" s="7" t="s">
        <v>39</v>
      </c>
      <c r="H1784" s="4">
        <f t="shared" si="410"/>
        <v>70</v>
      </c>
      <c r="I1784" s="4" t="str">
        <f t="shared" si="411"/>
        <v>='C:\Users\jaime.benazar\Quorum Business Solutions\Ecopetrol Prometeo - Documents\Planning Space Implementation\3. Analysis &amp; Design\Design\FC22\DRR Jaime\QUIFA-CAJÚA\Cajua\[VAS_CAJUA_CF_SEC_20230125.xlsx]CF PND'!$BU$70</v>
      </c>
      <c r="J1784" s="4" t="s">
        <v>977</v>
      </c>
    </row>
    <row r="1785" spans="1:10" x14ac:dyDescent="0.25">
      <c r="A1785" s="7" t="s">
        <v>3</v>
      </c>
      <c r="B1785" s="7">
        <f t="shared" si="412"/>
        <v>2058</v>
      </c>
      <c r="C1785" s="4" t="s">
        <v>17</v>
      </c>
      <c r="D1785" s="5" t="s">
        <v>128</v>
      </c>
      <c r="E1785" s="10" t="str">
        <f t="shared" si="408"/>
        <v>PND'!</v>
      </c>
      <c r="F1785" s="5" t="str">
        <f t="shared" si="409"/>
        <v>C:\Users\jaime.benazar\Quorum Business Solutions\Ecopetrol Prometeo - Documents\Planning Space Implementation\3. Analysis &amp; Design\Design\FC22\DRR Jaime\QUIFA-CAJÚA\Cajua\[VAS_CAJUA_CF_SEC_20230125.xlsx]CF PND'!</v>
      </c>
      <c r="G1785" s="7" t="s">
        <v>39</v>
      </c>
      <c r="H1785" s="4">
        <f t="shared" si="410"/>
        <v>71</v>
      </c>
      <c r="I1785" s="4" t="str">
        <f t="shared" si="411"/>
        <v>='C:\Users\jaime.benazar\Quorum Business Solutions\Ecopetrol Prometeo - Documents\Planning Space Implementation\3. Analysis &amp; Design\Design\FC22\DRR Jaime\QUIFA-CAJÚA\Cajua\[VAS_CAJUA_CF_SEC_20230125.xlsx]CF PND'!$BU$71</v>
      </c>
      <c r="J1785" s="4" t="s">
        <v>978</v>
      </c>
    </row>
    <row r="1786" spans="1:10" x14ac:dyDescent="0.25">
      <c r="A1786" s="7" t="s">
        <v>3</v>
      </c>
      <c r="B1786" s="7">
        <f t="shared" si="412"/>
        <v>2059</v>
      </c>
      <c r="C1786" s="4" t="s">
        <v>17</v>
      </c>
      <c r="D1786" s="5" t="s">
        <v>128</v>
      </c>
      <c r="E1786" s="10" t="str">
        <f t="shared" si="408"/>
        <v>PND'!</v>
      </c>
      <c r="F1786" s="5" t="str">
        <f t="shared" si="409"/>
        <v>C:\Users\jaime.benazar\Quorum Business Solutions\Ecopetrol Prometeo - Documents\Planning Space Implementation\3. Analysis &amp; Design\Design\FC22\DRR Jaime\QUIFA-CAJÚA\Cajua\[VAS_CAJUA_CF_SEC_20230125.xlsx]CF PND'!</v>
      </c>
      <c r="G1786" s="7" t="s">
        <v>39</v>
      </c>
      <c r="H1786" s="4">
        <f t="shared" si="410"/>
        <v>72</v>
      </c>
      <c r="I1786" s="4" t="str">
        <f t="shared" si="411"/>
        <v>='C:\Users\jaime.benazar\Quorum Business Solutions\Ecopetrol Prometeo - Documents\Planning Space Implementation\3. Analysis &amp; Design\Design\FC22\DRR Jaime\QUIFA-CAJÚA\Cajua\[VAS_CAJUA_CF_SEC_20230125.xlsx]CF PND'!$BU$72</v>
      </c>
      <c r="J1786" s="4" t="s">
        <v>979</v>
      </c>
    </row>
    <row r="1787" spans="1:10" x14ac:dyDescent="0.25">
      <c r="A1787" s="7" t="s">
        <v>28</v>
      </c>
      <c r="B1787" s="7"/>
      <c r="C1787" s="4" t="s">
        <v>17</v>
      </c>
      <c r="D1787" s="5"/>
      <c r="E1787" s="10"/>
      <c r="F1787" s="5"/>
      <c r="G1787" s="7"/>
      <c r="H1787" s="4"/>
      <c r="I1787" s="4"/>
      <c r="J1787" s="4"/>
    </row>
    <row r="1788" spans="1:10" x14ac:dyDescent="0.25">
      <c r="A1788" s="7" t="s">
        <v>99</v>
      </c>
      <c r="B1788" s="7">
        <v>2023</v>
      </c>
      <c r="C1788" s="4" t="s">
        <v>17</v>
      </c>
      <c r="D1788" s="5" t="s">
        <v>128</v>
      </c>
      <c r="E1788" s="10" t="str">
        <f t="shared" ref="E1788:E1808" si="413">_xlfn.CONCAT(A1788,"'!")</f>
        <v>PRBDP'!</v>
      </c>
      <c r="F1788" s="5" t="str">
        <f t="shared" ref="F1788:F1808" si="414">_xlfn.CONCAT(D1788," ",E1788)</f>
        <v>C:\Users\jaime.benazar\Quorum Business Solutions\Ecopetrol Prometeo - Documents\Planning Space Implementation\3. Analysis &amp; Design\Design\FC22\DRR Jaime\QUIFA-CAJÚA\Cajua\[VAS_CAJUA_CF_SEC_20230125.xlsx]CF PRBDP'!</v>
      </c>
      <c r="G1788" s="7" t="s">
        <v>39</v>
      </c>
      <c r="H1788" s="4"/>
      <c r="I1788" s="4"/>
      <c r="J1788" s="4"/>
    </row>
    <row r="1789" spans="1:10" x14ac:dyDescent="0.25">
      <c r="A1789" s="7" t="s">
        <v>99</v>
      </c>
      <c r="B1789" s="7">
        <f>+B1788+1</f>
        <v>2024</v>
      </c>
      <c r="C1789" s="4" t="s">
        <v>17</v>
      </c>
      <c r="D1789" s="5" t="s">
        <v>128</v>
      </c>
      <c r="E1789" s="10" t="str">
        <f t="shared" si="413"/>
        <v>PRBDP'!</v>
      </c>
      <c r="F1789" s="5" t="str">
        <f t="shared" si="414"/>
        <v>C:\Users\jaime.benazar\Quorum Business Solutions\Ecopetrol Prometeo - Documents\Planning Space Implementation\3. Analysis &amp; Design\Design\FC22\DRR Jaime\QUIFA-CAJÚA\Cajua\[VAS_CAJUA_CF_SEC_20230125.xlsx]CF PRBDP'!</v>
      </c>
      <c r="G1789" s="7" t="s">
        <v>39</v>
      </c>
      <c r="H1789" s="4"/>
      <c r="I1789" s="4"/>
      <c r="J1789" s="4"/>
    </row>
    <row r="1790" spans="1:10" x14ac:dyDescent="0.25">
      <c r="A1790" s="7" t="s">
        <v>99</v>
      </c>
      <c r="B1790" s="7">
        <f t="shared" ref="B1790:B1801" si="415">+B1789+1</f>
        <v>2025</v>
      </c>
      <c r="C1790" s="4" t="s">
        <v>17</v>
      </c>
      <c r="D1790" s="5" t="s">
        <v>128</v>
      </c>
      <c r="E1790" s="10" t="str">
        <f t="shared" si="413"/>
        <v>PRBDP'!</v>
      </c>
      <c r="F1790" s="5" t="str">
        <f t="shared" si="414"/>
        <v>C:\Users\jaime.benazar\Quorum Business Solutions\Ecopetrol Prometeo - Documents\Planning Space Implementation\3. Analysis &amp; Design\Design\FC22\DRR Jaime\QUIFA-CAJÚA\Cajua\[VAS_CAJUA_CF_SEC_20230125.xlsx]CF PRBDP'!</v>
      </c>
      <c r="G1790" s="7" t="s">
        <v>39</v>
      </c>
      <c r="H1790" s="4"/>
      <c r="I1790" s="4"/>
      <c r="J1790" s="4"/>
    </row>
    <row r="1791" spans="1:10" x14ac:dyDescent="0.25">
      <c r="A1791" s="7" t="s">
        <v>99</v>
      </c>
      <c r="B1791" s="7">
        <f t="shared" si="415"/>
        <v>2026</v>
      </c>
      <c r="C1791" s="4" t="s">
        <v>17</v>
      </c>
      <c r="D1791" s="5" t="s">
        <v>128</v>
      </c>
      <c r="E1791" s="10" t="str">
        <f t="shared" si="413"/>
        <v>PRBDP'!</v>
      </c>
      <c r="F1791" s="5" t="str">
        <f t="shared" si="414"/>
        <v>C:\Users\jaime.benazar\Quorum Business Solutions\Ecopetrol Prometeo - Documents\Planning Space Implementation\3. Analysis &amp; Design\Design\FC22\DRR Jaime\QUIFA-CAJÚA\Cajua\[VAS_CAJUA_CF_SEC_20230125.xlsx]CF PRBDP'!</v>
      </c>
      <c r="G1791" s="7" t="s">
        <v>39</v>
      </c>
      <c r="H1791" s="4"/>
      <c r="I1791" s="4"/>
      <c r="J1791" s="4"/>
    </row>
    <row r="1792" spans="1:10" x14ac:dyDescent="0.25">
      <c r="A1792" s="7" t="s">
        <v>99</v>
      </c>
      <c r="B1792" s="7">
        <f t="shared" si="415"/>
        <v>2027</v>
      </c>
      <c r="C1792" s="4" t="s">
        <v>17</v>
      </c>
      <c r="D1792" s="5" t="s">
        <v>128</v>
      </c>
      <c r="E1792" s="10" t="str">
        <f t="shared" si="413"/>
        <v>PRBDP'!</v>
      </c>
      <c r="F1792" s="5" t="str">
        <f t="shared" si="414"/>
        <v>C:\Users\jaime.benazar\Quorum Business Solutions\Ecopetrol Prometeo - Documents\Planning Space Implementation\3. Analysis &amp; Design\Design\FC22\DRR Jaime\QUIFA-CAJÚA\Cajua\[VAS_CAJUA_CF_SEC_20230125.xlsx]CF PRBDP'!</v>
      </c>
      <c r="G1792" s="7" t="s">
        <v>39</v>
      </c>
      <c r="H1792" s="4"/>
      <c r="I1792" s="4"/>
      <c r="J1792" s="4"/>
    </row>
    <row r="1793" spans="1:10" x14ac:dyDescent="0.25">
      <c r="A1793" s="7" t="s">
        <v>99</v>
      </c>
      <c r="B1793" s="7">
        <f t="shared" si="415"/>
        <v>2028</v>
      </c>
      <c r="C1793" s="4" t="s">
        <v>17</v>
      </c>
      <c r="D1793" s="5" t="s">
        <v>128</v>
      </c>
      <c r="E1793" s="10" t="str">
        <f t="shared" si="413"/>
        <v>PRBDP'!</v>
      </c>
      <c r="F1793" s="5" t="str">
        <f t="shared" si="414"/>
        <v>C:\Users\jaime.benazar\Quorum Business Solutions\Ecopetrol Prometeo - Documents\Planning Space Implementation\3. Analysis &amp; Design\Design\FC22\DRR Jaime\QUIFA-CAJÚA\Cajua\[VAS_CAJUA_CF_SEC_20230125.xlsx]CF PRBDP'!</v>
      </c>
      <c r="G1793" s="7" t="s">
        <v>39</v>
      </c>
      <c r="H1793" s="4"/>
      <c r="I1793" s="4"/>
      <c r="J1793" s="4"/>
    </row>
    <row r="1794" spans="1:10" x14ac:dyDescent="0.25">
      <c r="A1794" s="7" t="s">
        <v>99</v>
      </c>
      <c r="B1794" s="7">
        <f t="shared" si="415"/>
        <v>2029</v>
      </c>
      <c r="C1794" s="4" t="s">
        <v>17</v>
      </c>
      <c r="D1794" s="5" t="s">
        <v>128</v>
      </c>
      <c r="E1794" s="10" t="str">
        <f t="shared" si="413"/>
        <v>PRBDP'!</v>
      </c>
      <c r="F1794" s="5" t="str">
        <f t="shared" si="414"/>
        <v>C:\Users\jaime.benazar\Quorum Business Solutions\Ecopetrol Prometeo - Documents\Planning Space Implementation\3. Analysis &amp; Design\Design\FC22\DRR Jaime\QUIFA-CAJÚA\Cajua\[VAS_CAJUA_CF_SEC_20230125.xlsx]CF PRBDP'!</v>
      </c>
      <c r="G1794" s="7" t="s">
        <v>39</v>
      </c>
      <c r="H1794" s="4"/>
      <c r="I1794" s="4"/>
      <c r="J1794" s="4"/>
    </row>
    <row r="1795" spans="1:10" x14ac:dyDescent="0.25">
      <c r="A1795" s="7" t="s">
        <v>99</v>
      </c>
      <c r="B1795" s="7">
        <f t="shared" si="415"/>
        <v>2030</v>
      </c>
      <c r="C1795" s="4" t="s">
        <v>17</v>
      </c>
      <c r="D1795" s="5" t="s">
        <v>128</v>
      </c>
      <c r="E1795" s="10" t="str">
        <f t="shared" si="413"/>
        <v>PRBDP'!</v>
      </c>
      <c r="F1795" s="5" t="str">
        <f t="shared" si="414"/>
        <v>C:\Users\jaime.benazar\Quorum Business Solutions\Ecopetrol Prometeo - Documents\Planning Space Implementation\3. Analysis &amp; Design\Design\FC22\DRR Jaime\QUIFA-CAJÚA\Cajua\[VAS_CAJUA_CF_SEC_20230125.xlsx]CF PRBDP'!</v>
      </c>
      <c r="G1795" s="7" t="s">
        <v>39</v>
      </c>
      <c r="H1795" s="4"/>
      <c r="I1795" s="4"/>
      <c r="J1795" s="4"/>
    </row>
    <row r="1796" spans="1:10" x14ac:dyDescent="0.25">
      <c r="A1796" s="7" t="s">
        <v>99</v>
      </c>
      <c r="B1796" s="7">
        <f t="shared" si="415"/>
        <v>2031</v>
      </c>
      <c r="C1796" s="4" t="s">
        <v>17</v>
      </c>
      <c r="D1796" s="5" t="s">
        <v>128</v>
      </c>
      <c r="E1796" s="10" t="str">
        <f t="shared" si="413"/>
        <v>PRBDP'!</v>
      </c>
      <c r="F1796" s="5" t="str">
        <f t="shared" si="414"/>
        <v>C:\Users\jaime.benazar\Quorum Business Solutions\Ecopetrol Prometeo - Documents\Planning Space Implementation\3. Analysis &amp; Design\Design\FC22\DRR Jaime\QUIFA-CAJÚA\Cajua\[VAS_CAJUA_CF_SEC_20230125.xlsx]CF PRBDP'!</v>
      </c>
      <c r="G1796" s="7" t="s">
        <v>39</v>
      </c>
      <c r="H1796" s="4"/>
      <c r="I1796" s="4"/>
      <c r="J1796" s="4"/>
    </row>
    <row r="1797" spans="1:10" x14ac:dyDescent="0.25">
      <c r="A1797" s="7" t="s">
        <v>99</v>
      </c>
      <c r="B1797" s="7">
        <f t="shared" si="415"/>
        <v>2032</v>
      </c>
      <c r="C1797" s="4" t="s">
        <v>17</v>
      </c>
      <c r="D1797" s="5" t="s">
        <v>128</v>
      </c>
      <c r="E1797" s="10" t="str">
        <f t="shared" si="413"/>
        <v>PRBDP'!</v>
      </c>
      <c r="F1797" s="5" t="str">
        <f t="shared" si="414"/>
        <v>C:\Users\jaime.benazar\Quorum Business Solutions\Ecopetrol Prometeo - Documents\Planning Space Implementation\3. Analysis &amp; Design\Design\FC22\DRR Jaime\QUIFA-CAJÚA\Cajua\[VAS_CAJUA_CF_SEC_20230125.xlsx]CF PRBDP'!</v>
      </c>
      <c r="G1797" s="7" t="s">
        <v>39</v>
      </c>
      <c r="H1797" s="4"/>
      <c r="I1797" s="4"/>
      <c r="J1797" s="4"/>
    </row>
    <row r="1798" spans="1:10" x14ac:dyDescent="0.25">
      <c r="A1798" s="7" t="s">
        <v>99</v>
      </c>
      <c r="B1798" s="7">
        <f t="shared" si="415"/>
        <v>2033</v>
      </c>
      <c r="C1798" s="4" t="s">
        <v>17</v>
      </c>
      <c r="D1798" s="5" t="s">
        <v>128</v>
      </c>
      <c r="E1798" s="10" t="str">
        <f t="shared" si="413"/>
        <v>PRBDP'!</v>
      </c>
      <c r="F1798" s="5" t="str">
        <f t="shared" si="414"/>
        <v>C:\Users\jaime.benazar\Quorum Business Solutions\Ecopetrol Prometeo - Documents\Planning Space Implementation\3. Analysis &amp; Design\Design\FC22\DRR Jaime\QUIFA-CAJÚA\Cajua\[VAS_CAJUA_CF_SEC_20230125.xlsx]CF PRBDP'!</v>
      </c>
      <c r="G1798" s="7" t="s">
        <v>39</v>
      </c>
      <c r="H1798" s="4"/>
      <c r="I1798" s="4"/>
      <c r="J1798" s="4"/>
    </row>
    <row r="1799" spans="1:10" x14ac:dyDescent="0.25">
      <c r="A1799" s="7" t="s">
        <v>99</v>
      </c>
      <c r="B1799" s="7">
        <f t="shared" si="415"/>
        <v>2034</v>
      </c>
      <c r="C1799" s="4" t="s">
        <v>17</v>
      </c>
      <c r="D1799" s="5" t="s">
        <v>128</v>
      </c>
      <c r="E1799" s="10" t="str">
        <f t="shared" si="413"/>
        <v>PRBDP'!</v>
      </c>
      <c r="F1799" s="5" t="str">
        <f t="shared" si="414"/>
        <v>C:\Users\jaime.benazar\Quorum Business Solutions\Ecopetrol Prometeo - Documents\Planning Space Implementation\3. Analysis &amp; Design\Design\FC22\DRR Jaime\QUIFA-CAJÚA\Cajua\[VAS_CAJUA_CF_SEC_20230125.xlsx]CF PRBDP'!</v>
      </c>
      <c r="G1799" s="7" t="s">
        <v>39</v>
      </c>
      <c r="H1799" s="4"/>
      <c r="I1799" s="4"/>
      <c r="J1799" s="4"/>
    </row>
    <row r="1800" spans="1:10" x14ac:dyDescent="0.25">
      <c r="A1800" s="7" t="s">
        <v>99</v>
      </c>
      <c r="B1800" s="7">
        <f t="shared" si="415"/>
        <v>2035</v>
      </c>
      <c r="C1800" s="4" t="s">
        <v>17</v>
      </c>
      <c r="D1800" s="5" t="s">
        <v>128</v>
      </c>
      <c r="E1800" s="10" t="str">
        <f t="shared" si="413"/>
        <v>PRBDP'!</v>
      </c>
      <c r="F1800" s="5" t="str">
        <f t="shared" si="414"/>
        <v>C:\Users\jaime.benazar\Quorum Business Solutions\Ecopetrol Prometeo - Documents\Planning Space Implementation\3. Analysis &amp; Design\Design\FC22\DRR Jaime\QUIFA-CAJÚA\Cajua\[VAS_CAJUA_CF_SEC_20230125.xlsx]CF PRBDP'!</v>
      </c>
      <c r="G1800" s="7" t="s">
        <v>39</v>
      </c>
      <c r="H1800" s="4"/>
      <c r="I1800" s="4"/>
      <c r="J1800" s="4"/>
    </row>
    <row r="1801" spans="1:10" x14ac:dyDescent="0.25">
      <c r="A1801" s="7" t="s">
        <v>99</v>
      </c>
      <c r="B1801" s="7">
        <f t="shared" si="415"/>
        <v>2036</v>
      </c>
      <c r="C1801" s="4" t="s">
        <v>17</v>
      </c>
      <c r="D1801" s="5" t="s">
        <v>128</v>
      </c>
      <c r="E1801" s="10" t="str">
        <f t="shared" si="413"/>
        <v>PRBDP'!</v>
      </c>
      <c r="F1801" s="5" t="str">
        <f t="shared" si="414"/>
        <v>C:\Users\jaime.benazar\Quorum Business Solutions\Ecopetrol Prometeo - Documents\Planning Space Implementation\3. Analysis &amp; Design\Design\FC22\DRR Jaime\QUIFA-CAJÚA\Cajua\[VAS_CAJUA_CF_SEC_20230125.xlsx]CF PRBDP'!</v>
      </c>
      <c r="G1801" s="7" t="s">
        <v>39</v>
      </c>
      <c r="H1801" s="4"/>
      <c r="I1801" s="4"/>
      <c r="J1801" s="4"/>
    </row>
    <row r="1802" spans="1:10" x14ac:dyDescent="0.25">
      <c r="A1802" s="7" t="s">
        <v>99</v>
      </c>
      <c r="B1802" s="7">
        <f>+B1801+1</f>
        <v>2037</v>
      </c>
      <c r="C1802" s="4" t="s">
        <v>17</v>
      </c>
      <c r="D1802" s="5" t="s">
        <v>128</v>
      </c>
      <c r="E1802" s="10" t="str">
        <f t="shared" si="413"/>
        <v>PRBDP'!</v>
      </c>
      <c r="F1802" s="5" t="str">
        <f t="shared" si="414"/>
        <v>C:\Users\jaime.benazar\Quorum Business Solutions\Ecopetrol Prometeo - Documents\Planning Space Implementation\3. Analysis &amp; Design\Design\FC22\DRR Jaime\QUIFA-CAJÚA\Cajua\[VAS_CAJUA_CF_SEC_20230125.xlsx]CF PRBDP'!</v>
      </c>
      <c r="G1802" s="7" t="s">
        <v>39</v>
      </c>
      <c r="H1802" s="4"/>
      <c r="I1802" s="4"/>
      <c r="J1802" s="4"/>
    </row>
    <row r="1803" spans="1:10" x14ac:dyDescent="0.25">
      <c r="A1803" s="7" t="s">
        <v>99</v>
      </c>
      <c r="B1803" s="7">
        <f t="shared" ref="B1803:B1805" si="416">+B1802+1</f>
        <v>2038</v>
      </c>
      <c r="C1803" s="4" t="s">
        <v>17</v>
      </c>
      <c r="D1803" s="5" t="s">
        <v>128</v>
      </c>
      <c r="E1803" s="10" t="str">
        <f t="shared" si="413"/>
        <v>PRBDP'!</v>
      </c>
      <c r="F1803" s="5" t="str">
        <f t="shared" si="414"/>
        <v>C:\Users\jaime.benazar\Quorum Business Solutions\Ecopetrol Prometeo - Documents\Planning Space Implementation\3. Analysis &amp; Design\Design\FC22\DRR Jaime\QUIFA-CAJÚA\Cajua\[VAS_CAJUA_CF_SEC_20230125.xlsx]CF PRBDP'!</v>
      </c>
      <c r="G1803" s="7" t="s">
        <v>39</v>
      </c>
      <c r="H1803" s="4"/>
      <c r="I1803" s="4"/>
      <c r="J1803" s="4"/>
    </row>
    <row r="1804" spans="1:10" x14ac:dyDescent="0.25">
      <c r="A1804" s="7" t="s">
        <v>99</v>
      </c>
      <c r="B1804" s="7">
        <f t="shared" si="416"/>
        <v>2039</v>
      </c>
      <c r="C1804" s="4" t="s">
        <v>17</v>
      </c>
      <c r="D1804" s="5" t="s">
        <v>128</v>
      </c>
      <c r="E1804" s="10" t="str">
        <f t="shared" si="413"/>
        <v>PRBDP'!</v>
      </c>
      <c r="F1804" s="5" t="str">
        <f t="shared" si="414"/>
        <v>C:\Users\jaime.benazar\Quorum Business Solutions\Ecopetrol Prometeo - Documents\Planning Space Implementation\3. Analysis &amp; Design\Design\FC22\DRR Jaime\QUIFA-CAJÚA\Cajua\[VAS_CAJUA_CF_SEC_20230125.xlsx]CF PRBDP'!</v>
      </c>
      <c r="G1804" s="7" t="s">
        <v>39</v>
      </c>
      <c r="H1804" s="4"/>
      <c r="I1804" s="4"/>
      <c r="J1804" s="4"/>
    </row>
    <row r="1805" spans="1:10" x14ac:dyDescent="0.25">
      <c r="A1805" s="7" t="s">
        <v>99</v>
      </c>
      <c r="B1805" s="7">
        <f t="shared" si="416"/>
        <v>2040</v>
      </c>
      <c r="C1805" s="4" t="s">
        <v>17</v>
      </c>
      <c r="D1805" s="5" t="s">
        <v>128</v>
      </c>
      <c r="E1805" s="10" t="str">
        <f t="shared" si="413"/>
        <v>PRBDP'!</v>
      </c>
      <c r="F1805" s="5" t="str">
        <f t="shared" si="414"/>
        <v>C:\Users\jaime.benazar\Quorum Business Solutions\Ecopetrol Prometeo - Documents\Planning Space Implementation\3. Analysis &amp; Design\Design\FC22\DRR Jaime\QUIFA-CAJÚA\Cajua\[VAS_CAJUA_CF_SEC_20230125.xlsx]CF PRBDP'!</v>
      </c>
      <c r="G1805" s="7" t="s">
        <v>39</v>
      </c>
      <c r="H1805" s="4"/>
      <c r="I1805" s="4"/>
      <c r="J1805" s="4"/>
    </row>
    <row r="1806" spans="1:10" x14ac:dyDescent="0.25">
      <c r="A1806" s="7" t="s">
        <v>99</v>
      </c>
      <c r="B1806" s="7">
        <f>+B1805+1</f>
        <v>2041</v>
      </c>
      <c r="C1806" s="4" t="s">
        <v>17</v>
      </c>
      <c r="D1806" s="5" t="s">
        <v>128</v>
      </c>
      <c r="E1806" s="10" t="str">
        <f t="shared" si="413"/>
        <v>PRBDP'!</v>
      </c>
      <c r="F1806" s="5" t="str">
        <f t="shared" si="414"/>
        <v>C:\Users\jaime.benazar\Quorum Business Solutions\Ecopetrol Prometeo - Documents\Planning Space Implementation\3. Analysis &amp; Design\Design\FC22\DRR Jaime\QUIFA-CAJÚA\Cajua\[VAS_CAJUA_CF_SEC_20230125.xlsx]CF PRBDP'!</v>
      </c>
      <c r="G1806" s="7" t="s">
        <v>39</v>
      </c>
      <c r="H1806" s="4"/>
      <c r="I1806" s="4"/>
      <c r="J1806" s="4"/>
    </row>
    <row r="1807" spans="1:10" x14ac:dyDescent="0.25">
      <c r="A1807" s="7" t="s">
        <v>99</v>
      </c>
      <c r="B1807" s="7">
        <f t="shared" ref="B1807:B1808" si="417">+B1806+1</f>
        <v>2042</v>
      </c>
      <c r="C1807" s="4" t="s">
        <v>17</v>
      </c>
      <c r="D1807" s="5" t="s">
        <v>128</v>
      </c>
      <c r="E1807" s="10" t="str">
        <f t="shared" si="413"/>
        <v>PRBDP'!</v>
      </c>
      <c r="F1807" s="5" t="str">
        <f t="shared" si="414"/>
        <v>C:\Users\jaime.benazar\Quorum Business Solutions\Ecopetrol Prometeo - Documents\Planning Space Implementation\3. Analysis &amp; Design\Design\FC22\DRR Jaime\QUIFA-CAJÚA\Cajua\[VAS_CAJUA_CF_SEC_20230125.xlsx]CF PRBDP'!</v>
      </c>
      <c r="G1807" s="7" t="s">
        <v>39</v>
      </c>
      <c r="H1807" s="4"/>
      <c r="I1807" s="4"/>
      <c r="J1807" s="4"/>
    </row>
    <row r="1808" spans="1:10" x14ac:dyDescent="0.25">
      <c r="A1808" s="7" t="s">
        <v>99</v>
      </c>
      <c r="B1808" s="7">
        <f t="shared" si="417"/>
        <v>2043</v>
      </c>
      <c r="C1808" s="4" t="s">
        <v>17</v>
      </c>
      <c r="D1808" s="5" t="s">
        <v>128</v>
      </c>
      <c r="E1808" s="10" t="str">
        <f t="shared" si="413"/>
        <v>PRBDP'!</v>
      </c>
      <c r="F1808" s="5" t="str">
        <f t="shared" si="414"/>
        <v>C:\Users\jaime.benazar\Quorum Business Solutions\Ecopetrol Prometeo - Documents\Planning Space Implementation\3. Analysis &amp; Design\Design\FC22\DRR Jaime\QUIFA-CAJÚA\Cajua\[VAS_CAJUA_CF_SEC_20230125.xlsx]CF PRBDP'!</v>
      </c>
      <c r="G1808" s="7" t="s">
        <v>39</v>
      </c>
      <c r="H1808" s="4"/>
      <c r="I1808" s="4"/>
      <c r="J1808" s="4"/>
    </row>
    <row r="1809" spans="1:10" x14ac:dyDescent="0.25">
      <c r="A1809" s="7" t="s">
        <v>99</v>
      </c>
      <c r="B1809" s="7">
        <f>+B1808+1</f>
        <v>2044</v>
      </c>
      <c r="C1809" s="4" t="s">
        <v>17</v>
      </c>
      <c r="D1809" s="5" t="s">
        <v>128</v>
      </c>
      <c r="E1809" s="10" t="str">
        <f t="shared" ref="E1809:E1824" si="418">_xlfn.CONCAT(A1809,"'!")</f>
        <v>PRBDP'!</v>
      </c>
      <c r="F1809" s="5" t="str">
        <f t="shared" ref="F1809:F1824" si="419">_xlfn.CONCAT(D1809," ",E1809)</f>
        <v>C:\Users\jaime.benazar\Quorum Business Solutions\Ecopetrol Prometeo - Documents\Planning Space Implementation\3. Analysis &amp; Design\Design\FC22\DRR Jaime\QUIFA-CAJÚA\Cajua\[VAS_CAJUA_CF_SEC_20230125.xlsx]CF PRBDP'!</v>
      </c>
      <c r="G1809" s="7" t="s">
        <v>39</v>
      </c>
      <c r="H1809" s="4"/>
      <c r="I1809" s="4"/>
      <c r="J1809" s="4"/>
    </row>
    <row r="1810" spans="1:10" x14ac:dyDescent="0.25">
      <c r="A1810" s="7" t="s">
        <v>99</v>
      </c>
      <c r="B1810" s="7">
        <f t="shared" ref="B1810:B1824" si="420">+B1809+1</f>
        <v>2045</v>
      </c>
      <c r="C1810" s="4" t="s">
        <v>17</v>
      </c>
      <c r="D1810" s="5" t="s">
        <v>128</v>
      </c>
      <c r="E1810" s="10" t="str">
        <f t="shared" si="418"/>
        <v>PRBDP'!</v>
      </c>
      <c r="F1810" s="5" t="str">
        <f t="shared" si="419"/>
        <v>C:\Users\jaime.benazar\Quorum Business Solutions\Ecopetrol Prometeo - Documents\Planning Space Implementation\3. Analysis &amp; Design\Design\FC22\DRR Jaime\QUIFA-CAJÚA\Cajua\[VAS_CAJUA_CF_SEC_20230125.xlsx]CF PRBDP'!</v>
      </c>
      <c r="G1810" s="7" t="s">
        <v>39</v>
      </c>
      <c r="H1810" s="4"/>
      <c r="I1810" s="4"/>
      <c r="J1810" s="4"/>
    </row>
    <row r="1811" spans="1:10" x14ac:dyDescent="0.25">
      <c r="A1811" s="7" t="s">
        <v>99</v>
      </c>
      <c r="B1811" s="7">
        <f t="shared" si="420"/>
        <v>2046</v>
      </c>
      <c r="C1811" s="4" t="s">
        <v>17</v>
      </c>
      <c r="D1811" s="5" t="s">
        <v>128</v>
      </c>
      <c r="E1811" s="10" t="str">
        <f t="shared" si="418"/>
        <v>PRBDP'!</v>
      </c>
      <c r="F1811" s="5" t="str">
        <f t="shared" si="419"/>
        <v>C:\Users\jaime.benazar\Quorum Business Solutions\Ecopetrol Prometeo - Documents\Planning Space Implementation\3. Analysis &amp; Design\Design\FC22\DRR Jaime\QUIFA-CAJÚA\Cajua\[VAS_CAJUA_CF_SEC_20230125.xlsx]CF PRBDP'!</v>
      </c>
      <c r="G1811" s="7" t="s">
        <v>39</v>
      </c>
      <c r="H1811" s="4"/>
      <c r="I1811" s="4"/>
      <c r="J1811" s="4"/>
    </row>
    <row r="1812" spans="1:10" x14ac:dyDescent="0.25">
      <c r="A1812" s="7" t="s">
        <v>99</v>
      </c>
      <c r="B1812" s="7">
        <f t="shared" si="420"/>
        <v>2047</v>
      </c>
      <c r="C1812" s="4" t="s">
        <v>17</v>
      </c>
      <c r="D1812" s="5" t="s">
        <v>128</v>
      </c>
      <c r="E1812" s="10" t="str">
        <f t="shared" si="418"/>
        <v>PRBDP'!</v>
      </c>
      <c r="F1812" s="5" t="str">
        <f t="shared" si="419"/>
        <v>C:\Users\jaime.benazar\Quorum Business Solutions\Ecopetrol Prometeo - Documents\Planning Space Implementation\3. Analysis &amp; Design\Design\FC22\DRR Jaime\QUIFA-CAJÚA\Cajua\[VAS_CAJUA_CF_SEC_20230125.xlsx]CF PRBDP'!</v>
      </c>
      <c r="G1812" s="7" t="s">
        <v>39</v>
      </c>
      <c r="H1812" s="4"/>
      <c r="I1812" s="4"/>
      <c r="J1812" s="4"/>
    </row>
    <row r="1813" spans="1:10" x14ac:dyDescent="0.25">
      <c r="A1813" s="7" t="s">
        <v>99</v>
      </c>
      <c r="B1813" s="7">
        <f t="shared" si="420"/>
        <v>2048</v>
      </c>
      <c r="C1813" s="4" t="s">
        <v>17</v>
      </c>
      <c r="D1813" s="5" t="s">
        <v>128</v>
      </c>
      <c r="E1813" s="10" t="str">
        <f t="shared" si="418"/>
        <v>PRBDP'!</v>
      </c>
      <c r="F1813" s="5" t="str">
        <f t="shared" si="419"/>
        <v>C:\Users\jaime.benazar\Quorum Business Solutions\Ecopetrol Prometeo - Documents\Planning Space Implementation\3. Analysis &amp; Design\Design\FC22\DRR Jaime\QUIFA-CAJÚA\Cajua\[VAS_CAJUA_CF_SEC_20230125.xlsx]CF PRBDP'!</v>
      </c>
      <c r="G1813" s="7" t="s">
        <v>39</v>
      </c>
      <c r="H1813" s="4"/>
      <c r="I1813" s="4"/>
      <c r="J1813" s="4"/>
    </row>
    <row r="1814" spans="1:10" x14ac:dyDescent="0.25">
      <c r="A1814" s="7" t="s">
        <v>99</v>
      </c>
      <c r="B1814" s="7">
        <f t="shared" si="420"/>
        <v>2049</v>
      </c>
      <c r="C1814" s="4" t="s">
        <v>17</v>
      </c>
      <c r="D1814" s="5" t="s">
        <v>128</v>
      </c>
      <c r="E1814" s="10" t="str">
        <f t="shared" si="418"/>
        <v>PRBDP'!</v>
      </c>
      <c r="F1814" s="5" t="str">
        <f t="shared" si="419"/>
        <v>C:\Users\jaime.benazar\Quorum Business Solutions\Ecopetrol Prometeo - Documents\Planning Space Implementation\3. Analysis &amp; Design\Design\FC22\DRR Jaime\QUIFA-CAJÚA\Cajua\[VAS_CAJUA_CF_SEC_20230125.xlsx]CF PRBDP'!</v>
      </c>
      <c r="G1814" s="7" t="s">
        <v>39</v>
      </c>
      <c r="H1814" s="4"/>
      <c r="I1814" s="4"/>
      <c r="J1814" s="4"/>
    </row>
    <row r="1815" spans="1:10" x14ac:dyDescent="0.25">
      <c r="A1815" s="7" t="s">
        <v>99</v>
      </c>
      <c r="B1815" s="7">
        <f t="shared" si="420"/>
        <v>2050</v>
      </c>
      <c r="C1815" s="4" t="s">
        <v>17</v>
      </c>
      <c r="D1815" s="5" t="s">
        <v>128</v>
      </c>
      <c r="E1815" s="10" t="str">
        <f t="shared" si="418"/>
        <v>PRBDP'!</v>
      </c>
      <c r="F1815" s="5" t="str">
        <f t="shared" si="419"/>
        <v>C:\Users\jaime.benazar\Quorum Business Solutions\Ecopetrol Prometeo - Documents\Planning Space Implementation\3. Analysis &amp; Design\Design\FC22\DRR Jaime\QUIFA-CAJÚA\Cajua\[VAS_CAJUA_CF_SEC_20230125.xlsx]CF PRBDP'!</v>
      </c>
      <c r="G1815" s="7" t="s">
        <v>39</v>
      </c>
      <c r="H1815" s="4"/>
      <c r="I1815" s="4"/>
      <c r="J1815" s="4"/>
    </row>
    <row r="1816" spans="1:10" x14ac:dyDescent="0.25">
      <c r="A1816" s="7" t="s">
        <v>99</v>
      </c>
      <c r="B1816" s="7">
        <f t="shared" si="420"/>
        <v>2051</v>
      </c>
      <c r="C1816" s="4" t="s">
        <v>17</v>
      </c>
      <c r="D1816" s="5" t="s">
        <v>128</v>
      </c>
      <c r="E1816" s="10" t="str">
        <f t="shared" si="418"/>
        <v>PRBDP'!</v>
      </c>
      <c r="F1816" s="5" t="str">
        <f t="shared" si="419"/>
        <v>C:\Users\jaime.benazar\Quorum Business Solutions\Ecopetrol Prometeo - Documents\Planning Space Implementation\3. Analysis &amp; Design\Design\FC22\DRR Jaime\QUIFA-CAJÚA\Cajua\[VAS_CAJUA_CF_SEC_20230125.xlsx]CF PRBDP'!</v>
      </c>
      <c r="G1816" s="7" t="s">
        <v>39</v>
      </c>
      <c r="H1816" s="4"/>
      <c r="I1816" s="4"/>
      <c r="J1816" s="4"/>
    </row>
    <row r="1817" spans="1:10" x14ac:dyDescent="0.25">
      <c r="A1817" s="7" t="s">
        <v>99</v>
      </c>
      <c r="B1817" s="7">
        <f t="shared" si="420"/>
        <v>2052</v>
      </c>
      <c r="C1817" s="4" t="s">
        <v>17</v>
      </c>
      <c r="D1817" s="5" t="s">
        <v>128</v>
      </c>
      <c r="E1817" s="10" t="str">
        <f t="shared" si="418"/>
        <v>PRBDP'!</v>
      </c>
      <c r="F1817" s="5" t="str">
        <f t="shared" si="419"/>
        <v>C:\Users\jaime.benazar\Quorum Business Solutions\Ecopetrol Prometeo - Documents\Planning Space Implementation\3. Analysis &amp; Design\Design\FC22\DRR Jaime\QUIFA-CAJÚA\Cajua\[VAS_CAJUA_CF_SEC_20230125.xlsx]CF PRBDP'!</v>
      </c>
      <c r="G1817" s="7" t="s">
        <v>39</v>
      </c>
      <c r="H1817" s="4"/>
      <c r="I1817" s="4"/>
      <c r="J1817" s="4"/>
    </row>
    <row r="1818" spans="1:10" x14ac:dyDescent="0.25">
      <c r="A1818" s="7" t="s">
        <v>99</v>
      </c>
      <c r="B1818" s="7">
        <f t="shared" si="420"/>
        <v>2053</v>
      </c>
      <c r="C1818" s="4" t="s">
        <v>17</v>
      </c>
      <c r="D1818" s="5" t="s">
        <v>128</v>
      </c>
      <c r="E1818" s="10" t="str">
        <f t="shared" si="418"/>
        <v>PRBDP'!</v>
      </c>
      <c r="F1818" s="5" t="str">
        <f t="shared" si="419"/>
        <v>C:\Users\jaime.benazar\Quorum Business Solutions\Ecopetrol Prometeo - Documents\Planning Space Implementation\3. Analysis &amp; Design\Design\FC22\DRR Jaime\QUIFA-CAJÚA\Cajua\[VAS_CAJUA_CF_SEC_20230125.xlsx]CF PRBDP'!</v>
      </c>
      <c r="G1818" s="7" t="s">
        <v>39</v>
      </c>
      <c r="H1818" s="4"/>
      <c r="I1818" s="4"/>
      <c r="J1818" s="4"/>
    </row>
    <row r="1819" spans="1:10" x14ac:dyDescent="0.25">
      <c r="A1819" s="7" t="s">
        <v>99</v>
      </c>
      <c r="B1819" s="7">
        <f t="shared" si="420"/>
        <v>2054</v>
      </c>
      <c r="C1819" s="4" t="s">
        <v>17</v>
      </c>
      <c r="D1819" s="5" t="s">
        <v>128</v>
      </c>
      <c r="E1819" s="10" t="str">
        <f t="shared" si="418"/>
        <v>PRBDP'!</v>
      </c>
      <c r="F1819" s="5" t="str">
        <f t="shared" si="419"/>
        <v>C:\Users\jaime.benazar\Quorum Business Solutions\Ecopetrol Prometeo - Documents\Planning Space Implementation\3. Analysis &amp; Design\Design\FC22\DRR Jaime\QUIFA-CAJÚA\Cajua\[VAS_CAJUA_CF_SEC_20230125.xlsx]CF PRBDP'!</v>
      </c>
      <c r="G1819" s="7" t="s">
        <v>39</v>
      </c>
      <c r="H1819" s="4"/>
      <c r="I1819" s="4"/>
      <c r="J1819" s="4"/>
    </row>
    <row r="1820" spans="1:10" x14ac:dyDescent="0.25">
      <c r="A1820" s="7" t="s">
        <v>99</v>
      </c>
      <c r="B1820" s="7">
        <f t="shared" si="420"/>
        <v>2055</v>
      </c>
      <c r="C1820" s="4" t="s">
        <v>17</v>
      </c>
      <c r="D1820" s="5" t="s">
        <v>128</v>
      </c>
      <c r="E1820" s="10" t="str">
        <f t="shared" si="418"/>
        <v>PRBDP'!</v>
      </c>
      <c r="F1820" s="5" t="str">
        <f t="shared" si="419"/>
        <v>C:\Users\jaime.benazar\Quorum Business Solutions\Ecopetrol Prometeo - Documents\Planning Space Implementation\3. Analysis &amp; Design\Design\FC22\DRR Jaime\QUIFA-CAJÚA\Cajua\[VAS_CAJUA_CF_SEC_20230125.xlsx]CF PRBDP'!</v>
      </c>
      <c r="G1820" s="7" t="s">
        <v>39</v>
      </c>
      <c r="H1820" s="4"/>
      <c r="I1820" s="4"/>
      <c r="J1820" s="4"/>
    </row>
    <row r="1821" spans="1:10" x14ac:dyDescent="0.25">
      <c r="A1821" s="7" t="s">
        <v>99</v>
      </c>
      <c r="B1821" s="7">
        <f t="shared" si="420"/>
        <v>2056</v>
      </c>
      <c r="C1821" s="4" t="s">
        <v>17</v>
      </c>
      <c r="D1821" s="5" t="s">
        <v>128</v>
      </c>
      <c r="E1821" s="10" t="str">
        <f t="shared" si="418"/>
        <v>PRBDP'!</v>
      </c>
      <c r="F1821" s="5" t="str">
        <f t="shared" si="419"/>
        <v>C:\Users\jaime.benazar\Quorum Business Solutions\Ecopetrol Prometeo - Documents\Planning Space Implementation\3. Analysis &amp; Design\Design\FC22\DRR Jaime\QUIFA-CAJÚA\Cajua\[VAS_CAJUA_CF_SEC_20230125.xlsx]CF PRBDP'!</v>
      </c>
      <c r="G1821" s="7" t="s">
        <v>39</v>
      </c>
      <c r="H1821" s="4"/>
      <c r="I1821" s="4"/>
      <c r="J1821" s="4"/>
    </row>
    <row r="1822" spans="1:10" x14ac:dyDescent="0.25">
      <c r="A1822" s="7" t="s">
        <v>99</v>
      </c>
      <c r="B1822" s="7">
        <f t="shared" si="420"/>
        <v>2057</v>
      </c>
      <c r="C1822" s="4" t="s">
        <v>17</v>
      </c>
      <c r="D1822" s="5" t="s">
        <v>128</v>
      </c>
      <c r="E1822" s="10" t="str">
        <f t="shared" si="418"/>
        <v>PRBDP'!</v>
      </c>
      <c r="F1822" s="5" t="str">
        <f t="shared" si="419"/>
        <v>C:\Users\jaime.benazar\Quorum Business Solutions\Ecopetrol Prometeo - Documents\Planning Space Implementation\3. Analysis &amp; Design\Design\FC22\DRR Jaime\QUIFA-CAJÚA\Cajua\[VAS_CAJUA_CF_SEC_20230125.xlsx]CF PRBDP'!</v>
      </c>
      <c r="G1822" s="7" t="s">
        <v>39</v>
      </c>
      <c r="H1822" s="4"/>
      <c r="I1822" s="4"/>
      <c r="J1822" s="4"/>
    </row>
    <row r="1823" spans="1:10" x14ac:dyDescent="0.25">
      <c r="A1823" s="7" t="s">
        <v>99</v>
      </c>
      <c r="B1823" s="7">
        <f t="shared" si="420"/>
        <v>2058</v>
      </c>
      <c r="C1823" s="4" t="s">
        <v>17</v>
      </c>
      <c r="D1823" s="5" t="s">
        <v>128</v>
      </c>
      <c r="E1823" s="10" t="str">
        <f t="shared" si="418"/>
        <v>PRBDP'!</v>
      </c>
      <c r="F1823" s="5" t="str">
        <f t="shared" si="419"/>
        <v>C:\Users\jaime.benazar\Quorum Business Solutions\Ecopetrol Prometeo - Documents\Planning Space Implementation\3. Analysis &amp; Design\Design\FC22\DRR Jaime\QUIFA-CAJÚA\Cajua\[VAS_CAJUA_CF_SEC_20230125.xlsx]CF PRBDP'!</v>
      </c>
      <c r="G1823" s="7" t="s">
        <v>39</v>
      </c>
      <c r="H1823" s="4"/>
      <c r="I1823" s="4"/>
      <c r="J1823" s="4"/>
    </row>
    <row r="1824" spans="1:10" x14ac:dyDescent="0.25">
      <c r="A1824" s="7" t="s">
        <v>99</v>
      </c>
      <c r="B1824" s="7">
        <f t="shared" si="420"/>
        <v>2059</v>
      </c>
      <c r="C1824" s="4" t="s">
        <v>17</v>
      </c>
      <c r="D1824" s="5" t="s">
        <v>128</v>
      </c>
      <c r="E1824" s="10" t="str">
        <f t="shared" si="418"/>
        <v>PRBDP'!</v>
      </c>
      <c r="F1824" s="5" t="str">
        <f t="shared" si="419"/>
        <v>C:\Users\jaime.benazar\Quorum Business Solutions\Ecopetrol Prometeo - Documents\Planning Space Implementation\3. Analysis &amp; Design\Design\FC22\DRR Jaime\QUIFA-CAJÚA\Cajua\[VAS_CAJUA_CF_SEC_20230125.xlsx]CF PRBDP'!</v>
      </c>
      <c r="G1824" s="7" t="s">
        <v>39</v>
      </c>
      <c r="H1824" s="4"/>
      <c r="I1824" s="4"/>
      <c r="J1824" s="4"/>
    </row>
    <row r="1825" spans="1:10" x14ac:dyDescent="0.25">
      <c r="A1825" s="7" t="s">
        <v>28</v>
      </c>
      <c r="B1825" s="7"/>
      <c r="C1825" s="4" t="s">
        <v>17</v>
      </c>
      <c r="D1825" s="5"/>
      <c r="E1825" s="10"/>
      <c r="F1825" s="5"/>
      <c r="G1825" s="7"/>
      <c r="H1825" s="4"/>
      <c r="I1825" s="4"/>
      <c r="J1825" s="4"/>
    </row>
    <row r="1826" spans="1:10" x14ac:dyDescent="0.25">
      <c r="A1826" s="7" t="s">
        <v>100</v>
      </c>
      <c r="B1826" s="7">
        <v>2023</v>
      </c>
      <c r="C1826" s="4" t="s">
        <v>17</v>
      </c>
      <c r="D1826" s="5" t="s">
        <v>128</v>
      </c>
      <c r="E1826" s="10" t="str">
        <f t="shared" ref="E1826:E1846" si="421">_xlfn.CONCAT(A1826,"'!")</f>
        <v>PRBNP'!</v>
      </c>
      <c r="F1826" s="5" t="str">
        <f t="shared" ref="F1826:F1846" si="422">_xlfn.CONCAT(D1826," ",E1826)</f>
        <v>C:\Users\jaime.benazar\Quorum Business Solutions\Ecopetrol Prometeo - Documents\Planning Space Implementation\3. Analysis &amp; Design\Design\FC22\DRR Jaime\QUIFA-CAJÚA\Cajua\[VAS_CAJUA_CF_SEC_20230125.xlsx]CF PRBNP'!</v>
      </c>
      <c r="G1826" s="7" t="s">
        <v>39</v>
      </c>
      <c r="H1826" s="4"/>
      <c r="I1826" s="4"/>
      <c r="J1826" s="4"/>
    </row>
    <row r="1827" spans="1:10" x14ac:dyDescent="0.25">
      <c r="A1827" s="7" t="s">
        <v>100</v>
      </c>
      <c r="B1827" s="7">
        <f>+B1826+1</f>
        <v>2024</v>
      </c>
      <c r="C1827" s="4" t="s">
        <v>17</v>
      </c>
      <c r="D1827" s="5" t="s">
        <v>128</v>
      </c>
      <c r="E1827" s="10" t="str">
        <f t="shared" si="421"/>
        <v>PRBNP'!</v>
      </c>
      <c r="F1827" s="5" t="str">
        <f t="shared" si="422"/>
        <v>C:\Users\jaime.benazar\Quorum Business Solutions\Ecopetrol Prometeo - Documents\Planning Space Implementation\3. Analysis &amp; Design\Design\FC22\DRR Jaime\QUIFA-CAJÚA\Cajua\[VAS_CAJUA_CF_SEC_20230125.xlsx]CF PRBNP'!</v>
      </c>
      <c r="G1827" s="7" t="s">
        <v>39</v>
      </c>
      <c r="H1827" s="4"/>
      <c r="I1827" s="4"/>
      <c r="J1827" s="4"/>
    </row>
    <row r="1828" spans="1:10" x14ac:dyDescent="0.25">
      <c r="A1828" s="7" t="s">
        <v>100</v>
      </c>
      <c r="B1828" s="7">
        <f t="shared" ref="B1828:B1839" si="423">+B1827+1</f>
        <v>2025</v>
      </c>
      <c r="C1828" s="4" t="s">
        <v>17</v>
      </c>
      <c r="D1828" s="5" t="s">
        <v>128</v>
      </c>
      <c r="E1828" s="10" t="str">
        <f t="shared" si="421"/>
        <v>PRBNP'!</v>
      </c>
      <c r="F1828" s="5" t="str">
        <f t="shared" si="422"/>
        <v>C:\Users\jaime.benazar\Quorum Business Solutions\Ecopetrol Prometeo - Documents\Planning Space Implementation\3. Analysis &amp; Design\Design\FC22\DRR Jaime\QUIFA-CAJÚA\Cajua\[VAS_CAJUA_CF_SEC_20230125.xlsx]CF PRBNP'!</v>
      </c>
      <c r="G1828" s="7" t="s">
        <v>39</v>
      </c>
      <c r="H1828" s="4"/>
      <c r="I1828" s="4"/>
      <c r="J1828" s="4"/>
    </row>
    <row r="1829" spans="1:10" x14ac:dyDescent="0.25">
      <c r="A1829" s="7" t="s">
        <v>100</v>
      </c>
      <c r="B1829" s="7">
        <f t="shared" si="423"/>
        <v>2026</v>
      </c>
      <c r="C1829" s="4" t="s">
        <v>17</v>
      </c>
      <c r="D1829" s="5" t="s">
        <v>128</v>
      </c>
      <c r="E1829" s="10" t="str">
        <f t="shared" si="421"/>
        <v>PRBNP'!</v>
      </c>
      <c r="F1829" s="5" t="str">
        <f t="shared" si="422"/>
        <v>C:\Users\jaime.benazar\Quorum Business Solutions\Ecopetrol Prometeo - Documents\Planning Space Implementation\3. Analysis &amp; Design\Design\FC22\DRR Jaime\QUIFA-CAJÚA\Cajua\[VAS_CAJUA_CF_SEC_20230125.xlsx]CF PRBNP'!</v>
      </c>
      <c r="G1829" s="7" t="s">
        <v>39</v>
      </c>
      <c r="H1829" s="4"/>
      <c r="I1829" s="4"/>
      <c r="J1829" s="4"/>
    </row>
    <row r="1830" spans="1:10" x14ac:dyDescent="0.25">
      <c r="A1830" s="7" t="s">
        <v>100</v>
      </c>
      <c r="B1830" s="7">
        <f t="shared" si="423"/>
        <v>2027</v>
      </c>
      <c r="C1830" s="4" t="s">
        <v>17</v>
      </c>
      <c r="D1830" s="5" t="s">
        <v>128</v>
      </c>
      <c r="E1830" s="10" t="str">
        <f t="shared" si="421"/>
        <v>PRBNP'!</v>
      </c>
      <c r="F1830" s="5" t="str">
        <f t="shared" si="422"/>
        <v>C:\Users\jaime.benazar\Quorum Business Solutions\Ecopetrol Prometeo - Documents\Planning Space Implementation\3. Analysis &amp; Design\Design\FC22\DRR Jaime\QUIFA-CAJÚA\Cajua\[VAS_CAJUA_CF_SEC_20230125.xlsx]CF PRBNP'!</v>
      </c>
      <c r="G1830" s="7" t="s">
        <v>39</v>
      </c>
      <c r="H1830" s="4"/>
      <c r="I1830" s="4"/>
      <c r="J1830" s="4"/>
    </row>
    <row r="1831" spans="1:10" x14ac:dyDescent="0.25">
      <c r="A1831" s="7" t="s">
        <v>100</v>
      </c>
      <c r="B1831" s="7">
        <f t="shared" si="423"/>
        <v>2028</v>
      </c>
      <c r="C1831" s="4" t="s">
        <v>17</v>
      </c>
      <c r="D1831" s="5" t="s">
        <v>128</v>
      </c>
      <c r="E1831" s="10" t="str">
        <f t="shared" si="421"/>
        <v>PRBNP'!</v>
      </c>
      <c r="F1831" s="5" t="str">
        <f t="shared" si="422"/>
        <v>C:\Users\jaime.benazar\Quorum Business Solutions\Ecopetrol Prometeo - Documents\Planning Space Implementation\3. Analysis &amp; Design\Design\FC22\DRR Jaime\QUIFA-CAJÚA\Cajua\[VAS_CAJUA_CF_SEC_20230125.xlsx]CF PRBNP'!</v>
      </c>
      <c r="G1831" s="7" t="s">
        <v>39</v>
      </c>
      <c r="H1831" s="4"/>
      <c r="I1831" s="4"/>
      <c r="J1831" s="4"/>
    </row>
    <row r="1832" spans="1:10" x14ac:dyDescent="0.25">
      <c r="A1832" s="7" t="s">
        <v>100</v>
      </c>
      <c r="B1832" s="7">
        <f t="shared" si="423"/>
        <v>2029</v>
      </c>
      <c r="C1832" s="4" t="s">
        <v>17</v>
      </c>
      <c r="D1832" s="5" t="s">
        <v>128</v>
      </c>
      <c r="E1832" s="10" t="str">
        <f t="shared" si="421"/>
        <v>PRBNP'!</v>
      </c>
      <c r="F1832" s="5" t="str">
        <f t="shared" si="422"/>
        <v>C:\Users\jaime.benazar\Quorum Business Solutions\Ecopetrol Prometeo - Documents\Planning Space Implementation\3. Analysis &amp; Design\Design\FC22\DRR Jaime\QUIFA-CAJÚA\Cajua\[VAS_CAJUA_CF_SEC_20230125.xlsx]CF PRBNP'!</v>
      </c>
      <c r="G1832" s="7" t="s">
        <v>39</v>
      </c>
      <c r="H1832" s="4"/>
      <c r="I1832" s="4"/>
      <c r="J1832" s="4"/>
    </row>
    <row r="1833" spans="1:10" x14ac:dyDescent="0.25">
      <c r="A1833" s="7" t="s">
        <v>100</v>
      </c>
      <c r="B1833" s="7">
        <f t="shared" si="423"/>
        <v>2030</v>
      </c>
      <c r="C1833" s="4" t="s">
        <v>17</v>
      </c>
      <c r="D1833" s="5" t="s">
        <v>128</v>
      </c>
      <c r="E1833" s="10" t="str">
        <f t="shared" si="421"/>
        <v>PRBNP'!</v>
      </c>
      <c r="F1833" s="5" t="str">
        <f t="shared" si="422"/>
        <v>C:\Users\jaime.benazar\Quorum Business Solutions\Ecopetrol Prometeo - Documents\Planning Space Implementation\3. Analysis &amp; Design\Design\FC22\DRR Jaime\QUIFA-CAJÚA\Cajua\[VAS_CAJUA_CF_SEC_20230125.xlsx]CF PRBNP'!</v>
      </c>
      <c r="G1833" s="7" t="s">
        <v>39</v>
      </c>
      <c r="H1833" s="4"/>
      <c r="I1833" s="4"/>
      <c r="J1833" s="4"/>
    </row>
    <row r="1834" spans="1:10" x14ac:dyDescent="0.25">
      <c r="A1834" s="7" t="s">
        <v>100</v>
      </c>
      <c r="B1834" s="7">
        <f t="shared" si="423"/>
        <v>2031</v>
      </c>
      <c r="C1834" s="4" t="s">
        <v>17</v>
      </c>
      <c r="D1834" s="5" t="s">
        <v>128</v>
      </c>
      <c r="E1834" s="10" t="str">
        <f t="shared" si="421"/>
        <v>PRBNP'!</v>
      </c>
      <c r="F1834" s="5" t="str">
        <f t="shared" si="422"/>
        <v>C:\Users\jaime.benazar\Quorum Business Solutions\Ecopetrol Prometeo - Documents\Planning Space Implementation\3. Analysis &amp; Design\Design\FC22\DRR Jaime\QUIFA-CAJÚA\Cajua\[VAS_CAJUA_CF_SEC_20230125.xlsx]CF PRBNP'!</v>
      </c>
      <c r="G1834" s="7" t="s">
        <v>39</v>
      </c>
      <c r="H1834" s="4"/>
      <c r="I1834" s="4"/>
      <c r="J1834" s="4"/>
    </row>
    <row r="1835" spans="1:10" x14ac:dyDescent="0.25">
      <c r="A1835" s="7" t="s">
        <v>100</v>
      </c>
      <c r="B1835" s="7">
        <f t="shared" si="423"/>
        <v>2032</v>
      </c>
      <c r="C1835" s="4" t="s">
        <v>17</v>
      </c>
      <c r="D1835" s="5" t="s">
        <v>128</v>
      </c>
      <c r="E1835" s="10" t="str">
        <f t="shared" si="421"/>
        <v>PRBNP'!</v>
      </c>
      <c r="F1835" s="5" t="str">
        <f t="shared" si="422"/>
        <v>C:\Users\jaime.benazar\Quorum Business Solutions\Ecopetrol Prometeo - Documents\Planning Space Implementation\3. Analysis &amp; Design\Design\FC22\DRR Jaime\QUIFA-CAJÚA\Cajua\[VAS_CAJUA_CF_SEC_20230125.xlsx]CF PRBNP'!</v>
      </c>
      <c r="G1835" s="7" t="s">
        <v>39</v>
      </c>
      <c r="H1835" s="4"/>
      <c r="I1835" s="4"/>
      <c r="J1835" s="4"/>
    </row>
    <row r="1836" spans="1:10" x14ac:dyDescent="0.25">
      <c r="A1836" s="7" t="s">
        <v>100</v>
      </c>
      <c r="B1836" s="7">
        <f t="shared" si="423"/>
        <v>2033</v>
      </c>
      <c r="C1836" s="4" t="s">
        <v>17</v>
      </c>
      <c r="D1836" s="5" t="s">
        <v>128</v>
      </c>
      <c r="E1836" s="10" t="str">
        <f t="shared" si="421"/>
        <v>PRBNP'!</v>
      </c>
      <c r="F1836" s="5" t="str">
        <f t="shared" si="422"/>
        <v>C:\Users\jaime.benazar\Quorum Business Solutions\Ecopetrol Prometeo - Documents\Planning Space Implementation\3. Analysis &amp; Design\Design\FC22\DRR Jaime\QUIFA-CAJÚA\Cajua\[VAS_CAJUA_CF_SEC_20230125.xlsx]CF PRBNP'!</v>
      </c>
      <c r="G1836" s="7" t="s">
        <v>39</v>
      </c>
      <c r="H1836" s="4"/>
      <c r="I1836" s="4"/>
      <c r="J1836" s="4"/>
    </row>
    <row r="1837" spans="1:10" x14ac:dyDescent="0.25">
      <c r="A1837" s="7" t="s">
        <v>100</v>
      </c>
      <c r="B1837" s="7">
        <f t="shared" si="423"/>
        <v>2034</v>
      </c>
      <c r="C1837" s="4" t="s">
        <v>17</v>
      </c>
      <c r="D1837" s="5" t="s">
        <v>128</v>
      </c>
      <c r="E1837" s="10" t="str">
        <f t="shared" si="421"/>
        <v>PRBNP'!</v>
      </c>
      <c r="F1837" s="5" t="str">
        <f t="shared" si="422"/>
        <v>C:\Users\jaime.benazar\Quorum Business Solutions\Ecopetrol Prometeo - Documents\Planning Space Implementation\3. Analysis &amp; Design\Design\FC22\DRR Jaime\QUIFA-CAJÚA\Cajua\[VAS_CAJUA_CF_SEC_20230125.xlsx]CF PRBNP'!</v>
      </c>
      <c r="G1837" s="7" t="s">
        <v>39</v>
      </c>
      <c r="H1837" s="4"/>
      <c r="I1837" s="4"/>
      <c r="J1837" s="4"/>
    </row>
    <row r="1838" spans="1:10" x14ac:dyDescent="0.25">
      <c r="A1838" s="7" t="s">
        <v>100</v>
      </c>
      <c r="B1838" s="7">
        <f t="shared" si="423"/>
        <v>2035</v>
      </c>
      <c r="C1838" s="4" t="s">
        <v>17</v>
      </c>
      <c r="D1838" s="5" t="s">
        <v>128</v>
      </c>
      <c r="E1838" s="10" t="str">
        <f t="shared" si="421"/>
        <v>PRBNP'!</v>
      </c>
      <c r="F1838" s="5" t="str">
        <f t="shared" si="422"/>
        <v>C:\Users\jaime.benazar\Quorum Business Solutions\Ecopetrol Prometeo - Documents\Planning Space Implementation\3. Analysis &amp; Design\Design\FC22\DRR Jaime\QUIFA-CAJÚA\Cajua\[VAS_CAJUA_CF_SEC_20230125.xlsx]CF PRBNP'!</v>
      </c>
      <c r="G1838" s="7" t="s">
        <v>39</v>
      </c>
      <c r="H1838" s="4"/>
      <c r="I1838" s="4"/>
      <c r="J1838" s="4"/>
    </row>
    <row r="1839" spans="1:10" x14ac:dyDescent="0.25">
      <c r="A1839" s="7" t="s">
        <v>100</v>
      </c>
      <c r="B1839" s="7">
        <f t="shared" si="423"/>
        <v>2036</v>
      </c>
      <c r="C1839" s="4" t="s">
        <v>17</v>
      </c>
      <c r="D1839" s="5" t="s">
        <v>128</v>
      </c>
      <c r="E1839" s="10" t="str">
        <f t="shared" si="421"/>
        <v>PRBNP'!</v>
      </c>
      <c r="F1839" s="5" t="str">
        <f t="shared" si="422"/>
        <v>C:\Users\jaime.benazar\Quorum Business Solutions\Ecopetrol Prometeo - Documents\Planning Space Implementation\3. Analysis &amp; Design\Design\FC22\DRR Jaime\QUIFA-CAJÚA\Cajua\[VAS_CAJUA_CF_SEC_20230125.xlsx]CF PRBNP'!</v>
      </c>
      <c r="G1839" s="7" t="s">
        <v>39</v>
      </c>
      <c r="H1839" s="4"/>
      <c r="I1839" s="4"/>
      <c r="J1839" s="4"/>
    </row>
    <row r="1840" spans="1:10" x14ac:dyDescent="0.25">
      <c r="A1840" s="7" t="s">
        <v>100</v>
      </c>
      <c r="B1840" s="7">
        <f>+B1839+1</f>
        <v>2037</v>
      </c>
      <c r="C1840" s="4" t="s">
        <v>17</v>
      </c>
      <c r="D1840" s="5" t="s">
        <v>128</v>
      </c>
      <c r="E1840" s="10" t="str">
        <f t="shared" si="421"/>
        <v>PRBNP'!</v>
      </c>
      <c r="F1840" s="5" t="str">
        <f t="shared" si="422"/>
        <v>C:\Users\jaime.benazar\Quorum Business Solutions\Ecopetrol Prometeo - Documents\Planning Space Implementation\3. Analysis &amp; Design\Design\FC22\DRR Jaime\QUIFA-CAJÚA\Cajua\[VAS_CAJUA_CF_SEC_20230125.xlsx]CF PRBNP'!</v>
      </c>
      <c r="G1840" s="7" t="s">
        <v>39</v>
      </c>
      <c r="H1840" s="4"/>
      <c r="I1840" s="4"/>
      <c r="J1840" s="4"/>
    </row>
    <row r="1841" spans="1:10" x14ac:dyDescent="0.25">
      <c r="A1841" s="7" t="s">
        <v>100</v>
      </c>
      <c r="B1841" s="7">
        <f t="shared" ref="B1841:B1843" si="424">+B1840+1</f>
        <v>2038</v>
      </c>
      <c r="C1841" s="4" t="s">
        <v>17</v>
      </c>
      <c r="D1841" s="5" t="s">
        <v>128</v>
      </c>
      <c r="E1841" s="10" t="str">
        <f t="shared" si="421"/>
        <v>PRBNP'!</v>
      </c>
      <c r="F1841" s="5" t="str">
        <f t="shared" si="422"/>
        <v>C:\Users\jaime.benazar\Quorum Business Solutions\Ecopetrol Prometeo - Documents\Planning Space Implementation\3. Analysis &amp; Design\Design\FC22\DRR Jaime\QUIFA-CAJÚA\Cajua\[VAS_CAJUA_CF_SEC_20230125.xlsx]CF PRBNP'!</v>
      </c>
      <c r="G1841" s="7" t="s">
        <v>39</v>
      </c>
      <c r="H1841" s="4"/>
      <c r="I1841" s="4"/>
      <c r="J1841" s="4"/>
    </row>
    <row r="1842" spans="1:10" x14ac:dyDescent="0.25">
      <c r="A1842" s="7" t="s">
        <v>100</v>
      </c>
      <c r="B1842" s="7">
        <f t="shared" si="424"/>
        <v>2039</v>
      </c>
      <c r="C1842" s="4" t="s">
        <v>17</v>
      </c>
      <c r="D1842" s="5" t="s">
        <v>128</v>
      </c>
      <c r="E1842" s="10" t="str">
        <f t="shared" si="421"/>
        <v>PRBNP'!</v>
      </c>
      <c r="F1842" s="5" t="str">
        <f t="shared" si="422"/>
        <v>C:\Users\jaime.benazar\Quorum Business Solutions\Ecopetrol Prometeo - Documents\Planning Space Implementation\3. Analysis &amp; Design\Design\FC22\DRR Jaime\QUIFA-CAJÚA\Cajua\[VAS_CAJUA_CF_SEC_20230125.xlsx]CF PRBNP'!</v>
      </c>
      <c r="G1842" s="7" t="s">
        <v>39</v>
      </c>
      <c r="H1842" s="4"/>
      <c r="I1842" s="4"/>
      <c r="J1842" s="4"/>
    </row>
    <row r="1843" spans="1:10" x14ac:dyDescent="0.25">
      <c r="A1843" s="7" t="s">
        <v>100</v>
      </c>
      <c r="B1843" s="7">
        <f t="shared" si="424"/>
        <v>2040</v>
      </c>
      <c r="C1843" s="4" t="s">
        <v>17</v>
      </c>
      <c r="D1843" s="5" t="s">
        <v>128</v>
      </c>
      <c r="E1843" s="10" t="str">
        <f t="shared" si="421"/>
        <v>PRBNP'!</v>
      </c>
      <c r="F1843" s="5" t="str">
        <f t="shared" si="422"/>
        <v>C:\Users\jaime.benazar\Quorum Business Solutions\Ecopetrol Prometeo - Documents\Planning Space Implementation\3. Analysis &amp; Design\Design\FC22\DRR Jaime\QUIFA-CAJÚA\Cajua\[VAS_CAJUA_CF_SEC_20230125.xlsx]CF PRBNP'!</v>
      </c>
      <c r="G1843" s="7" t="s">
        <v>39</v>
      </c>
      <c r="H1843" s="4"/>
      <c r="I1843" s="4"/>
      <c r="J1843" s="4"/>
    </row>
    <row r="1844" spans="1:10" x14ac:dyDescent="0.25">
      <c r="A1844" s="7" t="s">
        <v>100</v>
      </c>
      <c r="B1844" s="7">
        <f>+B1843+1</f>
        <v>2041</v>
      </c>
      <c r="C1844" s="4" t="s">
        <v>17</v>
      </c>
      <c r="D1844" s="5" t="s">
        <v>128</v>
      </c>
      <c r="E1844" s="10" t="str">
        <f t="shared" si="421"/>
        <v>PRBNP'!</v>
      </c>
      <c r="F1844" s="5" t="str">
        <f t="shared" si="422"/>
        <v>C:\Users\jaime.benazar\Quorum Business Solutions\Ecopetrol Prometeo - Documents\Planning Space Implementation\3. Analysis &amp; Design\Design\FC22\DRR Jaime\QUIFA-CAJÚA\Cajua\[VAS_CAJUA_CF_SEC_20230125.xlsx]CF PRBNP'!</v>
      </c>
      <c r="G1844" s="7" t="s">
        <v>39</v>
      </c>
      <c r="H1844" s="4"/>
      <c r="I1844" s="4"/>
      <c r="J1844" s="4"/>
    </row>
    <row r="1845" spans="1:10" x14ac:dyDescent="0.25">
      <c r="A1845" s="7" t="s">
        <v>100</v>
      </c>
      <c r="B1845" s="7">
        <f t="shared" ref="B1845:B1846" si="425">+B1844+1</f>
        <v>2042</v>
      </c>
      <c r="C1845" s="4" t="s">
        <v>17</v>
      </c>
      <c r="D1845" s="5" t="s">
        <v>128</v>
      </c>
      <c r="E1845" s="10" t="str">
        <f t="shared" si="421"/>
        <v>PRBNP'!</v>
      </c>
      <c r="F1845" s="5" t="str">
        <f t="shared" si="422"/>
        <v>C:\Users\jaime.benazar\Quorum Business Solutions\Ecopetrol Prometeo - Documents\Planning Space Implementation\3. Analysis &amp; Design\Design\FC22\DRR Jaime\QUIFA-CAJÚA\Cajua\[VAS_CAJUA_CF_SEC_20230125.xlsx]CF PRBNP'!</v>
      </c>
      <c r="G1845" s="7" t="s">
        <v>39</v>
      </c>
      <c r="H1845" s="4"/>
      <c r="I1845" s="4"/>
      <c r="J1845" s="4"/>
    </row>
    <row r="1846" spans="1:10" x14ac:dyDescent="0.25">
      <c r="A1846" s="7" t="s">
        <v>100</v>
      </c>
      <c r="B1846" s="7">
        <f t="shared" si="425"/>
        <v>2043</v>
      </c>
      <c r="C1846" s="4" t="s">
        <v>17</v>
      </c>
      <c r="D1846" s="5" t="s">
        <v>128</v>
      </c>
      <c r="E1846" s="10" t="str">
        <f t="shared" si="421"/>
        <v>PRBNP'!</v>
      </c>
      <c r="F1846" s="5" t="str">
        <f t="shared" si="422"/>
        <v>C:\Users\jaime.benazar\Quorum Business Solutions\Ecopetrol Prometeo - Documents\Planning Space Implementation\3. Analysis &amp; Design\Design\FC22\DRR Jaime\QUIFA-CAJÚA\Cajua\[VAS_CAJUA_CF_SEC_20230125.xlsx]CF PRBNP'!</v>
      </c>
      <c r="G1846" s="7" t="s">
        <v>39</v>
      </c>
      <c r="H1846" s="4"/>
      <c r="I1846" s="4"/>
      <c r="J1846" s="4"/>
    </row>
    <row r="1847" spans="1:10" x14ac:dyDescent="0.25">
      <c r="A1847" s="7" t="s">
        <v>100</v>
      </c>
      <c r="B1847" s="7">
        <f>+B1846+1</f>
        <v>2044</v>
      </c>
      <c r="C1847" s="4" t="s">
        <v>17</v>
      </c>
      <c r="D1847" s="5" t="s">
        <v>128</v>
      </c>
      <c r="E1847" s="10" t="str">
        <f t="shared" ref="E1847:E1862" si="426">_xlfn.CONCAT(A1847,"'!")</f>
        <v>PRBNP'!</v>
      </c>
      <c r="F1847" s="5" t="str">
        <f t="shared" ref="F1847:F1862" si="427">_xlfn.CONCAT(D1847," ",E1847)</f>
        <v>C:\Users\jaime.benazar\Quorum Business Solutions\Ecopetrol Prometeo - Documents\Planning Space Implementation\3. Analysis &amp; Design\Design\FC22\DRR Jaime\QUIFA-CAJÚA\Cajua\[VAS_CAJUA_CF_SEC_20230125.xlsx]CF PRBNP'!</v>
      </c>
      <c r="G1847" s="7" t="s">
        <v>39</v>
      </c>
      <c r="H1847" s="4"/>
      <c r="I1847" s="4"/>
      <c r="J1847" s="4"/>
    </row>
    <row r="1848" spans="1:10" x14ac:dyDescent="0.25">
      <c r="A1848" s="7" t="s">
        <v>100</v>
      </c>
      <c r="B1848" s="7">
        <f t="shared" ref="B1848:B1862" si="428">+B1847+1</f>
        <v>2045</v>
      </c>
      <c r="C1848" s="4" t="s">
        <v>17</v>
      </c>
      <c r="D1848" s="5" t="s">
        <v>128</v>
      </c>
      <c r="E1848" s="10" t="str">
        <f t="shared" si="426"/>
        <v>PRBNP'!</v>
      </c>
      <c r="F1848" s="5" t="str">
        <f t="shared" si="427"/>
        <v>C:\Users\jaime.benazar\Quorum Business Solutions\Ecopetrol Prometeo - Documents\Planning Space Implementation\3. Analysis &amp; Design\Design\FC22\DRR Jaime\QUIFA-CAJÚA\Cajua\[VAS_CAJUA_CF_SEC_20230125.xlsx]CF PRBNP'!</v>
      </c>
      <c r="G1848" s="7" t="s">
        <v>39</v>
      </c>
      <c r="H1848" s="4"/>
      <c r="I1848" s="4"/>
      <c r="J1848" s="4"/>
    </row>
    <row r="1849" spans="1:10" x14ac:dyDescent="0.25">
      <c r="A1849" s="7" t="s">
        <v>100</v>
      </c>
      <c r="B1849" s="7">
        <f t="shared" si="428"/>
        <v>2046</v>
      </c>
      <c r="C1849" s="4" t="s">
        <v>17</v>
      </c>
      <c r="D1849" s="5" t="s">
        <v>128</v>
      </c>
      <c r="E1849" s="10" t="str">
        <f t="shared" si="426"/>
        <v>PRBNP'!</v>
      </c>
      <c r="F1849" s="5" t="str">
        <f t="shared" si="427"/>
        <v>C:\Users\jaime.benazar\Quorum Business Solutions\Ecopetrol Prometeo - Documents\Planning Space Implementation\3. Analysis &amp; Design\Design\FC22\DRR Jaime\QUIFA-CAJÚA\Cajua\[VAS_CAJUA_CF_SEC_20230125.xlsx]CF PRBNP'!</v>
      </c>
      <c r="G1849" s="7" t="s">
        <v>39</v>
      </c>
      <c r="H1849" s="4"/>
      <c r="I1849" s="4"/>
      <c r="J1849" s="4"/>
    </row>
    <row r="1850" spans="1:10" x14ac:dyDescent="0.25">
      <c r="A1850" s="7" t="s">
        <v>100</v>
      </c>
      <c r="B1850" s="7">
        <f t="shared" si="428"/>
        <v>2047</v>
      </c>
      <c r="C1850" s="4" t="s">
        <v>17</v>
      </c>
      <c r="D1850" s="5" t="s">
        <v>128</v>
      </c>
      <c r="E1850" s="10" t="str">
        <f t="shared" si="426"/>
        <v>PRBNP'!</v>
      </c>
      <c r="F1850" s="5" t="str">
        <f t="shared" si="427"/>
        <v>C:\Users\jaime.benazar\Quorum Business Solutions\Ecopetrol Prometeo - Documents\Planning Space Implementation\3. Analysis &amp; Design\Design\FC22\DRR Jaime\QUIFA-CAJÚA\Cajua\[VAS_CAJUA_CF_SEC_20230125.xlsx]CF PRBNP'!</v>
      </c>
      <c r="G1850" s="7" t="s">
        <v>39</v>
      </c>
      <c r="H1850" s="4"/>
      <c r="I1850" s="4"/>
      <c r="J1850" s="4"/>
    </row>
    <row r="1851" spans="1:10" x14ac:dyDescent="0.25">
      <c r="A1851" s="7" t="s">
        <v>100</v>
      </c>
      <c r="B1851" s="7">
        <f t="shared" si="428"/>
        <v>2048</v>
      </c>
      <c r="C1851" s="4" t="s">
        <v>17</v>
      </c>
      <c r="D1851" s="5" t="s">
        <v>128</v>
      </c>
      <c r="E1851" s="10" t="str">
        <f t="shared" si="426"/>
        <v>PRBNP'!</v>
      </c>
      <c r="F1851" s="5" t="str">
        <f t="shared" si="427"/>
        <v>C:\Users\jaime.benazar\Quorum Business Solutions\Ecopetrol Prometeo - Documents\Planning Space Implementation\3. Analysis &amp; Design\Design\FC22\DRR Jaime\QUIFA-CAJÚA\Cajua\[VAS_CAJUA_CF_SEC_20230125.xlsx]CF PRBNP'!</v>
      </c>
      <c r="G1851" s="7" t="s">
        <v>39</v>
      </c>
      <c r="H1851" s="4"/>
      <c r="I1851" s="4"/>
      <c r="J1851" s="4"/>
    </row>
    <row r="1852" spans="1:10" x14ac:dyDescent="0.25">
      <c r="A1852" s="7" t="s">
        <v>100</v>
      </c>
      <c r="B1852" s="7">
        <f t="shared" si="428"/>
        <v>2049</v>
      </c>
      <c r="C1852" s="4" t="s">
        <v>17</v>
      </c>
      <c r="D1852" s="5" t="s">
        <v>128</v>
      </c>
      <c r="E1852" s="10" t="str">
        <f t="shared" si="426"/>
        <v>PRBNP'!</v>
      </c>
      <c r="F1852" s="5" t="str">
        <f t="shared" si="427"/>
        <v>C:\Users\jaime.benazar\Quorum Business Solutions\Ecopetrol Prometeo - Documents\Planning Space Implementation\3. Analysis &amp; Design\Design\FC22\DRR Jaime\QUIFA-CAJÚA\Cajua\[VAS_CAJUA_CF_SEC_20230125.xlsx]CF PRBNP'!</v>
      </c>
      <c r="G1852" s="7" t="s">
        <v>39</v>
      </c>
      <c r="H1852" s="4"/>
      <c r="I1852" s="4"/>
      <c r="J1852" s="4"/>
    </row>
    <row r="1853" spans="1:10" x14ac:dyDescent="0.25">
      <c r="A1853" s="7" t="s">
        <v>100</v>
      </c>
      <c r="B1853" s="7">
        <f t="shared" si="428"/>
        <v>2050</v>
      </c>
      <c r="C1853" s="4" t="s">
        <v>17</v>
      </c>
      <c r="D1853" s="5" t="s">
        <v>128</v>
      </c>
      <c r="E1853" s="10" t="str">
        <f t="shared" si="426"/>
        <v>PRBNP'!</v>
      </c>
      <c r="F1853" s="5" t="str">
        <f t="shared" si="427"/>
        <v>C:\Users\jaime.benazar\Quorum Business Solutions\Ecopetrol Prometeo - Documents\Planning Space Implementation\3. Analysis &amp; Design\Design\FC22\DRR Jaime\QUIFA-CAJÚA\Cajua\[VAS_CAJUA_CF_SEC_20230125.xlsx]CF PRBNP'!</v>
      </c>
      <c r="G1853" s="7" t="s">
        <v>39</v>
      </c>
      <c r="H1853" s="4"/>
      <c r="I1853" s="4"/>
      <c r="J1853" s="4"/>
    </row>
    <row r="1854" spans="1:10" x14ac:dyDescent="0.25">
      <c r="A1854" s="7" t="s">
        <v>100</v>
      </c>
      <c r="B1854" s="7">
        <f t="shared" si="428"/>
        <v>2051</v>
      </c>
      <c r="C1854" s="4" t="s">
        <v>17</v>
      </c>
      <c r="D1854" s="5" t="s">
        <v>128</v>
      </c>
      <c r="E1854" s="10" t="str">
        <f t="shared" si="426"/>
        <v>PRBNP'!</v>
      </c>
      <c r="F1854" s="5" t="str">
        <f t="shared" si="427"/>
        <v>C:\Users\jaime.benazar\Quorum Business Solutions\Ecopetrol Prometeo - Documents\Planning Space Implementation\3. Analysis &amp; Design\Design\FC22\DRR Jaime\QUIFA-CAJÚA\Cajua\[VAS_CAJUA_CF_SEC_20230125.xlsx]CF PRBNP'!</v>
      </c>
      <c r="G1854" s="7" t="s">
        <v>39</v>
      </c>
      <c r="H1854" s="4"/>
      <c r="I1854" s="4"/>
      <c r="J1854" s="4"/>
    </row>
    <row r="1855" spans="1:10" x14ac:dyDescent="0.25">
      <c r="A1855" s="7" t="s">
        <v>100</v>
      </c>
      <c r="B1855" s="7">
        <f t="shared" si="428"/>
        <v>2052</v>
      </c>
      <c r="C1855" s="4" t="s">
        <v>17</v>
      </c>
      <c r="D1855" s="5" t="s">
        <v>128</v>
      </c>
      <c r="E1855" s="10" t="str">
        <f t="shared" si="426"/>
        <v>PRBNP'!</v>
      </c>
      <c r="F1855" s="5" t="str">
        <f t="shared" si="427"/>
        <v>C:\Users\jaime.benazar\Quorum Business Solutions\Ecopetrol Prometeo - Documents\Planning Space Implementation\3. Analysis &amp; Design\Design\FC22\DRR Jaime\QUIFA-CAJÚA\Cajua\[VAS_CAJUA_CF_SEC_20230125.xlsx]CF PRBNP'!</v>
      </c>
      <c r="G1855" s="7" t="s">
        <v>39</v>
      </c>
      <c r="H1855" s="4"/>
      <c r="I1855" s="4"/>
      <c r="J1855" s="4"/>
    </row>
    <row r="1856" spans="1:10" x14ac:dyDescent="0.25">
      <c r="A1856" s="7" t="s">
        <v>100</v>
      </c>
      <c r="B1856" s="7">
        <f t="shared" si="428"/>
        <v>2053</v>
      </c>
      <c r="C1856" s="4" t="s">
        <v>17</v>
      </c>
      <c r="D1856" s="5" t="s">
        <v>128</v>
      </c>
      <c r="E1856" s="10" t="str">
        <f t="shared" si="426"/>
        <v>PRBNP'!</v>
      </c>
      <c r="F1856" s="5" t="str">
        <f t="shared" si="427"/>
        <v>C:\Users\jaime.benazar\Quorum Business Solutions\Ecopetrol Prometeo - Documents\Planning Space Implementation\3. Analysis &amp; Design\Design\FC22\DRR Jaime\QUIFA-CAJÚA\Cajua\[VAS_CAJUA_CF_SEC_20230125.xlsx]CF PRBNP'!</v>
      </c>
      <c r="G1856" s="7" t="s">
        <v>39</v>
      </c>
      <c r="H1856" s="4"/>
      <c r="I1856" s="4"/>
      <c r="J1856" s="4"/>
    </row>
    <row r="1857" spans="1:10" x14ac:dyDescent="0.25">
      <c r="A1857" s="7" t="s">
        <v>100</v>
      </c>
      <c r="B1857" s="7">
        <f t="shared" si="428"/>
        <v>2054</v>
      </c>
      <c r="C1857" s="4" t="s">
        <v>17</v>
      </c>
      <c r="D1857" s="5" t="s">
        <v>128</v>
      </c>
      <c r="E1857" s="10" t="str">
        <f t="shared" si="426"/>
        <v>PRBNP'!</v>
      </c>
      <c r="F1857" s="5" t="str">
        <f t="shared" si="427"/>
        <v>C:\Users\jaime.benazar\Quorum Business Solutions\Ecopetrol Prometeo - Documents\Planning Space Implementation\3. Analysis &amp; Design\Design\FC22\DRR Jaime\QUIFA-CAJÚA\Cajua\[VAS_CAJUA_CF_SEC_20230125.xlsx]CF PRBNP'!</v>
      </c>
      <c r="G1857" s="7" t="s">
        <v>39</v>
      </c>
      <c r="H1857" s="4"/>
      <c r="I1857" s="4"/>
      <c r="J1857" s="4"/>
    </row>
    <row r="1858" spans="1:10" x14ac:dyDescent="0.25">
      <c r="A1858" s="7" t="s">
        <v>100</v>
      </c>
      <c r="B1858" s="7">
        <f t="shared" si="428"/>
        <v>2055</v>
      </c>
      <c r="C1858" s="4" t="s">
        <v>17</v>
      </c>
      <c r="D1858" s="5" t="s">
        <v>128</v>
      </c>
      <c r="E1858" s="10" t="str">
        <f t="shared" si="426"/>
        <v>PRBNP'!</v>
      </c>
      <c r="F1858" s="5" t="str">
        <f t="shared" si="427"/>
        <v>C:\Users\jaime.benazar\Quorum Business Solutions\Ecopetrol Prometeo - Documents\Planning Space Implementation\3. Analysis &amp; Design\Design\FC22\DRR Jaime\QUIFA-CAJÚA\Cajua\[VAS_CAJUA_CF_SEC_20230125.xlsx]CF PRBNP'!</v>
      </c>
      <c r="G1858" s="7" t="s">
        <v>39</v>
      </c>
      <c r="H1858" s="4"/>
      <c r="I1858" s="4"/>
      <c r="J1858" s="4"/>
    </row>
    <row r="1859" spans="1:10" x14ac:dyDescent="0.25">
      <c r="A1859" s="7" t="s">
        <v>100</v>
      </c>
      <c r="B1859" s="7">
        <f t="shared" si="428"/>
        <v>2056</v>
      </c>
      <c r="C1859" s="4" t="s">
        <v>17</v>
      </c>
      <c r="D1859" s="5" t="s">
        <v>128</v>
      </c>
      <c r="E1859" s="10" t="str">
        <f t="shared" si="426"/>
        <v>PRBNP'!</v>
      </c>
      <c r="F1859" s="5" t="str">
        <f t="shared" si="427"/>
        <v>C:\Users\jaime.benazar\Quorum Business Solutions\Ecopetrol Prometeo - Documents\Planning Space Implementation\3. Analysis &amp; Design\Design\FC22\DRR Jaime\QUIFA-CAJÚA\Cajua\[VAS_CAJUA_CF_SEC_20230125.xlsx]CF PRBNP'!</v>
      </c>
      <c r="G1859" s="7" t="s">
        <v>39</v>
      </c>
      <c r="H1859" s="4"/>
      <c r="I1859" s="4"/>
      <c r="J1859" s="4"/>
    </row>
    <row r="1860" spans="1:10" x14ac:dyDescent="0.25">
      <c r="A1860" s="7" t="s">
        <v>100</v>
      </c>
      <c r="B1860" s="7">
        <f t="shared" si="428"/>
        <v>2057</v>
      </c>
      <c r="C1860" s="4" t="s">
        <v>17</v>
      </c>
      <c r="D1860" s="5" t="s">
        <v>128</v>
      </c>
      <c r="E1860" s="10" t="str">
        <f t="shared" si="426"/>
        <v>PRBNP'!</v>
      </c>
      <c r="F1860" s="5" t="str">
        <f t="shared" si="427"/>
        <v>C:\Users\jaime.benazar\Quorum Business Solutions\Ecopetrol Prometeo - Documents\Planning Space Implementation\3. Analysis &amp; Design\Design\FC22\DRR Jaime\QUIFA-CAJÚA\Cajua\[VAS_CAJUA_CF_SEC_20230125.xlsx]CF PRBNP'!</v>
      </c>
      <c r="G1860" s="7" t="s">
        <v>39</v>
      </c>
      <c r="H1860" s="4"/>
      <c r="I1860" s="4"/>
      <c r="J1860" s="4"/>
    </row>
    <row r="1861" spans="1:10" x14ac:dyDescent="0.25">
      <c r="A1861" s="7" t="s">
        <v>100</v>
      </c>
      <c r="B1861" s="7">
        <f t="shared" si="428"/>
        <v>2058</v>
      </c>
      <c r="C1861" s="4" t="s">
        <v>17</v>
      </c>
      <c r="D1861" s="5" t="s">
        <v>128</v>
      </c>
      <c r="E1861" s="10" t="str">
        <f t="shared" si="426"/>
        <v>PRBNP'!</v>
      </c>
      <c r="F1861" s="5" t="str">
        <f t="shared" si="427"/>
        <v>C:\Users\jaime.benazar\Quorum Business Solutions\Ecopetrol Prometeo - Documents\Planning Space Implementation\3. Analysis &amp; Design\Design\FC22\DRR Jaime\QUIFA-CAJÚA\Cajua\[VAS_CAJUA_CF_SEC_20230125.xlsx]CF PRBNP'!</v>
      </c>
      <c r="G1861" s="7" t="s">
        <v>39</v>
      </c>
      <c r="H1861" s="4"/>
      <c r="I1861" s="4"/>
      <c r="J1861" s="4"/>
    </row>
    <row r="1862" spans="1:10" x14ac:dyDescent="0.25">
      <c r="A1862" s="7" t="s">
        <v>100</v>
      </c>
      <c r="B1862" s="7">
        <f t="shared" si="428"/>
        <v>2059</v>
      </c>
      <c r="C1862" s="4" t="s">
        <v>17</v>
      </c>
      <c r="D1862" s="5" t="s">
        <v>128</v>
      </c>
      <c r="E1862" s="10" t="str">
        <f t="shared" si="426"/>
        <v>PRBNP'!</v>
      </c>
      <c r="F1862" s="5" t="str">
        <f t="shared" si="427"/>
        <v>C:\Users\jaime.benazar\Quorum Business Solutions\Ecopetrol Prometeo - Documents\Planning Space Implementation\3. Analysis &amp; Design\Design\FC22\DRR Jaime\QUIFA-CAJÚA\Cajua\[VAS_CAJUA_CF_SEC_20230125.xlsx]CF PRBNP'!</v>
      </c>
      <c r="G1862" s="7" t="s">
        <v>39</v>
      </c>
      <c r="H1862" s="4"/>
      <c r="I1862" s="4"/>
      <c r="J1862" s="4"/>
    </row>
    <row r="1863" spans="1:10" x14ac:dyDescent="0.25">
      <c r="A1863" s="7" t="s">
        <v>28</v>
      </c>
      <c r="B1863" s="7"/>
      <c r="C1863" s="4" t="s">
        <v>17</v>
      </c>
      <c r="D1863" s="5"/>
      <c r="E1863" s="10"/>
      <c r="F1863" s="5"/>
      <c r="G1863" s="7"/>
      <c r="H1863" s="4"/>
      <c r="I1863" s="4"/>
      <c r="J1863" s="4"/>
    </row>
    <row r="1864" spans="1:10" x14ac:dyDescent="0.25">
      <c r="A1864" s="7" t="s">
        <v>101</v>
      </c>
      <c r="B1864" s="7">
        <v>2023</v>
      </c>
      <c r="C1864" s="4" t="s">
        <v>17</v>
      </c>
      <c r="D1864" s="5" t="s">
        <v>128</v>
      </c>
      <c r="E1864" s="10" t="str">
        <f t="shared" ref="E1864:E1884" si="429">_xlfn.CONCAT(A1864,"'!")</f>
        <v>PRBND'!</v>
      </c>
      <c r="F1864" s="5" t="str">
        <f t="shared" ref="F1864:F1884" si="430">_xlfn.CONCAT(D1864," ",E1864)</f>
        <v>C:\Users\jaime.benazar\Quorum Business Solutions\Ecopetrol Prometeo - Documents\Planning Space Implementation\3. Analysis &amp; Design\Design\FC22\DRR Jaime\QUIFA-CAJÚA\Cajua\[VAS_CAJUA_CF_SEC_20230125.xlsx]CF PRBND'!</v>
      </c>
      <c r="G1864" s="7" t="s">
        <v>39</v>
      </c>
      <c r="H1864" s="4"/>
      <c r="I1864" s="4"/>
      <c r="J1864" s="4"/>
    </row>
    <row r="1865" spans="1:10" x14ac:dyDescent="0.25">
      <c r="A1865" s="7" t="s">
        <v>101</v>
      </c>
      <c r="B1865" s="7">
        <f>+B1864+1</f>
        <v>2024</v>
      </c>
      <c r="C1865" s="4" t="s">
        <v>17</v>
      </c>
      <c r="D1865" s="5" t="s">
        <v>128</v>
      </c>
      <c r="E1865" s="10" t="str">
        <f t="shared" si="429"/>
        <v>PRBND'!</v>
      </c>
      <c r="F1865" s="5" t="str">
        <f t="shared" si="430"/>
        <v>C:\Users\jaime.benazar\Quorum Business Solutions\Ecopetrol Prometeo - Documents\Planning Space Implementation\3. Analysis &amp; Design\Design\FC22\DRR Jaime\QUIFA-CAJÚA\Cajua\[VAS_CAJUA_CF_SEC_20230125.xlsx]CF PRBND'!</v>
      </c>
      <c r="G1865" s="7" t="s">
        <v>39</v>
      </c>
      <c r="H1865" s="4"/>
      <c r="I1865" s="4"/>
      <c r="J1865" s="4"/>
    </row>
    <row r="1866" spans="1:10" x14ac:dyDescent="0.25">
      <c r="A1866" s="7" t="s">
        <v>101</v>
      </c>
      <c r="B1866" s="7">
        <f t="shared" ref="B1866:B1877" si="431">+B1865+1</f>
        <v>2025</v>
      </c>
      <c r="C1866" s="4" t="s">
        <v>17</v>
      </c>
      <c r="D1866" s="5" t="s">
        <v>128</v>
      </c>
      <c r="E1866" s="10" t="str">
        <f t="shared" si="429"/>
        <v>PRBND'!</v>
      </c>
      <c r="F1866" s="5" t="str">
        <f t="shared" si="430"/>
        <v>C:\Users\jaime.benazar\Quorum Business Solutions\Ecopetrol Prometeo - Documents\Planning Space Implementation\3. Analysis &amp; Design\Design\FC22\DRR Jaime\QUIFA-CAJÚA\Cajua\[VAS_CAJUA_CF_SEC_20230125.xlsx]CF PRBND'!</v>
      </c>
      <c r="G1866" s="7" t="s">
        <v>39</v>
      </c>
      <c r="H1866" s="4"/>
      <c r="I1866" s="4"/>
      <c r="J1866" s="4"/>
    </row>
    <row r="1867" spans="1:10" x14ac:dyDescent="0.25">
      <c r="A1867" s="7" t="s">
        <v>101</v>
      </c>
      <c r="B1867" s="7">
        <f t="shared" si="431"/>
        <v>2026</v>
      </c>
      <c r="C1867" s="4" t="s">
        <v>17</v>
      </c>
      <c r="D1867" s="5" t="s">
        <v>128</v>
      </c>
      <c r="E1867" s="10" t="str">
        <f t="shared" si="429"/>
        <v>PRBND'!</v>
      </c>
      <c r="F1867" s="5" t="str">
        <f t="shared" si="430"/>
        <v>C:\Users\jaime.benazar\Quorum Business Solutions\Ecopetrol Prometeo - Documents\Planning Space Implementation\3. Analysis &amp; Design\Design\FC22\DRR Jaime\QUIFA-CAJÚA\Cajua\[VAS_CAJUA_CF_SEC_20230125.xlsx]CF PRBND'!</v>
      </c>
      <c r="G1867" s="7" t="s">
        <v>39</v>
      </c>
      <c r="H1867" s="4"/>
      <c r="I1867" s="4"/>
      <c r="J1867" s="4"/>
    </row>
    <row r="1868" spans="1:10" x14ac:dyDescent="0.25">
      <c r="A1868" s="7" t="s">
        <v>101</v>
      </c>
      <c r="B1868" s="7">
        <f t="shared" si="431"/>
        <v>2027</v>
      </c>
      <c r="C1868" s="4" t="s">
        <v>17</v>
      </c>
      <c r="D1868" s="5" t="s">
        <v>128</v>
      </c>
      <c r="E1868" s="10" t="str">
        <f t="shared" si="429"/>
        <v>PRBND'!</v>
      </c>
      <c r="F1868" s="5" t="str">
        <f t="shared" si="430"/>
        <v>C:\Users\jaime.benazar\Quorum Business Solutions\Ecopetrol Prometeo - Documents\Planning Space Implementation\3. Analysis &amp; Design\Design\FC22\DRR Jaime\QUIFA-CAJÚA\Cajua\[VAS_CAJUA_CF_SEC_20230125.xlsx]CF PRBND'!</v>
      </c>
      <c r="G1868" s="7" t="s">
        <v>39</v>
      </c>
      <c r="H1868" s="4"/>
      <c r="I1868" s="4"/>
      <c r="J1868" s="4"/>
    </row>
    <row r="1869" spans="1:10" x14ac:dyDescent="0.25">
      <c r="A1869" s="7" t="s">
        <v>101</v>
      </c>
      <c r="B1869" s="7">
        <f t="shared" si="431"/>
        <v>2028</v>
      </c>
      <c r="C1869" s="4" t="s">
        <v>17</v>
      </c>
      <c r="D1869" s="5" t="s">
        <v>128</v>
      </c>
      <c r="E1869" s="10" t="str">
        <f t="shared" si="429"/>
        <v>PRBND'!</v>
      </c>
      <c r="F1869" s="5" t="str">
        <f t="shared" si="430"/>
        <v>C:\Users\jaime.benazar\Quorum Business Solutions\Ecopetrol Prometeo - Documents\Planning Space Implementation\3. Analysis &amp; Design\Design\FC22\DRR Jaime\QUIFA-CAJÚA\Cajua\[VAS_CAJUA_CF_SEC_20230125.xlsx]CF PRBND'!</v>
      </c>
      <c r="G1869" s="7" t="s">
        <v>39</v>
      </c>
      <c r="H1869" s="4"/>
      <c r="I1869" s="4"/>
      <c r="J1869" s="4"/>
    </row>
    <row r="1870" spans="1:10" x14ac:dyDescent="0.25">
      <c r="A1870" s="7" t="s">
        <v>101</v>
      </c>
      <c r="B1870" s="7">
        <f t="shared" si="431"/>
        <v>2029</v>
      </c>
      <c r="C1870" s="4" t="s">
        <v>17</v>
      </c>
      <c r="D1870" s="5" t="s">
        <v>128</v>
      </c>
      <c r="E1870" s="10" t="str">
        <f t="shared" si="429"/>
        <v>PRBND'!</v>
      </c>
      <c r="F1870" s="5" t="str">
        <f t="shared" si="430"/>
        <v>C:\Users\jaime.benazar\Quorum Business Solutions\Ecopetrol Prometeo - Documents\Planning Space Implementation\3. Analysis &amp; Design\Design\FC22\DRR Jaime\QUIFA-CAJÚA\Cajua\[VAS_CAJUA_CF_SEC_20230125.xlsx]CF PRBND'!</v>
      </c>
      <c r="G1870" s="7" t="s">
        <v>39</v>
      </c>
      <c r="H1870" s="4"/>
      <c r="I1870" s="4"/>
      <c r="J1870" s="4"/>
    </row>
    <row r="1871" spans="1:10" x14ac:dyDescent="0.25">
      <c r="A1871" s="7" t="s">
        <v>101</v>
      </c>
      <c r="B1871" s="7">
        <f t="shared" si="431"/>
        <v>2030</v>
      </c>
      <c r="C1871" s="4" t="s">
        <v>17</v>
      </c>
      <c r="D1871" s="5" t="s">
        <v>128</v>
      </c>
      <c r="E1871" s="10" t="str">
        <f t="shared" si="429"/>
        <v>PRBND'!</v>
      </c>
      <c r="F1871" s="5" t="str">
        <f t="shared" si="430"/>
        <v>C:\Users\jaime.benazar\Quorum Business Solutions\Ecopetrol Prometeo - Documents\Planning Space Implementation\3. Analysis &amp; Design\Design\FC22\DRR Jaime\QUIFA-CAJÚA\Cajua\[VAS_CAJUA_CF_SEC_20230125.xlsx]CF PRBND'!</v>
      </c>
      <c r="G1871" s="7" t="s">
        <v>39</v>
      </c>
      <c r="H1871" s="4"/>
      <c r="I1871" s="4"/>
      <c r="J1871" s="4"/>
    </row>
    <row r="1872" spans="1:10" x14ac:dyDescent="0.25">
      <c r="A1872" s="7" t="s">
        <v>101</v>
      </c>
      <c r="B1872" s="7">
        <f t="shared" si="431"/>
        <v>2031</v>
      </c>
      <c r="C1872" s="4" t="s">
        <v>17</v>
      </c>
      <c r="D1872" s="5" t="s">
        <v>128</v>
      </c>
      <c r="E1872" s="10" t="str">
        <f t="shared" si="429"/>
        <v>PRBND'!</v>
      </c>
      <c r="F1872" s="5" t="str">
        <f t="shared" si="430"/>
        <v>C:\Users\jaime.benazar\Quorum Business Solutions\Ecopetrol Prometeo - Documents\Planning Space Implementation\3. Analysis &amp; Design\Design\FC22\DRR Jaime\QUIFA-CAJÚA\Cajua\[VAS_CAJUA_CF_SEC_20230125.xlsx]CF PRBND'!</v>
      </c>
      <c r="G1872" s="7" t="s">
        <v>39</v>
      </c>
      <c r="H1872" s="4"/>
      <c r="I1872" s="4"/>
      <c r="J1872" s="4"/>
    </row>
    <row r="1873" spans="1:10" x14ac:dyDescent="0.25">
      <c r="A1873" s="7" t="s">
        <v>101</v>
      </c>
      <c r="B1873" s="7">
        <f t="shared" si="431"/>
        <v>2032</v>
      </c>
      <c r="C1873" s="4" t="s">
        <v>17</v>
      </c>
      <c r="D1873" s="5" t="s">
        <v>128</v>
      </c>
      <c r="E1873" s="10" t="str">
        <f t="shared" si="429"/>
        <v>PRBND'!</v>
      </c>
      <c r="F1873" s="5" t="str">
        <f t="shared" si="430"/>
        <v>C:\Users\jaime.benazar\Quorum Business Solutions\Ecopetrol Prometeo - Documents\Planning Space Implementation\3. Analysis &amp; Design\Design\FC22\DRR Jaime\QUIFA-CAJÚA\Cajua\[VAS_CAJUA_CF_SEC_20230125.xlsx]CF PRBND'!</v>
      </c>
      <c r="G1873" s="7" t="s">
        <v>39</v>
      </c>
      <c r="H1873" s="4"/>
      <c r="I1873" s="4"/>
      <c r="J1873" s="4"/>
    </row>
    <row r="1874" spans="1:10" x14ac:dyDescent="0.25">
      <c r="A1874" s="7" t="s">
        <v>101</v>
      </c>
      <c r="B1874" s="7">
        <f t="shared" si="431"/>
        <v>2033</v>
      </c>
      <c r="C1874" s="4" t="s">
        <v>17</v>
      </c>
      <c r="D1874" s="5" t="s">
        <v>128</v>
      </c>
      <c r="E1874" s="10" t="str">
        <f t="shared" si="429"/>
        <v>PRBND'!</v>
      </c>
      <c r="F1874" s="5" t="str">
        <f t="shared" si="430"/>
        <v>C:\Users\jaime.benazar\Quorum Business Solutions\Ecopetrol Prometeo - Documents\Planning Space Implementation\3. Analysis &amp; Design\Design\FC22\DRR Jaime\QUIFA-CAJÚA\Cajua\[VAS_CAJUA_CF_SEC_20230125.xlsx]CF PRBND'!</v>
      </c>
      <c r="G1874" s="7" t="s">
        <v>39</v>
      </c>
      <c r="H1874" s="4"/>
      <c r="I1874" s="4"/>
      <c r="J1874" s="4"/>
    </row>
    <row r="1875" spans="1:10" x14ac:dyDescent="0.25">
      <c r="A1875" s="7" t="s">
        <v>101</v>
      </c>
      <c r="B1875" s="7">
        <f t="shared" si="431"/>
        <v>2034</v>
      </c>
      <c r="C1875" s="4" t="s">
        <v>17</v>
      </c>
      <c r="D1875" s="5" t="s">
        <v>128</v>
      </c>
      <c r="E1875" s="10" t="str">
        <f t="shared" si="429"/>
        <v>PRBND'!</v>
      </c>
      <c r="F1875" s="5" t="str">
        <f t="shared" si="430"/>
        <v>C:\Users\jaime.benazar\Quorum Business Solutions\Ecopetrol Prometeo - Documents\Planning Space Implementation\3. Analysis &amp; Design\Design\FC22\DRR Jaime\QUIFA-CAJÚA\Cajua\[VAS_CAJUA_CF_SEC_20230125.xlsx]CF PRBND'!</v>
      </c>
      <c r="G1875" s="7" t="s">
        <v>39</v>
      </c>
      <c r="H1875" s="4"/>
      <c r="I1875" s="4"/>
      <c r="J1875" s="4"/>
    </row>
    <row r="1876" spans="1:10" x14ac:dyDescent="0.25">
      <c r="A1876" s="7" t="s">
        <v>101</v>
      </c>
      <c r="B1876" s="7">
        <f t="shared" si="431"/>
        <v>2035</v>
      </c>
      <c r="C1876" s="4" t="s">
        <v>17</v>
      </c>
      <c r="D1876" s="5" t="s">
        <v>128</v>
      </c>
      <c r="E1876" s="10" t="str">
        <f t="shared" si="429"/>
        <v>PRBND'!</v>
      </c>
      <c r="F1876" s="5" t="str">
        <f t="shared" si="430"/>
        <v>C:\Users\jaime.benazar\Quorum Business Solutions\Ecopetrol Prometeo - Documents\Planning Space Implementation\3. Analysis &amp; Design\Design\FC22\DRR Jaime\QUIFA-CAJÚA\Cajua\[VAS_CAJUA_CF_SEC_20230125.xlsx]CF PRBND'!</v>
      </c>
      <c r="G1876" s="7" t="s">
        <v>39</v>
      </c>
      <c r="H1876" s="4"/>
      <c r="I1876" s="4"/>
      <c r="J1876" s="4"/>
    </row>
    <row r="1877" spans="1:10" x14ac:dyDescent="0.25">
      <c r="A1877" s="7" t="s">
        <v>101</v>
      </c>
      <c r="B1877" s="7">
        <f t="shared" si="431"/>
        <v>2036</v>
      </c>
      <c r="C1877" s="4" t="s">
        <v>17</v>
      </c>
      <c r="D1877" s="5" t="s">
        <v>128</v>
      </c>
      <c r="E1877" s="10" t="str">
        <f t="shared" si="429"/>
        <v>PRBND'!</v>
      </c>
      <c r="F1877" s="5" t="str">
        <f t="shared" si="430"/>
        <v>C:\Users\jaime.benazar\Quorum Business Solutions\Ecopetrol Prometeo - Documents\Planning Space Implementation\3. Analysis &amp; Design\Design\FC22\DRR Jaime\QUIFA-CAJÚA\Cajua\[VAS_CAJUA_CF_SEC_20230125.xlsx]CF PRBND'!</v>
      </c>
      <c r="G1877" s="7" t="s">
        <v>39</v>
      </c>
      <c r="H1877" s="4"/>
      <c r="I1877" s="4"/>
      <c r="J1877" s="4"/>
    </row>
    <row r="1878" spans="1:10" x14ac:dyDescent="0.25">
      <c r="A1878" s="7" t="s">
        <v>101</v>
      </c>
      <c r="B1878" s="7">
        <f>+B1877+1</f>
        <v>2037</v>
      </c>
      <c r="C1878" s="4" t="s">
        <v>17</v>
      </c>
      <c r="D1878" s="5" t="s">
        <v>128</v>
      </c>
      <c r="E1878" s="10" t="str">
        <f t="shared" si="429"/>
        <v>PRBND'!</v>
      </c>
      <c r="F1878" s="5" t="str">
        <f t="shared" si="430"/>
        <v>C:\Users\jaime.benazar\Quorum Business Solutions\Ecopetrol Prometeo - Documents\Planning Space Implementation\3. Analysis &amp; Design\Design\FC22\DRR Jaime\QUIFA-CAJÚA\Cajua\[VAS_CAJUA_CF_SEC_20230125.xlsx]CF PRBND'!</v>
      </c>
      <c r="G1878" s="7" t="s">
        <v>39</v>
      </c>
      <c r="H1878" s="4"/>
      <c r="I1878" s="4"/>
      <c r="J1878" s="4"/>
    </row>
    <row r="1879" spans="1:10" x14ac:dyDescent="0.25">
      <c r="A1879" s="7" t="s">
        <v>101</v>
      </c>
      <c r="B1879" s="7">
        <f t="shared" ref="B1879:B1881" si="432">+B1878+1</f>
        <v>2038</v>
      </c>
      <c r="C1879" s="4" t="s">
        <v>17</v>
      </c>
      <c r="D1879" s="5" t="s">
        <v>128</v>
      </c>
      <c r="E1879" s="10" t="str">
        <f t="shared" si="429"/>
        <v>PRBND'!</v>
      </c>
      <c r="F1879" s="5" t="str">
        <f t="shared" si="430"/>
        <v>C:\Users\jaime.benazar\Quorum Business Solutions\Ecopetrol Prometeo - Documents\Planning Space Implementation\3. Analysis &amp; Design\Design\FC22\DRR Jaime\QUIFA-CAJÚA\Cajua\[VAS_CAJUA_CF_SEC_20230125.xlsx]CF PRBND'!</v>
      </c>
      <c r="G1879" s="7" t="s">
        <v>39</v>
      </c>
      <c r="H1879" s="4"/>
      <c r="I1879" s="4"/>
      <c r="J1879" s="4"/>
    </row>
    <row r="1880" spans="1:10" x14ac:dyDescent="0.25">
      <c r="A1880" s="7" t="s">
        <v>101</v>
      </c>
      <c r="B1880" s="7">
        <f t="shared" si="432"/>
        <v>2039</v>
      </c>
      <c r="C1880" s="4" t="s">
        <v>17</v>
      </c>
      <c r="D1880" s="5" t="s">
        <v>128</v>
      </c>
      <c r="E1880" s="10" t="str">
        <f t="shared" si="429"/>
        <v>PRBND'!</v>
      </c>
      <c r="F1880" s="5" t="str">
        <f t="shared" si="430"/>
        <v>C:\Users\jaime.benazar\Quorum Business Solutions\Ecopetrol Prometeo - Documents\Planning Space Implementation\3. Analysis &amp; Design\Design\FC22\DRR Jaime\QUIFA-CAJÚA\Cajua\[VAS_CAJUA_CF_SEC_20230125.xlsx]CF PRBND'!</v>
      </c>
      <c r="G1880" s="7" t="s">
        <v>39</v>
      </c>
      <c r="H1880" s="4"/>
      <c r="I1880" s="4"/>
      <c r="J1880" s="4"/>
    </row>
    <row r="1881" spans="1:10" x14ac:dyDescent="0.25">
      <c r="A1881" s="7" t="s">
        <v>101</v>
      </c>
      <c r="B1881" s="7">
        <f t="shared" si="432"/>
        <v>2040</v>
      </c>
      <c r="C1881" s="4" t="s">
        <v>17</v>
      </c>
      <c r="D1881" s="5" t="s">
        <v>128</v>
      </c>
      <c r="E1881" s="10" t="str">
        <f t="shared" si="429"/>
        <v>PRBND'!</v>
      </c>
      <c r="F1881" s="5" t="str">
        <f t="shared" si="430"/>
        <v>C:\Users\jaime.benazar\Quorum Business Solutions\Ecopetrol Prometeo - Documents\Planning Space Implementation\3. Analysis &amp; Design\Design\FC22\DRR Jaime\QUIFA-CAJÚA\Cajua\[VAS_CAJUA_CF_SEC_20230125.xlsx]CF PRBND'!</v>
      </c>
      <c r="G1881" s="7" t="s">
        <v>39</v>
      </c>
      <c r="H1881" s="4"/>
      <c r="I1881" s="4"/>
      <c r="J1881" s="4"/>
    </row>
    <row r="1882" spans="1:10" x14ac:dyDescent="0.25">
      <c r="A1882" s="7" t="s">
        <v>101</v>
      </c>
      <c r="B1882" s="7">
        <f>+B1881+1</f>
        <v>2041</v>
      </c>
      <c r="C1882" s="4" t="s">
        <v>17</v>
      </c>
      <c r="D1882" s="5" t="s">
        <v>128</v>
      </c>
      <c r="E1882" s="10" t="str">
        <f t="shared" si="429"/>
        <v>PRBND'!</v>
      </c>
      <c r="F1882" s="5" t="str">
        <f t="shared" si="430"/>
        <v>C:\Users\jaime.benazar\Quorum Business Solutions\Ecopetrol Prometeo - Documents\Planning Space Implementation\3. Analysis &amp; Design\Design\FC22\DRR Jaime\QUIFA-CAJÚA\Cajua\[VAS_CAJUA_CF_SEC_20230125.xlsx]CF PRBND'!</v>
      </c>
      <c r="G1882" s="7" t="s">
        <v>39</v>
      </c>
      <c r="H1882" s="4"/>
      <c r="I1882" s="4"/>
      <c r="J1882" s="4"/>
    </row>
    <row r="1883" spans="1:10" x14ac:dyDescent="0.25">
      <c r="A1883" s="7" t="s">
        <v>101</v>
      </c>
      <c r="B1883" s="7">
        <f t="shared" ref="B1883:B1884" si="433">+B1882+1</f>
        <v>2042</v>
      </c>
      <c r="C1883" s="4" t="s">
        <v>17</v>
      </c>
      <c r="D1883" s="5" t="s">
        <v>128</v>
      </c>
      <c r="E1883" s="10" t="str">
        <f t="shared" si="429"/>
        <v>PRBND'!</v>
      </c>
      <c r="F1883" s="5" t="str">
        <f t="shared" si="430"/>
        <v>C:\Users\jaime.benazar\Quorum Business Solutions\Ecopetrol Prometeo - Documents\Planning Space Implementation\3. Analysis &amp; Design\Design\FC22\DRR Jaime\QUIFA-CAJÚA\Cajua\[VAS_CAJUA_CF_SEC_20230125.xlsx]CF PRBND'!</v>
      </c>
      <c r="G1883" s="7" t="s">
        <v>39</v>
      </c>
      <c r="H1883" s="4"/>
      <c r="I1883" s="4"/>
      <c r="J1883" s="4"/>
    </row>
    <row r="1884" spans="1:10" x14ac:dyDescent="0.25">
      <c r="A1884" s="7" t="s">
        <v>101</v>
      </c>
      <c r="B1884" s="7">
        <f t="shared" si="433"/>
        <v>2043</v>
      </c>
      <c r="C1884" s="4" t="s">
        <v>17</v>
      </c>
      <c r="D1884" s="5" t="s">
        <v>128</v>
      </c>
      <c r="E1884" s="10" t="str">
        <f t="shared" si="429"/>
        <v>PRBND'!</v>
      </c>
      <c r="F1884" s="5" t="str">
        <f t="shared" si="430"/>
        <v>C:\Users\jaime.benazar\Quorum Business Solutions\Ecopetrol Prometeo - Documents\Planning Space Implementation\3. Analysis &amp; Design\Design\FC22\DRR Jaime\QUIFA-CAJÚA\Cajua\[VAS_CAJUA_CF_SEC_20230125.xlsx]CF PRBND'!</v>
      </c>
      <c r="G1884" s="7" t="s">
        <v>39</v>
      </c>
      <c r="H1884" s="4"/>
      <c r="I1884" s="4"/>
      <c r="J1884" s="4"/>
    </row>
    <row r="1885" spans="1:10" x14ac:dyDescent="0.25">
      <c r="A1885" s="7" t="s">
        <v>101</v>
      </c>
      <c r="B1885" s="7">
        <f>+B1884+1</f>
        <v>2044</v>
      </c>
      <c r="C1885" s="4" t="s">
        <v>17</v>
      </c>
      <c r="D1885" s="5" t="s">
        <v>128</v>
      </c>
      <c r="E1885" s="10" t="str">
        <f t="shared" ref="E1885:E1900" si="434">_xlfn.CONCAT(A1885,"'!")</f>
        <v>PRBND'!</v>
      </c>
      <c r="F1885" s="5" t="str">
        <f t="shared" ref="F1885:F1900" si="435">_xlfn.CONCAT(D1885," ",E1885)</f>
        <v>C:\Users\jaime.benazar\Quorum Business Solutions\Ecopetrol Prometeo - Documents\Planning Space Implementation\3. Analysis &amp; Design\Design\FC22\DRR Jaime\QUIFA-CAJÚA\Cajua\[VAS_CAJUA_CF_SEC_20230125.xlsx]CF PRBND'!</v>
      </c>
      <c r="G1885" s="7" t="s">
        <v>39</v>
      </c>
      <c r="H1885" s="4"/>
      <c r="I1885" s="4"/>
      <c r="J1885" s="4"/>
    </row>
    <row r="1886" spans="1:10" x14ac:dyDescent="0.25">
      <c r="A1886" s="7" t="s">
        <v>101</v>
      </c>
      <c r="B1886" s="7">
        <f t="shared" ref="B1886:B1900" si="436">+B1885+1</f>
        <v>2045</v>
      </c>
      <c r="C1886" s="4" t="s">
        <v>17</v>
      </c>
      <c r="D1886" s="5" t="s">
        <v>128</v>
      </c>
      <c r="E1886" s="10" t="str">
        <f t="shared" si="434"/>
        <v>PRBND'!</v>
      </c>
      <c r="F1886" s="5" t="str">
        <f t="shared" si="435"/>
        <v>C:\Users\jaime.benazar\Quorum Business Solutions\Ecopetrol Prometeo - Documents\Planning Space Implementation\3. Analysis &amp; Design\Design\FC22\DRR Jaime\QUIFA-CAJÚA\Cajua\[VAS_CAJUA_CF_SEC_20230125.xlsx]CF PRBND'!</v>
      </c>
      <c r="G1886" s="7" t="s">
        <v>39</v>
      </c>
      <c r="H1886" s="4"/>
      <c r="I1886" s="4"/>
      <c r="J1886" s="4"/>
    </row>
    <row r="1887" spans="1:10" x14ac:dyDescent="0.25">
      <c r="A1887" s="7" t="s">
        <v>101</v>
      </c>
      <c r="B1887" s="7">
        <f t="shared" si="436"/>
        <v>2046</v>
      </c>
      <c r="C1887" s="4" t="s">
        <v>17</v>
      </c>
      <c r="D1887" s="5" t="s">
        <v>128</v>
      </c>
      <c r="E1887" s="10" t="str">
        <f t="shared" si="434"/>
        <v>PRBND'!</v>
      </c>
      <c r="F1887" s="5" t="str">
        <f t="shared" si="435"/>
        <v>C:\Users\jaime.benazar\Quorum Business Solutions\Ecopetrol Prometeo - Documents\Planning Space Implementation\3. Analysis &amp; Design\Design\FC22\DRR Jaime\QUIFA-CAJÚA\Cajua\[VAS_CAJUA_CF_SEC_20230125.xlsx]CF PRBND'!</v>
      </c>
      <c r="G1887" s="7" t="s">
        <v>39</v>
      </c>
      <c r="H1887" s="4"/>
      <c r="I1887" s="4"/>
      <c r="J1887" s="4"/>
    </row>
    <row r="1888" spans="1:10" x14ac:dyDescent="0.25">
      <c r="A1888" s="7" t="s">
        <v>101</v>
      </c>
      <c r="B1888" s="7">
        <f t="shared" si="436"/>
        <v>2047</v>
      </c>
      <c r="C1888" s="4" t="s">
        <v>17</v>
      </c>
      <c r="D1888" s="5" t="s">
        <v>128</v>
      </c>
      <c r="E1888" s="10" t="str">
        <f t="shared" si="434"/>
        <v>PRBND'!</v>
      </c>
      <c r="F1888" s="5" t="str">
        <f t="shared" si="435"/>
        <v>C:\Users\jaime.benazar\Quorum Business Solutions\Ecopetrol Prometeo - Documents\Planning Space Implementation\3. Analysis &amp; Design\Design\FC22\DRR Jaime\QUIFA-CAJÚA\Cajua\[VAS_CAJUA_CF_SEC_20230125.xlsx]CF PRBND'!</v>
      </c>
      <c r="G1888" s="7" t="s">
        <v>39</v>
      </c>
      <c r="H1888" s="4"/>
      <c r="I1888" s="4"/>
      <c r="J1888" s="4"/>
    </row>
    <row r="1889" spans="1:10" x14ac:dyDescent="0.25">
      <c r="A1889" s="7" t="s">
        <v>101</v>
      </c>
      <c r="B1889" s="7">
        <f t="shared" si="436"/>
        <v>2048</v>
      </c>
      <c r="C1889" s="4" t="s">
        <v>17</v>
      </c>
      <c r="D1889" s="5" t="s">
        <v>128</v>
      </c>
      <c r="E1889" s="10" t="str">
        <f t="shared" si="434"/>
        <v>PRBND'!</v>
      </c>
      <c r="F1889" s="5" t="str">
        <f t="shared" si="435"/>
        <v>C:\Users\jaime.benazar\Quorum Business Solutions\Ecopetrol Prometeo - Documents\Planning Space Implementation\3. Analysis &amp; Design\Design\FC22\DRR Jaime\QUIFA-CAJÚA\Cajua\[VAS_CAJUA_CF_SEC_20230125.xlsx]CF PRBND'!</v>
      </c>
      <c r="G1889" s="7" t="s">
        <v>39</v>
      </c>
      <c r="H1889" s="4"/>
      <c r="I1889" s="4"/>
      <c r="J1889" s="4"/>
    </row>
    <row r="1890" spans="1:10" x14ac:dyDescent="0.25">
      <c r="A1890" s="7" t="s">
        <v>101</v>
      </c>
      <c r="B1890" s="7">
        <f t="shared" si="436"/>
        <v>2049</v>
      </c>
      <c r="C1890" s="4" t="s">
        <v>17</v>
      </c>
      <c r="D1890" s="5" t="s">
        <v>128</v>
      </c>
      <c r="E1890" s="10" t="str">
        <f t="shared" si="434"/>
        <v>PRBND'!</v>
      </c>
      <c r="F1890" s="5" t="str">
        <f t="shared" si="435"/>
        <v>C:\Users\jaime.benazar\Quorum Business Solutions\Ecopetrol Prometeo - Documents\Planning Space Implementation\3. Analysis &amp; Design\Design\FC22\DRR Jaime\QUIFA-CAJÚA\Cajua\[VAS_CAJUA_CF_SEC_20230125.xlsx]CF PRBND'!</v>
      </c>
      <c r="G1890" s="7" t="s">
        <v>39</v>
      </c>
      <c r="H1890" s="4"/>
      <c r="I1890" s="4"/>
      <c r="J1890" s="4"/>
    </row>
    <row r="1891" spans="1:10" x14ac:dyDescent="0.25">
      <c r="A1891" s="7" t="s">
        <v>101</v>
      </c>
      <c r="B1891" s="7">
        <f t="shared" si="436"/>
        <v>2050</v>
      </c>
      <c r="C1891" s="4" t="s">
        <v>17</v>
      </c>
      <c r="D1891" s="5" t="s">
        <v>128</v>
      </c>
      <c r="E1891" s="10" t="str">
        <f t="shared" si="434"/>
        <v>PRBND'!</v>
      </c>
      <c r="F1891" s="5" t="str">
        <f t="shared" si="435"/>
        <v>C:\Users\jaime.benazar\Quorum Business Solutions\Ecopetrol Prometeo - Documents\Planning Space Implementation\3. Analysis &amp; Design\Design\FC22\DRR Jaime\QUIFA-CAJÚA\Cajua\[VAS_CAJUA_CF_SEC_20230125.xlsx]CF PRBND'!</v>
      </c>
      <c r="G1891" s="7" t="s">
        <v>39</v>
      </c>
      <c r="H1891" s="4"/>
      <c r="I1891" s="4"/>
      <c r="J1891" s="4"/>
    </row>
    <row r="1892" spans="1:10" x14ac:dyDescent="0.25">
      <c r="A1892" s="7" t="s">
        <v>101</v>
      </c>
      <c r="B1892" s="7">
        <f t="shared" si="436"/>
        <v>2051</v>
      </c>
      <c r="C1892" s="4" t="s">
        <v>17</v>
      </c>
      <c r="D1892" s="5" t="s">
        <v>128</v>
      </c>
      <c r="E1892" s="10" t="str">
        <f t="shared" si="434"/>
        <v>PRBND'!</v>
      </c>
      <c r="F1892" s="5" t="str">
        <f t="shared" si="435"/>
        <v>C:\Users\jaime.benazar\Quorum Business Solutions\Ecopetrol Prometeo - Documents\Planning Space Implementation\3. Analysis &amp; Design\Design\FC22\DRR Jaime\QUIFA-CAJÚA\Cajua\[VAS_CAJUA_CF_SEC_20230125.xlsx]CF PRBND'!</v>
      </c>
      <c r="G1892" s="7" t="s">
        <v>39</v>
      </c>
      <c r="H1892" s="4"/>
      <c r="I1892" s="4"/>
      <c r="J1892" s="4"/>
    </row>
    <row r="1893" spans="1:10" x14ac:dyDescent="0.25">
      <c r="A1893" s="7" t="s">
        <v>101</v>
      </c>
      <c r="B1893" s="7">
        <f t="shared" si="436"/>
        <v>2052</v>
      </c>
      <c r="C1893" s="4" t="s">
        <v>17</v>
      </c>
      <c r="D1893" s="5" t="s">
        <v>128</v>
      </c>
      <c r="E1893" s="10" t="str">
        <f t="shared" si="434"/>
        <v>PRBND'!</v>
      </c>
      <c r="F1893" s="5" t="str">
        <f t="shared" si="435"/>
        <v>C:\Users\jaime.benazar\Quorum Business Solutions\Ecopetrol Prometeo - Documents\Planning Space Implementation\3. Analysis &amp; Design\Design\FC22\DRR Jaime\QUIFA-CAJÚA\Cajua\[VAS_CAJUA_CF_SEC_20230125.xlsx]CF PRBND'!</v>
      </c>
      <c r="G1893" s="7" t="s">
        <v>39</v>
      </c>
      <c r="H1893" s="4"/>
      <c r="I1893" s="4"/>
      <c r="J1893" s="4"/>
    </row>
    <row r="1894" spans="1:10" x14ac:dyDescent="0.25">
      <c r="A1894" s="7" t="s">
        <v>101</v>
      </c>
      <c r="B1894" s="7">
        <f t="shared" si="436"/>
        <v>2053</v>
      </c>
      <c r="C1894" s="4" t="s">
        <v>17</v>
      </c>
      <c r="D1894" s="5" t="s">
        <v>128</v>
      </c>
      <c r="E1894" s="10" t="str">
        <f t="shared" si="434"/>
        <v>PRBND'!</v>
      </c>
      <c r="F1894" s="5" t="str">
        <f t="shared" si="435"/>
        <v>C:\Users\jaime.benazar\Quorum Business Solutions\Ecopetrol Prometeo - Documents\Planning Space Implementation\3. Analysis &amp; Design\Design\FC22\DRR Jaime\QUIFA-CAJÚA\Cajua\[VAS_CAJUA_CF_SEC_20230125.xlsx]CF PRBND'!</v>
      </c>
      <c r="G1894" s="7" t="s">
        <v>39</v>
      </c>
      <c r="H1894" s="4"/>
      <c r="I1894" s="4"/>
      <c r="J1894" s="4"/>
    </row>
    <row r="1895" spans="1:10" x14ac:dyDescent="0.25">
      <c r="A1895" s="7" t="s">
        <v>101</v>
      </c>
      <c r="B1895" s="7">
        <f t="shared" si="436"/>
        <v>2054</v>
      </c>
      <c r="C1895" s="4" t="s">
        <v>17</v>
      </c>
      <c r="D1895" s="5" t="s">
        <v>128</v>
      </c>
      <c r="E1895" s="10" t="str">
        <f t="shared" si="434"/>
        <v>PRBND'!</v>
      </c>
      <c r="F1895" s="5" t="str">
        <f t="shared" si="435"/>
        <v>C:\Users\jaime.benazar\Quorum Business Solutions\Ecopetrol Prometeo - Documents\Planning Space Implementation\3. Analysis &amp; Design\Design\FC22\DRR Jaime\QUIFA-CAJÚA\Cajua\[VAS_CAJUA_CF_SEC_20230125.xlsx]CF PRBND'!</v>
      </c>
      <c r="G1895" s="7" t="s">
        <v>39</v>
      </c>
      <c r="H1895" s="4"/>
      <c r="I1895" s="4"/>
      <c r="J1895" s="4"/>
    </row>
    <row r="1896" spans="1:10" x14ac:dyDescent="0.25">
      <c r="A1896" s="7" t="s">
        <v>101</v>
      </c>
      <c r="B1896" s="7">
        <f t="shared" si="436"/>
        <v>2055</v>
      </c>
      <c r="C1896" s="4" t="s">
        <v>17</v>
      </c>
      <c r="D1896" s="5" t="s">
        <v>128</v>
      </c>
      <c r="E1896" s="10" t="str">
        <f t="shared" si="434"/>
        <v>PRBND'!</v>
      </c>
      <c r="F1896" s="5" t="str">
        <f t="shared" si="435"/>
        <v>C:\Users\jaime.benazar\Quorum Business Solutions\Ecopetrol Prometeo - Documents\Planning Space Implementation\3. Analysis &amp; Design\Design\FC22\DRR Jaime\QUIFA-CAJÚA\Cajua\[VAS_CAJUA_CF_SEC_20230125.xlsx]CF PRBND'!</v>
      </c>
      <c r="G1896" s="7" t="s">
        <v>39</v>
      </c>
      <c r="H1896" s="4"/>
      <c r="I1896" s="4"/>
      <c r="J1896" s="4"/>
    </row>
    <row r="1897" spans="1:10" x14ac:dyDescent="0.25">
      <c r="A1897" s="7" t="s">
        <v>101</v>
      </c>
      <c r="B1897" s="7">
        <f t="shared" si="436"/>
        <v>2056</v>
      </c>
      <c r="C1897" s="4" t="s">
        <v>17</v>
      </c>
      <c r="D1897" s="5" t="s">
        <v>128</v>
      </c>
      <c r="E1897" s="10" t="str">
        <f t="shared" si="434"/>
        <v>PRBND'!</v>
      </c>
      <c r="F1897" s="5" t="str">
        <f t="shared" si="435"/>
        <v>C:\Users\jaime.benazar\Quorum Business Solutions\Ecopetrol Prometeo - Documents\Planning Space Implementation\3. Analysis &amp; Design\Design\FC22\DRR Jaime\QUIFA-CAJÚA\Cajua\[VAS_CAJUA_CF_SEC_20230125.xlsx]CF PRBND'!</v>
      </c>
      <c r="G1897" s="7" t="s">
        <v>39</v>
      </c>
      <c r="H1897" s="4"/>
      <c r="I1897" s="4"/>
      <c r="J1897" s="4"/>
    </row>
    <row r="1898" spans="1:10" x14ac:dyDescent="0.25">
      <c r="A1898" s="7" t="s">
        <v>101</v>
      </c>
      <c r="B1898" s="7">
        <f t="shared" si="436"/>
        <v>2057</v>
      </c>
      <c r="C1898" s="4" t="s">
        <v>17</v>
      </c>
      <c r="D1898" s="5" t="s">
        <v>128</v>
      </c>
      <c r="E1898" s="10" t="str">
        <f t="shared" si="434"/>
        <v>PRBND'!</v>
      </c>
      <c r="F1898" s="5" t="str">
        <f t="shared" si="435"/>
        <v>C:\Users\jaime.benazar\Quorum Business Solutions\Ecopetrol Prometeo - Documents\Planning Space Implementation\3. Analysis &amp; Design\Design\FC22\DRR Jaime\QUIFA-CAJÚA\Cajua\[VAS_CAJUA_CF_SEC_20230125.xlsx]CF PRBND'!</v>
      </c>
      <c r="G1898" s="7" t="s">
        <v>39</v>
      </c>
      <c r="H1898" s="4"/>
      <c r="I1898" s="4"/>
      <c r="J1898" s="4"/>
    </row>
    <row r="1899" spans="1:10" x14ac:dyDescent="0.25">
      <c r="A1899" s="7" t="s">
        <v>101</v>
      </c>
      <c r="B1899" s="7">
        <f t="shared" si="436"/>
        <v>2058</v>
      </c>
      <c r="C1899" s="4" t="s">
        <v>17</v>
      </c>
      <c r="D1899" s="5" t="s">
        <v>128</v>
      </c>
      <c r="E1899" s="10" t="str">
        <f t="shared" si="434"/>
        <v>PRBND'!</v>
      </c>
      <c r="F1899" s="5" t="str">
        <f t="shared" si="435"/>
        <v>C:\Users\jaime.benazar\Quorum Business Solutions\Ecopetrol Prometeo - Documents\Planning Space Implementation\3. Analysis &amp; Design\Design\FC22\DRR Jaime\QUIFA-CAJÚA\Cajua\[VAS_CAJUA_CF_SEC_20230125.xlsx]CF PRBND'!</v>
      </c>
      <c r="G1899" s="7" t="s">
        <v>39</v>
      </c>
      <c r="H1899" s="4"/>
      <c r="I1899" s="4"/>
      <c r="J1899" s="4"/>
    </row>
    <row r="1900" spans="1:10" x14ac:dyDescent="0.25">
      <c r="A1900" s="7" t="s">
        <v>101</v>
      </c>
      <c r="B1900" s="7">
        <f t="shared" si="436"/>
        <v>2059</v>
      </c>
      <c r="C1900" s="4" t="s">
        <v>17</v>
      </c>
      <c r="D1900" s="5" t="s">
        <v>128</v>
      </c>
      <c r="E1900" s="10" t="str">
        <f t="shared" si="434"/>
        <v>PRBND'!</v>
      </c>
      <c r="F1900" s="5" t="str">
        <f t="shared" si="435"/>
        <v>C:\Users\jaime.benazar\Quorum Business Solutions\Ecopetrol Prometeo - Documents\Planning Space Implementation\3. Analysis &amp; Design\Design\FC22\DRR Jaime\QUIFA-CAJÚA\Cajua\[VAS_CAJUA_CF_SEC_20230125.xlsx]CF PRBND'!</v>
      </c>
      <c r="G1900" s="7" t="s">
        <v>39</v>
      </c>
      <c r="H1900" s="4"/>
      <c r="I1900" s="4"/>
      <c r="J1900" s="4"/>
    </row>
    <row r="1901" spans="1:10" x14ac:dyDescent="0.25">
      <c r="A1901" s="7" t="s">
        <v>28</v>
      </c>
      <c r="B1901" s="7"/>
      <c r="C1901" s="4" t="s">
        <v>17</v>
      </c>
      <c r="D1901" s="5"/>
      <c r="E1901" s="10"/>
      <c r="F1901" s="5"/>
      <c r="G1901" s="7"/>
      <c r="H1901" s="4"/>
      <c r="I1901" s="4"/>
      <c r="J1901" s="4"/>
    </row>
    <row r="1902" spans="1:10" x14ac:dyDescent="0.25">
      <c r="A1902" s="7" t="s">
        <v>4</v>
      </c>
      <c r="B1902" s="7">
        <v>2023</v>
      </c>
      <c r="C1902" s="4" t="s">
        <v>17</v>
      </c>
      <c r="D1902" s="5" t="s">
        <v>128</v>
      </c>
      <c r="E1902" s="10" t="str">
        <f t="shared" si="405"/>
        <v>PRB'!</v>
      </c>
      <c r="F1902" s="5" t="str">
        <f t="shared" ref="F1902:F1922" si="437">_xlfn.CONCAT(D1902," ",E1902)</f>
        <v>C:\Users\jaime.benazar\Quorum Business Solutions\Ecopetrol Prometeo - Documents\Planning Space Implementation\3. Analysis &amp; Design\Design\FC22\DRR Jaime\QUIFA-CAJÚA\Cajua\[VAS_CAJUA_CF_SEC_20230125.xlsx]CF PRB'!</v>
      </c>
      <c r="G1902" s="7" t="s">
        <v>39</v>
      </c>
      <c r="H1902" s="4">
        <f>IF(A1902&lt;&gt;A1772,36,H1772+1)</f>
        <v>36</v>
      </c>
      <c r="I1902" s="4" t="str">
        <f t="shared" si="406"/>
        <v>='C:\Users\jaime.benazar\Quorum Business Solutions\Ecopetrol Prometeo - Documents\Planning Space Implementation\3. Analysis &amp; Design\Design\FC22\DRR Jaime\QUIFA-CAJÚA\Cajua\[VAS_CAJUA_CF_SEC_20230125.xlsx]CF PRB'!$BU$36</v>
      </c>
      <c r="J1902" s="4" t="s">
        <v>980</v>
      </c>
    </row>
    <row r="1903" spans="1:10" x14ac:dyDescent="0.25">
      <c r="A1903" s="7" t="s">
        <v>4</v>
      </c>
      <c r="B1903" s="7">
        <f>+B1902+1</f>
        <v>2024</v>
      </c>
      <c r="C1903" s="4" t="s">
        <v>17</v>
      </c>
      <c r="D1903" s="5" t="s">
        <v>128</v>
      </c>
      <c r="E1903" s="10" t="str">
        <f t="shared" si="405"/>
        <v>PRB'!</v>
      </c>
      <c r="F1903" s="5" t="str">
        <f t="shared" si="437"/>
        <v>C:\Users\jaime.benazar\Quorum Business Solutions\Ecopetrol Prometeo - Documents\Planning Space Implementation\3. Analysis &amp; Design\Design\FC22\DRR Jaime\QUIFA-CAJÚA\Cajua\[VAS_CAJUA_CF_SEC_20230125.xlsx]CF PRB'!</v>
      </c>
      <c r="G1903" s="7" t="s">
        <v>39</v>
      </c>
      <c r="H1903" s="4">
        <f t="shared" si="407"/>
        <v>37</v>
      </c>
      <c r="I1903" s="4" t="str">
        <f t="shared" si="406"/>
        <v>='C:\Users\jaime.benazar\Quorum Business Solutions\Ecopetrol Prometeo - Documents\Planning Space Implementation\3. Analysis &amp; Design\Design\FC22\DRR Jaime\QUIFA-CAJÚA\Cajua\[VAS_CAJUA_CF_SEC_20230125.xlsx]CF PRB'!$BU$37</v>
      </c>
      <c r="J1903" s="4" t="s">
        <v>981</v>
      </c>
    </row>
    <row r="1904" spans="1:10" x14ac:dyDescent="0.25">
      <c r="A1904" s="7" t="s">
        <v>4</v>
      </c>
      <c r="B1904" s="7">
        <f t="shared" ref="B1904:B1915" si="438">+B1903+1</f>
        <v>2025</v>
      </c>
      <c r="C1904" s="4" t="s">
        <v>17</v>
      </c>
      <c r="D1904" s="5" t="s">
        <v>128</v>
      </c>
      <c r="E1904" s="10" t="str">
        <f t="shared" si="405"/>
        <v>PRB'!</v>
      </c>
      <c r="F1904" s="5" t="str">
        <f t="shared" si="437"/>
        <v>C:\Users\jaime.benazar\Quorum Business Solutions\Ecopetrol Prometeo - Documents\Planning Space Implementation\3. Analysis &amp; Design\Design\FC22\DRR Jaime\QUIFA-CAJÚA\Cajua\[VAS_CAJUA_CF_SEC_20230125.xlsx]CF PRB'!</v>
      </c>
      <c r="G1904" s="7" t="s">
        <v>39</v>
      </c>
      <c r="H1904" s="4">
        <f t="shared" si="407"/>
        <v>38</v>
      </c>
      <c r="I1904" s="4" t="str">
        <f t="shared" si="406"/>
        <v>='C:\Users\jaime.benazar\Quorum Business Solutions\Ecopetrol Prometeo - Documents\Planning Space Implementation\3. Analysis &amp; Design\Design\FC22\DRR Jaime\QUIFA-CAJÚA\Cajua\[VAS_CAJUA_CF_SEC_20230125.xlsx]CF PRB'!$BU$38</v>
      </c>
      <c r="J1904" s="4" t="s">
        <v>982</v>
      </c>
    </row>
    <row r="1905" spans="1:10" x14ac:dyDescent="0.25">
      <c r="A1905" s="7" t="s">
        <v>4</v>
      </c>
      <c r="B1905" s="7">
        <f t="shared" si="438"/>
        <v>2026</v>
      </c>
      <c r="C1905" s="4" t="s">
        <v>17</v>
      </c>
      <c r="D1905" s="5" t="s">
        <v>128</v>
      </c>
      <c r="E1905" s="10" t="str">
        <f t="shared" si="405"/>
        <v>PRB'!</v>
      </c>
      <c r="F1905" s="5" t="str">
        <f t="shared" si="437"/>
        <v>C:\Users\jaime.benazar\Quorum Business Solutions\Ecopetrol Prometeo - Documents\Planning Space Implementation\3. Analysis &amp; Design\Design\FC22\DRR Jaime\QUIFA-CAJÚA\Cajua\[VAS_CAJUA_CF_SEC_20230125.xlsx]CF PRB'!</v>
      </c>
      <c r="G1905" s="7" t="s">
        <v>39</v>
      </c>
      <c r="H1905" s="4">
        <f t="shared" si="407"/>
        <v>39</v>
      </c>
      <c r="I1905" s="4" t="str">
        <f t="shared" si="406"/>
        <v>='C:\Users\jaime.benazar\Quorum Business Solutions\Ecopetrol Prometeo - Documents\Planning Space Implementation\3. Analysis &amp; Design\Design\FC22\DRR Jaime\QUIFA-CAJÚA\Cajua\[VAS_CAJUA_CF_SEC_20230125.xlsx]CF PRB'!$BU$39</v>
      </c>
      <c r="J1905" s="4" t="s">
        <v>983</v>
      </c>
    </row>
    <row r="1906" spans="1:10" x14ac:dyDescent="0.25">
      <c r="A1906" s="7" t="s">
        <v>4</v>
      </c>
      <c r="B1906" s="7">
        <f t="shared" si="438"/>
        <v>2027</v>
      </c>
      <c r="C1906" s="4" t="s">
        <v>17</v>
      </c>
      <c r="D1906" s="5" t="s">
        <v>128</v>
      </c>
      <c r="E1906" s="10" t="str">
        <f t="shared" si="405"/>
        <v>PRB'!</v>
      </c>
      <c r="F1906" s="5" t="str">
        <f t="shared" si="437"/>
        <v>C:\Users\jaime.benazar\Quorum Business Solutions\Ecopetrol Prometeo - Documents\Planning Space Implementation\3. Analysis &amp; Design\Design\FC22\DRR Jaime\QUIFA-CAJÚA\Cajua\[VAS_CAJUA_CF_SEC_20230125.xlsx]CF PRB'!</v>
      </c>
      <c r="G1906" s="7" t="s">
        <v>39</v>
      </c>
      <c r="H1906" s="4">
        <f t="shared" si="407"/>
        <v>40</v>
      </c>
      <c r="I1906" s="4" t="str">
        <f t="shared" si="406"/>
        <v>='C:\Users\jaime.benazar\Quorum Business Solutions\Ecopetrol Prometeo - Documents\Planning Space Implementation\3. Analysis &amp; Design\Design\FC22\DRR Jaime\QUIFA-CAJÚA\Cajua\[VAS_CAJUA_CF_SEC_20230125.xlsx]CF PRB'!$BU$40</v>
      </c>
      <c r="J1906" s="4" t="s">
        <v>984</v>
      </c>
    </row>
    <row r="1907" spans="1:10" x14ac:dyDescent="0.25">
      <c r="A1907" s="7" t="s">
        <v>4</v>
      </c>
      <c r="B1907" s="7">
        <f t="shared" si="438"/>
        <v>2028</v>
      </c>
      <c r="C1907" s="4" t="s">
        <v>17</v>
      </c>
      <c r="D1907" s="5" t="s">
        <v>128</v>
      </c>
      <c r="E1907" s="10" t="str">
        <f t="shared" si="405"/>
        <v>PRB'!</v>
      </c>
      <c r="F1907" s="5" t="str">
        <f t="shared" si="437"/>
        <v>C:\Users\jaime.benazar\Quorum Business Solutions\Ecopetrol Prometeo - Documents\Planning Space Implementation\3. Analysis &amp; Design\Design\FC22\DRR Jaime\QUIFA-CAJÚA\Cajua\[VAS_CAJUA_CF_SEC_20230125.xlsx]CF PRB'!</v>
      </c>
      <c r="G1907" s="7" t="s">
        <v>39</v>
      </c>
      <c r="H1907" s="4">
        <f t="shared" si="407"/>
        <v>41</v>
      </c>
      <c r="I1907" s="4" t="str">
        <f t="shared" si="406"/>
        <v>='C:\Users\jaime.benazar\Quorum Business Solutions\Ecopetrol Prometeo - Documents\Planning Space Implementation\3. Analysis &amp; Design\Design\FC22\DRR Jaime\QUIFA-CAJÚA\Cajua\[VAS_CAJUA_CF_SEC_20230125.xlsx]CF PRB'!$BU$41</v>
      </c>
      <c r="J1907" s="4" t="s">
        <v>985</v>
      </c>
    </row>
    <row r="1908" spans="1:10" x14ac:dyDescent="0.25">
      <c r="A1908" s="7" t="s">
        <v>4</v>
      </c>
      <c r="B1908" s="7">
        <f t="shared" si="438"/>
        <v>2029</v>
      </c>
      <c r="C1908" s="4" t="s">
        <v>17</v>
      </c>
      <c r="D1908" s="5" t="s">
        <v>128</v>
      </c>
      <c r="E1908" s="10" t="str">
        <f t="shared" si="405"/>
        <v>PRB'!</v>
      </c>
      <c r="F1908" s="5" t="str">
        <f t="shared" si="437"/>
        <v>C:\Users\jaime.benazar\Quorum Business Solutions\Ecopetrol Prometeo - Documents\Planning Space Implementation\3. Analysis &amp; Design\Design\FC22\DRR Jaime\QUIFA-CAJÚA\Cajua\[VAS_CAJUA_CF_SEC_20230125.xlsx]CF PRB'!</v>
      </c>
      <c r="G1908" s="7" t="s">
        <v>39</v>
      </c>
      <c r="H1908" s="4">
        <f t="shared" si="407"/>
        <v>42</v>
      </c>
      <c r="I1908" s="4" t="str">
        <f t="shared" si="406"/>
        <v>='C:\Users\jaime.benazar\Quorum Business Solutions\Ecopetrol Prometeo - Documents\Planning Space Implementation\3. Analysis &amp; Design\Design\FC22\DRR Jaime\QUIFA-CAJÚA\Cajua\[VAS_CAJUA_CF_SEC_20230125.xlsx]CF PRB'!$BU$42</v>
      </c>
      <c r="J1908" s="4" t="s">
        <v>986</v>
      </c>
    </row>
    <row r="1909" spans="1:10" x14ac:dyDescent="0.25">
      <c r="A1909" s="7" t="s">
        <v>4</v>
      </c>
      <c r="B1909" s="7">
        <f t="shared" si="438"/>
        <v>2030</v>
      </c>
      <c r="C1909" s="4" t="s">
        <v>17</v>
      </c>
      <c r="D1909" s="5" t="s">
        <v>128</v>
      </c>
      <c r="E1909" s="10" t="str">
        <f t="shared" si="405"/>
        <v>PRB'!</v>
      </c>
      <c r="F1909" s="5" t="str">
        <f t="shared" si="437"/>
        <v>C:\Users\jaime.benazar\Quorum Business Solutions\Ecopetrol Prometeo - Documents\Planning Space Implementation\3. Analysis &amp; Design\Design\FC22\DRR Jaime\QUIFA-CAJÚA\Cajua\[VAS_CAJUA_CF_SEC_20230125.xlsx]CF PRB'!</v>
      </c>
      <c r="G1909" s="7" t="s">
        <v>39</v>
      </c>
      <c r="H1909" s="4">
        <f t="shared" si="407"/>
        <v>43</v>
      </c>
      <c r="I1909" s="4" t="str">
        <f t="shared" si="406"/>
        <v>='C:\Users\jaime.benazar\Quorum Business Solutions\Ecopetrol Prometeo - Documents\Planning Space Implementation\3. Analysis &amp; Design\Design\FC22\DRR Jaime\QUIFA-CAJÚA\Cajua\[VAS_CAJUA_CF_SEC_20230125.xlsx]CF PRB'!$BU$43</v>
      </c>
      <c r="J1909" s="4" t="s">
        <v>987</v>
      </c>
    </row>
    <row r="1910" spans="1:10" x14ac:dyDescent="0.25">
      <c r="A1910" s="7" t="s">
        <v>4</v>
      </c>
      <c r="B1910" s="7">
        <f t="shared" si="438"/>
        <v>2031</v>
      </c>
      <c r="C1910" s="4" t="s">
        <v>17</v>
      </c>
      <c r="D1910" s="5" t="s">
        <v>128</v>
      </c>
      <c r="E1910" s="10" t="str">
        <f t="shared" si="405"/>
        <v>PRB'!</v>
      </c>
      <c r="F1910" s="5" t="str">
        <f t="shared" si="437"/>
        <v>C:\Users\jaime.benazar\Quorum Business Solutions\Ecopetrol Prometeo - Documents\Planning Space Implementation\3. Analysis &amp; Design\Design\FC22\DRR Jaime\QUIFA-CAJÚA\Cajua\[VAS_CAJUA_CF_SEC_20230125.xlsx]CF PRB'!</v>
      </c>
      <c r="G1910" s="7" t="s">
        <v>39</v>
      </c>
      <c r="H1910" s="4">
        <f t="shared" si="407"/>
        <v>44</v>
      </c>
      <c r="I1910" s="4" t="str">
        <f t="shared" si="406"/>
        <v>='C:\Users\jaime.benazar\Quorum Business Solutions\Ecopetrol Prometeo - Documents\Planning Space Implementation\3. Analysis &amp; Design\Design\FC22\DRR Jaime\QUIFA-CAJÚA\Cajua\[VAS_CAJUA_CF_SEC_20230125.xlsx]CF PRB'!$BU$44</v>
      </c>
      <c r="J1910" s="4" t="s">
        <v>988</v>
      </c>
    </row>
    <row r="1911" spans="1:10" x14ac:dyDescent="0.25">
      <c r="A1911" s="7" t="s">
        <v>4</v>
      </c>
      <c r="B1911" s="7">
        <f t="shared" si="438"/>
        <v>2032</v>
      </c>
      <c r="C1911" s="4" t="s">
        <v>17</v>
      </c>
      <c r="D1911" s="5" t="s">
        <v>128</v>
      </c>
      <c r="E1911" s="10" t="str">
        <f t="shared" si="405"/>
        <v>PRB'!</v>
      </c>
      <c r="F1911" s="5" t="str">
        <f t="shared" si="437"/>
        <v>C:\Users\jaime.benazar\Quorum Business Solutions\Ecopetrol Prometeo - Documents\Planning Space Implementation\3. Analysis &amp; Design\Design\FC22\DRR Jaime\QUIFA-CAJÚA\Cajua\[VAS_CAJUA_CF_SEC_20230125.xlsx]CF PRB'!</v>
      </c>
      <c r="G1911" s="7" t="s">
        <v>39</v>
      </c>
      <c r="H1911" s="4">
        <f t="shared" si="407"/>
        <v>45</v>
      </c>
      <c r="I1911" s="4" t="str">
        <f t="shared" si="406"/>
        <v>='C:\Users\jaime.benazar\Quorum Business Solutions\Ecopetrol Prometeo - Documents\Planning Space Implementation\3. Analysis &amp; Design\Design\FC22\DRR Jaime\QUIFA-CAJÚA\Cajua\[VAS_CAJUA_CF_SEC_20230125.xlsx]CF PRB'!$BU$45</v>
      </c>
      <c r="J1911" s="4" t="s">
        <v>989</v>
      </c>
    </row>
    <row r="1912" spans="1:10" x14ac:dyDescent="0.25">
      <c r="A1912" s="7" t="s">
        <v>4</v>
      </c>
      <c r="B1912" s="7">
        <f t="shared" si="438"/>
        <v>2033</v>
      </c>
      <c r="C1912" s="4" t="s">
        <v>17</v>
      </c>
      <c r="D1912" s="5" t="s">
        <v>128</v>
      </c>
      <c r="E1912" s="10" t="str">
        <f t="shared" si="405"/>
        <v>PRB'!</v>
      </c>
      <c r="F1912" s="5" t="str">
        <f t="shared" si="437"/>
        <v>C:\Users\jaime.benazar\Quorum Business Solutions\Ecopetrol Prometeo - Documents\Planning Space Implementation\3. Analysis &amp; Design\Design\FC22\DRR Jaime\QUIFA-CAJÚA\Cajua\[VAS_CAJUA_CF_SEC_20230125.xlsx]CF PRB'!</v>
      </c>
      <c r="G1912" s="7" t="s">
        <v>39</v>
      </c>
      <c r="H1912" s="4">
        <f t="shared" si="407"/>
        <v>46</v>
      </c>
      <c r="I1912" s="4" t="str">
        <f t="shared" si="406"/>
        <v>='C:\Users\jaime.benazar\Quorum Business Solutions\Ecopetrol Prometeo - Documents\Planning Space Implementation\3. Analysis &amp; Design\Design\FC22\DRR Jaime\QUIFA-CAJÚA\Cajua\[VAS_CAJUA_CF_SEC_20230125.xlsx]CF PRB'!$BU$46</v>
      </c>
      <c r="J1912" s="4" t="s">
        <v>990</v>
      </c>
    </row>
    <row r="1913" spans="1:10" x14ac:dyDescent="0.25">
      <c r="A1913" s="7" t="s">
        <v>4</v>
      </c>
      <c r="B1913" s="7">
        <f t="shared" si="438"/>
        <v>2034</v>
      </c>
      <c r="C1913" s="4" t="s">
        <v>17</v>
      </c>
      <c r="D1913" s="5" t="s">
        <v>128</v>
      </c>
      <c r="E1913" s="10" t="str">
        <f t="shared" si="405"/>
        <v>PRB'!</v>
      </c>
      <c r="F1913" s="5" t="str">
        <f t="shared" si="437"/>
        <v>C:\Users\jaime.benazar\Quorum Business Solutions\Ecopetrol Prometeo - Documents\Planning Space Implementation\3. Analysis &amp; Design\Design\FC22\DRR Jaime\QUIFA-CAJÚA\Cajua\[VAS_CAJUA_CF_SEC_20230125.xlsx]CF PRB'!</v>
      </c>
      <c r="G1913" s="7" t="s">
        <v>39</v>
      </c>
      <c r="H1913" s="4">
        <f t="shared" si="407"/>
        <v>47</v>
      </c>
      <c r="I1913" s="4" t="str">
        <f t="shared" si="406"/>
        <v>='C:\Users\jaime.benazar\Quorum Business Solutions\Ecopetrol Prometeo - Documents\Planning Space Implementation\3. Analysis &amp; Design\Design\FC22\DRR Jaime\QUIFA-CAJÚA\Cajua\[VAS_CAJUA_CF_SEC_20230125.xlsx]CF PRB'!$BU$47</v>
      </c>
      <c r="J1913" s="4" t="s">
        <v>991</v>
      </c>
    </row>
    <row r="1914" spans="1:10" x14ac:dyDescent="0.25">
      <c r="A1914" s="7" t="s">
        <v>4</v>
      </c>
      <c r="B1914" s="7">
        <f t="shared" si="438"/>
        <v>2035</v>
      </c>
      <c r="C1914" s="4" t="s">
        <v>17</v>
      </c>
      <c r="D1914" s="5" t="s">
        <v>128</v>
      </c>
      <c r="E1914" s="10" t="str">
        <f t="shared" si="405"/>
        <v>PRB'!</v>
      </c>
      <c r="F1914" s="5" t="str">
        <f t="shared" si="437"/>
        <v>C:\Users\jaime.benazar\Quorum Business Solutions\Ecopetrol Prometeo - Documents\Planning Space Implementation\3. Analysis &amp; Design\Design\FC22\DRR Jaime\QUIFA-CAJÚA\Cajua\[VAS_CAJUA_CF_SEC_20230125.xlsx]CF PRB'!</v>
      </c>
      <c r="G1914" s="7" t="s">
        <v>39</v>
      </c>
      <c r="H1914" s="4">
        <f t="shared" si="407"/>
        <v>48</v>
      </c>
      <c r="I1914" s="4" t="str">
        <f t="shared" si="406"/>
        <v>='C:\Users\jaime.benazar\Quorum Business Solutions\Ecopetrol Prometeo - Documents\Planning Space Implementation\3. Analysis &amp; Design\Design\FC22\DRR Jaime\QUIFA-CAJÚA\Cajua\[VAS_CAJUA_CF_SEC_20230125.xlsx]CF PRB'!$BU$48</v>
      </c>
      <c r="J1914" s="4" t="s">
        <v>992</v>
      </c>
    </row>
    <row r="1915" spans="1:10" x14ac:dyDescent="0.25">
      <c r="A1915" s="7" t="s">
        <v>4</v>
      </c>
      <c r="B1915" s="7">
        <f t="shared" si="438"/>
        <v>2036</v>
      </c>
      <c r="C1915" s="4" t="s">
        <v>17</v>
      </c>
      <c r="D1915" s="5" t="s">
        <v>128</v>
      </c>
      <c r="E1915" s="10" t="str">
        <f t="shared" si="405"/>
        <v>PRB'!</v>
      </c>
      <c r="F1915" s="5" t="str">
        <f t="shared" si="437"/>
        <v>C:\Users\jaime.benazar\Quorum Business Solutions\Ecopetrol Prometeo - Documents\Planning Space Implementation\3. Analysis &amp; Design\Design\FC22\DRR Jaime\QUIFA-CAJÚA\Cajua\[VAS_CAJUA_CF_SEC_20230125.xlsx]CF PRB'!</v>
      </c>
      <c r="G1915" s="7" t="s">
        <v>39</v>
      </c>
      <c r="H1915" s="4">
        <f t="shared" si="407"/>
        <v>49</v>
      </c>
      <c r="I1915" s="4" t="str">
        <f t="shared" si="406"/>
        <v>='C:\Users\jaime.benazar\Quorum Business Solutions\Ecopetrol Prometeo - Documents\Planning Space Implementation\3. Analysis &amp; Design\Design\FC22\DRR Jaime\QUIFA-CAJÚA\Cajua\[VAS_CAJUA_CF_SEC_20230125.xlsx]CF PRB'!$BU$49</v>
      </c>
      <c r="J1915" s="4" t="s">
        <v>993</v>
      </c>
    </row>
    <row r="1916" spans="1:10" x14ac:dyDescent="0.25">
      <c r="A1916" s="7" t="s">
        <v>4</v>
      </c>
      <c r="B1916" s="7">
        <f>+B1915+1</f>
        <v>2037</v>
      </c>
      <c r="C1916" s="4" t="s">
        <v>17</v>
      </c>
      <c r="D1916" s="5" t="s">
        <v>128</v>
      </c>
      <c r="E1916" s="10" t="str">
        <f t="shared" si="405"/>
        <v>PRB'!</v>
      </c>
      <c r="F1916" s="5" t="str">
        <f t="shared" si="437"/>
        <v>C:\Users\jaime.benazar\Quorum Business Solutions\Ecopetrol Prometeo - Documents\Planning Space Implementation\3. Analysis &amp; Design\Design\FC22\DRR Jaime\QUIFA-CAJÚA\Cajua\[VAS_CAJUA_CF_SEC_20230125.xlsx]CF PRB'!</v>
      </c>
      <c r="G1916" s="7" t="s">
        <v>39</v>
      </c>
      <c r="H1916" s="4">
        <f t="shared" si="407"/>
        <v>50</v>
      </c>
      <c r="I1916" s="4" t="str">
        <f t="shared" si="406"/>
        <v>='C:\Users\jaime.benazar\Quorum Business Solutions\Ecopetrol Prometeo - Documents\Planning Space Implementation\3. Analysis &amp; Design\Design\FC22\DRR Jaime\QUIFA-CAJÚA\Cajua\[VAS_CAJUA_CF_SEC_20230125.xlsx]CF PRB'!$BU$50</v>
      </c>
      <c r="J1916" s="4" t="s">
        <v>994</v>
      </c>
    </row>
    <row r="1917" spans="1:10" x14ac:dyDescent="0.25">
      <c r="A1917" s="7" t="s">
        <v>4</v>
      </c>
      <c r="B1917" s="7">
        <f t="shared" ref="B1917:B1919" si="439">+B1916+1</f>
        <v>2038</v>
      </c>
      <c r="C1917" s="4" t="s">
        <v>17</v>
      </c>
      <c r="D1917" s="5" t="s">
        <v>128</v>
      </c>
      <c r="E1917" s="10" t="str">
        <f t="shared" si="405"/>
        <v>PRB'!</v>
      </c>
      <c r="F1917" s="5" t="str">
        <f t="shared" si="437"/>
        <v>C:\Users\jaime.benazar\Quorum Business Solutions\Ecopetrol Prometeo - Documents\Planning Space Implementation\3. Analysis &amp; Design\Design\FC22\DRR Jaime\QUIFA-CAJÚA\Cajua\[VAS_CAJUA_CF_SEC_20230125.xlsx]CF PRB'!</v>
      </c>
      <c r="G1917" s="7" t="s">
        <v>39</v>
      </c>
      <c r="H1917" s="4">
        <f t="shared" si="407"/>
        <v>51</v>
      </c>
      <c r="I1917" s="4" t="str">
        <f t="shared" si="406"/>
        <v>='C:\Users\jaime.benazar\Quorum Business Solutions\Ecopetrol Prometeo - Documents\Planning Space Implementation\3. Analysis &amp; Design\Design\FC22\DRR Jaime\QUIFA-CAJÚA\Cajua\[VAS_CAJUA_CF_SEC_20230125.xlsx]CF PRB'!$BU$51</v>
      </c>
      <c r="J1917" s="4" t="s">
        <v>995</v>
      </c>
    </row>
    <row r="1918" spans="1:10" x14ac:dyDescent="0.25">
      <c r="A1918" s="7" t="s">
        <v>4</v>
      </c>
      <c r="B1918" s="7">
        <f t="shared" si="439"/>
        <v>2039</v>
      </c>
      <c r="C1918" s="4" t="s">
        <v>17</v>
      </c>
      <c r="D1918" s="5" t="s">
        <v>128</v>
      </c>
      <c r="E1918" s="10" t="str">
        <f t="shared" si="405"/>
        <v>PRB'!</v>
      </c>
      <c r="F1918" s="5" t="str">
        <f t="shared" si="437"/>
        <v>C:\Users\jaime.benazar\Quorum Business Solutions\Ecopetrol Prometeo - Documents\Planning Space Implementation\3. Analysis &amp; Design\Design\FC22\DRR Jaime\QUIFA-CAJÚA\Cajua\[VAS_CAJUA_CF_SEC_20230125.xlsx]CF PRB'!</v>
      </c>
      <c r="G1918" s="7" t="s">
        <v>39</v>
      </c>
      <c r="H1918" s="4">
        <f t="shared" si="407"/>
        <v>52</v>
      </c>
      <c r="I1918" s="4" t="str">
        <f t="shared" si="406"/>
        <v>='C:\Users\jaime.benazar\Quorum Business Solutions\Ecopetrol Prometeo - Documents\Planning Space Implementation\3. Analysis &amp; Design\Design\FC22\DRR Jaime\QUIFA-CAJÚA\Cajua\[VAS_CAJUA_CF_SEC_20230125.xlsx]CF PRB'!$BU$52</v>
      </c>
      <c r="J1918" s="4" t="s">
        <v>996</v>
      </c>
    </row>
    <row r="1919" spans="1:10" x14ac:dyDescent="0.25">
      <c r="A1919" s="7" t="s">
        <v>4</v>
      </c>
      <c r="B1919" s="7">
        <f t="shared" si="439"/>
        <v>2040</v>
      </c>
      <c r="C1919" s="4" t="s">
        <v>17</v>
      </c>
      <c r="D1919" s="5" t="s">
        <v>128</v>
      </c>
      <c r="E1919" s="10" t="str">
        <f t="shared" si="405"/>
        <v>PRB'!</v>
      </c>
      <c r="F1919" s="5" t="str">
        <f t="shared" si="437"/>
        <v>C:\Users\jaime.benazar\Quorum Business Solutions\Ecopetrol Prometeo - Documents\Planning Space Implementation\3. Analysis &amp; Design\Design\FC22\DRR Jaime\QUIFA-CAJÚA\Cajua\[VAS_CAJUA_CF_SEC_20230125.xlsx]CF PRB'!</v>
      </c>
      <c r="G1919" s="7" t="s">
        <v>39</v>
      </c>
      <c r="H1919" s="4">
        <f t="shared" si="407"/>
        <v>53</v>
      </c>
      <c r="I1919" s="4" t="str">
        <f t="shared" si="406"/>
        <v>='C:\Users\jaime.benazar\Quorum Business Solutions\Ecopetrol Prometeo - Documents\Planning Space Implementation\3. Analysis &amp; Design\Design\FC22\DRR Jaime\QUIFA-CAJÚA\Cajua\[VAS_CAJUA_CF_SEC_20230125.xlsx]CF PRB'!$BU$53</v>
      </c>
      <c r="J1919" s="4" t="s">
        <v>997</v>
      </c>
    </row>
    <row r="1920" spans="1:10" x14ac:dyDescent="0.25">
      <c r="A1920" s="7" t="s">
        <v>4</v>
      </c>
      <c r="B1920" s="7">
        <f>+B1919+1</f>
        <v>2041</v>
      </c>
      <c r="C1920" s="4" t="s">
        <v>17</v>
      </c>
      <c r="D1920" s="5" t="s">
        <v>128</v>
      </c>
      <c r="E1920" s="10" t="str">
        <f t="shared" si="405"/>
        <v>PRB'!</v>
      </c>
      <c r="F1920" s="5" t="str">
        <f t="shared" si="437"/>
        <v>C:\Users\jaime.benazar\Quorum Business Solutions\Ecopetrol Prometeo - Documents\Planning Space Implementation\3. Analysis &amp; Design\Design\FC22\DRR Jaime\QUIFA-CAJÚA\Cajua\[VAS_CAJUA_CF_SEC_20230125.xlsx]CF PRB'!</v>
      </c>
      <c r="G1920" s="7" t="s">
        <v>39</v>
      </c>
      <c r="H1920" s="4">
        <f t="shared" si="407"/>
        <v>54</v>
      </c>
      <c r="I1920" s="4" t="str">
        <f t="shared" si="406"/>
        <v>='C:\Users\jaime.benazar\Quorum Business Solutions\Ecopetrol Prometeo - Documents\Planning Space Implementation\3. Analysis &amp; Design\Design\FC22\DRR Jaime\QUIFA-CAJÚA\Cajua\[VAS_CAJUA_CF_SEC_20230125.xlsx]CF PRB'!$BU$54</v>
      </c>
      <c r="J1920" s="4" t="s">
        <v>998</v>
      </c>
    </row>
    <row r="1921" spans="1:10" x14ac:dyDescent="0.25">
      <c r="A1921" s="7" t="s">
        <v>4</v>
      </c>
      <c r="B1921" s="7">
        <f t="shared" ref="B1921:B1922" si="440">+B1920+1</f>
        <v>2042</v>
      </c>
      <c r="C1921" s="4" t="s">
        <v>17</v>
      </c>
      <c r="D1921" s="5" t="s">
        <v>128</v>
      </c>
      <c r="E1921" s="10" t="str">
        <f t="shared" si="405"/>
        <v>PRB'!</v>
      </c>
      <c r="F1921" s="5" t="str">
        <f t="shared" si="437"/>
        <v>C:\Users\jaime.benazar\Quorum Business Solutions\Ecopetrol Prometeo - Documents\Planning Space Implementation\3. Analysis &amp; Design\Design\FC22\DRR Jaime\QUIFA-CAJÚA\Cajua\[VAS_CAJUA_CF_SEC_20230125.xlsx]CF PRB'!</v>
      </c>
      <c r="G1921" s="7" t="s">
        <v>39</v>
      </c>
      <c r="H1921" s="4">
        <f t="shared" si="407"/>
        <v>55</v>
      </c>
      <c r="I1921" s="4" t="str">
        <f t="shared" si="406"/>
        <v>='C:\Users\jaime.benazar\Quorum Business Solutions\Ecopetrol Prometeo - Documents\Planning Space Implementation\3. Analysis &amp; Design\Design\FC22\DRR Jaime\QUIFA-CAJÚA\Cajua\[VAS_CAJUA_CF_SEC_20230125.xlsx]CF PRB'!$BU$55</v>
      </c>
      <c r="J1921" s="4" t="s">
        <v>999</v>
      </c>
    </row>
    <row r="1922" spans="1:10" x14ac:dyDescent="0.25">
      <c r="A1922" s="7" t="s">
        <v>4</v>
      </c>
      <c r="B1922" s="7">
        <f t="shared" si="440"/>
        <v>2043</v>
      </c>
      <c r="C1922" s="4" t="s">
        <v>17</v>
      </c>
      <c r="D1922" s="5" t="s">
        <v>128</v>
      </c>
      <c r="E1922" s="10" t="str">
        <f t="shared" si="405"/>
        <v>PRB'!</v>
      </c>
      <c r="F1922" s="5" t="str">
        <f t="shared" si="437"/>
        <v>C:\Users\jaime.benazar\Quorum Business Solutions\Ecopetrol Prometeo - Documents\Planning Space Implementation\3. Analysis &amp; Design\Design\FC22\DRR Jaime\QUIFA-CAJÚA\Cajua\[VAS_CAJUA_CF_SEC_20230125.xlsx]CF PRB'!</v>
      </c>
      <c r="G1922" s="7" t="s">
        <v>39</v>
      </c>
      <c r="H1922" s="4">
        <f t="shared" si="407"/>
        <v>56</v>
      </c>
      <c r="I1922" s="4" t="str">
        <f t="shared" si="406"/>
        <v>='C:\Users\jaime.benazar\Quorum Business Solutions\Ecopetrol Prometeo - Documents\Planning Space Implementation\3. Analysis &amp; Design\Design\FC22\DRR Jaime\QUIFA-CAJÚA\Cajua\[VAS_CAJUA_CF_SEC_20230125.xlsx]CF PRB'!$BU$56</v>
      </c>
      <c r="J1922" s="4" t="s">
        <v>1000</v>
      </c>
    </row>
    <row r="1923" spans="1:10" x14ac:dyDescent="0.25">
      <c r="A1923" s="7" t="s">
        <v>4</v>
      </c>
      <c r="B1923" s="7">
        <f>+B1922+1</f>
        <v>2044</v>
      </c>
      <c r="C1923" s="4" t="s">
        <v>17</v>
      </c>
      <c r="D1923" s="5" t="s">
        <v>128</v>
      </c>
      <c r="E1923" s="10" t="str">
        <f t="shared" ref="E1923:E1938" si="441">_xlfn.CONCAT(A1923,"'!")</f>
        <v>PRB'!</v>
      </c>
      <c r="F1923" s="5" t="str">
        <f t="shared" ref="F1923:F1938" si="442">_xlfn.CONCAT(D1923," ",E1923)</f>
        <v>C:\Users\jaime.benazar\Quorum Business Solutions\Ecopetrol Prometeo - Documents\Planning Space Implementation\3. Analysis &amp; Design\Design\FC22\DRR Jaime\QUIFA-CAJÚA\Cajua\[VAS_CAJUA_CF_SEC_20230125.xlsx]CF PRB'!</v>
      </c>
      <c r="G1923" s="7" t="s">
        <v>39</v>
      </c>
      <c r="H1923" s="4">
        <f t="shared" ref="H1923:H1938" si="443">IF(A1923&lt;&gt;A1922,36,H1922+1)</f>
        <v>57</v>
      </c>
      <c r="I1923" s="4" t="str">
        <f t="shared" ref="I1923:I1938" si="444">_xlfn.CONCAT("='",F1923:H1923)</f>
        <v>='C:\Users\jaime.benazar\Quorum Business Solutions\Ecopetrol Prometeo - Documents\Planning Space Implementation\3. Analysis &amp; Design\Design\FC22\DRR Jaime\QUIFA-CAJÚA\Cajua\[VAS_CAJUA_CF_SEC_20230125.xlsx]CF PRB'!$BU$57</v>
      </c>
      <c r="J1923" s="4" t="s">
        <v>1001</v>
      </c>
    </row>
    <row r="1924" spans="1:10" x14ac:dyDescent="0.25">
      <c r="A1924" s="7" t="s">
        <v>4</v>
      </c>
      <c r="B1924" s="7">
        <f t="shared" ref="B1924:B1938" si="445">+B1923+1</f>
        <v>2045</v>
      </c>
      <c r="C1924" s="4" t="s">
        <v>17</v>
      </c>
      <c r="D1924" s="5" t="s">
        <v>128</v>
      </c>
      <c r="E1924" s="10" t="str">
        <f t="shared" si="441"/>
        <v>PRB'!</v>
      </c>
      <c r="F1924" s="5" t="str">
        <f t="shared" si="442"/>
        <v>C:\Users\jaime.benazar\Quorum Business Solutions\Ecopetrol Prometeo - Documents\Planning Space Implementation\3. Analysis &amp; Design\Design\FC22\DRR Jaime\QUIFA-CAJÚA\Cajua\[VAS_CAJUA_CF_SEC_20230125.xlsx]CF PRB'!</v>
      </c>
      <c r="G1924" s="7" t="s">
        <v>39</v>
      </c>
      <c r="H1924" s="4">
        <f t="shared" si="443"/>
        <v>58</v>
      </c>
      <c r="I1924" s="4" t="str">
        <f t="shared" si="444"/>
        <v>='C:\Users\jaime.benazar\Quorum Business Solutions\Ecopetrol Prometeo - Documents\Planning Space Implementation\3. Analysis &amp; Design\Design\FC22\DRR Jaime\QUIFA-CAJÚA\Cajua\[VAS_CAJUA_CF_SEC_20230125.xlsx]CF PRB'!$BU$58</v>
      </c>
      <c r="J1924" s="4" t="s">
        <v>1002</v>
      </c>
    </row>
    <row r="1925" spans="1:10" x14ac:dyDescent="0.25">
      <c r="A1925" s="7" t="s">
        <v>4</v>
      </c>
      <c r="B1925" s="7">
        <f t="shared" si="445"/>
        <v>2046</v>
      </c>
      <c r="C1925" s="4" t="s">
        <v>17</v>
      </c>
      <c r="D1925" s="5" t="s">
        <v>128</v>
      </c>
      <c r="E1925" s="10" t="str">
        <f t="shared" si="441"/>
        <v>PRB'!</v>
      </c>
      <c r="F1925" s="5" t="str">
        <f t="shared" si="442"/>
        <v>C:\Users\jaime.benazar\Quorum Business Solutions\Ecopetrol Prometeo - Documents\Planning Space Implementation\3. Analysis &amp; Design\Design\FC22\DRR Jaime\QUIFA-CAJÚA\Cajua\[VAS_CAJUA_CF_SEC_20230125.xlsx]CF PRB'!</v>
      </c>
      <c r="G1925" s="7" t="s">
        <v>39</v>
      </c>
      <c r="H1925" s="4">
        <f t="shared" si="443"/>
        <v>59</v>
      </c>
      <c r="I1925" s="4" t="str">
        <f t="shared" si="444"/>
        <v>='C:\Users\jaime.benazar\Quorum Business Solutions\Ecopetrol Prometeo - Documents\Planning Space Implementation\3. Analysis &amp; Design\Design\FC22\DRR Jaime\QUIFA-CAJÚA\Cajua\[VAS_CAJUA_CF_SEC_20230125.xlsx]CF PRB'!$BU$59</v>
      </c>
      <c r="J1925" s="4" t="s">
        <v>1003</v>
      </c>
    </row>
    <row r="1926" spans="1:10" x14ac:dyDescent="0.25">
      <c r="A1926" s="7" t="s">
        <v>4</v>
      </c>
      <c r="B1926" s="7">
        <f t="shared" si="445"/>
        <v>2047</v>
      </c>
      <c r="C1926" s="4" t="s">
        <v>17</v>
      </c>
      <c r="D1926" s="5" t="s">
        <v>128</v>
      </c>
      <c r="E1926" s="10" t="str">
        <f t="shared" si="441"/>
        <v>PRB'!</v>
      </c>
      <c r="F1926" s="5" t="str">
        <f t="shared" si="442"/>
        <v>C:\Users\jaime.benazar\Quorum Business Solutions\Ecopetrol Prometeo - Documents\Planning Space Implementation\3. Analysis &amp; Design\Design\FC22\DRR Jaime\QUIFA-CAJÚA\Cajua\[VAS_CAJUA_CF_SEC_20230125.xlsx]CF PRB'!</v>
      </c>
      <c r="G1926" s="7" t="s">
        <v>39</v>
      </c>
      <c r="H1926" s="4">
        <f t="shared" si="443"/>
        <v>60</v>
      </c>
      <c r="I1926" s="4" t="str">
        <f t="shared" si="444"/>
        <v>='C:\Users\jaime.benazar\Quorum Business Solutions\Ecopetrol Prometeo - Documents\Planning Space Implementation\3. Analysis &amp; Design\Design\FC22\DRR Jaime\QUIFA-CAJÚA\Cajua\[VAS_CAJUA_CF_SEC_20230125.xlsx]CF PRB'!$BU$60</v>
      </c>
      <c r="J1926" s="4" t="s">
        <v>1004</v>
      </c>
    </row>
    <row r="1927" spans="1:10" x14ac:dyDescent="0.25">
      <c r="A1927" s="7" t="s">
        <v>4</v>
      </c>
      <c r="B1927" s="7">
        <f t="shared" si="445"/>
        <v>2048</v>
      </c>
      <c r="C1927" s="4" t="s">
        <v>17</v>
      </c>
      <c r="D1927" s="5" t="s">
        <v>128</v>
      </c>
      <c r="E1927" s="10" t="str">
        <f t="shared" si="441"/>
        <v>PRB'!</v>
      </c>
      <c r="F1927" s="5" t="str">
        <f t="shared" si="442"/>
        <v>C:\Users\jaime.benazar\Quorum Business Solutions\Ecopetrol Prometeo - Documents\Planning Space Implementation\3. Analysis &amp; Design\Design\FC22\DRR Jaime\QUIFA-CAJÚA\Cajua\[VAS_CAJUA_CF_SEC_20230125.xlsx]CF PRB'!</v>
      </c>
      <c r="G1927" s="7" t="s">
        <v>39</v>
      </c>
      <c r="H1927" s="4">
        <f t="shared" si="443"/>
        <v>61</v>
      </c>
      <c r="I1927" s="4" t="str">
        <f t="shared" si="444"/>
        <v>='C:\Users\jaime.benazar\Quorum Business Solutions\Ecopetrol Prometeo - Documents\Planning Space Implementation\3. Analysis &amp; Design\Design\FC22\DRR Jaime\QUIFA-CAJÚA\Cajua\[VAS_CAJUA_CF_SEC_20230125.xlsx]CF PRB'!$BU$61</v>
      </c>
      <c r="J1927" s="4" t="s">
        <v>1005</v>
      </c>
    </row>
    <row r="1928" spans="1:10" x14ac:dyDescent="0.25">
      <c r="A1928" s="7" t="s">
        <v>4</v>
      </c>
      <c r="B1928" s="7">
        <f t="shared" si="445"/>
        <v>2049</v>
      </c>
      <c r="C1928" s="4" t="s">
        <v>17</v>
      </c>
      <c r="D1928" s="5" t="s">
        <v>128</v>
      </c>
      <c r="E1928" s="10" t="str">
        <f t="shared" si="441"/>
        <v>PRB'!</v>
      </c>
      <c r="F1928" s="5" t="str">
        <f t="shared" si="442"/>
        <v>C:\Users\jaime.benazar\Quorum Business Solutions\Ecopetrol Prometeo - Documents\Planning Space Implementation\3. Analysis &amp; Design\Design\FC22\DRR Jaime\QUIFA-CAJÚA\Cajua\[VAS_CAJUA_CF_SEC_20230125.xlsx]CF PRB'!</v>
      </c>
      <c r="G1928" s="7" t="s">
        <v>39</v>
      </c>
      <c r="H1928" s="4">
        <f t="shared" si="443"/>
        <v>62</v>
      </c>
      <c r="I1928" s="4" t="str">
        <f t="shared" si="444"/>
        <v>='C:\Users\jaime.benazar\Quorum Business Solutions\Ecopetrol Prometeo - Documents\Planning Space Implementation\3. Analysis &amp; Design\Design\FC22\DRR Jaime\QUIFA-CAJÚA\Cajua\[VAS_CAJUA_CF_SEC_20230125.xlsx]CF PRB'!$BU$62</v>
      </c>
      <c r="J1928" s="4" t="s">
        <v>1006</v>
      </c>
    </row>
    <row r="1929" spans="1:10" x14ac:dyDescent="0.25">
      <c r="A1929" s="7" t="s">
        <v>4</v>
      </c>
      <c r="B1929" s="7">
        <f t="shared" si="445"/>
        <v>2050</v>
      </c>
      <c r="C1929" s="4" t="s">
        <v>17</v>
      </c>
      <c r="D1929" s="5" t="s">
        <v>128</v>
      </c>
      <c r="E1929" s="10" t="str">
        <f t="shared" si="441"/>
        <v>PRB'!</v>
      </c>
      <c r="F1929" s="5" t="str">
        <f t="shared" si="442"/>
        <v>C:\Users\jaime.benazar\Quorum Business Solutions\Ecopetrol Prometeo - Documents\Planning Space Implementation\3. Analysis &amp; Design\Design\FC22\DRR Jaime\QUIFA-CAJÚA\Cajua\[VAS_CAJUA_CF_SEC_20230125.xlsx]CF PRB'!</v>
      </c>
      <c r="G1929" s="7" t="s">
        <v>39</v>
      </c>
      <c r="H1929" s="4">
        <f t="shared" si="443"/>
        <v>63</v>
      </c>
      <c r="I1929" s="4" t="str">
        <f t="shared" si="444"/>
        <v>='C:\Users\jaime.benazar\Quorum Business Solutions\Ecopetrol Prometeo - Documents\Planning Space Implementation\3. Analysis &amp; Design\Design\FC22\DRR Jaime\QUIFA-CAJÚA\Cajua\[VAS_CAJUA_CF_SEC_20230125.xlsx]CF PRB'!$BU$63</v>
      </c>
      <c r="J1929" s="4" t="s">
        <v>1007</v>
      </c>
    </row>
    <row r="1930" spans="1:10" x14ac:dyDescent="0.25">
      <c r="A1930" s="7" t="s">
        <v>4</v>
      </c>
      <c r="B1930" s="7">
        <f t="shared" si="445"/>
        <v>2051</v>
      </c>
      <c r="C1930" s="4" t="s">
        <v>17</v>
      </c>
      <c r="D1930" s="5" t="s">
        <v>128</v>
      </c>
      <c r="E1930" s="10" t="str">
        <f t="shared" si="441"/>
        <v>PRB'!</v>
      </c>
      <c r="F1930" s="5" t="str">
        <f t="shared" si="442"/>
        <v>C:\Users\jaime.benazar\Quorum Business Solutions\Ecopetrol Prometeo - Documents\Planning Space Implementation\3. Analysis &amp; Design\Design\FC22\DRR Jaime\QUIFA-CAJÚA\Cajua\[VAS_CAJUA_CF_SEC_20230125.xlsx]CF PRB'!</v>
      </c>
      <c r="G1930" s="7" t="s">
        <v>39</v>
      </c>
      <c r="H1930" s="4">
        <f t="shared" si="443"/>
        <v>64</v>
      </c>
      <c r="I1930" s="4" t="str">
        <f t="shared" si="444"/>
        <v>='C:\Users\jaime.benazar\Quorum Business Solutions\Ecopetrol Prometeo - Documents\Planning Space Implementation\3. Analysis &amp; Design\Design\FC22\DRR Jaime\QUIFA-CAJÚA\Cajua\[VAS_CAJUA_CF_SEC_20230125.xlsx]CF PRB'!$BU$64</v>
      </c>
      <c r="J1930" s="4" t="s">
        <v>1008</v>
      </c>
    </row>
    <row r="1931" spans="1:10" x14ac:dyDescent="0.25">
      <c r="A1931" s="7" t="s">
        <v>4</v>
      </c>
      <c r="B1931" s="7">
        <f t="shared" si="445"/>
        <v>2052</v>
      </c>
      <c r="C1931" s="4" t="s">
        <v>17</v>
      </c>
      <c r="D1931" s="5" t="s">
        <v>128</v>
      </c>
      <c r="E1931" s="10" t="str">
        <f t="shared" si="441"/>
        <v>PRB'!</v>
      </c>
      <c r="F1931" s="5" t="str">
        <f t="shared" si="442"/>
        <v>C:\Users\jaime.benazar\Quorum Business Solutions\Ecopetrol Prometeo - Documents\Planning Space Implementation\3. Analysis &amp; Design\Design\FC22\DRR Jaime\QUIFA-CAJÚA\Cajua\[VAS_CAJUA_CF_SEC_20230125.xlsx]CF PRB'!</v>
      </c>
      <c r="G1931" s="7" t="s">
        <v>39</v>
      </c>
      <c r="H1931" s="4">
        <f t="shared" si="443"/>
        <v>65</v>
      </c>
      <c r="I1931" s="4" t="str">
        <f t="shared" si="444"/>
        <v>='C:\Users\jaime.benazar\Quorum Business Solutions\Ecopetrol Prometeo - Documents\Planning Space Implementation\3. Analysis &amp; Design\Design\FC22\DRR Jaime\QUIFA-CAJÚA\Cajua\[VAS_CAJUA_CF_SEC_20230125.xlsx]CF PRB'!$BU$65</v>
      </c>
      <c r="J1931" s="4" t="s">
        <v>1009</v>
      </c>
    </row>
    <row r="1932" spans="1:10" x14ac:dyDescent="0.25">
      <c r="A1932" s="7" t="s">
        <v>4</v>
      </c>
      <c r="B1932" s="7">
        <f t="shared" si="445"/>
        <v>2053</v>
      </c>
      <c r="C1932" s="4" t="s">
        <v>17</v>
      </c>
      <c r="D1932" s="5" t="s">
        <v>128</v>
      </c>
      <c r="E1932" s="10" t="str">
        <f t="shared" si="441"/>
        <v>PRB'!</v>
      </c>
      <c r="F1932" s="5" t="str">
        <f t="shared" si="442"/>
        <v>C:\Users\jaime.benazar\Quorum Business Solutions\Ecopetrol Prometeo - Documents\Planning Space Implementation\3. Analysis &amp; Design\Design\FC22\DRR Jaime\QUIFA-CAJÚA\Cajua\[VAS_CAJUA_CF_SEC_20230125.xlsx]CF PRB'!</v>
      </c>
      <c r="G1932" s="7" t="s">
        <v>39</v>
      </c>
      <c r="H1932" s="4">
        <f t="shared" si="443"/>
        <v>66</v>
      </c>
      <c r="I1932" s="4" t="str">
        <f t="shared" si="444"/>
        <v>='C:\Users\jaime.benazar\Quorum Business Solutions\Ecopetrol Prometeo - Documents\Planning Space Implementation\3. Analysis &amp; Design\Design\FC22\DRR Jaime\QUIFA-CAJÚA\Cajua\[VAS_CAJUA_CF_SEC_20230125.xlsx]CF PRB'!$BU$66</v>
      </c>
      <c r="J1932" s="4" t="s">
        <v>1010</v>
      </c>
    </row>
    <row r="1933" spans="1:10" x14ac:dyDescent="0.25">
      <c r="A1933" s="7" t="s">
        <v>4</v>
      </c>
      <c r="B1933" s="7">
        <f t="shared" si="445"/>
        <v>2054</v>
      </c>
      <c r="C1933" s="4" t="s">
        <v>17</v>
      </c>
      <c r="D1933" s="5" t="s">
        <v>128</v>
      </c>
      <c r="E1933" s="10" t="str">
        <f t="shared" si="441"/>
        <v>PRB'!</v>
      </c>
      <c r="F1933" s="5" t="str">
        <f t="shared" si="442"/>
        <v>C:\Users\jaime.benazar\Quorum Business Solutions\Ecopetrol Prometeo - Documents\Planning Space Implementation\3. Analysis &amp; Design\Design\FC22\DRR Jaime\QUIFA-CAJÚA\Cajua\[VAS_CAJUA_CF_SEC_20230125.xlsx]CF PRB'!</v>
      </c>
      <c r="G1933" s="7" t="s">
        <v>39</v>
      </c>
      <c r="H1933" s="4">
        <f t="shared" si="443"/>
        <v>67</v>
      </c>
      <c r="I1933" s="4" t="str">
        <f t="shared" si="444"/>
        <v>='C:\Users\jaime.benazar\Quorum Business Solutions\Ecopetrol Prometeo - Documents\Planning Space Implementation\3. Analysis &amp; Design\Design\FC22\DRR Jaime\QUIFA-CAJÚA\Cajua\[VAS_CAJUA_CF_SEC_20230125.xlsx]CF PRB'!$BU$67</v>
      </c>
      <c r="J1933" s="4" t="s">
        <v>1011</v>
      </c>
    </row>
    <row r="1934" spans="1:10" x14ac:dyDescent="0.25">
      <c r="A1934" s="7" t="s">
        <v>4</v>
      </c>
      <c r="B1934" s="7">
        <f t="shared" si="445"/>
        <v>2055</v>
      </c>
      <c r="C1934" s="4" t="s">
        <v>17</v>
      </c>
      <c r="D1934" s="5" t="s">
        <v>128</v>
      </c>
      <c r="E1934" s="10" t="str">
        <f t="shared" si="441"/>
        <v>PRB'!</v>
      </c>
      <c r="F1934" s="5" t="str">
        <f t="shared" si="442"/>
        <v>C:\Users\jaime.benazar\Quorum Business Solutions\Ecopetrol Prometeo - Documents\Planning Space Implementation\3. Analysis &amp; Design\Design\FC22\DRR Jaime\QUIFA-CAJÚA\Cajua\[VAS_CAJUA_CF_SEC_20230125.xlsx]CF PRB'!</v>
      </c>
      <c r="G1934" s="7" t="s">
        <v>39</v>
      </c>
      <c r="H1934" s="4">
        <f t="shared" si="443"/>
        <v>68</v>
      </c>
      <c r="I1934" s="4" t="str">
        <f t="shared" si="444"/>
        <v>='C:\Users\jaime.benazar\Quorum Business Solutions\Ecopetrol Prometeo - Documents\Planning Space Implementation\3. Analysis &amp; Design\Design\FC22\DRR Jaime\QUIFA-CAJÚA\Cajua\[VAS_CAJUA_CF_SEC_20230125.xlsx]CF PRB'!$BU$68</v>
      </c>
      <c r="J1934" s="4" t="s">
        <v>1012</v>
      </c>
    </row>
    <row r="1935" spans="1:10" x14ac:dyDescent="0.25">
      <c r="A1935" s="7" t="s">
        <v>4</v>
      </c>
      <c r="B1935" s="7">
        <f t="shared" si="445"/>
        <v>2056</v>
      </c>
      <c r="C1935" s="4" t="s">
        <v>17</v>
      </c>
      <c r="D1935" s="5" t="s">
        <v>128</v>
      </c>
      <c r="E1935" s="10" t="str">
        <f t="shared" si="441"/>
        <v>PRB'!</v>
      </c>
      <c r="F1935" s="5" t="str">
        <f t="shared" si="442"/>
        <v>C:\Users\jaime.benazar\Quorum Business Solutions\Ecopetrol Prometeo - Documents\Planning Space Implementation\3. Analysis &amp; Design\Design\FC22\DRR Jaime\QUIFA-CAJÚA\Cajua\[VAS_CAJUA_CF_SEC_20230125.xlsx]CF PRB'!</v>
      </c>
      <c r="G1935" s="7" t="s">
        <v>39</v>
      </c>
      <c r="H1935" s="4">
        <f t="shared" si="443"/>
        <v>69</v>
      </c>
      <c r="I1935" s="4" t="str">
        <f t="shared" si="444"/>
        <v>='C:\Users\jaime.benazar\Quorum Business Solutions\Ecopetrol Prometeo - Documents\Planning Space Implementation\3. Analysis &amp; Design\Design\FC22\DRR Jaime\QUIFA-CAJÚA\Cajua\[VAS_CAJUA_CF_SEC_20230125.xlsx]CF PRB'!$BU$69</v>
      </c>
      <c r="J1935" s="4" t="s">
        <v>1013</v>
      </c>
    </row>
    <row r="1936" spans="1:10" x14ac:dyDescent="0.25">
      <c r="A1936" s="7" t="s">
        <v>4</v>
      </c>
      <c r="B1936" s="7">
        <f t="shared" si="445"/>
        <v>2057</v>
      </c>
      <c r="C1936" s="4" t="s">
        <v>17</v>
      </c>
      <c r="D1936" s="5" t="s">
        <v>128</v>
      </c>
      <c r="E1936" s="10" t="str">
        <f t="shared" si="441"/>
        <v>PRB'!</v>
      </c>
      <c r="F1936" s="5" t="str">
        <f t="shared" si="442"/>
        <v>C:\Users\jaime.benazar\Quorum Business Solutions\Ecopetrol Prometeo - Documents\Planning Space Implementation\3. Analysis &amp; Design\Design\FC22\DRR Jaime\QUIFA-CAJÚA\Cajua\[VAS_CAJUA_CF_SEC_20230125.xlsx]CF PRB'!</v>
      </c>
      <c r="G1936" s="7" t="s">
        <v>39</v>
      </c>
      <c r="H1936" s="4">
        <f t="shared" si="443"/>
        <v>70</v>
      </c>
      <c r="I1936" s="4" t="str">
        <f t="shared" si="444"/>
        <v>='C:\Users\jaime.benazar\Quorum Business Solutions\Ecopetrol Prometeo - Documents\Planning Space Implementation\3. Analysis &amp; Design\Design\FC22\DRR Jaime\QUIFA-CAJÚA\Cajua\[VAS_CAJUA_CF_SEC_20230125.xlsx]CF PRB'!$BU$70</v>
      </c>
      <c r="J1936" s="4" t="s">
        <v>1014</v>
      </c>
    </row>
    <row r="1937" spans="1:10" x14ac:dyDescent="0.25">
      <c r="A1937" s="7" t="s">
        <v>4</v>
      </c>
      <c r="B1937" s="7">
        <f t="shared" si="445"/>
        <v>2058</v>
      </c>
      <c r="C1937" s="4" t="s">
        <v>17</v>
      </c>
      <c r="D1937" s="5" t="s">
        <v>128</v>
      </c>
      <c r="E1937" s="10" t="str">
        <f t="shared" si="441"/>
        <v>PRB'!</v>
      </c>
      <c r="F1937" s="5" t="str">
        <f t="shared" si="442"/>
        <v>C:\Users\jaime.benazar\Quorum Business Solutions\Ecopetrol Prometeo - Documents\Planning Space Implementation\3. Analysis &amp; Design\Design\FC22\DRR Jaime\QUIFA-CAJÚA\Cajua\[VAS_CAJUA_CF_SEC_20230125.xlsx]CF PRB'!</v>
      </c>
      <c r="G1937" s="7" t="s">
        <v>39</v>
      </c>
      <c r="H1937" s="4">
        <f t="shared" si="443"/>
        <v>71</v>
      </c>
      <c r="I1937" s="4" t="str">
        <f t="shared" si="444"/>
        <v>='C:\Users\jaime.benazar\Quorum Business Solutions\Ecopetrol Prometeo - Documents\Planning Space Implementation\3. Analysis &amp; Design\Design\FC22\DRR Jaime\QUIFA-CAJÚA\Cajua\[VAS_CAJUA_CF_SEC_20230125.xlsx]CF PRB'!$BU$71</v>
      </c>
      <c r="J1937" s="4" t="s">
        <v>1015</v>
      </c>
    </row>
    <row r="1938" spans="1:10" x14ac:dyDescent="0.25">
      <c r="A1938" s="7" t="s">
        <v>4</v>
      </c>
      <c r="B1938" s="7">
        <f t="shared" si="445"/>
        <v>2059</v>
      </c>
      <c r="C1938" s="4" t="s">
        <v>17</v>
      </c>
      <c r="D1938" s="5" t="s">
        <v>128</v>
      </c>
      <c r="E1938" s="10" t="str">
        <f t="shared" si="441"/>
        <v>PRB'!</v>
      </c>
      <c r="F1938" s="5" t="str">
        <f t="shared" si="442"/>
        <v>C:\Users\jaime.benazar\Quorum Business Solutions\Ecopetrol Prometeo - Documents\Planning Space Implementation\3. Analysis &amp; Design\Design\FC22\DRR Jaime\QUIFA-CAJÚA\Cajua\[VAS_CAJUA_CF_SEC_20230125.xlsx]CF PRB'!</v>
      </c>
      <c r="G1938" s="7" t="s">
        <v>39</v>
      </c>
      <c r="H1938" s="4">
        <f t="shared" si="443"/>
        <v>72</v>
      </c>
      <c r="I1938" s="4" t="str">
        <f t="shared" si="444"/>
        <v>='C:\Users\jaime.benazar\Quorum Business Solutions\Ecopetrol Prometeo - Documents\Planning Space Implementation\3. Analysis &amp; Design\Design\FC22\DRR Jaime\QUIFA-CAJÚA\Cajua\[VAS_CAJUA_CF_SEC_20230125.xlsx]CF PRB'!$BU$72</v>
      </c>
      <c r="J1938" s="4" t="s">
        <v>1016</v>
      </c>
    </row>
    <row r="1939" spans="1:10" x14ac:dyDescent="0.25">
      <c r="A1939" s="7" t="s">
        <v>28</v>
      </c>
      <c r="B1939" s="7"/>
      <c r="C1939" s="4" t="s">
        <v>17</v>
      </c>
      <c r="D1939" s="5"/>
      <c r="E1939" s="10"/>
      <c r="F1939" s="5"/>
      <c r="G1939" s="7"/>
      <c r="H1939" s="4"/>
      <c r="I1939" s="4"/>
      <c r="J1939" s="4"/>
    </row>
    <row r="1940" spans="1:10" x14ac:dyDescent="0.25">
      <c r="A1940" s="7" t="s">
        <v>102</v>
      </c>
      <c r="B1940" s="7">
        <v>2023</v>
      </c>
      <c r="C1940" s="4" t="s">
        <v>17</v>
      </c>
      <c r="D1940" s="5" t="s">
        <v>128</v>
      </c>
      <c r="E1940" s="10" t="str">
        <f t="shared" ref="E1940:E1960" si="446">_xlfn.CONCAT(A1940,"'!")</f>
        <v>PSDP'!</v>
      </c>
      <c r="F1940" s="5" t="str">
        <f t="shared" ref="F1940:F1960" si="447">_xlfn.CONCAT(D1940," ",E1940)</f>
        <v>C:\Users\jaime.benazar\Quorum Business Solutions\Ecopetrol Prometeo - Documents\Planning Space Implementation\3. Analysis &amp; Design\Design\FC22\DRR Jaime\QUIFA-CAJÚA\Cajua\[VAS_CAJUA_CF_SEC_20230125.xlsx]CF PSDP'!</v>
      </c>
      <c r="G1940" s="7" t="s">
        <v>39</v>
      </c>
      <c r="H1940" s="4"/>
      <c r="I1940" s="4"/>
      <c r="J1940" s="4"/>
    </row>
    <row r="1941" spans="1:10" x14ac:dyDescent="0.25">
      <c r="A1941" s="7" t="s">
        <v>102</v>
      </c>
      <c r="B1941" s="7">
        <f>+B1940+1</f>
        <v>2024</v>
      </c>
      <c r="C1941" s="4" t="s">
        <v>17</v>
      </c>
      <c r="D1941" s="5" t="s">
        <v>128</v>
      </c>
      <c r="E1941" s="10" t="str">
        <f t="shared" si="446"/>
        <v>PSDP'!</v>
      </c>
      <c r="F1941" s="5" t="str">
        <f t="shared" si="447"/>
        <v>C:\Users\jaime.benazar\Quorum Business Solutions\Ecopetrol Prometeo - Documents\Planning Space Implementation\3. Analysis &amp; Design\Design\FC22\DRR Jaime\QUIFA-CAJÚA\Cajua\[VAS_CAJUA_CF_SEC_20230125.xlsx]CF PSDP'!</v>
      </c>
      <c r="G1941" s="7" t="s">
        <v>39</v>
      </c>
      <c r="H1941" s="4"/>
      <c r="I1941" s="4"/>
      <c r="J1941" s="4"/>
    </row>
    <row r="1942" spans="1:10" x14ac:dyDescent="0.25">
      <c r="A1942" s="7" t="s">
        <v>102</v>
      </c>
      <c r="B1942" s="7">
        <f t="shared" ref="B1942:B1953" si="448">+B1941+1</f>
        <v>2025</v>
      </c>
      <c r="C1942" s="4" t="s">
        <v>17</v>
      </c>
      <c r="D1942" s="5" t="s">
        <v>128</v>
      </c>
      <c r="E1942" s="10" t="str">
        <f t="shared" si="446"/>
        <v>PSDP'!</v>
      </c>
      <c r="F1942" s="5" t="str">
        <f t="shared" si="447"/>
        <v>C:\Users\jaime.benazar\Quorum Business Solutions\Ecopetrol Prometeo - Documents\Planning Space Implementation\3. Analysis &amp; Design\Design\FC22\DRR Jaime\QUIFA-CAJÚA\Cajua\[VAS_CAJUA_CF_SEC_20230125.xlsx]CF PSDP'!</v>
      </c>
      <c r="G1942" s="7" t="s">
        <v>39</v>
      </c>
      <c r="H1942" s="4"/>
      <c r="I1942" s="4"/>
      <c r="J1942" s="4"/>
    </row>
    <row r="1943" spans="1:10" x14ac:dyDescent="0.25">
      <c r="A1943" s="7" t="s">
        <v>102</v>
      </c>
      <c r="B1943" s="7">
        <f t="shared" si="448"/>
        <v>2026</v>
      </c>
      <c r="C1943" s="4" t="s">
        <v>17</v>
      </c>
      <c r="D1943" s="5" t="s">
        <v>128</v>
      </c>
      <c r="E1943" s="10" t="str">
        <f t="shared" si="446"/>
        <v>PSDP'!</v>
      </c>
      <c r="F1943" s="5" t="str">
        <f t="shared" si="447"/>
        <v>C:\Users\jaime.benazar\Quorum Business Solutions\Ecopetrol Prometeo - Documents\Planning Space Implementation\3. Analysis &amp; Design\Design\FC22\DRR Jaime\QUIFA-CAJÚA\Cajua\[VAS_CAJUA_CF_SEC_20230125.xlsx]CF PSDP'!</v>
      </c>
      <c r="G1943" s="7" t="s">
        <v>39</v>
      </c>
      <c r="H1943" s="4"/>
      <c r="I1943" s="4"/>
      <c r="J1943" s="4"/>
    </row>
    <row r="1944" spans="1:10" x14ac:dyDescent="0.25">
      <c r="A1944" s="7" t="s">
        <v>102</v>
      </c>
      <c r="B1944" s="7">
        <f t="shared" si="448"/>
        <v>2027</v>
      </c>
      <c r="C1944" s="4" t="s">
        <v>17</v>
      </c>
      <c r="D1944" s="5" t="s">
        <v>128</v>
      </c>
      <c r="E1944" s="10" t="str">
        <f t="shared" si="446"/>
        <v>PSDP'!</v>
      </c>
      <c r="F1944" s="5" t="str">
        <f t="shared" si="447"/>
        <v>C:\Users\jaime.benazar\Quorum Business Solutions\Ecopetrol Prometeo - Documents\Planning Space Implementation\3. Analysis &amp; Design\Design\FC22\DRR Jaime\QUIFA-CAJÚA\Cajua\[VAS_CAJUA_CF_SEC_20230125.xlsx]CF PSDP'!</v>
      </c>
      <c r="G1944" s="7" t="s">
        <v>39</v>
      </c>
      <c r="H1944" s="4"/>
      <c r="I1944" s="4"/>
      <c r="J1944" s="4"/>
    </row>
    <row r="1945" spans="1:10" x14ac:dyDescent="0.25">
      <c r="A1945" s="7" t="s">
        <v>102</v>
      </c>
      <c r="B1945" s="7">
        <f t="shared" si="448"/>
        <v>2028</v>
      </c>
      <c r="C1945" s="4" t="s">
        <v>17</v>
      </c>
      <c r="D1945" s="5" t="s">
        <v>128</v>
      </c>
      <c r="E1945" s="10" t="str">
        <f t="shared" si="446"/>
        <v>PSDP'!</v>
      </c>
      <c r="F1945" s="5" t="str">
        <f t="shared" si="447"/>
        <v>C:\Users\jaime.benazar\Quorum Business Solutions\Ecopetrol Prometeo - Documents\Planning Space Implementation\3. Analysis &amp; Design\Design\FC22\DRR Jaime\QUIFA-CAJÚA\Cajua\[VAS_CAJUA_CF_SEC_20230125.xlsx]CF PSDP'!</v>
      </c>
      <c r="G1945" s="7" t="s">
        <v>39</v>
      </c>
      <c r="H1945" s="4"/>
      <c r="I1945" s="4"/>
      <c r="J1945" s="4"/>
    </row>
    <row r="1946" spans="1:10" x14ac:dyDescent="0.25">
      <c r="A1946" s="7" t="s">
        <v>102</v>
      </c>
      <c r="B1946" s="7">
        <f t="shared" si="448"/>
        <v>2029</v>
      </c>
      <c r="C1946" s="4" t="s">
        <v>17</v>
      </c>
      <c r="D1946" s="5" t="s">
        <v>128</v>
      </c>
      <c r="E1946" s="10" t="str">
        <f t="shared" si="446"/>
        <v>PSDP'!</v>
      </c>
      <c r="F1946" s="5" t="str">
        <f t="shared" si="447"/>
        <v>C:\Users\jaime.benazar\Quorum Business Solutions\Ecopetrol Prometeo - Documents\Planning Space Implementation\3. Analysis &amp; Design\Design\FC22\DRR Jaime\QUIFA-CAJÚA\Cajua\[VAS_CAJUA_CF_SEC_20230125.xlsx]CF PSDP'!</v>
      </c>
      <c r="G1946" s="7" t="s">
        <v>39</v>
      </c>
      <c r="H1946" s="4"/>
      <c r="I1946" s="4"/>
      <c r="J1946" s="4"/>
    </row>
    <row r="1947" spans="1:10" x14ac:dyDescent="0.25">
      <c r="A1947" s="7" t="s">
        <v>102</v>
      </c>
      <c r="B1947" s="7">
        <f t="shared" si="448"/>
        <v>2030</v>
      </c>
      <c r="C1947" s="4" t="s">
        <v>17</v>
      </c>
      <c r="D1947" s="5" t="s">
        <v>128</v>
      </c>
      <c r="E1947" s="10" t="str">
        <f t="shared" si="446"/>
        <v>PSDP'!</v>
      </c>
      <c r="F1947" s="5" t="str">
        <f t="shared" si="447"/>
        <v>C:\Users\jaime.benazar\Quorum Business Solutions\Ecopetrol Prometeo - Documents\Planning Space Implementation\3. Analysis &amp; Design\Design\FC22\DRR Jaime\QUIFA-CAJÚA\Cajua\[VAS_CAJUA_CF_SEC_20230125.xlsx]CF PSDP'!</v>
      </c>
      <c r="G1947" s="7" t="s">
        <v>39</v>
      </c>
      <c r="H1947" s="4"/>
      <c r="I1947" s="4"/>
      <c r="J1947" s="4"/>
    </row>
    <row r="1948" spans="1:10" x14ac:dyDescent="0.25">
      <c r="A1948" s="7" t="s">
        <v>102</v>
      </c>
      <c r="B1948" s="7">
        <f t="shared" si="448"/>
        <v>2031</v>
      </c>
      <c r="C1948" s="4" t="s">
        <v>17</v>
      </c>
      <c r="D1948" s="5" t="s">
        <v>128</v>
      </c>
      <c r="E1948" s="10" t="str">
        <f t="shared" si="446"/>
        <v>PSDP'!</v>
      </c>
      <c r="F1948" s="5" t="str">
        <f t="shared" si="447"/>
        <v>C:\Users\jaime.benazar\Quorum Business Solutions\Ecopetrol Prometeo - Documents\Planning Space Implementation\3. Analysis &amp; Design\Design\FC22\DRR Jaime\QUIFA-CAJÚA\Cajua\[VAS_CAJUA_CF_SEC_20230125.xlsx]CF PSDP'!</v>
      </c>
      <c r="G1948" s="7" t="s">
        <v>39</v>
      </c>
      <c r="H1948" s="4"/>
      <c r="I1948" s="4"/>
      <c r="J1948" s="4"/>
    </row>
    <row r="1949" spans="1:10" x14ac:dyDescent="0.25">
      <c r="A1949" s="7" t="s">
        <v>102</v>
      </c>
      <c r="B1949" s="7">
        <f t="shared" si="448"/>
        <v>2032</v>
      </c>
      <c r="C1949" s="4" t="s">
        <v>17</v>
      </c>
      <c r="D1949" s="5" t="s">
        <v>128</v>
      </c>
      <c r="E1949" s="10" t="str">
        <f t="shared" si="446"/>
        <v>PSDP'!</v>
      </c>
      <c r="F1949" s="5" t="str">
        <f t="shared" si="447"/>
        <v>C:\Users\jaime.benazar\Quorum Business Solutions\Ecopetrol Prometeo - Documents\Planning Space Implementation\3. Analysis &amp; Design\Design\FC22\DRR Jaime\QUIFA-CAJÚA\Cajua\[VAS_CAJUA_CF_SEC_20230125.xlsx]CF PSDP'!</v>
      </c>
      <c r="G1949" s="7" t="s">
        <v>39</v>
      </c>
      <c r="H1949" s="4"/>
      <c r="I1949" s="4"/>
      <c r="J1949" s="4"/>
    </row>
    <row r="1950" spans="1:10" x14ac:dyDescent="0.25">
      <c r="A1950" s="7" t="s">
        <v>102</v>
      </c>
      <c r="B1950" s="7">
        <f t="shared" si="448"/>
        <v>2033</v>
      </c>
      <c r="C1950" s="4" t="s">
        <v>17</v>
      </c>
      <c r="D1950" s="5" t="s">
        <v>128</v>
      </c>
      <c r="E1950" s="10" t="str">
        <f t="shared" si="446"/>
        <v>PSDP'!</v>
      </c>
      <c r="F1950" s="5" t="str">
        <f t="shared" si="447"/>
        <v>C:\Users\jaime.benazar\Quorum Business Solutions\Ecopetrol Prometeo - Documents\Planning Space Implementation\3. Analysis &amp; Design\Design\FC22\DRR Jaime\QUIFA-CAJÚA\Cajua\[VAS_CAJUA_CF_SEC_20230125.xlsx]CF PSDP'!</v>
      </c>
      <c r="G1950" s="7" t="s">
        <v>39</v>
      </c>
      <c r="H1950" s="4"/>
      <c r="I1950" s="4"/>
      <c r="J1950" s="4"/>
    </row>
    <row r="1951" spans="1:10" x14ac:dyDescent="0.25">
      <c r="A1951" s="7" t="s">
        <v>102</v>
      </c>
      <c r="B1951" s="7">
        <f t="shared" si="448"/>
        <v>2034</v>
      </c>
      <c r="C1951" s="4" t="s">
        <v>17</v>
      </c>
      <c r="D1951" s="5" t="s">
        <v>128</v>
      </c>
      <c r="E1951" s="10" t="str">
        <f t="shared" si="446"/>
        <v>PSDP'!</v>
      </c>
      <c r="F1951" s="5" t="str">
        <f t="shared" si="447"/>
        <v>C:\Users\jaime.benazar\Quorum Business Solutions\Ecopetrol Prometeo - Documents\Planning Space Implementation\3. Analysis &amp; Design\Design\FC22\DRR Jaime\QUIFA-CAJÚA\Cajua\[VAS_CAJUA_CF_SEC_20230125.xlsx]CF PSDP'!</v>
      </c>
      <c r="G1951" s="7" t="s">
        <v>39</v>
      </c>
      <c r="H1951" s="4"/>
      <c r="I1951" s="4"/>
      <c r="J1951" s="4"/>
    </row>
    <row r="1952" spans="1:10" x14ac:dyDescent="0.25">
      <c r="A1952" s="7" t="s">
        <v>102</v>
      </c>
      <c r="B1952" s="7">
        <f t="shared" si="448"/>
        <v>2035</v>
      </c>
      <c r="C1952" s="4" t="s">
        <v>17</v>
      </c>
      <c r="D1952" s="5" t="s">
        <v>128</v>
      </c>
      <c r="E1952" s="10" t="str">
        <f t="shared" si="446"/>
        <v>PSDP'!</v>
      </c>
      <c r="F1952" s="5" t="str">
        <f t="shared" si="447"/>
        <v>C:\Users\jaime.benazar\Quorum Business Solutions\Ecopetrol Prometeo - Documents\Planning Space Implementation\3. Analysis &amp; Design\Design\FC22\DRR Jaime\QUIFA-CAJÚA\Cajua\[VAS_CAJUA_CF_SEC_20230125.xlsx]CF PSDP'!</v>
      </c>
      <c r="G1952" s="7" t="s">
        <v>39</v>
      </c>
      <c r="H1952" s="4"/>
      <c r="I1952" s="4"/>
      <c r="J1952" s="4"/>
    </row>
    <row r="1953" spans="1:10" x14ac:dyDescent="0.25">
      <c r="A1953" s="7" t="s">
        <v>102</v>
      </c>
      <c r="B1953" s="7">
        <f t="shared" si="448"/>
        <v>2036</v>
      </c>
      <c r="C1953" s="4" t="s">
        <v>17</v>
      </c>
      <c r="D1953" s="5" t="s">
        <v>128</v>
      </c>
      <c r="E1953" s="10" t="str">
        <f t="shared" si="446"/>
        <v>PSDP'!</v>
      </c>
      <c r="F1953" s="5" t="str">
        <f t="shared" si="447"/>
        <v>C:\Users\jaime.benazar\Quorum Business Solutions\Ecopetrol Prometeo - Documents\Planning Space Implementation\3. Analysis &amp; Design\Design\FC22\DRR Jaime\QUIFA-CAJÚA\Cajua\[VAS_CAJUA_CF_SEC_20230125.xlsx]CF PSDP'!</v>
      </c>
      <c r="G1953" s="7" t="s">
        <v>39</v>
      </c>
      <c r="H1953" s="4"/>
      <c r="I1953" s="4"/>
      <c r="J1953" s="4"/>
    </row>
    <row r="1954" spans="1:10" x14ac:dyDescent="0.25">
      <c r="A1954" s="7" t="s">
        <v>102</v>
      </c>
      <c r="B1954" s="7">
        <f>+B1953+1</f>
        <v>2037</v>
      </c>
      <c r="C1954" s="4" t="s">
        <v>17</v>
      </c>
      <c r="D1954" s="5" t="s">
        <v>128</v>
      </c>
      <c r="E1954" s="10" t="str">
        <f t="shared" si="446"/>
        <v>PSDP'!</v>
      </c>
      <c r="F1954" s="5" t="str">
        <f t="shared" si="447"/>
        <v>C:\Users\jaime.benazar\Quorum Business Solutions\Ecopetrol Prometeo - Documents\Planning Space Implementation\3. Analysis &amp; Design\Design\FC22\DRR Jaime\QUIFA-CAJÚA\Cajua\[VAS_CAJUA_CF_SEC_20230125.xlsx]CF PSDP'!</v>
      </c>
      <c r="G1954" s="7" t="s">
        <v>39</v>
      </c>
      <c r="H1954" s="4"/>
      <c r="I1954" s="4"/>
      <c r="J1954" s="4"/>
    </row>
    <row r="1955" spans="1:10" x14ac:dyDescent="0.25">
      <c r="A1955" s="7" t="s">
        <v>102</v>
      </c>
      <c r="B1955" s="7">
        <f t="shared" ref="B1955:B1957" si="449">+B1954+1</f>
        <v>2038</v>
      </c>
      <c r="C1955" s="4" t="s">
        <v>17</v>
      </c>
      <c r="D1955" s="5" t="s">
        <v>128</v>
      </c>
      <c r="E1955" s="10" t="str">
        <f t="shared" si="446"/>
        <v>PSDP'!</v>
      </c>
      <c r="F1955" s="5" t="str">
        <f t="shared" si="447"/>
        <v>C:\Users\jaime.benazar\Quorum Business Solutions\Ecopetrol Prometeo - Documents\Planning Space Implementation\3. Analysis &amp; Design\Design\FC22\DRR Jaime\QUIFA-CAJÚA\Cajua\[VAS_CAJUA_CF_SEC_20230125.xlsx]CF PSDP'!</v>
      </c>
      <c r="G1955" s="7" t="s">
        <v>39</v>
      </c>
      <c r="H1955" s="4"/>
      <c r="I1955" s="4"/>
      <c r="J1955" s="4"/>
    </row>
    <row r="1956" spans="1:10" x14ac:dyDescent="0.25">
      <c r="A1956" s="7" t="s">
        <v>102</v>
      </c>
      <c r="B1956" s="7">
        <f t="shared" si="449"/>
        <v>2039</v>
      </c>
      <c r="C1956" s="4" t="s">
        <v>17</v>
      </c>
      <c r="D1956" s="5" t="s">
        <v>128</v>
      </c>
      <c r="E1956" s="10" t="str">
        <f t="shared" si="446"/>
        <v>PSDP'!</v>
      </c>
      <c r="F1956" s="5" t="str">
        <f t="shared" si="447"/>
        <v>C:\Users\jaime.benazar\Quorum Business Solutions\Ecopetrol Prometeo - Documents\Planning Space Implementation\3. Analysis &amp; Design\Design\FC22\DRR Jaime\QUIFA-CAJÚA\Cajua\[VAS_CAJUA_CF_SEC_20230125.xlsx]CF PSDP'!</v>
      </c>
      <c r="G1956" s="7" t="s">
        <v>39</v>
      </c>
      <c r="H1956" s="4"/>
      <c r="I1956" s="4"/>
      <c r="J1956" s="4"/>
    </row>
    <row r="1957" spans="1:10" x14ac:dyDescent="0.25">
      <c r="A1957" s="7" t="s">
        <v>102</v>
      </c>
      <c r="B1957" s="7">
        <f t="shared" si="449"/>
        <v>2040</v>
      </c>
      <c r="C1957" s="4" t="s">
        <v>17</v>
      </c>
      <c r="D1957" s="5" t="s">
        <v>128</v>
      </c>
      <c r="E1957" s="10" t="str">
        <f t="shared" si="446"/>
        <v>PSDP'!</v>
      </c>
      <c r="F1957" s="5" t="str">
        <f t="shared" si="447"/>
        <v>C:\Users\jaime.benazar\Quorum Business Solutions\Ecopetrol Prometeo - Documents\Planning Space Implementation\3. Analysis &amp; Design\Design\FC22\DRR Jaime\QUIFA-CAJÚA\Cajua\[VAS_CAJUA_CF_SEC_20230125.xlsx]CF PSDP'!</v>
      </c>
      <c r="G1957" s="7" t="s">
        <v>39</v>
      </c>
      <c r="H1957" s="4"/>
      <c r="I1957" s="4"/>
      <c r="J1957" s="4"/>
    </row>
    <row r="1958" spans="1:10" x14ac:dyDescent="0.25">
      <c r="A1958" s="7" t="s">
        <v>102</v>
      </c>
      <c r="B1958" s="7">
        <f>+B1957+1</f>
        <v>2041</v>
      </c>
      <c r="C1958" s="4" t="s">
        <v>17</v>
      </c>
      <c r="D1958" s="5" t="s">
        <v>128</v>
      </c>
      <c r="E1958" s="10" t="str">
        <f t="shared" si="446"/>
        <v>PSDP'!</v>
      </c>
      <c r="F1958" s="5" t="str">
        <f t="shared" si="447"/>
        <v>C:\Users\jaime.benazar\Quorum Business Solutions\Ecopetrol Prometeo - Documents\Planning Space Implementation\3. Analysis &amp; Design\Design\FC22\DRR Jaime\QUIFA-CAJÚA\Cajua\[VAS_CAJUA_CF_SEC_20230125.xlsx]CF PSDP'!</v>
      </c>
      <c r="G1958" s="7" t="s">
        <v>39</v>
      </c>
      <c r="H1958" s="4"/>
      <c r="I1958" s="4"/>
      <c r="J1958" s="4"/>
    </row>
    <row r="1959" spans="1:10" x14ac:dyDescent="0.25">
      <c r="A1959" s="7" t="s">
        <v>102</v>
      </c>
      <c r="B1959" s="7">
        <f t="shared" ref="B1959:B1960" si="450">+B1958+1</f>
        <v>2042</v>
      </c>
      <c r="C1959" s="4" t="s">
        <v>17</v>
      </c>
      <c r="D1959" s="5" t="s">
        <v>128</v>
      </c>
      <c r="E1959" s="10" t="str">
        <f t="shared" si="446"/>
        <v>PSDP'!</v>
      </c>
      <c r="F1959" s="5" t="str">
        <f t="shared" si="447"/>
        <v>C:\Users\jaime.benazar\Quorum Business Solutions\Ecopetrol Prometeo - Documents\Planning Space Implementation\3. Analysis &amp; Design\Design\FC22\DRR Jaime\QUIFA-CAJÚA\Cajua\[VAS_CAJUA_CF_SEC_20230125.xlsx]CF PSDP'!</v>
      </c>
      <c r="G1959" s="7" t="s">
        <v>39</v>
      </c>
      <c r="H1959" s="4"/>
      <c r="I1959" s="4"/>
      <c r="J1959" s="4"/>
    </row>
    <row r="1960" spans="1:10" x14ac:dyDescent="0.25">
      <c r="A1960" s="7" t="s">
        <v>102</v>
      </c>
      <c r="B1960" s="7">
        <f t="shared" si="450"/>
        <v>2043</v>
      </c>
      <c r="C1960" s="4" t="s">
        <v>17</v>
      </c>
      <c r="D1960" s="5" t="s">
        <v>128</v>
      </c>
      <c r="E1960" s="10" t="str">
        <f t="shared" si="446"/>
        <v>PSDP'!</v>
      </c>
      <c r="F1960" s="5" t="str">
        <f t="shared" si="447"/>
        <v>C:\Users\jaime.benazar\Quorum Business Solutions\Ecopetrol Prometeo - Documents\Planning Space Implementation\3. Analysis &amp; Design\Design\FC22\DRR Jaime\QUIFA-CAJÚA\Cajua\[VAS_CAJUA_CF_SEC_20230125.xlsx]CF PSDP'!</v>
      </c>
      <c r="G1960" s="7" t="s">
        <v>39</v>
      </c>
      <c r="H1960" s="4"/>
      <c r="I1960" s="4"/>
      <c r="J1960" s="4"/>
    </row>
    <row r="1961" spans="1:10" x14ac:dyDescent="0.25">
      <c r="A1961" s="7" t="s">
        <v>102</v>
      </c>
      <c r="B1961" s="7">
        <f>+B1960+1</f>
        <v>2044</v>
      </c>
      <c r="C1961" s="4" t="s">
        <v>17</v>
      </c>
      <c r="D1961" s="5" t="s">
        <v>128</v>
      </c>
      <c r="E1961" s="10" t="str">
        <f t="shared" ref="E1961:E1976" si="451">_xlfn.CONCAT(A1961,"'!")</f>
        <v>PSDP'!</v>
      </c>
      <c r="F1961" s="5" t="str">
        <f t="shared" ref="F1961:F1976" si="452">_xlfn.CONCAT(D1961," ",E1961)</f>
        <v>C:\Users\jaime.benazar\Quorum Business Solutions\Ecopetrol Prometeo - Documents\Planning Space Implementation\3. Analysis &amp; Design\Design\FC22\DRR Jaime\QUIFA-CAJÚA\Cajua\[VAS_CAJUA_CF_SEC_20230125.xlsx]CF PSDP'!</v>
      </c>
      <c r="G1961" s="7" t="s">
        <v>39</v>
      </c>
      <c r="H1961" s="4"/>
      <c r="I1961" s="4"/>
      <c r="J1961" s="4"/>
    </row>
    <row r="1962" spans="1:10" x14ac:dyDescent="0.25">
      <c r="A1962" s="7" t="s">
        <v>102</v>
      </c>
      <c r="B1962" s="7">
        <f t="shared" ref="B1962:B1976" si="453">+B1961+1</f>
        <v>2045</v>
      </c>
      <c r="C1962" s="4" t="s">
        <v>17</v>
      </c>
      <c r="D1962" s="5" t="s">
        <v>128</v>
      </c>
      <c r="E1962" s="10" t="str">
        <f t="shared" si="451"/>
        <v>PSDP'!</v>
      </c>
      <c r="F1962" s="5" t="str">
        <f t="shared" si="452"/>
        <v>C:\Users\jaime.benazar\Quorum Business Solutions\Ecopetrol Prometeo - Documents\Planning Space Implementation\3. Analysis &amp; Design\Design\FC22\DRR Jaime\QUIFA-CAJÚA\Cajua\[VAS_CAJUA_CF_SEC_20230125.xlsx]CF PSDP'!</v>
      </c>
      <c r="G1962" s="7" t="s">
        <v>39</v>
      </c>
      <c r="H1962" s="4"/>
      <c r="I1962" s="4"/>
      <c r="J1962" s="4"/>
    </row>
    <row r="1963" spans="1:10" x14ac:dyDescent="0.25">
      <c r="A1963" s="7" t="s">
        <v>102</v>
      </c>
      <c r="B1963" s="7">
        <f t="shared" si="453"/>
        <v>2046</v>
      </c>
      <c r="C1963" s="4" t="s">
        <v>17</v>
      </c>
      <c r="D1963" s="5" t="s">
        <v>128</v>
      </c>
      <c r="E1963" s="10" t="str">
        <f t="shared" si="451"/>
        <v>PSDP'!</v>
      </c>
      <c r="F1963" s="5" t="str">
        <f t="shared" si="452"/>
        <v>C:\Users\jaime.benazar\Quorum Business Solutions\Ecopetrol Prometeo - Documents\Planning Space Implementation\3. Analysis &amp; Design\Design\FC22\DRR Jaime\QUIFA-CAJÚA\Cajua\[VAS_CAJUA_CF_SEC_20230125.xlsx]CF PSDP'!</v>
      </c>
      <c r="G1963" s="7" t="s">
        <v>39</v>
      </c>
      <c r="H1963" s="4"/>
      <c r="I1963" s="4"/>
      <c r="J1963" s="4"/>
    </row>
    <row r="1964" spans="1:10" x14ac:dyDescent="0.25">
      <c r="A1964" s="7" t="s">
        <v>102</v>
      </c>
      <c r="B1964" s="7">
        <f t="shared" si="453"/>
        <v>2047</v>
      </c>
      <c r="C1964" s="4" t="s">
        <v>17</v>
      </c>
      <c r="D1964" s="5" t="s">
        <v>128</v>
      </c>
      <c r="E1964" s="10" t="str">
        <f t="shared" si="451"/>
        <v>PSDP'!</v>
      </c>
      <c r="F1964" s="5" t="str">
        <f t="shared" si="452"/>
        <v>C:\Users\jaime.benazar\Quorum Business Solutions\Ecopetrol Prometeo - Documents\Planning Space Implementation\3. Analysis &amp; Design\Design\FC22\DRR Jaime\QUIFA-CAJÚA\Cajua\[VAS_CAJUA_CF_SEC_20230125.xlsx]CF PSDP'!</v>
      </c>
      <c r="G1964" s="7" t="s">
        <v>39</v>
      </c>
      <c r="H1964" s="4"/>
      <c r="I1964" s="4"/>
      <c r="J1964" s="4"/>
    </row>
    <row r="1965" spans="1:10" x14ac:dyDescent="0.25">
      <c r="A1965" s="7" t="s">
        <v>102</v>
      </c>
      <c r="B1965" s="7">
        <f t="shared" si="453"/>
        <v>2048</v>
      </c>
      <c r="C1965" s="4" t="s">
        <v>17</v>
      </c>
      <c r="D1965" s="5" t="s">
        <v>128</v>
      </c>
      <c r="E1965" s="10" t="str">
        <f t="shared" si="451"/>
        <v>PSDP'!</v>
      </c>
      <c r="F1965" s="5" t="str">
        <f t="shared" si="452"/>
        <v>C:\Users\jaime.benazar\Quorum Business Solutions\Ecopetrol Prometeo - Documents\Planning Space Implementation\3. Analysis &amp; Design\Design\FC22\DRR Jaime\QUIFA-CAJÚA\Cajua\[VAS_CAJUA_CF_SEC_20230125.xlsx]CF PSDP'!</v>
      </c>
      <c r="G1965" s="7" t="s">
        <v>39</v>
      </c>
      <c r="H1965" s="4"/>
      <c r="I1965" s="4"/>
      <c r="J1965" s="4"/>
    </row>
    <row r="1966" spans="1:10" x14ac:dyDescent="0.25">
      <c r="A1966" s="7" t="s">
        <v>102</v>
      </c>
      <c r="B1966" s="7">
        <f t="shared" si="453"/>
        <v>2049</v>
      </c>
      <c r="C1966" s="4" t="s">
        <v>17</v>
      </c>
      <c r="D1966" s="5" t="s">
        <v>128</v>
      </c>
      <c r="E1966" s="10" t="str">
        <f t="shared" si="451"/>
        <v>PSDP'!</v>
      </c>
      <c r="F1966" s="5" t="str">
        <f t="shared" si="452"/>
        <v>C:\Users\jaime.benazar\Quorum Business Solutions\Ecopetrol Prometeo - Documents\Planning Space Implementation\3. Analysis &amp; Design\Design\FC22\DRR Jaime\QUIFA-CAJÚA\Cajua\[VAS_CAJUA_CF_SEC_20230125.xlsx]CF PSDP'!</v>
      </c>
      <c r="G1966" s="7" t="s">
        <v>39</v>
      </c>
      <c r="H1966" s="4"/>
      <c r="I1966" s="4"/>
      <c r="J1966" s="4"/>
    </row>
    <row r="1967" spans="1:10" x14ac:dyDescent="0.25">
      <c r="A1967" s="7" t="s">
        <v>102</v>
      </c>
      <c r="B1967" s="7">
        <f t="shared" si="453"/>
        <v>2050</v>
      </c>
      <c r="C1967" s="4" t="s">
        <v>17</v>
      </c>
      <c r="D1967" s="5" t="s">
        <v>128</v>
      </c>
      <c r="E1967" s="10" t="str">
        <f t="shared" si="451"/>
        <v>PSDP'!</v>
      </c>
      <c r="F1967" s="5" t="str">
        <f t="shared" si="452"/>
        <v>C:\Users\jaime.benazar\Quorum Business Solutions\Ecopetrol Prometeo - Documents\Planning Space Implementation\3. Analysis &amp; Design\Design\FC22\DRR Jaime\QUIFA-CAJÚA\Cajua\[VAS_CAJUA_CF_SEC_20230125.xlsx]CF PSDP'!</v>
      </c>
      <c r="G1967" s="7" t="s">
        <v>39</v>
      </c>
      <c r="H1967" s="4"/>
      <c r="I1967" s="4"/>
      <c r="J1967" s="4"/>
    </row>
    <row r="1968" spans="1:10" x14ac:dyDescent="0.25">
      <c r="A1968" s="7" t="s">
        <v>102</v>
      </c>
      <c r="B1968" s="7">
        <f t="shared" si="453"/>
        <v>2051</v>
      </c>
      <c r="C1968" s="4" t="s">
        <v>17</v>
      </c>
      <c r="D1968" s="5" t="s">
        <v>128</v>
      </c>
      <c r="E1968" s="10" t="str">
        <f t="shared" si="451"/>
        <v>PSDP'!</v>
      </c>
      <c r="F1968" s="5" t="str">
        <f t="shared" si="452"/>
        <v>C:\Users\jaime.benazar\Quorum Business Solutions\Ecopetrol Prometeo - Documents\Planning Space Implementation\3. Analysis &amp; Design\Design\FC22\DRR Jaime\QUIFA-CAJÚA\Cajua\[VAS_CAJUA_CF_SEC_20230125.xlsx]CF PSDP'!</v>
      </c>
      <c r="G1968" s="7" t="s">
        <v>39</v>
      </c>
      <c r="H1968" s="4"/>
      <c r="I1968" s="4"/>
      <c r="J1968" s="4"/>
    </row>
    <row r="1969" spans="1:10" x14ac:dyDescent="0.25">
      <c r="A1969" s="7" t="s">
        <v>102</v>
      </c>
      <c r="B1969" s="7">
        <f t="shared" si="453"/>
        <v>2052</v>
      </c>
      <c r="C1969" s="4" t="s">
        <v>17</v>
      </c>
      <c r="D1969" s="5" t="s">
        <v>128</v>
      </c>
      <c r="E1969" s="10" t="str">
        <f t="shared" si="451"/>
        <v>PSDP'!</v>
      </c>
      <c r="F1969" s="5" t="str">
        <f t="shared" si="452"/>
        <v>C:\Users\jaime.benazar\Quorum Business Solutions\Ecopetrol Prometeo - Documents\Planning Space Implementation\3. Analysis &amp; Design\Design\FC22\DRR Jaime\QUIFA-CAJÚA\Cajua\[VAS_CAJUA_CF_SEC_20230125.xlsx]CF PSDP'!</v>
      </c>
      <c r="G1969" s="7" t="s">
        <v>39</v>
      </c>
      <c r="H1969" s="4"/>
      <c r="I1969" s="4"/>
      <c r="J1969" s="4"/>
    </row>
    <row r="1970" spans="1:10" x14ac:dyDescent="0.25">
      <c r="A1970" s="7" t="s">
        <v>102</v>
      </c>
      <c r="B1970" s="7">
        <f t="shared" si="453"/>
        <v>2053</v>
      </c>
      <c r="C1970" s="4" t="s">
        <v>17</v>
      </c>
      <c r="D1970" s="5" t="s">
        <v>128</v>
      </c>
      <c r="E1970" s="10" t="str">
        <f t="shared" si="451"/>
        <v>PSDP'!</v>
      </c>
      <c r="F1970" s="5" t="str">
        <f t="shared" si="452"/>
        <v>C:\Users\jaime.benazar\Quorum Business Solutions\Ecopetrol Prometeo - Documents\Planning Space Implementation\3. Analysis &amp; Design\Design\FC22\DRR Jaime\QUIFA-CAJÚA\Cajua\[VAS_CAJUA_CF_SEC_20230125.xlsx]CF PSDP'!</v>
      </c>
      <c r="G1970" s="7" t="s">
        <v>39</v>
      </c>
      <c r="H1970" s="4"/>
      <c r="I1970" s="4"/>
      <c r="J1970" s="4"/>
    </row>
    <row r="1971" spans="1:10" x14ac:dyDescent="0.25">
      <c r="A1971" s="7" t="s">
        <v>102</v>
      </c>
      <c r="B1971" s="7">
        <f t="shared" si="453"/>
        <v>2054</v>
      </c>
      <c r="C1971" s="4" t="s">
        <v>17</v>
      </c>
      <c r="D1971" s="5" t="s">
        <v>128</v>
      </c>
      <c r="E1971" s="10" t="str">
        <f t="shared" si="451"/>
        <v>PSDP'!</v>
      </c>
      <c r="F1971" s="5" t="str">
        <f t="shared" si="452"/>
        <v>C:\Users\jaime.benazar\Quorum Business Solutions\Ecopetrol Prometeo - Documents\Planning Space Implementation\3. Analysis &amp; Design\Design\FC22\DRR Jaime\QUIFA-CAJÚA\Cajua\[VAS_CAJUA_CF_SEC_20230125.xlsx]CF PSDP'!</v>
      </c>
      <c r="G1971" s="7" t="s">
        <v>39</v>
      </c>
      <c r="H1971" s="4"/>
      <c r="I1971" s="4"/>
      <c r="J1971" s="4"/>
    </row>
    <row r="1972" spans="1:10" x14ac:dyDescent="0.25">
      <c r="A1972" s="7" t="s">
        <v>102</v>
      </c>
      <c r="B1972" s="7">
        <f t="shared" si="453"/>
        <v>2055</v>
      </c>
      <c r="C1972" s="4" t="s">
        <v>17</v>
      </c>
      <c r="D1972" s="5" t="s">
        <v>128</v>
      </c>
      <c r="E1972" s="10" t="str">
        <f t="shared" si="451"/>
        <v>PSDP'!</v>
      </c>
      <c r="F1972" s="5" t="str">
        <f t="shared" si="452"/>
        <v>C:\Users\jaime.benazar\Quorum Business Solutions\Ecopetrol Prometeo - Documents\Planning Space Implementation\3. Analysis &amp; Design\Design\FC22\DRR Jaime\QUIFA-CAJÚA\Cajua\[VAS_CAJUA_CF_SEC_20230125.xlsx]CF PSDP'!</v>
      </c>
      <c r="G1972" s="7" t="s">
        <v>39</v>
      </c>
      <c r="H1972" s="4"/>
      <c r="I1972" s="4"/>
      <c r="J1972" s="4"/>
    </row>
    <row r="1973" spans="1:10" x14ac:dyDescent="0.25">
      <c r="A1973" s="7" t="s">
        <v>102</v>
      </c>
      <c r="B1973" s="7">
        <f t="shared" si="453"/>
        <v>2056</v>
      </c>
      <c r="C1973" s="4" t="s">
        <v>17</v>
      </c>
      <c r="D1973" s="5" t="s">
        <v>128</v>
      </c>
      <c r="E1973" s="10" t="str">
        <f t="shared" si="451"/>
        <v>PSDP'!</v>
      </c>
      <c r="F1973" s="5" t="str">
        <f t="shared" si="452"/>
        <v>C:\Users\jaime.benazar\Quorum Business Solutions\Ecopetrol Prometeo - Documents\Planning Space Implementation\3. Analysis &amp; Design\Design\FC22\DRR Jaime\QUIFA-CAJÚA\Cajua\[VAS_CAJUA_CF_SEC_20230125.xlsx]CF PSDP'!</v>
      </c>
      <c r="G1973" s="7" t="s">
        <v>39</v>
      </c>
      <c r="H1973" s="4"/>
      <c r="I1973" s="4"/>
      <c r="J1973" s="4"/>
    </row>
    <row r="1974" spans="1:10" x14ac:dyDescent="0.25">
      <c r="A1974" s="7" t="s">
        <v>102</v>
      </c>
      <c r="B1974" s="7">
        <f t="shared" si="453"/>
        <v>2057</v>
      </c>
      <c r="C1974" s="4" t="s">
        <v>17</v>
      </c>
      <c r="D1974" s="5" t="s">
        <v>128</v>
      </c>
      <c r="E1974" s="10" t="str">
        <f t="shared" si="451"/>
        <v>PSDP'!</v>
      </c>
      <c r="F1974" s="5" t="str">
        <f t="shared" si="452"/>
        <v>C:\Users\jaime.benazar\Quorum Business Solutions\Ecopetrol Prometeo - Documents\Planning Space Implementation\3. Analysis &amp; Design\Design\FC22\DRR Jaime\QUIFA-CAJÚA\Cajua\[VAS_CAJUA_CF_SEC_20230125.xlsx]CF PSDP'!</v>
      </c>
      <c r="G1974" s="7" t="s">
        <v>39</v>
      </c>
      <c r="H1974" s="4"/>
      <c r="I1974" s="4"/>
      <c r="J1974" s="4"/>
    </row>
    <row r="1975" spans="1:10" x14ac:dyDescent="0.25">
      <c r="A1975" s="7" t="s">
        <v>102</v>
      </c>
      <c r="B1975" s="7">
        <f t="shared" si="453"/>
        <v>2058</v>
      </c>
      <c r="C1975" s="4" t="s">
        <v>17</v>
      </c>
      <c r="D1975" s="5" t="s">
        <v>128</v>
      </c>
      <c r="E1975" s="10" t="str">
        <f t="shared" si="451"/>
        <v>PSDP'!</v>
      </c>
      <c r="F1975" s="5" t="str">
        <f t="shared" si="452"/>
        <v>C:\Users\jaime.benazar\Quorum Business Solutions\Ecopetrol Prometeo - Documents\Planning Space Implementation\3. Analysis &amp; Design\Design\FC22\DRR Jaime\QUIFA-CAJÚA\Cajua\[VAS_CAJUA_CF_SEC_20230125.xlsx]CF PSDP'!</v>
      </c>
      <c r="G1975" s="7" t="s">
        <v>39</v>
      </c>
      <c r="H1975" s="4"/>
      <c r="I1975" s="4"/>
      <c r="J1975" s="4"/>
    </row>
    <row r="1976" spans="1:10" x14ac:dyDescent="0.25">
      <c r="A1976" s="7" t="s">
        <v>102</v>
      </c>
      <c r="B1976" s="7">
        <f t="shared" si="453"/>
        <v>2059</v>
      </c>
      <c r="C1976" s="4" t="s">
        <v>17</v>
      </c>
      <c r="D1976" s="5" t="s">
        <v>128</v>
      </c>
      <c r="E1976" s="10" t="str">
        <f t="shared" si="451"/>
        <v>PSDP'!</v>
      </c>
      <c r="F1976" s="5" t="str">
        <f t="shared" si="452"/>
        <v>C:\Users\jaime.benazar\Quorum Business Solutions\Ecopetrol Prometeo - Documents\Planning Space Implementation\3. Analysis &amp; Design\Design\FC22\DRR Jaime\QUIFA-CAJÚA\Cajua\[VAS_CAJUA_CF_SEC_20230125.xlsx]CF PSDP'!</v>
      </c>
      <c r="G1976" s="7" t="s">
        <v>39</v>
      </c>
      <c r="H1976" s="4"/>
      <c r="I1976" s="4"/>
      <c r="J1976" s="4"/>
    </row>
    <row r="1977" spans="1:10" x14ac:dyDescent="0.25">
      <c r="A1977" s="7" t="s">
        <v>28</v>
      </c>
      <c r="B1977" s="7"/>
      <c r="C1977" s="4" t="s">
        <v>17</v>
      </c>
      <c r="D1977" s="5"/>
      <c r="E1977" s="10"/>
      <c r="F1977" s="5"/>
      <c r="G1977" s="7"/>
      <c r="H1977" s="4"/>
      <c r="I1977" s="4"/>
      <c r="J1977" s="4"/>
    </row>
    <row r="1978" spans="1:10" x14ac:dyDescent="0.25">
      <c r="A1978" s="7" t="s">
        <v>103</v>
      </c>
      <c r="B1978" s="7">
        <v>2023</v>
      </c>
      <c r="C1978" s="4" t="s">
        <v>17</v>
      </c>
      <c r="D1978" s="5" t="s">
        <v>128</v>
      </c>
      <c r="E1978" s="10" t="str">
        <f t="shared" ref="E1978:E1998" si="454">_xlfn.CONCAT(A1978,"'!")</f>
        <v>PSNP'!</v>
      </c>
      <c r="F1978" s="5" t="str">
        <f t="shared" ref="F1978:F1998" si="455">_xlfn.CONCAT(D1978," ",E1978)</f>
        <v>C:\Users\jaime.benazar\Quorum Business Solutions\Ecopetrol Prometeo - Documents\Planning Space Implementation\3. Analysis &amp; Design\Design\FC22\DRR Jaime\QUIFA-CAJÚA\Cajua\[VAS_CAJUA_CF_SEC_20230125.xlsx]CF PSNP'!</v>
      </c>
      <c r="G1978" s="7" t="s">
        <v>39</v>
      </c>
      <c r="H1978" s="4"/>
      <c r="I1978" s="4"/>
      <c r="J1978" s="4"/>
    </row>
    <row r="1979" spans="1:10" x14ac:dyDescent="0.25">
      <c r="A1979" s="7" t="s">
        <v>103</v>
      </c>
      <c r="B1979" s="7">
        <f>+B1978+1</f>
        <v>2024</v>
      </c>
      <c r="C1979" s="4" t="s">
        <v>17</v>
      </c>
      <c r="D1979" s="5" t="s">
        <v>128</v>
      </c>
      <c r="E1979" s="10" t="str">
        <f t="shared" si="454"/>
        <v>PSNP'!</v>
      </c>
      <c r="F1979" s="5" t="str">
        <f t="shared" si="455"/>
        <v>C:\Users\jaime.benazar\Quorum Business Solutions\Ecopetrol Prometeo - Documents\Planning Space Implementation\3. Analysis &amp; Design\Design\FC22\DRR Jaime\QUIFA-CAJÚA\Cajua\[VAS_CAJUA_CF_SEC_20230125.xlsx]CF PSNP'!</v>
      </c>
      <c r="G1979" s="7" t="s">
        <v>39</v>
      </c>
      <c r="H1979" s="4"/>
      <c r="I1979" s="4"/>
      <c r="J1979" s="4"/>
    </row>
    <row r="1980" spans="1:10" x14ac:dyDescent="0.25">
      <c r="A1980" s="7" t="s">
        <v>103</v>
      </c>
      <c r="B1980" s="7">
        <f t="shared" ref="B1980:B1991" si="456">+B1979+1</f>
        <v>2025</v>
      </c>
      <c r="C1980" s="4" t="s">
        <v>17</v>
      </c>
      <c r="D1980" s="5" t="s">
        <v>128</v>
      </c>
      <c r="E1980" s="10" t="str">
        <f t="shared" si="454"/>
        <v>PSNP'!</v>
      </c>
      <c r="F1980" s="5" t="str">
        <f t="shared" si="455"/>
        <v>C:\Users\jaime.benazar\Quorum Business Solutions\Ecopetrol Prometeo - Documents\Planning Space Implementation\3. Analysis &amp; Design\Design\FC22\DRR Jaime\QUIFA-CAJÚA\Cajua\[VAS_CAJUA_CF_SEC_20230125.xlsx]CF PSNP'!</v>
      </c>
      <c r="G1980" s="7" t="s">
        <v>39</v>
      </c>
      <c r="H1980" s="4"/>
      <c r="I1980" s="4"/>
      <c r="J1980" s="4"/>
    </row>
    <row r="1981" spans="1:10" x14ac:dyDescent="0.25">
      <c r="A1981" s="7" t="s">
        <v>103</v>
      </c>
      <c r="B1981" s="7">
        <f t="shared" si="456"/>
        <v>2026</v>
      </c>
      <c r="C1981" s="4" t="s">
        <v>17</v>
      </c>
      <c r="D1981" s="5" t="s">
        <v>128</v>
      </c>
      <c r="E1981" s="10" t="str">
        <f t="shared" si="454"/>
        <v>PSNP'!</v>
      </c>
      <c r="F1981" s="5" t="str">
        <f t="shared" si="455"/>
        <v>C:\Users\jaime.benazar\Quorum Business Solutions\Ecopetrol Prometeo - Documents\Planning Space Implementation\3. Analysis &amp; Design\Design\FC22\DRR Jaime\QUIFA-CAJÚA\Cajua\[VAS_CAJUA_CF_SEC_20230125.xlsx]CF PSNP'!</v>
      </c>
      <c r="G1981" s="7" t="s">
        <v>39</v>
      </c>
      <c r="H1981" s="4"/>
      <c r="I1981" s="4"/>
      <c r="J1981" s="4"/>
    </row>
    <row r="1982" spans="1:10" x14ac:dyDescent="0.25">
      <c r="A1982" s="7" t="s">
        <v>103</v>
      </c>
      <c r="B1982" s="7">
        <f t="shared" si="456"/>
        <v>2027</v>
      </c>
      <c r="C1982" s="4" t="s">
        <v>17</v>
      </c>
      <c r="D1982" s="5" t="s">
        <v>128</v>
      </c>
      <c r="E1982" s="10" t="str">
        <f t="shared" si="454"/>
        <v>PSNP'!</v>
      </c>
      <c r="F1982" s="5" t="str">
        <f t="shared" si="455"/>
        <v>C:\Users\jaime.benazar\Quorum Business Solutions\Ecopetrol Prometeo - Documents\Planning Space Implementation\3. Analysis &amp; Design\Design\FC22\DRR Jaime\QUIFA-CAJÚA\Cajua\[VAS_CAJUA_CF_SEC_20230125.xlsx]CF PSNP'!</v>
      </c>
      <c r="G1982" s="7" t="s">
        <v>39</v>
      </c>
      <c r="H1982" s="4"/>
      <c r="I1982" s="4"/>
      <c r="J1982" s="4"/>
    </row>
    <row r="1983" spans="1:10" x14ac:dyDescent="0.25">
      <c r="A1983" s="7" t="s">
        <v>103</v>
      </c>
      <c r="B1983" s="7">
        <f t="shared" si="456"/>
        <v>2028</v>
      </c>
      <c r="C1983" s="4" t="s">
        <v>17</v>
      </c>
      <c r="D1983" s="5" t="s">
        <v>128</v>
      </c>
      <c r="E1983" s="10" t="str">
        <f t="shared" si="454"/>
        <v>PSNP'!</v>
      </c>
      <c r="F1983" s="5" t="str">
        <f t="shared" si="455"/>
        <v>C:\Users\jaime.benazar\Quorum Business Solutions\Ecopetrol Prometeo - Documents\Planning Space Implementation\3. Analysis &amp; Design\Design\FC22\DRR Jaime\QUIFA-CAJÚA\Cajua\[VAS_CAJUA_CF_SEC_20230125.xlsx]CF PSNP'!</v>
      </c>
      <c r="G1983" s="7" t="s">
        <v>39</v>
      </c>
      <c r="H1983" s="4"/>
      <c r="I1983" s="4"/>
      <c r="J1983" s="4"/>
    </row>
    <row r="1984" spans="1:10" x14ac:dyDescent="0.25">
      <c r="A1984" s="7" t="s">
        <v>103</v>
      </c>
      <c r="B1984" s="7">
        <f t="shared" si="456"/>
        <v>2029</v>
      </c>
      <c r="C1984" s="4" t="s">
        <v>17</v>
      </c>
      <c r="D1984" s="5" t="s">
        <v>128</v>
      </c>
      <c r="E1984" s="10" t="str">
        <f t="shared" si="454"/>
        <v>PSNP'!</v>
      </c>
      <c r="F1984" s="5" t="str">
        <f t="shared" si="455"/>
        <v>C:\Users\jaime.benazar\Quorum Business Solutions\Ecopetrol Prometeo - Documents\Planning Space Implementation\3. Analysis &amp; Design\Design\FC22\DRR Jaime\QUIFA-CAJÚA\Cajua\[VAS_CAJUA_CF_SEC_20230125.xlsx]CF PSNP'!</v>
      </c>
      <c r="G1984" s="7" t="s">
        <v>39</v>
      </c>
      <c r="H1984" s="4"/>
      <c r="I1984" s="4"/>
      <c r="J1984" s="4"/>
    </row>
    <row r="1985" spans="1:10" x14ac:dyDescent="0.25">
      <c r="A1985" s="7" t="s">
        <v>103</v>
      </c>
      <c r="B1985" s="7">
        <f t="shared" si="456"/>
        <v>2030</v>
      </c>
      <c r="C1985" s="4" t="s">
        <v>17</v>
      </c>
      <c r="D1985" s="5" t="s">
        <v>128</v>
      </c>
      <c r="E1985" s="10" t="str">
        <f t="shared" si="454"/>
        <v>PSNP'!</v>
      </c>
      <c r="F1985" s="5" t="str">
        <f t="shared" si="455"/>
        <v>C:\Users\jaime.benazar\Quorum Business Solutions\Ecopetrol Prometeo - Documents\Planning Space Implementation\3. Analysis &amp; Design\Design\FC22\DRR Jaime\QUIFA-CAJÚA\Cajua\[VAS_CAJUA_CF_SEC_20230125.xlsx]CF PSNP'!</v>
      </c>
      <c r="G1985" s="7" t="s">
        <v>39</v>
      </c>
      <c r="H1985" s="4"/>
      <c r="I1985" s="4"/>
      <c r="J1985" s="4"/>
    </row>
    <row r="1986" spans="1:10" x14ac:dyDescent="0.25">
      <c r="A1986" s="7" t="s">
        <v>103</v>
      </c>
      <c r="B1986" s="7">
        <f t="shared" si="456"/>
        <v>2031</v>
      </c>
      <c r="C1986" s="4" t="s">
        <v>17</v>
      </c>
      <c r="D1986" s="5" t="s">
        <v>128</v>
      </c>
      <c r="E1986" s="10" t="str">
        <f t="shared" si="454"/>
        <v>PSNP'!</v>
      </c>
      <c r="F1986" s="5" t="str">
        <f t="shared" si="455"/>
        <v>C:\Users\jaime.benazar\Quorum Business Solutions\Ecopetrol Prometeo - Documents\Planning Space Implementation\3. Analysis &amp; Design\Design\FC22\DRR Jaime\QUIFA-CAJÚA\Cajua\[VAS_CAJUA_CF_SEC_20230125.xlsx]CF PSNP'!</v>
      </c>
      <c r="G1986" s="7" t="s">
        <v>39</v>
      </c>
      <c r="H1986" s="4"/>
      <c r="I1986" s="4"/>
      <c r="J1986" s="4"/>
    </row>
    <row r="1987" spans="1:10" x14ac:dyDescent="0.25">
      <c r="A1987" s="7" t="s">
        <v>103</v>
      </c>
      <c r="B1987" s="7">
        <f t="shared" si="456"/>
        <v>2032</v>
      </c>
      <c r="C1987" s="4" t="s">
        <v>17</v>
      </c>
      <c r="D1987" s="5" t="s">
        <v>128</v>
      </c>
      <c r="E1987" s="10" t="str">
        <f t="shared" si="454"/>
        <v>PSNP'!</v>
      </c>
      <c r="F1987" s="5" t="str">
        <f t="shared" si="455"/>
        <v>C:\Users\jaime.benazar\Quorum Business Solutions\Ecopetrol Prometeo - Documents\Planning Space Implementation\3. Analysis &amp; Design\Design\FC22\DRR Jaime\QUIFA-CAJÚA\Cajua\[VAS_CAJUA_CF_SEC_20230125.xlsx]CF PSNP'!</v>
      </c>
      <c r="G1987" s="7" t="s">
        <v>39</v>
      </c>
      <c r="H1987" s="4"/>
      <c r="I1987" s="4"/>
      <c r="J1987" s="4"/>
    </row>
    <row r="1988" spans="1:10" x14ac:dyDescent="0.25">
      <c r="A1988" s="7" t="s">
        <v>103</v>
      </c>
      <c r="B1988" s="7">
        <f t="shared" si="456"/>
        <v>2033</v>
      </c>
      <c r="C1988" s="4" t="s">
        <v>17</v>
      </c>
      <c r="D1988" s="5" t="s">
        <v>128</v>
      </c>
      <c r="E1988" s="10" t="str">
        <f t="shared" si="454"/>
        <v>PSNP'!</v>
      </c>
      <c r="F1988" s="5" t="str">
        <f t="shared" si="455"/>
        <v>C:\Users\jaime.benazar\Quorum Business Solutions\Ecopetrol Prometeo - Documents\Planning Space Implementation\3. Analysis &amp; Design\Design\FC22\DRR Jaime\QUIFA-CAJÚA\Cajua\[VAS_CAJUA_CF_SEC_20230125.xlsx]CF PSNP'!</v>
      </c>
      <c r="G1988" s="7" t="s">
        <v>39</v>
      </c>
      <c r="H1988" s="4"/>
      <c r="I1988" s="4"/>
      <c r="J1988" s="4"/>
    </row>
    <row r="1989" spans="1:10" x14ac:dyDescent="0.25">
      <c r="A1989" s="7" t="s">
        <v>103</v>
      </c>
      <c r="B1989" s="7">
        <f t="shared" si="456"/>
        <v>2034</v>
      </c>
      <c r="C1989" s="4" t="s">
        <v>17</v>
      </c>
      <c r="D1989" s="5" t="s">
        <v>128</v>
      </c>
      <c r="E1989" s="10" t="str">
        <f t="shared" si="454"/>
        <v>PSNP'!</v>
      </c>
      <c r="F1989" s="5" t="str">
        <f t="shared" si="455"/>
        <v>C:\Users\jaime.benazar\Quorum Business Solutions\Ecopetrol Prometeo - Documents\Planning Space Implementation\3. Analysis &amp; Design\Design\FC22\DRR Jaime\QUIFA-CAJÚA\Cajua\[VAS_CAJUA_CF_SEC_20230125.xlsx]CF PSNP'!</v>
      </c>
      <c r="G1989" s="7" t="s">
        <v>39</v>
      </c>
      <c r="H1989" s="4"/>
      <c r="I1989" s="4"/>
      <c r="J1989" s="4"/>
    </row>
    <row r="1990" spans="1:10" x14ac:dyDescent="0.25">
      <c r="A1990" s="7" t="s">
        <v>103</v>
      </c>
      <c r="B1990" s="7">
        <f t="shared" si="456"/>
        <v>2035</v>
      </c>
      <c r="C1990" s="4" t="s">
        <v>17</v>
      </c>
      <c r="D1990" s="5" t="s">
        <v>128</v>
      </c>
      <c r="E1990" s="10" t="str">
        <f t="shared" si="454"/>
        <v>PSNP'!</v>
      </c>
      <c r="F1990" s="5" t="str">
        <f t="shared" si="455"/>
        <v>C:\Users\jaime.benazar\Quorum Business Solutions\Ecopetrol Prometeo - Documents\Planning Space Implementation\3. Analysis &amp; Design\Design\FC22\DRR Jaime\QUIFA-CAJÚA\Cajua\[VAS_CAJUA_CF_SEC_20230125.xlsx]CF PSNP'!</v>
      </c>
      <c r="G1990" s="7" t="s">
        <v>39</v>
      </c>
      <c r="H1990" s="4"/>
      <c r="I1990" s="4"/>
      <c r="J1990" s="4"/>
    </row>
    <row r="1991" spans="1:10" x14ac:dyDescent="0.25">
      <c r="A1991" s="7" t="s">
        <v>103</v>
      </c>
      <c r="B1991" s="7">
        <f t="shared" si="456"/>
        <v>2036</v>
      </c>
      <c r="C1991" s="4" t="s">
        <v>17</v>
      </c>
      <c r="D1991" s="5" t="s">
        <v>128</v>
      </c>
      <c r="E1991" s="10" t="str">
        <f t="shared" si="454"/>
        <v>PSNP'!</v>
      </c>
      <c r="F1991" s="5" t="str">
        <f t="shared" si="455"/>
        <v>C:\Users\jaime.benazar\Quorum Business Solutions\Ecopetrol Prometeo - Documents\Planning Space Implementation\3. Analysis &amp; Design\Design\FC22\DRR Jaime\QUIFA-CAJÚA\Cajua\[VAS_CAJUA_CF_SEC_20230125.xlsx]CF PSNP'!</v>
      </c>
      <c r="G1991" s="7" t="s">
        <v>39</v>
      </c>
      <c r="H1991" s="4"/>
      <c r="I1991" s="4"/>
      <c r="J1991" s="4"/>
    </row>
    <row r="1992" spans="1:10" x14ac:dyDescent="0.25">
      <c r="A1992" s="7" t="s">
        <v>103</v>
      </c>
      <c r="B1992" s="7">
        <f>+B1991+1</f>
        <v>2037</v>
      </c>
      <c r="C1992" s="4" t="s">
        <v>17</v>
      </c>
      <c r="D1992" s="5" t="s">
        <v>128</v>
      </c>
      <c r="E1992" s="10" t="str">
        <f t="shared" si="454"/>
        <v>PSNP'!</v>
      </c>
      <c r="F1992" s="5" t="str">
        <f t="shared" si="455"/>
        <v>C:\Users\jaime.benazar\Quorum Business Solutions\Ecopetrol Prometeo - Documents\Planning Space Implementation\3. Analysis &amp; Design\Design\FC22\DRR Jaime\QUIFA-CAJÚA\Cajua\[VAS_CAJUA_CF_SEC_20230125.xlsx]CF PSNP'!</v>
      </c>
      <c r="G1992" s="7" t="s">
        <v>39</v>
      </c>
      <c r="H1992" s="4"/>
      <c r="I1992" s="4"/>
      <c r="J1992" s="4"/>
    </row>
    <row r="1993" spans="1:10" x14ac:dyDescent="0.25">
      <c r="A1993" s="7" t="s">
        <v>103</v>
      </c>
      <c r="B1993" s="7">
        <f t="shared" ref="B1993:B1995" si="457">+B1992+1</f>
        <v>2038</v>
      </c>
      <c r="C1993" s="4" t="s">
        <v>17</v>
      </c>
      <c r="D1993" s="5" t="s">
        <v>128</v>
      </c>
      <c r="E1993" s="10" t="str">
        <f t="shared" si="454"/>
        <v>PSNP'!</v>
      </c>
      <c r="F1993" s="5" t="str">
        <f t="shared" si="455"/>
        <v>C:\Users\jaime.benazar\Quorum Business Solutions\Ecopetrol Prometeo - Documents\Planning Space Implementation\3. Analysis &amp; Design\Design\FC22\DRR Jaime\QUIFA-CAJÚA\Cajua\[VAS_CAJUA_CF_SEC_20230125.xlsx]CF PSNP'!</v>
      </c>
      <c r="G1993" s="7" t="s">
        <v>39</v>
      </c>
      <c r="H1993" s="4"/>
      <c r="I1993" s="4"/>
      <c r="J1993" s="4"/>
    </row>
    <row r="1994" spans="1:10" x14ac:dyDescent="0.25">
      <c r="A1994" s="7" t="s">
        <v>103</v>
      </c>
      <c r="B1994" s="7">
        <f t="shared" si="457"/>
        <v>2039</v>
      </c>
      <c r="C1994" s="4" t="s">
        <v>17</v>
      </c>
      <c r="D1994" s="5" t="s">
        <v>128</v>
      </c>
      <c r="E1994" s="10" t="str">
        <f t="shared" si="454"/>
        <v>PSNP'!</v>
      </c>
      <c r="F1994" s="5" t="str">
        <f t="shared" si="455"/>
        <v>C:\Users\jaime.benazar\Quorum Business Solutions\Ecopetrol Prometeo - Documents\Planning Space Implementation\3. Analysis &amp; Design\Design\FC22\DRR Jaime\QUIFA-CAJÚA\Cajua\[VAS_CAJUA_CF_SEC_20230125.xlsx]CF PSNP'!</v>
      </c>
      <c r="G1994" s="7" t="s">
        <v>39</v>
      </c>
      <c r="H1994" s="4"/>
      <c r="I1994" s="4"/>
      <c r="J1994" s="4"/>
    </row>
    <row r="1995" spans="1:10" x14ac:dyDescent="0.25">
      <c r="A1995" s="7" t="s">
        <v>103</v>
      </c>
      <c r="B1995" s="7">
        <f t="shared" si="457"/>
        <v>2040</v>
      </c>
      <c r="C1995" s="4" t="s">
        <v>17</v>
      </c>
      <c r="D1995" s="5" t="s">
        <v>128</v>
      </c>
      <c r="E1995" s="10" t="str">
        <f t="shared" si="454"/>
        <v>PSNP'!</v>
      </c>
      <c r="F1995" s="5" t="str">
        <f t="shared" si="455"/>
        <v>C:\Users\jaime.benazar\Quorum Business Solutions\Ecopetrol Prometeo - Documents\Planning Space Implementation\3. Analysis &amp; Design\Design\FC22\DRR Jaime\QUIFA-CAJÚA\Cajua\[VAS_CAJUA_CF_SEC_20230125.xlsx]CF PSNP'!</v>
      </c>
      <c r="G1995" s="7" t="s">
        <v>39</v>
      </c>
      <c r="H1995" s="4"/>
      <c r="I1995" s="4"/>
      <c r="J1995" s="4"/>
    </row>
    <row r="1996" spans="1:10" x14ac:dyDescent="0.25">
      <c r="A1996" s="7" t="s">
        <v>103</v>
      </c>
      <c r="B1996" s="7">
        <f>+B1995+1</f>
        <v>2041</v>
      </c>
      <c r="C1996" s="4" t="s">
        <v>17</v>
      </c>
      <c r="D1996" s="5" t="s">
        <v>128</v>
      </c>
      <c r="E1996" s="10" t="str">
        <f t="shared" si="454"/>
        <v>PSNP'!</v>
      </c>
      <c r="F1996" s="5" t="str">
        <f t="shared" si="455"/>
        <v>C:\Users\jaime.benazar\Quorum Business Solutions\Ecopetrol Prometeo - Documents\Planning Space Implementation\3. Analysis &amp; Design\Design\FC22\DRR Jaime\QUIFA-CAJÚA\Cajua\[VAS_CAJUA_CF_SEC_20230125.xlsx]CF PSNP'!</v>
      </c>
      <c r="G1996" s="7" t="s">
        <v>39</v>
      </c>
      <c r="H1996" s="4"/>
      <c r="I1996" s="4"/>
      <c r="J1996" s="4"/>
    </row>
    <row r="1997" spans="1:10" x14ac:dyDescent="0.25">
      <c r="A1997" s="7" t="s">
        <v>103</v>
      </c>
      <c r="B1997" s="7">
        <f t="shared" ref="B1997:B1998" si="458">+B1996+1</f>
        <v>2042</v>
      </c>
      <c r="C1997" s="4" t="s">
        <v>17</v>
      </c>
      <c r="D1997" s="5" t="s">
        <v>128</v>
      </c>
      <c r="E1997" s="10" t="str">
        <f t="shared" si="454"/>
        <v>PSNP'!</v>
      </c>
      <c r="F1997" s="5" t="str">
        <f t="shared" si="455"/>
        <v>C:\Users\jaime.benazar\Quorum Business Solutions\Ecopetrol Prometeo - Documents\Planning Space Implementation\3. Analysis &amp; Design\Design\FC22\DRR Jaime\QUIFA-CAJÚA\Cajua\[VAS_CAJUA_CF_SEC_20230125.xlsx]CF PSNP'!</v>
      </c>
      <c r="G1997" s="7" t="s">
        <v>39</v>
      </c>
      <c r="H1997" s="4"/>
      <c r="I1997" s="4"/>
      <c r="J1997" s="4"/>
    </row>
    <row r="1998" spans="1:10" x14ac:dyDescent="0.25">
      <c r="A1998" s="7" t="s">
        <v>103</v>
      </c>
      <c r="B1998" s="7">
        <f t="shared" si="458"/>
        <v>2043</v>
      </c>
      <c r="C1998" s="4" t="s">
        <v>17</v>
      </c>
      <c r="D1998" s="5" t="s">
        <v>128</v>
      </c>
      <c r="E1998" s="10" t="str">
        <f t="shared" si="454"/>
        <v>PSNP'!</v>
      </c>
      <c r="F1998" s="5" t="str">
        <f t="shared" si="455"/>
        <v>C:\Users\jaime.benazar\Quorum Business Solutions\Ecopetrol Prometeo - Documents\Planning Space Implementation\3. Analysis &amp; Design\Design\FC22\DRR Jaime\QUIFA-CAJÚA\Cajua\[VAS_CAJUA_CF_SEC_20230125.xlsx]CF PSNP'!</v>
      </c>
      <c r="G1998" s="7" t="s">
        <v>39</v>
      </c>
      <c r="H1998" s="4"/>
      <c r="I1998" s="4"/>
      <c r="J1998" s="4"/>
    </row>
    <row r="1999" spans="1:10" x14ac:dyDescent="0.25">
      <c r="A1999" s="7" t="s">
        <v>103</v>
      </c>
      <c r="B1999" s="7">
        <f>+B1998+1</f>
        <v>2044</v>
      </c>
      <c r="C1999" s="4" t="s">
        <v>17</v>
      </c>
      <c r="D1999" s="5" t="s">
        <v>128</v>
      </c>
      <c r="E1999" s="10" t="str">
        <f t="shared" ref="E1999:E2014" si="459">_xlfn.CONCAT(A1999,"'!")</f>
        <v>PSNP'!</v>
      </c>
      <c r="F1999" s="5" t="str">
        <f t="shared" ref="F1999:F2014" si="460">_xlfn.CONCAT(D1999," ",E1999)</f>
        <v>C:\Users\jaime.benazar\Quorum Business Solutions\Ecopetrol Prometeo - Documents\Planning Space Implementation\3. Analysis &amp; Design\Design\FC22\DRR Jaime\QUIFA-CAJÚA\Cajua\[VAS_CAJUA_CF_SEC_20230125.xlsx]CF PSNP'!</v>
      </c>
      <c r="G1999" s="7" t="s">
        <v>39</v>
      </c>
      <c r="H1999" s="4"/>
      <c r="I1999" s="4"/>
      <c r="J1999" s="4"/>
    </row>
    <row r="2000" spans="1:10" x14ac:dyDescent="0.25">
      <c r="A2000" s="7" t="s">
        <v>103</v>
      </c>
      <c r="B2000" s="7">
        <f t="shared" ref="B2000:B2014" si="461">+B1999+1</f>
        <v>2045</v>
      </c>
      <c r="C2000" s="4" t="s">
        <v>17</v>
      </c>
      <c r="D2000" s="5" t="s">
        <v>128</v>
      </c>
      <c r="E2000" s="10" t="str">
        <f t="shared" si="459"/>
        <v>PSNP'!</v>
      </c>
      <c r="F2000" s="5" t="str">
        <f t="shared" si="460"/>
        <v>C:\Users\jaime.benazar\Quorum Business Solutions\Ecopetrol Prometeo - Documents\Planning Space Implementation\3. Analysis &amp; Design\Design\FC22\DRR Jaime\QUIFA-CAJÚA\Cajua\[VAS_CAJUA_CF_SEC_20230125.xlsx]CF PSNP'!</v>
      </c>
      <c r="G2000" s="7" t="s">
        <v>39</v>
      </c>
      <c r="H2000" s="4"/>
      <c r="I2000" s="4"/>
      <c r="J2000" s="4"/>
    </row>
    <row r="2001" spans="1:10" x14ac:dyDescent="0.25">
      <c r="A2001" s="7" t="s">
        <v>103</v>
      </c>
      <c r="B2001" s="7">
        <f t="shared" si="461"/>
        <v>2046</v>
      </c>
      <c r="C2001" s="4" t="s">
        <v>17</v>
      </c>
      <c r="D2001" s="5" t="s">
        <v>128</v>
      </c>
      <c r="E2001" s="10" t="str">
        <f t="shared" si="459"/>
        <v>PSNP'!</v>
      </c>
      <c r="F2001" s="5" t="str">
        <f t="shared" si="460"/>
        <v>C:\Users\jaime.benazar\Quorum Business Solutions\Ecopetrol Prometeo - Documents\Planning Space Implementation\3. Analysis &amp; Design\Design\FC22\DRR Jaime\QUIFA-CAJÚA\Cajua\[VAS_CAJUA_CF_SEC_20230125.xlsx]CF PSNP'!</v>
      </c>
      <c r="G2001" s="7" t="s">
        <v>39</v>
      </c>
      <c r="H2001" s="4"/>
      <c r="I2001" s="4"/>
      <c r="J2001" s="4"/>
    </row>
    <row r="2002" spans="1:10" x14ac:dyDescent="0.25">
      <c r="A2002" s="7" t="s">
        <v>103</v>
      </c>
      <c r="B2002" s="7">
        <f t="shared" si="461"/>
        <v>2047</v>
      </c>
      <c r="C2002" s="4" t="s">
        <v>17</v>
      </c>
      <c r="D2002" s="5" t="s">
        <v>128</v>
      </c>
      <c r="E2002" s="10" t="str">
        <f t="shared" si="459"/>
        <v>PSNP'!</v>
      </c>
      <c r="F2002" s="5" t="str">
        <f t="shared" si="460"/>
        <v>C:\Users\jaime.benazar\Quorum Business Solutions\Ecopetrol Prometeo - Documents\Planning Space Implementation\3. Analysis &amp; Design\Design\FC22\DRR Jaime\QUIFA-CAJÚA\Cajua\[VAS_CAJUA_CF_SEC_20230125.xlsx]CF PSNP'!</v>
      </c>
      <c r="G2002" s="7" t="s">
        <v>39</v>
      </c>
      <c r="H2002" s="4"/>
      <c r="I2002" s="4"/>
      <c r="J2002" s="4"/>
    </row>
    <row r="2003" spans="1:10" x14ac:dyDescent="0.25">
      <c r="A2003" s="7" t="s">
        <v>103</v>
      </c>
      <c r="B2003" s="7">
        <f t="shared" si="461"/>
        <v>2048</v>
      </c>
      <c r="C2003" s="4" t="s">
        <v>17</v>
      </c>
      <c r="D2003" s="5" t="s">
        <v>128</v>
      </c>
      <c r="E2003" s="10" t="str">
        <f t="shared" si="459"/>
        <v>PSNP'!</v>
      </c>
      <c r="F2003" s="5" t="str">
        <f t="shared" si="460"/>
        <v>C:\Users\jaime.benazar\Quorum Business Solutions\Ecopetrol Prometeo - Documents\Planning Space Implementation\3. Analysis &amp; Design\Design\FC22\DRR Jaime\QUIFA-CAJÚA\Cajua\[VAS_CAJUA_CF_SEC_20230125.xlsx]CF PSNP'!</v>
      </c>
      <c r="G2003" s="7" t="s">
        <v>39</v>
      </c>
      <c r="H2003" s="4"/>
      <c r="I2003" s="4"/>
      <c r="J2003" s="4"/>
    </row>
    <row r="2004" spans="1:10" x14ac:dyDescent="0.25">
      <c r="A2004" s="7" t="s">
        <v>103</v>
      </c>
      <c r="B2004" s="7">
        <f t="shared" si="461"/>
        <v>2049</v>
      </c>
      <c r="C2004" s="4" t="s">
        <v>17</v>
      </c>
      <c r="D2004" s="5" t="s">
        <v>128</v>
      </c>
      <c r="E2004" s="10" t="str">
        <f t="shared" si="459"/>
        <v>PSNP'!</v>
      </c>
      <c r="F2004" s="5" t="str">
        <f t="shared" si="460"/>
        <v>C:\Users\jaime.benazar\Quorum Business Solutions\Ecopetrol Prometeo - Documents\Planning Space Implementation\3. Analysis &amp; Design\Design\FC22\DRR Jaime\QUIFA-CAJÚA\Cajua\[VAS_CAJUA_CF_SEC_20230125.xlsx]CF PSNP'!</v>
      </c>
      <c r="G2004" s="7" t="s">
        <v>39</v>
      </c>
      <c r="H2004" s="4"/>
      <c r="I2004" s="4"/>
      <c r="J2004" s="4"/>
    </row>
    <row r="2005" spans="1:10" x14ac:dyDescent="0.25">
      <c r="A2005" s="7" t="s">
        <v>103</v>
      </c>
      <c r="B2005" s="7">
        <f t="shared" si="461"/>
        <v>2050</v>
      </c>
      <c r="C2005" s="4" t="s">
        <v>17</v>
      </c>
      <c r="D2005" s="5" t="s">
        <v>128</v>
      </c>
      <c r="E2005" s="10" t="str">
        <f t="shared" si="459"/>
        <v>PSNP'!</v>
      </c>
      <c r="F2005" s="5" t="str">
        <f t="shared" si="460"/>
        <v>C:\Users\jaime.benazar\Quorum Business Solutions\Ecopetrol Prometeo - Documents\Planning Space Implementation\3. Analysis &amp; Design\Design\FC22\DRR Jaime\QUIFA-CAJÚA\Cajua\[VAS_CAJUA_CF_SEC_20230125.xlsx]CF PSNP'!</v>
      </c>
      <c r="G2005" s="7" t="s">
        <v>39</v>
      </c>
      <c r="H2005" s="4"/>
      <c r="I2005" s="4"/>
      <c r="J2005" s="4"/>
    </row>
    <row r="2006" spans="1:10" x14ac:dyDescent="0.25">
      <c r="A2006" s="7" t="s">
        <v>103</v>
      </c>
      <c r="B2006" s="7">
        <f t="shared" si="461"/>
        <v>2051</v>
      </c>
      <c r="C2006" s="4" t="s">
        <v>17</v>
      </c>
      <c r="D2006" s="5" t="s">
        <v>128</v>
      </c>
      <c r="E2006" s="10" t="str">
        <f t="shared" si="459"/>
        <v>PSNP'!</v>
      </c>
      <c r="F2006" s="5" t="str">
        <f t="shared" si="460"/>
        <v>C:\Users\jaime.benazar\Quorum Business Solutions\Ecopetrol Prometeo - Documents\Planning Space Implementation\3. Analysis &amp; Design\Design\FC22\DRR Jaime\QUIFA-CAJÚA\Cajua\[VAS_CAJUA_CF_SEC_20230125.xlsx]CF PSNP'!</v>
      </c>
      <c r="G2006" s="7" t="s">
        <v>39</v>
      </c>
      <c r="H2006" s="4"/>
      <c r="I2006" s="4"/>
      <c r="J2006" s="4"/>
    </row>
    <row r="2007" spans="1:10" x14ac:dyDescent="0.25">
      <c r="A2007" s="7" t="s">
        <v>103</v>
      </c>
      <c r="B2007" s="7">
        <f t="shared" si="461"/>
        <v>2052</v>
      </c>
      <c r="C2007" s="4" t="s">
        <v>17</v>
      </c>
      <c r="D2007" s="5" t="s">
        <v>128</v>
      </c>
      <c r="E2007" s="10" t="str">
        <f t="shared" si="459"/>
        <v>PSNP'!</v>
      </c>
      <c r="F2007" s="5" t="str">
        <f t="shared" si="460"/>
        <v>C:\Users\jaime.benazar\Quorum Business Solutions\Ecopetrol Prometeo - Documents\Planning Space Implementation\3. Analysis &amp; Design\Design\FC22\DRR Jaime\QUIFA-CAJÚA\Cajua\[VAS_CAJUA_CF_SEC_20230125.xlsx]CF PSNP'!</v>
      </c>
      <c r="G2007" s="7" t="s">
        <v>39</v>
      </c>
      <c r="H2007" s="4"/>
      <c r="I2007" s="4"/>
      <c r="J2007" s="4"/>
    </row>
    <row r="2008" spans="1:10" x14ac:dyDescent="0.25">
      <c r="A2008" s="7" t="s">
        <v>103</v>
      </c>
      <c r="B2008" s="7">
        <f t="shared" si="461"/>
        <v>2053</v>
      </c>
      <c r="C2008" s="4" t="s">
        <v>17</v>
      </c>
      <c r="D2008" s="5" t="s">
        <v>128</v>
      </c>
      <c r="E2008" s="10" t="str">
        <f t="shared" si="459"/>
        <v>PSNP'!</v>
      </c>
      <c r="F2008" s="5" t="str">
        <f t="shared" si="460"/>
        <v>C:\Users\jaime.benazar\Quorum Business Solutions\Ecopetrol Prometeo - Documents\Planning Space Implementation\3. Analysis &amp; Design\Design\FC22\DRR Jaime\QUIFA-CAJÚA\Cajua\[VAS_CAJUA_CF_SEC_20230125.xlsx]CF PSNP'!</v>
      </c>
      <c r="G2008" s="7" t="s">
        <v>39</v>
      </c>
      <c r="H2008" s="4"/>
      <c r="I2008" s="4"/>
      <c r="J2008" s="4"/>
    </row>
    <row r="2009" spans="1:10" x14ac:dyDescent="0.25">
      <c r="A2009" s="7" t="s">
        <v>103</v>
      </c>
      <c r="B2009" s="7">
        <f t="shared" si="461"/>
        <v>2054</v>
      </c>
      <c r="C2009" s="4" t="s">
        <v>17</v>
      </c>
      <c r="D2009" s="5" t="s">
        <v>128</v>
      </c>
      <c r="E2009" s="10" t="str">
        <f t="shared" si="459"/>
        <v>PSNP'!</v>
      </c>
      <c r="F2009" s="5" t="str">
        <f t="shared" si="460"/>
        <v>C:\Users\jaime.benazar\Quorum Business Solutions\Ecopetrol Prometeo - Documents\Planning Space Implementation\3. Analysis &amp; Design\Design\FC22\DRR Jaime\QUIFA-CAJÚA\Cajua\[VAS_CAJUA_CF_SEC_20230125.xlsx]CF PSNP'!</v>
      </c>
      <c r="G2009" s="7" t="s">
        <v>39</v>
      </c>
      <c r="H2009" s="4"/>
      <c r="I2009" s="4"/>
      <c r="J2009" s="4"/>
    </row>
    <row r="2010" spans="1:10" x14ac:dyDescent="0.25">
      <c r="A2010" s="7" t="s">
        <v>103</v>
      </c>
      <c r="B2010" s="7">
        <f t="shared" si="461"/>
        <v>2055</v>
      </c>
      <c r="C2010" s="4" t="s">
        <v>17</v>
      </c>
      <c r="D2010" s="5" t="s">
        <v>128</v>
      </c>
      <c r="E2010" s="10" t="str">
        <f t="shared" si="459"/>
        <v>PSNP'!</v>
      </c>
      <c r="F2010" s="5" t="str">
        <f t="shared" si="460"/>
        <v>C:\Users\jaime.benazar\Quorum Business Solutions\Ecopetrol Prometeo - Documents\Planning Space Implementation\3. Analysis &amp; Design\Design\FC22\DRR Jaime\QUIFA-CAJÚA\Cajua\[VAS_CAJUA_CF_SEC_20230125.xlsx]CF PSNP'!</v>
      </c>
      <c r="G2010" s="7" t="s">
        <v>39</v>
      </c>
      <c r="H2010" s="4"/>
      <c r="I2010" s="4"/>
      <c r="J2010" s="4"/>
    </row>
    <row r="2011" spans="1:10" x14ac:dyDescent="0.25">
      <c r="A2011" s="7" t="s">
        <v>103</v>
      </c>
      <c r="B2011" s="7">
        <f t="shared" si="461"/>
        <v>2056</v>
      </c>
      <c r="C2011" s="4" t="s">
        <v>17</v>
      </c>
      <c r="D2011" s="5" t="s">
        <v>128</v>
      </c>
      <c r="E2011" s="10" t="str">
        <f t="shared" si="459"/>
        <v>PSNP'!</v>
      </c>
      <c r="F2011" s="5" t="str">
        <f t="shared" si="460"/>
        <v>C:\Users\jaime.benazar\Quorum Business Solutions\Ecopetrol Prometeo - Documents\Planning Space Implementation\3. Analysis &amp; Design\Design\FC22\DRR Jaime\QUIFA-CAJÚA\Cajua\[VAS_CAJUA_CF_SEC_20230125.xlsx]CF PSNP'!</v>
      </c>
      <c r="G2011" s="7" t="s">
        <v>39</v>
      </c>
      <c r="H2011" s="4"/>
      <c r="I2011" s="4"/>
      <c r="J2011" s="4"/>
    </row>
    <row r="2012" spans="1:10" x14ac:dyDescent="0.25">
      <c r="A2012" s="7" t="s">
        <v>103</v>
      </c>
      <c r="B2012" s="7">
        <f t="shared" si="461"/>
        <v>2057</v>
      </c>
      <c r="C2012" s="4" t="s">
        <v>17</v>
      </c>
      <c r="D2012" s="5" t="s">
        <v>128</v>
      </c>
      <c r="E2012" s="10" t="str">
        <f t="shared" si="459"/>
        <v>PSNP'!</v>
      </c>
      <c r="F2012" s="5" t="str">
        <f t="shared" si="460"/>
        <v>C:\Users\jaime.benazar\Quorum Business Solutions\Ecopetrol Prometeo - Documents\Planning Space Implementation\3. Analysis &amp; Design\Design\FC22\DRR Jaime\QUIFA-CAJÚA\Cajua\[VAS_CAJUA_CF_SEC_20230125.xlsx]CF PSNP'!</v>
      </c>
      <c r="G2012" s="7" t="s">
        <v>39</v>
      </c>
      <c r="H2012" s="4"/>
      <c r="I2012" s="4"/>
      <c r="J2012" s="4"/>
    </row>
    <row r="2013" spans="1:10" x14ac:dyDescent="0.25">
      <c r="A2013" s="7" t="s">
        <v>103</v>
      </c>
      <c r="B2013" s="7">
        <f t="shared" si="461"/>
        <v>2058</v>
      </c>
      <c r="C2013" s="4" t="s">
        <v>17</v>
      </c>
      <c r="D2013" s="5" t="s">
        <v>128</v>
      </c>
      <c r="E2013" s="10" t="str">
        <f t="shared" si="459"/>
        <v>PSNP'!</v>
      </c>
      <c r="F2013" s="5" t="str">
        <f t="shared" si="460"/>
        <v>C:\Users\jaime.benazar\Quorum Business Solutions\Ecopetrol Prometeo - Documents\Planning Space Implementation\3. Analysis &amp; Design\Design\FC22\DRR Jaime\QUIFA-CAJÚA\Cajua\[VAS_CAJUA_CF_SEC_20230125.xlsx]CF PSNP'!</v>
      </c>
      <c r="G2013" s="7" t="s">
        <v>39</v>
      </c>
      <c r="H2013" s="4"/>
      <c r="I2013" s="4"/>
      <c r="J2013" s="4"/>
    </row>
    <row r="2014" spans="1:10" x14ac:dyDescent="0.25">
      <c r="A2014" s="7" t="s">
        <v>103</v>
      </c>
      <c r="B2014" s="7">
        <f t="shared" si="461"/>
        <v>2059</v>
      </c>
      <c r="C2014" s="4" t="s">
        <v>17</v>
      </c>
      <c r="D2014" s="5" t="s">
        <v>128</v>
      </c>
      <c r="E2014" s="10" t="str">
        <f t="shared" si="459"/>
        <v>PSNP'!</v>
      </c>
      <c r="F2014" s="5" t="str">
        <f t="shared" si="460"/>
        <v>C:\Users\jaime.benazar\Quorum Business Solutions\Ecopetrol Prometeo - Documents\Planning Space Implementation\3. Analysis &amp; Design\Design\FC22\DRR Jaime\QUIFA-CAJÚA\Cajua\[VAS_CAJUA_CF_SEC_20230125.xlsx]CF PSNP'!</v>
      </c>
      <c r="G2014" s="7" t="s">
        <v>39</v>
      </c>
      <c r="H2014" s="4"/>
      <c r="I2014" s="4"/>
      <c r="J2014" s="4"/>
    </row>
    <row r="2015" spans="1:10" x14ac:dyDescent="0.25">
      <c r="A2015" s="7" t="s">
        <v>28</v>
      </c>
      <c r="B2015" s="7"/>
      <c r="C2015" s="4" t="s">
        <v>17</v>
      </c>
      <c r="D2015" s="5"/>
      <c r="E2015" s="10"/>
      <c r="F2015" s="5"/>
      <c r="G2015" s="7"/>
      <c r="H2015" s="4"/>
      <c r="I2015" s="4"/>
      <c r="J2015" s="4"/>
    </row>
    <row r="2016" spans="1:10" x14ac:dyDescent="0.25">
      <c r="A2016" s="7" t="s">
        <v>104</v>
      </c>
      <c r="B2016" s="7">
        <v>2023</v>
      </c>
      <c r="C2016" s="4" t="s">
        <v>17</v>
      </c>
      <c r="D2016" s="5" t="s">
        <v>128</v>
      </c>
      <c r="E2016" s="10" t="str">
        <f t="shared" ref="E2016:E2036" si="462">_xlfn.CONCAT(A2016,"'!")</f>
        <v>PSND'!</v>
      </c>
      <c r="F2016" s="5" t="str">
        <f t="shared" ref="F2016:F2036" si="463">_xlfn.CONCAT(D2016," ",E2016)</f>
        <v>C:\Users\jaime.benazar\Quorum Business Solutions\Ecopetrol Prometeo - Documents\Planning Space Implementation\3. Analysis &amp; Design\Design\FC22\DRR Jaime\QUIFA-CAJÚA\Cajua\[VAS_CAJUA_CF_SEC_20230125.xlsx]CF PSND'!</v>
      </c>
      <c r="G2016" s="7" t="s">
        <v>39</v>
      </c>
      <c r="H2016" s="4"/>
      <c r="I2016" s="4"/>
      <c r="J2016" s="4"/>
    </row>
    <row r="2017" spans="1:10" x14ac:dyDescent="0.25">
      <c r="A2017" s="7" t="s">
        <v>104</v>
      </c>
      <c r="B2017" s="7">
        <f>+B2016+1</f>
        <v>2024</v>
      </c>
      <c r="C2017" s="4" t="s">
        <v>17</v>
      </c>
      <c r="D2017" s="5" t="s">
        <v>128</v>
      </c>
      <c r="E2017" s="10" t="str">
        <f t="shared" si="462"/>
        <v>PSND'!</v>
      </c>
      <c r="F2017" s="5" t="str">
        <f t="shared" si="463"/>
        <v>C:\Users\jaime.benazar\Quorum Business Solutions\Ecopetrol Prometeo - Documents\Planning Space Implementation\3. Analysis &amp; Design\Design\FC22\DRR Jaime\QUIFA-CAJÚA\Cajua\[VAS_CAJUA_CF_SEC_20230125.xlsx]CF PSND'!</v>
      </c>
      <c r="G2017" s="7" t="s">
        <v>39</v>
      </c>
      <c r="H2017" s="4"/>
      <c r="I2017" s="4"/>
      <c r="J2017" s="4"/>
    </row>
    <row r="2018" spans="1:10" x14ac:dyDescent="0.25">
      <c r="A2018" s="7" t="s">
        <v>104</v>
      </c>
      <c r="B2018" s="7">
        <f t="shared" ref="B2018:B2029" si="464">+B2017+1</f>
        <v>2025</v>
      </c>
      <c r="C2018" s="4" t="s">
        <v>17</v>
      </c>
      <c r="D2018" s="5" t="s">
        <v>128</v>
      </c>
      <c r="E2018" s="10" t="str">
        <f t="shared" si="462"/>
        <v>PSND'!</v>
      </c>
      <c r="F2018" s="5" t="str">
        <f t="shared" si="463"/>
        <v>C:\Users\jaime.benazar\Quorum Business Solutions\Ecopetrol Prometeo - Documents\Planning Space Implementation\3. Analysis &amp; Design\Design\FC22\DRR Jaime\QUIFA-CAJÚA\Cajua\[VAS_CAJUA_CF_SEC_20230125.xlsx]CF PSND'!</v>
      </c>
      <c r="G2018" s="7" t="s">
        <v>39</v>
      </c>
      <c r="H2018" s="4"/>
      <c r="I2018" s="4"/>
      <c r="J2018" s="4"/>
    </row>
    <row r="2019" spans="1:10" x14ac:dyDescent="0.25">
      <c r="A2019" s="7" t="s">
        <v>104</v>
      </c>
      <c r="B2019" s="7">
        <f t="shared" si="464"/>
        <v>2026</v>
      </c>
      <c r="C2019" s="4" t="s">
        <v>17</v>
      </c>
      <c r="D2019" s="5" t="s">
        <v>128</v>
      </c>
      <c r="E2019" s="10" t="str">
        <f t="shared" si="462"/>
        <v>PSND'!</v>
      </c>
      <c r="F2019" s="5" t="str">
        <f t="shared" si="463"/>
        <v>C:\Users\jaime.benazar\Quorum Business Solutions\Ecopetrol Prometeo - Documents\Planning Space Implementation\3. Analysis &amp; Design\Design\FC22\DRR Jaime\QUIFA-CAJÚA\Cajua\[VAS_CAJUA_CF_SEC_20230125.xlsx]CF PSND'!</v>
      </c>
      <c r="G2019" s="7" t="s">
        <v>39</v>
      </c>
      <c r="H2019" s="4"/>
      <c r="I2019" s="4"/>
      <c r="J2019" s="4"/>
    </row>
    <row r="2020" spans="1:10" x14ac:dyDescent="0.25">
      <c r="A2020" s="7" t="s">
        <v>104</v>
      </c>
      <c r="B2020" s="7">
        <f t="shared" si="464"/>
        <v>2027</v>
      </c>
      <c r="C2020" s="4" t="s">
        <v>17</v>
      </c>
      <c r="D2020" s="5" t="s">
        <v>128</v>
      </c>
      <c r="E2020" s="10" t="str">
        <f t="shared" si="462"/>
        <v>PSND'!</v>
      </c>
      <c r="F2020" s="5" t="str">
        <f t="shared" si="463"/>
        <v>C:\Users\jaime.benazar\Quorum Business Solutions\Ecopetrol Prometeo - Documents\Planning Space Implementation\3. Analysis &amp; Design\Design\FC22\DRR Jaime\QUIFA-CAJÚA\Cajua\[VAS_CAJUA_CF_SEC_20230125.xlsx]CF PSND'!</v>
      </c>
      <c r="G2020" s="7" t="s">
        <v>39</v>
      </c>
      <c r="H2020" s="4"/>
      <c r="I2020" s="4"/>
      <c r="J2020" s="4"/>
    </row>
    <row r="2021" spans="1:10" x14ac:dyDescent="0.25">
      <c r="A2021" s="7" t="s">
        <v>104</v>
      </c>
      <c r="B2021" s="7">
        <f t="shared" si="464"/>
        <v>2028</v>
      </c>
      <c r="C2021" s="4" t="s">
        <v>17</v>
      </c>
      <c r="D2021" s="5" t="s">
        <v>128</v>
      </c>
      <c r="E2021" s="10" t="str">
        <f t="shared" si="462"/>
        <v>PSND'!</v>
      </c>
      <c r="F2021" s="5" t="str">
        <f t="shared" si="463"/>
        <v>C:\Users\jaime.benazar\Quorum Business Solutions\Ecopetrol Prometeo - Documents\Planning Space Implementation\3. Analysis &amp; Design\Design\FC22\DRR Jaime\QUIFA-CAJÚA\Cajua\[VAS_CAJUA_CF_SEC_20230125.xlsx]CF PSND'!</v>
      </c>
      <c r="G2021" s="7" t="s">
        <v>39</v>
      </c>
      <c r="H2021" s="4"/>
      <c r="I2021" s="4"/>
      <c r="J2021" s="4"/>
    </row>
    <row r="2022" spans="1:10" x14ac:dyDescent="0.25">
      <c r="A2022" s="7" t="s">
        <v>104</v>
      </c>
      <c r="B2022" s="7">
        <f t="shared" si="464"/>
        <v>2029</v>
      </c>
      <c r="C2022" s="4" t="s">
        <v>17</v>
      </c>
      <c r="D2022" s="5" t="s">
        <v>128</v>
      </c>
      <c r="E2022" s="10" t="str">
        <f t="shared" si="462"/>
        <v>PSND'!</v>
      </c>
      <c r="F2022" s="5" t="str">
        <f t="shared" si="463"/>
        <v>C:\Users\jaime.benazar\Quorum Business Solutions\Ecopetrol Prometeo - Documents\Planning Space Implementation\3. Analysis &amp; Design\Design\FC22\DRR Jaime\QUIFA-CAJÚA\Cajua\[VAS_CAJUA_CF_SEC_20230125.xlsx]CF PSND'!</v>
      </c>
      <c r="G2022" s="7" t="s">
        <v>39</v>
      </c>
      <c r="H2022" s="4"/>
      <c r="I2022" s="4"/>
      <c r="J2022" s="4"/>
    </row>
    <row r="2023" spans="1:10" x14ac:dyDescent="0.25">
      <c r="A2023" s="7" t="s">
        <v>104</v>
      </c>
      <c r="B2023" s="7">
        <f t="shared" si="464"/>
        <v>2030</v>
      </c>
      <c r="C2023" s="4" t="s">
        <v>17</v>
      </c>
      <c r="D2023" s="5" t="s">
        <v>128</v>
      </c>
      <c r="E2023" s="10" t="str">
        <f t="shared" si="462"/>
        <v>PSND'!</v>
      </c>
      <c r="F2023" s="5" t="str">
        <f t="shared" si="463"/>
        <v>C:\Users\jaime.benazar\Quorum Business Solutions\Ecopetrol Prometeo - Documents\Planning Space Implementation\3. Analysis &amp; Design\Design\FC22\DRR Jaime\QUIFA-CAJÚA\Cajua\[VAS_CAJUA_CF_SEC_20230125.xlsx]CF PSND'!</v>
      </c>
      <c r="G2023" s="7" t="s">
        <v>39</v>
      </c>
      <c r="H2023" s="4"/>
      <c r="I2023" s="4"/>
      <c r="J2023" s="4"/>
    </row>
    <row r="2024" spans="1:10" x14ac:dyDescent="0.25">
      <c r="A2024" s="7" t="s">
        <v>104</v>
      </c>
      <c r="B2024" s="7">
        <f t="shared" si="464"/>
        <v>2031</v>
      </c>
      <c r="C2024" s="4" t="s">
        <v>17</v>
      </c>
      <c r="D2024" s="5" t="s">
        <v>128</v>
      </c>
      <c r="E2024" s="10" t="str">
        <f t="shared" si="462"/>
        <v>PSND'!</v>
      </c>
      <c r="F2024" s="5" t="str">
        <f t="shared" si="463"/>
        <v>C:\Users\jaime.benazar\Quorum Business Solutions\Ecopetrol Prometeo - Documents\Planning Space Implementation\3. Analysis &amp; Design\Design\FC22\DRR Jaime\QUIFA-CAJÚA\Cajua\[VAS_CAJUA_CF_SEC_20230125.xlsx]CF PSND'!</v>
      </c>
      <c r="G2024" s="7" t="s">
        <v>39</v>
      </c>
      <c r="H2024" s="4"/>
      <c r="I2024" s="4"/>
      <c r="J2024" s="4"/>
    </row>
    <row r="2025" spans="1:10" x14ac:dyDescent="0.25">
      <c r="A2025" s="7" t="s">
        <v>104</v>
      </c>
      <c r="B2025" s="7">
        <f t="shared" si="464"/>
        <v>2032</v>
      </c>
      <c r="C2025" s="4" t="s">
        <v>17</v>
      </c>
      <c r="D2025" s="5" t="s">
        <v>128</v>
      </c>
      <c r="E2025" s="10" t="str">
        <f t="shared" si="462"/>
        <v>PSND'!</v>
      </c>
      <c r="F2025" s="5" t="str">
        <f t="shared" si="463"/>
        <v>C:\Users\jaime.benazar\Quorum Business Solutions\Ecopetrol Prometeo - Documents\Planning Space Implementation\3. Analysis &amp; Design\Design\FC22\DRR Jaime\QUIFA-CAJÚA\Cajua\[VAS_CAJUA_CF_SEC_20230125.xlsx]CF PSND'!</v>
      </c>
      <c r="G2025" s="7" t="s">
        <v>39</v>
      </c>
      <c r="H2025" s="4"/>
      <c r="I2025" s="4"/>
      <c r="J2025" s="4"/>
    </row>
    <row r="2026" spans="1:10" x14ac:dyDescent="0.25">
      <c r="A2026" s="7" t="s">
        <v>104</v>
      </c>
      <c r="B2026" s="7">
        <f t="shared" si="464"/>
        <v>2033</v>
      </c>
      <c r="C2026" s="4" t="s">
        <v>17</v>
      </c>
      <c r="D2026" s="5" t="s">
        <v>128</v>
      </c>
      <c r="E2026" s="10" t="str">
        <f t="shared" si="462"/>
        <v>PSND'!</v>
      </c>
      <c r="F2026" s="5" t="str">
        <f t="shared" si="463"/>
        <v>C:\Users\jaime.benazar\Quorum Business Solutions\Ecopetrol Prometeo - Documents\Planning Space Implementation\3. Analysis &amp; Design\Design\FC22\DRR Jaime\QUIFA-CAJÚA\Cajua\[VAS_CAJUA_CF_SEC_20230125.xlsx]CF PSND'!</v>
      </c>
      <c r="G2026" s="7" t="s">
        <v>39</v>
      </c>
      <c r="H2026" s="4"/>
      <c r="I2026" s="4"/>
      <c r="J2026" s="4"/>
    </row>
    <row r="2027" spans="1:10" x14ac:dyDescent="0.25">
      <c r="A2027" s="7" t="s">
        <v>104</v>
      </c>
      <c r="B2027" s="7">
        <f t="shared" si="464"/>
        <v>2034</v>
      </c>
      <c r="C2027" s="4" t="s">
        <v>17</v>
      </c>
      <c r="D2027" s="5" t="s">
        <v>128</v>
      </c>
      <c r="E2027" s="10" t="str">
        <f t="shared" si="462"/>
        <v>PSND'!</v>
      </c>
      <c r="F2027" s="5" t="str">
        <f t="shared" si="463"/>
        <v>C:\Users\jaime.benazar\Quorum Business Solutions\Ecopetrol Prometeo - Documents\Planning Space Implementation\3. Analysis &amp; Design\Design\FC22\DRR Jaime\QUIFA-CAJÚA\Cajua\[VAS_CAJUA_CF_SEC_20230125.xlsx]CF PSND'!</v>
      </c>
      <c r="G2027" s="7" t="s">
        <v>39</v>
      </c>
      <c r="H2027" s="4"/>
      <c r="I2027" s="4"/>
      <c r="J2027" s="4"/>
    </row>
    <row r="2028" spans="1:10" x14ac:dyDescent="0.25">
      <c r="A2028" s="7" t="s">
        <v>104</v>
      </c>
      <c r="B2028" s="7">
        <f t="shared" si="464"/>
        <v>2035</v>
      </c>
      <c r="C2028" s="4" t="s">
        <v>17</v>
      </c>
      <c r="D2028" s="5" t="s">
        <v>128</v>
      </c>
      <c r="E2028" s="10" t="str">
        <f t="shared" si="462"/>
        <v>PSND'!</v>
      </c>
      <c r="F2028" s="5" t="str">
        <f t="shared" si="463"/>
        <v>C:\Users\jaime.benazar\Quorum Business Solutions\Ecopetrol Prometeo - Documents\Planning Space Implementation\3. Analysis &amp; Design\Design\FC22\DRR Jaime\QUIFA-CAJÚA\Cajua\[VAS_CAJUA_CF_SEC_20230125.xlsx]CF PSND'!</v>
      </c>
      <c r="G2028" s="7" t="s">
        <v>39</v>
      </c>
      <c r="H2028" s="4"/>
      <c r="I2028" s="4"/>
      <c r="J2028" s="4"/>
    </row>
    <row r="2029" spans="1:10" x14ac:dyDescent="0.25">
      <c r="A2029" s="7" t="s">
        <v>104</v>
      </c>
      <c r="B2029" s="7">
        <f t="shared" si="464"/>
        <v>2036</v>
      </c>
      <c r="C2029" s="4" t="s">
        <v>17</v>
      </c>
      <c r="D2029" s="5" t="s">
        <v>128</v>
      </c>
      <c r="E2029" s="10" t="str">
        <f t="shared" si="462"/>
        <v>PSND'!</v>
      </c>
      <c r="F2029" s="5" t="str">
        <f t="shared" si="463"/>
        <v>C:\Users\jaime.benazar\Quorum Business Solutions\Ecopetrol Prometeo - Documents\Planning Space Implementation\3. Analysis &amp; Design\Design\FC22\DRR Jaime\QUIFA-CAJÚA\Cajua\[VAS_CAJUA_CF_SEC_20230125.xlsx]CF PSND'!</v>
      </c>
      <c r="G2029" s="7" t="s">
        <v>39</v>
      </c>
      <c r="H2029" s="4"/>
      <c r="I2029" s="4"/>
      <c r="J2029" s="4"/>
    </row>
    <row r="2030" spans="1:10" x14ac:dyDescent="0.25">
      <c r="A2030" s="7" t="s">
        <v>104</v>
      </c>
      <c r="B2030" s="7">
        <f>+B2029+1</f>
        <v>2037</v>
      </c>
      <c r="C2030" s="4" t="s">
        <v>17</v>
      </c>
      <c r="D2030" s="5" t="s">
        <v>128</v>
      </c>
      <c r="E2030" s="10" t="str">
        <f t="shared" si="462"/>
        <v>PSND'!</v>
      </c>
      <c r="F2030" s="5" t="str">
        <f t="shared" si="463"/>
        <v>C:\Users\jaime.benazar\Quorum Business Solutions\Ecopetrol Prometeo - Documents\Planning Space Implementation\3. Analysis &amp; Design\Design\FC22\DRR Jaime\QUIFA-CAJÚA\Cajua\[VAS_CAJUA_CF_SEC_20230125.xlsx]CF PSND'!</v>
      </c>
      <c r="G2030" s="7" t="s">
        <v>39</v>
      </c>
      <c r="H2030" s="4"/>
      <c r="I2030" s="4"/>
      <c r="J2030" s="4"/>
    </row>
    <row r="2031" spans="1:10" x14ac:dyDescent="0.25">
      <c r="A2031" s="7" t="s">
        <v>104</v>
      </c>
      <c r="B2031" s="7">
        <f t="shared" ref="B2031:B2033" si="465">+B2030+1</f>
        <v>2038</v>
      </c>
      <c r="C2031" s="4" t="s">
        <v>17</v>
      </c>
      <c r="D2031" s="5" t="s">
        <v>128</v>
      </c>
      <c r="E2031" s="10" t="str">
        <f t="shared" si="462"/>
        <v>PSND'!</v>
      </c>
      <c r="F2031" s="5" t="str">
        <f t="shared" si="463"/>
        <v>C:\Users\jaime.benazar\Quorum Business Solutions\Ecopetrol Prometeo - Documents\Planning Space Implementation\3. Analysis &amp; Design\Design\FC22\DRR Jaime\QUIFA-CAJÚA\Cajua\[VAS_CAJUA_CF_SEC_20230125.xlsx]CF PSND'!</v>
      </c>
      <c r="G2031" s="7" t="s">
        <v>39</v>
      </c>
      <c r="H2031" s="4"/>
      <c r="I2031" s="4"/>
      <c r="J2031" s="4"/>
    </row>
    <row r="2032" spans="1:10" x14ac:dyDescent="0.25">
      <c r="A2032" s="7" t="s">
        <v>104</v>
      </c>
      <c r="B2032" s="7">
        <f t="shared" si="465"/>
        <v>2039</v>
      </c>
      <c r="C2032" s="4" t="s">
        <v>17</v>
      </c>
      <c r="D2032" s="5" t="s">
        <v>128</v>
      </c>
      <c r="E2032" s="10" t="str">
        <f t="shared" si="462"/>
        <v>PSND'!</v>
      </c>
      <c r="F2032" s="5" t="str">
        <f t="shared" si="463"/>
        <v>C:\Users\jaime.benazar\Quorum Business Solutions\Ecopetrol Prometeo - Documents\Planning Space Implementation\3. Analysis &amp; Design\Design\FC22\DRR Jaime\QUIFA-CAJÚA\Cajua\[VAS_CAJUA_CF_SEC_20230125.xlsx]CF PSND'!</v>
      </c>
      <c r="G2032" s="7" t="s">
        <v>39</v>
      </c>
      <c r="H2032" s="4"/>
      <c r="I2032" s="4"/>
      <c r="J2032" s="4"/>
    </row>
    <row r="2033" spans="1:10" x14ac:dyDescent="0.25">
      <c r="A2033" s="7" t="s">
        <v>104</v>
      </c>
      <c r="B2033" s="7">
        <f t="shared" si="465"/>
        <v>2040</v>
      </c>
      <c r="C2033" s="4" t="s">
        <v>17</v>
      </c>
      <c r="D2033" s="5" t="s">
        <v>128</v>
      </c>
      <c r="E2033" s="10" t="str">
        <f t="shared" si="462"/>
        <v>PSND'!</v>
      </c>
      <c r="F2033" s="5" t="str">
        <f t="shared" si="463"/>
        <v>C:\Users\jaime.benazar\Quorum Business Solutions\Ecopetrol Prometeo - Documents\Planning Space Implementation\3. Analysis &amp; Design\Design\FC22\DRR Jaime\QUIFA-CAJÚA\Cajua\[VAS_CAJUA_CF_SEC_20230125.xlsx]CF PSND'!</v>
      </c>
      <c r="G2033" s="7" t="s">
        <v>39</v>
      </c>
      <c r="H2033" s="4"/>
      <c r="I2033" s="4"/>
      <c r="J2033" s="4"/>
    </row>
    <row r="2034" spans="1:10" x14ac:dyDescent="0.25">
      <c r="A2034" s="7" t="s">
        <v>104</v>
      </c>
      <c r="B2034" s="7">
        <f>+B2033+1</f>
        <v>2041</v>
      </c>
      <c r="C2034" s="4" t="s">
        <v>17</v>
      </c>
      <c r="D2034" s="5" t="s">
        <v>128</v>
      </c>
      <c r="E2034" s="10" t="str">
        <f t="shared" si="462"/>
        <v>PSND'!</v>
      </c>
      <c r="F2034" s="5" t="str">
        <f t="shared" si="463"/>
        <v>C:\Users\jaime.benazar\Quorum Business Solutions\Ecopetrol Prometeo - Documents\Planning Space Implementation\3. Analysis &amp; Design\Design\FC22\DRR Jaime\QUIFA-CAJÚA\Cajua\[VAS_CAJUA_CF_SEC_20230125.xlsx]CF PSND'!</v>
      </c>
      <c r="G2034" s="7" t="s">
        <v>39</v>
      </c>
      <c r="H2034" s="4"/>
      <c r="I2034" s="4"/>
      <c r="J2034" s="4"/>
    </row>
    <row r="2035" spans="1:10" x14ac:dyDescent="0.25">
      <c r="A2035" s="7" t="s">
        <v>104</v>
      </c>
      <c r="B2035" s="7">
        <f t="shared" ref="B2035:B2036" si="466">+B2034+1</f>
        <v>2042</v>
      </c>
      <c r="C2035" s="4" t="s">
        <v>17</v>
      </c>
      <c r="D2035" s="5" t="s">
        <v>128</v>
      </c>
      <c r="E2035" s="10" t="str">
        <f t="shared" si="462"/>
        <v>PSND'!</v>
      </c>
      <c r="F2035" s="5" t="str">
        <f t="shared" si="463"/>
        <v>C:\Users\jaime.benazar\Quorum Business Solutions\Ecopetrol Prometeo - Documents\Planning Space Implementation\3. Analysis &amp; Design\Design\FC22\DRR Jaime\QUIFA-CAJÚA\Cajua\[VAS_CAJUA_CF_SEC_20230125.xlsx]CF PSND'!</v>
      </c>
      <c r="G2035" s="7" t="s">
        <v>39</v>
      </c>
      <c r="H2035" s="4"/>
      <c r="I2035" s="4"/>
      <c r="J2035" s="4"/>
    </row>
    <row r="2036" spans="1:10" x14ac:dyDescent="0.25">
      <c r="A2036" s="7" t="s">
        <v>104</v>
      </c>
      <c r="B2036" s="7">
        <f t="shared" si="466"/>
        <v>2043</v>
      </c>
      <c r="C2036" s="4" t="s">
        <v>17</v>
      </c>
      <c r="D2036" s="5" t="s">
        <v>128</v>
      </c>
      <c r="E2036" s="10" t="str">
        <f t="shared" si="462"/>
        <v>PSND'!</v>
      </c>
      <c r="F2036" s="5" t="str">
        <f t="shared" si="463"/>
        <v>C:\Users\jaime.benazar\Quorum Business Solutions\Ecopetrol Prometeo - Documents\Planning Space Implementation\3. Analysis &amp; Design\Design\FC22\DRR Jaime\QUIFA-CAJÚA\Cajua\[VAS_CAJUA_CF_SEC_20230125.xlsx]CF PSND'!</v>
      </c>
      <c r="G2036" s="7" t="s">
        <v>39</v>
      </c>
      <c r="H2036" s="4"/>
      <c r="I2036" s="4"/>
      <c r="J2036" s="4"/>
    </row>
    <row r="2037" spans="1:10" x14ac:dyDescent="0.25">
      <c r="A2037" s="7" t="s">
        <v>104</v>
      </c>
      <c r="B2037" s="7">
        <f>+B2036+1</f>
        <v>2044</v>
      </c>
      <c r="C2037" s="4" t="s">
        <v>17</v>
      </c>
      <c r="D2037" s="5" t="s">
        <v>128</v>
      </c>
      <c r="E2037" s="10" t="str">
        <f t="shared" ref="E2037:E2052" si="467">_xlfn.CONCAT(A2037,"'!")</f>
        <v>PSND'!</v>
      </c>
      <c r="F2037" s="5" t="str">
        <f t="shared" ref="F2037:F2052" si="468">_xlfn.CONCAT(D2037," ",E2037)</f>
        <v>C:\Users\jaime.benazar\Quorum Business Solutions\Ecopetrol Prometeo - Documents\Planning Space Implementation\3. Analysis &amp; Design\Design\FC22\DRR Jaime\QUIFA-CAJÚA\Cajua\[VAS_CAJUA_CF_SEC_20230125.xlsx]CF PSND'!</v>
      </c>
      <c r="G2037" s="7" t="s">
        <v>39</v>
      </c>
      <c r="H2037" s="4"/>
      <c r="I2037" s="4"/>
      <c r="J2037" s="4"/>
    </row>
    <row r="2038" spans="1:10" x14ac:dyDescent="0.25">
      <c r="A2038" s="7" t="s">
        <v>104</v>
      </c>
      <c r="B2038" s="7">
        <f t="shared" ref="B2038:B2052" si="469">+B2037+1</f>
        <v>2045</v>
      </c>
      <c r="C2038" s="4" t="s">
        <v>17</v>
      </c>
      <c r="D2038" s="5" t="s">
        <v>128</v>
      </c>
      <c r="E2038" s="10" t="str">
        <f t="shared" si="467"/>
        <v>PSND'!</v>
      </c>
      <c r="F2038" s="5" t="str">
        <f t="shared" si="468"/>
        <v>C:\Users\jaime.benazar\Quorum Business Solutions\Ecopetrol Prometeo - Documents\Planning Space Implementation\3. Analysis &amp; Design\Design\FC22\DRR Jaime\QUIFA-CAJÚA\Cajua\[VAS_CAJUA_CF_SEC_20230125.xlsx]CF PSND'!</v>
      </c>
      <c r="G2038" s="7" t="s">
        <v>39</v>
      </c>
      <c r="H2038" s="4"/>
      <c r="I2038" s="4"/>
      <c r="J2038" s="4"/>
    </row>
    <row r="2039" spans="1:10" x14ac:dyDescent="0.25">
      <c r="A2039" s="7" t="s">
        <v>104</v>
      </c>
      <c r="B2039" s="7">
        <f t="shared" si="469"/>
        <v>2046</v>
      </c>
      <c r="C2039" s="4" t="s">
        <v>17</v>
      </c>
      <c r="D2039" s="5" t="s">
        <v>128</v>
      </c>
      <c r="E2039" s="10" t="str">
        <f t="shared" si="467"/>
        <v>PSND'!</v>
      </c>
      <c r="F2039" s="5" t="str">
        <f t="shared" si="468"/>
        <v>C:\Users\jaime.benazar\Quorum Business Solutions\Ecopetrol Prometeo - Documents\Planning Space Implementation\3. Analysis &amp; Design\Design\FC22\DRR Jaime\QUIFA-CAJÚA\Cajua\[VAS_CAJUA_CF_SEC_20230125.xlsx]CF PSND'!</v>
      </c>
      <c r="G2039" s="7" t="s">
        <v>39</v>
      </c>
      <c r="H2039" s="4"/>
      <c r="I2039" s="4"/>
      <c r="J2039" s="4"/>
    </row>
    <row r="2040" spans="1:10" x14ac:dyDescent="0.25">
      <c r="A2040" s="7" t="s">
        <v>104</v>
      </c>
      <c r="B2040" s="7">
        <f t="shared" si="469"/>
        <v>2047</v>
      </c>
      <c r="C2040" s="4" t="s">
        <v>17</v>
      </c>
      <c r="D2040" s="5" t="s">
        <v>128</v>
      </c>
      <c r="E2040" s="10" t="str">
        <f t="shared" si="467"/>
        <v>PSND'!</v>
      </c>
      <c r="F2040" s="5" t="str">
        <f t="shared" si="468"/>
        <v>C:\Users\jaime.benazar\Quorum Business Solutions\Ecopetrol Prometeo - Documents\Planning Space Implementation\3. Analysis &amp; Design\Design\FC22\DRR Jaime\QUIFA-CAJÚA\Cajua\[VAS_CAJUA_CF_SEC_20230125.xlsx]CF PSND'!</v>
      </c>
      <c r="G2040" s="7" t="s">
        <v>39</v>
      </c>
      <c r="H2040" s="4"/>
      <c r="I2040" s="4"/>
      <c r="J2040" s="4"/>
    </row>
    <row r="2041" spans="1:10" x14ac:dyDescent="0.25">
      <c r="A2041" s="7" t="s">
        <v>104</v>
      </c>
      <c r="B2041" s="7">
        <f t="shared" si="469"/>
        <v>2048</v>
      </c>
      <c r="C2041" s="4" t="s">
        <v>17</v>
      </c>
      <c r="D2041" s="5" t="s">
        <v>128</v>
      </c>
      <c r="E2041" s="10" t="str">
        <f t="shared" si="467"/>
        <v>PSND'!</v>
      </c>
      <c r="F2041" s="5" t="str">
        <f t="shared" si="468"/>
        <v>C:\Users\jaime.benazar\Quorum Business Solutions\Ecopetrol Prometeo - Documents\Planning Space Implementation\3. Analysis &amp; Design\Design\FC22\DRR Jaime\QUIFA-CAJÚA\Cajua\[VAS_CAJUA_CF_SEC_20230125.xlsx]CF PSND'!</v>
      </c>
      <c r="G2041" s="7" t="s">
        <v>39</v>
      </c>
      <c r="H2041" s="4"/>
      <c r="I2041" s="4"/>
      <c r="J2041" s="4"/>
    </row>
    <row r="2042" spans="1:10" x14ac:dyDescent="0.25">
      <c r="A2042" s="7" t="s">
        <v>104</v>
      </c>
      <c r="B2042" s="7">
        <f t="shared" si="469"/>
        <v>2049</v>
      </c>
      <c r="C2042" s="4" t="s">
        <v>17</v>
      </c>
      <c r="D2042" s="5" t="s">
        <v>128</v>
      </c>
      <c r="E2042" s="10" t="str">
        <f t="shared" si="467"/>
        <v>PSND'!</v>
      </c>
      <c r="F2042" s="5" t="str">
        <f t="shared" si="468"/>
        <v>C:\Users\jaime.benazar\Quorum Business Solutions\Ecopetrol Prometeo - Documents\Planning Space Implementation\3. Analysis &amp; Design\Design\FC22\DRR Jaime\QUIFA-CAJÚA\Cajua\[VAS_CAJUA_CF_SEC_20230125.xlsx]CF PSND'!</v>
      </c>
      <c r="G2042" s="7" t="s">
        <v>39</v>
      </c>
      <c r="H2042" s="4"/>
      <c r="I2042" s="4"/>
      <c r="J2042" s="4"/>
    </row>
    <row r="2043" spans="1:10" x14ac:dyDescent="0.25">
      <c r="A2043" s="7" t="s">
        <v>104</v>
      </c>
      <c r="B2043" s="7">
        <f t="shared" si="469"/>
        <v>2050</v>
      </c>
      <c r="C2043" s="4" t="s">
        <v>17</v>
      </c>
      <c r="D2043" s="5" t="s">
        <v>128</v>
      </c>
      <c r="E2043" s="10" t="str">
        <f t="shared" si="467"/>
        <v>PSND'!</v>
      </c>
      <c r="F2043" s="5" t="str">
        <f t="shared" si="468"/>
        <v>C:\Users\jaime.benazar\Quorum Business Solutions\Ecopetrol Prometeo - Documents\Planning Space Implementation\3. Analysis &amp; Design\Design\FC22\DRR Jaime\QUIFA-CAJÚA\Cajua\[VAS_CAJUA_CF_SEC_20230125.xlsx]CF PSND'!</v>
      </c>
      <c r="G2043" s="7" t="s">
        <v>39</v>
      </c>
      <c r="H2043" s="4"/>
      <c r="I2043" s="4"/>
      <c r="J2043" s="4"/>
    </row>
    <row r="2044" spans="1:10" x14ac:dyDescent="0.25">
      <c r="A2044" s="7" t="s">
        <v>104</v>
      </c>
      <c r="B2044" s="7">
        <f t="shared" si="469"/>
        <v>2051</v>
      </c>
      <c r="C2044" s="4" t="s">
        <v>17</v>
      </c>
      <c r="D2044" s="5" t="s">
        <v>128</v>
      </c>
      <c r="E2044" s="10" t="str">
        <f t="shared" si="467"/>
        <v>PSND'!</v>
      </c>
      <c r="F2044" s="5" t="str">
        <f t="shared" si="468"/>
        <v>C:\Users\jaime.benazar\Quorum Business Solutions\Ecopetrol Prometeo - Documents\Planning Space Implementation\3. Analysis &amp; Design\Design\FC22\DRR Jaime\QUIFA-CAJÚA\Cajua\[VAS_CAJUA_CF_SEC_20230125.xlsx]CF PSND'!</v>
      </c>
      <c r="G2044" s="7" t="s">
        <v>39</v>
      </c>
      <c r="H2044" s="4"/>
      <c r="I2044" s="4"/>
      <c r="J2044" s="4"/>
    </row>
    <row r="2045" spans="1:10" x14ac:dyDescent="0.25">
      <c r="A2045" s="7" t="s">
        <v>104</v>
      </c>
      <c r="B2045" s="7">
        <f t="shared" si="469"/>
        <v>2052</v>
      </c>
      <c r="C2045" s="4" t="s">
        <v>17</v>
      </c>
      <c r="D2045" s="5" t="s">
        <v>128</v>
      </c>
      <c r="E2045" s="10" t="str">
        <f t="shared" si="467"/>
        <v>PSND'!</v>
      </c>
      <c r="F2045" s="5" t="str">
        <f t="shared" si="468"/>
        <v>C:\Users\jaime.benazar\Quorum Business Solutions\Ecopetrol Prometeo - Documents\Planning Space Implementation\3. Analysis &amp; Design\Design\FC22\DRR Jaime\QUIFA-CAJÚA\Cajua\[VAS_CAJUA_CF_SEC_20230125.xlsx]CF PSND'!</v>
      </c>
      <c r="G2045" s="7" t="s">
        <v>39</v>
      </c>
      <c r="H2045" s="4"/>
      <c r="I2045" s="4"/>
      <c r="J2045" s="4"/>
    </row>
    <row r="2046" spans="1:10" x14ac:dyDescent="0.25">
      <c r="A2046" s="7" t="s">
        <v>104</v>
      </c>
      <c r="B2046" s="7">
        <f t="shared" si="469"/>
        <v>2053</v>
      </c>
      <c r="C2046" s="4" t="s">
        <v>17</v>
      </c>
      <c r="D2046" s="5" t="s">
        <v>128</v>
      </c>
      <c r="E2046" s="10" t="str">
        <f t="shared" si="467"/>
        <v>PSND'!</v>
      </c>
      <c r="F2046" s="5" t="str">
        <f t="shared" si="468"/>
        <v>C:\Users\jaime.benazar\Quorum Business Solutions\Ecopetrol Prometeo - Documents\Planning Space Implementation\3. Analysis &amp; Design\Design\FC22\DRR Jaime\QUIFA-CAJÚA\Cajua\[VAS_CAJUA_CF_SEC_20230125.xlsx]CF PSND'!</v>
      </c>
      <c r="G2046" s="7" t="s">
        <v>39</v>
      </c>
      <c r="H2046" s="4"/>
      <c r="I2046" s="4"/>
      <c r="J2046" s="4"/>
    </row>
    <row r="2047" spans="1:10" x14ac:dyDescent="0.25">
      <c r="A2047" s="7" t="s">
        <v>104</v>
      </c>
      <c r="B2047" s="7">
        <f t="shared" si="469"/>
        <v>2054</v>
      </c>
      <c r="C2047" s="4" t="s">
        <v>17</v>
      </c>
      <c r="D2047" s="5" t="s">
        <v>128</v>
      </c>
      <c r="E2047" s="10" t="str">
        <f t="shared" si="467"/>
        <v>PSND'!</v>
      </c>
      <c r="F2047" s="5" t="str">
        <f t="shared" si="468"/>
        <v>C:\Users\jaime.benazar\Quorum Business Solutions\Ecopetrol Prometeo - Documents\Planning Space Implementation\3. Analysis &amp; Design\Design\FC22\DRR Jaime\QUIFA-CAJÚA\Cajua\[VAS_CAJUA_CF_SEC_20230125.xlsx]CF PSND'!</v>
      </c>
      <c r="G2047" s="7" t="s">
        <v>39</v>
      </c>
      <c r="H2047" s="4"/>
      <c r="I2047" s="4"/>
      <c r="J2047" s="4"/>
    </row>
    <row r="2048" spans="1:10" x14ac:dyDescent="0.25">
      <c r="A2048" s="7" t="s">
        <v>104</v>
      </c>
      <c r="B2048" s="7">
        <f t="shared" si="469"/>
        <v>2055</v>
      </c>
      <c r="C2048" s="4" t="s">
        <v>17</v>
      </c>
      <c r="D2048" s="5" t="s">
        <v>128</v>
      </c>
      <c r="E2048" s="10" t="str">
        <f t="shared" si="467"/>
        <v>PSND'!</v>
      </c>
      <c r="F2048" s="5" t="str">
        <f t="shared" si="468"/>
        <v>C:\Users\jaime.benazar\Quorum Business Solutions\Ecopetrol Prometeo - Documents\Planning Space Implementation\3. Analysis &amp; Design\Design\FC22\DRR Jaime\QUIFA-CAJÚA\Cajua\[VAS_CAJUA_CF_SEC_20230125.xlsx]CF PSND'!</v>
      </c>
      <c r="G2048" s="7" t="s">
        <v>39</v>
      </c>
      <c r="H2048" s="4"/>
      <c r="I2048" s="4"/>
      <c r="J2048" s="4"/>
    </row>
    <row r="2049" spans="1:10" x14ac:dyDescent="0.25">
      <c r="A2049" s="7" t="s">
        <v>104</v>
      </c>
      <c r="B2049" s="7">
        <f t="shared" si="469"/>
        <v>2056</v>
      </c>
      <c r="C2049" s="4" t="s">
        <v>17</v>
      </c>
      <c r="D2049" s="5" t="s">
        <v>128</v>
      </c>
      <c r="E2049" s="10" t="str">
        <f t="shared" si="467"/>
        <v>PSND'!</v>
      </c>
      <c r="F2049" s="5" t="str">
        <f t="shared" si="468"/>
        <v>C:\Users\jaime.benazar\Quorum Business Solutions\Ecopetrol Prometeo - Documents\Planning Space Implementation\3. Analysis &amp; Design\Design\FC22\DRR Jaime\QUIFA-CAJÚA\Cajua\[VAS_CAJUA_CF_SEC_20230125.xlsx]CF PSND'!</v>
      </c>
      <c r="G2049" s="7" t="s">
        <v>39</v>
      </c>
      <c r="H2049" s="4"/>
      <c r="I2049" s="4"/>
      <c r="J2049" s="4"/>
    </row>
    <row r="2050" spans="1:10" x14ac:dyDescent="0.25">
      <c r="A2050" s="7" t="s">
        <v>104</v>
      </c>
      <c r="B2050" s="7">
        <f t="shared" si="469"/>
        <v>2057</v>
      </c>
      <c r="C2050" s="4" t="s">
        <v>17</v>
      </c>
      <c r="D2050" s="5" t="s">
        <v>128</v>
      </c>
      <c r="E2050" s="10" t="str">
        <f t="shared" si="467"/>
        <v>PSND'!</v>
      </c>
      <c r="F2050" s="5" t="str">
        <f t="shared" si="468"/>
        <v>C:\Users\jaime.benazar\Quorum Business Solutions\Ecopetrol Prometeo - Documents\Planning Space Implementation\3. Analysis &amp; Design\Design\FC22\DRR Jaime\QUIFA-CAJÚA\Cajua\[VAS_CAJUA_CF_SEC_20230125.xlsx]CF PSND'!</v>
      </c>
      <c r="G2050" s="7" t="s">
        <v>39</v>
      </c>
      <c r="H2050" s="4"/>
      <c r="I2050" s="4"/>
      <c r="J2050" s="4"/>
    </row>
    <row r="2051" spans="1:10" x14ac:dyDescent="0.25">
      <c r="A2051" s="7" t="s">
        <v>104</v>
      </c>
      <c r="B2051" s="7">
        <f t="shared" si="469"/>
        <v>2058</v>
      </c>
      <c r="C2051" s="4" t="s">
        <v>17</v>
      </c>
      <c r="D2051" s="5" t="s">
        <v>128</v>
      </c>
      <c r="E2051" s="10" t="str">
        <f t="shared" si="467"/>
        <v>PSND'!</v>
      </c>
      <c r="F2051" s="5" t="str">
        <f t="shared" si="468"/>
        <v>C:\Users\jaime.benazar\Quorum Business Solutions\Ecopetrol Prometeo - Documents\Planning Space Implementation\3. Analysis &amp; Design\Design\FC22\DRR Jaime\QUIFA-CAJÚA\Cajua\[VAS_CAJUA_CF_SEC_20230125.xlsx]CF PSND'!</v>
      </c>
      <c r="G2051" s="7" t="s">
        <v>39</v>
      </c>
      <c r="H2051" s="4"/>
      <c r="I2051" s="4"/>
      <c r="J2051" s="4"/>
    </row>
    <row r="2052" spans="1:10" x14ac:dyDescent="0.25">
      <c r="A2052" s="7" t="s">
        <v>104</v>
      </c>
      <c r="B2052" s="7">
        <f t="shared" si="469"/>
        <v>2059</v>
      </c>
      <c r="C2052" s="4" t="s">
        <v>17</v>
      </c>
      <c r="D2052" s="5" t="s">
        <v>128</v>
      </c>
      <c r="E2052" s="10" t="str">
        <f t="shared" si="467"/>
        <v>PSND'!</v>
      </c>
      <c r="F2052" s="5" t="str">
        <f t="shared" si="468"/>
        <v>C:\Users\jaime.benazar\Quorum Business Solutions\Ecopetrol Prometeo - Documents\Planning Space Implementation\3. Analysis &amp; Design\Design\FC22\DRR Jaime\QUIFA-CAJÚA\Cajua\[VAS_CAJUA_CF_SEC_20230125.xlsx]CF PSND'!</v>
      </c>
      <c r="G2052" s="7" t="s">
        <v>39</v>
      </c>
      <c r="H2052" s="4"/>
      <c r="I2052" s="4"/>
      <c r="J2052" s="4"/>
    </row>
    <row r="2053" spans="1:10" x14ac:dyDescent="0.25">
      <c r="A2053" s="7" t="s">
        <v>28</v>
      </c>
      <c r="B2053" s="7"/>
      <c r="C2053" s="4" t="s">
        <v>17</v>
      </c>
      <c r="D2053" s="5"/>
      <c r="E2053" s="10"/>
      <c r="F2053" s="5"/>
      <c r="G2053" s="7"/>
      <c r="H2053" s="4"/>
      <c r="I2053" s="4"/>
      <c r="J2053" s="4"/>
    </row>
    <row r="2054" spans="1:10" x14ac:dyDescent="0.25">
      <c r="A2054" s="7" t="s">
        <v>34</v>
      </c>
      <c r="B2054" s="7">
        <v>2023</v>
      </c>
      <c r="C2054" s="4" t="s">
        <v>17</v>
      </c>
      <c r="D2054" s="5" t="s">
        <v>128</v>
      </c>
      <c r="E2054" s="10" t="str">
        <f t="shared" si="405"/>
        <v>PS'!</v>
      </c>
      <c r="F2054" s="5" t="str">
        <f t="shared" ref="F2054:F2074" si="470">_xlfn.CONCAT(D2054," ",E2054)</f>
        <v>C:\Users\jaime.benazar\Quorum Business Solutions\Ecopetrol Prometeo - Documents\Planning Space Implementation\3. Analysis &amp; Design\Design\FC22\DRR Jaime\QUIFA-CAJÚA\Cajua\[VAS_CAJUA_CF_SEC_20230125.xlsx]CF PS'!</v>
      </c>
      <c r="G2054" s="7" t="s">
        <v>39</v>
      </c>
      <c r="H2054" s="4">
        <f>IF(A2054&lt;&gt;A1924,36,H1924+1)</f>
        <v>36</v>
      </c>
      <c r="I2054" s="4" t="str">
        <f t="shared" si="406"/>
        <v>='C:\Users\jaime.benazar\Quorum Business Solutions\Ecopetrol Prometeo - Documents\Planning Space Implementation\3. Analysis &amp; Design\Design\FC22\DRR Jaime\QUIFA-CAJÚA\Cajua\[VAS_CAJUA_CF_SEC_20230125.xlsx]CF PS'!$BU$36</v>
      </c>
      <c r="J2054" s="4" t="s">
        <v>1017</v>
      </c>
    </row>
    <row r="2055" spans="1:10" x14ac:dyDescent="0.25">
      <c r="A2055" s="7" t="s">
        <v>34</v>
      </c>
      <c r="B2055" s="7">
        <f>+B2054+1</f>
        <v>2024</v>
      </c>
      <c r="C2055" s="4" t="s">
        <v>17</v>
      </c>
      <c r="D2055" s="5" t="s">
        <v>128</v>
      </c>
      <c r="E2055" s="10" t="str">
        <f t="shared" si="405"/>
        <v>PS'!</v>
      </c>
      <c r="F2055" s="5" t="str">
        <f t="shared" si="470"/>
        <v>C:\Users\jaime.benazar\Quorum Business Solutions\Ecopetrol Prometeo - Documents\Planning Space Implementation\3. Analysis &amp; Design\Design\FC22\DRR Jaime\QUIFA-CAJÚA\Cajua\[VAS_CAJUA_CF_SEC_20230125.xlsx]CF PS'!</v>
      </c>
      <c r="G2055" s="7" t="s">
        <v>39</v>
      </c>
      <c r="H2055" s="4">
        <f t="shared" si="407"/>
        <v>37</v>
      </c>
      <c r="I2055" s="4" t="str">
        <f t="shared" si="406"/>
        <v>='C:\Users\jaime.benazar\Quorum Business Solutions\Ecopetrol Prometeo - Documents\Planning Space Implementation\3. Analysis &amp; Design\Design\FC22\DRR Jaime\QUIFA-CAJÚA\Cajua\[VAS_CAJUA_CF_SEC_20230125.xlsx]CF PS'!$BU$37</v>
      </c>
      <c r="J2055" s="4" t="s">
        <v>1018</v>
      </c>
    </row>
    <row r="2056" spans="1:10" x14ac:dyDescent="0.25">
      <c r="A2056" s="7" t="s">
        <v>34</v>
      </c>
      <c r="B2056" s="7">
        <f t="shared" ref="B2056:B2067" si="471">+B2055+1</f>
        <v>2025</v>
      </c>
      <c r="C2056" s="4" t="s">
        <v>17</v>
      </c>
      <c r="D2056" s="5" t="s">
        <v>128</v>
      </c>
      <c r="E2056" s="10" t="str">
        <f t="shared" si="405"/>
        <v>PS'!</v>
      </c>
      <c r="F2056" s="5" t="str">
        <f t="shared" si="470"/>
        <v>C:\Users\jaime.benazar\Quorum Business Solutions\Ecopetrol Prometeo - Documents\Planning Space Implementation\3. Analysis &amp; Design\Design\FC22\DRR Jaime\QUIFA-CAJÚA\Cajua\[VAS_CAJUA_CF_SEC_20230125.xlsx]CF PS'!</v>
      </c>
      <c r="G2056" s="7" t="s">
        <v>39</v>
      </c>
      <c r="H2056" s="4">
        <f t="shared" si="407"/>
        <v>38</v>
      </c>
      <c r="I2056" s="4" t="str">
        <f t="shared" si="406"/>
        <v>='C:\Users\jaime.benazar\Quorum Business Solutions\Ecopetrol Prometeo - Documents\Planning Space Implementation\3. Analysis &amp; Design\Design\FC22\DRR Jaime\QUIFA-CAJÚA\Cajua\[VAS_CAJUA_CF_SEC_20230125.xlsx]CF PS'!$BU$38</v>
      </c>
      <c r="J2056" s="4" t="s">
        <v>1019</v>
      </c>
    </row>
    <row r="2057" spans="1:10" x14ac:dyDescent="0.25">
      <c r="A2057" s="7" t="s">
        <v>34</v>
      </c>
      <c r="B2057" s="7">
        <f t="shared" si="471"/>
        <v>2026</v>
      </c>
      <c r="C2057" s="4" t="s">
        <v>17</v>
      </c>
      <c r="D2057" s="5" t="s">
        <v>128</v>
      </c>
      <c r="E2057" s="10" t="str">
        <f t="shared" si="405"/>
        <v>PS'!</v>
      </c>
      <c r="F2057" s="5" t="str">
        <f t="shared" si="470"/>
        <v>C:\Users\jaime.benazar\Quorum Business Solutions\Ecopetrol Prometeo - Documents\Planning Space Implementation\3. Analysis &amp; Design\Design\FC22\DRR Jaime\QUIFA-CAJÚA\Cajua\[VAS_CAJUA_CF_SEC_20230125.xlsx]CF PS'!</v>
      </c>
      <c r="G2057" s="7" t="s">
        <v>39</v>
      </c>
      <c r="H2057" s="4">
        <f t="shared" si="407"/>
        <v>39</v>
      </c>
      <c r="I2057" s="4" t="str">
        <f t="shared" si="406"/>
        <v>='C:\Users\jaime.benazar\Quorum Business Solutions\Ecopetrol Prometeo - Documents\Planning Space Implementation\3. Analysis &amp; Design\Design\FC22\DRR Jaime\QUIFA-CAJÚA\Cajua\[VAS_CAJUA_CF_SEC_20230125.xlsx]CF PS'!$BU$39</v>
      </c>
      <c r="J2057" s="4" t="s">
        <v>1020</v>
      </c>
    </row>
    <row r="2058" spans="1:10" x14ac:dyDescent="0.25">
      <c r="A2058" s="7" t="s">
        <v>34</v>
      </c>
      <c r="B2058" s="7">
        <f t="shared" si="471"/>
        <v>2027</v>
      </c>
      <c r="C2058" s="4" t="s">
        <v>17</v>
      </c>
      <c r="D2058" s="5" t="s">
        <v>128</v>
      </c>
      <c r="E2058" s="10" t="str">
        <f t="shared" si="405"/>
        <v>PS'!</v>
      </c>
      <c r="F2058" s="5" t="str">
        <f t="shared" si="470"/>
        <v>C:\Users\jaime.benazar\Quorum Business Solutions\Ecopetrol Prometeo - Documents\Planning Space Implementation\3. Analysis &amp; Design\Design\FC22\DRR Jaime\QUIFA-CAJÚA\Cajua\[VAS_CAJUA_CF_SEC_20230125.xlsx]CF PS'!</v>
      </c>
      <c r="G2058" s="7" t="s">
        <v>39</v>
      </c>
      <c r="H2058" s="4">
        <f t="shared" si="407"/>
        <v>40</v>
      </c>
      <c r="I2058" s="4" t="str">
        <f t="shared" si="406"/>
        <v>='C:\Users\jaime.benazar\Quorum Business Solutions\Ecopetrol Prometeo - Documents\Planning Space Implementation\3. Analysis &amp; Design\Design\FC22\DRR Jaime\QUIFA-CAJÚA\Cajua\[VAS_CAJUA_CF_SEC_20230125.xlsx]CF PS'!$BU$40</v>
      </c>
      <c r="J2058" s="4" t="s">
        <v>1021</v>
      </c>
    </row>
    <row r="2059" spans="1:10" x14ac:dyDescent="0.25">
      <c r="A2059" s="7" t="s">
        <v>34</v>
      </c>
      <c r="B2059" s="7">
        <f t="shared" si="471"/>
        <v>2028</v>
      </c>
      <c r="C2059" s="4" t="s">
        <v>17</v>
      </c>
      <c r="D2059" s="5" t="s">
        <v>128</v>
      </c>
      <c r="E2059" s="10" t="str">
        <f t="shared" si="405"/>
        <v>PS'!</v>
      </c>
      <c r="F2059" s="5" t="str">
        <f t="shared" si="470"/>
        <v>C:\Users\jaime.benazar\Quorum Business Solutions\Ecopetrol Prometeo - Documents\Planning Space Implementation\3. Analysis &amp; Design\Design\FC22\DRR Jaime\QUIFA-CAJÚA\Cajua\[VAS_CAJUA_CF_SEC_20230125.xlsx]CF PS'!</v>
      </c>
      <c r="G2059" s="7" t="s">
        <v>39</v>
      </c>
      <c r="H2059" s="4">
        <f t="shared" si="407"/>
        <v>41</v>
      </c>
      <c r="I2059" s="4" t="str">
        <f t="shared" si="406"/>
        <v>='C:\Users\jaime.benazar\Quorum Business Solutions\Ecopetrol Prometeo - Documents\Planning Space Implementation\3. Analysis &amp; Design\Design\FC22\DRR Jaime\QUIFA-CAJÚA\Cajua\[VAS_CAJUA_CF_SEC_20230125.xlsx]CF PS'!$BU$41</v>
      </c>
      <c r="J2059" s="4" t="s">
        <v>1022</v>
      </c>
    </row>
    <row r="2060" spans="1:10" x14ac:dyDescent="0.25">
      <c r="A2060" s="7" t="s">
        <v>34</v>
      </c>
      <c r="B2060" s="7">
        <f t="shared" si="471"/>
        <v>2029</v>
      </c>
      <c r="C2060" s="4" t="s">
        <v>17</v>
      </c>
      <c r="D2060" s="5" t="s">
        <v>128</v>
      </c>
      <c r="E2060" s="10" t="str">
        <f t="shared" si="405"/>
        <v>PS'!</v>
      </c>
      <c r="F2060" s="5" t="str">
        <f t="shared" si="470"/>
        <v>C:\Users\jaime.benazar\Quorum Business Solutions\Ecopetrol Prometeo - Documents\Planning Space Implementation\3. Analysis &amp; Design\Design\FC22\DRR Jaime\QUIFA-CAJÚA\Cajua\[VAS_CAJUA_CF_SEC_20230125.xlsx]CF PS'!</v>
      </c>
      <c r="G2060" s="7" t="s">
        <v>39</v>
      </c>
      <c r="H2060" s="4">
        <f t="shared" si="407"/>
        <v>42</v>
      </c>
      <c r="I2060" s="4" t="str">
        <f t="shared" si="406"/>
        <v>='C:\Users\jaime.benazar\Quorum Business Solutions\Ecopetrol Prometeo - Documents\Planning Space Implementation\3. Analysis &amp; Design\Design\FC22\DRR Jaime\QUIFA-CAJÚA\Cajua\[VAS_CAJUA_CF_SEC_20230125.xlsx]CF PS'!$BU$42</v>
      </c>
      <c r="J2060" s="4" t="s">
        <v>1023</v>
      </c>
    </row>
    <row r="2061" spans="1:10" x14ac:dyDescent="0.25">
      <c r="A2061" s="7" t="s">
        <v>34</v>
      </c>
      <c r="B2061" s="7">
        <f t="shared" si="471"/>
        <v>2030</v>
      </c>
      <c r="C2061" s="4" t="s">
        <v>17</v>
      </c>
      <c r="D2061" s="5" t="s">
        <v>128</v>
      </c>
      <c r="E2061" s="10" t="str">
        <f t="shared" si="405"/>
        <v>PS'!</v>
      </c>
      <c r="F2061" s="5" t="str">
        <f t="shared" si="470"/>
        <v>C:\Users\jaime.benazar\Quorum Business Solutions\Ecopetrol Prometeo - Documents\Planning Space Implementation\3. Analysis &amp; Design\Design\FC22\DRR Jaime\QUIFA-CAJÚA\Cajua\[VAS_CAJUA_CF_SEC_20230125.xlsx]CF PS'!</v>
      </c>
      <c r="G2061" s="7" t="s">
        <v>39</v>
      </c>
      <c r="H2061" s="4">
        <f t="shared" si="407"/>
        <v>43</v>
      </c>
      <c r="I2061" s="4" t="str">
        <f t="shared" si="406"/>
        <v>='C:\Users\jaime.benazar\Quorum Business Solutions\Ecopetrol Prometeo - Documents\Planning Space Implementation\3. Analysis &amp; Design\Design\FC22\DRR Jaime\QUIFA-CAJÚA\Cajua\[VAS_CAJUA_CF_SEC_20230125.xlsx]CF PS'!$BU$43</v>
      </c>
      <c r="J2061" s="4" t="s">
        <v>1024</v>
      </c>
    </row>
    <row r="2062" spans="1:10" x14ac:dyDescent="0.25">
      <c r="A2062" s="7" t="s">
        <v>34</v>
      </c>
      <c r="B2062" s="7">
        <f t="shared" si="471"/>
        <v>2031</v>
      </c>
      <c r="C2062" s="4" t="s">
        <v>17</v>
      </c>
      <c r="D2062" s="5" t="s">
        <v>128</v>
      </c>
      <c r="E2062" s="10" t="str">
        <f t="shared" si="405"/>
        <v>PS'!</v>
      </c>
      <c r="F2062" s="5" t="str">
        <f t="shared" si="470"/>
        <v>C:\Users\jaime.benazar\Quorum Business Solutions\Ecopetrol Prometeo - Documents\Planning Space Implementation\3. Analysis &amp; Design\Design\FC22\DRR Jaime\QUIFA-CAJÚA\Cajua\[VAS_CAJUA_CF_SEC_20230125.xlsx]CF PS'!</v>
      </c>
      <c r="G2062" s="7" t="s">
        <v>39</v>
      </c>
      <c r="H2062" s="4">
        <f t="shared" si="407"/>
        <v>44</v>
      </c>
      <c r="I2062" s="4" t="str">
        <f t="shared" si="406"/>
        <v>='C:\Users\jaime.benazar\Quorum Business Solutions\Ecopetrol Prometeo - Documents\Planning Space Implementation\3. Analysis &amp; Design\Design\FC22\DRR Jaime\QUIFA-CAJÚA\Cajua\[VAS_CAJUA_CF_SEC_20230125.xlsx]CF PS'!$BU$44</v>
      </c>
      <c r="J2062" s="4" t="s">
        <v>1025</v>
      </c>
    </row>
    <row r="2063" spans="1:10" x14ac:dyDescent="0.25">
      <c r="A2063" s="7" t="s">
        <v>34</v>
      </c>
      <c r="B2063" s="7">
        <f t="shared" si="471"/>
        <v>2032</v>
      </c>
      <c r="C2063" s="4" t="s">
        <v>17</v>
      </c>
      <c r="D2063" s="5" t="s">
        <v>128</v>
      </c>
      <c r="E2063" s="10" t="str">
        <f t="shared" si="405"/>
        <v>PS'!</v>
      </c>
      <c r="F2063" s="5" t="str">
        <f t="shared" si="470"/>
        <v>C:\Users\jaime.benazar\Quorum Business Solutions\Ecopetrol Prometeo - Documents\Planning Space Implementation\3. Analysis &amp; Design\Design\FC22\DRR Jaime\QUIFA-CAJÚA\Cajua\[VAS_CAJUA_CF_SEC_20230125.xlsx]CF PS'!</v>
      </c>
      <c r="G2063" s="7" t="s">
        <v>39</v>
      </c>
      <c r="H2063" s="4">
        <f t="shared" si="407"/>
        <v>45</v>
      </c>
      <c r="I2063" s="4" t="str">
        <f t="shared" si="406"/>
        <v>='C:\Users\jaime.benazar\Quorum Business Solutions\Ecopetrol Prometeo - Documents\Planning Space Implementation\3. Analysis &amp; Design\Design\FC22\DRR Jaime\QUIFA-CAJÚA\Cajua\[VAS_CAJUA_CF_SEC_20230125.xlsx]CF PS'!$BU$45</v>
      </c>
      <c r="J2063" s="4" t="s">
        <v>1026</v>
      </c>
    </row>
    <row r="2064" spans="1:10" x14ac:dyDescent="0.25">
      <c r="A2064" s="7" t="s">
        <v>34</v>
      </c>
      <c r="B2064" s="7">
        <f t="shared" si="471"/>
        <v>2033</v>
      </c>
      <c r="C2064" s="4" t="s">
        <v>17</v>
      </c>
      <c r="D2064" s="5" t="s">
        <v>128</v>
      </c>
      <c r="E2064" s="10" t="str">
        <f t="shared" si="405"/>
        <v>PS'!</v>
      </c>
      <c r="F2064" s="5" t="str">
        <f t="shared" si="470"/>
        <v>C:\Users\jaime.benazar\Quorum Business Solutions\Ecopetrol Prometeo - Documents\Planning Space Implementation\3. Analysis &amp; Design\Design\FC22\DRR Jaime\QUIFA-CAJÚA\Cajua\[VAS_CAJUA_CF_SEC_20230125.xlsx]CF PS'!</v>
      </c>
      <c r="G2064" s="7" t="s">
        <v>39</v>
      </c>
      <c r="H2064" s="4">
        <f t="shared" si="407"/>
        <v>46</v>
      </c>
      <c r="I2064" s="4" t="str">
        <f t="shared" si="406"/>
        <v>='C:\Users\jaime.benazar\Quorum Business Solutions\Ecopetrol Prometeo - Documents\Planning Space Implementation\3. Analysis &amp; Design\Design\FC22\DRR Jaime\QUIFA-CAJÚA\Cajua\[VAS_CAJUA_CF_SEC_20230125.xlsx]CF PS'!$BU$46</v>
      </c>
      <c r="J2064" s="4" t="s">
        <v>1027</v>
      </c>
    </row>
    <row r="2065" spans="1:10" x14ac:dyDescent="0.25">
      <c r="A2065" s="7" t="s">
        <v>34</v>
      </c>
      <c r="B2065" s="7">
        <f t="shared" si="471"/>
        <v>2034</v>
      </c>
      <c r="C2065" s="4" t="s">
        <v>17</v>
      </c>
      <c r="D2065" s="5" t="s">
        <v>128</v>
      </c>
      <c r="E2065" s="10" t="str">
        <f t="shared" si="405"/>
        <v>PS'!</v>
      </c>
      <c r="F2065" s="5" t="str">
        <f t="shared" si="470"/>
        <v>C:\Users\jaime.benazar\Quorum Business Solutions\Ecopetrol Prometeo - Documents\Planning Space Implementation\3. Analysis &amp; Design\Design\FC22\DRR Jaime\QUIFA-CAJÚA\Cajua\[VAS_CAJUA_CF_SEC_20230125.xlsx]CF PS'!</v>
      </c>
      <c r="G2065" s="7" t="s">
        <v>39</v>
      </c>
      <c r="H2065" s="4">
        <f t="shared" si="407"/>
        <v>47</v>
      </c>
      <c r="I2065" s="4" t="str">
        <f t="shared" si="406"/>
        <v>='C:\Users\jaime.benazar\Quorum Business Solutions\Ecopetrol Prometeo - Documents\Planning Space Implementation\3. Analysis &amp; Design\Design\FC22\DRR Jaime\QUIFA-CAJÚA\Cajua\[VAS_CAJUA_CF_SEC_20230125.xlsx]CF PS'!$BU$47</v>
      </c>
      <c r="J2065" s="4" t="s">
        <v>1028</v>
      </c>
    </row>
    <row r="2066" spans="1:10" x14ac:dyDescent="0.25">
      <c r="A2066" s="7" t="s">
        <v>34</v>
      </c>
      <c r="B2066" s="7">
        <f t="shared" si="471"/>
        <v>2035</v>
      </c>
      <c r="C2066" s="4" t="s">
        <v>17</v>
      </c>
      <c r="D2066" s="5" t="s">
        <v>128</v>
      </c>
      <c r="E2066" s="10" t="str">
        <f t="shared" si="405"/>
        <v>PS'!</v>
      </c>
      <c r="F2066" s="5" t="str">
        <f t="shared" si="470"/>
        <v>C:\Users\jaime.benazar\Quorum Business Solutions\Ecopetrol Prometeo - Documents\Planning Space Implementation\3. Analysis &amp; Design\Design\FC22\DRR Jaime\QUIFA-CAJÚA\Cajua\[VAS_CAJUA_CF_SEC_20230125.xlsx]CF PS'!</v>
      </c>
      <c r="G2066" s="7" t="s">
        <v>39</v>
      </c>
      <c r="H2066" s="4">
        <f t="shared" si="407"/>
        <v>48</v>
      </c>
      <c r="I2066" s="4" t="str">
        <f t="shared" si="406"/>
        <v>='C:\Users\jaime.benazar\Quorum Business Solutions\Ecopetrol Prometeo - Documents\Planning Space Implementation\3. Analysis &amp; Design\Design\FC22\DRR Jaime\QUIFA-CAJÚA\Cajua\[VAS_CAJUA_CF_SEC_20230125.xlsx]CF PS'!$BU$48</v>
      </c>
      <c r="J2066" s="4" t="s">
        <v>1029</v>
      </c>
    </row>
    <row r="2067" spans="1:10" x14ac:dyDescent="0.25">
      <c r="A2067" s="7" t="s">
        <v>34</v>
      </c>
      <c r="B2067" s="7">
        <f t="shared" si="471"/>
        <v>2036</v>
      </c>
      <c r="C2067" s="4" t="s">
        <v>17</v>
      </c>
      <c r="D2067" s="5" t="s">
        <v>128</v>
      </c>
      <c r="E2067" s="10" t="str">
        <f t="shared" si="405"/>
        <v>PS'!</v>
      </c>
      <c r="F2067" s="5" t="str">
        <f t="shared" si="470"/>
        <v>C:\Users\jaime.benazar\Quorum Business Solutions\Ecopetrol Prometeo - Documents\Planning Space Implementation\3. Analysis &amp; Design\Design\FC22\DRR Jaime\QUIFA-CAJÚA\Cajua\[VAS_CAJUA_CF_SEC_20230125.xlsx]CF PS'!</v>
      </c>
      <c r="G2067" s="7" t="s">
        <v>39</v>
      </c>
      <c r="H2067" s="4">
        <f t="shared" si="407"/>
        <v>49</v>
      </c>
      <c r="I2067" s="4" t="str">
        <f t="shared" si="406"/>
        <v>='C:\Users\jaime.benazar\Quorum Business Solutions\Ecopetrol Prometeo - Documents\Planning Space Implementation\3. Analysis &amp; Design\Design\FC22\DRR Jaime\QUIFA-CAJÚA\Cajua\[VAS_CAJUA_CF_SEC_20230125.xlsx]CF PS'!$BU$49</v>
      </c>
      <c r="J2067" s="4" t="s">
        <v>1030</v>
      </c>
    </row>
    <row r="2068" spans="1:10" x14ac:dyDescent="0.25">
      <c r="A2068" s="7" t="s">
        <v>34</v>
      </c>
      <c r="B2068" s="7">
        <f>+B2067+1</f>
        <v>2037</v>
      </c>
      <c r="C2068" s="4" t="s">
        <v>17</v>
      </c>
      <c r="D2068" s="5" t="s">
        <v>128</v>
      </c>
      <c r="E2068" s="10" t="str">
        <f t="shared" si="405"/>
        <v>PS'!</v>
      </c>
      <c r="F2068" s="5" t="str">
        <f t="shared" si="470"/>
        <v>C:\Users\jaime.benazar\Quorum Business Solutions\Ecopetrol Prometeo - Documents\Planning Space Implementation\3. Analysis &amp; Design\Design\FC22\DRR Jaime\QUIFA-CAJÚA\Cajua\[VAS_CAJUA_CF_SEC_20230125.xlsx]CF PS'!</v>
      </c>
      <c r="G2068" s="7" t="s">
        <v>39</v>
      </c>
      <c r="H2068" s="4">
        <f t="shared" si="407"/>
        <v>50</v>
      </c>
      <c r="I2068" s="4" t="str">
        <f t="shared" si="406"/>
        <v>='C:\Users\jaime.benazar\Quorum Business Solutions\Ecopetrol Prometeo - Documents\Planning Space Implementation\3. Analysis &amp; Design\Design\FC22\DRR Jaime\QUIFA-CAJÚA\Cajua\[VAS_CAJUA_CF_SEC_20230125.xlsx]CF PS'!$BU$50</v>
      </c>
      <c r="J2068" s="4" t="s">
        <v>1031</v>
      </c>
    </row>
    <row r="2069" spans="1:10" x14ac:dyDescent="0.25">
      <c r="A2069" s="7" t="s">
        <v>34</v>
      </c>
      <c r="B2069" s="7">
        <f t="shared" ref="B2069:B2071" si="472">+B2068+1</f>
        <v>2038</v>
      </c>
      <c r="C2069" s="4" t="s">
        <v>17</v>
      </c>
      <c r="D2069" s="5" t="s">
        <v>128</v>
      </c>
      <c r="E2069" s="10" t="str">
        <f t="shared" si="405"/>
        <v>PS'!</v>
      </c>
      <c r="F2069" s="5" t="str">
        <f t="shared" si="470"/>
        <v>C:\Users\jaime.benazar\Quorum Business Solutions\Ecopetrol Prometeo - Documents\Planning Space Implementation\3. Analysis &amp; Design\Design\FC22\DRR Jaime\QUIFA-CAJÚA\Cajua\[VAS_CAJUA_CF_SEC_20230125.xlsx]CF PS'!</v>
      </c>
      <c r="G2069" s="7" t="s">
        <v>39</v>
      </c>
      <c r="H2069" s="4">
        <f t="shared" si="407"/>
        <v>51</v>
      </c>
      <c r="I2069" s="4" t="str">
        <f t="shared" si="406"/>
        <v>='C:\Users\jaime.benazar\Quorum Business Solutions\Ecopetrol Prometeo - Documents\Planning Space Implementation\3. Analysis &amp; Design\Design\FC22\DRR Jaime\QUIFA-CAJÚA\Cajua\[VAS_CAJUA_CF_SEC_20230125.xlsx]CF PS'!$BU$51</v>
      </c>
      <c r="J2069" s="4" t="s">
        <v>1032</v>
      </c>
    </row>
    <row r="2070" spans="1:10" x14ac:dyDescent="0.25">
      <c r="A2070" s="7" t="s">
        <v>34</v>
      </c>
      <c r="B2070" s="7">
        <f t="shared" si="472"/>
        <v>2039</v>
      </c>
      <c r="C2070" s="4" t="s">
        <v>17</v>
      </c>
      <c r="D2070" s="5" t="s">
        <v>128</v>
      </c>
      <c r="E2070" s="10" t="str">
        <f t="shared" si="405"/>
        <v>PS'!</v>
      </c>
      <c r="F2070" s="5" t="str">
        <f t="shared" si="470"/>
        <v>C:\Users\jaime.benazar\Quorum Business Solutions\Ecopetrol Prometeo - Documents\Planning Space Implementation\3. Analysis &amp; Design\Design\FC22\DRR Jaime\QUIFA-CAJÚA\Cajua\[VAS_CAJUA_CF_SEC_20230125.xlsx]CF PS'!</v>
      </c>
      <c r="G2070" s="7" t="s">
        <v>39</v>
      </c>
      <c r="H2070" s="4">
        <f t="shared" si="407"/>
        <v>52</v>
      </c>
      <c r="I2070" s="4" t="str">
        <f t="shared" si="406"/>
        <v>='C:\Users\jaime.benazar\Quorum Business Solutions\Ecopetrol Prometeo - Documents\Planning Space Implementation\3. Analysis &amp; Design\Design\FC22\DRR Jaime\QUIFA-CAJÚA\Cajua\[VAS_CAJUA_CF_SEC_20230125.xlsx]CF PS'!$BU$52</v>
      </c>
      <c r="J2070" s="4" t="s">
        <v>1033</v>
      </c>
    </row>
    <row r="2071" spans="1:10" x14ac:dyDescent="0.25">
      <c r="A2071" s="7" t="s">
        <v>34</v>
      </c>
      <c r="B2071" s="7">
        <f t="shared" si="472"/>
        <v>2040</v>
      </c>
      <c r="C2071" s="4" t="s">
        <v>17</v>
      </c>
      <c r="D2071" s="5" t="s">
        <v>128</v>
      </c>
      <c r="E2071" s="10" t="str">
        <f t="shared" si="405"/>
        <v>PS'!</v>
      </c>
      <c r="F2071" s="5" t="str">
        <f t="shared" si="470"/>
        <v>C:\Users\jaime.benazar\Quorum Business Solutions\Ecopetrol Prometeo - Documents\Planning Space Implementation\3. Analysis &amp; Design\Design\FC22\DRR Jaime\QUIFA-CAJÚA\Cajua\[VAS_CAJUA_CF_SEC_20230125.xlsx]CF PS'!</v>
      </c>
      <c r="G2071" s="7" t="s">
        <v>39</v>
      </c>
      <c r="H2071" s="4">
        <f t="shared" si="407"/>
        <v>53</v>
      </c>
      <c r="I2071" s="4" t="str">
        <f t="shared" si="406"/>
        <v>='C:\Users\jaime.benazar\Quorum Business Solutions\Ecopetrol Prometeo - Documents\Planning Space Implementation\3. Analysis &amp; Design\Design\FC22\DRR Jaime\QUIFA-CAJÚA\Cajua\[VAS_CAJUA_CF_SEC_20230125.xlsx]CF PS'!$BU$53</v>
      </c>
      <c r="J2071" s="4" t="s">
        <v>1034</v>
      </c>
    </row>
    <row r="2072" spans="1:10" x14ac:dyDescent="0.25">
      <c r="A2072" s="7" t="s">
        <v>34</v>
      </c>
      <c r="B2072" s="7">
        <f>+B2071+1</f>
        <v>2041</v>
      </c>
      <c r="C2072" s="4" t="s">
        <v>17</v>
      </c>
      <c r="D2072" s="5" t="s">
        <v>128</v>
      </c>
      <c r="E2072" s="10" t="str">
        <f t="shared" si="405"/>
        <v>PS'!</v>
      </c>
      <c r="F2072" s="5" t="str">
        <f t="shared" si="470"/>
        <v>C:\Users\jaime.benazar\Quorum Business Solutions\Ecopetrol Prometeo - Documents\Planning Space Implementation\3. Analysis &amp; Design\Design\FC22\DRR Jaime\QUIFA-CAJÚA\Cajua\[VAS_CAJUA_CF_SEC_20230125.xlsx]CF PS'!</v>
      </c>
      <c r="G2072" s="7" t="s">
        <v>39</v>
      </c>
      <c r="H2072" s="4">
        <f t="shared" si="407"/>
        <v>54</v>
      </c>
      <c r="I2072" s="4" t="str">
        <f t="shared" si="406"/>
        <v>='C:\Users\jaime.benazar\Quorum Business Solutions\Ecopetrol Prometeo - Documents\Planning Space Implementation\3. Analysis &amp; Design\Design\FC22\DRR Jaime\QUIFA-CAJÚA\Cajua\[VAS_CAJUA_CF_SEC_20230125.xlsx]CF PS'!$BU$54</v>
      </c>
      <c r="J2072" s="4" t="s">
        <v>1035</v>
      </c>
    </row>
    <row r="2073" spans="1:10" x14ac:dyDescent="0.25">
      <c r="A2073" s="7" t="s">
        <v>34</v>
      </c>
      <c r="B2073" s="7">
        <f t="shared" ref="B2073:B2074" si="473">+B2072+1</f>
        <v>2042</v>
      </c>
      <c r="C2073" s="4" t="s">
        <v>17</v>
      </c>
      <c r="D2073" s="5" t="s">
        <v>128</v>
      </c>
      <c r="E2073" s="10" t="str">
        <f t="shared" si="405"/>
        <v>PS'!</v>
      </c>
      <c r="F2073" s="5" t="str">
        <f t="shared" si="470"/>
        <v>C:\Users\jaime.benazar\Quorum Business Solutions\Ecopetrol Prometeo - Documents\Planning Space Implementation\3. Analysis &amp; Design\Design\FC22\DRR Jaime\QUIFA-CAJÚA\Cajua\[VAS_CAJUA_CF_SEC_20230125.xlsx]CF PS'!</v>
      </c>
      <c r="G2073" s="7" t="s">
        <v>39</v>
      </c>
      <c r="H2073" s="4">
        <f t="shared" si="407"/>
        <v>55</v>
      </c>
      <c r="I2073" s="4" t="str">
        <f t="shared" si="406"/>
        <v>='C:\Users\jaime.benazar\Quorum Business Solutions\Ecopetrol Prometeo - Documents\Planning Space Implementation\3. Analysis &amp; Design\Design\FC22\DRR Jaime\QUIFA-CAJÚA\Cajua\[VAS_CAJUA_CF_SEC_20230125.xlsx]CF PS'!$BU$55</v>
      </c>
      <c r="J2073" s="4" t="s">
        <v>1036</v>
      </c>
    </row>
    <row r="2074" spans="1:10" x14ac:dyDescent="0.25">
      <c r="A2074" s="7" t="s">
        <v>34</v>
      </c>
      <c r="B2074" s="7">
        <f t="shared" si="473"/>
        <v>2043</v>
      </c>
      <c r="C2074" s="4" t="s">
        <v>17</v>
      </c>
      <c r="D2074" s="5" t="s">
        <v>128</v>
      </c>
      <c r="E2074" s="10" t="str">
        <f t="shared" si="405"/>
        <v>PS'!</v>
      </c>
      <c r="F2074" s="5" t="str">
        <f t="shared" si="470"/>
        <v>C:\Users\jaime.benazar\Quorum Business Solutions\Ecopetrol Prometeo - Documents\Planning Space Implementation\3. Analysis &amp; Design\Design\FC22\DRR Jaime\QUIFA-CAJÚA\Cajua\[VAS_CAJUA_CF_SEC_20230125.xlsx]CF PS'!</v>
      </c>
      <c r="G2074" s="7" t="s">
        <v>39</v>
      </c>
      <c r="H2074" s="4">
        <f t="shared" si="407"/>
        <v>56</v>
      </c>
      <c r="I2074" s="4" t="str">
        <f t="shared" si="406"/>
        <v>='C:\Users\jaime.benazar\Quorum Business Solutions\Ecopetrol Prometeo - Documents\Planning Space Implementation\3. Analysis &amp; Design\Design\FC22\DRR Jaime\QUIFA-CAJÚA\Cajua\[VAS_CAJUA_CF_SEC_20230125.xlsx]CF PS'!$BU$56</v>
      </c>
      <c r="J2074" s="4" t="s">
        <v>1037</v>
      </c>
    </row>
    <row r="2075" spans="1:10" x14ac:dyDescent="0.25">
      <c r="A2075" s="7" t="s">
        <v>34</v>
      </c>
      <c r="B2075" s="7">
        <f>+B2074+1</f>
        <v>2044</v>
      </c>
      <c r="C2075" s="4" t="s">
        <v>17</v>
      </c>
      <c r="D2075" s="5" t="s">
        <v>128</v>
      </c>
      <c r="E2075" s="10" t="str">
        <f t="shared" ref="E2075:E2090" si="474">_xlfn.CONCAT(A2075,"'!")</f>
        <v>PS'!</v>
      </c>
      <c r="F2075" s="5" t="str">
        <f t="shared" ref="F2075:F2090" si="475">_xlfn.CONCAT(D2075," ",E2075)</f>
        <v>C:\Users\jaime.benazar\Quorum Business Solutions\Ecopetrol Prometeo - Documents\Planning Space Implementation\3. Analysis &amp; Design\Design\FC22\DRR Jaime\QUIFA-CAJÚA\Cajua\[VAS_CAJUA_CF_SEC_20230125.xlsx]CF PS'!</v>
      </c>
      <c r="G2075" s="7" t="s">
        <v>39</v>
      </c>
      <c r="H2075" s="4">
        <f t="shared" ref="H2075:H2090" si="476">IF(A2075&lt;&gt;A2074,36,H2074+1)</f>
        <v>57</v>
      </c>
      <c r="I2075" s="4" t="str">
        <f t="shared" ref="I2075:I2090" si="477">_xlfn.CONCAT("='",F2075:H2075)</f>
        <v>='C:\Users\jaime.benazar\Quorum Business Solutions\Ecopetrol Prometeo - Documents\Planning Space Implementation\3. Analysis &amp; Design\Design\FC22\DRR Jaime\QUIFA-CAJÚA\Cajua\[VAS_CAJUA_CF_SEC_20230125.xlsx]CF PS'!$BU$57</v>
      </c>
      <c r="J2075" s="4" t="s">
        <v>1038</v>
      </c>
    </row>
    <row r="2076" spans="1:10" x14ac:dyDescent="0.25">
      <c r="A2076" s="7" t="s">
        <v>34</v>
      </c>
      <c r="B2076" s="7">
        <f t="shared" ref="B2076:B2090" si="478">+B2075+1</f>
        <v>2045</v>
      </c>
      <c r="C2076" s="4" t="s">
        <v>17</v>
      </c>
      <c r="D2076" s="5" t="s">
        <v>128</v>
      </c>
      <c r="E2076" s="10" t="str">
        <f t="shared" si="474"/>
        <v>PS'!</v>
      </c>
      <c r="F2076" s="5" t="str">
        <f t="shared" si="475"/>
        <v>C:\Users\jaime.benazar\Quorum Business Solutions\Ecopetrol Prometeo - Documents\Planning Space Implementation\3. Analysis &amp; Design\Design\FC22\DRR Jaime\QUIFA-CAJÚA\Cajua\[VAS_CAJUA_CF_SEC_20230125.xlsx]CF PS'!</v>
      </c>
      <c r="G2076" s="7" t="s">
        <v>39</v>
      </c>
      <c r="H2076" s="4">
        <f t="shared" si="476"/>
        <v>58</v>
      </c>
      <c r="I2076" s="4" t="str">
        <f t="shared" si="477"/>
        <v>='C:\Users\jaime.benazar\Quorum Business Solutions\Ecopetrol Prometeo - Documents\Planning Space Implementation\3. Analysis &amp; Design\Design\FC22\DRR Jaime\QUIFA-CAJÚA\Cajua\[VAS_CAJUA_CF_SEC_20230125.xlsx]CF PS'!$BU$58</v>
      </c>
      <c r="J2076" s="4" t="s">
        <v>1039</v>
      </c>
    </row>
    <row r="2077" spans="1:10" x14ac:dyDescent="0.25">
      <c r="A2077" s="7" t="s">
        <v>34</v>
      </c>
      <c r="B2077" s="7">
        <f t="shared" si="478"/>
        <v>2046</v>
      </c>
      <c r="C2077" s="4" t="s">
        <v>17</v>
      </c>
      <c r="D2077" s="5" t="s">
        <v>128</v>
      </c>
      <c r="E2077" s="10" t="str">
        <f t="shared" si="474"/>
        <v>PS'!</v>
      </c>
      <c r="F2077" s="5" t="str">
        <f t="shared" si="475"/>
        <v>C:\Users\jaime.benazar\Quorum Business Solutions\Ecopetrol Prometeo - Documents\Planning Space Implementation\3. Analysis &amp; Design\Design\FC22\DRR Jaime\QUIFA-CAJÚA\Cajua\[VAS_CAJUA_CF_SEC_20230125.xlsx]CF PS'!</v>
      </c>
      <c r="G2077" s="7" t="s">
        <v>39</v>
      </c>
      <c r="H2077" s="4">
        <f t="shared" si="476"/>
        <v>59</v>
      </c>
      <c r="I2077" s="4" t="str">
        <f t="shared" si="477"/>
        <v>='C:\Users\jaime.benazar\Quorum Business Solutions\Ecopetrol Prometeo - Documents\Planning Space Implementation\3. Analysis &amp; Design\Design\FC22\DRR Jaime\QUIFA-CAJÚA\Cajua\[VAS_CAJUA_CF_SEC_20230125.xlsx]CF PS'!$BU$59</v>
      </c>
      <c r="J2077" s="4" t="s">
        <v>1040</v>
      </c>
    </row>
    <row r="2078" spans="1:10" x14ac:dyDescent="0.25">
      <c r="A2078" s="7" t="s">
        <v>34</v>
      </c>
      <c r="B2078" s="7">
        <f t="shared" si="478"/>
        <v>2047</v>
      </c>
      <c r="C2078" s="4" t="s">
        <v>17</v>
      </c>
      <c r="D2078" s="5" t="s">
        <v>128</v>
      </c>
      <c r="E2078" s="10" t="str">
        <f t="shared" si="474"/>
        <v>PS'!</v>
      </c>
      <c r="F2078" s="5" t="str">
        <f t="shared" si="475"/>
        <v>C:\Users\jaime.benazar\Quorum Business Solutions\Ecopetrol Prometeo - Documents\Planning Space Implementation\3. Analysis &amp; Design\Design\FC22\DRR Jaime\QUIFA-CAJÚA\Cajua\[VAS_CAJUA_CF_SEC_20230125.xlsx]CF PS'!</v>
      </c>
      <c r="G2078" s="7" t="s">
        <v>39</v>
      </c>
      <c r="H2078" s="4">
        <f t="shared" si="476"/>
        <v>60</v>
      </c>
      <c r="I2078" s="4" t="str">
        <f t="shared" si="477"/>
        <v>='C:\Users\jaime.benazar\Quorum Business Solutions\Ecopetrol Prometeo - Documents\Planning Space Implementation\3. Analysis &amp; Design\Design\FC22\DRR Jaime\QUIFA-CAJÚA\Cajua\[VAS_CAJUA_CF_SEC_20230125.xlsx]CF PS'!$BU$60</v>
      </c>
      <c r="J2078" s="4" t="s">
        <v>1041</v>
      </c>
    </row>
    <row r="2079" spans="1:10" x14ac:dyDescent="0.25">
      <c r="A2079" s="7" t="s">
        <v>34</v>
      </c>
      <c r="B2079" s="7">
        <f t="shared" si="478"/>
        <v>2048</v>
      </c>
      <c r="C2079" s="4" t="s">
        <v>17</v>
      </c>
      <c r="D2079" s="5" t="s">
        <v>128</v>
      </c>
      <c r="E2079" s="10" t="str">
        <f t="shared" si="474"/>
        <v>PS'!</v>
      </c>
      <c r="F2079" s="5" t="str">
        <f t="shared" si="475"/>
        <v>C:\Users\jaime.benazar\Quorum Business Solutions\Ecopetrol Prometeo - Documents\Planning Space Implementation\3. Analysis &amp; Design\Design\FC22\DRR Jaime\QUIFA-CAJÚA\Cajua\[VAS_CAJUA_CF_SEC_20230125.xlsx]CF PS'!</v>
      </c>
      <c r="G2079" s="7" t="s">
        <v>39</v>
      </c>
      <c r="H2079" s="4">
        <f t="shared" si="476"/>
        <v>61</v>
      </c>
      <c r="I2079" s="4" t="str">
        <f t="shared" si="477"/>
        <v>='C:\Users\jaime.benazar\Quorum Business Solutions\Ecopetrol Prometeo - Documents\Planning Space Implementation\3. Analysis &amp; Design\Design\FC22\DRR Jaime\QUIFA-CAJÚA\Cajua\[VAS_CAJUA_CF_SEC_20230125.xlsx]CF PS'!$BU$61</v>
      </c>
      <c r="J2079" s="4" t="s">
        <v>1042</v>
      </c>
    </row>
    <row r="2080" spans="1:10" x14ac:dyDescent="0.25">
      <c r="A2080" s="7" t="s">
        <v>34</v>
      </c>
      <c r="B2080" s="7">
        <f t="shared" si="478"/>
        <v>2049</v>
      </c>
      <c r="C2080" s="4" t="s">
        <v>17</v>
      </c>
      <c r="D2080" s="5" t="s">
        <v>128</v>
      </c>
      <c r="E2080" s="10" t="str">
        <f t="shared" si="474"/>
        <v>PS'!</v>
      </c>
      <c r="F2080" s="5" t="str">
        <f t="shared" si="475"/>
        <v>C:\Users\jaime.benazar\Quorum Business Solutions\Ecopetrol Prometeo - Documents\Planning Space Implementation\3. Analysis &amp; Design\Design\FC22\DRR Jaime\QUIFA-CAJÚA\Cajua\[VAS_CAJUA_CF_SEC_20230125.xlsx]CF PS'!</v>
      </c>
      <c r="G2080" s="7" t="s">
        <v>39</v>
      </c>
      <c r="H2080" s="4">
        <f t="shared" si="476"/>
        <v>62</v>
      </c>
      <c r="I2080" s="4" t="str">
        <f t="shared" si="477"/>
        <v>='C:\Users\jaime.benazar\Quorum Business Solutions\Ecopetrol Prometeo - Documents\Planning Space Implementation\3. Analysis &amp; Design\Design\FC22\DRR Jaime\QUIFA-CAJÚA\Cajua\[VAS_CAJUA_CF_SEC_20230125.xlsx]CF PS'!$BU$62</v>
      </c>
      <c r="J2080" s="4" t="s">
        <v>1043</v>
      </c>
    </row>
    <row r="2081" spans="1:10" x14ac:dyDescent="0.25">
      <c r="A2081" s="7" t="s">
        <v>34</v>
      </c>
      <c r="B2081" s="7">
        <f t="shared" si="478"/>
        <v>2050</v>
      </c>
      <c r="C2081" s="4" t="s">
        <v>17</v>
      </c>
      <c r="D2081" s="5" t="s">
        <v>128</v>
      </c>
      <c r="E2081" s="10" t="str">
        <f t="shared" si="474"/>
        <v>PS'!</v>
      </c>
      <c r="F2081" s="5" t="str">
        <f t="shared" si="475"/>
        <v>C:\Users\jaime.benazar\Quorum Business Solutions\Ecopetrol Prometeo - Documents\Planning Space Implementation\3. Analysis &amp; Design\Design\FC22\DRR Jaime\QUIFA-CAJÚA\Cajua\[VAS_CAJUA_CF_SEC_20230125.xlsx]CF PS'!</v>
      </c>
      <c r="G2081" s="7" t="s">
        <v>39</v>
      </c>
      <c r="H2081" s="4">
        <f t="shared" si="476"/>
        <v>63</v>
      </c>
      <c r="I2081" s="4" t="str">
        <f t="shared" si="477"/>
        <v>='C:\Users\jaime.benazar\Quorum Business Solutions\Ecopetrol Prometeo - Documents\Planning Space Implementation\3. Analysis &amp; Design\Design\FC22\DRR Jaime\QUIFA-CAJÚA\Cajua\[VAS_CAJUA_CF_SEC_20230125.xlsx]CF PS'!$BU$63</v>
      </c>
      <c r="J2081" s="4" t="s">
        <v>1044</v>
      </c>
    </row>
    <row r="2082" spans="1:10" x14ac:dyDescent="0.25">
      <c r="A2082" s="7" t="s">
        <v>34</v>
      </c>
      <c r="B2082" s="7">
        <f t="shared" si="478"/>
        <v>2051</v>
      </c>
      <c r="C2082" s="4" t="s">
        <v>17</v>
      </c>
      <c r="D2082" s="5" t="s">
        <v>128</v>
      </c>
      <c r="E2082" s="10" t="str">
        <f t="shared" si="474"/>
        <v>PS'!</v>
      </c>
      <c r="F2082" s="5" t="str">
        <f t="shared" si="475"/>
        <v>C:\Users\jaime.benazar\Quorum Business Solutions\Ecopetrol Prometeo - Documents\Planning Space Implementation\3. Analysis &amp; Design\Design\FC22\DRR Jaime\QUIFA-CAJÚA\Cajua\[VAS_CAJUA_CF_SEC_20230125.xlsx]CF PS'!</v>
      </c>
      <c r="G2082" s="7" t="s">
        <v>39</v>
      </c>
      <c r="H2082" s="4">
        <f t="shared" si="476"/>
        <v>64</v>
      </c>
      <c r="I2082" s="4" t="str">
        <f t="shared" si="477"/>
        <v>='C:\Users\jaime.benazar\Quorum Business Solutions\Ecopetrol Prometeo - Documents\Planning Space Implementation\3. Analysis &amp; Design\Design\FC22\DRR Jaime\QUIFA-CAJÚA\Cajua\[VAS_CAJUA_CF_SEC_20230125.xlsx]CF PS'!$BU$64</v>
      </c>
      <c r="J2082" s="4" t="s">
        <v>1045</v>
      </c>
    </row>
    <row r="2083" spans="1:10" x14ac:dyDescent="0.25">
      <c r="A2083" s="7" t="s">
        <v>34</v>
      </c>
      <c r="B2083" s="7">
        <f t="shared" si="478"/>
        <v>2052</v>
      </c>
      <c r="C2083" s="4" t="s">
        <v>17</v>
      </c>
      <c r="D2083" s="5" t="s">
        <v>128</v>
      </c>
      <c r="E2083" s="10" t="str">
        <f t="shared" si="474"/>
        <v>PS'!</v>
      </c>
      <c r="F2083" s="5" t="str">
        <f t="shared" si="475"/>
        <v>C:\Users\jaime.benazar\Quorum Business Solutions\Ecopetrol Prometeo - Documents\Planning Space Implementation\3. Analysis &amp; Design\Design\FC22\DRR Jaime\QUIFA-CAJÚA\Cajua\[VAS_CAJUA_CF_SEC_20230125.xlsx]CF PS'!</v>
      </c>
      <c r="G2083" s="7" t="s">
        <v>39</v>
      </c>
      <c r="H2083" s="4">
        <f t="shared" si="476"/>
        <v>65</v>
      </c>
      <c r="I2083" s="4" t="str">
        <f t="shared" si="477"/>
        <v>='C:\Users\jaime.benazar\Quorum Business Solutions\Ecopetrol Prometeo - Documents\Planning Space Implementation\3. Analysis &amp; Design\Design\FC22\DRR Jaime\QUIFA-CAJÚA\Cajua\[VAS_CAJUA_CF_SEC_20230125.xlsx]CF PS'!$BU$65</v>
      </c>
      <c r="J2083" s="4" t="s">
        <v>1046</v>
      </c>
    </row>
    <row r="2084" spans="1:10" x14ac:dyDescent="0.25">
      <c r="A2084" s="7" t="s">
        <v>34</v>
      </c>
      <c r="B2084" s="7">
        <f t="shared" si="478"/>
        <v>2053</v>
      </c>
      <c r="C2084" s="4" t="s">
        <v>17</v>
      </c>
      <c r="D2084" s="5" t="s">
        <v>128</v>
      </c>
      <c r="E2084" s="10" t="str">
        <f t="shared" si="474"/>
        <v>PS'!</v>
      </c>
      <c r="F2084" s="5" t="str">
        <f t="shared" si="475"/>
        <v>C:\Users\jaime.benazar\Quorum Business Solutions\Ecopetrol Prometeo - Documents\Planning Space Implementation\3. Analysis &amp; Design\Design\FC22\DRR Jaime\QUIFA-CAJÚA\Cajua\[VAS_CAJUA_CF_SEC_20230125.xlsx]CF PS'!</v>
      </c>
      <c r="G2084" s="7" t="s">
        <v>39</v>
      </c>
      <c r="H2084" s="4">
        <f t="shared" si="476"/>
        <v>66</v>
      </c>
      <c r="I2084" s="4" t="str">
        <f t="shared" si="477"/>
        <v>='C:\Users\jaime.benazar\Quorum Business Solutions\Ecopetrol Prometeo - Documents\Planning Space Implementation\3. Analysis &amp; Design\Design\FC22\DRR Jaime\QUIFA-CAJÚA\Cajua\[VAS_CAJUA_CF_SEC_20230125.xlsx]CF PS'!$BU$66</v>
      </c>
      <c r="J2084" s="4" t="s">
        <v>1047</v>
      </c>
    </row>
    <row r="2085" spans="1:10" x14ac:dyDescent="0.25">
      <c r="A2085" s="7" t="s">
        <v>34</v>
      </c>
      <c r="B2085" s="7">
        <f t="shared" si="478"/>
        <v>2054</v>
      </c>
      <c r="C2085" s="4" t="s">
        <v>17</v>
      </c>
      <c r="D2085" s="5" t="s">
        <v>128</v>
      </c>
      <c r="E2085" s="10" t="str">
        <f t="shared" si="474"/>
        <v>PS'!</v>
      </c>
      <c r="F2085" s="5" t="str">
        <f t="shared" si="475"/>
        <v>C:\Users\jaime.benazar\Quorum Business Solutions\Ecopetrol Prometeo - Documents\Planning Space Implementation\3. Analysis &amp; Design\Design\FC22\DRR Jaime\QUIFA-CAJÚA\Cajua\[VAS_CAJUA_CF_SEC_20230125.xlsx]CF PS'!</v>
      </c>
      <c r="G2085" s="7" t="s">
        <v>39</v>
      </c>
      <c r="H2085" s="4">
        <f t="shared" si="476"/>
        <v>67</v>
      </c>
      <c r="I2085" s="4" t="str">
        <f t="shared" si="477"/>
        <v>='C:\Users\jaime.benazar\Quorum Business Solutions\Ecopetrol Prometeo - Documents\Planning Space Implementation\3. Analysis &amp; Design\Design\FC22\DRR Jaime\QUIFA-CAJÚA\Cajua\[VAS_CAJUA_CF_SEC_20230125.xlsx]CF PS'!$BU$67</v>
      </c>
      <c r="J2085" s="4" t="s">
        <v>1048</v>
      </c>
    </row>
    <row r="2086" spans="1:10" x14ac:dyDescent="0.25">
      <c r="A2086" s="7" t="s">
        <v>34</v>
      </c>
      <c r="B2086" s="7">
        <f t="shared" si="478"/>
        <v>2055</v>
      </c>
      <c r="C2086" s="4" t="s">
        <v>17</v>
      </c>
      <c r="D2086" s="5" t="s">
        <v>128</v>
      </c>
      <c r="E2086" s="10" t="str">
        <f t="shared" si="474"/>
        <v>PS'!</v>
      </c>
      <c r="F2086" s="5" t="str">
        <f t="shared" si="475"/>
        <v>C:\Users\jaime.benazar\Quorum Business Solutions\Ecopetrol Prometeo - Documents\Planning Space Implementation\3. Analysis &amp; Design\Design\FC22\DRR Jaime\QUIFA-CAJÚA\Cajua\[VAS_CAJUA_CF_SEC_20230125.xlsx]CF PS'!</v>
      </c>
      <c r="G2086" s="7" t="s">
        <v>39</v>
      </c>
      <c r="H2086" s="4">
        <f t="shared" si="476"/>
        <v>68</v>
      </c>
      <c r="I2086" s="4" t="str">
        <f t="shared" si="477"/>
        <v>='C:\Users\jaime.benazar\Quorum Business Solutions\Ecopetrol Prometeo - Documents\Planning Space Implementation\3. Analysis &amp; Design\Design\FC22\DRR Jaime\QUIFA-CAJÚA\Cajua\[VAS_CAJUA_CF_SEC_20230125.xlsx]CF PS'!$BU$68</v>
      </c>
      <c r="J2086" s="4" t="s">
        <v>1049</v>
      </c>
    </row>
    <row r="2087" spans="1:10" x14ac:dyDescent="0.25">
      <c r="A2087" s="7" t="s">
        <v>34</v>
      </c>
      <c r="B2087" s="7">
        <f t="shared" si="478"/>
        <v>2056</v>
      </c>
      <c r="C2087" s="4" t="s">
        <v>17</v>
      </c>
      <c r="D2087" s="5" t="s">
        <v>128</v>
      </c>
      <c r="E2087" s="10" t="str">
        <f t="shared" si="474"/>
        <v>PS'!</v>
      </c>
      <c r="F2087" s="5" t="str">
        <f t="shared" si="475"/>
        <v>C:\Users\jaime.benazar\Quorum Business Solutions\Ecopetrol Prometeo - Documents\Planning Space Implementation\3. Analysis &amp; Design\Design\FC22\DRR Jaime\QUIFA-CAJÚA\Cajua\[VAS_CAJUA_CF_SEC_20230125.xlsx]CF PS'!</v>
      </c>
      <c r="G2087" s="7" t="s">
        <v>39</v>
      </c>
      <c r="H2087" s="4">
        <f t="shared" si="476"/>
        <v>69</v>
      </c>
      <c r="I2087" s="4" t="str">
        <f t="shared" si="477"/>
        <v>='C:\Users\jaime.benazar\Quorum Business Solutions\Ecopetrol Prometeo - Documents\Planning Space Implementation\3. Analysis &amp; Design\Design\FC22\DRR Jaime\QUIFA-CAJÚA\Cajua\[VAS_CAJUA_CF_SEC_20230125.xlsx]CF PS'!$BU$69</v>
      </c>
      <c r="J2087" s="4" t="s">
        <v>1050</v>
      </c>
    </row>
    <row r="2088" spans="1:10" x14ac:dyDescent="0.25">
      <c r="A2088" s="7" t="s">
        <v>34</v>
      </c>
      <c r="B2088" s="7">
        <f t="shared" si="478"/>
        <v>2057</v>
      </c>
      <c r="C2088" s="4" t="s">
        <v>17</v>
      </c>
      <c r="D2088" s="5" t="s">
        <v>128</v>
      </c>
      <c r="E2088" s="10" t="str">
        <f t="shared" si="474"/>
        <v>PS'!</v>
      </c>
      <c r="F2088" s="5" t="str">
        <f t="shared" si="475"/>
        <v>C:\Users\jaime.benazar\Quorum Business Solutions\Ecopetrol Prometeo - Documents\Planning Space Implementation\3. Analysis &amp; Design\Design\FC22\DRR Jaime\QUIFA-CAJÚA\Cajua\[VAS_CAJUA_CF_SEC_20230125.xlsx]CF PS'!</v>
      </c>
      <c r="G2088" s="7" t="s">
        <v>39</v>
      </c>
      <c r="H2088" s="4">
        <f t="shared" si="476"/>
        <v>70</v>
      </c>
      <c r="I2088" s="4" t="str">
        <f t="shared" si="477"/>
        <v>='C:\Users\jaime.benazar\Quorum Business Solutions\Ecopetrol Prometeo - Documents\Planning Space Implementation\3. Analysis &amp; Design\Design\FC22\DRR Jaime\QUIFA-CAJÚA\Cajua\[VAS_CAJUA_CF_SEC_20230125.xlsx]CF PS'!$BU$70</v>
      </c>
      <c r="J2088" s="4" t="s">
        <v>1051</v>
      </c>
    </row>
    <row r="2089" spans="1:10" x14ac:dyDescent="0.25">
      <c r="A2089" s="7" t="s">
        <v>34</v>
      </c>
      <c r="B2089" s="7">
        <f t="shared" si="478"/>
        <v>2058</v>
      </c>
      <c r="C2089" s="4" t="s">
        <v>17</v>
      </c>
      <c r="D2089" s="5" t="s">
        <v>128</v>
      </c>
      <c r="E2089" s="10" t="str">
        <f t="shared" si="474"/>
        <v>PS'!</v>
      </c>
      <c r="F2089" s="5" t="str">
        <f t="shared" si="475"/>
        <v>C:\Users\jaime.benazar\Quorum Business Solutions\Ecopetrol Prometeo - Documents\Planning Space Implementation\3. Analysis &amp; Design\Design\FC22\DRR Jaime\QUIFA-CAJÚA\Cajua\[VAS_CAJUA_CF_SEC_20230125.xlsx]CF PS'!</v>
      </c>
      <c r="G2089" s="7" t="s">
        <v>39</v>
      </c>
      <c r="H2089" s="4">
        <f t="shared" si="476"/>
        <v>71</v>
      </c>
      <c r="I2089" s="4" t="str">
        <f t="shared" si="477"/>
        <v>='C:\Users\jaime.benazar\Quorum Business Solutions\Ecopetrol Prometeo - Documents\Planning Space Implementation\3. Analysis &amp; Design\Design\FC22\DRR Jaime\QUIFA-CAJÚA\Cajua\[VAS_CAJUA_CF_SEC_20230125.xlsx]CF PS'!$BU$71</v>
      </c>
      <c r="J2089" s="4" t="s">
        <v>1052</v>
      </c>
    </row>
    <row r="2090" spans="1:10" x14ac:dyDescent="0.25">
      <c r="A2090" s="7" t="s">
        <v>34</v>
      </c>
      <c r="B2090" s="7">
        <f t="shared" si="478"/>
        <v>2059</v>
      </c>
      <c r="C2090" s="4" t="s">
        <v>17</v>
      </c>
      <c r="D2090" s="5" t="s">
        <v>128</v>
      </c>
      <c r="E2090" s="10" t="str">
        <f t="shared" si="474"/>
        <v>PS'!</v>
      </c>
      <c r="F2090" s="5" t="str">
        <f t="shared" si="475"/>
        <v>C:\Users\jaime.benazar\Quorum Business Solutions\Ecopetrol Prometeo - Documents\Planning Space Implementation\3. Analysis &amp; Design\Design\FC22\DRR Jaime\QUIFA-CAJÚA\Cajua\[VAS_CAJUA_CF_SEC_20230125.xlsx]CF PS'!</v>
      </c>
      <c r="G2090" s="7" t="s">
        <v>39</v>
      </c>
      <c r="H2090" s="4">
        <f t="shared" si="476"/>
        <v>72</v>
      </c>
      <c r="I2090" s="4" t="str">
        <f t="shared" si="477"/>
        <v>='C:\Users\jaime.benazar\Quorum Business Solutions\Ecopetrol Prometeo - Documents\Planning Space Implementation\3. Analysis &amp; Design\Design\FC22\DRR Jaime\QUIFA-CAJÚA\Cajua\[VAS_CAJUA_CF_SEC_20230125.xlsx]CF PS'!$BU$72</v>
      </c>
      <c r="J2090" s="4" t="s">
        <v>1053</v>
      </c>
    </row>
    <row r="2091" spans="1:10" x14ac:dyDescent="0.25">
      <c r="A2091" s="7" t="s">
        <v>28</v>
      </c>
      <c r="B2091" s="7"/>
      <c r="C2091" s="4" t="s">
        <v>17</v>
      </c>
      <c r="D2091" s="5"/>
      <c r="E2091" s="10"/>
      <c r="F2091" s="5"/>
      <c r="G2091" s="7"/>
      <c r="H2091" s="4"/>
      <c r="I2091" s="4"/>
      <c r="J2091" s="4"/>
    </row>
    <row r="2092" spans="1:10" x14ac:dyDescent="0.25">
      <c r="A2092" s="6" t="s">
        <v>1</v>
      </c>
      <c r="B2092" s="6">
        <v>2023</v>
      </c>
      <c r="C2092" s="1" t="s">
        <v>20</v>
      </c>
      <c r="D2092" s="2" t="s">
        <v>128</v>
      </c>
      <c r="E2092" s="9" t="str">
        <f>_xlfn.CONCAT(A2092,"'!")</f>
        <v>PDP'!</v>
      </c>
      <c r="F2092" s="5" t="str">
        <f t="shared" ref="F2092:F2112" si="479">_xlfn.CONCAT(D2092," ",E2092)</f>
        <v>C:\Users\jaime.benazar\Quorum Business Solutions\Ecopetrol Prometeo - Documents\Planning Space Implementation\3. Analysis &amp; Design\Design\FC22\DRR Jaime\QUIFA-CAJÚA\Cajua\[VAS_CAJUA_CF_SEC_20230125.xlsx]CF PDP'!</v>
      </c>
      <c r="G2092" s="6" t="s">
        <v>40</v>
      </c>
      <c r="H2092" s="1">
        <f>IF(A2092&lt;&gt;A2076,36,H2076+1)</f>
        <v>36</v>
      </c>
      <c r="I2092" s="1" t="str">
        <f>_xlfn.CONCAT("='",F2092:H2092)</f>
        <v>='C:\Users\jaime.benazar\Quorum Business Solutions\Ecopetrol Prometeo - Documents\Planning Space Implementation\3. Analysis &amp; Design\Design\FC22\DRR Jaime\QUIFA-CAJÚA\Cajua\[VAS_CAJUA_CF_SEC_20230125.xlsx]CF PDP'!$CT$36</v>
      </c>
      <c r="J2092" s="1" t="s">
        <v>1054</v>
      </c>
    </row>
    <row r="2093" spans="1:10" x14ac:dyDescent="0.25">
      <c r="A2093" s="6" t="s">
        <v>1</v>
      </c>
      <c r="B2093" s="6">
        <f>+B2092+1</f>
        <v>2024</v>
      </c>
      <c r="C2093" s="1" t="s">
        <v>20</v>
      </c>
      <c r="D2093" s="2" t="s">
        <v>128</v>
      </c>
      <c r="E2093" s="9" t="str">
        <f t="shared" ref="E2093:E2186" si="480">_xlfn.CONCAT(A2093,"'!")</f>
        <v>PDP'!</v>
      </c>
      <c r="F2093" s="5" t="str">
        <f t="shared" si="479"/>
        <v>C:\Users\jaime.benazar\Quorum Business Solutions\Ecopetrol Prometeo - Documents\Planning Space Implementation\3. Analysis &amp; Design\Design\FC22\DRR Jaime\QUIFA-CAJÚA\Cajua\[VAS_CAJUA_CF_SEC_20230125.xlsx]CF PDP'!</v>
      </c>
      <c r="G2093" s="6" t="s">
        <v>40</v>
      </c>
      <c r="H2093" s="1">
        <f>IF(A2093&lt;&gt;A2092,36,H2092+1)</f>
        <v>37</v>
      </c>
      <c r="I2093" s="1" t="str">
        <f t="shared" ref="I2093:I2186" si="481">_xlfn.CONCAT("='",F2093:H2093)</f>
        <v>='C:\Users\jaime.benazar\Quorum Business Solutions\Ecopetrol Prometeo - Documents\Planning Space Implementation\3. Analysis &amp; Design\Design\FC22\DRR Jaime\QUIFA-CAJÚA\Cajua\[VAS_CAJUA_CF_SEC_20230125.xlsx]CF PDP'!$CT$37</v>
      </c>
      <c r="J2093" s="1" t="s">
        <v>1055</v>
      </c>
    </row>
    <row r="2094" spans="1:10" x14ac:dyDescent="0.25">
      <c r="A2094" s="6" t="s">
        <v>1</v>
      </c>
      <c r="B2094" s="6">
        <f t="shared" ref="B2094:B2105" si="482">+B2093+1</f>
        <v>2025</v>
      </c>
      <c r="C2094" s="1" t="s">
        <v>20</v>
      </c>
      <c r="D2094" s="2" t="s">
        <v>128</v>
      </c>
      <c r="E2094" s="9" t="str">
        <f t="shared" si="480"/>
        <v>PDP'!</v>
      </c>
      <c r="F2094" s="5" t="str">
        <f t="shared" si="479"/>
        <v>C:\Users\jaime.benazar\Quorum Business Solutions\Ecopetrol Prometeo - Documents\Planning Space Implementation\3. Analysis &amp; Design\Design\FC22\DRR Jaime\QUIFA-CAJÚA\Cajua\[VAS_CAJUA_CF_SEC_20230125.xlsx]CF PDP'!</v>
      </c>
      <c r="G2094" s="6" t="s">
        <v>40</v>
      </c>
      <c r="H2094" s="1">
        <f t="shared" ref="H2094:H2187" si="483">IF(A2094&lt;&gt;A2093,36,H2093+1)</f>
        <v>38</v>
      </c>
      <c r="I2094" s="1" t="str">
        <f t="shared" si="481"/>
        <v>='C:\Users\jaime.benazar\Quorum Business Solutions\Ecopetrol Prometeo - Documents\Planning Space Implementation\3. Analysis &amp; Design\Design\FC22\DRR Jaime\QUIFA-CAJÚA\Cajua\[VAS_CAJUA_CF_SEC_20230125.xlsx]CF PDP'!$CT$38</v>
      </c>
      <c r="J2094" s="1" t="s">
        <v>1056</v>
      </c>
    </row>
    <row r="2095" spans="1:10" x14ac:dyDescent="0.25">
      <c r="A2095" s="6" t="s">
        <v>1</v>
      </c>
      <c r="B2095" s="6">
        <f t="shared" si="482"/>
        <v>2026</v>
      </c>
      <c r="C2095" s="1" t="s">
        <v>20</v>
      </c>
      <c r="D2095" s="2" t="s">
        <v>128</v>
      </c>
      <c r="E2095" s="9" t="str">
        <f t="shared" si="480"/>
        <v>PDP'!</v>
      </c>
      <c r="F2095" s="5" t="str">
        <f t="shared" si="479"/>
        <v>C:\Users\jaime.benazar\Quorum Business Solutions\Ecopetrol Prometeo - Documents\Planning Space Implementation\3. Analysis &amp; Design\Design\FC22\DRR Jaime\QUIFA-CAJÚA\Cajua\[VAS_CAJUA_CF_SEC_20230125.xlsx]CF PDP'!</v>
      </c>
      <c r="G2095" s="6" t="s">
        <v>40</v>
      </c>
      <c r="H2095" s="1">
        <f t="shared" si="483"/>
        <v>39</v>
      </c>
      <c r="I2095" s="1" t="str">
        <f t="shared" si="481"/>
        <v>='C:\Users\jaime.benazar\Quorum Business Solutions\Ecopetrol Prometeo - Documents\Planning Space Implementation\3. Analysis &amp; Design\Design\FC22\DRR Jaime\QUIFA-CAJÚA\Cajua\[VAS_CAJUA_CF_SEC_20230125.xlsx]CF PDP'!$CT$39</v>
      </c>
      <c r="J2095" s="1" t="s">
        <v>1057</v>
      </c>
    </row>
    <row r="2096" spans="1:10" x14ac:dyDescent="0.25">
      <c r="A2096" s="6" t="s">
        <v>1</v>
      </c>
      <c r="B2096" s="6">
        <f t="shared" si="482"/>
        <v>2027</v>
      </c>
      <c r="C2096" s="1" t="s">
        <v>20</v>
      </c>
      <c r="D2096" s="2" t="s">
        <v>128</v>
      </c>
      <c r="E2096" s="9" t="str">
        <f t="shared" si="480"/>
        <v>PDP'!</v>
      </c>
      <c r="F2096" s="5" t="str">
        <f t="shared" si="479"/>
        <v>C:\Users\jaime.benazar\Quorum Business Solutions\Ecopetrol Prometeo - Documents\Planning Space Implementation\3. Analysis &amp; Design\Design\FC22\DRR Jaime\QUIFA-CAJÚA\Cajua\[VAS_CAJUA_CF_SEC_20230125.xlsx]CF PDP'!</v>
      </c>
      <c r="G2096" s="6" t="s">
        <v>40</v>
      </c>
      <c r="H2096" s="1">
        <f t="shared" si="483"/>
        <v>40</v>
      </c>
      <c r="I2096" s="1" t="str">
        <f t="shared" si="481"/>
        <v>='C:\Users\jaime.benazar\Quorum Business Solutions\Ecopetrol Prometeo - Documents\Planning Space Implementation\3. Analysis &amp; Design\Design\FC22\DRR Jaime\QUIFA-CAJÚA\Cajua\[VAS_CAJUA_CF_SEC_20230125.xlsx]CF PDP'!$CT$40</v>
      </c>
      <c r="J2096" s="1" t="s">
        <v>1058</v>
      </c>
    </row>
    <row r="2097" spans="1:10" x14ac:dyDescent="0.25">
      <c r="A2097" s="6" t="s">
        <v>1</v>
      </c>
      <c r="B2097" s="6">
        <f t="shared" si="482"/>
        <v>2028</v>
      </c>
      <c r="C2097" s="1" t="s">
        <v>20</v>
      </c>
      <c r="D2097" s="2" t="s">
        <v>128</v>
      </c>
      <c r="E2097" s="9" t="str">
        <f t="shared" si="480"/>
        <v>PDP'!</v>
      </c>
      <c r="F2097" s="5" t="str">
        <f t="shared" si="479"/>
        <v>C:\Users\jaime.benazar\Quorum Business Solutions\Ecopetrol Prometeo - Documents\Planning Space Implementation\3. Analysis &amp; Design\Design\FC22\DRR Jaime\QUIFA-CAJÚA\Cajua\[VAS_CAJUA_CF_SEC_20230125.xlsx]CF PDP'!</v>
      </c>
      <c r="G2097" s="6" t="s">
        <v>40</v>
      </c>
      <c r="H2097" s="1">
        <f t="shared" si="483"/>
        <v>41</v>
      </c>
      <c r="I2097" s="1" t="str">
        <f t="shared" si="481"/>
        <v>='C:\Users\jaime.benazar\Quorum Business Solutions\Ecopetrol Prometeo - Documents\Planning Space Implementation\3. Analysis &amp; Design\Design\FC22\DRR Jaime\QUIFA-CAJÚA\Cajua\[VAS_CAJUA_CF_SEC_20230125.xlsx]CF PDP'!$CT$41</v>
      </c>
      <c r="J2097" s="1" t="s">
        <v>1059</v>
      </c>
    </row>
    <row r="2098" spans="1:10" x14ac:dyDescent="0.25">
      <c r="A2098" s="6" t="s">
        <v>1</v>
      </c>
      <c r="B2098" s="6">
        <f t="shared" si="482"/>
        <v>2029</v>
      </c>
      <c r="C2098" s="1" t="s">
        <v>20</v>
      </c>
      <c r="D2098" s="2" t="s">
        <v>128</v>
      </c>
      <c r="E2098" s="9" t="str">
        <f t="shared" si="480"/>
        <v>PDP'!</v>
      </c>
      <c r="F2098" s="5" t="str">
        <f t="shared" si="479"/>
        <v>C:\Users\jaime.benazar\Quorum Business Solutions\Ecopetrol Prometeo - Documents\Planning Space Implementation\3. Analysis &amp; Design\Design\FC22\DRR Jaime\QUIFA-CAJÚA\Cajua\[VAS_CAJUA_CF_SEC_20230125.xlsx]CF PDP'!</v>
      </c>
      <c r="G2098" s="6" t="s">
        <v>40</v>
      </c>
      <c r="H2098" s="1">
        <f t="shared" si="483"/>
        <v>42</v>
      </c>
      <c r="I2098" s="1" t="str">
        <f t="shared" si="481"/>
        <v>='C:\Users\jaime.benazar\Quorum Business Solutions\Ecopetrol Prometeo - Documents\Planning Space Implementation\3. Analysis &amp; Design\Design\FC22\DRR Jaime\QUIFA-CAJÚA\Cajua\[VAS_CAJUA_CF_SEC_20230125.xlsx]CF PDP'!$CT$42</v>
      </c>
      <c r="J2098" s="1" t="s">
        <v>1060</v>
      </c>
    </row>
    <row r="2099" spans="1:10" x14ac:dyDescent="0.25">
      <c r="A2099" s="6" t="s">
        <v>1</v>
      </c>
      <c r="B2099" s="6">
        <f t="shared" si="482"/>
        <v>2030</v>
      </c>
      <c r="C2099" s="1" t="s">
        <v>20</v>
      </c>
      <c r="D2099" s="2" t="s">
        <v>128</v>
      </c>
      <c r="E2099" s="9" t="str">
        <f t="shared" si="480"/>
        <v>PDP'!</v>
      </c>
      <c r="F2099" s="5" t="str">
        <f t="shared" si="479"/>
        <v>C:\Users\jaime.benazar\Quorum Business Solutions\Ecopetrol Prometeo - Documents\Planning Space Implementation\3. Analysis &amp; Design\Design\FC22\DRR Jaime\QUIFA-CAJÚA\Cajua\[VAS_CAJUA_CF_SEC_20230125.xlsx]CF PDP'!</v>
      </c>
      <c r="G2099" s="6" t="s">
        <v>40</v>
      </c>
      <c r="H2099" s="1">
        <f t="shared" si="483"/>
        <v>43</v>
      </c>
      <c r="I2099" s="1" t="str">
        <f t="shared" si="481"/>
        <v>='C:\Users\jaime.benazar\Quorum Business Solutions\Ecopetrol Prometeo - Documents\Planning Space Implementation\3. Analysis &amp; Design\Design\FC22\DRR Jaime\QUIFA-CAJÚA\Cajua\[VAS_CAJUA_CF_SEC_20230125.xlsx]CF PDP'!$CT$43</v>
      </c>
      <c r="J2099" s="1" t="s">
        <v>1061</v>
      </c>
    </row>
    <row r="2100" spans="1:10" x14ac:dyDescent="0.25">
      <c r="A2100" s="6" t="s">
        <v>1</v>
      </c>
      <c r="B2100" s="6">
        <f t="shared" si="482"/>
        <v>2031</v>
      </c>
      <c r="C2100" s="1" t="s">
        <v>20</v>
      </c>
      <c r="D2100" s="2" t="s">
        <v>128</v>
      </c>
      <c r="E2100" s="9" t="str">
        <f t="shared" si="480"/>
        <v>PDP'!</v>
      </c>
      <c r="F2100" s="5" t="str">
        <f t="shared" si="479"/>
        <v>C:\Users\jaime.benazar\Quorum Business Solutions\Ecopetrol Prometeo - Documents\Planning Space Implementation\3. Analysis &amp; Design\Design\FC22\DRR Jaime\QUIFA-CAJÚA\Cajua\[VAS_CAJUA_CF_SEC_20230125.xlsx]CF PDP'!</v>
      </c>
      <c r="G2100" s="6" t="s">
        <v>40</v>
      </c>
      <c r="H2100" s="1">
        <f t="shared" si="483"/>
        <v>44</v>
      </c>
      <c r="I2100" s="1" t="str">
        <f t="shared" si="481"/>
        <v>='C:\Users\jaime.benazar\Quorum Business Solutions\Ecopetrol Prometeo - Documents\Planning Space Implementation\3. Analysis &amp; Design\Design\FC22\DRR Jaime\QUIFA-CAJÚA\Cajua\[VAS_CAJUA_CF_SEC_20230125.xlsx]CF PDP'!$CT$44</v>
      </c>
      <c r="J2100" s="1" t="s">
        <v>1062</v>
      </c>
    </row>
    <row r="2101" spans="1:10" x14ac:dyDescent="0.25">
      <c r="A2101" s="6" t="s">
        <v>1</v>
      </c>
      <c r="B2101" s="6">
        <f t="shared" si="482"/>
        <v>2032</v>
      </c>
      <c r="C2101" s="1" t="s">
        <v>20</v>
      </c>
      <c r="D2101" s="2" t="s">
        <v>128</v>
      </c>
      <c r="E2101" s="9" t="str">
        <f t="shared" si="480"/>
        <v>PDP'!</v>
      </c>
      <c r="F2101" s="5" t="str">
        <f t="shared" si="479"/>
        <v>C:\Users\jaime.benazar\Quorum Business Solutions\Ecopetrol Prometeo - Documents\Planning Space Implementation\3. Analysis &amp; Design\Design\FC22\DRR Jaime\QUIFA-CAJÚA\Cajua\[VAS_CAJUA_CF_SEC_20230125.xlsx]CF PDP'!</v>
      </c>
      <c r="G2101" s="6" t="s">
        <v>40</v>
      </c>
      <c r="H2101" s="1">
        <f t="shared" si="483"/>
        <v>45</v>
      </c>
      <c r="I2101" s="1" t="str">
        <f t="shared" si="481"/>
        <v>='C:\Users\jaime.benazar\Quorum Business Solutions\Ecopetrol Prometeo - Documents\Planning Space Implementation\3. Analysis &amp; Design\Design\FC22\DRR Jaime\QUIFA-CAJÚA\Cajua\[VAS_CAJUA_CF_SEC_20230125.xlsx]CF PDP'!$CT$45</v>
      </c>
      <c r="J2101" s="1" t="s">
        <v>1063</v>
      </c>
    </row>
    <row r="2102" spans="1:10" x14ac:dyDescent="0.25">
      <c r="A2102" s="6" t="s">
        <v>1</v>
      </c>
      <c r="B2102" s="6">
        <f t="shared" si="482"/>
        <v>2033</v>
      </c>
      <c r="C2102" s="1" t="s">
        <v>20</v>
      </c>
      <c r="D2102" s="2" t="s">
        <v>128</v>
      </c>
      <c r="E2102" s="9" t="str">
        <f t="shared" si="480"/>
        <v>PDP'!</v>
      </c>
      <c r="F2102" s="5" t="str">
        <f t="shared" si="479"/>
        <v>C:\Users\jaime.benazar\Quorum Business Solutions\Ecopetrol Prometeo - Documents\Planning Space Implementation\3. Analysis &amp; Design\Design\FC22\DRR Jaime\QUIFA-CAJÚA\Cajua\[VAS_CAJUA_CF_SEC_20230125.xlsx]CF PDP'!</v>
      </c>
      <c r="G2102" s="6" t="s">
        <v>40</v>
      </c>
      <c r="H2102" s="1">
        <f t="shared" si="483"/>
        <v>46</v>
      </c>
      <c r="I2102" s="1" t="str">
        <f t="shared" si="481"/>
        <v>='C:\Users\jaime.benazar\Quorum Business Solutions\Ecopetrol Prometeo - Documents\Planning Space Implementation\3. Analysis &amp; Design\Design\FC22\DRR Jaime\QUIFA-CAJÚA\Cajua\[VAS_CAJUA_CF_SEC_20230125.xlsx]CF PDP'!$CT$46</v>
      </c>
      <c r="J2102" s="1" t="s">
        <v>1064</v>
      </c>
    </row>
    <row r="2103" spans="1:10" x14ac:dyDescent="0.25">
      <c r="A2103" s="6" t="s">
        <v>1</v>
      </c>
      <c r="B2103" s="6">
        <f t="shared" si="482"/>
        <v>2034</v>
      </c>
      <c r="C2103" s="1" t="s">
        <v>20</v>
      </c>
      <c r="D2103" s="2" t="s">
        <v>128</v>
      </c>
      <c r="E2103" s="9" t="str">
        <f t="shared" si="480"/>
        <v>PDP'!</v>
      </c>
      <c r="F2103" s="5" t="str">
        <f t="shared" si="479"/>
        <v>C:\Users\jaime.benazar\Quorum Business Solutions\Ecopetrol Prometeo - Documents\Planning Space Implementation\3. Analysis &amp; Design\Design\FC22\DRR Jaime\QUIFA-CAJÚA\Cajua\[VAS_CAJUA_CF_SEC_20230125.xlsx]CF PDP'!</v>
      </c>
      <c r="G2103" s="6" t="s">
        <v>40</v>
      </c>
      <c r="H2103" s="1">
        <f t="shared" si="483"/>
        <v>47</v>
      </c>
      <c r="I2103" s="1" t="str">
        <f t="shared" si="481"/>
        <v>='C:\Users\jaime.benazar\Quorum Business Solutions\Ecopetrol Prometeo - Documents\Planning Space Implementation\3. Analysis &amp; Design\Design\FC22\DRR Jaime\QUIFA-CAJÚA\Cajua\[VAS_CAJUA_CF_SEC_20230125.xlsx]CF PDP'!$CT$47</v>
      </c>
      <c r="J2103" s="1" t="s">
        <v>1065</v>
      </c>
    </row>
    <row r="2104" spans="1:10" x14ac:dyDescent="0.25">
      <c r="A2104" s="6" t="s">
        <v>1</v>
      </c>
      <c r="B2104" s="6">
        <f t="shared" si="482"/>
        <v>2035</v>
      </c>
      <c r="C2104" s="1" t="s">
        <v>20</v>
      </c>
      <c r="D2104" s="2" t="s">
        <v>128</v>
      </c>
      <c r="E2104" s="9" t="str">
        <f t="shared" si="480"/>
        <v>PDP'!</v>
      </c>
      <c r="F2104" s="5" t="str">
        <f t="shared" si="479"/>
        <v>C:\Users\jaime.benazar\Quorum Business Solutions\Ecopetrol Prometeo - Documents\Planning Space Implementation\3. Analysis &amp; Design\Design\FC22\DRR Jaime\QUIFA-CAJÚA\Cajua\[VAS_CAJUA_CF_SEC_20230125.xlsx]CF PDP'!</v>
      </c>
      <c r="G2104" s="6" t="s">
        <v>40</v>
      </c>
      <c r="H2104" s="1">
        <f t="shared" si="483"/>
        <v>48</v>
      </c>
      <c r="I2104" s="1" t="str">
        <f t="shared" si="481"/>
        <v>='C:\Users\jaime.benazar\Quorum Business Solutions\Ecopetrol Prometeo - Documents\Planning Space Implementation\3. Analysis &amp; Design\Design\FC22\DRR Jaime\QUIFA-CAJÚA\Cajua\[VAS_CAJUA_CF_SEC_20230125.xlsx]CF PDP'!$CT$48</v>
      </c>
      <c r="J2104" s="1" t="s">
        <v>1066</v>
      </c>
    </row>
    <row r="2105" spans="1:10" x14ac:dyDescent="0.25">
      <c r="A2105" s="6" t="s">
        <v>1</v>
      </c>
      <c r="B2105" s="6">
        <f t="shared" si="482"/>
        <v>2036</v>
      </c>
      <c r="C2105" s="1" t="s">
        <v>20</v>
      </c>
      <c r="D2105" s="2" t="s">
        <v>128</v>
      </c>
      <c r="E2105" s="9" t="str">
        <f t="shared" si="480"/>
        <v>PDP'!</v>
      </c>
      <c r="F2105" s="5" t="str">
        <f t="shared" si="479"/>
        <v>C:\Users\jaime.benazar\Quorum Business Solutions\Ecopetrol Prometeo - Documents\Planning Space Implementation\3. Analysis &amp; Design\Design\FC22\DRR Jaime\QUIFA-CAJÚA\Cajua\[VAS_CAJUA_CF_SEC_20230125.xlsx]CF PDP'!</v>
      </c>
      <c r="G2105" s="6" t="s">
        <v>40</v>
      </c>
      <c r="H2105" s="1">
        <f t="shared" si="483"/>
        <v>49</v>
      </c>
      <c r="I2105" s="1" t="str">
        <f t="shared" si="481"/>
        <v>='C:\Users\jaime.benazar\Quorum Business Solutions\Ecopetrol Prometeo - Documents\Planning Space Implementation\3. Analysis &amp; Design\Design\FC22\DRR Jaime\QUIFA-CAJÚA\Cajua\[VAS_CAJUA_CF_SEC_20230125.xlsx]CF PDP'!$CT$49</v>
      </c>
      <c r="J2105" s="1" t="s">
        <v>1067</v>
      </c>
    </row>
    <row r="2106" spans="1:10" x14ac:dyDescent="0.25">
      <c r="A2106" s="6" t="s">
        <v>1</v>
      </c>
      <c r="B2106" s="6">
        <f>+B2105+1</f>
        <v>2037</v>
      </c>
      <c r="C2106" s="1" t="s">
        <v>20</v>
      </c>
      <c r="D2106" s="2" t="s">
        <v>128</v>
      </c>
      <c r="E2106" s="9" t="str">
        <f t="shared" si="480"/>
        <v>PDP'!</v>
      </c>
      <c r="F2106" s="5" t="str">
        <f t="shared" si="479"/>
        <v>C:\Users\jaime.benazar\Quorum Business Solutions\Ecopetrol Prometeo - Documents\Planning Space Implementation\3. Analysis &amp; Design\Design\FC22\DRR Jaime\QUIFA-CAJÚA\Cajua\[VAS_CAJUA_CF_SEC_20230125.xlsx]CF PDP'!</v>
      </c>
      <c r="G2106" s="6" t="s">
        <v>40</v>
      </c>
      <c r="H2106" s="1">
        <f t="shared" si="483"/>
        <v>50</v>
      </c>
      <c r="I2106" s="1" t="str">
        <f t="shared" si="481"/>
        <v>='C:\Users\jaime.benazar\Quorum Business Solutions\Ecopetrol Prometeo - Documents\Planning Space Implementation\3. Analysis &amp; Design\Design\FC22\DRR Jaime\QUIFA-CAJÚA\Cajua\[VAS_CAJUA_CF_SEC_20230125.xlsx]CF PDP'!$CT$50</v>
      </c>
      <c r="J2106" s="1" t="s">
        <v>1068</v>
      </c>
    </row>
    <row r="2107" spans="1:10" x14ac:dyDescent="0.25">
      <c r="A2107" s="6" t="s">
        <v>1</v>
      </c>
      <c r="B2107" s="6">
        <f t="shared" ref="B2107:B2109" si="484">+B2106+1</f>
        <v>2038</v>
      </c>
      <c r="C2107" s="1" t="s">
        <v>20</v>
      </c>
      <c r="D2107" s="2" t="s">
        <v>128</v>
      </c>
      <c r="E2107" s="9" t="str">
        <f t="shared" si="480"/>
        <v>PDP'!</v>
      </c>
      <c r="F2107" s="5" t="str">
        <f t="shared" si="479"/>
        <v>C:\Users\jaime.benazar\Quorum Business Solutions\Ecopetrol Prometeo - Documents\Planning Space Implementation\3. Analysis &amp; Design\Design\FC22\DRR Jaime\QUIFA-CAJÚA\Cajua\[VAS_CAJUA_CF_SEC_20230125.xlsx]CF PDP'!</v>
      </c>
      <c r="G2107" s="6" t="s">
        <v>40</v>
      </c>
      <c r="H2107" s="1">
        <f t="shared" si="483"/>
        <v>51</v>
      </c>
      <c r="I2107" s="1" t="str">
        <f t="shared" si="481"/>
        <v>='C:\Users\jaime.benazar\Quorum Business Solutions\Ecopetrol Prometeo - Documents\Planning Space Implementation\3. Analysis &amp; Design\Design\FC22\DRR Jaime\QUIFA-CAJÚA\Cajua\[VAS_CAJUA_CF_SEC_20230125.xlsx]CF PDP'!$CT$51</v>
      </c>
      <c r="J2107" s="1" t="s">
        <v>1069</v>
      </c>
    </row>
    <row r="2108" spans="1:10" x14ac:dyDescent="0.25">
      <c r="A2108" s="6" t="s">
        <v>1</v>
      </c>
      <c r="B2108" s="6">
        <f t="shared" si="484"/>
        <v>2039</v>
      </c>
      <c r="C2108" s="1" t="s">
        <v>20</v>
      </c>
      <c r="D2108" s="2" t="s">
        <v>128</v>
      </c>
      <c r="E2108" s="9" t="str">
        <f t="shared" si="480"/>
        <v>PDP'!</v>
      </c>
      <c r="F2108" s="5" t="str">
        <f t="shared" si="479"/>
        <v>C:\Users\jaime.benazar\Quorum Business Solutions\Ecopetrol Prometeo - Documents\Planning Space Implementation\3. Analysis &amp; Design\Design\FC22\DRR Jaime\QUIFA-CAJÚA\Cajua\[VAS_CAJUA_CF_SEC_20230125.xlsx]CF PDP'!</v>
      </c>
      <c r="G2108" s="6" t="s">
        <v>40</v>
      </c>
      <c r="H2108" s="1">
        <f t="shared" si="483"/>
        <v>52</v>
      </c>
      <c r="I2108" s="1" t="str">
        <f t="shared" si="481"/>
        <v>='C:\Users\jaime.benazar\Quorum Business Solutions\Ecopetrol Prometeo - Documents\Planning Space Implementation\3. Analysis &amp; Design\Design\FC22\DRR Jaime\QUIFA-CAJÚA\Cajua\[VAS_CAJUA_CF_SEC_20230125.xlsx]CF PDP'!$CT$52</v>
      </c>
      <c r="J2108" s="1" t="s">
        <v>1070</v>
      </c>
    </row>
    <row r="2109" spans="1:10" x14ac:dyDescent="0.25">
      <c r="A2109" s="6" t="s">
        <v>1</v>
      </c>
      <c r="B2109" s="6">
        <f t="shared" si="484"/>
        <v>2040</v>
      </c>
      <c r="C2109" s="1" t="s">
        <v>20</v>
      </c>
      <c r="D2109" s="2" t="s">
        <v>128</v>
      </c>
      <c r="E2109" s="9" t="str">
        <f t="shared" si="480"/>
        <v>PDP'!</v>
      </c>
      <c r="F2109" s="5" t="str">
        <f t="shared" si="479"/>
        <v>C:\Users\jaime.benazar\Quorum Business Solutions\Ecopetrol Prometeo - Documents\Planning Space Implementation\3. Analysis &amp; Design\Design\FC22\DRR Jaime\QUIFA-CAJÚA\Cajua\[VAS_CAJUA_CF_SEC_20230125.xlsx]CF PDP'!</v>
      </c>
      <c r="G2109" s="6" t="s">
        <v>40</v>
      </c>
      <c r="H2109" s="1">
        <f t="shared" si="483"/>
        <v>53</v>
      </c>
      <c r="I2109" s="1" t="str">
        <f t="shared" si="481"/>
        <v>='C:\Users\jaime.benazar\Quorum Business Solutions\Ecopetrol Prometeo - Documents\Planning Space Implementation\3. Analysis &amp; Design\Design\FC22\DRR Jaime\QUIFA-CAJÚA\Cajua\[VAS_CAJUA_CF_SEC_20230125.xlsx]CF PDP'!$CT$53</v>
      </c>
      <c r="J2109" s="1" t="s">
        <v>1071</v>
      </c>
    </row>
    <row r="2110" spans="1:10" x14ac:dyDescent="0.25">
      <c r="A2110" s="6" t="s">
        <v>1</v>
      </c>
      <c r="B2110" s="6">
        <f>+B2109+1</f>
        <v>2041</v>
      </c>
      <c r="C2110" s="1" t="s">
        <v>20</v>
      </c>
      <c r="D2110" s="2" t="s">
        <v>128</v>
      </c>
      <c r="E2110" s="9" t="str">
        <f t="shared" si="480"/>
        <v>PDP'!</v>
      </c>
      <c r="F2110" s="5" t="str">
        <f t="shared" si="479"/>
        <v>C:\Users\jaime.benazar\Quorum Business Solutions\Ecopetrol Prometeo - Documents\Planning Space Implementation\3. Analysis &amp; Design\Design\FC22\DRR Jaime\QUIFA-CAJÚA\Cajua\[VAS_CAJUA_CF_SEC_20230125.xlsx]CF PDP'!</v>
      </c>
      <c r="G2110" s="6" t="s">
        <v>40</v>
      </c>
      <c r="H2110" s="1">
        <f t="shared" si="483"/>
        <v>54</v>
      </c>
      <c r="I2110" s="1" t="str">
        <f t="shared" si="481"/>
        <v>='C:\Users\jaime.benazar\Quorum Business Solutions\Ecopetrol Prometeo - Documents\Planning Space Implementation\3. Analysis &amp; Design\Design\FC22\DRR Jaime\QUIFA-CAJÚA\Cajua\[VAS_CAJUA_CF_SEC_20230125.xlsx]CF PDP'!$CT$54</v>
      </c>
      <c r="J2110" s="1" t="s">
        <v>1072</v>
      </c>
    </row>
    <row r="2111" spans="1:10" x14ac:dyDescent="0.25">
      <c r="A2111" s="6" t="s">
        <v>1</v>
      </c>
      <c r="B2111" s="6">
        <f t="shared" ref="B2111:B2112" si="485">+B2110+1</f>
        <v>2042</v>
      </c>
      <c r="C2111" s="1" t="s">
        <v>20</v>
      </c>
      <c r="D2111" s="2" t="s">
        <v>128</v>
      </c>
      <c r="E2111" s="9" t="str">
        <f t="shared" si="480"/>
        <v>PDP'!</v>
      </c>
      <c r="F2111" s="5" t="str">
        <f t="shared" si="479"/>
        <v>C:\Users\jaime.benazar\Quorum Business Solutions\Ecopetrol Prometeo - Documents\Planning Space Implementation\3. Analysis &amp; Design\Design\FC22\DRR Jaime\QUIFA-CAJÚA\Cajua\[VAS_CAJUA_CF_SEC_20230125.xlsx]CF PDP'!</v>
      </c>
      <c r="G2111" s="6" t="s">
        <v>40</v>
      </c>
      <c r="H2111" s="1">
        <f t="shared" si="483"/>
        <v>55</v>
      </c>
      <c r="I2111" s="1" t="str">
        <f t="shared" si="481"/>
        <v>='C:\Users\jaime.benazar\Quorum Business Solutions\Ecopetrol Prometeo - Documents\Planning Space Implementation\3. Analysis &amp; Design\Design\FC22\DRR Jaime\QUIFA-CAJÚA\Cajua\[VAS_CAJUA_CF_SEC_20230125.xlsx]CF PDP'!$CT$55</v>
      </c>
      <c r="J2111" s="1" t="s">
        <v>1073</v>
      </c>
    </row>
    <row r="2112" spans="1:10" x14ac:dyDescent="0.25">
      <c r="A2112" s="6" t="s">
        <v>1</v>
      </c>
      <c r="B2112" s="6">
        <f t="shared" si="485"/>
        <v>2043</v>
      </c>
      <c r="C2112" s="1" t="s">
        <v>20</v>
      </c>
      <c r="D2112" s="2" t="s">
        <v>128</v>
      </c>
      <c r="E2112" s="9" t="str">
        <f t="shared" si="480"/>
        <v>PDP'!</v>
      </c>
      <c r="F2112" s="5" t="str">
        <f t="shared" si="479"/>
        <v>C:\Users\jaime.benazar\Quorum Business Solutions\Ecopetrol Prometeo - Documents\Planning Space Implementation\3. Analysis &amp; Design\Design\FC22\DRR Jaime\QUIFA-CAJÚA\Cajua\[VAS_CAJUA_CF_SEC_20230125.xlsx]CF PDP'!</v>
      </c>
      <c r="G2112" s="6" t="s">
        <v>40</v>
      </c>
      <c r="H2112" s="1">
        <f t="shared" si="483"/>
        <v>56</v>
      </c>
      <c r="I2112" s="1" t="str">
        <f t="shared" si="481"/>
        <v>='C:\Users\jaime.benazar\Quorum Business Solutions\Ecopetrol Prometeo - Documents\Planning Space Implementation\3. Analysis &amp; Design\Design\FC22\DRR Jaime\QUIFA-CAJÚA\Cajua\[VAS_CAJUA_CF_SEC_20230125.xlsx]CF PDP'!$CT$56</v>
      </c>
      <c r="J2112" s="1" t="s">
        <v>1074</v>
      </c>
    </row>
    <row r="2113" spans="1:10" x14ac:dyDescent="0.25">
      <c r="A2113" s="6" t="s">
        <v>1</v>
      </c>
      <c r="B2113" s="6">
        <f>+B2112+1</f>
        <v>2044</v>
      </c>
      <c r="C2113" s="1" t="s">
        <v>20</v>
      </c>
      <c r="D2113" s="2" t="s">
        <v>128</v>
      </c>
      <c r="E2113" s="9" t="str">
        <f t="shared" ref="E2113:E2128" si="486">_xlfn.CONCAT(A2113,"'!")</f>
        <v>PDP'!</v>
      </c>
      <c r="F2113" s="5" t="str">
        <f t="shared" ref="F2113:F2128" si="487">_xlfn.CONCAT(D2113," ",E2113)</f>
        <v>C:\Users\jaime.benazar\Quorum Business Solutions\Ecopetrol Prometeo - Documents\Planning Space Implementation\3. Analysis &amp; Design\Design\FC22\DRR Jaime\QUIFA-CAJÚA\Cajua\[VAS_CAJUA_CF_SEC_20230125.xlsx]CF PDP'!</v>
      </c>
      <c r="G2113" s="6" t="s">
        <v>40</v>
      </c>
      <c r="H2113" s="1">
        <f t="shared" ref="H2113:H2128" si="488">IF(A2113&lt;&gt;A2112,36,H2112+1)</f>
        <v>57</v>
      </c>
      <c r="I2113" s="1" t="str">
        <f t="shared" ref="I2113:I2128" si="489">_xlfn.CONCAT("='",F2113:H2113)</f>
        <v>='C:\Users\jaime.benazar\Quorum Business Solutions\Ecopetrol Prometeo - Documents\Planning Space Implementation\3. Analysis &amp; Design\Design\FC22\DRR Jaime\QUIFA-CAJÚA\Cajua\[VAS_CAJUA_CF_SEC_20230125.xlsx]CF PDP'!$CT$57</v>
      </c>
      <c r="J2113" s="1" t="s">
        <v>1075</v>
      </c>
    </row>
    <row r="2114" spans="1:10" x14ac:dyDescent="0.25">
      <c r="A2114" s="6" t="s">
        <v>1</v>
      </c>
      <c r="B2114" s="6">
        <f t="shared" ref="B2114:B2128" si="490">+B2113+1</f>
        <v>2045</v>
      </c>
      <c r="C2114" s="1" t="s">
        <v>20</v>
      </c>
      <c r="D2114" s="2" t="s">
        <v>128</v>
      </c>
      <c r="E2114" s="9" t="str">
        <f t="shared" si="486"/>
        <v>PDP'!</v>
      </c>
      <c r="F2114" s="5" t="str">
        <f t="shared" si="487"/>
        <v>C:\Users\jaime.benazar\Quorum Business Solutions\Ecopetrol Prometeo - Documents\Planning Space Implementation\3. Analysis &amp; Design\Design\FC22\DRR Jaime\QUIFA-CAJÚA\Cajua\[VAS_CAJUA_CF_SEC_20230125.xlsx]CF PDP'!</v>
      </c>
      <c r="G2114" s="6" t="s">
        <v>40</v>
      </c>
      <c r="H2114" s="1">
        <f t="shared" si="488"/>
        <v>58</v>
      </c>
      <c r="I2114" s="1" t="str">
        <f t="shared" si="489"/>
        <v>='C:\Users\jaime.benazar\Quorum Business Solutions\Ecopetrol Prometeo - Documents\Planning Space Implementation\3. Analysis &amp; Design\Design\FC22\DRR Jaime\QUIFA-CAJÚA\Cajua\[VAS_CAJUA_CF_SEC_20230125.xlsx]CF PDP'!$CT$58</v>
      </c>
      <c r="J2114" s="1" t="s">
        <v>1076</v>
      </c>
    </row>
    <row r="2115" spans="1:10" x14ac:dyDescent="0.25">
      <c r="A2115" s="6" t="s">
        <v>1</v>
      </c>
      <c r="B2115" s="6">
        <f t="shared" si="490"/>
        <v>2046</v>
      </c>
      <c r="C2115" s="1" t="s">
        <v>20</v>
      </c>
      <c r="D2115" s="2" t="s">
        <v>128</v>
      </c>
      <c r="E2115" s="9" t="str">
        <f t="shared" si="486"/>
        <v>PDP'!</v>
      </c>
      <c r="F2115" s="5" t="str">
        <f t="shared" si="487"/>
        <v>C:\Users\jaime.benazar\Quorum Business Solutions\Ecopetrol Prometeo - Documents\Planning Space Implementation\3. Analysis &amp; Design\Design\FC22\DRR Jaime\QUIFA-CAJÚA\Cajua\[VAS_CAJUA_CF_SEC_20230125.xlsx]CF PDP'!</v>
      </c>
      <c r="G2115" s="6" t="s">
        <v>40</v>
      </c>
      <c r="H2115" s="1">
        <f t="shared" si="488"/>
        <v>59</v>
      </c>
      <c r="I2115" s="1" t="str">
        <f t="shared" si="489"/>
        <v>='C:\Users\jaime.benazar\Quorum Business Solutions\Ecopetrol Prometeo - Documents\Planning Space Implementation\3. Analysis &amp; Design\Design\FC22\DRR Jaime\QUIFA-CAJÚA\Cajua\[VAS_CAJUA_CF_SEC_20230125.xlsx]CF PDP'!$CT$59</v>
      </c>
      <c r="J2115" s="1" t="s">
        <v>1077</v>
      </c>
    </row>
    <row r="2116" spans="1:10" x14ac:dyDescent="0.25">
      <c r="A2116" s="6" t="s">
        <v>1</v>
      </c>
      <c r="B2116" s="6">
        <f t="shared" si="490"/>
        <v>2047</v>
      </c>
      <c r="C2116" s="1" t="s">
        <v>20</v>
      </c>
      <c r="D2116" s="2" t="s">
        <v>128</v>
      </c>
      <c r="E2116" s="9" t="str">
        <f t="shared" si="486"/>
        <v>PDP'!</v>
      </c>
      <c r="F2116" s="5" t="str">
        <f t="shared" si="487"/>
        <v>C:\Users\jaime.benazar\Quorum Business Solutions\Ecopetrol Prometeo - Documents\Planning Space Implementation\3. Analysis &amp; Design\Design\FC22\DRR Jaime\QUIFA-CAJÚA\Cajua\[VAS_CAJUA_CF_SEC_20230125.xlsx]CF PDP'!</v>
      </c>
      <c r="G2116" s="6" t="s">
        <v>40</v>
      </c>
      <c r="H2116" s="1">
        <f t="shared" si="488"/>
        <v>60</v>
      </c>
      <c r="I2116" s="1" t="str">
        <f t="shared" si="489"/>
        <v>='C:\Users\jaime.benazar\Quorum Business Solutions\Ecopetrol Prometeo - Documents\Planning Space Implementation\3. Analysis &amp; Design\Design\FC22\DRR Jaime\QUIFA-CAJÚA\Cajua\[VAS_CAJUA_CF_SEC_20230125.xlsx]CF PDP'!$CT$60</v>
      </c>
      <c r="J2116" s="1" t="s">
        <v>1078</v>
      </c>
    </row>
    <row r="2117" spans="1:10" x14ac:dyDescent="0.25">
      <c r="A2117" s="6" t="s">
        <v>1</v>
      </c>
      <c r="B2117" s="6">
        <f t="shared" si="490"/>
        <v>2048</v>
      </c>
      <c r="C2117" s="1" t="s">
        <v>20</v>
      </c>
      <c r="D2117" s="2" t="s">
        <v>128</v>
      </c>
      <c r="E2117" s="9" t="str">
        <f t="shared" si="486"/>
        <v>PDP'!</v>
      </c>
      <c r="F2117" s="5" t="str">
        <f t="shared" si="487"/>
        <v>C:\Users\jaime.benazar\Quorum Business Solutions\Ecopetrol Prometeo - Documents\Planning Space Implementation\3. Analysis &amp; Design\Design\FC22\DRR Jaime\QUIFA-CAJÚA\Cajua\[VAS_CAJUA_CF_SEC_20230125.xlsx]CF PDP'!</v>
      </c>
      <c r="G2117" s="6" t="s">
        <v>40</v>
      </c>
      <c r="H2117" s="1">
        <f t="shared" si="488"/>
        <v>61</v>
      </c>
      <c r="I2117" s="1" t="str">
        <f t="shared" si="489"/>
        <v>='C:\Users\jaime.benazar\Quorum Business Solutions\Ecopetrol Prometeo - Documents\Planning Space Implementation\3. Analysis &amp; Design\Design\FC22\DRR Jaime\QUIFA-CAJÚA\Cajua\[VAS_CAJUA_CF_SEC_20230125.xlsx]CF PDP'!$CT$61</v>
      </c>
      <c r="J2117" s="1" t="s">
        <v>1079</v>
      </c>
    </row>
    <row r="2118" spans="1:10" x14ac:dyDescent="0.25">
      <c r="A2118" s="6" t="s">
        <v>1</v>
      </c>
      <c r="B2118" s="6">
        <f t="shared" si="490"/>
        <v>2049</v>
      </c>
      <c r="C2118" s="1" t="s">
        <v>20</v>
      </c>
      <c r="D2118" s="2" t="s">
        <v>128</v>
      </c>
      <c r="E2118" s="9" t="str">
        <f t="shared" si="486"/>
        <v>PDP'!</v>
      </c>
      <c r="F2118" s="5" t="str">
        <f t="shared" si="487"/>
        <v>C:\Users\jaime.benazar\Quorum Business Solutions\Ecopetrol Prometeo - Documents\Planning Space Implementation\3. Analysis &amp; Design\Design\FC22\DRR Jaime\QUIFA-CAJÚA\Cajua\[VAS_CAJUA_CF_SEC_20230125.xlsx]CF PDP'!</v>
      </c>
      <c r="G2118" s="6" t="s">
        <v>40</v>
      </c>
      <c r="H2118" s="1">
        <f t="shared" si="488"/>
        <v>62</v>
      </c>
      <c r="I2118" s="1" t="str">
        <f t="shared" si="489"/>
        <v>='C:\Users\jaime.benazar\Quorum Business Solutions\Ecopetrol Prometeo - Documents\Planning Space Implementation\3. Analysis &amp; Design\Design\FC22\DRR Jaime\QUIFA-CAJÚA\Cajua\[VAS_CAJUA_CF_SEC_20230125.xlsx]CF PDP'!$CT$62</v>
      </c>
      <c r="J2118" s="1" t="s">
        <v>1080</v>
      </c>
    </row>
    <row r="2119" spans="1:10" x14ac:dyDescent="0.25">
      <c r="A2119" s="6" t="s">
        <v>1</v>
      </c>
      <c r="B2119" s="6">
        <f t="shared" si="490"/>
        <v>2050</v>
      </c>
      <c r="C2119" s="1" t="s">
        <v>20</v>
      </c>
      <c r="D2119" s="2" t="s">
        <v>128</v>
      </c>
      <c r="E2119" s="9" t="str">
        <f t="shared" si="486"/>
        <v>PDP'!</v>
      </c>
      <c r="F2119" s="5" t="str">
        <f t="shared" si="487"/>
        <v>C:\Users\jaime.benazar\Quorum Business Solutions\Ecopetrol Prometeo - Documents\Planning Space Implementation\3. Analysis &amp; Design\Design\FC22\DRR Jaime\QUIFA-CAJÚA\Cajua\[VAS_CAJUA_CF_SEC_20230125.xlsx]CF PDP'!</v>
      </c>
      <c r="G2119" s="6" t="s">
        <v>40</v>
      </c>
      <c r="H2119" s="1">
        <f t="shared" si="488"/>
        <v>63</v>
      </c>
      <c r="I2119" s="1" t="str">
        <f t="shared" si="489"/>
        <v>='C:\Users\jaime.benazar\Quorum Business Solutions\Ecopetrol Prometeo - Documents\Planning Space Implementation\3. Analysis &amp; Design\Design\FC22\DRR Jaime\QUIFA-CAJÚA\Cajua\[VAS_CAJUA_CF_SEC_20230125.xlsx]CF PDP'!$CT$63</v>
      </c>
      <c r="J2119" s="1" t="s">
        <v>1081</v>
      </c>
    </row>
    <row r="2120" spans="1:10" x14ac:dyDescent="0.25">
      <c r="A2120" s="6" t="s">
        <v>1</v>
      </c>
      <c r="B2120" s="6">
        <f t="shared" si="490"/>
        <v>2051</v>
      </c>
      <c r="C2120" s="1" t="s">
        <v>20</v>
      </c>
      <c r="D2120" s="2" t="s">
        <v>128</v>
      </c>
      <c r="E2120" s="9" t="str">
        <f t="shared" si="486"/>
        <v>PDP'!</v>
      </c>
      <c r="F2120" s="5" t="str">
        <f t="shared" si="487"/>
        <v>C:\Users\jaime.benazar\Quorum Business Solutions\Ecopetrol Prometeo - Documents\Planning Space Implementation\3. Analysis &amp; Design\Design\FC22\DRR Jaime\QUIFA-CAJÚA\Cajua\[VAS_CAJUA_CF_SEC_20230125.xlsx]CF PDP'!</v>
      </c>
      <c r="G2120" s="6" t="s">
        <v>40</v>
      </c>
      <c r="H2120" s="1">
        <f t="shared" si="488"/>
        <v>64</v>
      </c>
      <c r="I2120" s="1" t="str">
        <f t="shared" si="489"/>
        <v>='C:\Users\jaime.benazar\Quorum Business Solutions\Ecopetrol Prometeo - Documents\Planning Space Implementation\3. Analysis &amp; Design\Design\FC22\DRR Jaime\QUIFA-CAJÚA\Cajua\[VAS_CAJUA_CF_SEC_20230125.xlsx]CF PDP'!$CT$64</v>
      </c>
      <c r="J2120" s="1" t="s">
        <v>1082</v>
      </c>
    </row>
    <row r="2121" spans="1:10" x14ac:dyDescent="0.25">
      <c r="A2121" s="6" t="s">
        <v>1</v>
      </c>
      <c r="B2121" s="6">
        <f t="shared" si="490"/>
        <v>2052</v>
      </c>
      <c r="C2121" s="1" t="s">
        <v>20</v>
      </c>
      <c r="D2121" s="2" t="s">
        <v>128</v>
      </c>
      <c r="E2121" s="9" t="str">
        <f t="shared" si="486"/>
        <v>PDP'!</v>
      </c>
      <c r="F2121" s="5" t="str">
        <f t="shared" si="487"/>
        <v>C:\Users\jaime.benazar\Quorum Business Solutions\Ecopetrol Prometeo - Documents\Planning Space Implementation\3. Analysis &amp; Design\Design\FC22\DRR Jaime\QUIFA-CAJÚA\Cajua\[VAS_CAJUA_CF_SEC_20230125.xlsx]CF PDP'!</v>
      </c>
      <c r="G2121" s="6" t="s">
        <v>40</v>
      </c>
      <c r="H2121" s="1">
        <f t="shared" si="488"/>
        <v>65</v>
      </c>
      <c r="I2121" s="1" t="str">
        <f t="shared" si="489"/>
        <v>='C:\Users\jaime.benazar\Quorum Business Solutions\Ecopetrol Prometeo - Documents\Planning Space Implementation\3. Analysis &amp; Design\Design\FC22\DRR Jaime\QUIFA-CAJÚA\Cajua\[VAS_CAJUA_CF_SEC_20230125.xlsx]CF PDP'!$CT$65</v>
      </c>
      <c r="J2121" s="1" t="s">
        <v>1083</v>
      </c>
    </row>
    <row r="2122" spans="1:10" x14ac:dyDescent="0.25">
      <c r="A2122" s="6" t="s">
        <v>1</v>
      </c>
      <c r="B2122" s="6">
        <f t="shared" si="490"/>
        <v>2053</v>
      </c>
      <c r="C2122" s="1" t="s">
        <v>20</v>
      </c>
      <c r="D2122" s="2" t="s">
        <v>128</v>
      </c>
      <c r="E2122" s="9" t="str">
        <f t="shared" si="486"/>
        <v>PDP'!</v>
      </c>
      <c r="F2122" s="5" t="str">
        <f t="shared" si="487"/>
        <v>C:\Users\jaime.benazar\Quorum Business Solutions\Ecopetrol Prometeo - Documents\Planning Space Implementation\3. Analysis &amp; Design\Design\FC22\DRR Jaime\QUIFA-CAJÚA\Cajua\[VAS_CAJUA_CF_SEC_20230125.xlsx]CF PDP'!</v>
      </c>
      <c r="G2122" s="6" t="s">
        <v>40</v>
      </c>
      <c r="H2122" s="1">
        <f t="shared" si="488"/>
        <v>66</v>
      </c>
      <c r="I2122" s="1" t="str">
        <f t="shared" si="489"/>
        <v>='C:\Users\jaime.benazar\Quorum Business Solutions\Ecopetrol Prometeo - Documents\Planning Space Implementation\3. Analysis &amp; Design\Design\FC22\DRR Jaime\QUIFA-CAJÚA\Cajua\[VAS_CAJUA_CF_SEC_20230125.xlsx]CF PDP'!$CT$66</v>
      </c>
      <c r="J2122" s="1" t="s">
        <v>1084</v>
      </c>
    </row>
    <row r="2123" spans="1:10" x14ac:dyDescent="0.25">
      <c r="A2123" s="6" t="s">
        <v>1</v>
      </c>
      <c r="B2123" s="6">
        <f t="shared" si="490"/>
        <v>2054</v>
      </c>
      <c r="C2123" s="1" t="s">
        <v>20</v>
      </c>
      <c r="D2123" s="2" t="s">
        <v>128</v>
      </c>
      <c r="E2123" s="9" t="str">
        <f t="shared" si="486"/>
        <v>PDP'!</v>
      </c>
      <c r="F2123" s="5" t="str">
        <f t="shared" si="487"/>
        <v>C:\Users\jaime.benazar\Quorum Business Solutions\Ecopetrol Prometeo - Documents\Planning Space Implementation\3. Analysis &amp; Design\Design\FC22\DRR Jaime\QUIFA-CAJÚA\Cajua\[VAS_CAJUA_CF_SEC_20230125.xlsx]CF PDP'!</v>
      </c>
      <c r="G2123" s="6" t="s">
        <v>40</v>
      </c>
      <c r="H2123" s="1">
        <f t="shared" si="488"/>
        <v>67</v>
      </c>
      <c r="I2123" s="1" t="str">
        <f t="shared" si="489"/>
        <v>='C:\Users\jaime.benazar\Quorum Business Solutions\Ecopetrol Prometeo - Documents\Planning Space Implementation\3. Analysis &amp; Design\Design\FC22\DRR Jaime\QUIFA-CAJÚA\Cajua\[VAS_CAJUA_CF_SEC_20230125.xlsx]CF PDP'!$CT$67</v>
      </c>
      <c r="J2123" s="1" t="s">
        <v>1085</v>
      </c>
    </row>
    <row r="2124" spans="1:10" x14ac:dyDescent="0.25">
      <c r="A2124" s="6" t="s">
        <v>1</v>
      </c>
      <c r="B2124" s="6">
        <f t="shared" si="490"/>
        <v>2055</v>
      </c>
      <c r="C2124" s="1" t="s">
        <v>20</v>
      </c>
      <c r="D2124" s="2" t="s">
        <v>128</v>
      </c>
      <c r="E2124" s="9" t="str">
        <f t="shared" si="486"/>
        <v>PDP'!</v>
      </c>
      <c r="F2124" s="5" t="str">
        <f t="shared" si="487"/>
        <v>C:\Users\jaime.benazar\Quorum Business Solutions\Ecopetrol Prometeo - Documents\Planning Space Implementation\3. Analysis &amp; Design\Design\FC22\DRR Jaime\QUIFA-CAJÚA\Cajua\[VAS_CAJUA_CF_SEC_20230125.xlsx]CF PDP'!</v>
      </c>
      <c r="G2124" s="6" t="s">
        <v>40</v>
      </c>
      <c r="H2124" s="1">
        <f t="shared" si="488"/>
        <v>68</v>
      </c>
      <c r="I2124" s="1" t="str">
        <f t="shared" si="489"/>
        <v>='C:\Users\jaime.benazar\Quorum Business Solutions\Ecopetrol Prometeo - Documents\Planning Space Implementation\3. Analysis &amp; Design\Design\FC22\DRR Jaime\QUIFA-CAJÚA\Cajua\[VAS_CAJUA_CF_SEC_20230125.xlsx]CF PDP'!$CT$68</v>
      </c>
      <c r="J2124" s="1" t="s">
        <v>1086</v>
      </c>
    </row>
    <row r="2125" spans="1:10" x14ac:dyDescent="0.25">
      <c r="A2125" s="6" t="s">
        <v>1</v>
      </c>
      <c r="B2125" s="6">
        <f t="shared" si="490"/>
        <v>2056</v>
      </c>
      <c r="C2125" s="1" t="s">
        <v>20</v>
      </c>
      <c r="D2125" s="2" t="s">
        <v>128</v>
      </c>
      <c r="E2125" s="9" t="str">
        <f t="shared" si="486"/>
        <v>PDP'!</v>
      </c>
      <c r="F2125" s="5" t="str">
        <f t="shared" si="487"/>
        <v>C:\Users\jaime.benazar\Quorum Business Solutions\Ecopetrol Prometeo - Documents\Planning Space Implementation\3. Analysis &amp; Design\Design\FC22\DRR Jaime\QUIFA-CAJÚA\Cajua\[VAS_CAJUA_CF_SEC_20230125.xlsx]CF PDP'!</v>
      </c>
      <c r="G2125" s="6" t="s">
        <v>40</v>
      </c>
      <c r="H2125" s="1">
        <f t="shared" si="488"/>
        <v>69</v>
      </c>
      <c r="I2125" s="1" t="str">
        <f t="shared" si="489"/>
        <v>='C:\Users\jaime.benazar\Quorum Business Solutions\Ecopetrol Prometeo - Documents\Planning Space Implementation\3. Analysis &amp; Design\Design\FC22\DRR Jaime\QUIFA-CAJÚA\Cajua\[VAS_CAJUA_CF_SEC_20230125.xlsx]CF PDP'!$CT$69</v>
      </c>
      <c r="J2125" s="1" t="s">
        <v>1087</v>
      </c>
    </row>
    <row r="2126" spans="1:10" x14ac:dyDescent="0.25">
      <c r="A2126" s="6" t="s">
        <v>1</v>
      </c>
      <c r="B2126" s="6">
        <f t="shared" si="490"/>
        <v>2057</v>
      </c>
      <c r="C2126" s="1" t="s">
        <v>20</v>
      </c>
      <c r="D2126" s="2" t="s">
        <v>128</v>
      </c>
      <c r="E2126" s="9" t="str">
        <f t="shared" si="486"/>
        <v>PDP'!</v>
      </c>
      <c r="F2126" s="5" t="str">
        <f t="shared" si="487"/>
        <v>C:\Users\jaime.benazar\Quorum Business Solutions\Ecopetrol Prometeo - Documents\Planning Space Implementation\3. Analysis &amp; Design\Design\FC22\DRR Jaime\QUIFA-CAJÚA\Cajua\[VAS_CAJUA_CF_SEC_20230125.xlsx]CF PDP'!</v>
      </c>
      <c r="G2126" s="6" t="s">
        <v>40</v>
      </c>
      <c r="H2126" s="1">
        <f t="shared" si="488"/>
        <v>70</v>
      </c>
      <c r="I2126" s="1" t="str">
        <f t="shared" si="489"/>
        <v>='C:\Users\jaime.benazar\Quorum Business Solutions\Ecopetrol Prometeo - Documents\Planning Space Implementation\3. Analysis &amp; Design\Design\FC22\DRR Jaime\QUIFA-CAJÚA\Cajua\[VAS_CAJUA_CF_SEC_20230125.xlsx]CF PDP'!$CT$70</v>
      </c>
      <c r="J2126" s="1" t="s">
        <v>1088</v>
      </c>
    </row>
    <row r="2127" spans="1:10" x14ac:dyDescent="0.25">
      <c r="A2127" s="6" t="s">
        <v>1</v>
      </c>
      <c r="B2127" s="6">
        <f t="shared" si="490"/>
        <v>2058</v>
      </c>
      <c r="C2127" s="1" t="s">
        <v>20</v>
      </c>
      <c r="D2127" s="2" t="s">
        <v>128</v>
      </c>
      <c r="E2127" s="9" t="str">
        <f t="shared" si="486"/>
        <v>PDP'!</v>
      </c>
      <c r="F2127" s="5" t="str">
        <f t="shared" si="487"/>
        <v>C:\Users\jaime.benazar\Quorum Business Solutions\Ecopetrol Prometeo - Documents\Planning Space Implementation\3. Analysis &amp; Design\Design\FC22\DRR Jaime\QUIFA-CAJÚA\Cajua\[VAS_CAJUA_CF_SEC_20230125.xlsx]CF PDP'!</v>
      </c>
      <c r="G2127" s="6" t="s">
        <v>40</v>
      </c>
      <c r="H2127" s="1">
        <f t="shared" si="488"/>
        <v>71</v>
      </c>
      <c r="I2127" s="1" t="str">
        <f t="shared" si="489"/>
        <v>='C:\Users\jaime.benazar\Quorum Business Solutions\Ecopetrol Prometeo - Documents\Planning Space Implementation\3. Analysis &amp; Design\Design\FC22\DRR Jaime\QUIFA-CAJÚA\Cajua\[VAS_CAJUA_CF_SEC_20230125.xlsx]CF PDP'!$CT$71</v>
      </c>
      <c r="J2127" s="1" t="s">
        <v>1089</v>
      </c>
    </row>
    <row r="2128" spans="1:10" x14ac:dyDescent="0.25">
      <c r="A2128" s="6" t="s">
        <v>1</v>
      </c>
      <c r="B2128" s="6">
        <f t="shared" si="490"/>
        <v>2059</v>
      </c>
      <c r="C2128" s="1" t="s">
        <v>20</v>
      </c>
      <c r="D2128" s="2" t="s">
        <v>128</v>
      </c>
      <c r="E2128" s="9" t="str">
        <f t="shared" si="486"/>
        <v>PDP'!</v>
      </c>
      <c r="F2128" s="5" t="str">
        <f t="shared" si="487"/>
        <v>C:\Users\jaime.benazar\Quorum Business Solutions\Ecopetrol Prometeo - Documents\Planning Space Implementation\3. Analysis &amp; Design\Design\FC22\DRR Jaime\QUIFA-CAJÚA\Cajua\[VAS_CAJUA_CF_SEC_20230125.xlsx]CF PDP'!</v>
      </c>
      <c r="G2128" s="6" t="s">
        <v>40</v>
      </c>
      <c r="H2128" s="1">
        <f t="shared" si="488"/>
        <v>72</v>
      </c>
      <c r="I2128" s="1" t="str">
        <f t="shared" si="489"/>
        <v>='C:\Users\jaime.benazar\Quorum Business Solutions\Ecopetrol Prometeo - Documents\Planning Space Implementation\3. Analysis &amp; Design\Design\FC22\DRR Jaime\QUIFA-CAJÚA\Cajua\[VAS_CAJUA_CF_SEC_20230125.xlsx]CF PDP'!$CT$72</v>
      </c>
      <c r="J2128" s="1" t="s">
        <v>1090</v>
      </c>
    </row>
    <row r="2129" spans="1:10" x14ac:dyDescent="0.25">
      <c r="A2129" s="6" t="s">
        <v>28</v>
      </c>
      <c r="B2129" s="6"/>
      <c r="C2129" s="1" t="s">
        <v>20</v>
      </c>
      <c r="D2129" s="2"/>
      <c r="E2129" s="9"/>
      <c r="F2129" s="2"/>
      <c r="G2129" s="6"/>
      <c r="H2129" s="1"/>
      <c r="I2129" s="1"/>
      <c r="J2129" s="4"/>
    </row>
    <row r="2130" spans="1:10" x14ac:dyDescent="0.25">
      <c r="A2130" s="6" t="s">
        <v>2</v>
      </c>
      <c r="B2130" s="6">
        <v>2023</v>
      </c>
      <c r="C2130" s="1" t="s">
        <v>20</v>
      </c>
      <c r="D2130" s="2" t="s">
        <v>128</v>
      </c>
      <c r="E2130" s="9" t="str">
        <f t="shared" si="480"/>
        <v>PNP'!</v>
      </c>
      <c r="F2130" s="5" t="str">
        <f t="shared" ref="F2130:F2150" si="491">_xlfn.CONCAT(D2130," ",E2130)</f>
        <v>C:\Users\jaime.benazar\Quorum Business Solutions\Ecopetrol Prometeo - Documents\Planning Space Implementation\3. Analysis &amp; Design\Design\FC22\DRR Jaime\QUIFA-CAJÚA\Cajua\[VAS_CAJUA_CF_SEC_20230125.xlsx]CF PNP'!</v>
      </c>
      <c r="G2130" s="6" t="s">
        <v>40</v>
      </c>
      <c r="H2130" s="1">
        <f>IF(A2130&lt;&gt;A2114,36,H2114+1)</f>
        <v>36</v>
      </c>
      <c r="I2130" s="1" t="str">
        <f t="shared" si="481"/>
        <v>='C:\Users\jaime.benazar\Quorum Business Solutions\Ecopetrol Prometeo - Documents\Planning Space Implementation\3. Analysis &amp; Design\Design\FC22\DRR Jaime\QUIFA-CAJÚA\Cajua\[VAS_CAJUA_CF_SEC_20230125.xlsx]CF PNP'!$CT$36</v>
      </c>
      <c r="J2130" s="1" t="s">
        <v>1091</v>
      </c>
    </row>
    <row r="2131" spans="1:10" x14ac:dyDescent="0.25">
      <c r="A2131" s="6" t="s">
        <v>2</v>
      </c>
      <c r="B2131" s="6">
        <f>+B2130+1</f>
        <v>2024</v>
      </c>
      <c r="C2131" s="1" t="s">
        <v>20</v>
      </c>
      <c r="D2131" s="2" t="s">
        <v>128</v>
      </c>
      <c r="E2131" s="9" t="str">
        <f t="shared" si="480"/>
        <v>PNP'!</v>
      </c>
      <c r="F2131" s="5" t="str">
        <f t="shared" si="491"/>
        <v>C:\Users\jaime.benazar\Quorum Business Solutions\Ecopetrol Prometeo - Documents\Planning Space Implementation\3. Analysis &amp; Design\Design\FC22\DRR Jaime\QUIFA-CAJÚA\Cajua\[VAS_CAJUA_CF_SEC_20230125.xlsx]CF PNP'!</v>
      </c>
      <c r="G2131" s="6" t="s">
        <v>40</v>
      </c>
      <c r="H2131" s="1">
        <f t="shared" si="483"/>
        <v>37</v>
      </c>
      <c r="I2131" s="1" t="str">
        <f t="shared" si="481"/>
        <v>='C:\Users\jaime.benazar\Quorum Business Solutions\Ecopetrol Prometeo - Documents\Planning Space Implementation\3. Analysis &amp; Design\Design\FC22\DRR Jaime\QUIFA-CAJÚA\Cajua\[VAS_CAJUA_CF_SEC_20230125.xlsx]CF PNP'!$CT$37</v>
      </c>
      <c r="J2131" s="1" t="s">
        <v>1092</v>
      </c>
    </row>
    <row r="2132" spans="1:10" x14ac:dyDescent="0.25">
      <c r="A2132" s="6" t="s">
        <v>2</v>
      </c>
      <c r="B2132" s="6">
        <f t="shared" ref="B2132:B2143" si="492">+B2131+1</f>
        <v>2025</v>
      </c>
      <c r="C2132" s="1" t="s">
        <v>20</v>
      </c>
      <c r="D2132" s="2" t="s">
        <v>128</v>
      </c>
      <c r="E2132" s="9" t="str">
        <f t="shared" si="480"/>
        <v>PNP'!</v>
      </c>
      <c r="F2132" s="5" t="str">
        <f t="shared" si="491"/>
        <v>C:\Users\jaime.benazar\Quorum Business Solutions\Ecopetrol Prometeo - Documents\Planning Space Implementation\3. Analysis &amp; Design\Design\FC22\DRR Jaime\QUIFA-CAJÚA\Cajua\[VAS_CAJUA_CF_SEC_20230125.xlsx]CF PNP'!</v>
      </c>
      <c r="G2132" s="6" t="s">
        <v>40</v>
      </c>
      <c r="H2132" s="1">
        <f t="shared" si="483"/>
        <v>38</v>
      </c>
      <c r="I2132" s="1" t="str">
        <f t="shared" si="481"/>
        <v>='C:\Users\jaime.benazar\Quorum Business Solutions\Ecopetrol Prometeo - Documents\Planning Space Implementation\3. Analysis &amp; Design\Design\FC22\DRR Jaime\QUIFA-CAJÚA\Cajua\[VAS_CAJUA_CF_SEC_20230125.xlsx]CF PNP'!$CT$38</v>
      </c>
      <c r="J2132" s="1" t="s">
        <v>1093</v>
      </c>
    </row>
    <row r="2133" spans="1:10" x14ac:dyDescent="0.25">
      <c r="A2133" s="6" t="s">
        <v>2</v>
      </c>
      <c r="B2133" s="6">
        <f t="shared" si="492"/>
        <v>2026</v>
      </c>
      <c r="C2133" s="1" t="s">
        <v>20</v>
      </c>
      <c r="D2133" s="2" t="s">
        <v>128</v>
      </c>
      <c r="E2133" s="9" t="str">
        <f t="shared" si="480"/>
        <v>PNP'!</v>
      </c>
      <c r="F2133" s="5" t="str">
        <f t="shared" si="491"/>
        <v>C:\Users\jaime.benazar\Quorum Business Solutions\Ecopetrol Prometeo - Documents\Planning Space Implementation\3. Analysis &amp; Design\Design\FC22\DRR Jaime\QUIFA-CAJÚA\Cajua\[VAS_CAJUA_CF_SEC_20230125.xlsx]CF PNP'!</v>
      </c>
      <c r="G2133" s="6" t="s">
        <v>40</v>
      </c>
      <c r="H2133" s="1">
        <f t="shared" si="483"/>
        <v>39</v>
      </c>
      <c r="I2133" s="1" t="str">
        <f t="shared" si="481"/>
        <v>='C:\Users\jaime.benazar\Quorum Business Solutions\Ecopetrol Prometeo - Documents\Planning Space Implementation\3. Analysis &amp; Design\Design\FC22\DRR Jaime\QUIFA-CAJÚA\Cajua\[VAS_CAJUA_CF_SEC_20230125.xlsx]CF PNP'!$CT$39</v>
      </c>
      <c r="J2133" s="1" t="s">
        <v>1094</v>
      </c>
    </row>
    <row r="2134" spans="1:10" x14ac:dyDescent="0.25">
      <c r="A2134" s="6" t="s">
        <v>2</v>
      </c>
      <c r="B2134" s="6">
        <f t="shared" si="492"/>
        <v>2027</v>
      </c>
      <c r="C2134" s="1" t="s">
        <v>20</v>
      </c>
      <c r="D2134" s="2" t="s">
        <v>128</v>
      </c>
      <c r="E2134" s="9" t="str">
        <f t="shared" si="480"/>
        <v>PNP'!</v>
      </c>
      <c r="F2134" s="5" t="str">
        <f t="shared" si="491"/>
        <v>C:\Users\jaime.benazar\Quorum Business Solutions\Ecopetrol Prometeo - Documents\Planning Space Implementation\3. Analysis &amp; Design\Design\FC22\DRR Jaime\QUIFA-CAJÚA\Cajua\[VAS_CAJUA_CF_SEC_20230125.xlsx]CF PNP'!</v>
      </c>
      <c r="G2134" s="6" t="s">
        <v>40</v>
      </c>
      <c r="H2134" s="1">
        <f t="shared" si="483"/>
        <v>40</v>
      </c>
      <c r="I2134" s="1" t="str">
        <f t="shared" si="481"/>
        <v>='C:\Users\jaime.benazar\Quorum Business Solutions\Ecopetrol Prometeo - Documents\Planning Space Implementation\3. Analysis &amp; Design\Design\FC22\DRR Jaime\QUIFA-CAJÚA\Cajua\[VAS_CAJUA_CF_SEC_20230125.xlsx]CF PNP'!$CT$40</v>
      </c>
      <c r="J2134" s="1" t="s">
        <v>1095</v>
      </c>
    </row>
    <row r="2135" spans="1:10" x14ac:dyDescent="0.25">
      <c r="A2135" s="6" t="s">
        <v>2</v>
      </c>
      <c r="B2135" s="6">
        <f t="shared" si="492"/>
        <v>2028</v>
      </c>
      <c r="C2135" s="1" t="s">
        <v>20</v>
      </c>
      <c r="D2135" s="2" t="s">
        <v>128</v>
      </c>
      <c r="E2135" s="9" t="str">
        <f t="shared" si="480"/>
        <v>PNP'!</v>
      </c>
      <c r="F2135" s="5" t="str">
        <f t="shared" si="491"/>
        <v>C:\Users\jaime.benazar\Quorum Business Solutions\Ecopetrol Prometeo - Documents\Planning Space Implementation\3. Analysis &amp; Design\Design\FC22\DRR Jaime\QUIFA-CAJÚA\Cajua\[VAS_CAJUA_CF_SEC_20230125.xlsx]CF PNP'!</v>
      </c>
      <c r="G2135" s="6" t="s">
        <v>40</v>
      </c>
      <c r="H2135" s="1">
        <f t="shared" si="483"/>
        <v>41</v>
      </c>
      <c r="I2135" s="1" t="str">
        <f t="shared" si="481"/>
        <v>='C:\Users\jaime.benazar\Quorum Business Solutions\Ecopetrol Prometeo - Documents\Planning Space Implementation\3. Analysis &amp; Design\Design\FC22\DRR Jaime\QUIFA-CAJÚA\Cajua\[VAS_CAJUA_CF_SEC_20230125.xlsx]CF PNP'!$CT$41</v>
      </c>
      <c r="J2135" s="1" t="s">
        <v>1096</v>
      </c>
    </row>
    <row r="2136" spans="1:10" x14ac:dyDescent="0.25">
      <c r="A2136" s="6" t="s">
        <v>2</v>
      </c>
      <c r="B2136" s="6">
        <f t="shared" si="492"/>
        <v>2029</v>
      </c>
      <c r="C2136" s="1" t="s">
        <v>20</v>
      </c>
      <c r="D2136" s="2" t="s">
        <v>128</v>
      </c>
      <c r="E2136" s="9" t="str">
        <f t="shared" si="480"/>
        <v>PNP'!</v>
      </c>
      <c r="F2136" s="5" t="str">
        <f t="shared" si="491"/>
        <v>C:\Users\jaime.benazar\Quorum Business Solutions\Ecopetrol Prometeo - Documents\Planning Space Implementation\3. Analysis &amp; Design\Design\FC22\DRR Jaime\QUIFA-CAJÚA\Cajua\[VAS_CAJUA_CF_SEC_20230125.xlsx]CF PNP'!</v>
      </c>
      <c r="G2136" s="6" t="s">
        <v>40</v>
      </c>
      <c r="H2136" s="1">
        <f t="shared" si="483"/>
        <v>42</v>
      </c>
      <c r="I2136" s="1" t="str">
        <f t="shared" si="481"/>
        <v>='C:\Users\jaime.benazar\Quorum Business Solutions\Ecopetrol Prometeo - Documents\Planning Space Implementation\3. Analysis &amp; Design\Design\FC22\DRR Jaime\QUIFA-CAJÚA\Cajua\[VAS_CAJUA_CF_SEC_20230125.xlsx]CF PNP'!$CT$42</v>
      </c>
      <c r="J2136" s="1" t="s">
        <v>1097</v>
      </c>
    </row>
    <row r="2137" spans="1:10" x14ac:dyDescent="0.25">
      <c r="A2137" s="6" t="s">
        <v>2</v>
      </c>
      <c r="B2137" s="6">
        <f t="shared" si="492"/>
        <v>2030</v>
      </c>
      <c r="C2137" s="1" t="s">
        <v>20</v>
      </c>
      <c r="D2137" s="2" t="s">
        <v>128</v>
      </c>
      <c r="E2137" s="9" t="str">
        <f t="shared" si="480"/>
        <v>PNP'!</v>
      </c>
      <c r="F2137" s="5" t="str">
        <f t="shared" si="491"/>
        <v>C:\Users\jaime.benazar\Quorum Business Solutions\Ecopetrol Prometeo - Documents\Planning Space Implementation\3. Analysis &amp; Design\Design\FC22\DRR Jaime\QUIFA-CAJÚA\Cajua\[VAS_CAJUA_CF_SEC_20230125.xlsx]CF PNP'!</v>
      </c>
      <c r="G2137" s="6" t="s">
        <v>40</v>
      </c>
      <c r="H2137" s="1">
        <f t="shared" si="483"/>
        <v>43</v>
      </c>
      <c r="I2137" s="1" t="str">
        <f t="shared" si="481"/>
        <v>='C:\Users\jaime.benazar\Quorum Business Solutions\Ecopetrol Prometeo - Documents\Planning Space Implementation\3. Analysis &amp; Design\Design\FC22\DRR Jaime\QUIFA-CAJÚA\Cajua\[VAS_CAJUA_CF_SEC_20230125.xlsx]CF PNP'!$CT$43</v>
      </c>
      <c r="J2137" s="1" t="s">
        <v>1098</v>
      </c>
    </row>
    <row r="2138" spans="1:10" x14ac:dyDescent="0.25">
      <c r="A2138" s="6" t="s">
        <v>2</v>
      </c>
      <c r="B2138" s="6">
        <f t="shared" si="492"/>
        <v>2031</v>
      </c>
      <c r="C2138" s="1" t="s">
        <v>20</v>
      </c>
      <c r="D2138" s="2" t="s">
        <v>128</v>
      </c>
      <c r="E2138" s="9" t="str">
        <f t="shared" si="480"/>
        <v>PNP'!</v>
      </c>
      <c r="F2138" s="5" t="str">
        <f t="shared" si="491"/>
        <v>C:\Users\jaime.benazar\Quorum Business Solutions\Ecopetrol Prometeo - Documents\Planning Space Implementation\3. Analysis &amp; Design\Design\FC22\DRR Jaime\QUIFA-CAJÚA\Cajua\[VAS_CAJUA_CF_SEC_20230125.xlsx]CF PNP'!</v>
      </c>
      <c r="G2138" s="6" t="s">
        <v>40</v>
      </c>
      <c r="H2138" s="1">
        <f t="shared" si="483"/>
        <v>44</v>
      </c>
      <c r="I2138" s="1" t="str">
        <f t="shared" si="481"/>
        <v>='C:\Users\jaime.benazar\Quorum Business Solutions\Ecopetrol Prometeo - Documents\Planning Space Implementation\3. Analysis &amp; Design\Design\FC22\DRR Jaime\QUIFA-CAJÚA\Cajua\[VAS_CAJUA_CF_SEC_20230125.xlsx]CF PNP'!$CT$44</v>
      </c>
      <c r="J2138" s="1" t="s">
        <v>1099</v>
      </c>
    </row>
    <row r="2139" spans="1:10" x14ac:dyDescent="0.25">
      <c r="A2139" s="6" t="s">
        <v>2</v>
      </c>
      <c r="B2139" s="6">
        <f t="shared" si="492"/>
        <v>2032</v>
      </c>
      <c r="C2139" s="1" t="s">
        <v>20</v>
      </c>
      <c r="D2139" s="2" t="s">
        <v>128</v>
      </c>
      <c r="E2139" s="9" t="str">
        <f t="shared" si="480"/>
        <v>PNP'!</v>
      </c>
      <c r="F2139" s="5" t="str">
        <f t="shared" si="491"/>
        <v>C:\Users\jaime.benazar\Quorum Business Solutions\Ecopetrol Prometeo - Documents\Planning Space Implementation\3. Analysis &amp; Design\Design\FC22\DRR Jaime\QUIFA-CAJÚA\Cajua\[VAS_CAJUA_CF_SEC_20230125.xlsx]CF PNP'!</v>
      </c>
      <c r="G2139" s="6" t="s">
        <v>40</v>
      </c>
      <c r="H2139" s="1">
        <f t="shared" si="483"/>
        <v>45</v>
      </c>
      <c r="I2139" s="1" t="str">
        <f t="shared" si="481"/>
        <v>='C:\Users\jaime.benazar\Quorum Business Solutions\Ecopetrol Prometeo - Documents\Planning Space Implementation\3. Analysis &amp; Design\Design\FC22\DRR Jaime\QUIFA-CAJÚA\Cajua\[VAS_CAJUA_CF_SEC_20230125.xlsx]CF PNP'!$CT$45</v>
      </c>
      <c r="J2139" s="1" t="s">
        <v>1100</v>
      </c>
    </row>
    <row r="2140" spans="1:10" x14ac:dyDescent="0.25">
      <c r="A2140" s="6" t="s">
        <v>2</v>
      </c>
      <c r="B2140" s="6">
        <f t="shared" si="492"/>
        <v>2033</v>
      </c>
      <c r="C2140" s="1" t="s">
        <v>20</v>
      </c>
      <c r="D2140" s="2" t="s">
        <v>128</v>
      </c>
      <c r="E2140" s="9" t="str">
        <f t="shared" si="480"/>
        <v>PNP'!</v>
      </c>
      <c r="F2140" s="5" t="str">
        <f t="shared" si="491"/>
        <v>C:\Users\jaime.benazar\Quorum Business Solutions\Ecopetrol Prometeo - Documents\Planning Space Implementation\3. Analysis &amp; Design\Design\FC22\DRR Jaime\QUIFA-CAJÚA\Cajua\[VAS_CAJUA_CF_SEC_20230125.xlsx]CF PNP'!</v>
      </c>
      <c r="G2140" s="6" t="s">
        <v>40</v>
      </c>
      <c r="H2140" s="1">
        <f t="shared" si="483"/>
        <v>46</v>
      </c>
      <c r="I2140" s="1" t="str">
        <f t="shared" si="481"/>
        <v>='C:\Users\jaime.benazar\Quorum Business Solutions\Ecopetrol Prometeo - Documents\Planning Space Implementation\3. Analysis &amp; Design\Design\FC22\DRR Jaime\QUIFA-CAJÚA\Cajua\[VAS_CAJUA_CF_SEC_20230125.xlsx]CF PNP'!$CT$46</v>
      </c>
      <c r="J2140" s="1" t="s">
        <v>1101</v>
      </c>
    </row>
    <row r="2141" spans="1:10" x14ac:dyDescent="0.25">
      <c r="A2141" s="6" t="s">
        <v>2</v>
      </c>
      <c r="B2141" s="6">
        <f t="shared" si="492"/>
        <v>2034</v>
      </c>
      <c r="C2141" s="1" t="s">
        <v>20</v>
      </c>
      <c r="D2141" s="2" t="s">
        <v>128</v>
      </c>
      <c r="E2141" s="9" t="str">
        <f t="shared" si="480"/>
        <v>PNP'!</v>
      </c>
      <c r="F2141" s="5" t="str">
        <f t="shared" si="491"/>
        <v>C:\Users\jaime.benazar\Quorum Business Solutions\Ecopetrol Prometeo - Documents\Planning Space Implementation\3. Analysis &amp; Design\Design\FC22\DRR Jaime\QUIFA-CAJÚA\Cajua\[VAS_CAJUA_CF_SEC_20230125.xlsx]CF PNP'!</v>
      </c>
      <c r="G2141" s="6" t="s">
        <v>40</v>
      </c>
      <c r="H2141" s="1">
        <f t="shared" si="483"/>
        <v>47</v>
      </c>
      <c r="I2141" s="1" t="str">
        <f t="shared" si="481"/>
        <v>='C:\Users\jaime.benazar\Quorum Business Solutions\Ecopetrol Prometeo - Documents\Planning Space Implementation\3. Analysis &amp; Design\Design\FC22\DRR Jaime\QUIFA-CAJÚA\Cajua\[VAS_CAJUA_CF_SEC_20230125.xlsx]CF PNP'!$CT$47</v>
      </c>
      <c r="J2141" s="1" t="s">
        <v>1102</v>
      </c>
    </row>
    <row r="2142" spans="1:10" x14ac:dyDescent="0.25">
      <c r="A2142" s="6" t="s">
        <v>2</v>
      </c>
      <c r="B2142" s="6">
        <f t="shared" si="492"/>
        <v>2035</v>
      </c>
      <c r="C2142" s="1" t="s">
        <v>20</v>
      </c>
      <c r="D2142" s="2" t="s">
        <v>128</v>
      </c>
      <c r="E2142" s="9" t="str">
        <f t="shared" si="480"/>
        <v>PNP'!</v>
      </c>
      <c r="F2142" s="5" t="str">
        <f t="shared" si="491"/>
        <v>C:\Users\jaime.benazar\Quorum Business Solutions\Ecopetrol Prometeo - Documents\Planning Space Implementation\3. Analysis &amp; Design\Design\FC22\DRR Jaime\QUIFA-CAJÚA\Cajua\[VAS_CAJUA_CF_SEC_20230125.xlsx]CF PNP'!</v>
      </c>
      <c r="G2142" s="6" t="s">
        <v>40</v>
      </c>
      <c r="H2142" s="1">
        <f t="shared" si="483"/>
        <v>48</v>
      </c>
      <c r="I2142" s="1" t="str">
        <f t="shared" si="481"/>
        <v>='C:\Users\jaime.benazar\Quorum Business Solutions\Ecopetrol Prometeo - Documents\Planning Space Implementation\3. Analysis &amp; Design\Design\FC22\DRR Jaime\QUIFA-CAJÚA\Cajua\[VAS_CAJUA_CF_SEC_20230125.xlsx]CF PNP'!$CT$48</v>
      </c>
      <c r="J2142" s="1" t="s">
        <v>1103</v>
      </c>
    </row>
    <row r="2143" spans="1:10" x14ac:dyDescent="0.25">
      <c r="A2143" s="6" t="s">
        <v>2</v>
      </c>
      <c r="B2143" s="6">
        <f t="shared" si="492"/>
        <v>2036</v>
      </c>
      <c r="C2143" s="1" t="s">
        <v>20</v>
      </c>
      <c r="D2143" s="2" t="s">
        <v>128</v>
      </c>
      <c r="E2143" s="9" t="str">
        <f t="shared" si="480"/>
        <v>PNP'!</v>
      </c>
      <c r="F2143" s="5" t="str">
        <f t="shared" si="491"/>
        <v>C:\Users\jaime.benazar\Quorum Business Solutions\Ecopetrol Prometeo - Documents\Planning Space Implementation\3. Analysis &amp; Design\Design\FC22\DRR Jaime\QUIFA-CAJÚA\Cajua\[VAS_CAJUA_CF_SEC_20230125.xlsx]CF PNP'!</v>
      </c>
      <c r="G2143" s="6" t="s">
        <v>40</v>
      </c>
      <c r="H2143" s="1">
        <f t="shared" si="483"/>
        <v>49</v>
      </c>
      <c r="I2143" s="1" t="str">
        <f t="shared" si="481"/>
        <v>='C:\Users\jaime.benazar\Quorum Business Solutions\Ecopetrol Prometeo - Documents\Planning Space Implementation\3. Analysis &amp; Design\Design\FC22\DRR Jaime\QUIFA-CAJÚA\Cajua\[VAS_CAJUA_CF_SEC_20230125.xlsx]CF PNP'!$CT$49</v>
      </c>
      <c r="J2143" s="1" t="s">
        <v>1104</v>
      </c>
    </row>
    <row r="2144" spans="1:10" x14ac:dyDescent="0.25">
      <c r="A2144" s="6" t="s">
        <v>2</v>
      </c>
      <c r="B2144" s="6">
        <f>+B2143+1</f>
        <v>2037</v>
      </c>
      <c r="C2144" s="1" t="s">
        <v>20</v>
      </c>
      <c r="D2144" s="2" t="s">
        <v>128</v>
      </c>
      <c r="E2144" s="9" t="str">
        <f t="shared" si="480"/>
        <v>PNP'!</v>
      </c>
      <c r="F2144" s="5" t="str">
        <f t="shared" si="491"/>
        <v>C:\Users\jaime.benazar\Quorum Business Solutions\Ecopetrol Prometeo - Documents\Planning Space Implementation\3. Analysis &amp; Design\Design\FC22\DRR Jaime\QUIFA-CAJÚA\Cajua\[VAS_CAJUA_CF_SEC_20230125.xlsx]CF PNP'!</v>
      </c>
      <c r="G2144" s="6" t="s">
        <v>40</v>
      </c>
      <c r="H2144" s="1">
        <f t="shared" si="483"/>
        <v>50</v>
      </c>
      <c r="I2144" s="1" t="str">
        <f t="shared" si="481"/>
        <v>='C:\Users\jaime.benazar\Quorum Business Solutions\Ecopetrol Prometeo - Documents\Planning Space Implementation\3. Analysis &amp; Design\Design\FC22\DRR Jaime\QUIFA-CAJÚA\Cajua\[VAS_CAJUA_CF_SEC_20230125.xlsx]CF PNP'!$CT$50</v>
      </c>
      <c r="J2144" s="1" t="s">
        <v>1105</v>
      </c>
    </row>
    <row r="2145" spans="1:10" x14ac:dyDescent="0.25">
      <c r="A2145" s="6" t="s">
        <v>2</v>
      </c>
      <c r="B2145" s="6">
        <f t="shared" ref="B2145:B2147" si="493">+B2144+1</f>
        <v>2038</v>
      </c>
      <c r="C2145" s="1" t="s">
        <v>20</v>
      </c>
      <c r="D2145" s="2" t="s">
        <v>128</v>
      </c>
      <c r="E2145" s="9" t="str">
        <f t="shared" si="480"/>
        <v>PNP'!</v>
      </c>
      <c r="F2145" s="5" t="str">
        <f t="shared" si="491"/>
        <v>C:\Users\jaime.benazar\Quorum Business Solutions\Ecopetrol Prometeo - Documents\Planning Space Implementation\3. Analysis &amp; Design\Design\FC22\DRR Jaime\QUIFA-CAJÚA\Cajua\[VAS_CAJUA_CF_SEC_20230125.xlsx]CF PNP'!</v>
      </c>
      <c r="G2145" s="6" t="s">
        <v>40</v>
      </c>
      <c r="H2145" s="1">
        <f t="shared" si="483"/>
        <v>51</v>
      </c>
      <c r="I2145" s="1" t="str">
        <f t="shared" si="481"/>
        <v>='C:\Users\jaime.benazar\Quorum Business Solutions\Ecopetrol Prometeo - Documents\Planning Space Implementation\3. Analysis &amp; Design\Design\FC22\DRR Jaime\QUIFA-CAJÚA\Cajua\[VAS_CAJUA_CF_SEC_20230125.xlsx]CF PNP'!$CT$51</v>
      </c>
      <c r="J2145" s="1" t="s">
        <v>1106</v>
      </c>
    </row>
    <row r="2146" spans="1:10" x14ac:dyDescent="0.25">
      <c r="A2146" s="6" t="s">
        <v>2</v>
      </c>
      <c r="B2146" s="6">
        <f t="shared" si="493"/>
        <v>2039</v>
      </c>
      <c r="C2146" s="1" t="s">
        <v>20</v>
      </c>
      <c r="D2146" s="2" t="s">
        <v>128</v>
      </c>
      <c r="E2146" s="9" t="str">
        <f t="shared" si="480"/>
        <v>PNP'!</v>
      </c>
      <c r="F2146" s="5" t="str">
        <f t="shared" si="491"/>
        <v>C:\Users\jaime.benazar\Quorum Business Solutions\Ecopetrol Prometeo - Documents\Planning Space Implementation\3. Analysis &amp; Design\Design\FC22\DRR Jaime\QUIFA-CAJÚA\Cajua\[VAS_CAJUA_CF_SEC_20230125.xlsx]CF PNP'!</v>
      </c>
      <c r="G2146" s="6" t="s">
        <v>40</v>
      </c>
      <c r="H2146" s="1">
        <f t="shared" si="483"/>
        <v>52</v>
      </c>
      <c r="I2146" s="1" t="str">
        <f t="shared" si="481"/>
        <v>='C:\Users\jaime.benazar\Quorum Business Solutions\Ecopetrol Prometeo - Documents\Planning Space Implementation\3. Analysis &amp; Design\Design\FC22\DRR Jaime\QUIFA-CAJÚA\Cajua\[VAS_CAJUA_CF_SEC_20230125.xlsx]CF PNP'!$CT$52</v>
      </c>
      <c r="J2146" s="1" t="s">
        <v>1107</v>
      </c>
    </row>
    <row r="2147" spans="1:10" x14ac:dyDescent="0.25">
      <c r="A2147" s="6" t="s">
        <v>2</v>
      </c>
      <c r="B2147" s="6">
        <f t="shared" si="493"/>
        <v>2040</v>
      </c>
      <c r="C2147" s="1" t="s">
        <v>20</v>
      </c>
      <c r="D2147" s="2" t="s">
        <v>128</v>
      </c>
      <c r="E2147" s="9" t="str">
        <f t="shared" si="480"/>
        <v>PNP'!</v>
      </c>
      <c r="F2147" s="5" t="str">
        <f t="shared" si="491"/>
        <v>C:\Users\jaime.benazar\Quorum Business Solutions\Ecopetrol Prometeo - Documents\Planning Space Implementation\3. Analysis &amp; Design\Design\FC22\DRR Jaime\QUIFA-CAJÚA\Cajua\[VAS_CAJUA_CF_SEC_20230125.xlsx]CF PNP'!</v>
      </c>
      <c r="G2147" s="6" t="s">
        <v>40</v>
      </c>
      <c r="H2147" s="1">
        <f t="shared" si="483"/>
        <v>53</v>
      </c>
      <c r="I2147" s="1" t="str">
        <f t="shared" si="481"/>
        <v>='C:\Users\jaime.benazar\Quorum Business Solutions\Ecopetrol Prometeo - Documents\Planning Space Implementation\3. Analysis &amp; Design\Design\FC22\DRR Jaime\QUIFA-CAJÚA\Cajua\[VAS_CAJUA_CF_SEC_20230125.xlsx]CF PNP'!$CT$53</v>
      </c>
      <c r="J2147" s="1" t="s">
        <v>1108</v>
      </c>
    </row>
    <row r="2148" spans="1:10" x14ac:dyDescent="0.25">
      <c r="A2148" s="6" t="s">
        <v>2</v>
      </c>
      <c r="B2148" s="6">
        <f>+B2147+1</f>
        <v>2041</v>
      </c>
      <c r="C2148" s="1" t="s">
        <v>20</v>
      </c>
      <c r="D2148" s="2" t="s">
        <v>128</v>
      </c>
      <c r="E2148" s="9" t="str">
        <f t="shared" si="480"/>
        <v>PNP'!</v>
      </c>
      <c r="F2148" s="5" t="str">
        <f t="shared" si="491"/>
        <v>C:\Users\jaime.benazar\Quorum Business Solutions\Ecopetrol Prometeo - Documents\Planning Space Implementation\3. Analysis &amp; Design\Design\FC22\DRR Jaime\QUIFA-CAJÚA\Cajua\[VAS_CAJUA_CF_SEC_20230125.xlsx]CF PNP'!</v>
      </c>
      <c r="G2148" s="6" t="s">
        <v>40</v>
      </c>
      <c r="H2148" s="1">
        <f t="shared" si="483"/>
        <v>54</v>
      </c>
      <c r="I2148" s="1" t="str">
        <f t="shared" si="481"/>
        <v>='C:\Users\jaime.benazar\Quorum Business Solutions\Ecopetrol Prometeo - Documents\Planning Space Implementation\3. Analysis &amp; Design\Design\FC22\DRR Jaime\QUIFA-CAJÚA\Cajua\[VAS_CAJUA_CF_SEC_20230125.xlsx]CF PNP'!$CT$54</v>
      </c>
      <c r="J2148" s="1" t="s">
        <v>1109</v>
      </c>
    </row>
    <row r="2149" spans="1:10" x14ac:dyDescent="0.25">
      <c r="A2149" s="6" t="s">
        <v>2</v>
      </c>
      <c r="B2149" s="6">
        <f t="shared" ref="B2149:B2150" si="494">+B2148+1</f>
        <v>2042</v>
      </c>
      <c r="C2149" s="1" t="s">
        <v>20</v>
      </c>
      <c r="D2149" s="2" t="s">
        <v>128</v>
      </c>
      <c r="E2149" s="9" t="str">
        <f t="shared" si="480"/>
        <v>PNP'!</v>
      </c>
      <c r="F2149" s="5" t="str">
        <f t="shared" si="491"/>
        <v>C:\Users\jaime.benazar\Quorum Business Solutions\Ecopetrol Prometeo - Documents\Planning Space Implementation\3. Analysis &amp; Design\Design\FC22\DRR Jaime\QUIFA-CAJÚA\Cajua\[VAS_CAJUA_CF_SEC_20230125.xlsx]CF PNP'!</v>
      </c>
      <c r="G2149" s="6" t="s">
        <v>40</v>
      </c>
      <c r="H2149" s="1">
        <f t="shared" si="483"/>
        <v>55</v>
      </c>
      <c r="I2149" s="1" t="str">
        <f t="shared" si="481"/>
        <v>='C:\Users\jaime.benazar\Quorum Business Solutions\Ecopetrol Prometeo - Documents\Planning Space Implementation\3. Analysis &amp; Design\Design\FC22\DRR Jaime\QUIFA-CAJÚA\Cajua\[VAS_CAJUA_CF_SEC_20230125.xlsx]CF PNP'!$CT$55</v>
      </c>
      <c r="J2149" s="1" t="s">
        <v>1110</v>
      </c>
    </row>
    <row r="2150" spans="1:10" x14ac:dyDescent="0.25">
      <c r="A2150" s="6" t="s">
        <v>2</v>
      </c>
      <c r="B2150" s="6">
        <f t="shared" si="494"/>
        <v>2043</v>
      </c>
      <c r="C2150" s="1" t="s">
        <v>20</v>
      </c>
      <c r="D2150" s="2" t="s">
        <v>128</v>
      </c>
      <c r="E2150" s="9" t="str">
        <f t="shared" si="480"/>
        <v>PNP'!</v>
      </c>
      <c r="F2150" s="5" t="str">
        <f t="shared" si="491"/>
        <v>C:\Users\jaime.benazar\Quorum Business Solutions\Ecopetrol Prometeo - Documents\Planning Space Implementation\3. Analysis &amp; Design\Design\FC22\DRR Jaime\QUIFA-CAJÚA\Cajua\[VAS_CAJUA_CF_SEC_20230125.xlsx]CF PNP'!</v>
      </c>
      <c r="G2150" s="6" t="s">
        <v>40</v>
      </c>
      <c r="H2150" s="1">
        <f t="shared" si="483"/>
        <v>56</v>
      </c>
      <c r="I2150" s="1" t="str">
        <f t="shared" si="481"/>
        <v>='C:\Users\jaime.benazar\Quorum Business Solutions\Ecopetrol Prometeo - Documents\Planning Space Implementation\3. Analysis &amp; Design\Design\FC22\DRR Jaime\QUIFA-CAJÚA\Cajua\[VAS_CAJUA_CF_SEC_20230125.xlsx]CF PNP'!$CT$56</v>
      </c>
      <c r="J2150" s="1" t="s">
        <v>1111</v>
      </c>
    </row>
    <row r="2151" spans="1:10" x14ac:dyDescent="0.25">
      <c r="A2151" s="6" t="s">
        <v>2</v>
      </c>
      <c r="B2151" s="6">
        <f>+B2150+1</f>
        <v>2044</v>
      </c>
      <c r="C2151" s="1" t="s">
        <v>20</v>
      </c>
      <c r="D2151" s="2" t="s">
        <v>128</v>
      </c>
      <c r="E2151" s="9" t="str">
        <f t="shared" ref="E2151:E2166" si="495">_xlfn.CONCAT(A2151,"'!")</f>
        <v>PNP'!</v>
      </c>
      <c r="F2151" s="5" t="str">
        <f t="shared" ref="F2151:F2166" si="496">_xlfn.CONCAT(D2151," ",E2151)</f>
        <v>C:\Users\jaime.benazar\Quorum Business Solutions\Ecopetrol Prometeo - Documents\Planning Space Implementation\3. Analysis &amp; Design\Design\FC22\DRR Jaime\QUIFA-CAJÚA\Cajua\[VAS_CAJUA_CF_SEC_20230125.xlsx]CF PNP'!</v>
      </c>
      <c r="G2151" s="6" t="s">
        <v>40</v>
      </c>
      <c r="H2151" s="1">
        <f t="shared" ref="H2151:H2166" si="497">IF(A2151&lt;&gt;A2150,36,H2150+1)</f>
        <v>57</v>
      </c>
      <c r="I2151" s="1" t="str">
        <f t="shared" ref="I2151:I2166" si="498">_xlfn.CONCAT("='",F2151:H2151)</f>
        <v>='C:\Users\jaime.benazar\Quorum Business Solutions\Ecopetrol Prometeo - Documents\Planning Space Implementation\3. Analysis &amp; Design\Design\FC22\DRR Jaime\QUIFA-CAJÚA\Cajua\[VAS_CAJUA_CF_SEC_20230125.xlsx]CF PNP'!$CT$57</v>
      </c>
      <c r="J2151" s="1" t="s">
        <v>1112</v>
      </c>
    </row>
    <row r="2152" spans="1:10" x14ac:dyDescent="0.25">
      <c r="A2152" s="6" t="s">
        <v>2</v>
      </c>
      <c r="B2152" s="6">
        <f t="shared" ref="B2152:B2166" si="499">+B2151+1</f>
        <v>2045</v>
      </c>
      <c r="C2152" s="1" t="s">
        <v>20</v>
      </c>
      <c r="D2152" s="2" t="s">
        <v>128</v>
      </c>
      <c r="E2152" s="9" t="str">
        <f t="shared" si="495"/>
        <v>PNP'!</v>
      </c>
      <c r="F2152" s="5" t="str">
        <f t="shared" si="496"/>
        <v>C:\Users\jaime.benazar\Quorum Business Solutions\Ecopetrol Prometeo - Documents\Planning Space Implementation\3. Analysis &amp; Design\Design\FC22\DRR Jaime\QUIFA-CAJÚA\Cajua\[VAS_CAJUA_CF_SEC_20230125.xlsx]CF PNP'!</v>
      </c>
      <c r="G2152" s="6" t="s">
        <v>40</v>
      </c>
      <c r="H2152" s="1">
        <f t="shared" si="497"/>
        <v>58</v>
      </c>
      <c r="I2152" s="1" t="str">
        <f t="shared" si="498"/>
        <v>='C:\Users\jaime.benazar\Quorum Business Solutions\Ecopetrol Prometeo - Documents\Planning Space Implementation\3. Analysis &amp; Design\Design\FC22\DRR Jaime\QUIFA-CAJÚA\Cajua\[VAS_CAJUA_CF_SEC_20230125.xlsx]CF PNP'!$CT$58</v>
      </c>
      <c r="J2152" s="1" t="s">
        <v>1113</v>
      </c>
    </row>
    <row r="2153" spans="1:10" x14ac:dyDescent="0.25">
      <c r="A2153" s="6" t="s">
        <v>2</v>
      </c>
      <c r="B2153" s="6">
        <f t="shared" si="499"/>
        <v>2046</v>
      </c>
      <c r="C2153" s="1" t="s">
        <v>20</v>
      </c>
      <c r="D2153" s="2" t="s">
        <v>128</v>
      </c>
      <c r="E2153" s="9" t="str">
        <f t="shared" si="495"/>
        <v>PNP'!</v>
      </c>
      <c r="F2153" s="5" t="str">
        <f t="shared" si="496"/>
        <v>C:\Users\jaime.benazar\Quorum Business Solutions\Ecopetrol Prometeo - Documents\Planning Space Implementation\3. Analysis &amp; Design\Design\FC22\DRR Jaime\QUIFA-CAJÚA\Cajua\[VAS_CAJUA_CF_SEC_20230125.xlsx]CF PNP'!</v>
      </c>
      <c r="G2153" s="6" t="s">
        <v>40</v>
      </c>
      <c r="H2153" s="1">
        <f t="shared" si="497"/>
        <v>59</v>
      </c>
      <c r="I2153" s="1" t="str">
        <f t="shared" si="498"/>
        <v>='C:\Users\jaime.benazar\Quorum Business Solutions\Ecopetrol Prometeo - Documents\Planning Space Implementation\3. Analysis &amp; Design\Design\FC22\DRR Jaime\QUIFA-CAJÚA\Cajua\[VAS_CAJUA_CF_SEC_20230125.xlsx]CF PNP'!$CT$59</v>
      </c>
      <c r="J2153" s="1" t="s">
        <v>1114</v>
      </c>
    </row>
    <row r="2154" spans="1:10" x14ac:dyDescent="0.25">
      <c r="A2154" s="6" t="s">
        <v>2</v>
      </c>
      <c r="B2154" s="6">
        <f t="shared" si="499"/>
        <v>2047</v>
      </c>
      <c r="C2154" s="1" t="s">
        <v>20</v>
      </c>
      <c r="D2154" s="2" t="s">
        <v>128</v>
      </c>
      <c r="E2154" s="9" t="str">
        <f t="shared" si="495"/>
        <v>PNP'!</v>
      </c>
      <c r="F2154" s="5" t="str">
        <f t="shared" si="496"/>
        <v>C:\Users\jaime.benazar\Quorum Business Solutions\Ecopetrol Prometeo - Documents\Planning Space Implementation\3. Analysis &amp; Design\Design\FC22\DRR Jaime\QUIFA-CAJÚA\Cajua\[VAS_CAJUA_CF_SEC_20230125.xlsx]CF PNP'!</v>
      </c>
      <c r="G2154" s="6" t="s">
        <v>40</v>
      </c>
      <c r="H2154" s="1">
        <f t="shared" si="497"/>
        <v>60</v>
      </c>
      <c r="I2154" s="1" t="str">
        <f t="shared" si="498"/>
        <v>='C:\Users\jaime.benazar\Quorum Business Solutions\Ecopetrol Prometeo - Documents\Planning Space Implementation\3. Analysis &amp; Design\Design\FC22\DRR Jaime\QUIFA-CAJÚA\Cajua\[VAS_CAJUA_CF_SEC_20230125.xlsx]CF PNP'!$CT$60</v>
      </c>
      <c r="J2154" s="1" t="s">
        <v>1115</v>
      </c>
    </row>
    <row r="2155" spans="1:10" x14ac:dyDescent="0.25">
      <c r="A2155" s="6" t="s">
        <v>2</v>
      </c>
      <c r="B2155" s="6">
        <f t="shared" si="499"/>
        <v>2048</v>
      </c>
      <c r="C2155" s="1" t="s">
        <v>20</v>
      </c>
      <c r="D2155" s="2" t="s">
        <v>128</v>
      </c>
      <c r="E2155" s="9" t="str">
        <f t="shared" si="495"/>
        <v>PNP'!</v>
      </c>
      <c r="F2155" s="5" t="str">
        <f t="shared" si="496"/>
        <v>C:\Users\jaime.benazar\Quorum Business Solutions\Ecopetrol Prometeo - Documents\Planning Space Implementation\3. Analysis &amp; Design\Design\FC22\DRR Jaime\QUIFA-CAJÚA\Cajua\[VAS_CAJUA_CF_SEC_20230125.xlsx]CF PNP'!</v>
      </c>
      <c r="G2155" s="6" t="s">
        <v>40</v>
      </c>
      <c r="H2155" s="1">
        <f t="shared" si="497"/>
        <v>61</v>
      </c>
      <c r="I2155" s="1" t="str">
        <f t="shared" si="498"/>
        <v>='C:\Users\jaime.benazar\Quorum Business Solutions\Ecopetrol Prometeo - Documents\Planning Space Implementation\3. Analysis &amp; Design\Design\FC22\DRR Jaime\QUIFA-CAJÚA\Cajua\[VAS_CAJUA_CF_SEC_20230125.xlsx]CF PNP'!$CT$61</v>
      </c>
      <c r="J2155" s="1" t="s">
        <v>1116</v>
      </c>
    </row>
    <row r="2156" spans="1:10" x14ac:dyDescent="0.25">
      <c r="A2156" s="6" t="s">
        <v>2</v>
      </c>
      <c r="B2156" s="6">
        <f t="shared" si="499"/>
        <v>2049</v>
      </c>
      <c r="C2156" s="1" t="s">
        <v>20</v>
      </c>
      <c r="D2156" s="2" t="s">
        <v>128</v>
      </c>
      <c r="E2156" s="9" t="str">
        <f t="shared" si="495"/>
        <v>PNP'!</v>
      </c>
      <c r="F2156" s="5" t="str">
        <f t="shared" si="496"/>
        <v>C:\Users\jaime.benazar\Quorum Business Solutions\Ecopetrol Prometeo - Documents\Planning Space Implementation\3. Analysis &amp; Design\Design\FC22\DRR Jaime\QUIFA-CAJÚA\Cajua\[VAS_CAJUA_CF_SEC_20230125.xlsx]CF PNP'!</v>
      </c>
      <c r="G2156" s="6" t="s">
        <v>40</v>
      </c>
      <c r="H2156" s="1">
        <f t="shared" si="497"/>
        <v>62</v>
      </c>
      <c r="I2156" s="1" t="str">
        <f t="shared" si="498"/>
        <v>='C:\Users\jaime.benazar\Quorum Business Solutions\Ecopetrol Prometeo - Documents\Planning Space Implementation\3. Analysis &amp; Design\Design\FC22\DRR Jaime\QUIFA-CAJÚA\Cajua\[VAS_CAJUA_CF_SEC_20230125.xlsx]CF PNP'!$CT$62</v>
      </c>
      <c r="J2156" s="1" t="s">
        <v>1117</v>
      </c>
    </row>
    <row r="2157" spans="1:10" x14ac:dyDescent="0.25">
      <c r="A2157" s="6" t="s">
        <v>2</v>
      </c>
      <c r="B2157" s="6">
        <f t="shared" si="499"/>
        <v>2050</v>
      </c>
      <c r="C2157" s="1" t="s">
        <v>20</v>
      </c>
      <c r="D2157" s="2" t="s">
        <v>128</v>
      </c>
      <c r="E2157" s="9" t="str">
        <f t="shared" si="495"/>
        <v>PNP'!</v>
      </c>
      <c r="F2157" s="5" t="str">
        <f t="shared" si="496"/>
        <v>C:\Users\jaime.benazar\Quorum Business Solutions\Ecopetrol Prometeo - Documents\Planning Space Implementation\3. Analysis &amp; Design\Design\FC22\DRR Jaime\QUIFA-CAJÚA\Cajua\[VAS_CAJUA_CF_SEC_20230125.xlsx]CF PNP'!</v>
      </c>
      <c r="G2157" s="6" t="s">
        <v>40</v>
      </c>
      <c r="H2157" s="1">
        <f t="shared" si="497"/>
        <v>63</v>
      </c>
      <c r="I2157" s="1" t="str">
        <f t="shared" si="498"/>
        <v>='C:\Users\jaime.benazar\Quorum Business Solutions\Ecopetrol Prometeo - Documents\Planning Space Implementation\3. Analysis &amp; Design\Design\FC22\DRR Jaime\QUIFA-CAJÚA\Cajua\[VAS_CAJUA_CF_SEC_20230125.xlsx]CF PNP'!$CT$63</v>
      </c>
      <c r="J2157" s="1" t="s">
        <v>1118</v>
      </c>
    </row>
    <row r="2158" spans="1:10" x14ac:dyDescent="0.25">
      <c r="A2158" s="6" t="s">
        <v>2</v>
      </c>
      <c r="B2158" s="6">
        <f t="shared" si="499"/>
        <v>2051</v>
      </c>
      <c r="C2158" s="1" t="s">
        <v>20</v>
      </c>
      <c r="D2158" s="2" t="s">
        <v>128</v>
      </c>
      <c r="E2158" s="9" t="str">
        <f t="shared" si="495"/>
        <v>PNP'!</v>
      </c>
      <c r="F2158" s="5" t="str">
        <f t="shared" si="496"/>
        <v>C:\Users\jaime.benazar\Quorum Business Solutions\Ecopetrol Prometeo - Documents\Planning Space Implementation\3. Analysis &amp; Design\Design\FC22\DRR Jaime\QUIFA-CAJÚA\Cajua\[VAS_CAJUA_CF_SEC_20230125.xlsx]CF PNP'!</v>
      </c>
      <c r="G2158" s="6" t="s">
        <v>40</v>
      </c>
      <c r="H2158" s="1">
        <f t="shared" si="497"/>
        <v>64</v>
      </c>
      <c r="I2158" s="1" t="str">
        <f t="shared" si="498"/>
        <v>='C:\Users\jaime.benazar\Quorum Business Solutions\Ecopetrol Prometeo - Documents\Planning Space Implementation\3. Analysis &amp; Design\Design\FC22\DRR Jaime\QUIFA-CAJÚA\Cajua\[VAS_CAJUA_CF_SEC_20230125.xlsx]CF PNP'!$CT$64</v>
      </c>
      <c r="J2158" s="1" t="s">
        <v>1119</v>
      </c>
    </row>
    <row r="2159" spans="1:10" x14ac:dyDescent="0.25">
      <c r="A2159" s="6" t="s">
        <v>2</v>
      </c>
      <c r="B2159" s="6">
        <f t="shared" si="499"/>
        <v>2052</v>
      </c>
      <c r="C2159" s="1" t="s">
        <v>20</v>
      </c>
      <c r="D2159" s="2" t="s">
        <v>128</v>
      </c>
      <c r="E2159" s="9" t="str">
        <f t="shared" si="495"/>
        <v>PNP'!</v>
      </c>
      <c r="F2159" s="5" t="str">
        <f t="shared" si="496"/>
        <v>C:\Users\jaime.benazar\Quorum Business Solutions\Ecopetrol Prometeo - Documents\Planning Space Implementation\3. Analysis &amp; Design\Design\FC22\DRR Jaime\QUIFA-CAJÚA\Cajua\[VAS_CAJUA_CF_SEC_20230125.xlsx]CF PNP'!</v>
      </c>
      <c r="G2159" s="6" t="s">
        <v>40</v>
      </c>
      <c r="H2159" s="1">
        <f t="shared" si="497"/>
        <v>65</v>
      </c>
      <c r="I2159" s="1" t="str">
        <f t="shared" si="498"/>
        <v>='C:\Users\jaime.benazar\Quorum Business Solutions\Ecopetrol Prometeo - Documents\Planning Space Implementation\3. Analysis &amp; Design\Design\FC22\DRR Jaime\QUIFA-CAJÚA\Cajua\[VAS_CAJUA_CF_SEC_20230125.xlsx]CF PNP'!$CT$65</v>
      </c>
      <c r="J2159" s="1" t="s">
        <v>1120</v>
      </c>
    </row>
    <row r="2160" spans="1:10" x14ac:dyDescent="0.25">
      <c r="A2160" s="6" t="s">
        <v>2</v>
      </c>
      <c r="B2160" s="6">
        <f t="shared" si="499"/>
        <v>2053</v>
      </c>
      <c r="C2160" s="1" t="s">
        <v>20</v>
      </c>
      <c r="D2160" s="2" t="s">
        <v>128</v>
      </c>
      <c r="E2160" s="9" t="str">
        <f t="shared" si="495"/>
        <v>PNP'!</v>
      </c>
      <c r="F2160" s="5" t="str">
        <f t="shared" si="496"/>
        <v>C:\Users\jaime.benazar\Quorum Business Solutions\Ecopetrol Prometeo - Documents\Planning Space Implementation\3. Analysis &amp; Design\Design\FC22\DRR Jaime\QUIFA-CAJÚA\Cajua\[VAS_CAJUA_CF_SEC_20230125.xlsx]CF PNP'!</v>
      </c>
      <c r="G2160" s="6" t="s">
        <v>40</v>
      </c>
      <c r="H2160" s="1">
        <f t="shared" si="497"/>
        <v>66</v>
      </c>
      <c r="I2160" s="1" t="str">
        <f t="shared" si="498"/>
        <v>='C:\Users\jaime.benazar\Quorum Business Solutions\Ecopetrol Prometeo - Documents\Planning Space Implementation\3. Analysis &amp; Design\Design\FC22\DRR Jaime\QUIFA-CAJÚA\Cajua\[VAS_CAJUA_CF_SEC_20230125.xlsx]CF PNP'!$CT$66</v>
      </c>
      <c r="J2160" s="1" t="s">
        <v>1121</v>
      </c>
    </row>
    <row r="2161" spans="1:10" x14ac:dyDescent="0.25">
      <c r="A2161" s="6" t="s">
        <v>2</v>
      </c>
      <c r="B2161" s="6">
        <f t="shared" si="499"/>
        <v>2054</v>
      </c>
      <c r="C2161" s="1" t="s">
        <v>20</v>
      </c>
      <c r="D2161" s="2" t="s">
        <v>128</v>
      </c>
      <c r="E2161" s="9" t="str">
        <f t="shared" si="495"/>
        <v>PNP'!</v>
      </c>
      <c r="F2161" s="5" t="str">
        <f t="shared" si="496"/>
        <v>C:\Users\jaime.benazar\Quorum Business Solutions\Ecopetrol Prometeo - Documents\Planning Space Implementation\3. Analysis &amp; Design\Design\FC22\DRR Jaime\QUIFA-CAJÚA\Cajua\[VAS_CAJUA_CF_SEC_20230125.xlsx]CF PNP'!</v>
      </c>
      <c r="G2161" s="6" t="s">
        <v>40</v>
      </c>
      <c r="H2161" s="1">
        <f t="shared" si="497"/>
        <v>67</v>
      </c>
      <c r="I2161" s="1" t="str">
        <f t="shared" si="498"/>
        <v>='C:\Users\jaime.benazar\Quorum Business Solutions\Ecopetrol Prometeo - Documents\Planning Space Implementation\3. Analysis &amp; Design\Design\FC22\DRR Jaime\QUIFA-CAJÚA\Cajua\[VAS_CAJUA_CF_SEC_20230125.xlsx]CF PNP'!$CT$67</v>
      </c>
      <c r="J2161" s="1" t="s">
        <v>1122</v>
      </c>
    </row>
    <row r="2162" spans="1:10" x14ac:dyDescent="0.25">
      <c r="A2162" s="6" t="s">
        <v>2</v>
      </c>
      <c r="B2162" s="6">
        <f t="shared" si="499"/>
        <v>2055</v>
      </c>
      <c r="C2162" s="1" t="s">
        <v>20</v>
      </c>
      <c r="D2162" s="2" t="s">
        <v>128</v>
      </c>
      <c r="E2162" s="9" t="str">
        <f t="shared" si="495"/>
        <v>PNP'!</v>
      </c>
      <c r="F2162" s="5" t="str">
        <f t="shared" si="496"/>
        <v>C:\Users\jaime.benazar\Quorum Business Solutions\Ecopetrol Prometeo - Documents\Planning Space Implementation\3. Analysis &amp; Design\Design\FC22\DRR Jaime\QUIFA-CAJÚA\Cajua\[VAS_CAJUA_CF_SEC_20230125.xlsx]CF PNP'!</v>
      </c>
      <c r="G2162" s="6" t="s">
        <v>40</v>
      </c>
      <c r="H2162" s="1">
        <f t="shared" si="497"/>
        <v>68</v>
      </c>
      <c r="I2162" s="1" t="str">
        <f t="shared" si="498"/>
        <v>='C:\Users\jaime.benazar\Quorum Business Solutions\Ecopetrol Prometeo - Documents\Planning Space Implementation\3. Analysis &amp; Design\Design\FC22\DRR Jaime\QUIFA-CAJÚA\Cajua\[VAS_CAJUA_CF_SEC_20230125.xlsx]CF PNP'!$CT$68</v>
      </c>
      <c r="J2162" s="1" t="s">
        <v>1123</v>
      </c>
    </row>
    <row r="2163" spans="1:10" x14ac:dyDescent="0.25">
      <c r="A2163" s="6" t="s">
        <v>2</v>
      </c>
      <c r="B2163" s="6">
        <f t="shared" si="499"/>
        <v>2056</v>
      </c>
      <c r="C2163" s="1" t="s">
        <v>20</v>
      </c>
      <c r="D2163" s="2" t="s">
        <v>128</v>
      </c>
      <c r="E2163" s="9" t="str">
        <f t="shared" si="495"/>
        <v>PNP'!</v>
      </c>
      <c r="F2163" s="5" t="str">
        <f t="shared" si="496"/>
        <v>C:\Users\jaime.benazar\Quorum Business Solutions\Ecopetrol Prometeo - Documents\Planning Space Implementation\3. Analysis &amp; Design\Design\FC22\DRR Jaime\QUIFA-CAJÚA\Cajua\[VAS_CAJUA_CF_SEC_20230125.xlsx]CF PNP'!</v>
      </c>
      <c r="G2163" s="6" t="s">
        <v>40</v>
      </c>
      <c r="H2163" s="1">
        <f t="shared" si="497"/>
        <v>69</v>
      </c>
      <c r="I2163" s="1" t="str">
        <f t="shared" si="498"/>
        <v>='C:\Users\jaime.benazar\Quorum Business Solutions\Ecopetrol Prometeo - Documents\Planning Space Implementation\3. Analysis &amp; Design\Design\FC22\DRR Jaime\QUIFA-CAJÚA\Cajua\[VAS_CAJUA_CF_SEC_20230125.xlsx]CF PNP'!$CT$69</v>
      </c>
      <c r="J2163" s="1" t="s">
        <v>1124</v>
      </c>
    </row>
    <row r="2164" spans="1:10" x14ac:dyDescent="0.25">
      <c r="A2164" s="6" t="s">
        <v>2</v>
      </c>
      <c r="B2164" s="6">
        <f t="shared" si="499"/>
        <v>2057</v>
      </c>
      <c r="C2164" s="1" t="s">
        <v>20</v>
      </c>
      <c r="D2164" s="2" t="s">
        <v>128</v>
      </c>
      <c r="E2164" s="9" t="str">
        <f t="shared" si="495"/>
        <v>PNP'!</v>
      </c>
      <c r="F2164" s="5" t="str">
        <f t="shared" si="496"/>
        <v>C:\Users\jaime.benazar\Quorum Business Solutions\Ecopetrol Prometeo - Documents\Planning Space Implementation\3. Analysis &amp; Design\Design\FC22\DRR Jaime\QUIFA-CAJÚA\Cajua\[VAS_CAJUA_CF_SEC_20230125.xlsx]CF PNP'!</v>
      </c>
      <c r="G2164" s="6" t="s">
        <v>40</v>
      </c>
      <c r="H2164" s="1">
        <f t="shared" si="497"/>
        <v>70</v>
      </c>
      <c r="I2164" s="1" t="str">
        <f t="shared" si="498"/>
        <v>='C:\Users\jaime.benazar\Quorum Business Solutions\Ecopetrol Prometeo - Documents\Planning Space Implementation\3. Analysis &amp; Design\Design\FC22\DRR Jaime\QUIFA-CAJÚA\Cajua\[VAS_CAJUA_CF_SEC_20230125.xlsx]CF PNP'!$CT$70</v>
      </c>
      <c r="J2164" s="1" t="s">
        <v>1125</v>
      </c>
    </row>
    <row r="2165" spans="1:10" x14ac:dyDescent="0.25">
      <c r="A2165" s="6" t="s">
        <v>2</v>
      </c>
      <c r="B2165" s="6">
        <f t="shared" si="499"/>
        <v>2058</v>
      </c>
      <c r="C2165" s="1" t="s">
        <v>20</v>
      </c>
      <c r="D2165" s="2" t="s">
        <v>128</v>
      </c>
      <c r="E2165" s="9" t="str">
        <f t="shared" si="495"/>
        <v>PNP'!</v>
      </c>
      <c r="F2165" s="5" t="str">
        <f t="shared" si="496"/>
        <v>C:\Users\jaime.benazar\Quorum Business Solutions\Ecopetrol Prometeo - Documents\Planning Space Implementation\3. Analysis &amp; Design\Design\FC22\DRR Jaime\QUIFA-CAJÚA\Cajua\[VAS_CAJUA_CF_SEC_20230125.xlsx]CF PNP'!</v>
      </c>
      <c r="G2165" s="6" t="s">
        <v>40</v>
      </c>
      <c r="H2165" s="1">
        <f t="shared" si="497"/>
        <v>71</v>
      </c>
      <c r="I2165" s="1" t="str">
        <f t="shared" si="498"/>
        <v>='C:\Users\jaime.benazar\Quorum Business Solutions\Ecopetrol Prometeo - Documents\Planning Space Implementation\3. Analysis &amp; Design\Design\FC22\DRR Jaime\QUIFA-CAJÚA\Cajua\[VAS_CAJUA_CF_SEC_20230125.xlsx]CF PNP'!$CT$71</v>
      </c>
      <c r="J2165" s="1" t="s">
        <v>1126</v>
      </c>
    </row>
    <row r="2166" spans="1:10" x14ac:dyDescent="0.25">
      <c r="A2166" s="6" t="s">
        <v>2</v>
      </c>
      <c r="B2166" s="6">
        <f t="shared" si="499"/>
        <v>2059</v>
      </c>
      <c r="C2166" s="1" t="s">
        <v>20</v>
      </c>
      <c r="D2166" s="2" t="s">
        <v>128</v>
      </c>
      <c r="E2166" s="9" t="str">
        <f t="shared" si="495"/>
        <v>PNP'!</v>
      </c>
      <c r="F2166" s="5" t="str">
        <f t="shared" si="496"/>
        <v>C:\Users\jaime.benazar\Quorum Business Solutions\Ecopetrol Prometeo - Documents\Planning Space Implementation\3. Analysis &amp; Design\Design\FC22\DRR Jaime\QUIFA-CAJÚA\Cajua\[VAS_CAJUA_CF_SEC_20230125.xlsx]CF PNP'!</v>
      </c>
      <c r="G2166" s="6" t="s">
        <v>40</v>
      </c>
      <c r="H2166" s="1">
        <f t="shared" si="497"/>
        <v>72</v>
      </c>
      <c r="I2166" s="1" t="str">
        <f t="shared" si="498"/>
        <v>='C:\Users\jaime.benazar\Quorum Business Solutions\Ecopetrol Prometeo - Documents\Planning Space Implementation\3. Analysis &amp; Design\Design\FC22\DRR Jaime\QUIFA-CAJÚA\Cajua\[VAS_CAJUA_CF_SEC_20230125.xlsx]CF PNP'!$CT$72</v>
      </c>
      <c r="J2166" s="1" t="s">
        <v>1127</v>
      </c>
    </row>
    <row r="2167" spans="1:10" x14ac:dyDescent="0.25">
      <c r="A2167" s="6" t="s">
        <v>28</v>
      </c>
      <c r="B2167" s="6"/>
      <c r="C2167" s="1" t="s">
        <v>20</v>
      </c>
      <c r="D2167" s="2"/>
      <c r="E2167" s="9"/>
      <c r="F2167" s="5"/>
      <c r="G2167" s="6"/>
      <c r="H2167" s="1"/>
      <c r="I2167" s="1"/>
      <c r="J2167" s="4"/>
    </row>
    <row r="2168" spans="1:10" x14ac:dyDescent="0.25">
      <c r="A2168" s="6" t="s">
        <v>3</v>
      </c>
      <c r="B2168" s="6">
        <v>2023</v>
      </c>
      <c r="C2168" s="1" t="s">
        <v>20</v>
      </c>
      <c r="D2168" s="2" t="s">
        <v>128</v>
      </c>
      <c r="E2168" s="9" t="str">
        <f t="shared" si="480"/>
        <v>PND'!</v>
      </c>
      <c r="F2168" s="5" t="str">
        <f t="shared" ref="F2168:F2188" si="500">_xlfn.CONCAT(D2168," ",E2168)</f>
        <v>C:\Users\jaime.benazar\Quorum Business Solutions\Ecopetrol Prometeo - Documents\Planning Space Implementation\3. Analysis &amp; Design\Design\FC22\DRR Jaime\QUIFA-CAJÚA\Cajua\[VAS_CAJUA_CF_SEC_20230125.xlsx]CF PND'!</v>
      </c>
      <c r="G2168" s="6" t="s">
        <v>40</v>
      </c>
      <c r="H2168" s="1">
        <f>IF(A2168&lt;&gt;A2152,36,H2152+1)</f>
        <v>36</v>
      </c>
      <c r="I2168" s="1" t="str">
        <f t="shared" si="481"/>
        <v>='C:\Users\jaime.benazar\Quorum Business Solutions\Ecopetrol Prometeo - Documents\Planning Space Implementation\3. Analysis &amp; Design\Design\FC22\DRR Jaime\QUIFA-CAJÚA\Cajua\[VAS_CAJUA_CF_SEC_20230125.xlsx]CF PND'!$CT$36</v>
      </c>
      <c r="J2168" s="1" t="s">
        <v>1128</v>
      </c>
    </row>
    <row r="2169" spans="1:10" x14ac:dyDescent="0.25">
      <c r="A2169" s="6" t="s">
        <v>3</v>
      </c>
      <c r="B2169" s="6">
        <f>+B2168+1</f>
        <v>2024</v>
      </c>
      <c r="C2169" s="1" t="s">
        <v>20</v>
      </c>
      <c r="D2169" s="2" t="s">
        <v>128</v>
      </c>
      <c r="E2169" s="9" t="str">
        <f t="shared" si="480"/>
        <v>PND'!</v>
      </c>
      <c r="F2169" s="5" t="str">
        <f t="shared" si="500"/>
        <v>C:\Users\jaime.benazar\Quorum Business Solutions\Ecopetrol Prometeo - Documents\Planning Space Implementation\3. Analysis &amp; Design\Design\FC22\DRR Jaime\QUIFA-CAJÚA\Cajua\[VAS_CAJUA_CF_SEC_20230125.xlsx]CF PND'!</v>
      </c>
      <c r="G2169" s="6" t="s">
        <v>40</v>
      </c>
      <c r="H2169" s="1">
        <f t="shared" si="483"/>
        <v>37</v>
      </c>
      <c r="I2169" s="1" t="str">
        <f t="shared" si="481"/>
        <v>='C:\Users\jaime.benazar\Quorum Business Solutions\Ecopetrol Prometeo - Documents\Planning Space Implementation\3. Analysis &amp; Design\Design\FC22\DRR Jaime\QUIFA-CAJÚA\Cajua\[VAS_CAJUA_CF_SEC_20230125.xlsx]CF PND'!$CT$37</v>
      </c>
      <c r="J2169" s="1" t="s">
        <v>1129</v>
      </c>
    </row>
    <row r="2170" spans="1:10" x14ac:dyDescent="0.25">
      <c r="A2170" s="6" t="s">
        <v>3</v>
      </c>
      <c r="B2170" s="6">
        <f t="shared" ref="B2170:B2181" si="501">+B2169+1</f>
        <v>2025</v>
      </c>
      <c r="C2170" s="1" t="s">
        <v>20</v>
      </c>
      <c r="D2170" s="2" t="s">
        <v>128</v>
      </c>
      <c r="E2170" s="9" t="str">
        <f t="shared" si="480"/>
        <v>PND'!</v>
      </c>
      <c r="F2170" s="5" t="str">
        <f t="shared" si="500"/>
        <v>C:\Users\jaime.benazar\Quorum Business Solutions\Ecopetrol Prometeo - Documents\Planning Space Implementation\3. Analysis &amp; Design\Design\FC22\DRR Jaime\QUIFA-CAJÚA\Cajua\[VAS_CAJUA_CF_SEC_20230125.xlsx]CF PND'!</v>
      </c>
      <c r="G2170" s="6" t="s">
        <v>40</v>
      </c>
      <c r="H2170" s="1">
        <f t="shared" si="483"/>
        <v>38</v>
      </c>
      <c r="I2170" s="1" t="str">
        <f t="shared" si="481"/>
        <v>='C:\Users\jaime.benazar\Quorum Business Solutions\Ecopetrol Prometeo - Documents\Planning Space Implementation\3. Analysis &amp; Design\Design\FC22\DRR Jaime\QUIFA-CAJÚA\Cajua\[VAS_CAJUA_CF_SEC_20230125.xlsx]CF PND'!$CT$38</v>
      </c>
      <c r="J2170" s="1" t="s">
        <v>1130</v>
      </c>
    </row>
    <row r="2171" spans="1:10" x14ac:dyDescent="0.25">
      <c r="A2171" s="6" t="s">
        <v>3</v>
      </c>
      <c r="B2171" s="6">
        <f t="shared" si="501"/>
        <v>2026</v>
      </c>
      <c r="C2171" s="1" t="s">
        <v>20</v>
      </c>
      <c r="D2171" s="2" t="s">
        <v>128</v>
      </c>
      <c r="E2171" s="9" t="str">
        <f t="shared" si="480"/>
        <v>PND'!</v>
      </c>
      <c r="F2171" s="5" t="str">
        <f t="shared" si="500"/>
        <v>C:\Users\jaime.benazar\Quorum Business Solutions\Ecopetrol Prometeo - Documents\Planning Space Implementation\3. Analysis &amp; Design\Design\FC22\DRR Jaime\QUIFA-CAJÚA\Cajua\[VAS_CAJUA_CF_SEC_20230125.xlsx]CF PND'!</v>
      </c>
      <c r="G2171" s="6" t="s">
        <v>40</v>
      </c>
      <c r="H2171" s="1">
        <f t="shared" si="483"/>
        <v>39</v>
      </c>
      <c r="I2171" s="1" t="str">
        <f t="shared" si="481"/>
        <v>='C:\Users\jaime.benazar\Quorum Business Solutions\Ecopetrol Prometeo - Documents\Planning Space Implementation\3. Analysis &amp; Design\Design\FC22\DRR Jaime\QUIFA-CAJÚA\Cajua\[VAS_CAJUA_CF_SEC_20230125.xlsx]CF PND'!$CT$39</v>
      </c>
      <c r="J2171" s="1" t="s">
        <v>1131</v>
      </c>
    </row>
    <row r="2172" spans="1:10" x14ac:dyDescent="0.25">
      <c r="A2172" s="6" t="s">
        <v>3</v>
      </c>
      <c r="B2172" s="6">
        <f t="shared" si="501"/>
        <v>2027</v>
      </c>
      <c r="C2172" s="1" t="s">
        <v>20</v>
      </c>
      <c r="D2172" s="2" t="s">
        <v>128</v>
      </c>
      <c r="E2172" s="9" t="str">
        <f t="shared" si="480"/>
        <v>PND'!</v>
      </c>
      <c r="F2172" s="5" t="str">
        <f t="shared" si="500"/>
        <v>C:\Users\jaime.benazar\Quorum Business Solutions\Ecopetrol Prometeo - Documents\Planning Space Implementation\3. Analysis &amp; Design\Design\FC22\DRR Jaime\QUIFA-CAJÚA\Cajua\[VAS_CAJUA_CF_SEC_20230125.xlsx]CF PND'!</v>
      </c>
      <c r="G2172" s="6" t="s">
        <v>40</v>
      </c>
      <c r="H2172" s="1">
        <f t="shared" si="483"/>
        <v>40</v>
      </c>
      <c r="I2172" s="1" t="str">
        <f t="shared" si="481"/>
        <v>='C:\Users\jaime.benazar\Quorum Business Solutions\Ecopetrol Prometeo - Documents\Planning Space Implementation\3. Analysis &amp; Design\Design\FC22\DRR Jaime\QUIFA-CAJÚA\Cajua\[VAS_CAJUA_CF_SEC_20230125.xlsx]CF PND'!$CT$40</v>
      </c>
      <c r="J2172" s="1" t="s">
        <v>1132</v>
      </c>
    </row>
    <row r="2173" spans="1:10" x14ac:dyDescent="0.25">
      <c r="A2173" s="6" t="s">
        <v>3</v>
      </c>
      <c r="B2173" s="6">
        <f t="shared" si="501"/>
        <v>2028</v>
      </c>
      <c r="C2173" s="1" t="s">
        <v>20</v>
      </c>
      <c r="D2173" s="2" t="s">
        <v>128</v>
      </c>
      <c r="E2173" s="9" t="str">
        <f t="shared" si="480"/>
        <v>PND'!</v>
      </c>
      <c r="F2173" s="5" t="str">
        <f t="shared" si="500"/>
        <v>C:\Users\jaime.benazar\Quorum Business Solutions\Ecopetrol Prometeo - Documents\Planning Space Implementation\3. Analysis &amp; Design\Design\FC22\DRR Jaime\QUIFA-CAJÚA\Cajua\[VAS_CAJUA_CF_SEC_20230125.xlsx]CF PND'!</v>
      </c>
      <c r="G2173" s="6" t="s">
        <v>40</v>
      </c>
      <c r="H2173" s="1">
        <f t="shared" si="483"/>
        <v>41</v>
      </c>
      <c r="I2173" s="1" t="str">
        <f t="shared" si="481"/>
        <v>='C:\Users\jaime.benazar\Quorum Business Solutions\Ecopetrol Prometeo - Documents\Planning Space Implementation\3. Analysis &amp; Design\Design\FC22\DRR Jaime\QUIFA-CAJÚA\Cajua\[VAS_CAJUA_CF_SEC_20230125.xlsx]CF PND'!$CT$41</v>
      </c>
      <c r="J2173" s="1" t="s">
        <v>1133</v>
      </c>
    </row>
    <row r="2174" spans="1:10" x14ac:dyDescent="0.25">
      <c r="A2174" s="6" t="s">
        <v>3</v>
      </c>
      <c r="B2174" s="6">
        <f t="shared" si="501"/>
        <v>2029</v>
      </c>
      <c r="C2174" s="1" t="s">
        <v>20</v>
      </c>
      <c r="D2174" s="2" t="s">
        <v>128</v>
      </c>
      <c r="E2174" s="9" t="str">
        <f t="shared" si="480"/>
        <v>PND'!</v>
      </c>
      <c r="F2174" s="5" t="str">
        <f t="shared" si="500"/>
        <v>C:\Users\jaime.benazar\Quorum Business Solutions\Ecopetrol Prometeo - Documents\Planning Space Implementation\3. Analysis &amp; Design\Design\FC22\DRR Jaime\QUIFA-CAJÚA\Cajua\[VAS_CAJUA_CF_SEC_20230125.xlsx]CF PND'!</v>
      </c>
      <c r="G2174" s="6" t="s">
        <v>40</v>
      </c>
      <c r="H2174" s="1">
        <f t="shared" si="483"/>
        <v>42</v>
      </c>
      <c r="I2174" s="1" t="str">
        <f t="shared" si="481"/>
        <v>='C:\Users\jaime.benazar\Quorum Business Solutions\Ecopetrol Prometeo - Documents\Planning Space Implementation\3. Analysis &amp; Design\Design\FC22\DRR Jaime\QUIFA-CAJÚA\Cajua\[VAS_CAJUA_CF_SEC_20230125.xlsx]CF PND'!$CT$42</v>
      </c>
      <c r="J2174" s="1" t="s">
        <v>1134</v>
      </c>
    </row>
    <row r="2175" spans="1:10" x14ac:dyDescent="0.25">
      <c r="A2175" s="6" t="s">
        <v>3</v>
      </c>
      <c r="B2175" s="6">
        <f t="shared" si="501"/>
        <v>2030</v>
      </c>
      <c r="C2175" s="1" t="s">
        <v>20</v>
      </c>
      <c r="D2175" s="2" t="s">
        <v>128</v>
      </c>
      <c r="E2175" s="9" t="str">
        <f t="shared" si="480"/>
        <v>PND'!</v>
      </c>
      <c r="F2175" s="5" t="str">
        <f t="shared" si="500"/>
        <v>C:\Users\jaime.benazar\Quorum Business Solutions\Ecopetrol Prometeo - Documents\Planning Space Implementation\3. Analysis &amp; Design\Design\FC22\DRR Jaime\QUIFA-CAJÚA\Cajua\[VAS_CAJUA_CF_SEC_20230125.xlsx]CF PND'!</v>
      </c>
      <c r="G2175" s="6" t="s">
        <v>40</v>
      </c>
      <c r="H2175" s="1">
        <f t="shared" si="483"/>
        <v>43</v>
      </c>
      <c r="I2175" s="1" t="str">
        <f t="shared" si="481"/>
        <v>='C:\Users\jaime.benazar\Quorum Business Solutions\Ecopetrol Prometeo - Documents\Planning Space Implementation\3. Analysis &amp; Design\Design\FC22\DRR Jaime\QUIFA-CAJÚA\Cajua\[VAS_CAJUA_CF_SEC_20230125.xlsx]CF PND'!$CT$43</v>
      </c>
      <c r="J2175" s="1" t="s">
        <v>1135</v>
      </c>
    </row>
    <row r="2176" spans="1:10" x14ac:dyDescent="0.25">
      <c r="A2176" s="6" t="s">
        <v>3</v>
      </c>
      <c r="B2176" s="6">
        <f t="shared" si="501"/>
        <v>2031</v>
      </c>
      <c r="C2176" s="1" t="s">
        <v>20</v>
      </c>
      <c r="D2176" s="2" t="s">
        <v>128</v>
      </c>
      <c r="E2176" s="9" t="str">
        <f t="shared" si="480"/>
        <v>PND'!</v>
      </c>
      <c r="F2176" s="5" t="str">
        <f t="shared" si="500"/>
        <v>C:\Users\jaime.benazar\Quorum Business Solutions\Ecopetrol Prometeo - Documents\Planning Space Implementation\3. Analysis &amp; Design\Design\FC22\DRR Jaime\QUIFA-CAJÚA\Cajua\[VAS_CAJUA_CF_SEC_20230125.xlsx]CF PND'!</v>
      </c>
      <c r="G2176" s="6" t="s">
        <v>40</v>
      </c>
      <c r="H2176" s="1">
        <f t="shared" si="483"/>
        <v>44</v>
      </c>
      <c r="I2176" s="1" t="str">
        <f t="shared" si="481"/>
        <v>='C:\Users\jaime.benazar\Quorum Business Solutions\Ecopetrol Prometeo - Documents\Planning Space Implementation\3. Analysis &amp; Design\Design\FC22\DRR Jaime\QUIFA-CAJÚA\Cajua\[VAS_CAJUA_CF_SEC_20230125.xlsx]CF PND'!$CT$44</v>
      </c>
      <c r="J2176" s="1" t="s">
        <v>1136</v>
      </c>
    </row>
    <row r="2177" spans="1:10" x14ac:dyDescent="0.25">
      <c r="A2177" s="6" t="s">
        <v>3</v>
      </c>
      <c r="B2177" s="6">
        <f t="shared" si="501"/>
        <v>2032</v>
      </c>
      <c r="C2177" s="1" t="s">
        <v>20</v>
      </c>
      <c r="D2177" s="2" t="s">
        <v>128</v>
      </c>
      <c r="E2177" s="9" t="str">
        <f t="shared" si="480"/>
        <v>PND'!</v>
      </c>
      <c r="F2177" s="5" t="str">
        <f t="shared" si="500"/>
        <v>C:\Users\jaime.benazar\Quorum Business Solutions\Ecopetrol Prometeo - Documents\Planning Space Implementation\3. Analysis &amp; Design\Design\FC22\DRR Jaime\QUIFA-CAJÚA\Cajua\[VAS_CAJUA_CF_SEC_20230125.xlsx]CF PND'!</v>
      </c>
      <c r="G2177" s="6" t="s">
        <v>40</v>
      </c>
      <c r="H2177" s="1">
        <f t="shared" si="483"/>
        <v>45</v>
      </c>
      <c r="I2177" s="1" t="str">
        <f t="shared" si="481"/>
        <v>='C:\Users\jaime.benazar\Quorum Business Solutions\Ecopetrol Prometeo - Documents\Planning Space Implementation\3. Analysis &amp; Design\Design\FC22\DRR Jaime\QUIFA-CAJÚA\Cajua\[VAS_CAJUA_CF_SEC_20230125.xlsx]CF PND'!$CT$45</v>
      </c>
      <c r="J2177" s="1" t="s">
        <v>1137</v>
      </c>
    </row>
    <row r="2178" spans="1:10" x14ac:dyDescent="0.25">
      <c r="A2178" s="6" t="s">
        <v>3</v>
      </c>
      <c r="B2178" s="6">
        <f t="shared" si="501"/>
        <v>2033</v>
      </c>
      <c r="C2178" s="1" t="s">
        <v>20</v>
      </c>
      <c r="D2178" s="2" t="s">
        <v>128</v>
      </c>
      <c r="E2178" s="9" t="str">
        <f t="shared" si="480"/>
        <v>PND'!</v>
      </c>
      <c r="F2178" s="5" t="str">
        <f t="shared" si="500"/>
        <v>C:\Users\jaime.benazar\Quorum Business Solutions\Ecopetrol Prometeo - Documents\Planning Space Implementation\3. Analysis &amp; Design\Design\FC22\DRR Jaime\QUIFA-CAJÚA\Cajua\[VAS_CAJUA_CF_SEC_20230125.xlsx]CF PND'!</v>
      </c>
      <c r="G2178" s="6" t="s">
        <v>40</v>
      </c>
      <c r="H2178" s="1">
        <f t="shared" si="483"/>
        <v>46</v>
      </c>
      <c r="I2178" s="1" t="str">
        <f t="shared" si="481"/>
        <v>='C:\Users\jaime.benazar\Quorum Business Solutions\Ecopetrol Prometeo - Documents\Planning Space Implementation\3. Analysis &amp; Design\Design\FC22\DRR Jaime\QUIFA-CAJÚA\Cajua\[VAS_CAJUA_CF_SEC_20230125.xlsx]CF PND'!$CT$46</v>
      </c>
      <c r="J2178" s="1" t="s">
        <v>1138</v>
      </c>
    </row>
    <row r="2179" spans="1:10" x14ac:dyDescent="0.25">
      <c r="A2179" s="6" t="s">
        <v>3</v>
      </c>
      <c r="B2179" s="6">
        <f t="shared" si="501"/>
        <v>2034</v>
      </c>
      <c r="C2179" s="1" t="s">
        <v>20</v>
      </c>
      <c r="D2179" s="2" t="s">
        <v>128</v>
      </c>
      <c r="E2179" s="9" t="str">
        <f t="shared" si="480"/>
        <v>PND'!</v>
      </c>
      <c r="F2179" s="5" t="str">
        <f t="shared" si="500"/>
        <v>C:\Users\jaime.benazar\Quorum Business Solutions\Ecopetrol Prometeo - Documents\Planning Space Implementation\3. Analysis &amp; Design\Design\FC22\DRR Jaime\QUIFA-CAJÚA\Cajua\[VAS_CAJUA_CF_SEC_20230125.xlsx]CF PND'!</v>
      </c>
      <c r="G2179" s="6" t="s">
        <v>40</v>
      </c>
      <c r="H2179" s="1">
        <f t="shared" si="483"/>
        <v>47</v>
      </c>
      <c r="I2179" s="1" t="str">
        <f t="shared" si="481"/>
        <v>='C:\Users\jaime.benazar\Quorum Business Solutions\Ecopetrol Prometeo - Documents\Planning Space Implementation\3. Analysis &amp; Design\Design\FC22\DRR Jaime\QUIFA-CAJÚA\Cajua\[VAS_CAJUA_CF_SEC_20230125.xlsx]CF PND'!$CT$47</v>
      </c>
      <c r="J2179" s="1" t="s">
        <v>1139</v>
      </c>
    </row>
    <row r="2180" spans="1:10" x14ac:dyDescent="0.25">
      <c r="A2180" s="6" t="s">
        <v>3</v>
      </c>
      <c r="B2180" s="6">
        <f t="shared" si="501"/>
        <v>2035</v>
      </c>
      <c r="C2180" s="1" t="s">
        <v>20</v>
      </c>
      <c r="D2180" s="2" t="s">
        <v>128</v>
      </c>
      <c r="E2180" s="9" t="str">
        <f t="shared" si="480"/>
        <v>PND'!</v>
      </c>
      <c r="F2180" s="5" t="str">
        <f t="shared" si="500"/>
        <v>C:\Users\jaime.benazar\Quorum Business Solutions\Ecopetrol Prometeo - Documents\Planning Space Implementation\3. Analysis &amp; Design\Design\FC22\DRR Jaime\QUIFA-CAJÚA\Cajua\[VAS_CAJUA_CF_SEC_20230125.xlsx]CF PND'!</v>
      </c>
      <c r="G2180" s="6" t="s">
        <v>40</v>
      </c>
      <c r="H2180" s="1">
        <f t="shared" si="483"/>
        <v>48</v>
      </c>
      <c r="I2180" s="1" t="str">
        <f t="shared" si="481"/>
        <v>='C:\Users\jaime.benazar\Quorum Business Solutions\Ecopetrol Prometeo - Documents\Planning Space Implementation\3. Analysis &amp; Design\Design\FC22\DRR Jaime\QUIFA-CAJÚA\Cajua\[VAS_CAJUA_CF_SEC_20230125.xlsx]CF PND'!$CT$48</v>
      </c>
      <c r="J2180" s="1" t="s">
        <v>1140</v>
      </c>
    </row>
    <row r="2181" spans="1:10" x14ac:dyDescent="0.25">
      <c r="A2181" s="6" t="s">
        <v>3</v>
      </c>
      <c r="B2181" s="6">
        <f t="shared" si="501"/>
        <v>2036</v>
      </c>
      <c r="C2181" s="1" t="s">
        <v>20</v>
      </c>
      <c r="D2181" s="2" t="s">
        <v>128</v>
      </c>
      <c r="E2181" s="9" t="str">
        <f t="shared" si="480"/>
        <v>PND'!</v>
      </c>
      <c r="F2181" s="5" t="str">
        <f t="shared" si="500"/>
        <v>C:\Users\jaime.benazar\Quorum Business Solutions\Ecopetrol Prometeo - Documents\Planning Space Implementation\3. Analysis &amp; Design\Design\FC22\DRR Jaime\QUIFA-CAJÚA\Cajua\[VAS_CAJUA_CF_SEC_20230125.xlsx]CF PND'!</v>
      </c>
      <c r="G2181" s="6" t="s">
        <v>40</v>
      </c>
      <c r="H2181" s="1">
        <f t="shared" si="483"/>
        <v>49</v>
      </c>
      <c r="I2181" s="1" t="str">
        <f t="shared" si="481"/>
        <v>='C:\Users\jaime.benazar\Quorum Business Solutions\Ecopetrol Prometeo - Documents\Planning Space Implementation\3. Analysis &amp; Design\Design\FC22\DRR Jaime\QUIFA-CAJÚA\Cajua\[VAS_CAJUA_CF_SEC_20230125.xlsx]CF PND'!$CT$49</v>
      </c>
      <c r="J2181" s="1" t="s">
        <v>1141</v>
      </c>
    </row>
    <row r="2182" spans="1:10" x14ac:dyDescent="0.25">
      <c r="A2182" s="6" t="s">
        <v>3</v>
      </c>
      <c r="B2182" s="6">
        <f>+B2181+1</f>
        <v>2037</v>
      </c>
      <c r="C2182" s="1" t="s">
        <v>20</v>
      </c>
      <c r="D2182" s="2" t="s">
        <v>128</v>
      </c>
      <c r="E2182" s="9" t="str">
        <f t="shared" si="480"/>
        <v>PND'!</v>
      </c>
      <c r="F2182" s="5" t="str">
        <f t="shared" si="500"/>
        <v>C:\Users\jaime.benazar\Quorum Business Solutions\Ecopetrol Prometeo - Documents\Planning Space Implementation\3. Analysis &amp; Design\Design\FC22\DRR Jaime\QUIFA-CAJÚA\Cajua\[VAS_CAJUA_CF_SEC_20230125.xlsx]CF PND'!</v>
      </c>
      <c r="G2182" s="6" t="s">
        <v>40</v>
      </c>
      <c r="H2182" s="1">
        <f t="shared" si="483"/>
        <v>50</v>
      </c>
      <c r="I2182" s="1" t="str">
        <f t="shared" si="481"/>
        <v>='C:\Users\jaime.benazar\Quorum Business Solutions\Ecopetrol Prometeo - Documents\Planning Space Implementation\3. Analysis &amp; Design\Design\FC22\DRR Jaime\QUIFA-CAJÚA\Cajua\[VAS_CAJUA_CF_SEC_20230125.xlsx]CF PND'!$CT$50</v>
      </c>
      <c r="J2182" s="1" t="s">
        <v>1142</v>
      </c>
    </row>
    <row r="2183" spans="1:10" x14ac:dyDescent="0.25">
      <c r="A2183" s="6" t="s">
        <v>3</v>
      </c>
      <c r="B2183" s="6">
        <f t="shared" ref="B2183:B2185" si="502">+B2182+1</f>
        <v>2038</v>
      </c>
      <c r="C2183" s="1" t="s">
        <v>20</v>
      </c>
      <c r="D2183" s="2" t="s">
        <v>128</v>
      </c>
      <c r="E2183" s="9" t="str">
        <f t="shared" si="480"/>
        <v>PND'!</v>
      </c>
      <c r="F2183" s="5" t="str">
        <f t="shared" si="500"/>
        <v>C:\Users\jaime.benazar\Quorum Business Solutions\Ecopetrol Prometeo - Documents\Planning Space Implementation\3. Analysis &amp; Design\Design\FC22\DRR Jaime\QUIFA-CAJÚA\Cajua\[VAS_CAJUA_CF_SEC_20230125.xlsx]CF PND'!</v>
      </c>
      <c r="G2183" s="6" t="s">
        <v>40</v>
      </c>
      <c r="H2183" s="1">
        <f t="shared" si="483"/>
        <v>51</v>
      </c>
      <c r="I2183" s="1" t="str">
        <f t="shared" si="481"/>
        <v>='C:\Users\jaime.benazar\Quorum Business Solutions\Ecopetrol Prometeo - Documents\Planning Space Implementation\3. Analysis &amp; Design\Design\FC22\DRR Jaime\QUIFA-CAJÚA\Cajua\[VAS_CAJUA_CF_SEC_20230125.xlsx]CF PND'!$CT$51</v>
      </c>
      <c r="J2183" s="1" t="s">
        <v>1143</v>
      </c>
    </row>
    <row r="2184" spans="1:10" x14ac:dyDescent="0.25">
      <c r="A2184" s="6" t="s">
        <v>3</v>
      </c>
      <c r="B2184" s="6">
        <f t="shared" si="502"/>
        <v>2039</v>
      </c>
      <c r="C2184" s="1" t="s">
        <v>20</v>
      </c>
      <c r="D2184" s="2" t="s">
        <v>128</v>
      </c>
      <c r="E2184" s="9" t="str">
        <f t="shared" si="480"/>
        <v>PND'!</v>
      </c>
      <c r="F2184" s="5" t="str">
        <f t="shared" si="500"/>
        <v>C:\Users\jaime.benazar\Quorum Business Solutions\Ecopetrol Prometeo - Documents\Planning Space Implementation\3. Analysis &amp; Design\Design\FC22\DRR Jaime\QUIFA-CAJÚA\Cajua\[VAS_CAJUA_CF_SEC_20230125.xlsx]CF PND'!</v>
      </c>
      <c r="G2184" s="6" t="s">
        <v>40</v>
      </c>
      <c r="H2184" s="1">
        <f t="shared" si="483"/>
        <v>52</v>
      </c>
      <c r="I2184" s="1" t="str">
        <f t="shared" si="481"/>
        <v>='C:\Users\jaime.benazar\Quorum Business Solutions\Ecopetrol Prometeo - Documents\Planning Space Implementation\3. Analysis &amp; Design\Design\FC22\DRR Jaime\QUIFA-CAJÚA\Cajua\[VAS_CAJUA_CF_SEC_20230125.xlsx]CF PND'!$CT$52</v>
      </c>
      <c r="J2184" s="1" t="s">
        <v>1144</v>
      </c>
    </row>
    <row r="2185" spans="1:10" x14ac:dyDescent="0.25">
      <c r="A2185" s="6" t="s">
        <v>3</v>
      </c>
      <c r="B2185" s="6">
        <f t="shared" si="502"/>
        <v>2040</v>
      </c>
      <c r="C2185" s="1" t="s">
        <v>20</v>
      </c>
      <c r="D2185" s="2" t="s">
        <v>128</v>
      </c>
      <c r="E2185" s="9" t="str">
        <f t="shared" si="480"/>
        <v>PND'!</v>
      </c>
      <c r="F2185" s="5" t="str">
        <f t="shared" si="500"/>
        <v>C:\Users\jaime.benazar\Quorum Business Solutions\Ecopetrol Prometeo - Documents\Planning Space Implementation\3. Analysis &amp; Design\Design\FC22\DRR Jaime\QUIFA-CAJÚA\Cajua\[VAS_CAJUA_CF_SEC_20230125.xlsx]CF PND'!</v>
      </c>
      <c r="G2185" s="6" t="s">
        <v>40</v>
      </c>
      <c r="H2185" s="1">
        <f t="shared" si="483"/>
        <v>53</v>
      </c>
      <c r="I2185" s="1" t="str">
        <f t="shared" si="481"/>
        <v>='C:\Users\jaime.benazar\Quorum Business Solutions\Ecopetrol Prometeo - Documents\Planning Space Implementation\3. Analysis &amp; Design\Design\FC22\DRR Jaime\QUIFA-CAJÚA\Cajua\[VAS_CAJUA_CF_SEC_20230125.xlsx]CF PND'!$CT$53</v>
      </c>
      <c r="J2185" s="1" t="s">
        <v>1145</v>
      </c>
    </row>
    <row r="2186" spans="1:10" x14ac:dyDescent="0.25">
      <c r="A2186" s="6" t="s">
        <v>3</v>
      </c>
      <c r="B2186" s="6">
        <f>+B2185+1</f>
        <v>2041</v>
      </c>
      <c r="C2186" s="1" t="s">
        <v>20</v>
      </c>
      <c r="D2186" s="2" t="s">
        <v>128</v>
      </c>
      <c r="E2186" s="9" t="str">
        <f t="shared" si="480"/>
        <v>PND'!</v>
      </c>
      <c r="F2186" s="5" t="str">
        <f t="shared" si="500"/>
        <v>C:\Users\jaime.benazar\Quorum Business Solutions\Ecopetrol Prometeo - Documents\Planning Space Implementation\3. Analysis &amp; Design\Design\FC22\DRR Jaime\QUIFA-CAJÚA\Cajua\[VAS_CAJUA_CF_SEC_20230125.xlsx]CF PND'!</v>
      </c>
      <c r="G2186" s="6" t="s">
        <v>40</v>
      </c>
      <c r="H2186" s="1">
        <f t="shared" si="483"/>
        <v>54</v>
      </c>
      <c r="I2186" s="1" t="str">
        <f t="shared" si="481"/>
        <v>='C:\Users\jaime.benazar\Quorum Business Solutions\Ecopetrol Prometeo - Documents\Planning Space Implementation\3. Analysis &amp; Design\Design\FC22\DRR Jaime\QUIFA-CAJÚA\Cajua\[VAS_CAJUA_CF_SEC_20230125.xlsx]CF PND'!$CT$54</v>
      </c>
      <c r="J2186" s="1" t="s">
        <v>1146</v>
      </c>
    </row>
    <row r="2187" spans="1:10" x14ac:dyDescent="0.25">
      <c r="A2187" s="6" t="s">
        <v>3</v>
      </c>
      <c r="B2187" s="6">
        <f t="shared" ref="B2187:B2188" si="503">+B2186+1</f>
        <v>2042</v>
      </c>
      <c r="C2187" s="1" t="s">
        <v>20</v>
      </c>
      <c r="D2187" s="2" t="s">
        <v>128</v>
      </c>
      <c r="E2187" s="9" t="str">
        <f t="shared" ref="E2187:E2340" si="504">_xlfn.CONCAT(A2187,"'!")</f>
        <v>PND'!</v>
      </c>
      <c r="F2187" s="5" t="str">
        <f t="shared" si="500"/>
        <v>C:\Users\jaime.benazar\Quorum Business Solutions\Ecopetrol Prometeo - Documents\Planning Space Implementation\3. Analysis &amp; Design\Design\FC22\DRR Jaime\QUIFA-CAJÚA\Cajua\[VAS_CAJUA_CF_SEC_20230125.xlsx]CF PND'!</v>
      </c>
      <c r="G2187" s="6" t="s">
        <v>40</v>
      </c>
      <c r="H2187" s="1">
        <f t="shared" si="483"/>
        <v>55</v>
      </c>
      <c r="I2187" s="1" t="str">
        <f t="shared" ref="I2187:I2340" si="505">_xlfn.CONCAT("='",F2187:H2187)</f>
        <v>='C:\Users\jaime.benazar\Quorum Business Solutions\Ecopetrol Prometeo - Documents\Planning Space Implementation\3. Analysis &amp; Design\Design\FC22\DRR Jaime\QUIFA-CAJÚA\Cajua\[VAS_CAJUA_CF_SEC_20230125.xlsx]CF PND'!$CT$55</v>
      </c>
      <c r="J2187" s="1" t="s">
        <v>1147</v>
      </c>
    </row>
    <row r="2188" spans="1:10" x14ac:dyDescent="0.25">
      <c r="A2188" s="6" t="s">
        <v>3</v>
      </c>
      <c r="B2188" s="6">
        <f t="shared" si="503"/>
        <v>2043</v>
      </c>
      <c r="C2188" s="1" t="s">
        <v>20</v>
      </c>
      <c r="D2188" s="2" t="s">
        <v>128</v>
      </c>
      <c r="E2188" s="9" t="str">
        <f t="shared" si="504"/>
        <v>PND'!</v>
      </c>
      <c r="F2188" s="5" t="str">
        <f t="shared" si="500"/>
        <v>C:\Users\jaime.benazar\Quorum Business Solutions\Ecopetrol Prometeo - Documents\Planning Space Implementation\3. Analysis &amp; Design\Design\FC22\DRR Jaime\QUIFA-CAJÚA\Cajua\[VAS_CAJUA_CF_SEC_20230125.xlsx]CF PND'!</v>
      </c>
      <c r="G2188" s="6" t="s">
        <v>40</v>
      </c>
      <c r="H2188" s="1">
        <f t="shared" ref="H2188:H2340" si="506">IF(A2188&lt;&gt;A2187,36,H2187+1)</f>
        <v>56</v>
      </c>
      <c r="I2188" s="1" t="str">
        <f t="shared" si="505"/>
        <v>='C:\Users\jaime.benazar\Quorum Business Solutions\Ecopetrol Prometeo - Documents\Planning Space Implementation\3. Analysis &amp; Design\Design\FC22\DRR Jaime\QUIFA-CAJÚA\Cajua\[VAS_CAJUA_CF_SEC_20230125.xlsx]CF PND'!$CT$56</v>
      </c>
      <c r="J2188" s="1" t="s">
        <v>1148</v>
      </c>
    </row>
    <row r="2189" spans="1:10" x14ac:dyDescent="0.25">
      <c r="A2189" s="6" t="s">
        <v>3</v>
      </c>
      <c r="B2189" s="6">
        <f>+B2188+1</f>
        <v>2044</v>
      </c>
      <c r="C2189" s="1" t="s">
        <v>20</v>
      </c>
      <c r="D2189" s="2" t="s">
        <v>128</v>
      </c>
      <c r="E2189" s="9" t="str">
        <f t="shared" ref="E2189:E2204" si="507">_xlfn.CONCAT(A2189,"'!")</f>
        <v>PND'!</v>
      </c>
      <c r="F2189" s="5" t="str">
        <f t="shared" ref="F2189:F2204" si="508">_xlfn.CONCAT(D2189," ",E2189)</f>
        <v>C:\Users\jaime.benazar\Quorum Business Solutions\Ecopetrol Prometeo - Documents\Planning Space Implementation\3. Analysis &amp; Design\Design\FC22\DRR Jaime\QUIFA-CAJÚA\Cajua\[VAS_CAJUA_CF_SEC_20230125.xlsx]CF PND'!</v>
      </c>
      <c r="G2189" s="6" t="s">
        <v>40</v>
      </c>
      <c r="H2189" s="1">
        <f t="shared" ref="H2189:H2204" si="509">IF(A2189&lt;&gt;A2188,36,H2188+1)</f>
        <v>57</v>
      </c>
      <c r="I2189" s="1" t="str">
        <f t="shared" ref="I2189:I2204" si="510">_xlfn.CONCAT("='",F2189:H2189)</f>
        <v>='C:\Users\jaime.benazar\Quorum Business Solutions\Ecopetrol Prometeo - Documents\Planning Space Implementation\3. Analysis &amp; Design\Design\FC22\DRR Jaime\QUIFA-CAJÚA\Cajua\[VAS_CAJUA_CF_SEC_20230125.xlsx]CF PND'!$CT$57</v>
      </c>
      <c r="J2189" s="1" t="s">
        <v>1149</v>
      </c>
    </row>
    <row r="2190" spans="1:10" x14ac:dyDescent="0.25">
      <c r="A2190" s="6" t="s">
        <v>3</v>
      </c>
      <c r="B2190" s="6">
        <f t="shared" ref="B2190:B2204" si="511">+B2189+1</f>
        <v>2045</v>
      </c>
      <c r="C2190" s="1" t="s">
        <v>20</v>
      </c>
      <c r="D2190" s="2" t="s">
        <v>128</v>
      </c>
      <c r="E2190" s="9" t="str">
        <f t="shared" si="507"/>
        <v>PND'!</v>
      </c>
      <c r="F2190" s="5" t="str">
        <f t="shared" si="508"/>
        <v>C:\Users\jaime.benazar\Quorum Business Solutions\Ecopetrol Prometeo - Documents\Planning Space Implementation\3. Analysis &amp; Design\Design\FC22\DRR Jaime\QUIFA-CAJÚA\Cajua\[VAS_CAJUA_CF_SEC_20230125.xlsx]CF PND'!</v>
      </c>
      <c r="G2190" s="6" t="s">
        <v>40</v>
      </c>
      <c r="H2190" s="1">
        <f t="shared" si="509"/>
        <v>58</v>
      </c>
      <c r="I2190" s="1" t="str">
        <f t="shared" si="510"/>
        <v>='C:\Users\jaime.benazar\Quorum Business Solutions\Ecopetrol Prometeo - Documents\Planning Space Implementation\3. Analysis &amp; Design\Design\FC22\DRR Jaime\QUIFA-CAJÚA\Cajua\[VAS_CAJUA_CF_SEC_20230125.xlsx]CF PND'!$CT$58</v>
      </c>
      <c r="J2190" s="1" t="s">
        <v>1150</v>
      </c>
    </row>
    <row r="2191" spans="1:10" x14ac:dyDescent="0.25">
      <c r="A2191" s="6" t="s">
        <v>3</v>
      </c>
      <c r="B2191" s="6">
        <f t="shared" si="511"/>
        <v>2046</v>
      </c>
      <c r="C2191" s="1" t="s">
        <v>20</v>
      </c>
      <c r="D2191" s="2" t="s">
        <v>128</v>
      </c>
      <c r="E2191" s="9" t="str">
        <f t="shared" si="507"/>
        <v>PND'!</v>
      </c>
      <c r="F2191" s="5" t="str">
        <f t="shared" si="508"/>
        <v>C:\Users\jaime.benazar\Quorum Business Solutions\Ecopetrol Prometeo - Documents\Planning Space Implementation\3. Analysis &amp; Design\Design\FC22\DRR Jaime\QUIFA-CAJÚA\Cajua\[VAS_CAJUA_CF_SEC_20230125.xlsx]CF PND'!</v>
      </c>
      <c r="G2191" s="6" t="s">
        <v>40</v>
      </c>
      <c r="H2191" s="1">
        <f t="shared" si="509"/>
        <v>59</v>
      </c>
      <c r="I2191" s="1" t="str">
        <f t="shared" si="510"/>
        <v>='C:\Users\jaime.benazar\Quorum Business Solutions\Ecopetrol Prometeo - Documents\Planning Space Implementation\3. Analysis &amp; Design\Design\FC22\DRR Jaime\QUIFA-CAJÚA\Cajua\[VAS_CAJUA_CF_SEC_20230125.xlsx]CF PND'!$CT$59</v>
      </c>
      <c r="J2191" s="1" t="s">
        <v>1151</v>
      </c>
    </row>
    <row r="2192" spans="1:10" x14ac:dyDescent="0.25">
      <c r="A2192" s="6" t="s">
        <v>3</v>
      </c>
      <c r="B2192" s="6">
        <f t="shared" si="511"/>
        <v>2047</v>
      </c>
      <c r="C2192" s="1" t="s">
        <v>20</v>
      </c>
      <c r="D2192" s="2" t="s">
        <v>128</v>
      </c>
      <c r="E2192" s="9" t="str">
        <f t="shared" si="507"/>
        <v>PND'!</v>
      </c>
      <c r="F2192" s="5" t="str">
        <f t="shared" si="508"/>
        <v>C:\Users\jaime.benazar\Quorum Business Solutions\Ecopetrol Prometeo - Documents\Planning Space Implementation\3. Analysis &amp; Design\Design\FC22\DRR Jaime\QUIFA-CAJÚA\Cajua\[VAS_CAJUA_CF_SEC_20230125.xlsx]CF PND'!</v>
      </c>
      <c r="G2192" s="6" t="s">
        <v>40</v>
      </c>
      <c r="H2192" s="1">
        <f t="shared" si="509"/>
        <v>60</v>
      </c>
      <c r="I2192" s="1" t="str">
        <f t="shared" si="510"/>
        <v>='C:\Users\jaime.benazar\Quorum Business Solutions\Ecopetrol Prometeo - Documents\Planning Space Implementation\3. Analysis &amp; Design\Design\FC22\DRR Jaime\QUIFA-CAJÚA\Cajua\[VAS_CAJUA_CF_SEC_20230125.xlsx]CF PND'!$CT$60</v>
      </c>
      <c r="J2192" s="1" t="s">
        <v>1152</v>
      </c>
    </row>
    <row r="2193" spans="1:10" x14ac:dyDescent="0.25">
      <c r="A2193" s="6" t="s">
        <v>3</v>
      </c>
      <c r="B2193" s="6">
        <f t="shared" si="511"/>
        <v>2048</v>
      </c>
      <c r="C2193" s="1" t="s">
        <v>20</v>
      </c>
      <c r="D2193" s="2" t="s">
        <v>128</v>
      </c>
      <c r="E2193" s="9" t="str">
        <f t="shared" si="507"/>
        <v>PND'!</v>
      </c>
      <c r="F2193" s="5" t="str">
        <f t="shared" si="508"/>
        <v>C:\Users\jaime.benazar\Quorum Business Solutions\Ecopetrol Prometeo - Documents\Planning Space Implementation\3. Analysis &amp; Design\Design\FC22\DRR Jaime\QUIFA-CAJÚA\Cajua\[VAS_CAJUA_CF_SEC_20230125.xlsx]CF PND'!</v>
      </c>
      <c r="G2193" s="6" t="s">
        <v>40</v>
      </c>
      <c r="H2193" s="1">
        <f t="shared" si="509"/>
        <v>61</v>
      </c>
      <c r="I2193" s="1" t="str">
        <f t="shared" si="510"/>
        <v>='C:\Users\jaime.benazar\Quorum Business Solutions\Ecopetrol Prometeo - Documents\Planning Space Implementation\3. Analysis &amp; Design\Design\FC22\DRR Jaime\QUIFA-CAJÚA\Cajua\[VAS_CAJUA_CF_SEC_20230125.xlsx]CF PND'!$CT$61</v>
      </c>
      <c r="J2193" s="1" t="s">
        <v>1153</v>
      </c>
    </row>
    <row r="2194" spans="1:10" x14ac:dyDescent="0.25">
      <c r="A2194" s="6" t="s">
        <v>3</v>
      </c>
      <c r="B2194" s="6">
        <f t="shared" si="511"/>
        <v>2049</v>
      </c>
      <c r="C2194" s="1" t="s">
        <v>20</v>
      </c>
      <c r="D2194" s="2" t="s">
        <v>128</v>
      </c>
      <c r="E2194" s="9" t="str">
        <f t="shared" si="507"/>
        <v>PND'!</v>
      </c>
      <c r="F2194" s="5" t="str">
        <f t="shared" si="508"/>
        <v>C:\Users\jaime.benazar\Quorum Business Solutions\Ecopetrol Prometeo - Documents\Planning Space Implementation\3. Analysis &amp; Design\Design\FC22\DRR Jaime\QUIFA-CAJÚA\Cajua\[VAS_CAJUA_CF_SEC_20230125.xlsx]CF PND'!</v>
      </c>
      <c r="G2194" s="6" t="s">
        <v>40</v>
      </c>
      <c r="H2194" s="1">
        <f t="shared" si="509"/>
        <v>62</v>
      </c>
      <c r="I2194" s="1" t="str">
        <f t="shared" si="510"/>
        <v>='C:\Users\jaime.benazar\Quorum Business Solutions\Ecopetrol Prometeo - Documents\Planning Space Implementation\3. Analysis &amp; Design\Design\FC22\DRR Jaime\QUIFA-CAJÚA\Cajua\[VAS_CAJUA_CF_SEC_20230125.xlsx]CF PND'!$CT$62</v>
      </c>
      <c r="J2194" s="1" t="s">
        <v>1154</v>
      </c>
    </row>
    <row r="2195" spans="1:10" x14ac:dyDescent="0.25">
      <c r="A2195" s="6" t="s">
        <v>3</v>
      </c>
      <c r="B2195" s="6">
        <f t="shared" si="511"/>
        <v>2050</v>
      </c>
      <c r="C2195" s="1" t="s">
        <v>20</v>
      </c>
      <c r="D2195" s="2" t="s">
        <v>128</v>
      </c>
      <c r="E2195" s="9" t="str">
        <f t="shared" si="507"/>
        <v>PND'!</v>
      </c>
      <c r="F2195" s="5" t="str">
        <f t="shared" si="508"/>
        <v>C:\Users\jaime.benazar\Quorum Business Solutions\Ecopetrol Prometeo - Documents\Planning Space Implementation\3. Analysis &amp; Design\Design\FC22\DRR Jaime\QUIFA-CAJÚA\Cajua\[VAS_CAJUA_CF_SEC_20230125.xlsx]CF PND'!</v>
      </c>
      <c r="G2195" s="6" t="s">
        <v>40</v>
      </c>
      <c r="H2195" s="1">
        <f t="shared" si="509"/>
        <v>63</v>
      </c>
      <c r="I2195" s="1" t="str">
        <f t="shared" si="510"/>
        <v>='C:\Users\jaime.benazar\Quorum Business Solutions\Ecopetrol Prometeo - Documents\Planning Space Implementation\3. Analysis &amp; Design\Design\FC22\DRR Jaime\QUIFA-CAJÚA\Cajua\[VAS_CAJUA_CF_SEC_20230125.xlsx]CF PND'!$CT$63</v>
      </c>
      <c r="J2195" s="1" t="s">
        <v>1155</v>
      </c>
    </row>
    <row r="2196" spans="1:10" x14ac:dyDescent="0.25">
      <c r="A2196" s="6" t="s">
        <v>3</v>
      </c>
      <c r="B2196" s="6">
        <f t="shared" si="511"/>
        <v>2051</v>
      </c>
      <c r="C2196" s="1" t="s">
        <v>20</v>
      </c>
      <c r="D2196" s="2" t="s">
        <v>128</v>
      </c>
      <c r="E2196" s="9" t="str">
        <f t="shared" si="507"/>
        <v>PND'!</v>
      </c>
      <c r="F2196" s="5" t="str">
        <f t="shared" si="508"/>
        <v>C:\Users\jaime.benazar\Quorum Business Solutions\Ecopetrol Prometeo - Documents\Planning Space Implementation\3. Analysis &amp; Design\Design\FC22\DRR Jaime\QUIFA-CAJÚA\Cajua\[VAS_CAJUA_CF_SEC_20230125.xlsx]CF PND'!</v>
      </c>
      <c r="G2196" s="6" t="s">
        <v>40</v>
      </c>
      <c r="H2196" s="1">
        <f t="shared" si="509"/>
        <v>64</v>
      </c>
      <c r="I2196" s="1" t="str">
        <f t="shared" si="510"/>
        <v>='C:\Users\jaime.benazar\Quorum Business Solutions\Ecopetrol Prometeo - Documents\Planning Space Implementation\3. Analysis &amp; Design\Design\FC22\DRR Jaime\QUIFA-CAJÚA\Cajua\[VAS_CAJUA_CF_SEC_20230125.xlsx]CF PND'!$CT$64</v>
      </c>
      <c r="J2196" s="1" t="s">
        <v>1156</v>
      </c>
    </row>
    <row r="2197" spans="1:10" x14ac:dyDescent="0.25">
      <c r="A2197" s="6" t="s">
        <v>3</v>
      </c>
      <c r="B2197" s="6">
        <f t="shared" si="511"/>
        <v>2052</v>
      </c>
      <c r="C2197" s="1" t="s">
        <v>20</v>
      </c>
      <c r="D2197" s="2" t="s">
        <v>128</v>
      </c>
      <c r="E2197" s="9" t="str">
        <f t="shared" si="507"/>
        <v>PND'!</v>
      </c>
      <c r="F2197" s="5" t="str">
        <f t="shared" si="508"/>
        <v>C:\Users\jaime.benazar\Quorum Business Solutions\Ecopetrol Prometeo - Documents\Planning Space Implementation\3. Analysis &amp; Design\Design\FC22\DRR Jaime\QUIFA-CAJÚA\Cajua\[VAS_CAJUA_CF_SEC_20230125.xlsx]CF PND'!</v>
      </c>
      <c r="G2197" s="6" t="s">
        <v>40</v>
      </c>
      <c r="H2197" s="1">
        <f t="shared" si="509"/>
        <v>65</v>
      </c>
      <c r="I2197" s="1" t="str">
        <f t="shared" si="510"/>
        <v>='C:\Users\jaime.benazar\Quorum Business Solutions\Ecopetrol Prometeo - Documents\Planning Space Implementation\3. Analysis &amp; Design\Design\FC22\DRR Jaime\QUIFA-CAJÚA\Cajua\[VAS_CAJUA_CF_SEC_20230125.xlsx]CF PND'!$CT$65</v>
      </c>
      <c r="J2197" s="1" t="s">
        <v>1157</v>
      </c>
    </row>
    <row r="2198" spans="1:10" x14ac:dyDescent="0.25">
      <c r="A2198" s="6" t="s">
        <v>3</v>
      </c>
      <c r="B2198" s="6">
        <f t="shared" si="511"/>
        <v>2053</v>
      </c>
      <c r="C2198" s="1" t="s">
        <v>20</v>
      </c>
      <c r="D2198" s="2" t="s">
        <v>128</v>
      </c>
      <c r="E2198" s="9" t="str">
        <f t="shared" si="507"/>
        <v>PND'!</v>
      </c>
      <c r="F2198" s="5" t="str">
        <f t="shared" si="508"/>
        <v>C:\Users\jaime.benazar\Quorum Business Solutions\Ecopetrol Prometeo - Documents\Planning Space Implementation\3. Analysis &amp; Design\Design\FC22\DRR Jaime\QUIFA-CAJÚA\Cajua\[VAS_CAJUA_CF_SEC_20230125.xlsx]CF PND'!</v>
      </c>
      <c r="G2198" s="6" t="s">
        <v>40</v>
      </c>
      <c r="H2198" s="1">
        <f t="shared" si="509"/>
        <v>66</v>
      </c>
      <c r="I2198" s="1" t="str">
        <f t="shared" si="510"/>
        <v>='C:\Users\jaime.benazar\Quorum Business Solutions\Ecopetrol Prometeo - Documents\Planning Space Implementation\3. Analysis &amp; Design\Design\FC22\DRR Jaime\QUIFA-CAJÚA\Cajua\[VAS_CAJUA_CF_SEC_20230125.xlsx]CF PND'!$CT$66</v>
      </c>
      <c r="J2198" s="1" t="s">
        <v>1158</v>
      </c>
    </row>
    <row r="2199" spans="1:10" x14ac:dyDescent="0.25">
      <c r="A2199" s="6" t="s">
        <v>3</v>
      </c>
      <c r="B2199" s="6">
        <f t="shared" si="511"/>
        <v>2054</v>
      </c>
      <c r="C2199" s="1" t="s">
        <v>20</v>
      </c>
      <c r="D2199" s="2" t="s">
        <v>128</v>
      </c>
      <c r="E2199" s="9" t="str">
        <f t="shared" si="507"/>
        <v>PND'!</v>
      </c>
      <c r="F2199" s="5" t="str">
        <f t="shared" si="508"/>
        <v>C:\Users\jaime.benazar\Quorum Business Solutions\Ecopetrol Prometeo - Documents\Planning Space Implementation\3. Analysis &amp; Design\Design\FC22\DRR Jaime\QUIFA-CAJÚA\Cajua\[VAS_CAJUA_CF_SEC_20230125.xlsx]CF PND'!</v>
      </c>
      <c r="G2199" s="6" t="s">
        <v>40</v>
      </c>
      <c r="H2199" s="1">
        <f t="shared" si="509"/>
        <v>67</v>
      </c>
      <c r="I2199" s="1" t="str">
        <f t="shared" si="510"/>
        <v>='C:\Users\jaime.benazar\Quorum Business Solutions\Ecopetrol Prometeo - Documents\Planning Space Implementation\3. Analysis &amp; Design\Design\FC22\DRR Jaime\QUIFA-CAJÚA\Cajua\[VAS_CAJUA_CF_SEC_20230125.xlsx]CF PND'!$CT$67</v>
      </c>
      <c r="J2199" s="1" t="s">
        <v>1159</v>
      </c>
    </row>
    <row r="2200" spans="1:10" x14ac:dyDescent="0.25">
      <c r="A2200" s="6" t="s">
        <v>3</v>
      </c>
      <c r="B2200" s="6">
        <f t="shared" si="511"/>
        <v>2055</v>
      </c>
      <c r="C2200" s="1" t="s">
        <v>20</v>
      </c>
      <c r="D2200" s="2" t="s">
        <v>128</v>
      </c>
      <c r="E2200" s="9" t="str">
        <f t="shared" si="507"/>
        <v>PND'!</v>
      </c>
      <c r="F2200" s="5" t="str">
        <f t="shared" si="508"/>
        <v>C:\Users\jaime.benazar\Quorum Business Solutions\Ecopetrol Prometeo - Documents\Planning Space Implementation\3. Analysis &amp; Design\Design\FC22\DRR Jaime\QUIFA-CAJÚA\Cajua\[VAS_CAJUA_CF_SEC_20230125.xlsx]CF PND'!</v>
      </c>
      <c r="G2200" s="6" t="s">
        <v>40</v>
      </c>
      <c r="H2200" s="1">
        <f t="shared" si="509"/>
        <v>68</v>
      </c>
      <c r="I2200" s="1" t="str">
        <f t="shared" si="510"/>
        <v>='C:\Users\jaime.benazar\Quorum Business Solutions\Ecopetrol Prometeo - Documents\Planning Space Implementation\3. Analysis &amp; Design\Design\FC22\DRR Jaime\QUIFA-CAJÚA\Cajua\[VAS_CAJUA_CF_SEC_20230125.xlsx]CF PND'!$CT$68</v>
      </c>
      <c r="J2200" s="1" t="s">
        <v>1160</v>
      </c>
    </row>
    <row r="2201" spans="1:10" x14ac:dyDescent="0.25">
      <c r="A2201" s="6" t="s">
        <v>3</v>
      </c>
      <c r="B2201" s="6">
        <f t="shared" si="511"/>
        <v>2056</v>
      </c>
      <c r="C2201" s="1" t="s">
        <v>20</v>
      </c>
      <c r="D2201" s="2" t="s">
        <v>128</v>
      </c>
      <c r="E2201" s="9" t="str">
        <f t="shared" si="507"/>
        <v>PND'!</v>
      </c>
      <c r="F2201" s="5" t="str">
        <f t="shared" si="508"/>
        <v>C:\Users\jaime.benazar\Quorum Business Solutions\Ecopetrol Prometeo - Documents\Planning Space Implementation\3. Analysis &amp; Design\Design\FC22\DRR Jaime\QUIFA-CAJÚA\Cajua\[VAS_CAJUA_CF_SEC_20230125.xlsx]CF PND'!</v>
      </c>
      <c r="G2201" s="6" t="s">
        <v>40</v>
      </c>
      <c r="H2201" s="1">
        <f t="shared" si="509"/>
        <v>69</v>
      </c>
      <c r="I2201" s="1" t="str">
        <f t="shared" si="510"/>
        <v>='C:\Users\jaime.benazar\Quorum Business Solutions\Ecopetrol Prometeo - Documents\Planning Space Implementation\3. Analysis &amp; Design\Design\FC22\DRR Jaime\QUIFA-CAJÚA\Cajua\[VAS_CAJUA_CF_SEC_20230125.xlsx]CF PND'!$CT$69</v>
      </c>
      <c r="J2201" s="1" t="s">
        <v>1161</v>
      </c>
    </row>
    <row r="2202" spans="1:10" x14ac:dyDescent="0.25">
      <c r="A2202" s="6" t="s">
        <v>3</v>
      </c>
      <c r="B2202" s="6">
        <f t="shared" si="511"/>
        <v>2057</v>
      </c>
      <c r="C2202" s="1" t="s">
        <v>20</v>
      </c>
      <c r="D2202" s="2" t="s">
        <v>128</v>
      </c>
      <c r="E2202" s="9" t="str">
        <f t="shared" si="507"/>
        <v>PND'!</v>
      </c>
      <c r="F2202" s="5" t="str">
        <f t="shared" si="508"/>
        <v>C:\Users\jaime.benazar\Quorum Business Solutions\Ecopetrol Prometeo - Documents\Planning Space Implementation\3. Analysis &amp; Design\Design\FC22\DRR Jaime\QUIFA-CAJÚA\Cajua\[VAS_CAJUA_CF_SEC_20230125.xlsx]CF PND'!</v>
      </c>
      <c r="G2202" s="6" t="s">
        <v>40</v>
      </c>
      <c r="H2202" s="1">
        <f t="shared" si="509"/>
        <v>70</v>
      </c>
      <c r="I2202" s="1" t="str">
        <f t="shared" si="510"/>
        <v>='C:\Users\jaime.benazar\Quorum Business Solutions\Ecopetrol Prometeo - Documents\Planning Space Implementation\3. Analysis &amp; Design\Design\FC22\DRR Jaime\QUIFA-CAJÚA\Cajua\[VAS_CAJUA_CF_SEC_20230125.xlsx]CF PND'!$CT$70</v>
      </c>
      <c r="J2202" s="1" t="s">
        <v>1162</v>
      </c>
    </row>
    <row r="2203" spans="1:10" x14ac:dyDescent="0.25">
      <c r="A2203" s="6" t="s">
        <v>3</v>
      </c>
      <c r="B2203" s="6">
        <f t="shared" si="511"/>
        <v>2058</v>
      </c>
      <c r="C2203" s="1" t="s">
        <v>20</v>
      </c>
      <c r="D2203" s="2" t="s">
        <v>128</v>
      </c>
      <c r="E2203" s="9" t="str">
        <f t="shared" si="507"/>
        <v>PND'!</v>
      </c>
      <c r="F2203" s="5" t="str">
        <f t="shared" si="508"/>
        <v>C:\Users\jaime.benazar\Quorum Business Solutions\Ecopetrol Prometeo - Documents\Planning Space Implementation\3. Analysis &amp; Design\Design\FC22\DRR Jaime\QUIFA-CAJÚA\Cajua\[VAS_CAJUA_CF_SEC_20230125.xlsx]CF PND'!</v>
      </c>
      <c r="G2203" s="6" t="s">
        <v>40</v>
      </c>
      <c r="H2203" s="1">
        <f t="shared" si="509"/>
        <v>71</v>
      </c>
      <c r="I2203" s="1" t="str">
        <f t="shared" si="510"/>
        <v>='C:\Users\jaime.benazar\Quorum Business Solutions\Ecopetrol Prometeo - Documents\Planning Space Implementation\3. Analysis &amp; Design\Design\FC22\DRR Jaime\QUIFA-CAJÚA\Cajua\[VAS_CAJUA_CF_SEC_20230125.xlsx]CF PND'!$CT$71</v>
      </c>
      <c r="J2203" s="1" t="s">
        <v>1163</v>
      </c>
    </row>
    <row r="2204" spans="1:10" x14ac:dyDescent="0.25">
      <c r="A2204" s="6" t="s">
        <v>3</v>
      </c>
      <c r="B2204" s="6">
        <f t="shared" si="511"/>
        <v>2059</v>
      </c>
      <c r="C2204" s="1" t="s">
        <v>20</v>
      </c>
      <c r="D2204" s="2" t="s">
        <v>128</v>
      </c>
      <c r="E2204" s="9" t="str">
        <f t="shared" si="507"/>
        <v>PND'!</v>
      </c>
      <c r="F2204" s="5" t="str">
        <f t="shared" si="508"/>
        <v>C:\Users\jaime.benazar\Quorum Business Solutions\Ecopetrol Prometeo - Documents\Planning Space Implementation\3. Analysis &amp; Design\Design\FC22\DRR Jaime\QUIFA-CAJÚA\Cajua\[VAS_CAJUA_CF_SEC_20230125.xlsx]CF PND'!</v>
      </c>
      <c r="G2204" s="6" t="s">
        <v>40</v>
      </c>
      <c r="H2204" s="1">
        <f t="shared" si="509"/>
        <v>72</v>
      </c>
      <c r="I2204" s="1" t="str">
        <f t="shared" si="510"/>
        <v>='C:\Users\jaime.benazar\Quorum Business Solutions\Ecopetrol Prometeo - Documents\Planning Space Implementation\3. Analysis &amp; Design\Design\FC22\DRR Jaime\QUIFA-CAJÚA\Cajua\[VAS_CAJUA_CF_SEC_20230125.xlsx]CF PND'!$CT$72</v>
      </c>
      <c r="J2204" s="1" t="s">
        <v>1164</v>
      </c>
    </row>
    <row r="2205" spans="1:10" x14ac:dyDescent="0.25">
      <c r="A2205" s="6" t="s">
        <v>28</v>
      </c>
      <c r="B2205" s="6"/>
      <c r="C2205" s="1" t="s">
        <v>20</v>
      </c>
      <c r="D2205" s="2"/>
      <c r="E2205" s="9"/>
      <c r="F2205" s="2"/>
      <c r="G2205" s="6"/>
      <c r="H2205" s="1"/>
      <c r="I2205" s="1"/>
      <c r="J2205" s="4"/>
    </row>
    <row r="2206" spans="1:10" x14ac:dyDescent="0.25">
      <c r="A2206" s="6" t="s">
        <v>99</v>
      </c>
      <c r="B2206" s="6">
        <v>2023</v>
      </c>
      <c r="C2206" s="1" t="s">
        <v>20</v>
      </c>
      <c r="D2206" s="2" t="s">
        <v>128</v>
      </c>
      <c r="E2206" s="9" t="str">
        <f t="shared" ref="E2206:E2226" si="512">_xlfn.CONCAT(A2206,"'!")</f>
        <v>PRBDP'!</v>
      </c>
      <c r="F2206" s="5" t="str">
        <f t="shared" ref="F2206:F2226" si="513">_xlfn.CONCAT(D2206," ",E2206)</f>
        <v>C:\Users\jaime.benazar\Quorum Business Solutions\Ecopetrol Prometeo - Documents\Planning Space Implementation\3. Analysis &amp; Design\Design\FC22\DRR Jaime\QUIFA-CAJÚA\Cajua\[VAS_CAJUA_CF_SEC_20230125.xlsx]CF PRBDP'!</v>
      </c>
      <c r="G2206" s="6" t="s">
        <v>40</v>
      </c>
      <c r="H2206" s="1"/>
      <c r="I2206" s="1"/>
      <c r="J2206" s="1"/>
    </row>
    <row r="2207" spans="1:10" x14ac:dyDescent="0.25">
      <c r="A2207" s="6" t="s">
        <v>99</v>
      </c>
      <c r="B2207" s="6">
        <f>+B2206+1</f>
        <v>2024</v>
      </c>
      <c r="C2207" s="1" t="s">
        <v>20</v>
      </c>
      <c r="D2207" s="2" t="s">
        <v>128</v>
      </c>
      <c r="E2207" s="9" t="str">
        <f t="shared" si="512"/>
        <v>PRBDP'!</v>
      </c>
      <c r="F2207" s="5" t="str">
        <f t="shared" si="513"/>
        <v>C:\Users\jaime.benazar\Quorum Business Solutions\Ecopetrol Prometeo - Documents\Planning Space Implementation\3. Analysis &amp; Design\Design\FC22\DRR Jaime\QUIFA-CAJÚA\Cajua\[VAS_CAJUA_CF_SEC_20230125.xlsx]CF PRBDP'!</v>
      </c>
      <c r="G2207" s="6" t="s">
        <v>40</v>
      </c>
      <c r="H2207" s="1"/>
      <c r="I2207" s="1"/>
      <c r="J2207" s="1"/>
    </row>
    <row r="2208" spans="1:10" x14ac:dyDescent="0.25">
      <c r="A2208" s="6" t="s">
        <v>99</v>
      </c>
      <c r="B2208" s="6">
        <f t="shared" ref="B2208:B2219" si="514">+B2207+1</f>
        <v>2025</v>
      </c>
      <c r="C2208" s="1" t="s">
        <v>20</v>
      </c>
      <c r="D2208" s="2" t="s">
        <v>128</v>
      </c>
      <c r="E2208" s="9" t="str">
        <f t="shared" si="512"/>
        <v>PRBDP'!</v>
      </c>
      <c r="F2208" s="5" t="str">
        <f t="shared" si="513"/>
        <v>C:\Users\jaime.benazar\Quorum Business Solutions\Ecopetrol Prometeo - Documents\Planning Space Implementation\3. Analysis &amp; Design\Design\FC22\DRR Jaime\QUIFA-CAJÚA\Cajua\[VAS_CAJUA_CF_SEC_20230125.xlsx]CF PRBDP'!</v>
      </c>
      <c r="G2208" s="6" t="s">
        <v>40</v>
      </c>
      <c r="H2208" s="1"/>
      <c r="I2208" s="1"/>
      <c r="J2208" s="1"/>
    </row>
    <row r="2209" spans="1:10" x14ac:dyDescent="0.25">
      <c r="A2209" s="6" t="s">
        <v>99</v>
      </c>
      <c r="B2209" s="6">
        <f t="shared" si="514"/>
        <v>2026</v>
      </c>
      <c r="C2209" s="1" t="s">
        <v>20</v>
      </c>
      <c r="D2209" s="2" t="s">
        <v>128</v>
      </c>
      <c r="E2209" s="9" t="str">
        <f t="shared" si="512"/>
        <v>PRBDP'!</v>
      </c>
      <c r="F2209" s="5" t="str">
        <f t="shared" si="513"/>
        <v>C:\Users\jaime.benazar\Quorum Business Solutions\Ecopetrol Prometeo - Documents\Planning Space Implementation\3. Analysis &amp; Design\Design\FC22\DRR Jaime\QUIFA-CAJÚA\Cajua\[VAS_CAJUA_CF_SEC_20230125.xlsx]CF PRBDP'!</v>
      </c>
      <c r="G2209" s="6" t="s">
        <v>40</v>
      </c>
      <c r="H2209" s="1"/>
      <c r="I2209" s="1"/>
      <c r="J2209" s="1"/>
    </row>
    <row r="2210" spans="1:10" x14ac:dyDescent="0.25">
      <c r="A2210" s="6" t="s">
        <v>99</v>
      </c>
      <c r="B2210" s="6">
        <f t="shared" si="514"/>
        <v>2027</v>
      </c>
      <c r="C2210" s="1" t="s">
        <v>20</v>
      </c>
      <c r="D2210" s="2" t="s">
        <v>128</v>
      </c>
      <c r="E2210" s="9" t="str">
        <f t="shared" si="512"/>
        <v>PRBDP'!</v>
      </c>
      <c r="F2210" s="5" t="str">
        <f t="shared" si="513"/>
        <v>C:\Users\jaime.benazar\Quorum Business Solutions\Ecopetrol Prometeo - Documents\Planning Space Implementation\3. Analysis &amp; Design\Design\FC22\DRR Jaime\QUIFA-CAJÚA\Cajua\[VAS_CAJUA_CF_SEC_20230125.xlsx]CF PRBDP'!</v>
      </c>
      <c r="G2210" s="6" t="s">
        <v>40</v>
      </c>
      <c r="H2210" s="1"/>
      <c r="I2210" s="1"/>
      <c r="J2210" s="1"/>
    </row>
    <row r="2211" spans="1:10" x14ac:dyDescent="0.25">
      <c r="A2211" s="6" t="s">
        <v>99</v>
      </c>
      <c r="B2211" s="6">
        <f t="shared" si="514"/>
        <v>2028</v>
      </c>
      <c r="C2211" s="1" t="s">
        <v>20</v>
      </c>
      <c r="D2211" s="2" t="s">
        <v>128</v>
      </c>
      <c r="E2211" s="9" t="str">
        <f t="shared" si="512"/>
        <v>PRBDP'!</v>
      </c>
      <c r="F2211" s="5" t="str">
        <f t="shared" si="513"/>
        <v>C:\Users\jaime.benazar\Quorum Business Solutions\Ecopetrol Prometeo - Documents\Planning Space Implementation\3. Analysis &amp; Design\Design\FC22\DRR Jaime\QUIFA-CAJÚA\Cajua\[VAS_CAJUA_CF_SEC_20230125.xlsx]CF PRBDP'!</v>
      </c>
      <c r="G2211" s="6" t="s">
        <v>40</v>
      </c>
      <c r="H2211" s="1"/>
      <c r="I2211" s="1"/>
      <c r="J2211" s="1"/>
    </row>
    <row r="2212" spans="1:10" x14ac:dyDescent="0.25">
      <c r="A2212" s="6" t="s">
        <v>99</v>
      </c>
      <c r="B2212" s="6">
        <f t="shared" si="514"/>
        <v>2029</v>
      </c>
      <c r="C2212" s="1" t="s">
        <v>20</v>
      </c>
      <c r="D2212" s="2" t="s">
        <v>128</v>
      </c>
      <c r="E2212" s="9" t="str">
        <f t="shared" si="512"/>
        <v>PRBDP'!</v>
      </c>
      <c r="F2212" s="5" t="str">
        <f t="shared" si="513"/>
        <v>C:\Users\jaime.benazar\Quorum Business Solutions\Ecopetrol Prometeo - Documents\Planning Space Implementation\3. Analysis &amp; Design\Design\FC22\DRR Jaime\QUIFA-CAJÚA\Cajua\[VAS_CAJUA_CF_SEC_20230125.xlsx]CF PRBDP'!</v>
      </c>
      <c r="G2212" s="6" t="s">
        <v>40</v>
      </c>
      <c r="H2212" s="1"/>
      <c r="I2212" s="1"/>
      <c r="J2212" s="1"/>
    </row>
    <row r="2213" spans="1:10" x14ac:dyDescent="0.25">
      <c r="A2213" s="6" t="s">
        <v>99</v>
      </c>
      <c r="B2213" s="6">
        <f t="shared" si="514"/>
        <v>2030</v>
      </c>
      <c r="C2213" s="1" t="s">
        <v>20</v>
      </c>
      <c r="D2213" s="2" t="s">
        <v>128</v>
      </c>
      <c r="E2213" s="9" t="str">
        <f t="shared" si="512"/>
        <v>PRBDP'!</v>
      </c>
      <c r="F2213" s="5" t="str">
        <f t="shared" si="513"/>
        <v>C:\Users\jaime.benazar\Quorum Business Solutions\Ecopetrol Prometeo - Documents\Planning Space Implementation\3. Analysis &amp; Design\Design\FC22\DRR Jaime\QUIFA-CAJÚA\Cajua\[VAS_CAJUA_CF_SEC_20230125.xlsx]CF PRBDP'!</v>
      </c>
      <c r="G2213" s="6" t="s">
        <v>40</v>
      </c>
      <c r="H2213" s="1"/>
      <c r="I2213" s="1"/>
      <c r="J2213" s="1"/>
    </row>
    <row r="2214" spans="1:10" x14ac:dyDescent="0.25">
      <c r="A2214" s="6" t="s">
        <v>99</v>
      </c>
      <c r="B2214" s="6">
        <f t="shared" si="514"/>
        <v>2031</v>
      </c>
      <c r="C2214" s="1" t="s">
        <v>20</v>
      </c>
      <c r="D2214" s="2" t="s">
        <v>128</v>
      </c>
      <c r="E2214" s="9" t="str">
        <f t="shared" si="512"/>
        <v>PRBDP'!</v>
      </c>
      <c r="F2214" s="5" t="str">
        <f t="shared" si="513"/>
        <v>C:\Users\jaime.benazar\Quorum Business Solutions\Ecopetrol Prometeo - Documents\Planning Space Implementation\3. Analysis &amp; Design\Design\FC22\DRR Jaime\QUIFA-CAJÚA\Cajua\[VAS_CAJUA_CF_SEC_20230125.xlsx]CF PRBDP'!</v>
      </c>
      <c r="G2214" s="6" t="s">
        <v>40</v>
      </c>
      <c r="H2214" s="1"/>
      <c r="I2214" s="1"/>
      <c r="J2214" s="1"/>
    </row>
    <row r="2215" spans="1:10" x14ac:dyDescent="0.25">
      <c r="A2215" s="6" t="s">
        <v>99</v>
      </c>
      <c r="B2215" s="6">
        <f t="shared" si="514"/>
        <v>2032</v>
      </c>
      <c r="C2215" s="1" t="s">
        <v>20</v>
      </c>
      <c r="D2215" s="2" t="s">
        <v>128</v>
      </c>
      <c r="E2215" s="9" t="str">
        <f t="shared" si="512"/>
        <v>PRBDP'!</v>
      </c>
      <c r="F2215" s="5" t="str">
        <f t="shared" si="513"/>
        <v>C:\Users\jaime.benazar\Quorum Business Solutions\Ecopetrol Prometeo - Documents\Planning Space Implementation\3. Analysis &amp; Design\Design\FC22\DRR Jaime\QUIFA-CAJÚA\Cajua\[VAS_CAJUA_CF_SEC_20230125.xlsx]CF PRBDP'!</v>
      </c>
      <c r="G2215" s="6" t="s">
        <v>40</v>
      </c>
      <c r="H2215" s="1"/>
      <c r="I2215" s="1"/>
      <c r="J2215" s="1"/>
    </row>
    <row r="2216" spans="1:10" x14ac:dyDescent="0.25">
      <c r="A2216" s="6" t="s">
        <v>99</v>
      </c>
      <c r="B2216" s="6">
        <f t="shared" si="514"/>
        <v>2033</v>
      </c>
      <c r="C2216" s="1" t="s">
        <v>20</v>
      </c>
      <c r="D2216" s="2" t="s">
        <v>128</v>
      </c>
      <c r="E2216" s="9" t="str">
        <f t="shared" si="512"/>
        <v>PRBDP'!</v>
      </c>
      <c r="F2216" s="5" t="str">
        <f t="shared" si="513"/>
        <v>C:\Users\jaime.benazar\Quorum Business Solutions\Ecopetrol Prometeo - Documents\Planning Space Implementation\3. Analysis &amp; Design\Design\FC22\DRR Jaime\QUIFA-CAJÚA\Cajua\[VAS_CAJUA_CF_SEC_20230125.xlsx]CF PRBDP'!</v>
      </c>
      <c r="G2216" s="6" t="s">
        <v>40</v>
      </c>
      <c r="H2216" s="1"/>
      <c r="I2216" s="1"/>
      <c r="J2216" s="1"/>
    </row>
    <row r="2217" spans="1:10" x14ac:dyDescent="0.25">
      <c r="A2217" s="6" t="s">
        <v>99</v>
      </c>
      <c r="B2217" s="6">
        <f t="shared" si="514"/>
        <v>2034</v>
      </c>
      <c r="C2217" s="1" t="s">
        <v>20</v>
      </c>
      <c r="D2217" s="2" t="s">
        <v>128</v>
      </c>
      <c r="E2217" s="9" t="str">
        <f t="shared" si="512"/>
        <v>PRBDP'!</v>
      </c>
      <c r="F2217" s="5" t="str">
        <f t="shared" si="513"/>
        <v>C:\Users\jaime.benazar\Quorum Business Solutions\Ecopetrol Prometeo - Documents\Planning Space Implementation\3. Analysis &amp; Design\Design\FC22\DRR Jaime\QUIFA-CAJÚA\Cajua\[VAS_CAJUA_CF_SEC_20230125.xlsx]CF PRBDP'!</v>
      </c>
      <c r="G2217" s="6" t="s">
        <v>40</v>
      </c>
      <c r="H2217" s="1"/>
      <c r="I2217" s="1"/>
      <c r="J2217" s="1"/>
    </row>
    <row r="2218" spans="1:10" x14ac:dyDescent="0.25">
      <c r="A2218" s="6" t="s">
        <v>99</v>
      </c>
      <c r="B2218" s="6">
        <f t="shared" si="514"/>
        <v>2035</v>
      </c>
      <c r="C2218" s="1" t="s">
        <v>20</v>
      </c>
      <c r="D2218" s="2" t="s">
        <v>128</v>
      </c>
      <c r="E2218" s="9" t="str">
        <f t="shared" si="512"/>
        <v>PRBDP'!</v>
      </c>
      <c r="F2218" s="5" t="str">
        <f t="shared" si="513"/>
        <v>C:\Users\jaime.benazar\Quorum Business Solutions\Ecopetrol Prometeo - Documents\Planning Space Implementation\3. Analysis &amp; Design\Design\FC22\DRR Jaime\QUIFA-CAJÚA\Cajua\[VAS_CAJUA_CF_SEC_20230125.xlsx]CF PRBDP'!</v>
      </c>
      <c r="G2218" s="6" t="s">
        <v>40</v>
      </c>
      <c r="H2218" s="1"/>
      <c r="I2218" s="1"/>
      <c r="J2218" s="1"/>
    </row>
    <row r="2219" spans="1:10" x14ac:dyDescent="0.25">
      <c r="A2219" s="6" t="s">
        <v>99</v>
      </c>
      <c r="B2219" s="6">
        <f t="shared" si="514"/>
        <v>2036</v>
      </c>
      <c r="C2219" s="1" t="s">
        <v>20</v>
      </c>
      <c r="D2219" s="2" t="s">
        <v>128</v>
      </c>
      <c r="E2219" s="9" t="str">
        <f t="shared" si="512"/>
        <v>PRBDP'!</v>
      </c>
      <c r="F2219" s="5" t="str">
        <f t="shared" si="513"/>
        <v>C:\Users\jaime.benazar\Quorum Business Solutions\Ecopetrol Prometeo - Documents\Planning Space Implementation\3. Analysis &amp; Design\Design\FC22\DRR Jaime\QUIFA-CAJÚA\Cajua\[VAS_CAJUA_CF_SEC_20230125.xlsx]CF PRBDP'!</v>
      </c>
      <c r="G2219" s="6" t="s">
        <v>40</v>
      </c>
      <c r="H2219" s="1"/>
      <c r="I2219" s="1"/>
      <c r="J2219" s="1"/>
    </row>
    <row r="2220" spans="1:10" x14ac:dyDescent="0.25">
      <c r="A2220" s="6" t="s">
        <v>99</v>
      </c>
      <c r="B2220" s="6">
        <f>+B2219+1</f>
        <v>2037</v>
      </c>
      <c r="C2220" s="1" t="s">
        <v>20</v>
      </c>
      <c r="D2220" s="2" t="s">
        <v>128</v>
      </c>
      <c r="E2220" s="9" t="str">
        <f t="shared" si="512"/>
        <v>PRBDP'!</v>
      </c>
      <c r="F2220" s="5" t="str">
        <f t="shared" si="513"/>
        <v>C:\Users\jaime.benazar\Quorum Business Solutions\Ecopetrol Prometeo - Documents\Planning Space Implementation\3. Analysis &amp; Design\Design\FC22\DRR Jaime\QUIFA-CAJÚA\Cajua\[VAS_CAJUA_CF_SEC_20230125.xlsx]CF PRBDP'!</v>
      </c>
      <c r="G2220" s="6" t="s">
        <v>40</v>
      </c>
      <c r="H2220" s="1"/>
      <c r="I2220" s="1"/>
      <c r="J2220" s="1"/>
    </row>
    <row r="2221" spans="1:10" x14ac:dyDescent="0.25">
      <c r="A2221" s="6" t="s">
        <v>99</v>
      </c>
      <c r="B2221" s="6">
        <f t="shared" ref="B2221:B2223" si="515">+B2220+1</f>
        <v>2038</v>
      </c>
      <c r="C2221" s="1" t="s">
        <v>20</v>
      </c>
      <c r="D2221" s="2" t="s">
        <v>128</v>
      </c>
      <c r="E2221" s="9" t="str">
        <f t="shared" si="512"/>
        <v>PRBDP'!</v>
      </c>
      <c r="F2221" s="5" t="str">
        <f t="shared" si="513"/>
        <v>C:\Users\jaime.benazar\Quorum Business Solutions\Ecopetrol Prometeo - Documents\Planning Space Implementation\3. Analysis &amp; Design\Design\FC22\DRR Jaime\QUIFA-CAJÚA\Cajua\[VAS_CAJUA_CF_SEC_20230125.xlsx]CF PRBDP'!</v>
      </c>
      <c r="G2221" s="6" t="s">
        <v>40</v>
      </c>
      <c r="H2221" s="1"/>
      <c r="I2221" s="1"/>
      <c r="J2221" s="1"/>
    </row>
    <row r="2222" spans="1:10" x14ac:dyDescent="0.25">
      <c r="A2222" s="6" t="s">
        <v>99</v>
      </c>
      <c r="B2222" s="6">
        <f t="shared" si="515"/>
        <v>2039</v>
      </c>
      <c r="C2222" s="1" t="s">
        <v>20</v>
      </c>
      <c r="D2222" s="2" t="s">
        <v>128</v>
      </c>
      <c r="E2222" s="9" t="str">
        <f t="shared" si="512"/>
        <v>PRBDP'!</v>
      </c>
      <c r="F2222" s="5" t="str">
        <f t="shared" si="513"/>
        <v>C:\Users\jaime.benazar\Quorum Business Solutions\Ecopetrol Prometeo - Documents\Planning Space Implementation\3. Analysis &amp; Design\Design\FC22\DRR Jaime\QUIFA-CAJÚA\Cajua\[VAS_CAJUA_CF_SEC_20230125.xlsx]CF PRBDP'!</v>
      </c>
      <c r="G2222" s="6" t="s">
        <v>40</v>
      </c>
      <c r="H2222" s="1"/>
      <c r="I2222" s="1"/>
      <c r="J2222" s="1"/>
    </row>
    <row r="2223" spans="1:10" x14ac:dyDescent="0.25">
      <c r="A2223" s="6" t="s">
        <v>99</v>
      </c>
      <c r="B2223" s="6">
        <f t="shared" si="515"/>
        <v>2040</v>
      </c>
      <c r="C2223" s="1" t="s">
        <v>20</v>
      </c>
      <c r="D2223" s="2" t="s">
        <v>128</v>
      </c>
      <c r="E2223" s="9" t="str">
        <f t="shared" si="512"/>
        <v>PRBDP'!</v>
      </c>
      <c r="F2223" s="5" t="str">
        <f t="shared" si="513"/>
        <v>C:\Users\jaime.benazar\Quorum Business Solutions\Ecopetrol Prometeo - Documents\Planning Space Implementation\3. Analysis &amp; Design\Design\FC22\DRR Jaime\QUIFA-CAJÚA\Cajua\[VAS_CAJUA_CF_SEC_20230125.xlsx]CF PRBDP'!</v>
      </c>
      <c r="G2223" s="6" t="s">
        <v>40</v>
      </c>
      <c r="H2223" s="1"/>
      <c r="I2223" s="1"/>
      <c r="J2223" s="1"/>
    </row>
    <row r="2224" spans="1:10" x14ac:dyDescent="0.25">
      <c r="A2224" s="6" t="s">
        <v>99</v>
      </c>
      <c r="B2224" s="6">
        <f>+B2223+1</f>
        <v>2041</v>
      </c>
      <c r="C2224" s="1" t="s">
        <v>20</v>
      </c>
      <c r="D2224" s="2" t="s">
        <v>128</v>
      </c>
      <c r="E2224" s="9" t="str">
        <f t="shared" si="512"/>
        <v>PRBDP'!</v>
      </c>
      <c r="F2224" s="5" t="str">
        <f t="shared" si="513"/>
        <v>C:\Users\jaime.benazar\Quorum Business Solutions\Ecopetrol Prometeo - Documents\Planning Space Implementation\3. Analysis &amp; Design\Design\FC22\DRR Jaime\QUIFA-CAJÚA\Cajua\[VAS_CAJUA_CF_SEC_20230125.xlsx]CF PRBDP'!</v>
      </c>
      <c r="G2224" s="6" t="s">
        <v>40</v>
      </c>
      <c r="H2224" s="1"/>
      <c r="I2224" s="1"/>
      <c r="J2224" s="1"/>
    </row>
    <row r="2225" spans="1:10" x14ac:dyDescent="0.25">
      <c r="A2225" s="6" t="s">
        <v>99</v>
      </c>
      <c r="B2225" s="6">
        <f t="shared" ref="B2225:B2226" si="516">+B2224+1</f>
        <v>2042</v>
      </c>
      <c r="C2225" s="1" t="s">
        <v>20</v>
      </c>
      <c r="D2225" s="2" t="s">
        <v>128</v>
      </c>
      <c r="E2225" s="9" t="str">
        <f t="shared" si="512"/>
        <v>PRBDP'!</v>
      </c>
      <c r="F2225" s="5" t="str">
        <f t="shared" si="513"/>
        <v>C:\Users\jaime.benazar\Quorum Business Solutions\Ecopetrol Prometeo - Documents\Planning Space Implementation\3. Analysis &amp; Design\Design\FC22\DRR Jaime\QUIFA-CAJÚA\Cajua\[VAS_CAJUA_CF_SEC_20230125.xlsx]CF PRBDP'!</v>
      </c>
      <c r="G2225" s="6" t="s">
        <v>40</v>
      </c>
      <c r="H2225" s="1"/>
      <c r="I2225" s="1"/>
      <c r="J2225" s="1"/>
    </row>
    <row r="2226" spans="1:10" x14ac:dyDescent="0.25">
      <c r="A2226" s="6" t="s">
        <v>99</v>
      </c>
      <c r="B2226" s="6">
        <f t="shared" si="516"/>
        <v>2043</v>
      </c>
      <c r="C2226" s="1" t="s">
        <v>20</v>
      </c>
      <c r="D2226" s="2" t="s">
        <v>128</v>
      </c>
      <c r="E2226" s="9" t="str">
        <f t="shared" si="512"/>
        <v>PRBDP'!</v>
      </c>
      <c r="F2226" s="5" t="str">
        <f t="shared" si="513"/>
        <v>C:\Users\jaime.benazar\Quorum Business Solutions\Ecopetrol Prometeo - Documents\Planning Space Implementation\3. Analysis &amp; Design\Design\FC22\DRR Jaime\QUIFA-CAJÚA\Cajua\[VAS_CAJUA_CF_SEC_20230125.xlsx]CF PRBDP'!</v>
      </c>
      <c r="G2226" s="6" t="s">
        <v>40</v>
      </c>
      <c r="H2226" s="1"/>
      <c r="I2226" s="1"/>
      <c r="J2226" s="1"/>
    </row>
    <row r="2227" spans="1:10" x14ac:dyDescent="0.25">
      <c r="A2227" s="6" t="s">
        <v>99</v>
      </c>
      <c r="B2227" s="6">
        <f>+B2226+1</f>
        <v>2044</v>
      </c>
      <c r="C2227" s="1" t="s">
        <v>20</v>
      </c>
      <c r="D2227" s="2" t="s">
        <v>128</v>
      </c>
      <c r="E2227" s="9" t="str">
        <f t="shared" ref="E2227:E2242" si="517">_xlfn.CONCAT(A2227,"'!")</f>
        <v>PRBDP'!</v>
      </c>
      <c r="F2227" s="5" t="str">
        <f t="shared" ref="F2227:F2242" si="518">_xlfn.CONCAT(D2227," ",E2227)</f>
        <v>C:\Users\jaime.benazar\Quorum Business Solutions\Ecopetrol Prometeo - Documents\Planning Space Implementation\3. Analysis &amp; Design\Design\FC22\DRR Jaime\QUIFA-CAJÚA\Cajua\[VAS_CAJUA_CF_SEC_20230125.xlsx]CF PRBDP'!</v>
      </c>
      <c r="G2227" s="6" t="s">
        <v>40</v>
      </c>
      <c r="H2227" s="1"/>
      <c r="I2227" s="1"/>
      <c r="J2227" s="1"/>
    </row>
    <row r="2228" spans="1:10" x14ac:dyDescent="0.25">
      <c r="A2228" s="6" t="s">
        <v>99</v>
      </c>
      <c r="B2228" s="6">
        <f t="shared" ref="B2228:B2242" si="519">+B2227+1</f>
        <v>2045</v>
      </c>
      <c r="C2228" s="1" t="s">
        <v>20</v>
      </c>
      <c r="D2228" s="2" t="s">
        <v>128</v>
      </c>
      <c r="E2228" s="9" t="str">
        <f t="shared" si="517"/>
        <v>PRBDP'!</v>
      </c>
      <c r="F2228" s="5" t="str">
        <f t="shared" si="518"/>
        <v>C:\Users\jaime.benazar\Quorum Business Solutions\Ecopetrol Prometeo - Documents\Planning Space Implementation\3. Analysis &amp; Design\Design\FC22\DRR Jaime\QUIFA-CAJÚA\Cajua\[VAS_CAJUA_CF_SEC_20230125.xlsx]CF PRBDP'!</v>
      </c>
      <c r="G2228" s="6" t="s">
        <v>40</v>
      </c>
      <c r="H2228" s="1"/>
      <c r="I2228" s="1"/>
      <c r="J2228" s="1"/>
    </row>
    <row r="2229" spans="1:10" x14ac:dyDescent="0.25">
      <c r="A2229" s="6" t="s">
        <v>99</v>
      </c>
      <c r="B2229" s="6">
        <f t="shared" si="519"/>
        <v>2046</v>
      </c>
      <c r="C2229" s="1" t="s">
        <v>20</v>
      </c>
      <c r="D2229" s="2" t="s">
        <v>128</v>
      </c>
      <c r="E2229" s="9" t="str">
        <f t="shared" si="517"/>
        <v>PRBDP'!</v>
      </c>
      <c r="F2229" s="5" t="str">
        <f t="shared" si="518"/>
        <v>C:\Users\jaime.benazar\Quorum Business Solutions\Ecopetrol Prometeo - Documents\Planning Space Implementation\3. Analysis &amp; Design\Design\FC22\DRR Jaime\QUIFA-CAJÚA\Cajua\[VAS_CAJUA_CF_SEC_20230125.xlsx]CF PRBDP'!</v>
      </c>
      <c r="G2229" s="6" t="s">
        <v>40</v>
      </c>
      <c r="H2229" s="1"/>
      <c r="I2229" s="1"/>
      <c r="J2229" s="1"/>
    </row>
    <row r="2230" spans="1:10" x14ac:dyDescent="0.25">
      <c r="A2230" s="6" t="s">
        <v>99</v>
      </c>
      <c r="B2230" s="6">
        <f t="shared" si="519"/>
        <v>2047</v>
      </c>
      <c r="C2230" s="1" t="s">
        <v>20</v>
      </c>
      <c r="D2230" s="2" t="s">
        <v>128</v>
      </c>
      <c r="E2230" s="9" t="str">
        <f t="shared" si="517"/>
        <v>PRBDP'!</v>
      </c>
      <c r="F2230" s="5" t="str">
        <f t="shared" si="518"/>
        <v>C:\Users\jaime.benazar\Quorum Business Solutions\Ecopetrol Prometeo - Documents\Planning Space Implementation\3. Analysis &amp; Design\Design\FC22\DRR Jaime\QUIFA-CAJÚA\Cajua\[VAS_CAJUA_CF_SEC_20230125.xlsx]CF PRBDP'!</v>
      </c>
      <c r="G2230" s="6" t="s">
        <v>40</v>
      </c>
      <c r="H2230" s="1"/>
      <c r="I2230" s="1"/>
      <c r="J2230" s="1"/>
    </row>
    <row r="2231" spans="1:10" x14ac:dyDescent="0.25">
      <c r="A2231" s="6" t="s">
        <v>99</v>
      </c>
      <c r="B2231" s="6">
        <f t="shared" si="519"/>
        <v>2048</v>
      </c>
      <c r="C2231" s="1" t="s">
        <v>20</v>
      </c>
      <c r="D2231" s="2" t="s">
        <v>128</v>
      </c>
      <c r="E2231" s="9" t="str">
        <f t="shared" si="517"/>
        <v>PRBDP'!</v>
      </c>
      <c r="F2231" s="5" t="str">
        <f t="shared" si="518"/>
        <v>C:\Users\jaime.benazar\Quorum Business Solutions\Ecopetrol Prometeo - Documents\Planning Space Implementation\3. Analysis &amp; Design\Design\FC22\DRR Jaime\QUIFA-CAJÚA\Cajua\[VAS_CAJUA_CF_SEC_20230125.xlsx]CF PRBDP'!</v>
      </c>
      <c r="G2231" s="6" t="s">
        <v>40</v>
      </c>
      <c r="H2231" s="1"/>
      <c r="I2231" s="1"/>
      <c r="J2231" s="1"/>
    </row>
    <row r="2232" spans="1:10" x14ac:dyDescent="0.25">
      <c r="A2232" s="6" t="s">
        <v>99</v>
      </c>
      <c r="B2232" s="6">
        <f t="shared" si="519"/>
        <v>2049</v>
      </c>
      <c r="C2232" s="1" t="s">
        <v>20</v>
      </c>
      <c r="D2232" s="2" t="s">
        <v>128</v>
      </c>
      <c r="E2232" s="9" t="str">
        <f t="shared" si="517"/>
        <v>PRBDP'!</v>
      </c>
      <c r="F2232" s="5" t="str">
        <f t="shared" si="518"/>
        <v>C:\Users\jaime.benazar\Quorum Business Solutions\Ecopetrol Prometeo - Documents\Planning Space Implementation\3. Analysis &amp; Design\Design\FC22\DRR Jaime\QUIFA-CAJÚA\Cajua\[VAS_CAJUA_CF_SEC_20230125.xlsx]CF PRBDP'!</v>
      </c>
      <c r="G2232" s="6" t="s">
        <v>40</v>
      </c>
      <c r="H2232" s="1"/>
      <c r="I2232" s="1"/>
      <c r="J2232" s="1"/>
    </row>
    <row r="2233" spans="1:10" x14ac:dyDescent="0.25">
      <c r="A2233" s="6" t="s">
        <v>99</v>
      </c>
      <c r="B2233" s="6">
        <f t="shared" si="519"/>
        <v>2050</v>
      </c>
      <c r="C2233" s="1" t="s">
        <v>20</v>
      </c>
      <c r="D2233" s="2" t="s">
        <v>128</v>
      </c>
      <c r="E2233" s="9" t="str">
        <f t="shared" si="517"/>
        <v>PRBDP'!</v>
      </c>
      <c r="F2233" s="5" t="str">
        <f t="shared" si="518"/>
        <v>C:\Users\jaime.benazar\Quorum Business Solutions\Ecopetrol Prometeo - Documents\Planning Space Implementation\3. Analysis &amp; Design\Design\FC22\DRR Jaime\QUIFA-CAJÚA\Cajua\[VAS_CAJUA_CF_SEC_20230125.xlsx]CF PRBDP'!</v>
      </c>
      <c r="G2233" s="6" t="s">
        <v>40</v>
      </c>
      <c r="H2233" s="1"/>
      <c r="I2233" s="1"/>
      <c r="J2233" s="1"/>
    </row>
    <row r="2234" spans="1:10" x14ac:dyDescent="0.25">
      <c r="A2234" s="6" t="s">
        <v>99</v>
      </c>
      <c r="B2234" s="6">
        <f t="shared" si="519"/>
        <v>2051</v>
      </c>
      <c r="C2234" s="1" t="s">
        <v>20</v>
      </c>
      <c r="D2234" s="2" t="s">
        <v>128</v>
      </c>
      <c r="E2234" s="9" t="str">
        <f t="shared" si="517"/>
        <v>PRBDP'!</v>
      </c>
      <c r="F2234" s="5" t="str">
        <f t="shared" si="518"/>
        <v>C:\Users\jaime.benazar\Quorum Business Solutions\Ecopetrol Prometeo - Documents\Planning Space Implementation\3. Analysis &amp; Design\Design\FC22\DRR Jaime\QUIFA-CAJÚA\Cajua\[VAS_CAJUA_CF_SEC_20230125.xlsx]CF PRBDP'!</v>
      </c>
      <c r="G2234" s="6" t="s">
        <v>40</v>
      </c>
      <c r="H2234" s="1"/>
      <c r="I2234" s="1"/>
      <c r="J2234" s="1"/>
    </row>
    <row r="2235" spans="1:10" x14ac:dyDescent="0.25">
      <c r="A2235" s="6" t="s">
        <v>99</v>
      </c>
      <c r="B2235" s="6">
        <f t="shared" si="519"/>
        <v>2052</v>
      </c>
      <c r="C2235" s="1" t="s">
        <v>20</v>
      </c>
      <c r="D2235" s="2" t="s">
        <v>128</v>
      </c>
      <c r="E2235" s="9" t="str">
        <f t="shared" si="517"/>
        <v>PRBDP'!</v>
      </c>
      <c r="F2235" s="5" t="str">
        <f t="shared" si="518"/>
        <v>C:\Users\jaime.benazar\Quorum Business Solutions\Ecopetrol Prometeo - Documents\Planning Space Implementation\3. Analysis &amp; Design\Design\FC22\DRR Jaime\QUIFA-CAJÚA\Cajua\[VAS_CAJUA_CF_SEC_20230125.xlsx]CF PRBDP'!</v>
      </c>
      <c r="G2235" s="6" t="s">
        <v>40</v>
      </c>
      <c r="H2235" s="1"/>
      <c r="I2235" s="1"/>
      <c r="J2235" s="1"/>
    </row>
    <row r="2236" spans="1:10" x14ac:dyDescent="0.25">
      <c r="A2236" s="6" t="s">
        <v>99</v>
      </c>
      <c r="B2236" s="6">
        <f t="shared" si="519"/>
        <v>2053</v>
      </c>
      <c r="C2236" s="1" t="s">
        <v>20</v>
      </c>
      <c r="D2236" s="2" t="s">
        <v>128</v>
      </c>
      <c r="E2236" s="9" t="str">
        <f t="shared" si="517"/>
        <v>PRBDP'!</v>
      </c>
      <c r="F2236" s="5" t="str">
        <f t="shared" si="518"/>
        <v>C:\Users\jaime.benazar\Quorum Business Solutions\Ecopetrol Prometeo - Documents\Planning Space Implementation\3. Analysis &amp; Design\Design\FC22\DRR Jaime\QUIFA-CAJÚA\Cajua\[VAS_CAJUA_CF_SEC_20230125.xlsx]CF PRBDP'!</v>
      </c>
      <c r="G2236" s="6" t="s">
        <v>40</v>
      </c>
      <c r="H2236" s="1"/>
      <c r="I2236" s="1"/>
      <c r="J2236" s="1"/>
    </row>
    <row r="2237" spans="1:10" x14ac:dyDescent="0.25">
      <c r="A2237" s="6" t="s">
        <v>99</v>
      </c>
      <c r="B2237" s="6">
        <f t="shared" si="519"/>
        <v>2054</v>
      </c>
      <c r="C2237" s="1" t="s">
        <v>20</v>
      </c>
      <c r="D2237" s="2" t="s">
        <v>128</v>
      </c>
      <c r="E2237" s="9" t="str">
        <f t="shared" si="517"/>
        <v>PRBDP'!</v>
      </c>
      <c r="F2237" s="5" t="str">
        <f t="shared" si="518"/>
        <v>C:\Users\jaime.benazar\Quorum Business Solutions\Ecopetrol Prometeo - Documents\Planning Space Implementation\3. Analysis &amp; Design\Design\FC22\DRR Jaime\QUIFA-CAJÚA\Cajua\[VAS_CAJUA_CF_SEC_20230125.xlsx]CF PRBDP'!</v>
      </c>
      <c r="G2237" s="6" t="s">
        <v>40</v>
      </c>
      <c r="H2237" s="1"/>
      <c r="I2237" s="1"/>
      <c r="J2237" s="1"/>
    </row>
    <row r="2238" spans="1:10" x14ac:dyDescent="0.25">
      <c r="A2238" s="6" t="s">
        <v>99</v>
      </c>
      <c r="B2238" s="6">
        <f t="shared" si="519"/>
        <v>2055</v>
      </c>
      <c r="C2238" s="1" t="s">
        <v>20</v>
      </c>
      <c r="D2238" s="2" t="s">
        <v>128</v>
      </c>
      <c r="E2238" s="9" t="str">
        <f t="shared" si="517"/>
        <v>PRBDP'!</v>
      </c>
      <c r="F2238" s="5" t="str">
        <f t="shared" si="518"/>
        <v>C:\Users\jaime.benazar\Quorum Business Solutions\Ecopetrol Prometeo - Documents\Planning Space Implementation\3. Analysis &amp; Design\Design\FC22\DRR Jaime\QUIFA-CAJÚA\Cajua\[VAS_CAJUA_CF_SEC_20230125.xlsx]CF PRBDP'!</v>
      </c>
      <c r="G2238" s="6" t="s">
        <v>40</v>
      </c>
      <c r="H2238" s="1"/>
      <c r="I2238" s="1"/>
      <c r="J2238" s="1"/>
    </row>
    <row r="2239" spans="1:10" x14ac:dyDescent="0.25">
      <c r="A2239" s="6" t="s">
        <v>99</v>
      </c>
      <c r="B2239" s="6">
        <f t="shared" si="519"/>
        <v>2056</v>
      </c>
      <c r="C2239" s="1" t="s">
        <v>20</v>
      </c>
      <c r="D2239" s="2" t="s">
        <v>128</v>
      </c>
      <c r="E2239" s="9" t="str">
        <f t="shared" si="517"/>
        <v>PRBDP'!</v>
      </c>
      <c r="F2239" s="5" t="str">
        <f t="shared" si="518"/>
        <v>C:\Users\jaime.benazar\Quorum Business Solutions\Ecopetrol Prometeo - Documents\Planning Space Implementation\3. Analysis &amp; Design\Design\FC22\DRR Jaime\QUIFA-CAJÚA\Cajua\[VAS_CAJUA_CF_SEC_20230125.xlsx]CF PRBDP'!</v>
      </c>
      <c r="G2239" s="6" t="s">
        <v>40</v>
      </c>
      <c r="H2239" s="1"/>
      <c r="I2239" s="1"/>
      <c r="J2239" s="1"/>
    </row>
    <row r="2240" spans="1:10" x14ac:dyDescent="0.25">
      <c r="A2240" s="6" t="s">
        <v>99</v>
      </c>
      <c r="B2240" s="6">
        <f t="shared" si="519"/>
        <v>2057</v>
      </c>
      <c r="C2240" s="1" t="s">
        <v>20</v>
      </c>
      <c r="D2240" s="2" t="s">
        <v>128</v>
      </c>
      <c r="E2240" s="9" t="str">
        <f t="shared" si="517"/>
        <v>PRBDP'!</v>
      </c>
      <c r="F2240" s="5" t="str">
        <f t="shared" si="518"/>
        <v>C:\Users\jaime.benazar\Quorum Business Solutions\Ecopetrol Prometeo - Documents\Planning Space Implementation\3. Analysis &amp; Design\Design\FC22\DRR Jaime\QUIFA-CAJÚA\Cajua\[VAS_CAJUA_CF_SEC_20230125.xlsx]CF PRBDP'!</v>
      </c>
      <c r="G2240" s="6" t="s">
        <v>40</v>
      </c>
      <c r="H2240" s="1"/>
      <c r="I2240" s="1"/>
      <c r="J2240" s="1"/>
    </row>
    <row r="2241" spans="1:10" x14ac:dyDescent="0.25">
      <c r="A2241" s="6" t="s">
        <v>99</v>
      </c>
      <c r="B2241" s="6">
        <f t="shared" si="519"/>
        <v>2058</v>
      </c>
      <c r="C2241" s="1" t="s">
        <v>20</v>
      </c>
      <c r="D2241" s="2" t="s">
        <v>128</v>
      </c>
      <c r="E2241" s="9" t="str">
        <f t="shared" si="517"/>
        <v>PRBDP'!</v>
      </c>
      <c r="F2241" s="5" t="str">
        <f t="shared" si="518"/>
        <v>C:\Users\jaime.benazar\Quorum Business Solutions\Ecopetrol Prometeo - Documents\Planning Space Implementation\3. Analysis &amp; Design\Design\FC22\DRR Jaime\QUIFA-CAJÚA\Cajua\[VAS_CAJUA_CF_SEC_20230125.xlsx]CF PRBDP'!</v>
      </c>
      <c r="G2241" s="6" t="s">
        <v>40</v>
      </c>
      <c r="H2241" s="1"/>
      <c r="I2241" s="1"/>
      <c r="J2241" s="1"/>
    </row>
    <row r="2242" spans="1:10" x14ac:dyDescent="0.25">
      <c r="A2242" s="6" t="s">
        <v>99</v>
      </c>
      <c r="B2242" s="6">
        <f t="shared" si="519"/>
        <v>2059</v>
      </c>
      <c r="C2242" s="1" t="s">
        <v>20</v>
      </c>
      <c r="D2242" s="2" t="s">
        <v>128</v>
      </c>
      <c r="E2242" s="9" t="str">
        <f t="shared" si="517"/>
        <v>PRBDP'!</v>
      </c>
      <c r="F2242" s="5" t="str">
        <f t="shared" si="518"/>
        <v>C:\Users\jaime.benazar\Quorum Business Solutions\Ecopetrol Prometeo - Documents\Planning Space Implementation\3. Analysis &amp; Design\Design\FC22\DRR Jaime\QUIFA-CAJÚA\Cajua\[VAS_CAJUA_CF_SEC_20230125.xlsx]CF PRBDP'!</v>
      </c>
      <c r="G2242" s="6" t="s">
        <v>40</v>
      </c>
      <c r="H2242" s="1"/>
      <c r="I2242" s="1"/>
      <c r="J2242" s="1"/>
    </row>
    <row r="2243" spans="1:10" x14ac:dyDescent="0.25">
      <c r="A2243" s="6" t="s">
        <v>28</v>
      </c>
      <c r="B2243" s="6"/>
      <c r="C2243" s="1" t="s">
        <v>20</v>
      </c>
      <c r="D2243" s="2"/>
      <c r="E2243" s="9"/>
      <c r="F2243" s="5"/>
      <c r="G2243" s="6"/>
      <c r="H2243" s="1"/>
      <c r="I2243" s="1"/>
      <c r="J2243" s="1"/>
    </row>
    <row r="2244" spans="1:10" x14ac:dyDescent="0.25">
      <c r="A2244" s="6" t="s">
        <v>100</v>
      </c>
      <c r="B2244" s="6">
        <v>2023</v>
      </c>
      <c r="C2244" s="1" t="s">
        <v>20</v>
      </c>
      <c r="D2244" s="2" t="s">
        <v>128</v>
      </c>
      <c r="E2244" s="9" t="str">
        <f t="shared" ref="E2244:E2264" si="520">_xlfn.CONCAT(A2244,"'!")</f>
        <v>PRBNP'!</v>
      </c>
      <c r="F2244" s="5" t="str">
        <f t="shared" ref="F2244:F2264" si="521">_xlfn.CONCAT(D2244," ",E2244)</f>
        <v>C:\Users\jaime.benazar\Quorum Business Solutions\Ecopetrol Prometeo - Documents\Planning Space Implementation\3. Analysis &amp; Design\Design\FC22\DRR Jaime\QUIFA-CAJÚA\Cajua\[VAS_CAJUA_CF_SEC_20230125.xlsx]CF PRBNP'!</v>
      </c>
      <c r="G2244" s="6" t="s">
        <v>40</v>
      </c>
      <c r="H2244" s="1"/>
      <c r="I2244" s="1"/>
      <c r="J2244" s="1"/>
    </row>
    <row r="2245" spans="1:10" x14ac:dyDescent="0.25">
      <c r="A2245" s="6" t="s">
        <v>100</v>
      </c>
      <c r="B2245" s="6">
        <f>+B2244+1</f>
        <v>2024</v>
      </c>
      <c r="C2245" s="1" t="s">
        <v>20</v>
      </c>
      <c r="D2245" s="2" t="s">
        <v>128</v>
      </c>
      <c r="E2245" s="9" t="str">
        <f t="shared" si="520"/>
        <v>PRBNP'!</v>
      </c>
      <c r="F2245" s="5" t="str">
        <f t="shared" si="521"/>
        <v>C:\Users\jaime.benazar\Quorum Business Solutions\Ecopetrol Prometeo - Documents\Planning Space Implementation\3. Analysis &amp; Design\Design\FC22\DRR Jaime\QUIFA-CAJÚA\Cajua\[VAS_CAJUA_CF_SEC_20230125.xlsx]CF PRBNP'!</v>
      </c>
      <c r="G2245" s="6" t="s">
        <v>40</v>
      </c>
      <c r="H2245" s="1"/>
      <c r="I2245" s="1"/>
      <c r="J2245" s="1"/>
    </row>
    <row r="2246" spans="1:10" x14ac:dyDescent="0.25">
      <c r="A2246" s="6" t="s">
        <v>100</v>
      </c>
      <c r="B2246" s="6">
        <f t="shared" ref="B2246:B2257" si="522">+B2245+1</f>
        <v>2025</v>
      </c>
      <c r="C2246" s="1" t="s">
        <v>20</v>
      </c>
      <c r="D2246" s="2" t="s">
        <v>128</v>
      </c>
      <c r="E2246" s="9" t="str">
        <f t="shared" si="520"/>
        <v>PRBNP'!</v>
      </c>
      <c r="F2246" s="5" t="str">
        <f t="shared" si="521"/>
        <v>C:\Users\jaime.benazar\Quorum Business Solutions\Ecopetrol Prometeo - Documents\Planning Space Implementation\3. Analysis &amp; Design\Design\FC22\DRR Jaime\QUIFA-CAJÚA\Cajua\[VAS_CAJUA_CF_SEC_20230125.xlsx]CF PRBNP'!</v>
      </c>
      <c r="G2246" s="6" t="s">
        <v>40</v>
      </c>
      <c r="H2246" s="1"/>
      <c r="I2246" s="1"/>
      <c r="J2246" s="1"/>
    </row>
    <row r="2247" spans="1:10" x14ac:dyDescent="0.25">
      <c r="A2247" s="6" t="s">
        <v>100</v>
      </c>
      <c r="B2247" s="6">
        <f t="shared" si="522"/>
        <v>2026</v>
      </c>
      <c r="C2247" s="1" t="s">
        <v>20</v>
      </c>
      <c r="D2247" s="2" t="s">
        <v>128</v>
      </c>
      <c r="E2247" s="9" t="str">
        <f t="shared" si="520"/>
        <v>PRBNP'!</v>
      </c>
      <c r="F2247" s="5" t="str">
        <f t="shared" si="521"/>
        <v>C:\Users\jaime.benazar\Quorum Business Solutions\Ecopetrol Prometeo - Documents\Planning Space Implementation\3. Analysis &amp; Design\Design\FC22\DRR Jaime\QUIFA-CAJÚA\Cajua\[VAS_CAJUA_CF_SEC_20230125.xlsx]CF PRBNP'!</v>
      </c>
      <c r="G2247" s="6" t="s">
        <v>40</v>
      </c>
      <c r="H2247" s="1"/>
      <c r="I2247" s="1"/>
      <c r="J2247" s="1"/>
    </row>
    <row r="2248" spans="1:10" x14ac:dyDescent="0.25">
      <c r="A2248" s="6" t="s">
        <v>100</v>
      </c>
      <c r="B2248" s="6">
        <f t="shared" si="522"/>
        <v>2027</v>
      </c>
      <c r="C2248" s="1" t="s">
        <v>20</v>
      </c>
      <c r="D2248" s="2" t="s">
        <v>128</v>
      </c>
      <c r="E2248" s="9" t="str">
        <f t="shared" si="520"/>
        <v>PRBNP'!</v>
      </c>
      <c r="F2248" s="5" t="str">
        <f t="shared" si="521"/>
        <v>C:\Users\jaime.benazar\Quorum Business Solutions\Ecopetrol Prometeo - Documents\Planning Space Implementation\3. Analysis &amp; Design\Design\FC22\DRR Jaime\QUIFA-CAJÚA\Cajua\[VAS_CAJUA_CF_SEC_20230125.xlsx]CF PRBNP'!</v>
      </c>
      <c r="G2248" s="6" t="s">
        <v>40</v>
      </c>
      <c r="H2248" s="1"/>
      <c r="I2248" s="1"/>
      <c r="J2248" s="1"/>
    </row>
    <row r="2249" spans="1:10" x14ac:dyDescent="0.25">
      <c r="A2249" s="6" t="s">
        <v>100</v>
      </c>
      <c r="B2249" s="6">
        <f t="shared" si="522"/>
        <v>2028</v>
      </c>
      <c r="C2249" s="1" t="s">
        <v>20</v>
      </c>
      <c r="D2249" s="2" t="s">
        <v>128</v>
      </c>
      <c r="E2249" s="9" t="str">
        <f t="shared" si="520"/>
        <v>PRBNP'!</v>
      </c>
      <c r="F2249" s="5" t="str">
        <f t="shared" si="521"/>
        <v>C:\Users\jaime.benazar\Quorum Business Solutions\Ecopetrol Prometeo - Documents\Planning Space Implementation\3. Analysis &amp; Design\Design\FC22\DRR Jaime\QUIFA-CAJÚA\Cajua\[VAS_CAJUA_CF_SEC_20230125.xlsx]CF PRBNP'!</v>
      </c>
      <c r="G2249" s="6" t="s">
        <v>40</v>
      </c>
      <c r="H2249" s="1"/>
      <c r="I2249" s="1"/>
      <c r="J2249" s="1"/>
    </row>
    <row r="2250" spans="1:10" x14ac:dyDescent="0.25">
      <c r="A2250" s="6" t="s">
        <v>100</v>
      </c>
      <c r="B2250" s="6">
        <f t="shared" si="522"/>
        <v>2029</v>
      </c>
      <c r="C2250" s="1" t="s">
        <v>20</v>
      </c>
      <c r="D2250" s="2" t="s">
        <v>128</v>
      </c>
      <c r="E2250" s="9" t="str">
        <f t="shared" si="520"/>
        <v>PRBNP'!</v>
      </c>
      <c r="F2250" s="5" t="str">
        <f t="shared" si="521"/>
        <v>C:\Users\jaime.benazar\Quorum Business Solutions\Ecopetrol Prometeo - Documents\Planning Space Implementation\3. Analysis &amp; Design\Design\FC22\DRR Jaime\QUIFA-CAJÚA\Cajua\[VAS_CAJUA_CF_SEC_20230125.xlsx]CF PRBNP'!</v>
      </c>
      <c r="G2250" s="6" t="s">
        <v>40</v>
      </c>
      <c r="H2250" s="1"/>
      <c r="I2250" s="1"/>
      <c r="J2250" s="1"/>
    </row>
    <row r="2251" spans="1:10" x14ac:dyDescent="0.25">
      <c r="A2251" s="6" t="s">
        <v>100</v>
      </c>
      <c r="B2251" s="6">
        <f t="shared" si="522"/>
        <v>2030</v>
      </c>
      <c r="C2251" s="1" t="s">
        <v>20</v>
      </c>
      <c r="D2251" s="2" t="s">
        <v>128</v>
      </c>
      <c r="E2251" s="9" t="str">
        <f t="shared" si="520"/>
        <v>PRBNP'!</v>
      </c>
      <c r="F2251" s="5" t="str">
        <f t="shared" si="521"/>
        <v>C:\Users\jaime.benazar\Quorum Business Solutions\Ecopetrol Prometeo - Documents\Planning Space Implementation\3. Analysis &amp; Design\Design\FC22\DRR Jaime\QUIFA-CAJÚA\Cajua\[VAS_CAJUA_CF_SEC_20230125.xlsx]CF PRBNP'!</v>
      </c>
      <c r="G2251" s="6" t="s">
        <v>40</v>
      </c>
      <c r="H2251" s="1"/>
      <c r="I2251" s="1"/>
      <c r="J2251" s="1"/>
    </row>
    <row r="2252" spans="1:10" x14ac:dyDescent="0.25">
      <c r="A2252" s="6" t="s">
        <v>100</v>
      </c>
      <c r="B2252" s="6">
        <f t="shared" si="522"/>
        <v>2031</v>
      </c>
      <c r="C2252" s="1" t="s">
        <v>20</v>
      </c>
      <c r="D2252" s="2" t="s">
        <v>128</v>
      </c>
      <c r="E2252" s="9" t="str">
        <f t="shared" si="520"/>
        <v>PRBNP'!</v>
      </c>
      <c r="F2252" s="5" t="str">
        <f t="shared" si="521"/>
        <v>C:\Users\jaime.benazar\Quorum Business Solutions\Ecopetrol Prometeo - Documents\Planning Space Implementation\3. Analysis &amp; Design\Design\FC22\DRR Jaime\QUIFA-CAJÚA\Cajua\[VAS_CAJUA_CF_SEC_20230125.xlsx]CF PRBNP'!</v>
      </c>
      <c r="G2252" s="6" t="s">
        <v>40</v>
      </c>
      <c r="H2252" s="1"/>
      <c r="I2252" s="1"/>
      <c r="J2252" s="1"/>
    </row>
    <row r="2253" spans="1:10" x14ac:dyDescent="0.25">
      <c r="A2253" s="6" t="s">
        <v>100</v>
      </c>
      <c r="B2253" s="6">
        <f t="shared" si="522"/>
        <v>2032</v>
      </c>
      <c r="C2253" s="1" t="s">
        <v>20</v>
      </c>
      <c r="D2253" s="2" t="s">
        <v>128</v>
      </c>
      <c r="E2253" s="9" t="str">
        <f t="shared" si="520"/>
        <v>PRBNP'!</v>
      </c>
      <c r="F2253" s="5" t="str">
        <f t="shared" si="521"/>
        <v>C:\Users\jaime.benazar\Quorum Business Solutions\Ecopetrol Prometeo - Documents\Planning Space Implementation\3. Analysis &amp; Design\Design\FC22\DRR Jaime\QUIFA-CAJÚA\Cajua\[VAS_CAJUA_CF_SEC_20230125.xlsx]CF PRBNP'!</v>
      </c>
      <c r="G2253" s="6" t="s">
        <v>40</v>
      </c>
      <c r="H2253" s="1"/>
      <c r="I2253" s="1"/>
      <c r="J2253" s="1"/>
    </row>
    <row r="2254" spans="1:10" x14ac:dyDescent="0.25">
      <c r="A2254" s="6" t="s">
        <v>100</v>
      </c>
      <c r="B2254" s="6">
        <f t="shared" si="522"/>
        <v>2033</v>
      </c>
      <c r="C2254" s="1" t="s">
        <v>20</v>
      </c>
      <c r="D2254" s="2" t="s">
        <v>128</v>
      </c>
      <c r="E2254" s="9" t="str">
        <f t="shared" si="520"/>
        <v>PRBNP'!</v>
      </c>
      <c r="F2254" s="5" t="str">
        <f t="shared" si="521"/>
        <v>C:\Users\jaime.benazar\Quorum Business Solutions\Ecopetrol Prometeo - Documents\Planning Space Implementation\3. Analysis &amp; Design\Design\FC22\DRR Jaime\QUIFA-CAJÚA\Cajua\[VAS_CAJUA_CF_SEC_20230125.xlsx]CF PRBNP'!</v>
      </c>
      <c r="G2254" s="6" t="s">
        <v>40</v>
      </c>
      <c r="H2254" s="1"/>
      <c r="I2254" s="1"/>
      <c r="J2254" s="1"/>
    </row>
    <row r="2255" spans="1:10" x14ac:dyDescent="0.25">
      <c r="A2255" s="6" t="s">
        <v>100</v>
      </c>
      <c r="B2255" s="6">
        <f t="shared" si="522"/>
        <v>2034</v>
      </c>
      <c r="C2255" s="1" t="s">
        <v>20</v>
      </c>
      <c r="D2255" s="2" t="s">
        <v>128</v>
      </c>
      <c r="E2255" s="9" t="str">
        <f t="shared" si="520"/>
        <v>PRBNP'!</v>
      </c>
      <c r="F2255" s="5" t="str">
        <f t="shared" si="521"/>
        <v>C:\Users\jaime.benazar\Quorum Business Solutions\Ecopetrol Prometeo - Documents\Planning Space Implementation\3. Analysis &amp; Design\Design\FC22\DRR Jaime\QUIFA-CAJÚA\Cajua\[VAS_CAJUA_CF_SEC_20230125.xlsx]CF PRBNP'!</v>
      </c>
      <c r="G2255" s="6" t="s">
        <v>40</v>
      </c>
      <c r="H2255" s="1"/>
      <c r="I2255" s="1"/>
      <c r="J2255" s="1"/>
    </row>
    <row r="2256" spans="1:10" x14ac:dyDescent="0.25">
      <c r="A2256" s="6" t="s">
        <v>100</v>
      </c>
      <c r="B2256" s="6">
        <f t="shared" si="522"/>
        <v>2035</v>
      </c>
      <c r="C2256" s="1" t="s">
        <v>20</v>
      </c>
      <c r="D2256" s="2" t="s">
        <v>128</v>
      </c>
      <c r="E2256" s="9" t="str">
        <f t="shared" si="520"/>
        <v>PRBNP'!</v>
      </c>
      <c r="F2256" s="5" t="str">
        <f t="shared" si="521"/>
        <v>C:\Users\jaime.benazar\Quorum Business Solutions\Ecopetrol Prometeo - Documents\Planning Space Implementation\3. Analysis &amp; Design\Design\FC22\DRR Jaime\QUIFA-CAJÚA\Cajua\[VAS_CAJUA_CF_SEC_20230125.xlsx]CF PRBNP'!</v>
      </c>
      <c r="G2256" s="6" t="s">
        <v>40</v>
      </c>
      <c r="H2256" s="1"/>
      <c r="I2256" s="1"/>
      <c r="J2256" s="1"/>
    </row>
    <row r="2257" spans="1:10" x14ac:dyDescent="0.25">
      <c r="A2257" s="6" t="s">
        <v>100</v>
      </c>
      <c r="B2257" s="6">
        <f t="shared" si="522"/>
        <v>2036</v>
      </c>
      <c r="C2257" s="1" t="s">
        <v>20</v>
      </c>
      <c r="D2257" s="2" t="s">
        <v>128</v>
      </c>
      <c r="E2257" s="9" t="str">
        <f t="shared" si="520"/>
        <v>PRBNP'!</v>
      </c>
      <c r="F2257" s="5" t="str">
        <f t="shared" si="521"/>
        <v>C:\Users\jaime.benazar\Quorum Business Solutions\Ecopetrol Prometeo - Documents\Planning Space Implementation\3. Analysis &amp; Design\Design\FC22\DRR Jaime\QUIFA-CAJÚA\Cajua\[VAS_CAJUA_CF_SEC_20230125.xlsx]CF PRBNP'!</v>
      </c>
      <c r="G2257" s="6" t="s">
        <v>40</v>
      </c>
      <c r="H2257" s="1"/>
      <c r="I2257" s="1"/>
      <c r="J2257" s="1"/>
    </row>
    <row r="2258" spans="1:10" x14ac:dyDescent="0.25">
      <c r="A2258" s="6" t="s">
        <v>100</v>
      </c>
      <c r="B2258" s="6">
        <f>+B2257+1</f>
        <v>2037</v>
      </c>
      <c r="C2258" s="1" t="s">
        <v>20</v>
      </c>
      <c r="D2258" s="2" t="s">
        <v>128</v>
      </c>
      <c r="E2258" s="9" t="str">
        <f t="shared" si="520"/>
        <v>PRBNP'!</v>
      </c>
      <c r="F2258" s="5" t="str">
        <f t="shared" si="521"/>
        <v>C:\Users\jaime.benazar\Quorum Business Solutions\Ecopetrol Prometeo - Documents\Planning Space Implementation\3. Analysis &amp; Design\Design\FC22\DRR Jaime\QUIFA-CAJÚA\Cajua\[VAS_CAJUA_CF_SEC_20230125.xlsx]CF PRBNP'!</v>
      </c>
      <c r="G2258" s="6" t="s">
        <v>40</v>
      </c>
      <c r="H2258" s="1"/>
      <c r="I2258" s="1"/>
      <c r="J2258" s="1"/>
    </row>
    <row r="2259" spans="1:10" x14ac:dyDescent="0.25">
      <c r="A2259" s="6" t="s">
        <v>100</v>
      </c>
      <c r="B2259" s="6">
        <f t="shared" ref="B2259:B2261" si="523">+B2258+1</f>
        <v>2038</v>
      </c>
      <c r="C2259" s="1" t="s">
        <v>20</v>
      </c>
      <c r="D2259" s="2" t="s">
        <v>128</v>
      </c>
      <c r="E2259" s="9" t="str">
        <f t="shared" si="520"/>
        <v>PRBNP'!</v>
      </c>
      <c r="F2259" s="5" t="str">
        <f t="shared" si="521"/>
        <v>C:\Users\jaime.benazar\Quorum Business Solutions\Ecopetrol Prometeo - Documents\Planning Space Implementation\3. Analysis &amp; Design\Design\FC22\DRR Jaime\QUIFA-CAJÚA\Cajua\[VAS_CAJUA_CF_SEC_20230125.xlsx]CF PRBNP'!</v>
      </c>
      <c r="G2259" s="6" t="s">
        <v>40</v>
      </c>
      <c r="H2259" s="1"/>
      <c r="I2259" s="1"/>
      <c r="J2259" s="1"/>
    </row>
    <row r="2260" spans="1:10" x14ac:dyDescent="0.25">
      <c r="A2260" s="6" t="s">
        <v>100</v>
      </c>
      <c r="B2260" s="6">
        <f t="shared" si="523"/>
        <v>2039</v>
      </c>
      <c r="C2260" s="1" t="s">
        <v>20</v>
      </c>
      <c r="D2260" s="2" t="s">
        <v>128</v>
      </c>
      <c r="E2260" s="9" t="str">
        <f t="shared" si="520"/>
        <v>PRBNP'!</v>
      </c>
      <c r="F2260" s="5" t="str">
        <f t="shared" si="521"/>
        <v>C:\Users\jaime.benazar\Quorum Business Solutions\Ecopetrol Prometeo - Documents\Planning Space Implementation\3. Analysis &amp; Design\Design\FC22\DRR Jaime\QUIFA-CAJÚA\Cajua\[VAS_CAJUA_CF_SEC_20230125.xlsx]CF PRBNP'!</v>
      </c>
      <c r="G2260" s="6" t="s">
        <v>40</v>
      </c>
      <c r="H2260" s="1"/>
      <c r="I2260" s="1"/>
      <c r="J2260" s="1"/>
    </row>
    <row r="2261" spans="1:10" x14ac:dyDescent="0.25">
      <c r="A2261" s="6" t="s">
        <v>100</v>
      </c>
      <c r="B2261" s="6">
        <f t="shared" si="523"/>
        <v>2040</v>
      </c>
      <c r="C2261" s="1" t="s">
        <v>20</v>
      </c>
      <c r="D2261" s="2" t="s">
        <v>128</v>
      </c>
      <c r="E2261" s="9" t="str">
        <f t="shared" si="520"/>
        <v>PRBNP'!</v>
      </c>
      <c r="F2261" s="5" t="str">
        <f t="shared" si="521"/>
        <v>C:\Users\jaime.benazar\Quorum Business Solutions\Ecopetrol Prometeo - Documents\Planning Space Implementation\3. Analysis &amp; Design\Design\FC22\DRR Jaime\QUIFA-CAJÚA\Cajua\[VAS_CAJUA_CF_SEC_20230125.xlsx]CF PRBNP'!</v>
      </c>
      <c r="G2261" s="6" t="s">
        <v>40</v>
      </c>
      <c r="H2261" s="1"/>
      <c r="I2261" s="1"/>
      <c r="J2261" s="1"/>
    </row>
    <row r="2262" spans="1:10" x14ac:dyDescent="0.25">
      <c r="A2262" s="6" t="s">
        <v>100</v>
      </c>
      <c r="B2262" s="6">
        <f>+B2261+1</f>
        <v>2041</v>
      </c>
      <c r="C2262" s="1" t="s">
        <v>20</v>
      </c>
      <c r="D2262" s="2" t="s">
        <v>128</v>
      </c>
      <c r="E2262" s="9" t="str">
        <f t="shared" si="520"/>
        <v>PRBNP'!</v>
      </c>
      <c r="F2262" s="5" t="str">
        <f t="shared" si="521"/>
        <v>C:\Users\jaime.benazar\Quorum Business Solutions\Ecopetrol Prometeo - Documents\Planning Space Implementation\3. Analysis &amp; Design\Design\FC22\DRR Jaime\QUIFA-CAJÚA\Cajua\[VAS_CAJUA_CF_SEC_20230125.xlsx]CF PRBNP'!</v>
      </c>
      <c r="G2262" s="6" t="s">
        <v>40</v>
      </c>
      <c r="H2262" s="1"/>
      <c r="I2262" s="1"/>
      <c r="J2262" s="1"/>
    </row>
    <row r="2263" spans="1:10" x14ac:dyDescent="0.25">
      <c r="A2263" s="6" t="s">
        <v>100</v>
      </c>
      <c r="B2263" s="6">
        <f t="shared" ref="B2263:B2264" si="524">+B2262+1</f>
        <v>2042</v>
      </c>
      <c r="C2263" s="1" t="s">
        <v>20</v>
      </c>
      <c r="D2263" s="2" t="s">
        <v>128</v>
      </c>
      <c r="E2263" s="9" t="str">
        <f t="shared" si="520"/>
        <v>PRBNP'!</v>
      </c>
      <c r="F2263" s="5" t="str">
        <f t="shared" si="521"/>
        <v>C:\Users\jaime.benazar\Quorum Business Solutions\Ecopetrol Prometeo - Documents\Planning Space Implementation\3. Analysis &amp; Design\Design\FC22\DRR Jaime\QUIFA-CAJÚA\Cajua\[VAS_CAJUA_CF_SEC_20230125.xlsx]CF PRBNP'!</v>
      </c>
      <c r="G2263" s="6" t="s">
        <v>40</v>
      </c>
      <c r="H2263" s="1"/>
      <c r="I2263" s="1"/>
      <c r="J2263" s="1"/>
    </row>
    <row r="2264" spans="1:10" x14ac:dyDescent="0.25">
      <c r="A2264" s="6" t="s">
        <v>100</v>
      </c>
      <c r="B2264" s="6">
        <f t="shared" si="524"/>
        <v>2043</v>
      </c>
      <c r="C2264" s="1" t="s">
        <v>20</v>
      </c>
      <c r="D2264" s="2" t="s">
        <v>128</v>
      </c>
      <c r="E2264" s="9" t="str">
        <f t="shared" si="520"/>
        <v>PRBNP'!</v>
      </c>
      <c r="F2264" s="5" t="str">
        <f t="shared" si="521"/>
        <v>C:\Users\jaime.benazar\Quorum Business Solutions\Ecopetrol Prometeo - Documents\Planning Space Implementation\3. Analysis &amp; Design\Design\FC22\DRR Jaime\QUIFA-CAJÚA\Cajua\[VAS_CAJUA_CF_SEC_20230125.xlsx]CF PRBNP'!</v>
      </c>
      <c r="G2264" s="6" t="s">
        <v>40</v>
      </c>
      <c r="H2264" s="1"/>
      <c r="I2264" s="1"/>
      <c r="J2264" s="1"/>
    </row>
    <row r="2265" spans="1:10" x14ac:dyDescent="0.25">
      <c r="A2265" s="6" t="s">
        <v>100</v>
      </c>
      <c r="B2265" s="6">
        <f>+B2264+1</f>
        <v>2044</v>
      </c>
      <c r="C2265" s="1" t="s">
        <v>20</v>
      </c>
      <c r="D2265" s="2" t="s">
        <v>128</v>
      </c>
      <c r="E2265" s="9" t="str">
        <f t="shared" ref="E2265:E2280" si="525">_xlfn.CONCAT(A2265,"'!")</f>
        <v>PRBNP'!</v>
      </c>
      <c r="F2265" s="5" t="str">
        <f t="shared" ref="F2265:F2280" si="526">_xlfn.CONCAT(D2265," ",E2265)</f>
        <v>C:\Users\jaime.benazar\Quorum Business Solutions\Ecopetrol Prometeo - Documents\Planning Space Implementation\3. Analysis &amp; Design\Design\FC22\DRR Jaime\QUIFA-CAJÚA\Cajua\[VAS_CAJUA_CF_SEC_20230125.xlsx]CF PRBNP'!</v>
      </c>
      <c r="G2265" s="6" t="s">
        <v>40</v>
      </c>
      <c r="H2265" s="1"/>
      <c r="I2265" s="1"/>
      <c r="J2265" s="1"/>
    </row>
    <row r="2266" spans="1:10" x14ac:dyDescent="0.25">
      <c r="A2266" s="6" t="s">
        <v>100</v>
      </c>
      <c r="B2266" s="6">
        <f t="shared" ref="B2266:B2280" si="527">+B2265+1</f>
        <v>2045</v>
      </c>
      <c r="C2266" s="1" t="s">
        <v>20</v>
      </c>
      <c r="D2266" s="2" t="s">
        <v>128</v>
      </c>
      <c r="E2266" s="9" t="str">
        <f t="shared" si="525"/>
        <v>PRBNP'!</v>
      </c>
      <c r="F2266" s="5" t="str">
        <f t="shared" si="526"/>
        <v>C:\Users\jaime.benazar\Quorum Business Solutions\Ecopetrol Prometeo - Documents\Planning Space Implementation\3. Analysis &amp; Design\Design\FC22\DRR Jaime\QUIFA-CAJÚA\Cajua\[VAS_CAJUA_CF_SEC_20230125.xlsx]CF PRBNP'!</v>
      </c>
      <c r="G2266" s="6" t="s">
        <v>40</v>
      </c>
      <c r="H2266" s="1"/>
      <c r="I2266" s="1"/>
      <c r="J2266" s="1"/>
    </row>
    <row r="2267" spans="1:10" x14ac:dyDescent="0.25">
      <c r="A2267" s="6" t="s">
        <v>100</v>
      </c>
      <c r="B2267" s="6">
        <f t="shared" si="527"/>
        <v>2046</v>
      </c>
      <c r="C2267" s="1" t="s">
        <v>20</v>
      </c>
      <c r="D2267" s="2" t="s">
        <v>128</v>
      </c>
      <c r="E2267" s="9" t="str">
        <f t="shared" si="525"/>
        <v>PRBNP'!</v>
      </c>
      <c r="F2267" s="5" t="str">
        <f t="shared" si="526"/>
        <v>C:\Users\jaime.benazar\Quorum Business Solutions\Ecopetrol Prometeo - Documents\Planning Space Implementation\3. Analysis &amp; Design\Design\FC22\DRR Jaime\QUIFA-CAJÚA\Cajua\[VAS_CAJUA_CF_SEC_20230125.xlsx]CF PRBNP'!</v>
      </c>
      <c r="G2267" s="6" t="s">
        <v>40</v>
      </c>
      <c r="H2267" s="1"/>
      <c r="I2267" s="1"/>
      <c r="J2267" s="1"/>
    </row>
    <row r="2268" spans="1:10" x14ac:dyDescent="0.25">
      <c r="A2268" s="6" t="s">
        <v>100</v>
      </c>
      <c r="B2268" s="6">
        <f t="shared" si="527"/>
        <v>2047</v>
      </c>
      <c r="C2268" s="1" t="s">
        <v>20</v>
      </c>
      <c r="D2268" s="2" t="s">
        <v>128</v>
      </c>
      <c r="E2268" s="9" t="str">
        <f t="shared" si="525"/>
        <v>PRBNP'!</v>
      </c>
      <c r="F2268" s="5" t="str">
        <f t="shared" si="526"/>
        <v>C:\Users\jaime.benazar\Quorum Business Solutions\Ecopetrol Prometeo - Documents\Planning Space Implementation\3. Analysis &amp; Design\Design\FC22\DRR Jaime\QUIFA-CAJÚA\Cajua\[VAS_CAJUA_CF_SEC_20230125.xlsx]CF PRBNP'!</v>
      </c>
      <c r="G2268" s="6" t="s">
        <v>40</v>
      </c>
      <c r="H2268" s="1"/>
      <c r="I2268" s="1"/>
      <c r="J2268" s="1"/>
    </row>
    <row r="2269" spans="1:10" x14ac:dyDescent="0.25">
      <c r="A2269" s="6" t="s">
        <v>100</v>
      </c>
      <c r="B2269" s="6">
        <f t="shared" si="527"/>
        <v>2048</v>
      </c>
      <c r="C2269" s="1" t="s">
        <v>20</v>
      </c>
      <c r="D2269" s="2" t="s">
        <v>128</v>
      </c>
      <c r="E2269" s="9" t="str">
        <f t="shared" si="525"/>
        <v>PRBNP'!</v>
      </c>
      <c r="F2269" s="5" t="str">
        <f t="shared" si="526"/>
        <v>C:\Users\jaime.benazar\Quorum Business Solutions\Ecopetrol Prometeo - Documents\Planning Space Implementation\3. Analysis &amp; Design\Design\FC22\DRR Jaime\QUIFA-CAJÚA\Cajua\[VAS_CAJUA_CF_SEC_20230125.xlsx]CF PRBNP'!</v>
      </c>
      <c r="G2269" s="6" t="s">
        <v>40</v>
      </c>
      <c r="H2269" s="1"/>
      <c r="I2269" s="1"/>
      <c r="J2269" s="1"/>
    </row>
    <row r="2270" spans="1:10" x14ac:dyDescent="0.25">
      <c r="A2270" s="6" t="s">
        <v>100</v>
      </c>
      <c r="B2270" s="6">
        <f t="shared" si="527"/>
        <v>2049</v>
      </c>
      <c r="C2270" s="1" t="s">
        <v>20</v>
      </c>
      <c r="D2270" s="2" t="s">
        <v>128</v>
      </c>
      <c r="E2270" s="9" t="str">
        <f t="shared" si="525"/>
        <v>PRBNP'!</v>
      </c>
      <c r="F2270" s="5" t="str">
        <f t="shared" si="526"/>
        <v>C:\Users\jaime.benazar\Quorum Business Solutions\Ecopetrol Prometeo - Documents\Planning Space Implementation\3. Analysis &amp; Design\Design\FC22\DRR Jaime\QUIFA-CAJÚA\Cajua\[VAS_CAJUA_CF_SEC_20230125.xlsx]CF PRBNP'!</v>
      </c>
      <c r="G2270" s="6" t="s">
        <v>40</v>
      </c>
      <c r="H2270" s="1"/>
      <c r="I2270" s="1"/>
      <c r="J2270" s="1"/>
    </row>
    <row r="2271" spans="1:10" x14ac:dyDescent="0.25">
      <c r="A2271" s="6" t="s">
        <v>100</v>
      </c>
      <c r="B2271" s="6">
        <f t="shared" si="527"/>
        <v>2050</v>
      </c>
      <c r="C2271" s="1" t="s">
        <v>20</v>
      </c>
      <c r="D2271" s="2" t="s">
        <v>128</v>
      </c>
      <c r="E2271" s="9" t="str">
        <f t="shared" si="525"/>
        <v>PRBNP'!</v>
      </c>
      <c r="F2271" s="5" t="str">
        <f t="shared" si="526"/>
        <v>C:\Users\jaime.benazar\Quorum Business Solutions\Ecopetrol Prometeo - Documents\Planning Space Implementation\3. Analysis &amp; Design\Design\FC22\DRR Jaime\QUIFA-CAJÚA\Cajua\[VAS_CAJUA_CF_SEC_20230125.xlsx]CF PRBNP'!</v>
      </c>
      <c r="G2271" s="6" t="s">
        <v>40</v>
      </c>
      <c r="H2271" s="1"/>
      <c r="I2271" s="1"/>
      <c r="J2271" s="1"/>
    </row>
    <row r="2272" spans="1:10" x14ac:dyDescent="0.25">
      <c r="A2272" s="6" t="s">
        <v>100</v>
      </c>
      <c r="B2272" s="6">
        <f t="shared" si="527"/>
        <v>2051</v>
      </c>
      <c r="C2272" s="1" t="s">
        <v>20</v>
      </c>
      <c r="D2272" s="2" t="s">
        <v>128</v>
      </c>
      <c r="E2272" s="9" t="str">
        <f t="shared" si="525"/>
        <v>PRBNP'!</v>
      </c>
      <c r="F2272" s="5" t="str">
        <f t="shared" si="526"/>
        <v>C:\Users\jaime.benazar\Quorum Business Solutions\Ecopetrol Prometeo - Documents\Planning Space Implementation\3. Analysis &amp; Design\Design\FC22\DRR Jaime\QUIFA-CAJÚA\Cajua\[VAS_CAJUA_CF_SEC_20230125.xlsx]CF PRBNP'!</v>
      </c>
      <c r="G2272" s="6" t="s">
        <v>40</v>
      </c>
      <c r="H2272" s="1"/>
      <c r="I2272" s="1"/>
      <c r="J2272" s="1"/>
    </row>
    <row r="2273" spans="1:10" x14ac:dyDescent="0.25">
      <c r="A2273" s="6" t="s">
        <v>100</v>
      </c>
      <c r="B2273" s="6">
        <f t="shared" si="527"/>
        <v>2052</v>
      </c>
      <c r="C2273" s="1" t="s">
        <v>20</v>
      </c>
      <c r="D2273" s="2" t="s">
        <v>128</v>
      </c>
      <c r="E2273" s="9" t="str">
        <f t="shared" si="525"/>
        <v>PRBNP'!</v>
      </c>
      <c r="F2273" s="5" t="str">
        <f t="shared" si="526"/>
        <v>C:\Users\jaime.benazar\Quorum Business Solutions\Ecopetrol Prometeo - Documents\Planning Space Implementation\3. Analysis &amp; Design\Design\FC22\DRR Jaime\QUIFA-CAJÚA\Cajua\[VAS_CAJUA_CF_SEC_20230125.xlsx]CF PRBNP'!</v>
      </c>
      <c r="G2273" s="6" t="s">
        <v>40</v>
      </c>
      <c r="H2273" s="1"/>
      <c r="I2273" s="1"/>
      <c r="J2273" s="1"/>
    </row>
    <row r="2274" spans="1:10" x14ac:dyDescent="0.25">
      <c r="A2274" s="6" t="s">
        <v>100</v>
      </c>
      <c r="B2274" s="6">
        <f t="shared" si="527"/>
        <v>2053</v>
      </c>
      <c r="C2274" s="1" t="s">
        <v>20</v>
      </c>
      <c r="D2274" s="2" t="s">
        <v>128</v>
      </c>
      <c r="E2274" s="9" t="str">
        <f t="shared" si="525"/>
        <v>PRBNP'!</v>
      </c>
      <c r="F2274" s="5" t="str">
        <f t="shared" si="526"/>
        <v>C:\Users\jaime.benazar\Quorum Business Solutions\Ecopetrol Prometeo - Documents\Planning Space Implementation\3. Analysis &amp; Design\Design\FC22\DRR Jaime\QUIFA-CAJÚA\Cajua\[VAS_CAJUA_CF_SEC_20230125.xlsx]CF PRBNP'!</v>
      </c>
      <c r="G2274" s="6" t="s">
        <v>40</v>
      </c>
      <c r="H2274" s="1"/>
      <c r="I2274" s="1"/>
      <c r="J2274" s="1"/>
    </row>
    <row r="2275" spans="1:10" x14ac:dyDescent="0.25">
      <c r="A2275" s="6" t="s">
        <v>100</v>
      </c>
      <c r="B2275" s="6">
        <f t="shared" si="527"/>
        <v>2054</v>
      </c>
      <c r="C2275" s="1" t="s">
        <v>20</v>
      </c>
      <c r="D2275" s="2" t="s">
        <v>128</v>
      </c>
      <c r="E2275" s="9" t="str">
        <f t="shared" si="525"/>
        <v>PRBNP'!</v>
      </c>
      <c r="F2275" s="5" t="str">
        <f t="shared" si="526"/>
        <v>C:\Users\jaime.benazar\Quorum Business Solutions\Ecopetrol Prometeo - Documents\Planning Space Implementation\3. Analysis &amp; Design\Design\FC22\DRR Jaime\QUIFA-CAJÚA\Cajua\[VAS_CAJUA_CF_SEC_20230125.xlsx]CF PRBNP'!</v>
      </c>
      <c r="G2275" s="6" t="s">
        <v>40</v>
      </c>
      <c r="H2275" s="1"/>
      <c r="I2275" s="1"/>
      <c r="J2275" s="1"/>
    </row>
    <row r="2276" spans="1:10" x14ac:dyDescent="0.25">
      <c r="A2276" s="6" t="s">
        <v>100</v>
      </c>
      <c r="B2276" s="6">
        <f t="shared" si="527"/>
        <v>2055</v>
      </c>
      <c r="C2276" s="1" t="s">
        <v>20</v>
      </c>
      <c r="D2276" s="2" t="s">
        <v>128</v>
      </c>
      <c r="E2276" s="9" t="str">
        <f t="shared" si="525"/>
        <v>PRBNP'!</v>
      </c>
      <c r="F2276" s="5" t="str">
        <f t="shared" si="526"/>
        <v>C:\Users\jaime.benazar\Quorum Business Solutions\Ecopetrol Prometeo - Documents\Planning Space Implementation\3. Analysis &amp; Design\Design\FC22\DRR Jaime\QUIFA-CAJÚA\Cajua\[VAS_CAJUA_CF_SEC_20230125.xlsx]CF PRBNP'!</v>
      </c>
      <c r="G2276" s="6" t="s">
        <v>40</v>
      </c>
      <c r="H2276" s="1"/>
      <c r="I2276" s="1"/>
      <c r="J2276" s="1"/>
    </row>
    <row r="2277" spans="1:10" x14ac:dyDescent="0.25">
      <c r="A2277" s="6" t="s">
        <v>100</v>
      </c>
      <c r="B2277" s="6">
        <f t="shared" si="527"/>
        <v>2056</v>
      </c>
      <c r="C2277" s="1" t="s">
        <v>20</v>
      </c>
      <c r="D2277" s="2" t="s">
        <v>128</v>
      </c>
      <c r="E2277" s="9" t="str">
        <f t="shared" si="525"/>
        <v>PRBNP'!</v>
      </c>
      <c r="F2277" s="5" t="str">
        <f t="shared" si="526"/>
        <v>C:\Users\jaime.benazar\Quorum Business Solutions\Ecopetrol Prometeo - Documents\Planning Space Implementation\3. Analysis &amp; Design\Design\FC22\DRR Jaime\QUIFA-CAJÚA\Cajua\[VAS_CAJUA_CF_SEC_20230125.xlsx]CF PRBNP'!</v>
      </c>
      <c r="G2277" s="6" t="s">
        <v>40</v>
      </c>
      <c r="H2277" s="1"/>
      <c r="I2277" s="1"/>
      <c r="J2277" s="1"/>
    </row>
    <row r="2278" spans="1:10" x14ac:dyDescent="0.25">
      <c r="A2278" s="6" t="s">
        <v>100</v>
      </c>
      <c r="B2278" s="6">
        <f t="shared" si="527"/>
        <v>2057</v>
      </c>
      <c r="C2278" s="1" t="s">
        <v>20</v>
      </c>
      <c r="D2278" s="2" t="s">
        <v>128</v>
      </c>
      <c r="E2278" s="9" t="str">
        <f t="shared" si="525"/>
        <v>PRBNP'!</v>
      </c>
      <c r="F2278" s="5" t="str">
        <f t="shared" si="526"/>
        <v>C:\Users\jaime.benazar\Quorum Business Solutions\Ecopetrol Prometeo - Documents\Planning Space Implementation\3. Analysis &amp; Design\Design\FC22\DRR Jaime\QUIFA-CAJÚA\Cajua\[VAS_CAJUA_CF_SEC_20230125.xlsx]CF PRBNP'!</v>
      </c>
      <c r="G2278" s="6" t="s">
        <v>40</v>
      </c>
      <c r="H2278" s="1"/>
      <c r="I2278" s="1"/>
      <c r="J2278" s="1"/>
    </row>
    <row r="2279" spans="1:10" x14ac:dyDescent="0.25">
      <c r="A2279" s="6" t="s">
        <v>100</v>
      </c>
      <c r="B2279" s="6">
        <f t="shared" si="527"/>
        <v>2058</v>
      </c>
      <c r="C2279" s="1" t="s">
        <v>20</v>
      </c>
      <c r="D2279" s="2" t="s">
        <v>128</v>
      </c>
      <c r="E2279" s="9" t="str">
        <f t="shared" si="525"/>
        <v>PRBNP'!</v>
      </c>
      <c r="F2279" s="5" t="str">
        <f t="shared" si="526"/>
        <v>C:\Users\jaime.benazar\Quorum Business Solutions\Ecopetrol Prometeo - Documents\Planning Space Implementation\3. Analysis &amp; Design\Design\FC22\DRR Jaime\QUIFA-CAJÚA\Cajua\[VAS_CAJUA_CF_SEC_20230125.xlsx]CF PRBNP'!</v>
      </c>
      <c r="G2279" s="6" t="s">
        <v>40</v>
      </c>
      <c r="H2279" s="1"/>
      <c r="I2279" s="1"/>
      <c r="J2279" s="1"/>
    </row>
    <row r="2280" spans="1:10" x14ac:dyDescent="0.25">
      <c r="A2280" s="6" t="s">
        <v>100</v>
      </c>
      <c r="B2280" s="6">
        <f t="shared" si="527"/>
        <v>2059</v>
      </c>
      <c r="C2280" s="1" t="s">
        <v>20</v>
      </c>
      <c r="D2280" s="2" t="s">
        <v>128</v>
      </c>
      <c r="E2280" s="9" t="str">
        <f t="shared" si="525"/>
        <v>PRBNP'!</v>
      </c>
      <c r="F2280" s="5" t="str">
        <f t="shared" si="526"/>
        <v>C:\Users\jaime.benazar\Quorum Business Solutions\Ecopetrol Prometeo - Documents\Planning Space Implementation\3. Analysis &amp; Design\Design\FC22\DRR Jaime\QUIFA-CAJÚA\Cajua\[VAS_CAJUA_CF_SEC_20230125.xlsx]CF PRBNP'!</v>
      </c>
      <c r="G2280" s="6" t="s">
        <v>40</v>
      </c>
      <c r="H2280" s="1"/>
      <c r="I2280" s="1"/>
      <c r="J2280" s="1"/>
    </row>
    <row r="2281" spans="1:10" x14ac:dyDescent="0.25">
      <c r="A2281" s="6" t="s">
        <v>28</v>
      </c>
      <c r="B2281" s="6"/>
      <c r="C2281" s="1" t="s">
        <v>20</v>
      </c>
      <c r="D2281" s="2"/>
      <c r="E2281" s="9"/>
      <c r="F2281" s="2"/>
      <c r="G2281" s="6"/>
      <c r="H2281" s="1"/>
      <c r="I2281" s="1"/>
      <c r="J2281" s="1"/>
    </row>
    <row r="2282" spans="1:10" x14ac:dyDescent="0.25">
      <c r="A2282" s="6" t="s">
        <v>101</v>
      </c>
      <c r="B2282" s="6">
        <v>2023</v>
      </c>
      <c r="C2282" s="1" t="s">
        <v>20</v>
      </c>
      <c r="D2282" s="2" t="s">
        <v>128</v>
      </c>
      <c r="E2282" s="9" t="str">
        <f t="shared" ref="E2282:E2302" si="528">_xlfn.CONCAT(A2282,"'!")</f>
        <v>PRBND'!</v>
      </c>
      <c r="F2282" s="5" t="str">
        <f t="shared" ref="F2282:F2302" si="529">_xlfn.CONCAT(D2282," ",E2282)</f>
        <v>C:\Users\jaime.benazar\Quorum Business Solutions\Ecopetrol Prometeo - Documents\Planning Space Implementation\3. Analysis &amp; Design\Design\FC22\DRR Jaime\QUIFA-CAJÚA\Cajua\[VAS_CAJUA_CF_SEC_20230125.xlsx]CF PRBND'!</v>
      </c>
      <c r="G2282" s="6" t="s">
        <v>40</v>
      </c>
      <c r="H2282" s="1"/>
      <c r="I2282" s="1"/>
      <c r="J2282" s="1"/>
    </row>
    <row r="2283" spans="1:10" x14ac:dyDescent="0.25">
      <c r="A2283" s="6" t="s">
        <v>101</v>
      </c>
      <c r="B2283" s="6">
        <f>+B2282+1</f>
        <v>2024</v>
      </c>
      <c r="C2283" s="1" t="s">
        <v>20</v>
      </c>
      <c r="D2283" s="2" t="s">
        <v>128</v>
      </c>
      <c r="E2283" s="9" t="str">
        <f t="shared" si="528"/>
        <v>PRBND'!</v>
      </c>
      <c r="F2283" s="5" t="str">
        <f t="shared" si="529"/>
        <v>C:\Users\jaime.benazar\Quorum Business Solutions\Ecopetrol Prometeo - Documents\Planning Space Implementation\3. Analysis &amp; Design\Design\FC22\DRR Jaime\QUIFA-CAJÚA\Cajua\[VAS_CAJUA_CF_SEC_20230125.xlsx]CF PRBND'!</v>
      </c>
      <c r="G2283" s="6" t="s">
        <v>40</v>
      </c>
      <c r="H2283" s="1"/>
      <c r="I2283" s="1"/>
      <c r="J2283" s="1"/>
    </row>
    <row r="2284" spans="1:10" x14ac:dyDescent="0.25">
      <c r="A2284" s="6" t="s">
        <v>101</v>
      </c>
      <c r="B2284" s="6">
        <f t="shared" ref="B2284:B2295" si="530">+B2283+1</f>
        <v>2025</v>
      </c>
      <c r="C2284" s="1" t="s">
        <v>20</v>
      </c>
      <c r="D2284" s="2" t="s">
        <v>128</v>
      </c>
      <c r="E2284" s="9" t="str">
        <f t="shared" si="528"/>
        <v>PRBND'!</v>
      </c>
      <c r="F2284" s="5" t="str">
        <f t="shared" si="529"/>
        <v>C:\Users\jaime.benazar\Quorum Business Solutions\Ecopetrol Prometeo - Documents\Planning Space Implementation\3. Analysis &amp; Design\Design\FC22\DRR Jaime\QUIFA-CAJÚA\Cajua\[VAS_CAJUA_CF_SEC_20230125.xlsx]CF PRBND'!</v>
      </c>
      <c r="G2284" s="6" t="s">
        <v>40</v>
      </c>
      <c r="H2284" s="1"/>
      <c r="I2284" s="1"/>
      <c r="J2284" s="1"/>
    </row>
    <row r="2285" spans="1:10" x14ac:dyDescent="0.25">
      <c r="A2285" s="6" t="s">
        <v>101</v>
      </c>
      <c r="B2285" s="6">
        <f t="shared" si="530"/>
        <v>2026</v>
      </c>
      <c r="C2285" s="1" t="s">
        <v>20</v>
      </c>
      <c r="D2285" s="2" t="s">
        <v>128</v>
      </c>
      <c r="E2285" s="9" t="str">
        <f t="shared" si="528"/>
        <v>PRBND'!</v>
      </c>
      <c r="F2285" s="5" t="str">
        <f t="shared" si="529"/>
        <v>C:\Users\jaime.benazar\Quorum Business Solutions\Ecopetrol Prometeo - Documents\Planning Space Implementation\3. Analysis &amp; Design\Design\FC22\DRR Jaime\QUIFA-CAJÚA\Cajua\[VAS_CAJUA_CF_SEC_20230125.xlsx]CF PRBND'!</v>
      </c>
      <c r="G2285" s="6" t="s">
        <v>40</v>
      </c>
      <c r="H2285" s="1"/>
      <c r="I2285" s="1"/>
      <c r="J2285" s="1"/>
    </row>
    <row r="2286" spans="1:10" x14ac:dyDescent="0.25">
      <c r="A2286" s="6" t="s">
        <v>101</v>
      </c>
      <c r="B2286" s="6">
        <f t="shared" si="530"/>
        <v>2027</v>
      </c>
      <c r="C2286" s="1" t="s">
        <v>20</v>
      </c>
      <c r="D2286" s="2" t="s">
        <v>128</v>
      </c>
      <c r="E2286" s="9" t="str">
        <f t="shared" si="528"/>
        <v>PRBND'!</v>
      </c>
      <c r="F2286" s="5" t="str">
        <f t="shared" si="529"/>
        <v>C:\Users\jaime.benazar\Quorum Business Solutions\Ecopetrol Prometeo - Documents\Planning Space Implementation\3. Analysis &amp; Design\Design\FC22\DRR Jaime\QUIFA-CAJÚA\Cajua\[VAS_CAJUA_CF_SEC_20230125.xlsx]CF PRBND'!</v>
      </c>
      <c r="G2286" s="6" t="s">
        <v>40</v>
      </c>
      <c r="H2286" s="1"/>
      <c r="I2286" s="1"/>
      <c r="J2286" s="1"/>
    </row>
    <row r="2287" spans="1:10" x14ac:dyDescent="0.25">
      <c r="A2287" s="6" t="s">
        <v>101</v>
      </c>
      <c r="B2287" s="6">
        <f t="shared" si="530"/>
        <v>2028</v>
      </c>
      <c r="C2287" s="1" t="s">
        <v>20</v>
      </c>
      <c r="D2287" s="2" t="s">
        <v>128</v>
      </c>
      <c r="E2287" s="9" t="str">
        <f t="shared" si="528"/>
        <v>PRBND'!</v>
      </c>
      <c r="F2287" s="5" t="str">
        <f t="shared" si="529"/>
        <v>C:\Users\jaime.benazar\Quorum Business Solutions\Ecopetrol Prometeo - Documents\Planning Space Implementation\3. Analysis &amp; Design\Design\FC22\DRR Jaime\QUIFA-CAJÚA\Cajua\[VAS_CAJUA_CF_SEC_20230125.xlsx]CF PRBND'!</v>
      </c>
      <c r="G2287" s="6" t="s">
        <v>40</v>
      </c>
      <c r="H2287" s="1"/>
      <c r="I2287" s="1"/>
      <c r="J2287" s="1"/>
    </row>
    <row r="2288" spans="1:10" x14ac:dyDescent="0.25">
      <c r="A2288" s="6" t="s">
        <v>101</v>
      </c>
      <c r="B2288" s="6">
        <f t="shared" si="530"/>
        <v>2029</v>
      </c>
      <c r="C2288" s="1" t="s">
        <v>20</v>
      </c>
      <c r="D2288" s="2" t="s">
        <v>128</v>
      </c>
      <c r="E2288" s="9" t="str">
        <f t="shared" si="528"/>
        <v>PRBND'!</v>
      </c>
      <c r="F2288" s="5" t="str">
        <f t="shared" si="529"/>
        <v>C:\Users\jaime.benazar\Quorum Business Solutions\Ecopetrol Prometeo - Documents\Planning Space Implementation\3. Analysis &amp; Design\Design\FC22\DRR Jaime\QUIFA-CAJÚA\Cajua\[VAS_CAJUA_CF_SEC_20230125.xlsx]CF PRBND'!</v>
      </c>
      <c r="G2288" s="6" t="s">
        <v>40</v>
      </c>
      <c r="H2288" s="1"/>
      <c r="I2288" s="1"/>
      <c r="J2288" s="1"/>
    </row>
    <row r="2289" spans="1:10" x14ac:dyDescent="0.25">
      <c r="A2289" s="6" t="s">
        <v>101</v>
      </c>
      <c r="B2289" s="6">
        <f t="shared" si="530"/>
        <v>2030</v>
      </c>
      <c r="C2289" s="1" t="s">
        <v>20</v>
      </c>
      <c r="D2289" s="2" t="s">
        <v>128</v>
      </c>
      <c r="E2289" s="9" t="str">
        <f t="shared" si="528"/>
        <v>PRBND'!</v>
      </c>
      <c r="F2289" s="5" t="str">
        <f t="shared" si="529"/>
        <v>C:\Users\jaime.benazar\Quorum Business Solutions\Ecopetrol Prometeo - Documents\Planning Space Implementation\3. Analysis &amp; Design\Design\FC22\DRR Jaime\QUIFA-CAJÚA\Cajua\[VAS_CAJUA_CF_SEC_20230125.xlsx]CF PRBND'!</v>
      </c>
      <c r="G2289" s="6" t="s">
        <v>40</v>
      </c>
      <c r="H2289" s="1"/>
      <c r="I2289" s="1"/>
      <c r="J2289" s="1"/>
    </row>
    <row r="2290" spans="1:10" x14ac:dyDescent="0.25">
      <c r="A2290" s="6" t="s">
        <v>101</v>
      </c>
      <c r="B2290" s="6">
        <f t="shared" si="530"/>
        <v>2031</v>
      </c>
      <c r="C2290" s="1" t="s">
        <v>20</v>
      </c>
      <c r="D2290" s="2" t="s">
        <v>128</v>
      </c>
      <c r="E2290" s="9" t="str">
        <f t="shared" si="528"/>
        <v>PRBND'!</v>
      </c>
      <c r="F2290" s="5" t="str">
        <f t="shared" si="529"/>
        <v>C:\Users\jaime.benazar\Quorum Business Solutions\Ecopetrol Prometeo - Documents\Planning Space Implementation\3. Analysis &amp; Design\Design\FC22\DRR Jaime\QUIFA-CAJÚA\Cajua\[VAS_CAJUA_CF_SEC_20230125.xlsx]CF PRBND'!</v>
      </c>
      <c r="G2290" s="6" t="s">
        <v>40</v>
      </c>
      <c r="H2290" s="1"/>
      <c r="I2290" s="1"/>
      <c r="J2290" s="1"/>
    </row>
    <row r="2291" spans="1:10" x14ac:dyDescent="0.25">
      <c r="A2291" s="6" t="s">
        <v>101</v>
      </c>
      <c r="B2291" s="6">
        <f t="shared" si="530"/>
        <v>2032</v>
      </c>
      <c r="C2291" s="1" t="s">
        <v>20</v>
      </c>
      <c r="D2291" s="2" t="s">
        <v>128</v>
      </c>
      <c r="E2291" s="9" t="str">
        <f t="shared" si="528"/>
        <v>PRBND'!</v>
      </c>
      <c r="F2291" s="5" t="str">
        <f t="shared" si="529"/>
        <v>C:\Users\jaime.benazar\Quorum Business Solutions\Ecopetrol Prometeo - Documents\Planning Space Implementation\3. Analysis &amp; Design\Design\FC22\DRR Jaime\QUIFA-CAJÚA\Cajua\[VAS_CAJUA_CF_SEC_20230125.xlsx]CF PRBND'!</v>
      </c>
      <c r="G2291" s="6" t="s">
        <v>40</v>
      </c>
      <c r="H2291" s="1"/>
      <c r="I2291" s="1"/>
      <c r="J2291" s="1"/>
    </row>
    <row r="2292" spans="1:10" x14ac:dyDescent="0.25">
      <c r="A2292" s="6" t="s">
        <v>101</v>
      </c>
      <c r="B2292" s="6">
        <f t="shared" si="530"/>
        <v>2033</v>
      </c>
      <c r="C2292" s="1" t="s">
        <v>20</v>
      </c>
      <c r="D2292" s="2" t="s">
        <v>128</v>
      </c>
      <c r="E2292" s="9" t="str">
        <f t="shared" si="528"/>
        <v>PRBND'!</v>
      </c>
      <c r="F2292" s="5" t="str">
        <f t="shared" si="529"/>
        <v>C:\Users\jaime.benazar\Quorum Business Solutions\Ecopetrol Prometeo - Documents\Planning Space Implementation\3. Analysis &amp; Design\Design\FC22\DRR Jaime\QUIFA-CAJÚA\Cajua\[VAS_CAJUA_CF_SEC_20230125.xlsx]CF PRBND'!</v>
      </c>
      <c r="G2292" s="6" t="s">
        <v>40</v>
      </c>
      <c r="H2292" s="1"/>
      <c r="I2292" s="1"/>
      <c r="J2292" s="1"/>
    </row>
    <row r="2293" spans="1:10" x14ac:dyDescent="0.25">
      <c r="A2293" s="6" t="s">
        <v>101</v>
      </c>
      <c r="B2293" s="6">
        <f t="shared" si="530"/>
        <v>2034</v>
      </c>
      <c r="C2293" s="1" t="s">
        <v>20</v>
      </c>
      <c r="D2293" s="2" t="s">
        <v>128</v>
      </c>
      <c r="E2293" s="9" t="str">
        <f t="shared" si="528"/>
        <v>PRBND'!</v>
      </c>
      <c r="F2293" s="5" t="str">
        <f t="shared" si="529"/>
        <v>C:\Users\jaime.benazar\Quorum Business Solutions\Ecopetrol Prometeo - Documents\Planning Space Implementation\3. Analysis &amp; Design\Design\FC22\DRR Jaime\QUIFA-CAJÚA\Cajua\[VAS_CAJUA_CF_SEC_20230125.xlsx]CF PRBND'!</v>
      </c>
      <c r="G2293" s="6" t="s">
        <v>40</v>
      </c>
      <c r="H2293" s="1"/>
      <c r="I2293" s="1"/>
      <c r="J2293" s="1"/>
    </row>
    <row r="2294" spans="1:10" x14ac:dyDescent="0.25">
      <c r="A2294" s="6" t="s">
        <v>101</v>
      </c>
      <c r="B2294" s="6">
        <f t="shared" si="530"/>
        <v>2035</v>
      </c>
      <c r="C2294" s="1" t="s">
        <v>20</v>
      </c>
      <c r="D2294" s="2" t="s">
        <v>128</v>
      </c>
      <c r="E2294" s="9" t="str">
        <f t="shared" si="528"/>
        <v>PRBND'!</v>
      </c>
      <c r="F2294" s="5" t="str">
        <f t="shared" si="529"/>
        <v>C:\Users\jaime.benazar\Quorum Business Solutions\Ecopetrol Prometeo - Documents\Planning Space Implementation\3. Analysis &amp; Design\Design\FC22\DRR Jaime\QUIFA-CAJÚA\Cajua\[VAS_CAJUA_CF_SEC_20230125.xlsx]CF PRBND'!</v>
      </c>
      <c r="G2294" s="6" t="s">
        <v>40</v>
      </c>
      <c r="H2294" s="1"/>
      <c r="I2294" s="1"/>
      <c r="J2294" s="1"/>
    </row>
    <row r="2295" spans="1:10" x14ac:dyDescent="0.25">
      <c r="A2295" s="6" t="s">
        <v>101</v>
      </c>
      <c r="B2295" s="6">
        <f t="shared" si="530"/>
        <v>2036</v>
      </c>
      <c r="C2295" s="1" t="s">
        <v>20</v>
      </c>
      <c r="D2295" s="2" t="s">
        <v>128</v>
      </c>
      <c r="E2295" s="9" t="str">
        <f t="shared" si="528"/>
        <v>PRBND'!</v>
      </c>
      <c r="F2295" s="5" t="str">
        <f t="shared" si="529"/>
        <v>C:\Users\jaime.benazar\Quorum Business Solutions\Ecopetrol Prometeo - Documents\Planning Space Implementation\3. Analysis &amp; Design\Design\FC22\DRR Jaime\QUIFA-CAJÚA\Cajua\[VAS_CAJUA_CF_SEC_20230125.xlsx]CF PRBND'!</v>
      </c>
      <c r="G2295" s="6" t="s">
        <v>40</v>
      </c>
      <c r="H2295" s="1"/>
      <c r="I2295" s="1"/>
      <c r="J2295" s="1"/>
    </row>
    <row r="2296" spans="1:10" x14ac:dyDescent="0.25">
      <c r="A2296" s="6" t="s">
        <v>101</v>
      </c>
      <c r="B2296" s="6">
        <f>+B2295+1</f>
        <v>2037</v>
      </c>
      <c r="C2296" s="1" t="s">
        <v>20</v>
      </c>
      <c r="D2296" s="2" t="s">
        <v>128</v>
      </c>
      <c r="E2296" s="9" t="str">
        <f t="shared" si="528"/>
        <v>PRBND'!</v>
      </c>
      <c r="F2296" s="5" t="str">
        <f t="shared" si="529"/>
        <v>C:\Users\jaime.benazar\Quorum Business Solutions\Ecopetrol Prometeo - Documents\Planning Space Implementation\3. Analysis &amp; Design\Design\FC22\DRR Jaime\QUIFA-CAJÚA\Cajua\[VAS_CAJUA_CF_SEC_20230125.xlsx]CF PRBND'!</v>
      </c>
      <c r="G2296" s="6" t="s">
        <v>40</v>
      </c>
      <c r="H2296" s="1"/>
      <c r="I2296" s="1"/>
      <c r="J2296" s="1"/>
    </row>
    <row r="2297" spans="1:10" x14ac:dyDescent="0.25">
      <c r="A2297" s="6" t="s">
        <v>101</v>
      </c>
      <c r="B2297" s="6">
        <f t="shared" ref="B2297:B2299" si="531">+B2296+1</f>
        <v>2038</v>
      </c>
      <c r="C2297" s="1" t="s">
        <v>20</v>
      </c>
      <c r="D2297" s="2" t="s">
        <v>128</v>
      </c>
      <c r="E2297" s="9" t="str">
        <f t="shared" si="528"/>
        <v>PRBND'!</v>
      </c>
      <c r="F2297" s="5" t="str">
        <f t="shared" si="529"/>
        <v>C:\Users\jaime.benazar\Quorum Business Solutions\Ecopetrol Prometeo - Documents\Planning Space Implementation\3. Analysis &amp; Design\Design\FC22\DRR Jaime\QUIFA-CAJÚA\Cajua\[VAS_CAJUA_CF_SEC_20230125.xlsx]CF PRBND'!</v>
      </c>
      <c r="G2297" s="6" t="s">
        <v>40</v>
      </c>
      <c r="H2297" s="1"/>
      <c r="I2297" s="1"/>
      <c r="J2297" s="1"/>
    </row>
    <row r="2298" spans="1:10" x14ac:dyDescent="0.25">
      <c r="A2298" s="6" t="s">
        <v>101</v>
      </c>
      <c r="B2298" s="6">
        <f t="shared" si="531"/>
        <v>2039</v>
      </c>
      <c r="C2298" s="1" t="s">
        <v>20</v>
      </c>
      <c r="D2298" s="2" t="s">
        <v>128</v>
      </c>
      <c r="E2298" s="9" t="str">
        <f t="shared" si="528"/>
        <v>PRBND'!</v>
      </c>
      <c r="F2298" s="5" t="str">
        <f t="shared" si="529"/>
        <v>C:\Users\jaime.benazar\Quorum Business Solutions\Ecopetrol Prometeo - Documents\Planning Space Implementation\3. Analysis &amp; Design\Design\FC22\DRR Jaime\QUIFA-CAJÚA\Cajua\[VAS_CAJUA_CF_SEC_20230125.xlsx]CF PRBND'!</v>
      </c>
      <c r="G2298" s="6" t="s">
        <v>40</v>
      </c>
      <c r="H2298" s="1"/>
      <c r="I2298" s="1"/>
      <c r="J2298" s="1"/>
    </row>
    <row r="2299" spans="1:10" x14ac:dyDescent="0.25">
      <c r="A2299" s="6" t="s">
        <v>101</v>
      </c>
      <c r="B2299" s="6">
        <f t="shared" si="531"/>
        <v>2040</v>
      </c>
      <c r="C2299" s="1" t="s">
        <v>20</v>
      </c>
      <c r="D2299" s="2" t="s">
        <v>128</v>
      </c>
      <c r="E2299" s="9" t="str">
        <f t="shared" si="528"/>
        <v>PRBND'!</v>
      </c>
      <c r="F2299" s="5" t="str">
        <f t="shared" si="529"/>
        <v>C:\Users\jaime.benazar\Quorum Business Solutions\Ecopetrol Prometeo - Documents\Planning Space Implementation\3. Analysis &amp; Design\Design\FC22\DRR Jaime\QUIFA-CAJÚA\Cajua\[VAS_CAJUA_CF_SEC_20230125.xlsx]CF PRBND'!</v>
      </c>
      <c r="G2299" s="6" t="s">
        <v>40</v>
      </c>
      <c r="H2299" s="1"/>
      <c r="I2299" s="1"/>
      <c r="J2299" s="1"/>
    </row>
    <row r="2300" spans="1:10" x14ac:dyDescent="0.25">
      <c r="A2300" s="6" t="s">
        <v>101</v>
      </c>
      <c r="B2300" s="6">
        <f>+B2299+1</f>
        <v>2041</v>
      </c>
      <c r="C2300" s="1" t="s">
        <v>20</v>
      </c>
      <c r="D2300" s="2" t="s">
        <v>128</v>
      </c>
      <c r="E2300" s="9" t="str">
        <f t="shared" si="528"/>
        <v>PRBND'!</v>
      </c>
      <c r="F2300" s="5" t="str">
        <f t="shared" si="529"/>
        <v>C:\Users\jaime.benazar\Quorum Business Solutions\Ecopetrol Prometeo - Documents\Planning Space Implementation\3. Analysis &amp; Design\Design\FC22\DRR Jaime\QUIFA-CAJÚA\Cajua\[VAS_CAJUA_CF_SEC_20230125.xlsx]CF PRBND'!</v>
      </c>
      <c r="G2300" s="6" t="s">
        <v>40</v>
      </c>
      <c r="H2300" s="1"/>
      <c r="I2300" s="1"/>
      <c r="J2300" s="1"/>
    </row>
    <row r="2301" spans="1:10" x14ac:dyDescent="0.25">
      <c r="A2301" s="6" t="s">
        <v>101</v>
      </c>
      <c r="B2301" s="6">
        <f t="shared" ref="B2301:B2302" si="532">+B2300+1</f>
        <v>2042</v>
      </c>
      <c r="C2301" s="1" t="s">
        <v>20</v>
      </c>
      <c r="D2301" s="2" t="s">
        <v>128</v>
      </c>
      <c r="E2301" s="9" t="str">
        <f t="shared" si="528"/>
        <v>PRBND'!</v>
      </c>
      <c r="F2301" s="5" t="str">
        <f t="shared" si="529"/>
        <v>C:\Users\jaime.benazar\Quorum Business Solutions\Ecopetrol Prometeo - Documents\Planning Space Implementation\3. Analysis &amp; Design\Design\FC22\DRR Jaime\QUIFA-CAJÚA\Cajua\[VAS_CAJUA_CF_SEC_20230125.xlsx]CF PRBND'!</v>
      </c>
      <c r="G2301" s="6" t="s">
        <v>40</v>
      </c>
      <c r="H2301" s="1"/>
      <c r="I2301" s="1"/>
      <c r="J2301" s="1"/>
    </row>
    <row r="2302" spans="1:10" x14ac:dyDescent="0.25">
      <c r="A2302" s="6" t="s">
        <v>101</v>
      </c>
      <c r="B2302" s="6">
        <f t="shared" si="532"/>
        <v>2043</v>
      </c>
      <c r="C2302" s="1" t="s">
        <v>20</v>
      </c>
      <c r="D2302" s="2" t="s">
        <v>128</v>
      </c>
      <c r="E2302" s="9" t="str">
        <f t="shared" si="528"/>
        <v>PRBND'!</v>
      </c>
      <c r="F2302" s="5" t="str">
        <f t="shared" si="529"/>
        <v>C:\Users\jaime.benazar\Quorum Business Solutions\Ecopetrol Prometeo - Documents\Planning Space Implementation\3. Analysis &amp; Design\Design\FC22\DRR Jaime\QUIFA-CAJÚA\Cajua\[VAS_CAJUA_CF_SEC_20230125.xlsx]CF PRBND'!</v>
      </c>
      <c r="G2302" s="6" t="s">
        <v>40</v>
      </c>
      <c r="H2302" s="1"/>
      <c r="I2302" s="1"/>
      <c r="J2302" s="1"/>
    </row>
    <row r="2303" spans="1:10" x14ac:dyDescent="0.25">
      <c r="A2303" s="6" t="s">
        <v>101</v>
      </c>
      <c r="B2303" s="6">
        <f>+B2302+1</f>
        <v>2044</v>
      </c>
      <c r="C2303" s="1" t="s">
        <v>20</v>
      </c>
      <c r="D2303" s="2" t="s">
        <v>128</v>
      </c>
      <c r="E2303" s="9" t="str">
        <f t="shared" ref="E2303:E2318" si="533">_xlfn.CONCAT(A2303,"'!")</f>
        <v>PRBND'!</v>
      </c>
      <c r="F2303" s="5" t="str">
        <f t="shared" ref="F2303:F2318" si="534">_xlfn.CONCAT(D2303," ",E2303)</f>
        <v>C:\Users\jaime.benazar\Quorum Business Solutions\Ecopetrol Prometeo - Documents\Planning Space Implementation\3. Analysis &amp; Design\Design\FC22\DRR Jaime\QUIFA-CAJÚA\Cajua\[VAS_CAJUA_CF_SEC_20230125.xlsx]CF PRBND'!</v>
      </c>
      <c r="G2303" s="6" t="s">
        <v>40</v>
      </c>
      <c r="H2303" s="1"/>
      <c r="I2303" s="1"/>
      <c r="J2303" s="1"/>
    </row>
    <row r="2304" spans="1:10" x14ac:dyDescent="0.25">
      <c r="A2304" s="6" t="s">
        <v>101</v>
      </c>
      <c r="B2304" s="6">
        <f t="shared" ref="B2304:B2318" si="535">+B2303+1</f>
        <v>2045</v>
      </c>
      <c r="C2304" s="1" t="s">
        <v>20</v>
      </c>
      <c r="D2304" s="2" t="s">
        <v>128</v>
      </c>
      <c r="E2304" s="9" t="str">
        <f t="shared" si="533"/>
        <v>PRBND'!</v>
      </c>
      <c r="F2304" s="5" t="str">
        <f t="shared" si="534"/>
        <v>C:\Users\jaime.benazar\Quorum Business Solutions\Ecopetrol Prometeo - Documents\Planning Space Implementation\3. Analysis &amp; Design\Design\FC22\DRR Jaime\QUIFA-CAJÚA\Cajua\[VAS_CAJUA_CF_SEC_20230125.xlsx]CF PRBND'!</v>
      </c>
      <c r="G2304" s="6" t="s">
        <v>40</v>
      </c>
      <c r="H2304" s="1"/>
      <c r="I2304" s="1"/>
      <c r="J2304" s="1"/>
    </row>
    <row r="2305" spans="1:10" x14ac:dyDescent="0.25">
      <c r="A2305" s="6" t="s">
        <v>101</v>
      </c>
      <c r="B2305" s="6">
        <f t="shared" si="535"/>
        <v>2046</v>
      </c>
      <c r="C2305" s="1" t="s">
        <v>20</v>
      </c>
      <c r="D2305" s="2" t="s">
        <v>128</v>
      </c>
      <c r="E2305" s="9" t="str">
        <f t="shared" si="533"/>
        <v>PRBND'!</v>
      </c>
      <c r="F2305" s="5" t="str">
        <f t="shared" si="534"/>
        <v>C:\Users\jaime.benazar\Quorum Business Solutions\Ecopetrol Prometeo - Documents\Planning Space Implementation\3. Analysis &amp; Design\Design\FC22\DRR Jaime\QUIFA-CAJÚA\Cajua\[VAS_CAJUA_CF_SEC_20230125.xlsx]CF PRBND'!</v>
      </c>
      <c r="G2305" s="6" t="s">
        <v>40</v>
      </c>
      <c r="H2305" s="1"/>
      <c r="I2305" s="1"/>
      <c r="J2305" s="1"/>
    </row>
    <row r="2306" spans="1:10" x14ac:dyDescent="0.25">
      <c r="A2306" s="6" t="s">
        <v>101</v>
      </c>
      <c r="B2306" s="6">
        <f t="shared" si="535"/>
        <v>2047</v>
      </c>
      <c r="C2306" s="1" t="s">
        <v>20</v>
      </c>
      <c r="D2306" s="2" t="s">
        <v>128</v>
      </c>
      <c r="E2306" s="9" t="str">
        <f t="shared" si="533"/>
        <v>PRBND'!</v>
      </c>
      <c r="F2306" s="5" t="str">
        <f t="shared" si="534"/>
        <v>C:\Users\jaime.benazar\Quorum Business Solutions\Ecopetrol Prometeo - Documents\Planning Space Implementation\3. Analysis &amp; Design\Design\FC22\DRR Jaime\QUIFA-CAJÚA\Cajua\[VAS_CAJUA_CF_SEC_20230125.xlsx]CF PRBND'!</v>
      </c>
      <c r="G2306" s="6" t="s">
        <v>40</v>
      </c>
      <c r="H2306" s="1"/>
      <c r="I2306" s="1"/>
      <c r="J2306" s="1"/>
    </row>
    <row r="2307" spans="1:10" x14ac:dyDescent="0.25">
      <c r="A2307" s="6" t="s">
        <v>101</v>
      </c>
      <c r="B2307" s="6">
        <f t="shared" si="535"/>
        <v>2048</v>
      </c>
      <c r="C2307" s="1" t="s">
        <v>20</v>
      </c>
      <c r="D2307" s="2" t="s">
        <v>128</v>
      </c>
      <c r="E2307" s="9" t="str">
        <f t="shared" si="533"/>
        <v>PRBND'!</v>
      </c>
      <c r="F2307" s="5" t="str">
        <f t="shared" si="534"/>
        <v>C:\Users\jaime.benazar\Quorum Business Solutions\Ecopetrol Prometeo - Documents\Planning Space Implementation\3. Analysis &amp; Design\Design\FC22\DRR Jaime\QUIFA-CAJÚA\Cajua\[VAS_CAJUA_CF_SEC_20230125.xlsx]CF PRBND'!</v>
      </c>
      <c r="G2307" s="6" t="s">
        <v>40</v>
      </c>
      <c r="H2307" s="1"/>
      <c r="I2307" s="1"/>
      <c r="J2307" s="1"/>
    </row>
    <row r="2308" spans="1:10" x14ac:dyDescent="0.25">
      <c r="A2308" s="6" t="s">
        <v>101</v>
      </c>
      <c r="B2308" s="6">
        <f t="shared" si="535"/>
        <v>2049</v>
      </c>
      <c r="C2308" s="1" t="s">
        <v>20</v>
      </c>
      <c r="D2308" s="2" t="s">
        <v>128</v>
      </c>
      <c r="E2308" s="9" t="str">
        <f t="shared" si="533"/>
        <v>PRBND'!</v>
      </c>
      <c r="F2308" s="5" t="str">
        <f t="shared" si="534"/>
        <v>C:\Users\jaime.benazar\Quorum Business Solutions\Ecopetrol Prometeo - Documents\Planning Space Implementation\3. Analysis &amp; Design\Design\FC22\DRR Jaime\QUIFA-CAJÚA\Cajua\[VAS_CAJUA_CF_SEC_20230125.xlsx]CF PRBND'!</v>
      </c>
      <c r="G2308" s="6" t="s">
        <v>40</v>
      </c>
      <c r="H2308" s="1"/>
      <c r="I2308" s="1"/>
      <c r="J2308" s="1"/>
    </row>
    <row r="2309" spans="1:10" x14ac:dyDescent="0.25">
      <c r="A2309" s="6" t="s">
        <v>101</v>
      </c>
      <c r="B2309" s="6">
        <f t="shared" si="535"/>
        <v>2050</v>
      </c>
      <c r="C2309" s="1" t="s">
        <v>20</v>
      </c>
      <c r="D2309" s="2" t="s">
        <v>128</v>
      </c>
      <c r="E2309" s="9" t="str">
        <f t="shared" si="533"/>
        <v>PRBND'!</v>
      </c>
      <c r="F2309" s="5" t="str">
        <f t="shared" si="534"/>
        <v>C:\Users\jaime.benazar\Quorum Business Solutions\Ecopetrol Prometeo - Documents\Planning Space Implementation\3. Analysis &amp; Design\Design\FC22\DRR Jaime\QUIFA-CAJÚA\Cajua\[VAS_CAJUA_CF_SEC_20230125.xlsx]CF PRBND'!</v>
      </c>
      <c r="G2309" s="6" t="s">
        <v>40</v>
      </c>
      <c r="H2309" s="1"/>
      <c r="I2309" s="1"/>
      <c r="J2309" s="1"/>
    </row>
    <row r="2310" spans="1:10" x14ac:dyDescent="0.25">
      <c r="A2310" s="6" t="s">
        <v>101</v>
      </c>
      <c r="B2310" s="6">
        <f t="shared" si="535"/>
        <v>2051</v>
      </c>
      <c r="C2310" s="1" t="s">
        <v>20</v>
      </c>
      <c r="D2310" s="2" t="s">
        <v>128</v>
      </c>
      <c r="E2310" s="9" t="str">
        <f t="shared" si="533"/>
        <v>PRBND'!</v>
      </c>
      <c r="F2310" s="5" t="str">
        <f t="shared" si="534"/>
        <v>C:\Users\jaime.benazar\Quorum Business Solutions\Ecopetrol Prometeo - Documents\Planning Space Implementation\3. Analysis &amp; Design\Design\FC22\DRR Jaime\QUIFA-CAJÚA\Cajua\[VAS_CAJUA_CF_SEC_20230125.xlsx]CF PRBND'!</v>
      </c>
      <c r="G2310" s="6" t="s">
        <v>40</v>
      </c>
      <c r="H2310" s="1"/>
      <c r="I2310" s="1"/>
      <c r="J2310" s="1"/>
    </row>
    <row r="2311" spans="1:10" x14ac:dyDescent="0.25">
      <c r="A2311" s="6" t="s">
        <v>101</v>
      </c>
      <c r="B2311" s="6">
        <f t="shared" si="535"/>
        <v>2052</v>
      </c>
      <c r="C2311" s="1" t="s">
        <v>20</v>
      </c>
      <c r="D2311" s="2" t="s">
        <v>128</v>
      </c>
      <c r="E2311" s="9" t="str">
        <f t="shared" si="533"/>
        <v>PRBND'!</v>
      </c>
      <c r="F2311" s="5" t="str">
        <f t="shared" si="534"/>
        <v>C:\Users\jaime.benazar\Quorum Business Solutions\Ecopetrol Prometeo - Documents\Planning Space Implementation\3. Analysis &amp; Design\Design\FC22\DRR Jaime\QUIFA-CAJÚA\Cajua\[VAS_CAJUA_CF_SEC_20230125.xlsx]CF PRBND'!</v>
      </c>
      <c r="G2311" s="6" t="s">
        <v>40</v>
      </c>
      <c r="H2311" s="1"/>
      <c r="I2311" s="1"/>
      <c r="J2311" s="1"/>
    </row>
    <row r="2312" spans="1:10" x14ac:dyDescent="0.25">
      <c r="A2312" s="6" t="s">
        <v>101</v>
      </c>
      <c r="B2312" s="6">
        <f t="shared" si="535"/>
        <v>2053</v>
      </c>
      <c r="C2312" s="1" t="s">
        <v>20</v>
      </c>
      <c r="D2312" s="2" t="s">
        <v>128</v>
      </c>
      <c r="E2312" s="9" t="str">
        <f t="shared" si="533"/>
        <v>PRBND'!</v>
      </c>
      <c r="F2312" s="5" t="str">
        <f t="shared" si="534"/>
        <v>C:\Users\jaime.benazar\Quorum Business Solutions\Ecopetrol Prometeo - Documents\Planning Space Implementation\3. Analysis &amp; Design\Design\FC22\DRR Jaime\QUIFA-CAJÚA\Cajua\[VAS_CAJUA_CF_SEC_20230125.xlsx]CF PRBND'!</v>
      </c>
      <c r="G2312" s="6" t="s">
        <v>40</v>
      </c>
      <c r="H2312" s="1"/>
      <c r="I2312" s="1"/>
      <c r="J2312" s="1"/>
    </row>
    <row r="2313" spans="1:10" x14ac:dyDescent="0.25">
      <c r="A2313" s="6" t="s">
        <v>101</v>
      </c>
      <c r="B2313" s="6">
        <f t="shared" si="535"/>
        <v>2054</v>
      </c>
      <c r="C2313" s="1" t="s">
        <v>20</v>
      </c>
      <c r="D2313" s="2" t="s">
        <v>128</v>
      </c>
      <c r="E2313" s="9" t="str">
        <f t="shared" si="533"/>
        <v>PRBND'!</v>
      </c>
      <c r="F2313" s="5" t="str">
        <f t="shared" si="534"/>
        <v>C:\Users\jaime.benazar\Quorum Business Solutions\Ecopetrol Prometeo - Documents\Planning Space Implementation\3. Analysis &amp; Design\Design\FC22\DRR Jaime\QUIFA-CAJÚA\Cajua\[VAS_CAJUA_CF_SEC_20230125.xlsx]CF PRBND'!</v>
      </c>
      <c r="G2313" s="6" t="s">
        <v>40</v>
      </c>
      <c r="H2313" s="1"/>
      <c r="I2313" s="1"/>
      <c r="J2313" s="1"/>
    </row>
    <row r="2314" spans="1:10" x14ac:dyDescent="0.25">
      <c r="A2314" s="6" t="s">
        <v>101</v>
      </c>
      <c r="B2314" s="6">
        <f t="shared" si="535"/>
        <v>2055</v>
      </c>
      <c r="C2314" s="1" t="s">
        <v>20</v>
      </c>
      <c r="D2314" s="2" t="s">
        <v>128</v>
      </c>
      <c r="E2314" s="9" t="str">
        <f t="shared" si="533"/>
        <v>PRBND'!</v>
      </c>
      <c r="F2314" s="5" t="str">
        <f t="shared" si="534"/>
        <v>C:\Users\jaime.benazar\Quorum Business Solutions\Ecopetrol Prometeo - Documents\Planning Space Implementation\3. Analysis &amp; Design\Design\FC22\DRR Jaime\QUIFA-CAJÚA\Cajua\[VAS_CAJUA_CF_SEC_20230125.xlsx]CF PRBND'!</v>
      </c>
      <c r="G2314" s="6" t="s">
        <v>40</v>
      </c>
      <c r="H2314" s="1"/>
      <c r="I2314" s="1"/>
      <c r="J2314" s="1"/>
    </row>
    <row r="2315" spans="1:10" x14ac:dyDescent="0.25">
      <c r="A2315" s="6" t="s">
        <v>101</v>
      </c>
      <c r="B2315" s="6">
        <f t="shared" si="535"/>
        <v>2056</v>
      </c>
      <c r="C2315" s="1" t="s">
        <v>20</v>
      </c>
      <c r="D2315" s="2" t="s">
        <v>128</v>
      </c>
      <c r="E2315" s="9" t="str">
        <f t="shared" si="533"/>
        <v>PRBND'!</v>
      </c>
      <c r="F2315" s="5" t="str">
        <f t="shared" si="534"/>
        <v>C:\Users\jaime.benazar\Quorum Business Solutions\Ecopetrol Prometeo - Documents\Planning Space Implementation\3. Analysis &amp; Design\Design\FC22\DRR Jaime\QUIFA-CAJÚA\Cajua\[VAS_CAJUA_CF_SEC_20230125.xlsx]CF PRBND'!</v>
      </c>
      <c r="G2315" s="6" t="s">
        <v>40</v>
      </c>
      <c r="H2315" s="1"/>
      <c r="I2315" s="1"/>
      <c r="J2315" s="1"/>
    </row>
    <row r="2316" spans="1:10" x14ac:dyDescent="0.25">
      <c r="A2316" s="6" t="s">
        <v>101</v>
      </c>
      <c r="B2316" s="6">
        <f t="shared" si="535"/>
        <v>2057</v>
      </c>
      <c r="C2316" s="1" t="s">
        <v>20</v>
      </c>
      <c r="D2316" s="2" t="s">
        <v>128</v>
      </c>
      <c r="E2316" s="9" t="str">
        <f t="shared" si="533"/>
        <v>PRBND'!</v>
      </c>
      <c r="F2316" s="5" t="str">
        <f t="shared" si="534"/>
        <v>C:\Users\jaime.benazar\Quorum Business Solutions\Ecopetrol Prometeo - Documents\Planning Space Implementation\3. Analysis &amp; Design\Design\FC22\DRR Jaime\QUIFA-CAJÚA\Cajua\[VAS_CAJUA_CF_SEC_20230125.xlsx]CF PRBND'!</v>
      </c>
      <c r="G2316" s="6" t="s">
        <v>40</v>
      </c>
      <c r="H2316" s="1"/>
      <c r="I2316" s="1"/>
      <c r="J2316" s="1"/>
    </row>
    <row r="2317" spans="1:10" x14ac:dyDescent="0.25">
      <c r="A2317" s="6" t="s">
        <v>101</v>
      </c>
      <c r="B2317" s="6">
        <f t="shared" si="535"/>
        <v>2058</v>
      </c>
      <c r="C2317" s="1" t="s">
        <v>20</v>
      </c>
      <c r="D2317" s="2" t="s">
        <v>128</v>
      </c>
      <c r="E2317" s="9" t="str">
        <f t="shared" si="533"/>
        <v>PRBND'!</v>
      </c>
      <c r="F2317" s="5" t="str">
        <f t="shared" si="534"/>
        <v>C:\Users\jaime.benazar\Quorum Business Solutions\Ecopetrol Prometeo - Documents\Planning Space Implementation\3. Analysis &amp; Design\Design\FC22\DRR Jaime\QUIFA-CAJÚA\Cajua\[VAS_CAJUA_CF_SEC_20230125.xlsx]CF PRBND'!</v>
      </c>
      <c r="G2317" s="6" t="s">
        <v>40</v>
      </c>
      <c r="H2317" s="1"/>
      <c r="I2317" s="1"/>
      <c r="J2317" s="1"/>
    </row>
    <row r="2318" spans="1:10" x14ac:dyDescent="0.25">
      <c r="A2318" s="6" t="s">
        <v>101</v>
      </c>
      <c r="B2318" s="6">
        <f t="shared" si="535"/>
        <v>2059</v>
      </c>
      <c r="C2318" s="1" t="s">
        <v>20</v>
      </c>
      <c r="D2318" s="2" t="s">
        <v>128</v>
      </c>
      <c r="E2318" s="9" t="str">
        <f t="shared" si="533"/>
        <v>PRBND'!</v>
      </c>
      <c r="F2318" s="5" t="str">
        <f t="shared" si="534"/>
        <v>C:\Users\jaime.benazar\Quorum Business Solutions\Ecopetrol Prometeo - Documents\Planning Space Implementation\3. Analysis &amp; Design\Design\FC22\DRR Jaime\QUIFA-CAJÚA\Cajua\[VAS_CAJUA_CF_SEC_20230125.xlsx]CF PRBND'!</v>
      </c>
      <c r="G2318" s="6" t="s">
        <v>40</v>
      </c>
      <c r="H2318" s="1"/>
      <c r="I2318" s="1"/>
      <c r="J2318" s="1"/>
    </row>
    <row r="2319" spans="1:10" x14ac:dyDescent="0.25">
      <c r="A2319" s="6" t="s">
        <v>28</v>
      </c>
      <c r="B2319" s="6"/>
      <c r="C2319" s="1" t="s">
        <v>20</v>
      </c>
      <c r="D2319" s="2"/>
      <c r="E2319" s="9"/>
      <c r="F2319" s="5"/>
      <c r="G2319" s="6"/>
      <c r="H2319" s="1"/>
      <c r="I2319" s="1"/>
      <c r="J2319" s="1"/>
    </row>
    <row r="2320" spans="1:10" x14ac:dyDescent="0.25">
      <c r="A2320" s="6" t="s">
        <v>4</v>
      </c>
      <c r="B2320" s="6">
        <v>2023</v>
      </c>
      <c r="C2320" s="1" t="s">
        <v>20</v>
      </c>
      <c r="D2320" s="2" t="s">
        <v>128</v>
      </c>
      <c r="E2320" s="9" t="str">
        <f t="shared" si="504"/>
        <v>PRB'!</v>
      </c>
      <c r="F2320" s="5" t="str">
        <f t="shared" ref="F2320:F2340" si="536">_xlfn.CONCAT(D2320," ",E2320)</f>
        <v>C:\Users\jaime.benazar\Quorum Business Solutions\Ecopetrol Prometeo - Documents\Planning Space Implementation\3. Analysis &amp; Design\Design\FC22\DRR Jaime\QUIFA-CAJÚA\Cajua\[VAS_CAJUA_CF_SEC_20230125.xlsx]CF PRB'!</v>
      </c>
      <c r="G2320" s="6" t="s">
        <v>40</v>
      </c>
      <c r="H2320" s="1">
        <f>IF(A2320&lt;&gt;A2190,36,H2190+1)</f>
        <v>36</v>
      </c>
      <c r="I2320" s="1" t="str">
        <f t="shared" si="505"/>
        <v>='C:\Users\jaime.benazar\Quorum Business Solutions\Ecopetrol Prometeo - Documents\Planning Space Implementation\3. Analysis &amp; Design\Design\FC22\DRR Jaime\QUIFA-CAJÚA\Cajua\[VAS_CAJUA_CF_SEC_20230125.xlsx]CF PRB'!$CT$36</v>
      </c>
      <c r="J2320" s="1" t="s">
        <v>1165</v>
      </c>
    </row>
    <row r="2321" spans="1:10" x14ac:dyDescent="0.25">
      <c r="A2321" s="6" t="s">
        <v>4</v>
      </c>
      <c r="B2321" s="6">
        <f>+B2320+1</f>
        <v>2024</v>
      </c>
      <c r="C2321" s="1" t="s">
        <v>20</v>
      </c>
      <c r="D2321" s="2" t="s">
        <v>128</v>
      </c>
      <c r="E2321" s="9" t="str">
        <f t="shared" si="504"/>
        <v>PRB'!</v>
      </c>
      <c r="F2321" s="5" t="str">
        <f t="shared" si="536"/>
        <v>C:\Users\jaime.benazar\Quorum Business Solutions\Ecopetrol Prometeo - Documents\Planning Space Implementation\3. Analysis &amp; Design\Design\FC22\DRR Jaime\QUIFA-CAJÚA\Cajua\[VAS_CAJUA_CF_SEC_20230125.xlsx]CF PRB'!</v>
      </c>
      <c r="G2321" s="6" t="s">
        <v>40</v>
      </c>
      <c r="H2321" s="1">
        <f t="shared" si="506"/>
        <v>37</v>
      </c>
      <c r="I2321" s="1" t="str">
        <f t="shared" si="505"/>
        <v>='C:\Users\jaime.benazar\Quorum Business Solutions\Ecopetrol Prometeo - Documents\Planning Space Implementation\3. Analysis &amp; Design\Design\FC22\DRR Jaime\QUIFA-CAJÚA\Cajua\[VAS_CAJUA_CF_SEC_20230125.xlsx]CF PRB'!$CT$37</v>
      </c>
      <c r="J2321" s="1" t="s">
        <v>1166</v>
      </c>
    </row>
    <row r="2322" spans="1:10" x14ac:dyDescent="0.25">
      <c r="A2322" s="6" t="s">
        <v>4</v>
      </c>
      <c r="B2322" s="6">
        <f t="shared" ref="B2322:B2333" si="537">+B2321+1</f>
        <v>2025</v>
      </c>
      <c r="C2322" s="1" t="s">
        <v>20</v>
      </c>
      <c r="D2322" s="2" t="s">
        <v>128</v>
      </c>
      <c r="E2322" s="9" t="str">
        <f t="shared" si="504"/>
        <v>PRB'!</v>
      </c>
      <c r="F2322" s="5" t="str">
        <f t="shared" si="536"/>
        <v>C:\Users\jaime.benazar\Quorum Business Solutions\Ecopetrol Prometeo - Documents\Planning Space Implementation\3. Analysis &amp; Design\Design\FC22\DRR Jaime\QUIFA-CAJÚA\Cajua\[VAS_CAJUA_CF_SEC_20230125.xlsx]CF PRB'!</v>
      </c>
      <c r="G2322" s="6" t="s">
        <v>40</v>
      </c>
      <c r="H2322" s="1">
        <f t="shared" si="506"/>
        <v>38</v>
      </c>
      <c r="I2322" s="1" t="str">
        <f t="shared" si="505"/>
        <v>='C:\Users\jaime.benazar\Quorum Business Solutions\Ecopetrol Prometeo - Documents\Planning Space Implementation\3. Analysis &amp; Design\Design\FC22\DRR Jaime\QUIFA-CAJÚA\Cajua\[VAS_CAJUA_CF_SEC_20230125.xlsx]CF PRB'!$CT$38</v>
      </c>
      <c r="J2322" s="1" t="s">
        <v>1167</v>
      </c>
    </row>
    <row r="2323" spans="1:10" x14ac:dyDescent="0.25">
      <c r="A2323" s="6" t="s">
        <v>4</v>
      </c>
      <c r="B2323" s="6">
        <f t="shared" si="537"/>
        <v>2026</v>
      </c>
      <c r="C2323" s="1" t="s">
        <v>20</v>
      </c>
      <c r="D2323" s="2" t="s">
        <v>128</v>
      </c>
      <c r="E2323" s="9" t="str">
        <f t="shared" si="504"/>
        <v>PRB'!</v>
      </c>
      <c r="F2323" s="5" t="str">
        <f t="shared" si="536"/>
        <v>C:\Users\jaime.benazar\Quorum Business Solutions\Ecopetrol Prometeo - Documents\Planning Space Implementation\3. Analysis &amp; Design\Design\FC22\DRR Jaime\QUIFA-CAJÚA\Cajua\[VAS_CAJUA_CF_SEC_20230125.xlsx]CF PRB'!</v>
      </c>
      <c r="G2323" s="6" t="s">
        <v>40</v>
      </c>
      <c r="H2323" s="1">
        <f t="shared" si="506"/>
        <v>39</v>
      </c>
      <c r="I2323" s="1" t="str">
        <f t="shared" si="505"/>
        <v>='C:\Users\jaime.benazar\Quorum Business Solutions\Ecopetrol Prometeo - Documents\Planning Space Implementation\3. Analysis &amp; Design\Design\FC22\DRR Jaime\QUIFA-CAJÚA\Cajua\[VAS_CAJUA_CF_SEC_20230125.xlsx]CF PRB'!$CT$39</v>
      </c>
      <c r="J2323" s="1" t="s">
        <v>1168</v>
      </c>
    </row>
    <row r="2324" spans="1:10" x14ac:dyDescent="0.25">
      <c r="A2324" s="6" t="s">
        <v>4</v>
      </c>
      <c r="B2324" s="6">
        <f t="shared" si="537"/>
        <v>2027</v>
      </c>
      <c r="C2324" s="1" t="s">
        <v>20</v>
      </c>
      <c r="D2324" s="2" t="s">
        <v>128</v>
      </c>
      <c r="E2324" s="9" t="str">
        <f t="shared" si="504"/>
        <v>PRB'!</v>
      </c>
      <c r="F2324" s="5" t="str">
        <f t="shared" si="536"/>
        <v>C:\Users\jaime.benazar\Quorum Business Solutions\Ecopetrol Prometeo - Documents\Planning Space Implementation\3. Analysis &amp; Design\Design\FC22\DRR Jaime\QUIFA-CAJÚA\Cajua\[VAS_CAJUA_CF_SEC_20230125.xlsx]CF PRB'!</v>
      </c>
      <c r="G2324" s="6" t="s">
        <v>40</v>
      </c>
      <c r="H2324" s="1">
        <f t="shared" si="506"/>
        <v>40</v>
      </c>
      <c r="I2324" s="1" t="str">
        <f t="shared" si="505"/>
        <v>='C:\Users\jaime.benazar\Quorum Business Solutions\Ecopetrol Prometeo - Documents\Planning Space Implementation\3. Analysis &amp; Design\Design\FC22\DRR Jaime\QUIFA-CAJÚA\Cajua\[VAS_CAJUA_CF_SEC_20230125.xlsx]CF PRB'!$CT$40</v>
      </c>
      <c r="J2324" s="1" t="s">
        <v>1169</v>
      </c>
    </row>
    <row r="2325" spans="1:10" x14ac:dyDescent="0.25">
      <c r="A2325" s="6" t="s">
        <v>4</v>
      </c>
      <c r="B2325" s="6">
        <f t="shared" si="537"/>
        <v>2028</v>
      </c>
      <c r="C2325" s="1" t="s">
        <v>20</v>
      </c>
      <c r="D2325" s="2" t="s">
        <v>128</v>
      </c>
      <c r="E2325" s="9" t="str">
        <f t="shared" si="504"/>
        <v>PRB'!</v>
      </c>
      <c r="F2325" s="5" t="str">
        <f t="shared" si="536"/>
        <v>C:\Users\jaime.benazar\Quorum Business Solutions\Ecopetrol Prometeo - Documents\Planning Space Implementation\3. Analysis &amp; Design\Design\FC22\DRR Jaime\QUIFA-CAJÚA\Cajua\[VAS_CAJUA_CF_SEC_20230125.xlsx]CF PRB'!</v>
      </c>
      <c r="G2325" s="6" t="s">
        <v>40</v>
      </c>
      <c r="H2325" s="1">
        <f t="shared" si="506"/>
        <v>41</v>
      </c>
      <c r="I2325" s="1" t="str">
        <f t="shared" si="505"/>
        <v>='C:\Users\jaime.benazar\Quorum Business Solutions\Ecopetrol Prometeo - Documents\Planning Space Implementation\3. Analysis &amp; Design\Design\FC22\DRR Jaime\QUIFA-CAJÚA\Cajua\[VAS_CAJUA_CF_SEC_20230125.xlsx]CF PRB'!$CT$41</v>
      </c>
      <c r="J2325" s="1" t="s">
        <v>1170</v>
      </c>
    </row>
    <row r="2326" spans="1:10" x14ac:dyDescent="0.25">
      <c r="A2326" s="6" t="s">
        <v>4</v>
      </c>
      <c r="B2326" s="6">
        <f t="shared" si="537"/>
        <v>2029</v>
      </c>
      <c r="C2326" s="1" t="s">
        <v>20</v>
      </c>
      <c r="D2326" s="2" t="s">
        <v>128</v>
      </c>
      <c r="E2326" s="9" t="str">
        <f t="shared" si="504"/>
        <v>PRB'!</v>
      </c>
      <c r="F2326" s="5" t="str">
        <f t="shared" si="536"/>
        <v>C:\Users\jaime.benazar\Quorum Business Solutions\Ecopetrol Prometeo - Documents\Planning Space Implementation\3. Analysis &amp; Design\Design\FC22\DRR Jaime\QUIFA-CAJÚA\Cajua\[VAS_CAJUA_CF_SEC_20230125.xlsx]CF PRB'!</v>
      </c>
      <c r="G2326" s="6" t="s">
        <v>40</v>
      </c>
      <c r="H2326" s="1">
        <f t="shared" si="506"/>
        <v>42</v>
      </c>
      <c r="I2326" s="1" t="str">
        <f t="shared" si="505"/>
        <v>='C:\Users\jaime.benazar\Quorum Business Solutions\Ecopetrol Prometeo - Documents\Planning Space Implementation\3. Analysis &amp; Design\Design\FC22\DRR Jaime\QUIFA-CAJÚA\Cajua\[VAS_CAJUA_CF_SEC_20230125.xlsx]CF PRB'!$CT$42</v>
      </c>
      <c r="J2326" s="1" t="s">
        <v>1171</v>
      </c>
    </row>
    <row r="2327" spans="1:10" x14ac:dyDescent="0.25">
      <c r="A2327" s="6" t="s">
        <v>4</v>
      </c>
      <c r="B2327" s="6">
        <f t="shared" si="537"/>
        <v>2030</v>
      </c>
      <c r="C2327" s="1" t="s">
        <v>20</v>
      </c>
      <c r="D2327" s="2" t="s">
        <v>128</v>
      </c>
      <c r="E2327" s="9" t="str">
        <f t="shared" si="504"/>
        <v>PRB'!</v>
      </c>
      <c r="F2327" s="5" t="str">
        <f t="shared" si="536"/>
        <v>C:\Users\jaime.benazar\Quorum Business Solutions\Ecopetrol Prometeo - Documents\Planning Space Implementation\3. Analysis &amp; Design\Design\FC22\DRR Jaime\QUIFA-CAJÚA\Cajua\[VAS_CAJUA_CF_SEC_20230125.xlsx]CF PRB'!</v>
      </c>
      <c r="G2327" s="6" t="s">
        <v>40</v>
      </c>
      <c r="H2327" s="1">
        <f t="shared" si="506"/>
        <v>43</v>
      </c>
      <c r="I2327" s="1" t="str">
        <f t="shared" si="505"/>
        <v>='C:\Users\jaime.benazar\Quorum Business Solutions\Ecopetrol Prometeo - Documents\Planning Space Implementation\3. Analysis &amp; Design\Design\FC22\DRR Jaime\QUIFA-CAJÚA\Cajua\[VAS_CAJUA_CF_SEC_20230125.xlsx]CF PRB'!$CT$43</v>
      </c>
      <c r="J2327" s="1" t="s">
        <v>1172</v>
      </c>
    </row>
    <row r="2328" spans="1:10" x14ac:dyDescent="0.25">
      <c r="A2328" s="6" t="s">
        <v>4</v>
      </c>
      <c r="B2328" s="6">
        <f t="shared" si="537"/>
        <v>2031</v>
      </c>
      <c r="C2328" s="1" t="s">
        <v>20</v>
      </c>
      <c r="D2328" s="2" t="s">
        <v>128</v>
      </c>
      <c r="E2328" s="9" t="str">
        <f t="shared" si="504"/>
        <v>PRB'!</v>
      </c>
      <c r="F2328" s="5" t="str">
        <f t="shared" si="536"/>
        <v>C:\Users\jaime.benazar\Quorum Business Solutions\Ecopetrol Prometeo - Documents\Planning Space Implementation\3. Analysis &amp; Design\Design\FC22\DRR Jaime\QUIFA-CAJÚA\Cajua\[VAS_CAJUA_CF_SEC_20230125.xlsx]CF PRB'!</v>
      </c>
      <c r="G2328" s="6" t="s">
        <v>40</v>
      </c>
      <c r="H2328" s="1">
        <f t="shared" si="506"/>
        <v>44</v>
      </c>
      <c r="I2328" s="1" t="str">
        <f t="shared" si="505"/>
        <v>='C:\Users\jaime.benazar\Quorum Business Solutions\Ecopetrol Prometeo - Documents\Planning Space Implementation\3. Analysis &amp; Design\Design\FC22\DRR Jaime\QUIFA-CAJÚA\Cajua\[VAS_CAJUA_CF_SEC_20230125.xlsx]CF PRB'!$CT$44</v>
      </c>
      <c r="J2328" s="1" t="s">
        <v>1173</v>
      </c>
    </row>
    <row r="2329" spans="1:10" x14ac:dyDescent="0.25">
      <c r="A2329" s="6" t="s">
        <v>4</v>
      </c>
      <c r="B2329" s="6">
        <f t="shared" si="537"/>
        <v>2032</v>
      </c>
      <c r="C2329" s="1" t="s">
        <v>20</v>
      </c>
      <c r="D2329" s="2" t="s">
        <v>128</v>
      </c>
      <c r="E2329" s="9" t="str">
        <f t="shared" si="504"/>
        <v>PRB'!</v>
      </c>
      <c r="F2329" s="5" t="str">
        <f t="shared" si="536"/>
        <v>C:\Users\jaime.benazar\Quorum Business Solutions\Ecopetrol Prometeo - Documents\Planning Space Implementation\3. Analysis &amp; Design\Design\FC22\DRR Jaime\QUIFA-CAJÚA\Cajua\[VAS_CAJUA_CF_SEC_20230125.xlsx]CF PRB'!</v>
      </c>
      <c r="G2329" s="6" t="s">
        <v>40</v>
      </c>
      <c r="H2329" s="1">
        <f t="shared" si="506"/>
        <v>45</v>
      </c>
      <c r="I2329" s="1" t="str">
        <f t="shared" si="505"/>
        <v>='C:\Users\jaime.benazar\Quorum Business Solutions\Ecopetrol Prometeo - Documents\Planning Space Implementation\3. Analysis &amp; Design\Design\FC22\DRR Jaime\QUIFA-CAJÚA\Cajua\[VAS_CAJUA_CF_SEC_20230125.xlsx]CF PRB'!$CT$45</v>
      </c>
      <c r="J2329" s="1" t="s">
        <v>1174</v>
      </c>
    </row>
    <row r="2330" spans="1:10" x14ac:dyDescent="0.25">
      <c r="A2330" s="6" t="s">
        <v>4</v>
      </c>
      <c r="B2330" s="6">
        <f t="shared" si="537"/>
        <v>2033</v>
      </c>
      <c r="C2330" s="1" t="s">
        <v>20</v>
      </c>
      <c r="D2330" s="2" t="s">
        <v>128</v>
      </c>
      <c r="E2330" s="9" t="str">
        <f t="shared" si="504"/>
        <v>PRB'!</v>
      </c>
      <c r="F2330" s="5" t="str">
        <f t="shared" si="536"/>
        <v>C:\Users\jaime.benazar\Quorum Business Solutions\Ecopetrol Prometeo - Documents\Planning Space Implementation\3. Analysis &amp; Design\Design\FC22\DRR Jaime\QUIFA-CAJÚA\Cajua\[VAS_CAJUA_CF_SEC_20230125.xlsx]CF PRB'!</v>
      </c>
      <c r="G2330" s="6" t="s">
        <v>40</v>
      </c>
      <c r="H2330" s="1">
        <f t="shared" si="506"/>
        <v>46</v>
      </c>
      <c r="I2330" s="1" t="str">
        <f t="shared" si="505"/>
        <v>='C:\Users\jaime.benazar\Quorum Business Solutions\Ecopetrol Prometeo - Documents\Planning Space Implementation\3. Analysis &amp; Design\Design\FC22\DRR Jaime\QUIFA-CAJÚA\Cajua\[VAS_CAJUA_CF_SEC_20230125.xlsx]CF PRB'!$CT$46</v>
      </c>
      <c r="J2330" s="1" t="s">
        <v>1175</v>
      </c>
    </row>
    <row r="2331" spans="1:10" x14ac:dyDescent="0.25">
      <c r="A2331" s="6" t="s">
        <v>4</v>
      </c>
      <c r="B2331" s="6">
        <f t="shared" si="537"/>
        <v>2034</v>
      </c>
      <c r="C2331" s="1" t="s">
        <v>20</v>
      </c>
      <c r="D2331" s="2" t="s">
        <v>128</v>
      </c>
      <c r="E2331" s="9" t="str">
        <f t="shared" si="504"/>
        <v>PRB'!</v>
      </c>
      <c r="F2331" s="5" t="str">
        <f t="shared" si="536"/>
        <v>C:\Users\jaime.benazar\Quorum Business Solutions\Ecopetrol Prometeo - Documents\Planning Space Implementation\3. Analysis &amp; Design\Design\FC22\DRR Jaime\QUIFA-CAJÚA\Cajua\[VAS_CAJUA_CF_SEC_20230125.xlsx]CF PRB'!</v>
      </c>
      <c r="G2331" s="6" t="s">
        <v>40</v>
      </c>
      <c r="H2331" s="1">
        <f t="shared" si="506"/>
        <v>47</v>
      </c>
      <c r="I2331" s="1" t="str">
        <f t="shared" si="505"/>
        <v>='C:\Users\jaime.benazar\Quorum Business Solutions\Ecopetrol Prometeo - Documents\Planning Space Implementation\3. Analysis &amp; Design\Design\FC22\DRR Jaime\QUIFA-CAJÚA\Cajua\[VAS_CAJUA_CF_SEC_20230125.xlsx]CF PRB'!$CT$47</v>
      </c>
      <c r="J2331" s="1" t="s">
        <v>1176</v>
      </c>
    </row>
    <row r="2332" spans="1:10" x14ac:dyDescent="0.25">
      <c r="A2332" s="6" t="s">
        <v>4</v>
      </c>
      <c r="B2332" s="6">
        <f t="shared" si="537"/>
        <v>2035</v>
      </c>
      <c r="C2332" s="1" t="s">
        <v>20</v>
      </c>
      <c r="D2332" s="2" t="s">
        <v>128</v>
      </c>
      <c r="E2332" s="9" t="str">
        <f t="shared" si="504"/>
        <v>PRB'!</v>
      </c>
      <c r="F2332" s="5" t="str">
        <f t="shared" si="536"/>
        <v>C:\Users\jaime.benazar\Quorum Business Solutions\Ecopetrol Prometeo - Documents\Planning Space Implementation\3. Analysis &amp; Design\Design\FC22\DRR Jaime\QUIFA-CAJÚA\Cajua\[VAS_CAJUA_CF_SEC_20230125.xlsx]CF PRB'!</v>
      </c>
      <c r="G2332" s="6" t="s">
        <v>40</v>
      </c>
      <c r="H2332" s="1">
        <f t="shared" si="506"/>
        <v>48</v>
      </c>
      <c r="I2332" s="1" t="str">
        <f t="shared" si="505"/>
        <v>='C:\Users\jaime.benazar\Quorum Business Solutions\Ecopetrol Prometeo - Documents\Planning Space Implementation\3. Analysis &amp; Design\Design\FC22\DRR Jaime\QUIFA-CAJÚA\Cajua\[VAS_CAJUA_CF_SEC_20230125.xlsx]CF PRB'!$CT$48</v>
      </c>
      <c r="J2332" s="1" t="s">
        <v>1177</v>
      </c>
    </row>
    <row r="2333" spans="1:10" x14ac:dyDescent="0.25">
      <c r="A2333" s="6" t="s">
        <v>4</v>
      </c>
      <c r="B2333" s="6">
        <f t="shared" si="537"/>
        <v>2036</v>
      </c>
      <c r="C2333" s="1" t="s">
        <v>20</v>
      </c>
      <c r="D2333" s="2" t="s">
        <v>128</v>
      </c>
      <c r="E2333" s="9" t="str">
        <f t="shared" si="504"/>
        <v>PRB'!</v>
      </c>
      <c r="F2333" s="5" t="str">
        <f t="shared" si="536"/>
        <v>C:\Users\jaime.benazar\Quorum Business Solutions\Ecopetrol Prometeo - Documents\Planning Space Implementation\3. Analysis &amp; Design\Design\FC22\DRR Jaime\QUIFA-CAJÚA\Cajua\[VAS_CAJUA_CF_SEC_20230125.xlsx]CF PRB'!</v>
      </c>
      <c r="G2333" s="6" t="s">
        <v>40</v>
      </c>
      <c r="H2333" s="1">
        <f t="shared" si="506"/>
        <v>49</v>
      </c>
      <c r="I2333" s="1" t="str">
        <f t="shared" si="505"/>
        <v>='C:\Users\jaime.benazar\Quorum Business Solutions\Ecopetrol Prometeo - Documents\Planning Space Implementation\3. Analysis &amp; Design\Design\FC22\DRR Jaime\QUIFA-CAJÚA\Cajua\[VAS_CAJUA_CF_SEC_20230125.xlsx]CF PRB'!$CT$49</v>
      </c>
      <c r="J2333" s="1" t="s">
        <v>1178</v>
      </c>
    </row>
    <row r="2334" spans="1:10" x14ac:dyDescent="0.25">
      <c r="A2334" s="6" t="s">
        <v>4</v>
      </c>
      <c r="B2334" s="6">
        <f>+B2333+1</f>
        <v>2037</v>
      </c>
      <c r="C2334" s="1" t="s">
        <v>20</v>
      </c>
      <c r="D2334" s="2" t="s">
        <v>128</v>
      </c>
      <c r="E2334" s="9" t="str">
        <f t="shared" si="504"/>
        <v>PRB'!</v>
      </c>
      <c r="F2334" s="5" t="str">
        <f t="shared" si="536"/>
        <v>C:\Users\jaime.benazar\Quorum Business Solutions\Ecopetrol Prometeo - Documents\Planning Space Implementation\3. Analysis &amp; Design\Design\FC22\DRR Jaime\QUIFA-CAJÚA\Cajua\[VAS_CAJUA_CF_SEC_20230125.xlsx]CF PRB'!</v>
      </c>
      <c r="G2334" s="6" t="s">
        <v>40</v>
      </c>
      <c r="H2334" s="1">
        <f t="shared" si="506"/>
        <v>50</v>
      </c>
      <c r="I2334" s="1" t="str">
        <f t="shared" si="505"/>
        <v>='C:\Users\jaime.benazar\Quorum Business Solutions\Ecopetrol Prometeo - Documents\Planning Space Implementation\3. Analysis &amp; Design\Design\FC22\DRR Jaime\QUIFA-CAJÚA\Cajua\[VAS_CAJUA_CF_SEC_20230125.xlsx]CF PRB'!$CT$50</v>
      </c>
      <c r="J2334" s="1" t="s">
        <v>1179</v>
      </c>
    </row>
    <row r="2335" spans="1:10" x14ac:dyDescent="0.25">
      <c r="A2335" s="6" t="s">
        <v>4</v>
      </c>
      <c r="B2335" s="6">
        <f t="shared" ref="B2335:B2337" si="538">+B2334+1</f>
        <v>2038</v>
      </c>
      <c r="C2335" s="1" t="s">
        <v>20</v>
      </c>
      <c r="D2335" s="2" t="s">
        <v>128</v>
      </c>
      <c r="E2335" s="9" t="str">
        <f t="shared" si="504"/>
        <v>PRB'!</v>
      </c>
      <c r="F2335" s="5" t="str">
        <f t="shared" si="536"/>
        <v>C:\Users\jaime.benazar\Quorum Business Solutions\Ecopetrol Prometeo - Documents\Planning Space Implementation\3. Analysis &amp; Design\Design\FC22\DRR Jaime\QUIFA-CAJÚA\Cajua\[VAS_CAJUA_CF_SEC_20230125.xlsx]CF PRB'!</v>
      </c>
      <c r="G2335" s="6" t="s">
        <v>40</v>
      </c>
      <c r="H2335" s="1">
        <f t="shared" si="506"/>
        <v>51</v>
      </c>
      <c r="I2335" s="1" t="str">
        <f t="shared" si="505"/>
        <v>='C:\Users\jaime.benazar\Quorum Business Solutions\Ecopetrol Prometeo - Documents\Planning Space Implementation\3. Analysis &amp; Design\Design\FC22\DRR Jaime\QUIFA-CAJÚA\Cajua\[VAS_CAJUA_CF_SEC_20230125.xlsx]CF PRB'!$CT$51</v>
      </c>
      <c r="J2335" s="1" t="s">
        <v>1180</v>
      </c>
    </row>
    <row r="2336" spans="1:10" x14ac:dyDescent="0.25">
      <c r="A2336" s="6" t="s">
        <v>4</v>
      </c>
      <c r="B2336" s="6">
        <f t="shared" si="538"/>
        <v>2039</v>
      </c>
      <c r="C2336" s="1" t="s">
        <v>20</v>
      </c>
      <c r="D2336" s="2" t="s">
        <v>128</v>
      </c>
      <c r="E2336" s="9" t="str">
        <f t="shared" si="504"/>
        <v>PRB'!</v>
      </c>
      <c r="F2336" s="5" t="str">
        <f t="shared" si="536"/>
        <v>C:\Users\jaime.benazar\Quorum Business Solutions\Ecopetrol Prometeo - Documents\Planning Space Implementation\3. Analysis &amp; Design\Design\FC22\DRR Jaime\QUIFA-CAJÚA\Cajua\[VAS_CAJUA_CF_SEC_20230125.xlsx]CF PRB'!</v>
      </c>
      <c r="G2336" s="6" t="s">
        <v>40</v>
      </c>
      <c r="H2336" s="1">
        <f t="shared" si="506"/>
        <v>52</v>
      </c>
      <c r="I2336" s="1" t="str">
        <f t="shared" si="505"/>
        <v>='C:\Users\jaime.benazar\Quorum Business Solutions\Ecopetrol Prometeo - Documents\Planning Space Implementation\3. Analysis &amp; Design\Design\FC22\DRR Jaime\QUIFA-CAJÚA\Cajua\[VAS_CAJUA_CF_SEC_20230125.xlsx]CF PRB'!$CT$52</v>
      </c>
      <c r="J2336" s="1" t="s">
        <v>1181</v>
      </c>
    </row>
    <row r="2337" spans="1:10" x14ac:dyDescent="0.25">
      <c r="A2337" s="6" t="s">
        <v>4</v>
      </c>
      <c r="B2337" s="6">
        <f t="shared" si="538"/>
        <v>2040</v>
      </c>
      <c r="C2337" s="1" t="s">
        <v>20</v>
      </c>
      <c r="D2337" s="2" t="s">
        <v>128</v>
      </c>
      <c r="E2337" s="9" t="str">
        <f t="shared" si="504"/>
        <v>PRB'!</v>
      </c>
      <c r="F2337" s="5" t="str">
        <f t="shared" si="536"/>
        <v>C:\Users\jaime.benazar\Quorum Business Solutions\Ecopetrol Prometeo - Documents\Planning Space Implementation\3. Analysis &amp; Design\Design\FC22\DRR Jaime\QUIFA-CAJÚA\Cajua\[VAS_CAJUA_CF_SEC_20230125.xlsx]CF PRB'!</v>
      </c>
      <c r="G2337" s="6" t="s">
        <v>40</v>
      </c>
      <c r="H2337" s="1">
        <f t="shared" si="506"/>
        <v>53</v>
      </c>
      <c r="I2337" s="1" t="str">
        <f t="shared" si="505"/>
        <v>='C:\Users\jaime.benazar\Quorum Business Solutions\Ecopetrol Prometeo - Documents\Planning Space Implementation\3. Analysis &amp; Design\Design\FC22\DRR Jaime\QUIFA-CAJÚA\Cajua\[VAS_CAJUA_CF_SEC_20230125.xlsx]CF PRB'!$CT$53</v>
      </c>
      <c r="J2337" s="1" t="s">
        <v>1182</v>
      </c>
    </row>
    <row r="2338" spans="1:10" x14ac:dyDescent="0.25">
      <c r="A2338" s="6" t="s">
        <v>4</v>
      </c>
      <c r="B2338" s="6">
        <f>+B2337+1</f>
        <v>2041</v>
      </c>
      <c r="C2338" s="1" t="s">
        <v>20</v>
      </c>
      <c r="D2338" s="2" t="s">
        <v>128</v>
      </c>
      <c r="E2338" s="9" t="str">
        <f t="shared" si="504"/>
        <v>PRB'!</v>
      </c>
      <c r="F2338" s="5" t="str">
        <f t="shared" si="536"/>
        <v>C:\Users\jaime.benazar\Quorum Business Solutions\Ecopetrol Prometeo - Documents\Planning Space Implementation\3. Analysis &amp; Design\Design\FC22\DRR Jaime\QUIFA-CAJÚA\Cajua\[VAS_CAJUA_CF_SEC_20230125.xlsx]CF PRB'!</v>
      </c>
      <c r="G2338" s="6" t="s">
        <v>40</v>
      </c>
      <c r="H2338" s="1">
        <f t="shared" si="506"/>
        <v>54</v>
      </c>
      <c r="I2338" s="1" t="str">
        <f t="shared" si="505"/>
        <v>='C:\Users\jaime.benazar\Quorum Business Solutions\Ecopetrol Prometeo - Documents\Planning Space Implementation\3. Analysis &amp; Design\Design\FC22\DRR Jaime\QUIFA-CAJÚA\Cajua\[VAS_CAJUA_CF_SEC_20230125.xlsx]CF PRB'!$CT$54</v>
      </c>
      <c r="J2338" s="1" t="s">
        <v>1183</v>
      </c>
    </row>
    <row r="2339" spans="1:10" x14ac:dyDescent="0.25">
      <c r="A2339" s="6" t="s">
        <v>4</v>
      </c>
      <c r="B2339" s="6">
        <f t="shared" ref="B2339:B2340" si="539">+B2338+1</f>
        <v>2042</v>
      </c>
      <c r="C2339" s="1" t="s">
        <v>20</v>
      </c>
      <c r="D2339" s="2" t="s">
        <v>128</v>
      </c>
      <c r="E2339" s="9" t="str">
        <f t="shared" si="504"/>
        <v>PRB'!</v>
      </c>
      <c r="F2339" s="5" t="str">
        <f t="shared" si="536"/>
        <v>C:\Users\jaime.benazar\Quorum Business Solutions\Ecopetrol Prometeo - Documents\Planning Space Implementation\3. Analysis &amp; Design\Design\FC22\DRR Jaime\QUIFA-CAJÚA\Cajua\[VAS_CAJUA_CF_SEC_20230125.xlsx]CF PRB'!</v>
      </c>
      <c r="G2339" s="6" t="s">
        <v>40</v>
      </c>
      <c r="H2339" s="1">
        <f t="shared" si="506"/>
        <v>55</v>
      </c>
      <c r="I2339" s="1" t="str">
        <f t="shared" si="505"/>
        <v>='C:\Users\jaime.benazar\Quorum Business Solutions\Ecopetrol Prometeo - Documents\Planning Space Implementation\3. Analysis &amp; Design\Design\FC22\DRR Jaime\QUIFA-CAJÚA\Cajua\[VAS_CAJUA_CF_SEC_20230125.xlsx]CF PRB'!$CT$55</v>
      </c>
      <c r="J2339" s="1" t="s">
        <v>1184</v>
      </c>
    </row>
    <row r="2340" spans="1:10" x14ac:dyDescent="0.25">
      <c r="A2340" s="6" t="s">
        <v>4</v>
      </c>
      <c r="B2340" s="6">
        <f t="shared" si="539"/>
        <v>2043</v>
      </c>
      <c r="C2340" s="1" t="s">
        <v>20</v>
      </c>
      <c r="D2340" s="2" t="s">
        <v>128</v>
      </c>
      <c r="E2340" s="9" t="str">
        <f t="shared" si="504"/>
        <v>PRB'!</v>
      </c>
      <c r="F2340" s="5" t="str">
        <f t="shared" si="536"/>
        <v>C:\Users\jaime.benazar\Quorum Business Solutions\Ecopetrol Prometeo - Documents\Planning Space Implementation\3. Analysis &amp; Design\Design\FC22\DRR Jaime\QUIFA-CAJÚA\Cajua\[VAS_CAJUA_CF_SEC_20230125.xlsx]CF PRB'!</v>
      </c>
      <c r="G2340" s="6" t="s">
        <v>40</v>
      </c>
      <c r="H2340" s="1">
        <f t="shared" si="506"/>
        <v>56</v>
      </c>
      <c r="I2340" s="1" t="str">
        <f t="shared" si="505"/>
        <v>='C:\Users\jaime.benazar\Quorum Business Solutions\Ecopetrol Prometeo - Documents\Planning Space Implementation\3. Analysis &amp; Design\Design\FC22\DRR Jaime\QUIFA-CAJÚA\Cajua\[VAS_CAJUA_CF_SEC_20230125.xlsx]CF PRB'!$CT$56</v>
      </c>
      <c r="J2340" s="1" t="s">
        <v>1185</v>
      </c>
    </row>
    <row r="2341" spans="1:10" x14ac:dyDescent="0.25">
      <c r="A2341" s="6" t="s">
        <v>4</v>
      </c>
      <c r="B2341" s="6">
        <f>+B2340+1</f>
        <v>2044</v>
      </c>
      <c r="C2341" s="1" t="s">
        <v>20</v>
      </c>
      <c r="D2341" s="2" t="s">
        <v>128</v>
      </c>
      <c r="E2341" s="9" t="str">
        <f t="shared" ref="E2341:E2356" si="540">_xlfn.CONCAT(A2341,"'!")</f>
        <v>PRB'!</v>
      </c>
      <c r="F2341" s="5" t="str">
        <f t="shared" ref="F2341:F2356" si="541">_xlfn.CONCAT(D2341," ",E2341)</f>
        <v>C:\Users\jaime.benazar\Quorum Business Solutions\Ecopetrol Prometeo - Documents\Planning Space Implementation\3. Analysis &amp; Design\Design\FC22\DRR Jaime\QUIFA-CAJÚA\Cajua\[VAS_CAJUA_CF_SEC_20230125.xlsx]CF PRB'!</v>
      </c>
      <c r="G2341" s="6" t="s">
        <v>40</v>
      </c>
      <c r="H2341" s="1">
        <f t="shared" ref="H2341:H2356" si="542">IF(A2341&lt;&gt;A2340,36,H2340+1)</f>
        <v>57</v>
      </c>
      <c r="I2341" s="1" t="str">
        <f t="shared" ref="I2341:I2356" si="543">_xlfn.CONCAT("='",F2341:H2341)</f>
        <v>='C:\Users\jaime.benazar\Quorum Business Solutions\Ecopetrol Prometeo - Documents\Planning Space Implementation\3. Analysis &amp; Design\Design\FC22\DRR Jaime\QUIFA-CAJÚA\Cajua\[VAS_CAJUA_CF_SEC_20230125.xlsx]CF PRB'!$CT$57</v>
      </c>
      <c r="J2341" s="1" t="s">
        <v>1186</v>
      </c>
    </row>
    <row r="2342" spans="1:10" x14ac:dyDescent="0.25">
      <c r="A2342" s="6" t="s">
        <v>4</v>
      </c>
      <c r="B2342" s="6">
        <f t="shared" ref="B2342:B2356" si="544">+B2341+1</f>
        <v>2045</v>
      </c>
      <c r="C2342" s="1" t="s">
        <v>20</v>
      </c>
      <c r="D2342" s="2" t="s">
        <v>128</v>
      </c>
      <c r="E2342" s="9" t="str">
        <f t="shared" si="540"/>
        <v>PRB'!</v>
      </c>
      <c r="F2342" s="5" t="str">
        <f t="shared" si="541"/>
        <v>C:\Users\jaime.benazar\Quorum Business Solutions\Ecopetrol Prometeo - Documents\Planning Space Implementation\3. Analysis &amp; Design\Design\FC22\DRR Jaime\QUIFA-CAJÚA\Cajua\[VAS_CAJUA_CF_SEC_20230125.xlsx]CF PRB'!</v>
      </c>
      <c r="G2342" s="6" t="s">
        <v>40</v>
      </c>
      <c r="H2342" s="1">
        <f t="shared" si="542"/>
        <v>58</v>
      </c>
      <c r="I2342" s="1" t="str">
        <f t="shared" si="543"/>
        <v>='C:\Users\jaime.benazar\Quorum Business Solutions\Ecopetrol Prometeo - Documents\Planning Space Implementation\3. Analysis &amp; Design\Design\FC22\DRR Jaime\QUIFA-CAJÚA\Cajua\[VAS_CAJUA_CF_SEC_20230125.xlsx]CF PRB'!$CT$58</v>
      </c>
      <c r="J2342" s="1" t="s">
        <v>1187</v>
      </c>
    </row>
    <row r="2343" spans="1:10" x14ac:dyDescent="0.25">
      <c r="A2343" s="6" t="s">
        <v>4</v>
      </c>
      <c r="B2343" s="6">
        <f t="shared" si="544"/>
        <v>2046</v>
      </c>
      <c r="C2343" s="1" t="s">
        <v>20</v>
      </c>
      <c r="D2343" s="2" t="s">
        <v>128</v>
      </c>
      <c r="E2343" s="9" t="str">
        <f t="shared" si="540"/>
        <v>PRB'!</v>
      </c>
      <c r="F2343" s="5" t="str">
        <f t="shared" si="541"/>
        <v>C:\Users\jaime.benazar\Quorum Business Solutions\Ecopetrol Prometeo - Documents\Planning Space Implementation\3. Analysis &amp; Design\Design\FC22\DRR Jaime\QUIFA-CAJÚA\Cajua\[VAS_CAJUA_CF_SEC_20230125.xlsx]CF PRB'!</v>
      </c>
      <c r="G2343" s="6" t="s">
        <v>40</v>
      </c>
      <c r="H2343" s="1">
        <f t="shared" si="542"/>
        <v>59</v>
      </c>
      <c r="I2343" s="1" t="str">
        <f t="shared" si="543"/>
        <v>='C:\Users\jaime.benazar\Quorum Business Solutions\Ecopetrol Prometeo - Documents\Planning Space Implementation\3. Analysis &amp; Design\Design\FC22\DRR Jaime\QUIFA-CAJÚA\Cajua\[VAS_CAJUA_CF_SEC_20230125.xlsx]CF PRB'!$CT$59</v>
      </c>
      <c r="J2343" s="1" t="s">
        <v>1188</v>
      </c>
    </row>
    <row r="2344" spans="1:10" x14ac:dyDescent="0.25">
      <c r="A2344" s="6" t="s">
        <v>4</v>
      </c>
      <c r="B2344" s="6">
        <f t="shared" si="544"/>
        <v>2047</v>
      </c>
      <c r="C2344" s="1" t="s">
        <v>20</v>
      </c>
      <c r="D2344" s="2" t="s">
        <v>128</v>
      </c>
      <c r="E2344" s="9" t="str">
        <f t="shared" si="540"/>
        <v>PRB'!</v>
      </c>
      <c r="F2344" s="5" t="str">
        <f t="shared" si="541"/>
        <v>C:\Users\jaime.benazar\Quorum Business Solutions\Ecopetrol Prometeo - Documents\Planning Space Implementation\3. Analysis &amp; Design\Design\FC22\DRR Jaime\QUIFA-CAJÚA\Cajua\[VAS_CAJUA_CF_SEC_20230125.xlsx]CF PRB'!</v>
      </c>
      <c r="G2344" s="6" t="s">
        <v>40</v>
      </c>
      <c r="H2344" s="1">
        <f t="shared" si="542"/>
        <v>60</v>
      </c>
      <c r="I2344" s="1" t="str">
        <f t="shared" si="543"/>
        <v>='C:\Users\jaime.benazar\Quorum Business Solutions\Ecopetrol Prometeo - Documents\Planning Space Implementation\3. Analysis &amp; Design\Design\FC22\DRR Jaime\QUIFA-CAJÚA\Cajua\[VAS_CAJUA_CF_SEC_20230125.xlsx]CF PRB'!$CT$60</v>
      </c>
      <c r="J2344" s="1" t="s">
        <v>1189</v>
      </c>
    </row>
    <row r="2345" spans="1:10" x14ac:dyDescent="0.25">
      <c r="A2345" s="6" t="s">
        <v>4</v>
      </c>
      <c r="B2345" s="6">
        <f t="shared" si="544"/>
        <v>2048</v>
      </c>
      <c r="C2345" s="1" t="s">
        <v>20</v>
      </c>
      <c r="D2345" s="2" t="s">
        <v>128</v>
      </c>
      <c r="E2345" s="9" t="str">
        <f t="shared" si="540"/>
        <v>PRB'!</v>
      </c>
      <c r="F2345" s="5" t="str">
        <f t="shared" si="541"/>
        <v>C:\Users\jaime.benazar\Quorum Business Solutions\Ecopetrol Prometeo - Documents\Planning Space Implementation\3. Analysis &amp; Design\Design\FC22\DRR Jaime\QUIFA-CAJÚA\Cajua\[VAS_CAJUA_CF_SEC_20230125.xlsx]CF PRB'!</v>
      </c>
      <c r="G2345" s="6" t="s">
        <v>40</v>
      </c>
      <c r="H2345" s="1">
        <f t="shared" si="542"/>
        <v>61</v>
      </c>
      <c r="I2345" s="1" t="str">
        <f t="shared" si="543"/>
        <v>='C:\Users\jaime.benazar\Quorum Business Solutions\Ecopetrol Prometeo - Documents\Planning Space Implementation\3. Analysis &amp; Design\Design\FC22\DRR Jaime\QUIFA-CAJÚA\Cajua\[VAS_CAJUA_CF_SEC_20230125.xlsx]CF PRB'!$CT$61</v>
      </c>
      <c r="J2345" s="1" t="s">
        <v>1190</v>
      </c>
    </row>
    <row r="2346" spans="1:10" x14ac:dyDescent="0.25">
      <c r="A2346" s="6" t="s">
        <v>4</v>
      </c>
      <c r="B2346" s="6">
        <f t="shared" si="544"/>
        <v>2049</v>
      </c>
      <c r="C2346" s="1" t="s">
        <v>20</v>
      </c>
      <c r="D2346" s="2" t="s">
        <v>128</v>
      </c>
      <c r="E2346" s="9" t="str">
        <f t="shared" si="540"/>
        <v>PRB'!</v>
      </c>
      <c r="F2346" s="5" t="str">
        <f t="shared" si="541"/>
        <v>C:\Users\jaime.benazar\Quorum Business Solutions\Ecopetrol Prometeo - Documents\Planning Space Implementation\3. Analysis &amp; Design\Design\FC22\DRR Jaime\QUIFA-CAJÚA\Cajua\[VAS_CAJUA_CF_SEC_20230125.xlsx]CF PRB'!</v>
      </c>
      <c r="G2346" s="6" t="s">
        <v>40</v>
      </c>
      <c r="H2346" s="1">
        <f t="shared" si="542"/>
        <v>62</v>
      </c>
      <c r="I2346" s="1" t="str">
        <f t="shared" si="543"/>
        <v>='C:\Users\jaime.benazar\Quorum Business Solutions\Ecopetrol Prometeo - Documents\Planning Space Implementation\3. Analysis &amp; Design\Design\FC22\DRR Jaime\QUIFA-CAJÚA\Cajua\[VAS_CAJUA_CF_SEC_20230125.xlsx]CF PRB'!$CT$62</v>
      </c>
      <c r="J2346" s="1" t="s">
        <v>1191</v>
      </c>
    </row>
    <row r="2347" spans="1:10" x14ac:dyDescent="0.25">
      <c r="A2347" s="6" t="s">
        <v>4</v>
      </c>
      <c r="B2347" s="6">
        <f t="shared" si="544"/>
        <v>2050</v>
      </c>
      <c r="C2347" s="1" t="s">
        <v>20</v>
      </c>
      <c r="D2347" s="2" t="s">
        <v>128</v>
      </c>
      <c r="E2347" s="9" t="str">
        <f t="shared" si="540"/>
        <v>PRB'!</v>
      </c>
      <c r="F2347" s="5" t="str">
        <f t="shared" si="541"/>
        <v>C:\Users\jaime.benazar\Quorum Business Solutions\Ecopetrol Prometeo - Documents\Planning Space Implementation\3. Analysis &amp; Design\Design\FC22\DRR Jaime\QUIFA-CAJÚA\Cajua\[VAS_CAJUA_CF_SEC_20230125.xlsx]CF PRB'!</v>
      </c>
      <c r="G2347" s="6" t="s">
        <v>40</v>
      </c>
      <c r="H2347" s="1">
        <f t="shared" si="542"/>
        <v>63</v>
      </c>
      <c r="I2347" s="1" t="str">
        <f t="shared" si="543"/>
        <v>='C:\Users\jaime.benazar\Quorum Business Solutions\Ecopetrol Prometeo - Documents\Planning Space Implementation\3. Analysis &amp; Design\Design\FC22\DRR Jaime\QUIFA-CAJÚA\Cajua\[VAS_CAJUA_CF_SEC_20230125.xlsx]CF PRB'!$CT$63</v>
      </c>
      <c r="J2347" s="1" t="s">
        <v>1192</v>
      </c>
    </row>
    <row r="2348" spans="1:10" x14ac:dyDescent="0.25">
      <c r="A2348" s="6" t="s">
        <v>4</v>
      </c>
      <c r="B2348" s="6">
        <f t="shared" si="544"/>
        <v>2051</v>
      </c>
      <c r="C2348" s="1" t="s">
        <v>20</v>
      </c>
      <c r="D2348" s="2" t="s">
        <v>128</v>
      </c>
      <c r="E2348" s="9" t="str">
        <f t="shared" si="540"/>
        <v>PRB'!</v>
      </c>
      <c r="F2348" s="5" t="str">
        <f t="shared" si="541"/>
        <v>C:\Users\jaime.benazar\Quorum Business Solutions\Ecopetrol Prometeo - Documents\Planning Space Implementation\3. Analysis &amp; Design\Design\FC22\DRR Jaime\QUIFA-CAJÚA\Cajua\[VAS_CAJUA_CF_SEC_20230125.xlsx]CF PRB'!</v>
      </c>
      <c r="G2348" s="6" t="s">
        <v>40</v>
      </c>
      <c r="H2348" s="1">
        <f t="shared" si="542"/>
        <v>64</v>
      </c>
      <c r="I2348" s="1" t="str">
        <f t="shared" si="543"/>
        <v>='C:\Users\jaime.benazar\Quorum Business Solutions\Ecopetrol Prometeo - Documents\Planning Space Implementation\3. Analysis &amp; Design\Design\FC22\DRR Jaime\QUIFA-CAJÚA\Cajua\[VAS_CAJUA_CF_SEC_20230125.xlsx]CF PRB'!$CT$64</v>
      </c>
      <c r="J2348" s="1" t="s">
        <v>1193</v>
      </c>
    </row>
    <row r="2349" spans="1:10" x14ac:dyDescent="0.25">
      <c r="A2349" s="6" t="s">
        <v>4</v>
      </c>
      <c r="B2349" s="6">
        <f t="shared" si="544"/>
        <v>2052</v>
      </c>
      <c r="C2349" s="1" t="s">
        <v>20</v>
      </c>
      <c r="D2349" s="2" t="s">
        <v>128</v>
      </c>
      <c r="E2349" s="9" t="str">
        <f t="shared" si="540"/>
        <v>PRB'!</v>
      </c>
      <c r="F2349" s="5" t="str">
        <f t="shared" si="541"/>
        <v>C:\Users\jaime.benazar\Quorum Business Solutions\Ecopetrol Prometeo - Documents\Planning Space Implementation\3. Analysis &amp; Design\Design\FC22\DRR Jaime\QUIFA-CAJÚA\Cajua\[VAS_CAJUA_CF_SEC_20230125.xlsx]CF PRB'!</v>
      </c>
      <c r="G2349" s="6" t="s">
        <v>40</v>
      </c>
      <c r="H2349" s="1">
        <f t="shared" si="542"/>
        <v>65</v>
      </c>
      <c r="I2349" s="1" t="str">
        <f t="shared" si="543"/>
        <v>='C:\Users\jaime.benazar\Quorum Business Solutions\Ecopetrol Prometeo - Documents\Planning Space Implementation\3. Analysis &amp; Design\Design\FC22\DRR Jaime\QUIFA-CAJÚA\Cajua\[VAS_CAJUA_CF_SEC_20230125.xlsx]CF PRB'!$CT$65</v>
      </c>
      <c r="J2349" s="1" t="s">
        <v>1194</v>
      </c>
    </row>
    <row r="2350" spans="1:10" x14ac:dyDescent="0.25">
      <c r="A2350" s="6" t="s">
        <v>4</v>
      </c>
      <c r="B2350" s="6">
        <f t="shared" si="544"/>
        <v>2053</v>
      </c>
      <c r="C2350" s="1" t="s">
        <v>20</v>
      </c>
      <c r="D2350" s="2" t="s">
        <v>128</v>
      </c>
      <c r="E2350" s="9" t="str">
        <f t="shared" si="540"/>
        <v>PRB'!</v>
      </c>
      <c r="F2350" s="5" t="str">
        <f t="shared" si="541"/>
        <v>C:\Users\jaime.benazar\Quorum Business Solutions\Ecopetrol Prometeo - Documents\Planning Space Implementation\3. Analysis &amp; Design\Design\FC22\DRR Jaime\QUIFA-CAJÚA\Cajua\[VAS_CAJUA_CF_SEC_20230125.xlsx]CF PRB'!</v>
      </c>
      <c r="G2350" s="6" t="s">
        <v>40</v>
      </c>
      <c r="H2350" s="1">
        <f t="shared" si="542"/>
        <v>66</v>
      </c>
      <c r="I2350" s="1" t="str">
        <f t="shared" si="543"/>
        <v>='C:\Users\jaime.benazar\Quorum Business Solutions\Ecopetrol Prometeo - Documents\Planning Space Implementation\3. Analysis &amp; Design\Design\FC22\DRR Jaime\QUIFA-CAJÚA\Cajua\[VAS_CAJUA_CF_SEC_20230125.xlsx]CF PRB'!$CT$66</v>
      </c>
      <c r="J2350" s="1" t="s">
        <v>1195</v>
      </c>
    </row>
    <row r="2351" spans="1:10" x14ac:dyDescent="0.25">
      <c r="A2351" s="6" t="s">
        <v>4</v>
      </c>
      <c r="B2351" s="6">
        <f t="shared" si="544"/>
        <v>2054</v>
      </c>
      <c r="C2351" s="1" t="s">
        <v>20</v>
      </c>
      <c r="D2351" s="2" t="s">
        <v>128</v>
      </c>
      <c r="E2351" s="9" t="str">
        <f t="shared" si="540"/>
        <v>PRB'!</v>
      </c>
      <c r="F2351" s="5" t="str">
        <f t="shared" si="541"/>
        <v>C:\Users\jaime.benazar\Quorum Business Solutions\Ecopetrol Prometeo - Documents\Planning Space Implementation\3. Analysis &amp; Design\Design\FC22\DRR Jaime\QUIFA-CAJÚA\Cajua\[VAS_CAJUA_CF_SEC_20230125.xlsx]CF PRB'!</v>
      </c>
      <c r="G2351" s="6" t="s">
        <v>40</v>
      </c>
      <c r="H2351" s="1">
        <f t="shared" si="542"/>
        <v>67</v>
      </c>
      <c r="I2351" s="1" t="str">
        <f t="shared" si="543"/>
        <v>='C:\Users\jaime.benazar\Quorum Business Solutions\Ecopetrol Prometeo - Documents\Planning Space Implementation\3. Analysis &amp; Design\Design\FC22\DRR Jaime\QUIFA-CAJÚA\Cajua\[VAS_CAJUA_CF_SEC_20230125.xlsx]CF PRB'!$CT$67</v>
      </c>
      <c r="J2351" s="1" t="s">
        <v>1196</v>
      </c>
    </row>
    <row r="2352" spans="1:10" x14ac:dyDescent="0.25">
      <c r="A2352" s="6" t="s">
        <v>4</v>
      </c>
      <c r="B2352" s="6">
        <f t="shared" si="544"/>
        <v>2055</v>
      </c>
      <c r="C2352" s="1" t="s">
        <v>20</v>
      </c>
      <c r="D2352" s="2" t="s">
        <v>128</v>
      </c>
      <c r="E2352" s="9" t="str">
        <f t="shared" si="540"/>
        <v>PRB'!</v>
      </c>
      <c r="F2352" s="5" t="str">
        <f t="shared" si="541"/>
        <v>C:\Users\jaime.benazar\Quorum Business Solutions\Ecopetrol Prometeo - Documents\Planning Space Implementation\3. Analysis &amp; Design\Design\FC22\DRR Jaime\QUIFA-CAJÚA\Cajua\[VAS_CAJUA_CF_SEC_20230125.xlsx]CF PRB'!</v>
      </c>
      <c r="G2352" s="6" t="s">
        <v>40</v>
      </c>
      <c r="H2352" s="1">
        <f t="shared" si="542"/>
        <v>68</v>
      </c>
      <c r="I2352" s="1" t="str">
        <f t="shared" si="543"/>
        <v>='C:\Users\jaime.benazar\Quorum Business Solutions\Ecopetrol Prometeo - Documents\Planning Space Implementation\3. Analysis &amp; Design\Design\FC22\DRR Jaime\QUIFA-CAJÚA\Cajua\[VAS_CAJUA_CF_SEC_20230125.xlsx]CF PRB'!$CT$68</v>
      </c>
      <c r="J2352" s="1" t="s">
        <v>1197</v>
      </c>
    </row>
    <row r="2353" spans="1:10" x14ac:dyDescent="0.25">
      <c r="A2353" s="6" t="s">
        <v>4</v>
      </c>
      <c r="B2353" s="6">
        <f t="shared" si="544"/>
        <v>2056</v>
      </c>
      <c r="C2353" s="1" t="s">
        <v>20</v>
      </c>
      <c r="D2353" s="2" t="s">
        <v>128</v>
      </c>
      <c r="E2353" s="9" t="str">
        <f t="shared" si="540"/>
        <v>PRB'!</v>
      </c>
      <c r="F2353" s="5" t="str">
        <f t="shared" si="541"/>
        <v>C:\Users\jaime.benazar\Quorum Business Solutions\Ecopetrol Prometeo - Documents\Planning Space Implementation\3. Analysis &amp; Design\Design\FC22\DRR Jaime\QUIFA-CAJÚA\Cajua\[VAS_CAJUA_CF_SEC_20230125.xlsx]CF PRB'!</v>
      </c>
      <c r="G2353" s="6" t="s">
        <v>40</v>
      </c>
      <c r="H2353" s="1">
        <f t="shared" si="542"/>
        <v>69</v>
      </c>
      <c r="I2353" s="1" t="str">
        <f t="shared" si="543"/>
        <v>='C:\Users\jaime.benazar\Quorum Business Solutions\Ecopetrol Prometeo - Documents\Planning Space Implementation\3. Analysis &amp; Design\Design\FC22\DRR Jaime\QUIFA-CAJÚA\Cajua\[VAS_CAJUA_CF_SEC_20230125.xlsx]CF PRB'!$CT$69</v>
      </c>
      <c r="J2353" s="1" t="s">
        <v>1198</v>
      </c>
    </row>
    <row r="2354" spans="1:10" x14ac:dyDescent="0.25">
      <c r="A2354" s="6" t="s">
        <v>4</v>
      </c>
      <c r="B2354" s="6">
        <f t="shared" si="544"/>
        <v>2057</v>
      </c>
      <c r="C2354" s="1" t="s">
        <v>20</v>
      </c>
      <c r="D2354" s="2" t="s">
        <v>128</v>
      </c>
      <c r="E2354" s="9" t="str">
        <f t="shared" si="540"/>
        <v>PRB'!</v>
      </c>
      <c r="F2354" s="5" t="str">
        <f t="shared" si="541"/>
        <v>C:\Users\jaime.benazar\Quorum Business Solutions\Ecopetrol Prometeo - Documents\Planning Space Implementation\3. Analysis &amp; Design\Design\FC22\DRR Jaime\QUIFA-CAJÚA\Cajua\[VAS_CAJUA_CF_SEC_20230125.xlsx]CF PRB'!</v>
      </c>
      <c r="G2354" s="6" t="s">
        <v>40</v>
      </c>
      <c r="H2354" s="1">
        <f t="shared" si="542"/>
        <v>70</v>
      </c>
      <c r="I2354" s="1" t="str">
        <f t="shared" si="543"/>
        <v>='C:\Users\jaime.benazar\Quorum Business Solutions\Ecopetrol Prometeo - Documents\Planning Space Implementation\3. Analysis &amp; Design\Design\FC22\DRR Jaime\QUIFA-CAJÚA\Cajua\[VAS_CAJUA_CF_SEC_20230125.xlsx]CF PRB'!$CT$70</v>
      </c>
      <c r="J2354" s="1" t="s">
        <v>1199</v>
      </c>
    </row>
    <row r="2355" spans="1:10" x14ac:dyDescent="0.25">
      <c r="A2355" s="6" t="s">
        <v>4</v>
      </c>
      <c r="B2355" s="6">
        <f t="shared" si="544"/>
        <v>2058</v>
      </c>
      <c r="C2355" s="1" t="s">
        <v>20</v>
      </c>
      <c r="D2355" s="2" t="s">
        <v>128</v>
      </c>
      <c r="E2355" s="9" t="str">
        <f t="shared" si="540"/>
        <v>PRB'!</v>
      </c>
      <c r="F2355" s="5" t="str">
        <f t="shared" si="541"/>
        <v>C:\Users\jaime.benazar\Quorum Business Solutions\Ecopetrol Prometeo - Documents\Planning Space Implementation\3. Analysis &amp; Design\Design\FC22\DRR Jaime\QUIFA-CAJÚA\Cajua\[VAS_CAJUA_CF_SEC_20230125.xlsx]CF PRB'!</v>
      </c>
      <c r="G2355" s="6" t="s">
        <v>40</v>
      </c>
      <c r="H2355" s="1">
        <f t="shared" si="542"/>
        <v>71</v>
      </c>
      <c r="I2355" s="1" t="str">
        <f t="shared" si="543"/>
        <v>='C:\Users\jaime.benazar\Quorum Business Solutions\Ecopetrol Prometeo - Documents\Planning Space Implementation\3. Analysis &amp; Design\Design\FC22\DRR Jaime\QUIFA-CAJÚA\Cajua\[VAS_CAJUA_CF_SEC_20230125.xlsx]CF PRB'!$CT$71</v>
      </c>
      <c r="J2355" s="1" t="s">
        <v>1200</v>
      </c>
    </row>
    <row r="2356" spans="1:10" x14ac:dyDescent="0.25">
      <c r="A2356" s="6" t="s">
        <v>4</v>
      </c>
      <c r="B2356" s="6">
        <f t="shared" si="544"/>
        <v>2059</v>
      </c>
      <c r="C2356" s="1" t="s">
        <v>20</v>
      </c>
      <c r="D2356" s="2" t="s">
        <v>128</v>
      </c>
      <c r="E2356" s="9" t="str">
        <f t="shared" si="540"/>
        <v>PRB'!</v>
      </c>
      <c r="F2356" s="5" t="str">
        <f t="shared" si="541"/>
        <v>C:\Users\jaime.benazar\Quorum Business Solutions\Ecopetrol Prometeo - Documents\Planning Space Implementation\3. Analysis &amp; Design\Design\FC22\DRR Jaime\QUIFA-CAJÚA\Cajua\[VAS_CAJUA_CF_SEC_20230125.xlsx]CF PRB'!</v>
      </c>
      <c r="G2356" s="6" t="s">
        <v>40</v>
      </c>
      <c r="H2356" s="1">
        <f t="shared" si="542"/>
        <v>72</v>
      </c>
      <c r="I2356" s="1" t="str">
        <f t="shared" si="543"/>
        <v>='C:\Users\jaime.benazar\Quorum Business Solutions\Ecopetrol Prometeo - Documents\Planning Space Implementation\3. Analysis &amp; Design\Design\FC22\DRR Jaime\QUIFA-CAJÚA\Cajua\[VAS_CAJUA_CF_SEC_20230125.xlsx]CF PRB'!$CT$72</v>
      </c>
      <c r="J2356" s="1" t="s">
        <v>1201</v>
      </c>
    </row>
    <row r="2357" spans="1:10" x14ac:dyDescent="0.25">
      <c r="A2357" s="6" t="s">
        <v>28</v>
      </c>
      <c r="B2357" s="6"/>
      <c r="C2357" s="1" t="s">
        <v>20</v>
      </c>
      <c r="D2357" s="2"/>
      <c r="E2357" s="9"/>
      <c r="F2357" s="2"/>
      <c r="G2357" s="6"/>
      <c r="H2357" s="1"/>
      <c r="I2357" s="1"/>
      <c r="J2357" s="4"/>
    </row>
    <row r="2358" spans="1:10" x14ac:dyDescent="0.25">
      <c r="A2358" s="6" t="s">
        <v>102</v>
      </c>
      <c r="B2358" s="6">
        <v>2023</v>
      </c>
      <c r="C2358" s="1" t="s">
        <v>20</v>
      </c>
      <c r="D2358" s="2" t="s">
        <v>128</v>
      </c>
      <c r="E2358" s="9" t="s">
        <v>105</v>
      </c>
      <c r="F2358" s="5" t="str">
        <f t="shared" ref="F2358:F2378" si="545">_xlfn.CONCAT(D2358," ",E2358)</f>
        <v>C:\Users\jaime.benazar\Quorum Business Solutions\Ecopetrol Prometeo - Documents\Planning Space Implementation\3. Analysis &amp; Design\Design\FC22\DRR Jaime\QUIFA-CAJÚA\Cajua\[VAS_CAJUA_CF_SEC_20230125.xlsx]CF PSDP'!</v>
      </c>
      <c r="G2358" s="6" t="s">
        <v>40</v>
      </c>
      <c r="H2358" s="1"/>
      <c r="I2358" s="1"/>
      <c r="J2358" s="1"/>
    </row>
    <row r="2359" spans="1:10" x14ac:dyDescent="0.25">
      <c r="A2359" s="6" t="s">
        <v>102</v>
      </c>
      <c r="B2359" s="6">
        <v>2024</v>
      </c>
      <c r="C2359" s="1" t="s">
        <v>20</v>
      </c>
      <c r="D2359" s="2" t="s">
        <v>128</v>
      </c>
      <c r="E2359" s="9" t="s">
        <v>105</v>
      </c>
      <c r="F2359" s="5" t="str">
        <f t="shared" si="545"/>
        <v>C:\Users\jaime.benazar\Quorum Business Solutions\Ecopetrol Prometeo - Documents\Planning Space Implementation\3. Analysis &amp; Design\Design\FC22\DRR Jaime\QUIFA-CAJÚA\Cajua\[VAS_CAJUA_CF_SEC_20230125.xlsx]CF PSDP'!</v>
      </c>
      <c r="G2359" s="6" t="s">
        <v>40</v>
      </c>
      <c r="H2359" s="1"/>
      <c r="I2359" s="1"/>
      <c r="J2359" s="1"/>
    </row>
    <row r="2360" spans="1:10" x14ac:dyDescent="0.25">
      <c r="A2360" s="6" t="s">
        <v>102</v>
      </c>
      <c r="B2360" s="6">
        <v>2025</v>
      </c>
      <c r="C2360" s="1" t="s">
        <v>20</v>
      </c>
      <c r="D2360" s="2" t="s">
        <v>128</v>
      </c>
      <c r="E2360" s="9" t="s">
        <v>105</v>
      </c>
      <c r="F2360" s="5" t="str">
        <f t="shared" si="545"/>
        <v>C:\Users\jaime.benazar\Quorum Business Solutions\Ecopetrol Prometeo - Documents\Planning Space Implementation\3. Analysis &amp; Design\Design\FC22\DRR Jaime\QUIFA-CAJÚA\Cajua\[VAS_CAJUA_CF_SEC_20230125.xlsx]CF PSDP'!</v>
      </c>
      <c r="G2360" s="6" t="s">
        <v>40</v>
      </c>
      <c r="H2360" s="1"/>
      <c r="I2360" s="1"/>
      <c r="J2360" s="1"/>
    </row>
    <row r="2361" spans="1:10" x14ac:dyDescent="0.25">
      <c r="A2361" s="6" t="s">
        <v>102</v>
      </c>
      <c r="B2361" s="6">
        <v>2026</v>
      </c>
      <c r="C2361" s="1" t="s">
        <v>20</v>
      </c>
      <c r="D2361" s="2" t="s">
        <v>128</v>
      </c>
      <c r="E2361" s="9" t="s">
        <v>105</v>
      </c>
      <c r="F2361" s="5" t="str">
        <f t="shared" si="545"/>
        <v>C:\Users\jaime.benazar\Quorum Business Solutions\Ecopetrol Prometeo - Documents\Planning Space Implementation\3. Analysis &amp; Design\Design\FC22\DRR Jaime\QUIFA-CAJÚA\Cajua\[VAS_CAJUA_CF_SEC_20230125.xlsx]CF PSDP'!</v>
      </c>
      <c r="G2361" s="6" t="s">
        <v>40</v>
      </c>
      <c r="H2361" s="1"/>
      <c r="I2361" s="1"/>
      <c r="J2361" s="1"/>
    </row>
    <row r="2362" spans="1:10" x14ac:dyDescent="0.25">
      <c r="A2362" s="6" t="s">
        <v>102</v>
      </c>
      <c r="B2362" s="6">
        <v>2027</v>
      </c>
      <c r="C2362" s="1" t="s">
        <v>20</v>
      </c>
      <c r="D2362" s="2" t="s">
        <v>128</v>
      </c>
      <c r="E2362" s="9" t="s">
        <v>105</v>
      </c>
      <c r="F2362" s="5" t="str">
        <f t="shared" si="545"/>
        <v>C:\Users\jaime.benazar\Quorum Business Solutions\Ecopetrol Prometeo - Documents\Planning Space Implementation\3. Analysis &amp; Design\Design\FC22\DRR Jaime\QUIFA-CAJÚA\Cajua\[VAS_CAJUA_CF_SEC_20230125.xlsx]CF PSDP'!</v>
      </c>
      <c r="G2362" s="6" t="s">
        <v>40</v>
      </c>
      <c r="H2362" s="1"/>
      <c r="I2362" s="1"/>
      <c r="J2362" s="1"/>
    </row>
    <row r="2363" spans="1:10" x14ac:dyDescent="0.25">
      <c r="A2363" s="6" t="s">
        <v>102</v>
      </c>
      <c r="B2363" s="6">
        <v>2028</v>
      </c>
      <c r="C2363" s="1" t="s">
        <v>20</v>
      </c>
      <c r="D2363" s="2" t="s">
        <v>128</v>
      </c>
      <c r="E2363" s="9" t="s">
        <v>105</v>
      </c>
      <c r="F2363" s="5" t="str">
        <f t="shared" si="545"/>
        <v>C:\Users\jaime.benazar\Quorum Business Solutions\Ecopetrol Prometeo - Documents\Planning Space Implementation\3. Analysis &amp; Design\Design\FC22\DRR Jaime\QUIFA-CAJÚA\Cajua\[VAS_CAJUA_CF_SEC_20230125.xlsx]CF PSDP'!</v>
      </c>
      <c r="G2363" s="6" t="s">
        <v>40</v>
      </c>
      <c r="H2363" s="1"/>
      <c r="I2363" s="1"/>
      <c r="J2363" s="1"/>
    </row>
    <row r="2364" spans="1:10" x14ac:dyDescent="0.25">
      <c r="A2364" s="6" t="s">
        <v>102</v>
      </c>
      <c r="B2364" s="6">
        <v>2029</v>
      </c>
      <c r="C2364" s="1" t="s">
        <v>20</v>
      </c>
      <c r="D2364" s="2" t="s">
        <v>128</v>
      </c>
      <c r="E2364" s="9" t="s">
        <v>105</v>
      </c>
      <c r="F2364" s="5" t="str">
        <f t="shared" si="545"/>
        <v>C:\Users\jaime.benazar\Quorum Business Solutions\Ecopetrol Prometeo - Documents\Planning Space Implementation\3. Analysis &amp; Design\Design\FC22\DRR Jaime\QUIFA-CAJÚA\Cajua\[VAS_CAJUA_CF_SEC_20230125.xlsx]CF PSDP'!</v>
      </c>
      <c r="G2364" s="6" t="s">
        <v>40</v>
      </c>
      <c r="H2364" s="1"/>
      <c r="I2364" s="1"/>
      <c r="J2364" s="1"/>
    </row>
    <row r="2365" spans="1:10" x14ac:dyDescent="0.25">
      <c r="A2365" s="6" t="s">
        <v>102</v>
      </c>
      <c r="B2365" s="6">
        <v>2030</v>
      </c>
      <c r="C2365" s="1" t="s">
        <v>20</v>
      </c>
      <c r="D2365" s="2" t="s">
        <v>128</v>
      </c>
      <c r="E2365" s="9" t="s">
        <v>105</v>
      </c>
      <c r="F2365" s="5" t="str">
        <f t="shared" si="545"/>
        <v>C:\Users\jaime.benazar\Quorum Business Solutions\Ecopetrol Prometeo - Documents\Planning Space Implementation\3. Analysis &amp; Design\Design\FC22\DRR Jaime\QUIFA-CAJÚA\Cajua\[VAS_CAJUA_CF_SEC_20230125.xlsx]CF PSDP'!</v>
      </c>
      <c r="G2365" s="6" t="s">
        <v>40</v>
      </c>
      <c r="H2365" s="1"/>
      <c r="I2365" s="1"/>
      <c r="J2365" s="1"/>
    </row>
    <row r="2366" spans="1:10" x14ac:dyDescent="0.25">
      <c r="A2366" s="6" t="s">
        <v>102</v>
      </c>
      <c r="B2366" s="6">
        <v>2031</v>
      </c>
      <c r="C2366" s="1" t="s">
        <v>20</v>
      </c>
      <c r="D2366" s="2" t="s">
        <v>128</v>
      </c>
      <c r="E2366" s="9" t="s">
        <v>105</v>
      </c>
      <c r="F2366" s="5" t="str">
        <f t="shared" si="545"/>
        <v>C:\Users\jaime.benazar\Quorum Business Solutions\Ecopetrol Prometeo - Documents\Planning Space Implementation\3. Analysis &amp; Design\Design\FC22\DRR Jaime\QUIFA-CAJÚA\Cajua\[VAS_CAJUA_CF_SEC_20230125.xlsx]CF PSDP'!</v>
      </c>
      <c r="G2366" s="6" t="s">
        <v>40</v>
      </c>
      <c r="H2366" s="1"/>
      <c r="I2366" s="1"/>
      <c r="J2366" s="1"/>
    </row>
    <row r="2367" spans="1:10" x14ac:dyDescent="0.25">
      <c r="A2367" s="6" t="s">
        <v>102</v>
      </c>
      <c r="B2367" s="6">
        <v>2032</v>
      </c>
      <c r="C2367" s="1" t="s">
        <v>20</v>
      </c>
      <c r="D2367" s="2" t="s">
        <v>128</v>
      </c>
      <c r="E2367" s="9" t="s">
        <v>105</v>
      </c>
      <c r="F2367" s="5" t="str">
        <f t="shared" si="545"/>
        <v>C:\Users\jaime.benazar\Quorum Business Solutions\Ecopetrol Prometeo - Documents\Planning Space Implementation\3. Analysis &amp; Design\Design\FC22\DRR Jaime\QUIFA-CAJÚA\Cajua\[VAS_CAJUA_CF_SEC_20230125.xlsx]CF PSDP'!</v>
      </c>
      <c r="G2367" s="6" t="s">
        <v>40</v>
      </c>
      <c r="H2367" s="1"/>
      <c r="I2367" s="1"/>
      <c r="J2367" s="1"/>
    </row>
    <row r="2368" spans="1:10" x14ac:dyDescent="0.25">
      <c r="A2368" s="6" t="s">
        <v>102</v>
      </c>
      <c r="B2368" s="6">
        <v>2033</v>
      </c>
      <c r="C2368" s="1" t="s">
        <v>20</v>
      </c>
      <c r="D2368" s="2" t="s">
        <v>128</v>
      </c>
      <c r="E2368" s="9" t="s">
        <v>105</v>
      </c>
      <c r="F2368" s="5" t="str">
        <f t="shared" si="545"/>
        <v>C:\Users\jaime.benazar\Quorum Business Solutions\Ecopetrol Prometeo - Documents\Planning Space Implementation\3. Analysis &amp; Design\Design\FC22\DRR Jaime\QUIFA-CAJÚA\Cajua\[VAS_CAJUA_CF_SEC_20230125.xlsx]CF PSDP'!</v>
      </c>
      <c r="G2368" s="6" t="s">
        <v>40</v>
      </c>
      <c r="H2368" s="1"/>
      <c r="I2368" s="1"/>
      <c r="J2368" s="1"/>
    </row>
    <row r="2369" spans="1:10" x14ac:dyDescent="0.25">
      <c r="A2369" s="6" t="s">
        <v>102</v>
      </c>
      <c r="B2369" s="6">
        <v>2034</v>
      </c>
      <c r="C2369" s="1" t="s">
        <v>20</v>
      </c>
      <c r="D2369" s="2" t="s">
        <v>128</v>
      </c>
      <c r="E2369" s="9" t="s">
        <v>105</v>
      </c>
      <c r="F2369" s="5" t="str">
        <f t="shared" si="545"/>
        <v>C:\Users\jaime.benazar\Quorum Business Solutions\Ecopetrol Prometeo - Documents\Planning Space Implementation\3. Analysis &amp; Design\Design\FC22\DRR Jaime\QUIFA-CAJÚA\Cajua\[VAS_CAJUA_CF_SEC_20230125.xlsx]CF PSDP'!</v>
      </c>
      <c r="G2369" s="6" t="s">
        <v>40</v>
      </c>
      <c r="H2369" s="1"/>
      <c r="I2369" s="1"/>
      <c r="J2369" s="1"/>
    </row>
    <row r="2370" spans="1:10" x14ac:dyDescent="0.25">
      <c r="A2370" s="6" t="s">
        <v>102</v>
      </c>
      <c r="B2370" s="6">
        <v>2035</v>
      </c>
      <c r="C2370" s="1" t="s">
        <v>20</v>
      </c>
      <c r="D2370" s="2" t="s">
        <v>128</v>
      </c>
      <c r="E2370" s="9" t="s">
        <v>105</v>
      </c>
      <c r="F2370" s="5" t="str">
        <f t="shared" si="545"/>
        <v>C:\Users\jaime.benazar\Quorum Business Solutions\Ecopetrol Prometeo - Documents\Planning Space Implementation\3. Analysis &amp; Design\Design\FC22\DRR Jaime\QUIFA-CAJÚA\Cajua\[VAS_CAJUA_CF_SEC_20230125.xlsx]CF PSDP'!</v>
      </c>
      <c r="G2370" s="6" t="s">
        <v>40</v>
      </c>
      <c r="H2370" s="1"/>
      <c r="I2370" s="1"/>
      <c r="J2370" s="1"/>
    </row>
    <row r="2371" spans="1:10" x14ac:dyDescent="0.25">
      <c r="A2371" s="6" t="s">
        <v>102</v>
      </c>
      <c r="B2371" s="6">
        <v>2036</v>
      </c>
      <c r="C2371" s="1" t="s">
        <v>20</v>
      </c>
      <c r="D2371" s="2" t="s">
        <v>128</v>
      </c>
      <c r="E2371" s="9" t="s">
        <v>105</v>
      </c>
      <c r="F2371" s="5" t="str">
        <f t="shared" si="545"/>
        <v>C:\Users\jaime.benazar\Quorum Business Solutions\Ecopetrol Prometeo - Documents\Planning Space Implementation\3. Analysis &amp; Design\Design\FC22\DRR Jaime\QUIFA-CAJÚA\Cajua\[VAS_CAJUA_CF_SEC_20230125.xlsx]CF PSDP'!</v>
      </c>
      <c r="G2371" s="6" t="s">
        <v>40</v>
      </c>
      <c r="H2371" s="1"/>
      <c r="I2371" s="1"/>
      <c r="J2371" s="1"/>
    </row>
    <row r="2372" spans="1:10" x14ac:dyDescent="0.25">
      <c r="A2372" s="6" t="s">
        <v>102</v>
      </c>
      <c r="B2372" s="6">
        <v>2037</v>
      </c>
      <c r="C2372" s="1" t="s">
        <v>20</v>
      </c>
      <c r="D2372" s="2" t="s">
        <v>128</v>
      </c>
      <c r="E2372" s="9" t="s">
        <v>105</v>
      </c>
      <c r="F2372" s="5" t="str">
        <f t="shared" si="545"/>
        <v>C:\Users\jaime.benazar\Quorum Business Solutions\Ecopetrol Prometeo - Documents\Planning Space Implementation\3. Analysis &amp; Design\Design\FC22\DRR Jaime\QUIFA-CAJÚA\Cajua\[VAS_CAJUA_CF_SEC_20230125.xlsx]CF PSDP'!</v>
      </c>
      <c r="G2372" s="6" t="s">
        <v>40</v>
      </c>
      <c r="H2372" s="1"/>
      <c r="I2372" s="1"/>
      <c r="J2372" s="1"/>
    </row>
    <row r="2373" spans="1:10" x14ac:dyDescent="0.25">
      <c r="A2373" s="6" t="s">
        <v>102</v>
      </c>
      <c r="B2373" s="6">
        <v>2038</v>
      </c>
      <c r="C2373" s="1" t="s">
        <v>20</v>
      </c>
      <c r="D2373" s="2" t="s">
        <v>128</v>
      </c>
      <c r="E2373" s="9" t="s">
        <v>105</v>
      </c>
      <c r="F2373" s="5" t="str">
        <f t="shared" si="545"/>
        <v>C:\Users\jaime.benazar\Quorum Business Solutions\Ecopetrol Prometeo - Documents\Planning Space Implementation\3. Analysis &amp; Design\Design\FC22\DRR Jaime\QUIFA-CAJÚA\Cajua\[VAS_CAJUA_CF_SEC_20230125.xlsx]CF PSDP'!</v>
      </c>
      <c r="G2373" s="6" t="s">
        <v>40</v>
      </c>
      <c r="H2373" s="1"/>
      <c r="I2373" s="1"/>
      <c r="J2373" s="1"/>
    </row>
    <row r="2374" spans="1:10" x14ac:dyDescent="0.25">
      <c r="A2374" s="6" t="s">
        <v>102</v>
      </c>
      <c r="B2374" s="6">
        <v>2039</v>
      </c>
      <c r="C2374" s="1" t="s">
        <v>20</v>
      </c>
      <c r="D2374" s="2" t="s">
        <v>128</v>
      </c>
      <c r="E2374" s="9" t="s">
        <v>105</v>
      </c>
      <c r="F2374" s="5" t="str">
        <f t="shared" si="545"/>
        <v>C:\Users\jaime.benazar\Quorum Business Solutions\Ecopetrol Prometeo - Documents\Planning Space Implementation\3. Analysis &amp; Design\Design\FC22\DRR Jaime\QUIFA-CAJÚA\Cajua\[VAS_CAJUA_CF_SEC_20230125.xlsx]CF PSDP'!</v>
      </c>
      <c r="G2374" s="6" t="s">
        <v>40</v>
      </c>
      <c r="H2374" s="1"/>
      <c r="I2374" s="1"/>
      <c r="J2374" s="1"/>
    </row>
    <row r="2375" spans="1:10" x14ac:dyDescent="0.25">
      <c r="A2375" s="6" t="s">
        <v>102</v>
      </c>
      <c r="B2375" s="6">
        <v>2040</v>
      </c>
      <c r="C2375" s="1" t="s">
        <v>20</v>
      </c>
      <c r="D2375" s="2" t="s">
        <v>128</v>
      </c>
      <c r="E2375" s="9" t="s">
        <v>105</v>
      </c>
      <c r="F2375" s="5" t="str">
        <f t="shared" si="545"/>
        <v>C:\Users\jaime.benazar\Quorum Business Solutions\Ecopetrol Prometeo - Documents\Planning Space Implementation\3. Analysis &amp; Design\Design\FC22\DRR Jaime\QUIFA-CAJÚA\Cajua\[VAS_CAJUA_CF_SEC_20230125.xlsx]CF PSDP'!</v>
      </c>
      <c r="G2375" s="6" t="s">
        <v>40</v>
      </c>
      <c r="H2375" s="1"/>
      <c r="I2375" s="1"/>
      <c r="J2375" s="1"/>
    </row>
    <row r="2376" spans="1:10" x14ac:dyDescent="0.25">
      <c r="A2376" s="6" t="s">
        <v>102</v>
      </c>
      <c r="B2376" s="6">
        <v>2041</v>
      </c>
      <c r="C2376" s="1" t="s">
        <v>20</v>
      </c>
      <c r="D2376" s="2" t="s">
        <v>128</v>
      </c>
      <c r="E2376" s="9" t="s">
        <v>105</v>
      </c>
      <c r="F2376" s="5" t="str">
        <f t="shared" si="545"/>
        <v>C:\Users\jaime.benazar\Quorum Business Solutions\Ecopetrol Prometeo - Documents\Planning Space Implementation\3. Analysis &amp; Design\Design\FC22\DRR Jaime\QUIFA-CAJÚA\Cajua\[VAS_CAJUA_CF_SEC_20230125.xlsx]CF PSDP'!</v>
      </c>
      <c r="G2376" s="6" t="s">
        <v>40</v>
      </c>
      <c r="H2376" s="1"/>
      <c r="I2376" s="1"/>
      <c r="J2376" s="1"/>
    </row>
    <row r="2377" spans="1:10" x14ac:dyDescent="0.25">
      <c r="A2377" s="6" t="s">
        <v>102</v>
      </c>
      <c r="B2377" s="6">
        <v>2042</v>
      </c>
      <c r="C2377" s="1" t="s">
        <v>20</v>
      </c>
      <c r="D2377" s="2" t="s">
        <v>128</v>
      </c>
      <c r="E2377" s="9" t="s">
        <v>105</v>
      </c>
      <c r="F2377" s="5" t="str">
        <f t="shared" si="545"/>
        <v>C:\Users\jaime.benazar\Quorum Business Solutions\Ecopetrol Prometeo - Documents\Planning Space Implementation\3. Analysis &amp; Design\Design\FC22\DRR Jaime\QUIFA-CAJÚA\Cajua\[VAS_CAJUA_CF_SEC_20230125.xlsx]CF PSDP'!</v>
      </c>
      <c r="G2377" s="6" t="s">
        <v>40</v>
      </c>
      <c r="H2377" s="1"/>
      <c r="I2377" s="1"/>
      <c r="J2377" s="1"/>
    </row>
    <row r="2378" spans="1:10" x14ac:dyDescent="0.25">
      <c r="A2378" s="6" t="s">
        <v>102</v>
      </c>
      <c r="B2378" s="6">
        <v>2043</v>
      </c>
      <c r="C2378" s="1" t="s">
        <v>20</v>
      </c>
      <c r="D2378" s="2" t="s">
        <v>128</v>
      </c>
      <c r="E2378" s="9" t="s">
        <v>105</v>
      </c>
      <c r="F2378" s="5" t="str">
        <f t="shared" si="545"/>
        <v>C:\Users\jaime.benazar\Quorum Business Solutions\Ecopetrol Prometeo - Documents\Planning Space Implementation\3. Analysis &amp; Design\Design\FC22\DRR Jaime\QUIFA-CAJÚA\Cajua\[VAS_CAJUA_CF_SEC_20230125.xlsx]CF PSDP'!</v>
      </c>
      <c r="G2378" s="6" t="s">
        <v>40</v>
      </c>
      <c r="H2378" s="1"/>
      <c r="I2378" s="1"/>
      <c r="J2378" s="1"/>
    </row>
    <row r="2379" spans="1:10" x14ac:dyDescent="0.25">
      <c r="A2379" s="6" t="s">
        <v>102</v>
      </c>
      <c r="B2379" s="6">
        <v>2044</v>
      </c>
      <c r="C2379" s="1" t="s">
        <v>20</v>
      </c>
      <c r="D2379" s="2" t="s">
        <v>128</v>
      </c>
      <c r="E2379" s="9" t="s">
        <v>105</v>
      </c>
      <c r="F2379" s="5" t="str">
        <f t="shared" ref="F2379:F2394" si="546">_xlfn.CONCAT(D2379," ",E2379)</f>
        <v>C:\Users\jaime.benazar\Quorum Business Solutions\Ecopetrol Prometeo - Documents\Planning Space Implementation\3. Analysis &amp; Design\Design\FC22\DRR Jaime\QUIFA-CAJÚA\Cajua\[VAS_CAJUA_CF_SEC_20230125.xlsx]CF PSDP'!</v>
      </c>
      <c r="G2379" s="6" t="s">
        <v>40</v>
      </c>
      <c r="H2379" s="1"/>
      <c r="I2379" s="1"/>
      <c r="J2379" s="1"/>
    </row>
    <row r="2380" spans="1:10" x14ac:dyDescent="0.25">
      <c r="A2380" s="6" t="s">
        <v>102</v>
      </c>
      <c r="B2380" s="6">
        <v>2045</v>
      </c>
      <c r="C2380" s="1" t="s">
        <v>20</v>
      </c>
      <c r="D2380" s="2" t="s">
        <v>128</v>
      </c>
      <c r="E2380" s="9" t="s">
        <v>105</v>
      </c>
      <c r="F2380" s="5" t="str">
        <f t="shared" si="546"/>
        <v>C:\Users\jaime.benazar\Quorum Business Solutions\Ecopetrol Prometeo - Documents\Planning Space Implementation\3. Analysis &amp; Design\Design\FC22\DRR Jaime\QUIFA-CAJÚA\Cajua\[VAS_CAJUA_CF_SEC_20230125.xlsx]CF PSDP'!</v>
      </c>
      <c r="G2380" s="6" t="s">
        <v>40</v>
      </c>
      <c r="H2380" s="1"/>
      <c r="I2380" s="1"/>
      <c r="J2380" s="1"/>
    </row>
    <row r="2381" spans="1:10" x14ac:dyDescent="0.25">
      <c r="A2381" s="6" t="s">
        <v>102</v>
      </c>
      <c r="B2381" s="6">
        <v>2046</v>
      </c>
      <c r="C2381" s="1" t="s">
        <v>20</v>
      </c>
      <c r="D2381" s="2" t="s">
        <v>128</v>
      </c>
      <c r="E2381" s="9" t="s">
        <v>105</v>
      </c>
      <c r="F2381" s="5" t="str">
        <f t="shared" si="546"/>
        <v>C:\Users\jaime.benazar\Quorum Business Solutions\Ecopetrol Prometeo - Documents\Planning Space Implementation\3. Analysis &amp; Design\Design\FC22\DRR Jaime\QUIFA-CAJÚA\Cajua\[VAS_CAJUA_CF_SEC_20230125.xlsx]CF PSDP'!</v>
      </c>
      <c r="G2381" s="6" t="s">
        <v>40</v>
      </c>
      <c r="H2381" s="1"/>
      <c r="I2381" s="1"/>
      <c r="J2381" s="1"/>
    </row>
    <row r="2382" spans="1:10" x14ac:dyDescent="0.25">
      <c r="A2382" s="6" t="s">
        <v>102</v>
      </c>
      <c r="B2382" s="6">
        <v>2047</v>
      </c>
      <c r="C2382" s="1" t="s">
        <v>20</v>
      </c>
      <c r="D2382" s="2" t="s">
        <v>128</v>
      </c>
      <c r="E2382" s="9" t="s">
        <v>105</v>
      </c>
      <c r="F2382" s="5" t="str">
        <f t="shared" si="546"/>
        <v>C:\Users\jaime.benazar\Quorum Business Solutions\Ecopetrol Prometeo - Documents\Planning Space Implementation\3. Analysis &amp; Design\Design\FC22\DRR Jaime\QUIFA-CAJÚA\Cajua\[VAS_CAJUA_CF_SEC_20230125.xlsx]CF PSDP'!</v>
      </c>
      <c r="G2382" s="6" t="s">
        <v>40</v>
      </c>
      <c r="H2382" s="1"/>
      <c r="I2382" s="1"/>
      <c r="J2382" s="1"/>
    </row>
    <row r="2383" spans="1:10" x14ac:dyDescent="0.25">
      <c r="A2383" s="6" t="s">
        <v>102</v>
      </c>
      <c r="B2383" s="6">
        <v>2048</v>
      </c>
      <c r="C2383" s="1" t="s">
        <v>20</v>
      </c>
      <c r="D2383" s="2" t="s">
        <v>128</v>
      </c>
      <c r="E2383" s="9" t="s">
        <v>105</v>
      </c>
      <c r="F2383" s="5" t="str">
        <f t="shared" si="546"/>
        <v>C:\Users\jaime.benazar\Quorum Business Solutions\Ecopetrol Prometeo - Documents\Planning Space Implementation\3. Analysis &amp; Design\Design\FC22\DRR Jaime\QUIFA-CAJÚA\Cajua\[VAS_CAJUA_CF_SEC_20230125.xlsx]CF PSDP'!</v>
      </c>
      <c r="G2383" s="6" t="s">
        <v>40</v>
      </c>
      <c r="H2383" s="1"/>
      <c r="I2383" s="1"/>
      <c r="J2383" s="1"/>
    </row>
    <row r="2384" spans="1:10" x14ac:dyDescent="0.25">
      <c r="A2384" s="6" t="s">
        <v>102</v>
      </c>
      <c r="B2384" s="6">
        <v>2049</v>
      </c>
      <c r="C2384" s="1" t="s">
        <v>20</v>
      </c>
      <c r="D2384" s="2" t="s">
        <v>128</v>
      </c>
      <c r="E2384" s="9" t="s">
        <v>105</v>
      </c>
      <c r="F2384" s="5" t="str">
        <f t="shared" si="546"/>
        <v>C:\Users\jaime.benazar\Quorum Business Solutions\Ecopetrol Prometeo - Documents\Planning Space Implementation\3. Analysis &amp; Design\Design\FC22\DRR Jaime\QUIFA-CAJÚA\Cajua\[VAS_CAJUA_CF_SEC_20230125.xlsx]CF PSDP'!</v>
      </c>
      <c r="G2384" s="6" t="s">
        <v>40</v>
      </c>
      <c r="H2384" s="1"/>
      <c r="I2384" s="1"/>
      <c r="J2384" s="1"/>
    </row>
    <row r="2385" spans="1:10" x14ac:dyDescent="0.25">
      <c r="A2385" s="6" t="s">
        <v>102</v>
      </c>
      <c r="B2385" s="6">
        <v>2050</v>
      </c>
      <c r="C2385" s="1" t="s">
        <v>20</v>
      </c>
      <c r="D2385" s="2" t="s">
        <v>128</v>
      </c>
      <c r="E2385" s="9" t="s">
        <v>105</v>
      </c>
      <c r="F2385" s="5" t="str">
        <f t="shared" si="546"/>
        <v>C:\Users\jaime.benazar\Quorum Business Solutions\Ecopetrol Prometeo - Documents\Planning Space Implementation\3. Analysis &amp; Design\Design\FC22\DRR Jaime\QUIFA-CAJÚA\Cajua\[VAS_CAJUA_CF_SEC_20230125.xlsx]CF PSDP'!</v>
      </c>
      <c r="G2385" s="6" t="s">
        <v>40</v>
      </c>
      <c r="H2385" s="1"/>
      <c r="I2385" s="1"/>
      <c r="J2385" s="1"/>
    </row>
    <row r="2386" spans="1:10" x14ac:dyDescent="0.25">
      <c r="A2386" s="6" t="s">
        <v>102</v>
      </c>
      <c r="B2386" s="6">
        <v>2051</v>
      </c>
      <c r="C2386" s="1" t="s">
        <v>20</v>
      </c>
      <c r="D2386" s="2" t="s">
        <v>128</v>
      </c>
      <c r="E2386" s="9" t="s">
        <v>105</v>
      </c>
      <c r="F2386" s="5" t="str">
        <f t="shared" si="546"/>
        <v>C:\Users\jaime.benazar\Quorum Business Solutions\Ecopetrol Prometeo - Documents\Planning Space Implementation\3. Analysis &amp; Design\Design\FC22\DRR Jaime\QUIFA-CAJÚA\Cajua\[VAS_CAJUA_CF_SEC_20230125.xlsx]CF PSDP'!</v>
      </c>
      <c r="G2386" s="6" t="s">
        <v>40</v>
      </c>
      <c r="H2386" s="1"/>
      <c r="I2386" s="1"/>
      <c r="J2386" s="1"/>
    </row>
    <row r="2387" spans="1:10" x14ac:dyDescent="0.25">
      <c r="A2387" s="6" t="s">
        <v>102</v>
      </c>
      <c r="B2387" s="6">
        <v>2052</v>
      </c>
      <c r="C2387" s="1" t="s">
        <v>20</v>
      </c>
      <c r="D2387" s="2" t="s">
        <v>128</v>
      </c>
      <c r="E2387" s="9" t="s">
        <v>105</v>
      </c>
      <c r="F2387" s="5" t="str">
        <f t="shared" si="546"/>
        <v>C:\Users\jaime.benazar\Quorum Business Solutions\Ecopetrol Prometeo - Documents\Planning Space Implementation\3. Analysis &amp; Design\Design\FC22\DRR Jaime\QUIFA-CAJÚA\Cajua\[VAS_CAJUA_CF_SEC_20230125.xlsx]CF PSDP'!</v>
      </c>
      <c r="G2387" s="6" t="s">
        <v>40</v>
      </c>
      <c r="H2387" s="1"/>
      <c r="I2387" s="1"/>
      <c r="J2387" s="1"/>
    </row>
    <row r="2388" spans="1:10" x14ac:dyDescent="0.25">
      <c r="A2388" s="6" t="s">
        <v>102</v>
      </c>
      <c r="B2388" s="6">
        <v>2053</v>
      </c>
      <c r="C2388" s="1" t="s">
        <v>20</v>
      </c>
      <c r="D2388" s="2" t="s">
        <v>128</v>
      </c>
      <c r="E2388" s="9" t="s">
        <v>105</v>
      </c>
      <c r="F2388" s="5" t="str">
        <f t="shared" si="546"/>
        <v>C:\Users\jaime.benazar\Quorum Business Solutions\Ecopetrol Prometeo - Documents\Planning Space Implementation\3. Analysis &amp; Design\Design\FC22\DRR Jaime\QUIFA-CAJÚA\Cajua\[VAS_CAJUA_CF_SEC_20230125.xlsx]CF PSDP'!</v>
      </c>
      <c r="G2388" s="6" t="s">
        <v>40</v>
      </c>
      <c r="H2388" s="1"/>
      <c r="I2388" s="1"/>
      <c r="J2388" s="1"/>
    </row>
    <row r="2389" spans="1:10" x14ac:dyDescent="0.25">
      <c r="A2389" s="6" t="s">
        <v>102</v>
      </c>
      <c r="B2389" s="6">
        <v>2054</v>
      </c>
      <c r="C2389" s="1" t="s">
        <v>20</v>
      </c>
      <c r="D2389" s="2" t="s">
        <v>128</v>
      </c>
      <c r="E2389" s="9" t="s">
        <v>105</v>
      </c>
      <c r="F2389" s="5" t="str">
        <f t="shared" si="546"/>
        <v>C:\Users\jaime.benazar\Quorum Business Solutions\Ecopetrol Prometeo - Documents\Planning Space Implementation\3. Analysis &amp; Design\Design\FC22\DRR Jaime\QUIFA-CAJÚA\Cajua\[VAS_CAJUA_CF_SEC_20230125.xlsx]CF PSDP'!</v>
      </c>
      <c r="G2389" s="6" t="s">
        <v>40</v>
      </c>
      <c r="H2389" s="1"/>
      <c r="I2389" s="1"/>
      <c r="J2389" s="1"/>
    </row>
    <row r="2390" spans="1:10" x14ac:dyDescent="0.25">
      <c r="A2390" s="6" t="s">
        <v>102</v>
      </c>
      <c r="B2390" s="6">
        <v>2055</v>
      </c>
      <c r="C2390" s="1" t="s">
        <v>20</v>
      </c>
      <c r="D2390" s="2" t="s">
        <v>128</v>
      </c>
      <c r="E2390" s="9" t="s">
        <v>105</v>
      </c>
      <c r="F2390" s="5" t="str">
        <f t="shared" si="546"/>
        <v>C:\Users\jaime.benazar\Quorum Business Solutions\Ecopetrol Prometeo - Documents\Planning Space Implementation\3. Analysis &amp; Design\Design\FC22\DRR Jaime\QUIFA-CAJÚA\Cajua\[VAS_CAJUA_CF_SEC_20230125.xlsx]CF PSDP'!</v>
      </c>
      <c r="G2390" s="6" t="s">
        <v>40</v>
      </c>
      <c r="H2390" s="1"/>
      <c r="I2390" s="1"/>
      <c r="J2390" s="1"/>
    </row>
    <row r="2391" spans="1:10" x14ac:dyDescent="0.25">
      <c r="A2391" s="6" t="s">
        <v>102</v>
      </c>
      <c r="B2391" s="6">
        <v>2056</v>
      </c>
      <c r="C2391" s="1" t="s">
        <v>20</v>
      </c>
      <c r="D2391" s="2" t="s">
        <v>128</v>
      </c>
      <c r="E2391" s="9" t="s">
        <v>105</v>
      </c>
      <c r="F2391" s="5" t="str">
        <f t="shared" si="546"/>
        <v>C:\Users\jaime.benazar\Quorum Business Solutions\Ecopetrol Prometeo - Documents\Planning Space Implementation\3. Analysis &amp; Design\Design\FC22\DRR Jaime\QUIFA-CAJÚA\Cajua\[VAS_CAJUA_CF_SEC_20230125.xlsx]CF PSDP'!</v>
      </c>
      <c r="G2391" s="6" t="s">
        <v>40</v>
      </c>
      <c r="H2391" s="1"/>
      <c r="I2391" s="1"/>
      <c r="J2391" s="1"/>
    </row>
    <row r="2392" spans="1:10" x14ac:dyDescent="0.25">
      <c r="A2392" s="6" t="s">
        <v>102</v>
      </c>
      <c r="B2392" s="6">
        <v>2057</v>
      </c>
      <c r="C2392" s="1" t="s">
        <v>20</v>
      </c>
      <c r="D2392" s="2" t="s">
        <v>128</v>
      </c>
      <c r="E2392" s="9" t="s">
        <v>105</v>
      </c>
      <c r="F2392" s="5" t="str">
        <f t="shared" si="546"/>
        <v>C:\Users\jaime.benazar\Quorum Business Solutions\Ecopetrol Prometeo - Documents\Planning Space Implementation\3. Analysis &amp; Design\Design\FC22\DRR Jaime\QUIFA-CAJÚA\Cajua\[VAS_CAJUA_CF_SEC_20230125.xlsx]CF PSDP'!</v>
      </c>
      <c r="G2392" s="6" t="s">
        <v>40</v>
      </c>
      <c r="H2392" s="1"/>
      <c r="I2392" s="1"/>
      <c r="J2392" s="1"/>
    </row>
    <row r="2393" spans="1:10" x14ac:dyDescent="0.25">
      <c r="A2393" s="6" t="s">
        <v>102</v>
      </c>
      <c r="B2393" s="6">
        <v>2058</v>
      </c>
      <c r="C2393" s="1" t="s">
        <v>20</v>
      </c>
      <c r="D2393" s="2" t="s">
        <v>128</v>
      </c>
      <c r="E2393" s="9" t="s">
        <v>105</v>
      </c>
      <c r="F2393" s="5" t="str">
        <f t="shared" si="546"/>
        <v>C:\Users\jaime.benazar\Quorum Business Solutions\Ecopetrol Prometeo - Documents\Planning Space Implementation\3. Analysis &amp; Design\Design\FC22\DRR Jaime\QUIFA-CAJÚA\Cajua\[VAS_CAJUA_CF_SEC_20230125.xlsx]CF PSDP'!</v>
      </c>
      <c r="G2393" s="6" t="s">
        <v>40</v>
      </c>
      <c r="H2393" s="1"/>
      <c r="I2393" s="1"/>
      <c r="J2393" s="1"/>
    </row>
    <row r="2394" spans="1:10" x14ac:dyDescent="0.25">
      <c r="A2394" s="6" t="s">
        <v>102</v>
      </c>
      <c r="B2394" s="6">
        <v>2059</v>
      </c>
      <c r="C2394" s="1" t="s">
        <v>20</v>
      </c>
      <c r="D2394" s="2" t="s">
        <v>128</v>
      </c>
      <c r="E2394" s="9" t="s">
        <v>105</v>
      </c>
      <c r="F2394" s="5" t="str">
        <f t="shared" si="546"/>
        <v>C:\Users\jaime.benazar\Quorum Business Solutions\Ecopetrol Prometeo - Documents\Planning Space Implementation\3. Analysis &amp; Design\Design\FC22\DRR Jaime\QUIFA-CAJÚA\Cajua\[VAS_CAJUA_CF_SEC_20230125.xlsx]CF PSDP'!</v>
      </c>
      <c r="G2394" s="6" t="s">
        <v>40</v>
      </c>
      <c r="H2394" s="1"/>
      <c r="I2394" s="1"/>
      <c r="J2394" s="1"/>
    </row>
    <row r="2395" spans="1:10" x14ac:dyDescent="0.25">
      <c r="A2395" s="6" t="s">
        <v>28</v>
      </c>
      <c r="B2395" s="6"/>
      <c r="C2395" s="1" t="s">
        <v>20</v>
      </c>
      <c r="D2395" s="2"/>
      <c r="E2395" s="9"/>
      <c r="F2395" s="5"/>
      <c r="G2395" s="6"/>
      <c r="H2395" s="1"/>
      <c r="I2395" s="1"/>
      <c r="J2395" s="1"/>
    </row>
    <row r="2396" spans="1:10" x14ac:dyDescent="0.25">
      <c r="A2396" s="6" t="s">
        <v>103</v>
      </c>
      <c r="B2396" s="6">
        <v>2023</v>
      </c>
      <c r="C2396" s="1" t="s">
        <v>20</v>
      </c>
      <c r="D2396" s="2" t="s">
        <v>128</v>
      </c>
      <c r="E2396" s="9" t="s">
        <v>106</v>
      </c>
      <c r="F2396" s="5" t="str">
        <f t="shared" ref="F2396:F2487" si="547">_xlfn.CONCAT(D2396," ",E2396)</f>
        <v>C:\Users\jaime.benazar\Quorum Business Solutions\Ecopetrol Prometeo - Documents\Planning Space Implementation\3. Analysis &amp; Design\Design\FC22\DRR Jaime\QUIFA-CAJÚA\Cajua\[VAS_CAJUA_CF_SEC_20230125.xlsx]CF PSNP'!</v>
      </c>
      <c r="G2396" s="6" t="s">
        <v>40</v>
      </c>
      <c r="H2396" s="1"/>
      <c r="I2396" s="1"/>
      <c r="J2396" s="1"/>
    </row>
    <row r="2397" spans="1:10" x14ac:dyDescent="0.25">
      <c r="A2397" s="6" t="s">
        <v>103</v>
      </c>
      <c r="B2397" s="6">
        <v>2024</v>
      </c>
      <c r="C2397" s="1" t="s">
        <v>20</v>
      </c>
      <c r="D2397" s="2" t="s">
        <v>128</v>
      </c>
      <c r="E2397" s="9" t="s">
        <v>106</v>
      </c>
      <c r="F2397" s="5" t="str">
        <f t="shared" si="547"/>
        <v>C:\Users\jaime.benazar\Quorum Business Solutions\Ecopetrol Prometeo - Documents\Planning Space Implementation\3. Analysis &amp; Design\Design\FC22\DRR Jaime\QUIFA-CAJÚA\Cajua\[VAS_CAJUA_CF_SEC_20230125.xlsx]CF PSNP'!</v>
      </c>
      <c r="G2397" s="6" t="s">
        <v>40</v>
      </c>
      <c r="H2397" s="1"/>
      <c r="I2397" s="1"/>
      <c r="J2397" s="1"/>
    </row>
    <row r="2398" spans="1:10" x14ac:dyDescent="0.25">
      <c r="A2398" s="6" t="s">
        <v>103</v>
      </c>
      <c r="B2398" s="6">
        <v>2025</v>
      </c>
      <c r="C2398" s="1" t="s">
        <v>20</v>
      </c>
      <c r="D2398" s="2" t="s">
        <v>128</v>
      </c>
      <c r="E2398" s="9" t="s">
        <v>106</v>
      </c>
      <c r="F2398" s="5" t="str">
        <f t="shared" si="547"/>
        <v>C:\Users\jaime.benazar\Quorum Business Solutions\Ecopetrol Prometeo - Documents\Planning Space Implementation\3. Analysis &amp; Design\Design\FC22\DRR Jaime\QUIFA-CAJÚA\Cajua\[VAS_CAJUA_CF_SEC_20230125.xlsx]CF PSNP'!</v>
      </c>
      <c r="G2398" s="6" t="s">
        <v>40</v>
      </c>
      <c r="H2398" s="1"/>
      <c r="I2398" s="1"/>
      <c r="J2398" s="1"/>
    </row>
    <row r="2399" spans="1:10" x14ac:dyDescent="0.25">
      <c r="A2399" s="6" t="s">
        <v>103</v>
      </c>
      <c r="B2399" s="6">
        <v>2026</v>
      </c>
      <c r="C2399" s="1" t="s">
        <v>20</v>
      </c>
      <c r="D2399" s="2" t="s">
        <v>128</v>
      </c>
      <c r="E2399" s="9" t="s">
        <v>106</v>
      </c>
      <c r="F2399" s="5" t="str">
        <f t="shared" si="547"/>
        <v>C:\Users\jaime.benazar\Quorum Business Solutions\Ecopetrol Prometeo - Documents\Planning Space Implementation\3. Analysis &amp; Design\Design\FC22\DRR Jaime\QUIFA-CAJÚA\Cajua\[VAS_CAJUA_CF_SEC_20230125.xlsx]CF PSNP'!</v>
      </c>
      <c r="G2399" s="6" t="s">
        <v>40</v>
      </c>
      <c r="H2399" s="1"/>
      <c r="I2399" s="1"/>
      <c r="J2399" s="1"/>
    </row>
    <row r="2400" spans="1:10" x14ac:dyDescent="0.25">
      <c r="A2400" s="6" t="s">
        <v>103</v>
      </c>
      <c r="B2400" s="6">
        <v>2027</v>
      </c>
      <c r="C2400" s="1" t="s">
        <v>20</v>
      </c>
      <c r="D2400" s="2" t="s">
        <v>128</v>
      </c>
      <c r="E2400" s="9" t="s">
        <v>106</v>
      </c>
      <c r="F2400" s="5" t="str">
        <f t="shared" si="547"/>
        <v>C:\Users\jaime.benazar\Quorum Business Solutions\Ecopetrol Prometeo - Documents\Planning Space Implementation\3. Analysis &amp; Design\Design\FC22\DRR Jaime\QUIFA-CAJÚA\Cajua\[VAS_CAJUA_CF_SEC_20230125.xlsx]CF PSNP'!</v>
      </c>
      <c r="G2400" s="6" t="s">
        <v>40</v>
      </c>
      <c r="H2400" s="1"/>
      <c r="I2400" s="1"/>
      <c r="J2400" s="1"/>
    </row>
    <row r="2401" spans="1:10" x14ac:dyDescent="0.25">
      <c r="A2401" s="6" t="s">
        <v>103</v>
      </c>
      <c r="B2401" s="6">
        <v>2028</v>
      </c>
      <c r="C2401" s="1" t="s">
        <v>20</v>
      </c>
      <c r="D2401" s="2" t="s">
        <v>128</v>
      </c>
      <c r="E2401" s="9" t="s">
        <v>106</v>
      </c>
      <c r="F2401" s="5" t="str">
        <f t="shared" si="547"/>
        <v>C:\Users\jaime.benazar\Quorum Business Solutions\Ecopetrol Prometeo - Documents\Planning Space Implementation\3. Analysis &amp; Design\Design\FC22\DRR Jaime\QUIFA-CAJÚA\Cajua\[VAS_CAJUA_CF_SEC_20230125.xlsx]CF PSNP'!</v>
      </c>
      <c r="G2401" s="6" t="s">
        <v>40</v>
      </c>
      <c r="H2401" s="1"/>
      <c r="I2401" s="1"/>
      <c r="J2401" s="1"/>
    </row>
    <row r="2402" spans="1:10" x14ac:dyDescent="0.25">
      <c r="A2402" s="6" t="s">
        <v>103</v>
      </c>
      <c r="B2402" s="6">
        <v>2029</v>
      </c>
      <c r="C2402" s="1" t="s">
        <v>20</v>
      </c>
      <c r="D2402" s="2" t="s">
        <v>128</v>
      </c>
      <c r="E2402" s="9" t="s">
        <v>106</v>
      </c>
      <c r="F2402" s="5" t="str">
        <f t="shared" si="547"/>
        <v>C:\Users\jaime.benazar\Quorum Business Solutions\Ecopetrol Prometeo - Documents\Planning Space Implementation\3. Analysis &amp; Design\Design\FC22\DRR Jaime\QUIFA-CAJÚA\Cajua\[VAS_CAJUA_CF_SEC_20230125.xlsx]CF PSNP'!</v>
      </c>
      <c r="G2402" s="6" t="s">
        <v>40</v>
      </c>
      <c r="H2402" s="1"/>
      <c r="I2402" s="1"/>
      <c r="J2402" s="1"/>
    </row>
    <row r="2403" spans="1:10" x14ac:dyDescent="0.25">
      <c r="A2403" s="6" t="s">
        <v>103</v>
      </c>
      <c r="B2403" s="6">
        <v>2030</v>
      </c>
      <c r="C2403" s="1" t="s">
        <v>20</v>
      </c>
      <c r="D2403" s="2" t="s">
        <v>128</v>
      </c>
      <c r="E2403" s="9" t="s">
        <v>106</v>
      </c>
      <c r="F2403" s="5" t="str">
        <f t="shared" si="547"/>
        <v>C:\Users\jaime.benazar\Quorum Business Solutions\Ecopetrol Prometeo - Documents\Planning Space Implementation\3. Analysis &amp; Design\Design\FC22\DRR Jaime\QUIFA-CAJÚA\Cajua\[VAS_CAJUA_CF_SEC_20230125.xlsx]CF PSNP'!</v>
      </c>
      <c r="G2403" s="6" t="s">
        <v>40</v>
      </c>
      <c r="H2403" s="1"/>
      <c r="I2403" s="1"/>
      <c r="J2403" s="1"/>
    </row>
    <row r="2404" spans="1:10" x14ac:dyDescent="0.25">
      <c r="A2404" s="6" t="s">
        <v>103</v>
      </c>
      <c r="B2404" s="6">
        <v>2031</v>
      </c>
      <c r="C2404" s="1" t="s">
        <v>20</v>
      </c>
      <c r="D2404" s="2" t="s">
        <v>128</v>
      </c>
      <c r="E2404" s="9" t="s">
        <v>106</v>
      </c>
      <c r="F2404" s="5" t="str">
        <f t="shared" si="547"/>
        <v>C:\Users\jaime.benazar\Quorum Business Solutions\Ecopetrol Prometeo - Documents\Planning Space Implementation\3. Analysis &amp; Design\Design\FC22\DRR Jaime\QUIFA-CAJÚA\Cajua\[VAS_CAJUA_CF_SEC_20230125.xlsx]CF PSNP'!</v>
      </c>
      <c r="G2404" s="6" t="s">
        <v>40</v>
      </c>
      <c r="H2404" s="1"/>
      <c r="I2404" s="1"/>
      <c r="J2404" s="1"/>
    </row>
    <row r="2405" spans="1:10" x14ac:dyDescent="0.25">
      <c r="A2405" s="6" t="s">
        <v>103</v>
      </c>
      <c r="B2405" s="6">
        <v>2032</v>
      </c>
      <c r="C2405" s="1" t="s">
        <v>20</v>
      </c>
      <c r="D2405" s="2" t="s">
        <v>128</v>
      </c>
      <c r="E2405" s="9" t="s">
        <v>106</v>
      </c>
      <c r="F2405" s="5" t="str">
        <f t="shared" si="547"/>
        <v>C:\Users\jaime.benazar\Quorum Business Solutions\Ecopetrol Prometeo - Documents\Planning Space Implementation\3. Analysis &amp; Design\Design\FC22\DRR Jaime\QUIFA-CAJÚA\Cajua\[VAS_CAJUA_CF_SEC_20230125.xlsx]CF PSNP'!</v>
      </c>
      <c r="G2405" s="6" t="s">
        <v>40</v>
      </c>
      <c r="H2405" s="1"/>
      <c r="I2405" s="1"/>
      <c r="J2405" s="1"/>
    </row>
    <row r="2406" spans="1:10" x14ac:dyDescent="0.25">
      <c r="A2406" s="6" t="s">
        <v>103</v>
      </c>
      <c r="B2406" s="6">
        <v>2033</v>
      </c>
      <c r="C2406" s="1" t="s">
        <v>20</v>
      </c>
      <c r="D2406" s="2" t="s">
        <v>128</v>
      </c>
      <c r="E2406" s="9" t="s">
        <v>106</v>
      </c>
      <c r="F2406" s="5" t="str">
        <f t="shared" si="547"/>
        <v>C:\Users\jaime.benazar\Quorum Business Solutions\Ecopetrol Prometeo - Documents\Planning Space Implementation\3. Analysis &amp; Design\Design\FC22\DRR Jaime\QUIFA-CAJÚA\Cajua\[VAS_CAJUA_CF_SEC_20230125.xlsx]CF PSNP'!</v>
      </c>
      <c r="G2406" s="6" t="s">
        <v>40</v>
      </c>
      <c r="H2406" s="1"/>
      <c r="I2406" s="1"/>
      <c r="J2406" s="1"/>
    </row>
    <row r="2407" spans="1:10" x14ac:dyDescent="0.25">
      <c r="A2407" s="6" t="s">
        <v>103</v>
      </c>
      <c r="B2407" s="6">
        <v>2034</v>
      </c>
      <c r="C2407" s="1" t="s">
        <v>20</v>
      </c>
      <c r="D2407" s="2" t="s">
        <v>128</v>
      </c>
      <c r="E2407" s="9" t="s">
        <v>106</v>
      </c>
      <c r="F2407" s="5" t="str">
        <f t="shared" si="547"/>
        <v>C:\Users\jaime.benazar\Quorum Business Solutions\Ecopetrol Prometeo - Documents\Planning Space Implementation\3. Analysis &amp; Design\Design\FC22\DRR Jaime\QUIFA-CAJÚA\Cajua\[VAS_CAJUA_CF_SEC_20230125.xlsx]CF PSNP'!</v>
      </c>
      <c r="G2407" s="6" t="s">
        <v>40</v>
      </c>
      <c r="H2407" s="1"/>
      <c r="I2407" s="1"/>
      <c r="J2407" s="1"/>
    </row>
    <row r="2408" spans="1:10" x14ac:dyDescent="0.25">
      <c r="A2408" s="6" t="s">
        <v>103</v>
      </c>
      <c r="B2408" s="6">
        <v>2035</v>
      </c>
      <c r="C2408" s="1" t="s">
        <v>20</v>
      </c>
      <c r="D2408" s="2" t="s">
        <v>128</v>
      </c>
      <c r="E2408" s="9" t="s">
        <v>106</v>
      </c>
      <c r="F2408" s="5" t="str">
        <f t="shared" si="547"/>
        <v>C:\Users\jaime.benazar\Quorum Business Solutions\Ecopetrol Prometeo - Documents\Planning Space Implementation\3. Analysis &amp; Design\Design\FC22\DRR Jaime\QUIFA-CAJÚA\Cajua\[VAS_CAJUA_CF_SEC_20230125.xlsx]CF PSNP'!</v>
      </c>
      <c r="G2408" s="6" t="s">
        <v>40</v>
      </c>
      <c r="H2408" s="1"/>
      <c r="I2408" s="1"/>
      <c r="J2408" s="1"/>
    </row>
    <row r="2409" spans="1:10" x14ac:dyDescent="0.25">
      <c r="A2409" s="6" t="s">
        <v>103</v>
      </c>
      <c r="B2409" s="6">
        <v>2036</v>
      </c>
      <c r="C2409" s="1" t="s">
        <v>20</v>
      </c>
      <c r="D2409" s="2" t="s">
        <v>128</v>
      </c>
      <c r="E2409" s="9" t="s">
        <v>106</v>
      </c>
      <c r="F2409" s="5" t="str">
        <f t="shared" si="547"/>
        <v>C:\Users\jaime.benazar\Quorum Business Solutions\Ecopetrol Prometeo - Documents\Planning Space Implementation\3. Analysis &amp; Design\Design\FC22\DRR Jaime\QUIFA-CAJÚA\Cajua\[VAS_CAJUA_CF_SEC_20230125.xlsx]CF PSNP'!</v>
      </c>
      <c r="G2409" s="6" t="s">
        <v>40</v>
      </c>
      <c r="H2409" s="1"/>
      <c r="I2409" s="1"/>
      <c r="J2409" s="1"/>
    </row>
    <row r="2410" spans="1:10" x14ac:dyDescent="0.25">
      <c r="A2410" s="6" t="s">
        <v>103</v>
      </c>
      <c r="B2410" s="6">
        <v>2037</v>
      </c>
      <c r="C2410" s="1" t="s">
        <v>20</v>
      </c>
      <c r="D2410" s="2" t="s">
        <v>128</v>
      </c>
      <c r="E2410" s="9" t="s">
        <v>106</v>
      </c>
      <c r="F2410" s="5" t="str">
        <f t="shared" si="547"/>
        <v>C:\Users\jaime.benazar\Quorum Business Solutions\Ecopetrol Prometeo - Documents\Planning Space Implementation\3. Analysis &amp; Design\Design\FC22\DRR Jaime\QUIFA-CAJÚA\Cajua\[VAS_CAJUA_CF_SEC_20230125.xlsx]CF PSNP'!</v>
      </c>
      <c r="G2410" s="6" t="s">
        <v>40</v>
      </c>
      <c r="H2410" s="1"/>
      <c r="I2410" s="1"/>
      <c r="J2410" s="1"/>
    </row>
    <row r="2411" spans="1:10" x14ac:dyDescent="0.25">
      <c r="A2411" s="6" t="s">
        <v>103</v>
      </c>
      <c r="B2411" s="6">
        <v>2038</v>
      </c>
      <c r="C2411" s="1" t="s">
        <v>20</v>
      </c>
      <c r="D2411" s="2" t="s">
        <v>128</v>
      </c>
      <c r="E2411" s="9" t="s">
        <v>106</v>
      </c>
      <c r="F2411" s="5" t="str">
        <f t="shared" si="547"/>
        <v>C:\Users\jaime.benazar\Quorum Business Solutions\Ecopetrol Prometeo - Documents\Planning Space Implementation\3. Analysis &amp; Design\Design\FC22\DRR Jaime\QUIFA-CAJÚA\Cajua\[VAS_CAJUA_CF_SEC_20230125.xlsx]CF PSNP'!</v>
      </c>
      <c r="G2411" s="6" t="s">
        <v>40</v>
      </c>
      <c r="H2411" s="1"/>
      <c r="I2411" s="1"/>
      <c r="J2411" s="1"/>
    </row>
    <row r="2412" spans="1:10" x14ac:dyDescent="0.25">
      <c r="A2412" s="6" t="s">
        <v>103</v>
      </c>
      <c r="B2412" s="6">
        <v>2039</v>
      </c>
      <c r="C2412" s="1" t="s">
        <v>20</v>
      </c>
      <c r="D2412" s="2" t="s">
        <v>128</v>
      </c>
      <c r="E2412" s="9" t="s">
        <v>106</v>
      </c>
      <c r="F2412" s="5" t="str">
        <f t="shared" si="547"/>
        <v>C:\Users\jaime.benazar\Quorum Business Solutions\Ecopetrol Prometeo - Documents\Planning Space Implementation\3. Analysis &amp; Design\Design\FC22\DRR Jaime\QUIFA-CAJÚA\Cajua\[VAS_CAJUA_CF_SEC_20230125.xlsx]CF PSNP'!</v>
      </c>
      <c r="G2412" s="6" t="s">
        <v>40</v>
      </c>
      <c r="H2412" s="1"/>
      <c r="I2412" s="1"/>
      <c r="J2412" s="1"/>
    </row>
    <row r="2413" spans="1:10" x14ac:dyDescent="0.25">
      <c r="A2413" s="6" t="s">
        <v>103</v>
      </c>
      <c r="B2413" s="6">
        <v>2040</v>
      </c>
      <c r="C2413" s="1" t="s">
        <v>20</v>
      </c>
      <c r="D2413" s="2" t="s">
        <v>128</v>
      </c>
      <c r="E2413" s="9" t="s">
        <v>106</v>
      </c>
      <c r="F2413" s="5" t="str">
        <f t="shared" si="547"/>
        <v>C:\Users\jaime.benazar\Quorum Business Solutions\Ecopetrol Prometeo - Documents\Planning Space Implementation\3. Analysis &amp; Design\Design\FC22\DRR Jaime\QUIFA-CAJÚA\Cajua\[VAS_CAJUA_CF_SEC_20230125.xlsx]CF PSNP'!</v>
      </c>
      <c r="G2413" s="6" t="s">
        <v>40</v>
      </c>
      <c r="H2413" s="1"/>
      <c r="I2413" s="1"/>
      <c r="J2413" s="1"/>
    </row>
    <row r="2414" spans="1:10" x14ac:dyDescent="0.25">
      <c r="A2414" s="6" t="s">
        <v>103</v>
      </c>
      <c r="B2414" s="6">
        <v>2041</v>
      </c>
      <c r="C2414" s="1" t="s">
        <v>20</v>
      </c>
      <c r="D2414" s="2" t="s">
        <v>128</v>
      </c>
      <c r="E2414" s="9" t="s">
        <v>106</v>
      </c>
      <c r="F2414" s="5" t="str">
        <f t="shared" si="547"/>
        <v>C:\Users\jaime.benazar\Quorum Business Solutions\Ecopetrol Prometeo - Documents\Planning Space Implementation\3. Analysis &amp; Design\Design\FC22\DRR Jaime\QUIFA-CAJÚA\Cajua\[VAS_CAJUA_CF_SEC_20230125.xlsx]CF PSNP'!</v>
      </c>
      <c r="G2414" s="6" t="s">
        <v>40</v>
      </c>
      <c r="H2414" s="1"/>
      <c r="I2414" s="1"/>
      <c r="J2414" s="1"/>
    </row>
    <row r="2415" spans="1:10" x14ac:dyDescent="0.25">
      <c r="A2415" s="6" t="s">
        <v>103</v>
      </c>
      <c r="B2415" s="6">
        <v>2042</v>
      </c>
      <c r="C2415" s="1" t="s">
        <v>20</v>
      </c>
      <c r="D2415" s="2" t="s">
        <v>128</v>
      </c>
      <c r="E2415" s="9" t="s">
        <v>106</v>
      </c>
      <c r="F2415" s="5" t="str">
        <f t="shared" si="547"/>
        <v>C:\Users\jaime.benazar\Quorum Business Solutions\Ecopetrol Prometeo - Documents\Planning Space Implementation\3. Analysis &amp; Design\Design\FC22\DRR Jaime\QUIFA-CAJÚA\Cajua\[VAS_CAJUA_CF_SEC_20230125.xlsx]CF PSNP'!</v>
      </c>
      <c r="G2415" s="6" t="s">
        <v>40</v>
      </c>
      <c r="H2415" s="1"/>
      <c r="I2415" s="1"/>
      <c r="J2415" s="1"/>
    </row>
    <row r="2416" spans="1:10" x14ac:dyDescent="0.25">
      <c r="A2416" s="6" t="s">
        <v>103</v>
      </c>
      <c r="B2416" s="6">
        <v>2043</v>
      </c>
      <c r="C2416" s="1" t="s">
        <v>20</v>
      </c>
      <c r="D2416" s="2" t="s">
        <v>128</v>
      </c>
      <c r="E2416" s="9" t="s">
        <v>106</v>
      </c>
      <c r="F2416" s="5" t="str">
        <f t="shared" si="547"/>
        <v>C:\Users\jaime.benazar\Quorum Business Solutions\Ecopetrol Prometeo - Documents\Planning Space Implementation\3. Analysis &amp; Design\Design\FC22\DRR Jaime\QUIFA-CAJÚA\Cajua\[VAS_CAJUA_CF_SEC_20230125.xlsx]CF PSNP'!</v>
      </c>
      <c r="G2416" s="6" t="s">
        <v>40</v>
      </c>
      <c r="H2416" s="1"/>
      <c r="I2416" s="1"/>
      <c r="J2416" s="1"/>
    </row>
    <row r="2417" spans="1:10" x14ac:dyDescent="0.25">
      <c r="A2417" s="6" t="s">
        <v>103</v>
      </c>
      <c r="B2417" s="6">
        <v>2044</v>
      </c>
      <c r="C2417" s="1" t="s">
        <v>20</v>
      </c>
      <c r="D2417" s="2" t="s">
        <v>128</v>
      </c>
      <c r="E2417" s="9" t="s">
        <v>106</v>
      </c>
      <c r="F2417" s="5" t="str">
        <f t="shared" ref="F2417:F2432" si="548">_xlfn.CONCAT(D2417," ",E2417)</f>
        <v>C:\Users\jaime.benazar\Quorum Business Solutions\Ecopetrol Prometeo - Documents\Planning Space Implementation\3. Analysis &amp; Design\Design\FC22\DRR Jaime\QUIFA-CAJÚA\Cajua\[VAS_CAJUA_CF_SEC_20230125.xlsx]CF PSNP'!</v>
      </c>
      <c r="G2417" s="6" t="s">
        <v>40</v>
      </c>
      <c r="H2417" s="1"/>
      <c r="I2417" s="1"/>
      <c r="J2417" s="1"/>
    </row>
    <row r="2418" spans="1:10" x14ac:dyDescent="0.25">
      <c r="A2418" s="6" t="s">
        <v>103</v>
      </c>
      <c r="B2418" s="6">
        <v>2045</v>
      </c>
      <c r="C2418" s="1" t="s">
        <v>20</v>
      </c>
      <c r="D2418" s="2" t="s">
        <v>128</v>
      </c>
      <c r="E2418" s="9" t="s">
        <v>106</v>
      </c>
      <c r="F2418" s="5" t="str">
        <f t="shared" si="548"/>
        <v>C:\Users\jaime.benazar\Quorum Business Solutions\Ecopetrol Prometeo - Documents\Planning Space Implementation\3. Analysis &amp; Design\Design\FC22\DRR Jaime\QUIFA-CAJÚA\Cajua\[VAS_CAJUA_CF_SEC_20230125.xlsx]CF PSNP'!</v>
      </c>
      <c r="G2418" s="6" t="s">
        <v>40</v>
      </c>
      <c r="H2418" s="1"/>
      <c r="I2418" s="1"/>
      <c r="J2418" s="1"/>
    </row>
    <row r="2419" spans="1:10" x14ac:dyDescent="0.25">
      <c r="A2419" s="6" t="s">
        <v>103</v>
      </c>
      <c r="B2419" s="6">
        <v>2046</v>
      </c>
      <c r="C2419" s="1" t="s">
        <v>20</v>
      </c>
      <c r="D2419" s="2" t="s">
        <v>128</v>
      </c>
      <c r="E2419" s="9" t="s">
        <v>106</v>
      </c>
      <c r="F2419" s="5" t="str">
        <f t="shared" si="548"/>
        <v>C:\Users\jaime.benazar\Quorum Business Solutions\Ecopetrol Prometeo - Documents\Planning Space Implementation\3. Analysis &amp; Design\Design\FC22\DRR Jaime\QUIFA-CAJÚA\Cajua\[VAS_CAJUA_CF_SEC_20230125.xlsx]CF PSNP'!</v>
      </c>
      <c r="G2419" s="6" t="s">
        <v>40</v>
      </c>
      <c r="H2419" s="1"/>
      <c r="I2419" s="1"/>
      <c r="J2419" s="1"/>
    </row>
    <row r="2420" spans="1:10" x14ac:dyDescent="0.25">
      <c r="A2420" s="6" t="s">
        <v>103</v>
      </c>
      <c r="B2420" s="6">
        <v>2047</v>
      </c>
      <c r="C2420" s="1" t="s">
        <v>20</v>
      </c>
      <c r="D2420" s="2" t="s">
        <v>128</v>
      </c>
      <c r="E2420" s="9" t="s">
        <v>106</v>
      </c>
      <c r="F2420" s="5" t="str">
        <f t="shared" si="548"/>
        <v>C:\Users\jaime.benazar\Quorum Business Solutions\Ecopetrol Prometeo - Documents\Planning Space Implementation\3. Analysis &amp; Design\Design\FC22\DRR Jaime\QUIFA-CAJÚA\Cajua\[VAS_CAJUA_CF_SEC_20230125.xlsx]CF PSNP'!</v>
      </c>
      <c r="G2420" s="6" t="s">
        <v>40</v>
      </c>
      <c r="H2420" s="1"/>
      <c r="I2420" s="1"/>
      <c r="J2420" s="1"/>
    </row>
    <row r="2421" spans="1:10" x14ac:dyDescent="0.25">
      <c r="A2421" s="6" t="s">
        <v>103</v>
      </c>
      <c r="B2421" s="6">
        <v>2048</v>
      </c>
      <c r="C2421" s="1" t="s">
        <v>20</v>
      </c>
      <c r="D2421" s="2" t="s">
        <v>128</v>
      </c>
      <c r="E2421" s="9" t="s">
        <v>106</v>
      </c>
      <c r="F2421" s="5" t="str">
        <f t="shared" si="548"/>
        <v>C:\Users\jaime.benazar\Quorum Business Solutions\Ecopetrol Prometeo - Documents\Planning Space Implementation\3. Analysis &amp; Design\Design\FC22\DRR Jaime\QUIFA-CAJÚA\Cajua\[VAS_CAJUA_CF_SEC_20230125.xlsx]CF PSNP'!</v>
      </c>
      <c r="G2421" s="6" t="s">
        <v>40</v>
      </c>
      <c r="H2421" s="1"/>
      <c r="I2421" s="1"/>
      <c r="J2421" s="1"/>
    </row>
    <row r="2422" spans="1:10" x14ac:dyDescent="0.25">
      <c r="A2422" s="6" t="s">
        <v>103</v>
      </c>
      <c r="B2422" s="6">
        <v>2049</v>
      </c>
      <c r="C2422" s="1" t="s">
        <v>20</v>
      </c>
      <c r="D2422" s="2" t="s">
        <v>128</v>
      </c>
      <c r="E2422" s="9" t="s">
        <v>106</v>
      </c>
      <c r="F2422" s="5" t="str">
        <f t="shared" si="548"/>
        <v>C:\Users\jaime.benazar\Quorum Business Solutions\Ecopetrol Prometeo - Documents\Planning Space Implementation\3. Analysis &amp; Design\Design\FC22\DRR Jaime\QUIFA-CAJÚA\Cajua\[VAS_CAJUA_CF_SEC_20230125.xlsx]CF PSNP'!</v>
      </c>
      <c r="G2422" s="6" t="s">
        <v>40</v>
      </c>
      <c r="H2422" s="1"/>
      <c r="I2422" s="1"/>
      <c r="J2422" s="1"/>
    </row>
    <row r="2423" spans="1:10" x14ac:dyDescent="0.25">
      <c r="A2423" s="6" t="s">
        <v>103</v>
      </c>
      <c r="B2423" s="6">
        <v>2050</v>
      </c>
      <c r="C2423" s="1" t="s">
        <v>20</v>
      </c>
      <c r="D2423" s="2" t="s">
        <v>128</v>
      </c>
      <c r="E2423" s="9" t="s">
        <v>106</v>
      </c>
      <c r="F2423" s="5" t="str">
        <f t="shared" si="548"/>
        <v>C:\Users\jaime.benazar\Quorum Business Solutions\Ecopetrol Prometeo - Documents\Planning Space Implementation\3. Analysis &amp; Design\Design\FC22\DRR Jaime\QUIFA-CAJÚA\Cajua\[VAS_CAJUA_CF_SEC_20230125.xlsx]CF PSNP'!</v>
      </c>
      <c r="G2423" s="6" t="s">
        <v>40</v>
      </c>
      <c r="H2423" s="1"/>
      <c r="I2423" s="1"/>
      <c r="J2423" s="1"/>
    </row>
    <row r="2424" spans="1:10" x14ac:dyDescent="0.25">
      <c r="A2424" s="6" t="s">
        <v>103</v>
      </c>
      <c r="B2424" s="6">
        <v>2051</v>
      </c>
      <c r="C2424" s="1" t="s">
        <v>20</v>
      </c>
      <c r="D2424" s="2" t="s">
        <v>128</v>
      </c>
      <c r="E2424" s="9" t="s">
        <v>106</v>
      </c>
      <c r="F2424" s="5" t="str">
        <f t="shared" si="548"/>
        <v>C:\Users\jaime.benazar\Quorum Business Solutions\Ecopetrol Prometeo - Documents\Planning Space Implementation\3. Analysis &amp; Design\Design\FC22\DRR Jaime\QUIFA-CAJÚA\Cajua\[VAS_CAJUA_CF_SEC_20230125.xlsx]CF PSNP'!</v>
      </c>
      <c r="G2424" s="6" t="s">
        <v>40</v>
      </c>
      <c r="H2424" s="1"/>
      <c r="I2424" s="1"/>
      <c r="J2424" s="1"/>
    </row>
    <row r="2425" spans="1:10" x14ac:dyDescent="0.25">
      <c r="A2425" s="6" t="s">
        <v>103</v>
      </c>
      <c r="B2425" s="6">
        <v>2052</v>
      </c>
      <c r="C2425" s="1" t="s">
        <v>20</v>
      </c>
      <c r="D2425" s="2" t="s">
        <v>128</v>
      </c>
      <c r="E2425" s="9" t="s">
        <v>106</v>
      </c>
      <c r="F2425" s="5" t="str">
        <f t="shared" si="548"/>
        <v>C:\Users\jaime.benazar\Quorum Business Solutions\Ecopetrol Prometeo - Documents\Planning Space Implementation\3. Analysis &amp; Design\Design\FC22\DRR Jaime\QUIFA-CAJÚA\Cajua\[VAS_CAJUA_CF_SEC_20230125.xlsx]CF PSNP'!</v>
      </c>
      <c r="G2425" s="6" t="s">
        <v>40</v>
      </c>
      <c r="H2425" s="1"/>
      <c r="I2425" s="1"/>
      <c r="J2425" s="1"/>
    </row>
    <row r="2426" spans="1:10" x14ac:dyDescent="0.25">
      <c r="A2426" s="6" t="s">
        <v>103</v>
      </c>
      <c r="B2426" s="6">
        <v>2053</v>
      </c>
      <c r="C2426" s="1" t="s">
        <v>20</v>
      </c>
      <c r="D2426" s="2" t="s">
        <v>128</v>
      </c>
      <c r="E2426" s="9" t="s">
        <v>106</v>
      </c>
      <c r="F2426" s="5" t="str">
        <f t="shared" si="548"/>
        <v>C:\Users\jaime.benazar\Quorum Business Solutions\Ecopetrol Prometeo - Documents\Planning Space Implementation\3. Analysis &amp; Design\Design\FC22\DRR Jaime\QUIFA-CAJÚA\Cajua\[VAS_CAJUA_CF_SEC_20230125.xlsx]CF PSNP'!</v>
      </c>
      <c r="G2426" s="6" t="s">
        <v>40</v>
      </c>
      <c r="H2426" s="1"/>
      <c r="I2426" s="1"/>
      <c r="J2426" s="1"/>
    </row>
    <row r="2427" spans="1:10" x14ac:dyDescent="0.25">
      <c r="A2427" s="6" t="s">
        <v>103</v>
      </c>
      <c r="B2427" s="6">
        <v>2054</v>
      </c>
      <c r="C2427" s="1" t="s">
        <v>20</v>
      </c>
      <c r="D2427" s="2" t="s">
        <v>128</v>
      </c>
      <c r="E2427" s="9" t="s">
        <v>106</v>
      </c>
      <c r="F2427" s="5" t="str">
        <f t="shared" si="548"/>
        <v>C:\Users\jaime.benazar\Quorum Business Solutions\Ecopetrol Prometeo - Documents\Planning Space Implementation\3. Analysis &amp; Design\Design\FC22\DRR Jaime\QUIFA-CAJÚA\Cajua\[VAS_CAJUA_CF_SEC_20230125.xlsx]CF PSNP'!</v>
      </c>
      <c r="G2427" s="6" t="s">
        <v>40</v>
      </c>
      <c r="H2427" s="1"/>
      <c r="I2427" s="1"/>
      <c r="J2427" s="1"/>
    </row>
    <row r="2428" spans="1:10" x14ac:dyDescent="0.25">
      <c r="A2428" s="6" t="s">
        <v>103</v>
      </c>
      <c r="B2428" s="6">
        <v>2055</v>
      </c>
      <c r="C2428" s="1" t="s">
        <v>20</v>
      </c>
      <c r="D2428" s="2" t="s">
        <v>128</v>
      </c>
      <c r="E2428" s="9" t="s">
        <v>106</v>
      </c>
      <c r="F2428" s="5" t="str">
        <f t="shared" si="548"/>
        <v>C:\Users\jaime.benazar\Quorum Business Solutions\Ecopetrol Prometeo - Documents\Planning Space Implementation\3. Analysis &amp; Design\Design\FC22\DRR Jaime\QUIFA-CAJÚA\Cajua\[VAS_CAJUA_CF_SEC_20230125.xlsx]CF PSNP'!</v>
      </c>
      <c r="G2428" s="6" t="s">
        <v>40</v>
      </c>
      <c r="H2428" s="1"/>
      <c r="I2428" s="1"/>
      <c r="J2428" s="1"/>
    </row>
    <row r="2429" spans="1:10" x14ac:dyDescent="0.25">
      <c r="A2429" s="6" t="s">
        <v>103</v>
      </c>
      <c r="B2429" s="6">
        <v>2056</v>
      </c>
      <c r="C2429" s="1" t="s">
        <v>20</v>
      </c>
      <c r="D2429" s="2" t="s">
        <v>128</v>
      </c>
      <c r="E2429" s="9" t="s">
        <v>106</v>
      </c>
      <c r="F2429" s="5" t="str">
        <f t="shared" si="548"/>
        <v>C:\Users\jaime.benazar\Quorum Business Solutions\Ecopetrol Prometeo - Documents\Planning Space Implementation\3. Analysis &amp; Design\Design\FC22\DRR Jaime\QUIFA-CAJÚA\Cajua\[VAS_CAJUA_CF_SEC_20230125.xlsx]CF PSNP'!</v>
      </c>
      <c r="G2429" s="6" t="s">
        <v>40</v>
      </c>
      <c r="H2429" s="1"/>
      <c r="I2429" s="1"/>
      <c r="J2429" s="1"/>
    </row>
    <row r="2430" spans="1:10" x14ac:dyDescent="0.25">
      <c r="A2430" s="6" t="s">
        <v>103</v>
      </c>
      <c r="B2430" s="6">
        <v>2057</v>
      </c>
      <c r="C2430" s="1" t="s">
        <v>20</v>
      </c>
      <c r="D2430" s="2" t="s">
        <v>128</v>
      </c>
      <c r="E2430" s="9" t="s">
        <v>106</v>
      </c>
      <c r="F2430" s="5" t="str">
        <f t="shared" si="548"/>
        <v>C:\Users\jaime.benazar\Quorum Business Solutions\Ecopetrol Prometeo - Documents\Planning Space Implementation\3. Analysis &amp; Design\Design\FC22\DRR Jaime\QUIFA-CAJÚA\Cajua\[VAS_CAJUA_CF_SEC_20230125.xlsx]CF PSNP'!</v>
      </c>
      <c r="G2430" s="6" t="s">
        <v>40</v>
      </c>
      <c r="H2430" s="1"/>
      <c r="I2430" s="1"/>
      <c r="J2430" s="1"/>
    </row>
    <row r="2431" spans="1:10" x14ac:dyDescent="0.25">
      <c r="A2431" s="6" t="s">
        <v>103</v>
      </c>
      <c r="B2431" s="6">
        <v>2058</v>
      </c>
      <c r="C2431" s="1" t="s">
        <v>20</v>
      </c>
      <c r="D2431" s="2" t="s">
        <v>128</v>
      </c>
      <c r="E2431" s="9" t="s">
        <v>106</v>
      </c>
      <c r="F2431" s="5" t="str">
        <f t="shared" si="548"/>
        <v>C:\Users\jaime.benazar\Quorum Business Solutions\Ecopetrol Prometeo - Documents\Planning Space Implementation\3. Analysis &amp; Design\Design\FC22\DRR Jaime\QUIFA-CAJÚA\Cajua\[VAS_CAJUA_CF_SEC_20230125.xlsx]CF PSNP'!</v>
      </c>
      <c r="G2431" s="6" t="s">
        <v>40</v>
      </c>
      <c r="H2431" s="1"/>
      <c r="I2431" s="1"/>
      <c r="J2431" s="1"/>
    </row>
    <row r="2432" spans="1:10" x14ac:dyDescent="0.25">
      <c r="A2432" s="6" t="s">
        <v>103</v>
      </c>
      <c r="B2432" s="6">
        <v>2059</v>
      </c>
      <c r="C2432" s="1" t="s">
        <v>20</v>
      </c>
      <c r="D2432" s="2" t="s">
        <v>128</v>
      </c>
      <c r="E2432" s="9" t="s">
        <v>106</v>
      </c>
      <c r="F2432" s="5" t="str">
        <f t="shared" si="548"/>
        <v>C:\Users\jaime.benazar\Quorum Business Solutions\Ecopetrol Prometeo - Documents\Planning Space Implementation\3. Analysis &amp; Design\Design\FC22\DRR Jaime\QUIFA-CAJÚA\Cajua\[VAS_CAJUA_CF_SEC_20230125.xlsx]CF PSNP'!</v>
      </c>
      <c r="G2432" s="6" t="s">
        <v>40</v>
      </c>
      <c r="H2432" s="1"/>
      <c r="I2432" s="1"/>
      <c r="J2432" s="1"/>
    </row>
    <row r="2433" spans="1:10" x14ac:dyDescent="0.25">
      <c r="A2433" s="6" t="s">
        <v>28</v>
      </c>
      <c r="B2433" s="6"/>
      <c r="C2433" s="1" t="s">
        <v>20</v>
      </c>
      <c r="D2433" s="2"/>
      <c r="E2433" s="9"/>
      <c r="F2433" s="2"/>
      <c r="G2433" s="6"/>
      <c r="H2433" s="1"/>
      <c r="I2433" s="1"/>
      <c r="J2433" s="1"/>
    </row>
    <row r="2434" spans="1:10" x14ac:dyDescent="0.25">
      <c r="A2434" s="6" t="s">
        <v>104</v>
      </c>
      <c r="B2434" s="6">
        <v>2023</v>
      </c>
      <c r="C2434" s="1" t="s">
        <v>20</v>
      </c>
      <c r="D2434" s="2" t="s">
        <v>128</v>
      </c>
      <c r="E2434" s="9" t="s">
        <v>107</v>
      </c>
      <c r="F2434" s="5" t="str">
        <f t="shared" si="547"/>
        <v>C:\Users\jaime.benazar\Quorum Business Solutions\Ecopetrol Prometeo - Documents\Planning Space Implementation\3. Analysis &amp; Design\Design\FC22\DRR Jaime\QUIFA-CAJÚA\Cajua\[VAS_CAJUA_CF_SEC_20230125.xlsx]CF PSND'!</v>
      </c>
      <c r="G2434" s="6" t="s">
        <v>40</v>
      </c>
      <c r="H2434" s="1"/>
      <c r="I2434" s="1"/>
      <c r="J2434" s="1"/>
    </row>
    <row r="2435" spans="1:10" x14ac:dyDescent="0.25">
      <c r="A2435" s="6" t="s">
        <v>104</v>
      </c>
      <c r="B2435" s="6">
        <v>2024</v>
      </c>
      <c r="C2435" s="1" t="s">
        <v>20</v>
      </c>
      <c r="D2435" s="2" t="s">
        <v>128</v>
      </c>
      <c r="E2435" s="9" t="s">
        <v>107</v>
      </c>
      <c r="F2435" s="5" t="str">
        <f t="shared" si="547"/>
        <v>C:\Users\jaime.benazar\Quorum Business Solutions\Ecopetrol Prometeo - Documents\Planning Space Implementation\3. Analysis &amp; Design\Design\FC22\DRR Jaime\QUIFA-CAJÚA\Cajua\[VAS_CAJUA_CF_SEC_20230125.xlsx]CF PSND'!</v>
      </c>
      <c r="G2435" s="6" t="s">
        <v>40</v>
      </c>
      <c r="H2435" s="1"/>
      <c r="I2435" s="1"/>
      <c r="J2435" s="1"/>
    </row>
    <row r="2436" spans="1:10" x14ac:dyDescent="0.25">
      <c r="A2436" s="6" t="s">
        <v>104</v>
      </c>
      <c r="B2436" s="6">
        <v>2025</v>
      </c>
      <c r="C2436" s="1" t="s">
        <v>20</v>
      </c>
      <c r="D2436" s="2" t="s">
        <v>128</v>
      </c>
      <c r="E2436" s="9" t="s">
        <v>107</v>
      </c>
      <c r="F2436" s="5" t="str">
        <f t="shared" si="547"/>
        <v>C:\Users\jaime.benazar\Quorum Business Solutions\Ecopetrol Prometeo - Documents\Planning Space Implementation\3. Analysis &amp; Design\Design\FC22\DRR Jaime\QUIFA-CAJÚA\Cajua\[VAS_CAJUA_CF_SEC_20230125.xlsx]CF PSND'!</v>
      </c>
      <c r="G2436" s="6" t="s">
        <v>40</v>
      </c>
      <c r="H2436" s="1"/>
      <c r="I2436" s="1"/>
      <c r="J2436" s="1"/>
    </row>
    <row r="2437" spans="1:10" x14ac:dyDescent="0.25">
      <c r="A2437" s="6" t="s">
        <v>104</v>
      </c>
      <c r="B2437" s="6">
        <v>2026</v>
      </c>
      <c r="C2437" s="1" t="s">
        <v>20</v>
      </c>
      <c r="D2437" s="2" t="s">
        <v>128</v>
      </c>
      <c r="E2437" s="9" t="s">
        <v>107</v>
      </c>
      <c r="F2437" s="5" t="str">
        <f t="shared" si="547"/>
        <v>C:\Users\jaime.benazar\Quorum Business Solutions\Ecopetrol Prometeo - Documents\Planning Space Implementation\3. Analysis &amp; Design\Design\FC22\DRR Jaime\QUIFA-CAJÚA\Cajua\[VAS_CAJUA_CF_SEC_20230125.xlsx]CF PSND'!</v>
      </c>
      <c r="G2437" s="6" t="s">
        <v>40</v>
      </c>
      <c r="H2437" s="1"/>
      <c r="I2437" s="1"/>
      <c r="J2437" s="1"/>
    </row>
    <row r="2438" spans="1:10" x14ac:dyDescent="0.25">
      <c r="A2438" s="6" t="s">
        <v>104</v>
      </c>
      <c r="B2438" s="6">
        <v>2027</v>
      </c>
      <c r="C2438" s="1" t="s">
        <v>20</v>
      </c>
      <c r="D2438" s="2" t="s">
        <v>128</v>
      </c>
      <c r="E2438" s="9" t="s">
        <v>107</v>
      </c>
      <c r="F2438" s="5" t="str">
        <f t="shared" si="547"/>
        <v>C:\Users\jaime.benazar\Quorum Business Solutions\Ecopetrol Prometeo - Documents\Planning Space Implementation\3. Analysis &amp; Design\Design\FC22\DRR Jaime\QUIFA-CAJÚA\Cajua\[VAS_CAJUA_CF_SEC_20230125.xlsx]CF PSND'!</v>
      </c>
      <c r="G2438" s="6" t="s">
        <v>40</v>
      </c>
      <c r="H2438" s="1"/>
      <c r="I2438" s="1"/>
      <c r="J2438" s="1"/>
    </row>
    <row r="2439" spans="1:10" x14ac:dyDescent="0.25">
      <c r="A2439" s="6" t="s">
        <v>104</v>
      </c>
      <c r="B2439" s="6">
        <v>2028</v>
      </c>
      <c r="C2439" s="1" t="s">
        <v>20</v>
      </c>
      <c r="D2439" s="2" t="s">
        <v>128</v>
      </c>
      <c r="E2439" s="9" t="s">
        <v>107</v>
      </c>
      <c r="F2439" s="5" t="str">
        <f t="shared" si="547"/>
        <v>C:\Users\jaime.benazar\Quorum Business Solutions\Ecopetrol Prometeo - Documents\Planning Space Implementation\3. Analysis &amp; Design\Design\FC22\DRR Jaime\QUIFA-CAJÚA\Cajua\[VAS_CAJUA_CF_SEC_20230125.xlsx]CF PSND'!</v>
      </c>
      <c r="G2439" s="6" t="s">
        <v>40</v>
      </c>
      <c r="H2439" s="1"/>
      <c r="I2439" s="1"/>
      <c r="J2439" s="1"/>
    </row>
    <row r="2440" spans="1:10" x14ac:dyDescent="0.25">
      <c r="A2440" s="6" t="s">
        <v>104</v>
      </c>
      <c r="B2440" s="6">
        <v>2029</v>
      </c>
      <c r="C2440" s="1" t="s">
        <v>20</v>
      </c>
      <c r="D2440" s="2" t="s">
        <v>128</v>
      </c>
      <c r="E2440" s="9" t="s">
        <v>107</v>
      </c>
      <c r="F2440" s="5" t="str">
        <f t="shared" si="547"/>
        <v>C:\Users\jaime.benazar\Quorum Business Solutions\Ecopetrol Prometeo - Documents\Planning Space Implementation\3. Analysis &amp; Design\Design\FC22\DRR Jaime\QUIFA-CAJÚA\Cajua\[VAS_CAJUA_CF_SEC_20230125.xlsx]CF PSND'!</v>
      </c>
      <c r="G2440" s="6" t="s">
        <v>40</v>
      </c>
      <c r="H2440" s="1"/>
      <c r="I2440" s="1"/>
      <c r="J2440" s="1"/>
    </row>
    <row r="2441" spans="1:10" x14ac:dyDescent="0.25">
      <c r="A2441" s="6" t="s">
        <v>104</v>
      </c>
      <c r="B2441" s="6">
        <v>2030</v>
      </c>
      <c r="C2441" s="1" t="s">
        <v>20</v>
      </c>
      <c r="D2441" s="2" t="s">
        <v>128</v>
      </c>
      <c r="E2441" s="9" t="s">
        <v>107</v>
      </c>
      <c r="F2441" s="5" t="str">
        <f t="shared" si="547"/>
        <v>C:\Users\jaime.benazar\Quorum Business Solutions\Ecopetrol Prometeo - Documents\Planning Space Implementation\3. Analysis &amp; Design\Design\FC22\DRR Jaime\QUIFA-CAJÚA\Cajua\[VAS_CAJUA_CF_SEC_20230125.xlsx]CF PSND'!</v>
      </c>
      <c r="G2441" s="6" t="s">
        <v>40</v>
      </c>
      <c r="H2441" s="1"/>
      <c r="I2441" s="1"/>
      <c r="J2441" s="1"/>
    </row>
    <row r="2442" spans="1:10" x14ac:dyDescent="0.25">
      <c r="A2442" s="6" t="s">
        <v>104</v>
      </c>
      <c r="B2442" s="6">
        <v>2031</v>
      </c>
      <c r="C2442" s="1" t="s">
        <v>20</v>
      </c>
      <c r="D2442" s="2" t="s">
        <v>128</v>
      </c>
      <c r="E2442" s="9" t="s">
        <v>107</v>
      </c>
      <c r="F2442" s="5" t="str">
        <f t="shared" si="547"/>
        <v>C:\Users\jaime.benazar\Quorum Business Solutions\Ecopetrol Prometeo - Documents\Planning Space Implementation\3. Analysis &amp; Design\Design\FC22\DRR Jaime\QUIFA-CAJÚA\Cajua\[VAS_CAJUA_CF_SEC_20230125.xlsx]CF PSND'!</v>
      </c>
      <c r="G2442" s="6" t="s">
        <v>40</v>
      </c>
      <c r="H2442" s="1"/>
      <c r="I2442" s="1"/>
      <c r="J2442" s="1"/>
    </row>
    <row r="2443" spans="1:10" x14ac:dyDescent="0.25">
      <c r="A2443" s="6" t="s">
        <v>104</v>
      </c>
      <c r="B2443" s="6">
        <v>2032</v>
      </c>
      <c r="C2443" s="1" t="s">
        <v>20</v>
      </c>
      <c r="D2443" s="2" t="s">
        <v>128</v>
      </c>
      <c r="E2443" s="9" t="s">
        <v>107</v>
      </c>
      <c r="F2443" s="5" t="str">
        <f t="shared" si="547"/>
        <v>C:\Users\jaime.benazar\Quorum Business Solutions\Ecopetrol Prometeo - Documents\Planning Space Implementation\3. Analysis &amp; Design\Design\FC22\DRR Jaime\QUIFA-CAJÚA\Cajua\[VAS_CAJUA_CF_SEC_20230125.xlsx]CF PSND'!</v>
      </c>
      <c r="G2443" s="6" t="s">
        <v>40</v>
      </c>
      <c r="H2443" s="1"/>
      <c r="I2443" s="1"/>
      <c r="J2443" s="1"/>
    </row>
    <row r="2444" spans="1:10" x14ac:dyDescent="0.25">
      <c r="A2444" s="6" t="s">
        <v>104</v>
      </c>
      <c r="B2444" s="6">
        <v>2033</v>
      </c>
      <c r="C2444" s="1" t="s">
        <v>20</v>
      </c>
      <c r="D2444" s="2" t="s">
        <v>128</v>
      </c>
      <c r="E2444" s="9" t="s">
        <v>107</v>
      </c>
      <c r="F2444" s="5" t="str">
        <f t="shared" si="547"/>
        <v>C:\Users\jaime.benazar\Quorum Business Solutions\Ecopetrol Prometeo - Documents\Planning Space Implementation\3. Analysis &amp; Design\Design\FC22\DRR Jaime\QUIFA-CAJÚA\Cajua\[VAS_CAJUA_CF_SEC_20230125.xlsx]CF PSND'!</v>
      </c>
      <c r="G2444" s="6" t="s">
        <v>40</v>
      </c>
      <c r="H2444" s="1"/>
      <c r="I2444" s="1"/>
      <c r="J2444" s="1"/>
    </row>
    <row r="2445" spans="1:10" x14ac:dyDescent="0.25">
      <c r="A2445" s="6" t="s">
        <v>104</v>
      </c>
      <c r="B2445" s="6">
        <v>2034</v>
      </c>
      <c r="C2445" s="1" t="s">
        <v>20</v>
      </c>
      <c r="D2445" s="2" t="s">
        <v>128</v>
      </c>
      <c r="E2445" s="9" t="s">
        <v>107</v>
      </c>
      <c r="F2445" s="5" t="str">
        <f t="shared" si="547"/>
        <v>C:\Users\jaime.benazar\Quorum Business Solutions\Ecopetrol Prometeo - Documents\Planning Space Implementation\3. Analysis &amp; Design\Design\FC22\DRR Jaime\QUIFA-CAJÚA\Cajua\[VAS_CAJUA_CF_SEC_20230125.xlsx]CF PSND'!</v>
      </c>
      <c r="G2445" s="6" t="s">
        <v>40</v>
      </c>
      <c r="H2445" s="1"/>
      <c r="I2445" s="1"/>
      <c r="J2445" s="1"/>
    </row>
    <row r="2446" spans="1:10" x14ac:dyDescent="0.25">
      <c r="A2446" s="6" t="s">
        <v>104</v>
      </c>
      <c r="B2446" s="6">
        <v>2035</v>
      </c>
      <c r="C2446" s="1" t="s">
        <v>20</v>
      </c>
      <c r="D2446" s="2" t="s">
        <v>128</v>
      </c>
      <c r="E2446" s="9" t="s">
        <v>107</v>
      </c>
      <c r="F2446" s="5" t="str">
        <f t="shared" si="547"/>
        <v>C:\Users\jaime.benazar\Quorum Business Solutions\Ecopetrol Prometeo - Documents\Planning Space Implementation\3. Analysis &amp; Design\Design\FC22\DRR Jaime\QUIFA-CAJÚA\Cajua\[VAS_CAJUA_CF_SEC_20230125.xlsx]CF PSND'!</v>
      </c>
      <c r="G2446" s="6" t="s">
        <v>40</v>
      </c>
      <c r="H2446" s="1"/>
      <c r="I2446" s="1"/>
      <c r="J2446" s="1"/>
    </row>
    <row r="2447" spans="1:10" x14ac:dyDescent="0.25">
      <c r="A2447" s="6" t="s">
        <v>104</v>
      </c>
      <c r="B2447" s="6">
        <v>2036</v>
      </c>
      <c r="C2447" s="1" t="s">
        <v>20</v>
      </c>
      <c r="D2447" s="2" t="s">
        <v>128</v>
      </c>
      <c r="E2447" s="9" t="s">
        <v>107</v>
      </c>
      <c r="F2447" s="5" t="str">
        <f t="shared" si="547"/>
        <v>C:\Users\jaime.benazar\Quorum Business Solutions\Ecopetrol Prometeo - Documents\Planning Space Implementation\3. Analysis &amp; Design\Design\FC22\DRR Jaime\QUIFA-CAJÚA\Cajua\[VAS_CAJUA_CF_SEC_20230125.xlsx]CF PSND'!</v>
      </c>
      <c r="G2447" s="6" t="s">
        <v>40</v>
      </c>
      <c r="H2447" s="1"/>
      <c r="I2447" s="1"/>
      <c r="J2447" s="1"/>
    </row>
    <row r="2448" spans="1:10" x14ac:dyDescent="0.25">
      <c r="A2448" s="6" t="s">
        <v>104</v>
      </c>
      <c r="B2448" s="6">
        <v>2037</v>
      </c>
      <c r="C2448" s="1" t="s">
        <v>20</v>
      </c>
      <c r="D2448" s="2" t="s">
        <v>128</v>
      </c>
      <c r="E2448" s="9" t="s">
        <v>107</v>
      </c>
      <c r="F2448" s="5" t="str">
        <f t="shared" si="547"/>
        <v>C:\Users\jaime.benazar\Quorum Business Solutions\Ecopetrol Prometeo - Documents\Planning Space Implementation\3. Analysis &amp; Design\Design\FC22\DRR Jaime\QUIFA-CAJÚA\Cajua\[VAS_CAJUA_CF_SEC_20230125.xlsx]CF PSND'!</v>
      </c>
      <c r="G2448" s="6" t="s">
        <v>40</v>
      </c>
      <c r="H2448" s="1"/>
      <c r="I2448" s="1"/>
      <c r="J2448" s="1"/>
    </row>
    <row r="2449" spans="1:10" x14ac:dyDescent="0.25">
      <c r="A2449" s="6" t="s">
        <v>104</v>
      </c>
      <c r="B2449" s="6">
        <v>2038</v>
      </c>
      <c r="C2449" s="1" t="s">
        <v>20</v>
      </c>
      <c r="D2449" s="2" t="s">
        <v>128</v>
      </c>
      <c r="E2449" s="9" t="s">
        <v>107</v>
      </c>
      <c r="F2449" s="5" t="str">
        <f t="shared" si="547"/>
        <v>C:\Users\jaime.benazar\Quorum Business Solutions\Ecopetrol Prometeo - Documents\Planning Space Implementation\3. Analysis &amp; Design\Design\FC22\DRR Jaime\QUIFA-CAJÚA\Cajua\[VAS_CAJUA_CF_SEC_20230125.xlsx]CF PSND'!</v>
      </c>
      <c r="G2449" s="6" t="s">
        <v>40</v>
      </c>
      <c r="H2449" s="1"/>
      <c r="I2449" s="1"/>
      <c r="J2449" s="1"/>
    </row>
    <row r="2450" spans="1:10" x14ac:dyDescent="0.25">
      <c r="A2450" s="6" t="s">
        <v>104</v>
      </c>
      <c r="B2450" s="6">
        <v>2039</v>
      </c>
      <c r="C2450" s="1" t="s">
        <v>20</v>
      </c>
      <c r="D2450" s="2" t="s">
        <v>128</v>
      </c>
      <c r="E2450" s="9" t="s">
        <v>107</v>
      </c>
      <c r="F2450" s="5" t="str">
        <f t="shared" si="547"/>
        <v>C:\Users\jaime.benazar\Quorum Business Solutions\Ecopetrol Prometeo - Documents\Planning Space Implementation\3. Analysis &amp; Design\Design\FC22\DRR Jaime\QUIFA-CAJÚA\Cajua\[VAS_CAJUA_CF_SEC_20230125.xlsx]CF PSND'!</v>
      </c>
      <c r="G2450" s="6" t="s">
        <v>40</v>
      </c>
      <c r="H2450" s="1"/>
      <c r="I2450" s="1"/>
      <c r="J2450" s="1"/>
    </row>
    <row r="2451" spans="1:10" x14ac:dyDescent="0.25">
      <c r="A2451" s="6" t="s">
        <v>104</v>
      </c>
      <c r="B2451" s="6">
        <v>2040</v>
      </c>
      <c r="C2451" s="1" t="s">
        <v>20</v>
      </c>
      <c r="D2451" s="2" t="s">
        <v>128</v>
      </c>
      <c r="E2451" s="9" t="s">
        <v>107</v>
      </c>
      <c r="F2451" s="5" t="str">
        <f t="shared" si="547"/>
        <v>C:\Users\jaime.benazar\Quorum Business Solutions\Ecopetrol Prometeo - Documents\Planning Space Implementation\3. Analysis &amp; Design\Design\FC22\DRR Jaime\QUIFA-CAJÚA\Cajua\[VAS_CAJUA_CF_SEC_20230125.xlsx]CF PSND'!</v>
      </c>
      <c r="G2451" s="6" t="s">
        <v>40</v>
      </c>
      <c r="H2451" s="1"/>
      <c r="I2451" s="1"/>
      <c r="J2451" s="1"/>
    </row>
    <row r="2452" spans="1:10" x14ac:dyDescent="0.25">
      <c r="A2452" s="6" t="s">
        <v>104</v>
      </c>
      <c r="B2452" s="6">
        <v>2041</v>
      </c>
      <c r="C2452" s="1" t="s">
        <v>20</v>
      </c>
      <c r="D2452" s="2" t="s">
        <v>128</v>
      </c>
      <c r="E2452" s="9" t="s">
        <v>107</v>
      </c>
      <c r="F2452" s="5" t="str">
        <f t="shared" si="547"/>
        <v>C:\Users\jaime.benazar\Quorum Business Solutions\Ecopetrol Prometeo - Documents\Planning Space Implementation\3. Analysis &amp; Design\Design\FC22\DRR Jaime\QUIFA-CAJÚA\Cajua\[VAS_CAJUA_CF_SEC_20230125.xlsx]CF PSND'!</v>
      </c>
      <c r="G2452" s="6" t="s">
        <v>40</v>
      </c>
      <c r="H2452" s="1"/>
      <c r="I2452" s="1"/>
      <c r="J2452" s="1"/>
    </row>
    <row r="2453" spans="1:10" x14ac:dyDescent="0.25">
      <c r="A2453" s="6" t="s">
        <v>104</v>
      </c>
      <c r="B2453" s="6">
        <v>2042</v>
      </c>
      <c r="C2453" s="1" t="s">
        <v>20</v>
      </c>
      <c r="D2453" s="2" t="s">
        <v>128</v>
      </c>
      <c r="E2453" s="9" t="s">
        <v>107</v>
      </c>
      <c r="F2453" s="5" t="str">
        <f t="shared" si="547"/>
        <v>C:\Users\jaime.benazar\Quorum Business Solutions\Ecopetrol Prometeo - Documents\Planning Space Implementation\3. Analysis &amp; Design\Design\FC22\DRR Jaime\QUIFA-CAJÚA\Cajua\[VAS_CAJUA_CF_SEC_20230125.xlsx]CF PSND'!</v>
      </c>
      <c r="G2453" s="6" t="s">
        <v>40</v>
      </c>
      <c r="H2453" s="1"/>
      <c r="I2453" s="1"/>
      <c r="J2453" s="1"/>
    </row>
    <row r="2454" spans="1:10" x14ac:dyDescent="0.25">
      <c r="A2454" s="6" t="s">
        <v>104</v>
      </c>
      <c r="B2454" s="6">
        <v>2043</v>
      </c>
      <c r="C2454" s="1" t="s">
        <v>20</v>
      </c>
      <c r="D2454" s="2" t="s">
        <v>128</v>
      </c>
      <c r="E2454" s="9" t="s">
        <v>107</v>
      </c>
      <c r="F2454" s="5" t="str">
        <f t="shared" si="547"/>
        <v>C:\Users\jaime.benazar\Quorum Business Solutions\Ecopetrol Prometeo - Documents\Planning Space Implementation\3. Analysis &amp; Design\Design\FC22\DRR Jaime\QUIFA-CAJÚA\Cajua\[VAS_CAJUA_CF_SEC_20230125.xlsx]CF PSND'!</v>
      </c>
      <c r="G2454" s="6" t="s">
        <v>40</v>
      </c>
      <c r="H2454" s="1"/>
      <c r="I2454" s="1"/>
      <c r="J2454" s="1"/>
    </row>
    <row r="2455" spans="1:10" x14ac:dyDescent="0.25">
      <c r="A2455" s="6" t="s">
        <v>104</v>
      </c>
      <c r="B2455" s="6">
        <v>2044</v>
      </c>
      <c r="C2455" s="1" t="s">
        <v>20</v>
      </c>
      <c r="D2455" s="2" t="s">
        <v>128</v>
      </c>
      <c r="E2455" s="9" t="s">
        <v>107</v>
      </c>
      <c r="F2455" s="5" t="str">
        <f t="shared" ref="F2455:F2470" si="549">_xlfn.CONCAT(D2455," ",E2455)</f>
        <v>C:\Users\jaime.benazar\Quorum Business Solutions\Ecopetrol Prometeo - Documents\Planning Space Implementation\3. Analysis &amp; Design\Design\FC22\DRR Jaime\QUIFA-CAJÚA\Cajua\[VAS_CAJUA_CF_SEC_20230125.xlsx]CF PSND'!</v>
      </c>
      <c r="G2455" s="6" t="s">
        <v>40</v>
      </c>
      <c r="H2455" s="1"/>
      <c r="I2455" s="1"/>
      <c r="J2455" s="1"/>
    </row>
    <row r="2456" spans="1:10" x14ac:dyDescent="0.25">
      <c r="A2456" s="6" t="s">
        <v>104</v>
      </c>
      <c r="B2456" s="6">
        <v>2045</v>
      </c>
      <c r="C2456" s="1" t="s">
        <v>20</v>
      </c>
      <c r="D2456" s="2" t="s">
        <v>128</v>
      </c>
      <c r="E2456" s="9" t="s">
        <v>107</v>
      </c>
      <c r="F2456" s="5" t="str">
        <f t="shared" si="549"/>
        <v>C:\Users\jaime.benazar\Quorum Business Solutions\Ecopetrol Prometeo - Documents\Planning Space Implementation\3. Analysis &amp; Design\Design\FC22\DRR Jaime\QUIFA-CAJÚA\Cajua\[VAS_CAJUA_CF_SEC_20230125.xlsx]CF PSND'!</v>
      </c>
      <c r="G2456" s="6" t="s">
        <v>40</v>
      </c>
      <c r="H2456" s="1"/>
      <c r="I2456" s="1"/>
      <c r="J2456" s="1"/>
    </row>
    <row r="2457" spans="1:10" x14ac:dyDescent="0.25">
      <c r="A2457" s="6" t="s">
        <v>104</v>
      </c>
      <c r="B2457" s="6">
        <v>2046</v>
      </c>
      <c r="C2457" s="1" t="s">
        <v>20</v>
      </c>
      <c r="D2457" s="2" t="s">
        <v>128</v>
      </c>
      <c r="E2457" s="9" t="s">
        <v>107</v>
      </c>
      <c r="F2457" s="5" t="str">
        <f t="shared" si="549"/>
        <v>C:\Users\jaime.benazar\Quorum Business Solutions\Ecopetrol Prometeo - Documents\Planning Space Implementation\3. Analysis &amp; Design\Design\FC22\DRR Jaime\QUIFA-CAJÚA\Cajua\[VAS_CAJUA_CF_SEC_20230125.xlsx]CF PSND'!</v>
      </c>
      <c r="G2457" s="6" t="s">
        <v>40</v>
      </c>
      <c r="H2457" s="1"/>
      <c r="I2457" s="1"/>
      <c r="J2457" s="1"/>
    </row>
    <row r="2458" spans="1:10" x14ac:dyDescent="0.25">
      <c r="A2458" s="6" t="s">
        <v>104</v>
      </c>
      <c r="B2458" s="6">
        <v>2047</v>
      </c>
      <c r="C2458" s="1" t="s">
        <v>20</v>
      </c>
      <c r="D2458" s="2" t="s">
        <v>128</v>
      </c>
      <c r="E2458" s="9" t="s">
        <v>107</v>
      </c>
      <c r="F2458" s="5" t="str">
        <f t="shared" si="549"/>
        <v>C:\Users\jaime.benazar\Quorum Business Solutions\Ecopetrol Prometeo - Documents\Planning Space Implementation\3. Analysis &amp; Design\Design\FC22\DRR Jaime\QUIFA-CAJÚA\Cajua\[VAS_CAJUA_CF_SEC_20230125.xlsx]CF PSND'!</v>
      </c>
      <c r="G2458" s="6" t="s">
        <v>40</v>
      </c>
      <c r="H2458" s="1"/>
      <c r="I2458" s="1"/>
      <c r="J2458" s="1"/>
    </row>
    <row r="2459" spans="1:10" x14ac:dyDescent="0.25">
      <c r="A2459" s="6" t="s">
        <v>104</v>
      </c>
      <c r="B2459" s="6">
        <v>2048</v>
      </c>
      <c r="C2459" s="1" t="s">
        <v>20</v>
      </c>
      <c r="D2459" s="2" t="s">
        <v>128</v>
      </c>
      <c r="E2459" s="9" t="s">
        <v>107</v>
      </c>
      <c r="F2459" s="5" t="str">
        <f t="shared" si="549"/>
        <v>C:\Users\jaime.benazar\Quorum Business Solutions\Ecopetrol Prometeo - Documents\Planning Space Implementation\3. Analysis &amp; Design\Design\FC22\DRR Jaime\QUIFA-CAJÚA\Cajua\[VAS_CAJUA_CF_SEC_20230125.xlsx]CF PSND'!</v>
      </c>
      <c r="G2459" s="6" t="s">
        <v>40</v>
      </c>
      <c r="H2459" s="1"/>
      <c r="I2459" s="1"/>
      <c r="J2459" s="1"/>
    </row>
    <row r="2460" spans="1:10" x14ac:dyDescent="0.25">
      <c r="A2460" s="6" t="s">
        <v>104</v>
      </c>
      <c r="B2460" s="6">
        <v>2049</v>
      </c>
      <c r="C2460" s="1" t="s">
        <v>20</v>
      </c>
      <c r="D2460" s="2" t="s">
        <v>128</v>
      </c>
      <c r="E2460" s="9" t="s">
        <v>107</v>
      </c>
      <c r="F2460" s="5" t="str">
        <f t="shared" si="549"/>
        <v>C:\Users\jaime.benazar\Quorum Business Solutions\Ecopetrol Prometeo - Documents\Planning Space Implementation\3. Analysis &amp; Design\Design\FC22\DRR Jaime\QUIFA-CAJÚA\Cajua\[VAS_CAJUA_CF_SEC_20230125.xlsx]CF PSND'!</v>
      </c>
      <c r="G2460" s="6" t="s">
        <v>40</v>
      </c>
      <c r="H2460" s="1"/>
      <c r="I2460" s="1"/>
      <c r="J2460" s="1"/>
    </row>
    <row r="2461" spans="1:10" x14ac:dyDescent="0.25">
      <c r="A2461" s="6" t="s">
        <v>104</v>
      </c>
      <c r="B2461" s="6">
        <v>2050</v>
      </c>
      <c r="C2461" s="1" t="s">
        <v>20</v>
      </c>
      <c r="D2461" s="2" t="s">
        <v>128</v>
      </c>
      <c r="E2461" s="9" t="s">
        <v>107</v>
      </c>
      <c r="F2461" s="5" t="str">
        <f t="shared" si="549"/>
        <v>C:\Users\jaime.benazar\Quorum Business Solutions\Ecopetrol Prometeo - Documents\Planning Space Implementation\3. Analysis &amp; Design\Design\FC22\DRR Jaime\QUIFA-CAJÚA\Cajua\[VAS_CAJUA_CF_SEC_20230125.xlsx]CF PSND'!</v>
      </c>
      <c r="G2461" s="6" t="s">
        <v>40</v>
      </c>
      <c r="H2461" s="1"/>
      <c r="I2461" s="1"/>
      <c r="J2461" s="1"/>
    </row>
    <row r="2462" spans="1:10" x14ac:dyDescent="0.25">
      <c r="A2462" s="6" t="s">
        <v>104</v>
      </c>
      <c r="B2462" s="6">
        <v>2051</v>
      </c>
      <c r="C2462" s="1" t="s">
        <v>20</v>
      </c>
      <c r="D2462" s="2" t="s">
        <v>128</v>
      </c>
      <c r="E2462" s="9" t="s">
        <v>107</v>
      </c>
      <c r="F2462" s="5" t="str">
        <f t="shared" si="549"/>
        <v>C:\Users\jaime.benazar\Quorum Business Solutions\Ecopetrol Prometeo - Documents\Planning Space Implementation\3. Analysis &amp; Design\Design\FC22\DRR Jaime\QUIFA-CAJÚA\Cajua\[VAS_CAJUA_CF_SEC_20230125.xlsx]CF PSND'!</v>
      </c>
      <c r="G2462" s="6" t="s">
        <v>40</v>
      </c>
      <c r="H2462" s="1"/>
      <c r="I2462" s="1"/>
      <c r="J2462" s="1"/>
    </row>
    <row r="2463" spans="1:10" x14ac:dyDescent="0.25">
      <c r="A2463" s="6" t="s">
        <v>104</v>
      </c>
      <c r="B2463" s="6">
        <v>2052</v>
      </c>
      <c r="C2463" s="1" t="s">
        <v>20</v>
      </c>
      <c r="D2463" s="2" t="s">
        <v>128</v>
      </c>
      <c r="E2463" s="9" t="s">
        <v>107</v>
      </c>
      <c r="F2463" s="5" t="str">
        <f t="shared" si="549"/>
        <v>C:\Users\jaime.benazar\Quorum Business Solutions\Ecopetrol Prometeo - Documents\Planning Space Implementation\3. Analysis &amp; Design\Design\FC22\DRR Jaime\QUIFA-CAJÚA\Cajua\[VAS_CAJUA_CF_SEC_20230125.xlsx]CF PSND'!</v>
      </c>
      <c r="G2463" s="6" t="s">
        <v>40</v>
      </c>
      <c r="H2463" s="1"/>
      <c r="I2463" s="1"/>
      <c r="J2463" s="1"/>
    </row>
    <row r="2464" spans="1:10" x14ac:dyDescent="0.25">
      <c r="A2464" s="6" t="s">
        <v>104</v>
      </c>
      <c r="B2464" s="6">
        <v>2053</v>
      </c>
      <c r="C2464" s="1" t="s">
        <v>20</v>
      </c>
      <c r="D2464" s="2" t="s">
        <v>128</v>
      </c>
      <c r="E2464" s="9" t="s">
        <v>107</v>
      </c>
      <c r="F2464" s="5" t="str">
        <f t="shared" si="549"/>
        <v>C:\Users\jaime.benazar\Quorum Business Solutions\Ecopetrol Prometeo - Documents\Planning Space Implementation\3. Analysis &amp; Design\Design\FC22\DRR Jaime\QUIFA-CAJÚA\Cajua\[VAS_CAJUA_CF_SEC_20230125.xlsx]CF PSND'!</v>
      </c>
      <c r="G2464" s="6" t="s">
        <v>40</v>
      </c>
      <c r="H2464" s="1"/>
      <c r="I2464" s="1"/>
      <c r="J2464" s="1"/>
    </row>
    <row r="2465" spans="1:10" x14ac:dyDescent="0.25">
      <c r="A2465" s="6" t="s">
        <v>104</v>
      </c>
      <c r="B2465" s="6">
        <v>2054</v>
      </c>
      <c r="C2465" s="1" t="s">
        <v>20</v>
      </c>
      <c r="D2465" s="2" t="s">
        <v>128</v>
      </c>
      <c r="E2465" s="9" t="s">
        <v>107</v>
      </c>
      <c r="F2465" s="5" t="str">
        <f t="shared" si="549"/>
        <v>C:\Users\jaime.benazar\Quorum Business Solutions\Ecopetrol Prometeo - Documents\Planning Space Implementation\3. Analysis &amp; Design\Design\FC22\DRR Jaime\QUIFA-CAJÚA\Cajua\[VAS_CAJUA_CF_SEC_20230125.xlsx]CF PSND'!</v>
      </c>
      <c r="G2465" s="6" t="s">
        <v>40</v>
      </c>
      <c r="H2465" s="1"/>
      <c r="I2465" s="1"/>
      <c r="J2465" s="1"/>
    </row>
    <row r="2466" spans="1:10" x14ac:dyDescent="0.25">
      <c r="A2466" s="6" t="s">
        <v>104</v>
      </c>
      <c r="B2466" s="6">
        <v>2055</v>
      </c>
      <c r="C2466" s="1" t="s">
        <v>20</v>
      </c>
      <c r="D2466" s="2" t="s">
        <v>128</v>
      </c>
      <c r="E2466" s="9" t="s">
        <v>107</v>
      </c>
      <c r="F2466" s="5" t="str">
        <f t="shared" si="549"/>
        <v>C:\Users\jaime.benazar\Quorum Business Solutions\Ecopetrol Prometeo - Documents\Planning Space Implementation\3. Analysis &amp; Design\Design\FC22\DRR Jaime\QUIFA-CAJÚA\Cajua\[VAS_CAJUA_CF_SEC_20230125.xlsx]CF PSND'!</v>
      </c>
      <c r="G2466" s="6" t="s">
        <v>40</v>
      </c>
      <c r="H2466" s="1"/>
      <c r="I2466" s="1"/>
      <c r="J2466" s="1"/>
    </row>
    <row r="2467" spans="1:10" x14ac:dyDescent="0.25">
      <c r="A2467" s="6" t="s">
        <v>104</v>
      </c>
      <c r="B2467" s="6">
        <v>2056</v>
      </c>
      <c r="C2467" s="1" t="s">
        <v>20</v>
      </c>
      <c r="D2467" s="2" t="s">
        <v>128</v>
      </c>
      <c r="E2467" s="9" t="s">
        <v>107</v>
      </c>
      <c r="F2467" s="5" t="str">
        <f t="shared" si="549"/>
        <v>C:\Users\jaime.benazar\Quorum Business Solutions\Ecopetrol Prometeo - Documents\Planning Space Implementation\3. Analysis &amp; Design\Design\FC22\DRR Jaime\QUIFA-CAJÚA\Cajua\[VAS_CAJUA_CF_SEC_20230125.xlsx]CF PSND'!</v>
      </c>
      <c r="G2467" s="6" t="s">
        <v>40</v>
      </c>
      <c r="H2467" s="1"/>
      <c r="I2467" s="1"/>
      <c r="J2467" s="1"/>
    </row>
    <row r="2468" spans="1:10" x14ac:dyDescent="0.25">
      <c r="A2468" s="6" t="s">
        <v>104</v>
      </c>
      <c r="B2468" s="6">
        <v>2057</v>
      </c>
      <c r="C2468" s="1" t="s">
        <v>20</v>
      </c>
      <c r="D2468" s="2" t="s">
        <v>128</v>
      </c>
      <c r="E2468" s="9" t="s">
        <v>107</v>
      </c>
      <c r="F2468" s="5" t="str">
        <f t="shared" si="549"/>
        <v>C:\Users\jaime.benazar\Quorum Business Solutions\Ecopetrol Prometeo - Documents\Planning Space Implementation\3. Analysis &amp; Design\Design\FC22\DRR Jaime\QUIFA-CAJÚA\Cajua\[VAS_CAJUA_CF_SEC_20230125.xlsx]CF PSND'!</v>
      </c>
      <c r="G2468" s="6" t="s">
        <v>40</v>
      </c>
      <c r="H2468" s="1"/>
      <c r="I2468" s="1"/>
      <c r="J2468" s="1"/>
    </row>
    <row r="2469" spans="1:10" x14ac:dyDescent="0.25">
      <c r="A2469" s="6" t="s">
        <v>104</v>
      </c>
      <c r="B2469" s="6">
        <v>2058</v>
      </c>
      <c r="C2469" s="1" t="s">
        <v>20</v>
      </c>
      <c r="D2469" s="2" t="s">
        <v>128</v>
      </c>
      <c r="E2469" s="9" t="s">
        <v>107</v>
      </c>
      <c r="F2469" s="5" t="str">
        <f t="shared" si="549"/>
        <v>C:\Users\jaime.benazar\Quorum Business Solutions\Ecopetrol Prometeo - Documents\Planning Space Implementation\3. Analysis &amp; Design\Design\FC22\DRR Jaime\QUIFA-CAJÚA\Cajua\[VAS_CAJUA_CF_SEC_20230125.xlsx]CF PSND'!</v>
      </c>
      <c r="G2469" s="6" t="s">
        <v>40</v>
      </c>
      <c r="H2469" s="1"/>
      <c r="I2469" s="1"/>
      <c r="J2469" s="1"/>
    </row>
    <row r="2470" spans="1:10" x14ac:dyDescent="0.25">
      <c r="A2470" s="6" t="s">
        <v>104</v>
      </c>
      <c r="B2470" s="6">
        <v>2059</v>
      </c>
      <c r="C2470" s="1" t="s">
        <v>20</v>
      </c>
      <c r="D2470" s="2" t="s">
        <v>128</v>
      </c>
      <c r="E2470" s="9" t="s">
        <v>107</v>
      </c>
      <c r="F2470" s="5" t="str">
        <f t="shared" si="549"/>
        <v>C:\Users\jaime.benazar\Quorum Business Solutions\Ecopetrol Prometeo - Documents\Planning Space Implementation\3. Analysis &amp; Design\Design\FC22\DRR Jaime\QUIFA-CAJÚA\Cajua\[VAS_CAJUA_CF_SEC_20230125.xlsx]CF PSND'!</v>
      </c>
      <c r="G2470" s="6" t="s">
        <v>40</v>
      </c>
      <c r="H2470" s="1"/>
      <c r="I2470" s="1"/>
      <c r="J2470" s="1"/>
    </row>
    <row r="2471" spans="1:10" x14ac:dyDescent="0.25">
      <c r="A2471" s="6" t="s">
        <v>28</v>
      </c>
      <c r="B2471" s="6"/>
      <c r="C2471" s="1" t="s">
        <v>20</v>
      </c>
      <c r="D2471" s="2"/>
      <c r="E2471" s="9"/>
      <c r="F2471" s="2"/>
      <c r="G2471" s="6"/>
      <c r="H2471" s="1"/>
      <c r="I2471" s="1"/>
      <c r="J2471" s="1"/>
    </row>
    <row r="2472" spans="1:10" x14ac:dyDescent="0.25">
      <c r="A2472" s="6" t="s">
        <v>34</v>
      </c>
      <c r="B2472" s="6">
        <v>2023</v>
      </c>
      <c r="C2472" s="1" t="s">
        <v>20</v>
      </c>
      <c r="D2472" s="2" t="s">
        <v>128</v>
      </c>
      <c r="E2472" s="9" t="str">
        <f t="shared" ref="E2472:E2492" si="550">_xlfn.CONCAT(A2472,"'!")</f>
        <v>PS'!</v>
      </c>
      <c r="F2472" s="5" t="str">
        <f t="shared" si="547"/>
        <v>C:\Users\jaime.benazar\Quorum Business Solutions\Ecopetrol Prometeo - Documents\Planning Space Implementation\3. Analysis &amp; Design\Design\FC22\DRR Jaime\QUIFA-CAJÚA\Cajua\[VAS_CAJUA_CF_SEC_20230125.xlsx]CF PS'!</v>
      </c>
      <c r="G2472" s="6" t="s">
        <v>40</v>
      </c>
      <c r="H2472" s="1">
        <f>IF(A2472&lt;&gt;A2342,36,H2342+1)</f>
        <v>36</v>
      </c>
      <c r="I2472" s="1" t="str">
        <f t="shared" ref="I2472:I2492" si="551">_xlfn.CONCAT("='",F2472:H2472)</f>
        <v>='C:\Users\jaime.benazar\Quorum Business Solutions\Ecopetrol Prometeo - Documents\Planning Space Implementation\3. Analysis &amp; Design\Design\FC22\DRR Jaime\QUIFA-CAJÚA\Cajua\[VAS_CAJUA_CF_SEC_20230125.xlsx]CF PS'!$CT$36</v>
      </c>
      <c r="J2472" s="1" t="s">
        <v>1202</v>
      </c>
    </row>
    <row r="2473" spans="1:10" x14ac:dyDescent="0.25">
      <c r="A2473" s="6" t="s">
        <v>34</v>
      </c>
      <c r="B2473" s="6">
        <f>+B2472+1</f>
        <v>2024</v>
      </c>
      <c r="C2473" s="1" t="s">
        <v>20</v>
      </c>
      <c r="D2473" s="2" t="s">
        <v>128</v>
      </c>
      <c r="E2473" s="9" t="str">
        <f t="shared" si="550"/>
        <v>PS'!</v>
      </c>
      <c r="F2473" s="5" t="str">
        <f t="shared" si="547"/>
        <v>C:\Users\jaime.benazar\Quorum Business Solutions\Ecopetrol Prometeo - Documents\Planning Space Implementation\3. Analysis &amp; Design\Design\FC22\DRR Jaime\QUIFA-CAJÚA\Cajua\[VAS_CAJUA_CF_SEC_20230125.xlsx]CF PS'!</v>
      </c>
      <c r="G2473" s="6" t="s">
        <v>40</v>
      </c>
      <c r="H2473" s="1">
        <f t="shared" ref="H2473:H2492" si="552">IF(A2473&lt;&gt;A2472,36,H2472+1)</f>
        <v>37</v>
      </c>
      <c r="I2473" s="1" t="str">
        <f t="shared" si="551"/>
        <v>='C:\Users\jaime.benazar\Quorum Business Solutions\Ecopetrol Prometeo - Documents\Planning Space Implementation\3. Analysis &amp; Design\Design\FC22\DRR Jaime\QUIFA-CAJÚA\Cajua\[VAS_CAJUA_CF_SEC_20230125.xlsx]CF PS'!$CT$37</v>
      </c>
      <c r="J2473" s="1" t="s">
        <v>1203</v>
      </c>
    </row>
    <row r="2474" spans="1:10" x14ac:dyDescent="0.25">
      <c r="A2474" s="6" t="s">
        <v>34</v>
      </c>
      <c r="B2474" s="6">
        <f t="shared" ref="B2474:B2485" si="553">+B2473+1</f>
        <v>2025</v>
      </c>
      <c r="C2474" s="1" t="s">
        <v>20</v>
      </c>
      <c r="D2474" s="2" t="s">
        <v>128</v>
      </c>
      <c r="E2474" s="9" t="str">
        <f t="shared" si="550"/>
        <v>PS'!</v>
      </c>
      <c r="F2474" s="5" t="str">
        <f t="shared" si="547"/>
        <v>C:\Users\jaime.benazar\Quorum Business Solutions\Ecopetrol Prometeo - Documents\Planning Space Implementation\3. Analysis &amp; Design\Design\FC22\DRR Jaime\QUIFA-CAJÚA\Cajua\[VAS_CAJUA_CF_SEC_20230125.xlsx]CF PS'!</v>
      </c>
      <c r="G2474" s="6" t="s">
        <v>40</v>
      </c>
      <c r="H2474" s="1">
        <f t="shared" si="552"/>
        <v>38</v>
      </c>
      <c r="I2474" s="1" t="str">
        <f t="shared" si="551"/>
        <v>='C:\Users\jaime.benazar\Quorum Business Solutions\Ecopetrol Prometeo - Documents\Planning Space Implementation\3. Analysis &amp; Design\Design\FC22\DRR Jaime\QUIFA-CAJÚA\Cajua\[VAS_CAJUA_CF_SEC_20230125.xlsx]CF PS'!$CT$38</v>
      </c>
      <c r="J2474" s="1" t="s">
        <v>1204</v>
      </c>
    </row>
    <row r="2475" spans="1:10" x14ac:dyDescent="0.25">
      <c r="A2475" s="6" t="s">
        <v>34</v>
      </c>
      <c r="B2475" s="6">
        <f t="shared" si="553"/>
        <v>2026</v>
      </c>
      <c r="C2475" s="1" t="s">
        <v>20</v>
      </c>
      <c r="D2475" s="2" t="s">
        <v>128</v>
      </c>
      <c r="E2475" s="9" t="str">
        <f t="shared" si="550"/>
        <v>PS'!</v>
      </c>
      <c r="F2475" s="5" t="str">
        <f t="shared" si="547"/>
        <v>C:\Users\jaime.benazar\Quorum Business Solutions\Ecopetrol Prometeo - Documents\Planning Space Implementation\3. Analysis &amp; Design\Design\FC22\DRR Jaime\QUIFA-CAJÚA\Cajua\[VAS_CAJUA_CF_SEC_20230125.xlsx]CF PS'!</v>
      </c>
      <c r="G2475" s="6" t="s">
        <v>40</v>
      </c>
      <c r="H2475" s="1">
        <f t="shared" si="552"/>
        <v>39</v>
      </c>
      <c r="I2475" s="1" t="str">
        <f t="shared" si="551"/>
        <v>='C:\Users\jaime.benazar\Quorum Business Solutions\Ecopetrol Prometeo - Documents\Planning Space Implementation\3. Analysis &amp; Design\Design\FC22\DRR Jaime\QUIFA-CAJÚA\Cajua\[VAS_CAJUA_CF_SEC_20230125.xlsx]CF PS'!$CT$39</v>
      </c>
      <c r="J2475" s="1" t="s">
        <v>1205</v>
      </c>
    </row>
    <row r="2476" spans="1:10" x14ac:dyDescent="0.25">
      <c r="A2476" s="6" t="s">
        <v>34</v>
      </c>
      <c r="B2476" s="6">
        <f t="shared" si="553"/>
        <v>2027</v>
      </c>
      <c r="C2476" s="1" t="s">
        <v>20</v>
      </c>
      <c r="D2476" s="2" t="s">
        <v>128</v>
      </c>
      <c r="E2476" s="9" t="str">
        <f t="shared" si="550"/>
        <v>PS'!</v>
      </c>
      <c r="F2476" s="5" t="str">
        <f t="shared" si="547"/>
        <v>C:\Users\jaime.benazar\Quorum Business Solutions\Ecopetrol Prometeo - Documents\Planning Space Implementation\3. Analysis &amp; Design\Design\FC22\DRR Jaime\QUIFA-CAJÚA\Cajua\[VAS_CAJUA_CF_SEC_20230125.xlsx]CF PS'!</v>
      </c>
      <c r="G2476" s="6" t="s">
        <v>40</v>
      </c>
      <c r="H2476" s="1">
        <f t="shared" si="552"/>
        <v>40</v>
      </c>
      <c r="I2476" s="1" t="str">
        <f t="shared" si="551"/>
        <v>='C:\Users\jaime.benazar\Quorum Business Solutions\Ecopetrol Prometeo - Documents\Planning Space Implementation\3. Analysis &amp; Design\Design\FC22\DRR Jaime\QUIFA-CAJÚA\Cajua\[VAS_CAJUA_CF_SEC_20230125.xlsx]CF PS'!$CT$40</v>
      </c>
      <c r="J2476" s="1" t="s">
        <v>1206</v>
      </c>
    </row>
    <row r="2477" spans="1:10" x14ac:dyDescent="0.25">
      <c r="A2477" s="6" t="s">
        <v>34</v>
      </c>
      <c r="B2477" s="6">
        <f t="shared" si="553"/>
        <v>2028</v>
      </c>
      <c r="C2477" s="1" t="s">
        <v>20</v>
      </c>
      <c r="D2477" s="2" t="s">
        <v>128</v>
      </c>
      <c r="E2477" s="9" t="str">
        <f t="shared" si="550"/>
        <v>PS'!</v>
      </c>
      <c r="F2477" s="5" t="str">
        <f t="shared" si="547"/>
        <v>C:\Users\jaime.benazar\Quorum Business Solutions\Ecopetrol Prometeo - Documents\Planning Space Implementation\3. Analysis &amp; Design\Design\FC22\DRR Jaime\QUIFA-CAJÚA\Cajua\[VAS_CAJUA_CF_SEC_20230125.xlsx]CF PS'!</v>
      </c>
      <c r="G2477" s="6" t="s">
        <v>40</v>
      </c>
      <c r="H2477" s="1">
        <f t="shared" si="552"/>
        <v>41</v>
      </c>
      <c r="I2477" s="1" t="str">
        <f t="shared" si="551"/>
        <v>='C:\Users\jaime.benazar\Quorum Business Solutions\Ecopetrol Prometeo - Documents\Planning Space Implementation\3. Analysis &amp; Design\Design\FC22\DRR Jaime\QUIFA-CAJÚA\Cajua\[VAS_CAJUA_CF_SEC_20230125.xlsx]CF PS'!$CT$41</v>
      </c>
      <c r="J2477" s="1" t="s">
        <v>1207</v>
      </c>
    </row>
    <row r="2478" spans="1:10" x14ac:dyDescent="0.25">
      <c r="A2478" s="6" t="s">
        <v>34</v>
      </c>
      <c r="B2478" s="6">
        <f t="shared" si="553"/>
        <v>2029</v>
      </c>
      <c r="C2478" s="1" t="s">
        <v>20</v>
      </c>
      <c r="D2478" s="2" t="s">
        <v>128</v>
      </c>
      <c r="E2478" s="9" t="str">
        <f t="shared" si="550"/>
        <v>PS'!</v>
      </c>
      <c r="F2478" s="5" t="str">
        <f t="shared" si="547"/>
        <v>C:\Users\jaime.benazar\Quorum Business Solutions\Ecopetrol Prometeo - Documents\Planning Space Implementation\3. Analysis &amp; Design\Design\FC22\DRR Jaime\QUIFA-CAJÚA\Cajua\[VAS_CAJUA_CF_SEC_20230125.xlsx]CF PS'!</v>
      </c>
      <c r="G2478" s="6" t="s">
        <v>40</v>
      </c>
      <c r="H2478" s="1">
        <f t="shared" si="552"/>
        <v>42</v>
      </c>
      <c r="I2478" s="1" t="str">
        <f t="shared" si="551"/>
        <v>='C:\Users\jaime.benazar\Quorum Business Solutions\Ecopetrol Prometeo - Documents\Planning Space Implementation\3. Analysis &amp; Design\Design\FC22\DRR Jaime\QUIFA-CAJÚA\Cajua\[VAS_CAJUA_CF_SEC_20230125.xlsx]CF PS'!$CT$42</v>
      </c>
      <c r="J2478" s="1" t="s">
        <v>1208</v>
      </c>
    </row>
    <row r="2479" spans="1:10" x14ac:dyDescent="0.25">
      <c r="A2479" s="6" t="s">
        <v>34</v>
      </c>
      <c r="B2479" s="6">
        <f t="shared" si="553"/>
        <v>2030</v>
      </c>
      <c r="C2479" s="1" t="s">
        <v>20</v>
      </c>
      <c r="D2479" s="2" t="s">
        <v>128</v>
      </c>
      <c r="E2479" s="9" t="str">
        <f t="shared" si="550"/>
        <v>PS'!</v>
      </c>
      <c r="F2479" s="5" t="str">
        <f t="shared" si="547"/>
        <v>C:\Users\jaime.benazar\Quorum Business Solutions\Ecopetrol Prometeo - Documents\Planning Space Implementation\3. Analysis &amp; Design\Design\FC22\DRR Jaime\QUIFA-CAJÚA\Cajua\[VAS_CAJUA_CF_SEC_20230125.xlsx]CF PS'!</v>
      </c>
      <c r="G2479" s="6" t="s">
        <v>40</v>
      </c>
      <c r="H2479" s="1">
        <f t="shared" si="552"/>
        <v>43</v>
      </c>
      <c r="I2479" s="1" t="str">
        <f t="shared" si="551"/>
        <v>='C:\Users\jaime.benazar\Quorum Business Solutions\Ecopetrol Prometeo - Documents\Planning Space Implementation\3. Analysis &amp; Design\Design\FC22\DRR Jaime\QUIFA-CAJÚA\Cajua\[VAS_CAJUA_CF_SEC_20230125.xlsx]CF PS'!$CT$43</v>
      </c>
      <c r="J2479" s="1" t="s">
        <v>1209</v>
      </c>
    </row>
    <row r="2480" spans="1:10" x14ac:dyDescent="0.25">
      <c r="A2480" s="6" t="s">
        <v>34</v>
      </c>
      <c r="B2480" s="6">
        <f t="shared" si="553"/>
        <v>2031</v>
      </c>
      <c r="C2480" s="1" t="s">
        <v>20</v>
      </c>
      <c r="D2480" s="2" t="s">
        <v>128</v>
      </c>
      <c r="E2480" s="9" t="str">
        <f t="shared" si="550"/>
        <v>PS'!</v>
      </c>
      <c r="F2480" s="5" t="str">
        <f t="shared" si="547"/>
        <v>C:\Users\jaime.benazar\Quorum Business Solutions\Ecopetrol Prometeo - Documents\Planning Space Implementation\3. Analysis &amp; Design\Design\FC22\DRR Jaime\QUIFA-CAJÚA\Cajua\[VAS_CAJUA_CF_SEC_20230125.xlsx]CF PS'!</v>
      </c>
      <c r="G2480" s="6" t="s">
        <v>40</v>
      </c>
      <c r="H2480" s="1">
        <f t="shared" si="552"/>
        <v>44</v>
      </c>
      <c r="I2480" s="1" t="str">
        <f t="shared" si="551"/>
        <v>='C:\Users\jaime.benazar\Quorum Business Solutions\Ecopetrol Prometeo - Documents\Planning Space Implementation\3. Analysis &amp; Design\Design\FC22\DRR Jaime\QUIFA-CAJÚA\Cajua\[VAS_CAJUA_CF_SEC_20230125.xlsx]CF PS'!$CT$44</v>
      </c>
      <c r="J2480" s="1" t="s">
        <v>1210</v>
      </c>
    </row>
    <row r="2481" spans="1:10" x14ac:dyDescent="0.25">
      <c r="A2481" s="6" t="s">
        <v>34</v>
      </c>
      <c r="B2481" s="6">
        <f t="shared" si="553"/>
        <v>2032</v>
      </c>
      <c r="C2481" s="1" t="s">
        <v>20</v>
      </c>
      <c r="D2481" s="2" t="s">
        <v>128</v>
      </c>
      <c r="E2481" s="9" t="str">
        <f t="shared" si="550"/>
        <v>PS'!</v>
      </c>
      <c r="F2481" s="5" t="str">
        <f t="shared" si="547"/>
        <v>C:\Users\jaime.benazar\Quorum Business Solutions\Ecopetrol Prometeo - Documents\Planning Space Implementation\3. Analysis &amp; Design\Design\FC22\DRR Jaime\QUIFA-CAJÚA\Cajua\[VAS_CAJUA_CF_SEC_20230125.xlsx]CF PS'!</v>
      </c>
      <c r="G2481" s="6" t="s">
        <v>40</v>
      </c>
      <c r="H2481" s="1">
        <f t="shared" si="552"/>
        <v>45</v>
      </c>
      <c r="I2481" s="1" t="str">
        <f t="shared" si="551"/>
        <v>='C:\Users\jaime.benazar\Quorum Business Solutions\Ecopetrol Prometeo - Documents\Planning Space Implementation\3. Analysis &amp; Design\Design\FC22\DRR Jaime\QUIFA-CAJÚA\Cajua\[VAS_CAJUA_CF_SEC_20230125.xlsx]CF PS'!$CT$45</v>
      </c>
      <c r="J2481" s="1" t="s">
        <v>1211</v>
      </c>
    </row>
    <row r="2482" spans="1:10" x14ac:dyDescent="0.25">
      <c r="A2482" s="6" t="s">
        <v>34</v>
      </c>
      <c r="B2482" s="6">
        <f t="shared" si="553"/>
        <v>2033</v>
      </c>
      <c r="C2482" s="1" t="s">
        <v>20</v>
      </c>
      <c r="D2482" s="2" t="s">
        <v>128</v>
      </c>
      <c r="E2482" s="9" t="str">
        <f t="shared" si="550"/>
        <v>PS'!</v>
      </c>
      <c r="F2482" s="5" t="str">
        <f t="shared" si="547"/>
        <v>C:\Users\jaime.benazar\Quorum Business Solutions\Ecopetrol Prometeo - Documents\Planning Space Implementation\3. Analysis &amp; Design\Design\FC22\DRR Jaime\QUIFA-CAJÚA\Cajua\[VAS_CAJUA_CF_SEC_20230125.xlsx]CF PS'!</v>
      </c>
      <c r="G2482" s="6" t="s">
        <v>40</v>
      </c>
      <c r="H2482" s="1">
        <f t="shared" si="552"/>
        <v>46</v>
      </c>
      <c r="I2482" s="1" t="str">
        <f t="shared" si="551"/>
        <v>='C:\Users\jaime.benazar\Quorum Business Solutions\Ecopetrol Prometeo - Documents\Planning Space Implementation\3. Analysis &amp; Design\Design\FC22\DRR Jaime\QUIFA-CAJÚA\Cajua\[VAS_CAJUA_CF_SEC_20230125.xlsx]CF PS'!$CT$46</v>
      </c>
      <c r="J2482" s="1" t="s">
        <v>1212</v>
      </c>
    </row>
    <row r="2483" spans="1:10" x14ac:dyDescent="0.25">
      <c r="A2483" s="6" t="s">
        <v>34</v>
      </c>
      <c r="B2483" s="6">
        <f t="shared" si="553"/>
        <v>2034</v>
      </c>
      <c r="C2483" s="1" t="s">
        <v>20</v>
      </c>
      <c r="D2483" s="2" t="s">
        <v>128</v>
      </c>
      <c r="E2483" s="9" t="str">
        <f t="shared" si="550"/>
        <v>PS'!</v>
      </c>
      <c r="F2483" s="5" t="str">
        <f t="shared" si="547"/>
        <v>C:\Users\jaime.benazar\Quorum Business Solutions\Ecopetrol Prometeo - Documents\Planning Space Implementation\3. Analysis &amp; Design\Design\FC22\DRR Jaime\QUIFA-CAJÚA\Cajua\[VAS_CAJUA_CF_SEC_20230125.xlsx]CF PS'!</v>
      </c>
      <c r="G2483" s="6" t="s">
        <v>40</v>
      </c>
      <c r="H2483" s="1">
        <f t="shared" si="552"/>
        <v>47</v>
      </c>
      <c r="I2483" s="1" t="str">
        <f t="shared" si="551"/>
        <v>='C:\Users\jaime.benazar\Quorum Business Solutions\Ecopetrol Prometeo - Documents\Planning Space Implementation\3. Analysis &amp; Design\Design\FC22\DRR Jaime\QUIFA-CAJÚA\Cajua\[VAS_CAJUA_CF_SEC_20230125.xlsx]CF PS'!$CT$47</v>
      </c>
      <c r="J2483" s="1" t="s">
        <v>1213</v>
      </c>
    </row>
    <row r="2484" spans="1:10" x14ac:dyDescent="0.25">
      <c r="A2484" s="6" t="s">
        <v>34</v>
      </c>
      <c r="B2484" s="6">
        <f t="shared" si="553"/>
        <v>2035</v>
      </c>
      <c r="C2484" s="1" t="s">
        <v>20</v>
      </c>
      <c r="D2484" s="2" t="s">
        <v>128</v>
      </c>
      <c r="E2484" s="9" t="str">
        <f t="shared" si="550"/>
        <v>PS'!</v>
      </c>
      <c r="F2484" s="5" t="str">
        <f t="shared" si="547"/>
        <v>C:\Users\jaime.benazar\Quorum Business Solutions\Ecopetrol Prometeo - Documents\Planning Space Implementation\3. Analysis &amp; Design\Design\FC22\DRR Jaime\QUIFA-CAJÚA\Cajua\[VAS_CAJUA_CF_SEC_20230125.xlsx]CF PS'!</v>
      </c>
      <c r="G2484" s="6" t="s">
        <v>40</v>
      </c>
      <c r="H2484" s="1">
        <f t="shared" si="552"/>
        <v>48</v>
      </c>
      <c r="I2484" s="1" t="str">
        <f t="shared" si="551"/>
        <v>='C:\Users\jaime.benazar\Quorum Business Solutions\Ecopetrol Prometeo - Documents\Planning Space Implementation\3. Analysis &amp; Design\Design\FC22\DRR Jaime\QUIFA-CAJÚA\Cajua\[VAS_CAJUA_CF_SEC_20230125.xlsx]CF PS'!$CT$48</v>
      </c>
      <c r="J2484" s="1" t="s">
        <v>1214</v>
      </c>
    </row>
    <row r="2485" spans="1:10" x14ac:dyDescent="0.25">
      <c r="A2485" s="6" t="s">
        <v>34</v>
      </c>
      <c r="B2485" s="6">
        <f t="shared" si="553"/>
        <v>2036</v>
      </c>
      <c r="C2485" s="1" t="s">
        <v>20</v>
      </c>
      <c r="D2485" s="2" t="s">
        <v>128</v>
      </c>
      <c r="E2485" s="9" t="str">
        <f t="shared" si="550"/>
        <v>PS'!</v>
      </c>
      <c r="F2485" s="5" t="str">
        <f t="shared" si="547"/>
        <v>C:\Users\jaime.benazar\Quorum Business Solutions\Ecopetrol Prometeo - Documents\Planning Space Implementation\3. Analysis &amp; Design\Design\FC22\DRR Jaime\QUIFA-CAJÚA\Cajua\[VAS_CAJUA_CF_SEC_20230125.xlsx]CF PS'!</v>
      </c>
      <c r="G2485" s="6" t="s">
        <v>40</v>
      </c>
      <c r="H2485" s="1">
        <f t="shared" si="552"/>
        <v>49</v>
      </c>
      <c r="I2485" s="1" t="str">
        <f t="shared" si="551"/>
        <v>='C:\Users\jaime.benazar\Quorum Business Solutions\Ecopetrol Prometeo - Documents\Planning Space Implementation\3. Analysis &amp; Design\Design\FC22\DRR Jaime\QUIFA-CAJÚA\Cajua\[VAS_CAJUA_CF_SEC_20230125.xlsx]CF PS'!$CT$49</v>
      </c>
      <c r="J2485" s="1" t="s">
        <v>1215</v>
      </c>
    </row>
    <row r="2486" spans="1:10" x14ac:dyDescent="0.25">
      <c r="A2486" s="6" t="s">
        <v>34</v>
      </c>
      <c r="B2486" s="6">
        <f>+B2485+1</f>
        <v>2037</v>
      </c>
      <c r="C2486" s="1" t="s">
        <v>20</v>
      </c>
      <c r="D2486" s="2" t="s">
        <v>128</v>
      </c>
      <c r="E2486" s="9" t="str">
        <f t="shared" si="550"/>
        <v>PS'!</v>
      </c>
      <c r="F2486" s="5" t="str">
        <f t="shared" si="547"/>
        <v>C:\Users\jaime.benazar\Quorum Business Solutions\Ecopetrol Prometeo - Documents\Planning Space Implementation\3. Analysis &amp; Design\Design\FC22\DRR Jaime\QUIFA-CAJÚA\Cajua\[VAS_CAJUA_CF_SEC_20230125.xlsx]CF PS'!</v>
      </c>
      <c r="G2486" s="6" t="s">
        <v>40</v>
      </c>
      <c r="H2486" s="1">
        <f t="shared" si="552"/>
        <v>50</v>
      </c>
      <c r="I2486" s="1" t="str">
        <f t="shared" si="551"/>
        <v>='C:\Users\jaime.benazar\Quorum Business Solutions\Ecopetrol Prometeo - Documents\Planning Space Implementation\3. Analysis &amp; Design\Design\FC22\DRR Jaime\QUIFA-CAJÚA\Cajua\[VAS_CAJUA_CF_SEC_20230125.xlsx]CF PS'!$CT$50</v>
      </c>
      <c r="J2486" s="1" t="s">
        <v>1216</v>
      </c>
    </row>
    <row r="2487" spans="1:10" x14ac:dyDescent="0.25">
      <c r="A2487" s="6" t="s">
        <v>34</v>
      </c>
      <c r="B2487" s="6">
        <f t="shared" ref="B2487:B2489" si="554">+B2486+1</f>
        <v>2038</v>
      </c>
      <c r="C2487" s="1" t="s">
        <v>20</v>
      </c>
      <c r="D2487" s="2" t="s">
        <v>128</v>
      </c>
      <c r="E2487" s="9" t="str">
        <f t="shared" si="550"/>
        <v>PS'!</v>
      </c>
      <c r="F2487" s="5" t="str">
        <f t="shared" si="547"/>
        <v>C:\Users\jaime.benazar\Quorum Business Solutions\Ecopetrol Prometeo - Documents\Planning Space Implementation\3. Analysis &amp; Design\Design\FC22\DRR Jaime\QUIFA-CAJÚA\Cajua\[VAS_CAJUA_CF_SEC_20230125.xlsx]CF PS'!</v>
      </c>
      <c r="G2487" s="6" t="s">
        <v>40</v>
      </c>
      <c r="H2487" s="1">
        <f t="shared" si="552"/>
        <v>51</v>
      </c>
      <c r="I2487" s="1" t="str">
        <f t="shared" si="551"/>
        <v>='C:\Users\jaime.benazar\Quorum Business Solutions\Ecopetrol Prometeo - Documents\Planning Space Implementation\3. Analysis &amp; Design\Design\FC22\DRR Jaime\QUIFA-CAJÚA\Cajua\[VAS_CAJUA_CF_SEC_20230125.xlsx]CF PS'!$CT$51</v>
      </c>
      <c r="J2487" s="1" t="s">
        <v>1217</v>
      </c>
    </row>
    <row r="2488" spans="1:10" x14ac:dyDescent="0.25">
      <c r="A2488" s="6" t="s">
        <v>34</v>
      </c>
      <c r="B2488" s="6">
        <f t="shared" si="554"/>
        <v>2039</v>
      </c>
      <c r="C2488" s="1" t="s">
        <v>20</v>
      </c>
      <c r="D2488" s="2" t="s">
        <v>128</v>
      </c>
      <c r="E2488" s="9" t="str">
        <f t="shared" si="550"/>
        <v>PS'!</v>
      </c>
      <c r="F2488" s="5" t="str">
        <f t="shared" ref="F2488:F2492" si="555">_xlfn.CONCAT(D2488," ",E2488)</f>
        <v>C:\Users\jaime.benazar\Quorum Business Solutions\Ecopetrol Prometeo - Documents\Planning Space Implementation\3. Analysis &amp; Design\Design\FC22\DRR Jaime\QUIFA-CAJÚA\Cajua\[VAS_CAJUA_CF_SEC_20230125.xlsx]CF PS'!</v>
      </c>
      <c r="G2488" s="6" t="s">
        <v>40</v>
      </c>
      <c r="H2488" s="1">
        <f t="shared" si="552"/>
        <v>52</v>
      </c>
      <c r="I2488" s="1" t="str">
        <f t="shared" si="551"/>
        <v>='C:\Users\jaime.benazar\Quorum Business Solutions\Ecopetrol Prometeo - Documents\Planning Space Implementation\3. Analysis &amp; Design\Design\FC22\DRR Jaime\QUIFA-CAJÚA\Cajua\[VAS_CAJUA_CF_SEC_20230125.xlsx]CF PS'!$CT$52</v>
      </c>
      <c r="J2488" s="1" t="s">
        <v>1218</v>
      </c>
    </row>
    <row r="2489" spans="1:10" x14ac:dyDescent="0.25">
      <c r="A2489" s="6" t="s">
        <v>34</v>
      </c>
      <c r="B2489" s="6">
        <f t="shared" si="554"/>
        <v>2040</v>
      </c>
      <c r="C2489" s="1" t="s">
        <v>20</v>
      </c>
      <c r="D2489" s="2" t="s">
        <v>128</v>
      </c>
      <c r="E2489" s="9" t="str">
        <f t="shared" si="550"/>
        <v>PS'!</v>
      </c>
      <c r="F2489" s="5" t="str">
        <f t="shared" si="555"/>
        <v>C:\Users\jaime.benazar\Quorum Business Solutions\Ecopetrol Prometeo - Documents\Planning Space Implementation\3. Analysis &amp; Design\Design\FC22\DRR Jaime\QUIFA-CAJÚA\Cajua\[VAS_CAJUA_CF_SEC_20230125.xlsx]CF PS'!</v>
      </c>
      <c r="G2489" s="6" t="s">
        <v>40</v>
      </c>
      <c r="H2489" s="1">
        <f t="shared" si="552"/>
        <v>53</v>
      </c>
      <c r="I2489" s="1" t="str">
        <f t="shared" si="551"/>
        <v>='C:\Users\jaime.benazar\Quorum Business Solutions\Ecopetrol Prometeo - Documents\Planning Space Implementation\3. Analysis &amp; Design\Design\FC22\DRR Jaime\QUIFA-CAJÚA\Cajua\[VAS_CAJUA_CF_SEC_20230125.xlsx]CF PS'!$CT$53</v>
      </c>
      <c r="J2489" s="1" t="s">
        <v>1219</v>
      </c>
    </row>
    <row r="2490" spans="1:10" x14ac:dyDescent="0.25">
      <c r="A2490" s="6" t="s">
        <v>34</v>
      </c>
      <c r="B2490" s="6">
        <f>+B2489+1</f>
        <v>2041</v>
      </c>
      <c r="C2490" s="1" t="s">
        <v>20</v>
      </c>
      <c r="D2490" s="2" t="s">
        <v>128</v>
      </c>
      <c r="E2490" s="9" t="str">
        <f t="shared" si="550"/>
        <v>PS'!</v>
      </c>
      <c r="F2490" s="5" t="str">
        <f t="shared" si="555"/>
        <v>C:\Users\jaime.benazar\Quorum Business Solutions\Ecopetrol Prometeo - Documents\Planning Space Implementation\3. Analysis &amp; Design\Design\FC22\DRR Jaime\QUIFA-CAJÚA\Cajua\[VAS_CAJUA_CF_SEC_20230125.xlsx]CF PS'!</v>
      </c>
      <c r="G2490" s="6" t="s">
        <v>40</v>
      </c>
      <c r="H2490" s="1">
        <f t="shared" si="552"/>
        <v>54</v>
      </c>
      <c r="I2490" s="1" t="str">
        <f t="shared" si="551"/>
        <v>='C:\Users\jaime.benazar\Quorum Business Solutions\Ecopetrol Prometeo - Documents\Planning Space Implementation\3. Analysis &amp; Design\Design\FC22\DRR Jaime\QUIFA-CAJÚA\Cajua\[VAS_CAJUA_CF_SEC_20230125.xlsx]CF PS'!$CT$54</v>
      </c>
      <c r="J2490" s="1" t="s">
        <v>1220</v>
      </c>
    </row>
    <row r="2491" spans="1:10" x14ac:dyDescent="0.25">
      <c r="A2491" s="6" t="s">
        <v>34</v>
      </c>
      <c r="B2491" s="6">
        <f t="shared" ref="B2491:B2492" si="556">+B2490+1</f>
        <v>2042</v>
      </c>
      <c r="C2491" s="1" t="s">
        <v>20</v>
      </c>
      <c r="D2491" s="2" t="s">
        <v>128</v>
      </c>
      <c r="E2491" s="9" t="str">
        <f t="shared" si="550"/>
        <v>PS'!</v>
      </c>
      <c r="F2491" s="5" t="str">
        <f t="shared" si="555"/>
        <v>C:\Users\jaime.benazar\Quorum Business Solutions\Ecopetrol Prometeo - Documents\Planning Space Implementation\3. Analysis &amp; Design\Design\FC22\DRR Jaime\QUIFA-CAJÚA\Cajua\[VAS_CAJUA_CF_SEC_20230125.xlsx]CF PS'!</v>
      </c>
      <c r="G2491" s="6" t="s">
        <v>40</v>
      </c>
      <c r="H2491" s="1">
        <f t="shared" si="552"/>
        <v>55</v>
      </c>
      <c r="I2491" s="1" t="str">
        <f t="shared" si="551"/>
        <v>='C:\Users\jaime.benazar\Quorum Business Solutions\Ecopetrol Prometeo - Documents\Planning Space Implementation\3. Analysis &amp; Design\Design\FC22\DRR Jaime\QUIFA-CAJÚA\Cajua\[VAS_CAJUA_CF_SEC_20230125.xlsx]CF PS'!$CT$55</v>
      </c>
      <c r="J2491" s="1" t="s">
        <v>1221</v>
      </c>
    </row>
    <row r="2492" spans="1:10" x14ac:dyDescent="0.25">
      <c r="A2492" s="6" t="s">
        <v>34</v>
      </c>
      <c r="B2492" s="6">
        <f t="shared" si="556"/>
        <v>2043</v>
      </c>
      <c r="C2492" s="1" t="s">
        <v>20</v>
      </c>
      <c r="D2492" s="2" t="s">
        <v>128</v>
      </c>
      <c r="E2492" s="9" t="str">
        <f t="shared" si="550"/>
        <v>PS'!</v>
      </c>
      <c r="F2492" s="5" t="str">
        <f t="shared" si="555"/>
        <v>C:\Users\jaime.benazar\Quorum Business Solutions\Ecopetrol Prometeo - Documents\Planning Space Implementation\3. Analysis &amp; Design\Design\FC22\DRR Jaime\QUIFA-CAJÚA\Cajua\[VAS_CAJUA_CF_SEC_20230125.xlsx]CF PS'!</v>
      </c>
      <c r="G2492" s="6" t="s">
        <v>40</v>
      </c>
      <c r="H2492" s="1">
        <f t="shared" si="552"/>
        <v>56</v>
      </c>
      <c r="I2492" s="1" t="str">
        <f t="shared" si="551"/>
        <v>='C:\Users\jaime.benazar\Quorum Business Solutions\Ecopetrol Prometeo - Documents\Planning Space Implementation\3. Analysis &amp; Design\Design\FC22\DRR Jaime\QUIFA-CAJÚA\Cajua\[VAS_CAJUA_CF_SEC_20230125.xlsx]CF PS'!$CT$56</v>
      </c>
      <c r="J2492" s="1" t="s">
        <v>1222</v>
      </c>
    </row>
    <row r="2493" spans="1:10" x14ac:dyDescent="0.25">
      <c r="A2493" s="6" t="s">
        <v>34</v>
      </c>
      <c r="B2493" s="6">
        <f>+B2492+1</f>
        <v>2044</v>
      </c>
      <c r="C2493" s="1" t="s">
        <v>20</v>
      </c>
      <c r="D2493" s="2" t="s">
        <v>128</v>
      </c>
      <c r="E2493" s="9" t="str">
        <f t="shared" ref="E2493:E2508" si="557">_xlfn.CONCAT(A2493,"'!")</f>
        <v>PS'!</v>
      </c>
      <c r="F2493" s="5" t="str">
        <f t="shared" ref="F2493:F2508" si="558">_xlfn.CONCAT(D2493," ",E2493)</f>
        <v>C:\Users\jaime.benazar\Quorum Business Solutions\Ecopetrol Prometeo - Documents\Planning Space Implementation\3. Analysis &amp; Design\Design\FC22\DRR Jaime\QUIFA-CAJÚA\Cajua\[VAS_CAJUA_CF_SEC_20230125.xlsx]CF PS'!</v>
      </c>
      <c r="G2493" s="6" t="s">
        <v>40</v>
      </c>
      <c r="H2493" s="1">
        <f t="shared" ref="H2493:H2508" si="559">IF(A2493&lt;&gt;A2492,36,H2492+1)</f>
        <v>57</v>
      </c>
      <c r="I2493" s="1" t="str">
        <f t="shared" ref="I2493:I2508" si="560">_xlfn.CONCAT("='",F2493:H2493)</f>
        <v>='C:\Users\jaime.benazar\Quorum Business Solutions\Ecopetrol Prometeo - Documents\Planning Space Implementation\3. Analysis &amp; Design\Design\FC22\DRR Jaime\QUIFA-CAJÚA\Cajua\[VAS_CAJUA_CF_SEC_20230125.xlsx]CF PS'!$CT$57</v>
      </c>
      <c r="J2493" s="1" t="s">
        <v>1223</v>
      </c>
    </row>
    <row r="2494" spans="1:10" x14ac:dyDescent="0.25">
      <c r="A2494" s="6" t="s">
        <v>34</v>
      </c>
      <c r="B2494" s="6">
        <f t="shared" ref="B2494:B2508" si="561">+B2493+1</f>
        <v>2045</v>
      </c>
      <c r="C2494" s="1" t="s">
        <v>20</v>
      </c>
      <c r="D2494" s="2" t="s">
        <v>128</v>
      </c>
      <c r="E2494" s="9" t="str">
        <f t="shared" si="557"/>
        <v>PS'!</v>
      </c>
      <c r="F2494" s="5" t="str">
        <f t="shared" si="558"/>
        <v>C:\Users\jaime.benazar\Quorum Business Solutions\Ecopetrol Prometeo - Documents\Planning Space Implementation\3. Analysis &amp; Design\Design\FC22\DRR Jaime\QUIFA-CAJÚA\Cajua\[VAS_CAJUA_CF_SEC_20230125.xlsx]CF PS'!</v>
      </c>
      <c r="G2494" s="6" t="s">
        <v>40</v>
      </c>
      <c r="H2494" s="1">
        <f t="shared" si="559"/>
        <v>58</v>
      </c>
      <c r="I2494" s="1" t="str">
        <f t="shared" si="560"/>
        <v>='C:\Users\jaime.benazar\Quorum Business Solutions\Ecopetrol Prometeo - Documents\Planning Space Implementation\3. Analysis &amp; Design\Design\FC22\DRR Jaime\QUIFA-CAJÚA\Cajua\[VAS_CAJUA_CF_SEC_20230125.xlsx]CF PS'!$CT$58</v>
      </c>
      <c r="J2494" s="1" t="s">
        <v>1224</v>
      </c>
    </row>
    <row r="2495" spans="1:10" x14ac:dyDescent="0.25">
      <c r="A2495" s="6" t="s">
        <v>34</v>
      </c>
      <c r="B2495" s="6">
        <f t="shared" si="561"/>
        <v>2046</v>
      </c>
      <c r="C2495" s="1" t="s">
        <v>20</v>
      </c>
      <c r="D2495" s="2" t="s">
        <v>128</v>
      </c>
      <c r="E2495" s="9" t="str">
        <f t="shared" si="557"/>
        <v>PS'!</v>
      </c>
      <c r="F2495" s="5" t="str">
        <f t="shared" si="558"/>
        <v>C:\Users\jaime.benazar\Quorum Business Solutions\Ecopetrol Prometeo - Documents\Planning Space Implementation\3. Analysis &amp; Design\Design\FC22\DRR Jaime\QUIFA-CAJÚA\Cajua\[VAS_CAJUA_CF_SEC_20230125.xlsx]CF PS'!</v>
      </c>
      <c r="G2495" s="6" t="s">
        <v>40</v>
      </c>
      <c r="H2495" s="1">
        <f t="shared" si="559"/>
        <v>59</v>
      </c>
      <c r="I2495" s="1" t="str">
        <f t="shared" si="560"/>
        <v>='C:\Users\jaime.benazar\Quorum Business Solutions\Ecopetrol Prometeo - Documents\Planning Space Implementation\3. Analysis &amp; Design\Design\FC22\DRR Jaime\QUIFA-CAJÚA\Cajua\[VAS_CAJUA_CF_SEC_20230125.xlsx]CF PS'!$CT$59</v>
      </c>
      <c r="J2495" s="1" t="s">
        <v>1225</v>
      </c>
    </row>
    <row r="2496" spans="1:10" x14ac:dyDescent="0.25">
      <c r="A2496" s="6" t="s">
        <v>34</v>
      </c>
      <c r="B2496" s="6">
        <f t="shared" si="561"/>
        <v>2047</v>
      </c>
      <c r="C2496" s="1" t="s">
        <v>20</v>
      </c>
      <c r="D2496" s="2" t="s">
        <v>128</v>
      </c>
      <c r="E2496" s="9" t="str">
        <f t="shared" si="557"/>
        <v>PS'!</v>
      </c>
      <c r="F2496" s="5" t="str">
        <f t="shared" si="558"/>
        <v>C:\Users\jaime.benazar\Quorum Business Solutions\Ecopetrol Prometeo - Documents\Planning Space Implementation\3. Analysis &amp; Design\Design\FC22\DRR Jaime\QUIFA-CAJÚA\Cajua\[VAS_CAJUA_CF_SEC_20230125.xlsx]CF PS'!</v>
      </c>
      <c r="G2496" s="6" t="s">
        <v>40</v>
      </c>
      <c r="H2496" s="1">
        <f t="shared" si="559"/>
        <v>60</v>
      </c>
      <c r="I2496" s="1" t="str">
        <f t="shared" si="560"/>
        <v>='C:\Users\jaime.benazar\Quorum Business Solutions\Ecopetrol Prometeo - Documents\Planning Space Implementation\3. Analysis &amp; Design\Design\FC22\DRR Jaime\QUIFA-CAJÚA\Cajua\[VAS_CAJUA_CF_SEC_20230125.xlsx]CF PS'!$CT$60</v>
      </c>
      <c r="J2496" s="1" t="s">
        <v>1226</v>
      </c>
    </row>
    <row r="2497" spans="1:10" x14ac:dyDescent="0.25">
      <c r="A2497" s="6" t="s">
        <v>34</v>
      </c>
      <c r="B2497" s="6">
        <f t="shared" si="561"/>
        <v>2048</v>
      </c>
      <c r="C2497" s="1" t="s">
        <v>20</v>
      </c>
      <c r="D2497" s="2" t="s">
        <v>128</v>
      </c>
      <c r="E2497" s="9" t="str">
        <f t="shared" si="557"/>
        <v>PS'!</v>
      </c>
      <c r="F2497" s="5" t="str">
        <f t="shared" si="558"/>
        <v>C:\Users\jaime.benazar\Quorum Business Solutions\Ecopetrol Prometeo - Documents\Planning Space Implementation\3. Analysis &amp; Design\Design\FC22\DRR Jaime\QUIFA-CAJÚA\Cajua\[VAS_CAJUA_CF_SEC_20230125.xlsx]CF PS'!</v>
      </c>
      <c r="G2497" s="6" t="s">
        <v>40</v>
      </c>
      <c r="H2497" s="1">
        <f t="shared" si="559"/>
        <v>61</v>
      </c>
      <c r="I2497" s="1" t="str">
        <f t="shared" si="560"/>
        <v>='C:\Users\jaime.benazar\Quorum Business Solutions\Ecopetrol Prometeo - Documents\Planning Space Implementation\3. Analysis &amp; Design\Design\FC22\DRR Jaime\QUIFA-CAJÚA\Cajua\[VAS_CAJUA_CF_SEC_20230125.xlsx]CF PS'!$CT$61</v>
      </c>
      <c r="J2497" s="1" t="s">
        <v>1227</v>
      </c>
    </row>
    <row r="2498" spans="1:10" x14ac:dyDescent="0.25">
      <c r="A2498" s="6" t="s">
        <v>34</v>
      </c>
      <c r="B2498" s="6">
        <f t="shared" si="561"/>
        <v>2049</v>
      </c>
      <c r="C2498" s="1" t="s">
        <v>20</v>
      </c>
      <c r="D2498" s="2" t="s">
        <v>128</v>
      </c>
      <c r="E2498" s="9" t="str">
        <f t="shared" si="557"/>
        <v>PS'!</v>
      </c>
      <c r="F2498" s="5" t="str">
        <f t="shared" si="558"/>
        <v>C:\Users\jaime.benazar\Quorum Business Solutions\Ecopetrol Prometeo - Documents\Planning Space Implementation\3. Analysis &amp; Design\Design\FC22\DRR Jaime\QUIFA-CAJÚA\Cajua\[VAS_CAJUA_CF_SEC_20230125.xlsx]CF PS'!</v>
      </c>
      <c r="G2498" s="6" t="s">
        <v>40</v>
      </c>
      <c r="H2498" s="1">
        <f t="shared" si="559"/>
        <v>62</v>
      </c>
      <c r="I2498" s="1" t="str">
        <f t="shared" si="560"/>
        <v>='C:\Users\jaime.benazar\Quorum Business Solutions\Ecopetrol Prometeo - Documents\Planning Space Implementation\3. Analysis &amp; Design\Design\FC22\DRR Jaime\QUIFA-CAJÚA\Cajua\[VAS_CAJUA_CF_SEC_20230125.xlsx]CF PS'!$CT$62</v>
      </c>
      <c r="J2498" s="1" t="s">
        <v>1228</v>
      </c>
    </row>
    <row r="2499" spans="1:10" x14ac:dyDescent="0.25">
      <c r="A2499" s="6" t="s">
        <v>34</v>
      </c>
      <c r="B2499" s="6">
        <f t="shared" si="561"/>
        <v>2050</v>
      </c>
      <c r="C2499" s="1" t="s">
        <v>20</v>
      </c>
      <c r="D2499" s="2" t="s">
        <v>128</v>
      </c>
      <c r="E2499" s="9" t="str">
        <f t="shared" si="557"/>
        <v>PS'!</v>
      </c>
      <c r="F2499" s="5" t="str">
        <f t="shared" si="558"/>
        <v>C:\Users\jaime.benazar\Quorum Business Solutions\Ecopetrol Prometeo - Documents\Planning Space Implementation\3. Analysis &amp; Design\Design\FC22\DRR Jaime\QUIFA-CAJÚA\Cajua\[VAS_CAJUA_CF_SEC_20230125.xlsx]CF PS'!</v>
      </c>
      <c r="G2499" s="6" t="s">
        <v>40</v>
      </c>
      <c r="H2499" s="1">
        <f t="shared" si="559"/>
        <v>63</v>
      </c>
      <c r="I2499" s="1" t="str">
        <f t="shared" si="560"/>
        <v>='C:\Users\jaime.benazar\Quorum Business Solutions\Ecopetrol Prometeo - Documents\Planning Space Implementation\3. Analysis &amp; Design\Design\FC22\DRR Jaime\QUIFA-CAJÚA\Cajua\[VAS_CAJUA_CF_SEC_20230125.xlsx]CF PS'!$CT$63</v>
      </c>
      <c r="J2499" s="1" t="s">
        <v>1229</v>
      </c>
    </row>
    <row r="2500" spans="1:10" x14ac:dyDescent="0.25">
      <c r="A2500" s="6" t="s">
        <v>34</v>
      </c>
      <c r="B2500" s="6">
        <f t="shared" si="561"/>
        <v>2051</v>
      </c>
      <c r="C2500" s="1" t="s">
        <v>20</v>
      </c>
      <c r="D2500" s="2" t="s">
        <v>128</v>
      </c>
      <c r="E2500" s="9" t="str">
        <f t="shared" si="557"/>
        <v>PS'!</v>
      </c>
      <c r="F2500" s="5" t="str">
        <f t="shared" si="558"/>
        <v>C:\Users\jaime.benazar\Quorum Business Solutions\Ecopetrol Prometeo - Documents\Planning Space Implementation\3. Analysis &amp; Design\Design\FC22\DRR Jaime\QUIFA-CAJÚA\Cajua\[VAS_CAJUA_CF_SEC_20230125.xlsx]CF PS'!</v>
      </c>
      <c r="G2500" s="6" t="s">
        <v>40</v>
      </c>
      <c r="H2500" s="1">
        <f t="shared" si="559"/>
        <v>64</v>
      </c>
      <c r="I2500" s="1" t="str">
        <f t="shared" si="560"/>
        <v>='C:\Users\jaime.benazar\Quorum Business Solutions\Ecopetrol Prometeo - Documents\Planning Space Implementation\3. Analysis &amp; Design\Design\FC22\DRR Jaime\QUIFA-CAJÚA\Cajua\[VAS_CAJUA_CF_SEC_20230125.xlsx]CF PS'!$CT$64</v>
      </c>
      <c r="J2500" s="1" t="s">
        <v>1230</v>
      </c>
    </row>
    <row r="2501" spans="1:10" x14ac:dyDescent="0.25">
      <c r="A2501" s="6" t="s">
        <v>34</v>
      </c>
      <c r="B2501" s="6">
        <f t="shared" si="561"/>
        <v>2052</v>
      </c>
      <c r="C2501" s="1" t="s">
        <v>20</v>
      </c>
      <c r="D2501" s="2" t="s">
        <v>128</v>
      </c>
      <c r="E2501" s="9" t="str">
        <f t="shared" si="557"/>
        <v>PS'!</v>
      </c>
      <c r="F2501" s="5" t="str">
        <f t="shared" si="558"/>
        <v>C:\Users\jaime.benazar\Quorum Business Solutions\Ecopetrol Prometeo - Documents\Planning Space Implementation\3. Analysis &amp; Design\Design\FC22\DRR Jaime\QUIFA-CAJÚA\Cajua\[VAS_CAJUA_CF_SEC_20230125.xlsx]CF PS'!</v>
      </c>
      <c r="G2501" s="6" t="s">
        <v>40</v>
      </c>
      <c r="H2501" s="1">
        <f t="shared" si="559"/>
        <v>65</v>
      </c>
      <c r="I2501" s="1" t="str">
        <f t="shared" si="560"/>
        <v>='C:\Users\jaime.benazar\Quorum Business Solutions\Ecopetrol Prometeo - Documents\Planning Space Implementation\3. Analysis &amp; Design\Design\FC22\DRR Jaime\QUIFA-CAJÚA\Cajua\[VAS_CAJUA_CF_SEC_20230125.xlsx]CF PS'!$CT$65</v>
      </c>
      <c r="J2501" s="1" t="s">
        <v>1231</v>
      </c>
    </row>
    <row r="2502" spans="1:10" x14ac:dyDescent="0.25">
      <c r="A2502" s="6" t="s">
        <v>34</v>
      </c>
      <c r="B2502" s="6">
        <f t="shared" si="561"/>
        <v>2053</v>
      </c>
      <c r="C2502" s="1" t="s">
        <v>20</v>
      </c>
      <c r="D2502" s="2" t="s">
        <v>128</v>
      </c>
      <c r="E2502" s="9" t="str">
        <f t="shared" si="557"/>
        <v>PS'!</v>
      </c>
      <c r="F2502" s="5" t="str">
        <f t="shared" si="558"/>
        <v>C:\Users\jaime.benazar\Quorum Business Solutions\Ecopetrol Prometeo - Documents\Planning Space Implementation\3. Analysis &amp; Design\Design\FC22\DRR Jaime\QUIFA-CAJÚA\Cajua\[VAS_CAJUA_CF_SEC_20230125.xlsx]CF PS'!</v>
      </c>
      <c r="G2502" s="6" t="s">
        <v>40</v>
      </c>
      <c r="H2502" s="1">
        <f t="shared" si="559"/>
        <v>66</v>
      </c>
      <c r="I2502" s="1" t="str">
        <f t="shared" si="560"/>
        <v>='C:\Users\jaime.benazar\Quorum Business Solutions\Ecopetrol Prometeo - Documents\Planning Space Implementation\3. Analysis &amp; Design\Design\FC22\DRR Jaime\QUIFA-CAJÚA\Cajua\[VAS_CAJUA_CF_SEC_20230125.xlsx]CF PS'!$CT$66</v>
      </c>
      <c r="J2502" s="1" t="s">
        <v>1232</v>
      </c>
    </row>
    <row r="2503" spans="1:10" x14ac:dyDescent="0.25">
      <c r="A2503" s="6" t="s">
        <v>34</v>
      </c>
      <c r="B2503" s="6">
        <f t="shared" si="561"/>
        <v>2054</v>
      </c>
      <c r="C2503" s="1" t="s">
        <v>20</v>
      </c>
      <c r="D2503" s="2" t="s">
        <v>128</v>
      </c>
      <c r="E2503" s="9" t="str">
        <f t="shared" si="557"/>
        <v>PS'!</v>
      </c>
      <c r="F2503" s="5" t="str">
        <f t="shared" si="558"/>
        <v>C:\Users\jaime.benazar\Quorum Business Solutions\Ecopetrol Prometeo - Documents\Planning Space Implementation\3. Analysis &amp; Design\Design\FC22\DRR Jaime\QUIFA-CAJÚA\Cajua\[VAS_CAJUA_CF_SEC_20230125.xlsx]CF PS'!</v>
      </c>
      <c r="G2503" s="6" t="s">
        <v>40</v>
      </c>
      <c r="H2503" s="1">
        <f t="shared" si="559"/>
        <v>67</v>
      </c>
      <c r="I2503" s="1" t="str">
        <f t="shared" si="560"/>
        <v>='C:\Users\jaime.benazar\Quorum Business Solutions\Ecopetrol Prometeo - Documents\Planning Space Implementation\3. Analysis &amp; Design\Design\FC22\DRR Jaime\QUIFA-CAJÚA\Cajua\[VAS_CAJUA_CF_SEC_20230125.xlsx]CF PS'!$CT$67</v>
      </c>
      <c r="J2503" s="1" t="s">
        <v>1233</v>
      </c>
    </row>
    <row r="2504" spans="1:10" x14ac:dyDescent="0.25">
      <c r="A2504" s="6" t="s">
        <v>34</v>
      </c>
      <c r="B2504" s="6">
        <f t="shared" si="561"/>
        <v>2055</v>
      </c>
      <c r="C2504" s="1" t="s">
        <v>20</v>
      </c>
      <c r="D2504" s="2" t="s">
        <v>128</v>
      </c>
      <c r="E2504" s="9" t="str">
        <f t="shared" si="557"/>
        <v>PS'!</v>
      </c>
      <c r="F2504" s="5" t="str">
        <f t="shared" si="558"/>
        <v>C:\Users\jaime.benazar\Quorum Business Solutions\Ecopetrol Prometeo - Documents\Planning Space Implementation\3. Analysis &amp; Design\Design\FC22\DRR Jaime\QUIFA-CAJÚA\Cajua\[VAS_CAJUA_CF_SEC_20230125.xlsx]CF PS'!</v>
      </c>
      <c r="G2504" s="6" t="s">
        <v>40</v>
      </c>
      <c r="H2504" s="1">
        <f t="shared" si="559"/>
        <v>68</v>
      </c>
      <c r="I2504" s="1" t="str">
        <f t="shared" si="560"/>
        <v>='C:\Users\jaime.benazar\Quorum Business Solutions\Ecopetrol Prometeo - Documents\Planning Space Implementation\3. Analysis &amp; Design\Design\FC22\DRR Jaime\QUIFA-CAJÚA\Cajua\[VAS_CAJUA_CF_SEC_20230125.xlsx]CF PS'!$CT$68</v>
      </c>
      <c r="J2504" s="1" t="s">
        <v>1234</v>
      </c>
    </row>
    <row r="2505" spans="1:10" x14ac:dyDescent="0.25">
      <c r="A2505" s="6" t="s">
        <v>34</v>
      </c>
      <c r="B2505" s="6">
        <f t="shared" si="561"/>
        <v>2056</v>
      </c>
      <c r="C2505" s="1" t="s">
        <v>20</v>
      </c>
      <c r="D2505" s="2" t="s">
        <v>128</v>
      </c>
      <c r="E2505" s="9" t="str">
        <f t="shared" si="557"/>
        <v>PS'!</v>
      </c>
      <c r="F2505" s="5" t="str">
        <f t="shared" si="558"/>
        <v>C:\Users\jaime.benazar\Quorum Business Solutions\Ecopetrol Prometeo - Documents\Planning Space Implementation\3. Analysis &amp; Design\Design\FC22\DRR Jaime\QUIFA-CAJÚA\Cajua\[VAS_CAJUA_CF_SEC_20230125.xlsx]CF PS'!</v>
      </c>
      <c r="G2505" s="6" t="s">
        <v>40</v>
      </c>
      <c r="H2505" s="1">
        <f t="shared" si="559"/>
        <v>69</v>
      </c>
      <c r="I2505" s="1" t="str">
        <f t="shared" si="560"/>
        <v>='C:\Users\jaime.benazar\Quorum Business Solutions\Ecopetrol Prometeo - Documents\Planning Space Implementation\3. Analysis &amp; Design\Design\FC22\DRR Jaime\QUIFA-CAJÚA\Cajua\[VAS_CAJUA_CF_SEC_20230125.xlsx]CF PS'!$CT$69</v>
      </c>
      <c r="J2505" s="1" t="s">
        <v>1235</v>
      </c>
    </row>
    <row r="2506" spans="1:10" x14ac:dyDescent="0.25">
      <c r="A2506" s="6" t="s">
        <v>34</v>
      </c>
      <c r="B2506" s="6">
        <f t="shared" si="561"/>
        <v>2057</v>
      </c>
      <c r="C2506" s="1" t="s">
        <v>20</v>
      </c>
      <c r="D2506" s="2" t="s">
        <v>128</v>
      </c>
      <c r="E2506" s="9" t="str">
        <f t="shared" si="557"/>
        <v>PS'!</v>
      </c>
      <c r="F2506" s="5" t="str">
        <f t="shared" si="558"/>
        <v>C:\Users\jaime.benazar\Quorum Business Solutions\Ecopetrol Prometeo - Documents\Planning Space Implementation\3. Analysis &amp; Design\Design\FC22\DRR Jaime\QUIFA-CAJÚA\Cajua\[VAS_CAJUA_CF_SEC_20230125.xlsx]CF PS'!</v>
      </c>
      <c r="G2506" s="6" t="s">
        <v>40</v>
      </c>
      <c r="H2506" s="1">
        <f t="shared" si="559"/>
        <v>70</v>
      </c>
      <c r="I2506" s="1" t="str">
        <f t="shared" si="560"/>
        <v>='C:\Users\jaime.benazar\Quorum Business Solutions\Ecopetrol Prometeo - Documents\Planning Space Implementation\3. Analysis &amp; Design\Design\FC22\DRR Jaime\QUIFA-CAJÚA\Cajua\[VAS_CAJUA_CF_SEC_20230125.xlsx]CF PS'!$CT$70</v>
      </c>
      <c r="J2506" s="1" t="s">
        <v>1236</v>
      </c>
    </row>
    <row r="2507" spans="1:10" x14ac:dyDescent="0.25">
      <c r="A2507" s="6" t="s">
        <v>34</v>
      </c>
      <c r="B2507" s="6">
        <f t="shared" si="561"/>
        <v>2058</v>
      </c>
      <c r="C2507" s="1" t="s">
        <v>20</v>
      </c>
      <c r="D2507" s="2" t="s">
        <v>128</v>
      </c>
      <c r="E2507" s="9" t="str">
        <f t="shared" si="557"/>
        <v>PS'!</v>
      </c>
      <c r="F2507" s="5" t="str">
        <f t="shared" si="558"/>
        <v>C:\Users\jaime.benazar\Quorum Business Solutions\Ecopetrol Prometeo - Documents\Planning Space Implementation\3. Analysis &amp; Design\Design\FC22\DRR Jaime\QUIFA-CAJÚA\Cajua\[VAS_CAJUA_CF_SEC_20230125.xlsx]CF PS'!</v>
      </c>
      <c r="G2507" s="6" t="s">
        <v>40</v>
      </c>
      <c r="H2507" s="1">
        <f t="shared" si="559"/>
        <v>71</v>
      </c>
      <c r="I2507" s="1" t="str">
        <f t="shared" si="560"/>
        <v>='C:\Users\jaime.benazar\Quorum Business Solutions\Ecopetrol Prometeo - Documents\Planning Space Implementation\3. Analysis &amp; Design\Design\FC22\DRR Jaime\QUIFA-CAJÚA\Cajua\[VAS_CAJUA_CF_SEC_20230125.xlsx]CF PS'!$CT$71</v>
      </c>
      <c r="J2507" s="1" t="s">
        <v>1237</v>
      </c>
    </row>
    <row r="2508" spans="1:10" x14ac:dyDescent="0.25">
      <c r="A2508" s="6" t="s">
        <v>34</v>
      </c>
      <c r="B2508" s="6">
        <f t="shared" si="561"/>
        <v>2059</v>
      </c>
      <c r="C2508" s="1" t="s">
        <v>20</v>
      </c>
      <c r="D2508" s="2" t="s">
        <v>128</v>
      </c>
      <c r="E2508" s="9" t="str">
        <f t="shared" si="557"/>
        <v>PS'!</v>
      </c>
      <c r="F2508" s="5" t="str">
        <f t="shared" si="558"/>
        <v>C:\Users\jaime.benazar\Quorum Business Solutions\Ecopetrol Prometeo - Documents\Planning Space Implementation\3. Analysis &amp; Design\Design\FC22\DRR Jaime\QUIFA-CAJÚA\Cajua\[VAS_CAJUA_CF_SEC_20230125.xlsx]CF PS'!</v>
      </c>
      <c r="G2508" s="6" t="s">
        <v>40</v>
      </c>
      <c r="H2508" s="1">
        <f t="shared" si="559"/>
        <v>72</v>
      </c>
      <c r="I2508" s="1" t="str">
        <f t="shared" si="560"/>
        <v>='C:\Users\jaime.benazar\Quorum Business Solutions\Ecopetrol Prometeo - Documents\Planning Space Implementation\3. Analysis &amp; Design\Design\FC22\DRR Jaime\QUIFA-CAJÚA\Cajua\[VAS_CAJUA_CF_SEC_20230125.xlsx]CF PS'!$CT$72</v>
      </c>
      <c r="J2508" s="1" t="s">
        <v>1238</v>
      </c>
    </row>
    <row r="2509" spans="1:10" x14ac:dyDescent="0.25">
      <c r="A2509" s="6" t="s">
        <v>28</v>
      </c>
      <c r="B2509" s="6"/>
      <c r="C2509" s="1" t="s">
        <v>20</v>
      </c>
      <c r="D2509" s="2"/>
      <c r="E2509" s="9"/>
      <c r="F2509" s="2"/>
      <c r="G2509" s="6"/>
      <c r="H2509" s="1"/>
      <c r="I2509" s="1"/>
      <c r="J2509" s="4"/>
    </row>
    <row r="2510" spans="1:10" x14ac:dyDescent="0.25">
      <c r="A2510" s="7" t="s">
        <v>1</v>
      </c>
      <c r="B2510" s="7">
        <v>2023</v>
      </c>
      <c r="C2510" s="4" t="s">
        <v>23</v>
      </c>
      <c r="D2510" s="5" t="s">
        <v>128</v>
      </c>
      <c r="E2510" s="10" t="str">
        <f t="shared" ref="E2510:E2530" si="562">_xlfn.CONCAT(A2510,"'!")</f>
        <v>PDP'!</v>
      </c>
      <c r="F2510" s="5" t="str">
        <f t="shared" ref="F2510:F2568" si="563">_xlfn.CONCAT(D2510," ",E2510)</f>
        <v>C:\Users\jaime.benazar\Quorum Business Solutions\Ecopetrol Prometeo - Documents\Planning Space Implementation\3. Analysis &amp; Design\Design\FC22\DRR Jaime\QUIFA-CAJÚA\Cajua\[VAS_CAJUA_CF_SEC_20230125.xlsx]CF PDP'!</v>
      </c>
      <c r="G2510" s="7" t="s">
        <v>41</v>
      </c>
      <c r="H2510" s="4">
        <f>IF(A2510&lt;&gt;A2380,36,H2380+1)</f>
        <v>36</v>
      </c>
      <c r="I2510" s="4" t="str">
        <f t="shared" ref="I2510:I2530" si="564">_xlfn.CONCAT("='",F2510:H2510)</f>
        <v>='C:\Users\jaime.benazar\Quorum Business Solutions\Ecopetrol Prometeo - Documents\Planning Space Implementation\3. Analysis &amp; Design\Design\FC22\DRR Jaime\QUIFA-CAJÚA\Cajua\[VAS_CAJUA_CF_SEC_20230125.xlsx]CF PDP'!$DN$36</v>
      </c>
      <c r="J2510" s="4" t="s">
        <v>1239</v>
      </c>
    </row>
    <row r="2511" spans="1:10" x14ac:dyDescent="0.25">
      <c r="A2511" s="7" t="s">
        <v>1</v>
      </c>
      <c r="B2511" s="7">
        <f>+B2510+1</f>
        <v>2024</v>
      </c>
      <c r="C2511" s="4" t="s">
        <v>23</v>
      </c>
      <c r="D2511" s="5" t="s">
        <v>128</v>
      </c>
      <c r="E2511" s="10" t="str">
        <f t="shared" si="562"/>
        <v>PDP'!</v>
      </c>
      <c r="F2511" s="5" t="str">
        <f t="shared" si="563"/>
        <v>C:\Users\jaime.benazar\Quorum Business Solutions\Ecopetrol Prometeo - Documents\Planning Space Implementation\3. Analysis &amp; Design\Design\FC22\DRR Jaime\QUIFA-CAJÚA\Cajua\[VAS_CAJUA_CF_SEC_20230125.xlsx]CF PDP'!</v>
      </c>
      <c r="G2511" s="7" t="s">
        <v>41</v>
      </c>
      <c r="H2511" s="4">
        <f t="shared" ref="H2511:H2530" si="565">IF(A2511&lt;&gt;A2510,36,H2510+1)</f>
        <v>37</v>
      </c>
      <c r="I2511" s="4" t="str">
        <f t="shared" si="564"/>
        <v>='C:\Users\jaime.benazar\Quorum Business Solutions\Ecopetrol Prometeo - Documents\Planning Space Implementation\3. Analysis &amp; Design\Design\FC22\DRR Jaime\QUIFA-CAJÚA\Cajua\[VAS_CAJUA_CF_SEC_20230125.xlsx]CF PDP'!$DN$37</v>
      </c>
      <c r="J2511" s="4" t="s">
        <v>1240</v>
      </c>
    </row>
    <row r="2512" spans="1:10" x14ac:dyDescent="0.25">
      <c r="A2512" s="7" t="s">
        <v>1</v>
      </c>
      <c r="B2512" s="7">
        <f t="shared" ref="B2512:B2523" si="566">+B2511+1</f>
        <v>2025</v>
      </c>
      <c r="C2512" s="4" t="s">
        <v>23</v>
      </c>
      <c r="D2512" s="5" t="s">
        <v>128</v>
      </c>
      <c r="E2512" s="10" t="str">
        <f t="shared" si="562"/>
        <v>PDP'!</v>
      </c>
      <c r="F2512" s="5" t="str">
        <f t="shared" si="563"/>
        <v>C:\Users\jaime.benazar\Quorum Business Solutions\Ecopetrol Prometeo - Documents\Planning Space Implementation\3. Analysis &amp; Design\Design\FC22\DRR Jaime\QUIFA-CAJÚA\Cajua\[VAS_CAJUA_CF_SEC_20230125.xlsx]CF PDP'!</v>
      </c>
      <c r="G2512" s="7" t="s">
        <v>41</v>
      </c>
      <c r="H2512" s="4">
        <f t="shared" si="565"/>
        <v>38</v>
      </c>
      <c r="I2512" s="4" t="str">
        <f t="shared" si="564"/>
        <v>='C:\Users\jaime.benazar\Quorum Business Solutions\Ecopetrol Prometeo - Documents\Planning Space Implementation\3. Analysis &amp; Design\Design\FC22\DRR Jaime\QUIFA-CAJÚA\Cajua\[VAS_CAJUA_CF_SEC_20230125.xlsx]CF PDP'!$DN$38</v>
      </c>
      <c r="J2512" s="4" t="s">
        <v>1241</v>
      </c>
    </row>
    <row r="2513" spans="1:10" x14ac:dyDescent="0.25">
      <c r="A2513" s="7" t="s">
        <v>1</v>
      </c>
      <c r="B2513" s="7">
        <f t="shared" si="566"/>
        <v>2026</v>
      </c>
      <c r="C2513" s="4" t="s">
        <v>23</v>
      </c>
      <c r="D2513" s="5" t="s">
        <v>128</v>
      </c>
      <c r="E2513" s="10" t="str">
        <f t="shared" si="562"/>
        <v>PDP'!</v>
      </c>
      <c r="F2513" s="5" t="str">
        <f t="shared" si="563"/>
        <v>C:\Users\jaime.benazar\Quorum Business Solutions\Ecopetrol Prometeo - Documents\Planning Space Implementation\3. Analysis &amp; Design\Design\FC22\DRR Jaime\QUIFA-CAJÚA\Cajua\[VAS_CAJUA_CF_SEC_20230125.xlsx]CF PDP'!</v>
      </c>
      <c r="G2513" s="7" t="s">
        <v>41</v>
      </c>
      <c r="H2513" s="4">
        <f t="shared" si="565"/>
        <v>39</v>
      </c>
      <c r="I2513" s="4" t="str">
        <f t="shared" si="564"/>
        <v>='C:\Users\jaime.benazar\Quorum Business Solutions\Ecopetrol Prometeo - Documents\Planning Space Implementation\3. Analysis &amp; Design\Design\FC22\DRR Jaime\QUIFA-CAJÚA\Cajua\[VAS_CAJUA_CF_SEC_20230125.xlsx]CF PDP'!$DN$39</v>
      </c>
      <c r="J2513" s="4" t="s">
        <v>1242</v>
      </c>
    </row>
    <row r="2514" spans="1:10" x14ac:dyDescent="0.25">
      <c r="A2514" s="7" t="s">
        <v>1</v>
      </c>
      <c r="B2514" s="7">
        <f t="shared" si="566"/>
        <v>2027</v>
      </c>
      <c r="C2514" s="4" t="s">
        <v>23</v>
      </c>
      <c r="D2514" s="5" t="s">
        <v>128</v>
      </c>
      <c r="E2514" s="10" t="str">
        <f t="shared" si="562"/>
        <v>PDP'!</v>
      </c>
      <c r="F2514" s="5" t="str">
        <f t="shared" si="563"/>
        <v>C:\Users\jaime.benazar\Quorum Business Solutions\Ecopetrol Prometeo - Documents\Planning Space Implementation\3. Analysis &amp; Design\Design\FC22\DRR Jaime\QUIFA-CAJÚA\Cajua\[VAS_CAJUA_CF_SEC_20230125.xlsx]CF PDP'!</v>
      </c>
      <c r="G2514" s="7" t="s">
        <v>41</v>
      </c>
      <c r="H2514" s="4">
        <f t="shared" si="565"/>
        <v>40</v>
      </c>
      <c r="I2514" s="4" t="str">
        <f t="shared" si="564"/>
        <v>='C:\Users\jaime.benazar\Quorum Business Solutions\Ecopetrol Prometeo - Documents\Planning Space Implementation\3. Analysis &amp; Design\Design\FC22\DRR Jaime\QUIFA-CAJÚA\Cajua\[VAS_CAJUA_CF_SEC_20230125.xlsx]CF PDP'!$DN$40</v>
      </c>
      <c r="J2514" s="4" t="s">
        <v>1243</v>
      </c>
    </row>
    <row r="2515" spans="1:10" x14ac:dyDescent="0.25">
      <c r="A2515" s="7" t="s">
        <v>1</v>
      </c>
      <c r="B2515" s="7">
        <f t="shared" si="566"/>
        <v>2028</v>
      </c>
      <c r="C2515" s="4" t="s">
        <v>23</v>
      </c>
      <c r="D2515" s="5" t="s">
        <v>128</v>
      </c>
      <c r="E2515" s="10" t="str">
        <f t="shared" si="562"/>
        <v>PDP'!</v>
      </c>
      <c r="F2515" s="5" t="str">
        <f t="shared" si="563"/>
        <v>C:\Users\jaime.benazar\Quorum Business Solutions\Ecopetrol Prometeo - Documents\Planning Space Implementation\3. Analysis &amp; Design\Design\FC22\DRR Jaime\QUIFA-CAJÚA\Cajua\[VAS_CAJUA_CF_SEC_20230125.xlsx]CF PDP'!</v>
      </c>
      <c r="G2515" s="7" t="s">
        <v>41</v>
      </c>
      <c r="H2515" s="4">
        <f t="shared" si="565"/>
        <v>41</v>
      </c>
      <c r="I2515" s="4" t="str">
        <f t="shared" si="564"/>
        <v>='C:\Users\jaime.benazar\Quorum Business Solutions\Ecopetrol Prometeo - Documents\Planning Space Implementation\3. Analysis &amp; Design\Design\FC22\DRR Jaime\QUIFA-CAJÚA\Cajua\[VAS_CAJUA_CF_SEC_20230125.xlsx]CF PDP'!$DN$41</v>
      </c>
      <c r="J2515" s="4" t="s">
        <v>1244</v>
      </c>
    </row>
    <row r="2516" spans="1:10" x14ac:dyDescent="0.25">
      <c r="A2516" s="7" t="s">
        <v>1</v>
      </c>
      <c r="B2516" s="7">
        <f t="shared" si="566"/>
        <v>2029</v>
      </c>
      <c r="C2516" s="4" t="s">
        <v>23</v>
      </c>
      <c r="D2516" s="5" t="s">
        <v>128</v>
      </c>
      <c r="E2516" s="10" t="str">
        <f t="shared" si="562"/>
        <v>PDP'!</v>
      </c>
      <c r="F2516" s="5" t="str">
        <f t="shared" si="563"/>
        <v>C:\Users\jaime.benazar\Quorum Business Solutions\Ecopetrol Prometeo - Documents\Planning Space Implementation\3. Analysis &amp; Design\Design\FC22\DRR Jaime\QUIFA-CAJÚA\Cajua\[VAS_CAJUA_CF_SEC_20230125.xlsx]CF PDP'!</v>
      </c>
      <c r="G2516" s="7" t="s">
        <v>41</v>
      </c>
      <c r="H2516" s="4">
        <f t="shared" si="565"/>
        <v>42</v>
      </c>
      <c r="I2516" s="4" t="str">
        <f t="shared" si="564"/>
        <v>='C:\Users\jaime.benazar\Quorum Business Solutions\Ecopetrol Prometeo - Documents\Planning Space Implementation\3. Analysis &amp; Design\Design\FC22\DRR Jaime\QUIFA-CAJÚA\Cajua\[VAS_CAJUA_CF_SEC_20230125.xlsx]CF PDP'!$DN$42</v>
      </c>
      <c r="J2516" s="4" t="s">
        <v>1245</v>
      </c>
    </row>
    <row r="2517" spans="1:10" x14ac:dyDescent="0.25">
      <c r="A2517" s="7" t="s">
        <v>1</v>
      </c>
      <c r="B2517" s="7">
        <f t="shared" si="566"/>
        <v>2030</v>
      </c>
      <c r="C2517" s="4" t="s">
        <v>23</v>
      </c>
      <c r="D2517" s="5" t="s">
        <v>128</v>
      </c>
      <c r="E2517" s="10" t="str">
        <f t="shared" si="562"/>
        <v>PDP'!</v>
      </c>
      <c r="F2517" s="5" t="str">
        <f t="shared" si="563"/>
        <v>C:\Users\jaime.benazar\Quorum Business Solutions\Ecopetrol Prometeo - Documents\Planning Space Implementation\3. Analysis &amp; Design\Design\FC22\DRR Jaime\QUIFA-CAJÚA\Cajua\[VAS_CAJUA_CF_SEC_20230125.xlsx]CF PDP'!</v>
      </c>
      <c r="G2517" s="7" t="s">
        <v>41</v>
      </c>
      <c r="H2517" s="4">
        <f t="shared" si="565"/>
        <v>43</v>
      </c>
      <c r="I2517" s="4" t="str">
        <f t="shared" si="564"/>
        <v>='C:\Users\jaime.benazar\Quorum Business Solutions\Ecopetrol Prometeo - Documents\Planning Space Implementation\3. Analysis &amp; Design\Design\FC22\DRR Jaime\QUIFA-CAJÚA\Cajua\[VAS_CAJUA_CF_SEC_20230125.xlsx]CF PDP'!$DN$43</v>
      </c>
      <c r="J2517" s="4" t="s">
        <v>1246</v>
      </c>
    </row>
    <row r="2518" spans="1:10" x14ac:dyDescent="0.25">
      <c r="A2518" s="7" t="s">
        <v>1</v>
      </c>
      <c r="B2518" s="7">
        <f t="shared" si="566"/>
        <v>2031</v>
      </c>
      <c r="C2518" s="4" t="s">
        <v>23</v>
      </c>
      <c r="D2518" s="5" t="s">
        <v>128</v>
      </c>
      <c r="E2518" s="10" t="str">
        <f t="shared" si="562"/>
        <v>PDP'!</v>
      </c>
      <c r="F2518" s="5" t="str">
        <f t="shared" si="563"/>
        <v>C:\Users\jaime.benazar\Quorum Business Solutions\Ecopetrol Prometeo - Documents\Planning Space Implementation\3. Analysis &amp; Design\Design\FC22\DRR Jaime\QUIFA-CAJÚA\Cajua\[VAS_CAJUA_CF_SEC_20230125.xlsx]CF PDP'!</v>
      </c>
      <c r="G2518" s="7" t="s">
        <v>41</v>
      </c>
      <c r="H2518" s="4">
        <f t="shared" si="565"/>
        <v>44</v>
      </c>
      <c r="I2518" s="4" t="str">
        <f t="shared" si="564"/>
        <v>='C:\Users\jaime.benazar\Quorum Business Solutions\Ecopetrol Prometeo - Documents\Planning Space Implementation\3. Analysis &amp; Design\Design\FC22\DRR Jaime\QUIFA-CAJÚA\Cajua\[VAS_CAJUA_CF_SEC_20230125.xlsx]CF PDP'!$DN$44</v>
      </c>
      <c r="J2518" s="4" t="s">
        <v>1247</v>
      </c>
    </row>
    <row r="2519" spans="1:10" x14ac:dyDescent="0.25">
      <c r="A2519" s="7" t="s">
        <v>1</v>
      </c>
      <c r="B2519" s="7">
        <f t="shared" si="566"/>
        <v>2032</v>
      </c>
      <c r="C2519" s="4" t="s">
        <v>23</v>
      </c>
      <c r="D2519" s="5" t="s">
        <v>128</v>
      </c>
      <c r="E2519" s="10" t="str">
        <f t="shared" si="562"/>
        <v>PDP'!</v>
      </c>
      <c r="F2519" s="5" t="str">
        <f t="shared" si="563"/>
        <v>C:\Users\jaime.benazar\Quorum Business Solutions\Ecopetrol Prometeo - Documents\Planning Space Implementation\3. Analysis &amp; Design\Design\FC22\DRR Jaime\QUIFA-CAJÚA\Cajua\[VAS_CAJUA_CF_SEC_20230125.xlsx]CF PDP'!</v>
      </c>
      <c r="G2519" s="7" t="s">
        <v>41</v>
      </c>
      <c r="H2519" s="4">
        <f t="shared" si="565"/>
        <v>45</v>
      </c>
      <c r="I2519" s="4" t="str">
        <f t="shared" si="564"/>
        <v>='C:\Users\jaime.benazar\Quorum Business Solutions\Ecopetrol Prometeo - Documents\Planning Space Implementation\3. Analysis &amp; Design\Design\FC22\DRR Jaime\QUIFA-CAJÚA\Cajua\[VAS_CAJUA_CF_SEC_20230125.xlsx]CF PDP'!$DN$45</v>
      </c>
      <c r="J2519" s="4" t="s">
        <v>1248</v>
      </c>
    </row>
    <row r="2520" spans="1:10" x14ac:dyDescent="0.25">
      <c r="A2520" s="7" t="s">
        <v>1</v>
      </c>
      <c r="B2520" s="7">
        <f t="shared" si="566"/>
        <v>2033</v>
      </c>
      <c r="C2520" s="4" t="s">
        <v>23</v>
      </c>
      <c r="D2520" s="5" t="s">
        <v>128</v>
      </c>
      <c r="E2520" s="10" t="str">
        <f t="shared" si="562"/>
        <v>PDP'!</v>
      </c>
      <c r="F2520" s="5" t="str">
        <f t="shared" si="563"/>
        <v>C:\Users\jaime.benazar\Quorum Business Solutions\Ecopetrol Prometeo - Documents\Planning Space Implementation\3. Analysis &amp; Design\Design\FC22\DRR Jaime\QUIFA-CAJÚA\Cajua\[VAS_CAJUA_CF_SEC_20230125.xlsx]CF PDP'!</v>
      </c>
      <c r="G2520" s="7" t="s">
        <v>41</v>
      </c>
      <c r="H2520" s="4">
        <f t="shared" si="565"/>
        <v>46</v>
      </c>
      <c r="I2520" s="4" t="str">
        <f t="shared" si="564"/>
        <v>='C:\Users\jaime.benazar\Quorum Business Solutions\Ecopetrol Prometeo - Documents\Planning Space Implementation\3. Analysis &amp; Design\Design\FC22\DRR Jaime\QUIFA-CAJÚA\Cajua\[VAS_CAJUA_CF_SEC_20230125.xlsx]CF PDP'!$DN$46</v>
      </c>
      <c r="J2520" s="4" t="s">
        <v>1249</v>
      </c>
    </row>
    <row r="2521" spans="1:10" x14ac:dyDescent="0.25">
      <c r="A2521" s="7" t="s">
        <v>1</v>
      </c>
      <c r="B2521" s="7">
        <f t="shared" si="566"/>
        <v>2034</v>
      </c>
      <c r="C2521" s="4" t="s">
        <v>23</v>
      </c>
      <c r="D2521" s="5" t="s">
        <v>128</v>
      </c>
      <c r="E2521" s="10" t="str">
        <f t="shared" si="562"/>
        <v>PDP'!</v>
      </c>
      <c r="F2521" s="5" t="str">
        <f t="shared" si="563"/>
        <v>C:\Users\jaime.benazar\Quorum Business Solutions\Ecopetrol Prometeo - Documents\Planning Space Implementation\3. Analysis &amp; Design\Design\FC22\DRR Jaime\QUIFA-CAJÚA\Cajua\[VAS_CAJUA_CF_SEC_20230125.xlsx]CF PDP'!</v>
      </c>
      <c r="G2521" s="7" t="s">
        <v>41</v>
      </c>
      <c r="H2521" s="4">
        <f t="shared" si="565"/>
        <v>47</v>
      </c>
      <c r="I2521" s="4" t="str">
        <f t="shared" si="564"/>
        <v>='C:\Users\jaime.benazar\Quorum Business Solutions\Ecopetrol Prometeo - Documents\Planning Space Implementation\3. Analysis &amp; Design\Design\FC22\DRR Jaime\QUIFA-CAJÚA\Cajua\[VAS_CAJUA_CF_SEC_20230125.xlsx]CF PDP'!$DN$47</v>
      </c>
      <c r="J2521" s="4" t="s">
        <v>1250</v>
      </c>
    </row>
    <row r="2522" spans="1:10" x14ac:dyDescent="0.25">
      <c r="A2522" s="7" t="s">
        <v>1</v>
      </c>
      <c r="B2522" s="7">
        <f t="shared" si="566"/>
        <v>2035</v>
      </c>
      <c r="C2522" s="4" t="s">
        <v>23</v>
      </c>
      <c r="D2522" s="5" t="s">
        <v>128</v>
      </c>
      <c r="E2522" s="10" t="str">
        <f t="shared" si="562"/>
        <v>PDP'!</v>
      </c>
      <c r="F2522" s="5" t="str">
        <f t="shared" si="563"/>
        <v>C:\Users\jaime.benazar\Quorum Business Solutions\Ecopetrol Prometeo - Documents\Planning Space Implementation\3. Analysis &amp; Design\Design\FC22\DRR Jaime\QUIFA-CAJÚA\Cajua\[VAS_CAJUA_CF_SEC_20230125.xlsx]CF PDP'!</v>
      </c>
      <c r="G2522" s="7" t="s">
        <v>41</v>
      </c>
      <c r="H2522" s="4">
        <f t="shared" si="565"/>
        <v>48</v>
      </c>
      <c r="I2522" s="4" t="str">
        <f t="shared" si="564"/>
        <v>='C:\Users\jaime.benazar\Quorum Business Solutions\Ecopetrol Prometeo - Documents\Planning Space Implementation\3. Analysis &amp; Design\Design\FC22\DRR Jaime\QUIFA-CAJÚA\Cajua\[VAS_CAJUA_CF_SEC_20230125.xlsx]CF PDP'!$DN$48</v>
      </c>
      <c r="J2522" s="4" t="s">
        <v>1251</v>
      </c>
    </row>
    <row r="2523" spans="1:10" x14ac:dyDescent="0.25">
      <c r="A2523" s="7" t="s">
        <v>1</v>
      </c>
      <c r="B2523" s="7">
        <f t="shared" si="566"/>
        <v>2036</v>
      </c>
      <c r="C2523" s="4" t="s">
        <v>23</v>
      </c>
      <c r="D2523" s="5" t="s">
        <v>128</v>
      </c>
      <c r="E2523" s="10" t="str">
        <f t="shared" si="562"/>
        <v>PDP'!</v>
      </c>
      <c r="F2523" s="5" t="str">
        <f t="shared" si="563"/>
        <v>C:\Users\jaime.benazar\Quorum Business Solutions\Ecopetrol Prometeo - Documents\Planning Space Implementation\3. Analysis &amp; Design\Design\FC22\DRR Jaime\QUIFA-CAJÚA\Cajua\[VAS_CAJUA_CF_SEC_20230125.xlsx]CF PDP'!</v>
      </c>
      <c r="G2523" s="7" t="s">
        <v>41</v>
      </c>
      <c r="H2523" s="4">
        <f t="shared" si="565"/>
        <v>49</v>
      </c>
      <c r="I2523" s="4" t="str">
        <f t="shared" si="564"/>
        <v>='C:\Users\jaime.benazar\Quorum Business Solutions\Ecopetrol Prometeo - Documents\Planning Space Implementation\3. Analysis &amp; Design\Design\FC22\DRR Jaime\QUIFA-CAJÚA\Cajua\[VAS_CAJUA_CF_SEC_20230125.xlsx]CF PDP'!$DN$49</v>
      </c>
      <c r="J2523" s="4" t="s">
        <v>1252</v>
      </c>
    </row>
    <row r="2524" spans="1:10" x14ac:dyDescent="0.25">
      <c r="A2524" s="7" t="s">
        <v>1</v>
      </c>
      <c r="B2524" s="7">
        <f>+B2523+1</f>
        <v>2037</v>
      </c>
      <c r="C2524" s="4" t="s">
        <v>23</v>
      </c>
      <c r="D2524" s="5" t="s">
        <v>128</v>
      </c>
      <c r="E2524" s="10" t="str">
        <f t="shared" si="562"/>
        <v>PDP'!</v>
      </c>
      <c r="F2524" s="5" t="str">
        <f t="shared" si="563"/>
        <v>C:\Users\jaime.benazar\Quorum Business Solutions\Ecopetrol Prometeo - Documents\Planning Space Implementation\3. Analysis &amp; Design\Design\FC22\DRR Jaime\QUIFA-CAJÚA\Cajua\[VAS_CAJUA_CF_SEC_20230125.xlsx]CF PDP'!</v>
      </c>
      <c r="G2524" s="7" t="s">
        <v>41</v>
      </c>
      <c r="H2524" s="4">
        <f t="shared" si="565"/>
        <v>50</v>
      </c>
      <c r="I2524" s="4" t="str">
        <f t="shared" si="564"/>
        <v>='C:\Users\jaime.benazar\Quorum Business Solutions\Ecopetrol Prometeo - Documents\Planning Space Implementation\3. Analysis &amp; Design\Design\FC22\DRR Jaime\QUIFA-CAJÚA\Cajua\[VAS_CAJUA_CF_SEC_20230125.xlsx]CF PDP'!$DN$50</v>
      </c>
      <c r="J2524" s="4" t="s">
        <v>1253</v>
      </c>
    </row>
    <row r="2525" spans="1:10" x14ac:dyDescent="0.25">
      <c r="A2525" s="7" t="s">
        <v>1</v>
      </c>
      <c r="B2525" s="7">
        <f t="shared" ref="B2525:B2527" si="567">+B2524+1</f>
        <v>2038</v>
      </c>
      <c r="C2525" s="4" t="s">
        <v>23</v>
      </c>
      <c r="D2525" s="5" t="s">
        <v>128</v>
      </c>
      <c r="E2525" s="10" t="str">
        <f t="shared" si="562"/>
        <v>PDP'!</v>
      </c>
      <c r="F2525" s="5" t="str">
        <f t="shared" si="563"/>
        <v>C:\Users\jaime.benazar\Quorum Business Solutions\Ecopetrol Prometeo - Documents\Planning Space Implementation\3. Analysis &amp; Design\Design\FC22\DRR Jaime\QUIFA-CAJÚA\Cajua\[VAS_CAJUA_CF_SEC_20230125.xlsx]CF PDP'!</v>
      </c>
      <c r="G2525" s="7" t="s">
        <v>41</v>
      </c>
      <c r="H2525" s="4">
        <f t="shared" si="565"/>
        <v>51</v>
      </c>
      <c r="I2525" s="4" t="str">
        <f t="shared" si="564"/>
        <v>='C:\Users\jaime.benazar\Quorum Business Solutions\Ecopetrol Prometeo - Documents\Planning Space Implementation\3. Analysis &amp; Design\Design\FC22\DRR Jaime\QUIFA-CAJÚA\Cajua\[VAS_CAJUA_CF_SEC_20230125.xlsx]CF PDP'!$DN$51</v>
      </c>
      <c r="J2525" s="4" t="s">
        <v>1254</v>
      </c>
    </row>
    <row r="2526" spans="1:10" x14ac:dyDescent="0.25">
      <c r="A2526" s="7" t="s">
        <v>1</v>
      </c>
      <c r="B2526" s="7">
        <f t="shared" si="567"/>
        <v>2039</v>
      </c>
      <c r="C2526" s="4" t="s">
        <v>23</v>
      </c>
      <c r="D2526" s="5" t="s">
        <v>128</v>
      </c>
      <c r="E2526" s="10" t="str">
        <f t="shared" si="562"/>
        <v>PDP'!</v>
      </c>
      <c r="F2526" s="5" t="str">
        <f t="shared" si="563"/>
        <v>C:\Users\jaime.benazar\Quorum Business Solutions\Ecopetrol Prometeo - Documents\Planning Space Implementation\3. Analysis &amp; Design\Design\FC22\DRR Jaime\QUIFA-CAJÚA\Cajua\[VAS_CAJUA_CF_SEC_20230125.xlsx]CF PDP'!</v>
      </c>
      <c r="G2526" s="7" t="s">
        <v>41</v>
      </c>
      <c r="H2526" s="4">
        <f t="shared" si="565"/>
        <v>52</v>
      </c>
      <c r="I2526" s="4" t="str">
        <f t="shared" si="564"/>
        <v>='C:\Users\jaime.benazar\Quorum Business Solutions\Ecopetrol Prometeo - Documents\Planning Space Implementation\3. Analysis &amp; Design\Design\FC22\DRR Jaime\QUIFA-CAJÚA\Cajua\[VAS_CAJUA_CF_SEC_20230125.xlsx]CF PDP'!$DN$52</v>
      </c>
      <c r="J2526" s="4" t="s">
        <v>1255</v>
      </c>
    </row>
    <row r="2527" spans="1:10" x14ac:dyDescent="0.25">
      <c r="A2527" s="7" t="s">
        <v>1</v>
      </c>
      <c r="B2527" s="7">
        <f t="shared" si="567"/>
        <v>2040</v>
      </c>
      <c r="C2527" s="4" t="s">
        <v>23</v>
      </c>
      <c r="D2527" s="5" t="s">
        <v>128</v>
      </c>
      <c r="E2527" s="10" t="str">
        <f t="shared" si="562"/>
        <v>PDP'!</v>
      </c>
      <c r="F2527" s="5" t="str">
        <f t="shared" si="563"/>
        <v>C:\Users\jaime.benazar\Quorum Business Solutions\Ecopetrol Prometeo - Documents\Planning Space Implementation\3. Analysis &amp; Design\Design\FC22\DRR Jaime\QUIFA-CAJÚA\Cajua\[VAS_CAJUA_CF_SEC_20230125.xlsx]CF PDP'!</v>
      </c>
      <c r="G2527" s="7" t="s">
        <v>41</v>
      </c>
      <c r="H2527" s="4">
        <f t="shared" si="565"/>
        <v>53</v>
      </c>
      <c r="I2527" s="4" t="str">
        <f t="shared" si="564"/>
        <v>='C:\Users\jaime.benazar\Quorum Business Solutions\Ecopetrol Prometeo - Documents\Planning Space Implementation\3. Analysis &amp; Design\Design\FC22\DRR Jaime\QUIFA-CAJÚA\Cajua\[VAS_CAJUA_CF_SEC_20230125.xlsx]CF PDP'!$DN$53</v>
      </c>
      <c r="J2527" s="4" t="s">
        <v>1256</v>
      </c>
    </row>
    <row r="2528" spans="1:10" x14ac:dyDescent="0.25">
      <c r="A2528" s="7" t="s">
        <v>1</v>
      </c>
      <c r="B2528" s="7">
        <f>+B2527+1</f>
        <v>2041</v>
      </c>
      <c r="C2528" s="4" t="s">
        <v>23</v>
      </c>
      <c r="D2528" s="5" t="s">
        <v>128</v>
      </c>
      <c r="E2528" s="10" t="str">
        <f t="shared" si="562"/>
        <v>PDP'!</v>
      </c>
      <c r="F2528" s="5" t="str">
        <f t="shared" si="563"/>
        <v>C:\Users\jaime.benazar\Quorum Business Solutions\Ecopetrol Prometeo - Documents\Planning Space Implementation\3. Analysis &amp; Design\Design\FC22\DRR Jaime\QUIFA-CAJÚA\Cajua\[VAS_CAJUA_CF_SEC_20230125.xlsx]CF PDP'!</v>
      </c>
      <c r="G2528" s="7" t="s">
        <v>41</v>
      </c>
      <c r="H2528" s="4">
        <f t="shared" si="565"/>
        <v>54</v>
      </c>
      <c r="I2528" s="4" t="str">
        <f t="shared" si="564"/>
        <v>='C:\Users\jaime.benazar\Quorum Business Solutions\Ecopetrol Prometeo - Documents\Planning Space Implementation\3. Analysis &amp; Design\Design\FC22\DRR Jaime\QUIFA-CAJÚA\Cajua\[VAS_CAJUA_CF_SEC_20230125.xlsx]CF PDP'!$DN$54</v>
      </c>
      <c r="J2528" s="4" t="s">
        <v>1257</v>
      </c>
    </row>
    <row r="2529" spans="1:10" x14ac:dyDescent="0.25">
      <c r="A2529" s="7" t="s">
        <v>1</v>
      </c>
      <c r="B2529" s="7">
        <f t="shared" ref="B2529:B2530" si="568">+B2528+1</f>
        <v>2042</v>
      </c>
      <c r="C2529" s="4" t="s">
        <v>23</v>
      </c>
      <c r="D2529" s="5" t="s">
        <v>128</v>
      </c>
      <c r="E2529" s="10" t="str">
        <f t="shared" si="562"/>
        <v>PDP'!</v>
      </c>
      <c r="F2529" s="5" t="str">
        <f t="shared" si="563"/>
        <v>C:\Users\jaime.benazar\Quorum Business Solutions\Ecopetrol Prometeo - Documents\Planning Space Implementation\3. Analysis &amp; Design\Design\FC22\DRR Jaime\QUIFA-CAJÚA\Cajua\[VAS_CAJUA_CF_SEC_20230125.xlsx]CF PDP'!</v>
      </c>
      <c r="G2529" s="7" t="s">
        <v>41</v>
      </c>
      <c r="H2529" s="4">
        <f t="shared" si="565"/>
        <v>55</v>
      </c>
      <c r="I2529" s="4" t="str">
        <f t="shared" si="564"/>
        <v>='C:\Users\jaime.benazar\Quorum Business Solutions\Ecopetrol Prometeo - Documents\Planning Space Implementation\3. Analysis &amp; Design\Design\FC22\DRR Jaime\QUIFA-CAJÚA\Cajua\[VAS_CAJUA_CF_SEC_20230125.xlsx]CF PDP'!$DN$55</v>
      </c>
      <c r="J2529" s="4" t="s">
        <v>1258</v>
      </c>
    </row>
    <row r="2530" spans="1:10" x14ac:dyDescent="0.25">
      <c r="A2530" s="7" t="s">
        <v>1</v>
      </c>
      <c r="B2530" s="7">
        <f t="shared" si="568"/>
        <v>2043</v>
      </c>
      <c r="C2530" s="4" t="s">
        <v>23</v>
      </c>
      <c r="D2530" s="5" t="s">
        <v>128</v>
      </c>
      <c r="E2530" s="10" t="str">
        <f t="shared" si="562"/>
        <v>PDP'!</v>
      </c>
      <c r="F2530" s="5" t="str">
        <f t="shared" si="563"/>
        <v>C:\Users\jaime.benazar\Quorum Business Solutions\Ecopetrol Prometeo - Documents\Planning Space Implementation\3. Analysis &amp; Design\Design\FC22\DRR Jaime\QUIFA-CAJÚA\Cajua\[VAS_CAJUA_CF_SEC_20230125.xlsx]CF PDP'!</v>
      </c>
      <c r="G2530" s="7" t="s">
        <v>41</v>
      </c>
      <c r="H2530" s="4">
        <f t="shared" si="565"/>
        <v>56</v>
      </c>
      <c r="I2530" s="4" t="str">
        <f t="shared" si="564"/>
        <v>='C:\Users\jaime.benazar\Quorum Business Solutions\Ecopetrol Prometeo - Documents\Planning Space Implementation\3. Analysis &amp; Design\Design\FC22\DRR Jaime\QUIFA-CAJÚA\Cajua\[VAS_CAJUA_CF_SEC_20230125.xlsx]CF PDP'!$DN$56</v>
      </c>
      <c r="J2530" s="4" t="s">
        <v>1259</v>
      </c>
    </row>
    <row r="2531" spans="1:10" x14ac:dyDescent="0.25">
      <c r="A2531" s="7" t="s">
        <v>1</v>
      </c>
      <c r="B2531" s="7">
        <f>+B2530+1</f>
        <v>2044</v>
      </c>
      <c r="C2531" s="4" t="s">
        <v>23</v>
      </c>
      <c r="D2531" s="5" t="s">
        <v>128</v>
      </c>
      <c r="E2531" s="10" t="str">
        <f t="shared" ref="E2531:E2546" si="569">_xlfn.CONCAT(A2531,"'!")</f>
        <v>PDP'!</v>
      </c>
      <c r="F2531" s="5" t="str">
        <f t="shared" ref="F2531:F2546" si="570">_xlfn.CONCAT(D2531," ",E2531)</f>
        <v>C:\Users\jaime.benazar\Quorum Business Solutions\Ecopetrol Prometeo - Documents\Planning Space Implementation\3. Analysis &amp; Design\Design\FC22\DRR Jaime\QUIFA-CAJÚA\Cajua\[VAS_CAJUA_CF_SEC_20230125.xlsx]CF PDP'!</v>
      </c>
      <c r="G2531" s="7" t="s">
        <v>41</v>
      </c>
      <c r="H2531" s="4">
        <f t="shared" ref="H2531:H2546" si="571">IF(A2531&lt;&gt;A2530,36,H2530+1)</f>
        <v>57</v>
      </c>
      <c r="I2531" s="4" t="str">
        <f t="shared" ref="I2531:I2546" si="572">_xlfn.CONCAT("='",F2531:H2531)</f>
        <v>='C:\Users\jaime.benazar\Quorum Business Solutions\Ecopetrol Prometeo - Documents\Planning Space Implementation\3. Analysis &amp; Design\Design\FC22\DRR Jaime\QUIFA-CAJÚA\Cajua\[VAS_CAJUA_CF_SEC_20230125.xlsx]CF PDP'!$DN$57</v>
      </c>
      <c r="J2531" s="4" t="s">
        <v>1260</v>
      </c>
    </row>
    <row r="2532" spans="1:10" x14ac:dyDescent="0.25">
      <c r="A2532" s="7" t="s">
        <v>1</v>
      </c>
      <c r="B2532" s="7">
        <f t="shared" ref="B2532:B2546" si="573">+B2531+1</f>
        <v>2045</v>
      </c>
      <c r="C2532" s="4" t="s">
        <v>23</v>
      </c>
      <c r="D2532" s="5" t="s">
        <v>128</v>
      </c>
      <c r="E2532" s="10" t="str">
        <f t="shared" si="569"/>
        <v>PDP'!</v>
      </c>
      <c r="F2532" s="5" t="str">
        <f t="shared" si="570"/>
        <v>C:\Users\jaime.benazar\Quorum Business Solutions\Ecopetrol Prometeo - Documents\Planning Space Implementation\3. Analysis &amp; Design\Design\FC22\DRR Jaime\QUIFA-CAJÚA\Cajua\[VAS_CAJUA_CF_SEC_20230125.xlsx]CF PDP'!</v>
      </c>
      <c r="G2532" s="7" t="s">
        <v>41</v>
      </c>
      <c r="H2532" s="4">
        <f t="shared" si="571"/>
        <v>58</v>
      </c>
      <c r="I2532" s="4" t="str">
        <f t="shared" si="572"/>
        <v>='C:\Users\jaime.benazar\Quorum Business Solutions\Ecopetrol Prometeo - Documents\Planning Space Implementation\3. Analysis &amp; Design\Design\FC22\DRR Jaime\QUIFA-CAJÚA\Cajua\[VAS_CAJUA_CF_SEC_20230125.xlsx]CF PDP'!$DN$58</v>
      </c>
      <c r="J2532" s="4" t="s">
        <v>1261</v>
      </c>
    </row>
    <row r="2533" spans="1:10" x14ac:dyDescent="0.25">
      <c r="A2533" s="7" t="s">
        <v>1</v>
      </c>
      <c r="B2533" s="7">
        <f t="shared" si="573"/>
        <v>2046</v>
      </c>
      <c r="C2533" s="4" t="s">
        <v>23</v>
      </c>
      <c r="D2533" s="5" t="s">
        <v>128</v>
      </c>
      <c r="E2533" s="10" t="str">
        <f t="shared" si="569"/>
        <v>PDP'!</v>
      </c>
      <c r="F2533" s="5" t="str">
        <f t="shared" si="570"/>
        <v>C:\Users\jaime.benazar\Quorum Business Solutions\Ecopetrol Prometeo - Documents\Planning Space Implementation\3. Analysis &amp; Design\Design\FC22\DRR Jaime\QUIFA-CAJÚA\Cajua\[VAS_CAJUA_CF_SEC_20230125.xlsx]CF PDP'!</v>
      </c>
      <c r="G2533" s="7" t="s">
        <v>41</v>
      </c>
      <c r="H2533" s="4">
        <f t="shared" si="571"/>
        <v>59</v>
      </c>
      <c r="I2533" s="4" t="str">
        <f t="shared" si="572"/>
        <v>='C:\Users\jaime.benazar\Quorum Business Solutions\Ecopetrol Prometeo - Documents\Planning Space Implementation\3. Analysis &amp; Design\Design\FC22\DRR Jaime\QUIFA-CAJÚA\Cajua\[VAS_CAJUA_CF_SEC_20230125.xlsx]CF PDP'!$DN$59</v>
      </c>
      <c r="J2533" s="4" t="s">
        <v>1262</v>
      </c>
    </row>
    <row r="2534" spans="1:10" x14ac:dyDescent="0.25">
      <c r="A2534" s="7" t="s">
        <v>1</v>
      </c>
      <c r="B2534" s="7">
        <f t="shared" si="573"/>
        <v>2047</v>
      </c>
      <c r="C2534" s="4" t="s">
        <v>23</v>
      </c>
      <c r="D2534" s="5" t="s">
        <v>128</v>
      </c>
      <c r="E2534" s="10" t="str">
        <f t="shared" si="569"/>
        <v>PDP'!</v>
      </c>
      <c r="F2534" s="5" t="str">
        <f t="shared" si="570"/>
        <v>C:\Users\jaime.benazar\Quorum Business Solutions\Ecopetrol Prometeo - Documents\Planning Space Implementation\3. Analysis &amp; Design\Design\FC22\DRR Jaime\QUIFA-CAJÚA\Cajua\[VAS_CAJUA_CF_SEC_20230125.xlsx]CF PDP'!</v>
      </c>
      <c r="G2534" s="7" t="s">
        <v>41</v>
      </c>
      <c r="H2534" s="4">
        <f t="shared" si="571"/>
        <v>60</v>
      </c>
      <c r="I2534" s="4" t="str">
        <f t="shared" si="572"/>
        <v>='C:\Users\jaime.benazar\Quorum Business Solutions\Ecopetrol Prometeo - Documents\Planning Space Implementation\3. Analysis &amp; Design\Design\FC22\DRR Jaime\QUIFA-CAJÚA\Cajua\[VAS_CAJUA_CF_SEC_20230125.xlsx]CF PDP'!$DN$60</v>
      </c>
      <c r="J2534" s="4" t="s">
        <v>1263</v>
      </c>
    </row>
    <row r="2535" spans="1:10" x14ac:dyDescent="0.25">
      <c r="A2535" s="7" t="s">
        <v>1</v>
      </c>
      <c r="B2535" s="7">
        <f t="shared" si="573"/>
        <v>2048</v>
      </c>
      <c r="C2535" s="4" t="s">
        <v>23</v>
      </c>
      <c r="D2535" s="5" t="s">
        <v>128</v>
      </c>
      <c r="E2535" s="10" t="str">
        <f t="shared" si="569"/>
        <v>PDP'!</v>
      </c>
      <c r="F2535" s="5" t="str">
        <f t="shared" si="570"/>
        <v>C:\Users\jaime.benazar\Quorum Business Solutions\Ecopetrol Prometeo - Documents\Planning Space Implementation\3. Analysis &amp; Design\Design\FC22\DRR Jaime\QUIFA-CAJÚA\Cajua\[VAS_CAJUA_CF_SEC_20230125.xlsx]CF PDP'!</v>
      </c>
      <c r="G2535" s="7" t="s">
        <v>41</v>
      </c>
      <c r="H2535" s="4">
        <f t="shared" si="571"/>
        <v>61</v>
      </c>
      <c r="I2535" s="4" t="str">
        <f t="shared" si="572"/>
        <v>='C:\Users\jaime.benazar\Quorum Business Solutions\Ecopetrol Prometeo - Documents\Planning Space Implementation\3. Analysis &amp; Design\Design\FC22\DRR Jaime\QUIFA-CAJÚA\Cajua\[VAS_CAJUA_CF_SEC_20230125.xlsx]CF PDP'!$DN$61</v>
      </c>
      <c r="J2535" s="4" t="s">
        <v>1264</v>
      </c>
    </row>
    <row r="2536" spans="1:10" x14ac:dyDescent="0.25">
      <c r="A2536" s="7" t="s">
        <v>1</v>
      </c>
      <c r="B2536" s="7">
        <f t="shared" si="573"/>
        <v>2049</v>
      </c>
      <c r="C2536" s="4" t="s">
        <v>23</v>
      </c>
      <c r="D2536" s="5" t="s">
        <v>128</v>
      </c>
      <c r="E2536" s="10" t="str">
        <f t="shared" si="569"/>
        <v>PDP'!</v>
      </c>
      <c r="F2536" s="5" t="str">
        <f t="shared" si="570"/>
        <v>C:\Users\jaime.benazar\Quorum Business Solutions\Ecopetrol Prometeo - Documents\Planning Space Implementation\3. Analysis &amp; Design\Design\FC22\DRR Jaime\QUIFA-CAJÚA\Cajua\[VAS_CAJUA_CF_SEC_20230125.xlsx]CF PDP'!</v>
      </c>
      <c r="G2536" s="7" t="s">
        <v>41</v>
      </c>
      <c r="H2536" s="4">
        <f t="shared" si="571"/>
        <v>62</v>
      </c>
      <c r="I2536" s="4" t="str">
        <f t="shared" si="572"/>
        <v>='C:\Users\jaime.benazar\Quorum Business Solutions\Ecopetrol Prometeo - Documents\Planning Space Implementation\3. Analysis &amp; Design\Design\FC22\DRR Jaime\QUIFA-CAJÚA\Cajua\[VAS_CAJUA_CF_SEC_20230125.xlsx]CF PDP'!$DN$62</v>
      </c>
      <c r="J2536" s="4" t="s">
        <v>1265</v>
      </c>
    </row>
    <row r="2537" spans="1:10" x14ac:dyDescent="0.25">
      <c r="A2537" s="7" t="s">
        <v>1</v>
      </c>
      <c r="B2537" s="7">
        <f t="shared" si="573"/>
        <v>2050</v>
      </c>
      <c r="C2537" s="4" t="s">
        <v>23</v>
      </c>
      <c r="D2537" s="5" t="s">
        <v>128</v>
      </c>
      <c r="E2537" s="10" t="str">
        <f t="shared" si="569"/>
        <v>PDP'!</v>
      </c>
      <c r="F2537" s="5" t="str">
        <f t="shared" si="570"/>
        <v>C:\Users\jaime.benazar\Quorum Business Solutions\Ecopetrol Prometeo - Documents\Planning Space Implementation\3. Analysis &amp; Design\Design\FC22\DRR Jaime\QUIFA-CAJÚA\Cajua\[VAS_CAJUA_CF_SEC_20230125.xlsx]CF PDP'!</v>
      </c>
      <c r="G2537" s="7" t="s">
        <v>41</v>
      </c>
      <c r="H2537" s="4">
        <f t="shared" si="571"/>
        <v>63</v>
      </c>
      <c r="I2537" s="4" t="str">
        <f t="shared" si="572"/>
        <v>='C:\Users\jaime.benazar\Quorum Business Solutions\Ecopetrol Prometeo - Documents\Planning Space Implementation\3. Analysis &amp; Design\Design\FC22\DRR Jaime\QUIFA-CAJÚA\Cajua\[VAS_CAJUA_CF_SEC_20230125.xlsx]CF PDP'!$DN$63</v>
      </c>
      <c r="J2537" s="4" t="s">
        <v>1266</v>
      </c>
    </row>
    <row r="2538" spans="1:10" x14ac:dyDescent="0.25">
      <c r="A2538" s="7" t="s">
        <v>1</v>
      </c>
      <c r="B2538" s="7">
        <f t="shared" si="573"/>
        <v>2051</v>
      </c>
      <c r="C2538" s="4" t="s">
        <v>23</v>
      </c>
      <c r="D2538" s="5" t="s">
        <v>128</v>
      </c>
      <c r="E2538" s="10" t="str">
        <f t="shared" si="569"/>
        <v>PDP'!</v>
      </c>
      <c r="F2538" s="5" t="str">
        <f t="shared" si="570"/>
        <v>C:\Users\jaime.benazar\Quorum Business Solutions\Ecopetrol Prometeo - Documents\Planning Space Implementation\3. Analysis &amp; Design\Design\FC22\DRR Jaime\QUIFA-CAJÚA\Cajua\[VAS_CAJUA_CF_SEC_20230125.xlsx]CF PDP'!</v>
      </c>
      <c r="G2538" s="7" t="s">
        <v>41</v>
      </c>
      <c r="H2538" s="4">
        <f t="shared" si="571"/>
        <v>64</v>
      </c>
      <c r="I2538" s="4" t="str">
        <f t="shared" si="572"/>
        <v>='C:\Users\jaime.benazar\Quorum Business Solutions\Ecopetrol Prometeo - Documents\Planning Space Implementation\3. Analysis &amp; Design\Design\FC22\DRR Jaime\QUIFA-CAJÚA\Cajua\[VAS_CAJUA_CF_SEC_20230125.xlsx]CF PDP'!$DN$64</v>
      </c>
      <c r="J2538" s="4" t="s">
        <v>1267</v>
      </c>
    </row>
    <row r="2539" spans="1:10" x14ac:dyDescent="0.25">
      <c r="A2539" s="7" t="s">
        <v>1</v>
      </c>
      <c r="B2539" s="7">
        <f t="shared" si="573"/>
        <v>2052</v>
      </c>
      <c r="C2539" s="4" t="s">
        <v>23</v>
      </c>
      <c r="D2539" s="5" t="s">
        <v>128</v>
      </c>
      <c r="E2539" s="10" t="str">
        <f t="shared" si="569"/>
        <v>PDP'!</v>
      </c>
      <c r="F2539" s="5" t="str">
        <f t="shared" si="570"/>
        <v>C:\Users\jaime.benazar\Quorum Business Solutions\Ecopetrol Prometeo - Documents\Planning Space Implementation\3. Analysis &amp; Design\Design\FC22\DRR Jaime\QUIFA-CAJÚA\Cajua\[VAS_CAJUA_CF_SEC_20230125.xlsx]CF PDP'!</v>
      </c>
      <c r="G2539" s="7" t="s">
        <v>41</v>
      </c>
      <c r="H2539" s="4">
        <f t="shared" si="571"/>
        <v>65</v>
      </c>
      <c r="I2539" s="4" t="str">
        <f t="shared" si="572"/>
        <v>='C:\Users\jaime.benazar\Quorum Business Solutions\Ecopetrol Prometeo - Documents\Planning Space Implementation\3. Analysis &amp; Design\Design\FC22\DRR Jaime\QUIFA-CAJÚA\Cajua\[VAS_CAJUA_CF_SEC_20230125.xlsx]CF PDP'!$DN$65</v>
      </c>
      <c r="J2539" s="4" t="s">
        <v>1268</v>
      </c>
    </row>
    <row r="2540" spans="1:10" x14ac:dyDescent="0.25">
      <c r="A2540" s="7" t="s">
        <v>1</v>
      </c>
      <c r="B2540" s="7">
        <f t="shared" si="573"/>
        <v>2053</v>
      </c>
      <c r="C2540" s="4" t="s">
        <v>23</v>
      </c>
      <c r="D2540" s="5" t="s">
        <v>128</v>
      </c>
      <c r="E2540" s="10" t="str">
        <f t="shared" si="569"/>
        <v>PDP'!</v>
      </c>
      <c r="F2540" s="5" t="str">
        <f t="shared" si="570"/>
        <v>C:\Users\jaime.benazar\Quorum Business Solutions\Ecopetrol Prometeo - Documents\Planning Space Implementation\3. Analysis &amp; Design\Design\FC22\DRR Jaime\QUIFA-CAJÚA\Cajua\[VAS_CAJUA_CF_SEC_20230125.xlsx]CF PDP'!</v>
      </c>
      <c r="G2540" s="7" t="s">
        <v>41</v>
      </c>
      <c r="H2540" s="4">
        <f t="shared" si="571"/>
        <v>66</v>
      </c>
      <c r="I2540" s="4" t="str">
        <f t="shared" si="572"/>
        <v>='C:\Users\jaime.benazar\Quorum Business Solutions\Ecopetrol Prometeo - Documents\Planning Space Implementation\3. Analysis &amp; Design\Design\FC22\DRR Jaime\QUIFA-CAJÚA\Cajua\[VAS_CAJUA_CF_SEC_20230125.xlsx]CF PDP'!$DN$66</v>
      </c>
      <c r="J2540" s="4" t="s">
        <v>1269</v>
      </c>
    </row>
    <row r="2541" spans="1:10" x14ac:dyDescent="0.25">
      <c r="A2541" s="7" t="s">
        <v>1</v>
      </c>
      <c r="B2541" s="7">
        <f t="shared" si="573"/>
        <v>2054</v>
      </c>
      <c r="C2541" s="4" t="s">
        <v>23</v>
      </c>
      <c r="D2541" s="5" t="s">
        <v>128</v>
      </c>
      <c r="E2541" s="10" t="str">
        <f t="shared" si="569"/>
        <v>PDP'!</v>
      </c>
      <c r="F2541" s="5" t="str">
        <f t="shared" si="570"/>
        <v>C:\Users\jaime.benazar\Quorum Business Solutions\Ecopetrol Prometeo - Documents\Planning Space Implementation\3. Analysis &amp; Design\Design\FC22\DRR Jaime\QUIFA-CAJÚA\Cajua\[VAS_CAJUA_CF_SEC_20230125.xlsx]CF PDP'!</v>
      </c>
      <c r="G2541" s="7" t="s">
        <v>41</v>
      </c>
      <c r="H2541" s="4">
        <f t="shared" si="571"/>
        <v>67</v>
      </c>
      <c r="I2541" s="4" t="str">
        <f t="shared" si="572"/>
        <v>='C:\Users\jaime.benazar\Quorum Business Solutions\Ecopetrol Prometeo - Documents\Planning Space Implementation\3. Analysis &amp; Design\Design\FC22\DRR Jaime\QUIFA-CAJÚA\Cajua\[VAS_CAJUA_CF_SEC_20230125.xlsx]CF PDP'!$DN$67</v>
      </c>
      <c r="J2541" s="4" t="s">
        <v>1270</v>
      </c>
    </row>
    <row r="2542" spans="1:10" x14ac:dyDescent="0.25">
      <c r="A2542" s="7" t="s">
        <v>1</v>
      </c>
      <c r="B2542" s="7">
        <f t="shared" si="573"/>
        <v>2055</v>
      </c>
      <c r="C2542" s="4" t="s">
        <v>23</v>
      </c>
      <c r="D2542" s="5" t="s">
        <v>128</v>
      </c>
      <c r="E2542" s="10" t="str">
        <f t="shared" si="569"/>
        <v>PDP'!</v>
      </c>
      <c r="F2542" s="5" t="str">
        <f t="shared" si="570"/>
        <v>C:\Users\jaime.benazar\Quorum Business Solutions\Ecopetrol Prometeo - Documents\Planning Space Implementation\3. Analysis &amp; Design\Design\FC22\DRR Jaime\QUIFA-CAJÚA\Cajua\[VAS_CAJUA_CF_SEC_20230125.xlsx]CF PDP'!</v>
      </c>
      <c r="G2542" s="7" t="s">
        <v>41</v>
      </c>
      <c r="H2542" s="4">
        <f t="shared" si="571"/>
        <v>68</v>
      </c>
      <c r="I2542" s="4" t="str">
        <f t="shared" si="572"/>
        <v>='C:\Users\jaime.benazar\Quorum Business Solutions\Ecopetrol Prometeo - Documents\Planning Space Implementation\3. Analysis &amp; Design\Design\FC22\DRR Jaime\QUIFA-CAJÚA\Cajua\[VAS_CAJUA_CF_SEC_20230125.xlsx]CF PDP'!$DN$68</v>
      </c>
      <c r="J2542" s="4" t="s">
        <v>1271</v>
      </c>
    </row>
    <row r="2543" spans="1:10" x14ac:dyDescent="0.25">
      <c r="A2543" s="7" t="s">
        <v>1</v>
      </c>
      <c r="B2543" s="7">
        <f t="shared" si="573"/>
        <v>2056</v>
      </c>
      <c r="C2543" s="4" t="s">
        <v>23</v>
      </c>
      <c r="D2543" s="5" t="s">
        <v>128</v>
      </c>
      <c r="E2543" s="10" t="str">
        <f t="shared" si="569"/>
        <v>PDP'!</v>
      </c>
      <c r="F2543" s="5" t="str">
        <f t="shared" si="570"/>
        <v>C:\Users\jaime.benazar\Quorum Business Solutions\Ecopetrol Prometeo - Documents\Planning Space Implementation\3. Analysis &amp; Design\Design\FC22\DRR Jaime\QUIFA-CAJÚA\Cajua\[VAS_CAJUA_CF_SEC_20230125.xlsx]CF PDP'!</v>
      </c>
      <c r="G2543" s="7" t="s">
        <v>41</v>
      </c>
      <c r="H2543" s="4">
        <f t="shared" si="571"/>
        <v>69</v>
      </c>
      <c r="I2543" s="4" t="str">
        <f t="shared" si="572"/>
        <v>='C:\Users\jaime.benazar\Quorum Business Solutions\Ecopetrol Prometeo - Documents\Planning Space Implementation\3. Analysis &amp; Design\Design\FC22\DRR Jaime\QUIFA-CAJÚA\Cajua\[VAS_CAJUA_CF_SEC_20230125.xlsx]CF PDP'!$DN$69</v>
      </c>
      <c r="J2543" s="4" t="s">
        <v>1272</v>
      </c>
    </row>
    <row r="2544" spans="1:10" x14ac:dyDescent="0.25">
      <c r="A2544" s="7" t="s">
        <v>1</v>
      </c>
      <c r="B2544" s="7">
        <f t="shared" si="573"/>
        <v>2057</v>
      </c>
      <c r="C2544" s="4" t="s">
        <v>23</v>
      </c>
      <c r="D2544" s="5" t="s">
        <v>128</v>
      </c>
      <c r="E2544" s="10" t="str">
        <f t="shared" si="569"/>
        <v>PDP'!</v>
      </c>
      <c r="F2544" s="5" t="str">
        <f t="shared" si="570"/>
        <v>C:\Users\jaime.benazar\Quorum Business Solutions\Ecopetrol Prometeo - Documents\Planning Space Implementation\3. Analysis &amp; Design\Design\FC22\DRR Jaime\QUIFA-CAJÚA\Cajua\[VAS_CAJUA_CF_SEC_20230125.xlsx]CF PDP'!</v>
      </c>
      <c r="G2544" s="7" t="s">
        <v>41</v>
      </c>
      <c r="H2544" s="4">
        <f t="shared" si="571"/>
        <v>70</v>
      </c>
      <c r="I2544" s="4" t="str">
        <f t="shared" si="572"/>
        <v>='C:\Users\jaime.benazar\Quorum Business Solutions\Ecopetrol Prometeo - Documents\Planning Space Implementation\3. Analysis &amp; Design\Design\FC22\DRR Jaime\QUIFA-CAJÚA\Cajua\[VAS_CAJUA_CF_SEC_20230125.xlsx]CF PDP'!$DN$70</v>
      </c>
      <c r="J2544" s="4" t="s">
        <v>1273</v>
      </c>
    </row>
    <row r="2545" spans="1:10" x14ac:dyDescent="0.25">
      <c r="A2545" s="7" t="s">
        <v>1</v>
      </c>
      <c r="B2545" s="7">
        <f t="shared" si="573"/>
        <v>2058</v>
      </c>
      <c r="C2545" s="4" t="s">
        <v>23</v>
      </c>
      <c r="D2545" s="5" t="s">
        <v>128</v>
      </c>
      <c r="E2545" s="10" t="str">
        <f t="shared" si="569"/>
        <v>PDP'!</v>
      </c>
      <c r="F2545" s="5" t="str">
        <f t="shared" si="570"/>
        <v>C:\Users\jaime.benazar\Quorum Business Solutions\Ecopetrol Prometeo - Documents\Planning Space Implementation\3. Analysis &amp; Design\Design\FC22\DRR Jaime\QUIFA-CAJÚA\Cajua\[VAS_CAJUA_CF_SEC_20230125.xlsx]CF PDP'!</v>
      </c>
      <c r="G2545" s="7" t="s">
        <v>41</v>
      </c>
      <c r="H2545" s="4">
        <f t="shared" si="571"/>
        <v>71</v>
      </c>
      <c r="I2545" s="4" t="str">
        <f t="shared" si="572"/>
        <v>='C:\Users\jaime.benazar\Quorum Business Solutions\Ecopetrol Prometeo - Documents\Planning Space Implementation\3. Analysis &amp; Design\Design\FC22\DRR Jaime\QUIFA-CAJÚA\Cajua\[VAS_CAJUA_CF_SEC_20230125.xlsx]CF PDP'!$DN$71</v>
      </c>
      <c r="J2545" s="4" t="s">
        <v>1274</v>
      </c>
    </row>
    <row r="2546" spans="1:10" x14ac:dyDescent="0.25">
      <c r="A2546" s="7" t="s">
        <v>1</v>
      </c>
      <c r="B2546" s="7">
        <f t="shared" si="573"/>
        <v>2059</v>
      </c>
      <c r="C2546" s="4" t="s">
        <v>23</v>
      </c>
      <c r="D2546" s="5" t="s">
        <v>128</v>
      </c>
      <c r="E2546" s="10" t="str">
        <f t="shared" si="569"/>
        <v>PDP'!</v>
      </c>
      <c r="F2546" s="5" t="str">
        <f t="shared" si="570"/>
        <v>C:\Users\jaime.benazar\Quorum Business Solutions\Ecopetrol Prometeo - Documents\Planning Space Implementation\3. Analysis &amp; Design\Design\FC22\DRR Jaime\QUIFA-CAJÚA\Cajua\[VAS_CAJUA_CF_SEC_20230125.xlsx]CF PDP'!</v>
      </c>
      <c r="G2546" s="7" t="s">
        <v>41</v>
      </c>
      <c r="H2546" s="4">
        <f t="shared" si="571"/>
        <v>72</v>
      </c>
      <c r="I2546" s="4" t="str">
        <f t="shared" si="572"/>
        <v>='C:\Users\jaime.benazar\Quorum Business Solutions\Ecopetrol Prometeo - Documents\Planning Space Implementation\3. Analysis &amp; Design\Design\FC22\DRR Jaime\QUIFA-CAJÚA\Cajua\[VAS_CAJUA_CF_SEC_20230125.xlsx]CF PDP'!$DN$72</v>
      </c>
      <c r="J2546" s="4" t="s">
        <v>1275</v>
      </c>
    </row>
    <row r="2547" spans="1:10" x14ac:dyDescent="0.25">
      <c r="A2547" s="7" t="s">
        <v>28</v>
      </c>
      <c r="B2547" s="7"/>
      <c r="C2547" s="4" t="s">
        <v>23</v>
      </c>
      <c r="D2547" s="5"/>
      <c r="E2547" s="10"/>
      <c r="F2547" s="2"/>
      <c r="G2547" s="7"/>
      <c r="H2547" s="4"/>
      <c r="I2547" s="4"/>
      <c r="J2547" s="4"/>
    </row>
    <row r="2548" spans="1:10" x14ac:dyDescent="0.25">
      <c r="A2548" s="7" t="s">
        <v>2</v>
      </c>
      <c r="B2548" s="7">
        <v>2023</v>
      </c>
      <c r="C2548" s="4" t="s">
        <v>23</v>
      </c>
      <c r="D2548" s="5" t="s">
        <v>128</v>
      </c>
      <c r="E2548" s="10" t="str">
        <f t="shared" ref="E2548:E2568" si="574">_xlfn.CONCAT(A2548,"'!")</f>
        <v>PNP'!</v>
      </c>
      <c r="F2548" s="5" t="str">
        <f t="shared" si="563"/>
        <v>C:\Users\jaime.benazar\Quorum Business Solutions\Ecopetrol Prometeo - Documents\Planning Space Implementation\3. Analysis &amp; Design\Design\FC22\DRR Jaime\QUIFA-CAJÚA\Cajua\[VAS_CAJUA_CF_SEC_20230125.xlsx]CF PNP'!</v>
      </c>
      <c r="G2548" s="7" t="s">
        <v>41</v>
      </c>
      <c r="H2548" s="4">
        <f>IF(A2548&lt;&gt;A2418,36,H2418+1)</f>
        <v>36</v>
      </c>
      <c r="I2548" s="4" t="str">
        <f t="shared" ref="I2548:I2568" si="575">_xlfn.CONCAT("='",F2548:H2548)</f>
        <v>='C:\Users\jaime.benazar\Quorum Business Solutions\Ecopetrol Prometeo - Documents\Planning Space Implementation\3. Analysis &amp; Design\Design\FC22\DRR Jaime\QUIFA-CAJÚA\Cajua\[VAS_CAJUA_CF_SEC_20230125.xlsx]CF PNP'!$DN$36</v>
      </c>
      <c r="J2548" s="4" t="s">
        <v>1276</v>
      </c>
    </row>
    <row r="2549" spans="1:10" x14ac:dyDescent="0.25">
      <c r="A2549" s="7" t="s">
        <v>2</v>
      </c>
      <c r="B2549" s="7">
        <f>+B2548+1</f>
        <v>2024</v>
      </c>
      <c r="C2549" s="4" t="s">
        <v>23</v>
      </c>
      <c r="D2549" s="5" t="s">
        <v>128</v>
      </c>
      <c r="E2549" s="10" t="str">
        <f t="shared" si="574"/>
        <v>PNP'!</v>
      </c>
      <c r="F2549" s="5" t="str">
        <f t="shared" si="563"/>
        <v>C:\Users\jaime.benazar\Quorum Business Solutions\Ecopetrol Prometeo - Documents\Planning Space Implementation\3. Analysis &amp; Design\Design\FC22\DRR Jaime\QUIFA-CAJÚA\Cajua\[VAS_CAJUA_CF_SEC_20230125.xlsx]CF PNP'!</v>
      </c>
      <c r="G2549" s="7" t="s">
        <v>41</v>
      </c>
      <c r="H2549" s="4">
        <f t="shared" ref="H2549:H2568" si="576">IF(A2549&lt;&gt;A2548,36,H2548+1)</f>
        <v>37</v>
      </c>
      <c r="I2549" s="4" t="str">
        <f t="shared" si="575"/>
        <v>='C:\Users\jaime.benazar\Quorum Business Solutions\Ecopetrol Prometeo - Documents\Planning Space Implementation\3. Analysis &amp; Design\Design\FC22\DRR Jaime\QUIFA-CAJÚA\Cajua\[VAS_CAJUA_CF_SEC_20230125.xlsx]CF PNP'!$DN$37</v>
      </c>
      <c r="J2549" s="4" t="s">
        <v>1277</v>
      </c>
    </row>
    <row r="2550" spans="1:10" x14ac:dyDescent="0.25">
      <c r="A2550" s="7" t="s">
        <v>2</v>
      </c>
      <c r="B2550" s="7">
        <f t="shared" ref="B2550:B2561" si="577">+B2549+1</f>
        <v>2025</v>
      </c>
      <c r="C2550" s="4" t="s">
        <v>23</v>
      </c>
      <c r="D2550" s="5" t="s">
        <v>128</v>
      </c>
      <c r="E2550" s="10" t="str">
        <f t="shared" si="574"/>
        <v>PNP'!</v>
      </c>
      <c r="F2550" s="5" t="str">
        <f t="shared" si="563"/>
        <v>C:\Users\jaime.benazar\Quorum Business Solutions\Ecopetrol Prometeo - Documents\Planning Space Implementation\3. Analysis &amp; Design\Design\FC22\DRR Jaime\QUIFA-CAJÚA\Cajua\[VAS_CAJUA_CF_SEC_20230125.xlsx]CF PNP'!</v>
      </c>
      <c r="G2550" s="7" t="s">
        <v>41</v>
      </c>
      <c r="H2550" s="4">
        <f t="shared" si="576"/>
        <v>38</v>
      </c>
      <c r="I2550" s="4" t="str">
        <f t="shared" si="575"/>
        <v>='C:\Users\jaime.benazar\Quorum Business Solutions\Ecopetrol Prometeo - Documents\Planning Space Implementation\3. Analysis &amp; Design\Design\FC22\DRR Jaime\QUIFA-CAJÚA\Cajua\[VAS_CAJUA_CF_SEC_20230125.xlsx]CF PNP'!$DN$38</v>
      </c>
      <c r="J2550" s="4" t="s">
        <v>1278</v>
      </c>
    </row>
    <row r="2551" spans="1:10" x14ac:dyDescent="0.25">
      <c r="A2551" s="7" t="s">
        <v>2</v>
      </c>
      <c r="B2551" s="7">
        <f t="shared" si="577"/>
        <v>2026</v>
      </c>
      <c r="C2551" s="4" t="s">
        <v>23</v>
      </c>
      <c r="D2551" s="5" t="s">
        <v>128</v>
      </c>
      <c r="E2551" s="10" t="str">
        <f t="shared" si="574"/>
        <v>PNP'!</v>
      </c>
      <c r="F2551" s="5" t="str">
        <f t="shared" si="563"/>
        <v>C:\Users\jaime.benazar\Quorum Business Solutions\Ecopetrol Prometeo - Documents\Planning Space Implementation\3. Analysis &amp; Design\Design\FC22\DRR Jaime\QUIFA-CAJÚA\Cajua\[VAS_CAJUA_CF_SEC_20230125.xlsx]CF PNP'!</v>
      </c>
      <c r="G2551" s="7" t="s">
        <v>41</v>
      </c>
      <c r="H2551" s="4">
        <f t="shared" si="576"/>
        <v>39</v>
      </c>
      <c r="I2551" s="4" t="str">
        <f t="shared" si="575"/>
        <v>='C:\Users\jaime.benazar\Quorum Business Solutions\Ecopetrol Prometeo - Documents\Planning Space Implementation\3. Analysis &amp; Design\Design\FC22\DRR Jaime\QUIFA-CAJÚA\Cajua\[VAS_CAJUA_CF_SEC_20230125.xlsx]CF PNP'!$DN$39</v>
      </c>
      <c r="J2551" s="4" t="s">
        <v>1279</v>
      </c>
    </row>
    <row r="2552" spans="1:10" x14ac:dyDescent="0.25">
      <c r="A2552" s="7" t="s">
        <v>2</v>
      </c>
      <c r="B2552" s="7">
        <f t="shared" si="577"/>
        <v>2027</v>
      </c>
      <c r="C2552" s="4" t="s">
        <v>23</v>
      </c>
      <c r="D2552" s="5" t="s">
        <v>128</v>
      </c>
      <c r="E2552" s="10" t="str">
        <f t="shared" si="574"/>
        <v>PNP'!</v>
      </c>
      <c r="F2552" s="5" t="str">
        <f t="shared" si="563"/>
        <v>C:\Users\jaime.benazar\Quorum Business Solutions\Ecopetrol Prometeo - Documents\Planning Space Implementation\3. Analysis &amp; Design\Design\FC22\DRR Jaime\QUIFA-CAJÚA\Cajua\[VAS_CAJUA_CF_SEC_20230125.xlsx]CF PNP'!</v>
      </c>
      <c r="G2552" s="7" t="s">
        <v>41</v>
      </c>
      <c r="H2552" s="4">
        <f t="shared" si="576"/>
        <v>40</v>
      </c>
      <c r="I2552" s="4" t="str">
        <f t="shared" si="575"/>
        <v>='C:\Users\jaime.benazar\Quorum Business Solutions\Ecopetrol Prometeo - Documents\Planning Space Implementation\3. Analysis &amp; Design\Design\FC22\DRR Jaime\QUIFA-CAJÚA\Cajua\[VAS_CAJUA_CF_SEC_20230125.xlsx]CF PNP'!$DN$40</v>
      </c>
      <c r="J2552" s="4" t="s">
        <v>1280</v>
      </c>
    </row>
    <row r="2553" spans="1:10" x14ac:dyDescent="0.25">
      <c r="A2553" s="7" t="s">
        <v>2</v>
      </c>
      <c r="B2553" s="7">
        <f t="shared" si="577"/>
        <v>2028</v>
      </c>
      <c r="C2553" s="4" t="s">
        <v>23</v>
      </c>
      <c r="D2553" s="5" t="s">
        <v>128</v>
      </c>
      <c r="E2553" s="10" t="str">
        <f t="shared" si="574"/>
        <v>PNP'!</v>
      </c>
      <c r="F2553" s="5" t="str">
        <f t="shared" si="563"/>
        <v>C:\Users\jaime.benazar\Quorum Business Solutions\Ecopetrol Prometeo - Documents\Planning Space Implementation\3. Analysis &amp; Design\Design\FC22\DRR Jaime\QUIFA-CAJÚA\Cajua\[VAS_CAJUA_CF_SEC_20230125.xlsx]CF PNP'!</v>
      </c>
      <c r="G2553" s="7" t="s">
        <v>41</v>
      </c>
      <c r="H2553" s="4">
        <f t="shared" si="576"/>
        <v>41</v>
      </c>
      <c r="I2553" s="4" t="str">
        <f t="shared" si="575"/>
        <v>='C:\Users\jaime.benazar\Quorum Business Solutions\Ecopetrol Prometeo - Documents\Planning Space Implementation\3. Analysis &amp; Design\Design\FC22\DRR Jaime\QUIFA-CAJÚA\Cajua\[VAS_CAJUA_CF_SEC_20230125.xlsx]CF PNP'!$DN$41</v>
      </c>
      <c r="J2553" s="4" t="s">
        <v>1281</v>
      </c>
    </row>
    <row r="2554" spans="1:10" x14ac:dyDescent="0.25">
      <c r="A2554" s="7" t="s">
        <v>2</v>
      </c>
      <c r="B2554" s="7">
        <f t="shared" si="577"/>
        <v>2029</v>
      </c>
      <c r="C2554" s="4" t="s">
        <v>23</v>
      </c>
      <c r="D2554" s="5" t="s">
        <v>128</v>
      </c>
      <c r="E2554" s="10" t="str">
        <f t="shared" si="574"/>
        <v>PNP'!</v>
      </c>
      <c r="F2554" s="5" t="str">
        <f t="shared" si="563"/>
        <v>C:\Users\jaime.benazar\Quorum Business Solutions\Ecopetrol Prometeo - Documents\Planning Space Implementation\3. Analysis &amp; Design\Design\FC22\DRR Jaime\QUIFA-CAJÚA\Cajua\[VAS_CAJUA_CF_SEC_20230125.xlsx]CF PNP'!</v>
      </c>
      <c r="G2554" s="7" t="s">
        <v>41</v>
      </c>
      <c r="H2554" s="4">
        <f t="shared" si="576"/>
        <v>42</v>
      </c>
      <c r="I2554" s="4" t="str">
        <f t="shared" si="575"/>
        <v>='C:\Users\jaime.benazar\Quorum Business Solutions\Ecopetrol Prometeo - Documents\Planning Space Implementation\3. Analysis &amp; Design\Design\FC22\DRR Jaime\QUIFA-CAJÚA\Cajua\[VAS_CAJUA_CF_SEC_20230125.xlsx]CF PNP'!$DN$42</v>
      </c>
      <c r="J2554" s="4" t="s">
        <v>1282</v>
      </c>
    </row>
    <row r="2555" spans="1:10" x14ac:dyDescent="0.25">
      <c r="A2555" s="7" t="s">
        <v>2</v>
      </c>
      <c r="B2555" s="7">
        <f t="shared" si="577"/>
        <v>2030</v>
      </c>
      <c r="C2555" s="4" t="s">
        <v>23</v>
      </c>
      <c r="D2555" s="5" t="s">
        <v>128</v>
      </c>
      <c r="E2555" s="10" t="str">
        <f t="shared" si="574"/>
        <v>PNP'!</v>
      </c>
      <c r="F2555" s="5" t="str">
        <f t="shared" si="563"/>
        <v>C:\Users\jaime.benazar\Quorum Business Solutions\Ecopetrol Prometeo - Documents\Planning Space Implementation\3. Analysis &amp; Design\Design\FC22\DRR Jaime\QUIFA-CAJÚA\Cajua\[VAS_CAJUA_CF_SEC_20230125.xlsx]CF PNP'!</v>
      </c>
      <c r="G2555" s="7" t="s">
        <v>41</v>
      </c>
      <c r="H2555" s="4">
        <f t="shared" si="576"/>
        <v>43</v>
      </c>
      <c r="I2555" s="4" t="str">
        <f t="shared" si="575"/>
        <v>='C:\Users\jaime.benazar\Quorum Business Solutions\Ecopetrol Prometeo - Documents\Planning Space Implementation\3. Analysis &amp; Design\Design\FC22\DRR Jaime\QUIFA-CAJÚA\Cajua\[VAS_CAJUA_CF_SEC_20230125.xlsx]CF PNP'!$DN$43</v>
      </c>
      <c r="J2555" s="4" t="s">
        <v>1283</v>
      </c>
    </row>
    <row r="2556" spans="1:10" x14ac:dyDescent="0.25">
      <c r="A2556" s="7" t="s">
        <v>2</v>
      </c>
      <c r="B2556" s="7">
        <f t="shared" si="577"/>
        <v>2031</v>
      </c>
      <c r="C2556" s="4" t="s">
        <v>23</v>
      </c>
      <c r="D2556" s="5" t="s">
        <v>128</v>
      </c>
      <c r="E2556" s="10" t="str">
        <f t="shared" si="574"/>
        <v>PNP'!</v>
      </c>
      <c r="F2556" s="5" t="str">
        <f t="shared" si="563"/>
        <v>C:\Users\jaime.benazar\Quorum Business Solutions\Ecopetrol Prometeo - Documents\Planning Space Implementation\3. Analysis &amp; Design\Design\FC22\DRR Jaime\QUIFA-CAJÚA\Cajua\[VAS_CAJUA_CF_SEC_20230125.xlsx]CF PNP'!</v>
      </c>
      <c r="G2556" s="7" t="s">
        <v>41</v>
      </c>
      <c r="H2556" s="4">
        <f t="shared" si="576"/>
        <v>44</v>
      </c>
      <c r="I2556" s="4" t="str">
        <f t="shared" si="575"/>
        <v>='C:\Users\jaime.benazar\Quorum Business Solutions\Ecopetrol Prometeo - Documents\Planning Space Implementation\3. Analysis &amp; Design\Design\FC22\DRR Jaime\QUIFA-CAJÚA\Cajua\[VAS_CAJUA_CF_SEC_20230125.xlsx]CF PNP'!$DN$44</v>
      </c>
      <c r="J2556" s="4" t="s">
        <v>1284</v>
      </c>
    </row>
    <row r="2557" spans="1:10" x14ac:dyDescent="0.25">
      <c r="A2557" s="7" t="s">
        <v>2</v>
      </c>
      <c r="B2557" s="7">
        <f t="shared" si="577"/>
        <v>2032</v>
      </c>
      <c r="C2557" s="4" t="s">
        <v>23</v>
      </c>
      <c r="D2557" s="5" t="s">
        <v>128</v>
      </c>
      <c r="E2557" s="10" t="str">
        <f t="shared" si="574"/>
        <v>PNP'!</v>
      </c>
      <c r="F2557" s="5" t="str">
        <f t="shared" si="563"/>
        <v>C:\Users\jaime.benazar\Quorum Business Solutions\Ecopetrol Prometeo - Documents\Planning Space Implementation\3. Analysis &amp; Design\Design\FC22\DRR Jaime\QUIFA-CAJÚA\Cajua\[VAS_CAJUA_CF_SEC_20230125.xlsx]CF PNP'!</v>
      </c>
      <c r="G2557" s="7" t="s">
        <v>41</v>
      </c>
      <c r="H2557" s="4">
        <f t="shared" si="576"/>
        <v>45</v>
      </c>
      <c r="I2557" s="4" t="str">
        <f t="shared" si="575"/>
        <v>='C:\Users\jaime.benazar\Quorum Business Solutions\Ecopetrol Prometeo - Documents\Planning Space Implementation\3. Analysis &amp; Design\Design\FC22\DRR Jaime\QUIFA-CAJÚA\Cajua\[VAS_CAJUA_CF_SEC_20230125.xlsx]CF PNP'!$DN$45</v>
      </c>
      <c r="J2557" s="4" t="s">
        <v>1285</v>
      </c>
    </row>
    <row r="2558" spans="1:10" x14ac:dyDescent="0.25">
      <c r="A2558" s="7" t="s">
        <v>2</v>
      </c>
      <c r="B2558" s="7">
        <f t="shared" si="577"/>
        <v>2033</v>
      </c>
      <c r="C2558" s="4" t="s">
        <v>23</v>
      </c>
      <c r="D2558" s="5" t="s">
        <v>128</v>
      </c>
      <c r="E2558" s="10" t="str">
        <f t="shared" si="574"/>
        <v>PNP'!</v>
      </c>
      <c r="F2558" s="5" t="str">
        <f t="shared" si="563"/>
        <v>C:\Users\jaime.benazar\Quorum Business Solutions\Ecopetrol Prometeo - Documents\Planning Space Implementation\3. Analysis &amp; Design\Design\FC22\DRR Jaime\QUIFA-CAJÚA\Cajua\[VAS_CAJUA_CF_SEC_20230125.xlsx]CF PNP'!</v>
      </c>
      <c r="G2558" s="7" t="s">
        <v>41</v>
      </c>
      <c r="H2558" s="4">
        <f t="shared" si="576"/>
        <v>46</v>
      </c>
      <c r="I2558" s="4" t="str">
        <f t="shared" si="575"/>
        <v>='C:\Users\jaime.benazar\Quorum Business Solutions\Ecopetrol Prometeo - Documents\Planning Space Implementation\3. Analysis &amp; Design\Design\FC22\DRR Jaime\QUIFA-CAJÚA\Cajua\[VAS_CAJUA_CF_SEC_20230125.xlsx]CF PNP'!$DN$46</v>
      </c>
      <c r="J2558" s="4" t="s">
        <v>1286</v>
      </c>
    </row>
    <row r="2559" spans="1:10" x14ac:dyDescent="0.25">
      <c r="A2559" s="7" t="s">
        <v>2</v>
      </c>
      <c r="B2559" s="7">
        <f t="shared" si="577"/>
        <v>2034</v>
      </c>
      <c r="C2559" s="4" t="s">
        <v>23</v>
      </c>
      <c r="D2559" s="5" t="s">
        <v>128</v>
      </c>
      <c r="E2559" s="10" t="str">
        <f t="shared" si="574"/>
        <v>PNP'!</v>
      </c>
      <c r="F2559" s="5" t="str">
        <f t="shared" si="563"/>
        <v>C:\Users\jaime.benazar\Quorum Business Solutions\Ecopetrol Prometeo - Documents\Planning Space Implementation\3. Analysis &amp; Design\Design\FC22\DRR Jaime\QUIFA-CAJÚA\Cajua\[VAS_CAJUA_CF_SEC_20230125.xlsx]CF PNP'!</v>
      </c>
      <c r="G2559" s="7" t="s">
        <v>41</v>
      </c>
      <c r="H2559" s="4">
        <f t="shared" si="576"/>
        <v>47</v>
      </c>
      <c r="I2559" s="4" t="str">
        <f t="shared" si="575"/>
        <v>='C:\Users\jaime.benazar\Quorum Business Solutions\Ecopetrol Prometeo - Documents\Planning Space Implementation\3. Analysis &amp; Design\Design\FC22\DRR Jaime\QUIFA-CAJÚA\Cajua\[VAS_CAJUA_CF_SEC_20230125.xlsx]CF PNP'!$DN$47</v>
      </c>
      <c r="J2559" s="4" t="s">
        <v>1287</v>
      </c>
    </row>
    <row r="2560" spans="1:10" x14ac:dyDescent="0.25">
      <c r="A2560" s="7" t="s">
        <v>2</v>
      </c>
      <c r="B2560" s="7">
        <f t="shared" si="577"/>
        <v>2035</v>
      </c>
      <c r="C2560" s="4" t="s">
        <v>23</v>
      </c>
      <c r="D2560" s="5" t="s">
        <v>128</v>
      </c>
      <c r="E2560" s="10" t="str">
        <f t="shared" si="574"/>
        <v>PNP'!</v>
      </c>
      <c r="F2560" s="5" t="str">
        <f t="shared" si="563"/>
        <v>C:\Users\jaime.benazar\Quorum Business Solutions\Ecopetrol Prometeo - Documents\Planning Space Implementation\3. Analysis &amp; Design\Design\FC22\DRR Jaime\QUIFA-CAJÚA\Cajua\[VAS_CAJUA_CF_SEC_20230125.xlsx]CF PNP'!</v>
      </c>
      <c r="G2560" s="7" t="s">
        <v>41</v>
      </c>
      <c r="H2560" s="4">
        <f t="shared" si="576"/>
        <v>48</v>
      </c>
      <c r="I2560" s="4" t="str">
        <f t="shared" si="575"/>
        <v>='C:\Users\jaime.benazar\Quorum Business Solutions\Ecopetrol Prometeo - Documents\Planning Space Implementation\3. Analysis &amp; Design\Design\FC22\DRR Jaime\QUIFA-CAJÚA\Cajua\[VAS_CAJUA_CF_SEC_20230125.xlsx]CF PNP'!$DN$48</v>
      </c>
      <c r="J2560" s="4" t="s">
        <v>1288</v>
      </c>
    </row>
    <row r="2561" spans="1:10" x14ac:dyDescent="0.25">
      <c r="A2561" s="7" t="s">
        <v>2</v>
      </c>
      <c r="B2561" s="7">
        <f t="shared" si="577"/>
        <v>2036</v>
      </c>
      <c r="C2561" s="4" t="s">
        <v>23</v>
      </c>
      <c r="D2561" s="5" t="s">
        <v>128</v>
      </c>
      <c r="E2561" s="10" t="str">
        <f t="shared" si="574"/>
        <v>PNP'!</v>
      </c>
      <c r="F2561" s="5" t="str">
        <f t="shared" si="563"/>
        <v>C:\Users\jaime.benazar\Quorum Business Solutions\Ecopetrol Prometeo - Documents\Planning Space Implementation\3. Analysis &amp; Design\Design\FC22\DRR Jaime\QUIFA-CAJÚA\Cajua\[VAS_CAJUA_CF_SEC_20230125.xlsx]CF PNP'!</v>
      </c>
      <c r="G2561" s="7" t="s">
        <v>41</v>
      </c>
      <c r="H2561" s="4">
        <f t="shared" si="576"/>
        <v>49</v>
      </c>
      <c r="I2561" s="4" t="str">
        <f t="shared" si="575"/>
        <v>='C:\Users\jaime.benazar\Quorum Business Solutions\Ecopetrol Prometeo - Documents\Planning Space Implementation\3. Analysis &amp; Design\Design\FC22\DRR Jaime\QUIFA-CAJÚA\Cajua\[VAS_CAJUA_CF_SEC_20230125.xlsx]CF PNP'!$DN$49</v>
      </c>
      <c r="J2561" s="4" t="s">
        <v>1289</v>
      </c>
    </row>
    <row r="2562" spans="1:10" x14ac:dyDescent="0.25">
      <c r="A2562" s="7" t="s">
        <v>2</v>
      </c>
      <c r="B2562" s="7">
        <f>+B2561+1</f>
        <v>2037</v>
      </c>
      <c r="C2562" s="4" t="s">
        <v>23</v>
      </c>
      <c r="D2562" s="5" t="s">
        <v>128</v>
      </c>
      <c r="E2562" s="10" t="str">
        <f t="shared" si="574"/>
        <v>PNP'!</v>
      </c>
      <c r="F2562" s="5" t="str">
        <f t="shared" si="563"/>
        <v>C:\Users\jaime.benazar\Quorum Business Solutions\Ecopetrol Prometeo - Documents\Planning Space Implementation\3. Analysis &amp; Design\Design\FC22\DRR Jaime\QUIFA-CAJÚA\Cajua\[VAS_CAJUA_CF_SEC_20230125.xlsx]CF PNP'!</v>
      </c>
      <c r="G2562" s="7" t="s">
        <v>41</v>
      </c>
      <c r="H2562" s="4">
        <f t="shared" si="576"/>
        <v>50</v>
      </c>
      <c r="I2562" s="4" t="str">
        <f t="shared" si="575"/>
        <v>='C:\Users\jaime.benazar\Quorum Business Solutions\Ecopetrol Prometeo - Documents\Planning Space Implementation\3. Analysis &amp; Design\Design\FC22\DRR Jaime\QUIFA-CAJÚA\Cajua\[VAS_CAJUA_CF_SEC_20230125.xlsx]CF PNP'!$DN$50</v>
      </c>
      <c r="J2562" s="4" t="s">
        <v>1290</v>
      </c>
    </row>
    <row r="2563" spans="1:10" x14ac:dyDescent="0.25">
      <c r="A2563" s="7" t="s">
        <v>2</v>
      </c>
      <c r="B2563" s="7">
        <f t="shared" ref="B2563:B2565" si="578">+B2562+1</f>
        <v>2038</v>
      </c>
      <c r="C2563" s="4" t="s">
        <v>23</v>
      </c>
      <c r="D2563" s="5" t="s">
        <v>128</v>
      </c>
      <c r="E2563" s="10" t="str">
        <f t="shared" si="574"/>
        <v>PNP'!</v>
      </c>
      <c r="F2563" s="5" t="str">
        <f t="shared" si="563"/>
        <v>C:\Users\jaime.benazar\Quorum Business Solutions\Ecopetrol Prometeo - Documents\Planning Space Implementation\3. Analysis &amp; Design\Design\FC22\DRR Jaime\QUIFA-CAJÚA\Cajua\[VAS_CAJUA_CF_SEC_20230125.xlsx]CF PNP'!</v>
      </c>
      <c r="G2563" s="7" t="s">
        <v>41</v>
      </c>
      <c r="H2563" s="4">
        <f t="shared" si="576"/>
        <v>51</v>
      </c>
      <c r="I2563" s="4" t="str">
        <f t="shared" si="575"/>
        <v>='C:\Users\jaime.benazar\Quorum Business Solutions\Ecopetrol Prometeo - Documents\Planning Space Implementation\3. Analysis &amp; Design\Design\FC22\DRR Jaime\QUIFA-CAJÚA\Cajua\[VAS_CAJUA_CF_SEC_20230125.xlsx]CF PNP'!$DN$51</v>
      </c>
      <c r="J2563" s="4" t="s">
        <v>1291</v>
      </c>
    </row>
    <row r="2564" spans="1:10" x14ac:dyDescent="0.25">
      <c r="A2564" s="7" t="s">
        <v>2</v>
      </c>
      <c r="B2564" s="7">
        <f t="shared" si="578"/>
        <v>2039</v>
      </c>
      <c r="C2564" s="4" t="s">
        <v>23</v>
      </c>
      <c r="D2564" s="5" t="s">
        <v>128</v>
      </c>
      <c r="E2564" s="10" t="str">
        <f t="shared" si="574"/>
        <v>PNP'!</v>
      </c>
      <c r="F2564" s="5" t="str">
        <f t="shared" si="563"/>
        <v>C:\Users\jaime.benazar\Quorum Business Solutions\Ecopetrol Prometeo - Documents\Planning Space Implementation\3. Analysis &amp; Design\Design\FC22\DRR Jaime\QUIFA-CAJÚA\Cajua\[VAS_CAJUA_CF_SEC_20230125.xlsx]CF PNP'!</v>
      </c>
      <c r="G2564" s="7" t="s">
        <v>41</v>
      </c>
      <c r="H2564" s="4">
        <f t="shared" si="576"/>
        <v>52</v>
      </c>
      <c r="I2564" s="4" t="str">
        <f t="shared" si="575"/>
        <v>='C:\Users\jaime.benazar\Quorum Business Solutions\Ecopetrol Prometeo - Documents\Planning Space Implementation\3. Analysis &amp; Design\Design\FC22\DRR Jaime\QUIFA-CAJÚA\Cajua\[VAS_CAJUA_CF_SEC_20230125.xlsx]CF PNP'!$DN$52</v>
      </c>
      <c r="J2564" s="4" t="s">
        <v>1292</v>
      </c>
    </row>
    <row r="2565" spans="1:10" x14ac:dyDescent="0.25">
      <c r="A2565" s="7" t="s">
        <v>2</v>
      </c>
      <c r="B2565" s="7">
        <f t="shared" si="578"/>
        <v>2040</v>
      </c>
      <c r="C2565" s="4" t="s">
        <v>23</v>
      </c>
      <c r="D2565" s="5" t="s">
        <v>128</v>
      </c>
      <c r="E2565" s="10" t="str">
        <f t="shared" si="574"/>
        <v>PNP'!</v>
      </c>
      <c r="F2565" s="5" t="str">
        <f t="shared" si="563"/>
        <v>C:\Users\jaime.benazar\Quorum Business Solutions\Ecopetrol Prometeo - Documents\Planning Space Implementation\3. Analysis &amp; Design\Design\FC22\DRR Jaime\QUIFA-CAJÚA\Cajua\[VAS_CAJUA_CF_SEC_20230125.xlsx]CF PNP'!</v>
      </c>
      <c r="G2565" s="7" t="s">
        <v>41</v>
      </c>
      <c r="H2565" s="4">
        <f t="shared" si="576"/>
        <v>53</v>
      </c>
      <c r="I2565" s="4" t="str">
        <f t="shared" si="575"/>
        <v>='C:\Users\jaime.benazar\Quorum Business Solutions\Ecopetrol Prometeo - Documents\Planning Space Implementation\3. Analysis &amp; Design\Design\FC22\DRR Jaime\QUIFA-CAJÚA\Cajua\[VAS_CAJUA_CF_SEC_20230125.xlsx]CF PNP'!$DN$53</v>
      </c>
      <c r="J2565" s="4" t="s">
        <v>1293</v>
      </c>
    </row>
    <row r="2566" spans="1:10" x14ac:dyDescent="0.25">
      <c r="A2566" s="7" t="s">
        <v>2</v>
      </c>
      <c r="B2566" s="7">
        <f>+B2565+1</f>
        <v>2041</v>
      </c>
      <c r="C2566" s="4" t="s">
        <v>23</v>
      </c>
      <c r="D2566" s="5" t="s">
        <v>128</v>
      </c>
      <c r="E2566" s="10" t="str">
        <f t="shared" si="574"/>
        <v>PNP'!</v>
      </c>
      <c r="F2566" s="5" t="str">
        <f t="shared" si="563"/>
        <v>C:\Users\jaime.benazar\Quorum Business Solutions\Ecopetrol Prometeo - Documents\Planning Space Implementation\3. Analysis &amp; Design\Design\FC22\DRR Jaime\QUIFA-CAJÚA\Cajua\[VAS_CAJUA_CF_SEC_20230125.xlsx]CF PNP'!</v>
      </c>
      <c r="G2566" s="7" t="s">
        <v>41</v>
      </c>
      <c r="H2566" s="4">
        <f t="shared" si="576"/>
        <v>54</v>
      </c>
      <c r="I2566" s="4" t="str">
        <f t="shared" si="575"/>
        <v>='C:\Users\jaime.benazar\Quorum Business Solutions\Ecopetrol Prometeo - Documents\Planning Space Implementation\3. Analysis &amp; Design\Design\FC22\DRR Jaime\QUIFA-CAJÚA\Cajua\[VAS_CAJUA_CF_SEC_20230125.xlsx]CF PNP'!$DN$54</v>
      </c>
      <c r="J2566" s="4" t="s">
        <v>1294</v>
      </c>
    </row>
    <row r="2567" spans="1:10" x14ac:dyDescent="0.25">
      <c r="A2567" s="7" t="s">
        <v>2</v>
      </c>
      <c r="B2567" s="7">
        <f t="shared" ref="B2567:B2568" si="579">+B2566+1</f>
        <v>2042</v>
      </c>
      <c r="C2567" s="4" t="s">
        <v>23</v>
      </c>
      <c r="D2567" s="5" t="s">
        <v>128</v>
      </c>
      <c r="E2567" s="10" t="str">
        <f t="shared" si="574"/>
        <v>PNP'!</v>
      </c>
      <c r="F2567" s="5" t="str">
        <f t="shared" si="563"/>
        <v>C:\Users\jaime.benazar\Quorum Business Solutions\Ecopetrol Prometeo - Documents\Planning Space Implementation\3. Analysis &amp; Design\Design\FC22\DRR Jaime\QUIFA-CAJÚA\Cajua\[VAS_CAJUA_CF_SEC_20230125.xlsx]CF PNP'!</v>
      </c>
      <c r="G2567" s="7" t="s">
        <v>41</v>
      </c>
      <c r="H2567" s="4">
        <f t="shared" si="576"/>
        <v>55</v>
      </c>
      <c r="I2567" s="4" t="str">
        <f t="shared" si="575"/>
        <v>='C:\Users\jaime.benazar\Quorum Business Solutions\Ecopetrol Prometeo - Documents\Planning Space Implementation\3. Analysis &amp; Design\Design\FC22\DRR Jaime\QUIFA-CAJÚA\Cajua\[VAS_CAJUA_CF_SEC_20230125.xlsx]CF PNP'!$DN$55</v>
      </c>
      <c r="J2567" s="4" t="s">
        <v>1295</v>
      </c>
    </row>
    <row r="2568" spans="1:10" x14ac:dyDescent="0.25">
      <c r="A2568" s="7" t="s">
        <v>2</v>
      </c>
      <c r="B2568" s="7">
        <f t="shared" si="579"/>
        <v>2043</v>
      </c>
      <c r="C2568" s="4" t="s">
        <v>23</v>
      </c>
      <c r="D2568" s="5" t="s">
        <v>128</v>
      </c>
      <c r="E2568" s="10" t="str">
        <f t="shared" si="574"/>
        <v>PNP'!</v>
      </c>
      <c r="F2568" s="5" t="str">
        <f t="shared" si="563"/>
        <v>C:\Users\jaime.benazar\Quorum Business Solutions\Ecopetrol Prometeo - Documents\Planning Space Implementation\3. Analysis &amp; Design\Design\FC22\DRR Jaime\QUIFA-CAJÚA\Cajua\[VAS_CAJUA_CF_SEC_20230125.xlsx]CF PNP'!</v>
      </c>
      <c r="G2568" s="7" t="s">
        <v>41</v>
      </c>
      <c r="H2568" s="4">
        <f t="shared" si="576"/>
        <v>56</v>
      </c>
      <c r="I2568" s="4" t="str">
        <f t="shared" si="575"/>
        <v>='C:\Users\jaime.benazar\Quorum Business Solutions\Ecopetrol Prometeo - Documents\Planning Space Implementation\3. Analysis &amp; Design\Design\FC22\DRR Jaime\QUIFA-CAJÚA\Cajua\[VAS_CAJUA_CF_SEC_20230125.xlsx]CF PNP'!$DN$56</v>
      </c>
      <c r="J2568" s="4" t="s">
        <v>1296</v>
      </c>
    </row>
    <row r="2569" spans="1:10" x14ac:dyDescent="0.25">
      <c r="A2569" s="7" t="s">
        <v>2</v>
      </c>
      <c r="B2569" s="7">
        <f>+B2568+1</f>
        <v>2044</v>
      </c>
      <c r="C2569" s="4" t="s">
        <v>23</v>
      </c>
      <c r="D2569" s="5" t="s">
        <v>128</v>
      </c>
      <c r="E2569" s="10" t="str">
        <f t="shared" ref="E2569:E2584" si="580">_xlfn.CONCAT(A2569,"'!")</f>
        <v>PNP'!</v>
      </c>
      <c r="F2569" s="5" t="str">
        <f t="shared" ref="F2569:F2584" si="581">_xlfn.CONCAT(D2569," ",E2569)</f>
        <v>C:\Users\jaime.benazar\Quorum Business Solutions\Ecopetrol Prometeo - Documents\Planning Space Implementation\3. Analysis &amp; Design\Design\FC22\DRR Jaime\QUIFA-CAJÚA\Cajua\[VAS_CAJUA_CF_SEC_20230125.xlsx]CF PNP'!</v>
      </c>
      <c r="G2569" s="7" t="s">
        <v>41</v>
      </c>
      <c r="H2569" s="4">
        <f t="shared" ref="H2569:H2584" si="582">IF(A2569&lt;&gt;A2568,36,H2568+1)</f>
        <v>57</v>
      </c>
      <c r="I2569" s="4" t="str">
        <f t="shared" ref="I2569:I2584" si="583">_xlfn.CONCAT("='",F2569:H2569)</f>
        <v>='C:\Users\jaime.benazar\Quorum Business Solutions\Ecopetrol Prometeo - Documents\Planning Space Implementation\3. Analysis &amp; Design\Design\FC22\DRR Jaime\QUIFA-CAJÚA\Cajua\[VAS_CAJUA_CF_SEC_20230125.xlsx]CF PNP'!$DN$57</v>
      </c>
      <c r="J2569" s="4" t="s">
        <v>1297</v>
      </c>
    </row>
    <row r="2570" spans="1:10" x14ac:dyDescent="0.25">
      <c r="A2570" s="7" t="s">
        <v>2</v>
      </c>
      <c r="B2570" s="7">
        <f t="shared" ref="B2570:B2584" si="584">+B2569+1</f>
        <v>2045</v>
      </c>
      <c r="C2570" s="4" t="s">
        <v>23</v>
      </c>
      <c r="D2570" s="5" t="s">
        <v>128</v>
      </c>
      <c r="E2570" s="10" t="str">
        <f t="shared" si="580"/>
        <v>PNP'!</v>
      </c>
      <c r="F2570" s="5" t="str">
        <f t="shared" si="581"/>
        <v>C:\Users\jaime.benazar\Quorum Business Solutions\Ecopetrol Prometeo - Documents\Planning Space Implementation\3. Analysis &amp; Design\Design\FC22\DRR Jaime\QUIFA-CAJÚA\Cajua\[VAS_CAJUA_CF_SEC_20230125.xlsx]CF PNP'!</v>
      </c>
      <c r="G2570" s="7" t="s">
        <v>41</v>
      </c>
      <c r="H2570" s="4">
        <f t="shared" si="582"/>
        <v>58</v>
      </c>
      <c r="I2570" s="4" t="str">
        <f t="shared" si="583"/>
        <v>='C:\Users\jaime.benazar\Quorum Business Solutions\Ecopetrol Prometeo - Documents\Planning Space Implementation\3. Analysis &amp; Design\Design\FC22\DRR Jaime\QUIFA-CAJÚA\Cajua\[VAS_CAJUA_CF_SEC_20230125.xlsx]CF PNP'!$DN$58</v>
      </c>
      <c r="J2570" s="4" t="s">
        <v>1298</v>
      </c>
    </row>
    <row r="2571" spans="1:10" x14ac:dyDescent="0.25">
      <c r="A2571" s="7" t="s">
        <v>2</v>
      </c>
      <c r="B2571" s="7">
        <f t="shared" si="584"/>
        <v>2046</v>
      </c>
      <c r="C2571" s="4" t="s">
        <v>23</v>
      </c>
      <c r="D2571" s="5" t="s">
        <v>128</v>
      </c>
      <c r="E2571" s="10" t="str">
        <f t="shared" si="580"/>
        <v>PNP'!</v>
      </c>
      <c r="F2571" s="5" t="str">
        <f t="shared" si="581"/>
        <v>C:\Users\jaime.benazar\Quorum Business Solutions\Ecopetrol Prometeo - Documents\Planning Space Implementation\3. Analysis &amp; Design\Design\FC22\DRR Jaime\QUIFA-CAJÚA\Cajua\[VAS_CAJUA_CF_SEC_20230125.xlsx]CF PNP'!</v>
      </c>
      <c r="G2571" s="7" t="s">
        <v>41</v>
      </c>
      <c r="H2571" s="4">
        <f t="shared" si="582"/>
        <v>59</v>
      </c>
      <c r="I2571" s="4" t="str">
        <f t="shared" si="583"/>
        <v>='C:\Users\jaime.benazar\Quorum Business Solutions\Ecopetrol Prometeo - Documents\Planning Space Implementation\3. Analysis &amp; Design\Design\FC22\DRR Jaime\QUIFA-CAJÚA\Cajua\[VAS_CAJUA_CF_SEC_20230125.xlsx]CF PNP'!$DN$59</v>
      </c>
      <c r="J2571" s="4" t="s">
        <v>1299</v>
      </c>
    </row>
    <row r="2572" spans="1:10" x14ac:dyDescent="0.25">
      <c r="A2572" s="7" t="s">
        <v>2</v>
      </c>
      <c r="B2572" s="7">
        <f t="shared" si="584"/>
        <v>2047</v>
      </c>
      <c r="C2572" s="4" t="s">
        <v>23</v>
      </c>
      <c r="D2572" s="5" t="s">
        <v>128</v>
      </c>
      <c r="E2572" s="10" t="str">
        <f t="shared" si="580"/>
        <v>PNP'!</v>
      </c>
      <c r="F2572" s="5" t="str">
        <f t="shared" si="581"/>
        <v>C:\Users\jaime.benazar\Quorum Business Solutions\Ecopetrol Prometeo - Documents\Planning Space Implementation\3. Analysis &amp; Design\Design\FC22\DRR Jaime\QUIFA-CAJÚA\Cajua\[VAS_CAJUA_CF_SEC_20230125.xlsx]CF PNP'!</v>
      </c>
      <c r="G2572" s="7" t="s">
        <v>41</v>
      </c>
      <c r="H2572" s="4">
        <f t="shared" si="582"/>
        <v>60</v>
      </c>
      <c r="I2572" s="4" t="str">
        <f t="shared" si="583"/>
        <v>='C:\Users\jaime.benazar\Quorum Business Solutions\Ecopetrol Prometeo - Documents\Planning Space Implementation\3. Analysis &amp; Design\Design\FC22\DRR Jaime\QUIFA-CAJÚA\Cajua\[VAS_CAJUA_CF_SEC_20230125.xlsx]CF PNP'!$DN$60</v>
      </c>
      <c r="J2572" s="4" t="s">
        <v>1300</v>
      </c>
    </row>
    <row r="2573" spans="1:10" x14ac:dyDescent="0.25">
      <c r="A2573" s="7" t="s">
        <v>2</v>
      </c>
      <c r="B2573" s="7">
        <f t="shared" si="584"/>
        <v>2048</v>
      </c>
      <c r="C2573" s="4" t="s">
        <v>23</v>
      </c>
      <c r="D2573" s="5" t="s">
        <v>128</v>
      </c>
      <c r="E2573" s="10" t="str">
        <f t="shared" si="580"/>
        <v>PNP'!</v>
      </c>
      <c r="F2573" s="5" t="str">
        <f t="shared" si="581"/>
        <v>C:\Users\jaime.benazar\Quorum Business Solutions\Ecopetrol Prometeo - Documents\Planning Space Implementation\3. Analysis &amp; Design\Design\FC22\DRR Jaime\QUIFA-CAJÚA\Cajua\[VAS_CAJUA_CF_SEC_20230125.xlsx]CF PNP'!</v>
      </c>
      <c r="G2573" s="7" t="s">
        <v>41</v>
      </c>
      <c r="H2573" s="4">
        <f t="shared" si="582"/>
        <v>61</v>
      </c>
      <c r="I2573" s="4" t="str">
        <f t="shared" si="583"/>
        <v>='C:\Users\jaime.benazar\Quorum Business Solutions\Ecopetrol Prometeo - Documents\Planning Space Implementation\3. Analysis &amp; Design\Design\FC22\DRR Jaime\QUIFA-CAJÚA\Cajua\[VAS_CAJUA_CF_SEC_20230125.xlsx]CF PNP'!$DN$61</v>
      </c>
      <c r="J2573" s="4" t="s">
        <v>1301</v>
      </c>
    </row>
    <row r="2574" spans="1:10" x14ac:dyDescent="0.25">
      <c r="A2574" s="7" t="s">
        <v>2</v>
      </c>
      <c r="B2574" s="7">
        <f t="shared" si="584"/>
        <v>2049</v>
      </c>
      <c r="C2574" s="4" t="s">
        <v>23</v>
      </c>
      <c r="D2574" s="5" t="s">
        <v>128</v>
      </c>
      <c r="E2574" s="10" t="str">
        <f t="shared" si="580"/>
        <v>PNP'!</v>
      </c>
      <c r="F2574" s="5" t="str">
        <f t="shared" si="581"/>
        <v>C:\Users\jaime.benazar\Quorum Business Solutions\Ecopetrol Prometeo - Documents\Planning Space Implementation\3. Analysis &amp; Design\Design\FC22\DRR Jaime\QUIFA-CAJÚA\Cajua\[VAS_CAJUA_CF_SEC_20230125.xlsx]CF PNP'!</v>
      </c>
      <c r="G2574" s="7" t="s">
        <v>41</v>
      </c>
      <c r="H2574" s="4">
        <f t="shared" si="582"/>
        <v>62</v>
      </c>
      <c r="I2574" s="4" t="str">
        <f t="shared" si="583"/>
        <v>='C:\Users\jaime.benazar\Quorum Business Solutions\Ecopetrol Prometeo - Documents\Planning Space Implementation\3. Analysis &amp; Design\Design\FC22\DRR Jaime\QUIFA-CAJÚA\Cajua\[VAS_CAJUA_CF_SEC_20230125.xlsx]CF PNP'!$DN$62</v>
      </c>
      <c r="J2574" s="4" t="s">
        <v>1302</v>
      </c>
    </row>
    <row r="2575" spans="1:10" x14ac:dyDescent="0.25">
      <c r="A2575" s="7" t="s">
        <v>2</v>
      </c>
      <c r="B2575" s="7">
        <f t="shared" si="584"/>
        <v>2050</v>
      </c>
      <c r="C2575" s="4" t="s">
        <v>23</v>
      </c>
      <c r="D2575" s="5" t="s">
        <v>128</v>
      </c>
      <c r="E2575" s="10" t="str">
        <f t="shared" si="580"/>
        <v>PNP'!</v>
      </c>
      <c r="F2575" s="5" t="str">
        <f t="shared" si="581"/>
        <v>C:\Users\jaime.benazar\Quorum Business Solutions\Ecopetrol Prometeo - Documents\Planning Space Implementation\3. Analysis &amp; Design\Design\FC22\DRR Jaime\QUIFA-CAJÚA\Cajua\[VAS_CAJUA_CF_SEC_20230125.xlsx]CF PNP'!</v>
      </c>
      <c r="G2575" s="7" t="s">
        <v>41</v>
      </c>
      <c r="H2575" s="4">
        <f t="shared" si="582"/>
        <v>63</v>
      </c>
      <c r="I2575" s="4" t="str">
        <f t="shared" si="583"/>
        <v>='C:\Users\jaime.benazar\Quorum Business Solutions\Ecopetrol Prometeo - Documents\Planning Space Implementation\3. Analysis &amp; Design\Design\FC22\DRR Jaime\QUIFA-CAJÚA\Cajua\[VAS_CAJUA_CF_SEC_20230125.xlsx]CF PNP'!$DN$63</v>
      </c>
      <c r="J2575" s="4" t="s">
        <v>1303</v>
      </c>
    </row>
    <row r="2576" spans="1:10" x14ac:dyDescent="0.25">
      <c r="A2576" s="7" t="s">
        <v>2</v>
      </c>
      <c r="B2576" s="7">
        <f t="shared" si="584"/>
        <v>2051</v>
      </c>
      <c r="C2576" s="4" t="s">
        <v>23</v>
      </c>
      <c r="D2576" s="5" t="s">
        <v>128</v>
      </c>
      <c r="E2576" s="10" t="str">
        <f t="shared" si="580"/>
        <v>PNP'!</v>
      </c>
      <c r="F2576" s="5" t="str">
        <f t="shared" si="581"/>
        <v>C:\Users\jaime.benazar\Quorum Business Solutions\Ecopetrol Prometeo - Documents\Planning Space Implementation\3. Analysis &amp; Design\Design\FC22\DRR Jaime\QUIFA-CAJÚA\Cajua\[VAS_CAJUA_CF_SEC_20230125.xlsx]CF PNP'!</v>
      </c>
      <c r="G2576" s="7" t="s">
        <v>41</v>
      </c>
      <c r="H2576" s="4">
        <f t="shared" si="582"/>
        <v>64</v>
      </c>
      <c r="I2576" s="4" t="str">
        <f t="shared" si="583"/>
        <v>='C:\Users\jaime.benazar\Quorum Business Solutions\Ecopetrol Prometeo - Documents\Planning Space Implementation\3. Analysis &amp; Design\Design\FC22\DRR Jaime\QUIFA-CAJÚA\Cajua\[VAS_CAJUA_CF_SEC_20230125.xlsx]CF PNP'!$DN$64</v>
      </c>
      <c r="J2576" s="4" t="s">
        <v>1304</v>
      </c>
    </row>
    <row r="2577" spans="1:10" x14ac:dyDescent="0.25">
      <c r="A2577" s="7" t="s">
        <v>2</v>
      </c>
      <c r="B2577" s="7">
        <f t="shared" si="584"/>
        <v>2052</v>
      </c>
      <c r="C2577" s="4" t="s">
        <v>23</v>
      </c>
      <c r="D2577" s="5" t="s">
        <v>128</v>
      </c>
      <c r="E2577" s="10" t="str">
        <f t="shared" si="580"/>
        <v>PNP'!</v>
      </c>
      <c r="F2577" s="5" t="str">
        <f t="shared" si="581"/>
        <v>C:\Users\jaime.benazar\Quorum Business Solutions\Ecopetrol Prometeo - Documents\Planning Space Implementation\3. Analysis &amp; Design\Design\FC22\DRR Jaime\QUIFA-CAJÚA\Cajua\[VAS_CAJUA_CF_SEC_20230125.xlsx]CF PNP'!</v>
      </c>
      <c r="G2577" s="7" t="s">
        <v>41</v>
      </c>
      <c r="H2577" s="4">
        <f t="shared" si="582"/>
        <v>65</v>
      </c>
      <c r="I2577" s="4" t="str">
        <f t="shared" si="583"/>
        <v>='C:\Users\jaime.benazar\Quorum Business Solutions\Ecopetrol Prometeo - Documents\Planning Space Implementation\3. Analysis &amp; Design\Design\FC22\DRR Jaime\QUIFA-CAJÚA\Cajua\[VAS_CAJUA_CF_SEC_20230125.xlsx]CF PNP'!$DN$65</v>
      </c>
      <c r="J2577" s="4" t="s">
        <v>1305</v>
      </c>
    </row>
    <row r="2578" spans="1:10" x14ac:dyDescent="0.25">
      <c r="A2578" s="7" t="s">
        <v>2</v>
      </c>
      <c r="B2578" s="7">
        <f t="shared" si="584"/>
        <v>2053</v>
      </c>
      <c r="C2578" s="4" t="s">
        <v>23</v>
      </c>
      <c r="D2578" s="5" t="s">
        <v>128</v>
      </c>
      <c r="E2578" s="10" t="str">
        <f t="shared" si="580"/>
        <v>PNP'!</v>
      </c>
      <c r="F2578" s="5" t="str">
        <f t="shared" si="581"/>
        <v>C:\Users\jaime.benazar\Quorum Business Solutions\Ecopetrol Prometeo - Documents\Planning Space Implementation\3. Analysis &amp; Design\Design\FC22\DRR Jaime\QUIFA-CAJÚA\Cajua\[VAS_CAJUA_CF_SEC_20230125.xlsx]CF PNP'!</v>
      </c>
      <c r="G2578" s="7" t="s">
        <v>41</v>
      </c>
      <c r="H2578" s="4">
        <f t="shared" si="582"/>
        <v>66</v>
      </c>
      <c r="I2578" s="4" t="str">
        <f t="shared" si="583"/>
        <v>='C:\Users\jaime.benazar\Quorum Business Solutions\Ecopetrol Prometeo - Documents\Planning Space Implementation\3. Analysis &amp; Design\Design\FC22\DRR Jaime\QUIFA-CAJÚA\Cajua\[VAS_CAJUA_CF_SEC_20230125.xlsx]CF PNP'!$DN$66</v>
      </c>
      <c r="J2578" s="4" t="s">
        <v>1306</v>
      </c>
    </row>
    <row r="2579" spans="1:10" x14ac:dyDescent="0.25">
      <c r="A2579" s="7" t="s">
        <v>2</v>
      </c>
      <c r="B2579" s="7">
        <f t="shared" si="584"/>
        <v>2054</v>
      </c>
      <c r="C2579" s="4" t="s">
        <v>23</v>
      </c>
      <c r="D2579" s="5" t="s">
        <v>128</v>
      </c>
      <c r="E2579" s="10" t="str">
        <f t="shared" si="580"/>
        <v>PNP'!</v>
      </c>
      <c r="F2579" s="5" t="str">
        <f t="shared" si="581"/>
        <v>C:\Users\jaime.benazar\Quorum Business Solutions\Ecopetrol Prometeo - Documents\Planning Space Implementation\3. Analysis &amp; Design\Design\FC22\DRR Jaime\QUIFA-CAJÚA\Cajua\[VAS_CAJUA_CF_SEC_20230125.xlsx]CF PNP'!</v>
      </c>
      <c r="G2579" s="7" t="s">
        <v>41</v>
      </c>
      <c r="H2579" s="4">
        <f t="shared" si="582"/>
        <v>67</v>
      </c>
      <c r="I2579" s="4" t="str">
        <f t="shared" si="583"/>
        <v>='C:\Users\jaime.benazar\Quorum Business Solutions\Ecopetrol Prometeo - Documents\Planning Space Implementation\3. Analysis &amp; Design\Design\FC22\DRR Jaime\QUIFA-CAJÚA\Cajua\[VAS_CAJUA_CF_SEC_20230125.xlsx]CF PNP'!$DN$67</v>
      </c>
      <c r="J2579" s="4" t="s">
        <v>1307</v>
      </c>
    </row>
    <row r="2580" spans="1:10" x14ac:dyDescent="0.25">
      <c r="A2580" s="7" t="s">
        <v>2</v>
      </c>
      <c r="B2580" s="7">
        <f t="shared" si="584"/>
        <v>2055</v>
      </c>
      <c r="C2580" s="4" t="s">
        <v>23</v>
      </c>
      <c r="D2580" s="5" t="s">
        <v>128</v>
      </c>
      <c r="E2580" s="10" t="str">
        <f t="shared" si="580"/>
        <v>PNP'!</v>
      </c>
      <c r="F2580" s="5" t="str">
        <f t="shared" si="581"/>
        <v>C:\Users\jaime.benazar\Quorum Business Solutions\Ecopetrol Prometeo - Documents\Planning Space Implementation\3. Analysis &amp; Design\Design\FC22\DRR Jaime\QUIFA-CAJÚA\Cajua\[VAS_CAJUA_CF_SEC_20230125.xlsx]CF PNP'!</v>
      </c>
      <c r="G2580" s="7" t="s">
        <v>41</v>
      </c>
      <c r="H2580" s="4">
        <f t="shared" si="582"/>
        <v>68</v>
      </c>
      <c r="I2580" s="4" t="str">
        <f t="shared" si="583"/>
        <v>='C:\Users\jaime.benazar\Quorum Business Solutions\Ecopetrol Prometeo - Documents\Planning Space Implementation\3. Analysis &amp; Design\Design\FC22\DRR Jaime\QUIFA-CAJÚA\Cajua\[VAS_CAJUA_CF_SEC_20230125.xlsx]CF PNP'!$DN$68</v>
      </c>
      <c r="J2580" s="4" t="s">
        <v>1308</v>
      </c>
    </row>
    <row r="2581" spans="1:10" x14ac:dyDescent="0.25">
      <c r="A2581" s="7" t="s">
        <v>2</v>
      </c>
      <c r="B2581" s="7">
        <f t="shared" si="584"/>
        <v>2056</v>
      </c>
      <c r="C2581" s="4" t="s">
        <v>23</v>
      </c>
      <c r="D2581" s="5" t="s">
        <v>128</v>
      </c>
      <c r="E2581" s="10" t="str">
        <f t="shared" si="580"/>
        <v>PNP'!</v>
      </c>
      <c r="F2581" s="5" t="str">
        <f t="shared" si="581"/>
        <v>C:\Users\jaime.benazar\Quorum Business Solutions\Ecopetrol Prometeo - Documents\Planning Space Implementation\3. Analysis &amp; Design\Design\FC22\DRR Jaime\QUIFA-CAJÚA\Cajua\[VAS_CAJUA_CF_SEC_20230125.xlsx]CF PNP'!</v>
      </c>
      <c r="G2581" s="7" t="s">
        <v>41</v>
      </c>
      <c r="H2581" s="4">
        <f t="shared" si="582"/>
        <v>69</v>
      </c>
      <c r="I2581" s="4" t="str">
        <f t="shared" si="583"/>
        <v>='C:\Users\jaime.benazar\Quorum Business Solutions\Ecopetrol Prometeo - Documents\Planning Space Implementation\3. Analysis &amp; Design\Design\FC22\DRR Jaime\QUIFA-CAJÚA\Cajua\[VAS_CAJUA_CF_SEC_20230125.xlsx]CF PNP'!$DN$69</v>
      </c>
      <c r="J2581" s="4" t="s">
        <v>1309</v>
      </c>
    </row>
    <row r="2582" spans="1:10" x14ac:dyDescent="0.25">
      <c r="A2582" s="7" t="s">
        <v>2</v>
      </c>
      <c r="B2582" s="7">
        <f t="shared" si="584"/>
        <v>2057</v>
      </c>
      <c r="C2582" s="4" t="s">
        <v>23</v>
      </c>
      <c r="D2582" s="5" t="s">
        <v>128</v>
      </c>
      <c r="E2582" s="10" t="str">
        <f t="shared" si="580"/>
        <v>PNP'!</v>
      </c>
      <c r="F2582" s="5" t="str">
        <f t="shared" si="581"/>
        <v>C:\Users\jaime.benazar\Quorum Business Solutions\Ecopetrol Prometeo - Documents\Planning Space Implementation\3. Analysis &amp; Design\Design\FC22\DRR Jaime\QUIFA-CAJÚA\Cajua\[VAS_CAJUA_CF_SEC_20230125.xlsx]CF PNP'!</v>
      </c>
      <c r="G2582" s="7" t="s">
        <v>41</v>
      </c>
      <c r="H2582" s="4">
        <f t="shared" si="582"/>
        <v>70</v>
      </c>
      <c r="I2582" s="4" t="str">
        <f t="shared" si="583"/>
        <v>='C:\Users\jaime.benazar\Quorum Business Solutions\Ecopetrol Prometeo - Documents\Planning Space Implementation\3. Analysis &amp; Design\Design\FC22\DRR Jaime\QUIFA-CAJÚA\Cajua\[VAS_CAJUA_CF_SEC_20230125.xlsx]CF PNP'!$DN$70</v>
      </c>
      <c r="J2582" s="4" t="s">
        <v>1310</v>
      </c>
    </row>
    <row r="2583" spans="1:10" x14ac:dyDescent="0.25">
      <c r="A2583" s="7" t="s">
        <v>2</v>
      </c>
      <c r="B2583" s="7">
        <f t="shared" si="584"/>
        <v>2058</v>
      </c>
      <c r="C2583" s="4" t="s">
        <v>23</v>
      </c>
      <c r="D2583" s="5" t="s">
        <v>128</v>
      </c>
      <c r="E2583" s="10" t="str">
        <f t="shared" si="580"/>
        <v>PNP'!</v>
      </c>
      <c r="F2583" s="5" t="str">
        <f t="shared" si="581"/>
        <v>C:\Users\jaime.benazar\Quorum Business Solutions\Ecopetrol Prometeo - Documents\Planning Space Implementation\3. Analysis &amp; Design\Design\FC22\DRR Jaime\QUIFA-CAJÚA\Cajua\[VAS_CAJUA_CF_SEC_20230125.xlsx]CF PNP'!</v>
      </c>
      <c r="G2583" s="7" t="s">
        <v>41</v>
      </c>
      <c r="H2583" s="4">
        <f t="shared" si="582"/>
        <v>71</v>
      </c>
      <c r="I2583" s="4" t="str">
        <f t="shared" si="583"/>
        <v>='C:\Users\jaime.benazar\Quorum Business Solutions\Ecopetrol Prometeo - Documents\Planning Space Implementation\3. Analysis &amp; Design\Design\FC22\DRR Jaime\QUIFA-CAJÚA\Cajua\[VAS_CAJUA_CF_SEC_20230125.xlsx]CF PNP'!$DN$71</v>
      </c>
      <c r="J2583" s="4" t="s">
        <v>1311</v>
      </c>
    </row>
    <row r="2584" spans="1:10" x14ac:dyDescent="0.25">
      <c r="A2584" s="7" t="s">
        <v>2</v>
      </c>
      <c r="B2584" s="7">
        <f t="shared" si="584"/>
        <v>2059</v>
      </c>
      <c r="C2584" s="4" t="s">
        <v>23</v>
      </c>
      <c r="D2584" s="5" t="s">
        <v>128</v>
      </c>
      <c r="E2584" s="10" t="str">
        <f t="shared" si="580"/>
        <v>PNP'!</v>
      </c>
      <c r="F2584" s="5" t="str">
        <f t="shared" si="581"/>
        <v>C:\Users\jaime.benazar\Quorum Business Solutions\Ecopetrol Prometeo - Documents\Planning Space Implementation\3. Analysis &amp; Design\Design\FC22\DRR Jaime\QUIFA-CAJÚA\Cajua\[VAS_CAJUA_CF_SEC_20230125.xlsx]CF PNP'!</v>
      </c>
      <c r="G2584" s="7" t="s">
        <v>41</v>
      </c>
      <c r="H2584" s="4">
        <f t="shared" si="582"/>
        <v>72</v>
      </c>
      <c r="I2584" s="4" t="str">
        <f t="shared" si="583"/>
        <v>='C:\Users\jaime.benazar\Quorum Business Solutions\Ecopetrol Prometeo - Documents\Planning Space Implementation\3. Analysis &amp; Design\Design\FC22\DRR Jaime\QUIFA-CAJÚA\Cajua\[VAS_CAJUA_CF_SEC_20230125.xlsx]CF PNP'!$DN$72</v>
      </c>
      <c r="J2584" s="4" t="s">
        <v>1312</v>
      </c>
    </row>
    <row r="2585" spans="1:10" x14ac:dyDescent="0.25">
      <c r="A2585" s="7" t="s">
        <v>28</v>
      </c>
      <c r="B2585" s="7"/>
      <c r="C2585" s="4" t="s">
        <v>23</v>
      </c>
      <c r="D2585" s="5"/>
      <c r="E2585" s="10"/>
      <c r="F2585" s="5"/>
      <c r="G2585" s="7"/>
      <c r="H2585" s="4"/>
      <c r="I2585" s="4"/>
      <c r="J2585" s="4"/>
    </row>
    <row r="2586" spans="1:10" x14ac:dyDescent="0.25">
      <c r="A2586" s="7" t="s">
        <v>3</v>
      </c>
      <c r="B2586" s="7">
        <v>2023</v>
      </c>
      <c r="C2586" s="4" t="s">
        <v>23</v>
      </c>
      <c r="D2586" s="5" t="s">
        <v>128</v>
      </c>
      <c r="E2586" s="10" t="str">
        <f t="shared" ref="E2586:E2604" si="585">_xlfn.CONCAT(A2586,"'!")</f>
        <v>PND'!</v>
      </c>
      <c r="F2586" s="5" t="str">
        <f t="shared" ref="F2586:F2644" si="586">_xlfn.CONCAT(D2586," ",E2586)</f>
        <v>C:\Users\jaime.benazar\Quorum Business Solutions\Ecopetrol Prometeo - Documents\Planning Space Implementation\3. Analysis &amp; Design\Design\FC22\DRR Jaime\QUIFA-CAJÚA\Cajua\[VAS_CAJUA_CF_SEC_20230125.xlsx]CF PND'!</v>
      </c>
      <c r="G2586" s="7" t="s">
        <v>41</v>
      </c>
      <c r="H2586" s="4">
        <f>IF(A2586&lt;&gt;A2456,36,H2456+1)</f>
        <v>36</v>
      </c>
      <c r="I2586" s="4" t="str">
        <f t="shared" ref="I2586:I2604" si="587">_xlfn.CONCAT("='",F2586:H2586)</f>
        <v>='C:\Users\jaime.benazar\Quorum Business Solutions\Ecopetrol Prometeo - Documents\Planning Space Implementation\3. Analysis &amp; Design\Design\FC22\DRR Jaime\QUIFA-CAJÚA\Cajua\[VAS_CAJUA_CF_SEC_20230125.xlsx]CF PND'!$DN$36</v>
      </c>
      <c r="J2586" s="4" t="s">
        <v>1313</v>
      </c>
    </row>
    <row r="2587" spans="1:10" x14ac:dyDescent="0.25">
      <c r="A2587" s="7" t="s">
        <v>3</v>
      </c>
      <c r="B2587" s="7">
        <f>+B2586+1</f>
        <v>2024</v>
      </c>
      <c r="C2587" s="4" t="s">
        <v>23</v>
      </c>
      <c r="D2587" s="5" t="s">
        <v>128</v>
      </c>
      <c r="E2587" s="10" t="str">
        <f t="shared" si="585"/>
        <v>PND'!</v>
      </c>
      <c r="F2587" s="5" t="str">
        <f t="shared" si="586"/>
        <v>C:\Users\jaime.benazar\Quorum Business Solutions\Ecopetrol Prometeo - Documents\Planning Space Implementation\3. Analysis &amp; Design\Design\FC22\DRR Jaime\QUIFA-CAJÚA\Cajua\[VAS_CAJUA_CF_SEC_20230125.xlsx]CF PND'!</v>
      </c>
      <c r="G2587" s="7" t="s">
        <v>41</v>
      </c>
      <c r="H2587" s="4">
        <f t="shared" ref="H2587:H2605" si="588">IF(A2587&lt;&gt;A2586,36,H2586+1)</f>
        <v>37</v>
      </c>
      <c r="I2587" s="4" t="str">
        <f t="shared" si="587"/>
        <v>='C:\Users\jaime.benazar\Quorum Business Solutions\Ecopetrol Prometeo - Documents\Planning Space Implementation\3. Analysis &amp; Design\Design\FC22\DRR Jaime\QUIFA-CAJÚA\Cajua\[VAS_CAJUA_CF_SEC_20230125.xlsx]CF PND'!$DN$37</v>
      </c>
      <c r="J2587" s="4" t="s">
        <v>1314</v>
      </c>
    </row>
    <row r="2588" spans="1:10" x14ac:dyDescent="0.25">
      <c r="A2588" s="7" t="s">
        <v>3</v>
      </c>
      <c r="B2588" s="7">
        <f t="shared" ref="B2588:B2599" si="589">+B2587+1</f>
        <v>2025</v>
      </c>
      <c r="C2588" s="4" t="s">
        <v>23</v>
      </c>
      <c r="D2588" s="5" t="s">
        <v>128</v>
      </c>
      <c r="E2588" s="10" t="str">
        <f t="shared" si="585"/>
        <v>PND'!</v>
      </c>
      <c r="F2588" s="5" t="str">
        <f t="shared" si="586"/>
        <v>C:\Users\jaime.benazar\Quorum Business Solutions\Ecopetrol Prometeo - Documents\Planning Space Implementation\3. Analysis &amp; Design\Design\FC22\DRR Jaime\QUIFA-CAJÚA\Cajua\[VAS_CAJUA_CF_SEC_20230125.xlsx]CF PND'!</v>
      </c>
      <c r="G2588" s="7" t="s">
        <v>41</v>
      </c>
      <c r="H2588" s="4">
        <f t="shared" si="588"/>
        <v>38</v>
      </c>
      <c r="I2588" s="4" t="str">
        <f t="shared" si="587"/>
        <v>='C:\Users\jaime.benazar\Quorum Business Solutions\Ecopetrol Prometeo - Documents\Planning Space Implementation\3. Analysis &amp; Design\Design\FC22\DRR Jaime\QUIFA-CAJÚA\Cajua\[VAS_CAJUA_CF_SEC_20230125.xlsx]CF PND'!$DN$38</v>
      </c>
      <c r="J2588" s="4" t="s">
        <v>1315</v>
      </c>
    </row>
    <row r="2589" spans="1:10" x14ac:dyDescent="0.25">
      <c r="A2589" s="7" t="s">
        <v>3</v>
      </c>
      <c r="B2589" s="7">
        <f t="shared" si="589"/>
        <v>2026</v>
      </c>
      <c r="C2589" s="4" t="s">
        <v>23</v>
      </c>
      <c r="D2589" s="5" t="s">
        <v>128</v>
      </c>
      <c r="E2589" s="10" t="str">
        <f t="shared" si="585"/>
        <v>PND'!</v>
      </c>
      <c r="F2589" s="5" t="str">
        <f t="shared" si="586"/>
        <v>C:\Users\jaime.benazar\Quorum Business Solutions\Ecopetrol Prometeo - Documents\Planning Space Implementation\3. Analysis &amp; Design\Design\FC22\DRR Jaime\QUIFA-CAJÚA\Cajua\[VAS_CAJUA_CF_SEC_20230125.xlsx]CF PND'!</v>
      </c>
      <c r="G2589" s="7" t="s">
        <v>41</v>
      </c>
      <c r="H2589" s="4">
        <f t="shared" si="588"/>
        <v>39</v>
      </c>
      <c r="I2589" s="4" t="str">
        <f t="shared" si="587"/>
        <v>='C:\Users\jaime.benazar\Quorum Business Solutions\Ecopetrol Prometeo - Documents\Planning Space Implementation\3. Analysis &amp; Design\Design\FC22\DRR Jaime\QUIFA-CAJÚA\Cajua\[VAS_CAJUA_CF_SEC_20230125.xlsx]CF PND'!$DN$39</v>
      </c>
      <c r="J2589" s="4" t="s">
        <v>1316</v>
      </c>
    </row>
    <row r="2590" spans="1:10" x14ac:dyDescent="0.25">
      <c r="A2590" s="7" t="s">
        <v>3</v>
      </c>
      <c r="B2590" s="7">
        <f t="shared" si="589"/>
        <v>2027</v>
      </c>
      <c r="C2590" s="4" t="s">
        <v>23</v>
      </c>
      <c r="D2590" s="5" t="s">
        <v>128</v>
      </c>
      <c r="E2590" s="10" t="str">
        <f t="shared" si="585"/>
        <v>PND'!</v>
      </c>
      <c r="F2590" s="5" t="str">
        <f t="shared" si="586"/>
        <v>C:\Users\jaime.benazar\Quorum Business Solutions\Ecopetrol Prometeo - Documents\Planning Space Implementation\3. Analysis &amp; Design\Design\FC22\DRR Jaime\QUIFA-CAJÚA\Cajua\[VAS_CAJUA_CF_SEC_20230125.xlsx]CF PND'!</v>
      </c>
      <c r="G2590" s="7" t="s">
        <v>41</v>
      </c>
      <c r="H2590" s="4">
        <f t="shared" si="588"/>
        <v>40</v>
      </c>
      <c r="I2590" s="4" t="str">
        <f t="shared" si="587"/>
        <v>='C:\Users\jaime.benazar\Quorum Business Solutions\Ecopetrol Prometeo - Documents\Planning Space Implementation\3. Analysis &amp; Design\Design\FC22\DRR Jaime\QUIFA-CAJÚA\Cajua\[VAS_CAJUA_CF_SEC_20230125.xlsx]CF PND'!$DN$40</v>
      </c>
      <c r="J2590" s="4" t="s">
        <v>1317</v>
      </c>
    </row>
    <row r="2591" spans="1:10" x14ac:dyDescent="0.25">
      <c r="A2591" s="7" t="s">
        <v>3</v>
      </c>
      <c r="B2591" s="7">
        <f t="shared" si="589"/>
        <v>2028</v>
      </c>
      <c r="C2591" s="4" t="s">
        <v>23</v>
      </c>
      <c r="D2591" s="5" t="s">
        <v>128</v>
      </c>
      <c r="E2591" s="10" t="str">
        <f t="shared" si="585"/>
        <v>PND'!</v>
      </c>
      <c r="F2591" s="5" t="str">
        <f t="shared" si="586"/>
        <v>C:\Users\jaime.benazar\Quorum Business Solutions\Ecopetrol Prometeo - Documents\Planning Space Implementation\3. Analysis &amp; Design\Design\FC22\DRR Jaime\QUIFA-CAJÚA\Cajua\[VAS_CAJUA_CF_SEC_20230125.xlsx]CF PND'!</v>
      </c>
      <c r="G2591" s="7" t="s">
        <v>41</v>
      </c>
      <c r="H2591" s="4">
        <f t="shared" si="588"/>
        <v>41</v>
      </c>
      <c r="I2591" s="4" t="str">
        <f t="shared" si="587"/>
        <v>='C:\Users\jaime.benazar\Quorum Business Solutions\Ecopetrol Prometeo - Documents\Planning Space Implementation\3. Analysis &amp; Design\Design\FC22\DRR Jaime\QUIFA-CAJÚA\Cajua\[VAS_CAJUA_CF_SEC_20230125.xlsx]CF PND'!$DN$41</v>
      </c>
      <c r="J2591" s="4" t="s">
        <v>1318</v>
      </c>
    </row>
    <row r="2592" spans="1:10" x14ac:dyDescent="0.25">
      <c r="A2592" s="7" t="s">
        <v>3</v>
      </c>
      <c r="B2592" s="7">
        <f t="shared" si="589"/>
        <v>2029</v>
      </c>
      <c r="C2592" s="4" t="s">
        <v>23</v>
      </c>
      <c r="D2592" s="5" t="s">
        <v>128</v>
      </c>
      <c r="E2592" s="10" t="str">
        <f t="shared" si="585"/>
        <v>PND'!</v>
      </c>
      <c r="F2592" s="5" t="str">
        <f t="shared" si="586"/>
        <v>C:\Users\jaime.benazar\Quorum Business Solutions\Ecopetrol Prometeo - Documents\Planning Space Implementation\3. Analysis &amp; Design\Design\FC22\DRR Jaime\QUIFA-CAJÚA\Cajua\[VAS_CAJUA_CF_SEC_20230125.xlsx]CF PND'!</v>
      </c>
      <c r="G2592" s="7" t="s">
        <v>41</v>
      </c>
      <c r="H2592" s="4">
        <f t="shared" si="588"/>
        <v>42</v>
      </c>
      <c r="I2592" s="4" t="str">
        <f t="shared" si="587"/>
        <v>='C:\Users\jaime.benazar\Quorum Business Solutions\Ecopetrol Prometeo - Documents\Planning Space Implementation\3. Analysis &amp; Design\Design\FC22\DRR Jaime\QUIFA-CAJÚA\Cajua\[VAS_CAJUA_CF_SEC_20230125.xlsx]CF PND'!$DN$42</v>
      </c>
      <c r="J2592" s="4" t="s">
        <v>1319</v>
      </c>
    </row>
    <row r="2593" spans="1:10" x14ac:dyDescent="0.25">
      <c r="A2593" s="7" t="s">
        <v>3</v>
      </c>
      <c r="B2593" s="7">
        <f t="shared" si="589"/>
        <v>2030</v>
      </c>
      <c r="C2593" s="4" t="s">
        <v>23</v>
      </c>
      <c r="D2593" s="5" t="s">
        <v>128</v>
      </c>
      <c r="E2593" s="10" t="str">
        <f t="shared" si="585"/>
        <v>PND'!</v>
      </c>
      <c r="F2593" s="5" t="str">
        <f t="shared" si="586"/>
        <v>C:\Users\jaime.benazar\Quorum Business Solutions\Ecopetrol Prometeo - Documents\Planning Space Implementation\3. Analysis &amp; Design\Design\FC22\DRR Jaime\QUIFA-CAJÚA\Cajua\[VAS_CAJUA_CF_SEC_20230125.xlsx]CF PND'!</v>
      </c>
      <c r="G2593" s="7" t="s">
        <v>41</v>
      </c>
      <c r="H2593" s="4">
        <f t="shared" si="588"/>
        <v>43</v>
      </c>
      <c r="I2593" s="4" t="str">
        <f t="shared" si="587"/>
        <v>='C:\Users\jaime.benazar\Quorum Business Solutions\Ecopetrol Prometeo - Documents\Planning Space Implementation\3. Analysis &amp; Design\Design\FC22\DRR Jaime\QUIFA-CAJÚA\Cajua\[VAS_CAJUA_CF_SEC_20230125.xlsx]CF PND'!$DN$43</v>
      </c>
      <c r="J2593" s="4" t="s">
        <v>1320</v>
      </c>
    </row>
    <row r="2594" spans="1:10" x14ac:dyDescent="0.25">
      <c r="A2594" s="7" t="s">
        <v>3</v>
      </c>
      <c r="B2594" s="7">
        <f t="shared" si="589"/>
        <v>2031</v>
      </c>
      <c r="C2594" s="4" t="s">
        <v>23</v>
      </c>
      <c r="D2594" s="5" t="s">
        <v>128</v>
      </c>
      <c r="E2594" s="10" t="str">
        <f t="shared" si="585"/>
        <v>PND'!</v>
      </c>
      <c r="F2594" s="5" t="str">
        <f t="shared" si="586"/>
        <v>C:\Users\jaime.benazar\Quorum Business Solutions\Ecopetrol Prometeo - Documents\Planning Space Implementation\3. Analysis &amp; Design\Design\FC22\DRR Jaime\QUIFA-CAJÚA\Cajua\[VAS_CAJUA_CF_SEC_20230125.xlsx]CF PND'!</v>
      </c>
      <c r="G2594" s="7" t="s">
        <v>41</v>
      </c>
      <c r="H2594" s="4">
        <f t="shared" si="588"/>
        <v>44</v>
      </c>
      <c r="I2594" s="4" t="str">
        <f t="shared" si="587"/>
        <v>='C:\Users\jaime.benazar\Quorum Business Solutions\Ecopetrol Prometeo - Documents\Planning Space Implementation\3. Analysis &amp; Design\Design\FC22\DRR Jaime\QUIFA-CAJÚA\Cajua\[VAS_CAJUA_CF_SEC_20230125.xlsx]CF PND'!$DN$44</v>
      </c>
      <c r="J2594" s="4" t="s">
        <v>1321</v>
      </c>
    </row>
    <row r="2595" spans="1:10" x14ac:dyDescent="0.25">
      <c r="A2595" s="7" t="s">
        <v>3</v>
      </c>
      <c r="B2595" s="7">
        <f t="shared" si="589"/>
        <v>2032</v>
      </c>
      <c r="C2595" s="4" t="s">
        <v>23</v>
      </c>
      <c r="D2595" s="5" t="s">
        <v>128</v>
      </c>
      <c r="E2595" s="10" t="str">
        <f t="shared" si="585"/>
        <v>PND'!</v>
      </c>
      <c r="F2595" s="5" t="str">
        <f t="shared" si="586"/>
        <v>C:\Users\jaime.benazar\Quorum Business Solutions\Ecopetrol Prometeo - Documents\Planning Space Implementation\3. Analysis &amp; Design\Design\FC22\DRR Jaime\QUIFA-CAJÚA\Cajua\[VAS_CAJUA_CF_SEC_20230125.xlsx]CF PND'!</v>
      </c>
      <c r="G2595" s="7" t="s">
        <v>41</v>
      </c>
      <c r="H2595" s="4">
        <f t="shared" si="588"/>
        <v>45</v>
      </c>
      <c r="I2595" s="4" t="str">
        <f t="shared" si="587"/>
        <v>='C:\Users\jaime.benazar\Quorum Business Solutions\Ecopetrol Prometeo - Documents\Planning Space Implementation\3. Analysis &amp; Design\Design\FC22\DRR Jaime\QUIFA-CAJÚA\Cajua\[VAS_CAJUA_CF_SEC_20230125.xlsx]CF PND'!$DN$45</v>
      </c>
      <c r="J2595" s="4" t="s">
        <v>1322</v>
      </c>
    </row>
    <row r="2596" spans="1:10" x14ac:dyDescent="0.25">
      <c r="A2596" s="7" t="s">
        <v>3</v>
      </c>
      <c r="B2596" s="7">
        <f t="shared" si="589"/>
        <v>2033</v>
      </c>
      <c r="C2596" s="4" t="s">
        <v>23</v>
      </c>
      <c r="D2596" s="5" t="s">
        <v>128</v>
      </c>
      <c r="E2596" s="10" t="str">
        <f t="shared" si="585"/>
        <v>PND'!</v>
      </c>
      <c r="F2596" s="5" t="str">
        <f t="shared" si="586"/>
        <v>C:\Users\jaime.benazar\Quorum Business Solutions\Ecopetrol Prometeo - Documents\Planning Space Implementation\3. Analysis &amp; Design\Design\FC22\DRR Jaime\QUIFA-CAJÚA\Cajua\[VAS_CAJUA_CF_SEC_20230125.xlsx]CF PND'!</v>
      </c>
      <c r="G2596" s="7" t="s">
        <v>41</v>
      </c>
      <c r="H2596" s="4">
        <f t="shared" si="588"/>
        <v>46</v>
      </c>
      <c r="I2596" s="4" t="str">
        <f t="shared" si="587"/>
        <v>='C:\Users\jaime.benazar\Quorum Business Solutions\Ecopetrol Prometeo - Documents\Planning Space Implementation\3. Analysis &amp; Design\Design\FC22\DRR Jaime\QUIFA-CAJÚA\Cajua\[VAS_CAJUA_CF_SEC_20230125.xlsx]CF PND'!$DN$46</v>
      </c>
      <c r="J2596" s="4" t="s">
        <v>1323</v>
      </c>
    </row>
    <row r="2597" spans="1:10" x14ac:dyDescent="0.25">
      <c r="A2597" s="7" t="s">
        <v>3</v>
      </c>
      <c r="B2597" s="7">
        <f t="shared" si="589"/>
        <v>2034</v>
      </c>
      <c r="C2597" s="4" t="s">
        <v>23</v>
      </c>
      <c r="D2597" s="5" t="s">
        <v>128</v>
      </c>
      <c r="E2597" s="10" t="str">
        <f t="shared" si="585"/>
        <v>PND'!</v>
      </c>
      <c r="F2597" s="5" t="str">
        <f t="shared" si="586"/>
        <v>C:\Users\jaime.benazar\Quorum Business Solutions\Ecopetrol Prometeo - Documents\Planning Space Implementation\3. Analysis &amp; Design\Design\FC22\DRR Jaime\QUIFA-CAJÚA\Cajua\[VAS_CAJUA_CF_SEC_20230125.xlsx]CF PND'!</v>
      </c>
      <c r="G2597" s="7" t="s">
        <v>41</v>
      </c>
      <c r="H2597" s="4">
        <f t="shared" si="588"/>
        <v>47</v>
      </c>
      <c r="I2597" s="4" t="str">
        <f t="shared" si="587"/>
        <v>='C:\Users\jaime.benazar\Quorum Business Solutions\Ecopetrol Prometeo - Documents\Planning Space Implementation\3. Analysis &amp; Design\Design\FC22\DRR Jaime\QUIFA-CAJÚA\Cajua\[VAS_CAJUA_CF_SEC_20230125.xlsx]CF PND'!$DN$47</v>
      </c>
      <c r="J2597" s="4" t="s">
        <v>1324</v>
      </c>
    </row>
    <row r="2598" spans="1:10" x14ac:dyDescent="0.25">
      <c r="A2598" s="7" t="s">
        <v>3</v>
      </c>
      <c r="B2598" s="7">
        <f t="shared" si="589"/>
        <v>2035</v>
      </c>
      <c r="C2598" s="4" t="s">
        <v>23</v>
      </c>
      <c r="D2598" s="5" t="s">
        <v>128</v>
      </c>
      <c r="E2598" s="10" t="str">
        <f t="shared" si="585"/>
        <v>PND'!</v>
      </c>
      <c r="F2598" s="5" t="str">
        <f t="shared" si="586"/>
        <v>C:\Users\jaime.benazar\Quorum Business Solutions\Ecopetrol Prometeo - Documents\Planning Space Implementation\3. Analysis &amp; Design\Design\FC22\DRR Jaime\QUIFA-CAJÚA\Cajua\[VAS_CAJUA_CF_SEC_20230125.xlsx]CF PND'!</v>
      </c>
      <c r="G2598" s="7" t="s">
        <v>41</v>
      </c>
      <c r="H2598" s="4">
        <f t="shared" si="588"/>
        <v>48</v>
      </c>
      <c r="I2598" s="4" t="str">
        <f t="shared" si="587"/>
        <v>='C:\Users\jaime.benazar\Quorum Business Solutions\Ecopetrol Prometeo - Documents\Planning Space Implementation\3. Analysis &amp; Design\Design\FC22\DRR Jaime\QUIFA-CAJÚA\Cajua\[VAS_CAJUA_CF_SEC_20230125.xlsx]CF PND'!$DN$48</v>
      </c>
      <c r="J2598" s="4" t="s">
        <v>1325</v>
      </c>
    </row>
    <row r="2599" spans="1:10" x14ac:dyDescent="0.25">
      <c r="A2599" s="7" t="s">
        <v>3</v>
      </c>
      <c r="B2599" s="7">
        <f t="shared" si="589"/>
        <v>2036</v>
      </c>
      <c r="C2599" s="4" t="s">
        <v>23</v>
      </c>
      <c r="D2599" s="5" t="s">
        <v>128</v>
      </c>
      <c r="E2599" s="10" t="str">
        <f t="shared" si="585"/>
        <v>PND'!</v>
      </c>
      <c r="F2599" s="5" t="str">
        <f t="shared" si="586"/>
        <v>C:\Users\jaime.benazar\Quorum Business Solutions\Ecopetrol Prometeo - Documents\Planning Space Implementation\3. Analysis &amp; Design\Design\FC22\DRR Jaime\QUIFA-CAJÚA\Cajua\[VAS_CAJUA_CF_SEC_20230125.xlsx]CF PND'!</v>
      </c>
      <c r="G2599" s="7" t="s">
        <v>41</v>
      </c>
      <c r="H2599" s="4">
        <f t="shared" si="588"/>
        <v>49</v>
      </c>
      <c r="I2599" s="4" t="str">
        <f t="shared" si="587"/>
        <v>='C:\Users\jaime.benazar\Quorum Business Solutions\Ecopetrol Prometeo - Documents\Planning Space Implementation\3. Analysis &amp; Design\Design\FC22\DRR Jaime\QUIFA-CAJÚA\Cajua\[VAS_CAJUA_CF_SEC_20230125.xlsx]CF PND'!$DN$49</v>
      </c>
      <c r="J2599" s="4" t="s">
        <v>1326</v>
      </c>
    </row>
    <row r="2600" spans="1:10" x14ac:dyDescent="0.25">
      <c r="A2600" s="7" t="s">
        <v>3</v>
      </c>
      <c r="B2600" s="7">
        <f>+B2599+1</f>
        <v>2037</v>
      </c>
      <c r="C2600" s="4" t="s">
        <v>23</v>
      </c>
      <c r="D2600" s="5" t="s">
        <v>128</v>
      </c>
      <c r="E2600" s="10" t="str">
        <f t="shared" si="585"/>
        <v>PND'!</v>
      </c>
      <c r="F2600" s="5" t="str">
        <f t="shared" si="586"/>
        <v>C:\Users\jaime.benazar\Quorum Business Solutions\Ecopetrol Prometeo - Documents\Planning Space Implementation\3. Analysis &amp; Design\Design\FC22\DRR Jaime\QUIFA-CAJÚA\Cajua\[VAS_CAJUA_CF_SEC_20230125.xlsx]CF PND'!</v>
      </c>
      <c r="G2600" s="7" t="s">
        <v>41</v>
      </c>
      <c r="H2600" s="4">
        <f t="shared" si="588"/>
        <v>50</v>
      </c>
      <c r="I2600" s="4" t="str">
        <f t="shared" si="587"/>
        <v>='C:\Users\jaime.benazar\Quorum Business Solutions\Ecopetrol Prometeo - Documents\Planning Space Implementation\3. Analysis &amp; Design\Design\FC22\DRR Jaime\QUIFA-CAJÚA\Cajua\[VAS_CAJUA_CF_SEC_20230125.xlsx]CF PND'!$DN$50</v>
      </c>
      <c r="J2600" s="4" t="s">
        <v>1327</v>
      </c>
    </row>
    <row r="2601" spans="1:10" x14ac:dyDescent="0.25">
      <c r="A2601" s="7" t="s">
        <v>3</v>
      </c>
      <c r="B2601" s="7">
        <f t="shared" ref="B2601:B2603" si="590">+B2600+1</f>
        <v>2038</v>
      </c>
      <c r="C2601" s="4" t="s">
        <v>23</v>
      </c>
      <c r="D2601" s="5" t="s">
        <v>128</v>
      </c>
      <c r="E2601" s="10" t="str">
        <f t="shared" si="585"/>
        <v>PND'!</v>
      </c>
      <c r="F2601" s="5" t="str">
        <f t="shared" si="586"/>
        <v>C:\Users\jaime.benazar\Quorum Business Solutions\Ecopetrol Prometeo - Documents\Planning Space Implementation\3. Analysis &amp; Design\Design\FC22\DRR Jaime\QUIFA-CAJÚA\Cajua\[VAS_CAJUA_CF_SEC_20230125.xlsx]CF PND'!</v>
      </c>
      <c r="G2601" s="7" t="s">
        <v>41</v>
      </c>
      <c r="H2601" s="4">
        <f t="shared" si="588"/>
        <v>51</v>
      </c>
      <c r="I2601" s="4" t="str">
        <f t="shared" si="587"/>
        <v>='C:\Users\jaime.benazar\Quorum Business Solutions\Ecopetrol Prometeo - Documents\Planning Space Implementation\3. Analysis &amp; Design\Design\FC22\DRR Jaime\QUIFA-CAJÚA\Cajua\[VAS_CAJUA_CF_SEC_20230125.xlsx]CF PND'!$DN$51</v>
      </c>
      <c r="J2601" s="4" t="s">
        <v>1328</v>
      </c>
    </row>
    <row r="2602" spans="1:10" x14ac:dyDescent="0.25">
      <c r="A2602" s="7" t="s">
        <v>3</v>
      </c>
      <c r="B2602" s="7">
        <f t="shared" si="590"/>
        <v>2039</v>
      </c>
      <c r="C2602" s="4" t="s">
        <v>23</v>
      </c>
      <c r="D2602" s="5" t="s">
        <v>128</v>
      </c>
      <c r="E2602" s="10" t="str">
        <f t="shared" si="585"/>
        <v>PND'!</v>
      </c>
      <c r="F2602" s="5" t="str">
        <f t="shared" si="586"/>
        <v>C:\Users\jaime.benazar\Quorum Business Solutions\Ecopetrol Prometeo - Documents\Planning Space Implementation\3. Analysis &amp; Design\Design\FC22\DRR Jaime\QUIFA-CAJÚA\Cajua\[VAS_CAJUA_CF_SEC_20230125.xlsx]CF PND'!</v>
      </c>
      <c r="G2602" s="7" t="s">
        <v>41</v>
      </c>
      <c r="H2602" s="4">
        <f t="shared" si="588"/>
        <v>52</v>
      </c>
      <c r="I2602" s="4" t="str">
        <f t="shared" si="587"/>
        <v>='C:\Users\jaime.benazar\Quorum Business Solutions\Ecopetrol Prometeo - Documents\Planning Space Implementation\3. Analysis &amp; Design\Design\FC22\DRR Jaime\QUIFA-CAJÚA\Cajua\[VAS_CAJUA_CF_SEC_20230125.xlsx]CF PND'!$DN$52</v>
      </c>
      <c r="J2602" s="4" t="s">
        <v>1329</v>
      </c>
    </row>
    <row r="2603" spans="1:10" x14ac:dyDescent="0.25">
      <c r="A2603" s="7" t="s">
        <v>3</v>
      </c>
      <c r="B2603" s="7">
        <f t="shared" si="590"/>
        <v>2040</v>
      </c>
      <c r="C2603" s="4" t="s">
        <v>23</v>
      </c>
      <c r="D2603" s="5" t="s">
        <v>128</v>
      </c>
      <c r="E2603" s="10" t="str">
        <f t="shared" si="585"/>
        <v>PND'!</v>
      </c>
      <c r="F2603" s="5" t="str">
        <f t="shared" si="586"/>
        <v>C:\Users\jaime.benazar\Quorum Business Solutions\Ecopetrol Prometeo - Documents\Planning Space Implementation\3. Analysis &amp; Design\Design\FC22\DRR Jaime\QUIFA-CAJÚA\Cajua\[VAS_CAJUA_CF_SEC_20230125.xlsx]CF PND'!</v>
      </c>
      <c r="G2603" s="7" t="s">
        <v>41</v>
      </c>
      <c r="H2603" s="4">
        <f t="shared" si="588"/>
        <v>53</v>
      </c>
      <c r="I2603" s="4" t="str">
        <f t="shared" si="587"/>
        <v>='C:\Users\jaime.benazar\Quorum Business Solutions\Ecopetrol Prometeo - Documents\Planning Space Implementation\3. Analysis &amp; Design\Design\FC22\DRR Jaime\QUIFA-CAJÚA\Cajua\[VAS_CAJUA_CF_SEC_20230125.xlsx]CF PND'!$DN$53</v>
      </c>
      <c r="J2603" s="4" t="s">
        <v>1330</v>
      </c>
    </row>
    <row r="2604" spans="1:10" x14ac:dyDescent="0.25">
      <c r="A2604" s="7" t="s">
        <v>3</v>
      </c>
      <c r="B2604" s="7">
        <f>+B2603+1</f>
        <v>2041</v>
      </c>
      <c r="C2604" s="4" t="s">
        <v>23</v>
      </c>
      <c r="D2604" s="5" t="s">
        <v>128</v>
      </c>
      <c r="E2604" s="10" t="str">
        <f t="shared" si="585"/>
        <v>PND'!</v>
      </c>
      <c r="F2604" s="5" t="str">
        <f t="shared" si="586"/>
        <v>C:\Users\jaime.benazar\Quorum Business Solutions\Ecopetrol Prometeo - Documents\Planning Space Implementation\3. Analysis &amp; Design\Design\FC22\DRR Jaime\QUIFA-CAJÚA\Cajua\[VAS_CAJUA_CF_SEC_20230125.xlsx]CF PND'!</v>
      </c>
      <c r="G2604" s="7" t="s">
        <v>41</v>
      </c>
      <c r="H2604" s="4">
        <f t="shared" si="588"/>
        <v>54</v>
      </c>
      <c r="I2604" s="4" t="str">
        <f t="shared" si="587"/>
        <v>='C:\Users\jaime.benazar\Quorum Business Solutions\Ecopetrol Prometeo - Documents\Planning Space Implementation\3. Analysis &amp; Design\Design\FC22\DRR Jaime\QUIFA-CAJÚA\Cajua\[VAS_CAJUA_CF_SEC_20230125.xlsx]CF PND'!$DN$54</v>
      </c>
      <c r="J2604" s="4" t="s">
        <v>1331</v>
      </c>
    </row>
    <row r="2605" spans="1:10" x14ac:dyDescent="0.25">
      <c r="A2605" s="7" t="s">
        <v>3</v>
      </c>
      <c r="B2605" s="7">
        <f t="shared" ref="B2605:B2606" si="591">+B2604+1</f>
        <v>2042</v>
      </c>
      <c r="C2605" s="4" t="s">
        <v>23</v>
      </c>
      <c r="D2605" s="5" t="s">
        <v>128</v>
      </c>
      <c r="E2605" s="10" t="str">
        <f t="shared" ref="E2605:E2910" si="592">_xlfn.CONCAT(A2605,"'!")</f>
        <v>PND'!</v>
      </c>
      <c r="F2605" s="5" t="str">
        <f t="shared" si="586"/>
        <v>C:\Users\jaime.benazar\Quorum Business Solutions\Ecopetrol Prometeo - Documents\Planning Space Implementation\3. Analysis &amp; Design\Design\FC22\DRR Jaime\QUIFA-CAJÚA\Cajua\[VAS_CAJUA_CF_SEC_20230125.xlsx]CF PND'!</v>
      </c>
      <c r="G2605" s="7" t="s">
        <v>41</v>
      </c>
      <c r="H2605" s="4">
        <f t="shared" si="588"/>
        <v>55</v>
      </c>
      <c r="I2605" s="4" t="str">
        <f t="shared" ref="I2605:I2910" si="593">_xlfn.CONCAT("='",F2605:H2605)</f>
        <v>='C:\Users\jaime.benazar\Quorum Business Solutions\Ecopetrol Prometeo - Documents\Planning Space Implementation\3. Analysis &amp; Design\Design\FC22\DRR Jaime\QUIFA-CAJÚA\Cajua\[VAS_CAJUA_CF_SEC_20230125.xlsx]CF PND'!$DN$55</v>
      </c>
      <c r="J2605" s="4" t="s">
        <v>1332</v>
      </c>
    </row>
    <row r="2606" spans="1:10" x14ac:dyDescent="0.25">
      <c r="A2606" s="7" t="s">
        <v>3</v>
      </c>
      <c r="B2606" s="7">
        <f t="shared" si="591"/>
        <v>2043</v>
      </c>
      <c r="C2606" s="4" t="s">
        <v>23</v>
      </c>
      <c r="D2606" s="5" t="s">
        <v>128</v>
      </c>
      <c r="E2606" s="10" t="str">
        <f t="shared" si="592"/>
        <v>PND'!</v>
      </c>
      <c r="F2606" s="5" t="str">
        <f t="shared" si="586"/>
        <v>C:\Users\jaime.benazar\Quorum Business Solutions\Ecopetrol Prometeo - Documents\Planning Space Implementation\3. Analysis &amp; Design\Design\FC22\DRR Jaime\QUIFA-CAJÚA\Cajua\[VAS_CAJUA_CF_SEC_20230125.xlsx]CF PND'!</v>
      </c>
      <c r="G2606" s="7" t="s">
        <v>41</v>
      </c>
      <c r="H2606" s="4">
        <f t="shared" ref="H2606:H2910" si="594">IF(A2606&lt;&gt;A2605,36,H2605+1)</f>
        <v>56</v>
      </c>
      <c r="I2606" s="4" t="str">
        <f t="shared" si="593"/>
        <v>='C:\Users\jaime.benazar\Quorum Business Solutions\Ecopetrol Prometeo - Documents\Planning Space Implementation\3. Analysis &amp; Design\Design\FC22\DRR Jaime\QUIFA-CAJÚA\Cajua\[VAS_CAJUA_CF_SEC_20230125.xlsx]CF PND'!$DN$56</v>
      </c>
      <c r="J2606" s="4" t="s">
        <v>1333</v>
      </c>
    </row>
    <row r="2607" spans="1:10" x14ac:dyDescent="0.25">
      <c r="A2607" s="7" t="s">
        <v>3</v>
      </c>
      <c r="B2607" s="7">
        <f>+B2606+1</f>
        <v>2044</v>
      </c>
      <c r="C2607" s="4" t="s">
        <v>23</v>
      </c>
      <c r="D2607" s="5" t="s">
        <v>128</v>
      </c>
      <c r="E2607" s="10" t="str">
        <f t="shared" ref="E2607:E2622" si="595">_xlfn.CONCAT(A2607,"'!")</f>
        <v>PND'!</v>
      </c>
      <c r="F2607" s="5" t="str">
        <f t="shared" ref="F2607:F2622" si="596">_xlfn.CONCAT(D2607," ",E2607)</f>
        <v>C:\Users\jaime.benazar\Quorum Business Solutions\Ecopetrol Prometeo - Documents\Planning Space Implementation\3. Analysis &amp; Design\Design\FC22\DRR Jaime\QUIFA-CAJÚA\Cajua\[VAS_CAJUA_CF_SEC_20230125.xlsx]CF PND'!</v>
      </c>
      <c r="G2607" s="7" t="s">
        <v>41</v>
      </c>
      <c r="H2607" s="4">
        <f t="shared" ref="H2607:H2622" si="597">IF(A2607&lt;&gt;A2606,36,H2606+1)</f>
        <v>57</v>
      </c>
      <c r="I2607" s="4" t="str">
        <f t="shared" ref="I2607:I2622" si="598">_xlfn.CONCAT("='",F2607:H2607)</f>
        <v>='C:\Users\jaime.benazar\Quorum Business Solutions\Ecopetrol Prometeo - Documents\Planning Space Implementation\3. Analysis &amp; Design\Design\FC22\DRR Jaime\QUIFA-CAJÚA\Cajua\[VAS_CAJUA_CF_SEC_20230125.xlsx]CF PND'!$DN$57</v>
      </c>
      <c r="J2607" s="4" t="s">
        <v>1334</v>
      </c>
    </row>
    <row r="2608" spans="1:10" x14ac:dyDescent="0.25">
      <c r="A2608" s="7" t="s">
        <v>3</v>
      </c>
      <c r="B2608" s="7">
        <f t="shared" ref="B2608:B2622" si="599">+B2607+1</f>
        <v>2045</v>
      </c>
      <c r="C2608" s="4" t="s">
        <v>23</v>
      </c>
      <c r="D2608" s="5" t="s">
        <v>128</v>
      </c>
      <c r="E2608" s="10" t="str">
        <f t="shared" si="595"/>
        <v>PND'!</v>
      </c>
      <c r="F2608" s="5" t="str">
        <f t="shared" si="596"/>
        <v>C:\Users\jaime.benazar\Quorum Business Solutions\Ecopetrol Prometeo - Documents\Planning Space Implementation\3. Analysis &amp; Design\Design\FC22\DRR Jaime\QUIFA-CAJÚA\Cajua\[VAS_CAJUA_CF_SEC_20230125.xlsx]CF PND'!</v>
      </c>
      <c r="G2608" s="7" t="s">
        <v>41</v>
      </c>
      <c r="H2608" s="4">
        <f t="shared" si="597"/>
        <v>58</v>
      </c>
      <c r="I2608" s="4" t="str">
        <f t="shared" si="598"/>
        <v>='C:\Users\jaime.benazar\Quorum Business Solutions\Ecopetrol Prometeo - Documents\Planning Space Implementation\3. Analysis &amp; Design\Design\FC22\DRR Jaime\QUIFA-CAJÚA\Cajua\[VAS_CAJUA_CF_SEC_20230125.xlsx]CF PND'!$DN$58</v>
      </c>
      <c r="J2608" s="4" t="s">
        <v>1335</v>
      </c>
    </row>
    <row r="2609" spans="1:10" x14ac:dyDescent="0.25">
      <c r="A2609" s="7" t="s">
        <v>3</v>
      </c>
      <c r="B2609" s="7">
        <f t="shared" si="599"/>
        <v>2046</v>
      </c>
      <c r="C2609" s="4" t="s">
        <v>23</v>
      </c>
      <c r="D2609" s="5" t="s">
        <v>128</v>
      </c>
      <c r="E2609" s="10" t="str">
        <f t="shared" si="595"/>
        <v>PND'!</v>
      </c>
      <c r="F2609" s="5" t="str">
        <f t="shared" si="596"/>
        <v>C:\Users\jaime.benazar\Quorum Business Solutions\Ecopetrol Prometeo - Documents\Planning Space Implementation\3. Analysis &amp; Design\Design\FC22\DRR Jaime\QUIFA-CAJÚA\Cajua\[VAS_CAJUA_CF_SEC_20230125.xlsx]CF PND'!</v>
      </c>
      <c r="G2609" s="7" t="s">
        <v>41</v>
      </c>
      <c r="H2609" s="4">
        <f t="shared" si="597"/>
        <v>59</v>
      </c>
      <c r="I2609" s="4" t="str">
        <f t="shared" si="598"/>
        <v>='C:\Users\jaime.benazar\Quorum Business Solutions\Ecopetrol Prometeo - Documents\Planning Space Implementation\3. Analysis &amp; Design\Design\FC22\DRR Jaime\QUIFA-CAJÚA\Cajua\[VAS_CAJUA_CF_SEC_20230125.xlsx]CF PND'!$DN$59</v>
      </c>
      <c r="J2609" s="4" t="s">
        <v>1336</v>
      </c>
    </row>
    <row r="2610" spans="1:10" x14ac:dyDescent="0.25">
      <c r="A2610" s="7" t="s">
        <v>3</v>
      </c>
      <c r="B2610" s="7">
        <f t="shared" si="599"/>
        <v>2047</v>
      </c>
      <c r="C2610" s="4" t="s">
        <v>23</v>
      </c>
      <c r="D2610" s="5" t="s">
        <v>128</v>
      </c>
      <c r="E2610" s="10" t="str">
        <f t="shared" si="595"/>
        <v>PND'!</v>
      </c>
      <c r="F2610" s="5" t="str">
        <f t="shared" si="596"/>
        <v>C:\Users\jaime.benazar\Quorum Business Solutions\Ecopetrol Prometeo - Documents\Planning Space Implementation\3. Analysis &amp; Design\Design\FC22\DRR Jaime\QUIFA-CAJÚA\Cajua\[VAS_CAJUA_CF_SEC_20230125.xlsx]CF PND'!</v>
      </c>
      <c r="G2610" s="7" t="s">
        <v>41</v>
      </c>
      <c r="H2610" s="4">
        <f t="shared" si="597"/>
        <v>60</v>
      </c>
      <c r="I2610" s="4" t="str">
        <f t="shared" si="598"/>
        <v>='C:\Users\jaime.benazar\Quorum Business Solutions\Ecopetrol Prometeo - Documents\Planning Space Implementation\3. Analysis &amp; Design\Design\FC22\DRR Jaime\QUIFA-CAJÚA\Cajua\[VAS_CAJUA_CF_SEC_20230125.xlsx]CF PND'!$DN$60</v>
      </c>
      <c r="J2610" s="4" t="s">
        <v>1337</v>
      </c>
    </row>
    <row r="2611" spans="1:10" x14ac:dyDescent="0.25">
      <c r="A2611" s="7" t="s">
        <v>3</v>
      </c>
      <c r="B2611" s="7">
        <f t="shared" si="599"/>
        <v>2048</v>
      </c>
      <c r="C2611" s="4" t="s">
        <v>23</v>
      </c>
      <c r="D2611" s="5" t="s">
        <v>128</v>
      </c>
      <c r="E2611" s="10" t="str">
        <f t="shared" si="595"/>
        <v>PND'!</v>
      </c>
      <c r="F2611" s="5" t="str">
        <f t="shared" si="596"/>
        <v>C:\Users\jaime.benazar\Quorum Business Solutions\Ecopetrol Prometeo - Documents\Planning Space Implementation\3. Analysis &amp; Design\Design\FC22\DRR Jaime\QUIFA-CAJÚA\Cajua\[VAS_CAJUA_CF_SEC_20230125.xlsx]CF PND'!</v>
      </c>
      <c r="G2611" s="7" t="s">
        <v>41</v>
      </c>
      <c r="H2611" s="4">
        <f t="shared" si="597"/>
        <v>61</v>
      </c>
      <c r="I2611" s="4" t="str">
        <f t="shared" si="598"/>
        <v>='C:\Users\jaime.benazar\Quorum Business Solutions\Ecopetrol Prometeo - Documents\Planning Space Implementation\3. Analysis &amp; Design\Design\FC22\DRR Jaime\QUIFA-CAJÚA\Cajua\[VAS_CAJUA_CF_SEC_20230125.xlsx]CF PND'!$DN$61</v>
      </c>
      <c r="J2611" s="4" t="s">
        <v>1338</v>
      </c>
    </row>
    <row r="2612" spans="1:10" x14ac:dyDescent="0.25">
      <c r="A2612" s="7" t="s">
        <v>3</v>
      </c>
      <c r="B2612" s="7">
        <f t="shared" si="599"/>
        <v>2049</v>
      </c>
      <c r="C2612" s="4" t="s">
        <v>23</v>
      </c>
      <c r="D2612" s="5" t="s">
        <v>128</v>
      </c>
      <c r="E2612" s="10" t="str">
        <f t="shared" si="595"/>
        <v>PND'!</v>
      </c>
      <c r="F2612" s="5" t="str">
        <f t="shared" si="596"/>
        <v>C:\Users\jaime.benazar\Quorum Business Solutions\Ecopetrol Prometeo - Documents\Planning Space Implementation\3. Analysis &amp; Design\Design\FC22\DRR Jaime\QUIFA-CAJÚA\Cajua\[VAS_CAJUA_CF_SEC_20230125.xlsx]CF PND'!</v>
      </c>
      <c r="G2612" s="7" t="s">
        <v>41</v>
      </c>
      <c r="H2612" s="4">
        <f t="shared" si="597"/>
        <v>62</v>
      </c>
      <c r="I2612" s="4" t="str">
        <f t="shared" si="598"/>
        <v>='C:\Users\jaime.benazar\Quorum Business Solutions\Ecopetrol Prometeo - Documents\Planning Space Implementation\3. Analysis &amp; Design\Design\FC22\DRR Jaime\QUIFA-CAJÚA\Cajua\[VAS_CAJUA_CF_SEC_20230125.xlsx]CF PND'!$DN$62</v>
      </c>
      <c r="J2612" s="4" t="s">
        <v>1339</v>
      </c>
    </row>
    <row r="2613" spans="1:10" x14ac:dyDescent="0.25">
      <c r="A2613" s="7" t="s">
        <v>3</v>
      </c>
      <c r="B2613" s="7">
        <f t="shared" si="599"/>
        <v>2050</v>
      </c>
      <c r="C2613" s="4" t="s">
        <v>23</v>
      </c>
      <c r="D2613" s="5" t="s">
        <v>128</v>
      </c>
      <c r="E2613" s="10" t="str">
        <f t="shared" si="595"/>
        <v>PND'!</v>
      </c>
      <c r="F2613" s="5" t="str">
        <f t="shared" si="596"/>
        <v>C:\Users\jaime.benazar\Quorum Business Solutions\Ecopetrol Prometeo - Documents\Planning Space Implementation\3. Analysis &amp; Design\Design\FC22\DRR Jaime\QUIFA-CAJÚA\Cajua\[VAS_CAJUA_CF_SEC_20230125.xlsx]CF PND'!</v>
      </c>
      <c r="G2613" s="7" t="s">
        <v>41</v>
      </c>
      <c r="H2613" s="4">
        <f t="shared" si="597"/>
        <v>63</v>
      </c>
      <c r="I2613" s="4" t="str">
        <f t="shared" si="598"/>
        <v>='C:\Users\jaime.benazar\Quorum Business Solutions\Ecopetrol Prometeo - Documents\Planning Space Implementation\3. Analysis &amp; Design\Design\FC22\DRR Jaime\QUIFA-CAJÚA\Cajua\[VAS_CAJUA_CF_SEC_20230125.xlsx]CF PND'!$DN$63</v>
      </c>
      <c r="J2613" s="4" t="s">
        <v>1340</v>
      </c>
    </row>
    <row r="2614" spans="1:10" x14ac:dyDescent="0.25">
      <c r="A2614" s="7" t="s">
        <v>3</v>
      </c>
      <c r="B2614" s="7">
        <f t="shared" si="599"/>
        <v>2051</v>
      </c>
      <c r="C2614" s="4" t="s">
        <v>23</v>
      </c>
      <c r="D2614" s="5" t="s">
        <v>128</v>
      </c>
      <c r="E2614" s="10" t="str">
        <f t="shared" si="595"/>
        <v>PND'!</v>
      </c>
      <c r="F2614" s="5" t="str">
        <f t="shared" si="596"/>
        <v>C:\Users\jaime.benazar\Quorum Business Solutions\Ecopetrol Prometeo - Documents\Planning Space Implementation\3. Analysis &amp; Design\Design\FC22\DRR Jaime\QUIFA-CAJÚA\Cajua\[VAS_CAJUA_CF_SEC_20230125.xlsx]CF PND'!</v>
      </c>
      <c r="G2614" s="7" t="s">
        <v>41</v>
      </c>
      <c r="H2614" s="4">
        <f t="shared" si="597"/>
        <v>64</v>
      </c>
      <c r="I2614" s="4" t="str">
        <f t="shared" si="598"/>
        <v>='C:\Users\jaime.benazar\Quorum Business Solutions\Ecopetrol Prometeo - Documents\Planning Space Implementation\3. Analysis &amp; Design\Design\FC22\DRR Jaime\QUIFA-CAJÚA\Cajua\[VAS_CAJUA_CF_SEC_20230125.xlsx]CF PND'!$DN$64</v>
      </c>
      <c r="J2614" s="4" t="s">
        <v>1341</v>
      </c>
    </row>
    <row r="2615" spans="1:10" x14ac:dyDescent="0.25">
      <c r="A2615" s="7" t="s">
        <v>3</v>
      </c>
      <c r="B2615" s="7">
        <f t="shared" si="599"/>
        <v>2052</v>
      </c>
      <c r="C2615" s="4" t="s">
        <v>23</v>
      </c>
      <c r="D2615" s="5" t="s">
        <v>128</v>
      </c>
      <c r="E2615" s="10" t="str">
        <f t="shared" si="595"/>
        <v>PND'!</v>
      </c>
      <c r="F2615" s="5" t="str">
        <f t="shared" si="596"/>
        <v>C:\Users\jaime.benazar\Quorum Business Solutions\Ecopetrol Prometeo - Documents\Planning Space Implementation\3. Analysis &amp; Design\Design\FC22\DRR Jaime\QUIFA-CAJÚA\Cajua\[VAS_CAJUA_CF_SEC_20230125.xlsx]CF PND'!</v>
      </c>
      <c r="G2615" s="7" t="s">
        <v>41</v>
      </c>
      <c r="H2615" s="4">
        <f t="shared" si="597"/>
        <v>65</v>
      </c>
      <c r="I2615" s="4" t="str">
        <f t="shared" si="598"/>
        <v>='C:\Users\jaime.benazar\Quorum Business Solutions\Ecopetrol Prometeo - Documents\Planning Space Implementation\3. Analysis &amp; Design\Design\FC22\DRR Jaime\QUIFA-CAJÚA\Cajua\[VAS_CAJUA_CF_SEC_20230125.xlsx]CF PND'!$DN$65</v>
      </c>
      <c r="J2615" s="4" t="s">
        <v>1342</v>
      </c>
    </row>
    <row r="2616" spans="1:10" x14ac:dyDescent="0.25">
      <c r="A2616" s="7" t="s">
        <v>3</v>
      </c>
      <c r="B2616" s="7">
        <f t="shared" si="599"/>
        <v>2053</v>
      </c>
      <c r="C2616" s="4" t="s">
        <v>23</v>
      </c>
      <c r="D2616" s="5" t="s">
        <v>128</v>
      </c>
      <c r="E2616" s="10" t="str">
        <f t="shared" si="595"/>
        <v>PND'!</v>
      </c>
      <c r="F2616" s="5" t="str">
        <f t="shared" si="596"/>
        <v>C:\Users\jaime.benazar\Quorum Business Solutions\Ecopetrol Prometeo - Documents\Planning Space Implementation\3. Analysis &amp; Design\Design\FC22\DRR Jaime\QUIFA-CAJÚA\Cajua\[VAS_CAJUA_CF_SEC_20230125.xlsx]CF PND'!</v>
      </c>
      <c r="G2616" s="7" t="s">
        <v>41</v>
      </c>
      <c r="H2616" s="4">
        <f t="shared" si="597"/>
        <v>66</v>
      </c>
      <c r="I2616" s="4" t="str">
        <f t="shared" si="598"/>
        <v>='C:\Users\jaime.benazar\Quorum Business Solutions\Ecopetrol Prometeo - Documents\Planning Space Implementation\3. Analysis &amp; Design\Design\FC22\DRR Jaime\QUIFA-CAJÚA\Cajua\[VAS_CAJUA_CF_SEC_20230125.xlsx]CF PND'!$DN$66</v>
      </c>
      <c r="J2616" s="4" t="s">
        <v>1343</v>
      </c>
    </row>
    <row r="2617" spans="1:10" x14ac:dyDescent="0.25">
      <c r="A2617" s="7" t="s">
        <v>3</v>
      </c>
      <c r="B2617" s="7">
        <f t="shared" si="599"/>
        <v>2054</v>
      </c>
      <c r="C2617" s="4" t="s">
        <v>23</v>
      </c>
      <c r="D2617" s="5" t="s">
        <v>128</v>
      </c>
      <c r="E2617" s="10" t="str">
        <f t="shared" si="595"/>
        <v>PND'!</v>
      </c>
      <c r="F2617" s="5" t="str">
        <f t="shared" si="596"/>
        <v>C:\Users\jaime.benazar\Quorum Business Solutions\Ecopetrol Prometeo - Documents\Planning Space Implementation\3. Analysis &amp; Design\Design\FC22\DRR Jaime\QUIFA-CAJÚA\Cajua\[VAS_CAJUA_CF_SEC_20230125.xlsx]CF PND'!</v>
      </c>
      <c r="G2617" s="7" t="s">
        <v>41</v>
      </c>
      <c r="H2617" s="4">
        <f t="shared" si="597"/>
        <v>67</v>
      </c>
      <c r="I2617" s="4" t="str">
        <f t="shared" si="598"/>
        <v>='C:\Users\jaime.benazar\Quorum Business Solutions\Ecopetrol Prometeo - Documents\Planning Space Implementation\3. Analysis &amp; Design\Design\FC22\DRR Jaime\QUIFA-CAJÚA\Cajua\[VAS_CAJUA_CF_SEC_20230125.xlsx]CF PND'!$DN$67</v>
      </c>
      <c r="J2617" s="4" t="s">
        <v>1344</v>
      </c>
    </row>
    <row r="2618" spans="1:10" x14ac:dyDescent="0.25">
      <c r="A2618" s="7" t="s">
        <v>3</v>
      </c>
      <c r="B2618" s="7">
        <f t="shared" si="599"/>
        <v>2055</v>
      </c>
      <c r="C2618" s="4" t="s">
        <v>23</v>
      </c>
      <c r="D2618" s="5" t="s">
        <v>128</v>
      </c>
      <c r="E2618" s="10" t="str">
        <f t="shared" si="595"/>
        <v>PND'!</v>
      </c>
      <c r="F2618" s="5" t="str">
        <f t="shared" si="596"/>
        <v>C:\Users\jaime.benazar\Quorum Business Solutions\Ecopetrol Prometeo - Documents\Planning Space Implementation\3. Analysis &amp; Design\Design\FC22\DRR Jaime\QUIFA-CAJÚA\Cajua\[VAS_CAJUA_CF_SEC_20230125.xlsx]CF PND'!</v>
      </c>
      <c r="G2618" s="7" t="s">
        <v>41</v>
      </c>
      <c r="H2618" s="4">
        <f t="shared" si="597"/>
        <v>68</v>
      </c>
      <c r="I2618" s="4" t="str">
        <f t="shared" si="598"/>
        <v>='C:\Users\jaime.benazar\Quorum Business Solutions\Ecopetrol Prometeo - Documents\Planning Space Implementation\3. Analysis &amp; Design\Design\FC22\DRR Jaime\QUIFA-CAJÚA\Cajua\[VAS_CAJUA_CF_SEC_20230125.xlsx]CF PND'!$DN$68</v>
      </c>
      <c r="J2618" s="4" t="s">
        <v>1345</v>
      </c>
    </row>
    <row r="2619" spans="1:10" x14ac:dyDescent="0.25">
      <c r="A2619" s="7" t="s">
        <v>3</v>
      </c>
      <c r="B2619" s="7">
        <f t="shared" si="599"/>
        <v>2056</v>
      </c>
      <c r="C2619" s="4" t="s">
        <v>23</v>
      </c>
      <c r="D2619" s="5" t="s">
        <v>128</v>
      </c>
      <c r="E2619" s="10" t="str">
        <f t="shared" si="595"/>
        <v>PND'!</v>
      </c>
      <c r="F2619" s="5" t="str">
        <f t="shared" si="596"/>
        <v>C:\Users\jaime.benazar\Quorum Business Solutions\Ecopetrol Prometeo - Documents\Planning Space Implementation\3. Analysis &amp; Design\Design\FC22\DRR Jaime\QUIFA-CAJÚA\Cajua\[VAS_CAJUA_CF_SEC_20230125.xlsx]CF PND'!</v>
      </c>
      <c r="G2619" s="7" t="s">
        <v>41</v>
      </c>
      <c r="H2619" s="4">
        <f t="shared" si="597"/>
        <v>69</v>
      </c>
      <c r="I2619" s="4" t="str">
        <f t="shared" si="598"/>
        <v>='C:\Users\jaime.benazar\Quorum Business Solutions\Ecopetrol Prometeo - Documents\Planning Space Implementation\3. Analysis &amp; Design\Design\FC22\DRR Jaime\QUIFA-CAJÚA\Cajua\[VAS_CAJUA_CF_SEC_20230125.xlsx]CF PND'!$DN$69</v>
      </c>
      <c r="J2619" s="4" t="s">
        <v>1346</v>
      </c>
    </row>
    <row r="2620" spans="1:10" x14ac:dyDescent="0.25">
      <c r="A2620" s="7" t="s">
        <v>3</v>
      </c>
      <c r="B2620" s="7">
        <f t="shared" si="599"/>
        <v>2057</v>
      </c>
      <c r="C2620" s="4" t="s">
        <v>23</v>
      </c>
      <c r="D2620" s="5" t="s">
        <v>128</v>
      </c>
      <c r="E2620" s="10" t="str">
        <f t="shared" si="595"/>
        <v>PND'!</v>
      </c>
      <c r="F2620" s="5" t="str">
        <f t="shared" si="596"/>
        <v>C:\Users\jaime.benazar\Quorum Business Solutions\Ecopetrol Prometeo - Documents\Planning Space Implementation\3. Analysis &amp; Design\Design\FC22\DRR Jaime\QUIFA-CAJÚA\Cajua\[VAS_CAJUA_CF_SEC_20230125.xlsx]CF PND'!</v>
      </c>
      <c r="G2620" s="7" t="s">
        <v>41</v>
      </c>
      <c r="H2620" s="4">
        <f t="shared" si="597"/>
        <v>70</v>
      </c>
      <c r="I2620" s="4" t="str">
        <f t="shared" si="598"/>
        <v>='C:\Users\jaime.benazar\Quorum Business Solutions\Ecopetrol Prometeo - Documents\Planning Space Implementation\3. Analysis &amp; Design\Design\FC22\DRR Jaime\QUIFA-CAJÚA\Cajua\[VAS_CAJUA_CF_SEC_20230125.xlsx]CF PND'!$DN$70</v>
      </c>
      <c r="J2620" s="4" t="s">
        <v>1347</v>
      </c>
    </row>
    <row r="2621" spans="1:10" x14ac:dyDescent="0.25">
      <c r="A2621" s="7" t="s">
        <v>3</v>
      </c>
      <c r="B2621" s="7">
        <f t="shared" si="599"/>
        <v>2058</v>
      </c>
      <c r="C2621" s="4" t="s">
        <v>23</v>
      </c>
      <c r="D2621" s="5" t="s">
        <v>128</v>
      </c>
      <c r="E2621" s="10" t="str">
        <f t="shared" si="595"/>
        <v>PND'!</v>
      </c>
      <c r="F2621" s="5" t="str">
        <f t="shared" si="596"/>
        <v>C:\Users\jaime.benazar\Quorum Business Solutions\Ecopetrol Prometeo - Documents\Planning Space Implementation\3. Analysis &amp; Design\Design\FC22\DRR Jaime\QUIFA-CAJÚA\Cajua\[VAS_CAJUA_CF_SEC_20230125.xlsx]CF PND'!</v>
      </c>
      <c r="G2621" s="7" t="s">
        <v>41</v>
      </c>
      <c r="H2621" s="4">
        <f t="shared" si="597"/>
        <v>71</v>
      </c>
      <c r="I2621" s="4" t="str">
        <f t="shared" si="598"/>
        <v>='C:\Users\jaime.benazar\Quorum Business Solutions\Ecopetrol Prometeo - Documents\Planning Space Implementation\3. Analysis &amp; Design\Design\FC22\DRR Jaime\QUIFA-CAJÚA\Cajua\[VAS_CAJUA_CF_SEC_20230125.xlsx]CF PND'!$DN$71</v>
      </c>
      <c r="J2621" s="4" t="s">
        <v>1348</v>
      </c>
    </row>
    <row r="2622" spans="1:10" x14ac:dyDescent="0.25">
      <c r="A2622" s="7" t="s">
        <v>3</v>
      </c>
      <c r="B2622" s="7">
        <f t="shared" si="599"/>
        <v>2059</v>
      </c>
      <c r="C2622" s="4" t="s">
        <v>23</v>
      </c>
      <c r="D2622" s="5" t="s">
        <v>128</v>
      </c>
      <c r="E2622" s="10" t="str">
        <f t="shared" si="595"/>
        <v>PND'!</v>
      </c>
      <c r="F2622" s="5" t="str">
        <f t="shared" si="596"/>
        <v>C:\Users\jaime.benazar\Quorum Business Solutions\Ecopetrol Prometeo - Documents\Planning Space Implementation\3. Analysis &amp; Design\Design\FC22\DRR Jaime\QUIFA-CAJÚA\Cajua\[VAS_CAJUA_CF_SEC_20230125.xlsx]CF PND'!</v>
      </c>
      <c r="G2622" s="7" t="s">
        <v>41</v>
      </c>
      <c r="H2622" s="4">
        <f t="shared" si="597"/>
        <v>72</v>
      </c>
      <c r="I2622" s="4" t="str">
        <f t="shared" si="598"/>
        <v>='C:\Users\jaime.benazar\Quorum Business Solutions\Ecopetrol Prometeo - Documents\Planning Space Implementation\3. Analysis &amp; Design\Design\FC22\DRR Jaime\QUIFA-CAJÚA\Cajua\[VAS_CAJUA_CF_SEC_20230125.xlsx]CF PND'!$DN$72</v>
      </c>
      <c r="J2622" s="4" t="s">
        <v>1349</v>
      </c>
    </row>
    <row r="2623" spans="1:10" x14ac:dyDescent="0.25">
      <c r="A2623" s="7" t="s">
        <v>28</v>
      </c>
      <c r="B2623" s="7"/>
      <c r="C2623" s="4" t="s">
        <v>23</v>
      </c>
      <c r="D2623" s="5"/>
      <c r="E2623" s="10"/>
      <c r="F2623" s="2"/>
      <c r="G2623" s="7"/>
      <c r="H2623" s="4"/>
      <c r="I2623" s="4"/>
      <c r="J2623" s="4"/>
    </row>
    <row r="2624" spans="1:10" x14ac:dyDescent="0.25">
      <c r="A2624" s="7" t="s">
        <v>99</v>
      </c>
      <c r="B2624" s="7">
        <v>2023</v>
      </c>
      <c r="C2624" s="4" t="s">
        <v>23</v>
      </c>
      <c r="D2624" s="5" t="s">
        <v>128</v>
      </c>
      <c r="E2624" s="10" t="str">
        <f t="shared" ref="E2624:E2644" si="600">_xlfn.CONCAT(A2624,"'!")</f>
        <v>PRBDP'!</v>
      </c>
      <c r="F2624" s="5" t="str">
        <f t="shared" si="586"/>
        <v>C:\Users\jaime.benazar\Quorum Business Solutions\Ecopetrol Prometeo - Documents\Planning Space Implementation\3. Analysis &amp; Design\Design\FC22\DRR Jaime\QUIFA-CAJÚA\Cajua\[VAS_CAJUA_CF_SEC_20230125.xlsx]CF PRBDP'!</v>
      </c>
      <c r="G2624" s="7" t="s">
        <v>41</v>
      </c>
      <c r="H2624" s="4"/>
      <c r="I2624" s="4"/>
      <c r="J2624" s="4"/>
    </row>
    <row r="2625" spans="1:10" x14ac:dyDescent="0.25">
      <c r="A2625" s="7" t="s">
        <v>99</v>
      </c>
      <c r="B2625" s="7">
        <f>+B2624+1</f>
        <v>2024</v>
      </c>
      <c r="C2625" s="4" t="s">
        <v>23</v>
      </c>
      <c r="D2625" s="5" t="s">
        <v>128</v>
      </c>
      <c r="E2625" s="10" t="str">
        <f t="shared" si="600"/>
        <v>PRBDP'!</v>
      </c>
      <c r="F2625" s="5" t="str">
        <f t="shared" si="586"/>
        <v>C:\Users\jaime.benazar\Quorum Business Solutions\Ecopetrol Prometeo - Documents\Planning Space Implementation\3. Analysis &amp; Design\Design\FC22\DRR Jaime\QUIFA-CAJÚA\Cajua\[VAS_CAJUA_CF_SEC_20230125.xlsx]CF PRBDP'!</v>
      </c>
      <c r="G2625" s="7" t="s">
        <v>41</v>
      </c>
      <c r="H2625" s="4"/>
      <c r="I2625" s="4"/>
      <c r="J2625" s="4"/>
    </row>
    <row r="2626" spans="1:10" x14ac:dyDescent="0.25">
      <c r="A2626" s="7" t="s">
        <v>99</v>
      </c>
      <c r="B2626" s="7">
        <f t="shared" ref="B2626:B2637" si="601">+B2625+1</f>
        <v>2025</v>
      </c>
      <c r="C2626" s="4" t="s">
        <v>23</v>
      </c>
      <c r="D2626" s="5" t="s">
        <v>128</v>
      </c>
      <c r="E2626" s="10" t="str">
        <f t="shared" si="600"/>
        <v>PRBDP'!</v>
      </c>
      <c r="F2626" s="5" t="str">
        <f t="shared" si="586"/>
        <v>C:\Users\jaime.benazar\Quorum Business Solutions\Ecopetrol Prometeo - Documents\Planning Space Implementation\3. Analysis &amp; Design\Design\FC22\DRR Jaime\QUIFA-CAJÚA\Cajua\[VAS_CAJUA_CF_SEC_20230125.xlsx]CF PRBDP'!</v>
      </c>
      <c r="G2626" s="7" t="s">
        <v>41</v>
      </c>
      <c r="H2626" s="4"/>
      <c r="I2626" s="4"/>
      <c r="J2626" s="4"/>
    </row>
    <row r="2627" spans="1:10" x14ac:dyDescent="0.25">
      <c r="A2627" s="7" t="s">
        <v>99</v>
      </c>
      <c r="B2627" s="7">
        <f t="shared" si="601"/>
        <v>2026</v>
      </c>
      <c r="C2627" s="4" t="s">
        <v>23</v>
      </c>
      <c r="D2627" s="5" t="s">
        <v>128</v>
      </c>
      <c r="E2627" s="10" t="str">
        <f t="shared" si="600"/>
        <v>PRBDP'!</v>
      </c>
      <c r="F2627" s="5" t="str">
        <f t="shared" si="586"/>
        <v>C:\Users\jaime.benazar\Quorum Business Solutions\Ecopetrol Prometeo - Documents\Planning Space Implementation\3. Analysis &amp; Design\Design\FC22\DRR Jaime\QUIFA-CAJÚA\Cajua\[VAS_CAJUA_CF_SEC_20230125.xlsx]CF PRBDP'!</v>
      </c>
      <c r="G2627" s="7" t="s">
        <v>41</v>
      </c>
      <c r="H2627" s="4"/>
      <c r="I2627" s="4"/>
      <c r="J2627" s="4"/>
    </row>
    <row r="2628" spans="1:10" x14ac:dyDescent="0.25">
      <c r="A2628" s="7" t="s">
        <v>99</v>
      </c>
      <c r="B2628" s="7">
        <f t="shared" si="601"/>
        <v>2027</v>
      </c>
      <c r="C2628" s="4" t="s">
        <v>23</v>
      </c>
      <c r="D2628" s="5" t="s">
        <v>128</v>
      </c>
      <c r="E2628" s="10" t="str">
        <f t="shared" si="600"/>
        <v>PRBDP'!</v>
      </c>
      <c r="F2628" s="5" t="str">
        <f t="shared" si="586"/>
        <v>C:\Users\jaime.benazar\Quorum Business Solutions\Ecopetrol Prometeo - Documents\Planning Space Implementation\3. Analysis &amp; Design\Design\FC22\DRR Jaime\QUIFA-CAJÚA\Cajua\[VAS_CAJUA_CF_SEC_20230125.xlsx]CF PRBDP'!</v>
      </c>
      <c r="G2628" s="7" t="s">
        <v>41</v>
      </c>
      <c r="H2628" s="4"/>
      <c r="I2628" s="4"/>
      <c r="J2628" s="4"/>
    </row>
    <row r="2629" spans="1:10" x14ac:dyDescent="0.25">
      <c r="A2629" s="7" t="s">
        <v>99</v>
      </c>
      <c r="B2629" s="7">
        <f t="shared" si="601"/>
        <v>2028</v>
      </c>
      <c r="C2629" s="4" t="s">
        <v>23</v>
      </c>
      <c r="D2629" s="5" t="s">
        <v>128</v>
      </c>
      <c r="E2629" s="10" t="str">
        <f t="shared" si="600"/>
        <v>PRBDP'!</v>
      </c>
      <c r="F2629" s="5" t="str">
        <f t="shared" si="586"/>
        <v>C:\Users\jaime.benazar\Quorum Business Solutions\Ecopetrol Prometeo - Documents\Planning Space Implementation\3. Analysis &amp; Design\Design\FC22\DRR Jaime\QUIFA-CAJÚA\Cajua\[VAS_CAJUA_CF_SEC_20230125.xlsx]CF PRBDP'!</v>
      </c>
      <c r="G2629" s="7" t="s">
        <v>41</v>
      </c>
      <c r="H2629" s="4"/>
      <c r="I2629" s="4"/>
      <c r="J2629" s="4"/>
    </row>
    <row r="2630" spans="1:10" x14ac:dyDescent="0.25">
      <c r="A2630" s="7" t="s">
        <v>99</v>
      </c>
      <c r="B2630" s="7">
        <f t="shared" si="601"/>
        <v>2029</v>
      </c>
      <c r="C2630" s="4" t="s">
        <v>23</v>
      </c>
      <c r="D2630" s="5" t="s">
        <v>128</v>
      </c>
      <c r="E2630" s="10" t="str">
        <f t="shared" si="600"/>
        <v>PRBDP'!</v>
      </c>
      <c r="F2630" s="5" t="str">
        <f t="shared" si="586"/>
        <v>C:\Users\jaime.benazar\Quorum Business Solutions\Ecopetrol Prometeo - Documents\Planning Space Implementation\3. Analysis &amp; Design\Design\FC22\DRR Jaime\QUIFA-CAJÚA\Cajua\[VAS_CAJUA_CF_SEC_20230125.xlsx]CF PRBDP'!</v>
      </c>
      <c r="G2630" s="7" t="s">
        <v>41</v>
      </c>
      <c r="H2630" s="4"/>
      <c r="I2630" s="4"/>
      <c r="J2630" s="4"/>
    </row>
    <row r="2631" spans="1:10" x14ac:dyDescent="0.25">
      <c r="A2631" s="7" t="s">
        <v>99</v>
      </c>
      <c r="B2631" s="7">
        <f t="shared" si="601"/>
        <v>2030</v>
      </c>
      <c r="C2631" s="4" t="s">
        <v>23</v>
      </c>
      <c r="D2631" s="5" t="s">
        <v>128</v>
      </c>
      <c r="E2631" s="10" t="str">
        <f t="shared" si="600"/>
        <v>PRBDP'!</v>
      </c>
      <c r="F2631" s="5" t="str">
        <f t="shared" si="586"/>
        <v>C:\Users\jaime.benazar\Quorum Business Solutions\Ecopetrol Prometeo - Documents\Planning Space Implementation\3. Analysis &amp; Design\Design\FC22\DRR Jaime\QUIFA-CAJÚA\Cajua\[VAS_CAJUA_CF_SEC_20230125.xlsx]CF PRBDP'!</v>
      </c>
      <c r="G2631" s="7" t="s">
        <v>41</v>
      </c>
      <c r="H2631" s="4"/>
      <c r="I2631" s="4"/>
      <c r="J2631" s="4"/>
    </row>
    <row r="2632" spans="1:10" x14ac:dyDescent="0.25">
      <c r="A2632" s="7" t="s">
        <v>99</v>
      </c>
      <c r="B2632" s="7">
        <f t="shared" si="601"/>
        <v>2031</v>
      </c>
      <c r="C2632" s="4" t="s">
        <v>23</v>
      </c>
      <c r="D2632" s="5" t="s">
        <v>128</v>
      </c>
      <c r="E2632" s="10" t="str">
        <f t="shared" si="600"/>
        <v>PRBDP'!</v>
      </c>
      <c r="F2632" s="5" t="str">
        <f t="shared" si="586"/>
        <v>C:\Users\jaime.benazar\Quorum Business Solutions\Ecopetrol Prometeo - Documents\Planning Space Implementation\3. Analysis &amp; Design\Design\FC22\DRR Jaime\QUIFA-CAJÚA\Cajua\[VAS_CAJUA_CF_SEC_20230125.xlsx]CF PRBDP'!</v>
      </c>
      <c r="G2632" s="7" t="s">
        <v>41</v>
      </c>
      <c r="H2632" s="4"/>
      <c r="I2632" s="4"/>
      <c r="J2632" s="4"/>
    </row>
    <row r="2633" spans="1:10" x14ac:dyDescent="0.25">
      <c r="A2633" s="7" t="s">
        <v>99</v>
      </c>
      <c r="B2633" s="7">
        <f t="shared" si="601"/>
        <v>2032</v>
      </c>
      <c r="C2633" s="4" t="s">
        <v>23</v>
      </c>
      <c r="D2633" s="5" t="s">
        <v>128</v>
      </c>
      <c r="E2633" s="10" t="str">
        <f t="shared" si="600"/>
        <v>PRBDP'!</v>
      </c>
      <c r="F2633" s="5" t="str">
        <f t="shared" si="586"/>
        <v>C:\Users\jaime.benazar\Quorum Business Solutions\Ecopetrol Prometeo - Documents\Planning Space Implementation\3. Analysis &amp; Design\Design\FC22\DRR Jaime\QUIFA-CAJÚA\Cajua\[VAS_CAJUA_CF_SEC_20230125.xlsx]CF PRBDP'!</v>
      </c>
      <c r="G2633" s="7" t="s">
        <v>41</v>
      </c>
      <c r="H2633" s="4"/>
      <c r="I2633" s="4"/>
      <c r="J2633" s="4"/>
    </row>
    <row r="2634" spans="1:10" x14ac:dyDescent="0.25">
      <c r="A2634" s="7" t="s">
        <v>99</v>
      </c>
      <c r="B2634" s="7">
        <f t="shared" si="601"/>
        <v>2033</v>
      </c>
      <c r="C2634" s="4" t="s">
        <v>23</v>
      </c>
      <c r="D2634" s="5" t="s">
        <v>128</v>
      </c>
      <c r="E2634" s="10" t="str">
        <f t="shared" si="600"/>
        <v>PRBDP'!</v>
      </c>
      <c r="F2634" s="5" t="str">
        <f t="shared" si="586"/>
        <v>C:\Users\jaime.benazar\Quorum Business Solutions\Ecopetrol Prometeo - Documents\Planning Space Implementation\3. Analysis &amp; Design\Design\FC22\DRR Jaime\QUIFA-CAJÚA\Cajua\[VAS_CAJUA_CF_SEC_20230125.xlsx]CF PRBDP'!</v>
      </c>
      <c r="G2634" s="7" t="s">
        <v>41</v>
      </c>
      <c r="H2634" s="4"/>
      <c r="I2634" s="4"/>
      <c r="J2634" s="4"/>
    </row>
    <row r="2635" spans="1:10" x14ac:dyDescent="0.25">
      <c r="A2635" s="7" t="s">
        <v>99</v>
      </c>
      <c r="B2635" s="7">
        <f t="shared" si="601"/>
        <v>2034</v>
      </c>
      <c r="C2635" s="4" t="s">
        <v>23</v>
      </c>
      <c r="D2635" s="5" t="s">
        <v>128</v>
      </c>
      <c r="E2635" s="10" t="str">
        <f t="shared" si="600"/>
        <v>PRBDP'!</v>
      </c>
      <c r="F2635" s="5" t="str">
        <f t="shared" si="586"/>
        <v>C:\Users\jaime.benazar\Quorum Business Solutions\Ecopetrol Prometeo - Documents\Planning Space Implementation\3. Analysis &amp; Design\Design\FC22\DRR Jaime\QUIFA-CAJÚA\Cajua\[VAS_CAJUA_CF_SEC_20230125.xlsx]CF PRBDP'!</v>
      </c>
      <c r="G2635" s="7" t="s">
        <v>41</v>
      </c>
      <c r="H2635" s="4"/>
      <c r="I2635" s="4"/>
      <c r="J2635" s="4"/>
    </row>
    <row r="2636" spans="1:10" x14ac:dyDescent="0.25">
      <c r="A2636" s="7" t="s">
        <v>99</v>
      </c>
      <c r="B2636" s="7">
        <f t="shared" si="601"/>
        <v>2035</v>
      </c>
      <c r="C2636" s="4" t="s">
        <v>23</v>
      </c>
      <c r="D2636" s="5" t="s">
        <v>128</v>
      </c>
      <c r="E2636" s="10" t="str">
        <f t="shared" si="600"/>
        <v>PRBDP'!</v>
      </c>
      <c r="F2636" s="5" t="str">
        <f t="shared" si="586"/>
        <v>C:\Users\jaime.benazar\Quorum Business Solutions\Ecopetrol Prometeo - Documents\Planning Space Implementation\3. Analysis &amp; Design\Design\FC22\DRR Jaime\QUIFA-CAJÚA\Cajua\[VAS_CAJUA_CF_SEC_20230125.xlsx]CF PRBDP'!</v>
      </c>
      <c r="G2636" s="7" t="s">
        <v>41</v>
      </c>
      <c r="H2636" s="4"/>
      <c r="I2636" s="4"/>
      <c r="J2636" s="4"/>
    </row>
    <row r="2637" spans="1:10" x14ac:dyDescent="0.25">
      <c r="A2637" s="7" t="s">
        <v>99</v>
      </c>
      <c r="B2637" s="7">
        <f t="shared" si="601"/>
        <v>2036</v>
      </c>
      <c r="C2637" s="4" t="s">
        <v>23</v>
      </c>
      <c r="D2637" s="5" t="s">
        <v>128</v>
      </c>
      <c r="E2637" s="10" t="str">
        <f t="shared" si="600"/>
        <v>PRBDP'!</v>
      </c>
      <c r="F2637" s="5" t="str">
        <f t="shared" si="586"/>
        <v>C:\Users\jaime.benazar\Quorum Business Solutions\Ecopetrol Prometeo - Documents\Planning Space Implementation\3. Analysis &amp; Design\Design\FC22\DRR Jaime\QUIFA-CAJÚA\Cajua\[VAS_CAJUA_CF_SEC_20230125.xlsx]CF PRBDP'!</v>
      </c>
      <c r="G2637" s="7" t="s">
        <v>41</v>
      </c>
      <c r="H2637" s="4"/>
      <c r="I2637" s="4"/>
      <c r="J2637" s="4"/>
    </row>
    <row r="2638" spans="1:10" x14ac:dyDescent="0.25">
      <c r="A2638" s="7" t="s">
        <v>99</v>
      </c>
      <c r="B2638" s="7">
        <f>+B2637+1</f>
        <v>2037</v>
      </c>
      <c r="C2638" s="4" t="s">
        <v>23</v>
      </c>
      <c r="D2638" s="5" t="s">
        <v>128</v>
      </c>
      <c r="E2638" s="10" t="str">
        <f t="shared" si="600"/>
        <v>PRBDP'!</v>
      </c>
      <c r="F2638" s="5" t="str">
        <f t="shared" si="586"/>
        <v>C:\Users\jaime.benazar\Quorum Business Solutions\Ecopetrol Prometeo - Documents\Planning Space Implementation\3. Analysis &amp; Design\Design\FC22\DRR Jaime\QUIFA-CAJÚA\Cajua\[VAS_CAJUA_CF_SEC_20230125.xlsx]CF PRBDP'!</v>
      </c>
      <c r="G2638" s="7" t="s">
        <v>41</v>
      </c>
      <c r="H2638" s="4"/>
      <c r="I2638" s="4"/>
      <c r="J2638" s="4"/>
    </row>
    <row r="2639" spans="1:10" x14ac:dyDescent="0.25">
      <c r="A2639" s="7" t="s">
        <v>99</v>
      </c>
      <c r="B2639" s="7">
        <f t="shared" ref="B2639:B2641" si="602">+B2638+1</f>
        <v>2038</v>
      </c>
      <c r="C2639" s="4" t="s">
        <v>23</v>
      </c>
      <c r="D2639" s="5" t="s">
        <v>128</v>
      </c>
      <c r="E2639" s="10" t="str">
        <f t="shared" si="600"/>
        <v>PRBDP'!</v>
      </c>
      <c r="F2639" s="5" t="str">
        <f t="shared" si="586"/>
        <v>C:\Users\jaime.benazar\Quorum Business Solutions\Ecopetrol Prometeo - Documents\Planning Space Implementation\3. Analysis &amp; Design\Design\FC22\DRR Jaime\QUIFA-CAJÚA\Cajua\[VAS_CAJUA_CF_SEC_20230125.xlsx]CF PRBDP'!</v>
      </c>
      <c r="G2639" s="7" t="s">
        <v>41</v>
      </c>
      <c r="H2639" s="4"/>
      <c r="I2639" s="4"/>
      <c r="J2639" s="4"/>
    </row>
    <row r="2640" spans="1:10" x14ac:dyDescent="0.25">
      <c r="A2640" s="7" t="s">
        <v>99</v>
      </c>
      <c r="B2640" s="7">
        <f t="shared" si="602"/>
        <v>2039</v>
      </c>
      <c r="C2640" s="4" t="s">
        <v>23</v>
      </c>
      <c r="D2640" s="5" t="s">
        <v>128</v>
      </c>
      <c r="E2640" s="10" t="str">
        <f t="shared" si="600"/>
        <v>PRBDP'!</v>
      </c>
      <c r="F2640" s="5" t="str">
        <f t="shared" si="586"/>
        <v>C:\Users\jaime.benazar\Quorum Business Solutions\Ecopetrol Prometeo - Documents\Planning Space Implementation\3. Analysis &amp; Design\Design\FC22\DRR Jaime\QUIFA-CAJÚA\Cajua\[VAS_CAJUA_CF_SEC_20230125.xlsx]CF PRBDP'!</v>
      </c>
      <c r="G2640" s="7" t="s">
        <v>41</v>
      </c>
      <c r="H2640" s="4"/>
      <c r="I2640" s="4"/>
      <c r="J2640" s="4"/>
    </row>
    <row r="2641" spans="1:10" x14ac:dyDescent="0.25">
      <c r="A2641" s="7" t="s">
        <v>99</v>
      </c>
      <c r="B2641" s="7">
        <f t="shared" si="602"/>
        <v>2040</v>
      </c>
      <c r="C2641" s="4" t="s">
        <v>23</v>
      </c>
      <c r="D2641" s="5" t="s">
        <v>128</v>
      </c>
      <c r="E2641" s="10" t="str">
        <f t="shared" si="600"/>
        <v>PRBDP'!</v>
      </c>
      <c r="F2641" s="5" t="str">
        <f t="shared" si="586"/>
        <v>C:\Users\jaime.benazar\Quorum Business Solutions\Ecopetrol Prometeo - Documents\Planning Space Implementation\3. Analysis &amp; Design\Design\FC22\DRR Jaime\QUIFA-CAJÚA\Cajua\[VAS_CAJUA_CF_SEC_20230125.xlsx]CF PRBDP'!</v>
      </c>
      <c r="G2641" s="7" t="s">
        <v>41</v>
      </c>
      <c r="H2641" s="4"/>
      <c r="I2641" s="4"/>
      <c r="J2641" s="4"/>
    </row>
    <row r="2642" spans="1:10" x14ac:dyDescent="0.25">
      <c r="A2642" s="7" t="s">
        <v>99</v>
      </c>
      <c r="B2642" s="7">
        <f>+B2641+1</f>
        <v>2041</v>
      </c>
      <c r="C2642" s="4" t="s">
        <v>23</v>
      </c>
      <c r="D2642" s="5" t="s">
        <v>128</v>
      </c>
      <c r="E2642" s="10" t="str">
        <f t="shared" si="600"/>
        <v>PRBDP'!</v>
      </c>
      <c r="F2642" s="5" t="str">
        <f t="shared" si="586"/>
        <v>C:\Users\jaime.benazar\Quorum Business Solutions\Ecopetrol Prometeo - Documents\Planning Space Implementation\3. Analysis &amp; Design\Design\FC22\DRR Jaime\QUIFA-CAJÚA\Cajua\[VAS_CAJUA_CF_SEC_20230125.xlsx]CF PRBDP'!</v>
      </c>
      <c r="G2642" s="7" t="s">
        <v>41</v>
      </c>
      <c r="H2642" s="4"/>
      <c r="I2642" s="4"/>
      <c r="J2642" s="4"/>
    </row>
    <row r="2643" spans="1:10" x14ac:dyDescent="0.25">
      <c r="A2643" s="7" t="s">
        <v>99</v>
      </c>
      <c r="B2643" s="7">
        <f t="shared" ref="B2643:B2644" si="603">+B2642+1</f>
        <v>2042</v>
      </c>
      <c r="C2643" s="4" t="s">
        <v>23</v>
      </c>
      <c r="D2643" s="5" t="s">
        <v>128</v>
      </c>
      <c r="E2643" s="10" t="str">
        <f t="shared" si="600"/>
        <v>PRBDP'!</v>
      </c>
      <c r="F2643" s="5" t="str">
        <f t="shared" si="586"/>
        <v>C:\Users\jaime.benazar\Quorum Business Solutions\Ecopetrol Prometeo - Documents\Planning Space Implementation\3. Analysis &amp; Design\Design\FC22\DRR Jaime\QUIFA-CAJÚA\Cajua\[VAS_CAJUA_CF_SEC_20230125.xlsx]CF PRBDP'!</v>
      </c>
      <c r="G2643" s="7" t="s">
        <v>41</v>
      </c>
      <c r="H2643" s="4"/>
      <c r="I2643" s="4"/>
      <c r="J2643" s="4"/>
    </row>
    <row r="2644" spans="1:10" x14ac:dyDescent="0.25">
      <c r="A2644" s="7" t="s">
        <v>99</v>
      </c>
      <c r="B2644" s="7">
        <f t="shared" si="603"/>
        <v>2043</v>
      </c>
      <c r="C2644" s="4" t="s">
        <v>23</v>
      </c>
      <c r="D2644" s="5" t="s">
        <v>128</v>
      </c>
      <c r="E2644" s="10" t="str">
        <f t="shared" si="600"/>
        <v>PRBDP'!</v>
      </c>
      <c r="F2644" s="5" t="str">
        <f t="shared" si="586"/>
        <v>C:\Users\jaime.benazar\Quorum Business Solutions\Ecopetrol Prometeo - Documents\Planning Space Implementation\3. Analysis &amp; Design\Design\FC22\DRR Jaime\QUIFA-CAJÚA\Cajua\[VAS_CAJUA_CF_SEC_20230125.xlsx]CF PRBDP'!</v>
      </c>
      <c r="G2644" s="7" t="s">
        <v>41</v>
      </c>
      <c r="H2644" s="4"/>
      <c r="I2644" s="4"/>
      <c r="J2644" s="4"/>
    </row>
    <row r="2645" spans="1:10" x14ac:dyDescent="0.25">
      <c r="A2645" s="7" t="s">
        <v>99</v>
      </c>
      <c r="B2645" s="7">
        <f>+B2644+1</f>
        <v>2044</v>
      </c>
      <c r="C2645" s="4" t="s">
        <v>23</v>
      </c>
      <c r="D2645" s="5" t="s">
        <v>128</v>
      </c>
      <c r="E2645" s="10" t="str">
        <f t="shared" ref="E2645:E2660" si="604">_xlfn.CONCAT(A2645,"'!")</f>
        <v>PRBDP'!</v>
      </c>
      <c r="F2645" s="5" t="str">
        <f t="shared" ref="F2645:F2660" si="605">_xlfn.CONCAT(D2645," ",E2645)</f>
        <v>C:\Users\jaime.benazar\Quorum Business Solutions\Ecopetrol Prometeo - Documents\Planning Space Implementation\3. Analysis &amp; Design\Design\FC22\DRR Jaime\QUIFA-CAJÚA\Cajua\[VAS_CAJUA_CF_SEC_20230125.xlsx]CF PRBDP'!</v>
      </c>
      <c r="G2645" s="7" t="s">
        <v>41</v>
      </c>
      <c r="H2645" s="4"/>
      <c r="I2645" s="4"/>
      <c r="J2645" s="4"/>
    </row>
    <row r="2646" spans="1:10" x14ac:dyDescent="0.25">
      <c r="A2646" s="7" t="s">
        <v>99</v>
      </c>
      <c r="B2646" s="7">
        <f t="shared" ref="B2646:B2660" si="606">+B2645+1</f>
        <v>2045</v>
      </c>
      <c r="C2646" s="4" t="s">
        <v>23</v>
      </c>
      <c r="D2646" s="5" t="s">
        <v>128</v>
      </c>
      <c r="E2646" s="10" t="str">
        <f t="shared" si="604"/>
        <v>PRBDP'!</v>
      </c>
      <c r="F2646" s="5" t="str">
        <f t="shared" si="605"/>
        <v>C:\Users\jaime.benazar\Quorum Business Solutions\Ecopetrol Prometeo - Documents\Planning Space Implementation\3. Analysis &amp; Design\Design\FC22\DRR Jaime\QUIFA-CAJÚA\Cajua\[VAS_CAJUA_CF_SEC_20230125.xlsx]CF PRBDP'!</v>
      </c>
      <c r="G2646" s="7" t="s">
        <v>41</v>
      </c>
      <c r="H2646" s="4"/>
      <c r="I2646" s="4"/>
      <c r="J2646" s="4"/>
    </row>
    <row r="2647" spans="1:10" x14ac:dyDescent="0.25">
      <c r="A2647" s="7" t="s">
        <v>99</v>
      </c>
      <c r="B2647" s="7">
        <f t="shared" si="606"/>
        <v>2046</v>
      </c>
      <c r="C2647" s="4" t="s">
        <v>23</v>
      </c>
      <c r="D2647" s="5" t="s">
        <v>128</v>
      </c>
      <c r="E2647" s="10" t="str">
        <f t="shared" si="604"/>
        <v>PRBDP'!</v>
      </c>
      <c r="F2647" s="5" t="str">
        <f t="shared" si="605"/>
        <v>C:\Users\jaime.benazar\Quorum Business Solutions\Ecopetrol Prometeo - Documents\Planning Space Implementation\3. Analysis &amp; Design\Design\FC22\DRR Jaime\QUIFA-CAJÚA\Cajua\[VAS_CAJUA_CF_SEC_20230125.xlsx]CF PRBDP'!</v>
      </c>
      <c r="G2647" s="7" t="s">
        <v>41</v>
      </c>
      <c r="H2647" s="4"/>
      <c r="I2647" s="4"/>
      <c r="J2647" s="4"/>
    </row>
    <row r="2648" spans="1:10" x14ac:dyDescent="0.25">
      <c r="A2648" s="7" t="s">
        <v>99</v>
      </c>
      <c r="B2648" s="7">
        <f t="shared" si="606"/>
        <v>2047</v>
      </c>
      <c r="C2648" s="4" t="s">
        <v>23</v>
      </c>
      <c r="D2648" s="5" t="s">
        <v>128</v>
      </c>
      <c r="E2648" s="10" t="str">
        <f t="shared" si="604"/>
        <v>PRBDP'!</v>
      </c>
      <c r="F2648" s="5" t="str">
        <f t="shared" si="605"/>
        <v>C:\Users\jaime.benazar\Quorum Business Solutions\Ecopetrol Prometeo - Documents\Planning Space Implementation\3. Analysis &amp; Design\Design\FC22\DRR Jaime\QUIFA-CAJÚA\Cajua\[VAS_CAJUA_CF_SEC_20230125.xlsx]CF PRBDP'!</v>
      </c>
      <c r="G2648" s="7" t="s">
        <v>41</v>
      </c>
      <c r="H2648" s="4"/>
      <c r="I2648" s="4"/>
      <c r="J2648" s="4"/>
    </row>
    <row r="2649" spans="1:10" x14ac:dyDescent="0.25">
      <c r="A2649" s="7" t="s">
        <v>99</v>
      </c>
      <c r="B2649" s="7">
        <f t="shared" si="606"/>
        <v>2048</v>
      </c>
      <c r="C2649" s="4" t="s">
        <v>23</v>
      </c>
      <c r="D2649" s="5" t="s">
        <v>128</v>
      </c>
      <c r="E2649" s="10" t="str">
        <f t="shared" si="604"/>
        <v>PRBDP'!</v>
      </c>
      <c r="F2649" s="5" t="str">
        <f t="shared" si="605"/>
        <v>C:\Users\jaime.benazar\Quorum Business Solutions\Ecopetrol Prometeo - Documents\Planning Space Implementation\3. Analysis &amp; Design\Design\FC22\DRR Jaime\QUIFA-CAJÚA\Cajua\[VAS_CAJUA_CF_SEC_20230125.xlsx]CF PRBDP'!</v>
      </c>
      <c r="G2649" s="7" t="s">
        <v>41</v>
      </c>
      <c r="H2649" s="4"/>
      <c r="I2649" s="4"/>
      <c r="J2649" s="4"/>
    </row>
    <row r="2650" spans="1:10" x14ac:dyDescent="0.25">
      <c r="A2650" s="7" t="s">
        <v>99</v>
      </c>
      <c r="B2650" s="7">
        <f t="shared" si="606"/>
        <v>2049</v>
      </c>
      <c r="C2650" s="4" t="s">
        <v>23</v>
      </c>
      <c r="D2650" s="5" t="s">
        <v>128</v>
      </c>
      <c r="E2650" s="10" t="str">
        <f t="shared" si="604"/>
        <v>PRBDP'!</v>
      </c>
      <c r="F2650" s="5" t="str">
        <f t="shared" si="605"/>
        <v>C:\Users\jaime.benazar\Quorum Business Solutions\Ecopetrol Prometeo - Documents\Planning Space Implementation\3. Analysis &amp; Design\Design\FC22\DRR Jaime\QUIFA-CAJÚA\Cajua\[VAS_CAJUA_CF_SEC_20230125.xlsx]CF PRBDP'!</v>
      </c>
      <c r="G2650" s="7" t="s">
        <v>41</v>
      </c>
      <c r="H2650" s="4"/>
      <c r="I2650" s="4"/>
      <c r="J2650" s="4"/>
    </row>
    <row r="2651" spans="1:10" x14ac:dyDescent="0.25">
      <c r="A2651" s="7" t="s">
        <v>99</v>
      </c>
      <c r="B2651" s="7">
        <f t="shared" si="606"/>
        <v>2050</v>
      </c>
      <c r="C2651" s="4" t="s">
        <v>23</v>
      </c>
      <c r="D2651" s="5" t="s">
        <v>128</v>
      </c>
      <c r="E2651" s="10" t="str">
        <f t="shared" si="604"/>
        <v>PRBDP'!</v>
      </c>
      <c r="F2651" s="5" t="str">
        <f t="shared" si="605"/>
        <v>C:\Users\jaime.benazar\Quorum Business Solutions\Ecopetrol Prometeo - Documents\Planning Space Implementation\3. Analysis &amp; Design\Design\FC22\DRR Jaime\QUIFA-CAJÚA\Cajua\[VAS_CAJUA_CF_SEC_20230125.xlsx]CF PRBDP'!</v>
      </c>
      <c r="G2651" s="7" t="s">
        <v>41</v>
      </c>
      <c r="H2651" s="4"/>
      <c r="I2651" s="4"/>
      <c r="J2651" s="4"/>
    </row>
    <row r="2652" spans="1:10" x14ac:dyDescent="0.25">
      <c r="A2652" s="7" t="s">
        <v>99</v>
      </c>
      <c r="B2652" s="7">
        <f t="shared" si="606"/>
        <v>2051</v>
      </c>
      <c r="C2652" s="4" t="s">
        <v>23</v>
      </c>
      <c r="D2652" s="5" t="s">
        <v>128</v>
      </c>
      <c r="E2652" s="10" t="str">
        <f t="shared" si="604"/>
        <v>PRBDP'!</v>
      </c>
      <c r="F2652" s="5" t="str">
        <f t="shared" si="605"/>
        <v>C:\Users\jaime.benazar\Quorum Business Solutions\Ecopetrol Prometeo - Documents\Planning Space Implementation\3. Analysis &amp; Design\Design\FC22\DRR Jaime\QUIFA-CAJÚA\Cajua\[VAS_CAJUA_CF_SEC_20230125.xlsx]CF PRBDP'!</v>
      </c>
      <c r="G2652" s="7" t="s">
        <v>41</v>
      </c>
      <c r="H2652" s="4"/>
      <c r="I2652" s="4"/>
      <c r="J2652" s="4"/>
    </row>
    <row r="2653" spans="1:10" x14ac:dyDescent="0.25">
      <c r="A2653" s="7" t="s">
        <v>99</v>
      </c>
      <c r="B2653" s="7">
        <f t="shared" si="606"/>
        <v>2052</v>
      </c>
      <c r="C2653" s="4" t="s">
        <v>23</v>
      </c>
      <c r="D2653" s="5" t="s">
        <v>128</v>
      </c>
      <c r="E2653" s="10" t="str">
        <f t="shared" si="604"/>
        <v>PRBDP'!</v>
      </c>
      <c r="F2653" s="5" t="str">
        <f t="shared" si="605"/>
        <v>C:\Users\jaime.benazar\Quorum Business Solutions\Ecopetrol Prometeo - Documents\Planning Space Implementation\3. Analysis &amp; Design\Design\FC22\DRR Jaime\QUIFA-CAJÚA\Cajua\[VAS_CAJUA_CF_SEC_20230125.xlsx]CF PRBDP'!</v>
      </c>
      <c r="G2653" s="7" t="s">
        <v>41</v>
      </c>
      <c r="H2653" s="4"/>
      <c r="I2653" s="4"/>
      <c r="J2653" s="4"/>
    </row>
    <row r="2654" spans="1:10" x14ac:dyDescent="0.25">
      <c r="A2654" s="7" t="s">
        <v>99</v>
      </c>
      <c r="B2654" s="7">
        <f t="shared" si="606"/>
        <v>2053</v>
      </c>
      <c r="C2654" s="4" t="s">
        <v>23</v>
      </c>
      <c r="D2654" s="5" t="s">
        <v>128</v>
      </c>
      <c r="E2654" s="10" t="str">
        <f t="shared" si="604"/>
        <v>PRBDP'!</v>
      </c>
      <c r="F2654" s="5" t="str">
        <f t="shared" si="605"/>
        <v>C:\Users\jaime.benazar\Quorum Business Solutions\Ecopetrol Prometeo - Documents\Planning Space Implementation\3. Analysis &amp; Design\Design\FC22\DRR Jaime\QUIFA-CAJÚA\Cajua\[VAS_CAJUA_CF_SEC_20230125.xlsx]CF PRBDP'!</v>
      </c>
      <c r="G2654" s="7" t="s">
        <v>41</v>
      </c>
      <c r="H2654" s="4"/>
      <c r="I2654" s="4"/>
      <c r="J2654" s="4"/>
    </row>
    <row r="2655" spans="1:10" x14ac:dyDescent="0.25">
      <c r="A2655" s="7" t="s">
        <v>99</v>
      </c>
      <c r="B2655" s="7">
        <f t="shared" si="606"/>
        <v>2054</v>
      </c>
      <c r="C2655" s="4" t="s">
        <v>23</v>
      </c>
      <c r="D2655" s="5" t="s">
        <v>128</v>
      </c>
      <c r="E2655" s="10" t="str">
        <f t="shared" si="604"/>
        <v>PRBDP'!</v>
      </c>
      <c r="F2655" s="5" t="str">
        <f t="shared" si="605"/>
        <v>C:\Users\jaime.benazar\Quorum Business Solutions\Ecopetrol Prometeo - Documents\Planning Space Implementation\3. Analysis &amp; Design\Design\FC22\DRR Jaime\QUIFA-CAJÚA\Cajua\[VAS_CAJUA_CF_SEC_20230125.xlsx]CF PRBDP'!</v>
      </c>
      <c r="G2655" s="7" t="s">
        <v>41</v>
      </c>
      <c r="H2655" s="4"/>
      <c r="I2655" s="4"/>
      <c r="J2655" s="4"/>
    </row>
    <row r="2656" spans="1:10" x14ac:dyDescent="0.25">
      <c r="A2656" s="7" t="s">
        <v>99</v>
      </c>
      <c r="B2656" s="7">
        <f t="shared" si="606"/>
        <v>2055</v>
      </c>
      <c r="C2656" s="4" t="s">
        <v>23</v>
      </c>
      <c r="D2656" s="5" t="s">
        <v>128</v>
      </c>
      <c r="E2656" s="10" t="str">
        <f t="shared" si="604"/>
        <v>PRBDP'!</v>
      </c>
      <c r="F2656" s="5" t="str">
        <f t="shared" si="605"/>
        <v>C:\Users\jaime.benazar\Quorum Business Solutions\Ecopetrol Prometeo - Documents\Planning Space Implementation\3. Analysis &amp; Design\Design\FC22\DRR Jaime\QUIFA-CAJÚA\Cajua\[VAS_CAJUA_CF_SEC_20230125.xlsx]CF PRBDP'!</v>
      </c>
      <c r="G2656" s="7" t="s">
        <v>41</v>
      </c>
      <c r="H2656" s="4"/>
      <c r="I2656" s="4"/>
      <c r="J2656" s="4"/>
    </row>
    <row r="2657" spans="1:10" x14ac:dyDescent="0.25">
      <c r="A2657" s="7" t="s">
        <v>99</v>
      </c>
      <c r="B2657" s="7">
        <f t="shared" si="606"/>
        <v>2056</v>
      </c>
      <c r="C2657" s="4" t="s">
        <v>23</v>
      </c>
      <c r="D2657" s="5" t="s">
        <v>128</v>
      </c>
      <c r="E2657" s="10" t="str">
        <f t="shared" si="604"/>
        <v>PRBDP'!</v>
      </c>
      <c r="F2657" s="5" t="str">
        <f t="shared" si="605"/>
        <v>C:\Users\jaime.benazar\Quorum Business Solutions\Ecopetrol Prometeo - Documents\Planning Space Implementation\3. Analysis &amp; Design\Design\FC22\DRR Jaime\QUIFA-CAJÚA\Cajua\[VAS_CAJUA_CF_SEC_20230125.xlsx]CF PRBDP'!</v>
      </c>
      <c r="G2657" s="7" t="s">
        <v>41</v>
      </c>
      <c r="H2657" s="4"/>
      <c r="I2657" s="4"/>
      <c r="J2657" s="4"/>
    </row>
    <row r="2658" spans="1:10" x14ac:dyDescent="0.25">
      <c r="A2658" s="7" t="s">
        <v>99</v>
      </c>
      <c r="B2658" s="7">
        <f t="shared" si="606"/>
        <v>2057</v>
      </c>
      <c r="C2658" s="4" t="s">
        <v>23</v>
      </c>
      <c r="D2658" s="5" t="s">
        <v>128</v>
      </c>
      <c r="E2658" s="10" t="str">
        <f t="shared" si="604"/>
        <v>PRBDP'!</v>
      </c>
      <c r="F2658" s="5" t="str">
        <f t="shared" si="605"/>
        <v>C:\Users\jaime.benazar\Quorum Business Solutions\Ecopetrol Prometeo - Documents\Planning Space Implementation\3. Analysis &amp; Design\Design\FC22\DRR Jaime\QUIFA-CAJÚA\Cajua\[VAS_CAJUA_CF_SEC_20230125.xlsx]CF PRBDP'!</v>
      </c>
      <c r="G2658" s="7" t="s">
        <v>41</v>
      </c>
      <c r="H2658" s="4"/>
      <c r="I2658" s="4"/>
      <c r="J2658" s="4"/>
    </row>
    <row r="2659" spans="1:10" x14ac:dyDescent="0.25">
      <c r="A2659" s="7" t="s">
        <v>99</v>
      </c>
      <c r="B2659" s="7">
        <f t="shared" si="606"/>
        <v>2058</v>
      </c>
      <c r="C2659" s="4" t="s">
        <v>23</v>
      </c>
      <c r="D2659" s="5" t="s">
        <v>128</v>
      </c>
      <c r="E2659" s="10" t="str">
        <f t="shared" si="604"/>
        <v>PRBDP'!</v>
      </c>
      <c r="F2659" s="5" t="str">
        <f t="shared" si="605"/>
        <v>C:\Users\jaime.benazar\Quorum Business Solutions\Ecopetrol Prometeo - Documents\Planning Space Implementation\3. Analysis &amp; Design\Design\FC22\DRR Jaime\QUIFA-CAJÚA\Cajua\[VAS_CAJUA_CF_SEC_20230125.xlsx]CF PRBDP'!</v>
      </c>
      <c r="G2659" s="7" t="s">
        <v>41</v>
      </c>
      <c r="H2659" s="4"/>
      <c r="I2659" s="4"/>
      <c r="J2659" s="4"/>
    </row>
    <row r="2660" spans="1:10" x14ac:dyDescent="0.25">
      <c r="A2660" s="7" t="s">
        <v>99</v>
      </c>
      <c r="B2660" s="7">
        <f t="shared" si="606"/>
        <v>2059</v>
      </c>
      <c r="C2660" s="4" t="s">
        <v>23</v>
      </c>
      <c r="D2660" s="5" t="s">
        <v>128</v>
      </c>
      <c r="E2660" s="10" t="str">
        <f t="shared" si="604"/>
        <v>PRBDP'!</v>
      </c>
      <c r="F2660" s="5" t="str">
        <f t="shared" si="605"/>
        <v>C:\Users\jaime.benazar\Quorum Business Solutions\Ecopetrol Prometeo - Documents\Planning Space Implementation\3. Analysis &amp; Design\Design\FC22\DRR Jaime\QUIFA-CAJÚA\Cajua\[VAS_CAJUA_CF_SEC_20230125.xlsx]CF PRBDP'!</v>
      </c>
      <c r="G2660" s="7" t="s">
        <v>41</v>
      </c>
      <c r="H2660" s="4"/>
      <c r="I2660" s="4"/>
      <c r="J2660" s="4"/>
    </row>
    <row r="2661" spans="1:10" x14ac:dyDescent="0.25">
      <c r="A2661" s="7" t="s">
        <v>28</v>
      </c>
      <c r="B2661" s="7"/>
      <c r="C2661" s="4" t="s">
        <v>23</v>
      </c>
      <c r="D2661" s="5"/>
      <c r="E2661" s="10"/>
      <c r="F2661" s="5"/>
      <c r="G2661" s="7"/>
      <c r="H2661" s="4"/>
      <c r="I2661" s="4"/>
      <c r="J2661" s="4"/>
    </row>
    <row r="2662" spans="1:10" x14ac:dyDescent="0.25">
      <c r="A2662" s="7" t="s">
        <v>100</v>
      </c>
      <c r="B2662" s="7">
        <v>2023</v>
      </c>
      <c r="C2662" s="4" t="s">
        <v>23</v>
      </c>
      <c r="D2662" s="5" t="s">
        <v>128</v>
      </c>
      <c r="E2662" s="10" t="str">
        <f t="shared" ref="E2662:E2682" si="607">_xlfn.CONCAT(A2662,"'!")</f>
        <v>PRBNP'!</v>
      </c>
      <c r="F2662" s="5" t="str">
        <f t="shared" ref="F2662:F2682" si="608">_xlfn.CONCAT(D2662," ",E2662)</f>
        <v>C:\Users\jaime.benazar\Quorum Business Solutions\Ecopetrol Prometeo - Documents\Planning Space Implementation\3. Analysis &amp; Design\Design\FC22\DRR Jaime\QUIFA-CAJÚA\Cajua\[VAS_CAJUA_CF_SEC_20230125.xlsx]CF PRBNP'!</v>
      </c>
      <c r="G2662" s="7" t="s">
        <v>41</v>
      </c>
      <c r="H2662" s="4"/>
      <c r="I2662" s="4"/>
      <c r="J2662" s="4"/>
    </row>
    <row r="2663" spans="1:10" x14ac:dyDescent="0.25">
      <c r="A2663" s="7" t="s">
        <v>100</v>
      </c>
      <c r="B2663" s="7">
        <f>+B2662+1</f>
        <v>2024</v>
      </c>
      <c r="C2663" s="4" t="s">
        <v>23</v>
      </c>
      <c r="D2663" s="5" t="s">
        <v>128</v>
      </c>
      <c r="E2663" s="10" t="str">
        <f t="shared" si="607"/>
        <v>PRBNP'!</v>
      </c>
      <c r="F2663" s="5" t="str">
        <f t="shared" si="608"/>
        <v>C:\Users\jaime.benazar\Quorum Business Solutions\Ecopetrol Prometeo - Documents\Planning Space Implementation\3. Analysis &amp; Design\Design\FC22\DRR Jaime\QUIFA-CAJÚA\Cajua\[VAS_CAJUA_CF_SEC_20230125.xlsx]CF PRBNP'!</v>
      </c>
      <c r="G2663" s="7" t="s">
        <v>41</v>
      </c>
      <c r="H2663" s="4"/>
      <c r="I2663" s="4"/>
      <c r="J2663" s="4"/>
    </row>
    <row r="2664" spans="1:10" x14ac:dyDescent="0.25">
      <c r="A2664" s="7" t="s">
        <v>100</v>
      </c>
      <c r="B2664" s="7">
        <f t="shared" ref="B2664:B2675" si="609">+B2663+1</f>
        <v>2025</v>
      </c>
      <c r="C2664" s="4" t="s">
        <v>23</v>
      </c>
      <c r="D2664" s="5" t="s">
        <v>128</v>
      </c>
      <c r="E2664" s="10" t="str">
        <f t="shared" si="607"/>
        <v>PRBNP'!</v>
      </c>
      <c r="F2664" s="5" t="str">
        <f t="shared" si="608"/>
        <v>C:\Users\jaime.benazar\Quorum Business Solutions\Ecopetrol Prometeo - Documents\Planning Space Implementation\3. Analysis &amp; Design\Design\FC22\DRR Jaime\QUIFA-CAJÚA\Cajua\[VAS_CAJUA_CF_SEC_20230125.xlsx]CF PRBNP'!</v>
      </c>
      <c r="G2664" s="7" t="s">
        <v>41</v>
      </c>
      <c r="H2664" s="4"/>
      <c r="I2664" s="4"/>
      <c r="J2664" s="4"/>
    </row>
    <row r="2665" spans="1:10" x14ac:dyDescent="0.25">
      <c r="A2665" s="7" t="s">
        <v>100</v>
      </c>
      <c r="B2665" s="7">
        <f t="shared" si="609"/>
        <v>2026</v>
      </c>
      <c r="C2665" s="4" t="s">
        <v>23</v>
      </c>
      <c r="D2665" s="5" t="s">
        <v>128</v>
      </c>
      <c r="E2665" s="10" t="str">
        <f t="shared" si="607"/>
        <v>PRBNP'!</v>
      </c>
      <c r="F2665" s="5" t="str">
        <f t="shared" si="608"/>
        <v>C:\Users\jaime.benazar\Quorum Business Solutions\Ecopetrol Prometeo - Documents\Planning Space Implementation\3. Analysis &amp; Design\Design\FC22\DRR Jaime\QUIFA-CAJÚA\Cajua\[VAS_CAJUA_CF_SEC_20230125.xlsx]CF PRBNP'!</v>
      </c>
      <c r="G2665" s="7" t="s">
        <v>41</v>
      </c>
      <c r="H2665" s="4"/>
      <c r="I2665" s="4"/>
      <c r="J2665" s="4"/>
    </row>
    <row r="2666" spans="1:10" x14ac:dyDescent="0.25">
      <c r="A2666" s="7" t="s">
        <v>100</v>
      </c>
      <c r="B2666" s="7">
        <f t="shared" si="609"/>
        <v>2027</v>
      </c>
      <c r="C2666" s="4" t="s">
        <v>23</v>
      </c>
      <c r="D2666" s="5" t="s">
        <v>128</v>
      </c>
      <c r="E2666" s="10" t="str">
        <f t="shared" si="607"/>
        <v>PRBNP'!</v>
      </c>
      <c r="F2666" s="5" t="str">
        <f t="shared" si="608"/>
        <v>C:\Users\jaime.benazar\Quorum Business Solutions\Ecopetrol Prometeo - Documents\Planning Space Implementation\3. Analysis &amp; Design\Design\FC22\DRR Jaime\QUIFA-CAJÚA\Cajua\[VAS_CAJUA_CF_SEC_20230125.xlsx]CF PRBNP'!</v>
      </c>
      <c r="G2666" s="7" t="s">
        <v>41</v>
      </c>
      <c r="H2666" s="4"/>
      <c r="I2666" s="4"/>
      <c r="J2666" s="4"/>
    </row>
    <row r="2667" spans="1:10" x14ac:dyDescent="0.25">
      <c r="A2667" s="7" t="s">
        <v>100</v>
      </c>
      <c r="B2667" s="7">
        <f t="shared" si="609"/>
        <v>2028</v>
      </c>
      <c r="C2667" s="4" t="s">
        <v>23</v>
      </c>
      <c r="D2667" s="5" t="s">
        <v>128</v>
      </c>
      <c r="E2667" s="10" t="str">
        <f t="shared" si="607"/>
        <v>PRBNP'!</v>
      </c>
      <c r="F2667" s="5" t="str">
        <f t="shared" si="608"/>
        <v>C:\Users\jaime.benazar\Quorum Business Solutions\Ecopetrol Prometeo - Documents\Planning Space Implementation\3. Analysis &amp; Design\Design\FC22\DRR Jaime\QUIFA-CAJÚA\Cajua\[VAS_CAJUA_CF_SEC_20230125.xlsx]CF PRBNP'!</v>
      </c>
      <c r="G2667" s="7" t="s">
        <v>41</v>
      </c>
      <c r="H2667" s="4"/>
      <c r="I2667" s="4"/>
      <c r="J2667" s="4"/>
    </row>
    <row r="2668" spans="1:10" x14ac:dyDescent="0.25">
      <c r="A2668" s="7" t="s">
        <v>100</v>
      </c>
      <c r="B2668" s="7">
        <f t="shared" si="609"/>
        <v>2029</v>
      </c>
      <c r="C2668" s="4" t="s">
        <v>23</v>
      </c>
      <c r="D2668" s="5" t="s">
        <v>128</v>
      </c>
      <c r="E2668" s="10" t="str">
        <f t="shared" si="607"/>
        <v>PRBNP'!</v>
      </c>
      <c r="F2668" s="5" t="str">
        <f t="shared" si="608"/>
        <v>C:\Users\jaime.benazar\Quorum Business Solutions\Ecopetrol Prometeo - Documents\Planning Space Implementation\3. Analysis &amp; Design\Design\FC22\DRR Jaime\QUIFA-CAJÚA\Cajua\[VAS_CAJUA_CF_SEC_20230125.xlsx]CF PRBNP'!</v>
      </c>
      <c r="G2668" s="7" t="s">
        <v>41</v>
      </c>
      <c r="H2668" s="4"/>
      <c r="I2668" s="4"/>
      <c r="J2668" s="4"/>
    </row>
    <row r="2669" spans="1:10" x14ac:dyDescent="0.25">
      <c r="A2669" s="7" t="s">
        <v>100</v>
      </c>
      <c r="B2669" s="7">
        <f t="shared" si="609"/>
        <v>2030</v>
      </c>
      <c r="C2669" s="4" t="s">
        <v>23</v>
      </c>
      <c r="D2669" s="5" t="s">
        <v>128</v>
      </c>
      <c r="E2669" s="10" t="str">
        <f t="shared" si="607"/>
        <v>PRBNP'!</v>
      </c>
      <c r="F2669" s="5" t="str">
        <f t="shared" si="608"/>
        <v>C:\Users\jaime.benazar\Quorum Business Solutions\Ecopetrol Prometeo - Documents\Planning Space Implementation\3. Analysis &amp; Design\Design\FC22\DRR Jaime\QUIFA-CAJÚA\Cajua\[VAS_CAJUA_CF_SEC_20230125.xlsx]CF PRBNP'!</v>
      </c>
      <c r="G2669" s="7" t="s">
        <v>41</v>
      </c>
      <c r="H2669" s="4"/>
      <c r="I2669" s="4"/>
      <c r="J2669" s="4"/>
    </row>
    <row r="2670" spans="1:10" x14ac:dyDescent="0.25">
      <c r="A2670" s="7" t="s">
        <v>100</v>
      </c>
      <c r="B2670" s="7">
        <f t="shared" si="609"/>
        <v>2031</v>
      </c>
      <c r="C2670" s="4" t="s">
        <v>23</v>
      </c>
      <c r="D2670" s="5" t="s">
        <v>128</v>
      </c>
      <c r="E2670" s="10" t="str">
        <f t="shared" si="607"/>
        <v>PRBNP'!</v>
      </c>
      <c r="F2670" s="5" t="str">
        <f t="shared" si="608"/>
        <v>C:\Users\jaime.benazar\Quorum Business Solutions\Ecopetrol Prometeo - Documents\Planning Space Implementation\3. Analysis &amp; Design\Design\FC22\DRR Jaime\QUIFA-CAJÚA\Cajua\[VAS_CAJUA_CF_SEC_20230125.xlsx]CF PRBNP'!</v>
      </c>
      <c r="G2670" s="7" t="s">
        <v>41</v>
      </c>
      <c r="H2670" s="4"/>
      <c r="I2670" s="4"/>
      <c r="J2670" s="4"/>
    </row>
    <row r="2671" spans="1:10" x14ac:dyDescent="0.25">
      <c r="A2671" s="7" t="s">
        <v>100</v>
      </c>
      <c r="B2671" s="7">
        <f t="shared" si="609"/>
        <v>2032</v>
      </c>
      <c r="C2671" s="4" t="s">
        <v>23</v>
      </c>
      <c r="D2671" s="5" t="s">
        <v>128</v>
      </c>
      <c r="E2671" s="10" t="str">
        <f t="shared" si="607"/>
        <v>PRBNP'!</v>
      </c>
      <c r="F2671" s="5" t="str">
        <f t="shared" si="608"/>
        <v>C:\Users\jaime.benazar\Quorum Business Solutions\Ecopetrol Prometeo - Documents\Planning Space Implementation\3. Analysis &amp; Design\Design\FC22\DRR Jaime\QUIFA-CAJÚA\Cajua\[VAS_CAJUA_CF_SEC_20230125.xlsx]CF PRBNP'!</v>
      </c>
      <c r="G2671" s="7" t="s">
        <v>41</v>
      </c>
      <c r="H2671" s="4"/>
      <c r="I2671" s="4"/>
      <c r="J2671" s="4"/>
    </row>
    <row r="2672" spans="1:10" x14ac:dyDescent="0.25">
      <c r="A2672" s="7" t="s">
        <v>100</v>
      </c>
      <c r="B2672" s="7">
        <f t="shared" si="609"/>
        <v>2033</v>
      </c>
      <c r="C2672" s="4" t="s">
        <v>23</v>
      </c>
      <c r="D2672" s="5" t="s">
        <v>128</v>
      </c>
      <c r="E2672" s="10" t="str">
        <f t="shared" si="607"/>
        <v>PRBNP'!</v>
      </c>
      <c r="F2672" s="5" t="str">
        <f t="shared" si="608"/>
        <v>C:\Users\jaime.benazar\Quorum Business Solutions\Ecopetrol Prometeo - Documents\Planning Space Implementation\3. Analysis &amp; Design\Design\FC22\DRR Jaime\QUIFA-CAJÚA\Cajua\[VAS_CAJUA_CF_SEC_20230125.xlsx]CF PRBNP'!</v>
      </c>
      <c r="G2672" s="7" t="s">
        <v>41</v>
      </c>
      <c r="H2672" s="4"/>
      <c r="I2672" s="4"/>
      <c r="J2672" s="4"/>
    </row>
    <row r="2673" spans="1:10" x14ac:dyDescent="0.25">
      <c r="A2673" s="7" t="s">
        <v>100</v>
      </c>
      <c r="B2673" s="7">
        <f t="shared" si="609"/>
        <v>2034</v>
      </c>
      <c r="C2673" s="4" t="s">
        <v>23</v>
      </c>
      <c r="D2673" s="5" t="s">
        <v>128</v>
      </c>
      <c r="E2673" s="10" t="str">
        <f t="shared" si="607"/>
        <v>PRBNP'!</v>
      </c>
      <c r="F2673" s="5" t="str">
        <f t="shared" si="608"/>
        <v>C:\Users\jaime.benazar\Quorum Business Solutions\Ecopetrol Prometeo - Documents\Planning Space Implementation\3. Analysis &amp; Design\Design\FC22\DRR Jaime\QUIFA-CAJÚA\Cajua\[VAS_CAJUA_CF_SEC_20230125.xlsx]CF PRBNP'!</v>
      </c>
      <c r="G2673" s="7" t="s">
        <v>41</v>
      </c>
      <c r="H2673" s="4"/>
      <c r="I2673" s="4"/>
      <c r="J2673" s="4"/>
    </row>
    <row r="2674" spans="1:10" x14ac:dyDescent="0.25">
      <c r="A2674" s="7" t="s">
        <v>100</v>
      </c>
      <c r="B2674" s="7">
        <f t="shared" si="609"/>
        <v>2035</v>
      </c>
      <c r="C2674" s="4" t="s">
        <v>23</v>
      </c>
      <c r="D2674" s="5" t="s">
        <v>128</v>
      </c>
      <c r="E2674" s="10" t="str">
        <f t="shared" si="607"/>
        <v>PRBNP'!</v>
      </c>
      <c r="F2674" s="5" t="str">
        <f t="shared" si="608"/>
        <v>C:\Users\jaime.benazar\Quorum Business Solutions\Ecopetrol Prometeo - Documents\Planning Space Implementation\3. Analysis &amp; Design\Design\FC22\DRR Jaime\QUIFA-CAJÚA\Cajua\[VAS_CAJUA_CF_SEC_20230125.xlsx]CF PRBNP'!</v>
      </c>
      <c r="G2674" s="7" t="s">
        <v>41</v>
      </c>
      <c r="H2674" s="4"/>
      <c r="I2674" s="4"/>
      <c r="J2674" s="4"/>
    </row>
    <row r="2675" spans="1:10" x14ac:dyDescent="0.25">
      <c r="A2675" s="7" t="s">
        <v>100</v>
      </c>
      <c r="B2675" s="7">
        <f t="shared" si="609"/>
        <v>2036</v>
      </c>
      <c r="C2675" s="4" t="s">
        <v>23</v>
      </c>
      <c r="D2675" s="5" t="s">
        <v>128</v>
      </c>
      <c r="E2675" s="10" t="str">
        <f t="shared" si="607"/>
        <v>PRBNP'!</v>
      </c>
      <c r="F2675" s="5" t="str">
        <f t="shared" si="608"/>
        <v>C:\Users\jaime.benazar\Quorum Business Solutions\Ecopetrol Prometeo - Documents\Planning Space Implementation\3. Analysis &amp; Design\Design\FC22\DRR Jaime\QUIFA-CAJÚA\Cajua\[VAS_CAJUA_CF_SEC_20230125.xlsx]CF PRBNP'!</v>
      </c>
      <c r="G2675" s="7" t="s">
        <v>41</v>
      </c>
      <c r="H2675" s="4"/>
      <c r="I2675" s="4"/>
      <c r="J2675" s="4"/>
    </row>
    <row r="2676" spans="1:10" x14ac:dyDescent="0.25">
      <c r="A2676" s="7" t="s">
        <v>100</v>
      </c>
      <c r="B2676" s="7">
        <f>+B2675+1</f>
        <v>2037</v>
      </c>
      <c r="C2676" s="4" t="s">
        <v>23</v>
      </c>
      <c r="D2676" s="5" t="s">
        <v>128</v>
      </c>
      <c r="E2676" s="10" t="str">
        <f t="shared" si="607"/>
        <v>PRBNP'!</v>
      </c>
      <c r="F2676" s="5" t="str">
        <f t="shared" si="608"/>
        <v>C:\Users\jaime.benazar\Quorum Business Solutions\Ecopetrol Prometeo - Documents\Planning Space Implementation\3. Analysis &amp; Design\Design\FC22\DRR Jaime\QUIFA-CAJÚA\Cajua\[VAS_CAJUA_CF_SEC_20230125.xlsx]CF PRBNP'!</v>
      </c>
      <c r="G2676" s="7" t="s">
        <v>41</v>
      </c>
      <c r="H2676" s="4"/>
      <c r="I2676" s="4"/>
      <c r="J2676" s="4"/>
    </row>
    <row r="2677" spans="1:10" x14ac:dyDescent="0.25">
      <c r="A2677" s="7" t="s">
        <v>100</v>
      </c>
      <c r="B2677" s="7">
        <f t="shared" ref="B2677:B2679" si="610">+B2676+1</f>
        <v>2038</v>
      </c>
      <c r="C2677" s="4" t="s">
        <v>23</v>
      </c>
      <c r="D2677" s="5" t="s">
        <v>128</v>
      </c>
      <c r="E2677" s="10" t="str">
        <f t="shared" si="607"/>
        <v>PRBNP'!</v>
      </c>
      <c r="F2677" s="5" t="str">
        <f t="shared" si="608"/>
        <v>C:\Users\jaime.benazar\Quorum Business Solutions\Ecopetrol Prometeo - Documents\Planning Space Implementation\3. Analysis &amp; Design\Design\FC22\DRR Jaime\QUIFA-CAJÚA\Cajua\[VAS_CAJUA_CF_SEC_20230125.xlsx]CF PRBNP'!</v>
      </c>
      <c r="G2677" s="7" t="s">
        <v>41</v>
      </c>
      <c r="H2677" s="4"/>
      <c r="I2677" s="4"/>
      <c r="J2677" s="4"/>
    </row>
    <row r="2678" spans="1:10" x14ac:dyDescent="0.25">
      <c r="A2678" s="7" t="s">
        <v>100</v>
      </c>
      <c r="B2678" s="7">
        <f t="shared" si="610"/>
        <v>2039</v>
      </c>
      <c r="C2678" s="4" t="s">
        <v>23</v>
      </c>
      <c r="D2678" s="5" t="s">
        <v>128</v>
      </c>
      <c r="E2678" s="10" t="str">
        <f t="shared" si="607"/>
        <v>PRBNP'!</v>
      </c>
      <c r="F2678" s="5" t="str">
        <f t="shared" si="608"/>
        <v>C:\Users\jaime.benazar\Quorum Business Solutions\Ecopetrol Prometeo - Documents\Planning Space Implementation\3. Analysis &amp; Design\Design\FC22\DRR Jaime\QUIFA-CAJÚA\Cajua\[VAS_CAJUA_CF_SEC_20230125.xlsx]CF PRBNP'!</v>
      </c>
      <c r="G2678" s="7" t="s">
        <v>41</v>
      </c>
      <c r="H2678" s="4"/>
      <c r="I2678" s="4"/>
      <c r="J2678" s="4"/>
    </row>
    <row r="2679" spans="1:10" x14ac:dyDescent="0.25">
      <c r="A2679" s="7" t="s">
        <v>100</v>
      </c>
      <c r="B2679" s="7">
        <f t="shared" si="610"/>
        <v>2040</v>
      </c>
      <c r="C2679" s="4" t="s">
        <v>23</v>
      </c>
      <c r="D2679" s="5" t="s">
        <v>128</v>
      </c>
      <c r="E2679" s="10" t="str">
        <f t="shared" si="607"/>
        <v>PRBNP'!</v>
      </c>
      <c r="F2679" s="5" t="str">
        <f t="shared" si="608"/>
        <v>C:\Users\jaime.benazar\Quorum Business Solutions\Ecopetrol Prometeo - Documents\Planning Space Implementation\3. Analysis &amp; Design\Design\FC22\DRR Jaime\QUIFA-CAJÚA\Cajua\[VAS_CAJUA_CF_SEC_20230125.xlsx]CF PRBNP'!</v>
      </c>
      <c r="G2679" s="7" t="s">
        <v>41</v>
      </c>
      <c r="H2679" s="4"/>
      <c r="I2679" s="4"/>
      <c r="J2679" s="4"/>
    </row>
    <row r="2680" spans="1:10" x14ac:dyDescent="0.25">
      <c r="A2680" s="7" t="s">
        <v>100</v>
      </c>
      <c r="B2680" s="7">
        <f>+B2679+1</f>
        <v>2041</v>
      </c>
      <c r="C2680" s="4" t="s">
        <v>23</v>
      </c>
      <c r="D2680" s="5" t="s">
        <v>128</v>
      </c>
      <c r="E2680" s="10" t="str">
        <f t="shared" si="607"/>
        <v>PRBNP'!</v>
      </c>
      <c r="F2680" s="5" t="str">
        <f t="shared" si="608"/>
        <v>C:\Users\jaime.benazar\Quorum Business Solutions\Ecopetrol Prometeo - Documents\Planning Space Implementation\3. Analysis &amp; Design\Design\FC22\DRR Jaime\QUIFA-CAJÚA\Cajua\[VAS_CAJUA_CF_SEC_20230125.xlsx]CF PRBNP'!</v>
      </c>
      <c r="G2680" s="7" t="s">
        <v>41</v>
      </c>
      <c r="H2680" s="4"/>
      <c r="I2680" s="4"/>
      <c r="J2680" s="4"/>
    </row>
    <row r="2681" spans="1:10" x14ac:dyDescent="0.25">
      <c r="A2681" s="7" t="s">
        <v>100</v>
      </c>
      <c r="B2681" s="7">
        <f t="shared" ref="B2681:B2682" si="611">+B2680+1</f>
        <v>2042</v>
      </c>
      <c r="C2681" s="4" t="s">
        <v>23</v>
      </c>
      <c r="D2681" s="5" t="s">
        <v>128</v>
      </c>
      <c r="E2681" s="10" t="str">
        <f t="shared" si="607"/>
        <v>PRBNP'!</v>
      </c>
      <c r="F2681" s="5" t="str">
        <f t="shared" si="608"/>
        <v>C:\Users\jaime.benazar\Quorum Business Solutions\Ecopetrol Prometeo - Documents\Planning Space Implementation\3. Analysis &amp; Design\Design\FC22\DRR Jaime\QUIFA-CAJÚA\Cajua\[VAS_CAJUA_CF_SEC_20230125.xlsx]CF PRBNP'!</v>
      </c>
      <c r="G2681" s="7" t="s">
        <v>41</v>
      </c>
      <c r="H2681" s="4"/>
      <c r="I2681" s="4"/>
      <c r="J2681" s="4"/>
    </row>
    <row r="2682" spans="1:10" x14ac:dyDescent="0.25">
      <c r="A2682" s="7" t="s">
        <v>100</v>
      </c>
      <c r="B2682" s="7">
        <f t="shared" si="611"/>
        <v>2043</v>
      </c>
      <c r="C2682" s="4" t="s">
        <v>23</v>
      </c>
      <c r="D2682" s="5" t="s">
        <v>128</v>
      </c>
      <c r="E2682" s="10" t="str">
        <f t="shared" si="607"/>
        <v>PRBNP'!</v>
      </c>
      <c r="F2682" s="5" t="str">
        <f t="shared" si="608"/>
        <v>C:\Users\jaime.benazar\Quorum Business Solutions\Ecopetrol Prometeo - Documents\Planning Space Implementation\3. Analysis &amp; Design\Design\FC22\DRR Jaime\QUIFA-CAJÚA\Cajua\[VAS_CAJUA_CF_SEC_20230125.xlsx]CF PRBNP'!</v>
      </c>
      <c r="G2682" s="7" t="s">
        <v>41</v>
      </c>
      <c r="H2682" s="4"/>
      <c r="I2682" s="4"/>
      <c r="J2682" s="4"/>
    </row>
    <row r="2683" spans="1:10" x14ac:dyDescent="0.25">
      <c r="A2683" s="7" t="s">
        <v>100</v>
      </c>
      <c r="B2683" s="7">
        <f>+B2682+1</f>
        <v>2044</v>
      </c>
      <c r="C2683" s="4" t="s">
        <v>23</v>
      </c>
      <c r="D2683" s="5" t="s">
        <v>128</v>
      </c>
      <c r="E2683" s="10" t="str">
        <f t="shared" ref="E2683:E2698" si="612">_xlfn.CONCAT(A2683,"'!")</f>
        <v>PRBNP'!</v>
      </c>
      <c r="F2683" s="5" t="str">
        <f t="shared" ref="F2683:F2698" si="613">_xlfn.CONCAT(D2683," ",E2683)</f>
        <v>C:\Users\jaime.benazar\Quorum Business Solutions\Ecopetrol Prometeo - Documents\Planning Space Implementation\3. Analysis &amp; Design\Design\FC22\DRR Jaime\QUIFA-CAJÚA\Cajua\[VAS_CAJUA_CF_SEC_20230125.xlsx]CF PRBNP'!</v>
      </c>
      <c r="G2683" s="7" t="s">
        <v>41</v>
      </c>
      <c r="H2683" s="4"/>
      <c r="I2683" s="4"/>
      <c r="J2683" s="4"/>
    </row>
    <row r="2684" spans="1:10" x14ac:dyDescent="0.25">
      <c r="A2684" s="7" t="s">
        <v>100</v>
      </c>
      <c r="B2684" s="7">
        <f t="shared" ref="B2684:B2698" si="614">+B2683+1</f>
        <v>2045</v>
      </c>
      <c r="C2684" s="4" t="s">
        <v>23</v>
      </c>
      <c r="D2684" s="5" t="s">
        <v>128</v>
      </c>
      <c r="E2684" s="10" t="str">
        <f t="shared" si="612"/>
        <v>PRBNP'!</v>
      </c>
      <c r="F2684" s="5" t="str">
        <f t="shared" si="613"/>
        <v>C:\Users\jaime.benazar\Quorum Business Solutions\Ecopetrol Prometeo - Documents\Planning Space Implementation\3. Analysis &amp; Design\Design\FC22\DRR Jaime\QUIFA-CAJÚA\Cajua\[VAS_CAJUA_CF_SEC_20230125.xlsx]CF PRBNP'!</v>
      </c>
      <c r="G2684" s="7" t="s">
        <v>41</v>
      </c>
      <c r="H2684" s="4"/>
      <c r="I2684" s="4"/>
      <c r="J2684" s="4"/>
    </row>
    <row r="2685" spans="1:10" x14ac:dyDescent="0.25">
      <c r="A2685" s="7" t="s">
        <v>100</v>
      </c>
      <c r="B2685" s="7">
        <f t="shared" si="614"/>
        <v>2046</v>
      </c>
      <c r="C2685" s="4" t="s">
        <v>23</v>
      </c>
      <c r="D2685" s="5" t="s">
        <v>128</v>
      </c>
      <c r="E2685" s="10" t="str">
        <f t="shared" si="612"/>
        <v>PRBNP'!</v>
      </c>
      <c r="F2685" s="5" t="str">
        <f t="shared" si="613"/>
        <v>C:\Users\jaime.benazar\Quorum Business Solutions\Ecopetrol Prometeo - Documents\Planning Space Implementation\3. Analysis &amp; Design\Design\FC22\DRR Jaime\QUIFA-CAJÚA\Cajua\[VAS_CAJUA_CF_SEC_20230125.xlsx]CF PRBNP'!</v>
      </c>
      <c r="G2685" s="7" t="s">
        <v>41</v>
      </c>
      <c r="H2685" s="4"/>
      <c r="I2685" s="4"/>
      <c r="J2685" s="4"/>
    </row>
    <row r="2686" spans="1:10" x14ac:dyDescent="0.25">
      <c r="A2686" s="7" t="s">
        <v>100</v>
      </c>
      <c r="B2686" s="7">
        <f t="shared" si="614"/>
        <v>2047</v>
      </c>
      <c r="C2686" s="4" t="s">
        <v>23</v>
      </c>
      <c r="D2686" s="5" t="s">
        <v>128</v>
      </c>
      <c r="E2686" s="10" t="str">
        <f t="shared" si="612"/>
        <v>PRBNP'!</v>
      </c>
      <c r="F2686" s="5" t="str">
        <f t="shared" si="613"/>
        <v>C:\Users\jaime.benazar\Quorum Business Solutions\Ecopetrol Prometeo - Documents\Planning Space Implementation\3. Analysis &amp; Design\Design\FC22\DRR Jaime\QUIFA-CAJÚA\Cajua\[VAS_CAJUA_CF_SEC_20230125.xlsx]CF PRBNP'!</v>
      </c>
      <c r="G2686" s="7" t="s">
        <v>41</v>
      </c>
      <c r="H2686" s="4"/>
      <c r="I2686" s="4"/>
      <c r="J2686" s="4"/>
    </row>
    <row r="2687" spans="1:10" x14ac:dyDescent="0.25">
      <c r="A2687" s="7" t="s">
        <v>100</v>
      </c>
      <c r="B2687" s="7">
        <f t="shared" si="614"/>
        <v>2048</v>
      </c>
      <c r="C2687" s="4" t="s">
        <v>23</v>
      </c>
      <c r="D2687" s="5" t="s">
        <v>128</v>
      </c>
      <c r="E2687" s="10" t="str">
        <f t="shared" si="612"/>
        <v>PRBNP'!</v>
      </c>
      <c r="F2687" s="5" t="str">
        <f t="shared" si="613"/>
        <v>C:\Users\jaime.benazar\Quorum Business Solutions\Ecopetrol Prometeo - Documents\Planning Space Implementation\3. Analysis &amp; Design\Design\FC22\DRR Jaime\QUIFA-CAJÚA\Cajua\[VAS_CAJUA_CF_SEC_20230125.xlsx]CF PRBNP'!</v>
      </c>
      <c r="G2687" s="7" t="s">
        <v>41</v>
      </c>
      <c r="H2687" s="4"/>
      <c r="I2687" s="4"/>
      <c r="J2687" s="4"/>
    </row>
    <row r="2688" spans="1:10" x14ac:dyDescent="0.25">
      <c r="A2688" s="7" t="s">
        <v>100</v>
      </c>
      <c r="B2688" s="7">
        <f t="shared" si="614"/>
        <v>2049</v>
      </c>
      <c r="C2688" s="4" t="s">
        <v>23</v>
      </c>
      <c r="D2688" s="5" t="s">
        <v>128</v>
      </c>
      <c r="E2688" s="10" t="str">
        <f t="shared" si="612"/>
        <v>PRBNP'!</v>
      </c>
      <c r="F2688" s="5" t="str">
        <f t="shared" si="613"/>
        <v>C:\Users\jaime.benazar\Quorum Business Solutions\Ecopetrol Prometeo - Documents\Planning Space Implementation\3. Analysis &amp; Design\Design\FC22\DRR Jaime\QUIFA-CAJÚA\Cajua\[VAS_CAJUA_CF_SEC_20230125.xlsx]CF PRBNP'!</v>
      </c>
      <c r="G2688" s="7" t="s">
        <v>41</v>
      </c>
      <c r="H2688" s="4"/>
      <c r="I2688" s="4"/>
      <c r="J2688" s="4"/>
    </row>
    <row r="2689" spans="1:10" x14ac:dyDescent="0.25">
      <c r="A2689" s="7" t="s">
        <v>100</v>
      </c>
      <c r="B2689" s="7">
        <f t="shared" si="614"/>
        <v>2050</v>
      </c>
      <c r="C2689" s="4" t="s">
        <v>23</v>
      </c>
      <c r="D2689" s="5" t="s">
        <v>128</v>
      </c>
      <c r="E2689" s="10" t="str">
        <f t="shared" si="612"/>
        <v>PRBNP'!</v>
      </c>
      <c r="F2689" s="5" t="str">
        <f t="shared" si="613"/>
        <v>C:\Users\jaime.benazar\Quorum Business Solutions\Ecopetrol Prometeo - Documents\Planning Space Implementation\3. Analysis &amp; Design\Design\FC22\DRR Jaime\QUIFA-CAJÚA\Cajua\[VAS_CAJUA_CF_SEC_20230125.xlsx]CF PRBNP'!</v>
      </c>
      <c r="G2689" s="7" t="s">
        <v>41</v>
      </c>
      <c r="H2689" s="4"/>
      <c r="I2689" s="4"/>
      <c r="J2689" s="4"/>
    </row>
    <row r="2690" spans="1:10" x14ac:dyDescent="0.25">
      <c r="A2690" s="7" t="s">
        <v>100</v>
      </c>
      <c r="B2690" s="7">
        <f t="shared" si="614"/>
        <v>2051</v>
      </c>
      <c r="C2690" s="4" t="s">
        <v>23</v>
      </c>
      <c r="D2690" s="5" t="s">
        <v>128</v>
      </c>
      <c r="E2690" s="10" t="str">
        <f t="shared" si="612"/>
        <v>PRBNP'!</v>
      </c>
      <c r="F2690" s="5" t="str">
        <f t="shared" si="613"/>
        <v>C:\Users\jaime.benazar\Quorum Business Solutions\Ecopetrol Prometeo - Documents\Planning Space Implementation\3. Analysis &amp; Design\Design\FC22\DRR Jaime\QUIFA-CAJÚA\Cajua\[VAS_CAJUA_CF_SEC_20230125.xlsx]CF PRBNP'!</v>
      </c>
      <c r="G2690" s="7" t="s">
        <v>41</v>
      </c>
      <c r="H2690" s="4"/>
      <c r="I2690" s="4"/>
      <c r="J2690" s="4"/>
    </row>
    <row r="2691" spans="1:10" x14ac:dyDescent="0.25">
      <c r="A2691" s="7" t="s">
        <v>100</v>
      </c>
      <c r="B2691" s="7">
        <f t="shared" si="614"/>
        <v>2052</v>
      </c>
      <c r="C2691" s="4" t="s">
        <v>23</v>
      </c>
      <c r="D2691" s="5" t="s">
        <v>128</v>
      </c>
      <c r="E2691" s="10" t="str">
        <f t="shared" si="612"/>
        <v>PRBNP'!</v>
      </c>
      <c r="F2691" s="5" t="str">
        <f t="shared" si="613"/>
        <v>C:\Users\jaime.benazar\Quorum Business Solutions\Ecopetrol Prometeo - Documents\Planning Space Implementation\3. Analysis &amp; Design\Design\FC22\DRR Jaime\QUIFA-CAJÚA\Cajua\[VAS_CAJUA_CF_SEC_20230125.xlsx]CF PRBNP'!</v>
      </c>
      <c r="G2691" s="7" t="s">
        <v>41</v>
      </c>
      <c r="H2691" s="4"/>
      <c r="I2691" s="4"/>
      <c r="J2691" s="4"/>
    </row>
    <row r="2692" spans="1:10" x14ac:dyDescent="0.25">
      <c r="A2692" s="7" t="s">
        <v>100</v>
      </c>
      <c r="B2692" s="7">
        <f t="shared" si="614"/>
        <v>2053</v>
      </c>
      <c r="C2692" s="4" t="s">
        <v>23</v>
      </c>
      <c r="D2692" s="5" t="s">
        <v>128</v>
      </c>
      <c r="E2692" s="10" t="str">
        <f t="shared" si="612"/>
        <v>PRBNP'!</v>
      </c>
      <c r="F2692" s="5" t="str">
        <f t="shared" si="613"/>
        <v>C:\Users\jaime.benazar\Quorum Business Solutions\Ecopetrol Prometeo - Documents\Planning Space Implementation\3. Analysis &amp; Design\Design\FC22\DRR Jaime\QUIFA-CAJÚA\Cajua\[VAS_CAJUA_CF_SEC_20230125.xlsx]CF PRBNP'!</v>
      </c>
      <c r="G2692" s="7" t="s">
        <v>41</v>
      </c>
      <c r="H2692" s="4"/>
      <c r="I2692" s="4"/>
      <c r="J2692" s="4"/>
    </row>
    <row r="2693" spans="1:10" x14ac:dyDescent="0.25">
      <c r="A2693" s="7" t="s">
        <v>100</v>
      </c>
      <c r="B2693" s="7">
        <f t="shared" si="614"/>
        <v>2054</v>
      </c>
      <c r="C2693" s="4" t="s">
        <v>23</v>
      </c>
      <c r="D2693" s="5" t="s">
        <v>128</v>
      </c>
      <c r="E2693" s="10" t="str">
        <f t="shared" si="612"/>
        <v>PRBNP'!</v>
      </c>
      <c r="F2693" s="5" t="str">
        <f t="shared" si="613"/>
        <v>C:\Users\jaime.benazar\Quorum Business Solutions\Ecopetrol Prometeo - Documents\Planning Space Implementation\3. Analysis &amp; Design\Design\FC22\DRR Jaime\QUIFA-CAJÚA\Cajua\[VAS_CAJUA_CF_SEC_20230125.xlsx]CF PRBNP'!</v>
      </c>
      <c r="G2693" s="7" t="s">
        <v>41</v>
      </c>
      <c r="H2693" s="4"/>
      <c r="I2693" s="4"/>
      <c r="J2693" s="4"/>
    </row>
    <row r="2694" spans="1:10" x14ac:dyDescent="0.25">
      <c r="A2694" s="7" t="s">
        <v>100</v>
      </c>
      <c r="B2694" s="7">
        <f t="shared" si="614"/>
        <v>2055</v>
      </c>
      <c r="C2694" s="4" t="s">
        <v>23</v>
      </c>
      <c r="D2694" s="5" t="s">
        <v>128</v>
      </c>
      <c r="E2694" s="10" t="str">
        <f t="shared" si="612"/>
        <v>PRBNP'!</v>
      </c>
      <c r="F2694" s="5" t="str">
        <f t="shared" si="613"/>
        <v>C:\Users\jaime.benazar\Quorum Business Solutions\Ecopetrol Prometeo - Documents\Planning Space Implementation\3. Analysis &amp; Design\Design\FC22\DRR Jaime\QUIFA-CAJÚA\Cajua\[VAS_CAJUA_CF_SEC_20230125.xlsx]CF PRBNP'!</v>
      </c>
      <c r="G2694" s="7" t="s">
        <v>41</v>
      </c>
      <c r="H2694" s="4"/>
      <c r="I2694" s="4"/>
      <c r="J2694" s="4"/>
    </row>
    <row r="2695" spans="1:10" x14ac:dyDescent="0.25">
      <c r="A2695" s="7" t="s">
        <v>100</v>
      </c>
      <c r="B2695" s="7">
        <f t="shared" si="614"/>
        <v>2056</v>
      </c>
      <c r="C2695" s="4" t="s">
        <v>23</v>
      </c>
      <c r="D2695" s="5" t="s">
        <v>128</v>
      </c>
      <c r="E2695" s="10" t="str">
        <f t="shared" si="612"/>
        <v>PRBNP'!</v>
      </c>
      <c r="F2695" s="5" t="str">
        <f t="shared" si="613"/>
        <v>C:\Users\jaime.benazar\Quorum Business Solutions\Ecopetrol Prometeo - Documents\Planning Space Implementation\3. Analysis &amp; Design\Design\FC22\DRR Jaime\QUIFA-CAJÚA\Cajua\[VAS_CAJUA_CF_SEC_20230125.xlsx]CF PRBNP'!</v>
      </c>
      <c r="G2695" s="7" t="s">
        <v>41</v>
      </c>
      <c r="H2695" s="4"/>
      <c r="I2695" s="4"/>
      <c r="J2695" s="4"/>
    </row>
    <row r="2696" spans="1:10" x14ac:dyDescent="0.25">
      <c r="A2696" s="7" t="s">
        <v>100</v>
      </c>
      <c r="B2696" s="7">
        <f t="shared" si="614"/>
        <v>2057</v>
      </c>
      <c r="C2696" s="4" t="s">
        <v>23</v>
      </c>
      <c r="D2696" s="5" t="s">
        <v>128</v>
      </c>
      <c r="E2696" s="10" t="str">
        <f t="shared" si="612"/>
        <v>PRBNP'!</v>
      </c>
      <c r="F2696" s="5" t="str">
        <f t="shared" si="613"/>
        <v>C:\Users\jaime.benazar\Quorum Business Solutions\Ecopetrol Prometeo - Documents\Planning Space Implementation\3. Analysis &amp; Design\Design\FC22\DRR Jaime\QUIFA-CAJÚA\Cajua\[VAS_CAJUA_CF_SEC_20230125.xlsx]CF PRBNP'!</v>
      </c>
      <c r="G2696" s="7" t="s">
        <v>41</v>
      </c>
      <c r="H2696" s="4"/>
      <c r="I2696" s="4"/>
      <c r="J2696" s="4"/>
    </row>
    <row r="2697" spans="1:10" x14ac:dyDescent="0.25">
      <c r="A2697" s="7" t="s">
        <v>100</v>
      </c>
      <c r="B2697" s="7">
        <f t="shared" si="614"/>
        <v>2058</v>
      </c>
      <c r="C2697" s="4" t="s">
        <v>23</v>
      </c>
      <c r="D2697" s="5" t="s">
        <v>128</v>
      </c>
      <c r="E2697" s="10" t="str">
        <f t="shared" si="612"/>
        <v>PRBNP'!</v>
      </c>
      <c r="F2697" s="5" t="str">
        <f t="shared" si="613"/>
        <v>C:\Users\jaime.benazar\Quorum Business Solutions\Ecopetrol Prometeo - Documents\Planning Space Implementation\3. Analysis &amp; Design\Design\FC22\DRR Jaime\QUIFA-CAJÚA\Cajua\[VAS_CAJUA_CF_SEC_20230125.xlsx]CF PRBNP'!</v>
      </c>
      <c r="G2697" s="7" t="s">
        <v>41</v>
      </c>
      <c r="H2697" s="4"/>
      <c r="I2697" s="4"/>
      <c r="J2697" s="4"/>
    </row>
    <row r="2698" spans="1:10" x14ac:dyDescent="0.25">
      <c r="A2698" s="7" t="s">
        <v>100</v>
      </c>
      <c r="B2698" s="7">
        <f t="shared" si="614"/>
        <v>2059</v>
      </c>
      <c r="C2698" s="4" t="s">
        <v>23</v>
      </c>
      <c r="D2698" s="5" t="s">
        <v>128</v>
      </c>
      <c r="E2698" s="10" t="str">
        <f t="shared" si="612"/>
        <v>PRBNP'!</v>
      </c>
      <c r="F2698" s="5" t="str">
        <f t="shared" si="613"/>
        <v>C:\Users\jaime.benazar\Quorum Business Solutions\Ecopetrol Prometeo - Documents\Planning Space Implementation\3. Analysis &amp; Design\Design\FC22\DRR Jaime\QUIFA-CAJÚA\Cajua\[VAS_CAJUA_CF_SEC_20230125.xlsx]CF PRBNP'!</v>
      </c>
      <c r="G2698" s="7" t="s">
        <v>41</v>
      </c>
      <c r="H2698" s="4"/>
      <c r="I2698" s="4"/>
      <c r="J2698" s="4"/>
    </row>
    <row r="2699" spans="1:10" x14ac:dyDescent="0.25">
      <c r="A2699" s="7" t="s">
        <v>28</v>
      </c>
      <c r="B2699" s="7"/>
      <c r="C2699" s="4" t="s">
        <v>23</v>
      </c>
      <c r="D2699" s="5"/>
      <c r="E2699" s="10"/>
      <c r="F2699" s="2"/>
      <c r="G2699" s="7"/>
      <c r="H2699" s="4"/>
      <c r="I2699" s="4"/>
      <c r="J2699" s="4"/>
    </row>
    <row r="2700" spans="1:10" x14ac:dyDescent="0.25">
      <c r="A2700" s="7" t="s">
        <v>101</v>
      </c>
      <c r="B2700" s="7">
        <v>2023</v>
      </c>
      <c r="C2700" s="4" t="s">
        <v>23</v>
      </c>
      <c r="D2700" s="5" t="s">
        <v>128</v>
      </c>
      <c r="E2700" s="10" t="str">
        <f t="shared" ref="E2700:E2720" si="615">_xlfn.CONCAT(A2700,"'!")</f>
        <v>PRBND'!</v>
      </c>
      <c r="F2700" s="5" t="str">
        <f t="shared" ref="F2700:F2720" si="616">_xlfn.CONCAT(D2700," ",E2700)</f>
        <v>C:\Users\jaime.benazar\Quorum Business Solutions\Ecopetrol Prometeo - Documents\Planning Space Implementation\3. Analysis &amp; Design\Design\FC22\DRR Jaime\QUIFA-CAJÚA\Cajua\[VAS_CAJUA_CF_SEC_20230125.xlsx]CF PRBND'!</v>
      </c>
      <c r="G2700" s="7" t="s">
        <v>41</v>
      </c>
      <c r="H2700" s="4"/>
      <c r="I2700" s="4"/>
      <c r="J2700" s="4"/>
    </row>
    <row r="2701" spans="1:10" x14ac:dyDescent="0.25">
      <c r="A2701" s="7" t="s">
        <v>101</v>
      </c>
      <c r="B2701" s="7">
        <f>+B2700+1</f>
        <v>2024</v>
      </c>
      <c r="C2701" s="4" t="s">
        <v>23</v>
      </c>
      <c r="D2701" s="5" t="s">
        <v>128</v>
      </c>
      <c r="E2701" s="10" t="str">
        <f t="shared" si="615"/>
        <v>PRBND'!</v>
      </c>
      <c r="F2701" s="5" t="str">
        <f t="shared" si="616"/>
        <v>C:\Users\jaime.benazar\Quorum Business Solutions\Ecopetrol Prometeo - Documents\Planning Space Implementation\3. Analysis &amp; Design\Design\FC22\DRR Jaime\QUIFA-CAJÚA\Cajua\[VAS_CAJUA_CF_SEC_20230125.xlsx]CF PRBND'!</v>
      </c>
      <c r="G2701" s="7" t="s">
        <v>41</v>
      </c>
      <c r="H2701" s="4"/>
      <c r="I2701" s="4"/>
      <c r="J2701" s="4"/>
    </row>
    <row r="2702" spans="1:10" x14ac:dyDescent="0.25">
      <c r="A2702" s="7" t="s">
        <v>101</v>
      </c>
      <c r="B2702" s="7">
        <f t="shared" ref="B2702:B2713" si="617">+B2701+1</f>
        <v>2025</v>
      </c>
      <c r="C2702" s="4" t="s">
        <v>23</v>
      </c>
      <c r="D2702" s="5" t="s">
        <v>128</v>
      </c>
      <c r="E2702" s="10" t="str">
        <f t="shared" si="615"/>
        <v>PRBND'!</v>
      </c>
      <c r="F2702" s="5" t="str">
        <f t="shared" si="616"/>
        <v>C:\Users\jaime.benazar\Quorum Business Solutions\Ecopetrol Prometeo - Documents\Planning Space Implementation\3. Analysis &amp; Design\Design\FC22\DRR Jaime\QUIFA-CAJÚA\Cajua\[VAS_CAJUA_CF_SEC_20230125.xlsx]CF PRBND'!</v>
      </c>
      <c r="G2702" s="7" t="s">
        <v>41</v>
      </c>
      <c r="H2702" s="4"/>
      <c r="I2702" s="4"/>
      <c r="J2702" s="4"/>
    </row>
    <row r="2703" spans="1:10" x14ac:dyDescent="0.25">
      <c r="A2703" s="7" t="s">
        <v>101</v>
      </c>
      <c r="B2703" s="7">
        <f t="shared" si="617"/>
        <v>2026</v>
      </c>
      <c r="C2703" s="4" t="s">
        <v>23</v>
      </c>
      <c r="D2703" s="5" t="s">
        <v>128</v>
      </c>
      <c r="E2703" s="10" t="str">
        <f t="shared" si="615"/>
        <v>PRBND'!</v>
      </c>
      <c r="F2703" s="5" t="str">
        <f t="shared" si="616"/>
        <v>C:\Users\jaime.benazar\Quorum Business Solutions\Ecopetrol Prometeo - Documents\Planning Space Implementation\3. Analysis &amp; Design\Design\FC22\DRR Jaime\QUIFA-CAJÚA\Cajua\[VAS_CAJUA_CF_SEC_20230125.xlsx]CF PRBND'!</v>
      </c>
      <c r="G2703" s="7" t="s">
        <v>41</v>
      </c>
      <c r="H2703" s="4"/>
      <c r="I2703" s="4"/>
      <c r="J2703" s="4"/>
    </row>
    <row r="2704" spans="1:10" x14ac:dyDescent="0.25">
      <c r="A2704" s="7" t="s">
        <v>101</v>
      </c>
      <c r="B2704" s="7">
        <f t="shared" si="617"/>
        <v>2027</v>
      </c>
      <c r="C2704" s="4" t="s">
        <v>23</v>
      </c>
      <c r="D2704" s="5" t="s">
        <v>128</v>
      </c>
      <c r="E2704" s="10" t="str">
        <f t="shared" si="615"/>
        <v>PRBND'!</v>
      </c>
      <c r="F2704" s="5" t="str">
        <f t="shared" si="616"/>
        <v>C:\Users\jaime.benazar\Quorum Business Solutions\Ecopetrol Prometeo - Documents\Planning Space Implementation\3. Analysis &amp; Design\Design\FC22\DRR Jaime\QUIFA-CAJÚA\Cajua\[VAS_CAJUA_CF_SEC_20230125.xlsx]CF PRBND'!</v>
      </c>
      <c r="G2704" s="7" t="s">
        <v>41</v>
      </c>
      <c r="H2704" s="4"/>
      <c r="I2704" s="4"/>
      <c r="J2704" s="4"/>
    </row>
    <row r="2705" spans="1:10" x14ac:dyDescent="0.25">
      <c r="A2705" s="7" t="s">
        <v>101</v>
      </c>
      <c r="B2705" s="7">
        <f t="shared" si="617"/>
        <v>2028</v>
      </c>
      <c r="C2705" s="4" t="s">
        <v>23</v>
      </c>
      <c r="D2705" s="5" t="s">
        <v>128</v>
      </c>
      <c r="E2705" s="10" t="str">
        <f t="shared" si="615"/>
        <v>PRBND'!</v>
      </c>
      <c r="F2705" s="5" t="str">
        <f t="shared" si="616"/>
        <v>C:\Users\jaime.benazar\Quorum Business Solutions\Ecopetrol Prometeo - Documents\Planning Space Implementation\3. Analysis &amp; Design\Design\FC22\DRR Jaime\QUIFA-CAJÚA\Cajua\[VAS_CAJUA_CF_SEC_20230125.xlsx]CF PRBND'!</v>
      </c>
      <c r="G2705" s="7" t="s">
        <v>41</v>
      </c>
      <c r="H2705" s="4"/>
      <c r="I2705" s="4"/>
      <c r="J2705" s="4"/>
    </row>
    <row r="2706" spans="1:10" x14ac:dyDescent="0.25">
      <c r="A2706" s="7" t="s">
        <v>101</v>
      </c>
      <c r="B2706" s="7">
        <f t="shared" si="617"/>
        <v>2029</v>
      </c>
      <c r="C2706" s="4" t="s">
        <v>23</v>
      </c>
      <c r="D2706" s="5" t="s">
        <v>128</v>
      </c>
      <c r="E2706" s="10" t="str">
        <f t="shared" si="615"/>
        <v>PRBND'!</v>
      </c>
      <c r="F2706" s="5" t="str">
        <f t="shared" si="616"/>
        <v>C:\Users\jaime.benazar\Quorum Business Solutions\Ecopetrol Prometeo - Documents\Planning Space Implementation\3. Analysis &amp; Design\Design\FC22\DRR Jaime\QUIFA-CAJÚA\Cajua\[VAS_CAJUA_CF_SEC_20230125.xlsx]CF PRBND'!</v>
      </c>
      <c r="G2706" s="7" t="s">
        <v>41</v>
      </c>
      <c r="H2706" s="4"/>
      <c r="I2706" s="4"/>
      <c r="J2706" s="4"/>
    </row>
    <row r="2707" spans="1:10" x14ac:dyDescent="0.25">
      <c r="A2707" s="7" t="s">
        <v>101</v>
      </c>
      <c r="B2707" s="7">
        <f t="shared" si="617"/>
        <v>2030</v>
      </c>
      <c r="C2707" s="4" t="s">
        <v>23</v>
      </c>
      <c r="D2707" s="5" t="s">
        <v>128</v>
      </c>
      <c r="E2707" s="10" t="str">
        <f t="shared" si="615"/>
        <v>PRBND'!</v>
      </c>
      <c r="F2707" s="5" t="str">
        <f t="shared" si="616"/>
        <v>C:\Users\jaime.benazar\Quorum Business Solutions\Ecopetrol Prometeo - Documents\Planning Space Implementation\3. Analysis &amp; Design\Design\FC22\DRR Jaime\QUIFA-CAJÚA\Cajua\[VAS_CAJUA_CF_SEC_20230125.xlsx]CF PRBND'!</v>
      </c>
      <c r="G2707" s="7" t="s">
        <v>41</v>
      </c>
      <c r="H2707" s="4"/>
      <c r="I2707" s="4"/>
      <c r="J2707" s="4"/>
    </row>
    <row r="2708" spans="1:10" x14ac:dyDescent="0.25">
      <c r="A2708" s="7" t="s">
        <v>101</v>
      </c>
      <c r="B2708" s="7">
        <f t="shared" si="617"/>
        <v>2031</v>
      </c>
      <c r="C2708" s="4" t="s">
        <v>23</v>
      </c>
      <c r="D2708" s="5" t="s">
        <v>128</v>
      </c>
      <c r="E2708" s="10" t="str">
        <f t="shared" si="615"/>
        <v>PRBND'!</v>
      </c>
      <c r="F2708" s="5" t="str">
        <f t="shared" si="616"/>
        <v>C:\Users\jaime.benazar\Quorum Business Solutions\Ecopetrol Prometeo - Documents\Planning Space Implementation\3. Analysis &amp; Design\Design\FC22\DRR Jaime\QUIFA-CAJÚA\Cajua\[VAS_CAJUA_CF_SEC_20230125.xlsx]CF PRBND'!</v>
      </c>
      <c r="G2708" s="7" t="s">
        <v>41</v>
      </c>
      <c r="H2708" s="4"/>
      <c r="I2708" s="4"/>
      <c r="J2708" s="4"/>
    </row>
    <row r="2709" spans="1:10" x14ac:dyDescent="0.25">
      <c r="A2709" s="7" t="s">
        <v>101</v>
      </c>
      <c r="B2709" s="7">
        <f t="shared" si="617"/>
        <v>2032</v>
      </c>
      <c r="C2709" s="4" t="s">
        <v>23</v>
      </c>
      <c r="D2709" s="5" t="s">
        <v>128</v>
      </c>
      <c r="E2709" s="10" t="str">
        <f t="shared" si="615"/>
        <v>PRBND'!</v>
      </c>
      <c r="F2709" s="5" t="str">
        <f t="shared" si="616"/>
        <v>C:\Users\jaime.benazar\Quorum Business Solutions\Ecopetrol Prometeo - Documents\Planning Space Implementation\3. Analysis &amp; Design\Design\FC22\DRR Jaime\QUIFA-CAJÚA\Cajua\[VAS_CAJUA_CF_SEC_20230125.xlsx]CF PRBND'!</v>
      </c>
      <c r="G2709" s="7" t="s">
        <v>41</v>
      </c>
      <c r="H2709" s="4"/>
      <c r="I2709" s="4"/>
      <c r="J2709" s="4"/>
    </row>
    <row r="2710" spans="1:10" x14ac:dyDescent="0.25">
      <c r="A2710" s="7" t="s">
        <v>101</v>
      </c>
      <c r="B2710" s="7">
        <f t="shared" si="617"/>
        <v>2033</v>
      </c>
      <c r="C2710" s="4" t="s">
        <v>23</v>
      </c>
      <c r="D2710" s="5" t="s">
        <v>128</v>
      </c>
      <c r="E2710" s="10" t="str">
        <f t="shared" si="615"/>
        <v>PRBND'!</v>
      </c>
      <c r="F2710" s="5" t="str">
        <f t="shared" si="616"/>
        <v>C:\Users\jaime.benazar\Quorum Business Solutions\Ecopetrol Prometeo - Documents\Planning Space Implementation\3. Analysis &amp; Design\Design\FC22\DRR Jaime\QUIFA-CAJÚA\Cajua\[VAS_CAJUA_CF_SEC_20230125.xlsx]CF PRBND'!</v>
      </c>
      <c r="G2710" s="7" t="s">
        <v>41</v>
      </c>
      <c r="H2710" s="4"/>
      <c r="I2710" s="4"/>
      <c r="J2710" s="4"/>
    </row>
    <row r="2711" spans="1:10" x14ac:dyDescent="0.25">
      <c r="A2711" s="7" t="s">
        <v>101</v>
      </c>
      <c r="B2711" s="7">
        <f t="shared" si="617"/>
        <v>2034</v>
      </c>
      <c r="C2711" s="4" t="s">
        <v>23</v>
      </c>
      <c r="D2711" s="5" t="s">
        <v>128</v>
      </c>
      <c r="E2711" s="10" t="str">
        <f t="shared" si="615"/>
        <v>PRBND'!</v>
      </c>
      <c r="F2711" s="5" t="str">
        <f t="shared" si="616"/>
        <v>C:\Users\jaime.benazar\Quorum Business Solutions\Ecopetrol Prometeo - Documents\Planning Space Implementation\3. Analysis &amp; Design\Design\FC22\DRR Jaime\QUIFA-CAJÚA\Cajua\[VAS_CAJUA_CF_SEC_20230125.xlsx]CF PRBND'!</v>
      </c>
      <c r="G2711" s="7" t="s">
        <v>41</v>
      </c>
      <c r="H2711" s="4"/>
      <c r="I2711" s="4"/>
      <c r="J2711" s="4"/>
    </row>
    <row r="2712" spans="1:10" x14ac:dyDescent="0.25">
      <c r="A2712" s="7" t="s">
        <v>101</v>
      </c>
      <c r="B2712" s="7">
        <f t="shared" si="617"/>
        <v>2035</v>
      </c>
      <c r="C2712" s="4" t="s">
        <v>23</v>
      </c>
      <c r="D2712" s="5" t="s">
        <v>128</v>
      </c>
      <c r="E2712" s="10" t="str">
        <f t="shared" si="615"/>
        <v>PRBND'!</v>
      </c>
      <c r="F2712" s="5" t="str">
        <f t="shared" si="616"/>
        <v>C:\Users\jaime.benazar\Quorum Business Solutions\Ecopetrol Prometeo - Documents\Planning Space Implementation\3. Analysis &amp; Design\Design\FC22\DRR Jaime\QUIFA-CAJÚA\Cajua\[VAS_CAJUA_CF_SEC_20230125.xlsx]CF PRBND'!</v>
      </c>
      <c r="G2712" s="7" t="s">
        <v>41</v>
      </c>
      <c r="H2712" s="4"/>
      <c r="I2712" s="4"/>
      <c r="J2712" s="4"/>
    </row>
    <row r="2713" spans="1:10" x14ac:dyDescent="0.25">
      <c r="A2713" s="7" t="s">
        <v>101</v>
      </c>
      <c r="B2713" s="7">
        <f t="shared" si="617"/>
        <v>2036</v>
      </c>
      <c r="C2713" s="4" t="s">
        <v>23</v>
      </c>
      <c r="D2713" s="5" t="s">
        <v>128</v>
      </c>
      <c r="E2713" s="10" t="str">
        <f t="shared" si="615"/>
        <v>PRBND'!</v>
      </c>
      <c r="F2713" s="5" t="str">
        <f t="shared" si="616"/>
        <v>C:\Users\jaime.benazar\Quorum Business Solutions\Ecopetrol Prometeo - Documents\Planning Space Implementation\3. Analysis &amp; Design\Design\FC22\DRR Jaime\QUIFA-CAJÚA\Cajua\[VAS_CAJUA_CF_SEC_20230125.xlsx]CF PRBND'!</v>
      </c>
      <c r="G2713" s="7" t="s">
        <v>41</v>
      </c>
      <c r="H2713" s="4"/>
      <c r="I2713" s="4"/>
      <c r="J2713" s="4"/>
    </row>
    <row r="2714" spans="1:10" x14ac:dyDescent="0.25">
      <c r="A2714" s="7" t="s">
        <v>101</v>
      </c>
      <c r="B2714" s="7">
        <f>+B2713+1</f>
        <v>2037</v>
      </c>
      <c r="C2714" s="4" t="s">
        <v>23</v>
      </c>
      <c r="D2714" s="5" t="s">
        <v>128</v>
      </c>
      <c r="E2714" s="10" t="str">
        <f t="shared" si="615"/>
        <v>PRBND'!</v>
      </c>
      <c r="F2714" s="5" t="str">
        <f t="shared" si="616"/>
        <v>C:\Users\jaime.benazar\Quorum Business Solutions\Ecopetrol Prometeo - Documents\Planning Space Implementation\3. Analysis &amp; Design\Design\FC22\DRR Jaime\QUIFA-CAJÚA\Cajua\[VAS_CAJUA_CF_SEC_20230125.xlsx]CF PRBND'!</v>
      </c>
      <c r="G2714" s="7" t="s">
        <v>41</v>
      </c>
      <c r="H2714" s="4"/>
      <c r="I2714" s="4"/>
      <c r="J2714" s="4"/>
    </row>
    <row r="2715" spans="1:10" x14ac:dyDescent="0.25">
      <c r="A2715" s="7" t="s">
        <v>101</v>
      </c>
      <c r="B2715" s="7">
        <f t="shared" ref="B2715:B2717" si="618">+B2714+1</f>
        <v>2038</v>
      </c>
      <c r="C2715" s="4" t="s">
        <v>23</v>
      </c>
      <c r="D2715" s="5" t="s">
        <v>128</v>
      </c>
      <c r="E2715" s="10" t="str">
        <f t="shared" si="615"/>
        <v>PRBND'!</v>
      </c>
      <c r="F2715" s="5" t="str">
        <f t="shared" si="616"/>
        <v>C:\Users\jaime.benazar\Quorum Business Solutions\Ecopetrol Prometeo - Documents\Planning Space Implementation\3. Analysis &amp; Design\Design\FC22\DRR Jaime\QUIFA-CAJÚA\Cajua\[VAS_CAJUA_CF_SEC_20230125.xlsx]CF PRBND'!</v>
      </c>
      <c r="G2715" s="7" t="s">
        <v>41</v>
      </c>
      <c r="H2715" s="4"/>
      <c r="I2715" s="4"/>
      <c r="J2715" s="4"/>
    </row>
    <row r="2716" spans="1:10" x14ac:dyDescent="0.25">
      <c r="A2716" s="7" t="s">
        <v>101</v>
      </c>
      <c r="B2716" s="7">
        <f t="shared" si="618"/>
        <v>2039</v>
      </c>
      <c r="C2716" s="4" t="s">
        <v>23</v>
      </c>
      <c r="D2716" s="5" t="s">
        <v>128</v>
      </c>
      <c r="E2716" s="10" t="str">
        <f t="shared" si="615"/>
        <v>PRBND'!</v>
      </c>
      <c r="F2716" s="5" t="str">
        <f t="shared" si="616"/>
        <v>C:\Users\jaime.benazar\Quorum Business Solutions\Ecopetrol Prometeo - Documents\Planning Space Implementation\3. Analysis &amp; Design\Design\FC22\DRR Jaime\QUIFA-CAJÚA\Cajua\[VAS_CAJUA_CF_SEC_20230125.xlsx]CF PRBND'!</v>
      </c>
      <c r="G2716" s="7" t="s">
        <v>41</v>
      </c>
      <c r="H2716" s="4"/>
      <c r="I2716" s="4"/>
      <c r="J2716" s="4"/>
    </row>
    <row r="2717" spans="1:10" x14ac:dyDescent="0.25">
      <c r="A2717" s="7" t="s">
        <v>101</v>
      </c>
      <c r="B2717" s="7">
        <f t="shared" si="618"/>
        <v>2040</v>
      </c>
      <c r="C2717" s="4" t="s">
        <v>23</v>
      </c>
      <c r="D2717" s="5" t="s">
        <v>128</v>
      </c>
      <c r="E2717" s="10" t="str">
        <f t="shared" si="615"/>
        <v>PRBND'!</v>
      </c>
      <c r="F2717" s="5" t="str">
        <f t="shared" si="616"/>
        <v>C:\Users\jaime.benazar\Quorum Business Solutions\Ecopetrol Prometeo - Documents\Planning Space Implementation\3. Analysis &amp; Design\Design\FC22\DRR Jaime\QUIFA-CAJÚA\Cajua\[VAS_CAJUA_CF_SEC_20230125.xlsx]CF PRBND'!</v>
      </c>
      <c r="G2717" s="7" t="s">
        <v>41</v>
      </c>
      <c r="H2717" s="4"/>
      <c r="I2717" s="4"/>
      <c r="J2717" s="4"/>
    </row>
    <row r="2718" spans="1:10" x14ac:dyDescent="0.25">
      <c r="A2718" s="7" t="s">
        <v>101</v>
      </c>
      <c r="B2718" s="7">
        <f>+B2717+1</f>
        <v>2041</v>
      </c>
      <c r="C2718" s="4" t="s">
        <v>23</v>
      </c>
      <c r="D2718" s="5" t="s">
        <v>128</v>
      </c>
      <c r="E2718" s="10" t="str">
        <f t="shared" si="615"/>
        <v>PRBND'!</v>
      </c>
      <c r="F2718" s="5" t="str">
        <f t="shared" si="616"/>
        <v>C:\Users\jaime.benazar\Quorum Business Solutions\Ecopetrol Prometeo - Documents\Planning Space Implementation\3. Analysis &amp; Design\Design\FC22\DRR Jaime\QUIFA-CAJÚA\Cajua\[VAS_CAJUA_CF_SEC_20230125.xlsx]CF PRBND'!</v>
      </c>
      <c r="G2718" s="7" t="s">
        <v>41</v>
      </c>
      <c r="H2718" s="4"/>
      <c r="I2718" s="4"/>
      <c r="J2718" s="4"/>
    </row>
    <row r="2719" spans="1:10" x14ac:dyDescent="0.25">
      <c r="A2719" s="7" t="s">
        <v>101</v>
      </c>
      <c r="B2719" s="7">
        <f t="shared" ref="B2719:B2720" si="619">+B2718+1</f>
        <v>2042</v>
      </c>
      <c r="C2719" s="4" t="s">
        <v>23</v>
      </c>
      <c r="D2719" s="5" t="s">
        <v>128</v>
      </c>
      <c r="E2719" s="10" t="str">
        <f t="shared" si="615"/>
        <v>PRBND'!</v>
      </c>
      <c r="F2719" s="5" t="str">
        <f t="shared" si="616"/>
        <v>C:\Users\jaime.benazar\Quorum Business Solutions\Ecopetrol Prometeo - Documents\Planning Space Implementation\3. Analysis &amp; Design\Design\FC22\DRR Jaime\QUIFA-CAJÚA\Cajua\[VAS_CAJUA_CF_SEC_20230125.xlsx]CF PRBND'!</v>
      </c>
      <c r="G2719" s="7" t="s">
        <v>41</v>
      </c>
      <c r="H2719" s="4"/>
      <c r="I2719" s="4"/>
      <c r="J2719" s="4"/>
    </row>
    <row r="2720" spans="1:10" x14ac:dyDescent="0.25">
      <c r="A2720" s="7" t="s">
        <v>101</v>
      </c>
      <c r="B2720" s="7">
        <f t="shared" si="619"/>
        <v>2043</v>
      </c>
      <c r="C2720" s="4" t="s">
        <v>23</v>
      </c>
      <c r="D2720" s="5" t="s">
        <v>128</v>
      </c>
      <c r="E2720" s="10" t="str">
        <f t="shared" si="615"/>
        <v>PRBND'!</v>
      </c>
      <c r="F2720" s="5" t="str">
        <f t="shared" si="616"/>
        <v>C:\Users\jaime.benazar\Quorum Business Solutions\Ecopetrol Prometeo - Documents\Planning Space Implementation\3. Analysis &amp; Design\Design\FC22\DRR Jaime\QUIFA-CAJÚA\Cajua\[VAS_CAJUA_CF_SEC_20230125.xlsx]CF PRBND'!</v>
      </c>
      <c r="G2720" s="7" t="s">
        <v>41</v>
      </c>
      <c r="H2720" s="4"/>
      <c r="I2720" s="4"/>
      <c r="J2720" s="4"/>
    </row>
    <row r="2721" spans="1:10" x14ac:dyDescent="0.25">
      <c r="A2721" s="7" t="s">
        <v>101</v>
      </c>
      <c r="B2721" s="7">
        <f>+B2720+1</f>
        <v>2044</v>
      </c>
      <c r="C2721" s="4" t="s">
        <v>23</v>
      </c>
      <c r="D2721" s="5" t="s">
        <v>128</v>
      </c>
      <c r="E2721" s="10" t="str">
        <f t="shared" ref="E2721:E2736" si="620">_xlfn.CONCAT(A2721,"'!")</f>
        <v>PRBND'!</v>
      </c>
      <c r="F2721" s="5" t="str">
        <f t="shared" ref="F2721:F2736" si="621">_xlfn.CONCAT(D2721," ",E2721)</f>
        <v>C:\Users\jaime.benazar\Quorum Business Solutions\Ecopetrol Prometeo - Documents\Planning Space Implementation\3. Analysis &amp; Design\Design\FC22\DRR Jaime\QUIFA-CAJÚA\Cajua\[VAS_CAJUA_CF_SEC_20230125.xlsx]CF PRBND'!</v>
      </c>
      <c r="G2721" s="7" t="s">
        <v>41</v>
      </c>
      <c r="H2721" s="4"/>
      <c r="I2721" s="4"/>
      <c r="J2721" s="4"/>
    </row>
    <row r="2722" spans="1:10" x14ac:dyDescent="0.25">
      <c r="A2722" s="7" t="s">
        <v>101</v>
      </c>
      <c r="B2722" s="7">
        <f t="shared" ref="B2722:B2736" si="622">+B2721+1</f>
        <v>2045</v>
      </c>
      <c r="C2722" s="4" t="s">
        <v>23</v>
      </c>
      <c r="D2722" s="5" t="s">
        <v>128</v>
      </c>
      <c r="E2722" s="10" t="str">
        <f t="shared" si="620"/>
        <v>PRBND'!</v>
      </c>
      <c r="F2722" s="5" t="str">
        <f t="shared" si="621"/>
        <v>C:\Users\jaime.benazar\Quorum Business Solutions\Ecopetrol Prometeo - Documents\Planning Space Implementation\3. Analysis &amp; Design\Design\FC22\DRR Jaime\QUIFA-CAJÚA\Cajua\[VAS_CAJUA_CF_SEC_20230125.xlsx]CF PRBND'!</v>
      </c>
      <c r="G2722" s="7" t="s">
        <v>41</v>
      </c>
      <c r="H2722" s="4"/>
      <c r="I2722" s="4"/>
      <c r="J2722" s="4"/>
    </row>
    <row r="2723" spans="1:10" x14ac:dyDescent="0.25">
      <c r="A2723" s="7" t="s">
        <v>101</v>
      </c>
      <c r="B2723" s="7">
        <f t="shared" si="622"/>
        <v>2046</v>
      </c>
      <c r="C2723" s="4" t="s">
        <v>23</v>
      </c>
      <c r="D2723" s="5" t="s">
        <v>128</v>
      </c>
      <c r="E2723" s="10" t="str">
        <f t="shared" si="620"/>
        <v>PRBND'!</v>
      </c>
      <c r="F2723" s="5" t="str">
        <f t="shared" si="621"/>
        <v>C:\Users\jaime.benazar\Quorum Business Solutions\Ecopetrol Prometeo - Documents\Planning Space Implementation\3. Analysis &amp; Design\Design\FC22\DRR Jaime\QUIFA-CAJÚA\Cajua\[VAS_CAJUA_CF_SEC_20230125.xlsx]CF PRBND'!</v>
      </c>
      <c r="G2723" s="7" t="s">
        <v>41</v>
      </c>
      <c r="H2723" s="4"/>
      <c r="I2723" s="4"/>
      <c r="J2723" s="4"/>
    </row>
    <row r="2724" spans="1:10" x14ac:dyDescent="0.25">
      <c r="A2724" s="7" t="s">
        <v>101</v>
      </c>
      <c r="B2724" s="7">
        <f t="shared" si="622"/>
        <v>2047</v>
      </c>
      <c r="C2724" s="4" t="s">
        <v>23</v>
      </c>
      <c r="D2724" s="5" t="s">
        <v>128</v>
      </c>
      <c r="E2724" s="10" t="str">
        <f t="shared" si="620"/>
        <v>PRBND'!</v>
      </c>
      <c r="F2724" s="5" t="str">
        <f t="shared" si="621"/>
        <v>C:\Users\jaime.benazar\Quorum Business Solutions\Ecopetrol Prometeo - Documents\Planning Space Implementation\3. Analysis &amp; Design\Design\FC22\DRR Jaime\QUIFA-CAJÚA\Cajua\[VAS_CAJUA_CF_SEC_20230125.xlsx]CF PRBND'!</v>
      </c>
      <c r="G2724" s="7" t="s">
        <v>41</v>
      </c>
      <c r="H2724" s="4"/>
      <c r="I2724" s="4"/>
      <c r="J2724" s="4"/>
    </row>
    <row r="2725" spans="1:10" x14ac:dyDescent="0.25">
      <c r="A2725" s="7" t="s">
        <v>101</v>
      </c>
      <c r="B2725" s="7">
        <f t="shared" si="622"/>
        <v>2048</v>
      </c>
      <c r="C2725" s="4" t="s">
        <v>23</v>
      </c>
      <c r="D2725" s="5" t="s">
        <v>128</v>
      </c>
      <c r="E2725" s="10" t="str">
        <f t="shared" si="620"/>
        <v>PRBND'!</v>
      </c>
      <c r="F2725" s="5" t="str">
        <f t="shared" si="621"/>
        <v>C:\Users\jaime.benazar\Quorum Business Solutions\Ecopetrol Prometeo - Documents\Planning Space Implementation\3. Analysis &amp; Design\Design\FC22\DRR Jaime\QUIFA-CAJÚA\Cajua\[VAS_CAJUA_CF_SEC_20230125.xlsx]CF PRBND'!</v>
      </c>
      <c r="G2725" s="7" t="s">
        <v>41</v>
      </c>
      <c r="H2725" s="4"/>
      <c r="I2725" s="4"/>
      <c r="J2725" s="4"/>
    </row>
    <row r="2726" spans="1:10" x14ac:dyDescent="0.25">
      <c r="A2726" s="7" t="s">
        <v>101</v>
      </c>
      <c r="B2726" s="7">
        <f t="shared" si="622"/>
        <v>2049</v>
      </c>
      <c r="C2726" s="4" t="s">
        <v>23</v>
      </c>
      <c r="D2726" s="5" t="s">
        <v>128</v>
      </c>
      <c r="E2726" s="10" t="str">
        <f t="shared" si="620"/>
        <v>PRBND'!</v>
      </c>
      <c r="F2726" s="5" t="str">
        <f t="shared" si="621"/>
        <v>C:\Users\jaime.benazar\Quorum Business Solutions\Ecopetrol Prometeo - Documents\Planning Space Implementation\3. Analysis &amp; Design\Design\FC22\DRR Jaime\QUIFA-CAJÚA\Cajua\[VAS_CAJUA_CF_SEC_20230125.xlsx]CF PRBND'!</v>
      </c>
      <c r="G2726" s="7" t="s">
        <v>41</v>
      </c>
      <c r="H2726" s="4"/>
      <c r="I2726" s="4"/>
      <c r="J2726" s="4"/>
    </row>
    <row r="2727" spans="1:10" x14ac:dyDescent="0.25">
      <c r="A2727" s="7" t="s">
        <v>101</v>
      </c>
      <c r="B2727" s="7">
        <f t="shared" si="622"/>
        <v>2050</v>
      </c>
      <c r="C2727" s="4" t="s">
        <v>23</v>
      </c>
      <c r="D2727" s="5" t="s">
        <v>128</v>
      </c>
      <c r="E2727" s="10" t="str">
        <f t="shared" si="620"/>
        <v>PRBND'!</v>
      </c>
      <c r="F2727" s="5" t="str">
        <f t="shared" si="621"/>
        <v>C:\Users\jaime.benazar\Quorum Business Solutions\Ecopetrol Prometeo - Documents\Planning Space Implementation\3. Analysis &amp; Design\Design\FC22\DRR Jaime\QUIFA-CAJÚA\Cajua\[VAS_CAJUA_CF_SEC_20230125.xlsx]CF PRBND'!</v>
      </c>
      <c r="G2727" s="7" t="s">
        <v>41</v>
      </c>
      <c r="H2727" s="4"/>
      <c r="I2727" s="4"/>
      <c r="J2727" s="4"/>
    </row>
    <row r="2728" spans="1:10" x14ac:dyDescent="0.25">
      <c r="A2728" s="7" t="s">
        <v>101</v>
      </c>
      <c r="B2728" s="7">
        <f t="shared" si="622"/>
        <v>2051</v>
      </c>
      <c r="C2728" s="4" t="s">
        <v>23</v>
      </c>
      <c r="D2728" s="5" t="s">
        <v>128</v>
      </c>
      <c r="E2728" s="10" t="str">
        <f t="shared" si="620"/>
        <v>PRBND'!</v>
      </c>
      <c r="F2728" s="5" t="str">
        <f t="shared" si="621"/>
        <v>C:\Users\jaime.benazar\Quorum Business Solutions\Ecopetrol Prometeo - Documents\Planning Space Implementation\3. Analysis &amp; Design\Design\FC22\DRR Jaime\QUIFA-CAJÚA\Cajua\[VAS_CAJUA_CF_SEC_20230125.xlsx]CF PRBND'!</v>
      </c>
      <c r="G2728" s="7" t="s">
        <v>41</v>
      </c>
      <c r="H2728" s="4"/>
      <c r="I2728" s="4"/>
      <c r="J2728" s="4"/>
    </row>
    <row r="2729" spans="1:10" x14ac:dyDescent="0.25">
      <c r="A2729" s="7" t="s">
        <v>101</v>
      </c>
      <c r="B2729" s="7">
        <f t="shared" si="622"/>
        <v>2052</v>
      </c>
      <c r="C2729" s="4" t="s">
        <v>23</v>
      </c>
      <c r="D2729" s="5" t="s">
        <v>128</v>
      </c>
      <c r="E2729" s="10" t="str">
        <f t="shared" si="620"/>
        <v>PRBND'!</v>
      </c>
      <c r="F2729" s="5" t="str">
        <f t="shared" si="621"/>
        <v>C:\Users\jaime.benazar\Quorum Business Solutions\Ecopetrol Prometeo - Documents\Planning Space Implementation\3. Analysis &amp; Design\Design\FC22\DRR Jaime\QUIFA-CAJÚA\Cajua\[VAS_CAJUA_CF_SEC_20230125.xlsx]CF PRBND'!</v>
      </c>
      <c r="G2729" s="7" t="s">
        <v>41</v>
      </c>
      <c r="H2729" s="4"/>
      <c r="I2729" s="4"/>
      <c r="J2729" s="4"/>
    </row>
    <row r="2730" spans="1:10" x14ac:dyDescent="0.25">
      <c r="A2730" s="7" t="s">
        <v>101</v>
      </c>
      <c r="B2730" s="7">
        <f t="shared" si="622"/>
        <v>2053</v>
      </c>
      <c r="C2730" s="4" t="s">
        <v>23</v>
      </c>
      <c r="D2730" s="5" t="s">
        <v>128</v>
      </c>
      <c r="E2730" s="10" t="str">
        <f t="shared" si="620"/>
        <v>PRBND'!</v>
      </c>
      <c r="F2730" s="5" t="str">
        <f t="shared" si="621"/>
        <v>C:\Users\jaime.benazar\Quorum Business Solutions\Ecopetrol Prometeo - Documents\Planning Space Implementation\3. Analysis &amp; Design\Design\FC22\DRR Jaime\QUIFA-CAJÚA\Cajua\[VAS_CAJUA_CF_SEC_20230125.xlsx]CF PRBND'!</v>
      </c>
      <c r="G2730" s="7" t="s">
        <v>41</v>
      </c>
      <c r="H2730" s="4"/>
      <c r="I2730" s="4"/>
      <c r="J2730" s="4"/>
    </row>
    <row r="2731" spans="1:10" x14ac:dyDescent="0.25">
      <c r="A2731" s="7" t="s">
        <v>101</v>
      </c>
      <c r="B2731" s="7">
        <f t="shared" si="622"/>
        <v>2054</v>
      </c>
      <c r="C2731" s="4" t="s">
        <v>23</v>
      </c>
      <c r="D2731" s="5" t="s">
        <v>128</v>
      </c>
      <c r="E2731" s="10" t="str">
        <f t="shared" si="620"/>
        <v>PRBND'!</v>
      </c>
      <c r="F2731" s="5" t="str">
        <f t="shared" si="621"/>
        <v>C:\Users\jaime.benazar\Quorum Business Solutions\Ecopetrol Prometeo - Documents\Planning Space Implementation\3. Analysis &amp; Design\Design\FC22\DRR Jaime\QUIFA-CAJÚA\Cajua\[VAS_CAJUA_CF_SEC_20230125.xlsx]CF PRBND'!</v>
      </c>
      <c r="G2731" s="7" t="s">
        <v>41</v>
      </c>
      <c r="H2731" s="4"/>
      <c r="I2731" s="4"/>
      <c r="J2731" s="4"/>
    </row>
    <row r="2732" spans="1:10" x14ac:dyDescent="0.25">
      <c r="A2732" s="7" t="s">
        <v>101</v>
      </c>
      <c r="B2732" s="7">
        <f t="shared" si="622"/>
        <v>2055</v>
      </c>
      <c r="C2732" s="4" t="s">
        <v>23</v>
      </c>
      <c r="D2732" s="5" t="s">
        <v>128</v>
      </c>
      <c r="E2732" s="10" t="str">
        <f t="shared" si="620"/>
        <v>PRBND'!</v>
      </c>
      <c r="F2732" s="5" t="str">
        <f t="shared" si="621"/>
        <v>C:\Users\jaime.benazar\Quorum Business Solutions\Ecopetrol Prometeo - Documents\Planning Space Implementation\3. Analysis &amp; Design\Design\FC22\DRR Jaime\QUIFA-CAJÚA\Cajua\[VAS_CAJUA_CF_SEC_20230125.xlsx]CF PRBND'!</v>
      </c>
      <c r="G2732" s="7" t="s">
        <v>41</v>
      </c>
      <c r="H2732" s="4"/>
      <c r="I2732" s="4"/>
      <c r="J2732" s="4"/>
    </row>
    <row r="2733" spans="1:10" x14ac:dyDescent="0.25">
      <c r="A2733" s="7" t="s">
        <v>101</v>
      </c>
      <c r="B2733" s="7">
        <f t="shared" si="622"/>
        <v>2056</v>
      </c>
      <c r="C2733" s="4" t="s">
        <v>23</v>
      </c>
      <c r="D2733" s="5" t="s">
        <v>128</v>
      </c>
      <c r="E2733" s="10" t="str">
        <f t="shared" si="620"/>
        <v>PRBND'!</v>
      </c>
      <c r="F2733" s="5" t="str">
        <f t="shared" si="621"/>
        <v>C:\Users\jaime.benazar\Quorum Business Solutions\Ecopetrol Prometeo - Documents\Planning Space Implementation\3. Analysis &amp; Design\Design\FC22\DRR Jaime\QUIFA-CAJÚA\Cajua\[VAS_CAJUA_CF_SEC_20230125.xlsx]CF PRBND'!</v>
      </c>
      <c r="G2733" s="7" t="s">
        <v>41</v>
      </c>
      <c r="H2733" s="4"/>
      <c r="I2733" s="4"/>
      <c r="J2733" s="4"/>
    </row>
    <row r="2734" spans="1:10" x14ac:dyDescent="0.25">
      <c r="A2734" s="7" t="s">
        <v>101</v>
      </c>
      <c r="B2734" s="7">
        <f t="shared" si="622"/>
        <v>2057</v>
      </c>
      <c r="C2734" s="4" t="s">
        <v>23</v>
      </c>
      <c r="D2734" s="5" t="s">
        <v>128</v>
      </c>
      <c r="E2734" s="10" t="str">
        <f t="shared" si="620"/>
        <v>PRBND'!</v>
      </c>
      <c r="F2734" s="5" t="str">
        <f t="shared" si="621"/>
        <v>C:\Users\jaime.benazar\Quorum Business Solutions\Ecopetrol Prometeo - Documents\Planning Space Implementation\3. Analysis &amp; Design\Design\FC22\DRR Jaime\QUIFA-CAJÚA\Cajua\[VAS_CAJUA_CF_SEC_20230125.xlsx]CF PRBND'!</v>
      </c>
      <c r="G2734" s="7" t="s">
        <v>41</v>
      </c>
      <c r="H2734" s="4"/>
      <c r="I2734" s="4"/>
      <c r="J2734" s="4"/>
    </row>
    <row r="2735" spans="1:10" x14ac:dyDescent="0.25">
      <c r="A2735" s="7" t="s">
        <v>101</v>
      </c>
      <c r="B2735" s="7">
        <f t="shared" si="622"/>
        <v>2058</v>
      </c>
      <c r="C2735" s="4" t="s">
        <v>23</v>
      </c>
      <c r="D2735" s="5" t="s">
        <v>128</v>
      </c>
      <c r="E2735" s="10" t="str">
        <f t="shared" si="620"/>
        <v>PRBND'!</v>
      </c>
      <c r="F2735" s="5" t="str">
        <f t="shared" si="621"/>
        <v>C:\Users\jaime.benazar\Quorum Business Solutions\Ecopetrol Prometeo - Documents\Planning Space Implementation\3. Analysis &amp; Design\Design\FC22\DRR Jaime\QUIFA-CAJÚA\Cajua\[VAS_CAJUA_CF_SEC_20230125.xlsx]CF PRBND'!</v>
      </c>
      <c r="G2735" s="7" t="s">
        <v>41</v>
      </c>
      <c r="H2735" s="4"/>
      <c r="I2735" s="4"/>
      <c r="J2735" s="4"/>
    </row>
    <row r="2736" spans="1:10" x14ac:dyDescent="0.25">
      <c r="A2736" s="7" t="s">
        <v>101</v>
      </c>
      <c r="B2736" s="7">
        <f t="shared" si="622"/>
        <v>2059</v>
      </c>
      <c r="C2736" s="4" t="s">
        <v>23</v>
      </c>
      <c r="D2736" s="5" t="s">
        <v>128</v>
      </c>
      <c r="E2736" s="10" t="str">
        <f t="shared" si="620"/>
        <v>PRBND'!</v>
      </c>
      <c r="F2736" s="5" t="str">
        <f t="shared" si="621"/>
        <v>C:\Users\jaime.benazar\Quorum Business Solutions\Ecopetrol Prometeo - Documents\Planning Space Implementation\3. Analysis &amp; Design\Design\FC22\DRR Jaime\QUIFA-CAJÚA\Cajua\[VAS_CAJUA_CF_SEC_20230125.xlsx]CF PRBND'!</v>
      </c>
      <c r="G2736" s="7" t="s">
        <v>41</v>
      </c>
      <c r="H2736" s="4"/>
      <c r="I2736" s="4"/>
      <c r="J2736" s="4"/>
    </row>
    <row r="2737" spans="1:10" x14ac:dyDescent="0.25">
      <c r="A2737" s="7" t="s">
        <v>28</v>
      </c>
      <c r="B2737" s="7"/>
      <c r="C2737" s="4" t="s">
        <v>23</v>
      </c>
      <c r="D2737" s="5"/>
      <c r="E2737" s="10"/>
      <c r="F2737" s="2"/>
      <c r="G2737" s="7"/>
      <c r="H2737" s="4"/>
      <c r="I2737" s="4"/>
      <c r="J2737" s="4"/>
    </row>
    <row r="2738" spans="1:10" x14ac:dyDescent="0.25">
      <c r="A2738" s="7" t="s">
        <v>4</v>
      </c>
      <c r="B2738" s="7">
        <v>2023</v>
      </c>
      <c r="C2738" s="4" t="s">
        <v>23</v>
      </c>
      <c r="D2738" s="5" t="s">
        <v>128</v>
      </c>
      <c r="E2738" s="10" t="str">
        <f t="shared" si="592"/>
        <v>PRB'!</v>
      </c>
      <c r="F2738" s="5" t="str">
        <f t="shared" ref="F2738:F2758" si="623">_xlfn.CONCAT(D2738," ",E2738)</f>
        <v>C:\Users\jaime.benazar\Quorum Business Solutions\Ecopetrol Prometeo - Documents\Planning Space Implementation\3. Analysis &amp; Design\Design\FC22\DRR Jaime\QUIFA-CAJÚA\Cajua\[VAS_CAJUA_CF_SEC_20230125.xlsx]CF PRB'!</v>
      </c>
      <c r="G2738" s="7" t="s">
        <v>41</v>
      </c>
      <c r="H2738" s="4">
        <f>IF(A2738&lt;&gt;A2608,36,H2608+1)</f>
        <v>36</v>
      </c>
      <c r="I2738" s="4" t="str">
        <f t="shared" si="593"/>
        <v>='C:\Users\jaime.benazar\Quorum Business Solutions\Ecopetrol Prometeo - Documents\Planning Space Implementation\3. Analysis &amp; Design\Design\FC22\DRR Jaime\QUIFA-CAJÚA\Cajua\[VAS_CAJUA_CF_SEC_20230125.xlsx]CF PRB'!$DN$36</v>
      </c>
      <c r="J2738" s="4" t="s">
        <v>1350</v>
      </c>
    </row>
    <row r="2739" spans="1:10" x14ac:dyDescent="0.25">
      <c r="A2739" s="7" t="s">
        <v>4</v>
      </c>
      <c r="B2739" s="7">
        <f>+B2738+1</f>
        <v>2024</v>
      </c>
      <c r="C2739" s="4" t="s">
        <v>23</v>
      </c>
      <c r="D2739" s="5" t="s">
        <v>128</v>
      </c>
      <c r="E2739" s="10" t="str">
        <f t="shared" si="592"/>
        <v>PRB'!</v>
      </c>
      <c r="F2739" s="5" t="str">
        <f t="shared" si="623"/>
        <v>C:\Users\jaime.benazar\Quorum Business Solutions\Ecopetrol Prometeo - Documents\Planning Space Implementation\3. Analysis &amp; Design\Design\FC22\DRR Jaime\QUIFA-CAJÚA\Cajua\[VAS_CAJUA_CF_SEC_20230125.xlsx]CF PRB'!</v>
      </c>
      <c r="G2739" s="7" t="s">
        <v>41</v>
      </c>
      <c r="H2739" s="4">
        <f t="shared" si="594"/>
        <v>37</v>
      </c>
      <c r="I2739" s="4" t="str">
        <f t="shared" si="593"/>
        <v>='C:\Users\jaime.benazar\Quorum Business Solutions\Ecopetrol Prometeo - Documents\Planning Space Implementation\3. Analysis &amp; Design\Design\FC22\DRR Jaime\QUIFA-CAJÚA\Cajua\[VAS_CAJUA_CF_SEC_20230125.xlsx]CF PRB'!$DN$37</v>
      </c>
      <c r="J2739" s="4" t="s">
        <v>1351</v>
      </c>
    </row>
    <row r="2740" spans="1:10" x14ac:dyDescent="0.25">
      <c r="A2740" s="7" t="s">
        <v>4</v>
      </c>
      <c r="B2740" s="7">
        <f t="shared" ref="B2740:B2751" si="624">+B2739+1</f>
        <v>2025</v>
      </c>
      <c r="C2740" s="4" t="s">
        <v>23</v>
      </c>
      <c r="D2740" s="5" t="s">
        <v>128</v>
      </c>
      <c r="E2740" s="10" t="str">
        <f t="shared" si="592"/>
        <v>PRB'!</v>
      </c>
      <c r="F2740" s="5" t="str">
        <f t="shared" si="623"/>
        <v>C:\Users\jaime.benazar\Quorum Business Solutions\Ecopetrol Prometeo - Documents\Planning Space Implementation\3. Analysis &amp; Design\Design\FC22\DRR Jaime\QUIFA-CAJÚA\Cajua\[VAS_CAJUA_CF_SEC_20230125.xlsx]CF PRB'!</v>
      </c>
      <c r="G2740" s="7" t="s">
        <v>41</v>
      </c>
      <c r="H2740" s="4">
        <f t="shared" si="594"/>
        <v>38</v>
      </c>
      <c r="I2740" s="4" t="str">
        <f t="shared" si="593"/>
        <v>='C:\Users\jaime.benazar\Quorum Business Solutions\Ecopetrol Prometeo - Documents\Planning Space Implementation\3. Analysis &amp; Design\Design\FC22\DRR Jaime\QUIFA-CAJÚA\Cajua\[VAS_CAJUA_CF_SEC_20230125.xlsx]CF PRB'!$DN$38</v>
      </c>
      <c r="J2740" s="4" t="s">
        <v>1352</v>
      </c>
    </row>
    <row r="2741" spans="1:10" x14ac:dyDescent="0.25">
      <c r="A2741" s="7" t="s">
        <v>4</v>
      </c>
      <c r="B2741" s="7">
        <f t="shared" si="624"/>
        <v>2026</v>
      </c>
      <c r="C2741" s="4" t="s">
        <v>23</v>
      </c>
      <c r="D2741" s="5" t="s">
        <v>128</v>
      </c>
      <c r="E2741" s="10" t="str">
        <f t="shared" si="592"/>
        <v>PRB'!</v>
      </c>
      <c r="F2741" s="5" t="str">
        <f t="shared" si="623"/>
        <v>C:\Users\jaime.benazar\Quorum Business Solutions\Ecopetrol Prometeo - Documents\Planning Space Implementation\3. Analysis &amp; Design\Design\FC22\DRR Jaime\QUIFA-CAJÚA\Cajua\[VAS_CAJUA_CF_SEC_20230125.xlsx]CF PRB'!</v>
      </c>
      <c r="G2741" s="7" t="s">
        <v>41</v>
      </c>
      <c r="H2741" s="4">
        <f t="shared" si="594"/>
        <v>39</v>
      </c>
      <c r="I2741" s="4" t="str">
        <f t="shared" si="593"/>
        <v>='C:\Users\jaime.benazar\Quorum Business Solutions\Ecopetrol Prometeo - Documents\Planning Space Implementation\3. Analysis &amp; Design\Design\FC22\DRR Jaime\QUIFA-CAJÚA\Cajua\[VAS_CAJUA_CF_SEC_20230125.xlsx]CF PRB'!$DN$39</v>
      </c>
      <c r="J2741" s="4" t="s">
        <v>1353</v>
      </c>
    </row>
    <row r="2742" spans="1:10" x14ac:dyDescent="0.25">
      <c r="A2742" s="7" t="s">
        <v>4</v>
      </c>
      <c r="B2742" s="7">
        <f t="shared" si="624"/>
        <v>2027</v>
      </c>
      <c r="C2742" s="4" t="s">
        <v>23</v>
      </c>
      <c r="D2742" s="5" t="s">
        <v>128</v>
      </c>
      <c r="E2742" s="10" t="str">
        <f t="shared" si="592"/>
        <v>PRB'!</v>
      </c>
      <c r="F2742" s="5" t="str">
        <f t="shared" si="623"/>
        <v>C:\Users\jaime.benazar\Quorum Business Solutions\Ecopetrol Prometeo - Documents\Planning Space Implementation\3. Analysis &amp; Design\Design\FC22\DRR Jaime\QUIFA-CAJÚA\Cajua\[VAS_CAJUA_CF_SEC_20230125.xlsx]CF PRB'!</v>
      </c>
      <c r="G2742" s="7" t="s">
        <v>41</v>
      </c>
      <c r="H2742" s="4">
        <f t="shared" si="594"/>
        <v>40</v>
      </c>
      <c r="I2742" s="4" t="str">
        <f t="shared" si="593"/>
        <v>='C:\Users\jaime.benazar\Quorum Business Solutions\Ecopetrol Prometeo - Documents\Planning Space Implementation\3. Analysis &amp; Design\Design\FC22\DRR Jaime\QUIFA-CAJÚA\Cajua\[VAS_CAJUA_CF_SEC_20230125.xlsx]CF PRB'!$DN$40</v>
      </c>
      <c r="J2742" s="4" t="s">
        <v>1354</v>
      </c>
    </row>
    <row r="2743" spans="1:10" x14ac:dyDescent="0.25">
      <c r="A2743" s="7" t="s">
        <v>4</v>
      </c>
      <c r="B2743" s="7">
        <f t="shared" si="624"/>
        <v>2028</v>
      </c>
      <c r="C2743" s="4" t="s">
        <v>23</v>
      </c>
      <c r="D2743" s="5" t="s">
        <v>128</v>
      </c>
      <c r="E2743" s="10" t="str">
        <f t="shared" si="592"/>
        <v>PRB'!</v>
      </c>
      <c r="F2743" s="5" t="str">
        <f t="shared" si="623"/>
        <v>C:\Users\jaime.benazar\Quorum Business Solutions\Ecopetrol Prometeo - Documents\Planning Space Implementation\3. Analysis &amp; Design\Design\FC22\DRR Jaime\QUIFA-CAJÚA\Cajua\[VAS_CAJUA_CF_SEC_20230125.xlsx]CF PRB'!</v>
      </c>
      <c r="G2743" s="7" t="s">
        <v>41</v>
      </c>
      <c r="H2743" s="4">
        <f t="shared" si="594"/>
        <v>41</v>
      </c>
      <c r="I2743" s="4" t="str">
        <f t="shared" si="593"/>
        <v>='C:\Users\jaime.benazar\Quorum Business Solutions\Ecopetrol Prometeo - Documents\Planning Space Implementation\3. Analysis &amp; Design\Design\FC22\DRR Jaime\QUIFA-CAJÚA\Cajua\[VAS_CAJUA_CF_SEC_20230125.xlsx]CF PRB'!$DN$41</v>
      </c>
      <c r="J2743" s="4" t="s">
        <v>1355</v>
      </c>
    </row>
    <row r="2744" spans="1:10" x14ac:dyDescent="0.25">
      <c r="A2744" s="7" t="s">
        <v>4</v>
      </c>
      <c r="B2744" s="7">
        <f t="shared" si="624"/>
        <v>2029</v>
      </c>
      <c r="C2744" s="4" t="s">
        <v>23</v>
      </c>
      <c r="D2744" s="5" t="s">
        <v>128</v>
      </c>
      <c r="E2744" s="10" t="str">
        <f t="shared" si="592"/>
        <v>PRB'!</v>
      </c>
      <c r="F2744" s="5" t="str">
        <f t="shared" si="623"/>
        <v>C:\Users\jaime.benazar\Quorum Business Solutions\Ecopetrol Prometeo - Documents\Planning Space Implementation\3. Analysis &amp; Design\Design\FC22\DRR Jaime\QUIFA-CAJÚA\Cajua\[VAS_CAJUA_CF_SEC_20230125.xlsx]CF PRB'!</v>
      </c>
      <c r="G2744" s="7" t="s">
        <v>41</v>
      </c>
      <c r="H2744" s="4">
        <f t="shared" si="594"/>
        <v>42</v>
      </c>
      <c r="I2744" s="4" t="str">
        <f t="shared" si="593"/>
        <v>='C:\Users\jaime.benazar\Quorum Business Solutions\Ecopetrol Prometeo - Documents\Planning Space Implementation\3. Analysis &amp; Design\Design\FC22\DRR Jaime\QUIFA-CAJÚA\Cajua\[VAS_CAJUA_CF_SEC_20230125.xlsx]CF PRB'!$DN$42</v>
      </c>
      <c r="J2744" s="4" t="s">
        <v>1356</v>
      </c>
    </row>
    <row r="2745" spans="1:10" x14ac:dyDescent="0.25">
      <c r="A2745" s="7" t="s">
        <v>4</v>
      </c>
      <c r="B2745" s="7">
        <f t="shared" si="624"/>
        <v>2030</v>
      </c>
      <c r="C2745" s="4" t="s">
        <v>23</v>
      </c>
      <c r="D2745" s="5" t="s">
        <v>128</v>
      </c>
      <c r="E2745" s="10" t="str">
        <f t="shared" si="592"/>
        <v>PRB'!</v>
      </c>
      <c r="F2745" s="5" t="str">
        <f t="shared" si="623"/>
        <v>C:\Users\jaime.benazar\Quorum Business Solutions\Ecopetrol Prometeo - Documents\Planning Space Implementation\3. Analysis &amp; Design\Design\FC22\DRR Jaime\QUIFA-CAJÚA\Cajua\[VAS_CAJUA_CF_SEC_20230125.xlsx]CF PRB'!</v>
      </c>
      <c r="G2745" s="7" t="s">
        <v>41</v>
      </c>
      <c r="H2745" s="4">
        <f t="shared" si="594"/>
        <v>43</v>
      </c>
      <c r="I2745" s="4" t="str">
        <f t="shared" si="593"/>
        <v>='C:\Users\jaime.benazar\Quorum Business Solutions\Ecopetrol Prometeo - Documents\Planning Space Implementation\3. Analysis &amp; Design\Design\FC22\DRR Jaime\QUIFA-CAJÚA\Cajua\[VAS_CAJUA_CF_SEC_20230125.xlsx]CF PRB'!$DN$43</v>
      </c>
      <c r="J2745" s="4" t="s">
        <v>1357</v>
      </c>
    </row>
    <row r="2746" spans="1:10" x14ac:dyDescent="0.25">
      <c r="A2746" s="7" t="s">
        <v>4</v>
      </c>
      <c r="B2746" s="7">
        <f t="shared" si="624"/>
        <v>2031</v>
      </c>
      <c r="C2746" s="4" t="s">
        <v>23</v>
      </c>
      <c r="D2746" s="5" t="s">
        <v>128</v>
      </c>
      <c r="E2746" s="10" t="str">
        <f t="shared" si="592"/>
        <v>PRB'!</v>
      </c>
      <c r="F2746" s="5" t="str">
        <f t="shared" si="623"/>
        <v>C:\Users\jaime.benazar\Quorum Business Solutions\Ecopetrol Prometeo - Documents\Planning Space Implementation\3. Analysis &amp; Design\Design\FC22\DRR Jaime\QUIFA-CAJÚA\Cajua\[VAS_CAJUA_CF_SEC_20230125.xlsx]CF PRB'!</v>
      </c>
      <c r="G2746" s="7" t="s">
        <v>41</v>
      </c>
      <c r="H2746" s="4">
        <f t="shared" si="594"/>
        <v>44</v>
      </c>
      <c r="I2746" s="4" t="str">
        <f t="shared" si="593"/>
        <v>='C:\Users\jaime.benazar\Quorum Business Solutions\Ecopetrol Prometeo - Documents\Planning Space Implementation\3. Analysis &amp; Design\Design\FC22\DRR Jaime\QUIFA-CAJÚA\Cajua\[VAS_CAJUA_CF_SEC_20230125.xlsx]CF PRB'!$DN$44</v>
      </c>
      <c r="J2746" s="4" t="s">
        <v>1358</v>
      </c>
    </row>
    <row r="2747" spans="1:10" x14ac:dyDescent="0.25">
      <c r="A2747" s="7" t="s">
        <v>4</v>
      </c>
      <c r="B2747" s="7">
        <f t="shared" si="624"/>
        <v>2032</v>
      </c>
      <c r="C2747" s="4" t="s">
        <v>23</v>
      </c>
      <c r="D2747" s="5" t="s">
        <v>128</v>
      </c>
      <c r="E2747" s="10" t="str">
        <f t="shared" si="592"/>
        <v>PRB'!</v>
      </c>
      <c r="F2747" s="5" t="str">
        <f t="shared" si="623"/>
        <v>C:\Users\jaime.benazar\Quorum Business Solutions\Ecopetrol Prometeo - Documents\Planning Space Implementation\3. Analysis &amp; Design\Design\FC22\DRR Jaime\QUIFA-CAJÚA\Cajua\[VAS_CAJUA_CF_SEC_20230125.xlsx]CF PRB'!</v>
      </c>
      <c r="G2747" s="7" t="s">
        <v>41</v>
      </c>
      <c r="H2747" s="4">
        <f t="shared" si="594"/>
        <v>45</v>
      </c>
      <c r="I2747" s="4" t="str">
        <f t="shared" si="593"/>
        <v>='C:\Users\jaime.benazar\Quorum Business Solutions\Ecopetrol Prometeo - Documents\Planning Space Implementation\3. Analysis &amp; Design\Design\FC22\DRR Jaime\QUIFA-CAJÚA\Cajua\[VAS_CAJUA_CF_SEC_20230125.xlsx]CF PRB'!$DN$45</v>
      </c>
      <c r="J2747" s="4" t="s">
        <v>1359</v>
      </c>
    </row>
    <row r="2748" spans="1:10" x14ac:dyDescent="0.25">
      <c r="A2748" s="7" t="s">
        <v>4</v>
      </c>
      <c r="B2748" s="7">
        <f t="shared" si="624"/>
        <v>2033</v>
      </c>
      <c r="C2748" s="4" t="s">
        <v>23</v>
      </c>
      <c r="D2748" s="5" t="s">
        <v>128</v>
      </c>
      <c r="E2748" s="10" t="str">
        <f t="shared" si="592"/>
        <v>PRB'!</v>
      </c>
      <c r="F2748" s="5" t="str">
        <f t="shared" si="623"/>
        <v>C:\Users\jaime.benazar\Quorum Business Solutions\Ecopetrol Prometeo - Documents\Planning Space Implementation\3. Analysis &amp; Design\Design\FC22\DRR Jaime\QUIFA-CAJÚA\Cajua\[VAS_CAJUA_CF_SEC_20230125.xlsx]CF PRB'!</v>
      </c>
      <c r="G2748" s="7" t="s">
        <v>41</v>
      </c>
      <c r="H2748" s="4">
        <f t="shared" si="594"/>
        <v>46</v>
      </c>
      <c r="I2748" s="4" t="str">
        <f t="shared" si="593"/>
        <v>='C:\Users\jaime.benazar\Quorum Business Solutions\Ecopetrol Prometeo - Documents\Planning Space Implementation\3. Analysis &amp; Design\Design\FC22\DRR Jaime\QUIFA-CAJÚA\Cajua\[VAS_CAJUA_CF_SEC_20230125.xlsx]CF PRB'!$DN$46</v>
      </c>
      <c r="J2748" s="4" t="s">
        <v>1360</v>
      </c>
    </row>
    <row r="2749" spans="1:10" x14ac:dyDescent="0.25">
      <c r="A2749" s="7" t="s">
        <v>4</v>
      </c>
      <c r="B2749" s="7">
        <f t="shared" si="624"/>
        <v>2034</v>
      </c>
      <c r="C2749" s="4" t="s">
        <v>23</v>
      </c>
      <c r="D2749" s="5" t="s">
        <v>128</v>
      </c>
      <c r="E2749" s="10" t="str">
        <f t="shared" si="592"/>
        <v>PRB'!</v>
      </c>
      <c r="F2749" s="5" t="str">
        <f t="shared" si="623"/>
        <v>C:\Users\jaime.benazar\Quorum Business Solutions\Ecopetrol Prometeo - Documents\Planning Space Implementation\3. Analysis &amp; Design\Design\FC22\DRR Jaime\QUIFA-CAJÚA\Cajua\[VAS_CAJUA_CF_SEC_20230125.xlsx]CF PRB'!</v>
      </c>
      <c r="G2749" s="7" t="s">
        <v>41</v>
      </c>
      <c r="H2749" s="4">
        <f t="shared" si="594"/>
        <v>47</v>
      </c>
      <c r="I2749" s="4" t="str">
        <f t="shared" si="593"/>
        <v>='C:\Users\jaime.benazar\Quorum Business Solutions\Ecopetrol Prometeo - Documents\Planning Space Implementation\3. Analysis &amp; Design\Design\FC22\DRR Jaime\QUIFA-CAJÚA\Cajua\[VAS_CAJUA_CF_SEC_20230125.xlsx]CF PRB'!$DN$47</v>
      </c>
      <c r="J2749" s="4" t="s">
        <v>1361</v>
      </c>
    </row>
    <row r="2750" spans="1:10" x14ac:dyDescent="0.25">
      <c r="A2750" s="7" t="s">
        <v>4</v>
      </c>
      <c r="B2750" s="7">
        <f t="shared" si="624"/>
        <v>2035</v>
      </c>
      <c r="C2750" s="4" t="s">
        <v>23</v>
      </c>
      <c r="D2750" s="5" t="s">
        <v>128</v>
      </c>
      <c r="E2750" s="10" t="str">
        <f t="shared" si="592"/>
        <v>PRB'!</v>
      </c>
      <c r="F2750" s="5" t="str">
        <f t="shared" si="623"/>
        <v>C:\Users\jaime.benazar\Quorum Business Solutions\Ecopetrol Prometeo - Documents\Planning Space Implementation\3. Analysis &amp; Design\Design\FC22\DRR Jaime\QUIFA-CAJÚA\Cajua\[VAS_CAJUA_CF_SEC_20230125.xlsx]CF PRB'!</v>
      </c>
      <c r="G2750" s="7" t="s">
        <v>41</v>
      </c>
      <c r="H2750" s="4">
        <f t="shared" si="594"/>
        <v>48</v>
      </c>
      <c r="I2750" s="4" t="str">
        <f t="shared" si="593"/>
        <v>='C:\Users\jaime.benazar\Quorum Business Solutions\Ecopetrol Prometeo - Documents\Planning Space Implementation\3. Analysis &amp; Design\Design\FC22\DRR Jaime\QUIFA-CAJÚA\Cajua\[VAS_CAJUA_CF_SEC_20230125.xlsx]CF PRB'!$DN$48</v>
      </c>
      <c r="J2750" s="4" t="s">
        <v>1362</v>
      </c>
    </row>
    <row r="2751" spans="1:10" x14ac:dyDescent="0.25">
      <c r="A2751" s="7" t="s">
        <v>4</v>
      </c>
      <c r="B2751" s="7">
        <f t="shared" si="624"/>
        <v>2036</v>
      </c>
      <c r="C2751" s="4" t="s">
        <v>23</v>
      </c>
      <c r="D2751" s="5" t="s">
        <v>128</v>
      </c>
      <c r="E2751" s="10" t="str">
        <f t="shared" si="592"/>
        <v>PRB'!</v>
      </c>
      <c r="F2751" s="5" t="str">
        <f t="shared" si="623"/>
        <v>C:\Users\jaime.benazar\Quorum Business Solutions\Ecopetrol Prometeo - Documents\Planning Space Implementation\3. Analysis &amp; Design\Design\FC22\DRR Jaime\QUIFA-CAJÚA\Cajua\[VAS_CAJUA_CF_SEC_20230125.xlsx]CF PRB'!</v>
      </c>
      <c r="G2751" s="7" t="s">
        <v>41</v>
      </c>
      <c r="H2751" s="4">
        <f t="shared" si="594"/>
        <v>49</v>
      </c>
      <c r="I2751" s="4" t="str">
        <f t="shared" si="593"/>
        <v>='C:\Users\jaime.benazar\Quorum Business Solutions\Ecopetrol Prometeo - Documents\Planning Space Implementation\3. Analysis &amp; Design\Design\FC22\DRR Jaime\QUIFA-CAJÚA\Cajua\[VAS_CAJUA_CF_SEC_20230125.xlsx]CF PRB'!$DN$49</v>
      </c>
      <c r="J2751" s="4" t="s">
        <v>1363</v>
      </c>
    </row>
    <row r="2752" spans="1:10" x14ac:dyDescent="0.25">
      <c r="A2752" s="7" t="s">
        <v>4</v>
      </c>
      <c r="B2752" s="7">
        <f>+B2751+1</f>
        <v>2037</v>
      </c>
      <c r="C2752" s="4" t="s">
        <v>23</v>
      </c>
      <c r="D2752" s="5" t="s">
        <v>128</v>
      </c>
      <c r="E2752" s="10" t="str">
        <f t="shared" si="592"/>
        <v>PRB'!</v>
      </c>
      <c r="F2752" s="5" t="str">
        <f t="shared" si="623"/>
        <v>C:\Users\jaime.benazar\Quorum Business Solutions\Ecopetrol Prometeo - Documents\Planning Space Implementation\3. Analysis &amp; Design\Design\FC22\DRR Jaime\QUIFA-CAJÚA\Cajua\[VAS_CAJUA_CF_SEC_20230125.xlsx]CF PRB'!</v>
      </c>
      <c r="G2752" s="7" t="s">
        <v>41</v>
      </c>
      <c r="H2752" s="4">
        <f t="shared" si="594"/>
        <v>50</v>
      </c>
      <c r="I2752" s="4" t="str">
        <f t="shared" si="593"/>
        <v>='C:\Users\jaime.benazar\Quorum Business Solutions\Ecopetrol Prometeo - Documents\Planning Space Implementation\3. Analysis &amp; Design\Design\FC22\DRR Jaime\QUIFA-CAJÚA\Cajua\[VAS_CAJUA_CF_SEC_20230125.xlsx]CF PRB'!$DN$50</v>
      </c>
      <c r="J2752" s="4" t="s">
        <v>1364</v>
      </c>
    </row>
    <row r="2753" spans="1:10" x14ac:dyDescent="0.25">
      <c r="A2753" s="7" t="s">
        <v>4</v>
      </c>
      <c r="B2753" s="7">
        <f t="shared" ref="B2753:B2755" si="625">+B2752+1</f>
        <v>2038</v>
      </c>
      <c r="C2753" s="4" t="s">
        <v>23</v>
      </c>
      <c r="D2753" s="5" t="s">
        <v>128</v>
      </c>
      <c r="E2753" s="10" t="str">
        <f t="shared" si="592"/>
        <v>PRB'!</v>
      </c>
      <c r="F2753" s="5" t="str">
        <f t="shared" si="623"/>
        <v>C:\Users\jaime.benazar\Quorum Business Solutions\Ecopetrol Prometeo - Documents\Planning Space Implementation\3. Analysis &amp; Design\Design\FC22\DRR Jaime\QUIFA-CAJÚA\Cajua\[VAS_CAJUA_CF_SEC_20230125.xlsx]CF PRB'!</v>
      </c>
      <c r="G2753" s="7" t="s">
        <v>41</v>
      </c>
      <c r="H2753" s="4">
        <f t="shared" si="594"/>
        <v>51</v>
      </c>
      <c r="I2753" s="4" t="str">
        <f t="shared" si="593"/>
        <v>='C:\Users\jaime.benazar\Quorum Business Solutions\Ecopetrol Prometeo - Documents\Planning Space Implementation\3. Analysis &amp; Design\Design\FC22\DRR Jaime\QUIFA-CAJÚA\Cajua\[VAS_CAJUA_CF_SEC_20230125.xlsx]CF PRB'!$DN$51</v>
      </c>
      <c r="J2753" s="4" t="s">
        <v>1365</v>
      </c>
    </row>
    <row r="2754" spans="1:10" x14ac:dyDescent="0.25">
      <c r="A2754" s="7" t="s">
        <v>4</v>
      </c>
      <c r="B2754" s="7">
        <f t="shared" si="625"/>
        <v>2039</v>
      </c>
      <c r="C2754" s="4" t="s">
        <v>23</v>
      </c>
      <c r="D2754" s="5" t="s">
        <v>128</v>
      </c>
      <c r="E2754" s="10" t="str">
        <f t="shared" si="592"/>
        <v>PRB'!</v>
      </c>
      <c r="F2754" s="5" t="str">
        <f t="shared" si="623"/>
        <v>C:\Users\jaime.benazar\Quorum Business Solutions\Ecopetrol Prometeo - Documents\Planning Space Implementation\3. Analysis &amp; Design\Design\FC22\DRR Jaime\QUIFA-CAJÚA\Cajua\[VAS_CAJUA_CF_SEC_20230125.xlsx]CF PRB'!</v>
      </c>
      <c r="G2754" s="7" t="s">
        <v>41</v>
      </c>
      <c r="H2754" s="4">
        <f t="shared" si="594"/>
        <v>52</v>
      </c>
      <c r="I2754" s="4" t="str">
        <f t="shared" si="593"/>
        <v>='C:\Users\jaime.benazar\Quorum Business Solutions\Ecopetrol Prometeo - Documents\Planning Space Implementation\3. Analysis &amp; Design\Design\FC22\DRR Jaime\QUIFA-CAJÚA\Cajua\[VAS_CAJUA_CF_SEC_20230125.xlsx]CF PRB'!$DN$52</v>
      </c>
      <c r="J2754" s="4" t="s">
        <v>1366</v>
      </c>
    </row>
    <row r="2755" spans="1:10" x14ac:dyDescent="0.25">
      <c r="A2755" s="7" t="s">
        <v>4</v>
      </c>
      <c r="B2755" s="7">
        <f t="shared" si="625"/>
        <v>2040</v>
      </c>
      <c r="C2755" s="4" t="s">
        <v>23</v>
      </c>
      <c r="D2755" s="5" t="s">
        <v>128</v>
      </c>
      <c r="E2755" s="10" t="str">
        <f t="shared" si="592"/>
        <v>PRB'!</v>
      </c>
      <c r="F2755" s="5" t="str">
        <f t="shared" si="623"/>
        <v>C:\Users\jaime.benazar\Quorum Business Solutions\Ecopetrol Prometeo - Documents\Planning Space Implementation\3. Analysis &amp; Design\Design\FC22\DRR Jaime\QUIFA-CAJÚA\Cajua\[VAS_CAJUA_CF_SEC_20230125.xlsx]CF PRB'!</v>
      </c>
      <c r="G2755" s="7" t="s">
        <v>41</v>
      </c>
      <c r="H2755" s="4">
        <f t="shared" si="594"/>
        <v>53</v>
      </c>
      <c r="I2755" s="4" t="str">
        <f t="shared" si="593"/>
        <v>='C:\Users\jaime.benazar\Quorum Business Solutions\Ecopetrol Prometeo - Documents\Planning Space Implementation\3. Analysis &amp; Design\Design\FC22\DRR Jaime\QUIFA-CAJÚA\Cajua\[VAS_CAJUA_CF_SEC_20230125.xlsx]CF PRB'!$DN$53</v>
      </c>
      <c r="J2755" s="4" t="s">
        <v>1367</v>
      </c>
    </row>
    <row r="2756" spans="1:10" x14ac:dyDescent="0.25">
      <c r="A2756" s="7" t="s">
        <v>4</v>
      </c>
      <c r="B2756" s="7">
        <f>+B2755+1</f>
        <v>2041</v>
      </c>
      <c r="C2756" s="4" t="s">
        <v>23</v>
      </c>
      <c r="D2756" s="5" t="s">
        <v>128</v>
      </c>
      <c r="E2756" s="10" t="str">
        <f t="shared" si="592"/>
        <v>PRB'!</v>
      </c>
      <c r="F2756" s="5" t="str">
        <f t="shared" si="623"/>
        <v>C:\Users\jaime.benazar\Quorum Business Solutions\Ecopetrol Prometeo - Documents\Planning Space Implementation\3. Analysis &amp; Design\Design\FC22\DRR Jaime\QUIFA-CAJÚA\Cajua\[VAS_CAJUA_CF_SEC_20230125.xlsx]CF PRB'!</v>
      </c>
      <c r="G2756" s="7" t="s">
        <v>41</v>
      </c>
      <c r="H2756" s="4">
        <f t="shared" si="594"/>
        <v>54</v>
      </c>
      <c r="I2756" s="4" t="str">
        <f t="shared" si="593"/>
        <v>='C:\Users\jaime.benazar\Quorum Business Solutions\Ecopetrol Prometeo - Documents\Planning Space Implementation\3. Analysis &amp; Design\Design\FC22\DRR Jaime\QUIFA-CAJÚA\Cajua\[VAS_CAJUA_CF_SEC_20230125.xlsx]CF PRB'!$DN$54</v>
      </c>
      <c r="J2756" s="4" t="s">
        <v>1368</v>
      </c>
    </row>
    <row r="2757" spans="1:10" x14ac:dyDescent="0.25">
      <c r="A2757" s="7" t="s">
        <v>4</v>
      </c>
      <c r="B2757" s="7">
        <f t="shared" ref="B2757:B2758" si="626">+B2756+1</f>
        <v>2042</v>
      </c>
      <c r="C2757" s="4" t="s">
        <v>23</v>
      </c>
      <c r="D2757" s="5" t="s">
        <v>128</v>
      </c>
      <c r="E2757" s="10" t="str">
        <f t="shared" si="592"/>
        <v>PRB'!</v>
      </c>
      <c r="F2757" s="5" t="str">
        <f t="shared" si="623"/>
        <v>C:\Users\jaime.benazar\Quorum Business Solutions\Ecopetrol Prometeo - Documents\Planning Space Implementation\3. Analysis &amp; Design\Design\FC22\DRR Jaime\QUIFA-CAJÚA\Cajua\[VAS_CAJUA_CF_SEC_20230125.xlsx]CF PRB'!</v>
      </c>
      <c r="G2757" s="7" t="s">
        <v>41</v>
      </c>
      <c r="H2757" s="4">
        <f t="shared" si="594"/>
        <v>55</v>
      </c>
      <c r="I2757" s="4" t="str">
        <f t="shared" si="593"/>
        <v>='C:\Users\jaime.benazar\Quorum Business Solutions\Ecopetrol Prometeo - Documents\Planning Space Implementation\3. Analysis &amp; Design\Design\FC22\DRR Jaime\QUIFA-CAJÚA\Cajua\[VAS_CAJUA_CF_SEC_20230125.xlsx]CF PRB'!$DN$55</v>
      </c>
      <c r="J2757" s="4" t="s">
        <v>1369</v>
      </c>
    </row>
    <row r="2758" spans="1:10" x14ac:dyDescent="0.25">
      <c r="A2758" s="7" t="s">
        <v>4</v>
      </c>
      <c r="B2758" s="7">
        <f t="shared" si="626"/>
        <v>2043</v>
      </c>
      <c r="C2758" s="4" t="s">
        <v>23</v>
      </c>
      <c r="D2758" s="5" t="s">
        <v>128</v>
      </c>
      <c r="E2758" s="10" t="str">
        <f t="shared" si="592"/>
        <v>PRB'!</v>
      </c>
      <c r="F2758" s="5" t="str">
        <f t="shared" si="623"/>
        <v>C:\Users\jaime.benazar\Quorum Business Solutions\Ecopetrol Prometeo - Documents\Planning Space Implementation\3. Analysis &amp; Design\Design\FC22\DRR Jaime\QUIFA-CAJÚA\Cajua\[VAS_CAJUA_CF_SEC_20230125.xlsx]CF PRB'!</v>
      </c>
      <c r="G2758" s="7" t="s">
        <v>41</v>
      </c>
      <c r="H2758" s="4">
        <f t="shared" si="594"/>
        <v>56</v>
      </c>
      <c r="I2758" s="4" t="str">
        <f t="shared" si="593"/>
        <v>='C:\Users\jaime.benazar\Quorum Business Solutions\Ecopetrol Prometeo - Documents\Planning Space Implementation\3. Analysis &amp; Design\Design\FC22\DRR Jaime\QUIFA-CAJÚA\Cajua\[VAS_CAJUA_CF_SEC_20230125.xlsx]CF PRB'!$DN$56</v>
      </c>
      <c r="J2758" s="4" t="s">
        <v>1370</v>
      </c>
    </row>
    <row r="2759" spans="1:10" x14ac:dyDescent="0.25">
      <c r="A2759" s="7" t="s">
        <v>4</v>
      </c>
      <c r="B2759" s="7">
        <f>+B2758+1</f>
        <v>2044</v>
      </c>
      <c r="C2759" s="4" t="s">
        <v>23</v>
      </c>
      <c r="D2759" s="5" t="s">
        <v>128</v>
      </c>
      <c r="E2759" s="10" t="str">
        <f t="shared" ref="E2759:E2774" si="627">_xlfn.CONCAT(A2759,"'!")</f>
        <v>PRB'!</v>
      </c>
      <c r="F2759" s="5" t="str">
        <f t="shared" ref="F2759:F2774" si="628">_xlfn.CONCAT(D2759," ",E2759)</f>
        <v>C:\Users\jaime.benazar\Quorum Business Solutions\Ecopetrol Prometeo - Documents\Planning Space Implementation\3. Analysis &amp; Design\Design\FC22\DRR Jaime\QUIFA-CAJÚA\Cajua\[VAS_CAJUA_CF_SEC_20230125.xlsx]CF PRB'!</v>
      </c>
      <c r="G2759" s="7" t="s">
        <v>41</v>
      </c>
      <c r="H2759" s="4">
        <f t="shared" ref="H2759:H2774" si="629">IF(A2759&lt;&gt;A2758,36,H2758+1)</f>
        <v>57</v>
      </c>
      <c r="I2759" s="4" t="str">
        <f t="shared" ref="I2759:I2774" si="630">_xlfn.CONCAT("='",F2759:H2759)</f>
        <v>='C:\Users\jaime.benazar\Quorum Business Solutions\Ecopetrol Prometeo - Documents\Planning Space Implementation\3. Analysis &amp; Design\Design\FC22\DRR Jaime\QUIFA-CAJÚA\Cajua\[VAS_CAJUA_CF_SEC_20230125.xlsx]CF PRB'!$DN$57</v>
      </c>
      <c r="J2759" s="4" t="s">
        <v>1371</v>
      </c>
    </row>
    <row r="2760" spans="1:10" x14ac:dyDescent="0.25">
      <c r="A2760" s="7" t="s">
        <v>4</v>
      </c>
      <c r="B2760" s="7">
        <f t="shared" ref="B2760:B2774" si="631">+B2759+1</f>
        <v>2045</v>
      </c>
      <c r="C2760" s="4" t="s">
        <v>23</v>
      </c>
      <c r="D2760" s="5" t="s">
        <v>128</v>
      </c>
      <c r="E2760" s="10" t="str">
        <f t="shared" si="627"/>
        <v>PRB'!</v>
      </c>
      <c r="F2760" s="5" t="str">
        <f t="shared" si="628"/>
        <v>C:\Users\jaime.benazar\Quorum Business Solutions\Ecopetrol Prometeo - Documents\Planning Space Implementation\3. Analysis &amp; Design\Design\FC22\DRR Jaime\QUIFA-CAJÚA\Cajua\[VAS_CAJUA_CF_SEC_20230125.xlsx]CF PRB'!</v>
      </c>
      <c r="G2760" s="7" t="s">
        <v>41</v>
      </c>
      <c r="H2760" s="4">
        <f t="shared" si="629"/>
        <v>58</v>
      </c>
      <c r="I2760" s="4" t="str">
        <f t="shared" si="630"/>
        <v>='C:\Users\jaime.benazar\Quorum Business Solutions\Ecopetrol Prometeo - Documents\Planning Space Implementation\3. Analysis &amp; Design\Design\FC22\DRR Jaime\QUIFA-CAJÚA\Cajua\[VAS_CAJUA_CF_SEC_20230125.xlsx]CF PRB'!$DN$58</v>
      </c>
      <c r="J2760" s="4" t="s">
        <v>1372</v>
      </c>
    </row>
    <row r="2761" spans="1:10" x14ac:dyDescent="0.25">
      <c r="A2761" s="7" t="s">
        <v>4</v>
      </c>
      <c r="B2761" s="7">
        <f t="shared" si="631"/>
        <v>2046</v>
      </c>
      <c r="C2761" s="4" t="s">
        <v>23</v>
      </c>
      <c r="D2761" s="5" t="s">
        <v>128</v>
      </c>
      <c r="E2761" s="10" t="str">
        <f t="shared" si="627"/>
        <v>PRB'!</v>
      </c>
      <c r="F2761" s="5" t="str">
        <f t="shared" si="628"/>
        <v>C:\Users\jaime.benazar\Quorum Business Solutions\Ecopetrol Prometeo - Documents\Planning Space Implementation\3. Analysis &amp; Design\Design\FC22\DRR Jaime\QUIFA-CAJÚA\Cajua\[VAS_CAJUA_CF_SEC_20230125.xlsx]CF PRB'!</v>
      </c>
      <c r="G2761" s="7" t="s">
        <v>41</v>
      </c>
      <c r="H2761" s="4">
        <f t="shared" si="629"/>
        <v>59</v>
      </c>
      <c r="I2761" s="4" t="str">
        <f t="shared" si="630"/>
        <v>='C:\Users\jaime.benazar\Quorum Business Solutions\Ecopetrol Prometeo - Documents\Planning Space Implementation\3. Analysis &amp; Design\Design\FC22\DRR Jaime\QUIFA-CAJÚA\Cajua\[VAS_CAJUA_CF_SEC_20230125.xlsx]CF PRB'!$DN$59</v>
      </c>
      <c r="J2761" s="4" t="s">
        <v>1373</v>
      </c>
    </row>
    <row r="2762" spans="1:10" x14ac:dyDescent="0.25">
      <c r="A2762" s="7" t="s">
        <v>4</v>
      </c>
      <c r="B2762" s="7">
        <f t="shared" si="631"/>
        <v>2047</v>
      </c>
      <c r="C2762" s="4" t="s">
        <v>23</v>
      </c>
      <c r="D2762" s="5" t="s">
        <v>128</v>
      </c>
      <c r="E2762" s="10" t="str">
        <f t="shared" si="627"/>
        <v>PRB'!</v>
      </c>
      <c r="F2762" s="5" t="str">
        <f t="shared" si="628"/>
        <v>C:\Users\jaime.benazar\Quorum Business Solutions\Ecopetrol Prometeo - Documents\Planning Space Implementation\3. Analysis &amp; Design\Design\FC22\DRR Jaime\QUIFA-CAJÚA\Cajua\[VAS_CAJUA_CF_SEC_20230125.xlsx]CF PRB'!</v>
      </c>
      <c r="G2762" s="7" t="s">
        <v>41</v>
      </c>
      <c r="H2762" s="4">
        <f t="shared" si="629"/>
        <v>60</v>
      </c>
      <c r="I2762" s="4" t="str">
        <f t="shared" si="630"/>
        <v>='C:\Users\jaime.benazar\Quorum Business Solutions\Ecopetrol Prometeo - Documents\Planning Space Implementation\3. Analysis &amp; Design\Design\FC22\DRR Jaime\QUIFA-CAJÚA\Cajua\[VAS_CAJUA_CF_SEC_20230125.xlsx]CF PRB'!$DN$60</v>
      </c>
      <c r="J2762" s="4" t="s">
        <v>1374</v>
      </c>
    </row>
    <row r="2763" spans="1:10" x14ac:dyDescent="0.25">
      <c r="A2763" s="7" t="s">
        <v>4</v>
      </c>
      <c r="B2763" s="7">
        <f t="shared" si="631"/>
        <v>2048</v>
      </c>
      <c r="C2763" s="4" t="s">
        <v>23</v>
      </c>
      <c r="D2763" s="5" t="s">
        <v>128</v>
      </c>
      <c r="E2763" s="10" t="str">
        <f t="shared" si="627"/>
        <v>PRB'!</v>
      </c>
      <c r="F2763" s="5" t="str">
        <f t="shared" si="628"/>
        <v>C:\Users\jaime.benazar\Quorum Business Solutions\Ecopetrol Prometeo - Documents\Planning Space Implementation\3. Analysis &amp; Design\Design\FC22\DRR Jaime\QUIFA-CAJÚA\Cajua\[VAS_CAJUA_CF_SEC_20230125.xlsx]CF PRB'!</v>
      </c>
      <c r="G2763" s="7" t="s">
        <v>41</v>
      </c>
      <c r="H2763" s="4">
        <f t="shared" si="629"/>
        <v>61</v>
      </c>
      <c r="I2763" s="4" t="str">
        <f t="shared" si="630"/>
        <v>='C:\Users\jaime.benazar\Quorum Business Solutions\Ecopetrol Prometeo - Documents\Planning Space Implementation\3. Analysis &amp; Design\Design\FC22\DRR Jaime\QUIFA-CAJÚA\Cajua\[VAS_CAJUA_CF_SEC_20230125.xlsx]CF PRB'!$DN$61</v>
      </c>
      <c r="J2763" s="4" t="s">
        <v>1375</v>
      </c>
    </row>
    <row r="2764" spans="1:10" x14ac:dyDescent="0.25">
      <c r="A2764" s="7" t="s">
        <v>4</v>
      </c>
      <c r="B2764" s="7">
        <f t="shared" si="631"/>
        <v>2049</v>
      </c>
      <c r="C2764" s="4" t="s">
        <v>23</v>
      </c>
      <c r="D2764" s="5" t="s">
        <v>128</v>
      </c>
      <c r="E2764" s="10" t="str">
        <f t="shared" si="627"/>
        <v>PRB'!</v>
      </c>
      <c r="F2764" s="5" t="str">
        <f t="shared" si="628"/>
        <v>C:\Users\jaime.benazar\Quorum Business Solutions\Ecopetrol Prometeo - Documents\Planning Space Implementation\3. Analysis &amp; Design\Design\FC22\DRR Jaime\QUIFA-CAJÚA\Cajua\[VAS_CAJUA_CF_SEC_20230125.xlsx]CF PRB'!</v>
      </c>
      <c r="G2764" s="7" t="s">
        <v>41</v>
      </c>
      <c r="H2764" s="4">
        <f t="shared" si="629"/>
        <v>62</v>
      </c>
      <c r="I2764" s="4" t="str">
        <f t="shared" si="630"/>
        <v>='C:\Users\jaime.benazar\Quorum Business Solutions\Ecopetrol Prometeo - Documents\Planning Space Implementation\3. Analysis &amp; Design\Design\FC22\DRR Jaime\QUIFA-CAJÚA\Cajua\[VAS_CAJUA_CF_SEC_20230125.xlsx]CF PRB'!$DN$62</v>
      </c>
      <c r="J2764" s="4" t="s">
        <v>1376</v>
      </c>
    </row>
    <row r="2765" spans="1:10" x14ac:dyDescent="0.25">
      <c r="A2765" s="7" t="s">
        <v>4</v>
      </c>
      <c r="B2765" s="7">
        <f t="shared" si="631"/>
        <v>2050</v>
      </c>
      <c r="C2765" s="4" t="s">
        <v>23</v>
      </c>
      <c r="D2765" s="5" t="s">
        <v>128</v>
      </c>
      <c r="E2765" s="10" t="str">
        <f t="shared" si="627"/>
        <v>PRB'!</v>
      </c>
      <c r="F2765" s="5" t="str">
        <f t="shared" si="628"/>
        <v>C:\Users\jaime.benazar\Quorum Business Solutions\Ecopetrol Prometeo - Documents\Planning Space Implementation\3. Analysis &amp; Design\Design\FC22\DRR Jaime\QUIFA-CAJÚA\Cajua\[VAS_CAJUA_CF_SEC_20230125.xlsx]CF PRB'!</v>
      </c>
      <c r="G2765" s="7" t="s">
        <v>41</v>
      </c>
      <c r="H2765" s="4">
        <f t="shared" si="629"/>
        <v>63</v>
      </c>
      <c r="I2765" s="4" t="str">
        <f t="shared" si="630"/>
        <v>='C:\Users\jaime.benazar\Quorum Business Solutions\Ecopetrol Prometeo - Documents\Planning Space Implementation\3. Analysis &amp; Design\Design\FC22\DRR Jaime\QUIFA-CAJÚA\Cajua\[VAS_CAJUA_CF_SEC_20230125.xlsx]CF PRB'!$DN$63</v>
      </c>
      <c r="J2765" s="4" t="s">
        <v>1377</v>
      </c>
    </row>
    <row r="2766" spans="1:10" x14ac:dyDescent="0.25">
      <c r="A2766" s="7" t="s">
        <v>4</v>
      </c>
      <c r="B2766" s="7">
        <f t="shared" si="631"/>
        <v>2051</v>
      </c>
      <c r="C2766" s="4" t="s">
        <v>23</v>
      </c>
      <c r="D2766" s="5" t="s">
        <v>128</v>
      </c>
      <c r="E2766" s="10" t="str">
        <f t="shared" si="627"/>
        <v>PRB'!</v>
      </c>
      <c r="F2766" s="5" t="str">
        <f t="shared" si="628"/>
        <v>C:\Users\jaime.benazar\Quorum Business Solutions\Ecopetrol Prometeo - Documents\Planning Space Implementation\3. Analysis &amp; Design\Design\FC22\DRR Jaime\QUIFA-CAJÚA\Cajua\[VAS_CAJUA_CF_SEC_20230125.xlsx]CF PRB'!</v>
      </c>
      <c r="G2766" s="7" t="s">
        <v>41</v>
      </c>
      <c r="H2766" s="4">
        <f t="shared" si="629"/>
        <v>64</v>
      </c>
      <c r="I2766" s="4" t="str">
        <f t="shared" si="630"/>
        <v>='C:\Users\jaime.benazar\Quorum Business Solutions\Ecopetrol Prometeo - Documents\Planning Space Implementation\3. Analysis &amp; Design\Design\FC22\DRR Jaime\QUIFA-CAJÚA\Cajua\[VAS_CAJUA_CF_SEC_20230125.xlsx]CF PRB'!$DN$64</v>
      </c>
      <c r="J2766" s="4" t="s">
        <v>1378</v>
      </c>
    </row>
    <row r="2767" spans="1:10" x14ac:dyDescent="0.25">
      <c r="A2767" s="7" t="s">
        <v>4</v>
      </c>
      <c r="B2767" s="7">
        <f t="shared" si="631"/>
        <v>2052</v>
      </c>
      <c r="C2767" s="4" t="s">
        <v>23</v>
      </c>
      <c r="D2767" s="5" t="s">
        <v>128</v>
      </c>
      <c r="E2767" s="10" t="str">
        <f t="shared" si="627"/>
        <v>PRB'!</v>
      </c>
      <c r="F2767" s="5" t="str">
        <f t="shared" si="628"/>
        <v>C:\Users\jaime.benazar\Quorum Business Solutions\Ecopetrol Prometeo - Documents\Planning Space Implementation\3. Analysis &amp; Design\Design\FC22\DRR Jaime\QUIFA-CAJÚA\Cajua\[VAS_CAJUA_CF_SEC_20230125.xlsx]CF PRB'!</v>
      </c>
      <c r="G2767" s="7" t="s">
        <v>41</v>
      </c>
      <c r="H2767" s="4">
        <f t="shared" si="629"/>
        <v>65</v>
      </c>
      <c r="I2767" s="4" t="str">
        <f t="shared" si="630"/>
        <v>='C:\Users\jaime.benazar\Quorum Business Solutions\Ecopetrol Prometeo - Documents\Planning Space Implementation\3. Analysis &amp; Design\Design\FC22\DRR Jaime\QUIFA-CAJÚA\Cajua\[VAS_CAJUA_CF_SEC_20230125.xlsx]CF PRB'!$DN$65</v>
      </c>
      <c r="J2767" s="4" t="s">
        <v>1379</v>
      </c>
    </row>
    <row r="2768" spans="1:10" x14ac:dyDescent="0.25">
      <c r="A2768" s="7" t="s">
        <v>4</v>
      </c>
      <c r="B2768" s="7">
        <f t="shared" si="631"/>
        <v>2053</v>
      </c>
      <c r="C2768" s="4" t="s">
        <v>23</v>
      </c>
      <c r="D2768" s="5" t="s">
        <v>128</v>
      </c>
      <c r="E2768" s="10" t="str">
        <f t="shared" si="627"/>
        <v>PRB'!</v>
      </c>
      <c r="F2768" s="5" t="str">
        <f t="shared" si="628"/>
        <v>C:\Users\jaime.benazar\Quorum Business Solutions\Ecopetrol Prometeo - Documents\Planning Space Implementation\3. Analysis &amp; Design\Design\FC22\DRR Jaime\QUIFA-CAJÚA\Cajua\[VAS_CAJUA_CF_SEC_20230125.xlsx]CF PRB'!</v>
      </c>
      <c r="G2768" s="7" t="s">
        <v>41</v>
      </c>
      <c r="H2768" s="4">
        <f t="shared" si="629"/>
        <v>66</v>
      </c>
      <c r="I2768" s="4" t="str">
        <f t="shared" si="630"/>
        <v>='C:\Users\jaime.benazar\Quorum Business Solutions\Ecopetrol Prometeo - Documents\Planning Space Implementation\3. Analysis &amp; Design\Design\FC22\DRR Jaime\QUIFA-CAJÚA\Cajua\[VAS_CAJUA_CF_SEC_20230125.xlsx]CF PRB'!$DN$66</v>
      </c>
      <c r="J2768" s="4" t="s">
        <v>1380</v>
      </c>
    </row>
    <row r="2769" spans="1:10" x14ac:dyDescent="0.25">
      <c r="A2769" s="7" t="s">
        <v>4</v>
      </c>
      <c r="B2769" s="7">
        <f t="shared" si="631"/>
        <v>2054</v>
      </c>
      <c r="C2769" s="4" t="s">
        <v>23</v>
      </c>
      <c r="D2769" s="5" t="s">
        <v>128</v>
      </c>
      <c r="E2769" s="10" t="str">
        <f t="shared" si="627"/>
        <v>PRB'!</v>
      </c>
      <c r="F2769" s="5" t="str">
        <f t="shared" si="628"/>
        <v>C:\Users\jaime.benazar\Quorum Business Solutions\Ecopetrol Prometeo - Documents\Planning Space Implementation\3. Analysis &amp; Design\Design\FC22\DRR Jaime\QUIFA-CAJÚA\Cajua\[VAS_CAJUA_CF_SEC_20230125.xlsx]CF PRB'!</v>
      </c>
      <c r="G2769" s="7" t="s">
        <v>41</v>
      </c>
      <c r="H2769" s="4">
        <f t="shared" si="629"/>
        <v>67</v>
      </c>
      <c r="I2769" s="4" t="str">
        <f t="shared" si="630"/>
        <v>='C:\Users\jaime.benazar\Quorum Business Solutions\Ecopetrol Prometeo - Documents\Planning Space Implementation\3. Analysis &amp; Design\Design\FC22\DRR Jaime\QUIFA-CAJÚA\Cajua\[VAS_CAJUA_CF_SEC_20230125.xlsx]CF PRB'!$DN$67</v>
      </c>
      <c r="J2769" s="4" t="s">
        <v>1381</v>
      </c>
    </row>
    <row r="2770" spans="1:10" x14ac:dyDescent="0.25">
      <c r="A2770" s="7" t="s">
        <v>4</v>
      </c>
      <c r="B2770" s="7">
        <f t="shared" si="631"/>
        <v>2055</v>
      </c>
      <c r="C2770" s="4" t="s">
        <v>23</v>
      </c>
      <c r="D2770" s="5" t="s">
        <v>128</v>
      </c>
      <c r="E2770" s="10" t="str">
        <f t="shared" si="627"/>
        <v>PRB'!</v>
      </c>
      <c r="F2770" s="5" t="str">
        <f t="shared" si="628"/>
        <v>C:\Users\jaime.benazar\Quorum Business Solutions\Ecopetrol Prometeo - Documents\Planning Space Implementation\3. Analysis &amp; Design\Design\FC22\DRR Jaime\QUIFA-CAJÚA\Cajua\[VAS_CAJUA_CF_SEC_20230125.xlsx]CF PRB'!</v>
      </c>
      <c r="G2770" s="7" t="s">
        <v>41</v>
      </c>
      <c r="H2770" s="4">
        <f t="shared" si="629"/>
        <v>68</v>
      </c>
      <c r="I2770" s="4" t="str">
        <f t="shared" si="630"/>
        <v>='C:\Users\jaime.benazar\Quorum Business Solutions\Ecopetrol Prometeo - Documents\Planning Space Implementation\3. Analysis &amp; Design\Design\FC22\DRR Jaime\QUIFA-CAJÚA\Cajua\[VAS_CAJUA_CF_SEC_20230125.xlsx]CF PRB'!$DN$68</v>
      </c>
      <c r="J2770" s="4" t="s">
        <v>1382</v>
      </c>
    </row>
    <row r="2771" spans="1:10" x14ac:dyDescent="0.25">
      <c r="A2771" s="7" t="s">
        <v>4</v>
      </c>
      <c r="B2771" s="7">
        <f t="shared" si="631"/>
        <v>2056</v>
      </c>
      <c r="C2771" s="4" t="s">
        <v>23</v>
      </c>
      <c r="D2771" s="5" t="s">
        <v>128</v>
      </c>
      <c r="E2771" s="10" t="str">
        <f t="shared" si="627"/>
        <v>PRB'!</v>
      </c>
      <c r="F2771" s="5" t="str">
        <f t="shared" si="628"/>
        <v>C:\Users\jaime.benazar\Quorum Business Solutions\Ecopetrol Prometeo - Documents\Planning Space Implementation\3. Analysis &amp; Design\Design\FC22\DRR Jaime\QUIFA-CAJÚA\Cajua\[VAS_CAJUA_CF_SEC_20230125.xlsx]CF PRB'!</v>
      </c>
      <c r="G2771" s="7" t="s">
        <v>41</v>
      </c>
      <c r="H2771" s="4">
        <f t="shared" si="629"/>
        <v>69</v>
      </c>
      <c r="I2771" s="4" t="str">
        <f t="shared" si="630"/>
        <v>='C:\Users\jaime.benazar\Quorum Business Solutions\Ecopetrol Prometeo - Documents\Planning Space Implementation\3. Analysis &amp; Design\Design\FC22\DRR Jaime\QUIFA-CAJÚA\Cajua\[VAS_CAJUA_CF_SEC_20230125.xlsx]CF PRB'!$DN$69</v>
      </c>
      <c r="J2771" s="4" t="s">
        <v>1383</v>
      </c>
    </row>
    <row r="2772" spans="1:10" x14ac:dyDescent="0.25">
      <c r="A2772" s="7" t="s">
        <v>4</v>
      </c>
      <c r="B2772" s="7">
        <f t="shared" si="631"/>
        <v>2057</v>
      </c>
      <c r="C2772" s="4" t="s">
        <v>23</v>
      </c>
      <c r="D2772" s="5" t="s">
        <v>128</v>
      </c>
      <c r="E2772" s="10" t="str">
        <f t="shared" si="627"/>
        <v>PRB'!</v>
      </c>
      <c r="F2772" s="5" t="str">
        <f t="shared" si="628"/>
        <v>C:\Users\jaime.benazar\Quorum Business Solutions\Ecopetrol Prometeo - Documents\Planning Space Implementation\3. Analysis &amp; Design\Design\FC22\DRR Jaime\QUIFA-CAJÚA\Cajua\[VAS_CAJUA_CF_SEC_20230125.xlsx]CF PRB'!</v>
      </c>
      <c r="G2772" s="7" t="s">
        <v>41</v>
      </c>
      <c r="H2772" s="4">
        <f t="shared" si="629"/>
        <v>70</v>
      </c>
      <c r="I2772" s="4" t="str">
        <f t="shared" si="630"/>
        <v>='C:\Users\jaime.benazar\Quorum Business Solutions\Ecopetrol Prometeo - Documents\Planning Space Implementation\3. Analysis &amp; Design\Design\FC22\DRR Jaime\QUIFA-CAJÚA\Cajua\[VAS_CAJUA_CF_SEC_20230125.xlsx]CF PRB'!$DN$70</v>
      </c>
      <c r="J2772" s="4" t="s">
        <v>1384</v>
      </c>
    </row>
    <row r="2773" spans="1:10" x14ac:dyDescent="0.25">
      <c r="A2773" s="7" t="s">
        <v>4</v>
      </c>
      <c r="B2773" s="7">
        <f t="shared" si="631"/>
        <v>2058</v>
      </c>
      <c r="C2773" s="4" t="s">
        <v>23</v>
      </c>
      <c r="D2773" s="5" t="s">
        <v>128</v>
      </c>
      <c r="E2773" s="10" t="str">
        <f t="shared" si="627"/>
        <v>PRB'!</v>
      </c>
      <c r="F2773" s="5" t="str">
        <f t="shared" si="628"/>
        <v>C:\Users\jaime.benazar\Quorum Business Solutions\Ecopetrol Prometeo - Documents\Planning Space Implementation\3. Analysis &amp; Design\Design\FC22\DRR Jaime\QUIFA-CAJÚA\Cajua\[VAS_CAJUA_CF_SEC_20230125.xlsx]CF PRB'!</v>
      </c>
      <c r="G2773" s="7" t="s">
        <v>41</v>
      </c>
      <c r="H2773" s="4">
        <f t="shared" si="629"/>
        <v>71</v>
      </c>
      <c r="I2773" s="4" t="str">
        <f t="shared" si="630"/>
        <v>='C:\Users\jaime.benazar\Quorum Business Solutions\Ecopetrol Prometeo - Documents\Planning Space Implementation\3. Analysis &amp; Design\Design\FC22\DRR Jaime\QUIFA-CAJÚA\Cajua\[VAS_CAJUA_CF_SEC_20230125.xlsx]CF PRB'!$DN$71</v>
      </c>
      <c r="J2773" s="4" t="s">
        <v>1385</v>
      </c>
    </row>
    <row r="2774" spans="1:10" x14ac:dyDescent="0.25">
      <c r="A2774" s="7" t="s">
        <v>4</v>
      </c>
      <c r="B2774" s="7">
        <f t="shared" si="631"/>
        <v>2059</v>
      </c>
      <c r="C2774" s="4" t="s">
        <v>23</v>
      </c>
      <c r="D2774" s="5" t="s">
        <v>128</v>
      </c>
      <c r="E2774" s="10" t="str">
        <f t="shared" si="627"/>
        <v>PRB'!</v>
      </c>
      <c r="F2774" s="5" t="str">
        <f t="shared" si="628"/>
        <v>C:\Users\jaime.benazar\Quorum Business Solutions\Ecopetrol Prometeo - Documents\Planning Space Implementation\3. Analysis &amp; Design\Design\FC22\DRR Jaime\QUIFA-CAJÚA\Cajua\[VAS_CAJUA_CF_SEC_20230125.xlsx]CF PRB'!</v>
      </c>
      <c r="G2774" s="7" t="s">
        <v>41</v>
      </c>
      <c r="H2774" s="4">
        <f t="shared" si="629"/>
        <v>72</v>
      </c>
      <c r="I2774" s="4" t="str">
        <f t="shared" si="630"/>
        <v>='C:\Users\jaime.benazar\Quorum Business Solutions\Ecopetrol Prometeo - Documents\Planning Space Implementation\3. Analysis &amp; Design\Design\FC22\DRR Jaime\QUIFA-CAJÚA\Cajua\[VAS_CAJUA_CF_SEC_20230125.xlsx]CF PRB'!$DN$72</v>
      </c>
      <c r="J2774" s="4" t="s">
        <v>1386</v>
      </c>
    </row>
    <row r="2775" spans="1:10" x14ac:dyDescent="0.25">
      <c r="A2775" s="7" t="s">
        <v>28</v>
      </c>
      <c r="B2775" s="7"/>
      <c r="C2775" s="4" t="s">
        <v>23</v>
      </c>
      <c r="D2775" s="5"/>
      <c r="E2775" s="10"/>
      <c r="F2775" s="2"/>
      <c r="G2775" s="7"/>
      <c r="H2775" s="4"/>
      <c r="I2775" s="4"/>
      <c r="J2775" s="4"/>
    </row>
    <row r="2776" spans="1:10" x14ac:dyDescent="0.25">
      <c r="A2776" s="7" t="s">
        <v>102</v>
      </c>
      <c r="B2776" s="7">
        <v>2023</v>
      </c>
      <c r="C2776" s="4" t="s">
        <v>23</v>
      </c>
      <c r="D2776" s="5" t="s">
        <v>128</v>
      </c>
      <c r="E2776" s="10" t="str">
        <f t="shared" ref="E2776:E2796" si="632">_xlfn.CONCAT(A2776,"'!")</f>
        <v>PSDP'!</v>
      </c>
      <c r="F2776" s="5" t="str">
        <f t="shared" ref="F2776:F2796" si="633">_xlfn.CONCAT(D2776," ",E2776)</f>
        <v>C:\Users\jaime.benazar\Quorum Business Solutions\Ecopetrol Prometeo - Documents\Planning Space Implementation\3. Analysis &amp; Design\Design\FC22\DRR Jaime\QUIFA-CAJÚA\Cajua\[VAS_CAJUA_CF_SEC_20230125.xlsx]CF PSDP'!</v>
      </c>
      <c r="G2776" s="7" t="s">
        <v>41</v>
      </c>
      <c r="H2776" s="4"/>
      <c r="I2776" s="4"/>
      <c r="J2776" s="4"/>
    </row>
    <row r="2777" spans="1:10" x14ac:dyDescent="0.25">
      <c r="A2777" s="7" t="s">
        <v>102</v>
      </c>
      <c r="B2777" s="7">
        <f>+B2776+1</f>
        <v>2024</v>
      </c>
      <c r="C2777" s="4" t="s">
        <v>23</v>
      </c>
      <c r="D2777" s="5" t="s">
        <v>128</v>
      </c>
      <c r="E2777" s="10" t="str">
        <f t="shared" si="632"/>
        <v>PSDP'!</v>
      </c>
      <c r="F2777" s="5" t="str">
        <f t="shared" si="633"/>
        <v>C:\Users\jaime.benazar\Quorum Business Solutions\Ecopetrol Prometeo - Documents\Planning Space Implementation\3. Analysis &amp; Design\Design\FC22\DRR Jaime\QUIFA-CAJÚA\Cajua\[VAS_CAJUA_CF_SEC_20230125.xlsx]CF PSDP'!</v>
      </c>
      <c r="G2777" s="7" t="s">
        <v>41</v>
      </c>
      <c r="H2777" s="4"/>
      <c r="I2777" s="4"/>
      <c r="J2777" s="4"/>
    </row>
    <row r="2778" spans="1:10" x14ac:dyDescent="0.25">
      <c r="A2778" s="7" t="s">
        <v>102</v>
      </c>
      <c r="B2778" s="7">
        <f t="shared" ref="B2778:B2789" si="634">+B2777+1</f>
        <v>2025</v>
      </c>
      <c r="C2778" s="4" t="s">
        <v>23</v>
      </c>
      <c r="D2778" s="5" t="s">
        <v>128</v>
      </c>
      <c r="E2778" s="10" t="str">
        <f t="shared" si="632"/>
        <v>PSDP'!</v>
      </c>
      <c r="F2778" s="5" t="str">
        <f t="shared" si="633"/>
        <v>C:\Users\jaime.benazar\Quorum Business Solutions\Ecopetrol Prometeo - Documents\Planning Space Implementation\3. Analysis &amp; Design\Design\FC22\DRR Jaime\QUIFA-CAJÚA\Cajua\[VAS_CAJUA_CF_SEC_20230125.xlsx]CF PSDP'!</v>
      </c>
      <c r="G2778" s="7" t="s">
        <v>41</v>
      </c>
      <c r="H2778" s="4"/>
      <c r="I2778" s="4"/>
      <c r="J2778" s="4"/>
    </row>
    <row r="2779" spans="1:10" x14ac:dyDescent="0.25">
      <c r="A2779" s="7" t="s">
        <v>102</v>
      </c>
      <c r="B2779" s="7">
        <f t="shared" si="634"/>
        <v>2026</v>
      </c>
      <c r="C2779" s="4" t="s">
        <v>23</v>
      </c>
      <c r="D2779" s="5" t="s">
        <v>128</v>
      </c>
      <c r="E2779" s="10" t="str">
        <f t="shared" si="632"/>
        <v>PSDP'!</v>
      </c>
      <c r="F2779" s="5" t="str">
        <f t="shared" si="633"/>
        <v>C:\Users\jaime.benazar\Quorum Business Solutions\Ecopetrol Prometeo - Documents\Planning Space Implementation\3. Analysis &amp; Design\Design\FC22\DRR Jaime\QUIFA-CAJÚA\Cajua\[VAS_CAJUA_CF_SEC_20230125.xlsx]CF PSDP'!</v>
      </c>
      <c r="G2779" s="7" t="s">
        <v>41</v>
      </c>
      <c r="H2779" s="4"/>
      <c r="I2779" s="4"/>
      <c r="J2779" s="4"/>
    </row>
    <row r="2780" spans="1:10" x14ac:dyDescent="0.25">
      <c r="A2780" s="7" t="s">
        <v>102</v>
      </c>
      <c r="B2780" s="7">
        <f t="shared" si="634"/>
        <v>2027</v>
      </c>
      <c r="C2780" s="4" t="s">
        <v>23</v>
      </c>
      <c r="D2780" s="5" t="s">
        <v>128</v>
      </c>
      <c r="E2780" s="10" t="str">
        <f t="shared" si="632"/>
        <v>PSDP'!</v>
      </c>
      <c r="F2780" s="5" t="str">
        <f t="shared" si="633"/>
        <v>C:\Users\jaime.benazar\Quorum Business Solutions\Ecopetrol Prometeo - Documents\Planning Space Implementation\3. Analysis &amp; Design\Design\FC22\DRR Jaime\QUIFA-CAJÚA\Cajua\[VAS_CAJUA_CF_SEC_20230125.xlsx]CF PSDP'!</v>
      </c>
      <c r="G2780" s="7" t="s">
        <v>41</v>
      </c>
      <c r="H2780" s="4"/>
      <c r="I2780" s="4"/>
      <c r="J2780" s="4"/>
    </row>
    <row r="2781" spans="1:10" x14ac:dyDescent="0.25">
      <c r="A2781" s="7" t="s">
        <v>102</v>
      </c>
      <c r="B2781" s="7">
        <f t="shared" si="634"/>
        <v>2028</v>
      </c>
      <c r="C2781" s="4" t="s">
        <v>23</v>
      </c>
      <c r="D2781" s="5" t="s">
        <v>128</v>
      </c>
      <c r="E2781" s="10" t="str">
        <f t="shared" si="632"/>
        <v>PSDP'!</v>
      </c>
      <c r="F2781" s="5" t="str">
        <f t="shared" si="633"/>
        <v>C:\Users\jaime.benazar\Quorum Business Solutions\Ecopetrol Prometeo - Documents\Planning Space Implementation\3. Analysis &amp; Design\Design\FC22\DRR Jaime\QUIFA-CAJÚA\Cajua\[VAS_CAJUA_CF_SEC_20230125.xlsx]CF PSDP'!</v>
      </c>
      <c r="G2781" s="7" t="s">
        <v>41</v>
      </c>
      <c r="H2781" s="4"/>
      <c r="I2781" s="4"/>
      <c r="J2781" s="4"/>
    </row>
    <row r="2782" spans="1:10" x14ac:dyDescent="0.25">
      <c r="A2782" s="7" t="s">
        <v>102</v>
      </c>
      <c r="B2782" s="7">
        <f t="shared" si="634"/>
        <v>2029</v>
      </c>
      <c r="C2782" s="4" t="s">
        <v>23</v>
      </c>
      <c r="D2782" s="5" t="s">
        <v>128</v>
      </c>
      <c r="E2782" s="10" t="str">
        <f t="shared" si="632"/>
        <v>PSDP'!</v>
      </c>
      <c r="F2782" s="5" t="str">
        <f t="shared" si="633"/>
        <v>C:\Users\jaime.benazar\Quorum Business Solutions\Ecopetrol Prometeo - Documents\Planning Space Implementation\3. Analysis &amp; Design\Design\FC22\DRR Jaime\QUIFA-CAJÚA\Cajua\[VAS_CAJUA_CF_SEC_20230125.xlsx]CF PSDP'!</v>
      </c>
      <c r="G2782" s="7" t="s">
        <v>41</v>
      </c>
      <c r="H2782" s="4"/>
      <c r="I2782" s="4"/>
      <c r="J2782" s="4"/>
    </row>
    <row r="2783" spans="1:10" x14ac:dyDescent="0.25">
      <c r="A2783" s="7" t="s">
        <v>102</v>
      </c>
      <c r="B2783" s="7">
        <f t="shared" si="634"/>
        <v>2030</v>
      </c>
      <c r="C2783" s="4" t="s">
        <v>23</v>
      </c>
      <c r="D2783" s="5" t="s">
        <v>128</v>
      </c>
      <c r="E2783" s="10" t="str">
        <f t="shared" si="632"/>
        <v>PSDP'!</v>
      </c>
      <c r="F2783" s="5" t="str">
        <f t="shared" si="633"/>
        <v>C:\Users\jaime.benazar\Quorum Business Solutions\Ecopetrol Prometeo - Documents\Planning Space Implementation\3. Analysis &amp; Design\Design\FC22\DRR Jaime\QUIFA-CAJÚA\Cajua\[VAS_CAJUA_CF_SEC_20230125.xlsx]CF PSDP'!</v>
      </c>
      <c r="G2783" s="7" t="s">
        <v>41</v>
      </c>
      <c r="H2783" s="4"/>
      <c r="I2783" s="4"/>
      <c r="J2783" s="4"/>
    </row>
    <row r="2784" spans="1:10" x14ac:dyDescent="0.25">
      <c r="A2784" s="7" t="s">
        <v>102</v>
      </c>
      <c r="B2784" s="7">
        <f t="shared" si="634"/>
        <v>2031</v>
      </c>
      <c r="C2784" s="4" t="s">
        <v>23</v>
      </c>
      <c r="D2784" s="5" t="s">
        <v>128</v>
      </c>
      <c r="E2784" s="10" t="str">
        <f t="shared" si="632"/>
        <v>PSDP'!</v>
      </c>
      <c r="F2784" s="5" t="str">
        <f t="shared" si="633"/>
        <v>C:\Users\jaime.benazar\Quorum Business Solutions\Ecopetrol Prometeo - Documents\Planning Space Implementation\3. Analysis &amp; Design\Design\FC22\DRR Jaime\QUIFA-CAJÚA\Cajua\[VAS_CAJUA_CF_SEC_20230125.xlsx]CF PSDP'!</v>
      </c>
      <c r="G2784" s="7" t="s">
        <v>41</v>
      </c>
      <c r="H2784" s="4"/>
      <c r="I2784" s="4"/>
      <c r="J2784" s="4"/>
    </row>
    <row r="2785" spans="1:10" x14ac:dyDescent="0.25">
      <c r="A2785" s="7" t="s">
        <v>102</v>
      </c>
      <c r="B2785" s="7">
        <f t="shared" si="634"/>
        <v>2032</v>
      </c>
      <c r="C2785" s="4" t="s">
        <v>23</v>
      </c>
      <c r="D2785" s="5" t="s">
        <v>128</v>
      </c>
      <c r="E2785" s="10" t="str">
        <f t="shared" si="632"/>
        <v>PSDP'!</v>
      </c>
      <c r="F2785" s="5" t="str">
        <f t="shared" si="633"/>
        <v>C:\Users\jaime.benazar\Quorum Business Solutions\Ecopetrol Prometeo - Documents\Planning Space Implementation\3. Analysis &amp; Design\Design\FC22\DRR Jaime\QUIFA-CAJÚA\Cajua\[VAS_CAJUA_CF_SEC_20230125.xlsx]CF PSDP'!</v>
      </c>
      <c r="G2785" s="7" t="s">
        <v>41</v>
      </c>
      <c r="H2785" s="4"/>
      <c r="I2785" s="4"/>
      <c r="J2785" s="4"/>
    </row>
    <row r="2786" spans="1:10" x14ac:dyDescent="0.25">
      <c r="A2786" s="7" t="s">
        <v>102</v>
      </c>
      <c r="B2786" s="7">
        <f t="shared" si="634"/>
        <v>2033</v>
      </c>
      <c r="C2786" s="4" t="s">
        <v>23</v>
      </c>
      <c r="D2786" s="5" t="s">
        <v>128</v>
      </c>
      <c r="E2786" s="10" t="str">
        <f t="shared" si="632"/>
        <v>PSDP'!</v>
      </c>
      <c r="F2786" s="5" t="str">
        <f t="shared" si="633"/>
        <v>C:\Users\jaime.benazar\Quorum Business Solutions\Ecopetrol Prometeo - Documents\Planning Space Implementation\3. Analysis &amp; Design\Design\FC22\DRR Jaime\QUIFA-CAJÚA\Cajua\[VAS_CAJUA_CF_SEC_20230125.xlsx]CF PSDP'!</v>
      </c>
      <c r="G2786" s="7" t="s">
        <v>41</v>
      </c>
      <c r="H2786" s="4"/>
      <c r="I2786" s="4"/>
      <c r="J2786" s="4"/>
    </row>
    <row r="2787" spans="1:10" x14ac:dyDescent="0.25">
      <c r="A2787" s="7" t="s">
        <v>102</v>
      </c>
      <c r="B2787" s="7">
        <f t="shared" si="634"/>
        <v>2034</v>
      </c>
      <c r="C2787" s="4" t="s">
        <v>23</v>
      </c>
      <c r="D2787" s="5" t="s">
        <v>128</v>
      </c>
      <c r="E2787" s="10" t="str">
        <f t="shared" si="632"/>
        <v>PSDP'!</v>
      </c>
      <c r="F2787" s="5" t="str">
        <f t="shared" si="633"/>
        <v>C:\Users\jaime.benazar\Quorum Business Solutions\Ecopetrol Prometeo - Documents\Planning Space Implementation\3. Analysis &amp; Design\Design\FC22\DRR Jaime\QUIFA-CAJÚA\Cajua\[VAS_CAJUA_CF_SEC_20230125.xlsx]CF PSDP'!</v>
      </c>
      <c r="G2787" s="7" t="s">
        <v>41</v>
      </c>
      <c r="H2787" s="4"/>
      <c r="I2787" s="4"/>
      <c r="J2787" s="4"/>
    </row>
    <row r="2788" spans="1:10" x14ac:dyDescent="0.25">
      <c r="A2788" s="7" t="s">
        <v>102</v>
      </c>
      <c r="B2788" s="7">
        <f t="shared" si="634"/>
        <v>2035</v>
      </c>
      <c r="C2788" s="4" t="s">
        <v>23</v>
      </c>
      <c r="D2788" s="5" t="s">
        <v>128</v>
      </c>
      <c r="E2788" s="10" t="str">
        <f t="shared" si="632"/>
        <v>PSDP'!</v>
      </c>
      <c r="F2788" s="5" t="str">
        <f t="shared" si="633"/>
        <v>C:\Users\jaime.benazar\Quorum Business Solutions\Ecopetrol Prometeo - Documents\Planning Space Implementation\3. Analysis &amp; Design\Design\FC22\DRR Jaime\QUIFA-CAJÚA\Cajua\[VAS_CAJUA_CF_SEC_20230125.xlsx]CF PSDP'!</v>
      </c>
      <c r="G2788" s="7" t="s">
        <v>41</v>
      </c>
      <c r="H2788" s="4"/>
      <c r="I2788" s="4"/>
      <c r="J2788" s="4"/>
    </row>
    <row r="2789" spans="1:10" x14ac:dyDescent="0.25">
      <c r="A2789" s="7" t="s">
        <v>102</v>
      </c>
      <c r="B2789" s="7">
        <f t="shared" si="634"/>
        <v>2036</v>
      </c>
      <c r="C2789" s="4" t="s">
        <v>23</v>
      </c>
      <c r="D2789" s="5" t="s">
        <v>128</v>
      </c>
      <c r="E2789" s="10" t="str">
        <f t="shared" si="632"/>
        <v>PSDP'!</v>
      </c>
      <c r="F2789" s="5" t="str">
        <f t="shared" si="633"/>
        <v>C:\Users\jaime.benazar\Quorum Business Solutions\Ecopetrol Prometeo - Documents\Planning Space Implementation\3. Analysis &amp; Design\Design\FC22\DRR Jaime\QUIFA-CAJÚA\Cajua\[VAS_CAJUA_CF_SEC_20230125.xlsx]CF PSDP'!</v>
      </c>
      <c r="G2789" s="7" t="s">
        <v>41</v>
      </c>
      <c r="H2789" s="4"/>
      <c r="I2789" s="4"/>
      <c r="J2789" s="4"/>
    </row>
    <row r="2790" spans="1:10" x14ac:dyDescent="0.25">
      <c r="A2790" s="7" t="s">
        <v>102</v>
      </c>
      <c r="B2790" s="7">
        <f>+B2789+1</f>
        <v>2037</v>
      </c>
      <c r="C2790" s="4" t="s">
        <v>23</v>
      </c>
      <c r="D2790" s="5" t="s">
        <v>128</v>
      </c>
      <c r="E2790" s="10" t="str">
        <f t="shared" si="632"/>
        <v>PSDP'!</v>
      </c>
      <c r="F2790" s="5" t="str">
        <f t="shared" si="633"/>
        <v>C:\Users\jaime.benazar\Quorum Business Solutions\Ecopetrol Prometeo - Documents\Planning Space Implementation\3. Analysis &amp; Design\Design\FC22\DRR Jaime\QUIFA-CAJÚA\Cajua\[VAS_CAJUA_CF_SEC_20230125.xlsx]CF PSDP'!</v>
      </c>
      <c r="G2790" s="7" t="s">
        <v>41</v>
      </c>
      <c r="H2790" s="4"/>
      <c r="I2790" s="4"/>
      <c r="J2790" s="4"/>
    </row>
    <row r="2791" spans="1:10" x14ac:dyDescent="0.25">
      <c r="A2791" s="7" t="s">
        <v>102</v>
      </c>
      <c r="B2791" s="7">
        <f t="shared" ref="B2791:B2793" si="635">+B2790+1</f>
        <v>2038</v>
      </c>
      <c r="C2791" s="4" t="s">
        <v>23</v>
      </c>
      <c r="D2791" s="5" t="s">
        <v>128</v>
      </c>
      <c r="E2791" s="10" t="str">
        <f t="shared" si="632"/>
        <v>PSDP'!</v>
      </c>
      <c r="F2791" s="5" t="str">
        <f t="shared" si="633"/>
        <v>C:\Users\jaime.benazar\Quorum Business Solutions\Ecopetrol Prometeo - Documents\Planning Space Implementation\3. Analysis &amp; Design\Design\FC22\DRR Jaime\QUIFA-CAJÚA\Cajua\[VAS_CAJUA_CF_SEC_20230125.xlsx]CF PSDP'!</v>
      </c>
      <c r="G2791" s="7" t="s">
        <v>41</v>
      </c>
      <c r="H2791" s="4"/>
      <c r="I2791" s="4"/>
      <c r="J2791" s="4"/>
    </row>
    <row r="2792" spans="1:10" x14ac:dyDescent="0.25">
      <c r="A2792" s="7" t="s">
        <v>102</v>
      </c>
      <c r="B2792" s="7">
        <f t="shared" si="635"/>
        <v>2039</v>
      </c>
      <c r="C2792" s="4" t="s">
        <v>23</v>
      </c>
      <c r="D2792" s="5" t="s">
        <v>128</v>
      </c>
      <c r="E2792" s="10" t="str">
        <f t="shared" si="632"/>
        <v>PSDP'!</v>
      </c>
      <c r="F2792" s="5" t="str">
        <f t="shared" si="633"/>
        <v>C:\Users\jaime.benazar\Quorum Business Solutions\Ecopetrol Prometeo - Documents\Planning Space Implementation\3. Analysis &amp; Design\Design\FC22\DRR Jaime\QUIFA-CAJÚA\Cajua\[VAS_CAJUA_CF_SEC_20230125.xlsx]CF PSDP'!</v>
      </c>
      <c r="G2792" s="7" t="s">
        <v>41</v>
      </c>
      <c r="H2792" s="4"/>
      <c r="I2792" s="4"/>
      <c r="J2792" s="4"/>
    </row>
    <row r="2793" spans="1:10" x14ac:dyDescent="0.25">
      <c r="A2793" s="7" t="s">
        <v>102</v>
      </c>
      <c r="B2793" s="7">
        <f t="shared" si="635"/>
        <v>2040</v>
      </c>
      <c r="C2793" s="4" t="s">
        <v>23</v>
      </c>
      <c r="D2793" s="5" t="s">
        <v>128</v>
      </c>
      <c r="E2793" s="10" t="str">
        <f t="shared" si="632"/>
        <v>PSDP'!</v>
      </c>
      <c r="F2793" s="5" t="str">
        <f t="shared" si="633"/>
        <v>C:\Users\jaime.benazar\Quorum Business Solutions\Ecopetrol Prometeo - Documents\Planning Space Implementation\3. Analysis &amp; Design\Design\FC22\DRR Jaime\QUIFA-CAJÚA\Cajua\[VAS_CAJUA_CF_SEC_20230125.xlsx]CF PSDP'!</v>
      </c>
      <c r="G2793" s="7" t="s">
        <v>41</v>
      </c>
      <c r="H2793" s="4"/>
      <c r="I2793" s="4"/>
      <c r="J2793" s="4"/>
    </row>
    <row r="2794" spans="1:10" x14ac:dyDescent="0.25">
      <c r="A2794" s="7" t="s">
        <v>102</v>
      </c>
      <c r="B2794" s="7">
        <f>+B2793+1</f>
        <v>2041</v>
      </c>
      <c r="C2794" s="4" t="s">
        <v>23</v>
      </c>
      <c r="D2794" s="5" t="s">
        <v>128</v>
      </c>
      <c r="E2794" s="10" t="str">
        <f t="shared" si="632"/>
        <v>PSDP'!</v>
      </c>
      <c r="F2794" s="5" t="str">
        <f t="shared" si="633"/>
        <v>C:\Users\jaime.benazar\Quorum Business Solutions\Ecopetrol Prometeo - Documents\Planning Space Implementation\3. Analysis &amp; Design\Design\FC22\DRR Jaime\QUIFA-CAJÚA\Cajua\[VAS_CAJUA_CF_SEC_20230125.xlsx]CF PSDP'!</v>
      </c>
      <c r="G2794" s="7" t="s">
        <v>41</v>
      </c>
      <c r="H2794" s="4"/>
      <c r="I2794" s="4"/>
      <c r="J2794" s="4"/>
    </row>
    <row r="2795" spans="1:10" x14ac:dyDescent="0.25">
      <c r="A2795" s="7" t="s">
        <v>102</v>
      </c>
      <c r="B2795" s="7">
        <f t="shared" ref="B2795:B2796" si="636">+B2794+1</f>
        <v>2042</v>
      </c>
      <c r="C2795" s="4" t="s">
        <v>23</v>
      </c>
      <c r="D2795" s="5" t="s">
        <v>128</v>
      </c>
      <c r="E2795" s="10" t="str">
        <f t="shared" si="632"/>
        <v>PSDP'!</v>
      </c>
      <c r="F2795" s="5" t="str">
        <f t="shared" si="633"/>
        <v>C:\Users\jaime.benazar\Quorum Business Solutions\Ecopetrol Prometeo - Documents\Planning Space Implementation\3. Analysis &amp; Design\Design\FC22\DRR Jaime\QUIFA-CAJÚA\Cajua\[VAS_CAJUA_CF_SEC_20230125.xlsx]CF PSDP'!</v>
      </c>
      <c r="G2795" s="7" t="s">
        <v>41</v>
      </c>
      <c r="H2795" s="4"/>
      <c r="I2795" s="4"/>
      <c r="J2795" s="4"/>
    </row>
    <row r="2796" spans="1:10" x14ac:dyDescent="0.25">
      <c r="A2796" s="7" t="s">
        <v>102</v>
      </c>
      <c r="B2796" s="7">
        <f t="shared" si="636"/>
        <v>2043</v>
      </c>
      <c r="C2796" s="4" t="s">
        <v>23</v>
      </c>
      <c r="D2796" s="5" t="s">
        <v>128</v>
      </c>
      <c r="E2796" s="10" t="str">
        <f t="shared" si="632"/>
        <v>PSDP'!</v>
      </c>
      <c r="F2796" s="5" t="str">
        <f t="shared" si="633"/>
        <v>C:\Users\jaime.benazar\Quorum Business Solutions\Ecopetrol Prometeo - Documents\Planning Space Implementation\3. Analysis &amp; Design\Design\FC22\DRR Jaime\QUIFA-CAJÚA\Cajua\[VAS_CAJUA_CF_SEC_20230125.xlsx]CF PSDP'!</v>
      </c>
      <c r="G2796" s="7" t="s">
        <v>41</v>
      </c>
      <c r="H2796" s="4"/>
      <c r="I2796" s="4"/>
      <c r="J2796" s="4"/>
    </row>
    <row r="2797" spans="1:10" x14ac:dyDescent="0.25">
      <c r="A2797" s="7" t="s">
        <v>102</v>
      </c>
      <c r="B2797" s="7">
        <f>+B2796+1</f>
        <v>2044</v>
      </c>
      <c r="C2797" s="4" t="s">
        <v>23</v>
      </c>
      <c r="D2797" s="5" t="s">
        <v>128</v>
      </c>
      <c r="E2797" s="10" t="str">
        <f t="shared" ref="E2797:E2812" si="637">_xlfn.CONCAT(A2797,"'!")</f>
        <v>PSDP'!</v>
      </c>
      <c r="F2797" s="5" t="str">
        <f t="shared" ref="F2797:F2812" si="638">_xlfn.CONCAT(D2797," ",E2797)</f>
        <v>C:\Users\jaime.benazar\Quorum Business Solutions\Ecopetrol Prometeo - Documents\Planning Space Implementation\3. Analysis &amp; Design\Design\FC22\DRR Jaime\QUIFA-CAJÚA\Cajua\[VAS_CAJUA_CF_SEC_20230125.xlsx]CF PSDP'!</v>
      </c>
      <c r="G2797" s="7" t="s">
        <v>41</v>
      </c>
      <c r="H2797" s="4"/>
      <c r="I2797" s="4"/>
      <c r="J2797" s="4"/>
    </row>
    <row r="2798" spans="1:10" x14ac:dyDescent="0.25">
      <c r="A2798" s="7" t="s">
        <v>102</v>
      </c>
      <c r="B2798" s="7">
        <f t="shared" ref="B2798:B2812" si="639">+B2797+1</f>
        <v>2045</v>
      </c>
      <c r="C2798" s="4" t="s">
        <v>23</v>
      </c>
      <c r="D2798" s="5" t="s">
        <v>128</v>
      </c>
      <c r="E2798" s="10" t="str">
        <f t="shared" si="637"/>
        <v>PSDP'!</v>
      </c>
      <c r="F2798" s="5" t="str">
        <f t="shared" si="638"/>
        <v>C:\Users\jaime.benazar\Quorum Business Solutions\Ecopetrol Prometeo - Documents\Planning Space Implementation\3. Analysis &amp; Design\Design\FC22\DRR Jaime\QUIFA-CAJÚA\Cajua\[VAS_CAJUA_CF_SEC_20230125.xlsx]CF PSDP'!</v>
      </c>
      <c r="G2798" s="7" t="s">
        <v>41</v>
      </c>
      <c r="H2798" s="4"/>
      <c r="I2798" s="4"/>
      <c r="J2798" s="4"/>
    </row>
    <row r="2799" spans="1:10" x14ac:dyDescent="0.25">
      <c r="A2799" s="7" t="s">
        <v>102</v>
      </c>
      <c r="B2799" s="7">
        <f t="shared" si="639"/>
        <v>2046</v>
      </c>
      <c r="C2799" s="4" t="s">
        <v>23</v>
      </c>
      <c r="D2799" s="5" t="s">
        <v>128</v>
      </c>
      <c r="E2799" s="10" t="str">
        <f t="shared" si="637"/>
        <v>PSDP'!</v>
      </c>
      <c r="F2799" s="5" t="str">
        <f t="shared" si="638"/>
        <v>C:\Users\jaime.benazar\Quorum Business Solutions\Ecopetrol Prometeo - Documents\Planning Space Implementation\3. Analysis &amp; Design\Design\FC22\DRR Jaime\QUIFA-CAJÚA\Cajua\[VAS_CAJUA_CF_SEC_20230125.xlsx]CF PSDP'!</v>
      </c>
      <c r="G2799" s="7" t="s">
        <v>41</v>
      </c>
      <c r="H2799" s="4"/>
      <c r="I2799" s="4"/>
      <c r="J2799" s="4"/>
    </row>
    <row r="2800" spans="1:10" x14ac:dyDescent="0.25">
      <c r="A2800" s="7" t="s">
        <v>102</v>
      </c>
      <c r="B2800" s="7">
        <f t="shared" si="639"/>
        <v>2047</v>
      </c>
      <c r="C2800" s="4" t="s">
        <v>23</v>
      </c>
      <c r="D2800" s="5" t="s">
        <v>128</v>
      </c>
      <c r="E2800" s="10" t="str">
        <f t="shared" si="637"/>
        <v>PSDP'!</v>
      </c>
      <c r="F2800" s="5" t="str">
        <f t="shared" si="638"/>
        <v>C:\Users\jaime.benazar\Quorum Business Solutions\Ecopetrol Prometeo - Documents\Planning Space Implementation\3. Analysis &amp; Design\Design\FC22\DRR Jaime\QUIFA-CAJÚA\Cajua\[VAS_CAJUA_CF_SEC_20230125.xlsx]CF PSDP'!</v>
      </c>
      <c r="G2800" s="7" t="s">
        <v>41</v>
      </c>
      <c r="H2800" s="4"/>
      <c r="I2800" s="4"/>
      <c r="J2800" s="4"/>
    </row>
    <row r="2801" spans="1:10" x14ac:dyDescent="0.25">
      <c r="A2801" s="7" t="s">
        <v>102</v>
      </c>
      <c r="B2801" s="7">
        <f t="shared" si="639"/>
        <v>2048</v>
      </c>
      <c r="C2801" s="4" t="s">
        <v>23</v>
      </c>
      <c r="D2801" s="5" t="s">
        <v>128</v>
      </c>
      <c r="E2801" s="10" t="str">
        <f t="shared" si="637"/>
        <v>PSDP'!</v>
      </c>
      <c r="F2801" s="5" t="str">
        <f t="shared" si="638"/>
        <v>C:\Users\jaime.benazar\Quorum Business Solutions\Ecopetrol Prometeo - Documents\Planning Space Implementation\3. Analysis &amp; Design\Design\FC22\DRR Jaime\QUIFA-CAJÚA\Cajua\[VAS_CAJUA_CF_SEC_20230125.xlsx]CF PSDP'!</v>
      </c>
      <c r="G2801" s="7" t="s">
        <v>41</v>
      </c>
      <c r="H2801" s="4"/>
      <c r="I2801" s="4"/>
      <c r="J2801" s="4"/>
    </row>
    <row r="2802" spans="1:10" x14ac:dyDescent="0.25">
      <c r="A2802" s="7" t="s">
        <v>102</v>
      </c>
      <c r="B2802" s="7">
        <f t="shared" si="639"/>
        <v>2049</v>
      </c>
      <c r="C2802" s="4" t="s">
        <v>23</v>
      </c>
      <c r="D2802" s="5" t="s">
        <v>128</v>
      </c>
      <c r="E2802" s="10" t="str">
        <f t="shared" si="637"/>
        <v>PSDP'!</v>
      </c>
      <c r="F2802" s="5" t="str">
        <f t="shared" si="638"/>
        <v>C:\Users\jaime.benazar\Quorum Business Solutions\Ecopetrol Prometeo - Documents\Planning Space Implementation\3. Analysis &amp; Design\Design\FC22\DRR Jaime\QUIFA-CAJÚA\Cajua\[VAS_CAJUA_CF_SEC_20230125.xlsx]CF PSDP'!</v>
      </c>
      <c r="G2802" s="7" t="s">
        <v>41</v>
      </c>
      <c r="H2802" s="4"/>
      <c r="I2802" s="4"/>
      <c r="J2802" s="4"/>
    </row>
    <row r="2803" spans="1:10" x14ac:dyDescent="0.25">
      <c r="A2803" s="7" t="s">
        <v>102</v>
      </c>
      <c r="B2803" s="7">
        <f t="shared" si="639"/>
        <v>2050</v>
      </c>
      <c r="C2803" s="4" t="s">
        <v>23</v>
      </c>
      <c r="D2803" s="5" t="s">
        <v>128</v>
      </c>
      <c r="E2803" s="10" t="str">
        <f t="shared" si="637"/>
        <v>PSDP'!</v>
      </c>
      <c r="F2803" s="5" t="str">
        <f t="shared" si="638"/>
        <v>C:\Users\jaime.benazar\Quorum Business Solutions\Ecopetrol Prometeo - Documents\Planning Space Implementation\3. Analysis &amp; Design\Design\FC22\DRR Jaime\QUIFA-CAJÚA\Cajua\[VAS_CAJUA_CF_SEC_20230125.xlsx]CF PSDP'!</v>
      </c>
      <c r="G2803" s="7" t="s">
        <v>41</v>
      </c>
      <c r="H2803" s="4"/>
      <c r="I2803" s="4"/>
      <c r="J2803" s="4"/>
    </row>
    <row r="2804" spans="1:10" x14ac:dyDescent="0.25">
      <c r="A2804" s="7" t="s">
        <v>102</v>
      </c>
      <c r="B2804" s="7">
        <f t="shared" si="639"/>
        <v>2051</v>
      </c>
      <c r="C2804" s="4" t="s">
        <v>23</v>
      </c>
      <c r="D2804" s="5" t="s">
        <v>128</v>
      </c>
      <c r="E2804" s="10" t="str">
        <f t="shared" si="637"/>
        <v>PSDP'!</v>
      </c>
      <c r="F2804" s="5" t="str">
        <f t="shared" si="638"/>
        <v>C:\Users\jaime.benazar\Quorum Business Solutions\Ecopetrol Prometeo - Documents\Planning Space Implementation\3. Analysis &amp; Design\Design\FC22\DRR Jaime\QUIFA-CAJÚA\Cajua\[VAS_CAJUA_CF_SEC_20230125.xlsx]CF PSDP'!</v>
      </c>
      <c r="G2804" s="7" t="s">
        <v>41</v>
      </c>
      <c r="H2804" s="4"/>
      <c r="I2804" s="4"/>
      <c r="J2804" s="4"/>
    </row>
    <row r="2805" spans="1:10" x14ac:dyDescent="0.25">
      <c r="A2805" s="7" t="s">
        <v>102</v>
      </c>
      <c r="B2805" s="7">
        <f t="shared" si="639"/>
        <v>2052</v>
      </c>
      <c r="C2805" s="4" t="s">
        <v>23</v>
      </c>
      <c r="D2805" s="5" t="s">
        <v>128</v>
      </c>
      <c r="E2805" s="10" t="str">
        <f t="shared" si="637"/>
        <v>PSDP'!</v>
      </c>
      <c r="F2805" s="5" t="str">
        <f t="shared" si="638"/>
        <v>C:\Users\jaime.benazar\Quorum Business Solutions\Ecopetrol Prometeo - Documents\Planning Space Implementation\3. Analysis &amp; Design\Design\FC22\DRR Jaime\QUIFA-CAJÚA\Cajua\[VAS_CAJUA_CF_SEC_20230125.xlsx]CF PSDP'!</v>
      </c>
      <c r="G2805" s="7" t="s">
        <v>41</v>
      </c>
      <c r="H2805" s="4"/>
      <c r="I2805" s="4"/>
      <c r="J2805" s="4"/>
    </row>
    <row r="2806" spans="1:10" x14ac:dyDescent="0.25">
      <c r="A2806" s="7" t="s">
        <v>102</v>
      </c>
      <c r="B2806" s="7">
        <f t="shared" si="639"/>
        <v>2053</v>
      </c>
      <c r="C2806" s="4" t="s">
        <v>23</v>
      </c>
      <c r="D2806" s="5" t="s">
        <v>128</v>
      </c>
      <c r="E2806" s="10" t="str">
        <f t="shared" si="637"/>
        <v>PSDP'!</v>
      </c>
      <c r="F2806" s="5" t="str">
        <f t="shared" si="638"/>
        <v>C:\Users\jaime.benazar\Quorum Business Solutions\Ecopetrol Prometeo - Documents\Planning Space Implementation\3. Analysis &amp; Design\Design\FC22\DRR Jaime\QUIFA-CAJÚA\Cajua\[VAS_CAJUA_CF_SEC_20230125.xlsx]CF PSDP'!</v>
      </c>
      <c r="G2806" s="7" t="s">
        <v>41</v>
      </c>
      <c r="H2806" s="4"/>
      <c r="I2806" s="4"/>
      <c r="J2806" s="4"/>
    </row>
    <row r="2807" spans="1:10" x14ac:dyDescent="0.25">
      <c r="A2807" s="7" t="s">
        <v>102</v>
      </c>
      <c r="B2807" s="7">
        <f t="shared" si="639"/>
        <v>2054</v>
      </c>
      <c r="C2807" s="4" t="s">
        <v>23</v>
      </c>
      <c r="D2807" s="5" t="s">
        <v>128</v>
      </c>
      <c r="E2807" s="10" t="str">
        <f t="shared" si="637"/>
        <v>PSDP'!</v>
      </c>
      <c r="F2807" s="5" t="str">
        <f t="shared" si="638"/>
        <v>C:\Users\jaime.benazar\Quorum Business Solutions\Ecopetrol Prometeo - Documents\Planning Space Implementation\3. Analysis &amp; Design\Design\FC22\DRR Jaime\QUIFA-CAJÚA\Cajua\[VAS_CAJUA_CF_SEC_20230125.xlsx]CF PSDP'!</v>
      </c>
      <c r="G2807" s="7" t="s">
        <v>41</v>
      </c>
      <c r="H2807" s="4"/>
      <c r="I2807" s="4"/>
      <c r="J2807" s="4"/>
    </row>
    <row r="2808" spans="1:10" x14ac:dyDescent="0.25">
      <c r="A2808" s="7" t="s">
        <v>102</v>
      </c>
      <c r="B2808" s="7">
        <f t="shared" si="639"/>
        <v>2055</v>
      </c>
      <c r="C2808" s="4" t="s">
        <v>23</v>
      </c>
      <c r="D2808" s="5" t="s">
        <v>128</v>
      </c>
      <c r="E2808" s="10" t="str">
        <f t="shared" si="637"/>
        <v>PSDP'!</v>
      </c>
      <c r="F2808" s="5" t="str">
        <f t="shared" si="638"/>
        <v>C:\Users\jaime.benazar\Quorum Business Solutions\Ecopetrol Prometeo - Documents\Planning Space Implementation\3. Analysis &amp; Design\Design\FC22\DRR Jaime\QUIFA-CAJÚA\Cajua\[VAS_CAJUA_CF_SEC_20230125.xlsx]CF PSDP'!</v>
      </c>
      <c r="G2808" s="7" t="s">
        <v>41</v>
      </c>
      <c r="H2808" s="4"/>
      <c r="I2808" s="4"/>
      <c r="J2808" s="4"/>
    </row>
    <row r="2809" spans="1:10" x14ac:dyDescent="0.25">
      <c r="A2809" s="7" t="s">
        <v>102</v>
      </c>
      <c r="B2809" s="7">
        <f t="shared" si="639"/>
        <v>2056</v>
      </c>
      <c r="C2809" s="4" t="s">
        <v>23</v>
      </c>
      <c r="D2809" s="5" t="s">
        <v>128</v>
      </c>
      <c r="E2809" s="10" t="str">
        <f t="shared" si="637"/>
        <v>PSDP'!</v>
      </c>
      <c r="F2809" s="5" t="str">
        <f t="shared" si="638"/>
        <v>C:\Users\jaime.benazar\Quorum Business Solutions\Ecopetrol Prometeo - Documents\Planning Space Implementation\3. Analysis &amp; Design\Design\FC22\DRR Jaime\QUIFA-CAJÚA\Cajua\[VAS_CAJUA_CF_SEC_20230125.xlsx]CF PSDP'!</v>
      </c>
      <c r="G2809" s="7" t="s">
        <v>41</v>
      </c>
      <c r="H2809" s="4"/>
      <c r="I2809" s="4"/>
      <c r="J2809" s="4"/>
    </row>
    <row r="2810" spans="1:10" x14ac:dyDescent="0.25">
      <c r="A2810" s="7" t="s">
        <v>102</v>
      </c>
      <c r="B2810" s="7">
        <f t="shared" si="639"/>
        <v>2057</v>
      </c>
      <c r="C2810" s="4" t="s">
        <v>23</v>
      </c>
      <c r="D2810" s="5" t="s">
        <v>128</v>
      </c>
      <c r="E2810" s="10" t="str">
        <f t="shared" si="637"/>
        <v>PSDP'!</v>
      </c>
      <c r="F2810" s="5" t="str">
        <f t="shared" si="638"/>
        <v>C:\Users\jaime.benazar\Quorum Business Solutions\Ecopetrol Prometeo - Documents\Planning Space Implementation\3. Analysis &amp; Design\Design\FC22\DRR Jaime\QUIFA-CAJÚA\Cajua\[VAS_CAJUA_CF_SEC_20230125.xlsx]CF PSDP'!</v>
      </c>
      <c r="G2810" s="7" t="s">
        <v>41</v>
      </c>
      <c r="H2810" s="4"/>
      <c r="I2810" s="4"/>
      <c r="J2810" s="4"/>
    </row>
    <row r="2811" spans="1:10" x14ac:dyDescent="0.25">
      <c r="A2811" s="7" t="s">
        <v>102</v>
      </c>
      <c r="B2811" s="7">
        <f t="shared" si="639"/>
        <v>2058</v>
      </c>
      <c r="C2811" s="4" t="s">
        <v>23</v>
      </c>
      <c r="D2811" s="5" t="s">
        <v>128</v>
      </c>
      <c r="E2811" s="10" t="str">
        <f t="shared" si="637"/>
        <v>PSDP'!</v>
      </c>
      <c r="F2811" s="5" t="str">
        <f t="shared" si="638"/>
        <v>C:\Users\jaime.benazar\Quorum Business Solutions\Ecopetrol Prometeo - Documents\Planning Space Implementation\3. Analysis &amp; Design\Design\FC22\DRR Jaime\QUIFA-CAJÚA\Cajua\[VAS_CAJUA_CF_SEC_20230125.xlsx]CF PSDP'!</v>
      </c>
      <c r="G2811" s="7" t="s">
        <v>41</v>
      </c>
      <c r="H2811" s="4"/>
      <c r="I2811" s="4"/>
      <c r="J2811" s="4"/>
    </row>
    <row r="2812" spans="1:10" x14ac:dyDescent="0.25">
      <c r="A2812" s="7" t="s">
        <v>102</v>
      </c>
      <c r="B2812" s="7">
        <f t="shared" si="639"/>
        <v>2059</v>
      </c>
      <c r="C2812" s="4" t="s">
        <v>23</v>
      </c>
      <c r="D2812" s="5" t="s">
        <v>128</v>
      </c>
      <c r="E2812" s="10" t="str">
        <f t="shared" si="637"/>
        <v>PSDP'!</v>
      </c>
      <c r="F2812" s="5" t="str">
        <f t="shared" si="638"/>
        <v>C:\Users\jaime.benazar\Quorum Business Solutions\Ecopetrol Prometeo - Documents\Planning Space Implementation\3. Analysis &amp; Design\Design\FC22\DRR Jaime\QUIFA-CAJÚA\Cajua\[VAS_CAJUA_CF_SEC_20230125.xlsx]CF PSDP'!</v>
      </c>
      <c r="G2812" s="7" t="s">
        <v>41</v>
      </c>
      <c r="H2812" s="4"/>
      <c r="I2812" s="4"/>
      <c r="J2812" s="4"/>
    </row>
    <row r="2813" spans="1:10" x14ac:dyDescent="0.25">
      <c r="A2813" s="7" t="s">
        <v>28</v>
      </c>
      <c r="B2813" s="7"/>
      <c r="C2813" s="4" t="s">
        <v>23</v>
      </c>
      <c r="D2813" s="5"/>
      <c r="E2813" s="10"/>
      <c r="F2813" s="2"/>
      <c r="G2813" s="7"/>
      <c r="H2813" s="4"/>
      <c r="I2813" s="4"/>
      <c r="J2813" s="4"/>
    </row>
    <row r="2814" spans="1:10" x14ac:dyDescent="0.25">
      <c r="A2814" s="42" t="s">
        <v>103</v>
      </c>
      <c r="B2814" s="42">
        <v>2023</v>
      </c>
      <c r="C2814" s="43" t="s">
        <v>23</v>
      </c>
      <c r="D2814" s="5" t="s">
        <v>128</v>
      </c>
      <c r="E2814" s="10" t="str">
        <f t="shared" ref="E2814:E2834" si="640">_xlfn.CONCAT(A2814,"'!")</f>
        <v>PSNP'!</v>
      </c>
      <c r="F2814" s="5" t="str">
        <f t="shared" ref="F2814:F2834" si="641">_xlfn.CONCAT(D2814," ",E2814)</f>
        <v>C:\Users\jaime.benazar\Quorum Business Solutions\Ecopetrol Prometeo - Documents\Planning Space Implementation\3. Analysis &amp; Design\Design\FC22\DRR Jaime\QUIFA-CAJÚA\Cajua\[VAS_CAJUA_CF_SEC_20230125.xlsx]CF PSNP'!</v>
      </c>
      <c r="G2814" s="7" t="s">
        <v>41</v>
      </c>
      <c r="H2814" s="4"/>
      <c r="I2814" s="4"/>
      <c r="J2814" s="4"/>
    </row>
    <row r="2815" spans="1:10" x14ac:dyDescent="0.25">
      <c r="A2815" s="7" t="s">
        <v>103</v>
      </c>
      <c r="B2815" s="7">
        <f>+B2814+1</f>
        <v>2024</v>
      </c>
      <c r="C2815" s="4" t="s">
        <v>23</v>
      </c>
      <c r="D2815" s="5" t="s">
        <v>128</v>
      </c>
      <c r="E2815" s="10" t="str">
        <f t="shared" si="640"/>
        <v>PSNP'!</v>
      </c>
      <c r="F2815" s="5" t="str">
        <f t="shared" si="641"/>
        <v>C:\Users\jaime.benazar\Quorum Business Solutions\Ecopetrol Prometeo - Documents\Planning Space Implementation\3. Analysis &amp; Design\Design\FC22\DRR Jaime\QUIFA-CAJÚA\Cajua\[VAS_CAJUA_CF_SEC_20230125.xlsx]CF PSNP'!</v>
      </c>
      <c r="G2815" s="7" t="s">
        <v>41</v>
      </c>
      <c r="H2815" s="4"/>
      <c r="I2815" s="4"/>
      <c r="J2815" s="4"/>
    </row>
    <row r="2816" spans="1:10" x14ac:dyDescent="0.25">
      <c r="A2816" s="7" t="s">
        <v>103</v>
      </c>
      <c r="B2816" s="7">
        <f t="shared" ref="B2816:B2827" si="642">+B2815+1</f>
        <v>2025</v>
      </c>
      <c r="C2816" s="4" t="s">
        <v>23</v>
      </c>
      <c r="D2816" s="5" t="s">
        <v>128</v>
      </c>
      <c r="E2816" s="10" t="str">
        <f t="shared" si="640"/>
        <v>PSNP'!</v>
      </c>
      <c r="F2816" s="5" t="str">
        <f t="shared" si="641"/>
        <v>C:\Users\jaime.benazar\Quorum Business Solutions\Ecopetrol Prometeo - Documents\Planning Space Implementation\3. Analysis &amp; Design\Design\FC22\DRR Jaime\QUIFA-CAJÚA\Cajua\[VAS_CAJUA_CF_SEC_20230125.xlsx]CF PSNP'!</v>
      </c>
      <c r="G2816" s="7" t="s">
        <v>41</v>
      </c>
      <c r="H2816" s="4"/>
      <c r="I2816" s="4"/>
      <c r="J2816" s="4"/>
    </row>
    <row r="2817" spans="1:10" x14ac:dyDescent="0.25">
      <c r="A2817" s="7" t="s">
        <v>103</v>
      </c>
      <c r="B2817" s="7">
        <f t="shared" si="642"/>
        <v>2026</v>
      </c>
      <c r="C2817" s="4" t="s">
        <v>23</v>
      </c>
      <c r="D2817" s="5" t="s">
        <v>128</v>
      </c>
      <c r="E2817" s="10" t="str">
        <f t="shared" si="640"/>
        <v>PSNP'!</v>
      </c>
      <c r="F2817" s="5" t="str">
        <f t="shared" si="641"/>
        <v>C:\Users\jaime.benazar\Quorum Business Solutions\Ecopetrol Prometeo - Documents\Planning Space Implementation\3. Analysis &amp; Design\Design\FC22\DRR Jaime\QUIFA-CAJÚA\Cajua\[VAS_CAJUA_CF_SEC_20230125.xlsx]CF PSNP'!</v>
      </c>
      <c r="G2817" s="7" t="s">
        <v>41</v>
      </c>
      <c r="H2817" s="4"/>
      <c r="I2817" s="4"/>
      <c r="J2817" s="4"/>
    </row>
    <row r="2818" spans="1:10" x14ac:dyDescent="0.25">
      <c r="A2818" s="7" t="s">
        <v>103</v>
      </c>
      <c r="B2818" s="7">
        <f t="shared" si="642"/>
        <v>2027</v>
      </c>
      <c r="C2818" s="4" t="s">
        <v>23</v>
      </c>
      <c r="D2818" s="5" t="s">
        <v>128</v>
      </c>
      <c r="E2818" s="10" t="str">
        <f t="shared" si="640"/>
        <v>PSNP'!</v>
      </c>
      <c r="F2818" s="5" t="str">
        <f t="shared" si="641"/>
        <v>C:\Users\jaime.benazar\Quorum Business Solutions\Ecopetrol Prometeo - Documents\Planning Space Implementation\3. Analysis &amp; Design\Design\FC22\DRR Jaime\QUIFA-CAJÚA\Cajua\[VAS_CAJUA_CF_SEC_20230125.xlsx]CF PSNP'!</v>
      </c>
      <c r="G2818" s="7" t="s">
        <v>41</v>
      </c>
      <c r="H2818" s="4"/>
      <c r="I2818" s="4"/>
      <c r="J2818" s="4"/>
    </row>
    <row r="2819" spans="1:10" x14ac:dyDescent="0.25">
      <c r="A2819" s="7" t="s">
        <v>103</v>
      </c>
      <c r="B2819" s="7">
        <f t="shared" si="642"/>
        <v>2028</v>
      </c>
      <c r="C2819" s="4" t="s">
        <v>23</v>
      </c>
      <c r="D2819" s="5" t="s">
        <v>128</v>
      </c>
      <c r="E2819" s="10" t="str">
        <f t="shared" si="640"/>
        <v>PSNP'!</v>
      </c>
      <c r="F2819" s="5" t="str">
        <f t="shared" si="641"/>
        <v>C:\Users\jaime.benazar\Quorum Business Solutions\Ecopetrol Prometeo - Documents\Planning Space Implementation\3. Analysis &amp; Design\Design\FC22\DRR Jaime\QUIFA-CAJÚA\Cajua\[VAS_CAJUA_CF_SEC_20230125.xlsx]CF PSNP'!</v>
      </c>
      <c r="G2819" s="7" t="s">
        <v>41</v>
      </c>
      <c r="H2819" s="4"/>
      <c r="I2819" s="4"/>
      <c r="J2819" s="4"/>
    </row>
    <row r="2820" spans="1:10" x14ac:dyDescent="0.25">
      <c r="A2820" s="7" t="s">
        <v>103</v>
      </c>
      <c r="B2820" s="7">
        <f t="shared" si="642"/>
        <v>2029</v>
      </c>
      <c r="C2820" s="4" t="s">
        <v>23</v>
      </c>
      <c r="D2820" s="5" t="s">
        <v>128</v>
      </c>
      <c r="E2820" s="10" t="str">
        <f t="shared" si="640"/>
        <v>PSNP'!</v>
      </c>
      <c r="F2820" s="5" t="str">
        <f t="shared" si="641"/>
        <v>C:\Users\jaime.benazar\Quorum Business Solutions\Ecopetrol Prometeo - Documents\Planning Space Implementation\3. Analysis &amp; Design\Design\FC22\DRR Jaime\QUIFA-CAJÚA\Cajua\[VAS_CAJUA_CF_SEC_20230125.xlsx]CF PSNP'!</v>
      </c>
      <c r="G2820" s="7" t="s">
        <v>41</v>
      </c>
      <c r="H2820" s="4"/>
      <c r="I2820" s="4"/>
      <c r="J2820" s="4"/>
    </row>
    <row r="2821" spans="1:10" x14ac:dyDescent="0.25">
      <c r="A2821" s="7" t="s">
        <v>103</v>
      </c>
      <c r="B2821" s="7">
        <f t="shared" si="642"/>
        <v>2030</v>
      </c>
      <c r="C2821" s="4" t="s">
        <v>23</v>
      </c>
      <c r="D2821" s="5" t="s">
        <v>128</v>
      </c>
      <c r="E2821" s="10" t="str">
        <f t="shared" si="640"/>
        <v>PSNP'!</v>
      </c>
      <c r="F2821" s="5" t="str">
        <f t="shared" si="641"/>
        <v>C:\Users\jaime.benazar\Quorum Business Solutions\Ecopetrol Prometeo - Documents\Planning Space Implementation\3. Analysis &amp; Design\Design\FC22\DRR Jaime\QUIFA-CAJÚA\Cajua\[VAS_CAJUA_CF_SEC_20230125.xlsx]CF PSNP'!</v>
      </c>
      <c r="G2821" s="7" t="s">
        <v>41</v>
      </c>
      <c r="H2821" s="4"/>
      <c r="I2821" s="4"/>
      <c r="J2821" s="4"/>
    </row>
    <row r="2822" spans="1:10" x14ac:dyDescent="0.25">
      <c r="A2822" s="7" t="s">
        <v>103</v>
      </c>
      <c r="B2822" s="7">
        <f t="shared" si="642"/>
        <v>2031</v>
      </c>
      <c r="C2822" s="4" t="s">
        <v>23</v>
      </c>
      <c r="D2822" s="5" t="s">
        <v>128</v>
      </c>
      <c r="E2822" s="10" t="str">
        <f t="shared" si="640"/>
        <v>PSNP'!</v>
      </c>
      <c r="F2822" s="5" t="str">
        <f t="shared" si="641"/>
        <v>C:\Users\jaime.benazar\Quorum Business Solutions\Ecopetrol Prometeo - Documents\Planning Space Implementation\3. Analysis &amp; Design\Design\FC22\DRR Jaime\QUIFA-CAJÚA\Cajua\[VAS_CAJUA_CF_SEC_20230125.xlsx]CF PSNP'!</v>
      </c>
      <c r="G2822" s="7" t="s">
        <v>41</v>
      </c>
      <c r="H2822" s="4"/>
      <c r="I2822" s="4"/>
      <c r="J2822" s="4"/>
    </row>
    <row r="2823" spans="1:10" x14ac:dyDescent="0.25">
      <c r="A2823" s="7" t="s">
        <v>103</v>
      </c>
      <c r="B2823" s="7">
        <f t="shared" si="642"/>
        <v>2032</v>
      </c>
      <c r="C2823" s="4" t="s">
        <v>23</v>
      </c>
      <c r="D2823" s="5" t="s">
        <v>128</v>
      </c>
      <c r="E2823" s="10" t="str">
        <f t="shared" si="640"/>
        <v>PSNP'!</v>
      </c>
      <c r="F2823" s="5" t="str">
        <f t="shared" si="641"/>
        <v>C:\Users\jaime.benazar\Quorum Business Solutions\Ecopetrol Prometeo - Documents\Planning Space Implementation\3. Analysis &amp; Design\Design\FC22\DRR Jaime\QUIFA-CAJÚA\Cajua\[VAS_CAJUA_CF_SEC_20230125.xlsx]CF PSNP'!</v>
      </c>
      <c r="G2823" s="7" t="s">
        <v>41</v>
      </c>
      <c r="H2823" s="4"/>
      <c r="I2823" s="4"/>
      <c r="J2823" s="4"/>
    </row>
    <row r="2824" spans="1:10" x14ac:dyDescent="0.25">
      <c r="A2824" s="7" t="s">
        <v>103</v>
      </c>
      <c r="B2824" s="7">
        <f t="shared" si="642"/>
        <v>2033</v>
      </c>
      <c r="C2824" s="4" t="s">
        <v>23</v>
      </c>
      <c r="D2824" s="5" t="s">
        <v>128</v>
      </c>
      <c r="E2824" s="10" t="str">
        <f t="shared" si="640"/>
        <v>PSNP'!</v>
      </c>
      <c r="F2824" s="5" t="str">
        <f t="shared" si="641"/>
        <v>C:\Users\jaime.benazar\Quorum Business Solutions\Ecopetrol Prometeo - Documents\Planning Space Implementation\3. Analysis &amp; Design\Design\FC22\DRR Jaime\QUIFA-CAJÚA\Cajua\[VAS_CAJUA_CF_SEC_20230125.xlsx]CF PSNP'!</v>
      </c>
      <c r="G2824" s="7" t="s">
        <v>41</v>
      </c>
      <c r="H2824" s="4"/>
      <c r="I2824" s="4"/>
      <c r="J2824" s="4"/>
    </row>
    <row r="2825" spans="1:10" x14ac:dyDescent="0.25">
      <c r="A2825" s="7" t="s">
        <v>103</v>
      </c>
      <c r="B2825" s="7">
        <f t="shared" si="642"/>
        <v>2034</v>
      </c>
      <c r="C2825" s="4" t="s">
        <v>23</v>
      </c>
      <c r="D2825" s="5" t="s">
        <v>128</v>
      </c>
      <c r="E2825" s="10" t="str">
        <f t="shared" si="640"/>
        <v>PSNP'!</v>
      </c>
      <c r="F2825" s="5" t="str">
        <f t="shared" si="641"/>
        <v>C:\Users\jaime.benazar\Quorum Business Solutions\Ecopetrol Prometeo - Documents\Planning Space Implementation\3. Analysis &amp; Design\Design\FC22\DRR Jaime\QUIFA-CAJÚA\Cajua\[VAS_CAJUA_CF_SEC_20230125.xlsx]CF PSNP'!</v>
      </c>
      <c r="G2825" s="7" t="s">
        <v>41</v>
      </c>
      <c r="H2825" s="4"/>
      <c r="I2825" s="4"/>
      <c r="J2825" s="4"/>
    </row>
    <row r="2826" spans="1:10" x14ac:dyDescent="0.25">
      <c r="A2826" s="7" t="s">
        <v>103</v>
      </c>
      <c r="B2826" s="7">
        <f t="shared" si="642"/>
        <v>2035</v>
      </c>
      <c r="C2826" s="4" t="s">
        <v>23</v>
      </c>
      <c r="D2826" s="5" t="s">
        <v>128</v>
      </c>
      <c r="E2826" s="10" t="str">
        <f t="shared" si="640"/>
        <v>PSNP'!</v>
      </c>
      <c r="F2826" s="5" t="str">
        <f t="shared" si="641"/>
        <v>C:\Users\jaime.benazar\Quorum Business Solutions\Ecopetrol Prometeo - Documents\Planning Space Implementation\3. Analysis &amp; Design\Design\FC22\DRR Jaime\QUIFA-CAJÚA\Cajua\[VAS_CAJUA_CF_SEC_20230125.xlsx]CF PSNP'!</v>
      </c>
      <c r="G2826" s="7" t="s">
        <v>41</v>
      </c>
      <c r="H2826" s="4"/>
      <c r="I2826" s="4"/>
      <c r="J2826" s="4"/>
    </row>
    <row r="2827" spans="1:10" x14ac:dyDescent="0.25">
      <c r="A2827" s="7" t="s">
        <v>103</v>
      </c>
      <c r="B2827" s="7">
        <f t="shared" si="642"/>
        <v>2036</v>
      </c>
      <c r="C2827" s="4" t="s">
        <v>23</v>
      </c>
      <c r="D2827" s="5" t="s">
        <v>128</v>
      </c>
      <c r="E2827" s="10" t="str">
        <f t="shared" si="640"/>
        <v>PSNP'!</v>
      </c>
      <c r="F2827" s="5" t="str">
        <f t="shared" si="641"/>
        <v>C:\Users\jaime.benazar\Quorum Business Solutions\Ecopetrol Prometeo - Documents\Planning Space Implementation\3. Analysis &amp; Design\Design\FC22\DRR Jaime\QUIFA-CAJÚA\Cajua\[VAS_CAJUA_CF_SEC_20230125.xlsx]CF PSNP'!</v>
      </c>
      <c r="G2827" s="7" t="s">
        <v>41</v>
      </c>
      <c r="H2827" s="4"/>
      <c r="I2827" s="4"/>
      <c r="J2827" s="4"/>
    </row>
    <row r="2828" spans="1:10" x14ac:dyDescent="0.25">
      <c r="A2828" s="7" t="s">
        <v>103</v>
      </c>
      <c r="B2828" s="7">
        <f>+B2827+1</f>
        <v>2037</v>
      </c>
      <c r="C2828" s="4" t="s">
        <v>23</v>
      </c>
      <c r="D2828" s="5" t="s">
        <v>128</v>
      </c>
      <c r="E2828" s="10" t="str">
        <f t="shared" si="640"/>
        <v>PSNP'!</v>
      </c>
      <c r="F2828" s="5" t="str">
        <f t="shared" si="641"/>
        <v>C:\Users\jaime.benazar\Quorum Business Solutions\Ecopetrol Prometeo - Documents\Planning Space Implementation\3. Analysis &amp; Design\Design\FC22\DRR Jaime\QUIFA-CAJÚA\Cajua\[VAS_CAJUA_CF_SEC_20230125.xlsx]CF PSNP'!</v>
      </c>
      <c r="G2828" s="7" t="s">
        <v>41</v>
      </c>
      <c r="H2828" s="4"/>
      <c r="I2828" s="4"/>
      <c r="J2828" s="4"/>
    </row>
    <row r="2829" spans="1:10" x14ac:dyDescent="0.25">
      <c r="A2829" s="7" t="s">
        <v>103</v>
      </c>
      <c r="B2829" s="7">
        <f t="shared" ref="B2829:B2831" si="643">+B2828+1</f>
        <v>2038</v>
      </c>
      <c r="C2829" s="4" t="s">
        <v>23</v>
      </c>
      <c r="D2829" s="5" t="s">
        <v>128</v>
      </c>
      <c r="E2829" s="10" t="str">
        <f t="shared" si="640"/>
        <v>PSNP'!</v>
      </c>
      <c r="F2829" s="5" t="str">
        <f t="shared" si="641"/>
        <v>C:\Users\jaime.benazar\Quorum Business Solutions\Ecopetrol Prometeo - Documents\Planning Space Implementation\3. Analysis &amp; Design\Design\FC22\DRR Jaime\QUIFA-CAJÚA\Cajua\[VAS_CAJUA_CF_SEC_20230125.xlsx]CF PSNP'!</v>
      </c>
      <c r="G2829" s="7" t="s">
        <v>41</v>
      </c>
      <c r="H2829" s="4"/>
      <c r="I2829" s="4"/>
      <c r="J2829" s="4"/>
    </row>
    <row r="2830" spans="1:10" x14ac:dyDescent="0.25">
      <c r="A2830" s="7" t="s">
        <v>103</v>
      </c>
      <c r="B2830" s="7">
        <f t="shared" si="643"/>
        <v>2039</v>
      </c>
      <c r="C2830" s="4" t="s">
        <v>23</v>
      </c>
      <c r="D2830" s="5" t="s">
        <v>128</v>
      </c>
      <c r="E2830" s="10" t="str">
        <f t="shared" si="640"/>
        <v>PSNP'!</v>
      </c>
      <c r="F2830" s="5" t="str">
        <f t="shared" si="641"/>
        <v>C:\Users\jaime.benazar\Quorum Business Solutions\Ecopetrol Prometeo - Documents\Planning Space Implementation\3. Analysis &amp; Design\Design\FC22\DRR Jaime\QUIFA-CAJÚA\Cajua\[VAS_CAJUA_CF_SEC_20230125.xlsx]CF PSNP'!</v>
      </c>
      <c r="G2830" s="7" t="s">
        <v>41</v>
      </c>
      <c r="H2830" s="4"/>
      <c r="I2830" s="4"/>
      <c r="J2830" s="4"/>
    </row>
    <row r="2831" spans="1:10" x14ac:dyDescent="0.25">
      <c r="A2831" s="7" t="s">
        <v>103</v>
      </c>
      <c r="B2831" s="7">
        <f t="shared" si="643"/>
        <v>2040</v>
      </c>
      <c r="C2831" s="4" t="s">
        <v>23</v>
      </c>
      <c r="D2831" s="5" t="s">
        <v>128</v>
      </c>
      <c r="E2831" s="10" t="str">
        <f t="shared" si="640"/>
        <v>PSNP'!</v>
      </c>
      <c r="F2831" s="5" t="str">
        <f t="shared" si="641"/>
        <v>C:\Users\jaime.benazar\Quorum Business Solutions\Ecopetrol Prometeo - Documents\Planning Space Implementation\3. Analysis &amp; Design\Design\FC22\DRR Jaime\QUIFA-CAJÚA\Cajua\[VAS_CAJUA_CF_SEC_20230125.xlsx]CF PSNP'!</v>
      </c>
      <c r="G2831" s="7" t="s">
        <v>41</v>
      </c>
      <c r="H2831" s="4"/>
      <c r="I2831" s="4"/>
      <c r="J2831" s="4"/>
    </row>
    <row r="2832" spans="1:10" x14ac:dyDescent="0.25">
      <c r="A2832" s="7" t="s">
        <v>103</v>
      </c>
      <c r="B2832" s="7">
        <f>+B2831+1</f>
        <v>2041</v>
      </c>
      <c r="C2832" s="4" t="s">
        <v>23</v>
      </c>
      <c r="D2832" s="5" t="s">
        <v>128</v>
      </c>
      <c r="E2832" s="10" t="str">
        <f t="shared" si="640"/>
        <v>PSNP'!</v>
      </c>
      <c r="F2832" s="5" t="str">
        <f t="shared" si="641"/>
        <v>C:\Users\jaime.benazar\Quorum Business Solutions\Ecopetrol Prometeo - Documents\Planning Space Implementation\3. Analysis &amp; Design\Design\FC22\DRR Jaime\QUIFA-CAJÚA\Cajua\[VAS_CAJUA_CF_SEC_20230125.xlsx]CF PSNP'!</v>
      </c>
      <c r="G2832" s="7" t="s">
        <v>41</v>
      </c>
      <c r="H2832" s="4"/>
      <c r="I2832" s="4"/>
      <c r="J2832" s="4"/>
    </row>
    <row r="2833" spans="1:10" x14ac:dyDescent="0.25">
      <c r="A2833" s="7" t="s">
        <v>103</v>
      </c>
      <c r="B2833" s="7">
        <f t="shared" ref="B2833:B2834" si="644">+B2832+1</f>
        <v>2042</v>
      </c>
      <c r="C2833" s="4" t="s">
        <v>23</v>
      </c>
      <c r="D2833" s="5" t="s">
        <v>128</v>
      </c>
      <c r="E2833" s="10" t="str">
        <f t="shared" si="640"/>
        <v>PSNP'!</v>
      </c>
      <c r="F2833" s="5" t="str">
        <f t="shared" si="641"/>
        <v>C:\Users\jaime.benazar\Quorum Business Solutions\Ecopetrol Prometeo - Documents\Planning Space Implementation\3. Analysis &amp; Design\Design\FC22\DRR Jaime\QUIFA-CAJÚA\Cajua\[VAS_CAJUA_CF_SEC_20230125.xlsx]CF PSNP'!</v>
      </c>
      <c r="G2833" s="7" t="s">
        <v>41</v>
      </c>
      <c r="H2833" s="4"/>
      <c r="I2833" s="4"/>
      <c r="J2833" s="4"/>
    </row>
    <row r="2834" spans="1:10" x14ac:dyDescent="0.25">
      <c r="A2834" s="7" t="s">
        <v>103</v>
      </c>
      <c r="B2834" s="7">
        <f t="shared" si="644"/>
        <v>2043</v>
      </c>
      <c r="C2834" s="4" t="s">
        <v>23</v>
      </c>
      <c r="D2834" s="5" t="s">
        <v>128</v>
      </c>
      <c r="E2834" s="10" t="str">
        <f t="shared" si="640"/>
        <v>PSNP'!</v>
      </c>
      <c r="F2834" s="5" t="str">
        <f t="shared" si="641"/>
        <v>C:\Users\jaime.benazar\Quorum Business Solutions\Ecopetrol Prometeo - Documents\Planning Space Implementation\3. Analysis &amp; Design\Design\FC22\DRR Jaime\QUIFA-CAJÚA\Cajua\[VAS_CAJUA_CF_SEC_20230125.xlsx]CF PSNP'!</v>
      </c>
      <c r="G2834" s="7" t="s">
        <v>41</v>
      </c>
      <c r="H2834" s="4"/>
      <c r="I2834" s="4"/>
      <c r="J2834" s="4"/>
    </row>
    <row r="2835" spans="1:10" x14ac:dyDescent="0.25">
      <c r="A2835" s="7" t="s">
        <v>103</v>
      </c>
      <c r="B2835" s="7">
        <f>+B2834+1</f>
        <v>2044</v>
      </c>
      <c r="C2835" s="4" t="s">
        <v>23</v>
      </c>
      <c r="D2835" s="5" t="s">
        <v>128</v>
      </c>
      <c r="E2835" s="10" t="str">
        <f t="shared" ref="E2835:E2850" si="645">_xlfn.CONCAT(A2835,"'!")</f>
        <v>PSNP'!</v>
      </c>
      <c r="F2835" s="5" t="str">
        <f t="shared" ref="F2835:F2850" si="646">_xlfn.CONCAT(D2835," ",E2835)</f>
        <v>C:\Users\jaime.benazar\Quorum Business Solutions\Ecopetrol Prometeo - Documents\Planning Space Implementation\3. Analysis &amp; Design\Design\FC22\DRR Jaime\QUIFA-CAJÚA\Cajua\[VAS_CAJUA_CF_SEC_20230125.xlsx]CF PSNP'!</v>
      </c>
      <c r="G2835" s="7" t="s">
        <v>41</v>
      </c>
      <c r="H2835" s="4"/>
      <c r="I2835" s="4"/>
      <c r="J2835" s="4"/>
    </row>
    <row r="2836" spans="1:10" x14ac:dyDescent="0.25">
      <c r="A2836" s="7" t="s">
        <v>103</v>
      </c>
      <c r="B2836" s="7">
        <f t="shared" ref="B2836:B2850" si="647">+B2835+1</f>
        <v>2045</v>
      </c>
      <c r="C2836" s="4" t="s">
        <v>23</v>
      </c>
      <c r="D2836" s="5" t="s">
        <v>128</v>
      </c>
      <c r="E2836" s="10" t="str">
        <f t="shared" si="645"/>
        <v>PSNP'!</v>
      </c>
      <c r="F2836" s="5" t="str">
        <f t="shared" si="646"/>
        <v>C:\Users\jaime.benazar\Quorum Business Solutions\Ecopetrol Prometeo - Documents\Planning Space Implementation\3. Analysis &amp; Design\Design\FC22\DRR Jaime\QUIFA-CAJÚA\Cajua\[VAS_CAJUA_CF_SEC_20230125.xlsx]CF PSNP'!</v>
      </c>
      <c r="G2836" s="7" t="s">
        <v>41</v>
      </c>
      <c r="H2836" s="4"/>
      <c r="I2836" s="4"/>
      <c r="J2836" s="4"/>
    </row>
    <row r="2837" spans="1:10" x14ac:dyDescent="0.25">
      <c r="A2837" s="7" t="s">
        <v>103</v>
      </c>
      <c r="B2837" s="7">
        <f t="shared" si="647"/>
        <v>2046</v>
      </c>
      <c r="C2837" s="4" t="s">
        <v>23</v>
      </c>
      <c r="D2837" s="5" t="s">
        <v>128</v>
      </c>
      <c r="E2837" s="10" t="str">
        <f t="shared" si="645"/>
        <v>PSNP'!</v>
      </c>
      <c r="F2837" s="5" t="str">
        <f t="shared" si="646"/>
        <v>C:\Users\jaime.benazar\Quorum Business Solutions\Ecopetrol Prometeo - Documents\Planning Space Implementation\3. Analysis &amp; Design\Design\FC22\DRR Jaime\QUIFA-CAJÚA\Cajua\[VAS_CAJUA_CF_SEC_20230125.xlsx]CF PSNP'!</v>
      </c>
      <c r="G2837" s="7" t="s">
        <v>41</v>
      </c>
      <c r="H2837" s="4"/>
      <c r="I2837" s="4"/>
      <c r="J2837" s="4"/>
    </row>
    <row r="2838" spans="1:10" x14ac:dyDescent="0.25">
      <c r="A2838" s="7" t="s">
        <v>103</v>
      </c>
      <c r="B2838" s="7">
        <f t="shared" si="647"/>
        <v>2047</v>
      </c>
      <c r="C2838" s="4" t="s">
        <v>23</v>
      </c>
      <c r="D2838" s="5" t="s">
        <v>128</v>
      </c>
      <c r="E2838" s="10" t="str">
        <f t="shared" si="645"/>
        <v>PSNP'!</v>
      </c>
      <c r="F2838" s="5" t="str">
        <f t="shared" si="646"/>
        <v>C:\Users\jaime.benazar\Quorum Business Solutions\Ecopetrol Prometeo - Documents\Planning Space Implementation\3. Analysis &amp; Design\Design\FC22\DRR Jaime\QUIFA-CAJÚA\Cajua\[VAS_CAJUA_CF_SEC_20230125.xlsx]CF PSNP'!</v>
      </c>
      <c r="G2838" s="7" t="s">
        <v>41</v>
      </c>
      <c r="H2838" s="4"/>
      <c r="I2838" s="4"/>
      <c r="J2838" s="4"/>
    </row>
    <row r="2839" spans="1:10" x14ac:dyDescent="0.25">
      <c r="A2839" s="7" t="s">
        <v>103</v>
      </c>
      <c r="B2839" s="7">
        <f t="shared" si="647"/>
        <v>2048</v>
      </c>
      <c r="C2839" s="4" t="s">
        <v>23</v>
      </c>
      <c r="D2839" s="5" t="s">
        <v>128</v>
      </c>
      <c r="E2839" s="10" t="str">
        <f t="shared" si="645"/>
        <v>PSNP'!</v>
      </c>
      <c r="F2839" s="5" t="str">
        <f t="shared" si="646"/>
        <v>C:\Users\jaime.benazar\Quorum Business Solutions\Ecopetrol Prometeo - Documents\Planning Space Implementation\3. Analysis &amp; Design\Design\FC22\DRR Jaime\QUIFA-CAJÚA\Cajua\[VAS_CAJUA_CF_SEC_20230125.xlsx]CF PSNP'!</v>
      </c>
      <c r="G2839" s="7" t="s">
        <v>41</v>
      </c>
      <c r="H2839" s="4"/>
      <c r="I2839" s="4"/>
      <c r="J2839" s="4"/>
    </row>
    <row r="2840" spans="1:10" x14ac:dyDescent="0.25">
      <c r="A2840" s="7" t="s">
        <v>103</v>
      </c>
      <c r="B2840" s="7">
        <f t="shared" si="647"/>
        <v>2049</v>
      </c>
      <c r="C2840" s="4" t="s">
        <v>23</v>
      </c>
      <c r="D2840" s="5" t="s">
        <v>128</v>
      </c>
      <c r="E2840" s="10" t="str">
        <f t="shared" si="645"/>
        <v>PSNP'!</v>
      </c>
      <c r="F2840" s="5" t="str">
        <f t="shared" si="646"/>
        <v>C:\Users\jaime.benazar\Quorum Business Solutions\Ecopetrol Prometeo - Documents\Planning Space Implementation\3. Analysis &amp; Design\Design\FC22\DRR Jaime\QUIFA-CAJÚA\Cajua\[VAS_CAJUA_CF_SEC_20230125.xlsx]CF PSNP'!</v>
      </c>
      <c r="G2840" s="7" t="s">
        <v>41</v>
      </c>
      <c r="H2840" s="4"/>
      <c r="I2840" s="4"/>
      <c r="J2840" s="4"/>
    </row>
    <row r="2841" spans="1:10" x14ac:dyDescent="0.25">
      <c r="A2841" s="7" t="s">
        <v>103</v>
      </c>
      <c r="B2841" s="7">
        <f t="shared" si="647"/>
        <v>2050</v>
      </c>
      <c r="C2841" s="4" t="s">
        <v>23</v>
      </c>
      <c r="D2841" s="5" t="s">
        <v>128</v>
      </c>
      <c r="E2841" s="10" t="str">
        <f t="shared" si="645"/>
        <v>PSNP'!</v>
      </c>
      <c r="F2841" s="5" t="str">
        <f t="shared" si="646"/>
        <v>C:\Users\jaime.benazar\Quorum Business Solutions\Ecopetrol Prometeo - Documents\Planning Space Implementation\3. Analysis &amp; Design\Design\FC22\DRR Jaime\QUIFA-CAJÚA\Cajua\[VAS_CAJUA_CF_SEC_20230125.xlsx]CF PSNP'!</v>
      </c>
      <c r="G2841" s="7" t="s">
        <v>41</v>
      </c>
      <c r="H2841" s="4"/>
      <c r="I2841" s="4"/>
      <c r="J2841" s="4"/>
    </row>
    <row r="2842" spans="1:10" x14ac:dyDescent="0.25">
      <c r="A2842" s="7" t="s">
        <v>103</v>
      </c>
      <c r="B2842" s="7">
        <f t="shared" si="647"/>
        <v>2051</v>
      </c>
      <c r="C2842" s="4" t="s">
        <v>23</v>
      </c>
      <c r="D2842" s="5" t="s">
        <v>128</v>
      </c>
      <c r="E2842" s="10" t="str">
        <f t="shared" si="645"/>
        <v>PSNP'!</v>
      </c>
      <c r="F2842" s="5" t="str">
        <f t="shared" si="646"/>
        <v>C:\Users\jaime.benazar\Quorum Business Solutions\Ecopetrol Prometeo - Documents\Planning Space Implementation\3. Analysis &amp; Design\Design\FC22\DRR Jaime\QUIFA-CAJÚA\Cajua\[VAS_CAJUA_CF_SEC_20230125.xlsx]CF PSNP'!</v>
      </c>
      <c r="G2842" s="7" t="s">
        <v>41</v>
      </c>
      <c r="H2842" s="4"/>
      <c r="I2842" s="4"/>
      <c r="J2842" s="4"/>
    </row>
    <row r="2843" spans="1:10" x14ac:dyDescent="0.25">
      <c r="A2843" s="7" t="s">
        <v>103</v>
      </c>
      <c r="B2843" s="7">
        <f t="shared" si="647"/>
        <v>2052</v>
      </c>
      <c r="C2843" s="4" t="s">
        <v>23</v>
      </c>
      <c r="D2843" s="5" t="s">
        <v>128</v>
      </c>
      <c r="E2843" s="10" t="str">
        <f t="shared" si="645"/>
        <v>PSNP'!</v>
      </c>
      <c r="F2843" s="5" t="str">
        <f t="shared" si="646"/>
        <v>C:\Users\jaime.benazar\Quorum Business Solutions\Ecopetrol Prometeo - Documents\Planning Space Implementation\3. Analysis &amp; Design\Design\FC22\DRR Jaime\QUIFA-CAJÚA\Cajua\[VAS_CAJUA_CF_SEC_20230125.xlsx]CF PSNP'!</v>
      </c>
      <c r="G2843" s="7" t="s">
        <v>41</v>
      </c>
      <c r="H2843" s="4"/>
      <c r="I2843" s="4"/>
      <c r="J2843" s="4"/>
    </row>
    <row r="2844" spans="1:10" x14ac:dyDescent="0.25">
      <c r="A2844" s="7" t="s">
        <v>103</v>
      </c>
      <c r="B2844" s="7">
        <f t="shared" si="647"/>
        <v>2053</v>
      </c>
      <c r="C2844" s="4" t="s">
        <v>23</v>
      </c>
      <c r="D2844" s="5" t="s">
        <v>128</v>
      </c>
      <c r="E2844" s="10" t="str">
        <f t="shared" si="645"/>
        <v>PSNP'!</v>
      </c>
      <c r="F2844" s="5" t="str">
        <f t="shared" si="646"/>
        <v>C:\Users\jaime.benazar\Quorum Business Solutions\Ecopetrol Prometeo - Documents\Planning Space Implementation\3. Analysis &amp; Design\Design\FC22\DRR Jaime\QUIFA-CAJÚA\Cajua\[VAS_CAJUA_CF_SEC_20230125.xlsx]CF PSNP'!</v>
      </c>
      <c r="G2844" s="7" t="s">
        <v>41</v>
      </c>
      <c r="H2844" s="4"/>
      <c r="I2844" s="4"/>
      <c r="J2844" s="4"/>
    </row>
    <row r="2845" spans="1:10" x14ac:dyDescent="0.25">
      <c r="A2845" s="7" t="s">
        <v>103</v>
      </c>
      <c r="B2845" s="7">
        <f t="shared" si="647"/>
        <v>2054</v>
      </c>
      <c r="C2845" s="4" t="s">
        <v>23</v>
      </c>
      <c r="D2845" s="5" t="s">
        <v>128</v>
      </c>
      <c r="E2845" s="10" t="str">
        <f t="shared" si="645"/>
        <v>PSNP'!</v>
      </c>
      <c r="F2845" s="5" t="str">
        <f t="shared" si="646"/>
        <v>C:\Users\jaime.benazar\Quorum Business Solutions\Ecopetrol Prometeo - Documents\Planning Space Implementation\3. Analysis &amp; Design\Design\FC22\DRR Jaime\QUIFA-CAJÚA\Cajua\[VAS_CAJUA_CF_SEC_20230125.xlsx]CF PSNP'!</v>
      </c>
      <c r="G2845" s="7" t="s">
        <v>41</v>
      </c>
      <c r="H2845" s="4"/>
      <c r="I2845" s="4"/>
      <c r="J2845" s="4"/>
    </row>
    <row r="2846" spans="1:10" x14ac:dyDescent="0.25">
      <c r="A2846" s="7" t="s">
        <v>103</v>
      </c>
      <c r="B2846" s="7">
        <f t="shared" si="647"/>
        <v>2055</v>
      </c>
      <c r="C2846" s="4" t="s">
        <v>23</v>
      </c>
      <c r="D2846" s="5" t="s">
        <v>128</v>
      </c>
      <c r="E2846" s="10" t="str">
        <f t="shared" si="645"/>
        <v>PSNP'!</v>
      </c>
      <c r="F2846" s="5" t="str">
        <f t="shared" si="646"/>
        <v>C:\Users\jaime.benazar\Quorum Business Solutions\Ecopetrol Prometeo - Documents\Planning Space Implementation\3. Analysis &amp; Design\Design\FC22\DRR Jaime\QUIFA-CAJÚA\Cajua\[VAS_CAJUA_CF_SEC_20230125.xlsx]CF PSNP'!</v>
      </c>
      <c r="G2846" s="7" t="s">
        <v>41</v>
      </c>
      <c r="H2846" s="4"/>
      <c r="I2846" s="4"/>
      <c r="J2846" s="4"/>
    </row>
    <row r="2847" spans="1:10" x14ac:dyDescent="0.25">
      <c r="A2847" s="7" t="s">
        <v>103</v>
      </c>
      <c r="B2847" s="7">
        <f t="shared" si="647"/>
        <v>2056</v>
      </c>
      <c r="C2847" s="4" t="s">
        <v>23</v>
      </c>
      <c r="D2847" s="5" t="s">
        <v>128</v>
      </c>
      <c r="E2847" s="10" t="str">
        <f t="shared" si="645"/>
        <v>PSNP'!</v>
      </c>
      <c r="F2847" s="5" t="str">
        <f t="shared" si="646"/>
        <v>C:\Users\jaime.benazar\Quorum Business Solutions\Ecopetrol Prometeo - Documents\Planning Space Implementation\3. Analysis &amp; Design\Design\FC22\DRR Jaime\QUIFA-CAJÚA\Cajua\[VAS_CAJUA_CF_SEC_20230125.xlsx]CF PSNP'!</v>
      </c>
      <c r="G2847" s="7" t="s">
        <v>41</v>
      </c>
      <c r="H2847" s="4"/>
      <c r="I2847" s="4"/>
      <c r="J2847" s="4"/>
    </row>
    <row r="2848" spans="1:10" x14ac:dyDescent="0.25">
      <c r="A2848" s="7" t="s">
        <v>103</v>
      </c>
      <c r="B2848" s="7">
        <f t="shared" si="647"/>
        <v>2057</v>
      </c>
      <c r="C2848" s="4" t="s">
        <v>23</v>
      </c>
      <c r="D2848" s="5" t="s">
        <v>128</v>
      </c>
      <c r="E2848" s="10" t="str">
        <f t="shared" si="645"/>
        <v>PSNP'!</v>
      </c>
      <c r="F2848" s="5" t="str">
        <f t="shared" si="646"/>
        <v>C:\Users\jaime.benazar\Quorum Business Solutions\Ecopetrol Prometeo - Documents\Planning Space Implementation\3. Analysis &amp; Design\Design\FC22\DRR Jaime\QUIFA-CAJÚA\Cajua\[VAS_CAJUA_CF_SEC_20230125.xlsx]CF PSNP'!</v>
      </c>
      <c r="G2848" s="7" t="s">
        <v>41</v>
      </c>
      <c r="H2848" s="4"/>
      <c r="I2848" s="4"/>
      <c r="J2848" s="4"/>
    </row>
    <row r="2849" spans="1:10" x14ac:dyDescent="0.25">
      <c r="A2849" s="7" t="s">
        <v>103</v>
      </c>
      <c r="B2849" s="7">
        <f t="shared" si="647"/>
        <v>2058</v>
      </c>
      <c r="C2849" s="4" t="s">
        <v>23</v>
      </c>
      <c r="D2849" s="5" t="s">
        <v>128</v>
      </c>
      <c r="E2849" s="10" t="str">
        <f t="shared" si="645"/>
        <v>PSNP'!</v>
      </c>
      <c r="F2849" s="5" t="str">
        <f t="shared" si="646"/>
        <v>C:\Users\jaime.benazar\Quorum Business Solutions\Ecopetrol Prometeo - Documents\Planning Space Implementation\3. Analysis &amp; Design\Design\FC22\DRR Jaime\QUIFA-CAJÚA\Cajua\[VAS_CAJUA_CF_SEC_20230125.xlsx]CF PSNP'!</v>
      </c>
      <c r="G2849" s="7" t="s">
        <v>41</v>
      </c>
      <c r="H2849" s="4"/>
      <c r="I2849" s="4"/>
      <c r="J2849" s="4"/>
    </row>
    <row r="2850" spans="1:10" x14ac:dyDescent="0.25">
      <c r="A2850" s="7" t="s">
        <v>103</v>
      </c>
      <c r="B2850" s="7">
        <f t="shared" si="647"/>
        <v>2059</v>
      </c>
      <c r="C2850" s="4" t="s">
        <v>23</v>
      </c>
      <c r="D2850" s="5" t="s">
        <v>128</v>
      </c>
      <c r="E2850" s="10" t="str">
        <f t="shared" si="645"/>
        <v>PSNP'!</v>
      </c>
      <c r="F2850" s="5" t="str">
        <f t="shared" si="646"/>
        <v>C:\Users\jaime.benazar\Quorum Business Solutions\Ecopetrol Prometeo - Documents\Planning Space Implementation\3. Analysis &amp; Design\Design\FC22\DRR Jaime\QUIFA-CAJÚA\Cajua\[VAS_CAJUA_CF_SEC_20230125.xlsx]CF PSNP'!</v>
      </c>
      <c r="G2850" s="7" t="s">
        <v>41</v>
      </c>
      <c r="H2850" s="4"/>
      <c r="I2850" s="4"/>
      <c r="J2850" s="4"/>
    </row>
    <row r="2851" spans="1:10" x14ac:dyDescent="0.25">
      <c r="A2851" s="7" t="s">
        <v>28</v>
      </c>
      <c r="B2851" s="7"/>
      <c r="C2851" s="4" t="s">
        <v>23</v>
      </c>
      <c r="D2851" s="5"/>
      <c r="E2851" s="10"/>
      <c r="F2851" s="2"/>
      <c r="G2851" s="7"/>
      <c r="H2851" s="4"/>
      <c r="I2851" s="4"/>
      <c r="J2851" s="4"/>
    </row>
    <row r="2852" spans="1:10" x14ac:dyDescent="0.25">
      <c r="A2852" s="7" t="s">
        <v>104</v>
      </c>
      <c r="B2852" s="7">
        <v>2023</v>
      </c>
      <c r="C2852" s="4" t="s">
        <v>23</v>
      </c>
      <c r="D2852" s="5" t="s">
        <v>128</v>
      </c>
      <c r="E2852" s="10" t="str">
        <f t="shared" ref="E2852:E2872" si="648">_xlfn.CONCAT(A2852,"'!")</f>
        <v>PSND'!</v>
      </c>
      <c r="F2852" s="5" t="str">
        <f t="shared" ref="F2852:F2872" si="649">_xlfn.CONCAT(D2852," ",E2852)</f>
        <v>C:\Users\jaime.benazar\Quorum Business Solutions\Ecopetrol Prometeo - Documents\Planning Space Implementation\3. Analysis &amp; Design\Design\FC22\DRR Jaime\QUIFA-CAJÚA\Cajua\[VAS_CAJUA_CF_SEC_20230125.xlsx]CF PSND'!</v>
      </c>
      <c r="G2852" s="7" t="s">
        <v>41</v>
      </c>
      <c r="H2852" s="4"/>
      <c r="I2852" s="4"/>
      <c r="J2852" s="4"/>
    </row>
    <row r="2853" spans="1:10" x14ac:dyDescent="0.25">
      <c r="A2853" s="7" t="s">
        <v>104</v>
      </c>
      <c r="B2853" s="7">
        <f>+B2852+1</f>
        <v>2024</v>
      </c>
      <c r="C2853" s="4" t="s">
        <v>23</v>
      </c>
      <c r="D2853" s="5" t="s">
        <v>128</v>
      </c>
      <c r="E2853" s="10" t="str">
        <f t="shared" si="648"/>
        <v>PSND'!</v>
      </c>
      <c r="F2853" s="5" t="str">
        <f t="shared" si="649"/>
        <v>C:\Users\jaime.benazar\Quorum Business Solutions\Ecopetrol Prometeo - Documents\Planning Space Implementation\3. Analysis &amp; Design\Design\FC22\DRR Jaime\QUIFA-CAJÚA\Cajua\[VAS_CAJUA_CF_SEC_20230125.xlsx]CF PSND'!</v>
      </c>
      <c r="G2853" s="7" t="s">
        <v>41</v>
      </c>
      <c r="H2853" s="4"/>
      <c r="I2853" s="4"/>
      <c r="J2853" s="4"/>
    </row>
    <row r="2854" spans="1:10" x14ac:dyDescent="0.25">
      <c r="A2854" s="7" t="s">
        <v>104</v>
      </c>
      <c r="B2854" s="7">
        <f t="shared" ref="B2854:B2865" si="650">+B2853+1</f>
        <v>2025</v>
      </c>
      <c r="C2854" s="4" t="s">
        <v>23</v>
      </c>
      <c r="D2854" s="5" t="s">
        <v>128</v>
      </c>
      <c r="E2854" s="10" t="str">
        <f t="shared" si="648"/>
        <v>PSND'!</v>
      </c>
      <c r="F2854" s="5" t="str">
        <f t="shared" si="649"/>
        <v>C:\Users\jaime.benazar\Quorum Business Solutions\Ecopetrol Prometeo - Documents\Planning Space Implementation\3. Analysis &amp; Design\Design\FC22\DRR Jaime\QUIFA-CAJÚA\Cajua\[VAS_CAJUA_CF_SEC_20230125.xlsx]CF PSND'!</v>
      </c>
      <c r="G2854" s="7" t="s">
        <v>41</v>
      </c>
      <c r="H2854" s="4"/>
      <c r="I2854" s="4"/>
      <c r="J2854" s="4"/>
    </row>
    <row r="2855" spans="1:10" x14ac:dyDescent="0.25">
      <c r="A2855" s="7" t="s">
        <v>104</v>
      </c>
      <c r="B2855" s="7">
        <f t="shared" si="650"/>
        <v>2026</v>
      </c>
      <c r="C2855" s="4" t="s">
        <v>23</v>
      </c>
      <c r="D2855" s="5" t="s">
        <v>128</v>
      </c>
      <c r="E2855" s="10" t="str">
        <f t="shared" si="648"/>
        <v>PSND'!</v>
      </c>
      <c r="F2855" s="5" t="str">
        <f t="shared" si="649"/>
        <v>C:\Users\jaime.benazar\Quorum Business Solutions\Ecopetrol Prometeo - Documents\Planning Space Implementation\3. Analysis &amp; Design\Design\FC22\DRR Jaime\QUIFA-CAJÚA\Cajua\[VAS_CAJUA_CF_SEC_20230125.xlsx]CF PSND'!</v>
      </c>
      <c r="G2855" s="7" t="s">
        <v>41</v>
      </c>
      <c r="H2855" s="4"/>
      <c r="I2855" s="4"/>
      <c r="J2855" s="4"/>
    </row>
    <row r="2856" spans="1:10" x14ac:dyDescent="0.25">
      <c r="A2856" s="7" t="s">
        <v>104</v>
      </c>
      <c r="B2856" s="7">
        <f t="shared" si="650"/>
        <v>2027</v>
      </c>
      <c r="C2856" s="4" t="s">
        <v>23</v>
      </c>
      <c r="D2856" s="5" t="s">
        <v>128</v>
      </c>
      <c r="E2856" s="10" t="str">
        <f t="shared" si="648"/>
        <v>PSND'!</v>
      </c>
      <c r="F2856" s="5" t="str">
        <f t="shared" si="649"/>
        <v>C:\Users\jaime.benazar\Quorum Business Solutions\Ecopetrol Prometeo - Documents\Planning Space Implementation\3. Analysis &amp; Design\Design\FC22\DRR Jaime\QUIFA-CAJÚA\Cajua\[VAS_CAJUA_CF_SEC_20230125.xlsx]CF PSND'!</v>
      </c>
      <c r="G2856" s="7" t="s">
        <v>41</v>
      </c>
      <c r="H2856" s="4"/>
      <c r="I2856" s="4"/>
      <c r="J2856" s="4"/>
    </row>
    <row r="2857" spans="1:10" x14ac:dyDescent="0.25">
      <c r="A2857" s="7" t="s">
        <v>104</v>
      </c>
      <c r="B2857" s="7">
        <f t="shared" si="650"/>
        <v>2028</v>
      </c>
      <c r="C2857" s="4" t="s">
        <v>23</v>
      </c>
      <c r="D2857" s="5" t="s">
        <v>128</v>
      </c>
      <c r="E2857" s="10" t="str">
        <f t="shared" si="648"/>
        <v>PSND'!</v>
      </c>
      <c r="F2857" s="5" t="str">
        <f t="shared" si="649"/>
        <v>C:\Users\jaime.benazar\Quorum Business Solutions\Ecopetrol Prometeo - Documents\Planning Space Implementation\3. Analysis &amp; Design\Design\FC22\DRR Jaime\QUIFA-CAJÚA\Cajua\[VAS_CAJUA_CF_SEC_20230125.xlsx]CF PSND'!</v>
      </c>
      <c r="G2857" s="7" t="s">
        <v>41</v>
      </c>
      <c r="H2857" s="4"/>
      <c r="I2857" s="4"/>
      <c r="J2857" s="4"/>
    </row>
    <row r="2858" spans="1:10" x14ac:dyDescent="0.25">
      <c r="A2858" s="7" t="s">
        <v>104</v>
      </c>
      <c r="B2858" s="7">
        <f t="shared" si="650"/>
        <v>2029</v>
      </c>
      <c r="C2858" s="4" t="s">
        <v>23</v>
      </c>
      <c r="D2858" s="5" t="s">
        <v>128</v>
      </c>
      <c r="E2858" s="10" t="str">
        <f t="shared" si="648"/>
        <v>PSND'!</v>
      </c>
      <c r="F2858" s="5" t="str">
        <f t="shared" si="649"/>
        <v>C:\Users\jaime.benazar\Quorum Business Solutions\Ecopetrol Prometeo - Documents\Planning Space Implementation\3. Analysis &amp; Design\Design\FC22\DRR Jaime\QUIFA-CAJÚA\Cajua\[VAS_CAJUA_CF_SEC_20230125.xlsx]CF PSND'!</v>
      </c>
      <c r="G2858" s="7" t="s">
        <v>41</v>
      </c>
      <c r="H2858" s="4"/>
      <c r="I2858" s="4"/>
      <c r="J2858" s="4"/>
    </row>
    <row r="2859" spans="1:10" x14ac:dyDescent="0.25">
      <c r="A2859" s="7" t="s">
        <v>104</v>
      </c>
      <c r="B2859" s="7">
        <f t="shared" si="650"/>
        <v>2030</v>
      </c>
      <c r="C2859" s="4" t="s">
        <v>23</v>
      </c>
      <c r="D2859" s="5" t="s">
        <v>128</v>
      </c>
      <c r="E2859" s="10" t="str">
        <f t="shared" si="648"/>
        <v>PSND'!</v>
      </c>
      <c r="F2859" s="5" t="str">
        <f t="shared" si="649"/>
        <v>C:\Users\jaime.benazar\Quorum Business Solutions\Ecopetrol Prometeo - Documents\Planning Space Implementation\3. Analysis &amp; Design\Design\FC22\DRR Jaime\QUIFA-CAJÚA\Cajua\[VAS_CAJUA_CF_SEC_20230125.xlsx]CF PSND'!</v>
      </c>
      <c r="G2859" s="7" t="s">
        <v>41</v>
      </c>
      <c r="H2859" s="4"/>
      <c r="I2859" s="4"/>
      <c r="J2859" s="4"/>
    </row>
    <row r="2860" spans="1:10" x14ac:dyDescent="0.25">
      <c r="A2860" s="7" t="s">
        <v>104</v>
      </c>
      <c r="B2860" s="7">
        <f t="shared" si="650"/>
        <v>2031</v>
      </c>
      <c r="C2860" s="4" t="s">
        <v>23</v>
      </c>
      <c r="D2860" s="5" t="s">
        <v>128</v>
      </c>
      <c r="E2860" s="10" t="str">
        <f t="shared" si="648"/>
        <v>PSND'!</v>
      </c>
      <c r="F2860" s="5" t="str">
        <f t="shared" si="649"/>
        <v>C:\Users\jaime.benazar\Quorum Business Solutions\Ecopetrol Prometeo - Documents\Planning Space Implementation\3. Analysis &amp; Design\Design\FC22\DRR Jaime\QUIFA-CAJÚA\Cajua\[VAS_CAJUA_CF_SEC_20230125.xlsx]CF PSND'!</v>
      </c>
      <c r="G2860" s="7" t="s">
        <v>41</v>
      </c>
      <c r="H2860" s="4"/>
      <c r="I2860" s="4"/>
      <c r="J2860" s="4"/>
    </row>
    <row r="2861" spans="1:10" x14ac:dyDescent="0.25">
      <c r="A2861" s="7" t="s">
        <v>104</v>
      </c>
      <c r="B2861" s="7">
        <f t="shared" si="650"/>
        <v>2032</v>
      </c>
      <c r="C2861" s="4" t="s">
        <v>23</v>
      </c>
      <c r="D2861" s="5" t="s">
        <v>128</v>
      </c>
      <c r="E2861" s="10" t="str">
        <f t="shared" si="648"/>
        <v>PSND'!</v>
      </c>
      <c r="F2861" s="5" t="str">
        <f t="shared" si="649"/>
        <v>C:\Users\jaime.benazar\Quorum Business Solutions\Ecopetrol Prometeo - Documents\Planning Space Implementation\3. Analysis &amp; Design\Design\FC22\DRR Jaime\QUIFA-CAJÚA\Cajua\[VAS_CAJUA_CF_SEC_20230125.xlsx]CF PSND'!</v>
      </c>
      <c r="G2861" s="7" t="s">
        <v>41</v>
      </c>
      <c r="H2861" s="4"/>
      <c r="I2861" s="4"/>
      <c r="J2861" s="4"/>
    </row>
    <row r="2862" spans="1:10" x14ac:dyDescent="0.25">
      <c r="A2862" s="7" t="s">
        <v>104</v>
      </c>
      <c r="B2862" s="7">
        <f t="shared" si="650"/>
        <v>2033</v>
      </c>
      <c r="C2862" s="4" t="s">
        <v>23</v>
      </c>
      <c r="D2862" s="5" t="s">
        <v>128</v>
      </c>
      <c r="E2862" s="10" t="str">
        <f t="shared" si="648"/>
        <v>PSND'!</v>
      </c>
      <c r="F2862" s="5" t="str">
        <f t="shared" si="649"/>
        <v>C:\Users\jaime.benazar\Quorum Business Solutions\Ecopetrol Prometeo - Documents\Planning Space Implementation\3. Analysis &amp; Design\Design\FC22\DRR Jaime\QUIFA-CAJÚA\Cajua\[VAS_CAJUA_CF_SEC_20230125.xlsx]CF PSND'!</v>
      </c>
      <c r="G2862" s="7" t="s">
        <v>41</v>
      </c>
      <c r="H2862" s="4"/>
      <c r="I2862" s="4"/>
      <c r="J2862" s="4"/>
    </row>
    <row r="2863" spans="1:10" x14ac:dyDescent="0.25">
      <c r="A2863" s="7" t="s">
        <v>104</v>
      </c>
      <c r="B2863" s="7">
        <f t="shared" si="650"/>
        <v>2034</v>
      </c>
      <c r="C2863" s="4" t="s">
        <v>23</v>
      </c>
      <c r="D2863" s="5" t="s">
        <v>128</v>
      </c>
      <c r="E2863" s="10" t="str">
        <f t="shared" si="648"/>
        <v>PSND'!</v>
      </c>
      <c r="F2863" s="5" t="str">
        <f t="shared" si="649"/>
        <v>C:\Users\jaime.benazar\Quorum Business Solutions\Ecopetrol Prometeo - Documents\Planning Space Implementation\3. Analysis &amp; Design\Design\FC22\DRR Jaime\QUIFA-CAJÚA\Cajua\[VAS_CAJUA_CF_SEC_20230125.xlsx]CF PSND'!</v>
      </c>
      <c r="G2863" s="7" t="s">
        <v>41</v>
      </c>
      <c r="H2863" s="4"/>
      <c r="I2863" s="4"/>
      <c r="J2863" s="4"/>
    </row>
    <row r="2864" spans="1:10" x14ac:dyDescent="0.25">
      <c r="A2864" s="7" t="s">
        <v>104</v>
      </c>
      <c r="B2864" s="7">
        <f t="shared" si="650"/>
        <v>2035</v>
      </c>
      <c r="C2864" s="4" t="s">
        <v>23</v>
      </c>
      <c r="D2864" s="5" t="s">
        <v>128</v>
      </c>
      <c r="E2864" s="10" t="str">
        <f t="shared" si="648"/>
        <v>PSND'!</v>
      </c>
      <c r="F2864" s="5" t="str">
        <f t="shared" si="649"/>
        <v>C:\Users\jaime.benazar\Quorum Business Solutions\Ecopetrol Prometeo - Documents\Planning Space Implementation\3. Analysis &amp; Design\Design\FC22\DRR Jaime\QUIFA-CAJÚA\Cajua\[VAS_CAJUA_CF_SEC_20230125.xlsx]CF PSND'!</v>
      </c>
      <c r="G2864" s="7" t="s">
        <v>41</v>
      </c>
      <c r="H2864" s="4"/>
      <c r="I2864" s="4"/>
      <c r="J2864" s="4"/>
    </row>
    <row r="2865" spans="1:10" x14ac:dyDescent="0.25">
      <c r="A2865" s="7" t="s">
        <v>104</v>
      </c>
      <c r="B2865" s="7">
        <f t="shared" si="650"/>
        <v>2036</v>
      </c>
      <c r="C2865" s="4" t="s">
        <v>23</v>
      </c>
      <c r="D2865" s="5" t="s">
        <v>128</v>
      </c>
      <c r="E2865" s="10" t="str">
        <f t="shared" si="648"/>
        <v>PSND'!</v>
      </c>
      <c r="F2865" s="5" t="str">
        <f t="shared" si="649"/>
        <v>C:\Users\jaime.benazar\Quorum Business Solutions\Ecopetrol Prometeo - Documents\Planning Space Implementation\3. Analysis &amp; Design\Design\FC22\DRR Jaime\QUIFA-CAJÚA\Cajua\[VAS_CAJUA_CF_SEC_20230125.xlsx]CF PSND'!</v>
      </c>
      <c r="G2865" s="7" t="s">
        <v>41</v>
      </c>
      <c r="H2865" s="4"/>
      <c r="I2865" s="4"/>
      <c r="J2865" s="4"/>
    </row>
    <row r="2866" spans="1:10" x14ac:dyDescent="0.25">
      <c r="A2866" s="7" t="s">
        <v>104</v>
      </c>
      <c r="B2866" s="7">
        <f>+B2865+1</f>
        <v>2037</v>
      </c>
      <c r="C2866" s="4" t="s">
        <v>23</v>
      </c>
      <c r="D2866" s="5" t="s">
        <v>128</v>
      </c>
      <c r="E2866" s="10" t="str">
        <f t="shared" si="648"/>
        <v>PSND'!</v>
      </c>
      <c r="F2866" s="5" t="str">
        <f t="shared" si="649"/>
        <v>C:\Users\jaime.benazar\Quorum Business Solutions\Ecopetrol Prometeo - Documents\Planning Space Implementation\3. Analysis &amp; Design\Design\FC22\DRR Jaime\QUIFA-CAJÚA\Cajua\[VAS_CAJUA_CF_SEC_20230125.xlsx]CF PSND'!</v>
      </c>
      <c r="G2866" s="7" t="s">
        <v>41</v>
      </c>
      <c r="H2866" s="4"/>
      <c r="I2866" s="4"/>
      <c r="J2866" s="4"/>
    </row>
    <row r="2867" spans="1:10" x14ac:dyDescent="0.25">
      <c r="A2867" s="7" t="s">
        <v>104</v>
      </c>
      <c r="B2867" s="7">
        <f t="shared" ref="B2867:B2869" si="651">+B2866+1</f>
        <v>2038</v>
      </c>
      <c r="C2867" s="4" t="s">
        <v>23</v>
      </c>
      <c r="D2867" s="5" t="s">
        <v>128</v>
      </c>
      <c r="E2867" s="10" t="str">
        <f t="shared" si="648"/>
        <v>PSND'!</v>
      </c>
      <c r="F2867" s="5" t="str">
        <f t="shared" si="649"/>
        <v>C:\Users\jaime.benazar\Quorum Business Solutions\Ecopetrol Prometeo - Documents\Planning Space Implementation\3. Analysis &amp; Design\Design\FC22\DRR Jaime\QUIFA-CAJÚA\Cajua\[VAS_CAJUA_CF_SEC_20230125.xlsx]CF PSND'!</v>
      </c>
      <c r="G2867" s="7" t="s">
        <v>41</v>
      </c>
      <c r="H2867" s="4"/>
      <c r="I2867" s="4"/>
      <c r="J2867" s="4"/>
    </row>
    <row r="2868" spans="1:10" x14ac:dyDescent="0.25">
      <c r="A2868" s="7" t="s">
        <v>104</v>
      </c>
      <c r="B2868" s="7">
        <f t="shared" si="651"/>
        <v>2039</v>
      </c>
      <c r="C2868" s="4" t="s">
        <v>23</v>
      </c>
      <c r="D2868" s="5" t="s">
        <v>128</v>
      </c>
      <c r="E2868" s="10" t="str">
        <f t="shared" si="648"/>
        <v>PSND'!</v>
      </c>
      <c r="F2868" s="5" t="str">
        <f t="shared" si="649"/>
        <v>C:\Users\jaime.benazar\Quorum Business Solutions\Ecopetrol Prometeo - Documents\Planning Space Implementation\3. Analysis &amp; Design\Design\FC22\DRR Jaime\QUIFA-CAJÚA\Cajua\[VAS_CAJUA_CF_SEC_20230125.xlsx]CF PSND'!</v>
      </c>
      <c r="G2868" s="7" t="s">
        <v>41</v>
      </c>
      <c r="H2868" s="4"/>
      <c r="I2868" s="4"/>
      <c r="J2868" s="4"/>
    </row>
    <row r="2869" spans="1:10" x14ac:dyDescent="0.25">
      <c r="A2869" s="7" t="s">
        <v>104</v>
      </c>
      <c r="B2869" s="7">
        <f t="shared" si="651"/>
        <v>2040</v>
      </c>
      <c r="C2869" s="4" t="s">
        <v>23</v>
      </c>
      <c r="D2869" s="5" t="s">
        <v>128</v>
      </c>
      <c r="E2869" s="10" t="str">
        <f t="shared" si="648"/>
        <v>PSND'!</v>
      </c>
      <c r="F2869" s="5" t="str">
        <f t="shared" si="649"/>
        <v>C:\Users\jaime.benazar\Quorum Business Solutions\Ecopetrol Prometeo - Documents\Planning Space Implementation\3. Analysis &amp; Design\Design\FC22\DRR Jaime\QUIFA-CAJÚA\Cajua\[VAS_CAJUA_CF_SEC_20230125.xlsx]CF PSND'!</v>
      </c>
      <c r="G2869" s="7" t="s">
        <v>41</v>
      </c>
      <c r="H2869" s="4"/>
      <c r="I2869" s="4"/>
      <c r="J2869" s="4"/>
    </row>
    <row r="2870" spans="1:10" x14ac:dyDescent="0.25">
      <c r="A2870" s="7" t="s">
        <v>104</v>
      </c>
      <c r="B2870" s="7">
        <f>+B2869+1</f>
        <v>2041</v>
      </c>
      <c r="C2870" s="4" t="s">
        <v>23</v>
      </c>
      <c r="D2870" s="5" t="s">
        <v>128</v>
      </c>
      <c r="E2870" s="10" t="str">
        <f t="shared" si="648"/>
        <v>PSND'!</v>
      </c>
      <c r="F2870" s="5" t="str">
        <f t="shared" si="649"/>
        <v>C:\Users\jaime.benazar\Quorum Business Solutions\Ecopetrol Prometeo - Documents\Planning Space Implementation\3. Analysis &amp; Design\Design\FC22\DRR Jaime\QUIFA-CAJÚA\Cajua\[VAS_CAJUA_CF_SEC_20230125.xlsx]CF PSND'!</v>
      </c>
      <c r="G2870" s="7" t="s">
        <v>41</v>
      </c>
      <c r="H2870" s="4"/>
      <c r="I2870" s="4"/>
      <c r="J2870" s="4"/>
    </row>
    <row r="2871" spans="1:10" x14ac:dyDescent="0.25">
      <c r="A2871" s="7" t="s">
        <v>104</v>
      </c>
      <c r="B2871" s="7">
        <f t="shared" ref="B2871:B2872" si="652">+B2870+1</f>
        <v>2042</v>
      </c>
      <c r="C2871" s="4" t="s">
        <v>23</v>
      </c>
      <c r="D2871" s="5" t="s">
        <v>128</v>
      </c>
      <c r="E2871" s="10" t="str">
        <f t="shared" si="648"/>
        <v>PSND'!</v>
      </c>
      <c r="F2871" s="5" t="str">
        <f t="shared" si="649"/>
        <v>C:\Users\jaime.benazar\Quorum Business Solutions\Ecopetrol Prometeo - Documents\Planning Space Implementation\3. Analysis &amp; Design\Design\FC22\DRR Jaime\QUIFA-CAJÚA\Cajua\[VAS_CAJUA_CF_SEC_20230125.xlsx]CF PSND'!</v>
      </c>
      <c r="G2871" s="7" t="s">
        <v>41</v>
      </c>
      <c r="H2871" s="4"/>
      <c r="I2871" s="4"/>
      <c r="J2871" s="4"/>
    </row>
    <row r="2872" spans="1:10" x14ac:dyDescent="0.25">
      <c r="A2872" s="7" t="s">
        <v>104</v>
      </c>
      <c r="B2872" s="7">
        <f t="shared" si="652"/>
        <v>2043</v>
      </c>
      <c r="C2872" s="4" t="s">
        <v>23</v>
      </c>
      <c r="D2872" s="5" t="s">
        <v>128</v>
      </c>
      <c r="E2872" s="10" t="str">
        <f t="shared" si="648"/>
        <v>PSND'!</v>
      </c>
      <c r="F2872" s="5" t="str">
        <f t="shared" si="649"/>
        <v>C:\Users\jaime.benazar\Quorum Business Solutions\Ecopetrol Prometeo - Documents\Planning Space Implementation\3. Analysis &amp; Design\Design\FC22\DRR Jaime\QUIFA-CAJÚA\Cajua\[VAS_CAJUA_CF_SEC_20230125.xlsx]CF PSND'!</v>
      </c>
      <c r="G2872" s="7" t="s">
        <v>41</v>
      </c>
      <c r="H2872" s="4"/>
      <c r="I2872" s="4"/>
      <c r="J2872" s="4"/>
    </row>
    <row r="2873" spans="1:10" x14ac:dyDescent="0.25">
      <c r="A2873" s="7" t="s">
        <v>104</v>
      </c>
      <c r="B2873" s="7">
        <f>+B2872+1</f>
        <v>2044</v>
      </c>
      <c r="C2873" s="4" t="s">
        <v>23</v>
      </c>
      <c r="D2873" s="5" t="s">
        <v>128</v>
      </c>
      <c r="E2873" s="10" t="str">
        <f t="shared" ref="E2873:E2888" si="653">_xlfn.CONCAT(A2873,"'!")</f>
        <v>PSND'!</v>
      </c>
      <c r="F2873" s="5" t="str">
        <f t="shared" ref="F2873:F2888" si="654">_xlfn.CONCAT(D2873," ",E2873)</f>
        <v>C:\Users\jaime.benazar\Quorum Business Solutions\Ecopetrol Prometeo - Documents\Planning Space Implementation\3. Analysis &amp; Design\Design\FC22\DRR Jaime\QUIFA-CAJÚA\Cajua\[VAS_CAJUA_CF_SEC_20230125.xlsx]CF PSND'!</v>
      </c>
      <c r="G2873" s="7" t="s">
        <v>41</v>
      </c>
      <c r="H2873" s="4"/>
      <c r="I2873" s="4"/>
      <c r="J2873" s="4"/>
    </row>
    <row r="2874" spans="1:10" x14ac:dyDescent="0.25">
      <c r="A2874" s="7" t="s">
        <v>104</v>
      </c>
      <c r="B2874" s="7">
        <f t="shared" ref="B2874:B2888" si="655">+B2873+1</f>
        <v>2045</v>
      </c>
      <c r="C2874" s="4" t="s">
        <v>23</v>
      </c>
      <c r="D2874" s="5" t="s">
        <v>128</v>
      </c>
      <c r="E2874" s="10" t="str">
        <f t="shared" si="653"/>
        <v>PSND'!</v>
      </c>
      <c r="F2874" s="5" t="str">
        <f t="shared" si="654"/>
        <v>C:\Users\jaime.benazar\Quorum Business Solutions\Ecopetrol Prometeo - Documents\Planning Space Implementation\3. Analysis &amp; Design\Design\FC22\DRR Jaime\QUIFA-CAJÚA\Cajua\[VAS_CAJUA_CF_SEC_20230125.xlsx]CF PSND'!</v>
      </c>
      <c r="G2874" s="7" t="s">
        <v>41</v>
      </c>
      <c r="H2874" s="4"/>
      <c r="I2874" s="4"/>
      <c r="J2874" s="4"/>
    </row>
    <row r="2875" spans="1:10" x14ac:dyDescent="0.25">
      <c r="A2875" s="7" t="s">
        <v>104</v>
      </c>
      <c r="B2875" s="7">
        <f t="shared" si="655"/>
        <v>2046</v>
      </c>
      <c r="C2875" s="4" t="s">
        <v>23</v>
      </c>
      <c r="D2875" s="5" t="s">
        <v>128</v>
      </c>
      <c r="E2875" s="10" t="str">
        <f t="shared" si="653"/>
        <v>PSND'!</v>
      </c>
      <c r="F2875" s="5" t="str">
        <f t="shared" si="654"/>
        <v>C:\Users\jaime.benazar\Quorum Business Solutions\Ecopetrol Prometeo - Documents\Planning Space Implementation\3. Analysis &amp; Design\Design\FC22\DRR Jaime\QUIFA-CAJÚA\Cajua\[VAS_CAJUA_CF_SEC_20230125.xlsx]CF PSND'!</v>
      </c>
      <c r="G2875" s="7" t="s">
        <v>41</v>
      </c>
      <c r="H2875" s="4"/>
      <c r="I2875" s="4"/>
      <c r="J2875" s="4"/>
    </row>
    <row r="2876" spans="1:10" x14ac:dyDescent="0.25">
      <c r="A2876" s="7" t="s">
        <v>104</v>
      </c>
      <c r="B2876" s="7">
        <f t="shared" si="655"/>
        <v>2047</v>
      </c>
      <c r="C2876" s="4" t="s">
        <v>23</v>
      </c>
      <c r="D2876" s="5" t="s">
        <v>128</v>
      </c>
      <c r="E2876" s="10" t="str">
        <f t="shared" si="653"/>
        <v>PSND'!</v>
      </c>
      <c r="F2876" s="5" t="str">
        <f t="shared" si="654"/>
        <v>C:\Users\jaime.benazar\Quorum Business Solutions\Ecopetrol Prometeo - Documents\Planning Space Implementation\3. Analysis &amp; Design\Design\FC22\DRR Jaime\QUIFA-CAJÚA\Cajua\[VAS_CAJUA_CF_SEC_20230125.xlsx]CF PSND'!</v>
      </c>
      <c r="G2876" s="7" t="s">
        <v>41</v>
      </c>
      <c r="H2876" s="4"/>
      <c r="I2876" s="4"/>
      <c r="J2876" s="4"/>
    </row>
    <row r="2877" spans="1:10" x14ac:dyDescent="0.25">
      <c r="A2877" s="7" t="s">
        <v>104</v>
      </c>
      <c r="B2877" s="7">
        <f t="shared" si="655"/>
        <v>2048</v>
      </c>
      <c r="C2877" s="4" t="s">
        <v>23</v>
      </c>
      <c r="D2877" s="5" t="s">
        <v>128</v>
      </c>
      <c r="E2877" s="10" t="str">
        <f t="shared" si="653"/>
        <v>PSND'!</v>
      </c>
      <c r="F2877" s="5" t="str">
        <f t="shared" si="654"/>
        <v>C:\Users\jaime.benazar\Quorum Business Solutions\Ecopetrol Prometeo - Documents\Planning Space Implementation\3. Analysis &amp; Design\Design\FC22\DRR Jaime\QUIFA-CAJÚA\Cajua\[VAS_CAJUA_CF_SEC_20230125.xlsx]CF PSND'!</v>
      </c>
      <c r="G2877" s="7" t="s">
        <v>41</v>
      </c>
      <c r="H2877" s="4"/>
      <c r="I2877" s="4"/>
      <c r="J2877" s="4"/>
    </row>
    <row r="2878" spans="1:10" x14ac:dyDescent="0.25">
      <c r="A2878" s="7" t="s">
        <v>104</v>
      </c>
      <c r="B2878" s="7">
        <f t="shared" si="655"/>
        <v>2049</v>
      </c>
      <c r="C2878" s="4" t="s">
        <v>23</v>
      </c>
      <c r="D2878" s="5" t="s">
        <v>128</v>
      </c>
      <c r="E2878" s="10" t="str">
        <f t="shared" si="653"/>
        <v>PSND'!</v>
      </c>
      <c r="F2878" s="5" t="str">
        <f t="shared" si="654"/>
        <v>C:\Users\jaime.benazar\Quorum Business Solutions\Ecopetrol Prometeo - Documents\Planning Space Implementation\3. Analysis &amp; Design\Design\FC22\DRR Jaime\QUIFA-CAJÚA\Cajua\[VAS_CAJUA_CF_SEC_20230125.xlsx]CF PSND'!</v>
      </c>
      <c r="G2878" s="7" t="s">
        <v>41</v>
      </c>
      <c r="H2878" s="4"/>
      <c r="I2878" s="4"/>
      <c r="J2878" s="4"/>
    </row>
    <row r="2879" spans="1:10" x14ac:dyDescent="0.25">
      <c r="A2879" s="7" t="s">
        <v>104</v>
      </c>
      <c r="B2879" s="7">
        <f t="shared" si="655"/>
        <v>2050</v>
      </c>
      <c r="C2879" s="4" t="s">
        <v>23</v>
      </c>
      <c r="D2879" s="5" t="s">
        <v>128</v>
      </c>
      <c r="E2879" s="10" t="str">
        <f t="shared" si="653"/>
        <v>PSND'!</v>
      </c>
      <c r="F2879" s="5" t="str">
        <f t="shared" si="654"/>
        <v>C:\Users\jaime.benazar\Quorum Business Solutions\Ecopetrol Prometeo - Documents\Planning Space Implementation\3. Analysis &amp; Design\Design\FC22\DRR Jaime\QUIFA-CAJÚA\Cajua\[VAS_CAJUA_CF_SEC_20230125.xlsx]CF PSND'!</v>
      </c>
      <c r="G2879" s="7" t="s">
        <v>41</v>
      </c>
      <c r="H2879" s="4"/>
      <c r="I2879" s="4"/>
      <c r="J2879" s="4"/>
    </row>
    <row r="2880" spans="1:10" x14ac:dyDescent="0.25">
      <c r="A2880" s="7" t="s">
        <v>104</v>
      </c>
      <c r="B2880" s="7">
        <f t="shared" si="655"/>
        <v>2051</v>
      </c>
      <c r="C2880" s="4" t="s">
        <v>23</v>
      </c>
      <c r="D2880" s="5" t="s">
        <v>128</v>
      </c>
      <c r="E2880" s="10" t="str">
        <f t="shared" si="653"/>
        <v>PSND'!</v>
      </c>
      <c r="F2880" s="5" t="str">
        <f t="shared" si="654"/>
        <v>C:\Users\jaime.benazar\Quorum Business Solutions\Ecopetrol Prometeo - Documents\Planning Space Implementation\3. Analysis &amp; Design\Design\FC22\DRR Jaime\QUIFA-CAJÚA\Cajua\[VAS_CAJUA_CF_SEC_20230125.xlsx]CF PSND'!</v>
      </c>
      <c r="G2880" s="7" t="s">
        <v>41</v>
      </c>
      <c r="H2880" s="4"/>
      <c r="I2880" s="4"/>
      <c r="J2880" s="4"/>
    </row>
    <row r="2881" spans="1:10" x14ac:dyDescent="0.25">
      <c r="A2881" s="7" t="s">
        <v>104</v>
      </c>
      <c r="B2881" s="7">
        <f t="shared" si="655"/>
        <v>2052</v>
      </c>
      <c r="C2881" s="4" t="s">
        <v>23</v>
      </c>
      <c r="D2881" s="5" t="s">
        <v>128</v>
      </c>
      <c r="E2881" s="10" t="str">
        <f t="shared" si="653"/>
        <v>PSND'!</v>
      </c>
      <c r="F2881" s="5" t="str">
        <f t="shared" si="654"/>
        <v>C:\Users\jaime.benazar\Quorum Business Solutions\Ecopetrol Prometeo - Documents\Planning Space Implementation\3. Analysis &amp; Design\Design\FC22\DRR Jaime\QUIFA-CAJÚA\Cajua\[VAS_CAJUA_CF_SEC_20230125.xlsx]CF PSND'!</v>
      </c>
      <c r="G2881" s="7" t="s">
        <v>41</v>
      </c>
      <c r="H2881" s="4"/>
      <c r="I2881" s="4"/>
      <c r="J2881" s="4"/>
    </row>
    <row r="2882" spans="1:10" x14ac:dyDescent="0.25">
      <c r="A2882" s="7" t="s">
        <v>104</v>
      </c>
      <c r="B2882" s="7">
        <f t="shared" si="655"/>
        <v>2053</v>
      </c>
      <c r="C2882" s="4" t="s">
        <v>23</v>
      </c>
      <c r="D2882" s="5" t="s">
        <v>128</v>
      </c>
      <c r="E2882" s="10" t="str">
        <f t="shared" si="653"/>
        <v>PSND'!</v>
      </c>
      <c r="F2882" s="5" t="str">
        <f t="shared" si="654"/>
        <v>C:\Users\jaime.benazar\Quorum Business Solutions\Ecopetrol Prometeo - Documents\Planning Space Implementation\3. Analysis &amp; Design\Design\FC22\DRR Jaime\QUIFA-CAJÚA\Cajua\[VAS_CAJUA_CF_SEC_20230125.xlsx]CF PSND'!</v>
      </c>
      <c r="G2882" s="7" t="s">
        <v>41</v>
      </c>
      <c r="H2882" s="4"/>
      <c r="I2882" s="4"/>
      <c r="J2882" s="4"/>
    </row>
    <row r="2883" spans="1:10" x14ac:dyDescent="0.25">
      <c r="A2883" s="7" t="s">
        <v>104</v>
      </c>
      <c r="B2883" s="7">
        <f t="shared" si="655"/>
        <v>2054</v>
      </c>
      <c r="C2883" s="4" t="s">
        <v>23</v>
      </c>
      <c r="D2883" s="5" t="s">
        <v>128</v>
      </c>
      <c r="E2883" s="10" t="str">
        <f t="shared" si="653"/>
        <v>PSND'!</v>
      </c>
      <c r="F2883" s="5" t="str">
        <f t="shared" si="654"/>
        <v>C:\Users\jaime.benazar\Quorum Business Solutions\Ecopetrol Prometeo - Documents\Planning Space Implementation\3. Analysis &amp; Design\Design\FC22\DRR Jaime\QUIFA-CAJÚA\Cajua\[VAS_CAJUA_CF_SEC_20230125.xlsx]CF PSND'!</v>
      </c>
      <c r="G2883" s="7" t="s">
        <v>41</v>
      </c>
      <c r="H2883" s="4"/>
      <c r="I2883" s="4"/>
      <c r="J2883" s="4"/>
    </row>
    <row r="2884" spans="1:10" x14ac:dyDescent="0.25">
      <c r="A2884" s="7" t="s">
        <v>104</v>
      </c>
      <c r="B2884" s="7">
        <f t="shared" si="655"/>
        <v>2055</v>
      </c>
      <c r="C2884" s="4" t="s">
        <v>23</v>
      </c>
      <c r="D2884" s="5" t="s">
        <v>128</v>
      </c>
      <c r="E2884" s="10" t="str">
        <f t="shared" si="653"/>
        <v>PSND'!</v>
      </c>
      <c r="F2884" s="5" t="str">
        <f t="shared" si="654"/>
        <v>C:\Users\jaime.benazar\Quorum Business Solutions\Ecopetrol Prometeo - Documents\Planning Space Implementation\3. Analysis &amp; Design\Design\FC22\DRR Jaime\QUIFA-CAJÚA\Cajua\[VAS_CAJUA_CF_SEC_20230125.xlsx]CF PSND'!</v>
      </c>
      <c r="G2884" s="7" t="s">
        <v>41</v>
      </c>
      <c r="H2884" s="4"/>
      <c r="I2884" s="4"/>
      <c r="J2884" s="4"/>
    </row>
    <row r="2885" spans="1:10" x14ac:dyDescent="0.25">
      <c r="A2885" s="7" t="s">
        <v>104</v>
      </c>
      <c r="B2885" s="7">
        <f t="shared" si="655"/>
        <v>2056</v>
      </c>
      <c r="C2885" s="4" t="s">
        <v>23</v>
      </c>
      <c r="D2885" s="5" t="s">
        <v>128</v>
      </c>
      <c r="E2885" s="10" t="str">
        <f t="shared" si="653"/>
        <v>PSND'!</v>
      </c>
      <c r="F2885" s="5" t="str">
        <f t="shared" si="654"/>
        <v>C:\Users\jaime.benazar\Quorum Business Solutions\Ecopetrol Prometeo - Documents\Planning Space Implementation\3. Analysis &amp; Design\Design\FC22\DRR Jaime\QUIFA-CAJÚA\Cajua\[VAS_CAJUA_CF_SEC_20230125.xlsx]CF PSND'!</v>
      </c>
      <c r="G2885" s="7" t="s">
        <v>41</v>
      </c>
      <c r="H2885" s="4"/>
      <c r="I2885" s="4"/>
      <c r="J2885" s="4"/>
    </row>
    <row r="2886" spans="1:10" x14ac:dyDescent="0.25">
      <c r="A2886" s="7" t="s">
        <v>104</v>
      </c>
      <c r="B2886" s="7">
        <f t="shared" si="655"/>
        <v>2057</v>
      </c>
      <c r="C2886" s="4" t="s">
        <v>23</v>
      </c>
      <c r="D2886" s="5" t="s">
        <v>128</v>
      </c>
      <c r="E2886" s="10" t="str">
        <f t="shared" si="653"/>
        <v>PSND'!</v>
      </c>
      <c r="F2886" s="5" t="str">
        <f t="shared" si="654"/>
        <v>C:\Users\jaime.benazar\Quorum Business Solutions\Ecopetrol Prometeo - Documents\Planning Space Implementation\3. Analysis &amp; Design\Design\FC22\DRR Jaime\QUIFA-CAJÚA\Cajua\[VAS_CAJUA_CF_SEC_20230125.xlsx]CF PSND'!</v>
      </c>
      <c r="G2886" s="7" t="s">
        <v>41</v>
      </c>
      <c r="H2886" s="4"/>
      <c r="I2886" s="4"/>
      <c r="J2886" s="4"/>
    </row>
    <row r="2887" spans="1:10" x14ac:dyDescent="0.25">
      <c r="A2887" s="7" t="s">
        <v>104</v>
      </c>
      <c r="B2887" s="7">
        <f t="shared" si="655"/>
        <v>2058</v>
      </c>
      <c r="C2887" s="4" t="s">
        <v>23</v>
      </c>
      <c r="D2887" s="5" t="s">
        <v>128</v>
      </c>
      <c r="E2887" s="10" t="str">
        <f t="shared" si="653"/>
        <v>PSND'!</v>
      </c>
      <c r="F2887" s="5" t="str">
        <f t="shared" si="654"/>
        <v>C:\Users\jaime.benazar\Quorum Business Solutions\Ecopetrol Prometeo - Documents\Planning Space Implementation\3. Analysis &amp; Design\Design\FC22\DRR Jaime\QUIFA-CAJÚA\Cajua\[VAS_CAJUA_CF_SEC_20230125.xlsx]CF PSND'!</v>
      </c>
      <c r="G2887" s="7" t="s">
        <v>41</v>
      </c>
      <c r="H2887" s="4"/>
      <c r="I2887" s="4"/>
      <c r="J2887" s="4"/>
    </row>
    <row r="2888" spans="1:10" x14ac:dyDescent="0.25">
      <c r="A2888" s="7" t="s">
        <v>104</v>
      </c>
      <c r="B2888" s="7">
        <f t="shared" si="655"/>
        <v>2059</v>
      </c>
      <c r="C2888" s="4" t="s">
        <v>23</v>
      </c>
      <c r="D2888" s="5" t="s">
        <v>128</v>
      </c>
      <c r="E2888" s="10" t="str">
        <f t="shared" si="653"/>
        <v>PSND'!</v>
      </c>
      <c r="F2888" s="5" t="str">
        <f t="shared" si="654"/>
        <v>C:\Users\jaime.benazar\Quorum Business Solutions\Ecopetrol Prometeo - Documents\Planning Space Implementation\3. Analysis &amp; Design\Design\FC22\DRR Jaime\QUIFA-CAJÚA\Cajua\[VAS_CAJUA_CF_SEC_20230125.xlsx]CF PSND'!</v>
      </c>
      <c r="G2888" s="7" t="s">
        <v>41</v>
      </c>
      <c r="H2888" s="4"/>
      <c r="I2888" s="4"/>
      <c r="J2888" s="4"/>
    </row>
    <row r="2889" spans="1:10" x14ac:dyDescent="0.25">
      <c r="A2889" s="7" t="s">
        <v>28</v>
      </c>
      <c r="B2889" s="7"/>
      <c r="C2889" s="4" t="s">
        <v>23</v>
      </c>
      <c r="D2889" s="5"/>
      <c r="E2889" s="10"/>
      <c r="F2889" s="5"/>
      <c r="G2889" s="7"/>
      <c r="H2889" s="4"/>
      <c r="I2889" s="4"/>
      <c r="J2889" s="4"/>
    </row>
    <row r="2890" spans="1:10" x14ac:dyDescent="0.25">
      <c r="A2890" s="7" t="s">
        <v>34</v>
      </c>
      <c r="B2890" s="7">
        <v>2023</v>
      </c>
      <c r="C2890" s="4" t="s">
        <v>23</v>
      </c>
      <c r="D2890" s="5" t="s">
        <v>128</v>
      </c>
      <c r="E2890" s="10" t="str">
        <f t="shared" si="592"/>
        <v>PS'!</v>
      </c>
      <c r="F2890" s="5" t="str">
        <f t="shared" ref="F2890:F2910" si="656">_xlfn.CONCAT(D2890," ",E2890)</f>
        <v>C:\Users\jaime.benazar\Quorum Business Solutions\Ecopetrol Prometeo - Documents\Planning Space Implementation\3. Analysis &amp; Design\Design\FC22\DRR Jaime\QUIFA-CAJÚA\Cajua\[VAS_CAJUA_CF_SEC_20230125.xlsx]CF PS'!</v>
      </c>
      <c r="G2890" s="7" t="s">
        <v>41</v>
      </c>
      <c r="H2890" s="4">
        <f>IF(A2890&lt;&gt;A2760,36,H2760+1)</f>
        <v>36</v>
      </c>
      <c r="I2890" s="4" t="str">
        <f t="shared" si="593"/>
        <v>='C:\Users\jaime.benazar\Quorum Business Solutions\Ecopetrol Prometeo - Documents\Planning Space Implementation\3. Analysis &amp; Design\Design\FC22\DRR Jaime\QUIFA-CAJÚA\Cajua\[VAS_CAJUA_CF_SEC_20230125.xlsx]CF PS'!$DN$36</v>
      </c>
      <c r="J2890" s="4" t="s">
        <v>1387</v>
      </c>
    </row>
    <row r="2891" spans="1:10" x14ac:dyDescent="0.25">
      <c r="A2891" s="7" t="s">
        <v>34</v>
      </c>
      <c r="B2891" s="7">
        <f>+B2890+1</f>
        <v>2024</v>
      </c>
      <c r="C2891" s="4" t="s">
        <v>23</v>
      </c>
      <c r="D2891" s="5" t="s">
        <v>128</v>
      </c>
      <c r="E2891" s="10" t="str">
        <f t="shared" si="592"/>
        <v>PS'!</v>
      </c>
      <c r="F2891" s="5" t="str">
        <f t="shared" si="656"/>
        <v>C:\Users\jaime.benazar\Quorum Business Solutions\Ecopetrol Prometeo - Documents\Planning Space Implementation\3. Analysis &amp; Design\Design\FC22\DRR Jaime\QUIFA-CAJÚA\Cajua\[VAS_CAJUA_CF_SEC_20230125.xlsx]CF PS'!</v>
      </c>
      <c r="G2891" s="7" t="s">
        <v>41</v>
      </c>
      <c r="H2891" s="4">
        <f t="shared" si="594"/>
        <v>37</v>
      </c>
      <c r="I2891" s="4" t="str">
        <f t="shared" si="593"/>
        <v>='C:\Users\jaime.benazar\Quorum Business Solutions\Ecopetrol Prometeo - Documents\Planning Space Implementation\3. Analysis &amp; Design\Design\FC22\DRR Jaime\QUIFA-CAJÚA\Cajua\[VAS_CAJUA_CF_SEC_20230125.xlsx]CF PS'!$DN$37</v>
      </c>
      <c r="J2891" s="4" t="s">
        <v>1388</v>
      </c>
    </row>
    <row r="2892" spans="1:10" x14ac:dyDescent="0.25">
      <c r="A2892" s="7" t="s">
        <v>34</v>
      </c>
      <c r="B2892" s="7">
        <f t="shared" ref="B2892:B2903" si="657">+B2891+1</f>
        <v>2025</v>
      </c>
      <c r="C2892" s="4" t="s">
        <v>23</v>
      </c>
      <c r="D2892" s="5" t="s">
        <v>128</v>
      </c>
      <c r="E2892" s="10" t="str">
        <f t="shared" si="592"/>
        <v>PS'!</v>
      </c>
      <c r="F2892" s="5" t="str">
        <f t="shared" si="656"/>
        <v>C:\Users\jaime.benazar\Quorum Business Solutions\Ecopetrol Prometeo - Documents\Planning Space Implementation\3. Analysis &amp; Design\Design\FC22\DRR Jaime\QUIFA-CAJÚA\Cajua\[VAS_CAJUA_CF_SEC_20230125.xlsx]CF PS'!</v>
      </c>
      <c r="G2892" s="7" t="s">
        <v>41</v>
      </c>
      <c r="H2892" s="4">
        <f t="shared" si="594"/>
        <v>38</v>
      </c>
      <c r="I2892" s="4" t="str">
        <f t="shared" si="593"/>
        <v>='C:\Users\jaime.benazar\Quorum Business Solutions\Ecopetrol Prometeo - Documents\Planning Space Implementation\3. Analysis &amp; Design\Design\FC22\DRR Jaime\QUIFA-CAJÚA\Cajua\[VAS_CAJUA_CF_SEC_20230125.xlsx]CF PS'!$DN$38</v>
      </c>
      <c r="J2892" s="4" t="s">
        <v>1389</v>
      </c>
    </row>
    <row r="2893" spans="1:10" x14ac:dyDescent="0.25">
      <c r="A2893" s="7" t="s">
        <v>34</v>
      </c>
      <c r="B2893" s="7">
        <f t="shared" si="657"/>
        <v>2026</v>
      </c>
      <c r="C2893" s="4" t="s">
        <v>23</v>
      </c>
      <c r="D2893" s="5" t="s">
        <v>128</v>
      </c>
      <c r="E2893" s="10" t="str">
        <f t="shared" si="592"/>
        <v>PS'!</v>
      </c>
      <c r="F2893" s="5" t="str">
        <f t="shared" si="656"/>
        <v>C:\Users\jaime.benazar\Quorum Business Solutions\Ecopetrol Prometeo - Documents\Planning Space Implementation\3. Analysis &amp; Design\Design\FC22\DRR Jaime\QUIFA-CAJÚA\Cajua\[VAS_CAJUA_CF_SEC_20230125.xlsx]CF PS'!</v>
      </c>
      <c r="G2893" s="7" t="s">
        <v>41</v>
      </c>
      <c r="H2893" s="4">
        <f t="shared" si="594"/>
        <v>39</v>
      </c>
      <c r="I2893" s="4" t="str">
        <f t="shared" si="593"/>
        <v>='C:\Users\jaime.benazar\Quorum Business Solutions\Ecopetrol Prometeo - Documents\Planning Space Implementation\3. Analysis &amp; Design\Design\FC22\DRR Jaime\QUIFA-CAJÚA\Cajua\[VAS_CAJUA_CF_SEC_20230125.xlsx]CF PS'!$DN$39</v>
      </c>
      <c r="J2893" s="4" t="s">
        <v>1390</v>
      </c>
    </row>
    <row r="2894" spans="1:10" x14ac:dyDescent="0.25">
      <c r="A2894" s="7" t="s">
        <v>34</v>
      </c>
      <c r="B2894" s="7">
        <f t="shared" si="657"/>
        <v>2027</v>
      </c>
      <c r="C2894" s="4" t="s">
        <v>23</v>
      </c>
      <c r="D2894" s="5" t="s">
        <v>128</v>
      </c>
      <c r="E2894" s="10" t="str">
        <f t="shared" si="592"/>
        <v>PS'!</v>
      </c>
      <c r="F2894" s="5" t="str">
        <f t="shared" si="656"/>
        <v>C:\Users\jaime.benazar\Quorum Business Solutions\Ecopetrol Prometeo - Documents\Planning Space Implementation\3. Analysis &amp; Design\Design\FC22\DRR Jaime\QUIFA-CAJÚA\Cajua\[VAS_CAJUA_CF_SEC_20230125.xlsx]CF PS'!</v>
      </c>
      <c r="G2894" s="7" t="s">
        <v>41</v>
      </c>
      <c r="H2894" s="4">
        <f t="shared" si="594"/>
        <v>40</v>
      </c>
      <c r="I2894" s="4" t="str">
        <f t="shared" si="593"/>
        <v>='C:\Users\jaime.benazar\Quorum Business Solutions\Ecopetrol Prometeo - Documents\Planning Space Implementation\3. Analysis &amp; Design\Design\FC22\DRR Jaime\QUIFA-CAJÚA\Cajua\[VAS_CAJUA_CF_SEC_20230125.xlsx]CF PS'!$DN$40</v>
      </c>
      <c r="J2894" s="4" t="s">
        <v>1391</v>
      </c>
    </row>
    <row r="2895" spans="1:10" x14ac:dyDescent="0.25">
      <c r="A2895" s="7" t="s">
        <v>34</v>
      </c>
      <c r="B2895" s="7">
        <f t="shared" si="657"/>
        <v>2028</v>
      </c>
      <c r="C2895" s="4" t="s">
        <v>23</v>
      </c>
      <c r="D2895" s="5" t="s">
        <v>128</v>
      </c>
      <c r="E2895" s="10" t="str">
        <f t="shared" si="592"/>
        <v>PS'!</v>
      </c>
      <c r="F2895" s="5" t="str">
        <f t="shared" si="656"/>
        <v>C:\Users\jaime.benazar\Quorum Business Solutions\Ecopetrol Prometeo - Documents\Planning Space Implementation\3. Analysis &amp; Design\Design\FC22\DRR Jaime\QUIFA-CAJÚA\Cajua\[VAS_CAJUA_CF_SEC_20230125.xlsx]CF PS'!</v>
      </c>
      <c r="G2895" s="7" t="s">
        <v>41</v>
      </c>
      <c r="H2895" s="4">
        <f t="shared" si="594"/>
        <v>41</v>
      </c>
      <c r="I2895" s="4" t="str">
        <f t="shared" si="593"/>
        <v>='C:\Users\jaime.benazar\Quorum Business Solutions\Ecopetrol Prometeo - Documents\Planning Space Implementation\3. Analysis &amp; Design\Design\FC22\DRR Jaime\QUIFA-CAJÚA\Cajua\[VAS_CAJUA_CF_SEC_20230125.xlsx]CF PS'!$DN$41</v>
      </c>
      <c r="J2895" s="4" t="s">
        <v>1392</v>
      </c>
    </row>
    <row r="2896" spans="1:10" x14ac:dyDescent="0.25">
      <c r="A2896" s="7" t="s">
        <v>34</v>
      </c>
      <c r="B2896" s="7">
        <f t="shared" si="657"/>
        <v>2029</v>
      </c>
      <c r="C2896" s="4" t="s">
        <v>23</v>
      </c>
      <c r="D2896" s="5" t="s">
        <v>128</v>
      </c>
      <c r="E2896" s="10" t="str">
        <f t="shared" si="592"/>
        <v>PS'!</v>
      </c>
      <c r="F2896" s="5" t="str">
        <f t="shared" si="656"/>
        <v>C:\Users\jaime.benazar\Quorum Business Solutions\Ecopetrol Prometeo - Documents\Planning Space Implementation\3. Analysis &amp; Design\Design\FC22\DRR Jaime\QUIFA-CAJÚA\Cajua\[VAS_CAJUA_CF_SEC_20230125.xlsx]CF PS'!</v>
      </c>
      <c r="G2896" s="7" t="s">
        <v>41</v>
      </c>
      <c r="H2896" s="4">
        <f t="shared" si="594"/>
        <v>42</v>
      </c>
      <c r="I2896" s="4" t="str">
        <f t="shared" si="593"/>
        <v>='C:\Users\jaime.benazar\Quorum Business Solutions\Ecopetrol Prometeo - Documents\Planning Space Implementation\3. Analysis &amp; Design\Design\FC22\DRR Jaime\QUIFA-CAJÚA\Cajua\[VAS_CAJUA_CF_SEC_20230125.xlsx]CF PS'!$DN$42</v>
      </c>
      <c r="J2896" s="4" t="s">
        <v>1393</v>
      </c>
    </row>
    <row r="2897" spans="1:10" x14ac:dyDescent="0.25">
      <c r="A2897" s="7" t="s">
        <v>34</v>
      </c>
      <c r="B2897" s="7">
        <f t="shared" si="657"/>
        <v>2030</v>
      </c>
      <c r="C2897" s="4" t="s">
        <v>23</v>
      </c>
      <c r="D2897" s="5" t="s">
        <v>128</v>
      </c>
      <c r="E2897" s="10" t="str">
        <f t="shared" si="592"/>
        <v>PS'!</v>
      </c>
      <c r="F2897" s="5" t="str">
        <f t="shared" si="656"/>
        <v>C:\Users\jaime.benazar\Quorum Business Solutions\Ecopetrol Prometeo - Documents\Planning Space Implementation\3. Analysis &amp; Design\Design\FC22\DRR Jaime\QUIFA-CAJÚA\Cajua\[VAS_CAJUA_CF_SEC_20230125.xlsx]CF PS'!</v>
      </c>
      <c r="G2897" s="7" t="s">
        <v>41</v>
      </c>
      <c r="H2897" s="4">
        <f t="shared" si="594"/>
        <v>43</v>
      </c>
      <c r="I2897" s="4" t="str">
        <f t="shared" si="593"/>
        <v>='C:\Users\jaime.benazar\Quorum Business Solutions\Ecopetrol Prometeo - Documents\Planning Space Implementation\3. Analysis &amp; Design\Design\FC22\DRR Jaime\QUIFA-CAJÚA\Cajua\[VAS_CAJUA_CF_SEC_20230125.xlsx]CF PS'!$DN$43</v>
      </c>
      <c r="J2897" s="4" t="s">
        <v>1394</v>
      </c>
    </row>
    <row r="2898" spans="1:10" x14ac:dyDescent="0.25">
      <c r="A2898" s="7" t="s">
        <v>34</v>
      </c>
      <c r="B2898" s="7">
        <f t="shared" si="657"/>
        <v>2031</v>
      </c>
      <c r="C2898" s="4" t="s">
        <v>23</v>
      </c>
      <c r="D2898" s="5" t="s">
        <v>128</v>
      </c>
      <c r="E2898" s="10" t="str">
        <f t="shared" si="592"/>
        <v>PS'!</v>
      </c>
      <c r="F2898" s="5" t="str">
        <f t="shared" si="656"/>
        <v>C:\Users\jaime.benazar\Quorum Business Solutions\Ecopetrol Prometeo - Documents\Planning Space Implementation\3. Analysis &amp; Design\Design\FC22\DRR Jaime\QUIFA-CAJÚA\Cajua\[VAS_CAJUA_CF_SEC_20230125.xlsx]CF PS'!</v>
      </c>
      <c r="G2898" s="7" t="s">
        <v>41</v>
      </c>
      <c r="H2898" s="4">
        <f t="shared" si="594"/>
        <v>44</v>
      </c>
      <c r="I2898" s="4" t="str">
        <f t="shared" si="593"/>
        <v>='C:\Users\jaime.benazar\Quorum Business Solutions\Ecopetrol Prometeo - Documents\Planning Space Implementation\3. Analysis &amp; Design\Design\FC22\DRR Jaime\QUIFA-CAJÚA\Cajua\[VAS_CAJUA_CF_SEC_20230125.xlsx]CF PS'!$DN$44</v>
      </c>
      <c r="J2898" s="4" t="s">
        <v>1395</v>
      </c>
    </row>
    <row r="2899" spans="1:10" x14ac:dyDescent="0.25">
      <c r="A2899" s="7" t="s">
        <v>34</v>
      </c>
      <c r="B2899" s="7">
        <f t="shared" si="657"/>
        <v>2032</v>
      </c>
      <c r="C2899" s="4" t="s">
        <v>23</v>
      </c>
      <c r="D2899" s="5" t="s">
        <v>128</v>
      </c>
      <c r="E2899" s="10" t="str">
        <f t="shared" si="592"/>
        <v>PS'!</v>
      </c>
      <c r="F2899" s="5" t="str">
        <f t="shared" si="656"/>
        <v>C:\Users\jaime.benazar\Quorum Business Solutions\Ecopetrol Prometeo - Documents\Planning Space Implementation\3. Analysis &amp; Design\Design\FC22\DRR Jaime\QUIFA-CAJÚA\Cajua\[VAS_CAJUA_CF_SEC_20230125.xlsx]CF PS'!</v>
      </c>
      <c r="G2899" s="7" t="s">
        <v>41</v>
      </c>
      <c r="H2899" s="4">
        <f t="shared" si="594"/>
        <v>45</v>
      </c>
      <c r="I2899" s="4" t="str">
        <f t="shared" si="593"/>
        <v>='C:\Users\jaime.benazar\Quorum Business Solutions\Ecopetrol Prometeo - Documents\Planning Space Implementation\3. Analysis &amp; Design\Design\FC22\DRR Jaime\QUIFA-CAJÚA\Cajua\[VAS_CAJUA_CF_SEC_20230125.xlsx]CF PS'!$DN$45</v>
      </c>
      <c r="J2899" s="4" t="s">
        <v>1396</v>
      </c>
    </row>
    <row r="2900" spans="1:10" x14ac:dyDescent="0.25">
      <c r="A2900" s="7" t="s">
        <v>34</v>
      </c>
      <c r="B2900" s="7">
        <f t="shared" si="657"/>
        <v>2033</v>
      </c>
      <c r="C2900" s="4" t="s">
        <v>23</v>
      </c>
      <c r="D2900" s="5" t="s">
        <v>128</v>
      </c>
      <c r="E2900" s="10" t="str">
        <f t="shared" si="592"/>
        <v>PS'!</v>
      </c>
      <c r="F2900" s="5" t="str">
        <f t="shared" si="656"/>
        <v>C:\Users\jaime.benazar\Quorum Business Solutions\Ecopetrol Prometeo - Documents\Planning Space Implementation\3. Analysis &amp; Design\Design\FC22\DRR Jaime\QUIFA-CAJÚA\Cajua\[VAS_CAJUA_CF_SEC_20230125.xlsx]CF PS'!</v>
      </c>
      <c r="G2900" s="7" t="s">
        <v>41</v>
      </c>
      <c r="H2900" s="4">
        <f t="shared" si="594"/>
        <v>46</v>
      </c>
      <c r="I2900" s="4" t="str">
        <f t="shared" si="593"/>
        <v>='C:\Users\jaime.benazar\Quorum Business Solutions\Ecopetrol Prometeo - Documents\Planning Space Implementation\3. Analysis &amp; Design\Design\FC22\DRR Jaime\QUIFA-CAJÚA\Cajua\[VAS_CAJUA_CF_SEC_20230125.xlsx]CF PS'!$DN$46</v>
      </c>
      <c r="J2900" s="4" t="s">
        <v>1397</v>
      </c>
    </row>
    <row r="2901" spans="1:10" x14ac:dyDescent="0.25">
      <c r="A2901" s="7" t="s">
        <v>34</v>
      </c>
      <c r="B2901" s="7">
        <f t="shared" si="657"/>
        <v>2034</v>
      </c>
      <c r="C2901" s="4" t="s">
        <v>23</v>
      </c>
      <c r="D2901" s="5" t="s">
        <v>128</v>
      </c>
      <c r="E2901" s="10" t="str">
        <f t="shared" si="592"/>
        <v>PS'!</v>
      </c>
      <c r="F2901" s="5" t="str">
        <f t="shared" si="656"/>
        <v>C:\Users\jaime.benazar\Quorum Business Solutions\Ecopetrol Prometeo - Documents\Planning Space Implementation\3. Analysis &amp; Design\Design\FC22\DRR Jaime\QUIFA-CAJÚA\Cajua\[VAS_CAJUA_CF_SEC_20230125.xlsx]CF PS'!</v>
      </c>
      <c r="G2901" s="7" t="s">
        <v>41</v>
      </c>
      <c r="H2901" s="4">
        <f t="shared" si="594"/>
        <v>47</v>
      </c>
      <c r="I2901" s="4" t="str">
        <f t="shared" si="593"/>
        <v>='C:\Users\jaime.benazar\Quorum Business Solutions\Ecopetrol Prometeo - Documents\Planning Space Implementation\3. Analysis &amp; Design\Design\FC22\DRR Jaime\QUIFA-CAJÚA\Cajua\[VAS_CAJUA_CF_SEC_20230125.xlsx]CF PS'!$DN$47</v>
      </c>
      <c r="J2901" s="4" t="s">
        <v>1398</v>
      </c>
    </row>
    <row r="2902" spans="1:10" x14ac:dyDescent="0.25">
      <c r="A2902" s="7" t="s">
        <v>34</v>
      </c>
      <c r="B2902" s="7">
        <f t="shared" si="657"/>
        <v>2035</v>
      </c>
      <c r="C2902" s="4" t="s">
        <v>23</v>
      </c>
      <c r="D2902" s="5" t="s">
        <v>128</v>
      </c>
      <c r="E2902" s="10" t="str">
        <f t="shared" si="592"/>
        <v>PS'!</v>
      </c>
      <c r="F2902" s="5" t="str">
        <f t="shared" si="656"/>
        <v>C:\Users\jaime.benazar\Quorum Business Solutions\Ecopetrol Prometeo - Documents\Planning Space Implementation\3. Analysis &amp; Design\Design\FC22\DRR Jaime\QUIFA-CAJÚA\Cajua\[VAS_CAJUA_CF_SEC_20230125.xlsx]CF PS'!</v>
      </c>
      <c r="G2902" s="7" t="s">
        <v>41</v>
      </c>
      <c r="H2902" s="4">
        <f t="shared" si="594"/>
        <v>48</v>
      </c>
      <c r="I2902" s="4" t="str">
        <f t="shared" si="593"/>
        <v>='C:\Users\jaime.benazar\Quorum Business Solutions\Ecopetrol Prometeo - Documents\Planning Space Implementation\3. Analysis &amp; Design\Design\FC22\DRR Jaime\QUIFA-CAJÚA\Cajua\[VAS_CAJUA_CF_SEC_20230125.xlsx]CF PS'!$DN$48</v>
      </c>
      <c r="J2902" s="4" t="s">
        <v>1399</v>
      </c>
    </row>
    <row r="2903" spans="1:10" x14ac:dyDescent="0.25">
      <c r="A2903" s="7" t="s">
        <v>34</v>
      </c>
      <c r="B2903" s="7">
        <f t="shared" si="657"/>
        <v>2036</v>
      </c>
      <c r="C2903" s="4" t="s">
        <v>23</v>
      </c>
      <c r="D2903" s="5" t="s">
        <v>128</v>
      </c>
      <c r="E2903" s="10" t="str">
        <f t="shared" si="592"/>
        <v>PS'!</v>
      </c>
      <c r="F2903" s="5" t="str">
        <f t="shared" si="656"/>
        <v>C:\Users\jaime.benazar\Quorum Business Solutions\Ecopetrol Prometeo - Documents\Planning Space Implementation\3. Analysis &amp; Design\Design\FC22\DRR Jaime\QUIFA-CAJÚA\Cajua\[VAS_CAJUA_CF_SEC_20230125.xlsx]CF PS'!</v>
      </c>
      <c r="G2903" s="7" t="s">
        <v>41</v>
      </c>
      <c r="H2903" s="4">
        <f t="shared" si="594"/>
        <v>49</v>
      </c>
      <c r="I2903" s="4" t="str">
        <f t="shared" si="593"/>
        <v>='C:\Users\jaime.benazar\Quorum Business Solutions\Ecopetrol Prometeo - Documents\Planning Space Implementation\3. Analysis &amp; Design\Design\FC22\DRR Jaime\QUIFA-CAJÚA\Cajua\[VAS_CAJUA_CF_SEC_20230125.xlsx]CF PS'!$DN$49</v>
      </c>
      <c r="J2903" s="4" t="s">
        <v>1400</v>
      </c>
    </row>
    <row r="2904" spans="1:10" x14ac:dyDescent="0.25">
      <c r="A2904" s="7" t="s">
        <v>34</v>
      </c>
      <c r="B2904" s="7">
        <f>+B2903+1</f>
        <v>2037</v>
      </c>
      <c r="C2904" s="4" t="s">
        <v>23</v>
      </c>
      <c r="D2904" s="5" t="s">
        <v>128</v>
      </c>
      <c r="E2904" s="10" t="str">
        <f t="shared" si="592"/>
        <v>PS'!</v>
      </c>
      <c r="F2904" s="5" t="str">
        <f t="shared" si="656"/>
        <v>C:\Users\jaime.benazar\Quorum Business Solutions\Ecopetrol Prometeo - Documents\Planning Space Implementation\3. Analysis &amp; Design\Design\FC22\DRR Jaime\QUIFA-CAJÚA\Cajua\[VAS_CAJUA_CF_SEC_20230125.xlsx]CF PS'!</v>
      </c>
      <c r="G2904" s="7" t="s">
        <v>41</v>
      </c>
      <c r="H2904" s="4">
        <f t="shared" si="594"/>
        <v>50</v>
      </c>
      <c r="I2904" s="4" t="str">
        <f t="shared" si="593"/>
        <v>='C:\Users\jaime.benazar\Quorum Business Solutions\Ecopetrol Prometeo - Documents\Planning Space Implementation\3. Analysis &amp; Design\Design\FC22\DRR Jaime\QUIFA-CAJÚA\Cajua\[VAS_CAJUA_CF_SEC_20230125.xlsx]CF PS'!$DN$50</v>
      </c>
      <c r="J2904" s="4" t="s">
        <v>1401</v>
      </c>
    </row>
    <row r="2905" spans="1:10" x14ac:dyDescent="0.25">
      <c r="A2905" s="7" t="s">
        <v>34</v>
      </c>
      <c r="B2905" s="7">
        <f t="shared" ref="B2905:B2907" si="658">+B2904+1</f>
        <v>2038</v>
      </c>
      <c r="C2905" s="4" t="s">
        <v>23</v>
      </c>
      <c r="D2905" s="5" t="s">
        <v>128</v>
      </c>
      <c r="E2905" s="10" t="str">
        <f t="shared" si="592"/>
        <v>PS'!</v>
      </c>
      <c r="F2905" s="5" t="str">
        <f t="shared" si="656"/>
        <v>C:\Users\jaime.benazar\Quorum Business Solutions\Ecopetrol Prometeo - Documents\Planning Space Implementation\3. Analysis &amp; Design\Design\FC22\DRR Jaime\QUIFA-CAJÚA\Cajua\[VAS_CAJUA_CF_SEC_20230125.xlsx]CF PS'!</v>
      </c>
      <c r="G2905" s="7" t="s">
        <v>41</v>
      </c>
      <c r="H2905" s="4">
        <f t="shared" si="594"/>
        <v>51</v>
      </c>
      <c r="I2905" s="4" t="str">
        <f t="shared" si="593"/>
        <v>='C:\Users\jaime.benazar\Quorum Business Solutions\Ecopetrol Prometeo - Documents\Planning Space Implementation\3. Analysis &amp; Design\Design\FC22\DRR Jaime\QUIFA-CAJÚA\Cajua\[VAS_CAJUA_CF_SEC_20230125.xlsx]CF PS'!$DN$51</v>
      </c>
      <c r="J2905" s="4" t="s">
        <v>1402</v>
      </c>
    </row>
    <row r="2906" spans="1:10" x14ac:dyDescent="0.25">
      <c r="A2906" s="7" t="s">
        <v>34</v>
      </c>
      <c r="B2906" s="7">
        <f t="shared" si="658"/>
        <v>2039</v>
      </c>
      <c r="C2906" s="4" t="s">
        <v>23</v>
      </c>
      <c r="D2906" s="5" t="s">
        <v>128</v>
      </c>
      <c r="E2906" s="10" t="str">
        <f t="shared" si="592"/>
        <v>PS'!</v>
      </c>
      <c r="F2906" s="5" t="str">
        <f t="shared" si="656"/>
        <v>C:\Users\jaime.benazar\Quorum Business Solutions\Ecopetrol Prometeo - Documents\Planning Space Implementation\3. Analysis &amp; Design\Design\FC22\DRR Jaime\QUIFA-CAJÚA\Cajua\[VAS_CAJUA_CF_SEC_20230125.xlsx]CF PS'!</v>
      </c>
      <c r="G2906" s="7" t="s">
        <v>41</v>
      </c>
      <c r="H2906" s="4">
        <f t="shared" si="594"/>
        <v>52</v>
      </c>
      <c r="I2906" s="4" t="str">
        <f t="shared" si="593"/>
        <v>='C:\Users\jaime.benazar\Quorum Business Solutions\Ecopetrol Prometeo - Documents\Planning Space Implementation\3. Analysis &amp; Design\Design\FC22\DRR Jaime\QUIFA-CAJÚA\Cajua\[VAS_CAJUA_CF_SEC_20230125.xlsx]CF PS'!$DN$52</v>
      </c>
      <c r="J2906" s="4" t="s">
        <v>1403</v>
      </c>
    </row>
    <row r="2907" spans="1:10" x14ac:dyDescent="0.25">
      <c r="A2907" s="7" t="s">
        <v>34</v>
      </c>
      <c r="B2907" s="7">
        <f t="shared" si="658"/>
        <v>2040</v>
      </c>
      <c r="C2907" s="4" t="s">
        <v>23</v>
      </c>
      <c r="D2907" s="5" t="s">
        <v>128</v>
      </c>
      <c r="E2907" s="10" t="str">
        <f t="shared" si="592"/>
        <v>PS'!</v>
      </c>
      <c r="F2907" s="5" t="str">
        <f t="shared" si="656"/>
        <v>C:\Users\jaime.benazar\Quorum Business Solutions\Ecopetrol Prometeo - Documents\Planning Space Implementation\3. Analysis &amp; Design\Design\FC22\DRR Jaime\QUIFA-CAJÚA\Cajua\[VAS_CAJUA_CF_SEC_20230125.xlsx]CF PS'!</v>
      </c>
      <c r="G2907" s="7" t="s">
        <v>41</v>
      </c>
      <c r="H2907" s="4">
        <f t="shared" si="594"/>
        <v>53</v>
      </c>
      <c r="I2907" s="4" t="str">
        <f t="shared" si="593"/>
        <v>='C:\Users\jaime.benazar\Quorum Business Solutions\Ecopetrol Prometeo - Documents\Planning Space Implementation\3. Analysis &amp; Design\Design\FC22\DRR Jaime\QUIFA-CAJÚA\Cajua\[VAS_CAJUA_CF_SEC_20230125.xlsx]CF PS'!$DN$53</v>
      </c>
      <c r="J2907" s="4" t="s">
        <v>1404</v>
      </c>
    </row>
    <row r="2908" spans="1:10" x14ac:dyDescent="0.25">
      <c r="A2908" s="7" t="s">
        <v>34</v>
      </c>
      <c r="B2908" s="7">
        <f>+B2907+1</f>
        <v>2041</v>
      </c>
      <c r="C2908" s="4" t="s">
        <v>23</v>
      </c>
      <c r="D2908" s="5" t="s">
        <v>128</v>
      </c>
      <c r="E2908" s="10" t="str">
        <f t="shared" si="592"/>
        <v>PS'!</v>
      </c>
      <c r="F2908" s="5" t="str">
        <f t="shared" si="656"/>
        <v>C:\Users\jaime.benazar\Quorum Business Solutions\Ecopetrol Prometeo - Documents\Planning Space Implementation\3. Analysis &amp; Design\Design\FC22\DRR Jaime\QUIFA-CAJÚA\Cajua\[VAS_CAJUA_CF_SEC_20230125.xlsx]CF PS'!</v>
      </c>
      <c r="G2908" s="7" t="s">
        <v>41</v>
      </c>
      <c r="H2908" s="4">
        <f t="shared" si="594"/>
        <v>54</v>
      </c>
      <c r="I2908" s="4" t="str">
        <f t="shared" si="593"/>
        <v>='C:\Users\jaime.benazar\Quorum Business Solutions\Ecopetrol Prometeo - Documents\Planning Space Implementation\3. Analysis &amp; Design\Design\FC22\DRR Jaime\QUIFA-CAJÚA\Cajua\[VAS_CAJUA_CF_SEC_20230125.xlsx]CF PS'!$DN$54</v>
      </c>
      <c r="J2908" s="4" t="s">
        <v>1405</v>
      </c>
    </row>
    <row r="2909" spans="1:10" x14ac:dyDescent="0.25">
      <c r="A2909" s="7" t="s">
        <v>34</v>
      </c>
      <c r="B2909" s="7">
        <f t="shared" ref="B2909:B2910" si="659">+B2908+1</f>
        <v>2042</v>
      </c>
      <c r="C2909" s="4" t="s">
        <v>23</v>
      </c>
      <c r="D2909" s="5" t="s">
        <v>128</v>
      </c>
      <c r="E2909" s="10" t="str">
        <f t="shared" si="592"/>
        <v>PS'!</v>
      </c>
      <c r="F2909" s="5" t="str">
        <f t="shared" si="656"/>
        <v>C:\Users\jaime.benazar\Quorum Business Solutions\Ecopetrol Prometeo - Documents\Planning Space Implementation\3. Analysis &amp; Design\Design\FC22\DRR Jaime\QUIFA-CAJÚA\Cajua\[VAS_CAJUA_CF_SEC_20230125.xlsx]CF PS'!</v>
      </c>
      <c r="G2909" s="7" t="s">
        <v>41</v>
      </c>
      <c r="H2909" s="4">
        <f t="shared" si="594"/>
        <v>55</v>
      </c>
      <c r="I2909" s="4" t="str">
        <f t="shared" si="593"/>
        <v>='C:\Users\jaime.benazar\Quorum Business Solutions\Ecopetrol Prometeo - Documents\Planning Space Implementation\3. Analysis &amp; Design\Design\FC22\DRR Jaime\QUIFA-CAJÚA\Cajua\[VAS_CAJUA_CF_SEC_20230125.xlsx]CF PS'!$DN$55</v>
      </c>
      <c r="J2909" s="4" t="s">
        <v>1406</v>
      </c>
    </row>
    <row r="2910" spans="1:10" x14ac:dyDescent="0.25">
      <c r="A2910" s="7" t="s">
        <v>34</v>
      </c>
      <c r="B2910" s="7">
        <f t="shared" si="659"/>
        <v>2043</v>
      </c>
      <c r="C2910" s="4" t="s">
        <v>23</v>
      </c>
      <c r="D2910" s="5" t="s">
        <v>128</v>
      </c>
      <c r="E2910" s="10" t="str">
        <f t="shared" si="592"/>
        <v>PS'!</v>
      </c>
      <c r="F2910" s="5" t="str">
        <f t="shared" si="656"/>
        <v>C:\Users\jaime.benazar\Quorum Business Solutions\Ecopetrol Prometeo - Documents\Planning Space Implementation\3. Analysis &amp; Design\Design\FC22\DRR Jaime\QUIFA-CAJÚA\Cajua\[VAS_CAJUA_CF_SEC_20230125.xlsx]CF PS'!</v>
      </c>
      <c r="G2910" s="7" t="s">
        <v>41</v>
      </c>
      <c r="H2910" s="4">
        <f t="shared" si="594"/>
        <v>56</v>
      </c>
      <c r="I2910" s="4" t="str">
        <f t="shared" si="593"/>
        <v>='C:\Users\jaime.benazar\Quorum Business Solutions\Ecopetrol Prometeo - Documents\Planning Space Implementation\3. Analysis &amp; Design\Design\FC22\DRR Jaime\QUIFA-CAJÚA\Cajua\[VAS_CAJUA_CF_SEC_20230125.xlsx]CF PS'!$DN$56</v>
      </c>
      <c r="J2910" s="4" t="s">
        <v>1407</v>
      </c>
    </row>
    <row r="2911" spans="1:10" x14ac:dyDescent="0.25">
      <c r="A2911" s="7" t="s">
        <v>34</v>
      </c>
      <c r="B2911" s="7">
        <f>+B2910+1</f>
        <v>2044</v>
      </c>
      <c r="C2911" s="4" t="s">
        <v>23</v>
      </c>
      <c r="D2911" s="5" t="s">
        <v>128</v>
      </c>
      <c r="E2911" s="10" t="str">
        <f t="shared" ref="E2911:E2926" si="660">_xlfn.CONCAT(A2911,"'!")</f>
        <v>PS'!</v>
      </c>
      <c r="F2911" s="5" t="str">
        <f t="shared" ref="F2911:F2926" si="661">_xlfn.CONCAT(D2911," ",E2911)</f>
        <v>C:\Users\jaime.benazar\Quorum Business Solutions\Ecopetrol Prometeo - Documents\Planning Space Implementation\3. Analysis &amp; Design\Design\FC22\DRR Jaime\QUIFA-CAJÚA\Cajua\[VAS_CAJUA_CF_SEC_20230125.xlsx]CF PS'!</v>
      </c>
      <c r="G2911" s="7" t="s">
        <v>41</v>
      </c>
      <c r="H2911" s="4">
        <f t="shared" ref="H2911:H2926" si="662">IF(A2911&lt;&gt;A2910,36,H2910+1)</f>
        <v>57</v>
      </c>
      <c r="I2911" s="4" t="str">
        <f t="shared" ref="I2911:I2926" si="663">_xlfn.CONCAT("='",F2911:H2911)</f>
        <v>='C:\Users\jaime.benazar\Quorum Business Solutions\Ecopetrol Prometeo - Documents\Planning Space Implementation\3. Analysis &amp; Design\Design\FC22\DRR Jaime\QUIFA-CAJÚA\Cajua\[VAS_CAJUA_CF_SEC_20230125.xlsx]CF PS'!$DN$57</v>
      </c>
      <c r="J2911" s="4" t="s">
        <v>1408</v>
      </c>
    </row>
    <row r="2912" spans="1:10" x14ac:dyDescent="0.25">
      <c r="A2912" s="7" t="s">
        <v>34</v>
      </c>
      <c r="B2912" s="7">
        <f t="shared" ref="B2912:B2926" si="664">+B2911+1</f>
        <v>2045</v>
      </c>
      <c r="C2912" s="4" t="s">
        <v>23</v>
      </c>
      <c r="D2912" s="5" t="s">
        <v>128</v>
      </c>
      <c r="E2912" s="10" t="str">
        <f t="shared" si="660"/>
        <v>PS'!</v>
      </c>
      <c r="F2912" s="5" t="str">
        <f t="shared" si="661"/>
        <v>C:\Users\jaime.benazar\Quorum Business Solutions\Ecopetrol Prometeo - Documents\Planning Space Implementation\3. Analysis &amp; Design\Design\FC22\DRR Jaime\QUIFA-CAJÚA\Cajua\[VAS_CAJUA_CF_SEC_20230125.xlsx]CF PS'!</v>
      </c>
      <c r="G2912" s="7" t="s">
        <v>41</v>
      </c>
      <c r="H2912" s="4">
        <f t="shared" si="662"/>
        <v>58</v>
      </c>
      <c r="I2912" s="4" t="str">
        <f t="shared" si="663"/>
        <v>='C:\Users\jaime.benazar\Quorum Business Solutions\Ecopetrol Prometeo - Documents\Planning Space Implementation\3. Analysis &amp; Design\Design\FC22\DRR Jaime\QUIFA-CAJÚA\Cajua\[VAS_CAJUA_CF_SEC_20230125.xlsx]CF PS'!$DN$58</v>
      </c>
      <c r="J2912" s="4" t="s">
        <v>1409</v>
      </c>
    </row>
    <row r="2913" spans="1:10" x14ac:dyDescent="0.25">
      <c r="A2913" s="7" t="s">
        <v>34</v>
      </c>
      <c r="B2913" s="7">
        <f t="shared" si="664"/>
        <v>2046</v>
      </c>
      <c r="C2913" s="4" t="s">
        <v>23</v>
      </c>
      <c r="D2913" s="5" t="s">
        <v>128</v>
      </c>
      <c r="E2913" s="10" t="str">
        <f t="shared" si="660"/>
        <v>PS'!</v>
      </c>
      <c r="F2913" s="5" t="str">
        <f t="shared" si="661"/>
        <v>C:\Users\jaime.benazar\Quorum Business Solutions\Ecopetrol Prometeo - Documents\Planning Space Implementation\3. Analysis &amp; Design\Design\FC22\DRR Jaime\QUIFA-CAJÚA\Cajua\[VAS_CAJUA_CF_SEC_20230125.xlsx]CF PS'!</v>
      </c>
      <c r="G2913" s="7" t="s">
        <v>41</v>
      </c>
      <c r="H2913" s="4">
        <f t="shared" si="662"/>
        <v>59</v>
      </c>
      <c r="I2913" s="4" t="str">
        <f t="shared" si="663"/>
        <v>='C:\Users\jaime.benazar\Quorum Business Solutions\Ecopetrol Prometeo - Documents\Planning Space Implementation\3. Analysis &amp; Design\Design\FC22\DRR Jaime\QUIFA-CAJÚA\Cajua\[VAS_CAJUA_CF_SEC_20230125.xlsx]CF PS'!$DN$59</v>
      </c>
      <c r="J2913" s="4" t="s">
        <v>1410</v>
      </c>
    </row>
    <row r="2914" spans="1:10" x14ac:dyDescent="0.25">
      <c r="A2914" s="7" t="s">
        <v>34</v>
      </c>
      <c r="B2914" s="7">
        <f t="shared" si="664"/>
        <v>2047</v>
      </c>
      <c r="C2914" s="4" t="s">
        <v>23</v>
      </c>
      <c r="D2914" s="5" t="s">
        <v>128</v>
      </c>
      <c r="E2914" s="10" t="str">
        <f t="shared" si="660"/>
        <v>PS'!</v>
      </c>
      <c r="F2914" s="5" t="str">
        <f t="shared" si="661"/>
        <v>C:\Users\jaime.benazar\Quorum Business Solutions\Ecopetrol Prometeo - Documents\Planning Space Implementation\3. Analysis &amp; Design\Design\FC22\DRR Jaime\QUIFA-CAJÚA\Cajua\[VAS_CAJUA_CF_SEC_20230125.xlsx]CF PS'!</v>
      </c>
      <c r="G2914" s="7" t="s">
        <v>41</v>
      </c>
      <c r="H2914" s="4">
        <f t="shared" si="662"/>
        <v>60</v>
      </c>
      <c r="I2914" s="4" t="str">
        <f t="shared" si="663"/>
        <v>='C:\Users\jaime.benazar\Quorum Business Solutions\Ecopetrol Prometeo - Documents\Planning Space Implementation\3. Analysis &amp; Design\Design\FC22\DRR Jaime\QUIFA-CAJÚA\Cajua\[VAS_CAJUA_CF_SEC_20230125.xlsx]CF PS'!$DN$60</v>
      </c>
      <c r="J2914" s="4" t="s">
        <v>1411</v>
      </c>
    </row>
    <row r="2915" spans="1:10" x14ac:dyDescent="0.25">
      <c r="A2915" s="7" t="s">
        <v>34</v>
      </c>
      <c r="B2915" s="7">
        <f t="shared" si="664"/>
        <v>2048</v>
      </c>
      <c r="C2915" s="4" t="s">
        <v>23</v>
      </c>
      <c r="D2915" s="5" t="s">
        <v>128</v>
      </c>
      <c r="E2915" s="10" t="str">
        <f t="shared" si="660"/>
        <v>PS'!</v>
      </c>
      <c r="F2915" s="5" t="str">
        <f t="shared" si="661"/>
        <v>C:\Users\jaime.benazar\Quorum Business Solutions\Ecopetrol Prometeo - Documents\Planning Space Implementation\3. Analysis &amp; Design\Design\FC22\DRR Jaime\QUIFA-CAJÚA\Cajua\[VAS_CAJUA_CF_SEC_20230125.xlsx]CF PS'!</v>
      </c>
      <c r="G2915" s="7" t="s">
        <v>41</v>
      </c>
      <c r="H2915" s="4">
        <f t="shared" si="662"/>
        <v>61</v>
      </c>
      <c r="I2915" s="4" t="str">
        <f t="shared" si="663"/>
        <v>='C:\Users\jaime.benazar\Quorum Business Solutions\Ecopetrol Prometeo - Documents\Planning Space Implementation\3. Analysis &amp; Design\Design\FC22\DRR Jaime\QUIFA-CAJÚA\Cajua\[VAS_CAJUA_CF_SEC_20230125.xlsx]CF PS'!$DN$61</v>
      </c>
      <c r="J2915" s="4" t="s">
        <v>1412</v>
      </c>
    </row>
    <row r="2916" spans="1:10" x14ac:dyDescent="0.25">
      <c r="A2916" s="7" t="s">
        <v>34</v>
      </c>
      <c r="B2916" s="7">
        <f t="shared" si="664"/>
        <v>2049</v>
      </c>
      <c r="C2916" s="4" t="s">
        <v>23</v>
      </c>
      <c r="D2916" s="5" t="s">
        <v>128</v>
      </c>
      <c r="E2916" s="10" t="str">
        <f t="shared" si="660"/>
        <v>PS'!</v>
      </c>
      <c r="F2916" s="5" t="str">
        <f t="shared" si="661"/>
        <v>C:\Users\jaime.benazar\Quorum Business Solutions\Ecopetrol Prometeo - Documents\Planning Space Implementation\3. Analysis &amp; Design\Design\FC22\DRR Jaime\QUIFA-CAJÚA\Cajua\[VAS_CAJUA_CF_SEC_20230125.xlsx]CF PS'!</v>
      </c>
      <c r="G2916" s="7" t="s">
        <v>41</v>
      </c>
      <c r="H2916" s="4">
        <f t="shared" si="662"/>
        <v>62</v>
      </c>
      <c r="I2916" s="4" t="str">
        <f t="shared" si="663"/>
        <v>='C:\Users\jaime.benazar\Quorum Business Solutions\Ecopetrol Prometeo - Documents\Planning Space Implementation\3. Analysis &amp; Design\Design\FC22\DRR Jaime\QUIFA-CAJÚA\Cajua\[VAS_CAJUA_CF_SEC_20230125.xlsx]CF PS'!$DN$62</v>
      </c>
      <c r="J2916" s="4" t="s">
        <v>1413</v>
      </c>
    </row>
    <row r="2917" spans="1:10" x14ac:dyDescent="0.25">
      <c r="A2917" s="7" t="s">
        <v>34</v>
      </c>
      <c r="B2917" s="7">
        <f t="shared" si="664"/>
        <v>2050</v>
      </c>
      <c r="C2917" s="4" t="s">
        <v>23</v>
      </c>
      <c r="D2917" s="5" t="s">
        <v>128</v>
      </c>
      <c r="E2917" s="10" t="str">
        <f t="shared" si="660"/>
        <v>PS'!</v>
      </c>
      <c r="F2917" s="5" t="str">
        <f t="shared" si="661"/>
        <v>C:\Users\jaime.benazar\Quorum Business Solutions\Ecopetrol Prometeo - Documents\Planning Space Implementation\3. Analysis &amp; Design\Design\FC22\DRR Jaime\QUIFA-CAJÚA\Cajua\[VAS_CAJUA_CF_SEC_20230125.xlsx]CF PS'!</v>
      </c>
      <c r="G2917" s="7" t="s">
        <v>41</v>
      </c>
      <c r="H2917" s="4">
        <f t="shared" si="662"/>
        <v>63</v>
      </c>
      <c r="I2917" s="4" t="str">
        <f t="shared" si="663"/>
        <v>='C:\Users\jaime.benazar\Quorum Business Solutions\Ecopetrol Prometeo - Documents\Planning Space Implementation\3. Analysis &amp; Design\Design\FC22\DRR Jaime\QUIFA-CAJÚA\Cajua\[VAS_CAJUA_CF_SEC_20230125.xlsx]CF PS'!$DN$63</v>
      </c>
      <c r="J2917" s="4" t="s">
        <v>1414</v>
      </c>
    </row>
    <row r="2918" spans="1:10" x14ac:dyDescent="0.25">
      <c r="A2918" s="7" t="s">
        <v>34</v>
      </c>
      <c r="B2918" s="7">
        <f t="shared" si="664"/>
        <v>2051</v>
      </c>
      <c r="C2918" s="4" t="s">
        <v>23</v>
      </c>
      <c r="D2918" s="5" t="s">
        <v>128</v>
      </c>
      <c r="E2918" s="10" t="str">
        <f t="shared" si="660"/>
        <v>PS'!</v>
      </c>
      <c r="F2918" s="5" t="str">
        <f t="shared" si="661"/>
        <v>C:\Users\jaime.benazar\Quorum Business Solutions\Ecopetrol Prometeo - Documents\Planning Space Implementation\3. Analysis &amp; Design\Design\FC22\DRR Jaime\QUIFA-CAJÚA\Cajua\[VAS_CAJUA_CF_SEC_20230125.xlsx]CF PS'!</v>
      </c>
      <c r="G2918" s="7" t="s">
        <v>41</v>
      </c>
      <c r="H2918" s="4">
        <f t="shared" si="662"/>
        <v>64</v>
      </c>
      <c r="I2918" s="4" t="str">
        <f t="shared" si="663"/>
        <v>='C:\Users\jaime.benazar\Quorum Business Solutions\Ecopetrol Prometeo - Documents\Planning Space Implementation\3. Analysis &amp; Design\Design\FC22\DRR Jaime\QUIFA-CAJÚA\Cajua\[VAS_CAJUA_CF_SEC_20230125.xlsx]CF PS'!$DN$64</v>
      </c>
      <c r="J2918" s="4" t="s">
        <v>1415</v>
      </c>
    </row>
    <row r="2919" spans="1:10" x14ac:dyDescent="0.25">
      <c r="A2919" s="7" t="s">
        <v>34</v>
      </c>
      <c r="B2919" s="7">
        <f t="shared" si="664"/>
        <v>2052</v>
      </c>
      <c r="C2919" s="4" t="s">
        <v>23</v>
      </c>
      <c r="D2919" s="5" t="s">
        <v>128</v>
      </c>
      <c r="E2919" s="10" t="str">
        <f t="shared" si="660"/>
        <v>PS'!</v>
      </c>
      <c r="F2919" s="5" t="str">
        <f t="shared" si="661"/>
        <v>C:\Users\jaime.benazar\Quorum Business Solutions\Ecopetrol Prometeo - Documents\Planning Space Implementation\3. Analysis &amp; Design\Design\FC22\DRR Jaime\QUIFA-CAJÚA\Cajua\[VAS_CAJUA_CF_SEC_20230125.xlsx]CF PS'!</v>
      </c>
      <c r="G2919" s="7" t="s">
        <v>41</v>
      </c>
      <c r="H2919" s="4">
        <f t="shared" si="662"/>
        <v>65</v>
      </c>
      <c r="I2919" s="4" t="str">
        <f t="shared" si="663"/>
        <v>='C:\Users\jaime.benazar\Quorum Business Solutions\Ecopetrol Prometeo - Documents\Planning Space Implementation\3. Analysis &amp; Design\Design\FC22\DRR Jaime\QUIFA-CAJÚA\Cajua\[VAS_CAJUA_CF_SEC_20230125.xlsx]CF PS'!$DN$65</v>
      </c>
      <c r="J2919" s="4" t="s">
        <v>1416</v>
      </c>
    </row>
    <row r="2920" spans="1:10" x14ac:dyDescent="0.25">
      <c r="A2920" s="7" t="s">
        <v>34</v>
      </c>
      <c r="B2920" s="7">
        <f t="shared" si="664"/>
        <v>2053</v>
      </c>
      <c r="C2920" s="4" t="s">
        <v>23</v>
      </c>
      <c r="D2920" s="5" t="s">
        <v>128</v>
      </c>
      <c r="E2920" s="10" t="str">
        <f t="shared" si="660"/>
        <v>PS'!</v>
      </c>
      <c r="F2920" s="5" t="str">
        <f t="shared" si="661"/>
        <v>C:\Users\jaime.benazar\Quorum Business Solutions\Ecopetrol Prometeo - Documents\Planning Space Implementation\3. Analysis &amp; Design\Design\FC22\DRR Jaime\QUIFA-CAJÚA\Cajua\[VAS_CAJUA_CF_SEC_20230125.xlsx]CF PS'!</v>
      </c>
      <c r="G2920" s="7" t="s">
        <v>41</v>
      </c>
      <c r="H2920" s="4">
        <f t="shared" si="662"/>
        <v>66</v>
      </c>
      <c r="I2920" s="4" t="str">
        <f t="shared" si="663"/>
        <v>='C:\Users\jaime.benazar\Quorum Business Solutions\Ecopetrol Prometeo - Documents\Planning Space Implementation\3. Analysis &amp; Design\Design\FC22\DRR Jaime\QUIFA-CAJÚA\Cajua\[VAS_CAJUA_CF_SEC_20230125.xlsx]CF PS'!$DN$66</v>
      </c>
      <c r="J2920" s="4" t="s">
        <v>1417</v>
      </c>
    </row>
    <row r="2921" spans="1:10" x14ac:dyDescent="0.25">
      <c r="A2921" s="7" t="s">
        <v>34</v>
      </c>
      <c r="B2921" s="7">
        <f t="shared" si="664"/>
        <v>2054</v>
      </c>
      <c r="C2921" s="4" t="s">
        <v>23</v>
      </c>
      <c r="D2921" s="5" t="s">
        <v>128</v>
      </c>
      <c r="E2921" s="10" t="str">
        <f t="shared" si="660"/>
        <v>PS'!</v>
      </c>
      <c r="F2921" s="5" t="str">
        <f t="shared" si="661"/>
        <v>C:\Users\jaime.benazar\Quorum Business Solutions\Ecopetrol Prometeo - Documents\Planning Space Implementation\3. Analysis &amp; Design\Design\FC22\DRR Jaime\QUIFA-CAJÚA\Cajua\[VAS_CAJUA_CF_SEC_20230125.xlsx]CF PS'!</v>
      </c>
      <c r="G2921" s="7" t="s">
        <v>41</v>
      </c>
      <c r="H2921" s="4">
        <f t="shared" si="662"/>
        <v>67</v>
      </c>
      <c r="I2921" s="4" t="str">
        <f t="shared" si="663"/>
        <v>='C:\Users\jaime.benazar\Quorum Business Solutions\Ecopetrol Prometeo - Documents\Planning Space Implementation\3. Analysis &amp; Design\Design\FC22\DRR Jaime\QUIFA-CAJÚA\Cajua\[VAS_CAJUA_CF_SEC_20230125.xlsx]CF PS'!$DN$67</v>
      </c>
      <c r="J2921" s="4" t="s">
        <v>1418</v>
      </c>
    </row>
    <row r="2922" spans="1:10" x14ac:dyDescent="0.25">
      <c r="A2922" s="7" t="s">
        <v>34</v>
      </c>
      <c r="B2922" s="7">
        <f t="shared" si="664"/>
        <v>2055</v>
      </c>
      <c r="C2922" s="4" t="s">
        <v>23</v>
      </c>
      <c r="D2922" s="5" t="s">
        <v>128</v>
      </c>
      <c r="E2922" s="10" t="str">
        <f t="shared" si="660"/>
        <v>PS'!</v>
      </c>
      <c r="F2922" s="5" t="str">
        <f t="shared" si="661"/>
        <v>C:\Users\jaime.benazar\Quorum Business Solutions\Ecopetrol Prometeo - Documents\Planning Space Implementation\3. Analysis &amp; Design\Design\FC22\DRR Jaime\QUIFA-CAJÚA\Cajua\[VAS_CAJUA_CF_SEC_20230125.xlsx]CF PS'!</v>
      </c>
      <c r="G2922" s="7" t="s">
        <v>41</v>
      </c>
      <c r="H2922" s="4">
        <f t="shared" si="662"/>
        <v>68</v>
      </c>
      <c r="I2922" s="4" t="str">
        <f t="shared" si="663"/>
        <v>='C:\Users\jaime.benazar\Quorum Business Solutions\Ecopetrol Prometeo - Documents\Planning Space Implementation\3. Analysis &amp; Design\Design\FC22\DRR Jaime\QUIFA-CAJÚA\Cajua\[VAS_CAJUA_CF_SEC_20230125.xlsx]CF PS'!$DN$68</v>
      </c>
      <c r="J2922" s="4" t="s">
        <v>1419</v>
      </c>
    </row>
    <row r="2923" spans="1:10" x14ac:dyDescent="0.25">
      <c r="A2923" s="7" t="s">
        <v>34</v>
      </c>
      <c r="B2923" s="7">
        <f t="shared" si="664"/>
        <v>2056</v>
      </c>
      <c r="C2923" s="4" t="s">
        <v>23</v>
      </c>
      <c r="D2923" s="5" t="s">
        <v>128</v>
      </c>
      <c r="E2923" s="10" t="str">
        <f t="shared" si="660"/>
        <v>PS'!</v>
      </c>
      <c r="F2923" s="5" t="str">
        <f t="shared" si="661"/>
        <v>C:\Users\jaime.benazar\Quorum Business Solutions\Ecopetrol Prometeo - Documents\Planning Space Implementation\3. Analysis &amp; Design\Design\FC22\DRR Jaime\QUIFA-CAJÚA\Cajua\[VAS_CAJUA_CF_SEC_20230125.xlsx]CF PS'!</v>
      </c>
      <c r="G2923" s="7" t="s">
        <v>41</v>
      </c>
      <c r="H2923" s="4">
        <f t="shared" si="662"/>
        <v>69</v>
      </c>
      <c r="I2923" s="4" t="str">
        <f t="shared" si="663"/>
        <v>='C:\Users\jaime.benazar\Quorum Business Solutions\Ecopetrol Prometeo - Documents\Planning Space Implementation\3. Analysis &amp; Design\Design\FC22\DRR Jaime\QUIFA-CAJÚA\Cajua\[VAS_CAJUA_CF_SEC_20230125.xlsx]CF PS'!$DN$69</v>
      </c>
      <c r="J2923" s="4" t="s">
        <v>1420</v>
      </c>
    </row>
    <row r="2924" spans="1:10" x14ac:dyDescent="0.25">
      <c r="A2924" s="7" t="s">
        <v>34</v>
      </c>
      <c r="B2924" s="7">
        <f t="shared" si="664"/>
        <v>2057</v>
      </c>
      <c r="C2924" s="4" t="s">
        <v>23</v>
      </c>
      <c r="D2924" s="5" t="s">
        <v>128</v>
      </c>
      <c r="E2924" s="10" t="str">
        <f t="shared" si="660"/>
        <v>PS'!</v>
      </c>
      <c r="F2924" s="5" t="str">
        <f t="shared" si="661"/>
        <v>C:\Users\jaime.benazar\Quorum Business Solutions\Ecopetrol Prometeo - Documents\Planning Space Implementation\3. Analysis &amp; Design\Design\FC22\DRR Jaime\QUIFA-CAJÚA\Cajua\[VAS_CAJUA_CF_SEC_20230125.xlsx]CF PS'!</v>
      </c>
      <c r="G2924" s="7" t="s">
        <v>41</v>
      </c>
      <c r="H2924" s="4">
        <f t="shared" si="662"/>
        <v>70</v>
      </c>
      <c r="I2924" s="4" t="str">
        <f t="shared" si="663"/>
        <v>='C:\Users\jaime.benazar\Quorum Business Solutions\Ecopetrol Prometeo - Documents\Planning Space Implementation\3. Analysis &amp; Design\Design\FC22\DRR Jaime\QUIFA-CAJÚA\Cajua\[VAS_CAJUA_CF_SEC_20230125.xlsx]CF PS'!$DN$70</v>
      </c>
      <c r="J2924" s="4" t="s">
        <v>1421</v>
      </c>
    </row>
    <row r="2925" spans="1:10" x14ac:dyDescent="0.25">
      <c r="A2925" s="7" t="s">
        <v>34</v>
      </c>
      <c r="B2925" s="7">
        <f t="shared" si="664"/>
        <v>2058</v>
      </c>
      <c r="C2925" s="4" t="s">
        <v>23</v>
      </c>
      <c r="D2925" s="5" t="s">
        <v>128</v>
      </c>
      <c r="E2925" s="10" t="str">
        <f t="shared" si="660"/>
        <v>PS'!</v>
      </c>
      <c r="F2925" s="5" t="str">
        <f t="shared" si="661"/>
        <v>C:\Users\jaime.benazar\Quorum Business Solutions\Ecopetrol Prometeo - Documents\Planning Space Implementation\3. Analysis &amp; Design\Design\FC22\DRR Jaime\QUIFA-CAJÚA\Cajua\[VAS_CAJUA_CF_SEC_20230125.xlsx]CF PS'!</v>
      </c>
      <c r="G2925" s="7" t="s">
        <v>41</v>
      </c>
      <c r="H2925" s="4">
        <f t="shared" si="662"/>
        <v>71</v>
      </c>
      <c r="I2925" s="4" t="str">
        <f t="shared" si="663"/>
        <v>='C:\Users\jaime.benazar\Quorum Business Solutions\Ecopetrol Prometeo - Documents\Planning Space Implementation\3. Analysis &amp; Design\Design\FC22\DRR Jaime\QUIFA-CAJÚA\Cajua\[VAS_CAJUA_CF_SEC_20230125.xlsx]CF PS'!$DN$71</v>
      </c>
      <c r="J2925" s="4" t="s">
        <v>1422</v>
      </c>
    </row>
    <row r="2926" spans="1:10" x14ac:dyDescent="0.25">
      <c r="A2926" s="7" t="s">
        <v>34</v>
      </c>
      <c r="B2926" s="7">
        <f t="shared" si="664"/>
        <v>2059</v>
      </c>
      <c r="C2926" s="4" t="s">
        <v>23</v>
      </c>
      <c r="D2926" s="5" t="s">
        <v>128</v>
      </c>
      <c r="E2926" s="10" t="str">
        <f t="shared" si="660"/>
        <v>PS'!</v>
      </c>
      <c r="F2926" s="5" t="str">
        <f t="shared" si="661"/>
        <v>C:\Users\jaime.benazar\Quorum Business Solutions\Ecopetrol Prometeo - Documents\Planning Space Implementation\3. Analysis &amp; Design\Design\FC22\DRR Jaime\QUIFA-CAJÚA\Cajua\[VAS_CAJUA_CF_SEC_20230125.xlsx]CF PS'!</v>
      </c>
      <c r="G2926" s="7" t="s">
        <v>41</v>
      </c>
      <c r="H2926" s="4">
        <f t="shared" si="662"/>
        <v>72</v>
      </c>
      <c r="I2926" s="4" t="str">
        <f t="shared" si="663"/>
        <v>='C:\Users\jaime.benazar\Quorum Business Solutions\Ecopetrol Prometeo - Documents\Planning Space Implementation\3. Analysis &amp; Design\Design\FC22\DRR Jaime\QUIFA-CAJÚA\Cajua\[VAS_CAJUA_CF_SEC_20230125.xlsx]CF PS'!$DN$72</v>
      </c>
      <c r="J2926" s="4" t="s">
        <v>1423</v>
      </c>
    </row>
    <row r="2927" spans="1:10" x14ac:dyDescent="0.25">
      <c r="A2927" s="7" t="s">
        <v>28</v>
      </c>
      <c r="B2927" s="7"/>
      <c r="C2927" s="4" t="s">
        <v>23</v>
      </c>
      <c r="D2927" s="5"/>
      <c r="E2927" s="10"/>
      <c r="F2927" s="5"/>
      <c r="G2927" s="7"/>
      <c r="H2927" s="4"/>
      <c r="I2927" s="4"/>
      <c r="J2927" s="4"/>
    </row>
    <row r="2928" spans="1:10" x14ac:dyDescent="0.25">
      <c r="A2928" s="6" t="s">
        <v>1</v>
      </c>
      <c r="B2928" s="6">
        <v>2023</v>
      </c>
      <c r="C2928" s="1" t="s">
        <v>42</v>
      </c>
      <c r="D2928" s="2" t="s">
        <v>128</v>
      </c>
      <c r="E2928" s="9" t="str">
        <f>_xlfn.CONCAT(A2928,"'!")</f>
        <v>PDP'!</v>
      </c>
      <c r="F2928" s="5" t="str">
        <f t="shared" ref="F2928:F2948" si="665">_xlfn.CONCAT(D2928," ",E2928)</f>
        <v>C:\Users\jaime.benazar\Quorum Business Solutions\Ecopetrol Prometeo - Documents\Planning Space Implementation\3. Analysis &amp; Design\Design\FC22\DRR Jaime\QUIFA-CAJÚA\Cajua\[VAS_CAJUA_CF_SEC_20230125.xlsx]CF PDP'!</v>
      </c>
      <c r="G2928" s="6" t="s">
        <v>43</v>
      </c>
      <c r="H2928" s="1">
        <f>IF(A2928&lt;&gt;A2912,36,H2912+1)</f>
        <v>36</v>
      </c>
      <c r="I2928" s="1" t="str">
        <f>_xlfn.CONCAT("='",F2928:H2928)</f>
        <v>='C:\Users\jaime.benazar\Quorum Business Solutions\Ecopetrol Prometeo - Documents\Planning Space Implementation\3. Analysis &amp; Design\Design\FC22\DRR Jaime\QUIFA-CAJÚA\Cajua\[VAS_CAJUA_CF_SEC_20230125.xlsx]CF PDP'!$DI$36</v>
      </c>
      <c r="J2928" t="s">
        <v>1424</v>
      </c>
    </row>
    <row r="2929" spans="1:10" x14ac:dyDescent="0.25">
      <c r="A2929" s="6" t="s">
        <v>1</v>
      </c>
      <c r="B2929" s="6">
        <f>+B2928+1</f>
        <v>2024</v>
      </c>
      <c r="C2929" s="1" t="s">
        <v>42</v>
      </c>
      <c r="D2929" s="2" t="s">
        <v>128</v>
      </c>
      <c r="E2929" s="9" t="str">
        <f t="shared" ref="E2929:E3022" si="666">_xlfn.CONCAT(A2929,"'!")</f>
        <v>PDP'!</v>
      </c>
      <c r="F2929" s="5" t="str">
        <f t="shared" si="665"/>
        <v>C:\Users\jaime.benazar\Quorum Business Solutions\Ecopetrol Prometeo - Documents\Planning Space Implementation\3. Analysis &amp; Design\Design\FC22\DRR Jaime\QUIFA-CAJÚA\Cajua\[VAS_CAJUA_CF_SEC_20230125.xlsx]CF PDP'!</v>
      </c>
      <c r="G2929" s="6" t="s">
        <v>43</v>
      </c>
      <c r="H2929" s="1">
        <f>IF(A2929&lt;&gt;A2928,36,H2928+1)</f>
        <v>37</v>
      </c>
      <c r="I2929" s="1" t="str">
        <f t="shared" ref="I2929:I3022" si="667">_xlfn.CONCAT("='",F2929:H2929)</f>
        <v>='C:\Users\jaime.benazar\Quorum Business Solutions\Ecopetrol Prometeo - Documents\Planning Space Implementation\3. Analysis &amp; Design\Design\FC22\DRR Jaime\QUIFA-CAJÚA\Cajua\[VAS_CAJUA_CF_SEC_20230125.xlsx]CF PDP'!$DI$37</v>
      </c>
      <c r="J2929" t="s">
        <v>1425</v>
      </c>
    </row>
    <row r="2930" spans="1:10" x14ac:dyDescent="0.25">
      <c r="A2930" s="6" t="s">
        <v>1</v>
      </c>
      <c r="B2930" s="6">
        <f t="shared" ref="B2930:B2941" si="668">+B2929+1</f>
        <v>2025</v>
      </c>
      <c r="C2930" s="1" t="s">
        <v>42</v>
      </c>
      <c r="D2930" s="2" t="s">
        <v>128</v>
      </c>
      <c r="E2930" s="9" t="str">
        <f t="shared" si="666"/>
        <v>PDP'!</v>
      </c>
      <c r="F2930" s="5" t="str">
        <f t="shared" si="665"/>
        <v>C:\Users\jaime.benazar\Quorum Business Solutions\Ecopetrol Prometeo - Documents\Planning Space Implementation\3. Analysis &amp; Design\Design\FC22\DRR Jaime\QUIFA-CAJÚA\Cajua\[VAS_CAJUA_CF_SEC_20230125.xlsx]CF PDP'!</v>
      </c>
      <c r="G2930" s="6" t="s">
        <v>43</v>
      </c>
      <c r="H2930" s="1">
        <f t="shared" ref="H2930:H3023" si="669">IF(A2930&lt;&gt;A2929,36,H2929+1)</f>
        <v>38</v>
      </c>
      <c r="I2930" s="1" t="str">
        <f t="shared" si="667"/>
        <v>='C:\Users\jaime.benazar\Quorum Business Solutions\Ecopetrol Prometeo - Documents\Planning Space Implementation\3. Analysis &amp; Design\Design\FC22\DRR Jaime\QUIFA-CAJÚA\Cajua\[VAS_CAJUA_CF_SEC_20230125.xlsx]CF PDP'!$DI$38</v>
      </c>
      <c r="J2930" t="s">
        <v>1426</v>
      </c>
    </row>
    <row r="2931" spans="1:10" x14ac:dyDescent="0.25">
      <c r="A2931" s="6" t="s">
        <v>1</v>
      </c>
      <c r="B2931" s="6">
        <f t="shared" si="668"/>
        <v>2026</v>
      </c>
      <c r="C2931" s="1" t="s">
        <v>42</v>
      </c>
      <c r="D2931" s="2" t="s">
        <v>128</v>
      </c>
      <c r="E2931" s="9" t="str">
        <f t="shared" si="666"/>
        <v>PDP'!</v>
      </c>
      <c r="F2931" s="5" t="str">
        <f t="shared" si="665"/>
        <v>C:\Users\jaime.benazar\Quorum Business Solutions\Ecopetrol Prometeo - Documents\Planning Space Implementation\3. Analysis &amp; Design\Design\FC22\DRR Jaime\QUIFA-CAJÚA\Cajua\[VAS_CAJUA_CF_SEC_20230125.xlsx]CF PDP'!</v>
      </c>
      <c r="G2931" s="6" t="s">
        <v>43</v>
      </c>
      <c r="H2931" s="1">
        <f t="shared" si="669"/>
        <v>39</v>
      </c>
      <c r="I2931" s="1" t="str">
        <f t="shared" si="667"/>
        <v>='C:\Users\jaime.benazar\Quorum Business Solutions\Ecopetrol Prometeo - Documents\Planning Space Implementation\3. Analysis &amp; Design\Design\FC22\DRR Jaime\QUIFA-CAJÚA\Cajua\[VAS_CAJUA_CF_SEC_20230125.xlsx]CF PDP'!$DI$39</v>
      </c>
      <c r="J2931" t="s">
        <v>1427</v>
      </c>
    </row>
    <row r="2932" spans="1:10" x14ac:dyDescent="0.25">
      <c r="A2932" s="6" t="s">
        <v>1</v>
      </c>
      <c r="B2932" s="6">
        <f t="shared" si="668"/>
        <v>2027</v>
      </c>
      <c r="C2932" s="1" t="s">
        <v>42</v>
      </c>
      <c r="D2932" s="2" t="s">
        <v>128</v>
      </c>
      <c r="E2932" s="9" t="str">
        <f t="shared" si="666"/>
        <v>PDP'!</v>
      </c>
      <c r="F2932" s="5" t="str">
        <f t="shared" si="665"/>
        <v>C:\Users\jaime.benazar\Quorum Business Solutions\Ecopetrol Prometeo - Documents\Planning Space Implementation\3. Analysis &amp; Design\Design\FC22\DRR Jaime\QUIFA-CAJÚA\Cajua\[VAS_CAJUA_CF_SEC_20230125.xlsx]CF PDP'!</v>
      </c>
      <c r="G2932" s="6" t="s">
        <v>43</v>
      </c>
      <c r="H2932" s="1">
        <f t="shared" si="669"/>
        <v>40</v>
      </c>
      <c r="I2932" s="1" t="str">
        <f t="shared" si="667"/>
        <v>='C:\Users\jaime.benazar\Quorum Business Solutions\Ecopetrol Prometeo - Documents\Planning Space Implementation\3. Analysis &amp; Design\Design\FC22\DRR Jaime\QUIFA-CAJÚA\Cajua\[VAS_CAJUA_CF_SEC_20230125.xlsx]CF PDP'!$DI$40</v>
      </c>
      <c r="J2932" t="s">
        <v>1428</v>
      </c>
    </row>
    <row r="2933" spans="1:10" x14ac:dyDescent="0.25">
      <c r="A2933" s="6" t="s">
        <v>1</v>
      </c>
      <c r="B2933" s="6">
        <f t="shared" si="668"/>
        <v>2028</v>
      </c>
      <c r="C2933" s="1" t="s">
        <v>42</v>
      </c>
      <c r="D2933" s="2" t="s">
        <v>128</v>
      </c>
      <c r="E2933" s="9" t="str">
        <f t="shared" si="666"/>
        <v>PDP'!</v>
      </c>
      <c r="F2933" s="5" t="str">
        <f t="shared" si="665"/>
        <v>C:\Users\jaime.benazar\Quorum Business Solutions\Ecopetrol Prometeo - Documents\Planning Space Implementation\3. Analysis &amp; Design\Design\FC22\DRR Jaime\QUIFA-CAJÚA\Cajua\[VAS_CAJUA_CF_SEC_20230125.xlsx]CF PDP'!</v>
      </c>
      <c r="G2933" s="6" t="s">
        <v>43</v>
      </c>
      <c r="H2933" s="1">
        <f t="shared" si="669"/>
        <v>41</v>
      </c>
      <c r="I2933" s="1" t="str">
        <f t="shared" si="667"/>
        <v>='C:\Users\jaime.benazar\Quorum Business Solutions\Ecopetrol Prometeo - Documents\Planning Space Implementation\3. Analysis &amp; Design\Design\FC22\DRR Jaime\QUIFA-CAJÚA\Cajua\[VAS_CAJUA_CF_SEC_20230125.xlsx]CF PDP'!$DI$41</v>
      </c>
      <c r="J2933" t="s">
        <v>1429</v>
      </c>
    </row>
    <row r="2934" spans="1:10" x14ac:dyDescent="0.25">
      <c r="A2934" s="6" t="s">
        <v>1</v>
      </c>
      <c r="B2934" s="6">
        <f t="shared" si="668"/>
        <v>2029</v>
      </c>
      <c r="C2934" s="1" t="s">
        <v>42</v>
      </c>
      <c r="D2934" s="2" t="s">
        <v>128</v>
      </c>
      <c r="E2934" s="9" t="str">
        <f t="shared" si="666"/>
        <v>PDP'!</v>
      </c>
      <c r="F2934" s="5" t="str">
        <f t="shared" si="665"/>
        <v>C:\Users\jaime.benazar\Quorum Business Solutions\Ecopetrol Prometeo - Documents\Planning Space Implementation\3. Analysis &amp; Design\Design\FC22\DRR Jaime\QUIFA-CAJÚA\Cajua\[VAS_CAJUA_CF_SEC_20230125.xlsx]CF PDP'!</v>
      </c>
      <c r="G2934" s="6" t="s">
        <v>43</v>
      </c>
      <c r="H2934" s="1">
        <f t="shared" si="669"/>
        <v>42</v>
      </c>
      <c r="I2934" s="1" t="str">
        <f t="shared" si="667"/>
        <v>='C:\Users\jaime.benazar\Quorum Business Solutions\Ecopetrol Prometeo - Documents\Planning Space Implementation\3. Analysis &amp; Design\Design\FC22\DRR Jaime\QUIFA-CAJÚA\Cajua\[VAS_CAJUA_CF_SEC_20230125.xlsx]CF PDP'!$DI$42</v>
      </c>
      <c r="J2934" t="s">
        <v>1430</v>
      </c>
    </row>
    <row r="2935" spans="1:10" x14ac:dyDescent="0.25">
      <c r="A2935" s="6" t="s">
        <v>1</v>
      </c>
      <c r="B2935" s="6">
        <f t="shared" si="668"/>
        <v>2030</v>
      </c>
      <c r="C2935" s="1" t="s">
        <v>42</v>
      </c>
      <c r="D2935" s="2" t="s">
        <v>128</v>
      </c>
      <c r="E2935" s="9" t="str">
        <f t="shared" si="666"/>
        <v>PDP'!</v>
      </c>
      <c r="F2935" s="5" t="str">
        <f t="shared" si="665"/>
        <v>C:\Users\jaime.benazar\Quorum Business Solutions\Ecopetrol Prometeo - Documents\Planning Space Implementation\3. Analysis &amp; Design\Design\FC22\DRR Jaime\QUIFA-CAJÚA\Cajua\[VAS_CAJUA_CF_SEC_20230125.xlsx]CF PDP'!</v>
      </c>
      <c r="G2935" s="6" t="s">
        <v>43</v>
      </c>
      <c r="H2935" s="1">
        <f t="shared" si="669"/>
        <v>43</v>
      </c>
      <c r="I2935" s="1" t="str">
        <f t="shared" si="667"/>
        <v>='C:\Users\jaime.benazar\Quorum Business Solutions\Ecopetrol Prometeo - Documents\Planning Space Implementation\3. Analysis &amp; Design\Design\FC22\DRR Jaime\QUIFA-CAJÚA\Cajua\[VAS_CAJUA_CF_SEC_20230125.xlsx]CF PDP'!$DI$43</v>
      </c>
      <c r="J2935" t="s">
        <v>1431</v>
      </c>
    </row>
    <row r="2936" spans="1:10" x14ac:dyDescent="0.25">
      <c r="A2936" s="6" t="s">
        <v>1</v>
      </c>
      <c r="B2936" s="6">
        <f t="shared" si="668"/>
        <v>2031</v>
      </c>
      <c r="C2936" s="1" t="s">
        <v>42</v>
      </c>
      <c r="D2936" s="2" t="s">
        <v>128</v>
      </c>
      <c r="E2936" s="9" t="str">
        <f t="shared" si="666"/>
        <v>PDP'!</v>
      </c>
      <c r="F2936" s="5" t="str">
        <f t="shared" si="665"/>
        <v>C:\Users\jaime.benazar\Quorum Business Solutions\Ecopetrol Prometeo - Documents\Planning Space Implementation\3. Analysis &amp; Design\Design\FC22\DRR Jaime\QUIFA-CAJÚA\Cajua\[VAS_CAJUA_CF_SEC_20230125.xlsx]CF PDP'!</v>
      </c>
      <c r="G2936" s="6" t="s">
        <v>43</v>
      </c>
      <c r="H2936" s="1">
        <f t="shared" si="669"/>
        <v>44</v>
      </c>
      <c r="I2936" s="1" t="str">
        <f t="shared" si="667"/>
        <v>='C:\Users\jaime.benazar\Quorum Business Solutions\Ecopetrol Prometeo - Documents\Planning Space Implementation\3. Analysis &amp; Design\Design\FC22\DRR Jaime\QUIFA-CAJÚA\Cajua\[VAS_CAJUA_CF_SEC_20230125.xlsx]CF PDP'!$DI$44</v>
      </c>
      <c r="J2936" t="s">
        <v>1432</v>
      </c>
    </row>
    <row r="2937" spans="1:10" x14ac:dyDescent="0.25">
      <c r="A2937" s="6" t="s">
        <v>1</v>
      </c>
      <c r="B2937" s="6">
        <f t="shared" si="668"/>
        <v>2032</v>
      </c>
      <c r="C2937" s="1" t="s">
        <v>42</v>
      </c>
      <c r="D2937" s="2" t="s">
        <v>128</v>
      </c>
      <c r="E2937" s="9" t="str">
        <f t="shared" si="666"/>
        <v>PDP'!</v>
      </c>
      <c r="F2937" s="5" t="str">
        <f t="shared" si="665"/>
        <v>C:\Users\jaime.benazar\Quorum Business Solutions\Ecopetrol Prometeo - Documents\Planning Space Implementation\3. Analysis &amp; Design\Design\FC22\DRR Jaime\QUIFA-CAJÚA\Cajua\[VAS_CAJUA_CF_SEC_20230125.xlsx]CF PDP'!</v>
      </c>
      <c r="G2937" s="6" t="s">
        <v>43</v>
      </c>
      <c r="H2937" s="1">
        <f t="shared" si="669"/>
        <v>45</v>
      </c>
      <c r="I2937" s="1" t="str">
        <f t="shared" si="667"/>
        <v>='C:\Users\jaime.benazar\Quorum Business Solutions\Ecopetrol Prometeo - Documents\Planning Space Implementation\3. Analysis &amp; Design\Design\FC22\DRR Jaime\QUIFA-CAJÚA\Cajua\[VAS_CAJUA_CF_SEC_20230125.xlsx]CF PDP'!$DI$45</v>
      </c>
      <c r="J2937" t="s">
        <v>1433</v>
      </c>
    </row>
    <row r="2938" spans="1:10" x14ac:dyDescent="0.25">
      <c r="A2938" s="6" t="s">
        <v>1</v>
      </c>
      <c r="B2938" s="6">
        <f t="shared" si="668"/>
        <v>2033</v>
      </c>
      <c r="C2938" s="1" t="s">
        <v>42</v>
      </c>
      <c r="D2938" s="2" t="s">
        <v>128</v>
      </c>
      <c r="E2938" s="9" t="str">
        <f t="shared" si="666"/>
        <v>PDP'!</v>
      </c>
      <c r="F2938" s="5" t="str">
        <f t="shared" si="665"/>
        <v>C:\Users\jaime.benazar\Quorum Business Solutions\Ecopetrol Prometeo - Documents\Planning Space Implementation\3. Analysis &amp; Design\Design\FC22\DRR Jaime\QUIFA-CAJÚA\Cajua\[VAS_CAJUA_CF_SEC_20230125.xlsx]CF PDP'!</v>
      </c>
      <c r="G2938" s="6" t="s">
        <v>43</v>
      </c>
      <c r="H2938" s="1">
        <f t="shared" si="669"/>
        <v>46</v>
      </c>
      <c r="I2938" s="1" t="str">
        <f t="shared" si="667"/>
        <v>='C:\Users\jaime.benazar\Quorum Business Solutions\Ecopetrol Prometeo - Documents\Planning Space Implementation\3. Analysis &amp; Design\Design\FC22\DRR Jaime\QUIFA-CAJÚA\Cajua\[VAS_CAJUA_CF_SEC_20230125.xlsx]CF PDP'!$DI$46</v>
      </c>
      <c r="J2938" t="s">
        <v>1434</v>
      </c>
    </row>
    <row r="2939" spans="1:10" x14ac:dyDescent="0.25">
      <c r="A2939" s="6" t="s">
        <v>1</v>
      </c>
      <c r="B2939" s="6">
        <f t="shared" si="668"/>
        <v>2034</v>
      </c>
      <c r="C2939" s="1" t="s">
        <v>42</v>
      </c>
      <c r="D2939" s="2" t="s">
        <v>128</v>
      </c>
      <c r="E2939" s="9" t="str">
        <f t="shared" si="666"/>
        <v>PDP'!</v>
      </c>
      <c r="F2939" s="5" t="str">
        <f t="shared" si="665"/>
        <v>C:\Users\jaime.benazar\Quorum Business Solutions\Ecopetrol Prometeo - Documents\Planning Space Implementation\3. Analysis &amp; Design\Design\FC22\DRR Jaime\QUIFA-CAJÚA\Cajua\[VAS_CAJUA_CF_SEC_20230125.xlsx]CF PDP'!</v>
      </c>
      <c r="G2939" s="6" t="s">
        <v>43</v>
      </c>
      <c r="H2939" s="1">
        <f t="shared" si="669"/>
        <v>47</v>
      </c>
      <c r="I2939" s="1" t="str">
        <f t="shared" si="667"/>
        <v>='C:\Users\jaime.benazar\Quorum Business Solutions\Ecopetrol Prometeo - Documents\Planning Space Implementation\3. Analysis &amp; Design\Design\FC22\DRR Jaime\QUIFA-CAJÚA\Cajua\[VAS_CAJUA_CF_SEC_20230125.xlsx]CF PDP'!$DI$47</v>
      </c>
      <c r="J2939" t="s">
        <v>1435</v>
      </c>
    </row>
    <row r="2940" spans="1:10" x14ac:dyDescent="0.25">
      <c r="A2940" s="6" t="s">
        <v>1</v>
      </c>
      <c r="B2940" s="6">
        <f t="shared" si="668"/>
        <v>2035</v>
      </c>
      <c r="C2940" s="1" t="s">
        <v>42</v>
      </c>
      <c r="D2940" s="2" t="s">
        <v>128</v>
      </c>
      <c r="E2940" s="9" t="str">
        <f t="shared" si="666"/>
        <v>PDP'!</v>
      </c>
      <c r="F2940" s="5" t="str">
        <f t="shared" si="665"/>
        <v>C:\Users\jaime.benazar\Quorum Business Solutions\Ecopetrol Prometeo - Documents\Planning Space Implementation\3. Analysis &amp; Design\Design\FC22\DRR Jaime\QUIFA-CAJÚA\Cajua\[VAS_CAJUA_CF_SEC_20230125.xlsx]CF PDP'!</v>
      </c>
      <c r="G2940" s="6" t="s">
        <v>43</v>
      </c>
      <c r="H2940" s="1">
        <f t="shared" si="669"/>
        <v>48</v>
      </c>
      <c r="I2940" s="1" t="str">
        <f t="shared" si="667"/>
        <v>='C:\Users\jaime.benazar\Quorum Business Solutions\Ecopetrol Prometeo - Documents\Planning Space Implementation\3. Analysis &amp; Design\Design\FC22\DRR Jaime\QUIFA-CAJÚA\Cajua\[VAS_CAJUA_CF_SEC_20230125.xlsx]CF PDP'!$DI$48</v>
      </c>
      <c r="J2940" t="s">
        <v>1436</v>
      </c>
    </row>
    <row r="2941" spans="1:10" x14ac:dyDescent="0.25">
      <c r="A2941" s="6" t="s">
        <v>1</v>
      </c>
      <c r="B2941" s="6">
        <f t="shared" si="668"/>
        <v>2036</v>
      </c>
      <c r="C2941" s="1" t="s">
        <v>42</v>
      </c>
      <c r="D2941" s="2" t="s">
        <v>128</v>
      </c>
      <c r="E2941" s="9" t="str">
        <f t="shared" si="666"/>
        <v>PDP'!</v>
      </c>
      <c r="F2941" s="5" t="str">
        <f t="shared" si="665"/>
        <v>C:\Users\jaime.benazar\Quorum Business Solutions\Ecopetrol Prometeo - Documents\Planning Space Implementation\3. Analysis &amp; Design\Design\FC22\DRR Jaime\QUIFA-CAJÚA\Cajua\[VAS_CAJUA_CF_SEC_20230125.xlsx]CF PDP'!</v>
      </c>
      <c r="G2941" s="6" t="s">
        <v>43</v>
      </c>
      <c r="H2941" s="1">
        <f t="shared" si="669"/>
        <v>49</v>
      </c>
      <c r="I2941" s="1" t="str">
        <f t="shared" si="667"/>
        <v>='C:\Users\jaime.benazar\Quorum Business Solutions\Ecopetrol Prometeo - Documents\Planning Space Implementation\3. Analysis &amp; Design\Design\FC22\DRR Jaime\QUIFA-CAJÚA\Cajua\[VAS_CAJUA_CF_SEC_20230125.xlsx]CF PDP'!$DI$49</v>
      </c>
      <c r="J2941" t="s">
        <v>1437</v>
      </c>
    </row>
    <row r="2942" spans="1:10" x14ac:dyDescent="0.25">
      <c r="A2942" s="6" t="s">
        <v>1</v>
      </c>
      <c r="B2942" s="6">
        <f>+B2941+1</f>
        <v>2037</v>
      </c>
      <c r="C2942" s="1" t="s">
        <v>42</v>
      </c>
      <c r="D2942" s="2" t="s">
        <v>128</v>
      </c>
      <c r="E2942" s="9" t="str">
        <f t="shared" si="666"/>
        <v>PDP'!</v>
      </c>
      <c r="F2942" s="5" t="str">
        <f t="shared" si="665"/>
        <v>C:\Users\jaime.benazar\Quorum Business Solutions\Ecopetrol Prometeo - Documents\Planning Space Implementation\3. Analysis &amp; Design\Design\FC22\DRR Jaime\QUIFA-CAJÚA\Cajua\[VAS_CAJUA_CF_SEC_20230125.xlsx]CF PDP'!</v>
      </c>
      <c r="G2942" s="6" t="s">
        <v>43</v>
      </c>
      <c r="H2942" s="1">
        <f t="shared" si="669"/>
        <v>50</v>
      </c>
      <c r="I2942" s="1" t="str">
        <f t="shared" si="667"/>
        <v>='C:\Users\jaime.benazar\Quorum Business Solutions\Ecopetrol Prometeo - Documents\Planning Space Implementation\3. Analysis &amp; Design\Design\FC22\DRR Jaime\QUIFA-CAJÚA\Cajua\[VAS_CAJUA_CF_SEC_20230125.xlsx]CF PDP'!$DI$50</v>
      </c>
      <c r="J2942" t="s">
        <v>1438</v>
      </c>
    </row>
    <row r="2943" spans="1:10" x14ac:dyDescent="0.25">
      <c r="A2943" s="6" t="s">
        <v>1</v>
      </c>
      <c r="B2943" s="6">
        <f t="shared" ref="B2943:B2945" si="670">+B2942+1</f>
        <v>2038</v>
      </c>
      <c r="C2943" s="1" t="s">
        <v>42</v>
      </c>
      <c r="D2943" s="2" t="s">
        <v>128</v>
      </c>
      <c r="E2943" s="9" t="str">
        <f t="shared" si="666"/>
        <v>PDP'!</v>
      </c>
      <c r="F2943" s="5" t="str">
        <f t="shared" si="665"/>
        <v>C:\Users\jaime.benazar\Quorum Business Solutions\Ecopetrol Prometeo - Documents\Planning Space Implementation\3. Analysis &amp; Design\Design\FC22\DRR Jaime\QUIFA-CAJÚA\Cajua\[VAS_CAJUA_CF_SEC_20230125.xlsx]CF PDP'!</v>
      </c>
      <c r="G2943" s="6" t="s">
        <v>43</v>
      </c>
      <c r="H2943" s="1">
        <f t="shared" si="669"/>
        <v>51</v>
      </c>
      <c r="I2943" s="1" t="str">
        <f t="shared" si="667"/>
        <v>='C:\Users\jaime.benazar\Quorum Business Solutions\Ecopetrol Prometeo - Documents\Planning Space Implementation\3. Analysis &amp; Design\Design\FC22\DRR Jaime\QUIFA-CAJÚA\Cajua\[VAS_CAJUA_CF_SEC_20230125.xlsx]CF PDP'!$DI$51</v>
      </c>
      <c r="J2943" t="s">
        <v>1439</v>
      </c>
    </row>
    <row r="2944" spans="1:10" x14ac:dyDescent="0.25">
      <c r="A2944" s="6" t="s">
        <v>1</v>
      </c>
      <c r="B2944" s="6">
        <f t="shared" si="670"/>
        <v>2039</v>
      </c>
      <c r="C2944" s="1" t="s">
        <v>42</v>
      </c>
      <c r="D2944" s="2" t="s">
        <v>128</v>
      </c>
      <c r="E2944" s="9" t="str">
        <f t="shared" si="666"/>
        <v>PDP'!</v>
      </c>
      <c r="F2944" s="5" t="str">
        <f t="shared" si="665"/>
        <v>C:\Users\jaime.benazar\Quorum Business Solutions\Ecopetrol Prometeo - Documents\Planning Space Implementation\3. Analysis &amp; Design\Design\FC22\DRR Jaime\QUIFA-CAJÚA\Cajua\[VAS_CAJUA_CF_SEC_20230125.xlsx]CF PDP'!</v>
      </c>
      <c r="G2944" s="6" t="s">
        <v>43</v>
      </c>
      <c r="H2944" s="1">
        <f t="shared" si="669"/>
        <v>52</v>
      </c>
      <c r="I2944" s="1" t="str">
        <f t="shared" si="667"/>
        <v>='C:\Users\jaime.benazar\Quorum Business Solutions\Ecopetrol Prometeo - Documents\Planning Space Implementation\3. Analysis &amp; Design\Design\FC22\DRR Jaime\QUIFA-CAJÚA\Cajua\[VAS_CAJUA_CF_SEC_20230125.xlsx]CF PDP'!$DI$52</v>
      </c>
      <c r="J2944" t="s">
        <v>1440</v>
      </c>
    </row>
    <row r="2945" spans="1:10" x14ac:dyDescent="0.25">
      <c r="A2945" s="6" t="s">
        <v>1</v>
      </c>
      <c r="B2945" s="6">
        <f t="shared" si="670"/>
        <v>2040</v>
      </c>
      <c r="C2945" s="1" t="s">
        <v>42</v>
      </c>
      <c r="D2945" s="2" t="s">
        <v>128</v>
      </c>
      <c r="E2945" s="9" t="str">
        <f t="shared" si="666"/>
        <v>PDP'!</v>
      </c>
      <c r="F2945" s="5" t="str">
        <f t="shared" si="665"/>
        <v>C:\Users\jaime.benazar\Quorum Business Solutions\Ecopetrol Prometeo - Documents\Planning Space Implementation\3. Analysis &amp; Design\Design\FC22\DRR Jaime\QUIFA-CAJÚA\Cajua\[VAS_CAJUA_CF_SEC_20230125.xlsx]CF PDP'!</v>
      </c>
      <c r="G2945" s="6" t="s">
        <v>43</v>
      </c>
      <c r="H2945" s="1">
        <f t="shared" si="669"/>
        <v>53</v>
      </c>
      <c r="I2945" s="1" t="str">
        <f t="shared" si="667"/>
        <v>='C:\Users\jaime.benazar\Quorum Business Solutions\Ecopetrol Prometeo - Documents\Planning Space Implementation\3. Analysis &amp; Design\Design\FC22\DRR Jaime\QUIFA-CAJÚA\Cajua\[VAS_CAJUA_CF_SEC_20230125.xlsx]CF PDP'!$DI$53</v>
      </c>
      <c r="J2945" t="s">
        <v>1441</v>
      </c>
    </row>
    <row r="2946" spans="1:10" x14ac:dyDescent="0.25">
      <c r="A2946" s="6" t="s">
        <v>1</v>
      </c>
      <c r="B2946" s="6">
        <f>+B2945+1</f>
        <v>2041</v>
      </c>
      <c r="C2946" s="1" t="s">
        <v>42</v>
      </c>
      <c r="D2946" s="2" t="s">
        <v>128</v>
      </c>
      <c r="E2946" s="9" t="str">
        <f t="shared" si="666"/>
        <v>PDP'!</v>
      </c>
      <c r="F2946" s="5" t="str">
        <f t="shared" si="665"/>
        <v>C:\Users\jaime.benazar\Quorum Business Solutions\Ecopetrol Prometeo - Documents\Planning Space Implementation\3. Analysis &amp; Design\Design\FC22\DRR Jaime\QUIFA-CAJÚA\Cajua\[VAS_CAJUA_CF_SEC_20230125.xlsx]CF PDP'!</v>
      </c>
      <c r="G2946" s="6" t="s">
        <v>43</v>
      </c>
      <c r="H2946" s="1">
        <f t="shared" si="669"/>
        <v>54</v>
      </c>
      <c r="I2946" s="1" t="str">
        <f t="shared" si="667"/>
        <v>='C:\Users\jaime.benazar\Quorum Business Solutions\Ecopetrol Prometeo - Documents\Planning Space Implementation\3. Analysis &amp; Design\Design\FC22\DRR Jaime\QUIFA-CAJÚA\Cajua\[VAS_CAJUA_CF_SEC_20230125.xlsx]CF PDP'!$DI$54</v>
      </c>
      <c r="J2946" t="s">
        <v>1442</v>
      </c>
    </row>
    <row r="2947" spans="1:10" x14ac:dyDescent="0.25">
      <c r="A2947" s="6" t="s">
        <v>1</v>
      </c>
      <c r="B2947" s="6">
        <f t="shared" ref="B2947:B2948" si="671">+B2946+1</f>
        <v>2042</v>
      </c>
      <c r="C2947" s="1" t="s">
        <v>42</v>
      </c>
      <c r="D2947" s="2" t="s">
        <v>128</v>
      </c>
      <c r="E2947" s="9" t="str">
        <f t="shared" si="666"/>
        <v>PDP'!</v>
      </c>
      <c r="F2947" s="5" t="str">
        <f t="shared" si="665"/>
        <v>C:\Users\jaime.benazar\Quorum Business Solutions\Ecopetrol Prometeo - Documents\Planning Space Implementation\3. Analysis &amp; Design\Design\FC22\DRR Jaime\QUIFA-CAJÚA\Cajua\[VAS_CAJUA_CF_SEC_20230125.xlsx]CF PDP'!</v>
      </c>
      <c r="G2947" s="6" t="s">
        <v>43</v>
      </c>
      <c r="H2947" s="1">
        <f t="shared" si="669"/>
        <v>55</v>
      </c>
      <c r="I2947" s="1" t="str">
        <f t="shared" si="667"/>
        <v>='C:\Users\jaime.benazar\Quorum Business Solutions\Ecopetrol Prometeo - Documents\Planning Space Implementation\3. Analysis &amp; Design\Design\FC22\DRR Jaime\QUIFA-CAJÚA\Cajua\[VAS_CAJUA_CF_SEC_20230125.xlsx]CF PDP'!$DI$55</v>
      </c>
      <c r="J2947" t="s">
        <v>1443</v>
      </c>
    </row>
    <row r="2948" spans="1:10" x14ac:dyDescent="0.25">
      <c r="A2948" s="6" t="s">
        <v>1</v>
      </c>
      <c r="B2948" s="6">
        <f t="shared" si="671"/>
        <v>2043</v>
      </c>
      <c r="C2948" s="1" t="s">
        <v>42</v>
      </c>
      <c r="D2948" s="2" t="s">
        <v>128</v>
      </c>
      <c r="E2948" s="9" t="str">
        <f t="shared" si="666"/>
        <v>PDP'!</v>
      </c>
      <c r="F2948" s="5" t="str">
        <f t="shared" si="665"/>
        <v>C:\Users\jaime.benazar\Quorum Business Solutions\Ecopetrol Prometeo - Documents\Planning Space Implementation\3. Analysis &amp; Design\Design\FC22\DRR Jaime\QUIFA-CAJÚA\Cajua\[VAS_CAJUA_CF_SEC_20230125.xlsx]CF PDP'!</v>
      </c>
      <c r="G2948" s="6" t="s">
        <v>43</v>
      </c>
      <c r="H2948" s="1">
        <f t="shared" si="669"/>
        <v>56</v>
      </c>
      <c r="I2948" s="1" t="str">
        <f t="shared" si="667"/>
        <v>='C:\Users\jaime.benazar\Quorum Business Solutions\Ecopetrol Prometeo - Documents\Planning Space Implementation\3. Analysis &amp; Design\Design\FC22\DRR Jaime\QUIFA-CAJÚA\Cajua\[VAS_CAJUA_CF_SEC_20230125.xlsx]CF PDP'!$DI$56</v>
      </c>
      <c r="J2948" t="s">
        <v>1444</v>
      </c>
    </row>
    <row r="2949" spans="1:10" x14ac:dyDescent="0.25">
      <c r="A2949" s="6" t="s">
        <v>1</v>
      </c>
      <c r="B2949" s="6">
        <f>+B2948+1</f>
        <v>2044</v>
      </c>
      <c r="C2949" s="1" t="s">
        <v>42</v>
      </c>
      <c r="D2949" s="2" t="s">
        <v>128</v>
      </c>
      <c r="E2949" s="9" t="str">
        <f t="shared" ref="E2949:E2964" si="672">_xlfn.CONCAT(A2949,"'!")</f>
        <v>PDP'!</v>
      </c>
      <c r="F2949" s="5" t="str">
        <f t="shared" ref="F2949:F2964" si="673">_xlfn.CONCAT(D2949," ",E2949)</f>
        <v>C:\Users\jaime.benazar\Quorum Business Solutions\Ecopetrol Prometeo - Documents\Planning Space Implementation\3. Analysis &amp; Design\Design\FC22\DRR Jaime\QUIFA-CAJÚA\Cajua\[VAS_CAJUA_CF_SEC_20230125.xlsx]CF PDP'!</v>
      </c>
      <c r="G2949" s="6" t="s">
        <v>43</v>
      </c>
      <c r="H2949" s="1">
        <f t="shared" ref="H2949:H2964" si="674">IF(A2949&lt;&gt;A2948,36,H2948+1)</f>
        <v>57</v>
      </c>
      <c r="I2949" s="1" t="str">
        <f t="shared" ref="I2949:I2964" si="675">_xlfn.CONCAT("='",F2949:H2949)</f>
        <v>='C:\Users\jaime.benazar\Quorum Business Solutions\Ecopetrol Prometeo - Documents\Planning Space Implementation\3. Analysis &amp; Design\Design\FC22\DRR Jaime\QUIFA-CAJÚA\Cajua\[VAS_CAJUA_CF_SEC_20230125.xlsx]CF PDP'!$DI$57</v>
      </c>
      <c r="J2949" t="s">
        <v>1445</v>
      </c>
    </row>
    <row r="2950" spans="1:10" x14ac:dyDescent="0.25">
      <c r="A2950" s="6" t="s">
        <v>1</v>
      </c>
      <c r="B2950" s="6">
        <f t="shared" ref="B2950:B2964" si="676">+B2949+1</f>
        <v>2045</v>
      </c>
      <c r="C2950" s="1" t="s">
        <v>42</v>
      </c>
      <c r="D2950" s="2" t="s">
        <v>128</v>
      </c>
      <c r="E2950" s="9" t="str">
        <f t="shared" si="672"/>
        <v>PDP'!</v>
      </c>
      <c r="F2950" s="5" t="str">
        <f t="shared" si="673"/>
        <v>C:\Users\jaime.benazar\Quorum Business Solutions\Ecopetrol Prometeo - Documents\Planning Space Implementation\3. Analysis &amp; Design\Design\FC22\DRR Jaime\QUIFA-CAJÚA\Cajua\[VAS_CAJUA_CF_SEC_20230125.xlsx]CF PDP'!</v>
      </c>
      <c r="G2950" s="6" t="s">
        <v>43</v>
      </c>
      <c r="H2950" s="1">
        <f t="shared" si="674"/>
        <v>58</v>
      </c>
      <c r="I2950" s="1" t="str">
        <f t="shared" si="675"/>
        <v>='C:\Users\jaime.benazar\Quorum Business Solutions\Ecopetrol Prometeo - Documents\Planning Space Implementation\3. Analysis &amp; Design\Design\FC22\DRR Jaime\QUIFA-CAJÚA\Cajua\[VAS_CAJUA_CF_SEC_20230125.xlsx]CF PDP'!$DI$58</v>
      </c>
      <c r="J2950" t="s">
        <v>1446</v>
      </c>
    </row>
    <row r="2951" spans="1:10" x14ac:dyDescent="0.25">
      <c r="A2951" s="6" t="s">
        <v>1</v>
      </c>
      <c r="B2951" s="6">
        <f t="shared" si="676"/>
        <v>2046</v>
      </c>
      <c r="C2951" s="1" t="s">
        <v>42</v>
      </c>
      <c r="D2951" s="2" t="s">
        <v>128</v>
      </c>
      <c r="E2951" s="9" t="str">
        <f t="shared" si="672"/>
        <v>PDP'!</v>
      </c>
      <c r="F2951" s="5" t="str">
        <f t="shared" si="673"/>
        <v>C:\Users\jaime.benazar\Quorum Business Solutions\Ecopetrol Prometeo - Documents\Planning Space Implementation\3. Analysis &amp; Design\Design\FC22\DRR Jaime\QUIFA-CAJÚA\Cajua\[VAS_CAJUA_CF_SEC_20230125.xlsx]CF PDP'!</v>
      </c>
      <c r="G2951" s="6" t="s">
        <v>43</v>
      </c>
      <c r="H2951" s="1">
        <f t="shared" si="674"/>
        <v>59</v>
      </c>
      <c r="I2951" s="1" t="str">
        <f t="shared" si="675"/>
        <v>='C:\Users\jaime.benazar\Quorum Business Solutions\Ecopetrol Prometeo - Documents\Planning Space Implementation\3. Analysis &amp; Design\Design\FC22\DRR Jaime\QUIFA-CAJÚA\Cajua\[VAS_CAJUA_CF_SEC_20230125.xlsx]CF PDP'!$DI$59</v>
      </c>
      <c r="J2951" t="s">
        <v>1447</v>
      </c>
    </row>
    <row r="2952" spans="1:10" x14ac:dyDescent="0.25">
      <c r="A2952" s="6" t="s">
        <v>1</v>
      </c>
      <c r="B2952" s="6">
        <f t="shared" si="676"/>
        <v>2047</v>
      </c>
      <c r="C2952" s="1" t="s">
        <v>42</v>
      </c>
      <c r="D2952" s="2" t="s">
        <v>128</v>
      </c>
      <c r="E2952" s="9" t="str">
        <f t="shared" si="672"/>
        <v>PDP'!</v>
      </c>
      <c r="F2952" s="5" t="str">
        <f t="shared" si="673"/>
        <v>C:\Users\jaime.benazar\Quorum Business Solutions\Ecopetrol Prometeo - Documents\Planning Space Implementation\3. Analysis &amp; Design\Design\FC22\DRR Jaime\QUIFA-CAJÚA\Cajua\[VAS_CAJUA_CF_SEC_20230125.xlsx]CF PDP'!</v>
      </c>
      <c r="G2952" s="6" t="s">
        <v>43</v>
      </c>
      <c r="H2952" s="1">
        <f t="shared" si="674"/>
        <v>60</v>
      </c>
      <c r="I2952" s="1" t="str">
        <f t="shared" si="675"/>
        <v>='C:\Users\jaime.benazar\Quorum Business Solutions\Ecopetrol Prometeo - Documents\Planning Space Implementation\3. Analysis &amp; Design\Design\FC22\DRR Jaime\QUIFA-CAJÚA\Cajua\[VAS_CAJUA_CF_SEC_20230125.xlsx]CF PDP'!$DI$60</v>
      </c>
      <c r="J2952" t="s">
        <v>1448</v>
      </c>
    </row>
    <row r="2953" spans="1:10" x14ac:dyDescent="0.25">
      <c r="A2953" s="6" t="s">
        <v>1</v>
      </c>
      <c r="B2953" s="6">
        <f t="shared" si="676"/>
        <v>2048</v>
      </c>
      <c r="C2953" s="1" t="s">
        <v>42</v>
      </c>
      <c r="D2953" s="2" t="s">
        <v>128</v>
      </c>
      <c r="E2953" s="9" t="str">
        <f t="shared" si="672"/>
        <v>PDP'!</v>
      </c>
      <c r="F2953" s="5" t="str">
        <f t="shared" si="673"/>
        <v>C:\Users\jaime.benazar\Quorum Business Solutions\Ecopetrol Prometeo - Documents\Planning Space Implementation\3. Analysis &amp; Design\Design\FC22\DRR Jaime\QUIFA-CAJÚA\Cajua\[VAS_CAJUA_CF_SEC_20230125.xlsx]CF PDP'!</v>
      </c>
      <c r="G2953" s="6" t="s">
        <v>43</v>
      </c>
      <c r="H2953" s="1">
        <f t="shared" si="674"/>
        <v>61</v>
      </c>
      <c r="I2953" s="1" t="str">
        <f t="shared" si="675"/>
        <v>='C:\Users\jaime.benazar\Quorum Business Solutions\Ecopetrol Prometeo - Documents\Planning Space Implementation\3. Analysis &amp; Design\Design\FC22\DRR Jaime\QUIFA-CAJÚA\Cajua\[VAS_CAJUA_CF_SEC_20230125.xlsx]CF PDP'!$DI$61</v>
      </c>
      <c r="J2953" t="s">
        <v>1449</v>
      </c>
    </row>
    <row r="2954" spans="1:10" x14ac:dyDescent="0.25">
      <c r="A2954" s="6" t="s">
        <v>1</v>
      </c>
      <c r="B2954" s="6">
        <f t="shared" si="676"/>
        <v>2049</v>
      </c>
      <c r="C2954" s="1" t="s">
        <v>42</v>
      </c>
      <c r="D2954" s="2" t="s">
        <v>128</v>
      </c>
      <c r="E2954" s="9" t="str">
        <f t="shared" si="672"/>
        <v>PDP'!</v>
      </c>
      <c r="F2954" s="5" t="str">
        <f t="shared" si="673"/>
        <v>C:\Users\jaime.benazar\Quorum Business Solutions\Ecopetrol Prometeo - Documents\Planning Space Implementation\3. Analysis &amp; Design\Design\FC22\DRR Jaime\QUIFA-CAJÚA\Cajua\[VAS_CAJUA_CF_SEC_20230125.xlsx]CF PDP'!</v>
      </c>
      <c r="G2954" s="6" t="s">
        <v>43</v>
      </c>
      <c r="H2954" s="1">
        <f t="shared" si="674"/>
        <v>62</v>
      </c>
      <c r="I2954" s="1" t="str">
        <f t="shared" si="675"/>
        <v>='C:\Users\jaime.benazar\Quorum Business Solutions\Ecopetrol Prometeo - Documents\Planning Space Implementation\3. Analysis &amp; Design\Design\FC22\DRR Jaime\QUIFA-CAJÚA\Cajua\[VAS_CAJUA_CF_SEC_20230125.xlsx]CF PDP'!$DI$62</v>
      </c>
      <c r="J2954" t="s">
        <v>1450</v>
      </c>
    </row>
    <row r="2955" spans="1:10" x14ac:dyDescent="0.25">
      <c r="A2955" s="6" t="s">
        <v>1</v>
      </c>
      <c r="B2955" s="6">
        <f t="shared" si="676"/>
        <v>2050</v>
      </c>
      <c r="C2955" s="1" t="s">
        <v>42</v>
      </c>
      <c r="D2955" s="2" t="s">
        <v>128</v>
      </c>
      <c r="E2955" s="9" t="str">
        <f t="shared" si="672"/>
        <v>PDP'!</v>
      </c>
      <c r="F2955" s="5" t="str">
        <f t="shared" si="673"/>
        <v>C:\Users\jaime.benazar\Quorum Business Solutions\Ecopetrol Prometeo - Documents\Planning Space Implementation\3. Analysis &amp; Design\Design\FC22\DRR Jaime\QUIFA-CAJÚA\Cajua\[VAS_CAJUA_CF_SEC_20230125.xlsx]CF PDP'!</v>
      </c>
      <c r="G2955" s="6" t="s">
        <v>43</v>
      </c>
      <c r="H2955" s="1">
        <f t="shared" si="674"/>
        <v>63</v>
      </c>
      <c r="I2955" s="1" t="str">
        <f t="shared" si="675"/>
        <v>='C:\Users\jaime.benazar\Quorum Business Solutions\Ecopetrol Prometeo - Documents\Planning Space Implementation\3. Analysis &amp; Design\Design\FC22\DRR Jaime\QUIFA-CAJÚA\Cajua\[VAS_CAJUA_CF_SEC_20230125.xlsx]CF PDP'!$DI$63</v>
      </c>
      <c r="J2955" t="s">
        <v>1451</v>
      </c>
    </row>
    <row r="2956" spans="1:10" x14ac:dyDescent="0.25">
      <c r="A2956" s="6" t="s">
        <v>1</v>
      </c>
      <c r="B2956" s="6">
        <f t="shared" si="676"/>
        <v>2051</v>
      </c>
      <c r="C2956" s="1" t="s">
        <v>42</v>
      </c>
      <c r="D2956" s="2" t="s">
        <v>128</v>
      </c>
      <c r="E2956" s="9" t="str">
        <f t="shared" si="672"/>
        <v>PDP'!</v>
      </c>
      <c r="F2956" s="5" t="str">
        <f t="shared" si="673"/>
        <v>C:\Users\jaime.benazar\Quorum Business Solutions\Ecopetrol Prometeo - Documents\Planning Space Implementation\3. Analysis &amp; Design\Design\FC22\DRR Jaime\QUIFA-CAJÚA\Cajua\[VAS_CAJUA_CF_SEC_20230125.xlsx]CF PDP'!</v>
      </c>
      <c r="G2956" s="6" t="s">
        <v>43</v>
      </c>
      <c r="H2956" s="1">
        <f t="shared" si="674"/>
        <v>64</v>
      </c>
      <c r="I2956" s="1" t="str">
        <f t="shared" si="675"/>
        <v>='C:\Users\jaime.benazar\Quorum Business Solutions\Ecopetrol Prometeo - Documents\Planning Space Implementation\3. Analysis &amp; Design\Design\FC22\DRR Jaime\QUIFA-CAJÚA\Cajua\[VAS_CAJUA_CF_SEC_20230125.xlsx]CF PDP'!$DI$64</v>
      </c>
      <c r="J2956" t="s">
        <v>1452</v>
      </c>
    </row>
    <row r="2957" spans="1:10" x14ac:dyDescent="0.25">
      <c r="A2957" s="6" t="s">
        <v>1</v>
      </c>
      <c r="B2957" s="6">
        <f t="shared" si="676"/>
        <v>2052</v>
      </c>
      <c r="C2957" s="1" t="s">
        <v>42</v>
      </c>
      <c r="D2957" s="2" t="s">
        <v>128</v>
      </c>
      <c r="E2957" s="9" t="str">
        <f t="shared" si="672"/>
        <v>PDP'!</v>
      </c>
      <c r="F2957" s="5" t="str">
        <f t="shared" si="673"/>
        <v>C:\Users\jaime.benazar\Quorum Business Solutions\Ecopetrol Prometeo - Documents\Planning Space Implementation\3. Analysis &amp; Design\Design\FC22\DRR Jaime\QUIFA-CAJÚA\Cajua\[VAS_CAJUA_CF_SEC_20230125.xlsx]CF PDP'!</v>
      </c>
      <c r="G2957" s="6" t="s">
        <v>43</v>
      </c>
      <c r="H2957" s="1">
        <f t="shared" si="674"/>
        <v>65</v>
      </c>
      <c r="I2957" s="1" t="str">
        <f t="shared" si="675"/>
        <v>='C:\Users\jaime.benazar\Quorum Business Solutions\Ecopetrol Prometeo - Documents\Planning Space Implementation\3. Analysis &amp; Design\Design\FC22\DRR Jaime\QUIFA-CAJÚA\Cajua\[VAS_CAJUA_CF_SEC_20230125.xlsx]CF PDP'!$DI$65</v>
      </c>
      <c r="J2957" t="s">
        <v>1453</v>
      </c>
    </row>
    <row r="2958" spans="1:10" x14ac:dyDescent="0.25">
      <c r="A2958" s="6" t="s">
        <v>1</v>
      </c>
      <c r="B2958" s="6">
        <f t="shared" si="676"/>
        <v>2053</v>
      </c>
      <c r="C2958" s="1" t="s">
        <v>42</v>
      </c>
      <c r="D2958" s="2" t="s">
        <v>128</v>
      </c>
      <c r="E2958" s="9" t="str">
        <f t="shared" si="672"/>
        <v>PDP'!</v>
      </c>
      <c r="F2958" s="5" t="str">
        <f t="shared" si="673"/>
        <v>C:\Users\jaime.benazar\Quorum Business Solutions\Ecopetrol Prometeo - Documents\Planning Space Implementation\3. Analysis &amp; Design\Design\FC22\DRR Jaime\QUIFA-CAJÚA\Cajua\[VAS_CAJUA_CF_SEC_20230125.xlsx]CF PDP'!</v>
      </c>
      <c r="G2958" s="6" t="s">
        <v>43</v>
      </c>
      <c r="H2958" s="1">
        <f t="shared" si="674"/>
        <v>66</v>
      </c>
      <c r="I2958" s="1" t="str">
        <f t="shared" si="675"/>
        <v>='C:\Users\jaime.benazar\Quorum Business Solutions\Ecopetrol Prometeo - Documents\Planning Space Implementation\3. Analysis &amp; Design\Design\FC22\DRR Jaime\QUIFA-CAJÚA\Cajua\[VAS_CAJUA_CF_SEC_20230125.xlsx]CF PDP'!$DI$66</v>
      </c>
      <c r="J2958" t="s">
        <v>1454</v>
      </c>
    </row>
    <row r="2959" spans="1:10" x14ac:dyDescent="0.25">
      <c r="A2959" s="6" t="s">
        <v>1</v>
      </c>
      <c r="B2959" s="6">
        <f t="shared" si="676"/>
        <v>2054</v>
      </c>
      <c r="C2959" s="1" t="s">
        <v>42</v>
      </c>
      <c r="D2959" s="2" t="s">
        <v>128</v>
      </c>
      <c r="E2959" s="9" t="str">
        <f t="shared" si="672"/>
        <v>PDP'!</v>
      </c>
      <c r="F2959" s="5" t="str">
        <f t="shared" si="673"/>
        <v>C:\Users\jaime.benazar\Quorum Business Solutions\Ecopetrol Prometeo - Documents\Planning Space Implementation\3. Analysis &amp; Design\Design\FC22\DRR Jaime\QUIFA-CAJÚA\Cajua\[VAS_CAJUA_CF_SEC_20230125.xlsx]CF PDP'!</v>
      </c>
      <c r="G2959" s="6" t="s">
        <v>43</v>
      </c>
      <c r="H2959" s="1">
        <f t="shared" si="674"/>
        <v>67</v>
      </c>
      <c r="I2959" s="1" t="str">
        <f t="shared" si="675"/>
        <v>='C:\Users\jaime.benazar\Quorum Business Solutions\Ecopetrol Prometeo - Documents\Planning Space Implementation\3. Analysis &amp; Design\Design\FC22\DRR Jaime\QUIFA-CAJÚA\Cajua\[VAS_CAJUA_CF_SEC_20230125.xlsx]CF PDP'!$DI$67</v>
      </c>
      <c r="J2959" t="s">
        <v>1455</v>
      </c>
    </row>
    <row r="2960" spans="1:10" x14ac:dyDescent="0.25">
      <c r="A2960" s="6" t="s">
        <v>1</v>
      </c>
      <c r="B2960" s="6">
        <f t="shared" si="676"/>
        <v>2055</v>
      </c>
      <c r="C2960" s="1" t="s">
        <v>42</v>
      </c>
      <c r="D2960" s="2" t="s">
        <v>128</v>
      </c>
      <c r="E2960" s="9" t="str">
        <f t="shared" si="672"/>
        <v>PDP'!</v>
      </c>
      <c r="F2960" s="5" t="str">
        <f t="shared" si="673"/>
        <v>C:\Users\jaime.benazar\Quorum Business Solutions\Ecopetrol Prometeo - Documents\Planning Space Implementation\3. Analysis &amp; Design\Design\FC22\DRR Jaime\QUIFA-CAJÚA\Cajua\[VAS_CAJUA_CF_SEC_20230125.xlsx]CF PDP'!</v>
      </c>
      <c r="G2960" s="6" t="s">
        <v>43</v>
      </c>
      <c r="H2960" s="1">
        <f t="shared" si="674"/>
        <v>68</v>
      </c>
      <c r="I2960" s="1" t="str">
        <f t="shared" si="675"/>
        <v>='C:\Users\jaime.benazar\Quorum Business Solutions\Ecopetrol Prometeo - Documents\Planning Space Implementation\3. Analysis &amp; Design\Design\FC22\DRR Jaime\QUIFA-CAJÚA\Cajua\[VAS_CAJUA_CF_SEC_20230125.xlsx]CF PDP'!$DI$68</v>
      </c>
      <c r="J2960" t="s">
        <v>1456</v>
      </c>
    </row>
    <row r="2961" spans="1:10" x14ac:dyDescent="0.25">
      <c r="A2961" s="6" t="s">
        <v>1</v>
      </c>
      <c r="B2961" s="6">
        <f t="shared" si="676"/>
        <v>2056</v>
      </c>
      <c r="C2961" s="1" t="s">
        <v>42</v>
      </c>
      <c r="D2961" s="2" t="s">
        <v>128</v>
      </c>
      <c r="E2961" s="9" t="str">
        <f t="shared" si="672"/>
        <v>PDP'!</v>
      </c>
      <c r="F2961" s="5" t="str">
        <f t="shared" si="673"/>
        <v>C:\Users\jaime.benazar\Quorum Business Solutions\Ecopetrol Prometeo - Documents\Planning Space Implementation\3. Analysis &amp; Design\Design\FC22\DRR Jaime\QUIFA-CAJÚA\Cajua\[VAS_CAJUA_CF_SEC_20230125.xlsx]CF PDP'!</v>
      </c>
      <c r="G2961" s="6" t="s">
        <v>43</v>
      </c>
      <c r="H2961" s="1">
        <f t="shared" si="674"/>
        <v>69</v>
      </c>
      <c r="I2961" s="1" t="str">
        <f t="shared" si="675"/>
        <v>='C:\Users\jaime.benazar\Quorum Business Solutions\Ecopetrol Prometeo - Documents\Planning Space Implementation\3. Analysis &amp; Design\Design\FC22\DRR Jaime\QUIFA-CAJÚA\Cajua\[VAS_CAJUA_CF_SEC_20230125.xlsx]CF PDP'!$DI$69</v>
      </c>
      <c r="J2961" t="s">
        <v>1457</v>
      </c>
    </row>
    <row r="2962" spans="1:10" x14ac:dyDescent="0.25">
      <c r="A2962" s="6" t="s">
        <v>1</v>
      </c>
      <c r="B2962" s="6">
        <f t="shared" si="676"/>
        <v>2057</v>
      </c>
      <c r="C2962" s="1" t="s">
        <v>42</v>
      </c>
      <c r="D2962" s="2" t="s">
        <v>128</v>
      </c>
      <c r="E2962" s="9" t="str">
        <f t="shared" si="672"/>
        <v>PDP'!</v>
      </c>
      <c r="F2962" s="5" t="str">
        <f t="shared" si="673"/>
        <v>C:\Users\jaime.benazar\Quorum Business Solutions\Ecopetrol Prometeo - Documents\Planning Space Implementation\3. Analysis &amp; Design\Design\FC22\DRR Jaime\QUIFA-CAJÚA\Cajua\[VAS_CAJUA_CF_SEC_20230125.xlsx]CF PDP'!</v>
      </c>
      <c r="G2962" s="6" t="s">
        <v>43</v>
      </c>
      <c r="H2962" s="1">
        <f t="shared" si="674"/>
        <v>70</v>
      </c>
      <c r="I2962" s="1" t="str">
        <f t="shared" si="675"/>
        <v>='C:\Users\jaime.benazar\Quorum Business Solutions\Ecopetrol Prometeo - Documents\Planning Space Implementation\3. Analysis &amp; Design\Design\FC22\DRR Jaime\QUIFA-CAJÚA\Cajua\[VAS_CAJUA_CF_SEC_20230125.xlsx]CF PDP'!$DI$70</v>
      </c>
      <c r="J2962" t="s">
        <v>1458</v>
      </c>
    </row>
    <row r="2963" spans="1:10" x14ac:dyDescent="0.25">
      <c r="A2963" s="6" t="s">
        <v>1</v>
      </c>
      <c r="B2963" s="6">
        <f t="shared" si="676"/>
        <v>2058</v>
      </c>
      <c r="C2963" s="1" t="s">
        <v>42</v>
      </c>
      <c r="D2963" s="2" t="s">
        <v>128</v>
      </c>
      <c r="E2963" s="9" t="str">
        <f t="shared" si="672"/>
        <v>PDP'!</v>
      </c>
      <c r="F2963" s="5" t="str">
        <f t="shared" si="673"/>
        <v>C:\Users\jaime.benazar\Quorum Business Solutions\Ecopetrol Prometeo - Documents\Planning Space Implementation\3. Analysis &amp; Design\Design\FC22\DRR Jaime\QUIFA-CAJÚA\Cajua\[VAS_CAJUA_CF_SEC_20230125.xlsx]CF PDP'!</v>
      </c>
      <c r="G2963" s="6" t="s">
        <v>43</v>
      </c>
      <c r="H2963" s="1">
        <f t="shared" si="674"/>
        <v>71</v>
      </c>
      <c r="I2963" s="1" t="str">
        <f t="shared" si="675"/>
        <v>='C:\Users\jaime.benazar\Quorum Business Solutions\Ecopetrol Prometeo - Documents\Planning Space Implementation\3. Analysis &amp; Design\Design\FC22\DRR Jaime\QUIFA-CAJÚA\Cajua\[VAS_CAJUA_CF_SEC_20230125.xlsx]CF PDP'!$DI$71</v>
      </c>
      <c r="J2963" t="s">
        <v>1459</v>
      </c>
    </row>
    <row r="2964" spans="1:10" x14ac:dyDescent="0.25">
      <c r="A2964" s="6" t="s">
        <v>1</v>
      </c>
      <c r="B2964" s="6">
        <f t="shared" si="676"/>
        <v>2059</v>
      </c>
      <c r="C2964" s="1" t="s">
        <v>42</v>
      </c>
      <c r="D2964" s="2" t="s">
        <v>128</v>
      </c>
      <c r="E2964" s="9" t="str">
        <f t="shared" si="672"/>
        <v>PDP'!</v>
      </c>
      <c r="F2964" s="5" t="str">
        <f t="shared" si="673"/>
        <v>C:\Users\jaime.benazar\Quorum Business Solutions\Ecopetrol Prometeo - Documents\Planning Space Implementation\3. Analysis &amp; Design\Design\FC22\DRR Jaime\QUIFA-CAJÚA\Cajua\[VAS_CAJUA_CF_SEC_20230125.xlsx]CF PDP'!</v>
      </c>
      <c r="G2964" s="6" t="s">
        <v>43</v>
      </c>
      <c r="H2964" s="1">
        <f t="shared" si="674"/>
        <v>72</v>
      </c>
      <c r="I2964" s="1" t="str">
        <f t="shared" si="675"/>
        <v>='C:\Users\jaime.benazar\Quorum Business Solutions\Ecopetrol Prometeo - Documents\Planning Space Implementation\3. Analysis &amp; Design\Design\FC22\DRR Jaime\QUIFA-CAJÚA\Cajua\[VAS_CAJUA_CF_SEC_20230125.xlsx]CF PDP'!$DI$72</v>
      </c>
      <c r="J2964" t="s">
        <v>1460</v>
      </c>
    </row>
    <row r="2965" spans="1:10" x14ac:dyDescent="0.25">
      <c r="A2965" s="7" t="s">
        <v>28</v>
      </c>
      <c r="B2965" s="6"/>
      <c r="C2965" s="1" t="s">
        <v>42</v>
      </c>
      <c r="D2965" s="2"/>
      <c r="E2965" s="9"/>
      <c r="F2965" s="5"/>
      <c r="G2965" s="6"/>
      <c r="H2965" s="1"/>
      <c r="I2965" s="1"/>
      <c r="J2965" s="4"/>
    </row>
    <row r="2966" spans="1:10" x14ac:dyDescent="0.25">
      <c r="A2966" s="6" t="s">
        <v>2</v>
      </c>
      <c r="B2966" s="6">
        <v>2023</v>
      </c>
      <c r="C2966" s="1" t="s">
        <v>42</v>
      </c>
      <c r="D2966" s="2" t="s">
        <v>128</v>
      </c>
      <c r="E2966" s="9" t="str">
        <f t="shared" si="666"/>
        <v>PNP'!</v>
      </c>
      <c r="F2966" s="5" t="str">
        <f t="shared" ref="F2966:F2986" si="677">_xlfn.CONCAT(D2966," ",E2966)</f>
        <v>C:\Users\jaime.benazar\Quorum Business Solutions\Ecopetrol Prometeo - Documents\Planning Space Implementation\3. Analysis &amp; Design\Design\FC22\DRR Jaime\QUIFA-CAJÚA\Cajua\[VAS_CAJUA_CF_SEC_20230125.xlsx]CF PNP'!</v>
      </c>
      <c r="G2966" s="6" t="s">
        <v>43</v>
      </c>
      <c r="H2966" s="1">
        <f>IF(A2966&lt;&gt;A2950,36,H2950+1)</f>
        <v>36</v>
      </c>
      <c r="I2966" s="1" t="str">
        <f t="shared" si="667"/>
        <v>='C:\Users\jaime.benazar\Quorum Business Solutions\Ecopetrol Prometeo - Documents\Planning Space Implementation\3. Analysis &amp; Design\Design\FC22\DRR Jaime\QUIFA-CAJÚA\Cajua\[VAS_CAJUA_CF_SEC_20230125.xlsx]CF PNP'!$DI$36</v>
      </c>
      <c r="J2966" t="s">
        <v>1461</v>
      </c>
    </row>
    <row r="2967" spans="1:10" x14ac:dyDescent="0.25">
      <c r="A2967" s="6" t="s">
        <v>2</v>
      </c>
      <c r="B2967" s="6">
        <f>+B2966+1</f>
        <v>2024</v>
      </c>
      <c r="C2967" s="1" t="s">
        <v>42</v>
      </c>
      <c r="D2967" s="2" t="s">
        <v>128</v>
      </c>
      <c r="E2967" s="9" t="str">
        <f t="shared" si="666"/>
        <v>PNP'!</v>
      </c>
      <c r="F2967" s="5" t="str">
        <f t="shared" si="677"/>
        <v>C:\Users\jaime.benazar\Quorum Business Solutions\Ecopetrol Prometeo - Documents\Planning Space Implementation\3. Analysis &amp; Design\Design\FC22\DRR Jaime\QUIFA-CAJÚA\Cajua\[VAS_CAJUA_CF_SEC_20230125.xlsx]CF PNP'!</v>
      </c>
      <c r="G2967" s="6" t="s">
        <v>43</v>
      </c>
      <c r="H2967" s="1">
        <f t="shared" si="669"/>
        <v>37</v>
      </c>
      <c r="I2967" s="1" t="str">
        <f t="shared" si="667"/>
        <v>='C:\Users\jaime.benazar\Quorum Business Solutions\Ecopetrol Prometeo - Documents\Planning Space Implementation\3. Analysis &amp; Design\Design\FC22\DRR Jaime\QUIFA-CAJÚA\Cajua\[VAS_CAJUA_CF_SEC_20230125.xlsx]CF PNP'!$DI$37</v>
      </c>
      <c r="J2967" t="s">
        <v>1462</v>
      </c>
    </row>
    <row r="2968" spans="1:10" x14ac:dyDescent="0.25">
      <c r="A2968" s="6" t="s">
        <v>2</v>
      </c>
      <c r="B2968" s="6">
        <f t="shared" ref="B2968:B2979" si="678">+B2967+1</f>
        <v>2025</v>
      </c>
      <c r="C2968" s="1" t="s">
        <v>42</v>
      </c>
      <c r="D2968" s="2" t="s">
        <v>128</v>
      </c>
      <c r="E2968" s="9" t="str">
        <f t="shared" si="666"/>
        <v>PNP'!</v>
      </c>
      <c r="F2968" s="5" t="str">
        <f t="shared" si="677"/>
        <v>C:\Users\jaime.benazar\Quorum Business Solutions\Ecopetrol Prometeo - Documents\Planning Space Implementation\3. Analysis &amp; Design\Design\FC22\DRR Jaime\QUIFA-CAJÚA\Cajua\[VAS_CAJUA_CF_SEC_20230125.xlsx]CF PNP'!</v>
      </c>
      <c r="G2968" s="6" t="s">
        <v>43</v>
      </c>
      <c r="H2968" s="1">
        <f t="shared" si="669"/>
        <v>38</v>
      </c>
      <c r="I2968" s="1" t="str">
        <f t="shared" si="667"/>
        <v>='C:\Users\jaime.benazar\Quorum Business Solutions\Ecopetrol Prometeo - Documents\Planning Space Implementation\3. Analysis &amp; Design\Design\FC22\DRR Jaime\QUIFA-CAJÚA\Cajua\[VAS_CAJUA_CF_SEC_20230125.xlsx]CF PNP'!$DI$38</v>
      </c>
      <c r="J2968" t="s">
        <v>1463</v>
      </c>
    </row>
    <row r="2969" spans="1:10" x14ac:dyDescent="0.25">
      <c r="A2969" s="6" t="s">
        <v>2</v>
      </c>
      <c r="B2969" s="6">
        <f t="shared" si="678"/>
        <v>2026</v>
      </c>
      <c r="C2969" s="1" t="s">
        <v>42</v>
      </c>
      <c r="D2969" s="2" t="s">
        <v>128</v>
      </c>
      <c r="E2969" s="9" t="str">
        <f t="shared" si="666"/>
        <v>PNP'!</v>
      </c>
      <c r="F2969" s="5" t="str">
        <f t="shared" si="677"/>
        <v>C:\Users\jaime.benazar\Quorum Business Solutions\Ecopetrol Prometeo - Documents\Planning Space Implementation\3. Analysis &amp; Design\Design\FC22\DRR Jaime\QUIFA-CAJÚA\Cajua\[VAS_CAJUA_CF_SEC_20230125.xlsx]CF PNP'!</v>
      </c>
      <c r="G2969" s="6" t="s">
        <v>43</v>
      </c>
      <c r="H2969" s="1">
        <f t="shared" si="669"/>
        <v>39</v>
      </c>
      <c r="I2969" s="1" t="str">
        <f t="shared" si="667"/>
        <v>='C:\Users\jaime.benazar\Quorum Business Solutions\Ecopetrol Prometeo - Documents\Planning Space Implementation\3. Analysis &amp; Design\Design\FC22\DRR Jaime\QUIFA-CAJÚA\Cajua\[VAS_CAJUA_CF_SEC_20230125.xlsx]CF PNP'!$DI$39</v>
      </c>
      <c r="J2969" t="s">
        <v>1464</v>
      </c>
    </row>
    <row r="2970" spans="1:10" x14ac:dyDescent="0.25">
      <c r="A2970" s="6" t="s">
        <v>2</v>
      </c>
      <c r="B2970" s="6">
        <f t="shared" si="678"/>
        <v>2027</v>
      </c>
      <c r="C2970" s="1" t="s">
        <v>42</v>
      </c>
      <c r="D2970" s="2" t="s">
        <v>128</v>
      </c>
      <c r="E2970" s="9" t="str">
        <f t="shared" si="666"/>
        <v>PNP'!</v>
      </c>
      <c r="F2970" s="5" t="str">
        <f t="shared" si="677"/>
        <v>C:\Users\jaime.benazar\Quorum Business Solutions\Ecopetrol Prometeo - Documents\Planning Space Implementation\3. Analysis &amp; Design\Design\FC22\DRR Jaime\QUIFA-CAJÚA\Cajua\[VAS_CAJUA_CF_SEC_20230125.xlsx]CF PNP'!</v>
      </c>
      <c r="G2970" s="6" t="s">
        <v>43</v>
      </c>
      <c r="H2970" s="1">
        <f t="shared" si="669"/>
        <v>40</v>
      </c>
      <c r="I2970" s="1" t="str">
        <f t="shared" si="667"/>
        <v>='C:\Users\jaime.benazar\Quorum Business Solutions\Ecopetrol Prometeo - Documents\Planning Space Implementation\3. Analysis &amp; Design\Design\FC22\DRR Jaime\QUIFA-CAJÚA\Cajua\[VAS_CAJUA_CF_SEC_20230125.xlsx]CF PNP'!$DI$40</v>
      </c>
      <c r="J2970" t="s">
        <v>1465</v>
      </c>
    </row>
    <row r="2971" spans="1:10" x14ac:dyDescent="0.25">
      <c r="A2971" s="6" t="s">
        <v>2</v>
      </c>
      <c r="B2971" s="6">
        <f t="shared" si="678"/>
        <v>2028</v>
      </c>
      <c r="C2971" s="1" t="s">
        <v>42</v>
      </c>
      <c r="D2971" s="2" t="s">
        <v>128</v>
      </c>
      <c r="E2971" s="9" t="str">
        <f t="shared" si="666"/>
        <v>PNP'!</v>
      </c>
      <c r="F2971" s="5" t="str">
        <f t="shared" si="677"/>
        <v>C:\Users\jaime.benazar\Quorum Business Solutions\Ecopetrol Prometeo - Documents\Planning Space Implementation\3. Analysis &amp; Design\Design\FC22\DRR Jaime\QUIFA-CAJÚA\Cajua\[VAS_CAJUA_CF_SEC_20230125.xlsx]CF PNP'!</v>
      </c>
      <c r="G2971" s="6" t="s">
        <v>43</v>
      </c>
      <c r="H2971" s="1">
        <f t="shared" si="669"/>
        <v>41</v>
      </c>
      <c r="I2971" s="1" t="str">
        <f t="shared" si="667"/>
        <v>='C:\Users\jaime.benazar\Quorum Business Solutions\Ecopetrol Prometeo - Documents\Planning Space Implementation\3. Analysis &amp; Design\Design\FC22\DRR Jaime\QUIFA-CAJÚA\Cajua\[VAS_CAJUA_CF_SEC_20230125.xlsx]CF PNP'!$DI$41</v>
      </c>
      <c r="J2971" t="s">
        <v>1466</v>
      </c>
    </row>
    <row r="2972" spans="1:10" x14ac:dyDescent="0.25">
      <c r="A2972" s="6" t="s">
        <v>2</v>
      </c>
      <c r="B2972" s="6">
        <f t="shared" si="678"/>
        <v>2029</v>
      </c>
      <c r="C2972" s="1" t="s">
        <v>42</v>
      </c>
      <c r="D2972" s="2" t="s">
        <v>128</v>
      </c>
      <c r="E2972" s="9" t="str">
        <f t="shared" si="666"/>
        <v>PNP'!</v>
      </c>
      <c r="F2972" s="5" t="str">
        <f t="shared" si="677"/>
        <v>C:\Users\jaime.benazar\Quorum Business Solutions\Ecopetrol Prometeo - Documents\Planning Space Implementation\3. Analysis &amp; Design\Design\FC22\DRR Jaime\QUIFA-CAJÚA\Cajua\[VAS_CAJUA_CF_SEC_20230125.xlsx]CF PNP'!</v>
      </c>
      <c r="G2972" s="6" t="s">
        <v>43</v>
      </c>
      <c r="H2972" s="1">
        <f t="shared" si="669"/>
        <v>42</v>
      </c>
      <c r="I2972" s="1" t="str">
        <f t="shared" si="667"/>
        <v>='C:\Users\jaime.benazar\Quorum Business Solutions\Ecopetrol Prometeo - Documents\Planning Space Implementation\3. Analysis &amp; Design\Design\FC22\DRR Jaime\QUIFA-CAJÚA\Cajua\[VAS_CAJUA_CF_SEC_20230125.xlsx]CF PNP'!$DI$42</v>
      </c>
      <c r="J2972" t="s">
        <v>1467</v>
      </c>
    </row>
    <row r="2973" spans="1:10" x14ac:dyDescent="0.25">
      <c r="A2973" s="6" t="s">
        <v>2</v>
      </c>
      <c r="B2973" s="6">
        <f t="shared" si="678"/>
        <v>2030</v>
      </c>
      <c r="C2973" s="1" t="s">
        <v>42</v>
      </c>
      <c r="D2973" s="2" t="s">
        <v>128</v>
      </c>
      <c r="E2973" s="9" t="str">
        <f t="shared" si="666"/>
        <v>PNP'!</v>
      </c>
      <c r="F2973" s="5" t="str">
        <f t="shared" si="677"/>
        <v>C:\Users\jaime.benazar\Quorum Business Solutions\Ecopetrol Prometeo - Documents\Planning Space Implementation\3. Analysis &amp; Design\Design\FC22\DRR Jaime\QUIFA-CAJÚA\Cajua\[VAS_CAJUA_CF_SEC_20230125.xlsx]CF PNP'!</v>
      </c>
      <c r="G2973" s="6" t="s">
        <v>43</v>
      </c>
      <c r="H2973" s="1">
        <f t="shared" si="669"/>
        <v>43</v>
      </c>
      <c r="I2973" s="1" t="str">
        <f t="shared" si="667"/>
        <v>='C:\Users\jaime.benazar\Quorum Business Solutions\Ecopetrol Prometeo - Documents\Planning Space Implementation\3. Analysis &amp; Design\Design\FC22\DRR Jaime\QUIFA-CAJÚA\Cajua\[VAS_CAJUA_CF_SEC_20230125.xlsx]CF PNP'!$DI$43</v>
      </c>
      <c r="J2973" t="s">
        <v>1468</v>
      </c>
    </row>
    <row r="2974" spans="1:10" x14ac:dyDescent="0.25">
      <c r="A2974" s="6" t="s">
        <v>2</v>
      </c>
      <c r="B2974" s="6">
        <f t="shared" si="678"/>
        <v>2031</v>
      </c>
      <c r="C2974" s="1" t="s">
        <v>42</v>
      </c>
      <c r="D2974" s="2" t="s">
        <v>128</v>
      </c>
      <c r="E2974" s="9" t="str">
        <f t="shared" si="666"/>
        <v>PNP'!</v>
      </c>
      <c r="F2974" s="5" t="str">
        <f t="shared" si="677"/>
        <v>C:\Users\jaime.benazar\Quorum Business Solutions\Ecopetrol Prometeo - Documents\Planning Space Implementation\3. Analysis &amp; Design\Design\FC22\DRR Jaime\QUIFA-CAJÚA\Cajua\[VAS_CAJUA_CF_SEC_20230125.xlsx]CF PNP'!</v>
      </c>
      <c r="G2974" s="6" t="s">
        <v>43</v>
      </c>
      <c r="H2974" s="1">
        <f t="shared" si="669"/>
        <v>44</v>
      </c>
      <c r="I2974" s="1" t="str">
        <f t="shared" si="667"/>
        <v>='C:\Users\jaime.benazar\Quorum Business Solutions\Ecopetrol Prometeo - Documents\Planning Space Implementation\3. Analysis &amp; Design\Design\FC22\DRR Jaime\QUIFA-CAJÚA\Cajua\[VAS_CAJUA_CF_SEC_20230125.xlsx]CF PNP'!$DI$44</v>
      </c>
      <c r="J2974" t="s">
        <v>1469</v>
      </c>
    </row>
    <row r="2975" spans="1:10" x14ac:dyDescent="0.25">
      <c r="A2975" s="6" t="s">
        <v>2</v>
      </c>
      <c r="B2975" s="6">
        <f t="shared" si="678"/>
        <v>2032</v>
      </c>
      <c r="C2975" s="1" t="s">
        <v>42</v>
      </c>
      <c r="D2975" s="2" t="s">
        <v>128</v>
      </c>
      <c r="E2975" s="9" t="str">
        <f t="shared" si="666"/>
        <v>PNP'!</v>
      </c>
      <c r="F2975" s="5" t="str">
        <f t="shared" si="677"/>
        <v>C:\Users\jaime.benazar\Quorum Business Solutions\Ecopetrol Prometeo - Documents\Planning Space Implementation\3. Analysis &amp; Design\Design\FC22\DRR Jaime\QUIFA-CAJÚA\Cajua\[VAS_CAJUA_CF_SEC_20230125.xlsx]CF PNP'!</v>
      </c>
      <c r="G2975" s="6" t="s">
        <v>43</v>
      </c>
      <c r="H2975" s="1">
        <f t="shared" si="669"/>
        <v>45</v>
      </c>
      <c r="I2975" s="1" t="str">
        <f t="shared" si="667"/>
        <v>='C:\Users\jaime.benazar\Quorum Business Solutions\Ecopetrol Prometeo - Documents\Planning Space Implementation\3. Analysis &amp; Design\Design\FC22\DRR Jaime\QUIFA-CAJÚA\Cajua\[VAS_CAJUA_CF_SEC_20230125.xlsx]CF PNP'!$DI$45</v>
      </c>
      <c r="J2975" t="s">
        <v>1470</v>
      </c>
    </row>
    <row r="2976" spans="1:10" x14ac:dyDescent="0.25">
      <c r="A2976" s="6" t="s">
        <v>2</v>
      </c>
      <c r="B2976" s="6">
        <f t="shared" si="678"/>
        <v>2033</v>
      </c>
      <c r="C2976" s="1" t="s">
        <v>42</v>
      </c>
      <c r="D2976" s="2" t="s">
        <v>128</v>
      </c>
      <c r="E2976" s="9" t="str">
        <f t="shared" si="666"/>
        <v>PNP'!</v>
      </c>
      <c r="F2976" s="5" t="str">
        <f t="shared" si="677"/>
        <v>C:\Users\jaime.benazar\Quorum Business Solutions\Ecopetrol Prometeo - Documents\Planning Space Implementation\3. Analysis &amp; Design\Design\FC22\DRR Jaime\QUIFA-CAJÚA\Cajua\[VAS_CAJUA_CF_SEC_20230125.xlsx]CF PNP'!</v>
      </c>
      <c r="G2976" s="6" t="s">
        <v>43</v>
      </c>
      <c r="H2976" s="1">
        <f t="shared" si="669"/>
        <v>46</v>
      </c>
      <c r="I2976" s="1" t="str">
        <f t="shared" si="667"/>
        <v>='C:\Users\jaime.benazar\Quorum Business Solutions\Ecopetrol Prometeo - Documents\Planning Space Implementation\3. Analysis &amp; Design\Design\FC22\DRR Jaime\QUIFA-CAJÚA\Cajua\[VAS_CAJUA_CF_SEC_20230125.xlsx]CF PNP'!$DI$46</v>
      </c>
      <c r="J2976" t="s">
        <v>1471</v>
      </c>
    </row>
    <row r="2977" spans="1:10" x14ac:dyDescent="0.25">
      <c r="A2977" s="6" t="s">
        <v>2</v>
      </c>
      <c r="B2977" s="6">
        <f t="shared" si="678"/>
        <v>2034</v>
      </c>
      <c r="C2977" s="1" t="s">
        <v>42</v>
      </c>
      <c r="D2977" s="2" t="s">
        <v>128</v>
      </c>
      <c r="E2977" s="9" t="str">
        <f t="shared" si="666"/>
        <v>PNP'!</v>
      </c>
      <c r="F2977" s="5" t="str">
        <f t="shared" si="677"/>
        <v>C:\Users\jaime.benazar\Quorum Business Solutions\Ecopetrol Prometeo - Documents\Planning Space Implementation\3. Analysis &amp; Design\Design\FC22\DRR Jaime\QUIFA-CAJÚA\Cajua\[VAS_CAJUA_CF_SEC_20230125.xlsx]CF PNP'!</v>
      </c>
      <c r="G2977" s="6" t="s">
        <v>43</v>
      </c>
      <c r="H2977" s="1">
        <f t="shared" si="669"/>
        <v>47</v>
      </c>
      <c r="I2977" s="1" t="str">
        <f t="shared" si="667"/>
        <v>='C:\Users\jaime.benazar\Quorum Business Solutions\Ecopetrol Prometeo - Documents\Planning Space Implementation\3. Analysis &amp; Design\Design\FC22\DRR Jaime\QUIFA-CAJÚA\Cajua\[VAS_CAJUA_CF_SEC_20230125.xlsx]CF PNP'!$DI$47</v>
      </c>
      <c r="J2977" t="s">
        <v>1472</v>
      </c>
    </row>
    <row r="2978" spans="1:10" x14ac:dyDescent="0.25">
      <c r="A2978" s="6" t="s">
        <v>2</v>
      </c>
      <c r="B2978" s="6">
        <f t="shared" si="678"/>
        <v>2035</v>
      </c>
      <c r="C2978" s="1" t="s">
        <v>42</v>
      </c>
      <c r="D2978" s="2" t="s">
        <v>128</v>
      </c>
      <c r="E2978" s="9" t="str">
        <f t="shared" si="666"/>
        <v>PNP'!</v>
      </c>
      <c r="F2978" s="5" t="str">
        <f t="shared" si="677"/>
        <v>C:\Users\jaime.benazar\Quorum Business Solutions\Ecopetrol Prometeo - Documents\Planning Space Implementation\3. Analysis &amp; Design\Design\FC22\DRR Jaime\QUIFA-CAJÚA\Cajua\[VAS_CAJUA_CF_SEC_20230125.xlsx]CF PNP'!</v>
      </c>
      <c r="G2978" s="6" t="s">
        <v>43</v>
      </c>
      <c r="H2978" s="1">
        <f t="shared" si="669"/>
        <v>48</v>
      </c>
      <c r="I2978" s="1" t="str">
        <f t="shared" si="667"/>
        <v>='C:\Users\jaime.benazar\Quorum Business Solutions\Ecopetrol Prometeo - Documents\Planning Space Implementation\3. Analysis &amp; Design\Design\FC22\DRR Jaime\QUIFA-CAJÚA\Cajua\[VAS_CAJUA_CF_SEC_20230125.xlsx]CF PNP'!$DI$48</v>
      </c>
      <c r="J2978" t="s">
        <v>1473</v>
      </c>
    </row>
    <row r="2979" spans="1:10" x14ac:dyDescent="0.25">
      <c r="A2979" s="6" t="s">
        <v>2</v>
      </c>
      <c r="B2979" s="6">
        <f t="shared" si="678"/>
        <v>2036</v>
      </c>
      <c r="C2979" s="1" t="s">
        <v>42</v>
      </c>
      <c r="D2979" s="2" t="s">
        <v>128</v>
      </c>
      <c r="E2979" s="9" t="str">
        <f t="shared" si="666"/>
        <v>PNP'!</v>
      </c>
      <c r="F2979" s="5" t="str">
        <f t="shared" si="677"/>
        <v>C:\Users\jaime.benazar\Quorum Business Solutions\Ecopetrol Prometeo - Documents\Planning Space Implementation\3. Analysis &amp; Design\Design\FC22\DRR Jaime\QUIFA-CAJÚA\Cajua\[VAS_CAJUA_CF_SEC_20230125.xlsx]CF PNP'!</v>
      </c>
      <c r="G2979" s="6" t="s">
        <v>43</v>
      </c>
      <c r="H2979" s="1">
        <f t="shared" si="669"/>
        <v>49</v>
      </c>
      <c r="I2979" s="1" t="str">
        <f t="shared" si="667"/>
        <v>='C:\Users\jaime.benazar\Quorum Business Solutions\Ecopetrol Prometeo - Documents\Planning Space Implementation\3. Analysis &amp; Design\Design\FC22\DRR Jaime\QUIFA-CAJÚA\Cajua\[VAS_CAJUA_CF_SEC_20230125.xlsx]CF PNP'!$DI$49</v>
      </c>
      <c r="J2979" t="s">
        <v>1474</v>
      </c>
    </row>
    <row r="2980" spans="1:10" x14ac:dyDescent="0.25">
      <c r="A2980" s="6" t="s">
        <v>2</v>
      </c>
      <c r="B2980" s="6">
        <f>+B2979+1</f>
        <v>2037</v>
      </c>
      <c r="C2980" s="1" t="s">
        <v>42</v>
      </c>
      <c r="D2980" s="2" t="s">
        <v>128</v>
      </c>
      <c r="E2980" s="9" t="str">
        <f t="shared" si="666"/>
        <v>PNP'!</v>
      </c>
      <c r="F2980" s="5" t="str">
        <f t="shared" si="677"/>
        <v>C:\Users\jaime.benazar\Quorum Business Solutions\Ecopetrol Prometeo - Documents\Planning Space Implementation\3. Analysis &amp; Design\Design\FC22\DRR Jaime\QUIFA-CAJÚA\Cajua\[VAS_CAJUA_CF_SEC_20230125.xlsx]CF PNP'!</v>
      </c>
      <c r="G2980" s="6" t="s">
        <v>43</v>
      </c>
      <c r="H2980" s="1">
        <f t="shared" si="669"/>
        <v>50</v>
      </c>
      <c r="I2980" s="1" t="str">
        <f t="shared" si="667"/>
        <v>='C:\Users\jaime.benazar\Quorum Business Solutions\Ecopetrol Prometeo - Documents\Planning Space Implementation\3. Analysis &amp; Design\Design\FC22\DRR Jaime\QUIFA-CAJÚA\Cajua\[VAS_CAJUA_CF_SEC_20230125.xlsx]CF PNP'!$DI$50</v>
      </c>
      <c r="J2980" t="s">
        <v>1475</v>
      </c>
    </row>
    <row r="2981" spans="1:10" x14ac:dyDescent="0.25">
      <c r="A2981" s="6" t="s">
        <v>2</v>
      </c>
      <c r="B2981" s="6">
        <f t="shared" ref="B2981:B2983" si="679">+B2980+1</f>
        <v>2038</v>
      </c>
      <c r="C2981" s="1" t="s">
        <v>42</v>
      </c>
      <c r="D2981" s="2" t="s">
        <v>128</v>
      </c>
      <c r="E2981" s="9" t="str">
        <f t="shared" si="666"/>
        <v>PNP'!</v>
      </c>
      <c r="F2981" s="5" t="str">
        <f t="shared" si="677"/>
        <v>C:\Users\jaime.benazar\Quorum Business Solutions\Ecopetrol Prometeo - Documents\Planning Space Implementation\3. Analysis &amp; Design\Design\FC22\DRR Jaime\QUIFA-CAJÚA\Cajua\[VAS_CAJUA_CF_SEC_20230125.xlsx]CF PNP'!</v>
      </c>
      <c r="G2981" s="6" t="s">
        <v>43</v>
      </c>
      <c r="H2981" s="1">
        <f t="shared" si="669"/>
        <v>51</v>
      </c>
      <c r="I2981" s="1" t="str">
        <f t="shared" si="667"/>
        <v>='C:\Users\jaime.benazar\Quorum Business Solutions\Ecopetrol Prometeo - Documents\Planning Space Implementation\3. Analysis &amp; Design\Design\FC22\DRR Jaime\QUIFA-CAJÚA\Cajua\[VAS_CAJUA_CF_SEC_20230125.xlsx]CF PNP'!$DI$51</v>
      </c>
      <c r="J2981" t="s">
        <v>1476</v>
      </c>
    </row>
    <row r="2982" spans="1:10" x14ac:dyDescent="0.25">
      <c r="A2982" s="6" t="s">
        <v>2</v>
      </c>
      <c r="B2982" s="6">
        <f t="shared" si="679"/>
        <v>2039</v>
      </c>
      <c r="C2982" s="1" t="s">
        <v>42</v>
      </c>
      <c r="D2982" s="2" t="s">
        <v>128</v>
      </c>
      <c r="E2982" s="9" t="str">
        <f t="shared" si="666"/>
        <v>PNP'!</v>
      </c>
      <c r="F2982" s="5" t="str">
        <f t="shared" si="677"/>
        <v>C:\Users\jaime.benazar\Quorum Business Solutions\Ecopetrol Prometeo - Documents\Planning Space Implementation\3. Analysis &amp; Design\Design\FC22\DRR Jaime\QUIFA-CAJÚA\Cajua\[VAS_CAJUA_CF_SEC_20230125.xlsx]CF PNP'!</v>
      </c>
      <c r="G2982" s="6" t="s">
        <v>43</v>
      </c>
      <c r="H2982" s="1">
        <f t="shared" si="669"/>
        <v>52</v>
      </c>
      <c r="I2982" s="1" t="str">
        <f t="shared" si="667"/>
        <v>='C:\Users\jaime.benazar\Quorum Business Solutions\Ecopetrol Prometeo - Documents\Planning Space Implementation\3. Analysis &amp; Design\Design\FC22\DRR Jaime\QUIFA-CAJÚA\Cajua\[VAS_CAJUA_CF_SEC_20230125.xlsx]CF PNP'!$DI$52</v>
      </c>
      <c r="J2982" t="s">
        <v>1477</v>
      </c>
    </row>
    <row r="2983" spans="1:10" x14ac:dyDescent="0.25">
      <c r="A2983" s="6" t="s">
        <v>2</v>
      </c>
      <c r="B2983" s="6">
        <f t="shared" si="679"/>
        <v>2040</v>
      </c>
      <c r="C2983" s="1" t="s">
        <v>42</v>
      </c>
      <c r="D2983" s="2" t="s">
        <v>128</v>
      </c>
      <c r="E2983" s="9" t="str">
        <f t="shared" si="666"/>
        <v>PNP'!</v>
      </c>
      <c r="F2983" s="5" t="str">
        <f t="shared" si="677"/>
        <v>C:\Users\jaime.benazar\Quorum Business Solutions\Ecopetrol Prometeo - Documents\Planning Space Implementation\3. Analysis &amp; Design\Design\FC22\DRR Jaime\QUIFA-CAJÚA\Cajua\[VAS_CAJUA_CF_SEC_20230125.xlsx]CF PNP'!</v>
      </c>
      <c r="G2983" s="6" t="s">
        <v>43</v>
      </c>
      <c r="H2983" s="1">
        <f t="shared" si="669"/>
        <v>53</v>
      </c>
      <c r="I2983" s="1" t="str">
        <f t="shared" si="667"/>
        <v>='C:\Users\jaime.benazar\Quorum Business Solutions\Ecopetrol Prometeo - Documents\Planning Space Implementation\3. Analysis &amp; Design\Design\FC22\DRR Jaime\QUIFA-CAJÚA\Cajua\[VAS_CAJUA_CF_SEC_20230125.xlsx]CF PNP'!$DI$53</v>
      </c>
      <c r="J2983" t="s">
        <v>1478</v>
      </c>
    </row>
    <row r="2984" spans="1:10" x14ac:dyDescent="0.25">
      <c r="A2984" s="6" t="s">
        <v>2</v>
      </c>
      <c r="B2984" s="6">
        <f>+B2983+1</f>
        <v>2041</v>
      </c>
      <c r="C2984" s="1" t="s">
        <v>42</v>
      </c>
      <c r="D2984" s="2" t="s">
        <v>128</v>
      </c>
      <c r="E2984" s="9" t="str">
        <f t="shared" si="666"/>
        <v>PNP'!</v>
      </c>
      <c r="F2984" s="5" t="str">
        <f t="shared" si="677"/>
        <v>C:\Users\jaime.benazar\Quorum Business Solutions\Ecopetrol Prometeo - Documents\Planning Space Implementation\3. Analysis &amp; Design\Design\FC22\DRR Jaime\QUIFA-CAJÚA\Cajua\[VAS_CAJUA_CF_SEC_20230125.xlsx]CF PNP'!</v>
      </c>
      <c r="G2984" s="6" t="s">
        <v>43</v>
      </c>
      <c r="H2984" s="1">
        <f t="shared" si="669"/>
        <v>54</v>
      </c>
      <c r="I2984" s="1" t="str">
        <f t="shared" si="667"/>
        <v>='C:\Users\jaime.benazar\Quorum Business Solutions\Ecopetrol Prometeo - Documents\Planning Space Implementation\3. Analysis &amp; Design\Design\FC22\DRR Jaime\QUIFA-CAJÚA\Cajua\[VAS_CAJUA_CF_SEC_20230125.xlsx]CF PNP'!$DI$54</v>
      </c>
      <c r="J2984" t="s">
        <v>1479</v>
      </c>
    </row>
    <row r="2985" spans="1:10" x14ac:dyDescent="0.25">
      <c r="A2985" s="6" t="s">
        <v>2</v>
      </c>
      <c r="B2985" s="6">
        <f t="shared" ref="B2985:B2986" si="680">+B2984+1</f>
        <v>2042</v>
      </c>
      <c r="C2985" s="1" t="s">
        <v>42</v>
      </c>
      <c r="D2985" s="2" t="s">
        <v>128</v>
      </c>
      <c r="E2985" s="9" t="str">
        <f t="shared" si="666"/>
        <v>PNP'!</v>
      </c>
      <c r="F2985" s="5" t="str">
        <f t="shared" si="677"/>
        <v>C:\Users\jaime.benazar\Quorum Business Solutions\Ecopetrol Prometeo - Documents\Planning Space Implementation\3. Analysis &amp; Design\Design\FC22\DRR Jaime\QUIFA-CAJÚA\Cajua\[VAS_CAJUA_CF_SEC_20230125.xlsx]CF PNP'!</v>
      </c>
      <c r="G2985" s="6" t="s">
        <v>43</v>
      </c>
      <c r="H2985" s="1">
        <f t="shared" si="669"/>
        <v>55</v>
      </c>
      <c r="I2985" s="1" t="str">
        <f t="shared" si="667"/>
        <v>='C:\Users\jaime.benazar\Quorum Business Solutions\Ecopetrol Prometeo - Documents\Planning Space Implementation\3. Analysis &amp; Design\Design\FC22\DRR Jaime\QUIFA-CAJÚA\Cajua\[VAS_CAJUA_CF_SEC_20230125.xlsx]CF PNP'!$DI$55</v>
      </c>
      <c r="J2985" t="s">
        <v>1480</v>
      </c>
    </row>
    <row r="2986" spans="1:10" x14ac:dyDescent="0.25">
      <c r="A2986" s="6" t="s">
        <v>2</v>
      </c>
      <c r="B2986" s="6">
        <f t="shared" si="680"/>
        <v>2043</v>
      </c>
      <c r="C2986" s="1" t="s">
        <v>42</v>
      </c>
      <c r="D2986" s="2" t="s">
        <v>128</v>
      </c>
      <c r="E2986" s="9" t="str">
        <f t="shared" si="666"/>
        <v>PNP'!</v>
      </c>
      <c r="F2986" s="5" t="str">
        <f t="shared" si="677"/>
        <v>C:\Users\jaime.benazar\Quorum Business Solutions\Ecopetrol Prometeo - Documents\Planning Space Implementation\3. Analysis &amp; Design\Design\FC22\DRR Jaime\QUIFA-CAJÚA\Cajua\[VAS_CAJUA_CF_SEC_20230125.xlsx]CF PNP'!</v>
      </c>
      <c r="G2986" s="6" t="s">
        <v>43</v>
      </c>
      <c r="H2986" s="1">
        <f t="shared" si="669"/>
        <v>56</v>
      </c>
      <c r="I2986" s="1" t="str">
        <f t="shared" si="667"/>
        <v>='C:\Users\jaime.benazar\Quorum Business Solutions\Ecopetrol Prometeo - Documents\Planning Space Implementation\3. Analysis &amp; Design\Design\FC22\DRR Jaime\QUIFA-CAJÚA\Cajua\[VAS_CAJUA_CF_SEC_20230125.xlsx]CF PNP'!$DI$56</v>
      </c>
      <c r="J2986" t="s">
        <v>1481</v>
      </c>
    </row>
    <row r="2987" spans="1:10" x14ac:dyDescent="0.25">
      <c r="A2987" s="6" t="s">
        <v>2</v>
      </c>
      <c r="B2987" s="6">
        <f>+B2986+1</f>
        <v>2044</v>
      </c>
      <c r="C2987" s="1" t="s">
        <v>42</v>
      </c>
      <c r="D2987" s="2" t="s">
        <v>128</v>
      </c>
      <c r="E2987" s="9" t="str">
        <f t="shared" ref="E2987:E3002" si="681">_xlfn.CONCAT(A2987,"'!")</f>
        <v>PNP'!</v>
      </c>
      <c r="F2987" s="5" t="str">
        <f t="shared" ref="F2987:F3002" si="682">_xlfn.CONCAT(D2987," ",E2987)</f>
        <v>C:\Users\jaime.benazar\Quorum Business Solutions\Ecopetrol Prometeo - Documents\Planning Space Implementation\3. Analysis &amp; Design\Design\FC22\DRR Jaime\QUIFA-CAJÚA\Cajua\[VAS_CAJUA_CF_SEC_20230125.xlsx]CF PNP'!</v>
      </c>
      <c r="G2987" s="6" t="s">
        <v>43</v>
      </c>
      <c r="H2987" s="1">
        <f t="shared" ref="H2987:H3002" si="683">IF(A2987&lt;&gt;A2986,36,H2986+1)</f>
        <v>57</v>
      </c>
      <c r="I2987" s="1" t="str">
        <f t="shared" ref="I2987:I3002" si="684">_xlfn.CONCAT("='",F2987:H2987)</f>
        <v>='C:\Users\jaime.benazar\Quorum Business Solutions\Ecopetrol Prometeo - Documents\Planning Space Implementation\3. Analysis &amp; Design\Design\FC22\DRR Jaime\QUIFA-CAJÚA\Cajua\[VAS_CAJUA_CF_SEC_20230125.xlsx]CF PNP'!$DI$57</v>
      </c>
      <c r="J2987" t="s">
        <v>1482</v>
      </c>
    </row>
    <row r="2988" spans="1:10" x14ac:dyDescent="0.25">
      <c r="A2988" s="6" t="s">
        <v>2</v>
      </c>
      <c r="B2988" s="6">
        <f t="shared" ref="B2988:B3002" si="685">+B2987+1</f>
        <v>2045</v>
      </c>
      <c r="C2988" s="1" t="s">
        <v>42</v>
      </c>
      <c r="D2988" s="2" t="s">
        <v>128</v>
      </c>
      <c r="E2988" s="9" t="str">
        <f t="shared" si="681"/>
        <v>PNP'!</v>
      </c>
      <c r="F2988" s="5" t="str">
        <f t="shared" si="682"/>
        <v>C:\Users\jaime.benazar\Quorum Business Solutions\Ecopetrol Prometeo - Documents\Planning Space Implementation\3. Analysis &amp; Design\Design\FC22\DRR Jaime\QUIFA-CAJÚA\Cajua\[VAS_CAJUA_CF_SEC_20230125.xlsx]CF PNP'!</v>
      </c>
      <c r="G2988" s="6" t="s">
        <v>43</v>
      </c>
      <c r="H2988" s="1">
        <f t="shared" si="683"/>
        <v>58</v>
      </c>
      <c r="I2988" s="1" t="str">
        <f t="shared" si="684"/>
        <v>='C:\Users\jaime.benazar\Quorum Business Solutions\Ecopetrol Prometeo - Documents\Planning Space Implementation\3. Analysis &amp; Design\Design\FC22\DRR Jaime\QUIFA-CAJÚA\Cajua\[VAS_CAJUA_CF_SEC_20230125.xlsx]CF PNP'!$DI$58</v>
      </c>
      <c r="J2988" t="s">
        <v>1483</v>
      </c>
    </row>
    <row r="2989" spans="1:10" x14ac:dyDescent="0.25">
      <c r="A2989" s="6" t="s">
        <v>2</v>
      </c>
      <c r="B2989" s="6">
        <f t="shared" si="685"/>
        <v>2046</v>
      </c>
      <c r="C2989" s="1" t="s">
        <v>42</v>
      </c>
      <c r="D2989" s="2" t="s">
        <v>128</v>
      </c>
      <c r="E2989" s="9" t="str">
        <f t="shared" si="681"/>
        <v>PNP'!</v>
      </c>
      <c r="F2989" s="5" t="str">
        <f t="shared" si="682"/>
        <v>C:\Users\jaime.benazar\Quorum Business Solutions\Ecopetrol Prometeo - Documents\Planning Space Implementation\3. Analysis &amp; Design\Design\FC22\DRR Jaime\QUIFA-CAJÚA\Cajua\[VAS_CAJUA_CF_SEC_20230125.xlsx]CF PNP'!</v>
      </c>
      <c r="G2989" s="6" t="s">
        <v>43</v>
      </c>
      <c r="H2989" s="1">
        <f t="shared" si="683"/>
        <v>59</v>
      </c>
      <c r="I2989" s="1" t="str">
        <f t="shared" si="684"/>
        <v>='C:\Users\jaime.benazar\Quorum Business Solutions\Ecopetrol Prometeo - Documents\Planning Space Implementation\3. Analysis &amp; Design\Design\FC22\DRR Jaime\QUIFA-CAJÚA\Cajua\[VAS_CAJUA_CF_SEC_20230125.xlsx]CF PNP'!$DI$59</v>
      </c>
      <c r="J2989" t="s">
        <v>1484</v>
      </c>
    </row>
    <row r="2990" spans="1:10" x14ac:dyDescent="0.25">
      <c r="A2990" s="6" t="s">
        <v>2</v>
      </c>
      <c r="B2990" s="6">
        <f t="shared" si="685"/>
        <v>2047</v>
      </c>
      <c r="C2990" s="1" t="s">
        <v>42</v>
      </c>
      <c r="D2990" s="2" t="s">
        <v>128</v>
      </c>
      <c r="E2990" s="9" t="str">
        <f t="shared" si="681"/>
        <v>PNP'!</v>
      </c>
      <c r="F2990" s="5" t="str">
        <f t="shared" si="682"/>
        <v>C:\Users\jaime.benazar\Quorum Business Solutions\Ecopetrol Prometeo - Documents\Planning Space Implementation\3. Analysis &amp; Design\Design\FC22\DRR Jaime\QUIFA-CAJÚA\Cajua\[VAS_CAJUA_CF_SEC_20230125.xlsx]CF PNP'!</v>
      </c>
      <c r="G2990" s="6" t="s">
        <v>43</v>
      </c>
      <c r="H2990" s="1">
        <f t="shared" si="683"/>
        <v>60</v>
      </c>
      <c r="I2990" s="1" t="str">
        <f t="shared" si="684"/>
        <v>='C:\Users\jaime.benazar\Quorum Business Solutions\Ecopetrol Prometeo - Documents\Planning Space Implementation\3. Analysis &amp; Design\Design\FC22\DRR Jaime\QUIFA-CAJÚA\Cajua\[VAS_CAJUA_CF_SEC_20230125.xlsx]CF PNP'!$DI$60</v>
      </c>
      <c r="J2990" t="s">
        <v>1485</v>
      </c>
    </row>
    <row r="2991" spans="1:10" x14ac:dyDescent="0.25">
      <c r="A2991" s="6" t="s">
        <v>2</v>
      </c>
      <c r="B2991" s="6">
        <f t="shared" si="685"/>
        <v>2048</v>
      </c>
      <c r="C2991" s="1" t="s">
        <v>42</v>
      </c>
      <c r="D2991" s="2" t="s">
        <v>128</v>
      </c>
      <c r="E2991" s="9" t="str">
        <f t="shared" si="681"/>
        <v>PNP'!</v>
      </c>
      <c r="F2991" s="5" t="str">
        <f t="shared" si="682"/>
        <v>C:\Users\jaime.benazar\Quorum Business Solutions\Ecopetrol Prometeo - Documents\Planning Space Implementation\3. Analysis &amp; Design\Design\FC22\DRR Jaime\QUIFA-CAJÚA\Cajua\[VAS_CAJUA_CF_SEC_20230125.xlsx]CF PNP'!</v>
      </c>
      <c r="G2991" s="6" t="s">
        <v>43</v>
      </c>
      <c r="H2991" s="1">
        <f t="shared" si="683"/>
        <v>61</v>
      </c>
      <c r="I2991" s="1" t="str">
        <f t="shared" si="684"/>
        <v>='C:\Users\jaime.benazar\Quorum Business Solutions\Ecopetrol Prometeo - Documents\Planning Space Implementation\3. Analysis &amp; Design\Design\FC22\DRR Jaime\QUIFA-CAJÚA\Cajua\[VAS_CAJUA_CF_SEC_20230125.xlsx]CF PNP'!$DI$61</v>
      </c>
      <c r="J2991" t="s">
        <v>1486</v>
      </c>
    </row>
    <row r="2992" spans="1:10" x14ac:dyDescent="0.25">
      <c r="A2992" s="6" t="s">
        <v>2</v>
      </c>
      <c r="B2992" s="6">
        <f t="shared" si="685"/>
        <v>2049</v>
      </c>
      <c r="C2992" s="1" t="s">
        <v>42</v>
      </c>
      <c r="D2992" s="2" t="s">
        <v>128</v>
      </c>
      <c r="E2992" s="9" t="str">
        <f t="shared" si="681"/>
        <v>PNP'!</v>
      </c>
      <c r="F2992" s="5" t="str">
        <f t="shared" si="682"/>
        <v>C:\Users\jaime.benazar\Quorum Business Solutions\Ecopetrol Prometeo - Documents\Planning Space Implementation\3. Analysis &amp; Design\Design\FC22\DRR Jaime\QUIFA-CAJÚA\Cajua\[VAS_CAJUA_CF_SEC_20230125.xlsx]CF PNP'!</v>
      </c>
      <c r="G2992" s="6" t="s">
        <v>43</v>
      </c>
      <c r="H2992" s="1">
        <f t="shared" si="683"/>
        <v>62</v>
      </c>
      <c r="I2992" s="1" t="str">
        <f t="shared" si="684"/>
        <v>='C:\Users\jaime.benazar\Quorum Business Solutions\Ecopetrol Prometeo - Documents\Planning Space Implementation\3. Analysis &amp; Design\Design\FC22\DRR Jaime\QUIFA-CAJÚA\Cajua\[VAS_CAJUA_CF_SEC_20230125.xlsx]CF PNP'!$DI$62</v>
      </c>
      <c r="J2992" t="s">
        <v>1487</v>
      </c>
    </row>
    <row r="2993" spans="1:10" x14ac:dyDescent="0.25">
      <c r="A2993" s="6" t="s">
        <v>2</v>
      </c>
      <c r="B2993" s="6">
        <f t="shared" si="685"/>
        <v>2050</v>
      </c>
      <c r="C2993" s="1" t="s">
        <v>42</v>
      </c>
      <c r="D2993" s="2" t="s">
        <v>128</v>
      </c>
      <c r="E2993" s="9" t="str">
        <f t="shared" si="681"/>
        <v>PNP'!</v>
      </c>
      <c r="F2993" s="5" t="str">
        <f t="shared" si="682"/>
        <v>C:\Users\jaime.benazar\Quorum Business Solutions\Ecopetrol Prometeo - Documents\Planning Space Implementation\3. Analysis &amp; Design\Design\FC22\DRR Jaime\QUIFA-CAJÚA\Cajua\[VAS_CAJUA_CF_SEC_20230125.xlsx]CF PNP'!</v>
      </c>
      <c r="G2993" s="6" t="s">
        <v>43</v>
      </c>
      <c r="H2993" s="1">
        <f t="shared" si="683"/>
        <v>63</v>
      </c>
      <c r="I2993" s="1" t="str">
        <f t="shared" si="684"/>
        <v>='C:\Users\jaime.benazar\Quorum Business Solutions\Ecopetrol Prometeo - Documents\Planning Space Implementation\3. Analysis &amp; Design\Design\FC22\DRR Jaime\QUIFA-CAJÚA\Cajua\[VAS_CAJUA_CF_SEC_20230125.xlsx]CF PNP'!$DI$63</v>
      </c>
      <c r="J2993" t="s">
        <v>1488</v>
      </c>
    </row>
    <row r="2994" spans="1:10" x14ac:dyDescent="0.25">
      <c r="A2994" s="6" t="s">
        <v>2</v>
      </c>
      <c r="B2994" s="6">
        <f t="shared" si="685"/>
        <v>2051</v>
      </c>
      <c r="C2994" s="1" t="s">
        <v>42</v>
      </c>
      <c r="D2994" s="2" t="s">
        <v>128</v>
      </c>
      <c r="E2994" s="9" t="str">
        <f t="shared" si="681"/>
        <v>PNP'!</v>
      </c>
      <c r="F2994" s="5" t="str">
        <f t="shared" si="682"/>
        <v>C:\Users\jaime.benazar\Quorum Business Solutions\Ecopetrol Prometeo - Documents\Planning Space Implementation\3. Analysis &amp; Design\Design\FC22\DRR Jaime\QUIFA-CAJÚA\Cajua\[VAS_CAJUA_CF_SEC_20230125.xlsx]CF PNP'!</v>
      </c>
      <c r="G2994" s="6" t="s">
        <v>43</v>
      </c>
      <c r="H2994" s="1">
        <f t="shared" si="683"/>
        <v>64</v>
      </c>
      <c r="I2994" s="1" t="str">
        <f t="shared" si="684"/>
        <v>='C:\Users\jaime.benazar\Quorum Business Solutions\Ecopetrol Prometeo - Documents\Planning Space Implementation\3. Analysis &amp; Design\Design\FC22\DRR Jaime\QUIFA-CAJÚA\Cajua\[VAS_CAJUA_CF_SEC_20230125.xlsx]CF PNP'!$DI$64</v>
      </c>
      <c r="J2994" t="s">
        <v>1489</v>
      </c>
    </row>
    <row r="2995" spans="1:10" x14ac:dyDescent="0.25">
      <c r="A2995" s="6" t="s">
        <v>2</v>
      </c>
      <c r="B2995" s="6">
        <f t="shared" si="685"/>
        <v>2052</v>
      </c>
      <c r="C2995" s="1" t="s">
        <v>42</v>
      </c>
      <c r="D2995" s="2" t="s">
        <v>128</v>
      </c>
      <c r="E2995" s="9" t="str">
        <f t="shared" si="681"/>
        <v>PNP'!</v>
      </c>
      <c r="F2995" s="5" t="str">
        <f t="shared" si="682"/>
        <v>C:\Users\jaime.benazar\Quorum Business Solutions\Ecopetrol Prometeo - Documents\Planning Space Implementation\3. Analysis &amp; Design\Design\FC22\DRR Jaime\QUIFA-CAJÚA\Cajua\[VAS_CAJUA_CF_SEC_20230125.xlsx]CF PNP'!</v>
      </c>
      <c r="G2995" s="6" t="s">
        <v>43</v>
      </c>
      <c r="H2995" s="1">
        <f t="shared" si="683"/>
        <v>65</v>
      </c>
      <c r="I2995" s="1" t="str">
        <f t="shared" si="684"/>
        <v>='C:\Users\jaime.benazar\Quorum Business Solutions\Ecopetrol Prometeo - Documents\Planning Space Implementation\3. Analysis &amp; Design\Design\FC22\DRR Jaime\QUIFA-CAJÚA\Cajua\[VAS_CAJUA_CF_SEC_20230125.xlsx]CF PNP'!$DI$65</v>
      </c>
      <c r="J2995" t="s">
        <v>1490</v>
      </c>
    </row>
    <row r="2996" spans="1:10" x14ac:dyDescent="0.25">
      <c r="A2996" s="6" t="s">
        <v>2</v>
      </c>
      <c r="B2996" s="6">
        <f t="shared" si="685"/>
        <v>2053</v>
      </c>
      <c r="C2996" s="1" t="s">
        <v>42</v>
      </c>
      <c r="D2996" s="2" t="s">
        <v>128</v>
      </c>
      <c r="E2996" s="9" t="str">
        <f t="shared" si="681"/>
        <v>PNP'!</v>
      </c>
      <c r="F2996" s="5" t="str">
        <f t="shared" si="682"/>
        <v>C:\Users\jaime.benazar\Quorum Business Solutions\Ecopetrol Prometeo - Documents\Planning Space Implementation\3. Analysis &amp; Design\Design\FC22\DRR Jaime\QUIFA-CAJÚA\Cajua\[VAS_CAJUA_CF_SEC_20230125.xlsx]CF PNP'!</v>
      </c>
      <c r="G2996" s="6" t="s">
        <v>43</v>
      </c>
      <c r="H2996" s="1">
        <f t="shared" si="683"/>
        <v>66</v>
      </c>
      <c r="I2996" s="1" t="str">
        <f t="shared" si="684"/>
        <v>='C:\Users\jaime.benazar\Quorum Business Solutions\Ecopetrol Prometeo - Documents\Planning Space Implementation\3. Analysis &amp; Design\Design\FC22\DRR Jaime\QUIFA-CAJÚA\Cajua\[VAS_CAJUA_CF_SEC_20230125.xlsx]CF PNP'!$DI$66</v>
      </c>
      <c r="J2996" t="s">
        <v>1491</v>
      </c>
    </row>
    <row r="2997" spans="1:10" x14ac:dyDescent="0.25">
      <c r="A2997" s="6" t="s">
        <v>2</v>
      </c>
      <c r="B2997" s="6">
        <f t="shared" si="685"/>
        <v>2054</v>
      </c>
      <c r="C2997" s="1" t="s">
        <v>42</v>
      </c>
      <c r="D2997" s="2" t="s">
        <v>128</v>
      </c>
      <c r="E2997" s="9" t="str">
        <f t="shared" si="681"/>
        <v>PNP'!</v>
      </c>
      <c r="F2997" s="5" t="str">
        <f t="shared" si="682"/>
        <v>C:\Users\jaime.benazar\Quorum Business Solutions\Ecopetrol Prometeo - Documents\Planning Space Implementation\3. Analysis &amp; Design\Design\FC22\DRR Jaime\QUIFA-CAJÚA\Cajua\[VAS_CAJUA_CF_SEC_20230125.xlsx]CF PNP'!</v>
      </c>
      <c r="G2997" s="6" t="s">
        <v>43</v>
      </c>
      <c r="H2997" s="1">
        <f t="shared" si="683"/>
        <v>67</v>
      </c>
      <c r="I2997" s="1" t="str">
        <f t="shared" si="684"/>
        <v>='C:\Users\jaime.benazar\Quorum Business Solutions\Ecopetrol Prometeo - Documents\Planning Space Implementation\3. Analysis &amp; Design\Design\FC22\DRR Jaime\QUIFA-CAJÚA\Cajua\[VAS_CAJUA_CF_SEC_20230125.xlsx]CF PNP'!$DI$67</v>
      </c>
      <c r="J2997" t="s">
        <v>1492</v>
      </c>
    </row>
    <row r="2998" spans="1:10" x14ac:dyDescent="0.25">
      <c r="A2998" s="6" t="s">
        <v>2</v>
      </c>
      <c r="B2998" s="6">
        <f t="shared" si="685"/>
        <v>2055</v>
      </c>
      <c r="C2998" s="1" t="s">
        <v>42</v>
      </c>
      <c r="D2998" s="2" t="s">
        <v>128</v>
      </c>
      <c r="E2998" s="9" t="str">
        <f t="shared" si="681"/>
        <v>PNP'!</v>
      </c>
      <c r="F2998" s="5" t="str">
        <f t="shared" si="682"/>
        <v>C:\Users\jaime.benazar\Quorum Business Solutions\Ecopetrol Prometeo - Documents\Planning Space Implementation\3. Analysis &amp; Design\Design\FC22\DRR Jaime\QUIFA-CAJÚA\Cajua\[VAS_CAJUA_CF_SEC_20230125.xlsx]CF PNP'!</v>
      </c>
      <c r="G2998" s="6" t="s">
        <v>43</v>
      </c>
      <c r="H2998" s="1">
        <f t="shared" si="683"/>
        <v>68</v>
      </c>
      <c r="I2998" s="1" t="str">
        <f t="shared" si="684"/>
        <v>='C:\Users\jaime.benazar\Quorum Business Solutions\Ecopetrol Prometeo - Documents\Planning Space Implementation\3. Analysis &amp; Design\Design\FC22\DRR Jaime\QUIFA-CAJÚA\Cajua\[VAS_CAJUA_CF_SEC_20230125.xlsx]CF PNP'!$DI$68</v>
      </c>
      <c r="J2998" t="s">
        <v>1493</v>
      </c>
    </row>
    <row r="2999" spans="1:10" x14ac:dyDescent="0.25">
      <c r="A2999" s="6" t="s">
        <v>2</v>
      </c>
      <c r="B2999" s="6">
        <f t="shared" si="685"/>
        <v>2056</v>
      </c>
      <c r="C2999" s="1" t="s">
        <v>42</v>
      </c>
      <c r="D2999" s="2" t="s">
        <v>128</v>
      </c>
      <c r="E2999" s="9" t="str">
        <f t="shared" si="681"/>
        <v>PNP'!</v>
      </c>
      <c r="F2999" s="5" t="str">
        <f t="shared" si="682"/>
        <v>C:\Users\jaime.benazar\Quorum Business Solutions\Ecopetrol Prometeo - Documents\Planning Space Implementation\3. Analysis &amp; Design\Design\FC22\DRR Jaime\QUIFA-CAJÚA\Cajua\[VAS_CAJUA_CF_SEC_20230125.xlsx]CF PNP'!</v>
      </c>
      <c r="G2999" s="6" t="s">
        <v>43</v>
      </c>
      <c r="H2999" s="1">
        <f t="shared" si="683"/>
        <v>69</v>
      </c>
      <c r="I2999" s="1" t="str">
        <f t="shared" si="684"/>
        <v>='C:\Users\jaime.benazar\Quorum Business Solutions\Ecopetrol Prometeo - Documents\Planning Space Implementation\3. Analysis &amp; Design\Design\FC22\DRR Jaime\QUIFA-CAJÚA\Cajua\[VAS_CAJUA_CF_SEC_20230125.xlsx]CF PNP'!$DI$69</v>
      </c>
      <c r="J2999" t="s">
        <v>1494</v>
      </c>
    </row>
    <row r="3000" spans="1:10" x14ac:dyDescent="0.25">
      <c r="A3000" s="6" t="s">
        <v>2</v>
      </c>
      <c r="B3000" s="6">
        <f t="shared" si="685"/>
        <v>2057</v>
      </c>
      <c r="C3000" s="1" t="s">
        <v>42</v>
      </c>
      <c r="D3000" s="2" t="s">
        <v>128</v>
      </c>
      <c r="E3000" s="9" t="str">
        <f t="shared" si="681"/>
        <v>PNP'!</v>
      </c>
      <c r="F3000" s="5" t="str">
        <f t="shared" si="682"/>
        <v>C:\Users\jaime.benazar\Quorum Business Solutions\Ecopetrol Prometeo - Documents\Planning Space Implementation\3. Analysis &amp; Design\Design\FC22\DRR Jaime\QUIFA-CAJÚA\Cajua\[VAS_CAJUA_CF_SEC_20230125.xlsx]CF PNP'!</v>
      </c>
      <c r="G3000" s="6" t="s">
        <v>43</v>
      </c>
      <c r="H3000" s="1">
        <f t="shared" si="683"/>
        <v>70</v>
      </c>
      <c r="I3000" s="1" t="str">
        <f t="shared" si="684"/>
        <v>='C:\Users\jaime.benazar\Quorum Business Solutions\Ecopetrol Prometeo - Documents\Planning Space Implementation\3. Analysis &amp; Design\Design\FC22\DRR Jaime\QUIFA-CAJÚA\Cajua\[VAS_CAJUA_CF_SEC_20230125.xlsx]CF PNP'!$DI$70</v>
      </c>
      <c r="J3000" t="s">
        <v>1495</v>
      </c>
    </row>
    <row r="3001" spans="1:10" x14ac:dyDescent="0.25">
      <c r="A3001" s="6" t="s">
        <v>2</v>
      </c>
      <c r="B3001" s="6">
        <f t="shared" si="685"/>
        <v>2058</v>
      </c>
      <c r="C3001" s="1" t="s">
        <v>42</v>
      </c>
      <c r="D3001" s="2" t="s">
        <v>128</v>
      </c>
      <c r="E3001" s="9" t="str">
        <f t="shared" si="681"/>
        <v>PNP'!</v>
      </c>
      <c r="F3001" s="5" t="str">
        <f t="shared" si="682"/>
        <v>C:\Users\jaime.benazar\Quorum Business Solutions\Ecopetrol Prometeo - Documents\Planning Space Implementation\3. Analysis &amp; Design\Design\FC22\DRR Jaime\QUIFA-CAJÚA\Cajua\[VAS_CAJUA_CF_SEC_20230125.xlsx]CF PNP'!</v>
      </c>
      <c r="G3001" s="6" t="s">
        <v>43</v>
      </c>
      <c r="H3001" s="1">
        <f t="shared" si="683"/>
        <v>71</v>
      </c>
      <c r="I3001" s="1" t="str">
        <f t="shared" si="684"/>
        <v>='C:\Users\jaime.benazar\Quorum Business Solutions\Ecopetrol Prometeo - Documents\Planning Space Implementation\3. Analysis &amp; Design\Design\FC22\DRR Jaime\QUIFA-CAJÚA\Cajua\[VAS_CAJUA_CF_SEC_20230125.xlsx]CF PNP'!$DI$71</v>
      </c>
      <c r="J3001" t="s">
        <v>1496</v>
      </c>
    </row>
    <row r="3002" spans="1:10" x14ac:dyDescent="0.25">
      <c r="A3002" s="6" t="s">
        <v>2</v>
      </c>
      <c r="B3002" s="6">
        <f t="shared" si="685"/>
        <v>2059</v>
      </c>
      <c r="C3002" s="1" t="s">
        <v>42</v>
      </c>
      <c r="D3002" s="2" t="s">
        <v>128</v>
      </c>
      <c r="E3002" s="9" t="str">
        <f t="shared" si="681"/>
        <v>PNP'!</v>
      </c>
      <c r="F3002" s="5" t="str">
        <f t="shared" si="682"/>
        <v>C:\Users\jaime.benazar\Quorum Business Solutions\Ecopetrol Prometeo - Documents\Planning Space Implementation\3. Analysis &amp; Design\Design\FC22\DRR Jaime\QUIFA-CAJÚA\Cajua\[VAS_CAJUA_CF_SEC_20230125.xlsx]CF PNP'!</v>
      </c>
      <c r="G3002" s="6" t="s">
        <v>43</v>
      </c>
      <c r="H3002" s="1">
        <f t="shared" si="683"/>
        <v>72</v>
      </c>
      <c r="I3002" s="1" t="str">
        <f t="shared" si="684"/>
        <v>='C:\Users\jaime.benazar\Quorum Business Solutions\Ecopetrol Prometeo - Documents\Planning Space Implementation\3. Analysis &amp; Design\Design\FC22\DRR Jaime\QUIFA-CAJÚA\Cajua\[VAS_CAJUA_CF_SEC_20230125.xlsx]CF PNP'!$DI$72</v>
      </c>
      <c r="J3002" t="s">
        <v>1497</v>
      </c>
    </row>
    <row r="3003" spans="1:10" x14ac:dyDescent="0.25">
      <c r="A3003" s="7" t="s">
        <v>28</v>
      </c>
      <c r="B3003" s="6"/>
      <c r="C3003" s="1" t="s">
        <v>42</v>
      </c>
      <c r="D3003" s="2"/>
      <c r="E3003" s="9"/>
      <c r="F3003" s="5"/>
      <c r="G3003" s="6"/>
      <c r="H3003" s="1"/>
      <c r="I3003" s="1"/>
      <c r="J3003" s="4"/>
    </row>
    <row r="3004" spans="1:10" x14ac:dyDescent="0.25">
      <c r="A3004" s="6" t="s">
        <v>3</v>
      </c>
      <c r="B3004" s="6">
        <v>2023</v>
      </c>
      <c r="C3004" s="1" t="s">
        <v>42</v>
      </c>
      <c r="D3004" s="2" t="s">
        <v>128</v>
      </c>
      <c r="E3004" s="9" t="str">
        <f t="shared" si="666"/>
        <v>PND'!</v>
      </c>
      <c r="F3004" s="5" t="str">
        <f t="shared" ref="F3004:F3024" si="686">_xlfn.CONCAT(D3004," ",E3004)</f>
        <v>C:\Users\jaime.benazar\Quorum Business Solutions\Ecopetrol Prometeo - Documents\Planning Space Implementation\3. Analysis &amp; Design\Design\FC22\DRR Jaime\QUIFA-CAJÚA\Cajua\[VAS_CAJUA_CF_SEC_20230125.xlsx]CF PND'!</v>
      </c>
      <c r="G3004" s="6" t="s">
        <v>43</v>
      </c>
      <c r="H3004" s="1">
        <f>IF(A3004&lt;&gt;A2988,36,H2988+1)</f>
        <v>36</v>
      </c>
      <c r="I3004" s="1" t="str">
        <f t="shared" si="667"/>
        <v>='C:\Users\jaime.benazar\Quorum Business Solutions\Ecopetrol Prometeo - Documents\Planning Space Implementation\3. Analysis &amp; Design\Design\FC22\DRR Jaime\QUIFA-CAJÚA\Cajua\[VAS_CAJUA_CF_SEC_20230125.xlsx]CF PND'!$DI$36</v>
      </c>
      <c r="J3004" t="s">
        <v>1498</v>
      </c>
    </row>
    <row r="3005" spans="1:10" x14ac:dyDescent="0.25">
      <c r="A3005" s="6" t="s">
        <v>3</v>
      </c>
      <c r="B3005" s="6">
        <f>+B3004+1</f>
        <v>2024</v>
      </c>
      <c r="C3005" s="1" t="s">
        <v>42</v>
      </c>
      <c r="D3005" s="2" t="s">
        <v>128</v>
      </c>
      <c r="E3005" s="9" t="str">
        <f t="shared" si="666"/>
        <v>PND'!</v>
      </c>
      <c r="F3005" s="5" t="str">
        <f t="shared" si="686"/>
        <v>C:\Users\jaime.benazar\Quorum Business Solutions\Ecopetrol Prometeo - Documents\Planning Space Implementation\3. Analysis &amp; Design\Design\FC22\DRR Jaime\QUIFA-CAJÚA\Cajua\[VAS_CAJUA_CF_SEC_20230125.xlsx]CF PND'!</v>
      </c>
      <c r="G3005" s="6" t="s">
        <v>43</v>
      </c>
      <c r="H3005" s="1">
        <f t="shared" si="669"/>
        <v>37</v>
      </c>
      <c r="I3005" s="1" t="str">
        <f t="shared" si="667"/>
        <v>='C:\Users\jaime.benazar\Quorum Business Solutions\Ecopetrol Prometeo - Documents\Planning Space Implementation\3. Analysis &amp; Design\Design\FC22\DRR Jaime\QUIFA-CAJÚA\Cajua\[VAS_CAJUA_CF_SEC_20230125.xlsx]CF PND'!$DI$37</v>
      </c>
      <c r="J3005" t="s">
        <v>1499</v>
      </c>
    </row>
    <row r="3006" spans="1:10" x14ac:dyDescent="0.25">
      <c r="A3006" s="6" t="s">
        <v>3</v>
      </c>
      <c r="B3006" s="6">
        <f t="shared" ref="B3006:B3017" si="687">+B3005+1</f>
        <v>2025</v>
      </c>
      <c r="C3006" s="1" t="s">
        <v>42</v>
      </c>
      <c r="D3006" s="2" t="s">
        <v>128</v>
      </c>
      <c r="E3006" s="9" t="str">
        <f t="shared" si="666"/>
        <v>PND'!</v>
      </c>
      <c r="F3006" s="5" t="str">
        <f t="shared" si="686"/>
        <v>C:\Users\jaime.benazar\Quorum Business Solutions\Ecopetrol Prometeo - Documents\Planning Space Implementation\3. Analysis &amp; Design\Design\FC22\DRR Jaime\QUIFA-CAJÚA\Cajua\[VAS_CAJUA_CF_SEC_20230125.xlsx]CF PND'!</v>
      </c>
      <c r="G3006" s="6" t="s">
        <v>43</v>
      </c>
      <c r="H3006" s="1">
        <f t="shared" si="669"/>
        <v>38</v>
      </c>
      <c r="I3006" s="1" t="str">
        <f t="shared" si="667"/>
        <v>='C:\Users\jaime.benazar\Quorum Business Solutions\Ecopetrol Prometeo - Documents\Planning Space Implementation\3. Analysis &amp; Design\Design\FC22\DRR Jaime\QUIFA-CAJÚA\Cajua\[VAS_CAJUA_CF_SEC_20230125.xlsx]CF PND'!$DI$38</v>
      </c>
      <c r="J3006" t="s">
        <v>1500</v>
      </c>
    </row>
    <row r="3007" spans="1:10" x14ac:dyDescent="0.25">
      <c r="A3007" s="6" t="s">
        <v>3</v>
      </c>
      <c r="B3007" s="6">
        <f t="shared" si="687"/>
        <v>2026</v>
      </c>
      <c r="C3007" s="1" t="s">
        <v>42</v>
      </c>
      <c r="D3007" s="2" t="s">
        <v>128</v>
      </c>
      <c r="E3007" s="9" t="str">
        <f t="shared" si="666"/>
        <v>PND'!</v>
      </c>
      <c r="F3007" s="5" t="str">
        <f t="shared" si="686"/>
        <v>C:\Users\jaime.benazar\Quorum Business Solutions\Ecopetrol Prometeo - Documents\Planning Space Implementation\3. Analysis &amp; Design\Design\FC22\DRR Jaime\QUIFA-CAJÚA\Cajua\[VAS_CAJUA_CF_SEC_20230125.xlsx]CF PND'!</v>
      </c>
      <c r="G3007" s="6" t="s">
        <v>43</v>
      </c>
      <c r="H3007" s="1">
        <f t="shared" si="669"/>
        <v>39</v>
      </c>
      <c r="I3007" s="1" t="str">
        <f t="shared" si="667"/>
        <v>='C:\Users\jaime.benazar\Quorum Business Solutions\Ecopetrol Prometeo - Documents\Planning Space Implementation\3. Analysis &amp; Design\Design\FC22\DRR Jaime\QUIFA-CAJÚA\Cajua\[VAS_CAJUA_CF_SEC_20230125.xlsx]CF PND'!$DI$39</v>
      </c>
      <c r="J3007" t="s">
        <v>1501</v>
      </c>
    </row>
    <row r="3008" spans="1:10" x14ac:dyDescent="0.25">
      <c r="A3008" s="6" t="s">
        <v>3</v>
      </c>
      <c r="B3008" s="6">
        <f t="shared" si="687"/>
        <v>2027</v>
      </c>
      <c r="C3008" s="1" t="s">
        <v>42</v>
      </c>
      <c r="D3008" s="2" t="s">
        <v>128</v>
      </c>
      <c r="E3008" s="9" t="str">
        <f t="shared" si="666"/>
        <v>PND'!</v>
      </c>
      <c r="F3008" s="5" t="str">
        <f t="shared" si="686"/>
        <v>C:\Users\jaime.benazar\Quorum Business Solutions\Ecopetrol Prometeo - Documents\Planning Space Implementation\3. Analysis &amp; Design\Design\FC22\DRR Jaime\QUIFA-CAJÚA\Cajua\[VAS_CAJUA_CF_SEC_20230125.xlsx]CF PND'!</v>
      </c>
      <c r="G3008" s="6" t="s">
        <v>43</v>
      </c>
      <c r="H3008" s="1">
        <f t="shared" si="669"/>
        <v>40</v>
      </c>
      <c r="I3008" s="1" t="str">
        <f t="shared" si="667"/>
        <v>='C:\Users\jaime.benazar\Quorum Business Solutions\Ecopetrol Prometeo - Documents\Planning Space Implementation\3. Analysis &amp; Design\Design\FC22\DRR Jaime\QUIFA-CAJÚA\Cajua\[VAS_CAJUA_CF_SEC_20230125.xlsx]CF PND'!$DI$40</v>
      </c>
      <c r="J3008" t="s">
        <v>1502</v>
      </c>
    </row>
    <row r="3009" spans="1:10" x14ac:dyDescent="0.25">
      <c r="A3009" s="6" t="s">
        <v>3</v>
      </c>
      <c r="B3009" s="6">
        <f t="shared" si="687"/>
        <v>2028</v>
      </c>
      <c r="C3009" s="1" t="s">
        <v>42</v>
      </c>
      <c r="D3009" s="2" t="s">
        <v>128</v>
      </c>
      <c r="E3009" s="9" t="str">
        <f t="shared" si="666"/>
        <v>PND'!</v>
      </c>
      <c r="F3009" s="5" t="str">
        <f t="shared" si="686"/>
        <v>C:\Users\jaime.benazar\Quorum Business Solutions\Ecopetrol Prometeo - Documents\Planning Space Implementation\3. Analysis &amp; Design\Design\FC22\DRR Jaime\QUIFA-CAJÚA\Cajua\[VAS_CAJUA_CF_SEC_20230125.xlsx]CF PND'!</v>
      </c>
      <c r="G3009" s="6" t="s">
        <v>43</v>
      </c>
      <c r="H3009" s="1">
        <f t="shared" si="669"/>
        <v>41</v>
      </c>
      <c r="I3009" s="1" t="str">
        <f t="shared" si="667"/>
        <v>='C:\Users\jaime.benazar\Quorum Business Solutions\Ecopetrol Prometeo - Documents\Planning Space Implementation\3. Analysis &amp; Design\Design\FC22\DRR Jaime\QUIFA-CAJÚA\Cajua\[VAS_CAJUA_CF_SEC_20230125.xlsx]CF PND'!$DI$41</v>
      </c>
      <c r="J3009" t="s">
        <v>1503</v>
      </c>
    </row>
    <row r="3010" spans="1:10" x14ac:dyDescent="0.25">
      <c r="A3010" s="6" t="s">
        <v>3</v>
      </c>
      <c r="B3010" s="6">
        <f t="shared" si="687"/>
        <v>2029</v>
      </c>
      <c r="C3010" s="1" t="s">
        <v>42</v>
      </c>
      <c r="D3010" s="2" t="s">
        <v>128</v>
      </c>
      <c r="E3010" s="9" t="str">
        <f t="shared" si="666"/>
        <v>PND'!</v>
      </c>
      <c r="F3010" s="5" t="str">
        <f t="shared" si="686"/>
        <v>C:\Users\jaime.benazar\Quorum Business Solutions\Ecopetrol Prometeo - Documents\Planning Space Implementation\3. Analysis &amp; Design\Design\FC22\DRR Jaime\QUIFA-CAJÚA\Cajua\[VAS_CAJUA_CF_SEC_20230125.xlsx]CF PND'!</v>
      </c>
      <c r="G3010" s="6" t="s">
        <v>43</v>
      </c>
      <c r="H3010" s="1">
        <f t="shared" si="669"/>
        <v>42</v>
      </c>
      <c r="I3010" s="1" t="str">
        <f t="shared" si="667"/>
        <v>='C:\Users\jaime.benazar\Quorum Business Solutions\Ecopetrol Prometeo - Documents\Planning Space Implementation\3. Analysis &amp; Design\Design\FC22\DRR Jaime\QUIFA-CAJÚA\Cajua\[VAS_CAJUA_CF_SEC_20230125.xlsx]CF PND'!$DI$42</v>
      </c>
      <c r="J3010" t="s">
        <v>1504</v>
      </c>
    </row>
    <row r="3011" spans="1:10" x14ac:dyDescent="0.25">
      <c r="A3011" s="6" t="s">
        <v>3</v>
      </c>
      <c r="B3011" s="6">
        <f t="shared" si="687"/>
        <v>2030</v>
      </c>
      <c r="C3011" s="1" t="s">
        <v>42</v>
      </c>
      <c r="D3011" s="2" t="s">
        <v>128</v>
      </c>
      <c r="E3011" s="9" t="str">
        <f t="shared" si="666"/>
        <v>PND'!</v>
      </c>
      <c r="F3011" s="5" t="str">
        <f t="shared" si="686"/>
        <v>C:\Users\jaime.benazar\Quorum Business Solutions\Ecopetrol Prometeo - Documents\Planning Space Implementation\3. Analysis &amp; Design\Design\FC22\DRR Jaime\QUIFA-CAJÚA\Cajua\[VAS_CAJUA_CF_SEC_20230125.xlsx]CF PND'!</v>
      </c>
      <c r="G3011" s="6" t="s">
        <v>43</v>
      </c>
      <c r="H3011" s="1">
        <f t="shared" si="669"/>
        <v>43</v>
      </c>
      <c r="I3011" s="1" t="str">
        <f t="shared" si="667"/>
        <v>='C:\Users\jaime.benazar\Quorum Business Solutions\Ecopetrol Prometeo - Documents\Planning Space Implementation\3. Analysis &amp; Design\Design\FC22\DRR Jaime\QUIFA-CAJÚA\Cajua\[VAS_CAJUA_CF_SEC_20230125.xlsx]CF PND'!$DI$43</v>
      </c>
      <c r="J3011" t="s">
        <v>1505</v>
      </c>
    </row>
    <row r="3012" spans="1:10" x14ac:dyDescent="0.25">
      <c r="A3012" s="6" t="s">
        <v>3</v>
      </c>
      <c r="B3012" s="6">
        <f t="shared" si="687"/>
        <v>2031</v>
      </c>
      <c r="C3012" s="1" t="s">
        <v>42</v>
      </c>
      <c r="D3012" s="2" t="s">
        <v>128</v>
      </c>
      <c r="E3012" s="9" t="str">
        <f t="shared" si="666"/>
        <v>PND'!</v>
      </c>
      <c r="F3012" s="5" t="str">
        <f t="shared" si="686"/>
        <v>C:\Users\jaime.benazar\Quorum Business Solutions\Ecopetrol Prometeo - Documents\Planning Space Implementation\3. Analysis &amp; Design\Design\FC22\DRR Jaime\QUIFA-CAJÚA\Cajua\[VAS_CAJUA_CF_SEC_20230125.xlsx]CF PND'!</v>
      </c>
      <c r="G3012" s="6" t="s">
        <v>43</v>
      </c>
      <c r="H3012" s="1">
        <f t="shared" si="669"/>
        <v>44</v>
      </c>
      <c r="I3012" s="1" t="str">
        <f t="shared" si="667"/>
        <v>='C:\Users\jaime.benazar\Quorum Business Solutions\Ecopetrol Prometeo - Documents\Planning Space Implementation\3. Analysis &amp; Design\Design\FC22\DRR Jaime\QUIFA-CAJÚA\Cajua\[VAS_CAJUA_CF_SEC_20230125.xlsx]CF PND'!$DI$44</v>
      </c>
      <c r="J3012" t="s">
        <v>1506</v>
      </c>
    </row>
    <row r="3013" spans="1:10" x14ac:dyDescent="0.25">
      <c r="A3013" s="6" t="s">
        <v>3</v>
      </c>
      <c r="B3013" s="6">
        <f t="shared" si="687"/>
        <v>2032</v>
      </c>
      <c r="C3013" s="1" t="s">
        <v>42</v>
      </c>
      <c r="D3013" s="2" t="s">
        <v>128</v>
      </c>
      <c r="E3013" s="9" t="str">
        <f t="shared" si="666"/>
        <v>PND'!</v>
      </c>
      <c r="F3013" s="5" t="str">
        <f t="shared" si="686"/>
        <v>C:\Users\jaime.benazar\Quorum Business Solutions\Ecopetrol Prometeo - Documents\Planning Space Implementation\3. Analysis &amp; Design\Design\FC22\DRR Jaime\QUIFA-CAJÚA\Cajua\[VAS_CAJUA_CF_SEC_20230125.xlsx]CF PND'!</v>
      </c>
      <c r="G3013" s="6" t="s">
        <v>43</v>
      </c>
      <c r="H3013" s="1">
        <f t="shared" si="669"/>
        <v>45</v>
      </c>
      <c r="I3013" s="1" t="str">
        <f t="shared" si="667"/>
        <v>='C:\Users\jaime.benazar\Quorum Business Solutions\Ecopetrol Prometeo - Documents\Planning Space Implementation\3. Analysis &amp; Design\Design\FC22\DRR Jaime\QUIFA-CAJÚA\Cajua\[VAS_CAJUA_CF_SEC_20230125.xlsx]CF PND'!$DI$45</v>
      </c>
      <c r="J3013" t="s">
        <v>1507</v>
      </c>
    </row>
    <row r="3014" spans="1:10" x14ac:dyDescent="0.25">
      <c r="A3014" s="6" t="s">
        <v>3</v>
      </c>
      <c r="B3014" s="6">
        <f t="shared" si="687"/>
        <v>2033</v>
      </c>
      <c r="C3014" s="1" t="s">
        <v>42</v>
      </c>
      <c r="D3014" s="2" t="s">
        <v>128</v>
      </c>
      <c r="E3014" s="9" t="str">
        <f t="shared" si="666"/>
        <v>PND'!</v>
      </c>
      <c r="F3014" s="5" t="str">
        <f t="shared" si="686"/>
        <v>C:\Users\jaime.benazar\Quorum Business Solutions\Ecopetrol Prometeo - Documents\Planning Space Implementation\3. Analysis &amp; Design\Design\FC22\DRR Jaime\QUIFA-CAJÚA\Cajua\[VAS_CAJUA_CF_SEC_20230125.xlsx]CF PND'!</v>
      </c>
      <c r="G3014" s="6" t="s">
        <v>43</v>
      </c>
      <c r="H3014" s="1">
        <f t="shared" si="669"/>
        <v>46</v>
      </c>
      <c r="I3014" s="1" t="str">
        <f t="shared" si="667"/>
        <v>='C:\Users\jaime.benazar\Quorum Business Solutions\Ecopetrol Prometeo - Documents\Planning Space Implementation\3. Analysis &amp; Design\Design\FC22\DRR Jaime\QUIFA-CAJÚA\Cajua\[VAS_CAJUA_CF_SEC_20230125.xlsx]CF PND'!$DI$46</v>
      </c>
      <c r="J3014" t="s">
        <v>1508</v>
      </c>
    </row>
    <row r="3015" spans="1:10" x14ac:dyDescent="0.25">
      <c r="A3015" s="6" t="s">
        <v>3</v>
      </c>
      <c r="B3015" s="6">
        <f t="shared" si="687"/>
        <v>2034</v>
      </c>
      <c r="C3015" s="1" t="s">
        <v>42</v>
      </c>
      <c r="D3015" s="2" t="s">
        <v>128</v>
      </c>
      <c r="E3015" s="9" t="str">
        <f t="shared" si="666"/>
        <v>PND'!</v>
      </c>
      <c r="F3015" s="5" t="str">
        <f t="shared" si="686"/>
        <v>C:\Users\jaime.benazar\Quorum Business Solutions\Ecopetrol Prometeo - Documents\Planning Space Implementation\3. Analysis &amp; Design\Design\FC22\DRR Jaime\QUIFA-CAJÚA\Cajua\[VAS_CAJUA_CF_SEC_20230125.xlsx]CF PND'!</v>
      </c>
      <c r="G3015" s="6" t="s">
        <v>43</v>
      </c>
      <c r="H3015" s="1">
        <f t="shared" si="669"/>
        <v>47</v>
      </c>
      <c r="I3015" s="1" t="str">
        <f t="shared" si="667"/>
        <v>='C:\Users\jaime.benazar\Quorum Business Solutions\Ecopetrol Prometeo - Documents\Planning Space Implementation\3. Analysis &amp; Design\Design\FC22\DRR Jaime\QUIFA-CAJÚA\Cajua\[VAS_CAJUA_CF_SEC_20230125.xlsx]CF PND'!$DI$47</v>
      </c>
      <c r="J3015" t="s">
        <v>1509</v>
      </c>
    </row>
    <row r="3016" spans="1:10" x14ac:dyDescent="0.25">
      <c r="A3016" s="6" t="s">
        <v>3</v>
      </c>
      <c r="B3016" s="6">
        <f t="shared" si="687"/>
        <v>2035</v>
      </c>
      <c r="C3016" s="1" t="s">
        <v>42</v>
      </c>
      <c r="D3016" s="2" t="s">
        <v>128</v>
      </c>
      <c r="E3016" s="9" t="str">
        <f t="shared" si="666"/>
        <v>PND'!</v>
      </c>
      <c r="F3016" s="5" t="str">
        <f t="shared" si="686"/>
        <v>C:\Users\jaime.benazar\Quorum Business Solutions\Ecopetrol Prometeo - Documents\Planning Space Implementation\3. Analysis &amp; Design\Design\FC22\DRR Jaime\QUIFA-CAJÚA\Cajua\[VAS_CAJUA_CF_SEC_20230125.xlsx]CF PND'!</v>
      </c>
      <c r="G3016" s="6" t="s">
        <v>43</v>
      </c>
      <c r="H3016" s="1">
        <f t="shared" si="669"/>
        <v>48</v>
      </c>
      <c r="I3016" s="1" t="str">
        <f t="shared" si="667"/>
        <v>='C:\Users\jaime.benazar\Quorum Business Solutions\Ecopetrol Prometeo - Documents\Planning Space Implementation\3. Analysis &amp; Design\Design\FC22\DRR Jaime\QUIFA-CAJÚA\Cajua\[VAS_CAJUA_CF_SEC_20230125.xlsx]CF PND'!$DI$48</v>
      </c>
      <c r="J3016" t="s">
        <v>1510</v>
      </c>
    </row>
    <row r="3017" spans="1:10" x14ac:dyDescent="0.25">
      <c r="A3017" s="6" t="s">
        <v>3</v>
      </c>
      <c r="B3017" s="6">
        <f t="shared" si="687"/>
        <v>2036</v>
      </c>
      <c r="C3017" s="1" t="s">
        <v>42</v>
      </c>
      <c r="D3017" s="2" t="s">
        <v>128</v>
      </c>
      <c r="E3017" s="9" t="str">
        <f t="shared" si="666"/>
        <v>PND'!</v>
      </c>
      <c r="F3017" s="5" t="str">
        <f t="shared" si="686"/>
        <v>C:\Users\jaime.benazar\Quorum Business Solutions\Ecopetrol Prometeo - Documents\Planning Space Implementation\3. Analysis &amp; Design\Design\FC22\DRR Jaime\QUIFA-CAJÚA\Cajua\[VAS_CAJUA_CF_SEC_20230125.xlsx]CF PND'!</v>
      </c>
      <c r="G3017" s="6" t="s">
        <v>43</v>
      </c>
      <c r="H3017" s="1">
        <f t="shared" si="669"/>
        <v>49</v>
      </c>
      <c r="I3017" s="1" t="str">
        <f t="shared" si="667"/>
        <v>='C:\Users\jaime.benazar\Quorum Business Solutions\Ecopetrol Prometeo - Documents\Planning Space Implementation\3. Analysis &amp; Design\Design\FC22\DRR Jaime\QUIFA-CAJÚA\Cajua\[VAS_CAJUA_CF_SEC_20230125.xlsx]CF PND'!$DI$49</v>
      </c>
      <c r="J3017" t="s">
        <v>1511</v>
      </c>
    </row>
    <row r="3018" spans="1:10" x14ac:dyDescent="0.25">
      <c r="A3018" s="6" t="s">
        <v>3</v>
      </c>
      <c r="B3018" s="6">
        <f>+B3017+1</f>
        <v>2037</v>
      </c>
      <c r="C3018" s="1" t="s">
        <v>42</v>
      </c>
      <c r="D3018" s="2" t="s">
        <v>128</v>
      </c>
      <c r="E3018" s="9" t="str">
        <f t="shared" si="666"/>
        <v>PND'!</v>
      </c>
      <c r="F3018" s="5" t="str">
        <f t="shared" si="686"/>
        <v>C:\Users\jaime.benazar\Quorum Business Solutions\Ecopetrol Prometeo - Documents\Planning Space Implementation\3. Analysis &amp; Design\Design\FC22\DRR Jaime\QUIFA-CAJÚA\Cajua\[VAS_CAJUA_CF_SEC_20230125.xlsx]CF PND'!</v>
      </c>
      <c r="G3018" s="6" t="s">
        <v>43</v>
      </c>
      <c r="H3018" s="1">
        <f t="shared" si="669"/>
        <v>50</v>
      </c>
      <c r="I3018" s="1" t="str">
        <f t="shared" si="667"/>
        <v>='C:\Users\jaime.benazar\Quorum Business Solutions\Ecopetrol Prometeo - Documents\Planning Space Implementation\3. Analysis &amp; Design\Design\FC22\DRR Jaime\QUIFA-CAJÚA\Cajua\[VAS_CAJUA_CF_SEC_20230125.xlsx]CF PND'!$DI$50</v>
      </c>
      <c r="J3018" t="s">
        <v>1512</v>
      </c>
    </row>
    <row r="3019" spans="1:10" x14ac:dyDescent="0.25">
      <c r="A3019" s="6" t="s">
        <v>3</v>
      </c>
      <c r="B3019" s="6">
        <f t="shared" ref="B3019:B3021" si="688">+B3018+1</f>
        <v>2038</v>
      </c>
      <c r="C3019" s="1" t="s">
        <v>42</v>
      </c>
      <c r="D3019" s="2" t="s">
        <v>128</v>
      </c>
      <c r="E3019" s="9" t="str">
        <f t="shared" si="666"/>
        <v>PND'!</v>
      </c>
      <c r="F3019" s="5" t="str">
        <f t="shared" si="686"/>
        <v>C:\Users\jaime.benazar\Quorum Business Solutions\Ecopetrol Prometeo - Documents\Planning Space Implementation\3. Analysis &amp; Design\Design\FC22\DRR Jaime\QUIFA-CAJÚA\Cajua\[VAS_CAJUA_CF_SEC_20230125.xlsx]CF PND'!</v>
      </c>
      <c r="G3019" s="6" t="s">
        <v>43</v>
      </c>
      <c r="H3019" s="1">
        <f t="shared" si="669"/>
        <v>51</v>
      </c>
      <c r="I3019" s="1" t="str">
        <f t="shared" si="667"/>
        <v>='C:\Users\jaime.benazar\Quorum Business Solutions\Ecopetrol Prometeo - Documents\Planning Space Implementation\3. Analysis &amp; Design\Design\FC22\DRR Jaime\QUIFA-CAJÚA\Cajua\[VAS_CAJUA_CF_SEC_20230125.xlsx]CF PND'!$DI$51</v>
      </c>
      <c r="J3019" t="s">
        <v>1513</v>
      </c>
    </row>
    <row r="3020" spans="1:10" x14ac:dyDescent="0.25">
      <c r="A3020" s="6" t="s">
        <v>3</v>
      </c>
      <c r="B3020" s="6">
        <f t="shared" si="688"/>
        <v>2039</v>
      </c>
      <c r="C3020" s="1" t="s">
        <v>42</v>
      </c>
      <c r="D3020" s="2" t="s">
        <v>128</v>
      </c>
      <c r="E3020" s="9" t="str">
        <f t="shared" si="666"/>
        <v>PND'!</v>
      </c>
      <c r="F3020" s="5" t="str">
        <f t="shared" si="686"/>
        <v>C:\Users\jaime.benazar\Quorum Business Solutions\Ecopetrol Prometeo - Documents\Planning Space Implementation\3. Analysis &amp; Design\Design\FC22\DRR Jaime\QUIFA-CAJÚA\Cajua\[VAS_CAJUA_CF_SEC_20230125.xlsx]CF PND'!</v>
      </c>
      <c r="G3020" s="6" t="s">
        <v>43</v>
      </c>
      <c r="H3020" s="1">
        <f t="shared" si="669"/>
        <v>52</v>
      </c>
      <c r="I3020" s="1" t="str">
        <f t="shared" si="667"/>
        <v>='C:\Users\jaime.benazar\Quorum Business Solutions\Ecopetrol Prometeo - Documents\Planning Space Implementation\3. Analysis &amp; Design\Design\FC22\DRR Jaime\QUIFA-CAJÚA\Cajua\[VAS_CAJUA_CF_SEC_20230125.xlsx]CF PND'!$DI$52</v>
      </c>
      <c r="J3020" t="s">
        <v>1514</v>
      </c>
    </row>
    <row r="3021" spans="1:10" x14ac:dyDescent="0.25">
      <c r="A3021" s="6" t="s">
        <v>3</v>
      </c>
      <c r="B3021" s="6">
        <f t="shared" si="688"/>
        <v>2040</v>
      </c>
      <c r="C3021" s="1" t="s">
        <v>42</v>
      </c>
      <c r="D3021" s="2" t="s">
        <v>128</v>
      </c>
      <c r="E3021" s="9" t="str">
        <f t="shared" si="666"/>
        <v>PND'!</v>
      </c>
      <c r="F3021" s="5" t="str">
        <f t="shared" si="686"/>
        <v>C:\Users\jaime.benazar\Quorum Business Solutions\Ecopetrol Prometeo - Documents\Planning Space Implementation\3. Analysis &amp; Design\Design\FC22\DRR Jaime\QUIFA-CAJÚA\Cajua\[VAS_CAJUA_CF_SEC_20230125.xlsx]CF PND'!</v>
      </c>
      <c r="G3021" s="6" t="s">
        <v>43</v>
      </c>
      <c r="H3021" s="1">
        <f t="shared" si="669"/>
        <v>53</v>
      </c>
      <c r="I3021" s="1" t="str">
        <f t="shared" si="667"/>
        <v>='C:\Users\jaime.benazar\Quorum Business Solutions\Ecopetrol Prometeo - Documents\Planning Space Implementation\3. Analysis &amp; Design\Design\FC22\DRR Jaime\QUIFA-CAJÚA\Cajua\[VAS_CAJUA_CF_SEC_20230125.xlsx]CF PND'!$DI$53</v>
      </c>
      <c r="J3021" t="s">
        <v>1515</v>
      </c>
    </row>
    <row r="3022" spans="1:10" x14ac:dyDescent="0.25">
      <c r="A3022" s="6" t="s">
        <v>3</v>
      </c>
      <c r="B3022" s="6">
        <f>+B3021+1</f>
        <v>2041</v>
      </c>
      <c r="C3022" s="1" t="s">
        <v>42</v>
      </c>
      <c r="D3022" s="2" t="s">
        <v>128</v>
      </c>
      <c r="E3022" s="9" t="str">
        <f t="shared" si="666"/>
        <v>PND'!</v>
      </c>
      <c r="F3022" s="5" t="str">
        <f t="shared" si="686"/>
        <v>C:\Users\jaime.benazar\Quorum Business Solutions\Ecopetrol Prometeo - Documents\Planning Space Implementation\3. Analysis &amp; Design\Design\FC22\DRR Jaime\QUIFA-CAJÚA\Cajua\[VAS_CAJUA_CF_SEC_20230125.xlsx]CF PND'!</v>
      </c>
      <c r="G3022" s="6" t="s">
        <v>43</v>
      </c>
      <c r="H3022" s="1">
        <f t="shared" si="669"/>
        <v>54</v>
      </c>
      <c r="I3022" s="1" t="str">
        <f t="shared" si="667"/>
        <v>='C:\Users\jaime.benazar\Quorum Business Solutions\Ecopetrol Prometeo - Documents\Planning Space Implementation\3. Analysis &amp; Design\Design\FC22\DRR Jaime\QUIFA-CAJÚA\Cajua\[VAS_CAJUA_CF_SEC_20230125.xlsx]CF PND'!$DI$54</v>
      </c>
      <c r="J3022" t="s">
        <v>1516</v>
      </c>
    </row>
    <row r="3023" spans="1:10" x14ac:dyDescent="0.25">
      <c r="A3023" s="6" t="s">
        <v>3</v>
      </c>
      <c r="B3023" s="6">
        <f t="shared" ref="B3023:B3024" si="689">+B3022+1</f>
        <v>2042</v>
      </c>
      <c r="C3023" s="1" t="s">
        <v>42</v>
      </c>
      <c r="D3023" s="2" t="s">
        <v>128</v>
      </c>
      <c r="E3023" s="9" t="str">
        <f t="shared" ref="E3023:E3345" si="690">_xlfn.CONCAT(A3023,"'!")</f>
        <v>PND'!</v>
      </c>
      <c r="F3023" s="5" t="str">
        <f t="shared" si="686"/>
        <v>C:\Users\jaime.benazar\Quorum Business Solutions\Ecopetrol Prometeo - Documents\Planning Space Implementation\3. Analysis &amp; Design\Design\FC22\DRR Jaime\QUIFA-CAJÚA\Cajua\[VAS_CAJUA_CF_SEC_20230125.xlsx]CF PND'!</v>
      </c>
      <c r="G3023" s="6" t="s">
        <v>43</v>
      </c>
      <c r="H3023" s="1">
        <f t="shared" si="669"/>
        <v>55</v>
      </c>
      <c r="I3023" s="1" t="str">
        <f t="shared" ref="I3023:I3328" si="691">_xlfn.CONCAT("='",F3023:H3023)</f>
        <v>='C:\Users\jaime.benazar\Quorum Business Solutions\Ecopetrol Prometeo - Documents\Planning Space Implementation\3. Analysis &amp; Design\Design\FC22\DRR Jaime\QUIFA-CAJÚA\Cajua\[VAS_CAJUA_CF_SEC_20230125.xlsx]CF PND'!$DI$55</v>
      </c>
      <c r="J3023" t="s">
        <v>1517</v>
      </c>
    </row>
    <row r="3024" spans="1:10" x14ac:dyDescent="0.25">
      <c r="A3024" s="6" t="s">
        <v>3</v>
      </c>
      <c r="B3024" s="6">
        <f t="shared" si="689"/>
        <v>2043</v>
      </c>
      <c r="C3024" s="1" t="s">
        <v>42</v>
      </c>
      <c r="D3024" s="2" t="s">
        <v>128</v>
      </c>
      <c r="E3024" s="9" t="str">
        <f t="shared" si="690"/>
        <v>PND'!</v>
      </c>
      <c r="F3024" s="5" t="str">
        <f t="shared" si="686"/>
        <v>C:\Users\jaime.benazar\Quorum Business Solutions\Ecopetrol Prometeo - Documents\Planning Space Implementation\3. Analysis &amp; Design\Design\FC22\DRR Jaime\QUIFA-CAJÚA\Cajua\[VAS_CAJUA_CF_SEC_20230125.xlsx]CF PND'!</v>
      </c>
      <c r="G3024" s="6" t="s">
        <v>43</v>
      </c>
      <c r="H3024" s="1">
        <f t="shared" ref="H3024:H3328" si="692">IF(A3024&lt;&gt;A3023,36,H3023+1)</f>
        <v>56</v>
      </c>
      <c r="I3024" s="1" t="str">
        <f t="shared" si="691"/>
        <v>='C:\Users\jaime.benazar\Quorum Business Solutions\Ecopetrol Prometeo - Documents\Planning Space Implementation\3. Analysis &amp; Design\Design\FC22\DRR Jaime\QUIFA-CAJÚA\Cajua\[VAS_CAJUA_CF_SEC_20230125.xlsx]CF PND'!$DI$56</v>
      </c>
      <c r="J3024" t="s">
        <v>1518</v>
      </c>
    </row>
    <row r="3025" spans="1:10" x14ac:dyDescent="0.25">
      <c r="A3025" s="6" t="s">
        <v>3</v>
      </c>
      <c r="B3025" s="6">
        <f>+B3024+1</f>
        <v>2044</v>
      </c>
      <c r="C3025" s="1" t="s">
        <v>42</v>
      </c>
      <c r="D3025" s="2" t="s">
        <v>128</v>
      </c>
      <c r="E3025" s="9" t="str">
        <f t="shared" ref="E3025:E3040" si="693">_xlfn.CONCAT(A3025,"'!")</f>
        <v>PND'!</v>
      </c>
      <c r="F3025" s="5" t="str">
        <f t="shared" ref="F3025:F3040" si="694">_xlfn.CONCAT(D3025," ",E3025)</f>
        <v>C:\Users\jaime.benazar\Quorum Business Solutions\Ecopetrol Prometeo - Documents\Planning Space Implementation\3. Analysis &amp; Design\Design\FC22\DRR Jaime\QUIFA-CAJÚA\Cajua\[VAS_CAJUA_CF_SEC_20230125.xlsx]CF PND'!</v>
      </c>
      <c r="G3025" s="6" t="s">
        <v>43</v>
      </c>
      <c r="H3025" s="1">
        <f t="shared" ref="H3025:H3040" si="695">IF(A3025&lt;&gt;A3024,36,H3024+1)</f>
        <v>57</v>
      </c>
      <c r="I3025" s="1" t="str">
        <f t="shared" ref="I3025:I3040" si="696">_xlfn.CONCAT("='",F3025:H3025)</f>
        <v>='C:\Users\jaime.benazar\Quorum Business Solutions\Ecopetrol Prometeo - Documents\Planning Space Implementation\3. Analysis &amp; Design\Design\FC22\DRR Jaime\QUIFA-CAJÚA\Cajua\[VAS_CAJUA_CF_SEC_20230125.xlsx]CF PND'!$DI$57</v>
      </c>
      <c r="J3025" t="s">
        <v>1519</v>
      </c>
    </row>
    <row r="3026" spans="1:10" x14ac:dyDescent="0.25">
      <c r="A3026" s="6" t="s">
        <v>3</v>
      </c>
      <c r="B3026" s="6">
        <f t="shared" ref="B3026:B3040" si="697">+B3025+1</f>
        <v>2045</v>
      </c>
      <c r="C3026" s="1" t="s">
        <v>42</v>
      </c>
      <c r="D3026" s="2" t="s">
        <v>128</v>
      </c>
      <c r="E3026" s="9" t="str">
        <f t="shared" si="693"/>
        <v>PND'!</v>
      </c>
      <c r="F3026" s="5" t="str">
        <f t="shared" si="694"/>
        <v>C:\Users\jaime.benazar\Quorum Business Solutions\Ecopetrol Prometeo - Documents\Planning Space Implementation\3. Analysis &amp; Design\Design\FC22\DRR Jaime\QUIFA-CAJÚA\Cajua\[VAS_CAJUA_CF_SEC_20230125.xlsx]CF PND'!</v>
      </c>
      <c r="G3026" s="6" t="s">
        <v>43</v>
      </c>
      <c r="H3026" s="1">
        <f t="shared" si="695"/>
        <v>58</v>
      </c>
      <c r="I3026" s="1" t="str">
        <f t="shared" si="696"/>
        <v>='C:\Users\jaime.benazar\Quorum Business Solutions\Ecopetrol Prometeo - Documents\Planning Space Implementation\3. Analysis &amp; Design\Design\FC22\DRR Jaime\QUIFA-CAJÚA\Cajua\[VAS_CAJUA_CF_SEC_20230125.xlsx]CF PND'!$DI$58</v>
      </c>
      <c r="J3026" t="s">
        <v>1520</v>
      </c>
    </row>
    <row r="3027" spans="1:10" x14ac:dyDescent="0.25">
      <c r="A3027" s="6" t="s">
        <v>3</v>
      </c>
      <c r="B3027" s="6">
        <f t="shared" si="697"/>
        <v>2046</v>
      </c>
      <c r="C3027" s="1" t="s">
        <v>42</v>
      </c>
      <c r="D3027" s="2" t="s">
        <v>128</v>
      </c>
      <c r="E3027" s="9" t="str">
        <f t="shared" si="693"/>
        <v>PND'!</v>
      </c>
      <c r="F3027" s="5" t="str">
        <f t="shared" si="694"/>
        <v>C:\Users\jaime.benazar\Quorum Business Solutions\Ecopetrol Prometeo - Documents\Planning Space Implementation\3. Analysis &amp; Design\Design\FC22\DRR Jaime\QUIFA-CAJÚA\Cajua\[VAS_CAJUA_CF_SEC_20230125.xlsx]CF PND'!</v>
      </c>
      <c r="G3027" s="6" t="s">
        <v>43</v>
      </c>
      <c r="H3027" s="1">
        <f t="shared" si="695"/>
        <v>59</v>
      </c>
      <c r="I3027" s="1" t="str">
        <f t="shared" si="696"/>
        <v>='C:\Users\jaime.benazar\Quorum Business Solutions\Ecopetrol Prometeo - Documents\Planning Space Implementation\3. Analysis &amp; Design\Design\FC22\DRR Jaime\QUIFA-CAJÚA\Cajua\[VAS_CAJUA_CF_SEC_20230125.xlsx]CF PND'!$DI$59</v>
      </c>
      <c r="J3027" t="s">
        <v>1521</v>
      </c>
    </row>
    <row r="3028" spans="1:10" x14ac:dyDescent="0.25">
      <c r="A3028" s="6" t="s">
        <v>3</v>
      </c>
      <c r="B3028" s="6">
        <f t="shared" si="697"/>
        <v>2047</v>
      </c>
      <c r="C3028" s="1" t="s">
        <v>42</v>
      </c>
      <c r="D3028" s="2" t="s">
        <v>128</v>
      </c>
      <c r="E3028" s="9" t="str">
        <f t="shared" si="693"/>
        <v>PND'!</v>
      </c>
      <c r="F3028" s="5" t="str">
        <f t="shared" si="694"/>
        <v>C:\Users\jaime.benazar\Quorum Business Solutions\Ecopetrol Prometeo - Documents\Planning Space Implementation\3. Analysis &amp; Design\Design\FC22\DRR Jaime\QUIFA-CAJÚA\Cajua\[VAS_CAJUA_CF_SEC_20230125.xlsx]CF PND'!</v>
      </c>
      <c r="G3028" s="6" t="s">
        <v>43</v>
      </c>
      <c r="H3028" s="1">
        <f t="shared" si="695"/>
        <v>60</v>
      </c>
      <c r="I3028" s="1" t="str">
        <f t="shared" si="696"/>
        <v>='C:\Users\jaime.benazar\Quorum Business Solutions\Ecopetrol Prometeo - Documents\Planning Space Implementation\3. Analysis &amp; Design\Design\FC22\DRR Jaime\QUIFA-CAJÚA\Cajua\[VAS_CAJUA_CF_SEC_20230125.xlsx]CF PND'!$DI$60</v>
      </c>
      <c r="J3028" t="s">
        <v>1522</v>
      </c>
    </row>
    <row r="3029" spans="1:10" x14ac:dyDescent="0.25">
      <c r="A3029" s="6" t="s">
        <v>3</v>
      </c>
      <c r="B3029" s="6">
        <f t="shared" si="697"/>
        <v>2048</v>
      </c>
      <c r="C3029" s="1" t="s">
        <v>42</v>
      </c>
      <c r="D3029" s="2" t="s">
        <v>128</v>
      </c>
      <c r="E3029" s="9" t="str">
        <f t="shared" si="693"/>
        <v>PND'!</v>
      </c>
      <c r="F3029" s="5" t="str">
        <f t="shared" si="694"/>
        <v>C:\Users\jaime.benazar\Quorum Business Solutions\Ecopetrol Prometeo - Documents\Planning Space Implementation\3. Analysis &amp; Design\Design\FC22\DRR Jaime\QUIFA-CAJÚA\Cajua\[VAS_CAJUA_CF_SEC_20230125.xlsx]CF PND'!</v>
      </c>
      <c r="G3029" s="6" t="s">
        <v>43</v>
      </c>
      <c r="H3029" s="1">
        <f t="shared" si="695"/>
        <v>61</v>
      </c>
      <c r="I3029" s="1" t="str">
        <f t="shared" si="696"/>
        <v>='C:\Users\jaime.benazar\Quorum Business Solutions\Ecopetrol Prometeo - Documents\Planning Space Implementation\3. Analysis &amp; Design\Design\FC22\DRR Jaime\QUIFA-CAJÚA\Cajua\[VAS_CAJUA_CF_SEC_20230125.xlsx]CF PND'!$DI$61</v>
      </c>
      <c r="J3029" t="s">
        <v>1523</v>
      </c>
    </row>
    <row r="3030" spans="1:10" x14ac:dyDescent="0.25">
      <c r="A3030" s="6" t="s">
        <v>3</v>
      </c>
      <c r="B3030" s="6">
        <f t="shared" si="697"/>
        <v>2049</v>
      </c>
      <c r="C3030" s="1" t="s">
        <v>42</v>
      </c>
      <c r="D3030" s="2" t="s">
        <v>128</v>
      </c>
      <c r="E3030" s="9" t="str">
        <f t="shared" si="693"/>
        <v>PND'!</v>
      </c>
      <c r="F3030" s="5" t="str">
        <f t="shared" si="694"/>
        <v>C:\Users\jaime.benazar\Quorum Business Solutions\Ecopetrol Prometeo - Documents\Planning Space Implementation\3. Analysis &amp; Design\Design\FC22\DRR Jaime\QUIFA-CAJÚA\Cajua\[VAS_CAJUA_CF_SEC_20230125.xlsx]CF PND'!</v>
      </c>
      <c r="G3030" s="6" t="s">
        <v>43</v>
      </c>
      <c r="H3030" s="1">
        <f t="shared" si="695"/>
        <v>62</v>
      </c>
      <c r="I3030" s="1" t="str">
        <f t="shared" si="696"/>
        <v>='C:\Users\jaime.benazar\Quorum Business Solutions\Ecopetrol Prometeo - Documents\Planning Space Implementation\3. Analysis &amp; Design\Design\FC22\DRR Jaime\QUIFA-CAJÚA\Cajua\[VAS_CAJUA_CF_SEC_20230125.xlsx]CF PND'!$DI$62</v>
      </c>
      <c r="J3030" t="s">
        <v>1524</v>
      </c>
    </row>
    <row r="3031" spans="1:10" x14ac:dyDescent="0.25">
      <c r="A3031" s="6" t="s">
        <v>3</v>
      </c>
      <c r="B3031" s="6">
        <f t="shared" si="697"/>
        <v>2050</v>
      </c>
      <c r="C3031" s="1" t="s">
        <v>42</v>
      </c>
      <c r="D3031" s="2" t="s">
        <v>128</v>
      </c>
      <c r="E3031" s="9" t="str">
        <f t="shared" si="693"/>
        <v>PND'!</v>
      </c>
      <c r="F3031" s="5" t="str">
        <f t="shared" si="694"/>
        <v>C:\Users\jaime.benazar\Quorum Business Solutions\Ecopetrol Prometeo - Documents\Planning Space Implementation\3. Analysis &amp; Design\Design\FC22\DRR Jaime\QUIFA-CAJÚA\Cajua\[VAS_CAJUA_CF_SEC_20230125.xlsx]CF PND'!</v>
      </c>
      <c r="G3031" s="6" t="s">
        <v>43</v>
      </c>
      <c r="H3031" s="1">
        <f t="shared" si="695"/>
        <v>63</v>
      </c>
      <c r="I3031" s="1" t="str">
        <f t="shared" si="696"/>
        <v>='C:\Users\jaime.benazar\Quorum Business Solutions\Ecopetrol Prometeo - Documents\Planning Space Implementation\3. Analysis &amp; Design\Design\FC22\DRR Jaime\QUIFA-CAJÚA\Cajua\[VAS_CAJUA_CF_SEC_20230125.xlsx]CF PND'!$DI$63</v>
      </c>
      <c r="J3031" t="s">
        <v>1525</v>
      </c>
    </row>
    <row r="3032" spans="1:10" x14ac:dyDescent="0.25">
      <c r="A3032" s="6" t="s">
        <v>3</v>
      </c>
      <c r="B3032" s="6">
        <f t="shared" si="697"/>
        <v>2051</v>
      </c>
      <c r="C3032" s="1" t="s">
        <v>42</v>
      </c>
      <c r="D3032" s="2" t="s">
        <v>128</v>
      </c>
      <c r="E3032" s="9" t="str">
        <f t="shared" si="693"/>
        <v>PND'!</v>
      </c>
      <c r="F3032" s="5" t="str">
        <f t="shared" si="694"/>
        <v>C:\Users\jaime.benazar\Quorum Business Solutions\Ecopetrol Prometeo - Documents\Planning Space Implementation\3. Analysis &amp; Design\Design\FC22\DRR Jaime\QUIFA-CAJÚA\Cajua\[VAS_CAJUA_CF_SEC_20230125.xlsx]CF PND'!</v>
      </c>
      <c r="G3032" s="6" t="s">
        <v>43</v>
      </c>
      <c r="H3032" s="1">
        <f t="shared" si="695"/>
        <v>64</v>
      </c>
      <c r="I3032" s="1" t="str">
        <f t="shared" si="696"/>
        <v>='C:\Users\jaime.benazar\Quorum Business Solutions\Ecopetrol Prometeo - Documents\Planning Space Implementation\3. Analysis &amp; Design\Design\FC22\DRR Jaime\QUIFA-CAJÚA\Cajua\[VAS_CAJUA_CF_SEC_20230125.xlsx]CF PND'!$DI$64</v>
      </c>
      <c r="J3032" t="s">
        <v>1526</v>
      </c>
    </row>
    <row r="3033" spans="1:10" x14ac:dyDescent="0.25">
      <c r="A3033" s="6" t="s">
        <v>3</v>
      </c>
      <c r="B3033" s="6">
        <f t="shared" si="697"/>
        <v>2052</v>
      </c>
      <c r="C3033" s="1" t="s">
        <v>42</v>
      </c>
      <c r="D3033" s="2" t="s">
        <v>128</v>
      </c>
      <c r="E3033" s="9" t="str">
        <f t="shared" si="693"/>
        <v>PND'!</v>
      </c>
      <c r="F3033" s="5" t="str">
        <f t="shared" si="694"/>
        <v>C:\Users\jaime.benazar\Quorum Business Solutions\Ecopetrol Prometeo - Documents\Planning Space Implementation\3. Analysis &amp; Design\Design\FC22\DRR Jaime\QUIFA-CAJÚA\Cajua\[VAS_CAJUA_CF_SEC_20230125.xlsx]CF PND'!</v>
      </c>
      <c r="G3033" s="6" t="s">
        <v>43</v>
      </c>
      <c r="H3033" s="1">
        <f t="shared" si="695"/>
        <v>65</v>
      </c>
      <c r="I3033" s="1" t="str">
        <f t="shared" si="696"/>
        <v>='C:\Users\jaime.benazar\Quorum Business Solutions\Ecopetrol Prometeo - Documents\Planning Space Implementation\3. Analysis &amp; Design\Design\FC22\DRR Jaime\QUIFA-CAJÚA\Cajua\[VAS_CAJUA_CF_SEC_20230125.xlsx]CF PND'!$DI$65</v>
      </c>
      <c r="J3033" t="s">
        <v>1527</v>
      </c>
    </row>
    <row r="3034" spans="1:10" x14ac:dyDescent="0.25">
      <c r="A3034" s="6" t="s">
        <v>3</v>
      </c>
      <c r="B3034" s="6">
        <f t="shared" si="697"/>
        <v>2053</v>
      </c>
      <c r="C3034" s="1" t="s">
        <v>42</v>
      </c>
      <c r="D3034" s="2" t="s">
        <v>128</v>
      </c>
      <c r="E3034" s="9" t="str">
        <f t="shared" si="693"/>
        <v>PND'!</v>
      </c>
      <c r="F3034" s="5" t="str">
        <f t="shared" si="694"/>
        <v>C:\Users\jaime.benazar\Quorum Business Solutions\Ecopetrol Prometeo - Documents\Planning Space Implementation\3. Analysis &amp; Design\Design\FC22\DRR Jaime\QUIFA-CAJÚA\Cajua\[VAS_CAJUA_CF_SEC_20230125.xlsx]CF PND'!</v>
      </c>
      <c r="G3034" s="6" t="s">
        <v>43</v>
      </c>
      <c r="H3034" s="1">
        <f t="shared" si="695"/>
        <v>66</v>
      </c>
      <c r="I3034" s="1" t="str">
        <f t="shared" si="696"/>
        <v>='C:\Users\jaime.benazar\Quorum Business Solutions\Ecopetrol Prometeo - Documents\Planning Space Implementation\3. Analysis &amp; Design\Design\FC22\DRR Jaime\QUIFA-CAJÚA\Cajua\[VAS_CAJUA_CF_SEC_20230125.xlsx]CF PND'!$DI$66</v>
      </c>
      <c r="J3034" t="s">
        <v>1528</v>
      </c>
    </row>
    <row r="3035" spans="1:10" x14ac:dyDescent="0.25">
      <c r="A3035" s="6" t="s">
        <v>3</v>
      </c>
      <c r="B3035" s="6">
        <f t="shared" si="697"/>
        <v>2054</v>
      </c>
      <c r="C3035" s="1" t="s">
        <v>42</v>
      </c>
      <c r="D3035" s="2" t="s">
        <v>128</v>
      </c>
      <c r="E3035" s="9" t="str">
        <f t="shared" si="693"/>
        <v>PND'!</v>
      </c>
      <c r="F3035" s="5" t="str">
        <f t="shared" si="694"/>
        <v>C:\Users\jaime.benazar\Quorum Business Solutions\Ecopetrol Prometeo - Documents\Planning Space Implementation\3. Analysis &amp; Design\Design\FC22\DRR Jaime\QUIFA-CAJÚA\Cajua\[VAS_CAJUA_CF_SEC_20230125.xlsx]CF PND'!</v>
      </c>
      <c r="G3035" s="6" t="s">
        <v>43</v>
      </c>
      <c r="H3035" s="1">
        <f t="shared" si="695"/>
        <v>67</v>
      </c>
      <c r="I3035" s="1" t="str">
        <f t="shared" si="696"/>
        <v>='C:\Users\jaime.benazar\Quorum Business Solutions\Ecopetrol Prometeo - Documents\Planning Space Implementation\3. Analysis &amp; Design\Design\FC22\DRR Jaime\QUIFA-CAJÚA\Cajua\[VAS_CAJUA_CF_SEC_20230125.xlsx]CF PND'!$DI$67</v>
      </c>
      <c r="J3035" t="s">
        <v>1529</v>
      </c>
    </row>
    <row r="3036" spans="1:10" x14ac:dyDescent="0.25">
      <c r="A3036" s="6" t="s">
        <v>3</v>
      </c>
      <c r="B3036" s="6">
        <f t="shared" si="697"/>
        <v>2055</v>
      </c>
      <c r="C3036" s="1" t="s">
        <v>42</v>
      </c>
      <c r="D3036" s="2" t="s">
        <v>128</v>
      </c>
      <c r="E3036" s="9" t="str">
        <f t="shared" si="693"/>
        <v>PND'!</v>
      </c>
      <c r="F3036" s="5" t="str">
        <f t="shared" si="694"/>
        <v>C:\Users\jaime.benazar\Quorum Business Solutions\Ecopetrol Prometeo - Documents\Planning Space Implementation\3. Analysis &amp; Design\Design\FC22\DRR Jaime\QUIFA-CAJÚA\Cajua\[VAS_CAJUA_CF_SEC_20230125.xlsx]CF PND'!</v>
      </c>
      <c r="G3036" s="6" t="s">
        <v>43</v>
      </c>
      <c r="H3036" s="1">
        <f t="shared" si="695"/>
        <v>68</v>
      </c>
      <c r="I3036" s="1" t="str">
        <f t="shared" si="696"/>
        <v>='C:\Users\jaime.benazar\Quorum Business Solutions\Ecopetrol Prometeo - Documents\Planning Space Implementation\3. Analysis &amp; Design\Design\FC22\DRR Jaime\QUIFA-CAJÚA\Cajua\[VAS_CAJUA_CF_SEC_20230125.xlsx]CF PND'!$DI$68</v>
      </c>
      <c r="J3036" t="s">
        <v>1530</v>
      </c>
    </row>
    <row r="3037" spans="1:10" x14ac:dyDescent="0.25">
      <c r="A3037" s="6" t="s">
        <v>3</v>
      </c>
      <c r="B3037" s="6">
        <f t="shared" si="697"/>
        <v>2056</v>
      </c>
      <c r="C3037" s="1" t="s">
        <v>42</v>
      </c>
      <c r="D3037" s="2" t="s">
        <v>128</v>
      </c>
      <c r="E3037" s="9" t="str">
        <f t="shared" si="693"/>
        <v>PND'!</v>
      </c>
      <c r="F3037" s="5" t="str">
        <f t="shared" si="694"/>
        <v>C:\Users\jaime.benazar\Quorum Business Solutions\Ecopetrol Prometeo - Documents\Planning Space Implementation\3. Analysis &amp; Design\Design\FC22\DRR Jaime\QUIFA-CAJÚA\Cajua\[VAS_CAJUA_CF_SEC_20230125.xlsx]CF PND'!</v>
      </c>
      <c r="G3037" s="6" t="s">
        <v>43</v>
      </c>
      <c r="H3037" s="1">
        <f t="shared" si="695"/>
        <v>69</v>
      </c>
      <c r="I3037" s="1" t="str">
        <f t="shared" si="696"/>
        <v>='C:\Users\jaime.benazar\Quorum Business Solutions\Ecopetrol Prometeo - Documents\Planning Space Implementation\3. Analysis &amp; Design\Design\FC22\DRR Jaime\QUIFA-CAJÚA\Cajua\[VAS_CAJUA_CF_SEC_20230125.xlsx]CF PND'!$DI$69</v>
      </c>
      <c r="J3037" t="s">
        <v>1531</v>
      </c>
    </row>
    <row r="3038" spans="1:10" x14ac:dyDescent="0.25">
      <c r="A3038" s="6" t="s">
        <v>3</v>
      </c>
      <c r="B3038" s="6">
        <f t="shared" si="697"/>
        <v>2057</v>
      </c>
      <c r="C3038" s="1" t="s">
        <v>42</v>
      </c>
      <c r="D3038" s="2" t="s">
        <v>128</v>
      </c>
      <c r="E3038" s="9" t="str">
        <f t="shared" si="693"/>
        <v>PND'!</v>
      </c>
      <c r="F3038" s="5" t="str">
        <f t="shared" si="694"/>
        <v>C:\Users\jaime.benazar\Quorum Business Solutions\Ecopetrol Prometeo - Documents\Planning Space Implementation\3. Analysis &amp; Design\Design\FC22\DRR Jaime\QUIFA-CAJÚA\Cajua\[VAS_CAJUA_CF_SEC_20230125.xlsx]CF PND'!</v>
      </c>
      <c r="G3038" s="6" t="s">
        <v>43</v>
      </c>
      <c r="H3038" s="1">
        <f t="shared" si="695"/>
        <v>70</v>
      </c>
      <c r="I3038" s="1" t="str">
        <f t="shared" si="696"/>
        <v>='C:\Users\jaime.benazar\Quorum Business Solutions\Ecopetrol Prometeo - Documents\Planning Space Implementation\3. Analysis &amp; Design\Design\FC22\DRR Jaime\QUIFA-CAJÚA\Cajua\[VAS_CAJUA_CF_SEC_20230125.xlsx]CF PND'!$DI$70</v>
      </c>
      <c r="J3038" t="s">
        <v>1532</v>
      </c>
    </row>
    <row r="3039" spans="1:10" x14ac:dyDescent="0.25">
      <c r="A3039" s="6" t="s">
        <v>3</v>
      </c>
      <c r="B3039" s="6">
        <f t="shared" si="697"/>
        <v>2058</v>
      </c>
      <c r="C3039" s="1" t="s">
        <v>42</v>
      </c>
      <c r="D3039" s="2" t="s">
        <v>128</v>
      </c>
      <c r="E3039" s="9" t="str">
        <f t="shared" si="693"/>
        <v>PND'!</v>
      </c>
      <c r="F3039" s="5" t="str">
        <f t="shared" si="694"/>
        <v>C:\Users\jaime.benazar\Quorum Business Solutions\Ecopetrol Prometeo - Documents\Planning Space Implementation\3. Analysis &amp; Design\Design\FC22\DRR Jaime\QUIFA-CAJÚA\Cajua\[VAS_CAJUA_CF_SEC_20230125.xlsx]CF PND'!</v>
      </c>
      <c r="G3039" s="6" t="s">
        <v>43</v>
      </c>
      <c r="H3039" s="1">
        <f t="shared" si="695"/>
        <v>71</v>
      </c>
      <c r="I3039" s="1" t="str">
        <f t="shared" si="696"/>
        <v>='C:\Users\jaime.benazar\Quorum Business Solutions\Ecopetrol Prometeo - Documents\Planning Space Implementation\3. Analysis &amp; Design\Design\FC22\DRR Jaime\QUIFA-CAJÚA\Cajua\[VAS_CAJUA_CF_SEC_20230125.xlsx]CF PND'!$DI$71</v>
      </c>
      <c r="J3039" t="s">
        <v>1533</v>
      </c>
    </row>
    <row r="3040" spans="1:10" x14ac:dyDescent="0.25">
      <c r="A3040" s="6" t="s">
        <v>3</v>
      </c>
      <c r="B3040" s="6">
        <f t="shared" si="697"/>
        <v>2059</v>
      </c>
      <c r="C3040" s="1" t="s">
        <v>42</v>
      </c>
      <c r="D3040" s="2" t="s">
        <v>128</v>
      </c>
      <c r="E3040" s="9" t="str">
        <f t="shared" si="693"/>
        <v>PND'!</v>
      </c>
      <c r="F3040" s="5" t="str">
        <f t="shared" si="694"/>
        <v>C:\Users\jaime.benazar\Quorum Business Solutions\Ecopetrol Prometeo - Documents\Planning Space Implementation\3. Analysis &amp; Design\Design\FC22\DRR Jaime\QUIFA-CAJÚA\Cajua\[VAS_CAJUA_CF_SEC_20230125.xlsx]CF PND'!</v>
      </c>
      <c r="G3040" s="6" t="s">
        <v>43</v>
      </c>
      <c r="H3040" s="1">
        <f t="shared" si="695"/>
        <v>72</v>
      </c>
      <c r="I3040" s="1" t="str">
        <f t="shared" si="696"/>
        <v>='C:\Users\jaime.benazar\Quorum Business Solutions\Ecopetrol Prometeo - Documents\Planning Space Implementation\3. Analysis &amp; Design\Design\FC22\DRR Jaime\QUIFA-CAJÚA\Cajua\[VAS_CAJUA_CF_SEC_20230125.xlsx]CF PND'!$DI$72</v>
      </c>
      <c r="J3040" t="s">
        <v>1534</v>
      </c>
    </row>
    <row r="3041" spans="1:10" x14ac:dyDescent="0.25">
      <c r="A3041" s="7" t="s">
        <v>28</v>
      </c>
      <c r="B3041" s="6"/>
      <c r="C3041" s="1" t="s">
        <v>42</v>
      </c>
      <c r="D3041" s="2"/>
      <c r="E3041" s="9"/>
      <c r="F3041" s="5"/>
      <c r="G3041" s="6"/>
      <c r="H3041" s="1"/>
      <c r="I3041" s="1"/>
      <c r="J3041" s="4"/>
    </row>
    <row r="3042" spans="1:10" x14ac:dyDescent="0.25">
      <c r="A3042" s="6" t="s">
        <v>99</v>
      </c>
      <c r="B3042" s="6">
        <v>2023</v>
      </c>
      <c r="C3042" s="1" t="s">
        <v>42</v>
      </c>
      <c r="D3042" s="2" t="s">
        <v>128</v>
      </c>
      <c r="E3042" s="9" t="str">
        <f t="shared" ref="E3042:E3062" si="698">_xlfn.CONCAT(A3042,"'!")</f>
        <v>PRBDP'!</v>
      </c>
      <c r="F3042" s="5" t="str">
        <f t="shared" ref="F3042:F3062" si="699">_xlfn.CONCAT(D3042," ",E3042)</f>
        <v>C:\Users\jaime.benazar\Quorum Business Solutions\Ecopetrol Prometeo - Documents\Planning Space Implementation\3. Analysis &amp; Design\Design\FC22\DRR Jaime\QUIFA-CAJÚA\Cajua\[VAS_CAJUA_CF_SEC_20230125.xlsx]CF PRBDP'!</v>
      </c>
      <c r="G3042" s="6" t="s">
        <v>43</v>
      </c>
      <c r="H3042" s="1"/>
      <c r="I3042" s="1"/>
    </row>
    <row r="3043" spans="1:10" x14ac:dyDescent="0.25">
      <c r="A3043" s="6" t="s">
        <v>99</v>
      </c>
      <c r="B3043" s="6">
        <f>+B3042+1</f>
        <v>2024</v>
      </c>
      <c r="C3043" s="1" t="s">
        <v>42</v>
      </c>
      <c r="D3043" s="2" t="s">
        <v>128</v>
      </c>
      <c r="E3043" s="9" t="str">
        <f t="shared" si="698"/>
        <v>PRBDP'!</v>
      </c>
      <c r="F3043" s="5" t="str">
        <f t="shared" si="699"/>
        <v>C:\Users\jaime.benazar\Quorum Business Solutions\Ecopetrol Prometeo - Documents\Planning Space Implementation\3. Analysis &amp; Design\Design\FC22\DRR Jaime\QUIFA-CAJÚA\Cajua\[VAS_CAJUA_CF_SEC_20230125.xlsx]CF PRBDP'!</v>
      </c>
      <c r="G3043" s="6" t="s">
        <v>43</v>
      </c>
      <c r="H3043" s="1"/>
      <c r="I3043" s="1"/>
    </row>
    <row r="3044" spans="1:10" x14ac:dyDescent="0.25">
      <c r="A3044" s="6" t="s">
        <v>99</v>
      </c>
      <c r="B3044" s="6">
        <f t="shared" ref="B3044:B3055" si="700">+B3043+1</f>
        <v>2025</v>
      </c>
      <c r="C3044" s="1" t="s">
        <v>42</v>
      </c>
      <c r="D3044" s="2" t="s">
        <v>128</v>
      </c>
      <c r="E3044" s="9" t="str">
        <f t="shared" si="698"/>
        <v>PRBDP'!</v>
      </c>
      <c r="F3044" s="5" t="str">
        <f t="shared" si="699"/>
        <v>C:\Users\jaime.benazar\Quorum Business Solutions\Ecopetrol Prometeo - Documents\Planning Space Implementation\3. Analysis &amp; Design\Design\FC22\DRR Jaime\QUIFA-CAJÚA\Cajua\[VAS_CAJUA_CF_SEC_20230125.xlsx]CF PRBDP'!</v>
      </c>
      <c r="G3044" s="6" t="s">
        <v>43</v>
      </c>
      <c r="H3044" s="1"/>
      <c r="I3044" s="1"/>
    </row>
    <row r="3045" spans="1:10" x14ac:dyDescent="0.25">
      <c r="A3045" s="6" t="s">
        <v>99</v>
      </c>
      <c r="B3045" s="6">
        <f t="shared" si="700"/>
        <v>2026</v>
      </c>
      <c r="C3045" s="1" t="s">
        <v>42</v>
      </c>
      <c r="D3045" s="2" t="s">
        <v>128</v>
      </c>
      <c r="E3045" s="9" t="str">
        <f t="shared" si="698"/>
        <v>PRBDP'!</v>
      </c>
      <c r="F3045" s="5" t="str">
        <f t="shared" si="699"/>
        <v>C:\Users\jaime.benazar\Quorum Business Solutions\Ecopetrol Prometeo - Documents\Planning Space Implementation\3. Analysis &amp; Design\Design\FC22\DRR Jaime\QUIFA-CAJÚA\Cajua\[VAS_CAJUA_CF_SEC_20230125.xlsx]CF PRBDP'!</v>
      </c>
      <c r="G3045" s="6" t="s">
        <v>43</v>
      </c>
      <c r="H3045" s="1"/>
      <c r="I3045" s="1"/>
    </row>
    <row r="3046" spans="1:10" x14ac:dyDescent="0.25">
      <c r="A3046" s="6" t="s">
        <v>99</v>
      </c>
      <c r="B3046" s="6">
        <f t="shared" si="700"/>
        <v>2027</v>
      </c>
      <c r="C3046" s="1" t="s">
        <v>42</v>
      </c>
      <c r="D3046" s="2" t="s">
        <v>128</v>
      </c>
      <c r="E3046" s="9" t="str">
        <f t="shared" si="698"/>
        <v>PRBDP'!</v>
      </c>
      <c r="F3046" s="5" t="str">
        <f t="shared" si="699"/>
        <v>C:\Users\jaime.benazar\Quorum Business Solutions\Ecopetrol Prometeo - Documents\Planning Space Implementation\3. Analysis &amp; Design\Design\FC22\DRR Jaime\QUIFA-CAJÚA\Cajua\[VAS_CAJUA_CF_SEC_20230125.xlsx]CF PRBDP'!</v>
      </c>
      <c r="G3046" s="6" t="s">
        <v>43</v>
      </c>
      <c r="H3046" s="1"/>
      <c r="I3046" s="1"/>
    </row>
    <row r="3047" spans="1:10" x14ac:dyDescent="0.25">
      <c r="A3047" s="6" t="s">
        <v>99</v>
      </c>
      <c r="B3047" s="6">
        <f t="shared" si="700"/>
        <v>2028</v>
      </c>
      <c r="C3047" s="1" t="s">
        <v>42</v>
      </c>
      <c r="D3047" s="2" t="s">
        <v>128</v>
      </c>
      <c r="E3047" s="9" t="str">
        <f t="shared" si="698"/>
        <v>PRBDP'!</v>
      </c>
      <c r="F3047" s="5" t="str">
        <f t="shared" si="699"/>
        <v>C:\Users\jaime.benazar\Quorum Business Solutions\Ecopetrol Prometeo - Documents\Planning Space Implementation\3. Analysis &amp; Design\Design\FC22\DRR Jaime\QUIFA-CAJÚA\Cajua\[VAS_CAJUA_CF_SEC_20230125.xlsx]CF PRBDP'!</v>
      </c>
      <c r="G3047" s="6" t="s">
        <v>43</v>
      </c>
      <c r="H3047" s="1"/>
      <c r="I3047" s="1"/>
    </row>
    <row r="3048" spans="1:10" x14ac:dyDescent="0.25">
      <c r="A3048" s="6" t="s">
        <v>99</v>
      </c>
      <c r="B3048" s="6">
        <f t="shared" si="700"/>
        <v>2029</v>
      </c>
      <c r="C3048" s="1" t="s">
        <v>42</v>
      </c>
      <c r="D3048" s="2" t="s">
        <v>128</v>
      </c>
      <c r="E3048" s="9" t="str">
        <f t="shared" si="698"/>
        <v>PRBDP'!</v>
      </c>
      <c r="F3048" s="5" t="str">
        <f t="shared" si="699"/>
        <v>C:\Users\jaime.benazar\Quorum Business Solutions\Ecopetrol Prometeo - Documents\Planning Space Implementation\3. Analysis &amp; Design\Design\FC22\DRR Jaime\QUIFA-CAJÚA\Cajua\[VAS_CAJUA_CF_SEC_20230125.xlsx]CF PRBDP'!</v>
      </c>
      <c r="G3048" s="6" t="s">
        <v>43</v>
      </c>
      <c r="H3048" s="1"/>
      <c r="I3048" s="1"/>
    </row>
    <row r="3049" spans="1:10" x14ac:dyDescent="0.25">
      <c r="A3049" s="6" t="s">
        <v>99</v>
      </c>
      <c r="B3049" s="6">
        <f t="shared" si="700"/>
        <v>2030</v>
      </c>
      <c r="C3049" s="1" t="s">
        <v>42</v>
      </c>
      <c r="D3049" s="2" t="s">
        <v>128</v>
      </c>
      <c r="E3049" s="9" t="str">
        <f t="shared" si="698"/>
        <v>PRBDP'!</v>
      </c>
      <c r="F3049" s="5" t="str">
        <f t="shared" si="699"/>
        <v>C:\Users\jaime.benazar\Quorum Business Solutions\Ecopetrol Prometeo - Documents\Planning Space Implementation\3. Analysis &amp; Design\Design\FC22\DRR Jaime\QUIFA-CAJÚA\Cajua\[VAS_CAJUA_CF_SEC_20230125.xlsx]CF PRBDP'!</v>
      </c>
      <c r="G3049" s="6" t="s">
        <v>43</v>
      </c>
      <c r="H3049" s="1"/>
      <c r="I3049" s="1"/>
    </row>
    <row r="3050" spans="1:10" x14ac:dyDescent="0.25">
      <c r="A3050" s="6" t="s">
        <v>99</v>
      </c>
      <c r="B3050" s="6">
        <f t="shared" si="700"/>
        <v>2031</v>
      </c>
      <c r="C3050" s="1" t="s">
        <v>42</v>
      </c>
      <c r="D3050" s="2" t="s">
        <v>128</v>
      </c>
      <c r="E3050" s="9" t="str">
        <f t="shared" si="698"/>
        <v>PRBDP'!</v>
      </c>
      <c r="F3050" s="5" t="str">
        <f t="shared" si="699"/>
        <v>C:\Users\jaime.benazar\Quorum Business Solutions\Ecopetrol Prometeo - Documents\Planning Space Implementation\3. Analysis &amp; Design\Design\FC22\DRR Jaime\QUIFA-CAJÚA\Cajua\[VAS_CAJUA_CF_SEC_20230125.xlsx]CF PRBDP'!</v>
      </c>
      <c r="G3050" s="6" t="s">
        <v>43</v>
      </c>
      <c r="H3050" s="1"/>
      <c r="I3050" s="1"/>
    </row>
    <row r="3051" spans="1:10" x14ac:dyDescent="0.25">
      <c r="A3051" s="6" t="s">
        <v>99</v>
      </c>
      <c r="B3051" s="6">
        <f t="shared" si="700"/>
        <v>2032</v>
      </c>
      <c r="C3051" s="1" t="s">
        <v>42</v>
      </c>
      <c r="D3051" s="2" t="s">
        <v>128</v>
      </c>
      <c r="E3051" s="9" t="str">
        <f t="shared" si="698"/>
        <v>PRBDP'!</v>
      </c>
      <c r="F3051" s="5" t="str">
        <f t="shared" si="699"/>
        <v>C:\Users\jaime.benazar\Quorum Business Solutions\Ecopetrol Prometeo - Documents\Planning Space Implementation\3. Analysis &amp; Design\Design\FC22\DRR Jaime\QUIFA-CAJÚA\Cajua\[VAS_CAJUA_CF_SEC_20230125.xlsx]CF PRBDP'!</v>
      </c>
      <c r="G3051" s="6" t="s">
        <v>43</v>
      </c>
      <c r="H3051" s="1"/>
      <c r="I3051" s="1"/>
    </row>
    <row r="3052" spans="1:10" x14ac:dyDescent="0.25">
      <c r="A3052" s="6" t="s">
        <v>99</v>
      </c>
      <c r="B3052" s="6">
        <f t="shared" si="700"/>
        <v>2033</v>
      </c>
      <c r="C3052" s="1" t="s">
        <v>42</v>
      </c>
      <c r="D3052" s="2" t="s">
        <v>128</v>
      </c>
      <c r="E3052" s="9" t="str">
        <f t="shared" si="698"/>
        <v>PRBDP'!</v>
      </c>
      <c r="F3052" s="5" t="str">
        <f t="shared" si="699"/>
        <v>C:\Users\jaime.benazar\Quorum Business Solutions\Ecopetrol Prometeo - Documents\Planning Space Implementation\3. Analysis &amp; Design\Design\FC22\DRR Jaime\QUIFA-CAJÚA\Cajua\[VAS_CAJUA_CF_SEC_20230125.xlsx]CF PRBDP'!</v>
      </c>
      <c r="G3052" s="6" t="s">
        <v>43</v>
      </c>
      <c r="H3052" s="1"/>
      <c r="I3052" s="1"/>
    </row>
    <row r="3053" spans="1:10" x14ac:dyDescent="0.25">
      <c r="A3053" s="6" t="s">
        <v>99</v>
      </c>
      <c r="B3053" s="6">
        <f t="shared" si="700"/>
        <v>2034</v>
      </c>
      <c r="C3053" s="1" t="s">
        <v>42</v>
      </c>
      <c r="D3053" s="2" t="s">
        <v>128</v>
      </c>
      <c r="E3053" s="9" t="str">
        <f t="shared" si="698"/>
        <v>PRBDP'!</v>
      </c>
      <c r="F3053" s="5" t="str">
        <f t="shared" si="699"/>
        <v>C:\Users\jaime.benazar\Quorum Business Solutions\Ecopetrol Prometeo - Documents\Planning Space Implementation\3. Analysis &amp; Design\Design\FC22\DRR Jaime\QUIFA-CAJÚA\Cajua\[VAS_CAJUA_CF_SEC_20230125.xlsx]CF PRBDP'!</v>
      </c>
      <c r="G3053" s="6" t="s">
        <v>43</v>
      </c>
      <c r="H3053" s="1"/>
      <c r="I3053" s="1"/>
    </row>
    <row r="3054" spans="1:10" x14ac:dyDescent="0.25">
      <c r="A3054" s="6" t="s">
        <v>99</v>
      </c>
      <c r="B3054" s="6">
        <f t="shared" si="700"/>
        <v>2035</v>
      </c>
      <c r="C3054" s="1" t="s">
        <v>42</v>
      </c>
      <c r="D3054" s="2" t="s">
        <v>128</v>
      </c>
      <c r="E3054" s="9" t="str">
        <f t="shared" si="698"/>
        <v>PRBDP'!</v>
      </c>
      <c r="F3054" s="5" t="str">
        <f t="shared" si="699"/>
        <v>C:\Users\jaime.benazar\Quorum Business Solutions\Ecopetrol Prometeo - Documents\Planning Space Implementation\3. Analysis &amp; Design\Design\FC22\DRR Jaime\QUIFA-CAJÚA\Cajua\[VAS_CAJUA_CF_SEC_20230125.xlsx]CF PRBDP'!</v>
      </c>
      <c r="G3054" s="6" t="s">
        <v>43</v>
      </c>
      <c r="H3054" s="1"/>
      <c r="I3054" s="1"/>
    </row>
    <row r="3055" spans="1:10" x14ac:dyDescent="0.25">
      <c r="A3055" s="6" t="s">
        <v>99</v>
      </c>
      <c r="B3055" s="6">
        <f t="shared" si="700"/>
        <v>2036</v>
      </c>
      <c r="C3055" s="1" t="s">
        <v>42</v>
      </c>
      <c r="D3055" s="2" t="s">
        <v>128</v>
      </c>
      <c r="E3055" s="9" t="str">
        <f t="shared" si="698"/>
        <v>PRBDP'!</v>
      </c>
      <c r="F3055" s="5" t="str">
        <f t="shared" si="699"/>
        <v>C:\Users\jaime.benazar\Quorum Business Solutions\Ecopetrol Prometeo - Documents\Planning Space Implementation\3. Analysis &amp; Design\Design\FC22\DRR Jaime\QUIFA-CAJÚA\Cajua\[VAS_CAJUA_CF_SEC_20230125.xlsx]CF PRBDP'!</v>
      </c>
      <c r="G3055" s="6" t="s">
        <v>43</v>
      </c>
      <c r="H3055" s="1"/>
      <c r="I3055" s="1"/>
    </row>
    <row r="3056" spans="1:10" x14ac:dyDescent="0.25">
      <c r="A3056" s="6" t="s">
        <v>99</v>
      </c>
      <c r="B3056" s="6">
        <f>+B3055+1</f>
        <v>2037</v>
      </c>
      <c r="C3056" s="1" t="s">
        <v>42</v>
      </c>
      <c r="D3056" s="2" t="s">
        <v>128</v>
      </c>
      <c r="E3056" s="9" t="str">
        <f t="shared" si="698"/>
        <v>PRBDP'!</v>
      </c>
      <c r="F3056" s="5" t="str">
        <f t="shared" si="699"/>
        <v>C:\Users\jaime.benazar\Quorum Business Solutions\Ecopetrol Prometeo - Documents\Planning Space Implementation\3. Analysis &amp; Design\Design\FC22\DRR Jaime\QUIFA-CAJÚA\Cajua\[VAS_CAJUA_CF_SEC_20230125.xlsx]CF PRBDP'!</v>
      </c>
      <c r="G3056" s="6" t="s">
        <v>43</v>
      </c>
      <c r="H3056" s="1"/>
      <c r="I3056" s="1"/>
    </row>
    <row r="3057" spans="1:9" x14ac:dyDescent="0.25">
      <c r="A3057" s="6" t="s">
        <v>99</v>
      </c>
      <c r="B3057" s="6">
        <f t="shared" ref="B3057:B3059" si="701">+B3056+1</f>
        <v>2038</v>
      </c>
      <c r="C3057" s="1" t="s">
        <v>42</v>
      </c>
      <c r="D3057" s="2" t="s">
        <v>128</v>
      </c>
      <c r="E3057" s="9" t="str">
        <f t="shared" si="698"/>
        <v>PRBDP'!</v>
      </c>
      <c r="F3057" s="5" t="str">
        <f t="shared" si="699"/>
        <v>C:\Users\jaime.benazar\Quorum Business Solutions\Ecopetrol Prometeo - Documents\Planning Space Implementation\3. Analysis &amp; Design\Design\FC22\DRR Jaime\QUIFA-CAJÚA\Cajua\[VAS_CAJUA_CF_SEC_20230125.xlsx]CF PRBDP'!</v>
      </c>
      <c r="G3057" s="6" t="s">
        <v>43</v>
      </c>
      <c r="H3057" s="1"/>
      <c r="I3057" s="1"/>
    </row>
    <row r="3058" spans="1:9" x14ac:dyDescent="0.25">
      <c r="A3058" s="6" t="s">
        <v>99</v>
      </c>
      <c r="B3058" s="6">
        <f t="shared" si="701"/>
        <v>2039</v>
      </c>
      <c r="C3058" s="1" t="s">
        <v>42</v>
      </c>
      <c r="D3058" s="2" t="s">
        <v>128</v>
      </c>
      <c r="E3058" s="9" t="str">
        <f t="shared" si="698"/>
        <v>PRBDP'!</v>
      </c>
      <c r="F3058" s="5" t="str">
        <f t="shared" si="699"/>
        <v>C:\Users\jaime.benazar\Quorum Business Solutions\Ecopetrol Prometeo - Documents\Planning Space Implementation\3. Analysis &amp; Design\Design\FC22\DRR Jaime\QUIFA-CAJÚA\Cajua\[VAS_CAJUA_CF_SEC_20230125.xlsx]CF PRBDP'!</v>
      </c>
      <c r="G3058" s="6" t="s">
        <v>43</v>
      </c>
      <c r="H3058" s="1"/>
      <c r="I3058" s="1"/>
    </row>
    <row r="3059" spans="1:9" x14ac:dyDescent="0.25">
      <c r="A3059" s="6" t="s">
        <v>99</v>
      </c>
      <c r="B3059" s="6">
        <f t="shared" si="701"/>
        <v>2040</v>
      </c>
      <c r="C3059" s="1" t="s">
        <v>42</v>
      </c>
      <c r="D3059" s="2" t="s">
        <v>128</v>
      </c>
      <c r="E3059" s="9" t="str">
        <f t="shared" si="698"/>
        <v>PRBDP'!</v>
      </c>
      <c r="F3059" s="5" t="str">
        <f t="shared" si="699"/>
        <v>C:\Users\jaime.benazar\Quorum Business Solutions\Ecopetrol Prometeo - Documents\Planning Space Implementation\3. Analysis &amp; Design\Design\FC22\DRR Jaime\QUIFA-CAJÚA\Cajua\[VAS_CAJUA_CF_SEC_20230125.xlsx]CF PRBDP'!</v>
      </c>
      <c r="G3059" s="6" t="s">
        <v>43</v>
      </c>
      <c r="H3059" s="1"/>
      <c r="I3059" s="1"/>
    </row>
    <row r="3060" spans="1:9" x14ac:dyDescent="0.25">
      <c r="A3060" s="6" t="s">
        <v>99</v>
      </c>
      <c r="B3060" s="6">
        <f>+B3059+1</f>
        <v>2041</v>
      </c>
      <c r="C3060" s="1" t="s">
        <v>42</v>
      </c>
      <c r="D3060" s="2" t="s">
        <v>128</v>
      </c>
      <c r="E3060" s="9" t="str">
        <f t="shared" si="698"/>
        <v>PRBDP'!</v>
      </c>
      <c r="F3060" s="5" t="str">
        <f t="shared" si="699"/>
        <v>C:\Users\jaime.benazar\Quorum Business Solutions\Ecopetrol Prometeo - Documents\Planning Space Implementation\3. Analysis &amp; Design\Design\FC22\DRR Jaime\QUIFA-CAJÚA\Cajua\[VAS_CAJUA_CF_SEC_20230125.xlsx]CF PRBDP'!</v>
      </c>
      <c r="G3060" s="6" t="s">
        <v>43</v>
      </c>
      <c r="H3060" s="1"/>
      <c r="I3060" s="1"/>
    </row>
    <row r="3061" spans="1:9" x14ac:dyDescent="0.25">
      <c r="A3061" s="6" t="s">
        <v>99</v>
      </c>
      <c r="B3061" s="6">
        <f t="shared" ref="B3061:B3062" si="702">+B3060+1</f>
        <v>2042</v>
      </c>
      <c r="C3061" s="1" t="s">
        <v>42</v>
      </c>
      <c r="D3061" s="2" t="s">
        <v>128</v>
      </c>
      <c r="E3061" s="9" t="str">
        <f t="shared" si="698"/>
        <v>PRBDP'!</v>
      </c>
      <c r="F3061" s="5" t="str">
        <f t="shared" si="699"/>
        <v>C:\Users\jaime.benazar\Quorum Business Solutions\Ecopetrol Prometeo - Documents\Planning Space Implementation\3. Analysis &amp; Design\Design\FC22\DRR Jaime\QUIFA-CAJÚA\Cajua\[VAS_CAJUA_CF_SEC_20230125.xlsx]CF PRBDP'!</v>
      </c>
      <c r="G3061" s="6" t="s">
        <v>43</v>
      </c>
      <c r="H3061" s="1"/>
      <c r="I3061" s="1"/>
    </row>
    <row r="3062" spans="1:9" x14ac:dyDescent="0.25">
      <c r="A3062" s="6" t="s">
        <v>99</v>
      </c>
      <c r="B3062" s="6">
        <f t="shared" si="702"/>
        <v>2043</v>
      </c>
      <c r="C3062" s="1" t="s">
        <v>42</v>
      </c>
      <c r="D3062" s="2" t="s">
        <v>128</v>
      </c>
      <c r="E3062" s="9" t="str">
        <f t="shared" si="698"/>
        <v>PRBDP'!</v>
      </c>
      <c r="F3062" s="5" t="str">
        <f t="shared" si="699"/>
        <v>C:\Users\jaime.benazar\Quorum Business Solutions\Ecopetrol Prometeo - Documents\Planning Space Implementation\3. Analysis &amp; Design\Design\FC22\DRR Jaime\QUIFA-CAJÚA\Cajua\[VAS_CAJUA_CF_SEC_20230125.xlsx]CF PRBDP'!</v>
      </c>
      <c r="G3062" s="6" t="s">
        <v>43</v>
      </c>
      <c r="H3062" s="1"/>
      <c r="I3062" s="1"/>
    </row>
    <row r="3063" spans="1:9" x14ac:dyDescent="0.25">
      <c r="A3063" s="6" t="s">
        <v>99</v>
      </c>
      <c r="B3063" s="6">
        <f>+B3062+1</f>
        <v>2044</v>
      </c>
      <c r="C3063" s="1" t="s">
        <v>42</v>
      </c>
      <c r="D3063" s="2" t="s">
        <v>128</v>
      </c>
      <c r="E3063" s="9" t="str">
        <f t="shared" ref="E3063:E3078" si="703">_xlfn.CONCAT(A3063,"'!")</f>
        <v>PRBDP'!</v>
      </c>
      <c r="F3063" s="5" t="str">
        <f t="shared" ref="F3063:F3078" si="704">_xlfn.CONCAT(D3063," ",E3063)</f>
        <v>C:\Users\jaime.benazar\Quorum Business Solutions\Ecopetrol Prometeo - Documents\Planning Space Implementation\3. Analysis &amp; Design\Design\FC22\DRR Jaime\QUIFA-CAJÚA\Cajua\[VAS_CAJUA_CF_SEC_20230125.xlsx]CF PRBDP'!</v>
      </c>
      <c r="G3063" s="6" t="s">
        <v>43</v>
      </c>
      <c r="H3063" s="1"/>
      <c r="I3063" s="1"/>
    </row>
    <row r="3064" spans="1:9" x14ac:dyDescent="0.25">
      <c r="A3064" s="6" t="s">
        <v>99</v>
      </c>
      <c r="B3064" s="6">
        <f t="shared" ref="B3064:B3078" si="705">+B3063+1</f>
        <v>2045</v>
      </c>
      <c r="C3064" s="1" t="s">
        <v>42</v>
      </c>
      <c r="D3064" s="2" t="s">
        <v>128</v>
      </c>
      <c r="E3064" s="9" t="str">
        <f t="shared" si="703"/>
        <v>PRBDP'!</v>
      </c>
      <c r="F3064" s="5" t="str">
        <f t="shared" si="704"/>
        <v>C:\Users\jaime.benazar\Quorum Business Solutions\Ecopetrol Prometeo - Documents\Planning Space Implementation\3. Analysis &amp; Design\Design\FC22\DRR Jaime\QUIFA-CAJÚA\Cajua\[VAS_CAJUA_CF_SEC_20230125.xlsx]CF PRBDP'!</v>
      </c>
      <c r="G3064" s="6" t="s">
        <v>43</v>
      </c>
      <c r="H3064" s="1"/>
      <c r="I3064" s="1"/>
    </row>
    <row r="3065" spans="1:9" x14ac:dyDescent="0.25">
      <c r="A3065" s="6" t="s">
        <v>99</v>
      </c>
      <c r="B3065" s="6">
        <f t="shared" si="705"/>
        <v>2046</v>
      </c>
      <c r="C3065" s="1" t="s">
        <v>42</v>
      </c>
      <c r="D3065" s="2" t="s">
        <v>128</v>
      </c>
      <c r="E3065" s="9" t="str">
        <f t="shared" si="703"/>
        <v>PRBDP'!</v>
      </c>
      <c r="F3065" s="5" t="str">
        <f t="shared" si="704"/>
        <v>C:\Users\jaime.benazar\Quorum Business Solutions\Ecopetrol Prometeo - Documents\Planning Space Implementation\3. Analysis &amp; Design\Design\FC22\DRR Jaime\QUIFA-CAJÚA\Cajua\[VAS_CAJUA_CF_SEC_20230125.xlsx]CF PRBDP'!</v>
      </c>
      <c r="G3065" s="6" t="s">
        <v>43</v>
      </c>
      <c r="H3065" s="1"/>
      <c r="I3065" s="1"/>
    </row>
    <row r="3066" spans="1:9" x14ac:dyDescent="0.25">
      <c r="A3066" s="6" t="s">
        <v>99</v>
      </c>
      <c r="B3066" s="6">
        <f t="shared" si="705"/>
        <v>2047</v>
      </c>
      <c r="C3066" s="1" t="s">
        <v>42</v>
      </c>
      <c r="D3066" s="2" t="s">
        <v>128</v>
      </c>
      <c r="E3066" s="9" t="str">
        <f t="shared" si="703"/>
        <v>PRBDP'!</v>
      </c>
      <c r="F3066" s="5" t="str">
        <f t="shared" si="704"/>
        <v>C:\Users\jaime.benazar\Quorum Business Solutions\Ecopetrol Prometeo - Documents\Planning Space Implementation\3. Analysis &amp; Design\Design\FC22\DRR Jaime\QUIFA-CAJÚA\Cajua\[VAS_CAJUA_CF_SEC_20230125.xlsx]CF PRBDP'!</v>
      </c>
      <c r="G3066" s="6" t="s">
        <v>43</v>
      </c>
      <c r="H3066" s="1"/>
      <c r="I3066" s="1"/>
    </row>
    <row r="3067" spans="1:9" x14ac:dyDescent="0.25">
      <c r="A3067" s="6" t="s">
        <v>99</v>
      </c>
      <c r="B3067" s="6">
        <f t="shared" si="705"/>
        <v>2048</v>
      </c>
      <c r="C3067" s="1" t="s">
        <v>42</v>
      </c>
      <c r="D3067" s="2" t="s">
        <v>128</v>
      </c>
      <c r="E3067" s="9" t="str">
        <f t="shared" si="703"/>
        <v>PRBDP'!</v>
      </c>
      <c r="F3067" s="5" t="str">
        <f t="shared" si="704"/>
        <v>C:\Users\jaime.benazar\Quorum Business Solutions\Ecopetrol Prometeo - Documents\Planning Space Implementation\3. Analysis &amp; Design\Design\FC22\DRR Jaime\QUIFA-CAJÚA\Cajua\[VAS_CAJUA_CF_SEC_20230125.xlsx]CF PRBDP'!</v>
      </c>
      <c r="G3067" s="6" t="s">
        <v>43</v>
      </c>
      <c r="H3067" s="1"/>
      <c r="I3067" s="1"/>
    </row>
    <row r="3068" spans="1:9" x14ac:dyDescent="0.25">
      <c r="A3068" s="6" t="s">
        <v>99</v>
      </c>
      <c r="B3068" s="6">
        <f t="shared" si="705"/>
        <v>2049</v>
      </c>
      <c r="C3068" s="1" t="s">
        <v>42</v>
      </c>
      <c r="D3068" s="2" t="s">
        <v>128</v>
      </c>
      <c r="E3068" s="9" t="str">
        <f t="shared" si="703"/>
        <v>PRBDP'!</v>
      </c>
      <c r="F3068" s="5" t="str">
        <f t="shared" si="704"/>
        <v>C:\Users\jaime.benazar\Quorum Business Solutions\Ecopetrol Prometeo - Documents\Planning Space Implementation\3. Analysis &amp; Design\Design\FC22\DRR Jaime\QUIFA-CAJÚA\Cajua\[VAS_CAJUA_CF_SEC_20230125.xlsx]CF PRBDP'!</v>
      </c>
      <c r="G3068" s="6" t="s">
        <v>43</v>
      </c>
      <c r="H3068" s="1"/>
      <c r="I3068" s="1"/>
    </row>
    <row r="3069" spans="1:9" x14ac:dyDescent="0.25">
      <c r="A3069" s="6" t="s">
        <v>99</v>
      </c>
      <c r="B3069" s="6">
        <f t="shared" si="705"/>
        <v>2050</v>
      </c>
      <c r="C3069" s="1" t="s">
        <v>42</v>
      </c>
      <c r="D3069" s="2" t="s">
        <v>128</v>
      </c>
      <c r="E3069" s="9" t="str">
        <f t="shared" si="703"/>
        <v>PRBDP'!</v>
      </c>
      <c r="F3069" s="5" t="str">
        <f t="shared" si="704"/>
        <v>C:\Users\jaime.benazar\Quorum Business Solutions\Ecopetrol Prometeo - Documents\Planning Space Implementation\3. Analysis &amp; Design\Design\FC22\DRR Jaime\QUIFA-CAJÚA\Cajua\[VAS_CAJUA_CF_SEC_20230125.xlsx]CF PRBDP'!</v>
      </c>
      <c r="G3069" s="6" t="s">
        <v>43</v>
      </c>
      <c r="H3069" s="1"/>
      <c r="I3069" s="1"/>
    </row>
    <row r="3070" spans="1:9" x14ac:dyDescent="0.25">
      <c r="A3070" s="6" t="s">
        <v>99</v>
      </c>
      <c r="B3070" s="6">
        <f t="shared" si="705"/>
        <v>2051</v>
      </c>
      <c r="C3070" s="1" t="s">
        <v>42</v>
      </c>
      <c r="D3070" s="2" t="s">
        <v>128</v>
      </c>
      <c r="E3070" s="9" t="str">
        <f t="shared" si="703"/>
        <v>PRBDP'!</v>
      </c>
      <c r="F3070" s="5" t="str">
        <f t="shared" si="704"/>
        <v>C:\Users\jaime.benazar\Quorum Business Solutions\Ecopetrol Prometeo - Documents\Planning Space Implementation\3. Analysis &amp; Design\Design\FC22\DRR Jaime\QUIFA-CAJÚA\Cajua\[VAS_CAJUA_CF_SEC_20230125.xlsx]CF PRBDP'!</v>
      </c>
      <c r="G3070" s="6" t="s">
        <v>43</v>
      </c>
      <c r="H3070" s="1"/>
      <c r="I3070" s="1"/>
    </row>
    <row r="3071" spans="1:9" x14ac:dyDescent="0.25">
      <c r="A3071" s="6" t="s">
        <v>99</v>
      </c>
      <c r="B3071" s="6">
        <f t="shared" si="705"/>
        <v>2052</v>
      </c>
      <c r="C3071" s="1" t="s">
        <v>42</v>
      </c>
      <c r="D3071" s="2" t="s">
        <v>128</v>
      </c>
      <c r="E3071" s="9" t="str">
        <f t="shared" si="703"/>
        <v>PRBDP'!</v>
      </c>
      <c r="F3071" s="5" t="str">
        <f t="shared" si="704"/>
        <v>C:\Users\jaime.benazar\Quorum Business Solutions\Ecopetrol Prometeo - Documents\Planning Space Implementation\3. Analysis &amp; Design\Design\FC22\DRR Jaime\QUIFA-CAJÚA\Cajua\[VAS_CAJUA_CF_SEC_20230125.xlsx]CF PRBDP'!</v>
      </c>
      <c r="G3071" s="6" t="s">
        <v>43</v>
      </c>
      <c r="H3071" s="1"/>
      <c r="I3071" s="1"/>
    </row>
    <row r="3072" spans="1:9" x14ac:dyDescent="0.25">
      <c r="A3072" s="6" t="s">
        <v>99</v>
      </c>
      <c r="B3072" s="6">
        <f t="shared" si="705"/>
        <v>2053</v>
      </c>
      <c r="C3072" s="1" t="s">
        <v>42</v>
      </c>
      <c r="D3072" s="2" t="s">
        <v>128</v>
      </c>
      <c r="E3072" s="9" t="str">
        <f t="shared" si="703"/>
        <v>PRBDP'!</v>
      </c>
      <c r="F3072" s="5" t="str">
        <f t="shared" si="704"/>
        <v>C:\Users\jaime.benazar\Quorum Business Solutions\Ecopetrol Prometeo - Documents\Planning Space Implementation\3. Analysis &amp; Design\Design\FC22\DRR Jaime\QUIFA-CAJÚA\Cajua\[VAS_CAJUA_CF_SEC_20230125.xlsx]CF PRBDP'!</v>
      </c>
      <c r="G3072" s="6" t="s">
        <v>43</v>
      </c>
      <c r="H3072" s="1"/>
      <c r="I3072" s="1"/>
    </row>
    <row r="3073" spans="1:9" x14ac:dyDescent="0.25">
      <c r="A3073" s="6" t="s">
        <v>99</v>
      </c>
      <c r="B3073" s="6">
        <f t="shared" si="705"/>
        <v>2054</v>
      </c>
      <c r="C3073" s="1" t="s">
        <v>42</v>
      </c>
      <c r="D3073" s="2" t="s">
        <v>128</v>
      </c>
      <c r="E3073" s="9" t="str">
        <f t="shared" si="703"/>
        <v>PRBDP'!</v>
      </c>
      <c r="F3073" s="5" t="str">
        <f t="shared" si="704"/>
        <v>C:\Users\jaime.benazar\Quorum Business Solutions\Ecopetrol Prometeo - Documents\Planning Space Implementation\3. Analysis &amp; Design\Design\FC22\DRR Jaime\QUIFA-CAJÚA\Cajua\[VAS_CAJUA_CF_SEC_20230125.xlsx]CF PRBDP'!</v>
      </c>
      <c r="G3073" s="6" t="s">
        <v>43</v>
      </c>
      <c r="H3073" s="1"/>
      <c r="I3073" s="1"/>
    </row>
    <row r="3074" spans="1:9" x14ac:dyDescent="0.25">
      <c r="A3074" s="6" t="s">
        <v>99</v>
      </c>
      <c r="B3074" s="6">
        <f t="shared" si="705"/>
        <v>2055</v>
      </c>
      <c r="C3074" s="1" t="s">
        <v>42</v>
      </c>
      <c r="D3074" s="2" t="s">
        <v>128</v>
      </c>
      <c r="E3074" s="9" t="str">
        <f t="shared" si="703"/>
        <v>PRBDP'!</v>
      </c>
      <c r="F3074" s="5" t="str">
        <f t="shared" si="704"/>
        <v>C:\Users\jaime.benazar\Quorum Business Solutions\Ecopetrol Prometeo - Documents\Planning Space Implementation\3. Analysis &amp; Design\Design\FC22\DRR Jaime\QUIFA-CAJÚA\Cajua\[VAS_CAJUA_CF_SEC_20230125.xlsx]CF PRBDP'!</v>
      </c>
      <c r="G3074" s="6" t="s">
        <v>43</v>
      </c>
      <c r="H3074" s="1"/>
      <c r="I3074" s="1"/>
    </row>
    <row r="3075" spans="1:9" x14ac:dyDescent="0.25">
      <c r="A3075" s="6" t="s">
        <v>99</v>
      </c>
      <c r="B3075" s="6">
        <f t="shared" si="705"/>
        <v>2056</v>
      </c>
      <c r="C3075" s="1" t="s">
        <v>42</v>
      </c>
      <c r="D3075" s="2" t="s">
        <v>128</v>
      </c>
      <c r="E3075" s="9" t="str">
        <f t="shared" si="703"/>
        <v>PRBDP'!</v>
      </c>
      <c r="F3075" s="5" t="str">
        <f t="shared" si="704"/>
        <v>C:\Users\jaime.benazar\Quorum Business Solutions\Ecopetrol Prometeo - Documents\Planning Space Implementation\3. Analysis &amp; Design\Design\FC22\DRR Jaime\QUIFA-CAJÚA\Cajua\[VAS_CAJUA_CF_SEC_20230125.xlsx]CF PRBDP'!</v>
      </c>
      <c r="G3075" s="6" t="s">
        <v>43</v>
      </c>
      <c r="H3075" s="1"/>
      <c r="I3075" s="1"/>
    </row>
    <row r="3076" spans="1:9" x14ac:dyDescent="0.25">
      <c r="A3076" s="6" t="s">
        <v>99</v>
      </c>
      <c r="B3076" s="6">
        <f t="shared" si="705"/>
        <v>2057</v>
      </c>
      <c r="C3076" s="1" t="s">
        <v>42</v>
      </c>
      <c r="D3076" s="2" t="s">
        <v>128</v>
      </c>
      <c r="E3076" s="9" t="str">
        <f t="shared" si="703"/>
        <v>PRBDP'!</v>
      </c>
      <c r="F3076" s="5" t="str">
        <f t="shared" si="704"/>
        <v>C:\Users\jaime.benazar\Quorum Business Solutions\Ecopetrol Prometeo - Documents\Planning Space Implementation\3. Analysis &amp; Design\Design\FC22\DRR Jaime\QUIFA-CAJÚA\Cajua\[VAS_CAJUA_CF_SEC_20230125.xlsx]CF PRBDP'!</v>
      </c>
      <c r="G3076" s="6" t="s">
        <v>43</v>
      </c>
      <c r="H3076" s="1"/>
      <c r="I3076" s="1"/>
    </row>
    <row r="3077" spans="1:9" x14ac:dyDescent="0.25">
      <c r="A3077" s="6" t="s">
        <v>99</v>
      </c>
      <c r="B3077" s="6">
        <f t="shared" si="705"/>
        <v>2058</v>
      </c>
      <c r="C3077" s="1" t="s">
        <v>42</v>
      </c>
      <c r="D3077" s="2" t="s">
        <v>128</v>
      </c>
      <c r="E3077" s="9" t="str">
        <f t="shared" si="703"/>
        <v>PRBDP'!</v>
      </c>
      <c r="F3077" s="5" t="str">
        <f t="shared" si="704"/>
        <v>C:\Users\jaime.benazar\Quorum Business Solutions\Ecopetrol Prometeo - Documents\Planning Space Implementation\3. Analysis &amp; Design\Design\FC22\DRR Jaime\QUIFA-CAJÚA\Cajua\[VAS_CAJUA_CF_SEC_20230125.xlsx]CF PRBDP'!</v>
      </c>
      <c r="G3077" s="6" t="s">
        <v>43</v>
      </c>
      <c r="H3077" s="1"/>
      <c r="I3077" s="1"/>
    </row>
    <row r="3078" spans="1:9" x14ac:dyDescent="0.25">
      <c r="A3078" s="6" t="s">
        <v>99</v>
      </c>
      <c r="B3078" s="6">
        <f t="shared" si="705"/>
        <v>2059</v>
      </c>
      <c r="C3078" s="1" t="s">
        <v>42</v>
      </c>
      <c r="D3078" s="2" t="s">
        <v>128</v>
      </c>
      <c r="E3078" s="9" t="str">
        <f t="shared" si="703"/>
        <v>PRBDP'!</v>
      </c>
      <c r="F3078" s="5" t="str">
        <f t="shared" si="704"/>
        <v>C:\Users\jaime.benazar\Quorum Business Solutions\Ecopetrol Prometeo - Documents\Planning Space Implementation\3. Analysis &amp; Design\Design\FC22\DRR Jaime\QUIFA-CAJÚA\Cajua\[VAS_CAJUA_CF_SEC_20230125.xlsx]CF PRBDP'!</v>
      </c>
      <c r="G3078" s="6" t="s">
        <v>43</v>
      </c>
      <c r="H3078" s="1"/>
      <c r="I3078" s="1"/>
    </row>
    <row r="3079" spans="1:9" x14ac:dyDescent="0.25">
      <c r="A3079" s="7" t="s">
        <v>28</v>
      </c>
      <c r="B3079" s="6"/>
      <c r="C3079" s="1" t="s">
        <v>42</v>
      </c>
      <c r="D3079" s="2"/>
      <c r="E3079" s="9"/>
      <c r="F3079" s="5"/>
      <c r="G3079" s="6"/>
      <c r="H3079" s="1"/>
      <c r="I3079" s="1"/>
    </row>
    <row r="3080" spans="1:9" x14ac:dyDescent="0.25">
      <c r="A3080" s="6" t="s">
        <v>100</v>
      </c>
      <c r="B3080" s="6">
        <v>2023</v>
      </c>
      <c r="C3080" s="1" t="s">
        <v>42</v>
      </c>
      <c r="D3080" s="2" t="s">
        <v>128</v>
      </c>
      <c r="E3080" s="9" t="str">
        <f t="shared" ref="E3080:E3100" si="706">_xlfn.CONCAT(A3080,"'!")</f>
        <v>PRBNP'!</v>
      </c>
      <c r="F3080" s="5" t="str">
        <f t="shared" ref="F3080:F3100" si="707">_xlfn.CONCAT(D3080," ",E3080)</f>
        <v>C:\Users\jaime.benazar\Quorum Business Solutions\Ecopetrol Prometeo - Documents\Planning Space Implementation\3. Analysis &amp; Design\Design\FC22\DRR Jaime\QUIFA-CAJÚA\Cajua\[VAS_CAJUA_CF_SEC_20230125.xlsx]CF PRBNP'!</v>
      </c>
      <c r="G3080" s="6" t="s">
        <v>43</v>
      </c>
      <c r="H3080" s="1"/>
      <c r="I3080" s="1"/>
    </row>
    <row r="3081" spans="1:9" x14ac:dyDescent="0.25">
      <c r="A3081" s="6" t="s">
        <v>100</v>
      </c>
      <c r="B3081" s="6">
        <f>+B3080+1</f>
        <v>2024</v>
      </c>
      <c r="C3081" s="1" t="s">
        <v>42</v>
      </c>
      <c r="D3081" s="2" t="s">
        <v>128</v>
      </c>
      <c r="E3081" s="9" t="str">
        <f t="shared" si="706"/>
        <v>PRBNP'!</v>
      </c>
      <c r="F3081" s="5" t="str">
        <f t="shared" si="707"/>
        <v>C:\Users\jaime.benazar\Quorum Business Solutions\Ecopetrol Prometeo - Documents\Planning Space Implementation\3. Analysis &amp; Design\Design\FC22\DRR Jaime\QUIFA-CAJÚA\Cajua\[VAS_CAJUA_CF_SEC_20230125.xlsx]CF PRBNP'!</v>
      </c>
      <c r="G3081" s="6" t="s">
        <v>43</v>
      </c>
      <c r="H3081" s="1"/>
      <c r="I3081" s="1"/>
    </row>
    <row r="3082" spans="1:9" x14ac:dyDescent="0.25">
      <c r="A3082" s="6" t="s">
        <v>100</v>
      </c>
      <c r="B3082" s="6">
        <f t="shared" ref="B3082:B3093" si="708">+B3081+1</f>
        <v>2025</v>
      </c>
      <c r="C3082" s="1" t="s">
        <v>42</v>
      </c>
      <c r="D3082" s="2" t="s">
        <v>128</v>
      </c>
      <c r="E3082" s="9" t="str">
        <f t="shared" si="706"/>
        <v>PRBNP'!</v>
      </c>
      <c r="F3082" s="5" t="str">
        <f t="shared" si="707"/>
        <v>C:\Users\jaime.benazar\Quorum Business Solutions\Ecopetrol Prometeo - Documents\Planning Space Implementation\3. Analysis &amp; Design\Design\FC22\DRR Jaime\QUIFA-CAJÚA\Cajua\[VAS_CAJUA_CF_SEC_20230125.xlsx]CF PRBNP'!</v>
      </c>
      <c r="G3082" s="6" t="s">
        <v>43</v>
      </c>
      <c r="H3082" s="1"/>
      <c r="I3082" s="1"/>
    </row>
    <row r="3083" spans="1:9" x14ac:dyDescent="0.25">
      <c r="A3083" s="6" t="s">
        <v>100</v>
      </c>
      <c r="B3083" s="6">
        <f t="shared" si="708"/>
        <v>2026</v>
      </c>
      <c r="C3083" s="1" t="s">
        <v>42</v>
      </c>
      <c r="D3083" s="2" t="s">
        <v>128</v>
      </c>
      <c r="E3083" s="9" t="str">
        <f t="shared" si="706"/>
        <v>PRBNP'!</v>
      </c>
      <c r="F3083" s="5" t="str">
        <f t="shared" si="707"/>
        <v>C:\Users\jaime.benazar\Quorum Business Solutions\Ecopetrol Prometeo - Documents\Planning Space Implementation\3. Analysis &amp; Design\Design\FC22\DRR Jaime\QUIFA-CAJÚA\Cajua\[VAS_CAJUA_CF_SEC_20230125.xlsx]CF PRBNP'!</v>
      </c>
      <c r="G3083" s="6" t="s">
        <v>43</v>
      </c>
      <c r="H3083" s="1"/>
      <c r="I3083" s="1"/>
    </row>
    <row r="3084" spans="1:9" x14ac:dyDescent="0.25">
      <c r="A3084" s="6" t="s">
        <v>100</v>
      </c>
      <c r="B3084" s="6">
        <f t="shared" si="708"/>
        <v>2027</v>
      </c>
      <c r="C3084" s="1" t="s">
        <v>42</v>
      </c>
      <c r="D3084" s="2" t="s">
        <v>128</v>
      </c>
      <c r="E3084" s="9" t="str">
        <f t="shared" si="706"/>
        <v>PRBNP'!</v>
      </c>
      <c r="F3084" s="5" t="str">
        <f t="shared" si="707"/>
        <v>C:\Users\jaime.benazar\Quorum Business Solutions\Ecopetrol Prometeo - Documents\Planning Space Implementation\3. Analysis &amp; Design\Design\FC22\DRR Jaime\QUIFA-CAJÚA\Cajua\[VAS_CAJUA_CF_SEC_20230125.xlsx]CF PRBNP'!</v>
      </c>
      <c r="G3084" s="6" t="s">
        <v>43</v>
      </c>
      <c r="H3084" s="1"/>
      <c r="I3084" s="1"/>
    </row>
    <row r="3085" spans="1:9" x14ac:dyDescent="0.25">
      <c r="A3085" s="6" t="s">
        <v>100</v>
      </c>
      <c r="B3085" s="6">
        <f t="shared" si="708"/>
        <v>2028</v>
      </c>
      <c r="C3085" s="1" t="s">
        <v>42</v>
      </c>
      <c r="D3085" s="2" t="s">
        <v>128</v>
      </c>
      <c r="E3085" s="9" t="str">
        <f t="shared" si="706"/>
        <v>PRBNP'!</v>
      </c>
      <c r="F3085" s="5" t="str">
        <f t="shared" si="707"/>
        <v>C:\Users\jaime.benazar\Quorum Business Solutions\Ecopetrol Prometeo - Documents\Planning Space Implementation\3. Analysis &amp; Design\Design\FC22\DRR Jaime\QUIFA-CAJÚA\Cajua\[VAS_CAJUA_CF_SEC_20230125.xlsx]CF PRBNP'!</v>
      </c>
      <c r="G3085" s="6" t="s">
        <v>43</v>
      </c>
      <c r="H3085" s="1"/>
      <c r="I3085" s="1"/>
    </row>
    <row r="3086" spans="1:9" x14ac:dyDescent="0.25">
      <c r="A3086" s="6" t="s">
        <v>100</v>
      </c>
      <c r="B3086" s="6">
        <f t="shared" si="708"/>
        <v>2029</v>
      </c>
      <c r="C3086" s="1" t="s">
        <v>42</v>
      </c>
      <c r="D3086" s="2" t="s">
        <v>128</v>
      </c>
      <c r="E3086" s="9" t="str">
        <f t="shared" si="706"/>
        <v>PRBNP'!</v>
      </c>
      <c r="F3086" s="5" t="str">
        <f t="shared" si="707"/>
        <v>C:\Users\jaime.benazar\Quorum Business Solutions\Ecopetrol Prometeo - Documents\Planning Space Implementation\3. Analysis &amp; Design\Design\FC22\DRR Jaime\QUIFA-CAJÚA\Cajua\[VAS_CAJUA_CF_SEC_20230125.xlsx]CF PRBNP'!</v>
      </c>
      <c r="G3086" s="6" t="s">
        <v>43</v>
      </c>
      <c r="H3086" s="1"/>
      <c r="I3086" s="1"/>
    </row>
    <row r="3087" spans="1:9" x14ac:dyDescent="0.25">
      <c r="A3087" s="6" t="s">
        <v>100</v>
      </c>
      <c r="B3087" s="6">
        <f t="shared" si="708"/>
        <v>2030</v>
      </c>
      <c r="C3087" s="1" t="s">
        <v>42</v>
      </c>
      <c r="D3087" s="2" t="s">
        <v>128</v>
      </c>
      <c r="E3087" s="9" t="str">
        <f t="shared" si="706"/>
        <v>PRBNP'!</v>
      </c>
      <c r="F3087" s="5" t="str">
        <f t="shared" si="707"/>
        <v>C:\Users\jaime.benazar\Quorum Business Solutions\Ecopetrol Prometeo - Documents\Planning Space Implementation\3. Analysis &amp; Design\Design\FC22\DRR Jaime\QUIFA-CAJÚA\Cajua\[VAS_CAJUA_CF_SEC_20230125.xlsx]CF PRBNP'!</v>
      </c>
      <c r="G3087" s="6" t="s">
        <v>43</v>
      </c>
      <c r="H3087" s="1"/>
      <c r="I3087" s="1"/>
    </row>
    <row r="3088" spans="1:9" x14ac:dyDescent="0.25">
      <c r="A3088" s="6" t="s">
        <v>100</v>
      </c>
      <c r="B3088" s="6">
        <f t="shared" si="708"/>
        <v>2031</v>
      </c>
      <c r="C3088" s="1" t="s">
        <v>42</v>
      </c>
      <c r="D3088" s="2" t="s">
        <v>128</v>
      </c>
      <c r="E3088" s="9" t="str">
        <f t="shared" si="706"/>
        <v>PRBNP'!</v>
      </c>
      <c r="F3088" s="5" t="str">
        <f t="shared" si="707"/>
        <v>C:\Users\jaime.benazar\Quorum Business Solutions\Ecopetrol Prometeo - Documents\Planning Space Implementation\3. Analysis &amp; Design\Design\FC22\DRR Jaime\QUIFA-CAJÚA\Cajua\[VAS_CAJUA_CF_SEC_20230125.xlsx]CF PRBNP'!</v>
      </c>
      <c r="G3088" s="6" t="s">
        <v>43</v>
      </c>
      <c r="H3088" s="1"/>
      <c r="I3088" s="1"/>
    </row>
    <row r="3089" spans="1:9" x14ac:dyDescent="0.25">
      <c r="A3089" s="6" t="s">
        <v>100</v>
      </c>
      <c r="B3089" s="6">
        <f t="shared" si="708"/>
        <v>2032</v>
      </c>
      <c r="C3089" s="1" t="s">
        <v>42</v>
      </c>
      <c r="D3089" s="2" t="s">
        <v>128</v>
      </c>
      <c r="E3089" s="9" t="str">
        <f t="shared" si="706"/>
        <v>PRBNP'!</v>
      </c>
      <c r="F3089" s="5" t="str">
        <f t="shared" si="707"/>
        <v>C:\Users\jaime.benazar\Quorum Business Solutions\Ecopetrol Prometeo - Documents\Planning Space Implementation\3. Analysis &amp; Design\Design\FC22\DRR Jaime\QUIFA-CAJÚA\Cajua\[VAS_CAJUA_CF_SEC_20230125.xlsx]CF PRBNP'!</v>
      </c>
      <c r="G3089" s="6" t="s">
        <v>43</v>
      </c>
      <c r="H3089" s="1"/>
      <c r="I3089" s="1"/>
    </row>
    <row r="3090" spans="1:9" x14ac:dyDescent="0.25">
      <c r="A3090" s="6" t="s">
        <v>100</v>
      </c>
      <c r="B3090" s="6">
        <f t="shared" si="708"/>
        <v>2033</v>
      </c>
      <c r="C3090" s="1" t="s">
        <v>42</v>
      </c>
      <c r="D3090" s="2" t="s">
        <v>128</v>
      </c>
      <c r="E3090" s="9" t="str">
        <f t="shared" si="706"/>
        <v>PRBNP'!</v>
      </c>
      <c r="F3090" s="5" t="str">
        <f t="shared" si="707"/>
        <v>C:\Users\jaime.benazar\Quorum Business Solutions\Ecopetrol Prometeo - Documents\Planning Space Implementation\3. Analysis &amp; Design\Design\FC22\DRR Jaime\QUIFA-CAJÚA\Cajua\[VAS_CAJUA_CF_SEC_20230125.xlsx]CF PRBNP'!</v>
      </c>
      <c r="G3090" s="6" t="s">
        <v>43</v>
      </c>
      <c r="H3090" s="1"/>
      <c r="I3090" s="1"/>
    </row>
    <row r="3091" spans="1:9" x14ac:dyDescent="0.25">
      <c r="A3091" s="6" t="s">
        <v>100</v>
      </c>
      <c r="B3091" s="6">
        <f t="shared" si="708"/>
        <v>2034</v>
      </c>
      <c r="C3091" s="1" t="s">
        <v>42</v>
      </c>
      <c r="D3091" s="2" t="s">
        <v>128</v>
      </c>
      <c r="E3091" s="9" t="str">
        <f t="shared" si="706"/>
        <v>PRBNP'!</v>
      </c>
      <c r="F3091" s="5" t="str">
        <f t="shared" si="707"/>
        <v>C:\Users\jaime.benazar\Quorum Business Solutions\Ecopetrol Prometeo - Documents\Planning Space Implementation\3. Analysis &amp; Design\Design\FC22\DRR Jaime\QUIFA-CAJÚA\Cajua\[VAS_CAJUA_CF_SEC_20230125.xlsx]CF PRBNP'!</v>
      </c>
      <c r="G3091" s="6" t="s">
        <v>43</v>
      </c>
      <c r="H3091" s="1"/>
      <c r="I3091" s="1"/>
    </row>
    <row r="3092" spans="1:9" x14ac:dyDescent="0.25">
      <c r="A3092" s="6" t="s">
        <v>100</v>
      </c>
      <c r="B3092" s="6">
        <f t="shared" si="708"/>
        <v>2035</v>
      </c>
      <c r="C3092" s="1" t="s">
        <v>42</v>
      </c>
      <c r="D3092" s="2" t="s">
        <v>128</v>
      </c>
      <c r="E3092" s="9" t="str">
        <f t="shared" si="706"/>
        <v>PRBNP'!</v>
      </c>
      <c r="F3092" s="5" t="str">
        <f t="shared" si="707"/>
        <v>C:\Users\jaime.benazar\Quorum Business Solutions\Ecopetrol Prometeo - Documents\Planning Space Implementation\3. Analysis &amp; Design\Design\FC22\DRR Jaime\QUIFA-CAJÚA\Cajua\[VAS_CAJUA_CF_SEC_20230125.xlsx]CF PRBNP'!</v>
      </c>
      <c r="G3092" s="6" t="s">
        <v>43</v>
      </c>
      <c r="H3092" s="1"/>
      <c r="I3092" s="1"/>
    </row>
    <row r="3093" spans="1:9" x14ac:dyDescent="0.25">
      <c r="A3093" s="6" t="s">
        <v>100</v>
      </c>
      <c r="B3093" s="6">
        <f t="shared" si="708"/>
        <v>2036</v>
      </c>
      <c r="C3093" s="1" t="s">
        <v>42</v>
      </c>
      <c r="D3093" s="2" t="s">
        <v>128</v>
      </c>
      <c r="E3093" s="9" t="str">
        <f t="shared" si="706"/>
        <v>PRBNP'!</v>
      </c>
      <c r="F3093" s="5" t="str">
        <f t="shared" si="707"/>
        <v>C:\Users\jaime.benazar\Quorum Business Solutions\Ecopetrol Prometeo - Documents\Planning Space Implementation\3. Analysis &amp; Design\Design\FC22\DRR Jaime\QUIFA-CAJÚA\Cajua\[VAS_CAJUA_CF_SEC_20230125.xlsx]CF PRBNP'!</v>
      </c>
      <c r="G3093" s="6" t="s">
        <v>43</v>
      </c>
      <c r="H3093" s="1"/>
      <c r="I3093" s="1"/>
    </row>
    <row r="3094" spans="1:9" x14ac:dyDescent="0.25">
      <c r="A3094" s="6" t="s">
        <v>100</v>
      </c>
      <c r="B3094" s="6">
        <f>+B3093+1</f>
        <v>2037</v>
      </c>
      <c r="C3094" s="1" t="s">
        <v>42</v>
      </c>
      <c r="D3094" s="2" t="s">
        <v>128</v>
      </c>
      <c r="E3094" s="9" t="str">
        <f t="shared" si="706"/>
        <v>PRBNP'!</v>
      </c>
      <c r="F3094" s="5" t="str">
        <f t="shared" si="707"/>
        <v>C:\Users\jaime.benazar\Quorum Business Solutions\Ecopetrol Prometeo - Documents\Planning Space Implementation\3. Analysis &amp; Design\Design\FC22\DRR Jaime\QUIFA-CAJÚA\Cajua\[VAS_CAJUA_CF_SEC_20230125.xlsx]CF PRBNP'!</v>
      </c>
      <c r="G3094" s="6" t="s">
        <v>43</v>
      </c>
      <c r="H3094" s="1"/>
      <c r="I3094" s="1"/>
    </row>
    <row r="3095" spans="1:9" x14ac:dyDescent="0.25">
      <c r="A3095" s="6" t="s">
        <v>100</v>
      </c>
      <c r="B3095" s="6">
        <f t="shared" ref="B3095:B3097" si="709">+B3094+1</f>
        <v>2038</v>
      </c>
      <c r="C3095" s="1" t="s">
        <v>42</v>
      </c>
      <c r="D3095" s="2" t="s">
        <v>128</v>
      </c>
      <c r="E3095" s="9" t="str">
        <f t="shared" si="706"/>
        <v>PRBNP'!</v>
      </c>
      <c r="F3095" s="5" t="str">
        <f t="shared" si="707"/>
        <v>C:\Users\jaime.benazar\Quorum Business Solutions\Ecopetrol Prometeo - Documents\Planning Space Implementation\3. Analysis &amp; Design\Design\FC22\DRR Jaime\QUIFA-CAJÚA\Cajua\[VAS_CAJUA_CF_SEC_20230125.xlsx]CF PRBNP'!</v>
      </c>
      <c r="G3095" s="6" t="s">
        <v>43</v>
      </c>
      <c r="H3095" s="1"/>
      <c r="I3095" s="1"/>
    </row>
    <row r="3096" spans="1:9" x14ac:dyDescent="0.25">
      <c r="A3096" s="6" t="s">
        <v>100</v>
      </c>
      <c r="B3096" s="6">
        <f t="shared" si="709"/>
        <v>2039</v>
      </c>
      <c r="C3096" s="1" t="s">
        <v>42</v>
      </c>
      <c r="D3096" s="2" t="s">
        <v>128</v>
      </c>
      <c r="E3096" s="9" t="str">
        <f t="shared" si="706"/>
        <v>PRBNP'!</v>
      </c>
      <c r="F3096" s="5" t="str">
        <f t="shared" si="707"/>
        <v>C:\Users\jaime.benazar\Quorum Business Solutions\Ecopetrol Prometeo - Documents\Planning Space Implementation\3. Analysis &amp; Design\Design\FC22\DRR Jaime\QUIFA-CAJÚA\Cajua\[VAS_CAJUA_CF_SEC_20230125.xlsx]CF PRBNP'!</v>
      </c>
      <c r="G3096" s="6" t="s">
        <v>43</v>
      </c>
      <c r="H3096" s="1"/>
      <c r="I3096" s="1"/>
    </row>
    <row r="3097" spans="1:9" x14ac:dyDescent="0.25">
      <c r="A3097" s="6" t="s">
        <v>100</v>
      </c>
      <c r="B3097" s="6">
        <f t="shared" si="709"/>
        <v>2040</v>
      </c>
      <c r="C3097" s="1" t="s">
        <v>42</v>
      </c>
      <c r="D3097" s="2" t="s">
        <v>128</v>
      </c>
      <c r="E3097" s="9" t="str">
        <f t="shared" si="706"/>
        <v>PRBNP'!</v>
      </c>
      <c r="F3097" s="5" t="str">
        <f t="shared" si="707"/>
        <v>C:\Users\jaime.benazar\Quorum Business Solutions\Ecopetrol Prometeo - Documents\Planning Space Implementation\3. Analysis &amp; Design\Design\FC22\DRR Jaime\QUIFA-CAJÚA\Cajua\[VAS_CAJUA_CF_SEC_20230125.xlsx]CF PRBNP'!</v>
      </c>
      <c r="G3097" s="6" t="s">
        <v>43</v>
      </c>
      <c r="H3097" s="1"/>
      <c r="I3097" s="1"/>
    </row>
    <row r="3098" spans="1:9" x14ac:dyDescent="0.25">
      <c r="A3098" s="6" t="s">
        <v>100</v>
      </c>
      <c r="B3098" s="6">
        <f>+B3097+1</f>
        <v>2041</v>
      </c>
      <c r="C3098" s="1" t="s">
        <v>42</v>
      </c>
      <c r="D3098" s="2" t="s">
        <v>128</v>
      </c>
      <c r="E3098" s="9" t="str">
        <f t="shared" si="706"/>
        <v>PRBNP'!</v>
      </c>
      <c r="F3098" s="5" t="str">
        <f t="shared" si="707"/>
        <v>C:\Users\jaime.benazar\Quorum Business Solutions\Ecopetrol Prometeo - Documents\Planning Space Implementation\3. Analysis &amp; Design\Design\FC22\DRR Jaime\QUIFA-CAJÚA\Cajua\[VAS_CAJUA_CF_SEC_20230125.xlsx]CF PRBNP'!</v>
      </c>
      <c r="G3098" s="6" t="s">
        <v>43</v>
      </c>
      <c r="H3098" s="1"/>
      <c r="I3098" s="1"/>
    </row>
    <row r="3099" spans="1:9" x14ac:dyDescent="0.25">
      <c r="A3099" s="6" t="s">
        <v>100</v>
      </c>
      <c r="B3099" s="6">
        <f t="shared" ref="B3099:B3100" si="710">+B3098+1</f>
        <v>2042</v>
      </c>
      <c r="C3099" s="1" t="s">
        <v>42</v>
      </c>
      <c r="D3099" s="2" t="s">
        <v>128</v>
      </c>
      <c r="E3099" s="9" t="str">
        <f t="shared" si="706"/>
        <v>PRBNP'!</v>
      </c>
      <c r="F3099" s="5" t="str">
        <f t="shared" si="707"/>
        <v>C:\Users\jaime.benazar\Quorum Business Solutions\Ecopetrol Prometeo - Documents\Planning Space Implementation\3. Analysis &amp; Design\Design\FC22\DRR Jaime\QUIFA-CAJÚA\Cajua\[VAS_CAJUA_CF_SEC_20230125.xlsx]CF PRBNP'!</v>
      </c>
      <c r="G3099" s="6" t="s">
        <v>43</v>
      </c>
      <c r="H3099" s="1"/>
      <c r="I3099" s="1"/>
    </row>
    <row r="3100" spans="1:9" x14ac:dyDescent="0.25">
      <c r="A3100" s="6" t="s">
        <v>100</v>
      </c>
      <c r="B3100" s="6">
        <f t="shared" si="710"/>
        <v>2043</v>
      </c>
      <c r="C3100" s="1" t="s">
        <v>42</v>
      </c>
      <c r="D3100" s="2" t="s">
        <v>128</v>
      </c>
      <c r="E3100" s="9" t="str">
        <f t="shared" si="706"/>
        <v>PRBNP'!</v>
      </c>
      <c r="F3100" s="5" t="str">
        <f t="shared" si="707"/>
        <v>C:\Users\jaime.benazar\Quorum Business Solutions\Ecopetrol Prometeo - Documents\Planning Space Implementation\3. Analysis &amp; Design\Design\FC22\DRR Jaime\QUIFA-CAJÚA\Cajua\[VAS_CAJUA_CF_SEC_20230125.xlsx]CF PRBNP'!</v>
      </c>
      <c r="G3100" s="6" t="s">
        <v>43</v>
      </c>
      <c r="H3100" s="1"/>
      <c r="I3100" s="1"/>
    </row>
    <row r="3101" spans="1:9" x14ac:dyDescent="0.25">
      <c r="A3101" s="6" t="s">
        <v>100</v>
      </c>
      <c r="B3101" s="6">
        <f>+B3100+1</f>
        <v>2044</v>
      </c>
      <c r="C3101" s="1" t="s">
        <v>42</v>
      </c>
      <c r="D3101" s="2" t="s">
        <v>128</v>
      </c>
      <c r="E3101" s="9" t="str">
        <f t="shared" ref="E3101:E3116" si="711">_xlfn.CONCAT(A3101,"'!")</f>
        <v>PRBNP'!</v>
      </c>
      <c r="F3101" s="5" t="str">
        <f t="shared" ref="F3101:F3116" si="712">_xlfn.CONCAT(D3101," ",E3101)</f>
        <v>C:\Users\jaime.benazar\Quorum Business Solutions\Ecopetrol Prometeo - Documents\Planning Space Implementation\3. Analysis &amp; Design\Design\FC22\DRR Jaime\QUIFA-CAJÚA\Cajua\[VAS_CAJUA_CF_SEC_20230125.xlsx]CF PRBNP'!</v>
      </c>
      <c r="G3101" s="6" t="s">
        <v>43</v>
      </c>
      <c r="H3101" s="1"/>
      <c r="I3101" s="1"/>
    </row>
    <row r="3102" spans="1:9" x14ac:dyDescent="0.25">
      <c r="A3102" s="6" t="s">
        <v>100</v>
      </c>
      <c r="B3102" s="6">
        <f t="shared" ref="B3102:B3116" si="713">+B3101+1</f>
        <v>2045</v>
      </c>
      <c r="C3102" s="1" t="s">
        <v>42</v>
      </c>
      <c r="D3102" s="2" t="s">
        <v>128</v>
      </c>
      <c r="E3102" s="9" t="str">
        <f t="shared" si="711"/>
        <v>PRBNP'!</v>
      </c>
      <c r="F3102" s="5" t="str">
        <f t="shared" si="712"/>
        <v>C:\Users\jaime.benazar\Quorum Business Solutions\Ecopetrol Prometeo - Documents\Planning Space Implementation\3. Analysis &amp; Design\Design\FC22\DRR Jaime\QUIFA-CAJÚA\Cajua\[VAS_CAJUA_CF_SEC_20230125.xlsx]CF PRBNP'!</v>
      </c>
      <c r="G3102" s="6" t="s">
        <v>43</v>
      </c>
      <c r="H3102" s="1"/>
      <c r="I3102" s="1"/>
    </row>
    <row r="3103" spans="1:9" x14ac:dyDescent="0.25">
      <c r="A3103" s="6" t="s">
        <v>100</v>
      </c>
      <c r="B3103" s="6">
        <f t="shared" si="713"/>
        <v>2046</v>
      </c>
      <c r="C3103" s="1" t="s">
        <v>42</v>
      </c>
      <c r="D3103" s="2" t="s">
        <v>128</v>
      </c>
      <c r="E3103" s="9" t="str">
        <f t="shared" si="711"/>
        <v>PRBNP'!</v>
      </c>
      <c r="F3103" s="5" t="str">
        <f t="shared" si="712"/>
        <v>C:\Users\jaime.benazar\Quorum Business Solutions\Ecopetrol Prometeo - Documents\Planning Space Implementation\3. Analysis &amp; Design\Design\FC22\DRR Jaime\QUIFA-CAJÚA\Cajua\[VAS_CAJUA_CF_SEC_20230125.xlsx]CF PRBNP'!</v>
      </c>
      <c r="G3103" s="6" t="s">
        <v>43</v>
      </c>
      <c r="H3103" s="1"/>
      <c r="I3103" s="1"/>
    </row>
    <row r="3104" spans="1:9" x14ac:dyDescent="0.25">
      <c r="A3104" s="6" t="s">
        <v>100</v>
      </c>
      <c r="B3104" s="6">
        <f t="shared" si="713"/>
        <v>2047</v>
      </c>
      <c r="C3104" s="1" t="s">
        <v>42</v>
      </c>
      <c r="D3104" s="2" t="s">
        <v>128</v>
      </c>
      <c r="E3104" s="9" t="str">
        <f t="shared" si="711"/>
        <v>PRBNP'!</v>
      </c>
      <c r="F3104" s="5" t="str">
        <f t="shared" si="712"/>
        <v>C:\Users\jaime.benazar\Quorum Business Solutions\Ecopetrol Prometeo - Documents\Planning Space Implementation\3. Analysis &amp; Design\Design\FC22\DRR Jaime\QUIFA-CAJÚA\Cajua\[VAS_CAJUA_CF_SEC_20230125.xlsx]CF PRBNP'!</v>
      </c>
      <c r="G3104" s="6" t="s">
        <v>43</v>
      </c>
      <c r="H3104" s="1"/>
      <c r="I3104" s="1"/>
    </row>
    <row r="3105" spans="1:9" x14ac:dyDescent="0.25">
      <c r="A3105" s="6" t="s">
        <v>100</v>
      </c>
      <c r="B3105" s="6">
        <f t="shared" si="713"/>
        <v>2048</v>
      </c>
      <c r="C3105" s="1" t="s">
        <v>42</v>
      </c>
      <c r="D3105" s="2" t="s">
        <v>128</v>
      </c>
      <c r="E3105" s="9" t="str">
        <f t="shared" si="711"/>
        <v>PRBNP'!</v>
      </c>
      <c r="F3105" s="5" t="str">
        <f t="shared" si="712"/>
        <v>C:\Users\jaime.benazar\Quorum Business Solutions\Ecopetrol Prometeo - Documents\Planning Space Implementation\3. Analysis &amp; Design\Design\FC22\DRR Jaime\QUIFA-CAJÚA\Cajua\[VAS_CAJUA_CF_SEC_20230125.xlsx]CF PRBNP'!</v>
      </c>
      <c r="G3105" s="6" t="s">
        <v>43</v>
      </c>
      <c r="H3105" s="1"/>
      <c r="I3105" s="1"/>
    </row>
    <row r="3106" spans="1:9" x14ac:dyDescent="0.25">
      <c r="A3106" s="6" t="s">
        <v>100</v>
      </c>
      <c r="B3106" s="6">
        <f t="shared" si="713"/>
        <v>2049</v>
      </c>
      <c r="C3106" s="1" t="s">
        <v>42</v>
      </c>
      <c r="D3106" s="2" t="s">
        <v>128</v>
      </c>
      <c r="E3106" s="9" t="str">
        <f t="shared" si="711"/>
        <v>PRBNP'!</v>
      </c>
      <c r="F3106" s="5" t="str">
        <f t="shared" si="712"/>
        <v>C:\Users\jaime.benazar\Quorum Business Solutions\Ecopetrol Prometeo - Documents\Planning Space Implementation\3. Analysis &amp; Design\Design\FC22\DRR Jaime\QUIFA-CAJÚA\Cajua\[VAS_CAJUA_CF_SEC_20230125.xlsx]CF PRBNP'!</v>
      </c>
      <c r="G3106" s="6" t="s">
        <v>43</v>
      </c>
      <c r="H3106" s="1"/>
      <c r="I3106" s="1"/>
    </row>
    <row r="3107" spans="1:9" x14ac:dyDescent="0.25">
      <c r="A3107" s="6" t="s">
        <v>100</v>
      </c>
      <c r="B3107" s="6">
        <f t="shared" si="713"/>
        <v>2050</v>
      </c>
      <c r="C3107" s="1" t="s">
        <v>42</v>
      </c>
      <c r="D3107" s="2" t="s">
        <v>128</v>
      </c>
      <c r="E3107" s="9" t="str">
        <f t="shared" si="711"/>
        <v>PRBNP'!</v>
      </c>
      <c r="F3107" s="5" t="str">
        <f t="shared" si="712"/>
        <v>C:\Users\jaime.benazar\Quorum Business Solutions\Ecopetrol Prometeo - Documents\Planning Space Implementation\3. Analysis &amp; Design\Design\FC22\DRR Jaime\QUIFA-CAJÚA\Cajua\[VAS_CAJUA_CF_SEC_20230125.xlsx]CF PRBNP'!</v>
      </c>
      <c r="G3107" s="6" t="s">
        <v>43</v>
      </c>
      <c r="H3107" s="1"/>
      <c r="I3107" s="1"/>
    </row>
    <row r="3108" spans="1:9" x14ac:dyDescent="0.25">
      <c r="A3108" s="6" t="s">
        <v>100</v>
      </c>
      <c r="B3108" s="6">
        <f t="shared" si="713"/>
        <v>2051</v>
      </c>
      <c r="C3108" s="1" t="s">
        <v>42</v>
      </c>
      <c r="D3108" s="2" t="s">
        <v>128</v>
      </c>
      <c r="E3108" s="9" t="str">
        <f t="shared" si="711"/>
        <v>PRBNP'!</v>
      </c>
      <c r="F3108" s="5" t="str">
        <f t="shared" si="712"/>
        <v>C:\Users\jaime.benazar\Quorum Business Solutions\Ecopetrol Prometeo - Documents\Planning Space Implementation\3. Analysis &amp; Design\Design\FC22\DRR Jaime\QUIFA-CAJÚA\Cajua\[VAS_CAJUA_CF_SEC_20230125.xlsx]CF PRBNP'!</v>
      </c>
      <c r="G3108" s="6" t="s">
        <v>43</v>
      </c>
      <c r="H3108" s="1"/>
      <c r="I3108" s="1"/>
    </row>
    <row r="3109" spans="1:9" x14ac:dyDescent="0.25">
      <c r="A3109" s="6" t="s">
        <v>100</v>
      </c>
      <c r="B3109" s="6">
        <f t="shared" si="713"/>
        <v>2052</v>
      </c>
      <c r="C3109" s="1" t="s">
        <v>42</v>
      </c>
      <c r="D3109" s="2" t="s">
        <v>128</v>
      </c>
      <c r="E3109" s="9" t="str">
        <f t="shared" si="711"/>
        <v>PRBNP'!</v>
      </c>
      <c r="F3109" s="5" t="str">
        <f t="shared" si="712"/>
        <v>C:\Users\jaime.benazar\Quorum Business Solutions\Ecopetrol Prometeo - Documents\Planning Space Implementation\3. Analysis &amp; Design\Design\FC22\DRR Jaime\QUIFA-CAJÚA\Cajua\[VAS_CAJUA_CF_SEC_20230125.xlsx]CF PRBNP'!</v>
      </c>
      <c r="G3109" s="6" t="s">
        <v>43</v>
      </c>
      <c r="H3109" s="1"/>
      <c r="I3109" s="1"/>
    </row>
    <row r="3110" spans="1:9" x14ac:dyDescent="0.25">
      <c r="A3110" s="6" t="s">
        <v>100</v>
      </c>
      <c r="B3110" s="6">
        <f t="shared" si="713"/>
        <v>2053</v>
      </c>
      <c r="C3110" s="1" t="s">
        <v>42</v>
      </c>
      <c r="D3110" s="2" t="s">
        <v>128</v>
      </c>
      <c r="E3110" s="9" t="str">
        <f t="shared" si="711"/>
        <v>PRBNP'!</v>
      </c>
      <c r="F3110" s="5" t="str">
        <f t="shared" si="712"/>
        <v>C:\Users\jaime.benazar\Quorum Business Solutions\Ecopetrol Prometeo - Documents\Planning Space Implementation\3. Analysis &amp; Design\Design\FC22\DRR Jaime\QUIFA-CAJÚA\Cajua\[VAS_CAJUA_CF_SEC_20230125.xlsx]CF PRBNP'!</v>
      </c>
      <c r="G3110" s="6" t="s">
        <v>43</v>
      </c>
      <c r="H3110" s="1"/>
      <c r="I3110" s="1"/>
    </row>
    <row r="3111" spans="1:9" x14ac:dyDescent="0.25">
      <c r="A3111" s="6" t="s">
        <v>100</v>
      </c>
      <c r="B3111" s="6">
        <f t="shared" si="713"/>
        <v>2054</v>
      </c>
      <c r="C3111" s="1" t="s">
        <v>42</v>
      </c>
      <c r="D3111" s="2" t="s">
        <v>128</v>
      </c>
      <c r="E3111" s="9" t="str">
        <f t="shared" si="711"/>
        <v>PRBNP'!</v>
      </c>
      <c r="F3111" s="5" t="str">
        <f t="shared" si="712"/>
        <v>C:\Users\jaime.benazar\Quorum Business Solutions\Ecopetrol Prometeo - Documents\Planning Space Implementation\3. Analysis &amp; Design\Design\FC22\DRR Jaime\QUIFA-CAJÚA\Cajua\[VAS_CAJUA_CF_SEC_20230125.xlsx]CF PRBNP'!</v>
      </c>
      <c r="G3111" s="6" t="s">
        <v>43</v>
      </c>
      <c r="H3111" s="1"/>
      <c r="I3111" s="1"/>
    </row>
    <row r="3112" spans="1:9" x14ac:dyDescent="0.25">
      <c r="A3112" s="6" t="s">
        <v>100</v>
      </c>
      <c r="B3112" s="6">
        <f t="shared" si="713"/>
        <v>2055</v>
      </c>
      <c r="C3112" s="1" t="s">
        <v>42</v>
      </c>
      <c r="D3112" s="2" t="s">
        <v>128</v>
      </c>
      <c r="E3112" s="9" t="str">
        <f t="shared" si="711"/>
        <v>PRBNP'!</v>
      </c>
      <c r="F3112" s="5" t="str">
        <f t="shared" si="712"/>
        <v>C:\Users\jaime.benazar\Quorum Business Solutions\Ecopetrol Prometeo - Documents\Planning Space Implementation\3. Analysis &amp; Design\Design\FC22\DRR Jaime\QUIFA-CAJÚA\Cajua\[VAS_CAJUA_CF_SEC_20230125.xlsx]CF PRBNP'!</v>
      </c>
      <c r="G3112" s="6" t="s">
        <v>43</v>
      </c>
      <c r="H3112" s="1"/>
      <c r="I3112" s="1"/>
    </row>
    <row r="3113" spans="1:9" x14ac:dyDescent="0.25">
      <c r="A3113" s="6" t="s">
        <v>100</v>
      </c>
      <c r="B3113" s="6">
        <f t="shared" si="713"/>
        <v>2056</v>
      </c>
      <c r="C3113" s="1" t="s">
        <v>42</v>
      </c>
      <c r="D3113" s="2" t="s">
        <v>128</v>
      </c>
      <c r="E3113" s="9" t="str">
        <f t="shared" si="711"/>
        <v>PRBNP'!</v>
      </c>
      <c r="F3113" s="5" t="str">
        <f t="shared" si="712"/>
        <v>C:\Users\jaime.benazar\Quorum Business Solutions\Ecopetrol Prometeo - Documents\Planning Space Implementation\3. Analysis &amp; Design\Design\FC22\DRR Jaime\QUIFA-CAJÚA\Cajua\[VAS_CAJUA_CF_SEC_20230125.xlsx]CF PRBNP'!</v>
      </c>
      <c r="G3113" s="6" t="s">
        <v>43</v>
      </c>
      <c r="H3113" s="1"/>
      <c r="I3113" s="1"/>
    </row>
    <row r="3114" spans="1:9" x14ac:dyDescent="0.25">
      <c r="A3114" s="6" t="s">
        <v>100</v>
      </c>
      <c r="B3114" s="6">
        <f t="shared" si="713"/>
        <v>2057</v>
      </c>
      <c r="C3114" s="1" t="s">
        <v>42</v>
      </c>
      <c r="D3114" s="2" t="s">
        <v>128</v>
      </c>
      <c r="E3114" s="9" t="str">
        <f t="shared" si="711"/>
        <v>PRBNP'!</v>
      </c>
      <c r="F3114" s="5" t="str">
        <f t="shared" si="712"/>
        <v>C:\Users\jaime.benazar\Quorum Business Solutions\Ecopetrol Prometeo - Documents\Planning Space Implementation\3. Analysis &amp; Design\Design\FC22\DRR Jaime\QUIFA-CAJÚA\Cajua\[VAS_CAJUA_CF_SEC_20230125.xlsx]CF PRBNP'!</v>
      </c>
      <c r="G3114" s="6" t="s">
        <v>43</v>
      </c>
      <c r="H3114" s="1"/>
      <c r="I3114" s="1"/>
    </row>
    <row r="3115" spans="1:9" x14ac:dyDescent="0.25">
      <c r="A3115" s="6" t="s">
        <v>100</v>
      </c>
      <c r="B3115" s="6">
        <f t="shared" si="713"/>
        <v>2058</v>
      </c>
      <c r="C3115" s="1" t="s">
        <v>42</v>
      </c>
      <c r="D3115" s="2" t="s">
        <v>128</v>
      </c>
      <c r="E3115" s="9" t="str">
        <f t="shared" si="711"/>
        <v>PRBNP'!</v>
      </c>
      <c r="F3115" s="5" t="str">
        <f t="shared" si="712"/>
        <v>C:\Users\jaime.benazar\Quorum Business Solutions\Ecopetrol Prometeo - Documents\Planning Space Implementation\3. Analysis &amp; Design\Design\FC22\DRR Jaime\QUIFA-CAJÚA\Cajua\[VAS_CAJUA_CF_SEC_20230125.xlsx]CF PRBNP'!</v>
      </c>
      <c r="G3115" s="6" t="s">
        <v>43</v>
      </c>
      <c r="H3115" s="1"/>
      <c r="I3115" s="1"/>
    </row>
    <row r="3116" spans="1:9" x14ac:dyDescent="0.25">
      <c r="A3116" s="6" t="s">
        <v>100</v>
      </c>
      <c r="B3116" s="6">
        <f t="shared" si="713"/>
        <v>2059</v>
      </c>
      <c r="C3116" s="1" t="s">
        <v>42</v>
      </c>
      <c r="D3116" s="2" t="s">
        <v>128</v>
      </c>
      <c r="E3116" s="9" t="str">
        <f t="shared" si="711"/>
        <v>PRBNP'!</v>
      </c>
      <c r="F3116" s="5" t="str">
        <f t="shared" si="712"/>
        <v>C:\Users\jaime.benazar\Quorum Business Solutions\Ecopetrol Prometeo - Documents\Planning Space Implementation\3. Analysis &amp; Design\Design\FC22\DRR Jaime\QUIFA-CAJÚA\Cajua\[VAS_CAJUA_CF_SEC_20230125.xlsx]CF PRBNP'!</v>
      </c>
      <c r="G3116" s="6" t="s">
        <v>43</v>
      </c>
      <c r="H3116" s="1"/>
      <c r="I3116" s="1"/>
    </row>
    <row r="3117" spans="1:9" x14ac:dyDescent="0.25">
      <c r="A3117" s="7" t="s">
        <v>28</v>
      </c>
      <c r="B3117" s="6"/>
      <c r="C3117" s="1" t="s">
        <v>42</v>
      </c>
      <c r="D3117" s="2"/>
      <c r="E3117" s="9"/>
      <c r="F3117" s="5"/>
      <c r="G3117" s="6"/>
      <c r="H3117" s="1"/>
      <c r="I3117" s="1"/>
    </row>
    <row r="3118" spans="1:9" x14ac:dyDescent="0.25">
      <c r="A3118" s="6" t="s">
        <v>101</v>
      </c>
      <c r="B3118" s="6">
        <v>2023</v>
      </c>
      <c r="C3118" s="1" t="s">
        <v>42</v>
      </c>
      <c r="D3118" s="2" t="s">
        <v>128</v>
      </c>
      <c r="E3118" s="9" t="str">
        <f t="shared" ref="E3118:E3138" si="714">_xlfn.CONCAT(A3118,"'!")</f>
        <v>PRBND'!</v>
      </c>
      <c r="F3118" s="5" t="str">
        <f t="shared" ref="F3118:F3138" si="715">_xlfn.CONCAT(D3118," ",E3118)</f>
        <v>C:\Users\jaime.benazar\Quorum Business Solutions\Ecopetrol Prometeo - Documents\Planning Space Implementation\3. Analysis &amp; Design\Design\FC22\DRR Jaime\QUIFA-CAJÚA\Cajua\[VAS_CAJUA_CF_SEC_20230125.xlsx]CF PRBND'!</v>
      </c>
      <c r="G3118" s="6" t="s">
        <v>43</v>
      </c>
      <c r="H3118" s="1"/>
      <c r="I3118" s="1"/>
    </row>
    <row r="3119" spans="1:9" x14ac:dyDescent="0.25">
      <c r="A3119" s="6" t="s">
        <v>101</v>
      </c>
      <c r="B3119" s="6">
        <f>+B3118+1</f>
        <v>2024</v>
      </c>
      <c r="C3119" s="1" t="s">
        <v>42</v>
      </c>
      <c r="D3119" s="2" t="s">
        <v>128</v>
      </c>
      <c r="E3119" s="9" t="str">
        <f t="shared" si="714"/>
        <v>PRBND'!</v>
      </c>
      <c r="F3119" s="5" t="str">
        <f t="shared" si="715"/>
        <v>C:\Users\jaime.benazar\Quorum Business Solutions\Ecopetrol Prometeo - Documents\Planning Space Implementation\3. Analysis &amp; Design\Design\FC22\DRR Jaime\QUIFA-CAJÚA\Cajua\[VAS_CAJUA_CF_SEC_20230125.xlsx]CF PRBND'!</v>
      </c>
      <c r="G3119" s="6" t="s">
        <v>43</v>
      </c>
      <c r="H3119" s="1"/>
      <c r="I3119" s="1"/>
    </row>
    <row r="3120" spans="1:9" x14ac:dyDescent="0.25">
      <c r="A3120" s="6" t="s">
        <v>101</v>
      </c>
      <c r="B3120" s="6">
        <f t="shared" ref="B3120:B3131" si="716">+B3119+1</f>
        <v>2025</v>
      </c>
      <c r="C3120" s="1" t="s">
        <v>42</v>
      </c>
      <c r="D3120" s="2" t="s">
        <v>128</v>
      </c>
      <c r="E3120" s="9" t="str">
        <f t="shared" si="714"/>
        <v>PRBND'!</v>
      </c>
      <c r="F3120" s="5" t="str">
        <f t="shared" si="715"/>
        <v>C:\Users\jaime.benazar\Quorum Business Solutions\Ecopetrol Prometeo - Documents\Planning Space Implementation\3. Analysis &amp; Design\Design\FC22\DRR Jaime\QUIFA-CAJÚA\Cajua\[VAS_CAJUA_CF_SEC_20230125.xlsx]CF PRBND'!</v>
      </c>
      <c r="G3120" s="6" t="s">
        <v>43</v>
      </c>
      <c r="H3120" s="1"/>
      <c r="I3120" s="1"/>
    </row>
    <row r="3121" spans="1:9" x14ac:dyDescent="0.25">
      <c r="A3121" s="6" t="s">
        <v>101</v>
      </c>
      <c r="B3121" s="6">
        <f t="shared" si="716"/>
        <v>2026</v>
      </c>
      <c r="C3121" s="1" t="s">
        <v>42</v>
      </c>
      <c r="D3121" s="2" t="s">
        <v>128</v>
      </c>
      <c r="E3121" s="9" t="str">
        <f t="shared" si="714"/>
        <v>PRBND'!</v>
      </c>
      <c r="F3121" s="5" t="str">
        <f t="shared" si="715"/>
        <v>C:\Users\jaime.benazar\Quorum Business Solutions\Ecopetrol Prometeo - Documents\Planning Space Implementation\3. Analysis &amp; Design\Design\FC22\DRR Jaime\QUIFA-CAJÚA\Cajua\[VAS_CAJUA_CF_SEC_20230125.xlsx]CF PRBND'!</v>
      </c>
      <c r="G3121" s="6" t="s">
        <v>43</v>
      </c>
      <c r="H3121" s="1"/>
      <c r="I3121" s="1"/>
    </row>
    <row r="3122" spans="1:9" x14ac:dyDescent="0.25">
      <c r="A3122" s="6" t="s">
        <v>101</v>
      </c>
      <c r="B3122" s="6">
        <f t="shared" si="716"/>
        <v>2027</v>
      </c>
      <c r="C3122" s="1" t="s">
        <v>42</v>
      </c>
      <c r="D3122" s="2" t="s">
        <v>128</v>
      </c>
      <c r="E3122" s="9" t="str">
        <f t="shared" si="714"/>
        <v>PRBND'!</v>
      </c>
      <c r="F3122" s="5" t="str">
        <f t="shared" si="715"/>
        <v>C:\Users\jaime.benazar\Quorum Business Solutions\Ecopetrol Prometeo - Documents\Planning Space Implementation\3. Analysis &amp; Design\Design\FC22\DRR Jaime\QUIFA-CAJÚA\Cajua\[VAS_CAJUA_CF_SEC_20230125.xlsx]CF PRBND'!</v>
      </c>
      <c r="G3122" s="6" t="s">
        <v>43</v>
      </c>
      <c r="H3122" s="1"/>
      <c r="I3122" s="1"/>
    </row>
    <row r="3123" spans="1:9" x14ac:dyDescent="0.25">
      <c r="A3123" s="6" t="s">
        <v>101</v>
      </c>
      <c r="B3123" s="6">
        <f t="shared" si="716"/>
        <v>2028</v>
      </c>
      <c r="C3123" s="1" t="s">
        <v>42</v>
      </c>
      <c r="D3123" s="2" t="s">
        <v>128</v>
      </c>
      <c r="E3123" s="9" t="str">
        <f t="shared" si="714"/>
        <v>PRBND'!</v>
      </c>
      <c r="F3123" s="5" t="str">
        <f t="shared" si="715"/>
        <v>C:\Users\jaime.benazar\Quorum Business Solutions\Ecopetrol Prometeo - Documents\Planning Space Implementation\3. Analysis &amp; Design\Design\FC22\DRR Jaime\QUIFA-CAJÚA\Cajua\[VAS_CAJUA_CF_SEC_20230125.xlsx]CF PRBND'!</v>
      </c>
      <c r="G3123" s="6" t="s">
        <v>43</v>
      </c>
      <c r="H3123" s="1"/>
      <c r="I3123" s="1"/>
    </row>
    <row r="3124" spans="1:9" x14ac:dyDescent="0.25">
      <c r="A3124" s="6" t="s">
        <v>101</v>
      </c>
      <c r="B3124" s="6">
        <f t="shared" si="716"/>
        <v>2029</v>
      </c>
      <c r="C3124" s="1" t="s">
        <v>42</v>
      </c>
      <c r="D3124" s="2" t="s">
        <v>128</v>
      </c>
      <c r="E3124" s="9" t="str">
        <f t="shared" si="714"/>
        <v>PRBND'!</v>
      </c>
      <c r="F3124" s="5" t="str">
        <f t="shared" si="715"/>
        <v>C:\Users\jaime.benazar\Quorum Business Solutions\Ecopetrol Prometeo - Documents\Planning Space Implementation\3. Analysis &amp; Design\Design\FC22\DRR Jaime\QUIFA-CAJÚA\Cajua\[VAS_CAJUA_CF_SEC_20230125.xlsx]CF PRBND'!</v>
      </c>
      <c r="G3124" s="6" t="s">
        <v>43</v>
      </c>
      <c r="H3124" s="1"/>
      <c r="I3124" s="1"/>
    </row>
    <row r="3125" spans="1:9" x14ac:dyDescent="0.25">
      <c r="A3125" s="6" t="s">
        <v>101</v>
      </c>
      <c r="B3125" s="6">
        <f t="shared" si="716"/>
        <v>2030</v>
      </c>
      <c r="C3125" s="1" t="s">
        <v>42</v>
      </c>
      <c r="D3125" s="2" t="s">
        <v>128</v>
      </c>
      <c r="E3125" s="9" t="str">
        <f t="shared" si="714"/>
        <v>PRBND'!</v>
      </c>
      <c r="F3125" s="5" t="str">
        <f t="shared" si="715"/>
        <v>C:\Users\jaime.benazar\Quorum Business Solutions\Ecopetrol Prometeo - Documents\Planning Space Implementation\3. Analysis &amp; Design\Design\FC22\DRR Jaime\QUIFA-CAJÚA\Cajua\[VAS_CAJUA_CF_SEC_20230125.xlsx]CF PRBND'!</v>
      </c>
      <c r="G3125" s="6" t="s">
        <v>43</v>
      </c>
      <c r="H3125" s="1"/>
      <c r="I3125" s="1"/>
    </row>
    <row r="3126" spans="1:9" x14ac:dyDescent="0.25">
      <c r="A3126" s="6" t="s">
        <v>101</v>
      </c>
      <c r="B3126" s="6">
        <f t="shared" si="716"/>
        <v>2031</v>
      </c>
      <c r="C3126" s="1" t="s">
        <v>42</v>
      </c>
      <c r="D3126" s="2" t="s">
        <v>128</v>
      </c>
      <c r="E3126" s="9" t="str">
        <f t="shared" si="714"/>
        <v>PRBND'!</v>
      </c>
      <c r="F3126" s="5" t="str">
        <f t="shared" si="715"/>
        <v>C:\Users\jaime.benazar\Quorum Business Solutions\Ecopetrol Prometeo - Documents\Planning Space Implementation\3. Analysis &amp; Design\Design\FC22\DRR Jaime\QUIFA-CAJÚA\Cajua\[VAS_CAJUA_CF_SEC_20230125.xlsx]CF PRBND'!</v>
      </c>
      <c r="G3126" s="6" t="s">
        <v>43</v>
      </c>
      <c r="H3126" s="1"/>
      <c r="I3126" s="1"/>
    </row>
    <row r="3127" spans="1:9" x14ac:dyDescent="0.25">
      <c r="A3127" s="6" t="s">
        <v>101</v>
      </c>
      <c r="B3127" s="6">
        <f t="shared" si="716"/>
        <v>2032</v>
      </c>
      <c r="C3127" s="1" t="s">
        <v>42</v>
      </c>
      <c r="D3127" s="2" t="s">
        <v>128</v>
      </c>
      <c r="E3127" s="9" t="str">
        <f t="shared" si="714"/>
        <v>PRBND'!</v>
      </c>
      <c r="F3127" s="5" t="str">
        <f t="shared" si="715"/>
        <v>C:\Users\jaime.benazar\Quorum Business Solutions\Ecopetrol Prometeo - Documents\Planning Space Implementation\3. Analysis &amp; Design\Design\FC22\DRR Jaime\QUIFA-CAJÚA\Cajua\[VAS_CAJUA_CF_SEC_20230125.xlsx]CF PRBND'!</v>
      </c>
      <c r="G3127" s="6" t="s">
        <v>43</v>
      </c>
      <c r="H3127" s="1"/>
      <c r="I3127" s="1"/>
    </row>
    <row r="3128" spans="1:9" x14ac:dyDescent="0.25">
      <c r="A3128" s="6" t="s">
        <v>101</v>
      </c>
      <c r="B3128" s="6">
        <f t="shared" si="716"/>
        <v>2033</v>
      </c>
      <c r="C3128" s="1" t="s">
        <v>42</v>
      </c>
      <c r="D3128" s="2" t="s">
        <v>128</v>
      </c>
      <c r="E3128" s="9" t="str">
        <f t="shared" si="714"/>
        <v>PRBND'!</v>
      </c>
      <c r="F3128" s="5" t="str">
        <f t="shared" si="715"/>
        <v>C:\Users\jaime.benazar\Quorum Business Solutions\Ecopetrol Prometeo - Documents\Planning Space Implementation\3. Analysis &amp; Design\Design\FC22\DRR Jaime\QUIFA-CAJÚA\Cajua\[VAS_CAJUA_CF_SEC_20230125.xlsx]CF PRBND'!</v>
      </c>
      <c r="G3128" s="6" t="s">
        <v>43</v>
      </c>
      <c r="H3128" s="1"/>
      <c r="I3128" s="1"/>
    </row>
    <row r="3129" spans="1:9" x14ac:dyDescent="0.25">
      <c r="A3129" s="6" t="s">
        <v>101</v>
      </c>
      <c r="B3129" s="6">
        <f t="shared" si="716"/>
        <v>2034</v>
      </c>
      <c r="C3129" s="1" t="s">
        <v>42</v>
      </c>
      <c r="D3129" s="2" t="s">
        <v>128</v>
      </c>
      <c r="E3129" s="9" t="str">
        <f t="shared" si="714"/>
        <v>PRBND'!</v>
      </c>
      <c r="F3129" s="5" t="str">
        <f t="shared" si="715"/>
        <v>C:\Users\jaime.benazar\Quorum Business Solutions\Ecopetrol Prometeo - Documents\Planning Space Implementation\3. Analysis &amp; Design\Design\FC22\DRR Jaime\QUIFA-CAJÚA\Cajua\[VAS_CAJUA_CF_SEC_20230125.xlsx]CF PRBND'!</v>
      </c>
      <c r="G3129" s="6" t="s">
        <v>43</v>
      </c>
      <c r="H3129" s="1"/>
      <c r="I3129" s="1"/>
    </row>
    <row r="3130" spans="1:9" x14ac:dyDescent="0.25">
      <c r="A3130" s="6" t="s">
        <v>101</v>
      </c>
      <c r="B3130" s="6">
        <f t="shared" si="716"/>
        <v>2035</v>
      </c>
      <c r="C3130" s="1" t="s">
        <v>42</v>
      </c>
      <c r="D3130" s="2" t="s">
        <v>128</v>
      </c>
      <c r="E3130" s="9" t="str">
        <f t="shared" si="714"/>
        <v>PRBND'!</v>
      </c>
      <c r="F3130" s="5" t="str">
        <f t="shared" si="715"/>
        <v>C:\Users\jaime.benazar\Quorum Business Solutions\Ecopetrol Prometeo - Documents\Planning Space Implementation\3. Analysis &amp; Design\Design\FC22\DRR Jaime\QUIFA-CAJÚA\Cajua\[VAS_CAJUA_CF_SEC_20230125.xlsx]CF PRBND'!</v>
      </c>
      <c r="G3130" s="6" t="s">
        <v>43</v>
      </c>
      <c r="H3130" s="1"/>
      <c r="I3130" s="1"/>
    </row>
    <row r="3131" spans="1:9" x14ac:dyDescent="0.25">
      <c r="A3131" s="6" t="s">
        <v>101</v>
      </c>
      <c r="B3131" s="6">
        <f t="shared" si="716"/>
        <v>2036</v>
      </c>
      <c r="C3131" s="1" t="s">
        <v>42</v>
      </c>
      <c r="D3131" s="2" t="s">
        <v>128</v>
      </c>
      <c r="E3131" s="9" t="str">
        <f t="shared" si="714"/>
        <v>PRBND'!</v>
      </c>
      <c r="F3131" s="5" t="str">
        <f t="shared" si="715"/>
        <v>C:\Users\jaime.benazar\Quorum Business Solutions\Ecopetrol Prometeo - Documents\Planning Space Implementation\3. Analysis &amp; Design\Design\FC22\DRR Jaime\QUIFA-CAJÚA\Cajua\[VAS_CAJUA_CF_SEC_20230125.xlsx]CF PRBND'!</v>
      </c>
      <c r="G3131" s="6" t="s">
        <v>43</v>
      </c>
      <c r="H3131" s="1"/>
      <c r="I3131" s="1"/>
    </row>
    <row r="3132" spans="1:9" x14ac:dyDescent="0.25">
      <c r="A3132" s="6" t="s">
        <v>101</v>
      </c>
      <c r="B3132" s="6">
        <f>+B3131+1</f>
        <v>2037</v>
      </c>
      <c r="C3132" s="1" t="s">
        <v>42</v>
      </c>
      <c r="D3132" s="2" t="s">
        <v>128</v>
      </c>
      <c r="E3132" s="9" t="str">
        <f t="shared" si="714"/>
        <v>PRBND'!</v>
      </c>
      <c r="F3132" s="5" t="str">
        <f t="shared" si="715"/>
        <v>C:\Users\jaime.benazar\Quorum Business Solutions\Ecopetrol Prometeo - Documents\Planning Space Implementation\3. Analysis &amp; Design\Design\FC22\DRR Jaime\QUIFA-CAJÚA\Cajua\[VAS_CAJUA_CF_SEC_20230125.xlsx]CF PRBND'!</v>
      </c>
      <c r="G3132" s="6" t="s">
        <v>43</v>
      </c>
      <c r="H3132" s="1"/>
      <c r="I3132" s="1"/>
    </row>
    <row r="3133" spans="1:9" x14ac:dyDescent="0.25">
      <c r="A3133" s="6" t="s">
        <v>101</v>
      </c>
      <c r="B3133" s="6">
        <f t="shared" ref="B3133:B3135" si="717">+B3132+1</f>
        <v>2038</v>
      </c>
      <c r="C3133" s="1" t="s">
        <v>42</v>
      </c>
      <c r="D3133" s="2" t="s">
        <v>128</v>
      </c>
      <c r="E3133" s="9" t="str">
        <f t="shared" si="714"/>
        <v>PRBND'!</v>
      </c>
      <c r="F3133" s="5" t="str">
        <f t="shared" si="715"/>
        <v>C:\Users\jaime.benazar\Quorum Business Solutions\Ecopetrol Prometeo - Documents\Planning Space Implementation\3. Analysis &amp; Design\Design\FC22\DRR Jaime\QUIFA-CAJÚA\Cajua\[VAS_CAJUA_CF_SEC_20230125.xlsx]CF PRBND'!</v>
      </c>
      <c r="G3133" s="6" t="s">
        <v>43</v>
      </c>
      <c r="H3133" s="1"/>
      <c r="I3133" s="1"/>
    </row>
    <row r="3134" spans="1:9" x14ac:dyDescent="0.25">
      <c r="A3134" s="6" t="s">
        <v>101</v>
      </c>
      <c r="B3134" s="6">
        <f t="shared" si="717"/>
        <v>2039</v>
      </c>
      <c r="C3134" s="1" t="s">
        <v>42</v>
      </c>
      <c r="D3134" s="2" t="s">
        <v>128</v>
      </c>
      <c r="E3134" s="9" t="str">
        <f t="shared" si="714"/>
        <v>PRBND'!</v>
      </c>
      <c r="F3134" s="5" t="str">
        <f t="shared" si="715"/>
        <v>C:\Users\jaime.benazar\Quorum Business Solutions\Ecopetrol Prometeo - Documents\Planning Space Implementation\3. Analysis &amp; Design\Design\FC22\DRR Jaime\QUIFA-CAJÚA\Cajua\[VAS_CAJUA_CF_SEC_20230125.xlsx]CF PRBND'!</v>
      </c>
      <c r="G3134" s="6" t="s">
        <v>43</v>
      </c>
      <c r="H3134" s="1"/>
      <c r="I3134" s="1"/>
    </row>
    <row r="3135" spans="1:9" x14ac:dyDescent="0.25">
      <c r="A3135" s="6" t="s">
        <v>101</v>
      </c>
      <c r="B3135" s="6">
        <f t="shared" si="717"/>
        <v>2040</v>
      </c>
      <c r="C3135" s="1" t="s">
        <v>42</v>
      </c>
      <c r="D3135" s="2" t="s">
        <v>128</v>
      </c>
      <c r="E3135" s="9" t="str">
        <f t="shared" si="714"/>
        <v>PRBND'!</v>
      </c>
      <c r="F3135" s="5" t="str">
        <f t="shared" si="715"/>
        <v>C:\Users\jaime.benazar\Quorum Business Solutions\Ecopetrol Prometeo - Documents\Planning Space Implementation\3. Analysis &amp; Design\Design\FC22\DRR Jaime\QUIFA-CAJÚA\Cajua\[VAS_CAJUA_CF_SEC_20230125.xlsx]CF PRBND'!</v>
      </c>
      <c r="G3135" s="6" t="s">
        <v>43</v>
      </c>
      <c r="H3135" s="1"/>
      <c r="I3135" s="1"/>
    </row>
    <row r="3136" spans="1:9" x14ac:dyDescent="0.25">
      <c r="A3136" s="6" t="s">
        <v>101</v>
      </c>
      <c r="B3136" s="6">
        <f>+B3135+1</f>
        <v>2041</v>
      </c>
      <c r="C3136" s="1" t="s">
        <v>42</v>
      </c>
      <c r="D3136" s="2" t="s">
        <v>128</v>
      </c>
      <c r="E3136" s="9" t="str">
        <f t="shared" si="714"/>
        <v>PRBND'!</v>
      </c>
      <c r="F3136" s="5" t="str">
        <f t="shared" si="715"/>
        <v>C:\Users\jaime.benazar\Quorum Business Solutions\Ecopetrol Prometeo - Documents\Planning Space Implementation\3. Analysis &amp; Design\Design\FC22\DRR Jaime\QUIFA-CAJÚA\Cajua\[VAS_CAJUA_CF_SEC_20230125.xlsx]CF PRBND'!</v>
      </c>
      <c r="G3136" s="6" t="s">
        <v>43</v>
      </c>
      <c r="H3136" s="1"/>
      <c r="I3136" s="1"/>
    </row>
    <row r="3137" spans="1:9" x14ac:dyDescent="0.25">
      <c r="A3137" s="6" t="s">
        <v>101</v>
      </c>
      <c r="B3137" s="6">
        <f t="shared" ref="B3137:B3138" si="718">+B3136+1</f>
        <v>2042</v>
      </c>
      <c r="C3137" s="1" t="s">
        <v>42</v>
      </c>
      <c r="D3137" s="2" t="s">
        <v>128</v>
      </c>
      <c r="E3137" s="9" t="str">
        <f t="shared" si="714"/>
        <v>PRBND'!</v>
      </c>
      <c r="F3137" s="5" t="str">
        <f t="shared" si="715"/>
        <v>C:\Users\jaime.benazar\Quorum Business Solutions\Ecopetrol Prometeo - Documents\Planning Space Implementation\3. Analysis &amp; Design\Design\FC22\DRR Jaime\QUIFA-CAJÚA\Cajua\[VAS_CAJUA_CF_SEC_20230125.xlsx]CF PRBND'!</v>
      </c>
      <c r="G3137" s="6" t="s">
        <v>43</v>
      </c>
      <c r="H3137" s="1"/>
      <c r="I3137" s="1"/>
    </row>
    <row r="3138" spans="1:9" x14ac:dyDescent="0.25">
      <c r="A3138" s="6" t="s">
        <v>101</v>
      </c>
      <c r="B3138" s="6">
        <f t="shared" si="718"/>
        <v>2043</v>
      </c>
      <c r="C3138" s="1" t="s">
        <v>42</v>
      </c>
      <c r="D3138" s="2" t="s">
        <v>128</v>
      </c>
      <c r="E3138" s="9" t="str">
        <f t="shared" si="714"/>
        <v>PRBND'!</v>
      </c>
      <c r="F3138" s="5" t="str">
        <f t="shared" si="715"/>
        <v>C:\Users\jaime.benazar\Quorum Business Solutions\Ecopetrol Prometeo - Documents\Planning Space Implementation\3. Analysis &amp; Design\Design\FC22\DRR Jaime\QUIFA-CAJÚA\Cajua\[VAS_CAJUA_CF_SEC_20230125.xlsx]CF PRBND'!</v>
      </c>
      <c r="G3138" s="6" t="s">
        <v>43</v>
      </c>
      <c r="H3138" s="1"/>
      <c r="I3138" s="1"/>
    </row>
    <row r="3139" spans="1:9" x14ac:dyDescent="0.25">
      <c r="A3139" s="6" t="s">
        <v>101</v>
      </c>
      <c r="B3139" s="6">
        <f>+B3138+1</f>
        <v>2044</v>
      </c>
      <c r="C3139" s="1" t="s">
        <v>42</v>
      </c>
      <c r="D3139" s="2" t="s">
        <v>128</v>
      </c>
      <c r="E3139" s="9" t="str">
        <f t="shared" ref="E3139:E3154" si="719">_xlfn.CONCAT(A3139,"'!")</f>
        <v>PRBND'!</v>
      </c>
      <c r="F3139" s="5" t="str">
        <f t="shared" ref="F3139:F3154" si="720">_xlfn.CONCAT(D3139," ",E3139)</f>
        <v>C:\Users\jaime.benazar\Quorum Business Solutions\Ecopetrol Prometeo - Documents\Planning Space Implementation\3. Analysis &amp; Design\Design\FC22\DRR Jaime\QUIFA-CAJÚA\Cajua\[VAS_CAJUA_CF_SEC_20230125.xlsx]CF PRBND'!</v>
      </c>
      <c r="G3139" s="6" t="s">
        <v>43</v>
      </c>
      <c r="H3139" s="1"/>
      <c r="I3139" s="1"/>
    </row>
    <row r="3140" spans="1:9" x14ac:dyDescent="0.25">
      <c r="A3140" s="6" t="s">
        <v>101</v>
      </c>
      <c r="B3140" s="6">
        <f t="shared" ref="B3140:B3154" si="721">+B3139+1</f>
        <v>2045</v>
      </c>
      <c r="C3140" s="1" t="s">
        <v>42</v>
      </c>
      <c r="D3140" s="2" t="s">
        <v>128</v>
      </c>
      <c r="E3140" s="9" t="str">
        <f t="shared" si="719"/>
        <v>PRBND'!</v>
      </c>
      <c r="F3140" s="5" t="str">
        <f t="shared" si="720"/>
        <v>C:\Users\jaime.benazar\Quorum Business Solutions\Ecopetrol Prometeo - Documents\Planning Space Implementation\3. Analysis &amp; Design\Design\FC22\DRR Jaime\QUIFA-CAJÚA\Cajua\[VAS_CAJUA_CF_SEC_20230125.xlsx]CF PRBND'!</v>
      </c>
      <c r="G3140" s="6" t="s">
        <v>43</v>
      </c>
      <c r="H3140" s="1"/>
      <c r="I3140" s="1"/>
    </row>
    <row r="3141" spans="1:9" x14ac:dyDescent="0.25">
      <c r="A3141" s="6" t="s">
        <v>101</v>
      </c>
      <c r="B3141" s="6">
        <f t="shared" si="721"/>
        <v>2046</v>
      </c>
      <c r="C3141" s="1" t="s">
        <v>42</v>
      </c>
      <c r="D3141" s="2" t="s">
        <v>128</v>
      </c>
      <c r="E3141" s="9" t="str">
        <f t="shared" si="719"/>
        <v>PRBND'!</v>
      </c>
      <c r="F3141" s="5" t="str">
        <f t="shared" si="720"/>
        <v>C:\Users\jaime.benazar\Quorum Business Solutions\Ecopetrol Prometeo - Documents\Planning Space Implementation\3. Analysis &amp; Design\Design\FC22\DRR Jaime\QUIFA-CAJÚA\Cajua\[VAS_CAJUA_CF_SEC_20230125.xlsx]CF PRBND'!</v>
      </c>
      <c r="G3141" s="6" t="s">
        <v>43</v>
      </c>
      <c r="H3141" s="1"/>
      <c r="I3141" s="1"/>
    </row>
    <row r="3142" spans="1:9" x14ac:dyDescent="0.25">
      <c r="A3142" s="6" t="s">
        <v>101</v>
      </c>
      <c r="B3142" s="6">
        <f t="shared" si="721"/>
        <v>2047</v>
      </c>
      <c r="C3142" s="1" t="s">
        <v>42</v>
      </c>
      <c r="D3142" s="2" t="s">
        <v>128</v>
      </c>
      <c r="E3142" s="9" t="str">
        <f t="shared" si="719"/>
        <v>PRBND'!</v>
      </c>
      <c r="F3142" s="5" t="str">
        <f t="shared" si="720"/>
        <v>C:\Users\jaime.benazar\Quorum Business Solutions\Ecopetrol Prometeo - Documents\Planning Space Implementation\3. Analysis &amp; Design\Design\FC22\DRR Jaime\QUIFA-CAJÚA\Cajua\[VAS_CAJUA_CF_SEC_20230125.xlsx]CF PRBND'!</v>
      </c>
      <c r="G3142" s="6" t="s">
        <v>43</v>
      </c>
      <c r="H3142" s="1"/>
      <c r="I3142" s="1"/>
    </row>
    <row r="3143" spans="1:9" x14ac:dyDescent="0.25">
      <c r="A3143" s="6" t="s">
        <v>101</v>
      </c>
      <c r="B3143" s="6">
        <f t="shared" si="721"/>
        <v>2048</v>
      </c>
      <c r="C3143" s="1" t="s">
        <v>42</v>
      </c>
      <c r="D3143" s="2" t="s">
        <v>128</v>
      </c>
      <c r="E3143" s="9" t="str">
        <f t="shared" si="719"/>
        <v>PRBND'!</v>
      </c>
      <c r="F3143" s="5" t="str">
        <f t="shared" si="720"/>
        <v>C:\Users\jaime.benazar\Quorum Business Solutions\Ecopetrol Prometeo - Documents\Planning Space Implementation\3. Analysis &amp; Design\Design\FC22\DRR Jaime\QUIFA-CAJÚA\Cajua\[VAS_CAJUA_CF_SEC_20230125.xlsx]CF PRBND'!</v>
      </c>
      <c r="G3143" s="6" t="s">
        <v>43</v>
      </c>
      <c r="H3143" s="1"/>
      <c r="I3143" s="1"/>
    </row>
    <row r="3144" spans="1:9" x14ac:dyDescent="0.25">
      <c r="A3144" s="6" t="s">
        <v>101</v>
      </c>
      <c r="B3144" s="6">
        <f t="shared" si="721"/>
        <v>2049</v>
      </c>
      <c r="C3144" s="1" t="s">
        <v>42</v>
      </c>
      <c r="D3144" s="2" t="s">
        <v>128</v>
      </c>
      <c r="E3144" s="9" t="str">
        <f t="shared" si="719"/>
        <v>PRBND'!</v>
      </c>
      <c r="F3144" s="5" t="str">
        <f t="shared" si="720"/>
        <v>C:\Users\jaime.benazar\Quorum Business Solutions\Ecopetrol Prometeo - Documents\Planning Space Implementation\3. Analysis &amp; Design\Design\FC22\DRR Jaime\QUIFA-CAJÚA\Cajua\[VAS_CAJUA_CF_SEC_20230125.xlsx]CF PRBND'!</v>
      </c>
      <c r="G3144" s="6" t="s">
        <v>43</v>
      </c>
      <c r="H3144" s="1"/>
      <c r="I3144" s="1"/>
    </row>
    <row r="3145" spans="1:9" x14ac:dyDescent="0.25">
      <c r="A3145" s="6" t="s">
        <v>101</v>
      </c>
      <c r="B3145" s="6">
        <f t="shared" si="721"/>
        <v>2050</v>
      </c>
      <c r="C3145" s="1" t="s">
        <v>42</v>
      </c>
      <c r="D3145" s="2" t="s">
        <v>128</v>
      </c>
      <c r="E3145" s="9" t="str">
        <f t="shared" si="719"/>
        <v>PRBND'!</v>
      </c>
      <c r="F3145" s="5" t="str">
        <f t="shared" si="720"/>
        <v>C:\Users\jaime.benazar\Quorum Business Solutions\Ecopetrol Prometeo - Documents\Planning Space Implementation\3. Analysis &amp; Design\Design\FC22\DRR Jaime\QUIFA-CAJÚA\Cajua\[VAS_CAJUA_CF_SEC_20230125.xlsx]CF PRBND'!</v>
      </c>
      <c r="G3145" s="6" t="s">
        <v>43</v>
      </c>
      <c r="H3145" s="1"/>
      <c r="I3145" s="1"/>
    </row>
    <row r="3146" spans="1:9" x14ac:dyDescent="0.25">
      <c r="A3146" s="6" t="s">
        <v>101</v>
      </c>
      <c r="B3146" s="6">
        <f t="shared" si="721"/>
        <v>2051</v>
      </c>
      <c r="C3146" s="1" t="s">
        <v>42</v>
      </c>
      <c r="D3146" s="2" t="s">
        <v>128</v>
      </c>
      <c r="E3146" s="9" t="str">
        <f t="shared" si="719"/>
        <v>PRBND'!</v>
      </c>
      <c r="F3146" s="5" t="str">
        <f t="shared" si="720"/>
        <v>C:\Users\jaime.benazar\Quorum Business Solutions\Ecopetrol Prometeo - Documents\Planning Space Implementation\3. Analysis &amp; Design\Design\FC22\DRR Jaime\QUIFA-CAJÚA\Cajua\[VAS_CAJUA_CF_SEC_20230125.xlsx]CF PRBND'!</v>
      </c>
      <c r="G3146" s="6" t="s">
        <v>43</v>
      </c>
      <c r="H3146" s="1"/>
      <c r="I3146" s="1"/>
    </row>
    <row r="3147" spans="1:9" x14ac:dyDescent="0.25">
      <c r="A3147" s="6" t="s">
        <v>101</v>
      </c>
      <c r="B3147" s="6">
        <f t="shared" si="721"/>
        <v>2052</v>
      </c>
      <c r="C3147" s="1" t="s">
        <v>42</v>
      </c>
      <c r="D3147" s="2" t="s">
        <v>128</v>
      </c>
      <c r="E3147" s="9" t="str">
        <f t="shared" si="719"/>
        <v>PRBND'!</v>
      </c>
      <c r="F3147" s="5" t="str">
        <f t="shared" si="720"/>
        <v>C:\Users\jaime.benazar\Quorum Business Solutions\Ecopetrol Prometeo - Documents\Planning Space Implementation\3. Analysis &amp; Design\Design\FC22\DRR Jaime\QUIFA-CAJÚA\Cajua\[VAS_CAJUA_CF_SEC_20230125.xlsx]CF PRBND'!</v>
      </c>
      <c r="G3147" s="6" t="s">
        <v>43</v>
      </c>
      <c r="H3147" s="1"/>
      <c r="I3147" s="1"/>
    </row>
    <row r="3148" spans="1:9" x14ac:dyDescent="0.25">
      <c r="A3148" s="6" t="s">
        <v>101</v>
      </c>
      <c r="B3148" s="6">
        <f t="shared" si="721"/>
        <v>2053</v>
      </c>
      <c r="C3148" s="1" t="s">
        <v>42</v>
      </c>
      <c r="D3148" s="2" t="s">
        <v>128</v>
      </c>
      <c r="E3148" s="9" t="str">
        <f t="shared" si="719"/>
        <v>PRBND'!</v>
      </c>
      <c r="F3148" s="5" t="str">
        <f t="shared" si="720"/>
        <v>C:\Users\jaime.benazar\Quorum Business Solutions\Ecopetrol Prometeo - Documents\Planning Space Implementation\3. Analysis &amp; Design\Design\FC22\DRR Jaime\QUIFA-CAJÚA\Cajua\[VAS_CAJUA_CF_SEC_20230125.xlsx]CF PRBND'!</v>
      </c>
      <c r="G3148" s="6" t="s">
        <v>43</v>
      </c>
      <c r="H3148" s="1"/>
      <c r="I3148" s="1"/>
    </row>
    <row r="3149" spans="1:9" x14ac:dyDescent="0.25">
      <c r="A3149" s="6" t="s">
        <v>101</v>
      </c>
      <c r="B3149" s="6">
        <f t="shared" si="721"/>
        <v>2054</v>
      </c>
      <c r="C3149" s="1" t="s">
        <v>42</v>
      </c>
      <c r="D3149" s="2" t="s">
        <v>128</v>
      </c>
      <c r="E3149" s="9" t="str">
        <f t="shared" si="719"/>
        <v>PRBND'!</v>
      </c>
      <c r="F3149" s="5" t="str">
        <f t="shared" si="720"/>
        <v>C:\Users\jaime.benazar\Quorum Business Solutions\Ecopetrol Prometeo - Documents\Planning Space Implementation\3. Analysis &amp; Design\Design\FC22\DRR Jaime\QUIFA-CAJÚA\Cajua\[VAS_CAJUA_CF_SEC_20230125.xlsx]CF PRBND'!</v>
      </c>
      <c r="G3149" s="6" t="s">
        <v>43</v>
      </c>
      <c r="H3149" s="1"/>
      <c r="I3149" s="1"/>
    </row>
    <row r="3150" spans="1:9" x14ac:dyDescent="0.25">
      <c r="A3150" s="6" t="s">
        <v>101</v>
      </c>
      <c r="B3150" s="6">
        <f t="shared" si="721"/>
        <v>2055</v>
      </c>
      <c r="C3150" s="1" t="s">
        <v>42</v>
      </c>
      <c r="D3150" s="2" t="s">
        <v>128</v>
      </c>
      <c r="E3150" s="9" t="str">
        <f t="shared" si="719"/>
        <v>PRBND'!</v>
      </c>
      <c r="F3150" s="5" t="str">
        <f t="shared" si="720"/>
        <v>C:\Users\jaime.benazar\Quorum Business Solutions\Ecopetrol Prometeo - Documents\Planning Space Implementation\3. Analysis &amp; Design\Design\FC22\DRR Jaime\QUIFA-CAJÚA\Cajua\[VAS_CAJUA_CF_SEC_20230125.xlsx]CF PRBND'!</v>
      </c>
      <c r="G3150" s="6" t="s">
        <v>43</v>
      </c>
      <c r="H3150" s="1"/>
      <c r="I3150" s="1"/>
    </row>
    <row r="3151" spans="1:9" x14ac:dyDescent="0.25">
      <c r="A3151" s="6" t="s">
        <v>101</v>
      </c>
      <c r="B3151" s="6">
        <f t="shared" si="721"/>
        <v>2056</v>
      </c>
      <c r="C3151" s="1" t="s">
        <v>42</v>
      </c>
      <c r="D3151" s="2" t="s">
        <v>128</v>
      </c>
      <c r="E3151" s="9" t="str">
        <f t="shared" si="719"/>
        <v>PRBND'!</v>
      </c>
      <c r="F3151" s="5" t="str">
        <f t="shared" si="720"/>
        <v>C:\Users\jaime.benazar\Quorum Business Solutions\Ecopetrol Prometeo - Documents\Planning Space Implementation\3. Analysis &amp; Design\Design\FC22\DRR Jaime\QUIFA-CAJÚA\Cajua\[VAS_CAJUA_CF_SEC_20230125.xlsx]CF PRBND'!</v>
      </c>
      <c r="G3151" s="6" t="s">
        <v>43</v>
      </c>
      <c r="H3151" s="1"/>
      <c r="I3151" s="1"/>
    </row>
    <row r="3152" spans="1:9" x14ac:dyDescent="0.25">
      <c r="A3152" s="6" t="s">
        <v>101</v>
      </c>
      <c r="B3152" s="6">
        <f t="shared" si="721"/>
        <v>2057</v>
      </c>
      <c r="C3152" s="1" t="s">
        <v>42</v>
      </c>
      <c r="D3152" s="2" t="s">
        <v>128</v>
      </c>
      <c r="E3152" s="9" t="str">
        <f t="shared" si="719"/>
        <v>PRBND'!</v>
      </c>
      <c r="F3152" s="5" t="str">
        <f t="shared" si="720"/>
        <v>C:\Users\jaime.benazar\Quorum Business Solutions\Ecopetrol Prometeo - Documents\Planning Space Implementation\3. Analysis &amp; Design\Design\FC22\DRR Jaime\QUIFA-CAJÚA\Cajua\[VAS_CAJUA_CF_SEC_20230125.xlsx]CF PRBND'!</v>
      </c>
      <c r="G3152" s="6" t="s">
        <v>43</v>
      </c>
      <c r="H3152" s="1"/>
      <c r="I3152" s="1"/>
    </row>
    <row r="3153" spans="1:10" x14ac:dyDescent="0.25">
      <c r="A3153" s="6" t="s">
        <v>101</v>
      </c>
      <c r="B3153" s="6">
        <f t="shared" si="721"/>
        <v>2058</v>
      </c>
      <c r="C3153" s="1" t="s">
        <v>42</v>
      </c>
      <c r="D3153" s="2" t="s">
        <v>128</v>
      </c>
      <c r="E3153" s="9" t="str">
        <f t="shared" si="719"/>
        <v>PRBND'!</v>
      </c>
      <c r="F3153" s="5" t="str">
        <f t="shared" si="720"/>
        <v>C:\Users\jaime.benazar\Quorum Business Solutions\Ecopetrol Prometeo - Documents\Planning Space Implementation\3. Analysis &amp; Design\Design\FC22\DRR Jaime\QUIFA-CAJÚA\Cajua\[VAS_CAJUA_CF_SEC_20230125.xlsx]CF PRBND'!</v>
      </c>
      <c r="G3153" s="6" t="s">
        <v>43</v>
      </c>
      <c r="H3153" s="1"/>
      <c r="I3153" s="1"/>
    </row>
    <row r="3154" spans="1:10" x14ac:dyDescent="0.25">
      <c r="A3154" s="6" t="s">
        <v>101</v>
      </c>
      <c r="B3154" s="6">
        <f t="shared" si="721"/>
        <v>2059</v>
      </c>
      <c r="C3154" s="1" t="s">
        <v>42</v>
      </c>
      <c r="D3154" s="2" t="s">
        <v>128</v>
      </c>
      <c r="E3154" s="9" t="str">
        <f t="shared" si="719"/>
        <v>PRBND'!</v>
      </c>
      <c r="F3154" s="5" t="str">
        <f t="shared" si="720"/>
        <v>C:\Users\jaime.benazar\Quorum Business Solutions\Ecopetrol Prometeo - Documents\Planning Space Implementation\3. Analysis &amp; Design\Design\FC22\DRR Jaime\QUIFA-CAJÚA\Cajua\[VAS_CAJUA_CF_SEC_20230125.xlsx]CF PRBND'!</v>
      </c>
      <c r="G3154" s="6" t="s">
        <v>43</v>
      </c>
      <c r="H3154" s="1"/>
      <c r="I3154" s="1"/>
    </row>
    <row r="3155" spans="1:10" x14ac:dyDescent="0.25">
      <c r="A3155" s="7" t="s">
        <v>28</v>
      </c>
      <c r="B3155" s="6"/>
      <c r="C3155" s="1" t="s">
        <v>42</v>
      </c>
      <c r="D3155" s="2"/>
      <c r="E3155" s="9"/>
      <c r="F3155" s="5"/>
      <c r="G3155" s="6"/>
      <c r="H3155" s="1"/>
      <c r="I3155" s="1"/>
    </row>
    <row r="3156" spans="1:10" x14ac:dyDescent="0.25">
      <c r="A3156" s="6" t="s">
        <v>4</v>
      </c>
      <c r="B3156" s="6">
        <v>2023</v>
      </c>
      <c r="C3156" s="1" t="s">
        <v>42</v>
      </c>
      <c r="D3156" s="2" t="s">
        <v>128</v>
      </c>
      <c r="E3156" s="9" t="str">
        <f t="shared" si="690"/>
        <v>PRB'!</v>
      </c>
      <c r="F3156" s="5" t="str">
        <f t="shared" ref="F3156:F3176" si="722">_xlfn.CONCAT(D3156," ",E3156)</f>
        <v>C:\Users\jaime.benazar\Quorum Business Solutions\Ecopetrol Prometeo - Documents\Planning Space Implementation\3. Analysis &amp; Design\Design\FC22\DRR Jaime\QUIFA-CAJÚA\Cajua\[VAS_CAJUA_CF_SEC_20230125.xlsx]CF PRB'!</v>
      </c>
      <c r="G3156" s="6" t="s">
        <v>43</v>
      </c>
      <c r="H3156" s="1">
        <f>IF(A3156&lt;&gt;A3026,36,H3026+1)</f>
        <v>36</v>
      </c>
      <c r="I3156" s="1" t="str">
        <f t="shared" si="691"/>
        <v>='C:\Users\jaime.benazar\Quorum Business Solutions\Ecopetrol Prometeo - Documents\Planning Space Implementation\3. Analysis &amp; Design\Design\FC22\DRR Jaime\QUIFA-CAJÚA\Cajua\[VAS_CAJUA_CF_SEC_20230125.xlsx]CF PRB'!$DI$36</v>
      </c>
      <c r="J3156" t="s">
        <v>1535</v>
      </c>
    </row>
    <row r="3157" spans="1:10" x14ac:dyDescent="0.25">
      <c r="A3157" s="6" t="s">
        <v>4</v>
      </c>
      <c r="B3157" s="6">
        <f>+B3156+1</f>
        <v>2024</v>
      </c>
      <c r="C3157" s="1" t="s">
        <v>42</v>
      </c>
      <c r="D3157" s="2" t="s">
        <v>128</v>
      </c>
      <c r="E3157" s="9" t="str">
        <f t="shared" si="690"/>
        <v>PRB'!</v>
      </c>
      <c r="F3157" s="5" t="str">
        <f t="shared" si="722"/>
        <v>C:\Users\jaime.benazar\Quorum Business Solutions\Ecopetrol Prometeo - Documents\Planning Space Implementation\3. Analysis &amp; Design\Design\FC22\DRR Jaime\QUIFA-CAJÚA\Cajua\[VAS_CAJUA_CF_SEC_20230125.xlsx]CF PRB'!</v>
      </c>
      <c r="G3157" s="6" t="s">
        <v>43</v>
      </c>
      <c r="H3157" s="1">
        <f t="shared" si="692"/>
        <v>37</v>
      </c>
      <c r="I3157" s="1" t="str">
        <f t="shared" si="691"/>
        <v>='C:\Users\jaime.benazar\Quorum Business Solutions\Ecopetrol Prometeo - Documents\Planning Space Implementation\3. Analysis &amp; Design\Design\FC22\DRR Jaime\QUIFA-CAJÚA\Cajua\[VAS_CAJUA_CF_SEC_20230125.xlsx]CF PRB'!$DI$37</v>
      </c>
      <c r="J3157" t="s">
        <v>1536</v>
      </c>
    </row>
    <row r="3158" spans="1:10" x14ac:dyDescent="0.25">
      <c r="A3158" s="6" t="s">
        <v>4</v>
      </c>
      <c r="B3158" s="6">
        <f t="shared" ref="B3158:B3169" si="723">+B3157+1</f>
        <v>2025</v>
      </c>
      <c r="C3158" s="1" t="s">
        <v>42</v>
      </c>
      <c r="D3158" s="2" t="s">
        <v>128</v>
      </c>
      <c r="E3158" s="9" t="str">
        <f t="shared" si="690"/>
        <v>PRB'!</v>
      </c>
      <c r="F3158" s="5" t="str">
        <f t="shared" si="722"/>
        <v>C:\Users\jaime.benazar\Quorum Business Solutions\Ecopetrol Prometeo - Documents\Planning Space Implementation\3. Analysis &amp; Design\Design\FC22\DRR Jaime\QUIFA-CAJÚA\Cajua\[VAS_CAJUA_CF_SEC_20230125.xlsx]CF PRB'!</v>
      </c>
      <c r="G3158" s="6" t="s">
        <v>43</v>
      </c>
      <c r="H3158" s="1">
        <f t="shared" si="692"/>
        <v>38</v>
      </c>
      <c r="I3158" s="1" t="str">
        <f t="shared" si="691"/>
        <v>='C:\Users\jaime.benazar\Quorum Business Solutions\Ecopetrol Prometeo - Documents\Planning Space Implementation\3. Analysis &amp; Design\Design\FC22\DRR Jaime\QUIFA-CAJÚA\Cajua\[VAS_CAJUA_CF_SEC_20230125.xlsx]CF PRB'!$DI$38</v>
      </c>
      <c r="J3158" t="s">
        <v>1537</v>
      </c>
    </row>
    <row r="3159" spans="1:10" x14ac:dyDescent="0.25">
      <c r="A3159" s="6" t="s">
        <v>4</v>
      </c>
      <c r="B3159" s="6">
        <f t="shared" si="723"/>
        <v>2026</v>
      </c>
      <c r="C3159" s="1" t="s">
        <v>42</v>
      </c>
      <c r="D3159" s="2" t="s">
        <v>128</v>
      </c>
      <c r="E3159" s="9" t="str">
        <f t="shared" si="690"/>
        <v>PRB'!</v>
      </c>
      <c r="F3159" s="5" t="str">
        <f t="shared" si="722"/>
        <v>C:\Users\jaime.benazar\Quorum Business Solutions\Ecopetrol Prometeo - Documents\Planning Space Implementation\3. Analysis &amp; Design\Design\FC22\DRR Jaime\QUIFA-CAJÚA\Cajua\[VAS_CAJUA_CF_SEC_20230125.xlsx]CF PRB'!</v>
      </c>
      <c r="G3159" s="6" t="s">
        <v>43</v>
      </c>
      <c r="H3159" s="1">
        <f t="shared" si="692"/>
        <v>39</v>
      </c>
      <c r="I3159" s="1" t="str">
        <f t="shared" si="691"/>
        <v>='C:\Users\jaime.benazar\Quorum Business Solutions\Ecopetrol Prometeo - Documents\Planning Space Implementation\3. Analysis &amp; Design\Design\FC22\DRR Jaime\QUIFA-CAJÚA\Cajua\[VAS_CAJUA_CF_SEC_20230125.xlsx]CF PRB'!$DI$39</v>
      </c>
      <c r="J3159" t="s">
        <v>1538</v>
      </c>
    </row>
    <row r="3160" spans="1:10" x14ac:dyDescent="0.25">
      <c r="A3160" s="6" t="s">
        <v>4</v>
      </c>
      <c r="B3160" s="6">
        <f t="shared" si="723"/>
        <v>2027</v>
      </c>
      <c r="C3160" s="1" t="s">
        <v>42</v>
      </c>
      <c r="D3160" s="2" t="s">
        <v>128</v>
      </c>
      <c r="E3160" s="9" t="str">
        <f t="shared" si="690"/>
        <v>PRB'!</v>
      </c>
      <c r="F3160" s="5" t="str">
        <f t="shared" si="722"/>
        <v>C:\Users\jaime.benazar\Quorum Business Solutions\Ecopetrol Prometeo - Documents\Planning Space Implementation\3. Analysis &amp; Design\Design\FC22\DRR Jaime\QUIFA-CAJÚA\Cajua\[VAS_CAJUA_CF_SEC_20230125.xlsx]CF PRB'!</v>
      </c>
      <c r="G3160" s="6" t="s">
        <v>43</v>
      </c>
      <c r="H3160" s="1">
        <f t="shared" si="692"/>
        <v>40</v>
      </c>
      <c r="I3160" s="1" t="str">
        <f t="shared" si="691"/>
        <v>='C:\Users\jaime.benazar\Quorum Business Solutions\Ecopetrol Prometeo - Documents\Planning Space Implementation\3. Analysis &amp; Design\Design\FC22\DRR Jaime\QUIFA-CAJÚA\Cajua\[VAS_CAJUA_CF_SEC_20230125.xlsx]CF PRB'!$DI$40</v>
      </c>
      <c r="J3160" t="s">
        <v>1539</v>
      </c>
    </row>
    <row r="3161" spans="1:10" x14ac:dyDescent="0.25">
      <c r="A3161" s="6" t="s">
        <v>4</v>
      </c>
      <c r="B3161" s="6">
        <f t="shared" si="723"/>
        <v>2028</v>
      </c>
      <c r="C3161" s="1" t="s">
        <v>42</v>
      </c>
      <c r="D3161" s="2" t="s">
        <v>128</v>
      </c>
      <c r="E3161" s="9" t="str">
        <f t="shared" si="690"/>
        <v>PRB'!</v>
      </c>
      <c r="F3161" s="5" t="str">
        <f t="shared" si="722"/>
        <v>C:\Users\jaime.benazar\Quorum Business Solutions\Ecopetrol Prometeo - Documents\Planning Space Implementation\3. Analysis &amp; Design\Design\FC22\DRR Jaime\QUIFA-CAJÚA\Cajua\[VAS_CAJUA_CF_SEC_20230125.xlsx]CF PRB'!</v>
      </c>
      <c r="G3161" s="6" t="s">
        <v>43</v>
      </c>
      <c r="H3161" s="1">
        <f t="shared" si="692"/>
        <v>41</v>
      </c>
      <c r="I3161" s="1" t="str">
        <f t="shared" si="691"/>
        <v>='C:\Users\jaime.benazar\Quorum Business Solutions\Ecopetrol Prometeo - Documents\Planning Space Implementation\3. Analysis &amp; Design\Design\FC22\DRR Jaime\QUIFA-CAJÚA\Cajua\[VAS_CAJUA_CF_SEC_20230125.xlsx]CF PRB'!$DI$41</v>
      </c>
      <c r="J3161" t="s">
        <v>1540</v>
      </c>
    </row>
    <row r="3162" spans="1:10" x14ac:dyDescent="0.25">
      <c r="A3162" s="6" t="s">
        <v>4</v>
      </c>
      <c r="B3162" s="6">
        <f t="shared" si="723"/>
        <v>2029</v>
      </c>
      <c r="C3162" s="1" t="s">
        <v>42</v>
      </c>
      <c r="D3162" s="2" t="s">
        <v>128</v>
      </c>
      <c r="E3162" s="9" t="str">
        <f t="shared" si="690"/>
        <v>PRB'!</v>
      </c>
      <c r="F3162" s="5" t="str">
        <f t="shared" si="722"/>
        <v>C:\Users\jaime.benazar\Quorum Business Solutions\Ecopetrol Prometeo - Documents\Planning Space Implementation\3. Analysis &amp; Design\Design\FC22\DRR Jaime\QUIFA-CAJÚA\Cajua\[VAS_CAJUA_CF_SEC_20230125.xlsx]CF PRB'!</v>
      </c>
      <c r="G3162" s="6" t="s">
        <v>43</v>
      </c>
      <c r="H3162" s="1">
        <f t="shared" si="692"/>
        <v>42</v>
      </c>
      <c r="I3162" s="1" t="str">
        <f t="shared" si="691"/>
        <v>='C:\Users\jaime.benazar\Quorum Business Solutions\Ecopetrol Prometeo - Documents\Planning Space Implementation\3. Analysis &amp; Design\Design\FC22\DRR Jaime\QUIFA-CAJÚA\Cajua\[VAS_CAJUA_CF_SEC_20230125.xlsx]CF PRB'!$DI$42</v>
      </c>
      <c r="J3162" t="s">
        <v>1541</v>
      </c>
    </row>
    <row r="3163" spans="1:10" x14ac:dyDescent="0.25">
      <c r="A3163" s="6" t="s">
        <v>4</v>
      </c>
      <c r="B3163" s="6">
        <f t="shared" si="723"/>
        <v>2030</v>
      </c>
      <c r="C3163" s="1" t="s">
        <v>42</v>
      </c>
      <c r="D3163" s="2" t="s">
        <v>128</v>
      </c>
      <c r="E3163" s="9" t="str">
        <f t="shared" si="690"/>
        <v>PRB'!</v>
      </c>
      <c r="F3163" s="5" t="str">
        <f t="shared" si="722"/>
        <v>C:\Users\jaime.benazar\Quorum Business Solutions\Ecopetrol Prometeo - Documents\Planning Space Implementation\3. Analysis &amp; Design\Design\FC22\DRR Jaime\QUIFA-CAJÚA\Cajua\[VAS_CAJUA_CF_SEC_20230125.xlsx]CF PRB'!</v>
      </c>
      <c r="G3163" s="6" t="s">
        <v>43</v>
      </c>
      <c r="H3163" s="1">
        <f t="shared" si="692"/>
        <v>43</v>
      </c>
      <c r="I3163" s="1" t="str">
        <f t="shared" si="691"/>
        <v>='C:\Users\jaime.benazar\Quorum Business Solutions\Ecopetrol Prometeo - Documents\Planning Space Implementation\3. Analysis &amp; Design\Design\FC22\DRR Jaime\QUIFA-CAJÚA\Cajua\[VAS_CAJUA_CF_SEC_20230125.xlsx]CF PRB'!$DI$43</v>
      </c>
      <c r="J3163" t="s">
        <v>1542</v>
      </c>
    </row>
    <row r="3164" spans="1:10" x14ac:dyDescent="0.25">
      <c r="A3164" s="6" t="s">
        <v>4</v>
      </c>
      <c r="B3164" s="6">
        <f t="shared" si="723"/>
        <v>2031</v>
      </c>
      <c r="C3164" s="1" t="s">
        <v>42</v>
      </c>
      <c r="D3164" s="2" t="s">
        <v>128</v>
      </c>
      <c r="E3164" s="9" t="str">
        <f t="shared" si="690"/>
        <v>PRB'!</v>
      </c>
      <c r="F3164" s="5" t="str">
        <f t="shared" si="722"/>
        <v>C:\Users\jaime.benazar\Quorum Business Solutions\Ecopetrol Prometeo - Documents\Planning Space Implementation\3. Analysis &amp; Design\Design\FC22\DRR Jaime\QUIFA-CAJÚA\Cajua\[VAS_CAJUA_CF_SEC_20230125.xlsx]CF PRB'!</v>
      </c>
      <c r="G3164" s="6" t="s">
        <v>43</v>
      </c>
      <c r="H3164" s="1">
        <f t="shared" si="692"/>
        <v>44</v>
      </c>
      <c r="I3164" s="1" t="str">
        <f t="shared" si="691"/>
        <v>='C:\Users\jaime.benazar\Quorum Business Solutions\Ecopetrol Prometeo - Documents\Planning Space Implementation\3. Analysis &amp; Design\Design\FC22\DRR Jaime\QUIFA-CAJÚA\Cajua\[VAS_CAJUA_CF_SEC_20230125.xlsx]CF PRB'!$DI$44</v>
      </c>
      <c r="J3164" t="s">
        <v>1543</v>
      </c>
    </row>
    <row r="3165" spans="1:10" x14ac:dyDescent="0.25">
      <c r="A3165" s="6" t="s">
        <v>4</v>
      </c>
      <c r="B3165" s="6">
        <f t="shared" si="723"/>
        <v>2032</v>
      </c>
      <c r="C3165" s="1" t="s">
        <v>42</v>
      </c>
      <c r="D3165" s="2" t="s">
        <v>128</v>
      </c>
      <c r="E3165" s="9" t="str">
        <f t="shared" si="690"/>
        <v>PRB'!</v>
      </c>
      <c r="F3165" s="5" t="str">
        <f t="shared" si="722"/>
        <v>C:\Users\jaime.benazar\Quorum Business Solutions\Ecopetrol Prometeo - Documents\Planning Space Implementation\3. Analysis &amp; Design\Design\FC22\DRR Jaime\QUIFA-CAJÚA\Cajua\[VAS_CAJUA_CF_SEC_20230125.xlsx]CF PRB'!</v>
      </c>
      <c r="G3165" s="6" t="s">
        <v>43</v>
      </c>
      <c r="H3165" s="1">
        <f t="shared" si="692"/>
        <v>45</v>
      </c>
      <c r="I3165" s="1" t="str">
        <f t="shared" si="691"/>
        <v>='C:\Users\jaime.benazar\Quorum Business Solutions\Ecopetrol Prometeo - Documents\Planning Space Implementation\3. Analysis &amp; Design\Design\FC22\DRR Jaime\QUIFA-CAJÚA\Cajua\[VAS_CAJUA_CF_SEC_20230125.xlsx]CF PRB'!$DI$45</v>
      </c>
      <c r="J3165" t="s">
        <v>1544</v>
      </c>
    </row>
    <row r="3166" spans="1:10" x14ac:dyDescent="0.25">
      <c r="A3166" s="6" t="s">
        <v>4</v>
      </c>
      <c r="B3166" s="6">
        <f t="shared" si="723"/>
        <v>2033</v>
      </c>
      <c r="C3166" s="1" t="s">
        <v>42</v>
      </c>
      <c r="D3166" s="2" t="s">
        <v>128</v>
      </c>
      <c r="E3166" s="9" t="str">
        <f t="shared" si="690"/>
        <v>PRB'!</v>
      </c>
      <c r="F3166" s="5" t="str">
        <f t="shared" si="722"/>
        <v>C:\Users\jaime.benazar\Quorum Business Solutions\Ecopetrol Prometeo - Documents\Planning Space Implementation\3. Analysis &amp; Design\Design\FC22\DRR Jaime\QUIFA-CAJÚA\Cajua\[VAS_CAJUA_CF_SEC_20230125.xlsx]CF PRB'!</v>
      </c>
      <c r="G3166" s="6" t="s">
        <v>43</v>
      </c>
      <c r="H3166" s="1">
        <f t="shared" si="692"/>
        <v>46</v>
      </c>
      <c r="I3166" s="1" t="str">
        <f t="shared" si="691"/>
        <v>='C:\Users\jaime.benazar\Quorum Business Solutions\Ecopetrol Prometeo - Documents\Planning Space Implementation\3. Analysis &amp; Design\Design\FC22\DRR Jaime\QUIFA-CAJÚA\Cajua\[VAS_CAJUA_CF_SEC_20230125.xlsx]CF PRB'!$DI$46</v>
      </c>
      <c r="J3166" t="s">
        <v>1545</v>
      </c>
    </row>
    <row r="3167" spans="1:10" x14ac:dyDescent="0.25">
      <c r="A3167" s="6" t="s">
        <v>4</v>
      </c>
      <c r="B3167" s="6">
        <f t="shared" si="723"/>
        <v>2034</v>
      </c>
      <c r="C3167" s="1" t="s">
        <v>42</v>
      </c>
      <c r="D3167" s="2" t="s">
        <v>128</v>
      </c>
      <c r="E3167" s="9" t="str">
        <f t="shared" si="690"/>
        <v>PRB'!</v>
      </c>
      <c r="F3167" s="5" t="str">
        <f t="shared" si="722"/>
        <v>C:\Users\jaime.benazar\Quorum Business Solutions\Ecopetrol Prometeo - Documents\Planning Space Implementation\3. Analysis &amp; Design\Design\FC22\DRR Jaime\QUIFA-CAJÚA\Cajua\[VAS_CAJUA_CF_SEC_20230125.xlsx]CF PRB'!</v>
      </c>
      <c r="G3167" s="6" t="s">
        <v>43</v>
      </c>
      <c r="H3167" s="1">
        <f t="shared" si="692"/>
        <v>47</v>
      </c>
      <c r="I3167" s="1" t="str">
        <f t="shared" si="691"/>
        <v>='C:\Users\jaime.benazar\Quorum Business Solutions\Ecopetrol Prometeo - Documents\Planning Space Implementation\3. Analysis &amp; Design\Design\FC22\DRR Jaime\QUIFA-CAJÚA\Cajua\[VAS_CAJUA_CF_SEC_20230125.xlsx]CF PRB'!$DI$47</v>
      </c>
      <c r="J3167" t="s">
        <v>1546</v>
      </c>
    </row>
    <row r="3168" spans="1:10" x14ac:dyDescent="0.25">
      <c r="A3168" s="6" t="s">
        <v>4</v>
      </c>
      <c r="B3168" s="6">
        <f t="shared" si="723"/>
        <v>2035</v>
      </c>
      <c r="C3168" s="1" t="s">
        <v>42</v>
      </c>
      <c r="D3168" s="2" t="s">
        <v>128</v>
      </c>
      <c r="E3168" s="9" t="str">
        <f t="shared" si="690"/>
        <v>PRB'!</v>
      </c>
      <c r="F3168" s="5" t="str">
        <f t="shared" si="722"/>
        <v>C:\Users\jaime.benazar\Quorum Business Solutions\Ecopetrol Prometeo - Documents\Planning Space Implementation\3. Analysis &amp; Design\Design\FC22\DRR Jaime\QUIFA-CAJÚA\Cajua\[VAS_CAJUA_CF_SEC_20230125.xlsx]CF PRB'!</v>
      </c>
      <c r="G3168" s="6" t="s">
        <v>43</v>
      </c>
      <c r="H3168" s="1">
        <f t="shared" si="692"/>
        <v>48</v>
      </c>
      <c r="I3168" s="1" t="str">
        <f t="shared" si="691"/>
        <v>='C:\Users\jaime.benazar\Quorum Business Solutions\Ecopetrol Prometeo - Documents\Planning Space Implementation\3. Analysis &amp; Design\Design\FC22\DRR Jaime\QUIFA-CAJÚA\Cajua\[VAS_CAJUA_CF_SEC_20230125.xlsx]CF PRB'!$DI$48</v>
      </c>
      <c r="J3168" t="s">
        <v>1547</v>
      </c>
    </row>
    <row r="3169" spans="1:10" x14ac:dyDescent="0.25">
      <c r="A3169" s="6" t="s">
        <v>4</v>
      </c>
      <c r="B3169" s="6">
        <f t="shared" si="723"/>
        <v>2036</v>
      </c>
      <c r="C3169" s="1" t="s">
        <v>42</v>
      </c>
      <c r="D3169" s="2" t="s">
        <v>128</v>
      </c>
      <c r="E3169" s="9" t="str">
        <f t="shared" si="690"/>
        <v>PRB'!</v>
      </c>
      <c r="F3169" s="5" t="str">
        <f t="shared" si="722"/>
        <v>C:\Users\jaime.benazar\Quorum Business Solutions\Ecopetrol Prometeo - Documents\Planning Space Implementation\3. Analysis &amp; Design\Design\FC22\DRR Jaime\QUIFA-CAJÚA\Cajua\[VAS_CAJUA_CF_SEC_20230125.xlsx]CF PRB'!</v>
      </c>
      <c r="G3169" s="6" t="s">
        <v>43</v>
      </c>
      <c r="H3169" s="1">
        <f t="shared" si="692"/>
        <v>49</v>
      </c>
      <c r="I3169" s="1" t="str">
        <f t="shared" si="691"/>
        <v>='C:\Users\jaime.benazar\Quorum Business Solutions\Ecopetrol Prometeo - Documents\Planning Space Implementation\3. Analysis &amp; Design\Design\FC22\DRR Jaime\QUIFA-CAJÚA\Cajua\[VAS_CAJUA_CF_SEC_20230125.xlsx]CF PRB'!$DI$49</v>
      </c>
      <c r="J3169" t="s">
        <v>1548</v>
      </c>
    </row>
    <row r="3170" spans="1:10" x14ac:dyDescent="0.25">
      <c r="A3170" s="6" t="s">
        <v>4</v>
      </c>
      <c r="B3170" s="6">
        <f>+B3169+1</f>
        <v>2037</v>
      </c>
      <c r="C3170" s="1" t="s">
        <v>42</v>
      </c>
      <c r="D3170" s="2" t="s">
        <v>128</v>
      </c>
      <c r="E3170" s="9" t="str">
        <f t="shared" si="690"/>
        <v>PRB'!</v>
      </c>
      <c r="F3170" s="5" t="str">
        <f t="shared" si="722"/>
        <v>C:\Users\jaime.benazar\Quorum Business Solutions\Ecopetrol Prometeo - Documents\Planning Space Implementation\3. Analysis &amp; Design\Design\FC22\DRR Jaime\QUIFA-CAJÚA\Cajua\[VAS_CAJUA_CF_SEC_20230125.xlsx]CF PRB'!</v>
      </c>
      <c r="G3170" s="6" t="s">
        <v>43</v>
      </c>
      <c r="H3170" s="1">
        <f t="shared" si="692"/>
        <v>50</v>
      </c>
      <c r="I3170" s="1" t="str">
        <f t="shared" si="691"/>
        <v>='C:\Users\jaime.benazar\Quorum Business Solutions\Ecopetrol Prometeo - Documents\Planning Space Implementation\3. Analysis &amp; Design\Design\FC22\DRR Jaime\QUIFA-CAJÚA\Cajua\[VAS_CAJUA_CF_SEC_20230125.xlsx]CF PRB'!$DI$50</v>
      </c>
      <c r="J3170" t="s">
        <v>1549</v>
      </c>
    </row>
    <row r="3171" spans="1:10" x14ac:dyDescent="0.25">
      <c r="A3171" s="6" t="s">
        <v>4</v>
      </c>
      <c r="B3171" s="6">
        <f t="shared" ref="B3171:B3173" si="724">+B3170+1</f>
        <v>2038</v>
      </c>
      <c r="C3171" s="1" t="s">
        <v>42</v>
      </c>
      <c r="D3171" s="2" t="s">
        <v>128</v>
      </c>
      <c r="E3171" s="9" t="str">
        <f t="shared" si="690"/>
        <v>PRB'!</v>
      </c>
      <c r="F3171" s="5" t="str">
        <f t="shared" si="722"/>
        <v>C:\Users\jaime.benazar\Quorum Business Solutions\Ecopetrol Prometeo - Documents\Planning Space Implementation\3. Analysis &amp; Design\Design\FC22\DRR Jaime\QUIFA-CAJÚA\Cajua\[VAS_CAJUA_CF_SEC_20230125.xlsx]CF PRB'!</v>
      </c>
      <c r="G3171" s="6" t="s">
        <v>43</v>
      </c>
      <c r="H3171" s="1">
        <f t="shared" si="692"/>
        <v>51</v>
      </c>
      <c r="I3171" s="1" t="str">
        <f t="shared" si="691"/>
        <v>='C:\Users\jaime.benazar\Quorum Business Solutions\Ecopetrol Prometeo - Documents\Planning Space Implementation\3. Analysis &amp; Design\Design\FC22\DRR Jaime\QUIFA-CAJÚA\Cajua\[VAS_CAJUA_CF_SEC_20230125.xlsx]CF PRB'!$DI$51</v>
      </c>
      <c r="J3171" t="s">
        <v>1550</v>
      </c>
    </row>
    <row r="3172" spans="1:10" x14ac:dyDescent="0.25">
      <c r="A3172" s="6" t="s">
        <v>4</v>
      </c>
      <c r="B3172" s="6">
        <f t="shared" si="724"/>
        <v>2039</v>
      </c>
      <c r="C3172" s="1" t="s">
        <v>42</v>
      </c>
      <c r="D3172" s="2" t="s">
        <v>128</v>
      </c>
      <c r="E3172" s="9" t="str">
        <f t="shared" si="690"/>
        <v>PRB'!</v>
      </c>
      <c r="F3172" s="5" t="str">
        <f t="shared" si="722"/>
        <v>C:\Users\jaime.benazar\Quorum Business Solutions\Ecopetrol Prometeo - Documents\Planning Space Implementation\3. Analysis &amp; Design\Design\FC22\DRR Jaime\QUIFA-CAJÚA\Cajua\[VAS_CAJUA_CF_SEC_20230125.xlsx]CF PRB'!</v>
      </c>
      <c r="G3172" s="6" t="s">
        <v>43</v>
      </c>
      <c r="H3172" s="1">
        <f t="shared" si="692"/>
        <v>52</v>
      </c>
      <c r="I3172" s="1" t="str">
        <f t="shared" si="691"/>
        <v>='C:\Users\jaime.benazar\Quorum Business Solutions\Ecopetrol Prometeo - Documents\Planning Space Implementation\3. Analysis &amp; Design\Design\FC22\DRR Jaime\QUIFA-CAJÚA\Cajua\[VAS_CAJUA_CF_SEC_20230125.xlsx]CF PRB'!$DI$52</v>
      </c>
      <c r="J3172" t="s">
        <v>1551</v>
      </c>
    </row>
    <row r="3173" spans="1:10" x14ac:dyDescent="0.25">
      <c r="A3173" s="6" t="s">
        <v>4</v>
      </c>
      <c r="B3173" s="6">
        <f t="shared" si="724"/>
        <v>2040</v>
      </c>
      <c r="C3173" s="1" t="s">
        <v>42</v>
      </c>
      <c r="D3173" s="2" t="s">
        <v>128</v>
      </c>
      <c r="E3173" s="9" t="str">
        <f t="shared" si="690"/>
        <v>PRB'!</v>
      </c>
      <c r="F3173" s="5" t="str">
        <f t="shared" si="722"/>
        <v>C:\Users\jaime.benazar\Quorum Business Solutions\Ecopetrol Prometeo - Documents\Planning Space Implementation\3. Analysis &amp; Design\Design\FC22\DRR Jaime\QUIFA-CAJÚA\Cajua\[VAS_CAJUA_CF_SEC_20230125.xlsx]CF PRB'!</v>
      </c>
      <c r="G3173" s="6" t="s">
        <v>43</v>
      </c>
      <c r="H3173" s="1">
        <f t="shared" si="692"/>
        <v>53</v>
      </c>
      <c r="I3173" s="1" t="str">
        <f t="shared" si="691"/>
        <v>='C:\Users\jaime.benazar\Quorum Business Solutions\Ecopetrol Prometeo - Documents\Planning Space Implementation\3. Analysis &amp; Design\Design\FC22\DRR Jaime\QUIFA-CAJÚA\Cajua\[VAS_CAJUA_CF_SEC_20230125.xlsx]CF PRB'!$DI$53</v>
      </c>
      <c r="J3173" t="s">
        <v>1552</v>
      </c>
    </row>
    <row r="3174" spans="1:10" x14ac:dyDescent="0.25">
      <c r="A3174" s="6" t="s">
        <v>4</v>
      </c>
      <c r="B3174" s="6">
        <f>+B3173+1</f>
        <v>2041</v>
      </c>
      <c r="C3174" s="1" t="s">
        <v>42</v>
      </c>
      <c r="D3174" s="2" t="s">
        <v>128</v>
      </c>
      <c r="E3174" s="9" t="str">
        <f t="shared" si="690"/>
        <v>PRB'!</v>
      </c>
      <c r="F3174" s="5" t="str">
        <f t="shared" si="722"/>
        <v>C:\Users\jaime.benazar\Quorum Business Solutions\Ecopetrol Prometeo - Documents\Planning Space Implementation\3. Analysis &amp; Design\Design\FC22\DRR Jaime\QUIFA-CAJÚA\Cajua\[VAS_CAJUA_CF_SEC_20230125.xlsx]CF PRB'!</v>
      </c>
      <c r="G3174" s="6" t="s">
        <v>43</v>
      </c>
      <c r="H3174" s="1">
        <f t="shared" si="692"/>
        <v>54</v>
      </c>
      <c r="I3174" s="1" t="str">
        <f t="shared" si="691"/>
        <v>='C:\Users\jaime.benazar\Quorum Business Solutions\Ecopetrol Prometeo - Documents\Planning Space Implementation\3. Analysis &amp; Design\Design\FC22\DRR Jaime\QUIFA-CAJÚA\Cajua\[VAS_CAJUA_CF_SEC_20230125.xlsx]CF PRB'!$DI$54</v>
      </c>
      <c r="J3174" t="s">
        <v>1553</v>
      </c>
    </row>
    <row r="3175" spans="1:10" x14ac:dyDescent="0.25">
      <c r="A3175" s="6" t="s">
        <v>4</v>
      </c>
      <c r="B3175" s="6">
        <f t="shared" ref="B3175:B3176" si="725">+B3174+1</f>
        <v>2042</v>
      </c>
      <c r="C3175" s="1" t="s">
        <v>42</v>
      </c>
      <c r="D3175" s="2" t="s">
        <v>128</v>
      </c>
      <c r="E3175" s="9" t="str">
        <f t="shared" si="690"/>
        <v>PRB'!</v>
      </c>
      <c r="F3175" s="5" t="str">
        <f t="shared" si="722"/>
        <v>C:\Users\jaime.benazar\Quorum Business Solutions\Ecopetrol Prometeo - Documents\Planning Space Implementation\3. Analysis &amp; Design\Design\FC22\DRR Jaime\QUIFA-CAJÚA\Cajua\[VAS_CAJUA_CF_SEC_20230125.xlsx]CF PRB'!</v>
      </c>
      <c r="G3175" s="6" t="s">
        <v>43</v>
      </c>
      <c r="H3175" s="1">
        <f t="shared" si="692"/>
        <v>55</v>
      </c>
      <c r="I3175" s="1" t="str">
        <f t="shared" si="691"/>
        <v>='C:\Users\jaime.benazar\Quorum Business Solutions\Ecopetrol Prometeo - Documents\Planning Space Implementation\3. Analysis &amp; Design\Design\FC22\DRR Jaime\QUIFA-CAJÚA\Cajua\[VAS_CAJUA_CF_SEC_20230125.xlsx]CF PRB'!$DI$55</v>
      </c>
      <c r="J3175" t="s">
        <v>1554</v>
      </c>
    </row>
    <row r="3176" spans="1:10" x14ac:dyDescent="0.25">
      <c r="A3176" s="6" t="s">
        <v>4</v>
      </c>
      <c r="B3176" s="6">
        <f t="shared" si="725"/>
        <v>2043</v>
      </c>
      <c r="C3176" s="1" t="s">
        <v>42</v>
      </c>
      <c r="D3176" s="2" t="s">
        <v>128</v>
      </c>
      <c r="E3176" s="9" t="str">
        <f t="shared" si="690"/>
        <v>PRB'!</v>
      </c>
      <c r="F3176" s="5" t="str">
        <f t="shared" si="722"/>
        <v>C:\Users\jaime.benazar\Quorum Business Solutions\Ecopetrol Prometeo - Documents\Planning Space Implementation\3. Analysis &amp; Design\Design\FC22\DRR Jaime\QUIFA-CAJÚA\Cajua\[VAS_CAJUA_CF_SEC_20230125.xlsx]CF PRB'!</v>
      </c>
      <c r="G3176" s="6" t="s">
        <v>43</v>
      </c>
      <c r="H3176" s="1">
        <f t="shared" si="692"/>
        <v>56</v>
      </c>
      <c r="I3176" s="1" t="str">
        <f t="shared" si="691"/>
        <v>='C:\Users\jaime.benazar\Quorum Business Solutions\Ecopetrol Prometeo - Documents\Planning Space Implementation\3. Analysis &amp; Design\Design\FC22\DRR Jaime\QUIFA-CAJÚA\Cajua\[VAS_CAJUA_CF_SEC_20230125.xlsx]CF PRB'!$DI$56</v>
      </c>
      <c r="J3176" t="s">
        <v>1555</v>
      </c>
    </row>
    <row r="3177" spans="1:10" x14ac:dyDescent="0.25">
      <c r="A3177" s="6" t="s">
        <v>4</v>
      </c>
      <c r="B3177" s="6">
        <f>+B3176+1</f>
        <v>2044</v>
      </c>
      <c r="C3177" s="1" t="s">
        <v>42</v>
      </c>
      <c r="D3177" s="2" t="s">
        <v>128</v>
      </c>
      <c r="E3177" s="9" t="str">
        <f t="shared" ref="E3177:E3192" si="726">_xlfn.CONCAT(A3177,"'!")</f>
        <v>PRB'!</v>
      </c>
      <c r="F3177" s="5" t="str">
        <f t="shared" ref="F3177:F3192" si="727">_xlfn.CONCAT(D3177," ",E3177)</f>
        <v>C:\Users\jaime.benazar\Quorum Business Solutions\Ecopetrol Prometeo - Documents\Planning Space Implementation\3. Analysis &amp; Design\Design\FC22\DRR Jaime\QUIFA-CAJÚA\Cajua\[VAS_CAJUA_CF_SEC_20230125.xlsx]CF PRB'!</v>
      </c>
      <c r="G3177" s="6" t="s">
        <v>43</v>
      </c>
      <c r="H3177" s="1">
        <f t="shared" ref="H3177:H3192" si="728">IF(A3177&lt;&gt;A3176,36,H3176+1)</f>
        <v>57</v>
      </c>
      <c r="I3177" s="1" t="str">
        <f t="shared" ref="I3177:I3192" si="729">_xlfn.CONCAT("='",F3177:H3177)</f>
        <v>='C:\Users\jaime.benazar\Quorum Business Solutions\Ecopetrol Prometeo - Documents\Planning Space Implementation\3. Analysis &amp; Design\Design\FC22\DRR Jaime\QUIFA-CAJÚA\Cajua\[VAS_CAJUA_CF_SEC_20230125.xlsx]CF PRB'!$DI$57</v>
      </c>
      <c r="J3177" t="s">
        <v>1556</v>
      </c>
    </row>
    <row r="3178" spans="1:10" x14ac:dyDescent="0.25">
      <c r="A3178" s="6" t="s">
        <v>4</v>
      </c>
      <c r="B3178" s="6">
        <f t="shared" ref="B3178:B3192" si="730">+B3177+1</f>
        <v>2045</v>
      </c>
      <c r="C3178" s="1" t="s">
        <v>42</v>
      </c>
      <c r="D3178" s="2" t="s">
        <v>128</v>
      </c>
      <c r="E3178" s="9" t="str">
        <f t="shared" si="726"/>
        <v>PRB'!</v>
      </c>
      <c r="F3178" s="5" t="str">
        <f t="shared" si="727"/>
        <v>C:\Users\jaime.benazar\Quorum Business Solutions\Ecopetrol Prometeo - Documents\Planning Space Implementation\3. Analysis &amp; Design\Design\FC22\DRR Jaime\QUIFA-CAJÚA\Cajua\[VAS_CAJUA_CF_SEC_20230125.xlsx]CF PRB'!</v>
      </c>
      <c r="G3178" s="6" t="s">
        <v>43</v>
      </c>
      <c r="H3178" s="1">
        <f t="shared" si="728"/>
        <v>58</v>
      </c>
      <c r="I3178" s="1" t="str">
        <f t="shared" si="729"/>
        <v>='C:\Users\jaime.benazar\Quorum Business Solutions\Ecopetrol Prometeo - Documents\Planning Space Implementation\3. Analysis &amp; Design\Design\FC22\DRR Jaime\QUIFA-CAJÚA\Cajua\[VAS_CAJUA_CF_SEC_20230125.xlsx]CF PRB'!$DI$58</v>
      </c>
      <c r="J3178" t="s">
        <v>1557</v>
      </c>
    </row>
    <row r="3179" spans="1:10" x14ac:dyDescent="0.25">
      <c r="A3179" s="6" t="s">
        <v>4</v>
      </c>
      <c r="B3179" s="6">
        <f t="shared" si="730"/>
        <v>2046</v>
      </c>
      <c r="C3179" s="1" t="s">
        <v>42</v>
      </c>
      <c r="D3179" s="2" t="s">
        <v>128</v>
      </c>
      <c r="E3179" s="9" t="str">
        <f t="shared" si="726"/>
        <v>PRB'!</v>
      </c>
      <c r="F3179" s="5" t="str">
        <f t="shared" si="727"/>
        <v>C:\Users\jaime.benazar\Quorum Business Solutions\Ecopetrol Prometeo - Documents\Planning Space Implementation\3. Analysis &amp; Design\Design\FC22\DRR Jaime\QUIFA-CAJÚA\Cajua\[VAS_CAJUA_CF_SEC_20230125.xlsx]CF PRB'!</v>
      </c>
      <c r="G3179" s="6" t="s">
        <v>43</v>
      </c>
      <c r="H3179" s="1">
        <f t="shared" si="728"/>
        <v>59</v>
      </c>
      <c r="I3179" s="1" t="str">
        <f t="shared" si="729"/>
        <v>='C:\Users\jaime.benazar\Quorum Business Solutions\Ecopetrol Prometeo - Documents\Planning Space Implementation\3. Analysis &amp; Design\Design\FC22\DRR Jaime\QUIFA-CAJÚA\Cajua\[VAS_CAJUA_CF_SEC_20230125.xlsx]CF PRB'!$DI$59</v>
      </c>
      <c r="J3179" t="s">
        <v>1558</v>
      </c>
    </row>
    <row r="3180" spans="1:10" x14ac:dyDescent="0.25">
      <c r="A3180" s="6" t="s">
        <v>4</v>
      </c>
      <c r="B3180" s="6">
        <f t="shared" si="730"/>
        <v>2047</v>
      </c>
      <c r="C3180" s="1" t="s">
        <v>42</v>
      </c>
      <c r="D3180" s="2" t="s">
        <v>128</v>
      </c>
      <c r="E3180" s="9" t="str">
        <f t="shared" si="726"/>
        <v>PRB'!</v>
      </c>
      <c r="F3180" s="5" t="str">
        <f t="shared" si="727"/>
        <v>C:\Users\jaime.benazar\Quorum Business Solutions\Ecopetrol Prometeo - Documents\Planning Space Implementation\3. Analysis &amp; Design\Design\FC22\DRR Jaime\QUIFA-CAJÚA\Cajua\[VAS_CAJUA_CF_SEC_20230125.xlsx]CF PRB'!</v>
      </c>
      <c r="G3180" s="6" t="s">
        <v>43</v>
      </c>
      <c r="H3180" s="1">
        <f t="shared" si="728"/>
        <v>60</v>
      </c>
      <c r="I3180" s="1" t="str">
        <f t="shared" si="729"/>
        <v>='C:\Users\jaime.benazar\Quorum Business Solutions\Ecopetrol Prometeo - Documents\Planning Space Implementation\3. Analysis &amp; Design\Design\FC22\DRR Jaime\QUIFA-CAJÚA\Cajua\[VAS_CAJUA_CF_SEC_20230125.xlsx]CF PRB'!$DI$60</v>
      </c>
      <c r="J3180" t="s">
        <v>1559</v>
      </c>
    </row>
    <row r="3181" spans="1:10" x14ac:dyDescent="0.25">
      <c r="A3181" s="6" t="s">
        <v>4</v>
      </c>
      <c r="B3181" s="6">
        <f t="shared" si="730"/>
        <v>2048</v>
      </c>
      <c r="C3181" s="1" t="s">
        <v>42</v>
      </c>
      <c r="D3181" s="2" t="s">
        <v>128</v>
      </c>
      <c r="E3181" s="9" t="str">
        <f t="shared" si="726"/>
        <v>PRB'!</v>
      </c>
      <c r="F3181" s="5" t="str">
        <f t="shared" si="727"/>
        <v>C:\Users\jaime.benazar\Quorum Business Solutions\Ecopetrol Prometeo - Documents\Planning Space Implementation\3. Analysis &amp; Design\Design\FC22\DRR Jaime\QUIFA-CAJÚA\Cajua\[VAS_CAJUA_CF_SEC_20230125.xlsx]CF PRB'!</v>
      </c>
      <c r="G3181" s="6" t="s">
        <v>43</v>
      </c>
      <c r="H3181" s="1">
        <f t="shared" si="728"/>
        <v>61</v>
      </c>
      <c r="I3181" s="1" t="str">
        <f t="shared" si="729"/>
        <v>='C:\Users\jaime.benazar\Quorum Business Solutions\Ecopetrol Prometeo - Documents\Planning Space Implementation\3. Analysis &amp; Design\Design\FC22\DRR Jaime\QUIFA-CAJÚA\Cajua\[VAS_CAJUA_CF_SEC_20230125.xlsx]CF PRB'!$DI$61</v>
      </c>
      <c r="J3181" t="s">
        <v>1560</v>
      </c>
    </row>
    <row r="3182" spans="1:10" x14ac:dyDescent="0.25">
      <c r="A3182" s="6" t="s">
        <v>4</v>
      </c>
      <c r="B3182" s="6">
        <f t="shared" si="730"/>
        <v>2049</v>
      </c>
      <c r="C3182" s="1" t="s">
        <v>42</v>
      </c>
      <c r="D3182" s="2" t="s">
        <v>128</v>
      </c>
      <c r="E3182" s="9" t="str">
        <f t="shared" si="726"/>
        <v>PRB'!</v>
      </c>
      <c r="F3182" s="5" t="str">
        <f t="shared" si="727"/>
        <v>C:\Users\jaime.benazar\Quorum Business Solutions\Ecopetrol Prometeo - Documents\Planning Space Implementation\3. Analysis &amp; Design\Design\FC22\DRR Jaime\QUIFA-CAJÚA\Cajua\[VAS_CAJUA_CF_SEC_20230125.xlsx]CF PRB'!</v>
      </c>
      <c r="G3182" s="6" t="s">
        <v>43</v>
      </c>
      <c r="H3182" s="1">
        <f t="shared" si="728"/>
        <v>62</v>
      </c>
      <c r="I3182" s="1" t="str">
        <f t="shared" si="729"/>
        <v>='C:\Users\jaime.benazar\Quorum Business Solutions\Ecopetrol Prometeo - Documents\Planning Space Implementation\3. Analysis &amp; Design\Design\FC22\DRR Jaime\QUIFA-CAJÚA\Cajua\[VAS_CAJUA_CF_SEC_20230125.xlsx]CF PRB'!$DI$62</v>
      </c>
      <c r="J3182" t="s">
        <v>1561</v>
      </c>
    </row>
    <row r="3183" spans="1:10" x14ac:dyDescent="0.25">
      <c r="A3183" s="6" t="s">
        <v>4</v>
      </c>
      <c r="B3183" s="6">
        <f t="shared" si="730"/>
        <v>2050</v>
      </c>
      <c r="C3183" s="1" t="s">
        <v>42</v>
      </c>
      <c r="D3183" s="2" t="s">
        <v>128</v>
      </c>
      <c r="E3183" s="9" t="str">
        <f t="shared" si="726"/>
        <v>PRB'!</v>
      </c>
      <c r="F3183" s="5" t="str">
        <f t="shared" si="727"/>
        <v>C:\Users\jaime.benazar\Quorum Business Solutions\Ecopetrol Prometeo - Documents\Planning Space Implementation\3. Analysis &amp; Design\Design\FC22\DRR Jaime\QUIFA-CAJÚA\Cajua\[VAS_CAJUA_CF_SEC_20230125.xlsx]CF PRB'!</v>
      </c>
      <c r="G3183" s="6" t="s">
        <v>43</v>
      </c>
      <c r="H3183" s="1">
        <f t="shared" si="728"/>
        <v>63</v>
      </c>
      <c r="I3183" s="1" t="str">
        <f t="shared" si="729"/>
        <v>='C:\Users\jaime.benazar\Quorum Business Solutions\Ecopetrol Prometeo - Documents\Planning Space Implementation\3. Analysis &amp; Design\Design\FC22\DRR Jaime\QUIFA-CAJÚA\Cajua\[VAS_CAJUA_CF_SEC_20230125.xlsx]CF PRB'!$DI$63</v>
      </c>
      <c r="J3183" t="s">
        <v>1562</v>
      </c>
    </row>
    <row r="3184" spans="1:10" x14ac:dyDescent="0.25">
      <c r="A3184" s="6" t="s">
        <v>4</v>
      </c>
      <c r="B3184" s="6">
        <f t="shared" si="730"/>
        <v>2051</v>
      </c>
      <c r="C3184" s="1" t="s">
        <v>42</v>
      </c>
      <c r="D3184" s="2" t="s">
        <v>128</v>
      </c>
      <c r="E3184" s="9" t="str">
        <f t="shared" si="726"/>
        <v>PRB'!</v>
      </c>
      <c r="F3184" s="5" t="str">
        <f t="shared" si="727"/>
        <v>C:\Users\jaime.benazar\Quorum Business Solutions\Ecopetrol Prometeo - Documents\Planning Space Implementation\3. Analysis &amp; Design\Design\FC22\DRR Jaime\QUIFA-CAJÚA\Cajua\[VAS_CAJUA_CF_SEC_20230125.xlsx]CF PRB'!</v>
      </c>
      <c r="G3184" s="6" t="s">
        <v>43</v>
      </c>
      <c r="H3184" s="1">
        <f t="shared" si="728"/>
        <v>64</v>
      </c>
      <c r="I3184" s="1" t="str">
        <f t="shared" si="729"/>
        <v>='C:\Users\jaime.benazar\Quorum Business Solutions\Ecopetrol Prometeo - Documents\Planning Space Implementation\3. Analysis &amp; Design\Design\FC22\DRR Jaime\QUIFA-CAJÚA\Cajua\[VAS_CAJUA_CF_SEC_20230125.xlsx]CF PRB'!$DI$64</v>
      </c>
      <c r="J3184" t="s">
        <v>1563</v>
      </c>
    </row>
    <row r="3185" spans="1:10" x14ac:dyDescent="0.25">
      <c r="A3185" s="6" t="s">
        <v>4</v>
      </c>
      <c r="B3185" s="6">
        <f t="shared" si="730"/>
        <v>2052</v>
      </c>
      <c r="C3185" s="1" t="s">
        <v>42</v>
      </c>
      <c r="D3185" s="2" t="s">
        <v>128</v>
      </c>
      <c r="E3185" s="9" t="str">
        <f t="shared" si="726"/>
        <v>PRB'!</v>
      </c>
      <c r="F3185" s="5" t="str">
        <f t="shared" si="727"/>
        <v>C:\Users\jaime.benazar\Quorum Business Solutions\Ecopetrol Prometeo - Documents\Planning Space Implementation\3. Analysis &amp; Design\Design\FC22\DRR Jaime\QUIFA-CAJÚA\Cajua\[VAS_CAJUA_CF_SEC_20230125.xlsx]CF PRB'!</v>
      </c>
      <c r="G3185" s="6" t="s">
        <v>43</v>
      </c>
      <c r="H3185" s="1">
        <f t="shared" si="728"/>
        <v>65</v>
      </c>
      <c r="I3185" s="1" t="str">
        <f t="shared" si="729"/>
        <v>='C:\Users\jaime.benazar\Quorum Business Solutions\Ecopetrol Prometeo - Documents\Planning Space Implementation\3. Analysis &amp; Design\Design\FC22\DRR Jaime\QUIFA-CAJÚA\Cajua\[VAS_CAJUA_CF_SEC_20230125.xlsx]CF PRB'!$DI$65</v>
      </c>
      <c r="J3185" t="s">
        <v>1564</v>
      </c>
    </row>
    <row r="3186" spans="1:10" x14ac:dyDescent="0.25">
      <c r="A3186" s="6" t="s">
        <v>4</v>
      </c>
      <c r="B3186" s="6">
        <f t="shared" si="730"/>
        <v>2053</v>
      </c>
      <c r="C3186" s="1" t="s">
        <v>42</v>
      </c>
      <c r="D3186" s="2" t="s">
        <v>128</v>
      </c>
      <c r="E3186" s="9" t="str">
        <f t="shared" si="726"/>
        <v>PRB'!</v>
      </c>
      <c r="F3186" s="5" t="str">
        <f t="shared" si="727"/>
        <v>C:\Users\jaime.benazar\Quorum Business Solutions\Ecopetrol Prometeo - Documents\Planning Space Implementation\3. Analysis &amp; Design\Design\FC22\DRR Jaime\QUIFA-CAJÚA\Cajua\[VAS_CAJUA_CF_SEC_20230125.xlsx]CF PRB'!</v>
      </c>
      <c r="G3186" s="6" t="s">
        <v>43</v>
      </c>
      <c r="H3186" s="1">
        <f t="shared" si="728"/>
        <v>66</v>
      </c>
      <c r="I3186" s="1" t="str">
        <f t="shared" si="729"/>
        <v>='C:\Users\jaime.benazar\Quorum Business Solutions\Ecopetrol Prometeo - Documents\Planning Space Implementation\3. Analysis &amp; Design\Design\FC22\DRR Jaime\QUIFA-CAJÚA\Cajua\[VAS_CAJUA_CF_SEC_20230125.xlsx]CF PRB'!$DI$66</v>
      </c>
      <c r="J3186" t="s">
        <v>1565</v>
      </c>
    </row>
    <row r="3187" spans="1:10" x14ac:dyDescent="0.25">
      <c r="A3187" s="6" t="s">
        <v>4</v>
      </c>
      <c r="B3187" s="6">
        <f t="shared" si="730"/>
        <v>2054</v>
      </c>
      <c r="C3187" s="1" t="s">
        <v>42</v>
      </c>
      <c r="D3187" s="2" t="s">
        <v>128</v>
      </c>
      <c r="E3187" s="9" t="str">
        <f t="shared" si="726"/>
        <v>PRB'!</v>
      </c>
      <c r="F3187" s="5" t="str">
        <f t="shared" si="727"/>
        <v>C:\Users\jaime.benazar\Quorum Business Solutions\Ecopetrol Prometeo - Documents\Planning Space Implementation\3. Analysis &amp; Design\Design\FC22\DRR Jaime\QUIFA-CAJÚA\Cajua\[VAS_CAJUA_CF_SEC_20230125.xlsx]CF PRB'!</v>
      </c>
      <c r="G3187" s="6" t="s">
        <v>43</v>
      </c>
      <c r="H3187" s="1">
        <f t="shared" si="728"/>
        <v>67</v>
      </c>
      <c r="I3187" s="1" t="str">
        <f t="shared" si="729"/>
        <v>='C:\Users\jaime.benazar\Quorum Business Solutions\Ecopetrol Prometeo - Documents\Planning Space Implementation\3. Analysis &amp; Design\Design\FC22\DRR Jaime\QUIFA-CAJÚA\Cajua\[VAS_CAJUA_CF_SEC_20230125.xlsx]CF PRB'!$DI$67</v>
      </c>
      <c r="J3187" t="s">
        <v>1566</v>
      </c>
    </row>
    <row r="3188" spans="1:10" x14ac:dyDescent="0.25">
      <c r="A3188" s="6" t="s">
        <v>4</v>
      </c>
      <c r="B3188" s="6">
        <f t="shared" si="730"/>
        <v>2055</v>
      </c>
      <c r="C3188" s="1" t="s">
        <v>42</v>
      </c>
      <c r="D3188" s="2" t="s">
        <v>128</v>
      </c>
      <c r="E3188" s="9" t="str">
        <f t="shared" si="726"/>
        <v>PRB'!</v>
      </c>
      <c r="F3188" s="5" t="str">
        <f t="shared" si="727"/>
        <v>C:\Users\jaime.benazar\Quorum Business Solutions\Ecopetrol Prometeo - Documents\Planning Space Implementation\3. Analysis &amp; Design\Design\FC22\DRR Jaime\QUIFA-CAJÚA\Cajua\[VAS_CAJUA_CF_SEC_20230125.xlsx]CF PRB'!</v>
      </c>
      <c r="G3188" s="6" t="s">
        <v>43</v>
      </c>
      <c r="H3188" s="1">
        <f t="shared" si="728"/>
        <v>68</v>
      </c>
      <c r="I3188" s="1" t="str">
        <f t="shared" si="729"/>
        <v>='C:\Users\jaime.benazar\Quorum Business Solutions\Ecopetrol Prometeo - Documents\Planning Space Implementation\3. Analysis &amp; Design\Design\FC22\DRR Jaime\QUIFA-CAJÚA\Cajua\[VAS_CAJUA_CF_SEC_20230125.xlsx]CF PRB'!$DI$68</v>
      </c>
      <c r="J3188" t="s">
        <v>1567</v>
      </c>
    </row>
    <row r="3189" spans="1:10" x14ac:dyDescent="0.25">
      <c r="A3189" s="6" t="s">
        <v>4</v>
      </c>
      <c r="B3189" s="6">
        <f t="shared" si="730"/>
        <v>2056</v>
      </c>
      <c r="C3189" s="1" t="s">
        <v>42</v>
      </c>
      <c r="D3189" s="2" t="s">
        <v>128</v>
      </c>
      <c r="E3189" s="9" t="str">
        <f t="shared" si="726"/>
        <v>PRB'!</v>
      </c>
      <c r="F3189" s="5" t="str">
        <f t="shared" si="727"/>
        <v>C:\Users\jaime.benazar\Quorum Business Solutions\Ecopetrol Prometeo - Documents\Planning Space Implementation\3. Analysis &amp; Design\Design\FC22\DRR Jaime\QUIFA-CAJÚA\Cajua\[VAS_CAJUA_CF_SEC_20230125.xlsx]CF PRB'!</v>
      </c>
      <c r="G3189" s="6" t="s">
        <v>43</v>
      </c>
      <c r="H3189" s="1">
        <f t="shared" si="728"/>
        <v>69</v>
      </c>
      <c r="I3189" s="1" t="str">
        <f t="shared" si="729"/>
        <v>='C:\Users\jaime.benazar\Quorum Business Solutions\Ecopetrol Prometeo - Documents\Planning Space Implementation\3. Analysis &amp; Design\Design\FC22\DRR Jaime\QUIFA-CAJÚA\Cajua\[VAS_CAJUA_CF_SEC_20230125.xlsx]CF PRB'!$DI$69</v>
      </c>
      <c r="J3189" t="s">
        <v>1568</v>
      </c>
    </row>
    <row r="3190" spans="1:10" x14ac:dyDescent="0.25">
      <c r="A3190" s="6" t="s">
        <v>4</v>
      </c>
      <c r="B3190" s="6">
        <f t="shared" si="730"/>
        <v>2057</v>
      </c>
      <c r="C3190" s="1" t="s">
        <v>42</v>
      </c>
      <c r="D3190" s="2" t="s">
        <v>128</v>
      </c>
      <c r="E3190" s="9" t="str">
        <f t="shared" si="726"/>
        <v>PRB'!</v>
      </c>
      <c r="F3190" s="5" t="str">
        <f t="shared" si="727"/>
        <v>C:\Users\jaime.benazar\Quorum Business Solutions\Ecopetrol Prometeo - Documents\Planning Space Implementation\3. Analysis &amp; Design\Design\FC22\DRR Jaime\QUIFA-CAJÚA\Cajua\[VAS_CAJUA_CF_SEC_20230125.xlsx]CF PRB'!</v>
      </c>
      <c r="G3190" s="6" t="s">
        <v>43</v>
      </c>
      <c r="H3190" s="1">
        <f t="shared" si="728"/>
        <v>70</v>
      </c>
      <c r="I3190" s="1" t="str">
        <f t="shared" si="729"/>
        <v>='C:\Users\jaime.benazar\Quorum Business Solutions\Ecopetrol Prometeo - Documents\Planning Space Implementation\3. Analysis &amp; Design\Design\FC22\DRR Jaime\QUIFA-CAJÚA\Cajua\[VAS_CAJUA_CF_SEC_20230125.xlsx]CF PRB'!$DI$70</v>
      </c>
      <c r="J3190" t="s">
        <v>1569</v>
      </c>
    </row>
    <row r="3191" spans="1:10" x14ac:dyDescent="0.25">
      <c r="A3191" s="6" t="s">
        <v>4</v>
      </c>
      <c r="B3191" s="6">
        <f t="shared" si="730"/>
        <v>2058</v>
      </c>
      <c r="C3191" s="1" t="s">
        <v>42</v>
      </c>
      <c r="D3191" s="2" t="s">
        <v>128</v>
      </c>
      <c r="E3191" s="9" t="str">
        <f t="shared" si="726"/>
        <v>PRB'!</v>
      </c>
      <c r="F3191" s="5" t="str">
        <f t="shared" si="727"/>
        <v>C:\Users\jaime.benazar\Quorum Business Solutions\Ecopetrol Prometeo - Documents\Planning Space Implementation\3. Analysis &amp; Design\Design\FC22\DRR Jaime\QUIFA-CAJÚA\Cajua\[VAS_CAJUA_CF_SEC_20230125.xlsx]CF PRB'!</v>
      </c>
      <c r="G3191" s="6" t="s">
        <v>43</v>
      </c>
      <c r="H3191" s="1">
        <f t="shared" si="728"/>
        <v>71</v>
      </c>
      <c r="I3191" s="1" t="str">
        <f t="shared" si="729"/>
        <v>='C:\Users\jaime.benazar\Quorum Business Solutions\Ecopetrol Prometeo - Documents\Planning Space Implementation\3. Analysis &amp; Design\Design\FC22\DRR Jaime\QUIFA-CAJÚA\Cajua\[VAS_CAJUA_CF_SEC_20230125.xlsx]CF PRB'!$DI$71</v>
      </c>
      <c r="J3191" t="s">
        <v>1570</v>
      </c>
    </row>
    <row r="3192" spans="1:10" x14ac:dyDescent="0.25">
      <c r="A3192" s="6" t="s">
        <v>4</v>
      </c>
      <c r="B3192" s="6">
        <f t="shared" si="730"/>
        <v>2059</v>
      </c>
      <c r="C3192" s="1" t="s">
        <v>42</v>
      </c>
      <c r="D3192" s="2" t="s">
        <v>128</v>
      </c>
      <c r="E3192" s="9" t="str">
        <f t="shared" si="726"/>
        <v>PRB'!</v>
      </c>
      <c r="F3192" s="5" t="str">
        <f t="shared" si="727"/>
        <v>C:\Users\jaime.benazar\Quorum Business Solutions\Ecopetrol Prometeo - Documents\Planning Space Implementation\3. Analysis &amp; Design\Design\FC22\DRR Jaime\QUIFA-CAJÚA\Cajua\[VAS_CAJUA_CF_SEC_20230125.xlsx]CF PRB'!</v>
      </c>
      <c r="G3192" s="6" t="s">
        <v>43</v>
      </c>
      <c r="H3192" s="1">
        <f t="shared" si="728"/>
        <v>72</v>
      </c>
      <c r="I3192" s="1" t="str">
        <f t="shared" si="729"/>
        <v>='C:\Users\jaime.benazar\Quorum Business Solutions\Ecopetrol Prometeo - Documents\Planning Space Implementation\3. Analysis &amp; Design\Design\FC22\DRR Jaime\QUIFA-CAJÚA\Cajua\[VAS_CAJUA_CF_SEC_20230125.xlsx]CF PRB'!$DI$72</v>
      </c>
      <c r="J3192" t="s">
        <v>1571</v>
      </c>
    </row>
    <row r="3193" spans="1:10" x14ac:dyDescent="0.25">
      <c r="A3193" s="7" t="s">
        <v>28</v>
      </c>
      <c r="B3193" s="6"/>
      <c r="C3193" s="1" t="s">
        <v>42</v>
      </c>
      <c r="D3193" s="2"/>
      <c r="E3193" s="9"/>
      <c r="F3193" s="5"/>
      <c r="G3193" s="6"/>
      <c r="H3193" s="1"/>
      <c r="I3193" s="1"/>
      <c r="J3193" s="4"/>
    </row>
    <row r="3194" spans="1:10" x14ac:dyDescent="0.25">
      <c r="A3194" s="6" t="s">
        <v>102</v>
      </c>
      <c r="B3194" s="6">
        <v>2023</v>
      </c>
      <c r="C3194" s="1" t="s">
        <v>42</v>
      </c>
      <c r="D3194" s="2" t="s">
        <v>128</v>
      </c>
      <c r="E3194" s="9" t="str">
        <f t="shared" ref="E3194:E3231" si="731">_xlfn.CONCAT(A3194,"'!")</f>
        <v>PSDP'!</v>
      </c>
      <c r="F3194" s="5" t="str">
        <f t="shared" ref="F3194:F3214" si="732">_xlfn.CONCAT(D3194," ",E3194)</f>
        <v>C:\Users\jaime.benazar\Quorum Business Solutions\Ecopetrol Prometeo - Documents\Planning Space Implementation\3. Analysis &amp; Design\Design\FC22\DRR Jaime\QUIFA-CAJÚA\Cajua\[VAS_CAJUA_CF_SEC_20230125.xlsx]CF PSDP'!</v>
      </c>
      <c r="G3194" s="6" t="s">
        <v>43</v>
      </c>
      <c r="H3194" s="1"/>
      <c r="I3194" s="1"/>
    </row>
    <row r="3195" spans="1:10" x14ac:dyDescent="0.25">
      <c r="A3195" s="6" t="s">
        <v>102</v>
      </c>
      <c r="B3195" s="6">
        <f>+B3194+1</f>
        <v>2024</v>
      </c>
      <c r="C3195" s="1" t="s">
        <v>42</v>
      </c>
      <c r="D3195" s="2" t="s">
        <v>128</v>
      </c>
      <c r="E3195" s="9" t="str">
        <f t="shared" si="731"/>
        <v>PSDP'!</v>
      </c>
      <c r="F3195" s="5" t="str">
        <f t="shared" si="732"/>
        <v>C:\Users\jaime.benazar\Quorum Business Solutions\Ecopetrol Prometeo - Documents\Planning Space Implementation\3. Analysis &amp; Design\Design\FC22\DRR Jaime\QUIFA-CAJÚA\Cajua\[VAS_CAJUA_CF_SEC_20230125.xlsx]CF PSDP'!</v>
      </c>
      <c r="G3195" s="6" t="s">
        <v>43</v>
      </c>
      <c r="H3195" s="1"/>
      <c r="I3195" s="1"/>
    </row>
    <row r="3196" spans="1:10" x14ac:dyDescent="0.25">
      <c r="A3196" s="6" t="s">
        <v>102</v>
      </c>
      <c r="B3196" s="6">
        <f t="shared" ref="B3196:B3207" si="733">+B3195+1</f>
        <v>2025</v>
      </c>
      <c r="C3196" s="1" t="s">
        <v>42</v>
      </c>
      <c r="D3196" s="2" t="s">
        <v>128</v>
      </c>
      <c r="E3196" s="9" t="str">
        <f t="shared" si="731"/>
        <v>PSDP'!</v>
      </c>
      <c r="F3196" s="5" t="str">
        <f t="shared" si="732"/>
        <v>C:\Users\jaime.benazar\Quorum Business Solutions\Ecopetrol Prometeo - Documents\Planning Space Implementation\3. Analysis &amp; Design\Design\FC22\DRR Jaime\QUIFA-CAJÚA\Cajua\[VAS_CAJUA_CF_SEC_20230125.xlsx]CF PSDP'!</v>
      </c>
      <c r="G3196" s="6" t="s">
        <v>43</v>
      </c>
      <c r="H3196" s="1"/>
      <c r="I3196" s="1"/>
    </row>
    <row r="3197" spans="1:10" x14ac:dyDescent="0.25">
      <c r="A3197" s="6" t="s">
        <v>102</v>
      </c>
      <c r="B3197" s="6">
        <f t="shared" si="733"/>
        <v>2026</v>
      </c>
      <c r="C3197" s="1" t="s">
        <v>42</v>
      </c>
      <c r="D3197" s="2" t="s">
        <v>128</v>
      </c>
      <c r="E3197" s="9" t="str">
        <f t="shared" si="731"/>
        <v>PSDP'!</v>
      </c>
      <c r="F3197" s="5" t="str">
        <f t="shared" si="732"/>
        <v>C:\Users\jaime.benazar\Quorum Business Solutions\Ecopetrol Prometeo - Documents\Planning Space Implementation\3. Analysis &amp; Design\Design\FC22\DRR Jaime\QUIFA-CAJÚA\Cajua\[VAS_CAJUA_CF_SEC_20230125.xlsx]CF PSDP'!</v>
      </c>
      <c r="G3197" s="6" t="s">
        <v>43</v>
      </c>
      <c r="H3197" s="1"/>
      <c r="I3197" s="1"/>
    </row>
    <row r="3198" spans="1:10" x14ac:dyDescent="0.25">
      <c r="A3198" s="6" t="s">
        <v>102</v>
      </c>
      <c r="B3198" s="6">
        <f t="shared" si="733"/>
        <v>2027</v>
      </c>
      <c r="C3198" s="1" t="s">
        <v>42</v>
      </c>
      <c r="D3198" s="2" t="s">
        <v>128</v>
      </c>
      <c r="E3198" s="9" t="str">
        <f t="shared" si="731"/>
        <v>PSDP'!</v>
      </c>
      <c r="F3198" s="5" t="str">
        <f t="shared" si="732"/>
        <v>C:\Users\jaime.benazar\Quorum Business Solutions\Ecopetrol Prometeo - Documents\Planning Space Implementation\3. Analysis &amp; Design\Design\FC22\DRR Jaime\QUIFA-CAJÚA\Cajua\[VAS_CAJUA_CF_SEC_20230125.xlsx]CF PSDP'!</v>
      </c>
      <c r="G3198" s="6" t="s">
        <v>43</v>
      </c>
      <c r="H3198" s="1"/>
      <c r="I3198" s="1"/>
    </row>
    <row r="3199" spans="1:10" x14ac:dyDescent="0.25">
      <c r="A3199" s="6" t="s">
        <v>102</v>
      </c>
      <c r="B3199" s="6">
        <f t="shared" si="733"/>
        <v>2028</v>
      </c>
      <c r="C3199" s="1" t="s">
        <v>42</v>
      </c>
      <c r="D3199" s="2" t="s">
        <v>128</v>
      </c>
      <c r="E3199" s="9" t="str">
        <f t="shared" si="731"/>
        <v>PSDP'!</v>
      </c>
      <c r="F3199" s="5" t="str">
        <f t="shared" si="732"/>
        <v>C:\Users\jaime.benazar\Quorum Business Solutions\Ecopetrol Prometeo - Documents\Planning Space Implementation\3. Analysis &amp; Design\Design\FC22\DRR Jaime\QUIFA-CAJÚA\Cajua\[VAS_CAJUA_CF_SEC_20230125.xlsx]CF PSDP'!</v>
      </c>
      <c r="G3199" s="6" t="s">
        <v>43</v>
      </c>
      <c r="H3199" s="1"/>
      <c r="I3199" s="1"/>
    </row>
    <row r="3200" spans="1:10" x14ac:dyDescent="0.25">
      <c r="A3200" s="6" t="s">
        <v>102</v>
      </c>
      <c r="B3200" s="6">
        <f t="shared" si="733"/>
        <v>2029</v>
      </c>
      <c r="C3200" s="1" t="s">
        <v>42</v>
      </c>
      <c r="D3200" s="2" t="s">
        <v>128</v>
      </c>
      <c r="E3200" s="9" t="str">
        <f t="shared" si="731"/>
        <v>PSDP'!</v>
      </c>
      <c r="F3200" s="5" t="str">
        <f t="shared" si="732"/>
        <v>C:\Users\jaime.benazar\Quorum Business Solutions\Ecopetrol Prometeo - Documents\Planning Space Implementation\3. Analysis &amp; Design\Design\FC22\DRR Jaime\QUIFA-CAJÚA\Cajua\[VAS_CAJUA_CF_SEC_20230125.xlsx]CF PSDP'!</v>
      </c>
      <c r="G3200" s="6" t="s">
        <v>43</v>
      </c>
      <c r="H3200" s="1"/>
      <c r="I3200" s="1"/>
    </row>
    <row r="3201" spans="1:9" x14ac:dyDescent="0.25">
      <c r="A3201" s="6" t="s">
        <v>102</v>
      </c>
      <c r="B3201" s="6">
        <f t="shared" si="733"/>
        <v>2030</v>
      </c>
      <c r="C3201" s="1" t="s">
        <v>42</v>
      </c>
      <c r="D3201" s="2" t="s">
        <v>128</v>
      </c>
      <c r="E3201" s="9" t="str">
        <f t="shared" si="731"/>
        <v>PSDP'!</v>
      </c>
      <c r="F3201" s="5" t="str">
        <f t="shared" si="732"/>
        <v>C:\Users\jaime.benazar\Quorum Business Solutions\Ecopetrol Prometeo - Documents\Planning Space Implementation\3. Analysis &amp; Design\Design\FC22\DRR Jaime\QUIFA-CAJÚA\Cajua\[VAS_CAJUA_CF_SEC_20230125.xlsx]CF PSDP'!</v>
      </c>
      <c r="G3201" s="6" t="s">
        <v>43</v>
      </c>
      <c r="H3201" s="1"/>
      <c r="I3201" s="1"/>
    </row>
    <row r="3202" spans="1:9" x14ac:dyDescent="0.25">
      <c r="A3202" s="6" t="s">
        <v>102</v>
      </c>
      <c r="B3202" s="6">
        <f t="shared" si="733"/>
        <v>2031</v>
      </c>
      <c r="C3202" s="1" t="s">
        <v>42</v>
      </c>
      <c r="D3202" s="2" t="s">
        <v>128</v>
      </c>
      <c r="E3202" s="9" t="str">
        <f t="shared" si="731"/>
        <v>PSDP'!</v>
      </c>
      <c r="F3202" s="5" t="str">
        <f t="shared" si="732"/>
        <v>C:\Users\jaime.benazar\Quorum Business Solutions\Ecopetrol Prometeo - Documents\Planning Space Implementation\3. Analysis &amp; Design\Design\FC22\DRR Jaime\QUIFA-CAJÚA\Cajua\[VAS_CAJUA_CF_SEC_20230125.xlsx]CF PSDP'!</v>
      </c>
      <c r="G3202" s="6" t="s">
        <v>43</v>
      </c>
      <c r="H3202" s="1"/>
      <c r="I3202" s="1"/>
    </row>
    <row r="3203" spans="1:9" x14ac:dyDescent="0.25">
      <c r="A3203" s="6" t="s">
        <v>102</v>
      </c>
      <c r="B3203" s="6">
        <f t="shared" si="733"/>
        <v>2032</v>
      </c>
      <c r="C3203" s="1" t="s">
        <v>42</v>
      </c>
      <c r="D3203" s="2" t="s">
        <v>128</v>
      </c>
      <c r="E3203" s="9" t="str">
        <f t="shared" si="731"/>
        <v>PSDP'!</v>
      </c>
      <c r="F3203" s="5" t="str">
        <f t="shared" si="732"/>
        <v>C:\Users\jaime.benazar\Quorum Business Solutions\Ecopetrol Prometeo - Documents\Planning Space Implementation\3. Analysis &amp; Design\Design\FC22\DRR Jaime\QUIFA-CAJÚA\Cajua\[VAS_CAJUA_CF_SEC_20230125.xlsx]CF PSDP'!</v>
      </c>
      <c r="G3203" s="6" t="s">
        <v>43</v>
      </c>
      <c r="H3203" s="1"/>
      <c r="I3203" s="1"/>
    </row>
    <row r="3204" spans="1:9" x14ac:dyDescent="0.25">
      <c r="A3204" s="6" t="s">
        <v>102</v>
      </c>
      <c r="B3204" s="6">
        <f t="shared" si="733"/>
        <v>2033</v>
      </c>
      <c r="C3204" s="1" t="s">
        <v>42</v>
      </c>
      <c r="D3204" s="2" t="s">
        <v>128</v>
      </c>
      <c r="E3204" s="9" t="str">
        <f t="shared" si="731"/>
        <v>PSDP'!</v>
      </c>
      <c r="F3204" s="5" t="str">
        <f t="shared" si="732"/>
        <v>C:\Users\jaime.benazar\Quorum Business Solutions\Ecopetrol Prometeo - Documents\Planning Space Implementation\3. Analysis &amp; Design\Design\FC22\DRR Jaime\QUIFA-CAJÚA\Cajua\[VAS_CAJUA_CF_SEC_20230125.xlsx]CF PSDP'!</v>
      </c>
      <c r="G3204" s="6" t="s">
        <v>43</v>
      </c>
      <c r="H3204" s="1"/>
      <c r="I3204" s="1"/>
    </row>
    <row r="3205" spans="1:9" x14ac:dyDescent="0.25">
      <c r="A3205" s="6" t="s">
        <v>102</v>
      </c>
      <c r="B3205" s="6">
        <f t="shared" si="733"/>
        <v>2034</v>
      </c>
      <c r="C3205" s="1" t="s">
        <v>42</v>
      </c>
      <c r="D3205" s="2" t="s">
        <v>128</v>
      </c>
      <c r="E3205" s="9" t="str">
        <f t="shared" si="731"/>
        <v>PSDP'!</v>
      </c>
      <c r="F3205" s="5" t="str">
        <f t="shared" si="732"/>
        <v>C:\Users\jaime.benazar\Quorum Business Solutions\Ecopetrol Prometeo - Documents\Planning Space Implementation\3. Analysis &amp; Design\Design\FC22\DRR Jaime\QUIFA-CAJÚA\Cajua\[VAS_CAJUA_CF_SEC_20230125.xlsx]CF PSDP'!</v>
      </c>
      <c r="G3205" s="6" t="s">
        <v>43</v>
      </c>
      <c r="H3205" s="1"/>
      <c r="I3205" s="1"/>
    </row>
    <row r="3206" spans="1:9" x14ac:dyDescent="0.25">
      <c r="A3206" s="6" t="s">
        <v>102</v>
      </c>
      <c r="B3206" s="6">
        <f t="shared" si="733"/>
        <v>2035</v>
      </c>
      <c r="C3206" s="1" t="s">
        <v>42</v>
      </c>
      <c r="D3206" s="2" t="s">
        <v>128</v>
      </c>
      <c r="E3206" s="9" t="str">
        <f t="shared" si="731"/>
        <v>PSDP'!</v>
      </c>
      <c r="F3206" s="5" t="str">
        <f t="shared" si="732"/>
        <v>C:\Users\jaime.benazar\Quorum Business Solutions\Ecopetrol Prometeo - Documents\Planning Space Implementation\3. Analysis &amp; Design\Design\FC22\DRR Jaime\QUIFA-CAJÚA\Cajua\[VAS_CAJUA_CF_SEC_20230125.xlsx]CF PSDP'!</v>
      </c>
      <c r="G3206" s="6" t="s">
        <v>43</v>
      </c>
      <c r="H3206" s="1"/>
      <c r="I3206" s="1"/>
    </row>
    <row r="3207" spans="1:9" x14ac:dyDescent="0.25">
      <c r="A3207" s="6" t="s">
        <v>102</v>
      </c>
      <c r="B3207" s="6">
        <f t="shared" si="733"/>
        <v>2036</v>
      </c>
      <c r="C3207" s="1" t="s">
        <v>42</v>
      </c>
      <c r="D3207" s="2" t="s">
        <v>128</v>
      </c>
      <c r="E3207" s="9" t="str">
        <f t="shared" si="731"/>
        <v>PSDP'!</v>
      </c>
      <c r="F3207" s="5" t="str">
        <f t="shared" si="732"/>
        <v>C:\Users\jaime.benazar\Quorum Business Solutions\Ecopetrol Prometeo - Documents\Planning Space Implementation\3. Analysis &amp; Design\Design\FC22\DRR Jaime\QUIFA-CAJÚA\Cajua\[VAS_CAJUA_CF_SEC_20230125.xlsx]CF PSDP'!</v>
      </c>
      <c r="G3207" s="6" t="s">
        <v>43</v>
      </c>
      <c r="H3207" s="1"/>
      <c r="I3207" s="1"/>
    </row>
    <row r="3208" spans="1:9" x14ac:dyDescent="0.25">
      <c r="A3208" s="6" t="s">
        <v>102</v>
      </c>
      <c r="B3208" s="6">
        <f>+B3207+1</f>
        <v>2037</v>
      </c>
      <c r="C3208" s="1" t="s">
        <v>42</v>
      </c>
      <c r="D3208" s="2" t="s">
        <v>128</v>
      </c>
      <c r="E3208" s="9" t="str">
        <f t="shared" si="731"/>
        <v>PSDP'!</v>
      </c>
      <c r="F3208" s="5" t="str">
        <f t="shared" si="732"/>
        <v>C:\Users\jaime.benazar\Quorum Business Solutions\Ecopetrol Prometeo - Documents\Planning Space Implementation\3. Analysis &amp; Design\Design\FC22\DRR Jaime\QUIFA-CAJÚA\Cajua\[VAS_CAJUA_CF_SEC_20230125.xlsx]CF PSDP'!</v>
      </c>
      <c r="G3208" s="6" t="s">
        <v>43</v>
      </c>
      <c r="H3208" s="1"/>
      <c r="I3208" s="1"/>
    </row>
    <row r="3209" spans="1:9" x14ac:dyDescent="0.25">
      <c r="A3209" s="6" t="s">
        <v>102</v>
      </c>
      <c r="B3209" s="6">
        <f t="shared" ref="B3209:B3211" si="734">+B3208+1</f>
        <v>2038</v>
      </c>
      <c r="C3209" s="1" t="s">
        <v>42</v>
      </c>
      <c r="D3209" s="2" t="s">
        <v>128</v>
      </c>
      <c r="E3209" s="9" t="str">
        <f t="shared" si="731"/>
        <v>PSDP'!</v>
      </c>
      <c r="F3209" s="5" t="str">
        <f t="shared" si="732"/>
        <v>C:\Users\jaime.benazar\Quorum Business Solutions\Ecopetrol Prometeo - Documents\Planning Space Implementation\3. Analysis &amp; Design\Design\FC22\DRR Jaime\QUIFA-CAJÚA\Cajua\[VAS_CAJUA_CF_SEC_20230125.xlsx]CF PSDP'!</v>
      </c>
      <c r="G3209" s="6" t="s">
        <v>43</v>
      </c>
      <c r="H3209" s="1"/>
      <c r="I3209" s="1"/>
    </row>
    <row r="3210" spans="1:9" x14ac:dyDescent="0.25">
      <c r="A3210" s="6" t="s">
        <v>102</v>
      </c>
      <c r="B3210" s="6">
        <f t="shared" si="734"/>
        <v>2039</v>
      </c>
      <c r="C3210" s="1" t="s">
        <v>42</v>
      </c>
      <c r="D3210" s="2" t="s">
        <v>128</v>
      </c>
      <c r="E3210" s="9" t="str">
        <f t="shared" si="731"/>
        <v>PSDP'!</v>
      </c>
      <c r="F3210" s="5" t="str">
        <f t="shared" si="732"/>
        <v>C:\Users\jaime.benazar\Quorum Business Solutions\Ecopetrol Prometeo - Documents\Planning Space Implementation\3. Analysis &amp; Design\Design\FC22\DRR Jaime\QUIFA-CAJÚA\Cajua\[VAS_CAJUA_CF_SEC_20230125.xlsx]CF PSDP'!</v>
      </c>
      <c r="G3210" s="6" t="s">
        <v>43</v>
      </c>
      <c r="H3210" s="1"/>
      <c r="I3210" s="1"/>
    </row>
    <row r="3211" spans="1:9" x14ac:dyDescent="0.25">
      <c r="A3211" s="6" t="s">
        <v>102</v>
      </c>
      <c r="B3211" s="6">
        <f t="shared" si="734"/>
        <v>2040</v>
      </c>
      <c r="C3211" s="1" t="s">
        <v>42</v>
      </c>
      <c r="D3211" s="2" t="s">
        <v>128</v>
      </c>
      <c r="E3211" s="9" t="str">
        <f t="shared" si="731"/>
        <v>PSDP'!</v>
      </c>
      <c r="F3211" s="5" t="str">
        <f t="shared" si="732"/>
        <v>C:\Users\jaime.benazar\Quorum Business Solutions\Ecopetrol Prometeo - Documents\Planning Space Implementation\3. Analysis &amp; Design\Design\FC22\DRR Jaime\QUIFA-CAJÚA\Cajua\[VAS_CAJUA_CF_SEC_20230125.xlsx]CF PSDP'!</v>
      </c>
      <c r="G3211" s="6" t="s">
        <v>43</v>
      </c>
      <c r="H3211" s="1"/>
      <c r="I3211" s="1"/>
    </row>
    <row r="3212" spans="1:9" x14ac:dyDescent="0.25">
      <c r="A3212" s="6" t="s">
        <v>102</v>
      </c>
      <c r="B3212" s="6">
        <f>+B3211+1</f>
        <v>2041</v>
      </c>
      <c r="C3212" s="1" t="s">
        <v>42</v>
      </c>
      <c r="D3212" s="2" t="s">
        <v>128</v>
      </c>
      <c r="E3212" s="9" t="str">
        <f t="shared" si="731"/>
        <v>PSDP'!</v>
      </c>
      <c r="F3212" s="5" t="str">
        <f t="shared" si="732"/>
        <v>C:\Users\jaime.benazar\Quorum Business Solutions\Ecopetrol Prometeo - Documents\Planning Space Implementation\3. Analysis &amp; Design\Design\FC22\DRR Jaime\QUIFA-CAJÚA\Cajua\[VAS_CAJUA_CF_SEC_20230125.xlsx]CF PSDP'!</v>
      </c>
      <c r="G3212" s="6" t="s">
        <v>43</v>
      </c>
      <c r="H3212" s="1"/>
      <c r="I3212" s="1"/>
    </row>
    <row r="3213" spans="1:9" x14ac:dyDescent="0.25">
      <c r="A3213" s="6" t="s">
        <v>102</v>
      </c>
      <c r="B3213" s="6">
        <f t="shared" ref="B3213:B3214" si="735">+B3212+1</f>
        <v>2042</v>
      </c>
      <c r="C3213" s="1" t="s">
        <v>42</v>
      </c>
      <c r="D3213" s="2" t="s">
        <v>128</v>
      </c>
      <c r="E3213" s="9" t="str">
        <f t="shared" si="731"/>
        <v>PSDP'!</v>
      </c>
      <c r="F3213" s="5" t="str">
        <f t="shared" si="732"/>
        <v>C:\Users\jaime.benazar\Quorum Business Solutions\Ecopetrol Prometeo - Documents\Planning Space Implementation\3. Analysis &amp; Design\Design\FC22\DRR Jaime\QUIFA-CAJÚA\Cajua\[VAS_CAJUA_CF_SEC_20230125.xlsx]CF PSDP'!</v>
      </c>
      <c r="G3213" s="6" t="s">
        <v>43</v>
      </c>
      <c r="H3213" s="1"/>
      <c r="I3213" s="1"/>
    </row>
    <row r="3214" spans="1:9" x14ac:dyDescent="0.25">
      <c r="A3214" s="6" t="s">
        <v>102</v>
      </c>
      <c r="B3214" s="6">
        <f t="shared" si="735"/>
        <v>2043</v>
      </c>
      <c r="C3214" s="1" t="s">
        <v>42</v>
      </c>
      <c r="D3214" s="2" t="s">
        <v>128</v>
      </c>
      <c r="E3214" s="9" t="str">
        <f t="shared" si="731"/>
        <v>PSDP'!</v>
      </c>
      <c r="F3214" s="5" t="str">
        <f t="shared" si="732"/>
        <v>C:\Users\jaime.benazar\Quorum Business Solutions\Ecopetrol Prometeo - Documents\Planning Space Implementation\3. Analysis &amp; Design\Design\FC22\DRR Jaime\QUIFA-CAJÚA\Cajua\[VAS_CAJUA_CF_SEC_20230125.xlsx]CF PSDP'!</v>
      </c>
      <c r="G3214" s="6" t="s">
        <v>43</v>
      </c>
      <c r="H3214" s="1"/>
      <c r="I3214" s="1"/>
    </row>
    <row r="3215" spans="1:9" x14ac:dyDescent="0.25">
      <c r="A3215" s="6" t="s">
        <v>102</v>
      </c>
      <c r="B3215" s="6">
        <f>+B3214+1</f>
        <v>2044</v>
      </c>
      <c r="C3215" s="1" t="s">
        <v>42</v>
      </c>
      <c r="D3215" s="2" t="s">
        <v>128</v>
      </c>
      <c r="E3215" s="9" t="str">
        <f t="shared" ref="E3215:E3230" si="736">_xlfn.CONCAT(A3215,"'!")</f>
        <v>PSDP'!</v>
      </c>
      <c r="F3215" s="5" t="str">
        <f t="shared" ref="F3215:F3230" si="737">_xlfn.CONCAT(D3215," ",E3215)</f>
        <v>C:\Users\jaime.benazar\Quorum Business Solutions\Ecopetrol Prometeo - Documents\Planning Space Implementation\3. Analysis &amp; Design\Design\FC22\DRR Jaime\QUIFA-CAJÚA\Cajua\[VAS_CAJUA_CF_SEC_20230125.xlsx]CF PSDP'!</v>
      </c>
      <c r="G3215" s="6" t="s">
        <v>43</v>
      </c>
      <c r="H3215" s="1"/>
      <c r="I3215" s="1"/>
    </row>
    <row r="3216" spans="1:9" x14ac:dyDescent="0.25">
      <c r="A3216" s="6" t="s">
        <v>102</v>
      </c>
      <c r="B3216" s="6">
        <f t="shared" ref="B3216:B3230" si="738">+B3215+1</f>
        <v>2045</v>
      </c>
      <c r="C3216" s="1" t="s">
        <v>42</v>
      </c>
      <c r="D3216" s="2" t="s">
        <v>128</v>
      </c>
      <c r="E3216" s="9" t="str">
        <f t="shared" si="736"/>
        <v>PSDP'!</v>
      </c>
      <c r="F3216" s="5" t="str">
        <f t="shared" si="737"/>
        <v>C:\Users\jaime.benazar\Quorum Business Solutions\Ecopetrol Prometeo - Documents\Planning Space Implementation\3. Analysis &amp; Design\Design\FC22\DRR Jaime\QUIFA-CAJÚA\Cajua\[VAS_CAJUA_CF_SEC_20230125.xlsx]CF PSDP'!</v>
      </c>
      <c r="G3216" s="6" t="s">
        <v>43</v>
      </c>
      <c r="H3216" s="1"/>
      <c r="I3216" s="1"/>
    </row>
    <row r="3217" spans="1:9" x14ac:dyDescent="0.25">
      <c r="A3217" s="6" t="s">
        <v>102</v>
      </c>
      <c r="B3217" s="6">
        <f t="shared" si="738"/>
        <v>2046</v>
      </c>
      <c r="C3217" s="1" t="s">
        <v>42</v>
      </c>
      <c r="D3217" s="2" t="s">
        <v>128</v>
      </c>
      <c r="E3217" s="9" t="str">
        <f t="shared" si="736"/>
        <v>PSDP'!</v>
      </c>
      <c r="F3217" s="5" t="str">
        <f t="shared" si="737"/>
        <v>C:\Users\jaime.benazar\Quorum Business Solutions\Ecopetrol Prometeo - Documents\Planning Space Implementation\3. Analysis &amp; Design\Design\FC22\DRR Jaime\QUIFA-CAJÚA\Cajua\[VAS_CAJUA_CF_SEC_20230125.xlsx]CF PSDP'!</v>
      </c>
      <c r="G3217" s="6" t="s">
        <v>43</v>
      </c>
      <c r="H3217" s="1"/>
      <c r="I3217" s="1"/>
    </row>
    <row r="3218" spans="1:9" x14ac:dyDescent="0.25">
      <c r="A3218" s="6" t="s">
        <v>102</v>
      </c>
      <c r="B3218" s="6">
        <f t="shared" si="738"/>
        <v>2047</v>
      </c>
      <c r="C3218" s="1" t="s">
        <v>42</v>
      </c>
      <c r="D3218" s="2" t="s">
        <v>128</v>
      </c>
      <c r="E3218" s="9" t="str">
        <f t="shared" si="736"/>
        <v>PSDP'!</v>
      </c>
      <c r="F3218" s="5" t="str">
        <f t="shared" si="737"/>
        <v>C:\Users\jaime.benazar\Quorum Business Solutions\Ecopetrol Prometeo - Documents\Planning Space Implementation\3. Analysis &amp; Design\Design\FC22\DRR Jaime\QUIFA-CAJÚA\Cajua\[VAS_CAJUA_CF_SEC_20230125.xlsx]CF PSDP'!</v>
      </c>
      <c r="G3218" s="6" t="s">
        <v>43</v>
      </c>
      <c r="H3218" s="1"/>
      <c r="I3218" s="1"/>
    </row>
    <row r="3219" spans="1:9" x14ac:dyDescent="0.25">
      <c r="A3219" s="6" t="s">
        <v>102</v>
      </c>
      <c r="B3219" s="6">
        <f t="shared" si="738"/>
        <v>2048</v>
      </c>
      <c r="C3219" s="1" t="s">
        <v>42</v>
      </c>
      <c r="D3219" s="2" t="s">
        <v>128</v>
      </c>
      <c r="E3219" s="9" t="str">
        <f t="shared" si="736"/>
        <v>PSDP'!</v>
      </c>
      <c r="F3219" s="5" t="str">
        <f t="shared" si="737"/>
        <v>C:\Users\jaime.benazar\Quorum Business Solutions\Ecopetrol Prometeo - Documents\Planning Space Implementation\3. Analysis &amp; Design\Design\FC22\DRR Jaime\QUIFA-CAJÚA\Cajua\[VAS_CAJUA_CF_SEC_20230125.xlsx]CF PSDP'!</v>
      </c>
      <c r="G3219" s="6" t="s">
        <v>43</v>
      </c>
      <c r="H3219" s="1"/>
      <c r="I3219" s="1"/>
    </row>
    <row r="3220" spans="1:9" x14ac:dyDescent="0.25">
      <c r="A3220" s="6" t="s">
        <v>102</v>
      </c>
      <c r="B3220" s="6">
        <f t="shared" si="738"/>
        <v>2049</v>
      </c>
      <c r="C3220" s="1" t="s">
        <v>42</v>
      </c>
      <c r="D3220" s="2" t="s">
        <v>128</v>
      </c>
      <c r="E3220" s="9" t="str">
        <f t="shared" si="736"/>
        <v>PSDP'!</v>
      </c>
      <c r="F3220" s="5" t="str">
        <f t="shared" si="737"/>
        <v>C:\Users\jaime.benazar\Quorum Business Solutions\Ecopetrol Prometeo - Documents\Planning Space Implementation\3. Analysis &amp; Design\Design\FC22\DRR Jaime\QUIFA-CAJÚA\Cajua\[VAS_CAJUA_CF_SEC_20230125.xlsx]CF PSDP'!</v>
      </c>
      <c r="G3220" s="6" t="s">
        <v>43</v>
      </c>
      <c r="H3220" s="1"/>
      <c r="I3220" s="1"/>
    </row>
    <row r="3221" spans="1:9" x14ac:dyDescent="0.25">
      <c r="A3221" s="6" t="s">
        <v>102</v>
      </c>
      <c r="B3221" s="6">
        <f t="shared" si="738"/>
        <v>2050</v>
      </c>
      <c r="C3221" s="1" t="s">
        <v>42</v>
      </c>
      <c r="D3221" s="2" t="s">
        <v>128</v>
      </c>
      <c r="E3221" s="9" t="str">
        <f t="shared" si="736"/>
        <v>PSDP'!</v>
      </c>
      <c r="F3221" s="5" t="str">
        <f t="shared" si="737"/>
        <v>C:\Users\jaime.benazar\Quorum Business Solutions\Ecopetrol Prometeo - Documents\Planning Space Implementation\3. Analysis &amp; Design\Design\FC22\DRR Jaime\QUIFA-CAJÚA\Cajua\[VAS_CAJUA_CF_SEC_20230125.xlsx]CF PSDP'!</v>
      </c>
      <c r="G3221" s="6" t="s">
        <v>43</v>
      </c>
      <c r="H3221" s="1"/>
      <c r="I3221" s="1"/>
    </row>
    <row r="3222" spans="1:9" x14ac:dyDescent="0.25">
      <c r="A3222" s="6" t="s">
        <v>102</v>
      </c>
      <c r="B3222" s="6">
        <f t="shared" si="738"/>
        <v>2051</v>
      </c>
      <c r="C3222" s="1" t="s">
        <v>42</v>
      </c>
      <c r="D3222" s="2" t="s">
        <v>128</v>
      </c>
      <c r="E3222" s="9" t="str">
        <f t="shared" si="736"/>
        <v>PSDP'!</v>
      </c>
      <c r="F3222" s="5" t="str">
        <f t="shared" si="737"/>
        <v>C:\Users\jaime.benazar\Quorum Business Solutions\Ecopetrol Prometeo - Documents\Planning Space Implementation\3. Analysis &amp; Design\Design\FC22\DRR Jaime\QUIFA-CAJÚA\Cajua\[VAS_CAJUA_CF_SEC_20230125.xlsx]CF PSDP'!</v>
      </c>
      <c r="G3222" s="6" t="s">
        <v>43</v>
      </c>
      <c r="H3222" s="1"/>
      <c r="I3222" s="1"/>
    </row>
    <row r="3223" spans="1:9" x14ac:dyDescent="0.25">
      <c r="A3223" s="6" t="s">
        <v>102</v>
      </c>
      <c r="B3223" s="6">
        <f t="shared" si="738"/>
        <v>2052</v>
      </c>
      <c r="C3223" s="1" t="s">
        <v>42</v>
      </c>
      <c r="D3223" s="2" t="s">
        <v>128</v>
      </c>
      <c r="E3223" s="9" t="str">
        <f t="shared" si="736"/>
        <v>PSDP'!</v>
      </c>
      <c r="F3223" s="5" t="str">
        <f t="shared" si="737"/>
        <v>C:\Users\jaime.benazar\Quorum Business Solutions\Ecopetrol Prometeo - Documents\Planning Space Implementation\3. Analysis &amp; Design\Design\FC22\DRR Jaime\QUIFA-CAJÚA\Cajua\[VAS_CAJUA_CF_SEC_20230125.xlsx]CF PSDP'!</v>
      </c>
      <c r="G3223" s="6" t="s">
        <v>43</v>
      </c>
      <c r="H3223" s="1"/>
      <c r="I3223" s="1"/>
    </row>
    <row r="3224" spans="1:9" x14ac:dyDescent="0.25">
      <c r="A3224" s="6" t="s">
        <v>102</v>
      </c>
      <c r="B3224" s="6">
        <f t="shared" si="738"/>
        <v>2053</v>
      </c>
      <c r="C3224" s="1" t="s">
        <v>42</v>
      </c>
      <c r="D3224" s="2" t="s">
        <v>128</v>
      </c>
      <c r="E3224" s="9" t="str">
        <f t="shared" si="736"/>
        <v>PSDP'!</v>
      </c>
      <c r="F3224" s="5" t="str">
        <f t="shared" si="737"/>
        <v>C:\Users\jaime.benazar\Quorum Business Solutions\Ecopetrol Prometeo - Documents\Planning Space Implementation\3. Analysis &amp; Design\Design\FC22\DRR Jaime\QUIFA-CAJÚA\Cajua\[VAS_CAJUA_CF_SEC_20230125.xlsx]CF PSDP'!</v>
      </c>
      <c r="G3224" s="6" t="s">
        <v>43</v>
      </c>
      <c r="H3224" s="1"/>
      <c r="I3224" s="1"/>
    </row>
    <row r="3225" spans="1:9" x14ac:dyDescent="0.25">
      <c r="A3225" s="6" t="s">
        <v>102</v>
      </c>
      <c r="B3225" s="6">
        <f t="shared" si="738"/>
        <v>2054</v>
      </c>
      <c r="C3225" s="1" t="s">
        <v>42</v>
      </c>
      <c r="D3225" s="2" t="s">
        <v>128</v>
      </c>
      <c r="E3225" s="9" t="str">
        <f t="shared" si="736"/>
        <v>PSDP'!</v>
      </c>
      <c r="F3225" s="5" t="str">
        <f t="shared" si="737"/>
        <v>C:\Users\jaime.benazar\Quorum Business Solutions\Ecopetrol Prometeo - Documents\Planning Space Implementation\3. Analysis &amp; Design\Design\FC22\DRR Jaime\QUIFA-CAJÚA\Cajua\[VAS_CAJUA_CF_SEC_20230125.xlsx]CF PSDP'!</v>
      </c>
      <c r="G3225" s="6" t="s">
        <v>43</v>
      </c>
      <c r="H3225" s="1"/>
      <c r="I3225" s="1"/>
    </row>
    <row r="3226" spans="1:9" x14ac:dyDescent="0.25">
      <c r="A3226" s="6" t="s">
        <v>102</v>
      </c>
      <c r="B3226" s="6">
        <f t="shared" si="738"/>
        <v>2055</v>
      </c>
      <c r="C3226" s="1" t="s">
        <v>42</v>
      </c>
      <c r="D3226" s="2" t="s">
        <v>128</v>
      </c>
      <c r="E3226" s="9" t="str">
        <f t="shared" si="736"/>
        <v>PSDP'!</v>
      </c>
      <c r="F3226" s="5" t="str">
        <f t="shared" si="737"/>
        <v>C:\Users\jaime.benazar\Quorum Business Solutions\Ecopetrol Prometeo - Documents\Planning Space Implementation\3. Analysis &amp; Design\Design\FC22\DRR Jaime\QUIFA-CAJÚA\Cajua\[VAS_CAJUA_CF_SEC_20230125.xlsx]CF PSDP'!</v>
      </c>
      <c r="G3226" s="6" t="s">
        <v>43</v>
      </c>
      <c r="H3226" s="1"/>
      <c r="I3226" s="1"/>
    </row>
    <row r="3227" spans="1:9" x14ac:dyDescent="0.25">
      <c r="A3227" s="6" t="s">
        <v>102</v>
      </c>
      <c r="B3227" s="6">
        <f t="shared" si="738"/>
        <v>2056</v>
      </c>
      <c r="C3227" s="1" t="s">
        <v>42</v>
      </c>
      <c r="D3227" s="2" t="s">
        <v>128</v>
      </c>
      <c r="E3227" s="9" t="str">
        <f t="shared" si="736"/>
        <v>PSDP'!</v>
      </c>
      <c r="F3227" s="5" t="str">
        <f t="shared" si="737"/>
        <v>C:\Users\jaime.benazar\Quorum Business Solutions\Ecopetrol Prometeo - Documents\Planning Space Implementation\3. Analysis &amp; Design\Design\FC22\DRR Jaime\QUIFA-CAJÚA\Cajua\[VAS_CAJUA_CF_SEC_20230125.xlsx]CF PSDP'!</v>
      </c>
      <c r="G3227" s="6" t="s">
        <v>43</v>
      </c>
      <c r="H3227" s="1"/>
      <c r="I3227" s="1"/>
    </row>
    <row r="3228" spans="1:9" x14ac:dyDescent="0.25">
      <c r="A3228" s="6" t="s">
        <v>102</v>
      </c>
      <c r="B3228" s="6">
        <f t="shared" si="738"/>
        <v>2057</v>
      </c>
      <c r="C3228" s="1" t="s">
        <v>42</v>
      </c>
      <c r="D3228" s="2" t="s">
        <v>128</v>
      </c>
      <c r="E3228" s="9" t="str">
        <f t="shared" si="736"/>
        <v>PSDP'!</v>
      </c>
      <c r="F3228" s="5" t="str">
        <f t="shared" si="737"/>
        <v>C:\Users\jaime.benazar\Quorum Business Solutions\Ecopetrol Prometeo - Documents\Planning Space Implementation\3. Analysis &amp; Design\Design\FC22\DRR Jaime\QUIFA-CAJÚA\Cajua\[VAS_CAJUA_CF_SEC_20230125.xlsx]CF PSDP'!</v>
      </c>
      <c r="G3228" s="6" t="s">
        <v>43</v>
      </c>
      <c r="H3228" s="1"/>
      <c r="I3228" s="1"/>
    </row>
    <row r="3229" spans="1:9" x14ac:dyDescent="0.25">
      <c r="A3229" s="6" t="s">
        <v>102</v>
      </c>
      <c r="B3229" s="6">
        <f t="shared" si="738"/>
        <v>2058</v>
      </c>
      <c r="C3229" s="1" t="s">
        <v>42</v>
      </c>
      <c r="D3229" s="2" t="s">
        <v>128</v>
      </c>
      <c r="E3229" s="9" t="str">
        <f t="shared" si="736"/>
        <v>PSDP'!</v>
      </c>
      <c r="F3229" s="5" t="str">
        <f t="shared" si="737"/>
        <v>C:\Users\jaime.benazar\Quorum Business Solutions\Ecopetrol Prometeo - Documents\Planning Space Implementation\3. Analysis &amp; Design\Design\FC22\DRR Jaime\QUIFA-CAJÚA\Cajua\[VAS_CAJUA_CF_SEC_20230125.xlsx]CF PSDP'!</v>
      </c>
      <c r="G3229" s="6" t="s">
        <v>43</v>
      </c>
      <c r="H3229" s="1"/>
      <c r="I3229" s="1"/>
    </row>
    <row r="3230" spans="1:9" x14ac:dyDescent="0.25">
      <c r="A3230" s="6" t="s">
        <v>102</v>
      </c>
      <c r="B3230" s="6">
        <f t="shared" si="738"/>
        <v>2059</v>
      </c>
      <c r="C3230" s="1" t="s">
        <v>42</v>
      </c>
      <c r="D3230" s="2" t="s">
        <v>128</v>
      </c>
      <c r="E3230" s="9" t="str">
        <f t="shared" si="736"/>
        <v>PSDP'!</v>
      </c>
      <c r="F3230" s="5" t="str">
        <f t="shared" si="737"/>
        <v>C:\Users\jaime.benazar\Quorum Business Solutions\Ecopetrol Prometeo - Documents\Planning Space Implementation\3. Analysis &amp; Design\Design\FC22\DRR Jaime\QUIFA-CAJÚA\Cajua\[VAS_CAJUA_CF_SEC_20230125.xlsx]CF PSDP'!</v>
      </c>
      <c r="G3230" s="6" t="s">
        <v>43</v>
      </c>
      <c r="H3230" s="1"/>
      <c r="I3230" s="1"/>
    </row>
    <row r="3231" spans="1:9" x14ac:dyDescent="0.25">
      <c r="A3231" s="8" t="s">
        <v>28</v>
      </c>
      <c r="C3231" s="1" t="s">
        <v>42</v>
      </c>
      <c r="D3231" s="2"/>
      <c r="E3231" s="8" t="str">
        <f t="shared" si="731"/>
        <v>Total'!</v>
      </c>
      <c r="F3231" s="2"/>
    </row>
    <row r="3232" spans="1:9" x14ac:dyDescent="0.25">
      <c r="A3232" s="6" t="s">
        <v>103</v>
      </c>
      <c r="B3232" s="6">
        <v>2023</v>
      </c>
      <c r="C3232" s="1" t="s">
        <v>42</v>
      </c>
      <c r="D3232" s="2" t="s">
        <v>128</v>
      </c>
      <c r="E3232" s="9" t="str">
        <f t="shared" ref="E3232:E3269" si="739">_xlfn.CONCAT(A3232,"'!")</f>
        <v>PSNP'!</v>
      </c>
      <c r="F3232" s="5" t="str">
        <f t="shared" ref="F3232:F3252" si="740">_xlfn.CONCAT(D3232," ",E3232)</f>
        <v>C:\Users\jaime.benazar\Quorum Business Solutions\Ecopetrol Prometeo - Documents\Planning Space Implementation\3. Analysis &amp; Design\Design\FC22\DRR Jaime\QUIFA-CAJÚA\Cajua\[VAS_CAJUA_CF_SEC_20230125.xlsx]CF PSNP'!</v>
      </c>
      <c r="G3232" s="6" t="s">
        <v>43</v>
      </c>
      <c r="H3232" s="1"/>
      <c r="I3232" s="1"/>
    </row>
    <row r="3233" spans="1:9" x14ac:dyDescent="0.25">
      <c r="A3233" s="6" t="s">
        <v>103</v>
      </c>
      <c r="B3233" s="6">
        <f>+B3232+1</f>
        <v>2024</v>
      </c>
      <c r="C3233" s="1" t="s">
        <v>42</v>
      </c>
      <c r="D3233" s="2" t="s">
        <v>128</v>
      </c>
      <c r="E3233" s="9" t="str">
        <f t="shared" si="739"/>
        <v>PSNP'!</v>
      </c>
      <c r="F3233" s="5" t="str">
        <f t="shared" si="740"/>
        <v>C:\Users\jaime.benazar\Quorum Business Solutions\Ecopetrol Prometeo - Documents\Planning Space Implementation\3. Analysis &amp; Design\Design\FC22\DRR Jaime\QUIFA-CAJÚA\Cajua\[VAS_CAJUA_CF_SEC_20230125.xlsx]CF PSNP'!</v>
      </c>
      <c r="G3233" s="6" t="s">
        <v>43</v>
      </c>
      <c r="H3233" s="1"/>
      <c r="I3233" s="1"/>
    </row>
    <row r="3234" spans="1:9" x14ac:dyDescent="0.25">
      <c r="A3234" s="6" t="s">
        <v>103</v>
      </c>
      <c r="B3234" s="6">
        <f t="shared" ref="B3234:B3245" si="741">+B3233+1</f>
        <v>2025</v>
      </c>
      <c r="C3234" s="1" t="s">
        <v>42</v>
      </c>
      <c r="D3234" s="2" t="s">
        <v>128</v>
      </c>
      <c r="E3234" s="9" t="str">
        <f t="shared" si="739"/>
        <v>PSNP'!</v>
      </c>
      <c r="F3234" s="5" t="str">
        <f t="shared" si="740"/>
        <v>C:\Users\jaime.benazar\Quorum Business Solutions\Ecopetrol Prometeo - Documents\Planning Space Implementation\3. Analysis &amp; Design\Design\FC22\DRR Jaime\QUIFA-CAJÚA\Cajua\[VAS_CAJUA_CF_SEC_20230125.xlsx]CF PSNP'!</v>
      </c>
      <c r="G3234" s="6" t="s">
        <v>43</v>
      </c>
      <c r="H3234" s="1"/>
      <c r="I3234" s="1"/>
    </row>
    <row r="3235" spans="1:9" x14ac:dyDescent="0.25">
      <c r="A3235" s="6" t="s">
        <v>103</v>
      </c>
      <c r="B3235" s="6">
        <f t="shared" si="741"/>
        <v>2026</v>
      </c>
      <c r="C3235" s="1" t="s">
        <v>42</v>
      </c>
      <c r="D3235" s="2" t="s">
        <v>128</v>
      </c>
      <c r="E3235" s="9" t="str">
        <f t="shared" si="739"/>
        <v>PSNP'!</v>
      </c>
      <c r="F3235" s="5" t="str">
        <f t="shared" si="740"/>
        <v>C:\Users\jaime.benazar\Quorum Business Solutions\Ecopetrol Prometeo - Documents\Planning Space Implementation\3. Analysis &amp; Design\Design\FC22\DRR Jaime\QUIFA-CAJÚA\Cajua\[VAS_CAJUA_CF_SEC_20230125.xlsx]CF PSNP'!</v>
      </c>
      <c r="G3235" s="6" t="s">
        <v>43</v>
      </c>
      <c r="H3235" s="1"/>
      <c r="I3235" s="1"/>
    </row>
    <row r="3236" spans="1:9" x14ac:dyDescent="0.25">
      <c r="A3236" s="6" t="s">
        <v>103</v>
      </c>
      <c r="B3236" s="6">
        <f t="shared" si="741"/>
        <v>2027</v>
      </c>
      <c r="C3236" s="1" t="s">
        <v>42</v>
      </c>
      <c r="D3236" s="2" t="s">
        <v>128</v>
      </c>
      <c r="E3236" s="9" t="str">
        <f t="shared" si="739"/>
        <v>PSNP'!</v>
      </c>
      <c r="F3236" s="5" t="str">
        <f t="shared" si="740"/>
        <v>C:\Users\jaime.benazar\Quorum Business Solutions\Ecopetrol Prometeo - Documents\Planning Space Implementation\3. Analysis &amp; Design\Design\FC22\DRR Jaime\QUIFA-CAJÚA\Cajua\[VAS_CAJUA_CF_SEC_20230125.xlsx]CF PSNP'!</v>
      </c>
      <c r="G3236" s="6" t="s">
        <v>43</v>
      </c>
      <c r="H3236" s="1"/>
      <c r="I3236" s="1"/>
    </row>
    <row r="3237" spans="1:9" x14ac:dyDescent="0.25">
      <c r="A3237" s="6" t="s">
        <v>103</v>
      </c>
      <c r="B3237" s="6">
        <f t="shared" si="741"/>
        <v>2028</v>
      </c>
      <c r="C3237" s="1" t="s">
        <v>42</v>
      </c>
      <c r="D3237" s="2" t="s">
        <v>128</v>
      </c>
      <c r="E3237" s="9" t="str">
        <f t="shared" si="739"/>
        <v>PSNP'!</v>
      </c>
      <c r="F3237" s="5" t="str">
        <f t="shared" si="740"/>
        <v>C:\Users\jaime.benazar\Quorum Business Solutions\Ecopetrol Prometeo - Documents\Planning Space Implementation\3. Analysis &amp; Design\Design\FC22\DRR Jaime\QUIFA-CAJÚA\Cajua\[VAS_CAJUA_CF_SEC_20230125.xlsx]CF PSNP'!</v>
      </c>
      <c r="G3237" s="6" t="s">
        <v>43</v>
      </c>
      <c r="H3237" s="1"/>
      <c r="I3237" s="1"/>
    </row>
    <row r="3238" spans="1:9" x14ac:dyDescent="0.25">
      <c r="A3238" s="6" t="s">
        <v>103</v>
      </c>
      <c r="B3238" s="6">
        <f t="shared" si="741"/>
        <v>2029</v>
      </c>
      <c r="C3238" s="1" t="s">
        <v>42</v>
      </c>
      <c r="D3238" s="2" t="s">
        <v>128</v>
      </c>
      <c r="E3238" s="9" t="str">
        <f t="shared" si="739"/>
        <v>PSNP'!</v>
      </c>
      <c r="F3238" s="5" t="str">
        <f t="shared" si="740"/>
        <v>C:\Users\jaime.benazar\Quorum Business Solutions\Ecopetrol Prometeo - Documents\Planning Space Implementation\3. Analysis &amp; Design\Design\FC22\DRR Jaime\QUIFA-CAJÚA\Cajua\[VAS_CAJUA_CF_SEC_20230125.xlsx]CF PSNP'!</v>
      </c>
      <c r="G3238" s="6" t="s">
        <v>43</v>
      </c>
      <c r="H3238" s="1"/>
      <c r="I3238" s="1"/>
    </row>
    <row r="3239" spans="1:9" x14ac:dyDescent="0.25">
      <c r="A3239" s="6" t="s">
        <v>103</v>
      </c>
      <c r="B3239" s="6">
        <f t="shared" si="741"/>
        <v>2030</v>
      </c>
      <c r="C3239" s="1" t="s">
        <v>42</v>
      </c>
      <c r="D3239" s="2" t="s">
        <v>128</v>
      </c>
      <c r="E3239" s="9" t="str">
        <f t="shared" si="739"/>
        <v>PSNP'!</v>
      </c>
      <c r="F3239" s="5" t="str">
        <f t="shared" si="740"/>
        <v>C:\Users\jaime.benazar\Quorum Business Solutions\Ecopetrol Prometeo - Documents\Planning Space Implementation\3. Analysis &amp; Design\Design\FC22\DRR Jaime\QUIFA-CAJÚA\Cajua\[VAS_CAJUA_CF_SEC_20230125.xlsx]CF PSNP'!</v>
      </c>
      <c r="G3239" s="6" t="s">
        <v>43</v>
      </c>
      <c r="H3239" s="1"/>
      <c r="I3239" s="1"/>
    </row>
    <row r="3240" spans="1:9" x14ac:dyDescent="0.25">
      <c r="A3240" s="6" t="s">
        <v>103</v>
      </c>
      <c r="B3240" s="6">
        <f t="shared" si="741"/>
        <v>2031</v>
      </c>
      <c r="C3240" s="1" t="s">
        <v>42</v>
      </c>
      <c r="D3240" s="2" t="s">
        <v>128</v>
      </c>
      <c r="E3240" s="9" t="str">
        <f t="shared" si="739"/>
        <v>PSNP'!</v>
      </c>
      <c r="F3240" s="5" t="str">
        <f t="shared" si="740"/>
        <v>C:\Users\jaime.benazar\Quorum Business Solutions\Ecopetrol Prometeo - Documents\Planning Space Implementation\3. Analysis &amp; Design\Design\FC22\DRR Jaime\QUIFA-CAJÚA\Cajua\[VAS_CAJUA_CF_SEC_20230125.xlsx]CF PSNP'!</v>
      </c>
      <c r="G3240" s="6" t="s">
        <v>43</v>
      </c>
      <c r="H3240" s="1"/>
      <c r="I3240" s="1"/>
    </row>
    <row r="3241" spans="1:9" x14ac:dyDescent="0.25">
      <c r="A3241" s="6" t="s">
        <v>103</v>
      </c>
      <c r="B3241" s="6">
        <f t="shared" si="741"/>
        <v>2032</v>
      </c>
      <c r="C3241" s="1" t="s">
        <v>42</v>
      </c>
      <c r="D3241" s="2" t="s">
        <v>128</v>
      </c>
      <c r="E3241" s="9" t="str">
        <f t="shared" si="739"/>
        <v>PSNP'!</v>
      </c>
      <c r="F3241" s="5" t="str">
        <f t="shared" si="740"/>
        <v>C:\Users\jaime.benazar\Quorum Business Solutions\Ecopetrol Prometeo - Documents\Planning Space Implementation\3. Analysis &amp; Design\Design\FC22\DRR Jaime\QUIFA-CAJÚA\Cajua\[VAS_CAJUA_CF_SEC_20230125.xlsx]CF PSNP'!</v>
      </c>
      <c r="G3241" s="6" t="s">
        <v>43</v>
      </c>
      <c r="H3241" s="1"/>
      <c r="I3241" s="1"/>
    </row>
    <row r="3242" spans="1:9" x14ac:dyDescent="0.25">
      <c r="A3242" s="6" t="s">
        <v>103</v>
      </c>
      <c r="B3242" s="6">
        <f t="shared" si="741"/>
        <v>2033</v>
      </c>
      <c r="C3242" s="1" t="s">
        <v>42</v>
      </c>
      <c r="D3242" s="2" t="s">
        <v>128</v>
      </c>
      <c r="E3242" s="9" t="str">
        <f t="shared" si="739"/>
        <v>PSNP'!</v>
      </c>
      <c r="F3242" s="5" t="str">
        <f t="shared" si="740"/>
        <v>C:\Users\jaime.benazar\Quorum Business Solutions\Ecopetrol Prometeo - Documents\Planning Space Implementation\3. Analysis &amp; Design\Design\FC22\DRR Jaime\QUIFA-CAJÚA\Cajua\[VAS_CAJUA_CF_SEC_20230125.xlsx]CF PSNP'!</v>
      </c>
      <c r="G3242" s="6" t="s">
        <v>43</v>
      </c>
      <c r="H3242" s="1"/>
      <c r="I3242" s="1"/>
    </row>
    <row r="3243" spans="1:9" x14ac:dyDescent="0.25">
      <c r="A3243" s="6" t="s">
        <v>103</v>
      </c>
      <c r="B3243" s="6">
        <f t="shared" si="741"/>
        <v>2034</v>
      </c>
      <c r="C3243" s="1" t="s">
        <v>42</v>
      </c>
      <c r="D3243" s="2" t="s">
        <v>128</v>
      </c>
      <c r="E3243" s="9" t="str">
        <f t="shared" si="739"/>
        <v>PSNP'!</v>
      </c>
      <c r="F3243" s="5" t="str">
        <f t="shared" si="740"/>
        <v>C:\Users\jaime.benazar\Quorum Business Solutions\Ecopetrol Prometeo - Documents\Planning Space Implementation\3. Analysis &amp; Design\Design\FC22\DRR Jaime\QUIFA-CAJÚA\Cajua\[VAS_CAJUA_CF_SEC_20230125.xlsx]CF PSNP'!</v>
      </c>
      <c r="G3243" s="6" t="s">
        <v>43</v>
      </c>
      <c r="H3243" s="1"/>
      <c r="I3243" s="1"/>
    </row>
    <row r="3244" spans="1:9" x14ac:dyDescent="0.25">
      <c r="A3244" s="6" t="s">
        <v>103</v>
      </c>
      <c r="B3244" s="6">
        <f t="shared" si="741"/>
        <v>2035</v>
      </c>
      <c r="C3244" s="1" t="s">
        <v>42</v>
      </c>
      <c r="D3244" s="2" t="s">
        <v>128</v>
      </c>
      <c r="E3244" s="9" t="str">
        <f t="shared" si="739"/>
        <v>PSNP'!</v>
      </c>
      <c r="F3244" s="5" t="str">
        <f t="shared" si="740"/>
        <v>C:\Users\jaime.benazar\Quorum Business Solutions\Ecopetrol Prometeo - Documents\Planning Space Implementation\3. Analysis &amp; Design\Design\FC22\DRR Jaime\QUIFA-CAJÚA\Cajua\[VAS_CAJUA_CF_SEC_20230125.xlsx]CF PSNP'!</v>
      </c>
      <c r="G3244" s="6" t="s">
        <v>43</v>
      </c>
      <c r="H3244" s="1"/>
      <c r="I3244" s="1"/>
    </row>
    <row r="3245" spans="1:9" x14ac:dyDescent="0.25">
      <c r="A3245" s="6" t="s">
        <v>103</v>
      </c>
      <c r="B3245" s="6">
        <f t="shared" si="741"/>
        <v>2036</v>
      </c>
      <c r="C3245" s="1" t="s">
        <v>42</v>
      </c>
      <c r="D3245" s="2" t="s">
        <v>128</v>
      </c>
      <c r="E3245" s="9" t="str">
        <f t="shared" si="739"/>
        <v>PSNP'!</v>
      </c>
      <c r="F3245" s="5" t="str">
        <f t="shared" si="740"/>
        <v>C:\Users\jaime.benazar\Quorum Business Solutions\Ecopetrol Prometeo - Documents\Planning Space Implementation\3. Analysis &amp; Design\Design\FC22\DRR Jaime\QUIFA-CAJÚA\Cajua\[VAS_CAJUA_CF_SEC_20230125.xlsx]CF PSNP'!</v>
      </c>
      <c r="G3245" s="6" t="s">
        <v>43</v>
      </c>
      <c r="H3245" s="1"/>
      <c r="I3245" s="1"/>
    </row>
    <row r="3246" spans="1:9" x14ac:dyDescent="0.25">
      <c r="A3246" s="6" t="s">
        <v>103</v>
      </c>
      <c r="B3246" s="6">
        <f>+B3245+1</f>
        <v>2037</v>
      </c>
      <c r="C3246" s="1" t="s">
        <v>42</v>
      </c>
      <c r="D3246" s="2" t="s">
        <v>128</v>
      </c>
      <c r="E3246" s="9" t="str">
        <f t="shared" si="739"/>
        <v>PSNP'!</v>
      </c>
      <c r="F3246" s="5" t="str">
        <f t="shared" si="740"/>
        <v>C:\Users\jaime.benazar\Quorum Business Solutions\Ecopetrol Prometeo - Documents\Planning Space Implementation\3. Analysis &amp; Design\Design\FC22\DRR Jaime\QUIFA-CAJÚA\Cajua\[VAS_CAJUA_CF_SEC_20230125.xlsx]CF PSNP'!</v>
      </c>
      <c r="G3246" s="6" t="s">
        <v>43</v>
      </c>
      <c r="H3246" s="1"/>
      <c r="I3246" s="1"/>
    </row>
    <row r="3247" spans="1:9" x14ac:dyDescent="0.25">
      <c r="A3247" s="6" t="s">
        <v>103</v>
      </c>
      <c r="B3247" s="6">
        <f t="shared" ref="B3247:B3249" si="742">+B3246+1</f>
        <v>2038</v>
      </c>
      <c r="C3247" s="1" t="s">
        <v>42</v>
      </c>
      <c r="D3247" s="2" t="s">
        <v>128</v>
      </c>
      <c r="E3247" s="9" t="str">
        <f t="shared" si="739"/>
        <v>PSNP'!</v>
      </c>
      <c r="F3247" s="5" t="str">
        <f t="shared" si="740"/>
        <v>C:\Users\jaime.benazar\Quorum Business Solutions\Ecopetrol Prometeo - Documents\Planning Space Implementation\3. Analysis &amp; Design\Design\FC22\DRR Jaime\QUIFA-CAJÚA\Cajua\[VAS_CAJUA_CF_SEC_20230125.xlsx]CF PSNP'!</v>
      </c>
      <c r="G3247" s="6" t="s">
        <v>43</v>
      </c>
      <c r="H3247" s="1"/>
      <c r="I3247" s="1"/>
    </row>
    <row r="3248" spans="1:9" x14ac:dyDescent="0.25">
      <c r="A3248" s="6" t="s">
        <v>103</v>
      </c>
      <c r="B3248" s="6">
        <f t="shared" si="742"/>
        <v>2039</v>
      </c>
      <c r="C3248" s="1" t="s">
        <v>42</v>
      </c>
      <c r="D3248" s="2" t="s">
        <v>128</v>
      </c>
      <c r="E3248" s="9" t="str">
        <f t="shared" si="739"/>
        <v>PSNP'!</v>
      </c>
      <c r="F3248" s="5" t="str">
        <f t="shared" si="740"/>
        <v>C:\Users\jaime.benazar\Quorum Business Solutions\Ecopetrol Prometeo - Documents\Planning Space Implementation\3. Analysis &amp; Design\Design\FC22\DRR Jaime\QUIFA-CAJÚA\Cajua\[VAS_CAJUA_CF_SEC_20230125.xlsx]CF PSNP'!</v>
      </c>
      <c r="G3248" s="6" t="s">
        <v>43</v>
      </c>
      <c r="H3248" s="1"/>
      <c r="I3248" s="1"/>
    </row>
    <row r="3249" spans="1:9" x14ac:dyDescent="0.25">
      <c r="A3249" s="6" t="s">
        <v>103</v>
      </c>
      <c r="B3249" s="6">
        <f t="shared" si="742"/>
        <v>2040</v>
      </c>
      <c r="C3249" s="1" t="s">
        <v>42</v>
      </c>
      <c r="D3249" s="2" t="s">
        <v>128</v>
      </c>
      <c r="E3249" s="9" t="str">
        <f t="shared" si="739"/>
        <v>PSNP'!</v>
      </c>
      <c r="F3249" s="5" t="str">
        <f t="shared" si="740"/>
        <v>C:\Users\jaime.benazar\Quorum Business Solutions\Ecopetrol Prometeo - Documents\Planning Space Implementation\3. Analysis &amp; Design\Design\FC22\DRR Jaime\QUIFA-CAJÚA\Cajua\[VAS_CAJUA_CF_SEC_20230125.xlsx]CF PSNP'!</v>
      </c>
      <c r="G3249" s="6" t="s">
        <v>43</v>
      </c>
      <c r="H3249" s="1"/>
      <c r="I3249" s="1"/>
    </row>
    <row r="3250" spans="1:9" x14ac:dyDescent="0.25">
      <c r="A3250" s="6" t="s">
        <v>103</v>
      </c>
      <c r="B3250" s="6">
        <f>+B3249+1</f>
        <v>2041</v>
      </c>
      <c r="C3250" s="1" t="s">
        <v>42</v>
      </c>
      <c r="D3250" s="2" t="s">
        <v>128</v>
      </c>
      <c r="E3250" s="9" t="str">
        <f t="shared" si="739"/>
        <v>PSNP'!</v>
      </c>
      <c r="F3250" s="5" t="str">
        <f t="shared" si="740"/>
        <v>C:\Users\jaime.benazar\Quorum Business Solutions\Ecopetrol Prometeo - Documents\Planning Space Implementation\3. Analysis &amp; Design\Design\FC22\DRR Jaime\QUIFA-CAJÚA\Cajua\[VAS_CAJUA_CF_SEC_20230125.xlsx]CF PSNP'!</v>
      </c>
      <c r="G3250" s="6" t="s">
        <v>43</v>
      </c>
      <c r="H3250" s="1"/>
      <c r="I3250" s="1"/>
    </row>
    <row r="3251" spans="1:9" x14ac:dyDescent="0.25">
      <c r="A3251" s="6" t="s">
        <v>103</v>
      </c>
      <c r="B3251" s="6">
        <f t="shared" ref="B3251:B3252" si="743">+B3250+1</f>
        <v>2042</v>
      </c>
      <c r="C3251" s="1" t="s">
        <v>42</v>
      </c>
      <c r="D3251" s="2" t="s">
        <v>128</v>
      </c>
      <c r="E3251" s="9" t="str">
        <f t="shared" si="739"/>
        <v>PSNP'!</v>
      </c>
      <c r="F3251" s="5" t="str">
        <f t="shared" si="740"/>
        <v>C:\Users\jaime.benazar\Quorum Business Solutions\Ecopetrol Prometeo - Documents\Planning Space Implementation\3. Analysis &amp; Design\Design\FC22\DRR Jaime\QUIFA-CAJÚA\Cajua\[VAS_CAJUA_CF_SEC_20230125.xlsx]CF PSNP'!</v>
      </c>
      <c r="G3251" s="6" t="s">
        <v>43</v>
      </c>
      <c r="H3251" s="1"/>
      <c r="I3251" s="1"/>
    </row>
    <row r="3252" spans="1:9" x14ac:dyDescent="0.25">
      <c r="A3252" s="6" t="s">
        <v>103</v>
      </c>
      <c r="B3252" s="6">
        <f t="shared" si="743"/>
        <v>2043</v>
      </c>
      <c r="C3252" s="1" t="s">
        <v>42</v>
      </c>
      <c r="D3252" s="2" t="s">
        <v>128</v>
      </c>
      <c r="E3252" s="9" t="str">
        <f t="shared" si="739"/>
        <v>PSNP'!</v>
      </c>
      <c r="F3252" s="5" t="str">
        <f t="shared" si="740"/>
        <v>C:\Users\jaime.benazar\Quorum Business Solutions\Ecopetrol Prometeo - Documents\Planning Space Implementation\3. Analysis &amp; Design\Design\FC22\DRR Jaime\QUIFA-CAJÚA\Cajua\[VAS_CAJUA_CF_SEC_20230125.xlsx]CF PSNP'!</v>
      </c>
      <c r="G3252" s="6" t="s">
        <v>43</v>
      </c>
      <c r="H3252" s="1"/>
      <c r="I3252" s="1"/>
    </row>
    <row r="3253" spans="1:9" x14ac:dyDescent="0.25">
      <c r="A3253" s="6" t="s">
        <v>103</v>
      </c>
      <c r="B3253" s="6">
        <f>+B3252+1</f>
        <v>2044</v>
      </c>
      <c r="C3253" s="1" t="s">
        <v>42</v>
      </c>
      <c r="D3253" s="2" t="s">
        <v>128</v>
      </c>
      <c r="E3253" s="9" t="str">
        <f t="shared" ref="E3253:E3268" si="744">_xlfn.CONCAT(A3253,"'!")</f>
        <v>PSNP'!</v>
      </c>
      <c r="F3253" s="5" t="str">
        <f t="shared" ref="F3253:F3268" si="745">_xlfn.CONCAT(D3253," ",E3253)</f>
        <v>C:\Users\jaime.benazar\Quorum Business Solutions\Ecopetrol Prometeo - Documents\Planning Space Implementation\3. Analysis &amp; Design\Design\FC22\DRR Jaime\QUIFA-CAJÚA\Cajua\[VAS_CAJUA_CF_SEC_20230125.xlsx]CF PSNP'!</v>
      </c>
      <c r="G3253" s="6" t="s">
        <v>43</v>
      </c>
      <c r="H3253" s="1"/>
      <c r="I3253" s="1"/>
    </row>
    <row r="3254" spans="1:9" x14ac:dyDescent="0.25">
      <c r="A3254" s="6" t="s">
        <v>103</v>
      </c>
      <c r="B3254" s="6">
        <f t="shared" ref="B3254:B3268" si="746">+B3253+1</f>
        <v>2045</v>
      </c>
      <c r="C3254" s="1" t="s">
        <v>42</v>
      </c>
      <c r="D3254" s="2" t="s">
        <v>128</v>
      </c>
      <c r="E3254" s="9" t="str">
        <f t="shared" si="744"/>
        <v>PSNP'!</v>
      </c>
      <c r="F3254" s="5" t="str">
        <f t="shared" si="745"/>
        <v>C:\Users\jaime.benazar\Quorum Business Solutions\Ecopetrol Prometeo - Documents\Planning Space Implementation\3. Analysis &amp; Design\Design\FC22\DRR Jaime\QUIFA-CAJÚA\Cajua\[VAS_CAJUA_CF_SEC_20230125.xlsx]CF PSNP'!</v>
      </c>
      <c r="G3254" s="6" t="s">
        <v>43</v>
      </c>
      <c r="H3254" s="1"/>
      <c r="I3254" s="1"/>
    </row>
    <row r="3255" spans="1:9" x14ac:dyDescent="0.25">
      <c r="A3255" s="6" t="s">
        <v>103</v>
      </c>
      <c r="B3255" s="6">
        <f t="shared" si="746"/>
        <v>2046</v>
      </c>
      <c r="C3255" s="1" t="s">
        <v>42</v>
      </c>
      <c r="D3255" s="2" t="s">
        <v>128</v>
      </c>
      <c r="E3255" s="9" t="str">
        <f t="shared" si="744"/>
        <v>PSNP'!</v>
      </c>
      <c r="F3255" s="5" t="str">
        <f t="shared" si="745"/>
        <v>C:\Users\jaime.benazar\Quorum Business Solutions\Ecopetrol Prometeo - Documents\Planning Space Implementation\3. Analysis &amp; Design\Design\FC22\DRR Jaime\QUIFA-CAJÚA\Cajua\[VAS_CAJUA_CF_SEC_20230125.xlsx]CF PSNP'!</v>
      </c>
      <c r="G3255" s="6" t="s">
        <v>43</v>
      </c>
      <c r="H3255" s="1"/>
      <c r="I3255" s="1"/>
    </row>
    <row r="3256" spans="1:9" x14ac:dyDescent="0.25">
      <c r="A3256" s="6" t="s">
        <v>103</v>
      </c>
      <c r="B3256" s="6">
        <f t="shared" si="746"/>
        <v>2047</v>
      </c>
      <c r="C3256" s="1" t="s">
        <v>42</v>
      </c>
      <c r="D3256" s="2" t="s">
        <v>128</v>
      </c>
      <c r="E3256" s="9" t="str">
        <f t="shared" si="744"/>
        <v>PSNP'!</v>
      </c>
      <c r="F3256" s="5" t="str">
        <f t="shared" si="745"/>
        <v>C:\Users\jaime.benazar\Quorum Business Solutions\Ecopetrol Prometeo - Documents\Planning Space Implementation\3. Analysis &amp; Design\Design\FC22\DRR Jaime\QUIFA-CAJÚA\Cajua\[VAS_CAJUA_CF_SEC_20230125.xlsx]CF PSNP'!</v>
      </c>
      <c r="G3256" s="6" t="s">
        <v>43</v>
      </c>
      <c r="H3256" s="1"/>
      <c r="I3256" s="1"/>
    </row>
    <row r="3257" spans="1:9" x14ac:dyDescent="0.25">
      <c r="A3257" s="6" t="s">
        <v>103</v>
      </c>
      <c r="B3257" s="6">
        <f t="shared" si="746"/>
        <v>2048</v>
      </c>
      <c r="C3257" s="1" t="s">
        <v>42</v>
      </c>
      <c r="D3257" s="2" t="s">
        <v>128</v>
      </c>
      <c r="E3257" s="9" t="str">
        <f t="shared" si="744"/>
        <v>PSNP'!</v>
      </c>
      <c r="F3257" s="5" t="str">
        <f t="shared" si="745"/>
        <v>C:\Users\jaime.benazar\Quorum Business Solutions\Ecopetrol Prometeo - Documents\Planning Space Implementation\3. Analysis &amp; Design\Design\FC22\DRR Jaime\QUIFA-CAJÚA\Cajua\[VAS_CAJUA_CF_SEC_20230125.xlsx]CF PSNP'!</v>
      </c>
      <c r="G3257" s="6" t="s">
        <v>43</v>
      </c>
      <c r="H3257" s="1"/>
      <c r="I3257" s="1"/>
    </row>
    <row r="3258" spans="1:9" x14ac:dyDescent="0.25">
      <c r="A3258" s="6" t="s">
        <v>103</v>
      </c>
      <c r="B3258" s="6">
        <f t="shared" si="746"/>
        <v>2049</v>
      </c>
      <c r="C3258" s="1" t="s">
        <v>42</v>
      </c>
      <c r="D3258" s="2" t="s">
        <v>128</v>
      </c>
      <c r="E3258" s="9" t="str">
        <f t="shared" si="744"/>
        <v>PSNP'!</v>
      </c>
      <c r="F3258" s="5" t="str">
        <f t="shared" si="745"/>
        <v>C:\Users\jaime.benazar\Quorum Business Solutions\Ecopetrol Prometeo - Documents\Planning Space Implementation\3. Analysis &amp; Design\Design\FC22\DRR Jaime\QUIFA-CAJÚA\Cajua\[VAS_CAJUA_CF_SEC_20230125.xlsx]CF PSNP'!</v>
      </c>
      <c r="G3258" s="6" t="s">
        <v>43</v>
      </c>
      <c r="H3258" s="1"/>
      <c r="I3258" s="1"/>
    </row>
    <row r="3259" spans="1:9" x14ac:dyDescent="0.25">
      <c r="A3259" s="6" t="s">
        <v>103</v>
      </c>
      <c r="B3259" s="6">
        <f t="shared" si="746"/>
        <v>2050</v>
      </c>
      <c r="C3259" s="1" t="s">
        <v>42</v>
      </c>
      <c r="D3259" s="2" t="s">
        <v>128</v>
      </c>
      <c r="E3259" s="9" t="str">
        <f t="shared" si="744"/>
        <v>PSNP'!</v>
      </c>
      <c r="F3259" s="5" t="str">
        <f t="shared" si="745"/>
        <v>C:\Users\jaime.benazar\Quorum Business Solutions\Ecopetrol Prometeo - Documents\Planning Space Implementation\3. Analysis &amp; Design\Design\FC22\DRR Jaime\QUIFA-CAJÚA\Cajua\[VAS_CAJUA_CF_SEC_20230125.xlsx]CF PSNP'!</v>
      </c>
      <c r="G3259" s="6" t="s">
        <v>43</v>
      </c>
      <c r="H3259" s="1"/>
      <c r="I3259" s="1"/>
    </row>
    <row r="3260" spans="1:9" x14ac:dyDescent="0.25">
      <c r="A3260" s="6" t="s">
        <v>103</v>
      </c>
      <c r="B3260" s="6">
        <f t="shared" si="746"/>
        <v>2051</v>
      </c>
      <c r="C3260" s="1" t="s">
        <v>42</v>
      </c>
      <c r="D3260" s="2" t="s">
        <v>128</v>
      </c>
      <c r="E3260" s="9" t="str">
        <f t="shared" si="744"/>
        <v>PSNP'!</v>
      </c>
      <c r="F3260" s="5" t="str">
        <f t="shared" si="745"/>
        <v>C:\Users\jaime.benazar\Quorum Business Solutions\Ecopetrol Prometeo - Documents\Planning Space Implementation\3. Analysis &amp; Design\Design\FC22\DRR Jaime\QUIFA-CAJÚA\Cajua\[VAS_CAJUA_CF_SEC_20230125.xlsx]CF PSNP'!</v>
      </c>
      <c r="G3260" s="6" t="s">
        <v>43</v>
      </c>
      <c r="H3260" s="1"/>
      <c r="I3260" s="1"/>
    </row>
    <row r="3261" spans="1:9" x14ac:dyDescent="0.25">
      <c r="A3261" s="6" t="s">
        <v>103</v>
      </c>
      <c r="B3261" s="6">
        <f t="shared" si="746"/>
        <v>2052</v>
      </c>
      <c r="C3261" s="1" t="s">
        <v>42</v>
      </c>
      <c r="D3261" s="2" t="s">
        <v>128</v>
      </c>
      <c r="E3261" s="9" t="str">
        <f t="shared" si="744"/>
        <v>PSNP'!</v>
      </c>
      <c r="F3261" s="5" t="str">
        <f t="shared" si="745"/>
        <v>C:\Users\jaime.benazar\Quorum Business Solutions\Ecopetrol Prometeo - Documents\Planning Space Implementation\3. Analysis &amp; Design\Design\FC22\DRR Jaime\QUIFA-CAJÚA\Cajua\[VAS_CAJUA_CF_SEC_20230125.xlsx]CF PSNP'!</v>
      </c>
      <c r="G3261" s="6" t="s">
        <v>43</v>
      </c>
      <c r="H3261" s="1"/>
      <c r="I3261" s="1"/>
    </row>
    <row r="3262" spans="1:9" x14ac:dyDescent="0.25">
      <c r="A3262" s="6" t="s">
        <v>103</v>
      </c>
      <c r="B3262" s="6">
        <f t="shared" si="746"/>
        <v>2053</v>
      </c>
      <c r="C3262" s="1" t="s">
        <v>42</v>
      </c>
      <c r="D3262" s="2" t="s">
        <v>128</v>
      </c>
      <c r="E3262" s="9" t="str">
        <f t="shared" si="744"/>
        <v>PSNP'!</v>
      </c>
      <c r="F3262" s="5" t="str">
        <f t="shared" si="745"/>
        <v>C:\Users\jaime.benazar\Quorum Business Solutions\Ecopetrol Prometeo - Documents\Planning Space Implementation\3. Analysis &amp; Design\Design\FC22\DRR Jaime\QUIFA-CAJÚA\Cajua\[VAS_CAJUA_CF_SEC_20230125.xlsx]CF PSNP'!</v>
      </c>
      <c r="G3262" s="6" t="s">
        <v>43</v>
      </c>
      <c r="H3262" s="1"/>
      <c r="I3262" s="1"/>
    </row>
    <row r="3263" spans="1:9" x14ac:dyDescent="0.25">
      <c r="A3263" s="6" t="s">
        <v>103</v>
      </c>
      <c r="B3263" s="6">
        <f t="shared" si="746"/>
        <v>2054</v>
      </c>
      <c r="C3263" s="1" t="s">
        <v>42</v>
      </c>
      <c r="D3263" s="2" t="s">
        <v>128</v>
      </c>
      <c r="E3263" s="9" t="str">
        <f t="shared" si="744"/>
        <v>PSNP'!</v>
      </c>
      <c r="F3263" s="5" t="str">
        <f t="shared" si="745"/>
        <v>C:\Users\jaime.benazar\Quorum Business Solutions\Ecopetrol Prometeo - Documents\Planning Space Implementation\3. Analysis &amp; Design\Design\FC22\DRR Jaime\QUIFA-CAJÚA\Cajua\[VAS_CAJUA_CF_SEC_20230125.xlsx]CF PSNP'!</v>
      </c>
      <c r="G3263" s="6" t="s">
        <v>43</v>
      </c>
      <c r="H3263" s="1"/>
      <c r="I3263" s="1"/>
    </row>
    <row r="3264" spans="1:9" x14ac:dyDescent="0.25">
      <c r="A3264" s="6" t="s">
        <v>103</v>
      </c>
      <c r="B3264" s="6">
        <f t="shared" si="746"/>
        <v>2055</v>
      </c>
      <c r="C3264" s="1" t="s">
        <v>42</v>
      </c>
      <c r="D3264" s="2" t="s">
        <v>128</v>
      </c>
      <c r="E3264" s="9" t="str">
        <f t="shared" si="744"/>
        <v>PSNP'!</v>
      </c>
      <c r="F3264" s="5" t="str">
        <f t="shared" si="745"/>
        <v>C:\Users\jaime.benazar\Quorum Business Solutions\Ecopetrol Prometeo - Documents\Planning Space Implementation\3. Analysis &amp; Design\Design\FC22\DRR Jaime\QUIFA-CAJÚA\Cajua\[VAS_CAJUA_CF_SEC_20230125.xlsx]CF PSNP'!</v>
      </c>
      <c r="G3264" s="6" t="s">
        <v>43</v>
      </c>
      <c r="H3264" s="1"/>
      <c r="I3264" s="1"/>
    </row>
    <row r="3265" spans="1:9" x14ac:dyDescent="0.25">
      <c r="A3265" s="6" t="s">
        <v>103</v>
      </c>
      <c r="B3265" s="6">
        <f t="shared" si="746"/>
        <v>2056</v>
      </c>
      <c r="C3265" s="1" t="s">
        <v>42</v>
      </c>
      <c r="D3265" s="2" t="s">
        <v>128</v>
      </c>
      <c r="E3265" s="9" t="str">
        <f t="shared" si="744"/>
        <v>PSNP'!</v>
      </c>
      <c r="F3265" s="5" t="str">
        <f t="shared" si="745"/>
        <v>C:\Users\jaime.benazar\Quorum Business Solutions\Ecopetrol Prometeo - Documents\Planning Space Implementation\3. Analysis &amp; Design\Design\FC22\DRR Jaime\QUIFA-CAJÚA\Cajua\[VAS_CAJUA_CF_SEC_20230125.xlsx]CF PSNP'!</v>
      </c>
      <c r="G3265" s="6" t="s">
        <v>43</v>
      </c>
      <c r="H3265" s="1"/>
      <c r="I3265" s="1"/>
    </row>
    <row r="3266" spans="1:9" x14ac:dyDescent="0.25">
      <c r="A3266" s="6" t="s">
        <v>103</v>
      </c>
      <c r="B3266" s="6">
        <f t="shared" si="746"/>
        <v>2057</v>
      </c>
      <c r="C3266" s="1" t="s">
        <v>42</v>
      </c>
      <c r="D3266" s="2" t="s">
        <v>128</v>
      </c>
      <c r="E3266" s="9" t="str">
        <f t="shared" si="744"/>
        <v>PSNP'!</v>
      </c>
      <c r="F3266" s="5" t="str">
        <f t="shared" si="745"/>
        <v>C:\Users\jaime.benazar\Quorum Business Solutions\Ecopetrol Prometeo - Documents\Planning Space Implementation\3. Analysis &amp; Design\Design\FC22\DRR Jaime\QUIFA-CAJÚA\Cajua\[VAS_CAJUA_CF_SEC_20230125.xlsx]CF PSNP'!</v>
      </c>
      <c r="G3266" s="6" t="s">
        <v>43</v>
      </c>
      <c r="H3266" s="1"/>
      <c r="I3266" s="1"/>
    </row>
    <row r="3267" spans="1:9" x14ac:dyDescent="0.25">
      <c r="A3267" s="6" t="s">
        <v>103</v>
      </c>
      <c r="B3267" s="6">
        <f t="shared" si="746"/>
        <v>2058</v>
      </c>
      <c r="C3267" s="1" t="s">
        <v>42</v>
      </c>
      <c r="D3267" s="2" t="s">
        <v>128</v>
      </c>
      <c r="E3267" s="9" t="str">
        <f t="shared" si="744"/>
        <v>PSNP'!</v>
      </c>
      <c r="F3267" s="5" t="str">
        <f t="shared" si="745"/>
        <v>C:\Users\jaime.benazar\Quorum Business Solutions\Ecopetrol Prometeo - Documents\Planning Space Implementation\3. Analysis &amp; Design\Design\FC22\DRR Jaime\QUIFA-CAJÚA\Cajua\[VAS_CAJUA_CF_SEC_20230125.xlsx]CF PSNP'!</v>
      </c>
      <c r="G3267" s="6" t="s">
        <v>43</v>
      </c>
      <c r="H3267" s="1"/>
      <c r="I3267" s="1"/>
    </row>
    <row r="3268" spans="1:9" x14ac:dyDescent="0.25">
      <c r="A3268" s="6" t="s">
        <v>103</v>
      </c>
      <c r="B3268" s="6">
        <f t="shared" si="746"/>
        <v>2059</v>
      </c>
      <c r="C3268" s="1" t="s">
        <v>42</v>
      </c>
      <c r="D3268" s="2" t="s">
        <v>128</v>
      </c>
      <c r="E3268" s="9" t="str">
        <f t="shared" si="744"/>
        <v>PSNP'!</v>
      </c>
      <c r="F3268" s="5" t="str">
        <f t="shared" si="745"/>
        <v>C:\Users\jaime.benazar\Quorum Business Solutions\Ecopetrol Prometeo - Documents\Planning Space Implementation\3. Analysis &amp; Design\Design\FC22\DRR Jaime\QUIFA-CAJÚA\Cajua\[VAS_CAJUA_CF_SEC_20230125.xlsx]CF PSNP'!</v>
      </c>
      <c r="G3268" s="6" t="s">
        <v>43</v>
      </c>
      <c r="H3268" s="1"/>
      <c r="I3268" s="1"/>
    </row>
    <row r="3269" spans="1:9" x14ac:dyDescent="0.25">
      <c r="A3269" s="8" t="s">
        <v>28</v>
      </c>
      <c r="C3269" s="1" t="s">
        <v>42</v>
      </c>
      <c r="D3269" s="2"/>
      <c r="E3269" s="8" t="str">
        <f t="shared" si="739"/>
        <v>Total'!</v>
      </c>
      <c r="F3269" s="5"/>
    </row>
    <row r="3270" spans="1:9" x14ac:dyDescent="0.25">
      <c r="A3270" s="6" t="s">
        <v>104</v>
      </c>
      <c r="B3270" s="6">
        <v>2023</v>
      </c>
      <c r="C3270" s="1" t="s">
        <v>42</v>
      </c>
      <c r="D3270" s="2" t="s">
        <v>128</v>
      </c>
      <c r="E3270" s="9" t="str">
        <f t="shared" ref="E3270:E3307" si="747">_xlfn.CONCAT(A3270,"'!")</f>
        <v>PSND'!</v>
      </c>
      <c r="F3270" s="5" t="str">
        <f t="shared" ref="F3270:F3290" si="748">_xlfn.CONCAT(D3270," ",E3270)</f>
        <v>C:\Users\jaime.benazar\Quorum Business Solutions\Ecopetrol Prometeo - Documents\Planning Space Implementation\3. Analysis &amp; Design\Design\FC22\DRR Jaime\QUIFA-CAJÚA\Cajua\[VAS_CAJUA_CF_SEC_20230125.xlsx]CF PSND'!</v>
      </c>
      <c r="G3270" s="6" t="s">
        <v>43</v>
      </c>
      <c r="H3270" s="1"/>
      <c r="I3270" s="1"/>
    </row>
    <row r="3271" spans="1:9" x14ac:dyDescent="0.25">
      <c r="A3271" s="6" t="s">
        <v>104</v>
      </c>
      <c r="B3271" s="6">
        <f>+B3270+1</f>
        <v>2024</v>
      </c>
      <c r="C3271" s="1" t="s">
        <v>42</v>
      </c>
      <c r="D3271" s="2" t="s">
        <v>128</v>
      </c>
      <c r="E3271" s="9" t="str">
        <f t="shared" si="747"/>
        <v>PSND'!</v>
      </c>
      <c r="F3271" s="5" t="str">
        <f t="shared" si="748"/>
        <v>C:\Users\jaime.benazar\Quorum Business Solutions\Ecopetrol Prometeo - Documents\Planning Space Implementation\3. Analysis &amp; Design\Design\FC22\DRR Jaime\QUIFA-CAJÚA\Cajua\[VAS_CAJUA_CF_SEC_20230125.xlsx]CF PSND'!</v>
      </c>
      <c r="G3271" s="6" t="s">
        <v>43</v>
      </c>
      <c r="H3271" s="1"/>
      <c r="I3271" s="1"/>
    </row>
    <row r="3272" spans="1:9" x14ac:dyDescent="0.25">
      <c r="A3272" s="6" t="s">
        <v>104</v>
      </c>
      <c r="B3272" s="6">
        <f t="shared" ref="B3272:B3283" si="749">+B3271+1</f>
        <v>2025</v>
      </c>
      <c r="C3272" s="1" t="s">
        <v>42</v>
      </c>
      <c r="D3272" s="2" t="s">
        <v>128</v>
      </c>
      <c r="E3272" s="9" t="str">
        <f t="shared" si="747"/>
        <v>PSND'!</v>
      </c>
      <c r="F3272" s="5" t="str">
        <f t="shared" si="748"/>
        <v>C:\Users\jaime.benazar\Quorum Business Solutions\Ecopetrol Prometeo - Documents\Planning Space Implementation\3. Analysis &amp; Design\Design\FC22\DRR Jaime\QUIFA-CAJÚA\Cajua\[VAS_CAJUA_CF_SEC_20230125.xlsx]CF PSND'!</v>
      </c>
      <c r="G3272" s="6" t="s">
        <v>43</v>
      </c>
      <c r="H3272" s="1"/>
      <c r="I3272" s="1"/>
    </row>
    <row r="3273" spans="1:9" x14ac:dyDescent="0.25">
      <c r="A3273" s="6" t="s">
        <v>104</v>
      </c>
      <c r="B3273" s="6">
        <f t="shared" si="749"/>
        <v>2026</v>
      </c>
      <c r="C3273" s="1" t="s">
        <v>42</v>
      </c>
      <c r="D3273" s="2" t="s">
        <v>128</v>
      </c>
      <c r="E3273" s="9" t="str">
        <f t="shared" si="747"/>
        <v>PSND'!</v>
      </c>
      <c r="F3273" s="5" t="str">
        <f t="shared" si="748"/>
        <v>C:\Users\jaime.benazar\Quorum Business Solutions\Ecopetrol Prometeo - Documents\Planning Space Implementation\3. Analysis &amp; Design\Design\FC22\DRR Jaime\QUIFA-CAJÚA\Cajua\[VAS_CAJUA_CF_SEC_20230125.xlsx]CF PSND'!</v>
      </c>
      <c r="G3273" s="6" t="s">
        <v>43</v>
      </c>
      <c r="H3273" s="1"/>
      <c r="I3273" s="1"/>
    </row>
    <row r="3274" spans="1:9" x14ac:dyDescent="0.25">
      <c r="A3274" s="6" t="s">
        <v>104</v>
      </c>
      <c r="B3274" s="6">
        <f t="shared" si="749"/>
        <v>2027</v>
      </c>
      <c r="C3274" s="1" t="s">
        <v>42</v>
      </c>
      <c r="D3274" s="2" t="s">
        <v>128</v>
      </c>
      <c r="E3274" s="9" t="str">
        <f t="shared" si="747"/>
        <v>PSND'!</v>
      </c>
      <c r="F3274" s="5" t="str">
        <f t="shared" si="748"/>
        <v>C:\Users\jaime.benazar\Quorum Business Solutions\Ecopetrol Prometeo - Documents\Planning Space Implementation\3. Analysis &amp; Design\Design\FC22\DRR Jaime\QUIFA-CAJÚA\Cajua\[VAS_CAJUA_CF_SEC_20230125.xlsx]CF PSND'!</v>
      </c>
      <c r="G3274" s="6" t="s">
        <v>43</v>
      </c>
      <c r="H3274" s="1"/>
      <c r="I3274" s="1"/>
    </row>
    <row r="3275" spans="1:9" x14ac:dyDescent="0.25">
      <c r="A3275" s="6" t="s">
        <v>104</v>
      </c>
      <c r="B3275" s="6">
        <f t="shared" si="749"/>
        <v>2028</v>
      </c>
      <c r="C3275" s="1" t="s">
        <v>42</v>
      </c>
      <c r="D3275" s="2" t="s">
        <v>128</v>
      </c>
      <c r="E3275" s="9" t="str">
        <f t="shared" si="747"/>
        <v>PSND'!</v>
      </c>
      <c r="F3275" s="5" t="str">
        <f t="shared" si="748"/>
        <v>C:\Users\jaime.benazar\Quorum Business Solutions\Ecopetrol Prometeo - Documents\Planning Space Implementation\3. Analysis &amp; Design\Design\FC22\DRR Jaime\QUIFA-CAJÚA\Cajua\[VAS_CAJUA_CF_SEC_20230125.xlsx]CF PSND'!</v>
      </c>
      <c r="G3275" s="6" t="s">
        <v>43</v>
      </c>
      <c r="H3275" s="1"/>
      <c r="I3275" s="1"/>
    </row>
    <row r="3276" spans="1:9" x14ac:dyDescent="0.25">
      <c r="A3276" s="6" t="s">
        <v>104</v>
      </c>
      <c r="B3276" s="6">
        <f t="shared" si="749"/>
        <v>2029</v>
      </c>
      <c r="C3276" s="1" t="s">
        <v>42</v>
      </c>
      <c r="D3276" s="2" t="s">
        <v>128</v>
      </c>
      <c r="E3276" s="9" t="str">
        <f t="shared" si="747"/>
        <v>PSND'!</v>
      </c>
      <c r="F3276" s="5" t="str">
        <f t="shared" si="748"/>
        <v>C:\Users\jaime.benazar\Quorum Business Solutions\Ecopetrol Prometeo - Documents\Planning Space Implementation\3. Analysis &amp; Design\Design\FC22\DRR Jaime\QUIFA-CAJÚA\Cajua\[VAS_CAJUA_CF_SEC_20230125.xlsx]CF PSND'!</v>
      </c>
      <c r="G3276" s="6" t="s">
        <v>43</v>
      </c>
      <c r="H3276" s="1"/>
      <c r="I3276" s="1"/>
    </row>
    <row r="3277" spans="1:9" x14ac:dyDescent="0.25">
      <c r="A3277" s="6" t="s">
        <v>104</v>
      </c>
      <c r="B3277" s="6">
        <f t="shared" si="749"/>
        <v>2030</v>
      </c>
      <c r="C3277" s="1" t="s">
        <v>42</v>
      </c>
      <c r="D3277" s="2" t="s">
        <v>128</v>
      </c>
      <c r="E3277" s="9" t="str">
        <f t="shared" si="747"/>
        <v>PSND'!</v>
      </c>
      <c r="F3277" s="5" t="str">
        <f t="shared" si="748"/>
        <v>C:\Users\jaime.benazar\Quorum Business Solutions\Ecopetrol Prometeo - Documents\Planning Space Implementation\3. Analysis &amp; Design\Design\FC22\DRR Jaime\QUIFA-CAJÚA\Cajua\[VAS_CAJUA_CF_SEC_20230125.xlsx]CF PSND'!</v>
      </c>
      <c r="G3277" s="6" t="s">
        <v>43</v>
      </c>
      <c r="H3277" s="1"/>
      <c r="I3277" s="1"/>
    </row>
    <row r="3278" spans="1:9" x14ac:dyDescent="0.25">
      <c r="A3278" s="6" t="s">
        <v>104</v>
      </c>
      <c r="B3278" s="6">
        <f t="shared" si="749"/>
        <v>2031</v>
      </c>
      <c r="C3278" s="1" t="s">
        <v>42</v>
      </c>
      <c r="D3278" s="2" t="s">
        <v>128</v>
      </c>
      <c r="E3278" s="9" t="str">
        <f t="shared" si="747"/>
        <v>PSND'!</v>
      </c>
      <c r="F3278" s="5" t="str">
        <f t="shared" si="748"/>
        <v>C:\Users\jaime.benazar\Quorum Business Solutions\Ecopetrol Prometeo - Documents\Planning Space Implementation\3. Analysis &amp; Design\Design\FC22\DRR Jaime\QUIFA-CAJÚA\Cajua\[VAS_CAJUA_CF_SEC_20230125.xlsx]CF PSND'!</v>
      </c>
      <c r="G3278" s="6" t="s">
        <v>43</v>
      </c>
      <c r="H3278" s="1"/>
      <c r="I3278" s="1"/>
    </row>
    <row r="3279" spans="1:9" x14ac:dyDescent="0.25">
      <c r="A3279" s="6" t="s">
        <v>104</v>
      </c>
      <c r="B3279" s="6">
        <f t="shared" si="749"/>
        <v>2032</v>
      </c>
      <c r="C3279" s="1" t="s">
        <v>42</v>
      </c>
      <c r="D3279" s="2" t="s">
        <v>128</v>
      </c>
      <c r="E3279" s="9" t="str">
        <f t="shared" si="747"/>
        <v>PSND'!</v>
      </c>
      <c r="F3279" s="5" t="str">
        <f t="shared" si="748"/>
        <v>C:\Users\jaime.benazar\Quorum Business Solutions\Ecopetrol Prometeo - Documents\Planning Space Implementation\3. Analysis &amp; Design\Design\FC22\DRR Jaime\QUIFA-CAJÚA\Cajua\[VAS_CAJUA_CF_SEC_20230125.xlsx]CF PSND'!</v>
      </c>
      <c r="G3279" s="6" t="s">
        <v>43</v>
      </c>
      <c r="H3279" s="1"/>
      <c r="I3279" s="1"/>
    </row>
    <row r="3280" spans="1:9" x14ac:dyDescent="0.25">
      <c r="A3280" s="6" t="s">
        <v>104</v>
      </c>
      <c r="B3280" s="6">
        <f t="shared" si="749"/>
        <v>2033</v>
      </c>
      <c r="C3280" s="1" t="s">
        <v>42</v>
      </c>
      <c r="D3280" s="2" t="s">
        <v>128</v>
      </c>
      <c r="E3280" s="9" t="str">
        <f t="shared" si="747"/>
        <v>PSND'!</v>
      </c>
      <c r="F3280" s="5" t="str">
        <f t="shared" si="748"/>
        <v>C:\Users\jaime.benazar\Quorum Business Solutions\Ecopetrol Prometeo - Documents\Planning Space Implementation\3. Analysis &amp; Design\Design\FC22\DRR Jaime\QUIFA-CAJÚA\Cajua\[VAS_CAJUA_CF_SEC_20230125.xlsx]CF PSND'!</v>
      </c>
      <c r="G3280" s="6" t="s">
        <v>43</v>
      </c>
      <c r="H3280" s="1"/>
      <c r="I3280" s="1"/>
    </row>
    <row r="3281" spans="1:9" x14ac:dyDescent="0.25">
      <c r="A3281" s="6" t="s">
        <v>104</v>
      </c>
      <c r="B3281" s="6">
        <f t="shared" si="749"/>
        <v>2034</v>
      </c>
      <c r="C3281" s="1" t="s">
        <v>42</v>
      </c>
      <c r="D3281" s="2" t="s">
        <v>128</v>
      </c>
      <c r="E3281" s="9" t="str">
        <f t="shared" si="747"/>
        <v>PSND'!</v>
      </c>
      <c r="F3281" s="5" t="str">
        <f t="shared" si="748"/>
        <v>C:\Users\jaime.benazar\Quorum Business Solutions\Ecopetrol Prometeo - Documents\Planning Space Implementation\3. Analysis &amp; Design\Design\FC22\DRR Jaime\QUIFA-CAJÚA\Cajua\[VAS_CAJUA_CF_SEC_20230125.xlsx]CF PSND'!</v>
      </c>
      <c r="G3281" s="6" t="s">
        <v>43</v>
      </c>
      <c r="H3281" s="1"/>
      <c r="I3281" s="1"/>
    </row>
    <row r="3282" spans="1:9" x14ac:dyDescent="0.25">
      <c r="A3282" s="6" t="s">
        <v>104</v>
      </c>
      <c r="B3282" s="6">
        <f t="shared" si="749"/>
        <v>2035</v>
      </c>
      <c r="C3282" s="1" t="s">
        <v>42</v>
      </c>
      <c r="D3282" s="2" t="s">
        <v>128</v>
      </c>
      <c r="E3282" s="9" t="str">
        <f t="shared" si="747"/>
        <v>PSND'!</v>
      </c>
      <c r="F3282" s="5" t="str">
        <f t="shared" si="748"/>
        <v>C:\Users\jaime.benazar\Quorum Business Solutions\Ecopetrol Prometeo - Documents\Planning Space Implementation\3. Analysis &amp; Design\Design\FC22\DRR Jaime\QUIFA-CAJÚA\Cajua\[VAS_CAJUA_CF_SEC_20230125.xlsx]CF PSND'!</v>
      </c>
      <c r="G3282" s="6" t="s">
        <v>43</v>
      </c>
      <c r="H3282" s="1"/>
      <c r="I3282" s="1"/>
    </row>
    <row r="3283" spans="1:9" x14ac:dyDescent="0.25">
      <c r="A3283" s="6" t="s">
        <v>104</v>
      </c>
      <c r="B3283" s="6">
        <f t="shared" si="749"/>
        <v>2036</v>
      </c>
      <c r="C3283" s="1" t="s">
        <v>42</v>
      </c>
      <c r="D3283" s="2" t="s">
        <v>128</v>
      </c>
      <c r="E3283" s="9" t="str">
        <f t="shared" si="747"/>
        <v>PSND'!</v>
      </c>
      <c r="F3283" s="5" t="str">
        <f t="shared" si="748"/>
        <v>C:\Users\jaime.benazar\Quorum Business Solutions\Ecopetrol Prometeo - Documents\Planning Space Implementation\3. Analysis &amp; Design\Design\FC22\DRR Jaime\QUIFA-CAJÚA\Cajua\[VAS_CAJUA_CF_SEC_20230125.xlsx]CF PSND'!</v>
      </c>
      <c r="G3283" s="6" t="s">
        <v>43</v>
      </c>
      <c r="H3283" s="1"/>
      <c r="I3283" s="1"/>
    </row>
    <row r="3284" spans="1:9" x14ac:dyDescent="0.25">
      <c r="A3284" s="6" t="s">
        <v>104</v>
      </c>
      <c r="B3284" s="6">
        <f>+B3283+1</f>
        <v>2037</v>
      </c>
      <c r="C3284" s="1" t="s">
        <v>42</v>
      </c>
      <c r="D3284" s="2" t="s">
        <v>128</v>
      </c>
      <c r="E3284" s="9" t="str">
        <f t="shared" si="747"/>
        <v>PSND'!</v>
      </c>
      <c r="F3284" s="5" t="str">
        <f t="shared" si="748"/>
        <v>C:\Users\jaime.benazar\Quorum Business Solutions\Ecopetrol Prometeo - Documents\Planning Space Implementation\3. Analysis &amp; Design\Design\FC22\DRR Jaime\QUIFA-CAJÚA\Cajua\[VAS_CAJUA_CF_SEC_20230125.xlsx]CF PSND'!</v>
      </c>
      <c r="G3284" s="6" t="s">
        <v>43</v>
      </c>
      <c r="H3284" s="1"/>
      <c r="I3284" s="1"/>
    </row>
    <row r="3285" spans="1:9" x14ac:dyDescent="0.25">
      <c r="A3285" s="6" t="s">
        <v>104</v>
      </c>
      <c r="B3285" s="6">
        <f t="shared" ref="B3285:B3287" si="750">+B3284+1</f>
        <v>2038</v>
      </c>
      <c r="C3285" s="1" t="s">
        <v>42</v>
      </c>
      <c r="D3285" s="2" t="s">
        <v>128</v>
      </c>
      <c r="E3285" s="9" t="str">
        <f t="shared" si="747"/>
        <v>PSND'!</v>
      </c>
      <c r="F3285" s="5" t="str">
        <f t="shared" si="748"/>
        <v>C:\Users\jaime.benazar\Quorum Business Solutions\Ecopetrol Prometeo - Documents\Planning Space Implementation\3. Analysis &amp; Design\Design\FC22\DRR Jaime\QUIFA-CAJÚA\Cajua\[VAS_CAJUA_CF_SEC_20230125.xlsx]CF PSND'!</v>
      </c>
      <c r="G3285" s="6" t="s">
        <v>43</v>
      </c>
      <c r="H3285" s="1"/>
      <c r="I3285" s="1"/>
    </row>
    <row r="3286" spans="1:9" x14ac:dyDescent="0.25">
      <c r="A3286" s="6" t="s">
        <v>104</v>
      </c>
      <c r="B3286" s="6">
        <f t="shared" si="750"/>
        <v>2039</v>
      </c>
      <c r="C3286" s="1" t="s">
        <v>42</v>
      </c>
      <c r="D3286" s="2" t="s">
        <v>128</v>
      </c>
      <c r="E3286" s="9" t="str">
        <f t="shared" si="747"/>
        <v>PSND'!</v>
      </c>
      <c r="F3286" s="5" t="str">
        <f t="shared" si="748"/>
        <v>C:\Users\jaime.benazar\Quorum Business Solutions\Ecopetrol Prometeo - Documents\Planning Space Implementation\3. Analysis &amp; Design\Design\FC22\DRR Jaime\QUIFA-CAJÚA\Cajua\[VAS_CAJUA_CF_SEC_20230125.xlsx]CF PSND'!</v>
      </c>
      <c r="G3286" s="6" t="s">
        <v>43</v>
      </c>
      <c r="H3286" s="1"/>
      <c r="I3286" s="1"/>
    </row>
    <row r="3287" spans="1:9" x14ac:dyDescent="0.25">
      <c r="A3287" s="6" t="s">
        <v>104</v>
      </c>
      <c r="B3287" s="6">
        <f t="shared" si="750"/>
        <v>2040</v>
      </c>
      <c r="C3287" s="1" t="s">
        <v>42</v>
      </c>
      <c r="D3287" s="2" t="s">
        <v>128</v>
      </c>
      <c r="E3287" s="9" t="str">
        <f t="shared" si="747"/>
        <v>PSND'!</v>
      </c>
      <c r="F3287" s="5" t="str">
        <f t="shared" si="748"/>
        <v>C:\Users\jaime.benazar\Quorum Business Solutions\Ecopetrol Prometeo - Documents\Planning Space Implementation\3. Analysis &amp; Design\Design\FC22\DRR Jaime\QUIFA-CAJÚA\Cajua\[VAS_CAJUA_CF_SEC_20230125.xlsx]CF PSND'!</v>
      </c>
      <c r="G3287" s="6" t="s">
        <v>43</v>
      </c>
      <c r="H3287" s="1"/>
      <c r="I3287" s="1"/>
    </row>
    <row r="3288" spans="1:9" x14ac:dyDescent="0.25">
      <c r="A3288" s="6" t="s">
        <v>104</v>
      </c>
      <c r="B3288" s="6">
        <f>+B3287+1</f>
        <v>2041</v>
      </c>
      <c r="C3288" s="1" t="s">
        <v>42</v>
      </c>
      <c r="D3288" s="2" t="s">
        <v>128</v>
      </c>
      <c r="E3288" s="9" t="str">
        <f t="shared" si="747"/>
        <v>PSND'!</v>
      </c>
      <c r="F3288" s="5" t="str">
        <f t="shared" si="748"/>
        <v>C:\Users\jaime.benazar\Quorum Business Solutions\Ecopetrol Prometeo - Documents\Planning Space Implementation\3. Analysis &amp; Design\Design\FC22\DRR Jaime\QUIFA-CAJÚA\Cajua\[VAS_CAJUA_CF_SEC_20230125.xlsx]CF PSND'!</v>
      </c>
      <c r="G3288" s="6" t="s">
        <v>43</v>
      </c>
      <c r="H3288" s="1"/>
      <c r="I3288" s="1"/>
    </row>
    <row r="3289" spans="1:9" x14ac:dyDescent="0.25">
      <c r="A3289" s="6" t="s">
        <v>104</v>
      </c>
      <c r="B3289" s="6">
        <f t="shared" ref="B3289:B3290" si="751">+B3288+1</f>
        <v>2042</v>
      </c>
      <c r="C3289" s="1" t="s">
        <v>42</v>
      </c>
      <c r="D3289" s="2" t="s">
        <v>128</v>
      </c>
      <c r="E3289" s="9" t="str">
        <f t="shared" si="747"/>
        <v>PSND'!</v>
      </c>
      <c r="F3289" s="5" t="str">
        <f t="shared" si="748"/>
        <v>C:\Users\jaime.benazar\Quorum Business Solutions\Ecopetrol Prometeo - Documents\Planning Space Implementation\3. Analysis &amp; Design\Design\FC22\DRR Jaime\QUIFA-CAJÚA\Cajua\[VAS_CAJUA_CF_SEC_20230125.xlsx]CF PSND'!</v>
      </c>
      <c r="G3289" s="6" t="s">
        <v>43</v>
      </c>
      <c r="H3289" s="1"/>
      <c r="I3289" s="1"/>
    </row>
    <row r="3290" spans="1:9" x14ac:dyDescent="0.25">
      <c r="A3290" s="6" t="s">
        <v>104</v>
      </c>
      <c r="B3290" s="6">
        <f t="shared" si="751"/>
        <v>2043</v>
      </c>
      <c r="C3290" s="1" t="s">
        <v>42</v>
      </c>
      <c r="D3290" s="2" t="s">
        <v>128</v>
      </c>
      <c r="E3290" s="9" t="str">
        <f t="shared" si="747"/>
        <v>PSND'!</v>
      </c>
      <c r="F3290" s="5" t="str">
        <f t="shared" si="748"/>
        <v>C:\Users\jaime.benazar\Quorum Business Solutions\Ecopetrol Prometeo - Documents\Planning Space Implementation\3. Analysis &amp; Design\Design\FC22\DRR Jaime\QUIFA-CAJÚA\Cajua\[VAS_CAJUA_CF_SEC_20230125.xlsx]CF PSND'!</v>
      </c>
      <c r="G3290" s="6" t="s">
        <v>43</v>
      </c>
      <c r="H3290" s="1"/>
      <c r="I3290" s="1"/>
    </row>
    <row r="3291" spans="1:9" x14ac:dyDescent="0.25">
      <c r="A3291" s="6" t="s">
        <v>104</v>
      </c>
      <c r="B3291" s="6">
        <f>+B3290+1</f>
        <v>2044</v>
      </c>
      <c r="C3291" s="1" t="s">
        <v>42</v>
      </c>
      <c r="D3291" s="2" t="s">
        <v>128</v>
      </c>
      <c r="E3291" s="9" t="str">
        <f t="shared" ref="E3291:E3306" si="752">_xlfn.CONCAT(A3291,"'!")</f>
        <v>PSND'!</v>
      </c>
      <c r="F3291" s="5" t="str">
        <f t="shared" ref="F3291:F3306" si="753">_xlfn.CONCAT(D3291," ",E3291)</f>
        <v>C:\Users\jaime.benazar\Quorum Business Solutions\Ecopetrol Prometeo - Documents\Planning Space Implementation\3. Analysis &amp; Design\Design\FC22\DRR Jaime\QUIFA-CAJÚA\Cajua\[VAS_CAJUA_CF_SEC_20230125.xlsx]CF PSND'!</v>
      </c>
      <c r="G3291" s="6" t="s">
        <v>43</v>
      </c>
      <c r="H3291" s="1"/>
      <c r="I3291" s="1"/>
    </row>
    <row r="3292" spans="1:9" x14ac:dyDescent="0.25">
      <c r="A3292" s="6" t="s">
        <v>104</v>
      </c>
      <c r="B3292" s="6">
        <f t="shared" ref="B3292:B3306" si="754">+B3291+1</f>
        <v>2045</v>
      </c>
      <c r="C3292" s="1" t="s">
        <v>42</v>
      </c>
      <c r="D3292" s="2" t="s">
        <v>128</v>
      </c>
      <c r="E3292" s="9" t="str">
        <f t="shared" si="752"/>
        <v>PSND'!</v>
      </c>
      <c r="F3292" s="5" t="str">
        <f t="shared" si="753"/>
        <v>C:\Users\jaime.benazar\Quorum Business Solutions\Ecopetrol Prometeo - Documents\Planning Space Implementation\3. Analysis &amp; Design\Design\FC22\DRR Jaime\QUIFA-CAJÚA\Cajua\[VAS_CAJUA_CF_SEC_20230125.xlsx]CF PSND'!</v>
      </c>
      <c r="G3292" s="6" t="s">
        <v>43</v>
      </c>
      <c r="H3292" s="1"/>
      <c r="I3292" s="1"/>
    </row>
    <row r="3293" spans="1:9" x14ac:dyDescent="0.25">
      <c r="A3293" s="6" t="s">
        <v>104</v>
      </c>
      <c r="B3293" s="6">
        <f t="shared" si="754"/>
        <v>2046</v>
      </c>
      <c r="C3293" s="1" t="s">
        <v>42</v>
      </c>
      <c r="D3293" s="2" t="s">
        <v>128</v>
      </c>
      <c r="E3293" s="9" t="str">
        <f t="shared" si="752"/>
        <v>PSND'!</v>
      </c>
      <c r="F3293" s="5" t="str">
        <f t="shared" si="753"/>
        <v>C:\Users\jaime.benazar\Quorum Business Solutions\Ecopetrol Prometeo - Documents\Planning Space Implementation\3. Analysis &amp; Design\Design\FC22\DRR Jaime\QUIFA-CAJÚA\Cajua\[VAS_CAJUA_CF_SEC_20230125.xlsx]CF PSND'!</v>
      </c>
      <c r="G3293" s="6" t="s">
        <v>43</v>
      </c>
      <c r="H3293" s="1"/>
      <c r="I3293" s="1"/>
    </row>
    <row r="3294" spans="1:9" x14ac:dyDescent="0.25">
      <c r="A3294" s="6" t="s">
        <v>104</v>
      </c>
      <c r="B3294" s="6">
        <f t="shared" si="754"/>
        <v>2047</v>
      </c>
      <c r="C3294" s="1" t="s">
        <v>42</v>
      </c>
      <c r="D3294" s="2" t="s">
        <v>128</v>
      </c>
      <c r="E3294" s="9" t="str">
        <f t="shared" si="752"/>
        <v>PSND'!</v>
      </c>
      <c r="F3294" s="5" t="str">
        <f t="shared" si="753"/>
        <v>C:\Users\jaime.benazar\Quorum Business Solutions\Ecopetrol Prometeo - Documents\Planning Space Implementation\3. Analysis &amp; Design\Design\FC22\DRR Jaime\QUIFA-CAJÚA\Cajua\[VAS_CAJUA_CF_SEC_20230125.xlsx]CF PSND'!</v>
      </c>
      <c r="G3294" s="6" t="s">
        <v>43</v>
      </c>
      <c r="H3294" s="1"/>
      <c r="I3294" s="1"/>
    </row>
    <row r="3295" spans="1:9" x14ac:dyDescent="0.25">
      <c r="A3295" s="6" t="s">
        <v>104</v>
      </c>
      <c r="B3295" s="6">
        <f t="shared" si="754"/>
        <v>2048</v>
      </c>
      <c r="C3295" s="1" t="s">
        <v>42</v>
      </c>
      <c r="D3295" s="2" t="s">
        <v>128</v>
      </c>
      <c r="E3295" s="9" t="str">
        <f t="shared" si="752"/>
        <v>PSND'!</v>
      </c>
      <c r="F3295" s="5" t="str">
        <f t="shared" si="753"/>
        <v>C:\Users\jaime.benazar\Quorum Business Solutions\Ecopetrol Prometeo - Documents\Planning Space Implementation\3. Analysis &amp; Design\Design\FC22\DRR Jaime\QUIFA-CAJÚA\Cajua\[VAS_CAJUA_CF_SEC_20230125.xlsx]CF PSND'!</v>
      </c>
      <c r="G3295" s="6" t="s">
        <v>43</v>
      </c>
      <c r="H3295" s="1"/>
      <c r="I3295" s="1"/>
    </row>
    <row r="3296" spans="1:9" x14ac:dyDescent="0.25">
      <c r="A3296" s="6" t="s">
        <v>104</v>
      </c>
      <c r="B3296" s="6">
        <f t="shared" si="754"/>
        <v>2049</v>
      </c>
      <c r="C3296" s="1" t="s">
        <v>42</v>
      </c>
      <c r="D3296" s="2" t="s">
        <v>128</v>
      </c>
      <c r="E3296" s="9" t="str">
        <f t="shared" si="752"/>
        <v>PSND'!</v>
      </c>
      <c r="F3296" s="5" t="str">
        <f t="shared" si="753"/>
        <v>C:\Users\jaime.benazar\Quorum Business Solutions\Ecopetrol Prometeo - Documents\Planning Space Implementation\3. Analysis &amp; Design\Design\FC22\DRR Jaime\QUIFA-CAJÚA\Cajua\[VAS_CAJUA_CF_SEC_20230125.xlsx]CF PSND'!</v>
      </c>
      <c r="G3296" s="6" t="s">
        <v>43</v>
      </c>
      <c r="H3296" s="1"/>
      <c r="I3296" s="1"/>
    </row>
    <row r="3297" spans="1:10" x14ac:dyDescent="0.25">
      <c r="A3297" s="6" t="s">
        <v>104</v>
      </c>
      <c r="B3297" s="6">
        <f t="shared" si="754"/>
        <v>2050</v>
      </c>
      <c r="C3297" s="1" t="s">
        <v>42</v>
      </c>
      <c r="D3297" s="2" t="s">
        <v>128</v>
      </c>
      <c r="E3297" s="9" t="str">
        <f t="shared" si="752"/>
        <v>PSND'!</v>
      </c>
      <c r="F3297" s="5" t="str">
        <f t="shared" si="753"/>
        <v>C:\Users\jaime.benazar\Quorum Business Solutions\Ecopetrol Prometeo - Documents\Planning Space Implementation\3. Analysis &amp; Design\Design\FC22\DRR Jaime\QUIFA-CAJÚA\Cajua\[VAS_CAJUA_CF_SEC_20230125.xlsx]CF PSND'!</v>
      </c>
      <c r="G3297" s="6" t="s">
        <v>43</v>
      </c>
      <c r="H3297" s="1"/>
      <c r="I3297" s="1"/>
    </row>
    <row r="3298" spans="1:10" x14ac:dyDescent="0.25">
      <c r="A3298" s="6" t="s">
        <v>104</v>
      </c>
      <c r="B3298" s="6">
        <f t="shared" si="754"/>
        <v>2051</v>
      </c>
      <c r="C3298" s="1" t="s">
        <v>42</v>
      </c>
      <c r="D3298" s="2" t="s">
        <v>128</v>
      </c>
      <c r="E3298" s="9" t="str">
        <f t="shared" si="752"/>
        <v>PSND'!</v>
      </c>
      <c r="F3298" s="5" t="str">
        <f t="shared" si="753"/>
        <v>C:\Users\jaime.benazar\Quorum Business Solutions\Ecopetrol Prometeo - Documents\Planning Space Implementation\3. Analysis &amp; Design\Design\FC22\DRR Jaime\QUIFA-CAJÚA\Cajua\[VAS_CAJUA_CF_SEC_20230125.xlsx]CF PSND'!</v>
      </c>
      <c r="G3298" s="6" t="s">
        <v>43</v>
      </c>
      <c r="H3298" s="1"/>
      <c r="I3298" s="1"/>
    </row>
    <row r="3299" spans="1:10" x14ac:dyDescent="0.25">
      <c r="A3299" s="6" t="s">
        <v>104</v>
      </c>
      <c r="B3299" s="6">
        <f t="shared" si="754"/>
        <v>2052</v>
      </c>
      <c r="C3299" s="1" t="s">
        <v>42</v>
      </c>
      <c r="D3299" s="2" t="s">
        <v>128</v>
      </c>
      <c r="E3299" s="9" t="str">
        <f t="shared" si="752"/>
        <v>PSND'!</v>
      </c>
      <c r="F3299" s="5" t="str">
        <f t="shared" si="753"/>
        <v>C:\Users\jaime.benazar\Quorum Business Solutions\Ecopetrol Prometeo - Documents\Planning Space Implementation\3. Analysis &amp; Design\Design\FC22\DRR Jaime\QUIFA-CAJÚA\Cajua\[VAS_CAJUA_CF_SEC_20230125.xlsx]CF PSND'!</v>
      </c>
      <c r="G3299" s="6" t="s">
        <v>43</v>
      </c>
      <c r="H3299" s="1"/>
      <c r="I3299" s="1"/>
    </row>
    <row r="3300" spans="1:10" x14ac:dyDescent="0.25">
      <c r="A3300" s="6" t="s">
        <v>104</v>
      </c>
      <c r="B3300" s="6">
        <f t="shared" si="754"/>
        <v>2053</v>
      </c>
      <c r="C3300" s="1" t="s">
        <v>42</v>
      </c>
      <c r="D3300" s="2" t="s">
        <v>128</v>
      </c>
      <c r="E3300" s="9" t="str">
        <f t="shared" si="752"/>
        <v>PSND'!</v>
      </c>
      <c r="F3300" s="5" t="str">
        <f t="shared" si="753"/>
        <v>C:\Users\jaime.benazar\Quorum Business Solutions\Ecopetrol Prometeo - Documents\Planning Space Implementation\3. Analysis &amp; Design\Design\FC22\DRR Jaime\QUIFA-CAJÚA\Cajua\[VAS_CAJUA_CF_SEC_20230125.xlsx]CF PSND'!</v>
      </c>
      <c r="G3300" s="6" t="s">
        <v>43</v>
      </c>
      <c r="H3300" s="1"/>
      <c r="I3300" s="1"/>
    </row>
    <row r="3301" spans="1:10" x14ac:dyDescent="0.25">
      <c r="A3301" s="6" t="s">
        <v>104</v>
      </c>
      <c r="B3301" s="6">
        <f t="shared" si="754"/>
        <v>2054</v>
      </c>
      <c r="C3301" s="1" t="s">
        <v>42</v>
      </c>
      <c r="D3301" s="2" t="s">
        <v>128</v>
      </c>
      <c r="E3301" s="9" t="str">
        <f t="shared" si="752"/>
        <v>PSND'!</v>
      </c>
      <c r="F3301" s="5" t="str">
        <f t="shared" si="753"/>
        <v>C:\Users\jaime.benazar\Quorum Business Solutions\Ecopetrol Prometeo - Documents\Planning Space Implementation\3. Analysis &amp; Design\Design\FC22\DRR Jaime\QUIFA-CAJÚA\Cajua\[VAS_CAJUA_CF_SEC_20230125.xlsx]CF PSND'!</v>
      </c>
      <c r="G3301" s="6" t="s">
        <v>43</v>
      </c>
      <c r="H3301" s="1"/>
      <c r="I3301" s="1"/>
    </row>
    <row r="3302" spans="1:10" x14ac:dyDescent="0.25">
      <c r="A3302" s="6" t="s">
        <v>104</v>
      </c>
      <c r="B3302" s="6">
        <f t="shared" si="754"/>
        <v>2055</v>
      </c>
      <c r="C3302" s="1" t="s">
        <v>42</v>
      </c>
      <c r="D3302" s="2" t="s">
        <v>128</v>
      </c>
      <c r="E3302" s="9" t="str">
        <f t="shared" si="752"/>
        <v>PSND'!</v>
      </c>
      <c r="F3302" s="5" t="str">
        <f t="shared" si="753"/>
        <v>C:\Users\jaime.benazar\Quorum Business Solutions\Ecopetrol Prometeo - Documents\Planning Space Implementation\3. Analysis &amp; Design\Design\FC22\DRR Jaime\QUIFA-CAJÚA\Cajua\[VAS_CAJUA_CF_SEC_20230125.xlsx]CF PSND'!</v>
      </c>
      <c r="G3302" s="6" t="s">
        <v>43</v>
      </c>
      <c r="H3302" s="1"/>
      <c r="I3302" s="1"/>
    </row>
    <row r="3303" spans="1:10" x14ac:dyDescent="0.25">
      <c r="A3303" s="6" t="s">
        <v>104</v>
      </c>
      <c r="B3303" s="6">
        <f t="shared" si="754"/>
        <v>2056</v>
      </c>
      <c r="C3303" s="1" t="s">
        <v>42</v>
      </c>
      <c r="D3303" s="2" t="s">
        <v>128</v>
      </c>
      <c r="E3303" s="9" t="str">
        <f t="shared" si="752"/>
        <v>PSND'!</v>
      </c>
      <c r="F3303" s="5" t="str">
        <f t="shared" si="753"/>
        <v>C:\Users\jaime.benazar\Quorum Business Solutions\Ecopetrol Prometeo - Documents\Planning Space Implementation\3. Analysis &amp; Design\Design\FC22\DRR Jaime\QUIFA-CAJÚA\Cajua\[VAS_CAJUA_CF_SEC_20230125.xlsx]CF PSND'!</v>
      </c>
      <c r="G3303" s="6" t="s">
        <v>43</v>
      </c>
      <c r="H3303" s="1"/>
      <c r="I3303" s="1"/>
    </row>
    <row r="3304" spans="1:10" x14ac:dyDescent="0.25">
      <c r="A3304" s="6" t="s">
        <v>104</v>
      </c>
      <c r="B3304" s="6">
        <f t="shared" si="754"/>
        <v>2057</v>
      </c>
      <c r="C3304" s="1" t="s">
        <v>42</v>
      </c>
      <c r="D3304" s="2" t="s">
        <v>128</v>
      </c>
      <c r="E3304" s="9" t="str">
        <f t="shared" si="752"/>
        <v>PSND'!</v>
      </c>
      <c r="F3304" s="5" t="str">
        <f t="shared" si="753"/>
        <v>C:\Users\jaime.benazar\Quorum Business Solutions\Ecopetrol Prometeo - Documents\Planning Space Implementation\3. Analysis &amp; Design\Design\FC22\DRR Jaime\QUIFA-CAJÚA\Cajua\[VAS_CAJUA_CF_SEC_20230125.xlsx]CF PSND'!</v>
      </c>
      <c r="G3304" s="6" t="s">
        <v>43</v>
      </c>
      <c r="H3304" s="1"/>
      <c r="I3304" s="1"/>
    </row>
    <row r="3305" spans="1:10" x14ac:dyDescent="0.25">
      <c r="A3305" s="6" t="s">
        <v>104</v>
      </c>
      <c r="B3305" s="6">
        <f t="shared" si="754"/>
        <v>2058</v>
      </c>
      <c r="C3305" s="1" t="s">
        <v>42</v>
      </c>
      <c r="D3305" s="2" t="s">
        <v>128</v>
      </c>
      <c r="E3305" s="9" t="str">
        <f t="shared" si="752"/>
        <v>PSND'!</v>
      </c>
      <c r="F3305" s="5" t="str">
        <f t="shared" si="753"/>
        <v>C:\Users\jaime.benazar\Quorum Business Solutions\Ecopetrol Prometeo - Documents\Planning Space Implementation\3. Analysis &amp; Design\Design\FC22\DRR Jaime\QUIFA-CAJÚA\Cajua\[VAS_CAJUA_CF_SEC_20230125.xlsx]CF PSND'!</v>
      </c>
      <c r="G3305" s="6" t="s">
        <v>43</v>
      </c>
      <c r="H3305" s="1"/>
      <c r="I3305" s="1"/>
    </row>
    <row r="3306" spans="1:10" x14ac:dyDescent="0.25">
      <c r="A3306" s="6" t="s">
        <v>104</v>
      </c>
      <c r="B3306" s="6">
        <f t="shared" si="754"/>
        <v>2059</v>
      </c>
      <c r="C3306" s="1" t="s">
        <v>42</v>
      </c>
      <c r="D3306" s="2" t="s">
        <v>128</v>
      </c>
      <c r="E3306" s="9" t="str">
        <f t="shared" si="752"/>
        <v>PSND'!</v>
      </c>
      <c r="F3306" s="5" t="str">
        <f t="shared" si="753"/>
        <v>C:\Users\jaime.benazar\Quorum Business Solutions\Ecopetrol Prometeo - Documents\Planning Space Implementation\3. Analysis &amp; Design\Design\FC22\DRR Jaime\QUIFA-CAJÚA\Cajua\[VAS_CAJUA_CF_SEC_20230125.xlsx]CF PSND'!</v>
      </c>
      <c r="G3306" s="6" t="s">
        <v>43</v>
      </c>
      <c r="H3306" s="1"/>
      <c r="I3306" s="1"/>
    </row>
    <row r="3307" spans="1:10" x14ac:dyDescent="0.25">
      <c r="A3307" s="8" t="s">
        <v>28</v>
      </c>
      <c r="C3307" s="1" t="s">
        <v>42</v>
      </c>
      <c r="D3307" s="2"/>
      <c r="E3307" s="8" t="str">
        <f t="shared" si="747"/>
        <v>Total'!</v>
      </c>
      <c r="F3307" s="2"/>
    </row>
    <row r="3308" spans="1:10" x14ac:dyDescent="0.25">
      <c r="A3308" s="6" t="s">
        <v>34</v>
      </c>
      <c r="B3308" s="6">
        <v>2023</v>
      </c>
      <c r="C3308" s="1" t="s">
        <v>42</v>
      </c>
      <c r="D3308" s="2" t="s">
        <v>128</v>
      </c>
      <c r="E3308" s="9" t="str">
        <f t="shared" si="690"/>
        <v>PS'!</v>
      </c>
      <c r="F3308" s="5" t="str">
        <f t="shared" ref="F3308:F3328" si="755">_xlfn.CONCAT(D3308," ",E3308)</f>
        <v>C:\Users\jaime.benazar\Quorum Business Solutions\Ecopetrol Prometeo - Documents\Planning Space Implementation\3. Analysis &amp; Design\Design\FC22\DRR Jaime\QUIFA-CAJÚA\Cajua\[VAS_CAJUA_CF_SEC_20230125.xlsx]CF PS'!</v>
      </c>
      <c r="G3308" s="6" t="s">
        <v>43</v>
      </c>
      <c r="H3308" s="1">
        <f>IF(A3308&lt;&gt;A3178,36,H3178+1)</f>
        <v>36</v>
      </c>
      <c r="I3308" s="1" t="str">
        <f t="shared" si="691"/>
        <v>='C:\Users\jaime.benazar\Quorum Business Solutions\Ecopetrol Prometeo - Documents\Planning Space Implementation\3. Analysis &amp; Design\Design\FC22\DRR Jaime\QUIFA-CAJÚA\Cajua\[VAS_CAJUA_CF_SEC_20230125.xlsx]CF PS'!$DI$36</v>
      </c>
      <c r="J3308" t="s">
        <v>1572</v>
      </c>
    </row>
    <row r="3309" spans="1:10" x14ac:dyDescent="0.25">
      <c r="A3309" s="6" t="s">
        <v>34</v>
      </c>
      <c r="B3309" s="6">
        <f>+B3308+1</f>
        <v>2024</v>
      </c>
      <c r="C3309" s="1" t="s">
        <v>42</v>
      </c>
      <c r="D3309" s="2" t="s">
        <v>128</v>
      </c>
      <c r="E3309" s="9" t="str">
        <f t="shared" si="690"/>
        <v>PS'!</v>
      </c>
      <c r="F3309" s="5" t="str">
        <f t="shared" si="755"/>
        <v>C:\Users\jaime.benazar\Quorum Business Solutions\Ecopetrol Prometeo - Documents\Planning Space Implementation\3. Analysis &amp; Design\Design\FC22\DRR Jaime\QUIFA-CAJÚA\Cajua\[VAS_CAJUA_CF_SEC_20230125.xlsx]CF PS'!</v>
      </c>
      <c r="G3309" s="6" t="s">
        <v>43</v>
      </c>
      <c r="H3309" s="1">
        <f t="shared" si="692"/>
        <v>37</v>
      </c>
      <c r="I3309" s="1" t="str">
        <f t="shared" si="691"/>
        <v>='C:\Users\jaime.benazar\Quorum Business Solutions\Ecopetrol Prometeo - Documents\Planning Space Implementation\3. Analysis &amp; Design\Design\FC22\DRR Jaime\QUIFA-CAJÚA\Cajua\[VAS_CAJUA_CF_SEC_20230125.xlsx]CF PS'!$DI$37</v>
      </c>
      <c r="J3309" t="s">
        <v>1573</v>
      </c>
    </row>
    <row r="3310" spans="1:10" x14ac:dyDescent="0.25">
      <c r="A3310" s="6" t="s">
        <v>34</v>
      </c>
      <c r="B3310" s="6">
        <f t="shared" ref="B3310:B3321" si="756">+B3309+1</f>
        <v>2025</v>
      </c>
      <c r="C3310" s="1" t="s">
        <v>42</v>
      </c>
      <c r="D3310" s="2" t="s">
        <v>128</v>
      </c>
      <c r="E3310" s="9" t="str">
        <f t="shared" si="690"/>
        <v>PS'!</v>
      </c>
      <c r="F3310" s="5" t="str">
        <f t="shared" si="755"/>
        <v>C:\Users\jaime.benazar\Quorum Business Solutions\Ecopetrol Prometeo - Documents\Planning Space Implementation\3. Analysis &amp; Design\Design\FC22\DRR Jaime\QUIFA-CAJÚA\Cajua\[VAS_CAJUA_CF_SEC_20230125.xlsx]CF PS'!</v>
      </c>
      <c r="G3310" s="6" t="s">
        <v>43</v>
      </c>
      <c r="H3310" s="1">
        <f t="shared" si="692"/>
        <v>38</v>
      </c>
      <c r="I3310" s="1" t="str">
        <f t="shared" si="691"/>
        <v>='C:\Users\jaime.benazar\Quorum Business Solutions\Ecopetrol Prometeo - Documents\Planning Space Implementation\3. Analysis &amp; Design\Design\FC22\DRR Jaime\QUIFA-CAJÚA\Cajua\[VAS_CAJUA_CF_SEC_20230125.xlsx]CF PS'!$DI$38</v>
      </c>
      <c r="J3310" t="s">
        <v>1574</v>
      </c>
    </row>
    <row r="3311" spans="1:10" x14ac:dyDescent="0.25">
      <c r="A3311" s="6" t="s">
        <v>34</v>
      </c>
      <c r="B3311" s="6">
        <f t="shared" si="756"/>
        <v>2026</v>
      </c>
      <c r="C3311" s="1" t="s">
        <v>42</v>
      </c>
      <c r="D3311" s="2" t="s">
        <v>128</v>
      </c>
      <c r="E3311" s="9" t="str">
        <f t="shared" si="690"/>
        <v>PS'!</v>
      </c>
      <c r="F3311" s="5" t="str">
        <f t="shared" si="755"/>
        <v>C:\Users\jaime.benazar\Quorum Business Solutions\Ecopetrol Prometeo - Documents\Planning Space Implementation\3. Analysis &amp; Design\Design\FC22\DRR Jaime\QUIFA-CAJÚA\Cajua\[VAS_CAJUA_CF_SEC_20230125.xlsx]CF PS'!</v>
      </c>
      <c r="G3311" s="6" t="s">
        <v>43</v>
      </c>
      <c r="H3311" s="1">
        <f t="shared" si="692"/>
        <v>39</v>
      </c>
      <c r="I3311" s="1" t="str">
        <f t="shared" si="691"/>
        <v>='C:\Users\jaime.benazar\Quorum Business Solutions\Ecopetrol Prometeo - Documents\Planning Space Implementation\3. Analysis &amp; Design\Design\FC22\DRR Jaime\QUIFA-CAJÚA\Cajua\[VAS_CAJUA_CF_SEC_20230125.xlsx]CF PS'!$DI$39</v>
      </c>
      <c r="J3311" t="s">
        <v>1575</v>
      </c>
    </row>
    <row r="3312" spans="1:10" x14ac:dyDescent="0.25">
      <c r="A3312" s="6" t="s">
        <v>34</v>
      </c>
      <c r="B3312" s="6">
        <f t="shared" si="756"/>
        <v>2027</v>
      </c>
      <c r="C3312" s="1" t="s">
        <v>42</v>
      </c>
      <c r="D3312" s="2" t="s">
        <v>128</v>
      </c>
      <c r="E3312" s="9" t="str">
        <f t="shared" si="690"/>
        <v>PS'!</v>
      </c>
      <c r="F3312" s="5" t="str">
        <f t="shared" si="755"/>
        <v>C:\Users\jaime.benazar\Quorum Business Solutions\Ecopetrol Prometeo - Documents\Planning Space Implementation\3. Analysis &amp; Design\Design\FC22\DRR Jaime\QUIFA-CAJÚA\Cajua\[VAS_CAJUA_CF_SEC_20230125.xlsx]CF PS'!</v>
      </c>
      <c r="G3312" s="6" t="s">
        <v>43</v>
      </c>
      <c r="H3312" s="1">
        <f t="shared" si="692"/>
        <v>40</v>
      </c>
      <c r="I3312" s="1" t="str">
        <f t="shared" si="691"/>
        <v>='C:\Users\jaime.benazar\Quorum Business Solutions\Ecopetrol Prometeo - Documents\Planning Space Implementation\3. Analysis &amp; Design\Design\FC22\DRR Jaime\QUIFA-CAJÚA\Cajua\[VAS_CAJUA_CF_SEC_20230125.xlsx]CF PS'!$DI$40</v>
      </c>
      <c r="J3312" t="s">
        <v>1576</v>
      </c>
    </row>
    <row r="3313" spans="1:10" x14ac:dyDescent="0.25">
      <c r="A3313" s="6" t="s">
        <v>34</v>
      </c>
      <c r="B3313" s="6">
        <f t="shared" si="756"/>
        <v>2028</v>
      </c>
      <c r="C3313" s="1" t="s">
        <v>42</v>
      </c>
      <c r="D3313" s="2" t="s">
        <v>128</v>
      </c>
      <c r="E3313" s="9" t="str">
        <f t="shared" si="690"/>
        <v>PS'!</v>
      </c>
      <c r="F3313" s="5" t="str">
        <f t="shared" si="755"/>
        <v>C:\Users\jaime.benazar\Quorum Business Solutions\Ecopetrol Prometeo - Documents\Planning Space Implementation\3. Analysis &amp; Design\Design\FC22\DRR Jaime\QUIFA-CAJÚA\Cajua\[VAS_CAJUA_CF_SEC_20230125.xlsx]CF PS'!</v>
      </c>
      <c r="G3313" s="6" t="s">
        <v>43</v>
      </c>
      <c r="H3313" s="1">
        <f t="shared" si="692"/>
        <v>41</v>
      </c>
      <c r="I3313" s="1" t="str">
        <f t="shared" si="691"/>
        <v>='C:\Users\jaime.benazar\Quorum Business Solutions\Ecopetrol Prometeo - Documents\Planning Space Implementation\3. Analysis &amp; Design\Design\FC22\DRR Jaime\QUIFA-CAJÚA\Cajua\[VAS_CAJUA_CF_SEC_20230125.xlsx]CF PS'!$DI$41</v>
      </c>
      <c r="J3313" t="s">
        <v>1577</v>
      </c>
    </row>
    <row r="3314" spans="1:10" x14ac:dyDescent="0.25">
      <c r="A3314" s="6" t="s">
        <v>34</v>
      </c>
      <c r="B3314" s="6">
        <f t="shared" si="756"/>
        <v>2029</v>
      </c>
      <c r="C3314" s="1" t="s">
        <v>42</v>
      </c>
      <c r="D3314" s="2" t="s">
        <v>128</v>
      </c>
      <c r="E3314" s="9" t="str">
        <f t="shared" si="690"/>
        <v>PS'!</v>
      </c>
      <c r="F3314" s="5" t="str">
        <f t="shared" si="755"/>
        <v>C:\Users\jaime.benazar\Quorum Business Solutions\Ecopetrol Prometeo - Documents\Planning Space Implementation\3. Analysis &amp; Design\Design\FC22\DRR Jaime\QUIFA-CAJÚA\Cajua\[VAS_CAJUA_CF_SEC_20230125.xlsx]CF PS'!</v>
      </c>
      <c r="G3314" s="6" t="s">
        <v>43</v>
      </c>
      <c r="H3314" s="1">
        <f t="shared" si="692"/>
        <v>42</v>
      </c>
      <c r="I3314" s="1" t="str">
        <f t="shared" si="691"/>
        <v>='C:\Users\jaime.benazar\Quorum Business Solutions\Ecopetrol Prometeo - Documents\Planning Space Implementation\3. Analysis &amp; Design\Design\FC22\DRR Jaime\QUIFA-CAJÚA\Cajua\[VAS_CAJUA_CF_SEC_20230125.xlsx]CF PS'!$DI$42</v>
      </c>
      <c r="J3314" t="s">
        <v>1578</v>
      </c>
    </row>
    <row r="3315" spans="1:10" x14ac:dyDescent="0.25">
      <c r="A3315" s="6" t="s">
        <v>34</v>
      </c>
      <c r="B3315" s="6">
        <f t="shared" si="756"/>
        <v>2030</v>
      </c>
      <c r="C3315" s="1" t="s">
        <v>42</v>
      </c>
      <c r="D3315" s="2" t="s">
        <v>128</v>
      </c>
      <c r="E3315" s="9" t="str">
        <f t="shared" si="690"/>
        <v>PS'!</v>
      </c>
      <c r="F3315" s="5" t="str">
        <f t="shared" si="755"/>
        <v>C:\Users\jaime.benazar\Quorum Business Solutions\Ecopetrol Prometeo - Documents\Planning Space Implementation\3. Analysis &amp; Design\Design\FC22\DRR Jaime\QUIFA-CAJÚA\Cajua\[VAS_CAJUA_CF_SEC_20230125.xlsx]CF PS'!</v>
      </c>
      <c r="G3315" s="6" t="s">
        <v>43</v>
      </c>
      <c r="H3315" s="1">
        <f t="shared" si="692"/>
        <v>43</v>
      </c>
      <c r="I3315" s="1" t="str">
        <f t="shared" si="691"/>
        <v>='C:\Users\jaime.benazar\Quorum Business Solutions\Ecopetrol Prometeo - Documents\Planning Space Implementation\3. Analysis &amp; Design\Design\FC22\DRR Jaime\QUIFA-CAJÚA\Cajua\[VAS_CAJUA_CF_SEC_20230125.xlsx]CF PS'!$DI$43</v>
      </c>
      <c r="J3315" t="s">
        <v>1579</v>
      </c>
    </row>
    <row r="3316" spans="1:10" x14ac:dyDescent="0.25">
      <c r="A3316" s="6" t="s">
        <v>34</v>
      </c>
      <c r="B3316" s="6">
        <f t="shared" si="756"/>
        <v>2031</v>
      </c>
      <c r="C3316" s="1" t="s">
        <v>42</v>
      </c>
      <c r="D3316" s="2" t="s">
        <v>128</v>
      </c>
      <c r="E3316" s="9" t="str">
        <f t="shared" si="690"/>
        <v>PS'!</v>
      </c>
      <c r="F3316" s="5" t="str">
        <f t="shared" si="755"/>
        <v>C:\Users\jaime.benazar\Quorum Business Solutions\Ecopetrol Prometeo - Documents\Planning Space Implementation\3. Analysis &amp; Design\Design\FC22\DRR Jaime\QUIFA-CAJÚA\Cajua\[VAS_CAJUA_CF_SEC_20230125.xlsx]CF PS'!</v>
      </c>
      <c r="G3316" s="6" t="s">
        <v>43</v>
      </c>
      <c r="H3316" s="1">
        <f t="shared" si="692"/>
        <v>44</v>
      </c>
      <c r="I3316" s="1" t="str">
        <f t="shared" si="691"/>
        <v>='C:\Users\jaime.benazar\Quorum Business Solutions\Ecopetrol Prometeo - Documents\Planning Space Implementation\3. Analysis &amp; Design\Design\FC22\DRR Jaime\QUIFA-CAJÚA\Cajua\[VAS_CAJUA_CF_SEC_20230125.xlsx]CF PS'!$DI$44</v>
      </c>
      <c r="J3316" t="s">
        <v>1580</v>
      </c>
    </row>
    <row r="3317" spans="1:10" x14ac:dyDescent="0.25">
      <c r="A3317" s="6" t="s">
        <v>34</v>
      </c>
      <c r="B3317" s="6">
        <f t="shared" si="756"/>
        <v>2032</v>
      </c>
      <c r="C3317" s="1" t="s">
        <v>42</v>
      </c>
      <c r="D3317" s="2" t="s">
        <v>128</v>
      </c>
      <c r="E3317" s="9" t="str">
        <f t="shared" si="690"/>
        <v>PS'!</v>
      </c>
      <c r="F3317" s="5" t="str">
        <f t="shared" si="755"/>
        <v>C:\Users\jaime.benazar\Quorum Business Solutions\Ecopetrol Prometeo - Documents\Planning Space Implementation\3. Analysis &amp; Design\Design\FC22\DRR Jaime\QUIFA-CAJÚA\Cajua\[VAS_CAJUA_CF_SEC_20230125.xlsx]CF PS'!</v>
      </c>
      <c r="G3317" s="6" t="s">
        <v>43</v>
      </c>
      <c r="H3317" s="1">
        <f t="shared" si="692"/>
        <v>45</v>
      </c>
      <c r="I3317" s="1" t="str">
        <f t="shared" si="691"/>
        <v>='C:\Users\jaime.benazar\Quorum Business Solutions\Ecopetrol Prometeo - Documents\Planning Space Implementation\3. Analysis &amp; Design\Design\FC22\DRR Jaime\QUIFA-CAJÚA\Cajua\[VAS_CAJUA_CF_SEC_20230125.xlsx]CF PS'!$DI$45</v>
      </c>
      <c r="J3317" t="s">
        <v>1581</v>
      </c>
    </row>
    <row r="3318" spans="1:10" x14ac:dyDescent="0.25">
      <c r="A3318" s="6" t="s">
        <v>34</v>
      </c>
      <c r="B3318" s="6">
        <f t="shared" si="756"/>
        <v>2033</v>
      </c>
      <c r="C3318" s="1" t="s">
        <v>42</v>
      </c>
      <c r="D3318" s="2" t="s">
        <v>128</v>
      </c>
      <c r="E3318" s="9" t="str">
        <f t="shared" si="690"/>
        <v>PS'!</v>
      </c>
      <c r="F3318" s="5" t="str">
        <f t="shared" si="755"/>
        <v>C:\Users\jaime.benazar\Quorum Business Solutions\Ecopetrol Prometeo - Documents\Planning Space Implementation\3. Analysis &amp; Design\Design\FC22\DRR Jaime\QUIFA-CAJÚA\Cajua\[VAS_CAJUA_CF_SEC_20230125.xlsx]CF PS'!</v>
      </c>
      <c r="G3318" s="6" t="s">
        <v>43</v>
      </c>
      <c r="H3318" s="1">
        <f t="shared" si="692"/>
        <v>46</v>
      </c>
      <c r="I3318" s="1" t="str">
        <f t="shared" si="691"/>
        <v>='C:\Users\jaime.benazar\Quorum Business Solutions\Ecopetrol Prometeo - Documents\Planning Space Implementation\3. Analysis &amp; Design\Design\FC22\DRR Jaime\QUIFA-CAJÚA\Cajua\[VAS_CAJUA_CF_SEC_20230125.xlsx]CF PS'!$DI$46</v>
      </c>
      <c r="J3318" t="s">
        <v>1582</v>
      </c>
    </row>
    <row r="3319" spans="1:10" x14ac:dyDescent="0.25">
      <c r="A3319" s="6" t="s">
        <v>34</v>
      </c>
      <c r="B3319" s="6">
        <f t="shared" si="756"/>
        <v>2034</v>
      </c>
      <c r="C3319" s="1" t="s">
        <v>42</v>
      </c>
      <c r="D3319" s="2" t="s">
        <v>128</v>
      </c>
      <c r="E3319" s="9" t="str">
        <f t="shared" si="690"/>
        <v>PS'!</v>
      </c>
      <c r="F3319" s="5" t="str">
        <f t="shared" si="755"/>
        <v>C:\Users\jaime.benazar\Quorum Business Solutions\Ecopetrol Prometeo - Documents\Planning Space Implementation\3. Analysis &amp; Design\Design\FC22\DRR Jaime\QUIFA-CAJÚA\Cajua\[VAS_CAJUA_CF_SEC_20230125.xlsx]CF PS'!</v>
      </c>
      <c r="G3319" s="6" t="s">
        <v>43</v>
      </c>
      <c r="H3319" s="1">
        <f t="shared" si="692"/>
        <v>47</v>
      </c>
      <c r="I3319" s="1" t="str">
        <f t="shared" si="691"/>
        <v>='C:\Users\jaime.benazar\Quorum Business Solutions\Ecopetrol Prometeo - Documents\Planning Space Implementation\3. Analysis &amp; Design\Design\FC22\DRR Jaime\QUIFA-CAJÚA\Cajua\[VAS_CAJUA_CF_SEC_20230125.xlsx]CF PS'!$DI$47</v>
      </c>
      <c r="J3319" t="s">
        <v>1583</v>
      </c>
    </row>
    <row r="3320" spans="1:10" x14ac:dyDescent="0.25">
      <c r="A3320" s="6" t="s">
        <v>34</v>
      </c>
      <c r="B3320" s="6">
        <f t="shared" si="756"/>
        <v>2035</v>
      </c>
      <c r="C3320" s="1" t="s">
        <v>42</v>
      </c>
      <c r="D3320" s="2" t="s">
        <v>128</v>
      </c>
      <c r="E3320" s="9" t="str">
        <f t="shared" si="690"/>
        <v>PS'!</v>
      </c>
      <c r="F3320" s="5" t="str">
        <f t="shared" si="755"/>
        <v>C:\Users\jaime.benazar\Quorum Business Solutions\Ecopetrol Prometeo - Documents\Planning Space Implementation\3. Analysis &amp; Design\Design\FC22\DRR Jaime\QUIFA-CAJÚA\Cajua\[VAS_CAJUA_CF_SEC_20230125.xlsx]CF PS'!</v>
      </c>
      <c r="G3320" s="6" t="s">
        <v>43</v>
      </c>
      <c r="H3320" s="1">
        <f t="shared" si="692"/>
        <v>48</v>
      </c>
      <c r="I3320" s="1" t="str">
        <f t="shared" si="691"/>
        <v>='C:\Users\jaime.benazar\Quorum Business Solutions\Ecopetrol Prometeo - Documents\Planning Space Implementation\3. Analysis &amp; Design\Design\FC22\DRR Jaime\QUIFA-CAJÚA\Cajua\[VAS_CAJUA_CF_SEC_20230125.xlsx]CF PS'!$DI$48</v>
      </c>
      <c r="J3320" t="s">
        <v>1584</v>
      </c>
    </row>
    <row r="3321" spans="1:10" x14ac:dyDescent="0.25">
      <c r="A3321" s="6" t="s">
        <v>34</v>
      </c>
      <c r="B3321" s="6">
        <f t="shared" si="756"/>
        <v>2036</v>
      </c>
      <c r="C3321" s="1" t="s">
        <v>42</v>
      </c>
      <c r="D3321" s="2" t="s">
        <v>128</v>
      </c>
      <c r="E3321" s="9" t="str">
        <f t="shared" si="690"/>
        <v>PS'!</v>
      </c>
      <c r="F3321" s="5" t="str">
        <f t="shared" si="755"/>
        <v>C:\Users\jaime.benazar\Quorum Business Solutions\Ecopetrol Prometeo - Documents\Planning Space Implementation\3. Analysis &amp; Design\Design\FC22\DRR Jaime\QUIFA-CAJÚA\Cajua\[VAS_CAJUA_CF_SEC_20230125.xlsx]CF PS'!</v>
      </c>
      <c r="G3321" s="6" t="s">
        <v>43</v>
      </c>
      <c r="H3321" s="1">
        <f t="shared" si="692"/>
        <v>49</v>
      </c>
      <c r="I3321" s="1" t="str">
        <f t="shared" si="691"/>
        <v>='C:\Users\jaime.benazar\Quorum Business Solutions\Ecopetrol Prometeo - Documents\Planning Space Implementation\3. Analysis &amp; Design\Design\FC22\DRR Jaime\QUIFA-CAJÚA\Cajua\[VAS_CAJUA_CF_SEC_20230125.xlsx]CF PS'!$DI$49</v>
      </c>
      <c r="J3321" t="s">
        <v>1585</v>
      </c>
    </row>
    <row r="3322" spans="1:10" x14ac:dyDescent="0.25">
      <c r="A3322" s="6" t="s">
        <v>34</v>
      </c>
      <c r="B3322" s="6">
        <f>+B3321+1</f>
        <v>2037</v>
      </c>
      <c r="C3322" s="1" t="s">
        <v>42</v>
      </c>
      <c r="D3322" s="2" t="s">
        <v>128</v>
      </c>
      <c r="E3322" s="9" t="str">
        <f t="shared" si="690"/>
        <v>PS'!</v>
      </c>
      <c r="F3322" s="5" t="str">
        <f t="shared" si="755"/>
        <v>C:\Users\jaime.benazar\Quorum Business Solutions\Ecopetrol Prometeo - Documents\Planning Space Implementation\3. Analysis &amp; Design\Design\FC22\DRR Jaime\QUIFA-CAJÚA\Cajua\[VAS_CAJUA_CF_SEC_20230125.xlsx]CF PS'!</v>
      </c>
      <c r="G3322" s="6" t="s">
        <v>43</v>
      </c>
      <c r="H3322" s="1">
        <f t="shared" si="692"/>
        <v>50</v>
      </c>
      <c r="I3322" s="1" t="str">
        <f t="shared" si="691"/>
        <v>='C:\Users\jaime.benazar\Quorum Business Solutions\Ecopetrol Prometeo - Documents\Planning Space Implementation\3. Analysis &amp; Design\Design\FC22\DRR Jaime\QUIFA-CAJÚA\Cajua\[VAS_CAJUA_CF_SEC_20230125.xlsx]CF PS'!$DI$50</v>
      </c>
      <c r="J3322" t="s">
        <v>1586</v>
      </c>
    </row>
    <row r="3323" spans="1:10" x14ac:dyDescent="0.25">
      <c r="A3323" s="6" t="s">
        <v>34</v>
      </c>
      <c r="B3323" s="6">
        <f t="shared" ref="B3323:B3325" si="757">+B3322+1</f>
        <v>2038</v>
      </c>
      <c r="C3323" s="1" t="s">
        <v>42</v>
      </c>
      <c r="D3323" s="2" t="s">
        <v>128</v>
      </c>
      <c r="E3323" s="9" t="str">
        <f t="shared" si="690"/>
        <v>PS'!</v>
      </c>
      <c r="F3323" s="5" t="str">
        <f t="shared" si="755"/>
        <v>C:\Users\jaime.benazar\Quorum Business Solutions\Ecopetrol Prometeo - Documents\Planning Space Implementation\3. Analysis &amp; Design\Design\FC22\DRR Jaime\QUIFA-CAJÚA\Cajua\[VAS_CAJUA_CF_SEC_20230125.xlsx]CF PS'!</v>
      </c>
      <c r="G3323" s="6" t="s">
        <v>43</v>
      </c>
      <c r="H3323" s="1">
        <f t="shared" si="692"/>
        <v>51</v>
      </c>
      <c r="I3323" s="1" t="str">
        <f t="shared" si="691"/>
        <v>='C:\Users\jaime.benazar\Quorum Business Solutions\Ecopetrol Prometeo - Documents\Planning Space Implementation\3. Analysis &amp; Design\Design\FC22\DRR Jaime\QUIFA-CAJÚA\Cajua\[VAS_CAJUA_CF_SEC_20230125.xlsx]CF PS'!$DI$51</v>
      </c>
      <c r="J3323" t="s">
        <v>1587</v>
      </c>
    </row>
    <row r="3324" spans="1:10" x14ac:dyDescent="0.25">
      <c r="A3324" s="6" t="s">
        <v>34</v>
      </c>
      <c r="B3324" s="6">
        <f t="shared" si="757"/>
        <v>2039</v>
      </c>
      <c r="C3324" s="1" t="s">
        <v>42</v>
      </c>
      <c r="D3324" s="2" t="s">
        <v>128</v>
      </c>
      <c r="E3324" s="9" t="str">
        <f t="shared" si="690"/>
        <v>PS'!</v>
      </c>
      <c r="F3324" s="5" t="str">
        <f t="shared" si="755"/>
        <v>C:\Users\jaime.benazar\Quorum Business Solutions\Ecopetrol Prometeo - Documents\Planning Space Implementation\3. Analysis &amp; Design\Design\FC22\DRR Jaime\QUIFA-CAJÚA\Cajua\[VAS_CAJUA_CF_SEC_20230125.xlsx]CF PS'!</v>
      </c>
      <c r="G3324" s="6" t="s">
        <v>43</v>
      </c>
      <c r="H3324" s="1">
        <f t="shared" si="692"/>
        <v>52</v>
      </c>
      <c r="I3324" s="1" t="str">
        <f t="shared" si="691"/>
        <v>='C:\Users\jaime.benazar\Quorum Business Solutions\Ecopetrol Prometeo - Documents\Planning Space Implementation\3. Analysis &amp; Design\Design\FC22\DRR Jaime\QUIFA-CAJÚA\Cajua\[VAS_CAJUA_CF_SEC_20230125.xlsx]CF PS'!$DI$52</v>
      </c>
      <c r="J3324" t="s">
        <v>1588</v>
      </c>
    </row>
    <row r="3325" spans="1:10" x14ac:dyDescent="0.25">
      <c r="A3325" s="6" t="s">
        <v>34</v>
      </c>
      <c r="B3325" s="6">
        <f t="shared" si="757"/>
        <v>2040</v>
      </c>
      <c r="C3325" s="1" t="s">
        <v>42</v>
      </c>
      <c r="D3325" s="2" t="s">
        <v>128</v>
      </c>
      <c r="E3325" s="9" t="str">
        <f t="shared" si="690"/>
        <v>PS'!</v>
      </c>
      <c r="F3325" s="5" t="str">
        <f t="shared" si="755"/>
        <v>C:\Users\jaime.benazar\Quorum Business Solutions\Ecopetrol Prometeo - Documents\Planning Space Implementation\3. Analysis &amp; Design\Design\FC22\DRR Jaime\QUIFA-CAJÚA\Cajua\[VAS_CAJUA_CF_SEC_20230125.xlsx]CF PS'!</v>
      </c>
      <c r="G3325" s="6" t="s">
        <v>43</v>
      </c>
      <c r="H3325" s="1">
        <f t="shared" si="692"/>
        <v>53</v>
      </c>
      <c r="I3325" s="1" t="str">
        <f t="shared" si="691"/>
        <v>='C:\Users\jaime.benazar\Quorum Business Solutions\Ecopetrol Prometeo - Documents\Planning Space Implementation\3. Analysis &amp; Design\Design\FC22\DRR Jaime\QUIFA-CAJÚA\Cajua\[VAS_CAJUA_CF_SEC_20230125.xlsx]CF PS'!$DI$53</v>
      </c>
      <c r="J3325" t="s">
        <v>1589</v>
      </c>
    </row>
    <row r="3326" spans="1:10" x14ac:dyDescent="0.25">
      <c r="A3326" s="6" t="s">
        <v>34</v>
      </c>
      <c r="B3326" s="6">
        <f>+B3325+1</f>
        <v>2041</v>
      </c>
      <c r="C3326" s="1" t="s">
        <v>42</v>
      </c>
      <c r="D3326" s="2" t="s">
        <v>128</v>
      </c>
      <c r="E3326" s="9" t="str">
        <f t="shared" si="690"/>
        <v>PS'!</v>
      </c>
      <c r="F3326" s="5" t="str">
        <f t="shared" si="755"/>
        <v>C:\Users\jaime.benazar\Quorum Business Solutions\Ecopetrol Prometeo - Documents\Planning Space Implementation\3. Analysis &amp; Design\Design\FC22\DRR Jaime\QUIFA-CAJÚA\Cajua\[VAS_CAJUA_CF_SEC_20230125.xlsx]CF PS'!</v>
      </c>
      <c r="G3326" s="6" t="s">
        <v>43</v>
      </c>
      <c r="H3326" s="1">
        <f t="shared" si="692"/>
        <v>54</v>
      </c>
      <c r="I3326" s="1" t="str">
        <f t="shared" si="691"/>
        <v>='C:\Users\jaime.benazar\Quorum Business Solutions\Ecopetrol Prometeo - Documents\Planning Space Implementation\3. Analysis &amp; Design\Design\FC22\DRR Jaime\QUIFA-CAJÚA\Cajua\[VAS_CAJUA_CF_SEC_20230125.xlsx]CF PS'!$DI$54</v>
      </c>
      <c r="J3326" t="s">
        <v>1590</v>
      </c>
    </row>
    <row r="3327" spans="1:10" x14ac:dyDescent="0.25">
      <c r="A3327" s="6" t="s">
        <v>34</v>
      </c>
      <c r="B3327" s="6">
        <f t="shared" ref="B3327:B3328" si="758">+B3326+1</f>
        <v>2042</v>
      </c>
      <c r="C3327" s="1" t="s">
        <v>42</v>
      </c>
      <c r="D3327" s="2" t="s">
        <v>128</v>
      </c>
      <c r="E3327" s="9" t="str">
        <f t="shared" si="690"/>
        <v>PS'!</v>
      </c>
      <c r="F3327" s="5" t="str">
        <f t="shared" si="755"/>
        <v>C:\Users\jaime.benazar\Quorum Business Solutions\Ecopetrol Prometeo - Documents\Planning Space Implementation\3. Analysis &amp; Design\Design\FC22\DRR Jaime\QUIFA-CAJÚA\Cajua\[VAS_CAJUA_CF_SEC_20230125.xlsx]CF PS'!</v>
      </c>
      <c r="G3327" s="6" t="s">
        <v>43</v>
      </c>
      <c r="H3327" s="1">
        <f t="shared" si="692"/>
        <v>55</v>
      </c>
      <c r="I3327" s="1" t="str">
        <f t="shared" si="691"/>
        <v>='C:\Users\jaime.benazar\Quorum Business Solutions\Ecopetrol Prometeo - Documents\Planning Space Implementation\3. Analysis &amp; Design\Design\FC22\DRR Jaime\QUIFA-CAJÚA\Cajua\[VAS_CAJUA_CF_SEC_20230125.xlsx]CF PS'!$DI$55</v>
      </c>
      <c r="J3327" t="s">
        <v>1591</v>
      </c>
    </row>
    <row r="3328" spans="1:10" x14ac:dyDescent="0.25">
      <c r="A3328" s="6" t="s">
        <v>34</v>
      </c>
      <c r="B3328" s="6">
        <f t="shared" si="758"/>
        <v>2043</v>
      </c>
      <c r="C3328" s="1" t="s">
        <v>42</v>
      </c>
      <c r="D3328" s="2" t="s">
        <v>128</v>
      </c>
      <c r="E3328" s="9" t="str">
        <f t="shared" si="690"/>
        <v>PS'!</v>
      </c>
      <c r="F3328" s="5" t="str">
        <f t="shared" si="755"/>
        <v>C:\Users\jaime.benazar\Quorum Business Solutions\Ecopetrol Prometeo - Documents\Planning Space Implementation\3. Analysis &amp; Design\Design\FC22\DRR Jaime\QUIFA-CAJÚA\Cajua\[VAS_CAJUA_CF_SEC_20230125.xlsx]CF PS'!</v>
      </c>
      <c r="G3328" s="6" t="s">
        <v>43</v>
      </c>
      <c r="H3328" s="1">
        <f t="shared" si="692"/>
        <v>56</v>
      </c>
      <c r="I3328" s="1" t="str">
        <f t="shared" si="691"/>
        <v>='C:\Users\jaime.benazar\Quorum Business Solutions\Ecopetrol Prometeo - Documents\Planning Space Implementation\3. Analysis &amp; Design\Design\FC22\DRR Jaime\QUIFA-CAJÚA\Cajua\[VAS_CAJUA_CF_SEC_20230125.xlsx]CF PS'!$DI$56</v>
      </c>
      <c r="J3328" t="s">
        <v>1592</v>
      </c>
    </row>
    <row r="3329" spans="1:10" x14ac:dyDescent="0.25">
      <c r="A3329" s="6" t="s">
        <v>34</v>
      </c>
      <c r="B3329" s="6">
        <f>+B3328+1</f>
        <v>2044</v>
      </c>
      <c r="C3329" s="1" t="s">
        <v>42</v>
      </c>
      <c r="D3329" s="2" t="s">
        <v>128</v>
      </c>
      <c r="E3329" s="9" t="str">
        <f t="shared" ref="E3329:E3344" si="759">_xlfn.CONCAT(A3329,"'!")</f>
        <v>PS'!</v>
      </c>
      <c r="F3329" s="5" t="str">
        <f t="shared" ref="F3329:F3344" si="760">_xlfn.CONCAT(D3329," ",E3329)</f>
        <v>C:\Users\jaime.benazar\Quorum Business Solutions\Ecopetrol Prometeo - Documents\Planning Space Implementation\3. Analysis &amp; Design\Design\FC22\DRR Jaime\QUIFA-CAJÚA\Cajua\[VAS_CAJUA_CF_SEC_20230125.xlsx]CF PS'!</v>
      </c>
      <c r="G3329" s="6" t="s">
        <v>43</v>
      </c>
      <c r="H3329" s="1">
        <f t="shared" ref="H3329:H3344" si="761">IF(A3329&lt;&gt;A3328,36,H3328+1)</f>
        <v>57</v>
      </c>
      <c r="I3329" s="1" t="str">
        <f t="shared" ref="I3329:I3344" si="762">_xlfn.CONCAT("='",F3329:H3329)</f>
        <v>='C:\Users\jaime.benazar\Quorum Business Solutions\Ecopetrol Prometeo - Documents\Planning Space Implementation\3. Analysis &amp; Design\Design\FC22\DRR Jaime\QUIFA-CAJÚA\Cajua\[VAS_CAJUA_CF_SEC_20230125.xlsx]CF PS'!$DI$57</v>
      </c>
      <c r="J3329" t="s">
        <v>1593</v>
      </c>
    </row>
    <row r="3330" spans="1:10" x14ac:dyDescent="0.25">
      <c r="A3330" s="6" t="s">
        <v>34</v>
      </c>
      <c r="B3330" s="6">
        <f t="shared" ref="B3330:B3344" si="763">+B3329+1</f>
        <v>2045</v>
      </c>
      <c r="C3330" s="1" t="s">
        <v>42</v>
      </c>
      <c r="D3330" s="2" t="s">
        <v>128</v>
      </c>
      <c r="E3330" s="9" t="str">
        <f t="shared" si="759"/>
        <v>PS'!</v>
      </c>
      <c r="F3330" s="5" t="str">
        <f t="shared" si="760"/>
        <v>C:\Users\jaime.benazar\Quorum Business Solutions\Ecopetrol Prometeo - Documents\Planning Space Implementation\3. Analysis &amp; Design\Design\FC22\DRR Jaime\QUIFA-CAJÚA\Cajua\[VAS_CAJUA_CF_SEC_20230125.xlsx]CF PS'!</v>
      </c>
      <c r="G3330" s="6" t="s">
        <v>43</v>
      </c>
      <c r="H3330" s="1">
        <f t="shared" si="761"/>
        <v>58</v>
      </c>
      <c r="I3330" s="1" t="str">
        <f t="shared" si="762"/>
        <v>='C:\Users\jaime.benazar\Quorum Business Solutions\Ecopetrol Prometeo - Documents\Planning Space Implementation\3. Analysis &amp; Design\Design\FC22\DRR Jaime\QUIFA-CAJÚA\Cajua\[VAS_CAJUA_CF_SEC_20230125.xlsx]CF PS'!$DI$58</v>
      </c>
      <c r="J3330" t="s">
        <v>1594</v>
      </c>
    </row>
    <row r="3331" spans="1:10" x14ac:dyDescent="0.25">
      <c r="A3331" s="6" t="s">
        <v>34</v>
      </c>
      <c r="B3331" s="6">
        <f t="shared" si="763"/>
        <v>2046</v>
      </c>
      <c r="C3331" s="1" t="s">
        <v>42</v>
      </c>
      <c r="D3331" s="2" t="s">
        <v>128</v>
      </c>
      <c r="E3331" s="9" t="str">
        <f t="shared" si="759"/>
        <v>PS'!</v>
      </c>
      <c r="F3331" s="5" t="str">
        <f t="shared" si="760"/>
        <v>C:\Users\jaime.benazar\Quorum Business Solutions\Ecopetrol Prometeo - Documents\Planning Space Implementation\3. Analysis &amp; Design\Design\FC22\DRR Jaime\QUIFA-CAJÚA\Cajua\[VAS_CAJUA_CF_SEC_20230125.xlsx]CF PS'!</v>
      </c>
      <c r="G3331" s="6" t="s">
        <v>43</v>
      </c>
      <c r="H3331" s="1">
        <f t="shared" si="761"/>
        <v>59</v>
      </c>
      <c r="I3331" s="1" t="str">
        <f t="shared" si="762"/>
        <v>='C:\Users\jaime.benazar\Quorum Business Solutions\Ecopetrol Prometeo - Documents\Planning Space Implementation\3. Analysis &amp; Design\Design\FC22\DRR Jaime\QUIFA-CAJÚA\Cajua\[VAS_CAJUA_CF_SEC_20230125.xlsx]CF PS'!$DI$59</v>
      </c>
      <c r="J3331" t="s">
        <v>1595</v>
      </c>
    </row>
    <row r="3332" spans="1:10" x14ac:dyDescent="0.25">
      <c r="A3332" s="6" t="s">
        <v>34</v>
      </c>
      <c r="B3332" s="6">
        <f t="shared" si="763"/>
        <v>2047</v>
      </c>
      <c r="C3332" s="1" t="s">
        <v>42</v>
      </c>
      <c r="D3332" s="2" t="s">
        <v>128</v>
      </c>
      <c r="E3332" s="9" t="str">
        <f t="shared" si="759"/>
        <v>PS'!</v>
      </c>
      <c r="F3332" s="5" t="str">
        <f t="shared" si="760"/>
        <v>C:\Users\jaime.benazar\Quorum Business Solutions\Ecopetrol Prometeo - Documents\Planning Space Implementation\3. Analysis &amp; Design\Design\FC22\DRR Jaime\QUIFA-CAJÚA\Cajua\[VAS_CAJUA_CF_SEC_20230125.xlsx]CF PS'!</v>
      </c>
      <c r="G3332" s="6" t="s">
        <v>43</v>
      </c>
      <c r="H3332" s="1">
        <f t="shared" si="761"/>
        <v>60</v>
      </c>
      <c r="I3332" s="1" t="str">
        <f t="shared" si="762"/>
        <v>='C:\Users\jaime.benazar\Quorum Business Solutions\Ecopetrol Prometeo - Documents\Planning Space Implementation\3. Analysis &amp; Design\Design\FC22\DRR Jaime\QUIFA-CAJÚA\Cajua\[VAS_CAJUA_CF_SEC_20230125.xlsx]CF PS'!$DI$60</v>
      </c>
      <c r="J3332" t="s">
        <v>1596</v>
      </c>
    </row>
    <row r="3333" spans="1:10" x14ac:dyDescent="0.25">
      <c r="A3333" s="6" t="s">
        <v>34</v>
      </c>
      <c r="B3333" s="6">
        <f t="shared" si="763"/>
        <v>2048</v>
      </c>
      <c r="C3333" s="1" t="s">
        <v>42</v>
      </c>
      <c r="D3333" s="2" t="s">
        <v>128</v>
      </c>
      <c r="E3333" s="9" t="str">
        <f t="shared" si="759"/>
        <v>PS'!</v>
      </c>
      <c r="F3333" s="5" t="str">
        <f t="shared" si="760"/>
        <v>C:\Users\jaime.benazar\Quorum Business Solutions\Ecopetrol Prometeo - Documents\Planning Space Implementation\3. Analysis &amp; Design\Design\FC22\DRR Jaime\QUIFA-CAJÚA\Cajua\[VAS_CAJUA_CF_SEC_20230125.xlsx]CF PS'!</v>
      </c>
      <c r="G3333" s="6" t="s">
        <v>43</v>
      </c>
      <c r="H3333" s="1">
        <f t="shared" si="761"/>
        <v>61</v>
      </c>
      <c r="I3333" s="1" t="str">
        <f t="shared" si="762"/>
        <v>='C:\Users\jaime.benazar\Quorum Business Solutions\Ecopetrol Prometeo - Documents\Planning Space Implementation\3. Analysis &amp; Design\Design\FC22\DRR Jaime\QUIFA-CAJÚA\Cajua\[VAS_CAJUA_CF_SEC_20230125.xlsx]CF PS'!$DI$61</v>
      </c>
      <c r="J3333" t="s">
        <v>1597</v>
      </c>
    </row>
    <row r="3334" spans="1:10" x14ac:dyDescent="0.25">
      <c r="A3334" s="6" t="s">
        <v>34</v>
      </c>
      <c r="B3334" s="6">
        <f t="shared" si="763"/>
        <v>2049</v>
      </c>
      <c r="C3334" s="1" t="s">
        <v>42</v>
      </c>
      <c r="D3334" s="2" t="s">
        <v>128</v>
      </c>
      <c r="E3334" s="9" t="str">
        <f t="shared" si="759"/>
        <v>PS'!</v>
      </c>
      <c r="F3334" s="5" t="str">
        <f t="shared" si="760"/>
        <v>C:\Users\jaime.benazar\Quorum Business Solutions\Ecopetrol Prometeo - Documents\Planning Space Implementation\3. Analysis &amp; Design\Design\FC22\DRR Jaime\QUIFA-CAJÚA\Cajua\[VAS_CAJUA_CF_SEC_20230125.xlsx]CF PS'!</v>
      </c>
      <c r="G3334" s="6" t="s">
        <v>43</v>
      </c>
      <c r="H3334" s="1">
        <f t="shared" si="761"/>
        <v>62</v>
      </c>
      <c r="I3334" s="1" t="str">
        <f t="shared" si="762"/>
        <v>='C:\Users\jaime.benazar\Quorum Business Solutions\Ecopetrol Prometeo - Documents\Planning Space Implementation\3. Analysis &amp; Design\Design\FC22\DRR Jaime\QUIFA-CAJÚA\Cajua\[VAS_CAJUA_CF_SEC_20230125.xlsx]CF PS'!$DI$62</v>
      </c>
      <c r="J3334" t="s">
        <v>1598</v>
      </c>
    </row>
    <row r="3335" spans="1:10" x14ac:dyDescent="0.25">
      <c r="A3335" s="6" t="s">
        <v>34</v>
      </c>
      <c r="B3335" s="6">
        <f t="shared" si="763"/>
        <v>2050</v>
      </c>
      <c r="C3335" s="1" t="s">
        <v>42</v>
      </c>
      <c r="D3335" s="2" t="s">
        <v>128</v>
      </c>
      <c r="E3335" s="9" t="str">
        <f t="shared" si="759"/>
        <v>PS'!</v>
      </c>
      <c r="F3335" s="5" t="str">
        <f t="shared" si="760"/>
        <v>C:\Users\jaime.benazar\Quorum Business Solutions\Ecopetrol Prometeo - Documents\Planning Space Implementation\3. Analysis &amp; Design\Design\FC22\DRR Jaime\QUIFA-CAJÚA\Cajua\[VAS_CAJUA_CF_SEC_20230125.xlsx]CF PS'!</v>
      </c>
      <c r="G3335" s="6" t="s">
        <v>43</v>
      </c>
      <c r="H3335" s="1">
        <f t="shared" si="761"/>
        <v>63</v>
      </c>
      <c r="I3335" s="1" t="str">
        <f t="shared" si="762"/>
        <v>='C:\Users\jaime.benazar\Quorum Business Solutions\Ecopetrol Prometeo - Documents\Planning Space Implementation\3. Analysis &amp; Design\Design\FC22\DRR Jaime\QUIFA-CAJÚA\Cajua\[VAS_CAJUA_CF_SEC_20230125.xlsx]CF PS'!$DI$63</v>
      </c>
      <c r="J3335" t="s">
        <v>1599</v>
      </c>
    </row>
    <row r="3336" spans="1:10" x14ac:dyDescent="0.25">
      <c r="A3336" s="6" t="s">
        <v>34</v>
      </c>
      <c r="B3336" s="6">
        <f t="shared" si="763"/>
        <v>2051</v>
      </c>
      <c r="C3336" s="1" t="s">
        <v>42</v>
      </c>
      <c r="D3336" s="2" t="s">
        <v>128</v>
      </c>
      <c r="E3336" s="9" t="str">
        <f t="shared" si="759"/>
        <v>PS'!</v>
      </c>
      <c r="F3336" s="5" t="str">
        <f t="shared" si="760"/>
        <v>C:\Users\jaime.benazar\Quorum Business Solutions\Ecopetrol Prometeo - Documents\Planning Space Implementation\3. Analysis &amp; Design\Design\FC22\DRR Jaime\QUIFA-CAJÚA\Cajua\[VAS_CAJUA_CF_SEC_20230125.xlsx]CF PS'!</v>
      </c>
      <c r="G3336" s="6" t="s">
        <v>43</v>
      </c>
      <c r="H3336" s="1">
        <f t="shared" si="761"/>
        <v>64</v>
      </c>
      <c r="I3336" s="1" t="str">
        <f t="shared" si="762"/>
        <v>='C:\Users\jaime.benazar\Quorum Business Solutions\Ecopetrol Prometeo - Documents\Planning Space Implementation\3. Analysis &amp; Design\Design\FC22\DRR Jaime\QUIFA-CAJÚA\Cajua\[VAS_CAJUA_CF_SEC_20230125.xlsx]CF PS'!$DI$64</v>
      </c>
      <c r="J3336" t="s">
        <v>1600</v>
      </c>
    </row>
    <row r="3337" spans="1:10" x14ac:dyDescent="0.25">
      <c r="A3337" s="6" t="s">
        <v>34</v>
      </c>
      <c r="B3337" s="6">
        <f t="shared" si="763"/>
        <v>2052</v>
      </c>
      <c r="C3337" s="1" t="s">
        <v>42</v>
      </c>
      <c r="D3337" s="2" t="s">
        <v>128</v>
      </c>
      <c r="E3337" s="9" t="str">
        <f t="shared" si="759"/>
        <v>PS'!</v>
      </c>
      <c r="F3337" s="5" t="str">
        <f t="shared" si="760"/>
        <v>C:\Users\jaime.benazar\Quorum Business Solutions\Ecopetrol Prometeo - Documents\Planning Space Implementation\3. Analysis &amp; Design\Design\FC22\DRR Jaime\QUIFA-CAJÚA\Cajua\[VAS_CAJUA_CF_SEC_20230125.xlsx]CF PS'!</v>
      </c>
      <c r="G3337" s="6" t="s">
        <v>43</v>
      </c>
      <c r="H3337" s="1">
        <f t="shared" si="761"/>
        <v>65</v>
      </c>
      <c r="I3337" s="1" t="str">
        <f t="shared" si="762"/>
        <v>='C:\Users\jaime.benazar\Quorum Business Solutions\Ecopetrol Prometeo - Documents\Planning Space Implementation\3. Analysis &amp; Design\Design\FC22\DRR Jaime\QUIFA-CAJÚA\Cajua\[VAS_CAJUA_CF_SEC_20230125.xlsx]CF PS'!$DI$65</v>
      </c>
      <c r="J3337" t="s">
        <v>1601</v>
      </c>
    </row>
    <row r="3338" spans="1:10" x14ac:dyDescent="0.25">
      <c r="A3338" s="6" t="s">
        <v>34</v>
      </c>
      <c r="B3338" s="6">
        <f t="shared" si="763"/>
        <v>2053</v>
      </c>
      <c r="C3338" s="1" t="s">
        <v>42</v>
      </c>
      <c r="D3338" s="2" t="s">
        <v>128</v>
      </c>
      <c r="E3338" s="9" t="str">
        <f t="shared" si="759"/>
        <v>PS'!</v>
      </c>
      <c r="F3338" s="5" t="str">
        <f t="shared" si="760"/>
        <v>C:\Users\jaime.benazar\Quorum Business Solutions\Ecopetrol Prometeo - Documents\Planning Space Implementation\3. Analysis &amp; Design\Design\FC22\DRR Jaime\QUIFA-CAJÚA\Cajua\[VAS_CAJUA_CF_SEC_20230125.xlsx]CF PS'!</v>
      </c>
      <c r="G3338" s="6" t="s">
        <v>43</v>
      </c>
      <c r="H3338" s="1">
        <f t="shared" si="761"/>
        <v>66</v>
      </c>
      <c r="I3338" s="1" t="str">
        <f t="shared" si="762"/>
        <v>='C:\Users\jaime.benazar\Quorum Business Solutions\Ecopetrol Prometeo - Documents\Planning Space Implementation\3. Analysis &amp; Design\Design\FC22\DRR Jaime\QUIFA-CAJÚA\Cajua\[VAS_CAJUA_CF_SEC_20230125.xlsx]CF PS'!$DI$66</v>
      </c>
      <c r="J3338" t="s">
        <v>1602</v>
      </c>
    </row>
    <row r="3339" spans="1:10" x14ac:dyDescent="0.25">
      <c r="A3339" s="6" t="s">
        <v>34</v>
      </c>
      <c r="B3339" s="6">
        <f t="shared" si="763"/>
        <v>2054</v>
      </c>
      <c r="C3339" s="1" t="s">
        <v>42</v>
      </c>
      <c r="D3339" s="2" t="s">
        <v>128</v>
      </c>
      <c r="E3339" s="9" t="str">
        <f t="shared" si="759"/>
        <v>PS'!</v>
      </c>
      <c r="F3339" s="5" t="str">
        <f t="shared" si="760"/>
        <v>C:\Users\jaime.benazar\Quorum Business Solutions\Ecopetrol Prometeo - Documents\Planning Space Implementation\3. Analysis &amp; Design\Design\FC22\DRR Jaime\QUIFA-CAJÚA\Cajua\[VAS_CAJUA_CF_SEC_20230125.xlsx]CF PS'!</v>
      </c>
      <c r="G3339" s="6" t="s">
        <v>43</v>
      </c>
      <c r="H3339" s="1">
        <f t="shared" si="761"/>
        <v>67</v>
      </c>
      <c r="I3339" s="1" t="str">
        <f t="shared" si="762"/>
        <v>='C:\Users\jaime.benazar\Quorum Business Solutions\Ecopetrol Prometeo - Documents\Planning Space Implementation\3. Analysis &amp; Design\Design\FC22\DRR Jaime\QUIFA-CAJÚA\Cajua\[VAS_CAJUA_CF_SEC_20230125.xlsx]CF PS'!$DI$67</v>
      </c>
      <c r="J3339" t="s">
        <v>1603</v>
      </c>
    </row>
    <row r="3340" spans="1:10" x14ac:dyDescent="0.25">
      <c r="A3340" s="6" t="s">
        <v>34</v>
      </c>
      <c r="B3340" s="6">
        <f t="shared" si="763"/>
        <v>2055</v>
      </c>
      <c r="C3340" s="1" t="s">
        <v>42</v>
      </c>
      <c r="D3340" s="2" t="s">
        <v>128</v>
      </c>
      <c r="E3340" s="9" t="str">
        <f t="shared" si="759"/>
        <v>PS'!</v>
      </c>
      <c r="F3340" s="5" t="str">
        <f t="shared" si="760"/>
        <v>C:\Users\jaime.benazar\Quorum Business Solutions\Ecopetrol Prometeo - Documents\Planning Space Implementation\3. Analysis &amp; Design\Design\FC22\DRR Jaime\QUIFA-CAJÚA\Cajua\[VAS_CAJUA_CF_SEC_20230125.xlsx]CF PS'!</v>
      </c>
      <c r="G3340" s="6" t="s">
        <v>43</v>
      </c>
      <c r="H3340" s="1">
        <f t="shared" si="761"/>
        <v>68</v>
      </c>
      <c r="I3340" s="1" t="str">
        <f t="shared" si="762"/>
        <v>='C:\Users\jaime.benazar\Quorum Business Solutions\Ecopetrol Prometeo - Documents\Planning Space Implementation\3. Analysis &amp; Design\Design\FC22\DRR Jaime\QUIFA-CAJÚA\Cajua\[VAS_CAJUA_CF_SEC_20230125.xlsx]CF PS'!$DI$68</v>
      </c>
      <c r="J3340" t="s">
        <v>1604</v>
      </c>
    </row>
    <row r="3341" spans="1:10" x14ac:dyDescent="0.25">
      <c r="A3341" s="6" t="s">
        <v>34</v>
      </c>
      <c r="B3341" s="6">
        <f t="shared" si="763"/>
        <v>2056</v>
      </c>
      <c r="C3341" s="1" t="s">
        <v>42</v>
      </c>
      <c r="D3341" s="2" t="s">
        <v>128</v>
      </c>
      <c r="E3341" s="9" t="str">
        <f t="shared" si="759"/>
        <v>PS'!</v>
      </c>
      <c r="F3341" s="5" t="str">
        <f t="shared" si="760"/>
        <v>C:\Users\jaime.benazar\Quorum Business Solutions\Ecopetrol Prometeo - Documents\Planning Space Implementation\3. Analysis &amp; Design\Design\FC22\DRR Jaime\QUIFA-CAJÚA\Cajua\[VAS_CAJUA_CF_SEC_20230125.xlsx]CF PS'!</v>
      </c>
      <c r="G3341" s="6" t="s">
        <v>43</v>
      </c>
      <c r="H3341" s="1">
        <f t="shared" si="761"/>
        <v>69</v>
      </c>
      <c r="I3341" s="1" t="str">
        <f t="shared" si="762"/>
        <v>='C:\Users\jaime.benazar\Quorum Business Solutions\Ecopetrol Prometeo - Documents\Planning Space Implementation\3. Analysis &amp; Design\Design\FC22\DRR Jaime\QUIFA-CAJÚA\Cajua\[VAS_CAJUA_CF_SEC_20230125.xlsx]CF PS'!$DI$69</v>
      </c>
      <c r="J3341" t="s">
        <v>1605</v>
      </c>
    </row>
    <row r="3342" spans="1:10" x14ac:dyDescent="0.25">
      <c r="A3342" s="6" t="s">
        <v>34</v>
      </c>
      <c r="B3342" s="6">
        <f t="shared" si="763"/>
        <v>2057</v>
      </c>
      <c r="C3342" s="1" t="s">
        <v>42</v>
      </c>
      <c r="D3342" s="2" t="s">
        <v>128</v>
      </c>
      <c r="E3342" s="9" t="str">
        <f t="shared" si="759"/>
        <v>PS'!</v>
      </c>
      <c r="F3342" s="5" t="str">
        <f t="shared" si="760"/>
        <v>C:\Users\jaime.benazar\Quorum Business Solutions\Ecopetrol Prometeo - Documents\Planning Space Implementation\3. Analysis &amp; Design\Design\FC22\DRR Jaime\QUIFA-CAJÚA\Cajua\[VAS_CAJUA_CF_SEC_20230125.xlsx]CF PS'!</v>
      </c>
      <c r="G3342" s="6" t="s">
        <v>43</v>
      </c>
      <c r="H3342" s="1">
        <f t="shared" si="761"/>
        <v>70</v>
      </c>
      <c r="I3342" s="1" t="str">
        <f t="shared" si="762"/>
        <v>='C:\Users\jaime.benazar\Quorum Business Solutions\Ecopetrol Prometeo - Documents\Planning Space Implementation\3. Analysis &amp; Design\Design\FC22\DRR Jaime\QUIFA-CAJÚA\Cajua\[VAS_CAJUA_CF_SEC_20230125.xlsx]CF PS'!$DI$70</v>
      </c>
      <c r="J3342" t="s">
        <v>1606</v>
      </c>
    </row>
    <row r="3343" spans="1:10" x14ac:dyDescent="0.25">
      <c r="A3343" s="6" t="s">
        <v>34</v>
      </c>
      <c r="B3343" s="6">
        <f t="shared" si="763"/>
        <v>2058</v>
      </c>
      <c r="C3343" s="1" t="s">
        <v>42</v>
      </c>
      <c r="D3343" s="2" t="s">
        <v>128</v>
      </c>
      <c r="E3343" s="9" t="str">
        <f t="shared" si="759"/>
        <v>PS'!</v>
      </c>
      <c r="F3343" s="5" t="str">
        <f t="shared" si="760"/>
        <v>C:\Users\jaime.benazar\Quorum Business Solutions\Ecopetrol Prometeo - Documents\Planning Space Implementation\3. Analysis &amp; Design\Design\FC22\DRR Jaime\QUIFA-CAJÚA\Cajua\[VAS_CAJUA_CF_SEC_20230125.xlsx]CF PS'!</v>
      </c>
      <c r="G3343" s="6" t="s">
        <v>43</v>
      </c>
      <c r="H3343" s="1">
        <f t="shared" si="761"/>
        <v>71</v>
      </c>
      <c r="I3343" s="1" t="str">
        <f t="shared" si="762"/>
        <v>='C:\Users\jaime.benazar\Quorum Business Solutions\Ecopetrol Prometeo - Documents\Planning Space Implementation\3. Analysis &amp; Design\Design\FC22\DRR Jaime\QUIFA-CAJÚA\Cajua\[VAS_CAJUA_CF_SEC_20230125.xlsx]CF PS'!$DI$71</v>
      </c>
      <c r="J3343" t="s">
        <v>1607</v>
      </c>
    </row>
    <row r="3344" spans="1:10" x14ac:dyDescent="0.25">
      <c r="A3344" s="6" t="s">
        <v>34</v>
      </c>
      <c r="B3344" s="6">
        <f t="shared" si="763"/>
        <v>2059</v>
      </c>
      <c r="C3344" s="1" t="s">
        <v>42</v>
      </c>
      <c r="D3344" s="2" t="s">
        <v>128</v>
      </c>
      <c r="E3344" s="9" t="str">
        <f t="shared" si="759"/>
        <v>PS'!</v>
      </c>
      <c r="F3344" s="5" t="str">
        <f t="shared" si="760"/>
        <v>C:\Users\jaime.benazar\Quorum Business Solutions\Ecopetrol Prometeo - Documents\Planning Space Implementation\3. Analysis &amp; Design\Design\FC22\DRR Jaime\QUIFA-CAJÚA\Cajua\[VAS_CAJUA_CF_SEC_20230125.xlsx]CF PS'!</v>
      </c>
      <c r="G3344" s="6" t="s">
        <v>43</v>
      </c>
      <c r="H3344" s="1">
        <f t="shared" si="761"/>
        <v>72</v>
      </c>
      <c r="I3344" s="1" t="str">
        <f t="shared" si="762"/>
        <v>='C:\Users\jaime.benazar\Quorum Business Solutions\Ecopetrol Prometeo - Documents\Planning Space Implementation\3. Analysis &amp; Design\Design\FC22\DRR Jaime\QUIFA-CAJÚA\Cajua\[VAS_CAJUA_CF_SEC_20230125.xlsx]CF PS'!$DI$72</v>
      </c>
      <c r="J3344" t="s">
        <v>1608</v>
      </c>
    </row>
    <row r="3345" spans="1:10" x14ac:dyDescent="0.25">
      <c r="A3345" s="8" t="s">
        <v>28</v>
      </c>
      <c r="C3345" s="1" t="s">
        <v>42</v>
      </c>
      <c r="D3345" s="2"/>
      <c r="E3345" s="8" t="str">
        <f t="shared" si="690"/>
        <v>Total'!</v>
      </c>
      <c r="F3345" s="5"/>
      <c r="J3345" s="4"/>
    </row>
    <row r="3346" spans="1:10" x14ac:dyDescent="0.25">
      <c r="A3346" s="6" t="s">
        <v>1</v>
      </c>
      <c r="B3346" s="6">
        <v>2023</v>
      </c>
      <c r="C3346" s="1" t="s">
        <v>49</v>
      </c>
      <c r="D3346" s="2" t="s">
        <v>128</v>
      </c>
      <c r="E3346" s="9" t="str">
        <f>_xlfn.CONCAT(A3346,"'!")</f>
        <v>PDP'!</v>
      </c>
      <c r="F3346" s="5" t="str">
        <f t="shared" ref="F3346:F3366" si="764">_xlfn.CONCAT(D3346," ",E3346)</f>
        <v>C:\Users\jaime.benazar\Quorum Business Solutions\Ecopetrol Prometeo - Documents\Planning Space Implementation\3. Analysis &amp; Design\Design\FC22\DRR Jaime\QUIFA-CAJÚA\Cajua\[VAS_CAJUA_CF_SEC_20230125.xlsx]CF PDP'!</v>
      </c>
      <c r="G3346" s="6" t="s">
        <v>59</v>
      </c>
      <c r="H3346" s="1">
        <f>IF(A3346&lt;&gt;A3345,36,H3345+1)</f>
        <v>36</v>
      </c>
      <c r="I3346" s="1" t="str">
        <f>_xlfn.CONCAT("='",F3346:H3346)</f>
        <v>='C:\Users\jaime.benazar\Quorum Business Solutions\Ecopetrol Prometeo - Documents\Planning Space Implementation\3. Analysis &amp; Design\Design\FC22\DRR Jaime\QUIFA-CAJÚA\Cajua\[VAS_CAJUA_CF_SEC_20230125.xlsx]CF PDP'!$BB$36</v>
      </c>
      <c r="J3346" s="12" t="s">
        <v>1609</v>
      </c>
    </row>
    <row r="3347" spans="1:10" x14ac:dyDescent="0.25">
      <c r="A3347" s="6" t="s">
        <v>1</v>
      </c>
      <c r="B3347" s="6">
        <f>+B3346+1</f>
        <v>2024</v>
      </c>
      <c r="C3347" s="1" t="s">
        <v>49</v>
      </c>
      <c r="D3347" s="2" t="s">
        <v>128</v>
      </c>
      <c r="E3347" s="9" t="str">
        <f t="shared" ref="E3347:E3404" si="765">_xlfn.CONCAT(A3347,"'!")</f>
        <v>PDP'!</v>
      </c>
      <c r="F3347" s="5" t="str">
        <f t="shared" si="764"/>
        <v>C:\Users\jaime.benazar\Quorum Business Solutions\Ecopetrol Prometeo - Documents\Planning Space Implementation\3. Analysis &amp; Design\Design\FC22\DRR Jaime\QUIFA-CAJÚA\Cajua\[VAS_CAJUA_CF_SEC_20230125.xlsx]CF PDP'!</v>
      </c>
      <c r="G3347" s="6" t="s">
        <v>59</v>
      </c>
      <c r="H3347" s="1">
        <f>IF(A3347&lt;&gt;A3346,36,H3346+1)</f>
        <v>37</v>
      </c>
      <c r="I3347" s="1" t="str">
        <f t="shared" ref="I3347:I3366" si="766">_xlfn.CONCAT("='",F3347:H3347)</f>
        <v>='C:\Users\jaime.benazar\Quorum Business Solutions\Ecopetrol Prometeo - Documents\Planning Space Implementation\3. Analysis &amp; Design\Design\FC22\DRR Jaime\QUIFA-CAJÚA\Cajua\[VAS_CAJUA_CF_SEC_20230125.xlsx]CF PDP'!$BB$37</v>
      </c>
      <c r="J3347" s="1" t="s">
        <v>1610</v>
      </c>
    </row>
    <row r="3348" spans="1:10" x14ac:dyDescent="0.25">
      <c r="A3348" s="6" t="s">
        <v>1</v>
      </c>
      <c r="B3348" s="6">
        <f t="shared" ref="B3348:B3382" si="767">+B3347+1</f>
        <v>2025</v>
      </c>
      <c r="C3348" s="1" t="s">
        <v>49</v>
      </c>
      <c r="D3348" s="2" t="s">
        <v>128</v>
      </c>
      <c r="E3348" s="9" t="str">
        <f t="shared" si="765"/>
        <v>PDP'!</v>
      </c>
      <c r="F3348" s="5" t="str">
        <f t="shared" si="764"/>
        <v>C:\Users\jaime.benazar\Quorum Business Solutions\Ecopetrol Prometeo - Documents\Planning Space Implementation\3. Analysis &amp; Design\Design\FC22\DRR Jaime\QUIFA-CAJÚA\Cajua\[VAS_CAJUA_CF_SEC_20230125.xlsx]CF PDP'!</v>
      </c>
      <c r="G3348" s="6" t="s">
        <v>59</v>
      </c>
      <c r="H3348" s="1">
        <f t="shared" ref="H3348:H3366" si="768">IF(A3348&lt;&gt;A3347,36,H3347+1)</f>
        <v>38</v>
      </c>
      <c r="I3348" s="1" t="str">
        <f t="shared" si="766"/>
        <v>='C:\Users\jaime.benazar\Quorum Business Solutions\Ecopetrol Prometeo - Documents\Planning Space Implementation\3. Analysis &amp; Design\Design\FC22\DRR Jaime\QUIFA-CAJÚA\Cajua\[VAS_CAJUA_CF_SEC_20230125.xlsx]CF PDP'!$BB$38</v>
      </c>
      <c r="J3348" s="1" t="s">
        <v>1611</v>
      </c>
    </row>
    <row r="3349" spans="1:10" x14ac:dyDescent="0.25">
      <c r="A3349" s="6" t="s">
        <v>1</v>
      </c>
      <c r="B3349" s="6">
        <f t="shared" si="767"/>
        <v>2026</v>
      </c>
      <c r="C3349" s="1" t="s">
        <v>49</v>
      </c>
      <c r="D3349" s="2" t="s">
        <v>128</v>
      </c>
      <c r="E3349" s="9" t="str">
        <f t="shared" si="765"/>
        <v>PDP'!</v>
      </c>
      <c r="F3349" s="5" t="str">
        <f t="shared" si="764"/>
        <v>C:\Users\jaime.benazar\Quorum Business Solutions\Ecopetrol Prometeo - Documents\Planning Space Implementation\3. Analysis &amp; Design\Design\FC22\DRR Jaime\QUIFA-CAJÚA\Cajua\[VAS_CAJUA_CF_SEC_20230125.xlsx]CF PDP'!</v>
      </c>
      <c r="G3349" s="6" t="s">
        <v>59</v>
      </c>
      <c r="H3349" s="1">
        <f t="shared" si="768"/>
        <v>39</v>
      </c>
      <c r="I3349" s="1" t="str">
        <f t="shared" si="766"/>
        <v>='C:\Users\jaime.benazar\Quorum Business Solutions\Ecopetrol Prometeo - Documents\Planning Space Implementation\3. Analysis &amp; Design\Design\FC22\DRR Jaime\QUIFA-CAJÚA\Cajua\[VAS_CAJUA_CF_SEC_20230125.xlsx]CF PDP'!$BB$39</v>
      </c>
      <c r="J3349" s="1" t="s">
        <v>1612</v>
      </c>
    </row>
    <row r="3350" spans="1:10" x14ac:dyDescent="0.25">
      <c r="A3350" s="6" t="s">
        <v>1</v>
      </c>
      <c r="B3350" s="6">
        <f t="shared" si="767"/>
        <v>2027</v>
      </c>
      <c r="C3350" s="1" t="s">
        <v>49</v>
      </c>
      <c r="D3350" s="2" t="s">
        <v>128</v>
      </c>
      <c r="E3350" s="9" t="str">
        <f t="shared" si="765"/>
        <v>PDP'!</v>
      </c>
      <c r="F3350" s="5" t="str">
        <f t="shared" si="764"/>
        <v>C:\Users\jaime.benazar\Quorum Business Solutions\Ecopetrol Prometeo - Documents\Planning Space Implementation\3. Analysis &amp; Design\Design\FC22\DRR Jaime\QUIFA-CAJÚA\Cajua\[VAS_CAJUA_CF_SEC_20230125.xlsx]CF PDP'!</v>
      </c>
      <c r="G3350" s="6" t="s">
        <v>59</v>
      </c>
      <c r="H3350" s="1">
        <f t="shared" si="768"/>
        <v>40</v>
      </c>
      <c r="I3350" s="1" t="str">
        <f t="shared" si="766"/>
        <v>='C:\Users\jaime.benazar\Quorum Business Solutions\Ecopetrol Prometeo - Documents\Planning Space Implementation\3. Analysis &amp; Design\Design\FC22\DRR Jaime\QUIFA-CAJÚA\Cajua\[VAS_CAJUA_CF_SEC_20230125.xlsx]CF PDP'!$BB$40</v>
      </c>
      <c r="J3350" s="1" t="s">
        <v>1613</v>
      </c>
    </row>
    <row r="3351" spans="1:10" x14ac:dyDescent="0.25">
      <c r="A3351" s="6" t="s">
        <v>1</v>
      </c>
      <c r="B3351" s="6">
        <f t="shared" si="767"/>
        <v>2028</v>
      </c>
      <c r="C3351" s="1" t="s">
        <v>49</v>
      </c>
      <c r="D3351" s="2" t="s">
        <v>128</v>
      </c>
      <c r="E3351" s="9" t="str">
        <f t="shared" si="765"/>
        <v>PDP'!</v>
      </c>
      <c r="F3351" s="5" t="str">
        <f t="shared" si="764"/>
        <v>C:\Users\jaime.benazar\Quorum Business Solutions\Ecopetrol Prometeo - Documents\Planning Space Implementation\3. Analysis &amp; Design\Design\FC22\DRR Jaime\QUIFA-CAJÚA\Cajua\[VAS_CAJUA_CF_SEC_20230125.xlsx]CF PDP'!</v>
      </c>
      <c r="G3351" s="6" t="s">
        <v>59</v>
      </c>
      <c r="H3351" s="1">
        <f t="shared" si="768"/>
        <v>41</v>
      </c>
      <c r="I3351" s="1" t="str">
        <f t="shared" si="766"/>
        <v>='C:\Users\jaime.benazar\Quorum Business Solutions\Ecopetrol Prometeo - Documents\Planning Space Implementation\3. Analysis &amp; Design\Design\FC22\DRR Jaime\QUIFA-CAJÚA\Cajua\[VAS_CAJUA_CF_SEC_20230125.xlsx]CF PDP'!$BB$41</v>
      </c>
      <c r="J3351" s="1" t="s">
        <v>1614</v>
      </c>
    </row>
    <row r="3352" spans="1:10" x14ac:dyDescent="0.25">
      <c r="A3352" s="6" t="s">
        <v>1</v>
      </c>
      <c r="B3352" s="6">
        <f t="shared" si="767"/>
        <v>2029</v>
      </c>
      <c r="C3352" s="1" t="s">
        <v>49</v>
      </c>
      <c r="D3352" s="2" t="s">
        <v>128</v>
      </c>
      <c r="E3352" s="9" t="str">
        <f t="shared" si="765"/>
        <v>PDP'!</v>
      </c>
      <c r="F3352" s="5" t="str">
        <f t="shared" si="764"/>
        <v>C:\Users\jaime.benazar\Quorum Business Solutions\Ecopetrol Prometeo - Documents\Planning Space Implementation\3. Analysis &amp; Design\Design\FC22\DRR Jaime\QUIFA-CAJÚA\Cajua\[VAS_CAJUA_CF_SEC_20230125.xlsx]CF PDP'!</v>
      </c>
      <c r="G3352" s="6" t="s">
        <v>59</v>
      </c>
      <c r="H3352" s="1">
        <f t="shared" si="768"/>
        <v>42</v>
      </c>
      <c r="I3352" s="1" t="str">
        <f t="shared" si="766"/>
        <v>='C:\Users\jaime.benazar\Quorum Business Solutions\Ecopetrol Prometeo - Documents\Planning Space Implementation\3. Analysis &amp; Design\Design\FC22\DRR Jaime\QUIFA-CAJÚA\Cajua\[VAS_CAJUA_CF_SEC_20230125.xlsx]CF PDP'!$BB$42</v>
      </c>
      <c r="J3352" s="1" t="s">
        <v>1615</v>
      </c>
    </row>
    <row r="3353" spans="1:10" x14ac:dyDescent="0.25">
      <c r="A3353" s="6" t="s">
        <v>1</v>
      </c>
      <c r="B3353" s="6">
        <f t="shared" si="767"/>
        <v>2030</v>
      </c>
      <c r="C3353" s="1" t="s">
        <v>49</v>
      </c>
      <c r="D3353" s="2" t="s">
        <v>128</v>
      </c>
      <c r="E3353" s="9" t="str">
        <f t="shared" si="765"/>
        <v>PDP'!</v>
      </c>
      <c r="F3353" s="5" t="str">
        <f t="shared" si="764"/>
        <v>C:\Users\jaime.benazar\Quorum Business Solutions\Ecopetrol Prometeo - Documents\Planning Space Implementation\3. Analysis &amp; Design\Design\FC22\DRR Jaime\QUIFA-CAJÚA\Cajua\[VAS_CAJUA_CF_SEC_20230125.xlsx]CF PDP'!</v>
      </c>
      <c r="G3353" s="6" t="s">
        <v>59</v>
      </c>
      <c r="H3353" s="1">
        <f t="shared" si="768"/>
        <v>43</v>
      </c>
      <c r="I3353" s="1" t="str">
        <f t="shared" si="766"/>
        <v>='C:\Users\jaime.benazar\Quorum Business Solutions\Ecopetrol Prometeo - Documents\Planning Space Implementation\3. Analysis &amp; Design\Design\FC22\DRR Jaime\QUIFA-CAJÚA\Cajua\[VAS_CAJUA_CF_SEC_20230125.xlsx]CF PDP'!$BB$43</v>
      </c>
      <c r="J3353" s="1" t="s">
        <v>1616</v>
      </c>
    </row>
    <row r="3354" spans="1:10" x14ac:dyDescent="0.25">
      <c r="A3354" s="6" t="s">
        <v>1</v>
      </c>
      <c r="B3354" s="6">
        <f t="shared" si="767"/>
        <v>2031</v>
      </c>
      <c r="C3354" s="1" t="s">
        <v>49</v>
      </c>
      <c r="D3354" s="2" t="s">
        <v>128</v>
      </c>
      <c r="E3354" s="9" t="str">
        <f t="shared" si="765"/>
        <v>PDP'!</v>
      </c>
      <c r="F3354" s="5" t="str">
        <f t="shared" si="764"/>
        <v>C:\Users\jaime.benazar\Quorum Business Solutions\Ecopetrol Prometeo - Documents\Planning Space Implementation\3. Analysis &amp; Design\Design\FC22\DRR Jaime\QUIFA-CAJÚA\Cajua\[VAS_CAJUA_CF_SEC_20230125.xlsx]CF PDP'!</v>
      </c>
      <c r="G3354" s="6" t="s">
        <v>59</v>
      </c>
      <c r="H3354" s="1">
        <f t="shared" si="768"/>
        <v>44</v>
      </c>
      <c r="I3354" s="1" t="str">
        <f t="shared" si="766"/>
        <v>='C:\Users\jaime.benazar\Quorum Business Solutions\Ecopetrol Prometeo - Documents\Planning Space Implementation\3. Analysis &amp; Design\Design\FC22\DRR Jaime\QUIFA-CAJÚA\Cajua\[VAS_CAJUA_CF_SEC_20230125.xlsx]CF PDP'!$BB$44</v>
      </c>
      <c r="J3354" s="1" t="s">
        <v>1617</v>
      </c>
    </row>
    <row r="3355" spans="1:10" x14ac:dyDescent="0.25">
      <c r="A3355" s="6" t="s">
        <v>1</v>
      </c>
      <c r="B3355" s="6">
        <f t="shared" si="767"/>
        <v>2032</v>
      </c>
      <c r="C3355" s="1" t="s">
        <v>49</v>
      </c>
      <c r="D3355" s="2" t="s">
        <v>128</v>
      </c>
      <c r="E3355" s="9" t="str">
        <f t="shared" si="765"/>
        <v>PDP'!</v>
      </c>
      <c r="F3355" s="5" t="str">
        <f t="shared" si="764"/>
        <v>C:\Users\jaime.benazar\Quorum Business Solutions\Ecopetrol Prometeo - Documents\Planning Space Implementation\3. Analysis &amp; Design\Design\FC22\DRR Jaime\QUIFA-CAJÚA\Cajua\[VAS_CAJUA_CF_SEC_20230125.xlsx]CF PDP'!</v>
      </c>
      <c r="G3355" s="6" t="s">
        <v>59</v>
      </c>
      <c r="H3355" s="1">
        <f t="shared" si="768"/>
        <v>45</v>
      </c>
      <c r="I3355" s="1" t="str">
        <f t="shared" si="766"/>
        <v>='C:\Users\jaime.benazar\Quorum Business Solutions\Ecopetrol Prometeo - Documents\Planning Space Implementation\3. Analysis &amp; Design\Design\FC22\DRR Jaime\QUIFA-CAJÚA\Cajua\[VAS_CAJUA_CF_SEC_20230125.xlsx]CF PDP'!$BB$45</v>
      </c>
      <c r="J3355" s="1" t="s">
        <v>1618</v>
      </c>
    </row>
    <row r="3356" spans="1:10" x14ac:dyDescent="0.25">
      <c r="A3356" s="6" t="s">
        <v>1</v>
      </c>
      <c r="B3356" s="6">
        <f t="shared" si="767"/>
        <v>2033</v>
      </c>
      <c r="C3356" s="1" t="s">
        <v>49</v>
      </c>
      <c r="D3356" s="2" t="s">
        <v>128</v>
      </c>
      <c r="E3356" s="9" t="str">
        <f t="shared" si="765"/>
        <v>PDP'!</v>
      </c>
      <c r="F3356" s="5" t="str">
        <f t="shared" si="764"/>
        <v>C:\Users\jaime.benazar\Quorum Business Solutions\Ecopetrol Prometeo - Documents\Planning Space Implementation\3. Analysis &amp; Design\Design\FC22\DRR Jaime\QUIFA-CAJÚA\Cajua\[VAS_CAJUA_CF_SEC_20230125.xlsx]CF PDP'!</v>
      </c>
      <c r="G3356" s="6" t="s">
        <v>59</v>
      </c>
      <c r="H3356" s="1">
        <f t="shared" si="768"/>
        <v>46</v>
      </c>
      <c r="I3356" s="1" t="str">
        <f t="shared" si="766"/>
        <v>='C:\Users\jaime.benazar\Quorum Business Solutions\Ecopetrol Prometeo - Documents\Planning Space Implementation\3. Analysis &amp; Design\Design\FC22\DRR Jaime\QUIFA-CAJÚA\Cajua\[VAS_CAJUA_CF_SEC_20230125.xlsx]CF PDP'!$BB$46</v>
      </c>
      <c r="J3356" s="1" t="s">
        <v>1619</v>
      </c>
    </row>
    <row r="3357" spans="1:10" x14ac:dyDescent="0.25">
      <c r="A3357" s="6" t="s">
        <v>1</v>
      </c>
      <c r="B3357" s="6">
        <f t="shared" si="767"/>
        <v>2034</v>
      </c>
      <c r="C3357" s="1" t="s">
        <v>49</v>
      </c>
      <c r="D3357" s="2" t="s">
        <v>128</v>
      </c>
      <c r="E3357" s="9" t="str">
        <f t="shared" si="765"/>
        <v>PDP'!</v>
      </c>
      <c r="F3357" s="5" t="str">
        <f t="shared" si="764"/>
        <v>C:\Users\jaime.benazar\Quorum Business Solutions\Ecopetrol Prometeo - Documents\Planning Space Implementation\3. Analysis &amp; Design\Design\FC22\DRR Jaime\QUIFA-CAJÚA\Cajua\[VAS_CAJUA_CF_SEC_20230125.xlsx]CF PDP'!</v>
      </c>
      <c r="G3357" s="6" t="s">
        <v>59</v>
      </c>
      <c r="H3357" s="1">
        <f t="shared" si="768"/>
        <v>47</v>
      </c>
      <c r="I3357" s="1" t="str">
        <f t="shared" si="766"/>
        <v>='C:\Users\jaime.benazar\Quorum Business Solutions\Ecopetrol Prometeo - Documents\Planning Space Implementation\3. Analysis &amp; Design\Design\FC22\DRR Jaime\QUIFA-CAJÚA\Cajua\[VAS_CAJUA_CF_SEC_20230125.xlsx]CF PDP'!$BB$47</v>
      </c>
      <c r="J3357" s="1" t="s">
        <v>1620</v>
      </c>
    </row>
    <row r="3358" spans="1:10" x14ac:dyDescent="0.25">
      <c r="A3358" s="6" t="s">
        <v>1</v>
      </c>
      <c r="B3358" s="6">
        <f t="shared" si="767"/>
        <v>2035</v>
      </c>
      <c r="C3358" s="1" t="s">
        <v>49</v>
      </c>
      <c r="D3358" s="2" t="s">
        <v>128</v>
      </c>
      <c r="E3358" s="9" t="str">
        <f t="shared" si="765"/>
        <v>PDP'!</v>
      </c>
      <c r="F3358" s="5" t="str">
        <f t="shared" si="764"/>
        <v>C:\Users\jaime.benazar\Quorum Business Solutions\Ecopetrol Prometeo - Documents\Planning Space Implementation\3. Analysis &amp; Design\Design\FC22\DRR Jaime\QUIFA-CAJÚA\Cajua\[VAS_CAJUA_CF_SEC_20230125.xlsx]CF PDP'!</v>
      </c>
      <c r="G3358" s="6" t="s">
        <v>59</v>
      </c>
      <c r="H3358" s="1">
        <f t="shared" si="768"/>
        <v>48</v>
      </c>
      <c r="I3358" s="1" t="str">
        <f t="shared" si="766"/>
        <v>='C:\Users\jaime.benazar\Quorum Business Solutions\Ecopetrol Prometeo - Documents\Planning Space Implementation\3. Analysis &amp; Design\Design\FC22\DRR Jaime\QUIFA-CAJÚA\Cajua\[VAS_CAJUA_CF_SEC_20230125.xlsx]CF PDP'!$BB$48</v>
      </c>
      <c r="J3358" s="1" t="s">
        <v>1621</v>
      </c>
    </row>
    <row r="3359" spans="1:10" x14ac:dyDescent="0.25">
      <c r="A3359" s="6" t="s">
        <v>1</v>
      </c>
      <c r="B3359" s="6">
        <f t="shared" si="767"/>
        <v>2036</v>
      </c>
      <c r="C3359" s="1" t="s">
        <v>49</v>
      </c>
      <c r="D3359" s="2" t="s">
        <v>128</v>
      </c>
      <c r="E3359" s="9" t="str">
        <f t="shared" si="765"/>
        <v>PDP'!</v>
      </c>
      <c r="F3359" s="5" t="str">
        <f t="shared" si="764"/>
        <v>C:\Users\jaime.benazar\Quorum Business Solutions\Ecopetrol Prometeo - Documents\Planning Space Implementation\3. Analysis &amp; Design\Design\FC22\DRR Jaime\QUIFA-CAJÚA\Cajua\[VAS_CAJUA_CF_SEC_20230125.xlsx]CF PDP'!</v>
      </c>
      <c r="G3359" s="6" t="s">
        <v>59</v>
      </c>
      <c r="H3359" s="1">
        <f t="shared" si="768"/>
        <v>49</v>
      </c>
      <c r="I3359" s="1" t="str">
        <f t="shared" si="766"/>
        <v>='C:\Users\jaime.benazar\Quorum Business Solutions\Ecopetrol Prometeo - Documents\Planning Space Implementation\3. Analysis &amp; Design\Design\FC22\DRR Jaime\QUIFA-CAJÚA\Cajua\[VAS_CAJUA_CF_SEC_20230125.xlsx]CF PDP'!$BB$49</v>
      </c>
      <c r="J3359" s="1" t="s">
        <v>1622</v>
      </c>
    </row>
    <row r="3360" spans="1:10" x14ac:dyDescent="0.25">
      <c r="A3360" s="6" t="s">
        <v>1</v>
      </c>
      <c r="B3360" s="6">
        <f>+B3359+1</f>
        <v>2037</v>
      </c>
      <c r="C3360" s="1" t="s">
        <v>49</v>
      </c>
      <c r="D3360" s="2" t="s">
        <v>128</v>
      </c>
      <c r="E3360" s="9" t="str">
        <f t="shared" si="765"/>
        <v>PDP'!</v>
      </c>
      <c r="F3360" s="5" t="str">
        <f t="shared" si="764"/>
        <v>C:\Users\jaime.benazar\Quorum Business Solutions\Ecopetrol Prometeo - Documents\Planning Space Implementation\3. Analysis &amp; Design\Design\FC22\DRR Jaime\QUIFA-CAJÚA\Cajua\[VAS_CAJUA_CF_SEC_20230125.xlsx]CF PDP'!</v>
      </c>
      <c r="G3360" s="6" t="s">
        <v>59</v>
      </c>
      <c r="H3360" s="1">
        <f t="shared" si="768"/>
        <v>50</v>
      </c>
      <c r="I3360" s="1" t="str">
        <f t="shared" si="766"/>
        <v>='C:\Users\jaime.benazar\Quorum Business Solutions\Ecopetrol Prometeo - Documents\Planning Space Implementation\3. Analysis &amp; Design\Design\FC22\DRR Jaime\QUIFA-CAJÚA\Cajua\[VAS_CAJUA_CF_SEC_20230125.xlsx]CF PDP'!$BB$50</v>
      </c>
      <c r="J3360" s="1" t="s">
        <v>1623</v>
      </c>
    </row>
    <row r="3361" spans="1:10" x14ac:dyDescent="0.25">
      <c r="A3361" s="6" t="s">
        <v>1</v>
      </c>
      <c r="B3361" s="6">
        <f t="shared" si="767"/>
        <v>2038</v>
      </c>
      <c r="C3361" s="1" t="s">
        <v>49</v>
      </c>
      <c r="D3361" s="2" t="s">
        <v>128</v>
      </c>
      <c r="E3361" s="9" t="str">
        <f t="shared" si="765"/>
        <v>PDP'!</v>
      </c>
      <c r="F3361" s="5" t="str">
        <f t="shared" si="764"/>
        <v>C:\Users\jaime.benazar\Quorum Business Solutions\Ecopetrol Prometeo - Documents\Planning Space Implementation\3. Analysis &amp; Design\Design\FC22\DRR Jaime\QUIFA-CAJÚA\Cajua\[VAS_CAJUA_CF_SEC_20230125.xlsx]CF PDP'!</v>
      </c>
      <c r="G3361" s="6" t="s">
        <v>59</v>
      </c>
      <c r="H3361" s="1">
        <f t="shared" si="768"/>
        <v>51</v>
      </c>
      <c r="I3361" s="1" t="str">
        <f t="shared" si="766"/>
        <v>='C:\Users\jaime.benazar\Quorum Business Solutions\Ecopetrol Prometeo - Documents\Planning Space Implementation\3. Analysis &amp; Design\Design\FC22\DRR Jaime\QUIFA-CAJÚA\Cajua\[VAS_CAJUA_CF_SEC_20230125.xlsx]CF PDP'!$BB$51</v>
      </c>
      <c r="J3361" s="1" t="s">
        <v>1624</v>
      </c>
    </row>
    <row r="3362" spans="1:10" x14ac:dyDescent="0.25">
      <c r="A3362" s="6" t="s">
        <v>1</v>
      </c>
      <c r="B3362" s="6">
        <f t="shared" si="767"/>
        <v>2039</v>
      </c>
      <c r="C3362" s="1" t="s">
        <v>49</v>
      </c>
      <c r="D3362" s="2" t="s">
        <v>128</v>
      </c>
      <c r="E3362" s="9" t="str">
        <f t="shared" si="765"/>
        <v>PDP'!</v>
      </c>
      <c r="F3362" s="5" t="str">
        <f t="shared" si="764"/>
        <v>C:\Users\jaime.benazar\Quorum Business Solutions\Ecopetrol Prometeo - Documents\Planning Space Implementation\3. Analysis &amp; Design\Design\FC22\DRR Jaime\QUIFA-CAJÚA\Cajua\[VAS_CAJUA_CF_SEC_20230125.xlsx]CF PDP'!</v>
      </c>
      <c r="G3362" s="6" t="s">
        <v>59</v>
      </c>
      <c r="H3362" s="1">
        <f t="shared" si="768"/>
        <v>52</v>
      </c>
      <c r="I3362" s="1" t="str">
        <f t="shared" si="766"/>
        <v>='C:\Users\jaime.benazar\Quorum Business Solutions\Ecopetrol Prometeo - Documents\Planning Space Implementation\3. Analysis &amp; Design\Design\FC22\DRR Jaime\QUIFA-CAJÚA\Cajua\[VAS_CAJUA_CF_SEC_20230125.xlsx]CF PDP'!$BB$52</v>
      </c>
      <c r="J3362" s="1" t="s">
        <v>1625</v>
      </c>
    </row>
    <row r="3363" spans="1:10" x14ac:dyDescent="0.25">
      <c r="A3363" s="6" t="s">
        <v>1</v>
      </c>
      <c r="B3363" s="6">
        <f t="shared" si="767"/>
        <v>2040</v>
      </c>
      <c r="C3363" s="1" t="s">
        <v>49</v>
      </c>
      <c r="D3363" s="2" t="s">
        <v>128</v>
      </c>
      <c r="E3363" s="9" t="str">
        <f t="shared" si="765"/>
        <v>PDP'!</v>
      </c>
      <c r="F3363" s="5" t="str">
        <f t="shared" si="764"/>
        <v>C:\Users\jaime.benazar\Quorum Business Solutions\Ecopetrol Prometeo - Documents\Planning Space Implementation\3. Analysis &amp; Design\Design\FC22\DRR Jaime\QUIFA-CAJÚA\Cajua\[VAS_CAJUA_CF_SEC_20230125.xlsx]CF PDP'!</v>
      </c>
      <c r="G3363" s="6" t="s">
        <v>59</v>
      </c>
      <c r="H3363" s="1">
        <f t="shared" si="768"/>
        <v>53</v>
      </c>
      <c r="I3363" s="1" t="str">
        <f t="shared" si="766"/>
        <v>='C:\Users\jaime.benazar\Quorum Business Solutions\Ecopetrol Prometeo - Documents\Planning Space Implementation\3. Analysis &amp; Design\Design\FC22\DRR Jaime\QUIFA-CAJÚA\Cajua\[VAS_CAJUA_CF_SEC_20230125.xlsx]CF PDP'!$BB$53</v>
      </c>
      <c r="J3363" s="1" t="s">
        <v>1626</v>
      </c>
    </row>
    <row r="3364" spans="1:10" x14ac:dyDescent="0.25">
      <c r="A3364" s="6" t="s">
        <v>1</v>
      </c>
      <c r="B3364" s="6">
        <f>+B3363+1</f>
        <v>2041</v>
      </c>
      <c r="C3364" s="1" t="s">
        <v>49</v>
      </c>
      <c r="D3364" s="2" t="s">
        <v>128</v>
      </c>
      <c r="E3364" s="9" t="str">
        <f t="shared" si="765"/>
        <v>PDP'!</v>
      </c>
      <c r="F3364" s="5" t="str">
        <f t="shared" si="764"/>
        <v>C:\Users\jaime.benazar\Quorum Business Solutions\Ecopetrol Prometeo - Documents\Planning Space Implementation\3. Analysis &amp; Design\Design\FC22\DRR Jaime\QUIFA-CAJÚA\Cajua\[VAS_CAJUA_CF_SEC_20230125.xlsx]CF PDP'!</v>
      </c>
      <c r="G3364" s="6" t="s">
        <v>59</v>
      </c>
      <c r="H3364" s="1">
        <f t="shared" si="768"/>
        <v>54</v>
      </c>
      <c r="I3364" s="1" t="str">
        <f t="shared" si="766"/>
        <v>='C:\Users\jaime.benazar\Quorum Business Solutions\Ecopetrol Prometeo - Documents\Planning Space Implementation\3. Analysis &amp; Design\Design\FC22\DRR Jaime\QUIFA-CAJÚA\Cajua\[VAS_CAJUA_CF_SEC_20230125.xlsx]CF PDP'!$BB$54</v>
      </c>
      <c r="J3364" s="1" t="s">
        <v>1627</v>
      </c>
    </row>
    <row r="3365" spans="1:10" x14ac:dyDescent="0.25">
      <c r="A3365" s="6" t="s">
        <v>1</v>
      </c>
      <c r="B3365" s="6">
        <f t="shared" si="767"/>
        <v>2042</v>
      </c>
      <c r="C3365" s="1" t="s">
        <v>49</v>
      </c>
      <c r="D3365" s="2" t="s">
        <v>128</v>
      </c>
      <c r="E3365" s="9" t="str">
        <f t="shared" si="765"/>
        <v>PDP'!</v>
      </c>
      <c r="F3365" s="5" t="str">
        <f t="shared" si="764"/>
        <v>C:\Users\jaime.benazar\Quorum Business Solutions\Ecopetrol Prometeo - Documents\Planning Space Implementation\3. Analysis &amp; Design\Design\FC22\DRR Jaime\QUIFA-CAJÚA\Cajua\[VAS_CAJUA_CF_SEC_20230125.xlsx]CF PDP'!</v>
      </c>
      <c r="G3365" s="6" t="s">
        <v>59</v>
      </c>
      <c r="H3365" s="1">
        <f t="shared" si="768"/>
        <v>55</v>
      </c>
      <c r="I3365" s="1" t="str">
        <f t="shared" si="766"/>
        <v>='C:\Users\jaime.benazar\Quorum Business Solutions\Ecopetrol Prometeo - Documents\Planning Space Implementation\3. Analysis &amp; Design\Design\FC22\DRR Jaime\QUIFA-CAJÚA\Cajua\[VAS_CAJUA_CF_SEC_20230125.xlsx]CF PDP'!$BB$55</v>
      </c>
      <c r="J3365" s="1" t="s">
        <v>1628</v>
      </c>
    </row>
    <row r="3366" spans="1:10" x14ac:dyDescent="0.25">
      <c r="A3366" s="6" t="s">
        <v>1</v>
      </c>
      <c r="B3366" s="6">
        <f t="shared" si="767"/>
        <v>2043</v>
      </c>
      <c r="C3366" s="1" t="s">
        <v>49</v>
      </c>
      <c r="D3366" s="2" t="s">
        <v>128</v>
      </c>
      <c r="E3366" s="9" t="str">
        <f t="shared" si="765"/>
        <v>PDP'!</v>
      </c>
      <c r="F3366" s="5" t="str">
        <f t="shared" si="764"/>
        <v>C:\Users\jaime.benazar\Quorum Business Solutions\Ecopetrol Prometeo - Documents\Planning Space Implementation\3. Analysis &amp; Design\Design\FC22\DRR Jaime\QUIFA-CAJÚA\Cajua\[VAS_CAJUA_CF_SEC_20230125.xlsx]CF PDP'!</v>
      </c>
      <c r="G3366" s="6" t="s">
        <v>59</v>
      </c>
      <c r="H3366" s="1">
        <f t="shared" si="768"/>
        <v>56</v>
      </c>
      <c r="I3366" s="1" t="str">
        <f t="shared" si="766"/>
        <v>='C:\Users\jaime.benazar\Quorum Business Solutions\Ecopetrol Prometeo - Documents\Planning Space Implementation\3. Analysis &amp; Design\Design\FC22\DRR Jaime\QUIFA-CAJÚA\Cajua\[VAS_CAJUA_CF_SEC_20230125.xlsx]CF PDP'!$BB$56</v>
      </c>
      <c r="J3366" s="1" t="s">
        <v>1629</v>
      </c>
    </row>
    <row r="3367" spans="1:10" x14ac:dyDescent="0.25">
      <c r="A3367" s="6" t="s">
        <v>1</v>
      </c>
      <c r="B3367" s="6">
        <f>+B3366+1</f>
        <v>2044</v>
      </c>
      <c r="C3367" s="1" t="s">
        <v>49</v>
      </c>
      <c r="D3367" s="2" t="s">
        <v>128</v>
      </c>
      <c r="E3367" s="9" t="str">
        <f t="shared" ref="E3367:E3382" si="769">_xlfn.CONCAT(A3367,"'!")</f>
        <v>PDP'!</v>
      </c>
      <c r="F3367" s="5" t="str">
        <f t="shared" ref="F3367:F3382" si="770">_xlfn.CONCAT(D3367," ",E3367)</f>
        <v>C:\Users\jaime.benazar\Quorum Business Solutions\Ecopetrol Prometeo - Documents\Planning Space Implementation\3. Analysis &amp; Design\Design\FC22\DRR Jaime\QUIFA-CAJÚA\Cajua\[VAS_CAJUA_CF_SEC_20230125.xlsx]CF PDP'!</v>
      </c>
      <c r="G3367" s="6" t="s">
        <v>59</v>
      </c>
      <c r="H3367" s="1">
        <f t="shared" ref="H3367:H3382" si="771">IF(A3367&lt;&gt;A3366,36,H3366+1)</f>
        <v>57</v>
      </c>
      <c r="I3367" s="1" t="str">
        <f t="shared" ref="I3367:I3382" si="772">_xlfn.CONCAT("='",F3367:H3367)</f>
        <v>='C:\Users\jaime.benazar\Quorum Business Solutions\Ecopetrol Prometeo - Documents\Planning Space Implementation\3. Analysis &amp; Design\Design\FC22\DRR Jaime\QUIFA-CAJÚA\Cajua\[VAS_CAJUA_CF_SEC_20230125.xlsx]CF PDP'!$BB$57</v>
      </c>
      <c r="J3367" s="1" t="s">
        <v>1630</v>
      </c>
    </row>
    <row r="3368" spans="1:10" x14ac:dyDescent="0.25">
      <c r="A3368" s="6" t="s">
        <v>1</v>
      </c>
      <c r="B3368" s="6">
        <f t="shared" si="767"/>
        <v>2045</v>
      </c>
      <c r="C3368" s="1" t="s">
        <v>49</v>
      </c>
      <c r="D3368" s="2" t="s">
        <v>128</v>
      </c>
      <c r="E3368" s="9" t="str">
        <f t="shared" si="769"/>
        <v>PDP'!</v>
      </c>
      <c r="F3368" s="5" t="str">
        <f t="shared" si="770"/>
        <v>C:\Users\jaime.benazar\Quorum Business Solutions\Ecopetrol Prometeo - Documents\Planning Space Implementation\3. Analysis &amp; Design\Design\FC22\DRR Jaime\QUIFA-CAJÚA\Cajua\[VAS_CAJUA_CF_SEC_20230125.xlsx]CF PDP'!</v>
      </c>
      <c r="G3368" s="6" t="s">
        <v>59</v>
      </c>
      <c r="H3368" s="1">
        <f t="shared" si="771"/>
        <v>58</v>
      </c>
      <c r="I3368" s="1" t="str">
        <f t="shared" si="772"/>
        <v>='C:\Users\jaime.benazar\Quorum Business Solutions\Ecopetrol Prometeo - Documents\Planning Space Implementation\3. Analysis &amp; Design\Design\FC22\DRR Jaime\QUIFA-CAJÚA\Cajua\[VAS_CAJUA_CF_SEC_20230125.xlsx]CF PDP'!$BB$58</v>
      </c>
      <c r="J3368" s="1" t="s">
        <v>1631</v>
      </c>
    </row>
    <row r="3369" spans="1:10" x14ac:dyDescent="0.25">
      <c r="A3369" s="6" t="s">
        <v>1</v>
      </c>
      <c r="B3369" s="6">
        <f t="shared" si="767"/>
        <v>2046</v>
      </c>
      <c r="C3369" s="1" t="s">
        <v>49</v>
      </c>
      <c r="D3369" s="2" t="s">
        <v>128</v>
      </c>
      <c r="E3369" s="9" t="str">
        <f t="shared" si="769"/>
        <v>PDP'!</v>
      </c>
      <c r="F3369" s="5" t="str">
        <f t="shared" si="770"/>
        <v>C:\Users\jaime.benazar\Quorum Business Solutions\Ecopetrol Prometeo - Documents\Planning Space Implementation\3. Analysis &amp; Design\Design\FC22\DRR Jaime\QUIFA-CAJÚA\Cajua\[VAS_CAJUA_CF_SEC_20230125.xlsx]CF PDP'!</v>
      </c>
      <c r="G3369" s="6" t="s">
        <v>59</v>
      </c>
      <c r="H3369" s="1">
        <f t="shared" si="771"/>
        <v>59</v>
      </c>
      <c r="I3369" s="1" t="str">
        <f t="shared" si="772"/>
        <v>='C:\Users\jaime.benazar\Quorum Business Solutions\Ecopetrol Prometeo - Documents\Planning Space Implementation\3. Analysis &amp; Design\Design\FC22\DRR Jaime\QUIFA-CAJÚA\Cajua\[VAS_CAJUA_CF_SEC_20230125.xlsx]CF PDP'!$BB$59</v>
      </c>
      <c r="J3369" s="1" t="s">
        <v>1632</v>
      </c>
    </row>
    <row r="3370" spans="1:10" x14ac:dyDescent="0.25">
      <c r="A3370" s="6" t="s">
        <v>1</v>
      </c>
      <c r="B3370" s="6">
        <f t="shared" si="767"/>
        <v>2047</v>
      </c>
      <c r="C3370" s="1" t="s">
        <v>49</v>
      </c>
      <c r="D3370" s="2" t="s">
        <v>128</v>
      </c>
      <c r="E3370" s="9" t="str">
        <f t="shared" si="769"/>
        <v>PDP'!</v>
      </c>
      <c r="F3370" s="5" t="str">
        <f t="shared" si="770"/>
        <v>C:\Users\jaime.benazar\Quorum Business Solutions\Ecopetrol Prometeo - Documents\Planning Space Implementation\3. Analysis &amp; Design\Design\FC22\DRR Jaime\QUIFA-CAJÚA\Cajua\[VAS_CAJUA_CF_SEC_20230125.xlsx]CF PDP'!</v>
      </c>
      <c r="G3370" s="6" t="s">
        <v>59</v>
      </c>
      <c r="H3370" s="1">
        <f t="shared" si="771"/>
        <v>60</v>
      </c>
      <c r="I3370" s="1" t="str">
        <f t="shared" si="772"/>
        <v>='C:\Users\jaime.benazar\Quorum Business Solutions\Ecopetrol Prometeo - Documents\Planning Space Implementation\3. Analysis &amp; Design\Design\FC22\DRR Jaime\QUIFA-CAJÚA\Cajua\[VAS_CAJUA_CF_SEC_20230125.xlsx]CF PDP'!$BB$60</v>
      </c>
      <c r="J3370" s="1" t="s">
        <v>1633</v>
      </c>
    </row>
    <row r="3371" spans="1:10" x14ac:dyDescent="0.25">
      <c r="A3371" s="6" t="s">
        <v>1</v>
      </c>
      <c r="B3371" s="6">
        <f t="shared" si="767"/>
        <v>2048</v>
      </c>
      <c r="C3371" s="1" t="s">
        <v>49</v>
      </c>
      <c r="D3371" s="2" t="s">
        <v>128</v>
      </c>
      <c r="E3371" s="9" t="str">
        <f t="shared" si="769"/>
        <v>PDP'!</v>
      </c>
      <c r="F3371" s="5" t="str">
        <f t="shared" si="770"/>
        <v>C:\Users\jaime.benazar\Quorum Business Solutions\Ecopetrol Prometeo - Documents\Planning Space Implementation\3. Analysis &amp; Design\Design\FC22\DRR Jaime\QUIFA-CAJÚA\Cajua\[VAS_CAJUA_CF_SEC_20230125.xlsx]CF PDP'!</v>
      </c>
      <c r="G3371" s="6" t="s">
        <v>59</v>
      </c>
      <c r="H3371" s="1">
        <f t="shared" si="771"/>
        <v>61</v>
      </c>
      <c r="I3371" s="1" t="str">
        <f t="shared" si="772"/>
        <v>='C:\Users\jaime.benazar\Quorum Business Solutions\Ecopetrol Prometeo - Documents\Planning Space Implementation\3. Analysis &amp; Design\Design\FC22\DRR Jaime\QUIFA-CAJÚA\Cajua\[VAS_CAJUA_CF_SEC_20230125.xlsx]CF PDP'!$BB$61</v>
      </c>
      <c r="J3371" s="1" t="s">
        <v>1634</v>
      </c>
    </row>
    <row r="3372" spans="1:10" x14ac:dyDescent="0.25">
      <c r="A3372" s="6" t="s">
        <v>1</v>
      </c>
      <c r="B3372" s="6">
        <f t="shared" si="767"/>
        <v>2049</v>
      </c>
      <c r="C3372" s="1" t="s">
        <v>49</v>
      </c>
      <c r="D3372" s="2" t="s">
        <v>128</v>
      </c>
      <c r="E3372" s="9" t="str">
        <f t="shared" si="769"/>
        <v>PDP'!</v>
      </c>
      <c r="F3372" s="5" t="str">
        <f t="shared" si="770"/>
        <v>C:\Users\jaime.benazar\Quorum Business Solutions\Ecopetrol Prometeo - Documents\Planning Space Implementation\3. Analysis &amp; Design\Design\FC22\DRR Jaime\QUIFA-CAJÚA\Cajua\[VAS_CAJUA_CF_SEC_20230125.xlsx]CF PDP'!</v>
      </c>
      <c r="G3372" s="6" t="s">
        <v>59</v>
      </c>
      <c r="H3372" s="1">
        <f t="shared" si="771"/>
        <v>62</v>
      </c>
      <c r="I3372" s="1" t="str">
        <f t="shared" si="772"/>
        <v>='C:\Users\jaime.benazar\Quorum Business Solutions\Ecopetrol Prometeo - Documents\Planning Space Implementation\3. Analysis &amp; Design\Design\FC22\DRR Jaime\QUIFA-CAJÚA\Cajua\[VAS_CAJUA_CF_SEC_20230125.xlsx]CF PDP'!$BB$62</v>
      </c>
      <c r="J3372" s="1" t="s">
        <v>1635</v>
      </c>
    </row>
    <row r="3373" spans="1:10" x14ac:dyDescent="0.25">
      <c r="A3373" s="6" t="s">
        <v>1</v>
      </c>
      <c r="B3373" s="6">
        <f t="shared" si="767"/>
        <v>2050</v>
      </c>
      <c r="C3373" s="1" t="s">
        <v>49</v>
      </c>
      <c r="D3373" s="2" t="s">
        <v>128</v>
      </c>
      <c r="E3373" s="9" t="str">
        <f t="shared" si="769"/>
        <v>PDP'!</v>
      </c>
      <c r="F3373" s="5" t="str">
        <f t="shared" si="770"/>
        <v>C:\Users\jaime.benazar\Quorum Business Solutions\Ecopetrol Prometeo - Documents\Planning Space Implementation\3. Analysis &amp; Design\Design\FC22\DRR Jaime\QUIFA-CAJÚA\Cajua\[VAS_CAJUA_CF_SEC_20230125.xlsx]CF PDP'!</v>
      </c>
      <c r="G3373" s="6" t="s">
        <v>59</v>
      </c>
      <c r="H3373" s="1">
        <f t="shared" si="771"/>
        <v>63</v>
      </c>
      <c r="I3373" s="1" t="str">
        <f t="shared" si="772"/>
        <v>='C:\Users\jaime.benazar\Quorum Business Solutions\Ecopetrol Prometeo - Documents\Planning Space Implementation\3. Analysis &amp; Design\Design\FC22\DRR Jaime\QUIFA-CAJÚA\Cajua\[VAS_CAJUA_CF_SEC_20230125.xlsx]CF PDP'!$BB$63</v>
      </c>
      <c r="J3373" s="1" t="s">
        <v>1636</v>
      </c>
    </row>
    <row r="3374" spans="1:10" x14ac:dyDescent="0.25">
      <c r="A3374" s="6" t="s">
        <v>1</v>
      </c>
      <c r="B3374" s="6">
        <f t="shared" si="767"/>
        <v>2051</v>
      </c>
      <c r="C3374" s="1" t="s">
        <v>49</v>
      </c>
      <c r="D3374" s="2" t="s">
        <v>128</v>
      </c>
      <c r="E3374" s="9" t="str">
        <f t="shared" si="769"/>
        <v>PDP'!</v>
      </c>
      <c r="F3374" s="5" t="str">
        <f t="shared" si="770"/>
        <v>C:\Users\jaime.benazar\Quorum Business Solutions\Ecopetrol Prometeo - Documents\Planning Space Implementation\3. Analysis &amp; Design\Design\FC22\DRR Jaime\QUIFA-CAJÚA\Cajua\[VAS_CAJUA_CF_SEC_20230125.xlsx]CF PDP'!</v>
      </c>
      <c r="G3374" s="6" t="s">
        <v>59</v>
      </c>
      <c r="H3374" s="1">
        <f t="shared" si="771"/>
        <v>64</v>
      </c>
      <c r="I3374" s="1" t="str">
        <f t="shared" si="772"/>
        <v>='C:\Users\jaime.benazar\Quorum Business Solutions\Ecopetrol Prometeo - Documents\Planning Space Implementation\3. Analysis &amp; Design\Design\FC22\DRR Jaime\QUIFA-CAJÚA\Cajua\[VAS_CAJUA_CF_SEC_20230125.xlsx]CF PDP'!$BB$64</v>
      </c>
      <c r="J3374" s="1" t="s">
        <v>1637</v>
      </c>
    </row>
    <row r="3375" spans="1:10" x14ac:dyDescent="0.25">
      <c r="A3375" s="6" t="s">
        <v>1</v>
      </c>
      <c r="B3375" s="6">
        <f t="shared" si="767"/>
        <v>2052</v>
      </c>
      <c r="C3375" s="1" t="s">
        <v>49</v>
      </c>
      <c r="D3375" s="2" t="s">
        <v>128</v>
      </c>
      <c r="E3375" s="9" t="str">
        <f t="shared" si="769"/>
        <v>PDP'!</v>
      </c>
      <c r="F3375" s="5" t="str">
        <f t="shared" si="770"/>
        <v>C:\Users\jaime.benazar\Quorum Business Solutions\Ecopetrol Prometeo - Documents\Planning Space Implementation\3. Analysis &amp; Design\Design\FC22\DRR Jaime\QUIFA-CAJÚA\Cajua\[VAS_CAJUA_CF_SEC_20230125.xlsx]CF PDP'!</v>
      </c>
      <c r="G3375" s="6" t="s">
        <v>59</v>
      </c>
      <c r="H3375" s="1">
        <f t="shared" si="771"/>
        <v>65</v>
      </c>
      <c r="I3375" s="1" t="str">
        <f t="shared" si="772"/>
        <v>='C:\Users\jaime.benazar\Quorum Business Solutions\Ecopetrol Prometeo - Documents\Planning Space Implementation\3. Analysis &amp; Design\Design\FC22\DRR Jaime\QUIFA-CAJÚA\Cajua\[VAS_CAJUA_CF_SEC_20230125.xlsx]CF PDP'!$BB$65</v>
      </c>
      <c r="J3375" s="1" t="s">
        <v>1638</v>
      </c>
    </row>
    <row r="3376" spans="1:10" x14ac:dyDescent="0.25">
      <c r="A3376" s="6" t="s">
        <v>1</v>
      </c>
      <c r="B3376" s="6">
        <f t="shared" si="767"/>
        <v>2053</v>
      </c>
      <c r="C3376" s="1" t="s">
        <v>49</v>
      </c>
      <c r="D3376" s="2" t="s">
        <v>128</v>
      </c>
      <c r="E3376" s="9" t="str">
        <f t="shared" si="769"/>
        <v>PDP'!</v>
      </c>
      <c r="F3376" s="5" t="str">
        <f t="shared" si="770"/>
        <v>C:\Users\jaime.benazar\Quorum Business Solutions\Ecopetrol Prometeo - Documents\Planning Space Implementation\3. Analysis &amp; Design\Design\FC22\DRR Jaime\QUIFA-CAJÚA\Cajua\[VAS_CAJUA_CF_SEC_20230125.xlsx]CF PDP'!</v>
      </c>
      <c r="G3376" s="6" t="s">
        <v>59</v>
      </c>
      <c r="H3376" s="1">
        <f t="shared" si="771"/>
        <v>66</v>
      </c>
      <c r="I3376" s="1" t="str">
        <f t="shared" si="772"/>
        <v>='C:\Users\jaime.benazar\Quorum Business Solutions\Ecopetrol Prometeo - Documents\Planning Space Implementation\3. Analysis &amp; Design\Design\FC22\DRR Jaime\QUIFA-CAJÚA\Cajua\[VAS_CAJUA_CF_SEC_20230125.xlsx]CF PDP'!$BB$66</v>
      </c>
      <c r="J3376" s="1" t="s">
        <v>1639</v>
      </c>
    </row>
    <row r="3377" spans="1:10" x14ac:dyDescent="0.25">
      <c r="A3377" s="6" t="s">
        <v>1</v>
      </c>
      <c r="B3377" s="6">
        <f t="shared" si="767"/>
        <v>2054</v>
      </c>
      <c r="C3377" s="1" t="s">
        <v>49</v>
      </c>
      <c r="D3377" s="2" t="s">
        <v>128</v>
      </c>
      <c r="E3377" s="9" t="str">
        <f t="shared" si="769"/>
        <v>PDP'!</v>
      </c>
      <c r="F3377" s="5" t="str">
        <f t="shared" si="770"/>
        <v>C:\Users\jaime.benazar\Quorum Business Solutions\Ecopetrol Prometeo - Documents\Planning Space Implementation\3. Analysis &amp; Design\Design\FC22\DRR Jaime\QUIFA-CAJÚA\Cajua\[VAS_CAJUA_CF_SEC_20230125.xlsx]CF PDP'!</v>
      </c>
      <c r="G3377" s="6" t="s">
        <v>59</v>
      </c>
      <c r="H3377" s="1">
        <f t="shared" si="771"/>
        <v>67</v>
      </c>
      <c r="I3377" s="1" t="str">
        <f t="shared" si="772"/>
        <v>='C:\Users\jaime.benazar\Quorum Business Solutions\Ecopetrol Prometeo - Documents\Planning Space Implementation\3. Analysis &amp; Design\Design\FC22\DRR Jaime\QUIFA-CAJÚA\Cajua\[VAS_CAJUA_CF_SEC_20230125.xlsx]CF PDP'!$BB$67</v>
      </c>
      <c r="J3377" s="1" t="s">
        <v>1640</v>
      </c>
    </row>
    <row r="3378" spans="1:10" x14ac:dyDescent="0.25">
      <c r="A3378" s="6" t="s">
        <v>1</v>
      </c>
      <c r="B3378" s="6">
        <f t="shared" si="767"/>
        <v>2055</v>
      </c>
      <c r="C3378" s="1" t="s">
        <v>49</v>
      </c>
      <c r="D3378" s="2" t="s">
        <v>128</v>
      </c>
      <c r="E3378" s="9" t="str">
        <f t="shared" si="769"/>
        <v>PDP'!</v>
      </c>
      <c r="F3378" s="5" t="str">
        <f t="shared" si="770"/>
        <v>C:\Users\jaime.benazar\Quorum Business Solutions\Ecopetrol Prometeo - Documents\Planning Space Implementation\3. Analysis &amp; Design\Design\FC22\DRR Jaime\QUIFA-CAJÚA\Cajua\[VAS_CAJUA_CF_SEC_20230125.xlsx]CF PDP'!</v>
      </c>
      <c r="G3378" s="6" t="s">
        <v>59</v>
      </c>
      <c r="H3378" s="1">
        <f t="shared" si="771"/>
        <v>68</v>
      </c>
      <c r="I3378" s="1" t="str">
        <f t="shared" si="772"/>
        <v>='C:\Users\jaime.benazar\Quorum Business Solutions\Ecopetrol Prometeo - Documents\Planning Space Implementation\3. Analysis &amp; Design\Design\FC22\DRR Jaime\QUIFA-CAJÚA\Cajua\[VAS_CAJUA_CF_SEC_20230125.xlsx]CF PDP'!$BB$68</v>
      </c>
      <c r="J3378" s="1" t="s">
        <v>1641</v>
      </c>
    </row>
    <row r="3379" spans="1:10" x14ac:dyDescent="0.25">
      <c r="A3379" s="6" t="s">
        <v>1</v>
      </c>
      <c r="B3379" s="6">
        <f t="shared" si="767"/>
        <v>2056</v>
      </c>
      <c r="C3379" s="1" t="s">
        <v>49</v>
      </c>
      <c r="D3379" s="2" t="s">
        <v>128</v>
      </c>
      <c r="E3379" s="9" t="str">
        <f t="shared" si="769"/>
        <v>PDP'!</v>
      </c>
      <c r="F3379" s="5" t="str">
        <f t="shared" si="770"/>
        <v>C:\Users\jaime.benazar\Quorum Business Solutions\Ecopetrol Prometeo - Documents\Planning Space Implementation\3. Analysis &amp; Design\Design\FC22\DRR Jaime\QUIFA-CAJÚA\Cajua\[VAS_CAJUA_CF_SEC_20230125.xlsx]CF PDP'!</v>
      </c>
      <c r="G3379" s="6" t="s">
        <v>59</v>
      </c>
      <c r="H3379" s="1">
        <f t="shared" si="771"/>
        <v>69</v>
      </c>
      <c r="I3379" s="1" t="str">
        <f t="shared" si="772"/>
        <v>='C:\Users\jaime.benazar\Quorum Business Solutions\Ecopetrol Prometeo - Documents\Planning Space Implementation\3. Analysis &amp; Design\Design\FC22\DRR Jaime\QUIFA-CAJÚA\Cajua\[VAS_CAJUA_CF_SEC_20230125.xlsx]CF PDP'!$BB$69</v>
      </c>
      <c r="J3379" s="1" t="s">
        <v>1642</v>
      </c>
    </row>
    <row r="3380" spans="1:10" x14ac:dyDescent="0.25">
      <c r="A3380" s="6" t="s">
        <v>1</v>
      </c>
      <c r="B3380" s="6">
        <f t="shared" si="767"/>
        <v>2057</v>
      </c>
      <c r="C3380" s="1" t="s">
        <v>49</v>
      </c>
      <c r="D3380" s="2" t="s">
        <v>128</v>
      </c>
      <c r="E3380" s="9" t="str">
        <f t="shared" si="769"/>
        <v>PDP'!</v>
      </c>
      <c r="F3380" s="5" t="str">
        <f t="shared" si="770"/>
        <v>C:\Users\jaime.benazar\Quorum Business Solutions\Ecopetrol Prometeo - Documents\Planning Space Implementation\3. Analysis &amp; Design\Design\FC22\DRR Jaime\QUIFA-CAJÚA\Cajua\[VAS_CAJUA_CF_SEC_20230125.xlsx]CF PDP'!</v>
      </c>
      <c r="G3380" s="6" t="s">
        <v>59</v>
      </c>
      <c r="H3380" s="1">
        <f t="shared" si="771"/>
        <v>70</v>
      </c>
      <c r="I3380" s="1" t="str">
        <f t="shared" si="772"/>
        <v>='C:\Users\jaime.benazar\Quorum Business Solutions\Ecopetrol Prometeo - Documents\Planning Space Implementation\3. Analysis &amp; Design\Design\FC22\DRR Jaime\QUIFA-CAJÚA\Cajua\[VAS_CAJUA_CF_SEC_20230125.xlsx]CF PDP'!$BB$70</v>
      </c>
      <c r="J3380" s="1" t="s">
        <v>1643</v>
      </c>
    </row>
    <row r="3381" spans="1:10" x14ac:dyDescent="0.25">
      <c r="A3381" s="6" t="s">
        <v>1</v>
      </c>
      <c r="B3381" s="6">
        <f t="shared" si="767"/>
        <v>2058</v>
      </c>
      <c r="C3381" s="1" t="s">
        <v>49</v>
      </c>
      <c r="D3381" s="2" t="s">
        <v>128</v>
      </c>
      <c r="E3381" s="9" t="str">
        <f t="shared" si="769"/>
        <v>PDP'!</v>
      </c>
      <c r="F3381" s="5" t="str">
        <f t="shared" si="770"/>
        <v>C:\Users\jaime.benazar\Quorum Business Solutions\Ecopetrol Prometeo - Documents\Planning Space Implementation\3. Analysis &amp; Design\Design\FC22\DRR Jaime\QUIFA-CAJÚA\Cajua\[VAS_CAJUA_CF_SEC_20230125.xlsx]CF PDP'!</v>
      </c>
      <c r="G3381" s="6" t="s">
        <v>59</v>
      </c>
      <c r="H3381" s="1">
        <f t="shared" si="771"/>
        <v>71</v>
      </c>
      <c r="I3381" s="1" t="str">
        <f t="shared" si="772"/>
        <v>='C:\Users\jaime.benazar\Quorum Business Solutions\Ecopetrol Prometeo - Documents\Planning Space Implementation\3. Analysis &amp; Design\Design\FC22\DRR Jaime\QUIFA-CAJÚA\Cajua\[VAS_CAJUA_CF_SEC_20230125.xlsx]CF PDP'!$BB$71</v>
      </c>
      <c r="J3381" s="1" t="s">
        <v>1644</v>
      </c>
    </row>
    <row r="3382" spans="1:10" x14ac:dyDescent="0.25">
      <c r="A3382" s="6" t="s">
        <v>1</v>
      </c>
      <c r="B3382" s="6">
        <f t="shared" si="767"/>
        <v>2059</v>
      </c>
      <c r="C3382" s="1" t="s">
        <v>49</v>
      </c>
      <c r="D3382" s="2" t="s">
        <v>128</v>
      </c>
      <c r="E3382" s="9" t="str">
        <f t="shared" si="769"/>
        <v>PDP'!</v>
      </c>
      <c r="F3382" s="5" t="str">
        <f t="shared" si="770"/>
        <v>C:\Users\jaime.benazar\Quorum Business Solutions\Ecopetrol Prometeo - Documents\Planning Space Implementation\3. Analysis &amp; Design\Design\FC22\DRR Jaime\QUIFA-CAJÚA\Cajua\[VAS_CAJUA_CF_SEC_20230125.xlsx]CF PDP'!</v>
      </c>
      <c r="G3382" s="6" t="s">
        <v>59</v>
      </c>
      <c r="H3382" s="1">
        <f t="shared" si="771"/>
        <v>72</v>
      </c>
      <c r="I3382" s="1" t="str">
        <f t="shared" si="772"/>
        <v>='C:\Users\jaime.benazar\Quorum Business Solutions\Ecopetrol Prometeo - Documents\Planning Space Implementation\3. Analysis &amp; Design\Design\FC22\DRR Jaime\QUIFA-CAJÚA\Cajua\[VAS_CAJUA_CF_SEC_20230125.xlsx]CF PDP'!$BB$72</v>
      </c>
      <c r="J3382" s="1" t="s">
        <v>1645</v>
      </c>
    </row>
    <row r="3383" spans="1:10" x14ac:dyDescent="0.25">
      <c r="A3383" s="6" t="s">
        <v>28</v>
      </c>
      <c r="B3383" s="6"/>
      <c r="C3383" s="1" t="s">
        <v>49</v>
      </c>
      <c r="D3383" s="2"/>
      <c r="E3383" s="9" t="str">
        <f t="shared" si="765"/>
        <v>Total'!</v>
      </c>
      <c r="F3383" s="2"/>
      <c r="G3383" s="6"/>
      <c r="H3383" s="1"/>
      <c r="I3383" s="1"/>
      <c r="J3383" s="4"/>
    </row>
    <row r="3384" spans="1:10" x14ac:dyDescent="0.25">
      <c r="A3384" s="6" t="s">
        <v>2</v>
      </c>
      <c r="B3384" s="6">
        <v>2023</v>
      </c>
      <c r="C3384" s="1" t="s">
        <v>49</v>
      </c>
      <c r="D3384" s="2" t="s">
        <v>128</v>
      </c>
      <c r="E3384" s="9" t="str">
        <f t="shared" si="765"/>
        <v>PNP'!</v>
      </c>
      <c r="F3384" s="5" t="str">
        <f t="shared" ref="F3384:F3404" si="773">_xlfn.CONCAT(D3384," ",E3384)</f>
        <v>C:\Users\jaime.benazar\Quorum Business Solutions\Ecopetrol Prometeo - Documents\Planning Space Implementation\3. Analysis &amp; Design\Design\FC22\DRR Jaime\QUIFA-CAJÚA\Cajua\[VAS_CAJUA_CF_SEC_20230125.xlsx]CF PNP'!</v>
      </c>
      <c r="G3384" s="6" t="s">
        <v>59</v>
      </c>
      <c r="H3384" s="1">
        <f>IF(A3384&lt;&gt;A3368,36,H3368+1)</f>
        <v>36</v>
      </c>
      <c r="I3384" s="1" t="str">
        <f t="shared" ref="I3384:I3404" si="774">_xlfn.CONCAT("='",F3384:H3384)</f>
        <v>='C:\Users\jaime.benazar\Quorum Business Solutions\Ecopetrol Prometeo - Documents\Planning Space Implementation\3. Analysis &amp; Design\Design\FC22\DRR Jaime\QUIFA-CAJÚA\Cajua\[VAS_CAJUA_CF_SEC_20230125.xlsx]CF PNP'!$BB$36</v>
      </c>
      <c r="J3384" s="1" t="s">
        <v>1646</v>
      </c>
    </row>
    <row r="3385" spans="1:10" x14ac:dyDescent="0.25">
      <c r="A3385" s="6" t="s">
        <v>2</v>
      </c>
      <c r="B3385" s="6">
        <f>+B3384+1</f>
        <v>2024</v>
      </c>
      <c r="C3385" s="1" t="s">
        <v>49</v>
      </c>
      <c r="D3385" s="2" t="s">
        <v>128</v>
      </c>
      <c r="E3385" s="9" t="str">
        <f t="shared" si="765"/>
        <v>PNP'!</v>
      </c>
      <c r="F3385" s="5" t="str">
        <f t="shared" si="773"/>
        <v>C:\Users\jaime.benazar\Quorum Business Solutions\Ecopetrol Prometeo - Documents\Planning Space Implementation\3. Analysis &amp; Design\Design\FC22\DRR Jaime\QUIFA-CAJÚA\Cajua\[VAS_CAJUA_CF_SEC_20230125.xlsx]CF PNP'!</v>
      </c>
      <c r="G3385" s="6" t="s">
        <v>59</v>
      </c>
      <c r="H3385" s="1">
        <f t="shared" ref="H3385:H3404" si="775">IF(A3385&lt;&gt;A3384,36,H3384+1)</f>
        <v>37</v>
      </c>
      <c r="I3385" s="1" t="str">
        <f t="shared" si="774"/>
        <v>='C:\Users\jaime.benazar\Quorum Business Solutions\Ecopetrol Prometeo - Documents\Planning Space Implementation\3. Analysis &amp; Design\Design\FC22\DRR Jaime\QUIFA-CAJÚA\Cajua\[VAS_CAJUA_CF_SEC_20230125.xlsx]CF PNP'!$BB$37</v>
      </c>
      <c r="J3385" s="1" t="s">
        <v>1647</v>
      </c>
    </row>
    <row r="3386" spans="1:10" x14ac:dyDescent="0.25">
      <c r="A3386" s="6" t="s">
        <v>2</v>
      </c>
      <c r="B3386" s="6">
        <f t="shared" ref="B3386:B3397" si="776">+B3385+1</f>
        <v>2025</v>
      </c>
      <c r="C3386" s="1" t="s">
        <v>49</v>
      </c>
      <c r="D3386" s="2" t="s">
        <v>128</v>
      </c>
      <c r="E3386" s="9" t="str">
        <f t="shared" si="765"/>
        <v>PNP'!</v>
      </c>
      <c r="F3386" s="5" t="str">
        <f t="shared" si="773"/>
        <v>C:\Users\jaime.benazar\Quorum Business Solutions\Ecopetrol Prometeo - Documents\Planning Space Implementation\3. Analysis &amp; Design\Design\FC22\DRR Jaime\QUIFA-CAJÚA\Cajua\[VAS_CAJUA_CF_SEC_20230125.xlsx]CF PNP'!</v>
      </c>
      <c r="G3386" s="6" t="s">
        <v>59</v>
      </c>
      <c r="H3386" s="1">
        <f t="shared" si="775"/>
        <v>38</v>
      </c>
      <c r="I3386" s="1" t="str">
        <f t="shared" si="774"/>
        <v>='C:\Users\jaime.benazar\Quorum Business Solutions\Ecopetrol Prometeo - Documents\Planning Space Implementation\3. Analysis &amp; Design\Design\FC22\DRR Jaime\QUIFA-CAJÚA\Cajua\[VAS_CAJUA_CF_SEC_20230125.xlsx]CF PNP'!$BB$38</v>
      </c>
      <c r="J3386" s="1" t="s">
        <v>1648</v>
      </c>
    </row>
    <row r="3387" spans="1:10" x14ac:dyDescent="0.25">
      <c r="A3387" s="6" t="s">
        <v>2</v>
      </c>
      <c r="B3387" s="6">
        <f t="shared" si="776"/>
        <v>2026</v>
      </c>
      <c r="C3387" s="1" t="s">
        <v>49</v>
      </c>
      <c r="D3387" s="2" t="s">
        <v>128</v>
      </c>
      <c r="E3387" s="9" t="str">
        <f t="shared" si="765"/>
        <v>PNP'!</v>
      </c>
      <c r="F3387" s="5" t="str">
        <f t="shared" si="773"/>
        <v>C:\Users\jaime.benazar\Quorum Business Solutions\Ecopetrol Prometeo - Documents\Planning Space Implementation\3. Analysis &amp; Design\Design\FC22\DRR Jaime\QUIFA-CAJÚA\Cajua\[VAS_CAJUA_CF_SEC_20230125.xlsx]CF PNP'!</v>
      </c>
      <c r="G3387" s="6" t="s">
        <v>59</v>
      </c>
      <c r="H3387" s="1">
        <f t="shared" si="775"/>
        <v>39</v>
      </c>
      <c r="I3387" s="1" t="str">
        <f t="shared" si="774"/>
        <v>='C:\Users\jaime.benazar\Quorum Business Solutions\Ecopetrol Prometeo - Documents\Planning Space Implementation\3. Analysis &amp; Design\Design\FC22\DRR Jaime\QUIFA-CAJÚA\Cajua\[VAS_CAJUA_CF_SEC_20230125.xlsx]CF PNP'!$BB$39</v>
      </c>
      <c r="J3387" s="1" t="s">
        <v>1649</v>
      </c>
    </row>
    <row r="3388" spans="1:10" x14ac:dyDescent="0.25">
      <c r="A3388" s="6" t="s">
        <v>2</v>
      </c>
      <c r="B3388" s="6">
        <f t="shared" si="776"/>
        <v>2027</v>
      </c>
      <c r="C3388" s="1" t="s">
        <v>49</v>
      </c>
      <c r="D3388" s="2" t="s">
        <v>128</v>
      </c>
      <c r="E3388" s="9" t="str">
        <f t="shared" si="765"/>
        <v>PNP'!</v>
      </c>
      <c r="F3388" s="5" t="str">
        <f t="shared" si="773"/>
        <v>C:\Users\jaime.benazar\Quorum Business Solutions\Ecopetrol Prometeo - Documents\Planning Space Implementation\3. Analysis &amp; Design\Design\FC22\DRR Jaime\QUIFA-CAJÚA\Cajua\[VAS_CAJUA_CF_SEC_20230125.xlsx]CF PNP'!</v>
      </c>
      <c r="G3388" s="6" t="s">
        <v>59</v>
      </c>
      <c r="H3388" s="1">
        <f t="shared" si="775"/>
        <v>40</v>
      </c>
      <c r="I3388" s="1" t="str">
        <f t="shared" si="774"/>
        <v>='C:\Users\jaime.benazar\Quorum Business Solutions\Ecopetrol Prometeo - Documents\Planning Space Implementation\3. Analysis &amp; Design\Design\FC22\DRR Jaime\QUIFA-CAJÚA\Cajua\[VAS_CAJUA_CF_SEC_20230125.xlsx]CF PNP'!$BB$40</v>
      </c>
      <c r="J3388" s="1" t="s">
        <v>1650</v>
      </c>
    </row>
    <row r="3389" spans="1:10" x14ac:dyDescent="0.25">
      <c r="A3389" s="6" t="s">
        <v>2</v>
      </c>
      <c r="B3389" s="6">
        <f t="shared" si="776"/>
        <v>2028</v>
      </c>
      <c r="C3389" s="1" t="s">
        <v>49</v>
      </c>
      <c r="D3389" s="2" t="s">
        <v>128</v>
      </c>
      <c r="E3389" s="9" t="str">
        <f t="shared" si="765"/>
        <v>PNP'!</v>
      </c>
      <c r="F3389" s="5" t="str">
        <f t="shared" si="773"/>
        <v>C:\Users\jaime.benazar\Quorum Business Solutions\Ecopetrol Prometeo - Documents\Planning Space Implementation\3. Analysis &amp; Design\Design\FC22\DRR Jaime\QUIFA-CAJÚA\Cajua\[VAS_CAJUA_CF_SEC_20230125.xlsx]CF PNP'!</v>
      </c>
      <c r="G3389" s="6" t="s">
        <v>59</v>
      </c>
      <c r="H3389" s="1">
        <f t="shared" si="775"/>
        <v>41</v>
      </c>
      <c r="I3389" s="1" t="str">
        <f t="shared" si="774"/>
        <v>='C:\Users\jaime.benazar\Quorum Business Solutions\Ecopetrol Prometeo - Documents\Planning Space Implementation\3. Analysis &amp; Design\Design\FC22\DRR Jaime\QUIFA-CAJÚA\Cajua\[VAS_CAJUA_CF_SEC_20230125.xlsx]CF PNP'!$BB$41</v>
      </c>
      <c r="J3389" s="1" t="s">
        <v>1651</v>
      </c>
    </row>
    <row r="3390" spans="1:10" x14ac:dyDescent="0.25">
      <c r="A3390" s="6" t="s">
        <v>2</v>
      </c>
      <c r="B3390" s="6">
        <f t="shared" si="776"/>
        <v>2029</v>
      </c>
      <c r="C3390" s="1" t="s">
        <v>49</v>
      </c>
      <c r="D3390" s="2" t="s">
        <v>128</v>
      </c>
      <c r="E3390" s="9" t="str">
        <f t="shared" si="765"/>
        <v>PNP'!</v>
      </c>
      <c r="F3390" s="5" t="str">
        <f t="shared" si="773"/>
        <v>C:\Users\jaime.benazar\Quorum Business Solutions\Ecopetrol Prometeo - Documents\Planning Space Implementation\3. Analysis &amp; Design\Design\FC22\DRR Jaime\QUIFA-CAJÚA\Cajua\[VAS_CAJUA_CF_SEC_20230125.xlsx]CF PNP'!</v>
      </c>
      <c r="G3390" s="6" t="s">
        <v>59</v>
      </c>
      <c r="H3390" s="1">
        <f t="shared" si="775"/>
        <v>42</v>
      </c>
      <c r="I3390" s="1" t="str">
        <f t="shared" si="774"/>
        <v>='C:\Users\jaime.benazar\Quorum Business Solutions\Ecopetrol Prometeo - Documents\Planning Space Implementation\3. Analysis &amp; Design\Design\FC22\DRR Jaime\QUIFA-CAJÚA\Cajua\[VAS_CAJUA_CF_SEC_20230125.xlsx]CF PNP'!$BB$42</v>
      </c>
      <c r="J3390" s="1" t="s">
        <v>1652</v>
      </c>
    </row>
    <row r="3391" spans="1:10" x14ac:dyDescent="0.25">
      <c r="A3391" s="6" t="s">
        <v>2</v>
      </c>
      <c r="B3391" s="6">
        <f t="shared" si="776"/>
        <v>2030</v>
      </c>
      <c r="C3391" s="1" t="s">
        <v>49</v>
      </c>
      <c r="D3391" s="2" t="s">
        <v>128</v>
      </c>
      <c r="E3391" s="9" t="str">
        <f t="shared" si="765"/>
        <v>PNP'!</v>
      </c>
      <c r="F3391" s="5" t="str">
        <f t="shared" si="773"/>
        <v>C:\Users\jaime.benazar\Quorum Business Solutions\Ecopetrol Prometeo - Documents\Planning Space Implementation\3. Analysis &amp; Design\Design\FC22\DRR Jaime\QUIFA-CAJÚA\Cajua\[VAS_CAJUA_CF_SEC_20230125.xlsx]CF PNP'!</v>
      </c>
      <c r="G3391" s="6" t="s">
        <v>59</v>
      </c>
      <c r="H3391" s="1">
        <f t="shared" si="775"/>
        <v>43</v>
      </c>
      <c r="I3391" s="1" t="str">
        <f t="shared" si="774"/>
        <v>='C:\Users\jaime.benazar\Quorum Business Solutions\Ecopetrol Prometeo - Documents\Planning Space Implementation\3. Analysis &amp; Design\Design\FC22\DRR Jaime\QUIFA-CAJÚA\Cajua\[VAS_CAJUA_CF_SEC_20230125.xlsx]CF PNP'!$BB$43</v>
      </c>
      <c r="J3391" s="1" t="s">
        <v>1653</v>
      </c>
    </row>
    <row r="3392" spans="1:10" x14ac:dyDescent="0.25">
      <c r="A3392" s="6" t="s">
        <v>2</v>
      </c>
      <c r="B3392" s="6">
        <f t="shared" si="776"/>
        <v>2031</v>
      </c>
      <c r="C3392" s="1" t="s">
        <v>49</v>
      </c>
      <c r="D3392" s="2" t="s">
        <v>128</v>
      </c>
      <c r="E3392" s="9" t="str">
        <f t="shared" si="765"/>
        <v>PNP'!</v>
      </c>
      <c r="F3392" s="5" t="str">
        <f t="shared" si="773"/>
        <v>C:\Users\jaime.benazar\Quorum Business Solutions\Ecopetrol Prometeo - Documents\Planning Space Implementation\3. Analysis &amp; Design\Design\FC22\DRR Jaime\QUIFA-CAJÚA\Cajua\[VAS_CAJUA_CF_SEC_20230125.xlsx]CF PNP'!</v>
      </c>
      <c r="G3392" s="6" t="s">
        <v>59</v>
      </c>
      <c r="H3392" s="1">
        <f t="shared" si="775"/>
        <v>44</v>
      </c>
      <c r="I3392" s="1" t="str">
        <f t="shared" si="774"/>
        <v>='C:\Users\jaime.benazar\Quorum Business Solutions\Ecopetrol Prometeo - Documents\Planning Space Implementation\3. Analysis &amp; Design\Design\FC22\DRR Jaime\QUIFA-CAJÚA\Cajua\[VAS_CAJUA_CF_SEC_20230125.xlsx]CF PNP'!$BB$44</v>
      </c>
      <c r="J3392" s="1" t="s">
        <v>1654</v>
      </c>
    </row>
    <row r="3393" spans="1:10" x14ac:dyDescent="0.25">
      <c r="A3393" s="6" t="s">
        <v>2</v>
      </c>
      <c r="B3393" s="6">
        <f t="shared" si="776"/>
        <v>2032</v>
      </c>
      <c r="C3393" s="1" t="s">
        <v>49</v>
      </c>
      <c r="D3393" s="2" t="s">
        <v>128</v>
      </c>
      <c r="E3393" s="9" t="str">
        <f t="shared" si="765"/>
        <v>PNP'!</v>
      </c>
      <c r="F3393" s="5" t="str">
        <f t="shared" si="773"/>
        <v>C:\Users\jaime.benazar\Quorum Business Solutions\Ecopetrol Prometeo - Documents\Planning Space Implementation\3. Analysis &amp; Design\Design\FC22\DRR Jaime\QUIFA-CAJÚA\Cajua\[VAS_CAJUA_CF_SEC_20230125.xlsx]CF PNP'!</v>
      </c>
      <c r="G3393" s="6" t="s">
        <v>59</v>
      </c>
      <c r="H3393" s="1">
        <f t="shared" si="775"/>
        <v>45</v>
      </c>
      <c r="I3393" s="1" t="str">
        <f t="shared" si="774"/>
        <v>='C:\Users\jaime.benazar\Quorum Business Solutions\Ecopetrol Prometeo - Documents\Planning Space Implementation\3. Analysis &amp; Design\Design\FC22\DRR Jaime\QUIFA-CAJÚA\Cajua\[VAS_CAJUA_CF_SEC_20230125.xlsx]CF PNP'!$BB$45</v>
      </c>
      <c r="J3393" s="1" t="s">
        <v>1655</v>
      </c>
    </row>
    <row r="3394" spans="1:10" x14ac:dyDescent="0.25">
      <c r="A3394" s="6" t="s">
        <v>2</v>
      </c>
      <c r="B3394" s="6">
        <f t="shared" si="776"/>
        <v>2033</v>
      </c>
      <c r="C3394" s="1" t="s">
        <v>49</v>
      </c>
      <c r="D3394" s="2" t="s">
        <v>128</v>
      </c>
      <c r="E3394" s="9" t="str">
        <f t="shared" si="765"/>
        <v>PNP'!</v>
      </c>
      <c r="F3394" s="5" t="str">
        <f t="shared" si="773"/>
        <v>C:\Users\jaime.benazar\Quorum Business Solutions\Ecopetrol Prometeo - Documents\Planning Space Implementation\3. Analysis &amp; Design\Design\FC22\DRR Jaime\QUIFA-CAJÚA\Cajua\[VAS_CAJUA_CF_SEC_20230125.xlsx]CF PNP'!</v>
      </c>
      <c r="G3394" s="6" t="s">
        <v>59</v>
      </c>
      <c r="H3394" s="1">
        <f t="shared" si="775"/>
        <v>46</v>
      </c>
      <c r="I3394" s="1" t="str">
        <f t="shared" si="774"/>
        <v>='C:\Users\jaime.benazar\Quorum Business Solutions\Ecopetrol Prometeo - Documents\Planning Space Implementation\3. Analysis &amp; Design\Design\FC22\DRR Jaime\QUIFA-CAJÚA\Cajua\[VAS_CAJUA_CF_SEC_20230125.xlsx]CF PNP'!$BB$46</v>
      </c>
      <c r="J3394" s="1" t="s">
        <v>1656</v>
      </c>
    </row>
    <row r="3395" spans="1:10" x14ac:dyDescent="0.25">
      <c r="A3395" s="6" t="s">
        <v>2</v>
      </c>
      <c r="B3395" s="6">
        <f t="shared" si="776"/>
        <v>2034</v>
      </c>
      <c r="C3395" s="1" t="s">
        <v>49</v>
      </c>
      <c r="D3395" s="2" t="s">
        <v>128</v>
      </c>
      <c r="E3395" s="9" t="str">
        <f t="shared" si="765"/>
        <v>PNP'!</v>
      </c>
      <c r="F3395" s="5" t="str">
        <f t="shared" si="773"/>
        <v>C:\Users\jaime.benazar\Quorum Business Solutions\Ecopetrol Prometeo - Documents\Planning Space Implementation\3. Analysis &amp; Design\Design\FC22\DRR Jaime\QUIFA-CAJÚA\Cajua\[VAS_CAJUA_CF_SEC_20230125.xlsx]CF PNP'!</v>
      </c>
      <c r="G3395" s="6" t="s">
        <v>59</v>
      </c>
      <c r="H3395" s="1">
        <f t="shared" si="775"/>
        <v>47</v>
      </c>
      <c r="I3395" s="1" t="str">
        <f t="shared" si="774"/>
        <v>='C:\Users\jaime.benazar\Quorum Business Solutions\Ecopetrol Prometeo - Documents\Planning Space Implementation\3. Analysis &amp; Design\Design\FC22\DRR Jaime\QUIFA-CAJÚA\Cajua\[VAS_CAJUA_CF_SEC_20230125.xlsx]CF PNP'!$BB$47</v>
      </c>
      <c r="J3395" s="1" t="s">
        <v>1657</v>
      </c>
    </row>
    <row r="3396" spans="1:10" x14ac:dyDescent="0.25">
      <c r="A3396" s="6" t="s">
        <v>2</v>
      </c>
      <c r="B3396" s="6">
        <f t="shared" si="776"/>
        <v>2035</v>
      </c>
      <c r="C3396" s="1" t="s">
        <v>49</v>
      </c>
      <c r="D3396" s="2" t="s">
        <v>128</v>
      </c>
      <c r="E3396" s="9" t="str">
        <f t="shared" si="765"/>
        <v>PNP'!</v>
      </c>
      <c r="F3396" s="5" t="str">
        <f t="shared" si="773"/>
        <v>C:\Users\jaime.benazar\Quorum Business Solutions\Ecopetrol Prometeo - Documents\Planning Space Implementation\3. Analysis &amp; Design\Design\FC22\DRR Jaime\QUIFA-CAJÚA\Cajua\[VAS_CAJUA_CF_SEC_20230125.xlsx]CF PNP'!</v>
      </c>
      <c r="G3396" s="6" t="s">
        <v>59</v>
      </c>
      <c r="H3396" s="1">
        <f t="shared" si="775"/>
        <v>48</v>
      </c>
      <c r="I3396" s="1" t="str">
        <f t="shared" si="774"/>
        <v>='C:\Users\jaime.benazar\Quorum Business Solutions\Ecopetrol Prometeo - Documents\Planning Space Implementation\3. Analysis &amp; Design\Design\FC22\DRR Jaime\QUIFA-CAJÚA\Cajua\[VAS_CAJUA_CF_SEC_20230125.xlsx]CF PNP'!$BB$48</v>
      </c>
      <c r="J3396" s="1" t="s">
        <v>1658</v>
      </c>
    </row>
    <row r="3397" spans="1:10" x14ac:dyDescent="0.25">
      <c r="A3397" s="6" t="s">
        <v>2</v>
      </c>
      <c r="B3397" s="6">
        <f t="shared" si="776"/>
        <v>2036</v>
      </c>
      <c r="C3397" s="1" t="s">
        <v>49</v>
      </c>
      <c r="D3397" s="2" t="s">
        <v>128</v>
      </c>
      <c r="E3397" s="9" t="str">
        <f t="shared" si="765"/>
        <v>PNP'!</v>
      </c>
      <c r="F3397" s="5" t="str">
        <f t="shared" si="773"/>
        <v>C:\Users\jaime.benazar\Quorum Business Solutions\Ecopetrol Prometeo - Documents\Planning Space Implementation\3. Analysis &amp; Design\Design\FC22\DRR Jaime\QUIFA-CAJÚA\Cajua\[VAS_CAJUA_CF_SEC_20230125.xlsx]CF PNP'!</v>
      </c>
      <c r="G3397" s="6" t="s">
        <v>59</v>
      </c>
      <c r="H3397" s="1">
        <f t="shared" si="775"/>
        <v>49</v>
      </c>
      <c r="I3397" s="1" t="str">
        <f t="shared" si="774"/>
        <v>='C:\Users\jaime.benazar\Quorum Business Solutions\Ecopetrol Prometeo - Documents\Planning Space Implementation\3. Analysis &amp; Design\Design\FC22\DRR Jaime\QUIFA-CAJÚA\Cajua\[VAS_CAJUA_CF_SEC_20230125.xlsx]CF PNP'!$BB$49</v>
      </c>
      <c r="J3397" s="1" t="s">
        <v>1659</v>
      </c>
    </row>
    <row r="3398" spans="1:10" x14ac:dyDescent="0.25">
      <c r="A3398" s="6" t="s">
        <v>2</v>
      </c>
      <c r="B3398" s="6">
        <f>+B3397+1</f>
        <v>2037</v>
      </c>
      <c r="C3398" s="1" t="s">
        <v>49</v>
      </c>
      <c r="D3398" s="2" t="s">
        <v>128</v>
      </c>
      <c r="E3398" s="9" t="str">
        <f t="shared" si="765"/>
        <v>PNP'!</v>
      </c>
      <c r="F3398" s="5" t="str">
        <f t="shared" si="773"/>
        <v>C:\Users\jaime.benazar\Quorum Business Solutions\Ecopetrol Prometeo - Documents\Planning Space Implementation\3. Analysis &amp; Design\Design\FC22\DRR Jaime\QUIFA-CAJÚA\Cajua\[VAS_CAJUA_CF_SEC_20230125.xlsx]CF PNP'!</v>
      </c>
      <c r="G3398" s="6" t="s">
        <v>59</v>
      </c>
      <c r="H3398" s="1">
        <f t="shared" si="775"/>
        <v>50</v>
      </c>
      <c r="I3398" s="1" t="str">
        <f t="shared" si="774"/>
        <v>='C:\Users\jaime.benazar\Quorum Business Solutions\Ecopetrol Prometeo - Documents\Planning Space Implementation\3. Analysis &amp; Design\Design\FC22\DRR Jaime\QUIFA-CAJÚA\Cajua\[VAS_CAJUA_CF_SEC_20230125.xlsx]CF PNP'!$BB$50</v>
      </c>
      <c r="J3398" s="1" t="s">
        <v>1660</v>
      </c>
    </row>
    <row r="3399" spans="1:10" x14ac:dyDescent="0.25">
      <c r="A3399" s="6" t="s">
        <v>2</v>
      </c>
      <c r="B3399" s="6">
        <f t="shared" ref="B3399:B3401" si="777">+B3398+1</f>
        <v>2038</v>
      </c>
      <c r="C3399" s="1" t="s">
        <v>49</v>
      </c>
      <c r="D3399" s="2" t="s">
        <v>128</v>
      </c>
      <c r="E3399" s="9" t="str">
        <f t="shared" si="765"/>
        <v>PNP'!</v>
      </c>
      <c r="F3399" s="5" t="str">
        <f t="shared" si="773"/>
        <v>C:\Users\jaime.benazar\Quorum Business Solutions\Ecopetrol Prometeo - Documents\Planning Space Implementation\3. Analysis &amp; Design\Design\FC22\DRR Jaime\QUIFA-CAJÚA\Cajua\[VAS_CAJUA_CF_SEC_20230125.xlsx]CF PNP'!</v>
      </c>
      <c r="G3399" s="6" t="s">
        <v>59</v>
      </c>
      <c r="H3399" s="1">
        <f t="shared" si="775"/>
        <v>51</v>
      </c>
      <c r="I3399" s="1" t="str">
        <f t="shared" si="774"/>
        <v>='C:\Users\jaime.benazar\Quorum Business Solutions\Ecopetrol Prometeo - Documents\Planning Space Implementation\3. Analysis &amp; Design\Design\FC22\DRR Jaime\QUIFA-CAJÚA\Cajua\[VAS_CAJUA_CF_SEC_20230125.xlsx]CF PNP'!$BB$51</v>
      </c>
      <c r="J3399" s="1" t="s">
        <v>1661</v>
      </c>
    </row>
    <row r="3400" spans="1:10" x14ac:dyDescent="0.25">
      <c r="A3400" s="6" t="s">
        <v>2</v>
      </c>
      <c r="B3400" s="6">
        <f t="shared" si="777"/>
        <v>2039</v>
      </c>
      <c r="C3400" s="1" t="s">
        <v>49</v>
      </c>
      <c r="D3400" s="2" t="s">
        <v>128</v>
      </c>
      <c r="E3400" s="9" t="str">
        <f t="shared" si="765"/>
        <v>PNP'!</v>
      </c>
      <c r="F3400" s="5" t="str">
        <f t="shared" si="773"/>
        <v>C:\Users\jaime.benazar\Quorum Business Solutions\Ecopetrol Prometeo - Documents\Planning Space Implementation\3. Analysis &amp; Design\Design\FC22\DRR Jaime\QUIFA-CAJÚA\Cajua\[VAS_CAJUA_CF_SEC_20230125.xlsx]CF PNP'!</v>
      </c>
      <c r="G3400" s="6" t="s">
        <v>59</v>
      </c>
      <c r="H3400" s="1">
        <f t="shared" si="775"/>
        <v>52</v>
      </c>
      <c r="I3400" s="1" t="str">
        <f t="shared" si="774"/>
        <v>='C:\Users\jaime.benazar\Quorum Business Solutions\Ecopetrol Prometeo - Documents\Planning Space Implementation\3. Analysis &amp; Design\Design\FC22\DRR Jaime\QUIFA-CAJÚA\Cajua\[VAS_CAJUA_CF_SEC_20230125.xlsx]CF PNP'!$BB$52</v>
      </c>
      <c r="J3400" s="1" t="s">
        <v>1662</v>
      </c>
    </row>
    <row r="3401" spans="1:10" x14ac:dyDescent="0.25">
      <c r="A3401" s="6" t="s">
        <v>2</v>
      </c>
      <c r="B3401" s="6">
        <f t="shared" si="777"/>
        <v>2040</v>
      </c>
      <c r="C3401" s="1" t="s">
        <v>49</v>
      </c>
      <c r="D3401" s="2" t="s">
        <v>128</v>
      </c>
      <c r="E3401" s="9" t="str">
        <f t="shared" si="765"/>
        <v>PNP'!</v>
      </c>
      <c r="F3401" s="5" t="str">
        <f t="shared" si="773"/>
        <v>C:\Users\jaime.benazar\Quorum Business Solutions\Ecopetrol Prometeo - Documents\Planning Space Implementation\3. Analysis &amp; Design\Design\FC22\DRR Jaime\QUIFA-CAJÚA\Cajua\[VAS_CAJUA_CF_SEC_20230125.xlsx]CF PNP'!</v>
      </c>
      <c r="G3401" s="6" t="s">
        <v>59</v>
      </c>
      <c r="H3401" s="1">
        <f t="shared" si="775"/>
        <v>53</v>
      </c>
      <c r="I3401" s="1" t="str">
        <f t="shared" si="774"/>
        <v>='C:\Users\jaime.benazar\Quorum Business Solutions\Ecopetrol Prometeo - Documents\Planning Space Implementation\3. Analysis &amp; Design\Design\FC22\DRR Jaime\QUIFA-CAJÚA\Cajua\[VAS_CAJUA_CF_SEC_20230125.xlsx]CF PNP'!$BB$53</v>
      </c>
      <c r="J3401" s="1" t="s">
        <v>1663</v>
      </c>
    </row>
    <row r="3402" spans="1:10" x14ac:dyDescent="0.25">
      <c r="A3402" s="6" t="s">
        <v>2</v>
      </c>
      <c r="B3402" s="6">
        <f>+B3401+1</f>
        <v>2041</v>
      </c>
      <c r="C3402" s="1" t="s">
        <v>49</v>
      </c>
      <c r="D3402" s="2" t="s">
        <v>128</v>
      </c>
      <c r="E3402" s="9" t="str">
        <f t="shared" si="765"/>
        <v>PNP'!</v>
      </c>
      <c r="F3402" s="5" t="str">
        <f t="shared" si="773"/>
        <v>C:\Users\jaime.benazar\Quorum Business Solutions\Ecopetrol Prometeo - Documents\Planning Space Implementation\3. Analysis &amp; Design\Design\FC22\DRR Jaime\QUIFA-CAJÚA\Cajua\[VAS_CAJUA_CF_SEC_20230125.xlsx]CF PNP'!</v>
      </c>
      <c r="G3402" s="6" t="s">
        <v>59</v>
      </c>
      <c r="H3402" s="1">
        <f t="shared" si="775"/>
        <v>54</v>
      </c>
      <c r="I3402" s="1" t="str">
        <f t="shared" si="774"/>
        <v>='C:\Users\jaime.benazar\Quorum Business Solutions\Ecopetrol Prometeo - Documents\Planning Space Implementation\3. Analysis &amp; Design\Design\FC22\DRR Jaime\QUIFA-CAJÚA\Cajua\[VAS_CAJUA_CF_SEC_20230125.xlsx]CF PNP'!$BB$54</v>
      </c>
      <c r="J3402" s="1" t="s">
        <v>1664</v>
      </c>
    </row>
    <row r="3403" spans="1:10" x14ac:dyDescent="0.25">
      <c r="A3403" s="6" t="s">
        <v>2</v>
      </c>
      <c r="B3403" s="6">
        <f t="shared" ref="B3403:B3404" si="778">+B3402+1</f>
        <v>2042</v>
      </c>
      <c r="C3403" s="1" t="s">
        <v>49</v>
      </c>
      <c r="D3403" s="2" t="s">
        <v>128</v>
      </c>
      <c r="E3403" s="9" t="str">
        <f t="shared" si="765"/>
        <v>PNP'!</v>
      </c>
      <c r="F3403" s="5" t="str">
        <f t="shared" si="773"/>
        <v>C:\Users\jaime.benazar\Quorum Business Solutions\Ecopetrol Prometeo - Documents\Planning Space Implementation\3. Analysis &amp; Design\Design\FC22\DRR Jaime\QUIFA-CAJÚA\Cajua\[VAS_CAJUA_CF_SEC_20230125.xlsx]CF PNP'!</v>
      </c>
      <c r="G3403" s="6" t="s">
        <v>59</v>
      </c>
      <c r="H3403" s="1">
        <f t="shared" si="775"/>
        <v>55</v>
      </c>
      <c r="I3403" s="1" t="str">
        <f t="shared" si="774"/>
        <v>='C:\Users\jaime.benazar\Quorum Business Solutions\Ecopetrol Prometeo - Documents\Planning Space Implementation\3. Analysis &amp; Design\Design\FC22\DRR Jaime\QUIFA-CAJÚA\Cajua\[VAS_CAJUA_CF_SEC_20230125.xlsx]CF PNP'!$BB$55</v>
      </c>
      <c r="J3403" s="1" t="s">
        <v>1665</v>
      </c>
    </row>
    <row r="3404" spans="1:10" x14ac:dyDescent="0.25">
      <c r="A3404" s="6" t="s">
        <v>2</v>
      </c>
      <c r="B3404" s="6">
        <f t="shared" si="778"/>
        <v>2043</v>
      </c>
      <c r="C3404" s="1" t="s">
        <v>49</v>
      </c>
      <c r="D3404" s="2" t="s">
        <v>128</v>
      </c>
      <c r="E3404" s="9" t="str">
        <f t="shared" si="765"/>
        <v>PNP'!</v>
      </c>
      <c r="F3404" s="5" t="str">
        <f t="shared" si="773"/>
        <v>C:\Users\jaime.benazar\Quorum Business Solutions\Ecopetrol Prometeo - Documents\Planning Space Implementation\3. Analysis &amp; Design\Design\FC22\DRR Jaime\QUIFA-CAJÚA\Cajua\[VAS_CAJUA_CF_SEC_20230125.xlsx]CF PNP'!</v>
      </c>
      <c r="G3404" s="6" t="s">
        <v>59</v>
      </c>
      <c r="H3404" s="1">
        <f t="shared" si="775"/>
        <v>56</v>
      </c>
      <c r="I3404" s="1" t="str">
        <f t="shared" si="774"/>
        <v>='C:\Users\jaime.benazar\Quorum Business Solutions\Ecopetrol Prometeo - Documents\Planning Space Implementation\3. Analysis &amp; Design\Design\FC22\DRR Jaime\QUIFA-CAJÚA\Cajua\[VAS_CAJUA_CF_SEC_20230125.xlsx]CF PNP'!$BB$56</v>
      </c>
      <c r="J3404" s="1" t="s">
        <v>1666</v>
      </c>
    </row>
    <row r="3405" spans="1:10" x14ac:dyDescent="0.25">
      <c r="A3405" s="6" t="s">
        <v>2</v>
      </c>
      <c r="B3405" s="6">
        <f>+B3404+1</f>
        <v>2044</v>
      </c>
      <c r="C3405" s="1" t="s">
        <v>49</v>
      </c>
      <c r="D3405" s="2" t="s">
        <v>128</v>
      </c>
      <c r="E3405" s="9" t="str">
        <f t="shared" ref="E3405:E3420" si="779">_xlfn.CONCAT(A3405,"'!")</f>
        <v>PNP'!</v>
      </c>
      <c r="F3405" s="5" t="str">
        <f t="shared" ref="F3405:F3420" si="780">_xlfn.CONCAT(D3405," ",E3405)</f>
        <v>C:\Users\jaime.benazar\Quorum Business Solutions\Ecopetrol Prometeo - Documents\Planning Space Implementation\3. Analysis &amp; Design\Design\FC22\DRR Jaime\QUIFA-CAJÚA\Cajua\[VAS_CAJUA_CF_SEC_20230125.xlsx]CF PNP'!</v>
      </c>
      <c r="G3405" s="6" t="s">
        <v>59</v>
      </c>
      <c r="H3405" s="1">
        <f t="shared" ref="H3405:H3420" si="781">IF(A3405&lt;&gt;A3404,36,H3404+1)</f>
        <v>57</v>
      </c>
      <c r="I3405" s="1" t="str">
        <f t="shared" ref="I3405:I3420" si="782">_xlfn.CONCAT("='",F3405:H3405)</f>
        <v>='C:\Users\jaime.benazar\Quorum Business Solutions\Ecopetrol Prometeo - Documents\Planning Space Implementation\3. Analysis &amp; Design\Design\FC22\DRR Jaime\QUIFA-CAJÚA\Cajua\[VAS_CAJUA_CF_SEC_20230125.xlsx]CF PNP'!$BB$57</v>
      </c>
      <c r="J3405" s="1" t="s">
        <v>1667</v>
      </c>
    </row>
    <row r="3406" spans="1:10" x14ac:dyDescent="0.25">
      <c r="A3406" s="6" t="s">
        <v>2</v>
      </c>
      <c r="B3406" s="6">
        <f t="shared" ref="B3406:B3420" si="783">+B3405+1</f>
        <v>2045</v>
      </c>
      <c r="C3406" s="1" t="s">
        <v>49</v>
      </c>
      <c r="D3406" s="2" t="s">
        <v>128</v>
      </c>
      <c r="E3406" s="9" t="str">
        <f t="shared" si="779"/>
        <v>PNP'!</v>
      </c>
      <c r="F3406" s="5" t="str">
        <f t="shared" si="780"/>
        <v>C:\Users\jaime.benazar\Quorum Business Solutions\Ecopetrol Prometeo - Documents\Planning Space Implementation\3. Analysis &amp; Design\Design\FC22\DRR Jaime\QUIFA-CAJÚA\Cajua\[VAS_CAJUA_CF_SEC_20230125.xlsx]CF PNP'!</v>
      </c>
      <c r="G3406" s="6" t="s">
        <v>59</v>
      </c>
      <c r="H3406" s="1">
        <f t="shared" si="781"/>
        <v>58</v>
      </c>
      <c r="I3406" s="1" t="str">
        <f t="shared" si="782"/>
        <v>='C:\Users\jaime.benazar\Quorum Business Solutions\Ecopetrol Prometeo - Documents\Planning Space Implementation\3. Analysis &amp; Design\Design\FC22\DRR Jaime\QUIFA-CAJÚA\Cajua\[VAS_CAJUA_CF_SEC_20230125.xlsx]CF PNP'!$BB$58</v>
      </c>
      <c r="J3406" s="1" t="s">
        <v>1668</v>
      </c>
    </row>
    <row r="3407" spans="1:10" x14ac:dyDescent="0.25">
      <c r="A3407" s="6" t="s">
        <v>2</v>
      </c>
      <c r="B3407" s="6">
        <f t="shared" si="783"/>
        <v>2046</v>
      </c>
      <c r="C3407" s="1" t="s">
        <v>49</v>
      </c>
      <c r="D3407" s="2" t="s">
        <v>128</v>
      </c>
      <c r="E3407" s="9" t="str">
        <f t="shared" si="779"/>
        <v>PNP'!</v>
      </c>
      <c r="F3407" s="5" t="str">
        <f t="shared" si="780"/>
        <v>C:\Users\jaime.benazar\Quorum Business Solutions\Ecopetrol Prometeo - Documents\Planning Space Implementation\3. Analysis &amp; Design\Design\FC22\DRR Jaime\QUIFA-CAJÚA\Cajua\[VAS_CAJUA_CF_SEC_20230125.xlsx]CF PNP'!</v>
      </c>
      <c r="G3407" s="6" t="s">
        <v>59</v>
      </c>
      <c r="H3407" s="1">
        <f t="shared" si="781"/>
        <v>59</v>
      </c>
      <c r="I3407" s="1" t="str">
        <f t="shared" si="782"/>
        <v>='C:\Users\jaime.benazar\Quorum Business Solutions\Ecopetrol Prometeo - Documents\Planning Space Implementation\3. Analysis &amp; Design\Design\FC22\DRR Jaime\QUIFA-CAJÚA\Cajua\[VAS_CAJUA_CF_SEC_20230125.xlsx]CF PNP'!$BB$59</v>
      </c>
      <c r="J3407" s="1" t="s">
        <v>1669</v>
      </c>
    </row>
    <row r="3408" spans="1:10" x14ac:dyDescent="0.25">
      <c r="A3408" s="6" t="s">
        <v>2</v>
      </c>
      <c r="B3408" s="6">
        <f t="shared" si="783"/>
        <v>2047</v>
      </c>
      <c r="C3408" s="1" t="s">
        <v>49</v>
      </c>
      <c r="D3408" s="2" t="s">
        <v>128</v>
      </c>
      <c r="E3408" s="9" t="str">
        <f t="shared" si="779"/>
        <v>PNP'!</v>
      </c>
      <c r="F3408" s="5" t="str">
        <f t="shared" si="780"/>
        <v>C:\Users\jaime.benazar\Quorum Business Solutions\Ecopetrol Prometeo - Documents\Planning Space Implementation\3. Analysis &amp; Design\Design\FC22\DRR Jaime\QUIFA-CAJÚA\Cajua\[VAS_CAJUA_CF_SEC_20230125.xlsx]CF PNP'!</v>
      </c>
      <c r="G3408" s="6" t="s">
        <v>59</v>
      </c>
      <c r="H3408" s="1">
        <f t="shared" si="781"/>
        <v>60</v>
      </c>
      <c r="I3408" s="1" t="str">
        <f t="shared" si="782"/>
        <v>='C:\Users\jaime.benazar\Quorum Business Solutions\Ecopetrol Prometeo - Documents\Planning Space Implementation\3. Analysis &amp; Design\Design\FC22\DRR Jaime\QUIFA-CAJÚA\Cajua\[VAS_CAJUA_CF_SEC_20230125.xlsx]CF PNP'!$BB$60</v>
      </c>
      <c r="J3408" s="1" t="s">
        <v>1670</v>
      </c>
    </row>
    <row r="3409" spans="1:10" x14ac:dyDescent="0.25">
      <c r="A3409" s="6" t="s">
        <v>2</v>
      </c>
      <c r="B3409" s="6">
        <f t="shared" si="783"/>
        <v>2048</v>
      </c>
      <c r="C3409" s="1" t="s">
        <v>49</v>
      </c>
      <c r="D3409" s="2" t="s">
        <v>128</v>
      </c>
      <c r="E3409" s="9" t="str">
        <f t="shared" si="779"/>
        <v>PNP'!</v>
      </c>
      <c r="F3409" s="5" t="str">
        <f t="shared" si="780"/>
        <v>C:\Users\jaime.benazar\Quorum Business Solutions\Ecopetrol Prometeo - Documents\Planning Space Implementation\3. Analysis &amp; Design\Design\FC22\DRR Jaime\QUIFA-CAJÚA\Cajua\[VAS_CAJUA_CF_SEC_20230125.xlsx]CF PNP'!</v>
      </c>
      <c r="G3409" s="6" t="s">
        <v>59</v>
      </c>
      <c r="H3409" s="1">
        <f t="shared" si="781"/>
        <v>61</v>
      </c>
      <c r="I3409" s="1" t="str">
        <f t="shared" si="782"/>
        <v>='C:\Users\jaime.benazar\Quorum Business Solutions\Ecopetrol Prometeo - Documents\Planning Space Implementation\3. Analysis &amp; Design\Design\FC22\DRR Jaime\QUIFA-CAJÚA\Cajua\[VAS_CAJUA_CF_SEC_20230125.xlsx]CF PNP'!$BB$61</v>
      </c>
      <c r="J3409" s="1" t="s">
        <v>1671</v>
      </c>
    </row>
    <row r="3410" spans="1:10" x14ac:dyDescent="0.25">
      <c r="A3410" s="6" t="s">
        <v>2</v>
      </c>
      <c r="B3410" s="6">
        <f t="shared" si="783"/>
        <v>2049</v>
      </c>
      <c r="C3410" s="1" t="s">
        <v>49</v>
      </c>
      <c r="D3410" s="2" t="s">
        <v>128</v>
      </c>
      <c r="E3410" s="9" t="str">
        <f t="shared" si="779"/>
        <v>PNP'!</v>
      </c>
      <c r="F3410" s="5" t="str">
        <f t="shared" si="780"/>
        <v>C:\Users\jaime.benazar\Quorum Business Solutions\Ecopetrol Prometeo - Documents\Planning Space Implementation\3. Analysis &amp; Design\Design\FC22\DRR Jaime\QUIFA-CAJÚA\Cajua\[VAS_CAJUA_CF_SEC_20230125.xlsx]CF PNP'!</v>
      </c>
      <c r="G3410" s="6" t="s">
        <v>59</v>
      </c>
      <c r="H3410" s="1">
        <f t="shared" si="781"/>
        <v>62</v>
      </c>
      <c r="I3410" s="1" t="str">
        <f t="shared" si="782"/>
        <v>='C:\Users\jaime.benazar\Quorum Business Solutions\Ecopetrol Prometeo - Documents\Planning Space Implementation\3. Analysis &amp; Design\Design\FC22\DRR Jaime\QUIFA-CAJÚA\Cajua\[VAS_CAJUA_CF_SEC_20230125.xlsx]CF PNP'!$BB$62</v>
      </c>
      <c r="J3410" s="1" t="s">
        <v>1672</v>
      </c>
    </row>
    <row r="3411" spans="1:10" x14ac:dyDescent="0.25">
      <c r="A3411" s="6" t="s">
        <v>2</v>
      </c>
      <c r="B3411" s="6">
        <f t="shared" si="783"/>
        <v>2050</v>
      </c>
      <c r="C3411" s="1" t="s">
        <v>49</v>
      </c>
      <c r="D3411" s="2" t="s">
        <v>128</v>
      </c>
      <c r="E3411" s="9" t="str">
        <f t="shared" si="779"/>
        <v>PNP'!</v>
      </c>
      <c r="F3411" s="5" t="str">
        <f t="shared" si="780"/>
        <v>C:\Users\jaime.benazar\Quorum Business Solutions\Ecopetrol Prometeo - Documents\Planning Space Implementation\3. Analysis &amp; Design\Design\FC22\DRR Jaime\QUIFA-CAJÚA\Cajua\[VAS_CAJUA_CF_SEC_20230125.xlsx]CF PNP'!</v>
      </c>
      <c r="G3411" s="6" t="s">
        <v>59</v>
      </c>
      <c r="H3411" s="1">
        <f t="shared" si="781"/>
        <v>63</v>
      </c>
      <c r="I3411" s="1" t="str">
        <f t="shared" si="782"/>
        <v>='C:\Users\jaime.benazar\Quorum Business Solutions\Ecopetrol Prometeo - Documents\Planning Space Implementation\3. Analysis &amp; Design\Design\FC22\DRR Jaime\QUIFA-CAJÚA\Cajua\[VAS_CAJUA_CF_SEC_20230125.xlsx]CF PNP'!$BB$63</v>
      </c>
      <c r="J3411" s="1" t="s">
        <v>1673</v>
      </c>
    </row>
    <row r="3412" spans="1:10" x14ac:dyDescent="0.25">
      <c r="A3412" s="6" t="s">
        <v>2</v>
      </c>
      <c r="B3412" s="6">
        <f t="shared" si="783"/>
        <v>2051</v>
      </c>
      <c r="C3412" s="1" t="s">
        <v>49</v>
      </c>
      <c r="D3412" s="2" t="s">
        <v>128</v>
      </c>
      <c r="E3412" s="9" t="str">
        <f t="shared" si="779"/>
        <v>PNP'!</v>
      </c>
      <c r="F3412" s="5" t="str">
        <f t="shared" si="780"/>
        <v>C:\Users\jaime.benazar\Quorum Business Solutions\Ecopetrol Prometeo - Documents\Planning Space Implementation\3. Analysis &amp; Design\Design\FC22\DRR Jaime\QUIFA-CAJÚA\Cajua\[VAS_CAJUA_CF_SEC_20230125.xlsx]CF PNP'!</v>
      </c>
      <c r="G3412" s="6" t="s">
        <v>59</v>
      </c>
      <c r="H3412" s="1">
        <f t="shared" si="781"/>
        <v>64</v>
      </c>
      <c r="I3412" s="1" t="str">
        <f t="shared" si="782"/>
        <v>='C:\Users\jaime.benazar\Quorum Business Solutions\Ecopetrol Prometeo - Documents\Planning Space Implementation\3. Analysis &amp; Design\Design\FC22\DRR Jaime\QUIFA-CAJÚA\Cajua\[VAS_CAJUA_CF_SEC_20230125.xlsx]CF PNP'!$BB$64</v>
      </c>
      <c r="J3412" s="1" t="s">
        <v>1674</v>
      </c>
    </row>
    <row r="3413" spans="1:10" x14ac:dyDescent="0.25">
      <c r="A3413" s="6" t="s">
        <v>2</v>
      </c>
      <c r="B3413" s="6">
        <f t="shared" si="783"/>
        <v>2052</v>
      </c>
      <c r="C3413" s="1" t="s">
        <v>49</v>
      </c>
      <c r="D3413" s="2" t="s">
        <v>128</v>
      </c>
      <c r="E3413" s="9" t="str">
        <f t="shared" si="779"/>
        <v>PNP'!</v>
      </c>
      <c r="F3413" s="5" t="str">
        <f t="shared" si="780"/>
        <v>C:\Users\jaime.benazar\Quorum Business Solutions\Ecopetrol Prometeo - Documents\Planning Space Implementation\3. Analysis &amp; Design\Design\FC22\DRR Jaime\QUIFA-CAJÚA\Cajua\[VAS_CAJUA_CF_SEC_20230125.xlsx]CF PNP'!</v>
      </c>
      <c r="G3413" s="6" t="s">
        <v>59</v>
      </c>
      <c r="H3413" s="1">
        <f t="shared" si="781"/>
        <v>65</v>
      </c>
      <c r="I3413" s="1" t="str">
        <f t="shared" si="782"/>
        <v>='C:\Users\jaime.benazar\Quorum Business Solutions\Ecopetrol Prometeo - Documents\Planning Space Implementation\3. Analysis &amp; Design\Design\FC22\DRR Jaime\QUIFA-CAJÚA\Cajua\[VAS_CAJUA_CF_SEC_20230125.xlsx]CF PNP'!$BB$65</v>
      </c>
      <c r="J3413" s="1" t="s">
        <v>1675</v>
      </c>
    </row>
    <row r="3414" spans="1:10" x14ac:dyDescent="0.25">
      <c r="A3414" s="6" t="s">
        <v>2</v>
      </c>
      <c r="B3414" s="6">
        <f t="shared" si="783"/>
        <v>2053</v>
      </c>
      <c r="C3414" s="1" t="s">
        <v>49</v>
      </c>
      <c r="D3414" s="2" t="s">
        <v>128</v>
      </c>
      <c r="E3414" s="9" t="str">
        <f t="shared" si="779"/>
        <v>PNP'!</v>
      </c>
      <c r="F3414" s="5" t="str">
        <f t="shared" si="780"/>
        <v>C:\Users\jaime.benazar\Quorum Business Solutions\Ecopetrol Prometeo - Documents\Planning Space Implementation\3. Analysis &amp; Design\Design\FC22\DRR Jaime\QUIFA-CAJÚA\Cajua\[VAS_CAJUA_CF_SEC_20230125.xlsx]CF PNP'!</v>
      </c>
      <c r="G3414" s="6" t="s">
        <v>59</v>
      </c>
      <c r="H3414" s="1">
        <f t="shared" si="781"/>
        <v>66</v>
      </c>
      <c r="I3414" s="1" t="str">
        <f t="shared" si="782"/>
        <v>='C:\Users\jaime.benazar\Quorum Business Solutions\Ecopetrol Prometeo - Documents\Planning Space Implementation\3. Analysis &amp; Design\Design\FC22\DRR Jaime\QUIFA-CAJÚA\Cajua\[VAS_CAJUA_CF_SEC_20230125.xlsx]CF PNP'!$BB$66</v>
      </c>
      <c r="J3414" s="1" t="s">
        <v>1676</v>
      </c>
    </row>
    <row r="3415" spans="1:10" x14ac:dyDescent="0.25">
      <c r="A3415" s="6" t="s">
        <v>2</v>
      </c>
      <c r="B3415" s="6">
        <f t="shared" si="783"/>
        <v>2054</v>
      </c>
      <c r="C3415" s="1" t="s">
        <v>49</v>
      </c>
      <c r="D3415" s="2" t="s">
        <v>128</v>
      </c>
      <c r="E3415" s="9" t="str">
        <f t="shared" si="779"/>
        <v>PNP'!</v>
      </c>
      <c r="F3415" s="5" t="str">
        <f t="shared" si="780"/>
        <v>C:\Users\jaime.benazar\Quorum Business Solutions\Ecopetrol Prometeo - Documents\Planning Space Implementation\3. Analysis &amp; Design\Design\FC22\DRR Jaime\QUIFA-CAJÚA\Cajua\[VAS_CAJUA_CF_SEC_20230125.xlsx]CF PNP'!</v>
      </c>
      <c r="G3415" s="6" t="s">
        <v>59</v>
      </c>
      <c r="H3415" s="1">
        <f t="shared" si="781"/>
        <v>67</v>
      </c>
      <c r="I3415" s="1" t="str">
        <f t="shared" si="782"/>
        <v>='C:\Users\jaime.benazar\Quorum Business Solutions\Ecopetrol Prometeo - Documents\Planning Space Implementation\3. Analysis &amp; Design\Design\FC22\DRR Jaime\QUIFA-CAJÚA\Cajua\[VAS_CAJUA_CF_SEC_20230125.xlsx]CF PNP'!$BB$67</v>
      </c>
      <c r="J3415" s="1" t="s">
        <v>1677</v>
      </c>
    </row>
    <row r="3416" spans="1:10" x14ac:dyDescent="0.25">
      <c r="A3416" s="6" t="s">
        <v>2</v>
      </c>
      <c r="B3416" s="6">
        <f t="shared" si="783"/>
        <v>2055</v>
      </c>
      <c r="C3416" s="1" t="s">
        <v>49</v>
      </c>
      <c r="D3416" s="2" t="s">
        <v>128</v>
      </c>
      <c r="E3416" s="9" t="str">
        <f t="shared" si="779"/>
        <v>PNP'!</v>
      </c>
      <c r="F3416" s="5" t="str">
        <f t="shared" si="780"/>
        <v>C:\Users\jaime.benazar\Quorum Business Solutions\Ecopetrol Prometeo - Documents\Planning Space Implementation\3. Analysis &amp; Design\Design\FC22\DRR Jaime\QUIFA-CAJÚA\Cajua\[VAS_CAJUA_CF_SEC_20230125.xlsx]CF PNP'!</v>
      </c>
      <c r="G3416" s="6" t="s">
        <v>59</v>
      </c>
      <c r="H3416" s="1">
        <f t="shared" si="781"/>
        <v>68</v>
      </c>
      <c r="I3416" s="1" t="str">
        <f t="shared" si="782"/>
        <v>='C:\Users\jaime.benazar\Quorum Business Solutions\Ecopetrol Prometeo - Documents\Planning Space Implementation\3. Analysis &amp; Design\Design\FC22\DRR Jaime\QUIFA-CAJÚA\Cajua\[VAS_CAJUA_CF_SEC_20230125.xlsx]CF PNP'!$BB$68</v>
      </c>
      <c r="J3416" s="1" t="s">
        <v>1678</v>
      </c>
    </row>
    <row r="3417" spans="1:10" x14ac:dyDescent="0.25">
      <c r="A3417" s="6" t="s">
        <v>2</v>
      </c>
      <c r="B3417" s="6">
        <f t="shared" si="783"/>
        <v>2056</v>
      </c>
      <c r="C3417" s="1" t="s">
        <v>49</v>
      </c>
      <c r="D3417" s="2" t="s">
        <v>128</v>
      </c>
      <c r="E3417" s="9" t="str">
        <f t="shared" si="779"/>
        <v>PNP'!</v>
      </c>
      <c r="F3417" s="5" t="str">
        <f t="shared" si="780"/>
        <v>C:\Users\jaime.benazar\Quorum Business Solutions\Ecopetrol Prometeo - Documents\Planning Space Implementation\3. Analysis &amp; Design\Design\FC22\DRR Jaime\QUIFA-CAJÚA\Cajua\[VAS_CAJUA_CF_SEC_20230125.xlsx]CF PNP'!</v>
      </c>
      <c r="G3417" s="6" t="s">
        <v>59</v>
      </c>
      <c r="H3417" s="1">
        <f t="shared" si="781"/>
        <v>69</v>
      </c>
      <c r="I3417" s="1" t="str">
        <f t="shared" si="782"/>
        <v>='C:\Users\jaime.benazar\Quorum Business Solutions\Ecopetrol Prometeo - Documents\Planning Space Implementation\3. Analysis &amp; Design\Design\FC22\DRR Jaime\QUIFA-CAJÚA\Cajua\[VAS_CAJUA_CF_SEC_20230125.xlsx]CF PNP'!$BB$69</v>
      </c>
      <c r="J3417" s="1" t="s">
        <v>1679</v>
      </c>
    </row>
    <row r="3418" spans="1:10" x14ac:dyDescent="0.25">
      <c r="A3418" s="6" t="s">
        <v>2</v>
      </c>
      <c r="B3418" s="6">
        <f t="shared" si="783"/>
        <v>2057</v>
      </c>
      <c r="C3418" s="1" t="s">
        <v>49</v>
      </c>
      <c r="D3418" s="2" t="s">
        <v>128</v>
      </c>
      <c r="E3418" s="9" t="str">
        <f t="shared" si="779"/>
        <v>PNP'!</v>
      </c>
      <c r="F3418" s="5" t="str">
        <f t="shared" si="780"/>
        <v>C:\Users\jaime.benazar\Quorum Business Solutions\Ecopetrol Prometeo - Documents\Planning Space Implementation\3. Analysis &amp; Design\Design\FC22\DRR Jaime\QUIFA-CAJÚA\Cajua\[VAS_CAJUA_CF_SEC_20230125.xlsx]CF PNP'!</v>
      </c>
      <c r="G3418" s="6" t="s">
        <v>59</v>
      </c>
      <c r="H3418" s="1">
        <f t="shared" si="781"/>
        <v>70</v>
      </c>
      <c r="I3418" s="1" t="str">
        <f t="shared" si="782"/>
        <v>='C:\Users\jaime.benazar\Quorum Business Solutions\Ecopetrol Prometeo - Documents\Planning Space Implementation\3. Analysis &amp; Design\Design\FC22\DRR Jaime\QUIFA-CAJÚA\Cajua\[VAS_CAJUA_CF_SEC_20230125.xlsx]CF PNP'!$BB$70</v>
      </c>
      <c r="J3418" s="1" t="s">
        <v>1680</v>
      </c>
    </row>
    <row r="3419" spans="1:10" x14ac:dyDescent="0.25">
      <c r="A3419" s="6" t="s">
        <v>2</v>
      </c>
      <c r="B3419" s="6">
        <f t="shared" si="783"/>
        <v>2058</v>
      </c>
      <c r="C3419" s="1" t="s">
        <v>49</v>
      </c>
      <c r="D3419" s="2" t="s">
        <v>128</v>
      </c>
      <c r="E3419" s="9" t="str">
        <f t="shared" si="779"/>
        <v>PNP'!</v>
      </c>
      <c r="F3419" s="5" t="str">
        <f t="shared" si="780"/>
        <v>C:\Users\jaime.benazar\Quorum Business Solutions\Ecopetrol Prometeo - Documents\Planning Space Implementation\3. Analysis &amp; Design\Design\FC22\DRR Jaime\QUIFA-CAJÚA\Cajua\[VAS_CAJUA_CF_SEC_20230125.xlsx]CF PNP'!</v>
      </c>
      <c r="G3419" s="6" t="s">
        <v>59</v>
      </c>
      <c r="H3419" s="1">
        <f t="shared" si="781"/>
        <v>71</v>
      </c>
      <c r="I3419" s="1" t="str">
        <f t="shared" si="782"/>
        <v>='C:\Users\jaime.benazar\Quorum Business Solutions\Ecopetrol Prometeo - Documents\Planning Space Implementation\3. Analysis &amp; Design\Design\FC22\DRR Jaime\QUIFA-CAJÚA\Cajua\[VAS_CAJUA_CF_SEC_20230125.xlsx]CF PNP'!$BB$71</v>
      </c>
      <c r="J3419" s="1" t="s">
        <v>1681</v>
      </c>
    </row>
    <row r="3420" spans="1:10" x14ac:dyDescent="0.25">
      <c r="A3420" s="6" t="s">
        <v>2</v>
      </c>
      <c r="B3420" s="6">
        <f t="shared" si="783"/>
        <v>2059</v>
      </c>
      <c r="C3420" s="1" t="s">
        <v>49</v>
      </c>
      <c r="D3420" s="2" t="s">
        <v>128</v>
      </c>
      <c r="E3420" s="9" t="str">
        <f t="shared" si="779"/>
        <v>PNP'!</v>
      </c>
      <c r="F3420" s="5" t="str">
        <f t="shared" si="780"/>
        <v>C:\Users\jaime.benazar\Quorum Business Solutions\Ecopetrol Prometeo - Documents\Planning Space Implementation\3. Analysis &amp; Design\Design\FC22\DRR Jaime\QUIFA-CAJÚA\Cajua\[VAS_CAJUA_CF_SEC_20230125.xlsx]CF PNP'!</v>
      </c>
      <c r="G3420" s="6" t="s">
        <v>59</v>
      </c>
      <c r="H3420" s="1">
        <f t="shared" si="781"/>
        <v>72</v>
      </c>
      <c r="I3420" s="1" t="str">
        <f t="shared" si="782"/>
        <v>='C:\Users\jaime.benazar\Quorum Business Solutions\Ecopetrol Prometeo - Documents\Planning Space Implementation\3. Analysis &amp; Design\Design\FC22\DRR Jaime\QUIFA-CAJÚA\Cajua\[VAS_CAJUA_CF_SEC_20230125.xlsx]CF PNP'!$BB$72</v>
      </c>
      <c r="J3420" s="1" t="s">
        <v>1682</v>
      </c>
    </row>
    <row r="3421" spans="1:10" x14ac:dyDescent="0.25">
      <c r="A3421" s="6" t="s">
        <v>28</v>
      </c>
      <c r="B3421" s="6"/>
      <c r="C3421" s="1" t="s">
        <v>49</v>
      </c>
      <c r="D3421" s="2"/>
      <c r="E3421" s="9"/>
      <c r="F3421" s="5"/>
      <c r="G3421" s="6"/>
      <c r="H3421" s="1"/>
      <c r="I3421" s="1"/>
      <c r="J3421" s="4"/>
    </row>
    <row r="3422" spans="1:10" x14ac:dyDescent="0.25">
      <c r="A3422" s="6" t="s">
        <v>3</v>
      </c>
      <c r="B3422" s="6">
        <v>2023</v>
      </c>
      <c r="C3422" s="1" t="s">
        <v>49</v>
      </c>
      <c r="D3422" s="2" t="s">
        <v>128</v>
      </c>
      <c r="E3422" s="9" t="str">
        <f t="shared" ref="E3422:E3442" si="784">_xlfn.CONCAT(A3422,"'!")</f>
        <v>PND'!</v>
      </c>
      <c r="F3422" s="5" t="str">
        <f t="shared" ref="F3422:F3442" si="785">_xlfn.CONCAT(D3422," ",E3422)</f>
        <v>C:\Users\jaime.benazar\Quorum Business Solutions\Ecopetrol Prometeo - Documents\Planning Space Implementation\3. Analysis &amp; Design\Design\FC22\DRR Jaime\QUIFA-CAJÚA\Cajua\[VAS_CAJUA_CF_SEC_20230125.xlsx]CF PND'!</v>
      </c>
      <c r="G3422" s="6" t="s">
        <v>59</v>
      </c>
      <c r="H3422" s="1">
        <f>IF(A3422&lt;&gt;A3406,36,H3406+1)</f>
        <v>36</v>
      </c>
      <c r="I3422" s="1" t="str">
        <f t="shared" ref="I3422:I3442" si="786">_xlfn.CONCAT("='",F3422:H3422)</f>
        <v>='C:\Users\jaime.benazar\Quorum Business Solutions\Ecopetrol Prometeo - Documents\Planning Space Implementation\3. Analysis &amp; Design\Design\FC22\DRR Jaime\QUIFA-CAJÚA\Cajua\[VAS_CAJUA_CF_SEC_20230125.xlsx]CF PND'!$BB$36</v>
      </c>
      <c r="J3422" s="1" t="s">
        <v>1683</v>
      </c>
    </row>
    <row r="3423" spans="1:10" x14ac:dyDescent="0.25">
      <c r="A3423" s="6" t="s">
        <v>3</v>
      </c>
      <c r="B3423" s="6">
        <f>+B3422+1</f>
        <v>2024</v>
      </c>
      <c r="C3423" s="1" t="s">
        <v>49</v>
      </c>
      <c r="D3423" s="2" t="s">
        <v>128</v>
      </c>
      <c r="E3423" s="9" t="str">
        <f t="shared" si="784"/>
        <v>PND'!</v>
      </c>
      <c r="F3423" s="5" t="str">
        <f t="shared" si="785"/>
        <v>C:\Users\jaime.benazar\Quorum Business Solutions\Ecopetrol Prometeo - Documents\Planning Space Implementation\3. Analysis &amp; Design\Design\FC22\DRR Jaime\QUIFA-CAJÚA\Cajua\[VAS_CAJUA_CF_SEC_20230125.xlsx]CF PND'!</v>
      </c>
      <c r="G3423" s="6" t="s">
        <v>59</v>
      </c>
      <c r="H3423" s="1">
        <f t="shared" ref="H3423:H3442" si="787">IF(A3423&lt;&gt;A3422,36,H3422+1)</f>
        <v>37</v>
      </c>
      <c r="I3423" s="1" t="str">
        <f t="shared" si="786"/>
        <v>='C:\Users\jaime.benazar\Quorum Business Solutions\Ecopetrol Prometeo - Documents\Planning Space Implementation\3. Analysis &amp; Design\Design\FC22\DRR Jaime\QUIFA-CAJÚA\Cajua\[VAS_CAJUA_CF_SEC_20230125.xlsx]CF PND'!$BB$37</v>
      </c>
      <c r="J3423" s="1" t="s">
        <v>1684</v>
      </c>
    </row>
    <row r="3424" spans="1:10" x14ac:dyDescent="0.25">
      <c r="A3424" s="6" t="s">
        <v>3</v>
      </c>
      <c r="B3424" s="6">
        <f t="shared" ref="B3424:B3435" si="788">+B3423+1</f>
        <v>2025</v>
      </c>
      <c r="C3424" s="1" t="s">
        <v>49</v>
      </c>
      <c r="D3424" s="2" t="s">
        <v>128</v>
      </c>
      <c r="E3424" s="9" t="str">
        <f t="shared" si="784"/>
        <v>PND'!</v>
      </c>
      <c r="F3424" s="5" t="str">
        <f t="shared" si="785"/>
        <v>C:\Users\jaime.benazar\Quorum Business Solutions\Ecopetrol Prometeo - Documents\Planning Space Implementation\3. Analysis &amp; Design\Design\FC22\DRR Jaime\QUIFA-CAJÚA\Cajua\[VAS_CAJUA_CF_SEC_20230125.xlsx]CF PND'!</v>
      </c>
      <c r="G3424" s="6" t="s">
        <v>59</v>
      </c>
      <c r="H3424" s="1">
        <f t="shared" si="787"/>
        <v>38</v>
      </c>
      <c r="I3424" s="1" t="str">
        <f t="shared" si="786"/>
        <v>='C:\Users\jaime.benazar\Quorum Business Solutions\Ecopetrol Prometeo - Documents\Planning Space Implementation\3. Analysis &amp; Design\Design\FC22\DRR Jaime\QUIFA-CAJÚA\Cajua\[VAS_CAJUA_CF_SEC_20230125.xlsx]CF PND'!$BB$38</v>
      </c>
      <c r="J3424" s="1" t="s">
        <v>1685</v>
      </c>
    </row>
    <row r="3425" spans="1:10" x14ac:dyDescent="0.25">
      <c r="A3425" s="6" t="s">
        <v>3</v>
      </c>
      <c r="B3425" s="6">
        <f t="shared" si="788"/>
        <v>2026</v>
      </c>
      <c r="C3425" s="1" t="s">
        <v>49</v>
      </c>
      <c r="D3425" s="2" t="s">
        <v>128</v>
      </c>
      <c r="E3425" s="9" t="str">
        <f t="shared" si="784"/>
        <v>PND'!</v>
      </c>
      <c r="F3425" s="5" t="str">
        <f t="shared" si="785"/>
        <v>C:\Users\jaime.benazar\Quorum Business Solutions\Ecopetrol Prometeo - Documents\Planning Space Implementation\3. Analysis &amp; Design\Design\FC22\DRR Jaime\QUIFA-CAJÚA\Cajua\[VAS_CAJUA_CF_SEC_20230125.xlsx]CF PND'!</v>
      </c>
      <c r="G3425" s="6" t="s">
        <v>59</v>
      </c>
      <c r="H3425" s="1">
        <f t="shared" si="787"/>
        <v>39</v>
      </c>
      <c r="I3425" s="1" t="str">
        <f t="shared" si="786"/>
        <v>='C:\Users\jaime.benazar\Quorum Business Solutions\Ecopetrol Prometeo - Documents\Planning Space Implementation\3. Analysis &amp; Design\Design\FC22\DRR Jaime\QUIFA-CAJÚA\Cajua\[VAS_CAJUA_CF_SEC_20230125.xlsx]CF PND'!$BB$39</v>
      </c>
      <c r="J3425" s="1" t="s">
        <v>1686</v>
      </c>
    </row>
    <row r="3426" spans="1:10" x14ac:dyDescent="0.25">
      <c r="A3426" s="6" t="s">
        <v>3</v>
      </c>
      <c r="B3426" s="6">
        <f t="shared" si="788"/>
        <v>2027</v>
      </c>
      <c r="C3426" s="1" t="s">
        <v>49</v>
      </c>
      <c r="D3426" s="2" t="s">
        <v>128</v>
      </c>
      <c r="E3426" s="9" t="str">
        <f t="shared" si="784"/>
        <v>PND'!</v>
      </c>
      <c r="F3426" s="5" t="str">
        <f t="shared" si="785"/>
        <v>C:\Users\jaime.benazar\Quorum Business Solutions\Ecopetrol Prometeo - Documents\Planning Space Implementation\3. Analysis &amp; Design\Design\FC22\DRR Jaime\QUIFA-CAJÚA\Cajua\[VAS_CAJUA_CF_SEC_20230125.xlsx]CF PND'!</v>
      </c>
      <c r="G3426" s="6" t="s">
        <v>59</v>
      </c>
      <c r="H3426" s="1">
        <f t="shared" si="787"/>
        <v>40</v>
      </c>
      <c r="I3426" s="1" t="str">
        <f t="shared" si="786"/>
        <v>='C:\Users\jaime.benazar\Quorum Business Solutions\Ecopetrol Prometeo - Documents\Planning Space Implementation\3. Analysis &amp; Design\Design\FC22\DRR Jaime\QUIFA-CAJÚA\Cajua\[VAS_CAJUA_CF_SEC_20230125.xlsx]CF PND'!$BB$40</v>
      </c>
      <c r="J3426" s="1" t="s">
        <v>1687</v>
      </c>
    </row>
    <row r="3427" spans="1:10" x14ac:dyDescent="0.25">
      <c r="A3427" s="6" t="s">
        <v>3</v>
      </c>
      <c r="B3427" s="6">
        <f t="shared" si="788"/>
        <v>2028</v>
      </c>
      <c r="C3427" s="1" t="s">
        <v>49</v>
      </c>
      <c r="D3427" s="2" t="s">
        <v>128</v>
      </c>
      <c r="E3427" s="9" t="str">
        <f t="shared" si="784"/>
        <v>PND'!</v>
      </c>
      <c r="F3427" s="5" t="str">
        <f t="shared" si="785"/>
        <v>C:\Users\jaime.benazar\Quorum Business Solutions\Ecopetrol Prometeo - Documents\Planning Space Implementation\3. Analysis &amp; Design\Design\FC22\DRR Jaime\QUIFA-CAJÚA\Cajua\[VAS_CAJUA_CF_SEC_20230125.xlsx]CF PND'!</v>
      </c>
      <c r="G3427" s="6" t="s">
        <v>59</v>
      </c>
      <c r="H3427" s="1">
        <f t="shared" si="787"/>
        <v>41</v>
      </c>
      <c r="I3427" s="1" t="str">
        <f t="shared" si="786"/>
        <v>='C:\Users\jaime.benazar\Quorum Business Solutions\Ecopetrol Prometeo - Documents\Planning Space Implementation\3. Analysis &amp; Design\Design\FC22\DRR Jaime\QUIFA-CAJÚA\Cajua\[VAS_CAJUA_CF_SEC_20230125.xlsx]CF PND'!$BB$41</v>
      </c>
      <c r="J3427" s="1" t="s">
        <v>1688</v>
      </c>
    </row>
    <row r="3428" spans="1:10" x14ac:dyDescent="0.25">
      <c r="A3428" s="6" t="s">
        <v>3</v>
      </c>
      <c r="B3428" s="6">
        <f t="shared" si="788"/>
        <v>2029</v>
      </c>
      <c r="C3428" s="1" t="s">
        <v>49</v>
      </c>
      <c r="D3428" s="2" t="s">
        <v>128</v>
      </c>
      <c r="E3428" s="9" t="str">
        <f t="shared" si="784"/>
        <v>PND'!</v>
      </c>
      <c r="F3428" s="5" t="str">
        <f t="shared" si="785"/>
        <v>C:\Users\jaime.benazar\Quorum Business Solutions\Ecopetrol Prometeo - Documents\Planning Space Implementation\3. Analysis &amp; Design\Design\FC22\DRR Jaime\QUIFA-CAJÚA\Cajua\[VAS_CAJUA_CF_SEC_20230125.xlsx]CF PND'!</v>
      </c>
      <c r="G3428" s="6" t="s">
        <v>59</v>
      </c>
      <c r="H3428" s="1">
        <f t="shared" si="787"/>
        <v>42</v>
      </c>
      <c r="I3428" s="1" t="str">
        <f t="shared" si="786"/>
        <v>='C:\Users\jaime.benazar\Quorum Business Solutions\Ecopetrol Prometeo - Documents\Planning Space Implementation\3. Analysis &amp; Design\Design\FC22\DRR Jaime\QUIFA-CAJÚA\Cajua\[VAS_CAJUA_CF_SEC_20230125.xlsx]CF PND'!$BB$42</v>
      </c>
      <c r="J3428" s="1" t="s">
        <v>1689</v>
      </c>
    </row>
    <row r="3429" spans="1:10" x14ac:dyDescent="0.25">
      <c r="A3429" s="6" t="s">
        <v>3</v>
      </c>
      <c r="B3429" s="6">
        <f t="shared" si="788"/>
        <v>2030</v>
      </c>
      <c r="C3429" s="1" t="s">
        <v>49</v>
      </c>
      <c r="D3429" s="2" t="s">
        <v>128</v>
      </c>
      <c r="E3429" s="9" t="str">
        <f t="shared" si="784"/>
        <v>PND'!</v>
      </c>
      <c r="F3429" s="5" t="str">
        <f t="shared" si="785"/>
        <v>C:\Users\jaime.benazar\Quorum Business Solutions\Ecopetrol Prometeo - Documents\Planning Space Implementation\3. Analysis &amp; Design\Design\FC22\DRR Jaime\QUIFA-CAJÚA\Cajua\[VAS_CAJUA_CF_SEC_20230125.xlsx]CF PND'!</v>
      </c>
      <c r="G3429" s="6" t="s">
        <v>59</v>
      </c>
      <c r="H3429" s="1">
        <f t="shared" si="787"/>
        <v>43</v>
      </c>
      <c r="I3429" s="1" t="str">
        <f t="shared" si="786"/>
        <v>='C:\Users\jaime.benazar\Quorum Business Solutions\Ecopetrol Prometeo - Documents\Planning Space Implementation\3. Analysis &amp; Design\Design\FC22\DRR Jaime\QUIFA-CAJÚA\Cajua\[VAS_CAJUA_CF_SEC_20230125.xlsx]CF PND'!$BB$43</v>
      </c>
      <c r="J3429" s="1" t="s">
        <v>1690</v>
      </c>
    </row>
    <row r="3430" spans="1:10" x14ac:dyDescent="0.25">
      <c r="A3430" s="6" t="s">
        <v>3</v>
      </c>
      <c r="B3430" s="6">
        <f t="shared" si="788"/>
        <v>2031</v>
      </c>
      <c r="C3430" s="1" t="s">
        <v>49</v>
      </c>
      <c r="D3430" s="2" t="s">
        <v>128</v>
      </c>
      <c r="E3430" s="9" t="str">
        <f t="shared" si="784"/>
        <v>PND'!</v>
      </c>
      <c r="F3430" s="5" t="str">
        <f t="shared" si="785"/>
        <v>C:\Users\jaime.benazar\Quorum Business Solutions\Ecopetrol Prometeo - Documents\Planning Space Implementation\3. Analysis &amp; Design\Design\FC22\DRR Jaime\QUIFA-CAJÚA\Cajua\[VAS_CAJUA_CF_SEC_20230125.xlsx]CF PND'!</v>
      </c>
      <c r="G3430" s="6" t="s">
        <v>59</v>
      </c>
      <c r="H3430" s="1">
        <f t="shared" si="787"/>
        <v>44</v>
      </c>
      <c r="I3430" s="1" t="str">
        <f t="shared" si="786"/>
        <v>='C:\Users\jaime.benazar\Quorum Business Solutions\Ecopetrol Prometeo - Documents\Planning Space Implementation\3. Analysis &amp; Design\Design\FC22\DRR Jaime\QUIFA-CAJÚA\Cajua\[VAS_CAJUA_CF_SEC_20230125.xlsx]CF PND'!$BB$44</v>
      </c>
      <c r="J3430" s="1" t="s">
        <v>1691</v>
      </c>
    </row>
    <row r="3431" spans="1:10" x14ac:dyDescent="0.25">
      <c r="A3431" s="6" t="s">
        <v>3</v>
      </c>
      <c r="B3431" s="6">
        <f t="shared" si="788"/>
        <v>2032</v>
      </c>
      <c r="C3431" s="1" t="s">
        <v>49</v>
      </c>
      <c r="D3431" s="2" t="s">
        <v>128</v>
      </c>
      <c r="E3431" s="9" t="str">
        <f t="shared" si="784"/>
        <v>PND'!</v>
      </c>
      <c r="F3431" s="5" t="str">
        <f t="shared" si="785"/>
        <v>C:\Users\jaime.benazar\Quorum Business Solutions\Ecopetrol Prometeo - Documents\Planning Space Implementation\3. Analysis &amp; Design\Design\FC22\DRR Jaime\QUIFA-CAJÚA\Cajua\[VAS_CAJUA_CF_SEC_20230125.xlsx]CF PND'!</v>
      </c>
      <c r="G3431" s="6" t="s">
        <v>59</v>
      </c>
      <c r="H3431" s="1">
        <f t="shared" si="787"/>
        <v>45</v>
      </c>
      <c r="I3431" s="1" t="str">
        <f t="shared" si="786"/>
        <v>='C:\Users\jaime.benazar\Quorum Business Solutions\Ecopetrol Prometeo - Documents\Planning Space Implementation\3. Analysis &amp; Design\Design\FC22\DRR Jaime\QUIFA-CAJÚA\Cajua\[VAS_CAJUA_CF_SEC_20230125.xlsx]CF PND'!$BB$45</v>
      </c>
      <c r="J3431" s="1" t="s">
        <v>1692</v>
      </c>
    </row>
    <row r="3432" spans="1:10" x14ac:dyDescent="0.25">
      <c r="A3432" s="6" t="s">
        <v>3</v>
      </c>
      <c r="B3432" s="6">
        <f t="shared" si="788"/>
        <v>2033</v>
      </c>
      <c r="C3432" s="1" t="s">
        <v>49</v>
      </c>
      <c r="D3432" s="2" t="s">
        <v>128</v>
      </c>
      <c r="E3432" s="9" t="str">
        <f t="shared" si="784"/>
        <v>PND'!</v>
      </c>
      <c r="F3432" s="5" t="str">
        <f t="shared" si="785"/>
        <v>C:\Users\jaime.benazar\Quorum Business Solutions\Ecopetrol Prometeo - Documents\Planning Space Implementation\3. Analysis &amp; Design\Design\FC22\DRR Jaime\QUIFA-CAJÚA\Cajua\[VAS_CAJUA_CF_SEC_20230125.xlsx]CF PND'!</v>
      </c>
      <c r="G3432" s="6" t="s">
        <v>59</v>
      </c>
      <c r="H3432" s="1">
        <f t="shared" si="787"/>
        <v>46</v>
      </c>
      <c r="I3432" s="1" t="str">
        <f t="shared" si="786"/>
        <v>='C:\Users\jaime.benazar\Quorum Business Solutions\Ecopetrol Prometeo - Documents\Planning Space Implementation\3. Analysis &amp; Design\Design\FC22\DRR Jaime\QUIFA-CAJÚA\Cajua\[VAS_CAJUA_CF_SEC_20230125.xlsx]CF PND'!$BB$46</v>
      </c>
      <c r="J3432" s="1" t="s">
        <v>1693</v>
      </c>
    </row>
    <row r="3433" spans="1:10" x14ac:dyDescent="0.25">
      <c r="A3433" s="6" t="s">
        <v>3</v>
      </c>
      <c r="B3433" s="6">
        <f t="shared" si="788"/>
        <v>2034</v>
      </c>
      <c r="C3433" s="1" t="s">
        <v>49</v>
      </c>
      <c r="D3433" s="2" t="s">
        <v>128</v>
      </c>
      <c r="E3433" s="9" t="str">
        <f t="shared" si="784"/>
        <v>PND'!</v>
      </c>
      <c r="F3433" s="5" t="str">
        <f t="shared" si="785"/>
        <v>C:\Users\jaime.benazar\Quorum Business Solutions\Ecopetrol Prometeo - Documents\Planning Space Implementation\3. Analysis &amp; Design\Design\FC22\DRR Jaime\QUIFA-CAJÚA\Cajua\[VAS_CAJUA_CF_SEC_20230125.xlsx]CF PND'!</v>
      </c>
      <c r="G3433" s="6" t="s">
        <v>59</v>
      </c>
      <c r="H3433" s="1">
        <f t="shared" si="787"/>
        <v>47</v>
      </c>
      <c r="I3433" s="1" t="str">
        <f t="shared" si="786"/>
        <v>='C:\Users\jaime.benazar\Quorum Business Solutions\Ecopetrol Prometeo - Documents\Planning Space Implementation\3. Analysis &amp; Design\Design\FC22\DRR Jaime\QUIFA-CAJÚA\Cajua\[VAS_CAJUA_CF_SEC_20230125.xlsx]CF PND'!$BB$47</v>
      </c>
      <c r="J3433" s="1" t="s">
        <v>1694</v>
      </c>
    </row>
    <row r="3434" spans="1:10" x14ac:dyDescent="0.25">
      <c r="A3434" s="6" t="s">
        <v>3</v>
      </c>
      <c r="B3434" s="6">
        <f t="shared" si="788"/>
        <v>2035</v>
      </c>
      <c r="C3434" s="1" t="s">
        <v>49</v>
      </c>
      <c r="D3434" s="2" t="s">
        <v>128</v>
      </c>
      <c r="E3434" s="9" t="str">
        <f t="shared" si="784"/>
        <v>PND'!</v>
      </c>
      <c r="F3434" s="5" t="str">
        <f t="shared" si="785"/>
        <v>C:\Users\jaime.benazar\Quorum Business Solutions\Ecopetrol Prometeo - Documents\Planning Space Implementation\3. Analysis &amp; Design\Design\FC22\DRR Jaime\QUIFA-CAJÚA\Cajua\[VAS_CAJUA_CF_SEC_20230125.xlsx]CF PND'!</v>
      </c>
      <c r="G3434" s="6" t="s">
        <v>59</v>
      </c>
      <c r="H3434" s="1">
        <f t="shared" si="787"/>
        <v>48</v>
      </c>
      <c r="I3434" s="1" t="str">
        <f t="shared" si="786"/>
        <v>='C:\Users\jaime.benazar\Quorum Business Solutions\Ecopetrol Prometeo - Documents\Planning Space Implementation\3. Analysis &amp; Design\Design\FC22\DRR Jaime\QUIFA-CAJÚA\Cajua\[VAS_CAJUA_CF_SEC_20230125.xlsx]CF PND'!$BB$48</v>
      </c>
      <c r="J3434" s="1" t="s">
        <v>1695</v>
      </c>
    </row>
    <row r="3435" spans="1:10" x14ac:dyDescent="0.25">
      <c r="A3435" s="6" t="s">
        <v>3</v>
      </c>
      <c r="B3435" s="6">
        <f t="shared" si="788"/>
        <v>2036</v>
      </c>
      <c r="C3435" s="1" t="s">
        <v>49</v>
      </c>
      <c r="D3435" s="2" t="s">
        <v>128</v>
      </c>
      <c r="E3435" s="9" t="str">
        <f t="shared" si="784"/>
        <v>PND'!</v>
      </c>
      <c r="F3435" s="5" t="str">
        <f t="shared" si="785"/>
        <v>C:\Users\jaime.benazar\Quorum Business Solutions\Ecopetrol Prometeo - Documents\Planning Space Implementation\3. Analysis &amp; Design\Design\FC22\DRR Jaime\QUIFA-CAJÚA\Cajua\[VAS_CAJUA_CF_SEC_20230125.xlsx]CF PND'!</v>
      </c>
      <c r="G3435" s="6" t="s">
        <v>59</v>
      </c>
      <c r="H3435" s="1">
        <f t="shared" si="787"/>
        <v>49</v>
      </c>
      <c r="I3435" s="1" t="str">
        <f t="shared" si="786"/>
        <v>='C:\Users\jaime.benazar\Quorum Business Solutions\Ecopetrol Prometeo - Documents\Planning Space Implementation\3. Analysis &amp; Design\Design\FC22\DRR Jaime\QUIFA-CAJÚA\Cajua\[VAS_CAJUA_CF_SEC_20230125.xlsx]CF PND'!$BB$49</v>
      </c>
      <c r="J3435" s="1" t="s">
        <v>1696</v>
      </c>
    </row>
    <row r="3436" spans="1:10" x14ac:dyDescent="0.25">
      <c r="A3436" s="6" t="s">
        <v>3</v>
      </c>
      <c r="B3436" s="6">
        <f>+B3435+1</f>
        <v>2037</v>
      </c>
      <c r="C3436" s="1" t="s">
        <v>49</v>
      </c>
      <c r="D3436" s="2" t="s">
        <v>128</v>
      </c>
      <c r="E3436" s="9" t="str">
        <f t="shared" si="784"/>
        <v>PND'!</v>
      </c>
      <c r="F3436" s="5" t="str">
        <f t="shared" si="785"/>
        <v>C:\Users\jaime.benazar\Quorum Business Solutions\Ecopetrol Prometeo - Documents\Planning Space Implementation\3. Analysis &amp; Design\Design\FC22\DRR Jaime\QUIFA-CAJÚA\Cajua\[VAS_CAJUA_CF_SEC_20230125.xlsx]CF PND'!</v>
      </c>
      <c r="G3436" s="6" t="s">
        <v>59</v>
      </c>
      <c r="H3436" s="1">
        <f t="shared" si="787"/>
        <v>50</v>
      </c>
      <c r="I3436" s="1" t="str">
        <f t="shared" si="786"/>
        <v>='C:\Users\jaime.benazar\Quorum Business Solutions\Ecopetrol Prometeo - Documents\Planning Space Implementation\3. Analysis &amp; Design\Design\FC22\DRR Jaime\QUIFA-CAJÚA\Cajua\[VAS_CAJUA_CF_SEC_20230125.xlsx]CF PND'!$BB$50</v>
      </c>
      <c r="J3436" s="1" t="s">
        <v>1697</v>
      </c>
    </row>
    <row r="3437" spans="1:10" x14ac:dyDescent="0.25">
      <c r="A3437" s="6" t="s">
        <v>3</v>
      </c>
      <c r="B3437" s="6">
        <f t="shared" ref="B3437:B3439" si="789">+B3436+1</f>
        <v>2038</v>
      </c>
      <c r="C3437" s="1" t="s">
        <v>49</v>
      </c>
      <c r="D3437" s="2" t="s">
        <v>128</v>
      </c>
      <c r="E3437" s="9" t="str">
        <f t="shared" si="784"/>
        <v>PND'!</v>
      </c>
      <c r="F3437" s="5" t="str">
        <f t="shared" si="785"/>
        <v>C:\Users\jaime.benazar\Quorum Business Solutions\Ecopetrol Prometeo - Documents\Planning Space Implementation\3. Analysis &amp; Design\Design\FC22\DRR Jaime\QUIFA-CAJÚA\Cajua\[VAS_CAJUA_CF_SEC_20230125.xlsx]CF PND'!</v>
      </c>
      <c r="G3437" s="6" t="s">
        <v>59</v>
      </c>
      <c r="H3437" s="1">
        <f t="shared" si="787"/>
        <v>51</v>
      </c>
      <c r="I3437" s="1" t="str">
        <f t="shared" si="786"/>
        <v>='C:\Users\jaime.benazar\Quorum Business Solutions\Ecopetrol Prometeo - Documents\Planning Space Implementation\3. Analysis &amp; Design\Design\FC22\DRR Jaime\QUIFA-CAJÚA\Cajua\[VAS_CAJUA_CF_SEC_20230125.xlsx]CF PND'!$BB$51</v>
      </c>
      <c r="J3437" s="1" t="s">
        <v>1698</v>
      </c>
    </row>
    <row r="3438" spans="1:10" x14ac:dyDescent="0.25">
      <c r="A3438" s="6" t="s">
        <v>3</v>
      </c>
      <c r="B3438" s="6">
        <f t="shared" si="789"/>
        <v>2039</v>
      </c>
      <c r="C3438" s="1" t="s">
        <v>49</v>
      </c>
      <c r="D3438" s="2" t="s">
        <v>128</v>
      </c>
      <c r="E3438" s="9" t="str">
        <f t="shared" si="784"/>
        <v>PND'!</v>
      </c>
      <c r="F3438" s="5" t="str">
        <f t="shared" si="785"/>
        <v>C:\Users\jaime.benazar\Quorum Business Solutions\Ecopetrol Prometeo - Documents\Planning Space Implementation\3. Analysis &amp; Design\Design\FC22\DRR Jaime\QUIFA-CAJÚA\Cajua\[VAS_CAJUA_CF_SEC_20230125.xlsx]CF PND'!</v>
      </c>
      <c r="G3438" s="6" t="s">
        <v>59</v>
      </c>
      <c r="H3438" s="1">
        <f t="shared" si="787"/>
        <v>52</v>
      </c>
      <c r="I3438" s="1" t="str">
        <f t="shared" si="786"/>
        <v>='C:\Users\jaime.benazar\Quorum Business Solutions\Ecopetrol Prometeo - Documents\Planning Space Implementation\3. Analysis &amp; Design\Design\FC22\DRR Jaime\QUIFA-CAJÚA\Cajua\[VAS_CAJUA_CF_SEC_20230125.xlsx]CF PND'!$BB$52</v>
      </c>
      <c r="J3438" s="1" t="s">
        <v>1699</v>
      </c>
    </row>
    <row r="3439" spans="1:10" x14ac:dyDescent="0.25">
      <c r="A3439" s="6" t="s">
        <v>3</v>
      </c>
      <c r="B3439" s="6">
        <f t="shared" si="789"/>
        <v>2040</v>
      </c>
      <c r="C3439" s="1" t="s">
        <v>49</v>
      </c>
      <c r="D3439" s="2" t="s">
        <v>128</v>
      </c>
      <c r="E3439" s="9" t="str">
        <f t="shared" si="784"/>
        <v>PND'!</v>
      </c>
      <c r="F3439" s="5" t="str">
        <f t="shared" si="785"/>
        <v>C:\Users\jaime.benazar\Quorum Business Solutions\Ecopetrol Prometeo - Documents\Planning Space Implementation\3. Analysis &amp; Design\Design\FC22\DRR Jaime\QUIFA-CAJÚA\Cajua\[VAS_CAJUA_CF_SEC_20230125.xlsx]CF PND'!</v>
      </c>
      <c r="G3439" s="6" t="s">
        <v>59</v>
      </c>
      <c r="H3439" s="1">
        <f t="shared" si="787"/>
        <v>53</v>
      </c>
      <c r="I3439" s="1" t="str">
        <f t="shared" si="786"/>
        <v>='C:\Users\jaime.benazar\Quorum Business Solutions\Ecopetrol Prometeo - Documents\Planning Space Implementation\3. Analysis &amp; Design\Design\FC22\DRR Jaime\QUIFA-CAJÚA\Cajua\[VAS_CAJUA_CF_SEC_20230125.xlsx]CF PND'!$BB$53</v>
      </c>
      <c r="J3439" s="1" t="s">
        <v>1700</v>
      </c>
    </row>
    <row r="3440" spans="1:10" x14ac:dyDescent="0.25">
      <c r="A3440" s="6" t="s">
        <v>3</v>
      </c>
      <c r="B3440" s="6">
        <f>+B3439+1</f>
        <v>2041</v>
      </c>
      <c r="C3440" s="1" t="s">
        <v>49</v>
      </c>
      <c r="D3440" s="2" t="s">
        <v>128</v>
      </c>
      <c r="E3440" s="9" t="str">
        <f t="shared" si="784"/>
        <v>PND'!</v>
      </c>
      <c r="F3440" s="5" t="str">
        <f t="shared" si="785"/>
        <v>C:\Users\jaime.benazar\Quorum Business Solutions\Ecopetrol Prometeo - Documents\Planning Space Implementation\3. Analysis &amp; Design\Design\FC22\DRR Jaime\QUIFA-CAJÚA\Cajua\[VAS_CAJUA_CF_SEC_20230125.xlsx]CF PND'!</v>
      </c>
      <c r="G3440" s="6" t="s">
        <v>59</v>
      </c>
      <c r="H3440" s="1">
        <f t="shared" si="787"/>
        <v>54</v>
      </c>
      <c r="I3440" s="1" t="str">
        <f t="shared" si="786"/>
        <v>='C:\Users\jaime.benazar\Quorum Business Solutions\Ecopetrol Prometeo - Documents\Planning Space Implementation\3. Analysis &amp; Design\Design\FC22\DRR Jaime\QUIFA-CAJÚA\Cajua\[VAS_CAJUA_CF_SEC_20230125.xlsx]CF PND'!$BB$54</v>
      </c>
      <c r="J3440" s="1" t="s">
        <v>1701</v>
      </c>
    </row>
    <row r="3441" spans="1:10" x14ac:dyDescent="0.25">
      <c r="A3441" s="6" t="s">
        <v>3</v>
      </c>
      <c r="B3441" s="6">
        <f t="shared" ref="B3441:B3442" si="790">+B3440+1</f>
        <v>2042</v>
      </c>
      <c r="C3441" s="1" t="s">
        <v>49</v>
      </c>
      <c r="D3441" s="2" t="s">
        <v>128</v>
      </c>
      <c r="E3441" s="9" t="str">
        <f t="shared" si="784"/>
        <v>PND'!</v>
      </c>
      <c r="F3441" s="5" t="str">
        <f t="shared" si="785"/>
        <v>C:\Users\jaime.benazar\Quorum Business Solutions\Ecopetrol Prometeo - Documents\Planning Space Implementation\3. Analysis &amp; Design\Design\FC22\DRR Jaime\QUIFA-CAJÚA\Cajua\[VAS_CAJUA_CF_SEC_20230125.xlsx]CF PND'!</v>
      </c>
      <c r="G3441" s="6" t="s">
        <v>59</v>
      </c>
      <c r="H3441" s="1">
        <f t="shared" si="787"/>
        <v>55</v>
      </c>
      <c r="I3441" s="1" t="str">
        <f t="shared" si="786"/>
        <v>='C:\Users\jaime.benazar\Quorum Business Solutions\Ecopetrol Prometeo - Documents\Planning Space Implementation\3. Analysis &amp; Design\Design\FC22\DRR Jaime\QUIFA-CAJÚA\Cajua\[VAS_CAJUA_CF_SEC_20230125.xlsx]CF PND'!$BB$55</v>
      </c>
      <c r="J3441" s="1" t="s">
        <v>1702</v>
      </c>
    </row>
    <row r="3442" spans="1:10" x14ac:dyDescent="0.25">
      <c r="A3442" s="6" t="s">
        <v>3</v>
      </c>
      <c r="B3442" s="6">
        <f t="shared" si="790"/>
        <v>2043</v>
      </c>
      <c r="C3442" s="1" t="s">
        <v>49</v>
      </c>
      <c r="D3442" s="2" t="s">
        <v>128</v>
      </c>
      <c r="E3442" s="9" t="str">
        <f t="shared" si="784"/>
        <v>PND'!</v>
      </c>
      <c r="F3442" s="5" t="str">
        <f t="shared" si="785"/>
        <v>C:\Users\jaime.benazar\Quorum Business Solutions\Ecopetrol Prometeo - Documents\Planning Space Implementation\3. Analysis &amp; Design\Design\FC22\DRR Jaime\QUIFA-CAJÚA\Cajua\[VAS_CAJUA_CF_SEC_20230125.xlsx]CF PND'!</v>
      </c>
      <c r="G3442" s="6" t="s">
        <v>59</v>
      </c>
      <c r="H3442" s="1">
        <f t="shared" si="787"/>
        <v>56</v>
      </c>
      <c r="I3442" s="1" t="str">
        <f t="shared" si="786"/>
        <v>='C:\Users\jaime.benazar\Quorum Business Solutions\Ecopetrol Prometeo - Documents\Planning Space Implementation\3. Analysis &amp; Design\Design\FC22\DRR Jaime\QUIFA-CAJÚA\Cajua\[VAS_CAJUA_CF_SEC_20230125.xlsx]CF PND'!$BB$56</v>
      </c>
      <c r="J3442" s="1" t="s">
        <v>1703</v>
      </c>
    </row>
    <row r="3443" spans="1:10" x14ac:dyDescent="0.25">
      <c r="A3443" s="6" t="s">
        <v>3</v>
      </c>
      <c r="B3443" s="6">
        <f>+B3442+1</f>
        <v>2044</v>
      </c>
      <c r="C3443" s="1" t="s">
        <v>49</v>
      </c>
      <c r="D3443" s="2" t="s">
        <v>128</v>
      </c>
      <c r="E3443" s="9" t="str">
        <f t="shared" ref="E3443:E3458" si="791">_xlfn.CONCAT(A3443,"'!")</f>
        <v>PND'!</v>
      </c>
      <c r="F3443" s="5" t="str">
        <f t="shared" ref="F3443:F3458" si="792">_xlfn.CONCAT(D3443," ",E3443)</f>
        <v>C:\Users\jaime.benazar\Quorum Business Solutions\Ecopetrol Prometeo - Documents\Planning Space Implementation\3. Analysis &amp; Design\Design\FC22\DRR Jaime\QUIFA-CAJÚA\Cajua\[VAS_CAJUA_CF_SEC_20230125.xlsx]CF PND'!</v>
      </c>
      <c r="G3443" s="6" t="s">
        <v>59</v>
      </c>
      <c r="H3443" s="1">
        <f t="shared" ref="H3443:H3458" si="793">IF(A3443&lt;&gt;A3442,36,H3442+1)</f>
        <v>57</v>
      </c>
      <c r="I3443" s="1" t="str">
        <f t="shared" ref="I3443:I3458" si="794">_xlfn.CONCAT("='",F3443:H3443)</f>
        <v>='C:\Users\jaime.benazar\Quorum Business Solutions\Ecopetrol Prometeo - Documents\Planning Space Implementation\3. Analysis &amp; Design\Design\FC22\DRR Jaime\QUIFA-CAJÚA\Cajua\[VAS_CAJUA_CF_SEC_20230125.xlsx]CF PND'!$BB$57</v>
      </c>
      <c r="J3443" s="1" t="s">
        <v>1704</v>
      </c>
    </row>
    <row r="3444" spans="1:10" x14ac:dyDescent="0.25">
      <c r="A3444" s="6" t="s">
        <v>3</v>
      </c>
      <c r="B3444" s="6">
        <f t="shared" ref="B3444:B3458" si="795">+B3443+1</f>
        <v>2045</v>
      </c>
      <c r="C3444" s="1" t="s">
        <v>49</v>
      </c>
      <c r="D3444" s="2" t="s">
        <v>128</v>
      </c>
      <c r="E3444" s="9" t="str">
        <f t="shared" si="791"/>
        <v>PND'!</v>
      </c>
      <c r="F3444" s="5" t="str">
        <f t="shared" si="792"/>
        <v>C:\Users\jaime.benazar\Quorum Business Solutions\Ecopetrol Prometeo - Documents\Planning Space Implementation\3. Analysis &amp; Design\Design\FC22\DRR Jaime\QUIFA-CAJÚA\Cajua\[VAS_CAJUA_CF_SEC_20230125.xlsx]CF PND'!</v>
      </c>
      <c r="G3444" s="6" t="s">
        <v>59</v>
      </c>
      <c r="H3444" s="1">
        <f t="shared" si="793"/>
        <v>58</v>
      </c>
      <c r="I3444" s="1" t="str">
        <f t="shared" si="794"/>
        <v>='C:\Users\jaime.benazar\Quorum Business Solutions\Ecopetrol Prometeo - Documents\Planning Space Implementation\3. Analysis &amp; Design\Design\FC22\DRR Jaime\QUIFA-CAJÚA\Cajua\[VAS_CAJUA_CF_SEC_20230125.xlsx]CF PND'!$BB$58</v>
      </c>
      <c r="J3444" s="1" t="s">
        <v>1705</v>
      </c>
    </row>
    <row r="3445" spans="1:10" x14ac:dyDescent="0.25">
      <c r="A3445" s="6" t="s">
        <v>3</v>
      </c>
      <c r="B3445" s="6">
        <f t="shared" si="795"/>
        <v>2046</v>
      </c>
      <c r="C3445" s="1" t="s">
        <v>49</v>
      </c>
      <c r="D3445" s="2" t="s">
        <v>128</v>
      </c>
      <c r="E3445" s="9" t="str">
        <f t="shared" si="791"/>
        <v>PND'!</v>
      </c>
      <c r="F3445" s="5" t="str">
        <f t="shared" si="792"/>
        <v>C:\Users\jaime.benazar\Quorum Business Solutions\Ecopetrol Prometeo - Documents\Planning Space Implementation\3. Analysis &amp; Design\Design\FC22\DRR Jaime\QUIFA-CAJÚA\Cajua\[VAS_CAJUA_CF_SEC_20230125.xlsx]CF PND'!</v>
      </c>
      <c r="G3445" s="6" t="s">
        <v>59</v>
      </c>
      <c r="H3445" s="1">
        <f t="shared" si="793"/>
        <v>59</v>
      </c>
      <c r="I3445" s="1" t="str">
        <f t="shared" si="794"/>
        <v>='C:\Users\jaime.benazar\Quorum Business Solutions\Ecopetrol Prometeo - Documents\Planning Space Implementation\3. Analysis &amp; Design\Design\FC22\DRR Jaime\QUIFA-CAJÚA\Cajua\[VAS_CAJUA_CF_SEC_20230125.xlsx]CF PND'!$BB$59</v>
      </c>
      <c r="J3445" s="1" t="s">
        <v>1706</v>
      </c>
    </row>
    <row r="3446" spans="1:10" x14ac:dyDescent="0.25">
      <c r="A3446" s="6" t="s">
        <v>3</v>
      </c>
      <c r="B3446" s="6">
        <f t="shared" si="795"/>
        <v>2047</v>
      </c>
      <c r="C3446" s="1" t="s">
        <v>49</v>
      </c>
      <c r="D3446" s="2" t="s">
        <v>128</v>
      </c>
      <c r="E3446" s="9" t="str">
        <f t="shared" si="791"/>
        <v>PND'!</v>
      </c>
      <c r="F3446" s="5" t="str">
        <f t="shared" si="792"/>
        <v>C:\Users\jaime.benazar\Quorum Business Solutions\Ecopetrol Prometeo - Documents\Planning Space Implementation\3. Analysis &amp; Design\Design\FC22\DRR Jaime\QUIFA-CAJÚA\Cajua\[VAS_CAJUA_CF_SEC_20230125.xlsx]CF PND'!</v>
      </c>
      <c r="G3446" s="6" t="s">
        <v>59</v>
      </c>
      <c r="H3446" s="1">
        <f t="shared" si="793"/>
        <v>60</v>
      </c>
      <c r="I3446" s="1" t="str">
        <f t="shared" si="794"/>
        <v>='C:\Users\jaime.benazar\Quorum Business Solutions\Ecopetrol Prometeo - Documents\Planning Space Implementation\3. Analysis &amp; Design\Design\FC22\DRR Jaime\QUIFA-CAJÚA\Cajua\[VAS_CAJUA_CF_SEC_20230125.xlsx]CF PND'!$BB$60</v>
      </c>
      <c r="J3446" s="1" t="s">
        <v>1707</v>
      </c>
    </row>
    <row r="3447" spans="1:10" x14ac:dyDescent="0.25">
      <c r="A3447" s="6" t="s">
        <v>3</v>
      </c>
      <c r="B3447" s="6">
        <f t="shared" si="795"/>
        <v>2048</v>
      </c>
      <c r="C3447" s="1" t="s">
        <v>49</v>
      </c>
      <c r="D3447" s="2" t="s">
        <v>128</v>
      </c>
      <c r="E3447" s="9" t="str">
        <f t="shared" si="791"/>
        <v>PND'!</v>
      </c>
      <c r="F3447" s="5" t="str">
        <f t="shared" si="792"/>
        <v>C:\Users\jaime.benazar\Quorum Business Solutions\Ecopetrol Prometeo - Documents\Planning Space Implementation\3. Analysis &amp; Design\Design\FC22\DRR Jaime\QUIFA-CAJÚA\Cajua\[VAS_CAJUA_CF_SEC_20230125.xlsx]CF PND'!</v>
      </c>
      <c r="G3447" s="6" t="s">
        <v>59</v>
      </c>
      <c r="H3447" s="1">
        <f t="shared" si="793"/>
        <v>61</v>
      </c>
      <c r="I3447" s="1" t="str">
        <f t="shared" si="794"/>
        <v>='C:\Users\jaime.benazar\Quorum Business Solutions\Ecopetrol Prometeo - Documents\Planning Space Implementation\3. Analysis &amp; Design\Design\FC22\DRR Jaime\QUIFA-CAJÚA\Cajua\[VAS_CAJUA_CF_SEC_20230125.xlsx]CF PND'!$BB$61</v>
      </c>
      <c r="J3447" s="1" t="s">
        <v>1708</v>
      </c>
    </row>
    <row r="3448" spans="1:10" x14ac:dyDescent="0.25">
      <c r="A3448" s="6" t="s">
        <v>3</v>
      </c>
      <c r="B3448" s="6">
        <f t="shared" si="795"/>
        <v>2049</v>
      </c>
      <c r="C3448" s="1" t="s">
        <v>49</v>
      </c>
      <c r="D3448" s="2" t="s">
        <v>128</v>
      </c>
      <c r="E3448" s="9" t="str">
        <f t="shared" si="791"/>
        <v>PND'!</v>
      </c>
      <c r="F3448" s="5" t="str">
        <f t="shared" si="792"/>
        <v>C:\Users\jaime.benazar\Quorum Business Solutions\Ecopetrol Prometeo - Documents\Planning Space Implementation\3. Analysis &amp; Design\Design\FC22\DRR Jaime\QUIFA-CAJÚA\Cajua\[VAS_CAJUA_CF_SEC_20230125.xlsx]CF PND'!</v>
      </c>
      <c r="G3448" s="6" t="s">
        <v>59</v>
      </c>
      <c r="H3448" s="1">
        <f t="shared" si="793"/>
        <v>62</v>
      </c>
      <c r="I3448" s="1" t="str">
        <f t="shared" si="794"/>
        <v>='C:\Users\jaime.benazar\Quorum Business Solutions\Ecopetrol Prometeo - Documents\Planning Space Implementation\3. Analysis &amp; Design\Design\FC22\DRR Jaime\QUIFA-CAJÚA\Cajua\[VAS_CAJUA_CF_SEC_20230125.xlsx]CF PND'!$BB$62</v>
      </c>
      <c r="J3448" s="1" t="s">
        <v>1709</v>
      </c>
    </row>
    <row r="3449" spans="1:10" x14ac:dyDescent="0.25">
      <c r="A3449" s="6" t="s">
        <v>3</v>
      </c>
      <c r="B3449" s="6">
        <f t="shared" si="795"/>
        <v>2050</v>
      </c>
      <c r="C3449" s="1" t="s">
        <v>49</v>
      </c>
      <c r="D3449" s="2" t="s">
        <v>128</v>
      </c>
      <c r="E3449" s="9" t="str">
        <f t="shared" si="791"/>
        <v>PND'!</v>
      </c>
      <c r="F3449" s="5" t="str">
        <f t="shared" si="792"/>
        <v>C:\Users\jaime.benazar\Quorum Business Solutions\Ecopetrol Prometeo - Documents\Planning Space Implementation\3. Analysis &amp; Design\Design\FC22\DRR Jaime\QUIFA-CAJÚA\Cajua\[VAS_CAJUA_CF_SEC_20230125.xlsx]CF PND'!</v>
      </c>
      <c r="G3449" s="6" t="s">
        <v>59</v>
      </c>
      <c r="H3449" s="1">
        <f t="shared" si="793"/>
        <v>63</v>
      </c>
      <c r="I3449" s="1" t="str">
        <f t="shared" si="794"/>
        <v>='C:\Users\jaime.benazar\Quorum Business Solutions\Ecopetrol Prometeo - Documents\Planning Space Implementation\3. Analysis &amp; Design\Design\FC22\DRR Jaime\QUIFA-CAJÚA\Cajua\[VAS_CAJUA_CF_SEC_20230125.xlsx]CF PND'!$BB$63</v>
      </c>
      <c r="J3449" s="1" t="s">
        <v>1710</v>
      </c>
    </row>
    <row r="3450" spans="1:10" x14ac:dyDescent="0.25">
      <c r="A3450" s="6" t="s">
        <v>3</v>
      </c>
      <c r="B3450" s="6">
        <f t="shared" si="795"/>
        <v>2051</v>
      </c>
      <c r="C3450" s="1" t="s">
        <v>49</v>
      </c>
      <c r="D3450" s="2" t="s">
        <v>128</v>
      </c>
      <c r="E3450" s="9" t="str">
        <f t="shared" si="791"/>
        <v>PND'!</v>
      </c>
      <c r="F3450" s="5" t="str">
        <f t="shared" si="792"/>
        <v>C:\Users\jaime.benazar\Quorum Business Solutions\Ecopetrol Prometeo - Documents\Planning Space Implementation\3. Analysis &amp; Design\Design\FC22\DRR Jaime\QUIFA-CAJÚA\Cajua\[VAS_CAJUA_CF_SEC_20230125.xlsx]CF PND'!</v>
      </c>
      <c r="G3450" s="6" t="s">
        <v>59</v>
      </c>
      <c r="H3450" s="1">
        <f t="shared" si="793"/>
        <v>64</v>
      </c>
      <c r="I3450" s="1" t="str">
        <f t="shared" si="794"/>
        <v>='C:\Users\jaime.benazar\Quorum Business Solutions\Ecopetrol Prometeo - Documents\Planning Space Implementation\3. Analysis &amp; Design\Design\FC22\DRR Jaime\QUIFA-CAJÚA\Cajua\[VAS_CAJUA_CF_SEC_20230125.xlsx]CF PND'!$BB$64</v>
      </c>
      <c r="J3450" s="1" t="s">
        <v>1711</v>
      </c>
    </row>
    <row r="3451" spans="1:10" x14ac:dyDescent="0.25">
      <c r="A3451" s="6" t="s">
        <v>3</v>
      </c>
      <c r="B3451" s="6">
        <f t="shared" si="795"/>
        <v>2052</v>
      </c>
      <c r="C3451" s="1" t="s">
        <v>49</v>
      </c>
      <c r="D3451" s="2" t="s">
        <v>128</v>
      </c>
      <c r="E3451" s="9" t="str">
        <f t="shared" si="791"/>
        <v>PND'!</v>
      </c>
      <c r="F3451" s="5" t="str">
        <f t="shared" si="792"/>
        <v>C:\Users\jaime.benazar\Quorum Business Solutions\Ecopetrol Prometeo - Documents\Planning Space Implementation\3. Analysis &amp; Design\Design\FC22\DRR Jaime\QUIFA-CAJÚA\Cajua\[VAS_CAJUA_CF_SEC_20230125.xlsx]CF PND'!</v>
      </c>
      <c r="G3451" s="6" t="s">
        <v>59</v>
      </c>
      <c r="H3451" s="1">
        <f t="shared" si="793"/>
        <v>65</v>
      </c>
      <c r="I3451" s="1" t="str">
        <f t="shared" si="794"/>
        <v>='C:\Users\jaime.benazar\Quorum Business Solutions\Ecopetrol Prometeo - Documents\Planning Space Implementation\3. Analysis &amp; Design\Design\FC22\DRR Jaime\QUIFA-CAJÚA\Cajua\[VAS_CAJUA_CF_SEC_20230125.xlsx]CF PND'!$BB$65</v>
      </c>
      <c r="J3451" s="1" t="s">
        <v>1712</v>
      </c>
    </row>
    <row r="3452" spans="1:10" x14ac:dyDescent="0.25">
      <c r="A3452" s="6" t="s">
        <v>3</v>
      </c>
      <c r="B3452" s="6">
        <f t="shared" si="795"/>
        <v>2053</v>
      </c>
      <c r="C3452" s="1" t="s">
        <v>49</v>
      </c>
      <c r="D3452" s="2" t="s">
        <v>128</v>
      </c>
      <c r="E3452" s="9" t="str">
        <f t="shared" si="791"/>
        <v>PND'!</v>
      </c>
      <c r="F3452" s="5" t="str">
        <f t="shared" si="792"/>
        <v>C:\Users\jaime.benazar\Quorum Business Solutions\Ecopetrol Prometeo - Documents\Planning Space Implementation\3. Analysis &amp; Design\Design\FC22\DRR Jaime\QUIFA-CAJÚA\Cajua\[VAS_CAJUA_CF_SEC_20230125.xlsx]CF PND'!</v>
      </c>
      <c r="G3452" s="6" t="s">
        <v>59</v>
      </c>
      <c r="H3452" s="1">
        <f t="shared" si="793"/>
        <v>66</v>
      </c>
      <c r="I3452" s="1" t="str">
        <f t="shared" si="794"/>
        <v>='C:\Users\jaime.benazar\Quorum Business Solutions\Ecopetrol Prometeo - Documents\Planning Space Implementation\3. Analysis &amp; Design\Design\FC22\DRR Jaime\QUIFA-CAJÚA\Cajua\[VAS_CAJUA_CF_SEC_20230125.xlsx]CF PND'!$BB$66</v>
      </c>
      <c r="J3452" s="1" t="s">
        <v>1713</v>
      </c>
    </row>
    <row r="3453" spans="1:10" x14ac:dyDescent="0.25">
      <c r="A3453" s="6" t="s">
        <v>3</v>
      </c>
      <c r="B3453" s="6">
        <f t="shared" si="795"/>
        <v>2054</v>
      </c>
      <c r="C3453" s="1" t="s">
        <v>49</v>
      </c>
      <c r="D3453" s="2" t="s">
        <v>128</v>
      </c>
      <c r="E3453" s="9" t="str">
        <f t="shared" si="791"/>
        <v>PND'!</v>
      </c>
      <c r="F3453" s="5" t="str">
        <f t="shared" si="792"/>
        <v>C:\Users\jaime.benazar\Quorum Business Solutions\Ecopetrol Prometeo - Documents\Planning Space Implementation\3. Analysis &amp; Design\Design\FC22\DRR Jaime\QUIFA-CAJÚA\Cajua\[VAS_CAJUA_CF_SEC_20230125.xlsx]CF PND'!</v>
      </c>
      <c r="G3453" s="6" t="s">
        <v>59</v>
      </c>
      <c r="H3453" s="1">
        <f t="shared" si="793"/>
        <v>67</v>
      </c>
      <c r="I3453" s="1" t="str">
        <f t="shared" si="794"/>
        <v>='C:\Users\jaime.benazar\Quorum Business Solutions\Ecopetrol Prometeo - Documents\Planning Space Implementation\3. Analysis &amp; Design\Design\FC22\DRR Jaime\QUIFA-CAJÚA\Cajua\[VAS_CAJUA_CF_SEC_20230125.xlsx]CF PND'!$BB$67</v>
      </c>
      <c r="J3453" s="1" t="s">
        <v>1714</v>
      </c>
    </row>
    <row r="3454" spans="1:10" x14ac:dyDescent="0.25">
      <c r="A3454" s="6" t="s">
        <v>3</v>
      </c>
      <c r="B3454" s="6">
        <f t="shared" si="795"/>
        <v>2055</v>
      </c>
      <c r="C3454" s="1" t="s">
        <v>49</v>
      </c>
      <c r="D3454" s="2" t="s">
        <v>128</v>
      </c>
      <c r="E3454" s="9" t="str">
        <f t="shared" si="791"/>
        <v>PND'!</v>
      </c>
      <c r="F3454" s="5" t="str">
        <f t="shared" si="792"/>
        <v>C:\Users\jaime.benazar\Quorum Business Solutions\Ecopetrol Prometeo - Documents\Planning Space Implementation\3. Analysis &amp; Design\Design\FC22\DRR Jaime\QUIFA-CAJÚA\Cajua\[VAS_CAJUA_CF_SEC_20230125.xlsx]CF PND'!</v>
      </c>
      <c r="G3454" s="6" t="s">
        <v>59</v>
      </c>
      <c r="H3454" s="1">
        <f t="shared" si="793"/>
        <v>68</v>
      </c>
      <c r="I3454" s="1" t="str">
        <f t="shared" si="794"/>
        <v>='C:\Users\jaime.benazar\Quorum Business Solutions\Ecopetrol Prometeo - Documents\Planning Space Implementation\3. Analysis &amp; Design\Design\FC22\DRR Jaime\QUIFA-CAJÚA\Cajua\[VAS_CAJUA_CF_SEC_20230125.xlsx]CF PND'!$BB$68</v>
      </c>
      <c r="J3454" s="1" t="s">
        <v>1715</v>
      </c>
    </row>
    <row r="3455" spans="1:10" x14ac:dyDescent="0.25">
      <c r="A3455" s="6" t="s">
        <v>3</v>
      </c>
      <c r="B3455" s="6">
        <f t="shared" si="795"/>
        <v>2056</v>
      </c>
      <c r="C3455" s="1" t="s">
        <v>49</v>
      </c>
      <c r="D3455" s="2" t="s">
        <v>128</v>
      </c>
      <c r="E3455" s="9" t="str">
        <f t="shared" si="791"/>
        <v>PND'!</v>
      </c>
      <c r="F3455" s="5" t="str">
        <f t="shared" si="792"/>
        <v>C:\Users\jaime.benazar\Quorum Business Solutions\Ecopetrol Prometeo - Documents\Planning Space Implementation\3. Analysis &amp; Design\Design\FC22\DRR Jaime\QUIFA-CAJÚA\Cajua\[VAS_CAJUA_CF_SEC_20230125.xlsx]CF PND'!</v>
      </c>
      <c r="G3455" s="6" t="s">
        <v>59</v>
      </c>
      <c r="H3455" s="1">
        <f t="shared" si="793"/>
        <v>69</v>
      </c>
      <c r="I3455" s="1" t="str">
        <f t="shared" si="794"/>
        <v>='C:\Users\jaime.benazar\Quorum Business Solutions\Ecopetrol Prometeo - Documents\Planning Space Implementation\3. Analysis &amp; Design\Design\FC22\DRR Jaime\QUIFA-CAJÚA\Cajua\[VAS_CAJUA_CF_SEC_20230125.xlsx]CF PND'!$BB$69</v>
      </c>
      <c r="J3455" s="1" t="s">
        <v>1716</v>
      </c>
    </row>
    <row r="3456" spans="1:10" x14ac:dyDescent="0.25">
      <c r="A3456" s="6" t="s">
        <v>3</v>
      </c>
      <c r="B3456" s="6">
        <f t="shared" si="795"/>
        <v>2057</v>
      </c>
      <c r="C3456" s="1" t="s">
        <v>49</v>
      </c>
      <c r="D3456" s="2" t="s">
        <v>128</v>
      </c>
      <c r="E3456" s="9" t="str">
        <f t="shared" si="791"/>
        <v>PND'!</v>
      </c>
      <c r="F3456" s="5" t="str">
        <f t="shared" si="792"/>
        <v>C:\Users\jaime.benazar\Quorum Business Solutions\Ecopetrol Prometeo - Documents\Planning Space Implementation\3. Analysis &amp; Design\Design\FC22\DRR Jaime\QUIFA-CAJÚA\Cajua\[VAS_CAJUA_CF_SEC_20230125.xlsx]CF PND'!</v>
      </c>
      <c r="G3456" s="6" t="s">
        <v>59</v>
      </c>
      <c r="H3456" s="1">
        <f t="shared" si="793"/>
        <v>70</v>
      </c>
      <c r="I3456" s="1" t="str">
        <f t="shared" si="794"/>
        <v>='C:\Users\jaime.benazar\Quorum Business Solutions\Ecopetrol Prometeo - Documents\Planning Space Implementation\3. Analysis &amp; Design\Design\FC22\DRR Jaime\QUIFA-CAJÚA\Cajua\[VAS_CAJUA_CF_SEC_20230125.xlsx]CF PND'!$BB$70</v>
      </c>
      <c r="J3456" s="1" t="s">
        <v>1717</v>
      </c>
    </row>
    <row r="3457" spans="1:10" x14ac:dyDescent="0.25">
      <c r="A3457" s="6" t="s">
        <v>3</v>
      </c>
      <c r="B3457" s="6">
        <f t="shared" si="795"/>
        <v>2058</v>
      </c>
      <c r="C3457" s="1" t="s">
        <v>49</v>
      </c>
      <c r="D3457" s="2" t="s">
        <v>128</v>
      </c>
      <c r="E3457" s="9" t="str">
        <f t="shared" si="791"/>
        <v>PND'!</v>
      </c>
      <c r="F3457" s="5" t="str">
        <f t="shared" si="792"/>
        <v>C:\Users\jaime.benazar\Quorum Business Solutions\Ecopetrol Prometeo - Documents\Planning Space Implementation\3. Analysis &amp; Design\Design\FC22\DRR Jaime\QUIFA-CAJÚA\Cajua\[VAS_CAJUA_CF_SEC_20230125.xlsx]CF PND'!</v>
      </c>
      <c r="G3457" s="6" t="s">
        <v>59</v>
      </c>
      <c r="H3457" s="1">
        <f t="shared" si="793"/>
        <v>71</v>
      </c>
      <c r="I3457" s="1" t="str">
        <f t="shared" si="794"/>
        <v>='C:\Users\jaime.benazar\Quorum Business Solutions\Ecopetrol Prometeo - Documents\Planning Space Implementation\3. Analysis &amp; Design\Design\FC22\DRR Jaime\QUIFA-CAJÚA\Cajua\[VAS_CAJUA_CF_SEC_20230125.xlsx]CF PND'!$BB$71</v>
      </c>
      <c r="J3457" s="1" t="s">
        <v>1718</v>
      </c>
    </row>
    <row r="3458" spans="1:10" x14ac:dyDescent="0.25">
      <c r="A3458" s="6" t="s">
        <v>3</v>
      </c>
      <c r="B3458" s="6">
        <f t="shared" si="795"/>
        <v>2059</v>
      </c>
      <c r="C3458" s="1" t="s">
        <v>49</v>
      </c>
      <c r="D3458" s="2" t="s">
        <v>128</v>
      </c>
      <c r="E3458" s="9" t="str">
        <f t="shared" si="791"/>
        <v>PND'!</v>
      </c>
      <c r="F3458" s="5" t="str">
        <f t="shared" si="792"/>
        <v>C:\Users\jaime.benazar\Quorum Business Solutions\Ecopetrol Prometeo - Documents\Planning Space Implementation\3. Analysis &amp; Design\Design\FC22\DRR Jaime\QUIFA-CAJÚA\Cajua\[VAS_CAJUA_CF_SEC_20230125.xlsx]CF PND'!</v>
      </c>
      <c r="G3458" s="6" t="s">
        <v>59</v>
      </c>
      <c r="H3458" s="1">
        <f t="shared" si="793"/>
        <v>72</v>
      </c>
      <c r="I3458" s="1" t="str">
        <f t="shared" si="794"/>
        <v>='C:\Users\jaime.benazar\Quorum Business Solutions\Ecopetrol Prometeo - Documents\Planning Space Implementation\3. Analysis &amp; Design\Design\FC22\DRR Jaime\QUIFA-CAJÚA\Cajua\[VAS_CAJUA_CF_SEC_20230125.xlsx]CF PND'!$BB$72</v>
      </c>
      <c r="J3458" s="1" t="s">
        <v>1719</v>
      </c>
    </row>
    <row r="3459" spans="1:10" x14ac:dyDescent="0.25">
      <c r="A3459" s="6" t="s">
        <v>28</v>
      </c>
      <c r="B3459" s="6"/>
      <c r="C3459" s="1" t="s">
        <v>49</v>
      </c>
      <c r="D3459" s="2"/>
      <c r="E3459" s="9"/>
      <c r="F3459" s="2"/>
      <c r="G3459" s="6"/>
      <c r="H3459" s="1"/>
      <c r="I3459" s="1"/>
      <c r="J3459" s="4"/>
    </row>
    <row r="3460" spans="1:10" x14ac:dyDescent="0.25">
      <c r="A3460" s="42" t="s">
        <v>99</v>
      </c>
      <c r="B3460" s="42">
        <v>2023</v>
      </c>
      <c r="C3460" s="43" t="s">
        <v>49</v>
      </c>
      <c r="D3460" s="2" t="s">
        <v>128</v>
      </c>
      <c r="E3460" s="9" t="str">
        <f t="shared" ref="E3460:E3480" si="796">_xlfn.CONCAT(A3460,"'!")</f>
        <v>PRBDP'!</v>
      </c>
      <c r="F3460" s="5" t="str">
        <f t="shared" ref="F3460:F3480" si="797">_xlfn.CONCAT(D3460," ",E3460)</f>
        <v>C:\Users\jaime.benazar\Quorum Business Solutions\Ecopetrol Prometeo - Documents\Planning Space Implementation\3. Analysis &amp; Design\Design\FC22\DRR Jaime\QUIFA-CAJÚA\Cajua\[VAS_CAJUA_CF_SEC_20230125.xlsx]CF PRBDP'!</v>
      </c>
      <c r="G3460" s="6" t="s">
        <v>59</v>
      </c>
      <c r="H3460" s="1"/>
      <c r="I3460" s="1"/>
      <c r="J3460" s="1"/>
    </row>
    <row r="3461" spans="1:10" x14ac:dyDescent="0.25">
      <c r="A3461" s="6" t="s">
        <v>99</v>
      </c>
      <c r="B3461" s="6">
        <f>+B3460+1</f>
        <v>2024</v>
      </c>
      <c r="C3461" s="1" t="s">
        <v>49</v>
      </c>
      <c r="D3461" s="2" t="s">
        <v>128</v>
      </c>
      <c r="E3461" s="9" t="str">
        <f t="shared" si="796"/>
        <v>PRBDP'!</v>
      </c>
      <c r="F3461" s="5" t="str">
        <f t="shared" si="797"/>
        <v>C:\Users\jaime.benazar\Quorum Business Solutions\Ecopetrol Prometeo - Documents\Planning Space Implementation\3. Analysis &amp; Design\Design\FC22\DRR Jaime\QUIFA-CAJÚA\Cajua\[VAS_CAJUA_CF_SEC_20230125.xlsx]CF PRBDP'!</v>
      </c>
      <c r="G3461" s="6" t="s">
        <v>59</v>
      </c>
      <c r="H3461" s="1"/>
      <c r="I3461" s="1"/>
      <c r="J3461" s="1"/>
    </row>
    <row r="3462" spans="1:10" x14ac:dyDescent="0.25">
      <c r="A3462" s="6" t="s">
        <v>99</v>
      </c>
      <c r="B3462" s="6">
        <f t="shared" ref="B3462:B3473" si="798">+B3461+1</f>
        <v>2025</v>
      </c>
      <c r="C3462" s="1" t="s">
        <v>49</v>
      </c>
      <c r="D3462" s="2" t="s">
        <v>128</v>
      </c>
      <c r="E3462" s="9" t="str">
        <f t="shared" si="796"/>
        <v>PRBDP'!</v>
      </c>
      <c r="F3462" s="5" t="str">
        <f t="shared" si="797"/>
        <v>C:\Users\jaime.benazar\Quorum Business Solutions\Ecopetrol Prometeo - Documents\Planning Space Implementation\3. Analysis &amp; Design\Design\FC22\DRR Jaime\QUIFA-CAJÚA\Cajua\[VAS_CAJUA_CF_SEC_20230125.xlsx]CF PRBDP'!</v>
      </c>
      <c r="G3462" s="6" t="s">
        <v>59</v>
      </c>
      <c r="H3462" s="1"/>
      <c r="I3462" s="1"/>
      <c r="J3462" s="1"/>
    </row>
    <row r="3463" spans="1:10" x14ac:dyDescent="0.25">
      <c r="A3463" s="6" t="s">
        <v>99</v>
      </c>
      <c r="B3463" s="6">
        <f t="shared" si="798"/>
        <v>2026</v>
      </c>
      <c r="C3463" s="1" t="s">
        <v>49</v>
      </c>
      <c r="D3463" s="2" t="s">
        <v>128</v>
      </c>
      <c r="E3463" s="9" t="str">
        <f t="shared" si="796"/>
        <v>PRBDP'!</v>
      </c>
      <c r="F3463" s="5" t="str">
        <f t="shared" si="797"/>
        <v>C:\Users\jaime.benazar\Quorum Business Solutions\Ecopetrol Prometeo - Documents\Planning Space Implementation\3. Analysis &amp; Design\Design\FC22\DRR Jaime\QUIFA-CAJÚA\Cajua\[VAS_CAJUA_CF_SEC_20230125.xlsx]CF PRBDP'!</v>
      </c>
      <c r="G3463" s="6" t="s">
        <v>59</v>
      </c>
      <c r="H3463" s="1"/>
      <c r="I3463" s="1"/>
      <c r="J3463" s="1"/>
    </row>
    <row r="3464" spans="1:10" x14ac:dyDescent="0.25">
      <c r="A3464" s="6" t="s">
        <v>99</v>
      </c>
      <c r="B3464" s="6">
        <f t="shared" si="798"/>
        <v>2027</v>
      </c>
      <c r="C3464" s="1" t="s">
        <v>49</v>
      </c>
      <c r="D3464" s="2" t="s">
        <v>128</v>
      </c>
      <c r="E3464" s="9" t="str">
        <f t="shared" si="796"/>
        <v>PRBDP'!</v>
      </c>
      <c r="F3464" s="5" t="str">
        <f t="shared" si="797"/>
        <v>C:\Users\jaime.benazar\Quorum Business Solutions\Ecopetrol Prometeo - Documents\Planning Space Implementation\3. Analysis &amp; Design\Design\FC22\DRR Jaime\QUIFA-CAJÚA\Cajua\[VAS_CAJUA_CF_SEC_20230125.xlsx]CF PRBDP'!</v>
      </c>
      <c r="G3464" s="6" t="s">
        <v>59</v>
      </c>
      <c r="H3464" s="1"/>
      <c r="I3464" s="1"/>
      <c r="J3464" s="1"/>
    </row>
    <row r="3465" spans="1:10" x14ac:dyDescent="0.25">
      <c r="A3465" s="6" t="s">
        <v>99</v>
      </c>
      <c r="B3465" s="6">
        <f t="shared" si="798"/>
        <v>2028</v>
      </c>
      <c r="C3465" s="1" t="s">
        <v>49</v>
      </c>
      <c r="D3465" s="2" t="s">
        <v>128</v>
      </c>
      <c r="E3465" s="9" t="str">
        <f t="shared" si="796"/>
        <v>PRBDP'!</v>
      </c>
      <c r="F3465" s="5" t="str">
        <f t="shared" si="797"/>
        <v>C:\Users\jaime.benazar\Quorum Business Solutions\Ecopetrol Prometeo - Documents\Planning Space Implementation\3. Analysis &amp; Design\Design\FC22\DRR Jaime\QUIFA-CAJÚA\Cajua\[VAS_CAJUA_CF_SEC_20230125.xlsx]CF PRBDP'!</v>
      </c>
      <c r="G3465" s="6" t="s">
        <v>59</v>
      </c>
      <c r="H3465" s="1"/>
      <c r="I3465" s="1"/>
      <c r="J3465" s="1"/>
    </row>
    <row r="3466" spans="1:10" x14ac:dyDescent="0.25">
      <c r="A3466" s="6" t="s">
        <v>99</v>
      </c>
      <c r="B3466" s="6">
        <f t="shared" si="798"/>
        <v>2029</v>
      </c>
      <c r="C3466" s="1" t="s">
        <v>49</v>
      </c>
      <c r="D3466" s="2" t="s">
        <v>128</v>
      </c>
      <c r="E3466" s="9" t="str">
        <f t="shared" si="796"/>
        <v>PRBDP'!</v>
      </c>
      <c r="F3466" s="5" t="str">
        <f t="shared" si="797"/>
        <v>C:\Users\jaime.benazar\Quorum Business Solutions\Ecopetrol Prometeo - Documents\Planning Space Implementation\3. Analysis &amp; Design\Design\FC22\DRR Jaime\QUIFA-CAJÚA\Cajua\[VAS_CAJUA_CF_SEC_20230125.xlsx]CF PRBDP'!</v>
      </c>
      <c r="G3466" s="6" t="s">
        <v>59</v>
      </c>
      <c r="H3466" s="1"/>
      <c r="I3466" s="1"/>
      <c r="J3466" s="1"/>
    </row>
    <row r="3467" spans="1:10" x14ac:dyDescent="0.25">
      <c r="A3467" s="6" t="s">
        <v>99</v>
      </c>
      <c r="B3467" s="6">
        <f t="shared" si="798"/>
        <v>2030</v>
      </c>
      <c r="C3467" s="1" t="s">
        <v>49</v>
      </c>
      <c r="D3467" s="2" t="s">
        <v>128</v>
      </c>
      <c r="E3467" s="9" t="str">
        <f t="shared" si="796"/>
        <v>PRBDP'!</v>
      </c>
      <c r="F3467" s="5" t="str">
        <f t="shared" si="797"/>
        <v>C:\Users\jaime.benazar\Quorum Business Solutions\Ecopetrol Prometeo - Documents\Planning Space Implementation\3. Analysis &amp; Design\Design\FC22\DRR Jaime\QUIFA-CAJÚA\Cajua\[VAS_CAJUA_CF_SEC_20230125.xlsx]CF PRBDP'!</v>
      </c>
      <c r="G3467" s="6" t="s">
        <v>59</v>
      </c>
      <c r="H3467" s="1"/>
      <c r="I3467" s="1"/>
      <c r="J3467" s="1"/>
    </row>
    <row r="3468" spans="1:10" x14ac:dyDescent="0.25">
      <c r="A3468" s="6" t="s">
        <v>99</v>
      </c>
      <c r="B3468" s="6">
        <f t="shared" si="798"/>
        <v>2031</v>
      </c>
      <c r="C3468" s="1" t="s">
        <v>49</v>
      </c>
      <c r="D3468" s="2" t="s">
        <v>128</v>
      </c>
      <c r="E3468" s="9" t="str">
        <f t="shared" si="796"/>
        <v>PRBDP'!</v>
      </c>
      <c r="F3468" s="5" t="str">
        <f t="shared" si="797"/>
        <v>C:\Users\jaime.benazar\Quorum Business Solutions\Ecopetrol Prometeo - Documents\Planning Space Implementation\3. Analysis &amp; Design\Design\FC22\DRR Jaime\QUIFA-CAJÚA\Cajua\[VAS_CAJUA_CF_SEC_20230125.xlsx]CF PRBDP'!</v>
      </c>
      <c r="G3468" s="6" t="s">
        <v>59</v>
      </c>
      <c r="H3468" s="1"/>
      <c r="I3468" s="1"/>
      <c r="J3468" s="1"/>
    </row>
    <row r="3469" spans="1:10" x14ac:dyDescent="0.25">
      <c r="A3469" s="6" t="s">
        <v>99</v>
      </c>
      <c r="B3469" s="6">
        <f t="shared" si="798"/>
        <v>2032</v>
      </c>
      <c r="C3469" s="1" t="s">
        <v>49</v>
      </c>
      <c r="D3469" s="2" t="s">
        <v>128</v>
      </c>
      <c r="E3469" s="9" t="str">
        <f t="shared" si="796"/>
        <v>PRBDP'!</v>
      </c>
      <c r="F3469" s="5" t="str">
        <f t="shared" si="797"/>
        <v>C:\Users\jaime.benazar\Quorum Business Solutions\Ecopetrol Prometeo - Documents\Planning Space Implementation\3. Analysis &amp; Design\Design\FC22\DRR Jaime\QUIFA-CAJÚA\Cajua\[VAS_CAJUA_CF_SEC_20230125.xlsx]CF PRBDP'!</v>
      </c>
      <c r="G3469" s="6" t="s">
        <v>59</v>
      </c>
      <c r="H3469" s="1"/>
      <c r="I3469" s="1"/>
      <c r="J3469" s="1"/>
    </row>
    <row r="3470" spans="1:10" x14ac:dyDescent="0.25">
      <c r="A3470" s="6" t="s">
        <v>99</v>
      </c>
      <c r="B3470" s="6">
        <f t="shared" si="798"/>
        <v>2033</v>
      </c>
      <c r="C3470" s="1" t="s">
        <v>49</v>
      </c>
      <c r="D3470" s="2" t="s">
        <v>128</v>
      </c>
      <c r="E3470" s="9" t="str">
        <f t="shared" si="796"/>
        <v>PRBDP'!</v>
      </c>
      <c r="F3470" s="5" t="str">
        <f t="shared" si="797"/>
        <v>C:\Users\jaime.benazar\Quorum Business Solutions\Ecopetrol Prometeo - Documents\Planning Space Implementation\3. Analysis &amp; Design\Design\FC22\DRR Jaime\QUIFA-CAJÚA\Cajua\[VAS_CAJUA_CF_SEC_20230125.xlsx]CF PRBDP'!</v>
      </c>
      <c r="G3470" s="6" t="s">
        <v>59</v>
      </c>
      <c r="H3470" s="1"/>
      <c r="I3470" s="1"/>
      <c r="J3470" s="1"/>
    </row>
    <row r="3471" spans="1:10" x14ac:dyDescent="0.25">
      <c r="A3471" s="6" t="s">
        <v>99</v>
      </c>
      <c r="B3471" s="6">
        <f t="shared" si="798"/>
        <v>2034</v>
      </c>
      <c r="C3471" s="1" t="s">
        <v>49</v>
      </c>
      <c r="D3471" s="2" t="s">
        <v>128</v>
      </c>
      <c r="E3471" s="9" t="str">
        <f t="shared" si="796"/>
        <v>PRBDP'!</v>
      </c>
      <c r="F3471" s="5" t="str">
        <f t="shared" si="797"/>
        <v>C:\Users\jaime.benazar\Quorum Business Solutions\Ecopetrol Prometeo - Documents\Planning Space Implementation\3. Analysis &amp; Design\Design\FC22\DRR Jaime\QUIFA-CAJÚA\Cajua\[VAS_CAJUA_CF_SEC_20230125.xlsx]CF PRBDP'!</v>
      </c>
      <c r="G3471" s="6" t="s">
        <v>59</v>
      </c>
      <c r="H3471" s="1"/>
      <c r="I3471" s="1"/>
      <c r="J3471" s="1"/>
    </row>
    <row r="3472" spans="1:10" x14ac:dyDescent="0.25">
      <c r="A3472" s="6" t="s">
        <v>99</v>
      </c>
      <c r="B3472" s="6">
        <f t="shared" si="798"/>
        <v>2035</v>
      </c>
      <c r="C3472" s="1" t="s">
        <v>49</v>
      </c>
      <c r="D3472" s="2" t="s">
        <v>128</v>
      </c>
      <c r="E3472" s="9" t="str">
        <f t="shared" si="796"/>
        <v>PRBDP'!</v>
      </c>
      <c r="F3472" s="5" t="str">
        <f t="shared" si="797"/>
        <v>C:\Users\jaime.benazar\Quorum Business Solutions\Ecopetrol Prometeo - Documents\Planning Space Implementation\3. Analysis &amp; Design\Design\FC22\DRR Jaime\QUIFA-CAJÚA\Cajua\[VAS_CAJUA_CF_SEC_20230125.xlsx]CF PRBDP'!</v>
      </c>
      <c r="G3472" s="6" t="s">
        <v>59</v>
      </c>
      <c r="H3472" s="1"/>
      <c r="I3472" s="1"/>
      <c r="J3472" s="1"/>
    </row>
    <row r="3473" spans="1:10" x14ac:dyDescent="0.25">
      <c r="A3473" s="6" t="s">
        <v>99</v>
      </c>
      <c r="B3473" s="6">
        <f t="shared" si="798"/>
        <v>2036</v>
      </c>
      <c r="C3473" s="1" t="s">
        <v>49</v>
      </c>
      <c r="D3473" s="2" t="s">
        <v>128</v>
      </c>
      <c r="E3473" s="9" t="str">
        <f t="shared" si="796"/>
        <v>PRBDP'!</v>
      </c>
      <c r="F3473" s="5" t="str">
        <f t="shared" si="797"/>
        <v>C:\Users\jaime.benazar\Quorum Business Solutions\Ecopetrol Prometeo - Documents\Planning Space Implementation\3. Analysis &amp; Design\Design\FC22\DRR Jaime\QUIFA-CAJÚA\Cajua\[VAS_CAJUA_CF_SEC_20230125.xlsx]CF PRBDP'!</v>
      </c>
      <c r="G3473" s="6" t="s">
        <v>59</v>
      </c>
      <c r="H3473" s="1"/>
      <c r="I3473" s="1"/>
      <c r="J3473" s="1"/>
    </row>
    <row r="3474" spans="1:10" x14ac:dyDescent="0.25">
      <c r="A3474" s="6" t="s">
        <v>99</v>
      </c>
      <c r="B3474" s="6">
        <f>+B3473+1</f>
        <v>2037</v>
      </c>
      <c r="C3474" s="1" t="s">
        <v>49</v>
      </c>
      <c r="D3474" s="2" t="s">
        <v>128</v>
      </c>
      <c r="E3474" s="9" t="str">
        <f t="shared" si="796"/>
        <v>PRBDP'!</v>
      </c>
      <c r="F3474" s="5" t="str">
        <f t="shared" si="797"/>
        <v>C:\Users\jaime.benazar\Quorum Business Solutions\Ecopetrol Prometeo - Documents\Planning Space Implementation\3. Analysis &amp; Design\Design\FC22\DRR Jaime\QUIFA-CAJÚA\Cajua\[VAS_CAJUA_CF_SEC_20230125.xlsx]CF PRBDP'!</v>
      </c>
      <c r="G3474" s="6" t="s">
        <v>59</v>
      </c>
      <c r="H3474" s="1"/>
      <c r="I3474" s="1"/>
      <c r="J3474" s="1"/>
    </row>
    <row r="3475" spans="1:10" x14ac:dyDescent="0.25">
      <c r="A3475" s="6" t="s">
        <v>99</v>
      </c>
      <c r="B3475" s="6">
        <f t="shared" ref="B3475:B3477" si="799">+B3474+1</f>
        <v>2038</v>
      </c>
      <c r="C3475" s="1" t="s">
        <v>49</v>
      </c>
      <c r="D3475" s="2" t="s">
        <v>128</v>
      </c>
      <c r="E3475" s="9" t="str">
        <f t="shared" si="796"/>
        <v>PRBDP'!</v>
      </c>
      <c r="F3475" s="5" t="str">
        <f t="shared" si="797"/>
        <v>C:\Users\jaime.benazar\Quorum Business Solutions\Ecopetrol Prometeo - Documents\Planning Space Implementation\3. Analysis &amp; Design\Design\FC22\DRR Jaime\QUIFA-CAJÚA\Cajua\[VAS_CAJUA_CF_SEC_20230125.xlsx]CF PRBDP'!</v>
      </c>
      <c r="G3475" s="6" t="s">
        <v>59</v>
      </c>
      <c r="H3475" s="1"/>
      <c r="I3475" s="1"/>
      <c r="J3475" s="1"/>
    </row>
    <row r="3476" spans="1:10" x14ac:dyDescent="0.25">
      <c r="A3476" s="6" t="s">
        <v>99</v>
      </c>
      <c r="B3476" s="6">
        <f t="shared" si="799"/>
        <v>2039</v>
      </c>
      <c r="C3476" s="1" t="s">
        <v>49</v>
      </c>
      <c r="D3476" s="2" t="s">
        <v>128</v>
      </c>
      <c r="E3476" s="9" t="str">
        <f t="shared" si="796"/>
        <v>PRBDP'!</v>
      </c>
      <c r="F3476" s="5" t="str">
        <f t="shared" si="797"/>
        <v>C:\Users\jaime.benazar\Quorum Business Solutions\Ecopetrol Prometeo - Documents\Planning Space Implementation\3. Analysis &amp; Design\Design\FC22\DRR Jaime\QUIFA-CAJÚA\Cajua\[VAS_CAJUA_CF_SEC_20230125.xlsx]CF PRBDP'!</v>
      </c>
      <c r="G3476" s="6" t="s">
        <v>59</v>
      </c>
      <c r="H3476" s="1"/>
      <c r="I3476" s="1"/>
      <c r="J3476" s="1"/>
    </row>
    <row r="3477" spans="1:10" x14ac:dyDescent="0.25">
      <c r="A3477" s="6" t="s">
        <v>99</v>
      </c>
      <c r="B3477" s="6">
        <f t="shared" si="799"/>
        <v>2040</v>
      </c>
      <c r="C3477" s="1" t="s">
        <v>49</v>
      </c>
      <c r="D3477" s="2" t="s">
        <v>128</v>
      </c>
      <c r="E3477" s="9" t="str">
        <f t="shared" si="796"/>
        <v>PRBDP'!</v>
      </c>
      <c r="F3477" s="5" t="str">
        <f t="shared" si="797"/>
        <v>C:\Users\jaime.benazar\Quorum Business Solutions\Ecopetrol Prometeo - Documents\Planning Space Implementation\3. Analysis &amp; Design\Design\FC22\DRR Jaime\QUIFA-CAJÚA\Cajua\[VAS_CAJUA_CF_SEC_20230125.xlsx]CF PRBDP'!</v>
      </c>
      <c r="G3477" s="6" t="s">
        <v>59</v>
      </c>
      <c r="H3477" s="1"/>
      <c r="I3477" s="1"/>
      <c r="J3477" s="1"/>
    </row>
    <row r="3478" spans="1:10" x14ac:dyDescent="0.25">
      <c r="A3478" s="6" t="s">
        <v>99</v>
      </c>
      <c r="B3478" s="6">
        <f>+B3477+1</f>
        <v>2041</v>
      </c>
      <c r="C3478" s="1" t="s">
        <v>49</v>
      </c>
      <c r="D3478" s="2" t="s">
        <v>128</v>
      </c>
      <c r="E3478" s="9" t="str">
        <f t="shared" si="796"/>
        <v>PRBDP'!</v>
      </c>
      <c r="F3478" s="5" t="str">
        <f t="shared" si="797"/>
        <v>C:\Users\jaime.benazar\Quorum Business Solutions\Ecopetrol Prometeo - Documents\Planning Space Implementation\3. Analysis &amp; Design\Design\FC22\DRR Jaime\QUIFA-CAJÚA\Cajua\[VAS_CAJUA_CF_SEC_20230125.xlsx]CF PRBDP'!</v>
      </c>
      <c r="G3478" s="6" t="s">
        <v>59</v>
      </c>
      <c r="H3478" s="1"/>
      <c r="I3478" s="1"/>
      <c r="J3478" s="1"/>
    </row>
    <row r="3479" spans="1:10" x14ac:dyDescent="0.25">
      <c r="A3479" s="6" t="s">
        <v>99</v>
      </c>
      <c r="B3479" s="6">
        <f t="shared" ref="B3479:B3480" si="800">+B3478+1</f>
        <v>2042</v>
      </c>
      <c r="C3479" s="1" t="s">
        <v>49</v>
      </c>
      <c r="D3479" s="2" t="s">
        <v>128</v>
      </c>
      <c r="E3479" s="9" t="str">
        <f t="shared" si="796"/>
        <v>PRBDP'!</v>
      </c>
      <c r="F3479" s="5" t="str">
        <f t="shared" si="797"/>
        <v>C:\Users\jaime.benazar\Quorum Business Solutions\Ecopetrol Prometeo - Documents\Planning Space Implementation\3. Analysis &amp; Design\Design\FC22\DRR Jaime\QUIFA-CAJÚA\Cajua\[VAS_CAJUA_CF_SEC_20230125.xlsx]CF PRBDP'!</v>
      </c>
      <c r="G3479" s="6" t="s">
        <v>59</v>
      </c>
      <c r="H3479" s="1"/>
      <c r="I3479" s="1"/>
      <c r="J3479" s="1"/>
    </row>
    <row r="3480" spans="1:10" x14ac:dyDescent="0.25">
      <c r="A3480" s="6" t="s">
        <v>99</v>
      </c>
      <c r="B3480" s="6">
        <f t="shared" si="800"/>
        <v>2043</v>
      </c>
      <c r="C3480" s="1" t="s">
        <v>49</v>
      </c>
      <c r="D3480" s="2" t="s">
        <v>128</v>
      </c>
      <c r="E3480" s="9" t="str">
        <f t="shared" si="796"/>
        <v>PRBDP'!</v>
      </c>
      <c r="F3480" s="5" t="str">
        <f t="shared" si="797"/>
        <v>C:\Users\jaime.benazar\Quorum Business Solutions\Ecopetrol Prometeo - Documents\Planning Space Implementation\3. Analysis &amp; Design\Design\FC22\DRR Jaime\QUIFA-CAJÚA\Cajua\[VAS_CAJUA_CF_SEC_20230125.xlsx]CF PRBDP'!</v>
      </c>
      <c r="G3480" s="6" t="s">
        <v>59</v>
      </c>
      <c r="H3480" s="1"/>
      <c r="I3480" s="1"/>
      <c r="J3480" s="1"/>
    </row>
    <row r="3481" spans="1:10" x14ac:dyDescent="0.25">
      <c r="A3481" s="6" t="s">
        <v>99</v>
      </c>
      <c r="B3481" s="6">
        <f>+B3480+1</f>
        <v>2044</v>
      </c>
      <c r="C3481" s="1" t="s">
        <v>49</v>
      </c>
      <c r="D3481" s="2" t="s">
        <v>128</v>
      </c>
      <c r="E3481" s="9" t="str">
        <f t="shared" ref="E3481:E3496" si="801">_xlfn.CONCAT(A3481,"'!")</f>
        <v>PRBDP'!</v>
      </c>
      <c r="F3481" s="5" t="str">
        <f t="shared" ref="F3481:F3496" si="802">_xlfn.CONCAT(D3481," ",E3481)</f>
        <v>C:\Users\jaime.benazar\Quorum Business Solutions\Ecopetrol Prometeo - Documents\Planning Space Implementation\3. Analysis &amp; Design\Design\FC22\DRR Jaime\QUIFA-CAJÚA\Cajua\[VAS_CAJUA_CF_SEC_20230125.xlsx]CF PRBDP'!</v>
      </c>
      <c r="G3481" s="6" t="s">
        <v>59</v>
      </c>
      <c r="H3481" s="1"/>
      <c r="I3481" s="1"/>
      <c r="J3481" s="1"/>
    </row>
    <row r="3482" spans="1:10" x14ac:dyDescent="0.25">
      <c r="A3482" s="6" t="s">
        <v>99</v>
      </c>
      <c r="B3482" s="6">
        <f t="shared" ref="B3482:B3496" si="803">+B3481+1</f>
        <v>2045</v>
      </c>
      <c r="C3482" s="1" t="s">
        <v>49</v>
      </c>
      <c r="D3482" s="2" t="s">
        <v>128</v>
      </c>
      <c r="E3482" s="9" t="str">
        <f t="shared" si="801"/>
        <v>PRBDP'!</v>
      </c>
      <c r="F3482" s="5" t="str">
        <f t="shared" si="802"/>
        <v>C:\Users\jaime.benazar\Quorum Business Solutions\Ecopetrol Prometeo - Documents\Planning Space Implementation\3. Analysis &amp; Design\Design\FC22\DRR Jaime\QUIFA-CAJÚA\Cajua\[VAS_CAJUA_CF_SEC_20230125.xlsx]CF PRBDP'!</v>
      </c>
      <c r="G3482" s="6" t="s">
        <v>59</v>
      </c>
      <c r="H3482" s="1"/>
      <c r="I3482" s="1"/>
      <c r="J3482" s="1"/>
    </row>
    <row r="3483" spans="1:10" x14ac:dyDescent="0.25">
      <c r="A3483" s="6" t="s">
        <v>99</v>
      </c>
      <c r="B3483" s="6">
        <f t="shared" si="803"/>
        <v>2046</v>
      </c>
      <c r="C3483" s="1" t="s">
        <v>49</v>
      </c>
      <c r="D3483" s="2" t="s">
        <v>128</v>
      </c>
      <c r="E3483" s="9" t="str">
        <f t="shared" si="801"/>
        <v>PRBDP'!</v>
      </c>
      <c r="F3483" s="5" t="str">
        <f t="shared" si="802"/>
        <v>C:\Users\jaime.benazar\Quorum Business Solutions\Ecopetrol Prometeo - Documents\Planning Space Implementation\3. Analysis &amp; Design\Design\FC22\DRR Jaime\QUIFA-CAJÚA\Cajua\[VAS_CAJUA_CF_SEC_20230125.xlsx]CF PRBDP'!</v>
      </c>
      <c r="G3483" s="6" t="s">
        <v>59</v>
      </c>
      <c r="H3483" s="1"/>
      <c r="I3483" s="1"/>
      <c r="J3483" s="1"/>
    </row>
    <row r="3484" spans="1:10" x14ac:dyDescent="0.25">
      <c r="A3484" s="6" t="s">
        <v>99</v>
      </c>
      <c r="B3484" s="6">
        <f t="shared" si="803"/>
        <v>2047</v>
      </c>
      <c r="C3484" s="1" t="s">
        <v>49</v>
      </c>
      <c r="D3484" s="2" t="s">
        <v>128</v>
      </c>
      <c r="E3484" s="9" t="str">
        <f t="shared" si="801"/>
        <v>PRBDP'!</v>
      </c>
      <c r="F3484" s="5" t="str">
        <f t="shared" si="802"/>
        <v>C:\Users\jaime.benazar\Quorum Business Solutions\Ecopetrol Prometeo - Documents\Planning Space Implementation\3. Analysis &amp; Design\Design\FC22\DRR Jaime\QUIFA-CAJÚA\Cajua\[VAS_CAJUA_CF_SEC_20230125.xlsx]CF PRBDP'!</v>
      </c>
      <c r="G3484" s="6" t="s">
        <v>59</v>
      </c>
      <c r="H3484" s="1"/>
      <c r="I3484" s="1"/>
      <c r="J3484" s="1"/>
    </row>
    <row r="3485" spans="1:10" x14ac:dyDescent="0.25">
      <c r="A3485" s="6" t="s">
        <v>99</v>
      </c>
      <c r="B3485" s="6">
        <f t="shared" si="803"/>
        <v>2048</v>
      </c>
      <c r="C3485" s="1" t="s">
        <v>49</v>
      </c>
      <c r="D3485" s="2" t="s">
        <v>128</v>
      </c>
      <c r="E3485" s="9" t="str">
        <f t="shared" si="801"/>
        <v>PRBDP'!</v>
      </c>
      <c r="F3485" s="5" t="str">
        <f t="shared" si="802"/>
        <v>C:\Users\jaime.benazar\Quorum Business Solutions\Ecopetrol Prometeo - Documents\Planning Space Implementation\3. Analysis &amp; Design\Design\FC22\DRR Jaime\QUIFA-CAJÚA\Cajua\[VAS_CAJUA_CF_SEC_20230125.xlsx]CF PRBDP'!</v>
      </c>
      <c r="G3485" s="6" t="s">
        <v>59</v>
      </c>
      <c r="H3485" s="1"/>
      <c r="I3485" s="1"/>
      <c r="J3485" s="1"/>
    </row>
    <row r="3486" spans="1:10" x14ac:dyDescent="0.25">
      <c r="A3486" s="6" t="s">
        <v>99</v>
      </c>
      <c r="B3486" s="6">
        <f t="shared" si="803"/>
        <v>2049</v>
      </c>
      <c r="C3486" s="1" t="s">
        <v>49</v>
      </c>
      <c r="D3486" s="2" t="s">
        <v>128</v>
      </c>
      <c r="E3486" s="9" t="str">
        <f t="shared" si="801"/>
        <v>PRBDP'!</v>
      </c>
      <c r="F3486" s="5" t="str">
        <f t="shared" si="802"/>
        <v>C:\Users\jaime.benazar\Quorum Business Solutions\Ecopetrol Prometeo - Documents\Planning Space Implementation\3. Analysis &amp; Design\Design\FC22\DRR Jaime\QUIFA-CAJÚA\Cajua\[VAS_CAJUA_CF_SEC_20230125.xlsx]CF PRBDP'!</v>
      </c>
      <c r="G3486" s="6" t="s">
        <v>59</v>
      </c>
      <c r="H3486" s="1"/>
      <c r="I3486" s="1"/>
      <c r="J3486" s="1"/>
    </row>
    <row r="3487" spans="1:10" x14ac:dyDescent="0.25">
      <c r="A3487" s="6" t="s">
        <v>99</v>
      </c>
      <c r="B3487" s="6">
        <f t="shared" si="803"/>
        <v>2050</v>
      </c>
      <c r="C3487" s="1" t="s">
        <v>49</v>
      </c>
      <c r="D3487" s="2" t="s">
        <v>128</v>
      </c>
      <c r="E3487" s="9" t="str">
        <f t="shared" si="801"/>
        <v>PRBDP'!</v>
      </c>
      <c r="F3487" s="5" t="str">
        <f t="shared" si="802"/>
        <v>C:\Users\jaime.benazar\Quorum Business Solutions\Ecopetrol Prometeo - Documents\Planning Space Implementation\3. Analysis &amp; Design\Design\FC22\DRR Jaime\QUIFA-CAJÚA\Cajua\[VAS_CAJUA_CF_SEC_20230125.xlsx]CF PRBDP'!</v>
      </c>
      <c r="G3487" s="6" t="s">
        <v>59</v>
      </c>
      <c r="H3487" s="1"/>
      <c r="I3487" s="1"/>
      <c r="J3487" s="1"/>
    </row>
    <row r="3488" spans="1:10" x14ac:dyDescent="0.25">
      <c r="A3488" s="6" t="s">
        <v>99</v>
      </c>
      <c r="B3488" s="6">
        <f t="shared" si="803"/>
        <v>2051</v>
      </c>
      <c r="C3488" s="1" t="s">
        <v>49</v>
      </c>
      <c r="D3488" s="2" t="s">
        <v>128</v>
      </c>
      <c r="E3488" s="9" t="str">
        <f t="shared" si="801"/>
        <v>PRBDP'!</v>
      </c>
      <c r="F3488" s="5" t="str">
        <f t="shared" si="802"/>
        <v>C:\Users\jaime.benazar\Quorum Business Solutions\Ecopetrol Prometeo - Documents\Planning Space Implementation\3. Analysis &amp; Design\Design\FC22\DRR Jaime\QUIFA-CAJÚA\Cajua\[VAS_CAJUA_CF_SEC_20230125.xlsx]CF PRBDP'!</v>
      </c>
      <c r="G3488" s="6" t="s">
        <v>59</v>
      </c>
      <c r="H3488" s="1"/>
      <c r="I3488" s="1"/>
      <c r="J3488" s="1"/>
    </row>
    <row r="3489" spans="1:10" x14ac:dyDescent="0.25">
      <c r="A3489" s="6" t="s">
        <v>99</v>
      </c>
      <c r="B3489" s="6">
        <f t="shared" si="803"/>
        <v>2052</v>
      </c>
      <c r="C3489" s="1" t="s">
        <v>49</v>
      </c>
      <c r="D3489" s="2" t="s">
        <v>128</v>
      </c>
      <c r="E3489" s="9" t="str">
        <f t="shared" si="801"/>
        <v>PRBDP'!</v>
      </c>
      <c r="F3489" s="5" t="str">
        <f t="shared" si="802"/>
        <v>C:\Users\jaime.benazar\Quorum Business Solutions\Ecopetrol Prometeo - Documents\Planning Space Implementation\3. Analysis &amp; Design\Design\FC22\DRR Jaime\QUIFA-CAJÚA\Cajua\[VAS_CAJUA_CF_SEC_20230125.xlsx]CF PRBDP'!</v>
      </c>
      <c r="G3489" s="6" t="s">
        <v>59</v>
      </c>
      <c r="H3489" s="1"/>
      <c r="I3489" s="1"/>
      <c r="J3489" s="1"/>
    </row>
    <row r="3490" spans="1:10" x14ac:dyDescent="0.25">
      <c r="A3490" s="6" t="s">
        <v>99</v>
      </c>
      <c r="B3490" s="6">
        <f t="shared" si="803"/>
        <v>2053</v>
      </c>
      <c r="C3490" s="1" t="s">
        <v>49</v>
      </c>
      <c r="D3490" s="2" t="s">
        <v>128</v>
      </c>
      <c r="E3490" s="9" t="str">
        <f t="shared" si="801"/>
        <v>PRBDP'!</v>
      </c>
      <c r="F3490" s="5" t="str">
        <f t="shared" si="802"/>
        <v>C:\Users\jaime.benazar\Quorum Business Solutions\Ecopetrol Prometeo - Documents\Planning Space Implementation\3. Analysis &amp; Design\Design\FC22\DRR Jaime\QUIFA-CAJÚA\Cajua\[VAS_CAJUA_CF_SEC_20230125.xlsx]CF PRBDP'!</v>
      </c>
      <c r="G3490" s="6" t="s">
        <v>59</v>
      </c>
      <c r="H3490" s="1"/>
      <c r="I3490" s="1"/>
      <c r="J3490" s="1"/>
    </row>
    <row r="3491" spans="1:10" x14ac:dyDescent="0.25">
      <c r="A3491" s="6" t="s">
        <v>99</v>
      </c>
      <c r="B3491" s="6">
        <f t="shared" si="803"/>
        <v>2054</v>
      </c>
      <c r="C3491" s="1" t="s">
        <v>49</v>
      </c>
      <c r="D3491" s="2" t="s">
        <v>128</v>
      </c>
      <c r="E3491" s="9" t="str">
        <f t="shared" si="801"/>
        <v>PRBDP'!</v>
      </c>
      <c r="F3491" s="5" t="str">
        <f t="shared" si="802"/>
        <v>C:\Users\jaime.benazar\Quorum Business Solutions\Ecopetrol Prometeo - Documents\Planning Space Implementation\3. Analysis &amp; Design\Design\FC22\DRR Jaime\QUIFA-CAJÚA\Cajua\[VAS_CAJUA_CF_SEC_20230125.xlsx]CF PRBDP'!</v>
      </c>
      <c r="G3491" s="6" t="s">
        <v>59</v>
      </c>
      <c r="H3491" s="1"/>
      <c r="I3491" s="1"/>
      <c r="J3491" s="1"/>
    </row>
    <row r="3492" spans="1:10" x14ac:dyDescent="0.25">
      <c r="A3492" s="6" t="s">
        <v>99</v>
      </c>
      <c r="B3492" s="6">
        <f t="shared" si="803"/>
        <v>2055</v>
      </c>
      <c r="C3492" s="1" t="s">
        <v>49</v>
      </c>
      <c r="D3492" s="2" t="s">
        <v>128</v>
      </c>
      <c r="E3492" s="9" t="str">
        <f t="shared" si="801"/>
        <v>PRBDP'!</v>
      </c>
      <c r="F3492" s="5" t="str">
        <f t="shared" si="802"/>
        <v>C:\Users\jaime.benazar\Quorum Business Solutions\Ecopetrol Prometeo - Documents\Planning Space Implementation\3. Analysis &amp; Design\Design\FC22\DRR Jaime\QUIFA-CAJÚA\Cajua\[VAS_CAJUA_CF_SEC_20230125.xlsx]CF PRBDP'!</v>
      </c>
      <c r="G3492" s="6" t="s">
        <v>59</v>
      </c>
      <c r="H3492" s="1"/>
      <c r="I3492" s="1"/>
      <c r="J3492" s="1"/>
    </row>
    <row r="3493" spans="1:10" x14ac:dyDescent="0.25">
      <c r="A3493" s="6" t="s">
        <v>99</v>
      </c>
      <c r="B3493" s="6">
        <f t="shared" si="803"/>
        <v>2056</v>
      </c>
      <c r="C3493" s="1" t="s">
        <v>49</v>
      </c>
      <c r="D3493" s="2" t="s">
        <v>128</v>
      </c>
      <c r="E3493" s="9" t="str">
        <f t="shared" si="801"/>
        <v>PRBDP'!</v>
      </c>
      <c r="F3493" s="5" t="str">
        <f t="shared" si="802"/>
        <v>C:\Users\jaime.benazar\Quorum Business Solutions\Ecopetrol Prometeo - Documents\Planning Space Implementation\3. Analysis &amp; Design\Design\FC22\DRR Jaime\QUIFA-CAJÚA\Cajua\[VAS_CAJUA_CF_SEC_20230125.xlsx]CF PRBDP'!</v>
      </c>
      <c r="G3493" s="6" t="s">
        <v>59</v>
      </c>
      <c r="H3493" s="1"/>
      <c r="I3493" s="1"/>
      <c r="J3493" s="1"/>
    </row>
    <row r="3494" spans="1:10" x14ac:dyDescent="0.25">
      <c r="A3494" s="6" t="s">
        <v>99</v>
      </c>
      <c r="B3494" s="6">
        <f t="shared" si="803"/>
        <v>2057</v>
      </c>
      <c r="C3494" s="1" t="s">
        <v>49</v>
      </c>
      <c r="D3494" s="2" t="s">
        <v>128</v>
      </c>
      <c r="E3494" s="9" t="str">
        <f t="shared" si="801"/>
        <v>PRBDP'!</v>
      </c>
      <c r="F3494" s="5" t="str">
        <f t="shared" si="802"/>
        <v>C:\Users\jaime.benazar\Quorum Business Solutions\Ecopetrol Prometeo - Documents\Planning Space Implementation\3. Analysis &amp; Design\Design\FC22\DRR Jaime\QUIFA-CAJÚA\Cajua\[VAS_CAJUA_CF_SEC_20230125.xlsx]CF PRBDP'!</v>
      </c>
      <c r="G3494" s="6" t="s">
        <v>59</v>
      </c>
      <c r="H3494" s="1"/>
      <c r="I3494" s="1"/>
      <c r="J3494" s="1"/>
    </row>
    <row r="3495" spans="1:10" x14ac:dyDescent="0.25">
      <c r="A3495" s="6" t="s">
        <v>99</v>
      </c>
      <c r="B3495" s="6">
        <f t="shared" si="803"/>
        <v>2058</v>
      </c>
      <c r="C3495" s="1" t="s">
        <v>49</v>
      </c>
      <c r="D3495" s="2" t="s">
        <v>128</v>
      </c>
      <c r="E3495" s="9" t="str">
        <f t="shared" si="801"/>
        <v>PRBDP'!</v>
      </c>
      <c r="F3495" s="5" t="str">
        <f t="shared" si="802"/>
        <v>C:\Users\jaime.benazar\Quorum Business Solutions\Ecopetrol Prometeo - Documents\Planning Space Implementation\3. Analysis &amp; Design\Design\FC22\DRR Jaime\QUIFA-CAJÚA\Cajua\[VAS_CAJUA_CF_SEC_20230125.xlsx]CF PRBDP'!</v>
      </c>
      <c r="G3495" s="6" t="s">
        <v>59</v>
      </c>
      <c r="H3495" s="1"/>
      <c r="I3495" s="1"/>
      <c r="J3495" s="1"/>
    </row>
    <row r="3496" spans="1:10" x14ac:dyDescent="0.25">
      <c r="A3496" s="6" t="s">
        <v>99</v>
      </c>
      <c r="B3496" s="6">
        <f t="shared" si="803"/>
        <v>2059</v>
      </c>
      <c r="C3496" s="1" t="s">
        <v>49</v>
      </c>
      <c r="D3496" s="2" t="s">
        <v>128</v>
      </c>
      <c r="E3496" s="9" t="str">
        <f t="shared" si="801"/>
        <v>PRBDP'!</v>
      </c>
      <c r="F3496" s="5" t="str">
        <f t="shared" si="802"/>
        <v>C:\Users\jaime.benazar\Quorum Business Solutions\Ecopetrol Prometeo - Documents\Planning Space Implementation\3. Analysis &amp; Design\Design\FC22\DRR Jaime\QUIFA-CAJÚA\Cajua\[VAS_CAJUA_CF_SEC_20230125.xlsx]CF PRBDP'!</v>
      </c>
      <c r="G3496" s="6" t="s">
        <v>59</v>
      </c>
      <c r="H3496" s="1"/>
      <c r="I3496" s="1"/>
      <c r="J3496" s="1"/>
    </row>
    <row r="3497" spans="1:10" x14ac:dyDescent="0.25">
      <c r="A3497" s="6" t="s">
        <v>28</v>
      </c>
      <c r="B3497" s="6"/>
      <c r="C3497" s="1" t="s">
        <v>49</v>
      </c>
      <c r="D3497" s="2"/>
      <c r="E3497" s="9"/>
      <c r="F3497" s="5"/>
      <c r="G3497" s="6"/>
      <c r="H3497" s="1"/>
      <c r="I3497" s="1"/>
      <c r="J3497" s="12"/>
    </row>
    <row r="3498" spans="1:10" x14ac:dyDescent="0.25">
      <c r="A3498" s="6" t="s">
        <v>100</v>
      </c>
      <c r="B3498" s="6">
        <v>2023</v>
      </c>
      <c r="C3498" s="1" t="s">
        <v>49</v>
      </c>
      <c r="D3498" s="2" t="s">
        <v>128</v>
      </c>
      <c r="E3498" s="9" t="str">
        <f t="shared" ref="E3498:E3518" si="804">_xlfn.CONCAT(A3498,"'!")</f>
        <v>PRBNP'!</v>
      </c>
      <c r="F3498" s="5" t="str">
        <f t="shared" ref="F3498:F3589" si="805">_xlfn.CONCAT(D3498," ",E3498)</f>
        <v>C:\Users\jaime.benazar\Quorum Business Solutions\Ecopetrol Prometeo - Documents\Planning Space Implementation\3. Analysis &amp; Design\Design\FC22\DRR Jaime\QUIFA-CAJÚA\Cajua\[VAS_CAJUA_CF_SEC_20230125.xlsx]CF PRBNP'!</v>
      </c>
      <c r="G3498" s="6" t="s">
        <v>59</v>
      </c>
      <c r="H3498" s="1"/>
      <c r="I3498" s="1"/>
      <c r="J3498" s="1"/>
    </row>
    <row r="3499" spans="1:10" x14ac:dyDescent="0.25">
      <c r="A3499" s="6" t="s">
        <v>100</v>
      </c>
      <c r="B3499" s="6">
        <f>+B3498+1</f>
        <v>2024</v>
      </c>
      <c r="C3499" s="1" t="s">
        <v>49</v>
      </c>
      <c r="D3499" s="2" t="s">
        <v>128</v>
      </c>
      <c r="E3499" s="9" t="str">
        <f t="shared" si="804"/>
        <v>PRBNP'!</v>
      </c>
      <c r="F3499" s="5" t="str">
        <f t="shared" si="805"/>
        <v>C:\Users\jaime.benazar\Quorum Business Solutions\Ecopetrol Prometeo - Documents\Planning Space Implementation\3. Analysis &amp; Design\Design\FC22\DRR Jaime\QUIFA-CAJÚA\Cajua\[VAS_CAJUA_CF_SEC_20230125.xlsx]CF PRBNP'!</v>
      </c>
      <c r="G3499" s="6" t="s">
        <v>59</v>
      </c>
      <c r="H3499" s="1"/>
      <c r="I3499" s="1"/>
      <c r="J3499" s="1"/>
    </row>
    <row r="3500" spans="1:10" x14ac:dyDescent="0.25">
      <c r="A3500" s="6" t="s">
        <v>100</v>
      </c>
      <c r="B3500" s="6">
        <f t="shared" ref="B3500:B3511" si="806">+B3499+1</f>
        <v>2025</v>
      </c>
      <c r="C3500" s="1" t="s">
        <v>49</v>
      </c>
      <c r="D3500" s="2" t="s">
        <v>128</v>
      </c>
      <c r="E3500" s="9" t="str">
        <f t="shared" si="804"/>
        <v>PRBNP'!</v>
      </c>
      <c r="F3500" s="5" t="str">
        <f t="shared" si="805"/>
        <v>C:\Users\jaime.benazar\Quorum Business Solutions\Ecopetrol Prometeo - Documents\Planning Space Implementation\3. Analysis &amp; Design\Design\FC22\DRR Jaime\QUIFA-CAJÚA\Cajua\[VAS_CAJUA_CF_SEC_20230125.xlsx]CF PRBNP'!</v>
      </c>
      <c r="G3500" s="6" t="s">
        <v>59</v>
      </c>
      <c r="H3500" s="1"/>
      <c r="I3500" s="1"/>
      <c r="J3500" s="1"/>
    </row>
    <row r="3501" spans="1:10" x14ac:dyDescent="0.25">
      <c r="A3501" s="6" t="s">
        <v>100</v>
      </c>
      <c r="B3501" s="6">
        <f t="shared" si="806"/>
        <v>2026</v>
      </c>
      <c r="C3501" s="1" t="s">
        <v>49</v>
      </c>
      <c r="D3501" s="2" t="s">
        <v>128</v>
      </c>
      <c r="E3501" s="9" t="str">
        <f t="shared" si="804"/>
        <v>PRBNP'!</v>
      </c>
      <c r="F3501" s="5" t="str">
        <f t="shared" si="805"/>
        <v>C:\Users\jaime.benazar\Quorum Business Solutions\Ecopetrol Prometeo - Documents\Planning Space Implementation\3. Analysis &amp; Design\Design\FC22\DRR Jaime\QUIFA-CAJÚA\Cajua\[VAS_CAJUA_CF_SEC_20230125.xlsx]CF PRBNP'!</v>
      </c>
      <c r="G3501" s="6" t="s">
        <v>59</v>
      </c>
      <c r="H3501" s="1"/>
      <c r="I3501" s="1"/>
      <c r="J3501" s="1"/>
    </row>
    <row r="3502" spans="1:10" x14ac:dyDescent="0.25">
      <c r="A3502" s="6" t="s">
        <v>100</v>
      </c>
      <c r="B3502" s="6">
        <f t="shared" si="806"/>
        <v>2027</v>
      </c>
      <c r="C3502" s="1" t="s">
        <v>49</v>
      </c>
      <c r="D3502" s="2" t="s">
        <v>128</v>
      </c>
      <c r="E3502" s="9" t="str">
        <f t="shared" si="804"/>
        <v>PRBNP'!</v>
      </c>
      <c r="F3502" s="5" t="str">
        <f t="shared" si="805"/>
        <v>C:\Users\jaime.benazar\Quorum Business Solutions\Ecopetrol Prometeo - Documents\Planning Space Implementation\3. Analysis &amp; Design\Design\FC22\DRR Jaime\QUIFA-CAJÚA\Cajua\[VAS_CAJUA_CF_SEC_20230125.xlsx]CF PRBNP'!</v>
      </c>
      <c r="G3502" s="6" t="s">
        <v>59</v>
      </c>
      <c r="H3502" s="1"/>
      <c r="I3502" s="1"/>
      <c r="J3502" s="1"/>
    </row>
    <row r="3503" spans="1:10" x14ac:dyDescent="0.25">
      <c r="A3503" s="6" t="s">
        <v>100</v>
      </c>
      <c r="B3503" s="6">
        <f t="shared" si="806"/>
        <v>2028</v>
      </c>
      <c r="C3503" s="1" t="s">
        <v>49</v>
      </c>
      <c r="D3503" s="2" t="s">
        <v>128</v>
      </c>
      <c r="E3503" s="9" t="str">
        <f t="shared" si="804"/>
        <v>PRBNP'!</v>
      </c>
      <c r="F3503" s="5" t="str">
        <f t="shared" si="805"/>
        <v>C:\Users\jaime.benazar\Quorum Business Solutions\Ecopetrol Prometeo - Documents\Planning Space Implementation\3. Analysis &amp; Design\Design\FC22\DRR Jaime\QUIFA-CAJÚA\Cajua\[VAS_CAJUA_CF_SEC_20230125.xlsx]CF PRBNP'!</v>
      </c>
      <c r="G3503" s="6" t="s">
        <v>59</v>
      </c>
      <c r="H3503" s="1"/>
      <c r="I3503" s="1"/>
      <c r="J3503" s="1"/>
    </row>
    <row r="3504" spans="1:10" x14ac:dyDescent="0.25">
      <c r="A3504" s="6" t="s">
        <v>100</v>
      </c>
      <c r="B3504" s="6">
        <f t="shared" si="806"/>
        <v>2029</v>
      </c>
      <c r="C3504" s="1" t="s">
        <v>49</v>
      </c>
      <c r="D3504" s="2" t="s">
        <v>128</v>
      </c>
      <c r="E3504" s="9" t="str">
        <f t="shared" si="804"/>
        <v>PRBNP'!</v>
      </c>
      <c r="F3504" s="5" t="str">
        <f t="shared" si="805"/>
        <v>C:\Users\jaime.benazar\Quorum Business Solutions\Ecopetrol Prometeo - Documents\Planning Space Implementation\3. Analysis &amp; Design\Design\FC22\DRR Jaime\QUIFA-CAJÚA\Cajua\[VAS_CAJUA_CF_SEC_20230125.xlsx]CF PRBNP'!</v>
      </c>
      <c r="G3504" s="6" t="s">
        <v>59</v>
      </c>
      <c r="H3504" s="1"/>
      <c r="I3504" s="1"/>
      <c r="J3504" s="1"/>
    </row>
    <row r="3505" spans="1:10" x14ac:dyDescent="0.25">
      <c r="A3505" s="6" t="s">
        <v>100</v>
      </c>
      <c r="B3505" s="6">
        <f t="shared" si="806"/>
        <v>2030</v>
      </c>
      <c r="C3505" s="1" t="s">
        <v>49</v>
      </c>
      <c r="D3505" s="2" t="s">
        <v>128</v>
      </c>
      <c r="E3505" s="9" t="str">
        <f t="shared" si="804"/>
        <v>PRBNP'!</v>
      </c>
      <c r="F3505" s="5" t="str">
        <f t="shared" si="805"/>
        <v>C:\Users\jaime.benazar\Quorum Business Solutions\Ecopetrol Prometeo - Documents\Planning Space Implementation\3. Analysis &amp; Design\Design\FC22\DRR Jaime\QUIFA-CAJÚA\Cajua\[VAS_CAJUA_CF_SEC_20230125.xlsx]CF PRBNP'!</v>
      </c>
      <c r="G3505" s="6" t="s">
        <v>59</v>
      </c>
      <c r="H3505" s="1"/>
      <c r="I3505" s="1"/>
      <c r="J3505" s="1"/>
    </row>
    <row r="3506" spans="1:10" x14ac:dyDescent="0.25">
      <c r="A3506" s="6" t="s">
        <v>100</v>
      </c>
      <c r="B3506" s="6">
        <f t="shared" si="806"/>
        <v>2031</v>
      </c>
      <c r="C3506" s="1" t="s">
        <v>49</v>
      </c>
      <c r="D3506" s="2" t="s">
        <v>128</v>
      </c>
      <c r="E3506" s="9" t="str">
        <f t="shared" si="804"/>
        <v>PRBNP'!</v>
      </c>
      <c r="F3506" s="5" t="str">
        <f t="shared" si="805"/>
        <v>C:\Users\jaime.benazar\Quorum Business Solutions\Ecopetrol Prometeo - Documents\Planning Space Implementation\3. Analysis &amp; Design\Design\FC22\DRR Jaime\QUIFA-CAJÚA\Cajua\[VAS_CAJUA_CF_SEC_20230125.xlsx]CF PRBNP'!</v>
      </c>
      <c r="G3506" s="6" t="s">
        <v>59</v>
      </c>
      <c r="H3506" s="1"/>
      <c r="I3506" s="1"/>
      <c r="J3506" s="1"/>
    </row>
    <row r="3507" spans="1:10" x14ac:dyDescent="0.25">
      <c r="A3507" s="6" t="s">
        <v>100</v>
      </c>
      <c r="B3507" s="6">
        <f t="shared" si="806"/>
        <v>2032</v>
      </c>
      <c r="C3507" s="1" t="s">
        <v>49</v>
      </c>
      <c r="D3507" s="2" t="s">
        <v>128</v>
      </c>
      <c r="E3507" s="9" t="str">
        <f t="shared" si="804"/>
        <v>PRBNP'!</v>
      </c>
      <c r="F3507" s="5" t="str">
        <f t="shared" si="805"/>
        <v>C:\Users\jaime.benazar\Quorum Business Solutions\Ecopetrol Prometeo - Documents\Planning Space Implementation\3. Analysis &amp; Design\Design\FC22\DRR Jaime\QUIFA-CAJÚA\Cajua\[VAS_CAJUA_CF_SEC_20230125.xlsx]CF PRBNP'!</v>
      </c>
      <c r="G3507" s="6" t="s">
        <v>59</v>
      </c>
      <c r="H3507" s="1"/>
      <c r="I3507" s="1"/>
      <c r="J3507" s="1"/>
    </row>
    <row r="3508" spans="1:10" x14ac:dyDescent="0.25">
      <c r="A3508" s="6" t="s">
        <v>100</v>
      </c>
      <c r="B3508" s="6">
        <f t="shared" si="806"/>
        <v>2033</v>
      </c>
      <c r="C3508" s="1" t="s">
        <v>49</v>
      </c>
      <c r="D3508" s="2" t="s">
        <v>128</v>
      </c>
      <c r="E3508" s="9" t="str">
        <f t="shared" si="804"/>
        <v>PRBNP'!</v>
      </c>
      <c r="F3508" s="5" t="str">
        <f t="shared" si="805"/>
        <v>C:\Users\jaime.benazar\Quorum Business Solutions\Ecopetrol Prometeo - Documents\Planning Space Implementation\3. Analysis &amp; Design\Design\FC22\DRR Jaime\QUIFA-CAJÚA\Cajua\[VAS_CAJUA_CF_SEC_20230125.xlsx]CF PRBNP'!</v>
      </c>
      <c r="G3508" s="6" t="s">
        <v>59</v>
      </c>
      <c r="H3508" s="1"/>
      <c r="I3508" s="1"/>
      <c r="J3508" s="1"/>
    </row>
    <row r="3509" spans="1:10" x14ac:dyDescent="0.25">
      <c r="A3509" s="6" t="s">
        <v>100</v>
      </c>
      <c r="B3509" s="6">
        <f t="shared" si="806"/>
        <v>2034</v>
      </c>
      <c r="C3509" s="1" t="s">
        <v>49</v>
      </c>
      <c r="D3509" s="2" t="s">
        <v>128</v>
      </c>
      <c r="E3509" s="9" t="str">
        <f t="shared" si="804"/>
        <v>PRBNP'!</v>
      </c>
      <c r="F3509" s="5" t="str">
        <f t="shared" si="805"/>
        <v>C:\Users\jaime.benazar\Quorum Business Solutions\Ecopetrol Prometeo - Documents\Planning Space Implementation\3. Analysis &amp; Design\Design\FC22\DRR Jaime\QUIFA-CAJÚA\Cajua\[VAS_CAJUA_CF_SEC_20230125.xlsx]CF PRBNP'!</v>
      </c>
      <c r="G3509" s="6" t="s">
        <v>59</v>
      </c>
      <c r="H3509" s="1"/>
      <c r="I3509" s="1"/>
      <c r="J3509" s="1"/>
    </row>
    <row r="3510" spans="1:10" x14ac:dyDescent="0.25">
      <c r="A3510" s="6" t="s">
        <v>100</v>
      </c>
      <c r="B3510" s="6">
        <f t="shared" si="806"/>
        <v>2035</v>
      </c>
      <c r="C3510" s="1" t="s">
        <v>49</v>
      </c>
      <c r="D3510" s="2" t="s">
        <v>128</v>
      </c>
      <c r="E3510" s="9" t="str">
        <f t="shared" si="804"/>
        <v>PRBNP'!</v>
      </c>
      <c r="F3510" s="5" t="str">
        <f t="shared" si="805"/>
        <v>C:\Users\jaime.benazar\Quorum Business Solutions\Ecopetrol Prometeo - Documents\Planning Space Implementation\3. Analysis &amp; Design\Design\FC22\DRR Jaime\QUIFA-CAJÚA\Cajua\[VAS_CAJUA_CF_SEC_20230125.xlsx]CF PRBNP'!</v>
      </c>
      <c r="G3510" s="6" t="s">
        <v>59</v>
      </c>
      <c r="H3510" s="1"/>
      <c r="I3510" s="1"/>
      <c r="J3510" s="1"/>
    </row>
    <row r="3511" spans="1:10" x14ac:dyDescent="0.25">
      <c r="A3511" s="6" t="s">
        <v>100</v>
      </c>
      <c r="B3511" s="6">
        <f t="shared" si="806"/>
        <v>2036</v>
      </c>
      <c r="C3511" s="1" t="s">
        <v>49</v>
      </c>
      <c r="D3511" s="2" t="s">
        <v>128</v>
      </c>
      <c r="E3511" s="9" t="str">
        <f t="shared" si="804"/>
        <v>PRBNP'!</v>
      </c>
      <c r="F3511" s="5" t="str">
        <f t="shared" si="805"/>
        <v>C:\Users\jaime.benazar\Quorum Business Solutions\Ecopetrol Prometeo - Documents\Planning Space Implementation\3. Analysis &amp; Design\Design\FC22\DRR Jaime\QUIFA-CAJÚA\Cajua\[VAS_CAJUA_CF_SEC_20230125.xlsx]CF PRBNP'!</v>
      </c>
      <c r="G3511" s="6" t="s">
        <v>59</v>
      </c>
      <c r="H3511" s="1"/>
      <c r="I3511" s="1"/>
      <c r="J3511" s="1"/>
    </row>
    <row r="3512" spans="1:10" x14ac:dyDescent="0.25">
      <c r="A3512" s="6" t="s">
        <v>100</v>
      </c>
      <c r="B3512" s="6">
        <f>+B3511+1</f>
        <v>2037</v>
      </c>
      <c r="C3512" s="1" t="s">
        <v>49</v>
      </c>
      <c r="D3512" s="2" t="s">
        <v>128</v>
      </c>
      <c r="E3512" s="9" t="str">
        <f t="shared" si="804"/>
        <v>PRBNP'!</v>
      </c>
      <c r="F3512" s="5" t="str">
        <f t="shared" si="805"/>
        <v>C:\Users\jaime.benazar\Quorum Business Solutions\Ecopetrol Prometeo - Documents\Planning Space Implementation\3. Analysis &amp; Design\Design\FC22\DRR Jaime\QUIFA-CAJÚA\Cajua\[VAS_CAJUA_CF_SEC_20230125.xlsx]CF PRBNP'!</v>
      </c>
      <c r="G3512" s="6" t="s">
        <v>59</v>
      </c>
      <c r="H3512" s="1"/>
      <c r="I3512" s="1"/>
      <c r="J3512" s="1"/>
    </row>
    <row r="3513" spans="1:10" x14ac:dyDescent="0.25">
      <c r="A3513" s="6" t="s">
        <v>100</v>
      </c>
      <c r="B3513" s="6">
        <f t="shared" ref="B3513:B3515" si="807">+B3512+1</f>
        <v>2038</v>
      </c>
      <c r="C3513" s="1" t="s">
        <v>49</v>
      </c>
      <c r="D3513" s="2" t="s">
        <v>128</v>
      </c>
      <c r="E3513" s="9" t="str">
        <f t="shared" si="804"/>
        <v>PRBNP'!</v>
      </c>
      <c r="F3513" s="5" t="str">
        <f t="shared" si="805"/>
        <v>C:\Users\jaime.benazar\Quorum Business Solutions\Ecopetrol Prometeo - Documents\Planning Space Implementation\3. Analysis &amp; Design\Design\FC22\DRR Jaime\QUIFA-CAJÚA\Cajua\[VAS_CAJUA_CF_SEC_20230125.xlsx]CF PRBNP'!</v>
      </c>
      <c r="G3513" s="6" t="s">
        <v>59</v>
      </c>
      <c r="H3513" s="1"/>
      <c r="I3513" s="1"/>
      <c r="J3513" s="1"/>
    </row>
    <row r="3514" spans="1:10" x14ac:dyDescent="0.25">
      <c r="A3514" s="6" t="s">
        <v>100</v>
      </c>
      <c r="B3514" s="6">
        <f t="shared" si="807"/>
        <v>2039</v>
      </c>
      <c r="C3514" s="1" t="s">
        <v>49</v>
      </c>
      <c r="D3514" s="2" t="s">
        <v>128</v>
      </c>
      <c r="E3514" s="9" t="str">
        <f t="shared" si="804"/>
        <v>PRBNP'!</v>
      </c>
      <c r="F3514" s="5" t="str">
        <f t="shared" si="805"/>
        <v>C:\Users\jaime.benazar\Quorum Business Solutions\Ecopetrol Prometeo - Documents\Planning Space Implementation\3. Analysis &amp; Design\Design\FC22\DRR Jaime\QUIFA-CAJÚA\Cajua\[VAS_CAJUA_CF_SEC_20230125.xlsx]CF PRBNP'!</v>
      </c>
      <c r="G3514" s="6" t="s">
        <v>59</v>
      </c>
      <c r="H3514" s="1"/>
      <c r="I3514" s="1"/>
      <c r="J3514" s="1"/>
    </row>
    <row r="3515" spans="1:10" x14ac:dyDescent="0.25">
      <c r="A3515" s="6" t="s">
        <v>100</v>
      </c>
      <c r="B3515" s="6">
        <f t="shared" si="807"/>
        <v>2040</v>
      </c>
      <c r="C3515" s="1" t="s">
        <v>49</v>
      </c>
      <c r="D3515" s="2" t="s">
        <v>128</v>
      </c>
      <c r="E3515" s="9" t="str">
        <f t="shared" si="804"/>
        <v>PRBNP'!</v>
      </c>
      <c r="F3515" s="5" t="str">
        <f t="shared" si="805"/>
        <v>C:\Users\jaime.benazar\Quorum Business Solutions\Ecopetrol Prometeo - Documents\Planning Space Implementation\3. Analysis &amp; Design\Design\FC22\DRR Jaime\QUIFA-CAJÚA\Cajua\[VAS_CAJUA_CF_SEC_20230125.xlsx]CF PRBNP'!</v>
      </c>
      <c r="G3515" s="6" t="s">
        <v>59</v>
      </c>
      <c r="H3515" s="1"/>
      <c r="I3515" s="1"/>
      <c r="J3515" s="1"/>
    </row>
    <row r="3516" spans="1:10" x14ac:dyDescent="0.25">
      <c r="A3516" s="6" t="s">
        <v>100</v>
      </c>
      <c r="B3516" s="6">
        <f>+B3515+1</f>
        <v>2041</v>
      </c>
      <c r="C3516" s="1" t="s">
        <v>49</v>
      </c>
      <c r="D3516" s="2" t="s">
        <v>128</v>
      </c>
      <c r="E3516" s="9" t="str">
        <f t="shared" si="804"/>
        <v>PRBNP'!</v>
      </c>
      <c r="F3516" s="5" t="str">
        <f t="shared" si="805"/>
        <v>C:\Users\jaime.benazar\Quorum Business Solutions\Ecopetrol Prometeo - Documents\Planning Space Implementation\3. Analysis &amp; Design\Design\FC22\DRR Jaime\QUIFA-CAJÚA\Cajua\[VAS_CAJUA_CF_SEC_20230125.xlsx]CF PRBNP'!</v>
      </c>
      <c r="G3516" s="6" t="s">
        <v>59</v>
      </c>
      <c r="H3516" s="1"/>
      <c r="I3516" s="1"/>
      <c r="J3516" s="1"/>
    </row>
    <row r="3517" spans="1:10" x14ac:dyDescent="0.25">
      <c r="A3517" s="6" t="s">
        <v>100</v>
      </c>
      <c r="B3517" s="6">
        <f t="shared" ref="B3517:B3518" si="808">+B3516+1</f>
        <v>2042</v>
      </c>
      <c r="C3517" s="1" t="s">
        <v>49</v>
      </c>
      <c r="D3517" s="2" t="s">
        <v>128</v>
      </c>
      <c r="E3517" s="9" t="str">
        <f t="shared" si="804"/>
        <v>PRBNP'!</v>
      </c>
      <c r="F3517" s="5" t="str">
        <f t="shared" si="805"/>
        <v>C:\Users\jaime.benazar\Quorum Business Solutions\Ecopetrol Prometeo - Documents\Planning Space Implementation\3. Analysis &amp; Design\Design\FC22\DRR Jaime\QUIFA-CAJÚA\Cajua\[VAS_CAJUA_CF_SEC_20230125.xlsx]CF PRBNP'!</v>
      </c>
      <c r="G3517" s="6" t="s">
        <v>59</v>
      </c>
      <c r="H3517" s="1"/>
      <c r="I3517" s="1"/>
      <c r="J3517" s="1"/>
    </row>
    <row r="3518" spans="1:10" x14ac:dyDescent="0.25">
      <c r="A3518" s="6" t="s">
        <v>100</v>
      </c>
      <c r="B3518" s="6">
        <f t="shared" si="808"/>
        <v>2043</v>
      </c>
      <c r="C3518" s="1" t="s">
        <v>49</v>
      </c>
      <c r="D3518" s="2" t="s">
        <v>128</v>
      </c>
      <c r="E3518" s="9" t="str">
        <f t="shared" si="804"/>
        <v>PRBNP'!</v>
      </c>
      <c r="F3518" s="5" t="str">
        <f t="shared" si="805"/>
        <v>C:\Users\jaime.benazar\Quorum Business Solutions\Ecopetrol Prometeo - Documents\Planning Space Implementation\3. Analysis &amp; Design\Design\FC22\DRR Jaime\QUIFA-CAJÚA\Cajua\[VAS_CAJUA_CF_SEC_20230125.xlsx]CF PRBNP'!</v>
      </c>
      <c r="G3518" s="6" t="s">
        <v>59</v>
      </c>
      <c r="H3518" s="1"/>
      <c r="I3518" s="1"/>
      <c r="J3518" s="1"/>
    </row>
    <row r="3519" spans="1:10" x14ac:dyDescent="0.25">
      <c r="A3519" s="6" t="s">
        <v>100</v>
      </c>
      <c r="B3519" s="6">
        <f>+B3518+1</f>
        <v>2044</v>
      </c>
      <c r="C3519" s="1" t="s">
        <v>49</v>
      </c>
      <c r="D3519" s="2" t="s">
        <v>128</v>
      </c>
      <c r="E3519" s="9" t="str">
        <f t="shared" ref="E3519:E3534" si="809">_xlfn.CONCAT(A3519,"'!")</f>
        <v>PRBNP'!</v>
      </c>
      <c r="F3519" s="5" t="str">
        <f t="shared" ref="F3519:F3534" si="810">_xlfn.CONCAT(D3519," ",E3519)</f>
        <v>C:\Users\jaime.benazar\Quorum Business Solutions\Ecopetrol Prometeo - Documents\Planning Space Implementation\3. Analysis &amp; Design\Design\FC22\DRR Jaime\QUIFA-CAJÚA\Cajua\[VAS_CAJUA_CF_SEC_20230125.xlsx]CF PRBNP'!</v>
      </c>
      <c r="G3519" s="6" t="s">
        <v>59</v>
      </c>
      <c r="H3519" s="1"/>
      <c r="I3519" s="1"/>
      <c r="J3519" s="1"/>
    </row>
    <row r="3520" spans="1:10" x14ac:dyDescent="0.25">
      <c r="A3520" s="6" t="s">
        <v>100</v>
      </c>
      <c r="B3520" s="6">
        <f t="shared" ref="B3520:B3534" si="811">+B3519+1</f>
        <v>2045</v>
      </c>
      <c r="C3520" s="1" t="s">
        <v>49</v>
      </c>
      <c r="D3520" s="2" t="s">
        <v>128</v>
      </c>
      <c r="E3520" s="9" t="str">
        <f t="shared" si="809"/>
        <v>PRBNP'!</v>
      </c>
      <c r="F3520" s="5" t="str">
        <f t="shared" si="810"/>
        <v>C:\Users\jaime.benazar\Quorum Business Solutions\Ecopetrol Prometeo - Documents\Planning Space Implementation\3. Analysis &amp; Design\Design\FC22\DRR Jaime\QUIFA-CAJÚA\Cajua\[VAS_CAJUA_CF_SEC_20230125.xlsx]CF PRBNP'!</v>
      </c>
      <c r="G3520" s="6" t="s">
        <v>59</v>
      </c>
      <c r="H3520" s="1"/>
      <c r="I3520" s="1"/>
      <c r="J3520" s="1"/>
    </row>
    <row r="3521" spans="1:10" x14ac:dyDescent="0.25">
      <c r="A3521" s="6" t="s">
        <v>100</v>
      </c>
      <c r="B3521" s="6">
        <f t="shared" si="811"/>
        <v>2046</v>
      </c>
      <c r="C3521" s="1" t="s">
        <v>49</v>
      </c>
      <c r="D3521" s="2" t="s">
        <v>128</v>
      </c>
      <c r="E3521" s="9" t="str">
        <f t="shared" si="809"/>
        <v>PRBNP'!</v>
      </c>
      <c r="F3521" s="5" t="str">
        <f t="shared" si="810"/>
        <v>C:\Users\jaime.benazar\Quorum Business Solutions\Ecopetrol Prometeo - Documents\Planning Space Implementation\3. Analysis &amp; Design\Design\FC22\DRR Jaime\QUIFA-CAJÚA\Cajua\[VAS_CAJUA_CF_SEC_20230125.xlsx]CF PRBNP'!</v>
      </c>
      <c r="G3521" s="6" t="s">
        <v>59</v>
      </c>
      <c r="H3521" s="1"/>
      <c r="I3521" s="1"/>
      <c r="J3521" s="1"/>
    </row>
    <row r="3522" spans="1:10" x14ac:dyDescent="0.25">
      <c r="A3522" s="6" t="s">
        <v>100</v>
      </c>
      <c r="B3522" s="6">
        <f t="shared" si="811"/>
        <v>2047</v>
      </c>
      <c r="C3522" s="1" t="s">
        <v>49</v>
      </c>
      <c r="D3522" s="2" t="s">
        <v>128</v>
      </c>
      <c r="E3522" s="9" t="str">
        <f t="shared" si="809"/>
        <v>PRBNP'!</v>
      </c>
      <c r="F3522" s="5" t="str">
        <f t="shared" si="810"/>
        <v>C:\Users\jaime.benazar\Quorum Business Solutions\Ecopetrol Prometeo - Documents\Planning Space Implementation\3. Analysis &amp; Design\Design\FC22\DRR Jaime\QUIFA-CAJÚA\Cajua\[VAS_CAJUA_CF_SEC_20230125.xlsx]CF PRBNP'!</v>
      </c>
      <c r="G3522" s="6" t="s">
        <v>59</v>
      </c>
      <c r="H3522" s="1"/>
      <c r="I3522" s="1"/>
      <c r="J3522" s="1"/>
    </row>
    <row r="3523" spans="1:10" x14ac:dyDescent="0.25">
      <c r="A3523" s="6" t="s">
        <v>100</v>
      </c>
      <c r="B3523" s="6">
        <f t="shared" si="811"/>
        <v>2048</v>
      </c>
      <c r="C3523" s="1" t="s">
        <v>49</v>
      </c>
      <c r="D3523" s="2" t="s">
        <v>128</v>
      </c>
      <c r="E3523" s="9" t="str">
        <f t="shared" si="809"/>
        <v>PRBNP'!</v>
      </c>
      <c r="F3523" s="5" t="str">
        <f t="shared" si="810"/>
        <v>C:\Users\jaime.benazar\Quorum Business Solutions\Ecopetrol Prometeo - Documents\Planning Space Implementation\3. Analysis &amp; Design\Design\FC22\DRR Jaime\QUIFA-CAJÚA\Cajua\[VAS_CAJUA_CF_SEC_20230125.xlsx]CF PRBNP'!</v>
      </c>
      <c r="G3523" s="6" t="s">
        <v>59</v>
      </c>
      <c r="H3523" s="1"/>
      <c r="I3523" s="1"/>
      <c r="J3523" s="1"/>
    </row>
    <row r="3524" spans="1:10" x14ac:dyDescent="0.25">
      <c r="A3524" s="6" t="s">
        <v>100</v>
      </c>
      <c r="B3524" s="6">
        <f t="shared" si="811"/>
        <v>2049</v>
      </c>
      <c r="C3524" s="1" t="s">
        <v>49</v>
      </c>
      <c r="D3524" s="2" t="s">
        <v>128</v>
      </c>
      <c r="E3524" s="9" t="str">
        <f t="shared" si="809"/>
        <v>PRBNP'!</v>
      </c>
      <c r="F3524" s="5" t="str">
        <f t="shared" si="810"/>
        <v>C:\Users\jaime.benazar\Quorum Business Solutions\Ecopetrol Prometeo - Documents\Planning Space Implementation\3. Analysis &amp; Design\Design\FC22\DRR Jaime\QUIFA-CAJÚA\Cajua\[VAS_CAJUA_CF_SEC_20230125.xlsx]CF PRBNP'!</v>
      </c>
      <c r="G3524" s="6" t="s">
        <v>59</v>
      </c>
      <c r="H3524" s="1"/>
      <c r="I3524" s="1"/>
      <c r="J3524" s="1"/>
    </row>
    <row r="3525" spans="1:10" x14ac:dyDescent="0.25">
      <c r="A3525" s="6" t="s">
        <v>100</v>
      </c>
      <c r="B3525" s="6">
        <f t="shared" si="811"/>
        <v>2050</v>
      </c>
      <c r="C3525" s="1" t="s">
        <v>49</v>
      </c>
      <c r="D3525" s="2" t="s">
        <v>128</v>
      </c>
      <c r="E3525" s="9" t="str">
        <f t="shared" si="809"/>
        <v>PRBNP'!</v>
      </c>
      <c r="F3525" s="5" t="str">
        <f t="shared" si="810"/>
        <v>C:\Users\jaime.benazar\Quorum Business Solutions\Ecopetrol Prometeo - Documents\Planning Space Implementation\3. Analysis &amp; Design\Design\FC22\DRR Jaime\QUIFA-CAJÚA\Cajua\[VAS_CAJUA_CF_SEC_20230125.xlsx]CF PRBNP'!</v>
      </c>
      <c r="G3525" s="6" t="s">
        <v>59</v>
      </c>
      <c r="H3525" s="1"/>
      <c r="I3525" s="1"/>
      <c r="J3525" s="1"/>
    </row>
    <row r="3526" spans="1:10" x14ac:dyDescent="0.25">
      <c r="A3526" s="6" t="s">
        <v>100</v>
      </c>
      <c r="B3526" s="6">
        <f t="shared" si="811"/>
        <v>2051</v>
      </c>
      <c r="C3526" s="1" t="s">
        <v>49</v>
      </c>
      <c r="D3526" s="2" t="s">
        <v>128</v>
      </c>
      <c r="E3526" s="9" t="str">
        <f t="shared" si="809"/>
        <v>PRBNP'!</v>
      </c>
      <c r="F3526" s="5" t="str">
        <f t="shared" si="810"/>
        <v>C:\Users\jaime.benazar\Quorum Business Solutions\Ecopetrol Prometeo - Documents\Planning Space Implementation\3. Analysis &amp; Design\Design\FC22\DRR Jaime\QUIFA-CAJÚA\Cajua\[VAS_CAJUA_CF_SEC_20230125.xlsx]CF PRBNP'!</v>
      </c>
      <c r="G3526" s="6" t="s">
        <v>59</v>
      </c>
      <c r="H3526" s="1"/>
      <c r="I3526" s="1"/>
      <c r="J3526" s="1"/>
    </row>
    <row r="3527" spans="1:10" x14ac:dyDescent="0.25">
      <c r="A3527" s="6" t="s">
        <v>100</v>
      </c>
      <c r="B3527" s="6">
        <f t="shared" si="811"/>
        <v>2052</v>
      </c>
      <c r="C3527" s="1" t="s">
        <v>49</v>
      </c>
      <c r="D3527" s="2" t="s">
        <v>128</v>
      </c>
      <c r="E3527" s="9" t="str">
        <f t="shared" si="809"/>
        <v>PRBNP'!</v>
      </c>
      <c r="F3527" s="5" t="str">
        <f t="shared" si="810"/>
        <v>C:\Users\jaime.benazar\Quorum Business Solutions\Ecopetrol Prometeo - Documents\Planning Space Implementation\3. Analysis &amp; Design\Design\FC22\DRR Jaime\QUIFA-CAJÚA\Cajua\[VAS_CAJUA_CF_SEC_20230125.xlsx]CF PRBNP'!</v>
      </c>
      <c r="G3527" s="6" t="s">
        <v>59</v>
      </c>
      <c r="H3527" s="1"/>
      <c r="I3527" s="1"/>
      <c r="J3527" s="1"/>
    </row>
    <row r="3528" spans="1:10" x14ac:dyDescent="0.25">
      <c r="A3528" s="6" t="s">
        <v>100</v>
      </c>
      <c r="B3528" s="6">
        <f t="shared" si="811"/>
        <v>2053</v>
      </c>
      <c r="C3528" s="1" t="s">
        <v>49</v>
      </c>
      <c r="D3528" s="2" t="s">
        <v>128</v>
      </c>
      <c r="E3528" s="9" t="str">
        <f t="shared" si="809"/>
        <v>PRBNP'!</v>
      </c>
      <c r="F3528" s="5" t="str">
        <f t="shared" si="810"/>
        <v>C:\Users\jaime.benazar\Quorum Business Solutions\Ecopetrol Prometeo - Documents\Planning Space Implementation\3. Analysis &amp; Design\Design\FC22\DRR Jaime\QUIFA-CAJÚA\Cajua\[VAS_CAJUA_CF_SEC_20230125.xlsx]CF PRBNP'!</v>
      </c>
      <c r="G3528" s="6" t="s">
        <v>59</v>
      </c>
      <c r="H3528" s="1"/>
      <c r="I3528" s="1"/>
      <c r="J3528" s="1"/>
    </row>
    <row r="3529" spans="1:10" x14ac:dyDescent="0.25">
      <c r="A3529" s="6" t="s">
        <v>100</v>
      </c>
      <c r="B3529" s="6">
        <f t="shared" si="811"/>
        <v>2054</v>
      </c>
      <c r="C3529" s="1" t="s">
        <v>49</v>
      </c>
      <c r="D3529" s="2" t="s">
        <v>128</v>
      </c>
      <c r="E3529" s="9" t="str">
        <f t="shared" si="809"/>
        <v>PRBNP'!</v>
      </c>
      <c r="F3529" s="5" t="str">
        <f t="shared" si="810"/>
        <v>C:\Users\jaime.benazar\Quorum Business Solutions\Ecopetrol Prometeo - Documents\Planning Space Implementation\3. Analysis &amp; Design\Design\FC22\DRR Jaime\QUIFA-CAJÚA\Cajua\[VAS_CAJUA_CF_SEC_20230125.xlsx]CF PRBNP'!</v>
      </c>
      <c r="G3529" s="6" t="s">
        <v>59</v>
      </c>
      <c r="H3529" s="1"/>
      <c r="I3529" s="1"/>
      <c r="J3529" s="1"/>
    </row>
    <row r="3530" spans="1:10" x14ac:dyDescent="0.25">
      <c r="A3530" s="6" t="s">
        <v>100</v>
      </c>
      <c r="B3530" s="6">
        <f t="shared" si="811"/>
        <v>2055</v>
      </c>
      <c r="C3530" s="1" t="s">
        <v>49</v>
      </c>
      <c r="D3530" s="2" t="s">
        <v>128</v>
      </c>
      <c r="E3530" s="9" t="str">
        <f t="shared" si="809"/>
        <v>PRBNP'!</v>
      </c>
      <c r="F3530" s="5" t="str">
        <f t="shared" si="810"/>
        <v>C:\Users\jaime.benazar\Quorum Business Solutions\Ecopetrol Prometeo - Documents\Planning Space Implementation\3. Analysis &amp; Design\Design\FC22\DRR Jaime\QUIFA-CAJÚA\Cajua\[VAS_CAJUA_CF_SEC_20230125.xlsx]CF PRBNP'!</v>
      </c>
      <c r="G3530" s="6" t="s">
        <v>59</v>
      </c>
      <c r="H3530" s="1"/>
      <c r="I3530" s="1"/>
      <c r="J3530" s="1"/>
    </row>
    <row r="3531" spans="1:10" x14ac:dyDescent="0.25">
      <c r="A3531" s="6" t="s">
        <v>100</v>
      </c>
      <c r="B3531" s="6">
        <f t="shared" si="811"/>
        <v>2056</v>
      </c>
      <c r="C3531" s="1" t="s">
        <v>49</v>
      </c>
      <c r="D3531" s="2" t="s">
        <v>128</v>
      </c>
      <c r="E3531" s="9" t="str">
        <f t="shared" si="809"/>
        <v>PRBNP'!</v>
      </c>
      <c r="F3531" s="5" t="str">
        <f t="shared" si="810"/>
        <v>C:\Users\jaime.benazar\Quorum Business Solutions\Ecopetrol Prometeo - Documents\Planning Space Implementation\3. Analysis &amp; Design\Design\FC22\DRR Jaime\QUIFA-CAJÚA\Cajua\[VAS_CAJUA_CF_SEC_20230125.xlsx]CF PRBNP'!</v>
      </c>
      <c r="G3531" s="6" t="s">
        <v>59</v>
      </c>
      <c r="H3531" s="1"/>
      <c r="I3531" s="1"/>
      <c r="J3531" s="1"/>
    </row>
    <row r="3532" spans="1:10" x14ac:dyDescent="0.25">
      <c r="A3532" s="6" t="s">
        <v>100</v>
      </c>
      <c r="B3532" s="6">
        <f t="shared" si="811"/>
        <v>2057</v>
      </c>
      <c r="C3532" s="1" t="s">
        <v>49</v>
      </c>
      <c r="D3532" s="2" t="s">
        <v>128</v>
      </c>
      <c r="E3532" s="9" t="str">
        <f t="shared" si="809"/>
        <v>PRBNP'!</v>
      </c>
      <c r="F3532" s="5" t="str">
        <f t="shared" si="810"/>
        <v>C:\Users\jaime.benazar\Quorum Business Solutions\Ecopetrol Prometeo - Documents\Planning Space Implementation\3. Analysis &amp; Design\Design\FC22\DRR Jaime\QUIFA-CAJÚA\Cajua\[VAS_CAJUA_CF_SEC_20230125.xlsx]CF PRBNP'!</v>
      </c>
      <c r="G3532" s="6" t="s">
        <v>59</v>
      </c>
      <c r="H3532" s="1"/>
      <c r="I3532" s="1"/>
      <c r="J3532" s="1"/>
    </row>
    <row r="3533" spans="1:10" x14ac:dyDescent="0.25">
      <c r="A3533" s="6" t="s">
        <v>100</v>
      </c>
      <c r="B3533" s="6">
        <f t="shared" si="811"/>
        <v>2058</v>
      </c>
      <c r="C3533" s="1" t="s">
        <v>49</v>
      </c>
      <c r="D3533" s="2" t="s">
        <v>128</v>
      </c>
      <c r="E3533" s="9" t="str">
        <f t="shared" si="809"/>
        <v>PRBNP'!</v>
      </c>
      <c r="F3533" s="5" t="str">
        <f t="shared" si="810"/>
        <v>C:\Users\jaime.benazar\Quorum Business Solutions\Ecopetrol Prometeo - Documents\Planning Space Implementation\3. Analysis &amp; Design\Design\FC22\DRR Jaime\QUIFA-CAJÚA\Cajua\[VAS_CAJUA_CF_SEC_20230125.xlsx]CF PRBNP'!</v>
      </c>
      <c r="G3533" s="6" t="s">
        <v>59</v>
      </c>
      <c r="H3533" s="1"/>
      <c r="I3533" s="1"/>
      <c r="J3533" s="1"/>
    </row>
    <row r="3534" spans="1:10" x14ac:dyDescent="0.25">
      <c r="A3534" s="6" t="s">
        <v>100</v>
      </c>
      <c r="B3534" s="6">
        <f t="shared" si="811"/>
        <v>2059</v>
      </c>
      <c r="C3534" s="1" t="s">
        <v>49</v>
      </c>
      <c r="D3534" s="2" t="s">
        <v>128</v>
      </c>
      <c r="E3534" s="9" t="str">
        <f t="shared" si="809"/>
        <v>PRBNP'!</v>
      </c>
      <c r="F3534" s="5" t="str">
        <f t="shared" si="810"/>
        <v>C:\Users\jaime.benazar\Quorum Business Solutions\Ecopetrol Prometeo - Documents\Planning Space Implementation\3. Analysis &amp; Design\Design\FC22\DRR Jaime\QUIFA-CAJÚA\Cajua\[VAS_CAJUA_CF_SEC_20230125.xlsx]CF PRBNP'!</v>
      </c>
      <c r="G3534" s="6" t="s">
        <v>59</v>
      </c>
      <c r="H3534" s="1"/>
      <c r="I3534" s="1"/>
      <c r="J3534" s="1"/>
    </row>
    <row r="3535" spans="1:10" x14ac:dyDescent="0.25">
      <c r="A3535" s="6" t="s">
        <v>28</v>
      </c>
      <c r="B3535" s="6"/>
      <c r="C3535" s="1" t="s">
        <v>49</v>
      </c>
      <c r="D3535" s="2"/>
      <c r="E3535" s="9"/>
      <c r="F3535" s="2"/>
      <c r="G3535" s="6"/>
      <c r="H3535" s="1"/>
      <c r="I3535" s="1"/>
      <c r="J3535" s="12"/>
    </row>
    <row r="3536" spans="1:10" x14ac:dyDescent="0.25">
      <c r="A3536" s="6" t="s">
        <v>101</v>
      </c>
      <c r="B3536" s="6">
        <v>2023</v>
      </c>
      <c r="C3536" s="1" t="s">
        <v>49</v>
      </c>
      <c r="D3536" s="2" t="s">
        <v>128</v>
      </c>
      <c r="E3536" s="9" t="str">
        <f t="shared" ref="E3536:E3556" si="812">_xlfn.CONCAT(A3536,"'!")</f>
        <v>PRBND'!</v>
      </c>
      <c r="F3536" s="5" t="str">
        <f t="shared" si="805"/>
        <v>C:\Users\jaime.benazar\Quorum Business Solutions\Ecopetrol Prometeo - Documents\Planning Space Implementation\3. Analysis &amp; Design\Design\FC22\DRR Jaime\QUIFA-CAJÚA\Cajua\[VAS_CAJUA_CF_SEC_20230125.xlsx]CF PRBND'!</v>
      </c>
      <c r="G3536" s="6" t="s">
        <v>59</v>
      </c>
      <c r="H3536" s="1"/>
      <c r="I3536" s="1"/>
      <c r="J3536" s="1"/>
    </row>
    <row r="3537" spans="1:10" x14ac:dyDescent="0.25">
      <c r="A3537" s="6" t="s">
        <v>101</v>
      </c>
      <c r="B3537" s="6">
        <f>+B3536+1</f>
        <v>2024</v>
      </c>
      <c r="C3537" s="1" t="s">
        <v>49</v>
      </c>
      <c r="D3537" s="2" t="s">
        <v>128</v>
      </c>
      <c r="E3537" s="9" t="str">
        <f t="shared" si="812"/>
        <v>PRBND'!</v>
      </c>
      <c r="F3537" s="5" t="str">
        <f t="shared" si="805"/>
        <v>C:\Users\jaime.benazar\Quorum Business Solutions\Ecopetrol Prometeo - Documents\Planning Space Implementation\3. Analysis &amp; Design\Design\FC22\DRR Jaime\QUIFA-CAJÚA\Cajua\[VAS_CAJUA_CF_SEC_20230125.xlsx]CF PRBND'!</v>
      </c>
      <c r="G3537" s="6" t="s">
        <v>59</v>
      </c>
      <c r="H3537" s="1"/>
      <c r="I3537" s="1"/>
      <c r="J3537" s="1"/>
    </row>
    <row r="3538" spans="1:10" x14ac:dyDescent="0.25">
      <c r="A3538" s="6" t="s">
        <v>101</v>
      </c>
      <c r="B3538" s="6">
        <f t="shared" ref="B3538:B3549" si="813">+B3537+1</f>
        <v>2025</v>
      </c>
      <c r="C3538" s="1" t="s">
        <v>49</v>
      </c>
      <c r="D3538" s="2" t="s">
        <v>128</v>
      </c>
      <c r="E3538" s="9" t="str">
        <f t="shared" si="812"/>
        <v>PRBND'!</v>
      </c>
      <c r="F3538" s="5" t="str">
        <f t="shared" si="805"/>
        <v>C:\Users\jaime.benazar\Quorum Business Solutions\Ecopetrol Prometeo - Documents\Planning Space Implementation\3. Analysis &amp; Design\Design\FC22\DRR Jaime\QUIFA-CAJÚA\Cajua\[VAS_CAJUA_CF_SEC_20230125.xlsx]CF PRBND'!</v>
      </c>
      <c r="G3538" s="6" t="s">
        <v>59</v>
      </c>
      <c r="H3538" s="1"/>
      <c r="I3538" s="1"/>
      <c r="J3538" s="1"/>
    </row>
    <row r="3539" spans="1:10" x14ac:dyDescent="0.25">
      <c r="A3539" s="6" t="s">
        <v>101</v>
      </c>
      <c r="B3539" s="6">
        <f t="shared" si="813"/>
        <v>2026</v>
      </c>
      <c r="C3539" s="1" t="s">
        <v>49</v>
      </c>
      <c r="D3539" s="2" t="s">
        <v>128</v>
      </c>
      <c r="E3539" s="9" t="str">
        <f t="shared" si="812"/>
        <v>PRBND'!</v>
      </c>
      <c r="F3539" s="5" t="str">
        <f t="shared" si="805"/>
        <v>C:\Users\jaime.benazar\Quorum Business Solutions\Ecopetrol Prometeo - Documents\Planning Space Implementation\3. Analysis &amp; Design\Design\FC22\DRR Jaime\QUIFA-CAJÚA\Cajua\[VAS_CAJUA_CF_SEC_20230125.xlsx]CF PRBND'!</v>
      </c>
      <c r="G3539" s="6" t="s">
        <v>59</v>
      </c>
      <c r="H3539" s="1"/>
      <c r="I3539" s="1"/>
      <c r="J3539" s="1"/>
    </row>
    <row r="3540" spans="1:10" x14ac:dyDescent="0.25">
      <c r="A3540" s="6" t="s">
        <v>101</v>
      </c>
      <c r="B3540" s="6">
        <f t="shared" si="813"/>
        <v>2027</v>
      </c>
      <c r="C3540" s="1" t="s">
        <v>49</v>
      </c>
      <c r="D3540" s="2" t="s">
        <v>128</v>
      </c>
      <c r="E3540" s="9" t="str">
        <f t="shared" si="812"/>
        <v>PRBND'!</v>
      </c>
      <c r="F3540" s="5" t="str">
        <f t="shared" si="805"/>
        <v>C:\Users\jaime.benazar\Quorum Business Solutions\Ecopetrol Prometeo - Documents\Planning Space Implementation\3. Analysis &amp; Design\Design\FC22\DRR Jaime\QUIFA-CAJÚA\Cajua\[VAS_CAJUA_CF_SEC_20230125.xlsx]CF PRBND'!</v>
      </c>
      <c r="G3540" s="6" t="s">
        <v>59</v>
      </c>
      <c r="H3540" s="1"/>
      <c r="I3540" s="1"/>
      <c r="J3540" s="1"/>
    </row>
    <row r="3541" spans="1:10" x14ac:dyDescent="0.25">
      <c r="A3541" s="6" t="s">
        <v>101</v>
      </c>
      <c r="B3541" s="6">
        <f t="shared" si="813"/>
        <v>2028</v>
      </c>
      <c r="C3541" s="1" t="s">
        <v>49</v>
      </c>
      <c r="D3541" s="2" t="s">
        <v>128</v>
      </c>
      <c r="E3541" s="9" t="str">
        <f t="shared" si="812"/>
        <v>PRBND'!</v>
      </c>
      <c r="F3541" s="5" t="str">
        <f t="shared" si="805"/>
        <v>C:\Users\jaime.benazar\Quorum Business Solutions\Ecopetrol Prometeo - Documents\Planning Space Implementation\3. Analysis &amp; Design\Design\FC22\DRR Jaime\QUIFA-CAJÚA\Cajua\[VAS_CAJUA_CF_SEC_20230125.xlsx]CF PRBND'!</v>
      </c>
      <c r="G3541" s="6" t="s">
        <v>59</v>
      </c>
      <c r="H3541" s="1"/>
      <c r="I3541" s="1"/>
      <c r="J3541" s="1"/>
    </row>
    <row r="3542" spans="1:10" x14ac:dyDescent="0.25">
      <c r="A3542" s="6" t="s">
        <v>101</v>
      </c>
      <c r="B3542" s="6">
        <f t="shared" si="813"/>
        <v>2029</v>
      </c>
      <c r="C3542" s="1" t="s">
        <v>49</v>
      </c>
      <c r="D3542" s="2" t="s">
        <v>128</v>
      </c>
      <c r="E3542" s="9" t="str">
        <f t="shared" si="812"/>
        <v>PRBND'!</v>
      </c>
      <c r="F3542" s="5" t="str">
        <f t="shared" si="805"/>
        <v>C:\Users\jaime.benazar\Quorum Business Solutions\Ecopetrol Prometeo - Documents\Planning Space Implementation\3. Analysis &amp; Design\Design\FC22\DRR Jaime\QUIFA-CAJÚA\Cajua\[VAS_CAJUA_CF_SEC_20230125.xlsx]CF PRBND'!</v>
      </c>
      <c r="G3542" s="6" t="s">
        <v>59</v>
      </c>
      <c r="H3542" s="1"/>
      <c r="I3542" s="1"/>
      <c r="J3542" s="1"/>
    </row>
    <row r="3543" spans="1:10" x14ac:dyDescent="0.25">
      <c r="A3543" s="6" t="s">
        <v>101</v>
      </c>
      <c r="B3543" s="6">
        <f t="shared" si="813"/>
        <v>2030</v>
      </c>
      <c r="C3543" s="1" t="s">
        <v>49</v>
      </c>
      <c r="D3543" s="2" t="s">
        <v>128</v>
      </c>
      <c r="E3543" s="9" t="str">
        <f t="shared" si="812"/>
        <v>PRBND'!</v>
      </c>
      <c r="F3543" s="5" t="str">
        <f t="shared" si="805"/>
        <v>C:\Users\jaime.benazar\Quorum Business Solutions\Ecopetrol Prometeo - Documents\Planning Space Implementation\3. Analysis &amp; Design\Design\FC22\DRR Jaime\QUIFA-CAJÚA\Cajua\[VAS_CAJUA_CF_SEC_20230125.xlsx]CF PRBND'!</v>
      </c>
      <c r="G3543" s="6" t="s">
        <v>59</v>
      </c>
      <c r="H3543" s="1"/>
      <c r="I3543" s="1"/>
      <c r="J3543" s="1"/>
    </row>
    <row r="3544" spans="1:10" x14ac:dyDescent="0.25">
      <c r="A3544" s="6" t="s">
        <v>101</v>
      </c>
      <c r="B3544" s="6">
        <f t="shared" si="813"/>
        <v>2031</v>
      </c>
      <c r="C3544" s="1" t="s">
        <v>49</v>
      </c>
      <c r="D3544" s="2" t="s">
        <v>128</v>
      </c>
      <c r="E3544" s="9" t="str">
        <f t="shared" si="812"/>
        <v>PRBND'!</v>
      </c>
      <c r="F3544" s="5" t="str">
        <f t="shared" si="805"/>
        <v>C:\Users\jaime.benazar\Quorum Business Solutions\Ecopetrol Prometeo - Documents\Planning Space Implementation\3. Analysis &amp; Design\Design\FC22\DRR Jaime\QUIFA-CAJÚA\Cajua\[VAS_CAJUA_CF_SEC_20230125.xlsx]CF PRBND'!</v>
      </c>
      <c r="G3544" s="6" t="s">
        <v>59</v>
      </c>
      <c r="H3544" s="1"/>
      <c r="I3544" s="1"/>
      <c r="J3544" s="1"/>
    </row>
    <row r="3545" spans="1:10" x14ac:dyDescent="0.25">
      <c r="A3545" s="6" t="s">
        <v>101</v>
      </c>
      <c r="B3545" s="6">
        <f t="shared" si="813"/>
        <v>2032</v>
      </c>
      <c r="C3545" s="1" t="s">
        <v>49</v>
      </c>
      <c r="D3545" s="2" t="s">
        <v>128</v>
      </c>
      <c r="E3545" s="9" t="str">
        <f t="shared" si="812"/>
        <v>PRBND'!</v>
      </c>
      <c r="F3545" s="5" t="str">
        <f t="shared" si="805"/>
        <v>C:\Users\jaime.benazar\Quorum Business Solutions\Ecopetrol Prometeo - Documents\Planning Space Implementation\3. Analysis &amp; Design\Design\FC22\DRR Jaime\QUIFA-CAJÚA\Cajua\[VAS_CAJUA_CF_SEC_20230125.xlsx]CF PRBND'!</v>
      </c>
      <c r="G3545" s="6" t="s">
        <v>59</v>
      </c>
      <c r="H3545" s="1"/>
      <c r="I3545" s="1"/>
      <c r="J3545" s="1"/>
    </row>
    <row r="3546" spans="1:10" x14ac:dyDescent="0.25">
      <c r="A3546" s="6" t="s">
        <v>101</v>
      </c>
      <c r="B3546" s="6">
        <f t="shared" si="813"/>
        <v>2033</v>
      </c>
      <c r="C3546" s="1" t="s">
        <v>49</v>
      </c>
      <c r="D3546" s="2" t="s">
        <v>128</v>
      </c>
      <c r="E3546" s="9" t="str">
        <f t="shared" si="812"/>
        <v>PRBND'!</v>
      </c>
      <c r="F3546" s="5" t="str">
        <f t="shared" si="805"/>
        <v>C:\Users\jaime.benazar\Quorum Business Solutions\Ecopetrol Prometeo - Documents\Planning Space Implementation\3. Analysis &amp; Design\Design\FC22\DRR Jaime\QUIFA-CAJÚA\Cajua\[VAS_CAJUA_CF_SEC_20230125.xlsx]CF PRBND'!</v>
      </c>
      <c r="G3546" s="6" t="s">
        <v>59</v>
      </c>
      <c r="H3546" s="1"/>
      <c r="I3546" s="1"/>
      <c r="J3546" s="1"/>
    </row>
    <row r="3547" spans="1:10" x14ac:dyDescent="0.25">
      <c r="A3547" s="6" t="s">
        <v>101</v>
      </c>
      <c r="B3547" s="6">
        <f t="shared" si="813"/>
        <v>2034</v>
      </c>
      <c r="C3547" s="1" t="s">
        <v>49</v>
      </c>
      <c r="D3547" s="2" t="s">
        <v>128</v>
      </c>
      <c r="E3547" s="9" t="str">
        <f t="shared" si="812"/>
        <v>PRBND'!</v>
      </c>
      <c r="F3547" s="5" t="str">
        <f t="shared" si="805"/>
        <v>C:\Users\jaime.benazar\Quorum Business Solutions\Ecopetrol Prometeo - Documents\Planning Space Implementation\3. Analysis &amp; Design\Design\FC22\DRR Jaime\QUIFA-CAJÚA\Cajua\[VAS_CAJUA_CF_SEC_20230125.xlsx]CF PRBND'!</v>
      </c>
      <c r="G3547" s="6" t="s">
        <v>59</v>
      </c>
      <c r="H3547" s="1"/>
      <c r="I3547" s="1"/>
      <c r="J3547" s="1"/>
    </row>
    <row r="3548" spans="1:10" x14ac:dyDescent="0.25">
      <c r="A3548" s="6" t="s">
        <v>101</v>
      </c>
      <c r="B3548" s="6">
        <f t="shared" si="813"/>
        <v>2035</v>
      </c>
      <c r="C3548" s="1" t="s">
        <v>49</v>
      </c>
      <c r="D3548" s="2" t="s">
        <v>128</v>
      </c>
      <c r="E3548" s="9" t="str">
        <f t="shared" si="812"/>
        <v>PRBND'!</v>
      </c>
      <c r="F3548" s="5" t="str">
        <f t="shared" si="805"/>
        <v>C:\Users\jaime.benazar\Quorum Business Solutions\Ecopetrol Prometeo - Documents\Planning Space Implementation\3. Analysis &amp; Design\Design\FC22\DRR Jaime\QUIFA-CAJÚA\Cajua\[VAS_CAJUA_CF_SEC_20230125.xlsx]CF PRBND'!</v>
      </c>
      <c r="G3548" s="6" t="s">
        <v>59</v>
      </c>
      <c r="H3548" s="1"/>
      <c r="I3548" s="1"/>
      <c r="J3548" s="1"/>
    </row>
    <row r="3549" spans="1:10" x14ac:dyDescent="0.25">
      <c r="A3549" s="6" t="s">
        <v>101</v>
      </c>
      <c r="B3549" s="6">
        <f t="shared" si="813"/>
        <v>2036</v>
      </c>
      <c r="C3549" s="1" t="s">
        <v>49</v>
      </c>
      <c r="D3549" s="2" t="s">
        <v>128</v>
      </c>
      <c r="E3549" s="9" t="str">
        <f t="shared" si="812"/>
        <v>PRBND'!</v>
      </c>
      <c r="F3549" s="5" t="str">
        <f t="shared" si="805"/>
        <v>C:\Users\jaime.benazar\Quorum Business Solutions\Ecopetrol Prometeo - Documents\Planning Space Implementation\3. Analysis &amp; Design\Design\FC22\DRR Jaime\QUIFA-CAJÚA\Cajua\[VAS_CAJUA_CF_SEC_20230125.xlsx]CF PRBND'!</v>
      </c>
      <c r="G3549" s="6" t="s">
        <v>59</v>
      </c>
      <c r="H3549" s="1"/>
      <c r="I3549" s="1"/>
      <c r="J3549" s="1"/>
    </row>
    <row r="3550" spans="1:10" x14ac:dyDescent="0.25">
      <c r="A3550" s="6" t="s">
        <v>101</v>
      </c>
      <c r="B3550" s="6">
        <f>+B3549+1</f>
        <v>2037</v>
      </c>
      <c r="C3550" s="1" t="s">
        <v>49</v>
      </c>
      <c r="D3550" s="2" t="s">
        <v>128</v>
      </c>
      <c r="E3550" s="9" t="str">
        <f t="shared" si="812"/>
        <v>PRBND'!</v>
      </c>
      <c r="F3550" s="5" t="str">
        <f t="shared" si="805"/>
        <v>C:\Users\jaime.benazar\Quorum Business Solutions\Ecopetrol Prometeo - Documents\Planning Space Implementation\3. Analysis &amp; Design\Design\FC22\DRR Jaime\QUIFA-CAJÚA\Cajua\[VAS_CAJUA_CF_SEC_20230125.xlsx]CF PRBND'!</v>
      </c>
      <c r="G3550" s="6" t="s">
        <v>59</v>
      </c>
      <c r="H3550" s="1"/>
      <c r="I3550" s="1"/>
      <c r="J3550" s="1"/>
    </row>
    <row r="3551" spans="1:10" x14ac:dyDescent="0.25">
      <c r="A3551" s="6" t="s">
        <v>101</v>
      </c>
      <c r="B3551" s="6">
        <f t="shared" ref="B3551:B3553" si="814">+B3550+1</f>
        <v>2038</v>
      </c>
      <c r="C3551" s="1" t="s">
        <v>49</v>
      </c>
      <c r="D3551" s="2" t="s">
        <v>128</v>
      </c>
      <c r="E3551" s="9" t="str">
        <f t="shared" si="812"/>
        <v>PRBND'!</v>
      </c>
      <c r="F3551" s="5" t="str">
        <f t="shared" si="805"/>
        <v>C:\Users\jaime.benazar\Quorum Business Solutions\Ecopetrol Prometeo - Documents\Planning Space Implementation\3. Analysis &amp; Design\Design\FC22\DRR Jaime\QUIFA-CAJÚA\Cajua\[VAS_CAJUA_CF_SEC_20230125.xlsx]CF PRBND'!</v>
      </c>
      <c r="G3551" s="6" t="s">
        <v>59</v>
      </c>
      <c r="H3551" s="1"/>
      <c r="I3551" s="1"/>
      <c r="J3551" s="1"/>
    </row>
    <row r="3552" spans="1:10" x14ac:dyDescent="0.25">
      <c r="A3552" s="6" t="s">
        <v>101</v>
      </c>
      <c r="B3552" s="6">
        <f t="shared" si="814"/>
        <v>2039</v>
      </c>
      <c r="C3552" s="1" t="s">
        <v>49</v>
      </c>
      <c r="D3552" s="2" t="s">
        <v>128</v>
      </c>
      <c r="E3552" s="9" t="str">
        <f t="shared" si="812"/>
        <v>PRBND'!</v>
      </c>
      <c r="F3552" s="5" t="str">
        <f t="shared" si="805"/>
        <v>C:\Users\jaime.benazar\Quorum Business Solutions\Ecopetrol Prometeo - Documents\Planning Space Implementation\3. Analysis &amp; Design\Design\FC22\DRR Jaime\QUIFA-CAJÚA\Cajua\[VAS_CAJUA_CF_SEC_20230125.xlsx]CF PRBND'!</v>
      </c>
      <c r="G3552" s="6" t="s">
        <v>59</v>
      </c>
      <c r="H3552" s="1"/>
      <c r="I3552" s="1"/>
      <c r="J3552" s="1"/>
    </row>
    <row r="3553" spans="1:10" x14ac:dyDescent="0.25">
      <c r="A3553" s="6" t="s">
        <v>101</v>
      </c>
      <c r="B3553" s="6">
        <f t="shared" si="814"/>
        <v>2040</v>
      </c>
      <c r="C3553" s="1" t="s">
        <v>49</v>
      </c>
      <c r="D3553" s="2" t="s">
        <v>128</v>
      </c>
      <c r="E3553" s="9" t="str">
        <f t="shared" si="812"/>
        <v>PRBND'!</v>
      </c>
      <c r="F3553" s="5" t="str">
        <f t="shared" si="805"/>
        <v>C:\Users\jaime.benazar\Quorum Business Solutions\Ecopetrol Prometeo - Documents\Planning Space Implementation\3. Analysis &amp; Design\Design\FC22\DRR Jaime\QUIFA-CAJÚA\Cajua\[VAS_CAJUA_CF_SEC_20230125.xlsx]CF PRBND'!</v>
      </c>
      <c r="G3553" s="6" t="s">
        <v>59</v>
      </c>
      <c r="H3553" s="1"/>
      <c r="I3553" s="1"/>
      <c r="J3553" s="1"/>
    </row>
    <row r="3554" spans="1:10" x14ac:dyDescent="0.25">
      <c r="A3554" s="6" t="s">
        <v>101</v>
      </c>
      <c r="B3554" s="6">
        <f>+B3553+1</f>
        <v>2041</v>
      </c>
      <c r="C3554" s="1" t="s">
        <v>49</v>
      </c>
      <c r="D3554" s="2" t="s">
        <v>128</v>
      </c>
      <c r="E3554" s="9" t="str">
        <f t="shared" si="812"/>
        <v>PRBND'!</v>
      </c>
      <c r="F3554" s="5" t="str">
        <f t="shared" si="805"/>
        <v>C:\Users\jaime.benazar\Quorum Business Solutions\Ecopetrol Prometeo - Documents\Planning Space Implementation\3. Analysis &amp; Design\Design\FC22\DRR Jaime\QUIFA-CAJÚA\Cajua\[VAS_CAJUA_CF_SEC_20230125.xlsx]CF PRBND'!</v>
      </c>
      <c r="G3554" s="6" t="s">
        <v>59</v>
      </c>
      <c r="H3554" s="1"/>
      <c r="I3554" s="1"/>
      <c r="J3554" s="1"/>
    </row>
    <row r="3555" spans="1:10" x14ac:dyDescent="0.25">
      <c r="A3555" s="6" t="s">
        <v>101</v>
      </c>
      <c r="B3555" s="6">
        <f t="shared" ref="B3555:B3556" si="815">+B3554+1</f>
        <v>2042</v>
      </c>
      <c r="C3555" s="1" t="s">
        <v>49</v>
      </c>
      <c r="D3555" s="2" t="s">
        <v>128</v>
      </c>
      <c r="E3555" s="9" t="str">
        <f t="shared" si="812"/>
        <v>PRBND'!</v>
      </c>
      <c r="F3555" s="5" t="str">
        <f t="shared" si="805"/>
        <v>C:\Users\jaime.benazar\Quorum Business Solutions\Ecopetrol Prometeo - Documents\Planning Space Implementation\3. Analysis &amp; Design\Design\FC22\DRR Jaime\QUIFA-CAJÚA\Cajua\[VAS_CAJUA_CF_SEC_20230125.xlsx]CF PRBND'!</v>
      </c>
      <c r="G3555" s="6" t="s">
        <v>59</v>
      </c>
      <c r="H3555" s="1"/>
      <c r="I3555" s="1"/>
      <c r="J3555" s="1"/>
    </row>
    <row r="3556" spans="1:10" x14ac:dyDescent="0.25">
      <c r="A3556" s="6" t="s">
        <v>101</v>
      </c>
      <c r="B3556" s="6">
        <f t="shared" si="815"/>
        <v>2043</v>
      </c>
      <c r="C3556" s="1" t="s">
        <v>49</v>
      </c>
      <c r="D3556" s="2" t="s">
        <v>128</v>
      </c>
      <c r="E3556" s="9" t="str">
        <f t="shared" si="812"/>
        <v>PRBND'!</v>
      </c>
      <c r="F3556" s="5" t="str">
        <f t="shared" si="805"/>
        <v>C:\Users\jaime.benazar\Quorum Business Solutions\Ecopetrol Prometeo - Documents\Planning Space Implementation\3. Analysis &amp; Design\Design\FC22\DRR Jaime\QUIFA-CAJÚA\Cajua\[VAS_CAJUA_CF_SEC_20230125.xlsx]CF PRBND'!</v>
      </c>
      <c r="G3556" s="6" t="s">
        <v>59</v>
      </c>
      <c r="H3556" s="1"/>
      <c r="I3556" s="1"/>
      <c r="J3556" s="1"/>
    </row>
    <row r="3557" spans="1:10" x14ac:dyDescent="0.25">
      <c r="A3557" s="6" t="s">
        <v>101</v>
      </c>
      <c r="B3557" s="6">
        <f>+B3556+1</f>
        <v>2044</v>
      </c>
      <c r="C3557" s="1" t="s">
        <v>49</v>
      </c>
      <c r="D3557" s="2" t="s">
        <v>128</v>
      </c>
      <c r="E3557" s="9" t="str">
        <f t="shared" ref="E3557:E3572" si="816">_xlfn.CONCAT(A3557,"'!")</f>
        <v>PRBND'!</v>
      </c>
      <c r="F3557" s="5" t="str">
        <f t="shared" ref="F3557:F3572" si="817">_xlfn.CONCAT(D3557," ",E3557)</f>
        <v>C:\Users\jaime.benazar\Quorum Business Solutions\Ecopetrol Prometeo - Documents\Planning Space Implementation\3. Analysis &amp; Design\Design\FC22\DRR Jaime\QUIFA-CAJÚA\Cajua\[VAS_CAJUA_CF_SEC_20230125.xlsx]CF PRBND'!</v>
      </c>
      <c r="G3557" s="6" t="s">
        <v>59</v>
      </c>
      <c r="H3557" s="1"/>
      <c r="I3557" s="1"/>
      <c r="J3557" s="1"/>
    </row>
    <row r="3558" spans="1:10" x14ac:dyDescent="0.25">
      <c r="A3558" s="6" t="s">
        <v>101</v>
      </c>
      <c r="B3558" s="6">
        <f t="shared" ref="B3558:B3572" si="818">+B3557+1</f>
        <v>2045</v>
      </c>
      <c r="C3558" s="1" t="s">
        <v>49</v>
      </c>
      <c r="D3558" s="2" t="s">
        <v>128</v>
      </c>
      <c r="E3558" s="9" t="str">
        <f t="shared" si="816"/>
        <v>PRBND'!</v>
      </c>
      <c r="F3558" s="5" t="str">
        <f t="shared" si="817"/>
        <v>C:\Users\jaime.benazar\Quorum Business Solutions\Ecopetrol Prometeo - Documents\Planning Space Implementation\3. Analysis &amp; Design\Design\FC22\DRR Jaime\QUIFA-CAJÚA\Cajua\[VAS_CAJUA_CF_SEC_20230125.xlsx]CF PRBND'!</v>
      </c>
      <c r="G3558" s="6" t="s">
        <v>59</v>
      </c>
      <c r="H3558" s="1"/>
      <c r="I3558" s="1"/>
      <c r="J3558" s="1"/>
    </row>
    <row r="3559" spans="1:10" x14ac:dyDescent="0.25">
      <c r="A3559" s="6" t="s">
        <v>101</v>
      </c>
      <c r="B3559" s="6">
        <f t="shared" si="818"/>
        <v>2046</v>
      </c>
      <c r="C3559" s="1" t="s">
        <v>49</v>
      </c>
      <c r="D3559" s="2" t="s">
        <v>128</v>
      </c>
      <c r="E3559" s="9" t="str">
        <f t="shared" si="816"/>
        <v>PRBND'!</v>
      </c>
      <c r="F3559" s="5" t="str">
        <f t="shared" si="817"/>
        <v>C:\Users\jaime.benazar\Quorum Business Solutions\Ecopetrol Prometeo - Documents\Planning Space Implementation\3. Analysis &amp; Design\Design\FC22\DRR Jaime\QUIFA-CAJÚA\Cajua\[VAS_CAJUA_CF_SEC_20230125.xlsx]CF PRBND'!</v>
      </c>
      <c r="G3559" s="6" t="s">
        <v>59</v>
      </c>
      <c r="H3559" s="1"/>
      <c r="I3559" s="1"/>
      <c r="J3559" s="1"/>
    </row>
    <row r="3560" spans="1:10" x14ac:dyDescent="0.25">
      <c r="A3560" s="6" t="s">
        <v>101</v>
      </c>
      <c r="B3560" s="6">
        <f t="shared" si="818"/>
        <v>2047</v>
      </c>
      <c r="C3560" s="1" t="s">
        <v>49</v>
      </c>
      <c r="D3560" s="2" t="s">
        <v>128</v>
      </c>
      <c r="E3560" s="9" t="str">
        <f t="shared" si="816"/>
        <v>PRBND'!</v>
      </c>
      <c r="F3560" s="5" t="str">
        <f t="shared" si="817"/>
        <v>C:\Users\jaime.benazar\Quorum Business Solutions\Ecopetrol Prometeo - Documents\Planning Space Implementation\3. Analysis &amp; Design\Design\FC22\DRR Jaime\QUIFA-CAJÚA\Cajua\[VAS_CAJUA_CF_SEC_20230125.xlsx]CF PRBND'!</v>
      </c>
      <c r="G3560" s="6" t="s">
        <v>59</v>
      </c>
      <c r="H3560" s="1"/>
      <c r="I3560" s="1"/>
      <c r="J3560" s="1"/>
    </row>
    <row r="3561" spans="1:10" x14ac:dyDescent="0.25">
      <c r="A3561" s="6" t="s">
        <v>101</v>
      </c>
      <c r="B3561" s="6">
        <f t="shared" si="818"/>
        <v>2048</v>
      </c>
      <c r="C3561" s="1" t="s">
        <v>49</v>
      </c>
      <c r="D3561" s="2" t="s">
        <v>128</v>
      </c>
      <c r="E3561" s="9" t="str">
        <f t="shared" si="816"/>
        <v>PRBND'!</v>
      </c>
      <c r="F3561" s="5" t="str">
        <f t="shared" si="817"/>
        <v>C:\Users\jaime.benazar\Quorum Business Solutions\Ecopetrol Prometeo - Documents\Planning Space Implementation\3. Analysis &amp; Design\Design\FC22\DRR Jaime\QUIFA-CAJÚA\Cajua\[VAS_CAJUA_CF_SEC_20230125.xlsx]CF PRBND'!</v>
      </c>
      <c r="G3561" s="6" t="s">
        <v>59</v>
      </c>
      <c r="H3561" s="1"/>
      <c r="I3561" s="1"/>
      <c r="J3561" s="1"/>
    </row>
    <row r="3562" spans="1:10" x14ac:dyDescent="0.25">
      <c r="A3562" s="6" t="s">
        <v>101</v>
      </c>
      <c r="B3562" s="6">
        <f t="shared" si="818"/>
        <v>2049</v>
      </c>
      <c r="C3562" s="1" t="s">
        <v>49</v>
      </c>
      <c r="D3562" s="2" t="s">
        <v>128</v>
      </c>
      <c r="E3562" s="9" t="str">
        <f t="shared" si="816"/>
        <v>PRBND'!</v>
      </c>
      <c r="F3562" s="5" t="str">
        <f t="shared" si="817"/>
        <v>C:\Users\jaime.benazar\Quorum Business Solutions\Ecopetrol Prometeo - Documents\Planning Space Implementation\3. Analysis &amp; Design\Design\FC22\DRR Jaime\QUIFA-CAJÚA\Cajua\[VAS_CAJUA_CF_SEC_20230125.xlsx]CF PRBND'!</v>
      </c>
      <c r="G3562" s="6" t="s">
        <v>59</v>
      </c>
      <c r="H3562" s="1"/>
      <c r="I3562" s="1"/>
      <c r="J3562" s="1"/>
    </row>
    <row r="3563" spans="1:10" x14ac:dyDescent="0.25">
      <c r="A3563" s="6" t="s">
        <v>101</v>
      </c>
      <c r="B3563" s="6">
        <f t="shared" si="818"/>
        <v>2050</v>
      </c>
      <c r="C3563" s="1" t="s">
        <v>49</v>
      </c>
      <c r="D3563" s="2" t="s">
        <v>128</v>
      </c>
      <c r="E3563" s="9" t="str">
        <f t="shared" si="816"/>
        <v>PRBND'!</v>
      </c>
      <c r="F3563" s="5" t="str">
        <f t="shared" si="817"/>
        <v>C:\Users\jaime.benazar\Quorum Business Solutions\Ecopetrol Prometeo - Documents\Planning Space Implementation\3. Analysis &amp; Design\Design\FC22\DRR Jaime\QUIFA-CAJÚA\Cajua\[VAS_CAJUA_CF_SEC_20230125.xlsx]CF PRBND'!</v>
      </c>
      <c r="G3563" s="6" t="s">
        <v>59</v>
      </c>
      <c r="H3563" s="1"/>
      <c r="I3563" s="1"/>
      <c r="J3563" s="1"/>
    </row>
    <row r="3564" spans="1:10" x14ac:dyDescent="0.25">
      <c r="A3564" s="6" t="s">
        <v>101</v>
      </c>
      <c r="B3564" s="6">
        <f t="shared" si="818"/>
        <v>2051</v>
      </c>
      <c r="C3564" s="1" t="s">
        <v>49</v>
      </c>
      <c r="D3564" s="2" t="s">
        <v>128</v>
      </c>
      <c r="E3564" s="9" t="str">
        <f t="shared" si="816"/>
        <v>PRBND'!</v>
      </c>
      <c r="F3564" s="5" t="str">
        <f t="shared" si="817"/>
        <v>C:\Users\jaime.benazar\Quorum Business Solutions\Ecopetrol Prometeo - Documents\Planning Space Implementation\3. Analysis &amp; Design\Design\FC22\DRR Jaime\QUIFA-CAJÚA\Cajua\[VAS_CAJUA_CF_SEC_20230125.xlsx]CF PRBND'!</v>
      </c>
      <c r="G3564" s="6" t="s">
        <v>59</v>
      </c>
      <c r="H3564" s="1"/>
      <c r="I3564" s="1"/>
      <c r="J3564" s="1"/>
    </row>
    <row r="3565" spans="1:10" x14ac:dyDescent="0.25">
      <c r="A3565" s="6" t="s">
        <v>101</v>
      </c>
      <c r="B3565" s="6">
        <f t="shared" si="818"/>
        <v>2052</v>
      </c>
      <c r="C3565" s="1" t="s">
        <v>49</v>
      </c>
      <c r="D3565" s="2" t="s">
        <v>128</v>
      </c>
      <c r="E3565" s="9" t="str">
        <f t="shared" si="816"/>
        <v>PRBND'!</v>
      </c>
      <c r="F3565" s="5" t="str">
        <f t="shared" si="817"/>
        <v>C:\Users\jaime.benazar\Quorum Business Solutions\Ecopetrol Prometeo - Documents\Planning Space Implementation\3. Analysis &amp; Design\Design\FC22\DRR Jaime\QUIFA-CAJÚA\Cajua\[VAS_CAJUA_CF_SEC_20230125.xlsx]CF PRBND'!</v>
      </c>
      <c r="G3565" s="6" t="s">
        <v>59</v>
      </c>
      <c r="H3565" s="1"/>
      <c r="I3565" s="1"/>
      <c r="J3565" s="1"/>
    </row>
    <row r="3566" spans="1:10" x14ac:dyDescent="0.25">
      <c r="A3566" s="6" t="s">
        <v>101</v>
      </c>
      <c r="B3566" s="6">
        <f t="shared" si="818"/>
        <v>2053</v>
      </c>
      <c r="C3566" s="1" t="s">
        <v>49</v>
      </c>
      <c r="D3566" s="2" t="s">
        <v>128</v>
      </c>
      <c r="E3566" s="9" t="str">
        <f t="shared" si="816"/>
        <v>PRBND'!</v>
      </c>
      <c r="F3566" s="5" t="str">
        <f t="shared" si="817"/>
        <v>C:\Users\jaime.benazar\Quorum Business Solutions\Ecopetrol Prometeo - Documents\Planning Space Implementation\3. Analysis &amp; Design\Design\FC22\DRR Jaime\QUIFA-CAJÚA\Cajua\[VAS_CAJUA_CF_SEC_20230125.xlsx]CF PRBND'!</v>
      </c>
      <c r="G3566" s="6" t="s">
        <v>59</v>
      </c>
      <c r="H3566" s="1"/>
      <c r="I3566" s="1"/>
      <c r="J3566" s="1"/>
    </row>
    <row r="3567" spans="1:10" x14ac:dyDescent="0.25">
      <c r="A3567" s="6" t="s">
        <v>101</v>
      </c>
      <c r="B3567" s="6">
        <f t="shared" si="818"/>
        <v>2054</v>
      </c>
      <c r="C3567" s="1" t="s">
        <v>49</v>
      </c>
      <c r="D3567" s="2" t="s">
        <v>128</v>
      </c>
      <c r="E3567" s="9" t="str">
        <f t="shared" si="816"/>
        <v>PRBND'!</v>
      </c>
      <c r="F3567" s="5" t="str">
        <f t="shared" si="817"/>
        <v>C:\Users\jaime.benazar\Quorum Business Solutions\Ecopetrol Prometeo - Documents\Planning Space Implementation\3. Analysis &amp; Design\Design\FC22\DRR Jaime\QUIFA-CAJÚA\Cajua\[VAS_CAJUA_CF_SEC_20230125.xlsx]CF PRBND'!</v>
      </c>
      <c r="G3567" s="6" t="s">
        <v>59</v>
      </c>
      <c r="H3567" s="1"/>
      <c r="I3567" s="1"/>
      <c r="J3567" s="1"/>
    </row>
    <row r="3568" spans="1:10" x14ac:dyDescent="0.25">
      <c r="A3568" s="6" t="s">
        <v>101</v>
      </c>
      <c r="B3568" s="6">
        <f t="shared" si="818"/>
        <v>2055</v>
      </c>
      <c r="C3568" s="1" t="s">
        <v>49</v>
      </c>
      <c r="D3568" s="2" t="s">
        <v>128</v>
      </c>
      <c r="E3568" s="9" t="str">
        <f t="shared" si="816"/>
        <v>PRBND'!</v>
      </c>
      <c r="F3568" s="5" t="str">
        <f t="shared" si="817"/>
        <v>C:\Users\jaime.benazar\Quorum Business Solutions\Ecopetrol Prometeo - Documents\Planning Space Implementation\3. Analysis &amp; Design\Design\FC22\DRR Jaime\QUIFA-CAJÚA\Cajua\[VAS_CAJUA_CF_SEC_20230125.xlsx]CF PRBND'!</v>
      </c>
      <c r="G3568" s="6" t="s">
        <v>59</v>
      </c>
      <c r="H3568" s="1"/>
      <c r="I3568" s="1"/>
      <c r="J3568" s="1"/>
    </row>
    <row r="3569" spans="1:10" x14ac:dyDescent="0.25">
      <c r="A3569" s="6" t="s">
        <v>101</v>
      </c>
      <c r="B3569" s="6">
        <f t="shared" si="818"/>
        <v>2056</v>
      </c>
      <c r="C3569" s="1" t="s">
        <v>49</v>
      </c>
      <c r="D3569" s="2" t="s">
        <v>128</v>
      </c>
      <c r="E3569" s="9" t="str">
        <f t="shared" si="816"/>
        <v>PRBND'!</v>
      </c>
      <c r="F3569" s="5" t="str">
        <f t="shared" si="817"/>
        <v>C:\Users\jaime.benazar\Quorum Business Solutions\Ecopetrol Prometeo - Documents\Planning Space Implementation\3. Analysis &amp; Design\Design\FC22\DRR Jaime\QUIFA-CAJÚA\Cajua\[VAS_CAJUA_CF_SEC_20230125.xlsx]CF PRBND'!</v>
      </c>
      <c r="G3569" s="6" t="s">
        <v>59</v>
      </c>
      <c r="H3569" s="1"/>
      <c r="I3569" s="1"/>
      <c r="J3569" s="1"/>
    </row>
    <row r="3570" spans="1:10" x14ac:dyDescent="0.25">
      <c r="A3570" s="6" t="s">
        <v>101</v>
      </c>
      <c r="B3570" s="6">
        <f t="shared" si="818"/>
        <v>2057</v>
      </c>
      <c r="C3570" s="1" t="s">
        <v>49</v>
      </c>
      <c r="D3570" s="2" t="s">
        <v>128</v>
      </c>
      <c r="E3570" s="9" t="str">
        <f t="shared" si="816"/>
        <v>PRBND'!</v>
      </c>
      <c r="F3570" s="5" t="str">
        <f t="shared" si="817"/>
        <v>C:\Users\jaime.benazar\Quorum Business Solutions\Ecopetrol Prometeo - Documents\Planning Space Implementation\3. Analysis &amp; Design\Design\FC22\DRR Jaime\QUIFA-CAJÚA\Cajua\[VAS_CAJUA_CF_SEC_20230125.xlsx]CF PRBND'!</v>
      </c>
      <c r="G3570" s="6" t="s">
        <v>59</v>
      </c>
      <c r="H3570" s="1"/>
      <c r="I3570" s="1"/>
      <c r="J3570" s="1"/>
    </row>
    <row r="3571" spans="1:10" x14ac:dyDescent="0.25">
      <c r="A3571" s="6" t="s">
        <v>101</v>
      </c>
      <c r="B3571" s="6">
        <f t="shared" si="818"/>
        <v>2058</v>
      </c>
      <c r="C3571" s="1" t="s">
        <v>49</v>
      </c>
      <c r="D3571" s="2" t="s">
        <v>128</v>
      </c>
      <c r="E3571" s="9" t="str">
        <f t="shared" si="816"/>
        <v>PRBND'!</v>
      </c>
      <c r="F3571" s="5" t="str">
        <f t="shared" si="817"/>
        <v>C:\Users\jaime.benazar\Quorum Business Solutions\Ecopetrol Prometeo - Documents\Planning Space Implementation\3. Analysis &amp; Design\Design\FC22\DRR Jaime\QUIFA-CAJÚA\Cajua\[VAS_CAJUA_CF_SEC_20230125.xlsx]CF PRBND'!</v>
      </c>
      <c r="G3571" s="6" t="s">
        <v>59</v>
      </c>
      <c r="H3571" s="1"/>
      <c r="I3571" s="1"/>
      <c r="J3571" s="1"/>
    </row>
    <row r="3572" spans="1:10" x14ac:dyDescent="0.25">
      <c r="A3572" s="6" t="s">
        <v>101</v>
      </c>
      <c r="B3572" s="6">
        <f t="shared" si="818"/>
        <v>2059</v>
      </c>
      <c r="C3572" s="1" t="s">
        <v>49</v>
      </c>
      <c r="D3572" s="2" t="s">
        <v>128</v>
      </c>
      <c r="E3572" s="9" t="str">
        <f t="shared" si="816"/>
        <v>PRBND'!</v>
      </c>
      <c r="F3572" s="5" t="str">
        <f t="shared" si="817"/>
        <v>C:\Users\jaime.benazar\Quorum Business Solutions\Ecopetrol Prometeo - Documents\Planning Space Implementation\3. Analysis &amp; Design\Design\FC22\DRR Jaime\QUIFA-CAJÚA\Cajua\[VAS_CAJUA_CF_SEC_20230125.xlsx]CF PRBND'!</v>
      </c>
      <c r="G3572" s="6" t="s">
        <v>59</v>
      </c>
      <c r="H3572" s="1"/>
      <c r="I3572" s="1"/>
      <c r="J3572" s="1"/>
    </row>
    <row r="3573" spans="1:10" x14ac:dyDescent="0.25">
      <c r="A3573" s="6" t="s">
        <v>28</v>
      </c>
      <c r="B3573" s="6"/>
      <c r="C3573" s="1" t="s">
        <v>49</v>
      </c>
      <c r="D3573" s="2"/>
      <c r="E3573" s="9"/>
      <c r="F3573" s="2"/>
      <c r="G3573" s="6"/>
      <c r="H3573" s="1"/>
      <c r="I3573" s="1"/>
      <c r="J3573" s="12"/>
    </row>
    <row r="3574" spans="1:10" x14ac:dyDescent="0.25">
      <c r="A3574" s="6" t="s">
        <v>4</v>
      </c>
      <c r="B3574" s="6">
        <v>2023</v>
      </c>
      <c r="C3574" s="1" t="s">
        <v>49</v>
      </c>
      <c r="D3574" s="2" t="s">
        <v>128</v>
      </c>
      <c r="E3574" s="9" t="str">
        <f t="shared" ref="E3574:E3594" si="819">_xlfn.CONCAT(A3574,"'!")</f>
        <v>PRB'!</v>
      </c>
      <c r="F3574" s="5" t="str">
        <f t="shared" si="805"/>
        <v>C:\Users\jaime.benazar\Quorum Business Solutions\Ecopetrol Prometeo - Documents\Planning Space Implementation\3. Analysis &amp; Design\Design\FC22\DRR Jaime\QUIFA-CAJÚA\Cajua\[VAS_CAJUA_CF_SEC_20230125.xlsx]CF PRB'!</v>
      </c>
      <c r="G3574" s="6" t="s">
        <v>59</v>
      </c>
      <c r="H3574" s="1">
        <f>IF(A3574&lt;&gt;A3444,36,H3444+1)</f>
        <v>36</v>
      </c>
      <c r="I3574" s="1" t="str">
        <f t="shared" ref="I3574:I3594" si="820">_xlfn.CONCAT("='",F3574:H3574)</f>
        <v>='C:\Users\jaime.benazar\Quorum Business Solutions\Ecopetrol Prometeo - Documents\Planning Space Implementation\3. Analysis &amp; Design\Design\FC22\DRR Jaime\QUIFA-CAJÚA\Cajua\[VAS_CAJUA_CF_SEC_20230125.xlsx]CF PRB'!$BB$36</v>
      </c>
      <c r="J3574" s="1" t="s">
        <v>1720</v>
      </c>
    </row>
    <row r="3575" spans="1:10" x14ac:dyDescent="0.25">
      <c r="A3575" s="6" t="s">
        <v>4</v>
      </c>
      <c r="B3575" s="6">
        <f>+B3574+1</f>
        <v>2024</v>
      </c>
      <c r="C3575" s="1" t="s">
        <v>49</v>
      </c>
      <c r="D3575" s="2" t="s">
        <v>128</v>
      </c>
      <c r="E3575" s="9" t="str">
        <f t="shared" si="819"/>
        <v>PRB'!</v>
      </c>
      <c r="F3575" s="5" t="str">
        <f t="shared" si="805"/>
        <v>C:\Users\jaime.benazar\Quorum Business Solutions\Ecopetrol Prometeo - Documents\Planning Space Implementation\3. Analysis &amp; Design\Design\FC22\DRR Jaime\QUIFA-CAJÚA\Cajua\[VAS_CAJUA_CF_SEC_20230125.xlsx]CF PRB'!</v>
      </c>
      <c r="G3575" s="6" t="s">
        <v>59</v>
      </c>
      <c r="H3575" s="1">
        <f t="shared" ref="H3575:H3594" si="821">IF(A3575&lt;&gt;A3574,36,H3574+1)</f>
        <v>37</v>
      </c>
      <c r="I3575" s="1" t="str">
        <f t="shared" si="820"/>
        <v>='C:\Users\jaime.benazar\Quorum Business Solutions\Ecopetrol Prometeo - Documents\Planning Space Implementation\3. Analysis &amp; Design\Design\FC22\DRR Jaime\QUIFA-CAJÚA\Cajua\[VAS_CAJUA_CF_SEC_20230125.xlsx]CF PRB'!$BB$37</v>
      </c>
      <c r="J3575" s="1" t="s">
        <v>1721</v>
      </c>
    </row>
    <row r="3576" spans="1:10" x14ac:dyDescent="0.25">
      <c r="A3576" s="6" t="s">
        <v>4</v>
      </c>
      <c r="B3576" s="6">
        <f t="shared" ref="B3576:B3587" si="822">+B3575+1</f>
        <v>2025</v>
      </c>
      <c r="C3576" s="1" t="s">
        <v>49</v>
      </c>
      <c r="D3576" s="2" t="s">
        <v>128</v>
      </c>
      <c r="E3576" s="9" t="str">
        <f t="shared" si="819"/>
        <v>PRB'!</v>
      </c>
      <c r="F3576" s="5" t="str">
        <f t="shared" si="805"/>
        <v>C:\Users\jaime.benazar\Quorum Business Solutions\Ecopetrol Prometeo - Documents\Planning Space Implementation\3. Analysis &amp; Design\Design\FC22\DRR Jaime\QUIFA-CAJÚA\Cajua\[VAS_CAJUA_CF_SEC_20230125.xlsx]CF PRB'!</v>
      </c>
      <c r="G3576" s="6" t="s">
        <v>59</v>
      </c>
      <c r="H3576" s="1">
        <f t="shared" si="821"/>
        <v>38</v>
      </c>
      <c r="I3576" s="1" t="str">
        <f t="shared" si="820"/>
        <v>='C:\Users\jaime.benazar\Quorum Business Solutions\Ecopetrol Prometeo - Documents\Planning Space Implementation\3. Analysis &amp; Design\Design\FC22\DRR Jaime\QUIFA-CAJÚA\Cajua\[VAS_CAJUA_CF_SEC_20230125.xlsx]CF PRB'!$BB$38</v>
      </c>
      <c r="J3576" s="1" t="s">
        <v>1722</v>
      </c>
    </row>
    <row r="3577" spans="1:10" x14ac:dyDescent="0.25">
      <c r="A3577" s="6" t="s">
        <v>4</v>
      </c>
      <c r="B3577" s="6">
        <f t="shared" si="822"/>
        <v>2026</v>
      </c>
      <c r="C3577" s="1" t="s">
        <v>49</v>
      </c>
      <c r="D3577" s="2" t="s">
        <v>128</v>
      </c>
      <c r="E3577" s="9" t="str">
        <f t="shared" si="819"/>
        <v>PRB'!</v>
      </c>
      <c r="F3577" s="5" t="str">
        <f t="shared" si="805"/>
        <v>C:\Users\jaime.benazar\Quorum Business Solutions\Ecopetrol Prometeo - Documents\Planning Space Implementation\3. Analysis &amp; Design\Design\FC22\DRR Jaime\QUIFA-CAJÚA\Cajua\[VAS_CAJUA_CF_SEC_20230125.xlsx]CF PRB'!</v>
      </c>
      <c r="G3577" s="6" t="s">
        <v>59</v>
      </c>
      <c r="H3577" s="1">
        <f t="shared" si="821"/>
        <v>39</v>
      </c>
      <c r="I3577" s="1" t="str">
        <f t="shared" si="820"/>
        <v>='C:\Users\jaime.benazar\Quorum Business Solutions\Ecopetrol Prometeo - Documents\Planning Space Implementation\3. Analysis &amp; Design\Design\FC22\DRR Jaime\QUIFA-CAJÚA\Cajua\[VAS_CAJUA_CF_SEC_20230125.xlsx]CF PRB'!$BB$39</v>
      </c>
      <c r="J3577" s="1" t="s">
        <v>1723</v>
      </c>
    </row>
    <row r="3578" spans="1:10" x14ac:dyDescent="0.25">
      <c r="A3578" s="6" t="s">
        <v>4</v>
      </c>
      <c r="B3578" s="6">
        <f t="shared" si="822"/>
        <v>2027</v>
      </c>
      <c r="C3578" s="1" t="s">
        <v>49</v>
      </c>
      <c r="D3578" s="2" t="s">
        <v>128</v>
      </c>
      <c r="E3578" s="9" t="str">
        <f t="shared" si="819"/>
        <v>PRB'!</v>
      </c>
      <c r="F3578" s="5" t="str">
        <f t="shared" si="805"/>
        <v>C:\Users\jaime.benazar\Quorum Business Solutions\Ecopetrol Prometeo - Documents\Planning Space Implementation\3. Analysis &amp; Design\Design\FC22\DRR Jaime\QUIFA-CAJÚA\Cajua\[VAS_CAJUA_CF_SEC_20230125.xlsx]CF PRB'!</v>
      </c>
      <c r="G3578" s="6" t="s">
        <v>59</v>
      </c>
      <c r="H3578" s="1">
        <f t="shared" si="821"/>
        <v>40</v>
      </c>
      <c r="I3578" s="1" t="str">
        <f t="shared" si="820"/>
        <v>='C:\Users\jaime.benazar\Quorum Business Solutions\Ecopetrol Prometeo - Documents\Planning Space Implementation\3. Analysis &amp; Design\Design\FC22\DRR Jaime\QUIFA-CAJÚA\Cajua\[VAS_CAJUA_CF_SEC_20230125.xlsx]CF PRB'!$BB$40</v>
      </c>
      <c r="J3578" s="1" t="s">
        <v>1724</v>
      </c>
    </row>
    <row r="3579" spans="1:10" x14ac:dyDescent="0.25">
      <c r="A3579" s="6" t="s">
        <v>4</v>
      </c>
      <c r="B3579" s="6">
        <f t="shared" si="822"/>
        <v>2028</v>
      </c>
      <c r="C3579" s="1" t="s">
        <v>49</v>
      </c>
      <c r="D3579" s="2" t="s">
        <v>128</v>
      </c>
      <c r="E3579" s="9" t="str">
        <f t="shared" si="819"/>
        <v>PRB'!</v>
      </c>
      <c r="F3579" s="5" t="str">
        <f t="shared" si="805"/>
        <v>C:\Users\jaime.benazar\Quorum Business Solutions\Ecopetrol Prometeo - Documents\Planning Space Implementation\3. Analysis &amp; Design\Design\FC22\DRR Jaime\QUIFA-CAJÚA\Cajua\[VAS_CAJUA_CF_SEC_20230125.xlsx]CF PRB'!</v>
      </c>
      <c r="G3579" s="6" t="s">
        <v>59</v>
      </c>
      <c r="H3579" s="1">
        <f t="shared" si="821"/>
        <v>41</v>
      </c>
      <c r="I3579" s="1" t="str">
        <f t="shared" si="820"/>
        <v>='C:\Users\jaime.benazar\Quorum Business Solutions\Ecopetrol Prometeo - Documents\Planning Space Implementation\3. Analysis &amp; Design\Design\FC22\DRR Jaime\QUIFA-CAJÚA\Cajua\[VAS_CAJUA_CF_SEC_20230125.xlsx]CF PRB'!$BB$41</v>
      </c>
      <c r="J3579" s="1" t="s">
        <v>1725</v>
      </c>
    </row>
    <row r="3580" spans="1:10" x14ac:dyDescent="0.25">
      <c r="A3580" s="6" t="s">
        <v>4</v>
      </c>
      <c r="B3580" s="6">
        <f t="shared" si="822"/>
        <v>2029</v>
      </c>
      <c r="C3580" s="1" t="s">
        <v>49</v>
      </c>
      <c r="D3580" s="2" t="s">
        <v>128</v>
      </c>
      <c r="E3580" s="9" t="str">
        <f t="shared" si="819"/>
        <v>PRB'!</v>
      </c>
      <c r="F3580" s="5" t="str">
        <f t="shared" si="805"/>
        <v>C:\Users\jaime.benazar\Quorum Business Solutions\Ecopetrol Prometeo - Documents\Planning Space Implementation\3. Analysis &amp; Design\Design\FC22\DRR Jaime\QUIFA-CAJÚA\Cajua\[VAS_CAJUA_CF_SEC_20230125.xlsx]CF PRB'!</v>
      </c>
      <c r="G3580" s="6" t="s">
        <v>59</v>
      </c>
      <c r="H3580" s="1">
        <f t="shared" si="821"/>
        <v>42</v>
      </c>
      <c r="I3580" s="1" t="str">
        <f t="shared" si="820"/>
        <v>='C:\Users\jaime.benazar\Quorum Business Solutions\Ecopetrol Prometeo - Documents\Planning Space Implementation\3. Analysis &amp; Design\Design\FC22\DRR Jaime\QUIFA-CAJÚA\Cajua\[VAS_CAJUA_CF_SEC_20230125.xlsx]CF PRB'!$BB$42</v>
      </c>
      <c r="J3580" s="1" t="s">
        <v>1726</v>
      </c>
    </row>
    <row r="3581" spans="1:10" x14ac:dyDescent="0.25">
      <c r="A3581" s="6" t="s">
        <v>4</v>
      </c>
      <c r="B3581" s="6">
        <f t="shared" si="822"/>
        <v>2030</v>
      </c>
      <c r="C3581" s="1" t="s">
        <v>49</v>
      </c>
      <c r="D3581" s="2" t="s">
        <v>128</v>
      </c>
      <c r="E3581" s="9" t="str">
        <f t="shared" si="819"/>
        <v>PRB'!</v>
      </c>
      <c r="F3581" s="5" t="str">
        <f t="shared" si="805"/>
        <v>C:\Users\jaime.benazar\Quorum Business Solutions\Ecopetrol Prometeo - Documents\Planning Space Implementation\3. Analysis &amp; Design\Design\FC22\DRR Jaime\QUIFA-CAJÚA\Cajua\[VAS_CAJUA_CF_SEC_20230125.xlsx]CF PRB'!</v>
      </c>
      <c r="G3581" s="6" t="s">
        <v>59</v>
      </c>
      <c r="H3581" s="1">
        <f t="shared" si="821"/>
        <v>43</v>
      </c>
      <c r="I3581" s="1" t="str">
        <f t="shared" si="820"/>
        <v>='C:\Users\jaime.benazar\Quorum Business Solutions\Ecopetrol Prometeo - Documents\Planning Space Implementation\3. Analysis &amp; Design\Design\FC22\DRR Jaime\QUIFA-CAJÚA\Cajua\[VAS_CAJUA_CF_SEC_20230125.xlsx]CF PRB'!$BB$43</v>
      </c>
      <c r="J3581" s="1" t="s">
        <v>1727</v>
      </c>
    </row>
    <row r="3582" spans="1:10" x14ac:dyDescent="0.25">
      <c r="A3582" s="6" t="s">
        <v>4</v>
      </c>
      <c r="B3582" s="6">
        <f t="shared" si="822"/>
        <v>2031</v>
      </c>
      <c r="C3582" s="1" t="s">
        <v>49</v>
      </c>
      <c r="D3582" s="2" t="s">
        <v>128</v>
      </c>
      <c r="E3582" s="9" t="str">
        <f t="shared" si="819"/>
        <v>PRB'!</v>
      </c>
      <c r="F3582" s="5" t="str">
        <f t="shared" si="805"/>
        <v>C:\Users\jaime.benazar\Quorum Business Solutions\Ecopetrol Prometeo - Documents\Planning Space Implementation\3. Analysis &amp; Design\Design\FC22\DRR Jaime\QUIFA-CAJÚA\Cajua\[VAS_CAJUA_CF_SEC_20230125.xlsx]CF PRB'!</v>
      </c>
      <c r="G3582" s="6" t="s">
        <v>59</v>
      </c>
      <c r="H3582" s="1">
        <f t="shared" si="821"/>
        <v>44</v>
      </c>
      <c r="I3582" s="1" t="str">
        <f t="shared" si="820"/>
        <v>='C:\Users\jaime.benazar\Quorum Business Solutions\Ecopetrol Prometeo - Documents\Planning Space Implementation\3. Analysis &amp; Design\Design\FC22\DRR Jaime\QUIFA-CAJÚA\Cajua\[VAS_CAJUA_CF_SEC_20230125.xlsx]CF PRB'!$BB$44</v>
      </c>
      <c r="J3582" s="1" t="s">
        <v>1728</v>
      </c>
    </row>
    <row r="3583" spans="1:10" x14ac:dyDescent="0.25">
      <c r="A3583" s="6" t="s">
        <v>4</v>
      </c>
      <c r="B3583" s="6">
        <f t="shared" si="822"/>
        <v>2032</v>
      </c>
      <c r="C3583" s="1" t="s">
        <v>49</v>
      </c>
      <c r="D3583" s="2" t="s">
        <v>128</v>
      </c>
      <c r="E3583" s="9" t="str">
        <f t="shared" si="819"/>
        <v>PRB'!</v>
      </c>
      <c r="F3583" s="5" t="str">
        <f t="shared" si="805"/>
        <v>C:\Users\jaime.benazar\Quorum Business Solutions\Ecopetrol Prometeo - Documents\Planning Space Implementation\3. Analysis &amp; Design\Design\FC22\DRR Jaime\QUIFA-CAJÚA\Cajua\[VAS_CAJUA_CF_SEC_20230125.xlsx]CF PRB'!</v>
      </c>
      <c r="G3583" s="6" t="s">
        <v>59</v>
      </c>
      <c r="H3583" s="1">
        <f t="shared" si="821"/>
        <v>45</v>
      </c>
      <c r="I3583" s="1" t="str">
        <f t="shared" si="820"/>
        <v>='C:\Users\jaime.benazar\Quorum Business Solutions\Ecopetrol Prometeo - Documents\Planning Space Implementation\3. Analysis &amp; Design\Design\FC22\DRR Jaime\QUIFA-CAJÚA\Cajua\[VAS_CAJUA_CF_SEC_20230125.xlsx]CF PRB'!$BB$45</v>
      </c>
      <c r="J3583" s="1" t="s">
        <v>1729</v>
      </c>
    </row>
    <row r="3584" spans="1:10" x14ac:dyDescent="0.25">
      <c r="A3584" s="6" t="s">
        <v>4</v>
      </c>
      <c r="B3584" s="6">
        <f t="shared" si="822"/>
        <v>2033</v>
      </c>
      <c r="C3584" s="1" t="s">
        <v>49</v>
      </c>
      <c r="D3584" s="2" t="s">
        <v>128</v>
      </c>
      <c r="E3584" s="9" t="str">
        <f t="shared" si="819"/>
        <v>PRB'!</v>
      </c>
      <c r="F3584" s="5" t="str">
        <f t="shared" si="805"/>
        <v>C:\Users\jaime.benazar\Quorum Business Solutions\Ecopetrol Prometeo - Documents\Planning Space Implementation\3. Analysis &amp; Design\Design\FC22\DRR Jaime\QUIFA-CAJÚA\Cajua\[VAS_CAJUA_CF_SEC_20230125.xlsx]CF PRB'!</v>
      </c>
      <c r="G3584" s="6" t="s">
        <v>59</v>
      </c>
      <c r="H3584" s="1">
        <f t="shared" si="821"/>
        <v>46</v>
      </c>
      <c r="I3584" s="1" t="str">
        <f t="shared" si="820"/>
        <v>='C:\Users\jaime.benazar\Quorum Business Solutions\Ecopetrol Prometeo - Documents\Planning Space Implementation\3. Analysis &amp; Design\Design\FC22\DRR Jaime\QUIFA-CAJÚA\Cajua\[VAS_CAJUA_CF_SEC_20230125.xlsx]CF PRB'!$BB$46</v>
      </c>
      <c r="J3584" s="1" t="s">
        <v>1730</v>
      </c>
    </row>
    <row r="3585" spans="1:10" x14ac:dyDescent="0.25">
      <c r="A3585" s="6" t="s">
        <v>4</v>
      </c>
      <c r="B3585" s="6">
        <f t="shared" si="822"/>
        <v>2034</v>
      </c>
      <c r="C3585" s="1" t="s">
        <v>49</v>
      </c>
      <c r="D3585" s="2" t="s">
        <v>128</v>
      </c>
      <c r="E3585" s="9" t="str">
        <f t="shared" si="819"/>
        <v>PRB'!</v>
      </c>
      <c r="F3585" s="5" t="str">
        <f t="shared" si="805"/>
        <v>C:\Users\jaime.benazar\Quorum Business Solutions\Ecopetrol Prometeo - Documents\Planning Space Implementation\3. Analysis &amp; Design\Design\FC22\DRR Jaime\QUIFA-CAJÚA\Cajua\[VAS_CAJUA_CF_SEC_20230125.xlsx]CF PRB'!</v>
      </c>
      <c r="G3585" s="6" t="s">
        <v>59</v>
      </c>
      <c r="H3585" s="1">
        <f t="shared" si="821"/>
        <v>47</v>
      </c>
      <c r="I3585" s="1" t="str">
        <f t="shared" si="820"/>
        <v>='C:\Users\jaime.benazar\Quorum Business Solutions\Ecopetrol Prometeo - Documents\Planning Space Implementation\3. Analysis &amp; Design\Design\FC22\DRR Jaime\QUIFA-CAJÚA\Cajua\[VAS_CAJUA_CF_SEC_20230125.xlsx]CF PRB'!$BB$47</v>
      </c>
      <c r="J3585" s="1" t="s">
        <v>1731</v>
      </c>
    </row>
    <row r="3586" spans="1:10" x14ac:dyDescent="0.25">
      <c r="A3586" s="6" t="s">
        <v>4</v>
      </c>
      <c r="B3586" s="6">
        <f t="shared" si="822"/>
        <v>2035</v>
      </c>
      <c r="C3586" s="1" t="s">
        <v>49</v>
      </c>
      <c r="D3586" s="2" t="s">
        <v>128</v>
      </c>
      <c r="E3586" s="9" t="str">
        <f t="shared" si="819"/>
        <v>PRB'!</v>
      </c>
      <c r="F3586" s="5" t="str">
        <f t="shared" si="805"/>
        <v>C:\Users\jaime.benazar\Quorum Business Solutions\Ecopetrol Prometeo - Documents\Planning Space Implementation\3. Analysis &amp; Design\Design\FC22\DRR Jaime\QUIFA-CAJÚA\Cajua\[VAS_CAJUA_CF_SEC_20230125.xlsx]CF PRB'!</v>
      </c>
      <c r="G3586" s="6" t="s">
        <v>59</v>
      </c>
      <c r="H3586" s="1">
        <f t="shared" si="821"/>
        <v>48</v>
      </c>
      <c r="I3586" s="1" t="str">
        <f t="shared" si="820"/>
        <v>='C:\Users\jaime.benazar\Quorum Business Solutions\Ecopetrol Prometeo - Documents\Planning Space Implementation\3. Analysis &amp; Design\Design\FC22\DRR Jaime\QUIFA-CAJÚA\Cajua\[VAS_CAJUA_CF_SEC_20230125.xlsx]CF PRB'!$BB$48</v>
      </c>
      <c r="J3586" s="1" t="s">
        <v>1732</v>
      </c>
    </row>
    <row r="3587" spans="1:10" x14ac:dyDescent="0.25">
      <c r="A3587" s="6" t="s">
        <v>4</v>
      </c>
      <c r="B3587" s="6">
        <f t="shared" si="822"/>
        <v>2036</v>
      </c>
      <c r="C3587" s="1" t="s">
        <v>49</v>
      </c>
      <c r="D3587" s="2" t="s">
        <v>128</v>
      </c>
      <c r="E3587" s="9" t="str">
        <f t="shared" si="819"/>
        <v>PRB'!</v>
      </c>
      <c r="F3587" s="5" t="str">
        <f t="shared" si="805"/>
        <v>C:\Users\jaime.benazar\Quorum Business Solutions\Ecopetrol Prometeo - Documents\Planning Space Implementation\3. Analysis &amp; Design\Design\FC22\DRR Jaime\QUIFA-CAJÚA\Cajua\[VAS_CAJUA_CF_SEC_20230125.xlsx]CF PRB'!</v>
      </c>
      <c r="G3587" s="6" t="s">
        <v>59</v>
      </c>
      <c r="H3587" s="1">
        <f t="shared" si="821"/>
        <v>49</v>
      </c>
      <c r="I3587" s="1" t="str">
        <f t="shared" si="820"/>
        <v>='C:\Users\jaime.benazar\Quorum Business Solutions\Ecopetrol Prometeo - Documents\Planning Space Implementation\3. Analysis &amp; Design\Design\FC22\DRR Jaime\QUIFA-CAJÚA\Cajua\[VAS_CAJUA_CF_SEC_20230125.xlsx]CF PRB'!$BB$49</v>
      </c>
      <c r="J3587" s="1" t="s">
        <v>1733</v>
      </c>
    </row>
    <row r="3588" spans="1:10" x14ac:dyDescent="0.25">
      <c r="A3588" s="6" t="s">
        <v>4</v>
      </c>
      <c r="B3588" s="6">
        <f>+B3587+1</f>
        <v>2037</v>
      </c>
      <c r="C3588" s="1" t="s">
        <v>49</v>
      </c>
      <c r="D3588" s="2" t="s">
        <v>128</v>
      </c>
      <c r="E3588" s="9" t="str">
        <f t="shared" si="819"/>
        <v>PRB'!</v>
      </c>
      <c r="F3588" s="5" t="str">
        <f t="shared" si="805"/>
        <v>C:\Users\jaime.benazar\Quorum Business Solutions\Ecopetrol Prometeo - Documents\Planning Space Implementation\3. Analysis &amp; Design\Design\FC22\DRR Jaime\QUIFA-CAJÚA\Cajua\[VAS_CAJUA_CF_SEC_20230125.xlsx]CF PRB'!</v>
      </c>
      <c r="G3588" s="6" t="s">
        <v>59</v>
      </c>
      <c r="H3588" s="1">
        <f t="shared" si="821"/>
        <v>50</v>
      </c>
      <c r="I3588" s="1" t="str">
        <f t="shared" si="820"/>
        <v>='C:\Users\jaime.benazar\Quorum Business Solutions\Ecopetrol Prometeo - Documents\Planning Space Implementation\3. Analysis &amp; Design\Design\FC22\DRR Jaime\QUIFA-CAJÚA\Cajua\[VAS_CAJUA_CF_SEC_20230125.xlsx]CF PRB'!$BB$50</v>
      </c>
      <c r="J3588" s="1" t="s">
        <v>1734</v>
      </c>
    </row>
    <row r="3589" spans="1:10" x14ac:dyDescent="0.25">
      <c r="A3589" s="6" t="s">
        <v>4</v>
      </c>
      <c r="B3589" s="6">
        <f t="shared" ref="B3589:B3591" si="823">+B3588+1</f>
        <v>2038</v>
      </c>
      <c r="C3589" s="1" t="s">
        <v>49</v>
      </c>
      <c r="D3589" s="2" t="s">
        <v>128</v>
      </c>
      <c r="E3589" s="9" t="str">
        <f t="shared" si="819"/>
        <v>PRB'!</v>
      </c>
      <c r="F3589" s="5" t="str">
        <f t="shared" si="805"/>
        <v>C:\Users\jaime.benazar\Quorum Business Solutions\Ecopetrol Prometeo - Documents\Planning Space Implementation\3. Analysis &amp; Design\Design\FC22\DRR Jaime\QUIFA-CAJÚA\Cajua\[VAS_CAJUA_CF_SEC_20230125.xlsx]CF PRB'!</v>
      </c>
      <c r="G3589" s="6" t="s">
        <v>59</v>
      </c>
      <c r="H3589" s="1">
        <f t="shared" si="821"/>
        <v>51</v>
      </c>
      <c r="I3589" s="1" t="str">
        <f t="shared" si="820"/>
        <v>='C:\Users\jaime.benazar\Quorum Business Solutions\Ecopetrol Prometeo - Documents\Planning Space Implementation\3. Analysis &amp; Design\Design\FC22\DRR Jaime\QUIFA-CAJÚA\Cajua\[VAS_CAJUA_CF_SEC_20230125.xlsx]CF PRB'!$BB$51</v>
      </c>
      <c r="J3589" s="1" t="s">
        <v>1735</v>
      </c>
    </row>
    <row r="3590" spans="1:10" x14ac:dyDescent="0.25">
      <c r="A3590" s="6" t="s">
        <v>4</v>
      </c>
      <c r="B3590" s="6">
        <f t="shared" si="823"/>
        <v>2039</v>
      </c>
      <c r="C3590" s="1" t="s">
        <v>49</v>
      </c>
      <c r="D3590" s="2" t="s">
        <v>128</v>
      </c>
      <c r="E3590" s="9" t="str">
        <f t="shared" si="819"/>
        <v>PRB'!</v>
      </c>
      <c r="F3590" s="5" t="str">
        <f t="shared" ref="F3590:F3594" si="824">_xlfn.CONCAT(D3590," ",E3590)</f>
        <v>C:\Users\jaime.benazar\Quorum Business Solutions\Ecopetrol Prometeo - Documents\Planning Space Implementation\3. Analysis &amp; Design\Design\FC22\DRR Jaime\QUIFA-CAJÚA\Cajua\[VAS_CAJUA_CF_SEC_20230125.xlsx]CF PRB'!</v>
      </c>
      <c r="G3590" s="6" t="s">
        <v>59</v>
      </c>
      <c r="H3590" s="1">
        <f t="shared" si="821"/>
        <v>52</v>
      </c>
      <c r="I3590" s="1" t="str">
        <f t="shared" si="820"/>
        <v>='C:\Users\jaime.benazar\Quorum Business Solutions\Ecopetrol Prometeo - Documents\Planning Space Implementation\3. Analysis &amp; Design\Design\FC22\DRR Jaime\QUIFA-CAJÚA\Cajua\[VAS_CAJUA_CF_SEC_20230125.xlsx]CF PRB'!$BB$52</v>
      </c>
      <c r="J3590" s="1" t="s">
        <v>1736</v>
      </c>
    </row>
    <row r="3591" spans="1:10" x14ac:dyDescent="0.25">
      <c r="A3591" s="6" t="s">
        <v>4</v>
      </c>
      <c r="B3591" s="6">
        <f t="shared" si="823"/>
        <v>2040</v>
      </c>
      <c r="C3591" s="1" t="s">
        <v>49</v>
      </c>
      <c r="D3591" s="2" t="s">
        <v>128</v>
      </c>
      <c r="E3591" s="9" t="str">
        <f t="shared" si="819"/>
        <v>PRB'!</v>
      </c>
      <c r="F3591" s="5" t="str">
        <f t="shared" si="824"/>
        <v>C:\Users\jaime.benazar\Quorum Business Solutions\Ecopetrol Prometeo - Documents\Planning Space Implementation\3. Analysis &amp; Design\Design\FC22\DRR Jaime\QUIFA-CAJÚA\Cajua\[VAS_CAJUA_CF_SEC_20230125.xlsx]CF PRB'!</v>
      </c>
      <c r="G3591" s="6" t="s">
        <v>59</v>
      </c>
      <c r="H3591" s="1">
        <f t="shared" si="821"/>
        <v>53</v>
      </c>
      <c r="I3591" s="1" t="str">
        <f t="shared" si="820"/>
        <v>='C:\Users\jaime.benazar\Quorum Business Solutions\Ecopetrol Prometeo - Documents\Planning Space Implementation\3. Analysis &amp; Design\Design\FC22\DRR Jaime\QUIFA-CAJÚA\Cajua\[VAS_CAJUA_CF_SEC_20230125.xlsx]CF PRB'!$BB$53</v>
      </c>
      <c r="J3591" s="1" t="s">
        <v>1737</v>
      </c>
    </row>
    <row r="3592" spans="1:10" x14ac:dyDescent="0.25">
      <c r="A3592" s="6" t="s">
        <v>4</v>
      </c>
      <c r="B3592" s="6">
        <f>+B3591+1</f>
        <v>2041</v>
      </c>
      <c r="C3592" s="1" t="s">
        <v>49</v>
      </c>
      <c r="D3592" s="2" t="s">
        <v>128</v>
      </c>
      <c r="E3592" s="9" t="str">
        <f t="shared" si="819"/>
        <v>PRB'!</v>
      </c>
      <c r="F3592" s="5" t="str">
        <f t="shared" si="824"/>
        <v>C:\Users\jaime.benazar\Quorum Business Solutions\Ecopetrol Prometeo - Documents\Planning Space Implementation\3. Analysis &amp; Design\Design\FC22\DRR Jaime\QUIFA-CAJÚA\Cajua\[VAS_CAJUA_CF_SEC_20230125.xlsx]CF PRB'!</v>
      </c>
      <c r="G3592" s="6" t="s">
        <v>59</v>
      </c>
      <c r="H3592" s="1">
        <f t="shared" si="821"/>
        <v>54</v>
      </c>
      <c r="I3592" s="1" t="str">
        <f t="shared" si="820"/>
        <v>='C:\Users\jaime.benazar\Quorum Business Solutions\Ecopetrol Prometeo - Documents\Planning Space Implementation\3. Analysis &amp; Design\Design\FC22\DRR Jaime\QUIFA-CAJÚA\Cajua\[VAS_CAJUA_CF_SEC_20230125.xlsx]CF PRB'!$BB$54</v>
      </c>
      <c r="J3592" s="1" t="s">
        <v>1738</v>
      </c>
    </row>
    <row r="3593" spans="1:10" x14ac:dyDescent="0.25">
      <c r="A3593" s="6" t="s">
        <v>4</v>
      </c>
      <c r="B3593" s="6">
        <f t="shared" ref="B3593:B3594" si="825">+B3592+1</f>
        <v>2042</v>
      </c>
      <c r="C3593" s="1" t="s">
        <v>49</v>
      </c>
      <c r="D3593" s="2" t="s">
        <v>128</v>
      </c>
      <c r="E3593" s="9" t="str">
        <f t="shared" si="819"/>
        <v>PRB'!</v>
      </c>
      <c r="F3593" s="5" t="str">
        <f t="shared" si="824"/>
        <v>C:\Users\jaime.benazar\Quorum Business Solutions\Ecopetrol Prometeo - Documents\Planning Space Implementation\3. Analysis &amp; Design\Design\FC22\DRR Jaime\QUIFA-CAJÚA\Cajua\[VAS_CAJUA_CF_SEC_20230125.xlsx]CF PRB'!</v>
      </c>
      <c r="G3593" s="6" t="s">
        <v>59</v>
      </c>
      <c r="H3593" s="1">
        <f t="shared" si="821"/>
        <v>55</v>
      </c>
      <c r="I3593" s="1" t="str">
        <f t="shared" si="820"/>
        <v>='C:\Users\jaime.benazar\Quorum Business Solutions\Ecopetrol Prometeo - Documents\Planning Space Implementation\3. Analysis &amp; Design\Design\FC22\DRR Jaime\QUIFA-CAJÚA\Cajua\[VAS_CAJUA_CF_SEC_20230125.xlsx]CF PRB'!$BB$55</v>
      </c>
      <c r="J3593" s="1" t="s">
        <v>1739</v>
      </c>
    </row>
    <row r="3594" spans="1:10" x14ac:dyDescent="0.25">
      <c r="A3594" s="6" t="s">
        <v>4</v>
      </c>
      <c r="B3594" s="6">
        <f t="shared" si="825"/>
        <v>2043</v>
      </c>
      <c r="C3594" s="1" t="s">
        <v>49</v>
      </c>
      <c r="D3594" s="2" t="s">
        <v>128</v>
      </c>
      <c r="E3594" s="9" t="str">
        <f t="shared" si="819"/>
        <v>PRB'!</v>
      </c>
      <c r="F3594" s="5" t="str">
        <f t="shared" si="824"/>
        <v>C:\Users\jaime.benazar\Quorum Business Solutions\Ecopetrol Prometeo - Documents\Planning Space Implementation\3. Analysis &amp; Design\Design\FC22\DRR Jaime\QUIFA-CAJÚA\Cajua\[VAS_CAJUA_CF_SEC_20230125.xlsx]CF PRB'!</v>
      </c>
      <c r="G3594" s="6" t="s">
        <v>59</v>
      </c>
      <c r="H3594" s="1">
        <f t="shared" si="821"/>
        <v>56</v>
      </c>
      <c r="I3594" s="1" t="str">
        <f t="shared" si="820"/>
        <v>='C:\Users\jaime.benazar\Quorum Business Solutions\Ecopetrol Prometeo - Documents\Planning Space Implementation\3. Analysis &amp; Design\Design\FC22\DRR Jaime\QUIFA-CAJÚA\Cajua\[VAS_CAJUA_CF_SEC_20230125.xlsx]CF PRB'!$BB$56</v>
      </c>
      <c r="J3594" s="1" t="s">
        <v>1740</v>
      </c>
    </row>
    <row r="3595" spans="1:10" x14ac:dyDescent="0.25">
      <c r="A3595" s="6" t="s">
        <v>4</v>
      </c>
      <c r="B3595" s="6">
        <f>+B3594+1</f>
        <v>2044</v>
      </c>
      <c r="C3595" s="1" t="s">
        <v>49</v>
      </c>
      <c r="D3595" s="2" t="s">
        <v>128</v>
      </c>
      <c r="E3595" s="9" t="str">
        <f t="shared" ref="E3595:E3610" si="826">_xlfn.CONCAT(A3595,"'!")</f>
        <v>PRB'!</v>
      </c>
      <c r="F3595" s="5" t="str">
        <f t="shared" ref="F3595:F3610" si="827">_xlfn.CONCAT(D3595," ",E3595)</f>
        <v>C:\Users\jaime.benazar\Quorum Business Solutions\Ecopetrol Prometeo - Documents\Planning Space Implementation\3. Analysis &amp; Design\Design\FC22\DRR Jaime\QUIFA-CAJÚA\Cajua\[VAS_CAJUA_CF_SEC_20230125.xlsx]CF PRB'!</v>
      </c>
      <c r="G3595" s="6" t="s">
        <v>59</v>
      </c>
      <c r="H3595" s="1">
        <f t="shared" ref="H3595:H3610" si="828">IF(A3595&lt;&gt;A3594,36,H3594+1)</f>
        <v>57</v>
      </c>
      <c r="I3595" s="1" t="str">
        <f t="shared" ref="I3595:I3610" si="829">_xlfn.CONCAT("='",F3595:H3595)</f>
        <v>='C:\Users\jaime.benazar\Quorum Business Solutions\Ecopetrol Prometeo - Documents\Planning Space Implementation\3. Analysis &amp; Design\Design\FC22\DRR Jaime\QUIFA-CAJÚA\Cajua\[VAS_CAJUA_CF_SEC_20230125.xlsx]CF PRB'!$BB$57</v>
      </c>
      <c r="J3595" s="1" t="s">
        <v>1741</v>
      </c>
    </row>
    <row r="3596" spans="1:10" x14ac:dyDescent="0.25">
      <c r="A3596" s="6" t="s">
        <v>4</v>
      </c>
      <c r="B3596" s="6">
        <f t="shared" ref="B3596:B3610" si="830">+B3595+1</f>
        <v>2045</v>
      </c>
      <c r="C3596" s="1" t="s">
        <v>49</v>
      </c>
      <c r="D3596" s="2" t="s">
        <v>128</v>
      </c>
      <c r="E3596" s="9" t="str">
        <f t="shared" si="826"/>
        <v>PRB'!</v>
      </c>
      <c r="F3596" s="5" t="str">
        <f t="shared" si="827"/>
        <v>C:\Users\jaime.benazar\Quorum Business Solutions\Ecopetrol Prometeo - Documents\Planning Space Implementation\3. Analysis &amp; Design\Design\FC22\DRR Jaime\QUIFA-CAJÚA\Cajua\[VAS_CAJUA_CF_SEC_20230125.xlsx]CF PRB'!</v>
      </c>
      <c r="G3596" s="6" t="s">
        <v>59</v>
      </c>
      <c r="H3596" s="1">
        <f t="shared" si="828"/>
        <v>58</v>
      </c>
      <c r="I3596" s="1" t="str">
        <f t="shared" si="829"/>
        <v>='C:\Users\jaime.benazar\Quorum Business Solutions\Ecopetrol Prometeo - Documents\Planning Space Implementation\3. Analysis &amp; Design\Design\FC22\DRR Jaime\QUIFA-CAJÚA\Cajua\[VAS_CAJUA_CF_SEC_20230125.xlsx]CF PRB'!$BB$58</v>
      </c>
      <c r="J3596" s="1" t="s">
        <v>1742</v>
      </c>
    </row>
    <row r="3597" spans="1:10" x14ac:dyDescent="0.25">
      <c r="A3597" s="6" t="s">
        <v>4</v>
      </c>
      <c r="B3597" s="6">
        <f t="shared" si="830"/>
        <v>2046</v>
      </c>
      <c r="C3597" s="1" t="s">
        <v>49</v>
      </c>
      <c r="D3597" s="2" t="s">
        <v>128</v>
      </c>
      <c r="E3597" s="9" t="str">
        <f t="shared" si="826"/>
        <v>PRB'!</v>
      </c>
      <c r="F3597" s="5" t="str">
        <f t="shared" si="827"/>
        <v>C:\Users\jaime.benazar\Quorum Business Solutions\Ecopetrol Prometeo - Documents\Planning Space Implementation\3. Analysis &amp; Design\Design\FC22\DRR Jaime\QUIFA-CAJÚA\Cajua\[VAS_CAJUA_CF_SEC_20230125.xlsx]CF PRB'!</v>
      </c>
      <c r="G3597" s="6" t="s">
        <v>59</v>
      </c>
      <c r="H3597" s="1">
        <f t="shared" si="828"/>
        <v>59</v>
      </c>
      <c r="I3597" s="1" t="str">
        <f t="shared" si="829"/>
        <v>='C:\Users\jaime.benazar\Quorum Business Solutions\Ecopetrol Prometeo - Documents\Planning Space Implementation\3. Analysis &amp; Design\Design\FC22\DRR Jaime\QUIFA-CAJÚA\Cajua\[VAS_CAJUA_CF_SEC_20230125.xlsx]CF PRB'!$BB$59</v>
      </c>
      <c r="J3597" s="1" t="s">
        <v>1743</v>
      </c>
    </row>
    <row r="3598" spans="1:10" x14ac:dyDescent="0.25">
      <c r="A3598" s="6" t="s">
        <v>4</v>
      </c>
      <c r="B3598" s="6">
        <f t="shared" si="830"/>
        <v>2047</v>
      </c>
      <c r="C3598" s="1" t="s">
        <v>49</v>
      </c>
      <c r="D3598" s="2" t="s">
        <v>128</v>
      </c>
      <c r="E3598" s="9" t="str">
        <f t="shared" si="826"/>
        <v>PRB'!</v>
      </c>
      <c r="F3598" s="5" t="str">
        <f t="shared" si="827"/>
        <v>C:\Users\jaime.benazar\Quorum Business Solutions\Ecopetrol Prometeo - Documents\Planning Space Implementation\3. Analysis &amp; Design\Design\FC22\DRR Jaime\QUIFA-CAJÚA\Cajua\[VAS_CAJUA_CF_SEC_20230125.xlsx]CF PRB'!</v>
      </c>
      <c r="G3598" s="6" t="s">
        <v>59</v>
      </c>
      <c r="H3598" s="1">
        <f t="shared" si="828"/>
        <v>60</v>
      </c>
      <c r="I3598" s="1" t="str">
        <f t="shared" si="829"/>
        <v>='C:\Users\jaime.benazar\Quorum Business Solutions\Ecopetrol Prometeo - Documents\Planning Space Implementation\3. Analysis &amp; Design\Design\FC22\DRR Jaime\QUIFA-CAJÚA\Cajua\[VAS_CAJUA_CF_SEC_20230125.xlsx]CF PRB'!$BB$60</v>
      </c>
      <c r="J3598" s="1" t="s">
        <v>1744</v>
      </c>
    </row>
    <row r="3599" spans="1:10" x14ac:dyDescent="0.25">
      <c r="A3599" s="6" t="s">
        <v>4</v>
      </c>
      <c r="B3599" s="6">
        <f t="shared" si="830"/>
        <v>2048</v>
      </c>
      <c r="C3599" s="1" t="s">
        <v>49</v>
      </c>
      <c r="D3599" s="2" t="s">
        <v>128</v>
      </c>
      <c r="E3599" s="9" t="str">
        <f t="shared" si="826"/>
        <v>PRB'!</v>
      </c>
      <c r="F3599" s="5" t="str">
        <f t="shared" si="827"/>
        <v>C:\Users\jaime.benazar\Quorum Business Solutions\Ecopetrol Prometeo - Documents\Planning Space Implementation\3. Analysis &amp; Design\Design\FC22\DRR Jaime\QUIFA-CAJÚA\Cajua\[VAS_CAJUA_CF_SEC_20230125.xlsx]CF PRB'!</v>
      </c>
      <c r="G3599" s="6" t="s">
        <v>59</v>
      </c>
      <c r="H3599" s="1">
        <f t="shared" si="828"/>
        <v>61</v>
      </c>
      <c r="I3599" s="1" t="str">
        <f t="shared" si="829"/>
        <v>='C:\Users\jaime.benazar\Quorum Business Solutions\Ecopetrol Prometeo - Documents\Planning Space Implementation\3. Analysis &amp; Design\Design\FC22\DRR Jaime\QUIFA-CAJÚA\Cajua\[VAS_CAJUA_CF_SEC_20230125.xlsx]CF PRB'!$BB$61</v>
      </c>
      <c r="J3599" s="1" t="s">
        <v>1745</v>
      </c>
    </row>
    <row r="3600" spans="1:10" x14ac:dyDescent="0.25">
      <c r="A3600" s="6" t="s">
        <v>4</v>
      </c>
      <c r="B3600" s="6">
        <f t="shared" si="830"/>
        <v>2049</v>
      </c>
      <c r="C3600" s="1" t="s">
        <v>49</v>
      </c>
      <c r="D3600" s="2" t="s">
        <v>128</v>
      </c>
      <c r="E3600" s="9" t="str">
        <f t="shared" si="826"/>
        <v>PRB'!</v>
      </c>
      <c r="F3600" s="5" t="str">
        <f t="shared" si="827"/>
        <v>C:\Users\jaime.benazar\Quorum Business Solutions\Ecopetrol Prometeo - Documents\Planning Space Implementation\3. Analysis &amp; Design\Design\FC22\DRR Jaime\QUIFA-CAJÚA\Cajua\[VAS_CAJUA_CF_SEC_20230125.xlsx]CF PRB'!</v>
      </c>
      <c r="G3600" s="6" t="s">
        <v>59</v>
      </c>
      <c r="H3600" s="1">
        <f t="shared" si="828"/>
        <v>62</v>
      </c>
      <c r="I3600" s="1" t="str">
        <f t="shared" si="829"/>
        <v>='C:\Users\jaime.benazar\Quorum Business Solutions\Ecopetrol Prometeo - Documents\Planning Space Implementation\3. Analysis &amp; Design\Design\FC22\DRR Jaime\QUIFA-CAJÚA\Cajua\[VAS_CAJUA_CF_SEC_20230125.xlsx]CF PRB'!$BB$62</v>
      </c>
      <c r="J3600" s="1" t="s">
        <v>1746</v>
      </c>
    </row>
    <row r="3601" spans="1:10" x14ac:dyDescent="0.25">
      <c r="A3601" s="6" t="s">
        <v>4</v>
      </c>
      <c r="B3601" s="6">
        <f t="shared" si="830"/>
        <v>2050</v>
      </c>
      <c r="C3601" s="1" t="s">
        <v>49</v>
      </c>
      <c r="D3601" s="2" t="s">
        <v>128</v>
      </c>
      <c r="E3601" s="9" t="str">
        <f t="shared" si="826"/>
        <v>PRB'!</v>
      </c>
      <c r="F3601" s="5" t="str">
        <f t="shared" si="827"/>
        <v>C:\Users\jaime.benazar\Quorum Business Solutions\Ecopetrol Prometeo - Documents\Planning Space Implementation\3. Analysis &amp; Design\Design\FC22\DRR Jaime\QUIFA-CAJÚA\Cajua\[VAS_CAJUA_CF_SEC_20230125.xlsx]CF PRB'!</v>
      </c>
      <c r="G3601" s="6" t="s">
        <v>59</v>
      </c>
      <c r="H3601" s="1">
        <f t="shared" si="828"/>
        <v>63</v>
      </c>
      <c r="I3601" s="1" t="str">
        <f t="shared" si="829"/>
        <v>='C:\Users\jaime.benazar\Quorum Business Solutions\Ecopetrol Prometeo - Documents\Planning Space Implementation\3. Analysis &amp; Design\Design\FC22\DRR Jaime\QUIFA-CAJÚA\Cajua\[VAS_CAJUA_CF_SEC_20230125.xlsx]CF PRB'!$BB$63</v>
      </c>
      <c r="J3601" s="1" t="s">
        <v>1747</v>
      </c>
    </row>
    <row r="3602" spans="1:10" x14ac:dyDescent="0.25">
      <c r="A3602" s="6" t="s">
        <v>4</v>
      </c>
      <c r="B3602" s="6">
        <f t="shared" si="830"/>
        <v>2051</v>
      </c>
      <c r="C3602" s="1" t="s">
        <v>49</v>
      </c>
      <c r="D3602" s="2" t="s">
        <v>128</v>
      </c>
      <c r="E3602" s="9" t="str">
        <f t="shared" si="826"/>
        <v>PRB'!</v>
      </c>
      <c r="F3602" s="5" t="str">
        <f t="shared" si="827"/>
        <v>C:\Users\jaime.benazar\Quorum Business Solutions\Ecopetrol Prometeo - Documents\Planning Space Implementation\3. Analysis &amp; Design\Design\FC22\DRR Jaime\QUIFA-CAJÚA\Cajua\[VAS_CAJUA_CF_SEC_20230125.xlsx]CF PRB'!</v>
      </c>
      <c r="G3602" s="6" t="s">
        <v>59</v>
      </c>
      <c r="H3602" s="1">
        <f t="shared" si="828"/>
        <v>64</v>
      </c>
      <c r="I3602" s="1" t="str">
        <f t="shared" si="829"/>
        <v>='C:\Users\jaime.benazar\Quorum Business Solutions\Ecopetrol Prometeo - Documents\Planning Space Implementation\3. Analysis &amp; Design\Design\FC22\DRR Jaime\QUIFA-CAJÚA\Cajua\[VAS_CAJUA_CF_SEC_20230125.xlsx]CF PRB'!$BB$64</v>
      </c>
      <c r="J3602" s="1" t="s">
        <v>1748</v>
      </c>
    </row>
    <row r="3603" spans="1:10" x14ac:dyDescent="0.25">
      <c r="A3603" s="6" t="s">
        <v>4</v>
      </c>
      <c r="B3603" s="6">
        <f t="shared" si="830"/>
        <v>2052</v>
      </c>
      <c r="C3603" s="1" t="s">
        <v>49</v>
      </c>
      <c r="D3603" s="2" t="s">
        <v>128</v>
      </c>
      <c r="E3603" s="9" t="str">
        <f t="shared" si="826"/>
        <v>PRB'!</v>
      </c>
      <c r="F3603" s="5" t="str">
        <f t="shared" si="827"/>
        <v>C:\Users\jaime.benazar\Quorum Business Solutions\Ecopetrol Prometeo - Documents\Planning Space Implementation\3. Analysis &amp; Design\Design\FC22\DRR Jaime\QUIFA-CAJÚA\Cajua\[VAS_CAJUA_CF_SEC_20230125.xlsx]CF PRB'!</v>
      </c>
      <c r="G3603" s="6" t="s">
        <v>59</v>
      </c>
      <c r="H3603" s="1">
        <f t="shared" si="828"/>
        <v>65</v>
      </c>
      <c r="I3603" s="1" t="str">
        <f t="shared" si="829"/>
        <v>='C:\Users\jaime.benazar\Quorum Business Solutions\Ecopetrol Prometeo - Documents\Planning Space Implementation\3. Analysis &amp; Design\Design\FC22\DRR Jaime\QUIFA-CAJÚA\Cajua\[VAS_CAJUA_CF_SEC_20230125.xlsx]CF PRB'!$BB$65</v>
      </c>
      <c r="J3603" s="1" t="s">
        <v>1749</v>
      </c>
    </row>
    <row r="3604" spans="1:10" x14ac:dyDescent="0.25">
      <c r="A3604" s="6" t="s">
        <v>4</v>
      </c>
      <c r="B3604" s="6">
        <f t="shared" si="830"/>
        <v>2053</v>
      </c>
      <c r="C3604" s="1" t="s">
        <v>49</v>
      </c>
      <c r="D3604" s="2" t="s">
        <v>128</v>
      </c>
      <c r="E3604" s="9" t="str">
        <f t="shared" si="826"/>
        <v>PRB'!</v>
      </c>
      <c r="F3604" s="5" t="str">
        <f t="shared" si="827"/>
        <v>C:\Users\jaime.benazar\Quorum Business Solutions\Ecopetrol Prometeo - Documents\Planning Space Implementation\3. Analysis &amp; Design\Design\FC22\DRR Jaime\QUIFA-CAJÚA\Cajua\[VAS_CAJUA_CF_SEC_20230125.xlsx]CF PRB'!</v>
      </c>
      <c r="G3604" s="6" t="s">
        <v>59</v>
      </c>
      <c r="H3604" s="1">
        <f t="shared" si="828"/>
        <v>66</v>
      </c>
      <c r="I3604" s="1" t="str">
        <f t="shared" si="829"/>
        <v>='C:\Users\jaime.benazar\Quorum Business Solutions\Ecopetrol Prometeo - Documents\Planning Space Implementation\3. Analysis &amp; Design\Design\FC22\DRR Jaime\QUIFA-CAJÚA\Cajua\[VAS_CAJUA_CF_SEC_20230125.xlsx]CF PRB'!$BB$66</v>
      </c>
      <c r="J3604" s="1" t="s">
        <v>1750</v>
      </c>
    </row>
    <row r="3605" spans="1:10" x14ac:dyDescent="0.25">
      <c r="A3605" s="6" t="s">
        <v>4</v>
      </c>
      <c r="B3605" s="6">
        <f t="shared" si="830"/>
        <v>2054</v>
      </c>
      <c r="C3605" s="1" t="s">
        <v>49</v>
      </c>
      <c r="D3605" s="2" t="s">
        <v>128</v>
      </c>
      <c r="E3605" s="9" t="str">
        <f t="shared" si="826"/>
        <v>PRB'!</v>
      </c>
      <c r="F3605" s="5" t="str">
        <f t="shared" si="827"/>
        <v>C:\Users\jaime.benazar\Quorum Business Solutions\Ecopetrol Prometeo - Documents\Planning Space Implementation\3. Analysis &amp; Design\Design\FC22\DRR Jaime\QUIFA-CAJÚA\Cajua\[VAS_CAJUA_CF_SEC_20230125.xlsx]CF PRB'!</v>
      </c>
      <c r="G3605" s="6" t="s">
        <v>59</v>
      </c>
      <c r="H3605" s="1">
        <f t="shared" si="828"/>
        <v>67</v>
      </c>
      <c r="I3605" s="1" t="str">
        <f t="shared" si="829"/>
        <v>='C:\Users\jaime.benazar\Quorum Business Solutions\Ecopetrol Prometeo - Documents\Planning Space Implementation\3. Analysis &amp; Design\Design\FC22\DRR Jaime\QUIFA-CAJÚA\Cajua\[VAS_CAJUA_CF_SEC_20230125.xlsx]CF PRB'!$BB$67</v>
      </c>
      <c r="J3605" s="1" t="s">
        <v>1751</v>
      </c>
    </row>
    <row r="3606" spans="1:10" x14ac:dyDescent="0.25">
      <c r="A3606" s="6" t="s">
        <v>4</v>
      </c>
      <c r="B3606" s="6">
        <f t="shared" si="830"/>
        <v>2055</v>
      </c>
      <c r="C3606" s="1" t="s">
        <v>49</v>
      </c>
      <c r="D3606" s="2" t="s">
        <v>128</v>
      </c>
      <c r="E3606" s="9" t="str">
        <f t="shared" si="826"/>
        <v>PRB'!</v>
      </c>
      <c r="F3606" s="5" t="str">
        <f t="shared" si="827"/>
        <v>C:\Users\jaime.benazar\Quorum Business Solutions\Ecopetrol Prometeo - Documents\Planning Space Implementation\3. Analysis &amp; Design\Design\FC22\DRR Jaime\QUIFA-CAJÚA\Cajua\[VAS_CAJUA_CF_SEC_20230125.xlsx]CF PRB'!</v>
      </c>
      <c r="G3606" s="6" t="s">
        <v>59</v>
      </c>
      <c r="H3606" s="1">
        <f t="shared" si="828"/>
        <v>68</v>
      </c>
      <c r="I3606" s="1" t="str">
        <f t="shared" si="829"/>
        <v>='C:\Users\jaime.benazar\Quorum Business Solutions\Ecopetrol Prometeo - Documents\Planning Space Implementation\3. Analysis &amp; Design\Design\FC22\DRR Jaime\QUIFA-CAJÚA\Cajua\[VAS_CAJUA_CF_SEC_20230125.xlsx]CF PRB'!$BB$68</v>
      </c>
      <c r="J3606" s="1" t="s">
        <v>1752</v>
      </c>
    </row>
    <row r="3607" spans="1:10" x14ac:dyDescent="0.25">
      <c r="A3607" s="6" t="s">
        <v>4</v>
      </c>
      <c r="B3607" s="6">
        <f t="shared" si="830"/>
        <v>2056</v>
      </c>
      <c r="C3607" s="1" t="s">
        <v>49</v>
      </c>
      <c r="D3607" s="2" t="s">
        <v>128</v>
      </c>
      <c r="E3607" s="9" t="str">
        <f t="shared" si="826"/>
        <v>PRB'!</v>
      </c>
      <c r="F3607" s="5" t="str">
        <f t="shared" si="827"/>
        <v>C:\Users\jaime.benazar\Quorum Business Solutions\Ecopetrol Prometeo - Documents\Planning Space Implementation\3. Analysis &amp; Design\Design\FC22\DRR Jaime\QUIFA-CAJÚA\Cajua\[VAS_CAJUA_CF_SEC_20230125.xlsx]CF PRB'!</v>
      </c>
      <c r="G3607" s="6" t="s">
        <v>59</v>
      </c>
      <c r="H3607" s="1">
        <f t="shared" si="828"/>
        <v>69</v>
      </c>
      <c r="I3607" s="1" t="str">
        <f t="shared" si="829"/>
        <v>='C:\Users\jaime.benazar\Quorum Business Solutions\Ecopetrol Prometeo - Documents\Planning Space Implementation\3. Analysis &amp; Design\Design\FC22\DRR Jaime\QUIFA-CAJÚA\Cajua\[VAS_CAJUA_CF_SEC_20230125.xlsx]CF PRB'!$BB$69</v>
      </c>
      <c r="J3607" s="1" t="s">
        <v>1753</v>
      </c>
    </row>
    <row r="3608" spans="1:10" x14ac:dyDescent="0.25">
      <c r="A3608" s="6" t="s">
        <v>4</v>
      </c>
      <c r="B3608" s="6">
        <f t="shared" si="830"/>
        <v>2057</v>
      </c>
      <c r="C3608" s="1" t="s">
        <v>49</v>
      </c>
      <c r="D3608" s="2" t="s">
        <v>128</v>
      </c>
      <c r="E3608" s="9" t="str">
        <f t="shared" si="826"/>
        <v>PRB'!</v>
      </c>
      <c r="F3608" s="5" t="str">
        <f t="shared" si="827"/>
        <v>C:\Users\jaime.benazar\Quorum Business Solutions\Ecopetrol Prometeo - Documents\Planning Space Implementation\3. Analysis &amp; Design\Design\FC22\DRR Jaime\QUIFA-CAJÚA\Cajua\[VAS_CAJUA_CF_SEC_20230125.xlsx]CF PRB'!</v>
      </c>
      <c r="G3608" s="6" t="s">
        <v>59</v>
      </c>
      <c r="H3608" s="1">
        <f t="shared" si="828"/>
        <v>70</v>
      </c>
      <c r="I3608" s="1" t="str">
        <f t="shared" si="829"/>
        <v>='C:\Users\jaime.benazar\Quorum Business Solutions\Ecopetrol Prometeo - Documents\Planning Space Implementation\3. Analysis &amp; Design\Design\FC22\DRR Jaime\QUIFA-CAJÚA\Cajua\[VAS_CAJUA_CF_SEC_20230125.xlsx]CF PRB'!$BB$70</v>
      </c>
      <c r="J3608" s="1" t="s">
        <v>1754</v>
      </c>
    </row>
    <row r="3609" spans="1:10" x14ac:dyDescent="0.25">
      <c r="A3609" s="6" t="s">
        <v>4</v>
      </c>
      <c r="B3609" s="6">
        <f t="shared" si="830"/>
        <v>2058</v>
      </c>
      <c r="C3609" s="1" t="s">
        <v>49</v>
      </c>
      <c r="D3609" s="2" t="s">
        <v>128</v>
      </c>
      <c r="E3609" s="9" t="str">
        <f t="shared" si="826"/>
        <v>PRB'!</v>
      </c>
      <c r="F3609" s="5" t="str">
        <f t="shared" si="827"/>
        <v>C:\Users\jaime.benazar\Quorum Business Solutions\Ecopetrol Prometeo - Documents\Planning Space Implementation\3. Analysis &amp; Design\Design\FC22\DRR Jaime\QUIFA-CAJÚA\Cajua\[VAS_CAJUA_CF_SEC_20230125.xlsx]CF PRB'!</v>
      </c>
      <c r="G3609" s="6" t="s">
        <v>59</v>
      </c>
      <c r="H3609" s="1">
        <f t="shared" si="828"/>
        <v>71</v>
      </c>
      <c r="I3609" s="1" t="str">
        <f t="shared" si="829"/>
        <v>='C:\Users\jaime.benazar\Quorum Business Solutions\Ecopetrol Prometeo - Documents\Planning Space Implementation\3. Analysis &amp; Design\Design\FC22\DRR Jaime\QUIFA-CAJÚA\Cajua\[VAS_CAJUA_CF_SEC_20230125.xlsx]CF PRB'!$BB$71</v>
      </c>
      <c r="J3609" s="1" t="s">
        <v>1755</v>
      </c>
    </row>
    <row r="3610" spans="1:10" x14ac:dyDescent="0.25">
      <c r="A3610" s="6" t="s">
        <v>4</v>
      </c>
      <c r="B3610" s="6">
        <f t="shared" si="830"/>
        <v>2059</v>
      </c>
      <c r="C3610" s="1" t="s">
        <v>49</v>
      </c>
      <c r="D3610" s="2" t="s">
        <v>128</v>
      </c>
      <c r="E3610" s="9" t="str">
        <f t="shared" si="826"/>
        <v>PRB'!</v>
      </c>
      <c r="F3610" s="5" t="str">
        <f t="shared" si="827"/>
        <v>C:\Users\jaime.benazar\Quorum Business Solutions\Ecopetrol Prometeo - Documents\Planning Space Implementation\3. Analysis &amp; Design\Design\FC22\DRR Jaime\QUIFA-CAJÚA\Cajua\[VAS_CAJUA_CF_SEC_20230125.xlsx]CF PRB'!</v>
      </c>
      <c r="G3610" s="6" t="s">
        <v>59</v>
      </c>
      <c r="H3610" s="1">
        <f t="shared" si="828"/>
        <v>72</v>
      </c>
      <c r="I3610" s="1" t="str">
        <f t="shared" si="829"/>
        <v>='C:\Users\jaime.benazar\Quorum Business Solutions\Ecopetrol Prometeo - Documents\Planning Space Implementation\3. Analysis &amp; Design\Design\FC22\DRR Jaime\QUIFA-CAJÚA\Cajua\[VAS_CAJUA_CF_SEC_20230125.xlsx]CF PRB'!$BB$72</v>
      </c>
      <c r="J3610" s="1" t="s">
        <v>1756</v>
      </c>
    </row>
    <row r="3611" spans="1:10" x14ac:dyDescent="0.25">
      <c r="A3611" s="6" t="s">
        <v>28</v>
      </c>
      <c r="B3611" s="6"/>
      <c r="C3611" s="1" t="s">
        <v>49</v>
      </c>
      <c r="D3611" s="2"/>
      <c r="E3611" s="9"/>
      <c r="F3611" s="2"/>
      <c r="G3611" s="6"/>
      <c r="H3611" s="1"/>
      <c r="I3611" s="1"/>
      <c r="J3611" s="4"/>
    </row>
    <row r="3612" spans="1:10" x14ac:dyDescent="0.25">
      <c r="A3612" s="6" t="s">
        <v>102</v>
      </c>
      <c r="B3612" s="6">
        <v>2023</v>
      </c>
      <c r="C3612" s="1" t="s">
        <v>49</v>
      </c>
      <c r="D3612" s="2" t="s">
        <v>128</v>
      </c>
      <c r="E3612" s="9" t="str">
        <f t="shared" ref="E3612:E3632" si="831">_xlfn.CONCAT(A3612,"'!")</f>
        <v>PSDP'!</v>
      </c>
      <c r="F3612" s="5" t="str">
        <f t="shared" ref="F3612:F3670" si="832">_xlfn.CONCAT(D3612," ",E3612)</f>
        <v>C:\Users\jaime.benazar\Quorum Business Solutions\Ecopetrol Prometeo - Documents\Planning Space Implementation\3. Analysis &amp; Design\Design\FC22\DRR Jaime\QUIFA-CAJÚA\Cajua\[VAS_CAJUA_CF_SEC_20230125.xlsx]CF PSDP'!</v>
      </c>
      <c r="G3612" s="6" t="s">
        <v>59</v>
      </c>
      <c r="H3612" s="1"/>
      <c r="I3612" s="1"/>
      <c r="J3612" s="1"/>
    </row>
    <row r="3613" spans="1:10" x14ac:dyDescent="0.25">
      <c r="A3613" s="6" t="s">
        <v>102</v>
      </c>
      <c r="B3613" s="6">
        <f>+B3612+1</f>
        <v>2024</v>
      </c>
      <c r="C3613" s="1" t="s">
        <v>49</v>
      </c>
      <c r="D3613" s="2" t="s">
        <v>128</v>
      </c>
      <c r="E3613" s="9" t="str">
        <f t="shared" si="831"/>
        <v>PSDP'!</v>
      </c>
      <c r="F3613" s="5" t="str">
        <f t="shared" si="832"/>
        <v>C:\Users\jaime.benazar\Quorum Business Solutions\Ecopetrol Prometeo - Documents\Planning Space Implementation\3. Analysis &amp; Design\Design\FC22\DRR Jaime\QUIFA-CAJÚA\Cajua\[VAS_CAJUA_CF_SEC_20230125.xlsx]CF PSDP'!</v>
      </c>
      <c r="G3613" s="6" t="s">
        <v>59</v>
      </c>
      <c r="H3613" s="1"/>
      <c r="I3613" s="1"/>
      <c r="J3613" s="1"/>
    </row>
    <row r="3614" spans="1:10" x14ac:dyDescent="0.25">
      <c r="A3614" s="6" t="s">
        <v>102</v>
      </c>
      <c r="B3614" s="6">
        <f t="shared" ref="B3614:B3625" si="833">+B3613+1</f>
        <v>2025</v>
      </c>
      <c r="C3614" s="1" t="s">
        <v>49</v>
      </c>
      <c r="D3614" s="2" t="s">
        <v>128</v>
      </c>
      <c r="E3614" s="9" t="str">
        <f t="shared" si="831"/>
        <v>PSDP'!</v>
      </c>
      <c r="F3614" s="5" t="str">
        <f t="shared" si="832"/>
        <v>C:\Users\jaime.benazar\Quorum Business Solutions\Ecopetrol Prometeo - Documents\Planning Space Implementation\3. Analysis &amp; Design\Design\FC22\DRR Jaime\QUIFA-CAJÚA\Cajua\[VAS_CAJUA_CF_SEC_20230125.xlsx]CF PSDP'!</v>
      </c>
      <c r="G3614" s="6" t="s">
        <v>59</v>
      </c>
      <c r="H3614" s="1"/>
      <c r="I3614" s="1"/>
      <c r="J3614" s="1"/>
    </row>
    <row r="3615" spans="1:10" x14ac:dyDescent="0.25">
      <c r="A3615" s="6" t="s">
        <v>102</v>
      </c>
      <c r="B3615" s="6">
        <f t="shared" si="833"/>
        <v>2026</v>
      </c>
      <c r="C3615" s="1" t="s">
        <v>49</v>
      </c>
      <c r="D3615" s="2" t="s">
        <v>128</v>
      </c>
      <c r="E3615" s="9" t="str">
        <f t="shared" si="831"/>
        <v>PSDP'!</v>
      </c>
      <c r="F3615" s="5" t="str">
        <f t="shared" si="832"/>
        <v>C:\Users\jaime.benazar\Quorum Business Solutions\Ecopetrol Prometeo - Documents\Planning Space Implementation\3. Analysis &amp; Design\Design\FC22\DRR Jaime\QUIFA-CAJÚA\Cajua\[VAS_CAJUA_CF_SEC_20230125.xlsx]CF PSDP'!</v>
      </c>
      <c r="G3615" s="6" t="s">
        <v>59</v>
      </c>
      <c r="H3615" s="1"/>
      <c r="I3615" s="1"/>
      <c r="J3615" s="1"/>
    </row>
    <row r="3616" spans="1:10" x14ac:dyDescent="0.25">
      <c r="A3616" s="6" t="s">
        <v>102</v>
      </c>
      <c r="B3616" s="6">
        <f t="shared" si="833"/>
        <v>2027</v>
      </c>
      <c r="C3616" s="1" t="s">
        <v>49</v>
      </c>
      <c r="D3616" s="2" t="s">
        <v>128</v>
      </c>
      <c r="E3616" s="9" t="str">
        <f t="shared" si="831"/>
        <v>PSDP'!</v>
      </c>
      <c r="F3616" s="5" t="str">
        <f t="shared" si="832"/>
        <v>C:\Users\jaime.benazar\Quorum Business Solutions\Ecopetrol Prometeo - Documents\Planning Space Implementation\3. Analysis &amp; Design\Design\FC22\DRR Jaime\QUIFA-CAJÚA\Cajua\[VAS_CAJUA_CF_SEC_20230125.xlsx]CF PSDP'!</v>
      </c>
      <c r="G3616" s="6" t="s">
        <v>59</v>
      </c>
      <c r="H3616" s="1"/>
      <c r="I3616" s="1"/>
      <c r="J3616" s="1"/>
    </row>
    <row r="3617" spans="1:10" x14ac:dyDescent="0.25">
      <c r="A3617" s="6" t="s">
        <v>102</v>
      </c>
      <c r="B3617" s="6">
        <f t="shared" si="833"/>
        <v>2028</v>
      </c>
      <c r="C3617" s="1" t="s">
        <v>49</v>
      </c>
      <c r="D3617" s="2" t="s">
        <v>128</v>
      </c>
      <c r="E3617" s="9" t="str">
        <f t="shared" si="831"/>
        <v>PSDP'!</v>
      </c>
      <c r="F3617" s="5" t="str">
        <f t="shared" si="832"/>
        <v>C:\Users\jaime.benazar\Quorum Business Solutions\Ecopetrol Prometeo - Documents\Planning Space Implementation\3. Analysis &amp; Design\Design\FC22\DRR Jaime\QUIFA-CAJÚA\Cajua\[VAS_CAJUA_CF_SEC_20230125.xlsx]CF PSDP'!</v>
      </c>
      <c r="G3617" s="6" t="s">
        <v>59</v>
      </c>
      <c r="H3617" s="1"/>
      <c r="I3617" s="1"/>
      <c r="J3617" s="1"/>
    </row>
    <row r="3618" spans="1:10" x14ac:dyDescent="0.25">
      <c r="A3618" s="6" t="s">
        <v>102</v>
      </c>
      <c r="B3618" s="6">
        <f t="shared" si="833"/>
        <v>2029</v>
      </c>
      <c r="C3618" s="1" t="s">
        <v>49</v>
      </c>
      <c r="D3618" s="2" t="s">
        <v>128</v>
      </c>
      <c r="E3618" s="9" t="str">
        <f t="shared" si="831"/>
        <v>PSDP'!</v>
      </c>
      <c r="F3618" s="5" t="str">
        <f t="shared" si="832"/>
        <v>C:\Users\jaime.benazar\Quorum Business Solutions\Ecopetrol Prometeo - Documents\Planning Space Implementation\3. Analysis &amp; Design\Design\FC22\DRR Jaime\QUIFA-CAJÚA\Cajua\[VAS_CAJUA_CF_SEC_20230125.xlsx]CF PSDP'!</v>
      </c>
      <c r="G3618" s="6" t="s">
        <v>59</v>
      </c>
      <c r="H3618" s="1"/>
      <c r="I3618" s="1"/>
      <c r="J3618" s="1"/>
    </row>
    <row r="3619" spans="1:10" x14ac:dyDescent="0.25">
      <c r="A3619" s="6" t="s">
        <v>102</v>
      </c>
      <c r="B3619" s="6">
        <f t="shared" si="833"/>
        <v>2030</v>
      </c>
      <c r="C3619" s="1" t="s">
        <v>49</v>
      </c>
      <c r="D3619" s="2" t="s">
        <v>128</v>
      </c>
      <c r="E3619" s="9" t="str">
        <f t="shared" si="831"/>
        <v>PSDP'!</v>
      </c>
      <c r="F3619" s="5" t="str">
        <f t="shared" si="832"/>
        <v>C:\Users\jaime.benazar\Quorum Business Solutions\Ecopetrol Prometeo - Documents\Planning Space Implementation\3. Analysis &amp; Design\Design\FC22\DRR Jaime\QUIFA-CAJÚA\Cajua\[VAS_CAJUA_CF_SEC_20230125.xlsx]CF PSDP'!</v>
      </c>
      <c r="G3619" s="6" t="s">
        <v>59</v>
      </c>
      <c r="H3619" s="1"/>
      <c r="I3619" s="1"/>
      <c r="J3619" s="1"/>
    </row>
    <row r="3620" spans="1:10" x14ac:dyDescent="0.25">
      <c r="A3620" s="6" t="s">
        <v>102</v>
      </c>
      <c r="B3620" s="6">
        <f t="shared" si="833"/>
        <v>2031</v>
      </c>
      <c r="C3620" s="1" t="s">
        <v>49</v>
      </c>
      <c r="D3620" s="2" t="s">
        <v>128</v>
      </c>
      <c r="E3620" s="9" t="str">
        <f t="shared" si="831"/>
        <v>PSDP'!</v>
      </c>
      <c r="F3620" s="5" t="str">
        <f t="shared" si="832"/>
        <v>C:\Users\jaime.benazar\Quorum Business Solutions\Ecopetrol Prometeo - Documents\Planning Space Implementation\3. Analysis &amp; Design\Design\FC22\DRR Jaime\QUIFA-CAJÚA\Cajua\[VAS_CAJUA_CF_SEC_20230125.xlsx]CF PSDP'!</v>
      </c>
      <c r="G3620" s="6" t="s">
        <v>59</v>
      </c>
      <c r="H3620" s="1"/>
      <c r="I3620" s="1"/>
      <c r="J3620" s="1"/>
    </row>
    <row r="3621" spans="1:10" x14ac:dyDescent="0.25">
      <c r="A3621" s="6" t="s">
        <v>102</v>
      </c>
      <c r="B3621" s="6">
        <f t="shared" si="833"/>
        <v>2032</v>
      </c>
      <c r="C3621" s="1" t="s">
        <v>49</v>
      </c>
      <c r="D3621" s="2" t="s">
        <v>128</v>
      </c>
      <c r="E3621" s="9" t="str">
        <f t="shared" si="831"/>
        <v>PSDP'!</v>
      </c>
      <c r="F3621" s="5" t="str">
        <f t="shared" si="832"/>
        <v>C:\Users\jaime.benazar\Quorum Business Solutions\Ecopetrol Prometeo - Documents\Planning Space Implementation\3. Analysis &amp; Design\Design\FC22\DRR Jaime\QUIFA-CAJÚA\Cajua\[VAS_CAJUA_CF_SEC_20230125.xlsx]CF PSDP'!</v>
      </c>
      <c r="G3621" s="6" t="s">
        <v>59</v>
      </c>
      <c r="H3621" s="1"/>
      <c r="I3621" s="1"/>
      <c r="J3621" s="1"/>
    </row>
    <row r="3622" spans="1:10" x14ac:dyDescent="0.25">
      <c r="A3622" s="6" t="s">
        <v>102</v>
      </c>
      <c r="B3622" s="6">
        <f t="shared" si="833"/>
        <v>2033</v>
      </c>
      <c r="C3622" s="1" t="s">
        <v>49</v>
      </c>
      <c r="D3622" s="2" t="s">
        <v>128</v>
      </c>
      <c r="E3622" s="9" t="str">
        <f t="shared" si="831"/>
        <v>PSDP'!</v>
      </c>
      <c r="F3622" s="5" t="str">
        <f t="shared" si="832"/>
        <v>C:\Users\jaime.benazar\Quorum Business Solutions\Ecopetrol Prometeo - Documents\Planning Space Implementation\3. Analysis &amp; Design\Design\FC22\DRR Jaime\QUIFA-CAJÚA\Cajua\[VAS_CAJUA_CF_SEC_20230125.xlsx]CF PSDP'!</v>
      </c>
      <c r="G3622" s="6" t="s">
        <v>59</v>
      </c>
      <c r="H3622" s="1"/>
      <c r="I3622" s="1"/>
      <c r="J3622" s="1"/>
    </row>
    <row r="3623" spans="1:10" x14ac:dyDescent="0.25">
      <c r="A3623" s="6" t="s">
        <v>102</v>
      </c>
      <c r="B3623" s="6">
        <f t="shared" si="833"/>
        <v>2034</v>
      </c>
      <c r="C3623" s="1" t="s">
        <v>49</v>
      </c>
      <c r="D3623" s="2" t="s">
        <v>128</v>
      </c>
      <c r="E3623" s="9" t="str">
        <f t="shared" si="831"/>
        <v>PSDP'!</v>
      </c>
      <c r="F3623" s="5" t="str">
        <f t="shared" si="832"/>
        <v>C:\Users\jaime.benazar\Quorum Business Solutions\Ecopetrol Prometeo - Documents\Planning Space Implementation\3. Analysis &amp; Design\Design\FC22\DRR Jaime\QUIFA-CAJÚA\Cajua\[VAS_CAJUA_CF_SEC_20230125.xlsx]CF PSDP'!</v>
      </c>
      <c r="G3623" s="6" t="s">
        <v>59</v>
      </c>
      <c r="H3623" s="1"/>
      <c r="I3623" s="1"/>
      <c r="J3623" s="1"/>
    </row>
    <row r="3624" spans="1:10" x14ac:dyDescent="0.25">
      <c r="A3624" s="6" t="s">
        <v>102</v>
      </c>
      <c r="B3624" s="6">
        <f t="shared" si="833"/>
        <v>2035</v>
      </c>
      <c r="C3624" s="1" t="s">
        <v>49</v>
      </c>
      <c r="D3624" s="2" t="s">
        <v>128</v>
      </c>
      <c r="E3624" s="9" t="str">
        <f t="shared" si="831"/>
        <v>PSDP'!</v>
      </c>
      <c r="F3624" s="5" t="str">
        <f t="shared" si="832"/>
        <v>C:\Users\jaime.benazar\Quorum Business Solutions\Ecopetrol Prometeo - Documents\Planning Space Implementation\3. Analysis &amp; Design\Design\FC22\DRR Jaime\QUIFA-CAJÚA\Cajua\[VAS_CAJUA_CF_SEC_20230125.xlsx]CF PSDP'!</v>
      </c>
      <c r="G3624" s="6" t="s">
        <v>59</v>
      </c>
      <c r="H3624" s="1"/>
      <c r="I3624" s="1"/>
      <c r="J3624" s="1"/>
    </row>
    <row r="3625" spans="1:10" x14ac:dyDescent="0.25">
      <c r="A3625" s="6" t="s">
        <v>102</v>
      </c>
      <c r="B3625" s="6">
        <f t="shared" si="833"/>
        <v>2036</v>
      </c>
      <c r="C3625" s="1" t="s">
        <v>49</v>
      </c>
      <c r="D3625" s="2" t="s">
        <v>128</v>
      </c>
      <c r="E3625" s="9" t="str">
        <f t="shared" si="831"/>
        <v>PSDP'!</v>
      </c>
      <c r="F3625" s="5" t="str">
        <f t="shared" si="832"/>
        <v>C:\Users\jaime.benazar\Quorum Business Solutions\Ecopetrol Prometeo - Documents\Planning Space Implementation\3. Analysis &amp; Design\Design\FC22\DRR Jaime\QUIFA-CAJÚA\Cajua\[VAS_CAJUA_CF_SEC_20230125.xlsx]CF PSDP'!</v>
      </c>
      <c r="G3625" s="6" t="s">
        <v>59</v>
      </c>
      <c r="H3625" s="1"/>
      <c r="I3625" s="1"/>
      <c r="J3625" s="1"/>
    </row>
    <row r="3626" spans="1:10" x14ac:dyDescent="0.25">
      <c r="A3626" s="6" t="s">
        <v>102</v>
      </c>
      <c r="B3626" s="6">
        <f>+B3625+1</f>
        <v>2037</v>
      </c>
      <c r="C3626" s="1" t="s">
        <v>49</v>
      </c>
      <c r="D3626" s="2" t="s">
        <v>128</v>
      </c>
      <c r="E3626" s="9" t="str">
        <f t="shared" si="831"/>
        <v>PSDP'!</v>
      </c>
      <c r="F3626" s="5" t="str">
        <f t="shared" si="832"/>
        <v>C:\Users\jaime.benazar\Quorum Business Solutions\Ecopetrol Prometeo - Documents\Planning Space Implementation\3. Analysis &amp; Design\Design\FC22\DRR Jaime\QUIFA-CAJÚA\Cajua\[VAS_CAJUA_CF_SEC_20230125.xlsx]CF PSDP'!</v>
      </c>
      <c r="G3626" s="6" t="s">
        <v>59</v>
      </c>
      <c r="H3626" s="1"/>
      <c r="I3626" s="1"/>
      <c r="J3626" s="1"/>
    </row>
    <row r="3627" spans="1:10" x14ac:dyDescent="0.25">
      <c r="A3627" s="6" t="s">
        <v>102</v>
      </c>
      <c r="B3627" s="6">
        <f t="shared" ref="B3627:B3629" si="834">+B3626+1</f>
        <v>2038</v>
      </c>
      <c r="C3627" s="1" t="s">
        <v>49</v>
      </c>
      <c r="D3627" s="2" t="s">
        <v>128</v>
      </c>
      <c r="E3627" s="9" t="str">
        <f t="shared" si="831"/>
        <v>PSDP'!</v>
      </c>
      <c r="F3627" s="5" t="str">
        <f t="shared" si="832"/>
        <v>C:\Users\jaime.benazar\Quorum Business Solutions\Ecopetrol Prometeo - Documents\Planning Space Implementation\3. Analysis &amp; Design\Design\FC22\DRR Jaime\QUIFA-CAJÚA\Cajua\[VAS_CAJUA_CF_SEC_20230125.xlsx]CF PSDP'!</v>
      </c>
      <c r="G3627" s="6" t="s">
        <v>59</v>
      </c>
      <c r="H3627" s="1"/>
      <c r="I3627" s="1"/>
      <c r="J3627" s="1"/>
    </row>
    <row r="3628" spans="1:10" x14ac:dyDescent="0.25">
      <c r="A3628" s="6" t="s">
        <v>102</v>
      </c>
      <c r="B3628" s="6">
        <f t="shared" si="834"/>
        <v>2039</v>
      </c>
      <c r="C3628" s="1" t="s">
        <v>49</v>
      </c>
      <c r="D3628" s="2" t="s">
        <v>128</v>
      </c>
      <c r="E3628" s="9" t="str">
        <f t="shared" si="831"/>
        <v>PSDP'!</v>
      </c>
      <c r="F3628" s="5" t="str">
        <f t="shared" si="832"/>
        <v>C:\Users\jaime.benazar\Quorum Business Solutions\Ecopetrol Prometeo - Documents\Planning Space Implementation\3. Analysis &amp; Design\Design\FC22\DRR Jaime\QUIFA-CAJÚA\Cajua\[VAS_CAJUA_CF_SEC_20230125.xlsx]CF PSDP'!</v>
      </c>
      <c r="G3628" s="6" t="s">
        <v>59</v>
      </c>
      <c r="H3628" s="1"/>
      <c r="I3628" s="1"/>
      <c r="J3628" s="1"/>
    </row>
    <row r="3629" spans="1:10" x14ac:dyDescent="0.25">
      <c r="A3629" s="6" t="s">
        <v>102</v>
      </c>
      <c r="B3629" s="6">
        <f t="shared" si="834"/>
        <v>2040</v>
      </c>
      <c r="C3629" s="1" t="s">
        <v>49</v>
      </c>
      <c r="D3629" s="2" t="s">
        <v>128</v>
      </c>
      <c r="E3629" s="9" t="str">
        <f t="shared" si="831"/>
        <v>PSDP'!</v>
      </c>
      <c r="F3629" s="5" t="str">
        <f t="shared" si="832"/>
        <v>C:\Users\jaime.benazar\Quorum Business Solutions\Ecopetrol Prometeo - Documents\Planning Space Implementation\3. Analysis &amp; Design\Design\FC22\DRR Jaime\QUIFA-CAJÚA\Cajua\[VAS_CAJUA_CF_SEC_20230125.xlsx]CF PSDP'!</v>
      </c>
      <c r="G3629" s="6" t="s">
        <v>59</v>
      </c>
      <c r="H3629" s="1"/>
      <c r="I3629" s="1"/>
      <c r="J3629" s="1"/>
    </row>
    <row r="3630" spans="1:10" x14ac:dyDescent="0.25">
      <c r="A3630" s="6" t="s">
        <v>102</v>
      </c>
      <c r="B3630" s="6">
        <f>+B3629+1</f>
        <v>2041</v>
      </c>
      <c r="C3630" s="1" t="s">
        <v>49</v>
      </c>
      <c r="D3630" s="2" t="s">
        <v>128</v>
      </c>
      <c r="E3630" s="9" t="str">
        <f t="shared" si="831"/>
        <v>PSDP'!</v>
      </c>
      <c r="F3630" s="5" t="str">
        <f t="shared" si="832"/>
        <v>C:\Users\jaime.benazar\Quorum Business Solutions\Ecopetrol Prometeo - Documents\Planning Space Implementation\3. Analysis &amp; Design\Design\FC22\DRR Jaime\QUIFA-CAJÚA\Cajua\[VAS_CAJUA_CF_SEC_20230125.xlsx]CF PSDP'!</v>
      </c>
      <c r="G3630" s="6" t="s">
        <v>59</v>
      </c>
      <c r="H3630" s="1"/>
      <c r="I3630" s="1"/>
      <c r="J3630" s="1"/>
    </row>
    <row r="3631" spans="1:10" x14ac:dyDescent="0.25">
      <c r="A3631" s="6" t="s">
        <v>102</v>
      </c>
      <c r="B3631" s="6">
        <f t="shared" ref="B3631:B3632" si="835">+B3630+1</f>
        <v>2042</v>
      </c>
      <c r="C3631" s="1" t="s">
        <v>49</v>
      </c>
      <c r="D3631" s="2" t="s">
        <v>128</v>
      </c>
      <c r="E3631" s="9" t="str">
        <f t="shared" si="831"/>
        <v>PSDP'!</v>
      </c>
      <c r="F3631" s="5" t="str">
        <f t="shared" si="832"/>
        <v>C:\Users\jaime.benazar\Quorum Business Solutions\Ecopetrol Prometeo - Documents\Planning Space Implementation\3. Analysis &amp; Design\Design\FC22\DRR Jaime\QUIFA-CAJÚA\Cajua\[VAS_CAJUA_CF_SEC_20230125.xlsx]CF PSDP'!</v>
      </c>
      <c r="G3631" s="6" t="s">
        <v>59</v>
      </c>
      <c r="H3631" s="1"/>
      <c r="I3631" s="1"/>
      <c r="J3631" s="1"/>
    </row>
    <row r="3632" spans="1:10" x14ac:dyDescent="0.25">
      <c r="A3632" s="6" t="s">
        <v>102</v>
      </c>
      <c r="B3632" s="6">
        <f t="shared" si="835"/>
        <v>2043</v>
      </c>
      <c r="C3632" s="1" t="s">
        <v>49</v>
      </c>
      <c r="D3632" s="2" t="s">
        <v>128</v>
      </c>
      <c r="E3632" s="9" t="str">
        <f t="shared" si="831"/>
        <v>PSDP'!</v>
      </c>
      <c r="F3632" s="5" t="str">
        <f t="shared" si="832"/>
        <v>C:\Users\jaime.benazar\Quorum Business Solutions\Ecopetrol Prometeo - Documents\Planning Space Implementation\3. Analysis &amp; Design\Design\FC22\DRR Jaime\QUIFA-CAJÚA\Cajua\[VAS_CAJUA_CF_SEC_20230125.xlsx]CF PSDP'!</v>
      </c>
      <c r="G3632" s="6" t="s">
        <v>59</v>
      </c>
      <c r="H3632" s="1"/>
      <c r="I3632" s="1"/>
      <c r="J3632" s="1"/>
    </row>
    <row r="3633" spans="1:10" x14ac:dyDescent="0.25">
      <c r="A3633" s="6" t="s">
        <v>102</v>
      </c>
      <c r="B3633" s="6">
        <f>+B3632+1</f>
        <v>2044</v>
      </c>
      <c r="C3633" s="1" t="s">
        <v>49</v>
      </c>
      <c r="D3633" s="2" t="s">
        <v>128</v>
      </c>
      <c r="E3633" s="9" t="str">
        <f t="shared" ref="E3633:E3648" si="836">_xlfn.CONCAT(A3633,"'!")</f>
        <v>PSDP'!</v>
      </c>
      <c r="F3633" s="5" t="str">
        <f t="shared" ref="F3633:F3648" si="837">_xlfn.CONCAT(D3633," ",E3633)</f>
        <v>C:\Users\jaime.benazar\Quorum Business Solutions\Ecopetrol Prometeo - Documents\Planning Space Implementation\3. Analysis &amp; Design\Design\FC22\DRR Jaime\QUIFA-CAJÚA\Cajua\[VAS_CAJUA_CF_SEC_20230125.xlsx]CF PSDP'!</v>
      </c>
      <c r="G3633" s="6" t="s">
        <v>59</v>
      </c>
      <c r="H3633" s="1"/>
      <c r="I3633" s="1"/>
      <c r="J3633" s="1"/>
    </row>
    <row r="3634" spans="1:10" x14ac:dyDescent="0.25">
      <c r="A3634" s="6" t="s">
        <v>102</v>
      </c>
      <c r="B3634" s="6">
        <f t="shared" ref="B3634:B3648" si="838">+B3633+1</f>
        <v>2045</v>
      </c>
      <c r="C3634" s="1" t="s">
        <v>49</v>
      </c>
      <c r="D3634" s="2" t="s">
        <v>128</v>
      </c>
      <c r="E3634" s="9" t="str">
        <f t="shared" si="836"/>
        <v>PSDP'!</v>
      </c>
      <c r="F3634" s="5" t="str">
        <f t="shared" si="837"/>
        <v>C:\Users\jaime.benazar\Quorum Business Solutions\Ecopetrol Prometeo - Documents\Planning Space Implementation\3. Analysis &amp; Design\Design\FC22\DRR Jaime\QUIFA-CAJÚA\Cajua\[VAS_CAJUA_CF_SEC_20230125.xlsx]CF PSDP'!</v>
      </c>
      <c r="G3634" s="6" t="s">
        <v>59</v>
      </c>
      <c r="H3634" s="1"/>
      <c r="I3634" s="1"/>
      <c r="J3634" s="1"/>
    </row>
    <row r="3635" spans="1:10" x14ac:dyDescent="0.25">
      <c r="A3635" s="6" t="s">
        <v>102</v>
      </c>
      <c r="B3635" s="6">
        <f t="shared" si="838"/>
        <v>2046</v>
      </c>
      <c r="C3635" s="1" t="s">
        <v>49</v>
      </c>
      <c r="D3635" s="2" t="s">
        <v>128</v>
      </c>
      <c r="E3635" s="9" t="str">
        <f t="shared" si="836"/>
        <v>PSDP'!</v>
      </c>
      <c r="F3635" s="5" t="str">
        <f t="shared" si="837"/>
        <v>C:\Users\jaime.benazar\Quorum Business Solutions\Ecopetrol Prometeo - Documents\Planning Space Implementation\3. Analysis &amp; Design\Design\FC22\DRR Jaime\QUIFA-CAJÚA\Cajua\[VAS_CAJUA_CF_SEC_20230125.xlsx]CF PSDP'!</v>
      </c>
      <c r="G3635" s="6" t="s">
        <v>59</v>
      </c>
      <c r="H3635" s="1"/>
      <c r="I3635" s="1"/>
      <c r="J3635" s="1"/>
    </row>
    <row r="3636" spans="1:10" x14ac:dyDescent="0.25">
      <c r="A3636" s="6" t="s">
        <v>102</v>
      </c>
      <c r="B3636" s="6">
        <f t="shared" si="838"/>
        <v>2047</v>
      </c>
      <c r="C3636" s="1" t="s">
        <v>49</v>
      </c>
      <c r="D3636" s="2" t="s">
        <v>128</v>
      </c>
      <c r="E3636" s="9" t="str">
        <f t="shared" si="836"/>
        <v>PSDP'!</v>
      </c>
      <c r="F3636" s="5" t="str">
        <f t="shared" si="837"/>
        <v>C:\Users\jaime.benazar\Quorum Business Solutions\Ecopetrol Prometeo - Documents\Planning Space Implementation\3. Analysis &amp; Design\Design\FC22\DRR Jaime\QUIFA-CAJÚA\Cajua\[VAS_CAJUA_CF_SEC_20230125.xlsx]CF PSDP'!</v>
      </c>
      <c r="G3636" s="6" t="s">
        <v>59</v>
      </c>
      <c r="H3636" s="1"/>
      <c r="I3636" s="1"/>
      <c r="J3636" s="1"/>
    </row>
    <row r="3637" spans="1:10" x14ac:dyDescent="0.25">
      <c r="A3637" s="6" t="s">
        <v>102</v>
      </c>
      <c r="B3637" s="6">
        <f t="shared" si="838"/>
        <v>2048</v>
      </c>
      <c r="C3637" s="1" t="s">
        <v>49</v>
      </c>
      <c r="D3637" s="2" t="s">
        <v>128</v>
      </c>
      <c r="E3637" s="9" t="str">
        <f t="shared" si="836"/>
        <v>PSDP'!</v>
      </c>
      <c r="F3637" s="5" t="str">
        <f t="shared" si="837"/>
        <v>C:\Users\jaime.benazar\Quorum Business Solutions\Ecopetrol Prometeo - Documents\Planning Space Implementation\3. Analysis &amp; Design\Design\FC22\DRR Jaime\QUIFA-CAJÚA\Cajua\[VAS_CAJUA_CF_SEC_20230125.xlsx]CF PSDP'!</v>
      </c>
      <c r="G3637" s="6" t="s">
        <v>59</v>
      </c>
      <c r="H3637" s="1"/>
      <c r="I3637" s="1"/>
      <c r="J3637" s="1"/>
    </row>
    <row r="3638" spans="1:10" x14ac:dyDescent="0.25">
      <c r="A3638" s="6" t="s">
        <v>102</v>
      </c>
      <c r="B3638" s="6">
        <f t="shared" si="838"/>
        <v>2049</v>
      </c>
      <c r="C3638" s="1" t="s">
        <v>49</v>
      </c>
      <c r="D3638" s="2" t="s">
        <v>128</v>
      </c>
      <c r="E3638" s="9" t="str">
        <f t="shared" si="836"/>
        <v>PSDP'!</v>
      </c>
      <c r="F3638" s="5" t="str">
        <f t="shared" si="837"/>
        <v>C:\Users\jaime.benazar\Quorum Business Solutions\Ecopetrol Prometeo - Documents\Planning Space Implementation\3. Analysis &amp; Design\Design\FC22\DRR Jaime\QUIFA-CAJÚA\Cajua\[VAS_CAJUA_CF_SEC_20230125.xlsx]CF PSDP'!</v>
      </c>
      <c r="G3638" s="6" t="s">
        <v>59</v>
      </c>
      <c r="H3638" s="1"/>
      <c r="I3638" s="1"/>
      <c r="J3638" s="1"/>
    </row>
    <row r="3639" spans="1:10" x14ac:dyDescent="0.25">
      <c r="A3639" s="6" t="s">
        <v>102</v>
      </c>
      <c r="B3639" s="6">
        <f t="shared" si="838"/>
        <v>2050</v>
      </c>
      <c r="C3639" s="1" t="s">
        <v>49</v>
      </c>
      <c r="D3639" s="2" t="s">
        <v>128</v>
      </c>
      <c r="E3639" s="9" t="str">
        <f t="shared" si="836"/>
        <v>PSDP'!</v>
      </c>
      <c r="F3639" s="5" t="str">
        <f t="shared" si="837"/>
        <v>C:\Users\jaime.benazar\Quorum Business Solutions\Ecopetrol Prometeo - Documents\Planning Space Implementation\3. Analysis &amp; Design\Design\FC22\DRR Jaime\QUIFA-CAJÚA\Cajua\[VAS_CAJUA_CF_SEC_20230125.xlsx]CF PSDP'!</v>
      </c>
      <c r="G3639" s="6" t="s">
        <v>59</v>
      </c>
      <c r="H3639" s="1"/>
      <c r="I3639" s="1"/>
      <c r="J3639" s="1"/>
    </row>
    <row r="3640" spans="1:10" x14ac:dyDescent="0.25">
      <c r="A3640" s="6" t="s">
        <v>102</v>
      </c>
      <c r="B3640" s="6">
        <f t="shared" si="838"/>
        <v>2051</v>
      </c>
      <c r="C3640" s="1" t="s">
        <v>49</v>
      </c>
      <c r="D3640" s="2" t="s">
        <v>128</v>
      </c>
      <c r="E3640" s="9" t="str">
        <f t="shared" si="836"/>
        <v>PSDP'!</v>
      </c>
      <c r="F3640" s="5" t="str">
        <f t="shared" si="837"/>
        <v>C:\Users\jaime.benazar\Quorum Business Solutions\Ecopetrol Prometeo - Documents\Planning Space Implementation\3. Analysis &amp; Design\Design\FC22\DRR Jaime\QUIFA-CAJÚA\Cajua\[VAS_CAJUA_CF_SEC_20230125.xlsx]CF PSDP'!</v>
      </c>
      <c r="G3640" s="6" t="s">
        <v>59</v>
      </c>
      <c r="H3640" s="1"/>
      <c r="I3640" s="1"/>
      <c r="J3640" s="1"/>
    </row>
    <row r="3641" spans="1:10" x14ac:dyDescent="0.25">
      <c r="A3641" s="6" t="s">
        <v>102</v>
      </c>
      <c r="B3641" s="6">
        <f t="shared" si="838"/>
        <v>2052</v>
      </c>
      <c r="C3641" s="1" t="s">
        <v>49</v>
      </c>
      <c r="D3641" s="2" t="s">
        <v>128</v>
      </c>
      <c r="E3641" s="9" t="str">
        <f t="shared" si="836"/>
        <v>PSDP'!</v>
      </c>
      <c r="F3641" s="5" t="str">
        <f t="shared" si="837"/>
        <v>C:\Users\jaime.benazar\Quorum Business Solutions\Ecopetrol Prometeo - Documents\Planning Space Implementation\3. Analysis &amp; Design\Design\FC22\DRR Jaime\QUIFA-CAJÚA\Cajua\[VAS_CAJUA_CF_SEC_20230125.xlsx]CF PSDP'!</v>
      </c>
      <c r="G3641" s="6" t="s">
        <v>59</v>
      </c>
      <c r="H3641" s="1"/>
      <c r="I3641" s="1"/>
      <c r="J3641" s="1"/>
    </row>
    <row r="3642" spans="1:10" x14ac:dyDescent="0.25">
      <c r="A3642" s="6" t="s">
        <v>102</v>
      </c>
      <c r="B3642" s="6">
        <f t="shared" si="838"/>
        <v>2053</v>
      </c>
      <c r="C3642" s="1" t="s">
        <v>49</v>
      </c>
      <c r="D3642" s="2" t="s">
        <v>128</v>
      </c>
      <c r="E3642" s="9" t="str">
        <f t="shared" si="836"/>
        <v>PSDP'!</v>
      </c>
      <c r="F3642" s="5" t="str">
        <f t="shared" si="837"/>
        <v>C:\Users\jaime.benazar\Quorum Business Solutions\Ecopetrol Prometeo - Documents\Planning Space Implementation\3. Analysis &amp; Design\Design\FC22\DRR Jaime\QUIFA-CAJÚA\Cajua\[VAS_CAJUA_CF_SEC_20230125.xlsx]CF PSDP'!</v>
      </c>
      <c r="G3642" s="6" t="s">
        <v>59</v>
      </c>
      <c r="H3642" s="1"/>
      <c r="I3642" s="1"/>
      <c r="J3642" s="1"/>
    </row>
    <row r="3643" spans="1:10" x14ac:dyDescent="0.25">
      <c r="A3643" s="6" t="s">
        <v>102</v>
      </c>
      <c r="B3643" s="6">
        <f t="shared" si="838"/>
        <v>2054</v>
      </c>
      <c r="C3643" s="1" t="s">
        <v>49</v>
      </c>
      <c r="D3643" s="2" t="s">
        <v>128</v>
      </c>
      <c r="E3643" s="9" t="str">
        <f t="shared" si="836"/>
        <v>PSDP'!</v>
      </c>
      <c r="F3643" s="5" t="str">
        <f t="shared" si="837"/>
        <v>C:\Users\jaime.benazar\Quorum Business Solutions\Ecopetrol Prometeo - Documents\Planning Space Implementation\3. Analysis &amp; Design\Design\FC22\DRR Jaime\QUIFA-CAJÚA\Cajua\[VAS_CAJUA_CF_SEC_20230125.xlsx]CF PSDP'!</v>
      </c>
      <c r="G3643" s="6" t="s">
        <v>59</v>
      </c>
      <c r="H3643" s="1"/>
      <c r="I3643" s="1"/>
      <c r="J3643" s="1"/>
    </row>
    <row r="3644" spans="1:10" x14ac:dyDescent="0.25">
      <c r="A3644" s="6" t="s">
        <v>102</v>
      </c>
      <c r="B3644" s="6">
        <f t="shared" si="838"/>
        <v>2055</v>
      </c>
      <c r="C3644" s="1" t="s">
        <v>49</v>
      </c>
      <c r="D3644" s="2" t="s">
        <v>128</v>
      </c>
      <c r="E3644" s="9" t="str">
        <f t="shared" si="836"/>
        <v>PSDP'!</v>
      </c>
      <c r="F3644" s="5" t="str">
        <f t="shared" si="837"/>
        <v>C:\Users\jaime.benazar\Quorum Business Solutions\Ecopetrol Prometeo - Documents\Planning Space Implementation\3. Analysis &amp; Design\Design\FC22\DRR Jaime\QUIFA-CAJÚA\Cajua\[VAS_CAJUA_CF_SEC_20230125.xlsx]CF PSDP'!</v>
      </c>
      <c r="G3644" s="6" t="s">
        <v>59</v>
      </c>
      <c r="H3644" s="1"/>
      <c r="I3644" s="1"/>
      <c r="J3644" s="1"/>
    </row>
    <row r="3645" spans="1:10" x14ac:dyDescent="0.25">
      <c r="A3645" s="6" t="s">
        <v>102</v>
      </c>
      <c r="B3645" s="6">
        <f t="shared" si="838"/>
        <v>2056</v>
      </c>
      <c r="C3645" s="1" t="s">
        <v>49</v>
      </c>
      <c r="D3645" s="2" t="s">
        <v>128</v>
      </c>
      <c r="E3645" s="9" t="str">
        <f t="shared" si="836"/>
        <v>PSDP'!</v>
      </c>
      <c r="F3645" s="5" t="str">
        <f t="shared" si="837"/>
        <v>C:\Users\jaime.benazar\Quorum Business Solutions\Ecopetrol Prometeo - Documents\Planning Space Implementation\3. Analysis &amp; Design\Design\FC22\DRR Jaime\QUIFA-CAJÚA\Cajua\[VAS_CAJUA_CF_SEC_20230125.xlsx]CF PSDP'!</v>
      </c>
      <c r="G3645" s="6" t="s">
        <v>59</v>
      </c>
      <c r="H3645" s="1"/>
      <c r="I3645" s="1"/>
      <c r="J3645" s="1"/>
    </row>
    <row r="3646" spans="1:10" x14ac:dyDescent="0.25">
      <c r="A3646" s="6" t="s">
        <v>102</v>
      </c>
      <c r="B3646" s="6">
        <f t="shared" si="838"/>
        <v>2057</v>
      </c>
      <c r="C3646" s="1" t="s">
        <v>49</v>
      </c>
      <c r="D3646" s="2" t="s">
        <v>128</v>
      </c>
      <c r="E3646" s="9" t="str">
        <f t="shared" si="836"/>
        <v>PSDP'!</v>
      </c>
      <c r="F3646" s="5" t="str">
        <f t="shared" si="837"/>
        <v>C:\Users\jaime.benazar\Quorum Business Solutions\Ecopetrol Prometeo - Documents\Planning Space Implementation\3. Analysis &amp; Design\Design\FC22\DRR Jaime\QUIFA-CAJÚA\Cajua\[VAS_CAJUA_CF_SEC_20230125.xlsx]CF PSDP'!</v>
      </c>
      <c r="G3646" s="6" t="s">
        <v>59</v>
      </c>
      <c r="H3646" s="1"/>
      <c r="I3646" s="1"/>
      <c r="J3646" s="1"/>
    </row>
    <row r="3647" spans="1:10" x14ac:dyDescent="0.25">
      <c r="A3647" s="6" t="s">
        <v>102</v>
      </c>
      <c r="B3647" s="6">
        <f t="shared" si="838"/>
        <v>2058</v>
      </c>
      <c r="C3647" s="1" t="s">
        <v>49</v>
      </c>
      <c r="D3647" s="2" t="s">
        <v>128</v>
      </c>
      <c r="E3647" s="9" t="str">
        <f t="shared" si="836"/>
        <v>PSDP'!</v>
      </c>
      <c r="F3647" s="5" t="str">
        <f t="shared" si="837"/>
        <v>C:\Users\jaime.benazar\Quorum Business Solutions\Ecopetrol Prometeo - Documents\Planning Space Implementation\3. Analysis &amp; Design\Design\FC22\DRR Jaime\QUIFA-CAJÚA\Cajua\[VAS_CAJUA_CF_SEC_20230125.xlsx]CF PSDP'!</v>
      </c>
      <c r="G3647" s="6" t="s">
        <v>59</v>
      </c>
      <c r="H3647" s="1"/>
      <c r="I3647" s="1"/>
      <c r="J3647" s="1"/>
    </row>
    <row r="3648" spans="1:10" x14ac:dyDescent="0.25">
      <c r="A3648" s="6" t="s">
        <v>102</v>
      </c>
      <c r="B3648" s="6">
        <f t="shared" si="838"/>
        <v>2059</v>
      </c>
      <c r="C3648" s="1" t="s">
        <v>49</v>
      </c>
      <c r="D3648" s="2" t="s">
        <v>128</v>
      </c>
      <c r="E3648" s="9" t="str">
        <f t="shared" si="836"/>
        <v>PSDP'!</v>
      </c>
      <c r="F3648" s="5" t="str">
        <f t="shared" si="837"/>
        <v>C:\Users\jaime.benazar\Quorum Business Solutions\Ecopetrol Prometeo - Documents\Planning Space Implementation\3. Analysis &amp; Design\Design\FC22\DRR Jaime\QUIFA-CAJÚA\Cajua\[VAS_CAJUA_CF_SEC_20230125.xlsx]CF PSDP'!</v>
      </c>
      <c r="G3648" s="6" t="s">
        <v>59</v>
      </c>
      <c r="H3648" s="1"/>
      <c r="I3648" s="1"/>
      <c r="J3648" s="1"/>
    </row>
    <row r="3649" spans="1:10" x14ac:dyDescent="0.25">
      <c r="A3649" s="6" t="s">
        <v>28</v>
      </c>
      <c r="B3649" s="6"/>
      <c r="C3649" s="1" t="s">
        <v>49</v>
      </c>
      <c r="D3649" s="2"/>
      <c r="E3649" s="9"/>
      <c r="F3649" s="2"/>
      <c r="G3649" s="6"/>
      <c r="H3649" s="1"/>
      <c r="I3649" s="1"/>
      <c r="J3649" s="12"/>
    </row>
    <row r="3650" spans="1:10" x14ac:dyDescent="0.25">
      <c r="A3650" s="6" t="s">
        <v>103</v>
      </c>
      <c r="B3650" s="6">
        <v>2023</v>
      </c>
      <c r="C3650" s="1" t="s">
        <v>49</v>
      </c>
      <c r="D3650" s="2" t="s">
        <v>128</v>
      </c>
      <c r="E3650" s="9" t="str">
        <f t="shared" ref="E3650:E3670" si="839">_xlfn.CONCAT(A3650,"'!")</f>
        <v>PSNP'!</v>
      </c>
      <c r="F3650" s="5" t="str">
        <f t="shared" si="832"/>
        <v>C:\Users\jaime.benazar\Quorum Business Solutions\Ecopetrol Prometeo - Documents\Planning Space Implementation\3. Analysis &amp; Design\Design\FC22\DRR Jaime\QUIFA-CAJÚA\Cajua\[VAS_CAJUA_CF_SEC_20230125.xlsx]CF PSNP'!</v>
      </c>
      <c r="G3650" s="6" t="s">
        <v>59</v>
      </c>
      <c r="H3650" s="1"/>
      <c r="I3650" s="1"/>
      <c r="J3650" s="1"/>
    </row>
    <row r="3651" spans="1:10" x14ac:dyDescent="0.25">
      <c r="A3651" s="6" t="s">
        <v>103</v>
      </c>
      <c r="B3651" s="6">
        <f>+B3650+1</f>
        <v>2024</v>
      </c>
      <c r="C3651" s="1" t="s">
        <v>49</v>
      </c>
      <c r="D3651" s="2" t="s">
        <v>128</v>
      </c>
      <c r="E3651" s="9" t="str">
        <f t="shared" si="839"/>
        <v>PSNP'!</v>
      </c>
      <c r="F3651" s="5" t="str">
        <f t="shared" si="832"/>
        <v>C:\Users\jaime.benazar\Quorum Business Solutions\Ecopetrol Prometeo - Documents\Planning Space Implementation\3. Analysis &amp; Design\Design\FC22\DRR Jaime\QUIFA-CAJÚA\Cajua\[VAS_CAJUA_CF_SEC_20230125.xlsx]CF PSNP'!</v>
      </c>
      <c r="G3651" s="6" t="s">
        <v>59</v>
      </c>
      <c r="H3651" s="1"/>
      <c r="I3651" s="1"/>
      <c r="J3651" s="1"/>
    </row>
    <row r="3652" spans="1:10" x14ac:dyDescent="0.25">
      <c r="A3652" s="6" t="s">
        <v>103</v>
      </c>
      <c r="B3652" s="6">
        <f t="shared" ref="B3652:B3663" si="840">+B3651+1</f>
        <v>2025</v>
      </c>
      <c r="C3652" s="1" t="s">
        <v>49</v>
      </c>
      <c r="D3652" s="2" t="s">
        <v>128</v>
      </c>
      <c r="E3652" s="9" t="str">
        <f t="shared" si="839"/>
        <v>PSNP'!</v>
      </c>
      <c r="F3652" s="5" t="str">
        <f t="shared" si="832"/>
        <v>C:\Users\jaime.benazar\Quorum Business Solutions\Ecopetrol Prometeo - Documents\Planning Space Implementation\3. Analysis &amp; Design\Design\FC22\DRR Jaime\QUIFA-CAJÚA\Cajua\[VAS_CAJUA_CF_SEC_20230125.xlsx]CF PSNP'!</v>
      </c>
      <c r="G3652" s="6" t="s">
        <v>59</v>
      </c>
      <c r="H3652" s="1"/>
      <c r="I3652" s="1"/>
      <c r="J3652" s="1"/>
    </row>
    <row r="3653" spans="1:10" x14ac:dyDescent="0.25">
      <c r="A3653" s="6" t="s">
        <v>103</v>
      </c>
      <c r="B3653" s="6">
        <f t="shared" si="840"/>
        <v>2026</v>
      </c>
      <c r="C3653" s="1" t="s">
        <v>49</v>
      </c>
      <c r="D3653" s="2" t="s">
        <v>128</v>
      </c>
      <c r="E3653" s="9" t="str">
        <f t="shared" si="839"/>
        <v>PSNP'!</v>
      </c>
      <c r="F3653" s="5" t="str">
        <f t="shared" si="832"/>
        <v>C:\Users\jaime.benazar\Quorum Business Solutions\Ecopetrol Prometeo - Documents\Planning Space Implementation\3. Analysis &amp; Design\Design\FC22\DRR Jaime\QUIFA-CAJÚA\Cajua\[VAS_CAJUA_CF_SEC_20230125.xlsx]CF PSNP'!</v>
      </c>
      <c r="G3653" s="6" t="s">
        <v>59</v>
      </c>
      <c r="H3653" s="1"/>
      <c r="I3653" s="1"/>
      <c r="J3653" s="1"/>
    </row>
    <row r="3654" spans="1:10" x14ac:dyDescent="0.25">
      <c r="A3654" s="6" t="s">
        <v>103</v>
      </c>
      <c r="B3654" s="6">
        <f t="shared" si="840"/>
        <v>2027</v>
      </c>
      <c r="C3654" s="1" t="s">
        <v>49</v>
      </c>
      <c r="D3654" s="2" t="s">
        <v>128</v>
      </c>
      <c r="E3654" s="9" t="str">
        <f t="shared" si="839"/>
        <v>PSNP'!</v>
      </c>
      <c r="F3654" s="5" t="str">
        <f t="shared" si="832"/>
        <v>C:\Users\jaime.benazar\Quorum Business Solutions\Ecopetrol Prometeo - Documents\Planning Space Implementation\3. Analysis &amp; Design\Design\FC22\DRR Jaime\QUIFA-CAJÚA\Cajua\[VAS_CAJUA_CF_SEC_20230125.xlsx]CF PSNP'!</v>
      </c>
      <c r="G3654" s="6" t="s">
        <v>59</v>
      </c>
      <c r="H3654" s="1"/>
      <c r="I3654" s="1"/>
      <c r="J3654" s="1"/>
    </row>
    <row r="3655" spans="1:10" x14ac:dyDescent="0.25">
      <c r="A3655" s="6" t="s">
        <v>103</v>
      </c>
      <c r="B3655" s="6">
        <f t="shared" si="840"/>
        <v>2028</v>
      </c>
      <c r="C3655" s="1" t="s">
        <v>49</v>
      </c>
      <c r="D3655" s="2" t="s">
        <v>128</v>
      </c>
      <c r="E3655" s="9" t="str">
        <f t="shared" si="839"/>
        <v>PSNP'!</v>
      </c>
      <c r="F3655" s="5" t="str">
        <f t="shared" si="832"/>
        <v>C:\Users\jaime.benazar\Quorum Business Solutions\Ecopetrol Prometeo - Documents\Planning Space Implementation\3. Analysis &amp; Design\Design\FC22\DRR Jaime\QUIFA-CAJÚA\Cajua\[VAS_CAJUA_CF_SEC_20230125.xlsx]CF PSNP'!</v>
      </c>
      <c r="G3655" s="6" t="s">
        <v>59</v>
      </c>
      <c r="H3655" s="1"/>
      <c r="I3655" s="1"/>
      <c r="J3655" s="1"/>
    </row>
    <row r="3656" spans="1:10" x14ac:dyDescent="0.25">
      <c r="A3656" s="6" t="s">
        <v>103</v>
      </c>
      <c r="B3656" s="6">
        <f t="shared" si="840"/>
        <v>2029</v>
      </c>
      <c r="C3656" s="1" t="s">
        <v>49</v>
      </c>
      <c r="D3656" s="2" t="s">
        <v>128</v>
      </c>
      <c r="E3656" s="9" t="str">
        <f t="shared" si="839"/>
        <v>PSNP'!</v>
      </c>
      <c r="F3656" s="5" t="str">
        <f t="shared" si="832"/>
        <v>C:\Users\jaime.benazar\Quorum Business Solutions\Ecopetrol Prometeo - Documents\Planning Space Implementation\3. Analysis &amp; Design\Design\FC22\DRR Jaime\QUIFA-CAJÚA\Cajua\[VAS_CAJUA_CF_SEC_20230125.xlsx]CF PSNP'!</v>
      </c>
      <c r="G3656" s="6" t="s">
        <v>59</v>
      </c>
      <c r="H3656" s="1"/>
      <c r="I3656" s="1"/>
      <c r="J3656" s="1"/>
    </row>
    <row r="3657" spans="1:10" x14ac:dyDescent="0.25">
      <c r="A3657" s="6" t="s">
        <v>103</v>
      </c>
      <c r="B3657" s="6">
        <f t="shared" si="840"/>
        <v>2030</v>
      </c>
      <c r="C3657" s="1" t="s">
        <v>49</v>
      </c>
      <c r="D3657" s="2" t="s">
        <v>128</v>
      </c>
      <c r="E3657" s="9" t="str">
        <f t="shared" si="839"/>
        <v>PSNP'!</v>
      </c>
      <c r="F3657" s="5" t="str">
        <f t="shared" si="832"/>
        <v>C:\Users\jaime.benazar\Quorum Business Solutions\Ecopetrol Prometeo - Documents\Planning Space Implementation\3. Analysis &amp; Design\Design\FC22\DRR Jaime\QUIFA-CAJÚA\Cajua\[VAS_CAJUA_CF_SEC_20230125.xlsx]CF PSNP'!</v>
      </c>
      <c r="G3657" s="6" t="s">
        <v>59</v>
      </c>
      <c r="H3657" s="1"/>
      <c r="I3657" s="1"/>
      <c r="J3657" s="1"/>
    </row>
    <row r="3658" spans="1:10" x14ac:dyDescent="0.25">
      <c r="A3658" s="6" t="s">
        <v>103</v>
      </c>
      <c r="B3658" s="6">
        <f t="shared" si="840"/>
        <v>2031</v>
      </c>
      <c r="C3658" s="1" t="s">
        <v>49</v>
      </c>
      <c r="D3658" s="2" t="s">
        <v>128</v>
      </c>
      <c r="E3658" s="9" t="str">
        <f t="shared" si="839"/>
        <v>PSNP'!</v>
      </c>
      <c r="F3658" s="5" t="str">
        <f t="shared" si="832"/>
        <v>C:\Users\jaime.benazar\Quorum Business Solutions\Ecopetrol Prometeo - Documents\Planning Space Implementation\3. Analysis &amp; Design\Design\FC22\DRR Jaime\QUIFA-CAJÚA\Cajua\[VAS_CAJUA_CF_SEC_20230125.xlsx]CF PSNP'!</v>
      </c>
      <c r="G3658" s="6" t="s">
        <v>59</v>
      </c>
      <c r="H3658" s="1"/>
      <c r="I3658" s="1"/>
      <c r="J3658" s="1"/>
    </row>
    <row r="3659" spans="1:10" x14ac:dyDescent="0.25">
      <c r="A3659" s="6" t="s">
        <v>103</v>
      </c>
      <c r="B3659" s="6">
        <f t="shared" si="840"/>
        <v>2032</v>
      </c>
      <c r="C3659" s="1" t="s">
        <v>49</v>
      </c>
      <c r="D3659" s="2" t="s">
        <v>128</v>
      </c>
      <c r="E3659" s="9" t="str">
        <f t="shared" si="839"/>
        <v>PSNP'!</v>
      </c>
      <c r="F3659" s="5" t="str">
        <f t="shared" si="832"/>
        <v>C:\Users\jaime.benazar\Quorum Business Solutions\Ecopetrol Prometeo - Documents\Planning Space Implementation\3. Analysis &amp; Design\Design\FC22\DRR Jaime\QUIFA-CAJÚA\Cajua\[VAS_CAJUA_CF_SEC_20230125.xlsx]CF PSNP'!</v>
      </c>
      <c r="G3659" s="6" t="s">
        <v>59</v>
      </c>
      <c r="H3659" s="1"/>
      <c r="I3659" s="1"/>
      <c r="J3659" s="1"/>
    </row>
    <row r="3660" spans="1:10" x14ac:dyDescent="0.25">
      <c r="A3660" s="6" t="s">
        <v>103</v>
      </c>
      <c r="B3660" s="6">
        <f t="shared" si="840"/>
        <v>2033</v>
      </c>
      <c r="C3660" s="1" t="s">
        <v>49</v>
      </c>
      <c r="D3660" s="2" t="s">
        <v>128</v>
      </c>
      <c r="E3660" s="9" t="str">
        <f t="shared" si="839"/>
        <v>PSNP'!</v>
      </c>
      <c r="F3660" s="5" t="str">
        <f t="shared" si="832"/>
        <v>C:\Users\jaime.benazar\Quorum Business Solutions\Ecopetrol Prometeo - Documents\Planning Space Implementation\3. Analysis &amp; Design\Design\FC22\DRR Jaime\QUIFA-CAJÚA\Cajua\[VAS_CAJUA_CF_SEC_20230125.xlsx]CF PSNP'!</v>
      </c>
      <c r="G3660" s="6" t="s">
        <v>59</v>
      </c>
      <c r="H3660" s="1"/>
      <c r="I3660" s="1"/>
      <c r="J3660" s="1"/>
    </row>
    <row r="3661" spans="1:10" x14ac:dyDescent="0.25">
      <c r="A3661" s="6" t="s">
        <v>103</v>
      </c>
      <c r="B3661" s="6">
        <f t="shared" si="840"/>
        <v>2034</v>
      </c>
      <c r="C3661" s="1" t="s">
        <v>49</v>
      </c>
      <c r="D3661" s="2" t="s">
        <v>128</v>
      </c>
      <c r="E3661" s="9" t="str">
        <f t="shared" si="839"/>
        <v>PSNP'!</v>
      </c>
      <c r="F3661" s="5" t="str">
        <f t="shared" si="832"/>
        <v>C:\Users\jaime.benazar\Quorum Business Solutions\Ecopetrol Prometeo - Documents\Planning Space Implementation\3. Analysis &amp; Design\Design\FC22\DRR Jaime\QUIFA-CAJÚA\Cajua\[VAS_CAJUA_CF_SEC_20230125.xlsx]CF PSNP'!</v>
      </c>
      <c r="G3661" s="6" t="s">
        <v>59</v>
      </c>
      <c r="H3661" s="1"/>
      <c r="I3661" s="1"/>
      <c r="J3661" s="1"/>
    </row>
    <row r="3662" spans="1:10" x14ac:dyDescent="0.25">
      <c r="A3662" s="6" t="s">
        <v>103</v>
      </c>
      <c r="B3662" s="6">
        <f t="shared" si="840"/>
        <v>2035</v>
      </c>
      <c r="C3662" s="1" t="s">
        <v>49</v>
      </c>
      <c r="D3662" s="2" t="s">
        <v>128</v>
      </c>
      <c r="E3662" s="9" t="str">
        <f t="shared" si="839"/>
        <v>PSNP'!</v>
      </c>
      <c r="F3662" s="5" t="str">
        <f t="shared" si="832"/>
        <v>C:\Users\jaime.benazar\Quorum Business Solutions\Ecopetrol Prometeo - Documents\Planning Space Implementation\3. Analysis &amp; Design\Design\FC22\DRR Jaime\QUIFA-CAJÚA\Cajua\[VAS_CAJUA_CF_SEC_20230125.xlsx]CF PSNP'!</v>
      </c>
      <c r="G3662" s="6" t="s">
        <v>59</v>
      </c>
      <c r="H3662" s="1"/>
      <c r="I3662" s="1"/>
      <c r="J3662" s="1"/>
    </row>
    <row r="3663" spans="1:10" x14ac:dyDescent="0.25">
      <c r="A3663" s="6" t="s">
        <v>103</v>
      </c>
      <c r="B3663" s="6">
        <f t="shared" si="840"/>
        <v>2036</v>
      </c>
      <c r="C3663" s="1" t="s">
        <v>49</v>
      </c>
      <c r="D3663" s="2" t="s">
        <v>128</v>
      </c>
      <c r="E3663" s="9" t="str">
        <f t="shared" si="839"/>
        <v>PSNP'!</v>
      </c>
      <c r="F3663" s="5" t="str">
        <f t="shared" si="832"/>
        <v>C:\Users\jaime.benazar\Quorum Business Solutions\Ecopetrol Prometeo - Documents\Planning Space Implementation\3. Analysis &amp; Design\Design\FC22\DRR Jaime\QUIFA-CAJÚA\Cajua\[VAS_CAJUA_CF_SEC_20230125.xlsx]CF PSNP'!</v>
      </c>
      <c r="G3663" s="6" t="s">
        <v>59</v>
      </c>
      <c r="H3663" s="1"/>
      <c r="I3663" s="1"/>
      <c r="J3663" s="1"/>
    </row>
    <row r="3664" spans="1:10" x14ac:dyDescent="0.25">
      <c r="A3664" s="6" t="s">
        <v>103</v>
      </c>
      <c r="B3664" s="6">
        <f>+B3663+1</f>
        <v>2037</v>
      </c>
      <c r="C3664" s="1" t="s">
        <v>49</v>
      </c>
      <c r="D3664" s="2" t="s">
        <v>128</v>
      </c>
      <c r="E3664" s="9" t="str">
        <f t="shared" si="839"/>
        <v>PSNP'!</v>
      </c>
      <c r="F3664" s="5" t="str">
        <f t="shared" si="832"/>
        <v>C:\Users\jaime.benazar\Quorum Business Solutions\Ecopetrol Prometeo - Documents\Planning Space Implementation\3. Analysis &amp; Design\Design\FC22\DRR Jaime\QUIFA-CAJÚA\Cajua\[VAS_CAJUA_CF_SEC_20230125.xlsx]CF PSNP'!</v>
      </c>
      <c r="G3664" s="6" t="s">
        <v>59</v>
      </c>
      <c r="H3664" s="1"/>
      <c r="I3664" s="1"/>
      <c r="J3664" s="1"/>
    </row>
    <row r="3665" spans="1:10" x14ac:dyDescent="0.25">
      <c r="A3665" s="6" t="s">
        <v>103</v>
      </c>
      <c r="B3665" s="6">
        <f t="shared" ref="B3665:B3667" si="841">+B3664+1</f>
        <v>2038</v>
      </c>
      <c r="C3665" s="1" t="s">
        <v>49</v>
      </c>
      <c r="D3665" s="2" t="s">
        <v>128</v>
      </c>
      <c r="E3665" s="9" t="str">
        <f t="shared" si="839"/>
        <v>PSNP'!</v>
      </c>
      <c r="F3665" s="5" t="str">
        <f t="shared" si="832"/>
        <v>C:\Users\jaime.benazar\Quorum Business Solutions\Ecopetrol Prometeo - Documents\Planning Space Implementation\3. Analysis &amp; Design\Design\FC22\DRR Jaime\QUIFA-CAJÚA\Cajua\[VAS_CAJUA_CF_SEC_20230125.xlsx]CF PSNP'!</v>
      </c>
      <c r="G3665" s="6" t="s">
        <v>59</v>
      </c>
      <c r="H3665" s="1"/>
      <c r="I3665" s="1"/>
      <c r="J3665" s="1"/>
    </row>
    <row r="3666" spans="1:10" x14ac:dyDescent="0.25">
      <c r="A3666" s="6" t="s">
        <v>103</v>
      </c>
      <c r="B3666" s="6">
        <f t="shared" si="841"/>
        <v>2039</v>
      </c>
      <c r="C3666" s="1" t="s">
        <v>49</v>
      </c>
      <c r="D3666" s="2" t="s">
        <v>128</v>
      </c>
      <c r="E3666" s="9" t="str">
        <f t="shared" si="839"/>
        <v>PSNP'!</v>
      </c>
      <c r="F3666" s="5" t="str">
        <f t="shared" si="832"/>
        <v>C:\Users\jaime.benazar\Quorum Business Solutions\Ecopetrol Prometeo - Documents\Planning Space Implementation\3. Analysis &amp; Design\Design\FC22\DRR Jaime\QUIFA-CAJÚA\Cajua\[VAS_CAJUA_CF_SEC_20230125.xlsx]CF PSNP'!</v>
      </c>
      <c r="G3666" s="6" t="s">
        <v>59</v>
      </c>
      <c r="H3666" s="1"/>
      <c r="I3666" s="1"/>
      <c r="J3666" s="1"/>
    </row>
    <row r="3667" spans="1:10" x14ac:dyDescent="0.25">
      <c r="A3667" s="6" t="s">
        <v>103</v>
      </c>
      <c r="B3667" s="6">
        <f t="shared" si="841"/>
        <v>2040</v>
      </c>
      <c r="C3667" s="1" t="s">
        <v>49</v>
      </c>
      <c r="D3667" s="2" t="s">
        <v>128</v>
      </c>
      <c r="E3667" s="9" t="str">
        <f t="shared" si="839"/>
        <v>PSNP'!</v>
      </c>
      <c r="F3667" s="5" t="str">
        <f t="shared" si="832"/>
        <v>C:\Users\jaime.benazar\Quorum Business Solutions\Ecopetrol Prometeo - Documents\Planning Space Implementation\3. Analysis &amp; Design\Design\FC22\DRR Jaime\QUIFA-CAJÚA\Cajua\[VAS_CAJUA_CF_SEC_20230125.xlsx]CF PSNP'!</v>
      </c>
      <c r="G3667" s="6" t="s">
        <v>59</v>
      </c>
      <c r="H3667" s="1"/>
      <c r="I3667" s="1"/>
      <c r="J3667" s="1"/>
    </row>
    <row r="3668" spans="1:10" x14ac:dyDescent="0.25">
      <c r="A3668" s="6" t="s">
        <v>103</v>
      </c>
      <c r="B3668" s="6">
        <f>+B3667+1</f>
        <v>2041</v>
      </c>
      <c r="C3668" s="1" t="s">
        <v>49</v>
      </c>
      <c r="D3668" s="2" t="s">
        <v>128</v>
      </c>
      <c r="E3668" s="9" t="str">
        <f t="shared" si="839"/>
        <v>PSNP'!</v>
      </c>
      <c r="F3668" s="5" t="str">
        <f t="shared" si="832"/>
        <v>C:\Users\jaime.benazar\Quorum Business Solutions\Ecopetrol Prometeo - Documents\Planning Space Implementation\3. Analysis &amp; Design\Design\FC22\DRR Jaime\QUIFA-CAJÚA\Cajua\[VAS_CAJUA_CF_SEC_20230125.xlsx]CF PSNP'!</v>
      </c>
      <c r="G3668" s="6" t="s">
        <v>59</v>
      </c>
      <c r="H3668" s="1"/>
      <c r="I3668" s="1"/>
      <c r="J3668" s="1"/>
    </row>
    <row r="3669" spans="1:10" x14ac:dyDescent="0.25">
      <c r="A3669" s="6" t="s">
        <v>103</v>
      </c>
      <c r="B3669" s="6">
        <f t="shared" ref="B3669:B3670" si="842">+B3668+1</f>
        <v>2042</v>
      </c>
      <c r="C3669" s="1" t="s">
        <v>49</v>
      </c>
      <c r="D3669" s="2" t="s">
        <v>128</v>
      </c>
      <c r="E3669" s="9" t="str">
        <f t="shared" si="839"/>
        <v>PSNP'!</v>
      </c>
      <c r="F3669" s="5" t="str">
        <f t="shared" si="832"/>
        <v>C:\Users\jaime.benazar\Quorum Business Solutions\Ecopetrol Prometeo - Documents\Planning Space Implementation\3. Analysis &amp; Design\Design\FC22\DRR Jaime\QUIFA-CAJÚA\Cajua\[VAS_CAJUA_CF_SEC_20230125.xlsx]CF PSNP'!</v>
      </c>
      <c r="G3669" s="6" t="s">
        <v>59</v>
      </c>
      <c r="H3669" s="1"/>
      <c r="I3669" s="1"/>
      <c r="J3669" s="1"/>
    </row>
    <row r="3670" spans="1:10" x14ac:dyDescent="0.25">
      <c r="A3670" s="6" t="s">
        <v>103</v>
      </c>
      <c r="B3670" s="6">
        <f t="shared" si="842"/>
        <v>2043</v>
      </c>
      <c r="C3670" s="1" t="s">
        <v>49</v>
      </c>
      <c r="D3670" s="2" t="s">
        <v>128</v>
      </c>
      <c r="E3670" s="9" t="str">
        <f t="shared" si="839"/>
        <v>PSNP'!</v>
      </c>
      <c r="F3670" s="5" t="str">
        <f t="shared" si="832"/>
        <v>C:\Users\jaime.benazar\Quorum Business Solutions\Ecopetrol Prometeo - Documents\Planning Space Implementation\3. Analysis &amp; Design\Design\FC22\DRR Jaime\QUIFA-CAJÚA\Cajua\[VAS_CAJUA_CF_SEC_20230125.xlsx]CF PSNP'!</v>
      </c>
      <c r="G3670" s="6" t="s">
        <v>59</v>
      </c>
      <c r="H3670" s="1"/>
      <c r="I3670" s="1"/>
      <c r="J3670" s="1"/>
    </row>
    <row r="3671" spans="1:10" x14ac:dyDescent="0.25">
      <c r="A3671" s="6" t="s">
        <v>103</v>
      </c>
      <c r="B3671" s="6">
        <f>+B3670+1</f>
        <v>2044</v>
      </c>
      <c r="C3671" s="1" t="s">
        <v>49</v>
      </c>
      <c r="D3671" s="2" t="s">
        <v>128</v>
      </c>
      <c r="E3671" s="9" t="str">
        <f t="shared" ref="E3671:E3686" si="843">_xlfn.CONCAT(A3671,"'!")</f>
        <v>PSNP'!</v>
      </c>
      <c r="F3671" s="5" t="str">
        <f t="shared" ref="F3671:F3686" si="844">_xlfn.CONCAT(D3671," ",E3671)</f>
        <v>C:\Users\jaime.benazar\Quorum Business Solutions\Ecopetrol Prometeo - Documents\Planning Space Implementation\3. Analysis &amp; Design\Design\FC22\DRR Jaime\QUIFA-CAJÚA\Cajua\[VAS_CAJUA_CF_SEC_20230125.xlsx]CF PSNP'!</v>
      </c>
      <c r="G3671" s="6" t="s">
        <v>59</v>
      </c>
      <c r="H3671" s="1"/>
      <c r="I3671" s="1"/>
      <c r="J3671" s="1"/>
    </row>
    <row r="3672" spans="1:10" x14ac:dyDescent="0.25">
      <c r="A3672" s="6" t="s">
        <v>103</v>
      </c>
      <c r="B3672" s="6">
        <f t="shared" ref="B3672:B3686" si="845">+B3671+1</f>
        <v>2045</v>
      </c>
      <c r="C3672" s="1" t="s">
        <v>49</v>
      </c>
      <c r="D3672" s="2" t="s">
        <v>128</v>
      </c>
      <c r="E3672" s="9" t="str">
        <f t="shared" si="843"/>
        <v>PSNP'!</v>
      </c>
      <c r="F3672" s="5" t="str">
        <f t="shared" si="844"/>
        <v>C:\Users\jaime.benazar\Quorum Business Solutions\Ecopetrol Prometeo - Documents\Planning Space Implementation\3. Analysis &amp; Design\Design\FC22\DRR Jaime\QUIFA-CAJÚA\Cajua\[VAS_CAJUA_CF_SEC_20230125.xlsx]CF PSNP'!</v>
      </c>
      <c r="G3672" s="6" t="s">
        <v>59</v>
      </c>
      <c r="H3672" s="1"/>
      <c r="I3672" s="1"/>
      <c r="J3672" s="1"/>
    </row>
    <row r="3673" spans="1:10" x14ac:dyDescent="0.25">
      <c r="A3673" s="6" t="s">
        <v>103</v>
      </c>
      <c r="B3673" s="6">
        <f t="shared" si="845"/>
        <v>2046</v>
      </c>
      <c r="C3673" s="1" t="s">
        <v>49</v>
      </c>
      <c r="D3673" s="2" t="s">
        <v>128</v>
      </c>
      <c r="E3673" s="9" t="str">
        <f t="shared" si="843"/>
        <v>PSNP'!</v>
      </c>
      <c r="F3673" s="5" t="str">
        <f t="shared" si="844"/>
        <v>C:\Users\jaime.benazar\Quorum Business Solutions\Ecopetrol Prometeo - Documents\Planning Space Implementation\3. Analysis &amp; Design\Design\FC22\DRR Jaime\QUIFA-CAJÚA\Cajua\[VAS_CAJUA_CF_SEC_20230125.xlsx]CF PSNP'!</v>
      </c>
      <c r="G3673" s="6" t="s">
        <v>59</v>
      </c>
      <c r="H3673" s="1"/>
      <c r="I3673" s="1"/>
      <c r="J3673" s="1"/>
    </row>
    <row r="3674" spans="1:10" x14ac:dyDescent="0.25">
      <c r="A3674" s="6" t="s">
        <v>103</v>
      </c>
      <c r="B3674" s="6">
        <f t="shared" si="845"/>
        <v>2047</v>
      </c>
      <c r="C3674" s="1" t="s">
        <v>49</v>
      </c>
      <c r="D3674" s="2" t="s">
        <v>128</v>
      </c>
      <c r="E3674" s="9" t="str">
        <f t="shared" si="843"/>
        <v>PSNP'!</v>
      </c>
      <c r="F3674" s="5" t="str">
        <f t="shared" si="844"/>
        <v>C:\Users\jaime.benazar\Quorum Business Solutions\Ecopetrol Prometeo - Documents\Planning Space Implementation\3. Analysis &amp; Design\Design\FC22\DRR Jaime\QUIFA-CAJÚA\Cajua\[VAS_CAJUA_CF_SEC_20230125.xlsx]CF PSNP'!</v>
      </c>
      <c r="G3674" s="6" t="s">
        <v>59</v>
      </c>
      <c r="H3674" s="1"/>
      <c r="I3674" s="1"/>
      <c r="J3674" s="1"/>
    </row>
    <row r="3675" spans="1:10" x14ac:dyDescent="0.25">
      <c r="A3675" s="6" t="s">
        <v>103</v>
      </c>
      <c r="B3675" s="6">
        <f t="shared" si="845"/>
        <v>2048</v>
      </c>
      <c r="C3675" s="1" t="s">
        <v>49</v>
      </c>
      <c r="D3675" s="2" t="s">
        <v>128</v>
      </c>
      <c r="E3675" s="9" t="str">
        <f t="shared" si="843"/>
        <v>PSNP'!</v>
      </c>
      <c r="F3675" s="5" t="str">
        <f t="shared" si="844"/>
        <v>C:\Users\jaime.benazar\Quorum Business Solutions\Ecopetrol Prometeo - Documents\Planning Space Implementation\3. Analysis &amp; Design\Design\FC22\DRR Jaime\QUIFA-CAJÚA\Cajua\[VAS_CAJUA_CF_SEC_20230125.xlsx]CF PSNP'!</v>
      </c>
      <c r="G3675" s="6" t="s">
        <v>59</v>
      </c>
      <c r="H3675" s="1"/>
      <c r="I3675" s="1"/>
      <c r="J3675" s="1"/>
    </row>
    <row r="3676" spans="1:10" x14ac:dyDescent="0.25">
      <c r="A3676" s="6" t="s">
        <v>103</v>
      </c>
      <c r="B3676" s="6">
        <f t="shared" si="845"/>
        <v>2049</v>
      </c>
      <c r="C3676" s="1" t="s">
        <v>49</v>
      </c>
      <c r="D3676" s="2" t="s">
        <v>128</v>
      </c>
      <c r="E3676" s="9" t="str">
        <f t="shared" si="843"/>
        <v>PSNP'!</v>
      </c>
      <c r="F3676" s="5" t="str">
        <f t="shared" si="844"/>
        <v>C:\Users\jaime.benazar\Quorum Business Solutions\Ecopetrol Prometeo - Documents\Planning Space Implementation\3. Analysis &amp; Design\Design\FC22\DRR Jaime\QUIFA-CAJÚA\Cajua\[VAS_CAJUA_CF_SEC_20230125.xlsx]CF PSNP'!</v>
      </c>
      <c r="G3676" s="6" t="s">
        <v>59</v>
      </c>
      <c r="H3676" s="1"/>
      <c r="I3676" s="1"/>
      <c r="J3676" s="1"/>
    </row>
    <row r="3677" spans="1:10" x14ac:dyDescent="0.25">
      <c r="A3677" s="6" t="s">
        <v>103</v>
      </c>
      <c r="B3677" s="6">
        <f t="shared" si="845"/>
        <v>2050</v>
      </c>
      <c r="C3677" s="1" t="s">
        <v>49</v>
      </c>
      <c r="D3677" s="2" t="s">
        <v>128</v>
      </c>
      <c r="E3677" s="9" t="str">
        <f t="shared" si="843"/>
        <v>PSNP'!</v>
      </c>
      <c r="F3677" s="5" t="str">
        <f t="shared" si="844"/>
        <v>C:\Users\jaime.benazar\Quorum Business Solutions\Ecopetrol Prometeo - Documents\Planning Space Implementation\3. Analysis &amp; Design\Design\FC22\DRR Jaime\QUIFA-CAJÚA\Cajua\[VAS_CAJUA_CF_SEC_20230125.xlsx]CF PSNP'!</v>
      </c>
      <c r="G3677" s="6" t="s">
        <v>59</v>
      </c>
      <c r="H3677" s="1"/>
      <c r="I3677" s="1"/>
      <c r="J3677" s="1"/>
    </row>
    <row r="3678" spans="1:10" x14ac:dyDescent="0.25">
      <c r="A3678" s="6" t="s">
        <v>103</v>
      </c>
      <c r="B3678" s="6">
        <f t="shared" si="845"/>
        <v>2051</v>
      </c>
      <c r="C3678" s="1" t="s">
        <v>49</v>
      </c>
      <c r="D3678" s="2" t="s">
        <v>128</v>
      </c>
      <c r="E3678" s="9" t="str">
        <f t="shared" si="843"/>
        <v>PSNP'!</v>
      </c>
      <c r="F3678" s="5" t="str">
        <f t="shared" si="844"/>
        <v>C:\Users\jaime.benazar\Quorum Business Solutions\Ecopetrol Prometeo - Documents\Planning Space Implementation\3. Analysis &amp; Design\Design\FC22\DRR Jaime\QUIFA-CAJÚA\Cajua\[VAS_CAJUA_CF_SEC_20230125.xlsx]CF PSNP'!</v>
      </c>
      <c r="G3678" s="6" t="s">
        <v>59</v>
      </c>
      <c r="H3678" s="1"/>
      <c r="I3678" s="1"/>
      <c r="J3678" s="1"/>
    </row>
    <row r="3679" spans="1:10" x14ac:dyDescent="0.25">
      <c r="A3679" s="6" t="s">
        <v>103</v>
      </c>
      <c r="B3679" s="6">
        <f t="shared" si="845"/>
        <v>2052</v>
      </c>
      <c r="C3679" s="1" t="s">
        <v>49</v>
      </c>
      <c r="D3679" s="2" t="s">
        <v>128</v>
      </c>
      <c r="E3679" s="9" t="str">
        <f t="shared" si="843"/>
        <v>PSNP'!</v>
      </c>
      <c r="F3679" s="5" t="str">
        <f t="shared" si="844"/>
        <v>C:\Users\jaime.benazar\Quorum Business Solutions\Ecopetrol Prometeo - Documents\Planning Space Implementation\3. Analysis &amp; Design\Design\FC22\DRR Jaime\QUIFA-CAJÚA\Cajua\[VAS_CAJUA_CF_SEC_20230125.xlsx]CF PSNP'!</v>
      </c>
      <c r="G3679" s="6" t="s">
        <v>59</v>
      </c>
      <c r="H3679" s="1"/>
      <c r="I3679" s="1"/>
      <c r="J3679" s="1"/>
    </row>
    <row r="3680" spans="1:10" x14ac:dyDescent="0.25">
      <c r="A3680" s="6" t="s">
        <v>103</v>
      </c>
      <c r="B3680" s="6">
        <f t="shared" si="845"/>
        <v>2053</v>
      </c>
      <c r="C3680" s="1" t="s">
        <v>49</v>
      </c>
      <c r="D3680" s="2" t="s">
        <v>128</v>
      </c>
      <c r="E3680" s="9" t="str">
        <f t="shared" si="843"/>
        <v>PSNP'!</v>
      </c>
      <c r="F3680" s="5" t="str">
        <f t="shared" si="844"/>
        <v>C:\Users\jaime.benazar\Quorum Business Solutions\Ecopetrol Prometeo - Documents\Planning Space Implementation\3. Analysis &amp; Design\Design\FC22\DRR Jaime\QUIFA-CAJÚA\Cajua\[VAS_CAJUA_CF_SEC_20230125.xlsx]CF PSNP'!</v>
      </c>
      <c r="G3680" s="6" t="s">
        <v>59</v>
      </c>
      <c r="H3680" s="1"/>
      <c r="I3680" s="1"/>
      <c r="J3680" s="1"/>
    </row>
    <row r="3681" spans="1:10" x14ac:dyDescent="0.25">
      <c r="A3681" s="6" t="s">
        <v>103</v>
      </c>
      <c r="B3681" s="6">
        <f t="shared" si="845"/>
        <v>2054</v>
      </c>
      <c r="C3681" s="1" t="s">
        <v>49</v>
      </c>
      <c r="D3681" s="2" t="s">
        <v>128</v>
      </c>
      <c r="E3681" s="9" t="str">
        <f t="shared" si="843"/>
        <v>PSNP'!</v>
      </c>
      <c r="F3681" s="5" t="str">
        <f t="shared" si="844"/>
        <v>C:\Users\jaime.benazar\Quorum Business Solutions\Ecopetrol Prometeo - Documents\Planning Space Implementation\3. Analysis &amp; Design\Design\FC22\DRR Jaime\QUIFA-CAJÚA\Cajua\[VAS_CAJUA_CF_SEC_20230125.xlsx]CF PSNP'!</v>
      </c>
      <c r="G3681" s="6" t="s">
        <v>59</v>
      </c>
      <c r="H3681" s="1"/>
      <c r="I3681" s="1"/>
      <c r="J3681" s="1"/>
    </row>
    <row r="3682" spans="1:10" x14ac:dyDescent="0.25">
      <c r="A3682" s="6" t="s">
        <v>103</v>
      </c>
      <c r="B3682" s="6">
        <f t="shared" si="845"/>
        <v>2055</v>
      </c>
      <c r="C3682" s="1" t="s">
        <v>49</v>
      </c>
      <c r="D3682" s="2" t="s">
        <v>128</v>
      </c>
      <c r="E3682" s="9" t="str">
        <f t="shared" si="843"/>
        <v>PSNP'!</v>
      </c>
      <c r="F3682" s="5" t="str">
        <f t="shared" si="844"/>
        <v>C:\Users\jaime.benazar\Quorum Business Solutions\Ecopetrol Prometeo - Documents\Planning Space Implementation\3. Analysis &amp; Design\Design\FC22\DRR Jaime\QUIFA-CAJÚA\Cajua\[VAS_CAJUA_CF_SEC_20230125.xlsx]CF PSNP'!</v>
      </c>
      <c r="G3682" s="6" t="s">
        <v>59</v>
      </c>
      <c r="H3682" s="1"/>
      <c r="I3682" s="1"/>
      <c r="J3682" s="1"/>
    </row>
    <row r="3683" spans="1:10" x14ac:dyDescent="0.25">
      <c r="A3683" s="6" t="s">
        <v>103</v>
      </c>
      <c r="B3683" s="6">
        <f t="shared" si="845"/>
        <v>2056</v>
      </c>
      <c r="C3683" s="1" t="s">
        <v>49</v>
      </c>
      <c r="D3683" s="2" t="s">
        <v>128</v>
      </c>
      <c r="E3683" s="9" t="str">
        <f t="shared" si="843"/>
        <v>PSNP'!</v>
      </c>
      <c r="F3683" s="5" t="str">
        <f t="shared" si="844"/>
        <v>C:\Users\jaime.benazar\Quorum Business Solutions\Ecopetrol Prometeo - Documents\Planning Space Implementation\3. Analysis &amp; Design\Design\FC22\DRR Jaime\QUIFA-CAJÚA\Cajua\[VAS_CAJUA_CF_SEC_20230125.xlsx]CF PSNP'!</v>
      </c>
      <c r="G3683" s="6" t="s">
        <v>59</v>
      </c>
      <c r="H3683" s="1"/>
      <c r="I3683" s="1"/>
      <c r="J3683" s="1"/>
    </row>
    <row r="3684" spans="1:10" x14ac:dyDescent="0.25">
      <c r="A3684" s="6" t="s">
        <v>103</v>
      </c>
      <c r="B3684" s="6">
        <f t="shared" si="845"/>
        <v>2057</v>
      </c>
      <c r="C3684" s="1" t="s">
        <v>49</v>
      </c>
      <c r="D3684" s="2" t="s">
        <v>128</v>
      </c>
      <c r="E3684" s="9" t="str">
        <f t="shared" si="843"/>
        <v>PSNP'!</v>
      </c>
      <c r="F3684" s="5" t="str">
        <f t="shared" si="844"/>
        <v>C:\Users\jaime.benazar\Quorum Business Solutions\Ecopetrol Prometeo - Documents\Planning Space Implementation\3. Analysis &amp; Design\Design\FC22\DRR Jaime\QUIFA-CAJÚA\Cajua\[VAS_CAJUA_CF_SEC_20230125.xlsx]CF PSNP'!</v>
      </c>
      <c r="G3684" s="6" t="s">
        <v>59</v>
      </c>
      <c r="H3684" s="1"/>
      <c r="I3684" s="1"/>
      <c r="J3684" s="1"/>
    </row>
    <row r="3685" spans="1:10" x14ac:dyDescent="0.25">
      <c r="A3685" s="6" t="s">
        <v>103</v>
      </c>
      <c r="B3685" s="6">
        <f t="shared" si="845"/>
        <v>2058</v>
      </c>
      <c r="C3685" s="1" t="s">
        <v>49</v>
      </c>
      <c r="D3685" s="2" t="s">
        <v>128</v>
      </c>
      <c r="E3685" s="9" t="str">
        <f t="shared" si="843"/>
        <v>PSNP'!</v>
      </c>
      <c r="F3685" s="5" t="str">
        <f t="shared" si="844"/>
        <v>C:\Users\jaime.benazar\Quorum Business Solutions\Ecopetrol Prometeo - Documents\Planning Space Implementation\3. Analysis &amp; Design\Design\FC22\DRR Jaime\QUIFA-CAJÚA\Cajua\[VAS_CAJUA_CF_SEC_20230125.xlsx]CF PSNP'!</v>
      </c>
      <c r="G3685" s="6" t="s">
        <v>59</v>
      </c>
      <c r="H3685" s="1"/>
      <c r="I3685" s="1"/>
      <c r="J3685" s="1"/>
    </row>
    <row r="3686" spans="1:10" x14ac:dyDescent="0.25">
      <c r="A3686" s="6" t="s">
        <v>103</v>
      </c>
      <c r="B3686" s="6">
        <f t="shared" si="845"/>
        <v>2059</v>
      </c>
      <c r="C3686" s="1" t="s">
        <v>49</v>
      </c>
      <c r="D3686" s="2" t="s">
        <v>128</v>
      </c>
      <c r="E3686" s="9" t="str">
        <f t="shared" si="843"/>
        <v>PSNP'!</v>
      </c>
      <c r="F3686" s="5" t="str">
        <f t="shared" si="844"/>
        <v>C:\Users\jaime.benazar\Quorum Business Solutions\Ecopetrol Prometeo - Documents\Planning Space Implementation\3. Analysis &amp; Design\Design\FC22\DRR Jaime\QUIFA-CAJÚA\Cajua\[VAS_CAJUA_CF_SEC_20230125.xlsx]CF PSNP'!</v>
      </c>
      <c r="G3686" s="6" t="s">
        <v>59</v>
      </c>
      <c r="H3686" s="1"/>
      <c r="I3686" s="1"/>
      <c r="J3686" s="1"/>
    </row>
    <row r="3687" spans="1:10" x14ac:dyDescent="0.25">
      <c r="A3687" s="6" t="s">
        <v>28</v>
      </c>
      <c r="B3687" s="6"/>
      <c r="C3687" s="1" t="s">
        <v>49</v>
      </c>
      <c r="D3687" s="2"/>
      <c r="E3687" s="9"/>
      <c r="F3687" s="5"/>
      <c r="G3687" s="6"/>
      <c r="H3687" s="1"/>
      <c r="I3687" s="1"/>
      <c r="J3687" s="12"/>
    </row>
    <row r="3688" spans="1:10" x14ac:dyDescent="0.25">
      <c r="A3688" s="6" t="s">
        <v>104</v>
      </c>
      <c r="B3688" s="6">
        <v>2023</v>
      </c>
      <c r="C3688" s="1" t="s">
        <v>49</v>
      </c>
      <c r="D3688" s="2" t="s">
        <v>128</v>
      </c>
      <c r="E3688" s="9" t="str">
        <f t="shared" ref="E3688:E3708" si="846">_xlfn.CONCAT(A3688,"'!")</f>
        <v>PSND'!</v>
      </c>
      <c r="F3688" s="5" t="str">
        <f t="shared" ref="F3688:F3746" si="847">_xlfn.CONCAT(D3688," ",E3688)</f>
        <v>C:\Users\jaime.benazar\Quorum Business Solutions\Ecopetrol Prometeo - Documents\Planning Space Implementation\3. Analysis &amp; Design\Design\FC22\DRR Jaime\QUIFA-CAJÚA\Cajua\[VAS_CAJUA_CF_SEC_20230125.xlsx]CF PSND'!</v>
      </c>
      <c r="G3688" s="6" t="s">
        <v>59</v>
      </c>
      <c r="H3688" s="1"/>
      <c r="I3688" s="1"/>
      <c r="J3688" s="1"/>
    </row>
    <row r="3689" spans="1:10" x14ac:dyDescent="0.25">
      <c r="A3689" s="6" t="s">
        <v>104</v>
      </c>
      <c r="B3689" s="6">
        <f>+B3688+1</f>
        <v>2024</v>
      </c>
      <c r="C3689" s="1" t="s">
        <v>49</v>
      </c>
      <c r="D3689" s="2" t="s">
        <v>128</v>
      </c>
      <c r="E3689" s="9" t="str">
        <f t="shared" si="846"/>
        <v>PSND'!</v>
      </c>
      <c r="F3689" s="5" t="str">
        <f t="shared" si="847"/>
        <v>C:\Users\jaime.benazar\Quorum Business Solutions\Ecopetrol Prometeo - Documents\Planning Space Implementation\3. Analysis &amp; Design\Design\FC22\DRR Jaime\QUIFA-CAJÚA\Cajua\[VAS_CAJUA_CF_SEC_20230125.xlsx]CF PSND'!</v>
      </c>
      <c r="G3689" s="6" t="s">
        <v>59</v>
      </c>
      <c r="H3689" s="1"/>
      <c r="I3689" s="1"/>
      <c r="J3689" s="1"/>
    </row>
    <row r="3690" spans="1:10" x14ac:dyDescent="0.25">
      <c r="A3690" s="6" t="s">
        <v>104</v>
      </c>
      <c r="B3690" s="6">
        <f t="shared" ref="B3690:B3701" si="848">+B3689+1</f>
        <v>2025</v>
      </c>
      <c r="C3690" s="1" t="s">
        <v>49</v>
      </c>
      <c r="D3690" s="2" t="s">
        <v>128</v>
      </c>
      <c r="E3690" s="9" t="str">
        <f t="shared" si="846"/>
        <v>PSND'!</v>
      </c>
      <c r="F3690" s="5" t="str">
        <f t="shared" si="847"/>
        <v>C:\Users\jaime.benazar\Quorum Business Solutions\Ecopetrol Prometeo - Documents\Planning Space Implementation\3. Analysis &amp; Design\Design\FC22\DRR Jaime\QUIFA-CAJÚA\Cajua\[VAS_CAJUA_CF_SEC_20230125.xlsx]CF PSND'!</v>
      </c>
      <c r="G3690" s="6" t="s">
        <v>59</v>
      </c>
      <c r="H3690" s="1"/>
      <c r="I3690" s="1"/>
      <c r="J3690" s="1"/>
    </row>
    <row r="3691" spans="1:10" x14ac:dyDescent="0.25">
      <c r="A3691" s="6" t="s">
        <v>104</v>
      </c>
      <c r="B3691" s="6">
        <f t="shared" si="848"/>
        <v>2026</v>
      </c>
      <c r="C3691" s="1" t="s">
        <v>49</v>
      </c>
      <c r="D3691" s="2" t="s">
        <v>128</v>
      </c>
      <c r="E3691" s="9" t="str">
        <f t="shared" si="846"/>
        <v>PSND'!</v>
      </c>
      <c r="F3691" s="5" t="str">
        <f t="shared" si="847"/>
        <v>C:\Users\jaime.benazar\Quorum Business Solutions\Ecopetrol Prometeo - Documents\Planning Space Implementation\3. Analysis &amp; Design\Design\FC22\DRR Jaime\QUIFA-CAJÚA\Cajua\[VAS_CAJUA_CF_SEC_20230125.xlsx]CF PSND'!</v>
      </c>
      <c r="G3691" s="6" t="s">
        <v>59</v>
      </c>
      <c r="H3691" s="1"/>
      <c r="I3691" s="1"/>
      <c r="J3691" s="1"/>
    </row>
    <row r="3692" spans="1:10" x14ac:dyDescent="0.25">
      <c r="A3692" s="6" t="s">
        <v>104</v>
      </c>
      <c r="B3692" s="6">
        <f t="shared" si="848"/>
        <v>2027</v>
      </c>
      <c r="C3692" s="1" t="s">
        <v>49</v>
      </c>
      <c r="D3692" s="2" t="s">
        <v>128</v>
      </c>
      <c r="E3692" s="9" t="str">
        <f t="shared" si="846"/>
        <v>PSND'!</v>
      </c>
      <c r="F3692" s="5" t="str">
        <f t="shared" si="847"/>
        <v>C:\Users\jaime.benazar\Quorum Business Solutions\Ecopetrol Prometeo - Documents\Planning Space Implementation\3. Analysis &amp; Design\Design\FC22\DRR Jaime\QUIFA-CAJÚA\Cajua\[VAS_CAJUA_CF_SEC_20230125.xlsx]CF PSND'!</v>
      </c>
      <c r="G3692" s="6" t="s">
        <v>59</v>
      </c>
      <c r="H3692" s="1"/>
      <c r="I3692" s="1"/>
      <c r="J3692" s="1"/>
    </row>
    <row r="3693" spans="1:10" x14ac:dyDescent="0.25">
      <c r="A3693" s="6" t="s">
        <v>104</v>
      </c>
      <c r="B3693" s="6">
        <f t="shared" si="848"/>
        <v>2028</v>
      </c>
      <c r="C3693" s="1" t="s">
        <v>49</v>
      </c>
      <c r="D3693" s="2" t="s">
        <v>128</v>
      </c>
      <c r="E3693" s="9" t="str">
        <f t="shared" si="846"/>
        <v>PSND'!</v>
      </c>
      <c r="F3693" s="5" t="str">
        <f t="shared" si="847"/>
        <v>C:\Users\jaime.benazar\Quorum Business Solutions\Ecopetrol Prometeo - Documents\Planning Space Implementation\3. Analysis &amp; Design\Design\FC22\DRR Jaime\QUIFA-CAJÚA\Cajua\[VAS_CAJUA_CF_SEC_20230125.xlsx]CF PSND'!</v>
      </c>
      <c r="G3693" s="6" t="s">
        <v>59</v>
      </c>
      <c r="H3693" s="1"/>
      <c r="I3693" s="1"/>
      <c r="J3693" s="1"/>
    </row>
    <row r="3694" spans="1:10" x14ac:dyDescent="0.25">
      <c r="A3694" s="6" t="s">
        <v>104</v>
      </c>
      <c r="B3694" s="6">
        <f t="shared" si="848"/>
        <v>2029</v>
      </c>
      <c r="C3694" s="1" t="s">
        <v>49</v>
      </c>
      <c r="D3694" s="2" t="s">
        <v>128</v>
      </c>
      <c r="E3694" s="9" t="str">
        <f t="shared" si="846"/>
        <v>PSND'!</v>
      </c>
      <c r="F3694" s="5" t="str">
        <f t="shared" si="847"/>
        <v>C:\Users\jaime.benazar\Quorum Business Solutions\Ecopetrol Prometeo - Documents\Planning Space Implementation\3. Analysis &amp; Design\Design\FC22\DRR Jaime\QUIFA-CAJÚA\Cajua\[VAS_CAJUA_CF_SEC_20230125.xlsx]CF PSND'!</v>
      </c>
      <c r="G3694" s="6" t="s">
        <v>59</v>
      </c>
      <c r="H3694" s="1"/>
      <c r="I3694" s="1"/>
      <c r="J3694" s="1"/>
    </row>
    <row r="3695" spans="1:10" x14ac:dyDescent="0.25">
      <c r="A3695" s="6" t="s">
        <v>104</v>
      </c>
      <c r="B3695" s="6">
        <f t="shared" si="848"/>
        <v>2030</v>
      </c>
      <c r="C3695" s="1" t="s">
        <v>49</v>
      </c>
      <c r="D3695" s="2" t="s">
        <v>128</v>
      </c>
      <c r="E3695" s="9" t="str">
        <f t="shared" si="846"/>
        <v>PSND'!</v>
      </c>
      <c r="F3695" s="5" t="str">
        <f t="shared" si="847"/>
        <v>C:\Users\jaime.benazar\Quorum Business Solutions\Ecopetrol Prometeo - Documents\Planning Space Implementation\3. Analysis &amp; Design\Design\FC22\DRR Jaime\QUIFA-CAJÚA\Cajua\[VAS_CAJUA_CF_SEC_20230125.xlsx]CF PSND'!</v>
      </c>
      <c r="G3695" s="6" t="s">
        <v>59</v>
      </c>
      <c r="H3695" s="1"/>
      <c r="I3695" s="1"/>
      <c r="J3695" s="1"/>
    </row>
    <row r="3696" spans="1:10" x14ac:dyDescent="0.25">
      <c r="A3696" s="6" t="s">
        <v>104</v>
      </c>
      <c r="B3696" s="6">
        <f t="shared" si="848"/>
        <v>2031</v>
      </c>
      <c r="C3696" s="1" t="s">
        <v>49</v>
      </c>
      <c r="D3696" s="2" t="s">
        <v>128</v>
      </c>
      <c r="E3696" s="9" t="str">
        <f t="shared" si="846"/>
        <v>PSND'!</v>
      </c>
      <c r="F3696" s="5" t="str">
        <f t="shared" si="847"/>
        <v>C:\Users\jaime.benazar\Quorum Business Solutions\Ecopetrol Prometeo - Documents\Planning Space Implementation\3. Analysis &amp; Design\Design\FC22\DRR Jaime\QUIFA-CAJÚA\Cajua\[VAS_CAJUA_CF_SEC_20230125.xlsx]CF PSND'!</v>
      </c>
      <c r="G3696" s="6" t="s">
        <v>59</v>
      </c>
      <c r="H3696" s="1"/>
      <c r="I3696" s="1"/>
      <c r="J3696" s="1"/>
    </row>
    <row r="3697" spans="1:10" x14ac:dyDescent="0.25">
      <c r="A3697" s="6" t="s">
        <v>104</v>
      </c>
      <c r="B3697" s="6">
        <f t="shared" si="848"/>
        <v>2032</v>
      </c>
      <c r="C3697" s="1" t="s">
        <v>49</v>
      </c>
      <c r="D3697" s="2" t="s">
        <v>128</v>
      </c>
      <c r="E3697" s="9" t="str">
        <f t="shared" si="846"/>
        <v>PSND'!</v>
      </c>
      <c r="F3697" s="5" t="str">
        <f t="shared" si="847"/>
        <v>C:\Users\jaime.benazar\Quorum Business Solutions\Ecopetrol Prometeo - Documents\Planning Space Implementation\3. Analysis &amp; Design\Design\FC22\DRR Jaime\QUIFA-CAJÚA\Cajua\[VAS_CAJUA_CF_SEC_20230125.xlsx]CF PSND'!</v>
      </c>
      <c r="G3697" s="6" t="s">
        <v>59</v>
      </c>
      <c r="H3697" s="1"/>
      <c r="I3697" s="1"/>
      <c r="J3697" s="1"/>
    </row>
    <row r="3698" spans="1:10" x14ac:dyDescent="0.25">
      <c r="A3698" s="6" t="s">
        <v>104</v>
      </c>
      <c r="B3698" s="6">
        <f t="shared" si="848"/>
        <v>2033</v>
      </c>
      <c r="C3698" s="1" t="s">
        <v>49</v>
      </c>
      <c r="D3698" s="2" t="s">
        <v>128</v>
      </c>
      <c r="E3698" s="9" t="str">
        <f t="shared" si="846"/>
        <v>PSND'!</v>
      </c>
      <c r="F3698" s="5" t="str">
        <f t="shared" si="847"/>
        <v>C:\Users\jaime.benazar\Quorum Business Solutions\Ecopetrol Prometeo - Documents\Planning Space Implementation\3. Analysis &amp; Design\Design\FC22\DRR Jaime\QUIFA-CAJÚA\Cajua\[VAS_CAJUA_CF_SEC_20230125.xlsx]CF PSND'!</v>
      </c>
      <c r="G3698" s="6" t="s">
        <v>59</v>
      </c>
      <c r="H3698" s="1"/>
      <c r="I3698" s="1"/>
      <c r="J3698" s="1"/>
    </row>
    <row r="3699" spans="1:10" x14ac:dyDescent="0.25">
      <c r="A3699" s="6" t="s">
        <v>104</v>
      </c>
      <c r="B3699" s="6">
        <f t="shared" si="848"/>
        <v>2034</v>
      </c>
      <c r="C3699" s="1" t="s">
        <v>49</v>
      </c>
      <c r="D3699" s="2" t="s">
        <v>128</v>
      </c>
      <c r="E3699" s="9" t="str">
        <f t="shared" si="846"/>
        <v>PSND'!</v>
      </c>
      <c r="F3699" s="5" t="str">
        <f t="shared" si="847"/>
        <v>C:\Users\jaime.benazar\Quorum Business Solutions\Ecopetrol Prometeo - Documents\Planning Space Implementation\3. Analysis &amp; Design\Design\FC22\DRR Jaime\QUIFA-CAJÚA\Cajua\[VAS_CAJUA_CF_SEC_20230125.xlsx]CF PSND'!</v>
      </c>
      <c r="G3699" s="6" t="s">
        <v>59</v>
      </c>
      <c r="H3699" s="1"/>
      <c r="I3699" s="1"/>
      <c r="J3699" s="1"/>
    </row>
    <row r="3700" spans="1:10" x14ac:dyDescent="0.25">
      <c r="A3700" s="6" t="s">
        <v>104</v>
      </c>
      <c r="B3700" s="6">
        <f t="shared" si="848"/>
        <v>2035</v>
      </c>
      <c r="C3700" s="1" t="s">
        <v>49</v>
      </c>
      <c r="D3700" s="2" t="s">
        <v>128</v>
      </c>
      <c r="E3700" s="9" t="str">
        <f t="shared" si="846"/>
        <v>PSND'!</v>
      </c>
      <c r="F3700" s="5" t="str">
        <f t="shared" si="847"/>
        <v>C:\Users\jaime.benazar\Quorum Business Solutions\Ecopetrol Prometeo - Documents\Planning Space Implementation\3. Analysis &amp; Design\Design\FC22\DRR Jaime\QUIFA-CAJÚA\Cajua\[VAS_CAJUA_CF_SEC_20230125.xlsx]CF PSND'!</v>
      </c>
      <c r="G3700" s="6" t="s">
        <v>59</v>
      </c>
      <c r="H3700" s="1"/>
      <c r="I3700" s="1"/>
      <c r="J3700" s="1"/>
    </row>
    <row r="3701" spans="1:10" x14ac:dyDescent="0.25">
      <c r="A3701" s="6" t="s">
        <v>104</v>
      </c>
      <c r="B3701" s="6">
        <f t="shared" si="848"/>
        <v>2036</v>
      </c>
      <c r="C3701" s="1" t="s">
        <v>49</v>
      </c>
      <c r="D3701" s="2" t="s">
        <v>128</v>
      </c>
      <c r="E3701" s="9" t="str">
        <f t="shared" si="846"/>
        <v>PSND'!</v>
      </c>
      <c r="F3701" s="5" t="str">
        <f t="shared" si="847"/>
        <v>C:\Users\jaime.benazar\Quorum Business Solutions\Ecopetrol Prometeo - Documents\Planning Space Implementation\3. Analysis &amp; Design\Design\FC22\DRR Jaime\QUIFA-CAJÚA\Cajua\[VAS_CAJUA_CF_SEC_20230125.xlsx]CF PSND'!</v>
      </c>
      <c r="G3701" s="6" t="s">
        <v>59</v>
      </c>
      <c r="H3701" s="1"/>
      <c r="I3701" s="1"/>
      <c r="J3701" s="1"/>
    </row>
    <row r="3702" spans="1:10" x14ac:dyDescent="0.25">
      <c r="A3702" s="6" t="s">
        <v>104</v>
      </c>
      <c r="B3702" s="6">
        <f>+B3701+1</f>
        <v>2037</v>
      </c>
      <c r="C3702" s="1" t="s">
        <v>49</v>
      </c>
      <c r="D3702" s="2" t="s">
        <v>128</v>
      </c>
      <c r="E3702" s="9" t="str">
        <f t="shared" si="846"/>
        <v>PSND'!</v>
      </c>
      <c r="F3702" s="5" t="str">
        <f t="shared" si="847"/>
        <v>C:\Users\jaime.benazar\Quorum Business Solutions\Ecopetrol Prometeo - Documents\Planning Space Implementation\3. Analysis &amp; Design\Design\FC22\DRR Jaime\QUIFA-CAJÚA\Cajua\[VAS_CAJUA_CF_SEC_20230125.xlsx]CF PSND'!</v>
      </c>
      <c r="G3702" s="6" t="s">
        <v>59</v>
      </c>
      <c r="H3702" s="1"/>
      <c r="I3702" s="1"/>
      <c r="J3702" s="1"/>
    </row>
    <row r="3703" spans="1:10" x14ac:dyDescent="0.25">
      <c r="A3703" s="6" t="s">
        <v>104</v>
      </c>
      <c r="B3703" s="6">
        <f t="shared" ref="B3703:B3705" si="849">+B3702+1</f>
        <v>2038</v>
      </c>
      <c r="C3703" s="1" t="s">
        <v>49</v>
      </c>
      <c r="D3703" s="2" t="s">
        <v>128</v>
      </c>
      <c r="E3703" s="9" t="str">
        <f t="shared" si="846"/>
        <v>PSND'!</v>
      </c>
      <c r="F3703" s="5" t="str">
        <f t="shared" si="847"/>
        <v>C:\Users\jaime.benazar\Quorum Business Solutions\Ecopetrol Prometeo - Documents\Planning Space Implementation\3. Analysis &amp; Design\Design\FC22\DRR Jaime\QUIFA-CAJÚA\Cajua\[VAS_CAJUA_CF_SEC_20230125.xlsx]CF PSND'!</v>
      </c>
      <c r="G3703" s="6" t="s">
        <v>59</v>
      </c>
      <c r="H3703" s="1"/>
      <c r="I3703" s="1"/>
      <c r="J3703" s="1"/>
    </row>
    <row r="3704" spans="1:10" x14ac:dyDescent="0.25">
      <c r="A3704" s="6" t="s">
        <v>104</v>
      </c>
      <c r="B3704" s="6">
        <f t="shared" si="849"/>
        <v>2039</v>
      </c>
      <c r="C3704" s="1" t="s">
        <v>49</v>
      </c>
      <c r="D3704" s="2" t="s">
        <v>128</v>
      </c>
      <c r="E3704" s="9" t="str">
        <f t="shared" si="846"/>
        <v>PSND'!</v>
      </c>
      <c r="F3704" s="5" t="str">
        <f t="shared" si="847"/>
        <v>C:\Users\jaime.benazar\Quorum Business Solutions\Ecopetrol Prometeo - Documents\Planning Space Implementation\3. Analysis &amp; Design\Design\FC22\DRR Jaime\QUIFA-CAJÚA\Cajua\[VAS_CAJUA_CF_SEC_20230125.xlsx]CF PSND'!</v>
      </c>
      <c r="G3704" s="6" t="s">
        <v>59</v>
      </c>
      <c r="H3704" s="1"/>
      <c r="I3704" s="1"/>
      <c r="J3704" s="1"/>
    </row>
    <row r="3705" spans="1:10" x14ac:dyDescent="0.25">
      <c r="A3705" s="6" t="s">
        <v>104</v>
      </c>
      <c r="B3705" s="6">
        <f t="shared" si="849"/>
        <v>2040</v>
      </c>
      <c r="C3705" s="1" t="s">
        <v>49</v>
      </c>
      <c r="D3705" s="2" t="s">
        <v>128</v>
      </c>
      <c r="E3705" s="9" t="str">
        <f t="shared" si="846"/>
        <v>PSND'!</v>
      </c>
      <c r="F3705" s="5" t="str">
        <f t="shared" si="847"/>
        <v>C:\Users\jaime.benazar\Quorum Business Solutions\Ecopetrol Prometeo - Documents\Planning Space Implementation\3. Analysis &amp; Design\Design\FC22\DRR Jaime\QUIFA-CAJÚA\Cajua\[VAS_CAJUA_CF_SEC_20230125.xlsx]CF PSND'!</v>
      </c>
      <c r="G3705" s="6" t="s">
        <v>59</v>
      </c>
      <c r="H3705" s="1"/>
      <c r="I3705" s="1"/>
      <c r="J3705" s="1"/>
    </row>
    <row r="3706" spans="1:10" x14ac:dyDescent="0.25">
      <c r="A3706" s="6" t="s">
        <v>104</v>
      </c>
      <c r="B3706" s="6">
        <f>+B3705+1</f>
        <v>2041</v>
      </c>
      <c r="C3706" s="1" t="s">
        <v>49</v>
      </c>
      <c r="D3706" s="2" t="s">
        <v>128</v>
      </c>
      <c r="E3706" s="9" t="str">
        <f t="shared" si="846"/>
        <v>PSND'!</v>
      </c>
      <c r="F3706" s="5" t="str">
        <f t="shared" si="847"/>
        <v>C:\Users\jaime.benazar\Quorum Business Solutions\Ecopetrol Prometeo - Documents\Planning Space Implementation\3. Analysis &amp; Design\Design\FC22\DRR Jaime\QUIFA-CAJÚA\Cajua\[VAS_CAJUA_CF_SEC_20230125.xlsx]CF PSND'!</v>
      </c>
      <c r="G3706" s="6" t="s">
        <v>59</v>
      </c>
      <c r="H3706" s="1"/>
      <c r="I3706" s="1"/>
      <c r="J3706" s="1"/>
    </row>
    <row r="3707" spans="1:10" x14ac:dyDescent="0.25">
      <c r="A3707" s="6" t="s">
        <v>104</v>
      </c>
      <c r="B3707" s="6">
        <f t="shared" ref="B3707:B3708" si="850">+B3706+1</f>
        <v>2042</v>
      </c>
      <c r="C3707" s="1" t="s">
        <v>49</v>
      </c>
      <c r="D3707" s="2" t="s">
        <v>128</v>
      </c>
      <c r="E3707" s="9" t="str">
        <f t="shared" si="846"/>
        <v>PSND'!</v>
      </c>
      <c r="F3707" s="5" t="str">
        <f t="shared" si="847"/>
        <v>C:\Users\jaime.benazar\Quorum Business Solutions\Ecopetrol Prometeo - Documents\Planning Space Implementation\3. Analysis &amp; Design\Design\FC22\DRR Jaime\QUIFA-CAJÚA\Cajua\[VAS_CAJUA_CF_SEC_20230125.xlsx]CF PSND'!</v>
      </c>
      <c r="G3707" s="6" t="s">
        <v>59</v>
      </c>
      <c r="H3707" s="1"/>
      <c r="I3707" s="1"/>
      <c r="J3707" s="1"/>
    </row>
    <row r="3708" spans="1:10" x14ac:dyDescent="0.25">
      <c r="A3708" s="6" t="s">
        <v>104</v>
      </c>
      <c r="B3708" s="6">
        <f t="shared" si="850"/>
        <v>2043</v>
      </c>
      <c r="C3708" s="1" t="s">
        <v>49</v>
      </c>
      <c r="D3708" s="2" t="s">
        <v>128</v>
      </c>
      <c r="E3708" s="9" t="str">
        <f t="shared" si="846"/>
        <v>PSND'!</v>
      </c>
      <c r="F3708" s="5" t="str">
        <f t="shared" si="847"/>
        <v>C:\Users\jaime.benazar\Quorum Business Solutions\Ecopetrol Prometeo - Documents\Planning Space Implementation\3. Analysis &amp; Design\Design\FC22\DRR Jaime\QUIFA-CAJÚA\Cajua\[VAS_CAJUA_CF_SEC_20230125.xlsx]CF PSND'!</v>
      </c>
      <c r="G3708" s="6" t="s">
        <v>59</v>
      </c>
      <c r="H3708" s="1"/>
      <c r="I3708" s="1"/>
      <c r="J3708" s="1"/>
    </row>
    <row r="3709" spans="1:10" x14ac:dyDescent="0.25">
      <c r="A3709" s="6" t="s">
        <v>104</v>
      </c>
      <c r="B3709" s="6">
        <f>+B3708+1</f>
        <v>2044</v>
      </c>
      <c r="C3709" s="1" t="s">
        <v>49</v>
      </c>
      <c r="D3709" s="2" t="s">
        <v>128</v>
      </c>
      <c r="E3709" s="9" t="str">
        <f t="shared" ref="E3709:E3724" si="851">_xlfn.CONCAT(A3709,"'!")</f>
        <v>PSND'!</v>
      </c>
      <c r="F3709" s="5" t="str">
        <f t="shared" ref="F3709:F3724" si="852">_xlfn.CONCAT(D3709," ",E3709)</f>
        <v>C:\Users\jaime.benazar\Quorum Business Solutions\Ecopetrol Prometeo - Documents\Planning Space Implementation\3. Analysis &amp; Design\Design\FC22\DRR Jaime\QUIFA-CAJÚA\Cajua\[VAS_CAJUA_CF_SEC_20230125.xlsx]CF PSND'!</v>
      </c>
      <c r="G3709" s="6" t="s">
        <v>59</v>
      </c>
      <c r="H3709" s="1"/>
      <c r="I3709" s="1"/>
      <c r="J3709" s="1"/>
    </row>
    <row r="3710" spans="1:10" x14ac:dyDescent="0.25">
      <c r="A3710" s="6" t="s">
        <v>104</v>
      </c>
      <c r="B3710" s="6">
        <f t="shared" ref="B3710:B3724" si="853">+B3709+1</f>
        <v>2045</v>
      </c>
      <c r="C3710" s="1" t="s">
        <v>49</v>
      </c>
      <c r="D3710" s="2" t="s">
        <v>128</v>
      </c>
      <c r="E3710" s="9" t="str">
        <f t="shared" si="851"/>
        <v>PSND'!</v>
      </c>
      <c r="F3710" s="5" t="str">
        <f t="shared" si="852"/>
        <v>C:\Users\jaime.benazar\Quorum Business Solutions\Ecopetrol Prometeo - Documents\Planning Space Implementation\3. Analysis &amp; Design\Design\FC22\DRR Jaime\QUIFA-CAJÚA\Cajua\[VAS_CAJUA_CF_SEC_20230125.xlsx]CF PSND'!</v>
      </c>
      <c r="G3710" s="6" t="s">
        <v>59</v>
      </c>
      <c r="H3710" s="1"/>
      <c r="I3710" s="1"/>
      <c r="J3710" s="1"/>
    </row>
    <row r="3711" spans="1:10" x14ac:dyDescent="0.25">
      <c r="A3711" s="6" t="s">
        <v>104</v>
      </c>
      <c r="B3711" s="6">
        <f t="shared" si="853"/>
        <v>2046</v>
      </c>
      <c r="C3711" s="1" t="s">
        <v>49</v>
      </c>
      <c r="D3711" s="2" t="s">
        <v>128</v>
      </c>
      <c r="E3711" s="9" t="str">
        <f t="shared" si="851"/>
        <v>PSND'!</v>
      </c>
      <c r="F3711" s="5" t="str">
        <f t="shared" si="852"/>
        <v>C:\Users\jaime.benazar\Quorum Business Solutions\Ecopetrol Prometeo - Documents\Planning Space Implementation\3. Analysis &amp; Design\Design\FC22\DRR Jaime\QUIFA-CAJÚA\Cajua\[VAS_CAJUA_CF_SEC_20230125.xlsx]CF PSND'!</v>
      </c>
      <c r="G3711" s="6" t="s">
        <v>59</v>
      </c>
      <c r="H3711" s="1"/>
      <c r="I3711" s="1"/>
      <c r="J3711" s="1"/>
    </row>
    <row r="3712" spans="1:10" x14ac:dyDescent="0.25">
      <c r="A3712" s="6" t="s">
        <v>104</v>
      </c>
      <c r="B3712" s="6">
        <f t="shared" si="853"/>
        <v>2047</v>
      </c>
      <c r="C3712" s="1" t="s">
        <v>49</v>
      </c>
      <c r="D3712" s="2" t="s">
        <v>128</v>
      </c>
      <c r="E3712" s="9" t="str">
        <f t="shared" si="851"/>
        <v>PSND'!</v>
      </c>
      <c r="F3712" s="5" t="str">
        <f t="shared" si="852"/>
        <v>C:\Users\jaime.benazar\Quorum Business Solutions\Ecopetrol Prometeo - Documents\Planning Space Implementation\3. Analysis &amp; Design\Design\FC22\DRR Jaime\QUIFA-CAJÚA\Cajua\[VAS_CAJUA_CF_SEC_20230125.xlsx]CF PSND'!</v>
      </c>
      <c r="G3712" s="6" t="s">
        <v>59</v>
      </c>
      <c r="H3712" s="1"/>
      <c r="I3712" s="1"/>
      <c r="J3712" s="1"/>
    </row>
    <row r="3713" spans="1:10" x14ac:dyDescent="0.25">
      <c r="A3713" s="6" t="s">
        <v>104</v>
      </c>
      <c r="B3713" s="6">
        <f t="shared" si="853"/>
        <v>2048</v>
      </c>
      <c r="C3713" s="1" t="s">
        <v>49</v>
      </c>
      <c r="D3713" s="2" t="s">
        <v>128</v>
      </c>
      <c r="E3713" s="9" t="str">
        <f t="shared" si="851"/>
        <v>PSND'!</v>
      </c>
      <c r="F3713" s="5" t="str">
        <f t="shared" si="852"/>
        <v>C:\Users\jaime.benazar\Quorum Business Solutions\Ecopetrol Prometeo - Documents\Planning Space Implementation\3. Analysis &amp; Design\Design\FC22\DRR Jaime\QUIFA-CAJÚA\Cajua\[VAS_CAJUA_CF_SEC_20230125.xlsx]CF PSND'!</v>
      </c>
      <c r="G3713" s="6" t="s">
        <v>59</v>
      </c>
      <c r="H3713" s="1"/>
      <c r="I3713" s="1"/>
      <c r="J3713" s="1"/>
    </row>
    <row r="3714" spans="1:10" x14ac:dyDescent="0.25">
      <c r="A3714" s="6" t="s">
        <v>104</v>
      </c>
      <c r="B3714" s="6">
        <f t="shared" si="853"/>
        <v>2049</v>
      </c>
      <c r="C3714" s="1" t="s">
        <v>49</v>
      </c>
      <c r="D3714" s="2" t="s">
        <v>128</v>
      </c>
      <c r="E3714" s="9" t="str">
        <f t="shared" si="851"/>
        <v>PSND'!</v>
      </c>
      <c r="F3714" s="5" t="str">
        <f t="shared" si="852"/>
        <v>C:\Users\jaime.benazar\Quorum Business Solutions\Ecopetrol Prometeo - Documents\Planning Space Implementation\3. Analysis &amp; Design\Design\FC22\DRR Jaime\QUIFA-CAJÚA\Cajua\[VAS_CAJUA_CF_SEC_20230125.xlsx]CF PSND'!</v>
      </c>
      <c r="G3714" s="6" t="s">
        <v>59</v>
      </c>
      <c r="H3714" s="1"/>
      <c r="I3714" s="1"/>
      <c r="J3714" s="1"/>
    </row>
    <row r="3715" spans="1:10" x14ac:dyDescent="0.25">
      <c r="A3715" s="6" t="s">
        <v>104</v>
      </c>
      <c r="B3715" s="6">
        <f t="shared" si="853"/>
        <v>2050</v>
      </c>
      <c r="C3715" s="1" t="s">
        <v>49</v>
      </c>
      <c r="D3715" s="2" t="s">
        <v>128</v>
      </c>
      <c r="E3715" s="9" t="str">
        <f t="shared" si="851"/>
        <v>PSND'!</v>
      </c>
      <c r="F3715" s="5" t="str">
        <f t="shared" si="852"/>
        <v>C:\Users\jaime.benazar\Quorum Business Solutions\Ecopetrol Prometeo - Documents\Planning Space Implementation\3. Analysis &amp; Design\Design\FC22\DRR Jaime\QUIFA-CAJÚA\Cajua\[VAS_CAJUA_CF_SEC_20230125.xlsx]CF PSND'!</v>
      </c>
      <c r="G3715" s="6" t="s">
        <v>59</v>
      </c>
      <c r="H3715" s="1"/>
      <c r="I3715" s="1"/>
      <c r="J3715" s="1"/>
    </row>
    <row r="3716" spans="1:10" x14ac:dyDescent="0.25">
      <c r="A3716" s="6" t="s">
        <v>104</v>
      </c>
      <c r="B3716" s="6">
        <f t="shared" si="853"/>
        <v>2051</v>
      </c>
      <c r="C3716" s="1" t="s">
        <v>49</v>
      </c>
      <c r="D3716" s="2" t="s">
        <v>128</v>
      </c>
      <c r="E3716" s="9" t="str">
        <f t="shared" si="851"/>
        <v>PSND'!</v>
      </c>
      <c r="F3716" s="5" t="str">
        <f t="shared" si="852"/>
        <v>C:\Users\jaime.benazar\Quorum Business Solutions\Ecopetrol Prometeo - Documents\Planning Space Implementation\3. Analysis &amp; Design\Design\FC22\DRR Jaime\QUIFA-CAJÚA\Cajua\[VAS_CAJUA_CF_SEC_20230125.xlsx]CF PSND'!</v>
      </c>
      <c r="G3716" s="6" t="s">
        <v>59</v>
      </c>
      <c r="H3716" s="1"/>
      <c r="I3716" s="1"/>
      <c r="J3716" s="1"/>
    </row>
    <row r="3717" spans="1:10" x14ac:dyDescent="0.25">
      <c r="A3717" s="6" t="s">
        <v>104</v>
      </c>
      <c r="B3717" s="6">
        <f t="shared" si="853"/>
        <v>2052</v>
      </c>
      <c r="C3717" s="1" t="s">
        <v>49</v>
      </c>
      <c r="D3717" s="2" t="s">
        <v>128</v>
      </c>
      <c r="E3717" s="9" t="str">
        <f t="shared" si="851"/>
        <v>PSND'!</v>
      </c>
      <c r="F3717" s="5" t="str">
        <f t="shared" si="852"/>
        <v>C:\Users\jaime.benazar\Quorum Business Solutions\Ecopetrol Prometeo - Documents\Planning Space Implementation\3. Analysis &amp; Design\Design\FC22\DRR Jaime\QUIFA-CAJÚA\Cajua\[VAS_CAJUA_CF_SEC_20230125.xlsx]CF PSND'!</v>
      </c>
      <c r="G3717" s="6" t="s">
        <v>59</v>
      </c>
      <c r="H3717" s="1"/>
      <c r="I3717" s="1"/>
      <c r="J3717" s="1"/>
    </row>
    <row r="3718" spans="1:10" x14ac:dyDescent="0.25">
      <c r="A3718" s="6" t="s">
        <v>104</v>
      </c>
      <c r="B3718" s="6">
        <f t="shared" si="853"/>
        <v>2053</v>
      </c>
      <c r="C3718" s="1" t="s">
        <v>49</v>
      </c>
      <c r="D3718" s="2" t="s">
        <v>128</v>
      </c>
      <c r="E3718" s="9" t="str">
        <f t="shared" si="851"/>
        <v>PSND'!</v>
      </c>
      <c r="F3718" s="5" t="str">
        <f t="shared" si="852"/>
        <v>C:\Users\jaime.benazar\Quorum Business Solutions\Ecopetrol Prometeo - Documents\Planning Space Implementation\3. Analysis &amp; Design\Design\FC22\DRR Jaime\QUIFA-CAJÚA\Cajua\[VAS_CAJUA_CF_SEC_20230125.xlsx]CF PSND'!</v>
      </c>
      <c r="G3718" s="6" t="s">
        <v>59</v>
      </c>
      <c r="H3718" s="1"/>
      <c r="I3718" s="1"/>
      <c r="J3718" s="1"/>
    </row>
    <row r="3719" spans="1:10" x14ac:dyDescent="0.25">
      <c r="A3719" s="6" t="s">
        <v>104</v>
      </c>
      <c r="B3719" s="6">
        <f t="shared" si="853"/>
        <v>2054</v>
      </c>
      <c r="C3719" s="1" t="s">
        <v>49</v>
      </c>
      <c r="D3719" s="2" t="s">
        <v>128</v>
      </c>
      <c r="E3719" s="9" t="str">
        <f t="shared" si="851"/>
        <v>PSND'!</v>
      </c>
      <c r="F3719" s="5" t="str">
        <f t="shared" si="852"/>
        <v>C:\Users\jaime.benazar\Quorum Business Solutions\Ecopetrol Prometeo - Documents\Planning Space Implementation\3. Analysis &amp; Design\Design\FC22\DRR Jaime\QUIFA-CAJÚA\Cajua\[VAS_CAJUA_CF_SEC_20230125.xlsx]CF PSND'!</v>
      </c>
      <c r="G3719" s="6" t="s">
        <v>59</v>
      </c>
      <c r="H3719" s="1"/>
      <c r="I3719" s="1"/>
      <c r="J3719" s="1"/>
    </row>
    <row r="3720" spans="1:10" x14ac:dyDescent="0.25">
      <c r="A3720" s="6" t="s">
        <v>104</v>
      </c>
      <c r="B3720" s="6">
        <f t="shared" si="853"/>
        <v>2055</v>
      </c>
      <c r="C3720" s="1" t="s">
        <v>49</v>
      </c>
      <c r="D3720" s="2" t="s">
        <v>128</v>
      </c>
      <c r="E3720" s="9" t="str">
        <f t="shared" si="851"/>
        <v>PSND'!</v>
      </c>
      <c r="F3720" s="5" t="str">
        <f t="shared" si="852"/>
        <v>C:\Users\jaime.benazar\Quorum Business Solutions\Ecopetrol Prometeo - Documents\Planning Space Implementation\3. Analysis &amp; Design\Design\FC22\DRR Jaime\QUIFA-CAJÚA\Cajua\[VAS_CAJUA_CF_SEC_20230125.xlsx]CF PSND'!</v>
      </c>
      <c r="G3720" s="6" t="s">
        <v>59</v>
      </c>
      <c r="H3720" s="1"/>
      <c r="I3720" s="1"/>
      <c r="J3720" s="1"/>
    </row>
    <row r="3721" spans="1:10" x14ac:dyDescent="0.25">
      <c r="A3721" s="6" t="s">
        <v>104</v>
      </c>
      <c r="B3721" s="6">
        <f t="shared" si="853"/>
        <v>2056</v>
      </c>
      <c r="C3721" s="1" t="s">
        <v>49</v>
      </c>
      <c r="D3721" s="2" t="s">
        <v>128</v>
      </c>
      <c r="E3721" s="9" t="str">
        <f t="shared" si="851"/>
        <v>PSND'!</v>
      </c>
      <c r="F3721" s="5" t="str">
        <f t="shared" si="852"/>
        <v>C:\Users\jaime.benazar\Quorum Business Solutions\Ecopetrol Prometeo - Documents\Planning Space Implementation\3. Analysis &amp; Design\Design\FC22\DRR Jaime\QUIFA-CAJÚA\Cajua\[VAS_CAJUA_CF_SEC_20230125.xlsx]CF PSND'!</v>
      </c>
      <c r="G3721" s="6" t="s">
        <v>59</v>
      </c>
      <c r="H3721" s="1"/>
      <c r="I3721" s="1"/>
      <c r="J3721" s="1"/>
    </row>
    <row r="3722" spans="1:10" x14ac:dyDescent="0.25">
      <c r="A3722" s="6" t="s">
        <v>104</v>
      </c>
      <c r="B3722" s="6">
        <f t="shared" si="853"/>
        <v>2057</v>
      </c>
      <c r="C3722" s="1" t="s">
        <v>49</v>
      </c>
      <c r="D3722" s="2" t="s">
        <v>128</v>
      </c>
      <c r="E3722" s="9" t="str">
        <f t="shared" si="851"/>
        <v>PSND'!</v>
      </c>
      <c r="F3722" s="5" t="str">
        <f t="shared" si="852"/>
        <v>C:\Users\jaime.benazar\Quorum Business Solutions\Ecopetrol Prometeo - Documents\Planning Space Implementation\3. Analysis &amp; Design\Design\FC22\DRR Jaime\QUIFA-CAJÚA\Cajua\[VAS_CAJUA_CF_SEC_20230125.xlsx]CF PSND'!</v>
      </c>
      <c r="G3722" s="6" t="s">
        <v>59</v>
      </c>
      <c r="H3722" s="1"/>
      <c r="I3722" s="1"/>
      <c r="J3722" s="1"/>
    </row>
    <row r="3723" spans="1:10" x14ac:dyDescent="0.25">
      <c r="A3723" s="6" t="s">
        <v>104</v>
      </c>
      <c r="B3723" s="6">
        <f t="shared" si="853"/>
        <v>2058</v>
      </c>
      <c r="C3723" s="1" t="s">
        <v>49</v>
      </c>
      <c r="D3723" s="2" t="s">
        <v>128</v>
      </c>
      <c r="E3723" s="9" t="str">
        <f t="shared" si="851"/>
        <v>PSND'!</v>
      </c>
      <c r="F3723" s="5" t="str">
        <f t="shared" si="852"/>
        <v>C:\Users\jaime.benazar\Quorum Business Solutions\Ecopetrol Prometeo - Documents\Planning Space Implementation\3. Analysis &amp; Design\Design\FC22\DRR Jaime\QUIFA-CAJÚA\Cajua\[VAS_CAJUA_CF_SEC_20230125.xlsx]CF PSND'!</v>
      </c>
      <c r="G3723" s="6" t="s">
        <v>59</v>
      </c>
      <c r="H3723" s="1"/>
      <c r="I3723" s="1"/>
      <c r="J3723" s="1"/>
    </row>
    <row r="3724" spans="1:10" x14ac:dyDescent="0.25">
      <c r="A3724" s="6" t="s">
        <v>104</v>
      </c>
      <c r="B3724" s="6">
        <f t="shared" si="853"/>
        <v>2059</v>
      </c>
      <c r="C3724" s="1" t="s">
        <v>49</v>
      </c>
      <c r="D3724" s="2" t="s">
        <v>128</v>
      </c>
      <c r="E3724" s="9" t="str">
        <f t="shared" si="851"/>
        <v>PSND'!</v>
      </c>
      <c r="F3724" s="5" t="str">
        <f t="shared" si="852"/>
        <v>C:\Users\jaime.benazar\Quorum Business Solutions\Ecopetrol Prometeo - Documents\Planning Space Implementation\3. Analysis &amp; Design\Design\FC22\DRR Jaime\QUIFA-CAJÚA\Cajua\[VAS_CAJUA_CF_SEC_20230125.xlsx]CF PSND'!</v>
      </c>
      <c r="G3724" s="6" t="s">
        <v>59</v>
      </c>
      <c r="H3724" s="1"/>
      <c r="I3724" s="1"/>
      <c r="J3724" s="1"/>
    </row>
    <row r="3725" spans="1:10" x14ac:dyDescent="0.25">
      <c r="A3725" s="6" t="s">
        <v>28</v>
      </c>
      <c r="B3725" s="6"/>
      <c r="C3725" s="1" t="s">
        <v>49</v>
      </c>
      <c r="D3725" s="2"/>
      <c r="E3725" s="9"/>
      <c r="F3725" s="2"/>
      <c r="G3725" s="6"/>
      <c r="H3725" s="1"/>
      <c r="I3725" s="1"/>
      <c r="J3725" s="12"/>
    </row>
    <row r="3726" spans="1:10" x14ac:dyDescent="0.25">
      <c r="A3726" s="6" t="s">
        <v>34</v>
      </c>
      <c r="B3726" s="6">
        <v>2023</v>
      </c>
      <c r="C3726" s="1" t="s">
        <v>49</v>
      </c>
      <c r="D3726" s="2" t="s">
        <v>128</v>
      </c>
      <c r="E3726" s="9" t="str">
        <f t="shared" ref="E3726:E3746" si="854">_xlfn.CONCAT(A3726,"'!")</f>
        <v>PS'!</v>
      </c>
      <c r="F3726" s="5" t="str">
        <f t="shared" si="847"/>
        <v>C:\Users\jaime.benazar\Quorum Business Solutions\Ecopetrol Prometeo - Documents\Planning Space Implementation\3. Analysis &amp; Design\Design\FC22\DRR Jaime\QUIFA-CAJÚA\Cajua\[VAS_CAJUA_CF_SEC_20230125.xlsx]CF PS'!</v>
      </c>
      <c r="G3726" s="6" t="s">
        <v>59</v>
      </c>
      <c r="H3726" s="1">
        <f>IF(A3726&lt;&gt;A3596,36,H3596+1)</f>
        <v>36</v>
      </c>
      <c r="I3726" s="1" t="str">
        <f t="shared" ref="I3726:I3746" si="855">_xlfn.CONCAT("='",F3726:H3726)</f>
        <v>='C:\Users\jaime.benazar\Quorum Business Solutions\Ecopetrol Prometeo - Documents\Planning Space Implementation\3. Analysis &amp; Design\Design\FC22\DRR Jaime\QUIFA-CAJÚA\Cajua\[VAS_CAJUA_CF_SEC_20230125.xlsx]CF PS'!$BB$36</v>
      </c>
      <c r="J3726" s="1" t="s">
        <v>1757</v>
      </c>
    </row>
    <row r="3727" spans="1:10" x14ac:dyDescent="0.25">
      <c r="A3727" s="6" t="s">
        <v>34</v>
      </c>
      <c r="B3727" s="6">
        <f>+B3726+1</f>
        <v>2024</v>
      </c>
      <c r="C3727" s="1" t="s">
        <v>49</v>
      </c>
      <c r="D3727" s="2" t="s">
        <v>128</v>
      </c>
      <c r="E3727" s="9" t="str">
        <f t="shared" si="854"/>
        <v>PS'!</v>
      </c>
      <c r="F3727" s="5" t="str">
        <f t="shared" si="847"/>
        <v>C:\Users\jaime.benazar\Quorum Business Solutions\Ecopetrol Prometeo - Documents\Planning Space Implementation\3. Analysis &amp; Design\Design\FC22\DRR Jaime\QUIFA-CAJÚA\Cajua\[VAS_CAJUA_CF_SEC_20230125.xlsx]CF PS'!</v>
      </c>
      <c r="G3727" s="6" t="s">
        <v>59</v>
      </c>
      <c r="H3727" s="1">
        <f t="shared" ref="H3727:H3746" si="856">IF(A3727&lt;&gt;A3726,36,H3726+1)</f>
        <v>37</v>
      </c>
      <c r="I3727" s="1" t="str">
        <f t="shared" si="855"/>
        <v>='C:\Users\jaime.benazar\Quorum Business Solutions\Ecopetrol Prometeo - Documents\Planning Space Implementation\3. Analysis &amp; Design\Design\FC22\DRR Jaime\QUIFA-CAJÚA\Cajua\[VAS_CAJUA_CF_SEC_20230125.xlsx]CF PS'!$BB$37</v>
      </c>
      <c r="J3727" s="1" t="s">
        <v>1758</v>
      </c>
    </row>
    <row r="3728" spans="1:10" x14ac:dyDescent="0.25">
      <c r="A3728" s="6" t="s">
        <v>34</v>
      </c>
      <c r="B3728" s="6">
        <f t="shared" ref="B3728:B3739" si="857">+B3727+1</f>
        <v>2025</v>
      </c>
      <c r="C3728" s="1" t="s">
        <v>49</v>
      </c>
      <c r="D3728" s="2" t="s">
        <v>128</v>
      </c>
      <c r="E3728" s="9" t="str">
        <f t="shared" si="854"/>
        <v>PS'!</v>
      </c>
      <c r="F3728" s="5" t="str">
        <f t="shared" si="847"/>
        <v>C:\Users\jaime.benazar\Quorum Business Solutions\Ecopetrol Prometeo - Documents\Planning Space Implementation\3. Analysis &amp; Design\Design\FC22\DRR Jaime\QUIFA-CAJÚA\Cajua\[VAS_CAJUA_CF_SEC_20230125.xlsx]CF PS'!</v>
      </c>
      <c r="G3728" s="6" t="s">
        <v>59</v>
      </c>
      <c r="H3728" s="1">
        <f t="shared" si="856"/>
        <v>38</v>
      </c>
      <c r="I3728" s="1" t="str">
        <f t="shared" si="855"/>
        <v>='C:\Users\jaime.benazar\Quorum Business Solutions\Ecopetrol Prometeo - Documents\Planning Space Implementation\3. Analysis &amp; Design\Design\FC22\DRR Jaime\QUIFA-CAJÚA\Cajua\[VAS_CAJUA_CF_SEC_20230125.xlsx]CF PS'!$BB$38</v>
      </c>
      <c r="J3728" s="1" t="s">
        <v>1759</v>
      </c>
    </row>
    <row r="3729" spans="1:10" x14ac:dyDescent="0.25">
      <c r="A3729" s="6" t="s">
        <v>34</v>
      </c>
      <c r="B3729" s="6">
        <f t="shared" si="857"/>
        <v>2026</v>
      </c>
      <c r="C3729" s="1" t="s">
        <v>49</v>
      </c>
      <c r="D3729" s="2" t="s">
        <v>128</v>
      </c>
      <c r="E3729" s="9" t="str">
        <f t="shared" si="854"/>
        <v>PS'!</v>
      </c>
      <c r="F3729" s="5" t="str">
        <f t="shared" si="847"/>
        <v>C:\Users\jaime.benazar\Quorum Business Solutions\Ecopetrol Prometeo - Documents\Planning Space Implementation\3. Analysis &amp; Design\Design\FC22\DRR Jaime\QUIFA-CAJÚA\Cajua\[VAS_CAJUA_CF_SEC_20230125.xlsx]CF PS'!</v>
      </c>
      <c r="G3729" s="6" t="s">
        <v>59</v>
      </c>
      <c r="H3729" s="1">
        <f t="shared" si="856"/>
        <v>39</v>
      </c>
      <c r="I3729" s="1" t="str">
        <f t="shared" si="855"/>
        <v>='C:\Users\jaime.benazar\Quorum Business Solutions\Ecopetrol Prometeo - Documents\Planning Space Implementation\3. Analysis &amp; Design\Design\FC22\DRR Jaime\QUIFA-CAJÚA\Cajua\[VAS_CAJUA_CF_SEC_20230125.xlsx]CF PS'!$BB$39</v>
      </c>
      <c r="J3729" s="1" t="s">
        <v>1760</v>
      </c>
    </row>
    <row r="3730" spans="1:10" x14ac:dyDescent="0.25">
      <c r="A3730" s="6" t="s">
        <v>34</v>
      </c>
      <c r="B3730" s="6">
        <f t="shared" si="857"/>
        <v>2027</v>
      </c>
      <c r="C3730" s="1" t="s">
        <v>49</v>
      </c>
      <c r="D3730" s="2" t="s">
        <v>128</v>
      </c>
      <c r="E3730" s="9" t="str">
        <f t="shared" si="854"/>
        <v>PS'!</v>
      </c>
      <c r="F3730" s="5" t="str">
        <f t="shared" si="847"/>
        <v>C:\Users\jaime.benazar\Quorum Business Solutions\Ecopetrol Prometeo - Documents\Planning Space Implementation\3. Analysis &amp; Design\Design\FC22\DRR Jaime\QUIFA-CAJÚA\Cajua\[VAS_CAJUA_CF_SEC_20230125.xlsx]CF PS'!</v>
      </c>
      <c r="G3730" s="6" t="s">
        <v>59</v>
      </c>
      <c r="H3730" s="1">
        <f t="shared" si="856"/>
        <v>40</v>
      </c>
      <c r="I3730" s="1" t="str">
        <f t="shared" si="855"/>
        <v>='C:\Users\jaime.benazar\Quorum Business Solutions\Ecopetrol Prometeo - Documents\Planning Space Implementation\3. Analysis &amp; Design\Design\FC22\DRR Jaime\QUIFA-CAJÚA\Cajua\[VAS_CAJUA_CF_SEC_20230125.xlsx]CF PS'!$BB$40</v>
      </c>
      <c r="J3730" s="1" t="s">
        <v>1761</v>
      </c>
    </row>
    <row r="3731" spans="1:10" x14ac:dyDescent="0.25">
      <c r="A3731" s="6" t="s">
        <v>34</v>
      </c>
      <c r="B3731" s="6">
        <f t="shared" si="857"/>
        <v>2028</v>
      </c>
      <c r="C3731" s="1" t="s">
        <v>49</v>
      </c>
      <c r="D3731" s="2" t="s">
        <v>128</v>
      </c>
      <c r="E3731" s="9" t="str">
        <f t="shared" si="854"/>
        <v>PS'!</v>
      </c>
      <c r="F3731" s="5" t="str">
        <f t="shared" si="847"/>
        <v>C:\Users\jaime.benazar\Quorum Business Solutions\Ecopetrol Prometeo - Documents\Planning Space Implementation\3. Analysis &amp; Design\Design\FC22\DRR Jaime\QUIFA-CAJÚA\Cajua\[VAS_CAJUA_CF_SEC_20230125.xlsx]CF PS'!</v>
      </c>
      <c r="G3731" s="6" t="s">
        <v>59</v>
      </c>
      <c r="H3731" s="1">
        <f t="shared" si="856"/>
        <v>41</v>
      </c>
      <c r="I3731" s="1" t="str">
        <f t="shared" si="855"/>
        <v>='C:\Users\jaime.benazar\Quorum Business Solutions\Ecopetrol Prometeo - Documents\Planning Space Implementation\3. Analysis &amp; Design\Design\FC22\DRR Jaime\QUIFA-CAJÚA\Cajua\[VAS_CAJUA_CF_SEC_20230125.xlsx]CF PS'!$BB$41</v>
      </c>
      <c r="J3731" s="1" t="s">
        <v>1762</v>
      </c>
    </row>
    <row r="3732" spans="1:10" x14ac:dyDescent="0.25">
      <c r="A3732" s="6" t="s">
        <v>34</v>
      </c>
      <c r="B3732" s="6">
        <f t="shared" si="857"/>
        <v>2029</v>
      </c>
      <c r="C3732" s="1" t="s">
        <v>49</v>
      </c>
      <c r="D3732" s="2" t="s">
        <v>128</v>
      </c>
      <c r="E3732" s="9" t="str">
        <f t="shared" si="854"/>
        <v>PS'!</v>
      </c>
      <c r="F3732" s="5" t="str">
        <f t="shared" si="847"/>
        <v>C:\Users\jaime.benazar\Quorum Business Solutions\Ecopetrol Prometeo - Documents\Planning Space Implementation\3. Analysis &amp; Design\Design\FC22\DRR Jaime\QUIFA-CAJÚA\Cajua\[VAS_CAJUA_CF_SEC_20230125.xlsx]CF PS'!</v>
      </c>
      <c r="G3732" s="6" t="s">
        <v>59</v>
      </c>
      <c r="H3732" s="1">
        <f t="shared" si="856"/>
        <v>42</v>
      </c>
      <c r="I3732" s="1" t="str">
        <f t="shared" si="855"/>
        <v>='C:\Users\jaime.benazar\Quorum Business Solutions\Ecopetrol Prometeo - Documents\Planning Space Implementation\3. Analysis &amp; Design\Design\FC22\DRR Jaime\QUIFA-CAJÚA\Cajua\[VAS_CAJUA_CF_SEC_20230125.xlsx]CF PS'!$BB$42</v>
      </c>
      <c r="J3732" s="1" t="s">
        <v>1763</v>
      </c>
    </row>
    <row r="3733" spans="1:10" x14ac:dyDescent="0.25">
      <c r="A3733" s="6" t="s">
        <v>34</v>
      </c>
      <c r="B3733" s="6">
        <f t="shared" si="857"/>
        <v>2030</v>
      </c>
      <c r="C3733" s="1" t="s">
        <v>49</v>
      </c>
      <c r="D3733" s="2" t="s">
        <v>128</v>
      </c>
      <c r="E3733" s="9" t="str">
        <f t="shared" si="854"/>
        <v>PS'!</v>
      </c>
      <c r="F3733" s="5" t="str">
        <f t="shared" si="847"/>
        <v>C:\Users\jaime.benazar\Quorum Business Solutions\Ecopetrol Prometeo - Documents\Planning Space Implementation\3. Analysis &amp; Design\Design\FC22\DRR Jaime\QUIFA-CAJÚA\Cajua\[VAS_CAJUA_CF_SEC_20230125.xlsx]CF PS'!</v>
      </c>
      <c r="G3733" s="6" t="s">
        <v>59</v>
      </c>
      <c r="H3733" s="1">
        <f t="shared" si="856"/>
        <v>43</v>
      </c>
      <c r="I3733" s="1" t="str">
        <f t="shared" si="855"/>
        <v>='C:\Users\jaime.benazar\Quorum Business Solutions\Ecopetrol Prometeo - Documents\Planning Space Implementation\3. Analysis &amp; Design\Design\FC22\DRR Jaime\QUIFA-CAJÚA\Cajua\[VAS_CAJUA_CF_SEC_20230125.xlsx]CF PS'!$BB$43</v>
      </c>
      <c r="J3733" s="1" t="s">
        <v>1764</v>
      </c>
    </row>
    <row r="3734" spans="1:10" x14ac:dyDescent="0.25">
      <c r="A3734" s="6" t="s">
        <v>34</v>
      </c>
      <c r="B3734" s="6">
        <f t="shared" si="857"/>
        <v>2031</v>
      </c>
      <c r="C3734" s="1" t="s">
        <v>49</v>
      </c>
      <c r="D3734" s="2" t="s">
        <v>128</v>
      </c>
      <c r="E3734" s="9" t="str">
        <f t="shared" si="854"/>
        <v>PS'!</v>
      </c>
      <c r="F3734" s="5" t="str">
        <f t="shared" si="847"/>
        <v>C:\Users\jaime.benazar\Quorum Business Solutions\Ecopetrol Prometeo - Documents\Planning Space Implementation\3. Analysis &amp; Design\Design\FC22\DRR Jaime\QUIFA-CAJÚA\Cajua\[VAS_CAJUA_CF_SEC_20230125.xlsx]CF PS'!</v>
      </c>
      <c r="G3734" s="6" t="s">
        <v>59</v>
      </c>
      <c r="H3734" s="1">
        <f t="shared" si="856"/>
        <v>44</v>
      </c>
      <c r="I3734" s="1" t="str">
        <f t="shared" si="855"/>
        <v>='C:\Users\jaime.benazar\Quorum Business Solutions\Ecopetrol Prometeo - Documents\Planning Space Implementation\3. Analysis &amp; Design\Design\FC22\DRR Jaime\QUIFA-CAJÚA\Cajua\[VAS_CAJUA_CF_SEC_20230125.xlsx]CF PS'!$BB$44</v>
      </c>
      <c r="J3734" s="1" t="s">
        <v>1765</v>
      </c>
    </row>
    <row r="3735" spans="1:10" x14ac:dyDescent="0.25">
      <c r="A3735" s="6" t="s">
        <v>34</v>
      </c>
      <c r="B3735" s="6">
        <f t="shared" si="857"/>
        <v>2032</v>
      </c>
      <c r="C3735" s="1" t="s">
        <v>49</v>
      </c>
      <c r="D3735" s="2" t="s">
        <v>128</v>
      </c>
      <c r="E3735" s="9" t="str">
        <f t="shared" si="854"/>
        <v>PS'!</v>
      </c>
      <c r="F3735" s="5" t="str">
        <f t="shared" si="847"/>
        <v>C:\Users\jaime.benazar\Quorum Business Solutions\Ecopetrol Prometeo - Documents\Planning Space Implementation\3. Analysis &amp; Design\Design\FC22\DRR Jaime\QUIFA-CAJÚA\Cajua\[VAS_CAJUA_CF_SEC_20230125.xlsx]CF PS'!</v>
      </c>
      <c r="G3735" s="6" t="s">
        <v>59</v>
      </c>
      <c r="H3735" s="1">
        <f t="shared" si="856"/>
        <v>45</v>
      </c>
      <c r="I3735" s="1" t="str">
        <f t="shared" si="855"/>
        <v>='C:\Users\jaime.benazar\Quorum Business Solutions\Ecopetrol Prometeo - Documents\Planning Space Implementation\3. Analysis &amp; Design\Design\FC22\DRR Jaime\QUIFA-CAJÚA\Cajua\[VAS_CAJUA_CF_SEC_20230125.xlsx]CF PS'!$BB$45</v>
      </c>
      <c r="J3735" s="1" t="s">
        <v>1766</v>
      </c>
    </row>
    <row r="3736" spans="1:10" x14ac:dyDescent="0.25">
      <c r="A3736" s="6" t="s">
        <v>34</v>
      </c>
      <c r="B3736" s="6">
        <f t="shared" si="857"/>
        <v>2033</v>
      </c>
      <c r="C3736" s="1" t="s">
        <v>49</v>
      </c>
      <c r="D3736" s="2" t="s">
        <v>128</v>
      </c>
      <c r="E3736" s="9" t="str">
        <f t="shared" si="854"/>
        <v>PS'!</v>
      </c>
      <c r="F3736" s="5" t="str">
        <f t="shared" si="847"/>
        <v>C:\Users\jaime.benazar\Quorum Business Solutions\Ecopetrol Prometeo - Documents\Planning Space Implementation\3. Analysis &amp; Design\Design\FC22\DRR Jaime\QUIFA-CAJÚA\Cajua\[VAS_CAJUA_CF_SEC_20230125.xlsx]CF PS'!</v>
      </c>
      <c r="G3736" s="6" t="s">
        <v>59</v>
      </c>
      <c r="H3736" s="1">
        <f t="shared" si="856"/>
        <v>46</v>
      </c>
      <c r="I3736" s="1" t="str">
        <f t="shared" si="855"/>
        <v>='C:\Users\jaime.benazar\Quorum Business Solutions\Ecopetrol Prometeo - Documents\Planning Space Implementation\3. Analysis &amp; Design\Design\FC22\DRR Jaime\QUIFA-CAJÚA\Cajua\[VAS_CAJUA_CF_SEC_20230125.xlsx]CF PS'!$BB$46</v>
      </c>
      <c r="J3736" s="1" t="s">
        <v>1767</v>
      </c>
    </row>
    <row r="3737" spans="1:10" x14ac:dyDescent="0.25">
      <c r="A3737" s="6" t="s">
        <v>34</v>
      </c>
      <c r="B3737" s="6">
        <f t="shared" si="857"/>
        <v>2034</v>
      </c>
      <c r="C3737" s="1" t="s">
        <v>49</v>
      </c>
      <c r="D3737" s="2" t="s">
        <v>128</v>
      </c>
      <c r="E3737" s="9" t="str">
        <f t="shared" si="854"/>
        <v>PS'!</v>
      </c>
      <c r="F3737" s="5" t="str">
        <f t="shared" si="847"/>
        <v>C:\Users\jaime.benazar\Quorum Business Solutions\Ecopetrol Prometeo - Documents\Planning Space Implementation\3. Analysis &amp; Design\Design\FC22\DRR Jaime\QUIFA-CAJÚA\Cajua\[VAS_CAJUA_CF_SEC_20230125.xlsx]CF PS'!</v>
      </c>
      <c r="G3737" s="6" t="s">
        <v>59</v>
      </c>
      <c r="H3737" s="1">
        <f t="shared" si="856"/>
        <v>47</v>
      </c>
      <c r="I3737" s="1" t="str">
        <f t="shared" si="855"/>
        <v>='C:\Users\jaime.benazar\Quorum Business Solutions\Ecopetrol Prometeo - Documents\Planning Space Implementation\3. Analysis &amp; Design\Design\FC22\DRR Jaime\QUIFA-CAJÚA\Cajua\[VAS_CAJUA_CF_SEC_20230125.xlsx]CF PS'!$BB$47</v>
      </c>
      <c r="J3737" s="1" t="s">
        <v>1768</v>
      </c>
    </row>
    <row r="3738" spans="1:10" x14ac:dyDescent="0.25">
      <c r="A3738" s="6" t="s">
        <v>34</v>
      </c>
      <c r="B3738" s="6">
        <f t="shared" si="857"/>
        <v>2035</v>
      </c>
      <c r="C3738" s="1" t="s">
        <v>49</v>
      </c>
      <c r="D3738" s="2" t="s">
        <v>128</v>
      </c>
      <c r="E3738" s="9" t="str">
        <f t="shared" si="854"/>
        <v>PS'!</v>
      </c>
      <c r="F3738" s="5" t="str">
        <f t="shared" si="847"/>
        <v>C:\Users\jaime.benazar\Quorum Business Solutions\Ecopetrol Prometeo - Documents\Planning Space Implementation\3. Analysis &amp; Design\Design\FC22\DRR Jaime\QUIFA-CAJÚA\Cajua\[VAS_CAJUA_CF_SEC_20230125.xlsx]CF PS'!</v>
      </c>
      <c r="G3738" s="6" t="s">
        <v>59</v>
      </c>
      <c r="H3738" s="1">
        <f t="shared" si="856"/>
        <v>48</v>
      </c>
      <c r="I3738" s="1" t="str">
        <f t="shared" si="855"/>
        <v>='C:\Users\jaime.benazar\Quorum Business Solutions\Ecopetrol Prometeo - Documents\Planning Space Implementation\3. Analysis &amp; Design\Design\FC22\DRR Jaime\QUIFA-CAJÚA\Cajua\[VAS_CAJUA_CF_SEC_20230125.xlsx]CF PS'!$BB$48</v>
      </c>
      <c r="J3738" s="1" t="s">
        <v>1769</v>
      </c>
    </row>
    <row r="3739" spans="1:10" x14ac:dyDescent="0.25">
      <c r="A3739" s="6" t="s">
        <v>34</v>
      </c>
      <c r="B3739" s="6">
        <f t="shared" si="857"/>
        <v>2036</v>
      </c>
      <c r="C3739" s="1" t="s">
        <v>49</v>
      </c>
      <c r="D3739" s="2" t="s">
        <v>128</v>
      </c>
      <c r="E3739" s="9" t="str">
        <f t="shared" si="854"/>
        <v>PS'!</v>
      </c>
      <c r="F3739" s="5" t="str">
        <f t="shared" si="847"/>
        <v>C:\Users\jaime.benazar\Quorum Business Solutions\Ecopetrol Prometeo - Documents\Planning Space Implementation\3. Analysis &amp; Design\Design\FC22\DRR Jaime\QUIFA-CAJÚA\Cajua\[VAS_CAJUA_CF_SEC_20230125.xlsx]CF PS'!</v>
      </c>
      <c r="G3739" s="6" t="s">
        <v>59</v>
      </c>
      <c r="H3739" s="1">
        <f t="shared" si="856"/>
        <v>49</v>
      </c>
      <c r="I3739" s="1" t="str">
        <f t="shared" si="855"/>
        <v>='C:\Users\jaime.benazar\Quorum Business Solutions\Ecopetrol Prometeo - Documents\Planning Space Implementation\3. Analysis &amp; Design\Design\FC22\DRR Jaime\QUIFA-CAJÚA\Cajua\[VAS_CAJUA_CF_SEC_20230125.xlsx]CF PS'!$BB$49</v>
      </c>
      <c r="J3739" s="1" t="s">
        <v>1770</v>
      </c>
    </row>
    <row r="3740" spans="1:10" x14ac:dyDescent="0.25">
      <c r="A3740" s="6" t="s">
        <v>34</v>
      </c>
      <c r="B3740" s="6">
        <f>+B3739+1</f>
        <v>2037</v>
      </c>
      <c r="C3740" s="1" t="s">
        <v>49</v>
      </c>
      <c r="D3740" s="2" t="s">
        <v>128</v>
      </c>
      <c r="E3740" s="9" t="str">
        <f t="shared" si="854"/>
        <v>PS'!</v>
      </c>
      <c r="F3740" s="5" t="str">
        <f t="shared" si="847"/>
        <v>C:\Users\jaime.benazar\Quorum Business Solutions\Ecopetrol Prometeo - Documents\Planning Space Implementation\3. Analysis &amp; Design\Design\FC22\DRR Jaime\QUIFA-CAJÚA\Cajua\[VAS_CAJUA_CF_SEC_20230125.xlsx]CF PS'!</v>
      </c>
      <c r="G3740" s="6" t="s">
        <v>59</v>
      </c>
      <c r="H3740" s="1">
        <f t="shared" si="856"/>
        <v>50</v>
      </c>
      <c r="I3740" s="1" t="str">
        <f t="shared" si="855"/>
        <v>='C:\Users\jaime.benazar\Quorum Business Solutions\Ecopetrol Prometeo - Documents\Planning Space Implementation\3. Analysis &amp; Design\Design\FC22\DRR Jaime\QUIFA-CAJÚA\Cajua\[VAS_CAJUA_CF_SEC_20230125.xlsx]CF PS'!$BB$50</v>
      </c>
      <c r="J3740" s="1" t="s">
        <v>1771</v>
      </c>
    </row>
    <row r="3741" spans="1:10" x14ac:dyDescent="0.25">
      <c r="A3741" s="6" t="s">
        <v>34</v>
      </c>
      <c r="B3741" s="6">
        <f t="shared" ref="B3741:B3743" si="858">+B3740+1</f>
        <v>2038</v>
      </c>
      <c r="C3741" s="1" t="s">
        <v>49</v>
      </c>
      <c r="D3741" s="2" t="s">
        <v>128</v>
      </c>
      <c r="E3741" s="9" t="str">
        <f t="shared" si="854"/>
        <v>PS'!</v>
      </c>
      <c r="F3741" s="5" t="str">
        <f t="shared" si="847"/>
        <v>C:\Users\jaime.benazar\Quorum Business Solutions\Ecopetrol Prometeo - Documents\Planning Space Implementation\3. Analysis &amp; Design\Design\FC22\DRR Jaime\QUIFA-CAJÚA\Cajua\[VAS_CAJUA_CF_SEC_20230125.xlsx]CF PS'!</v>
      </c>
      <c r="G3741" s="6" t="s">
        <v>59</v>
      </c>
      <c r="H3741" s="1">
        <f t="shared" si="856"/>
        <v>51</v>
      </c>
      <c r="I3741" s="1" t="str">
        <f t="shared" si="855"/>
        <v>='C:\Users\jaime.benazar\Quorum Business Solutions\Ecopetrol Prometeo - Documents\Planning Space Implementation\3. Analysis &amp; Design\Design\FC22\DRR Jaime\QUIFA-CAJÚA\Cajua\[VAS_CAJUA_CF_SEC_20230125.xlsx]CF PS'!$BB$51</v>
      </c>
      <c r="J3741" s="1" t="s">
        <v>1772</v>
      </c>
    </row>
    <row r="3742" spans="1:10" x14ac:dyDescent="0.25">
      <c r="A3742" s="6" t="s">
        <v>34</v>
      </c>
      <c r="B3742" s="6">
        <f t="shared" si="858"/>
        <v>2039</v>
      </c>
      <c r="C3742" s="1" t="s">
        <v>49</v>
      </c>
      <c r="D3742" s="2" t="s">
        <v>128</v>
      </c>
      <c r="E3742" s="9" t="str">
        <f t="shared" si="854"/>
        <v>PS'!</v>
      </c>
      <c r="F3742" s="5" t="str">
        <f t="shared" si="847"/>
        <v>C:\Users\jaime.benazar\Quorum Business Solutions\Ecopetrol Prometeo - Documents\Planning Space Implementation\3. Analysis &amp; Design\Design\FC22\DRR Jaime\QUIFA-CAJÚA\Cajua\[VAS_CAJUA_CF_SEC_20230125.xlsx]CF PS'!</v>
      </c>
      <c r="G3742" s="6" t="s">
        <v>59</v>
      </c>
      <c r="H3742" s="1">
        <f t="shared" si="856"/>
        <v>52</v>
      </c>
      <c r="I3742" s="1" t="str">
        <f t="shared" si="855"/>
        <v>='C:\Users\jaime.benazar\Quorum Business Solutions\Ecopetrol Prometeo - Documents\Planning Space Implementation\3. Analysis &amp; Design\Design\FC22\DRR Jaime\QUIFA-CAJÚA\Cajua\[VAS_CAJUA_CF_SEC_20230125.xlsx]CF PS'!$BB$52</v>
      </c>
      <c r="J3742" s="1" t="s">
        <v>1773</v>
      </c>
    </row>
    <row r="3743" spans="1:10" x14ac:dyDescent="0.25">
      <c r="A3743" s="6" t="s">
        <v>34</v>
      </c>
      <c r="B3743" s="6">
        <f t="shared" si="858"/>
        <v>2040</v>
      </c>
      <c r="C3743" s="1" t="s">
        <v>49</v>
      </c>
      <c r="D3743" s="2" t="s">
        <v>128</v>
      </c>
      <c r="E3743" s="9" t="str">
        <f t="shared" si="854"/>
        <v>PS'!</v>
      </c>
      <c r="F3743" s="5" t="str">
        <f t="shared" si="847"/>
        <v>C:\Users\jaime.benazar\Quorum Business Solutions\Ecopetrol Prometeo - Documents\Planning Space Implementation\3. Analysis &amp; Design\Design\FC22\DRR Jaime\QUIFA-CAJÚA\Cajua\[VAS_CAJUA_CF_SEC_20230125.xlsx]CF PS'!</v>
      </c>
      <c r="G3743" s="6" t="s">
        <v>59</v>
      </c>
      <c r="H3743" s="1">
        <f t="shared" si="856"/>
        <v>53</v>
      </c>
      <c r="I3743" s="1" t="str">
        <f t="shared" si="855"/>
        <v>='C:\Users\jaime.benazar\Quorum Business Solutions\Ecopetrol Prometeo - Documents\Planning Space Implementation\3. Analysis &amp; Design\Design\FC22\DRR Jaime\QUIFA-CAJÚA\Cajua\[VAS_CAJUA_CF_SEC_20230125.xlsx]CF PS'!$BB$53</v>
      </c>
      <c r="J3743" s="1" t="s">
        <v>1774</v>
      </c>
    </row>
    <row r="3744" spans="1:10" x14ac:dyDescent="0.25">
      <c r="A3744" s="6" t="s">
        <v>34</v>
      </c>
      <c r="B3744" s="6">
        <f>+B3743+1</f>
        <v>2041</v>
      </c>
      <c r="C3744" s="1" t="s">
        <v>49</v>
      </c>
      <c r="D3744" s="2" t="s">
        <v>128</v>
      </c>
      <c r="E3744" s="9" t="str">
        <f t="shared" si="854"/>
        <v>PS'!</v>
      </c>
      <c r="F3744" s="5" t="str">
        <f t="shared" si="847"/>
        <v>C:\Users\jaime.benazar\Quorum Business Solutions\Ecopetrol Prometeo - Documents\Planning Space Implementation\3. Analysis &amp; Design\Design\FC22\DRR Jaime\QUIFA-CAJÚA\Cajua\[VAS_CAJUA_CF_SEC_20230125.xlsx]CF PS'!</v>
      </c>
      <c r="G3744" s="6" t="s">
        <v>59</v>
      </c>
      <c r="H3744" s="1">
        <f t="shared" si="856"/>
        <v>54</v>
      </c>
      <c r="I3744" s="1" t="str">
        <f t="shared" si="855"/>
        <v>='C:\Users\jaime.benazar\Quorum Business Solutions\Ecopetrol Prometeo - Documents\Planning Space Implementation\3. Analysis &amp; Design\Design\FC22\DRR Jaime\QUIFA-CAJÚA\Cajua\[VAS_CAJUA_CF_SEC_20230125.xlsx]CF PS'!$BB$54</v>
      </c>
      <c r="J3744" s="1" t="s">
        <v>1775</v>
      </c>
    </row>
    <row r="3745" spans="1:10" x14ac:dyDescent="0.25">
      <c r="A3745" s="6" t="s">
        <v>34</v>
      </c>
      <c r="B3745" s="6">
        <f t="shared" ref="B3745:B3746" si="859">+B3744+1</f>
        <v>2042</v>
      </c>
      <c r="C3745" s="1" t="s">
        <v>49</v>
      </c>
      <c r="D3745" s="2" t="s">
        <v>128</v>
      </c>
      <c r="E3745" s="9" t="str">
        <f t="shared" si="854"/>
        <v>PS'!</v>
      </c>
      <c r="F3745" s="5" t="str">
        <f t="shared" si="847"/>
        <v>C:\Users\jaime.benazar\Quorum Business Solutions\Ecopetrol Prometeo - Documents\Planning Space Implementation\3. Analysis &amp; Design\Design\FC22\DRR Jaime\QUIFA-CAJÚA\Cajua\[VAS_CAJUA_CF_SEC_20230125.xlsx]CF PS'!</v>
      </c>
      <c r="G3745" s="6" t="s">
        <v>59</v>
      </c>
      <c r="H3745" s="1">
        <f t="shared" si="856"/>
        <v>55</v>
      </c>
      <c r="I3745" s="1" t="str">
        <f t="shared" si="855"/>
        <v>='C:\Users\jaime.benazar\Quorum Business Solutions\Ecopetrol Prometeo - Documents\Planning Space Implementation\3. Analysis &amp; Design\Design\FC22\DRR Jaime\QUIFA-CAJÚA\Cajua\[VAS_CAJUA_CF_SEC_20230125.xlsx]CF PS'!$BB$55</v>
      </c>
      <c r="J3745" s="1" t="s">
        <v>1776</v>
      </c>
    </row>
    <row r="3746" spans="1:10" x14ac:dyDescent="0.25">
      <c r="A3746" s="6" t="s">
        <v>34</v>
      </c>
      <c r="B3746" s="6">
        <f t="shared" si="859"/>
        <v>2043</v>
      </c>
      <c r="C3746" s="1" t="s">
        <v>49</v>
      </c>
      <c r="D3746" s="2" t="s">
        <v>128</v>
      </c>
      <c r="E3746" s="9" t="str">
        <f t="shared" si="854"/>
        <v>PS'!</v>
      </c>
      <c r="F3746" s="5" t="str">
        <f t="shared" si="847"/>
        <v>C:\Users\jaime.benazar\Quorum Business Solutions\Ecopetrol Prometeo - Documents\Planning Space Implementation\3. Analysis &amp; Design\Design\FC22\DRR Jaime\QUIFA-CAJÚA\Cajua\[VAS_CAJUA_CF_SEC_20230125.xlsx]CF PS'!</v>
      </c>
      <c r="G3746" s="6" t="s">
        <v>59</v>
      </c>
      <c r="H3746" s="1">
        <f t="shared" si="856"/>
        <v>56</v>
      </c>
      <c r="I3746" s="1" t="str">
        <f t="shared" si="855"/>
        <v>='C:\Users\jaime.benazar\Quorum Business Solutions\Ecopetrol Prometeo - Documents\Planning Space Implementation\3. Analysis &amp; Design\Design\FC22\DRR Jaime\QUIFA-CAJÚA\Cajua\[VAS_CAJUA_CF_SEC_20230125.xlsx]CF PS'!$BB$56</v>
      </c>
      <c r="J3746" s="1" t="s">
        <v>1777</v>
      </c>
    </row>
    <row r="3747" spans="1:10" x14ac:dyDescent="0.25">
      <c r="A3747" s="6" t="s">
        <v>34</v>
      </c>
      <c r="B3747" s="6">
        <f>+B3746+1</f>
        <v>2044</v>
      </c>
      <c r="C3747" s="1" t="s">
        <v>49</v>
      </c>
      <c r="D3747" s="2" t="s">
        <v>128</v>
      </c>
      <c r="E3747" s="9" t="str">
        <f t="shared" ref="E3747:E3762" si="860">_xlfn.CONCAT(A3747,"'!")</f>
        <v>PS'!</v>
      </c>
      <c r="F3747" s="5" t="str">
        <f t="shared" ref="F3747:F3762" si="861">_xlfn.CONCAT(D3747," ",E3747)</f>
        <v>C:\Users\jaime.benazar\Quorum Business Solutions\Ecopetrol Prometeo - Documents\Planning Space Implementation\3. Analysis &amp; Design\Design\FC22\DRR Jaime\QUIFA-CAJÚA\Cajua\[VAS_CAJUA_CF_SEC_20230125.xlsx]CF PS'!</v>
      </c>
      <c r="G3747" s="6" t="s">
        <v>59</v>
      </c>
      <c r="H3747" s="1">
        <f t="shared" ref="H3747:H3762" si="862">IF(A3747&lt;&gt;A3746,36,H3746+1)</f>
        <v>57</v>
      </c>
      <c r="I3747" s="1" t="str">
        <f t="shared" ref="I3747:I3762" si="863">_xlfn.CONCAT("='",F3747:H3747)</f>
        <v>='C:\Users\jaime.benazar\Quorum Business Solutions\Ecopetrol Prometeo - Documents\Planning Space Implementation\3. Analysis &amp; Design\Design\FC22\DRR Jaime\QUIFA-CAJÚA\Cajua\[VAS_CAJUA_CF_SEC_20230125.xlsx]CF PS'!$BB$57</v>
      </c>
      <c r="J3747" s="1" t="s">
        <v>1778</v>
      </c>
    </row>
    <row r="3748" spans="1:10" x14ac:dyDescent="0.25">
      <c r="A3748" s="6" t="s">
        <v>34</v>
      </c>
      <c r="B3748" s="6">
        <f t="shared" ref="B3748:B3762" si="864">+B3747+1</f>
        <v>2045</v>
      </c>
      <c r="C3748" s="1" t="s">
        <v>49</v>
      </c>
      <c r="D3748" s="2" t="s">
        <v>128</v>
      </c>
      <c r="E3748" s="9" t="str">
        <f t="shared" si="860"/>
        <v>PS'!</v>
      </c>
      <c r="F3748" s="5" t="str">
        <f t="shared" si="861"/>
        <v>C:\Users\jaime.benazar\Quorum Business Solutions\Ecopetrol Prometeo - Documents\Planning Space Implementation\3. Analysis &amp; Design\Design\FC22\DRR Jaime\QUIFA-CAJÚA\Cajua\[VAS_CAJUA_CF_SEC_20230125.xlsx]CF PS'!</v>
      </c>
      <c r="G3748" s="6" t="s">
        <v>59</v>
      </c>
      <c r="H3748" s="1">
        <f t="shared" si="862"/>
        <v>58</v>
      </c>
      <c r="I3748" s="1" t="str">
        <f t="shared" si="863"/>
        <v>='C:\Users\jaime.benazar\Quorum Business Solutions\Ecopetrol Prometeo - Documents\Planning Space Implementation\3. Analysis &amp; Design\Design\FC22\DRR Jaime\QUIFA-CAJÚA\Cajua\[VAS_CAJUA_CF_SEC_20230125.xlsx]CF PS'!$BB$58</v>
      </c>
      <c r="J3748" s="1" t="s">
        <v>1779</v>
      </c>
    </row>
    <row r="3749" spans="1:10" x14ac:dyDescent="0.25">
      <c r="A3749" s="6" t="s">
        <v>34</v>
      </c>
      <c r="B3749" s="6">
        <f t="shared" si="864"/>
        <v>2046</v>
      </c>
      <c r="C3749" s="1" t="s">
        <v>49</v>
      </c>
      <c r="D3749" s="2" t="s">
        <v>128</v>
      </c>
      <c r="E3749" s="9" t="str">
        <f t="shared" si="860"/>
        <v>PS'!</v>
      </c>
      <c r="F3749" s="5" t="str">
        <f t="shared" si="861"/>
        <v>C:\Users\jaime.benazar\Quorum Business Solutions\Ecopetrol Prometeo - Documents\Planning Space Implementation\3. Analysis &amp; Design\Design\FC22\DRR Jaime\QUIFA-CAJÚA\Cajua\[VAS_CAJUA_CF_SEC_20230125.xlsx]CF PS'!</v>
      </c>
      <c r="G3749" s="6" t="s">
        <v>59</v>
      </c>
      <c r="H3749" s="1">
        <f t="shared" si="862"/>
        <v>59</v>
      </c>
      <c r="I3749" s="1" t="str">
        <f t="shared" si="863"/>
        <v>='C:\Users\jaime.benazar\Quorum Business Solutions\Ecopetrol Prometeo - Documents\Planning Space Implementation\3. Analysis &amp; Design\Design\FC22\DRR Jaime\QUIFA-CAJÚA\Cajua\[VAS_CAJUA_CF_SEC_20230125.xlsx]CF PS'!$BB$59</v>
      </c>
      <c r="J3749" s="1" t="s">
        <v>1780</v>
      </c>
    </row>
    <row r="3750" spans="1:10" x14ac:dyDescent="0.25">
      <c r="A3750" s="6" t="s">
        <v>34</v>
      </c>
      <c r="B3750" s="6">
        <f t="shared" si="864"/>
        <v>2047</v>
      </c>
      <c r="C3750" s="1" t="s">
        <v>49</v>
      </c>
      <c r="D3750" s="2" t="s">
        <v>128</v>
      </c>
      <c r="E3750" s="9" t="str">
        <f t="shared" si="860"/>
        <v>PS'!</v>
      </c>
      <c r="F3750" s="5" t="str">
        <f t="shared" si="861"/>
        <v>C:\Users\jaime.benazar\Quorum Business Solutions\Ecopetrol Prometeo - Documents\Planning Space Implementation\3. Analysis &amp; Design\Design\FC22\DRR Jaime\QUIFA-CAJÚA\Cajua\[VAS_CAJUA_CF_SEC_20230125.xlsx]CF PS'!</v>
      </c>
      <c r="G3750" s="6" t="s">
        <v>59</v>
      </c>
      <c r="H3750" s="1">
        <f t="shared" si="862"/>
        <v>60</v>
      </c>
      <c r="I3750" s="1" t="str">
        <f t="shared" si="863"/>
        <v>='C:\Users\jaime.benazar\Quorum Business Solutions\Ecopetrol Prometeo - Documents\Planning Space Implementation\3. Analysis &amp; Design\Design\FC22\DRR Jaime\QUIFA-CAJÚA\Cajua\[VAS_CAJUA_CF_SEC_20230125.xlsx]CF PS'!$BB$60</v>
      </c>
      <c r="J3750" s="1" t="s">
        <v>1781</v>
      </c>
    </row>
    <row r="3751" spans="1:10" x14ac:dyDescent="0.25">
      <c r="A3751" s="6" t="s">
        <v>34</v>
      </c>
      <c r="B3751" s="6">
        <f t="shared" si="864"/>
        <v>2048</v>
      </c>
      <c r="C3751" s="1" t="s">
        <v>49</v>
      </c>
      <c r="D3751" s="2" t="s">
        <v>128</v>
      </c>
      <c r="E3751" s="9" t="str">
        <f t="shared" si="860"/>
        <v>PS'!</v>
      </c>
      <c r="F3751" s="5" t="str">
        <f t="shared" si="861"/>
        <v>C:\Users\jaime.benazar\Quorum Business Solutions\Ecopetrol Prometeo - Documents\Planning Space Implementation\3. Analysis &amp; Design\Design\FC22\DRR Jaime\QUIFA-CAJÚA\Cajua\[VAS_CAJUA_CF_SEC_20230125.xlsx]CF PS'!</v>
      </c>
      <c r="G3751" s="6" t="s">
        <v>59</v>
      </c>
      <c r="H3751" s="1">
        <f t="shared" si="862"/>
        <v>61</v>
      </c>
      <c r="I3751" s="1" t="str">
        <f t="shared" si="863"/>
        <v>='C:\Users\jaime.benazar\Quorum Business Solutions\Ecopetrol Prometeo - Documents\Planning Space Implementation\3. Analysis &amp; Design\Design\FC22\DRR Jaime\QUIFA-CAJÚA\Cajua\[VAS_CAJUA_CF_SEC_20230125.xlsx]CF PS'!$BB$61</v>
      </c>
      <c r="J3751" s="1" t="s">
        <v>1782</v>
      </c>
    </row>
    <row r="3752" spans="1:10" x14ac:dyDescent="0.25">
      <c r="A3752" s="6" t="s">
        <v>34</v>
      </c>
      <c r="B3752" s="6">
        <f t="shared" si="864"/>
        <v>2049</v>
      </c>
      <c r="C3752" s="1" t="s">
        <v>49</v>
      </c>
      <c r="D3752" s="2" t="s">
        <v>128</v>
      </c>
      <c r="E3752" s="9" t="str">
        <f t="shared" si="860"/>
        <v>PS'!</v>
      </c>
      <c r="F3752" s="5" t="str">
        <f t="shared" si="861"/>
        <v>C:\Users\jaime.benazar\Quorum Business Solutions\Ecopetrol Prometeo - Documents\Planning Space Implementation\3. Analysis &amp; Design\Design\FC22\DRR Jaime\QUIFA-CAJÚA\Cajua\[VAS_CAJUA_CF_SEC_20230125.xlsx]CF PS'!</v>
      </c>
      <c r="G3752" s="6" t="s">
        <v>59</v>
      </c>
      <c r="H3752" s="1">
        <f t="shared" si="862"/>
        <v>62</v>
      </c>
      <c r="I3752" s="1" t="str">
        <f t="shared" si="863"/>
        <v>='C:\Users\jaime.benazar\Quorum Business Solutions\Ecopetrol Prometeo - Documents\Planning Space Implementation\3. Analysis &amp; Design\Design\FC22\DRR Jaime\QUIFA-CAJÚA\Cajua\[VAS_CAJUA_CF_SEC_20230125.xlsx]CF PS'!$BB$62</v>
      </c>
      <c r="J3752" s="1" t="s">
        <v>1783</v>
      </c>
    </row>
    <row r="3753" spans="1:10" x14ac:dyDescent="0.25">
      <c r="A3753" s="6" t="s">
        <v>34</v>
      </c>
      <c r="B3753" s="6">
        <f t="shared" si="864"/>
        <v>2050</v>
      </c>
      <c r="C3753" s="1" t="s">
        <v>49</v>
      </c>
      <c r="D3753" s="2" t="s">
        <v>128</v>
      </c>
      <c r="E3753" s="9" t="str">
        <f t="shared" si="860"/>
        <v>PS'!</v>
      </c>
      <c r="F3753" s="5" t="str">
        <f t="shared" si="861"/>
        <v>C:\Users\jaime.benazar\Quorum Business Solutions\Ecopetrol Prometeo - Documents\Planning Space Implementation\3. Analysis &amp; Design\Design\FC22\DRR Jaime\QUIFA-CAJÚA\Cajua\[VAS_CAJUA_CF_SEC_20230125.xlsx]CF PS'!</v>
      </c>
      <c r="G3753" s="6" t="s">
        <v>59</v>
      </c>
      <c r="H3753" s="1">
        <f t="shared" si="862"/>
        <v>63</v>
      </c>
      <c r="I3753" s="1" t="str">
        <f t="shared" si="863"/>
        <v>='C:\Users\jaime.benazar\Quorum Business Solutions\Ecopetrol Prometeo - Documents\Planning Space Implementation\3. Analysis &amp; Design\Design\FC22\DRR Jaime\QUIFA-CAJÚA\Cajua\[VAS_CAJUA_CF_SEC_20230125.xlsx]CF PS'!$BB$63</v>
      </c>
      <c r="J3753" s="1" t="s">
        <v>1784</v>
      </c>
    </row>
    <row r="3754" spans="1:10" x14ac:dyDescent="0.25">
      <c r="A3754" s="6" t="s">
        <v>34</v>
      </c>
      <c r="B3754" s="6">
        <f t="shared" si="864"/>
        <v>2051</v>
      </c>
      <c r="C3754" s="1" t="s">
        <v>49</v>
      </c>
      <c r="D3754" s="2" t="s">
        <v>128</v>
      </c>
      <c r="E3754" s="9" t="str">
        <f t="shared" si="860"/>
        <v>PS'!</v>
      </c>
      <c r="F3754" s="5" t="str">
        <f t="shared" si="861"/>
        <v>C:\Users\jaime.benazar\Quorum Business Solutions\Ecopetrol Prometeo - Documents\Planning Space Implementation\3. Analysis &amp; Design\Design\FC22\DRR Jaime\QUIFA-CAJÚA\Cajua\[VAS_CAJUA_CF_SEC_20230125.xlsx]CF PS'!</v>
      </c>
      <c r="G3754" s="6" t="s">
        <v>59</v>
      </c>
      <c r="H3754" s="1">
        <f t="shared" si="862"/>
        <v>64</v>
      </c>
      <c r="I3754" s="1" t="str">
        <f t="shared" si="863"/>
        <v>='C:\Users\jaime.benazar\Quorum Business Solutions\Ecopetrol Prometeo - Documents\Planning Space Implementation\3. Analysis &amp; Design\Design\FC22\DRR Jaime\QUIFA-CAJÚA\Cajua\[VAS_CAJUA_CF_SEC_20230125.xlsx]CF PS'!$BB$64</v>
      </c>
      <c r="J3754" s="1" t="s">
        <v>1785</v>
      </c>
    </row>
    <row r="3755" spans="1:10" x14ac:dyDescent="0.25">
      <c r="A3755" s="6" t="s">
        <v>34</v>
      </c>
      <c r="B3755" s="6">
        <f t="shared" si="864"/>
        <v>2052</v>
      </c>
      <c r="C3755" s="1" t="s">
        <v>49</v>
      </c>
      <c r="D3755" s="2" t="s">
        <v>128</v>
      </c>
      <c r="E3755" s="9" t="str">
        <f t="shared" si="860"/>
        <v>PS'!</v>
      </c>
      <c r="F3755" s="5" t="str">
        <f t="shared" si="861"/>
        <v>C:\Users\jaime.benazar\Quorum Business Solutions\Ecopetrol Prometeo - Documents\Planning Space Implementation\3. Analysis &amp; Design\Design\FC22\DRR Jaime\QUIFA-CAJÚA\Cajua\[VAS_CAJUA_CF_SEC_20230125.xlsx]CF PS'!</v>
      </c>
      <c r="G3755" s="6" t="s">
        <v>59</v>
      </c>
      <c r="H3755" s="1">
        <f t="shared" si="862"/>
        <v>65</v>
      </c>
      <c r="I3755" s="1" t="str">
        <f t="shared" si="863"/>
        <v>='C:\Users\jaime.benazar\Quorum Business Solutions\Ecopetrol Prometeo - Documents\Planning Space Implementation\3. Analysis &amp; Design\Design\FC22\DRR Jaime\QUIFA-CAJÚA\Cajua\[VAS_CAJUA_CF_SEC_20230125.xlsx]CF PS'!$BB$65</v>
      </c>
      <c r="J3755" s="1" t="s">
        <v>1786</v>
      </c>
    </row>
    <row r="3756" spans="1:10" x14ac:dyDescent="0.25">
      <c r="A3756" s="6" t="s">
        <v>34</v>
      </c>
      <c r="B3756" s="6">
        <f t="shared" si="864"/>
        <v>2053</v>
      </c>
      <c r="C3756" s="1" t="s">
        <v>49</v>
      </c>
      <c r="D3756" s="2" t="s">
        <v>128</v>
      </c>
      <c r="E3756" s="9" t="str">
        <f t="shared" si="860"/>
        <v>PS'!</v>
      </c>
      <c r="F3756" s="5" t="str">
        <f t="shared" si="861"/>
        <v>C:\Users\jaime.benazar\Quorum Business Solutions\Ecopetrol Prometeo - Documents\Planning Space Implementation\3. Analysis &amp; Design\Design\FC22\DRR Jaime\QUIFA-CAJÚA\Cajua\[VAS_CAJUA_CF_SEC_20230125.xlsx]CF PS'!</v>
      </c>
      <c r="G3756" s="6" t="s">
        <v>59</v>
      </c>
      <c r="H3756" s="1">
        <f t="shared" si="862"/>
        <v>66</v>
      </c>
      <c r="I3756" s="1" t="str">
        <f t="shared" si="863"/>
        <v>='C:\Users\jaime.benazar\Quorum Business Solutions\Ecopetrol Prometeo - Documents\Planning Space Implementation\3. Analysis &amp; Design\Design\FC22\DRR Jaime\QUIFA-CAJÚA\Cajua\[VAS_CAJUA_CF_SEC_20230125.xlsx]CF PS'!$BB$66</v>
      </c>
      <c r="J3756" s="1" t="s">
        <v>1787</v>
      </c>
    </row>
    <row r="3757" spans="1:10" x14ac:dyDescent="0.25">
      <c r="A3757" s="6" t="s">
        <v>34</v>
      </c>
      <c r="B3757" s="6">
        <f t="shared" si="864"/>
        <v>2054</v>
      </c>
      <c r="C3757" s="1" t="s">
        <v>49</v>
      </c>
      <c r="D3757" s="2" t="s">
        <v>128</v>
      </c>
      <c r="E3757" s="9" t="str">
        <f t="shared" si="860"/>
        <v>PS'!</v>
      </c>
      <c r="F3757" s="5" t="str">
        <f t="shared" si="861"/>
        <v>C:\Users\jaime.benazar\Quorum Business Solutions\Ecopetrol Prometeo - Documents\Planning Space Implementation\3. Analysis &amp; Design\Design\FC22\DRR Jaime\QUIFA-CAJÚA\Cajua\[VAS_CAJUA_CF_SEC_20230125.xlsx]CF PS'!</v>
      </c>
      <c r="G3757" s="6" t="s">
        <v>59</v>
      </c>
      <c r="H3757" s="1">
        <f t="shared" si="862"/>
        <v>67</v>
      </c>
      <c r="I3757" s="1" t="str">
        <f t="shared" si="863"/>
        <v>='C:\Users\jaime.benazar\Quorum Business Solutions\Ecopetrol Prometeo - Documents\Planning Space Implementation\3. Analysis &amp; Design\Design\FC22\DRR Jaime\QUIFA-CAJÚA\Cajua\[VAS_CAJUA_CF_SEC_20230125.xlsx]CF PS'!$BB$67</v>
      </c>
      <c r="J3757" s="1" t="s">
        <v>1788</v>
      </c>
    </row>
    <row r="3758" spans="1:10" x14ac:dyDescent="0.25">
      <c r="A3758" s="6" t="s">
        <v>34</v>
      </c>
      <c r="B3758" s="6">
        <f t="shared" si="864"/>
        <v>2055</v>
      </c>
      <c r="C3758" s="1" t="s">
        <v>49</v>
      </c>
      <c r="D3758" s="2" t="s">
        <v>128</v>
      </c>
      <c r="E3758" s="9" t="str">
        <f t="shared" si="860"/>
        <v>PS'!</v>
      </c>
      <c r="F3758" s="5" t="str">
        <f t="shared" si="861"/>
        <v>C:\Users\jaime.benazar\Quorum Business Solutions\Ecopetrol Prometeo - Documents\Planning Space Implementation\3. Analysis &amp; Design\Design\FC22\DRR Jaime\QUIFA-CAJÚA\Cajua\[VAS_CAJUA_CF_SEC_20230125.xlsx]CF PS'!</v>
      </c>
      <c r="G3758" s="6" t="s">
        <v>59</v>
      </c>
      <c r="H3758" s="1">
        <f t="shared" si="862"/>
        <v>68</v>
      </c>
      <c r="I3758" s="1" t="str">
        <f t="shared" si="863"/>
        <v>='C:\Users\jaime.benazar\Quorum Business Solutions\Ecopetrol Prometeo - Documents\Planning Space Implementation\3. Analysis &amp; Design\Design\FC22\DRR Jaime\QUIFA-CAJÚA\Cajua\[VAS_CAJUA_CF_SEC_20230125.xlsx]CF PS'!$BB$68</v>
      </c>
      <c r="J3758" s="1" t="s">
        <v>1789</v>
      </c>
    </row>
    <row r="3759" spans="1:10" x14ac:dyDescent="0.25">
      <c r="A3759" s="6" t="s">
        <v>34</v>
      </c>
      <c r="B3759" s="6">
        <f t="shared" si="864"/>
        <v>2056</v>
      </c>
      <c r="C3759" s="1" t="s">
        <v>49</v>
      </c>
      <c r="D3759" s="2" t="s">
        <v>128</v>
      </c>
      <c r="E3759" s="9" t="str">
        <f t="shared" si="860"/>
        <v>PS'!</v>
      </c>
      <c r="F3759" s="5" t="str">
        <f t="shared" si="861"/>
        <v>C:\Users\jaime.benazar\Quorum Business Solutions\Ecopetrol Prometeo - Documents\Planning Space Implementation\3. Analysis &amp; Design\Design\FC22\DRR Jaime\QUIFA-CAJÚA\Cajua\[VAS_CAJUA_CF_SEC_20230125.xlsx]CF PS'!</v>
      </c>
      <c r="G3759" s="6" t="s">
        <v>59</v>
      </c>
      <c r="H3759" s="1">
        <f t="shared" si="862"/>
        <v>69</v>
      </c>
      <c r="I3759" s="1" t="str">
        <f t="shared" si="863"/>
        <v>='C:\Users\jaime.benazar\Quorum Business Solutions\Ecopetrol Prometeo - Documents\Planning Space Implementation\3. Analysis &amp; Design\Design\FC22\DRR Jaime\QUIFA-CAJÚA\Cajua\[VAS_CAJUA_CF_SEC_20230125.xlsx]CF PS'!$BB$69</v>
      </c>
      <c r="J3759" s="1" t="s">
        <v>1790</v>
      </c>
    </row>
    <row r="3760" spans="1:10" x14ac:dyDescent="0.25">
      <c r="A3760" s="6" t="s">
        <v>34</v>
      </c>
      <c r="B3760" s="6">
        <f t="shared" si="864"/>
        <v>2057</v>
      </c>
      <c r="C3760" s="1" t="s">
        <v>49</v>
      </c>
      <c r="D3760" s="2" t="s">
        <v>128</v>
      </c>
      <c r="E3760" s="9" t="str">
        <f t="shared" si="860"/>
        <v>PS'!</v>
      </c>
      <c r="F3760" s="5" t="str">
        <f t="shared" si="861"/>
        <v>C:\Users\jaime.benazar\Quorum Business Solutions\Ecopetrol Prometeo - Documents\Planning Space Implementation\3. Analysis &amp; Design\Design\FC22\DRR Jaime\QUIFA-CAJÚA\Cajua\[VAS_CAJUA_CF_SEC_20230125.xlsx]CF PS'!</v>
      </c>
      <c r="G3760" s="6" t="s">
        <v>59</v>
      </c>
      <c r="H3760" s="1">
        <f t="shared" si="862"/>
        <v>70</v>
      </c>
      <c r="I3760" s="1" t="str">
        <f t="shared" si="863"/>
        <v>='C:\Users\jaime.benazar\Quorum Business Solutions\Ecopetrol Prometeo - Documents\Planning Space Implementation\3. Analysis &amp; Design\Design\FC22\DRR Jaime\QUIFA-CAJÚA\Cajua\[VAS_CAJUA_CF_SEC_20230125.xlsx]CF PS'!$BB$70</v>
      </c>
      <c r="J3760" s="1" t="s">
        <v>1791</v>
      </c>
    </row>
    <row r="3761" spans="1:10" x14ac:dyDescent="0.25">
      <c r="A3761" s="6" t="s">
        <v>34</v>
      </c>
      <c r="B3761" s="6">
        <f t="shared" si="864"/>
        <v>2058</v>
      </c>
      <c r="C3761" s="1" t="s">
        <v>49</v>
      </c>
      <c r="D3761" s="2" t="s">
        <v>128</v>
      </c>
      <c r="E3761" s="9" t="str">
        <f t="shared" si="860"/>
        <v>PS'!</v>
      </c>
      <c r="F3761" s="5" t="str">
        <f t="shared" si="861"/>
        <v>C:\Users\jaime.benazar\Quorum Business Solutions\Ecopetrol Prometeo - Documents\Planning Space Implementation\3. Analysis &amp; Design\Design\FC22\DRR Jaime\QUIFA-CAJÚA\Cajua\[VAS_CAJUA_CF_SEC_20230125.xlsx]CF PS'!</v>
      </c>
      <c r="G3761" s="6" t="s">
        <v>59</v>
      </c>
      <c r="H3761" s="1">
        <f t="shared" si="862"/>
        <v>71</v>
      </c>
      <c r="I3761" s="1" t="str">
        <f t="shared" si="863"/>
        <v>='C:\Users\jaime.benazar\Quorum Business Solutions\Ecopetrol Prometeo - Documents\Planning Space Implementation\3. Analysis &amp; Design\Design\FC22\DRR Jaime\QUIFA-CAJÚA\Cajua\[VAS_CAJUA_CF_SEC_20230125.xlsx]CF PS'!$BB$71</v>
      </c>
      <c r="J3761" s="1" t="s">
        <v>1792</v>
      </c>
    </row>
    <row r="3762" spans="1:10" x14ac:dyDescent="0.25">
      <c r="A3762" s="6" t="s">
        <v>34</v>
      </c>
      <c r="B3762" s="6">
        <f t="shared" si="864"/>
        <v>2059</v>
      </c>
      <c r="C3762" s="1" t="s">
        <v>49</v>
      </c>
      <c r="D3762" s="2" t="s">
        <v>128</v>
      </c>
      <c r="E3762" s="9" t="str">
        <f t="shared" si="860"/>
        <v>PS'!</v>
      </c>
      <c r="F3762" s="5" t="str">
        <f t="shared" si="861"/>
        <v>C:\Users\jaime.benazar\Quorum Business Solutions\Ecopetrol Prometeo - Documents\Planning Space Implementation\3. Analysis &amp; Design\Design\FC22\DRR Jaime\QUIFA-CAJÚA\Cajua\[VAS_CAJUA_CF_SEC_20230125.xlsx]CF PS'!</v>
      </c>
      <c r="G3762" s="6" t="s">
        <v>59</v>
      </c>
      <c r="H3762" s="1">
        <f t="shared" si="862"/>
        <v>72</v>
      </c>
      <c r="I3762" s="1" t="str">
        <f t="shared" si="863"/>
        <v>='C:\Users\jaime.benazar\Quorum Business Solutions\Ecopetrol Prometeo - Documents\Planning Space Implementation\3. Analysis &amp; Design\Design\FC22\DRR Jaime\QUIFA-CAJÚA\Cajua\[VAS_CAJUA_CF_SEC_20230125.xlsx]CF PS'!$BB$72</v>
      </c>
      <c r="J3762" s="1" t="s">
        <v>1793</v>
      </c>
    </row>
    <row r="3763" spans="1:10" x14ac:dyDescent="0.25">
      <c r="A3763" s="6" t="s">
        <v>28</v>
      </c>
      <c r="B3763" s="6"/>
      <c r="C3763" s="1" t="s">
        <v>49</v>
      </c>
      <c r="D3763" s="2"/>
      <c r="E3763" s="9"/>
      <c r="F3763" s="2"/>
      <c r="G3763" s="6"/>
      <c r="H3763" s="1"/>
      <c r="I3763" s="1"/>
      <c r="J3763" s="4"/>
    </row>
    <row r="3764" spans="1:10" x14ac:dyDescent="0.25">
      <c r="A3764" s="6" t="s">
        <v>1</v>
      </c>
      <c r="B3764" s="6">
        <v>2023</v>
      </c>
      <c r="C3764" s="1" t="s">
        <v>109</v>
      </c>
      <c r="D3764" s="2" t="s">
        <v>128</v>
      </c>
      <c r="E3764" s="9" t="str">
        <f>_xlfn.CONCAT(A3764,"'!")</f>
        <v>PDP'!</v>
      </c>
      <c r="F3764" s="5" t="str">
        <f t="shared" ref="F3764:F3784" si="865">_xlfn.CONCAT(D3764," ",E3764)</f>
        <v>C:\Users\jaime.benazar\Quorum Business Solutions\Ecopetrol Prometeo - Documents\Planning Space Implementation\3. Analysis &amp; Design\Design\FC22\DRR Jaime\QUIFA-CAJÚA\Cajua\[VAS_CAJUA_CF_SEC_20230125.xlsx]CF PDP'!</v>
      </c>
      <c r="G3764" s="6" t="s">
        <v>60</v>
      </c>
      <c r="H3764" s="1">
        <f>IF(A3764&lt;&gt;A3763,36,H3763+1)</f>
        <v>36</v>
      </c>
      <c r="I3764" s="1" t="str">
        <f>_xlfn.CONCAT("='",F3764:H3764)</f>
        <v>='C:\Users\jaime.benazar\Quorum Business Solutions\Ecopetrol Prometeo - Documents\Planning Space Implementation\3. Analysis &amp; Design\Design\FC22\DRR Jaime\QUIFA-CAJÚA\Cajua\[VAS_CAJUA_CF_SEC_20230125.xlsx]CF PDP'!$BY$36</v>
      </c>
      <c r="J3764" s="12" t="s">
        <v>1794</v>
      </c>
    </row>
    <row r="3765" spans="1:10" x14ac:dyDescent="0.25">
      <c r="A3765" s="6" t="s">
        <v>1</v>
      </c>
      <c r="B3765" s="6">
        <f>+B3764+1</f>
        <v>2024</v>
      </c>
      <c r="C3765" s="1" t="s">
        <v>109</v>
      </c>
      <c r="D3765" s="2" t="s">
        <v>128</v>
      </c>
      <c r="E3765" s="9" t="str">
        <f t="shared" ref="E3765:E3822" si="866">_xlfn.CONCAT(A3765,"'!")</f>
        <v>PDP'!</v>
      </c>
      <c r="F3765" s="5" t="str">
        <f t="shared" si="865"/>
        <v>C:\Users\jaime.benazar\Quorum Business Solutions\Ecopetrol Prometeo - Documents\Planning Space Implementation\3. Analysis &amp; Design\Design\FC22\DRR Jaime\QUIFA-CAJÚA\Cajua\[VAS_CAJUA_CF_SEC_20230125.xlsx]CF PDP'!</v>
      </c>
      <c r="G3765" s="6" t="s">
        <v>60</v>
      </c>
      <c r="H3765" s="1">
        <f>IF(A3765&lt;&gt;A3764,36,H3764+1)</f>
        <v>37</v>
      </c>
      <c r="I3765" s="1" t="str">
        <f t="shared" ref="I3765:I3784" si="867">_xlfn.CONCAT("='",F3765:H3765)</f>
        <v>='C:\Users\jaime.benazar\Quorum Business Solutions\Ecopetrol Prometeo - Documents\Planning Space Implementation\3. Analysis &amp; Design\Design\FC22\DRR Jaime\QUIFA-CAJÚA\Cajua\[VAS_CAJUA_CF_SEC_20230125.xlsx]CF PDP'!$BY$37</v>
      </c>
      <c r="J3765" s="1" t="s">
        <v>1795</v>
      </c>
    </row>
    <row r="3766" spans="1:10" x14ac:dyDescent="0.25">
      <c r="A3766" s="6" t="s">
        <v>1</v>
      </c>
      <c r="B3766" s="6">
        <f t="shared" ref="B3766:B3800" si="868">+B3765+1</f>
        <v>2025</v>
      </c>
      <c r="C3766" s="1" t="s">
        <v>109</v>
      </c>
      <c r="D3766" s="2" t="s">
        <v>128</v>
      </c>
      <c r="E3766" s="9" t="str">
        <f t="shared" si="866"/>
        <v>PDP'!</v>
      </c>
      <c r="F3766" s="5" t="str">
        <f t="shared" si="865"/>
        <v>C:\Users\jaime.benazar\Quorum Business Solutions\Ecopetrol Prometeo - Documents\Planning Space Implementation\3. Analysis &amp; Design\Design\FC22\DRR Jaime\QUIFA-CAJÚA\Cajua\[VAS_CAJUA_CF_SEC_20230125.xlsx]CF PDP'!</v>
      </c>
      <c r="G3766" s="6" t="s">
        <v>60</v>
      </c>
      <c r="H3766" s="1">
        <f t="shared" ref="H3766:H3784" si="869">IF(A3766&lt;&gt;A3765,36,H3765+1)</f>
        <v>38</v>
      </c>
      <c r="I3766" s="1" t="str">
        <f t="shared" si="867"/>
        <v>='C:\Users\jaime.benazar\Quorum Business Solutions\Ecopetrol Prometeo - Documents\Planning Space Implementation\3. Analysis &amp; Design\Design\FC22\DRR Jaime\QUIFA-CAJÚA\Cajua\[VAS_CAJUA_CF_SEC_20230125.xlsx]CF PDP'!$BY$38</v>
      </c>
      <c r="J3766" s="1" t="s">
        <v>1796</v>
      </c>
    </row>
    <row r="3767" spans="1:10" x14ac:dyDescent="0.25">
      <c r="A3767" s="6" t="s">
        <v>1</v>
      </c>
      <c r="B3767" s="6">
        <f t="shared" si="868"/>
        <v>2026</v>
      </c>
      <c r="C3767" s="1" t="s">
        <v>109</v>
      </c>
      <c r="D3767" s="2" t="s">
        <v>128</v>
      </c>
      <c r="E3767" s="9" t="str">
        <f t="shared" si="866"/>
        <v>PDP'!</v>
      </c>
      <c r="F3767" s="5" t="str">
        <f t="shared" si="865"/>
        <v>C:\Users\jaime.benazar\Quorum Business Solutions\Ecopetrol Prometeo - Documents\Planning Space Implementation\3. Analysis &amp; Design\Design\FC22\DRR Jaime\QUIFA-CAJÚA\Cajua\[VAS_CAJUA_CF_SEC_20230125.xlsx]CF PDP'!</v>
      </c>
      <c r="G3767" s="6" t="s">
        <v>60</v>
      </c>
      <c r="H3767" s="1">
        <f t="shared" si="869"/>
        <v>39</v>
      </c>
      <c r="I3767" s="1" t="str">
        <f t="shared" si="867"/>
        <v>='C:\Users\jaime.benazar\Quorum Business Solutions\Ecopetrol Prometeo - Documents\Planning Space Implementation\3. Analysis &amp; Design\Design\FC22\DRR Jaime\QUIFA-CAJÚA\Cajua\[VAS_CAJUA_CF_SEC_20230125.xlsx]CF PDP'!$BY$39</v>
      </c>
      <c r="J3767" s="1" t="s">
        <v>1797</v>
      </c>
    </row>
    <row r="3768" spans="1:10" x14ac:dyDescent="0.25">
      <c r="A3768" s="6" t="s">
        <v>1</v>
      </c>
      <c r="B3768" s="6">
        <f t="shared" si="868"/>
        <v>2027</v>
      </c>
      <c r="C3768" s="1" t="s">
        <v>109</v>
      </c>
      <c r="D3768" s="2" t="s">
        <v>128</v>
      </c>
      <c r="E3768" s="9" t="str">
        <f t="shared" si="866"/>
        <v>PDP'!</v>
      </c>
      <c r="F3768" s="5" t="str">
        <f t="shared" si="865"/>
        <v>C:\Users\jaime.benazar\Quorum Business Solutions\Ecopetrol Prometeo - Documents\Planning Space Implementation\3. Analysis &amp; Design\Design\FC22\DRR Jaime\QUIFA-CAJÚA\Cajua\[VAS_CAJUA_CF_SEC_20230125.xlsx]CF PDP'!</v>
      </c>
      <c r="G3768" s="6" t="s">
        <v>60</v>
      </c>
      <c r="H3768" s="1">
        <f t="shared" si="869"/>
        <v>40</v>
      </c>
      <c r="I3768" s="1" t="str">
        <f t="shared" si="867"/>
        <v>='C:\Users\jaime.benazar\Quorum Business Solutions\Ecopetrol Prometeo - Documents\Planning Space Implementation\3. Analysis &amp; Design\Design\FC22\DRR Jaime\QUIFA-CAJÚA\Cajua\[VAS_CAJUA_CF_SEC_20230125.xlsx]CF PDP'!$BY$40</v>
      </c>
      <c r="J3768" s="1" t="s">
        <v>1798</v>
      </c>
    </row>
    <row r="3769" spans="1:10" x14ac:dyDescent="0.25">
      <c r="A3769" s="6" t="s">
        <v>1</v>
      </c>
      <c r="B3769" s="6">
        <f t="shared" si="868"/>
        <v>2028</v>
      </c>
      <c r="C3769" s="1" t="s">
        <v>109</v>
      </c>
      <c r="D3769" s="2" t="s">
        <v>128</v>
      </c>
      <c r="E3769" s="9" t="str">
        <f t="shared" si="866"/>
        <v>PDP'!</v>
      </c>
      <c r="F3769" s="5" t="str">
        <f t="shared" si="865"/>
        <v>C:\Users\jaime.benazar\Quorum Business Solutions\Ecopetrol Prometeo - Documents\Planning Space Implementation\3. Analysis &amp; Design\Design\FC22\DRR Jaime\QUIFA-CAJÚA\Cajua\[VAS_CAJUA_CF_SEC_20230125.xlsx]CF PDP'!</v>
      </c>
      <c r="G3769" s="6" t="s">
        <v>60</v>
      </c>
      <c r="H3769" s="1">
        <f t="shared" si="869"/>
        <v>41</v>
      </c>
      <c r="I3769" s="1" t="str">
        <f t="shared" si="867"/>
        <v>='C:\Users\jaime.benazar\Quorum Business Solutions\Ecopetrol Prometeo - Documents\Planning Space Implementation\3. Analysis &amp; Design\Design\FC22\DRR Jaime\QUIFA-CAJÚA\Cajua\[VAS_CAJUA_CF_SEC_20230125.xlsx]CF PDP'!$BY$41</v>
      </c>
      <c r="J3769" s="1" t="s">
        <v>1799</v>
      </c>
    </row>
    <row r="3770" spans="1:10" x14ac:dyDescent="0.25">
      <c r="A3770" s="6" t="s">
        <v>1</v>
      </c>
      <c r="B3770" s="6">
        <f t="shared" si="868"/>
        <v>2029</v>
      </c>
      <c r="C3770" s="1" t="s">
        <v>109</v>
      </c>
      <c r="D3770" s="2" t="s">
        <v>128</v>
      </c>
      <c r="E3770" s="9" t="str">
        <f t="shared" si="866"/>
        <v>PDP'!</v>
      </c>
      <c r="F3770" s="5" t="str">
        <f t="shared" si="865"/>
        <v>C:\Users\jaime.benazar\Quorum Business Solutions\Ecopetrol Prometeo - Documents\Planning Space Implementation\3. Analysis &amp; Design\Design\FC22\DRR Jaime\QUIFA-CAJÚA\Cajua\[VAS_CAJUA_CF_SEC_20230125.xlsx]CF PDP'!</v>
      </c>
      <c r="G3770" s="6" t="s">
        <v>60</v>
      </c>
      <c r="H3770" s="1">
        <f t="shared" si="869"/>
        <v>42</v>
      </c>
      <c r="I3770" s="1" t="str">
        <f t="shared" si="867"/>
        <v>='C:\Users\jaime.benazar\Quorum Business Solutions\Ecopetrol Prometeo - Documents\Planning Space Implementation\3. Analysis &amp; Design\Design\FC22\DRR Jaime\QUIFA-CAJÚA\Cajua\[VAS_CAJUA_CF_SEC_20230125.xlsx]CF PDP'!$BY$42</v>
      </c>
      <c r="J3770" s="1" t="s">
        <v>1800</v>
      </c>
    </row>
    <row r="3771" spans="1:10" x14ac:dyDescent="0.25">
      <c r="A3771" s="6" t="s">
        <v>1</v>
      </c>
      <c r="B3771" s="6">
        <f t="shared" si="868"/>
        <v>2030</v>
      </c>
      <c r="C3771" s="1" t="s">
        <v>109</v>
      </c>
      <c r="D3771" s="2" t="s">
        <v>128</v>
      </c>
      <c r="E3771" s="9" t="str">
        <f t="shared" si="866"/>
        <v>PDP'!</v>
      </c>
      <c r="F3771" s="5" t="str">
        <f t="shared" si="865"/>
        <v>C:\Users\jaime.benazar\Quorum Business Solutions\Ecopetrol Prometeo - Documents\Planning Space Implementation\3. Analysis &amp; Design\Design\FC22\DRR Jaime\QUIFA-CAJÚA\Cajua\[VAS_CAJUA_CF_SEC_20230125.xlsx]CF PDP'!</v>
      </c>
      <c r="G3771" s="6" t="s">
        <v>60</v>
      </c>
      <c r="H3771" s="1">
        <f t="shared" si="869"/>
        <v>43</v>
      </c>
      <c r="I3771" s="1" t="str">
        <f t="shared" si="867"/>
        <v>='C:\Users\jaime.benazar\Quorum Business Solutions\Ecopetrol Prometeo - Documents\Planning Space Implementation\3. Analysis &amp; Design\Design\FC22\DRR Jaime\QUIFA-CAJÚA\Cajua\[VAS_CAJUA_CF_SEC_20230125.xlsx]CF PDP'!$BY$43</v>
      </c>
      <c r="J3771" s="1" t="s">
        <v>1801</v>
      </c>
    </row>
    <row r="3772" spans="1:10" x14ac:dyDescent="0.25">
      <c r="A3772" s="6" t="s">
        <v>1</v>
      </c>
      <c r="B3772" s="6">
        <f t="shared" si="868"/>
        <v>2031</v>
      </c>
      <c r="C3772" s="1" t="s">
        <v>109</v>
      </c>
      <c r="D3772" s="2" t="s">
        <v>128</v>
      </c>
      <c r="E3772" s="9" t="str">
        <f t="shared" si="866"/>
        <v>PDP'!</v>
      </c>
      <c r="F3772" s="5" t="str">
        <f t="shared" si="865"/>
        <v>C:\Users\jaime.benazar\Quorum Business Solutions\Ecopetrol Prometeo - Documents\Planning Space Implementation\3. Analysis &amp; Design\Design\FC22\DRR Jaime\QUIFA-CAJÚA\Cajua\[VAS_CAJUA_CF_SEC_20230125.xlsx]CF PDP'!</v>
      </c>
      <c r="G3772" s="6" t="s">
        <v>60</v>
      </c>
      <c r="H3772" s="1">
        <f t="shared" si="869"/>
        <v>44</v>
      </c>
      <c r="I3772" s="1" t="str">
        <f t="shared" si="867"/>
        <v>='C:\Users\jaime.benazar\Quorum Business Solutions\Ecopetrol Prometeo - Documents\Planning Space Implementation\3. Analysis &amp; Design\Design\FC22\DRR Jaime\QUIFA-CAJÚA\Cajua\[VAS_CAJUA_CF_SEC_20230125.xlsx]CF PDP'!$BY$44</v>
      </c>
      <c r="J3772" s="1" t="s">
        <v>1802</v>
      </c>
    </row>
    <row r="3773" spans="1:10" x14ac:dyDescent="0.25">
      <c r="A3773" s="6" t="s">
        <v>1</v>
      </c>
      <c r="B3773" s="6">
        <f t="shared" si="868"/>
        <v>2032</v>
      </c>
      <c r="C3773" s="1" t="s">
        <v>109</v>
      </c>
      <c r="D3773" s="2" t="s">
        <v>128</v>
      </c>
      <c r="E3773" s="9" t="str">
        <f t="shared" si="866"/>
        <v>PDP'!</v>
      </c>
      <c r="F3773" s="5" t="str">
        <f t="shared" si="865"/>
        <v>C:\Users\jaime.benazar\Quorum Business Solutions\Ecopetrol Prometeo - Documents\Planning Space Implementation\3. Analysis &amp; Design\Design\FC22\DRR Jaime\QUIFA-CAJÚA\Cajua\[VAS_CAJUA_CF_SEC_20230125.xlsx]CF PDP'!</v>
      </c>
      <c r="G3773" s="6" t="s">
        <v>60</v>
      </c>
      <c r="H3773" s="1">
        <f t="shared" si="869"/>
        <v>45</v>
      </c>
      <c r="I3773" s="1" t="str">
        <f t="shared" si="867"/>
        <v>='C:\Users\jaime.benazar\Quorum Business Solutions\Ecopetrol Prometeo - Documents\Planning Space Implementation\3. Analysis &amp; Design\Design\FC22\DRR Jaime\QUIFA-CAJÚA\Cajua\[VAS_CAJUA_CF_SEC_20230125.xlsx]CF PDP'!$BY$45</v>
      </c>
      <c r="J3773" s="1" t="s">
        <v>1803</v>
      </c>
    </row>
    <row r="3774" spans="1:10" x14ac:dyDescent="0.25">
      <c r="A3774" s="6" t="s">
        <v>1</v>
      </c>
      <c r="B3774" s="6">
        <f t="shared" si="868"/>
        <v>2033</v>
      </c>
      <c r="C3774" s="1" t="s">
        <v>109</v>
      </c>
      <c r="D3774" s="2" t="s">
        <v>128</v>
      </c>
      <c r="E3774" s="9" t="str">
        <f t="shared" si="866"/>
        <v>PDP'!</v>
      </c>
      <c r="F3774" s="5" t="str">
        <f t="shared" si="865"/>
        <v>C:\Users\jaime.benazar\Quorum Business Solutions\Ecopetrol Prometeo - Documents\Planning Space Implementation\3. Analysis &amp; Design\Design\FC22\DRR Jaime\QUIFA-CAJÚA\Cajua\[VAS_CAJUA_CF_SEC_20230125.xlsx]CF PDP'!</v>
      </c>
      <c r="G3774" s="6" t="s">
        <v>60</v>
      </c>
      <c r="H3774" s="1">
        <f t="shared" si="869"/>
        <v>46</v>
      </c>
      <c r="I3774" s="1" t="str">
        <f t="shared" si="867"/>
        <v>='C:\Users\jaime.benazar\Quorum Business Solutions\Ecopetrol Prometeo - Documents\Planning Space Implementation\3. Analysis &amp; Design\Design\FC22\DRR Jaime\QUIFA-CAJÚA\Cajua\[VAS_CAJUA_CF_SEC_20230125.xlsx]CF PDP'!$BY$46</v>
      </c>
      <c r="J3774" s="1" t="s">
        <v>1804</v>
      </c>
    </row>
    <row r="3775" spans="1:10" x14ac:dyDescent="0.25">
      <c r="A3775" s="6" t="s">
        <v>1</v>
      </c>
      <c r="B3775" s="6">
        <f t="shared" si="868"/>
        <v>2034</v>
      </c>
      <c r="C3775" s="1" t="s">
        <v>109</v>
      </c>
      <c r="D3775" s="2" t="s">
        <v>128</v>
      </c>
      <c r="E3775" s="9" t="str">
        <f t="shared" si="866"/>
        <v>PDP'!</v>
      </c>
      <c r="F3775" s="5" t="str">
        <f t="shared" si="865"/>
        <v>C:\Users\jaime.benazar\Quorum Business Solutions\Ecopetrol Prometeo - Documents\Planning Space Implementation\3. Analysis &amp; Design\Design\FC22\DRR Jaime\QUIFA-CAJÚA\Cajua\[VAS_CAJUA_CF_SEC_20230125.xlsx]CF PDP'!</v>
      </c>
      <c r="G3775" s="6" t="s">
        <v>60</v>
      </c>
      <c r="H3775" s="1">
        <f t="shared" si="869"/>
        <v>47</v>
      </c>
      <c r="I3775" s="1" t="str">
        <f t="shared" si="867"/>
        <v>='C:\Users\jaime.benazar\Quorum Business Solutions\Ecopetrol Prometeo - Documents\Planning Space Implementation\3. Analysis &amp; Design\Design\FC22\DRR Jaime\QUIFA-CAJÚA\Cajua\[VAS_CAJUA_CF_SEC_20230125.xlsx]CF PDP'!$BY$47</v>
      </c>
      <c r="J3775" s="1" t="s">
        <v>1805</v>
      </c>
    </row>
    <row r="3776" spans="1:10" x14ac:dyDescent="0.25">
      <c r="A3776" s="6" t="s">
        <v>1</v>
      </c>
      <c r="B3776" s="6">
        <f t="shared" si="868"/>
        <v>2035</v>
      </c>
      <c r="C3776" s="1" t="s">
        <v>109</v>
      </c>
      <c r="D3776" s="2" t="s">
        <v>128</v>
      </c>
      <c r="E3776" s="9" t="str">
        <f t="shared" si="866"/>
        <v>PDP'!</v>
      </c>
      <c r="F3776" s="5" t="str">
        <f t="shared" si="865"/>
        <v>C:\Users\jaime.benazar\Quorum Business Solutions\Ecopetrol Prometeo - Documents\Planning Space Implementation\3. Analysis &amp; Design\Design\FC22\DRR Jaime\QUIFA-CAJÚA\Cajua\[VAS_CAJUA_CF_SEC_20230125.xlsx]CF PDP'!</v>
      </c>
      <c r="G3776" s="6" t="s">
        <v>60</v>
      </c>
      <c r="H3776" s="1">
        <f t="shared" si="869"/>
        <v>48</v>
      </c>
      <c r="I3776" s="1" t="str">
        <f t="shared" si="867"/>
        <v>='C:\Users\jaime.benazar\Quorum Business Solutions\Ecopetrol Prometeo - Documents\Planning Space Implementation\3. Analysis &amp; Design\Design\FC22\DRR Jaime\QUIFA-CAJÚA\Cajua\[VAS_CAJUA_CF_SEC_20230125.xlsx]CF PDP'!$BY$48</v>
      </c>
      <c r="J3776" s="1" t="s">
        <v>1806</v>
      </c>
    </row>
    <row r="3777" spans="1:10" x14ac:dyDescent="0.25">
      <c r="A3777" s="6" t="s">
        <v>1</v>
      </c>
      <c r="B3777" s="6">
        <f t="shared" si="868"/>
        <v>2036</v>
      </c>
      <c r="C3777" s="1" t="s">
        <v>109</v>
      </c>
      <c r="D3777" s="2" t="s">
        <v>128</v>
      </c>
      <c r="E3777" s="9" t="str">
        <f t="shared" si="866"/>
        <v>PDP'!</v>
      </c>
      <c r="F3777" s="5" t="str">
        <f t="shared" si="865"/>
        <v>C:\Users\jaime.benazar\Quorum Business Solutions\Ecopetrol Prometeo - Documents\Planning Space Implementation\3. Analysis &amp; Design\Design\FC22\DRR Jaime\QUIFA-CAJÚA\Cajua\[VAS_CAJUA_CF_SEC_20230125.xlsx]CF PDP'!</v>
      </c>
      <c r="G3777" s="6" t="s">
        <v>60</v>
      </c>
      <c r="H3777" s="1">
        <f t="shared" si="869"/>
        <v>49</v>
      </c>
      <c r="I3777" s="1" t="str">
        <f t="shared" si="867"/>
        <v>='C:\Users\jaime.benazar\Quorum Business Solutions\Ecopetrol Prometeo - Documents\Planning Space Implementation\3. Analysis &amp; Design\Design\FC22\DRR Jaime\QUIFA-CAJÚA\Cajua\[VAS_CAJUA_CF_SEC_20230125.xlsx]CF PDP'!$BY$49</v>
      </c>
      <c r="J3777" s="1" t="s">
        <v>1807</v>
      </c>
    </row>
    <row r="3778" spans="1:10" x14ac:dyDescent="0.25">
      <c r="A3778" s="6" t="s">
        <v>1</v>
      </c>
      <c r="B3778" s="6">
        <f>+B3777+1</f>
        <v>2037</v>
      </c>
      <c r="C3778" s="1" t="s">
        <v>109</v>
      </c>
      <c r="D3778" s="2" t="s">
        <v>128</v>
      </c>
      <c r="E3778" s="9" t="str">
        <f t="shared" si="866"/>
        <v>PDP'!</v>
      </c>
      <c r="F3778" s="5" t="str">
        <f t="shared" si="865"/>
        <v>C:\Users\jaime.benazar\Quorum Business Solutions\Ecopetrol Prometeo - Documents\Planning Space Implementation\3. Analysis &amp; Design\Design\FC22\DRR Jaime\QUIFA-CAJÚA\Cajua\[VAS_CAJUA_CF_SEC_20230125.xlsx]CF PDP'!</v>
      </c>
      <c r="G3778" s="6" t="s">
        <v>60</v>
      </c>
      <c r="H3778" s="1">
        <f t="shared" si="869"/>
        <v>50</v>
      </c>
      <c r="I3778" s="1" t="str">
        <f t="shared" si="867"/>
        <v>='C:\Users\jaime.benazar\Quorum Business Solutions\Ecopetrol Prometeo - Documents\Planning Space Implementation\3. Analysis &amp; Design\Design\FC22\DRR Jaime\QUIFA-CAJÚA\Cajua\[VAS_CAJUA_CF_SEC_20230125.xlsx]CF PDP'!$BY$50</v>
      </c>
      <c r="J3778" s="1" t="s">
        <v>1808</v>
      </c>
    </row>
    <row r="3779" spans="1:10" x14ac:dyDescent="0.25">
      <c r="A3779" s="6" t="s">
        <v>1</v>
      </c>
      <c r="B3779" s="6">
        <f t="shared" si="868"/>
        <v>2038</v>
      </c>
      <c r="C3779" s="1" t="s">
        <v>109</v>
      </c>
      <c r="D3779" s="2" t="s">
        <v>128</v>
      </c>
      <c r="E3779" s="9" t="str">
        <f t="shared" si="866"/>
        <v>PDP'!</v>
      </c>
      <c r="F3779" s="5" t="str">
        <f t="shared" si="865"/>
        <v>C:\Users\jaime.benazar\Quorum Business Solutions\Ecopetrol Prometeo - Documents\Planning Space Implementation\3. Analysis &amp; Design\Design\FC22\DRR Jaime\QUIFA-CAJÚA\Cajua\[VAS_CAJUA_CF_SEC_20230125.xlsx]CF PDP'!</v>
      </c>
      <c r="G3779" s="6" t="s">
        <v>60</v>
      </c>
      <c r="H3779" s="1">
        <f t="shared" si="869"/>
        <v>51</v>
      </c>
      <c r="I3779" s="1" t="str">
        <f t="shared" si="867"/>
        <v>='C:\Users\jaime.benazar\Quorum Business Solutions\Ecopetrol Prometeo - Documents\Planning Space Implementation\3. Analysis &amp; Design\Design\FC22\DRR Jaime\QUIFA-CAJÚA\Cajua\[VAS_CAJUA_CF_SEC_20230125.xlsx]CF PDP'!$BY$51</v>
      </c>
      <c r="J3779" s="1" t="s">
        <v>1809</v>
      </c>
    </row>
    <row r="3780" spans="1:10" x14ac:dyDescent="0.25">
      <c r="A3780" s="6" t="s">
        <v>1</v>
      </c>
      <c r="B3780" s="6">
        <f t="shared" si="868"/>
        <v>2039</v>
      </c>
      <c r="C3780" s="1" t="s">
        <v>109</v>
      </c>
      <c r="D3780" s="2" t="s">
        <v>128</v>
      </c>
      <c r="E3780" s="9" t="str">
        <f t="shared" si="866"/>
        <v>PDP'!</v>
      </c>
      <c r="F3780" s="5" t="str">
        <f t="shared" si="865"/>
        <v>C:\Users\jaime.benazar\Quorum Business Solutions\Ecopetrol Prometeo - Documents\Planning Space Implementation\3. Analysis &amp; Design\Design\FC22\DRR Jaime\QUIFA-CAJÚA\Cajua\[VAS_CAJUA_CF_SEC_20230125.xlsx]CF PDP'!</v>
      </c>
      <c r="G3780" s="6" t="s">
        <v>60</v>
      </c>
      <c r="H3780" s="1">
        <f t="shared" si="869"/>
        <v>52</v>
      </c>
      <c r="I3780" s="1" t="str">
        <f t="shared" si="867"/>
        <v>='C:\Users\jaime.benazar\Quorum Business Solutions\Ecopetrol Prometeo - Documents\Planning Space Implementation\3. Analysis &amp; Design\Design\FC22\DRR Jaime\QUIFA-CAJÚA\Cajua\[VAS_CAJUA_CF_SEC_20230125.xlsx]CF PDP'!$BY$52</v>
      </c>
      <c r="J3780" s="1" t="s">
        <v>1810</v>
      </c>
    </row>
    <row r="3781" spans="1:10" x14ac:dyDescent="0.25">
      <c r="A3781" s="6" t="s">
        <v>1</v>
      </c>
      <c r="B3781" s="6">
        <f t="shared" si="868"/>
        <v>2040</v>
      </c>
      <c r="C3781" s="1" t="s">
        <v>109</v>
      </c>
      <c r="D3781" s="2" t="s">
        <v>128</v>
      </c>
      <c r="E3781" s="9" t="str">
        <f t="shared" si="866"/>
        <v>PDP'!</v>
      </c>
      <c r="F3781" s="5" t="str">
        <f t="shared" si="865"/>
        <v>C:\Users\jaime.benazar\Quorum Business Solutions\Ecopetrol Prometeo - Documents\Planning Space Implementation\3. Analysis &amp; Design\Design\FC22\DRR Jaime\QUIFA-CAJÚA\Cajua\[VAS_CAJUA_CF_SEC_20230125.xlsx]CF PDP'!</v>
      </c>
      <c r="G3781" s="6" t="s">
        <v>60</v>
      </c>
      <c r="H3781" s="1">
        <f t="shared" si="869"/>
        <v>53</v>
      </c>
      <c r="I3781" s="1" t="str">
        <f t="shared" si="867"/>
        <v>='C:\Users\jaime.benazar\Quorum Business Solutions\Ecopetrol Prometeo - Documents\Planning Space Implementation\3. Analysis &amp; Design\Design\FC22\DRR Jaime\QUIFA-CAJÚA\Cajua\[VAS_CAJUA_CF_SEC_20230125.xlsx]CF PDP'!$BY$53</v>
      </c>
      <c r="J3781" s="1" t="s">
        <v>1811</v>
      </c>
    </row>
    <row r="3782" spans="1:10" x14ac:dyDescent="0.25">
      <c r="A3782" s="6" t="s">
        <v>1</v>
      </c>
      <c r="B3782" s="6">
        <f>+B3781+1</f>
        <v>2041</v>
      </c>
      <c r="C3782" s="1" t="s">
        <v>109</v>
      </c>
      <c r="D3782" s="2" t="s">
        <v>128</v>
      </c>
      <c r="E3782" s="9" t="str">
        <f t="shared" si="866"/>
        <v>PDP'!</v>
      </c>
      <c r="F3782" s="5" t="str">
        <f t="shared" si="865"/>
        <v>C:\Users\jaime.benazar\Quorum Business Solutions\Ecopetrol Prometeo - Documents\Planning Space Implementation\3. Analysis &amp; Design\Design\FC22\DRR Jaime\QUIFA-CAJÚA\Cajua\[VAS_CAJUA_CF_SEC_20230125.xlsx]CF PDP'!</v>
      </c>
      <c r="G3782" s="6" t="s">
        <v>60</v>
      </c>
      <c r="H3782" s="1">
        <f t="shared" si="869"/>
        <v>54</v>
      </c>
      <c r="I3782" s="1" t="str">
        <f t="shared" si="867"/>
        <v>='C:\Users\jaime.benazar\Quorum Business Solutions\Ecopetrol Prometeo - Documents\Planning Space Implementation\3. Analysis &amp; Design\Design\FC22\DRR Jaime\QUIFA-CAJÚA\Cajua\[VAS_CAJUA_CF_SEC_20230125.xlsx]CF PDP'!$BY$54</v>
      </c>
      <c r="J3782" s="1" t="s">
        <v>1812</v>
      </c>
    </row>
    <row r="3783" spans="1:10" x14ac:dyDescent="0.25">
      <c r="A3783" s="6" t="s">
        <v>1</v>
      </c>
      <c r="B3783" s="6">
        <f t="shared" si="868"/>
        <v>2042</v>
      </c>
      <c r="C3783" s="1" t="s">
        <v>109</v>
      </c>
      <c r="D3783" s="2" t="s">
        <v>128</v>
      </c>
      <c r="E3783" s="9" t="str">
        <f t="shared" si="866"/>
        <v>PDP'!</v>
      </c>
      <c r="F3783" s="5" t="str">
        <f t="shared" si="865"/>
        <v>C:\Users\jaime.benazar\Quorum Business Solutions\Ecopetrol Prometeo - Documents\Planning Space Implementation\3. Analysis &amp; Design\Design\FC22\DRR Jaime\QUIFA-CAJÚA\Cajua\[VAS_CAJUA_CF_SEC_20230125.xlsx]CF PDP'!</v>
      </c>
      <c r="G3783" s="6" t="s">
        <v>60</v>
      </c>
      <c r="H3783" s="1">
        <f t="shared" si="869"/>
        <v>55</v>
      </c>
      <c r="I3783" s="1" t="str">
        <f t="shared" si="867"/>
        <v>='C:\Users\jaime.benazar\Quorum Business Solutions\Ecopetrol Prometeo - Documents\Planning Space Implementation\3. Analysis &amp; Design\Design\FC22\DRR Jaime\QUIFA-CAJÚA\Cajua\[VAS_CAJUA_CF_SEC_20230125.xlsx]CF PDP'!$BY$55</v>
      </c>
      <c r="J3783" s="1" t="s">
        <v>1813</v>
      </c>
    </row>
    <row r="3784" spans="1:10" x14ac:dyDescent="0.25">
      <c r="A3784" s="6" t="s">
        <v>1</v>
      </c>
      <c r="B3784" s="6">
        <f t="shared" si="868"/>
        <v>2043</v>
      </c>
      <c r="C3784" s="1" t="s">
        <v>109</v>
      </c>
      <c r="D3784" s="2" t="s">
        <v>128</v>
      </c>
      <c r="E3784" s="9" t="str">
        <f t="shared" si="866"/>
        <v>PDP'!</v>
      </c>
      <c r="F3784" s="5" t="str">
        <f t="shared" si="865"/>
        <v>C:\Users\jaime.benazar\Quorum Business Solutions\Ecopetrol Prometeo - Documents\Planning Space Implementation\3. Analysis &amp; Design\Design\FC22\DRR Jaime\QUIFA-CAJÚA\Cajua\[VAS_CAJUA_CF_SEC_20230125.xlsx]CF PDP'!</v>
      </c>
      <c r="G3784" s="6" t="s">
        <v>60</v>
      </c>
      <c r="H3784" s="1">
        <f t="shared" si="869"/>
        <v>56</v>
      </c>
      <c r="I3784" s="1" t="str">
        <f t="shared" si="867"/>
        <v>='C:\Users\jaime.benazar\Quorum Business Solutions\Ecopetrol Prometeo - Documents\Planning Space Implementation\3. Analysis &amp; Design\Design\FC22\DRR Jaime\QUIFA-CAJÚA\Cajua\[VAS_CAJUA_CF_SEC_20230125.xlsx]CF PDP'!$BY$56</v>
      </c>
      <c r="J3784" s="1" t="s">
        <v>1814</v>
      </c>
    </row>
    <row r="3785" spans="1:10" x14ac:dyDescent="0.25">
      <c r="A3785" s="6" t="s">
        <v>1</v>
      </c>
      <c r="B3785" s="6">
        <f>+B3784+1</f>
        <v>2044</v>
      </c>
      <c r="C3785" s="1" t="s">
        <v>109</v>
      </c>
      <c r="D3785" s="2" t="s">
        <v>128</v>
      </c>
      <c r="E3785" s="9" t="str">
        <f t="shared" ref="E3785:E3800" si="870">_xlfn.CONCAT(A3785,"'!")</f>
        <v>PDP'!</v>
      </c>
      <c r="F3785" s="5" t="str">
        <f t="shared" ref="F3785:F3800" si="871">_xlfn.CONCAT(D3785," ",E3785)</f>
        <v>C:\Users\jaime.benazar\Quorum Business Solutions\Ecopetrol Prometeo - Documents\Planning Space Implementation\3. Analysis &amp; Design\Design\FC22\DRR Jaime\QUIFA-CAJÚA\Cajua\[VAS_CAJUA_CF_SEC_20230125.xlsx]CF PDP'!</v>
      </c>
      <c r="G3785" s="6" t="s">
        <v>60</v>
      </c>
      <c r="H3785" s="1">
        <f t="shared" ref="H3785:H3800" si="872">IF(A3785&lt;&gt;A3784,36,H3784+1)</f>
        <v>57</v>
      </c>
      <c r="I3785" s="1" t="str">
        <f t="shared" ref="I3785:I3800" si="873">_xlfn.CONCAT("='",F3785:H3785)</f>
        <v>='C:\Users\jaime.benazar\Quorum Business Solutions\Ecopetrol Prometeo - Documents\Planning Space Implementation\3. Analysis &amp; Design\Design\FC22\DRR Jaime\QUIFA-CAJÚA\Cajua\[VAS_CAJUA_CF_SEC_20230125.xlsx]CF PDP'!$BY$57</v>
      </c>
      <c r="J3785" s="1" t="s">
        <v>1815</v>
      </c>
    </row>
    <row r="3786" spans="1:10" x14ac:dyDescent="0.25">
      <c r="A3786" s="6" t="s">
        <v>1</v>
      </c>
      <c r="B3786" s="6">
        <f t="shared" si="868"/>
        <v>2045</v>
      </c>
      <c r="C3786" s="1" t="s">
        <v>109</v>
      </c>
      <c r="D3786" s="2" t="s">
        <v>128</v>
      </c>
      <c r="E3786" s="9" t="str">
        <f t="shared" si="870"/>
        <v>PDP'!</v>
      </c>
      <c r="F3786" s="5" t="str">
        <f t="shared" si="871"/>
        <v>C:\Users\jaime.benazar\Quorum Business Solutions\Ecopetrol Prometeo - Documents\Planning Space Implementation\3. Analysis &amp; Design\Design\FC22\DRR Jaime\QUIFA-CAJÚA\Cajua\[VAS_CAJUA_CF_SEC_20230125.xlsx]CF PDP'!</v>
      </c>
      <c r="G3786" s="6" t="s">
        <v>60</v>
      </c>
      <c r="H3786" s="1">
        <f t="shared" si="872"/>
        <v>58</v>
      </c>
      <c r="I3786" s="1" t="str">
        <f t="shared" si="873"/>
        <v>='C:\Users\jaime.benazar\Quorum Business Solutions\Ecopetrol Prometeo - Documents\Planning Space Implementation\3. Analysis &amp; Design\Design\FC22\DRR Jaime\QUIFA-CAJÚA\Cajua\[VAS_CAJUA_CF_SEC_20230125.xlsx]CF PDP'!$BY$58</v>
      </c>
      <c r="J3786" s="1" t="s">
        <v>1816</v>
      </c>
    </row>
    <row r="3787" spans="1:10" x14ac:dyDescent="0.25">
      <c r="A3787" s="6" t="s">
        <v>1</v>
      </c>
      <c r="B3787" s="6">
        <f t="shared" si="868"/>
        <v>2046</v>
      </c>
      <c r="C3787" s="1" t="s">
        <v>109</v>
      </c>
      <c r="D3787" s="2" t="s">
        <v>128</v>
      </c>
      <c r="E3787" s="9" t="str">
        <f t="shared" si="870"/>
        <v>PDP'!</v>
      </c>
      <c r="F3787" s="5" t="str">
        <f t="shared" si="871"/>
        <v>C:\Users\jaime.benazar\Quorum Business Solutions\Ecopetrol Prometeo - Documents\Planning Space Implementation\3. Analysis &amp; Design\Design\FC22\DRR Jaime\QUIFA-CAJÚA\Cajua\[VAS_CAJUA_CF_SEC_20230125.xlsx]CF PDP'!</v>
      </c>
      <c r="G3787" s="6" t="s">
        <v>60</v>
      </c>
      <c r="H3787" s="1">
        <f t="shared" si="872"/>
        <v>59</v>
      </c>
      <c r="I3787" s="1" t="str">
        <f t="shared" si="873"/>
        <v>='C:\Users\jaime.benazar\Quorum Business Solutions\Ecopetrol Prometeo - Documents\Planning Space Implementation\3. Analysis &amp; Design\Design\FC22\DRR Jaime\QUIFA-CAJÚA\Cajua\[VAS_CAJUA_CF_SEC_20230125.xlsx]CF PDP'!$BY$59</v>
      </c>
      <c r="J3787" s="1" t="s">
        <v>1817</v>
      </c>
    </row>
    <row r="3788" spans="1:10" x14ac:dyDescent="0.25">
      <c r="A3788" s="6" t="s">
        <v>1</v>
      </c>
      <c r="B3788" s="6">
        <f t="shared" si="868"/>
        <v>2047</v>
      </c>
      <c r="C3788" s="1" t="s">
        <v>109</v>
      </c>
      <c r="D3788" s="2" t="s">
        <v>128</v>
      </c>
      <c r="E3788" s="9" t="str">
        <f t="shared" si="870"/>
        <v>PDP'!</v>
      </c>
      <c r="F3788" s="5" t="str">
        <f t="shared" si="871"/>
        <v>C:\Users\jaime.benazar\Quorum Business Solutions\Ecopetrol Prometeo - Documents\Planning Space Implementation\3. Analysis &amp; Design\Design\FC22\DRR Jaime\QUIFA-CAJÚA\Cajua\[VAS_CAJUA_CF_SEC_20230125.xlsx]CF PDP'!</v>
      </c>
      <c r="G3788" s="6" t="s">
        <v>60</v>
      </c>
      <c r="H3788" s="1">
        <f t="shared" si="872"/>
        <v>60</v>
      </c>
      <c r="I3788" s="1" t="str">
        <f t="shared" si="873"/>
        <v>='C:\Users\jaime.benazar\Quorum Business Solutions\Ecopetrol Prometeo - Documents\Planning Space Implementation\3. Analysis &amp; Design\Design\FC22\DRR Jaime\QUIFA-CAJÚA\Cajua\[VAS_CAJUA_CF_SEC_20230125.xlsx]CF PDP'!$BY$60</v>
      </c>
      <c r="J3788" s="1" t="s">
        <v>1818</v>
      </c>
    </row>
    <row r="3789" spans="1:10" x14ac:dyDescent="0.25">
      <c r="A3789" s="6" t="s">
        <v>1</v>
      </c>
      <c r="B3789" s="6">
        <f t="shared" si="868"/>
        <v>2048</v>
      </c>
      <c r="C3789" s="1" t="s">
        <v>109</v>
      </c>
      <c r="D3789" s="2" t="s">
        <v>128</v>
      </c>
      <c r="E3789" s="9" t="str">
        <f t="shared" si="870"/>
        <v>PDP'!</v>
      </c>
      <c r="F3789" s="5" t="str">
        <f t="shared" si="871"/>
        <v>C:\Users\jaime.benazar\Quorum Business Solutions\Ecopetrol Prometeo - Documents\Planning Space Implementation\3. Analysis &amp; Design\Design\FC22\DRR Jaime\QUIFA-CAJÚA\Cajua\[VAS_CAJUA_CF_SEC_20230125.xlsx]CF PDP'!</v>
      </c>
      <c r="G3789" s="6" t="s">
        <v>60</v>
      </c>
      <c r="H3789" s="1">
        <f t="shared" si="872"/>
        <v>61</v>
      </c>
      <c r="I3789" s="1" t="str">
        <f t="shared" si="873"/>
        <v>='C:\Users\jaime.benazar\Quorum Business Solutions\Ecopetrol Prometeo - Documents\Planning Space Implementation\3. Analysis &amp; Design\Design\FC22\DRR Jaime\QUIFA-CAJÚA\Cajua\[VAS_CAJUA_CF_SEC_20230125.xlsx]CF PDP'!$BY$61</v>
      </c>
      <c r="J3789" s="1" t="s">
        <v>1819</v>
      </c>
    </row>
    <row r="3790" spans="1:10" x14ac:dyDescent="0.25">
      <c r="A3790" s="6" t="s">
        <v>1</v>
      </c>
      <c r="B3790" s="6">
        <f t="shared" si="868"/>
        <v>2049</v>
      </c>
      <c r="C3790" s="1" t="s">
        <v>109</v>
      </c>
      <c r="D3790" s="2" t="s">
        <v>128</v>
      </c>
      <c r="E3790" s="9" t="str">
        <f t="shared" si="870"/>
        <v>PDP'!</v>
      </c>
      <c r="F3790" s="5" t="str">
        <f t="shared" si="871"/>
        <v>C:\Users\jaime.benazar\Quorum Business Solutions\Ecopetrol Prometeo - Documents\Planning Space Implementation\3. Analysis &amp; Design\Design\FC22\DRR Jaime\QUIFA-CAJÚA\Cajua\[VAS_CAJUA_CF_SEC_20230125.xlsx]CF PDP'!</v>
      </c>
      <c r="G3790" s="6" t="s">
        <v>60</v>
      </c>
      <c r="H3790" s="1">
        <f t="shared" si="872"/>
        <v>62</v>
      </c>
      <c r="I3790" s="1" t="str">
        <f t="shared" si="873"/>
        <v>='C:\Users\jaime.benazar\Quorum Business Solutions\Ecopetrol Prometeo - Documents\Planning Space Implementation\3. Analysis &amp; Design\Design\FC22\DRR Jaime\QUIFA-CAJÚA\Cajua\[VAS_CAJUA_CF_SEC_20230125.xlsx]CF PDP'!$BY$62</v>
      </c>
      <c r="J3790" s="1" t="s">
        <v>1820</v>
      </c>
    </row>
    <row r="3791" spans="1:10" x14ac:dyDescent="0.25">
      <c r="A3791" s="6" t="s">
        <v>1</v>
      </c>
      <c r="B3791" s="6">
        <f t="shared" si="868"/>
        <v>2050</v>
      </c>
      <c r="C3791" s="1" t="s">
        <v>109</v>
      </c>
      <c r="D3791" s="2" t="s">
        <v>128</v>
      </c>
      <c r="E3791" s="9" t="str">
        <f t="shared" si="870"/>
        <v>PDP'!</v>
      </c>
      <c r="F3791" s="5" t="str">
        <f t="shared" si="871"/>
        <v>C:\Users\jaime.benazar\Quorum Business Solutions\Ecopetrol Prometeo - Documents\Planning Space Implementation\3. Analysis &amp; Design\Design\FC22\DRR Jaime\QUIFA-CAJÚA\Cajua\[VAS_CAJUA_CF_SEC_20230125.xlsx]CF PDP'!</v>
      </c>
      <c r="G3791" s="6" t="s">
        <v>60</v>
      </c>
      <c r="H3791" s="1">
        <f t="shared" si="872"/>
        <v>63</v>
      </c>
      <c r="I3791" s="1" t="str">
        <f t="shared" si="873"/>
        <v>='C:\Users\jaime.benazar\Quorum Business Solutions\Ecopetrol Prometeo - Documents\Planning Space Implementation\3. Analysis &amp; Design\Design\FC22\DRR Jaime\QUIFA-CAJÚA\Cajua\[VAS_CAJUA_CF_SEC_20230125.xlsx]CF PDP'!$BY$63</v>
      </c>
      <c r="J3791" s="1" t="s">
        <v>1821</v>
      </c>
    </row>
    <row r="3792" spans="1:10" x14ac:dyDescent="0.25">
      <c r="A3792" s="6" t="s">
        <v>1</v>
      </c>
      <c r="B3792" s="6">
        <f t="shared" si="868"/>
        <v>2051</v>
      </c>
      <c r="C3792" s="1" t="s">
        <v>109</v>
      </c>
      <c r="D3792" s="2" t="s">
        <v>128</v>
      </c>
      <c r="E3792" s="9" t="str">
        <f t="shared" si="870"/>
        <v>PDP'!</v>
      </c>
      <c r="F3792" s="5" t="str">
        <f t="shared" si="871"/>
        <v>C:\Users\jaime.benazar\Quorum Business Solutions\Ecopetrol Prometeo - Documents\Planning Space Implementation\3. Analysis &amp; Design\Design\FC22\DRR Jaime\QUIFA-CAJÚA\Cajua\[VAS_CAJUA_CF_SEC_20230125.xlsx]CF PDP'!</v>
      </c>
      <c r="G3792" s="6" t="s">
        <v>60</v>
      </c>
      <c r="H3792" s="1">
        <f t="shared" si="872"/>
        <v>64</v>
      </c>
      <c r="I3792" s="1" t="str">
        <f t="shared" si="873"/>
        <v>='C:\Users\jaime.benazar\Quorum Business Solutions\Ecopetrol Prometeo - Documents\Planning Space Implementation\3. Analysis &amp; Design\Design\FC22\DRR Jaime\QUIFA-CAJÚA\Cajua\[VAS_CAJUA_CF_SEC_20230125.xlsx]CF PDP'!$BY$64</v>
      </c>
      <c r="J3792" s="1" t="s">
        <v>1822</v>
      </c>
    </row>
    <row r="3793" spans="1:10" x14ac:dyDescent="0.25">
      <c r="A3793" s="6" t="s">
        <v>1</v>
      </c>
      <c r="B3793" s="6">
        <f t="shared" si="868"/>
        <v>2052</v>
      </c>
      <c r="C3793" s="1" t="s">
        <v>109</v>
      </c>
      <c r="D3793" s="2" t="s">
        <v>128</v>
      </c>
      <c r="E3793" s="9" t="str">
        <f t="shared" si="870"/>
        <v>PDP'!</v>
      </c>
      <c r="F3793" s="5" t="str">
        <f t="shared" si="871"/>
        <v>C:\Users\jaime.benazar\Quorum Business Solutions\Ecopetrol Prometeo - Documents\Planning Space Implementation\3. Analysis &amp; Design\Design\FC22\DRR Jaime\QUIFA-CAJÚA\Cajua\[VAS_CAJUA_CF_SEC_20230125.xlsx]CF PDP'!</v>
      </c>
      <c r="G3793" s="6" t="s">
        <v>60</v>
      </c>
      <c r="H3793" s="1">
        <f t="shared" si="872"/>
        <v>65</v>
      </c>
      <c r="I3793" s="1" t="str">
        <f t="shared" si="873"/>
        <v>='C:\Users\jaime.benazar\Quorum Business Solutions\Ecopetrol Prometeo - Documents\Planning Space Implementation\3. Analysis &amp; Design\Design\FC22\DRR Jaime\QUIFA-CAJÚA\Cajua\[VAS_CAJUA_CF_SEC_20230125.xlsx]CF PDP'!$BY$65</v>
      </c>
      <c r="J3793" s="1" t="s">
        <v>1823</v>
      </c>
    </row>
    <row r="3794" spans="1:10" x14ac:dyDescent="0.25">
      <c r="A3794" s="6" t="s">
        <v>1</v>
      </c>
      <c r="B3794" s="6">
        <f t="shared" si="868"/>
        <v>2053</v>
      </c>
      <c r="C3794" s="1" t="s">
        <v>109</v>
      </c>
      <c r="D3794" s="2" t="s">
        <v>128</v>
      </c>
      <c r="E3794" s="9" t="str">
        <f t="shared" si="870"/>
        <v>PDP'!</v>
      </c>
      <c r="F3794" s="5" t="str">
        <f t="shared" si="871"/>
        <v>C:\Users\jaime.benazar\Quorum Business Solutions\Ecopetrol Prometeo - Documents\Planning Space Implementation\3. Analysis &amp; Design\Design\FC22\DRR Jaime\QUIFA-CAJÚA\Cajua\[VAS_CAJUA_CF_SEC_20230125.xlsx]CF PDP'!</v>
      </c>
      <c r="G3794" s="6" t="s">
        <v>60</v>
      </c>
      <c r="H3794" s="1">
        <f t="shared" si="872"/>
        <v>66</v>
      </c>
      <c r="I3794" s="1" t="str">
        <f t="shared" si="873"/>
        <v>='C:\Users\jaime.benazar\Quorum Business Solutions\Ecopetrol Prometeo - Documents\Planning Space Implementation\3. Analysis &amp; Design\Design\FC22\DRR Jaime\QUIFA-CAJÚA\Cajua\[VAS_CAJUA_CF_SEC_20230125.xlsx]CF PDP'!$BY$66</v>
      </c>
      <c r="J3794" s="1" t="s">
        <v>1824</v>
      </c>
    </row>
    <row r="3795" spans="1:10" x14ac:dyDescent="0.25">
      <c r="A3795" s="6" t="s">
        <v>1</v>
      </c>
      <c r="B3795" s="6">
        <f t="shared" si="868"/>
        <v>2054</v>
      </c>
      <c r="C3795" s="1" t="s">
        <v>109</v>
      </c>
      <c r="D3795" s="2" t="s">
        <v>128</v>
      </c>
      <c r="E3795" s="9" t="str">
        <f t="shared" si="870"/>
        <v>PDP'!</v>
      </c>
      <c r="F3795" s="5" t="str">
        <f t="shared" si="871"/>
        <v>C:\Users\jaime.benazar\Quorum Business Solutions\Ecopetrol Prometeo - Documents\Planning Space Implementation\3. Analysis &amp; Design\Design\FC22\DRR Jaime\QUIFA-CAJÚA\Cajua\[VAS_CAJUA_CF_SEC_20230125.xlsx]CF PDP'!</v>
      </c>
      <c r="G3795" s="6" t="s">
        <v>60</v>
      </c>
      <c r="H3795" s="1">
        <f t="shared" si="872"/>
        <v>67</v>
      </c>
      <c r="I3795" s="1" t="str">
        <f t="shared" si="873"/>
        <v>='C:\Users\jaime.benazar\Quorum Business Solutions\Ecopetrol Prometeo - Documents\Planning Space Implementation\3. Analysis &amp; Design\Design\FC22\DRR Jaime\QUIFA-CAJÚA\Cajua\[VAS_CAJUA_CF_SEC_20230125.xlsx]CF PDP'!$BY$67</v>
      </c>
      <c r="J3795" s="1" t="s">
        <v>1825</v>
      </c>
    </row>
    <row r="3796" spans="1:10" x14ac:dyDescent="0.25">
      <c r="A3796" s="6" t="s">
        <v>1</v>
      </c>
      <c r="B3796" s="6">
        <f t="shared" si="868"/>
        <v>2055</v>
      </c>
      <c r="C3796" s="1" t="s">
        <v>109</v>
      </c>
      <c r="D3796" s="2" t="s">
        <v>128</v>
      </c>
      <c r="E3796" s="9" t="str">
        <f t="shared" si="870"/>
        <v>PDP'!</v>
      </c>
      <c r="F3796" s="5" t="str">
        <f t="shared" si="871"/>
        <v>C:\Users\jaime.benazar\Quorum Business Solutions\Ecopetrol Prometeo - Documents\Planning Space Implementation\3. Analysis &amp; Design\Design\FC22\DRR Jaime\QUIFA-CAJÚA\Cajua\[VAS_CAJUA_CF_SEC_20230125.xlsx]CF PDP'!</v>
      </c>
      <c r="G3796" s="6" t="s">
        <v>60</v>
      </c>
      <c r="H3796" s="1">
        <f t="shared" si="872"/>
        <v>68</v>
      </c>
      <c r="I3796" s="1" t="str">
        <f t="shared" si="873"/>
        <v>='C:\Users\jaime.benazar\Quorum Business Solutions\Ecopetrol Prometeo - Documents\Planning Space Implementation\3. Analysis &amp; Design\Design\FC22\DRR Jaime\QUIFA-CAJÚA\Cajua\[VAS_CAJUA_CF_SEC_20230125.xlsx]CF PDP'!$BY$68</v>
      </c>
      <c r="J3796" s="1" t="s">
        <v>1826</v>
      </c>
    </row>
    <row r="3797" spans="1:10" x14ac:dyDescent="0.25">
      <c r="A3797" s="6" t="s">
        <v>1</v>
      </c>
      <c r="B3797" s="6">
        <f t="shared" si="868"/>
        <v>2056</v>
      </c>
      <c r="C3797" s="1" t="s">
        <v>109</v>
      </c>
      <c r="D3797" s="2" t="s">
        <v>128</v>
      </c>
      <c r="E3797" s="9" t="str">
        <f t="shared" si="870"/>
        <v>PDP'!</v>
      </c>
      <c r="F3797" s="5" t="str">
        <f t="shared" si="871"/>
        <v>C:\Users\jaime.benazar\Quorum Business Solutions\Ecopetrol Prometeo - Documents\Planning Space Implementation\3. Analysis &amp; Design\Design\FC22\DRR Jaime\QUIFA-CAJÚA\Cajua\[VAS_CAJUA_CF_SEC_20230125.xlsx]CF PDP'!</v>
      </c>
      <c r="G3797" s="6" t="s">
        <v>60</v>
      </c>
      <c r="H3797" s="1">
        <f t="shared" si="872"/>
        <v>69</v>
      </c>
      <c r="I3797" s="1" t="str">
        <f t="shared" si="873"/>
        <v>='C:\Users\jaime.benazar\Quorum Business Solutions\Ecopetrol Prometeo - Documents\Planning Space Implementation\3. Analysis &amp; Design\Design\FC22\DRR Jaime\QUIFA-CAJÚA\Cajua\[VAS_CAJUA_CF_SEC_20230125.xlsx]CF PDP'!$BY$69</v>
      </c>
      <c r="J3797" s="1" t="s">
        <v>1827</v>
      </c>
    </row>
    <row r="3798" spans="1:10" x14ac:dyDescent="0.25">
      <c r="A3798" s="6" t="s">
        <v>1</v>
      </c>
      <c r="B3798" s="6">
        <f t="shared" si="868"/>
        <v>2057</v>
      </c>
      <c r="C3798" s="1" t="s">
        <v>109</v>
      </c>
      <c r="D3798" s="2" t="s">
        <v>128</v>
      </c>
      <c r="E3798" s="9" t="str">
        <f t="shared" si="870"/>
        <v>PDP'!</v>
      </c>
      <c r="F3798" s="5" t="str">
        <f t="shared" si="871"/>
        <v>C:\Users\jaime.benazar\Quorum Business Solutions\Ecopetrol Prometeo - Documents\Planning Space Implementation\3. Analysis &amp; Design\Design\FC22\DRR Jaime\QUIFA-CAJÚA\Cajua\[VAS_CAJUA_CF_SEC_20230125.xlsx]CF PDP'!</v>
      </c>
      <c r="G3798" s="6" t="s">
        <v>60</v>
      </c>
      <c r="H3798" s="1">
        <f t="shared" si="872"/>
        <v>70</v>
      </c>
      <c r="I3798" s="1" t="str">
        <f t="shared" si="873"/>
        <v>='C:\Users\jaime.benazar\Quorum Business Solutions\Ecopetrol Prometeo - Documents\Planning Space Implementation\3. Analysis &amp; Design\Design\FC22\DRR Jaime\QUIFA-CAJÚA\Cajua\[VAS_CAJUA_CF_SEC_20230125.xlsx]CF PDP'!$BY$70</v>
      </c>
      <c r="J3798" s="1" t="s">
        <v>1828</v>
      </c>
    </row>
    <row r="3799" spans="1:10" x14ac:dyDescent="0.25">
      <c r="A3799" s="6" t="s">
        <v>1</v>
      </c>
      <c r="B3799" s="6">
        <f t="shared" si="868"/>
        <v>2058</v>
      </c>
      <c r="C3799" s="1" t="s">
        <v>109</v>
      </c>
      <c r="D3799" s="2" t="s">
        <v>128</v>
      </c>
      <c r="E3799" s="9" t="str">
        <f t="shared" si="870"/>
        <v>PDP'!</v>
      </c>
      <c r="F3799" s="5" t="str">
        <f t="shared" si="871"/>
        <v>C:\Users\jaime.benazar\Quorum Business Solutions\Ecopetrol Prometeo - Documents\Planning Space Implementation\3. Analysis &amp; Design\Design\FC22\DRR Jaime\QUIFA-CAJÚA\Cajua\[VAS_CAJUA_CF_SEC_20230125.xlsx]CF PDP'!</v>
      </c>
      <c r="G3799" s="6" t="s">
        <v>60</v>
      </c>
      <c r="H3799" s="1">
        <f t="shared" si="872"/>
        <v>71</v>
      </c>
      <c r="I3799" s="1" t="str">
        <f t="shared" si="873"/>
        <v>='C:\Users\jaime.benazar\Quorum Business Solutions\Ecopetrol Prometeo - Documents\Planning Space Implementation\3. Analysis &amp; Design\Design\FC22\DRR Jaime\QUIFA-CAJÚA\Cajua\[VAS_CAJUA_CF_SEC_20230125.xlsx]CF PDP'!$BY$71</v>
      </c>
      <c r="J3799" s="1" t="s">
        <v>1829</v>
      </c>
    </row>
    <row r="3800" spans="1:10" x14ac:dyDescent="0.25">
      <c r="A3800" s="6" t="s">
        <v>1</v>
      </c>
      <c r="B3800" s="6">
        <f t="shared" si="868"/>
        <v>2059</v>
      </c>
      <c r="C3800" s="1" t="s">
        <v>109</v>
      </c>
      <c r="D3800" s="2" t="s">
        <v>128</v>
      </c>
      <c r="E3800" s="9" t="str">
        <f t="shared" si="870"/>
        <v>PDP'!</v>
      </c>
      <c r="F3800" s="5" t="str">
        <f t="shared" si="871"/>
        <v>C:\Users\jaime.benazar\Quorum Business Solutions\Ecopetrol Prometeo - Documents\Planning Space Implementation\3. Analysis &amp; Design\Design\FC22\DRR Jaime\QUIFA-CAJÚA\Cajua\[VAS_CAJUA_CF_SEC_20230125.xlsx]CF PDP'!</v>
      </c>
      <c r="G3800" s="6" t="s">
        <v>60</v>
      </c>
      <c r="H3800" s="1">
        <f t="shared" si="872"/>
        <v>72</v>
      </c>
      <c r="I3800" s="1" t="str">
        <f t="shared" si="873"/>
        <v>='C:\Users\jaime.benazar\Quorum Business Solutions\Ecopetrol Prometeo - Documents\Planning Space Implementation\3. Analysis &amp; Design\Design\FC22\DRR Jaime\QUIFA-CAJÚA\Cajua\[VAS_CAJUA_CF_SEC_20230125.xlsx]CF PDP'!$BY$72</v>
      </c>
      <c r="J3800" s="1" t="s">
        <v>1830</v>
      </c>
    </row>
    <row r="3801" spans="1:10" x14ac:dyDescent="0.25">
      <c r="A3801" s="6" t="s">
        <v>28</v>
      </c>
      <c r="B3801" s="6"/>
      <c r="C3801" s="1" t="s">
        <v>109</v>
      </c>
      <c r="D3801" s="2"/>
      <c r="E3801" s="9" t="str">
        <f t="shared" si="866"/>
        <v>Total'!</v>
      </c>
      <c r="F3801" s="2"/>
      <c r="G3801" s="6"/>
      <c r="H3801" s="1"/>
      <c r="I3801" s="1"/>
      <c r="J3801" s="4"/>
    </row>
    <row r="3802" spans="1:10" x14ac:dyDescent="0.25">
      <c r="A3802" s="6" t="s">
        <v>2</v>
      </c>
      <c r="B3802" s="6">
        <v>2023</v>
      </c>
      <c r="C3802" s="1" t="s">
        <v>109</v>
      </c>
      <c r="D3802" s="2" t="s">
        <v>128</v>
      </c>
      <c r="E3802" s="9" t="str">
        <f t="shared" si="866"/>
        <v>PNP'!</v>
      </c>
      <c r="F3802" s="5" t="str">
        <f t="shared" ref="F3802:F3822" si="874">_xlfn.CONCAT(D3802," ",E3802)</f>
        <v>C:\Users\jaime.benazar\Quorum Business Solutions\Ecopetrol Prometeo - Documents\Planning Space Implementation\3. Analysis &amp; Design\Design\FC22\DRR Jaime\QUIFA-CAJÚA\Cajua\[VAS_CAJUA_CF_SEC_20230125.xlsx]CF PNP'!</v>
      </c>
      <c r="G3802" s="6" t="s">
        <v>60</v>
      </c>
      <c r="H3802" s="1">
        <f>IF(A3802&lt;&gt;A3786,36,H3786+1)</f>
        <v>36</v>
      </c>
      <c r="I3802" s="1" t="str">
        <f t="shared" ref="I3802:I3822" si="875">_xlfn.CONCAT("='",F3802:H3802)</f>
        <v>='C:\Users\jaime.benazar\Quorum Business Solutions\Ecopetrol Prometeo - Documents\Planning Space Implementation\3. Analysis &amp; Design\Design\FC22\DRR Jaime\QUIFA-CAJÚA\Cajua\[VAS_CAJUA_CF_SEC_20230125.xlsx]CF PNP'!$BY$36</v>
      </c>
      <c r="J3802" s="1" t="s">
        <v>1831</v>
      </c>
    </row>
    <row r="3803" spans="1:10" x14ac:dyDescent="0.25">
      <c r="A3803" s="6" t="s">
        <v>2</v>
      </c>
      <c r="B3803" s="6">
        <f>+B3802+1</f>
        <v>2024</v>
      </c>
      <c r="C3803" s="1" t="s">
        <v>109</v>
      </c>
      <c r="D3803" s="2" t="s">
        <v>128</v>
      </c>
      <c r="E3803" s="9" t="str">
        <f t="shared" si="866"/>
        <v>PNP'!</v>
      </c>
      <c r="F3803" s="5" t="str">
        <f t="shared" si="874"/>
        <v>C:\Users\jaime.benazar\Quorum Business Solutions\Ecopetrol Prometeo - Documents\Planning Space Implementation\3. Analysis &amp; Design\Design\FC22\DRR Jaime\QUIFA-CAJÚA\Cajua\[VAS_CAJUA_CF_SEC_20230125.xlsx]CF PNP'!</v>
      </c>
      <c r="G3803" s="6" t="s">
        <v>60</v>
      </c>
      <c r="H3803" s="1">
        <f t="shared" ref="H3803:H3822" si="876">IF(A3803&lt;&gt;A3802,36,H3802+1)</f>
        <v>37</v>
      </c>
      <c r="I3803" s="1" t="str">
        <f t="shared" si="875"/>
        <v>='C:\Users\jaime.benazar\Quorum Business Solutions\Ecopetrol Prometeo - Documents\Planning Space Implementation\3. Analysis &amp; Design\Design\FC22\DRR Jaime\QUIFA-CAJÚA\Cajua\[VAS_CAJUA_CF_SEC_20230125.xlsx]CF PNP'!$BY$37</v>
      </c>
      <c r="J3803" s="1" t="s">
        <v>1832</v>
      </c>
    </row>
    <row r="3804" spans="1:10" x14ac:dyDescent="0.25">
      <c r="A3804" s="6" t="s">
        <v>2</v>
      </c>
      <c r="B3804" s="6">
        <f t="shared" ref="B3804:B3815" si="877">+B3803+1</f>
        <v>2025</v>
      </c>
      <c r="C3804" s="1" t="s">
        <v>109</v>
      </c>
      <c r="D3804" s="2" t="s">
        <v>128</v>
      </c>
      <c r="E3804" s="9" t="str">
        <f t="shared" si="866"/>
        <v>PNP'!</v>
      </c>
      <c r="F3804" s="5" t="str">
        <f t="shared" si="874"/>
        <v>C:\Users\jaime.benazar\Quorum Business Solutions\Ecopetrol Prometeo - Documents\Planning Space Implementation\3. Analysis &amp; Design\Design\FC22\DRR Jaime\QUIFA-CAJÚA\Cajua\[VAS_CAJUA_CF_SEC_20230125.xlsx]CF PNP'!</v>
      </c>
      <c r="G3804" s="6" t="s">
        <v>60</v>
      </c>
      <c r="H3804" s="1">
        <f t="shared" si="876"/>
        <v>38</v>
      </c>
      <c r="I3804" s="1" t="str">
        <f t="shared" si="875"/>
        <v>='C:\Users\jaime.benazar\Quorum Business Solutions\Ecopetrol Prometeo - Documents\Planning Space Implementation\3. Analysis &amp; Design\Design\FC22\DRR Jaime\QUIFA-CAJÚA\Cajua\[VAS_CAJUA_CF_SEC_20230125.xlsx]CF PNP'!$BY$38</v>
      </c>
      <c r="J3804" s="1" t="s">
        <v>1833</v>
      </c>
    </row>
    <row r="3805" spans="1:10" x14ac:dyDescent="0.25">
      <c r="A3805" s="6" t="s">
        <v>2</v>
      </c>
      <c r="B3805" s="6">
        <f t="shared" si="877"/>
        <v>2026</v>
      </c>
      <c r="C3805" s="1" t="s">
        <v>109</v>
      </c>
      <c r="D3805" s="2" t="s">
        <v>128</v>
      </c>
      <c r="E3805" s="9" t="str">
        <f t="shared" si="866"/>
        <v>PNP'!</v>
      </c>
      <c r="F3805" s="5" t="str">
        <f t="shared" si="874"/>
        <v>C:\Users\jaime.benazar\Quorum Business Solutions\Ecopetrol Prometeo - Documents\Planning Space Implementation\3. Analysis &amp; Design\Design\FC22\DRR Jaime\QUIFA-CAJÚA\Cajua\[VAS_CAJUA_CF_SEC_20230125.xlsx]CF PNP'!</v>
      </c>
      <c r="G3805" s="6" t="s">
        <v>60</v>
      </c>
      <c r="H3805" s="1">
        <f t="shared" si="876"/>
        <v>39</v>
      </c>
      <c r="I3805" s="1" t="str">
        <f t="shared" si="875"/>
        <v>='C:\Users\jaime.benazar\Quorum Business Solutions\Ecopetrol Prometeo - Documents\Planning Space Implementation\3. Analysis &amp; Design\Design\FC22\DRR Jaime\QUIFA-CAJÚA\Cajua\[VAS_CAJUA_CF_SEC_20230125.xlsx]CF PNP'!$BY$39</v>
      </c>
      <c r="J3805" s="1" t="s">
        <v>1834</v>
      </c>
    </row>
    <row r="3806" spans="1:10" x14ac:dyDescent="0.25">
      <c r="A3806" s="6" t="s">
        <v>2</v>
      </c>
      <c r="B3806" s="6">
        <f t="shared" si="877"/>
        <v>2027</v>
      </c>
      <c r="C3806" s="1" t="s">
        <v>109</v>
      </c>
      <c r="D3806" s="2" t="s">
        <v>128</v>
      </c>
      <c r="E3806" s="9" t="str">
        <f t="shared" si="866"/>
        <v>PNP'!</v>
      </c>
      <c r="F3806" s="5" t="str">
        <f t="shared" si="874"/>
        <v>C:\Users\jaime.benazar\Quorum Business Solutions\Ecopetrol Prometeo - Documents\Planning Space Implementation\3. Analysis &amp; Design\Design\FC22\DRR Jaime\QUIFA-CAJÚA\Cajua\[VAS_CAJUA_CF_SEC_20230125.xlsx]CF PNP'!</v>
      </c>
      <c r="G3806" s="6" t="s">
        <v>60</v>
      </c>
      <c r="H3806" s="1">
        <f t="shared" si="876"/>
        <v>40</v>
      </c>
      <c r="I3806" s="1" t="str">
        <f t="shared" si="875"/>
        <v>='C:\Users\jaime.benazar\Quorum Business Solutions\Ecopetrol Prometeo - Documents\Planning Space Implementation\3. Analysis &amp; Design\Design\FC22\DRR Jaime\QUIFA-CAJÚA\Cajua\[VAS_CAJUA_CF_SEC_20230125.xlsx]CF PNP'!$BY$40</v>
      </c>
      <c r="J3806" s="1" t="s">
        <v>1835</v>
      </c>
    </row>
    <row r="3807" spans="1:10" x14ac:dyDescent="0.25">
      <c r="A3807" s="6" t="s">
        <v>2</v>
      </c>
      <c r="B3807" s="6">
        <f t="shared" si="877"/>
        <v>2028</v>
      </c>
      <c r="C3807" s="1" t="s">
        <v>109</v>
      </c>
      <c r="D3807" s="2" t="s">
        <v>128</v>
      </c>
      <c r="E3807" s="9" t="str">
        <f t="shared" si="866"/>
        <v>PNP'!</v>
      </c>
      <c r="F3807" s="5" t="str">
        <f t="shared" si="874"/>
        <v>C:\Users\jaime.benazar\Quorum Business Solutions\Ecopetrol Prometeo - Documents\Planning Space Implementation\3. Analysis &amp; Design\Design\FC22\DRR Jaime\QUIFA-CAJÚA\Cajua\[VAS_CAJUA_CF_SEC_20230125.xlsx]CF PNP'!</v>
      </c>
      <c r="G3807" s="6" t="s">
        <v>60</v>
      </c>
      <c r="H3807" s="1">
        <f t="shared" si="876"/>
        <v>41</v>
      </c>
      <c r="I3807" s="1" t="str">
        <f t="shared" si="875"/>
        <v>='C:\Users\jaime.benazar\Quorum Business Solutions\Ecopetrol Prometeo - Documents\Planning Space Implementation\3. Analysis &amp; Design\Design\FC22\DRR Jaime\QUIFA-CAJÚA\Cajua\[VAS_CAJUA_CF_SEC_20230125.xlsx]CF PNP'!$BY$41</v>
      </c>
      <c r="J3807" s="1" t="s">
        <v>1836</v>
      </c>
    </row>
    <row r="3808" spans="1:10" x14ac:dyDescent="0.25">
      <c r="A3808" s="6" t="s">
        <v>2</v>
      </c>
      <c r="B3808" s="6">
        <f t="shared" si="877"/>
        <v>2029</v>
      </c>
      <c r="C3808" s="1" t="s">
        <v>109</v>
      </c>
      <c r="D3808" s="2" t="s">
        <v>128</v>
      </c>
      <c r="E3808" s="9" t="str">
        <f t="shared" si="866"/>
        <v>PNP'!</v>
      </c>
      <c r="F3808" s="5" t="str">
        <f t="shared" si="874"/>
        <v>C:\Users\jaime.benazar\Quorum Business Solutions\Ecopetrol Prometeo - Documents\Planning Space Implementation\3. Analysis &amp; Design\Design\FC22\DRR Jaime\QUIFA-CAJÚA\Cajua\[VAS_CAJUA_CF_SEC_20230125.xlsx]CF PNP'!</v>
      </c>
      <c r="G3808" s="6" t="s">
        <v>60</v>
      </c>
      <c r="H3808" s="1">
        <f t="shared" si="876"/>
        <v>42</v>
      </c>
      <c r="I3808" s="1" t="str">
        <f t="shared" si="875"/>
        <v>='C:\Users\jaime.benazar\Quorum Business Solutions\Ecopetrol Prometeo - Documents\Planning Space Implementation\3. Analysis &amp; Design\Design\FC22\DRR Jaime\QUIFA-CAJÚA\Cajua\[VAS_CAJUA_CF_SEC_20230125.xlsx]CF PNP'!$BY$42</v>
      </c>
      <c r="J3808" s="1" t="s">
        <v>1837</v>
      </c>
    </row>
    <row r="3809" spans="1:10" x14ac:dyDescent="0.25">
      <c r="A3809" s="6" t="s">
        <v>2</v>
      </c>
      <c r="B3809" s="6">
        <f t="shared" si="877"/>
        <v>2030</v>
      </c>
      <c r="C3809" s="1" t="s">
        <v>109</v>
      </c>
      <c r="D3809" s="2" t="s">
        <v>128</v>
      </c>
      <c r="E3809" s="9" t="str">
        <f t="shared" si="866"/>
        <v>PNP'!</v>
      </c>
      <c r="F3809" s="5" t="str">
        <f t="shared" si="874"/>
        <v>C:\Users\jaime.benazar\Quorum Business Solutions\Ecopetrol Prometeo - Documents\Planning Space Implementation\3. Analysis &amp; Design\Design\FC22\DRR Jaime\QUIFA-CAJÚA\Cajua\[VAS_CAJUA_CF_SEC_20230125.xlsx]CF PNP'!</v>
      </c>
      <c r="G3809" s="6" t="s">
        <v>60</v>
      </c>
      <c r="H3809" s="1">
        <f t="shared" si="876"/>
        <v>43</v>
      </c>
      <c r="I3809" s="1" t="str">
        <f t="shared" si="875"/>
        <v>='C:\Users\jaime.benazar\Quorum Business Solutions\Ecopetrol Prometeo - Documents\Planning Space Implementation\3. Analysis &amp; Design\Design\FC22\DRR Jaime\QUIFA-CAJÚA\Cajua\[VAS_CAJUA_CF_SEC_20230125.xlsx]CF PNP'!$BY$43</v>
      </c>
      <c r="J3809" s="1" t="s">
        <v>1838</v>
      </c>
    </row>
    <row r="3810" spans="1:10" x14ac:dyDescent="0.25">
      <c r="A3810" s="6" t="s">
        <v>2</v>
      </c>
      <c r="B3810" s="6">
        <f t="shared" si="877"/>
        <v>2031</v>
      </c>
      <c r="C3810" s="1" t="s">
        <v>109</v>
      </c>
      <c r="D3810" s="2" t="s">
        <v>128</v>
      </c>
      <c r="E3810" s="9" t="str">
        <f t="shared" si="866"/>
        <v>PNP'!</v>
      </c>
      <c r="F3810" s="5" t="str">
        <f t="shared" si="874"/>
        <v>C:\Users\jaime.benazar\Quorum Business Solutions\Ecopetrol Prometeo - Documents\Planning Space Implementation\3. Analysis &amp; Design\Design\FC22\DRR Jaime\QUIFA-CAJÚA\Cajua\[VAS_CAJUA_CF_SEC_20230125.xlsx]CF PNP'!</v>
      </c>
      <c r="G3810" s="6" t="s">
        <v>60</v>
      </c>
      <c r="H3810" s="1">
        <f t="shared" si="876"/>
        <v>44</v>
      </c>
      <c r="I3810" s="1" t="str">
        <f t="shared" si="875"/>
        <v>='C:\Users\jaime.benazar\Quorum Business Solutions\Ecopetrol Prometeo - Documents\Planning Space Implementation\3. Analysis &amp; Design\Design\FC22\DRR Jaime\QUIFA-CAJÚA\Cajua\[VAS_CAJUA_CF_SEC_20230125.xlsx]CF PNP'!$BY$44</v>
      </c>
      <c r="J3810" s="1" t="s">
        <v>1839</v>
      </c>
    </row>
    <row r="3811" spans="1:10" x14ac:dyDescent="0.25">
      <c r="A3811" s="6" t="s">
        <v>2</v>
      </c>
      <c r="B3811" s="6">
        <f t="shared" si="877"/>
        <v>2032</v>
      </c>
      <c r="C3811" s="1" t="s">
        <v>109</v>
      </c>
      <c r="D3811" s="2" t="s">
        <v>128</v>
      </c>
      <c r="E3811" s="9" t="str">
        <f t="shared" si="866"/>
        <v>PNP'!</v>
      </c>
      <c r="F3811" s="5" t="str">
        <f t="shared" si="874"/>
        <v>C:\Users\jaime.benazar\Quorum Business Solutions\Ecopetrol Prometeo - Documents\Planning Space Implementation\3. Analysis &amp; Design\Design\FC22\DRR Jaime\QUIFA-CAJÚA\Cajua\[VAS_CAJUA_CF_SEC_20230125.xlsx]CF PNP'!</v>
      </c>
      <c r="G3811" s="6" t="s">
        <v>60</v>
      </c>
      <c r="H3811" s="1">
        <f t="shared" si="876"/>
        <v>45</v>
      </c>
      <c r="I3811" s="1" t="str">
        <f t="shared" si="875"/>
        <v>='C:\Users\jaime.benazar\Quorum Business Solutions\Ecopetrol Prometeo - Documents\Planning Space Implementation\3. Analysis &amp; Design\Design\FC22\DRR Jaime\QUIFA-CAJÚA\Cajua\[VAS_CAJUA_CF_SEC_20230125.xlsx]CF PNP'!$BY$45</v>
      </c>
      <c r="J3811" s="1" t="s">
        <v>1840</v>
      </c>
    </row>
    <row r="3812" spans="1:10" x14ac:dyDescent="0.25">
      <c r="A3812" s="6" t="s">
        <v>2</v>
      </c>
      <c r="B3812" s="6">
        <f t="shared" si="877"/>
        <v>2033</v>
      </c>
      <c r="C3812" s="1" t="s">
        <v>109</v>
      </c>
      <c r="D3812" s="2" t="s">
        <v>128</v>
      </c>
      <c r="E3812" s="9" t="str">
        <f t="shared" si="866"/>
        <v>PNP'!</v>
      </c>
      <c r="F3812" s="5" t="str">
        <f t="shared" si="874"/>
        <v>C:\Users\jaime.benazar\Quorum Business Solutions\Ecopetrol Prometeo - Documents\Planning Space Implementation\3. Analysis &amp; Design\Design\FC22\DRR Jaime\QUIFA-CAJÚA\Cajua\[VAS_CAJUA_CF_SEC_20230125.xlsx]CF PNP'!</v>
      </c>
      <c r="G3812" s="6" t="s">
        <v>60</v>
      </c>
      <c r="H3812" s="1">
        <f t="shared" si="876"/>
        <v>46</v>
      </c>
      <c r="I3812" s="1" t="str">
        <f t="shared" si="875"/>
        <v>='C:\Users\jaime.benazar\Quorum Business Solutions\Ecopetrol Prometeo - Documents\Planning Space Implementation\3. Analysis &amp; Design\Design\FC22\DRR Jaime\QUIFA-CAJÚA\Cajua\[VAS_CAJUA_CF_SEC_20230125.xlsx]CF PNP'!$BY$46</v>
      </c>
      <c r="J3812" s="1" t="s">
        <v>1841</v>
      </c>
    </row>
    <row r="3813" spans="1:10" x14ac:dyDescent="0.25">
      <c r="A3813" s="6" t="s">
        <v>2</v>
      </c>
      <c r="B3813" s="6">
        <f t="shared" si="877"/>
        <v>2034</v>
      </c>
      <c r="C3813" s="1" t="s">
        <v>109</v>
      </c>
      <c r="D3813" s="2" t="s">
        <v>128</v>
      </c>
      <c r="E3813" s="9" t="str">
        <f t="shared" si="866"/>
        <v>PNP'!</v>
      </c>
      <c r="F3813" s="5" t="str">
        <f t="shared" si="874"/>
        <v>C:\Users\jaime.benazar\Quorum Business Solutions\Ecopetrol Prometeo - Documents\Planning Space Implementation\3. Analysis &amp; Design\Design\FC22\DRR Jaime\QUIFA-CAJÚA\Cajua\[VAS_CAJUA_CF_SEC_20230125.xlsx]CF PNP'!</v>
      </c>
      <c r="G3813" s="6" t="s">
        <v>60</v>
      </c>
      <c r="H3813" s="1">
        <f t="shared" si="876"/>
        <v>47</v>
      </c>
      <c r="I3813" s="1" t="str">
        <f t="shared" si="875"/>
        <v>='C:\Users\jaime.benazar\Quorum Business Solutions\Ecopetrol Prometeo - Documents\Planning Space Implementation\3. Analysis &amp; Design\Design\FC22\DRR Jaime\QUIFA-CAJÚA\Cajua\[VAS_CAJUA_CF_SEC_20230125.xlsx]CF PNP'!$BY$47</v>
      </c>
      <c r="J3813" s="1" t="s">
        <v>1842</v>
      </c>
    </row>
    <row r="3814" spans="1:10" x14ac:dyDescent="0.25">
      <c r="A3814" s="6" t="s">
        <v>2</v>
      </c>
      <c r="B3814" s="6">
        <f t="shared" si="877"/>
        <v>2035</v>
      </c>
      <c r="C3814" s="1" t="s">
        <v>109</v>
      </c>
      <c r="D3814" s="2" t="s">
        <v>128</v>
      </c>
      <c r="E3814" s="9" t="str">
        <f t="shared" si="866"/>
        <v>PNP'!</v>
      </c>
      <c r="F3814" s="5" t="str">
        <f t="shared" si="874"/>
        <v>C:\Users\jaime.benazar\Quorum Business Solutions\Ecopetrol Prometeo - Documents\Planning Space Implementation\3. Analysis &amp; Design\Design\FC22\DRR Jaime\QUIFA-CAJÚA\Cajua\[VAS_CAJUA_CF_SEC_20230125.xlsx]CF PNP'!</v>
      </c>
      <c r="G3814" s="6" t="s">
        <v>60</v>
      </c>
      <c r="H3814" s="1">
        <f t="shared" si="876"/>
        <v>48</v>
      </c>
      <c r="I3814" s="1" t="str">
        <f t="shared" si="875"/>
        <v>='C:\Users\jaime.benazar\Quorum Business Solutions\Ecopetrol Prometeo - Documents\Planning Space Implementation\3. Analysis &amp; Design\Design\FC22\DRR Jaime\QUIFA-CAJÚA\Cajua\[VAS_CAJUA_CF_SEC_20230125.xlsx]CF PNP'!$BY$48</v>
      </c>
      <c r="J3814" s="1" t="s">
        <v>1843</v>
      </c>
    </row>
    <row r="3815" spans="1:10" x14ac:dyDescent="0.25">
      <c r="A3815" s="6" t="s">
        <v>2</v>
      </c>
      <c r="B3815" s="6">
        <f t="shared" si="877"/>
        <v>2036</v>
      </c>
      <c r="C3815" s="1" t="s">
        <v>109</v>
      </c>
      <c r="D3815" s="2" t="s">
        <v>128</v>
      </c>
      <c r="E3815" s="9" t="str">
        <f t="shared" si="866"/>
        <v>PNP'!</v>
      </c>
      <c r="F3815" s="5" t="str">
        <f t="shared" si="874"/>
        <v>C:\Users\jaime.benazar\Quorum Business Solutions\Ecopetrol Prometeo - Documents\Planning Space Implementation\3. Analysis &amp; Design\Design\FC22\DRR Jaime\QUIFA-CAJÚA\Cajua\[VAS_CAJUA_CF_SEC_20230125.xlsx]CF PNP'!</v>
      </c>
      <c r="G3815" s="6" t="s">
        <v>60</v>
      </c>
      <c r="H3815" s="1">
        <f t="shared" si="876"/>
        <v>49</v>
      </c>
      <c r="I3815" s="1" t="str">
        <f t="shared" si="875"/>
        <v>='C:\Users\jaime.benazar\Quorum Business Solutions\Ecopetrol Prometeo - Documents\Planning Space Implementation\3. Analysis &amp; Design\Design\FC22\DRR Jaime\QUIFA-CAJÚA\Cajua\[VAS_CAJUA_CF_SEC_20230125.xlsx]CF PNP'!$BY$49</v>
      </c>
      <c r="J3815" s="1" t="s">
        <v>1844</v>
      </c>
    </row>
    <row r="3816" spans="1:10" x14ac:dyDescent="0.25">
      <c r="A3816" s="6" t="s">
        <v>2</v>
      </c>
      <c r="B3816" s="6">
        <f>+B3815+1</f>
        <v>2037</v>
      </c>
      <c r="C3816" s="1" t="s">
        <v>109</v>
      </c>
      <c r="D3816" s="2" t="s">
        <v>128</v>
      </c>
      <c r="E3816" s="9" t="str">
        <f t="shared" si="866"/>
        <v>PNP'!</v>
      </c>
      <c r="F3816" s="5" t="str">
        <f t="shared" si="874"/>
        <v>C:\Users\jaime.benazar\Quorum Business Solutions\Ecopetrol Prometeo - Documents\Planning Space Implementation\3. Analysis &amp; Design\Design\FC22\DRR Jaime\QUIFA-CAJÚA\Cajua\[VAS_CAJUA_CF_SEC_20230125.xlsx]CF PNP'!</v>
      </c>
      <c r="G3816" s="6" t="s">
        <v>60</v>
      </c>
      <c r="H3816" s="1">
        <f t="shared" si="876"/>
        <v>50</v>
      </c>
      <c r="I3816" s="1" t="str">
        <f t="shared" si="875"/>
        <v>='C:\Users\jaime.benazar\Quorum Business Solutions\Ecopetrol Prometeo - Documents\Planning Space Implementation\3. Analysis &amp; Design\Design\FC22\DRR Jaime\QUIFA-CAJÚA\Cajua\[VAS_CAJUA_CF_SEC_20230125.xlsx]CF PNP'!$BY$50</v>
      </c>
      <c r="J3816" s="1" t="s">
        <v>1845</v>
      </c>
    </row>
    <row r="3817" spans="1:10" x14ac:dyDescent="0.25">
      <c r="A3817" s="6" t="s">
        <v>2</v>
      </c>
      <c r="B3817" s="6">
        <f t="shared" ref="B3817:B3819" si="878">+B3816+1</f>
        <v>2038</v>
      </c>
      <c r="C3817" s="1" t="s">
        <v>109</v>
      </c>
      <c r="D3817" s="2" t="s">
        <v>128</v>
      </c>
      <c r="E3817" s="9" t="str">
        <f t="shared" si="866"/>
        <v>PNP'!</v>
      </c>
      <c r="F3817" s="5" t="str">
        <f t="shared" si="874"/>
        <v>C:\Users\jaime.benazar\Quorum Business Solutions\Ecopetrol Prometeo - Documents\Planning Space Implementation\3. Analysis &amp; Design\Design\FC22\DRR Jaime\QUIFA-CAJÚA\Cajua\[VAS_CAJUA_CF_SEC_20230125.xlsx]CF PNP'!</v>
      </c>
      <c r="G3817" s="6" t="s">
        <v>60</v>
      </c>
      <c r="H3817" s="1">
        <f t="shared" si="876"/>
        <v>51</v>
      </c>
      <c r="I3817" s="1" t="str">
        <f t="shared" si="875"/>
        <v>='C:\Users\jaime.benazar\Quorum Business Solutions\Ecopetrol Prometeo - Documents\Planning Space Implementation\3. Analysis &amp; Design\Design\FC22\DRR Jaime\QUIFA-CAJÚA\Cajua\[VAS_CAJUA_CF_SEC_20230125.xlsx]CF PNP'!$BY$51</v>
      </c>
      <c r="J3817" s="1" t="s">
        <v>1846</v>
      </c>
    </row>
    <row r="3818" spans="1:10" x14ac:dyDescent="0.25">
      <c r="A3818" s="6" t="s">
        <v>2</v>
      </c>
      <c r="B3818" s="6">
        <f t="shared" si="878"/>
        <v>2039</v>
      </c>
      <c r="C3818" s="1" t="s">
        <v>109</v>
      </c>
      <c r="D3818" s="2" t="s">
        <v>128</v>
      </c>
      <c r="E3818" s="9" t="str">
        <f t="shared" si="866"/>
        <v>PNP'!</v>
      </c>
      <c r="F3818" s="5" t="str">
        <f t="shared" si="874"/>
        <v>C:\Users\jaime.benazar\Quorum Business Solutions\Ecopetrol Prometeo - Documents\Planning Space Implementation\3. Analysis &amp; Design\Design\FC22\DRR Jaime\QUIFA-CAJÚA\Cajua\[VAS_CAJUA_CF_SEC_20230125.xlsx]CF PNP'!</v>
      </c>
      <c r="G3818" s="6" t="s">
        <v>60</v>
      </c>
      <c r="H3818" s="1">
        <f t="shared" si="876"/>
        <v>52</v>
      </c>
      <c r="I3818" s="1" t="str">
        <f t="shared" si="875"/>
        <v>='C:\Users\jaime.benazar\Quorum Business Solutions\Ecopetrol Prometeo - Documents\Planning Space Implementation\3. Analysis &amp; Design\Design\FC22\DRR Jaime\QUIFA-CAJÚA\Cajua\[VAS_CAJUA_CF_SEC_20230125.xlsx]CF PNP'!$BY$52</v>
      </c>
      <c r="J3818" s="1" t="s">
        <v>1847</v>
      </c>
    </row>
    <row r="3819" spans="1:10" x14ac:dyDescent="0.25">
      <c r="A3819" s="6" t="s">
        <v>2</v>
      </c>
      <c r="B3819" s="6">
        <f t="shared" si="878"/>
        <v>2040</v>
      </c>
      <c r="C3819" s="1" t="s">
        <v>109</v>
      </c>
      <c r="D3819" s="2" t="s">
        <v>128</v>
      </c>
      <c r="E3819" s="9" t="str">
        <f t="shared" si="866"/>
        <v>PNP'!</v>
      </c>
      <c r="F3819" s="5" t="str">
        <f t="shared" si="874"/>
        <v>C:\Users\jaime.benazar\Quorum Business Solutions\Ecopetrol Prometeo - Documents\Planning Space Implementation\3. Analysis &amp; Design\Design\FC22\DRR Jaime\QUIFA-CAJÚA\Cajua\[VAS_CAJUA_CF_SEC_20230125.xlsx]CF PNP'!</v>
      </c>
      <c r="G3819" s="6" t="s">
        <v>60</v>
      </c>
      <c r="H3819" s="1">
        <f t="shared" si="876"/>
        <v>53</v>
      </c>
      <c r="I3819" s="1" t="str">
        <f t="shared" si="875"/>
        <v>='C:\Users\jaime.benazar\Quorum Business Solutions\Ecopetrol Prometeo - Documents\Planning Space Implementation\3. Analysis &amp; Design\Design\FC22\DRR Jaime\QUIFA-CAJÚA\Cajua\[VAS_CAJUA_CF_SEC_20230125.xlsx]CF PNP'!$BY$53</v>
      </c>
      <c r="J3819" s="1" t="s">
        <v>1848</v>
      </c>
    </row>
    <row r="3820" spans="1:10" x14ac:dyDescent="0.25">
      <c r="A3820" s="6" t="s">
        <v>2</v>
      </c>
      <c r="B3820" s="6">
        <f>+B3819+1</f>
        <v>2041</v>
      </c>
      <c r="C3820" s="1" t="s">
        <v>109</v>
      </c>
      <c r="D3820" s="2" t="s">
        <v>128</v>
      </c>
      <c r="E3820" s="9" t="str">
        <f t="shared" si="866"/>
        <v>PNP'!</v>
      </c>
      <c r="F3820" s="5" t="str">
        <f t="shared" si="874"/>
        <v>C:\Users\jaime.benazar\Quorum Business Solutions\Ecopetrol Prometeo - Documents\Planning Space Implementation\3. Analysis &amp; Design\Design\FC22\DRR Jaime\QUIFA-CAJÚA\Cajua\[VAS_CAJUA_CF_SEC_20230125.xlsx]CF PNP'!</v>
      </c>
      <c r="G3820" s="6" t="s">
        <v>60</v>
      </c>
      <c r="H3820" s="1">
        <f t="shared" si="876"/>
        <v>54</v>
      </c>
      <c r="I3820" s="1" t="str">
        <f t="shared" si="875"/>
        <v>='C:\Users\jaime.benazar\Quorum Business Solutions\Ecopetrol Prometeo - Documents\Planning Space Implementation\3. Analysis &amp; Design\Design\FC22\DRR Jaime\QUIFA-CAJÚA\Cajua\[VAS_CAJUA_CF_SEC_20230125.xlsx]CF PNP'!$BY$54</v>
      </c>
      <c r="J3820" s="1" t="s">
        <v>1849</v>
      </c>
    </row>
    <row r="3821" spans="1:10" x14ac:dyDescent="0.25">
      <c r="A3821" s="6" t="s">
        <v>2</v>
      </c>
      <c r="B3821" s="6">
        <f t="shared" ref="B3821:B3822" si="879">+B3820+1</f>
        <v>2042</v>
      </c>
      <c r="C3821" s="1" t="s">
        <v>109</v>
      </c>
      <c r="D3821" s="2" t="s">
        <v>128</v>
      </c>
      <c r="E3821" s="9" t="str">
        <f t="shared" si="866"/>
        <v>PNP'!</v>
      </c>
      <c r="F3821" s="5" t="str">
        <f t="shared" si="874"/>
        <v>C:\Users\jaime.benazar\Quorum Business Solutions\Ecopetrol Prometeo - Documents\Planning Space Implementation\3. Analysis &amp; Design\Design\FC22\DRR Jaime\QUIFA-CAJÚA\Cajua\[VAS_CAJUA_CF_SEC_20230125.xlsx]CF PNP'!</v>
      </c>
      <c r="G3821" s="6" t="s">
        <v>60</v>
      </c>
      <c r="H3821" s="1">
        <f t="shared" si="876"/>
        <v>55</v>
      </c>
      <c r="I3821" s="1" t="str">
        <f t="shared" si="875"/>
        <v>='C:\Users\jaime.benazar\Quorum Business Solutions\Ecopetrol Prometeo - Documents\Planning Space Implementation\3. Analysis &amp; Design\Design\FC22\DRR Jaime\QUIFA-CAJÚA\Cajua\[VAS_CAJUA_CF_SEC_20230125.xlsx]CF PNP'!$BY$55</v>
      </c>
      <c r="J3821" s="1" t="s">
        <v>1850</v>
      </c>
    </row>
    <row r="3822" spans="1:10" x14ac:dyDescent="0.25">
      <c r="A3822" s="6" t="s">
        <v>2</v>
      </c>
      <c r="B3822" s="6">
        <f t="shared" si="879"/>
        <v>2043</v>
      </c>
      <c r="C3822" s="1" t="s">
        <v>109</v>
      </c>
      <c r="D3822" s="2" t="s">
        <v>128</v>
      </c>
      <c r="E3822" s="9" t="str">
        <f t="shared" si="866"/>
        <v>PNP'!</v>
      </c>
      <c r="F3822" s="5" t="str">
        <f t="shared" si="874"/>
        <v>C:\Users\jaime.benazar\Quorum Business Solutions\Ecopetrol Prometeo - Documents\Planning Space Implementation\3. Analysis &amp; Design\Design\FC22\DRR Jaime\QUIFA-CAJÚA\Cajua\[VAS_CAJUA_CF_SEC_20230125.xlsx]CF PNP'!</v>
      </c>
      <c r="G3822" s="6" t="s">
        <v>60</v>
      </c>
      <c r="H3822" s="1">
        <f t="shared" si="876"/>
        <v>56</v>
      </c>
      <c r="I3822" s="1" t="str">
        <f t="shared" si="875"/>
        <v>='C:\Users\jaime.benazar\Quorum Business Solutions\Ecopetrol Prometeo - Documents\Planning Space Implementation\3. Analysis &amp; Design\Design\FC22\DRR Jaime\QUIFA-CAJÚA\Cajua\[VAS_CAJUA_CF_SEC_20230125.xlsx]CF PNP'!$BY$56</v>
      </c>
      <c r="J3822" s="1" t="s">
        <v>1851</v>
      </c>
    </row>
    <row r="3823" spans="1:10" x14ac:dyDescent="0.25">
      <c r="A3823" s="6" t="s">
        <v>2</v>
      </c>
      <c r="B3823" s="6">
        <f>+B3822+1</f>
        <v>2044</v>
      </c>
      <c r="C3823" s="1" t="s">
        <v>109</v>
      </c>
      <c r="D3823" s="2" t="s">
        <v>128</v>
      </c>
      <c r="E3823" s="9" t="str">
        <f t="shared" ref="E3823:E3838" si="880">_xlfn.CONCAT(A3823,"'!")</f>
        <v>PNP'!</v>
      </c>
      <c r="F3823" s="5" t="str">
        <f t="shared" ref="F3823:F3838" si="881">_xlfn.CONCAT(D3823," ",E3823)</f>
        <v>C:\Users\jaime.benazar\Quorum Business Solutions\Ecopetrol Prometeo - Documents\Planning Space Implementation\3. Analysis &amp; Design\Design\FC22\DRR Jaime\QUIFA-CAJÚA\Cajua\[VAS_CAJUA_CF_SEC_20230125.xlsx]CF PNP'!</v>
      </c>
      <c r="G3823" s="6" t="s">
        <v>60</v>
      </c>
      <c r="H3823" s="1">
        <f t="shared" ref="H3823:H3838" si="882">IF(A3823&lt;&gt;A3822,36,H3822+1)</f>
        <v>57</v>
      </c>
      <c r="I3823" s="1" t="str">
        <f t="shared" ref="I3823:I3838" si="883">_xlfn.CONCAT("='",F3823:H3823)</f>
        <v>='C:\Users\jaime.benazar\Quorum Business Solutions\Ecopetrol Prometeo - Documents\Planning Space Implementation\3. Analysis &amp; Design\Design\FC22\DRR Jaime\QUIFA-CAJÚA\Cajua\[VAS_CAJUA_CF_SEC_20230125.xlsx]CF PNP'!$BY$57</v>
      </c>
      <c r="J3823" s="1" t="s">
        <v>1852</v>
      </c>
    </row>
    <row r="3824" spans="1:10" x14ac:dyDescent="0.25">
      <c r="A3824" s="6" t="s">
        <v>2</v>
      </c>
      <c r="B3824" s="6">
        <f t="shared" ref="B3824:B3838" si="884">+B3823+1</f>
        <v>2045</v>
      </c>
      <c r="C3824" s="1" t="s">
        <v>109</v>
      </c>
      <c r="D3824" s="2" t="s">
        <v>128</v>
      </c>
      <c r="E3824" s="9" t="str">
        <f t="shared" si="880"/>
        <v>PNP'!</v>
      </c>
      <c r="F3824" s="5" t="str">
        <f t="shared" si="881"/>
        <v>C:\Users\jaime.benazar\Quorum Business Solutions\Ecopetrol Prometeo - Documents\Planning Space Implementation\3. Analysis &amp; Design\Design\FC22\DRR Jaime\QUIFA-CAJÚA\Cajua\[VAS_CAJUA_CF_SEC_20230125.xlsx]CF PNP'!</v>
      </c>
      <c r="G3824" s="6" t="s">
        <v>60</v>
      </c>
      <c r="H3824" s="1">
        <f t="shared" si="882"/>
        <v>58</v>
      </c>
      <c r="I3824" s="1" t="str">
        <f t="shared" si="883"/>
        <v>='C:\Users\jaime.benazar\Quorum Business Solutions\Ecopetrol Prometeo - Documents\Planning Space Implementation\3. Analysis &amp; Design\Design\FC22\DRR Jaime\QUIFA-CAJÚA\Cajua\[VAS_CAJUA_CF_SEC_20230125.xlsx]CF PNP'!$BY$58</v>
      </c>
      <c r="J3824" s="1" t="s">
        <v>1853</v>
      </c>
    </row>
    <row r="3825" spans="1:10" x14ac:dyDescent="0.25">
      <c r="A3825" s="6" t="s">
        <v>2</v>
      </c>
      <c r="B3825" s="6">
        <f t="shared" si="884"/>
        <v>2046</v>
      </c>
      <c r="C3825" s="1" t="s">
        <v>109</v>
      </c>
      <c r="D3825" s="2" t="s">
        <v>128</v>
      </c>
      <c r="E3825" s="9" t="str">
        <f t="shared" si="880"/>
        <v>PNP'!</v>
      </c>
      <c r="F3825" s="5" t="str">
        <f t="shared" si="881"/>
        <v>C:\Users\jaime.benazar\Quorum Business Solutions\Ecopetrol Prometeo - Documents\Planning Space Implementation\3. Analysis &amp; Design\Design\FC22\DRR Jaime\QUIFA-CAJÚA\Cajua\[VAS_CAJUA_CF_SEC_20230125.xlsx]CF PNP'!</v>
      </c>
      <c r="G3825" s="6" t="s">
        <v>60</v>
      </c>
      <c r="H3825" s="1">
        <f t="shared" si="882"/>
        <v>59</v>
      </c>
      <c r="I3825" s="1" t="str">
        <f t="shared" si="883"/>
        <v>='C:\Users\jaime.benazar\Quorum Business Solutions\Ecopetrol Prometeo - Documents\Planning Space Implementation\3. Analysis &amp; Design\Design\FC22\DRR Jaime\QUIFA-CAJÚA\Cajua\[VAS_CAJUA_CF_SEC_20230125.xlsx]CF PNP'!$BY$59</v>
      </c>
      <c r="J3825" s="1" t="s">
        <v>1854</v>
      </c>
    </row>
    <row r="3826" spans="1:10" x14ac:dyDescent="0.25">
      <c r="A3826" s="6" t="s">
        <v>2</v>
      </c>
      <c r="B3826" s="6">
        <f t="shared" si="884"/>
        <v>2047</v>
      </c>
      <c r="C3826" s="1" t="s">
        <v>109</v>
      </c>
      <c r="D3826" s="2" t="s">
        <v>128</v>
      </c>
      <c r="E3826" s="9" t="str">
        <f t="shared" si="880"/>
        <v>PNP'!</v>
      </c>
      <c r="F3826" s="5" t="str">
        <f t="shared" si="881"/>
        <v>C:\Users\jaime.benazar\Quorum Business Solutions\Ecopetrol Prometeo - Documents\Planning Space Implementation\3. Analysis &amp; Design\Design\FC22\DRR Jaime\QUIFA-CAJÚA\Cajua\[VAS_CAJUA_CF_SEC_20230125.xlsx]CF PNP'!</v>
      </c>
      <c r="G3826" s="6" t="s">
        <v>60</v>
      </c>
      <c r="H3826" s="1">
        <f t="shared" si="882"/>
        <v>60</v>
      </c>
      <c r="I3826" s="1" t="str">
        <f t="shared" si="883"/>
        <v>='C:\Users\jaime.benazar\Quorum Business Solutions\Ecopetrol Prometeo - Documents\Planning Space Implementation\3. Analysis &amp; Design\Design\FC22\DRR Jaime\QUIFA-CAJÚA\Cajua\[VAS_CAJUA_CF_SEC_20230125.xlsx]CF PNP'!$BY$60</v>
      </c>
      <c r="J3826" s="1" t="s">
        <v>1855</v>
      </c>
    </row>
    <row r="3827" spans="1:10" x14ac:dyDescent="0.25">
      <c r="A3827" s="6" t="s">
        <v>2</v>
      </c>
      <c r="B3827" s="6">
        <f t="shared" si="884"/>
        <v>2048</v>
      </c>
      <c r="C3827" s="1" t="s">
        <v>109</v>
      </c>
      <c r="D3827" s="2" t="s">
        <v>128</v>
      </c>
      <c r="E3827" s="9" t="str">
        <f t="shared" si="880"/>
        <v>PNP'!</v>
      </c>
      <c r="F3827" s="5" t="str">
        <f t="shared" si="881"/>
        <v>C:\Users\jaime.benazar\Quorum Business Solutions\Ecopetrol Prometeo - Documents\Planning Space Implementation\3. Analysis &amp; Design\Design\FC22\DRR Jaime\QUIFA-CAJÚA\Cajua\[VAS_CAJUA_CF_SEC_20230125.xlsx]CF PNP'!</v>
      </c>
      <c r="G3827" s="6" t="s">
        <v>60</v>
      </c>
      <c r="H3827" s="1">
        <f t="shared" si="882"/>
        <v>61</v>
      </c>
      <c r="I3827" s="1" t="str">
        <f t="shared" si="883"/>
        <v>='C:\Users\jaime.benazar\Quorum Business Solutions\Ecopetrol Prometeo - Documents\Planning Space Implementation\3. Analysis &amp; Design\Design\FC22\DRR Jaime\QUIFA-CAJÚA\Cajua\[VAS_CAJUA_CF_SEC_20230125.xlsx]CF PNP'!$BY$61</v>
      </c>
      <c r="J3827" s="1" t="s">
        <v>1856</v>
      </c>
    </row>
    <row r="3828" spans="1:10" x14ac:dyDescent="0.25">
      <c r="A3828" s="6" t="s">
        <v>2</v>
      </c>
      <c r="B3828" s="6">
        <f t="shared" si="884"/>
        <v>2049</v>
      </c>
      <c r="C3828" s="1" t="s">
        <v>109</v>
      </c>
      <c r="D3828" s="2" t="s">
        <v>128</v>
      </c>
      <c r="E3828" s="9" t="str">
        <f t="shared" si="880"/>
        <v>PNP'!</v>
      </c>
      <c r="F3828" s="5" t="str">
        <f t="shared" si="881"/>
        <v>C:\Users\jaime.benazar\Quorum Business Solutions\Ecopetrol Prometeo - Documents\Planning Space Implementation\3. Analysis &amp; Design\Design\FC22\DRR Jaime\QUIFA-CAJÚA\Cajua\[VAS_CAJUA_CF_SEC_20230125.xlsx]CF PNP'!</v>
      </c>
      <c r="G3828" s="6" t="s">
        <v>60</v>
      </c>
      <c r="H3828" s="1">
        <f t="shared" si="882"/>
        <v>62</v>
      </c>
      <c r="I3828" s="1" t="str">
        <f t="shared" si="883"/>
        <v>='C:\Users\jaime.benazar\Quorum Business Solutions\Ecopetrol Prometeo - Documents\Planning Space Implementation\3. Analysis &amp; Design\Design\FC22\DRR Jaime\QUIFA-CAJÚA\Cajua\[VAS_CAJUA_CF_SEC_20230125.xlsx]CF PNP'!$BY$62</v>
      </c>
      <c r="J3828" s="1" t="s">
        <v>1857</v>
      </c>
    </row>
    <row r="3829" spans="1:10" x14ac:dyDescent="0.25">
      <c r="A3829" s="6" t="s">
        <v>2</v>
      </c>
      <c r="B3829" s="6">
        <f t="shared" si="884"/>
        <v>2050</v>
      </c>
      <c r="C3829" s="1" t="s">
        <v>109</v>
      </c>
      <c r="D3829" s="2" t="s">
        <v>128</v>
      </c>
      <c r="E3829" s="9" t="str">
        <f t="shared" si="880"/>
        <v>PNP'!</v>
      </c>
      <c r="F3829" s="5" t="str">
        <f t="shared" si="881"/>
        <v>C:\Users\jaime.benazar\Quorum Business Solutions\Ecopetrol Prometeo - Documents\Planning Space Implementation\3. Analysis &amp; Design\Design\FC22\DRR Jaime\QUIFA-CAJÚA\Cajua\[VAS_CAJUA_CF_SEC_20230125.xlsx]CF PNP'!</v>
      </c>
      <c r="G3829" s="6" t="s">
        <v>60</v>
      </c>
      <c r="H3829" s="1">
        <f t="shared" si="882"/>
        <v>63</v>
      </c>
      <c r="I3829" s="1" t="str">
        <f t="shared" si="883"/>
        <v>='C:\Users\jaime.benazar\Quorum Business Solutions\Ecopetrol Prometeo - Documents\Planning Space Implementation\3. Analysis &amp; Design\Design\FC22\DRR Jaime\QUIFA-CAJÚA\Cajua\[VAS_CAJUA_CF_SEC_20230125.xlsx]CF PNP'!$BY$63</v>
      </c>
      <c r="J3829" s="1" t="s">
        <v>1858</v>
      </c>
    </row>
    <row r="3830" spans="1:10" x14ac:dyDescent="0.25">
      <c r="A3830" s="6" t="s">
        <v>2</v>
      </c>
      <c r="B3830" s="6">
        <f t="shared" si="884"/>
        <v>2051</v>
      </c>
      <c r="C3830" s="1" t="s">
        <v>109</v>
      </c>
      <c r="D3830" s="2" t="s">
        <v>128</v>
      </c>
      <c r="E3830" s="9" t="str">
        <f t="shared" si="880"/>
        <v>PNP'!</v>
      </c>
      <c r="F3830" s="5" t="str">
        <f t="shared" si="881"/>
        <v>C:\Users\jaime.benazar\Quorum Business Solutions\Ecopetrol Prometeo - Documents\Planning Space Implementation\3. Analysis &amp; Design\Design\FC22\DRR Jaime\QUIFA-CAJÚA\Cajua\[VAS_CAJUA_CF_SEC_20230125.xlsx]CF PNP'!</v>
      </c>
      <c r="G3830" s="6" t="s">
        <v>60</v>
      </c>
      <c r="H3830" s="1">
        <f t="shared" si="882"/>
        <v>64</v>
      </c>
      <c r="I3830" s="1" t="str">
        <f t="shared" si="883"/>
        <v>='C:\Users\jaime.benazar\Quorum Business Solutions\Ecopetrol Prometeo - Documents\Planning Space Implementation\3. Analysis &amp; Design\Design\FC22\DRR Jaime\QUIFA-CAJÚA\Cajua\[VAS_CAJUA_CF_SEC_20230125.xlsx]CF PNP'!$BY$64</v>
      </c>
      <c r="J3830" s="1" t="s">
        <v>1859</v>
      </c>
    </row>
    <row r="3831" spans="1:10" x14ac:dyDescent="0.25">
      <c r="A3831" s="6" t="s">
        <v>2</v>
      </c>
      <c r="B3831" s="6">
        <f t="shared" si="884"/>
        <v>2052</v>
      </c>
      <c r="C3831" s="1" t="s">
        <v>109</v>
      </c>
      <c r="D3831" s="2" t="s">
        <v>128</v>
      </c>
      <c r="E3831" s="9" t="str">
        <f t="shared" si="880"/>
        <v>PNP'!</v>
      </c>
      <c r="F3831" s="5" t="str">
        <f t="shared" si="881"/>
        <v>C:\Users\jaime.benazar\Quorum Business Solutions\Ecopetrol Prometeo - Documents\Planning Space Implementation\3. Analysis &amp; Design\Design\FC22\DRR Jaime\QUIFA-CAJÚA\Cajua\[VAS_CAJUA_CF_SEC_20230125.xlsx]CF PNP'!</v>
      </c>
      <c r="G3831" s="6" t="s">
        <v>60</v>
      </c>
      <c r="H3831" s="1">
        <f t="shared" si="882"/>
        <v>65</v>
      </c>
      <c r="I3831" s="1" t="str">
        <f t="shared" si="883"/>
        <v>='C:\Users\jaime.benazar\Quorum Business Solutions\Ecopetrol Prometeo - Documents\Planning Space Implementation\3. Analysis &amp; Design\Design\FC22\DRR Jaime\QUIFA-CAJÚA\Cajua\[VAS_CAJUA_CF_SEC_20230125.xlsx]CF PNP'!$BY$65</v>
      </c>
      <c r="J3831" s="1" t="s">
        <v>1860</v>
      </c>
    </row>
    <row r="3832" spans="1:10" x14ac:dyDescent="0.25">
      <c r="A3832" s="6" t="s">
        <v>2</v>
      </c>
      <c r="B3832" s="6">
        <f t="shared" si="884"/>
        <v>2053</v>
      </c>
      <c r="C3832" s="1" t="s">
        <v>109</v>
      </c>
      <c r="D3832" s="2" t="s">
        <v>128</v>
      </c>
      <c r="E3832" s="9" t="str">
        <f t="shared" si="880"/>
        <v>PNP'!</v>
      </c>
      <c r="F3832" s="5" t="str">
        <f t="shared" si="881"/>
        <v>C:\Users\jaime.benazar\Quorum Business Solutions\Ecopetrol Prometeo - Documents\Planning Space Implementation\3. Analysis &amp; Design\Design\FC22\DRR Jaime\QUIFA-CAJÚA\Cajua\[VAS_CAJUA_CF_SEC_20230125.xlsx]CF PNP'!</v>
      </c>
      <c r="G3832" s="6" t="s">
        <v>60</v>
      </c>
      <c r="H3832" s="1">
        <f t="shared" si="882"/>
        <v>66</v>
      </c>
      <c r="I3832" s="1" t="str">
        <f t="shared" si="883"/>
        <v>='C:\Users\jaime.benazar\Quorum Business Solutions\Ecopetrol Prometeo - Documents\Planning Space Implementation\3. Analysis &amp; Design\Design\FC22\DRR Jaime\QUIFA-CAJÚA\Cajua\[VAS_CAJUA_CF_SEC_20230125.xlsx]CF PNP'!$BY$66</v>
      </c>
      <c r="J3832" s="1" t="s">
        <v>1861</v>
      </c>
    </row>
    <row r="3833" spans="1:10" x14ac:dyDescent="0.25">
      <c r="A3833" s="6" t="s">
        <v>2</v>
      </c>
      <c r="B3833" s="6">
        <f t="shared" si="884"/>
        <v>2054</v>
      </c>
      <c r="C3833" s="1" t="s">
        <v>109</v>
      </c>
      <c r="D3833" s="2" t="s">
        <v>128</v>
      </c>
      <c r="E3833" s="9" t="str">
        <f t="shared" si="880"/>
        <v>PNP'!</v>
      </c>
      <c r="F3833" s="5" t="str">
        <f t="shared" si="881"/>
        <v>C:\Users\jaime.benazar\Quorum Business Solutions\Ecopetrol Prometeo - Documents\Planning Space Implementation\3. Analysis &amp; Design\Design\FC22\DRR Jaime\QUIFA-CAJÚA\Cajua\[VAS_CAJUA_CF_SEC_20230125.xlsx]CF PNP'!</v>
      </c>
      <c r="G3833" s="6" t="s">
        <v>60</v>
      </c>
      <c r="H3833" s="1">
        <f t="shared" si="882"/>
        <v>67</v>
      </c>
      <c r="I3833" s="1" t="str">
        <f t="shared" si="883"/>
        <v>='C:\Users\jaime.benazar\Quorum Business Solutions\Ecopetrol Prometeo - Documents\Planning Space Implementation\3. Analysis &amp; Design\Design\FC22\DRR Jaime\QUIFA-CAJÚA\Cajua\[VAS_CAJUA_CF_SEC_20230125.xlsx]CF PNP'!$BY$67</v>
      </c>
      <c r="J3833" s="1" t="s">
        <v>1862</v>
      </c>
    </row>
    <row r="3834" spans="1:10" x14ac:dyDescent="0.25">
      <c r="A3834" s="6" t="s">
        <v>2</v>
      </c>
      <c r="B3834" s="6">
        <f t="shared" si="884"/>
        <v>2055</v>
      </c>
      <c r="C3834" s="1" t="s">
        <v>109</v>
      </c>
      <c r="D3834" s="2" t="s">
        <v>128</v>
      </c>
      <c r="E3834" s="9" t="str">
        <f t="shared" si="880"/>
        <v>PNP'!</v>
      </c>
      <c r="F3834" s="5" t="str">
        <f t="shared" si="881"/>
        <v>C:\Users\jaime.benazar\Quorum Business Solutions\Ecopetrol Prometeo - Documents\Planning Space Implementation\3. Analysis &amp; Design\Design\FC22\DRR Jaime\QUIFA-CAJÚA\Cajua\[VAS_CAJUA_CF_SEC_20230125.xlsx]CF PNP'!</v>
      </c>
      <c r="G3834" s="6" t="s">
        <v>60</v>
      </c>
      <c r="H3834" s="1">
        <f t="shared" si="882"/>
        <v>68</v>
      </c>
      <c r="I3834" s="1" t="str">
        <f t="shared" si="883"/>
        <v>='C:\Users\jaime.benazar\Quorum Business Solutions\Ecopetrol Prometeo - Documents\Planning Space Implementation\3. Analysis &amp; Design\Design\FC22\DRR Jaime\QUIFA-CAJÚA\Cajua\[VAS_CAJUA_CF_SEC_20230125.xlsx]CF PNP'!$BY$68</v>
      </c>
      <c r="J3834" s="1" t="s">
        <v>1863</v>
      </c>
    </row>
    <row r="3835" spans="1:10" x14ac:dyDescent="0.25">
      <c r="A3835" s="6" t="s">
        <v>2</v>
      </c>
      <c r="B3835" s="6">
        <f t="shared" si="884"/>
        <v>2056</v>
      </c>
      <c r="C3835" s="1" t="s">
        <v>109</v>
      </c>
      <c r="D3835" s="2" t="s">
        <v>128</v>
      </c>
      <c r="E3835" s="9" t="str">
        <f t="shared" si="880"/>
        <v>PNP'!</v>
      </c>
      <c r="F3835" s="5" t="str">
        <f t="shared" si="881"/>
        <v>C:\Users\jaime.benazar\Quorum Business Solutions\Ecopetrol Prometeo - Documents\Planning Space Implementation\3. Analysis &amp; Design\Design\FC22\DRR Jaime\QUIFA-CAJÚA\Cajua\[VAS_CAJUA_CF_SEC_20230125.xlsx]CF PNP'!</v>
      </c>
      <c r="G3835" s="6" t="s">
        <v>60</v>
      </c>
      <c r="H3835" s="1">
        <f t="shared" si="882"/>
        <v>69</v>
      </c>
      <c r="I3835" s="1" t="str">
        <f t="shared" si="883"/>
        <v>='C:\Users\jaime.benazar\Quorum Business Solutions\Ecopetrol Prometeo - Documents\Planning Space Implementation\3. Analysis &amp; Design\Design\FC22\DRR Jaime\QUIFA-CAJÚA\Cajua\[VAS_CAJUA_CF_SEC_20230125.xlsx]CF PNP'!$BY$69</v>
      </c>
      <c r="J3835" s="1" t="s">
        <v>1864</v>
      </c>
    </row>
    <row r="3836" spans="1:10" x14ac:dyDescent="0.25">
      <c r="A3836" s="6" t="s">
        <v>2</v>
      </c>
      <c r="B3836" s="6">
        <f t="shared" si="884"/>
        <v>2057</v>
      </c>
      <c r="C3836" s="1" t="s">
        <v>109</v>
      </c>
      <c r="D3836" s="2" t="s">
        <v>128</v>
      </c>
      <c r="E3836" s="9" t="str">
        <f t="shared" si="880"/>
        <v>PNP'!</v>
      </c>
      <c r="F3836" s="5" t="str">
        <f t="shared" si="881"/>
        <v>C:\Users\jaime.benazar\Quorum Business Solutions\Ecopetrol Prometeo - Documents\Planning Space Implementation\3. Analysis &amp; Design\Design\FC22\DRR Jaime\QUIFA-CAJÚA\Cajua\[VAS_CAJUA_CF_SEC_20230125.xlsx]CF PNP'!</v>
      </c>
      <c r="G3836" s="6" t="s">
        <v>60</v>
      </c>
      <c r="H3836" s="1">
        <f t="shared" si="882"/>
        <v>70</v>
      </c>
      <c r="I3836" s="1" t="str">
        <f t="shared" si="883"/>
        <v>='C:\Users\jaime.benazar\Quorum Business Solutions\Ecopetrol Prometeo - Documents\Planning Space Implementation\3. Analysis &amp; Design\Design\FC22\DRR Jaime\QUIFA-CAJÚA\Cajua\[VAS_CAJUA_CF_SEC_20230125.xlsx]CF PNP'!$BY$70</v>
      </c>
      <c r="J3836" s="1" t="s">
        <v>1865</v>
      </c>
    </row>
    <row r="3837" spans="1:10" x14ac:dyDescent="0.25">
      <c r="A3837" s="6" t="s">
        <v>2</v>
      </c>
      <c r="B3837" s="6">
        <f t="shared" si="884"/>
        <v>2058</v>
      </c>
      <c r="C3837" s="1" t="s">
        <v>109</v>
      </c>
      <c r="D3837" s="2" t="s">
        <v>128</v>
      </c>
      <c r="E3837" s="9" t="str">
        <f t="shared" si="880"/>
        <v>PNP'!</v>
      </c>
      <c r="F3837" s="5" t="str">
        <f t="shared" si="881"/>
        <v>C:\Users\jaime.benazar\Quorum Business Solutions\Ecopetrol Prometeo - Documents\Planning Space Implementation\3. Analysis &amp; Design\Design\FC22\DRR Jaime\QUIFA-CAJÚA\Cajua\[VAS_CAJUA_CF_SEC_20230125.xlsx]CF PNP'!</v>
      </c>
      <c r="G3837" s="6" t="s">
        <v>60</v>
      </c>
      <c r="H3837" s="1">
        <f t="shared" si="882"/>
        <v>71</v>
      </c>
      <c r="I3837" s="1" t="str">
        <f t="shared" si="883"/>
        <v>='C:\Users\jaime.benazar\Quorum Business Solutions\Ecopetrol Prometeo - Documents\Planning Space Implementation\3. Analysis &amp; Design\Design\FC22\DRR Jaime\QUIFA-CAJÚA\Cajua\[VAS_CAJUA_CF_SEC_20230125.xlsx]CF PNP'!$BY$71</v>
      </c>
      <c r="J3837" s="1" t="s">
        <v>1866</v>
      </c>
    </row>
    <row r="3838" spans="1:10" x14ac:dyDescent="0.25">
      <c r="A3838" s="6" t="s">
        <v>2</v>
      </c>
      <c r="B3838" s="6">
        <f t="shared" si="884"/>
        <v>2059</v>
      </c>
      <c r="C3838" s="1" t="s">
        <v>109</v>
      </c>
      <c r="D3838" s="2" t="s">
        <v>128</v>
      </c>
      <c r="E3838" s="9" t="str">
        <f t="shared" si="880"/>
        <v>PNP'!</v>
      </c>
      <c r="F3838" s="5" t="str">
        <f t="shared" si="881"/>
        <v>C:\Users\jaime.benazar\Quorum Business Solutions\Ecopetrol Prometeo - Documents\Planning Space Implementation\3. Analysis &amp; Design\Design\FC22\DRR Jaime\QUIFA-CAJÚA\Cajua\[VAS_CAJUA_CF_SEC_20230125.xlsx]CF PNP'!</v>
      </c>
      <c r="G3838" s="6" t="s">
        <v>60</v>
      </c>
      <c r="H3838" s="1">
        <f t="shared" si="882"/>
        <v>72</v>
      </c>
      <c r="I3838" s="1" t="str">
        <f t="shared" si="883"/>
        <v>='C:\Users\jaime.benazar\Quorum Business Solutions\Ecopetrol Prometeo - Documents\Planning Space Implementation\3. Analysis &amp; Design\Design\FC22\DRR Jaime\QUIFA-CAJÚA\Cajua\[VAS_CAJUA_CF_SEC_20230125.xlsx]CF PNP'!$BY$72</v>
      </c>
      <c r="J3838" s="1" t="s">
        <v>1867</v>
      </c>
    </row>
    <row r="3839" spans="1:10" x14ac:dyDescent="0.25">
      <c r="A3839" s="6" t="s">
        <v>28</v>
      </c>
      <c r="B3839" s="6"/>
      <c r="C3839" s="1" t="s">
        <v>109</v>
      </c>
      <c r="D3839" s="2"/>
      <c r="E3839" s="9"/>
      <c r="F3839" s="2"/>
      <c r="G3839" s="6"/>
      <c r="H3839" s="1"/>
      <c r="I3839" s="1"/>
      <c r="J3839" s="4"/>
    </row>
    <row r="3840" spans="1:10" x14ac:dyDescent="0.25">
      <c r="A3840" s="6" t="s">
        <v>3</v>
      </c>
      <c r="B3840" s="6">
        <v>2023</v>
      </c>
      <c r="C3840" s="1" t="s">
        <v>109</v>
      </c>
      <c r="D3840" s="2" t="s">
        <v>128</v>
      </c>
      <c r="E3840" s="9" t="str">
        <f t="shared" ref="E3840:E3860" si="885">_xlfn.CONCAT(A3840,"'!")</f>
        <v>PND'!</v>
      </c>
      <c r="F3840" s="5" t="str">
        <f t="shared" ref="F3840:F3860" si="886">_xlfn.CONCAT(D3840," ",E3840)</f>
        <v>C:\Users\jaime.benazar\Quorum Business Solutions\Ecopetrol Prometeo - Documents\Planning Space Implementation\3. Analysis &amp; Design\Design\FC22\DRR Jaime\QUIFA-CAJÚA\Cajua\[VAS_CAJUA_CF_SEC_20230125.xlsx]CF PND'!</v>
      </c>
      <c r="G3840" s="6" t="s">
        <v>60</v>
      </c>
      <c r="H3840" s="1">
        <f>IF(A3840&lt;&gt;A3824,36,H3824+1)</f>
        <v>36</v>
      </c>
      <c r="I3840" s="1" t="str">
        <f t="shared" ref="I3840:I3860" si="887">_xlfn.CONCAT("='",F3840:H3840)</f>
        <v>='C:\Users\jaime.benazar\Quorum Business Solutions\Ecopetrol Prometeo - Documents\Planning Space Implementation\3. Analysis &amp; Design\Design\FC22\DRR Jaime\QUIFA-CAJÚA\Cajua\[VAS_CAJUA_CF_SEC_20230125.xlsx]CF PND'!$BY$36</v>
      </c>
      <c r="J3840" s="1" t="s">
        <v>1868</v>
      </c>
    </row>
    <row r="3841" spans="1:10" x14ac:dyDescent="0.25">
      <c r="A3841" s="6" t="s">
        <v>3</v>
      </c>
      <c r="B3841" s="6">
        <f>+B3840+1</f>
        <v>2024</v>
      </c>
      <c r="C3841" s="1" t="s">
        <v>109</v>
      </c>
      <c r="D3841" s="2" t="s">
        <v>128</v>
      </c>
      <c r="E3841" s="9" t="str">
        <f t="shared" si="885"/>
        <v>PND'!</v>
      </c>
      <c r="F3841" s="5" t="str">
        <f t="shared" si="886"/>
        <v>C:\Users\jaime.benazar\Quorum Business Solutions\Ecopetrol Prometeo - Documents\Planning Space Implementation\3. Analysis &amp; Design\Design\FC22\DRR Jaime\QUIFA-CAJÚA\Cajua\[VAS_CAJUA_CF_SEC_20230125.xlsx]CF PND'!</v>
      </c>
      <c r="G3841" s="6" t="s">
        <v>60</v>
      </c>
      <c r="H3841" s="1">
        <f t="shared" ref="H3841:H3860" si="888">IF(A3841&lt;&gt;A3840,36,H3840+1)</f>
        <v>37</v>
      </c>
      <c r="I3841" s="1" t="str">
        <f t="shared" si="887"/>
        <v>='C:\Users\jaime.benazar\Quorum Business Solutions\Ecopetrol Prometeo - Documents\Planning Space Implementation\3. Analysis &amp; Design\Design\FC22\DRR Jaime\QUIFA-CAJÚA\Cajua\[VAS_CAJUA_CF_SEC_20230125.xlsx]CF PND'!$BY$37</v>
      </c>
      <c r="J3841" s="1" t="s">
        <v>1869</v>
      </c>
    </row>
    <row r="3842" spans="1:10" x14ac:dyDescent="0.25">
      <c r="A3842" s="6" t="s">
        <v>3</v>
      </c>
      <c r="B3842" s="6">
        <f t="shared" ref="B3842:B3853" si="889">+B3841+1</f>
        <v>2025</v>
      </c>
      <c r="C3842" s="1" t="s">
        <v>109</v>
      </c>
      <c r="D3842" s="2" t="s">
        <v>128</v>
      </c>
      <c r="E3842" s="9" t="str">
        <f t="shared" si="885"/>
        <v>PND'!</v>
      </c>
      <c r="F3842" s="5" t="str">
        <f t="shared" si="886"/>
        <v>C:\Users\jaime.benazar\Quorum Business Solutions\Ecopetrol Prometeo - Documents\Planning Space Implementation\3. Analysis &amp; Design\Design\FC22\DRR Jaime\QUIFA-CAJÚA\Cajua\[VAS_CAJUA_CF_SEC_20230125.xlsx]CF PND'!</v>
      </c>
      <c r="G3842" s="6" t="s">
        <v>60</v>
      </c>
      <c r="H3842" s="1">
        <f t="shared" si="888"/>
        <v>38</v>
      </c>
      <c r="I3842" s="1" t="str">
        <f t="shared" si="887"/>
        <v>='C:\Users\jaime.benazar\Quorum Business Solutions\Ecopetrol Prometeo - Documents\Planning Space Implementation\3. Analysis &amp; Design\Design\FC22\DRR Jaime\QUIFA-CAJÚA\Cajua\[VAS_CAJUA_CF_SEC_20230125.xlsx]CF PND'!$BY$38</v>
      </c>
      <c r="J3842" s="1" t="s">
        <v>1870</v>
      </c>
    </row>
    <row r="3843" spans="1:10" x14ac:dyDescent="0.25">
      <c r="A3843" s="6" t="s">
        <v>3</v>
      </c>
      <c r="B3843" s="6">
        <f t="shared" si="889"/>
        <v>2026</v>
      </c>
      <c r="C3843" s="1" t="s">
        <v>109</v>
      </c>
      <c r="D3843" s="2" t="s">
        <v>128</v>
      </c>
      <c r="E3843" s="9" t="str">
        <f t="shared" si="885"/>
        <v>PND'!</v>
      </c>
      <c r="F3843" s="5" t="str">
        <f t="shared" si="886"/>
        <v>C:\Users\jaime.benazar\Quorum Business Solutions\Ecopetrol Prometeo - Documents\Planning Space Implementation\3. Analysis &amp; Design\Design\FC22\DRR Jaime\QUIFA-CAJÚA\Cajua\[VAS_CAJUA_CF_SEC_20230125.xlsx]CF PND'!</v>
      </c>
      <c r="G3843" s="6" t="s">
        <v>60</v>
      </c>
      <c r="H3843" s="1">
        <f t="shared" si="888"/>
        <v>39</v>
      </c>
      <c r="I3843" s="1" t="str">
        <f t="shared" si="887"/>
        <v>='C:\Users\jaime.benazar\Quorum Business Solutions\Ecopetrol Prometeo - Documents\Planning Space Implementation\3. Analysis &amp; Design\Design\FC22\DRR Jaime\QUIFA-CAJÚA\Cajua\[VAS_CAJUA_CF_SEC_20230125.xlsx]CF PND'!$BY$39</v>
      </c>
      <c r="J3843" s="1" t="s">
        <v>1871</v>
      </c>
    </row>
    <row r="3844" spans="1:10" x14ac:dyDescent="0.25">
      <c r="A3844" s="6" t="s">
        <v>3</v>
      </c>
      <c r="B3844" s="6">
        <f t="shared" si="889"/>
        <v>2027</v>
      </c>
      <c r="C3844" s="1" t="s">
        <v>109</v>
      </c>
      <c r="D3844" s="2" t="s">
        <v>128</v>
      </c>
      <c r="E3844" s="9" t="str">
        <f t="shared" si="885"/>
        <v>PND'!</v>
      </c>
      <c r="F3844" s="5" t="str">
        <f t="shared" si="886"/>
        <v>C:\Users\jaime.benazar\Quorum Business Solutions\Ecopetrol Prometeo - Documents\Planning Space Implementation\3. Analysis &amp; Design\Design\FC22\DRR Jaime\QUIFA-CAJÚA\Cajua\[VAS_CAJUA_CF_SEC_20230125.xlsx]CF PND'!</v>
      </c>
      <c r="G3844" s="6" t="s">
        <v>60</v>
      </c>
      <c r="H3844" s="1">
        <f t="shared" si="888"/>
        <v>40</v>
      </c>
      <c r="I3844" s="1" t="str">
        <f t="shared" si="887"/>
        <v>='C:\Users\jaime.benazar\Quorum Business Solutions\Ecopetrol Prometeo - Documents\Planning Space Implementation\3. Analysis &amp; Design\Design\FC22\DRR Jaime\QUIFA-CAJÚA\Cajua\[VAS_CAJUA_CF_SEC_20230125.xlsx]CF PND'!$BY$40</v>
      </c>
      <c r="J3844" s="1" t="s">
        <v>1872</v>
      </c>
    </row>
    <row r="3845" spans="1:10" x14ac:dyDescent="0.25">
      <c r="A3845" s="6" t="s">
        <v>3</v>
      </c>
      <c r="B3845" s="6">
        <f t="shared" si="889"/>
        <v>2028</v>
      </c>
      <c r="C3845" s="1" t="s">
        <v>109</v>
      </c>
      <c r="D3845" s="2" t="s">
        <v>128</v>
      </c>
      <c r="E3845" s="9" t="str">
        <f t="shared" si="885"/>
        <v>PND'!</v>
      </c>
      <c r="F3845" s="5" t="str">
        <f t="shared" si="886"/>
        <v>C:\Users\jaime.benazar\Quorum Business Solutions\Ecopetrol Prometeo - Documents\Planning Space Implementation\3. Analysis &amp; Design\Design\FC22\DRR Jaime\QUIFA-CAJÚA\Cajua\[VAS_CAJUA_CF_SEC_20230125.xlsx]CF PND'!</v>
      </c>
      <c r="G3845" s="6" t="s">
        <v>60</v>
      </c>
      <c r="H3845" s="1">
        <f t="shared" si="888"/>
        <v>41</v>
      </c>
      <c r="I3845" s="1" t="str">
        <f t="shared" si="887"/>
        <v>='C:\Users\jaime.benazar\Quorum Business Solutions\Ecopetrol Prometeo - Documents\Planning Space Implementation\3. Analysis &amp; Design\Design\FC22\DRR Jaime\QUIFA-CAJÚA\Cajua\[VAS_CAJUA_CF_SEC_20230125.xlsx]CF PND'!$BY$41</v>
      </c>
      <c r="J3845" s="1" t="s">
        <v>1873</v>
      </c>
    </row>
    <row r="3846" spans="1:10" x14ac:dyDescent="0.25">
      <c r="A3846" s="6" t="s">
        <v>3</v>
      </c>
      <c r="B3846" s="6">
        <f t="shared" si="889"/>
        <v>2029</v>
      </c>
      <c r="C3846" s="1" t="s">
        <v>109</v>
      </c>
      <c r="D3846" s="2" t="s">
        <v>128</v>
      </c>
      <c r="E3846" s="9" t="str">
        <f t="shared" si="885"/>
        <v>PND'!</v>
      </c>
      <c r="F3846" s="5" t="str">
        <f t="shared" si="886"/>
        <v>C:\Users\jaime.benazar\Quorum Business Solutions\Ecopetrol Prometeo - Documents\Planning Space Implementation\3. Analysis &amp; Design\Design\FC22\DRR Jaime\QUIFA-CAJÚA\Cajua\[VAS_CAJUA_CF_SEC_20230125.xlsx]CF PND'!</v>
      </c>
      <c r="G3846" s="6" t="s">
        <v>60</v>
      </c>
      <c r="H3846" s="1">
        <f t="shared" si="888"/>
        <v>42</v>
      </c>
      <c r="I3846" s="1" t="str">
        <f t="shared" si="887"/>
        <v>='C:\Users\jaime.benazar\Quorum Business Solutions\Ecopetrol Prometeo - Documents\Planning Space Implementation\3. Analysis &amp; Design\Design\FC22\DRR Jaime\QUIFA-CAJÚA\Cajua\[VAS_CAJUA_CF_SEC_20230125.xlsx]CF PND'!$BY$42</v>
      </c>
      <c r="J3846" s="1" t="s">
        <v>1874</v>
      </c>
    </row>
    <row r="3847" spans="1:10" x14ac:dyDescent="0.25">
      <c r="A3847" s="6" t="s">
        <v>3</v>
      </c>
      <c r="B3847" s="6">
        <f t="shared" si="889"/>
        <v>2030</v>
      </c>
      <c r="C3847" s="1" t="s">
        <v>109</v>
      </c>
      <c r="D3847" s="2" t="s">
        <v>128</v>
      </c>
      <c r="E3847" s="9" t="str">
        <f t="shared" si="885"/>
        <v>PND'!</v>
      </c>
      <c r="F3847" s="5" t="str">
        <f t="shared" si="886"/>
        <v>C:\Users\jaime.benazar\Quorum Business Solutions\Ecopetrol Prometeo - Documents\Planning Space Implementation\3. Analysis &amp; Design\Design\FC22\DRR Jaime\QUIFA-CAJÚA\Cajua\[VAS_CAJUA_CF_SEC_20230125.xlsx]CF PND'!</v>
      </c>
      <c r="G3847" s="6" t="s">
        <v>60</v>
      </c>
      <c r="H3847" s="1">
        <f t="shared" si="888"/>
        <v>43</v>
      </c>
      <c r="I3847" s="1" t="str">
        <f t="shared" si="887"/>
        <v>='C:\Users\jaime.benazar\Quorum Business Solutions\Ecopetrol Prometeo - Documents\Planning Space Implementation\3. Analysis &amp; Design\Design\FC22\DRR Jaime\QUIFA-CAJÚA\Cajua\[VAS_CAJUA_CF_SEC_20230125.xlsx]CF PND'!$BY$43</v>
      </c>
      <c r="J3847" s="1" t="s">
        <v>1875</v>
      </c>
    </row>
    <row r="3848" spans="1:10" x14ac:dyDescent="0.25">
      <c r="A3848" s="6" t="s">
        <v>3</v>
      </c>
      <c r="B3848" s="6">
        <f t="shared" si="889"/>
        <v>2031</v>
      </c>
      <c r="C3848" s="1" t="s">
        <v>109</v>
      </c>
      <c r="D3848" s="2" t="s">
        <v>128</v>
      </c>
      <c r="E3848" s="9" t="str">
        <f t="shared" si="885"/>
        <v>PND'!</v>
      </c>
      <c r="F3848" s="5" t="str">
        <f t="shared" si="886"/>
        <v>C:\Users\jaime.benazar\Quorum Business Solutions\Ecopetrol Prometeo - Documents\Planning Space Implementation\3. Analysis &amp; Design\Design\FC22\DRR Jaime\QUIFA-CAJÚA\Cajua\[VAS_CAJUA_CF_SEC_20230125.xlsx]CF PND'!</v>
      </c>
      <c r="G3848" s="6" t="s">
        <v>60</v>
      </c>
      <c r="H3848" s="1">
        <f t="shared" si="888"/>
        <v>44</v>
      </c>
      <c r="I3848" s="1" t="str">
        <f t="shared" si="887"/>
        <v>='C:\Users\jaime.benazar\Quorum Business Solutions\Ecopetrol Prometeo - Documents\Planning Space Implementation\3. Analysis &amp; Design\Design\FC22\DRR Jaime\QUIFA-CAJÚA\Cajua\[VAS_CAJUA_CF_SEC_20230125.xlsx]CF PND'!$BY$44</v>
      </c>
      <c r="J3848" s="1" t="s">
        <v>1876</v>
      </c>
    </row>
    <row r="3849" spans="1:10" x14ac:dyDescent="0.25">
      <c r="A3849" s="6" t="s">
        <v>3</v>
      </c>
      <c r="B3849" s="6">
        <f t="shared" si="889"/>
        <v>2032</v>
      </c>
      <c r="C3849" s="1" t="s">
        <v>109</v>
      </c>
      <c r="D3849" s="2" t="s">
        <v>128</v>
      </c>
      <c r="E3849" s="9" t="str">
        <f t="shared" si="885"/>
        <v>PND'!</v>
      </c>
      <c r="F3849" s="5" t="str">
        <f t="shared" si="886"/>
        <v>C:\Users\jaime.benazar\Quorum Business Solutions\Ecopetrol Prometeo - Documents\Planning Space Implementation\3. Analysis &amp; Design\Design\FC22\DRR Jaime\QUIFA-CAJÚA\Cajua\[VAS_CAJUA_CF_SEC_20230125.xlsx]CF PND'!</v>
      </c>
      <c r="G3849" s="6" t="s">
        <v>60</v>
      </c>
      <c r="H3849" s="1">
        <f t="shared" si="888"/>
        <v>45</v>
      </c>
      <c r="I3849" s="1" t="str">
        <f t="shared" si="887"/>
        <v>='C:\Users\jaime.benazar\Quorum Business Solutions\Ecopetrol Prometeo - Documents\Planning Space Implementation\3. Analysis &amp; Design\Design\FC22\DRR Jaime\QUIFA-CAJÚA\Cajua\[VAS_CAJUA_CF_SEC_20230125.xlsx]CF PND'!$BY$45</v>
      </c>
      <c r="J3849" s="1" t="s">
        <v>1877</v>
      </c>
    </row>
    <row r="3850" spans="1:10" x14ac:dyDescent="0.25">
      <c r="A3850" s="6" t="s">
        <v>3</v>
      </c>
      <c r="B3850" s="6">
        <f t="shared" si="889"/>
        <v>2033</v>
      </c>
      <c r="C3850" s="1" t="s">
        <v>109</v>
      </c>
      <c r="D3850" s="2" t="s">
        <v>128</v>
      </c>
      <c r="E3850" s="9" t="str">
        <f t="shared" si="885"/>
        <v>PND'!</v>
      </c>
      <c r="F3850" s="5" t="str">
        <f t="shared" si="886"/>
        <v>C:\Users\jaime.benazar\Quorum Business Solutions\Ecopetrol Prometeo - Documents\Planning Space Implementation\3. Analysis &amp; Design\Design\FC22\DRR Jaime\QUIFA-CAJÚA\Cajua\[VAS_CAJUA_CF_SEC_20230125.xlsx]CF PND'!</v>
      </c>
      <c r="G3850" s="6" t="s">
        <v>60</v>
      </c>
      <c r="H3850" s="1">
        <f t="shared" si="888"/>
        <v>46</v>
      </c>
      <c r="I3850" s="1" t="str">
        <f t="shared" si="887"/>
        <v>='C:\Users\jaime.benazar\Quorum Business Solutions\Ecopetrol Prometeo - Documents\Planning Space Implementation\3. Analysis &amp; Design\Design\FC22\DRR Jaime\QUIFA-CAJÚA\Cajua\[VAS_CAJUA_CF_SEC_20230125.xlsx]CF PND'!$BY$46</v>
      </c>
      <c r="J3850" s="1" t="s">
        <v>1878</v>
      </c>
    </row>
    <row r="3851" spans="1:10" x14ac:dyDescent="0.25">
      <c r="A3851" s="6" t="s">
        <v>3</v>
      </c>
      <c r="B3851" s="6">
        <f t="shared" si="889"/>
        <v>2034</v>
      </c>
      <c r="C3851" s="1" t="s">
        <v>109</v>
      </c>
      <c r="D3851" s="2" t="s">
        <v>128</v>
      </c>
      <c r="E3851" s="9" t="str">
        <f t="shared" si="885"/>
        <v>PND'!</v>
      </c>
      <c r="F3851" s="5" t="str">
        <f t="shared" si="886"/>
        <v>C:\Users\jaime.benazar\Quorum Business Solutions\Ecopetrol Prometeo - Documents\Planning Space Implementation\3. Analysis &amp; Design\Design\FC22\DRR Jaime\QUIFA-CAJÚA\Cajua\[VAS_CAJUA_CF_SEC_20230125.xlsx]CF PND'!</v>
      </c>
      <c r="G3851" s="6" t="s">
        <v>60</v>
      </c>
      <c r="H3851" s="1">
        <f t="shared" si="888"/>
        <v>47</v>
      </c>
      <c r="I3851" s="1" t="str">
        <f t="shared" si="887"/>
        <v>='C:\Users\jaime.benazar\Quorum Business Solutions\Ecopetrol Prometeo - Documents\Planning Space Implementation\3. Analysis &amp; Design\Design\FC22\DRR Jaime\QUIFA-CAJÚA\Cajua\[VAS_CAJUA_CF_SEC_20230125.xlsx]CF PND'!$BY$47</v>
      </c>
      <c r="J3851" s="1" t="s">
        <v>1879</v>
      </c>
    </row>
    <row r="3852" spans="1:10" x14ac:dyDescent="0.25">
      <c r="A3852" s="6" t="s">
        <v>3</v>
      </c>
      <c r="B3852" s="6">
        <f t="shared" si="889"/>
        <v>2035</v>
      </c>
      <c r="C3852" s="1" t="s">
        <v>109</v>
      </c>
      <c r="D3852" s="2" t="s">
        <v>128</v>
      </c>
      <c r="E3852" s="9" t="str">
        <f t="shared" si="885"/>
        <v>PND'!</v>
      </c>
      <c r="F3852" s="5" t="str">
        <f t="shared" si="886"/>
        <v>C:\Users\jaime.benazar\Quorum Business Solutions\Ecopetrol Prometeo - Documents\Planning Space Implementation\3. Analysis &amp; Design\Design\FC22\DRR Jaime\QUIFA-CAJÚA\Cajua\[VAS_CAJUA_CF_SEC_20230125.xlsx]CF PND'!</v>
      </c>
      <c r="G3852" s="6" t="s">
        <v>60</v>
      </c>
      <c r="H3852" s="1">
        <f t="shared" si="888"/>
        <v>48</v>
      </c>
      <c r="I3852" s="1" t="str">
        <f t="shared" si="887"/>
        <v>='C:\Users\jaime.benazar\Quorum Business Solutions\Ecopetrol Prometeo - Documents\Planning Space Implementation\3. Analysis &amp; Design\Design\FC22\DRR Jaime\QUIFA-CAJÚA\Cajua\[VAS_CAJUA_CF_SEC_20230125.xlsx]CF PND'!$BY$48</v>
      </c>
      <c r="J3852" s="1" t="s">
        <v>1880</v>
      </c>
    </row>
    <row r="3853" spans="1:10" x14ac:dyDescent="0.25">
      <c r="A3853" s="6" t="s">
        <v>3</v>
      </c>
      <c r="B3853" s="6">
        <f t="shared" si="889"/>
        <v>2036</v>
      </c>
      <c r="C3853" s="1" t="s">
        <v>109</v>
      </c>
      <c r="D3853" s="2" t="s">
        <v>128</v>
      </c>
      <c r="E3853" s="9" t="str">
        <f t="shared" si="885"/>
        <v>PND'!</v>
      </c>
      <c r="F3853" s="5" t="str">
        <f t="shared" si="886"/>
        <v>C:\Users\jaime.benazar\Quorum Business Solutions\Ecopetrol Prometeo - Documents\Planning Space Implementation\3. Analysis &amp; Design\Design\FC22\DRR Jaime\QUIFA-CAJÚA\Cajua\[VAS_CAJUA_CF_SEC_20230125.xlsx]CF PND'!</v>
      </c>
      <c r="G3853" s="6" t="s">
        <v>60</v>
      </c>
      <c r="H3853" s="1">
        <f t="shared" si="888"/>
        <v>49</v>
      </c>
      <c r="I3853" s="1" t="str">
        <f t="shared" si="887"/>
        <v>='C:\Users\jaime.benazar\Quorum Business Solutions\Ecopetrol Prometeo - Documents\Planning Space Implementation\3. Analysis &amp; Design\Design\FC22\DRR Jaime\QUIFA-CAJÚA\Cajua\[VAS_CAJUA_CF_SEC_20230125.xlsx]CF PND'!$BY$49</v>
      </c>
      <c r="J3853" s="1" t="s">
        <v>1881</v>
      </c>
    </row>
    <row r="3854" spans="1:10" x14ac:dyDescent="0.25">
      <c r="A3854" s="6" t="s">
        <v>3</v>
      </c>
      <c r="B3854" s="6">
        <f>+B3853+1</f>
        <v>2037</v>
      </c>
      <c r="C3854" s="1" t="s">
        <v>109</v>
      </c>
      <c r="D3854" s="2" t="s">
        <v>128</v>
      </c>
      <c r="E3854" s="9" t="str">
        <f t="shared" si="885"/>
        <v>PND'!</v>
      </c>
      <c r="F3854" s="5" t="str">
        <f t="shared" si="886"/>
        <v>C:\Users\jaime.benazar\Quorum Business Solutions\Ecopetrol Prometeo - Documents\Planning Space Implementation\3. Analysis &amp; Design\Design\FC22\DRR Jaime\QUIFA-CAJÚA\Cajua\[VAS_CAJUA_CF_SEC_20230125.xlsx]CF PND'!</v>
      </c>
      <c r="G3854" s="6" t="s">
        <v>60</v>
      </c>
      <c r="H3854" s="1">
        <f t="shared" si="888"/>
        <v>50</v>
      </c>
      <c r="I3854" s="1" t="str">
        <f t="shared" si="887"/>
        <v>='C:\Users\jaime.benazar\Quorum Business Solutions\Ecopetrol Prometeo - Documents\Planning Space Implementation\3. Analysis &amp; Design\Design\FC22\DRR Jaime\QUIFA-CAJÚA\Cajua\[VAS_CAJUA_CF_SEC_20230125.xlsx]CF PND'!$BY$50</v>
      </c>
      <c r="J3854" s="1" t="s">
        <v>1882</v>
      </c>
    </row>
    <row r="3855" spans="1:10" x14ac:dyDescent="0.25">
      <c r="A3855" s="6" t="s">
        <v>3</v>
      </c>
      <c r="B3855" s="6">
        <f t="shared" ref="B3855:B3857" si="890">+B3854+1</f>
        <v>2038</v>
      </c>
      <c r="C3855" s="1" t="s">
        <v>109</v>
      </c>
      <c r="D3855" s="2" t="s">
        <v>128</v>
      </c>
      <c r="E3855" s="9" t="str">
        <f t="shared" si="885"/>
        <v>PND'!</v>
      </c>
      <c r="F3855" s="5" t="str">
        <f t="shared" si="886"/>
        <v>C:\Users\jaime.benazar\Quorum Business Solutions\Ecopetrol Prometeo - Documents\Planning Space Implementation\3. Analysis &amp; Design\Design\FC22\DRR Jaime\QUIFA-CAJÚA\Cajua\[VAS_CAJUA_CF_SEC_20230125.xlsx]CF PND'!</v>
      </c>
      <c r="G3855" s="6" t="s">
        <v>60</v>
      </c>
      <c r="H3855" s="1">
        <f t="shared" si="888"/>
        <v>51</v>
      </c>
      <c r="I3855" s="1" t="str">
        <f t="shared" si="887"/>
        <v>='C:\Users\jaime.benazar\Quorum Business Solutions\Ecopetrol Prometeo - Documents\Planning Space Implementation\3. Analysis &amp; Design\Design\FC22\DRR Jaime\QUIFA-CAJÚA\Cajua\[VAS_CAJUA_CF_SEC_20230125.xlsx]CF PND'!$BY$51</v>
      </c>
      <c r="J3855" s="1" t="s">
        <v>1883</v>
      </c>
    </row>
    <row r="3856" spans="1:10" x14ac:dyDescent="0.25">
      <c r="A3856" s="6" t="s">
        <v>3</v>
      </c>
      <c r="B3856" s="6">
        <f t="shared" si="890"/>
        <v>2039</v>
      </c>
      <c r="C3856" s="1" t="s">
        <v>109</v>
      </c>
      <c r="D3856" s="2" t="s">
        <v>128</v>
      </c>
      <c r="E3856" s="9" t="str">
        <f t="shared" si="885"/>
        <v>PND'!</v>
      </c>
      <c r="F3856" s="5" t="str">
        <f t="shared" si="886"/>
        <v>C:\Users\jaime.benazar\Quorum Business Solutions\Ecopetrol Prometeo - Documents\Planning Space Implementation\3. Analysis &amp; Design\Design\FC22\DRR Jaime\QUIFA-CAJÚA\Cajua\[VAS_CAJUA_CF_SEC_20230125.xlsx]CF PND'!</v>
      </c>
      <c r="G3856" s="6" t="s">
        <v>60</v>
      </c>
      <c r="H3856" s="1">
        <f t="shared" si="888"/>
        <v>52</v>
      </c>
      <c r="I3856" s="1" t="str">
        <f t="shared" si="887"/>
        <v>='C:\Users\jaime.benazar\Quorum Business Solutions\Ecopetrol Prometeo - Documents\Planning Space Implementation\3. Analysis &amp; Design\Design\FC22\DRR Jaime\QUIFA-CAJÚA\Cajua\[VAS_CAJUA_CF_SEC_20230125.xlsx]CF PND'!$BY$52</v>
      </c>
      <c r="J3856" s="1" t="s">
        <v>1884</v>
      </c>
    </row>
    <row r="3857" spans="1:10" x14ac:dyDescent="0.25">
      <c r="A3857" s="6" t="s">
        <v>3</v>
      </c>
      <c r="B3857" s="6">
        <f t="shared" si="890"/>
        <v>2040</v>
      </c>
      <c r="C3857" s="1" t="s">
        <v>109</v>
      </c>
      <c r="D3857" s="2" t="s">
        <v>128</v>
      </c>
      <c r="E3857" s="9" t="str">
        <f t="shared" si="885"/>
        <v>PND'!</v>
      </c>
      <c r="F3857" s="5" t="str">
        <f t="shared" si="886"/>
        <v>C:\Users\jaime.benazar\Quorum Business Solutions\Ecopetrol Prometeo - Documents\Planning Space Implementation\3. Analysis &amp; Design\Design\FC22\DRR Jaime\QUIFA-CAJÚA\Cajua\[VAS_CAJUA_CF_SEC_20230125.xlsx]CF PND'!</v>
      </c>
      <c r="G3857" s="6" t="s">
        <v>60</v>
      </c>
      <c r="H3857" s="1">
        <f t="shared" si="888"/>
        <v>53</v>
      </c>
      <c r="I3857" s="1" t="str">
        <f t="shared" si="887"/>
        <v>='C:\Users\jaime.benazar\Quorum Business Solutions\Ecopetrol Prometeo - Documents\Planning Space Implementation\3. Analysis &amp; Design\Design\FC22\DRR Jaime\QUIFA-CAJÚA\Cajua\[VAS_CAJUA_CF_SEC_20230125.xlsx]CF PND'!$BY$53</v>
      </c>
      <c r="J3857" s="1" t="s">
        <v>1885</v>
      </c>
    </row>
    <row r="3858" spans="1:10" x14ac:dyDescent="0.25">
      <c r="A3858" s="6" t="s">
        <v>3</v>
      </c>
      <c r="B3858" s="6">
        <f>+B3857+1</f>
        <v>2041</v>
      </c>
      <c r="C3858" s="1" t="s">
        <v>109</v>
      </c>
      <c r="D3858" s="2" t="s">
        <v>128</v>
      </c>
      <c r="E3858" s="9" t="str">
        <f t="shared" si="885"/>
        <v>PND'!</v>
      </c>
      <c r="F3858" s="5" t="str">
        <f t="shared" si="886"/>
        <v>C:\Users\jaime.benazar\Quorum Business Solutions\Ecopetrol Prometeo - Documents\Planning Space Implementation\3. Analysis &amp; Design\Design\FC22\DRR Jaime\QUIFA-CAJÚA\Cajua\[VAS_CAJUA_CF_SEC_20230125.xlsx]CF PND'!</v>
      </c>
      <c r="G3858" s="6" t="s">
        <v>60</v>
      </c>
      <c r="H3858" s="1">
        <f t="shared" si="888"/>
        <v>54</v>
      </c>
      <c r="I3858" s="1" t="str">
        <f t="shared" si="887"/>
        <v>='C:\Users\jaime.benazar\Quorum Business Solutions\Ecopetrol Prometeo - Documents\Planning Space Implementation\3. Analysis &amp; Design\Design\FC22\DRR Jaime\QUIFA-CAJÚA\Cajua\[VAS_CAJUA_CF_SEC_20230125.xlsx]CF PND'!$BY$54</v>
      </c>
      <c r="J3858" s="1" t="s">
        <v>1886</v>
      </c>
    </row>
    <row r="3859" spans="1:10" x14ac:dyDescent="0.25">
      <c r="A3859" s="6" t="s">
        <v>3</v>
      </c>
      <c r="B3859" s="6">
        <f t="shared" ref="B3859:B3860" si="891">+B3858+1</f>
        <v>2042</v>
      </c>
      <c r="C3859" s="1" t="s">
        <v>109</v>
      </c>
      <c r="D3859" s="2" t="s">
        <v>128</v>
      </c>
      <c r="E3859" s="9" t="str">
        <f t="shared" si="885"/>
        <v>PND'!</v>
      </c>
      <c r="F3859" s="5" t="str">
        <f t="shared" si="886"/>
        <v>C:\Users\jaime.benazar\Quorum Business Solutions\Ecopetrol Prometeo - Documents\Planning Space Implementation\3. Analysis &amp; Design\Design\FC22\DRR Jaime\QUIFA-CAJÚA\Cajua\[VAS_CAJUA_CF_SEC_20230125.xlsx]CF PND'!</v>
      </c>
      <c r="G3859" s="6" t="s">
        <v>60</v>
      </c>
      <c r="H3859" s="1">
        <f t="shared" si="888"/>
        <v>55</v>
      </c>
      <c r="I3859" s="1" t="str">
        <f t="shared" si="887"/>
        <v>='C:\Users\jaime.benazar\Quorum Business Solutions\Ecopetrol Prometeo - Documents\Planning Space Implementation\3. Analysis &amp; Design\Design\FC22\DRR Jaime\QUIFA-CAJÚA\Cajua\[VAS_CAJUA_CF_SEC_20230125.xlsx]CF PND'!$BY$55</v>
      </c>
      <c r="J3859" s="1" t="s">
        <v>1887</v>
      </c>
    </row>
    <row r="3860" spans="1:10" x14ac:dyDescent="0.25">
      <c r="A3860" s="6" t="s">
        <v>3</v>
      </c>
      <c r="B3860" s="6">
        <f t="shared" si="891"/>
        <v>2043</v>
      </c>
      <c r="C3860" s="1" t="s">
        <v>109</v>
      </c>
      <c r="D3860" s="2" t="s">
        <v>128</v>
      </c>
      <c r="E3860" s="9" t="str">
        <f t="shared" si="885"/>
        <v>PND'!</v>
      </c>
      <c r="F3860" s="5" t="str">
        <f t="shared" si="886"/>
        <v>C:\Users\jaime.benazar\Quorum Business Solutions\Ecopetrol Prometeo - Documents\Planning Space Implementation\3. Analysis &amp; Design\Design\FC22\DRR Jaime\QUIFA-CAJÚA\Cajua\[VAS_CAJUA_CF_SEC_20230125.xlsx]CF PND'!</v>
      </c>
      <c r="G3860" s="6" t="s">
        <v>60</v>
      </c>
      <c r="H3860" s="1">
        <f t="shared" si="888"/>
        <v>56</v>
      </c>
      <c r="I3860" s="1" t="str">
        <f t="shared" si="887"/>
        <v>='C:\Users\jaime.benazar\Quorum Business Solutions\Ecopetrol Prometeo - Documents\Planning Space Implementation\3. Analysis &amp; Design\Design\FC22\DRR Jaime\QUIFA-CAJÚA\Cajua\[VAS_CAJUA_CF_SEC_20230125.xlsx]CF PND'!$BY$56</v>
      </c>
      <c r="J3860" s="1" t="s">
        <v>1888</v>
      </c>
    </row>
    <row r="3861" spans="1:10" x14ac:dyDescent="0.25">
      <c r="A3861" s="6" t="s">
        <v>3</v>
      </c>
      <c r="B3861" s="6">
        <f>+B3860+1</f>
        <v>2044</v>
      </c>
      <c r="C3861" s="1" t="s">
        <v>109</v>
      </c>
      <c r="D3861" s="2" t="s">
        <v>128</v>
      </c>
      <c r="E3861" s="9" t="str">
        <f t="shared" ref="E3861:E3876" si="892">_xlfn.CONCAT(A3861,"'!")</f>
        <v>PND'!</v>
      </c>
      <c r="F3861" s="5" t="str">
        <f t="shared" ref="F3861:F3876" si="893">_xlfn.CONCAT(D3861," ",E3861)</f>
        <v>C:\Users\jaime.benazar\Quorum Business Solutions\Ecopetrol Prometeo - Documents\Planning Space Implementation\3. Analysis &amp; Design\Design\FC22\DRR Jaime\QUIFA-CAJÚA\Cajua\[VAS_CAJUA_CF_SEC_20230125.xlsx]CF PND'!</v>
      </c>
      <c r="G3861" s="6" t="s">
        <v>60</v>
      </c>
      <c r="H3861" s="1">
        <f t="shared" ref="H3861:H3876" si="894">IF(A3861&lt;&gt;A3860,36,H3860+1)</f>
        <v>57</v>
      </c>
      <c r="I3861" s="1" t="str">
        <f t="shared" ref="I3861:I3876" si="895">_xlfn.CONCAT("='",F3861:H3861)</f>
        <v>='C:\Users\jaime.benazar\Quorum Business Solutions\Ecopetrol Prometeo - Documents\Planning Space Implementation\3. Analysis &amp; Design\Design\FC22\DRR Jaime\QUIFA-CAJÚA\Cajua\[VAS_CAJUA_CF_SEC_20230125.xlsx]CF PND'!$BY$57</v>
      </c>
      <c r="J3861" s="1" t="s">
        <v>1889</v>
      </c>
    </row>
    <row r="3862" spans="1:10" x14ac:dyDescent="0.25">
      <c r="A3862" s="6" t="s">
        <v>3</v>
      </c>
      <c r="B3862" s="6">
        <f t="shared" ref="B3862:B3876" si="896">+B3861+1</f>
        <v>2045</v>
      </c>
      <c r="C3862" s="1" t="s">
        <v>109</v>
      </c>
      <c r="D3862" s="2" t="s">
        <v>128</v>
      </c>
      <c r="E3862" s="9" t="str">
        <f t="shared" si="892"/>
        <v>PND'!</v>
      </c>
      <c r="F3862" s="5" t="str">
        <f t="shared" si="893"/>
        <v>C:\Users\jaime.benazar\Quorum Business Solutions\Ecopetrol Prometeo - Documents\Planning Space Implementation\3. Analysis &amp; Design\Design\FC22\DRR Jaime\QUIFA-CAJÚA\Cajua\[VAS_CAJUA_CF_SEC_20230125.xlsx]CF PND'!</v>
      </c>
      <c r="G3862" s="6" t="s">
        <v>60</v>
      </c>
      <c r="H3862" s="1">
        <f t="shared" si="894"/>
        <v>58</v>
      </c>
      <c r="I3862" s="1" t="str">
        <f t="shared" si="895"/>
        <v>='C:\Users\jaime.benazar\Quorum Business Solutions\Ecopetrol Prometeo - Documents\Planning Space Implementation\3. Analysis &amp; Design\Design\FC22\DRR Jaime\QUIFA-CAJÚA\Cajua\[VAS_CAJUA_CF_SEC_20230125.xlsx]CF PND'!$BY$58</v>
      </c>
      <c r="J3862" s="1" t="s">
        <v>1890</v>
      </c>
    </row>
    <row r="3863" spans="1:10" x14ac:dyDescent="0.25">
      <c r="A3863" s="6" t="s">
        <v>3</v>
      </c>
      <c r="B3863" s="6">
        <f t="shared" si="896"/>
        <v>2046</v>
      </c>
      <c r="C3863" s="1" t="s">
        <v>109</v>
      </c>
      <c r="D3863" s="2" t="s">
        <v>128</v>
      </c>
      <c r="E3863" s="9" t="str">
        <f t="shared" si="892"/>
        <v>PND'!</v>
      </c>
      <c r="F3863" s="5" t="str">
        <f t="shared" si="893"/>
        <v>C:\Users\jaime.benazar\Quorum Business Solutions\Ecopetrol Prometeo - Documents\Planning Space Implementation\3. Analysis &amp; Design\Design\FC22\DRR Jaime\QUIFA-CAJÚA\Cajua\[VAS_CAJUA_CF_SEC_20230125.xlsx]CF PND'!</v>
      </c>
      <c r="G3863" s="6" t="s">
        <v>60</v>
      </c>
      <c r="H3863" s="1">
        <f t="shared" si="894"/>
        <v>59</v>
      </c>
      <c r="I3863" s="1" t="str">
        <f t="shared" si="895"/>
        <v>='C:\Users\jaime.benazar\Quorum Business Solutions\Ecopetrol Prometeo - Documents\Planning Space Implementation\3. Analysis &amp; Design\Design\FC22\DRR Jaime\QUIFA-CAJÚA\Cajua\[VAS_CAJUA_CF_SEC_20230125.xlsx]CF PND'!$BY$59</v>
      </c>
      <c r="J3863" s="1" t="s">
        <v>1891</v>
      </c>
    </row>
    <row r="3864" spans="1:10" x14ac:dyDescent="0.25">
      <c r="A3864" s="6" t="s">
        <v>3</v>
      </c>
      <c r="B3864" s="6">
        <f t="shared" si="896"/>
        <v>2047</v>
      </c>
      <c r="C3864" s="1" t="s">
        <v>109</v>
      </c>
      <c r="D3864" s="2" t="s">
        <v>128</v>
      </c>
      <c r="E3864" s="9" t="str">
        <f t="shared" si="892"/>
        <v>PND'!</v>
      </c>
      <c r="F3864" s="5" t="str">
        <f t="shared" si="893"/>
        <v>C:\Users\jaime.benazar\Quorum Business Solutions\Ecopetrol Prometeo - Documents\Planning Space Implementation\3. Analysis &amp; Design\Design\FC22\DRR Jaime\QUIFA-CAJÚA\Cajua\[VAS_CAJUA_CF_SEC_20230125.xlsx]CF PND'!</v>
      </c>
      <c r="G3864" s="6" t="s">
        <v>60</v>
      </c>
      <c r="H3864" s="1">
        <f t="shared" si="894"/>
        <v>60</v>
      </c>
      <c r="I3864" s="1" t="str">
        <f t="shared" si="895"/>
        <v>='C:\Users\jaime.benazar\Quorum Business Solutions\Ecopetrol Prometeo - Documents\Planning Space Implementation\3. Analysis &amp; Design\Design\FC22\DRR Jaime\QUIFA-CAJÚA\Cajua\[VAS_CAJUA_CF_SEC_20230125.xlsx]CF PND'!$BY$60</v>
      </c>
      <c r="J3864" s="1" t="s">
        <v>1892</v>
      </c>
    </row>
    <row r="3865" spans="1:10" x14ac:dyDescent="0.25">
      <c r="A3865" s="6" t="s">
        <v>3</v>
      </c>
      <c r="B3865" s="6">
        <f t="shared" si="896"/>
        <v>2048</v>
      </c>
      <c r="C3865" s="1" t="s">
        <v>109</v>
      </c>
      <c r="D3865" s="2" t="s">
        <v>128</v>
      </c>
      <c r="E3865" s="9" t="str">
        <f t="shared" si="892"/>
        <v>PND'!</v>
      </c>
      <c r="F3865" s="5" t="str">
        <f t="shared" si="893"/>
        <v>C:\Users\jaime.benazar\Quorum Business Solutions\Ecopetrol Prometeo - Documents\Planning Space Implementation\3. Analysis &amp; Design\Design\FC22\DRR Jaime\QUIFA-CAJÚA\Cajua\[VAS_CAJUA_CF_SEC_20230125.xlsx]CF PND'!</v>
      </c>
      <c r="G3865" s="6" t="s">
        <v>60</v>
      </c>
      <c r="H3865" s="1">
        <f t="shared" si="894"/>
        <v>61</v>
      </c>
      <c r="I3865" s="1" t="str">
        <f t="shared" si="895"/>
        <v>='C:\Users\jaime.benazar\Quorum Business Solutions\Ecopetrol Prometeo - Documents\Planning Space Implementation\3. Analysis &amp; Design\Design\FC22\DRR Jaime\QUIFA-CAJÚA\Cajua\[VAS_CAJUA_CF_SEC_20230125.xlsx]CF PND'!$BY$61</v>
      </c>
      <c r="J3865" s="1" t="s">
        <v>1893</v>
      </c>
    </row>
    <row r="3866" spans="1:10" x14ac:dyDescent="0.25">
      <c r="A3866" s="6" t="s">
        <v>3</v>
      </c>
      <c r="B3866" s="6">
        <f t="shared" si="896"/>
        <v>2049</v>
      </c>
      <c r="C3866" s="1" t="s">
        <v>109</v>
      </c>
      <c r="D3866" s="2" t="s">
        <v>128</v>
      </c>
      <c r="E3866" s="9" t="str">
        <f t="shared" si="892"/>
        <v>PND'!</v>
      </c>
      <c r="F3866" s="5" t="str">
        <f t="shared" si="893"/>
        <v>C:\Users\jaime.benazar\Quorum Business Solutions\Ecopetrol Prometeo - Documents\Planning Space Implementation\3. Analysis &amp; Design\Design\FC22\DRR Jaime\QUIFA-CAJÚA\Cajua\[VAS_CAJUA_CF_SEC_20230125.xlsx]CF PND'!</v>
      </c>
      <c r="G3866" s="6" t="s">
        <v>60</v>
      </c>
      <c r="H3866" s="1">
        <f t="shared" si="894"/>
        <v>62</v>
      </c>
      <c r="I3866" s="1" t="str">
        <f t="shared" si="895"/>
        <v>='C:\Users\jaime.benazar\Quorum Business Solutions\Ecopetrol Prometeo - Documents\Planning Space Implementation\3. Analysis &amp; Design\Design\FC22\DRR Jaime\QUIFA-CAJÚA\Cajua\[VAS_CAJUA_CF_SEC_20230125.xlsx]CF PND'!$BY$62</v>
      </c>
      <c r="J3866" s="1" t="s">
        <v>1894</v>
      </c>
    </row>
    <row r="3867" spans="1:10" x14ac:dyDescent="0.25">
      <c r="A3867" s="6" t="s">
        <v>3</v>
      </c>
      <c r="B3867" s="6">
        <f t="shared" si="896"/>
        <v>2050</v>
      </c>
      <c r="C3867" s="1" t="s">
        <v>109</v>
      </c>
      <c r="D3867" s="2" t="s">
        <v>128</v>
      </c>
      <c r="E3867" s="9" t="str">
        <f t="shared" si="892"/>
        <v>PND'!</v>
      </c>
      <c r="F3867" s="5" t="str">
        <f t="shared" si="893"/>
        <v>C:\Users\jaime.benazar\Quorum Business Solutions\Ecopetrol Prometeo - Documents\Planning Space Implementation\3. Analysis &amp; Design\Design\FC22\DRR Jaime\QUIFA-CAJÚA\Cajua\[VAS_CAJUA_CF_SEC_20230125.xlsx]CF PND'!</v>
      </c>
      <c r="G3867" s="6" t="s">
        <v>60</v>
      </c>
      <c r="H3867" s="1">
        <f t="shared" si="894"/>
        <v>63</v>
      </c>
      <c r="I3867" s="1" t="str">
        <f t="shared" si="895"/>
        <v>='C:\Users\jaime.benazar\Quorum Business Solutions\Ecopetrol Prometeo - Documents\Planning Space Implementation\3. Analysis &amp; Design\Design\FC22\DRR Jaime\QUIFA-CAJÚA\Cajua\[VAS_CAJUA_CF_SEC_20230125.xlsx]CF PND'!$BY$63</v>
      </c>
      <c r="J3867" s="1" t="s">
        <v>1895</v>
      </c>
    </row>
    <row r="3868" spans="1:10" x14ac:dyDescent="0.25">
      <c r="A3868" s="6" t="s">
        <v>3</v>
      </c>
      <c r="B3868" s="6">
        <f t="shared" si="896"/>
        <v>2051</v>
      </c>
      <c r="C3868" s="1" t="s">
        <v>109</v>
      </c>
      <c r="D3868" s="2" t="s">
        <v>128</v>
      </c>
      <c r="E3868" s="9" t="str">
        <f t="shared" si="892"/>
        <v>PND'!</v>
      </c>
      <c r="F3868" s="5" t="str">
        <f t="shared" si="893"/>
        <v>C:\Users\jaime.benazar\Quorum Business Solutions\Ecopetrol Prometeo - Documents\Planning Space Implementation\3. Analysis &amp; Design\Design\FC22\DRR Jaime\QUIFA-CAJÚA\Cajua\[VAS_CAJUA_CF_SEC_20230125.xlsx]CF PND'!</v>
      </c>
      <c r="G3868" s="6" t="s">
        <v>60</v>
      </c>
      <c r="H3868" s="1">
        <f t="shared" si="894"/>
        <v>64</v>
      </c>
      <c r="I3868" s="1" t="str">
        <f t="shared" si="895"/>
        <v>='C:\Users\jaime.benazar\Quorum Business Solutions\Ecopetrol Prometeo - Documents\Planning Space Implementation\3. Analysis &amp; Design\Design\FC22\DRR Jaime\QUIFA-CAJÚA\Cajua\[VAS_CAJUA_CF_SEC_20230125.xlsx]CF PND'!$BY$64</v>
      </c>
      <c r="J3868" s="1" t="s">
        <v>1896</v>
      </c>
    </row>
    <row r="3869" spans="1:10" x14ac:dyDescent="0.25">
      <c r="A3869" s="6" t="s">
        <v>3</v>
      </c>
      <c r="B3869" s="6">
        <f t="shared" si="896"/>
        <v>2052</v>
      </c>
      <c r="C3869" s="1" t="s">
        <v>109</v>
      </c>
      <c r="D3869" s="2" t="s">
        <v>128</v>
      </c>
      <c r="E3869" s="9" t="str">
        <f t="shared" si="892"/>
        <v>PND'!</v>
      </c>
      <c r="F3869" s="5" t="str">
        <f t="shared" si="893"/>
        <v>C:\Users\jaime.benazar\Quorum Business Solutions\Ecopetrol Prometeo - Documents\Planning Space Implementation\3. Analysis &amp; Design\Design\FC22\DRR Jaime\QUIFA-CAJÚA\Cajua\[VAS_CAJUA_CF_SEC_20230125.xlsx]CF PND'!</v>
      </c>
      <c r="G3869" s="6" t="s">
        <v>60</v>
      </c>
      <c r="H3869" s="1">
        <f t="shared" si="894"/>
        <v>65</v>
      </c>
      <c r="I3869" s="1" t="str">
        <f t="shared" si="895"/>
        <v>='C:\Users\jaime.benazar\Quorum Business Solutions\Ecopetrol Prometeo - Documents\Planning Space Implementation\3. Analysis &amp; Design\Design\FC22\DRR Jaime\QUIFA-CAJÚA\Cajua\[VAS_CAJUA_CF_SEC_20230125.xlsx]CF PND'!$BY$65</v>
      </c>
      <c r="J3869" s="1" t="s">
        <v>1897</v>
      </c>
    </row>
    <row r="3870" spans="1:10" x14ac:dyDescent="0.25">
      <c r="A3870" s="6" t="s">
        <v>3</v>
      </c>
      <c r="B3870" s="6">
        <f t="shared" si="896"/>
        <v>2053</v>
      </c>
      <c r="C3870" s="1" t="s">
        <v>109</v>
      </c>
      <c r="D3870" s="2" t="s">
        <v>128</v>
      </c>
      <c r="E3870" s="9" t="str">
        <f t="shared" si="892"/>
        <v>PND'!</v>
      </c>
      <c r="F3870" s="5" t="str">
        <f t="shared" si="893"/>
        <v>C:\Users\jaime.benazar\Quorum Business Solutions\Ecopetrol Prometeo - Documents\Planning Space Implementation\3. Analysis &amp; Design\Design\FC22\DRR Jaime\QUIFA-CAJÚA\Cajua\[VAS_CAJUA_CF_SEC_20230125.xlsx]CF PND'!</v>
      </c>
      <c r="G3870" s="6" t="s">
        <v>60</v>
      </c>
      <c r="H3870" s="1">
        <f t="shared" si="894"/>
        <v>66</v>
      </c>
      <c r="I3870" s="1" t="str">
        <f t="shared" si="895"/>
        <v>='C:\Users\jaime.benazar\Quorum Business Solutions\Ecopetrol Prometeo - Documents\Planning Space Implementation\3. Analysis &amp; Design\Design\FC22\DRR Jaime\QUIFA-CAJÚA\Cajua\[VAS_CAJUA_CF_SEC_20230125.xlsx]CF PND'!$BY$66</v>
      </c>
      <c r="J3870" s="1" t="s">
        <v>1898</v>
      </c>
    </row>
    <row r="3871" spans="1:10" x14ac:dyDescent="0.25">
      <c r="A3871" s="6" t="s">
        <v>3</v>
      </c>
      <c r="B3871" s="6">
        <f t="shared" si="896"/>
        <v>2054</v>
      </c>
      <c r="C3871" s="1" t="s">
        <v>109</v>
      </c>
      <c r="D3871" s="2" t="s">
        <v>128</v>
      </c>
      <c r="E3871" s="9" t="str">
        <f t="shared" si="892"/>
        <v>PND'!</v>
      </c>
      <c r="F3871" s="5" t="str">
        <f t="shared" si="893"/>
        <v>C:\Users\jaime.benazar\Quorum Business Solutions\Ecopetrol Prometeo - Documents\Planning Space Implementation\3. Analysis &amp; Design\Design\FC22\DRR Jaime\QUIFA-CAJÚA\Cajua\[VAS_CAJUA_CF_SEC_20230125.xlsx]CF PND'!</v>
      </c>
      <c r="G3871" s="6" t="s">
        <v>60</v>
      </c>
      <c r="H3871" s="1">
        <f t="shared" si="894"/>
        <v>67</v>
      </c>
      <c r="I3871" s="1" t="str">
        <f t="shared" si="895"/>
        <v>='C:\Users\jaime.benazar\Quorum Business Solutions\Ecopetrol Prometeo - Documents\Planning Space Implementation\3. Analysis &amp; Design\Design\FC22\DRR Jaime\QUIFA-CAJÚA\Cajua\[VAS_CAJUA_CF_SEC_20230125.xlsx]CF PND'!$BY$67</v>
      </c>
      <c r="J3871" s="1" t="s">
        <v>1899</v>
      </c>
    </row>
    <row r="3872" spans="1:10" x14ac:dyDescent="0.25">
      <c r="A3872" s="6" t="s">
        <v>3</v>
      </c>
      <c r="B3872" s="6">
        <f t="shared" si="896"/>
        <v>2055</v>
      </c>
      <c r="C3872" s="1" t="s">
        <v>109</v>
      </c>
      <c r="D3872" s="2" t="s">
        <v>128</v>
      </c>
      <c r="E3872" s="9" t="str">
        <f t="shared" si="892"/>
        <v>PND'!</v>
      </c>
      <c r="F3872" s="5" t="str">
        <f t="shared" si="893"/>
        <v>C:\Users\jaime.benazar\Quorum Business Solutions\Ecopetrol Prometeo - Documents\Planning Space Implementation\3. Analysis &amp; Design\Design\FC22\DRR Jaime\QUIFA-CAJÚA\Cajua\[VAS_CAJUA_CF_SEC_20230125.xlsx]CF PND'!</v>
      </c>
      <c r="G3872" s="6" t="s">
        <v>60</v>
      </c>
      <c r="H3872" s="1">
        <f t="shared" si="894"/>
        <v>68</v>
      </c>
      <c r="I3872" s="1" t="str">
        <f t="shared" si="895"/>
        <v>='C:\Users\jaime.benazar\Quorum Business Solutions\Ecopetrol Prometeo - Documents\Planning Space Implementation\3. Analysis &amp; Design\Design\FC22\DRR Jaime\QUIFA-CAJÚA\Cajua\[VAS_CAJUA_CF_SEC_20230125.xlsx]CF PND'!$BY$68</v>
      </c>
      <c r="J3872" s="1" t="s">
        <v>1900</v>
      </c>
    </row>
    <row r="3873" spans="1:10" x14ac:dyDescent="0.25">
      <c r="A3873" s="6" t="s">
        <v>3</v>
      </c>
      <c r="B3873" s="6">
        <f t="shared" si="896"/>
        <v>2056</v>
      </c>
      <c r="C3873" s="1" t="s">
        <v>109</v>
      </c>
      <c r="D3873" s="2" t="s">
        <v>128</v>
      </c>
      <c r="E3873" s="9" t="str">
        <f t="shared" si="892"/>
        <v>PND'!</v>
      </c>
      <c r="F3873" s="5" t="str">
        <f t="shared" si="893"/>
        <v>C:\Users\jaime.benazar\Quorum Business Solutions\Ecopetrol Prometeo - Documents\Planning Space Implementation\3. Analysis &amp; Design\Design\FC22\DRR Jaime\QUIFA-CAJÚA\Cajua\[VAS_CAJUA_CF_SEC_20230125.xlsx]CF PND'!</v>
      </c>
      <c r="G3873" s="6" t="s">
        <v>60</v>
      </c>
      <c r="H3873" s="1">
        <f t="shared" si="894"/>
        <v>69</v>
      </c>
      <c r="I3873" s="1" t="str">
        <f t="shared" si="895"/>
        <v>='C:\Users\jaime.benazar\Quorum Business Solutions\Ecopetrol Prometeo - Documents\Planning Space Implementation\3. Analysis &amp; Design\Design\FC22\DRR Jaime\QUIFA-CAJÚA\Cajua\[VAS_CAJUA_CF_SEC_20230125.xlsx]CF PND'!$BY$69</v>
      </c>
      <c r="J3873" s="1" t="s">
        <v>1901</v>
      </c>
    </row>
    <row r="3874" spans="1:10" x14ac:dyDescent="0.25">
      <c r="A3874" s="6" t="s">
        <v>3</v>
      </c>
      <c r="B3874" s="6">
        <f t="shared" si="896"/>
        <v>2057</v>
      </c>
      <c r="C3874" s="1" t="s">
        <v>109</v>
      </c>
      <c r="D3874" s="2" t="s">
        <v>128</v>
      </c>
      <c r="E3874" s="9" t="str">
        <f t="shared" si="892"/>
        <v>PND'!</v>
      </c>
      <c r="F3874" s="5" t="str">
        <f t="shared" si="893"/>
        <v>C:\Users\jaime.benazar\Quorum Business Solutions\Ecopetrol Prometeo - Documents\Planning Space Implementation\3. Analysis &amp; Design\Design\FC22\DRR Jaime\QUIFA-CAJÚA\Cajua\[VAS_CAJUA_CF_SEC_20230125.xlsx]CF PND'!</v>
      </c>
      <c r="G3874" s="6" t="s">
        <v>60</v>
      </c>
      <c r="H3874" s="1">
        <f t="shared" si="894"/>
        <v>70</v>
      </c>
      <c r="I3874" s="1" t="str">
        <f t="shared" si="895"/>
        <v>='C:\Users\jaime.benazar\Quorum Business Solutions\Ecopetrol Prometeo - Documents\Planning Space Implementation\3. Analysis &amp; Design\Design\FC22\DRR Jaime\QUIFA-CAJÚA\Cajua\[VAS_CAJUA_CF_SEC_20230125.xlsx]CF PND'!$BY$70</v>
      </c>
      <c r="J3874" s="1" t="s">
        <v>1902</v>
      </c>
    </row>
    <row r="3875" spans="1:10" x14ac:dyDescent="0.25">
      <c r="A3875" s="6" t="s">
        <v>3</v>
      </c>
      <c r="B3875" s="6">
        <f t="shared" si="896"/>
        <v>2058</v>
      </c>
      <c r="C3875" s="1" t="s">
        <v>109</v>
      </c>
      <c r="D3875" s="2" t="s">
        <v>128</v>
      </c>
      <c r="E3875" s="9" t="str">
        <f t="shared" si="892"/>
        <v>PND'!</v>
      </c>
      <c r="F3875" s="5" t="str">
        <f t="shared" si="893"/>
        <v>C:\Users\jaime.benazar\Quorum Business Solutions\Ecopetrol Prometeo - Documents\Planning Space Implementation\3. Analysis &amp; Design\Design\FC22\DRR Jaime\QUIFA-CAJÚA\Cajua\[VAS_CAJUA_CF_SEC_20230125.xlsx]CF PND'!</v>
      </c>
      <c r="G3875" s="6" t="s">
        <v>60</v>
      </c>
      <c r="H3875" s="1">
        <f t="shared" si="894"/>
        <v>71</v>
      </c>
      <c r="I3875" s="1" t="str">
        <f t="shared" si="895"/>
        <v>='C:\Users\jaime.benazar\Quorum Business Solutions\Ecopetrol Prometeo - Documents\Planning Space Implementation\3. Analysis &amp; Design\Design\FC22\DRR Jaime\QUIFA-CAJÚA\Cajua\[VAS_CAJUA_CF_SEC_20230125.xlsx]CF PND'!$BY$71</v>
      </c>
      <c r="J3875" s="1" t="s">
        <v>1903</v>
      </c>
    </row>
    <row r="3876" spans="1:10" x14ac:dyDescent="0.25">
      <c r="A3876" s="6" t="s">
        <v>3</v>
      </c>
      <c r="B3876" s="6">
        <f t="shared" si="896"/>
        <v>2059</v>
      </c>
      <c r="C3876" s="1" t="s">
        <v>109</v>
      </c>
      <c r="D3876" s="2" t="s">
        <v>128</v>
      </c>
      <c r="E3876" s="9" t="str">
        <f t="shared" si="892"/>
        <v>PND'!</v>
      </c>
      <c r="F3876" s="5" t="str">
        <f t="shared" si="893"/>
        <v>C:\Users\jaime.benazar\Quorum Business Solutions\Ecopetrol Prometeo - Documents\Planning Space Implementation\3. Analysis &amp; Design\Design\FC22\DRR Jaime\QUIFA-CAJÚA\Cajua\[VAS_CAJUA_CF_SEC_20230125.xlsx]CF PND'!</v>
      </c>
      <c r="G3876" s="6" t="s">
        <v>60</v>
      </c>
      <c r="H3876" s="1">
        <f t="shared" si="894"/>
        <v>72</v>
      </c>
      <c r="I3876" s="1" t="str">
        <f t="shared" si="895"/>
        <v>='C:\Users\jaime.benazar\Quorum Business Solutions\Ecopetrol Prometeo - Documents\Planning Space Implementation\3. Analysis &amp; Design\Design\FC22\DRR Jaime\QUIFA-CAJÚA\Cajua\[VAS_CAJUA_CF_SEC_20230125.xlsx]CF PND'!$BY$72</v>
      </c>
      <c r="J3876" s="1" t="s">
        <v>1904</v>
      </c>
    </row>
    <row r="3877" spans="1:10" x14ac:dyDescent="0.25">
      <c r="A3877" s="6" t="s">
        <v>28</v>
      </c>
      <c r="B3877" s="6"/>
      <c r="C3877" s="1" t="s">
        <v>109</v>
      </c>
      <c r="D3877" s="2"/>
      <c r="E3877" s="9"/>
      <c r="F3877" s="2"/>
      <c r="G3877" s="6"/>
      <c r="H3877" s="1"/>
      <c r="I3877" s="1"/>
      <c r="J3877" s="4"/>
    </row>
    <row r="3878" spans="1:10" x14ac:dyDescent="0.25">
      <c r="A3878" s="6" t="s">
        <v>99</v>
      </c>
      <c r="B3878" s="6">
        <v>2023</v>
      </c>
      <c r="C3878" s="1" t="s">
        <v>109</v>
      </c>
      <c r="D3878" s="2" t="s">
        <v>128</v>
      </c>
      <c r="E3878" s="9" t="str">
        <f t="shared" ref="E3878:E3898" si="897">_xlfn.CONCAT(A3878,"'!")</f>
        <v>PRBDP'!</v>
      </c>
      <c r="F3878" s="5" t="str">
        <f t="shared" ref="F3878:F3898" si="898">_xlfn.CONCAT(D3878," ",E3878)</f>
        <v>C:\Users\jaime.benazar\Quorum Business Solutions\Ecopetrol Prometeo - Documents\Planning Space Implementation\3. Analysis &amp; Design\Design\FC22\DRR Jaime\QUIFA-CAJÚA\Cajua\[VAS_CAJUA_CF_SEC_20230125.xlsx]CF PRBDP'!</v>
      </c>
      <c r="G3878" s="6" t="s">
        <v>60</v>
      </c>
      <c r="H3878" s="1"/>
      <c r="I3878" s="1"/>
      <c r="J3878" s="1"/>
    </row>
    <row r="3879" spans="1:10" x14ac:dyDescent="0.25">
      <c r="A3879" s="6" t="s">
        <v>99</v>
      </c>
      <c r="B3879" s="6">
        <f>+B3878+1</f>
        <v>2024</v>
      </c>
      <c r="C3879" s="1" t="s">
        <v>109</v>
      </c>
      <c r="D3879" s="2" t="s">
        <v>128</v>
      </c>
      <c r="E3879" s="9" t="str">
        <f t="shared" si="897"/>
        <v>PRBDP'!</v>
      </c>
      <c r="F3879" s="5" t="str">
        <f t="shared" si="898"/>
        <v>C:\Users\jaime.benazar\Quorum Business Solutions\Ecopetrol Prometeo - Documents\Planning Space Implementation\3. Analysis &amp; Design\Design\FC22\DRR Jaime\QUIFA-CAJÚA\Cajua\[VAS_CAJUA_CF_SEC_20230125.xlsx]CF PRBDP'!</v>
      </c>
      <c r="G3879" s="6" t="s">
        <v>60</v>
      </c>
      <c r="H3879" s="1"/>
      <c r="I3879" s="1"/>
      <c r="J3879" s="1"/>
    </row>
    <row r="3880" spans="1:10" x14ac:dyDescent="0.25">
      <c r="A3880" s="6" t="s">
        <v>99</v>
      </c>
      <c r="B3880" s="6">
        <f t="shared" ref="B3880:B3891" si="899">+B3879+1</f>
        <v>2025</v>
      </c>
      <c r="C3880" s="1" t="s">
        <v>109</v>
      </c>
      <c r="D3880" s="2" t="s">
        <v>128</v>
      </c>
      <c r="E3880" s="9" t="str">
        <f t="shared" si="897"/>
        <v>PRBDP'!</v>
      </c>
      <c r="F3880" s="5" t="str">
        <f t="shared" si="898"/>
        <v>C:\Users\jaime.benazar\Quorum Business Solutions\Ecopetrol Prometeo - Documents\Planning Space Implementation\3. Analysis &amp; Design\Design\FC22\DRR Jaime\QUIFA-CAJÚA\Cajua\[VAS_CAJUA_CF_SEC_20230125.xlsx]CF PRBDP'!</v>
      </c>
      <c r="G3880" s="6" t="s">
        <v>60</v>
      </c>
      <c r="H3880" s="1"/>
      <c r="I3880" s="1"/>
      <c r="J3880" s="1"/>
    </row>
    <row r="3881" spans="1:10" x14ac:dyDescent="0.25">
      <c r="A3881" s="6" t="s">
        <v>99</v>
      </c>
      <c r="B3881" s="6">
        <f t="shared" si="899"/>
        <v>2026</v>
      </c>
      <c r="C3881" s="1" t="s">
        <v>109</v>
      </c>
      <c r="D3881" s="2" t="s">
        <v>128</v>
      </c>
      <c r="E3881" s="9" t="str">
        <f t="shared" si="897"/>
        <v>PRBDP'!</v>
      </c>
      <c r="F3881" s="5" t="str">
        <f t="shared" si="898"/>
        <v>C:\Users\jaime.benazar\Quorum Business Solutions\Ecopetrol Prometeo - Documents\Planning Space Implementation\3. Analysis &amp; Design\Design\FC22\DRR Jaime\QUIFA-CAJÚA\Cajua\[VAS_CAJUA_CF_SEC_20230125.xlsx]CF PRBDP'!</v>
      </c>
      <c r="G3881" s="6" t="s">
        <v>60</v>
      </c>
      <c r="H3881" s="1"/>
      <c r="I3881" s="1"/>
      <c r="J3881" s="1"/>
    </row>
    <row r="3882" spans="1:10" x14ac:dyDescent="0.25">
      <c r="A3882" s="6" t="s">
        <v>99</v>
      </c>
      <c r="B3882" s="6">
        <f t="shared" si="899"/>
        <v>2027</v>
      </c>
      <c r="C3882" s="1" t="s">
        <v>109</v>
      </c>
      <c r="D3882" s="2" t="s">
        <v>128</v>
      </c>
      <c r="E3882" s="9" t="str">
        <f t="shared" si="897"/>
        <v>PRBDP'!</v>
      </c>
      <c r="F3882" s="5" t="str">
        <f t="shared" si="898"/>
        <v>C:\Users\jaime.benazar\Quorum Business Solutions\Ecopetrol Prometeo - Documents\Planning Space Implementation\3. Analysis &amp; Design\Design\FC22\DRR Jaime\QUIFA-CAJÚA\Cajua\[VAS_CAJUA_CF_SEC_20230125.xlsx]CF PRBDP'!</v>
      </c>
      <c r="G3882" s="6" t="s">
        <v>60</v>
      </c>
      <c r="H3882" s="1"/>
      <c r="I3882" s="1"/>
      <c r="J3882" s="1"/>
    </row>
    <row r="3883" spans="1:10" x14ac:dyDescent="0.25">
      <c r="A3883" s="6" t="s">
        <v>99</v>
      </c>
      <c r="B3883" s="6">
        <f t="shared" si="899"/>
        <v>2028</v>
      </c>
      <c r="C3883" s="1" t="s">
        <v>109</v>
      </c>
      <c r="D3883" s="2" t="s">
        <v>128</v>
      </c>
      <c r="E3883" s="9" t="str">
        <f t="shared" si="897"/>
        <v>PRBDP'!</v>
      </c>
      <c r="F3883" s="5" t="str">
        <f t="shared" si="898"/>
        <v>C:\Users\jaime.benazar\Quorum Business Solutions\Ecopetrol Prometeo - Documents\Planning Space Implementation\3. Analysis &amp; Design\Design\FC22\DRR Jaime\QUIFA-CAJÚA\Cajua\[VAS_CAJUA_CF_SEC_20230125.xlsx]CF PRBDP'!</v>
      </c>
      <c r="G3883" s="6" t="s">
        <v>60</v>
      </c>
      <c r="H3883" s="1"/>
      <c r="I3883" s="1"/>
      <c r="J3883" s="1"/>
    </row>
    <row r="3884" spans="1:10" x14ac:dyDescent="0.25">
      <c r="A3884" s="6" t="s">
        <v>99</v>
      </c>
      <c r="B3884" s="6">
        <f t="shared" si="899"/>
        <v>2029</v>
      </c>
      <c r="C3884" s="1" t="s">
        <v>109</v>
      </c>
      <c r="D3884" s="2" t="s">
        <v>128</v>
      </c>
      <c r="E3884" s="9" t="str">
        <f t="shared" si="897"/>
        <v>PRBDP'!</v>
      </c>
      <c r="F3884" s="5" t="str">
        <f t="shared" si="898"/>
        <v>C:\Users\jaime.benazar\Quorum Business Solutions\Ecopetrol Prometeo - Documents\Planning Space Implementation\3. Analysis &amp; Design\Design\FC22\DRR Jaime\QUIFA-CAJÚA\Cajua\[VAS_CAJUA_CF_SEC_20230125.xlsx]CF PRBDP'!</v>
      </c>
      <c r="G3884" s="6" t="s">
        <v>60</v>
      </c>
      <c r="H3884" s="1"/>
      <c r="I3884" s="1"/>
      <c r="J3884" s="1"/>
    </row>
    <row r="3885" spans="1:10" x14ac:dyDescent="0.25">
      <c r="A3885" s="6" t="s">
        <v>99</v>
      </c>
      <c r="B3885" s="6">
        <f t="shared" si="899"/>
        <v>2030</v>
      </c>
      <c r="C3885" s="1" t="s">
        <v>109</v>
      </c>
      <c r="D3885" s="2" t="s">
        <v>128</v>
      </c>
      <c r="E3885" s="9" t="str">
        <f t="shared" si="897"/>
        <v>PRBDP'!</v>
      </c>
      <c r="F3885" s="5" t="str">
        <f t="shared" si="898"/>
        <v>C:\Users\jaime.benazar\Quorum Business Solutions\Ecopetrol Prometeo - Documents\Planning Space Implementation\3. Analysis &amp; Design\Design\FC22\DRR Jaime\QUIFA-CAJÚA\Cajua\[VAS_CAJUA_CF_SEC_20230125.xlsx]CF PRBDP'!</v>
      </c>
      <c r="G3885" s="6" t="s">
        <v>60</v>
      </c>
      <c r="H3885" s="1"/>
      <c r="I3885" s="1"/>
      <c r="J3885" s="1"/>
    </row>
    <row r="3886" spans="1:10" x14ac:dyDescent="0.25">
      <c r="A3886" s="6" t="s">
        <v>99</v>
      </c>
      <c r="B3886" s="6">
        <f t="shared" si="899"/>
        <v>2031</v>
      </c>
      <c r="C3886" s="1" t="s">
        <v>109</v>
      </c>
      <c r="D3886" s="2" t="s">
        <v>128</v>
      </c>
      <c r="E3886" s="9" t="str">
        <f t="shared" si="897"/>
        <v>PRBDP'!</v>
      </c>
      <c r="F3886" s="5" t="str">
        <f t="shared" si="898"/>
        <v>C:\Users\jaime.benazar\Quorum Business Solutions\Ecopetrol Prometeo - Documents\Planning Space Implementation\3. Analysis &amp; Design\Design\FC22\DRR Jaime\QUIFA-CAJÚA\Cajua\[VAS_CAJUA_CF_SEC_20230125.xlsx]CF PRBDP'!</v>
      </c>
      <c r="G3886" s="6" t="s">
        <v>60</v>
      </c>
      <c r="H3886" s="1"/>
      <c r="I3886" s="1"/>
      <c r="J3886" s="1"/>
    </row>
    <row r="3887" spans="1:10" x14ac:dyDescent="0.25">
      <c r="A3887" s="6" t="s">
        <v>99</v>
      </c>
      <c r="B3887" s="6">
        <f t="shared" si="899"/>
        <v>2032</v>
      </c>
      <c r="C3887" s="1" t="s">
        <v>109</v>
      </c>
      <c r="D3887" s="2" t="s">
        <v>128</v>
      </c>
      <c r="E3887" s="9" t="str">
        <f t="shared" si="897"/>
        <v>PRBDP'!</v>
      </c>
      <c r="F3887" s="5" t="str">
        <f t="shared" si="898"/>
        <v>C:\Users\jaime.benazar\Quorum Business Solutions\Ecopetrol Prometeo - Documents\Planning Space Implementation\3. Analysis &amp; Design\Design\FC22\DRR Jaime\QUIFA-CAJÚA\Cajua\[VAS_CAJUA_CF_SEC_20230125.xlsx]CF PRBDP'!</v>
      </c>
      <c r="G3887" s="6" t="s">
        <v>60</v>
      </c>
      <c r="H3887" s="1"/>
      <c r="I3887" s="1"/>
      <c r="J3887" s="1"/>
    </row>
    <row r="3888" spans="1:10" x14ac:dyDescent="0.25">
      <c r="A3888" s="6" t="s">
        <v>99</v>
      </c>
      <c r="B3888" s="6">
        <f t="shared" si="899"/>
        <v>2033</v>
      </c>
      <c r="C3888" s="1" t="s">
        <v>109</v>
      </c>
      <c r="D3888" s="2" t="s">
        <v>128</v>
      </c>
      <c r="E3888" s="9" t="str">
        <f t="shared" si="897"/>
        <v>PRBDP'!</v>
      </c>
      <c r="F3888" s="5" t="str">
        <f t="shared" si="898"/>
        <v>C:\Users\jaime.benazar\Quorum Business Solutions\Ecopetrol Prometeo - Documents\Planning Space Implementation\3. Analysis &amp; Design\Design\FC22\DRR Jaime\QUIFA-CAJÚA\Cajua\[VAS_CAJUA_CF_SEC_20230125.xlsx]CF PRBDP'!</v>
      </c>
      <c r="G3888" s="6" t="s">
        <v>60</v>
      </c>
      <c r="H3888" s="1"/>
      <c r="I3888" s="1"/>
      <c r="J3888" s="1"/>
    </row>
    <row r="3889" spans="1:10" x14ac:dyDescent="0.25">
      <c r="A3889" s="6" t="s">
        <v>99</v>
      </c>
      <c r="B3889" s="6">
        <f t="shared" si="899"/>
        <v>2034</v>
      </c>
      <c r="C3889" s="1" t="s">
        <v>109</v>
      </c>
      <c r="D3889" s="2" t="s">
        <v>128</v>
      </c>
      <c r="E3889" s="9" t="str">
        <f t="shared" si="897"/>
        <v>PRBDP'!</v>
      </c>
      <c r="F3889" s="5" t="str">
        <f t="shared" si="898"/>
        <v>C:\Users\jaime.benazar\Quorum Business Solutions\Ecopetrol Prometeo - Documents\Planning Space Implementation\3. Analysis &amp; Design\Design\FC22\DRR Jaime\QUIFA-CAJÚA\Cajua\[VAS_CAJUA_CF_SEC_20230125.xlsx]CF PRBDP'!</v>
      </c>
      <c r="G3889" s="6" t="s">
        <v>60</v>
      </c>
      <c r="H3889" s="1"/>
      <c r="I3889" s="1"/>
      <c r="J3889" s="1"/>
    </row>
    <row r="3890" spans="1:10" x14ac:dyDescent="0.25">
      <c r="A3890" s="6" t="s">
        <v>99</v>
      </c>
      <c r="B3890" s="6">
        <f t="shared" si="899"/>
        <v>2035</v>
      </c>
      <c r="C3890" s="1" t="s">
        <v>109</v>
      </c>
      <c r="D3890" s="2" t="s">
        <v>128</v>
      </c>
      <c r="E3890" s="9" t="str">
        <f t="shared" si="897"/>
        <v>PRBDP'!</v>
      </c>
      <c r="F3890" s="5" t="str">
        <f t="shared" si="898"/>
        <v>C:\Users\jaime.benazar\Quorum Business Solutions\Ecopetrol Prometeo - Documents\Planning Space Implementation\3. Analysis &amp; Design\Design\FC22\DRR Jaime\QUIFA-CAJÚA\Cajua\[VAS_CAJUA_CF_SEC_20230125.xlsx]CF PRBDP'!</v>
      </c>
      <c r="G3890" s="6" t="s">
        <v>60</v>
      </c>
      <c r="H3890" s="1"/>
      <c r="I3890" s="1"/>
      <c r="J3890" s="1"/>
    </row>
    <row r="3891" spans="1:10" x14ac:dyDescent="0.25">
      <c r="A3891" s="6" t="s">
        <v>99</v>
      </c>
      <c r="B3891" s="6">
        <f t="shared" si="899"/>
        <v>2036</v>
      </c>
      <c r="C3891" s="1" t="s">
        <v>109</v>
      </c>
      <c r="D3891" s="2" t="s">
        <v>128</v>
      </c>
      <c r="E3891" s="9" t="str">
        <f t="shared" si="897"/>
        <v>PRBDP'!</v>
      </c>
      <c r="F3891" s="5" t="str">
        <f t="shared" si="898"/>
        <v>C:\Users\jaime.benazar\Quorum Business Solutions\Ecopetrol Prometeo - Documents\Planning Space Implementation\3. Analysis &amp; Design\Design\FC22\DRR Jaime\QUIFA-CAJÚA\Cajua\[VAS_CAJUA_CF_SEC_20230125.xlsx]CF PRBDP'!</v>
      </c>
      <c r="G3891" s="6" t="s">
        <v>60</v>
      </c>
      <c r="H3891" s="1"/>
      <c r="I3891" s="1"/>
      <c r="J3891" s="1"/>
    </row>
    <row r="3892" spans="1:10" x14ac:dyDescent="0.25">
      <c r="A3892" s="6" t="s">
        <v>99</v>
      </c>
      <c r="B3892" s="6">
        <f>+B3891+1</f>
        <v>2037</v>
      </c>
      <c r="C3892" s="1" t="s">
        <v>109</v>
      </c>
      <c r="D3892" s="2" t="s">
        <v>128</v>
      </c>
      <c r="E3892" s="9" t="str">
        <f t="shared" si="897"/>
        <v>PRBDP'!</v>
      </c>
      <c r="F3892" s="5" t="str">
        <f t="shared" si="898"/>
        <v>C:\Users\jaime.benazar\Quorum Business Solutions\Ecopetrol Prometeo - Documents\Planning Space Implementation\3. Analysis &amp; Design\Design\FC22\DRR Jaime\QUIFA-CAJÚA\Cajua\[VAS_CAJUA_CF_SEC_20230125.xlsx]CF PRBDP'!</v>
      </c>
      <c r="G3892" s="6" t="s">
        <v>60</v>
      </c>
      <c r="H3892" s="1"/>
      <c r="I3892" s="1"/>
      <c r="J3892" s="1"/>
    </row>
    <row r="3893" spans="1:10" x14ac:dyDescent="0.25">
      <c r="A3893" s="6" t="s">
        <v>99</v>
      </c>
      <c r="B3893" s="6">
        <f t="shared" ref="B3893:B3895" si="900">+B3892+1</f>
        <v>2038</v>
      </c>
      <c r="C3893" s="1" t="s">
        <v>109</v>
      </c>
      <c r="D3893" s="2" t="s">
        <v>128</v>
      </c>
      <c r="E3893" s="9" t="str">
        <f t="shared" si="897"/>
        <v>PRBDP'!</v>
      </c>
      <c r="F3893" s="5" t="str">
        <f t="shared" si="898"/>
        <v>C:\Users\jaime.benazar\Quorum Business Solutions\Ecopetrol Prometeo - Documents\Planning Space Implementation\3. Analysis &amp; Design\Design\FC22\DRR Jaime\QUIFA-CAJÚA\Cajua\[VAS_CAJUA_CF_SEC_20230125.xlsx]CF PRBDP'!</v>
      </c>
      <c r="G3893" s="6" t="s">
        <v>60</v>
      </c>
      <c r="H3893" s="1"/>
      <c r="I3893" s="1"/>
      <c r="J3893" s="1"/>
    </row>
    <row r="3894" spans="1:10" x14ac:dyDescent="0.25">
      <c r="A3894" s="6" t="s">
        <v>99</v>
      </c>
      <c r="B3894" s="6">
        <f t="shared" si="900"/>
        <v>2039</v>
      </c>
      <c r="C3894" s="1" t="s">
        <v>109</v>
      </c>
      <c r="D3894" s="2" t="s">
        <v>128</v>
      </c>
      <c r="E3894" s="9" t="str">
        <f t="shared" si="897"/>
        <v>PRBDP'!</v>
      </c>
      <c r="F3894" s="5" t="str">
        <f t="shared" si="898"/>
        <v>C:\Users\jaime.benazar\Quorum Business Solutions\Ecopetrol Prometeo - Documents\Planning Space Implementation\3. Analysis &amp; Design\Design\FC22\DRR Jaime\QUIFA-CAJÚA\Cajua\[VAS_CAJUA_CF_SEC_20230125.xlsx]CF PRBDP'!</v>
      </c>
      <c r="G3894" s="6" t="s">
        <v>60</v>
      </c>
      <c r="H3894" s="1"/>
      <c r="I3894" s="1"/>
      <c r="J3894" s="1"/>
    </row>
    <row r="3895" spans="1:10" x14ac:dyDescent="0.25">
      <c r="A3895" s="6" t="s">
        <v>99</v>
      </c>
      <c r="B3895" s="6">
        <f t="shared" si="900"/>
        <v>2040</v>
      </c>
      <c r="C3895" s="1" t="s">
        <v>109</v>
      </c>
      <c r="D3895" s="2" t="s">
        <v>128</v>
      </c>
      <c r="E3895" s="9" t="str">
        <f t="shared" si="897"/>
        <v>PRBDP'!</v>
      </c>
      <c r="F3895" s="5" t="str">
        <f t="shared" si="898"/>
        <v>C:\Users\jaime.benazar\Quorum Business Solutions\Ecopetrol Prometeo - Documents\Planning Space Implementation\3. Analysis &amp; Design\Design\FC22\DRR Jaime\QUIFA-CAJÚA\Cajua\[VAS_CAJUA_CF_SEC_20230125.xlsx]CF PRBDP'!</v>
      </c>
      <c r="G3895" s="6" t="s">
        <v>60</v>
      </c>
      <c r="H3895" s="1"/>
      <c r="I3895" s="1"/>
      <c r="J3895" s="1"/>
    </row>
    <row r="3896" spans="1:10" x14ac:dyDescent="0.25">
      <c r="A3896" s="6" t="s">
        <v>99</v>
      </c>
      <c r="B3896" s="6">
        <f>+B3895+1</f>
        <v>2041</v>
      </c>
      <c r="C3896" s="1" t="s">
        <v>109</v>
      </c>
      <c r="D3896" s="2" t="s">
        <v>128</v>
      </c>
      <c r="E3896" s="9" t="str">
        <f t="shared" si="897"/>
        <v>PRBDP'!</v>
      </c>
      <c r="F3896" s="5" t="str">
        <f t="shared" si="898"/>
        <v>C:\Users\jaime.benazar\Quorum Business Solutions\Ecopetrol Prometeo - Documents\Planning Space Implementation\3. Analysis &amp; Design\Design\FC22\DRR Jaime\QUIFA-CAJÚA\Cajua\[VAS_CAJUA_CF_SEC_20230125.xlsx]CF PRBDP'!</v>
      </c>
      <c r="G3896" s="6" t="s">
        <v>60</v>
      </c>
      <c r="H3896" s="1"/>
      <c r="I3896" s="1"/>
      <c r="J3896" s="1"/>
    </row>
    <row r="3897" spans="1:10" x14ac:dyDescent="0.25">
      <c r="A3897" s="6" t="s">
        <v>99</v>
      </c>
      <c r="B3897" s="6">
        <f t="shared" ref="B3897:B3898" si="901">+B3896+1</f>
        <v>2042</v>
      </c>
      <c r="C3897" s="1" t="s">
        <v>109</v>
      </c>
      <c r="D3897" s="2" t="s">
        <v>128</v>
      </c>
      <c r="E3897" s="9" t="str">
        <f t="shared" si="897"/>
        <v>PRBDP'!</v>
      </c>
      <c r="F3897" s="5" t="str">
        <f t="shared" si="898"/>
        <v>C:\Users\jaime.benazar\Quorum Business Solutions\Ecopetrol Prometeo - Documents\Planning Space Implementation\3. Analysis &amp; Design\Design\FC22\DRR Jaime\QUIFA-CAJÚA\Cajua\[VAS_CAJUA_CF_SEC_20230125.xlsx]CF PRBDP'!</v>
      </c>
      <c r="G3897" s="6" t="s">
        <v>60</v>
      </c>
      <c r="H3897" s="1"/>
      <c r="I3897" s="1"/>
      <c r="J3897" s="1"/>
    </row>
    <row r="3898" spans="1:10" x14ac:dyDescent="0.25">
      <c r="A3898" s="6" t="s">
        <v>99</v>
      </c>
      <c r="B3898" s="6">
        <f t="shared" si="901"/>
        <v>2043</v>
      </c>
      <c r="C3898" s="1" t="s">
        <v>109</v>
      </c>
      <c r="D3898" s="2" t="s">
        <v>128</v>
      </c>
      <c r="E3898" s="9" t="str">
        <f t="shared" si="897"/>
        <v>PRBDP'!</v>
      </c>
      <c r="F3898" s="5" t="str">
        <f t="shared" si="898"/>
        <v>C:\Users\jaime.benazar\Quorum Business Solutions\Ecopetrol Prometeo - Documents\Planning Space Implementation\3. Analysis &amp; Design\Design\FC22\DRR Jaime\QUIFA-CAJÚA\Cajua\[VAS_CAJUA_CF_SEC_20230125.xlsx]CF PRBDP'!</v>
      </c>
      <c r="G3898" s="6" t="s">
        <v>60</v>
      </c>
      <c r="H3898" s="1"/>
      <c r="I3898" s="1"/>
      <c r="J3898" s="1"/>
    </row>
    <row r="3899" spans="1:10" x14ac:dyDescent="0.25">
      <c r="A3899" s="6" t="s">
        <v>99</v>
      </c>
      <c r="B3899" s="6">
        <f>+B3898+1</f>
        <v>2044</v>
      </c>
      <c r="C3899" s="1" t="s">
        <v>109</v>
      </c>
      <c r="D3899" s="2" t="s">
        <v>128</v>
      </c>
      <c r="E3899" s="9" t="str">
        <f t="shared" ref="E3899:E3914" si="902">_xlfn.CONCAT(A3899,"'!")</f>
        <v>PRBDP'!</v>
      </c>
      <c r="F3899" s="5" t="str">
        <f t="shared" ref="F3899:F3914" si="903">_xlfn.CONCAT(D3899," ",E3899)</f>
        <v>C:\Users\jaime.benazar\Quorum Business Solutions\Ecopetrol Prometeo - Documents\Planning Space Implementation\3. Analysis &amp; Design\Design\FC22\DRR Jaime\QUIFA-CAJÚA\Cajua\[VAS_CAJUA_CF_SEC_20230125.xlsx]CF PRBDP'!</v>
      </c>
      <c r="G3899" s="6" t="s">
        <v>60</v>
      </c>
      <c r="H3899" s="1"/>
      <c r="I3899" s="1"/>
      <c r="J3899" s="1"/>
    </row>
    <row r="3900" spans="1:10" x14ac:dyDescent="0.25">
      <c r="A3900" s="6" t="s">
        <v>99</v>
      </c>
      <c r="B3900" s="6">
        <f t="shared" ref="B3900:B3914" si="904">+B3899+1</f>
        <v>2045</v>
      </c>
      <c r="C3900" s="1" t="s">
        <v>109</v>
      </c>
      <c r="D3900" s="2" t="s">
        <v>128</v>
      </c>
      <c r="E3900" s="9" t="str">
        <f t="shared" si="902"/>
        <v>PRBDP'!</v>
      </c>
      <c r="F3900" s="5" t="str">
        <f t="shared" si="903"/>
        <v>C:\Users\jaime.benazar\Quorum Business Solutions\Ecopetrol Prometeo - Documents\Planning Space Implementation\3. Analysis &amp; Design\Design\FC22\DRR Jaime\QUIFA-CAJÚA\Cajua\[VAS_CAJUA_CF_SEC_20230125.xlsx]CF PRBDP'!</v>
      </c>
      <c r="G3900" s="6" t="s">
        <v>60</v>
      </c>
      <c r="H3900" s="1"/>
      <c r="I3900" s="1"/>
      <c r="J3900" s="1"/>
    </row>
    <row r="3901" spans="1:10" x14ac:dyDescent="0.25">
      <c r="A3901" s="6" t="s">
        <v>99</v>
      </c>
      <c r="B3901" s="6">
        <f t="shared" si="904"/>
        <v>2046</v>
      </c>
      <c r="C3901" s="1" t="s">
        <v>109</v>
      </c>
      <c r="D3901" s="2" t="s">
        <v>128</v>
      </c>
      <c r="E3901" s="9" t="str">
        <f t="shared" si="902"/>
        <v>PRBDP'!</v>
      </c>
      <c r="F3901" s="5" t="str">
        <f t="shared" si="903"/>
        <v>C:\Users\jaime.benazar\Quorum Business Solutions\Ecopetrol Prometeo - Documents\Planning Space Implementation\3. Analysis &amp; Design\Design\FC22\DRR Jaime\QUIFA-CAJÚA\Cajua\[VAS_CAJUA_CF_SEC_20230125.xlsx]CF PRBDP'!</v>
      </c>
      <c r="G3901" s="6" t="s">
        <v>60</v>
      </c>
      <c r="H3901" s="1"/>
      <c r="I3901" s="1"/>
      <c r="J3901" s="1"/>
    </row>
    <row r="3902" spans="1:10" x14ac:dyDescent="0.25">
      <c r="A3902" s="6" t="s">
        <v>99</v>
      </c>
      <c r="B3902" s="6">
        <f t="shared" si="904"/>
        <v>2047</v>
      </c>
      <c r="C3902" s="1" t="s">
        <v>109</v>
      </c>
      <c r="D3902" s="2" t="s">
        <v>128</v>
      </c>
      <c r="E3902" s="9" t="str">
        <f t="shared" si="902"/>
        <v>PRBDP'!</v>
      </c>
      <c r="F3902" s="5" t="str">
        <f t="shared" si="903"/>
        <v>C:\Users\jaime.benazar\Quorum Business Solutions\Ecopetrol Prometeo - Documents\Planning Space Implementation\3. Analysis &amp; Design\Design\FC22\DRR Jaime\QUIFA-CAJÚA\Cajua\[VAS_CAJUA_CF_SEC_20230125.xlsx]CF PRBDP'!</v>
      </c>
      <c r="G3902" s="6" t="s">
        <v>60</v>
      </c>
      <c r="H3902" s="1"/>
      <c r="I3902" s="1"/>
      <c r="J3902" s="1"/>
    </row>
    <row r="3903" spans="1:10" x14ac:dyDescent="0.25">
      <c r="A3903" s="6" t="s">
        <v>99</v>
      </c>
      <c r="B3903" s="6">
        <f t="shared" si="904"/>
        <v>2048</v>
      </c>
      <c r="C3903" s="1" t="s">
        <v>109</v>
      </c>
      <c r="D3903" s="2" t="s">
        <v>128</v>
      </c>
      <c r="E3903" s="9" t="str">
        <f t="shared" si="902"/>
        <v>PRBDP'!</v>
      </c>
      <c r="F3903" s="5" t="str">
        <f t="shared" si="903"/>
        <v>C:\Users\jaime.benazar\Quorum Business Solutions\Ecopetrol Prometeo - Documents\Planning Space Implementation\3. Analysis &amp; Design\Design\FC22\DRR Jaime\QUIFA-CAJÚA\Cajua\[VAS_CAJUA_CF_SEC_20230125.xlsx]CF PRBDP'!</v>
      </c>
      <c r="G3903" s="6" t="s">
        <v>60</v>
      </c>
      <c r="H3903" s="1"/>
      <c r="I3903" s="1"/>
      <c r="J3903" s="1"/>
    </row>
    <row r="3904" spans="1:10" x14ac:dyDescent="0.25">
      <c r="A3904" s="6" t="s">
        <v>99</v>
      </c>
      <c r="B3904" s="6">
        <f t="shared" si="904"/>
        <v>2049</v>
      </c>
      <c r="C3904" s="1" t="s">
        <v>109</v>
      </c>
      <c r="D3904" s="2" t="s">
        <v>128</v>
      </c>
      <c r="E3904" s="9" t="str">
        <f t="shared" si="902"/>
        <v>PRBDP'!</v>
      </c>
      <c r="F3904" s="5" t="str">
        <f t="shared" si="903"/>
        <v>C:\Users\jaime.benazar\Quorum Business Solutions\Ecopetrol Prometeo - Documents\Planning Space Implementation\3. Analysis &amp; Design\Design\FC22\DRR Jaime\QUIFA-CAJÚA\Cajua\[VAS_CAJUA_CF_SEC_20230125.xlsx]CF PRBDP'!</v>
      </c>
      <c r="G3904" s="6" t="s">
        <v>60</v>
      </c>
      <c r="H3904" s="1"/>
      <c r="I3904" s="1"/>
      <c r="J3904" s="1"/>
    </row>
    <row r="3905" spans="1:10" x14ac:dyDescent="0.25">
      <c r="A3905" s="6" t="s">
        <v>99</v>
      </c>
      <c r="B3905" s="6">
        <f t="shared" si="904"/>
        <v>2050</v>
      </c>
      <c r="C3905" s="1" t="s">
        <v>109</v>
      </c>
      <c r="D3905" s="2" t="s">
        <v>128</v>
      </c>
      <c r="E3905" s="9" t="str">
        <f t="shared" si="902"/>
        <v>PRBDP'!</v>
      </c>
      <c r="F3905" s="5" t="str">
        <f t="shared" si="903"/>
        <v>C:\Users\jaime.benazar\Quorum Business Solutions\Ecopetrol Prometeo - Documents\Planning Space Implementation\3. Analysis &amp; Design\Design\FC22\DRR Jaime\QUIFA-CAJÚA\Cajua\[VAS_CAJUA_CF_SEC_20230125.xlsx]CF PRBDP'!</v>
      </c>
      <c r="G3905" s="6" t="s">
        <v>60</v>
      </c>
      <c r="H3905" s="1"/>
      <c r="I3905" s="1"/>
      <c r="J3905" s="1"/>
    </row>
    <row r="3906" spans="1:10" x14ac:dyDescent="0.25">
      <c r="A3906" s="6" t="s">
        <v>99</v>
      </c>
      <c r="B3906" s="6">
        <f t="shared" si="904"/>
        <v>2051</v>
      </c>
      <c r="C3906" s="1" t="s">
        <v>109</v>
      </c>
      <c r="D3906" s="2" t="s">
        <v>128</v>
      </c>
      <c r="E3906" s="9" t="str">
        <f t="shared" si="902"/>
        <v>PRBDP'!</v>
      </c>
      <c r="F3906" s="5" t="str">
        <f t="shared" si="903"/>
        <v>C:\Users\jaime.benazar\Quorum Business Solutions\Ecopetrol Prometeo - Documents\Planning Space Implementation\3. Analysis &amp; Design\Design\FC22\DRR Jaime\QUIFA-CAJÚA\Cajua\[VAS_CAJUA_CF_SEC_20230125.xlsx]CF PRBDP'!</v>
      </c>
      <c r="G3906" s="6" t="s">
        <v>60</v>
      </c>
      <c r="H3906" s="1"/>
      <c r="I3906" s="1"/>
      <c r="J3906" s="1"/>
    </row>
    <row r="3907" spans="1:10" x14ac:dyDescent="0.25">
      <c r="A3907" s="6" t="s">
        <v>99</v>
      </c>
      <c r="B3907" s="6">
        <f t="shared" si="904"/>
        <v>2052</v>
      </c>
      <c r="C3907" s="1" t="s">
        <v>109</v>
      </c>
      <c r="D3907" s="2" t="s">
        <v>128</v>
      </c>
      <c r="E3907" s="9" t="str">
        <f t="shared" si="902"/>
        <v>PRBDP'!</v>
      </c>
      <c r="F3907" s="5" t="str">
        <f t="shared" si="903"/>
        <v>C:\Users\jaime.benazar\Quorum Business Solutions\Ecopetrol Prometeo - Documents\Planning Space Implementation\3. Analysis &amp; Design\Design\FC22\DRR Jaime\QUIFA-CAJÚA\Cajua\[VAS_CAJUA_CF_SEC_20230125.xlsx]CF PRBDP'!</v>
      </c>
      <c r="G3907" s="6" t="s">
        <v>60</v>
      </c>
      <c r="H3907" s="1"/>
      <c r="I3907" s="1"/>
      <c r="J3907" s="1"/>
    </row>
    <row r="3908" spans="1:10" x14ac:dyDescent="0.25">
      <c r="A3908" s="6" t="s">
        <v>99</v>
      </c>
      <c r="B3908" s="6">
        <f t="shared" si="904"/>
        <v>2053</v>
      </c>
      <c r="C3908" s="1" t="s">
        <v>109</v>
      </c>
      <c r="D3908" s="2" t="s">
        <v>128</v>
      </c>
      <c r="E3908" s="9" t="str">
        <f t="shared" si="902"/>
        <v>PRBDP'!</v>
      </c>
      <c r="F3908" s="5" t="str">
        <f t="shared" si="903"/>
        <v>C:\Users\jaime.benazar\Quorum Business Solutions\Ecopetrol Prometeo - Documents\Planning Space Implementation\3. Analysis &amp; Design\Design\FC22\DRR Jaime\QUIFA-CAJÚA\Cajua\[VAS_CAJUA_CF_SEC_20230125.xlsx]CF PRBDP'!</v>
      </c>
      <c r="G3908" s="6" t="s">
        <v>60</v>
      </c>
      <c r="H3908" s="1"/>
      <c r="I3908" s="1"/>
      <c r="J3908" s="1"/>
    </row>
    <row r="3909" spans="1:10" x14ac:dyDescent="0.25">
      <c r="A3909" s="6" t="s">
        <v>99</v>
      </c>
      <c r="B3909" s="6">
        <f t="shared" si="904"/>
        <v>2054</v>
      </c>
      <c r="C3909" s="1" t="s">
        <v>109</v>
      </c>
      <c r="D3909" s="2" t="s">
        <v>128</v>
      </c>
      <c r="E3909" s="9" t="str">
        <f t="shared" si="902"/>
        <v>PRBDP'!</v>
      </c>
      <c r="F3909" s="5" t="str">
        <f t="shared" si="903"/>
        <v>C:\Users\jaime.benazar\Quorum Business Solutions\Ecopetrol Prometeo - Documents\Planning Space Implementation\3. Analysis &amp; Design\Design\FC22\DRR Jaime\QUIFA-CAJÚA\Cajua\[VAS_CAJUA_CF_SEC_20230125.xlsx]CF PRBDP'!</v>
      </c>
      <c r="G3909" s="6" t="s">
        <v>60</v>
      </c>
      <c r="H3909" s="1"/>
      <c r="I3909" s="1"/>
      <c r="J3909" s="1"/>
    </row>
    <row r="3910" spans="1:10" x14ac:dyDescent="0.25">
      <c r="A3910" s="6" t="s">
        <v>99</v>
      </c>
      <c r="B3910" s="6">
        <f t="shared" si="904"/>
        <v>2055</v>
      </c>
      <c r="C3910" s="1" t="s">
        <v>109</v>
      </c>
      <c r="D3910" s="2" t="s">
        <v>128</v>
      </c>
      <c r="E3910" s="9" t="str">
        <f t="shared" si="902"/>
        <v>PRBDP'!</v>
      </c>
      <c r="F3910" s="5" t="str">
        <f t="shared" si="903"/>
        <v>C:\Users\jaime.benazar\Quorum Business Solutions\Ecopetrol Prometeo - Documents\Planning Space Implementation\3. Analysis &amp; Design\Design\FC22\DRR Jaime\QUIFA-CAJÚA\Cajua\[VAS_CAJUA_CF_SEC_20230125.xlsx]CF PRBDP'!</v>
      </c>
      <c r="G3910" s="6" t="s">
        <v>60</v>
      </c>
      <c r="H3910" s="1"/>
      <c r="I3910" s="1"/>
      <c r="J3910" s="1"/>
    </row>
    <row r="3911" spans="1:10" x14ac:dyDescent="0.25">
      <c r="A3911" s="6" t="s">
        <v>99</v>
      </c>
      <c r="B3911" s="6">
        <f t="shared" si="904"/>
        <v>2056</v>
      </c>
      <c r="C3911" s="1" t="s">
        <v>109</v>
      </c>
      <c r="D3911" s="2" t="s">
        <v>128</v>
      </c>
      <c r="E3911" s="9" t="str">
        <f t="shared" si="902"/>
        <v>PRBDP'!</v>
      </c>
      <c r="F3911" s="5" t="str">
        <f t="shared" si="903"/>
        <v>C:\Users\jaime.benazar\Quorum Business Solutions\Ecopetrol Prometeo - Documents\Planning Space Implementation\3. Analysis &amp; Design\Design\FC22\DRR Jaime\QUIFA-CAJÚA\Cajua\[VAS_CAJUA_CF_SEC_20230125.xlsx]CF PRBDP'!</v>
      </c>
      <c r="G3911" s="6" t="s">
        <v>60</v>
      </c>
      <c r="H3911" s="1"/>
      <c r="I3911" s="1"/>
      <c r="J3911" s="1"/>
    </row>
    <row r="3912" spans="1:10" x14ac:dyDescent="0.25">
      <c r="A3912" s="6" t="s">
        <v>99</v>
      </c>
      <c r="B3912" s="6">
        <f t="shared" si="904"/>
        <v>2057</v>
      </c>
      <c r="C3912" s="1" t="s">
        <v>109</v>
      </c>
      <c r="D3912" s="2" t="s">
        <v>128</v>
      </c>
      <c r="E3912" s="9" t="str">
        <f t="shared" si="902"/>
        <v>PRBDP'!</v>
      </c>
      <c r="F3912" s="5" t="str">
        <f t="shared" si="903"/>
        <v>C:\Users\jaime.benazar\Quorum Business Solutions\Ecopetrol Prometeo - Documents\Planning Space Implementation\3. Analysis &amp; Design\Design\FC22\DRR Jaime\QUIFA-CAJÚA\Cajua\[VAS_CAJUA_CF_SEC_20230125.xlsx]CF PRBDP'!</v>
      </c>
      <c r="G3912" s="6" t="s">
        <v>60</v>
      </c>
      <c r="H3912" s="1"/>
      <c r="I3912" s="1"/>
      <c r="J3912" s="1"/>
    </row>
    <row r="3913" spans="1:10" x14ac:dyDescent="0.25">
      <c r="A3913" s="6" t="s">
        <v>99</v>
      </c>
      <c r="B3913" s="6">
        <f t="shared" si="904"/>
        <v>2058</v>
      </c>
      <c r="C3913" s="1" t="s">
        <v>109</v>
      </c>
      <c r="D3913" s="2" t="s">
        <v>128</v>
      </c>
      <c r="E3913" s="9" t="str">
        <f t="shared" si="902"/>
        <v>PRBDP'!</v>
      </c>
      <c r="F3913" s="5" t="str">
        <f t="shared" si="903"/>
        <v>C:\Users\jaime.benazar\Quorum Business Solutions\Ecopetrol Prometeo - Documents\Planning Space Implementation\3. Analysis &amp; Design\Design\FC22\DRR Jaime\QUIFA-CAJÚA\Cajua\[VAS_CAJUA_CF_SEC_20230125.xlsx]CF PRBDP'!</v>
      </c>
      <c r="G3913" s="6" t="s">
        <v>60</v>
      </c>
      <c r="H3913" s="1"/>
      <c r="I3913" s="1"/>
      <c r="J3913" s="1"/>
    </row>
    <row r="3914" spans="1:10" x14ac:dyDescent="0.25">
      <c r="A3914" s="6" t="s">
        <v>99</v>
      </c>
      <c r="B3914" s="6">
        <f t="shared" si="904"/>
        <v>2059</v>
      </c>
      <c r="C3914" s="1" t="s">
        <v>109</v>
      </c>
      <c r="D3914" s="2" t="s">
        <v>128</v>
      </c>
      <c r="E3914" s="9" t="str">
        <f t="shared" si="902"/>
        <v>PRBDP'!</v>
      </c>
      <c r="F3914" s="5" t="str">
        <f t="shared" si="903"/>
        <v>C:\Users\jaime.benazar\Quorum Business Solutions\Ecopetrol Prometeo - Documents\Planning Space Implementation\3. Analysis &amp; Design\Design\FC22\DRR Jaime\QUIFA-CAJÚA\Cajua\[VAS_CAJUA_CF_SEC_20230125.xlsx]CF PRBDP'!</v>
      </c>
      <c r="G3914" s="6" t="s">
        <v>60</v>
      </c>
      <c r="H3914" s="1"/>
      <c r="I3914" s="1"/>
      <c r="J3914" s="1"/>
    </row>
    <row r="3915" spans="1:10" x14ac:dyDescent="0.25">
      <c r="A3915" s="6" t="s">
        <v>28</v>
      </c>
      <c r="B3915" s="6"/>
      <c r="C3915" s="1" t="s">
        <v>109</v>
      </c>
      <c r="D3915" s="2"/>
      <c r="E3915" s="9"/>
      <c r="F3915" s="2"/>
      <c r="G3915" s="6"/>
      <c r="H3915" s="1"/>
      <c r="I3915" s="1"/>
      <c r="J3915" s="12"/>
    </row>
    <row r="3916" spans="1:10" x14ac:dyDescent="0.25">
      <c r="A3916" s="6" t="s">
        <v>100</v>
      </c>
      <c r="B3916" s="6">
        <v>2023</v>
      </c>
      <c r="C3916" s="1" t="s">
        <v>109</v>
      </c>
      <c r="D3916" s="2" t="s">
        <v>128</v>
      </c>
      <c r="E3916" s="9" t="str">
        <f t="shared" ref="E3916:E3936" si="905">_xlfn.CONCAT(A3916,"'!")</f>
        <v>PRBNP'!</v>
      </c>
      <c r="F3916" s="5" t="str">
        <f t="shared" ref="F3916:F3936" si="906">_xlfn.CONCAT(D3916," ",E3916)</f>
        <v>C:\Users\jaime.benazar\Quorum Business Solutions\Ecopetrol Prometeo - Documents\Planning Space Implementation\3. Analysis &amp; Design\Design\FC22\DRR Jaime\QUIFA-CAJÚA\Cajua\[VAS_CAJUA_CF_SEC_20230125.xlsx]CF PRBNP'!</v>
      </c>
      <c r="G3916" s="6" t="s">
        <v>60</v>
      </c>
      <c r="H3916" s="1"/>
      <c r="I3916" s="1"/>
      <c r="J3916" s="1"/>
    </row>
    <row r="3917" spans="1:10" x14ac:dyDescent="0.25">
      <c r="A3917" s="6" t="s">
        <v>100</v>
      </c>
      <c r="B3917" s="6">
        <f>+B3916+1</f>
        <v>2024</v>
      </c>
      <c r="C3917" s="1" t="s">
        <v>109</v>
      </c>
      <c r="D3917" s="2" t="s">
        <v>128</v>
      </c>
      <c r="E3917" s="9" t="str">
        <f t="shared" si="905"/>
        <v>PRBNP'!</v>
      </c>
      <c r="F3917" s="5" t="str">
        <f t="shared" si="906"/>
        <v>C:\Users\jaime.benazar\Quorum Business Solutions\Ecopetrol Prometeo - Documents\Planning Space Implementation\3. Analysis &amp; Design\Design\FC22\DRR Jaime\QUIFA-CAJÚA\Cajua\[VAS_CAJUA_CF_SEC_20230125.xlsx]CF PRBNP'!</v>
      </c>
      <c r="G3917" s="6" t="s">
        <v>60</v>
      </c>
      <c r="H3917" s="1"/>
      <c r="I3917" s="1"/>
      <c r="J3917" s="1"/>
    </row>
    <row r="3918" spans="1:10" x14ac:dyDescent="0.25">
      <c r="A3918" s="6" t="s">
        <v>100</v>
      </c>
      <c r="B3918" s="6">
        <f t="shared" ref="B3918:B3929" si="907">+B3917+1</f>
        <v>2025</v>
      </c>
      <c r="C3918" s="1" t="s">
        <v>109</v>
      </c>
      <c r="D3918" s="2" t="s">
        <v>128</v>
      </c>
      <c r="E3918" s="9" t="str">
        <f t="shared" si="905"/>
        <v>PRBNP'!</v>
      </c>
      <c r="F3918" s="5" t="str">
        <f t="shared" si="906"/>
        <v>C:\Users\jaime.benazar\Quorum Business Solutions\Ecopetrol Prometeo - Documents\Planning Space Implementation\3. Analysis &amp; Design\Design\FC22\DRR Jaime\QUIFA-CAJÚA\Cajua\[VAS_CAJUA_CF_SEC_20230125.xlsx]CF PRBNP'!</v>
      </c>
      <c r="G3918" s="6" t="s">
        <v>60</v>
      </c>
      <c r="H3918" s="1"/>
      <c r="I3918" s="1"/>
      <c r="J3918" s="1"/>
    </row>
    <row r="3919" spans="1:10" x14ac:dyDescent="0.25">
      <c r="A3919" s="6" t="s">
        <v>100</v>
      </c>
      <c r="B3919" s="6">
        <f t="shared" si="907"/>
        <v>2026</v>
      </c>
      <c r="C3919" s="1" t="s">
        <v>109</v>
      </c>
      <c r="D3919" s="2" t="s">
        <v>128</v>
      </c>
      <c r="E3919" s="9" t="str">
        <f t="shared" si="905"/>
        <v>PRBNP'!</v>
      </c>
      <c r="F3919" s="5" t="str">
        <f t="shared" si="906"/>
        <v>C:\Users\jaime.benazar\Quorum Business Solutions\Ecopetrol Prometeo - Documents\Planning Space Implementation\3. Analysis &amp; Design\Design\FC22\DRR Jaime\QUIFA-CAJÚA\Cajua\[VAS_CAJUA_CF_SEC_20230125.xlsx]CF PRBNP'!</v>
      </c>
      <c r="G3919" s="6" t="s">
        <v>60</v>
      </c>
      <c r="H3919" s="1"/>
      <c r="I3919" s="1"/>
      <c r="J3919" s="1"/>
    </row>
    <row r="3920" spans="1:10" x14ac:dyDescent="0.25">
      <c r="A3920" s="6" t="s">
        <v>100</v>
      </c>
      <c r="B3920" s="6">
        <f t="shared" si="907"/>
        <v>2027</v>
      </c>
      <c r="C3920" s="1" t="s">
        <v>109</v>
      </c>
      <c r="D3920" s="2" t="s">
        <v>128</v>
      </c>
      <c r="E3920" s="9" t="str">
        <f t="shared" si="905"/>
        <v>PRBNP'!</v>
      </c>
      <c r="F3920" s="5" t="str">
        <f t="shared" si="906"/>
        <v>C:\Users\jaime.benazar\Quorum Business Solutions\Ecopetrol Prometeo - Documents\Planning Space Implementation\3. Analysis &amp; Design\Design\FC22\DRR Jaime\QUIFA-CAJÚA\Cajua\[VAS_CAJUA_CF_SEC_20230125.xlsx]CF PRBNP'!</v>
      </c>
      <c r="G3920" s="6" t="s">
        <v>60</v>
      </c>
      <c r="H3920" s="1"/>
      <c r="I3920" s="1"/>
      <c r="J3920" s="1"/>
    </row>
    <row r="3921" spans="1:10" x14ac:dyDescent="0.25">
      <c r="A3921" s="6" t="s">
        <v>100</v>
      </c>
      <c r="B3921" s="6">
        <f t="shared" si="907"/>
        <v>2028</v>
      </c>
      <c r="C3921" s="1" t="s">
        <v>109</v>
      </c>
      <c r="D3921" s="2" t="s">
        <v>128</v>
      </c>
      <c r="E3921" s="9" t="str">
        <f t="shared" si="905"/>
        <v>PRBNP'!</v>
      </c>
      <c r="F3921" s="5" t="str">
        <f t="shared" si="906"/>
        <v>C:\Users\jaime.benazar\Quorum Business Solutions\Ecopetrol Prometeo - Documents\Planning Space Implementation\3. Analysis &amp; Design\Design\FC22\DRR Jaime\QUIFA-CAJÚA\Cajua\[VAS_CAJUA_CF_SEC_20230125.xlsx]CF PRBNP'!</v>
      </c>
      <c r="G3921" s="6" t="s">
        <v>60</v>
      </c>
      <c r="H3921" s="1"/>
      <c r="I3921" s="1"/>
      <c r="J3921" s="1"/>
    </row>
    <row r="3922" spans="1:10" x14ac:dyDescent="0.25">
      <c r="A3922" s="6" t="s">
        <v>100</v>
      </c>
      <c r="B3922" s="6">
        <f t="shared" si="907"/>
        <v>2029</v>
      </c>
      <c r="C3922" s="1" t="s">
        <v>109</v>
      </c>
      <c r="D3922" s="2" t="s">
        <v>128</v>
      </c>
      <c r="E3922" s="9" t="str">
        <f t="shared" si="905"/>
        <v>PRBNP'!</v>
      </c>
      <c r="F3922" s="5" t="str">
        <f t="shared" si="906"/>
        <v>C:\Users\jaime.benazar\Quorum Business Solutions\Ecopetrol Prometeo - Documents\Planning Space Implementation\3. Analysis &amp; Design\Design\FC22\DRR Jaime\QUIFA-CAJÚA\Cajua\[VAS_CAJUA_CF_SEC_20230125.xlsx]CF PRBNP'!</v>
      </c>
      <c r="G3922" s="6" t="s">
        <v>60</v>
      </c>
      <c r="H3922" s="1"/>
      <c r="I3922" s="1"/>
      <c r="J3922" s="1"/>
    </row>
    <row r="3923" spans="1:10" x14ac:dyDescent="0.25">
      <c r="A3923" s="6" t="s">
        <v>100</v>
      </c>
      <c r="B3923" s="6">
        <f t="shared" si="907"/>
        <v>2030</v>
      </c>
      <c r="C3923" s="1" t="s">
        <v>109</v>
      </c>
      <c r="D3923" s="2" t="s">
        <v>128</v>
      </c>
      <c r="E3923" s="9" t="str">
        <f t="shared" si="905"/>
        <v>PRBNP'!</v>
      </c>
      <c r="F3923" s="5" t="str">
        <f t="shared" si="906"/>
        <v>C:\Users\jaime.benazar\Quorum Business Solutions\Ecopetrol Prometeo - Documents\Planning Space Implementation\3. Analysis &amp; Design\Design\FC22\DRR Jaime\QUIFA-CAJÚA\Cajua\[VAS_CAJUA_CF_SEC_20230125.xlsx]CF PRBNP'!</v>
      </c>
      <c r="G3923" s="6" t="s">
        <v>60</v>
      </c>
      <c r="H3923" s="1"/>
      <c r="I3923" s="1"/>
      <c r="J3923" s="1"/>
    </row>
    <row r="3924" spans="1:10" x14ac:dyDescent="0.25">
      <c r="A3924" s="6" t="s">
        <v>100</v>
      </c>
      <c r="B3924" s="6">
        <f t="shared" si="907"/>
        <v>2031</v>
      </c>
      <c r="C3924" s="1" t="s">
        <v>109</v>
      </c>
      <c r="D3924" s="2" t="s">
        <v>128</v>
      </c>
      <c r="E3924" s="9" t="str">
        <f t="shared" si="905"/>
        <v>PRBNP'!</v>
      </c>
      <c r="F3924" s="5" t="str">
        <f t="shared" si="906"/>
        <v>C:\Users\jaime.benazar\Quorum Business Solutions\Ecopetrol Prometeo - Documents\Planning Space Implementation\3. Analysis &amp; Design\Design\FC22\DRR Jaime\QUIFA-CAJÚA\Cajua\[VAS_CAJUA_CF_SEC_20230125.xlsx]CF PRBNP'!</v>
      </c>
      <c r="G3924" s="6" t="s">
        <v>60</v>
      </c>
      <c r="H3924" s="1"/>
      <c r="I3924" s="1"/>
      <c r="J3924" s="1"/>
    </row>
    <row r="3925" spans="1:10" x14ac:dyDescent="0.25">
      <c r="A3925" s="6" t="s">
        <v>100</v>
      </c>
      <c r="B3925" s="6">
        <f t="shared" si="907"/>
        <v>2032</v>
      </c>
      <c r="C3925" s="1" t="s">
        <v>109</v>
      </c>
      <c r="D3925" s="2" t="s">
        <v>128</v>
      </c>
      <c r="E3925" s="9" t="str">
        <f t="shared" si="905"/>
        <v>PRBNP'!</v>
      </c>
      <c r="F3925" s="5" t="str">
        <f t="shared" si="906"/>
        <v>C:\Users\jaime.benazar\Quorum Business Solutions\Ecopetrol Prometeo - Documents\Planning Space Implementation\3. Analysis &amp; Design\Design\FC22\DRR Jaime\QUIFA-CAJÚA\Cajua\[VAS_CAJUA_CF_SEC_20230125.xlsx]CF PRBNP'!</v>
      </c>
      <c r="G3925" s="6" t="s">
        <v>60</v>
      </c>
      <c r="H3925" s="1"/>
      <c r="I3925" s="1"/>
      <c r="J3925" s="1"/>
    </row>
    <row r="3926" spans="1:10" x14ac:dyDescent="0.25">
      <c r="A3926" s="6" t="s">
        <v>100</v>
      </c>
      <c r="B3926" s="6">
        <f t="shared" si="907"/>
        <v>2033</v>
      </c>
      <c r="C3926" s="1" t="s">
        <v>109</v>
      </c>
      <c r="D3926" s="2" t="s">
        <v>128</v>
      </c>
      <c r="E3926" s="9" t="str">
        <f t="shared" si="905"/>
        <v>PRBNP'!</v>
      </c>
      <c r="F3926" s="5" t="str">
        <f t="shared" si="906"/>
        <v>C:\Users\jaime.benazar\Quorum Business Solutions\Ecopetrol Prometeo - Documents\Planning Space Implementation\3. Analysis &amp; Design\Design\FC22\DRR Jaime\QUIFA-CAJÚA\Cajua\[VAS_CAJUA_CF_SEC_20230125.xlsx]CF PRBNP'!</v>
      </c>
      <c r="G3926" s="6" t="s">
        <v>60</v>
      </c>
      <c r="H3926" s="1"/>
      <c r="I3926" s="1"/>
      <c r="J3926" s="1"/>
    </row>
    <row r="3927" spans="1:10" x14ac:dyDescent="0.25">
      <c r="A3927" s="6" t="s">
        <v>100</v>
      </c>
      <c r="B3927" s="6">
        <f t="shared" si="907"/>
        <v>2034</v>
      </c>
      <c r="C3927" s="1" t="s">
        <v>109</v>
      </c>
      <c r="D3927" s="2" t="s">
        <v>128</v>
      </c>
      <c r="E3927" s="9" t="str">
        <f t="shared" si="905"/>
        <v>PRBNP'!</v>
      </c>
      <c r="F3927" s="5" t="str">
        <f t="shared" si="906"/>
        <v>C:\Users\jaime.benazar\Quorum Business Solutions\Ecopetrol Prometeo - Documents\Planning Space Implementation\3. Analysis &amp; Design\Design\FC22\DRR Jaime\QUIFA-CAJÚA\Cajua\[VAS_CAJUA_CF_SEC_20230125.xlsx]CF PRBNP'!</v>
      </c>
      <c r="G3927" s="6" t="s">
        <v>60</v>
      </c>
      <c r="H3927" s="1"/>
      <c r="I3927" s="1"/>
      <c r="J3927" s="1"/>
    </row>
    <row r="3928" spans="1:10" x14ac:dyDescent="0.25">
      <c r="A3928" s="6" t="s">
        <v>100</v>
      </c>
      <c r="B3928" s="6">
        <f t="shared" si="907"/>
        <v>2035</v>
      </c>
      <c r="C3928" s="1" t="s">
        <v>109</v>
      </c>
      <c r="D3928" s="2" t="s">
        <v>128</v>
      </c>
      <c r="E3928" s="9" t="str">
        <f t="shared" si="905"/>
        <v>PRBNP'!</v>
      </c>
      <c r="F3928" s="5" t="str">
        <f t="shared" si="906"/>
        <v>C:\Users\jaime.benazar\Quorum Business Solutions\Ecopetrol Prometeo - Documents\Planning Space Implementation\3. Analysis &amp; Design\Design\FC22\DRR Jaime\QUIFA-CAJÚA\Cajua\[VAS_CAJUA_CF_SEC_20230125.xlsx]CF PRBNP'!</v>
      </c>
      <c r="G3928" s="6" t="s">
        <v>60</v>
      </c>
      <c r="H3928" s="1"/>
      <c r="I3928" s="1"/>
      <c r="J3928" s="1"/>
    </row>
    <row r="3929" spans="1:10" x14ac:dyDescent="0.25">
      <c r="A3929" s="6" t="s">
        <v>100</v>
      </c>
      <c r="B3929" s="6">
        <f t="shared" si="907"/>
        <v>2036</v>
      </c>
      <c r="C3929" s="1" t="s">
        <v>109</v>
      </c>
      <c r="D3929" s="2" t="s">
        <v>128</v>
      </c>
      <c r="E3929" s="9" t="str">
        <f t="shared" si="905"/>
        <v>PRBNP'!</v>
      </c>
      <c r="F3929" s="5" t="str">
        <f t="shared" si="906"/>
        <v>C:\Users\jaime.benazar\Quorum Business Solutions\Ecopetrol Prometeo - Documents\Planning Space Implementation\3. Analysis &amp; Design\Design\FC22\DRR Jaime\QUIFA-CAJÚA\Cajua\[VAS_CAJUA_CF_SEC_20230125.xlsx]CF PRBNP'!</v>
      </c>
      <c r="G3929" s="6" t="s">
        <v>60</v>
      </c>
      <c r="H3929" s="1"/>
      <c r="I3929" s="1"/>
      <c r="J3929" s="1"/>
    </row>
    <row r="3930" spans="1:10" x14ac:dyDescent="0.25">
      <c r="A3930" s="6" t="s">
        <v>100</v>
      </c>
      <c r="B3930" s="6">
        <f>+B3929+1</f>
        <v>2037</v>
      </c>
      <c r="C3930" s="1" t="s">
        <v>109</v>
      </c>
      <c r="D3930" s="2" t="s">
        <v>128</v>
      </c>
      <c r="E3930" s="9" t="str">
        <f t="shared" si="905"/>
        <v>PRBNP'!</v>
      </c>
      <c r="F3930" s="5" t="str">
        <f t="shared" si="906"/>
        <v>C:\Users\jaime.benazar\Quorum Business Solutions\Ecopetrol Prometeo - Documents\Planning Space Implementation\3. Analysis &amp; Design\Design\FC22\DRR Jaime\QUIFA-CAJÚA\Cajua\[VAS_CAJUA_CF_SEC_20230125.xlsx]CF PRBNP'!</v>
      </c>
      <c r="G3930" s="6" t="s">
        <v>60</v>
      </c>
      <c r="H3930" s="1"/>
      <c r="I3930" s="1"/>
      <c r="J3930" s="1"/>
    </row>
    <row r="3931" spans="1:10" x14ac:dyDescent="0.25">
      <c r="A3931" s="6" t="s">
        <v>100</v>
      </c>
      <c r="B3931" s="6">
        <f t="shared" ref="B3931:B3933" si="908">+B3930+1</f>
        <v>2038</v>
      </c>
      <c r="C3931" s="1" t="s">
        <v>109</v>
      </c>
      <c r="D3931" s="2" t="s">
        <v>128</v>
      </c>
      <c r="E3931" s="9" t="str">
        <f t="shared" si="905"/>
        <v>PRBNP'!</v>
      </c>
      <c r="F3931" s="5" t="str">
        <f t="shared" si="906"/>
        <v>C:\Users\jaime.benazar\Quorum Business Solutions\Ecopetrol Prometeo - Documents\Planning Space Implementation\3. Analysis &amp; Design\Design\FC22\DRR Jaime\QUIFA-CAJÚA\Cajua\[VAS_CAJUA_CF_SEC_20230125.xlsx]CF PRBNP'!</v>
      </c>
      <c r="G3931" s="6" t="s">
        <v>60</v>
      </c>
      <c r="H3931" s="1"/>
      <c r="I3931" s="1"/>
      <c r="J3931" s="1"/>
    </row>
    <row r="3932" spans="1:10" x14ac:dyDescent="0.25">
      <c r="A3932" s="6" t="s">
        <v>100</v>
      </c>
      <c r="B3932" s="6">
        <f t="shared" si="908"/>
        <v>2039</v>
      </c>
      <c r="C3932" s="1" t="s">
        <v>109</v>
      </c>
      <c r="D3932" s="2" t="s">
        <v>128</v>
      </c>
      <c r="E3932" s="9" t="str">
        <f t="shared" si="905"/>
        <v>PRBNP'!</v>
      </c>
      <c r="F3932" s="5" t="str">
        <f t="shared" si="906"/>
        <v>C:\Users\jaime.benazar\Quorum Business Solutions\Ecopetrol Prometeo - Documents\Planning Space Implementation\3. Analysis &amp; Design\Design\FC22\DRR Jaime\QUIFA-CAJÚA\Cajua\[VAS_CAJUA_CF_SEC_20230125.xlsx]CF PRBNP'!</v>
      </c>
      <c r="G3932" s="6" t="s">
        <v>60</v>
      </c>
      <c r="H3932" s="1"/>
      <c r="I3932" s="1"/>
      <c r="J3932" s="1"/>
    </row>
    <row r="3933" spans="1:10" x14ac:dyDescent="0.25">
      <c r="A3933" s="6" t="s">
        <v>100</v>
      </c>
      <c r="B3933" s="6">
        <f t="shared" si="908"/>
        <v>2040</v>
      </c>
      <c r="C3933" s="1" t="s">
        <v>109</v>
      </c>
      <c r="D3933" s="2" t="s">
        <v>128</v>
      </c>
      <c r="E3933" s="9" t="str">
        <f t="shared" si="905"/>
        <v>PRBNP'!</v>
      </c>
      <c r="F3933" s="5" t="str">
        <f t="shared" si="906"/>
        <v>C:\Users\jaime.benazar\Quorum Business Solutions\Ecopetrol Prometeo - Documents\Planning Space Implementation\3. Analysis &amp; Design\Design\FC22\DRR Jaime\QUIFA-CAJÚA\Cajua\[VAS_CAJUA_CF_SEC_20230125.xlsx]CF PRBNP'!</v>
      </c>
      <c r="G3933" s="6" t="s">
        <v>60</v>
      </c>
      <c r="H3933" s="1"/>
      <c r="I3933" s="1"/>
      <c r="J3933" s="1"/>
    </row>
    <row r="3934" spans="1:10" x14ac:dyDescent="0.25">
      <c r="A3934" s="6" t="s">
        <v>100</v>
      </c>
      <c r="B3934" s="6">
        <f>+B3933+1</f>
        <v>2041</v>
      </c>
      <c r="C3934" s="1" t="s">
        <v>109</v>
      </c>
      <c r="D3934" s="2" t="s">
        <v>128</v>
      </c>
      <c r="E3934" s="9" t="str">
        <f t="shared" si="905"/>
        <v>PRBNP'!</v>
      </c>
      <c r="F3934" s="5" t="str">
        <f t="shared" si="906"/>
        <v>C:\Users\jaime.benazar\Quorum Business Solutions\Ecopetrol Prometeo - Documents\Planning Space Implementation\3. Analysis &amp; Design\Design\FC22\DRR Jaime\QUIFA-CAJÚA\Cajua\[VAS_CAJUA_CF_SEC_20230125.xlsx]CF PRBNP'!</v>
      </c>
      <c r="G3934" s="6" t="s">
        <v>60</v>
      </c>
      <c r="H3934" s="1"/>
      <c r="I3934" s="1"/>
      <c r="J3934" s="1"/>
    </row>
    <row r="3935" spans="1:10" x14ac:dyDescent="0.25">
      <c r="A3935" s="6" t="s">
        <v>100</v>
      </c>
      <c r="B3935" s="6">
        <f t="shared" ref="B3935:B3936" si="909">+B3934+1</f>
        <v>2042</v>
      </c>
      <c r="C3935" s="1" t="s">
        <v>109</v>
      </c>
      <c r="D3935" s="2" t="s">
        <v>128</v>
      </c>
      <c r="E3935" s="9" t="str">
        <f t="shared" si="905"/>
        <v>PRBNP'!</v>
      </c>
      <c r="F3935" s="5" t="str">
        <f t="shared" si="906"/>
        <v>C:\Users\jaime.benazar\Quorum Business Solutions\Ecopetrol Prometeo - Documents\Planning Space Implementation\3. Analysis &amp; Design\Design\FC22\DRR Jaime\QUIFA-CAJÚA\Cajua\[VAS_CAJUA_CF_SEC_20230125.xlsx]CF PRBNP'!</v>
      </c>
      <c r="G3935" s="6" t="s">
        <v>60</v>
      </c>
      <c r="H3935" s="1"/>
      <c r="I3935" s="1"/>
      <c r="J3935" s="1"/>
    </row>
    <row r="3936" spans="1:10" x14ac:dyDescent="0.25">
      <c r="A3936" s="6" t="s">
        <v>100</v>
      </c>
      <c r="B3936" s="6">
        <f t="shared" si="909"/>
        <v>2043</v>
      </c>
      <c r="C3936" s="1" t="s">
        <v>109</v>
      </c>
      <c r="D3936" s="2" t="s">
        <v>128</v>
      </c>
      <c r="E3936" s="9" t="str">
        <f t="shared" si="905"/>
        <v>PRBNP'!</v>
      </c>
      <c r="F3936" s="5" t="str">
        <f t="shared" si="906"/>
        <v>C:\Users\jaime.benazar\Quorum Business Solutions\Ecopetrol Prometeo - Documents\Planning Space Implementation\3. Analysis &amp; Design\Design\FC22\DRR Jaime\QUIFA-CAJÚA\Cajua\[VAS_CAJUA_CF_SEC_20230125.xlsx]CF PRBNP'!</v>
      </c>
      <c r="G3936" s="6" t="s">
        <v>60</v>
      </c>
      <c r="H3936" s="1"/>
      <c r="I3936" s="1"/>
      <c r="J3936" s="1"/>
    </row>
    <row r="3937" spans="1:10" x14ac:dyDescent="0.25">
      <c r="A3937" s="6" t="s">
        <v>100</v>
      </c>
      <c r="B3937" s="6">
        <f>+B3936+1</f>
        <v>2044</v>
      </c>
      <c r="C3937" s="1" t="s">
        <v>109</v>
      </c>
      <c r="D3937" s="2" t="s">
        <v>128</v>
      </c>
      <c r="E3937" s="9" t="str">
        <f t="shared" ref="E3937:E3952" si="910">_xlfn.CONCAT(A3937,"'!")</f>
        <v>PRBNP'!</v>
      </c>
      <c r="F3937" s="5" t="str">
        <f t="shared" ref="F3937:F3952" si="911">_xlfn.CONCAT(D3937," ",E3937)</f>
        <v>C:\Users\jaime.benazar\Quorum Business Solutions\Ecopetrol Prometeo - Documents\Planning Space Implementation\3. Analysis &amp; Design\Design\FC22\DRR Jaime\QUIFA-CAJÚA\Cajua\[VAS_CAJUA_CF_SEC_20230125.xlsx]CF PRBNP'!</v>
      </c>
      <c r="G3937" s="6" t="s">
        <v>60</v>
      </c>
      <c r="H3937" s="1"/>
      <c r="I3937" s="1"/>
      <c r="J3937" s="1"/>
    </row>
    <row r="3938" spans="1:10" x14ac:dyDescent="0.25">
      <c r="A3938" s="6" t="s">
        <v>100</v>
      </c>
      <c r="B3938" s="6">
        <f t="shared" ref="B3938:B3952" si="912">+B3937+1</f>
        <v>2045</v>
      </c>
      <c r="C3938" s="1" t="s">
        <v>109</v>
      </c>
      <c r="D3938" s="2" t="s">
        <v>128</v>
      </c>
      <c r="E3938" s="9" t="str">
        <f t="shared" si="910"/>
        <v>PRBNP'!</v>
      </c>
      <c r="F3938" s="5" t="str">
        <f t="shared" si="911"/>
        <v>C:\Users\jaime.benazar\Quorum Business Solutions\Ecopetrol Prometeo - Documents\Planning Space Implementation\3. Analysis &amp; Design\Design\FC22\DRR Jaime\QUIFA-CAJÚA\Cajua\[VAS_CAJUA_CF_SEC_20230125.xlsx]CF PRBNP'!</v>
      </c>
      <c r="G3938" s="6" t="s">
        <v>60</v>
      </c>
      <c r="H3938" s="1"/>
      <c r="I3938" s="1"/>
      <c r="J3938" s="1"/>
    </row>
    <row r="3939" spans="1:10" x14ac:dyDescent="0.25">
      <c r="A3939" s="6" t="s">
        <v>100</v>
      </c>
      <c r="B3939" s="6">
        <f t="shared" si="912"/>
        <v>2046</v>
      </c>
      <c r="C3939" s="1" t="s">
        <v>109</v>
      </c>
      <c r="D3939" s="2" t="s">
        <v>128</v>
      </c>
      <c r="E3939" s="9" t="str">
        <f t="shared" si="910"/>
        <v>PRBNP'!</v>
      </c>
      <c r="F3939" s="5" t="str">
        <f t="shared" si="911"/>
        <v>C:\Users\jaime.benazar\Quorum Business Solutions\Ecopetrol Prometeo - Documents\Planning Space Implementation\3. Analysis &amp; Design\Design\FC22\DRR Jaime\QUIFA-CAJÚA\Cajua\[VAS_CAJUA_CF_SEC_20230125.xlsx]CF PRBNP'!</v>
      </c>
      <c r="G3939" s="6" t="s">
        <v>60</v>
      </c>
      <c r="H3939" s="1"/>
      <c r="I3939" s="1"/>
      <c r="J3939" s="1"/>
    </row>
    <row r="3940" spans="1:10" x14ac:dyDescent="0.25">
      <c r="A3940" s="6" t="s">
        <v>100</v>
      </c>
      <c r="B3940" s="6">
        <f t="shared" si="912"/>
        <v>2047</v>
      </c>
      <c r="C3940" s="1" t="s">
        <v>109</v>
      </c>
      <c r="D3940" s="2" t="s">
        <v>128</v>
      </c>
      <c r="E3940" s="9" t="str">
        <f t="shared" si="910"/>
        <v>PRBNP'!</v>
      </c>
      <c r="F3940" s="5" t="str">
        <f t="shared" si="911"/>
        <v>C:\Users\jaime.benazar\Quorum Business Solutions\Ecopetrol Prometeo - Documents\Planning Space Implementation\3. Analysis &amp; Design\Design\FC22\DRR Jaime\QUIFA-CAJÚA\Cajua\[VAS_CAJUA_CF_SEC_20230125.xlsx]CF PRBNP'!</v>
      </c>
      <c r="G3940" s="6" t="s">
        <v>60</v>
      </c>
      <c r="H3940" s="1"/>
      <c r="I3940" s="1"/>
      <c r="J3940" s="1"/>
    </row>
    <row r="3941" spans="1:10" x14ac:dyDescent="0.25">
      <c r="A3941" s="6" t="s">
        <v>100</v>
      </c>
      <c r="B3941" s="6">
        <f t="shared" si="912"/>
        <v>2048</v>
      </c>
      <c r="C3941" s="1" t="s">
        <v>109</v>
      </c>
      <c r="D3941" s="2" t="s">
        <v>128</v>
      </c>
      <c r="E3941" s="9" t="str">
        <f t="shared" si="910"/>
        <v>PRBNP'!</v>
      </c>
      <c r="F3941" s="5" t="str">
        <f t="shared" si="911"/>
        <v>C:\Users\jaime.benazar\Quorum Business Solutions\Ecopetrol Prometeo - Documents\Planning Space Implementation\3. Analysis &amp; Design\Design\FC22\DRR Jaime\QUIFA-CAJÚA\Cajua\[VAS_CAJUA_CF_SEC_20230125.xlsx]CF PRBNP'!</v>
      </c>
      <c r="G3941" s="6" t="s">
        <v>60</v>
      </c>
      <c r="H3941" s="1"/>
      <c r="I3941" s="1"/>
      <c r="J3941" s="1"/>
    </row>
    <row r="3942" spans="1:10" x14ac:dyDescent="0.25">
      <c r="A3942" s="6" t="s">
        <v>100</v>
      </c>
      <c r="B3942" s="6">
        <f t="shared" si="912"/>
        <v>2049</v>
      </c>
      <c r="C3942" s="1" t="s">
        <v>109</v>
      </c>
      <c r="D3942" s="2" t="s">
        <v>128</v>
      </c>
      <c r="E3942" s="9" t="str">
        <f t="shared" si="910"/>
        <v>PRBNP'!</v>
      </c>
      <c r="F3942" s="5" t="str">
        <f t="shared" si="911"/>
        <v>C:\Users\jaime.benazar\Quorum Business Solutions\Ecopetrol Prometeo - Documents\Planning Space Implementation\3. Analysis &amp; Design\Design\FC22\DRR Jaime\QUIFA-CAJÚA\Cajua\[VAS_CAJUA_CF_SEC_20230125.xlsx]CF PRBNP'!</v>
      </c>
      <c r="G3942" s="6" t="s">
        <v>60</v>
      </c>
      <c r="H3942" s="1"/>
      <c r="I3942" s="1"/>
      <c r="J3942" s="1"/>
    </row>
    <row r="3943" spans="1:10" x14ac:dyDescent="0.25">
      <c r="A3943" s="6" t="s">
        <v>100</v>
      </c>
      <c r="B3943" s="6">
        <f t="shared" si="912"/>
        <v>2050</v>
      </c>
      <c r="C3943" s="1" t="s">
        <v>109</v>
      </c>
      <c r="D3943" s="2" t="s">
        <v>128</v>
      </c>
      <c r="E3943" s="9" t="str">
        <f t="shared" si="910"/>
        <v>PRBNP'!</v>
      </c>
      <c r="F3943" s="5" t="str">
        <f t="shared" si="911"/>
        <v>C:\Users\jaime.benazar\Quorum Business Solutions\Ecopetrol Prometeo - Documents\Planning Space Implementation\3. Analysis &amp; Design\Design\FC22\DRR Jaime\QUIFA-CAJÚA\Cajua\[VAS_CAJUA_CF_SEC_20230125.xlsx]CF PRBNP'!</v>
      </c>
      <c r="G3943" s="6" t="s">
        <v>60</v>
      </c>
      <c r="H3943" s="1"/>
      <c r="I3943" s="1"/>
      <c r="J3943" s="1"/>
    </row>
    <row r="3944" spans="1:10" x14ac:dyDescent="0.25">
      <c r="A3944" s="6" t="s">
        <v>100</v>
      </c>
      <c r="B3944" s="6">
        <f t="shared" si="912"/>
        <v>2051</v>
      </c>
      <c r="C3944" s="1" t="s">
        <v>109</v>
      </c>
      <c r="D3944" s="2" t="s">
        <v>128</v>
      </c>
      <c r="E3944" s="9" t="str">
        <f t="shared" si="910"/>
        <v>PRBNP'!</v>
      </c>
      <c r="F3944" s="5" t="str">
        <f t="shared" si="911"/>
        <v>C:\Users\jaime.benazar\Quorum Business Solutions\Ecopetrol Prometeo - Documents\Planning Space Implementation\3. Analysis &amp; Design\Design\FC22\DRR Jaime\QUIFA-CAJÚA\Cajua\[VAS_CAJUA_CF_SEC_20230125.xlsx]CF PRBNP'!</v>
      </c>
      <c r="G3944" s="6" t="s">
        <v>60</v>
      </c>
      <c r="H3944" s="1"/>
      <c r="I3944" s="1"/>
      <c r="J3944" s="1"/>
    </row>
    <row r="3945" spans="1:10" x14ac:dyDescent="0.25">
      <c r="A3945" s="6" t="s">
        <v>100</v>
      </c>
      <c r="B3945" s="6">
        <f t="shared" si="912"/>
        <v>2052</v>
      </c>
      <c r="C3945" s="1" t="s">
        <v>109</v>
      </c>
      <c r="D3945" s="2" t="s">
        <v>128</v>
      </c>
      <c r="E3945" s="9" t="str">
        <f t="shared" si="910"/>
        <v>PRBNP'!</v>
      </c>
      <c r="F3945" s="5" t="str">
        <f t="shared" si="911"/>
        <v>C:\Users\jaime.benazar\Quorum Business Solutions\Ecopetrol Prometeo - Documents\Planning Space Implementation\3. Analysis &amp; Design\Design\FC22\DRR Jaime\QUIFA-CAJÚA\Cajua\[VAS_CAJUA_CF_SEC_20230125.xlsx]CF PRBNP'!</v>
      </c>
      <c r="G3945" s="6" t="s">
        <v>60</v>
      </c>
      <c r="H3945" s="1"/>
      <c r="I3945" s="1"/>
      <c r="J3945" s="1"/>
    </row>
    <row r="3946" spans="1:10" x14ac:dyDescent="0.25">
      <c r="A3946" s="6" t="s">
        <v>100</v>
      </c>
      <c r="B3946" s="6">
        <f t="shared" si="912"/>
        <v>2053</v>
      </c>
      <c r="C3946" s="1" t="s">
        <v>109</v>
      </c>
      <c r="D3946" s="2" t="s">
        <v>128</v>
      </c>
      <c r="E3946" s="9" t="str">
        <f t="shared" si="910"/>
        <v>PRBNP'!</v>
      </c>
      <c r="F3946" s="5" t="str">
        <f t="shared" si="911"/>
        <v>C:\Users\jaime.benazar\Quorum Business Solutions\Ecopetrol Prometeo - Documents\Planning Space Implementation\3. Analysis &amp; Design\Design\FC22\DRR Jaime\QUIFA-CAJÚA\Cajua\[VAS_CAJUA_CF_SEC_20230125.xlsx]CF PRBNP'!</v>
      </c>
      <c r="G3946" s="6" t="s">
        <v>60</v>
      </c>
      <c r="H3946" s="1"/>
      <c r="I3946" s="1"/>
      <c r="J3946" s="1"/>
    </row>
    <row r="3947" spans="1:10" x14ac:dyDescent="0.25">
      <c r="A3947" s="6" t="s">
        <v>100</v>
      </c>
      <c r="B3947" s="6">
        <f t="shared" si="912"/>
        <v>2054</v>
      </c>
      <c r="C3947" s="1" t="s">
        <v>109</v>
      </c>
      <c r="D3947" s="2" t="s">
        <v>128</v>
      </c>
      <c r="E3947" s="9" t="str">
        <f t="shared" si="910"/>
        <v>PRBNP'!</v>
      </c>
      <c r="F3947" s="5" t="str">
        <f t="shared" si="911"/>
        <v>C:\Users\jaime.benazar\Quorum Business Solutions\Ecopetrol Prometeo - Documents\Planning Space Implementation\3. Analysis &amp; Design\Design\FC22\DRR Jaime\QUIFA-CAJÚA\Cajua\[VAS_CAJUA_CF_SEC_20230125.xlsx]CF PRBNP'!</v>
      </c>
      <c r="G3947" s="6" t="s">
        <v>60</v>
      </c>
      <c r="H3947" s="1"/>
      <c r="I3947" s="1"/>
      <c r="J3947" s="1"/>
    </row>
    <row r="3948" spans="1:10" x14ac:dyDescent="0.25">
      <c r="A3948" s="6" t="s">
        <v>100</v>
      </c>
      <c r="B3948" s="6">
        <f t="shared" si="912"/>
        <v>2055</v>
      </c>
      <c r="C3948" s="1" t="s">
        <v>109</v>
      </c>
      <c r="D3948" s="2" t="s">
        <v>128</v>
      </c>
      <c r="E3948" s="9" t="str">
        <f t="shared" si="910"/>
        <v>PRBNP'!</v>
      </c>
      <c r="F3948" s="5" t="str">
        <f t="shared" si="911"/>
        <v>C:\Users\jaime.benazar\Quorum Business Solutions\Ecopetrol Prometeo - Documents\Planning Space Implementation\3. Analysis &amp; Design\Design\FC22\DRR Jaime\QUIFA-CAJÚA\Cajua\[VAS_CAJUA_CF_SEC_20230125.xlsx]CF PRBNP'!</v>
      </c>
      <c r="G3948" s="6" t="s">
        <v>60</v>
      </c>
      <c r="H3948" s="1"/>
      <c r="I3948" s="1"/>
      <c r="J3948" s="1"/>
    </row>
    <row r="3949" spans="1:10" x14ac:dyDescent="0.25">
      <c r="A3949" s="6" t="s">
        <v>100</v>
      </c>
      <c r="B3949" s="6">
        <f t="shared" si="912"/>
        <v>2056</v>
      </c>
      <c r="C3949" s="1" t="s">
        <v>109</v>
      </c>
      <c r="D3949" s="2" t="s">
        <v>128</v>
      </c>
      <c r="E3949" s="9" t="str">
        <f t="shared" si="910"/>
        <v>PRBNP'!</v>
      </c>
      <c r="F3949" s="5" t="str">
        <f t="shared" si="911"/>
        <v>C:\Users\jaime.benazar\Quorum Business Solutions\Ecopetrol Prometeo - Documents\Planning Space Implementation\3. Analysis &amp; Design\Design\FC22\DRR Jaime\QUIFA-CAJÚA\Cajua\[VAS_CAJUA_CF_SEC_20230125.xlsx]CF PRBNP'!</v>
      </c>
      <c r="G3949" s="6" t="s">
        <v>60</v>
      </c>
      <c r="H3949" s="1"/>
      <c r="I3949" s="1"/>
      <c r="J3949" s="1"/>
    </row>
    <row r="3950" spans="1:10" x14ac:dyDescent="0.25">
      <c r="A3950" s="6" t="s">
        <v>100</v>
      </c>
      <c r="B3950" s="6">
        <f t="shared" si="912"/>
        <v>2057</v>
      </c>
      <c r="C3950" s="1" t="s">
        <v>109</v>
      </c>
      <c r="D3950" s="2" t="s">
        <v>128</v>
      </c>
      <c r="E3950" s="9" t="str">
        <f t="shared" si="910"/>
        <v>PRBNP'!</v>
      </c>
      <c r="F3950" s="5" t="str">
        <f t="shared" si="911"/>
        <v>C:\Users\jaime.benazar\Quorum Business Solutions\Ecopetrol Prometeo - Documents\Planning Space Implementation\3. Analysis &amp; Design\Design\FC22\DRR Jaime\QUIFA-CAJÚA\Cajua\[VAS_CAJUA_CF_SEC_20230125.xlsx]CF PRBNP'!</v>
      </c>
      <c r="G3950" s="6" t="s">
        <v>60</v>
      </c>
      <c r="H3950" s="1"/>
      <c r="I3950" s="1"/>
      <c r="J3950" s="1"/>
    </row>
    <row r="3951" spans="1:10" x14ac:dyDescent="0.25">
      <c r="A3951" s="6" t="s">
        <v>100</v>
      </c>
      <c r="B3951" s="6">
        <f t="shared" si="912"/>
        <v>2058</v>
      </c>
      <c r="C3951" s="1" t="s">
        <v>109</v>
      </c>
      <c r="D3951" s="2" t="s">
        <v>128</v>
      </c>
      <c r="E3951" s="9" t="str">
        <f t="shared" si="910"/>
        <v>PRBNP'!</v>
      </c>
      <c r="F3951" s="5" t="str">
        <f t="shared" si="911"/>
        <v>C:\Users\jaime.benazar\Quorum Business Solutions\Ecopetrol Prometeo - Documents\Planning Space Implementation\3. Analysis &amp; Design\Design\FC22\DRR Jaime\QUIFA-CAJÚA\Cajua\[VAS_CAJUA_CF_SEC_20230125.xlsx]CF PRBNP'!</v>
      </c>
      <c r="G3951" s="6" t="s">
        <v>60</v>
      </c>
      <c r="H3951" s="1"/>
      <c r="I3951" s="1"/>
      <c r="J3951" s="1"/>
    </row>
    <row r="3952" spans="1:10" x14ac:dyDescent="0.25">
      <c r="A3952" s="6" t="s">
        <v>100</v>
      </c>
      <c r="B3952" s="6">
        <f t="shared" si="912"/>
        <v>2059</v>
      </c>
      <c r="C3952" s="1" t="s">
        <v>109</v>
      </c>
      <c r="D3952" s="2" t="s">
        <v>128</v>
      </c>
      <c r="E3952" s="9" t="str">
        <f t="shared" si="910"/>
        <v>PRBNP'!</v>
      </c>
      <c r="F3952" s="5" t="str">
        <f t="shared" si="911"/>
        <v>C:\Users\jaime.benazar\Quorum Business Solutions\Ecopetrol Prometeo - Documents\Planning Space Implementation\3. Analysis &amp; Design\Design\FC22\DRR Jaime\QUIFA-CAJÚA\Cajua\[VAS_CAJUA_CF_SEC_20230125.xlsx]CF PRBNP'!</v>
      </c>
      <c r="G3952" s="6" t="s">
        <v>60</v>
      </c>
      <c r="H3952" s="1"/>
      <c r="I3952" s="1"/>
      <c r="J3952" s="1"/>
    </row>
    <row r="3953" spans="1:10" x14ac:dyDescent="0.25">
      <c r="A3953" s="6" t="s">
        <v>28</v>
      </c>
      <c r="B3953" s="6"/>
      <c r="C3953" s="1" t="s">
        <v>109</v>
      </c>
      <c r="D3953" s="2"/>
      <c r="E3953" s="9"/>
      <c r="F3953" s="2"/>
      <c r="G3953" s="6"/>
      <c r="H3953" s="1"/>
      <c r="I3953" s="1"/>
      <c r="J3953" s="12"/>
    </row>
    <row r="3954" spans="1:10" x14ac:dyDescent="0.25">
      <c r="A3954" s="6" t="s">
        <v>101</v>
      </c>
      <c r="B3954" s="6">
        <v>2023</v>
      </c>
      <c r="C3954" s="1" t="s">
        <v>109</v>
      </c>
      <c r="D3954" s="2" t="s">
        <v>128</v>
      </c>
      <c r="E3954" s="9" t="str">
        <f t="shared" ref="E3954:E3974" si="913">_xlfn.CONCAT(A3954,"'!")</f>
        <v>PRBND'!</v>
      </c>
      <c r="F3954" s="5" t="str">
        <f t="shared" ref="F3954:F3974" si="914">_xlfn.CONCAT(D3954," ",E3954)</f>
        <v>C:\Users\jaime.benazar\Quorum Business Solutions\Ecopetrol Prometeo - Documents\Planning Space Implementation\3. Analysis &amp; Design\Design\FC22\DRR Jaime\QUIFA-CAJÚA\Cajua\[VAS_CAJUA_CF_SEC_20230125.xlsx]CF PRBND'!</v>
      </c>
      <c r="G3954" s="6" t="s">
        <v>60</v>
      </c>
      <c r="H3954" s="1"/>
      <c r="I3954" s="1"/>
      <c r="J3954" s="1"/>
    </row>
    <row r="3955" spans="1:10" x14ac:dyDescent="0.25">
      <c r="A3955" s="6" t="s">
        <v>101</v>
      </c>
      <c r="B3955" s="6">
        <f>+B3954+1</f>
        <v>2024</v>
      </c>
      <c r="C3955" s="1" t="s">
        <v>109</v>
      </c>
      <c r="D3955" s="2" t="s">
        <v>128</v>
      </c>
      <c r="E3955" s="9" t="str">
        <f t="shared" si="913"/>
        <v>PRBND'!</v>
      </c>
      <c r="F3955" s="5" t="str">
        <f t="shared" si="914"/>
        <v>C:\Users\jaime.benazar\Quorum Business Solutions\Ecopetrol Prometeo - Documents\Planning Space Implementation\3. Analysis &amp; Design\Design\FC22\DRR Jaime\QUIFA-CAJÚA\Cajua\[VAS_CAJUA_CF_SEC_20230125.xlsx]CF PRBND'!</v>
      </c>
      <c r="G3955" s="6" t="s">
        <v>60</v>
      </c>
      <c r="H3955" s="1"/>
      <c r="I3955" s="1"/>
      <c r="J3955" s="1"/>
    </row>
    <row r="3956" spans="1:10" x14ac:dyDescent="0.25">
      <c r="A3956" s="6" t="s">
        <v>101</v>
      </c>
      <c r="B3956" s="6">
        <f t="shared" ref="B3956:B3967" si="915">+B3955+1</f>
        <v>2025</v>
      </c>
      <c r="C3956" s="1" t="s">
        <v>109</v>
      </c>
      <c r="D3956" s="2" t="s">
        <v>128</v>
      </c>
      <c r="E3956" s="9" t="str">
        <f t="shared" si="913"/>
        <v>PRBND'!</v>
      </c>
      <c r="F3956" s="5" t="str">
        <f t="shared" si="914"/>
        <v>C:\Users\jaime.benazar\Quorum Business Solutions\Ecopetrol Prometeo - Documents\Planning Space Implementation\3. Analysis &amp; Design\Design\FC22\DRR Jaime\QUIFA-CAJÚA\Cajua\[VAS_CAJUA_CF_SEC_20230125.xlsx]CF PRBND'!</v>
      </c>
      <c r="G3956" s="6" t="s">
        <v>60</v>
      </c>
      <c r="H3956" s="1"/>
      <c r="I3956" s="1"/>
      <c r="J3956" s="1"/>
    </row>
    <row r="3957" spans="1:10" x14ac:dyDescent="0.25">
      <c r="A3957" s="6" t="s">
        <v>101</v>
      </c>
      <c r="B3957" s="6">
        <f t="shared" si="915"/>
        <v>2026</v>
      </c>
      <c r="C3957" s="1" t="s">
        <v>109</v>
      </c>
      <c r="D3957" s="2" t="s">
        <v>128</v>
      </c>
      <c r="E3957" s="9" t="str">
        <f t="shared" si="913"/>
        <v>PRBND'!</v>
      </c>
      <c r="F3957" s="5" t="str">
        <f t="shared" si="914"/>
        <v>C:\Users\jaime.benazar\Quorum Business Solutions\Ecopetrol Prometeo - Documents\Planning Space Implementation\3. Analysis &amp; Design\Design\FC22\DRR Jaime\QUIFA-CAJÚA\Cajua\[VAS_CAJUA_CF_SEC_20230125.xlsx]CF PRBND'!</v>
      </c>
      <c r="G3957" s="6" t="s">
        <v>60</v>
      </c>
      <c r="H3957" s="1"/>
      <c r="I3957" s="1"/>
      <c r="J3957" s="1"/>
    </row>
    <row r="3958" spans="1:10" x14ac:dyDescent="0.25">
      <c r="A3958" s="6" t="s">
        <v>101</v>
      </c>
      <c r="B3958" s="6">
        <f t="shared" si="915"/>
        <v>2027</v>
      </c>
      <c r="C3958" s="1" t="s">
        <v>109</v>
      </c>
      <c r="D3958" s="2" t="s">
        <v>128</v>
      </c>
      <c r="E3958" s="9" t="str">
        <f t="shared" si="913"/>
        <v>PRBND'!</v>
      </c>
      <c r="F3958" s="5" t="str">
        <f t="shared" si="914"/>
        <v>C:\Users\jaime.benazar\Quorum Business Solutions\Ecopetrol Prometeo - Documents\Planning Space Implementation\3. Analysis &amp; Design\Design\FC22\DRR Jaime\QUIFA-CAJÚA\Cajua\[VAS_CAJUA_CF_SEC_20230125.xlsx]CF PRBND'!</v>
      </c>
      <c r="G3958" s="6" t="s">
        <v>60</v>
      </c>
      <c r="H3958" s="1"/>
      <c r="I3958" s="1"/>
      <c r="J3958" s="1"/>
    </row>
    <row r="3959" spans="1:10" x14ac:dyDescent="0.25">
      <c r="A3959" s="6" t="s">
        <v>101</v>
      </c>
      <c r="B3959" s="6">
        <f t="shared" si="915"/>
        <v>2028</v>
      </c>
      <c r="C3959" s="1" t="s">
        <v>109</v>
      </c>
      <c r="D3959" s="2" t="s">
        <v>128</v>
      </c>
      <c r="E3959" s="9" t="str">
        <f t="shared" si="913"/>
        <v>PRBND'!</v>
      </c>
      <c r="F3959" s="5" t="str">
        <f t="shared" si="914"/>
        <v>C:\Users\jaime.benazar\Quorum Business Solutions\Ecopetrol Prometeo - Documents\Planning Space Implementation\3. Analysis &amp; Design\Design\FC22\DRR Jaime\QUIFA-CAJÚA\Cajua\[VAS_CAJUA_CF_SEC_20230125.xlsx]CF PRBND'!</v>
      </c>
      <c r="G3959" s="6" t="s">
        <v>60</v>
      </c>
      <c r="H3959" s="1"/>
      <c r="I3959" s="1"/>
      <c r="J3959" s="1"/>
    </row>
    <row r="3960" spans="1:10" x14ac:dyDescent="0.25">
      <c r="A3960" s="6" t="s">
        <v>101</v>
      </c>
      <c r="B3960" s="6">
        <f t="shared" si="915"/>
        <v>2029</v>
      </c>
      <c r="C3960" s="1" t="s">
        <v>109</v>
      </c>
      <c r="D3960" s="2" t="s">
        <v>128</v>
      </c>
      <c r="E3960" s="9" t="str">
        <f t="shared" si="913"/>
        <v>PRBND'!</v>
      </c>
      <c r="F3960" s="5" t="str">
        <f t="shared" si="914"/>
        <v>C:\Users\jaime.benazar\Quorum Business Solutions\Ecopetrol Prometeo - Documents\Planning Space Implementation\3. Analysis &amp; Design\Design\FC22\DRR Jaime\QUIFA-CAJÚA\Cajua\[VAS_CAJUA_CF_SEC_20230125.xlsx]CF PRBND'!</v>
      </c>
      <c r="G3960" s="6" t="s">
        <v>60</v>
      </c>
      <c r="H3960" s="1"/>
      <c r="I3960" s="1"/>
      <c r="J3960" s="1"/>
    </row>
    <row r="3961" spans="1:10" x14ac:dyDescent="0.25">
      <c r="A3961" s="6" t="s">
        <v>101</v>
      </c>
      <c r="B3961" s="6">
        <f t="shared" si="915"/>
        <v>2030</v>
      </c>
      <c r="C3961" s="1" t="s">
        <v>109</v>
      </c>
      <c r="D3961" s="2" t="s">
        <v>128</v>
      </c>
      <c r="E3961" s="9" t="str">
        <f t="shared" si="913"/>
        <v>PRBND'!</v>
      </c>
      <c r="F3961" s="5" t="str">
        <f t="shared" si="914"/>
        <v>C:\Users\jaime.benazar\Quorum Business Solutions\Ecopetrol Prometeo - Documents\Planning Space Implementation\3. Analysis &amp; Design\Design\FC22\DRR Jaime\QUIFA-CAJÚA\Cajua\[VAS_CAJUA_CF_SEC_20230125.xlsx]CF PRBND'!</v>
      </c>
      <c r="G3961" s="6" t="s">
        <v>60</v>
      </c>
      <c r="H3961" s="1"/>
      <c r="I3961" s="1"/>
      <c r="J3961" s="1"/>
    </row>
    <row r="3962" spans="1:10" x14ac:dyDescent="0.25">
      <c r="A3962" s="6" t="s">
        <v>101</v>
      </c>
      <c r="B3962" s="6">
        <f t="shared" si="915"/>
        <v>2031</v>
      </c>
      <c r="C3962" s="1" t="s">
        <v>109</v>
      </c>
      <c r="D3962" s="2" t="s">
        <v>128</v>
      </c>
      <c r="E3962" s="9" t="str">
        <f t="shared" si="913"/>
        <v>PRBND'!</v>
      </c>
      <c r="F3962" s="5" t="str">
        <f t="shared" si="914"/>
        <v>C:\Users\jaime.benazar\Quorum Business Solutions\Ecopetrol Prometeo - Documents\Planning Space Implementation\3. Analysis &amp; Design\Design\FC22\DRR Jaime\QUIFA-CAJÚA\Cajua\[VAS_CAJUA_CF_SEC_20230125.xlsx]CF PRBND'!</v>
      </c>
      <c r="G3962" s="6" t="s">
        <v>60</v>
      </c>
      <c r="H3962" s="1"/>
      <c r="I3962" s="1"/>
      <c r="J3962" s="1"/>
    </row>
    <row r="3963" spans="1:10" x14ac:dyDescent="0.25">
      <c r="A3963" s="6" t="s">
        <v>101</v>
      </c>
      <c r="B3963" s="6">
        <f t="shared" si="915"/>
        <v>2032</v>
      </c>
      <c r="C3963" s="1" t="s">
        <v>109</v>
      </c>
      <c r="D3963" s="2" t="s">
        <v>128</v>
      </c>
      <c r="E3963" s="9" t="str">
        <f t="shared" si="913"/>
        <v>PRBND'!</v>
      </c>
      <c r="F3963" s="5" t="str">
        <f t="shared" si="914"/>
        <v>C:\Users\jaime.benazar\Quorum Business Solutions\Ecopetrol Prometeo - Documents\Planning Space Implementation\3. Analysis &amp; Design\Design\FC22\DRR Jaime\QUIFA-CAJÚA\Cajua\[VAS_CAJUA_CF_SEC_20230125.xlsx]CF PRBND'!</v>
      </c>
      <c r="G3963" s="6" t="s">
        <v>60</v>
      </c>
      <c r="H3963" s="1"/>
      <c r="I3963" s="1"/>
      <c r="J3963" s="1"/>
    </row>
    <row r="3964" spans="1:10" x14ac:dyDescent="0.25">
      <c r="A3964" s="6" t="s">
        <v>101</v>
      </c>
      <c r="B3964" s="6">
        <f t="shared" si="915"/>
        <v>2033</v>
      </c>
      <c r="C3964" s="1" t="s">
        <v>109</v>
      </c>
      <c r="D3964" s="2" t="s">
        <v>128</v>
      </c>
      <c r="E3964" s="9" t="str">
        <f t="shared" si="913"/>
        <v>PRBND'!</v>
      </c>
      <c r="F3964" s="5" t="str">
        <f t="shared" si="914"/>
        <v>C:\Users\jaime.benazar\Quorum Business Solutions\Ecopetrol Prometeo - Documents\Planning Space Implementation\3. Analysis &amp; Design\Design\FC22\DRR Jaime\QUIFA-CAJÚA\Cajua\[VAS_CAJUA_CF_SEC_20230125.xlsx]CF PRBND'!</v>
      </c>
      <c r="G3964" s="6" t="s">
        <v>60</v>
      </c>
      <c r="H3964" s="1"/>
      <c r="I3964" s="1"/>
      <c r="J3964" s="1"/>
    </row>
    <row r="3965" spans="1:10" x14ac:dyDescent="0.25">
      <c r="A3965" s="6" t="s">
        <v>101</v>
      </c>
      <c r="B3965" s="6">
        <f t="shared" si="915"/>
        <v>2034</v>
      </c>
      <c r="C3965" s="1" t="s">
        <v>109</v>
      </c>
      <c r="D3965" s="2" t="s">
        <v>128</v>
      </c>
      <c r="E3965" s="9" t="str">
        <f t="shared" si="913"/>
        <v>PRBND'!</v>
      </c>
      <c r="F3965" s="5" t="str">
        <f t="shared" si="914"/>
        <v>C:\Users\jaime.benazar\Quorum Business Solutions\Ecopetrol Prometeo - Documents\Planning Space Implementation\3. Analysis &amp; Design\Design\FC22\DRR Jaime\QUIFA-CAJÚA\Cajua\[VAS_CAJUA_CF_SEC_20230125.xlsx]CF PRBND'!</v>
      </c>
      <c r="G3965" s="6" t="s">
        <v>60</v>
      </c>
      <c r="H3965" s="1"/>
      <c r="I3965" s="1"/>
      <c r="J3965" s="1"/>
    </row>
    <row r="3966" spans="1:10" x14ac:dyDescent="0.25">
      <c r="A3966" s="6" t="s">
        <v>101</v>
      </c>
      <c r="B3966" s="6">
        <f t="shared" si="915"/>
        <v>2035</v>
      </c>
      <c r="C3966" s="1" t="s">
        <v>109</v>
      </c>
      <c r="D3966" s="2" t="s">
        <v>128</v>
      </c>
      <c r="E3966" s="9" t="str">
        <f t="shared" si="913"/>
        <v>PRBND'!</v>
      </c>
      <c r="F3966" s="5" t="str">
        <f t="shared" si="914"/>
        <v>C:\Users\jaime.benazar\Quorum Business Solutions\Ecopetrol Prometeo - Documents\Planning Space Implementation\3. Analysis &amp; Design\Design\FC22\DRR Jaime\QUIFA-CAJÚA\Cajua\[VAS_CAJUA_CF_SEC_20230125.xlsx]CF PRBND'!</v>
      </c>
      <c r="G3966" s="6" t="s">
        <v>60</v>
      </c>
      <c r="H3966" s="1"/>
      <c r="I3966" s="1"/>
      <c r="J3966" s="1"/>
    </row>
    <row r="3967" spans="1:10" x14ac:dyDescent="0.25">
      <c r="A3967" s="6" t="s">
        <v>101</v>
      </c>
      <c r="B3967" s="6">
        <f t="shared" si="915"/>
        <v>2036</v>
      </c>
      <c r="C3967" s="1" t="s">
        <v>109</v>
      </c>
      <c r="D3967" s="2" t="s">
        <v>128</v>
      </c>
      <c r="E3967" s="9" t="str">
        <f t="shared" si="913"/>
        <v>PRBND'!</v>
      </c>
      <c r="F3967" s="5" t="str">
        <f t="shared" si="914"/>
        <v>C:\Users\jaime.benazar\Quorum Business Solutions\Ecopetrol Prometeo - Documents\Planning Space Implementation\3. Analysis &amp; Design\Design\FC22\DRR Jaime\QUIFA-CAJÚA\Cajua\[VAS_CAJUA_CF_SEC_20230125.xlsx]CF PRBND'!</v>
      </c>
      <c r="G3967" s="6" t="s">
        <v>60</v>
      </c>
      <c r="H3967" s="1"/>
      <c r="I3967" s="1"/>
      <c r="J3967" s="1"/>
    </row>
    <row r="3968" spans="1:10" x14ac:dyDescent="0.25">
      <c r="A3968" s="6" t="s">
        <v>101</v>
      </c>
      <c r="B3968" s="6">
        <f>+B3967+1</f>
        <v>2037</v>
      </c>
      <c r="C3968" s="1" t="s">
        <v>109</v>
      </c>
      <c r="D3968" s="2" t="s">
        <v>128</v>
      </c>
      <c r="E3968" s="9" t="str">
        <f t="shared" si="913"/>
        <v>PRBND'!</v>
      </c>
      <c r="F3968" s="5" t="str">
        <f t="shared" si="914"/>
        <v>C:\Users\jaime.benazar\Quorum Business Solutions\Ecopetrol Prometeo - Documents\Planning Space Implementation\3. Analysis &amp; Design\Design\FC22\DRR Jaime\QUIFA-CAJÚA\Cajua\[VAS_CAJUA_CF_SEC_20230125.xlsx]CF PRBND'!</v>
      </c>
      <c r="G3968" s="6" t="s">
        <v>60</v>
      </c>
      <c r="H3968" s="1"/>
      <c r="I3968" s="1"/>
      <c r="J3968" s="1"/>
    </row>
    <row r="3969" spans="1:10" x14ac:dyDescent="0.25">
      <c r="A3969" s="6" t="s">
        <v>101</v>
      </c>
      <c r="B3969" s="6">
        <f t="shared" ref="B3969:B3971" si="916">+B3968+1</f>
        <v>2038</v>
      </c>
      <c r="C3969" s="1" t="s">
        <v>109</v>
      </c>
      <c r="D3969" s="2" t="s">
        <v>128</v>
      </c>
      <c r="E3969" s="9" t="str">
        <f t="shared" si="913"/>
        <v>PRBND'!</v>
      </c>
      <c r="F3969" s="5" t="str">
        <f t="shared" si="914"/>
        <v>C:\Users\jaime.benazar\Quorum Business Solutions\Ecopetrol Prometeo - Documents\Planning Space Implementation\3. Analysis &amp; Design\Design\FC22\DRR Jaime\QUIFA-CAJÚA\Cajua\[VAS_CAJUA_CF_SEC_20230125.xlsx]CF PRBND'!</v>
      </c>
      <c r="G3969" s="6" t="s">
        <v>60</v>
      </c>
      <c r="H3969" s="1"/>
      <c r="I3969" s="1"/>
      <c r="J3969" s="1"/>
    </row>
    <row r="3970" spans="1:10" x14ac:dyDescent="0.25">
      <c r="A3970" s="6" t="s">
        <v>101</v>
      </c>
      <c r="B3970" s="6">
        <f t="shared" si="916"/>
        <v>2039</v>
      </c>
      <c r="C3970" s="1" t="s">
        <v>109</v>
      </c>
      <c r="D3970" s="2" t="s">
        <v>128</v>
      </c>
      <c r="E3970" s="9" t="str">
        <f t="shared" si="913"/>
        <v>PRBND'!</v>
      </c>
      <c r="F3970" s="5" t="str">
        <f t="shared" si="914"/>
        <v>C:\Users\jaime.benazar\Quorum Business Solutions\Ecopetrol Prometeo - Documents\Planning Space Implementation\3. Analysis &amp; Design\Design\FC22\DRR Jaime\QUIFA-CAJÚA\Cajua\[VAS_CAJUA_CF_SEC_20230125.xlsx]CF PRBND'!</v>
      </c>
      <c r="G3970" s="6" t="s">
        <v>60</v>
      </c>
      <c r="H3970" s="1"/>
      <c r="I3970" s="1"/>
      <c r="J3970" s="1"/>
    </row>
    <row r="3971" spans="1:10" x14ac:dyDescent="0.25">
      <c r="A3971" s="6" t="s">
        <v>101</v>
      </c>
      <c r="B3971" s="6">
        <f t="shared" si="916"/>
        <v>2040</v>
      </c>
      <c r="C3971" s="1" t="s">
        <v>109</v>
      </c>
      <c r="D3971" s="2" t="s">
        <v>128</v>
      </c>
      <c r="E3971" s="9" t="str">
        <f t="shared" si="913"/>
        <v>PRBND'!</v>
      </c>
      <c r="F3971" s="5" t="str">
        <f t="shared" si="914"/>
        <v>C:\Users\jaime.benazar\Quorum Business Solutions\Ecopetrol Prometeo - Documents\Planning Space Implementation\3. Analysis &amp; Design\Design\FC22\DRR Jaime\QUIFA-CAJÚA\Cajua\[VAS_CAJUA_CF_SEC_20230125.xlsx]CF PRBND'!</v>
      </c>
      <c r="G3971" s="6" t="s">
        <v>60</v>
      </c>
      <c r="H3971" s="1"/>
      <c r="I3971" s="1"/>
      <c r="J3971" s="1"/>
    </row>
    <row r="3972" spans="1:10" x14ac:dyDescent="0.25">
      <c r="A3972" s="6" t="s">
        <v>101</v>
      </c>
      <c r="B3972" s="6">
        <f>+B3971+1</f>
        <v>2041</v>
      </c>
      <c r="C3972" s="1" t="s">
        <v>109</v>
      </c>
      <c r="D3972" s="2" t="s">
        <v>128</v>
      </c>
      <c r="E3972" s="9" t="str">
        <f t="shared" si="913"/>
        <v>PRBND'!</v>
      </c>
      <c r="F3972" s="5" t="str">
        <f t="shared" si="914"/>
        <v>C:\Users\jaime.benazar\Quorum Business Solutions\Ecopetrol Prometeo - Documents\Planning Space Implementation\3. Analysis &amp; Design\Design\FC22\DRR Jaime\QUIFA-CAJÚA\Cajua\[VAS_CAJUA_CF_SEC_20230125.xlsx]CF PRBND'!</v>
      </c>
      <c r="G3972" s="6" t="s">
        <v>60</v>
      </c>
      <c r="H3972" s="1"/>
      <c r="I3972" s="1"/>
      <c r="J3972" s="1"/>
    </row>
    <row r="3973" spans="1:10" x14ac:dyDescent="0.25">
      <c r="A3973" s="6" t="s">
        <v>101</v>
      </c>
      <c r="B3973" s="6">
        <f t="shared" ref="B3973:B3974" si="917">+B3972+1</f>
        <v>2042</v>
      </c>
      <c r="C3973" s="1" t="s">
        <v>109</v>
      </c>
      <c r="D3973" s="2" t="s">
        <v>128</v>
      </c>
      <c r="E3973" s="9" t="str">
        <f t="shared" si="913"/>
        <v>PRBND'!</v>
      </c>
      <c r="F3973" s="5" t="str">
        <f t="shared" si="914"/>
        <v>C:\Users\jaime.benazar\Quorum Business Solutions\Ecopetrol Prometeo - Documents\Planning Space Implementation\3. Analysis &amp; Design\Design\FC22\DRR Jaime\QUIFA-CAJÚA\Cajua\[VAS_CAJUA_CF_SEC_20230125.xlsx]CF PRBND'!</v>
      </c>
      <c r="G3973" s="6" t="s">
        <v>60</v>
      </c>
      <c r="H3973" s="1"/>
      <c r="I3973" s="1"/>
      <c r="J3973" s="1"/>
    </row>
    <row r="3974" spans="1:10" x14ac:dyDescent="0.25">
      <c r="A3974" s="6" t="s">
        <v>101</v>
      </c>
      <c r="B3974" s="6">
        <f t="shared" si="917"/>
        <v>2043</v>
      </c>
      <c r="C3974" s="1" t="s">
        <v>109</v>
      </c>
      <c r="D3974" s="2" t="s">
        <v>128</v>
      </c>
      <c r="E3974" s="9" t="str">
        <f t="shared" si="913"/>
        <v>PRBND'!</v>
      </c>
      <c r="F3974" s="5" t="str">
        <f t="shared" si="914"/>
        <v>C:\Users\jaime.benazar\Quorum Business Solutions\Ecopetrol Prometeo - Documents\Planning Space Implementation\3. Analysis &amp; Design\Design\FC22\DRR Jaime\QUIFA-CAJÚA\Cajua\[VAS_CAJUA_CF_SEC_20230125.xlsx]CF PRBND'!</v>
      </c>
      <c r="G3974" s="6" t="s">
        <v>60</v>
      </c>
      <c r="H3974" s="1"/>
      <c r="I3974" s="1"/>
      <c r="J3974" s="1"/>
    </row>
    <row r="3975" spans="1:10" x14ac:dyDescent="0.25">
      <c r="A3975" s="6" t="s">
        <v>101</v>
      </c>
      <c r="B3975" s="6">
        <f>+B3974+1</f>
        <v>2044</v>
      </c>
      <c r="C3975" s="1" t="s">
        <v>109</v>
      </c>
      <c r="D3975" s="2" t="s">
        <v>128</v>
      </c>
      <c r="E3975" s="9" t="str">
        <f t="shared" ref="E3975:E3990" si="918">_xlfn.CONCAT(A3975,"'!")</f>
        <v>PRBND'!</v>
      </c>
      <c r="F3975" s="5" t="str">
        <f t="shared" ref="F3975:F3990" si="919">_xlfn.CONCAT(D3975," ",E3975)</f>
        <v>C:\Users\jaime.benazar\Quorum Business Solutions\Ecopetrol Prometeo - Documents\Planning Space Implementation\3. Analysis &amp; Design\Design\FC22\DRR Jaime\QUIFA-CAJÚA\Cajua\[VAS_CAJUA_CF_SEC_20230125.xlsx]CF PRBND'!</v>
      </c>
      <c r="G3975" s="6" t="s">
        <v>60</v>
      </c>
      <c r="H3975" s="1"/>
      <c r="I3975" s="1"/>
      <c r="J3975" s="1"/>
    </row>
    <row r="3976" spans="1:10" x14ac:dyDescent="0.25">
      <c r="A3976" s="6" t="s">
        <v>101</v>
      </c>
      <c r="B3976" s="6">
        <f t="shared" ref="B3976:B3990" si="920">+B3975+1</f>
        <v>2045</v>
      </c>
      <c r="C3976" s="1" t="s">
        <v>109</v>
      </c>
      <c r="D3976" s="2" t="s">
        <v>128</v>
      </c>
      <c r="E3976" s="9" t="str">
        <f t="shared" si="918"/>
        <v>PRBND'!</v>
      </c>
      <c r="F3976" s="5" t="str">
        <f t="shared" si="919"/>
        <v>C:\Users\jaime.benazar\Quorum Business Solutions\Ecopetrol Prometeo - Documents\Planning Space Implementation\3. Analysis &amp; Design\Design\FC22\DRR Jaime\QUIFA-CAJÚA\Cajua\[VAS_CAJUA_CF_SEC_20230125.xlsx]CF PRBND'!</v>
      </c>
      <c r="G3976" s="6" t="s">
        <v>60</v>
      </c>
      <c r="H3976" s="1"/>
      <c r="I3976" s="1"/>
      <c r="J3976" s="1"/>
    </row>
    <row r="3977" spans="1:10" x14ac:dyDescent="0.25">
      <c r="A3977" s="6" t="s">
        <v>101</v>
      </c>
      <c r="B3977" s="6">
        <f t="shared" si="920"/>
        <v>2046</v>
      </c>
      <c r="C3977" s="1" t="s">
        <v>109</v>
      </c>
      <c r="D3977" s="2" t="s">
        <v>128</v>
      </c>
      <c r="E3977" s="9" t="str">
        <f t="shared" si="918"/>
        <v>PRBND'!</v>
      </c>
      <c r="F3977" s="5" t="str">
        <f t="shared" si="919"/>
        <v>C:\Users\jaime.benazar\Quorum Business Solutions\Ecopetrol Prometeo - Documents\Planning Space Implementation\3. Analysis &amp; Design\Design\FC22\DRR Jaime\QUIFA-CAJÚA\Cajua\[VAS_CAJUA_CF_SEC_20230125.xlsx]CF PRBND'!</v>
      </c>
      <c r="G3977" s="6" t="s">
        <v>60</v>
      </c>
      <c r="H3977" s="1"/>
      <c r="I3977" s="1"/>
      <c r="J3977" s="1"/>
    </row>
    <row r="3978" spans="1:10" x14ac:dyDescent="0.25">
      <c r="A3978" s="6" t="s">
        <v>101</v>
      </c>
      <c r="B3978" s="6">
        <f t="shared" si="920"/>
        <v>2047</v>
      </c>
      <c r="C3978" s="1" t="s">
        <v>109</v>
      </c>
      <c r="D3978" s="2" t="s">
        <v>128</v>
      </c>
      <c r="E3978" s="9" t="str">
        <f t="shared" si="918"/>
        <v>PRBND'!</v>
      </c>
      <c r="F3978" s="5" t="str">
        <f t="shared" si="919"/>
        <v>C:\Users\jaime.benazar\Quorum Business Solutions\Ecopetrol Prometeo - Documents\Planning Space Implementation\3. Analysis &amp; Design\Design\FC22\DRR Jaime\QUIFA-CAJÚA\Cajua\[VAS_CAJUA_CF_SEC_20230125.xlsx]CF PRBND'!</v>
      </c>
      <c r="G3978" s="6" t="s">
        <v>60</v>
      </c>
      <c r="H3978" s="1"/>
      <c r="I3978" s="1"/>
      <c r="J3978" s="1"/>
    </row>
    <row r="3979" spans="1:10" x14ac:dyDescent="0.25">
      <c r="A3979" s="6" t="s">
        <v>101</v>
      </c>
      <c r="B3979" s="6">
        <f t="shared" si="920"/>
        <v>2048</v>
      </c>
      <c r="C3979" s="1" t="s">
        <v>109</v>
      </c>
      <c r="D3979" s="2" t="s">
        <v>128</v>
      </c>
      <c r="E3979" s="9" t="str">
        <f t="shared" si="918"/>
        <v>PRBND'!</v>
      </c>
      <c r="F3979" s="5" t="str">
        <f t="shared" si="919"/>
        <v>C:\Users\jaime.benazar\Quorum Business Solutions\Ecopetrol Prometeo - Documents\Planning Space Implementation\3. Analysis &amp; Design\Design\FC22\DRR Jaime\QUIFA-CAJÚA\Cajua\[VAS_CAJUA_CF_SEC_20230125.xlsx]CF PRBND'!</v>
      </c>
      <c r="G3979" s="6" t="s">
        <v>60</v>
      </c>
      <c r="H3979" s="1"/>
      <c r="I3979" s="1"/>
      <c r="J3979" s="1"/>
    </row>
    <row r="3980" spans="1:10" x14ac:dyDescent="0.25">
      <c r="A3980" s="6" t="s">
        <v>101</v>
      </c>
      <c r="B3980" s="6">
        <f t="shared" si="920"/>
        <v>2049</v>
      </c>
      <c r="C3980" s="1" t="s">
        <v>109</v>
      </c>
      <c r="D3980" s="2" t="s">
        <v>128</v>
      </c>
      <c r="E3980" s="9" t="str">
        <f t="shared" si="918"/>
        <v>PRBND'!</v>
      </c>
      <c r="F3980" s="5" t="str">
        <f t="shared" si="919"/>
        <v>C:\Users\jaime.benazar\Quorum Business Solutions\Ecopetrol Prometeo - Documents\Planning Space Implementation\3. Analysis &amp; Design\Design\FC22\DRR Jaime\QUIFA-CAJÚA\Cajua\[VAS_CAJUA_CF_SEC_20230125.xlsx]CF PRBND'!</v>
      </c>
      <c r="G3980" s="6" t="s">
        <v>60</v>
      </c>
      <c r="H3980" s="1"/>
      <c r="I3980" s="1"/>
      <c r="J3980" s="1"/>
    </row>
    <row r="3981" spans="1:10" x14ac:dyDescent="0.25">
      <c r="A3981" s="6" t="s">
        <v>101</v>
      </c>
      <c r="B3981" s="6">
        <f t="shared" si="920"/>
        <v>2050</v>
      </c>
      <c r="C3981" s="1" t="s">
        <v>109</v>
      </c>
      <c r="D3981" s="2" t="s">
        <v>128</v>
      </c>
      <c r="E3981" s="9" t="str">
        <f t="shared" si="918"/>
        <v>PRBND'!</v>
      </c>
      <c r="F3981" s="5" t="str">
        <f t="shared" si="919"/>
        <v>C:\Users\jaime.benazar\Quorum Business Solutions\Ecopetrol Prometeo - Documents\Planning Space Implementation\3. Analysis &amp; Design\Design\FC22\DRR Jaime\QUIFA-CAJÚA\Cajua\[VAS_CAJUA_CF_SEC_20230125.xlsx]CF PRBND'!</v>
      </c>
      <c r="G3981" s="6" t="s">
        <v>60</v>
      </c>
      <c r="H3981" s="1"/>
      <c r="I3981" s="1"/>
      <c r="J3981" s="1"/>
    </row>
    <row r="3982" spans="1:10" x14ac:dyDescent="0.25">
      <c r="A3982" s="6" t="s">
        <v>101</v>
      </c>
      <c r="B3982" s="6">
        <f t="shared" si="920"/>
        <v>2051</v>
      </c>
      <c r="C3982" s="1" t="s">
        <v>109</v>
      </c>
      <c r="D3982" s="2" t="s">
        <v>128</v>
      </c>
      <c r="E3982" s="9" t="str">
        <f t="shared" si="918"/>
        <v>PRBND'!</v>
      </c>
      <c r="F3982" s="5" t="str">
        <f t="shared" si="919"/>
        <v>C:\Users\jaime.benazar\Quorum Business Solutions\Ecopetrol Prometeo - Documents\Planning Space Implementation\3. Analysis &amp; Design\Design\FC22\DRR Jaime\QUIFA-CAJÚA\Cajua\[VAS_CAJUA_CF_SEC_20230125.xlsx]CF PRBND'!</v>
      </c>
      <c r="G3982" s="6" t="s">
        <v>60</v>
      </c>
      <c r="H3982" s="1"/>
      <c r="I3982" s="1"/>
      <c r="J3982" s="1"/>
    </row>
    <row r="3983" spans="1:10" x14ac:dyDescent="0.25">
      <c r="A3983" s="6" t="s">
        <v>101</v>
      </c>
      <c r="B3983" s="6">
        <f t="shared" si="920"/>
        <v>2052</v>
      </c>
      <c r="C3983" s="1" t="s">
        <v>109</v>
      </c>
      <c r="D3983" s="2" t="s">
        <v>128</v>
      </c>
      <c r="E3983" s="9" t="str">
        <f t="shared" si="918"/>
        <v>PRBND'!</v>
      </c>
      <c r="F3983" s="5" t="str">
        <f t="shared" si="919"/>
        <v>C:\Users\jaime.benazar\Quorum Business Solutions\Ecopetrol Prometeo - Documents\Planning Space Implementation\3. Analysis &amp; Design\Design\FC22\DRR Jaime\QUIFA-CAJÚA\Cajua\[VAS_CAJUA_CF_SEC_20230125.xlsx]CF PRBND'!</v>
      </c>
      <c r="G3983" s="6" t="s">
        <v>60</v>
      </c>
      <c r="H3983" s="1"/>
      <c r="I3983" s="1"/>
      <c r="J3983" s="1"/>
    </row>
    <row r="3984" spans="1:10" x14ac:dyDescent="0.25">
      <c r="A3984" s="6" t="s">
        <v>101</v>
      </c>
      <c r="B3984" s="6">
        <f t="shared" si="920"/>
        <v>2053</v>
      </c>
      <c r="C3984" s="1" t="s">
        <v>109</v>
      </c>
      <c r="D3984" s="2" t="s">
        <v>128</v>
      </c>
      <c r="E3984" s="9" t="str">
        <f t="shared" si="918"/>
        <v>PRBND'!</v>
      </c>
      <c r="F3984" s="5" t="str">
        <f t="shared" si="919"/>
        <v>C:\Users\jaime.benazar\Quorum Business Solutions\Ecopetrol Prometeo - Documents\Planning Space Implementation\3. Analysis &amp; Design\Design\FC22\DRR Jaime\QUIFA-CAJÚA\Cajua\[VAS_CAJUA_CF_SEC_20230125.xlsx]CF PRBND'!</v>
      </c>
      <c r="G3984" s="6" t="s">
        <v>60</v>
      </c>
      <c r="H3984" s="1"/>
      <c r="I3984" s="1"/>
      <c r="J3984" s="1"/>
    </row>
    <row r="3985" spans="1:10" x14ac:dyDescent="0.25">
      <c r="A3985" s="6" t="s">
        <v>101</v>
      </c>
      <c r="B3985" s="6">
        <f t="shared" si="920"/>
        <v>2054</v>
      </c>
      <c r="C3985" s="1" t="s">
        <v>109</v>
      </c>
      <c r="D3985" s="2" t="s">
        <v>128</v>
      </c>
      <c r="E3985" s="9" t="str">
        <f t="shared" si="918"/>
        <v>PRBND'!</v>
      </c>
      <c r="F3985" s="5" t="str">
        <f t="shared" si="919"/>
        <v>C:\Users\jaime.benazar\Quorum Business Solutions\Ecopetrol Prometeo - Documents\Planning Space Implementation\3. Analysis &amp; Design\Design\FC22\DRR Jaime\QUIFA-CAJÚA\Cajua\[VAS_CAJUA_CF_SEC_20230125.xlsx]CF PRBND'!</v>
      </c>
      <c r="G3985" s="6" t="s">
        <v>60</v>
      </c>
      <c r="H3985" s="1"/>
      <c r="I3985" s="1"/>
      <c r="J3985" s="1"/>
    </row>
    <row r="3986" spans="1:10" x14ac:dyDescent="0.25">
      <c r="A3986" s="6" t="s">
        <v>101</v>
      </c>
      <c r="B3986" s="6">
        <f t="shared" si="920"/>
        <v>2055</v>
      </c>
      <c r="C3986" s="1" t="s">
        <v>109</v>
      </c>
      <c r="D3986" s="2" t="s">
        <v>128</v>
      </c>
      <c r="E3986" s="9" t="str">
        <f t="shared" si="918"/>
        <v>PRBND'!</v>
      </c>
      <c r="F3986" s="5" t="str">
        <f t="shared" si="919"/>
        <v>C:\Users\jaime.benazar\Quorum Business Solutions\Ecopetrol Prometeo - Documents\Planning Space Implementation\3. Analysis &amp; Design\Design\FC22\DRR Jaime\QUIFA-CAJÚA\Cajua\[VAS_CAJUA_CF_SEC_20230125.xlsx]CF PRBND'!</v>
      </c>
      <c r="G3986" s="6" t="s">
        <v>60</v>
      </c>
      <c r="H3986" s="1"/>
      <c r="I3986" s="1"/>
      <c r="J3986" s="1"/>
    </row>
    <row r="3987" spans="1:10" x14ac:dyDescent="0.25">
      <c r="A3987" s="6" t="s">
        <v>101</v>
      </c>
      <c r="B3987" s="6">
        <f t="shared" si="920"/>
        <v>2056</v>
      </c>
      <c r="C3987" s="1" t="s">
        <v>109</v>
      </c>
      <c r="D3987" s="2" t="s">
        <v>128</v>
      </c>
      <c r="E3987" s="9" t="str">
        <f t="shared" si="918"/>
        <v>PRBND'!</v>
      </c>
      <c r="F3987" s="5" t="str">
        <f t="shared" si="919"/>
        <v>C:\Users\jaime.benazar\Quorum Business Solutions\Ecopetrol Prometeo - Documents\Planning Space Implementation\3. Analysis &amp; Design\Design\FC22\DRR Jaime\QUIFA-CAJÚA\Cajua\[VAS_CAJUA_CF_SEC_20230125.xlsx]CF PRBND'!</v>
      </c>
      <c r="G3987" s="6" t="s">
        <v>60</v>
      </c>
      <c r="H3987" s="1"/>
      <c r="I3987" s="1"/>
      <c r="J3987" s="1"/>
    </row>
    <row r="3988" spans="1:10" x14ac:dyDescent="0.25">
      <c r="A3988" s="6" t="s">
        <v>101</v>
      </c>
      <c r="B3988" s="6">
        <f t="shared" si="920"/>
        <v>2057</v>
      </c>
      <c r="C3988" s="1" t="s">
        <v>109</v>
      </c>
      <c r="D3988" s="2" t="s">
        <v>128</v>
      </c>
      <c r="E3988" s="9" t="str">
        <f t="shared" si="918"/>
        <v>PRBND'!</v>
      </c>
      <c r="F3988" s="5" t="str">
        <f t="shared" si="919"/>
        <v>C:\Users\jaime.benazar\Quorum Business Solutions\Ecopetrol Prometeo - Documents\Planning Space Implementation\3. Analysis &amp; Design\Design\FC22\DRR Jaime\QUIFA-CAJÚA\Cajua\[VAS_CAJUA_CF_SEC_20230125.xlsx]CF PRBND'!</v>
      </c>
      <c r="G3988" s="6" t="s">
        <v>60</v>
      </c>
      <c r="H3988" s="1"/>
      <c r="I3988" s="1"/>
      <c r="J3988" s="1"/>
    </row>
    <row r="3989" spans="1:10" x14ac:dyDescent="0.25">
      <c r="A3989" s="6" t="s">
        <v>101</v>
      </c>
      <c r="B3989" s="6">
        <f t="shared" si="920"/>
        <v>2058</v>
      </c>
      <c r="C3989" s="1" t="s">
        <v>109</v>
      </c>
      <c r="D3989" s="2" t="s">
        <v>128</v>
      </c>
      <c r="E3989" s="9" t="str">
        <f t="shared" si="918"/>
        <v>PRBND'!</v>
      </c>
      <c r="F3989" s="5" t="str">
        <f t="shared" si="919"/>
        <v>C:\Users\jaime.benazar\Quorum Business Solutions\Ecopetrol Prometeo - Documents\Planning Space Implementation\3. Analysis &amp; Design\Design\FC22\DRR Jaime\QUIFA-CAJÚA\Cajua\[VAS_CAJUA_CF_SEC_20230125.xlsx]CF PRBND'!</v>
      </c>
      <c r="G3989" s="6" t="s">
        <v>60</v>
      </c>
      <c r="H3989" s="1"/>
      <c r="I3989" s="1"/>
      <c r="J3989" s="1"/>
    </row>
    <row r="3990" spans="1:10" x14ac:dyDescent="0.25">
      <c r="A3990" s="6" t="s">
        <v>101</v>
      </c>
      <c r="B3990" s="6">
        <f t="shared" si="920"/>
        <v>2059</v>
      </c>
      <c r="C3990" s="1" t="s">
        <v>109</v>
      </c>
      <c r="D3990" s="2" t="s">
        <v>128</v>
      </c>
      <c r="E3990" s="9" t="str">
        <f t="shared" si="918"/>
        <v>PRBND'!</v>
      </c>
      <c r="F3990" s="5" t="str">
        <f t="shared" si="919"/>
        <v>C:\Users\jaime.benazar\Quorum Business Solutions\Ecopetrol Prometeo - Documents\Planning Space Implementation\3. Analysis &amp; Design\Design\FC22\DRR Jaime\QUIFA-CAJÚA\Cajua\[VAS_CAJUA_CF_SEC_20230125.xlsx]CF PRBND'!</v>
      </c>
      <c r="G3990" s="6" t="s">
        <v>60</v>
      </c>
      <c r="H3990" s="1"/>
      <c r="I3990" s="1"/>
      <c r="J3990" s="1"/>
    </row>
    <row r="3991" spans="1:10" x14ac:dyDescent="0.25">
      <c r="A3991" s="6" t="s">
        <v>28</v>
      </c>
      <c r="B3991" s="6"/>
      <c r="C3991" s="1" t="s">
        <v>109</v>
      </c>
      <c r="D3991" s="2"/>
      <c r="E3991" s="9"/>
      <c r="F3991" s="5"/>
      <c r="G3991" s="6"/>
      <c r="H3991" s="1"/>
      <c r="I3991" s="1"/>
      <c r="J3991" s="12"/>
    </row>
    <row r="3992" spans="1:10" x14ac:dyDescent="0.25">
      <c r="A3992" s="6" t="s">
        <v>4</v>
      </c>
      <c r="B3992" s="6">
        <v>2023</v>
      </c>
      <c r="C3992" s="1" t="s">
        <v>109</v>
      </c>
      <c r="D3992" s="2" t="s">
        <v>128</v>
      </c>
      <c r="E3992" s="9" t="str">
        <f t="shared" ref="E3992:E4012" si="921">_xlfn.CONCAT(A3992,"'!")</f>
        <v>PRB'!</v>
      </c>
      <c r="F3992" s="5" t="str">
        <f t="shared" ref="F3992:F4012" si="922">_xlfn.CONCAT(D3992," ",E3992)</f>
        <v>C:\Users\jaime.benazar\Quorum Business Solutions\Ecopetrol Prometeo - Documents\Planning Space Implementation\3. Analysis &amp; Design\Design\FC22\DRR Jaime\QUIFA-CAJÚA\Cajua\[VAS_CAJUA_CF_SEC_20230125.xlsx]CF PRB'!</v>
      </c>
      <c r="G3992" s="6" t="s">
        <v>60</v>
      </c>
      <c r="H3992" s="1">
        <f>IF(A3992&lt;&gt;A3862,36,H3862+1)</f>
        <v>36</v>
      </c>
      <c r="I3992" s="1" t="str">
        <f t="shared" ref="I3992:I4012" si="923">_xlfn.CONCAT("='",F3992:H3992)</f>
        <v>='C:\Users\jaime.benazar\Quorum Business Solutions\Ecopetrol Prometeo - Documents\Planning Space Implementation\3. Analysis &amp; Design\Design\FC22\DRR Jaime\QUIFA-CAJÚA\Cajua\[VAS_CAJUA_CF_SEC_20230125.xlsx]CF PRB'!$BY$36</v>
      </c>
      <c r="J3992" s="1" t="s">
        <v>1905</v>
      </c>
    </row>
    <row r="3993" spans="1:10" x14ac:dyDescent="0.25">
      <c r="A3993" s="6" t="s">
        <v>4</v>
      </c>
      <c r="B3993" s="6">
        <f>+B3992+1</f>
        <v>2024</v>
      </c>
      <c r="C3993" s="1" t="s">
        <v>109</v>
      </c>
      <c r="D3993" s="2" t="s">
        <v>128</v>
      </c>
      <c r="E3993" s="9" t="str">
        <f t="shared" si="921"/>
        <v>PRB'!</v>
      </c>
      <c r="F3993" s="5" t="str">
        <f t="shared" si="922"/>
        <v>C:\Users\jaime.benazar\Quorum Business Solutions\Ecopetrol Prometeo - Documents\Planning Space Implementation\3. Analysis &amp; Design\Design\FC22\DRR Jaime\QUIFA-CAJÚA\Cajua\[VAS_CAJUA_CF_SEC_20230125.xlsx]CF PRB'!</v>
      </c>
      <c r="G3993" s="6" t="s">
        <v>60</v>
      </c>
      <c r="H3993" s="1">
        <f t="shared" ref="H3993:H4012" si="924">IF(A3993&lt;&gt;A3992,36,H3992+1)</f>
        <v>37</v>
      </c>
      <c r="I3993" s="1" t="str">
        <f t="shared" si="923"/>
        <v>='C:\Users\jaime.benazar\Quorum Business Solutions\Ecopetrol Prometeo - Documents\Planning Space Implementation\3. Analysis &amp; Design\Design\FC22\DRR Jaime\QUIFA-CAJÚA\Cajua\[VAS_CAJUA_CF_SEC_20230125.xlsx]CF PRB'!$BY$37</v>
      </c>
      <c r="J3993" s="1" t="s">
        <v>1906</v>
      </c>
    </row>
    <row r="3994" spans="1:10" x14ac:dyDescent="0.25">
      <c r="A3994" s="6" t="s">
        <v>4</v>
      </c>
      <c r="B3994" s="6">
        <f t="shared" ref="B3994:B4005" si="925">+B3993+1</f>
        <v>2025</v>
      </c>
      <c r="C3994" s="1" t="s">
        <v>109</v>
      </c>
      <c r="D3994" s="2" t="s">
        <v>128</v>
      </c>
      <c r="E3994" s="9" t="str">
        <f t="shared" si="921"/>
        <v>PRB'!</v>
      </c>
      <c r="F3994" s="5" t="str">
        <f t="shared" si="922"/>
        <v>C:\Users\jaime.benazar\Quorum Business Solutions\Ecopetrol Prometeo - Documents\Planning Space Implementation\3. Analysis &amp; Design\Design\FC22\DRR Jaime\QUIFA-CAJÚA\Cajua\[VAS_CAJUA_CF_SEC_20230125.xlsx]CF PRB'!</v>
      </c>
      <c r="G3994" s="6" t="s">
        <v>60</v>
      </c>
      <c r="H3994" s="1">
        <f t="shared" si="924"/>
        <v>38</v>
      </c>
      <c r="I3994" s="1" t="str">
        <f t="shared" si="923"/>
        <v>='C:\Users\jaime.benazar\Quorum Business Solutions\Ecopetrol Prometeo - Documents\Planning Space Implementation\3. Analysis &amp; Design\Design\FC22\DRR Jaime\QUIFA-CAJÚA\Cajua\[VAS_CAJUA_CF_SEC_20230125.xlsx]CF PRB'!$BY$38</v>
      </c>
      <c r="J3994" s="1" t="s">
        <v>1907</v>
      </c>
    </row>
    <row r="3995" spans="1:10" x14ac:dyDescent="0.25">
      <c r="A3995" s="6" t="s">
        <v>4</v>
      </c>
      <c r="B3995" s="6">
        <f t="shared" si="925"/>
        <v>2026</v>
      </c>
      <c r="C3995" s="1" t="s">
        <v>109</v>
      </c>
      <c r="D3995" s="2" t="s">
        <v>128</v>
      </c>
      <c r="E3995" s="9" t="str">
        <f t="shared" si="921"/>
        <v>PRB'!</v>
      </c>
      <c r="F3995" s="5" t="str">
        <f t="shared" si="922"/>
        <v>C:\Users\jaime.benazar\Quorum Business Solutions\Ecopetrol Prometeo - Documents\Planning Space Implementation\3. Analysis &amp; Design\Design\FC22\DRR Jaime\QUIFA-CAJÚA\Cajua\[VAS_CAJUA_CF_SEC_20230125.xlsx]CF PRB'!</v>
      </c>
      <c r="G3995" s="6" t="s">
        <v>60</v>
      </c>
      <c r="H3995" s="1">
        <f t="shared" si="924"/>
        <v>39</v>
      </c>
      <c r="I3995" s="1" t="str">
        <f t="shared" si="923"/>
        <v>='C:\Users\jaime.benazar\Quorum Business Solutions\Ecopetrol Prometeo - Documents\Planning Space Implementation\3. Analysis &amp; Design\Design\FC22\DRR Jaime\QUIFA-CAJÚA\Cajua\[VAS_CAJUA_CF_SEC_20230125.xlsx]CF PRB'!$BY$39</v>
      </c>
      <c r="J3995" s="1" t="s">
        <v>1908</v>
      </c>
    </row>
    <row r="3996" spans="1:10" x14ac:dyDescent="0.25">
      <c r="A3996" s="6" t="s">
        <v>4</v>
      </c>
      <c r="B3996" s="6">
        <f t="shared" si="925"/>
        <v>2027</v>
      </c>
      <c r="C3996" s="1" t="s">
        <v>109</v>
      </c>
      <c r="D3996" s="2" t="s">
        <v>128</v>
      </c>
      <c r="E3996" s="9" t="str">
        <f t="shared" si="921"/>
        <v>PRB'!</v>
      </c>
      <c r="F3996" s="5" t="str">
        <f t="shared" si="922"/>
        <v>C:\Users\jaime.benazar\Quorum Business Solutions\Ecopetrol Prometeo - Documents\Planning Space Implementation\3. Analysis &amp; Design\Design\FC22\DRR Jaime\QUIFA-CAJÚA\Cajua\[VAS_CAJUA_CF_SEC_20230125.xlsx]CF PRB'!</v>
      </c>
      <c r="G3996" s="6" t="s">
        <v>60</v>
      </c>
      <c r="H3996" s="1">
        <f t="shared" si="924"/>
        <v>40</v>
      </c>
      <c r="I3996" s="1" t="str">
        <f t="shared" si="923"/>
        <v>='C:\Users\jaime.benazar\Quorum Business Solutions\Ecopetrol Prometeo - Documents\Planning Space Implementation\3. Analysis &amp; Design\Design\FC22\DRR Jaime\QUIFA-CAJÚA\Cajua\[VAS_CAJUA_CF_SEC_20230125.xlsx]CF PRB'!$BY$40</v>
      </c>
      <c r="J3996" s="1" t="s">
        <v>1909</v>
      </c>
    </row>
    <row r="3997" spans="1:10" x14ac:dyDescent="0.25">
      <c r="A3997" s="6" t="s">
        <v>4</v>
      </c>
      <c r="B3997" s="6">
        <f t="shared" si="925"/>
        <v>2028</v>
      </c>
      <c r="C3997" s="1" t="s">
        <v>109</v>
      </c>
      <c r="D3997" s="2" t="s">
        <v>128</v>
      </c>
      <c r="E3997" s="9" t="str">
        <f t="shared" si="921"/>
        <v>PRB'!</v>
      </c>
      <c r="F3997" s="5" t="str">
        <f t="shared" si="922"/>
        <v>C:\Users\jaime.benazar\Quorum Business Solutions\Ecopetrol Prometeo - Documents\Planning Space Implementation\3. Analysis &amp; Design\Design\FC22\DRR Jaime\QUIFA-CAJÚA\Cajua\[VAS_CAJUA_CF_SEC_20230125.xlsx]CF PRB'!</v>
      </c>
      <c r="G3997" s="6" t="s">
        <v>60</v>
      </c>
      <c r="H3997" s="1">
        <f t="shared" si="924"/>
        <v>41</v>
      </c>
      <c r="I3997" s="1" t="str">
        <f t="shared" si="923"/>
        <v>='C:\Users\jaime.benazar\Quorum Business Solutions\Ecopetrol Prometeo - Documents\Planning Space Implementation\3. Analysis &amp; Design\Design\FC22\DRR Jaime\QUIFA-CAJÚA\Cajua\[VAS_CAJUA_CF_SEC_20230125.xlsx]CF PRB'!$BY$41</v>
      </c>
      <c r="J3997" s="1" t="s">
        <v>1910</v>
      </c>
    </row>
    <row r="3998" spans="1:10" x14ac:dyDescent="0.25">
      <c r="A3998" s="6" t="s">
        <v>4</v>
      </c>
      <c r="B3998" s="6">
        <f t="shared" si="925"/>
        <v>2029</v>
      </c>
      <c r="C3998" s="1" t="s">
        <v>109</v>
      </c>
      <c r="D3998" s="2" t="s">
        <v>128</v>
      </c>
      <c r="E3998" s="9" t="str">
        <f t="shared" si="921"/>
        <v>PRB'!</v>
      </c>
      <c r="F3998" s="5" t="str">
        <f t="shared" si="922"/>
        <v>C:\Users\jaime.benazar\Quorum Business Solutions\Ecopetrol Prometeo - Documents\Planning Space Implementation\3. Analysis &amp; Design\Design\FC22\DRR Jaime\QUIFA-CAJÚA\Cajua\[VAS_CAJUA_CF_SEC_20230125.xlsx]CF PRB'!</v>
      </c>
      <c r="G3998" s="6" t="s">
        <v>60</v>
      </c>
      <c r="H3998" s="1">
        <f t="shared" si="924"/>
        <v>42</v>
      </c>
      <c r="I3998" s="1" t="str">
        <f t="shared" si="923"/>
        <v>='C:\Users\jaime.benazar\Quorum Business Solutions\Ecopetrol Prometeo - Documents\Planning Space Implementation\3. Analysis &amp; Design\Design\FC22\DRR Jaime\QUIFA-CAJÚA\Cajua\[VAS_CAJUA_CF_SEC_20230125.xlsx]CF PRB'!$BY$42</v>
      </c>
      <c r="J3998" s="1" t="s">
        <v>1911</v>
      </c>
    </row>
    <row r="3999" spans="1:10" x14ac:dyDescent="0.25">
      <c r="A3999" s="6" t="s">
        <v>4</v>
      </c>
      <c r="B3999" s="6">
        <f t="shared" si="925"/>
        <v>2030</v>
      </c>
      <c r="C3999" s="1" t="s">
        <v>109</v>
      </c>
      <c r="D3999" s="2" t="s">
        <v>128</v>
      </c>
      <c r="E3999" s="9" t="str">
        <f t="shared" si="921"/>
        <v>PRB'!</v>
      </c>
      <c r="F3999" s="5" t="str">
        <f t="shared" si="922"/>
        <v>C:\Users\jaime.benazar\Quorum Business Solutions\Ecopetrol Prometeo - Documents\Planning Space Implementation\3. Analysis &amp; Design\Design\FC22\DRR Jaime\QUIFA-CAJÚA\Cajua\[VAS_CAJUA_CF_SEC_20230125.xlsx]CF PRB'!</v>
      </c>
      <c r="G3999" s="6" t="s">
        <v>60</v>
      </c>
      <c r="H3999" s="1">
        <f t="shared" si="924"/>
        <v>43</v>
      </c>
      <c r="I3999" s="1" t="str">
        <f t="shared" si="923"/>
        <v>='C:\Users\jaime.benazar\Quorum Business Solutions\Ecopetrol Prometeo - Documents\Planning Space Implementation\3. Analysis &amp; Design\Design\FC22\DRR Jaime\QUIFA-CAJÚA\Cajua\[VAS_CAJUA_CF_SEC_20230125.xlsx]CF PRB'!$BY$43</v>
      </c>
      <c r="J3999" s="1" t="s">
        <v>1912</v>
      </c>
    </row>
    <row r="4000" spans="1:10" x14ac:dyDescent="0.25">
      <c r="A4000" s="6" t="s">
        <v>4</v>
      </c>
      <c r="B4000" s="6">
        <f t="shared" si="925"/>
        <v>2031</v>
      </c>
      <c r="C4000" s="1" t="s">
        <v>109</v>
      </c>
      <c r="D4000" s="2" t="s">
        <v>128</v>
      </c>
      <c r="E4000" s="9" t="str">
        <f t="shared" si="921"/>
        <v>PRB'!</v>
      </c>
      <c r="F4000" s="5" t="str">
        <f t="shared" si="922"/>
        <v>C:\Users\jaime.benazar\Quorum Business Solutions\Ecopetrol Prometeo - Documents\Planning Space Implementation\3. Analysis &amp; Design\Design\FC22\DRR Jaime\QUIFA-CAJÚA\Cajua\[VAS_CAJUA_CF_SEC_20230125.xlsx]CF PRB'!</v>
      </c>
      <c r="G4000" s="6" t="s">
        <v>60</v>
      </c>
      <c r="H4000" s="1">
        <f t="shared" si="924"/>
        <v>44</v>
      </c>
      <c r="I4000" s="1" t="str">
        <f t="shared" si="923"/>
        <v>='C:\Users\jaime.benazar\Quorum Business Solutions\Ecopetrol Prometeo - Documents\Planning Space Implementation\3. Analysis &amp; Design\Design\FC22\DRR Jaime\QUIFA-CAJÚA\Cajua\[VAS_CAJUA_CF_SEC_20230125.xlsx]CF PRB'!$BY$44</v>
      </c>
      <c r="J4000" s="1" t="s">
        <v>1913</v>
      </c>
    </row>
    <row r="4001" spans="1:10" x14ac:dyDescent="0.25">
      <c r="A4001" s="6" t="s">
        <v>4</v>
      </c>
      <c r="B4001" s="6">
        <f t="shared" si="925"/>
        <v>2032</v>
      </c>
      <c r="C4001" s="1" t="s">
        <v>109</v>
      </c>
      <c r="D4001" s="2" t="s">
        <v>128</v>
      </c>
      <c r="E4001" s="9" t="str">
        <f t="shared" si="921"/>
        <v>PRB'!</v>
      </c>
      <c r="F4001" s="5" t="str">
        <f t="shared" si="922"/>
        <v>C:\Users\jaime.benazar\Quorum Business Solutions\Ecopetrol Prometeo - Documents\Planning Space Implementation\3. Analysis &amp; Design\Design\FC22\DRR Jaime\QUIFA-CAJÚA\Cajua\[VAS_CAJUA_CF_SEC_20230125.xlsx]CF PRB'!</v>
      </c>
      <c r="G4001" s="6" t="s">
        <v>60</v>
      </c>
      <c r="H4001" s="1">
        <f t="shared" si="924"/>
        <v>45</v>
      </c>
      <c r="I4001" s="1" t="str">
        <f t="shared" si="923"/>
        <v>='C:\Users\jaime.benazar\Quorum Business Solutions\Ecopetrol Prometeo - Documents\Planning Space Implementation\3. Analysis &amp; Design\Design\FC22\DRR Jaime\QUIFA-CAJÚA\Cajua\[VAS_CAJUA_CF_SEC_20230125.xlsx]CF PRB'!$BY$45</v>
      </c>
      <c r="J4001" s="1" t="s">
        <v>1914</v>
      </c>
    </row>
    <row r="4002" spans="1:10" x14ac:dyDescent="0.25">
      <c r="A4002" s="6" t="s">
        <v>4</v>
      </c>
      <c r="B4002" s="6">
        <f t="shared" si="925"/>
        <v>2033</v>
      </c>
      <c r="C4002" s="1" t="s">
        <v>109</v>
      </c>
      <c r="D4002" s="2" t="s">
        <v>128</v>
      </c>
      <c r="E4002" s="9" t="str">
        <f t="shared" si="921"/>
        <v>PRB'!</v>
      </c>
      <c r="F4002" s="5" t="str">
        <f t="shared" si="922"/>
        <v>C:\Users\jaime.benazar\Quorum Business Solutions\Ecopetrol Prometeo - Documents\Planning Space Implementation\3. Analysis &amp; Design\Design\FC22\DRR Jaime\QUIFA-CAJÚA\Cajua\[VAS_CAJUA_CF_SEC_20230125.xlsx]CF PRB'!</v>
      </c>
      <c r="G4002" s="6" t="s">
        <v>60</v>
      </c>
      <c r="H4002" s="1">
        <f t="shared" si="924"/>
        <v>46</v>
      </c>
      <c r="I4002" s="1" t="str">
        <f t="shared" si="923"/>
        <v>='C:\Users\jaime.benazar\Quorum Business Solutions\Ecopetrol Prometeo - Documents\Planning Space Implementation\3. Analysis &amp; Design\Design\FC22\DRR Jaime\QUIFA-CAJÚA\Cajua\[VAS_CAJUA_CF_SEC_20230125.xlsx]CF PRB'!$BY$46</v>
      </c>
      <c r="J4002" s="1" t="s">
        <v>1915</v>
      </c>
    </row>
    <row r="4003" spans="1:10" x14ac:dyDescent="0.25">
      <c r="A4003" s="6" t="s">
        <v>4</v>
      </c>
      <c r="B4003" s="6">
        <f t="shared" si="925"/>
        <v>2034</v>
      </c>
      <c r="C4003" s="1" t="s">
        <v>109</v>
      </c>
      <c r="D4003" s="2" t="s">
        <v>128</v>
      </c>
      <c r="E4003" s="9" t="str">
        <f t="shared" si="921"/>
        <v>PRB'!</v>
      </c>
      <c r="F4003" s="5" t="str">
        <f t="shared" si="922"/>
        <v>C:\Users\jaime.benazar\Quorum Business Solutions\Ecopetrol Prometeo - Documents\Planning Space Implementation\3. Analysis &amp; Design\Design\FC22\DRR Jaime\QUIFA-CAJÚA\Cajua\[VAS_CAJUA_CF_SEC_20230125.xlsx]CF PRB'!</v>
      </c>
      <c r="G4003" s="6" t="s">
        <v>60</v>
      </c>
      <c r="H4003" s="1">
        <f t="shared" si="924"/>
        <v>47</v>
      </c>
      <c r="I4003" s="1" t="str">
        <f t="shared" si="923"/>
        <v>='C:\Users\jaime.benazar\Quorum Business Solutions\Ecopetrol Prometeo - Documents\Planning Space Implementation\3. Analysis &amp; Design\Design\FC22\DRR Jaime\QUIFA-CAJÚA\Cajua\[VAS_CAJUA_CF_SEC_20230125.xlsx]CF PRB'!$BY$47</v>
      </c>
      <c r="J4003" s="1" t="s">
        <v>1916</v>
      </c>
    </row>
    <row r="4004" spans="1:10" x14ac:dyDescent="0.25">
      <c r="A4004" s="6" t="s">
        <v>4</v>
      </c>
      <c r="B4004" s="6">
        <f t="shared" si="925"/>
        <v>2035</v>
      </c>
      <c r="C4004" s="1" t="s">
        <v>109</v>
      </c>
      <c r="D4004" s="2" t="s">
        <v>128</v>
      </c>
      <c r="E4004" s="9" t="str">
        <f t="shared" si="921"/>
        <v>PRB'!</v>
      </c>
      <c r="F4004" s="5" t="str">
        <f t="shared" si="922"/>
        <v>C:\Users\jaime.benazar\Quorum Business Solutions\Ecopetrol Prometeo - Documents\Planning Space Implementation\3. Analysis &amp; Design\Design\FC22\DRR Jaime\QUIFA-CAJÚA\Cajua\[VAS_CAJUA_CF_SEC_20230125.xlsx]CF PRB'!</v>
      </c>
      <c r="G4004" s="6" t="s">
        <v>60</v>
      </c>
      <c r="H4004" s="1">
        <f t="shared" si="924"/>
        <v>48</v>
      </c>
      <c r="I4004" s="1" t="str">
        <f t="shared" si="923"/>
        <v>='C:\Users\jaime.benazar\Quorum Business Solutions\Ecopetrol Prometeo - Documents\Planning Space Implementation\3. Analysis &amp; Design\Design\FC22\DRR Jaime\QUIFA-CAJÚA\Cajua\[VAS_CAJUA_CF_SEC_20230125.xlsx]CF PRB'!$BY$48</v>
      </c>
      <c r="J4004" s="1" t="s">
        <v>1917</v>
      </c>
    </row>
    <row r="4005" spans="1:10" x14ac:dyDescent="0.25">
      <c r="A4005" s="6" t="s">
        <v>4</v>
      </c>
      <c r="B4005" s="6">
        <f t="shared" si="925"/>
        <v>2036</v>
      </c>
      <c r="C4005" s="1" t="s">
        <v>109</v>
      </c>
      <c r="D4005" s="2" t="s">
        <v>128</v>
      </c>
      <c r="E4005" s="9" t="str">
        <f t="shared" si="921"/>
        <v>PRB'!</v>
      </c>
      <c r="F4005" s="5" t="str">
        <f t="shared" si="922"/>
        <v>C:\Users\jaime.benazar\Quorum Business Solutions\Ecopetrol Prometeo - Documents\Planning Space Implementation\3. Analysis &amp; Design\Design\FC22\DRR Jaime\QUIFA-CAJÚA\Cajua\[VAS_CAJUA_CF_SEC_20230125.xlsx]CF PRB'!</v>
      </c>
      <c r="G4005" s="6" t="s">
        <v>60</v>
      </c>
      <c r="H4005" s="1">
        <f t="shared" si="924"/>
        <v>49</v>
      </c>
      <c r="I4005" s="1" t="str">
        <f t="shared" si="923"/>
        <v>='C:\Users\jaime.benazar\Quorum Business Solutions\Ecopetrol Prometeo - Documents\Planning Space Implementation\3. Analysis &amp; Design\Design\FC22\DRR Jaime\QUIFA-CAJÚA\Cajua\[VAS_CAJUA_CF_SEC_20230125.xlsx]CF PRB'!$BY$49</v>
      </c>
      <c r="J4005" s="1" t="s">
        <v>1918</v>
      </c>
    </row>
    <row r="4006" spans="1:10" x14ac:dyDescent="0.25">
      <c r="A4006" s="6" t="s">
        <v>4</v>
      </c>
      <c r="B4006" s="6">
        <f>+B4005+1</f>
        <v>2037</v>
      </c>
      <c r="C4006" s="1" t="s">
        <v>109</v>
      </c>
      <c r="D4006" s="2" t="s">
        <v>128</v>
      </c>
      <c r="E4006" s="9" t="str">
        <f t="shared" si="921"/>
        <v>PRB'!</v>
      </c>
      <c r="F4006" s="5" t="str">
        <f t="shared" si="922"/>
        <v>C:\Users\jaime.benazar\Quorum Business Solutions\Ecopetrol Prometeo - Documents\Planning Space Implementation\3. Analysis &amp; Design\Design\FC22\DRR Jaime\QUIFA-CAJÚA\Cajua\[VAS_CAJUA_CF_SEC_20230125.xlsx]CF PRB'!</v>
      </c>
      <c r="G4006" s="6" t="s">
        <v>60</v>
      </c>
      <c r="H4006" s="1">
        <f t="shared" si="924"/>
        <v>50</v>
      </c>
      <c r="I4006" s="1" t="str">
        <f t="shared" si="923"/>
        <v>='C:\Users\jaime.benazar\Quorum Business Solutions\Ecopetrol Prometeo - Documents\Planning Space Implementation\3. Analysis &amp; Design\Design\FC22\DRR Jaime\QUIFA-CAJÚA\Cajua\[VAS_CAJUA_CF_SEC_20230125.xlsx]CF PRB'!$BY$50</v>
      </c>
      <c r="J4006" s="1" t="s">
        <v>1919</v>
      </c>
    </row>
    <row r="4007" spans="1:10" x14ac:dyDescent="0.25">
      <c r="A4007" s="6" t="s">
        <v>4</v>
      </c>
      <c r="B4007" s="6">
        <f t="shared" ref="B4007:B4009" si="926">+B4006+1</f>
        <v>2038</v>
      </c>
      <c r="C4007" s="1" t="s">
        <v>109</v>
      </c>
      <c r="D4007" s="2" t="s">
        <v>128</v>
      </c>
      <c r="E4007" s="9" t="str">
        <f t="shared" si="921"/>
        <v>PRB'!</v>
      </c>
      <c r="F4007" s="5" t="str">
        <f t="shared" si="922"/>
        <v>C:\Users\jaime.benazar\Quorum Business Solutions\Ecopetrol Prometeo - Documents\Planning Space Implementation\3. Analysis &amp; Design\Design\FC22\DRR Jaime\QUIFA-CAJÚA\Cajua\[VAS_CAJUA_CF_SEC_20230125.xlsx]CF PRB'!</v>
      </c>
      <c r="G4007" s="6" t="s">
        <v>60</v>
      </c>
      <c r="H4007" s="1">
        <f t="shared" si="924"/>
        <v>51</v>
      </c>
      <c r="I4007" s="1" t="str">
        <f t="shared" si="923"/>
        <v>='C:\Users\jaime.benazar\Quorum Business Solutions\Ecopetrol Prometeo - Documents\Planning Space Implementation\3. Analysis &amp; Design\Design\FC22\DRR Jaime\QUIFA-CAJÚA\Cajua\[VAS_CAJUA_CF_SEC_20230125.xlsx]CF PRB'!$BY$51</v>
      </c>
      <c r="J4007" s="1" t="s">
        <v>1920</v>
      </c>
    </row>
    <row r="4008" spans="1:10" x14ac:dyDescent="0.25">
      <c r="A4008" s="6" t="s">
        <v>4</v>
      </c>
      <c r="B4008" s="6">
        <f t="shared" si="926"/>
        <v>2039</v>
      </c>
      <c r="C4008" s="1" t="s">
        <v>109</v>
      </c>
      <c r="D4008" s="2" t="s">
        <v>128</v>
      </c>
      <c r="E4008" s="9" t="str">
        <f t="shared" si="921"/>
        <v>PRB'!</v>
      </c>
      <c r="F4008" s="5" t="str">
        <f t="shared" si="922"/>
        <v>C:\Users\jaime.benazar\Quorum Business Solutions\Ecopetrol Prometeo - Documents\Planning Space Implementation\3. Analysis &amp; Design\Design\FC22\DRR Jaime\QUIFA-CAJÚA\Cajua\[VAS_CAJUA_CF_SEC_20230125.xlsx]CF PRB'!</v>
      </c>
      <c r="G4008" s="6" t="s">
        <v>60</v>
      </c>
      <c r="H4008" s="1">
        <f t="shared" si="924"/>
        <v>52</v>
      </c>
      <c r="I4008" s="1" t="str">
        <f t="shared" si="923"/>
        <v>='C:\Users\jaime.benazar\Quorum Business Solutions\Ecopetrol Prometeo - Documents\Planning Space Implementation\3. Analysis &amp; Design\Design\FC22\DRR Jaime\QUIFA-CAJÚA\Cajua\[VAS_CAJUA_CF_SEC_20230125.xlsx]CF PRB'!$BY$52</v>
      </c>
      <c r="J4008" s="1" t="s">
        <v>1921</v>
      </c>
    </row>
    <row r="4009" spans="1:10" x14ac:dyDescent="0.25">
      <c r="A4009" s="6" t="s">
        <v>4</v>
      </c>
      <c r="B4009" s="6">
        <f t="shared" si="926"/>
        <v>2040</v>
      </c>
      <c r="C4009" s="1" t="s">
        <v>109</v>
      </c>
      <c r="D4009" s="2" t="s">
        <v>128</v>
      </c>
      <c r="E4009" s="9" t="str">
        <f t="shared" si="921"/>
        <v>PRB'!</v>
      </c>
      <c r="F4009" s="5" t="str">
        <f t="shared" si="922"/>
        <v>C:\Users\jaime.benazar\Quorum Business Solutions\Ecopetrol Prometeo - Documents\Planning Space Implementation\3. Analysis &amp; Design\Design\FC22\DRR Jaime\QUIFA-CAJÚA\Cajua\[VAS_CAJUA_CF_SEC_20230125.xlsx]CF PRB'!</v>
      </c>
      <c r="G4009" s="6" t="s">
        <v>60</v>
      </c>
      <c r="H4009" s="1">
        <f t="shared" si="924"/>
        <v>53</v>
      </c>
      <c r="I4009" s="1" t="str">
        <f t="shared" si="923"/>
        <v>='C:\Users\jaime.benazar\Quorum Business Solutions\Ecopetrol Prometeo - Documents\Planning Space Implementation\3. Analysis &amp; Design\Design\FC22\DRR Jaime\QUIFA-CAJÚA\Cajua\[VAS_CAJUA_CF_SEC_20230125.xlsx]CF PRB'!$BY$53</v>
      </c>
      <c r="J4009" s="1" t="s">
        <v>1922</v>
      </c>
    </row>
    <row r="4010" spans="1:10" x14ac:dyDescent="0.25">
      <c r="A4010" s="6" t="s">
        <v>4</v>
      </c>
      <c r="B4010" s="6">
        <f>+B4009+1</f>
        <v>2041</v>
      </c>
      <c r="C4010" s="1" t="s">
        <v>109</v>
      </c>
      <c r="D4010" s="2" t="s">
        <v>128</v>
      </c>
      <c r="E4010" s="9" t="str">
        <f t="shared" si="921"/>
        <v>PRB'!</v>
      </c>
      <c r="F4010" s="5" t="str">
        <f t="shared" si="922"/>
        <v>C:\Users\jaime.benazar\Quorum Business Solutions\Ecopetrol Prometeo - Documents\Planning Space Implementation\3. Analysis &amp; Design\Design\FC22\DRR Jaime\QUIFA-CAJÚA\Cajua\[VAS_CAJUA_CF_SEC_20230125.xlsx]CF PRB'!</v>
      </c>
      <c r="G4010" s="6" t="s">
        <v>60</v>
      </c>
      <c r="H4010" s="1">
        <f t="shared" si="924"/>
        <v>54</v>
      </c>
      <c r="I4010" s="1" t="str">
        <f t="shared" si="923"/>
        <v>='C:\Users\jaime.benazar\Quorum Business Solutions\Ecopetrol Prometeo - Documents\Planning Space Implementation\3. Analysis &amp; Design\Design\FC22\DRR Jaime\QUIFA-CAJÚA\Cajua\[VAS_CAJUA_CF_SEC_20230125.xlsx]CF PRB'!$BY$54</v>
      </c>
      <c r="J4010" s="1" t="s">
        <v>1923</v>
      </c>
    </row>
    <row r="4011" spans="1:10" x14ac:dyDescent="0.25">
      <c r="A4011" s="6" t="s">
        <v>4</v>
      </c>
      <c r="B4011" s="6">
        <f t="shared" ref="B4011:B4012" si="927">+B4010+1</f>
        <v>2042</v>
      </c>
      <c r="C4011" s="1" t="s">
        <v>109</v>
      </c>
      <c r="D4011" s="2" t="s">
        <v>128</v>
      </c>
      <c r="E4011" s="9" t="str">
        <f t="shared" si="921"/>
        <v>PRB'!</v>
      </c>
      <c r="F4011" s="5" t="str">
        <f t="shared" si="922"/>
        <v>C:\Users\jaime.benazar\Quorum Business Solutions\Ecopetrol Prometeo - Documents\Planning Space Implementation\3. Analysis &amp; Design\Design\FC22\DRR Jaime\QUIFA-CAJÚA\Cajua\[VAS_CAJUA_CF_SEC_20230125.xlsx]CF PRB'!</v>
      </c>
      <c r="G4011" s="6" t="s">
        <v>60</v>
      </c>
      <c r="H4011" s="1">
        <f t="shared" si="924"/>
        <v>55</v>
      </c>
      <c r="I4011" s="1" t="str">
        <f t="shared" si="923"/>
        <v>='C:\Users\jaime.benazar\Quorum Business Solutions\Ecopetrol Prometeo - Documents\Planning Space Implementation\3. Analysis &amp; Design\Design\FC22\DRR Jaime\QUIFA-CAJÚA\Cajua\[VAS_CAJUA_CF_SEC_20230125.xlsx]CF PRB'!$BY$55</v>
      </c>
      <c r="J4011" s="1" t="s">
        <v>1924</v>
      </c>
    </row>
    <row r="4012" spans="1:10" x14ac:dyDescent="0.25">
      <c r="A4012" s="6" t="s">
        <v>4</v>
      </c>
      <c r="B4012" s="6">
        <f t="shared" si="927"/>
        <v>2043</v>
      </c>
      <c r="C4012" s="1" t="s">
        <v>109</v>
      </c>
      <c r="D4012" s="2" t="s">
        <v>128</v>
      </c>
      <c r="E4012" s="9" t="str">
        <f t="shared" si="921"/>
        <v>PRB'!</v>
      </c>
      <c r="F4012" s="5" t="str">
        <f t="shared" si="922"/>
        <v>C:\Users\jaime.benazar\Quorum Business Solutions\Ecopetrol Prometeo - Documents\Planning Space Implementation\3. Analysis &amp; Design\Design\FC22\DRR Jaime\QUIFA-CAJÚA\Cajua\[VAS_CAJUA_CF_SEC_20230125.xlsx]CF PRB'!</v>
      </c>
      <c r="G4012" s="6" t="s">
        <v>60</v>
      </c>
      <c r="H4012" s="1">
        <f t="shared" si="924"/>
        <v>56</v>
      </c>
      <c r="I4012" s="1" t="str">
        <f t="shared" si="923"/>
        <v>='C:\Users\jaime.benazar\Quorum Business Solutions\Ecopetrol Prometeo - Documents\Planning Space Implementation\3. Analysis &amp; Design\Design\FC22\DRR Jaime\QUIFA-CAJÚA\Cajua\[VAS_CAJUA_CF_SEC_20230125.xlsx]CF PRB'!$BY$56</v>
      </c>
      <c r="J4012" s="1" t="s">
        <v>1925</v>
      </c>
    </row>
    <row r="4013" spans="1:10" x14ac:dyDescent="0.25">
      <c r="A4013" s="6" t="s">
        <v>4</v>
      </c>
      <c r="B4013" s="6">
        <f>+B4012+1</f>
        <v>2044</v>
      </c>
      <c r="C4013" s="1" t="s">
        <v>109</v>
      </c>
      <c r="D4013" s="2" t="s">
        <v>128</v>
      </c>
      <c r="E4013" s="9" t="str">
        <f t="shared" ref="E4013:E4028" si="928">_xlfn.CONCAT(A4013,"'!")</f>
        <v>PRB'!</v>
      </c>
      <c r="F4013" s="5" t="str">
        <f t="shared" ref="F4013:F4028" si="929">_xlfn.CONCAT(D4013," ",E4013)</f>
        <v>C:\Users\jaime.benazar\Quorum Business Solutions\Ecopetrol Prometeo - Documents\Planning Space Implementation\3. Analysis &amp; Design\Design\FC22\DRR Jaime\QUIFA-CAJÚA\Cajua\[VAS_CAJUA_CF_SEC_20230125.xlsx]CF PRB'!</v>
      </c>
      <c r="G4013" s="6" t="s">
        <v>60</v>
      </c>
      <c r="H4013" s="1">
        <f t="shared" ref="H4013:H4028" si="930">IF(A4013&lt;&gt;A4012,36,H4012+1)</f>
        <v>57</v>
      </c>
      <c r="I4013" s="1" t="str">
        <f t="shared" ref="I4013:I4028" si="931">_xlfn.CONCAT("='",F4013:H4013)</f>
        <v>='C:\Users\jaime.benazar\Quorum Business Solutions\Ecopetrol Prometeo - Documents\Planning Space Implementation\3. Analysis &amp; Design\Design\FC22\DRR Jaime\QUIFA-CAJÚA\Cajua\[VAS_CAJUA_CF_SEC_20230125.xlsx]CF PRB'!$BY$57</v>
      </c>
      <c r="J4013" s="1" t="s">
        <v>1926</v>
      </c>
    </row>
    <row r="4014" spans="1:10" x14ac:dyDescent="0.25">
      <c r="A4014" s="6" t="s">
        <v>4</v>
      </c>
      <c r="B4014" s="6">
        <f t="shared" ref="B4014:B4028" si="932">+B4013+1</f>
        <v>2045</v>
      </c>
      <c r="C4014" s="1" t="s">
        <v>109</v>
      </c>
      <c r="D4014" s="2" t="s">
        <v>128</v>
      </c>
      <c r="E4014" s="9" t="str">
        <f t="shared" si="928"/>
        <v>PRB'!</v>
      </c>
      <c r="F4014" s="5" t="str">
        <f t="shared" si="929"/>
        <v>C:\Users\jaime.benazar\Quorum Business Solutions\Ecopetrol Prometeo - Documents\Planning Space Implementation\3. Analysis &amp; Design\Design\FC22\DRR Jaime\QUIFA-CAJÚA\Cajua\[VAS_CAJUA_CF_SEC_20230125.xlsx]CF PRB'!</v>
      </c>
      <c r="G4014" s="6" t="s">
        <v>60</v>
      </c>
      <c r="H4014" s="1">
        <f t="shared" si="930"/>
        <v>58</v>
      </c>
      <c r="I4014" s="1" t="str">
        <f t="shared" si="931"/>
        <v>='C:\Users\jaime.benazar\Quorum Business Solutions\Ecopetrol Prometeo - Documents\Planning Space Implementation\3. Analysis &amp; Design\Design\FC22\DRR Jaime\QUIFA-CAJÚA\Cajua\[VAS_CAJUA_CF_SEC_20230125.xlsx]CF PRB'!$BY$58</v>
      </c>
      <c r="J4014" s="1" t="s">
        <v>1927</v>
      </c>
    </row>
    <row r="4015" spans="1:10" x14ac:dyDescent="0.25">
      <c r="A4015" s="6" t="s">
        <v>4</v>
      </c>
      <c r="B4015" s="6">
        <f t="shared" si="932"/>
        <v>2046</v>
      </c>
      <c r="C4015" s="1" t="s">
        <v>109</v>
      </c>
      <c r="D4015" s="2" t="s">
        <v>128</v>
      </c>
      <c r="E4015" s="9" t="str">
        <f t="shared" si="928"/>
        <v>PRB'!</v>
      </c>
      <c r="F4015" s="5" t="str">
        <f t="shared" si="929"/>
        <v>C:\Users\jaime.benazar\Quorum Business Solutions\Ecopetrol Prometeo - Documents\Planning Space Implementation\3. Analysis &amp; Design\Design\FC22\DRR Jaime\QUIFA-CAJÚA\Cajua\[VAS_CAJUA_CF_SEC_20230125.xlsx]CF PRB'!</v>
      </c>
      <c r="G4015" s="6" t="s">
        <v>60</v>
      </c>
      <c r="H4015" s="1">
        <f t="shared" si="930"/>
        <v>59</v>
      </c>
      <c r="I4015" s="1" t="str">
        <f t="shared" si="931"/>
        <v>='C:\Users\jaime.benazar\Quorum Business Solutions\Ecopetrol Prometeo - Documents\Planning Space Implementation\3. Analysis &amp; Design\Design\FC22\DRR Jaime\QUIFA-CAJÚA\Cajua\[VAS_CAJUA_CF_SEC_20230125.xlsx]CF PRB'!$BY$59</v>
      </c>
      <c r="J4015" s="1" t="s">
        <v>1928</v>
      </c>
    </row>
    <row r="4016" spans="1:10" x14ac:dyDescent="0.25">
      <c r="A4016" s="6" t="s">
        <v>4</v>
      </c>
      <c r="B4016" s="6">
        <f t="shared" si="932"/>
        <v>2047</v>
      </c>
      <c r="C4016" s="1" t="s">
        <v>109</v>
      </c>
      <c r="D4016" s="2" t="s">
        <v>128</v>
      </c>
      <c r="E4016" s="9" t="str">
        <f t="shared" si="928"/>
        <v>PRB'!</v>
      </c>
      <c r="F4016" s="5" t="str">
        <f t="shared" si="929"/>
        <v>C:\Users\jaime.benazar\Quorum Business Solutions\Ecopetrol Prometeo - Documents\Planning Space Implementation\3. Analysis &amp; Design\Design\FC22\DRR Jaime\QUIFA-CAJÚA\Cajua\[VAS_CAJUA_CF_SEC_20230125.xlsx]CF PRB'!</v>
      </c>
      <c r="G4016" s="6" t="s">
        <v>60</v>
      </c>
      <c r="H4016" s="1">
        <f t="shared" si="930"/>
        <v>60</v>
      </c>
      <c r="I4016" s="1" t="str">
        <f t="shared" si="931"/>
        <v>='C:\Users\jaime.benazar\Quorum Business Solutions\Ecopetrol Prometeo - Documents\Planning Space Implementation\3. Analysis &amp; Design\Design\FC22\DRR Jaime\QUIFA-CAJÚA\Cajua\[VAS_CAJUA_CF_SEC_20230125.xlsx]CF PRB'!$BY$60</v>
      </c>
      <c r="J4016" s="1" t="s">
        <v>1929</v>
      </c>
    </row>
    <row r="4017" spans="1:10" x14ac:dyDescent="0.25">
      <c r="A4017" s="6" t="s">
        <v>4</v>
      </c>
      <c r="B4017" s="6">
        <f t="shared" si="932"/>
        <v>2048</v>
      </c>
      <c r="C4017" s="1" t="s">
        <v>109</v>
      </c>
      <c r="D4017" s="2" t="s">
        <v>128</v>
      </c>
      <c r="E4017" s="9" t="str">
        <f t="shared" si="928"/>
        <v>PRB'!</v>
      </c>
      <c r="F4017" s="5" t="str">
        <f t="shared" si="929"/>
        <v>C:\Users\jaime.benazar\Quorum Business Solutions\Ecopetrol Prometeo - Documents\Planning Space Implementation\3. Analysis &amp; Design\Design\FC22\DRR Jaime\QUIFA-CAJÚA\Cajua\[VAS_CAJUA_CF_SEC_20230125.xlsx]CF PRB'!</v>
      </c>
      <c r="G4017" s="6" t="s">
        <v>60</v>
      </c>
      <c r="H4017" s="1">
        <f t="shared" si="930"/>
        <v>61</v>
      </c>
      <c r="I4017" s="1" t="str">
        <f t="shared" si="931"/>
        <v>='C:\Users\jaime.benazar\Quorum Business Solutions\Ecopetrol Prometeo - Documents\Planning Space Implementation\3. Analysis &amp; Design\Design\FC22\DRR Jaime\QUIFA-CAJÚA\Cajua\[VAS_CAJUA_CF_SEC_20230125.xlsx]CF PRB'!$BY$61</v>
      </c>
      <c r="J4017" s="1" t="s">
        <v>1930</v>
      </c>
    </row>
    <row r="4018" spans="1:10" x14ac:dyDescent="0.25">
      <c r="A4018" s="6" t="s">
        <v>4</v>
      </c>
      <c r="B4018" s="6">
        <f t="shared" si="932"/>
        <v>2049</v>
      </c>
      <c r="C4018" s="1" t="s">
        <v>109</v>
      </c>
      <c r="D4018" s="2" t="s">
        <v>128</v>
      </c>
      <c r="E4018" s="9" t="str">
        <f t="shared" si="928"/>
        <v>PRB'!</v>
      </c>
      <c r="F4018" s="5" t="str">
        <f t="shared" si="929"/>
        <v>C:\Users\jaime.benazar\Quorum Business Solutions\Ecopetrol Prometeo - Documents\Planning Space Implementation\3. Analysis &amp; Design\Design\FC22\DRR Jaime\QUIFA-CAJÚA\Cajua\[VAS_CAJUA_CF_SEC_20230125.xlsx]CF PRB'!</v>
      </c>
      <c r="G4018" s="6" t="s">
        <v>60</v>
      </c>
      <c r="H4018" s="1">
        <f t="shared" si="930"/>
        <v>62</v>
      </c>
      <c r="I4018" s="1" t="str">
        <f t="shared" si="931"/>
        <v>='C:\Users\jaime.benazar\Quorum Business Solutions\Ecopetrol Prometeo - Documents\Planning Space Implementation\3. Analysis &amp; Design\Design\FC22\DRR Jaime\QUIFA-CAJÚA\Cajua\[VAS_CAJUA_CF_SEC_20230125.xlsx]CF PRB'!$BY$62</v>
      </c>
      <c r="J4018" s="1" t="s">
        <v>1931</v>
      </c>
    </row>
    <row r="4019" spans="1:10" x14ac:dyDescent="0.25">
      <c r="A4019" s="6" t="s">
        <v>4</v>
      </c>
      <c r="B4019" s="6">
        <f t="shared" si="932"/>
        <v>2050</v>
      </c>
      <c r="C4019" s="1" t="s">
        <v>109</v>
      </c>
      <c r="D4019" s="2" t="s">
        <v>128</v>
      </c>
      <c r="E4019" s="9" t="str">
        <f t="shared" si="928"/>
        <v>PRB'!</v>
      </c>
      <c r="F4019" s="5" t="str">
        <f t="shared" si="929"/>
        <v>C:\Users\jaime.benazar\Quorum Business Solutions\Ecopetrol Prometeo - Documents\Planning Space Implementation\3. Analysis &amp; Design\Design\FC22\DRR Jaime\QUIFA-CAJÚA\Cajua\[VAS_CAJUA_CF_SEC_20230125.xlsx]CF PRB'!</v>
      </c>
      <c r="G4019" s="6" t="s">
        <v>60</v>
      </c>
      <c r="H4019" s="1">
        <f t="shared" si="930"/>
        <v>63</v>
      </c>
      <c r="I4019" s="1" t="str">
        <f t="shared" si="931"/>
        <v>='C:\Users\jaime.benazar\Quorum Business Solutions\Ecopetrol Prometeo - Documents\Planning Space Implementation\3. Analysis &amp; Design\Design\FC22\DRR Jaime\QUIFA-CAJÚA\Cajua\[VAS_CAJUA_CF_SEC_20230125.xlsx]CF PRB'!$BY$63</v>
      </c>
      <c r="J4019" s="1" t="s">
        <v>1932</v>
      </c>
    </row>
    <row r="4020" spans="1:10" x14ac:dyDescent="0.25">
      <c r="A4020" s="6" t="s">
        <v>4</v>
      </c>
      <c r="B4020" s="6">
        <f t="shared" si="932"/>
        <v>2051</v>
      </c>
      <c r="C4020" s="1" t="s">
        <v>109</v>
      </c>
      <c r="D4020" s="2" t="s">
        <v>128</v>
      </c>
      <c r="E4020" s="9" t="str">
        <f t="shared" si="928"/>
        <v>PRB'!</v>
      </c>
      <c r="F4020" s="5" t="str">
        <f t="shared" si="929"/>
        <v>C:\Users\jaime.benazar\Quorum Business Solutions\Ecopetrol Prometeo - Documents\Planning Space Implementation\3. Analysis &amp; Design\Design\FC22\DRR Jaime\QUIFA-CAJÚA\Cajua\[VAS_CAJUA_CF_SEC_20230125.xlsx]CF PRB'!</v>
      </c>
      <c r="G4020" s="6" t="s">
        <v>60</v>
      </c>
      <c r="H4020" s="1">
        <f t="shared" si="930"/>
        <v>64</v>
      </c>
      <c r="I4020" s="1" t="str">
        <f t="shared" si="931"/>
        <v>='C:\Users\jaime.benazar\Quorum Business Solutions\Ecopetrol Prometeo - Documents\Planning Space Implementation\3. Analysis &amp; Design\Design\FC22\DRR Jaime\QUIFA-CAJÚA\Cajua\[VAS_CAJUA_CF_SEC_20230125.xlsx]CF PRB'!$BY$64</v>
      </c>
      <c r="J4020" s="1" t="s">
        <v>1933</v>
      </c>
    </row>
    <row r="4021" spans="1:10" x14ac:dyDescent="0.25">
      <c r="A4021" s="6" t="s">
        <v>4</v>
      </c>
      <c r="B4021" s="6">
        <f t="shared" si="932"/>
        <v>2052</v>
      </c>
      <c r="C4021" s="1" t="s">
        <v>109</v>
      </c>
      <c r="D4021" s="2" t="s">
        <v>128</v>
      </c>
      <c r="E4021" s="9" t="str">
        <f t="shared" si="928"/>
        <v>PRB'!</v>
      </c>
      <c r="F4021" s="5" t="str">
        <f t="shared" si="929"/>
        <v>C:\Users\jaime.benazar\Quorum Business Solutions\Ecopetrol Prometeo - Documents\Planning Space Implementation\3. Analysis &amp; Design\Design\FC22\DRR Jaime\QUIFA-CAJÚA\Cajua\[VAS_CAJUA_CF_SEC_20230125.xlsx]CF PRB'!</v>
      </c>
      <c r="G4021" s="6" t="s">
        <v>60</v>
      </c>
      <c r="H4021" s="1">
        <f t="shared" si="930"/>
        <v>65</v>
      </c>
      <c r="I4021" s="1" t="str">
        <f t="shared" si="931"/>
        <v>='C:\Users\jaime.benazar\Quorum Business Solutions\Ecopetrol Prometeo - Documents\Planning Space Implementation\3. Analysis &amp; Design\Design\FC22\DRR Jaime\QUIFA-CAJÚA\Cajua\[VAS_CAJUA_CF_SEC_20230125.xlsx]CF PRB'!$BY$65</v>
      </c>
      <c r="J4021" s="1" t="s">
        <v>1934</v>
      </c>
    </row>
    <row r="4022" spans="1:10" x14ac:dyDescent="0.25">
      <c r="A4022" s="6" t="s">
        <v>4</v>
      </c>
      <c r="B4022" s="6">
        <f t="shared" si="932"/>
        <v>2053</v>
      </c>
      <c r="C4022" s="1" t="s">
        <v>109</v>
      </c>
      <c r="D4022" s="2" t="s">
        <v>128</v>
      </c>
      <c r="E4022" s="9" t="str">
        <f t="shared" si="928"/>
        <v>PRB'!</v>
      </c>
      <c r="F4022" s="5" t="str">
        <f t="shared" si="929"/>
        <v>C:\Users\jaime.benazar\Quorum Business Solutions\Ecopetrol Prometeo - Documents\Planning Space Implementation\3. Analysis &amp; Design\Design\FC22\DRR Jaime\QUIFA-CAJÚA\Cajua\[VAS_CAJUA_CF_SEC_20230125.xlsx]CF PRB'!</v>
      </c>
      <c r="G4022" s="6" t="s">
        <v>60</v>
      </c>
      <c r="H4022" s="1">
        <f t="shared" si="930"/>
        <v>66</v>
      </c>
      <c r="I4022" s="1" t="str">
        <f t="shared" si="931"/>
        <v>='C:\Users\jaime.benazar\Quorum Business Solutions\Ecopetrol Prometeo - Documents\Planning Space Implementation\3. Analysis &amp; Design\Design\FC22\DRR Jaime\QUIFA-CAJÚA\Cajua\[VAS_CAJUA_CF_SEC_20230125.xlsx]CF PRB'!$BY$66</v>
      </c>
      <c r="J4022" s="1" t="s">
        <v>1935</v>
      </c>
    </row>
    <row r="4023" spans="1:10" x14ac:dyDescent="0.25">
      <c r="A4023" s="6" t="s">
        <v>4</v>
      </c>
      <c r="B4023" s="6">
        <f t="shared" si="932"/>
        <v>2054</v>
      </c>
      <c r="C4023" s="1" t="s">
        <v>109</v>
      </c>
      <c r="D4023" s="2" t="s">
        <v>128</v>
      </c>
      <c r="E4023" s="9" t="str">
        <f t="shared" si="928"/>
        <v>PRB'!</v>
      </c>
      <c r="F4023" s="5" t="str">
        <f t="shared" si="929"/>
        <v>C:\Users\jaime.benazar\Quorum Business Solutions\Ecopetrol Prometeo - Documents\Planning Space Implementation\3. Analysis &amp; Design\Design\FC22\DRR Jaime\QUIFA-CAJÚA\Cajua\[VAS_CAJUA_CF_SEC_20230125.xlsx]CF PRB'!</v>
      </c>
      <c r="G4023" s="6" t="s">
        <v>60</v>
      </c>
      <c r="H4023" s="1">
        <f t="shared" si="930"/>
        <v>67</v>
      </c>
      <c r="I4023" s="1" t="str">
        <f t="shared" si="931"/>
        <v>='C:\Users\jaime.benazar\Quorum Business Solutions\Ecopetrol Prometeo - Documents\Planning Space Implementation\3. Analysis &amp; Design\Design\FC22\DRR Jaime\QUIFA-CAJÚA\Cajua\[VAS_CAJUA_CF_SEC_20230125.xlsx]CF PRB'!$BY$67</v>
      </c>
      <c r="J4023" s="1" t="s">
        <v>1936</v>
      </c>
    </row>
    <row r="4024" spans="1:10" x14ac:dyDescent="0.25">
      <c r="A4024" s="6" t="s">
        <v>4</v>
      </c>
      <c r="B4024" s="6">
        <f t="shared" si="932"/>
        <v>2055</v>
      </c>
      <c r="C4024" s="1" t="s">
        <v>109</v>
      </c>
      <c r="D4024" s="2" t="s">
        <v>128</v>
      </c>
      <c r="E4024" s="9" t="str">
        <f t="shared" si="928"/>
        <v>PRB'!</v>
      </c>
      <c r="F4024" s="5" t="str">
        <f t="shared" si="929"/>
        <v>C:\Users\jaime.benazar\Quorum Business Solutions\Ecopetrol Prometeo - Documents\Planning Space Implementation\3. Analysis &amp; Design\Design\FC22\DRR Jaime\QUIFA-CAJÚA\Cajua\[VAS_CAJUA_CF_SEC_20230125.xlsx]CF PRB'!</v>
      </c>
      <c r="G4024" s="6" t="s">
        <v>60</v>
      </c>
      <c r="H4024" s="1">
        <f t="shared" si="930"/>
        <v>68</v>
      </c>
      <c r="I4024" s="1" t="str">
        <f t="shared" si="931"/>
        <v>='C:\Users\jaime.benazar\Quorum Business Solutions\Ecopetrol Prometeo - Documents\Planning Space Implementation\3. Analysis &amp; Design\Design\FC22\DRR Jaime\QUIFA-CAJÚA\Cajua\[VAS_CAJUA_CF_SEC_20230125.xlsx]CF PRB'!$BY$68</v>
      </c>
      <c r="J4024" s="1" t="s">
        <v>1937</v>
      </c>
    </row>
    <row r="4025" spans="1:10" x14ac:dyDescent="0.25">
      <c r="A4025" s="6" t="s">
        <v>4</v>
      </c>
      <c r="B4025" s="6">
        <f t="shared" si="932"/>
        <v>2056</v>
      </c>
      <c r="C4025" s="1" t="s">
        <v>109</v>
      </c>
      <c r="D4025" s="2" t="s">
        <v>128</v>
      </c>
      <c r="E4025" s="9" t="str">
        <f t="shared" si="928"/>
        <v>PRB'!</v>
      </c>
      <c r="F4025" s="5" t="str">
        <f t="shared" si="929"/>
        <v>C:\Users\jaime.benazar\Quorum Business Solutions\Ecopetrol Prometeo - Documents\Planning Space Implementation\3. Analysis &amp; Design\Design\FC22\DRR Jaime\QUIFA-CAJÚA\Cajua\[VAS_CAJUA_CF_SEC_20230125.xlsx]CF PRB'!</v>
      </c>
      <c r="G4025" s="6" t="s">
        <v>60</v>
      </c>
      <c r="H4025" s="1">
        <f t="shared" si="930"/>
        <v>69</v>
      </c>
      <c r="I4025" s="1" t="str">
        <f t="shared" si="931"/>
        <v>='C:\Users\jaime.benazar\Quorum Business Solutions\Ecopetrol Prometeo - Documents\Planning Space Implementation\3. Analysis &amp; Design\Design\FC22\DRR Jaime\QUIFA-CAJÚA\Cajua\[VAS_CAJUA_CF_SEC_20230125.xlsx]CF PRB'!$BY$69</v>
      </c>
      <c r="J4025" s="1" t="s">
        <v>1938</v>
      </c>
    </row>
    <row r="4026" spans="1:10" x14ac:dyDescent="0.25">
      <c r="A4026" s="6" t="s">
        <v>4</v>
      </c>
      <c r="B4026" s="6">
        <f t="shared" si="932"/>
        <v>2057</v>
      </c>
      <c r="C4026" s="1" t="s">
        <v>109</v>
      </c>
      <c r="D4026" s="2" t="s">
        <v>128</v>
      </c>
      <c r="E4026" s="9" t="str">
        <f t="shared" si="928"/>
        <v>PRB'!</v>
      </c>
      <c r="F4026" s="5" t="str">
        <f t="shared" si="929"/>
        <v>C:\Users\jaime.benazar\Quorum Business Solutions\Ecopetrol Prometeo - Documents\Planning Space Implementation\3. Analysis &amp; Design\Design\FC22\DRR Jaime\QUIFA-CAJÚA\Cajua\[VAS_CAJUA_CF_SEC_20230125.xlsx]CF PRB'!</v>
      </c>
      <c r="G4026" s="6" t="s">
        <v>60</v>
      </c>
      <c r="H4026" s="1">
        <f t="shared" si="930"/>
        <v>70</v>
      </c>
      <c r="I4026" s="1" t="str">
        <f t="shared" si="931"/>
        <v>='C:\Users\jaime.benazar\Quorum Business Solutions\Ecopetrol Prometeo - Documents\Planning Space Implementation\3. Analysis &amp; Design\Design\FC22\DRR Jaime\QUIFA-CAJÚA\Cajua\[VAS_CAJUA_CF_SEC_20230125.xlsx]CF PRB'!$BY$70</v>
      </c>
      <c r="J4026" s="1" t="s">
        <v>1939</v>
      </c>
    </row>
    <row r="4027" spans="1:10" x14ac:dyDescent="0.25">
      <c r="A4027" s="6" t="s">
        <v>4</v>
      </c>
      <c r="B4027" s="6">
        <f t="shared" si="932"/>
        <v>2058</v>
      </c>
      <c r="C4027" s="1" t="s">
        <v>109</v>
      </c>
      <c r="D4027" s="2" t="s">
        <v>128</v>
      </c>
      <c r="E4027" s="9" t="str">
        <f t="shared" si="928"/>
        <v>PRB'!</v>
      </c>
      <c r="F4027" s="5" t="str">
        <f t="shared" si="929"/>
        <v>C:\Users\jaime.benazar\Quorum Business Solutions\Ecopetrol Prometeo - Documents\Planning Space Implementation\3. Analysis &amp; Design\Design\FC22\DRR Jaime\QUIFA-CAJÚA\Cajua\[VAS_CAJUA_CF_SEC_20230125.xlsx]CF PRB'!</v>
      </c>
      <c r="G4027" s="6" t="s">
        <v>60</v>
      </c>
      <c r="H4027" s="1">
        <f t="shared" si="930"/>
        <v>71</v>
      </c>
      <c r="I4027" s="1" t="str">
        <f t="shared" si="931"/>
        <v>='C:\Users\jaime.benazar\Quorum Business Solutions\Ecopetrol Prometeo - Documents\Planning Space Implementation\3. Analysis &amp; Design\Design\FC22\DRR Jaime\QUIFA-CAJÚA\Cajua\[VAS_CAJUA_CF_SEC_20230125.xlsx]CF PRB'!$BY$71</v>
      </c>
      <c r="J4027" s="1" t="s">
        <v>1940</v>
      </c>
    </row>
    <row r="4028" spans="1:10" x14ac:dyDescent="0.25">
      <c r="A4028" s="6" t="s">
        <v>4</v>
      </c>
      <c r="B4028" s="6">
        <f t="shared" si="932"/>
        <v>2059</v>
      </c>
      <c r="C4028" s="1" t="s">
        <v>109</v>
      </c>
      <c r="D4028" s="2" t="s">
        <v>128</v>
      </c>
      <c r="E4028" s="9" t="str">
        <f t="shared" si="928"/>
        <v>PRB'!</v>
      </c>
      <c r="F4028" s="5" t="str">
        <f t="shared" si="929"/>
        <v>C:\Users\jaime.benazar\Quorum Business Solutions\Ecopetrol Prometeo - Documents\Planning Space Implementation\3. Analysis &amp; Design\Design\FC22\DRR Jaime\QUIFA-CAJÚA\Cajua\[VAS_CAJUA_CF_SEC_20230125.xlsx]CF PRB'!</v>
      </c>
      <c r="G4028" s="6" t="s">
        <v>60</v>
      </c>
      <c r="H4028" s="1">
        <f t="shared" si="930"/>
        <v>72</v>
      </c>
      <c r="I4028" s="1" t="str">
        <f t="shared" si="931"/>
        <v>='C:\Users\jaime.benazar\Quorum Business Solutions\Ecopetrol Prometeo - Documents\Planning Space Implementation\3. Analysis &amp; Design\Design\FC22\DRR Jaime\QUIFA-CAJÚA\Cajua\[VAS_CAJUA_CF_SEC_20230125.xlsx]CF PRB'!$BY$72</v>
      </c>
      <c r="J4028" s="1" t="s">
        <v>1941</v>
      </c>
    </row>
    <row r="4029" spans="1:10" x14ac:dyDescent="0.25">
      <c r="A4029" s="6" t="s">
        <v>28</v>
      </c>
      <c r="B4029" s="6"/>
      <c r="C4029" s="1" t="s">
        <v>109</v>
      </c>
      <c r="D4029" s="2"/>
      <c r="E4029" s="9"/>
      <c r="F4029" s="5"/>
      <c r="G4029" s="6"/>
      <c r="H4029" s="1"/>
      <c r="I4029" s="1"/>
      <c r="J4029" s="4"/>
    </row>
    <row r="4030" spans="1:10" x14ac:dyDescent="0.25">
      <c r="A4030" s="6" t="s">
        <v>102</v>
      </c>
      <c r="B4030" s="6">
        <v>2023</v>
      </c>
      <c r="C4030" s="1" t="s">
        <v>109</v>
      </c>
      <c r="D4030" s="2" t="s">
        <v>128</v>
      </c>
      <c r="E4030" s="9" t="str">
        <f t="shared" ref="E4030:E4050" si="933">_xlfn.CONCAT(A4030,"'!")</f>
        <v>PSDP'!</v>
      </c>
      <c r="F4030" s="5" t="str">
        <f t="shared" ref="F4030:F4050" si="934">_xlfn.CONCAT(D4030," ",E4030)</f>
        <v>C:\Users\jaime.benazar\Quorum Business Solutions\Ecopetrol Prometeo - Documents\Planning Space Implementation\3. Analysis &amp; Design\Design\FC22\DRR Jaime\QUIFA-CAJÚA\Cajua\[VAS_CAJUA_CF_SEC_20230125.xlsx]CF PSDP'!</v>
      </c>
      <c r="G4030" s="6" t="s">
        <v>60</v>
      </c>
      <c r="H4030" s="1"/>
      <c r="I4030" s="1"/>
      <c r="J4030" s="1"/>
    </row>
    <row r="4031" spans="1:10" x14ac:dyDescent="0.25">
      <c r="A4031" s="6" t="s">
        <v>102</v>
      </c>
      <c r="B4031" s="6">
        <f>+B4030+1</f>
        <v>2024</v>
      </c>
      <c r="C4031" s="1" t="s">
        <v>109</v>
      </c>
      <c r="D4031" s="2" t="s">
        <v>128</v>
      </c>
      <c r="E4031" s="9" t="str">
        <f t="shared" si="933"/>
        <v>PSDP'!</v>
      </c>
      <c r="F4031" s="5" t="str">
        <f t="shared" si="934"/>
        <v>C:\Users\jaime.benazar\Quorum Business Solutions\Ecopetrol Prometeo - Documents\Planning Space Implementation\3. Analysis &amp; Design\Design\FC22\DRR Jaime\QUIFA-CAJÚA\Cajua\[VAS_CAJUA_CF_SEC_20230125.xlsx]CF PSDP'!</v>
      </c>
      <c r="G4031" s="6" t="s">
        <v>60</v>
      </c>
      <c r="H4031" s="1"/>
      <c r="I4031" s="1"/>
      <c r="J4031" s="1"/>
    </row>
    <row r="4032" spans="1:10" x14ac:dyDescent="0.25">
      <c r="A4032" s="6" t="s">
        <v>102</v>
      </c>
      <c r="B4032" s="6">
        <f t="shared" ref="B4032:B4043" si="935">+B4031+1</f>
        <v>2025</v>
      </c>
      <c r="C4032" s="1" t="s">
        <v>109</v>
      </c>
      <c r="D4032" s="2" t="s">
        <v>128</v>
      </c>
      <c r="E4032" s="9" t="str">
        <f t="shared" si="933"/>
        <v>PSDP'!</v>
      </c>
      <c r="F4032" s="5" t="str">
        <f t="shared" si="934"/>
        <v>C:\Users\jaime.benazar\Quorum Business Solutions\Ecopetrol Prometeo - Documents\Planning Space Implementation\3. Analysis &amp; Design\Design\FC22\DRR Jaime\QUIFA-CAJÚA\Cajua\[VAS_CAJUA_CF_SEC_20230125.xlsx]CF PSDP'!</v>
      </c>
      <c r="G4032" s="6" t="s">
        <v>60</v>
      </c>
      <c r="H4032" s="1"/>
      <c r="I4032" s="1"/>
      <c r="J4032" s="1"/>
    </row>
    <row r="4033" spans="1:10" x14ac:dyDescent="0.25">
      <c r="A4033" s="6" t="s">
        <v>102</v>
      </c>
      <c r="B4033" s="6">
        <f t="shared" si="935"/>
        <v>2026</v>
      </c>
      <c r="C4033" s="1" t="s">
        <v>109</v>
      </c>
      <c r="D4033" s="2" t="s">
        <v>128</v>
      </c>
      <c r="E4033" s="9" t="str">
        <f t="shared" si="933"/>
        <v>PSDP'!</v>
      </c>
      <c r="F4033" s="5" t="str">
        <f t="shared" si="934"/>
        <v>C:\Users\jaime.benazar\Quorum Business Solutions\Ecopetrol Prometeo - Documents\Planning Space Implementation\3. Analysis &amp; Design\Design\FC22\DRR Jaime\QUIFA-CAJÚA\Cajua\[VAS_CAJUA_CF_SEC_20230125.xlsx]CF PSDP'!</v>
      </c>
      <c r="G4033" s="6" t="s">
        <v>60</v>
      </c>
      <c r="H4033" s="1"/>
      <c r="I4033" s="1"/>
      <c r="J4033" s="1"/>
    </row>
    <row r="4034" spans="1:10" x14ac:dyDescent="0.25">
      <c r="A4034" s="6" t="s">
        <v>102</v>
      </c>
      <c r="B4034" s="6">
        <f t="shared" si="935"/>
        <v>2027</v>
      </c>
      <c r="C4034" s="1" t="s">
        <v>109</v>
      </c>
      <c r="D4034" s="2" t="s">
        <v>128</v>
      </c>
      <c r="E4034" s="9" t="str">
        <f t="shared" si="933"/>
        <v>PSDP'!</v>
      </c>
      <c r="F4034" s="5" t="str">
        <f t="shared" si="934"/>
        <v>C:\Users\jaime.benazar\Quorum Business Solutions\Ecopetrol Prometeo - Documents\Planning Space Implementation\3. Analysis &amp; Design\Design\FC22\DRR Jaime\QUIFA-CAJÚA\Cajua\[VAS_CAJUA_CF_SEC_20230125.xlsx]CF PSDP'!</v>
      </c>
      <c r="G4034" s="6" t="s">
        <v>60</v>
      </c>
      <c r="H4034" s="1"/>
      <c r="I4034" s="1"/>
      <c r="J4034" s="1"/>
    </row>
    <row r="4035" spans="1:10" x14ac:dyDescent="0.25">
      <c r="A4035" s="6" t="s">
        <v>102</v>
      </c>
      <c r="B4035" s="6">
        <f t="shared" si="935"/>
        <v>2028</v>
      </c>
      <c r="C4035" s="1" t="s">
        <v>109</v>
      </c>
      <c r="D4035" s="2" t="s">
        <v>128</v>
      </c>
      <c r="E4035" s="9" t="str">
        <f t="shared" si="933"/>
        <v>PSDP'!</v>
      </c>
      <c r="F4035" s="5" t="str">
        <f t="shared" si="934"/>
        <v>C:\Users\jaime.benazar\Quorum Business Solutions\Ecopetrol Prometeo - Documents\Planning Space Implementation\3. Analysis &amp; Design\Design\FC22\DRR Jaime\QUIFA-CAJÚA\Cajua\[VAS_CAJUA_CF_SEC_20230125.xlsx]CF PSDP'!</v>
      </c>
      <c r="G4035" s="6" t="s">
        <v>60</v>
      </c>
      <c r="H4035" s="1"/>
      <c r="I4035" s="1"/>
      <c r="J4035" s="1"/>
    </row>
    <row r="4036" spans="1:10" x14ac:dyDescent="0.25">
      <c r="A4036" s="6" t="s">
        <v>102</v>
      </c>
      <c r="B4036" s="6">
        <f t="shared" si="935"/>
        <v>2029</v>
      </c>
      <c r="C4036" s="1" t="s">
        <v>109</v>
      </c>
      <c r="D4036" s="2" t="s">
        <v>128</v>
      </c>
      <c r="E4036" s="9" t="str">
        <f t="shared" si="933"/>
        <v>PSDP'!</v>
      </c>
      <c r="F4036" s="5" t="str">
        <f t="shared" si="934"/>
        <v>C:\Users\jaime.benazar\Quorum Business Solutions\Ecopetrol Prometeo - Documents\Planning Space Implementation\3. Analysis &amp; Design\Design\FC22\DRR Jaime\QUIFA-CAJÚA\Cajua\[VAS_CAJUA_CF_SEC_20230125.xlsx]CF PSDP'!</v>
      </c>
      <c r="G4036" s="6" t="s">
        <v>60</v>
      </c>
      <c r="H4036" s="1"/>
      <c r="I4036" s="1"/>
      <c r="J4036" s="1"/>
    </row>
    <row r="4037" spans="1:10" x14ac:dyDescent="0.25">
      <c r="A4037" s="6" t="s">
        <v>102</v>
      </c>
      <c r="B4037" s="6">
        <f t="shared" si="935"/>
        <v>2030</v>
      </c>
      <c r="C4037" s="1" t="s">
        <v>109</v>
      </c>
      <c r="D4037" s="2" t="s">
        <v>128</v>
      </c>
      <c r="E4037" s="9" t="str">
        <f t="shared" si="933"/>
        <v>PSDP'!</v>
      </c>
      <c r="F4037" s="5" t="str">
        <f t="shared" si="934"/>
        <v>C:\Users\jaime.benazar\Quorum Business Solutions\Ecopetrol Prometeo - Documents\Planning Space Implementation\3. Analysis &amp; Design\Design\FC22\DRR Jaime\QUIFA-CAJÚA\Cajua\[VAS_CAJUA_CF_SEC_20230125.xlsx]CF PSDP'!</v>
      </c>
      <c r="G4037" s="6" t="s">
        <v>60</v>
      </c>
      <c r="H4037" s="1"/>
      <c r="I4037" s="1"/>
      <c r="J4037" s="1"/>
    </row>
    <row r="4038" spans="1:10" x14ac:dyDescent="0.25">
      <c r="A4038" s="6" t="s">
        <v>102</v>
      </c>
      <c r="B4038" s="6">
        <f t="shared" si="935"/>
        <v>2031</v>
      </c>
      <c r="C4038" s="1" t="s">
        <v>109</v>
      </c>
      <c r="D4038" s="2" t="s">
        <v>128</v>
      </c>
      <c r="E4038" s="9" t="str">
        <f t="shared" si="933"/>
        <v>PSDP'!</v>
      </c>
      <c r="F4038" s="5" t="str">
        <f t="shared" si="934"/>
        <v>C:\Users\jaime.benazar\Quorum Business Solutions\Ecopetrol Prometeo - Documents\Planning Space Implementation\3. Analysis &amp; Design\Design\FC22\DRR Jaime\QUIFA-CAJÚA\Cajua\[VAS_CAJUA_CF_SEC_20230125.xlsx]CF PSDP'!</v>
      </c>
      <c r="G4038" s="6" t="s">
        <v>60</v>
      </c>
      <c r="H4038" s="1"/>
      <c r="I4038" s="1"/>
      <c r="J4038" s="1"/>
    </row>
    <row r="4039" spans="1:10" x14ac:dyDescent="0.25">
      <c r="A4039" s="6" t="s">
        <v>102</v>
      </c>
      <c r="B4039" s="6">
        <f t="shared" si="935"/>
        <v>2032</v>
      </c>
      <c r="C4039" s="1" t="s">
        <v>109</v>
      </c>
      <c r="D4039" s="2" t="s">
        <v>128</v>
      </c>
      <c r="E4039" s="9" t="str">
        <f t="shared" si="933"/>
        <v>PSDP'!</v>
      </c>
      <c r="F4039" s="5" t="str">
        <f t="shared" si="934"/>
        <v>C:\Users\jaime.benazar\Quorum Business Solutions\Ecopetrol Prometeo - Documents\Planning Space Implementation\3. Analysis &amp; Design\Design\FC22\DRR Jaime\QUIFA-CAJÚA\Cajua\[VAS_CAJUA_CF_SEC_20230125.xlsx]CF PSDP'!</v>
      </c>
      <c r="G4039" s="6" t="s">
        <v>60</v>
      </c>
      <c r="H4039" s="1"/>
      <c r="I4039" s="1"/>
      <c r="J4039" s="1"/>
    </row>
    <row r="4040" spans="1:10" x14ac:dyDescent="0.25">
      <c r="A4040" s="6" t="s">
        <v>102</v>
      </c>
      <c r="B4040" s="6">
        <f t="shared" si="935"/>
        <v>2033</v>
      </c>
      <c r="C4040" s="1" t="s">
        <v>109</v>
      </c>
      <c r="D4040" s="2" t="s">
        <v>128</v>
      </c>
      <c r="E4040" s="9" t="str">
        <f t="shared" si="933"/>
        <v>PSDP'!</v>
      </c>
      <c r="F4040" s="5" t="str">
        <f t="shared" si="934"/>
        <v>C:\Users\jaime.benazar\Quorum Business Solutions\Ecopetrol Prometeo - Documents\Planning Space Implementation\3. Analysis &amp; Design\Design\FC22\DRR Jaime\QUIFA-CAJÚA\Cajua\[VAS_CAJUA_CF_SEC_20230125.xlsx]CF PSDP'!</v>
      </c>
      <c r="G4040" s="6" t="s">
        <v>60</v>
      </c>
      <c r="H4040" s="1"/>
      <c r="I4040" s="1"/>
      <c r="J4040" s="1"/>
    </row>
    <row r="4041" spans="1:10" x14ac:dyDescent="0.25">
      <c r="A4041" s="6" t="s">
        <v>102</v>
      </c>
      <c r="B4041" s="6">
        <f t="shared" si="935"/>
        <v>2034</v>
      </c>
      <c r="C4041" s="1" t="s">
        <v>109</v>
      </c>
      <c r="D4041" s="2" t="s">
        <v>128</v>
      </c>
      <c r="E4041" s="9" t="str">
        <f t="shared" si="933"/>
        <v>PSDP'!</v>
      </c>
      <c r="F4041" s="5" t="str">
        <f t="shared" si="934"/>
        <v>C:\Users\jaime.benazar\Quorum Business Solutions\Ecopetrol Prometeo - Documents\Planning Space Implementation\3. Analysis &amp; Design\Design\FC22\DRR Jaime\QUIFA-CAJÚA\Cajua\[VAS_CAJUA_CF_SEC_20230125.xlsx]CF PSDP'!</v>
      </c>
      <c r="G4041" s="6" t="s">
        <v>60</v>
      </c>
      <c r="H4041" s="1"/>
      <c r="I4041" s="1"/>
      <c r="J4041" s="1"/>
    </row>
    <row r="4042" spans="1:10" x14ac:dyDescent="0.25">
      <c r="A4042" s="6" t="s">
        <v>102</v>
      </c>
      <c r="B4042" s="6">
        <f t="shared" si="935"/>
        <v>2035</v>
      </c>
      <c r="C4042" s="1" t="s">
        <v>109</v>
      </c>
      <c r="D4042" s="2" t="s">
        <v>128</v>
      </c>
      <c r="E4042" s="9" t="str">
        <f t="shared" si="933"/>
        <v>PSDP'!</v>
      </c>
      <c r="F4042" s="5" t="str">
        <f t="shared" si="934"/>
        <v>C:\Users\jaime.benazar\Quorum Business Solutions\Ecopetrol Prometeo - Documents\Planning Space Implementation\3. Analysis &amp; Design\Design\FC22\DRR Jaime\QUIFA-CAJÚA\Cajua\[VAS_CAJUA_CF_SEC_20230125.xlsx]CF PSDP'!</v>
      </c>
      <c r="G4042" s="6" t="s">
        <v>60</v>
      </c>
      <c r="H4042" s="1"/>
      <c r="I4042" s="1"/>
      <c r="J4042" s="1"/>
    </row>
    <row r="4043" spans="1:10" x14ac:dyDescent="0.25">
      <c r="A4043" s="6" t="s">
        <v>102</v>
      </c>
      <c r="B4043" s="6">
        <f t="shared" si="935"/>
        <v>2036</v>
      </c>
      <c r="C4043" s="1" t="s">
        <v>109</v>
      </c>
      <c r="D4043" s="2" t="s">
        <v>128</v>
      </c>
      <c r="E4043" s="9" t="str">
        <f t="shared" si="933"/>
        <v>PSDP'!</v>
      </c>
      <c r="F4043" s="5" t="str">
        <f t="shared" si="934"/>
        <v>C:\Users\jaime.benazar\Quorum Business Solutions\Ecopetrol Prometeo - Documents\Planning Space Implementation\3. Analysis &amp; Design\Design\FC22\DRR Jaime\QUIFA-CAJÚA\Cajua\[VAS_CAJUA_CF_SEC_20230125.xlsx]CF PSDP'!</v>
      </c>
      <c r="G4043" s="6" t="s">
        <v>60</v>
      </c>
      <c r="H4043" s="1"/>
      <c r="I4043" s="1"/>
      <c r="J4043" s="1"/>
    </row>
    <row r="4044" spans="1:10" x14ac:dyDescent="0.25">
      <c r="A4044" s="6" t="s">
        <v>102</v>
      </c>
      <c r="B4044" s="6">
        <f>+B4043+1</f>
        <v>2037</v>
      </c>
      <c r="C4044" s="1" t="s">
        <v>109</v>
      </c>
      <c r="D4044" s="2" t="s">
        <v>128</v>
      </c>
      <c r="E4044" s="9" t="str">
        <f t="shared" si="933"/>
        <v>PSDP'!</v>
      </c>
      <c r="F4044" s="5" t="str">
        <f t="shared" si="934"/>
        <v>C:\Users\jaime.benazar\Quorum Business Solutions\Ecopetrol Prometeo - Documents\Planning Space Implementation\3. Analysis &amp; Design\Design\FC22\DRR Jaime\QUIFA-CAJÚA\Cajua\[VAS_CAJUA_CF_SEC_20230125.xlsx]CF PSDP'!</v>
      </c>
      <c r="G4044" s="6" t="s">
        <v>60</v>
      </c>
      <c r="H4044" s="1"/>
      <c r="I4044" s="1"/>
      <c r="J4044" s="1"/>
    </row>
    <row r="4045" spans="1:10" x14ac:dyDescent="0.25">
      <c r="A4045" s="6" t="s">
        <v>102</v>
      </c>
      <c r="B4045" s="6">
        <f t="shared" ref="B4045:B4047" si="936">+B4044+1</f>
        <v>2038</v>
      </c>
      <c r="C4045" s="1" t="s">
        <v>109</v>
      </c>
      <c r="D4045" s="2" t="s">
        <v>128</v>
      </c>
      <c r="E4045" s="9" t="str">
        <f t="shared" si="933"/>
        <v>PSDP'!</v>
      </c>
      <c r="F4045" s="5" t="str">
        <f t="shared" si="934"/>
        <v>C:\Users\jaime.benazar\Quorum Business Solutions\Ecopetrol Prometeo - Documents\Planning Space Implementation\3. Analysis &amp; Design\Design\FC22\DRR Jaime\QUIFA-CAJÚA\Cajua\[VAS_CAJUA_CF_SEC_20230125.xlsx]CF PSDP'!</v>
      </c>
      <c r="G4045" s="6" t="s">
        <v>60</v>
      </c>
      <c r="H4045" s="1"/>
      <c r="I4045" s="1"/>
      <c r="J4045" s="1"/>
    </row>
    <row r="4046" spans="1:10" x14ac:dyDescent="0.25">
      <c r="A4046" s="6" t="s">
        <v>102</v>
      </c>
      <c r="B4046" s="6">
        <f t="shared" si="936"/>
        <v>2039</v>
      </c>
      <c r="C4046" s="1" t="s">
        <v>109</v>
      </c>
      <c r="D4046" s="2" t="s">
        <v>128</v>
      </c>
      <c r="E4046" s="9" t="str">
        <f t="shared" si="933"/>
        <v>PSDP'!</v>
      </c>
      <c r="F4046" s="5" t="str">
        <f t="shared" si="934"/>
        <v>C:\Users\jaime.benazar\Quorum Business Solutions\Ecopetrol Prometeo - Documents\Planning Space Implementation\3. Analysis &amp; Design\Design\FC22\DRR Jaime\QUIFA-CAJÚA\Cajua\[VAS_CAJUA_CF_SEC_20230125.xlsx]CF PSDP'!</v>
      </c>
      <c r="G4046" s="6" t="s">
        <v>60</v>
      </c>
      <c r="H4046" s="1"/>
      <c r="I4046" s="1"/>
      <c r="J4046" s="1"/>
    </row>
    <row r="4047" spans="1:10" x14ac:dyDescent="0.25">
      <c r="A4047" s="6" t="s">
        <v>102</v>
      </c>
      <c r="B4047" s="6">
        <f t="shared" si="936"/>
        <v>2040</v>
      </c>
      <c r="C4047" s="1" t="s">
        <v>109</v>
      </c>
      <c r="D4047" s="2" t="s">
        <v>128</v>
      </c>
      <c r="E4047" s="9" t="str">
        <f t="shared" si="933"/>
        <v>PSDP'!</v>
      </c>
      <c r="F4047" s="5" t="str">
        <f t="shared" si="934"/>
        <v>C:\Users\jaime.benazar\Quorum Business Solutions\Ecopetrol Prometeo - Documents\Planning Space Implementation\3. Analysis &amp; Design\Design\FC22\DRR Jaime\QUIFA-CAJÚA\Cajua\[VAS_CAJUA_CF_SEC_20230125.xlsx]CF PSDP'!</v>
      </c>
      <c r="G4047" s="6" t="s">
        <v>60</v>
      </c>
      <c r="H4047" s="1"/>
      <c r="I4047" s="1"/>
      <c r="J4047" s="1"/>
    </row>
    <row r="4048" spans="1:10" x14ac:dyDescent="0.25">
      <c r="A4048" s="6" t="s">
        <v>102</v>
      </c>
      <c r="B4048" s="6">
        <f>+B4047+1</f>
        <v>2041</v>
      </c>
      <c r="C4048" s="1" t="s">
        <v>109</v>
      </c>
      <c r="D4048" s="2" t="s">
        <v>128</v>
      </c>
      <c r="E4048" s="9" t="str">
        <f t="shared" si="933"/>
        <v>PSDP'!</v>
      </c>
      <c r="F4048" s="5" t="str">
        <f t="shared" si="934"/>
        <v>C:\Users\jaime.benazar\Quorum Business Solutions\Ecopetrol Prometeo - Documents\Planning Space Implementation\3. Analysis &amp; Design\Design\FC22\DRR Jaime\QUIFA-CAJÚA\Cajua\[VAS_CAJUA_CF_SEC_20230125.xlsx]CF PSDP'!</v>
      </c>
      <c r="G4048" s="6" t="s">
        <v>60</v>
      </c>
      <c r="H4048" s="1"/>
      <c r="I4048" s="1"/>
      <c r="J4048" s="1"/>
    </row>
    <row r="4049" spans="1:10" x14ac:dyDescent="0.25">
      <c r="A4049" s="6" t="s">
        <v>102</v>
      </c>
      <c r="B4049" s="6">
        <f t="shared" ref="B4049:B4050" si="937">+B4048+1</f>
        <v>2042</v>
      </c>
      <c r="C4049" s="1" t="s">
        <v>109</v>
      </c>
      <c r="D4049" s="2" t="s">
        <v>128</v>
      </c>
      <c r="E4049" s="9" t="str">
        <f t="shared" si="933"/>
        <v>PSDP'!</v>
      </c>
      <c r="F4049" s="5" t="str">
        <f t="shared" si="934"/>
        <v>C:\Users\jaime.benazar\Quorum Business Solutions\Ecopetrol Prometeo - Documents\Planning Space Implementation\3. Analysis &amp; Design\Design\FC22\DRR Jaime\QUIFA-CAJÚA\Cajua\[VAS_CAJUA_CF_SEC_20230125.xlsx]CF PSDP'!</v>
      </c>
      <c r="G4049" s="6" t="s">
        <v>60</v>
      </c>
      <c r="H4049" s="1"/>
      <c r="I4049" s="1"/>
      <c r="J4049" s="1"/>
    </row>
    <row r="4050" spans="1:10" x14ac:dyDescent="0.25">
      <c r="A4050" s="6" t="s">
        <v>102</v>
      </c>
      <c r="B4050" s="6">
        <f t="shared" si="937"/>
        <v>2043</v>
      </c>
      <c r="C4050" s="1" t="s">
        <v>109</v>
      </c>
      <c r="D4050" s="2" t="s">
        <v>128</v>
      </c>
      <c r="E4050" s="9" t="str">
        <f t="shared" si="933"/>
        <v>PSDP'!</v>
      </c>
      <c r="F4050" s="5" t="str">
        <f t="shared" si="934"/>
        <v>C:\Users\jaime.benazar\Quorum Business Solutions\Ecopetrol Prometeo - Documents\Planning Space Implementation\3. Analysis &amp; Design\Design\FC22\DRR Jaime\QUIFA-CAJÚA\Cajua\[VAS_CAJUA_CF_SEC_20230125.xlsx]CF PSDP'!</v>
      </c>
      <c r="G4050" s="6" t="s">
        <v>60</v>
      </c>
      <c r="H4050" s="1"/>
      <c r="I4050" s="1"/>
      <c r="J4050" s="1"/>
    </row>
    <row r="4051" spans="1:10" x14ac:dyDescent="0.25">
      <c r="A4051" s="6" t="s">
        <v>102</v>
      </c>
      <c r="B4051" s="6">
        <f>+B4050+1</f>
        <v>2044</v>
      </c>
      <c r="C4051" s="1" t="s">
        <v>109</v>
      </c>
      <c r="D4051" s="2" t="s">
        <v>128</v>
      </c>
      <c r="E4051" s="9" t="str">
        <f t="shared" ref="E4051:E4066" si="938">_xlfn.CONCAT(A4051,"'!")</f>
        <v>PSDP'!</v>
      </c>
      <c r="F4051" s="5" t="str">
        <f t="shared" ref="F4051:F4066" si="939">_xlfn.CONCAT(D4051," ",E4051)</f>
        <v>C:\Users\jaime.benazar\Quorum Business Solutions\Ecopetrol Prometeo - Documents\Planning Space Implementation\3. Analysis &amp; Design\Design\FC22\DRR Jaime\QUIFA-CAJÚA\Cajua\[VAS_CAJUA_CF_SEC_20230125.xlsx]CF PSDP'!</v>
      </c>
      <c r="G4051" s="6" t="s">
        <v>60</v>
      </c>
      <c r="H4051" s="1"/>
      <c r="I4051" s="1"/>
      <c r="J4051" s="1"/>
    </row>
    <row r="4052" spans="1:10" x14ac:dyDescent="0.25">
      <c r="A4052" s="6" t="s">
        <v>102</v>
      </c>
      <c r="B4052" s="6">
        <f t="shared" ref="B4052:B4066" si="940">+B4051+1</f>
        <v>2045</v>
      </c>
      <c r="C4052" s="1" t="s">
        <v>109</v>
      </c>
      <c r="D4052" s="2" t="s">
        <v>128</v>
      </c>
      <c r="E4052" s="9" t="str">
        <f t="shared" si="938"/>
        <v>PSDP'!</v>
      </c>
      <c r="F4052" s="5" t="str">
        <f t="shared" si="939"/>
        <v>C:\Users\jaime.benazar\Quorum Business Solutions\Ecopetrol Prometeo - Documents\Planning Space Implementation\3. Analysis &amp; Design\Design\FC22\DRR Jaime\QUIFA-CAJÚA\Cajua\[VAS_CAJUA_CF_SEC_20230125.xlsx]CF PSDP'!</v>
      </c>
      <c r="G4052" s="6" t="s">
        <v>60</v>
      </c>
      <c r="H4052" s="1"/>
      <c r="I4052" s="1"/>
      <c r="J4052" s="1"/>
    </row>
    <row r="4053" spans="1:10" x14ac:dyDescent="0.25">
      <c r="A4053" s="6" t="s">
        <v>102</v>
      </c>
      <c r="B4053" s="6">
        <f t="shared" si="940"/>
        <v>2046</v>
      </c>
      <c r="C4053" s="1" t="s">
        <v>109</v>
      </c>
      <c r="D4053" s="2" t="s">
        <v>128</v>
      </c>
      <c r="E4053" s="9" t="str">
        <f t="shared" si="938"/>
        <v>PSDP'!</v>
      </c>
      <c r="F4053" s="5" t="str">
        <f t="shared" si="939"/>
        <v>C:\Users\jaime.benazar\Quorum Business Solutions\Ecopetrol Prometeo - Documents\Planning Space Implementation\3. Analysis &amp; Design\Design\FC22\DRR Jaime\QUIFA-CAJÚA\Cajua\[VAS_CAJUA_CF_SEC_20230125.xlsx]CF PSDP'!</v>
      </c>
      <c r="G4053" s="6" t="s">
        <v>60</v>
      </c>
      <c r="H4053" s="1"/>
      <c r="I4053" s="1"/>
      <c r="J4053" s="1"/>
    </row>
    <row r="4054" spans="1:10" x14ac:dyDescent="0.25">
      <c r="A4054" s="6" t="s">
        <v>102</v>
      </c>
      <c r="B4054" s="6">
        <f t="shared" si="940"/>
        <v>2047</v>
      </c>
      <c r="C4054" s="1" t="s">
        <v>109</v>
      </c>
      <c r="D4054" s="2" t="s">
        <v>128</v>
      </c>
      <c r="E4054" s="9" t="str">
        <f t="shared" si="938"/>
        <v>PSDP'!</v>
      </c>
      <c r="F4054" s="5" t="str">
        <f t="shared" si="939"/>
        <v>C:\Users\jaime.benazar\Quorum Business Solutions\Ecopetrol Prometeo - Documents\Planning Space Implementation\3. Analysis &amp; Design\Design\FC22\DRR Jaime\QUIFA-CAJÚA\Cajua\[VAS_CAJUA_CF_SEC_20230125.xlsx]CF PSDP'!</v>
      </c>
      <c r="G4054" s="6" t="s">
        <v>60</v>
      </c>
      <c r="H4054" s="1"/>
      <c r="I4054" s="1"/>
      <c r="J4054" s="1"/>
    </row>
    <row r="4055" spans="1:10" x14ac:dyDescent="0.25">
      <c r="A4055" s="6" t="s">
        <v>102</v>
      </c>
      <c r="B4055" s="6">
        <f t="shared" si="940"/>
        <v>2048</v>
      </c>
      <c r="C4055" s="1" t="s">
        <v>109</v>
      </c>
      <c r="D4055" s="2" t="s">
        <v>128</v>
      </c>
      <c r="E4055" s="9" t="str">
        <f t="shared" si="938"/>
        <v>PSDP'!</v>
      </c>
      <c r="F4055" s="5" t="str">
        <f t="shared" si="939"/>
        <v>C:\Users\jaime.benazar\Quorum Business Solutions\Ecopetrol Prometeo - Documents\Planning Space Implementation\3. Analysis &amp; Design\Design\FC22\DRR Jaime\QUIFA-CAJÚA\Cajua\[VAS_CAJUA_CF_SEC_20230125.xlsx]CF PSDP'!</v>
      </c>
      <c r="G4055" s="6" t="s">
        <v>60</v>
      </c>
      <c r="H4055" s="1"/>
      <c r="I4055" s="1"/>
      <c r="J4055" s="1"/>
    </row>
    <row r="4056" spans="1:10" x14ac:dyDescent="0.25">
      <c r="A4056" s="6" t="s">
        <v>102</v>
      </c>
      <c r="B4056" s="6">
        <f t="shared" si="940"/>
        <v>2049</v>
      </c>
      <c r="C4056" s="1" t="s">
        <v>109</v>
      </c>
      <c r="D4056" s="2" t="s">
        <v>128</v>
      </c>
      <c r="E4056" s="9" t="str">
        <f t="shared" si="938"/>
        <v>PSDP'!</v>
      </c>
      <c r="F4056" s="5" t="str">
        <f t="shared" si="939"/>
        <v>C:\Users\jaime.benazar\Quorum Business Solutions\Ecopetrol Prometeo - Documents\Planning Space Implementation\3. Analysis &amp; Design\Design\FC22\DRR Jaime\QUIFA-CAJÚA\Cajua\[VAS_CAJUA_CF_SEC_20230125.xlsx]CF PSDP'!</v>
      </c>
      <c r="G4056" s="6" t="s">
        <v>60</v>
      </c>
      <c r="H4056" s="1"/>
      <c r="I4056" s="1"/>
      <c r="J4056" s="1"/>
    </row>
    <row r="4057" spans="1:10" x14ac:dyDescent="0.25">
      <c r="A4057" s="6" t="s">
        <v>102</v>
      </c>
      <c r="B4057" s="6">
        <f t="shared" si="940"/>
        <v>2050</v>
      </c>
      <c r="C4057" s="1" t="s">
        <v>109</v>
      </c>
      <c r="D4057" s="2" t="s">
        <v>128</v>
      </c>
      <c r="E4057" s="9" t="str">
        <f t="shared" si="938"/>
        <v>PSDP'!</v>
      </c>
      <c r="F4057" s="5" t="str">
        <f t="shared" si="939"/>
        <v>C:\Users\jaime.benazar\Quorum Business Solutions\Ecopetrol Prometeo - Documents\Planning Space Implementation\3. Analysis &amp; Design\Design\FC22\DRR Jaime\QUIFA-CAJÚA\Cajua\[VAS_CAJUA_CF_SEC_20230125.xlsx]CF PSDP'!</v>
      </c>
      <c r="G4057" s="6" t="s">
        <v>60</v>
      </c>
      <c r="H4057" s="1"/>
      <c r="I4057" s="1"/>
      <c r="J4057" s="1"/>
    </row>
    <row r="4058" spans="1:10" x14ac:dyDescent="0.25">
      <c r="A4058" s="6" t="s">
        <v>102</v>
      </c>
      <c r="B4058" s="6">
        <f t="shared" si="940"/>
        <v>2051</v>
      </c>
      <c r="C4058" s="1" t="s">
        <v>109</v>
      </c>
      <c r="D4058" s="2" t="s">
        <v>128</v>
      </c>
      <c r="E4058" s="9" t="str">
        <f t="shared" si="938"/>
        <v>PSDP'!</v>
      </c>
      <c r="F4058" s="5" t="str">
        <f t="shared" si="939"/>
        <v>C:\Users\jaime.benazar\Quorum Business Solutions\Ecopetrol Prometeo - Documents\Planning Space Implementation\3. Analysis &amp; Design\Design\FC22\DRR Jaime\QUIFA-CAJÚA\Cajua\[VAS_CAJUA_CF_SEC_20230125.xlsx]CF PSDP'!</v>
      </c>
      <c r="G4058" s="6" t="s">
        <v>60</v>
      </c>
      <c r="H4058" s="1"/>
      <c r="I4058" s="1"/>
      <c r="J4058" s="1"/>
    </row>
    <row r="4059" spans="1:10" x14ac:dyDescent="0.25">
      <c r="A4059" s="6" t="s">
        <v>102</v>
      </c>
      <c r="B4059" s="6">
        <f t="shared" si="940"/>
        <v>2052</v>
      </c>
      <c r="C4059" s="1" t="s">
        <v>109</v>
      </c>
      <c r="D4059" s="2" t="s">
        <v>128</v>
      </c>
      <c r="E4059" s="9" t="str">
        <f t="shared" si="938"/>
        <v>PSDP'!</v>
      </c>
      <c r="F4059" s="5" t="str">
        <f t="shared" si="939"/>
        <v>C:\Users\jaime.benazar\Quorum Business Solutions\Ecopetrol Prometeo - Documents\Planning Space Implementation\3. Analysis &amp; Design\Design\FC22\DRR Jaime\QUIFA-CAJÚA\Cajua\[VAS_CAJUA_CF_SEC_20230125.xlsx]CF PSDP'!</v>
      </c>
      <c r="G4059" s="6" t="s">
        <v>60</v>
      </c>
      <c r="H4059" s="1"/>
      <c r="I4059" s="1"/>
      <c r="J4059" s="1"/>
    </row>
    <row r="4060" spans="1:10" x14ac:dyDescent="0.25">
      <c r="A4060" s="6" t="s">
        <v>102</v>
      </c>
      <c r="B4060" s="6">
        <f t="shared" si="940"/>
        <v>2053</v>
      </c>
      <c r="C4060" s="1" t="s">
        <v>109</v>
      </c>
      <c r="D4060" s="2" t="s">
        <v>128</v>
      </c>
      <c r="E4060" s="9" t="str">
        <f t="shared" si="938"/>
        <v>PSDP'!</v>
      </c>
      <c r="F4060" s="5" t="str">
        <f t="shared" si="939"/>
        <v>C:\Users\jaime.benazar\Quorum Business Solutions\Ecopetrol Prometeo - Documents\Planning Space Implementation\3. Analysis &amp; Design\Design\FC22\DRR Jaime\QUIFA-CAJÚA\Cajua\[VAS_CAJUA_CF_SEC_20230125.xlsx]CF PSDP'!</v>
      </c>
      <c r="G4060" s="6" t="s">
        <v>60</v>
      </c>
      <c r="H4060" s="1"/>
      <c r="I4060" s="1"/>
      <c r="J4060" s="1"/>
    </row>
    <row r="4061" spans="1:10" x14ac:dyDescent="0.25">
      <c r="A4061" s="6" t="s">
        <v>102</v>
      </c>
      <c r="B4061" s="6">
        <f t="shared" si="940"/>
        <v>2054</v>
      </c>
      <c r="C4061" s="1" t="s">
        <v>109</v>
      </c>
      <c r="D4061" s="2" t="s">
        <v>128</v>
      </c>
      <c r="E4061" s="9" t="str">
        <f t="shared" si="938"/>
        <v>PSDP'!</v>
      </c>
      <c r="F4061" s="5" t="str">
        <f t="shared" si="939"/>
        <v>C:\Users\jaime.benazar\Quorum Business Solutions\Ecopetrol Prometeo - Documents\Planning Space Implementation\3. Analysis &amp; Design\Design\FC22\DRR Jaime\QUIFA-CAJÚA\Cajua\[VAS_CAJUA_CF_SEC_20230125.xlsx]CF PSDP'!</v>
      </c>
      <c r="G4061" s="6" t="s">
        <v>60</v>
      </c>
      <c r="H4061" s="1"/>
      <c r="I4061" s="1"/>
      <c r="J4061" s="1"/>
    </row>
    <row r="4062" spans="1:10" x14ac:dyDescent="0.25">
      <c r="A4062" s="6" t="s">
        <v>102</v>
      </c>
      <c r="B4062" s="6">
        <f t="shared" si="940"/>
        <v>2055</v>
      </c>
      <c r="C4062" s="1" t="s">
        <v>109</v>
      </c>
      <c r="D4062" s="2" t="s">
        <v>128</v>
      </c>
      <c r="E4062" s="9" t="str">
        <f t="shared" si="938"/>
        <v>PSDP'!</v>
      </c>
      <c r="F4062" s="5" t="str">
        <f t="shared" si="939"/>
        <v>C:\Users\jaime.benazar\Quorum Business Solutions\Ecopetrol Prometeo - Documents\Planning Space Implementation\3. Analysis &amp; Design\Design\FC22\DRR Jaime\QUIFA-CAJÚA\Cajua\[VAS_CAJUA_CF_SEC_20230125.xlsx]CF PSDP'!</v>
      </c>
      <c r="G4062" s="6" t="s">
        <v>60</v>
      </c>
      <c r="H4062" s="1"/>
      <c r="I4062" s="1"/>
      <c r="J4062" s="1"/>
    </row>
    <row r="4063" spans="1:10" x14ac:dyDescent="0.25">
      <c r="A4063" s="6" t="s">
        <v>102</v>
      </c>
      <c r="B4063" s="6">
        <f t="shared" si="940"/>
        <v>2056</v>
      </c>
      <c r="C4063" s="1" t="s">
        <v>109</v>
      </c>
      <c r="D4063" s="2" t="s">
        <v>128</v>
      </c>
      <c r="E4063" s="9" t="str">
        <f t="shared" si="938"/>
        <v>PSDP'!</v>
      </c>
      <c r="F4063" s="5" t="str">
        <f t="shared" si="939"/>
        <v>C:\Users\jaime.benazar\Quorum Business Solutions\Ecopetrol Prometeo - Documents\Planning Space Implementation\3. Analysis &amp; Design\Design\FC22\DRR Jaime\QUIFA-CAJÚA\Cajua\[VAS_CAJUA_CF_SEC_20230125.xlsx]CF PSDP'!</v>
      </c>
      <c r="G4063" s="6" t="s">
        <v>60</v>
      </c>
      <c r="H4063" s="1"/>
      <c r="I4063" s="1"/>
      <c r="J4063" s="1"/>
    </row>
    <row r="4064" spans="1:10" x14ac:dyDescent="0.25">
      <c r="A4064" s="6" t="s">
        <v>102</v>
      </c>
      <c r="B4064" s="6">
        <f t="shared" si="940"/>
        <v>2057</v>
      </c>
      <c r="C4064" s="1" t="s">
        <v>109</v>
      </c>
      <c r="D4064" s="2" t="s">
        <v>128</v>
      </c>
      <c r="E4064" s="9" t="str">
        <f t="shared" si="938"/>
        <v>PSDP'!</v>
      </c>
      <c r="F4064" s="5" t="str">
        <f t="shared" si="939"/>
        <v>C:\Users\jaime.benazar\Quorum Business Solutions\Ecopetrol Prometeo - Documents\Planning Space Implementation\3. Analysis &amp; Design\Design\FC22\DRR Jaime\QUIFA-CAJÚA\Cajua\[VAS_CAJUA_CF_SEC_20230125.xlsx]CF PSDP'!</v>
      </c>
      <c r="G4064" s="6" t="s">
        <v>60</v>
      </c>
      <c r="H4064" s="1"/>
      <c r="I4064" s="1"/>
      <c r="J4064" s="1"/>
    </row>
    <row r="4065" spans="1:10" x14ac:dyDescent="0.25">
      <c r="A4065" s="6" t="s">
        <v>102</v>
      </c>
      <c r="B4065" s="6">
        <f t="shared" si="940"/>
        <v>2058</v>
      </c>
      <c r="C4065" s="1" t="s">
        <v>109</v>
      </c>
      <c r="D4065" s="2" t="s">
        <v>128</v>
      </c>
      <c r="E4065" s="9" t="str">
        <f t="shared" si="938"/>
        <v>PSDP'!</v>
      </c>
      <c r="F4065" s="5" t="str">
        <f t="shared" si="939"/>
        <v>C:\Users\jaime.benazar\Quorum Business Solutions\Ecopetrol Prometeo - Documents\Planning Space Implementation\3. Analysis &amp; Design\Design\FC22\DRR Jaime\QUIFA-CAJÚA\Cajua\[VAS_CAJUA_CF_SEC_20230125.xlsx]CF PSDP'!</v>
      </c>
      <c r="G4065" s="6" t="s">
        <v>60</v>
      </c>
      <c r="H4065" s="1"/>
      <c r="I4065" s="1"/>
      <c r="J4065" s="1"/>
    </row>
    <row r="4066" spans="1:10" x14ac:dyDescent="0.25">
      <c r="A4066" s="6" t="s">
        <v>102</v>
      </c>
      <c r="B4066" s="6">
        <f t="shared" si="940"/>
        <v>2059</v>
      </c>
      <c r="C4066" s="1" t="s">
        <v>109</v>
      </c>
      <c r="D4066" s="2" t="s">
        <v>128</v>
      </c>
      <c r="E4066" s="9" t="str">
        <f t="shared" si="938"/>
        <v>PSDP'!</v>
      </c>
      <c r="F4066" s="5" t="str">
        <f t="shared" si="939"/>
        <v>C:\Users\jaime.benazar\Quorum Business Solutions\Ecopetrol Prometeo - Documents\Planning Space Implementation\3. Analysis &amp; Design\Design\FC22\DRR Jaime\QUIFA-CAJÚA\Cajua\[VAS_CAJUA_CF_SEC_20230125.xlsx]CF PSDP'!</v>
      </c>
      <c r="G4066" s="6" t="s">
        <v>60</v>
      </c>
      <c r="H4066" s="1"/>
      <c r="I4066" s="1"/>
      <c r="J4066" s="1"/>
    </row>
    <row r="4067" spans="1:10" x14ac:dyDescent="0.25">
      <c r="A4067" s="6" t="s">
        <v>28</v>
      </c>
      <c r="B4067" s="6"/>
      <c r="C4067" s="1" t="s">
        <v>109</v>
      </c>
      <c r="D4067" s="2"/>
      <c r="E4067" s="9"/>
      <c r="F4067" s="5"/>
      <c r="G4067" s="6"/>
      <c r="H4067" s="1"/>
      <c r="I4067" s="1"/>
      <c r="J4067" s="12"/>
    </row>
    <row r="4068" spans="1:10" x14ac:dyDescent="0.25">
      <c r="A4068" s="6" t="s">
        <v>103</v>
      </c>
      <c r="B4068" s="6">
        <v>2023</v>
      </c>
      <c r="C4068" s="1" t="s">
        <v>109</v>
      </c>
      <c r="D4068" s="2" t="s">
        <v>128</v>
      </c>
      <c r="E4068" s="9" t="str">
        <f t="shared" ref="E4068:E4088" si="941">_xlfn.CONCAT(A4068,"'!")</f>
        <v>PSNP'!</v>
      </c>
      <c r="F4068" s="5" t="str">
        <f t="shared" ref="F4068:F4088" si="942">_xlfn.CONCAT(D4068," ",E4068)</f>
        <v>C:\Users\jaime.benazar\Quorum Business Solutions\Ecopetrol Prometeo - Documents\Planning Space Implementation\3. Analysis &amp; Design\Design\FC22\DRR Jaime\QUIFA-CAJÚA\Cajua\[VAS_CAJUA_CF_SEC_20230125.xlsx]CF PSNP'!</v>
      </c>
      <c r="G4068" s="6" t="s">
        <v>60</v>
      </c>
      <c r="H4068" s="1"/>
      <c r="I4068" s="1"/>
      <c r="J4068" s="1"/>
    </row>
    <row r="4069" spans="1:10" x14ac:dyDescent="0.25">
      <c r="A4069" s="6" t="s">
        <v>103</v>
      </c>
      <c r="B4069" s="6">
        <f>+B4068+1</f>
        <v>2024</v>
      </c>
      <c r="C4069" s="1" t="s">
        <v>109</v>
      </c>
      <c r="D4069" s="2" t="s">
        <v>128</v>
      </c>
      <c r="E4069" s="9" t="str">
        <f t="shared" si="941"/>
        <v>PSNP'!</v>
      </c>
      <c r="F4069" s="5" t="str">
        <f t="shared" si="942"/>
        <v>C:\Users\jaime.benazar\Quorum Business Solutions\Ecopetrol Prometeo - Documents\Planning Space Implementation\3. Analysis &amp; Design\Design\FC22\DRR Jaime\QUIFA-CAJÚA\Cajua\[VAS_CAJUA_CF_SEC_20230125.xlsx]CF PSNP'!</v>
      </c>
      <c r="G4069" s="6" t="s">
        <v>60</v>
      </c>
      <c r="H4069" s="1"/>
      <c r="I4069" s="1"/>
      <c r="J4069" s="1"/>
    </row>
    <row r="4070" spans="1:10" x14ac:dyDescent="0.25">
      <c r="A4070" s="6" t="s">
        <v>103</v>
      </c>
      <c r="B4070" s="6">
        <f t="shared" ref="B4070:B4081" si="943">+B4069+1</f>
        <v>2025</v>
      </c>
      <c r="C4070" s="1" t="s">
        <v>109</v>
      </c>
      <c r="D4070" s="2" t="s">
        <v>128</v>
      </c>
      <c r="E4070" s="9" t="str">
        <f t="shared" si="941"/>
        <v>PSNP'!</v>
      </c>
      <c r="F4070" s="5" t="str">
        <f t="shared" si="942"/>
        <v>C:\Users\jaime.benazar\Quorum Business Solutions\Ecopetrol Prometeo - Documents\Planning Space Implementation\3. Analysis &amp; Design\Design\FC22\DRR Jaime\QUIFA-CAJÚA\Cajua\[VAS_CAJUA_CF_SEC_20230125.xlsx]CF PSNP'!</v>
      </c>
      <c r="G4070" s="6" t="s">
        <v>60</v>
      </c>
      <c r="H4070" s="1"/>
      <c r="I4070" s="1"/>
      <c r="J4070" s="1"/>
    </row>
    <row r="4071" spans="1:10" x14ac:dyDescent="0.25">
      <c r="A4071" s="6" t="s">
        <v>103</v>
      </c>
      <c r="B4071" s="6">
        <f t="shared" si="943"/>
        <v>2026</v>
      </c>
      <c r="C4071" s="1" t="s">
        <v>109</v>
      </c>
      <c r="D4071" s="2" t="s">
        <v>128</v>
      </c>
      <c r="E4071" s="9" t="str">
        <f t="shared" si="941"/>
        <v>PSNP'!</v>
      </c>
      <c r="F4071" s="5" t="str">
        <f t="shared" si="942"/>
        <v>C:\Users\jaime.benazar\Quorum Business Solutions\Ecopetrol Prometeo - Documents\Planning Space Implementation\3. Analysis &amp; Design\Design\FC22\DRR Jaime\QUIFA-CAJÚA\Cajua\[VAS_CAJUA_CF_SEC_20230125.xlsx]CF PSNP'!</v>
      </c>
      <c r="G4071" s="6" t="s">
        <v>60</v>
      </c>
      <c r="H4071" s="1"/>
      <c r="I4071" s="1"/>
      <c r="J4071" s="1"/>
    </row>
    <row r="4072" spans="1:10" x14ac:dyDescent="0.25">
      <c r="A4072" s="6" t="s">
        <v>103</v>
      </c>
      <c r="B4072" s="6">
        <f t="shared" si="943"/>
        <v>2027</v>
      </c>
      <c r="C4072" s="1" t="s">
        <v>109</v>
      </c>
      <c r="D4072" s="2" t="s">
        <v>128</v>
      </c>
      <c r="E4072" s="9" t="str">
        <f t="shared" si="941"/>
        <v>PSNP'!</v>
      </c>
      <c r="F4072" s="5" t="str">
        <f t="shared" si="942"/>
        <v>C:\Users\jaime.benazar\Quorum Business Solutions\Ecopetrol Prometeo - Documents\Planning Space Implementation\3. Analysis &amp; Design\Design\FC22\DRR Jaime\QUIFA-CAJÚA\Cajua\[VAS_CAJUA_CF_SEC_20230125.xlsx]CF PSNP'!</v>
      </c>
      <c r="G4072" s="6" t="s">
        <v>60</v>
      </c>
      <c r="H4072" s="1"/>
      <c r="I4072" s="1"/>
      <c r="J4072" s="1"/>
    </row>
    <row r="4073" spans="1:10" x14ac:dyDescent="0.25">
      <c r="A4073" s="6" t="s">
        <v>103</v>
      </c>
      <c r="B4073" s="6">
        <f t="shared" si="943"/>
        <v>2028</v>
      </c>
      <c r="C4073" s="1" t="s">
        <v>109</v>
      </c>
      <c r="D4073" s="2" t="s">
        <v>128</v>
      </c>
      <c r="E4073" s="9" t="str">
        <f t="shared" si="941"/>
        <v>PSNP'!</v>
      </c>
      <c r="F4073" s="5" t="str">
        <f t="shared" si="942"/>
        <v>C:\Users\jaime.benazar\Quorum Business Solutions\Ecopetrol Prometeo - Documents\Planning Space Implementation\3. Analysis &amp; Design\Design\FC22\DRR Jaime\QUIFA-CAJÚA\Cajua\[VAS_CAJUA_CF_SEC_20230125.xlsx]CF PSNP'!</v>
      </c>
      <c r="G4073" s="6" t="s">
        <v>60</v>
      </c>
      <c r="H4073" s="1"/>
      <c r="I4073" s="1"/>
      <c r="J4073" s="1"/>
    </row>
    <row r="4074" spans="1:10" x14ac:dyDescent="0.25">
      <c r="A4074" s="6" t="s">
        <v>103</v>
      </c>
      <c r="B4074" s="6">
        <f t="shared" si="943"/>
        <v>2029</v>
      </c>
      <c r="C4074" s="1" t="s">
        <v>109</v>
      </c>
      <c r="D4074" s="2" t="s">
        <v>128</v>
      </c>
      <c r="E4074" s="9" t="str">
        <f t="shared" si="941"/>
        <v>PSNP'!</v>
      </c>
      <c r="F4074" s="5" t="str">
        <f t="shared" si="942"/>
        <v>C:\Users\jaime.benazar\Quorum Business Solutions\Ecopetrol Prometeo - Documents\Planning Space Implementation\3. Analysis &amp; Design\Design\FC22\DRR Jaime\QUIFA-CAJÚA\Cajua\[VAS_CAJUA_CF_SEC_20230125.xlsx]CF PSNP'!</v>
      </c>
      <c r="G4074" s="6" t="s">
        <v>60</v>
      </c>
      <c r="H4074" s="1"/>
      <c r="I4074" s="1"/>
      <c r="J4074" s="1"/>
    </row>
    <row r="4075" spans="1:10" x14ac:dyDescent="0.25">
      <c r="A4075" s="6" t="s">
        <v>103</v>
      </c>
      <c r="B4075" s="6">
        <f t="shared" si="943"/>
        <v>2030</v>
      </c>
      <c r="C4075" s="1" t="s">
        <v>109</v>
      </c>
      <c r="D4075" s="2" t="s">
        <v>128</v>
      </c>
      <c r="E4075" s="9" t="str">
        <f t="shared" si="941"/>
        <v>PSNP'!</v>
      </c>
      <c r="F4075" s="5" t="str">
        <f t="shared" si="942"/>
        <v>C:\Users\jaime.benazar\Quorum Business Solutions\Ecopetrol Prometeo - Documents\Planning Space Implementation\3. Analysis &amp; Design\Design\FC22\DRR Jaime\QUIFA-CAJÚA\Cajua\[VAS_CAJUA_CF_SEC_20230125.xlsx]CF PSNP'!</v>
      </c>
      <c r="G4075" s="6" t="s">
        <v>60</v>
      </c>
      <c r="H4075" s="1"/>
      <c r="I4075" s="1"/>
      <c r="J4075" s="1"/>
    </row>
    <row r="4076" spans="1:10" x14ac:dyDescent="0.25">
      <c r="A4076" s="6" t="s">
        <v>103</v>
      </c>
      <c r="B4076" s="6">
        <f t="shared" si="943"/>
        <v>2031</v>
      </c>
      <c r="C4076" s="1" t="s">
        <v>109</v>
      </c>
      <c r="D4076" s="2" t="s">
        <v>128</v>
      </c>
      <c r="E4076" s="9" t="str">
        <f t="shared" si="941"/>
        <v>PSNP'!</v>
      </c>
      <c r="F4076" s="5" t="str">
        <f t="shared" si="942"/>
        <v>C:\Users\jaime.benazar\Quorum Business Solutions\Ecopetrol Prometeo - Documents\Planning Space Implementation\3. Analysis &amp; Design\Design\FC22\DRR Jaime\QUIFA-CAJÚA\Cajua\[VAS_CAJUA_CF_SEC_20230125.xlsx]CF PSNP'!</v>
      </c>
      <c r="G4076" s="6" t="s">
        <v>60</v>
      </c>
      <c r="H4076" s="1"/>
      <c r="I4076" s="1"/>
      <c r="J4076" s="1"/>
    </row>
    <row r="4077" spans="1:10" x14ac:dyDescent="0.25">
      <c r="A4077" s="6" t="s">
        <v>103</v>
      </c>
      <c r="B4077" s="6">
        <f t="shared" si="943"/>
        <v>2032</v>
      </c>
      <c r="C4077" s="1" t="s">
        <v>109</v>
      </c>
      <c r="D4077" s="2" t="s">
        <v>128</v>
      </c>
      <c r="E4077" s="9" t="str">
        <f t="shared" si="941"/>
        <v>PSNP'!</v>
      </c>
      <c r="F4077" s="5" t="str">
        <f t="shared" si="942"/>
        <v>C:\Users\jaime.benazar\Quorum Business Solutions\Ecopetrol Prometeo - Documents\Planning Space Implementation\3. Analysis &amp; Design\Design\FC22\DRR Jaime\QUIFA-CAJÚA\Cajua\[VAS_CAJUA_CF_SEC_20230125.xlsx]CF PSNP'!</v>
      </c>
      <c r="G4077" s="6" t="s">
        <v>60</v>
      </c>
      <c r="H4077" s="1"/>
      <c r="I4077" s="1"/>
      <c r="J4077" s="1"/>
    </row>
    <row r="4078" spans="1:10" x14ac:dyDescent="0.25">
      <c r="A4078" s="6" t="s">
        <v>103</v>
      </c>
      <c r="B4078" s="6">
        <f t="shared" si="943"/>
        <v>2033</v>
      </c>
      <c r="C4078" s="1" t="s">
        <v>109</v>
      </c>
      <c r="D4078" s="2" t="s">
        <v>128</v>
      </c>
      <c r="E4078" s="9" t="str">
        <f t="shared" si="941"/>
        <v>PSNP'!</v>
      </c>
      <c r="F4078" s="5" t="str">
        <f t="shared" si="942"/>
        <v>C:\Users\jaime.benazar\Quorum Business Solutions\Ecopetrol Prometeo - Documents\Planning Space Implementation\3. Analysis &amp; Design\Design\FC22\DRR Jaime\QUIFA-CAJÚA\Cajua\[VAS_CAJUA_CF_SEC_20230125.xlsx]CF PSNP'!</v>
      </c>
      <c r="G4078" s="6" t="s">
        <v>60</v>
      </c>
      <c r="H4078" s="1"/>
      <c r="I4078" s="1"/>
      <c r="J4078" s="1"/>
    </row>
    <row r="4079" spans="1:10" x14ac:dyDescent="0.25">
      <c r="A4079" s="6" t="s">
        <v>103</v>
      </c>
      <c r="B4079" s="6">
        <f t="shared" si="943"/>
        <v>2034</v>
      </c>
      <c r="C4079" s="1" t="s">
        <v>109</v>
      </c>
      <c r="D4079" s="2" t="s">
        <v>128</v>
      </c>
      <c r="E4079" s="9" t="str">
        <f t="shared" si="941"/>
        <v>PSNP'!</v>
      </c>
      <c r="F4079" s="5" t="str">
        <f t="shared" si="942"/>
        <v>C:\Users\jaime.benazar\Quorum Business Solutions\Ecopetrol Prometeo - Documents\Planning Space Implementation\3. Analysis &amp; Design\Design\FC22\DRR Jaime\QUIFA-CAJÚA\Cajua\[VAS_CAJUA_CF_SEC_20230125.xlsx]CF PSNP'!</v>
      </c>
      <c r="G4079" s="6" t="s">
        <v>60</v>
      </c>
      <c r="H4079" s="1"/>
      <c r="I4079" s="1"/>
      <c r="J4079" s="1"/>
    </row>
    <row r="4080" spans="1:10" x14ac:dyDescent="0.25">
      <c r="A4080" s="6" t="s">
        <v>103</v>
      </c>
      <c r="B4080" s="6">
        <f t="shared" si="943"/>
        <v>2035</v>
      </c>
      <c r="C4080" s="1" t="s">
        <v>109</v>
      </c>
      <c r="D4080" s="2" t="s">
        <v>128</v>
      </c>
      <c r="E4080" s="9" t="str">
        <f t="shared" si="941"/>
        <v>PSNP'!</v>
      </c>
      <c r="F4080" s="5" t="str">
        <f t="shared" si="942"/>
        <v>C:\Users\jaime.benazar\Quorum Business Solutions\Ecopetrol Prometeo - Documents\Planning Space Implementation\3. Analysis &amp; Design\Design\FC22\DRR Jaime\QUIFA-CAJÚA\Cajua\[VAS_CAJUA_CF_SEC_20230125.xlsx]CF PSNP'!</v>
      </c>
      <c r="G4080" s="6" t="s">
        <v>60</v>
      </c>
      <c r="H4080" s="1"/>
      <c r="I4080" s="1"/>
      <c r="J4080" s="1"/>
    </row>
    <row r="4081" spans="1:10" x14ac:dyDescent="0.25">
      <c r="A4081" s="6" t="s">
        <v>103</v>
      </c>
      <c r="B4081" s="6">
        <f t="shared" si="943"/>
        <v>2036</v>
      </c>
      <c r="C4081" s="1" t="s">
        <v>109</v>
      </c>
      <c r="D4081" s="2" t="s">
        <v>128</v>
      </c>
      <c r="E4081" s="9" t="str">
        <f t="shared" si="941"/>
        <v>PSNP'!</v>
      </c>
      <c r="F4081" s="5" t="str">
        <f t="shared" si="942"/>
        <v>C:\Users\jaime.benazar\Quorum Business Solutions\Ecopetrol Prometeo - Documents\Planning Space Implementation\3. Analysis &amp; Design\Design\FC22\DRR Jaime\QUIFA-CAJÚA\Cajua\[VAS_CAJUA_CF_SEC_20230125.xlsx]CF PSNP'!</v>
      </c>
      <c r="G4081" s="6" t="s">
        <v>60</v>
      </c>
      <c r="H4081" s="1"/>
      <c r="I4081" s="1"/>
      <c r="J4081" s="1"/>
    </row>
    <row r="4082" spans="1:10" x14ac:dyDescent="0.25">
      <c r="A4082" s="6" t="s">
        <v>103</v>
      </c>
      <c r="B4082" s="6">
        <f>+B4081+1</f>
        <v>2037</v>
      </c>
      <c r="C4082" s="1" t="s">
        <v>109</v>
      </c>
      <c r="D4082" s="2" t="s">
        <v>128</v>
      </c>
      <c r="E4082" s="9" t="str">
        <f t="shared" si="941"/>
        <v>PSNP'!</v>
      </c>
      <c r="F4082" s="5" t="str">
        <f t="shared" si="942"/>
        <v>C:\Users\jaime.benazar\Quorum Business Solutions\Ecopetrol Prometeo - Documents\Planning Space Implementation\3. Analysis &amp; Design\Design\FC22\DRR Jaime\QUIFA-CAJÚA\Cajua\[VAS_CAJUA_CF_SEC_20230125.xlsx]CF PSNP'!</v>
      </c>
      <c r="G4082" s="6" t="s">
        <v>60</v>
      </c>
      <c r="H4082" s="1"/>
      <c r="I4082" s="1"/>
      <c r="J4082" s="1"/>
    </row>
    <row r="4083" spans="1:10" x14ac:dyDescent="0.25">
      <c r="A4083" s="6" t="s">
        <v>103</v>
      </c>
      <c r="B4083" s="6">
        <f t="shared" ref="B4083:B4085" si="944">+B4082+1</f>
        <v>2038</v>
      </c>
      <c r="C4083" s="1" t="s">
        <v>109</v>
      </c>
      <c r="D4083" s="2" t="s">
        <v>128</v>
      </c>
      <c r="E4083" s="9" t="str">
        <f t="shared" si="941"/>
        <v>PSNP'!</v>
      </c>
      <c r="F4083" s="5" t="str">
        <f t="shared" si="942"/>
        <v>C:\Users\jaime.benazar\Quorum Business Solutions\Ecopetrol Prometeo - Documents\Planning Space Implementation\3. Analysis &amp; Design\Design\FC22\DRR Jaime\QUIFA-CAJÚA\Cajua\[VAS_CAJUA_CF_SEC_20230125.xlsx]CF PSNP'!</v>
      </c>
      <c r="G4083" s="6" t="s">
        <v>60</v>
      </c>
      <c r="H4083" s="1"/>
      <c r="I4083" s="1"/>
      <c r="J4083" s="1"/>
    </row>
    <row r="4084" spans="1:10" x14ac:dyDescent="0.25">
      <c r="A4084" s="6" t="s">
        <v>103</v>
      </c>
      <c r="B4084" s="6">
        <f t="shared" si="944"/>
        <v>2039</v>
      </c>
      <c r="C4084" s="1" t="s">
        <v>109</v>
      </c>
      <c r="D4084" s="2" t="s">
        <v>128</v>
      </c>
      <c r="E4084" s="9" t="str">
        <f t="shared" si="941"/>
        <v>PSNP'!</v>
      </c>
      <c r="F4084" s="5" t="str">
        <f t="shared" si="942"/>
        <v>C:\Users\jaime.benazar\Quorum Business Solutions\Ecopetrol Prometeo - Documents\Planning Space Implementation\3. Analysis &amp; Design\Design\FC22\DRR Jaime\QUIFA-CAJÚA\Cajua\[VAS_CAJUA_CF_SEC_20230125.xlsx]CF PSNP'!</v>
      </c>
      <c r="G4084" s="6" t="s">
        <v>60</v>
      </c>
      <c r="H4084" s="1"/>
      <c r="I4084" s="1"/>
      <c r="J4084" s="1"/>
    </row>
    <row r="4085" spans="1:10" x14ac:dyDescent="0.25">
      <c r="A4085" s="6" t="s">
        <v>103</v>
      </c>
      <c r="B4085" s="6">
        <f t="shared" si="944"/>
        <v>2040</v>
      </c>
      <c r="C4085" s="1" t="s">
        <v>109</v>
      </c>
      <c r="D4085" s="2" t="s">
        <v>128</v>
      </c>
      <c r="E4085" s="9" t="str">
        <f t="shared" si="941"/>
        <v>PSNP'!</v>
      </c>
      <c r="F4085" s="5" t="str">
        <f t="shared" si="942"/>
        <v>C:\Users\jaime.benazar\Quorum Business Solutions\Ecopetrol Prometeo - Documents\Planning Space Implementation\3. Analysis &amp; Design\Design\FC22\DRR Jaime\QUIFA-CAJÚA\Cajua\[VAS_CAJUA_CF_SEC_20230125.xlsx]CF PSNP'!</v>
      </c>
      <c r="G4085" s="6" t="s">
        <v>60</v>
      </c>
      <c r="H4085" s="1"/>
      <c r="I4085" s="1"/>
      <c r="J4085" s="1"/>
    </row>
    <row r="4086" spans="1:10" x14ac:dyDescent="0.25">
      <c r="A4086" s="6" t="s">
        <v>103</v>
      </c>
      <c r="B4086" s="6">
        <f>+B4085+1</f>
        <v>2041</v>
      </c>
      <c r="C4086" s="1" t="s">
        <v>109</v>
      </c>
      <c r="D4086" s="2" t="s">
        <v>128</v>
      </c>
      <c r="E4086" s="9" t="str">
        <f t="shared" si="941"/>
        <v>PSNP'!</v>
      </c>
      <c r="F4086" s="5" t="str">
        <f t="shared" si="942"/>
        <v>C:\Users\jaime.benazar\Quorum Business Solutions\Ecopetrol Prometeo - Documents\Planning Space Implementation\3. Analysis &amp; Design\Design\FC22\DRR Jaime\QUIFA-CAJÚA\Cajua\[VAS_CAJUA_CF_SEC_20230125.xlsx]CF PSNP'!</v>
      </c>
      <c r="G4086" s="6" t="s">
        <v>60</v>
      </c>
      <c r="H4086" s="1"/>
      <c r="I4086" s="1"/>
      <c r="J4086" s="1"/>
    </row>
    <row r="4087" spans="1:10" x14ac:dyDescent="0.25">
      <c r="A4087" s="6" t="s">
        <v>103</v>
      </c>
      <c r="B4087" s="6">
        <f t="shared" ref="B4087:B4088" si="945">+B4086+1</f>
        <v>2042</v>
      </c>
      <c r="C4087" s="1" t="s">
        <v>109</v>
      </c>
      <c r="D4087" s="2" t="s">
        <v>128</v>
      </c>
      <c r="E4087" s="9" t="str">
        <f t="shared" si="941"/>
        <v>PSNP'!</v>
      </c>
      <c r="F4087" s="5" t="str">
        <f t="shared" si="942"/>
        <v>C:\Users\jaime.benazar\Quorum Business Solutions\Ecopetrol Prometeo - Documents\Planning Space Implementation\3. Analysis &amp; Design\Design\FC22\DRR Jaime\QUIFA-CAJÚA\Cajua\[VAS_CAJUA_CF_SEC_20230125.xlsx]CF PSNP'!</v>
      </c>
      <c r="G4087" s="6" t="s">
        <v>60</v>
      </c>
      <c r="H4087" s="1"/>
      <c r="I4087" s="1"/>
      <c r="J4087" s="1"/>
    </row>
    <row r="4088" spans="1:10" x14ac:dyDescent="0.25">
      <c r="A4088" s="6" t="s">
        <v>103</v>
      </c>
      <c r="B4088" s="6">
        <f t="shared" si="945"/>
        <v>2043</v>
      </c>
      <c r="C4088" s="1" t="s">
        <v>109</v>
      </c>
      <c r="D4088" s="2" t="s">
        <v>128</v>
      </c>
      <c r="E4088" s="9" t="str">
        <f t="shared" si="941"/>
        <v>PSNP'!</v>
      </c>
      <c r="F4088" s="5" t="str">
        <f t="shared" si="942"/>
        <v>C:\Users\jaime.benazar\Quorum Business Solutions\Ecopetrol Prometeo - Documents\Planning Space Implementation\3. Analysis &amp; Design\Design\FC22\DRR Jaime\QUIFA-CAJÚA\Cajua\[VAS_CAJUA_CF_SEC_20230125.xlsx]CF PSNP'!</v>
      </c>
      <c r="G4088" s="6" t="s">
        <v>60</v>
      </c>
      <c r="H4088" s="1"/>
      <c r="I4088" s="1"/>
      <c r="J4088" s="1"/>
    </row>
    <row r="4089" spans="1:10" x14ac:dyDescent="0.25">
      <c r="A4089" s="6" t="s">
        <v>103</v>
      </c>
      <c r="B4089" s="6">
        <f>+B4088+1</f>
        <v>2044</v>
      </c>
      <c r="C4089" s="1" t="s">
        <v>109</v>
      </c>
      <c r="D4089" s="2" t="s">
        <v>128</v>
      </c>
      <c r="E4089" s="9" t="str">
        <f t="shared" ref="E4089:E4104" si="946">_xlfn.CONCAT(A4089,"'!")</f>
        <v>PSNP'!</v>
      </c>
      <c r="F4089" s="5" t="str">
        <f t="shared" ref="F4089:F4104" si="947">_xlfn.CONCAT(D4089," ",E4089)</f>
        <v>C:\Users\jaime.benazar\Quorum Business Solutions\Ecopetrol Prometeo - Documents\Planning Space Implementation\3. Analysis &amp; Design\Design\FC22\DRR Jaime\QUIFA-CAJÚA\Cajua\[VAS_CAJUA_CF_SEC_20230125.xlsx]CF PSNP'!</v>
      </c>
      <c r="G4089" s="6" t="s">
        <v>60</v>
      </c>
      <c r="H4089" s="1"/>
      <c r="I4089" s="1"/>
      <c r="J4089" s="1"/>
    </row>
    <row r="4090" spans="1:10" x14ac:dyDescent="0.25">
      <c r="A4090" s="6" t="s">
        <v>103</v>
      </c>
      <c r="B4090" s="6">
        <f t="shared" ref="B4090:B4104" si="948">+B4089+1</f>
        <v>2045</v>
      </c>
      <c r="C4090" s="1" t="s">
        <v>109</v>
      </c>
      <c r="D4090" s="2" t="s">
        <v>128</v>
      </c>
      <c r="E4090" s="9" t="str">
        <f t="shared" si="946"/>
        <v>PSNP'!</v>
      </c>
      <c r="F4090" s="5" t="str">
        <f t="shared" si="947"/>
        <v>C:\Users\jaime.benazar\Quorum Business Solutions\Ecopetrol Prometeo - Documents\Planning Space Implementation\3. Analysis &amp; Design\Design\FC22\DRR Jaime\QUIFA-CAJÚA\Cajua\[VAS_CAJUA_CF_SEC_20230125.xlsx]CF PSNP'!</v>
      </c>
      <c r="G4090" s="6" t="s">
        <v>60</v>
      </c>
      <c r="H4090" s="1"/>
      <c r="I4090" s="1"/>
      <c r="J4090" s="1"/>
    </row>
    <row r="4091" spans="1:10" x14ac:dyDescent="0.25">
      <c r="A4091" s="6" t="s">
        <v>103</v>
      </c>
      <c r="B4091" s="6">
        <f t="shared" si="948"/>
        <v>2046</v>
      </c>
      <c r="C4091" s="1" t="s">
        <v>109</v>
      </c>
      <c r="D4091" s="2" t="s">
        <v>128</v>
      </c>
      <c r="E4091" s="9" t="str">
        <f t="shared" si="946"/>
        <v>PSNP'!</v>
      </c>
      <c r="F4091" s="5" t="str">
        <f t="shared" si="947"/>
        <v>C:\Users\jaime.benazar\Quorum Business Solutions\Ecopetrol Prometeo - Documents\Planning Space Implementation\3. Analysis &amp; Design\Design\FC22\DRR Jaime\QUIFA-CAJÚA\Cajua\[VAS_CAJUA_CF_SEC_20230125.xlsx]CF PSNP'!</v>
      </c>
      <c r="G4091" s="6" t="s">
        <v>60</v>
      </c>
      <c r="H4091" s="1"/>
      <c r="I4091" s="1"/>
      <c r="J4091" s="1"/>
    </row>
    <row r="4092" spans="1:10" x14ac:dyDescent="0.25">
      <c r="A4092" s="6" t="s">
        <v>103</v>
      </c>
      <c r="B4092" s="6">
        <f t="shared" si="948"/>
        <v>2047</v>
      </c>
      <c r="C4092" s="1" t="s">
        <v>109</v>
      </c>
      <c r="D4092" s="2" t="s">
        <v>128</v>
      </c>
      <c r="E4092" s="9" t="str">
        <f t="shared" si="946"/>
        <v>PSNP'!</v>
      </c>
      <c r="F4092" s="5" t="str">
        <f t="shared" si="947"/>
        <v>C:\Users\jaime.benazar\Quorum Business Solutions\Ecopetrol Prometeo - Documents\Planning Space Implementation\3. Analysis &amp; Design\Design\FC22\DRR Jaime\QUIFA-CAJÚA\Cajua\[VAS_CAJUA_CF_SEC_20230125.xlsx]CF PSNP'!</v>
      </c>
      <c r="G4092" s="6" t="s">
        <v>60</v>
      </c>
      <c r="H4092" s="1"/>
      <c r="I4092" s="1"/>
      <c r="J4092" s="1"/>
    </row>
    <row r="4093" spans="1:10" x14ac:dyDescent="0.25">
      <c r="A4093" s="6" t="s">
        <v>103</v>
      </c>
      <c r="B4093" s="6">
        <f t="shared" si="948"/>
        <v>2048</v>
      </c>
      <c r="C4093" s="1" t="s">
        <v>109</v>
      </c>
      <c r="D4093" s="2" t="s">
        <v>128</v>
      </c>
      <c r="E4093" s="9" t="str">
        <f t="shared" si="946"/>
        <v>PSNP'!</v>
      </c>
      <c r="F4093" s="5" t="str">
        <f t="shared" si="947"/>
        <v>C:\Users\jaime.benazar\Quorum Business Solutions\Ecopetrol Prometeo - Documents\Planning Space Implementation\3. Analysis &amp; Design\Design\FC22\DRR Jaime\QUIFA-CAJÚA\Cajua\[VAS_CAJUA_CF_SEC_20230125.xlsx]CF PSNP'!</v>
      </c>
      <c r="G4093" s="6" t="s">
        <v>60</v>
      </c>
      <c r="H4093" s="1"/>
      <c r="I4093" s="1"/>
      <c r="J4093" s="1"/>
    </row>
    <row r="4094" spans="1:10" x14ac:dyDescent="0.25">
      <c r="A4094" s="6" t="s">
        <v>103</v>
      </c>
      <c r="B4094" s="6">
        <f t="shared" si="948"/>
        <v>2049</v>
      </c>
      <c r="C4094" s="1" t="s">
        <v>109</v>
      </c>
      <c r="D4094" s="2" t="s">
        <v>128</v>
      </c>
      <c r="E4094" s="9" t="str">
        <f t="shared" si="946"/>
        <v>PSNP'!</v>
      </c>
      <c r="F4094" s="5" t="str">
        <f t="shared" si="947"/>
        <v>C:\Users\jaime.benazar\Quorum Business Solutions\Ecopetrol Prometeo - Documents\Planning Space Implementation\3. Analysis &amp; Design\Design\FC22\DRR Jaime\QUIFA-CAJÚA\Cajua\[VAS_CAJUA_CF_SEC_20230125.xlsx]CF PSNP'!</v>
      </c>
      <c r="G4094" s="6" t="s">
        <v>60</v>
      </c>
      <c r="H4094" s="1"/>
      <c r="I4094" s="1"/>
      <c r="J4094" s="1"/>
    </row>
    <row r="4095" spans="1:10" x14ac:dyDescent="0.25">
      <c r="A4095" s="6" t="s">
        <v>103</v>
      </c>
      <c r="B4095" s="6">
        <f t="shared" si="948"/>
        <v>2050</v>
      </c>
      <c r="C4095" s="1" t="s">
        <v>109</v>
      </c>
      <c r="D4095" s="2" t="s">
        <v>128</v>
      </c>
      <c r="E4095" s="9" t="str">
        <f t="shared" si="946"/>
        <v>PSNP'!</v>
      </c>
      <c r="F4095" s="5" t="str">
        <f t="shared" si="947"/>
        <v>C:\Users\jaime.benazar\Quorum Business Solutions\Ecopetrol Prometeo - Documents\Planning Space Implementation\3. Analysis &amp; Design\Design\FC22\DRR Jaime\QUIFA-CAJÚA\Cajua\[VAS_CAJUA_CF_SEC_20230125.xlsx]CF PSNP'!</v>
      </c>
      <c r="G4095" s="6" t="s">
        <v>60</v>
      </c>
      <c r="H4095" s="1"/>
      <c r="I4095" s="1"/>
      <c r="J4095" s="1"/>
    </row>
    <row r="4096" spans="1:10" x14ac:dyDescent="0.25">
      <c r="A4096" s="6" t="s">
        <v>103</v>
      </c>
      <c r="B4096" s="6">
        <f t="shared" si="948"/>
        <v>2051</v>
      </c>
      <c r="C4096" s="1" t="s">
        <v>109</v>
      </c>
      <c r="D4096" s="2" t="s">
        <v>128</v>
      </c>
      <c r="E4096" s="9" t="str">
        <f t="shared" si="946"/>
        <v>PSNP'!</v>
      </c>
      <c r="F4096" s="5" t="str">
        <f t="shared" si="947"/>
        <v>C:\Users\jaime.benazar\Quorum Business Solutions\Ecopetrol Prometeo - Documents\Planning Space Implementation\3. Analysis &amp; Design\Design\FC22\DRR Jaime\QUIFA-CAJÚA\Cajua\[VAS_CAJUA_CF_SEC_20230125.xlsx]CF PSNP'!</v>
      </c>
      <c r="G4096" s="6" t="s">
        <v>60</v>
      </c>
      <c r="H4096" s="1"/>
      <c r="I4096" s="1"/>
      <c r="J4096" s="1"/>
    </row>
    <row r="4097" spans="1:10" x14ac:dyDescent="0.25">
      <c r="A4097" s="6" t="s">
        <v>103</v>
      </c>
      <c r="B4097" s="6">
        <f t="shared" si="948"/>
        <v>2052</v>
      </c>
      <c r="C4097" s="1" t="s">
        <v>109</v>
      </c>
      <c r="D4097" s="2" t="s">
        <v>128</v>
      </c>
      <c r="E4097" s="9" t="str">
        <f t="shared" si="946"/>
        <v>PSNP'!</v>
      </c>
      <c r="F4097" s="5" t="str">
        <f t="shared" si="947"/>
        <v>C:\Users\jaime.benazar\Quorum Business Solutions\Ecopetrol Prometeo - Documents\Planning Space Implementation\3. Analysis &amp; Design\Design\FC22\DRR Jaime\QUIFA-CAJÚA\Cajua\[VAS_CAJUA_CF_SEC_20230125.xlsx]CF PSNP'!</v>
      </c>
      <c r="G4097" s="6" t="s">
        <v>60</v>
      </c>
      <c r="H4097" s="1"/>
      <c r="I4097" s="1"/>
      <c r="J4097" s="1"/>
    </row>
    <row r="4098" spans="1:10" x14ac:dyDescent="0.25">
      <c r="A4098" s="6" t="s">
        <v>103</v>
      </c>
      <c r="B4098" s="6">
        <f t="shared" si="948"/>
        <v>2053</v>
      </c>
      <c r="C4098" s="1" t="s">
        <v>109</v>
      </c>
      <c r="D4098" s="2" t="s">
        <v>128</v>
      </c>
      <c r="E4098" s="9" t="str">
        <f t="shared" si="946"/>
        <v>PSNP'!</v>
      </c>
      <c r="F4098" s="5" t="str">
        <f t="shared" si="947"/>
        <v>C:\Users\jaime.benazar\Quorum Business Solutions\Ecopetrol Prometeo - Documents\Planning Space Implementation\3. Analysis &amp; Design\Design\FC22\DRR Jaime\QUIFA-CAJÚA\Cajua\[VAS_CAJUA_CF_SEC_20230125.xlsx]CF PSNP'!</v>
      </c>
      <c r="G4098" s="6" t="s">
        <v>60</v>
      </c>
      <c r="H4098" s="1"/>
      <c r="I4098" s="1"/>
      <c r="J4098" s="1"/>
    </row>
    <row r="4099" spans="1:10" x14ac:dyDescent="0.25">
      <c r="A4099" s="6" t="s">
        <v>103</v>
      </c>
      <c r="B4099" s="6">
        <f t="shared" si="948"/>
        <v>2054</v>
      </c>
      <c r="C4099" s="1" t="s">
        <v>109</v>
      </c>
      <c r="D4099" s="2" t="s">
        <v>128</v>
      </c>
      <c r="E4099" s="9" t="str">
        <f t="shared" si="946"/>
        <v>PSNP'!</v>
      </c>
      <c r="F4099" s="5" t="str">
        <f t="shared" si="947"/>
        <v>C:\Users\jaime.benazar\Quorum Business Solutions\Ecopetrol Prometeo - Documents\Planning Space Implementation\3. Analysis &amp; Design\Design\FC22\DRR Jaime\QUIFA-CAJÚA\Cajua\[VAS_CAJUA_CF_SEC_20230125.xlsx]CF PSNP'!</v>
      </c>
      <c r="G4099" s="6" t="s">
        <v>60</v>
      </c>
      <c r="H4099" s="1"/>
      <c r="I4099" s="1"/>
      <c r="J4099" s="1"/>
    </row>
    <row r="4100" spans="1:10" x14ac:dyDescent="0.25">
      <c r="A4100" s="6" t="s">
        <v>103</v>
      </c>
      <c r="B4100" s="6">
        <f t="shared" si="948"/>
        <v>2055</v>
      </c>
      <c r="C4100" s="1" t="s">
        <v>109</v>
      </c>
      <c r="D4100" s="2" t="s">
        <v>128</v>
      </c>
      <c r="E4100" s="9" t="str">
        <f t="shared" si="946"/>
        <v>PSNP'!</v>
      </c>
      <c r="F4100" s="5" t="str">
        <f t="shared" si="947"/>
        <v>C:\Users\jaime.benazar\Quorum Business Solutions\Ecopetrol Prometeo - Documents\Planning Space Implementation\3. Analysis &amp; Design\Design\FC22\DRR Jaime\QUIFA-CAJÚA\Cajua\[VAS_CAJUA_CF_SEC_20230125.xlsx]CF PSNP'!</v>
      </c>
      <c r="G4100" s="6" t="s">
        <v>60</v>
      </c>
      <c r="H4100" s="1"/>
      <c r="I4100" s="1"/>
      <c r="J4100" s="1"/>
    </row>
    <row r="4101" spans="1:10" x14ac:dyDescent="0.25">
      <c r="A4101" s="6" t="s">
        <v>103</v>
      </c>
      <c r="B4101" s="6">
        <f t="shared" si="948"/>
        <v>2056</v>
      </c>
      <c r="C4101" s="1" t="s">
        <v>109</v>
      </c>
      <c r="D4101" s="2" t="s">
        <v>128</v>
      </c>
      <c r="E4101" s="9" t="str">
        <f t="shared" si="946"/>
        <v>PSNP'!</v>
      </c>
      <c r="F4101" s="5" t="str">
        <f t="shared" si="947"/>
        <v>C:\Users\jaime.benazar\Quorum Business Solutions\Ecopetrol Prometeo - Documents\Planning Space Implementation\3. Analysis &amp; Design\Design\FC22\DRR Jaime\QUIFA-CAJÚA\Cajua\[VAS_CAJUA_CF_SEC_20230125.xlsx]CF PSNP'!</v>
      </c>
      <c r="G4101" s="6" t="s">
        <v>60</v>
      </c>
      <c r="H4101" s="1"/>
      <c r="I4101" s="1"/>
      <c r="J4101" s="1"/>
    </row>
    <row r="4102" spans="1:10" x14ac:dyDescent="0.25">
      <c r="A4102" s="6" t="s">
        <v>103</v>
      </c>
      <c r="B4102" s="6">
        <f t="shared" si="948"/>
        <v>2057</v>
      </c>
      <c r="C4102" s="1" t="s">
        <v>109</v>
      </c>
      <c r="D4102" s="2" t="s">
        <v>128</v>
      </c>
      <c r="E4102" s="9" t="str">
        <f t="shared" si="946"/>
        <v>PSNP'!</v>
      </c>
      <c r="F4102" s="5" t="str">
        <f t="shared" si="947"/>
        <v>C:\Users\jaime.benazar\Quorum Business Solutions\Ecopetrol Prometeo - Documents\Planning Space Implementation\3. Analysis &amp; Design\Design\FC22\DRR Jaime\QUIFA-CAJÚA\Cajua\[VAS_CAJUA_CF_SEC_20230125.xlsx]CF PSNP'!</v>
      </c>
      <c r="G4102" s="6" t="s">
        <v>60</v>
      </c>
      <c r="H4102" s="1"/>
      <c r="I4102" s="1"/>
      <c r="J4102" s="1"/>
    </row>
    <row r="4103" spans="1:10" x14ac:dyDescent="0.25">
      <c r="A4103" s="6" t="s">
        <v>103</v>
      </c>
      <c r="B4103" s="6">
        <f t="shared" si="948"/>
        <v>2058</v>
      </c>
      <c r="C4103" s="1" t="s">
        <v>109</v>
      </c>
      <c r="D4103" s="2" t="s">
        <v>128</v>
      </c>
      <c r="E4103" s="9" t="str">
        <f t="shared" si="946"/>
        <v>PSNP'!</v>
      </c>
      <c r="F4103" s="5" t="str">
        <f t="shared" si="947"/>
        <v>C:\Users\jaime.benazar\Quorum Business Solutions\Ecopetrol Prometeo - Documents\Planning Space Implementation\3. Analysis &amp; Design\Design\FC22\DRR Jaime\QUIFA-CAJÚA\Cajua\[VAS_CAJUA_CF_SEC_20230125.xlsx]CF PSNP'!</v>
      </c>
      <c r="G4103" s="6" t="s">
        <v>60</v>
      </c>
      <c r="H4103" s="1"/>
      <c r="I4103" s="1"/>
      <c r="J4103" s="1"/>
    </row>
    <row r="4104" spans="1:10" x14ac:dyDescent="0.25">
      <c r="A4104" s="6" t="s">
        <v>103</v>
      </c>
      <c r="B4104" s="6">
        <f t="shared" si="948"/>
        <v>2059</v>
      </c>
      <c r="C4104" s="1" t="s">
        <v>109</v>
      </c>
      <c r="D4104" s="2" t="s">
        <v>128</v>
      </c>
      <c r="E4104" s="9" t="str">
        <f t="shared" si="946"/>
        <v>PSNP'!</v>
      </c>
      <c r="F4104" s="5" t="str">
        <f t="shared" si="947"/>
        <v>C:\Users\jaime.benazar\Quorum Business Solutions\Ecopetrol Prometeo - Documents\Planning Space Implementation\3. Analysis &amp; Design\Design\FC22\DRR Jaime\QUIFA-CAJÚA\Cajua\[VAS_CAJUA_CF_SEC_20230125.xlsx]CF PSNP'!</v>
      </c>
      <c r="G4104" s="6" t="s">
        <v>60</v>
      </c>
      <c r="H4104" s="1"/>
      <c r="I4104" s="1"/>
      <c r="J4104" s="1"/>
    </row>
    <row r="4105" spans="1:10" x14ac:dyDescent="0.25">
      <c r="A4105" s="6" t="s">
        <v>28</v>
      </c>
      <c r="B4105" s="6"/>
      <c r="C4105" s="1" t="s">
        <v>109</v>
      </c>
      <c r="D4105" s="2"/>
      <c r="E4105" s="9"/>
      <c r="F4105" s="5"/>
      <c r="G4105" s="6"/>
      <c r="H4105" s="1"/>
      <c r="I4105" s="1"/>
      <c r="J4105" s="12"/>
    </row>
    <row r="4106" spans="1:10" x14ac:dyDescent="0.25">
      <c r="A4106" s="6" t="s">
        <v>104</v>
      </c>
      <c r="B4106" s="6">
        <v>2023</v>
      </c>
      <c r="C4106" s="1" t="s">
        <v>109</v>
      </c>
      <c r="D4106" s="2" t="s">
        <v>128</v>
      </c>
      <c r="E4106" s="9" t="str">
        <f t="shared" ref="E4106:E4126" si="949">_xlfn.CONCAT(A4106,"'!")</f>
        <v>PSND'!</v>
      </c>
      <c r="F4106" s="5" t="str">
        <f t="shared" ref="F4106:F4126" si="950">_xlfn.CONCAT(D4106," ",E4106)</f>
        <v>C:\Users\jaime.benazar\Quorum Business Solutions\Ecopetrol Prometeo - Documents\Planning Space Implementation\3. Analysis &amp; Design\Design\FC22\DRR Jaime\QUIFA-CAJÚA\Cajua\[VAS_CAJUA_CF_SEC_20230125.xlsx]CF PSND'!</v>
      </c>
      <c r="G4106" s="6" t="s">
        <v>60</v>
      </c>
      <c r="H4106" s="1"/>
      <c r="I4106" s="1"/>
      <c r="J4106" s="1"/>
    </row>
    <row r="4107" spans="1:10" x14ac:dyDescent="0.25">
      <c r="A4107" s="6" t="s">
        <v>104</v>
      </c>
      <c r="B4107" s="6">
        <f>+B4106+1</f>
        <v>2024</v>
      </c>
      <c r="C4107" s="1" t="s">
        <v>109</v>
      </c>
      <c r="D4107" s="2" t="s">
        <v>128</v>
      </c>
      <c r="E4107" s="9" t="str">
        <f t="shared" si="949"/>
        <v>PSND'!</v>
      </c>
      <c r="F4107" s="5" t="str">
        <f t="shared" si="950"/>
        <v>C:\Users\jaime.benazar\Quorum Business Solutions\Ecopetrol Prometeo - Documents\Planning Space Implementation\3. Analysis &amp; Design\Design\FC22\DRR Jaime\QUIFA-CAJÚA\Cajua\[VAS_CAJUA_CF_SEC_20230125.xlsx]CF PSND'!</v>
      </c>
      <c r="G4107" s="6" t="s">
        <v>60</v>
      </c>
      <c r="H4107" s="1"/>
      <c r="I4107" s="1"/>
      <c r="J4107" s="1"/>
    </row>
    <row r="4108" spans="1:10" x14ac:dyDescent="0.25">
      <c r="A4108" s="6" t="s">
        <v>104</v>
      </c>
      <c r="B4108" s="6">
        <f t="shared" ref="B4108:B4119" si="951">+B4107+1</f>
        <v>2025</v>
      </c>
      <c r="C4108" s="1" t="s">
        <v>109</v>
      </c>
      <c r="D4108" s="2" t="s">
        <v>128</v>
      </c>
      <c r="E4108" s="9" t="str">
        <f t="shared" si="949"/>
        <v>PSND'!</v>
      </c>
      <c r="F4108" s="5" t="str">
        <f t="shared" si="950"/>
        <v>C:\Users\jaime.benazar\Quorum Business Solutions\Ecopetrol Prometeo - Documents\Planning Space Implementation\3. Analysis &amp; Design\Design\FC22\DRR Jaime\QUIFA-CAJÚA\Cajua\[VAS_CAJUA_CF_SEC_20230125.xlsx]CF PSND'!</v>
      </c>
      <c r="G4108" s="6" t="s">
        <v>60</v>
      </c>
      <c r="H4108" s="1"/>
      <c r="I4108" s="1"/>
      <c r="J4108" s="1"/>
    </row>
    <row r="4109" spans="1:10" x14ac:dyDescent="0.25">
      <c r="A4109" s="6" t="s">
        <v>104</v>
      </c>
      <c r="B4109" s="6">
        <f t="shared" si="951"/>
        <v>2026</v>
      </c>
      <c r="C4109" s="1" t="s">
        <v>109</v>
      </c>
      <c r="D4109" s="2" t="s">
        <v>128</v>
      </c>
      <c r="E4109" s="9" t="str">
        <f t="shared" si="949"/>
        <v>PSND'!</v>
      </c>
      <c r="F4109" s="5" t="str">
        <f t="shared" si="950"/>
        <v>C:\Users\jaime.benazar\Quorum Business Solutions\Ecopetrol Prometeo - Documents\Planning Space Implementation\3. Analysis &amp; Design\Design\FC22\DRR Jaime\QUIFA-CAJÚA\Cajua\[VAS_CAJUA_CF_SEC_20230125.xlsx]CF PSND'!</v>
      </c>
      <c r="G4109" s="6" t="s">
        <v>60</v>
      </c>
      <c r="H4109" s="1"/>
      <c r="I4109" s="1"/>
      <c r="J4109" s="1"/>
    </row>
    <row r="4110" spans="1:10" x14ac:dyDescent="0.25">
      <c r="A4110" s="6" t="s">
        <v>104</v>
      </c>
      <c r="B4110" s="6">
        <f t="shared" si="951"/>
        <v>2027</v>
      </c>
      <c r="C4110" s="1" t="s">
        <v>109</v>
      </c>
      <c r="D4110" s="2" t="s">
        <v>128</v>
      </c>
      <c r="E4110" s="9" t="str">
        <f t="shared" si="949"/>
        <v>PSND'!</v>
      </c>
      <c r="F4110" s="5" t="str">
        <f t="shared" si="950"/>
        <v>C:\Users\jaime.benazar\Quorum Business Solutions\Ecopetrol Prometeo - Documents\Planning Space Implementation\3. Analysis &amp; Design\Design\FC22\DRR Jaime\QUIFA-CAJÚA\Cajua\[VAS_CAJUA_CF_SEC_20230125.xlsx]CF PSND'!</v>
      </c>
      <c r="G4110" s="6" t="s">
        <v>60</v>
      </c>
      <c r="H4110" s="1"/>
      <c r="I4110" s="1"/>
      <c r="J4110" s="1"/>
    </row>
    <row r="4111" spans="1:10" x14ac:dyDescent="0.25">
      <c r="A4111" s="6" t="s">
        <v>104</v>
      </c>
      <c r="B4111" s="6">
        <f t="shared" si="951"/>
        <v>2028</v>
      </c>
      <c r="C4111" s="1" t="s">
        <v>109</v>
      </c>
      <c r="D4111" s="2" t="s">
        <v>128</v>
      </c>
      <c r="E4111" s="9" t="str">
        <f t="shared" si="949"/>
        <v>PSND'!</v>
      </c>
      <c r="F4111" s="5" t="str">
        <f t="shared" si="950"/>
        <v>C:\Users\jaime.benazar\Quorum Business Solutions\Ecopetrol Prometeo - Documents\Planning Space Implementation\3. Analysis &amp; Design\Design\FC22\DRR Jaime\QUIFA-CAJÚA\Cajua\[VAS_CAJUA_CF_SEC_20230125.xlsx]CF PSND'!</v>
      </c>
      <c r="G4111" s="6" t="s">
        <v>60</v>
      </c>
      <c r="H4111" s="1"/>
      <c r="I4111" s="1"/>
      <c r="J4111" s="1"/>
    </row>
    <row r="4112" spans="1:10" x14ac:dyDescent="0.25">
      <c r="A4112" s="6" t="s">
        <v>104</v>
      </c>
      <c r="B4112" s="6">
        <f t="shared" si="951"/>
        <v>2029</v>
      </c>
      <c r="C4112" s="1" t="s">
        <v>109</v>
      </c>
      <c r="D4112" s="2" t="s">
        <v>128</v>
      </c>
      <c r="E4112" s="9" t="str">
        <f t="shared" si="949"/>
        <v>PSND'!</v>
      </c>
      <c r="F4112" s="5" t="str">
        <f t="shared" si="950"/>
        <v>C:\Users\jaime.benazar\Quorum Business Solutions\Ecopetrol Prometeo - Documents\Planning Space Implementation\3. Analysis &amp; Design\Design\FC22\DRR Jaime\QUIFA-CAJÚA\Cajua\[VAS_CAJUA_CF_SEC_20230125.xlsx]CF PSND'!</v>
      </c>
      <c r="G4112" s="6" t="s">
        <v>60</v>
      </c>
      <c r="H4112" s="1"/>
      <c r="I4112" s="1"/>
      <c r="J4112" s="1"/>
    </row>
    <row r="4113" spans="1:10" x14ac:dyDescent="0.25">
      <c r="A4113" s="6" t="s">
        <v>104</v>
      </c>
      <c r="B4113" s="6">
        <f t="shared" si="951"/>
        <v>2030</v>
      </c>
      <c r="C4113" s="1" t="s">
        <v>109</v>
      </c>
      <c r="D4113" s="2" t="s">
        <v>128</v>
      </c>
      <c r="E4113" s="9" t="str">
        <f t="shared" si="949"/>
        <v>PSND'!</v>
      </c>
      <c r="F4113" s="5" t="str">
        <f t="shared" si="950"/>
        <v>C:\Users\jaime.benazar\Quorum Business Solutions\Ecopetrol Prometeo - Documents\Planning Space Implementation\3. Analysis &amp; Design\Design\FC22\DRR Jaime\QUIFA-CAJÚA\Cajua\[VAS_CAJUA_CF_SEC_20230125.xlsx]CF PSND'!</v>
      </c>
      <c r="G4113" s="6" t="s">
        <v>60</v>
      </c>
      <c r="H4113" s="1"/>
      <c r="I4113" s="1"/>
      <c r="J4113" s="1"/>
    </row>
    <row r="4114" spans="1:10" x14ac:dyDescent="0.25">
      <c r="A4114" s="6" t="s">
        <v>104</v>
      </c>
      <c r="B4114" s="6">
        <f t="shared" si="951"/>
        <v>2031</v>
      </c>
      <c r="C4114" s="1" t="s">
        <v>109</v>
      </c>
      <c r="D4114" s="2" t="s">
        <v>128</v>
      </c>
      <c r="E4114" s="9" t="str">
        <f t="shared" si="949"/>
        <v>PSND'!</v>
      </c>
      <c r="F4114" s="5" t="str">
        <f t="shared" si="950"/>
        <v>C:\Users\jaime.benazar\Quorum Business Solutions\Ecopetrol Prometeo - Documents\Planning Space Implementation\3. Analysis &amp; Design\Design\FC22\DRR Jaime\QUIFA-CAJÚA\Cajua\[VAS_CAJUA_CF_SEC_20230125.xlsx]CF PSND'!</v>
      </c>
      <c r="G4114" s="6" t="s">
        <v>60</v>
      </c>
      <c r="H4114" s="1"/>
      <c r="I4114" s="1"/>
      <c r="J4114" s="1"/>
    </row>
    <row r="4115" spans="1:10" x14ac:dyDescent="0.25">
      <c r="A4115" s="6" t="s">
        <v>104</v>
      </c>
      <c r="B4115" s="6">
        <f t="shared" si="951"/>
        <v>2032</v>
      </c>
      <c r="C4115" s="1" t="s">
        <v>109</v>
      </c>
      <c r="D4115" s="2" t="s">
        <v>128</v>
      </c>
      <c r="E4115" s="9" t="str">
        <f t="shared" si="949"/>
        <v>PSND'!</v>
      </c>
      <c r="F4115" s="5" t="str">
        <f t="shared" si="950"/>
        <v>C:\Users\jaime.benazar\Quorum Business Solutions\Ecopetrol Prometeo - Documents\Planning Space Implementation\3. Analysis &amp; Design\Design\FC22\DRR Jaime\QUIFA-CAJÚA\Cajua\[VAS_CAJUA_CF_SEC_20230125.xlsx]CF PSND'!</v>
      </c>
      <c r="G4115" s="6" t="s">
        <v>60</v>
      </c>
      <c r="H4115" s="1"/>
      <c r="I4115" s="1"/>
      <c r="J4115" s="1"/>
    </row>
    <row r="4116" spans="1:10" x14ac:dyDescent="0.25">
      <c r="A4116" s="6" t="s">
        <v>104</v>
      </c>
      <c r="B4116" s="6">
        <f t="shared" si="951"/>
        <v>2033</v>
      </c>
      <c r="C4116" s="1" t="s">
        <v>109</v>
      </c>
      <c r="D4116" s="2" t="s">
        <v>128</v>
      </c>
      <c r="E4116" s="9" t="str">
        <f t="shared" si="949"/>
        <v>PSND'!</v>
      </c>
      <c r="F4116" s="5" t="str">
        <f t="shared" si="950"/>
        <v>C:\Users\jaime.benazar\Quorum Business Solutions\Ecopetrol Prometeo - Documents\Planning Space Implementation\3. Analysis &amp; Design\Design\FC22\DRR Jaime\QUIFA-CAJÚA\Cajua\[VAS_CAJUA_CF_SEC_20230125.xlsx]CF PSND'!</v>
      </c>
      <c r="G4116" s="6" t="s">
        <v>60</v>
      </c>
      <c r="H4116" s="1"/>
      <c r="I4116" s="1"/>
      <c r="J4116" s="1"/>
    </row>
    <row r="4117" spans="1:10" x14ac:dyDescent="0.25">
      <c r="A4117" s="6" t="s">
        <v>104</v>
      </c>
      <c r="B4117" s="6">
        <f t="shared" si="951"/>
        <v>2034</v>
      </c>
      <c r="C4117" s="1" t="s">
        <v>109</v>
      </c>
      <c r="D4117" s="2" t="s">
        <v>128</v>
      </c>
      <c r="E4117" s="9" t="str">
        <f t="shared" si="949"/>
        <v>PSND'!</v>
      </c>
      <c r="F4117" s="5" t="str">
        <f t="shared" si="950"/>
        <v>C:\Users\jaime.benazar\Quorum Business Solutions\Ecopetrol Prometeo - Documents\Planning Space Implementation\3. Analysis &amp; Design\Design\FC22\DRR Jaime\QUIFA-CAJÚA\Cajua\[VAS_CAJUA_CF_SEC_20230125.xlsx]CF PSND'!</v>
      </c>
      <c r="G4117" s="6" t="s">
        <v>60</v>
      </c>
      <c r="H4117" s="1"/>
      <c r="I4117" s="1"/>
      <c r="J4117" s="1"/>
    </row>
    <row r="4118" spans="1:10" x14ac:dyDescent="0.25">
      <c r="A4118" s="6" t="s">
        <v>104</v>
      </c>
      <c r="B4118" s="6">
        <f t="shared" si="951"/>
        <v>2035</v>
      </c>
      <c r="C4118" s="1" t="s">
        <v>109</v>
      </c>
      <c r="D4118" s="2" t="s">
        <v>128</v>
      </c>
      <c r="E4118" s="9" t="str">
        <f t="shared" si="949"/>
        <v>PSND'!</v>
      </c>
      <c r="F4118" s="5" t="str">
        <f t="shared" si="950"/>
        <v>C:\Users\jaime.benazar\Quorum Business Solutions\Ecopetrol Prometeo - Documents\Planning Space Implementation\3. Analysis &amp; Design\Design\FC22\DRR Jaime\QUIFA-CAJÚA\Cajua\[VAS_CAJUA_CF_SEC_20230125.xlsx]CF PSND'!</v>
      </c>
      <c r="G4118" s="6" t="s">
        <v>60</v>
      </c>
      <c r="H4118" s="1"/>
      <c r="I4118" s="1"/>
      <c r="J4118" s="1"/>
    </row>
    <row r="4119" spans="1:10" x14ac:dyDescent="0.25">
      <c r="A4119" s="6" t="s">
        <v>104</v>
      </c>
      <c r="B4119" s="6">
        <f t="shared" si="951"/>
        <v>2036</v>
      </c>
      <c r="C4119" s="1" t="s">
        <v>109</v>
      </c>
      <c r="D4119" s="2" t="s">
        <v>128</v>
      </c>
      <c r="E4119" s="9" t="str">
        <f t="shared" si="949"/>
        <v>PSND'!</v>
      </c>
      <c r="F4119" s="5" t="str">
        <f t="shared" si="950"/>
        <v>C:\Users\jaime.benazar\Quorum Business Solutions\Ecopetrol Prometeo - Documents\Planning Space Implementation\3. Analysis &amp; Design\Design\FC22\DRR Jaime\QUIFA-CAJÚA\Cajua\[VAS_CAJUA_CF_SEC_20230125.xlsx]CF PSND'!</v>
      </c>
      <c r="G4119" s="6" t="s">
        <v>60</v>
      </c>
      <c r="H4119" s="1"/>
      <c r="I4119" s="1"/>
      <c r="J4119" s="1"/>
    </row>
    <row r="4120" spans="1:10" x14ac:dyDescent="0.25">
      <c r="A4120" s="6" t="s">
        <v>104</v>
      </c>
      <c r="B4120" s="6">
        <f>+B4119+1</f>
        <v>2037</v>
      </c>
      <c r="C4120" s="1" t="s">
        <v>109</v>
      </c>
      <c r="D4120" s="2" t="s">
        <v>128</v>
      </c>
      <c r="E4120" s="9" t="str">
        <f t="shared" si="949"/>
        <v>PSND'!</v>
      </c>
      <c r="F4120" s="5" t="str">
        <f t="shared" si="950"/>
        <v>C:\Users\jaime.benazar\Quorum Business Solutions\Ecopetrol Prometeo - Documents\Planning Space Implementation\3. Analysis &amp; Design\Design\FC22\DRR Jaime\QUIFA-CAJÚA\Cajua\[VAS_CAJUA_CF_SEC_20230125.xlsx]CF PSND'!</v>
      </c>
      <c r="G4120" s="6" t="s">
        <v>60</v>
      </c>
      <c r="H4120" s="1"/>
      <c r="I4120" s="1"/>
      <c r="J4120" s="1"/>
    </row>
    <row r="4121" spans="1:10" x14ac:dyDescent="0.25">
      <c r="A4121" s="6" t="s">
        <v>104</v>
      </c>
      <c r="B4121" s="6">
        <f t="shared" ref="B4121:B4123" si="952">+B4120+1</f>
        <v>2038</v>
      </c>
      <c r="C4121" s="1" t="s">
        <v>109</v>
      </c>
      <c r="D4121" s="2" t="s">
        <v>128</v>
      </c>
      <c r="E4121" s="9" t="str">
        <f t="shared" si="949"/>
        <v>PSND'!</v>
      </c>
      <c r="F4121" s="5" t="str">
        <f t="shared" si="950"/>
        <v>C:\Users\jaime.benazar\Quorum Business Solutions\Ecopetrol Prometeo - Documents\Planning Space Implementation\3. Analysis &amp; Design\Design\FC22\DRR Jaime\QUIFA-CAJÚA\Cajua\[VAS_CAJUA_CF_SEC_20230125.xlsx]CF PSND'!</v>
      </c>
      <c r="G4121" s="6" t="s">
        <v>60</v>
      </c>
      <c r="H4121" s="1"/>
      <c r="I4121" s="1"/>
      <c r="J4121" s="1"/>
    </row>
    <row r="4122" spans="1:10" x14ac:dyDescent="0.25">
      <c r="A4122" s="6" t="s">
        <v>104</v>
      </c>
      <c r="B4122" s="6">
        <f t="shared" si="952"/>
        <v>2039</v>
      </c>
      <c r="C4122" s="1" t="s">
        <v>109</v>
      </c>
      <c r="D4122" s="2" t="s">
        <v>128</v>
      </c>
      <c r="E4122" s="9" t="str">
        <f t="shared" si="949"/>
        <v>PSND'!</v>
      </c>
      <c r="F4122" s="5" t="str">
        <f t="shared" si="950"/>
        <v>C:\Users\jaime.benazar\Quorum Business Solutions\Ecopetrol Prometeo - Documents\Planning Space Implementation\3. Analysis &amp; Design\Design\FC22\DRR Jaime\QUIFA-CAJÚA\Cajua\[VAS_CAJUA_CF_SEC_20230125.xlsx]CF PSND'!</v>
      </c>
      <c r="G4122" s="6" t="s">
        <v>60</v>
      </c>
      <c r="H4122" s="1"/>
      <c r="I4122" s="1"/>
      <c r="J4122" s="1"/>
    </row>
    <row r="4123" spans="1:10" x14ac:dyDescent="0.25">
      <c r="A4123" s="6" t="s">
        <v>104</v>
      </c>
      <c r="B4123" s="6">
        <f t="shared" si="952"/>
        <v>2040</v>
      </c>
      <c r="C4123" s="1" t="s">
        <v>109</v>
      </c>
      <c r="D4123" s="2" t="s">
        <v>128</v>
      </c>
      <c r="E4123" s="9" t="str">
        <f t="shared" si="949"/>
        <v>PSND'!</v>
      </c>
      <c r="F4123" s="5" t="str">
        <f t="shared" si="950"/>
        <v>C:\Users\jaime.benazar\Quorum Business Solutions\Ecopetrol Prometeo - Documents\Planning Space Implementation\3. Analysis &amp; Design\Design\FC22\DRR Jaime\QUIFA-CAJÚA\Cajua\[VAS_CAJUA_CF_SEC_20230125.xlsx]CF PSND'!</v>
      </c>
      <c r="G4123" s="6" t="s">
        <v>60</v>
      </c>
      <c r="H4123" s="1"/>
      <c r="I4123" s="1"/>
      <c r="J4123" s="1"/>
    </row>
    <row r="4124" spans="1:10" x14ac:dyDescent="0.25">
      <c r="A4124" s="6" t="s">
        <v>104</v>
      </c>
      <c r="B4124" s="6">
        <f>+B4123+1</f>
        <v>2041</v>
      </c>
      <c r="C4124" s="1" t="s">
        <v>109</v>
      </c>
      <c r="D4124" s="2" t="s">
        <v>128</v>
      </c>
      <c r="E4124" s="9" t="str">
        <f t="shared" si="949"/>
        <v>PSND'!</v>
      </c>
      <c r="F4124" s="5" t="str">
        <f t="shared" si="950"/>
        <v>C:\Users\jaime.benazar\Quorum Business Solutions\Ecopetrol Prometeo - Documents\Planning Space Implementation\3. Analysis &amp; Design\Design\FC22\DRR Jaime\QUIFA-CAJÚA\Cajua\[VAS_CAJUA_CF_SEC_20230125.xlsx]CF PSND'!</v>
      </c>
      <c r="G4124" s="6" t="s">
        <v>60</v>
      </c>
      <c r="H4124" s="1"/>
      <c r="I4124" s="1"/>
      <c r="J4124" s="1"/>
    </row>
    <row r="4125" spans="1:10" x14ac:dyDescent="0.25">
      <c r="A4125" s="6" t="s">
        <v>104</v>
      </c>
      <c r="B4125" s="6">
        <f t="shared" ref="B4125:B4126" si="953">+B4124+1</f>
        <v>2042</v>
      </c>
      <c r="C4125" s="1" t="s">
        <v>109</v>
      </c>
      <c r="D4125" s="2" t="s">
        <v>128</v>
      </c>
      <c r="E4125" s="9" t="str">
        <f t="shared" si="949"/>
        <v>PSND'!</v>
      </c>
      <c r="F4125" s="5" t="str">
        <f t="shared" si="950"/>
        <v>C:\Users\jaime.benazar\Quorum Business Solutions\Ecopetrol Prometeo - Documents\Planning Space Implementation\3. Analysis &amp; Design\Design\FC22\DRR Jaime\QUIFA-CAJÚA\Cajua\[VAS_CAJUA_CF_SEC_20230125.xlsx]CF PSND'!</v>
      </c>
      <c r="G4125" s="6" t="s">
        <v>60</v>
      </c>
      <c r="H4125" s="1"/>
      <c r="I4125" s="1"/>
      <c r="J4125" s="1"/>
    </row>
    <row r="4126" spans="1:10" x14ac:dyDescent="0.25">
      <c r="A4126" s="6" t="s">
        <v>104</v>
      </c>
      <c r="B4126" s="6">
        <f t="shared" si="953"/>
        <v>2043</v>
      </c>
      <c r="C4126" s="1" t="s">
        <v>109</v>
      </c>
      <c r="D4126" s="2" t="s">
        <v>128</v>
      </c>
      <c r="E4126" s="9" t="str">
        <f t="shared" si="949"/>
        <v>PSND'!</v>
      </c>
      <c r="F4126" s="5" t="str">
        <f t="shared" si="950"/>
        <v>C:\Users\jaime.benazar\Quorum Business Solutions\Ecopetrol Prometeo - Documents\Planning Space Implementation\3. Analysis &amp; Design\Design\FC22\DRR Jaime\QUIFA-CAJÚA\Cajua\[VAS_CAJUA_CF_SEC_20230125.xlsx]CF PSND'!</v>
      </c>
      <c r="G4126" s="6" t="s">
        <v>60</v>
      </c>
      <c r="H4126" s="1"/>
      <c r="I4126" s="1"/>
      <c r="J4126" s="1"/>
    </row>
    <row r="4127" spans="1:10" x14ac:dyDescent="0.25">
      <c r="A4127" s="6" t="s">
        <v>104</v>
      </c>
      <c r="B4127" s="6">
        <f>+B4126+1</f>
        <v>2044</v>
      </c>
      <c r="C4127" s="1" t="s">
        <v>109</v>
      </c>
      <c r="D4127" s="2" t="s">
        <v>128</v>
      </c>
      <c r="E4127" s="9" t="str">
        <f t="shared" ref="E4127:E4142" si="954">_xlfn.CONCAT(A4127,"'!")</f>
        <v>PSND'!</v>
      </c>
      <c r="F4127" s="5" t="str">
        <f t="shared" ref="F4127:F4142" si="955">_xlfn.CONCAT(D4127," ",E4127)</f>
        <v>C:\Users\jaime.benazar\Quorum Business Solutions\Ecopetrol Prometeo - Documents\Planning Space Implementation\3. Analysis &amp; Design\Design\FC22\DRR Jaime\QUIFA-CAJÚA\Cajua\[VAS_CAJUA_CF_SEC_20230125.xlsx]CF PSND'!</v>
      </c>
      <c r="G4127" s="6" t="s">
        <v>60</v>
      </c>
      <c r="H4127" s="1"/>
      <c r="I4127" s="1"/>
      <c r="J4127" s="1"/>
    </row>
    <row r="4128" spans="1:10" x14ac:dyDescent="0.25">
      <c r="A4128" s="6" t="s">
        <v>104</v>
      </c>
      <c r="B4128" s="6">
        <f t="shared" ref="B4128:B4142" si="956">+B4127+1</f>
        <v>2045</v>
      </c>
      <c r="C4128" s="1" t="s">
        <v>109</v>
      </c>
      <c r="D4128" s="2" t="s">
        <v>128</v>
      </c>
      <c r="E4128" s="9" t="str">
        <f t="shared" si="954"/>
        <v>PSND'!</v>
      </c>
      <c r="F4128" s="5" t="str">
        <f t="shared" si="955"/>
        <v>C:\Users\jaime.benazar\Quorum Business Solutions\Ecopetrol Prometeo - Documents\Planning Space Implementation\3. Analysis &amp; Design\Design\FC22\DRR Jaime\QUIFA-CAJÚA\Cajua\[VAS_CAJUA_CF_SEC_20230125.xlsx]CF PSND'!</v>
      </c>
      <c r="G4128" s="6" t="s">
        <v>60</v>
      </c>
      <c r="H4128" s="1"/>
      <c r="I4128" s="1"/>
      <c r="J4128" s="1"/>
    </row>
    <row r="4129" spans="1:10" x14ac:dyDescent="0.25">
      <c r="A4129" s="6" t="s">
        <v>104</v>
      </c>
      <c r="B4129" s="6">
        <f t="shared" si="956"/>
        <v>2046</v>
      </c>
      <c r="C4129" s="1" t="s">
        <v>109</v>
      </c>
      <c r="D4129" s="2" t="s">
        <v>128</v>
      </c>
      <c r="E4129" s="9" t="str">
        <f t="shared" si="954"/>
        <v>PSND'!</v>
      </c>
      <c r="F4129" s="5" t="str">
        <f t="shared" si="955"/>
        <v>C:\Users\jaime.benazar\Quorum Business Solutions\Ecopetrol Prometeo - Documents\Planning Space Implementation\3. Analysis &amp; Design\Design\FC22\DRR Jaime\QUIFA-CAJÚA\Cajua\[VAS_CAJUA_CF_SEC_20230125.xlsx]CF PSND'!</v>
      </c>
      <c r="G4129" s="6" t="s">
        <v>60</v>
      </c>
      <c r="H4129" s="1"/>
      <c r="I4129" s="1"/>
      <c r="J4129" s="1"/>
    </row>
    <row r="4130" spans="1:10" x14ac:dyDescent="0.25">
      <c r="A4130" s="6" t="s">
        <v>104</v>
      </c>
      <c r="B4130" s="6">
        <f t="shared" si="956"/>
        <v>2047</v>
      </c>
      <c r="C4130" s="1" t="s">
        <v>109</v>
      </c>
      <c r="D4130" s="2" t="s">
        <v>128</v>
      </c>
      <c r="E4130" s="9" t="str">
        <f t="shared" si="954"/>
        <v>PSND'!</v>
      </c>
      <c r="F4130" s="5" t="str">
        <f t="shared" si="955"/>
        <v>C:\Users\jaime.benazar\Quorum Business Solutions\Ecopetrol Prometeo - Documents\Planning Space Implementation\3. Analysis &amp; Design\Design\FC22\DRR Jaime\QUIFA-CAJÚA\Cajua\[VAS_CAJUA_CF_SEC_20230125.xlsx]CF PSND'!</v>
      </c>
      <c r="G4130" s="6" t="s">
        <v>60</v>
      </c>
      <c r="H4130" s="1"/>
      <c r="I4130" s="1"/>
      <c r="J4130" s="1"/>
    </row>
    <row r="4131" spans="1:10" x14ac:dyDescent="0.25">
      <c r="A4131" s="6" t="s">
        <v>104</v>
      </c>
      <c r="B4131" s="6">
        <f t="shared" si="956"/>
        <v>2048</v>
      </c>
      <c r="C4131" s="1" t="s">
        <v>109</v>
      </c>
      <c r="D4131" s="2" t="s">
        <v>128</v>
      </c>
      <c r="E4131" s="9" t="str">
        <f t="shared" si="954"/>
        <v>PSND'!</v>
      </c>
      <c r="F4131" s="5" t="str">
        <f t="shared" si="955"/>
        <v>C:\Users\jaime.benazar\Quorum Business Solutions\Ecopetrol Prometeo - Documents\Planning Space Implementation\3. Analysis &amp; Design\Design\FC22\DRR Jaime\QUIFA-CAJÚA\Cajua\[VAS_CAJUA_CF_SEC_20230125.xlsx]CF PSND'!</v>
      </c>
      <c r="G4131" s="6" t="s">
        <v>60</v>
      </c>
      <c r="H4131" s="1"/>
      <c r="I4131" s="1"/>
      <c r="J4131" s="1"/>
    </row>
    <row r="4132" spans="1:10" x14ac:dyDescent="0.25">
      <c r="A4132" s="6" t="s">
        <v>104</v>
      </c>
      <c r="B4132" s="6">
        <f t="shared" si="956"/>
        <v>2049</v>
      </c>
      <c r="C4132" s="1" t="s">
        <v>109</v>
      </c>
      <c r="D4132" s="2" t="s">
        <v>128</v>
      </c>
      <c r="E4132" s="9" t="str">
        <f t="shared" si="954"/>
        <v>PSND'!</v>
      </c>
      <c r="F4132" s="5" t="str">
        <f t="shared" si="955"/>
        <v>C:\Users\jaime.benazar\Quorum Business Solutions\Ecopetrol Prometeo - Documents\Planning Space Implementation\3. Analysis &amp; Design\Design\FC22\DRR Jaime\QUIFA-CAJÚA\Cajua\[VAS_CAJUA_CF_SEC_20230125.xlsx]CF PSND'!</v>
      </c>
      <c r="G4132" s="6" t="s">
        <v>60</v>
      </c>
      <c r="H4132" s="1"/>
      <c r="I4132" s="1"/>
      <c r="J4132" s="1"/>
    </row>
    <row r="4133" spans="1:10" x14ac:dyDescent="0.25">
      <c r="A4133" s="6" t="s">
        <v>104</v>
      </c>
      <c r="B4133" s="6">
        <f t="shared" si="956"/>
        <v>2050</v>
      </c>
      <c r="C4133" s="1" t="s">
        <v>109</v>
      </c>
      <c r="D4133" s="2" t="s">
        <v>128</v>
      </c>
      <c r="E4133" s="9" t="str">
        <f t="shared" si="954"/>
        <v>PSND'!</v>
      </c>
      <c r="F4133" s="5" t="str">
        <f t="shared" si="955"/>
        <v>C:\Users\jaime.benazar\Quorum Business Solutions\Ecopetrol Prometeo - Documents\Planning Space Implementation\3. Analysis &amp; Design\Design\FC22\DRR Jaime\QUIFA-CAJÚA\Cajua\[VAS_CAJUA_CF_SEC_20230125.xlsx]CF PSND'!</v>
      </c>
      <c r="G4133" s="6" t="s">
        <v>60</v>
      </c>
      <c r="H4133" s="1"/>
      <c r="I4133" s="1"/>
      <c r="J4133" s="1"/>
    </row>
    <row r="4134" spans="1:10" x14ac:dyDescent="0.25">
      <c r="A4134" s="6" t="s">
        <v>104</v>
      </c>
      <c r="B4134" s="6">
        <f t="shared" si="956"/>
        <v>2051</v>
      </c>
      <c r="C4134" s="1" t="s">
        <v>109</v>
      </c>
      <c r="D4134" s="2" t="s">
        <v>128</v>
      </c>
      <c r="E4134" s="9" t="str">
        <f t="shared" si="954"/>
        <v>PSND'!</v>
      </c>
      <c r="F4134" s="5" t="str">
        <f t="shared" si="955"/>
        <v>C:\Users\jaime.benazar\Quorum Business Solutions\Ecopetrol Prometeo - Documents\Planning Space Implementation\3. Analysis &amp; Design\Design\FC22\DRR Jaime\QUIFA-CAJÚA\Cajua\[VAS_CAJUA_CF_SEC_20230125.xlsx]CF PSND'!</v>
      </c>
      <c r="G4134" s="6" t="s">
        <v>60</v>
      </c>
      <c r="H4134" s="1"/>
      <c r="I4134" s="1"/>
      <c r="J4134" s="1"/>
    </row>
    <row r="4135" spans="1:10" x14ac:dyDescent="0.25">
      <c r="A4135" s="6" t="s">
        <v>104</v>
      </c>
      <c r="B4135" s="6">
        <f t="shared" si="956"/>
        <v>2052</v>
      </c>
      <c r="C4135" s="1" t="s">
        <v>109</v>
      </c>
      <c r="D4135" s="2" t="s">
        <v>128</v>
      </c>
      <c r="E4135" s="9" t="str">
        <f t="shared" si="954"/>
        <v>PSND'!</v>
      </c>
      <c r="F4135" s="5" t="str">
        <f t="shared" si="955"/>
        <v>C:\Users\jaime.benazar\Quorum Business Solutions\Ecopetrol Prometeo - Documents\Planning Space Implementation\3. Analysis &amp; Design\Design\FC22\DRR Jaime\QUIFA-CAJÚA\Cajua\[VAS_CAJUA_CF_SEC_20230125.xlsx]CF PSND'!</v>
      </c>
      <c r="G4135" s="6" t="s">
        <v>60</v>
      </c>
      <c r="H4135" s="1"/>
      <c r="I4135" s="1"/>
      <c r="J4135" s="1"/>
    </row>
    <row r="4136" spans="1:10" x14ac:dyDescent="0.25">
      <c r="A4136" s="6" t="s">
        <v>104</v>
      </c>
      <c r="B4136" s="6">
        <f t="shared" si="956"/>
        <v>2053</v>
      </c>
      <c r="C4136" s="1" t="s">
        <v>109</v>
      </c>
      <c r="D4136" s="2" t="s">
        <v>128</v>
      </c>
      <c r="E4136" s="9" t="str">
        <f t="shared" si="954"/>
        <v>PSND'!</v>
      </c>
      <c r="F4136" s="5" t="str">
        <f t="shared" si="955"/>
        <v>C:\Users\jaime.benazar\Quorum Business Solutions\Ecopetrol Prometeo - Documents\Planning Space Implementation\3. Analysis &amp; Design\Design\FC22\DRR Jaime\QUIFA-CAJÚA\Cajua\[VAS_CAJUA_CF_SEC_20230125.xlsx]CF PSND'!</v>
      </c>
      <c r="G4136" s="6" t="s">
        <v>60</v>
      </c>
      <c r="H4136" s="1"/>
      <c r="I4136" s="1"/>
      <c r="J4136" s="1"/>
    </row>
    <row r="4137" spans="1:10" x14ac:dyDescent="0.25">
      <c r="A4137" s="6" t="s">
        <v>104</v>
      </c>
      <c r="B4137" s="6">
        <f t="shared" si="956"/>
        <v>2054</v>
      </c>
      <c r="C4137" s="1" t="s">
        <v>109</v>
      </c>
      <c r="D4137" s="2" t="s">
        <v>128</v>
      </c>
      <c r="E4137" s="9" t="str">
        <f t="shared" si="954"/>
        <v>PSND'!</v>
      </c>
      <c r="F4137" s="5" t="str">
        <f t="shared" si="955"/>
        <v>C:\Users\jaime.benazar\Quorum Business Solutions\Ecopetrol Prometeo - Documents\Planning Space Implementation\3. Analysis &amp; Design\Design\FC22\DRR Jaime\QUIFA-CAJÚA\Cajua\[VAS_CAJUA_CF_SEC_20230125.xlsx]CF PSND'!</v>
      </c>
      <c r="G4137" s="6" t="s">
        <v>60</v>
      </c>
      <c r="H4137" s="1"/>
      <c r="I4137" s="1"/>
      <c r="J4137" s="1"/>
    </row>
    <row r="4138" spans="1:10" x14ac:dyDescent="0.25">
      <c r="A4138" s="6" t="s">
        <v>104</v>
      </c>
      <c r="B4138" s="6">
        <f t="shared" si="956"/>
        <v>2055</v>
      </c>
      <c r="C4138" s="1" t="s">
        <v>109</v>
      </c>
      <c r="D4138" s="2" t="s">
        <v>128</v>
      </c>
      <c r="E4138" s="9" t="str">
        <f t="shared" si="954"/>
        <v>PSND'!</v>
      </c>
      <c r="F4138" s="5" t="str">
        <f t="shared" si="955"/>
        <v>C:\Users\jaime.benazar\Quorum Business Solutions\Ecopetrol Prometeo - Documents\Planning Space Implementation\3. Analysis &amp; Design\Design\FC22\DRR Jaime\QUIFA-CAJÚA\Cajua\[VAS_CAJUA_CF_SEC_20230125.xlsx]CF PSND'!</v>
      </c>
      <c r="G4138" s="6" t="s">
        <v>60</v>
      </c>
      <c r="H4138" s="1"/>
      <c r="I4138" s="1"/>
      <c r="J4138" s="1"/>
    </row>
    <row r="4139" spans="1:10" x14ac:dyDescent="0.25">
      <c r="A4139" s="6" t="s">
        <v>104</v>
      </c>
      <c r="B4139" s="6">
        <f t="shared" si="956"/>
        <v>2056</v>
      </c>
      <c r="C4139" s="1" t="s">
        <v>109</v>
      </c>
      <c r="D4139" s="2" t="s">
        <v>128</v>
      </c>
      <c r="E4139" s="9" t="str">
        <f t="shared" si="954"/>
        <v>PSND'!</v>
      </c>
      <c r="F4139" s="5" t="str">
        <f t="shared" si="955"/>
        <v>C:\Users\jaime.benazar\Quorum Business Solutions\Ecopetrol Prometeo - Documents\Planning Space Implementation\3. Analysis &amp; Design\Design\FC22\DRR Jaime\QUIFA-CAJÚA\Cajua\[VAS_CAJUA_CF_SEC_20230125.xlsx]CF PSND'!</v>
      </c>
      <c r="G4139" s="6" t="s">
        <v>60</v>
      </c>
      <c r="H4139" s="1"/>
      <c r="I4139" s="1"/>
      <c r="J4139" s="1"/>
    </row>
    <row r="4140" spans="1:10" x14ac:dyDescent="0.25">
      <c r="A4140" s="6" t="s">
        <v>104</v>
      </c>
      <c r="B4140" s="6">
        <f t="shared" si="956"/>
        <v>2057</v>
      </c>
      <c r="C4140" s="1" t="s">
        <v>109</v>
      </c>
      <c r="D4140" s="2" t="s">
        <v>128</v>
      </c>
      <c r="E4140" s="9" t="str">
        <f t="shared" si="954"/>
        <v>PSND'!</v>
      </c>
      <c r="F4140" s="5" t="str">
        <f t="shared" si="955"/>
        <v>C:\Users\jaime.benazar\Quorum Business Solutions\Ecopetrol Prometeo - Documents\Planning Space Implementation\3. Analysis &amp; Design\Design\FC22\DRR Jaime\QUIFA-CAJÚA\Cajua\[VAS_CAJUA_CF_SEC_20230125.xlsx]CF PSND'!</v>
      </c>
      <c r="G4140" s="6" t="s">
        <v>60</v>
      </c>
      <c r="H4140" s="1"/>
      <c r="I4140" s="1"/>
      <c r="J4140" s="1"/>
    </row>
    <row r="4141" spans="1:10" x14ac:dyDescent="0.25">
      <c r="A4141" s="6" t="s">
        <v>104</v>
      </c>
      <c r="B4141" s="6">
        <f t="shared" si="956"/>
        <v>2058</v>
      </c>
      <c r="C4141" s="1" t="s">
        <v>109</v>
      </c>
      <c r="D4141" s="2" t="s">
        <v>128</v>
      </c>
      <c r="E4141" s="9" t="str">
        <f t="shared" si="954"/>
        <v>PSND'!</v>
      </c>
      <c r="F4141" s="5" t="str">
        <f t="shared" si="955"/>
        <v>C:\Users\jaime.benazar\Quorum Business Solutions\Ecopetrol Prometeo - Documents\Planning Space Implementation\3. Analysis &amp; Design\Design\FC22\DRR Jaime\QUIFA-CAJÚA\Cajua\[VAS_CAJUA_CF_SEC_20230125.xlsx]CF PSND'!</v>
      </c>
      <c r="G4141" s="6" t="s">
        <v>60</v>
      </c>
      <c r="H4141" s="1"/>
      <c r="I4141" s="1"/>
      <c r="J4141" s="1"/>
    </row>
    <row r="4142" spans="1:10" x14ac:dyDescent="0.25">
      <c r="A4142" s="6" t="s">
        <v>104</v>
      </c>
      <c r="B4142" s="6">
        <f t="shared" si="956"/>
        <v>2059</v>
      </c>
      <c r="C4142" s="1" t="s">
        <v>109</v>
      </c>
      <c r="D4142" s="2" t="s">
        <v>128</v>
      </c>
      <c r="E4142" s="9" t="str">
        <f t="shared" si="954"/>
        <v>PSND'!</v>
      </c>
      <c r="F4142" s="5" t="str">
        <f t="shared" si="955"/>
        <v>C:\Users\jaime.benazar\Quorum Business Solutions\Ecopetrol Prometeo - Documents\Planning Space Implementation\3. Analysis &amp; Design\Design\FC22\DRR Jaime\QUIFA-CAJÚA\Cajua\[VAS_CAJUA_CF_SEC_20230125.xlsx]CF PSND'!</v>
      </c>
      <c r="G4142" s="6" t="s">
        <v>60</v>
      </c>
      <c r="H4142" s="1"/>
      <c r="I4142" s="1"/>
      <c r="J4142" s="1"/>
    </row>
    <row r="4143" spans="1:10" x14ac:dyDescent="0.25">
      <c r="A4143" s="6" t="s">
        <v>28</v>
      </c>
      <c r="B4143" s="6"/>
      <c r="C4143" s="1" t="s">
        <v>109</v>
      </c>
      <c r="D4143" s="2"/>
      <c r="E4143" s="9"/>
      <c r="F4143" s="5"/>
      <c r="G4143" s="6"/>
      <c r="H4143" s="1"/>
      <c r="I4143" s="1"/>
      <c r="J4143" s="12"/>
    </row>
    <row r="4144" spans="1:10" x14ac:dyDescent="0.25">
      <c r="A4144" s="6" t="s">
        <v>34</v>
      </c>
      <c r="B4144" s="6">
        <v>2023</v>
      </c>
      <c r="C4144" s="1" t="s">
        <v>109</v>
      </c>
      <c r="D4144" s="2" t="s">
        <v>128</v>
      </c>
      <c r="E4144" s="9" t="str">
        <f t="shared" ref="E4144:E4164" si="957">_xlfn.CONCAT(A4144,"'!")</f>
        <v>PS'!</v>
      </c>
      <c r="F4144" s="5" t="str">
        <f t="shared" ref="F4144:F4164" si="958">_xlfn.CONCAT(D4144," ",E4144)</f>
        <v>C:\Users\jaime.benazar\Quorum Business Solutions\Ecopetrol Prometeo - Documents\Planning Space Implementation\3. Analysis &amp; Design\Design\FC22\DRR Jaime\QUIFA-CAJÚA\Cajua\[VAS_CAJUA_CF_SEC_20230125.xlsx]CF PS'!</v>
      </c>
      <c r="G4144" s="6" t="s">
        <v>60</v>
      </c>
      <c r="H4144" s="1">
        <f>IF(A4144&lt;&gt;A4014,36,H4014+1)</f>
        <v>36</v>
      </c>
      <c r="I4144" s="1" t="str">
        <f t="shared" ref="I4144:I4164" si="959">_xlfn.CONCAT("='",F4144:H4144)</f>
        <v>='C:\Users\jaime.benazar\Quorum Business Solutions\Ecopetrol Prometeo - Documents\Planning Space Implementation\3. Analysis &amp; Design\Design\FC22\DRR Jaime\QUIFA-CAJÚA\Cajua\[VAS_CAJUA_CF_SEC_20230125.xlsx]CF PS'!$BY$36</v>
      </c>
      <c r="J4144" s="1" t="s">
        <v>1942</v>
      </c>
    </row>
    <row r="4145" spans="1:10" x14ac:dyDescent="0.25">
      <c r="A4145" s="6" t="s">
        <v>34</v>
      </c>
      <c r="B4145" s="6">
        <f>+B4144+1</f>
        <v>2024</v>
      </c>
      <c r="C4145" s="1" t="s">
        <v>109</v>
      </c>
      <c r="D4145" s="2" t="s">
        <v>128</v>
      </c>
      <c r="E4145" s="9" t="str">
        <f t="shared" si="957"/>
        <v>PS'!</v>
      </c>
      <c r="F4145" s="5" t="str">
        <f t="shared" si="958"/>
        <v>C:\Users\jaime.benazar\Quorum Business Solutions\Ecopetrol Prometeo - Documents\Planning Space Implementation\3. Analysis &amp; Design\Design\FC22\DRR Jaime\QUIFA-CAJÚA\Cajua\[VAS_CAJUA_CF_SEC_20230125.xlsx]CF PS'!</v>
      </c>
      <c r="G4145" s="6" t="s">
        <v>60</v>
      </c>
      <c r="H4145" s="1">
        <f t="shared" ref="H4145:H4164" si="960">IF(A4145&lt;&gt;A4144,36,H4144+1)</f>
        <v>37</v>
      </c>
      <c r="I4145" s="1" t="str">
        <f t="shared" si="959"/>
        <v>='C:\Users\jaime.benazar\Quorum Business Solutions\Ecopetrol Prometeo - Documents\Planning Space Implementation\3. Analysis &amp; Design\Design\FC22\DRR Jaime\QUIFA-CAJÚA\Cajua\[VAS_CAJUA_CF_SEC_20230125.xlsx]CF PS'!$BY$37</v>
      </c>
      <c r="J4145" s="1" t="s">
        <v>1943</v>
      </c>
    </row>
    <row r="4146" spans="1:10" x14ac:dyDescent="0.25">
      <c r="A4146" s="6" t="s">
        <v>34</v>
      </c>
      <c r="B4146" s="6">
        <f t="shared" ref="B4146:B4157" si="961">+B4145+1</f>
        <v>2025</v>
      </c>
      <c r="C4146" s="1" t="s">
        <v>109</v>
      </c>
      <c r="D4146" s="2" t="s">
        <v>128</v>
      </c>
      <c r="E4146" s="9" t="str">
        <f t="shared" si="957"/>
        <v>PS'!</v>
      </c>
      <c r="F4146" s="5" t="str">
        <f t="shared" si="958"/>
        <v>C:\Users\jaime.benazar\Quorum Business Solutions\Ecopetrol Prometeo - Documents\Planning Space Implementation\3. Analysis &amp; Design\Design\FC22\DRR Jaime\QUIFA-CAJÚA\Cajua\[VAS_CAJUA_CF_SEC_20230125.xlsx]CF PS'!</v>
      </c>
      <c r="G4146" s="6" t="s">
        <v>60</v>
      </c>
      <c r="H4146" s="1">
        <f t="shared" si="960"/>
        <v>38</v>
      </c>
      <c r="I4146" s="1" t="str">
        <f t="shared" si="959"/>
        <v>='C:\Users\jaime.benazar\Quorum Business Solutions\Ecopetrol Prometeo - Documents\Planning Space Implementation\3. Analysis &amp; Design\Design\FC22\DRR Jaime\QUIFA-CAJÚA\Cajua\[VAS_CAJUA_CF_SEC_20230125.xlsx]CF PS'!$BY$38</v>
      </c>
      <c r="J4146" s="1" t="s">
        <v>1944</v>
      </c>
    </row>
    <row r="4147" spans="1:10" x14ac:dyDescent="0.25">
      <c r="A4147" s="6" t="s">
        <v>34</v>
      </c>
      <c r="B4147" s="6">
        <f t="shared" si="961"/>
        <v>2026</v>
      </c>
      <c r="C4147" s="1" t="s">
        <v>109</v>
      </c>
      <c r="D4147" s="2" t="s">
        <v>128</v>
      </c>
      <c r="E4147" s="9" t="str">
        <f t="shared" si="957"/>
        <v>PS'!</v>
      </c>
      <c r="F4147" s="5" t="str">
        <f t="shared" si="958"/>
        <v>C:\Users\jaime.benazar\Quorum Business Solutions\Ecopetrol Prometeo - Documents\Planning Space Implementation\3. Analysis &amp; Design\Design\FC22\DRR Jaime\QUIFA-CAJÚA\Cajua\[VAS_CAJUA_CF_SEC_20230125.xlsx]CF PS'!</v>
      </c>
      <c r="G4147" s="6" t="s">
        <v>60</v>
      </c>
      <c r="H4147" s="1">
        <f t="shared" si="960"/>
        <v>39</v>
      </c>
      <c r="I4147" s="1" t="str">
        <f t="shared" si="959"/>
        <v>='C:\Users\jaime.benazar\Quorum Business Solutions\Ecopetrol Prometeo - Documents\Planning Space Implementation\3. Analysis &amp; Design\Design\FC22\DRR Jaime\QUIFA-CAJÚA\Cajua\[VAS_CAJUA_CF_SEC_20230125.xlsx]CF PS'!$BY$39</v>
      </c>
      <c r="J4147" s="1" t="s">
        <v>1945</v>
      </c>
    </row>
    <row r="4148" spans="1:10" x14ac:dyDescent="0.25">
      <c r="A4148" s="6" t="s">
        <v>34</v>
      </c>
      <c r="B4148" s="6">
        <f t="shared" si="961"/>
        <v>2027</v>
      </c>
      <c r="C4148" s="1" t="s">
        <v>109</v>
      </c>
      <c r="D4148" s="2" t="s">
        <v>128</v>
      </c>
      <c r="E4148" s="9" t="str">
        <f t="shared" si="957"/>
        <v>PS'!</v>
      </c>
      <c r="F4148" s="5" t="str">
        <f t="shared" si="958"/>
        <v>C:\Users\jaime.benazar\Quorum Business Solutions\Ecopetrol Prometeo - Documents\Planning Space Implementation\3. Analysis &amp; Design\Design\FC22\DRR Jaime\QUIFA-CAJÚA\Cajua\[VAS_CAJUA_CF_SEC_20230125.xlsx]CF PS'!</v>
      </c>
      <c r="G4148" s="6" t="s">
        <v>60</v>
      </c>
      <c r="H4148" s="1">
        <f t="shared" si="960"/>
        <v>40</v>
      </c>
      <c r="I4148" s="1" t="str">
        <f t="shared" si="959"/>
        <v>='C:\Users\jaime.benazar\Quorum Business Solutions\Ecopetrol Prometeo - Documents\Planning Space Implementation\3. Analysis &amp; Design\Design\FC22\DRR Jaime\QUIFA-CAJÚA\Cajua\[VAS_CAJUA_CF_SEC_20230125.xlsx]CF PS'!$BY$40</v>
      </c>
      <c r="J4148" s="1" t="s">
        <v>1946</v>
      </c>
    </row>
    <row r="4149" spans="1:10" x14ac:dyDescent="0.25">
      <c r="A4149" s="6" t="s">
        <v>34</v>
      </c>
      <c r="B4149" s="6">
        <f t="shared" si="961"/>
        <v>2028</v>
      </c>
      <c r="C4149" s="1" t="s">
        <v>109</v>
      </c>
      <c r="D4149" s="2" t="s">
        <v>128</v>
      </c>
      <c r="E4149" s="9" t="str">
        <f t="shared" si="957"/>
        <v>PS'!</v>
      </c>
      <c r="F4149" s="5" t="str">
        <f t="shared" si="958"/>
        <v>C:\Users\jaime.benazar\Quorum Business Solutions\Ecopetrol Prometeo - Documents\Planning Space Implementation\3. Analysis &amp; Design\Design\FC22\DRR Jaime\QUIFA-CAJÚA\Cajua\[VAS_CAJUA_CF_SEC_20230125.xlsx]CF PS'!</v>
      </c>
      <c r="G4149" s="6" t="s">
        <v>60</v>
      </c>
      <c r="H4149" s="1">
        <f t="shared" si="960"/>
        <v>41</v>
      </c>
      <c r="I4149" s="1" t="str">
        <f t="shared" si="959"/>
        <v>='C:\Users\jaime.benazar\Quorum Business Solutions\Ecopetrol Prometeo - Documents\Planning Space Implementation\3. Analysis &amp; Design\Design\FC22\DRR Jaime\QUIFA-CAJÚA\Cajua\[VAS_CAJUA_CF_SEC_20230125.xlsx]CF PS'!$BY$41</v>
      </c>
      <c r="J4149" s="1" t="s">
        <v>1947</v>
      </c>
    </row>
    <row r="4150" spans="1:10" x14ac:dyDescent="0.25">
      <c r="A4150" s="6" t="s">
        <v>34</v>
      </c>
      <c r="B4150" s="6">
        <f t="shared" si="961"/>
        <v>2029</v>
      </c>
      <c r="C4150" s="1" t="s">
        <v>109</v>
      </c>
      <c r="D4150" s="2" t="s">
        <v>128</v>
      </c>
      <c r="E4150" s="9" t="str">
        <f t="shared" si="957"/>
        <v>PS'!</v>
      </c>
      <c r="F4150" s="5" t="str">
        <f t="shared" si="958"/>
        <v>C:\Users\jaime.benazar\Quorum Business Solutions\Ecopetrol Prometeo - Documents\Planning Space Implementation\3. Analysis &amp; Design\Design\FC22\DRR Jaime\QUIFA-CAJÚA\Cajua\[VAS_CAJUA_CF_SEC_20230125.xlsx]CF PS'!</v>
      </c>
      <c r="G4150" s="6" t="s">
        <v>60</v>
      </c>
      <c r="H4150" s="1">
        <f t="shared" si="960"/>
        <v>42</v>
      </c>
      <c r="I4150" s="1" t="str">
        <f t="shared" si="959"/>
        <v>='C:\Users\jaime.benazar\Quorum Business Solutions\Ecopetrol Prometeo - Documents\Planning Space Implementation\3. Analysis &amp; Design\Design\FC22\DRR Jaime\QUIFA-CAJÚA\Cajua\[VAS_CAJUA_CF_SEC_20230125.xlsx]CF PS'!$BY$42</v>
      </c>
      <c r="J4150" s="1" t="s">
        <v>1948</v>
      </c>
    </row>
    <row r="4151" spans="1:10" x14ac:dyDescent="0.25">
      <c r="A4151" s="6" t="s">
        <v>34</v>
      </c>
      <c r="B4151" s="6">
        <f t="shared" si="961"/>
        <v>2030</v>
      </c>
      <c r="C4151" s="1" t="s">
        <v>109</v>
      </c>
      <c r="D4151" s="2" t="s">
        <v>128</v>
      </c>
      <c r="E4151" s="9" t="str">
        <f t="shared" si="957"/>
        <v>PS'!</v>
      </c>
      <c r="F4151" s="5" t="str">
        <f t="shared" si="958"/>
        <v>C:\Users\jaime.benazar\Quorum Business Solutions\Ecopetrol Prometeo - Documents\Planning Space Implementation\3. Analysis &amp; Design\Design\FC22\DRR Jaime\QUIFA-CAJÚA\Cajua\[VAS_CAJUA_CF_SEC_20230125.xlsx]CF PS'!</v>
      </c>
      <c r="G4151" s="6" t="s">
        <v>60</v>
      </c>
      <c r="H4151" s="1">
        <f t="shared" si="960"/>
        <v>43</v>
      </c>
      <c r="I4151" s="1" t="str">
        <f t="shared" si="959"/>
        <v>='C:\Users\jaime.benazar\Quorum Business Solutions\Ecopetrol Prometeo - Documents\Planning Space Implementation\3. Analysis &amp; Design\Design\FC22\DRR Jaime\QUIFA-CAJÚA\Cajua\[VAS_CAJUA_CF_SEC_20230125.xlsx]CF PS'!$BY$43</v>
      </c>
      <c r="J4151" s="1" t="s">
        <v>1949</v>
      </c>
    </row>
    <row r="4152" spans="1:10" x14ac:dyDescent="0.25">
      <c r="A4152" s="6" t="s">
        <v>34</v>
      </c>
      <c r="B4152" s="6">
        <f t="shared" si="961"/>
        <v>2031</v>
      </c>
      <c r="C4152" s="1" t="s">
        <v>109</v>
      </c>
      <c r="D4152" s="2" t="s">
        <v>128</v>
      </c>
      <c r="E4152" s="9" t="str">
        <f t="shared" si="957"/>
        <v>PS'!</v>
      </c>
      <c r="F4152" s="5" t="str">
        <f t="shared" si="958"/>
        <v>C:\Users\jaime.benazar\Quorum Business Solutions\Ecopetrol Prometeo - Documents\Planning Space Implementation\3. Analysis &amp; Design\Design\FC22\DRR Jaime\QUIFA-CAJÚA\Cajua\[VAS_CAJUA_CF_SEC_20230125.xlsx]CF PS'!</v>
      </c>
      <c r="G4152" s="6" t="s">
        <v>60</v>
      </c>
      <c r="H4152" s="1">
        <f t="shared" si="960"/>
        <v>44</v>
      </c>
      <c r="I4152" s="1" t="str">
        <f t="shared" si="959"/>
        <v>='C:\Users\jaime.benazar\Quorum Business Solutions\Ecopetrol Prometeo - Documents\Planning Space Implementation\3. Analysis &amp; Design\Design\FC22\DRR Jaime\QUIFA-CAJÚA\Cajua\[VAS_CAJUA_CF_SEC_20230125.xlsx]CF PS'!$BY$44</v>
      </c>
      <c r="J4152" s="1" t="s">
        <v>1950</v>
      </c>
    </row>
    <row r="4153" spans="1:10" x14ac:dyDescent="0.25">
      <c r="A4153" s="6" t="s">
        <v>34</v>
      </c>
      <c r="B4153" s="6">
        <f t="shared" si="961"/>
        <v>2032</v>
      </c>
      <c r="C4153" s="1" t="s">
        <v>109</v>
      </c>
      <c r="D4153" s="2" t="s">
        <v>128</v>
      </c>
      <c r="E4153" s="9" t="str">
        <f t="shared" si="957"/>
        <v>PS'!</v>
      </c>
      <c r="F4153" s="5" t="str">
        <f t="shared" si="958"/>
        <v>C:\Users\jaime.benazar\Quorum Business Solutions\Ecopetrol Prometeo - Documents\Planning Space Implementation\3. Analysis &amp; Design\Design\FC22\DRR Jaime\QUIFA-CAJÚA\Cajua\[VAS_CAJUA_CF_SEC_20230125.xlsx]CF PS'!</v>
      </c>
      <c r="G4153" s="6" t="s">
        <v>60</v>
      </c>
      <c r="H4153" s="1">
        <f t="shared" si="960"/>
        <v>45</v>
      </c>
      <c r="I4153" s="1" t="str">
        <f t="shared" si="959"/>
        <v>='C:\Users\jaime.benazar\Quorum Business Solutions\Ecopetrol Prometeo - Documents\Planning Space Implementation\3. Analysis &amp; Design\Design\FC22\DRR Jaime\QUIFA-CAJÚA\Cajua\[VAS_CAJUA_CF_SEC_20230125.xlsx]CF PS'!$BY$45</v>
      </c>
      <c r="J4153" s="1" t="s">
        <v>1951</v>
      </c>
    </row>
    <row r="4154" spans="1:10" x14ac:dyDescent="0.25">
      <c r="A4154" s="6" t="s">
        <v>34</v>
      </c>
      <c r="B4154" s="6">
        <f t="shared" si="961"/>
        <v>2033</v>
      </c>
      <c r="C4154" s="1" t="s">
        <v>109</v>
      </c>
      <c r="D4154" s="2" t="s">
        <v>128</v>
      </c>
      <c r="E4154" s="9" t="str">
        <f t="shared" si="957"/>
        <v>PS'!</v>
      </c>
      <c r="F4154" s="5" t="str">
        <f t="shared" si="958"/>
        <v>C:\Users\jaime.benazar\Quorum Business Solutions\Ecopetrol Prometeo - Documents\Planning Space Implementation\3. Analysis &amp; Design\Design\FC22\DRR Jaime\QUIFA-CAJÚA\Cajua\[VAS_CAJUA_CF_SEC_20230125.xlsx]CF PS'!</v>
      </c>
      <c r="G4154" s="6" t="s">
        <v>60</v>
      </c>
      <c r="H4154" s="1">
        <f t="shared" si="960"/>
        <v>46</v>
      </c>
      <c r="I4154" s="1" t="str">
        <f t="shared" si="959"/>
        <v>='C:\Users\jaime.benazar\Quorum Business Solutions\Ecopetrol Prometeo - Documents\Planning Space Implementation\3. Analysis &amp; Design\Design\FC22\DRR Jaime\QUIFA-CAJÚA\Cajua\[VAS_CAJUA_CF_SEC_20230125.xlsx]CF PS'!$BY$46</v>
      </c>
      <c r="J4154" s="1" t="s">
        <v>1952</v>
      </c>
    </row>
    <row r="4155" spans="1:10" x14ac:dyDescent="0.25">
      <c r="A4155" s="6" t="s">
        <v>34</v>
      </c>
      <c r="B4155" s="6">
        <f t="shared" si="961"/>
        <v>2034</v>
      </c>
      <c r="C4155" s="1" t="s">
        <v>109</v>
      </c>
      <c r="D4155" s="2" t="s">
        <v>128</v>
      </c>
      <c r="E4155" s="9" t="str">
        <f t="shared" si="957"/>
        <v>PS'!</v>
      </c>
      <c r="F4155" s="5" t="str">
        <f t="shared" si="958"/>
        <v>C:\Users\jaime.benazar\Quorum Business Solutions\Ecopetrol Prometeo - Documents\Planning Space Implementation\3. Analysis &amp; Design\Design\FC22\DRR Jaime\QUIFA-CAJÚA\Cajua\[VAS_CAJUA_CF_SEC_20230125.xlsx]CF PS'!</v>
      </c>
      <c r="G4155" s="6" t="s">
        <v>60</v>
      </c>
      <c r="H4155" s="1">
        <f t="shared" si="960"/>
        <v>47</v>
      </c>
      <c r="I4155" s="1" t="str">
        <f t="shared" si="959"/>
        <v>='C:\Users\jaime.benazar\Quorum Business Solutions\Ecopetrol Prometeo - Documents\Planning Space Implementation\3. Analysis &amp; Design\Design\FC22\DRR Jaime\QUIFA-CAJÚA\Cajua\[VAS_CAJUA_CF_SEC_20230125.xlsx]CF PS'!$BY$47</v>
      </c>
      <c r="J4155" s="1" t="s">
        <v>1953</v>
      </c>
    </row>
    <row r="4156" spans="1:10" x14ac:dyDescent="0.25">
      <c r="A4156" s="6" t="s">
        <v>34</v>
      </c>
      <c r="B4156" s="6">
        <f t="shared" si="961"/>
        <v>2035</v>
      </c>
      <c r="C4156" s="1" t="s">
        <v>109</v>
      </c>
      <c r="D4156" s="2" t="s">
        <v>128</v>
      </c>
      <c r="E4156" s="9" t="str">
        <f t="shared" si="957"/>
        <v>PS'!</v>
      </c>
      <c r="F4156" s="5" t="str">
        <f t="shared" si="958"/>
        <v>C:\Users\jaime.benazar\Quorum Business Solutions\Ecopetrol Prometeo - Documents\Planning Space Implementation\3. Analysis &amp; Design\Design\FC22\DRR Jaime\QUIFA-CAJÚA\Cajua\[VAS_CAJUA_CF_SEC_20230125.xlsx]CF PS'!</v>
      </c>
      <c r="G4156" s="6" t="s">
        <v>60</v>
      </c>
      <c r="H4156" s="1">
        <f t="shared" si="960"/>
        <v>48</v>
      </c>
      <c r="I4156" s="1" t="str">
        <f t="shared" si="959"/>
        <v>='C:\Users\jaime.benazar\Quorum Business Solutions\Ecopetrol Prometeo - Documents\Planning Space Implementation\3. Analysis &amp; Design\Design\FC22\DRR Jaime\QUIFA-CAJÚA\Cajua\[VAS_CAJUA_CF_SEC_20230125.xlsx]CF PS'!$BY$48</v>
      </c>
      <c r="J4156" s="1" t="s">
        <v>1954</v>
      </c>
    </row>
    <row r="4157" spans="1:10" x14ac:dyDescent="0.25">
      <c r="A4157" s="6" t="s">
        <v>34</v>
      </c>
      <c r="B4157" s="6">
        <f t="shared" si="961"/>
        <v>2036</v>
      </c>
      <c r="C4157" s="1" t="s">
        <v>109</v>
      </c>
      <c r="D4157" s="2" t="s">
        <v>128</v>
      </c>
      <c r="E4157" s="9" t="str">
        <f t="shared" si="957"/>
        <v>PS'!</v>
      </c>
      <c r="F4157" s="5" t="str">
        <f t="shared" si="958"/>
        <v>C:\Users\jaime.benazar\Quorum Business Solutions\Ecopetrol Prometeo - Documents\Planning Space Implementation\3. Analysis &amp; Design\Design\FC22\DRR Jaime\QUIFA-CAJÚA\Cajua\[VAS_CAJUA_CF_SEC_20230125.xlsx]CF PS'!</v>
      </c>
      <c r="G4157" s="6" t="s">
        <v>60</v>
      </c>
      <c r="H4157" s="1">
        <f t="shared" si="960"/>
        <v>49</v>
      </c>
      <c r="I4157" s="1" t="str">
        <f t="shared" si="959"/>
        <v>='C:\Users\jaime.benazar\Quorum Business Solutions\Ecopetrol Prometeo - Documents\Planning Space Implementation\3. Analysis &amp; Design\Design\FC22\DRR Jaime\QUIFA-CAJÚA\Cajua\[VAS_CAJUA_CF_SEC_20230125.xlsx]CF PS'!$BY$49</v>
      </c>
      <c r="J4157" s="1" t="s">
        <v>1955</v>
      </c>
    </row>
    <row r="4158" spans="1:10" x14ac:dyDescent="0.25">
      <c r="A4158" s="6" t="s">
        <v>34</v>
      </c>
      <c r="B4158" s="6">
        <f>+B4157+1</f>
        <v>2037</v>
      </c>
      <c r="C4158" s="1" t="s">
        <v>109</v>
      </c>
      <c r="D4158" s="2" t="s">
        <v>128</v>
      </c>
      <c r="E4158" s="9" t="str">
        <f t="shared" si="957"/>
        <v>PS'!</v>
      </c>
      <c r="F4158" s="5" t="str">
        <f t="shared" si="958"/>
        <v>C:\Users\jaime.benazar\Quorum Business Solutions\Ecopetrol Prometeo - Documents\Planning Space Implementation\3. Analysis &amp; Design\Design\FC22\DRR Jaime\QUIFA-CAJÚA\Cajua\[VAS_CAJUA_CF_SEC_20230125.xlsx]CF PS'!</v>
      </c>
      <c r="G4158" s="6" t="s">
        <v>60</v>
      </c>
      <c r="H4158" s="1">
        <f t="shared" si="960"/>
        <v>50</v>
      </c>
      <c r="I4158" s="1" t="str">
        <f t="shared" si="959"/>
        <v>='C:\Users\jaime.benazar\Quorum Business Solutions\Ecopetrol Prometeo - Documents\Planning Space Implementation\3. Analysis &amp; Design\Design\FC22\DRR Jaime\QUIFA-CAJÚA\Cajua\[VAS_CAJUA_CF_SEC_20230125.xlsx]CF PS'!$BY$50</v>
      </c>
      <c r="J4158" s="1" t="s">
        <v>1956</v>
      </c>
    </row>
    <row r="4159" spans="1:10" x14ac:dyDescent="0.25">
      <c r="A4159" s="6" t="s">
        <v>34</v>
      </c>
      <c r="B4159" s="6">
        <f t="shared" ref="B4159:B4161" si="962">+B4158+1</f>
        <v>2038</v>
      </c>
      <c r="C4159" s="1" t="s">
        <v>109</v>
      </c>
      <c r="D4159" s="2" t="s">
        <v>128</v>
      </c>
      <c r="E4159" s="9" t="str">
        <f t="shared" si="957"/>
        <v>PS'!</v>
      </c>
      <c r="F4159" s="5" t="str">
        <f t="shared" si="958"/>
        <v>C:\Users\jaime.benazar\Quorum Business Solutions\Ecopetrol Prometeo - Documents\Planning Space Implementation\3. Analysis &amp; Design\Design\FC22\DRR Jaime\QUIFA-CAJÚA\Cajua\[VAS_CAJUA_CF_SEC_20230125.xlsx]CF PS'!</v>
      </c>
      <c r="G4159" s="6" t="s">
        <v>60</v>
      </c>
      <c r="H4159" s="1">
        <f t="shared" si="960"/>
        <v>51</v>
      </c>
      <c r="I4159" s="1" t="str">
        <f t="shared" si="959"/>
        <v>='C:\Users\jaime.benazar\Quorum Business Solutions\Ecopetrol Prometeo - Documents\Planning Space Implementation\3. Analysis &amp; Design\Design\FC22\DRR Jaime\QUIFA-CAJÚA\Cajua\[VAS_CAJUA_CF_SEC_20230125.xlsx]CF PS'!$BY$51</v>
      </c>
      <c r="J4159" s="1" t="s">
        <v>1957</v>
      </c>
    </row>
    <row r="4160" spans="1:10" x14ac:dyDescent="0.25">
      <c r="A4160" s="6" t="s">
        <v>34</v>
      </c>
      <c r="B4160" s="6">
        <f t="shared" si="962"/>
        <v>2039</v>
      </c>
      <c r="C4160" s="1" t="s">
        <v>109</v>
      </c>
      <c r="D4160" s="2" t="s">
        <v>128</v>
      </c>
      <c r="E4160" s="9" t="str">
        <f t="shared" si="957"/>
        <v>PS'!</v>
      </c>
      <c r="F4160" s="5" t="str">
        <f t="shared" si="958"/>
        <v>C:\Users\jaime.benazar\Quorum Business Solutions\Ecopetrol Prometeo - Documents\Planning Space Implementation\3. Analysis &amp; Design\Design\FC22\DRR Jaime\QUIFA-CAJÚA\Cajua\[VAS_CAJUA_CF_SEC_20230125.xlsx]CF PS'!</v>
      </c>
      <c r="G4160" s="6" t="s">
        <v>60</v>
      </c>
      <c r="H4160" s="1">
        <f t="shared" si="960"/>
        <v>52</v>
      </c>
      <c r="I4160" s="1" t="str">
        <f t="shared" si="959"/>
        <v>='C:\Users\jaime.benazar\Quorum Business Solutions\Ecopetrol Prometeo - Documents\Planning Space Implementation\3. Analysis &amp; Design\Design\FC22\DRR Jaime\QUIFA-CAJÚA\Cajua\[VAS_CAJUA_CF_SEC_20230125.xlsx]CF PS'!$BY$52</v>
      </c>
      <c r="J4160" s="1" t="s">
        <v>1958</v>
      </c>
    </row>
    <row r="4161" spans="1:10" x14ac:dyDescent="0.25">
      <c r="A4161" s="6" t="s">
        <v>34</v>
      </c>
      <c r="B4161" s="6">
        <f t="shared" si="962"/>
        <v>2040</v>
      </c>
      <c r="C4161" s="1" t="s">
        <v>109</v>
      </c>
      <c r="D4161" s="2" t="s">
        <v>128</v>
      </c>
      <c r="E4161" s="9" t="str">
        <f t="shared" si="957"/>
        <v>PS'!</v>
      </c>
      <c r="F4161" s="5" t="str">
        <f t="shared" si="958"/>
        <v>C:\Users\jaime.benazar\Quorum Business Solutions\Ecopetrol Prometeo - Documents\Planning Space Implementation\3. Analysis &amp; Design\Design\FC22\DRR Jaime\QUIFA-CAJÚA\Cajua\[VAS_CAJUA_CF_SEC_20230125.xlsx]CF PS'!</v>
      </c>
      <c r="G4161" s="6" t="s">
        <v>60</v>
      </c>
      <c r="H4161" s="1">
        <f t="shared" si="960"/>
        <v>53</v>
      </c>
      <c r="I4161" s="1" t="str">
        <f t="shared" si="959"/>
        <v>='C:\Users\jaime.benazar\Quorum Business Solutions\Ecopetrol Prometeo - Documents\Planning Space Implementation\3. Analysis &amp; Design\Design\FC22\DRR Jaime\QUIFA-CAJÚA\Cajua\[VAS_CAJUA_CF_SEC_20230125.xlsx]CF PS'!$BY$53</v>
      </c>
      <c r="J4161" s="1" t="s">
        <v>1959</v>
      </c>
    </row>
    <row r="4162" spans="1:10" x14ac:dyDescent="0.25">
      <c r="A4162" s="6" t="s">
        <v>34</v>
      </c>
      <c r="B4162" s="6">
        <f>+B4161+1</f>
        <v>2041</v>
      </c>
      <c r="C4162" s="1" t="s">
        <v>109</v>
      </c>
      <c r="D4162" s="2" t="s">
        <v>128</v>
      </c>
      <c r="E4162" s="9" t="str">
        <f t="shared" si="957"/>
        <v>PS'!</v>
      </c>
      <c r="F4162" s="5" t="str">
        <f t="shared" si="958"/>
        <v>C:\Users\jaime.benazar\Quorum Business Solutions\Ecopetrol Prometeo - Documents\Planning Space Implementation\3. Analysis &amp; Design\Design\FC22\DRR Jaime\QUIFA-CAJÚA\Cajua\[VAS_CAJUA_CF_SEC_20230125.xlsx]CF PS'!</v>
      </c>
      <c r="G4162" s="6" t="s">
        <v>60</v>
      </c>
      <c r="H4162" s="1">
        <f t="shared" si="960"/>
        <v>54</v>
      </c>
      <c r="I4162" s="1" t="str">
        <f t="shared" si="959"/>
        <v>='C:\Users\jaime.benazar\Quorum Business Solutions\Ecopetrol Prometeo - Documents\Planning Space Implementation\3. Analysis &amp; Design\Design\FC22\DRR Jaime\QUIFA-CAJÚA\Cajua\[VAS_CAJUA_CF_SEC_20230125.xlsx]CF PS'!$BY$54</v>
      </c>
      <c r="J4162" s="1" t="s">
        <v>1960</v>
      </c>
    </row>
    <row r="4163" spans="1:10" x14ac:dyDescent="0.25">
      <c r="A4163" s="6" t="s">
        <v>34</v>
      </c>
      <c r="B4163" s="6">
        <f t="shared" ref="B4163:B4164" si="963">+B4162+1</f>
        <v>2042</v>
      </c>
      <c r="C4163" s="1" t="s">
        <v>109</v>
      </c>
      <c r="D4163" s="2" t="s">
        <v>128</v>
      </c>
      <c r="E4163" s="9" t="str">
        <f t="shared" si="957"/>
        <v>PS'!</v>
      </c>
      <c r="F4163" s="5" t="str">
        <f t="shared" si="958"/>
        <v>C:\Users\jaime.benazar\Quorum Business Solutions\Ecopetrol Prometeo - Documents\Planning Space Implementation\3. Analysis &amp; Design\Design\FC22\DRR Jaime\QUIFA-CAJÚA\Cajua\[VAS_CAJUA_CF_SEC_20230125.xlsx]CF PS'!</v>
      </c>
      <c r="G4163" s="6" t="s">
        <v>60</v>
      </c>
      <c r="H4163" s="1">
        <f t="shared" si="960"/>
        <v>55</v>
      </c>
      <c r="I4163" s="1" t="str">
        <f t="shared" si="959"/>
        <v>='C:\Users\jaime.benazar\Quorum Business Solutions\Ecopetrol Prometeo - Documents\Planning Space Implementation\3. Analysis &amp; Design\Design\FC22\DRR Jaime\QUIFA-CAJÚA\Cajua\[VAS_CAJUA_CF_SEC_20230125.xlsx]CF PS'!$BY$55</v>
      </c>
      <c r="J4163" s="1" t="s">
        <v>1961</v>
      </c>
    </row>
    <row r="4164" spans="1:10" x14ac:dyDescent="0.25">
      <c r="A4164" s="6" t="s">
        <v>34</v>
      </c>
      <c r="B4164" s="6">
        <f t="shared" si="963"/>
        <v>2043</v>
      </c>
      <c r="C4164" s="1" t="s">
        <v>109</v>
      </c>
      <c r="D4164" s="2" t="s">
        <v>128</v>
      </c>
      <c r="E4164" s="9" t="str">
        <f t="shared" si="957"/>
        <v>PS'!</v>
      </c>
      <c r="F4164" s="5" t="str">
        <f t="shared" si="958"/>
        <v>C:\Users\jaime.benazar\Quorum Business Solutions\Ecopetrol Prometeo - Documents\Planning Space Implementation\3. Analysis &amp; Design\Design\FC22\DRR Jaime\QUIFA-CAJÚA\Cajua\[VAS_CAJUA_CF_SEC_20230125.xlsx]CF PS'!</v>
      </c>
      <c r="G4164" s="6" t="s">
        <v>60</v>
      </c>
      <c r="H4164" s="1">
        <f t="shared" si="960"/>
        <v>56</v>
      </c>
      <c r="I4164" s="1" t="str">
        <f t="shared" si="959"/>
        <v>='C:\Users\jaime.benazar\Quorum Business Solutions\Ecopetrol Prometeo - Documents\Planning Space Implementation\3. Analysis &amp; Design\Design\FC22\DRR Jaime\QUIFA-CAJÚA\Cajua\[VAS_CAJUA_CF_SEC_20230125.xlsx]CF PS'!$BY$56</v>
      </c>
      <c r="J4164" s="1" t="s">
        <v>1962</v>
      </c>
    </row>
    <row r="4165" spans="1:10" x14ac:dyDescent="0.25">
      <c r="A4165" s="6" t="s">
        <v>34</v>
      </c>
      <c r="B4165" s="6">
        <f>+B4164+1</f>
        <v>2044</v>
      </c>
      <c r="C4165" s="1" t="s">
        <v>109</v>
      </c>
      <c r="D4165" s="2" t="s">
        <v>128</v>
      </c>
      <c r="E4165" s="9" t="str">
        <f t="shared" ref="E4165:E4180" si="964">_xlfn.CONCAT(A4165,"'!")</f>
        <v>PS'!</v>
      </c>
      <c r="F4165" s="5" t="str">
        <f t="shared" ref="F4165:F4180" si="965">_xlfn.CONCAT(D4165," ",E4165)</f>
        <v>C:\Users\jaime.benazar\Quorum Business Solutions\Ecopetrol Prometeo - Documents\Planning Space Implementation\3. Analysis &amp; Design\Design\FC22\DRR Jaime\QUIFA-CAJÚA\Cajua\[VAS_CAJUA_CF_SEC_20230125.xlsx]CF PS'!</v>
      </c>
      <c r="G4165" s="6" t="s">
        <v>60</v>
      </c>
      <c r="H4165" s="1">
        <f t="shared" ref="H4165:H4180" si="966">IF(A4165&lt;&gt;A4164,36,H4164+1)</f>
        <v>57</v>
      </c>
      <c r="I4165" s="1" t="str">
        <f t="shared" ref="I4165:I4180" si="967">_xlfn.CONCAT("='",F4165:H4165)</f>
        <v>='C:\Users\jaime.benazar\Quorum Business Solutions\Ecopetrol Prometeo - Documents\Planning Space Implementation\3. Analysis &amp; Design\Design\FC22\DRR Jaime\QUIFA-CAJÚA\Cajua\[VAS_CAJUA_CF_SEC_20230125.xlsx]CF PS'!$BY$57</v>
      </c>
      <c r="J4165" s="1" t="s">
        <v>1963</v>
      </c>
    </row>
    <row r="4166" spans="1:10" x14ac:dyDescent="0.25">
      <c r="A4166" s="6" t="s">
        <v>34</v>
      </c>
      <c r="B4166" s="6">
        <f t="shared" ref="B4166:B4180" si="968">+B4165+1</f>
        <v>2045</v>
      </c>
      <c r="C4166" s="1" t="s">
        <v>109</v>
      </c>
      <c r="D4166" s="2" t="s">
        <v>128</v>
      </c>
      <c r="E4166" s="9" t="str">
        <f t="shared" si="964"/>
        <v>PS'!</v>
      </c>
      <c r="F4166" s="5" t="str">
        <f t="shared" si="965"/>
        <v>C:\Users\jaime.benazar\Quorum Business Solutions\Ecopetrol Prometeo - Documents\Planning Space Implementation\3. Analysis &amp; Design\Design\FC22\DRR Jaime\QUIFA-CAJÚA\Cajua\[VAS_CAJUA_CF_SEC_20230125.xlsx]CF PS'!</v>
      </c>
      <c r="G4166" s="6" t="s">
        <v>60</v>
      </c>
      <c r="H4166" s="1">
        <f t="shared" si="966"/>
        <v>58</v>
      </c>
      <c r="I4166" s="1" t="str">
        <f t="shared" si="967"/>
        <v>='C:\Users\jaime.benazar\Quorum Business Solutions\Ecopetrol Prometeo - Documents\Planning Space Implementation\3. Analysis &amp; Design\Design\FC22\DRR Jaime\QUIFA-CAJÚA\Cajua\[VAS_CAJUA_CF_SEC_20230125.xlsx]CF PS'!$BY$58</v>
      </c>
      <c r="J4166" s="1" t="s">
        <v>1964</v>
      </c>
    </row>
    <row r="4167" spans="1:10" x14ac:dyDescent="0.25">
      <c r="A4167" s="6" t="s">
        <v>34</v>
      </c>
      <c r="B4167" s="6">
        <f t="shared" si="968"/>
        <v>2046</v>
      </c>
      <c r="C4167" s="1" t="s">
        <v>109</v>
      </c>
      <c r="D4167" s="2" t="s">
        <v>128</v>
      </c>
      <c r="E4167" s="9" t="str">
        <f t="shared" si="964"/>
        <v>PS'!</v>
      </c>
      <c r="F4167" s="5" t="str">
        <f t="shared" si="965"/>
        <v>C:\Users\jaime.benazar\Quorum Business Solutions\Ecopetrol Prometeo - Documents\Planning Space Implementation\3. Analysis &amp; Design\Design\FC22\DRR Jaime\QUIFA-CAJÚA\Cajua\[VAS_CAJUA_CF_SEC_20230125.xlsx]CF PS'!</v>
      </c>
      <c r="G4167" s="6" t="s">
        <v>60</v>
      </c>
      <c r="H4167" s="1">
        <f t="shared" si="966"/>
        <v>59</v>
      </c>
      <c r="I4167" s="1" t="str">
        <f t="shared" si="967"/>
        <v>='C:\Users\jaime.benazar\Quorum Business Solutions\Ecopetrol Prometeo - Documents\Planning Space Implementation\3. Analysis &amp; Design\Design\FC22\DRR Jaime\QUIFA-CAJÚA\Cajua\[VAS_CAJUA_CF_SEC_20230125.xlsx]CF PS'!$BY$59</v>
      </c>
      <c r="J4167" s="1" t="s">
        <v>1965</v>
      </c>
    </row>
    <row r="4168" spans="1:10" x14ac:dyDescent="0.25">
      <c r="A4168" s="6" t="s">
        <v>34</v>
      </c>
      <c r="B4168" s="6">
        <f t="shared" si="968"/>
        <v>2047</v>
      </c>
      <c r="C4168" s="1" t="s">
        <v>109</v>
      </c>
      <c r="D4168" s="2" t="s">
        <v>128</v>
      </c>
      <c r="E4168" s="9" t="str">
        <f t="shared" si="964"/>
        <v>PS'!</v>
      </c>
      <c r="F4168" s="5" t="str">
        <f t="shared" si="965"/>
        <v>C:\Users\jaime.benazar\Quorum Business Solutions\Ecopetrol Prometeo - Documents\Planning Space Implementation\3. Analysis &amp; Design\Design\FC22\DRR Jaime\QUIFA-CAJÚA\Cajua\[VAS_CAJUA_CF_SEC_20230125.xlsx]CF PS'!</v>
      </c>
      <c r="G4168" s="6" t="s">
        <v>60</v>
      </c>
      <c r="H4168" s="1">
        <f t="shared" si="966"/>
        <v>60</v>
      </c>
      <c r="I4168" s="1" t="str">
        <f t="shared" si="967"/>
        <v>='C:\Users\jaime.benazar\Quorum Business Solutions\Ecopetrol Prometeo - Documents\Planning Space Implementation\3. Analysis &amp; Design\Design\FC22\DRR Jaime\QUIFA-CAJÚA\Cajua\[VAS_CAJUA_CF_SEC_20230125.xlsx]CF PS'!$BY$60</v>
      </c>
      <c r="J4168" s="1" t="s">
        <v>1966</v>
      </c>
    </row>
    <row r="4169" spans="1:10" x14ac:dyDescent="0.25">
      <c r="A4169" s="6" t="s">
        <v>34</v>
      </c>
      <c r="B4169" s="6">
        <f t="shared" si="968"/>
        <v>2048</v>
      </c>
      <c r="C4169" s="1" t="s">
        <v>109</v>
      </c>
      <c r="D4169" s="2" t="s">
        <v>128</v>
      </c>
      <c r="E4169" s="9" t="str">
        <f t="shared" si="964"/>
        <v>PS'!</v>
      </c>
      <c r="F4169" s="5" t="str">
        <f t="shared" si="965"/>
        <v>C:\Users\jaime.benazar\Quorum Business Solutions\Ecopetrol Prometeo - Documents\Planning Space Implementation\3. Analysis &amp; Design\Design\FC22\DRR Jaime\QUIFA-CAJÚA\Cajua\[VAS_CAJUA_CF_SEC_20230125.xlsx]CF PS'!</v>
      </c>
      <c r="G4169" s="6" t="s">
        <v>60</v>
      </c>
      <c r="H4169" s="1">
        <f t="shared" si="966"/>
        <v>61</v>
      </c>
      <c r="I4169" s="1" t="str">
        <f t="shared" si="967"/>
        <v>='C:\Users\jaime.benazar\Quorum Business Solutions\Ecopetrol Prometeo - Documents\Planning Space Implementation\3. Analysis &amp; Design\Design\FC22\DRR Jaime\QUIFA-CAJÚA\Cajua\[VAS_CAJUA_CF_SEC_20230125.xlsx]CF PS'!$BY$61</v>
      </c>
      <c r="J4169" s="1" t="s">
        <v>1967</v>
      </c>
    </row>
    <row r="4170" spans="1:10" x14ac:dyDescent="0.25">
      <c r="A4170" s="6" t="s">
        <v>34</v>
      </c>
      <c r="B4170" s="6">
        <f t="shared" si="968"/>
        <v>2049</v>
      </c>
      <c r="C4170" s="1" t="s">
        <v>109</v>
      </c>
      <c r="D4170" s="2" t="s">
        <v>128</v>
      </c>
      <c r="E4170" s="9" t="str">
        <f t="shared" si="964"/>
        <v>PS'!</v>
      </c>
      <c r="F4170" s="5" t="str">
        <f t="shared" si="965"/>
        <v>C:\Users\jaime.benazar\Quorum Business Solutions\Ecopetrol Prometeo - Documents\Planning Space Implementation\3. Analysis &amp; Design\Design\FC22\DRR Jaime\QUIFA-CAJÚA\Cajua\[VAS_CAJUA_CF_SEC_20230125.xlsx]CF PS'!</v>
      </c>
      <c r="G4170" s="6" t="s">
        <v>60</v>
      </c>
      <c r="H4170" s="1">
        <f t="shared" si="966"/>
        <v>62</v>
      </c>
      <c r="I4170" s="1" t="str">
        <f t="shared" si="967"/>
        <v>='C:\Users\jaime.benazar\Quorum Business Solutions\Ecopetrol Prometeo - Documents\Planning Space Implementation\3. Analysis &amp; Design\Design\FC22\DRR Jaime\QUIFA-CAJÚA\Cajua\[VAS_CAJUA_CF_SEC_20230125.xlsx]CF PS'!$BY$62</v>
      </c>
      <c r="J4170" s="1" t="s">
        <v>1968</v>
      </c>
    </row>
    <row r="4171" spans="1:10" x14ac:dyDescent="0.25">
      <c r="A4171" s="6" t="s">
        <v>34</v>
      </c>
      <c r="B4171" s="6">
        <f t="shared" si="968"/>
        <v>2050</v>
      </c>
      <c r="C4171" s="1" t="s">
        <v>109</v>
      </c>
      <c r="D4171" s="2" t="s">
        <v>128</v>
      </c>
      <c r="E4171" s="9" t="str">
        <f t="shared" si="964"/>
        <v>PS'!</v>
      </c>
      <c r="F4171" s="5" t="str">
        <f t="shared" si="965"/>
        <v>C:\Users\jaime.benazar\Quorum Business Solutions\Ecopetrol Prometeo - Documents\Planning Space Implementation\3. Analysis &amp; Design\Design\FC22\DRR Jaime\QUIFA-CAJÚA\Cajua\[VAS_CAJUA_CF_SEC_20230125.xlsx]CF PS'!</v>
      </c>
      <c r="G4171" s="6" t="s">
        <v>60</v>
      </c>
      <c r="H4171" s="1">
        <f t="shared" si="966"/>
        <v>63</v>
      </c>
      <c r="I4171" s="1" t="str">
        <f t="shared" si="967"/>
        <v>='C:\Users\jaime.benazar\Quorum Business Solutions\Ecopetrol Prometeo - Documents\Planning Space Implementation\3. Analysis &amp; Design\Design\FC22\DRR Jaime\QUIFA-CAJÚA\Cajua\[VAS_CAJUA_CF_SEC_20230125.xlsx]CF PS'!$BY$63</v>
      </c>
      <c r="J4171" s="1" t="s">
        <v>1969</v>
      </c>
    </row>
    <row r="4172" spans="1:10" x14ac:dyDescent="0.25">
      <c r="A4172" s="6" t="s">
        <v>34</v>
      </c>
      <c r="B4172" s="6">
        <f t="shared" si="968"/>
        <v>2051</v>
      </c>
      <c r="C4172" s="1" t="s">
        <v>109</v>
      </c>
      <c r="D4172" s="2" t="s">
        <v>128</v>
      </c>
      <c r="E4172" s="9" t="str">
        <f t="shared" si="964"/>
        <v>PS'!</v>
      </c>
      <c r="F4172" s="5" t="str">
        <f t="shared" si="965"/>
        <v>C:\Users\jaime.benazar\Quorum Business Solutions\Ecopetrol Prometeo - Documents\Planning Space Implementation\3. Analysis &amp; Design\Design\FC22\DRR Jaime\QUIFA-CAJÚA\Cajua\[VAS_CAJUA_CF_SEC_20230125.xlsx]CF PS'!</v>
      </c>
      <c r="G4172" s="6" t="s">
        <v>60</v>
      </c>
      <c r="H4172" s="1">
        <f t="shared" si="966"/>
        <v>64</v>
      </c>
      <c r="I4172" s="1" t="str">
        <f t="shared" si="967"/>
        <v>='C:\Users\jaime.benazar\Quorum Business Solutions\Ecopetrol Prometeo - Documents\Planning Space Implementation\3. Analysis &amp; Design\Design\FC22\DRR Jaime\QUIFA-CAJÚA\Cajua\[VAS_CAJUA_CF_SEC_20230125.xlsx]CF PS'!$BY$64</v>
      </c>
      <c r="J4172" s="1" t="s">
        <v>1970</v>
      </c>
    </row>
    <row r="4173" spans="1:10" x14ac:dyDescent="0.25">
      <c r="A4173" s="6" t="s">
        <v>34</v>
      </c>
      <c r="B4173" s="6">
        <f t="shared" si="968"/>
        <v>2052</v>
      </c>
      <c r="C4173" s="1" t="s">
        <v>109</v>
      </c>
      <c r="D4173" s="2" t="s">
        <v>128</v>
      </c>
      <c r="E4173" s="9" t="str">
        <f t="shared" si="964"/>
        <v>PS'!</v>
      </c>
      <c r="F4173" s="5" t="str">
        <f t="shared" si="965"/>
        <v>C:\Users\jaime.benazar\Quorum Business Solutions\Ecopetrol Prometeo - Documents\Planning Space Implementation\3. Analysis &amp; Design\Design\FC22\DRR Jaime\QUIFA-CAJÚA\Cajua\[VAS_CAJUA_CF_SEC_20230125.xlsx]CF PS'!</v>
      </c>
      <c r="G4173" s="6" t="s">
        <v>60</v>
      </c>
      <c r="H4173" s="1">
        <f t="shared" si="966"/>
        <v>65</v>
      </c>
      <c r="I4173" s="1" t="str">
        <f t="shared" si="967"/>
        <v>='C:\Users\jaime.benazar\Quorum Business Solutions\Ecopetrol Prometeo - Documents\Planning Space Implementation\3. Analysis &amp; Design\Design\FC22\DRR Jaime\QUIFA-CAJÚA\Cajua\[VAS_CAJUA_CF_SEC_20230125.xlsx]CF PS'!$BY$65</v>
      </c>
      <c r="J4173" s="1" t="s">
        <v>1971</v>
      </c>
    </row>
    <row r="4174" spans="1:10" x14ac:dyDescent="0.25">
      <c r="A4174" s="6" t="s">
        <v>34</v>
      </c>
      <c r="B4174" s="6">
        <f t="shared" si="968"/>
        <v>2053</v>
      </c>
      <c r="C4174" s="1" t="s">
        <v>109</v>
      </c>
      <c r="D4174" s="2" t="s">
        <v>128</v>
      </c>
      <c r="E4174" s="9" t="str">
        <f t="shared" si="964"/>
        <v>PS'!</v>
      </c>
      <c r="F4174" s="5" t="str">
        <f t="shared" si="965"/>
        <v>C:\Users\jaime.benazar\Quorum Business Solutions\Ecopetrol Prometeo - Documents\Planning Space Implementation\3. Analysis &amp; Design\Design\FC22\DRR Jaime\QUIFA-CAJÚA\Cajua\[VAS_CAJUA_CF_SEC_20230125.xlsx]CF PS'!</v>
      </c>
      <c r="G4174" s="6" t="s">
        <v>60</v>
      </c>
      <c r="H4174" s="1">
        <f t="shared" si="966"/>
        <v>66</v>
      </c>
      <c r="I4174" s="1" t="str">
        <f t="shared" si="967"/>
        <v>='C:\Users\jaime.benazar\Quorum Business Solutions\Ecopetrol Prometeo - Documents\Planning Space Implementation\3. Analysis &amp; Design\Design\FC22\DRR Jaime\QUIFA-CAJÚA\Cajua\[VAS_CAJUA_CF_SEC_20230125.xlsx]CF PS'!$BY$66</v>
      </c>
      <c r="J4174" s="1" t="s">
        <v>1972</v>
      </c>
    </row>
    <row r="4175" spans="1:10" x14ac:dyDescent="0.25">
      <c r="A4175" s="6" t="s">
        <v>34</v>
      </c>
      <c r="B4175" s="6">
        <f t="shared" si="968"/>
        <v>2054</v>
      </c>
      <c r="C4175" s="1" t="s">
        <v>109</v>
      </c>
      <c r="D4175" s="2" t="s">
        <v>128</v>
      </c>
      <c r="E4175" s="9" t="str">
        <f t="shared" si="964"/>
        <v>PS'!</v>
      </c>
      <c r="F4175" s="5" t="str">
        <f t="shared" si="965"/>
        <v>C:\Users\jaime.benazar\Quorum Business Solutions\Ecopetrol Prometeo - Documents\Planning Space Implementation\3. Analysis &amp; Design\Design\FC22\DRR Jaime\QUIFA-CAJÚA\Cajua\[VAS_CAJUA_CF_SEC_20230125.xlsx]CF PS'!</v>
      </c>
      <c r="G4175" s="6" t="s">
        <v>60</v>
      </c>
      <c r="H4175" s="1">
        <f t="shared" si="966"/>
        <v>67</v>
      </c>
      <c r="I4175" s="1" t="str">
        <f t="shared" si="967"/>
        <v>='C:\Users\jaime.benazar\Quorum Business Solutions\Ecopetrol Prometeo - Documents\Planning Space Implementation\3. Analysis &amp; Design\Design\FC22\DRR Jaime\QUIFA-CAJÚA\Cajua\[VAS_CAJUA_CF_SEC_20230125.xlsx]CF PS'!$BY$67</v>
      </c>
      <c r="J4175" s="1" t="s">
        <v>1973</v>
      </c>
    </row>
    <row r="4176" spans="1:10" x14ac:dyDescent="0.25">
      <c r="A4176" s="6" t="s">
        <v>34</v>
      </c>
      <c r="B4176" s="6">
        <f t="shared" si="968"/>
        <v>2055</v>
      </c>
      <c r="C4176" s="1" t="s">
        <v>109</v>
      </c>
      <c r="D4176" s="2" t="s">
        <v>128</v>
      </c>
      <c r="E4176" s="9" t="str">
        <f t="shared" si="964"/>
        <v>PS'!</v>
      </c>
      <c r="F4176" s="5" t="str">
        <f t="shared" si="965"/>
        <v>C:\Users\jaime.benazar\Quorum Business Solutions\Ecopetrol Prometeo - Documents\Planning Space Implementation\3. Analysis &amp; Design\Design\FC22\DRR Jaime\QUIFA-CAJÚA\Cajua\[VAS_CAJUA_CF_SEC_20230125.xlsx]CF PS'!</v>
      </c>
      <c r="G4176" s="6" t="s">
        <v>60</v>
      </c>
      <c r="H4176" s="1">
        <f t="shared" si="966"/>
        <v>68</v>
      </c>
      <c r="I4176" s="1" t="str">
        <f t="shared" si="967"/>
        <v>='C:\Users\jaime.benazar\Quorum Business Solutions\Ecopetrol Prometeo - Documents\Planning Space Implementation\3. Analysis &amp; Design\Design\FC22\DRR Jaime\QUIFA-CAJÚA\Cajua\[VAS_CAJUA_CF_SEC_20230125.xlsx]CF PS'!$BY$68</v>
      </c>
      <c r="J4176" s="1" t="s">
        <v>1974</v>
      </c>
    </row>
    <row r="4177" spans="1:10" x14ac:dyDescent="0.25">
      <c r="A4177" s="6" t="s">
        <v>34</v>
      </c>
      <c r="B4177" s="6">
        <f t="shared" si="968"/>
        <v>2056</v>
      </c>
      <c r="C4177" s="1" t="s">
        <v>109</v>
      </c>
      <c r="D4177" s="2" t="s">
        <v>128</v>
      </c>
      <c r="E4177" s="9" t="str">
        <f t="shared" si="964"/>
        <v>PS'!</v>
      </c>
      <c r="F4177" s="5" t="str">
        <f t="shared" si="965"/>
        <v>C:\Users\jaime.benazar\Quorum Business Solutions\Ecopetrol Prometeo - Documents\Planning Space Implementation\3. Analysis &amp; Design\Design\FC22\DRR Jaime\QUIFA-CAJÚA\Cajua\[VAS_CAJUA_CF_SEC_20230125.xlsx]CF PS'!</v>
      </c>
      <c r="G4177" s="6" t="s">
        <v>60</v>
      </c>
      <c r="H4177" s="1">
        <f t="shared" si="966"/>
        <v>69</v>
      </c>
      <c r="I4177" s="1" t="str">
        <f t="shared" si="967"/>
        <v>='C:\Users\jaime.benazar\Quorum Business Solutions\Ecopetrol Prometeo - Documents\Planning Space Implementation\3. Analysis &amp; Design\Design\FC22\DRR Jaime\QUIFA-CAJÚA\Cajua\[VAS_CAJUA_CF_SEC_20230125.xlsx]CF PS'!$BY$69</v>
      </c>
      <c r="J4177" s="1" t="s">
        <v>1975</v>
      </c>
    </row>
    <row r="4178" spans="1:10" x14ac:dyDescent="0.25">
      <c r="A4178" s="6" t="s">
        <v>34</v>
      </c>
      <c r="B4178" s="6">
        <f t="shared" si="968"/>
        <v>2057</v>
      </c>
      <c r="C4178" s="1" t="s">
        <v>109</v>
      </c>
      <c r="D4178" s="2" t="s">
        <v>128</v>
      </c>
      <c r="E4178" s="9" t="str">
        <f t="shared" si="964"/>
        <v>PS'!</v>
      </c>
      <c r="F4178" s="5" t="str">
        <f t="shared" si="965"/>
        <v>C:\Users\jaime.benazar\Quorum Business Solutions\Ecopetrol Prometeo - Documents\Planning Space Implementation\3. Analysis &amp; Design\Design\FC22\DRR Jaime\QUIFA-CAJÚA\Cajua\[VAS_CAJUA_CF_SEC_20230125.xlsx]CF PS'!</v>
      </c>
      <c r="G4178" s="6" t="s">
        <v>60</v>
      </c>
      <c r="H4178" s="1">
        <f t="shared" si="966"/>
        <v>70</v>
      </c>
      <c r="I4178" s="1" t="str">
        <f t="shared" si="967"/>
        <v>='C:\Users\jaime.benazar\Quorum Business Solutions\Ecopetrol Prometeo - Documents\Planning Space Implementation\3. Analysis &amp; Design\Design\FC22\DRR Jaime\QUIFA-CAJÚA\Cajua\[VAS_CAJUA_CF_SEC_20230125.xlsx]CF PS'!$BY$70</v>
      </c>
      <c r="J4178" s="1" t="s">
        <v>1976</v>
      </c>
    </row>
    <row r="4179" spans="1:10" x14ac:dyDescent="0.25">
      <c r="A4179" s="6" t="s">
        <v>34</v>
      </c>
      <c r="B4179" s="6">
        <f t="shared" si="968"/>
        <v>2058</v>
      </c>
      <c r="C4179" s="1" t="s">
        <v>109</v>
      </c>
      <c r="D4179" s="2" t="s">
        <v>128</v>
      </c>
      <c r="E4179" s="9" t="str">
        <f t="shared" si="964"/>
        <v>PS'!</v>
      </c>
      <c r="F4179" s="5" t="str">
        <f t="shared" si="965"/>
        <v>C:\Users\jaime.benazar\Quorum Business Solutions\Ecopetrol Prometeo - Documents\Planning Space Implementation\3. Analysis &amp; Design\Design\FC22\DRR Jaime\QUIFA-CAJÚA\Cajua\[VAS_CAJUA_CF_SEC_20230125.xlsx]CF PS'!</v>
      </c>
      <c r="G4179" s="6" t="s">
        <v>60</v>
      </c>
      <c r="H4179" s="1">
        <f t="shared" si="966"/>
        <v>71</v>
      </c>
      <c r="I4179" s="1" t="str">
        <f t="shared" si="967"/>
        <v>='C:\Users\jaime.benazar\Quorum Business Solutions\Ecopetrol Prometeo - Documents\Planning Space Implementation\3. Analysis &amp; Design\Design\FC22\DRR Jaime\QUIFA-CAJÚA\Cajua\[VAS_CAJUA_CF_SEC_20230125.xlsx]CF PS'!$BY$71</v>
      </c>
      <c r="J4179" s="1" t="s">
        <v>1977</v>
      </c>
    </row>
    <row r="4180" spans="1:10" x14ac:dyDescent="0.25">
      <c r="A4180" s="6" t="s">
        <v>34</v>
      </c>
      <c r="B4180" s="6">
        <f t="shared" si="968"/>
        <v>2059</v>
      </c>
      <c r="C4180" s="1" t="s">
        <v>109</v>
      </c>
      <c r="D4180" s="2" t="s">
        <v>128</v>
      </c>
      <c r="E4180" s="9" t="str">
        <f t="shared" si="964"/>
        <v>PS'!</v>
      </c>
      <c r="F4180" s="5" t="str">
        <f t="shared" si="965"/>
        <v>C:\Users\jaime.benazar\Quorum Business Solutions\Ecopetrol Prometeo - Documents\Planning Space Implementation\3. Analysis &amp; Design\Design\FC22\DRR Jaime\QUIFA-CAJÚA\Cajua\[VAS_CAJUA_CF_SEC_20230125.xlsx]CF PS'!</v>
      </c>
      <c r="G4180" s="6" t="s">
        <v>60</v>
      </c>
      <c r="H4180" s="1">
        <f t="shared" si="966"/>
        <v>72</v>
      </c>
      <c r="I4180" s="1" t="str">
        <f t="shared" si="967"/>
        <v>='C:\Users\jaime.benazar\Quorum Business Solutions\Ecopetrol Prometeo - Documents\Planning Space Implementation\3. Analysis &amp; Design\Design\FC22\DRR Jaime\QUIFA-CAJÚA\Cajua\[VAS_CAJUA_CF_SEC_20230125.xlsx]CF PS'!$BY$72</v>
      </c>
      <c r="J4180" s="1" t="s">
        <v>1978</v>
      </c>
    </row>
    <row r="4181" spans="1:10" x14ac:dyDescent="0.25">
      <c r="A4181" s="6" t="s">
        <v>28</v>
      </c>
      <c r="B4181" s="6"/>
      <c r="C4181" s="1" t="s">
        <v>109</v>
      </c>
      <c r="D4181" s="2"/>
      <c r="E4181" s="9"/>
      <c r="F4181" s="5"/>
      <c r="G4181" s="6"/>
      <c r="H4181" s="1"/>
      <c r="I4181" s="1"/>
      <c r="J4181" s="4"/>
    </row>
    <row r="4182" spans="1:10" x14ac:dyDescent="0.25">
      <c r="A4182" s="32" t="s">
        <v>120</v>
      </c>
      <c r="B4182" s="32" t="s">
        <v>1</v>
      </c>
      <c r="C4182" s="33" t="s">
        <v>118</v>
      </c>
      <c r="D4182" s="34" t="s">
        <v>127</v>
      </c>
      <c r="E4182" s="35" t="str">
        <f t="shared" ref="E4182:E4203" si="969">_xlfn.CONCAT(A4182,"'!")</f>
        <v>Consolidado'!</v>
      </c>
      <c r="F4182" s="34" t="str">
        <f>_xlfn.CONCAT(D4182:E4182)</f>
        <v>C:\Users\jaime.benazar\Quorum Business Solutions\Ecopetrol Prometeo - Documents\Planning Space Implementation\3. Analysis &amp; Design\Design\FC22\DRR Jaime\QUIFA-CAJÚA\Cajua\[VAS_CAJUA_CF_SEC_20230125.xlsx]Consolidado'!</v>
      </c>
      <c r="G4182" s="32" t="s">
        <v>122</v>
      </c>
      <c r="H4182" s="33">
        <v>12</v>
      </c>
      <c r="I4182" s="33" t="str">
        <f t="shared" ref="I4182:I4203" si="970">_xlfn.CONCAT("='",F4182:H4182)</f>
        <v>='C:\Users\jaime.benazar\Quorum Business Solutions\Ecopetrol Prometeo - Documents\Planning Space Implementation\3. Analysis &amp; Design\Design\FC22\DRR Jaime\QUIFA-CAJÚA\Cajua\[VAS_CAJUA_CF_SEC_20230125.xlsx]Consolidado'!$J$12</v>
      </c>
      <c r="J4182" t="s">
        <v>1979</v>
      </c>
    </row>
    <row r="4183" spans="1:10" x14ac:dyDescent="0.25">
      <c r="A4183" s="32" t="s">
        <v>120</v>
      </c>
      <c r="B4183" s="32" t="s">
        <v>2</v>
      </c>
      <c r="C4183" s="33" t="s">
        <v>118</v>
      </c>
      <c r="D4183" s="34" t="s">
        <v>127</v>
      </c>
      <c r="E4183" s="35" t="str">
        <f t="shared" si="969"/>
        <v>Consolidado'!</v>
      </c>
      <c r="F4183" s="34" t="str">
        <f t="shared" ref="F4183:F4203" si="971">_xlfn.CONCAT(D4183:E4183)</f>
        <v>C:\Users\jaime.benazar\Quorum Business Solutions\Ecopetrol Prometeo - Documents\Planning Space Implementation\3. Analysis &amp; Design\Design\FC22\DRR Jaime\QUIFA-CAJÚA\Cajua\[VAS_CAJUA_CF_SEC_20230125.xlsx]Consolidado'!</v>
      </c>
      <c r="G4183" s="32" t="s">
        <v>122</v>
      </c>
      <c r="H4183" s="33">
        <v>13</v>
      </c>
      <c r="I4183" s="33" t="str">
        <f t="shared" si="970"/>
        <v>='C:\Users\jaime.benazar\Quorum Business Solutions\Ecopetrol Prometeo - Documents\Planning Space Implementation\3. Analysis &amp; Design\Design\FC22\DRR Jaime\QUIFA-CAJÚA\Cajua\[VAS_CAJUA_CF_SEC_20230125.xlsx]Consolidado'!$J$13</v>
      </c>
      <c r="J4183" t="s">
        <v>1980</v>
      </c>
    </row>
    <row r="4184" spans="1:10" x14ac:dyDescent="0.25">
      <c r="A4184" s="32" t="s">
        <v>120</v>
      </c>
      <c r="B4184" s="32" t="s">
        <v>3</v>
      </c>
      <c r="C4184" s="33" t="s">
        <v>118</v>
      </c>
      <c r="D4184" s="34" t="s">
        <v>127</v>
      </c>
      <c r="E4184" s="35" t="str">
        <f t="shared" si="969"/>
        <v>Consolidado'!</v>
      </c>
      <c r="F4184" s="34" t="str">
        <f t="shared" si="971"/>
        <v>C:\Users\jaime.benazar\Quorum Business Solutions\Ecopetrol Prometeo - Documents\Planning Space Implementation\3. Analysis &amp; Design\Design\FC22\DRR Jaime\QUIFA-CAJÚA\Cajua\[VAS_CAJUA_CF_SEC_20230125.xlsx]Consolidado'!</v>
      </c>
      <c r="G4184" s="32" t="s">
        <v>122</v>
      </c>
      <c r="H4184" s="33">
        <v>14</v>
      </c>
      <c r="I4184" s="33" t="str">
        <f t="shared" si="970"/>
        <v>='C:\Users\jaime.benazar\Quorum Business Solutions\Ecopetrol Prometeo - Documents\Planning Space Implementation\3. Analysis &amp; Design\Design\FC22\DRR Jaime\QUIFA-CAJÚA\Cajua\[VAS_CAJUA_CF_SEC_20230125.xlsx]Consolidado'!$J$14</v>
      </c>
      <c r="J4184" t="s">
        <v>1981</v>
      </c>
    </row>
    <row r="4185" spans="1:10" x14ac:dyDescent="0.25">
      <c r="A4185" s="32" t="s">
        <v>120</v>
      </c>
      <c r="B4185" s="32" t="s">
        <v>99</v>
      </c>
      <c r="C4185" s="33" t="s">
        <v>118</v>
      </c>
      <c r="D4185" s="34" t="s">
        <v>127</v>
      </c>
      <c r="E4185" s="35" t="str">
        <f t="shared" si="969"/>
        <v>Consolidado'!</v>
      </c>
      <c r="F4185" s="34" t="str">
        <f t="shared" si="971"/>
        <v>C:\Users\jaime.benazar\Quorum Business Solutions\Ecopetrol Prometeo - Documents\Planning Space Implementation\3. Analysis &amp; Design\Design\FC22\DRR Jaime\QUIFA-CAJÚA\Cajua\[VAS_CAJUA_CF_SEC_20230125.xlsx]Consolidado'!</v>
      </c>
      <c r="G4185" s="32" t="s">
        <v>122</v>
      </c>
      <c r="H4185" s="33">
        <v>17</v>
      </c>
      <c r="I4185" s="33" t="str">
        <f t="shared" si="970"/>
        <v>='C:\Users\jaime.benazar\Quorum Business Solutions\Ecopetrol Prometeo - Documents\Planning Space Implementation\3. Analysis &amp; Design\Design\FC22\DRR Jaime\QUIFA-CAJÚA\Cajua\[VAS_CAJUA_CF_SEC_20230125.xlsx]Consolidado'!$J$17</v>
      </c>
      <c r="J4185" t="s">
        <v>1982</v>
      </c>
    </row>
    <row r="4186" spans="1:10" x14ac:dyDescent="0.25">
      <c r="A4186" s="32" t="s">
        <v>120</v>
      </c>
      <c r="B4186" s="32" t="s">
        <v>100</v>
      </c>
      <c r="C4186" s="33" t="s">
        <v>118</v>
      </c>
      <c r="D4186" s="34" t="s">
        <v>127</v>
      </c>
      <c r="E4186" s="35" t="str">
        <f t="shared" si="969"/>
        <v>Consolidado'!</v>
      </c>
      <c r="F4186" s="34" t="str">
        <f t="shared" si="971"/>
        <v>C:\Users\jaime.benazar\Quorum Business Solutions\Ecopetrol Prometeo - Documents\Planning Space Implementation\3. Analysis &amp; Design\Design\FC22\DRR Jaime\QUIFA-CAJÚA\Cajua\[VAS_CAJUA_CF_SEC_20230125.xlsx]Consolidado'!</v>
      </c>
      <c r="G4186" s="32" t="s">
        <v>122</v>
      </c>
      <c r="H4186" s="33">
        <v>18</v>
      </c>
      <c r="I4186" s="33" t="str">
        <f t="shared" si="970"/>
        <v>='C:\Users\jaime.benazar\Quorum Business Solutions\Ecopetrol Prometeo - Documents\Planning Space Implementation\3. Analysis &amp; Design\Design\FC22\DRR Jaime\QUIFA-CAJÚA\Cajua\[VAS_CAJUA_CF_SEC_20230125.xlsx]Consolidado'!$J$18</v>
      </c>
      <c r="J4186" t="s">
        <v>1983</v>
      </c>
    </row>
    <row r="4187" spans="1:10" x14ac:dyDescent="0.25">
      <c r="A4187" s="32" t="s">
        <v>120</v>
      </c>
      <c r="B4187" s="32" t="s">
        <v>101</v>
      </c>
      <c r="C4187" s="33" t="s">
        <v>118</v>
      </c>
      <c r="D4187" s="34" t="s">
        <v>127</v>
      </c>
      <c r="E4187" s="35" t="str">
        <f t="shared" si="969"/>
        <v>Consolidado'!</v>
      </c>
      <c r="F4187" s="34"/>
      <c r="G4187" s="32"/>
      <c r="H4187" s="33"/>
      <c r="I4187" s="33"/>
    </row>
    <row r="4188" spans="1:10" x14ac:dyDescent="0.25">
      <c r="A4188" s="32" t="s">
        <v>120</v>
      </c>
      <c r="B4188" s="32" t="s">
        <v>4</v>
      </c>
      <c r="C4188" s="33" t="s">
        <v>118</v>
      </c>
      <c r="D4188" s="34" t="s">
        <v>127</v>
      </c>
      <c r="E4188" s="35" t="str">
        <f t="shared" si="969"/>
        <v>Consolidado'!</v>
      </c>
      <c r="F4188" s="34" t="str">
        <f t="shared" si="971"/>
        <v>C:\Users\jaime.benazar\Quorum Business Solutions\Ecopetrol Prometeo - Documents\Planning Space Implementation\3. Analysis &amp; Design\Design\FC22\DRR Jaime\QUIFA-CAJÚA\Cajua\[VAS_CAJUA_CF_SEC_20230125.xlsx]Consolidado'!</v>
      </c>
      <c r="G4188" s="32" t="s">
        <v>122</v>
      </c>
      <c r="H4188" s="33">
        <v>19</v>
      </c>
      <c r="I4188" s="33" t="str">
        <f t="shared" si="970"/>
        <v>='C:\Users\jaime.benazar\Quorum Business Solutions\Ecopetrol Prometeo - Documents\Planning Space Implementation\3. Analysis &amp; Design\Design\FC22\DRR Jaime\QUIFA-CAJÚA\Cajua\[VAS_CAJUA_CF_SEC_20230125.xlsx]Consolidado'!$J$19</v>
      </c>
      <c r="J4188" t="s">
        <v>1984</v>
      </c>
    </row>
    <row r="4189" spans="1:10" x14ac:dyDescent="0.25">
      <c r="A4189" s="32" t="s">
        <v>120</v>
      </c>
      <c r="B4189" s="32" t="s">
        <v>102</v>
      </c>
      <c r="C4189" s="33" t="s">
        <v>118</v>
      </c>
      <c r="D4189" s="34" t="s">
        <v>127</v>
      </c>
      <c r="E4189" s="35" t="str">
        <f t="shared" si="969"/>
        <v>Consolidado'!</v>
      </c>
      <c r="F4189" s="34" t="str">
        <f t="shared" si="971"/>
        <v>C:\Users\jaime.benazar\Quorum Business Solutions\Ecopetrol Prometeo - Documents\Planning Space Implementation\3. Analysis &amp; Design\Design\FC22\DRR Jaime\QUIFA-CAJÚA\Cajua\[VAS_CAJUA_CF_SEC_20230125.xlsx]Consolidado'!</v>
      </c>
      <c r="G4189" s="32" t="s">
        <v>122</v>
      </c>
      <c r="H4189" s="33">
        <v>21</v>
      </c>
      <c r="I4189" s="33" t="str">
        <f t="shared" si="970"/>
        <v>='C:\Users\jaime.benazar\Quorum Business Solutions\Ecopetrol Prometeo - Documents\Planning Space Implementation\3. Analysis &amp; Design\Design\FC22\DRR Jaime\QUIFA-CAJÚA\Cajua\[VAS_CAJUA_CF_SEC_20230125.xlsx]Consolidado'!$J$21</v>
      </c>
      <c r="J4189" t="s">
        <v>1985</v>
      </c>
    </row>
    <row r="4190" spans="1:10" x14ac:dyDescent="0.25">
      <c r="A4190" s="32" t="s">
        <v>120</v>
      </c>
      <c r="B4190" s="32" t="s">
        <v>103</v>
      </c>
      <c r="C4190" s="33" t="s">
        <v>118</v>
      </c>
      <c r="D4190" s="34" t="s">
        <v>127</v>
      </c>
      <c r="E4190" s="35" t="str">
        <f t="shared" si="969"/>
        <v>Consolidado'!</v>
      </c>
      <c r="F4190" s="34" t="str">
        <f t="shared" si="971"/>
        <v>C:\Users\jaime.benazar\Quorum Business Solutions\Ecopetrol Prometeo - Documents\Planning Space Implementation\3. Analysis &amp; Design\Design\FC22\DRR Jaime\QUIFA-CAJÚA\Cajua\[VAS_CAJUA_CF_SEC_20230125.xlsx]Consolidado'!</v>
      </c>
      <c r="G4190" s="32" t="s">
        <v>122</v>
      </c>
      <c r="H4190" s="33">
        <v>22</v>
      </c>
      <c r="I4190" s="33" t="str">
        <f t="shared" si="970"/>
        <v>='C:\Users\jaime.benazar\Quorum Business Solutions\Ecopetrol Prometeo - Documents\Planning Space Implementation\3. Analysis &amp; Design\Design\FC22\DRR Jaime\QUIFA-CAJÚA\Cajua\[VAS_CAJUA_CF_SEC_20230125.xlsx]Consolidado'!$J$22</v>
      </c>
      <c r="J4190" t="s">
        <v>1986</v>
      </c>
    </row>
    <row r="4191" spans="1:10" x14ac:dyDescent="0.25">
      <c r="A4191" s="32" t="s">
        <v>120</v>
      </c>
      <c r="B4191" s="32" t="s">
        <v>104</v>
      </c>
      <c r="C4191" s="33" t="s">
        <v>118</v>
      </c>
      <c r="D4191" s="34" t="s">
        <v>127</v>
      </c>
      <c r="E4191" s="35" t="str">
        <f t="shared" si="969"/>
        <v>Consolidado'!</v>
      </c>
      <c r="F4191" s="34"/>
      <c r="G4191" s="32"/>
      <c r="H4191" s="33"/>
      <c r="I4191" s="33"/>
    </row>
    <row r="4192" spans="1:10" x14ac:dyDescent="0.25">
      <c r="A4192" s="32" t="s">
        <v>120</v>
      </c>
      <c r="B4192" s="32" t="s">
        <v>34</v>
      </c>
      <c r="C4192" s="33" t="s">
        <v>118</v>
      </c>
      <c r="D4192" s="34" t="s">
        <v>127</v>
      </c>
      <c r="E4192" s="35" t="str">
        <f t="shared" si="969"/>
        <v>Consolidado'!</v>
      </c>
      <c r="F4192" s="34" t="str">
        <f t="shared" si="971"/>
        <v>C:\Users\jaime.benazar\Quorum Business Solutions\Ecopetrol Prometeo - Documents\Planning Space Implementation\3. Analysis &amp; Design\Design\FC22\DRR Jaime\QUIFA-CAJÚA\Cajua\[VAS_CAJUA_CF_SEC_20230125.xlsx]Consolidado'!</v>
      </c>
      <c r="G4192" s="32" t="s">
        <v>122</v>
      </c>
      <c r="H4192" s="33">
        <v>23</v>
      </c>
      <c r="I4192" s="33" t="str">
        <f t="shared" si="970"/>
        <v>='C:\Users\jaime.benazar\Quorum Business Solutions\Ecopetrol Prometeo - Documents\Planning Space Implementation\3. Analysis &amp; Design\Design\FC22\DRR Jaime\QUIFA-CAJÚA\Cajua\[VAS_CAJUA_CF_SEC_20230125.xlsx]Consolidado'!$J$23</v>
      </c>
      <c r="J4192" t="s">
        <v>1987</v>
      </c>
    </row>
    <row r="4193" spans="1:10" x14ac:dyDescent="0.25">
      <c r="A4193" s="32" t="s">
        <v>120</v>
      </c>
      <c r="B4193" s="32" t="s">
        <v>1</v>
      </c>
      <c r="C4193" s="33" t="s">
        <v>119</v>
      </c>
      <c r="D4193" s="34" t="s">
        <v>127</v>
      </c>
      <c r="E4193" s="35" t="str">
        <f t="shared" si="969"/>
        <v>Consolidado'!</v>
      </c>
      <c r="F4193" s="34" t="str">
        <f t="shared" si="971"/>
        <v>C:\Users\jaime.benazar\Quorum Business Solutions\Ecopetrol Prometeo - Documents\Planning Space Implementation\3. Analysis &amp; Design\Design\FC22\DRR Jaime\QUIFA-CAJÚA\Cajua\[VAS_CAJUA_CF_SEC_20230125.xlsx]Consolidado'!</v>
      </c>
      <c r="G4193" s="32" t="s">
        <v>121</v>
      </c>
      <c r="H4193" s="33">
        <v>12</v>
      </c>
      <c r="I4193" s="33" t="str">
        <f t="shared" si="970"/>
        <v>='C:\Users\jaime.benazar\Quorum Business Solutions\Ecopetrol Prometeo - Documents\Planning Space Implementation\3. Analysis &amp; Design\Design\FC22\DRR Jaime\QUIFA-CAJÚA\Cajua\[VAS_CAJUA_CF_SEC_20230125.xlsx]Consolidado'!$L$12</v>
      </c>
      <c r="J4193" t="s">
        <v>1988</v>
      </c>
    </row>
    <row r="4194" spans="1:10" x14ac:dyDescent="0.25">
      <c r="A4194" s="32" t="s">
        <v>120</v>
      </c>
      <c r="B4194" s="32" t="s">
        <v>2</v>
      </c>
      <c r="C4194" s="33" t="s">
        <v>119</v>
      </c>
      <c r="D4194" s="34" t="s">
        <v>127</v>
      </c>
      <c r="E4194" s="35" t="str">
        <f t="shared" si="969"/>
        <v>Consolidado'!</v>
      </c>
      <c r="F4194" s="34" t="str">
        <f t="shared" si="971"/>
        <v>C:\Users\jaime.benazar\Quorum Business Solutions\Ecopetrol Prometeo - Documents\Planning Space Implementation\3. Analysis &amp; Design\Design\FC22\DRR Jaime\QUIFA-CAJÚA\Cajua\[VAS_CAJUA_CF_SEC_20230125.xlsx]Consolidado'!</v>
      </c>
      <c r="G4194" s="32" t="s">
        <v>121</v>
      </c>
      <c r="H4194" s="33">
        <v>13</v>
      </c>
      <c r="I4194" s="33" t="str">
        <f t="shared" si="970"/>
        <v>='C:\Users\jaime.benazar\Quorum Business Solutions\Ecopetrol Prometeo - Documents\Planning Space Implementation\3. Analysis &amp; Design\Design\FC22\DRR Jaime\QUIFA-CAJÚA\Cajua\[VAS_CAJUA_CF_SEC_20230125.xlsx]Consolidado'!$L$13</v>
      </c>
      <c r="J4194" t="s">
        <v>1989</v>
      </c>
    </row>
    <row r="4195" spans="1:10" x14ac:dyDescent="0.25">
      <c r="A4195" s="32" t="s">
        <v>120</v>
      </c>
      <c r="B4195" s="32" t="s">
        <v>3</v>
      </c>
      <c r="C4195" s="33" t="s">
        <v>119</v>
      </c>
      <c r="D4195" s="34" t="s">
        <v>127</v>
      </c>
      <c r="E4195" s="35" t="str">
        <f t="shared" si="969"/>
        <v>Consolidado'!</v>
      </c>
      <c r="F4195" s="34" t="str">
        <f t="shared" si="971"/>
        <v>C:\Users\jaime.benazar\Quorum Business Solutions\Ecopetrol Prometeo - Documents\Planning Space Implementation\3. Analysis &amp; Design\Design\FC22\DRR Jaime\QUIFA-CAJÚA\Cajua\[VAS_CAJUA_CF_SEC_20230125.xlsx]Consolidado'!</v>
      </c>
      <c r="G4195" s="32" t="s">
        <v>121</v>
      </c>
      <c r="H4195" s="33">
        <v>14</v>
      </c>
      <c r="I4195" s="33" t="str">
        <f t="shared" si="970"/>
        <v>='C:\Users\jaime.benazar\Quorum Business Solutions\Ecopetrol Prometeo - Documents\Planning Space Implementation\3. Analysis &amp; Design\Design\FC22\DRR Jaime\QUIFA-CAJÚA\Cajua\[VAS_CAJUA_CF_SEC_20230125.xlsx]Consolidado'!$L$14</v>
      </c>
      <c r="J4195" t="s">
        <v>1990</v>
      </c>
    </row>
    <row r="4196" spans="1:10" x14ac:dyDescent="0.25">
      <c r="A4196" s="32" t="s">
        <v>120</v>
      </c>
      <c r="B4196" s="32" t="s">
        <v>99</v>
      </c>
      <c r="C4196" s="33" t="s">
        <v>119</v>
      </c>
      <c r="D4196" s="34" t="s">
        <v>127</v>
      </c>
      <c r="E4196" s="35" t="str">
        <f t="shared" si="969"/>
        <v>Consolidado'!</v>
      </c>
      <c r="F4196" s="34" t="str">
        <f t="shared" si="971"/>
        <v>C:\Users\jaime.benazar\Quorum Business Solutions\Ecopetrol Prometeo - Documents\Planning Space Implementation\3. Analysis &amp; Design\Design\FC22\DRR Jaime\QUIFA-CAJÚA\Cajua\[VAS_CAJUA_CF_SEC_20230125.xlsx]Consolidado'!</v>
      </c>
      <c r="G4196" s="32" t="s">
        <v>121</v>
      </c>
      <c r="H4196" s="33">
        <v>17</v>
      </c>
      <c r="I4196" s="33" t="str">
        <f t="shared" si="970"/>
        <v>='C:\Users\jaime.benazar\Quorum Business Solutions\Ecopetrol Prometeo - Documents\Planning Space Implementation\3. Analysis &amp; Design\Design\FC22\DRR Jaime\QUIFA-CAJÚA\Cajua\[VAS_CAJUA_CF_SEC_20230125.xlsx]Consolidado'!$L$17</v>
      </c>
      <c r="J4196" t="s">
        <v>1991</v>
      </c>
    </row>
    <row r="4197" spans="1:10" x14ac:dyDescent="0.25">
      <c r="A4197" s="32" t="s">
        <v>120</v>
      </c>
      <c r="B4197" s="32" t="s">
        <v>100</v>
      </c>
      <c r="C4197" s="33" t="s">
        <v>119</v>
      </c>
      <c r="D4197" s="34" t="s">
        <v>127</v>
      </c>
      <c r="E4197" s="35" t="str">
        <f t="shared" si="969"/>
        <v>Consolidado'!</v>
      </c>
      <c r="F4197" s="34" t="str">
        <f t="shared" si="971"/>
        <v>C:\Users\jaime.benazar\Quorum Business Solutions\Ecopetrol Prometeo - Documents\Planning Space Implementation\3. Analysis &amp; Design\Design\FC22\DRR Jaime\QUIFA-CAJÚA\Cajua\[VAS_CAJUA_CF_SEC_20230125.xlsx]Consolidado'!</v>
      </c>
      <c r="G4197" s="32" t="s">
        <v>121</v>
      </c>
      <c r="H4197" s="33">
        <v>18</v>
      </c>
      <c r="I4197" s="33" t="str">
        <f t="shared" si="970"/>
        <v>='C:\Users\jaime.benazar\Quorum Business Solutions\Ecopetrol Prometeo - Documents\Planning Space Implementation\3. Analysis &amp; Design\Design\FC22\DRR Jaime\QUIFA-CAJÚA\Cajua\[VAS_CAJUA_CF_SEC_20230125.xlsx]Consolidado'!$L$18</v>
      </c>
      <c r="J4197" t="s">
        <v>1992</v>
      </c>
    </row>
    <row r="4198" spans="1:10" x14ac:dyDescent="0.25">
      <c r="A4198" s="32" t="s">
        <v>120</v>
      </c>
      <c r="B4198" s="32" t="s">
        <v>101</v>
      </c>
      <c r="C4198" s="33" t="s">
        <v>119</v>
      </c>
      <c r="D4198" s="34" t="s">
        <v>127</v>
      </c>
      <c r="E4198" s="35" t="str">
        <f t="shared" si="969"/>
        <v>Consolidado'!</v>
      </c>
      <c r="F4198" s="34"/>
      <c r="G4198" s="32"/>
      <c r="H4198" s="33"/>
      <c r="I4198" s="33"/>
    </row>
    <row r="4199" spans="1:10" x14ac:dyDescent="0.25">
      <c r="A4199" s="32" t="s">
        <v>120</v>
      </c>
      <c r="B4199" s="32" t="s">
        <v>4</v>
      </c>
      <c r="C4199" s="33" t="s">
        <v>119</v>
      </c>
      <c r="D4199" s="34" t="s">
        <v>127</v>
      </c>
      <c r="E4199" s="35" t="str">
        <f t="shared" si="969"/>
        <v>Consolidado'!</v>
      </c>
      <c r="F4199" s="34" t="str">
        <f t="shared" si="971"/>
        <v>C:\Users\jaime.benazar\Quorum Business Solutions\Ecopetrol Prometeo - Documents\Planning Space Implementation\3. Analysis &amp; Design\Design\FC22\DRR Jaime\QUIFA-CAJÚA\Cajua\[VAS_CAJUA_CF_SEC_20230125.xlsx]Consolidado'!</v>
      </c>
      <c r="G4199" s="32" t="s">
        <v>121</v>
      </c>
      <c r="H4199" s="33">
        <v>19</v>
      </c>
      <c r="I4199" s="33" t="str">
        <f t="shared" si="970"/>
        <v>='C:\Users\jaime.benazar\Quorum Business Solutions\Ecopetrol Prometeo - Documents\Planning Space Implementation\3. Analysis &amp; Design\Design\FC22\DRR Jaime\QUIFA-CAJÚA\Cajua\[VAS_CAJUA_CF_SEC_20230125.xlsx]Consolidado'!$L$19</v>
      </c>
      <c r="J4199" t="s">
        <v>1993</v>
      </c>
    </row>
    <row r="4200" spans="1:10" x14ac:dyDescent="0.25">
      <c r="A4200" s="32" t="s">
        <v>120</v>
      </c>
      <c r="B4200" s="32" t="s">
        <v>102</v>
      </c>
      <c r="C4200" s="33" t="s">
        <v>119</v>
      </c>
      <c r="D4200" s="34" t="s">
        <v>127</v>
      </c>
      <c r="E4200" s="35" t="str">
        <f t="shared" si="969"/>
        <v>Consolidado'!</v>
      </c>
      <c r="F4200" s="34" t="str">
        <f t="shared" si="971"/>
        <v>C:\Users\jaime.benazar\Quorum Business Solutions\Ecopetrol Prometeo - Documents\Planning Space Implementation\3. Analysis &amp; Design\Design\FC22\DRR Jaime\QUIFA-CAJÚA\Cajua\[VAS_CAJUA_CF_SEC_20230125.xlsx]Consolidado'!</v>
      </c>
      <c r="G4200" s="32" t="s">
        <v>121</v>
      </c>
      <c r="H4200" s="33">
        <v>21</v>
      </c>
      <c r="I4200" s="33" t="str">
        <f t="shared" si="970"/>
        <v>='C:\Users\jaime.benazar\Quorum Business Solutions\Ecopetrol Prometeo - Documents\Planning Space Implementation\3. Analysis &amp; Design\Design\FC22\DRR Jaime\QUIFA-CAJÚA\Cajua\[VAS_CAJUA_CF_SEC_20230125.xlsx]Consolidado'!$L$21</v>
      </c>
      <c r="J4200" t="s">
        <v>1994</v>
      </c>
    </row>
    <row r="4201" spans="1:10" x14ac:dyDescent="0.25">
      <c r="A4201" s="32" t="s">
        <v>120</v>
      </c>
      <c r="B4201" s="32" t="s">
        <v>103</v>
      </c>
      <c r="C4201" s="33" t="s">
        <v>119</v>
      </c>
      <c r="D4201" s="34" t="s">
        <v>127</v>
      </c>
      <c r="E4201" s="35" t="str">
        <f t="shared" si="969"/>
        <v>Consolidado'!</v>
      </c>
      <c r="F4201" s="34" t="str">
        <f t="shared" si="971"/>
        <v>C:\Users\jaime.benazar\Quorum Business Solutions\Ecopetrol Prometeo - Documents\Planning Space Implementation\3. Analysis &amp; Design\Design\FC22\DRR Jaime\QUIFA-CAJÚA\Cajua\[VAS_CAJUA_CF_SEC_20230125.xlsx]Consolidado'!</v>
      </c>
      <c r="G4201" s="32" t="s">
        <v>121</v>
      </c>
      <c r="H4201" s="33">
        <v>22</v>
      </c>
      <c r="I4201" s="33" t="str">
        <f t="shared" si="970"/>
        <v>='C:\Users\jaime.benazar\Quorum Business Solutions\Ecopetrol Prometeo - Documents\Planning Space Implementation\3. Analysis &amp; Design\Design\FC22\DRR Jaime\QUIFA-CAJÚA\Cajua\[VAS_CAJUA_CF_SEC_20230125.xlsx]Consolidado'!$L$22</v>
      </c>
      <c r="J4201" t="s">
        <v>1995</v>
      </c>
    </row>
    <row r="4202" spans="1:10" x14ac:dyDescent="0.25">
      <c r="A4202" s="32" t="s">
        <v>120</v>
      </c>
      <c r="B4202" s="32" t="s">
        <v>104</v>
      </c>
      <c r="C4202" s="33" t="s">
        <v>119</v>
      </c>
      <c r="D4202" s="34" t="s">
        <v>127</v>
      </c>
      <c r="E4202" s="35" t="str">
        <f t="shared" si="969"/>
        <v>Consolidado'!</v>
      </c>
      <c r="F4202" s="34"/>
      <c r="G4202" s="32"/>
      <c r="H4202" s="33"/>
      <c r="I4202" s="33"/>
    </row>
    <row r="4203" spans="1:10" x14ac:dyDescent="0.25">
      <c r="A4203" s="32" t="s">
        <v>120</v>
      </c>
      <c r="B4203" s="32" t="s">
        <v>34</v>
      </c>
      <c r="C4203" s="33" t="s">
        <v>119</v>
      </c>
      <c r="D4203" s="34" t="s">
        <v>127</v>
      </c>
      <c r="E4203" s="35" t="str">
        <f t="shared" si="969"/>
        <v>Consolidado'!</v>
      </c>
      <c r="F4203" s="34" t="str">
        <f t="shared" si="971"/>
        <v>C:\Users\jaime.benazar\Quorum Business Solutions\Ecopetrol Prometeo - Documents\Planning Space Implementation\3. Analysis &amp; Design\Design\FC22\DRR Jaime\QUIFA-CAJÚA\Cajua\[VAS_CAJUA_CF_SEC_20230125.xlsx]Consolidado'!</v>
      </c>
      <c r="G4203" s="32" t="s">
        <v>121</v>
      </c>
      <c r="H4203" s="33">
        <v>23</v>
      </c>
      <c r="I4203" s="33" t="str">
        <f t="shared" si="970"/>
        <v>='C:\Users\jaime.benazar\Quorum Business Solutions\Ecopetrol Prometeo - Documents\Planning Space Implementation\3. Analysis &amp; Design\Design\FC22\DRR Jaime\QUIFA-CAJÚA\Cajua\[VAS_CAJUA_CF_SEC_20230125.xlsx]Consolidado'!$L$23</v>
      </c>
      <c r="J4203" t="s">
        <v>1996</v>
      </c>
    </row>
    <row r="4204" spans="1:10" x14ac:dyDescent="0.25">
      <c r="F4204" s="5"/>
    </row>
    <row r="4205" spans="1:10" x14ac:dyDescent="0.25">
      <c r="F4205" s="5"/>
    </row>
    <row r="4206" spans="1:10" x14ac:dyDescent="0.25">
      <c r="F4206" s="5"/>
    </row>
    <row r="4207" spans="1:10" x14ac:dyDescent="0.25">
      <c r="F4207" s="5"/>
    </row>
    <row r="4208" spans="1:10" x14ac:dyDescent="0.25">
      <c r="F4208" s="5"/>
    </row>
    <row r="4209" spans="6:6" x14ac:dyDescent="0.25">
      <c r="F4209" s="5"/>
    </row>
    <row r="4210" spans="6:6" x14ac:dyDescent="0.25">
      <c r="F4210" s="5"/>
    </row>
    <row r="4211" spans="6:6" x14ac:dyDescent="0.25">
      <c r="F4211" s="5"/>
    </row>
    <row r="4212" spans="6:6" x14ac:dyDescent="0.25">
      <c r="F4212" s="5"/>
    </row>
    <row r="4213" spans="6:6" x14ac:dyDescent="0.25">
      <c r="F4213" s="5"/>
    </row>
    <row r="4214" spans="6:6" x14ac:dyDescent="0.25">
      <c r="F4214" s="5"/>
    </row>
    <row r="4215" spans="6:6" x14ac:dyDescent="0.25">
      <c r="F4215" s="5"/>
    </row>
    <row r="4216" spans="6:6" x14ac:dyDescent="0.25">
      <c r="F4216" s="5"/>
    </row>
    <row r="4217" spans="6:6" x14ac:dyDescent="0.25">
      <c r="F4217" s="5"/>
    </row>
    <row r="4218" spans="6:6" x14ac:dyDescent="0.25">
      <c r="F4218" s="5"/>
    </row>
    <row r="4219" spans="6:6" x14ac:dyDescent="0.25">
      <c r="F4219" s="5"/>
    </row>
    <row r="4220" spans="6:6" x14ac:dyDescent="0.25">
      <c r="F4220" s="5"/>
    </row>
    <row r="4221" spans="6:6" x14ac:dyDescent="0.25">
      <c r="F4221" s="5"/>
    </row>
    <row r="4222" spans="6:6" x14ac:dyDescent="0.25">
      <c r="F4222" s="5"/>
    </row>
    <row r="4223" spans="6:6" x14ac:dyDescent="0.25">
      <c r="F4223" s="5"/>
    </row>
    <row r="4224" spans="6:6" x14ac:dyDescent="0.25">
      <c r="F4224" s="5"/>
    </row>
    <row r="4225" spans="6:6" x14ac:dyDescent="0.25">
      <c r="F4225" s="5"/>
    </row>
    <row r="4226" spans="6:6" x14ac:dyDescent="0.25">
      <c r="F4226" s="5"/>
    </row>
    <row r="4227" spans="6:6" x14ac:dyDescent="0.25">
      <c r="F4227" s="5"/>
    </row>
    <row r="4228" spans="6:6" x14ac:dyDescent="0.25">
      <c r="F4228" s="5"/>
    </row>
    <row r="4229" spans="6:6" x14ac:dyDescent="0.25">
      <c r="F4229" s="5"/>
    </row>
    <row r="4230" spans="6:6" x14ac:dyDescent="0.25">
      <c r="F4230" s="5"/>
    </row>
    <row r="4231" spans="6:6" x14ac:dyDescent="0.25">
      <c r="F4231" s="5"/>
    </row>
    <row r="4232" spans="6:6" x14ac:dyDescent="0.25">
      <c r="F4232" s="5"/>
    </row>
    <row r="4233" spans="6:6" x14ac:dyDescent="0.25">
      <c r="F4233" s="5"/>
    </row>
    <row r="4234" spans="6:6" x14ac:dyDescent="0.25">
      <c r="F4234" s="5"/>
    </row>
    <row r="4235" spans="6:6" x14ac:dyDescent="0.25">
      <c r="F4235" s="5"/>
    </row>
    <row r="4236" spans="6:6" x14ac:dyDescent="0.25">
      <c r="F4236" s="5"/>
    </row>
    <row r="4237" spans="6:6" x14ac:dyDescent="0.25">
      <c r="F4237" s="5"/>
    </row>
    <row r="4238" spans="6:6" x14ac:dyDescent="0.25">
      <c r="F4238" s="5"/>
    </row>
    <row r="4239" spans="6:6" x14ac:dyDescent="0.25">
      <c r="F4239" s="5"/>
    </row>
    <row r="4240" spans="6:6" x14ac:dyDescent="0.25">
      <c r="F4240" s="5"/>
    </row>
    <row r="4241" spans="6:6" x14ac:dyDescent="0.25">
      <c r="F4241" s="5"/>
    </row>
    <row r="4242" spans="6:6" x14ac:dyDescent="0.25">
      <c r="F4242" s="5"/>
    </row>
    <row r="4243" spans="6:6" x14ac:dyDescent="0.25">
      <c r="F4243" s="5"/>
    </row>
    <row r="4244" spans="6:6" x14ac:dyDescent="0.25">
      <c r="F4244" s="5"/>
    </row>
    <row r="4245" spans="6:6" x14ac:dyDescent="0.25">
      <c r="F4245" s="5"/>
    </row>
    <row r="4246" spans="6:6" x14ac:dyDescent="0.25">
      <c r="F4246" s="5"/>
    </row>
    <row r="4247" spans="6:6" x14ac:dyDescent="0.25">
      <c r="F4247" s="5"/>
    </row>
    <row r="4248" spans="6:6" x14ac:dyDescent="0.25">
      <c r="F4248" s="5"/>
    </row>
    <row r="4249" spans="6:6" x14ac:dyDescent="0.25">
      <c r="F4249" s="5"/>
    </row>
    <row r="4250" spans="6:6" x14ac:dyDescent="0.25">
      <c r="F4250" s="5"/>
    </row>
    <row r="4251" spans="6:6" x14ac:dyDescent="0.25">
      <c r="F4251" s="5"/>
    </row>
    <row r="4252" spans="6:6" x14ac:dyDescent="0.25">
      <c r="F4252" s="5"/>
    </row>
    <row r="4253" spans="6:6" x14ac:dyDescent="0.25">
      <c r="F4253" s="5"/>
    </row>
    <row r="4254" spans="6:6" x14ac:dyDescent="0.25">
      <c r="F4254" s="5"/>
    </row>
    <row r="4255" spans="6:6" x14ac:dyDescent="0.25">
      <c r="F4255" s="5"/>
    </row>
    <row r="4256" spans="6:6" x14ac:dyDescent="0.25">
      <c r="F4256" s="5"/>
    </row>
    <row r="4257" spans="6:6" x14ac:dyDescent="0.25">
      <c r="F4257" s="5"/>
    </row>
    <row r="4258" spans="6:6" x14ac:dyDescent="0.25">
      <c r="F4258" s="5"/>
    </row>
    <row r="4259" spans="6:6" x14ac:dyDescent="0.25">
      <c r="F4259" s="5"/>
    </row>
    <row r="4260" spans="6:6" x14ac:dyDescent="0.25">
      <c r="F4260" s="5"/>
    </row>
    <row r="4261" spans="6:6" x14ac:dyDescent="0.25">
      <c r="F4261" s="5"/>
    </row>
    <row r="4262" spans="6:6" x14ac:dyDescent="0.25">
      <c r="F4262" s="5"/>
    </row>
    <row r="4263" spans="6:6" x14ac:dyDescent="0.25">
      <c r="F4263" s="5"/>
    </row>
    <row r="4264" spans="6:6" x14ac:dyDescent="0.25">
      <c r="F4264" s="5"/>
    </row>
    <row r="4265" spans="6:6" x14ac:dyDescent="0.25">
      <c r="F4265" s="5"/>
    </row>
    <row r="4266" spans="6:6" x14ac:dyDescent="0.25">
      <c r="F4266" s="5"/>
    </row>
    <row r="4267" spans="6:6" x14ac:dyDescent="0.25">
      <c r="F4267" s="5"/>
    </row>
    <row r="4268" spans="6:6" x14ac:dyDescent="0.25">
      <c r="F4268" s="5"/>
    </row>
    <row r="4269" spans="6:6" x14ac:dyDescent="0.25">
      <c r="F4269" s="5"/>
    </row>
    <row r="4270" spans="6:6" x14ac:dyDescent="0.25">
      <c r="F4270" s="5"/>
    </row>
    <row r="4271" spans="6:6" x14ac:dyDescent="0.25">
      <c r="F4271" s="5"/>
    </row>
    <row r="4272" spans="6:6" x14ac:dyDescent="0.25">
      <c r="F4272" s="5"/>
    </row>
    <row r="4273" spans="6:6" x14ac:dyDescent="0.25">
      <c r="F4273" s="5"/>
    </row>
    <row r="4274" spans="6:6" x14ac:dyDescent="0.25">
      <c r="F4274" s="5"/>
    </row>
    <row r="4275" spans="6:6" x14ac:dyDescent="0.25">
      <c r="F4275" s="5"/>
    </row>
    <row r="4276" spans="6:6" x14ac:dyDescent="0.25">
      <c r="F4276" s="5"/>
    </row>
    <row r="4277" spans="6:6" x14ac:dyDescent="0.25">
      <c r="F4277" s="2"/>
    </row>
    <row r="4278" spans="6:6" x14ac:dyDescent="0.25">
      <c r="F4278" s="5"/>
    </row>
    <row r="4279" spans="6:6" x14ac:dyDescent="0.25">
      <c r="F4279" s="5"/>
    </row>
    <row r="4280" spans="6:6" x14ac:dyDescent="0.25">
      <c r="F4280" s="5"/>
    </row>
    <row r="4281" spans="6:6" x14ac:dyDescent="0.25">
      <c r="F4281" s="5"/>
    </row>
    <row r="4282" spans="6:6" x14ac:dyDescent="0.25">
      <c r="F4282" s="5"/>
    </row>
    <row r="4283" spans="6:6" x14ac:dyDescent="0.25">
      <c r="F4283" s="5"/>
    </row>
    <row r="4284" spans="6:6" x14ac:dyDescent="0.25">
      <c r="F4284" s="5"/>
    </row>
    <row r="4285" spans="6:6" x14ac:dyDescent="0.25">
      <c r="F4285" s="5"/>
    </row>
    <row r="4286" spans="6:6" x14ac:dyDescent="0.25">
      <c r="F4286" s="5"/>
    </row>
    <row r="4287" spans="6:6" x14ac:dyDescent="0.25">
      <c r="F4287" s="5"/>
    </row>
    <row r="4288" spans="6:6" x14ac:dyDescent="0.25">
      <c r="F4288" s="5"/>
    </row>
    <row r="4289" spans="6:6" x14ac:dyDescent="0.25">
      <c r="F4289" s="5"/>
    </row>
    <row r="4290" spans="6:6" x14ac:dyDescent="0.25">
      <c r="F4290" s="5"/>
    </row>
    <row r="4291" spans="6:6" x14ac:dyDescent="0.25">
      <c r="F4291" s="5"/>
    </row>
    <row r="4292" spans="6:6" x14ac:dyDescent="0.25">
      <c r="F4292" s="5"/>
    </row>
    <row r="4293" spans="6:6" x14ac:dyDescent="0.25">
      <c r="F4293" s="5"/>
    </row>
    <row r="4294" spans="6:6" x14ac:dyDescent="0.25">
      <c r="F4294" s="5"/>
    </row>
    <row r="4295" spans="6:6" x14ac:dyDescent="0.25">
      <c r="F4295" s="5"/>
    </row>
    <row r="4296" spans="6:6" x14ac:dyDescent="0.25">
      <c r="F4296" s="5"/>
    </row>
    <row r="4297" spans="6:6" x14ac:dyDescent="0.25">
      <c r="F4297" s="5"/>
    </row>
    <row r="4298" spans="6:6" x14ac:dyDescent="0.25">
      <c r="F4298" s="5"/>
    </row>
    <row r="4299" spans="6:6" x14ac:dyDescent="0.25">
      <c r="F4299" s="5"/>
    </row>
    <row r="4300" spans="6:6" x14ac:dyDescent="0.25">
      <c r="F4300" s="5"/>
    </row>
    <row r="4301" spans="6:6" x14ac:dyDescent="0.25">
      <c r="F4301" s="5"/>
    </row>
    <row r="4302" spans="6:6" x14ac:dyDescent="0.25">
      <c r="F4302" s="5"/>
    </row>
    <row r="4303" spans="6:6" x14ac:dyDescent="0.25">
      <c r="F4303" s="5"/>
    </row>
    <row r="4304" spans="6:6" x14ac:dyDescent="0.25">
      <c r="F4304" s="5"/>
    </row>
    <row r="4305" spans="6:6" x14ac:dyDescent="0.25">
      <c r="F4305" s="5"/>
    </row>
    <row r="4306" spans="6:6" x14ac:dyDescent="0.25">
      <c r="F4306" s="5"/>
    </row>
    <row r="4307" spans="6:6" x14ac:dyDescent="0.25">
      <c r="F4307" s="5"/>
    </row>
    <row r="4308" spans="6:6" x14ac:dyDescent="0.25">
      <c r="F4308" s="5"/>
    </row>
    <row r="4309" spans="6:6" x14ac:dyDescent="0.25">
      <c r="F4309" s="5"/>
    </row>
    <row r="4310" spans="6:6" x14ac:dyDescent="0.25">
      <c r="F4310" s="5"/>
    </row>
    <row r="4311" spans="6:6" x14ac:dyDescent="0.25">
      <c r="F4311" s="5"/>
    </row>
    <row r="4312" spans="6:6" x14ac:dyDescent="0.25">
      <c r="F4312" s="5"/>
    </row>
    <row r="4313" spans="6:6" x14ac:dyDescent="0.25">
      <c r="F4313" s="5"/>
    </row>
    <row r="4314" spans="6:6" x14ac:dyDescent="0.25">
      <c r="F4314" s="5"/>
    </row>
    <row r="4315" spans="6:6" x14ac:dyDescent="0.25">
      <c r="F4315" s="5"/>
    </row>
    <row r="4316" spans="6:6" x14ac:dyDescent="0.25">
      <c r="F4316" s="5"/>
    </row>
    <row r="4317" spans="6:6" x14ac:dyDescent="0.25">
      <c r="F4317" s="5"/>
    </row>
    <row r="4318" spans="6:6" x14ac:dyDescent="0.25">
      <c r="F4318" s="5"/>
    </row>
    <row r="4319" spans="6:6" x14ac:dyDescent="0.25">
      <c r="F4319" s="5"/>
    </row>
    <row r="4320" spans="6:6" x14ac:dyDescent="0.25">
      <c r="F4320" s="5"/>
    </row>
    <row r="4321" spans="6:6" x14ac:dyDescent="0.25">
      <c r="F4321" s="5"/>
    </row>
    <row r="4322" spans="6:6" x14ac:dyDescent="0.25">
      <c r="F4322" s="5"/>
    </row>
    <row r="4323" spans="6:6" x14ac:dyDescent="0.25">
      <c r="F4323" s="5"/>
    </row>
    <row r="4324" spans="6:6" x14ac:dyDescent="0.25">
      <c r="F4324" s="5"/>
    </row>
    <row r="4325" spans="6:6" x14ac:dyDescent="0.25">
      <c r="F4325" s="2"/>
    </row>
    <row r="4326" spans="6:6" x14ac:dyDescent="0.25">
      <c r="F4326" s="5"/>
    </row>
    <row r="4327" spans="6:6" x14ac:dyDescent="0.25">
      <c r="F4327" s="5"/>
    </row>
    <row r="4328" spans="6:6" x14ac:dyDescent="0.25">
      <c r="F4328" s="5"/>
    </row>
    <row r="4329" spans="6:6" x14ac:dyDescent="0.25">
      <c r="F4329" s="5"/>
    </row>
    <row r="4330" spans="6:6" x14ac:dyDescent="0.25">
      <c r="F4330" s="5"/>
    </row>
    <row r="4331" spans="6:6" x14ac:dyDescent="0.25">
      <c r="F4331" s="5"/>
    </row>
    <row r="4332" spans="6:6" x14ac:dyDescent="0.25">
      <c r="F4332" s="5"/>
    </row>
    <row r="4333" spans="6:6" x14ac:dyDescent="0.25">
      <c r="F4333" s="5"/>
    </row>
    <row r="4334" spans="6:6" x14ac:dyDescent="0.25">
      <c r="F4334" s="5"/>
    </row>
    <row r="4335" spans="6:6" x14ac:dyDescent="0.25">
      <c r="F4335" s="5"/>
    </row>
    <row r="4336" spans="6:6" x14ac:dyDescent="0.25">
      <c r="F4336" s="5"/>
    </row>
    <row r="4337" spans="6:6" x14ac:dyDescent="0.25">
      <c r="F4337" s="5"/>
    </row>
    <row r="4338" spans="6:6" x14ac:dyDescent="0.25">
      <c r="F4338" s="5"/>
    </row>
    <row r="4339" spans="6:6" x14ac:dyDescent="0.25">
      <c r="F4339" s="5"/>
    </row>
    <row r="4340" spans="6:6" x14ac:dyDescent="0.25">
      <c r="F4340" s="5"/>
    </row>
    <row r="4341" spans="6:6" x14ac:dyDescent="0.25">
      <c r="F4341" s="5"/>
    </row>
    <row r="4342" spans="6:6" x14ac:dyDescent="0.25">
      <c r="F4342" s="5"/>
    </row>
    <row r="4343" spans="6:6" x14ac:dyDescent="0.25">
      <c r="F4343" s="5"/>
    </row>
    <row r="4344" spans="6:6" x14ac:dyDescent="0.25">
      <c r="F4344" s="5"/>
    </row>
    <row r="4345" spans="6:6" x14ac:dyDescent="0.25">
      <c r="F4345" s="5"/>
    </row>
    <row r="4346" spans="6:6" x14ac:dyDescent="0.25">
      <c r="F4346" s="5"/>
    </row>
    <row r="4347" spans="6:6" x14ac:dyDescent="0.25">
      <c r="F4347" s="5"/>
    </row>
    <row r="4348" spans="6:6" x14ac:dyDescent="0.25">
      <c r="F4348" s="5"/>
    </row>
    <row r="4349" spans="6:6" x14ac:dyDescent="0.25">
      <c r="F4349" s="5"/>
    </row>
    <row r="4350" spans="6:6" x14ac:dyDescent="0.25">
      <c r="F4350" s="5"/>
    </row>
    <row r="4351" spans="6:6" x14ac:dyDescent="0.25">
      <c r="F4351" s="5"/>
    </row>
    <row r="4352" spans="6:6" x14ac:dyDescent="0.25">
      <c r="F4352" s="5"/>
    </row>
    <row r="4353" spans="6:6" x14ac:dyDescent="0.25">
      <c r="F4353" s="5"/>
    </row>
    <row r="4354" spans="6:6" x14ac:dyDescent="0.25">
      <c r="F4354" s="5"/>
    </row>
    <row r="4355" spans="6:6" x14ac:dyDescent="0.25">
      <c r="F4355" s="5"/>
    </row>
    <row r="4356" spans="6:6" x14ac:dyDescent="0.25">
      <c r="F4356" s="5"/>
    </row>
    <row r="4357" spans="6:6" x14ac:dyDescent="0.25">
      <c r="F4357" s="5"/>
    </row>
    <row r="4358" spans="6:6" x14ac:dyDescent="0.25">
      <c r="F4358" s="5"/>
    </row>
    <row r="4359" spans="6:6" x14ac:dyDescent="0.25">
      <c r="F4359" s="5"/>
    </row>
    <row r="4360" spans="6:6" x14ac:dyDescent="0.25">
      <c r="F4360" s="5"/>
    </row>
    <row r="4361" spans="6:6" x14ac:dyDescent="0.25">
      <c r="F4361" s="5"/>
    </row>
    <row r="4362" spans="6:6" x14ac:dyDescent="0.25">
      <c r="F4362" s="5"/>
    </row>
    <row r="4363" spans="6:6" x14ac:dyDescent="0.25">
      <c r="F4363" s="5"/>
    </row>
    <row r="4364" spans="6:6" x14ac:dyDescent="0.25">
      <c r="F4364" s="5"/>
    </row>
    <row r="4365" spans="6:6" x14ac:dyDescent="0.25">
      <c r="F4365" s="5"/>
    </row>
    <row r="4366" spans="6:6" x14ac:dyDescent="0.25">
      <c r="F4366" s="5"/>
    </row>
    <row r="4367" spans="6:6" x14ac:dyDescent="0.25">
      <c r="F4367" s="5"/>
    </row>
    <row r="4368" spans="6:6" x14ac:dyDescent="0.25">
      <c r="F4368" s="5"/>
    </row>
    <row r="4369" spans="6:6" x14ac:dyDescent="0.25">
      <c r="F4369" s="5"/>
    </row>
    <row r="4370" spans="6:6" x14ac:dyDescent="0.25">
      <c r="F4370" s="5"/>
    </row>
    <row r="4371" spans="6:6" x14ac:dyDescent="0.25">
      <c r="F4371" s="5"/>
    </row>
    <row r="4372" spans="6:6" x14ac:dyDescent="0.25">
      <c r="F4372" s="5"/>
    </row>
    <row r="4373" spans="6:6" x14ac:dyDescent="0.25">
      <c r="F4373" s="2"/>
    </row>
    <row r="4374" spans="6:6" x14ac:dyDescent="0.25">
      <c r="F4374" s="5"/>
    </row>
    <row r="4375" spans="6:6" x14ac:dyDescent="0.25">
      <c r="F4375" s="5"/>
    </row>
    <row r="4376" spans="6:6" x14ac:dyDescent="0.25">
      <c r="F4376" s="5"/>
    </row>
    <row r="4377" spans="6:6" x14ac:dyDescent="0.25">
      <c r="F4377" s="5"/>
    </row>
    <row r="4378" spans="6:6" x14ac:dyDescent="0.25">
      <c r="F4378" s="5"/>
    </row>
    <row r="4379" spans="6:6" x14ac:dyDescent="0.25">
      <c r="F4379" s="5"/>
    </row>
    <row r="4380" spans="6:6" x14ac:dyDescent="0.25">
      <c r="F4380" s="5"/>
    </row>
    <row r="4381" spans="6:6" x14ac:dyDescent="0.25">
      <c r="F4381" s="5"/>
    </row>
    <row r="4382" spans="6:6" x14ac:dyDescent="0.25">
      <c r="F4382" s="5"/>
    </row>
    <row r="4383" spans="6:6" x14ac:dyDescent="0.25">
      <c r="F4383" s="5"/>
    </row>
    <row r="4384" spans="6:6" x14ac:dyDescent="0.25">
      <c r="F4384" s="5"/>
    </row>
    <row r="4385" spans="6:6" x14ac:dyDescent="0.25">
      <c r="F4385" s="5"/>
    </row>
    <row r="4386" spans="6:6" x14ac:dyDescent="0.25">
      <c r="F4386" s="5"/>
    </row>
    <row r="4387" spans="6:6" x14ac:dyDescent="0.25">
      <c r="F4387" s="5"/>
    </row>
    <row r="4388" spans="6:6" x14ac:dyDescent="0.25">
      <c r="F4388" s="5"/>
    </row>
    <row r="4389" spans="6:6" x14ac:dyDescent="0.25">
      <c r="F4389" s="5"/>
    </row>
    <row r="4390" spans="6:6" x14ac:dyDescent="0.25">
      <c r="F4390" s="5"/>
    </row>
    <row r="4391" spans="6:6" x14ac:dyDescent="0.25">
      <c r="F4391" s="5"/>
    </row>
    <row r="4392" spans="6:6" x14ac:dyDescent="0.25">
      <c r="F4392" s="5"/>
    </row>
    <row r="4393" spans="6:6" x14ac:dyDescent="0.25">
      <c r="F4393" s="5"/>
    </row>
    <row r="4394" spans="6:6" x14ac:dyDescent="0.25">
      <c r="F4394" s="5"/>
    </row>
    <row r="4395" spans="6:6" x14ac:dyDescent="0.25">
      <c r="F4395" s="5"/>
    </row>
    <row r="4396" spans="6:6" x14ac:dyDescent="0.25">
      <c r="F4396" s="5"/>
    </row>
    <row r="4397" spans="6:6" x14ac:dyDescent="0.25">
      <c r="F4397" s="5"/>
    </row>
    <row r="4398" spans="6:6" x14ac:dyDescent="0.25">
      <c r="F4398" s="5"/>
    </row>
    <row r="4399" spans="6:6" x14ac:dyDescent="0.25">
      <c r="F4399" s="5"/>
    </row>
    <row r="4400" spans="6:6" x14ac:dyDescent="0.25">
      <c r="F4400" s="5"/>
    </row>
    <row r="4401" spans="6:6" x14ac:dyDescent="0.25">
      <c r="F4401" s="5"/>
    </row>
    <row r="4402" spans="6:6" x14ac:dyDescent="0.25">
      <c r="F4402" s="5"/>
    </row>
    <row r="4403" spans="6:6" x14ac:dyDescent="0.25">
      <c r="F4403" s="5"/>
    </row>
    <row r="4404" spans="6:6" x14ac:dyDescent="0.25">
      <c r="F4404" s="5"/>
    </row>
    <row r="4405" spans="6:6" x14ac:dyDescent="0.25">
      <c r="F4405" s="5"/>
    </row>
    <row r="4406" spans="6:6" x14ac:dyDescent="0.25">
      <c r="F4406" s="5"/>
    </row>
    <row r="4407" spans="6:6" x14ac:dyDescent="0.25">
      <c r="F4407" s="5"/>
    </row>
    <row r="4408" spans="6:6" x14ac:dyDescent="0.25">
      <c r="F4408" s="5"/>
    </row>
    <row r="4409" spans="6:6" x14ac:dyDescent="0.25">
      <c r="F4409" s="5"/>
    </row>
    <row r="4410" spans="6:6" x14ac:dyDescent="0.25">
      <c r="F4410" s="5"/>
    </row>
    <row r="4411" spans="6:6" x14ac:dyDescent="0.25">
      <c r="F4411" s="5"/>
    </row>
    <row r="4412" spans="6:6" x14ac:dyDescent="0.25">
      <c r="F4412" s="5"/>
    </row>
    <row r="4413" spans="6:6" x14ac:dyDescent="0.25">
      <c r="F4413" s="5"/>
    </row>
    <row r="4414" spans="6:6" x14ac:dyDescent="0.25">
      <c r="F4414" s="5"/>
    </row>
    <row r="4415" spans="6:6" x14ac:dyDescent="0.25">
      <c r="F4415" s="5"/>
    </row>
    <row r="4416" spans="6:6" x14ac:dyDescent="0.25">
      <c r="F4416" s="5"/>
    </row>
    <row r="4417" spans="6:6" x14ac:dyDescent="0.25">
      <c r="F4417" s="5"/>
    </row>
    <row r="4418" spans="6:6" x14ac:dyDescent="0.25">
      <c r="F4418" s="5"/>
    </row>
    <row r="4419" spans="6:6" x14ac:dyDescent="0.25">
      <c r="F4419" s="5"/>
    </row>
    <row r="4420" spans="6:6" x14ac:dyDescent="0.25">
      <c r="F4420" s="5"/>
    </row>
    <row r="4421" spans="6:6" x14ac:dyDescent="0.25">
      <c r="F4421" s="2"/>
    </row>
    <row r="4422" spans="6:6" x14ac:dyDescent="0.25">
      <c r="F4422" s="5"/>
    </row>
    <row r="4423" spans="6:6" x14ac:dyDescent="0.25">
      <c r="F4423" s="5"/>
    </row>
    <row r="4424" spans="6:6" x14ac:dyDescent="0.25">
      <c r="F4424" s="5"/>
    </row>
    <row r="4425" spans="6:6" x14ac:dyDescent="0.25">
      <c r="F4425" s="5"/>
    </row>
    <row r="4426" spans="6:6" x14ac:dyDescent="0.25">
      <c r="F4426" s="5"/>
    </row>
    <row r="4427" spans="6:6" x14ac:dyDescent="0.25">
      <c r="F4427" s="5"/>
    </row>
    <row r="4428" spans="6:6" x14ac:dyDescent="0.25">
      <c r="F4428" s="5"/>
    </row>
    <row r="4429" spans="6:6" x14ac:dyDescent="0.25">
      <c r="F4429" s="5"/>
    </row>
    <row r="4430" spans="6:6" x14ac:dyDescent="0.25">
      <c r="F4430" s="5"/>
    </row>
    <row r="4431" spans="6:6" x14ac:dyDescent="0.25">
      <c r="F4431" s="5"/>
    </row>
    <row r="4432" spans="6:6" x14ac:dyDescent="0.25">
      <c r="F4432" s="5"/>
    </row>
    <row r="4433" spans="6:6" x14ac:dyDescent="0.25">
      <c r="F4433" s="5"/>
    </row>
    <row r="4434" spans="6:6" x14ac:dyDescent="0.25">
      <c r="F4434" s="5"/>
    </row>
    <row r="4435" spans="6:6" x14ac:dyDescent="0.25">
      <c r="F4435" s="5"/>
    </row>
    <row r="4436" spans="6:6" x14ac:dyDescent="0.25">
      <c r="F4436" s="5"/>
    </row>
    <row r="4437" spans="6:6" x14ac:dyDescent="0.25">
      <c r="F4437" s="5"/>
    </row>
    <row r="4438" spans="6:6" x14ac:dyDescent="0.25">
      <c r="F4438" s="5"/>
    </row>
    <row r="4439" spans="6:6" x14ac:dyDescent="0.25">
      <c r="F4439" s="5"/>
    </row>
    <row r="4440" spans="6:6" x14ac:dyDescent="0.25">
      <c r="F4440" s="5"/>
    </row>
    <row r="4441" spans="6:6" x14ac:dyDescent="0.25">
      <c r="F4441" s="5"/>
    </row>
    <row r="4442" spans="6:6" x14ac:dyDescent="0.25">
      <c r="F4442" s="5"/>
    </row>
    <row r="4443" spans="6:6" x14ac:dyDescent="0.25">
      <c r="F4443" s="5"/>
    </row>
    <row r="4444" spans="6:6" x14ac:dyDescent="0.25">
      <c r="F4444" s="5"/>
    </row>
    <row r="4445" spans="6:6" x14ac:dyDescent="0.25">
      <c r="F4445" s="5"/>
    </row>
    <row r="4446" spans="6:6" x14ac:dyDescent="0.25">
      <c r="F4446" s="5"/>
    </row>
    <row r="4447" spans="6:6" x14ac:dyDescent="0.25">
      <c r="F4447" s="5"/>
    </row>
    <row r="4448" spans="6:6" x14ac:dyDescent="0.25">
      <c r="F4448" s="5"/>
    </row>
    <row r="4449" spans="6:6" x14ac:dyDescent="0.25">
      <c r="F4449" s="5"/>
    </row>
    <row r="4450" spans="6:6" x14ac:dyDescent="0.25">
      <c r="F4450" s="5"/>
    </row>
    <row r="4451" spans="6:6" x14ac:dyDescent="0.25">
      <c r="F4451" s="5"/>
    </row>
    <row r="4452" spans="6:6" x14ac:dyDescent="0.25">
      <c r="F4452" s="5"/>
    </row>
    <row r="4453" spans="6:6" x14ac:dyDescent="0.25">
      <c r="F4453" s="5"/>
    </row>
    <row r="4454" spans="6:6" x14ac:dyDescent="0.25">
      <c r="F4454" s="5"/>
    </row>
    <row r="4455" spans="6:6" x14ac:dyDescent="0.25">
      <c r="F4455" s="5"/>
    </row>
    <row r="4456" spans="6:6" x14ac:dyDescent="0.25">
      <c r="F4456" s="5"/>
    </row>
    <row r="4457" spans="6:6" x14ac:dyDescent="0.25">
      <c r="F4457" s="5"/>
    </row>
    <row r="4458" spans="6:6" x14ac:dyDescent="0.25">
      <c r="F4458" s="5"/>
    </row>
    <row r="4459" spans="6:6" x14ac:dyDescent="0.25">
      <c r="F4459" s="5"/>
    </row>
    <row r="4460" spans="6:6" x14ac:dyDescent="0.25">
      <c r="F4460" s="5"/>
    </row>
    <row r="4461" spans="6:6" x14ac:dyDescent="0.25">
      <c r="F4461" s="5"/>
    </row>
    <row r="4462" spans="6:6" x14ac:dyDescent="0.25">
      <c r="F4462" s="5"/>
    </row>
    <row r="4463" spans="6:6" x14ac:dyDescent="0.25">
      <c r="F4463" s="5"/>
    </row>
    <row r="4464" spans="6:6" x14ac:dyDescent="0.25">
      <c r="F4464" s="5"/>
    </row>
    <row r="4465" spans="6:6" x14ac:dyDescent="0.25">
      <c r="F4465" s="5"/>
    </row>
    <row r="4466" spans="6:6" x14ac:dyDescent="0.25">
      <c r="F4466" s="5"/>
    </row>
    <row r="4467" spans="6:6" x14ac:dyDescent="0.25">
      <c r="F4467" s="5"/>
    </row>
    <row r="4468" spans="6:6" x14ac:dyDescent="0.25">
      <c r="F4468" s="5"/>
    </row>
    <row r="4469" spans="6:6" x14ac:dyDescent="0.25">
      <c r="F4469" s="2"/>
    </row>
    <row r="4470" spans="6:6" x14ac:dyDescent="0.25">
      <c r="F4470" s="5"/>
    </row>
    <row r="4471" spans="6:6" x14ac:dyDescent="0.25">
      <c r="F4471" s="5"/>
    </row>
    <row r="4472" spans="6:6" x14ac:dyDescent="0.25">
      <c r="F4472" s="5"/>
    </row>
    <row r="4473" spans="6:6" x14ac:dyDescent="0.25">
      <c r="F4473" s="5"/>
    </row>
    <row r="4474" spans="6:6" x14ac:dyDescent="0.25">
      <c r="F4474" s="5"/>
    </row>
    <row r="4475" spans="6:6" x14ac:dyDescent="0.25">
      <c r="F4475" s="5"/>
    </row>
    <row r="4476" spans="6:6" x14ac:dyDescent="0.25">
      <c r="F4476" s="5"/>
    </row>
    <row r="4477" spans="6:6" x14ac:dyDescent="0.25">
      <c r="F4477" s="5"/>
    </row>
    <row r="4478" spans="6:6" x14ac:dyDescent="0.25">
      <c r="F4478" s="5"/>
    </row>
    <row r="4479" spans="6:6" x14ac:dyDescent="0.25">
      <c r="F4479" s="5"/>
    </row>
    <row r="4480" spans="6:6" x14ac:dyDescent="0.25">
      <c r="F4480" s="5"/>
    </row>
    <row r="4481" spans="6:6" x14ac:dyDescent="0.25">
      <c r="F4481" s="5"/>
    </row>
    <row r="4482" spans="6:6" x14ac:dyDescent="0.25">
      <c r="F4482" s="5"/>
    </row>
    <row r="4483" spans="6:6" x14ac:dyDescent="0.25">
      <c r="F4483" s="5"/>
    </row>
    <row r="4484" spans="6:6" x14ac:dyDescent="0.25">
      <c r="F4484" s="5"/>
    </row>
    <row r="4485" spans="6:6" x14ac:dyDescent="0.25">
      <c r="F4485" s="5"/>
    </row>
    <row r="4486" spans="6:6" x14ac:dyDescent="0.25">
      <c r="F4486" s="5"/>
    </row>
    <row r="4487" spans="6:6" x14ac:dyDescent="0.25">
      <c r="F4487" s="5"/>
    </row>
    <row r="4488" spans="6:6" x14ac:dyDescent="0.25">
      <c r="F4488" s="5"/>
    </row>
    <row r="4489" spans="6:6" x14ac:dyDescent="0.25">
      <c r="F4489" s="5"/>
    </row>
    <row r="4490" spans="6:6" x14ac:dyDescent="0.25">
      <c r="F4490" s="5"/>
    </row>
    <row r="4491" spans="6:6" x14ac:dyDescent="0.25">
      <c r="F4491" s="5"/>
    </row>
    <row r="4492" spans="6:6" x14ac:dyDescent="0.25">
      <c r="F4492" s="5"/>
    </row>
    <row r="4493" spans="6:6" x14ac:dyDescent="0.25">
      <c r="F4493" s="2"/>
    </row>
    <row r="4494" spans="6:6" x14ac:dyDescent="0.25">
      <c r="F4494" s="5"/>
    </row>
    <row r="4495" spans="6:6" x14ac:dyDescent="0.25">
      <c r="F4495" s="5"/>
    </row>
    <row r="4496" spans="6:6" x14ac:dyDescent="0.25">
      <c r="F4496" s="5"/>
    </row>
    <row r="4497" spans="6:6" x14ac:dyDescent="0.25">
      <c r="F4497" s="5"/>
    </row>
    <row r="4498" spans="6:6" x14ac:dyDescent="0.25">
      <c r="F4498" s="5"/>
    </row>
    <row r="4499" spans="6:6" x14ac:dyDescent="0.25">
      <c r="F4499" s="5"/>
    </row>
    <row r="4500" spans="6:6" x14ac:dyDescent="0.25">
      <c r="F4500" s="5"/>
    </row>
    <row r="4501" spans="6:6" x14ac:dyDescent="0.25">
      <c r="F4501" s="5"/>
    </row>
    <row r="4502" spans="6:6" x14ac:dyDescent="0.25">
      <c r="F4502" s="5"/>
    </row>
    <row r="4503" spans="6:6" x14ac:dyDescent="0.25">
      <c r="F4503" s="5"/>
    </row>
    <row r="4504" spans="6:6" x14ac:dyDescent="0.25">
      <c r="F4504" s="5"/>
    </row>
    <row r="4505" spans="6:6" x14ac:dyDescent="0.25">
      <c r="F4505" s="5"/>
    </row>
    <row r="4506" spans="6:6" x14ac:dyDescent="0.25">
      <c r="F4506" s="5"/>
    </row>
    <row r="4507" spans="6:6" x14ac:dyDescent="0.25">
      <c r="F4507" s="5"/>
    </row>
    <row r="4508" spans="6:6" x14ac:dyDescent="0.25">
      <c r="F4508" s="5"/>
    </row>
    <row r="4509" spans="6:6" x14ac:dyDescent="0.25">
      <c r="F4509" s="5"/>
    </row>
    <row r="4510" spans="6:6" x14ac:dyDescent="0.25">
      <c r="F4510" s="5"/>
    </row>
    <row r="4511" spans="6:6" x14ac:dyDescent="0.25">
      <c r="F4511" s="5"/>
    </row>
    <row r="4512" spans="6:6" x14ac:dyDescent="0.25">
      <c r="F4512" s="5"/>
    </row>
    <row r="4513" spans="6:6" x14ac:dyDescent="0.25">
      <c r="F4513" s="5"/>
    </row>
    <row r="4514" spans="6:6" x14ac:dyDescent="0.25">
      <c r="F4514" s="5"/>
    </row>
    <row r="4515" spans="6:6" x14ac:dyDescent="0.25">
      <c r="F4515" s="5"/>
    </row>
    <row r="4516" spans="6:6" x14ac:dyDescent="0.25">
      <c r="F4516" s="5"/>
    </row>
    <row r="4517" spans="6:6" x14ac:dyDescent="0.25">
      <c r="F4517" s="2"/>
    </row>
    <row r="4518" spans="6:6" x14ac:dyDescent="0.25">
      <c r="F4518" s="5"/>
    </row>
    <row r="4519" spans="6:6" x14ac:dyDescent="0.25">
      <c r="F4519" s="5"/>
    </row>
    <row r="4520" spans="6:6" x14ac:dyDescent="0.25">
      <c r="F4520" s="5"/>
    </row>
    <row r="4521" spans="6:6" x14ac:dyDescent="0.25">
      <c r="F4521" s="5"/>
    </row>
    <row r="4522" spans="6:6" x14ac:dyDescent="0.25">
      <c r="F4522" s="5"/>
    </row>
    <row r="4523" spans="6:6" x14ac:dyDescent="0.25">
      <c r="F4523" s="5"/>
    </row>
    <row r="4524" spans="6:6" x14ac:dyDescent="0.25">
      <c r="F4524" s="5"/>
    </row>
    <row r="4525" spans="6:6" x14ac:dyDescent="0.25">
      <c r="F4525" s="5"/>
    </row>
    <row r="4526" spans="6:6" x14ac:dyDescent="0.25">
      <c r="F4526" s="5"/>
    </row>
    <row r="4527" spans="6:6" x14ac:dyDescent="0.25">
      <c r="F4527" s="5"/>
    </row>
    <row r="4528" spans="6:6" x14ac:dyDescent="0.25">
      <c r="F4528" s="5"/>
    </row>
    <row r="4529" spans="6:6" x14ac:dyDescent="0.25">
      <c r="F4529" s="5"/>
    </row>
    <row r="4530" spans="6:6" x14ac:dyDescent="0.25">
      <c r="F4530" s="5"/>
    </row>
    <row r="4531" spans="6:6" x14ac:dyDescent="0.25">
      <c r="F4531" s="5"/>
    </row>
    <row r="4532" spans="6:6" x14ac:dyDescent="0.25">
      <c r="F4532" s="5"/>
    </row>
    <row r="4533" spans="6:6" x14ac:dyDescent="0.25">
      <c r="F4533" s="5"/>
    </row>
    <row r="4534" spans="6:6" x14ac:dyDescent="0.25">
      <c r="F4534" s="5"/>
    </row>
    <row r="4535" spans="6:6" x14ac:dyDescent="0.25">
      <c r="F4535" s="5"/>
    </row>
    <row r="4536" spans="6:6" x14ac:dyDescent="0.25">
      <c r="F4536" s="5"/>
    </row>
    <row r="4537" spans="6:6" x14ac:dyDescent="0.25">
      <c r="F4537" s="5"/>
    </row>
    <row r="4538" spans="6:6" x14ac:dyDescent="0.25">
      <c r="F4538" s="5"/>
    </row>
    <row r="4539" spans="6:6" x14ac:dyDescent="0.25">
      <c r="F4539" s="5"/>
    </row>
    <row r="4540" spans="6:6" x14ac:dyDescent="0.25">
      <c r="F4540" s="5"/>
    </row>
    <row r="4541" spans="6:6" x14ac:dyDescent="0.25">
      <c r="F4541" s="2"/>
    </row>
    <row r="4542" spans="6:6" x14ac:dyDescent="0.25">
      <c r="F4542" s="5"/>
    </row>
    <row r="4543" spans="6:6" x14ac:dyDescent="0.25">
      <c r="F4543" s="5"/>
    </row>
    <row r="4544" spans="6:6" x14ac:dyDescent="0.25">
      <c r="F4544" s="5"/>
    </row>
    <row r="4545" spans="6:6" x14ac:dyDescent="0.25">
      <c r="F4545" s="5"/>
    </row>
    <row r="4546" spans="6:6" x14ac:dyDescent="0.25">
      <c r="F4546" s="5"/>
    </row>
    <row r="4547" spans="6:6" x14ac:dyDescent="0.25">
      <c r="F4547" s="5"/>
    </row>
    <row r="4548" spans="6:6" x14ac:dyDescent="0.25">
      <c r="F4548" s="5"/>
    </row>
    <row r="4549" spans="6:6" x14ac:dyDescent="0.25">
      <c r="F4549" s="5"/>
    </row>
    <row r="4550" spans="6:6" x14ac:dyDescent="0.25">
      <c r="F4550" s="5"/>
    </row>
    <row r="4551" spans="6:6" x14ac:dyDescent="0.25">
      <c r="F4551" s="5"/>
    </row>
    <row r="4552" spans="6:6" x14ac:dyDescent="0.25">
      <c r="F4552" s="5"/>
    </row>
    <row r="4553" spans="6:6" x14ac:dyDescent="0.25">
      <c r="F4553" s="5"/>
    </row>
    <row r="4554" spans="6:6" x14ac:dyDescent="0.25">
      <c r="F4554" s="5"/>
    </row>
    <row r="4555" spans="6:6" x14ac:dyDescent="0.25">
      <c r="F4555" s="5"/>
    </row>
    <row r="4556" spans="6:6" x14ac:dyDescent="0.25">
      <c r="F4556" s="5"/>
    </row>
    <row r="4557" spans="6:6" x14ac:dyDescent="0.25">
      <c r="F4557" s="5"/>
    </row>
    <row r="4558" spans="6:6" x14ac:dyDescent="0.25">
      <c r="F4558" s="5"/>
    </row>
    <row r="4559" spans="6:6" x14ac:dyDescent="0.25">
      <c r="F4559" s="5"/>
    </row>
    <row r="4560" spans="6:6" x14ac:dyDescent="0.25">
      <c r="F4560" s="5"/>
    </row>
    <row r="4561" spans="6:6" x14ac:dyDescent="0.25">
      <c r="F4561" s="5"/>
    </row>
    <row r="4562" spans="6:6" x14ac:dyDescent="0.25">
      <c r="F4562" s="5"/>
    </row>
    <row r="4563" spans="6:6" x14ac:dyDescent="0.25">
      <c r="F4563" s="5"/>
    </row>
    <row r="4564" spans="6:6" x14ac:dyDescent="0.25">
      <c r="F4564" s="5"/>
    </row>
    <row r="4565" spans="6:6" x14ac:dyDescent="0.25">
      <c r="F4565" s="5"/>
    </row>
    <row r="4566" spans="6:6" x14ac:dyDescent="0.25">
      <c r="F4566" s="5"/>
    </row>
    <row r="4567" spans="6:6" x14ac:dyDescent="0.25">
      <c r="F4567" s="5"/>
    </row>
    <row r="4568" spans="6:6" x14ac:dyDescent="0.25">
      <c r="F4568" s="5"/>
    </row>
    <row r="4569" spans="6:6" x14ac:dyDescent="0.25">
      <c r="F4569" s="5"/>
    </row>
    <row r="4570" spans="6:6" x14ac:dyDescent="0.25">
      <c r="F4570" s="5"/>
    </row>
    <row r="4571" spans="6:6" x14ac:dyDescent="0.25">
      <c r="F4571" s="5"/>
    </row>
    <row r="4572" spans="6:6" x14ac:dyDescent="0.25">
      <c r="F4572" s="5"/>
    </row>
    <row r="4573" spans="6:6" x14ac:dyDescent="0.25">
      <c r="F4573" s="5"/>
    </row>
    <row r="4574" spans="6:6" x14ac:dyDescent="0.25">
      <c r="F4574" s="5"/>
    </row>
    <row r="4575" spans="6:6" x14ac:dyDescent="0.25">
      <c r="F4575" s="5"/>
    </row>
    <row r="4576" spans="6:6" x14ac:dyDescent="0.25">
      <c r="F4576" s="5"/>
    </row>
    <row r="4577" spans="6:6" x14ac:dyDescent="0.25">
      <c r="F4577" s="5"/>
    </row>
    <row r="4578" spans="6:6" x14ac:dyDescent="0.25">
      <c r="F4578" s="5"/>
    </row>
    <row r="4579" spans="6:6" x14ac:dyDescent="0.25">
      <c r="F4579" s="5"/>
    </row>
    <row r="4580" spans="6:6" x14ac:dyDescent="0.25">
      <c r="F4580" s="5"/>
    </row>
    <row r="4581" spans="6:6" x14ac:dyDescent="0.25">
      <c r="F4581" s="5"/>
    </row>
    <row r="4582" spans="6:6" x14ac:dyDescent="0.25">
      <c r="F4582" s="5"/>
    </row>
    <row r="4583" spans="6:6" x14ac:dyDescent="0.25">
      <c r="F4583" s="5"/>
    </row>
    <row r="4584" spans="6:6" x14ac:dyDescent="0.25">
      <c r="F4584" s="5"/>
    </row>
    <row r="4585" spans="6:6" x14ac:dyDescent="0.25">
      <c r="F4585" s="5"/>
    </row>
    <row r="4586" spans="6:6" x14ac:dyDescent="0.25">
      <c r="F4586" s="5"/>
    </row>
    <row r="4587" spans="6:6" x14ac:dyDescent="0.25">
      <c r="F4587" s="5"/>
    </row>
    <row r="4588" spans="6:6" x14ac:dyDescent="0.25">
      <c r="F4588" s="5"/>
    </row>
    <row r="4589" spans="6:6" x14ac:dyDescent="0.25">
      <c r="F4589" s="2"/>
    </row>
    <row r="4590" spans="6:6" x14ac:dyDescent="0.25">
      <c r="F4590" s="5"/>
    </row>
    <row r="4591" spans="6:6" x14ac:dyDescent="0.25">
      <c r="F4591" s="5"/>
    </row>
    <row r="4592" spans="6:6" x14ac:dyDescent="0.25">
      <c r="F4592" s="5"/>
    </row>
    <row r="4593" spans="6:6" x14ac:dyDescent="0.25">
      <c r="F4593" s="5"/>
    </row>
    <row r="4594" spans="6:6" x14ac:dyDescent="0.25">
      <c r="F4594" s="5"/>
    </row>
    <row r="4595" spans="6:6" x14ac:dyDescent="0.25">
      <c r="F4595" s="5"/>
    </row>
    <row r="4596" spans="6:6" x14ac:dyDescent="0.25">
      <c r="F4596" s="5"/>
    </row>
    <row r="4597" spans="6:6" x14ac:dyDescent="0.25">
      <c r="F4597" s="5"/>
    </row>
    <row r="4598" spans="6:6" x14ac:dyDescent="0.25">
      <c r="F4598" s="5"/>
    </row>
    <row r="4599" spans="6:6" x14ac:dyDescent="0.25">
      <c r="F4599" s="5"/>
    </row>
    <row r="4600" spans="6:6" x14ac:dyDescent="0.25">
      <c r="F4600" s="5"/>
    </row>
    <row r="4601" spans="6:6" x14ac:dyDescent="0.25">
      <c r="F4601" s="5"/>
    </row>
    <row r="4602" spans="6:6" x14ac:dyDescent="0.25">
      <c r="F4602" s="5"/>
    </row>
    <row r="4603" spans="6:6" x14ac:dyDescent="0.25">
      <c r="F4603" s="5"/>
    </row>
    <row r="4604" spans="6:6" x14ac:dyDescent="0.25">
      <c r="F4604" s="5"/>
    </row>
    <row r="4605" spans="6:6" x14ac:dyDescent="0.25">
      <c r="F4605" s="5"/>
    </row>
    <row r="4606" spans="6:6" x14ac:dyDescent="0.25">
      <c r="F4606" s="5"/>
    </row>
    <row r="4607" spans="6:6" x14ac:dyDescent="0.25">
      <c r="F4607" s="5"/>
    </row>
    <row r="4608" spans="6:6" x14ac:dyDescent="0.25">
      <c r="F4608" s="5"/>
    </row>
    <row r="4609" spans="6:6" x14ac:dyDescent="0.25">
      <c r="F4609" s="5"/>
    </row>
    <row r="4610" spans="6:6" x14ac:dyDescent="0.25">
      <c r="F4610" s="5"/>
    </row>
    <row r="4611" spans="6:6" x14ac:dyDescent="0.25">
      <c r="F4611" s="5"/>
    </row>
    <row r="4612" spans="6:6" x14ac:dyDescent="0.25">
      <c r="F4612" s="5"/>
    </row>
  </sheetData>
  <autoFilter ref="A1:J4203" xr:uid="{48305698-2E7B-4571-838E-11551061271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5B3BD-A827-4405-B70F-408D37189D33}">
  <sheetPr codeName="Hoja4"/>
  <dimension ref="A1:Y4203"/>
  <sheetViews>
    <sheetView zoomScale="90" zoomScaleNormal="90" workbookViewId="0">
      <selection activeCell="J1" sqref="J1:J1048576"/>
    </sheetView>
  </sheetViews>
  <sheetFormatPr defaultColWidth="11.42578125" defaultRowHeight="15" x14ac:dyDescent="0.25"/>
  <cols>
    <col min="1" max="1" width="10.5703125" style="8" customWidth="1"/>
    <col min="2" max="2" width="7.85546875" style="8" customWidth="1"/>
    <col min="3" max="3" width="31.28515625" customWidth="1"/>
    <col min="4" max="4" width="58.85546875" customWidth="1"/>
    <col min="5" max="5" width="16.42578125" style="8" customWidth="1"/>
    <col min="6" max="6" width="28.140625" customWidth="1"/>
    <col min="7" max="7" width="8.5703125" style="8" customWidth="1"/>
    <col min="8" max="8" width="6.42578125" customWidth="1"/>
    <col min="9" max="9" width="40.42578125" customWidth="1"/>
    <col min="10" max="10" width="50.7109375" customWidth="1"/>
  </cols>
  <sheetData>
    <row r="1" spans="1:10" s="3" customFormat="1" ht="30" x14ac:dyDescent="0.25">
      <c r="A1" s="3" t="s">
        <v>33</v>
      </c>
      <c r="B1" s="3" t="s">
        <v>5</v>
      </c>
      <c r="C1" s="3" t="s">
        <v>0</v>
      </c>
      <c r="D1" s="3" t="s">
        <v>35</v>
      </c>
      <c r="E1" s="3" t="s">
        <v>33</v>
      </c>
      <c r="F1" s="3" t="s">
        <v>29</v>
      </c>
      <c r="G1" s="3" t="s">
        <v>30</v>
      </c>
      <c r="H1" s="3" t="s">
        <v>31</v>
      </c>
      <c r="I1" s="3" t="s">
        <v>32</v>
      </c>
      <c r="J1" s="3" t="s">
        <v>32</v>
      </c>
    </row>
    <row r="2" spans="1:10" x14ac:dyDescent="0.25">
      <c r="A2" s="32" t="s">
        <v>1</v>
      </c>
      <c r="B2" s="32">
        <v>2023</v>
      </c>
      <c r="C2" s="33" t="s">
        <v>51</v>
      </c>
      <c r="D2" s="34" t="s">
        <v>1999</v>
      </c>
      <c r="E2" s="35" t="str">
        <f>_xlfn.CONCAT(A2,"'!")</f>
        <v>PDP'!</v>
      </c>
      <c r="F2" s="34" t="str">
        <f>_xlfn.CONCAT(D2:E2)</f>
        <v>C:\Users\jaime.benazar\Quorum Business Solutions\Ecopetrol Prometeo - Documents\Planning Space Implementation\3. Analysis &amp; Design\Design\FC22\DRR Jaime\QUIFA-CAJÚA\Cajua\[CAJUA_CF_SEC_New_27-Feb-2024Rev3.xlsx]D-PDP'!</v>
      </c>
      <c r="G2" s="32" t="s">
        <v>59</v>
      </c>
      <c r="H2" s="33">
        <v>12</v>
      </c>
      <c r="I2" s="33" t="str">
        <f>_xlfn.CONCAT("='",F2:H2)</f>
        <v>='C:\Users\jaime.benazar\Quorum Business Solutions\Ecopetrol Prometeo - Documents\Planning Space Implementation\3. Analysis &amp; Design\Design\FC22\DRR Jaime\QUIFA-CAJÚA\Cajua\[CAJUA_CF_SEC_New_27-Feb-2024Rev3.xlsx]D-PDP'!$BB$12</v>
      </c>
      <c r="J2" s="37" t="s">
        <v>2000</v>
      </c>
    </row>
    <row r="3" spans="1:10" x14ac:dyDescent="0.25">
      <c r="A3" s="32" t="s">
        <v>1</v>
      </c>
      <c r="B3" s="32">
        <f>+B2+1</f>
        <v>2024</v>
      </c>
      <c r="C3" s="33" t="s">
        <v>51</v>
      </c>
      <c r="D3" s="34" t="s">
        <v>1999</v>
      </c>
      <c r="E3" s="35" t="str">
        <f t="shared" ref="E3:E96" si="0">_xlfn.CONCAT(A3,"'!")</f>
        <v>PDP'!</v>
      </c>
      <c r="F3" s="34" t="str">
        <f t="shared" ref="F3:F96" si="1">_xlfn.CONCAT(D3:E3)</f>
        <v>C:\Users\jaime.benazar\Quorum Business Solutions\Ecopetrol Prometeo - Documents\Planning Space Implementation\3. Analysis &amp; Design\Design\FC22\DRR Jaime\QUIFA-CAJÚA\Cajua\[CAJUA_CF_SEC_New_27-Feb-2024Rev3.xlsx]D-PDP'!</v>
      </c>
      <c r="G3" s="32" t="s">
        <v>59</v>
      </c>
      <c r="H3" s="33">
        <f>IF(A3&lt;&gt;A2,12,H2+1)</f>
        <v>13</v>
      </c>
      <c r="I3" s="33" t="str">
        <f t="shared" ref="I3:I96" si="2">_xlfn.CONCAT("='",F3:H3)</f>
        <v>='C:\Users\jaime.benazar\Quorum Business Solutions\Ecopetrol Prometeo - Documents\Planning Space Implementation\3. Analysis &amp; Design\Design\FC22\DRR Jaime\QUIFA-CAJÚA\Cajua\[CAJUA_CF_SEC_New_27-Feb-2024Rev3.xlsx]D-PDP'!$BB$13</v>
      </c>
      <c r="J3" s="37" t="s">
        <v>2001</v>
      </c>
    </row>
    <row r="4" spans="1:10" x14ac:dyDescent="0.25">
      <c r="A4" s="32" t="s">
        <v>1</v>
      </c>
      <c r="B4" s="32">
        <f t="shared" ref="B4:B15" si="3">+B3+1</f>
        <v>2025</v>
      </c>
      <c r="C4" s="33" t="s">
        <v>51</v>
      </c>
      <c r="D4" s="34" t="s">
        <v>1999</v>
      </c>
      <c r="E4" s="35" t="str">
        <f t="shared" si="0"/>
        <v>PDP'!</v>
      </c>
      <c r="F4" s="34" t="str">
        <f>_xlfn.CONCAT(D4:E4)</f>
        <v>C:\Users\jaime.benazar\Quorum Business Solutions\Ecopetrol Prometeo - Documents\Planning Space Implementation\3. Analysis &amp; Design\Design\FC22\DRR Jaime\QUIFA-CAJÚA\Cajua\[CAJUA_CF_SEC_New_27-Feb-2024Rev3.xlsx]D-PDP'!</v>
      </c>
      <c r="G4" s="32" t="s">
        <v>59</v>
      </c>
      <c r="H4" s="33">
        <f t="shared" ref="H4:H22" si="4">IF(A4&lt;&gt;A3,12,H3+1)</f>
        <v>14</v>
      </c>
      <c r="I4" s="33" t="str">
        <f t="shared" si="2"/>
        <v>='C:\Users\jaime.benazar\Quorum Business Solutions\Ecopetrol Prometeo - Documents\Planning Space Implementation\3. Analysis &amp; Design\Design\FC22\DRR Jaime\QUIFA-CAJÚA\Cajua\[CAJUA_CF_SEC_New_27-Feb-2024Rev3.xlsx]D-PDP'!$BB$14</v>
      </c>
      <c r="J4" s="37" t="s">
        <v>2002</v>
      </c>
    </row>
    <row r="5" spans="1:10" x14ac:dyDescent="0.25">
      <c r="A5" s="32" t="s">
        <v>1</v>
      </c>
      <c r="B5" s="32">
        <f t="shared" si="3"/>
        <v>2026</v>
      </c>
      <c r="C5" s="33" t="s">
        <v>51</v>
      </c>
      <c r="D5" s="34" t="s">
        <v>1999</v>
      </c>
      <c r="E5" s="35" t="str">
        <f t="shared" si="0"/>
        <v>PDP'!</v>
      </c>
      <c r="F5" s="34" t="str">
        <f t="shared" si="1"/>
        <v>C:\Users\jaime.benazar\Quorum Business Solutions\Ecopetrol Prometeo - Documents\Planning Space Implementation\3. Analysis &amp; Design\Design\FC22\DRR Jaime\QUIFA-CAJÚA\Cajua\[CAJUA_CF_SEC_New_27-Feb-2024Rev3.xlsx]D-PDP'!</v>
      </c>
      <c r="G5" s="32" t="s">
        <v>59</v>
      </c>
      <c r="H5" s="33">
        <f t="shared" si="4"/>
        <v>15</v>
      </c>
      <c r="I5" s="33" t="str">
        <f t="shared" si="2"/>
        <v>='C:\Users\jaime.benazar\Quorum Business Solutions\Ecopetrol Prometeo - Documents\Planning Space Implementation\3. Analysis &amp; Design\Design\FC22\DRR Jaime\QUIFA-CAJÚA\Cajua\[CAJUA_CF_SEC_New_27-Feb-2024Rev3.xlsx]D-PDP'!$BB$15</v>
      </c>
      <c r="J5" s="37" t="s">
        <v>2003</v>
      </c>
    </row>
    <row r="6" spans="1:10" x14ac:dyDescent="0.25">
      <c r="A6" s="32" t="s">
        <v>1</v>
      </c>
      <c r="B6" s="32">
        <f t="shared" si="3"/>
        <v>2027</v>
      </c>
      <c r="C6" s="33" t="s">
        <v>51</v>
      </c>
      <c r="D6" s="34" t="s">
        <v>1999</v>
      </c>
      <c r="E6" s="35" t="str">
        <f t="shared" si="0"/>
        <v>PDP'!</v>
      </c>
      <c r="F6" s="34" t="str">
        <f t="shared" si="1"/>
        <v>C:\Users\jaime.benazar\Quorum Business Solutions\Ecopetrol Prometeo - Documents\Planning Space Implementation\3. Analysis &amp; Design\Design\FC22\DRR Jaime\QUIFA-CAJÚA\Cajua\[CAJUA_CF_SEC_New_27-Feb-2024Rev3.xlsx]D-PDP'!</v>
      </c>
      <c r="G6" s="32" t="s">
        <v>59</v>
      </c>
      <c r="H6" s="33">
        <f t="shared" si="4"/>
        <v>16</v>
      </c>
      <c r="I6" s="33" t="str">
        <f t="shared" si="2"/>
        <v>='C:\Users\jaime.benazar\Quorum Business Solutions\Ecopetrol Prometeo - Documents\Planning Space Implementation\3. Analysis &amp; Design\Design\FC22\DRR Jaime\QUIFA-CAJÚA\Cajua\[CAJUA_CF_SEC_New_27-Feb-2024Rev3.xlsx]D-PDP'!$BB$16</v>
      </c>
      <c r="J6" s="37" t="s">
        <v>2004</v>
      </c>
    </row>
    <row r="7" spans="1:10" x14ac:dyDescent="0.25">
      <c r="A7" s="32" t="s">
        <v>1</v>
      </c>
      <c r="B7" s="32">
        <f t="shared" si="3"/>
        <v>2028</v>
      </c>
      <c r="C7" s="33" t="s">
        <v>51</v>
      </c>
      <c r="D7" s="34" t="s">
        <v>1999</v>
      </c>
      <c r="E7" s="35" t="str">
        <f t="shared" si="0"/>
        <v>PDP'!</v>
      </c>
      <c r="F7" s="34" t="str">
        <f t="shared" si="1"/>
        <v>C:\Users\jaime.benazar\Quorum Business Solutions\Ecopetrol Prometeo - Documents\Planning Space Implementation\3. Analysis &amp; Design\Design\FC22\DRR Jaime\QUIFA-CAJÚA\Cajua\[CAJUA_CF_SEC_New_27-Feb-2024Rev3.xlsx]D-PDP'!</v>
      </c>
      <c r="G7" s="32" t="s">
        <v>59</v>
      </c>
      <c r="H7" s="33">
        <f t="shared" si="4"/>
        <v>17</v>
      </c>
      <c r="I7" s="33" t="str">
        <f t="shared" si="2"/>
        <v>='C:\Users\jaime.benazar\Quorum Business Solutions\Ecopetrol Prometeo - Documents\Planning Space Implementation\3. Analysis &amp; Design\Design\FC22\DRR Jaime\QUIFA-CAJÚA\Cajua\[CAJUA_CF_SEC_New_27-Feb-2024Rev3.xlsx]D-PDP'!$BB$17</v>
      </c>
      <c r="J7" s="37" t="s">
        <v>2005</v>
      </c>
    </row>
    <row r="8" spans="1:10" x14ac:dyDescent="0.25">
      <c r="A8" s="32" t="s">
        <v>1</v>
      </c>
      <c r="B8" s="32">
        <f t="shared" si="3"/>
        <v>2029</v>
      </c>
      <c r="C8" s="33" t="s">
        <v>51</v>
      </c>
      <c r="D8" s="34" t="s">
        <v>1999</v>
      </c>
      <c r="E8" s="35" t="str">
        <f t="shared" si="0"/>
        <v>PDP'!</v>
      </c>
      <c r="F8" s="34" t="str">
        <f t="shared" si="1"/>
        <v>C:\Users\jaime.benazar\Quorum Business Solutions\Ecopetrol Prometeo - Documents\Planning Space Implementation\3. Analysis &amp; Design\Design\FC22\DRR Jaime\QUIFA-CAJÚA\Cajua\[CAJUA_CF_SEC_New_27-Feb-2024Rev3.xlsx]D-PDP'!</v>
      </c>
      <c r="G8" s="32" t="s">
        <v>59</v>
      </c>
      <c r="H8" s="33">
        <f t="shared" si="4"/>
        <v>18</v>
      </c>
      <c r="I8" s="33" t="str">
        <f t="shared" si="2"/>
        <v>='C:\Users\jaime.benazar\Quorum Business Solutions\Ecopetrol Prometeo - Documents\Planning Space Implementation\3. Analysis &amp; Design\Design\FC22\DRR Jaime\QUIFA-CAJÚA\Cajua\[CAJUA_CF_SEC_New_27-Feb-2024Rev3.xlsx]D-PDP'!$BB$18</v>
      </c>
      <c r="J8" s="37" t="s">
        <v>2006</v>
      </c>
    </row>
    <row r="9" spans="1:10" x14ac:dyDescent="0.25">
      <c r="A9" s="32" t="s">
        <v>1</v>
      </c>
      <c r="B9" s="32">
        <f t="shared" si="3"/>
        <v>2030</v>
      </c>
      <c r="C9" s="33" t="s">
        <v>51</v>
      </c>
      <c r="D9" s="34" t="s">
        <v>1999</v>
      </c>
      <c r="E9" s="35" t="str">
        <f t="shared" si="0"/>
        <v>PDP'!</v>
      </c>
      <c r="F9" s="34" t="str">
        <f t="shared" si="1"/>
        <v>C:\Users\jaime.benazar\Quorum Business Solutions\Ecopetrol Prometeo - Documents\Planning Space Implementation\3. Analysis &amp; Design\Design\FC22\DRR Jaime\QUIFA-CAJÚA\Cajua\[CAJUA_CF_SEC_New_27-Feb-2024Rev3.xlsx]D-PDP'!</v>
      </c>
      <c r="G9" s="32" t="s">
        <v>59</v>
      </c>
      <c r="H9" s="33">
        <f t="shared" si="4"/>
        <v>19</v>
      </c>
      <c r="I9" s="33" t="str">
        <f t="shared" si="2"/>
        <v>='C:\Users\jaime.benazar\Quorum Business Solutions\Ecopetrol Prometeo - Documents\Planning Space Implementation\3. Analysis &amp; Design\Design\FC22\DRR Jaime\QUIFA-CAJÚA\Cajua\[CAJUA_CF_SEC_New_27-Feb-2024Rev3.xlsx]D-PDP'!$BB$19</v>
      </c>
      <c r="J9" s="37" t="s">
        <v>2007</v>
      </c>
    </row>
    <row r="10" spans="1:10" x14ac:dyDescent="0.25">
      <c r="A10" s="32" t="s">
        <v>1</v>
      </c>
      <c r="B10" s="32">
        <f t="shared" si="3"/>
        <v>2031</v>
      </c>
      <c r="C10" s="33" t="s">
        <v>51</v>
      </c>
      <c r="D10" s="34" t="s">
        <v>1999</v>
      </c>
      <c r="E10" s="35" t="str">
        <f t="shared" si="0"/>
        <v>PDP'!</v>
      </c>
      <c r="F10" s="34" t="str">
        <f t="shared" si="1"/>
        <v>C:\Users\jaime.benazar\Quorum Business Solutions\Ecopetrol Prometeo - Documents\Planning Space Implementation\3. Analysis &amp; Design\Design\FC22\DRR Jaime\QUIFA-CAJÚA\Cajua\[CAJUA_CF_SEC_New_27-Feb-2024Rev3.xlsx]D-PDP'!</v>
      </c>
      <c r="G10" s="32" t="s">
        <v>59</v>
      </c>
      <c r="H10" s="33">
        <f t="shared" si="4"/>
        <v>20</v>
      </c>
      <c r="I10" s="33" t="str">
        <f t="shared" si="2"/>
        <v>='C:\Users\jaime.benazar\Quorum Business Solutions\Ecopetrol Prometeo - Documents\Planning Space Implementation\3. Analysis &amp; Design\Design\FC22\DRR Jaime\QUIFA-CAJÚA\Cajua\[CAJUA_CF_SEC_New_27-Feb-2024Rev3.xlsx]D-PDP'!$BB$20</v>
      </c>
      <c r="J10" s="37" t="s">
        <v>2008</v>
      </c>
    </row>
    <row r="11" spans="1:10" x14ac:dyDescent="0.25">
      <c r="A11" s="32" t="s">
        <v>1</v>
      </c>
      <c r="B11" s="32">
        <f t="shared" si="3"/>
        <v>2032</v>
      </c>
      <c r="C11" s="33" t="s">
        <v>51</v>
      </c>
      <c r="D11" s="34" t="s">
        <v>1999</v>
      </c>
      <c r="E11" s="35" t="str">
        <f t="shared" si="0"/>
        <v>PDP'!</v>
      </c>
      <c r="F11" s="34" t="str">
        <f t="shared" si="1"/>
        <v>C:\Users\jaime.benazar\Quorum Business Solutions\Ecopetrol Prometeo - Documents\Planning Space Implementation\3. Analysis &amp; Design\Design\FC22\DRR Jaime\QUIFA-CAJÚA\Cajua\[CAJUA_CF_SEC_New_27-Feb-2024Rev3.xlsx]D-PDP'!</v>
      </c>
      <c r="G11" s="32" t="s">
        <v>59</v>
      </c>
      <c r="H11" s="33">
        <f t="shared" si="4"/>
        <v>21</v>
      </c>
      <c r="I11" s="33" t="str">
        <f t="shared" si="2"/>
        <v>='C:\Users\jaime.benazar\Quorum Business Solutions\Ecopetrol Prometeo - Documents\Planning Space Implementation\3. Analysis &amp; Design\Design\FC22\DRR Jaime\QUIFA-CAJÚA\Cajua\[CAJUA_CF_SEC_New_27-Feb-2024Rev3.xlsx]D-PDP'!$BB$21</v>
      </c>
      <c r="J11" s="37" t="s">
        <v>2009</v>
      </c>
    </row>
    <row r="12" spans="1:10" x14ac:dyDescent="0.25">
      <c r="A12" s="32" t="s">
        <v>1</v>
      </c>
      <c r="B12" s="32">
        <f t="shared" si="3"/>
        <v>2033</v>
      </c>
      <c r="C12" s="33" t="s">
        <v>51</v>
      </c>
      <c r="D12" s="34" t="s">
        <v>1999</v>
      </c>
      <c r="E12" s="35" t="str">
        <f t="shared" si="0"/>
        <v>PDP'!</v>
      </c>
      <c r="F12" s="34" t="str">
        <f t="shared" si="1"/>
        <v>C:\Users\jaime.benazar\Quorum Business Solutions\Ecopetrol Prometeo - Documents\Planning Space Implementation\3. Analysis &amp; Design\Design\FC22\DRR Jaime\QUIFA-CAJÚA\Cajua\[CAJUA_CF_SEC_New_27-Feb-2024Rev3.xlsx]D-PDP'!</v>
      </c>
      <c r="G12" s="32" t="s">
        <v>59</v>
      </c>
      <c r="H12" s="33">
        <f t="shared" si="4"/>
        <v>22</v>
      </c>
      <c r="I12" s="33" t="str">
        <f t="shared" si="2"/>
        <v>='C:\Users\jaime.benazar\Quorum Business Solutions\Ecopetrol Prometeo - Documents\Planning Space Implementation\3. Analysis &amp; Design\Design\FC22\DRR Jaime\QUIFA-CAJÚA\Cajua\[CAJUA_CF_SEC_New_27-Feb-2024Rev3.xlsx]D-PDP'!$BB$22</v>
      </c>
      <c r="J12" s="37" t="s">
        <v>2010</v>
      </c>
    </row>
    <row r="13" spans="1:10" x14ac:dyDescent="0.25">
      <c r="A13" s="32" t="s">
        <v>1</v>
      </c>
      <c r="B13" s="32">
        <f t="shared" si="3"/>
        <v>2034</v>
      </c>
      <c r="C13" s="33" t="s">
        <v>51</v>
      </c>
      <c r="D13" s="34" t="s">
        <v>1999</v>
      </c>
      <c r="E13" s="35" t="str">
        <f t="shared" si="0"/>
        <v>PDP'!</v>
      </c>
      <c r="F13" s="34" t="str">
        <f t="shared" si="1"/>
        <v>C:\Users\jaime.benazar\Quorum Business Solutions\Ecopetrol Prometeo - Documents\Planning Space Implementation\3. Analysis &amp; Design\Design\FC22\DRR Jaime\QUIFA-CAJÚA\Cajua\[CAJUA_CF_SEC_New_27-Feb-2024Rev3.xlsx]D-PDP'!</v>
      </c>
      <c r="G13" s="32" t="s">
        <v>59</v>
      </c>
      <c r="H13" s="33">
        <f t="shared" si="4"/>
        <v>23</v>
      </c>
      <c r="I13" s="33" t="str">
        <f t="shared" si="2"/>
        <v>='C:\Users\jaime.benazar\Quorum Business Solutions\Ecopetrol Prometeo - Documents\Planning Space Implementation\3. Analysis &amp; Design\Design\FC22\DRR Jaime\QUIFA-CAJÚA\Cajua\[CAJUA_CF_SEC_New_27-Feb-2024Rev3.xlsx]D-PDP'!$BB$23</v>
      </c>
      <c r="J13" s="37" t="s">
        <v>2011</v>
      </c>
    </row>
    <row r="14" spans="1:10" x14ac:dyDescent="0.25">
      <c r="A14" s="32" t="s">
        <v>1</v>
      </c>
      <c r="B14" s="32">
        <f t="shared" si="3"/>
        <v>2035</v>
      </c>
      <c r="C14" s="33" t="s">
        <v>51</v>
      </c>
      <c r="D14" s="34" t="s">
        <v>1999</v>
      </c>
      <c r="E14" s="35" t="str">
        <f t="shared" si="0"/>
        <v>PDP'!</v>
      </c>
      <c r="F14" s="34" t="str">
        <f t="shared" si="1"/>
        <v>C:\Users\jaime.benazar\Quorum Business Solutions\Ecopetrol Prometeo - Documents\Planning Space Implementation\3. Analysis &amp; Design\Design\FC22\DRR Jaime\QUIFA-CAJÚA\Cajua\[CAJUA_CF_SEC_New_27-Feb-2024Rev3.xlsx]D-PDP'!</v>
      </c>
      <c r="G14" s="32" t="s">
        <v>59</v>
      </c>
      <c r="H14" s="33">
        <f t="shared" si="4"/>
        <v>24</v>
      </c>
      <c r="I14" s="33" t="str">
        <f t="shared" si="2"/>
        <v>='C:\Users\jaime.benazar\Quorum Business Solutions\Ecopetrol Prometeo - Documents\Planning Space Implementation\3. Analysis &amp; Design\Design\FC22\DRR Jaime\QUIFA-CAJÚA\Cajua\[CAJUA_CF_SEC_New_27-Feb-2024Rev3.xlsx]D-PDP'!$BB$24</v>
      </c>
      <c r="J14" s="37" t="s">
        <v>2012</v>
      </c>
    </row>
    <row r="15" spans="1:10" x14ac:dyDescent="0.25">
      <c r="A15" s="32" t="s">
        <v>1</v>
      </c>
      <c r="B15" s="32">
        <f t="shared" si="3"/>
        <v>2036</v>
      </c>
      <c r="C15" s="33" t="s">
        <v>51</v>
      </c>
      <c r="D15" s="34" t="s">
        <v>1999</v>
      </c>
      <c r="E15" s="35" t="str">
        <f t="shared" si="0"/>
        <v>PDP'!</v>
      </c>
      <c r="F15" s="34" t="str">
        <f t="shared" si="1"/>
        <v>C:\Users\jaime.benazar\Quorum Business Solutions\Ecopetrol Prometeo - Documents\Planning Space Implementation\3. Analysis &amp; Design\Design\FC22\DRR Jaime\QUIFA-CAJÚA\Cajua\[CAJUA_CF_SEC_New_27-Feb-2024Rev3.xlsx]D-PDP'!</v>
      </c>
      <c r="G15" s="32" t="s">
        <v>59</v>
      </c>
      <c r="H15" s="33">
        <f t="shared" si="4"/>
        <v>25</v>
      </c>
      <c r="I15" s="33" t="str">
        <f t="shared" si="2"/>
        <v>='C:\Users\jaime.benazar\Quorum Business Solutions\Ecopetrol Prometeo - Documents\Planning Space Implementation\3. Analysis &amp; Design\Design\FC22\DRR Jaime\QUIFA-CAJÚA\Cajua\[CAJUA_CF_SEC_New_27-Feb-2024Rev3.xlsx]D-PDP'!$BB$25</v>
      </c>
      <c r="J15" s="37" t="s">
        <v>2013</v>
      </c>
    </row>
    <row r="16" spans="1:10" x14ac:dyDescent="0.25">
      <c r="A16" s="32" t="s">
        <v>1</v>
      </c>
      <c r="B16" s="32">
        <f>+B15+1</f>
        <v>2037</v>
      </c>
      <c r="C16" s="33" t="s">
        <v>51</v>
      </c>
      <c r="D16" s="34" t="s">
        <v>1999</v>
      </c>
      <c r="E16" s="35" t="str">
        <f t="shared" si="0"/>
        <v>PDP'!</v>
      </c>
      <c r="F16" s="34" t="str">
        <f t="shared" si="1"/>
        <v>C:\Users\jaime.benazar\Quorum Business Solutions\Ecopetrol Prometeo - Documents\Planning Space Implementation\3. Analysis &amp; Design\Design\FC22\DRR Jaime\QUIFA-CAJÚA\Cajua\[CAJUA_CF_SEC_New_27-Feb-2024Rev3.xlsx]D-PDP'!</v>
      </c>
      <c r="G16" s="32" t="s">
        <v>59</v>
      </c>
      <c r="H16" s="33">
        <f t="shared" si="4"/>
        <v>26</v>
      </c>
      <c r="I16" s="33" t="str">
        <f t="shared" si="2"/>
        <v>='C:\Users\jaime.benazar\Quorum Business Solutions\Ecopetrol Prometeo - Documents\Planning Space Implementation\3. Analysis &amp; Design\Design\FC22\DRR Jaime\QUIFA-CAJÚA\Cajua\[CAJUA_CF_SEC_New_27-Feb-2024Rev3.xlsx]D-PDP'!$BB$26</v>
      </c>
      <c r="J16" s="37" t="s">
        <v>2014</v>
      </c>
    </row>
    <row r="17" spans="1:10" x14ac:dyDescent="0.25">
      <c r="A17" s="32" t="s">
        <v>1</v>
      </c>
      <c r="B17" s="32">
        <f t="shared" ref="B17:B19" si="5">+B16+1</f>
        <v>2038</v>
      </c>
      <c r="C17" s="33" t="s">
        <v>51</v>
      </c>
      <c r="D17" s="34" t="s">
        <v>1999</v>
      </c>
      <c r="E17" s="35" t="str">
        <f t="shared" si="0"/>
        <v>PDP'!</v>
      </c>
      <c r="F17" s="34" t="str">
        <f t="shared" si="1"/>
        <v>C:\Users\jaime.benazar\Quorum Business Solutions\Ecopetrol Prometeo - Documents\Planning Space Implementation\3. Analysis &amp; Design\Design\FC22\DRR Jaime\QUIFA-CAJÚA\Cajua\[CAJUA_CF_SEC_New_27-Feb-2024Rev3.xlsx]D-PDP'!</v>
      </c>
      <c r="G17" s="32" t="s">
        <v>59</v>
      </c>
      <c r="H17" s="33">
        <f t="shared" si="4"/>
        <v>27</v>
      </c>
      <c r="I17" s="33" t="str">
        <f t="shared" si="2"/>
        <v>='C:\Users\jaime.benazar\Quorum Business Solutions\Ecopetrol Prometeo - Documents\Planning Space Implementation\3. Analysis &amp; Design\Design\FC22\DRR Jaime\QUIFA-CAJÚA\Cajua\[CAJUA_CF_SEC_New_27-Feb-2024Rev3.xlsx]D-PDP'!$BB$27</v>
      </c>
      <c r="J17" s="37" t="s">
        <v>2015</v>
      </c>
    </row>
    <row r="18" spans="1:10" x14ac:dyDescent="0.25">
      <c r="A18" s="32" t="s">
        <v>1</v>
      </c>
      <c r="B18" s="32">
        <f t="shared" si="5"/>
        <v>2039</v>
      </c>
      <c r="C18" s="33" t="s">
        <v>51</v>
      </c>
      <c r="D18" s="34" t="s">
        <v>1999</v>
      </c>
      <c r="E18" s="35" t="str">
        <f t="shared" si="0"/>
        <v>PDP'!</v>
      </c>
      <c r="F18" s="34" t="str">
        <f t="shared" si="1"/>
        <v>C:\Users\jaime.benazar\Quorum Business Solutions\Ecopetrol Prometeo - Documents\Planning Space Implementation\3. Analysis &amp; Design\Design\FC22\DRR Jaime\QUIFA-CAJÚA\Cajua\[CAJUA_CF_SEC_New_27-Feb-2024Rev3.xlsx]D-PDP'!</v>
      </c>
      <c r="G18" s="32" t="s">
        <v>59</v>
      </c>
      <c r="H18" s="33">
        <f t="shared" si="4"/>
        <v>28</v>
      </c>
      <c r="I18" s="33" t="str">
        <f t="shared" si="2"/>
        <v>='C:\Users\jaime.benazar\Quorum Business Solutions\Ecopetrol Prometeo - Documents\Planning Space Implementation\3. Analysis &amp; Design\Design\FC22\DRR Jaime\QUIFA-CAJÚA\Cajua\[CAJUA_CF_SEC_New_27-Feb-2024Rev3.xlsx]D-PDP'!$BB$28</v>
      </c>
      <c r="J18" s="37" t="s">
        <v>2016</v>
      </c>
    </row>
    <row r="19" spans="1:10" x14ac:dyDescent="0.25">
      <c r="A19" s="32" t="s">
        <v>1</v>
      </c>
      <c r="B19" s="32">
        <f t="shared" si="5"/>
        <v>2040</v>
      </c>
      <c r="C19" s="33" t="s">
        <v>51</v>
      </c>
      <c r="D19" s="34" t="s">
        <v>1999</v>
      </c>
      <c r="E19" s="35" t="str">
        <f t="shared" si="0"/>
        <v>PDP'!</v>
      </c>
      <c r="F19" s="34" t="str">
        <f t="shared" si="1"/>
        <v>C:\Users\jaime.benazar\Quorum Business Solutions\Ecopetrol Prometeo - Documents\Planning Space Implementation\3. Analysis &amp; Design\Design\FC22\DRR Jaime\QUIFA-CAJÚA\Cajua\[CAJUA_CF_SEC_New_27-Feb-2024Rev3.xlsx]D-PDP'!</v>
      </c>
      <c r="G19" s="32" t="s">
        <v>59</v>
      </c>
      <c r="H19" s="33">
        <f t="shared" si="4"/>
        <v>29</v>
      </c>
      <c r="I19" s="33" t="str">
        <f t="shared" si="2"/>
        <v>='C:\Users\jaime.benazar\Quorum Business Solutions\Ecopetrol Prometeo - Documents\Planning Space Implementation\3. Analysis &amp; Design\Design\FC22\DRR Jaime\QUIFA-CAJÚA\Cajua\[CAJUA_CF_SEC_New_27-Feb-2024Rev3.xlsx]D-PDP'!$BB$29</v>
      </c>
      <c r="J19" s="37" t="s">
        <v>2017</v>
      </c>
    </row>
    <row r="20" spans="1:10" x14ac:dyDescent="0.25">
      <c r="A20" s="32" t="s">
        <v>1</v>
      </c>
      <c r="B20" s="32">
        <f>+B19+1</f>
        <v>2041</v>
      </c>
      <c r="C20" s="33" t="s">
        <v>51</v>
      </c>
      <c r="D20" s="34" t="s">
        <v>1999</v>
      </c>
      <c r="E20" s="35" t="str">
        <f t="shared" si="0"/>
        <v>PDP'!</v>
      </c>
      <c r="F20" s="34" t="str">
        <f t="shared" si="1"/>
        <v>C:\Users\jaime.benazar\Quorum Business Solutions\Ecopetrol Prometeo - Documents\Planning Space Implementation\3. Analysis &amp; Design\Design\FC22\DRR Jaime\QUIFA-CAJÚA\Cajua\[CAJUA_CF_SEC_New_27-Feb-2024Rev3.xlsx]D-PDP'!</v>
      </c>
      <c r="G20" s="32" t="s">
        <v>59</v>
      </c>
      <c r="H20" s="33">
        <f t="shared" si="4"/>
        <v>30</v>
      </c>
      <c r="I20" s="33" t="str">
        <f t="shared" si="2"/>
        <v>='C:\Users\jaime.benazar\Quorum Business Solutions\Ecopetrol Prometeo - Documents\Planning Space Implementation\3. Analysis &amp; Design\Design\FC22\DRR Jaime\QUIFA-CAJÚA\Cajua\[CAJUA_CF_SEC_New_27-Feb-2024Rev3.xlsx]D-PDP'!$BB$30</v>
      </c>
      <c r="J20" s="37" t="s">
        <v>2018</v>
      </c>
    </row>
    <row r="21" spans="1:10" x14ac:dyDescent="0.25">
      <c r="A21" s="32" t="s">
        <v>1</v>
      </c>
      <c r="B21" s="32">
        <f t="shared" ref="B21:B22" si="6">+B20+1</f>
        <v>2042</v>
      </c>
      <c r="C21" s="33" t="s">
        <v>51</v>
      </c>
      <c r="D21" s="34" t="s">
        <v>1999</v>
      </c>
      <c r="E21" s="35" t="str">
        <f t="shared" si="0"/>
        <v>PDP'!</v>
      </c>
      <c r="F21" s="34" t="str">
        <f t="shared" si="1"/>
        <v>C:\Users\jaime.benazar\Quorum Business Solutions\Ecopetrol Prometeo - Documents\Planning Space Implementation\3. Analysis &amp; Design\Design\FC22\DRR Jaime\QUIFA-CAJÚA\Cajua\[CAJUA_CF_SEC_New_27-Feb-2024Rev3.xlsx]D-PDP'!</v>
      </c>
      <c r="G21" s="32" t="s">
        <v>59</v>
      </c>
      <c r="H21" s="33">
        <f t="shared" si="4"/>
        <v>31</v>
      </c>
      <c r="I21" s="33" t="str">
        <f t="shared" si="2"/>
        <v>='C:\Users\jaime.benazar\Quorum Business Solutions\Ecopetrol Prometeo - Documents\Planning Space Implementation\3. Analysis &amp; Design\Design\FC22\DRR Jaime\QUIFA-CAJÚA\Cajua\[CAJUA_CF_SEC_New_27-Feb-2024Rev3.xlsx]D-PDP'!$BB$31</v>
      </c>
      <c r="J21" s="37" t="s">
        <v>2019</v>
      </c>
    </row>
    <row r="22" spans="1:10" x14ac:dyDescent="0.25">
      <c r="A22" s="32" t="s">
        <v>1</v>
      </c>
      <c r="B22" s="32">
        <f t="shared" si="6"/>
        <v>2043</v>
      </c>
      <c r="C22" s="33" t="s">
        <v>51</v>
      </c>
      <c r="D22" s="34" t="s">
        <v>1999</v>
      </c>
      <c r="E22" s="35" t="str">
        <f t="shared" si="0"/>
        <v>PDP'!</v>
      </c>
      <c r="F22" s="34" t="str">
        <f t="shared" si="1"/>
        <v>C:\Users\jaime.benazar\Quorum Business Solutions\Ecopetrol Prometeo - Documents\Planning Space Implementation\3. Analysis &amp; Design\Design\FC22\DRR Jaime\QUIFA-CAJÚA\Cajua\[CAJUA_CF_SEC_New_27-Feb-2024Rev3.xlsx]D-PDP'!</v>
      </c>
      <c r="G22" s="32" t="s">
        <v>59</v>
      </c>
      <c r="H22" s="33">
        <f t="shared" si="4"/>
        <v>32</v>
      </c>
      <c r="I22" s="33" t="str">
        <f t="shared" si="2"/>
        <v>='C:\Users\jaime.benazar\Quorum Business Solutions\Ecopetrol Prometeo - Documents\Planning Space Implementation\3. Analysis &amp; Design\Design\FC22\DRR Jaime\QUIFA-CAJÚA\Cajua\[CAJUA_CF_SEC_New_27-Feb-2024Rev3.xlsx]D-PDP'!$BB$32</v>
      </c>
      <c r="J22" s="37" t="s">
        <v>2020</v>
      </c>
    </row>
    <row r="23" spans="1:10" x14ac:dyDescent="0.25">
      <c r="A23" s="32" t="s">
        <v>1</v>
      </c>
      <c r="B23" s="32">
        <f>+B22+1</f>
        <v>2044</v>
      </c>
      <c r="C23" s="33" t="s">
        <v>51</v>
      </c>
      <c r="D23" s="34" t="s">
        <v>1999</v>
      </c>
      <c r="E23" s="35" t="str">
        <f t="shared" ref="E23:E38" si="7">_xlfn.CONCAT(A23,"'!")</f>
        <v>PDP'!</v>
      </c>
      <c r="F23" s="34" t="str">
        <f t="shared" ref="F23:F38" si="8">_xlfn.CONCAT(D23:E23)</f>
        <v>C:\Users\jaime.benazar\Quorum Business Solutions\Ecopetrol Prometeo - Documents\Planning Space Implementation\3. Analysis &amp; Design\Design\FC22\DRR Jaime\QUIFA-CAJÚA\Cajua\[CAJUA_CF_SEC_New_27-Feb-2024Rev3.xlsx]D-PDP'!</v>
      </c>
      <c r="G23" s="32" t="s">
        <v>59</v>
      </c>
      <c r="H23" s="33">
        <f t="shared" ref="H23:H38" si="9">IF(A23&lt;&gt;A22,12,H22+1)</f>
        <v>33</v>
      </c>
      <c r="I23" s="33" t="str">
        <f t="shared" ref="I23:I38" si="10">_xlfn.CONCAT("='",F23:H23)</f>
        <v>='C:\Users\jaime.benazar\Quorum Business Solutions\Ecopetrol Prometeo - Documents\Planning Space Implementation\3. Analysis &amp; Design\Design\FC22\DRR Jaime\QUIFA-CAJÚA\Cajua\[CAJUA_CF_SEC_New_27-Feb-2024Rev3.xlsx]D-PDP'!$BB$33</v>
      </c>
      <c r="J23" s="37" t="s">
        <v>2021</v>
      </c>
    </row>
    <row r="24" spans="1:10" x14ac:dyDescent="0.25">
      <c r="A24" s="32" t="s">
        <v>1</v>
      </c>
      <c r="B24" s="32">
        <f t="shared" ref="B24:B38" si="11">+B23+1</f>
        <v>2045</v>
      </c>
      <c r="C24" s="33" t="s">
        <v>51</v>
      </c>
      <c r="D24" s="34" t="s">
        <v>1999</v>
      </c>
      <c r="E24" s="35" t="str">
        <f t="shared" si="7"/>
        <v>PDP'!</v>
      </c>
      <c r="F24" s="34" t="str">
        <f t="shared" si="8"/>
        <v>C:\Users\jaime.benazar\Quorum Business Solutions\Ecopetrol Prometeo - Documents\Planning Space Implementation\3. Analysis &amp; Design\Design\FC22\DRR Jaime\QUIFA-CAJÚA\Cajua\[CAJUA_CF_SEC_New_27-Feb-2024Rev3.xlsx]D-PDP'!</v>
      </c>
      <c r="G24" s="32" t="s">
        <v>59</v>
      </c>
      <c r="H24" s="33">
        <f t="shared" si="9"/>
        <v>34</v>
      </c>
      <c r="I24" s="33" t="str">
        <f t="shared" si="10"/>
        <v>='C:\Users\jaime.benazar\Quorum Business Solutions\Ecopetrol Prometeo - Documents\Planning Space Implementation\3. Analysis &amp; Design\Design\FC22\DRR Jaime\QUIFA-CAJÚA\Cajua\[CAJUA_CF_SEC_New_27-Feb-2024Rev3.xlsx]D-PDP'!$BB$34</v>
      </c>
      <c r="J24" s="37" t="s">
        <v>2022</v>
      </c>
    </row>
    <row r="25" spans="1:10" x14ac:dyDescent="0.25">
      <c r="A25" s="32" t="s">
        <v>1</v>
      </c>
      <c r="B25" s="32">
        <f t="shared" si="11"/>
        <v>2046</v>
      </c>
      <c r="C25" s="33" t="s">
        <v>51</v>
      </c>
      <c r="D25" s="34" t="s">
        <v>1999</v>
      </c>
      <c r="E25" s="35" t="str">
        <f t="shared" si="7"/>
        <v>PDP'!</v>
      </c>
      <c r="F25" s="34" t="str">
        <f t="shared" si="8"/>
        <v>C:\Users\jaime.benazar\Quorum Business Solutions\Ecopetrol Prometeo - Documents\Planning Space Implementation\3. Analysis &amp; Design\Design\FC22\DRR Jaime\QUIFA-CAJÚA\Cajua\[CAJUA_CF_SEC_New_27-Feb-2024Rev3.xlsx]D-PDP'!</v>
      </c>
      <c r="G25" s="32" t="s">
        <v>59</v>
      </c>
      <c r="H25" s="33">
        <f t="shared" si="9"/>
        <v>35</v>
      </c>
      <c r="I25" s="33" t="str">
        <f t="shared" si="10"/>
        <v>='C:\Users\jaime.benazar\Quorum Business Solutions\Ecopetrol Prometeo - Documents\Planning Space Implementation\3. Analysis &amp; Design\Design\FC22\DRR Jaime\QUIFA-CAJÚA\Cajua\[CAJUA_CF_SEC_New_27-Feb-2024Rev3.xlsx]D-PDP'!$BB$35</v>
      </c>
      <c r="J25" s="37" t="s">
        <v>2023</v>
      </c>
    </row>
    <row r="26" spans="1:10" x14ac:dyDescent="0.25">
      <c r="A26" s="32" t="s">
        <v>1</v>
      </c>
      <c r="B26" s="32">
        <f t="shared" si="11"/>
        <v>2047</v>
      </c>
      <c r="C26" s="33" t="s">
        <v>51</v>
      </c>
      <c r="D26" s="34" t="s">
        <v>1999</v>
      </c>
      <c r="E26" s="35" t="str">
        <f t="shared" si="7"/>
        <v>PDP'!</v>
      </c>
      <c r="F26" s="34" t="str">
        <f t="shared" si="8"/>
        <v>C:\Users\jaime.benazar\Quorum Business Solutions\Ecopetrol Prometeo - Documents\Planning Space Implementation\3. Analysis &amp; Design\Design\FC22\DRR Jaime\QUIFA-CAJÚA\Cajua\[CAJUA_CF_SEC_New_27-Feb-2024Rev3.xlsx]D-PDP'!</v>
      </c>
      <c r="G26" s="32" t="s">
        <v>59</v>
      </c>
      <c r="H26" s="33">
        <f t="shared" si="9"/>
        <v>36</v>
      </c>
      <c r="I26" s="33" t="str">
        <f t="shared" si="10"/>
        <v>='C:\Users\jaime.benazar\Quorum Business Solutions\Ecopetrol Prometeo - Documents\Planning Space Implementation\3. Analysis &amp; Design\Design\FC22\DRR Jaime\QUIFA-CAJÚA\Cajua\[CAJUA_CF_SEC_New_27-Feb-2024Rev3.xlsx]D-PDP'!$BB$36</v>
      </c>
      <c r="J26" s="37" t="s">
        <v>2024</v>
      </c>
    </row>
    <row r="27" spans="1:10" x14ac:dyDescent="0.25">
      <c r="A27" s="32" t="s">
        <v>1</v>
      </c>
      <c r="B27" s="32">
        <f t="shared" si="11"/>
        <v>2048</v>
      </c>
      <c r="C27" s="33" t="s">
        <v>51</v>
      </c>
      <c r="D27" s="34" t="s">
        <v>1999</v>
      </c>
      <c r="E27" s="35" t="str">
        <f t="shared" si="7"/>
        <v>PDP'!</v>
      </c>
      <c r="F27" s="34" t="str">
        <f t="shared" si="8"/>
        <v>C:\Users\jaime.benazar\Quorum Business Solutions\Ecopetrol Prometeo - Documents\Planning Space Implementation\3. Analysis &amp; Design\Design\FC22\DRR Jaime\QUIFA-CAJÚA\Cajua\[CAJUA_CF_SEC_New_27-Feb-2024Rev3.xlsx]D-PDP'!</v>
      </c>
      <c r="G27" s="32" t="s">
        <v>59</v>
      </c>
      <c r="H27" s="33">
        <f t="shared" si="9"/>
        <v>37</v>
      </c>
      <c r="I27" s="33" t="str">
        <f t="shared" si="10"/>
        <v>='C:\Users\jaime.benazar\Quorum Business Solutions\Ecopetrol Prometeo - Documents\Planning Space Implementation\3. Analysis &amp; Design\Design\FC22\DRR Jaime\QUIFA-CAJÚA\Cajua\[CAJUA_CF_SEC_New_27-Feb-2024Rev3.xlsx]D-PDP'!$BB$37</v>
      </c>
      <c r="J27" s="37" t="s">
        <v>2025</v>
      </c>
    </row>
    <row r="28" spans="1:10" x14ac:dyDescent="0.25">
      <c r="A28" s="32" t="s">
        <v>1</v>
      </c>
      <c r="B28" s="32">
        <f t="shared" si="11"/>
        <v>2049</v>
      </c>
      <c r="C28" s="33" t="s">
        <v>51</v>
      </c>
      <c r="D28" s="34" t="s">
        <v>1999</v>
      </c>
      <c r="E28" s="35" t="str">
        <f t="shared" si="7"/>
        <v>PDP'!</v>
      </c>
      <c r="F28" s="34" t="str">
        <f t="shared" si="8"/>
        <v>C:\Users\jaime.benazar\Quorum Business Solutions\Ecopetrol Prometeo - Documents\Planning Space Implementation\3. Analysis &amp; Design\Design\FC22\DRR Jaime\QUIFA-CAJÚA\Cajua\[CAJUA_CF_SEC_New_27-Feb-2024Rev3.xlsx]D-PDP'!</v>
      </c>
      <c r="G28" s="32" t="s">
        <v>59</v>
      </c>
      <c r="H28" s="33">
        <f t="shared" si="9"/>
        <v>38</v>
      </c>
      <c r="I28" s="33" t="str">
        <f t="shared" si="10"/>
        <v>='C:\Users\jaime.benazar\Quorum Business Solutions\Ecopetrol Prometeo - Documents\Planning Space Implementation\3. Analysis &amp; Design\Design\FC22\DRR Jaime\QUIFA-CAJÚA\Cajua\[CAJUA_CF_SEC_New_27-Feb-2024Rev3.xlsx]D-PDP'!$BB$38</v>
      </c>
      <c r="J28" s="37" t="s">
        <v>2026</v>
      </c>
    </row>
    <row r="29" spans="1:10" x14ac:dyDescent="0.25">
      <c r="A29" s="32" t="s">
        <v>1</v>
      </c>
      <c r="B29" s="32">
        <f t="shared" si="11"/>
        <v>2050</v>
      </c>
      <c r="C29" s="33" t="s">
        <v>51</v>
      </c>
      <c r="D29" s="34" t="s">
        <v>1999</v>
      </c>
      <c r="E29" s="35" t="str">
        <f t="shared" si="7"/>
        <v>PDP'!</v>
      </c>
      <c r="F29" s="34" t="str">
        <f t="shared" si="8"/>
        <v>C:\Users\jaime.benazar\Quorum Business Solutions\Ecopetrol Prometeo - Documents\Planning Space Implementation\3. Analysis &amp; Design\Design\FC22\DRR Jaime\QUIFA-CAJÚA\Cajua\[CAJUA_CF_SEC_New_27-Feb-2024Rev3.xlsx]D-PDP'!</v>
      </c>
      <c r="G29" s="32" t="s">
        <v>59</v>
      </c>
      <c r="H29" s="33">
        <f t="shared" si="9"/>
        <v>39</v>
      </c>
      <c r="I29" s="33" t="str">
        <f t="shared" si="10"/>
        <v>='C:\Users\jaime.benazar\Quorum Business Solutions\Ecopetrol Prometeo - Documents\Planning Space Implementation\3. Analysis &amp; Design\Design\FC22\DRR Jaime\QUIFA-CAJÚA\Cajua\[CAJUA_CF_SEC_New_27-Feb-2024Rev3.xlsx]D-PDP'!$BB$39</v>
      </c>
      <c r="J29" s="37" t="s">
        <v>2027</v>
      </c>
    </row>
    <row r="30" spans="1:10" x14ac:dyDescent="0.25">
      <c r="A30" s="32" t="s">
        <v>1</v>
      </c>
      <c r="B30" s="32">
        <f t="shared" si="11"/>
        <v>2051</v>
      </c>
      <c r="C30" s="33" t="s">
        <v>51</v>
      </c>
      <c r="D30" s="34" t="s">
        <v>1999</v>
      </c>
      <c r="E30" s="35" t="str">
        <f t="shared" si="7"/>
        <v>PDP'!</v>
      </c>
      <c r="F30" s="34" t="str">
        <f t="shared" si="8"/>
        <v>C:\Users\jaime.benazar\Quorum Business Solutions\Ecopetrol Prometeo - Documents\Planning Space Implementation\3. Analysis &amp; Design\Design\FC22\DRR Jaime\QUIFA-CAJÚA\Cajua\[CAJUA_CF_SEC_New_27-Feb-2024Rev3.xlsx]D-PDP'!</v>
      </c>
      <c r="G30" s="32" t="s">
        <v>59</v>
      </c>
      <c r="H30" s="33">
        <f t="shared" si="9"/>
        <v>40</v>
      </c>
      <c r="I30" s="33" t="str">
        <f t="shared" si="10"/>
        <v>='C:\Users\jaime.benazar\Quorum Business Solutions\Ecopetrol Prometeo - Documents\Planning Space Implementation\3. Analysis &amp; Design\Design\FC22\DRR Jaime\QUIFA-CAJÚA\Cajua\[CAJUA_CF_SEC_New_27-Feb-2024Rev3.xlsx]D-PDP'!$BB$40</v>
      </c>
      <c r="J30" s="37" t="s">
        <v>2028</v>
      </c>
    </row>
    <row r="31" spans="1:10" x14ac:dyDescent="0.25">
      <c r="A31" s="32" t="s">
        <v>1</v>
      </c>
      <c r="B31" s="32">
        <f t="shared" si="11"/>
        <v>2052</v>
      </c>
      <c r="C31" s="33" t="s">
        <v>51</v>
      </c>
      <c r="D31" s="34" t="s">
        <v>1999</v>
      </c>
      <c r="E31" s="35" t="str">
        <f t="shared" si="7"/>
        <v>PDP'!</v>
      </c>
      <c r="F31" s="34" t="str">
        <f t="shared" si="8"/>
        <v>C:\Users\jaime.benazar\Quorum Business Solutions\Ecopetrol Prometeo - Documents\Planning Space Implementation\3. Analysis &amp; Design\Design\FC22\DRR Jaime\QUIFA-CAJÚA\Cajua\[CAJUA_CF_SEC_New_27-Feb-2024Rev3.xlsx]D-PDP'!</v>
      </c>
      <c r="G31" s="32" t="s">
        <v>59</v>
      </c>
      <c r="H31" s="33">
        <f t="shared" si="9"/>
        <v>41</v>
      </c>
      <c r="I31" s="33" t="str">
        <f t="shared" si="10"/>
        <v>='C:\Users\jaime.benazar\Quorum Business Solutions\Ecopetrol Prometeo - Documents\Planning Space Implementation\3. Analysis &amp; Design\Design\FC22\DRR Jaime\QUIFA-CAJÚA\Cajua\[CAJUA_CF_SEC_New_27-Feb-2024Rev3.xlsx]D-PDP'!$BB$41</v>
      </c>
      <c r="J31" s="37" t="s">
        <v>2029</v>
      </c>
    </row>
    <row r="32" spans="1:10" x14ac:dyDescent="0.25">
      <c r="A32" s="32" t="s">
        <v>1</v>
      </c>
      <c r="B32" s="32">
        <f t="shared" si="11"/>
        <v>2053</v>
      </c>
      <c r="C32" s="33" t="s">
        <v>51</v>
      </c>
      <c r="D32" s="34" t="s">
        <v>1999</v>
      </c>
      <c r="E32" s="35" t="str">
        <f t="shared" si="7"/>
        <v>PDP'!</v>
      </c>
      <c r="F32" s="34" t="str">
        <f t="shared" si="8"/>
        <v>C:\Users\jaime.benazar\Quorum Business Solutions\Ecopetrol Prometeo - Documents\Planning Space Implementation\3. Analysis &amp; Design\Design\FC22\DRR Jaime\QUIFA-CAJÚA\Cajua\[CAJUA_CF_SEC_New_27-Feb-2024Rev3.xlsx]D-PDP'!</v>
      </c>
      <c r="G32" s="32" t="s">
        <v>59</v>
      </c>
      <c r="H32" s="33">
        <f t="shared" si="9"/>
        <v>42</v>
      </c>
      <c r="I32" s="33" t="str">
        <f t="shared" si="10"/>
        <v>='C:\Users\jaime.benazar\Quorum Business Solutions\Ecopetrol Prometeo - Documents\Planning Space Implementation\3. Analysis &amp; Design\Design\FC22\DRR Jaime\QUIFA-CAJÚA\Cajua\[CAJUA_CF_SEC_New_27-Feb-2024Rev3.xlsx]D-PDP'!$BB$42</v>
      </c>
      <c r="J32" s="37" t="s">
        <v>2030</v>
      </c>
    </row>
    <row r="33" spans="1:25" x14ac:dyDescent="0.25">
      <c r="A33" s="32" t="s">
        <v>1</v>
      </c>
      <c r="B33" s="32">
        <f t="shared" si="11"/>
        <v>2054</v>
      </c>
      <c r="C33" s="33" t="s">
        <v>51</v>
      </c>
      <c r="D33" s="34" t="s">
        <v>1999</v>
      </c>
      <c r="E33" s="35" t="str">
        <f t="shared" si="7"/>
        <v>PDP'!</v>
      </c>
      <c r="F33" s="34" t="str">
        <f t="shared" si="8"/>
        <v>C:\Users\jaime.benazar\Quorum Business Solutions\Ecopetrol Prometeo - Documents\Planning Space Implementation\3. Analysis &amp; Design\Design\FC22\DRR Jaime\QUIFA-CAJÚA\Cajua\[CAJUA_CF_SEC_New_27-Feb-2024Rev3.xlsx]D-PDP'!</v>
      </c>
      <c r="G33" s="32" t="s">
        <v>59</v>
      </c>
      <c r="H33" s="33">
        <f t="shared" si="9"/>
        <v>43</v>
      </c>
      <c r="I33" s="33" t="str">
        <f t="shared" si="10"/>
        <v>='C:\Users\jaime.benazar\Quorum Business Solutions\Ecopetrol Prometeo - Documents\Planning Space Implementation\3. Analysis &amp; Design\Design\FC22\DRR Jaime\QUIFA-CAJÚA\Cajua\[CAJUA_CF_SEC_New_27-Feb-2024Rev3.xlsx]D-PDP'!$BB$43</v>
      </c>
      <c r="J33" s="37" t="s">
        <v>2031</v>
      </c>
    </row>
    <row r="34" spans="1:25" x14ac:dyDescent="0.25">
      <c r="A34" s="32" t="s">
        <v>1</v>
      </c>
      <c r="B34" s="32">
        <f t="shared" si="11"/>
        <v>2055</v>
      </c>
      <c r="C34" s="33" t="s">
        <v>51</v>
      </c>
      <c r="D34" s="34" t="s">
        <v>1999</v>
      </c>
      <c r="E34" s="35" t="str">
        <f t="shared" si="7"/>
        <v>PDP'!</v>
      </c>
      <c r="F34" s="34" t="str">
        <f t="shared" si="8"/>
        <v>C:\Users\jaime.benazar\Quorum Business Solutions\Ecopetrol Prometeo - Documents\Planning Space Implementation\3. Analysis &amp; Design\Design\FC22\DRR Jaime\QUIFA-CAJÚA\Cajua\[CAJUA_CF_SEC_New_27-Feb-2024Rev3.xlsx]D-PDP'!</v>
      </c>
      <c r="G34" s="32" t="s">
        <v>59</v>
      </c>
      <c r="H34" s="33">
        <f t="shared" si="9"/>
        <v>44</v>
      </c>
      <c r="I34" s="33" t="str">
        <f t="shared" si="10"/>
        <v>='C:\Users\jaime.benazar\Quorum Business Solutions\Ecopetrol Prometeo - Documents\Planning Space Implementation\3. Analysis &amp; Design\Design\FC22\DRR Jaime\QUIFA-CAJÚA\Cajua\[CAJUA_CF_SEC_New_27-Feb-2024Rev3.xlsx]D-PDP'!$BB$44</v>
      </c>
      <c r="J34" s="37" t="s">
        <v>2032</v>
      </c>
    </row>
    <row r="35" spans="1:25" x14ac:dyDescent="0.25">
      <c r="A35" s="32" t="s">
        <v>1</v>
      </c>
      <c r="B35" s="32">
        <f t="shared" si="11"/>
        <v>2056</v>
      </c>
      <c r="C35" s="33" t="s">
        <v>51</v>
      </c>
      <c r="D35" s="34" t="s">
        <v>1999</v>
      </c>
      <c r="E35" s="35" t="str">
        <f t="shared" si="7"/>
        <v>PDP'!</v>
      </c>
      <c r="F35" s="34" t="str">
        <f t="shared" si="8"/>
        <v>C:\Users\jaime.benazar\Quorum Business Solutions\Ecopetrol Prometeo - Documents\Planning Space Implementation\3. Analysis &amp; Design\Design\FC22\DRR Jaime\QUIFA-CAJÚA\Cajua\[CAJUA_CF_SEC_New_27-Feb-2024Rev3.xlsx]D-PDP'!</v>
      </c>
      <c r="G35" s="32" t="s">
        <v>59</v>
      </c>
      <c r="H35" s="33">
        <f t="shared" si="9"/>
        <v>45</v>
      </c>
      <c r="I35" s="33" t="str">
        <f t="shared" si="10"/>
        <v>='C:\Users\jaime.benazar\Quorum Business Solutions\Ecopetrol Prometeo - Documents\Planning Space Implementation\3. Analysis &amp; Design\Design\FC22\DRR Jaime\QUIFA-CAJÚA\Cajua\[CAJUA_CF_SEC_New_27-Feb-2024Rev3.xlsx]D-PDP'!$BB$45</v>
      </c>
      <c r="J35" s="37" t="s">
        <v>2033</v>
      </c>
    </row>
    <row r="36" spans="1:25" x14ac:dyDescent="0.25">
      <c r="A36" s="32" t="s">
        <v>1</v>
      </c>
      <c r="B36" s="32">
        <f t="shared" si="11"/>
        <v>2057</v>
      </c>
      <c r="C36" s="33" t="s">
        <v>51</v>
      </c>
      <c r="D36" s="34" t="s">
        <v>1999</v>
      </c>
      <c r="E36" s="35" t="str">
        <f t="shared" si="7"/>
        <v>PDP'!</v>
      </c>
      <c r="F36" s="34" t="str">
        <f t="shared" si="8"/>
        <v>C:\Users\jaime.benazar\Quorum Business Solutions\Ecopetrol Prometeo - Documents\Planning Space Implementation\3. Analysis &amp; Design\Design\FC22\DRR Jaime\QUIFA-CAJÚA\Cajua\[CAJUA_CF_SEC_New_27-Feb-2024Rev3.xlsx]D-PDP'!</v>
      </c>
      <c r="G36" s="32" t="s">
        <v>59</v>
      </c>
      <c r="H36" s="33">
        <f t="shared" si="9"/>
        <v>46</v>
      </c>
      <c r="I36" s="33" t="str">
        <f t="shared" si="10"/>
        <v>='C:\Users\jaime.benazar\Quorum Business Solutions\Ecopetrol Prometeo - Documents\Planning Space Implementation\3. Analysis &amp; Design\Design\FC22\DRR Jaime\QUIFA-CAJÚA\Cajua\[CAJUA_CF_SEC_New_27-Feb-2024Rev3.xlsx]D-PDP'!$BB$46</v>
      </c>
      <c r="J36" s="37" t="s">
        <v>2034</v>
      </c>
    </row>
    <row r="37" spans="1:25" x14ac:dyDescent="0.25">
      <c r="A37" s="32" t="s">
        <v>1</v>
      </c>
      <c r="B37" s="32">
        <f t="shared" si="11"/>
        <v>2058</v>
      </c>
      <c r="C37" s="33" t="s">
        <v>51</v>
      </c>
      <c r="D37" s="34" t="s">
        <v>1999</v>
      </c>
      <c r="E37" s="35" t="str">
        <f t="shared" si="7"/>
        <v>PDP'!</v>
      </c>
      <c r="F37" s="34" t="str">
        <f t="shared" si="8"/>
        <v>C:\Users\jaime.benazar\Quorum Business Solutions\Ecopetrol Prometeo - Documents\Planning Space Implementation\3. Analysis &amp; Design\Design\FC22\DRR Jaime\QUIFA-CAJÚA\Cajua\[CAJUA_CF_SEC_New_27-Feb-2024Rev3.xlsx]D-PDP'!</v>
      </c>
      <c r="G37" s="32" t="s">
        <v>59</v>
      </c>
      <c r="H37" s="33">
        <f t="shared" si="9"/>
        <v>47</v>
      </c>
      <c r="I37" s="33" t="str">
        <f t="shared" si="10"/>
        <v>='C:\Users\jaime.benazar\Quorum Business Solutions\Ecopetrol Prometeo - Documents\Planning Space Implementation\3. Analysis &amp; Design\Design\FC22\DRR Jaime\QUIFA-CAJÚA\Cajua\[CAJUA_CF_SEC_New_27-Feb-2024Rev3.xlsx]D-PDP'!$BB$47</v>
      </c>
      <c r="J37" s="37" t="s">
        <v>2035</v>
      </c>
    </row>
    <row r="38" spans="1:25" x14ac:dyDescent="0.25">
      <c r="A38" s="32" t="s">
        <v>1</v>
      </c>
      <c r="B38" s="32">
        <f t="shared" si="11"/>
        <v>2059</v>
      </c>
      <c r="C38" s="33" t="s">
        <v>51</v>
      </c>
      <c r="D38" s="34" t="s">
        <v>1999</v>
      </c>
      <c r="E38" s="35" t="str">
        <f t="shared" si="7"/>
        <v>PDP'!</v>
      </c>
      <c r="F38" s="34" t="str">
        <f t="shared" si="8"/>
        <v>C:\Users\jaime.benazar\Quorum Business Solutions\Ecopetrol Prometeo - Documents\Planning Space Implementation\3. Analysis &amp; Design\Design\FC22\DRR Jaime\QUIFA-CAJÚA\Cajua\[CAJUA_CF_SEC_New_27-Feb-2024Rev3.xlsx]D-PDP'!</v>
      </c>
      <c r="G38" s="32" t="s">
        <v>59</v>
      </c>
      <c r="H38" s="33">
        <f t="shared" si="9"/>
        <v>48</v>
      </c>
      <c r="I38" s="33" t="str">
        <f t="shared" si="10"/>
        <v>='C:\Users\jaime.benazar\Quorum Business Solutions\Ecopetrol Prometeo - Documents\Planning Space Implementation\3. Analysis &amp; Design\Design\FC22\DRR Jaime\QUIFA-CAJÚA\Cajua\[CAJUA_CF_SEC_New_27-Feb-2024Rev3.xlsx]D-PDP'!$BB$48</v>
      </c>
      <c r="J38" s="37" t="s">
        <v>2036</v>
      </c>
    </row>
    <row r="39" spans="1:25" x14ac:dyDescent="0.25">
      <c r="A39" s="32" t="s">
        <v>28</v>
      </c>
      <c r="B39" s="32"/>
      <c r="C39" s="33" t="s">
        <v>51</v>
      </c>
      <c r="D39" s="34"/>
      <c r="E39" s="35"/>
      <c r="F39" s="34"/>
      <c r="G39" s="32"/>
      <c r="H39" s="33"/>
      <c r="I39" s="33"/>
      <c r="J39" s="33"/>
    </row>
    <row r="40" spans="1:25" x14ac:dyDescent="0.25">
      <c r="A40" s="32" t="s">
        <v>2</v>
      </c>
      <c r="B40" s="32">
        <v>2023</v>
      </c>
      <c r="C40" s="33" t="s">
        <v>51</v>
      </c>
      <c r="D40" s="34" t="s">
        <v>1999</v>
      </c>
      <c r="E40" s="35" t="str">
        <f t="shared" si="0"/>
        <v>PNP'!</v>
      </c>
      <c r="F40" s="34" t="str">
        <f t="shared" si="1"/>
        <v>C:\Users\jaime.benazar\Quorum Business Solutions\Ecopetrol Prometeo - Documents\Planning Space Implementation\3. Analysis &amp; Design\Design\FC22\DRR Jaime\QUIFA-CAJÚA\Cajua\[CAJUA_CF_SEC_New_27-Feb-2024Rev3.xlsx]D-PNP'!</v>
      </c>
      <c r="G40" s="32" t="s">
        <v>59</v>
      </c>
      <c r="H40" s="33">
        <v>12</v>
      </c>
      <c r="I40" s="33" t="str">
        <f t="shared" si="2"/>
        <v>='C:\Users\jaime.benazar\Quorum Business Solutions\Ecopetrol Prometeo - Documents\Planning Space Implementation\3. Analysis &amp; Design\Design\FC22\DRR Jaime\QUIFA-CAJÚA\Cajua\[CAJUA_CF_SEC_New_27-Feb-2024Rev3.xlsx]D-PNP'!$BB$12</v>
      </c>
      <c r="J40" s="37" t="s">
        <v>2037</v>
      </c>
    </row>
    <row r="41" spans="1:25" x14ac:dyDescent="0.25">
      <c r="A41" s="32" t="s">
        <v>2</v>
      </c>
      <c r="B41" s="32">
        <f>+B40+1</f>
        <v>2024</v>
      </c>
      <c r="C41" s="33" t="s">
        <v>51</v>
      </c>
      <c r="D41" s="34" t="s">
        <v>1999</v>
      </c>
      <c r="E41" s="35" t="str">
        <f t="shared" si="0"/>
        <v>PNP'!</v>
      </c>
      <c r="F41" s="34" t="str">
        <f t="shared" si="1"/>
        <v>C:\Users\jaime.benazar\Quorum Business Solutions\Ecopetrol Prometeo - Documents\Planning Space Implementation\3. Analysis &amp; Design\Design\FC22\DRR Jaime\QUIFA-CAJÚA\Cajua\[CAJUA_CF_SEC_New_27-Feb-2024Rev3.xlsx]D-PNP'!</v>
      </c>
      <c r="G41" s="32" t="s">
        <v>59</v>
      </c>
      <c r="H41" s="33">
        <f>IF(A41&lt;&gt;A40,12,H40+1)</f>
        <v>13</v>
      </c>
      <c r="I41" s="33" t="str">
        <f t="shared" si="2"/>
        <v>='C:\Users\jaime.benazar\Quorum Business Solutions\Ecopetrol Prometeo - Documents\Planning Space Implementation\3. Analysis &amp; Design\Design\FC22\DRR Jaime\QUIFA-CAJÚA\Cajua\[CAJUA_CF_SEC_New_27-Feb-2024Rev3.xlsx]D-PNP'!$BB$13</v>
      </c>
      <c r="J41" s="37" t="s">
        <v>2038</v>
      </c>
    </row>
    <row r="42" spans="1:25" x14ac:dyDescent="0.25">
      <c r="A42" s="32" t="s">
        <v>2</v>
      </c>
      <c r="B42" s="32">
        <f t="shared" ref="B42:B53" si="12">+B41+1</f>
        <v>2025</v>
      </c>
      <c r="C42" s="33" t="s">
        <v>51</v>
      </c>
      <c r="D42" s="34" t="s">
        <v>1999</v>
      </c>
      <c r="E42" s="35" t="str">
        <f t="shared" si="0"/>
        <v>PNP'!</v>
      </c>
      <c r="F42" s="34" t="str">
        <f t="shared" si="1"/>
        <v>C:\Users\jaime.benazar\Quorum Business Solutions\Ecopetrol Prometeo - Documents\Planning Space Implementation\3. Analysis &amp; Design\Design\FC22\DRR Jaime\QUIFA-CAJÚA\Cajua\[CAJUA_CF_SEC_New_27-Feb-2024Rev3.xlsx]D-PNP'!</v>
      </c>
      <c r="G42" s="32" t="s">
        <v>59</v>
      </c>
      <c r="H42" s="33">
        <f t="shared" ref="H42:H60" si="13">IF(A42&lt;&gt;A41,12,H41+1)</f>
        <v>14</v>
      </c>
      <c r="I42" s="33" t="str">
        <f t="shared" si="2"/>
        <v>='C:\Users\jaime.benazar\Quorum Business Solutions\Ecopetrol Prometeo - Documents\Planning Space Implementation\3. Analysis &amp; Design\Design\FC22\DRR Jaime\QUIFA-CAJÚA\Cajua\[CAJUA_CF_SEC_New_27-Feb-2024Rev3.xlsx]D-PNP'!$BB$14</v>
      </c>
      <c r="J42" s="37" t="s">
        <v>2039</v>
      </c>
    </row>
    <row r="43" spans="1:25" x14ac:dyDescent="0.25">
      <c r="A43" s="32" t="s">
        <v>2</v>
      </c>
      <c r="B43" s="32">
        <f t="shared" si="12"/>
        <v>2026</v>
      </c>
      <c r="C43" s="33" t="s">
        <v>51</v>
      </c>
      <c r="D43" s="34" t="s">
        <v>1999</v>
      </c>
      <c r="E43" s="35" t="str">
        <f t="shared" si="0"/>
        <v>PNP'!</v>
      </c>
      <c r="F43" s="34" t="str">
        <f t="shared" si="1"/>
        <v>C:\Users\jaime.benazar\Quorum Business Solutions\Ecopetrol Prometeo - Documents\Planning Space Implementation\3. Analysis &amp; Design\Design\FC22\DRR Jaime\QUIFA-CAJÚA\Cajua\[CAJUA_CF_SEC_New_27-Feb-2024Rev3.xlsx]D-PNP'!</v>
      </c>
      <c r="G43" s="32" t="s">
        <v>59</v>
      </c>
      <c r="H43" s="33">
        <f t="shared" si="13"/>
        <v>15</v>
      </c>
      <c r="I43" s="33" t="str">
        <f t="shared" si="2"/>
        <v>='C:\Users\jaime.benazar\Quorum Business Solutions\Ecopetrol Prometeo - Documents\Planning Space Implementation\3. Analysis &amp; Design\Design\FC22\DRR Jaime\QUIFA-CAJÚA\Cajua\[CAJUA_CF_SEC_New_27-Feb-2024Rev3.xlsx]D-PNP'!$BB$15</v>
      </c>
      <c r="J43" s="37" t="s">
        <v>2040</v>
      </c>
    </row>
    <row r="44" spans="1:25" x14ac:dyDescent="0.25">
      <c r="A44" s="32" t="s">
        <v>2</v>
      </c>
      <c r="B44" s="32">
        <f t="shared" si="12"/>
        <v>2027</v>
      </c>
      <c r="C44" s="33" t="s">
        <v>51</v>
      </c>
      <c r="D44" s="34" t="s">
        <v>1999</v>
      </c>
      <c r="E44" s="35" t="str">
        <f t="shared" si="0"/>
        <v>PNP'!</v>
      </c>
      <c r="F44" s="34" t="str">
        <f t="shared" si="1"/>
        <v>C:\Users\jaime.benazar\Quorum Business Solutions\Ecopetrol Prometeo - Documents\Planning Space Implementation\3. Analysis &amp; Design\Design\FC22\DRR Jaime\QUIFA-CAJÚA\Cajua\[CAJUA_CF_SEC_New_27-Feb-2024Rev3.xlsx]D-PNP'!</v>
      </c>
      <c r="G44" s="32" t="s">
        <v>59</v>
      </c>
      <c r="H44" s="33">
        <f t="shared" si="13"/>
        <v>16</v>
      </c>
      <c r="I44" s="33" t="str">
        <f t="shared" si="2"/>
        <v>='C:\Users\jaime.benazar\Quorum Business Solutions\Ecopetrol Prometeo - Documents\Planning Space Implementation\3. Analysis &amp; Design\Design\FC22\DRR Jaime\QUIFA-CAJÚA\Cajua\[CAJUA_CF_SEC_New_27-Feb-2024Rev3.xlsx]D-PNP'!$BB$16</v>
      </c>
      <c r="J44" s="37" t="s">
        <v>2041</v>
      </c>
    </row>
    <row r="45" spans="1:25" x14ac:dyDescent="0.25">
      <c r="A45" s="32" t="s">
        <v>2</v>
      </c>
      <c r="B45" s="32">
        <f t="shared" si="12"/>
        <v>2028</v>
      </c>
      <c r="C45" s="33" t="s">
        <v>51</v>
      </c>
      <c r="D45" s="34" t="s">
        <v>1999</v>
      </c>
      <c r="E45" s="35" t="str">
        <f t="shared" si="0"/>
        <v>PNP'!</v>
      </c>
      <c r="F45" s="34" t="str">
        <f t="shared" si="1"/>
        <v>C:\Users\jaime.benazar\Quorum Business Solutions\Ecopetrol Prometeo - Documents\Planning Space Implementation\3. Analysis &amp; Design\Design\FC22\DRR Jaime\QUIFA-CAJÚA\Cajua\[CAJUA_CF_SEC_New_27-Feb-2024Rev3.xlsx]D-PNP'!</v>
      </c>
      <c r="G45" s="32" t="s">
        <v>59</v>
      </c>
      <c r="H45" s="33">
        <f t="shared" si="13"/>
        <v>17</v>
      </c>
      <c r="I45" s="33" t="str">
        <f t="shared" si="2"/>
        <v>='C:\Users\jaime.benazar\Quorum Business Solutions\Ecopetrol Prometeo - Documents\Planning Space Implementation\3. Analysis &amp; Design\Design\FC22\DRR Jaime\QUIFA-CAJÚA\Cajua\[CAJUA_CF_SEC_New_27-Feb-2024Rev3.xlsx]D-PNP'!$BB$17</v>
      </c>
      <c r="J45" s="37" t="s">
        <v>2042</v>
      </c>
    </row>
    <row r="46" spans="1:25" x14ac:dyDescent="0.25">
      <c r="A46" s="32" t="s">
        <v>2</v>
      </c>
      <c r="B46" s="32">
        <f t="shared" si="12"/>
        <v>2029</v>
      </c>
      <c r="C46" s="33" t="s">
        <v>51</v>
      </c>
      <c r="D46" s="34" t="s">
        <v>1999</v>
      </c>
      <c r="E46" s="35" t="str">
        <f t="shared" si="0"/>
        <v>PNP'!</v>
      </c>
      <c r="F46" s="34" t="str">
        <f t="shared" si="1"/>
        <v>C:\Users\jaime.benazar\Quorum Business Solutions\Ecopetrol Prometeo - Documents\Planning Space Implementation\3. Analysis &amp; Design\Design\FC22\DRR Jaime\QUIFA-CAJÚA\Cajua\[CAJUA_CF_SEC_New_27-Feb-2024Rev3.xlsx]D-PNP'!</v>
      </c>
      <c r="G46" s="32" t="s">
        <v>59</v>
      </c>
      <c r="H46" s="33">
        <f t="shared" si="13"/>
        <v>18</v>
      </c>
      <c r="I46" s="33" t="str">
        <f t="shared" si="2"/>
        <v>='C:\Users\jaime.benazar\Quorum Business Solutions\Ecopetrol Prometeo - Documents\Planning Space Implementation\3. Analysis &amp; Design\Design\FC22\DRR Jaime\QUIFA-CAJÚA\Cajua\[CAJUA_CF_SEC_New_27-Feb-2024Rev3.xlsx]D-PNP'!$BB$18</v>
      </c>
      <c r="J46" s="37" t="s">
        <v>2043</v>
      </c>
    </row>
    <row r="47" spans="1:25" x14ac:dyDescent="0.25">
      <c r="A47" s="32" t="s">
        <v>2</v>
      </c>
      <c r="B47" s="33">
        <f t="shared" si="12"/>
        <v>2030</v>
      </c>
      <c r="C47" s="33" t="s">
        <v>51</v>
      </c>
      <c r="D47" s="34" t="s">
        <v>1999</v>
      </c>
      <c r="E47" s="35" t="str">
        <f t="shared" ref="E47" si="14">_xlfn.CONCAT(A47,"'!")</f>
        <v>PNP'!</v>
      </c>
      <c r="F47" s="34" t="str">
        <f t="shared" ref="F47" si="15">_xlfn.CONCAT(D47:E47)</f>
        <v>C:\Users\jaime.benazar\Quorum Business Solutions\Ecopetrol Prometeo - Documents\Planning Space Implementation\3. Analysis &amp; Design\Design\FC22\DRR Jaime\QUIFA-CAJÚA\Cajua\[CAJUA_CF_SEC_New_27-Feb-2024Rev3.xlsx]D-PNP'!</v>
      </c>
      <c r="G47" s="32" t="s">
        <v>59</v>
      </c>
      <c r="H47" s="33">
        <f t="shared" ref="H47" si="16">IF(A47&lt;&gt;A46,12,H46+1)</f>
        <v>19</v>
      </c>
      <c r="I47" s="33" t="str">
        <f t="shared" ref="I47" si="17">_xlfn.CONCAT("='",F47:H47)</f>
        <v>='C:\Users\jaime.benazar\Quorum Business Solutions\Ecopetrol Prometeo - Documents\Planning Space Implementation\3. Analysis &amp; Design\Design\FC22\DRR Jaime\QUIFA-CAJÚA\Cajua\[CAJUA_CF_SEC_New_27-Feb-2024Rev3.xlsx]D-PNP'!$BB$19</v>
      </c>
      <c r="J47" s="37" t="s">
        <v>2044</v>
      </c>
      <c r="K47" s="33"/>
      <c r="L47" s="33"/>
      <c r="M47" s="33"/>
      <c r="N47" s="33"/>
      <c r="O47" s="33"/>
      <c r="P47" s="33"/>
      <c r="Q47" s="33"/>
      <c r="R47" s="33"/>
      <c r="S47" s="33"/>
      <c r="T47" s="33"/>
      <c r="U47" s="33"/>
      <c r="V47" s="33"/>
      <c r="W47" s="33"/>
      <c r="X47" s="33"/>
      <c r="Y47" s="33"/>
    </row>
    <row r="48" spans="1:25" x14ac:dyDescent="0.25">
      <c r="A48" s="32" t="s">
        <v>2</v>
      </c>
      <c r="B48" s="32">
        <f t="shared" si="12"/>
        <v>2031</v>
      </c>
      <c r="C48" s="33" t="s">
        <v>51</v>
      </c>
      <c r="D48" s="34" t="s">
        <v>1999</v>
      </c>
      <c r="E48" s="35" t="str">
        <f t="shared" si="0"/>
        <v>PNP'!</v>
      </c>
      <c r="F48" s="34" t="str">
        <f t="shared" si="1"/>
        <v>C:\Users\jaime.benazar\Quorum Business Solutions\Ecopetrol Prometeo - Documents\Planning Space Implementation\3. Analysis &amp; Design\Design\FC22\DRR Jaime\QUIFA-CAJÚA\Cajua\[CAJUA_CF_SEC_New_27-Feb-2024Rev3.xlsx]D-PNP'!</v>
      </c>
      <c r="G48" s="32" t="s">
        <v>59</v>
      </c>
      <c r="H48" s="33">
        <f t="shared" si="13"/>
        <v>20</v>
      </c>
      <c r="I48" s="33" t="str">
        <f t="shared" si="2"/>
        <v>='C:\Users\jaime.benazar\Quorum Business Solutions\Ecopetrol Prometeo - Documents\Planning Space Implementation\3. Analysis &amp; Design\Design\FC22\DRR Jaime\QUIFA-CAJÚA\Cajua\[CAJUA_CF_SEC_New_27-Feb-2024Rev3.xlsx]D-PNP'!$BB$20</v>
      </c>
      <c r="J48" s="37" t="s">
        <v>2045</v>
      </c>
    </row>
    <row r="49" spans="1:10" x14ac:dyDescent="0.25">
      <c r="A49" s="32" t="s">
        <v>2</v>
      </c>
      <c r="B49" s="32">
        <f t="shared" si="12"/>
        <v>2032</v>
      </c>
      <c r="C49" s="33" t="s">
        <v>51</v>
      </c>
      <c r="D49" s="34" t="s">
        <v>1999</v>
      </c>
      <c r="E49" s="35" t="str">
        <f t="shared" si="0"/>
        <v>PNP'!</v>
      </c>
      <c r="F49" s="34" t="str">
        <f t="shared" si="1"/>
        <v>C:\Users\jaime.benazar\Quorum Business Solutions\Ecopetrol Prometeo - Documents\Planning Space Implementation\3. Analysis &amp; Design\Design\FC22\DRR Jaime\QUIFA-CAJÚA\Cajua\[CAJUA_CF_SEC_New_27-Feb-2024Rev3.xlsx]D-PNP'!</v>
      </c>
      <c r="G49" s="32" t="s">
        <v>59</v>
      </c>
      <c r="H49" s="33">
        <f t="shared" si="13"/>
        <v>21</v>
      </c>
      <c r="I49" s="33" t="str">
        <f t="shared" si="2"/>
        <v>='C:\Users\jaime.benazar\Quorum Business Solutions\Ecopetrol Prometeo - Documents\Planning Space Implementation\3. Analysis &amp; Design\Design\FC22\DRR Jaime\QUIFA-CAJÚA\Cajua\[CAJUA_CF_SEC_New_27-Feb-2024Rev3.xlsx]D-PNP'!$BB$21</v>
      </c>
      <c r="J49" s="37" t="s">
        <v>2046</v>
      </c>
    </row>
    <row r="50" spans="1:10" x14ac:dyDescent="0.25">
      <c r="A50" s="32" t="s">
        <v>2</v>
      </c>
      <c r="B50" s="32">
        <f t="shared" si="12"/>
        <v>2033</v>
      </c>
      <c r="C50" s="33" t="s">
        <v>51</v>
      </c>
      <c r="D50" s="34" t="s">
        <v>1999</v>
      </c>
      <c r="E50" s="35" t="str">
        <f t="shared" si="0"/>
        <v>PNP'!</v>
      </c>
      <c r="F50" s="34" t="str">
        <f t="shared" si="1"/>
        <v>C:\Users\jaime.benazar\Quorum Business Solutions\Ecopetrol Prometeo - Documents\Planning Space Implementation\3. Analysis &amp; Design\Design\FC22\DRR Jaime\QUIFA-CAJÚA\Cajua\[CAJUA_CF_SEC_New_27-Feb-2024Rev3.xlsx]D-PNP'!</v>
      </c>
      <c r="G50" s="32" t="s">
        <v>59</v>
      </c>
      <c r="H50" s="33">
        <f t="shared" si="13"/>
        <v>22</v>
      </c>
      <c r="I50" s="33" t="str">
        <f t="shared" si="2"/>
        <v>='C:\Users\jaime.benazar\Quorum Business Solutions\Ecopetrol Prometeo - Documents\Planning Space Implementation\3. Analysis &amp; Design\Design\FC22\DRR Jaime\QUIFA-CAJÚA\Cajua\[CAJUA_CF_SEC_New_27-Feb-2024Rev3.xlsx]D-PNP'!$BB$22</v>
      </c>
      <c r="J50" s="37" t="s">
        <v>2047</v>
      </c>
    </row>
    <row r="51" spans="1:10" x14ac:dyDescent="0.25">
      <c r="A51" s="32" t="s">
        <v>2</v>
      </c>
      <c r="B51" s="32">
        <f t="shared" si="12"/>
        <v>2034</v>
      </c>
      <c r="C51" s="33" t="s">
        <v>51</v>
      </c>
      <c r="D51" s="34" t="s">
        <v>1999</v>
      </c>
      <c r="E51" s="35" t="str">
        <f t="shared" si="0"/>
        <v>PNP'!</v>
      </c>
      <c r="F51" s="34" t="str">
        <f t="shared" si="1"/>
        <v>C:\Users\jaime.benazar\Quorum Business Solutions\Ecopetrol Prometeo - Documents\Planning Space Implementation\3. Analysis &amp; Design\Design\FC22\DRR Jaime\QUIFA-CAJÚA\Cajua\[CAJUA_CF_SEC_New_27-Feb-2024Rev3.xlsx]D-PNP'!</v>
      </c>
      <c r="G51" s="32" t="s">
        <v>59</v>
      </c>
      <c r="H51" s="33">
        <f t="shared" si="13"/>
        <v>23</v>
      </c>
      <c r="I51" s="33" t="str">
        <f t="shared" si="2"/>
        <v>='C:\Users\jaime.benazar\Quorum Business Solutions\Ecopetrol Prometeo - Documents\Planning Space Implementation\3. Analysis &amp; Design\Design\FC22\DRR Jaime\QUIFA-CAJÚA\Cajua\[CAJUA_CF_SEC_New_27-Feb-2024Rev3.xlsx]D-PNP'!$BB$23</v>
      </c>
      <c r="J51" s="37" t="s">
        <v>2048</v>
      </c>
    </row>
    <row r="52" spans="1:10" x14ac:dyDescent="0.25">
      <c r="A52" s="32" t="s">
        <v>2</v>
      </c>
      <c r="B52" s="32">
        <f t="shared" si="12"/>
        <v>2035</v>
      </c>
      <c r="C52" s="33" t="s">
        <v>51</v>
      </c>
      <c r="D52" s="34" t="s">
        <v>1999</v>
      </c>
      <c r="E52" s="35" t="str">
        <f t="shared" si="0"/>
        <v>PNP'!</v>
      </c>
      <c r="F52" s="34" t="str">
        <f t="shared" si="1"/>
        <v>C:\Users\jaime.benazar\Quorum Business Solutions\Ecopetrol Prometeo - Documents\Planning Space Implementation\3. Analysis &amp; Design\Design\FC22\DRR Jaime\QUIFA-CAJÚA\Cajua\[CAJUA_CF_SEC_New_27-Feb-2024Rev3.xlsx]D-PNP'!</v>
      </c>
      <c r="G52" s="32" t="s">
        <v>59</v>
      </c>
      <c r="H52" s="33">
        <f t="shared" si="13"/>
        <v>24</v>
      </c>
      <c r="I52" s="33" t="str">
        <f t="shared" si="2"/>
        <v>='C:\Users\jaime.benazar\Quorum Business Solutions\Ecopetrol Prometeo - Documents\Planning Space Implementation\3. Analysis &amp; Design\Design\FC22\DRR Jaime\QUIFA-CAJÚA\Cajua\[CAJUA_CF_SEC_New_27-Feb-2024Rev3.xlsx]D-PNP'!$BB$24</v>
      </c>
      <c r="J52" s="37" t="s">
        <v>2049</v>
      </c>
    </row>
    <row r="53" spans="1:10" x14ac:dyDescent="0.25">
      <c r="A53" s="32" t="s">
        <v>2</v>
      </c>
      <c r="B53" s="32">
        <f t="shared" si="12"/>
        <v>2036</v>
      </c>
      <c r="C53" s="33" t="s">
        <v>51</v>
      </c>
      <c r="D53" s="34" t="s">
        <v>1999</v>
      </c>
      <c r="E53" s="35" t="str">
        <f t="shared" si="0"/>
        <v>PNP'!</v>
      </c>
      <c r="F53" s="34" t="str">
        <f t="shared" si="1"/>
        <v>C:\Users\jaime.benazar\Quorum Business Solutions\Ecopetrol Prometeo - Documents\Planning Space Implementation\3. Analysis &amp; Design\Design\FC22\DRR Jaime\QUIFA-CAJÚA\Cajua\[CAJUA_CF_SEC_New_27-Feb-2024Rev3.xlsx]D-PNP'!</v>
      </c>
      <c r="G53" s="32" t="s">
        <v>59</v>
      </c>
      <c r="H53" s="33">
        <f t="shared" si="13"/>
        <v>25</v>
      </c>
      <c r="I53" s="33" t="str">
        <f t="shared" si="2"/>
        <v>='C:\Users\jaime.benazar\Quorum Business Solutions\Ecopetrol Prometeo - Documents\Planning Space Implementation\3. Analysis &amp; Design\Design\FC22\DRR Jaime\QUIFA-CAJÚA\Cajua\[CAJUA_CF_SEC_New_27-Feb-2024Rev3.xlsx]D-PNP'!$BB$25</v>
      </c>
      <c r="J53" s="37" t="s">
        <v>2050</v>
      </c>
    </row>
    <row r="54" spans="1:10" x14ac:dyDescent="0.25">
      <c r="A54" s="32" t="s">
        <v>2</v>
      </c>
      <c r="B54" s="32">
        <f>+B53+1</f>
        <v>2037</v>
      </c>
      <c r="C54" s="33" t="s">
        <v>51</v>
      </c>
      <c r="D54" s="34" t="s">
        <v>1999</v>
      </c>
      <c r="E54" s="35" t="str">
        <f t="shared" si="0"/>
        <v>PNP'!</v>
      </c>
      <c r="F54" s="34" t="str">
        <f t="shared" si="1"/>
        <v>C:\Users\jaime.benazar\Quorum Business Solutions\Ecopetrol Prometeo - Documents\Planning Space Implementation\3. Analysis &amp; Design\Design\FC22\DRR Jaime\QUIFA-CAJÚA\Cajua\[CAJUA_CF_SEC_New_27-Feb-2024Rev3.xlsx]D-PNP'!</v>
      </c>
      <c r="G54" s="32" t="s">
        <v>59</v>
      </c>
      <c r="H54" s="33">
        <f t="shared" si="13"/>
        <v>26</v>
      </c>
      <c r="I54" s="33" t="str">
        <f t="shared" si="2"/>
        <v>='C:\Users\jaime.benazar\Quorum Business Solutions\Ecopetrol Prometeo - Documents\Planning Space Implementation\3. Analysis &amp; Design\Design\FC22\DRR Jaime\QUIFA-CAJÚA\Cajua\[CAJUA_CF_SEC_New_27-Feb-2024Rev3.xlsx]D-PNP'!$BB$26</v>
      </c>
      <c r="J54" s="37" t="s">
        <v>2051</v>
      </c>
    </row>
    <row r="55" spans="1:10" x14ac:dyDescent="0.25">
      <c r="A55" s="32" t="s">
        <v>2</v>
      </c>
      <c r="B55" s="32">
        <f t="shared" ref="B55:B57" si="18">+B54+1</f>
        <v>2038</v>
      </c>
      <c r="C55" s="33" t="s">
        <v>51</v>
      </c>
      <c r="D55" s="34" t="s">
        <v>1999</v>
      </c>
      <c r="E55" s="35" t="str">
        <f t="shared" si="0"/>
        <v>PNP'!</v>
      </c>
      <c r="F55" s="34" t="str">
        <f t="shared" si="1"/>
        <v>C:\Users\jaime.benazar\Quorum Business Solutions\Ecopetrol Prometeo - Documents\Planning Space Implementation\3. Analysis &amp; Design\Design\FC22\DRR Jaime\QUIFA-CAJÚA\Cajua\[CAJUA_CF_SEC_New_27-Feb-2024Rev3.xlsx]D-PNP'!</v>
      </c>
      <c r="G55" s="32" t="s">
        <v>59</v>
      </c>
      <c r="H55" s="33">
        <f t="shared" si="13"/>
        <v>27</v>
      </c>
      <c r="I55" s="33" t="str">
        <f t="shared" si="2"/>
        <v>='C:\Users\jaime.benazar\Quorum Business Solutions\Ecopetrol Prometeo - Documents\Planning Space Implementation\3. Analysis &amp; Design\Design\FC22\DRR Jaime\QUIFA-CAJÚA\Cajua\[CAJUA_CF_SEC_New_27-Feb-2024Rev3.xlsx]D-PNP'!$BB$27</v>
      </c>
      <c r="J55" s="37" t="s">
        <v>2052</v>
      </c>
    </row>
    <row r="56" spans="1:10" x14ac:dyDescent="0.25">
      <c r="A56" s="32" t="s">
        <v>2</v>
      </c>
      <c r="B56" s="32">
        <f t="shared" si="18"/>
        <v>2039</v>
      </c>
      <c r="C56" s="33" t="s">
        <v>51</v>
      </c>
      <c r="D56" s="34" t="s">
        <v>1999</v>
      </c>
      <c r="E56" s="35" t="str">
        <f t="shared" si="0"/>
        <v>PNP'!</v>
      </c>
      <c r="F56" s="34" t="str">
        <f t="shared" si="1"/>
        <v>C:\Users\jaime.benazar\Quorum Business Solutions\Ecopetrol Prometeo - Documents\Planning Space Implementation\3. Analysis &amp; Design\Design\FC22\DRR Jaime\QUIFA-CAJÚA\Cajua\[CAJUA_CF_SEC_New_27-Feb-2024Rev3.xlsx]D-PNP'!</v>
      </c>
      <c r="G56" s="32" t="s">
        <v>59</v>
      </c>
      <c r="H56" s="33">
        <f t="shared" si="13"/>
        <v>28</v>
      </c>
      <c r="I56" s="33" t="str">
        <f t="shared" si="2"/>
        <v>='C:\Users\jaime.benazar\Quorum Business Solutions\Ecopetrol Prometeo - Documents\Planning Space Implementation\3. Analysis &amp; Design\Design\FC22\DRR Jaime\QUIFA-CAJÚA\Cajua\[CAJUA_CF_SEC_New_27-Feb-2024Rev3.xlsx]D-PNP'!$BB$28</v>
      </c>
      <c r="J56" s="37" t="s">
        <v>2053</v>
      </c>
    </row>
    <row r="57" spans="1:10" x14ac:dyDescent="0.25">
      <c r="A57" s="32" t="s">
        <v>2</v>
      </c>
      <c r="B57" s="32">
        <f t="shared" si="18"/>
        <v>2040</v>
      </c>
      <c r="C57" s="33" t="s">
        <v>51</v>
      </c>
      <c r="D57" s="34" t="s">
        <v>1999</v>
      </c>
      <c r="E57" s="35" t="str">
        <f t="shared" si="0"/>
        <v>PNP'!</v>
      </c>
      <c r="F57" s="34" t="str">
        <f t="shared" si="1"/>
        <v>C:\Users\jaime.benazar\Quorum Business Solutions\Ecopetrol Prometeo - Documents\Planning Space Implementation\3. Analysis &amp; Design\Design\FC22\DRR Jaime\QUIFA-CAJÚA\Cajua\[CAJUA_CF_SEC_New_27-Feb-2024Rev3.xlsx]D-PNP'!</v>
      </c>
      <c r="G57" s="32" t="s">
        <v>59</v>
      </c>
      <c r="H57" s="33">
        <f t="shared" si="13"/>
        <v>29</v>
      </c>
      <c r="I57" s="33" t="str">
        <f t="shared" si="2"/>
        <v>='C:\Users\jaime.benazar\Quorum Business Solutions\Ecopetrol Prometeo - Documents\Planning Space Implementation\3. Analysis &amp; Design\Design\FC22\DRR Jaime\QUIFA-CAJÚA\Cajua\[CAJUA_CF_SEC_New_27-Feb-2024Rev3.xlsx]D-PNP'!$BB$29</v>
      </c>
      <c r="J57" s="37" t="s">
        <v>2054</v>
      </c>
    </row>
    <row r="58" spans="1:10" x14ac:dyDescent="0.25">
      <c r="A58" s="32" t="s">
        <v>2</v>
      </c>
      <c r="B58" s="32">
        <f>+B57+1</f>
        <v>2041</v>
      </c>
      <c r="C58" s="33" t="s">
        <v>51</v>
      </c>
      <c r="D58" s="34" t="s">
        <v>1999</v>
      </c>
      <c r="E58" s="35" t="str">
        <f t="shared" si="0"/>
        <v>PNP'!</v>
      </c>
      <c r="F58" s="34" t="str">
        <f t="shared" si="1"/>
        <v>C:\Users\jaime.benazar\Quorum Business Solutions\Ecopetrol Prometeo - Documents\Planning Space Implementation\3. Analysis &amp; Design\Design\FC22\DRR Jaime\QUIFA-CAJÚA\Cajua\[CAJUA_CF_SEC_New_27-Feb-2024Rev3.xlsx]D-PNP'!</v>
      </c>
      <c r="G58" s="32" t="s">
        <v>59</v>
      </c>
      <c r="H58" s="33">
        <f t="shared" si="13"/>
        <v>30</v>
      </c>
      <c r="I58" s="33" t="str">
        <f t="shared" si="2"/>
        <v>='C:\Users\jaime.benazar\Quorum Business Solutions\Ecopetrol Prometeo - Documents\Planning Space Implementation\3. Analysis &amp; Design\Design\FC22\DRR Jaime\QUIFA-CAJÚA\Cajua\[CAJUA_CF_SEC_New_27-Feb-2024Rev3.xlsx]D-PNP'!$BB$30</v>
      </c>
      <c r="J58" s="37" t="s">
        <v>2055</v>
      </c>
    </row>
    <row r="59" spans="1:10" x14ac:dyDescent="0.25">
      <c r="A59" s="32" t="s">
        <v>2</v>
      </c>
      <c r="B59" s="32">
        <f t="shared" ref="B59:B60" si="19">+B58+1</f>
        <v>2042</v>
      </c>
      <c r="C59" s="33" t="s">
        <v>51</v>
      </c>
      <c r="D59" s="34" t="s">
        <v>1999</v>
      </c>
      <c r="E59" s="35" t="str">
        <f t="shared" si="0"/>
        <v>PNP'!</v>
      </c>
      <c r="F59" s="34" t="str">
        <f t="shared" si="1"/>
        <v>C:\Users\jaime.benazar\Quorum Business Solutions\Ecopetrol Prometeo - Documents\Planning Space Implementation\3. Analysis &amp; Design\Design\FC22\DRR Jaime\QUIFA-CAJÚA\Cajua\[CAJUA_CF_SEC_New_27-Feb-2024Rev3.xlsx]D-PNP'!</v>
      </c>
      <c r="G59" s="32" t="s">
        <v>59</v>
      </c>
      <c r="H59" s="33">
        <f t="shared" si="13"/>
        <v>31</v>
      </c>
      <c r="I59" s="33" t="str">
        <f t="shared" si="2"/>
        <v>='C:\Users\jaime.benazar\Quorum Business Solutions\Ecopetrol Prometeo - Documents\Planning Space Implementation\3. Analysis &amp; Design\Design\FC22\DRR Jaime\QUIFA-CAJÚA\Cajua\[CAJUA_CF_SEC_New_27-Feb-2024Rev3.xlsx]D-PNP'!$BB$31</v>
      </c>
      <c r="J59" s="37" t="s">
        <v>2056</v>
      </c>
    </row>
    <row r="60" spans="1:10" x14ac:dyDescent="0.25">
      <c r="A60" s="32" t="s">
        <v>2</v>
      </c>
      <c r="B60" s="32">
        <f t="shared" si="19"/>
        <v>2043</v>
      </c>
      <c r="C60" s="33" t="s">
        <v>51</v>
      </c>
      <c r="D60" s="34" t="s">
        <v>1999</v>
      </c>
      <c r="E60" s="35" t="str">
        <f t="shared" si="0"/>
        <v>PNP'!</v>
      </c>
      <c r="F60" s="34" t="str">
        <f t="shared" si="1"/>
        <v>C:\Users\jaime.benazar\Quorum Business Solutions\Ecopetrol Prometeo - Documents\Planning Space Implementation\3. Analysis &amp; Design\Design\FC22\DRR Jaime\QUIFA-CAJÚA\Cajua\[CAJUA_CF_SEC_New_27-Feb-2024Rev3.xlsx]D-PNP'!</v>
      </c>
      <c r="G60" s="32" t="s">
        <v>59</v>
      </c>
      <c r="H60" s="33">
        <f t="shared" si="13"/>
        <v>32</v>
      </c>
      <c r="I60" s="33" t="str">
        <f t="shared" si="2"/>
        <v>='C:\Users\jaime.benazar\Quorum Business Solutions\Ecopetrol Prometeo - Documents\Planning Space Implementation\3. Analysis &amp; Design\Design\FC22\DRR Jaime\QUIFA-CAJÚA\Cajua\[CAJUA_CF_SEC_New_27-Feb-2024Rev3.xlsx]D-PNP'!$BB$32</v>
      </c>
      <c r="J60" s="37" t="s">
        <v>2057</v>
      </c>
    </row>
    <row r="61" spans="1:10" x14ac:dyDescent="0.25">
      <c r="A61" s="32" t="s">
        <v>2</v>
      </c>
      <c r="B61" s="32">
        <f>+B60+1</f>
        <v>2044</v>
      </c>
      <c r="C61" s="33" t="s">
        <v>51</v>
      </c>
      <c r="D61" s="34" t="s">
        <v>1999</v>
      </c>
      <c r="E61" s="35" t="str">
        <f t="shared" ref="E61:E76" si="20">_xlfn.CONCAT(A61,"'!")</f>
        <v>PNP'!</v>
      </c>
      <c r="F61" s="34" t="str">
        <f t="shared" ref="F61:F76" si="21">_xlfn.CONCAT(D61:E61)</f>
        <v>C:\Users\jaime.benazar\Quorum Business Solutions\Ecopetrol Prometeo - Documents\Planning Space Implementation\3. Analysis &amp; Design\Design\FC22\DRR Jaime\QUIFA-CAJÚA\Cajua\[CAJUA_CF_SEC_New_27-Feb-2024Rev3.xlsx]D-PNP'!</v>
      </c>
      <c r="G61" s="32" t="s">
        <v>59</v>
      </c>
      <c r="H61" s="33">
        <f t="shared" ref="H61:H76" si="22">IF(A61&lt;&gt;A60,12,H60+1)</f>
        <v>33</v>
      </c>
      <c r="I61" s="33" t="str">
        <f t="shared" ref="I61:I76" si="23">_xlfn.CONCAT("='",F61:H61)</f>
        <v>='C:\Users\jaime.benazar\Quorum Business Solutions\Ecopetrol Prometeo - Documents\Planning Space Implementation\3. Analysis &amp; Design\Design\FC22\DRR Jaime\QUIFA-CAJÚA\Cajua\[CAJUA_CF_SEC_New_27-Feb-2024Rev3.xlsx]D-PNP'!$BB$33</v>
      </c>
      <c r="J61" s="37" t="s">
        <v>2058</v>
      </c>
    </row>
    <row r="62" spans="1:10" x14ac:dyDescent="0.25">
      <c r="A62" s="32" t="s">
        <v>2</v>
      </c>
      <c r="B62" s="32">
        <f t="shared" ref="B62:B76" si="24">+B61+1</f>
        <v>2045</v>
      </c>
      <c r="C62" s="33" t="s">
        <v>51</v>
      </c>
      <c r="D62" s="34" t="s">
        <v>1999</v>
      </c>
      <c r="E62" s="35" t="str">
        <f t="shared" si="20"/>
        <v>PNP'!</v>
      </c>
      <c r="F62" s="34" t="str">
        <f t="shared" si="21"/>
        <v>C:\Users\jaime.benazar\Quorum Business Solutions\Ecopetrol Prometeo - Documents\Planning Space Implementation\3. Analysis &amp; Design\Design\FC22\DRR Jaime\QUIFA-CAJÚA\Cajua\[CAJUA_CF_SEC_New_27-Feb-2024Rev3.xlsx]D-PNP'!</v>
      </c>
      <c r="G62" s="32" t="s">
        <v>59</v>
      </c>
      <c r="H62" s="33">
        <f t="shared" si="22"/>
        <v>34</v>
      </c>
      <c r="I62" s="33" t="str">
        <f t="shared" si="23"/>
        <v>='C:\Users\jaime.benazar\Quorum Business Solutions\Ecopetrol Prometeo - Documents\Planning Space Implementation\3. Analysis &amp; Design\Design\FC22\DRR Jaime\QUIFA-CAJÚA\Cajua\[CAJUA_CF_SEC_New_27-Feb-2024Rev3.xlsx]D-PNP'!$BB$34</v>
      </c>
      <c r="J62" s="37" t="s">
        <v>2059</v>
      </c>
    </row>
    <row r="63" spans="1:10" x14ac:dyDescent="0.25">
      <c r="A63" s="32" t="s">
        <v>2</v>
      </c>
      <c r="B63" s="32">
        <f t="shared" si="24"/>
        <v>2046</v>
      </c>
      <c r="C63" s="33" t="s">
        <v>51</v>
      </c>
      <c r="D63" s="34" t="s">
        <v>1999</v>
      </c>
      <c r="E63" s="35" t="str">
        <f t="shared" si="20"/>
        <v>PNP'!</v>
      </c>
      <c r="F63" s="34" t="str">
        <f t="shared" si="21"/>
        <v>C:\Users\jaime.benazar\Quorum Business Solutions\Ecopetrol Prometeo - Documents\Planning Space Implementation\3. Analysis &amp; Design\Design\FC22\DRR Jaime\QUIFA-CAJÚA\Cajua\[CAJUA_CF_SEC_New_27-Feb-2024Rev3.xlsx]D-PNP'!</v>
      </c>
      <c r="G63" s="32" t="s">
        <v>59</v>
      </c>
      <c r="H63" s="33">
        <f t="shared" si="22"/>
        <v>35</v>
      </c>
      <c r="I63" s="33" t="str">
        <f t="shared" si="23"/>
        <v>='C:\Users\jaime.benazar\Quorum Business Solutions\Ecopetrol Prometeo - Documents\Planning Space Implementation\3. Analysis &amp; Design\Design\FC22\DRR Jaime\QUIFA-CAJÚA\Cajua\[CAJUA_CF_SEC_New_27-Feb-2024Rev3.xlsx]D-PNP'!$BB$35</v>
      </c>
      <c r="J63" s="37" t="s">
        <v>2060</v>
      </c>
    </row>
    <row r="64" spans="1:10" x14ac:dyDescent="0.25">
      <c r="A64" s="32" t="s">
        <v>2</v>
      </c>
      <c r="B64" s="32">
        <f t="shared" si="24"/>
        <v>2047</v>
      </c>
      <c r="C64" s="33" t="s">
        <v>51</v>
      </c>
      <c r="D64" s="34" t="s">
        <v>1999</v>
      </c>
      <c r="E64" s="35" t="str">
        <f t="shared" si="20"/>
        <v>PNP'!</v>
      </c>
      <c r="F64" s="34" t="str">
        <f t="shared" si="21"/>
        <v>C:\Users\jaime.benazar\Quorum Business Solutions\Ecopetrol Prometeo - Documents\Planning Space Implementation\3. Analysis &amp; Design\Design\FC22\DRR Jaime\QUIFA-CAJÚA\Cajua\[CAJUA_CF_SEC_New_27-Feb-2024Rev3.xlsx]D-PNP'!</v>
      </c>
      <c r="G64" s="32" t="s">
        <v>59</v>
      </c>
      <c r="H64" s="33">
        <f t="shared" si="22"/>
        <v>36</v>
      </c>
      <c r="I64" s="33" t="str">
        <f t="shared" si="23"/>
        <v>='C:\Users\jaime.benazar\Quorum Business Solutions\Ecopetrol Prometeo - Documents\Planning Space Implementation\3. Analysis &amp; Design\Design\FC22\DRR Jaime\QUIFA-CAJÚA\Cajua\[CAJUA_CF_SEC_New_27-Feb-2024Rev3.xlsx]D-PNP'!$BB$36</v>
      </c>
      <c r="J64" s="37" t="s">
        <v>2061</v>
      </c>
    </row>
    <row r="65" spans="1:10" x14ac:dyDescent="0.25">
      <c r="A65" s="32" t="s">
        <v>2</v>
      </c>
      <c r="B65" s="32">
        <f t="shared" si="24"/>
        <v>2048</v>
      </c>
      <c r="C65" s="33" t="s">
        <v>51</v>
      </c>
      <c r="D65" s="34" t="s">
        <v>1999</v>
      </c>
      <c r="E65" s="35" t="str">
        <f t="shared" si="20"/>
        <v>PNP'!</v>
      </c>
      <c r="F65" s="34" t="str">
        <f t="shared" si="21"/>
        <v>C:\Users\jaime.benazar\Quorum Business Solutions\Ecopetrol Prometeo - Documents\Planning Space Implementation\3. Analysis &amp; Design\Design\FC22\DRR Jaime\QUIFA-CAJÚA\Cajua\[CAJUA_CF_SEC_New_27-Feb-2024Rev3.xlsx]D-PNP'!</v>
      </c>
      <c r="G65" s="32" t="s">
        <v>59</v>
      </c>
      <c r="H65" s="33">
        <f t="shared" si="22"/>
        <v>37</v>
      </c>
      <c r="I65" s="33" t="str">
        <f t="shared" si="23"/>
        <v>='C:\Users\jaime.benazar\Quorum Business Solutions\Ecopetrol Prometeo - Documents\Planning Space Implementation\3. Analysis &amp; Design\Design\FC22\DRR Jaime\QUIFA-CAJÚA\Cajua\[CAJUA_CF_SEC_New_27-Feb-2024Rev3.xlsx]D-PNP'!$BB$37</v>
      </c>
      <c r="J65" s="37" t="s">
        <v>2062</v>
      </c>
    </row>
    <row r="66" spans="1:10" x14ac:dyDescent="0.25">
      <c r="A66" s="32" t="s">
        <v>2</v>
      </c>
      <c r="B66" s="32">
        <f t="shared" si="24"/>
        <v>2049</v>
      </c>
      <c r="C66" s="33" t="s">
        <v>51</v>
      </c>
      <c r="D66" s="34" t="s">
        <v>1999</v>
      </c>
      <c r="E66" s="35" t="str">
        <f t="shared" si="20"/>
        <v>PNP'!</v>
      </c>
      <c r="F66" s="34" t="str">
        <f t="shared" si="21"/>
        <v>C:\Users\jaime.benazar\Quorum Business Solutions\Ecopetrol Prometeo - Documents\Planning Space Implementation\3. Analysis &amp; Design\Design\FC22\DRR Jaime\QUIFA-CAJÚA\Cajua\[CAJUA_CF_SEC_New_27-Feb-2024Rev3.xlsx]D-PNP'!</v>
      </c>
      <c r="G66" s="32" t="s">
        <v>59</v>
      </c>
      <c r="H66" s="33">
        <f t="shared" si="22"/>
        <v>38</v>
      </c>
      <c r="I66" s="33" t="str">
        <f t="shared" si="23"/>
        <v>='C:\Users\jaime.benazar\Quorum Business Solutions\Ecopetrol Prometeo - Documents\Planning Space Implementation\3. Analysis &amp; Design\Design\FC22\DRR Jaime\QUIFA-CAJÚA\Cajua\[CAJUA_CF_SEC_New_27-Feb-2024Rev3.xlsx]D-PNP'!$BB$38</v>
      </c>
      <c r="J66" s="37" t="s">
        <v>2063</v>
      </c>
    </row>
    <row r="67" spans="1:10" x14ac:dyDescent="0.25">
      <c r="A67" s="32" t="s">
        <v>2</v>
      </c>
      <c r="B67" s="32">
        <f t="shared" si="24"/>
        <v>2050</v>
      </c>
      <c r="C67" s="33" t="s">
        <v>51</v>
      </c>
      <c r="D67" s="34" t="s">
        <v>1999</v>
      </c>
      <c r="E67" s="35" t="str">
        <f t="shared" si="20"/>
        <v>PNP'!</v>
      </c>
      <c r="F67" s="34" t="str">
        <f t="shared" si="21"/>
        <v>C:\Users\jaime.benazar\Quorum Business Solutions\Ecopetrol Prometeo - Documents\Planning Space Implementation\3. Analysis &amp; Design\Design\FC22\DRR Jaime\QUIFA-CAJÚA\Cajua\[CAJUA_CF_SEC_New_27-Feb-2024Rev3.xlsx]D-PNP'!</v>
      </c>
      <c r="G67" s="32" t="s">
        <v>59</v>
      </c>
      <c r="H67" s="33">
        <f t="shared" si="22"/>
        <v>39</v>
      </c>
      <c r="I67" s="33" t="str">
        <f t="shared" si="23"/>
        <v>='C:\Users\jaime.benazar\Quorum Business Solutions\Ecopetrol Prometeo - Documents\Planning Space Implementation\3. Analysis &amp; Design\Design\FC22\DRR Jaime\QUIFA-CAJÚA\Cajua\[CAJUA_CF_SEC_New_27-Feb-2024Rev3.xlsx]D-PNP'!$BB$39</v>
      </c>
      <c r="J67" s="37" t="s">
        <v>2064</v>
      </c>
    </row>
    <row r="68" spans="1:10" x14ac:dyDescent="0.25">
      <c r="A68" s="32" t="s">
        <v>2</v>
      </c>
      <c r="B68" s="32">
        <f t="shared" si="24"/>
        <v>2051</v>
      </c>
      <c r="C68" s="33" t="s">
        <v>51</v>
      </c>
      <c r="D68" s="34" t="s">
        <v>1999</v>
      </c>
      <c r="E68" s="35" t="str">
        <f t="shared" si="20"/>
        <v>PNP'!</v>
      </c>
      <c r="F68" s="34" t="str">
        <f t="shared" si="21"/>
        <v>C:\Users\jaime.benazar\Quorum Business Solutions\Ecopetrol Prometeo - Documents\Planning Space Implementation\3. Analysis &amp; Design\Design\FC22\DRR Jaime\QUIFA-CAJÚA\Cajua\[CAJUA_CF_SEC_New_27-Feb-2024Rev3.xlsx]D-PNP'!</v>
      </c>
      <c r="G68" s="32" t="s">
        <v>59</v>
      </c>
      <c r="H68" s="33">
        <f t="shared" si="22"/>
        <v>40</v>
      </c>
      <c r="I68" s="33" t="str">
        <f t="shared" si="23"/>
        <v>='C:\Users\jaime.benazar\Quorum Business Solutions\Ecopetrol Prometeo - Documents\Planning Space Implementation\3. Analysis &amp; Design\Design\FC22\DRR Jaime\QUIFA-CAJÚA\Cajua\[CAJUA_CF_SEC_New_27-Feb-2024Rev3.xlsx]D-PNP'!$BB$40</v>
      </c>
      <c r="J68" s="37" t="s">
        <v>2065</v>
      </c>
    </row>
    <row r="69" spans="1:10" x14ac:dyDescent="0.25">
      <c r="A69" s="32" t="s">
        <v>2</v>
      </c>
      <c r="B69" s="32">
        <f t="shared" si="24"/>
        <v>2052</v>
      </c>
      <c r="C69" s="33" t="s">
        <v>51</v>
      </c>
      <c r="D69" s="34" t="s">
        <v>1999</v>
      </c>
      <c r="E69" s="35" t="str">
        <f t="shared" si="20"/>
        <v>PNP'!</v>
      </c>
      <c r="F69" s="34" t="str">
        <f t="shared" si="21"/>
        <v>C:\Users\jaime.benazar\Quorum Business Solutions\Ecopetrol Prometeo - Documents\Planning Space Implementation\3. Analysis &amp; Design\Design\FC22\DRR Jaime\QUIFA-CAJÚA\Cajua\[CAJUA_CF_SEC_New_27-Feb-2024Rev3.xlsx]D-PNP'!</v>
      </c>
      <c r="G69" s="32" t="s">
        <v>59</v>
      </c>
      <c r="H69" s="33">
        <f t="shared" si="22"/>
        <v>41</v>
      </c>
      <c r="I69" s="33" t="str">
        <f t="shared" si="23"/>
        <v>='C:\Users\jaime.benazar\Quorum Business Solutions\Ecopetrol Prometeo - Documents\Planning Space Implementation\3. Analysis &amp; Design\Design\FC22\DRR Jaime\QUIFA-CAJÚA\Cajua\[CAJUA_CF_SEC_New_27-Feb-2024Rev3.xlsx]D-PNP'!$BB$41</v>
      </c>
      <c r="J69" s="37" t="s">
        <v>2066</v>
      </c>
    </row>
    <row r="70" spans="1:10" x14ac:dyDescent="0.25">
      <c r="A70" s="32" t="s">
        <v>2</v>
      </c>
      <c r="B70" s="32">
        <f t="shared" si="24"/>
        <v>2053</v>
      </c>
      <c r="C70" s="33" t="s">
        <v>51</v>
      </c>
      <c r="D70" s="34" t="s">
        <v>1999</v>
      </c>
      <c r="E70" s="35" t="str">
        <f t="shared" si="20"/>
        <v>PNP'!</v>
      </c>
      <c r="F70" s="34" t="str">
        <f t="shared" si="21"/>
        <v>C:\Users\jaime.benazar\Quorum Business Solutions\Ecopetrol Prometeo - Documents\Planning Space Implementation\3. Analysis &amp; Design\Design\FC22\DRR Jaime\QUIFA-CAJÚA\Cajua\[CAJUA_CF_SEC_New_27-Feb-2024Rev3.xlsx]D-PNP'!</v>
      </c>
      <c r="G70" s="32" t="s">
        <v>59</v>
      </c>
      <c r="H70" s="33">
        <f t="shared" si="22"/>
        <v>42</v>
      </c>
      <c r="I70" s="33" t="str">
        <f t="shared" si="23"/>
        <v>='C:\Users\jaime.benazar\Quorum Business Solutions\Ecopetrol Prometeo - Documents\Planning Space Implementation\3. Analysis &amp; Design\Design\FC22\DRR Jaime\QUIFA-CAJÚA\Cajua\[CAJUA_CF_SEC_New_27-Feb-2024Rev3.xlsx]D-PNP'!$BB$42</v>
      </c>
      <c r="J70" s="37" t="s">
        <v>2067</v>
      </c>
    </row>
    <row r="71" spans="1:10" x14ac:dyDescent="0.25">
      <c r="A71" s="32" t="s">
        <v>2</v>
      </c>
      <c r="B71" s="32">
        <f t="shared" si="24"/>
        <v>2054</v>
      </c>
      <c r="C71" s="33" t="s">
        <v>51</v>
      </c>
      <c r="D71" s="34" t="s">
        <v>1999</v>
      </c>
      <c r="E71" s="35" t="str">
        <f t="shared" si="20"/>
        <v>PNP'!</v>
      </c>
      <c r="F71" s="34" t="str">
        <f t="shared" si="21"/>
        <v>C:\Users\jaime.benazar\Quorum Business Solutions\Ecopetrol Prometeo - Documents\Planning Space Implementation\3. Analysis &amp; Design\Design\FC22\DRR Jaime\QUIFA-CAJÚA\Cajua\[CAJUA_CF_SEC_New_27-Feb-2024Rev3.xlsx]D-PNP'!</v>
      </c>
      <c r="G71" s="32" t="s">
        <v>59</v>
      </c>
      <c r="H71" s="33">
        <f t="shared" si="22"/>
        <v>43</v>
      </c>
      <c r="I71" s="33" t="str">
        <f t="shared" si="23"/>
        <v>='C:\Users\jaime.benazar\Quorum Business Solutions\Ecopetrol Prometeo - Documents\Planning Space Implementation\3. Analysis &amp; Design\Design\FC22\DRR Jaime\QUIFA-CAJÚA\Cajua\[CAJUA_CF_SEC_New_27-Feb-2024Rev3.xlsx]D-PNP'!$BB$43</v>
      </c>
      <c r="J71" s="37" t="s">
        <v>2068</v>
      </c>
    </row>
    <row r="72" spans="1:10" x14ac:dyDescent="0.25">
      <c r="A72" s="32" t="s">
        <v>2</v>
      </c>
      <c r="B72" s="32">
        <f t="shared" si="24"/>
        <v>2055</v>
      </c>
      <c r="C72" s="33" t="s">
        <v>51</v>
      </c>
      <c r="D72" s="34" t="s">
        <v>1999</v>
      </c>
      <c r="E72" s="35" t="str">
        <f t="shared" si="20"/>
        <v>PNP'!</v>
      </c>
      <c r="F72" s="34" t="str">
        <f t="shared" si="21"/>
        <v>C:\Users\jaime.benazar\Quorum Business Solutions\Ecopetrol Prometeo - Documents\Planning Space Implementation\3. Analysis &amp; Design\Design\FC22\DRR Jaime\QUIFA-CAJÚA\Cajua\[CAJUA_CF_SEC_New_27-Feb-2024Rev3.xlsx]D-PNP'!</v>
      </c>
      <c r="G72" s="32" t="s">
        <v>59</v>
      </c>
      <c r="H72" s="33">
        <f t="shared" si="22"/>
        <v>44</v>
      </c>
      <c r="I72" s="33" t="str">
        <f t="shared" si="23"/>
        <v>='C:\Users\jaime.benazar\Quorum Business Solutions\Ecopetrol Prometeo - Documents\Planning Space Implementation\3. Analysis &amp; Design\Design\FC22\DRR Jaime\QUIFA-CAJÚA\Cajua\[CAJUA_CF_SEC_New_27-Feb-2024Rev3.xlsx]D-PNP'!$BB$44</v>
      </c>
      <c r="J72" s="37" t="s">
        <v>2069</v>
      </c>
    </row>
    <row r="73" spans="1:10" x14ac:dyDescent="0.25">
      <c r="A73" s="32" t="s">
        <v>2</v>
      </c>
      <c r="B73" s="32">
        <f t="shared" si="24"/>
        <v>2056</v>
      </c>
      <c r="C73" s="33" t="s">
        <v>51</v>
      </c>
      <c r="D73" s="34" t="s">
        <v>1999</v>
      </c>
      <c r="E73" s="35" t="str">
        <f t="shared" si="20"/>
        <v>PNP'!</v>
      </c>
      <c r="F73" s="34" t="str">
        <f t="shared" si="21"/>
        <v>C:\Users\jaime.benazar\Quorum Business Solutions\Ecopetrol Prometeo - Documents\Planning Space Implementation\3. Analysis &amp; Design\Design\FC22\DRR Jaime\QUIFA-CAJÚA\Cajua\[CAJUA_CF_SEC_New_27-Feb-2024Rev3.xlsx]D-PNP'!</v>
      </c>
      <c r="G73" s="32" t="s">
        <v>59</v>
      </c>
      <c r="H73" s="33">
        <f t="shared" si="22"/>
        <v>45</v>
      </c>
      <c r="I73" s="33" t="str">
        <f t="shared" si="23"/>
        <v>='C:\Users\jaime.benazar\Quorum Business Solutions\Ecopetrol Prometeo - Documents\Planning Space Implementation\3. Analysis &amp; Design\Design\FC22\DRR Jaime\QUIFA-CAJÚA\Cajua\[CAJUA_CF_SEC_New_27-Feb-2024Rev3.xlsx]D-PNP'!$BB$45</v>
      </c>
      <c r="J73" s="37" t="s">
        <v>2070</v>
      </c>
    </row>
    <row r="74" spans="1:10" x14ac:dyDescent="0.25">
      <c r="A74" s="32" t="s">
        <v>2</v>
      </c>
      <c r="B74" s="32">
        <f t="shared" si="24"/>
        <v>2057</v>
      </c>
      <c r="C74" s="33" t="s">
        <v>51</v>
      </c>
      <c r="D74" s="34" t="s">
        <v>1999</v>
      </c>
      <c r="E74" s="35" t="str">
        <f t="shared" si="20"/>
        <v>PNP'!</v>
      </c>
      <c r="F74" s="34" t="str">
        <f t="shared" si="21"/>
        <v>C:\Users\jaime.benazar\Quorum Business Solutions\Ecopetrol Prometeo - Documents\Planning Space Implementation\3. Analysis &amp; Design\Design\FC22\DRR Jaime\QUIFA-CAJÚA\Cajua\[CAJUA_CF_SEC_New_27-Feb-2024Rev3.xlsx]D-PNP'!</v>
      </c>
      <c r="G74" s="32" t="s">
        <v>59</v>
      </c>
      <c r="H74" s="33">
        <f t="shared" si="22"/>
        <v>46</v>
      </c>
      <c r="I74" s="33" t="str">
        <f t="shared" si="23"/>
        <v>='C:\Users\jaime.benazar\Quorum Business Solutions\Ecopetrol Prometeo - Documents\Planning Space Implementation\3. Analysis &amp; Design\Design\FC22\DRR Jaime\QUIFA-CAJÚA\Cajua\[CAJUA_CF_SEC_New_27-Feb-2024Rev3.xlsx]D-PNP'!$BB$46</v>
      </c>
      <c r="J74" s="37" t="s">
        <v>2071</v>
      </c>
    </row>
    <row r="75" spans="1:10" x14ac:dyDescent="0.25">
      <c r="A75" s="32" t="s">
        <v>2</v>
      </c>
      <c r="B75" s="32">
        <f t="shared" si="24"/>
        <v>2058</v>
      </c>
      <c r="C75" s="33" t="s">
        <v>51</v>
      </c>
      <c r="D75" s="34" t="s">
        <v>1999</v>
      </c>
      <c r="E75" s="35" t="str">
        <f t="shared" si="20"/>
        <v>PNP'!</v>
      </c>
      <c r="F75" s="34" t="str">
        <f t="shared" si="21"/>
        <v>C:\Users\jaime.benazar\Quorum Business Solutions\Ecopetrol Prometeo - Documents\Planning Space Implementation\3. Analysis &amp; Design\Design\FC22\DRR Jaime\QUIFA-CAJÚA\Cajua\[CAJUA_CF_SEC_New_27-Feb-2024Rev3.xlsx]D-PNP'!</v>
      </c>
      <c r="G75" s="32" t="s">
        <v>59</v>
      </c>
      <c r="H75" s="33">
        <f t="shared" si="22"/>
        <v>47</v>
      </c>
      <c r="I75" s="33" t="str">
        <f t="shared" si="23"/>
        <v>='C:\Users\jaime.benazar\Quorum Business Solutions\Ecopetrol Prometeo - Documents\Planning Space Implementation\3. Analysis &amp; Design\Design\FC22\DRR Jaime\QUIFA-CAJÚA\Cajua\[CAJUA_CF_SEC_New_27-Feb-2024Rev3.xlsx]D-PNP'!$BB$47</v>
      </c>
      <c r="J75" s="37" t="s">
        <v>2072</v>
      </c>
    </row>
    <row r="76" spans="1:10" x14ac:dyDescent="0.25">
      <c r="A76" s="32" t="s">
        <v>2</v>
      </c>
      <c r="B76" s="32">
        <f t="shared" si="24"/>
        <v>2059</v>
      </c>
      <c r="C76" s="33" t="s">
        <v>51</v>
      </c>
      <c r="D76" s="34" t="s">
        <v>1999</v>
      </c>
      <c r="E76" s="35" t="str">
        <f t="shared" si="20"/>
        <v>PNP'!</v>
      </c>
      <c r="F76" s="34" t="str">
        <f t="shared" si="21"/>
        <v>C:\Users\jaime.benazar\Quorum Business Solutions\Ecopetrol Prometeo - Documents\Planning Space Implementation\3. Analysis &amp; Design\Design\FC22\DRR Jaime\QUIFA-CAJÚA\Cajua\[CAJUA_CF_SEC_New_27-Feb-2024Rev3.xlsx]D-PNP'!</v>
      </c>
      <c r="G76" s="32" t="s">
        <v>59</v>
      </c>
      <c r="H76" s="33">
        <f t="shared" si="22"/>
        <v>48</v>
      </c>
      <c r="I76" s="33" t="str">
        <f t="shared" si="23"/>
        <v>='C:\Users\jaime.benazar\Quorum Business Solutions\Ecopetrol Prometeo - Documents\Planning Space Implementation\3. Analysis &amp; Design\Design\FC22\DRR Jaime\QUIFA-CAJÚA\Cajua\[CAJUA_CF_SEC_New_27-Feb-2024Rev3.xlsx]D-PNP'!$BB$48</v>
      </c>
      <c r="J76" s="37" t="s">
        <v>2073</v>
      </c>
    </row>
    <row r="77" spans="1:10" x14ac:dyDescent="0.25">
      <c r="A77" s="32" t="s">
        <v>28</v>
      </c>
      <c r="B77" s="32"/>
      <c r="C77" s="33" t="s">
        <v>51</v>
      </c>
      <c r="D77" s="34"/>
      <c r="E77" s="35"/>
      <c r="F77" s="34"/>
      <c r="G77" s="32"/>
      <c r="H77" s="33"/>
      <c r="I77" s="33"/>
      <c r="J77" s="33"/>
    </row>
    <row r="78" spans="1:10" x14ac:dyDescent="0.25">
      <c r="A78" s="32" t="s">
        <v>3</v>
      </c>
      <c r="B78" s="32">
        <v>2023</v>
      </c>
      <c r="C78" s="33" t="s">
        <v>51</v>
      </c>
      <c r="D78" s="34" t="s">
        <v>1999</v>
      </c>
      <c r="E78" s="35" t="str">
        <f t="shared" si="0"/>
        <v>PND'!</v>
      </c>
      <c r="F78" s="34" t="str">
        <f t="shared" si="1"/>
        <v>C:\Users\jaime.benazar\Quorum Business Solutions\Ecopetrol Prometeo - Documents\Planning Space Implementation\3. Analysis &amp; Design\Design\FC22\DRR Jaime\QUIFA-CAJÚA\Cajua\[CAJUA_CF_SEC_New_27-Feb-2024Rev3.xlsx]D-PND'!</v>
      </c>
      <c r="G78" s="32" t="s">
        <v>59</v>
      </c>
      <c r="H78" s="33">
        <v>12</v>
      </c>
      <c r="I78" s="33" t="str">
        <f t="shared" si="2"/>
        <v>='C:\Users\jaime.benazar\Quorum Business Solutions\Ecopetrol Prometeo - Documents\Planning Space Implementation\3. Analysis &amp; Design\Design\FC22\DRR Jaime\QUIFA-CAJÚA\Cajua\[CAJUA_CF_SEC_New_27-Feb-2024Rev3.xlsx]D-PND'!$BB$12</v>
      </c>
      <c r="J78" s="37" t="s">
        <v>2074</v>
      </c>
    </row>
    <row r="79" spans="1:10" x14ac:dyDescent="0.25">
      <c r="A79" s="32" t="s">
        <v>3</v>
      </c>
      <c r="B79" s="32">
        <f>+B78+1</f>
        <v>2024</v>
      </c>
      <c r="C79" s="33" t="s">
        <v>51</v>
      </c>
      <c r="D79" s="34" t="s">
        <v>1999</v>
      </c>
      <c r="E79" s="35" t="str">
        <f t="shared" si="0"/>
        <v>PND'!</v>
      </c>
      <c r="F79" s="34" t="str">
        <f t="shared" si="1"/>
        <v>C:\Users\jaime.benazar\Quorum Business Solutions\Ecopetrol Prometeo - Documents\Planning Space Implementation\3. Analysis &amp; Design\Design\FC22\DRR Jaime\QUIFA-CAJÚA\Cajua\[CAJUA_CF_SEC_New_27-Feb-2024Rev3.xlsx]D-PND'!</v>
      </c>
      <c r="G79" s="32" t="s">
        <v>59</v>
      </c>
      <c r="H79" s="33">
        <f>IF(A79&lt;&gt;A78,12,H78+1)</f>
        <v>13</v>
      </c>
      <c r="I79" s="33" t="str">
        <f t="shared" si="2"/>
        <v>='C:\Users\jaime.benazar\Quorum Business Solutions\Ecopetrol Prometeo - Documents\Planning Space Implementation\3. Analysis &amp; Design\Design\FC22\DRR Jaime\QUIFA-CAJÚA\Cajua\[CAJUA_CF_SEC_New_27-Feb-2024Rev3.xlsx]D-PND'!$BB$13</v>
      </c>
      <c r="J79" s="37" t="s">
        <v>2075</v>
      </c>
    </row>
    <row r="80" spans="1:10" x14ac:dyDescent="0.25">
      <c r="A80" s="32" t="s">
        <v>3</v>
      </c>
      <c r="B80" s="32">
        <f t="shared" ref="B80:B91" si="25">+B79+1</f>
        <v>2025</v>
      </c>
      <c r="C80" s="33" t="s">
        <v>51</v>
      </c>
      <c r="D80" s="34" t="s">
        <v>1999</v>
      </c>
      <c r="E80" s="35" t="str">
        <f t="shared" si="0"/>
        <v>PND'!</v>
      </c>
      <c r="F80" s="34" t="str">
        <f t="shared" si="1"/>
        <v>C:\Users\jaime.benazar\Quorum Business Solutions\Ecopetrol Prometeo - Documents\Planning Space Implementation\3. Analysis &amp; Design\Design\FC22\DRR Jaime\QUIFA-CAJÚA\Cajua\[CAJUA_CF_SEC_New_27-Feb-2024Rev3.xlsx]D-PND'!</v>
      </c>
      <c r="G80" s="32" t="s">
        <v>59</v>
      </c>
      <c r="H80" s="33">
        <f t="shared" ref="H80:H98" si="26">IF(A80&lt;&gt;A79,12,H79+1)</f>
        <v>14</v>
      </c>
      <c r="I80" s="33" t="str">
        <f t="shared" si="2"/>
        <v>='C:\Users\jaime.benazar\Quorum Business Solutions\Ecopetrol Prometeo - Documents\Planning Space Implementation\3. Analysis &amp; Design\Design\FC22\DRR Jaime\QUIFA-CAJÚA\Cajua\[CAJUA_CF_SEC_New_27-Feb-2024Rev3.xlsx]D-PND'!$BB$14</v>
      </c>
      <c r="J80" s="37" t="s">
        <v>2076</v>
      </c>
    </row>
    <row r="81" spans="1:10" x14ac:dyDescent="0.25">
      <c r="A81" s="32" t="s">
        <v>3</v>
      </c>
      <c r="B81" s="32">
        <f t="shared" si="25"/>
        <v>2026</v>
      </c>
      <c r="C81" s="33" t="s">
        <v>51</v>
      </c>
      <c r="D81" s="34" t="s">
        <v>1999</v>
      </c>
      <c r="E81" s="35" t="str">
        <f t="shared" si="0"/>
        <v>PND'!</v>
      </c>
      <c r="F81" s="34" t="str">
        <f t="shared" si="1"/>
        <v>C:\Users\jaime.benazar\Quorum Business Solutions\Ecopetrol Prometeo - Documents\Planning Space Implementation\3. Analysis &amp; Design\Design\FC22\DRR Jaime\QUIFA-CAJÚA\Cajua\[CAJUA_CF_SEC_New_27-Feb-2024Rev3.xlsx]D-PND'!</v>
      </c>
      <c r="G81" s="32" t="s">
        <v>59</v>
      </c>
      <c r="H81" s="33">
        <f t="shared" si="26"/>
        <v>15</v>
      </c>
      <c r="I81" s="33" t="str">
        <f t="shared" si="2"/>
        <v>='C:\Users\jaime.benazar\Quorum Business Solutions\Ecopetrol Prometeo - Documents\Planning Space Implementation\3. Analysis &amp; Design\Design\FC22\DRR Jaime\QUIFA-CAJÚA\Cajua\[CAJUA_CF_SEC_New_27-Feb-2024Rev3.xlsx]D-PND'!$BB$15</v>
      </c>
      <c r="J81" s="37" t="s">
        <v>2077</v>
      </c>
    </row>
    <row r="82" spans="1:10" x14ac:dyDescent="0.25">
      <c r="A82" s="32" t="s">
        <v>3</v>
      </c>
      <c r="B82" s="32">
        <f t="shared" si="25"/>
        <v>2027</v>
      </c>
      <c r="C82" s="33" t="s">
        <v>51</v>
      </c>
      <c r="D82" s="34" t="s">
        <v>1999</v>
      </c>
      <c r="E82" s="35" t="str">
        <f t="shared" si="0"/>
        <v>PND'!</v>
      </c>
      <c r="F82" s="34" t="str">
        <f t="shared" si="1"/>
        <v>C:\Users\jaime.benazar\Quorum Business Solutions\Ecopetrol Prometeo - Documents\Planning Space Implementation\3. Analysis &amp; Design\Design\FC22\DRR Jaime\QUIFA-CAJÚA\Cajua\[CAJUA_CF_SEC_New_27-Feb-2024Rev3.xlsx]D-PND'!</v>
      </c>
      <c r="G82" s="32" t="s">
        <v>59</v>
      </c>
      <c r="H82" s="33">
        <f t="shared" si="26"/>
        <v>16</v>
      </c>
      <c r="I82" s="33" t="str">
        <f t="shared" si="2"/>
        <v>='C:\Users\jaime.benazar\Quorum Business Solutions\Ecopetrol Prometeo - Documents\Planning Space Implementation\3. Analysis &amp; Design\Design\FC22\DRR Jaime\QUIFA-CAJÚA\Cajua\[CAJUA_CF_SEC_New_27-Feb-2024Rev3.xlsx]D-PND'!$BB$16</v>
      </c>
      <c r="J82" s="37" t="s">
        <v>2078</v>
      </c>
    </row>
    <row r="83" spans="1:10" x14ac:dyDescent="0.25">
      <c r="A83" s="32" t="s">
        <v>3</v>
      </c>
      <c r="B83" s="32">
        <f t="shared" si="25"/>
        <v>2028</v>
      </c>
      <c r="C83" s="33" t="s">
        <v>51</v>
      </c>
      <c r="D83" s="34" t="s">
        <v>1999</v>
      </c>
      <c r="E83" s="35" t="str">
        <f t="shared" si="0"/>
        <v>PND'!</v>
      </c>
      <c r="F83" s="34" t="str">
        <f t="shared" si="1"/>
        <v>C:\Users\jaime.benazar\Quorum Business Solutions\Ecopetrol Prometeo - Documents\Planning Space Implementation\3. Analysis &amp; Design\Design\FC22\DRR Jaime\QUIFA-CAJÚA\Cajua\[CAJUA_CF_SEC_New_27-Feb-2024Rev3.xlsx]D-PND'!</v>
      </c>
      <c r="G83" s="32" t="s">
        <v>59</v>
      </c>
      <c r="H83" s="33">
        <f t="shared" si="26"/>
        <v>17</v>
      </c>
      <c r="I83" s="33" t="str">
        <f t="shared" si="2"/>
        <v>='C:\Users\jaime.benazar\Quorum Business Solutions\Ecopetrol Prometeo - Documents\Planning Space Implementation\3. Analysis &amp; Design\Design\FC22\DRR Jaime\QUIFA-CAJÚA\Cajua\[CAJUA_CF_SEC_New_27-Feb-2024Rev3.xlsx]D-PND'!$BB$17</v>
      </c>
      <c r="J83" s="37" t="s">
        <v>2079</v>
      </c>
    </row>
    <row r="84" spans="1:10" x14ac:dyDescent="0.25">
      <c r="A84" s="32" t="s">
        <v>3</v>
      </c>
      <c r="B84" s="32">
        <f t="shared" si="25"/>
        <v>2029</v>
      </c>
      <c r="C84" s="33" t="s">
        <v>51</v>
      </c>
      <c r="D84" s="34" t="s">
        <v>1999</v>
      </c>
      <c r="E84" s="35" t="str">
        <f t="shared" si="0"/>
        <v>PND'!</v>
      </c>
      <c r="F84" s="34" t="str">
        <f t="shared" si="1"/>
        <v>C:\Users\jaime.benazar\Quorum Business Solutions\Ecopetrol Prometeo - Documents\Planning Space Implementation\3. Analysis &amp; Design\Design\FC22\DRR Jaime\QUIFA-CAJÚA\Cajua\[CAJUA_CF_SEC_New_27-Feb-2024Rev3.xlsx]D-PND'!</v>
      </c>
      <c r="G84" s="32" t="s">
        <v>59</v>
      </c>
      <c r="H84" s="33">
        <f t="shared" si="26"/>
        <v>18</v>
      </c>
      <c r="I84" s="33" t="str">
        <f t="shared" si="2"/>
        <v>='C:\Users\jaime.benazar\Quorum Business Solutions\Ecopetrol Prometeo - Documents\Planning Space Implementation\3. Analysis &amp; Design\Design\FC22\DRR Jaime\QUIFA-CAJÚA\Cajua\[CAJUA_CF_SEC_New_27-Feb-2024Rev3.xlsx]D-PND'!$BB$18</v>
      </c>
      <c r="J84" s="37" t="s">
        <v>2080</v>
      </c>
    </row>
    <row r="85" spans="1:10" x14ac:dyDescent="0.25">
      <c r="A85" s="32" t="s">
        <v>3</v>
      </c>
      <c r="B85" s="32">
        <f t="shared" si="25"/>
        <v>2030</v>
      </c>
      <c r="C85" s="33" t="s">
        <v>51</v>
      </c>
      <c r="D85" s="34" t="s">
        <v>1999</v>
      </c>
      <c r="E85" s="35" t="str">
        <f t="shared" si="0"/>
        <v>PND'!</v>
      </c>
      <c r="F85" s="34" t="str">
        <f t="shared" si="1"/>
        <v>C:\Users\jaime.benazar\Quorum Business Solutions\Ecopetrol Prometeo - Documents\Planning Space Implementation\3. Analysis &amp; Design\Design\FC22\DRR Jaime\QUIFA-CAJÚA\Cajua\[CAJUA_CF_SEC_New_27-Feb-2024Rev3.xlsx]D-PND'!</v>
      </c>
      <c r="G85" s="32" t="s">
        <v>59</v>
      </c>
      <c r="H85" s="33">
        <f t="shared" si="26"/>
        <v>19</v>
      </c>
      <c r="I85" s="33" t="str">
        <f t="shared" si="2"/>
        <v>='C:\Users\jaime.benazar\Quorum Business Solutions\Ecopetrol Prometeo - Documents\Planning Space Implementation\3. Analysis &amp; Design\Design\FC22\DRR Jaime\QUIFA-CAJÚA\Cajua\[CAJUA_CF_SEC_New_27-Feb-2024Rev3.xlsx]D-PND'!$BB$19</v>
      </c>
      <c r="J85" s="37" t="s">
        <v>2081</v>
      </c>
    </row>
    <row r="86" spans="1:10" x14ac:dyDescent="0.25">
      <c r="A86" s="32" t="s">
        <v>3</v>
      </c>
      <c r="B86" s="32">
        <f t="shared" si="25"/>
        <v>2031</v>
      </c>
      <c r="C86" s="33" t="s">
        <v>51</v>
      </c>
      <c r="D86" s="34" t="s">
        <v>1999</v>
      </c>
      <c r="E86" s="35" t="str">
        <f t="shared" si="0"/>
        <v>PND'!</v>
      </c>
      <c r="F86" s="34" t="str">
        <f t="shared" si="1"/>
        <v>C:\Users\jaime.benazar\Quorum Business Solutions\Ecopetrol Prometeo - Documents\Planning Space Implementation\3. Analysis &amp; Design\Design\FC22\DRR Jaime\QUIFA-CAJÚA\Cajua\[CAJUA_CF_SEC_New_27-Feb-2024Rev3.xlsx]D-PND'!</v>
      </c>
      <c r="G86" s="32" t="s">
        <v>59</v>
      </c>
      <c r="H86" s="33">
        <f t="shared" si="26"/>
        <v>20</v>
      </c>
      <c r="I86" s="33" t="str">
        <f t="shared" si="2"/>
        <v>='C:\Users\jaime.benazar\Quorum Business Solutions\Ecopetrol Prometeo - Documents\Planning Space Implementation\3. Analysis &amp; Design\Design\FC22\DRR Jaime\QUIFA-CAJÚA\Cajua\[CAJUA_CF_SEC_New_27-Feb-2024Rev3.xlsx]D-PND'!$BB$20</v>
      </c>
      <c r="J86" s="37" t="s">
        <v>2082</v>
      </c>
    </row>
    <row r="87" spans="1:10" x14ac:dyDescent="0.25">
      <c r="A87" s="32" t="s">
        <v>3</v>
      </c>
      <c r="B87" s="32">
        <f t="shared" si="25"/>
        <v>2032</v>
      </c>
      <c r="C87" s="33" t="s">
        <v>51</v>
      </c>
      <c r="D87" s="34" t="s">
        <v>1999</v>
      </c>
      <c r="E87" s="35" t="str">
        <f t="shared" si="0"/>
        <v>PND'!</v>
      </c>
      <c r="F87" s="34" t="str">
        <f t="shared" si="1"/>
        <v>C:\Users\jaime.benazar\Quorum Business Solutions\Ecopetrol Prometeo - Documents\Planning Space Implementation\3. Analysis &amp; Design\Design\FC22\DRR Jaime\QUIFA-CAJÚA\Cajua\[CAJUA_CF_SEC_New_27-Feb-2024Rev3.xlsx]D-PND'!</v>
      </c>
      <c r="G87" s="32" t="s">
        <v>59</v>
      </c>
      <c r="H87" s="33">
        <f t="shared" si="26"/>
        <v>21</v>
      </c>
      <c r="I87" s="33" t="str">
        <f t="shared" si="2"/>
        <v>='C:\Users\jaime.benazar\Quorum Business Solutions\Ecopetrol Prometeo - Documents\Planning Space Implementation\3. Analysis &amp; Design\Design\FC22\DRR Jaime\QUIFA-CAJÚA\Cajua\[CAJUA_CF_SEC_New_27-Feb-2024Rev3.xlsx]D-PND'!$BB$21</v>
      </c>
      <c r="J87" s="37" t="s">
        <v>2083</v>
      </c>
    </row>
    <row r="88" spans="1:10" x14ac:dyDescent="0.25">
      <c r="A88" s="32" t="s">
        <v>3</v>
      </c>
      <c r="B88" s="32">
        <f t="shared" si="25"/>
        <v>2033</v>
      </c>
      <c r="C88" s="33" t="s">
        <v>51</v>
      </c>
      <c r="D88" s="34" t="s">
        <v>1999</v>
      </c>
      <c r="E88" s="35" t="str">
        <f t="shared" si="0"/>
        <v>PND'!</v>
      </c>
      <c r="F88" s="34" t="str">
        <f t="shared" si="1"/>
        <v>C:\Users\jaime.benazar\Quorum Business Solutions\Ecopetrol Prometeo - Documents\Planning Space Implementation\3. Analysis &amp; Design\Design\FC22\DRR Jaime\QUIFA-CAJÚA\Cajua\[CAJUA_CF_SEC_New_27-Feb-2024Rev3.xlsx]D-PND'!</v>
      </c>
      <c r="G88" s="32" t="s">
        <v>59</v>
      </c>
      <c r="H88" s="33">
        <f t="shared" si="26"/>
        <v>22</v>
      </c>
      <c r="I88" s="33" t="str">
        <f t="shared" si="2"/>
        <v>='C:\Users\jaime.benazar\Quorum Business Solutions\Ecopetrol Prometeo - Documents\Planning Space Implementation\3. Analysis &amp; Design\Design\FC22\DRR Jaime\QUIFA-CAJÚA\Cajua\[CAJUA_CF_SEC_New_27-Feb-2024Rev3.xlsx]D-PND'!$BB$22</v>
      </c>
      <c r="J88" s="37" t="s">
        <v>2084</v>
      </c>
    </row>
    <row r="89" spans="1:10" x14ac:dyDescent="0.25">
      <c r="A89" s="32" t="s">
        <v>3</v>
      </c>
      <c r="B89" s="32">
        <f t="shared" si="25"/>
        <v>2034</v>
      </c>
      <c r="C89" s="33" t="s">
        <v>51</v>
      </c>
      <c r="D89" s="34" t="s">
        <v>1999</v>
      </c>
      <c r="E89" s="35" t="str">
        <f t="shared" si="0"/>
        <v>PND'!</v>
      </c>
      <c r="F89" s="34" t="str">
        <f t="shared" si="1"/>
        <v>C:\Users\jaime.benazar\Quorum Business Solutions\Ecopetrol Prometeo - Documents\Planning Space Implementation\3. Analysis &amp; Design\Design\FC22\DRR Jaime\QUIFA-CAJÚA\Cajua\[CAJUA_CF_SEC_New_27-Feb-2024Rev3.xlsx]D-PND'!</v>
      </c>
      <c r="G89" s="32" t="s">
        <v>59</v>
      </c>
      <c r="H89" s="33">
        <f t="shared" si="26"/>
        <v>23</v>
      </c>
      <c r="I89" s="33" t="str">
        <f t="shared" si="2"/>
        <v>='C:\Users\jaime.benazar\Quorum Business Solutions\Ecopetrol Prometeo - Documents\Planning Space Implementation\3. Analysis &amp; Design\Design\FC22\DRR Jaime\QUIFA-CAJÚA\Cajua\[CAJUA_CF_SEC_New_27-Feb-2024Rev3.xlsx]D-PND'!$BB$23</v>
      </c>
      <c r="J89" s="37" t="s">
        <v>2085</v>
      </c>
    </row>
    <row r="90" spans="1:10" x14ac:dyDescent="0.25">
      <c r="A90" s="32" t="s">
        <v>3</v>
      </c>
      <c r="B90" s="32">
        <f t="shared" si="25"/>
        <v>2035</v>
      </c>
      <c r="C90" s="33" t="s">
        <v>51</v>
      </c>
      <c r="D90" s="34" t="s">
        <v>1999</v>
      </c>
      <c r="E90" s="35" t="str">
        <f t="shared" si="0"/>
        <v>PND'!</v>
      </c>
      <c r="F90" s="34" t="str">
        <f t="shared" si="1"/>
        <v>C:\Users\jaime.benazar\Quorum Business Solutions\Ecopetrol Prometeo - Documents\Planning Space Implementation\3. Analysis &amp; Design\Design\FC22\DRR Jaime\QUIFA-CAJÚA\Cajua\[CAJUA_CF_SEC_New_27-Feb-2024Rev3.xlsx]D-PND'!</v>
      </c>
      <c r="G90" s="32" t="s">
        <v>59</v>
      </c>
      <c r="H90" s="33">
        <f t="shared" si="26"/>
        <v>24</v>
      </c>
      <c r="I90" s="33" t="str">
        <f t="shared" si="2"/>
        <v>='C:\Users\jaime.benazar\Quorum Business Solutions\Ecopetrol Prometeo - Documents\Planning Space Implementation\3. Analysis &amp; Design\Design\FC22\DRR Jaime\QUIFA-CAJÚA\Cajua\[CAJUA_CF_SEC_New_27-Feb-2024Rev3.xlsx]D-PND'!$BB$24</v>
      </c>
      <c r="J90" s="37" t="s">
        <v>2086</v>
      </c>
    </row>
    <row r="91" spans="1:10" x14ac:dyDescent="0.25">
      <c r="A91" s="32" t="s">
        <v>3</v>
      </c>
      <c r="B91" s="32">
        <f t="shared" si="25"/>
        <v>2036</v>
      </c>
      <c r="C91" s="33" t="s">
        <v>51</v>
      </c>
      <c r="D91" s="34" t="s">
        <v>1999</v>
      </c>
      <c r="E91" s="35" t="str">
        <f t="shared" si="0"/>
        <v>PND'!</v>
      </c>
      <c r="F91" s="34" t="str">
        <f t="shared" si="1"/>
        <v>C:\Users\jaime.benazar\Quorum Business Solutions\Ecopetrol Prometeo - Documents\Planning Space Implementation\3. Analysis &amp; Design\Design\FC22\DRR Jaime\QUIFA-CAJÚA\Cajua\[CAJUA_CF_SEC_New_27-Feb-2024Rev3.xlsx]D-PND'!</v>
      </c>
      <c r="G91" s="32" t="s">
        <v>59</v>
      </c>
      <c r="H91" s="33">
        <f t="shared" si="26"/>
        <v>25</v>
      </c>
      <c r="I91" s="33" t="str">
        <f t="shared" si="2"/>
        <v>='C:\Users\jaime.benazar\Quorum Business Solutions\Ecopetrol Prometeo - Documents\Planning Space Implementation\3. Analysis &amp; Design\Design\FC22\DRR Jaime\QUIFA-CAJÚA\Cajua\[CAJUA_CF_SEC_New_27-Feb-2024Rev3.xlsx]D-PND'!$BB$25</v>
      </c>
      <c r="J91" s="37" t="s">
        <v>2087</v>
      </c>
    </row>
    <row r="92" spans="1:10" x14ac:dyDescent="0.25">
      <c r="A92" s="32" t="s">
        <v>3</v>
      </c>
      <c r="B92" s="32">
        <f>+B91+1</f>
        <v>2037</v>
      </c>
      <c r="C92" s="33" t="s">
        <v>51</v>
      </c>
      <c r="D92" s="34" t="s">
        <v>1999</v>
      </c>
      <c r="E92" s="35" t="str">
        <f t="shared" si="0"/>
        <v>PND'!</v>
      </c>
      <c r="F92" s="34" t="str">
        <f t="shared" si="1"/>
        <v>C:\Users\jaime.benazar\Quorum Business Solutions\Ecopetrol Prometeo - Documents\Planning Space Implementation\3. Analysis &amp; Design\Design\FC22\DRR Jaime\QUIFA-CAJÚA\Cajua\[CAJUA_CF_SEC_New_27-Feb-2024Rev3.xlsx]D-PND'!</v>
      </c>
      <c r="G92" s="32" t="s">
        <v>59</v>
      </c>
      <c r="H92" s="33">
        <f t="shared" si="26"/>
        <v>26</v>
      </c>
      <c r="I92" s="33" t="str">
        <f t="shared" si="2"/>
        <v>='C:\Users\jaime.benazar\Quorum Business Solutions\Ecopetrol Prometeo - Documents\Planning Space Implementation\3. Analysis &amp; Design\Design\FC22\DRR Jaime\QUIFA-CAJÚA\Cajua\[CAJUA_CF_SEC_New_27-Feb-2024Rev3.xlsx]D-PND'!$BB$26</v>
      </c>
      <c r="J92" s="37" t="s">
        <v>2088</v>
      </c>
    </row>
    <row r="93" spans="1:10" x14ac:dyDescent="0.25">
      <c r="A93" s="32" t="s">
        <v>3</v>
      </c>
      <c r="B93" s="32">
        <f t="shared" ref="B93:B95" si="27">+B92+1</f>
        <v>2038</v>
      </c>
      <c r="C93" s="33" t="s">
        <v>51</v>
      </c>
      <c r="D93" s="34" t="s">
        <v>1999</v>
      </c>
      <c r="E93" s="35" t="str">
        <f t="shared" si="0"/>
        <v>PND'!</v>
      </c>
      <c r="F93" s="34" t="str">
        <f t="shared" si="1"/>
        <v>C:\Users\jaime.benazar\Quorum Business Solutions\Ecopetrol Prometeo - Documents\Planning Space Implementation\3. Analysis &amp; Design\Design\FC22\DRR Jaime\QUIFA-CAJÚA\Cajua\[CAJUA_CF_SEC_New_27-Feb-2024Rev3.xlsx]D-PND'!</v>
      </c>
      <c r="G93" s="32" t="s">
        <v>59</v>
      </c>
      <c r="H93" s="33">
        <f t="shared" si="26"/>
        <v>27</v>
      </c>
      <c r="I93" s="33" t="str">
        <f t="shared" si="2"/>
        <v>='C:\Users\jaime.benazar\Quorum Business Solutions\Ecopetrol Prometeo - Documents\Planning Space Implementation\3. Analysis &amp; Design\Design\FC22\DRR Jaime\QUIFA-CAJÚA\Cajua\[CAJUA_CF_SEC_New_27-Feb-2024Rev3.xlsx]D-PND'!$BB$27</v>
      </c>
      <c r="J93" s="37" t="s">
        <v>2089</v>
      </c>
    </row>
    <row r="94" spans="1:10" x14ac:dyDescent="0.25">
      <c r="A94" s="32" t="s">
        <v>3</v>
      </c>
      <c r="B94" s="32">
        <f t="shared" si="27"/>
        <v>2039</v>
      </c>
      <c r="C94" s="33" t="s">
        <v>51</v>
      </c>
      <c r="D94" s="34" t="s">
        <v>1999</v>
      </c>
      <c r="E94" s="35" t="str">
        <f t="shared" si="0"/>
        <v>PND'!</v>
      </c>
      <c r="F94" s="34" t="str">
        <f t="shared" si="1"/>
        <v>C:\Users\jaime.benazar\Quorum Business Solutions\Ecopetrol Prometeo - Documents\Planning Space Implementation\3. Analysis &amp; Design\Design\FC22\DRR Jaime\QUIFA-CAJÚA\Cajua\[CAJUA_CF_SEC_New_27-Feb-2024Rev3.xlsx]D-PND'!</v>
      </c>
      <c r="G94" s="32" t="s">
        <v>59</v>
      </c>
      <c r="H94" s="33">
        <f t="shared" si="26"/>
        <v>28</v>
      </c>
      <c r="I94" s="33" t="str">
        <f t="shared" si="2"/>
        <v>='C:\Users\jaime.benazar\Quorum Business Solutions\Ecopetrol Prometeo - Documents\Planning Space Implementation\3. Analysis &amp; Design\Design\FC22\DRR Jaime\QUIFA-CAJÚA\Cajua\[CAJUA_CF_SEC_New_27-Feb-2024Rev3.xlsx]D-PND'!$BB$28</v>
      </c>
      <c r="J94" s="37" t="s">
        <v>2090</v>
      </c>
    </row>
    <row r="95" spans="1:10" x14ac:dyDescent="0.25">
      <c r="A95" s="32" t="s">
        <v>3</v>
      </c>
      <c r="B95" s="32">
        <f t="shared" si="27"/>
        <v>2040</v>
      </c>
      <c r="C95" s="33" t="s">
        <v>51</v>
      </c>
      <c r="D95" s="34" t="s">
        <v>1999</v>
      </c>
      <c r="E95" s="35" t="str">
        <f t="shared" si="0"/>
        <v>PND'!</v>
      </c>
      <c r="F95" s="34" t="str">
        <f t="shared" si="1"/>
        <v>C:\Users\jaime.benazar\Quorum Business Solutions\Ecopetrol Prometeo - Documents\Planning Space Implementation\3. Analysis &amp; Design\Design\FC22\DRR Jaime\QUIFA-CAJÚA\Cajua\[CAJUA_CF_SEC_New_27-Feb-2024Rev3.xlsx]D-PND'!</v>
      </c>
      <c r="G95" s="32" t="s">
        <v>59</v>
      </c>
      <c r="H95" s="33">
        <f t="shared" si="26"/>
        <v>29</v>
      </c>
      <c r="I95" s="33" t="str">
        <f t="shared" si="2"/>
        <v>='C:\Users\jaime.benazar\Quorum Business Solutions\Ecopetrol Prometeo - Documents\Planning Space Implementation\3. Analysis &amp; Design\Design\FC22\DRR Jaime\QUIFA-CAJÚA\Cajua\[CAJUA_CF_SEC_New_27-Feb-2024Rev3.xlsx]D-PND'!$BB$29</v>
      </c>
      <c r="J95" s="37" t="s">
        <v>2091</v>
      </c>
    </row>
    <row r="96" spans="1:10" x14ac:dyDescent="0.25">
      <c r="A96" s="32" t="s">
        <v>3</v>
      </c>
      <c r="B96" s="32">
        <f>+B95+1</f>
        <v>2041</v>
      </c>
      <c r="C96" s="33" t="s">
        <v>51</v>
      </c>
      <c r="D96" s="34" t="s">
        <v>1999</v>
      </c>
      <c r="E96" s="35" t="str">
        <f t="shared" si="0"/>
        <v>PND'!</v>
      </c>
      <c r="F96" s="34" t="str">
        <f t="shared" si="1"/>
        <v>C:\Users\jaime.benazar\Quorum Business Solutions\Ecopetrol Prometeo - Documents\Planning Space Implementation\3. Analysis &amp; Design\Design\FC22\DRR Jaime\QUIFA-CAJÚA\Cajua\[CAJUA_CF_SEC_New_27-Feb-2024Rev3.xlsx]D-PND'!</v>
      </c>
      <c r="G96" s="32" t="s">
        <v>59</v>
      </c>
      <c r="H96" s="33">
        <f t="shared" si="26"/>
        <v>30</v>
      </c>
      <c r="I96" s="33" t="str">
        <f t="shared" si="2"/>
        <v>='C:\Users\jaime.benazar\Quorum Business Solutions\Ecopetrol Prometeo - Documents\Planning Space Implementation\3. Analysis &amp; Design\Design\FC22\DRR Jaime\QUIFA-CAJÚA\Cajua\[CAJUA_CF_SEC_New_27-Feb-2024Rev3.xlsx]D-PND'!$BB$30</v>
      </c>
      <c r="J96" s="37" t="s">
        <v>2092</v>
      </c>
    </row>
    <row r="97" spans="1:10" x14ac:dyDescent="0.25">
      <c r="A97" s="32" t="s">
        <v>3</v>
      </c>
      <c r="B97" s="32">
        <f t="shared" ref="B97:B98" si="28">+B96+1</f>
        <v>2042</v>
      </c>
      <c r="C97" s="33" t="s">
        <v>51</v>
      </c>
      <c r="D97" s="34" t="s">
        <v>1999</v>
      </c>
      <c r="E97" s="35" t="str">
        <f t="shared" ref="E97:E402" si="29">_xlfn.CONCAT(A97,"'!")</f>
        <v>PND'!</v>
      </c>
      <c r="F97" s="34" t="str">
        <f t="shared" ref="F97:F402" si="30">_xlfn.CONCAT(D97:E97)</f>
        <v>C:\Users\jaime.benazar\Quorum Business Solutions\Ecopetrol Prometeo - Documents\Planning Space Implementation\3. Analysis &amp; Design\Design\FC22\DRR Jaime\QUIFA-CAJÚA\Cajua\[CAJUA_CF_SEC_New_27-Feb-2024Rev3.xlsx]D-PND'!</v>
      </c>
      <c r="G97" s="32" t="s">
        <v>59</v>
      </c>
      <c r="H97" s="33">
        <f t="shared" si="26"/>
        <v>31</v>
      </c>
      <c r="I97" s="33" t="str">
        <f t="shared" ref="I97:I402" si="31">_xlfn.CONCAT("='",F97:H97)</f>
        <v>='C:\Users\jaime.benazar\Quorum Business Solutions\Ecopetrol Prometeo - Documents\Planning Space Implementation\3. Analysis &amp; Design\Design\FC22\DRR Jaime\QUIFA-CAJÚA\Cajua\[CAJUA_CF_SEC_New_27-Feb-2024Rev3.xlsx]D-PND'!$BB$31</v>
      </c>
      <c r="J97" s="37" t="s">
        <v>2093</v>
      </c>
    </row>
    <row r="98" spans="1:10" x14ac:dyDescent="0.25">
      <c r="A98" s="32" t="s">
        <v>3</v>
      </c>
      <c r="B98" s="32">
        <f t="shared" si="28"/>
        <v>2043</v>
      </c>
      <c r="C98" s="33" t="s">
        <v>51</v>
      </c>
      <c r="D98" s="34" t="s">
        <v>1999</v>
      </c>
      <c r="E98" s="35" t="str">
        <f t="shared" si="29"/>
        <v>PND'!</v>
      </c>
      <c r="F98" s="34" t="str">
        <f t="shared" si="30"/>
        <v>C:\Users\jaime.benazar\Quorum Business Solutions\Ecopetrol Prometeo - Documents\Planning Space Implementation\3. Analysis &amp; Design\Design\FC22\DRR Jaime\QUIFA-CAJÚA\Cajua\[CAJUA_CF_SEC_New_27-Feb-2024Rev3.xlsx]D-PND'!</v>
      </c>
      <c r="G98" s="32" t="s">
        <v>59</v>
      </c>
      <c r="H98" s="33">
        <f t="shared" si="26"/>
        <v>32</v>
      </c>
      <c r="I98" s="33" t="str">
        <f t="shared" si="31"/>
        <v>='C:\Users\jaime.benazar\Quorum Business Solutions\Ecopetrol Prometeo - Documents\Planning Space Implementation\3. Analysis &amp; Design\Design\FC22\DRR Jaime\QUIFA-CAJÚA\Cajua\[CAJUA_CF_SEC_New_27-Feb-2024Rev3.xlsx]D-PND'!$BB$32</v>
      </c>
      <c r="J98" s="37" t="s">
        <v>2094</v>
      </c>
    </row>
    <row r="99" spans="1:10" x14ac:dyDescent="0.25">
      <c r="A99" s="32" t="s">
        <v>3</v>
      </c>
      <c r="B99" s="32">
        <f>+B98+1</f>
        <v>2044</v>
      </c>
      <c r="C99" s="33" t="s">
        <v>51</v>
      </c>
      <c r="D99" s="34" t="s">
        <v>1999</v>
      </c>
      <c r="E99" s="35" t="str">
        <f t="shared" ref="E99:E114" si="32">_xlfn.CONCAT(A99,"'!")</f>
        <v>PND'!</v>
      </c>
      <c r="F99" s="34" t="str">
        <f t="shared" ref="F99:F114" si="33">_xlfn.CONCAT(D99:E99)</f>
        <v>C:\Users\jaime.benazar\Quorum Business Solutions\Ecopetrol Prometeo - Documents\Planning Space Implementation\3. Analysis &amp; Design\Design\FC22\DRR Jaime\QUIFA-CAJÚA\Cajua\[CAJUA_CF_SEC_New_27-Feb-2024Rev3.xlsx]D-PND'!</v>
      </c>
      <c r="G99" s="32" t="s">
        <v>59</v>
      </c>
      <c r="H99" s="33">
        <f t="shared" ref="H99:H114" si="34">IF(A99&lt;&gt;A98,12,H98+1)</f>
        <v>33</v>
      </c>
      <c r="I99" s="33" t="str">
        <f t="shared" ref="I99:I114" si="35">_xlfn.CONCAT("='",F99:H99)</f>
        <v>='C:\Users\jaime.benazar\Quorum Business Solutions\Ecopetrol Prometeo - Documents\Planning Space Implementation\3. Analysis &amp; Design\Design\FC22\DRR Jaime\QUIFA-CAJÚA\Cajua\[CAJUA_CF_SEC_New_27-Feb-2024Rev3.xlsx]D-PND'!$BB$33</v>
      </c>
      <c r="J99" s="37" t="s">
        <v>2095</v>
      </c>
    </row>
    <row r="100" spans="1:10" x14ac:dyDescent="0.25">
      <c r="A100" s="32" t="s">
        <v>3</v>
      </c>
      <c r="B100" s="32">
        <f t="shared" ref="B100:B114" si="36">+B99+1</f>
        <v>2045</v>
      </c>
      <c r="C100" s="33" t="s">
        <v>51</v>
      </c>
      <c r="D100" s="34" t="s">
        <v>1999</v>
      </c>
      <c r="E100" s="35" t="str">
        <f t="shared" si="32"/>
        <v>PND'!</v>
      </c>
      <c r="F100" s="34" t="str">
        <f t="shared" si="33"/>
        <v>C:\Users\jaime.benazar\Quorum Business Solutions\Ecopetrol Prometeo - Documents\Planning Space Implementation\3. Analysis &amp; Design\Design\FC22\DRR Jaime\QUIFA-CAJÚA\Cajua\[CAJUA_CF_SEC_New_27-Feb-2024Rev3.xlsx]D-PND'!</v>
      </c>
      <c r="G100" s="32" t="s">
        <v>59</v>
      </c>
      <c r="H100" s="33">
        <f t="shared" si="34"/>
        <v>34</v>
      </c>
      <c r="I100" s="33" t="str">
        <f t="shared" si="35"/>
        <v>='C:\Users\jaime.benazar\Quorum Business Solutions\Ecopetrol Prometeo - Documents\Planning Space Implementation\3. Analysis &amp; Design\Design\FC22\DRR Jaime\QUIFA-CAJÚA\Cajua\[CAJUA_CF_SEC_New_27-Feb-2024Rev3.xlsx]D-PND'!$BB$34</v>
      </c>
      <c r="J100" s="37" t="s">
        <v>2096</v>
      </c>
    </row>
    <row r="101" spans="1:10" x14ac:dyDescent="0.25">
      <c r="A101" s="32" t="s">
        <v>3</v>
      </c>
      <c r="B101" s="32">
        <f t="shared" si="36"/>
        <v>2046</v>
      </c>
      <c r="C101" s="33" t="s">
        <v>51</v>
      </c>
      <c r="D101" s="34" t="s">
        <v>1999</v>
      </c>
      <c r="E101" s="35" t="str">
        <f t="shared" si="32"/>
        <v>PND'!</v>
      </c>
      <c r="F101" s="34" t="str">
        <f t="shared" si="33"/>
        <v>C:\Users\jaime.benazar\Quorum Business Solutions\Ecopetrol Prometeo - Documents\Planning Space Implementation\3. Analysis &amp; Design\Design\FC22\DRR Jaime\QUIFA-CAJÚA\Cajua\[CAJUA_CF_SEC_New_27-Feb-2024Rev3.xlsx]D-PND'!</v>
      </c>
      <c r="G101" s="32" t="s">
        <v>59</v>
      </c>
      <c r="H101" s="33">
        <f t="shared" si="34"/>
        <v>35</v>
      </c>
      <c r="I101" s="33" t="str">
        <f t="shared" si="35"/>
        <v>='C:\Users\jaime.benazar\Quorum Business Solutions\Ecopetrol Prometeo - Documents\Planning Space Implementation\3. Analysis &amp; Design\Design\FC22\DRR Jaime\QUIFA-CAJÚA\Cajua\[CAJUA_CF_SEC_New_27-Feb-2024Rev3.xlsx]D-PND'!$BB$35</v>
      </c>
      <c r="J101" s="37" t="s">
        <v>2097</v>
      </c>
    </row>
    <row r="102" spans="1:10" x14ac:dyDescent="0.25">
      <c r="A102" s="32" t="s">
        <v>3</v>
      </c>
      <c r="B102" s="32">
        <f t="shared" si="36"/>
        <v>2047</v>
      </c>
      <c r="C102" s="33" t="s">
        <v>51</v>
      </c>
      <c r="D102" s="34" t="s">
        <v>1999</v>
      </c>
      <c r="E102" s="35" t="str">
        <f t="shared" si="32"/>
        <v>PND'!</v>
      </c>
      <c r="F102" s="34" t="str">
        <f t="shared" si="33"/>
        <v>C:\Users\jaime.benazar\Quorum Business Solutions\Ecopetrol Prometeo - Documents\Planning Space Implementation\3. Analysis &amp; Design\Design\FC22\DRR Jaime\QUIFA-CAJÚA\Cajua\[CAJUA_CF_SEC_New_27-Feb-2024Rev3.xlsx]D-PND'!</v>
      </c>
      <c r="G102" s="32" t="s">
        <v>59</v>
      </c>
      <c r="H102" s="33">
        <f t="shared" si="34"/>
        <v>36</v>
      </c>
      <c r="I102" s="33" t="str">
        <f t="shared" si="35"/>
        <v>='C:\Users\jaime.benazar\Quorum Business Solutions\Ecopetrol Prometeo - Documents\Planning Space Implementation\3. Analysis &amp; Design\Design\FC22\DRR Jaime\QUIFA-CAJÚA\Cajua\[CAJUA_CF_SEC_New_27-Feb-2024Rev3.xlsx]D-PND'!$BB$36</v>
      </c>
      <c r="J102" s="37" t="s">
        <v>2098</v>
      </c>
    </row>
    <row r="103" spans="1:10" x14ac:dyDescent="0.25">
      <c r="A103" s="32" t="s">
        <v>3</v>
      </c>
      <c r="B103" s="32">
        <f t="shared" si="36"/>
        <v>2048</v>
      </c>
      <c r="C103" s="33" t="s">
        <v>51</v>
      </c>
      <c r="D103" s="34" t="s">
        <v>1999</v>
      </c>
      <c r="E103" s="35" t="str">
        <f t="shared" si="32"/>
        <v>PND'!</v>
      </c>
      <c r="F103" s="34" t="str">
        <f t="shared" si="33"/>
        <v>C:\Users\jaime.benazar\Quorum Business Solutions\Ecopetrol Prometeo - Documents\Planning Space Implementation\3. Analysis &amp; Design\Design\FC22\DRR Jaime\QUIFA-CAJÚA\Cajua\[CAJUA_CF_SEC_New_27-Feb-2024Rev3.xlsx]D-PND'!</v>
      </c>
      <c r="G103" s="32" t="s">
        <v>59</v>
      </c>
      <c r="H103" s="33">
        <f t="shared" si="34"/>
        <v>37</v>
      </c>
      <c r="I103" s="33" t="str">
        <f t="shared" si="35"/>
        <v>='C:\Users\jaime.benazar\Quorum Business Solutions\Ecopetrol Prometeo - Documents\Planning Space Implementation\3. Analysis &amp; Design\Design\FC22\DRR Jaime\QUIFA-CAJÚA\Cajua\[CAJUA_CF_SEC_New_27-Feb-2024Rev3.xlsx]D-PND'!$BB$37</v>
      </c>
      <c r="J103" s="37" t="s">
        <v>2099</v>
      </c>
    </row>
    <row r="104" spans="1:10" x14ac:dyDescent="0.25">
      <c r="A104" s="32" t="s">
        <v>3</v>
      </c>
      <c r="B104" s="32">
        <f t="shared" si="36"/>
        <v>2049</v>
      </c>
      <c r="C104" s="33" t="s">
        <v>51</v>
      </c>
      <c r="D104" s="34" t="s">
        <v>1999</v>
      </c>
      <c r="E104" s="35" t="str">
        <f t="shared" si="32"/>
        <v>PND'!</v>
      </c>
      <c r="F104" s="34" t="str">
        <f t="shared" si="33"/>
        <v>C:\Users\jaime.benazar\Quorum Business Solutions\Ecopetrol Prometeo - Documents\Planning Space Implementation\3. Analysis &amp; Design\Design\FC22\DRR Jaime\QUIFA-CAJÚA\Cajua\[CAJUA_CF_SEC_New_27-Feb-2024Rev3.xlsx]D-PND'!</v>
      </c>
      <c r="G104" s="32" t="s">
        <v>59</v>
      </c>
      <c r="H104" s="33">
        <f t="shared" si="34"/>
        <v>38</v>
      </c>
      <c r="I104" s="33" t="str">
        <f t="shared" si="35"/>
        <v>='C:\Users\jaime.benazar\Quorum Business Solutions\Ecopetrol Prometeo - Documents\Planning Space Implementation\3. Analysis &amp; Design\Design\FC22\DRR Jaime\QUIFA-CAJÚA\Cajua\[CAJUA_CF_SEC_New_27-Feb-2024Rev3.xlsx]D-PND'!$BB$38</v>
      </c>
      <c r="J104" s="37" t="s">
        <v>2100</v>
      </c>
    </row>
    <row r="105" spans="1:10" x14ac:dyDescent="0.25">
      <c r="A105" s="32" t="s">
        <v>3</v>
      </c>
      <c r="B105" s="32">
        <f t="shared" si="36"/>
        <v>2050</v>
      </c>
      <c r="C105" s="33" t="s">
        <v>51</v>
      </c>
      <c r="D105" s="34" t="s">
        <v>1999</v>
      </c>
      <c r="E105" s="35" t="str">
        <f t="shared" si="32"/>
        <v>PND'!</v>
      </c>
      <c r="F105" s="34" t="str">
        <f t="shared" si="33"/>
        <v>C:\Users\jaime.benazar\Quorum Business Solutions\Ecopetrol Prometeo - Documents\Planning Space Implementation\3. Analysis &amp; Design\Design\FC22\DRR Jaime\QUIFA-CAJÚA\Cajua\[CAJUA_CF_SEC_New_27-Feb-2024Rev3.xlsx]D-PND'!</v>
      </c>
      <c r="G105" s="32" t="s">
        <v>59</v>
      </c>
      <c r="H105" s="33">
        <f t="shared" si="34"/>
        <v>39</v>
      </c>
      <c r="I105" s="33" t="str">
        <f t="shared" si="35"/>
        <v>='C:\Users\jaime.benazar\Quorum Business Solutions\Ecopetrol Prometeo - Documents\Planning Space Implementation\3. Analysis &amp; Design\Design\FC22\DRR Jaime\QUIFA-CAJÚA\Cajua\[CAJUA_CF_SEC_New_27-Feb-2024Rev3.xlsx]D-PND'!$BB$39</v>
      </c>
      <c r="J105" s="37" t="s">
        <v>2101</v>
      </c>
    </row>
    <row r="106" spans="1:10" x14ac:dyDescent="0.25">
      <c r="A106" s="32" t="s">
        <v>3</v>
      </c>
      <c r="B106" s="32">
        <f t="shared" si="36"/>
        <v>2051</v>
      </c>
      <c r="C106" s="33" t="s">
        <v>51</v>
      </c>
      <c r="D106" s="34" t="s">
        <v>1999</v>
      </c>
      <c r="E106" s="35" t="str">
        <f t="shared" si="32"/>
        <v>PND'!</v>
      </c>
      <c r="F106" s="34" t="str">
        <f t="shared" si="33"/>
        <v>C:\Users\jaime.benazar\Quorum Business Solutions\Ecopetrol Prometeo - Documents\Planning Space Implementation\3. Analysis &amp; Design\Design\FC22\DRR Jaime\QUIFA-CAJÚA\Cajua\[CAJUA_CF_SEC_New_27-Feb-2024Rev3.xlsx]D-PND'!</v>
      </c>
      <c r="G106" s="32" t="s">
        <v>59</v>
      </c>
      <c r="H106" s="33">
        <f t="shared" si="34"/>
        <v>40</v>
      </c>
      <c r="I106" s="33" t="str">
        <f t="shared" si="35"/>
        <v>='C:\Users\jaime.benazar\Quorum Business Solutions\Ecopetrol Prometeo - Documents\Planning Space Implementation\3. Analysis &amp; Design\Design\FC22\DRR Jaime\QUIFA-CAJÚA\Cajua\[CAJUA_CF_SEC_New_27-Feb-2024Rev3.xlsx]D-PND'!$BB$40</v>
      </c>
      <c r="J106" s="37" t="s">
        <v>2102</v>
      </c>
    </row>
    <row r="107" spans="1:10" x14ac:dyDescent="0.25">
      <c r="A107" s="32" t="s">
        <v>3</v>
      </c>
      <c r="B107" s="32">
        <f t="shared" si="36"/>
        <v>2052</v>
      </c>
      <c r="C107" s="33" t="s">
        <v>51</v>
      </c>
      <c r="D107" s="34" t="s">
        <v>1999</v>
      </c>
      <c r="E107" s="35" t="str">
        <f t="shared" si="32"/>
        <v>PND'!</v>
      </c>
      <c r="F107" s="34" t="str">
        <f t="shared" si="33"/>
        <v>C:\Users\jaime.benazar\Quorum Business Solutions\Ecopetrol Prometeo - Documents\Planning Space Implementation\3. Analysis &amp; Design\Design\FC22\DRR Jaime\QUIFA-CAJÚA\Cajua\[CAJUA_CF_SEC_New_27-Feb-2024Rev3.xlsx]D-PND'!</v>
      </c>
      <c r="G107" s="32" t="s">
        <v>59</v>
      </c>
      <c r="H107" s="33">
        <f t="shared" si="34"/>
        <v>41</v>
      </c>
      <c r="I107" s="33" t="str">
        <f t="shared" si="35"/>
        <v>='C:\Users\jaime.benazar\Quorum Business Solutions\Ecopetrol Prometeo - Documents\Planning Space Implementation\3. Analysis &amp; Design\Design\FC22\DRR Jaime\QUIFA-CAJÚA\Cajua\[CAJUA_CF_SEC_New_27-Feb-2024Rev3.xlsx]D-PND'!$BB$41</v>
      </c>
      <c r="J107" s="37" t="s">
        <v>2103</v>
      </c>
    </row>
    <row r="108" spans="1:10" x14ac:dyDescent="0.25">
      <c r="A108" s="32" t="s">
        <v>3</v>
      </c>
      <c r="B108" s="32">
        <f t="shared" si="36"/>
        <v>2053</v>
      </c>
      <c r="C108" s="33" t="s">
        <v>51</v>
      </c>
      <c r="D108" s="34" t="s">
        <v>1999</v>
      </c>
      <c r="E108" s="35" t="str">
        <f t="shared" si="32"/>
        <v>PND'!</v>
      </c>
      <c r="F108" s="34" t="str">
        <f t="shared" si="33"/>
        <v>C:\Users\jaime.benazar\Quorum Business Solutions\Ecopetrol Prometeo - Documents\Planning Space Implementation\3. Analysis &amp; Design\Design\FC22\DRR Jaime\QUIFA-CAJÚA\Cajua\[CAJUA_CF_SEC_New_27-Feb-2024Rev3.xlsx]D-PND'!</v>
      </c>
      <c r="G108" s="32" t="s">
        <v>59</v>
      </c>
      <c r="H108" s="33">
        <f t="shared" si="34"/>
        <v>42</v>
      </c>
      <c r="I108" s="33" t="str">
        <f t="shared" si="35"/>
        <v>='C:\Users\jaime.benazar\Quorum Business Solutions\Ecopetrol Prometeo - Documents\Planning Space Implementation\3. Analysis &amp; Design\Design\FC22\DRR Jaime\QUIFA-CAJÚA\Cajua\[CAJUA_CF_SEC_New_27-Feb-2024Rev3.xlsx]D-PND'!$BB$42</v>
      </c>
      <c r="J108" s="37" t="s">
        <v>2104</v>
      </c>
    </row>
    <row r="109" spans="1:10" x14ac:dyDescent="0.25">
      <c r="A109" s="32" t="s">
        <v>3</v>
      </c>
      <c r="B109" s="32">
        <f t="shared" si="36"/>
        <v>2054</v>
      </c>
      <c r="C109" s="33" t="s">
        <v>51</v>
      </c>
      <c r="D109" s="34" t="s">
        <v>1999</v>
      </c>
      <c r="E109" s="35" t="str">
        <f t="shared" si="32"/>
        <v>PND'!</v>
      </c>
      <c r="F109" s="34" t="str">
        <f t="shared" si="33"/>
        <v>C:\Users\jaime.benazar\Quorum Business Solutions\Ecopetrol Prometeo - Documents\Planning Space Implementation\3. Analysis &amp; Design\Design\FC22\DRR Jaime\QUIFA-CAJÚA\Cajua\[CAJUA_CF_SEC_New_27-Feb-2024Rev3.xlsx]D-PND'!</v>
      </c>
      <c r="G109" s="32" t="s">
        <v>59</v>
      </c>
      <c r="H109" s="33">
        <f t="shared" si="34"/>
        <v>43</v>
      </c>
      <c r="I109" s="33" t="str">
        <f t="shared" si="35"/>
        <v>='C:\Users\jaime.benazar\Quorum Business Solutions\Ecopetrol Prometeo - Documents\Planning Space Implementation\3. Analysis &amp; Design\Design\FC22\DRR Jaime\QUIFA-CAJÚA\Cajua\[CAJUA_CF_SEC_New_27-Feb-2024Rev3.xlsx]D-PND'!$BB$43</v>
      </c>
      <c r="J109" s="37" t="s">
        <v>2105</v>
      </c>
    </row>
    <row r="110" spans="1:10" x14ac:dyDescent="0.25">
      <c r="A110" s="32" t="s">
        <v>3</v>
      </c>
      <c r="B110" s="32">
        <f t="shared" si="36"/>
        <v>2055</v>
      </c>
      <c r="C110" s="33" t="s">
        <v>51</v>
      </c>
      <c r="D110" s="34" t="s">
        <v>1999</v>
      </c>
      <c r="E110" s="35" t="str">
        <f t="shared" si="32"/>
        <v>PND'!</v>
      </c>
      <c r="F110" s="34" t="str">
        <f t="shared" si="33"/>
        <v>C:\Users\jaime.benazar\Quorum Business Solutions\Ecopetrol Prometeo - Documents\Planning Space Implementation\3. Analysis &amp; Design\Design\FC22\DRR Jaime\QUIFA-CAJÚA\Cajua\[CAJUA_CF_SEC_New_27-Feb-2024Rev3.xlsx]D-PND'!</v>
      </c>
      <c r="G110" s="32" t="s">
        <v>59</v>
      </c>
      <c r="H110" s="33">
        <f t="shared" si="34"/>
        <v>44</v>
      </c>
      <c r="I110" s="33" t="str">
        <f t="shared" si="35"/>
        <v>='C:\Users\jaime.benazar\Quorum Business Solutions\Ecopetrol Prometeo - Documents\Planning Space Implementation\3. Analysis &amp; Design\Design\FC22\DRR Jaime\QUIFA-CAJÚA\Cajua\[CAJUA_CF_SEC_New_27-Feb-2024Rev3.xlsx]D-PND'!$BB$44</v>
      </c>
      <c r="J110" s="37" t="s">
        <v>2106</v>
      </c>
    </row>
    <row r="111" spans="1:10" x14ac:dyDescent="0.25">
      <c r="A111" s="32" t="s">
        <v>3</v>
      </c>
      <c r="B111" s="32">
        <f t="shared" si="36"/>
        <v>2056</v>
      </c>
      <c r="C111" s="33" t="s">
        <v>51</v>
      </c>
      <c r="D111" s="34" t="s">
        <v>1999</v>
      </c>
      <c r="E111" s="35" t="str">
        <f t="shared" si="32"/>
        <v>PND'!</v>
      </c>
      <c r="F111" s="34" t="str">
        <f t="shared" si="33"/>
        <v>C:\Users\jaime.benazar\Quorum Business Solutions\Ecopetrol Prometeo - Documents\Planning Space Implementation\3. Analysis &amp; Design\Design\FC22\DRR Jaime\QUIFA-CAJÚA\Cajua\[CAJUA_CF_SEC_New_27-Feb-2024Rev3.xlsx]D-PND'!</v>
      </c>
      <c r="G111" s="32" t="s">
        <v>59</v>
      </c>
      <c r="H111" s="33">
        <f t="shared" si="34"/>
        <v>45</v>
      </c>
      <c r="I111" s="33" t="str">
        <f t="shared" si="35"/>
        <v>='C:\Users\jaime.benazar\Quorum Business Solutions\Ecopetrol Prometeo - Documents\Planning Space Implementation\3. Analysis &amp; Design\Design\FC22\DRR Jaime\QUIFA-CAJÚA\Cajua\[CAJUA_CF_SEC_New_27-Feb-2024Rev3.xlsx]D-PND'!$BB$45</v>
      </c>
      <c r="J111" s="37" t="s">
        <v>2107</v>
      </c>
    </row>
    <row r="112" spans="1:10" x14ac:dyDescent="0.25">
      <c r="A112" s="32" t="s">
        <v>3</v>
      </c>
      <c r="B112" s="32">
        <f t="shared" si="36"/>
        <v>2057</v>
      </c>
      <c r="C112" s="33" t="s">
        <v>51</v>
      </c>
      <c r="D112" s="34" t="s">
        <v>1999</v>
      </c>
      <c r="E112" s="35" t="str">
        <f t="shared" si="32"/>
        <v>PND'!</v>
      </c>
      <c r="F112" s="34" t="str">
        <f t="shared" si="33"/>
        <v>C:\Users\jaime.benazar\Quorum Business Solutions\Ecopetrol Prometeo - Documents\Planning Space Implementation\3. Analysis &amp; Design\Design\FC22\DRR Jaime\QUIFA-CAJÚA\Cajua\[CAJUA_CF_SEC_New_27-Feb-2024Rev3.xlsx]D-PND'!</v>
      </c>
      <c r="G112" s="32" t="s">
        <v>59</v>
      </c>
      <c r="H112" s="33">
        <f t="shared" si="34"/>
        <v>46</v>
      </c>
      <c r="I112" s="33" t="str">
        <f t="shared" si="35"/>
        <v>='C:\Users\jaime.benazar\Quorum Business Solutions\Ecopetrol Prometeo - Documents\Planning Space Implementation\3. Analysis &amp; Design\Design\FC22\DRR Jaime\QUIFA-CAJÚA\Cajua\[CAJUA_CF_SEC_New_27-Feb-2024Rev3.xlsx]D-PND'!$BB$46</v>
      </c>
      <c r="J112" s="37" t="s">
        <v>2108</v>
      </c>
    </row>
    <row r="113" spans="1:10" x14ac:dyDescent="0.25">
      <c r="A113" s="32" t="s">
        <v>3</v>
      </c>
      <c r="B113" s="32">
        <f t="shared" si="36"/>
        <v>2058</v>
      </c>
      <c r="C113" s="33" t="s">
        <v>51</v>
      </c>
      <c r="D113" s="34" t="s">
        <v>1999</v>
      </c>
      <c r="E113" s="35" t="str">
        <f t="shared" si="32"/>
        <v>PND'!</v>
      </c>
      <c r="F113" s="34" t="str">
        <f t="shared" si="33"/>
        <v>C:\Users\jaime.benazar\Quorum Business Solutions\Ecopetrol Prometeo - Documents\Planning Space Implementation\3. Analysis &amp; Design\Design\FC22\DRR Jaime\QUIFA-CAJÚA\Cajua\[CAJUA_CF_SEC_New_27-Feb-2024Rev3.xlsx]D-PND'!</v>
      </c>
      <c r="G113" s="32" t="s">
        <v>59</v>
      </c>
      <c r="H113" s="33">
        <f t="shared" si="34"/>
        <v>47</v>
      </c>
      <c r="I113" s="33" t="str">
        <f t="shared" si="35"/>
        <v>='C:\Users\jaime.benazar\Quorum Business Solutions\Ecopetrol Prometeo - Documents\Planning Space Implementation\3. Analysis &amp; Design\Design\FC22\DRR Jaime\QUIFA-CAJÚA\Cajua\[CAJUA_CF_SEC_New_27-Feb-2024Rev3.xlsx]D-PND'!$BB$47</v>
      </c>
      <c r="J113" s="37" t="s">
        <v>2109</v>
      </c>
    </row>
    <row r="114" spans="1:10" x14ac:dyDescent="0.25">
      <c r="A114" s="32" t="s">
        <v>3</v>
      </c>
      <c r="B114" s="32">
        <f t="shared" si="36"/>
        <v>2059</v>
      </c>
      <c r="C114" s="33" t="s">
        <v>51</v>
      </c>
      <c r="D114" s="34" t="s">
        <v>1999</v>
      </c>
      <c r="E114" s="35" t="str">
        <f t="shared" si="32"/>
        <v>PND'!</v>
      </c>
      <c r="F114" s="34" t="str">
        <f t="shared" si="33"/>
        <v>C:\Users\jaime.benazar\Quorum Business Solutions\Ecopetrol Prometeo - Documents\Planning Space Implementation\3. Analysis &amp; Design\Design\FC22\DRR Jaime\QUIFA-CAJÚA\Cajua\[CAJUA_CF_SEC_New_27-Feb-2024Rev3.xlsx]D-PND'!</v>
      </c>
      <c r="G114" s="32" t="s">
        <v>59</v>
      </c>
      <c r="H114" s="33">
        <f t="shared" si="34"/>
        <v>48</v>
      </c>
      <c r="I114" s="33" t="str">
        <f t="shared" si="35"/>
        <v>='C:\Users\jaime.benazar\Quorum Business Solutions\Ecopetrol Prometeo - Documents\Planning Space Implementation\3. Analysis &amp; Design\Design\FC22\DRR Jaime\QUIFA-CAJÚA\Cajua\[CAJUA_CF_SEC_New_27-Feb-2024Rev3.xlsx]D-PND'!$BB$48</v>
      </c>
      <c r="J114" s="37" t="s">
        <v>2110</v>
      </c>
    </row>
    <row r="115" spans="1:10" x14ac:dyDescent="0.25">
      <c r="A115" s="32" t="s">
        <v>28</v>
      </c>
      <c r="B115" s="32"/>
      <c r="C115" s="33" t="s">
        <v>51</v>
      </c>
      <c r="D115" s="34"/>
      <c r="E115" s="35"/>
      <c r="F115" s="34"/>
      <c r="G115" s="32"/>
      <c r="H115" s="33"/>
      <c r="I115" s="33"/>
      <c r="J115" s="33"/>
    </row>
    <row r="116" spans="1:10" x14ac:dyDescent="0.25">
      <c r="A116" s="32" t="s">
        <v>99</v>
      </c>
      <c r="B116" s="32">
        <v>2023</v>
      </c>
      <c r="C116" s="33" t="s">
        <v>51</v>
      </c>
      <c r="D116" s="34" t="s">
        <v>1999</v>
      </c>
      <c r="E116" s="35" t="str">
        <f t="shared" ref="E116:E136" si="37">_xlfn.CONCAT(A116,"'!")</f>
        <v>PRBDP'!</v>
      </c>
      <c r="F116" s="34" t="str">
        <f t="shared" ref="F116:F136" si="38">_xlfn.CONCAT(D116:E116)</f>
        <v>C:\Users\jaime.benazar\Quorum Business Solutions\Ecopetrol Prometeo - Documents\Planning Space Implementation\3. Analysis &amp; Design\Design\FC22\DRR Jaime\QUIFA-CAJÚA\Cajua\[CAJUA_CF_SEC_New_27-Feb-2024Rev3.xlsx]D-PRBDP'!</v>
      </c>
      <c r="G116" s="32" t="s">
        <v>59</v>
      </c>
      <c r="H116" s="33"/>
      <c r="I116" s="33"/>
      <c r="J116" s="37"/>
    </row>
    <row r="117" spans="1:10" x14ac:dyDescent="0.25">
      <c r="A117" s="32" t="s">
        <v>99</v>
      </c>
      <c r="B117" s="32">
        <f>+B116+1</f>
        <v>2024</v>
      </c>
      <c r="C117" s="33" t="s">
        <v>51</v>
      </c>
      <c r="D117" s="34" t="s">
        <v>1999</v>
      </c>
      <c r="E117" s="35" t="str">
        <f t="shared" si="37"/>
        <v>PRBDP'!</v>
      </c>
      <c r="F117" s="34" t="str">
        <f t="shared" si="38"/>
        <v>C:\Users\jaime.benazar\Quorum Business Solutions\Ecopetrol Prometeo - Documents\Planning Space Implementation\3. Analysis &amp; Design\Design\FC22\DRR Jaime\QUIFA-CAJÚA\Cajua\[CAJUA_CF_SEC_New_27-Feb-2024Rev3.xlsx]D-PRBDP'!</v>
      </c>
      <c r="G117" s="32" t="s">
        <v>59</v>
      </c>
      <c r="H117" s="33"/>
      <c r="I117" s="33"/>
      <c r="J117" s="37"/>
    </row>
    <row r="118" spans="1:10" x14ac:dyDescent="0.25">
      <c r="A118" s="32" t="s">
        <v>99</v>
      </c>
      <c r="B118" s="32">
        <f t="shared" ref="B118:B129" si="39">+B117+1</f>
        <v>2025</v>
      </c>
      <c r="C118" s="33" t="s">
        <v>51</v>
      </c>
      <c r="D118" s="34" t="s">
        <v>1999</v>
      </c>
      <c r="E118" s="35" t="str">
        <f t="shared" si="37"/>
        <v>PRBDP'!</v>
      </c>
      <c r="F118" s="34" t="str">
        <f t="shared" si="38"/>
        <v>C:\Users\jaime.benazar\Quorum Business Solutions\Ecopetrol Prometeo - Documents\Planning Space Implementation\3. Analysis &amp; Design\Design\FC22\DRR Jaime\QUIFA-CAJÚA\Cajua\[CAJUA_CF_SEC_New_27-Feb-2024Rev3.xlsx]D-PRBDP'!</v>
      </c>
      <c r="G118" s="32" t="s">
        <v>59</v>
      </c>
      <c r="H118" s="33"/>
      <c r="I118" s="33"/>
      <c r="J118" s="37"/>
    </row>
    <row r="119" spans="1:10" x14ac:dyDescent="0.25">
      <c r="A119" s="32" t="s">
        <v>99</v>
      </c>
      <c r="B119" s="32">
        <f t="shared" si="39"/>
        <v>2026</v>
      </c>
      <c r="C119" s="33" t="s">
        <v>51</v>
      </c>
      <c r="D119" s="34" t="s">
        <v>1999</v>
      </c>
      <c r="E119" s="35" t="str">
        <f t="shared" si="37"/>
        <v>PRBDP'!</v>
      </c>
      <c r="F119" s="34" t="str">
        <f t="shared" si="38"/>
        <v>C:\Users\jaime.benazar\Quorum Business Solutions\Ecopetrol Prometeo - Documents\Planning Space Implementation\3. Analysis &amp; Design\Design\FC22\DRR Jaime\QUIFA-CAJÚA\Cajua\[CAJUA_CF_SEC_New_27-Feb-2024Rev3.xlsx]D-PRBDP'!</v>
      </c>
      <c r="G119" s="32" t="s">
        <v>59</v>
      </c>
      <c r="H119" s="33"/>
      <c r="I119" s="33"/>
      <c r="J119" s="37"/>
    </row>
    <row r="120" spans="1:10" x14ac:dyDescent="0.25">
      <c r="A120" s="32" t="s">
        <v>99</v>
      </c>
      <c r="B120" s="32">
        <f t="shared" si="39"/>
        <v>2027</v>
      </c>
      <c r="C120" s="33" t="s">
        <v>51</v>
      </c>
      <c r="D120" s="34" t="s">
        <v>1999</v>
      </c>
      <c r="E120" s="35" t="str">
        <f t="shared" si="37"/>
        <v>PRBDP'!</v>
      </c>
      <c r="F120" s="34" t="str">
        <f t="shared" si="38"/>
        <v>C:\Users\jaime.benazar\Quorum Business Solutions\Ecopetrol Prometeo - Documents\Planning Space Implementation\3. Analysis &amp; Design\Design\FC22\DRR Jaime\QUIFA-CAJÚA\Cajua\[CAJUA_CF_SEC_New_27-Feb-2024Rev3.xlsx]D-PRBDP'!</v>
      </c>
      <c r="G120" s="32" t="s">
        <v>59</v>
      </c>
      <c r="H120" s="33"/>
      <c r="I120" s="33"/>
      <c r="J120" s="37"/>
    </row>
    <row r="121" spans="1:10" x14ac:dyDescent="0.25">
      <c r="A121" s="32" t="s">
        <v>99</v>
      </c>
      <c r="B121" s="32">
        <f t="shared" si="39"/>
        <v>2028</v>
      </c>
      <c r="C121" s="33" t="s">
        <v>51</v>
      </c>
      <c r="D121" s="34" t="s">
        <v>1999</v>
      </c>
      <c r="E121" s="35" t="str">
        <f t="shared" si="37"/>
        <v>PRBDP'!</v>
      </c>
      <c r="F121" s="34" t="str">
        <f t="shared" si="38"/>
        <v>C:\Users\jaime.benazar\Quorum Business Solutions\Ecopetrol Prometeo - Documents\Planning Space Implementation\3. Analysis &amp; Design\Design\FC22\DRR Jaime\QUIFA-CAJÚA\Cajua\[CAJUA_CF_SEC_New_27-Feb-2024Rev3.xlsx]D-PRBDP'!</v>
      </c>
      <c r="G121" s="32" t="s">
        <v>59</v>
      </c>
      <c r="H121" s="33"/>
      <c r="I121" s="33"/>
      <c r="J121" s="37"/>
    </row>
    <row r="122" spans="1:10" x14ac:dyDescent="0.25">
      <c r="A122" s="32" t="s">
        <v>99</v>
      </c>
      <c r="B122" s="32">
        <f t="shared" si="39"/>
        <v>2029</v>
      </c>
      <c r="C122" s="33" t="s">
        <v>51</v>
      </c>
      <c r="D122" s="34" t="s">
        <v>1999</v>
      </c>
      <c r="E122" s="35" t="str">
        <f t="shared" si="37"/>
        <v>PRBDP'!</v>
      </c>
      <c r="F122" s="34" t="str">
        <f t="shared" si="38"/>
        <v>C:\Users\jaime.benazar\Quorum Business Solutions\Ecopetrol Prometeo - Documents\Planning Space Implementation\3. Analysis &amp; Design\Design\FC22\DRR Jaime\QUIFA-CAJÚA\Cajua\[CAJUA_CF_SEC_New_27-Feb-2024Rev3.xlsx]D-PRBDP'!</v>
      </c>
      <c r="G122" s="32" t="s">
        <v>59</v>
      </c>
      <c r="H122" s="33"/>
      <c r="I122" s="33"/>
      <c r="J122" s="37"/>
    </row>
    <row r="123" spans="1:10" x14ac:dyDescent="0.25">
      <c r="A123" s="32" t="s">
        <v>99</v>
      </c>
      <c r="B123" s="32">
        <f t="shared" si="39"/>
        <v>2030</v>
      </c>
      <c r="C123" s="33" t="s">
        <v>51</v>
      </c>
      <c r="D123" s="34" t="s">
        <v>1999</v>
      </c>
      <c r="E123" s="35" t="str">
        <f t="shared" si="37"/>
        <v>PRBDP'!</v>
      </c>
      <c r="F123" s="34" t="str">
        <f t="shared" si="38"/>
        <v>C:\Users\jaime.benazar\Quorum Business Solutions\Ecopetrol Prometeo - Documents\Planning Space Implementation\3. Analysis &amp; Design\Design\FC22\DRR Jaime\QUIFA-CAJÚA\Cajua\[CAJUA_CF_SEC_New_27-Feb-2024Rev3.xlsx]D-PRBDP'!</v>
      </c>
      <c r="G123" s="32" t="s">
        <v>59</v>
      </c>
      <c r="H123" s="33"/>
      <c r="I123" s="33"/>
      <c r="J123" s="37"/>
    </row>
    <row r="124" spans="1:10" x14ac:dyDescent="0.25">
      <c r="A124" s="32" t="s">
        <v>99</v>
      </c>
      <c r="B124" s="32">
        <f t="shared" si="39"/>
        <v>2031</v>
      </c>
      <c r="C124" s="33" t="s">
        <v>51</v>
      </c>
      <c r="D124" s="34" t="s">
        <v>1999</v>
      </c>
      <c r="E124" s="35" t="str">
        <f t="shared" si="37"/>
        <v>PRBDP'!</v>
      </c>
      <c r="F124" s="34" t="str">
        <f t="shared" si="38"/>
        <v>C:\Users\jaime.benazar\Quorum Business Solutions\Ecopetrol Prometeo - Documents\Planning Space Implementation\3. Analysis &amp; Design\Design\FC22\DRR Jaime\QUIFA-CAJÚA\Cajua\[CAJUA_CF_SEC_New_27-Feb-2024Rev3.xlsx]D-PRBDP'!</v>
      </c>
      <c r="G124" s="32" t="s">
        <v>59</v>
      </c>
      <c r="H124" s="33"/>
      <c r="I124" s="33"/>
      <c r="J124" s="37"/>
    </row>
    <row r="125" spans="1:10" x14ac:dyDescent="0.25">
      <c r="A125" s="32" t="s">
        <v>99</v>
      </c>
      <c r="B125" s="32">
        <f t="shared" si="39"/>
        <v>2032</v>
      </c>
      <c r="C125" s="33" t="s">
        <v>51</v>
      </c>
      <c r="D125" s="34" t="s">
        <v>1999</v>
      </c>
      <c r="E125" s="35" t="str">
        <f t="shared" si="37"/>
        <v>PRBDP'!</v>
      </c>
      <c r="F125" s="34" t="str">
        <f t="shared" si="38"/>
        <v>C:\Users\jaime.benazar\Quorum Business Solutions\Ecopetrol Prometeo - Documents\Planning Space Implementation\3. Analysis &amp; Design\Design\FC22\DRR Jaime\QUIFA-CAJÚA\Cajua\[CAJUA_CF_SEC_New_27-Feb-2024Rev3.xlsx]D-PRBDP'!</v>
      </c>
      <c r="G125" s="32" t="s">
        <v>59</v>
      </c>
      <c r="H125" s="33"/>
      <c r="I125" s="33"/>
      <c r="J125" s="37"/>
    </row>
    <row r="126" spans="1:10" x14ac:dyDescent="0.25">
      <c r="A126" s="32" t="s">
        <v>99</v>
      </c>
      <c r="B126" s="32">
        <f t="shared" si="39"/>
        <v>2033</v>
      </c>
      <c r="C126" s="33" t="s">
        <v>51</v>
      </c>
      <c r="D126" s="34" t="s">
        <v>1999</v>
      </c>
      <c r="E126" s="35" t="str">
        <f t="shared" si="37"/>
        <v>PRBDP'!</v>
      </c>
      <c r="F126" s="34" t="str">
        <f t="shared" si="38"/>
        <v>C:\Users\jaime.benazar\Quorum Business Solutions\Ecopetrol Prometeo - Documents\Planning Space Implementation\3. Analysis &amp; Design\Design\FC22\DRR Jaime\QUIFA-CAJÚA\Cajua\[CAJUA_CF_SEC_New_27-Feb-2024Rev3.xlsx]D-PRBDP'!</v>
      </c>
      <c r="G126" s="32" t="s">
        <v>59</v>
      </c>
      <c r="H126" s="33"/>
      <c r="I126" s="33"/>
      <c r="J126" s="37"/>
    </row>
    <row r="127" spans="1:10" x14ac:dyDescent="0.25">
      <c r="A127" s="32" t="s">
        <v>99</v>
      </c>
      <c r="B127" s="32">
        <f t="shared" si="39"/>
        <v>2034</v>
      </c>
      <c r="C127" s="33" t="s">
        <v>51</v>
      </c>
      <c r="D127" s="34" t="s">
        <v>1999</v>
      </c>
      <c r="E127" s="35" t="str">
        <f t="shared" si="37"/>
        <v>PRBDP'!</v>
      </c>
      <c r="F127" s="34" t="str">
        <f t="shared" si="38"/>
        <v>C:\Users\jaime.benazar\Quorum Business Solutions\Ecopetrol Prometeo - Documents\Planning Space Implementation\3. Analysis &amp; Design\Design\FC22\DRR Jaime\QUIFA-CAJÚA\Cajua\[CAJUA_CF_SEC_New_27-Feb-2024Rev3.xlsx]D-PRBDP'!</v>
      </c>
      <c r="G127" s="32" t="s">
        <v>59</v>
      </c>
      <c r="H127" s="33"/>
      <c r="I127" s="33"/>
      <c r="J127" s="37"/>
    </row>
    <row r="128" spans="1:10" x14ac:dyDescent="0.25">
      <c r="A128" s="32" t="s">
        <v>99</v>
      </c>
      <c r="B128" s="32">
        <f t="shared" si="39"/>
        <v>2035</v>
      </c>
      <c r="C128" s="33" t="s">
        <v>51</v>
      </c>
      <c r="D128" s="34" t="s">
        <v>1999</v>
      </c>
      <c r="E128" s="35" t="str">
        <f t="shared" si="37"/>
        <v>PRBDP'!</v>
      </c>
      <c r="F128" s="34" t="str">
        <f t="shared" si="38"/>
        <v>C:\Users\jaime.benazar\Quorum Business Solutions\Ecopetrol Prometeo - Documents\Planning Space Implementation\3. Analysis &amp; Design\Design\FC22\DRR Jaime\QUIFA-CAJÚA\Cajua\[CAJUA_CF_SEC_New_27-Feb-2024Rev3.xlsx]D-PRBDP'!</v>
      </c>
      <c r="G128" s="32" t="s">
        <v>59</v>
      </c>
      <c r="H128" s="33"/>
      <c r="I128" s="33"/>
      <c r="J128" s="37"/>
    </row>
    <row r="129" spans="1:10" x14ac:dyDescent="0.25">
      <c r="A129" s="32" t="s">
        <v>99</v>
      </c>
      <c r="B129" s="32">
        <f t="shared" si="39"/>
        <v>2036</v>
      </c>
      <c r="C129" s="33" t="s">
        <v>51</v>
      </c>
      <c r="D129" s="34" t="s">
        <v>1999</v>
      </c>
      <c r="E129" s="35" t="str">
        <f t="shared" si="37"/>
        <v>PRBDP'!</v>
      </c>
      <c r="F129" s="34" t="str">
        <f t="shared" si="38"/>
        <v>C:\Users\jaime.benazar\Quorum Business Solutions\Ecopetrol Prometeo - Documents\Planning Space Implementation\3. Analysis &amp; Design\Design\FC22\DRR Jaime\QUIFA-CAJÚA\Cajua\[CAJUA_CF_SEC_New_27-Feb-2024Rev3.xlsx]D-PRBDP'!</v>
      </c>
      <c r="G129" s="32" t="s">
        <v>59</v>
      </c>
      <c r="H129" s="33"/>
      <c r="I129" s="33"/>
      <c r="J129" s="37"/>
    </row>
    <row r="130" spans="1:10" x14ac:dyDescent="0.25">
      <c r="A130" s="32" t="s">
        <v>99</v>
      </c>
      <c r="B130" s="32">
        <f>+B129+1</f>
        <v>2037</v>
      </c>
      <c r="C130" s="33" t="s">
        <v>51</v>
      </c>
      <c r="D130" s="34" t="s">
        <v>1999</v>
      </c>
      <c r="E130" s="35" t="str">
        <f t="shared" si="37"/>
        <v>PRBDP'!</v>
      </c>
      <c r="F130" s="34" t="str">
        <f t="shared" si="38"/>
        <v>C:\Users\jaime.benazar\Quorum Business Solutions\Ecopetrol Prometeo - Documents\Planning Space Implementation\3. Analysis &amp; Design\Design\FC22\DRR Jaime\QUIFA-CAJÚA\Cajua\[CAJUA_CF_SEC_New_27-Feb-2024Rev3.xlsx]D-PRBDP'!</v>
      </c>
      <c r="G130" s="32" t="s">
        <v>59</v>
      </c>
      <c r="H130" s="33"/>
      <c r="I130" s="33"/>
      <c r="J130" s="37"/>
    </row>
    <row r="131" spans="1:10" x14ac:dyDescent="0.25">
      <c r="A131" s="32" t="s">
        <v>99</v>
      </c>
      <c r="B131" s="32">
        <f t="shared" ref="B131:B133" si="40">+B130+1</f>
        <v>2038</v>
      </c>
      <c r="C131" s="33" t="s">
        <v>51</v>
      </c>
      <c r="D131" s="34" t="s">
        <v>1999</v>
      </c>
      <c r="E131" s="35" t="str">
        <f t="shared" si="37"/>
        <v>PRBDP'!</v>
      </c>
      <c r="F131" s="34" t="str">
        <f t="shared" si="38"/>
        <v>C:\Users\jaime.benazar\Quorum Business Solutions\Ecopetrol Prometeo - Documents\Planning Space Implementation\3. Analysis &amp; Design\Design\FC22\DRR Jaime\QUIFA-CAJÚA\Cajua\[CAJUA_CF_SEC_New_27-Feb-2024Rev3.xlsx]D-PRBDP'!</v>
      </c>
      <c r="G131" s="32" t="s">
        <v>59</v>
      </c>
      <c r="H131" s="33"/>
      <c r="I131" s="33"/>
      <c r="J131" s="37"/>
    </row>
    <row r="132" spans="1:10" x14ac:dyDescent="0.25">
      <c r="A132" s="32" t="s">
        <v>99</v>
      </c>
      <c r="B132" s="32">
        <f t="shared" si="40"/>
        <v>2039</v>
      </c>
      <c r="C132" s="33" t="s">
        <v>51</v>
      </c>
      <c r="D132" s="34" t="s">
        <v>1999</v>
      </c>
      <c r="E132" s="35" t="str">
        <f t="shared" si="37"/>
        <v>PRBDP'!</v>
      </c>
      <c r="F132" s="34" t="str">
        <f t="shared" si="38"/>
        <v>C:\Users\jaime.benazar\Quorum Business Solutions\Ecopetrol Prometeo - Documents\Planning Space Implementation\3. Analysis &amp; Design\Design\FC22\DRR Jaime\QUIFA-CAJÚA\Cajua\[CAJUA_CF_SEC_New_27-Feb-2024Rev3.xlsx]D-PRBDP'!</v>
      </c>
      <c r="G132" s="32" t="s">
        <v>59</v>
      </c>
      <c r="H132" s="33"/>
      <c r="I132" s="33"/>
      <c r="J132" s="37"/>
    </row>
    <row r="133" spans="1:10" x14ac:dyDescent="0.25">
      <c r="A133" s="32" t="s">
        <v>99</v>
      </c>
      <c r="B133" s="32">
        <f t="shared" si="40"/>
        <v>2040</v>
      </c>
      <c r="C133" s="33" t="s">
        <v>51</v>
      </c>
      <c r="D133" s="34" t="s">
        <v>1999</v>
      </c>
      <c r="E133" s="35" t="str">
        <f t="shared" si="37"/>
        <v>PRBDP'!</v>
      </c>
      <c r="F133" s="34" t="str">
        <f t="shared" si="38"/>
        <v>C:\Users\jaime.benazar\Quorum Business Solutions\Ecopetrol Prometeo - Documents\Planning Space Implementation\3. Analysis &amp; Design\Design\FC22\DRR Jaime\QUIFA-CAJÚA\Cajua\[CAJUA_CF_SEC_New_27-Feb-2024Rev3.xlsx]D-PRBDP'!</v>
      </c>
      <c r="G133" s="32" t="s">
        <v>59</v>
      </c>
      <c r="H133" s="33"/>
      <c r="I133" s="33"/>
      <c r="J133" s="37"/>
    </row>
    <row r="134" spans="1:10" x14ac:dyDescent="0.25">
      <c r="A134" s="32" t="s">
        <v>99</v>
      </c>
      <c r="B134" s="32">
        <f>+B133+1</f>
        <v>2041</v>
      </c>
      <c r="C134" s="33" t="s">
        <v>51</v>
      </c>
      <c r="D134" s="34" t="s">
        <v>1999</v>
      </c>
      <c r="E134" s="35" t="str">
        <f t="shared" si="37"/>
        <v>PRBDP'!</v>
      </c>
      <c r="F134" s="34" t="str">
        <f t="shared" si="38"/>
        <v>C:\Users\jaime.benazar\Quorum Business Solutions\Ecopetrol Prometeo - Documents\Planning Space Implementation\3. Analysis &amp; Design\Design\FC22\DRR Jaime\QUIFA-CAJÚA\Cajua\[CAJUA_CF_SEC_New_27-Feb-2024Rev3.xlsx]D-PRBDP'!</v>
      </c>
      <c r="G134" s="32" t="s">
        <v>59</v>
      </c>
      <c r="H134" s="33"/>
      <c r="I134" s="33"/>
      <c r="J134" s="37"/>
    </row>
    <row r="135" spans="1:10" x14ac:dyDescent="0.25">
      <c r="A135" s="32" t="s">
        <v>99</v>
      </c>
      <c r="B135" s="32">
        <f t="shared" ref="B135:B136" si="41">+B134+1</f>
        <v>2042</v>
      </c>
      <c r="C135" s="33" t="s">
        <v>51</v>
      </c>
      <c r="D135" s="34" t="s">
        <v>1999</v>
      </c>
      <c r="E135" s="35" t="str">
        <f t="shared" si="37"/>
        <v>PRBDP'!</v>
      </c>
      <c r="F135" s="34" t="str">
        <f t="shared" si="38"/>
        <v>C:\Users\jaime.benazar\Quorum Business Solutions\Ecopetrol Prometeo - Documents\Planning Space Implementation\3. Analysis &amp; Design\Design\FC22\DRR Jaime\QUIFA-CAJÚA\Cajua\[CAJUA_CF_SEC_New_27-Feb-2024Rev3.xlsx]D-PRBDP'!</v>
      </c>
      <c r="G135" s="32" t="s">
        <v>59</v>
      </c>
      <c r="H135" s="33"/>
      <c r="I135" s="33"/>
      <c r="J135" s="37"/>
    </row>
    <row r="136" spans="1:10" x14ac:dyDescent="0.25">
      <c r="A136" s="32" t="s">
        <v>99</v>
      </c>
      <c r="B136" s="32">
        <f t="shared" si="41"/>
        <v>2043</v>
      </c>
      <c r="C136" s="33" t="s">
        <v>51</v>
      </c>
      <c r="D136" s="34" t="s">
        <v>1999</v>
      </c>
      <c r="E136" s="35" t="str">
        <f t="shared" si="37"/>
        <v>PRBDP'!</v>
      </c>
      <c r="F136" s="34" t="str">
        <f t="shared" si="38"/>
        <v>C:\Users\jaime.benazar\Quorum Business Solutions\Ecopetrol Prometeo - Documents\Planning Space Implementation\3. Analysis &amp; Design\Design\FC22\DRR Jaime\QUIFA-CAJÚA\Cajua\[CAJUA_CF_SEC_New_27-Feb-2024Rev3.xlsx]D-PRBDP'!</v>
      </c>
      <c r="G136" s="32" t="s">
        <v>59</v>
      </c>
      <c r="H136" s="33"/>
      <c r="I136" s="33"/>
      <c r="J136" s="37"/>
    </row>
    <row r="137" spans="1:10" x14ac:dyDescent="0.25">
      <c r="A137" s="32" t="s">
        <v>99</v>
      </c>
      <c r="B137" s="32">
        <f>+B136+1</f>
        <v>2044</v>
      </c>
      <c r="C137" s="33" t="s">
        <v>51</v>
      </c>
      <c r="D137" s="34" t="s">
        <v>1999</v>
      </c>
      <c r="E137" s="35" t="str">
        <f t="shared" ref="E137:E152" si="42">_xlfn.CONCAT(A137,"'!")</f>
        <v>PRBDP'!</v>
      </c>
      <c r="F137" s="34" t="str">
        <f t="shared" ref="F137:F152" si="43">_xlfn.CONCAT(D137:E137)</f>
        <v>C:\Users\jaime.benazar\Quorum Business Solutions\Ecopetrol Prometeo - Documents\Planning Space Implementation\3. Analysis &amp; Design\Design\FC22\DRR Jaime\QUIFA-CAJÚA\Cajua\[CAJUA_CF_SEC_New_27-Feb-2024Rev3.xlsx]D-PRBDP'!</v>
      </c>
      <c r="G137" s="32" t="s">
        <v>59</v>
      </c>
      <c r="H137" s="33"/>
      <c r="I137" s="33"/>
      <c r="J137" s="37"/>
    </row>
    <row r="138" spans="1:10" x14ac:dyDescent="0.25">
      <c r="A138" s="32" t="s">
        <v>99</v>
      </c>
      <c r="B138" s="32">
        <f t="shared" ref="B138:B152" si="44">+B137+1</f>
        <v>2045</v>
      </c>
      <c r="C138" s="33" t="s">
        <v>51</v>
      </c>
      <c r="D138" s="34" t="s">
        <v>1999</v>
      </c>
      <c r="E138" s="35" t="str">
        <f t="shared" si="42"/>
        <v>PRBDP'!</v>
      </c>
      <c r="F138" s="34" t="str">
        <f t="shared" si="43"/>
        <v>C:\Users\jaime.benazar\Quorum Business Solutions\Ecopetrol Prometeo - Documents\Planning Space Implementation\3. Analysis &amp; Design\Design\FC22\DRR Jaime\QUIFA-CAJÚA\Cajua\[CAJUA_CF_SEC_New_27-Feb-2024Rev3.xlsx]D-PRBDP'!</v>
      </c>
      <c r="G138" s="32" t="s">
        <v>59</v>
      </c>
      <c r="H138" s="33"/>
      <c r="I138" s="33"/>
      <c r="J138" s="37"/>
    </row>
    <row r="139" spans="1:10" x14ac:dyDescent="0.25">
      <c r="A139" s="32" t="s">
        <v>99</v>
      </c>
      <c r="B139" s="32">
        <f t="shared" si="44"/>
        <v>2046</v>
      </c>
      <c r="C139" s="33" t="s">
        <v>51</v>
      </c>
      <c r="D139" s="34" t="s">
        <v>1999</v>
      </c>
      <c r="E139" s="35" t="str">
        <f t="shared" si="42"/>
        <v>PRBDP'!</v>
      </c>
      <c r="F139" s="34" t="str">
        <f t="shared" si="43"/>
        <v>C:\Users\jaime.benazar\Quorum Business Solutions\Ecopetrol Prometeo - Documents\Planning Space Implementation\3. Analysis &amp; Design\Design\FC22\DRR Jaime\QUIFA-CAJÚA\Cajua\[CAJUA_CF_SEC_New_27-Feb-2024Rev3.xlsx]D-PRBDP'!</v>
      </c>
      <c r="G139" s="32" t="s">
        <v>59</v>
      </c>
      <c r="H139" s="33"/>
      <c r="I139" s="33"/>
      <c r="J139" s="37"/>
    </row>
    <row r="140" spans="1:10" x14ac:dyDescent="0.25">
      <c r="A140" s="32" t="s">
        <v>99</v>
      </c>
      <c r="B140" s="32">
        <f t="shared" si="44"/>
        <v>2047</v>
      </c>
      <c r="C140" s="33" t="s">
        <v>51</v>
      </c>
      <c r="D140" s="34" t="s">
        <v>1999</v>
      </c>
      <c r="E140" s="35" t="str">
        <f t="shared" si="42"/>
        <v>PRBDP'!</v>
      </c>
      <c r="F140" s="34" t="str">
        <f t="shared" si="43"/>
        <v>C:\Users\jaime.benazar\Quorum Business Solutions\Ecopetrol Prometeo - Documents\Planning Space Implementation\3. Analysis &amp; Design\Design\FC22\DRR Jaime\QUIFA-CAJÚA\Cajua\[CAJUA_CF_SEC_New_27-Feb-2024Rev3.xlsx]D-PRBDP'!</v>
      </c>
      <c r="G140" s="32" t="s">
        <v>59</v>
      </c>
      <c r="H140" s="33"/>
      <c r="I140" s="33"/>
      <c r="J140" s="37"/>
    </row>
    <row r="141" spans="1:10" x14ac:dyDescent="0.25">
      <c r="A141" s="32" t="s">
        <v>99</v>
      </c>
      <c r="B141" s="32">
        <f t="shared" si="44"/>
        <v>2048</v>
      </c>
      <c r="C141" s="33" t="s">
        <v>51</v>
      </c>
      <c r="D141" s="34" t="s">
        <v>1999</v>
      </c>
      <c r="E141" s="35" t="str">
        <f t="shared" si="42"/>
        <v>PRBDP'!</v>
      </c>
      <c r="F141" s="34" t="str">
        <f t="shared" si="43"/>
        <v>C:\Users\jaime.benazar\Quorum Business Solutions\Ecopetrol Prometeo - Documents\Planning Space Implementation\3. Analysis &amp; Design\Design\FC22\DRR Jaime\QUIFA-CAJÚA\Cajua\[CAJUA_CF_SEC_New_27-Feb-2024Rev3.xlsx]D-PRBDP'!</v>
      </c>
      <c r="G141" s="32" t="s">
        <v>59</v>
      </c>
      <c r="H141" s="33"/>
      <c r="I141" s="33"/>
      <c r="J141" s="37"/>
    </row>
    <row r="142" spans="1:10" x14ac:dyDescent="0.25">
      <c r="A142" s="32" t="s">
        <v>99</v>
      </c>
      <c r="B142" s="32">
        <f t="shared" si="44"/>
        <v>2049</v>
      </c>
      <c r="C142" s="33" t="s">
        <v>51</v>
      </c>
      <c r="D142" s="34" t="s">
        <v>1999</v>
      </c>
      <c r="E142" s="35" t="str">
        <f t="shared" si="42"/>
        <v>PRBDP'!</v>
      </c>
      <c r="F142" s="34" t="str">
        <f t="shared" si="43"/>
        <v>C:\Users\jaime.benazar\Quorum Business Solutions\Ecopetrol Prometeo - Documents\Planning Space Implementation\3. Analysis &amp; Design\Design\FC22\DRR Jaime\QUIFA-CAJÚA\Cajua\[CAJUA_CF_SEC_New_27-Feb-2024Rev3.xlsx]D-PRBDP'!</v>
      </c>
      <c r="G142" s="32" t="s">
        <v>59</v>
      </c>
      <c r="H142" s="33"/>
      <c r="I142" s="33"/>
      <c r="J142" s="37"/>
    </row>
    <row r="143" spans="1:10" x14ac:dyDescent="0.25">
      <c r="A143" s="32" t="s">
        <v>99</v>
      </c>
      <c r="B143" s="32">
        <f t="shared" si="44"/>
        <v>2050</v>
      </c>
      <c r="C143" s="33" t="s">
        <v>51</v>
      </c>
      <c r="D143" s="34" t="s">
        <v>1999</v>
      </c>
      <c r="E143" s="35" t="str">
        <f t="shared" si="42"/>
        <v>PRBDP'!</v>
      </c>
      <c r="F143" s="34" t="str">
        <f t="shared" si="43"/>
        <v>C:\Users\jaime.benazar\Quorum Business Solutions\Ecopetrol Prometeo - Documents\Planning Space Implementation\3. Analysis &amp; Design\Design\FC22\DRR Jaime\QUIFA-CAJÚA\Cajua\[CAJUA_CF_SEC_New_27-Feb-2024Rev3.xlsx]D-PRBDP'!</v>
      </c>
      <c r="G143" s="32" t="s">
        <v>59</v>
      </c>
      <c r="H143" s="33"/>
      <c r="I143" s="33"/>
      <c r="J143" s="37"/>
    </row>
    <row r="144" spans="1:10" x14ac:dyDescent="0.25">
      <c r="A144" s="32" t="s">
        <v>99</v>
      </c>
      <c r="B144" s="32">
        <f t="shared" si="44"/>
        <v>2051</v>
      </c>
      <c r="C144" s="33" t="s">
        <v>51</v>
      </c>
      <c r="D144" s="34" t="s">
        <v>1999</v>
      </c>
      <c r="E144" s="35" t="str">
        <f t="shared" si="42"/>
        <v>PRBDP'!</v>
      </c>
      <c r="F144" s="34" t="str">
        <f t="shared" si="43"/>
        <v>C:\Users\jaime.benazar\Quorum Business Solutions\Ecopetrol Prometeo - Documents\Planning Space Implementation\3. Analysis &amp; Design\Design\FC22\DRR Jaime\QUIFA-CAJÚA\Cajua\[CAJUA_CF_SEC_New_27-Feb-2024Rev3.xlsx]D-PRBDP'!</v>
      </c>
      <c r="G144" s="32" t="s">
        <v>59</v>
      </c>
      <c r="H144" s="33"/>
      <c r="I144" s="33"/>
      <c r="J144" s="37"/>
    </row>
    <row r="145" spans="1:10" x14ac:dyDescent="0.25">
      <c r="A145" s="32" t="s">
        <v>99</v>
      </c>
      <c r="B145" s="32">
        <f t="shared" si="44"/>
        <v>2052</v>
      </c>
      <c r="C145" s="33" t="s">
        <v>51</v>
      </c>
      <c r="D145" s="34" t="s">
        <v>1999</v>
      </c>
      <c r="E145" s="35" t="str">
        <f t="shared" si="42"/>
        <v>PRBDP'!</v>
      </c>
      <c r="F145" s="34" t="str">
        <f t="shared" si="43"/>
        <v>C:\Users\jaime.benazar\Quorum Business Solutions\Ecopetrol Prometeo - Documents\Planning Space Implementation\3. Analysis &amp; Design\Design\FC22\DRR Jaime\QUIFA-CAJÚA\Cajua\[CAJUA_CF_SEC_New_27-Feb-2024Rev3.xlsx]D-PRBDP'!</v>
      </c>
      <c r="G145" s="32" t="s">
        <v>59</v>
      </c>
      <c r="H145" s="33"/>
      <c r="I145" s="33"/>
      <c r="J145" s="37"/>
    </row>
    <row r="146" spans="1:10" x14ac:dyDescent="0.25">
      <c r="A146" s="32" t="s">
        <v>99</v>
      </c>
      <c r="B146" s="32">
        <f t="shared" si="44"/>
        <v>2053</v>
      </c>
      <c r="C146" s="33" t="s">
        <v>51</v>
      </c>
      <c r="D146" s="34" t="s">
        <v>1999</v>
      </c>
      <c r="E146" s="35" t="str">
        <f t="shared" si="42"/>
        <v>PRBDP'!</v>
      </c>
      <c r="F146" s="34" t="str">
        <f t="shared" si="43"/>
        <v>C:\Users\jaime.benazar\Quorum Business Solutions\Ecopetrol Prometeo - Documents\Planning Space Implementation\3. Analysis &amp; Design\Design\FC22\DRR Jaime\QUIFA-CAJÚA\Cajua\[CAJUA_CF_SEC_New_27-Feb-2024Rev3.xlsx]D-PRBDP'!</v>
      </c>
      <c r="G146" s="32" t="s">
        <v>59</v>
      </c>
      <c r="H146" s="33"/>
      <c r="I146" s="33"/>
      <c r="J146" s="37"/>
    </row>
    <row r="147" spans="1:10" x14ac:dyDescent="0.25">
      <c r="A147" s="32" t="s">
        <v>99</v>
      </c>
      <c r="B147" s="32">
        <f t="shared" si="44"/>
        <v>2054</v>
      </c>
      <c r="C147" s="33" t="s">
        <v>51</v>
      </c>
      <c r="D147" s="34" t="s">
        <v>1999</v>
      </c>
      <c r="E147" s="35" t="str">
        <f t="shared" si="42"/>
        <v>PRBDP'!</v>
      </c>
      <c r="F147" s="34" t="str">
        <f t="shared" si="43"/>
        <v>C:\Users\jaime.benazar\Quorum Business Solutions\Ecopetrol Prometeo - Documents\Planning Space Implementation\3. Analysis &amp; Design\Design\FC22\DRR Jaime\QUIFA-CAJÚA\Cajua\[CAJUA_CF_SEC_New_27-Feb-2024Rev3.xlsx]D-PRBDP'!</v>
      </c>
      <c r="G147" s="32" t="s">
        <v>59</v>
      </c>
      <c r="H147" s="33"/>
      <c r="I147" s="33"/>
      <c r="J147" s="37"/>
    </row>
    <row r="148" spans="1:10" x14ac:dyDescent="0.25">
      <c r="A148" s="32" t="s">
        <v>99</v>
      </c>
      <c r="B148" s="32">
        <f t="shared" si="44"/>
        <v>2055</v>
      </c>
      <c r="C148" s="33" t="s">
        <v>51</v>
      </c>
      <c r="D148" s="34" t="s">
        <v>1999</v>
      </c>
      <c r="E148" s="35" t="str">
        <f t="shared" si="42"/>
        <v>PRBDP'!</v>
      </c>
      <c r="F148" s="34" t="str">
        <f t="shared" si="43"/>
        <v>C:\Users\jaime.benazar\Quorum Business Solutions\Ecopetrol Prometeo - Documents\Planning Space Implementation\3. Analysis &amp; Design\Design\FC22\DRR Jaime\QUIFA-CAJÚA\Cajua\[CAJUA_CF_SEC_New_27-Feb-2024Rev3.xlsx]D-PRBDP'!</v>
      </c>
      <c r="G148" s="32" t="s">
        <v>59</v>
      </c>
      <c r="H148" s="33"/>
      <c r="I148" s="33"/>
      <c r="J148" s="37"/>
    </row>
    <row r="149" spans="1:10" x14ac:dyDescent="0.25">
      <c r="A149" s="32" t="s">
        <v>99</v>
      </c>
      <c r="B149" s="32">
        <f t="shared" si="44"/>
        <v>2056</v>
      </c>
      <c r="C149" s="33" t="s">
        <v>51</v>
      </c>
      <c r="D149" s="34" t="s">
        <v>1999</v>
      </c>
      <c r="E149" s="35" t="str">
        <f t="shared" si="42"/>
        <v>PRBDP'!</v>
      </c>
      <c r="F149" s="34" t="str">
        <f t="shared" si="43"/>
        <v>C:\Users\jaime.benazar\Quorum Business Solutions\Ecopetrol Prometeo - Documents\Planning Space Implementation\3. Analysis &amp; Design\Design\FC22\DRR Jaime\QUIFA-CAJÚA\Cajua\[CAJUA_CF_SEC_New_27-Feb-2024Rev3.xlsx]D-PRBDP'!</v>
      </c>
      <c r="G149" s="32" t="s">
        <v>59</v>
      </c>
      <c r="H149" s="33"/>
      <c r="I149" s="33"/>
      <c r="J149" s="37"/>
    </row>
    <row r="150" spans="1:10" x14ac:dyDescent="0.25">
      <c r="A150" s="32" t="s">
        <v>99</v>
      </c>
      <c r="B150" s="32">
        <f t="shared" si="44"/>
        <v>2057</v>
      </c>
      <c r="C150" s="33" t="s">
        <v>51</v>
      </c>
      <c r="D150" s="34" t="s">
        <v>1999</v>
      </c>
      <c r="E150" s="35" t="str">
        <f t="shared" si="42"/>
        <v>PRBDP'!</v>
      </c>
      <c r="F150" s="34" t="str">
        <f t="shared" si="43"/>
        <v>C:\Users\jaime.benazar\Quorum Business Solutions\Ecopetrol Prometeo - Documents\Planning Space Implementation\3. Analysis &amp; Design\Design\FC22\DRR Jaime\QUIFA-CAJÚA\Cajua\[CAJUA_CF_SEC_New_27-Feb-2024Rev3.xlsx]D-PRBDP'!</v>
      </c>
      <c r="G150" s="32" t="s">
        <v>59</v>
      </c>
      <c r="H150" s="33"/>
      <c r="I150" s="33"/>
      <c r="J150" s="37"/>
    </row>
    <row r="151" spans="1:10" x14ac:dyDescent="0.25">
      <c r="A151" s="32" t="s">
        <v>99</v>
      </c>
      <c r="B151" s="32">
        <f t="shared" si="44"/>
        <v>2058</v>
      </c>
      <c r="C151" s="33" t="s">
        <v>51</v>
      </c>
      <c r="D151" s="34" t="s">
        <v>1999</v>
      </c>
      <c r="E151" s="35" t="str">
        <f t="shared" si="42"/>
        <v>PRBDP'!</v>
      </c>
      <c r="F151" s="34" t="str">
        <f t="shared" si="43"/>
        <v>C:\Users\jaime.benazar\Quorum Business Solutions\Ecopetrol Prometeo - Documents\Planning Space Implementation\3. Analysis &amp; Design\Design\FC22\DRR Jaime\QUIFA-CAJÚA\Cajua\[CAJUA_CF_SEC_New_27-Feb-2024Rev3.xlsx]D-PRBDP'!</v>
      </c>
      <c r="G151" s="32" t="s">
        <v>59</v>
      </c>
      <c r="H151" s="33"/>
      <c r="I151" s="33"/>
      <c r="J151" s="37"/>
    </row>
    <row r="152" spans="1:10" x14ac:dyDescent="0.25">
      <c r="A152" s="32" t="s">
        <v>99</v>
      </c>
      <c r="B152" s="32">
        <f t="shared" si="44"/>
        <v>2059</v>
      </c>
      <c r="C152" s="33" t="s">
        <v>51</v>
      </c>
      <c r="D152" s="34" t="s">
        <v>1999</v>
      </c>
      <c r="E152" s="35" t="str">
        <f t="shared" si="42"/>
        <v>PRBDP'!</v>
      </c>
      <c r="F152" s="34" t="str">
        <f t="shared" si="43"/>
        <v>C:\Users\jaime.benazar\Quorum Business Solutions\Ecopetrol Prometeo - Documents\Planning Space Implementation\3. Analysis &amp; Design\Design\FC22\DRR Jaime\QUIFA-CAJÚA\Cajua\[CAJUA_CF_SEC_New_27-Feb-2024Rev3.xlsx]D-PRBDP'!</v>
      </c>
      <c r="G152" s="32" t="s">
        <v>59</v>
      </c>
      <c r="H152" s="33"/>
      <c r="I152" s="33"/>
      <c r="J152" s="37"/>
    </row>
    <row r="153" spans="1:10" x14ac:dyDescent="0.25">
      <c r="A153" s="32" t="s">
        <v>28</v>
      </c>
      <c r="B153" s="32"/>
      <c r="C153" s="33" t="s">
        <v>51</v>
      </c>
      <c r="D153" s="34"/>
      <c r="E153" s="35"/>
      <c r="F153" s="34"/>
      <c r="G153" s="32"/>
      <c r="H153" s="33"/>
      <c r="I153" s="33"/>
      <c r="J153" s="33"/>
    </row>
    <row r="154" spans="1:10" x14ac:dyDescent="0.25">
      <c r="A154" s="32" t="s">
        <v>100</v>
      </c>
      <c r="B154" s="32">
        <v>2023</v>
      </c>
      <c r="C154" s="33" t="s">
        <v>51</v>
      </c>
      <c r="D154" s="34" t="s">
        <v>1999</v>
      </c>
      <c r="E154" s="35" t="str">
        <f t="shared" ref="E154:E174" si="45">_xlfn.CONCAT(A154,"'!")</f>
        <v>PRBNP'!</v>
      </c>
      <c r="F154" s="34" t="str">
        <f t="shared" ref="F154:F174" si="46">_xlfn.CONCAT(D154:E154)</f>
        <v>C:\Users\jaime.benazar\Quorum Business Solutions\Ecopetrol Prometeo - Documents\Planning Space Implementation\3. Analysis &amp; Design\Design\FC22\DRR Jaime\QUIFA-CAJÚA\Cajua\[CAJUA_CF_SEC_New_27-Feb-2024Rev3.xlsx]D-PRBNP'!</v>
      </c>
      <c r="G154" s="32" t="s">
        <v>59</v>
      </c>
      <c r="H154" s="33"/>
      <c r="I154" s="33"/>
      <c r="J154" s="37"/>
    </row>
    <row r="155" spans="1:10" x14ac:dyDescent="0.25">
      <c r="A155" s="32" t="s">
        <v>100</v>
      </c>
      <c r="B155" s="32">
        <f>+B154+1</f>
        <v>2024</v>
      </c>
      <c r="C155" s="33" t="s">
        <v>51</v>
      </c>
      <c r="D155" s="34" t="s">
        <v>1999</v>
      </c>
      <c r="E155" s="35" t="str">
        <f t="shared" si="45"/>
        <v>PRBNP'!</v>
      </c>
      <c r="F155" s="34" t="str">
        <f t="shared" si="46"/>
        <v>C:\Users\jaime.benazar\Quorum Business Solutions\Ecopetrol Prometeo - Documents\Planning Space Implementation\3. Analysis &amp; Design\Design\FC22\DRR Jaime\QUIFA-CAJÚA\Cajua\[CAJUA_CF_SEC_New_27-Feb-2024Rev3.xlsx]D-PRBNP'!</v>
      </c>
      <c r="G155" s="32" t="s">
        <v>59</v>
      </c>
      <c r="H155" s="33"/>
      <c r="I155" s="33"/>
      <c r="J155" s="37"/>
    </row>
    <row r="156" spans="1:10" x14ac:dyDescent="0.25">
      <c r="A156" s="32" t="s">
        <v>100</v>
      </c>
      <c r="B156" s="32">
        <f t="shared" ref="B156:B167" si="47">+B155+1</f>
        <v>2025</v>
      </c>
      <c r="C156" s="33" t="s">
        <v>51</v>
      </c>
      <c r="D156" s="34" t="s">
        <v>1999</v>
      </c>
      <c r="E156" s="35" t="str">
        <f t="shared" si="45"/>
        <v>PRBNP'!</v>
      </c>
      <c r="F156" s="34" t="str">
        <f t="shared" si="46"/>
        <v>C:\Users\jaime.benazar\Quorum Business Solutions\Ecopetrol Prometeo - Documents\Planning Space Implementation\3. Analysis &amp; Design\Design\FC22\DRR Jaime\QUIFA-CAJÚA\Cajua\[CAJUA_CF_SEC_New_27-Feb-2024Rev3.xlsx]D-PRBNP'!</v>
      </c>
      <c r="G156" s="32" t="s">
        <v>59</v>
      </c>
      <c r="H156" s="33"/>
      <c r="I156" s="33"/>
      <c r="J156" s="37"/>
    </row>
    <row r="157" spans="1:10" x14ac:dyDescent="0.25">
      <c r="A157" s="32" t="s">
        <v>100</v>
      </c>
      <c r="B157" s="32">
        <f t="shared" si="47"/>
        <v>2026</v>
      </c>
      <c r="C157" s="33" t="s">
        <v>51</v>
      </c>
      <c r="D157" s="34" t="s">
        <v>1999</v>
      </c>
      <c r="E157" s="35" t="str">
        <f t="shared" si="45"/>
        <v>PRBNP'!</v>
      </c>
      <c r="F157" s="34" t="str">
        <f t="shared" si="46"/>
        <v>C:\Users\jaime.benazar\Quorum Business Solutions\Ecopetrol Prometeo - Documents\Planning Space Implementation\3. Analysis &amp; Design\Design\FC22\DRR Jaime\QUIFA-CAJÚA\Cajua\[CAJUA_CF_SEC_New_27-Feb-2024Rev3.xlsx]D-PRBNP'!</v>
      </c>
      <c r="G157" s="32" t="s">
        <v>59</v>
      </c>
      <c r="H157" s="33"/>
      <c r="I157" s="33"/>
      <c r="J157" s="37"/>
    </row>
    <row r="158" spans="1:10" x14ac:dyDescent="0.25">
      <c r="A158" s="32" t="s">
        <v>100</v>
      </c>
      <c r="B158" s="32">
        <f t="shared" si="47"/>
        <v>2027</v>
      </c>
      <c r="C158" s="33" t="s">
        <v>51</v>
      </c>
      <c r="D158" s="34" t="s">
        <v>1999</v>
      </c>
      <c r="E158" s="35" t="str">
        <f t="shared" si="45"/>
        <v>PRBNP'!</v>
      </c>
      <c r="F158" s="34" t="str">
        <f t="shared" si="46"/>
        <v>C:\Users\jaime.benazar\Quorum Business Solutions\Ecopetrol Prometeo - Documents\Planning Space Implementation\3. Analysis &amp; Design\Design\FC22\DRR Jaime\QUIFA-CAJÚA\Cajua\[CAJUA_CF_SEC_New_27-Feb-2024Rev3.xlsx]D-PRBNP'!</v>
      </c>
      <c r="G158" s="32" t="s">
        <v>59</v>
      </c>
      <c r="H158" s="33"/>
      <c r="I158" s="33"/>
      <c r="J158" s="37"/>
    </row>
    <row r="159" spans="1:10" x14ac:dyDescent="0.25">
      <c r="A159" s="32" t="s">
        <v>100</v>
      </c>
      <c r="B159" s="32">
        <f t="shared" si="47"/>
        <v>2028</v>
      </c>
      <c r="C159" s="33" t="s">
        <v>51</v>
      </c>
      <c r="D159" s="34" t="s">
        <v>1999</v>
      </c>
      <c r="E159" s="35" t="str">
        <f t="shared" si="45"/>
        <v>PRBNP'!</v>
      </c>
      <c r="F159" s="34" t="str">
        <f t="shared" si="46"/>
        <v>C:\Users\jaime.benazar\Quorum Business Solutions\Ecopetrol Prometeo - Documents\Planning Space Implementation\3. Analysis &amp; Design\Design\FC22\DRR Jaime\QUIFA-CAJÚA\Cajua\[CAJUA_CF_SEC_New_27-Feb-2024Rev3.xlsx]D-PRBNP'!</v>
      </c>
      <c r="G159" s="32" t="s">
        <v>59</v>
      </c>
      <c r="H159" s="33"/>
      <c r="I159" s="33"/>
      <c r="J159" s="37"/>
    </row>
    <row r="160" spans="1:10" x14ac:dyDescent="0.25">
      <c r="A160" s="32" t="s">
        <v>100</v>
      </c>
      <c r="B160" s="32">
        <f t="shared" si="47"/>
        <v>2029</v>
      </c>
      <c r="C160" s="33" t="s">
        <v>51</v>
      </c>
      <c r="D160" s="34" t="s">
        <v>1999</v>
      </c>
      <c r="E160" s="35" t="str">
        <f t="shared" si="45"/>
        <v>PRBNP'!</v>
      </c>
      <c r="F160" s="34" t="str">
        <f t="shared" si="46"/>
        <v>C:\Users\jaime.benazar\Quorum Business Solutions\Ecopetrol Prometeo - Documents\Planning Space Implementation\3. Analysis &amp; Design\Design\FC22\DRR Jaime\QUIFA-CAJÚA\Cajua\[CAJUA_CF_SEC_New_27-Feb-2024Rev3.xlsx]D-PRBNP'!</v>
      </c>
      <c r="G160" s="32" t="s">
        <v>59</v>
      </c>
      <c r="H160" s="33"/>
      <c r="I160" s="33"/>
      <c r="J160" s="37"/>
    </row>
    <row r="161" spans="1:10" x14ac:dyDescent="0.25">
      <c r="A161" s="32" t="s">
        <v>100</v>
      </c>
      <c r="B161" s="32">
        <f t="shared" si="47"/>
        <v>2030</v>
      </c>
      <c r="C161" s="33" t="s">
        <v>51</v>
      </c>
      <c r="D161" s="34" t="s">
        <v>1999</v>
      </c>
      <c r="E161" s="35" t="str">
        <f t="shared" si="45"/>
        <v>PRBNP'!</v>
      </c>
      <c r="F161" s="34" t="str">
        <f t="shared" si="46"/>
        <v>C:\Users\jaime.benazar\Quorum Business Solutions\Ecopetrol Prometeo - Documents\Planning Space Implementation\3. Analysis &amp; Design\Design\FC22\DRR Jaime\QUIFA-CAJÚA\Cajua\[CAJUA_CF_SEC_New_27-Feb-2024Rev3.xlsx]D-PRBNP'!</v>
      </c>
      <c r="G161" s="32" t="s">
        <v>59</v>
      </c>
      <c r="H161" s="33"/>
      <c r="I161" s="33"/>
      <c r="J161" s="37"/>
    </row>
    <row r="162" spans="1:10" x14ac:dyDescent="0.25">
      <c r="A162" s="32" t="s">
        <v>100</v>
      </c>
      <c r="B162" s="32">
        <f t="shared" si="47"/>
        <v>2031</v>
      </c>
      <c r="C162" s="33" t="s">
        <v>51</v>
      </c>
      <c r="D162" s="34" t="s">
        <v>1999</v>
      </c>
      <c r="E162" s="35" t="str">
        <f t="shared" si="45"/>
        <v>PRBNP'!</v>
      </c>
      <c r="F162" s="34" t="str">
        <f t="shared" si="46"/>
        <v>C:\Users\jaime.benazar\Quorum Business Solutions\Ecopetrol Prometeo - Documents\Planning Space Implementation\3. Analysis &amp; Design\Design\FC22\DRR Jaime\QUIFA-CAJÚA\Cajua\[CAJUA_CF_SEC_New_27-Feb-2024Rev3.xlsx]D-PRBNP'!</v>
      </c>
      <c r="G162" s="32" t="s">
        <v>59</v>
      </c>
      <c r="H162" s="33"/>
      <c r="I162" s="33"/>
      <c r="J162" s="37"/>
    </row>
    <row r="163" spans="1:10" x14ac:dyDescent="0.25">
      <c r="A163" s="32" t="s">
        <v>100</v>
      </c>
      <c r="B163" s="32">
        <f t="shared" si="47"/>
        <v>2032</v>
      </c>
      <c r="C163" s="33" t="s">
        <v>51</v>
      </c>
      <c r="D163" s="34" t="s">
        <v>1999</v>
      </c>
      <c r="E163" s="35" t="str">
        <f t="shared" si="45"/>
        <v>PRBNP'!</v>
      </c>
      <c r="F163" s="34" t="str">
        <f t="shared" si="46"/>
        <v>C:\Users\jaime.benazar\Quorum Business Solutions\Ecopetrol Prometeo - Documents\Planning Space Implementation\3. Analysis &amp; Design\Design\FC22\DRR Jaime\QUIFA-CAJÚA\Cajua\[CAJUA_CF_SEC_New_27-Feb-2024Rev3.xlsx]D-PRBNP'!</v>
      </c>
      <c r="G163" s="32" t="s">
        <v>59</v>
      </c>
      <c r="H163" s="33"/>
      <c r="I163" s="33"/>
      <c r="J163" s="37"/>
    </row>
    <row r="164" spans="1:10" x14ac:dyDescent="0.25">
      <c r="A164" s="32" t="s">
        <v>100</v>
      </c>
      <c r="B164" s="32">
        <f t="shared" si="47"/>
        <v>2033</v>
      </c>
      <c r="C164" s="33" t="s">
        <v>51</v>
      </c>
      <c r="D164" s="34" t="s">
        <v>1999</v>
      </c>
      <c r="E164" s="35" t="str">
        <f t="shared" si="45"/>
        <v>PRBNP'!</v>
      </c>
      <c r="F164" s="34" t="str">
        <f t="shared" si="46"/>
        <v>C:\Users\jaime.benazar\Quorum Business Solutions\Ecopetrol Prometeo - Documents\Planning Space Implementation\3. Analysis &amp; Design\Design\FC22\DRR Jaime\QUIFA-CAJÚA\Cajua\[CAJUA_CF_SEC_New_27-Feb-2024Rev3.xlsx]D-PRBNP'!</v>
      </c>
      <c r="G164" s="32" t="s">
        <v>59</v>
      </c>
      <c r="H164" s="33"/>
      <c r="I164" s="33"/>
      <c r="J164" s="37"/>
    </row>
    <row r="165" spans="1:10" x14ac:dyDescent="0.25">
      <c r="A165" s="32" t="s">
        <v>100</v>
      </c>
      <c r="B165" s="32">
        <f t="shared" si="47"/>
        <v>2034</v>
      </c>
      <c r="C165" s="33" t="s">
        <v>51</v>
      </c>
      <c r="D165" s="34" t="s">
        <v>1999</v>
      </c>
      <c r="E165" s="35" t="str">
        <f t="shared" si="45"/>
        <v>PRBNP'!</v>
      </c>
      <c r="F165" s="34" t="str">
        <f t="shared" si="46"/>
        <v>C:\Users\jaime.benazar\Quorum Business Solutions\Ecopetrol Prometeo - Documents\Planning Space Implementation\3. Analysis &amp; Design\Design\FC22\DRR Jaime\QUIFA-CAJÚA\Cajua\[CAJUA_CF_SEC_New_27-Feb-2024Rev3.xlsx]D-PRBNP'!</v>
      </c>
      <c r="G165" s="32" t="s">
        <v>59</v>
      </c>
      <c r="H165" s="33"/>
      <c r="I165" s="33"/>
      <c r="J165" s="37"/>
    </row>
    <row r="166" spans="1:10" x14ac:dyDescent="0.25">
      <c r="A166" s="32" t="s">
        <v>100</v>
      </c>
      <c r="B166" s="32">
        <f t="shared" si="47"/>
        <v>2035</v>
      </c>
      <c r="C166" s="33" t="s">
        <v>51</v>
      </c>
      <c r="D166" s="34" t="s">
        <v>1999</v>
      </c>
      <c r="E166" s="35" t="str">
        <f t="shared" si="45"/>
        <v>PRBNP'!</v>
      </c>
      <c r="F166" s="34" t="str">
        <f t="shared" si="46"/>
        <v>C:\Users\jaime.benazar\Quorum Business Solutions\Ecopetrol Prometeo - Documents\Planning Space Implementation\3. Analysis &amp; Design\Design\FC22\DRR Jaime\QUIFA-CAJÚA\Cajua\[CAJUA_CF_SEC_New_27-Feb-2024Rev3.xlsx]D-PRBNP'!</v>
      </c>
      <c r="G166" s="32" t="s">
        <v>59</v>
      </c>
      <c r="H166" s="33"/>
      <c r="I166" s="33"/>
      <c r="J166" s="37"/>
    </row>
    <row r="167" spans="1:10" x14ac:dyDescent="0.25">
      <c r="A167" s="32" t="s">
        <v>100</v>
      </c>
      <c r="B167" s="32">
        <f t="shared" si="47"/>
        <v>2036</v>
      </c>
      <c r="C167" s="33" t="s">
        <v>51</v>
      </c>
      <c r="D167" s="34" t="s">
        <v>1999</v>
      </c>
      <c r="E167" s="35" t="str">
        <f t="shared" si="45"/>
        <v>PRBNP'!</v>
      </c>
      <c r="F167" s="34" t="str">
        <f t="shared" si="46"/>
        <v>C:\Users\jaime.benazar\Quorum Business Solutions\Ecopetrol Prometeo - Documents\Planning Space Implementation\3. Analysis &amp; Design\Design\FC22\DRR Jaime\QUIFA-CAJÚA\Cajua\[CAJUA_CF_SEC_New_27-Feb-2024Rev3.xlsx]D-PRBNP'!</v>
      </c>
      <c r="G167" s="32" t="s">
        <v>59</v>
      </c>
      <c r="H167" s="33"/>
      <c r="I167" s="33"/>
      <c r="J167" s="37"/>
    </row>
    <row r="168" spans="1:10" x14ac:dyDescent="0.25">
      <c r="A168" s="32" t="s">
        <v>100</v>
      </c>
      <c r="B168" s="32">
        <f>+B167+1</f>
        <v>2037</v>
      </c>
      <c r="C168" s="33" t="s">
        <v>51</v>
      </c>
      <c r="D168" s="34" t="s">
        <v>1999</v>
      </c>
      <c r="E168" s="35" t="str">
        <f t="shared" si="45"/>
        <v>PRBNP'!</v>
      </c>
      <c r="F168" s="34" t="str">
        <f t="shared" si="46"/>
        <v>C:\Users\jaime.benazar\Quorum Business Solutions\Ecopetrol Prometeo - Documents\Planning Space Implementation\3. Analysis &amp; Design\Design\FC22\DRR Jaime\QUIFA-CAJÚA\Cajua\[CAJUA_CF_SEC_New_27-Feb-2024Rev3.xlsx]D-PRBNP'!</v>
      </c>
      <c r="G168" s="32" t="s">
        <v>59</v>
      </c>
      <c r="H168" s="33"/>
      <c r="I168" s="33"/>
      <c r="J168" s="37"/>
    </row>
    <row r="169" spans="1:10" x14ac:dyDescent="0.25">
      <c r="A169" s="32" t="s">
        <v>100</v>
      </c>
      <c r="B169" s="32">
        <f t="shared" ref="B169:B171" si="48">+B168+1</f>
        <v>2038</v>
      </c>
      <c r="C169" s="33" t="s">
        <v>51</v>
      </c>
      <c r="D169" s="34" t="s">
        <v>1999</v>
      </c>
      <c r="E169" s="35" t="str">
        <f t="shared" si="45"/>
        <v>PRBNP'!</v>
      </c>
      <c r="F169" s="34" t="str">
        <f t="shared" si="46"/>
        <v>C:\Users\jaime.benazar\Quorum Business Solutions\Ecopetrol Prometeo - Documents\Planning Space Implementation\3. Analysis &amp; Design\Design\FC22\DRR Jaime\QUIFA-CAJÚA\Cajua\[CAJUA_CF_SEC_New_27-Feb-2024Rev3.xlsx]D-PRBNP'!</v>
      </c>
      <c r="G169" s="32" t="s">
        <v>59</v>
      </c>
      <c r="H169" s="33"/>
      <c r="I169" s="33"/>
      <c r="J169" s="37"/>
    </row>
    <row r="170" spans="1:10" x14ac:dyDescent="0.25">
      <c r="A170" s="32" t="s">
        <v>100</v>
      </c>
      <c r="B170" s="32">
        <f t="shared" si="48"/>
        <v>2039</v>
      </c>
      <c r="C170" s="33" t="s">
        <v>51</v>
      </c>
      <c r="D170" s="34" t="s">
        <v>1999</v>
      </c>
      <c r="E170" s="35" t="str">
        <f t="shared" si="45"/>
        <v>PRBNP'!</v>
      </c>
      <c r="F170" s="34" t="str">
        <f t="shared" si="46"/>
        <v>C:\Users\jaime.benazar\Quorum Business Solutions\Ecopetrol Prometeo - Documents\Planning Space Implementation\3. Analysis &amp; Design\Design\FC22\DRR Jaime\QUIFA-CAJÚA\Cajua\[CAJUA_CF_SEC_New_27-Feb-2024Rev3.xlsx]D-PRBNP'!</v>
      </c>
      <c r="G170" s="32" t="s">
        <v>59</v>
      </c>
      <c r="H170" s="33"/>
      <c r="I170" s="33"/>
      <c r="J170" s="37"/>
    </row>
    <row r="171" spans="1:10" x14ac:dyDescent="0.25">
      <c r="A171" s="32" t="s">
        <v>100</v>
      </c>
      <c r="B171" s="32">
        <f t="shared" si="48"/>
        <v>2040</v>
      </c>
      <c r="C171" s="33" t="s">
        <v>51</v>
      </c>
      <c r="D171" s="34" t="s">
        <v>1999</v>
      </c>
      <c r="E171" s="35" t="str">
        <f t="shared" si="45"/>
        <v>PRBNP'!</v>
      </c>
      <c r="F171" s="34" t="str">
        <f t="shared" si="46"/>
        <v>C:\Users\jaime.benazar\Quorum Business Solutions\Ecopetrol Prometeo - Documents\Planning Space Implementation\3. Analysis &amp; Design\Design\FC22\DRR Jaime\QUIFA-CAJÚA\Cajua\[CAJUA_CF_SEC_New_27-Feb-2024Rev3.xlsx]D-PRBNP'!</v>
      </c>
      <c r="G171" s="32" t="s">
        <v>59</v>
      </c>
      <c r="H171" s="33"/>
      <c r="I171" s="33"/>
      <c r="J171" s="37"/>
    </row>
    <row r="172" spans="1:10" x14ac:dyDescent="0.25">
      <c r="A172" s="32" t="s">
        <v>100</v>
      </c>
      <c r="B172" s="32">
        <f>+B171+1</f>
        <v>2041</v>
      </c>
      <c r="C172" s="33" t="s">
        <v>51</v>
      </c>
      <c r="D172" s="34" t="s">
        <v>1999</v>
      </c>
      <c r="E172" s="35" t="str">
        <f t="shared" si="45"/>
        <v>PRBNP'!</v>
      </c>
      <c r="F172" s="34" t="str">
        <f t="shared" si="46"/>
        <v>C:\Users\jaime.benazar\Quorum Business Solutions\Ecopetrol Prometeo - Documents\Planning Space Implementation\3. Analysis &amp; Design\Design\FC22\DRR Jaime\QUIFA-CAJÚA\Cajua\[CAJUA_CF_SEC_New_27-Feb-2024Rev3.xlsx]D-PRBNP'!</v>
      </c>
      <c r="G172" s="32" t="s">
        <v>59</v>
      </c>
      <c r="H172" s="33"/>
      <c r="I172" s="33"/>
      <c r="J172" s="37"/>
    </row>
    <row r="173" spans="1:10" x14ac:dyDescent="0.25">
      <c r="A173" s="32" t="s">
        <v>100</v>
      </c>
      <c r="B173" s="32">
        <f t="shared" ref="B173:B174" si="49">+B172+1</f>
        <v>2042</v>
      </c>
      <c r="C173" s="33" t="s">
        <v>51</v>
      </c>
      <c r="D173" s="34" t="s">
        <v>1999</v>
      </c>
      <c r="E173" s="35" t="str">
        <f t="shared" si="45"/>
        <v>PRBNP'!</v>
      </c>
      <c r="F173" s="34" t="str">
        <f t="shared" si="46"/>
        <v>C:\Users\jaime.benazar\Quorum Business Solutions\Ecopetrol Prometeo - Documents\Planning Space Implementation\3. Analysis &amp; Design\Design\FC22\DRR Jaime\QUIFA-CAJÚA\Cajua\[CAJUA_CF_SEC_New_27-Feb-2024Rev3.xlsx]D-PRBNP'!</v>
      </c>
      <c r="G173" s="32" t="s">
        <v>59</v>
      </c>
      <c r="H173" s="33"/>
      <c r="I173" s="33"/>
      <c r="J173" s="37"/>
    </row>
    <row r="174" spans="1:10" x14ac:dyDescent="0.25">
      <c r="A174" s="32" t="s">
        <v>100</v>
      </c>
      <c r="B174" s="32">
        <f t="shared" si="49"/>
        <v>2043</v>
      </c>
      <c r="C174" s="33" t="s">
        <v>51</v>
      </c>
      <c r="D174" s="34" t="s">
        <v>1999</v>
      </c>
      <c r="E174" s="35" t="str">
        <f t="shared" si="45"/>
        <v>PRBNP'!</v>
      </c>
      <c r="F174" s="34" t="str">
        <f t="shared" si="46"/>
        <v>C:\Users\jaime.benazar\Quorum Business Solutions\Ecopetrol Prometeo - Documents\Planning Space Implementation\3. Analysis &amp; Design\Design\FC22\DRR Jaime\QUIFA-CAJÚA\Cajua\[CAJUA_CF_SEC_New_27-Feb-2024Rev3.xlsx]D-PRBNP'!</v>
      </c>
      <c r="G174" s="32" t="s">
        <v>59</v>
      </c>
      <c r="H174" s="33"/>
      <c r="I174" s="33"/>
      <c r="J174" s="37"/>
    </row>
    <row r="175" spans="1:10" x14ac:dyDescent="0.25">
      <c r="A175" s="32" t="s">
        <v>100</v>
      </c>
      <c r="B175" s="32">
        <f>+B174+1</f>
        <v>2044</v>
      </c>
      <c r="C175" s="33" t="s">
        <v>51</v>
      </c>
      <c r="D175" s="34" t="s">
        <v>1999</v>
      </c>
      <c r="E175" s="35" t="str">
        <f t="shared" ref="E175:E190" si="50">_xlfn.CONCAT(A175,"'!")</f>
        <v>PRBNP'!</v>
      </c>
      <c r="F175" s="34" t="str">
        <f t="shared" ref="F175:F190" si="51">_xlfn.CONCAT(D175:E175)</f>
        <v>C:\Users\jaime.benazar\Quorum Business Solutions\Ecopetrol Prometeo - Documents\Planning Space Implementation\3. Analysis &amp; Design\Design\FC22\DRR Jaime\QUIFA-CAJÚA\Cajua\[CAJUA_CF_SEC_New_27-Feb-2024Rev3.xlsx]D-PRBNP'!</v>
      </c>
      <c r="G175" s="32" t="s">
        <v>59</v>
      </c>
      <c r="H175" s="33"/>
      <c r="I175" s="33"/>
      <c r="J175" s="37"/>
    </row>
    <row r="176" spans="1:10" x14ac:dyDescent="0.25">
      <c r="A176" s="32" t="s">
        <v>100</v>
      </c>
      <c r="B176" s="32">
        <f t="shared" ref="B176:B190" si="52">+B175+1</f>
        <v>2045</v>
      </c>
      <c r="C176" s="33" t="s">
        <v>51</v>
      </c>
      <c r="D176" s="34" t="s">
        <v>1999</v>
      </c>
      <c r="E176" s="35" t="str">
        <f t="shared" si="50"/>
        <v>PRBNP'!</v>
      </c>
      <c r="F176" s="34" t="str">
        <f t="shared" si="51"/>
        <v>C:\Users\jaime.benazar\Quorum Business Solutions\Ecopetrol Prometeo - Documents\Planning Space Implementation\3. Analysis &amp; Design\Design\FC22\DRR Jaime\QUIFA-CAJÚA\Cajua\[CAJUA_CF_SEC_New_27-Feb-2024Rev3.xlsx]D-PRBNP'!</v>
      </c>
      <c r="G176" s="32" t="s">
        <v>59</v>
      </c>
      <c r="H176" s="33"/>
      <c r="I176" s="33"/>
      <c r="J176" s="37"/>
    </row>
    <row r="177" spans="1:10" x14ac:dyDescent="0.25">
      <c r="A177" s="32" t="s">
        <v>100</v>
      </c>
      <c r="B177" s="32">
        <f t="shared" si="52"/>
        <v>2046</v>
      </c>
      <c r="C177" s="33" t="s">
        <v>51</v>
      </c>
      <c r="D177" s="34" t="s">
        <v>1999</v>
      </c>
      <c r="E177" s="35" t="str">
        <f t="shared" si="50"/>
        <v>PRBNP'!</v>
      </c>
      <c r="F177" s="34" t="str">
        <f t="shared" si="51"/>
        <v>C:\Users\jaime.benazar\Quorum Business Solutions\Ecopetrol Prometeo - Documents\Planning Space Implementation\3. Analysis &amp; Design\Design\FC22\DRR Jaime\QUIFA-CAJÚA\Cajua\[CAJUA_CF_SEC_New_27-Feb-2024Rev3.xlsx]D-PRBNP'!</v>
      </c>
      <c r="G177" s="32" t="s">
        <v>59</v>
      </c>
      <c r="H177" s="33"/>
      <c r="I177" s="33"/>
      <c r="J177" s="37"/>
    </row>
    <row r="178" spans="1:10" x14ac:dyDescent="0.25">
      <c r="A178" s="32" t="s">
        <v>100</v>
      </c>
      <c r="B178" s="32">
        <f t="shared" si="52"/>
        <v>2047</v>
      </c>
      <c r="C178" s="33" t="s">
        <v>51</v>
      </c>
      <c r="D178" s="34" t="s">
        <v>1999</v>
      </c>
      <c r="E178" s="35" t="str">
        <f t="shared" si="50"/>
        <v>PRBNP'!</v>
      </c>
      <c r="F178" s="34" t="str">
        <f t="shared" si="51"/>
        <v>C:\Users\jaime.benazar\Quorum Business Solutions\Ecopetrol Prometeo - Documents\Planning Space Implementation\3. Analysis &amp; Design\Design\FC22\DRR Jaime\QUIFA-CAJÚA\Cajua\[CAJUA_CF_SEC_New_27-Feb-2024Rev3.xlsx]D-PRBNP'!</v>
      </c>
      <c r="G178" s="32" t="s">
        <v>59</v>
      </c>
      <c r="H178" s="33"/>
      <c r="I178" s="33"/>
      <c r="J178" s="37"/>
    </row>
    <row r="179" spans="1:10" x14ac:dyDescent="0.25">
      <c r="A179" s="32" t="s">
        <v>100</v>
      </c>
      <c r="B179" s="32">
        <f t="shared" si="52"/>
        <v>2048</v>
      </c>
      <c r="C179" s="33" t="s">
        <v>51</v>
      </c>
      <c r="D179" s="34" t="s">
        <v>1999</v>
      </c>
      <c r="E179" s="35" t="str">
        <f t="shared" si="50"/>
        <v>PRBNP'!</v>
      </c>
      <c r="F179" s="34" t="str">
        <f t="shared" si="51"/>
        <v>C:\Users\jaime.benazar\Quorum Business Solutions\Ecopetrol Prometeo - Documents\Planning Space Implementation\3. Analysis &amp; Design\Design\FC22\DRR Jaime\QUIFA-CAJÚA\Cajua\[CAJUA_CF_SEC_New_27-Feb-2024Rev3.xlsx]D-PRBNP'!</v>
      </c>
      <c r="G179" s="32" t="s">
        <v>59</v>
      </c>
      <c r="H179" s="33"/>
      <c r="I179" s="33"/>
      <c r="J179" s="37"/>
    </row>
    <row r="180" spans="1:10" x14ac:dyDescent="0.25">
      <c r="A180" s="32" t="s">
        <v>100</v>
      </c>
      <c r="B180" s="32">
        <f t="shared" si="52"/>
        <v>2049</v>
      </c>
      <c r="C180" s="33" t="s">
        <v>51</v>
      </c>
      <c r="D180" s="34" t="s">
        <v>1999</v>
      </c>
      <c r="E180" s="35" t="str">
        <f t="shared" si="50"/>
        <v>PRBNP'!</v>
      </c>
      <c r="F180" s="34" t="str">
        <f t="shared" si="51"/>
        <v>C:\Users\jaime.benazar\Quorum Business Solutions\Ecopetrol Prometeo - Documents\Planning Space Implementation\3. Analysis &amp; Design\Design\FC22\DRR Jaime\QUIFA-CAJÚA\Cajua\[CAJUA_CF_SEC_New_27-Feb-2024Rev3.xlsx]D-PRBNP'!</v>
      </c>
      <c r="G180" s="32" t="s">
        <v>59</v>
      </c>
      <c r="H180" s="33"/>
      <c r="I180" s="33"/>
      <c r="J180" s="37"/>
    </row>
    <row r="181" spans="1:10" x14ac:dyDescent="0.25">
      <c r="A181" s="32" t="s">
        <v>100</v>
      </c>
      <c r="B181" s="32">
        <f t="shared" si="52"/>
        <v>2050</v>
      </c>
      <c r="C181" s="33" t="s">
        <v>51</v>
      </c>
      <c r="D181" s="34" t="s">
        <v>1999</v>
      </c>
      <c r="E181" s="35" t="str">
        <f t="shared" si="50"/>
        <v>PRBNP'!</v>
      </c>
      <c r="F181" s="34" t="str">
        <f t="shared" si="51"/>
        <v>C:\Users\jaime.benazar\Quorum Business Solutions\Ecopetrol Prometeo - Documents\Planning Space Implementation\3. Analysis &amp; Design\Design\FC22\DRR Jaime\QUIFA-CAJÚA\Cajua\[CAJUA_CF_SEC_New_27-Feb-2024Rev3.xlsx]D-PRBNP'!</v>
      </c>
      <c r="G181" s="32" t="s">
        <v>59</v>
      </c>
      <c r="H181" s="33"/>
      <c r="I181" s="33"/>
      <c r="J181" s="37"/>
    </row>
    <row r="182" spans="1:10" x14ac:dyDescent="0.25">
      <c r="A182" s="32" t="s">
        <v>100</v>
      </c>
      <c r="B182" s="32">
        <f t="shared" si="52"/>
        <v>2051</v>
      </c>
      <c r="C182" s="33" t="s">
        <v>51</v>
      </c>
      <c r="D182" s="34" t="s">
        <v>1999</v>
      </c>
      <c r="E182" s="35" t="str">
        <f t="shared" si="50"/>
        <v>PRBNP'!</v>
      </c>
      <c r="F182" s="34" t="str">
        <f t="shared" si="51"/>
        <v>C:\Users\jaime.benazar\Quorum Business Solutions\Ecopetrol Prometeo - Documents\Planning Space Implementation\3. Analysis &amp; Design\Design\FC22\DRR Jaime\QUIFA-CAJÚA\Cajua\[CAJUA_CF_SEC_New_27-Feb-2024Rev3.xlsx]D-PRBNP'!</v>
      </c>
      <c r="G182" s="32" t="s">
        <v>59</v>
      </c>
      <c r="H182" s="33"/>
      <c r="I182" s="33"/>
      <c r="J182" s="37"/>
    </row>
    <row r="183" spans="1:10" x14ac:dyDescent="0.25">
      <c r="A183" s="32" t="s">
        <v>100</v>
      </c>
      <c r="B183" s="32">
        <f t="shared" si="52"/>
        <v>2052</v>
      </c>
      <c r="C183" s="33" t="s">
        <v>51</v>
      </c>
      <c r="D183" s="34" t="s">
        <v>1999</v>
      </c>
      <c r="E183" s="35" t="str">
        <f t="shared" si="50"/>
        <v>PRBNP'!</v>
      </c>
      <c r="F183" s="34" t="str">
        <f t="shared" si="51"/>
        <v>C:\Users\jaime.benazar\Quorum Business Solutions\Ecopetrol Prometeo - Documents\Planning Space Implementation\3. Analysis &amp; Design\Design\FC22\DRR Jaime\QUIFA-CAJÚA\Cajua\[CAJUA_CF_SEC_New_27-Feb-2024Rev3.xlsx]D-PRBNP'!</v>
      </c>
      <c r="G183" s="32" t="s">
        <v>59</v>
      </c>
      <c r="H183" s="33"/>
      <c r="I183" s="33"/>
      <c r="J183" s="37"/>
    </row>
    <row r="184" spans="1:10" x14ac:dyDescent="0.25">
      <c r="A184" s="32" t="s">
        <v>100</v>
      </c>
      <c r="B184" s="32">
        <f t="shared" si="52"/>
        <v>2053</v>
      </c>
      <c r="C184" s="33" t="s">
        <v>51</v>
      </c>
      <c r="D184" s="34" t="s">
        <v>1999</v>
      </c>
      <c r="E184" s="35" t="str">
        <f t="shared" si="50"/>
        <v>PRBNP'!</v>
      </c>
      <c r="F184" s="34" t="str">
        <f t="shared" si="51"/>
        <v>C:\Users\jaime.benazar\Quorum Business Solutions\Ecopetrol Prometeo - Documents\Planning Space Implementation\3. Analysis &amp; Design\Design\FC22\DRR Jaime\QUIFA-CAJÚA\Cajua\[CAJUA_CF_SEC_New_27-Feb-2024Rev3.xlsx]D-PRBNP'!</v>
      </c>
      <c r="G184" s="32" t="s">
        <v>59</v>
      </c>
      <c r="H184" s="33"/>
      <c r="I184" s="33"/>
      <c r="J184" s="37"/>
    </row>
    <row r="185" spans="1:10" x14ac:dyDescent="0.25">
      <c r="A185" s="32" t="s">
        <v>100</v>
      </c>
      <c r="B185" s="32">
        <f t="shared" si="52"/>
        <v>2054</v>
      </c>
      <c r="C185" s="33" t="s">
        <v>51</v>
      </c>
      <c r="D185" s="34" t="s">
        <v>1999</v>
      </c>
      <c r="E185" s="35" t="str">
        <f t="shared" si="50"/>
        <v>PRBNP'!</v>
      </c>
      <c r="F185" s="34" t="str">
        <f t="shared" si="51"/>
        <v>C:\Users\jaime.benazar\Quorum Business Solutions\Ecopetrol Prometeo - Documents\Planning Space Implementation\3. Analysis &amp; Design\Design\FC22\DRR Jaime\QUIFA-CAJÚA\Cajua\[CAJUA_CF_SEC_New_27-Feb-2024Rev3.xlsx]D-PRBNP'!</v>
      </c>
      <c r="G185" s="32" t="s">
        <v>59</v>
      </c>
      <c r="H185" s="33"/>
      <c r="I185" s="33"/>
      <c r="J185" s="37"/>
    </row>
    <row r="186" spans="1:10" x14ac:dyDescent="0.25">
      <c r="A186" s="32" t="s">
        <v>100</v>
      </c>
      <c r="B186" s="32">
        <f t="shared" si="52"/>
        <v>2055</v>
      </c>
      <c r="C186" s="33" t="s">
        <v>51</v>
      </c>
      <c r="D186" s="34" t="s">
        <v>1999</v>
      </c>
      <c r="E186" s="35" t="str">
        <f t="shared" si="50"/>
        <v>PRBNP'!</v>
      </c>
      <c r="F186" s="34" t="str">
        <f t="shared" si="51"/>
        <v>C:\Users\jaime.benazar\Quorum Business Solutions\Ecopetrol Prometeo - Documents\Planning Space Implementation\3. Analysis &amp; Design\Design\FC22\DRR Jaime\QUIFA-CAJÚA\Cajua\[CAJUA_CF_SEC_New_27-Feb-2024Rev3.xlsx]D-PRBNP'!</v>
      </c>
      <c r="G186" s="32" t="s">
        <v>59</v>
      </c>
      <c r="H186" s="33"/>
      <c r="I186" s="33"/>
      <c r="J186" s="37"/>
    </row>
    <row r="187" spans="1:10" x14ac:dyDescent="0.25">
      <c r="A187" s="32" t="s">
        <v>100</v>
      </c>
      <c r="B187" s="32">
        <f t="shared" si="52"/>
        <v>2056</v>
      </c>
      <c r="C187" s="33" t="s">
        <v>51</v>
      </c>
      <c r="D187" s="34" t="s">
        <v>1999</v>
      </c>
      <c r="E187" s="35" t="str">
        <f t="shared" si="50"/>
        <v>PRBNP'!</v>
      </c>
      <c r="F187" s="34" t="str">
        <f t="shared" si="51"/>
        <v>C:\Users\jaime.benazar\Quorum Business Solutions\Ecopetrol Prometeo - Documents\Planning Space Implementation\3. Analysis &amp; Design\Design\FC22\DRR Jaime\QUIFA-CAJÚA\Cajua\[CAJUA_CF_SEC_New_27-Feb-2024Rev3.xlsx]D-PRBNP'!</v>
      </c>
      <c r="G187" s="32" t="s">
        <v>59</v>
      </c>
      <c r="H187" s="33"/>
      <c r="I187" s="33"/>
      <c r="J187" s="37"/>
    </row>
    <row r="188" spans="1:10" x14ac:dyDescent="0.25">
      <c r="A188" s="32" t="s">
        <v>100</v>
      </c>
      <c r="B188" s="32">
        <f t="shared" si="52"/>
        <v>2057</v>
      </c>
      <c r="C188" s="33" t="s">
        <v>51</v>
      </c>
      <c r="D188" s="34" t="s">
        <v>1999</v>
      </c>
      <c r="E188" s="35" t="str">
        <f t="shared" si="50"/>
        <v>PRBNP'!</v>
      </c>
      <c r="F188" s="34" t="str">
        <f t="shared" si="51"/>
        <v>C:\Users\jaime.benazar\Quorum Business Solutions\Ecopetrol Prometeo - Documents\Planning Space Implementation\3. Analysis &amp; Design\Design\FC22\DRR Jaime\QUIFA-CAJÚA\Cajua\[CAJUA_CF_SEC_New_27-Feb-2024Rev3.xlsx]D-PRBNP'!</v>
      </c>
      <c r="G188" s="32" t="s">
        <v>59</v>
      </c>
      <c r="H188" s="33"/>
      <c r="I188" s="33"/>
      <c r="J188" s="37"/>
    </row>
    <row r="189" spans="1:10" x14ac:dyDescent="0.25">
      <c r="A189" s="32" t="s">
        <v>100</v>
      </c>
      <c r="B189" s="32">
        <f t="shared" si="52"/>
        <v>2058</v>
      </c>
      <c r="C189" s="33" t="s">
        <v>51</v>
      </c>
      <c r="D189" s="34" t="s">
        <v>1999</v>
      </c>
      <c r="E189" s="35" t="str">
        <f t="shared" si="50"/>
        <v>PRBNP'!</v>
      </c>
      <c r="F189" s="34" t="str">
        <f t="shared" si="51"/>
        <v>C:\Users\jaime.benazar\Quorum Business Solutions\Ecopetrol Prometeo - Documents\Planning Space Implementation\3. Analysis &amp; Design\Design\FC22\DRR Jaime\QUIFA-CAJÚA\Cajua\[CAJUA_CF_SEC_New_27-Feb-2024Rev3.xlsx]D-PRBNP'!</v>
      </c>
      <c r="G189" s="32" t="s">
        <v>59</v>
      </c>
      <c r="H189" s="33"/>
      <c r="I189" s="33"/>
      <c r="J189" s="37"/>
    </row>
    <row r="190" spans="1:10" x14ac:dyDescent="0.25">
      <c r="A190" s="32" t="s">
        <v>100</v>
      </c>
      <c r="B190" s="32">
        <f t="shared" si="52"/>
        <v>2059</v>
      </c>
      <c r="C190" s="33" t="s">
        <v>51</v>
      </c>
      <c r="D190" s="34" t="s">
        <v>1999</v>
      </c>
      <c r="E190" s="35" t="str">
        <f t="shared" si="50"/>
        <v>PRBNP'!</v>
      </c>
      <c r="F190" s="34" t="str">
        <f t="shared" si="51"/>
        <v>C:\Users\jaime.benazar\Quorum Business Solutions\Ecopetrol Prometeo - Documents\Planning Space Implementation\3. Analysis &amp; Design\Design\FC22\DRR Jaime\QUIFA-CAJÚA\Cajua\[CAJUA_CF_SEC_New_27-Feb-2024Rev3.xlsx]D-PRBNP'!</v>
      </c>
      <c r="G190" s="32" t="s">
        <v>59</v>
      </c>
      <c r="H190" s="33"/>
      <c r="I190" s="33"/>
      <c r="J190" s="37"/>
    </row>
    <row r="191" spans="1:10" x14ac:dyDescent="0.25">
      <c r="A191" s="32" t="s">
        <v>28</v>
      </c>
      <c r="B191" s="32"/>
      <c r="C191" s="33" t="s">
        <v>51</v>
      </c>
      <c r="D191" s="34"/>
      <c r="E191" s="35"/>
      <c r="F191" s="34"/>
      <c r="G191" s="32"/>
      <c r="H191" s="33"/>
      <c r="I191" s="33"/>
      <c r="J191" s="33"/>
    </row>
    <row r="192" spans="1:10" x14ac:dyDescent="0.25">
      <c r="A192" s="32" t="s">
        <v>101</v>
      </c>
      <c r="B192" s="32">
        <v>2023</v>
      </c>
      <c r="C192" s="33" t="s">
        <v>51</v>
      </c>
      <c r="D192" s="34" t="s">
        <v>1999</v>
      </c>
      <c r="E192" s="35" t="str">
        <f t="shared" ref="E192:E212" si="53">_xlfn.CONCAT(A192,"'!")</f>
        <v>PRBND'!</v>
      </c>
      <c r="F192" s="34" t="str">
        <f t="shared" ref="F192:F212" si="54">_xlfn.CONCAT(D192:E192)</f>
        <v>C:\Users\jaime.benazar\Quorum Business Solutions\Ecopetrol Prometeo - Documents\Planning Space Implementation\3. Analysis &amp; Design\Design\FC22\DRR Jaime\QUIFA-CAJÚA\Cajua\[CAJUA_CF_SEC_New_27-Feb-2024Rev3.xlsx]D-PRBND'!</v>
      </c>
      <c r="G192" s="32" t="s">
        <v>59</v>
      </c>
      <c r="H192" s="33"/>
      <c r="I192" s="33"/>
      <c r="J192" s="37"/>
    </row>
    <row r="193" spans="1:10" x14ac:dyDescent="0.25">
      <c r="A193" s="32" t="s">
        <v>101</v>
      </c>
      <c r="B193" s="32">
        <f>+B192+1</f>
        <v>2024</v>
      </c>
      <c r="C193" s="33" t="s">
        <v>51</v>
      </c>
      <c r="D193" s="34" t="s">
        <v>1999</v>
      </c>
      <c r="E193" s="35" t="str">
        <f t="shared" si="53"/>
        <v>PRBND'!</v>
      </c>
      <c r="F193" s="34" t="str">
        <f t="shared" si="54"/>
        <v>C:\Users\jaime.benazar\Quorum Business Solutions\Ecopetrol Prometeo - Documents\Planning Space Implementation\3. Analysis &amp; Design\Design\FC22\DRR Jaime\QUIFA-CAJÚA\Cajua\[CAJUA_CF_SEC_New_27-Feb-2024Rev3.xlsx]D-PRBND'!</v>
      </c>
      <c r="G193" s="32" t="s">
        <v>59</v>
      </c>
      <c r="H193" s="33"/>
      <c r="I193" s="33"/>
      <c r="J193" s="37"/>
    </row>
    <row r="194" spans="1:10" x14ac:dyDescent="0.25">
      <c r="A194" s="32" t="s">
        <v>101</v>
      </c>
      <c r="B194" s="32">
        <f t="shared" ref="B194:B205" si="55">+B193+1</f>
        <v>2025</v>
      </c>
      <c r="C194" s="33" t="s">
        <v>51</v>
      </c>
      <c r="D194" s="34" t="s">
        <v>1999</v>
      </c>
      <c r="E194" s="35" t="str">
        <f t="shared" si="53"/>
        <v>PRBND'!</v>
      </c>
      <c r="F194" s="34" t="str">
        <f t="shared" si="54"/>
        <v>C:\Users\jaime.benazar\Quorum Business Solutions\Ecopetrol Prometeo - Documents\Planning Space Implementation\3. Analysis &amp; Design\Design\FC22\DRR Jaime\QUIFA-CAJÚA\Cajua\[CAJUA_CF_SEC_New_27-Feb-2024Rev3.xlsx]D-PRBND'!</v>
      </c>
      <c r="G194" s="32" t="s">
        <v>59</v>
      </c>
      <c r="H194" s="33"/>
      <c r="I194" s="33"/>
      <c r="J194" s="37"/>
    </row>
    <row r="195" spans="1:10" x14ac:dyDescent="0.25">
      <c r="A195" s="32" t="s">
        <v>101</v>
      </c>
      <c r="B195" s="32">
        <f t="shared" si="55"/>
        <v>2026</v>
      </c>
      <c r="C195" s="33" t="s">
        <v>51</v>
      </c>
      <c r="D195" s="34" t="s">
        <v>1999</v>
      </c>
      <c r="E195" s="35" t="str">
        <f t="shared" si="53"/>
        <v>PRBND'!</v>
      </c>
      <c r="F195" s="34" t="str">
        <f t="shared" si="54"/>
        <v>C:\Users\jaime.benazar\Quorum Business Solutions\Ecopetrol Prometeo - Documents\Planning Space Implementation\3. Analysis &amp; Design\Design\FC22\DRR Jaime\QUIFA-CAJÚA\Cajua\[CAJUA_CF_SEC_New_27-Feb-2024Rev3.xlsx]D-PRBND'!</v>
      </c>
      <c r="G195" s="32" t="s">
        <v>59</v>
      </c>
      <c r="H195" s="33"/>
      <c r="I195" s="33"/>
      <c r="J195" s="37"/>
    </row>
    <row r="196" spans="1:10" x14ac:dyDescent="0.25">
      <c r="A196" s="32" t="s">
        <v>101</v>
      </c>
      <c r="B196" s="32">
        <f t="shared" si="55"/>
        <v>2027</v>
      </c>
      <c r="C196" s="33" t="s">
        <v>51</v>
      </c>
      <c r="D196" s="34" t="s">
        <v>1999</v>
      </c>
      <c r="E196" s="35" t="str">
        <f t="shared" si="53"/>
        <v>PRBND'!</v>
      </c>
      <c r="F196" s="34" t="str">
        <f t="shared" si="54"/>
        <v>C:\Users\jaime.benazar\Quorum Business Solutions\Ecopetrol Prometeo - Documents\Planning Space Implementation\3. Analysis &amp; Design\Design\FC22\DRR Jaime\QUIFA-CAJÚA\Cajua\[CAJUA_CF_SEC_New_27-Feb-2024Rev3.xlsx]D-PRBND'!</v>
      </c>
      <c r="G196" s="32" t="s">
        <v>59</v>
      </c>
      <c r="H196" s="33"/>
      <c r="I196" s="33"/>
      <c r="J196" s="37"/>
    </row>
    <row r="197" spans="1:10" x14ac:dyDescent="0.25">
      <c r="A197" s="32" t="s">
        <v>101</v>
      </c>
      <c r="B197" s="32">
        <f t="shared" si="55"/>
        <v>2028</v>
      </c>
      <c r="C197" s="33" t="s">
        <v>51</v>
      </c>
      <c r="D197" s="34" t="s">
        <v>1999</v>
      </c>
      <c r="E197" s="35" t="str">
        <f t="shared" si="53"/>
        <v>PRBND'!</v>
      </c>
      <c r="F197" s="34" t="str">
        <f t="shared" si="54"/>
        <v>C:\Users\jaime.benazar\Quorum Business Solutions\Ecopetrol Prometeo - Documents\Planning Space Implementation\3. Analysis &amp; Design\Design\FC22\DRR Jaime\QUIFA-CAJÚA\Cajua\[CAJUA_CF_SEC_New_27-Feb-2024Rev3.xlsx]D-PRBND'!</v>
      </c>
      <c r="G197" s="32" t="s">
        <v>59</v>
      </c>
      <c r="H197" s="33"/>
      <c r="I197" s="33"/>
      <c r="J197" s="37"/>
    </row>
    <row r="198" spans="1:10" x14ac:dyDescent="0.25">
      <c r="A198" s="32" t="s">
        <v>101</v>
      </c>
      <c r="B198" s="32">
        <f t="shared" si="55"/>
        <v>2029</v>
      </c>
      <c r="C198" s="33" t="s">
        <v>51</v>
      </c>
      <c r="D198" s="34" t="s">
        <v>1999</v>
      </c>
      <c r="E198" s="35" t="str">
        <f t="shared" si="53"/>
        <v>PRBND'!</v>
      </c>
      <c r="F198" s="34" t="str">
        <f t="shared" si="54"/>
        <v>C:\Users\jaime.benazar\Quorum Business Solutions\Ecopetrol Prometeo - Documents\Planning Space Implementation\3. Analysis &amp; Design\Design\FC22\DRR Jaime\QUIFA-CAJÚA\Cajua\[CAJUA_CF_SEC_New_27-Feb-2024Rev3.xlsx]D-PRBND'!</v>
      </c>
      <c r="G198" s="32" t="s">
        <v>59</v>
      </c>
      <c r="H198" s="33"/>
      <c r="I198" s="33"/>
      <c r="J198" s="37"/>
    </row>
    <row r="199" spans="1:10" x14ac:dyDescent="0.25">
      <c r="A199" s="32" t="s">
        <v>101</v>
      </c>
      <c r="B199" s="32">
        <f t="shared" si="55"/>
        <v>2030</v>
      </c>
      <c r="C199" s="33" t="s">
        <v>51</v>
      </c>
      <c r="D199" s="34" t="s">
        <v>1999</v>
      </c>
      <c r="E199" s="35" t="str">
        <f t="shared" si="53"/>
        <v>PRBND'!</v>
      </c>
      <c r="F199" s="34" t="str">
        <f t="shared" si="54"/>
        <v>C:\Users\jaime.benazar\Quorum Business Solutions\Ecopetrol Prometeo - Documents\Planning Space Implementation\3. Analysis &amp; Design\Design\FC22\DRR Jaime\QUIFA-CAJÚA\Cajua\[CAJUA_CF_SEC_New_27-Feb-2024Rev3.xlsx]D-PRBND'!</v>
      </c>
      <c r="G199" s="32" t="s">
        <v>59</v>
      </c>
      <c r="H199" s="33"/>
      <c r="I199" s="33"/>
      <c r="J199" s="37"/>
    </row>
    <row r="200" spans="1:10" x14ac:dyDescent="0.25">
      <c r="A200" s="32" t="s">
        <v>101</v>
      </c>
      <c r="B200" s="32">
        <f t="shared" si="55"/>
        <v>2031</v>
      </c>
      <c r="C200" s="33" t="s">
        <v>51</v>
      </c>
      <c r="D200" s="34" t="s">
        <v>1999</v>
      </c>
      <c r="E200" s="35" t="str">
        <f t="shared" si="53"/>
        <v>PRBND'!</v>
      </c>
      <c r="F200" s="34" t="str">
        <f t="shared" si="54"/>
        <v>C:\Users\jaime.benazar\Quorum Business Solutions\Ecopetrol Prometeo - Documents\Planning Space Implementation\3. Analysis &amp; Design\Design\FC22\DRR Jaime\QUIFA-CAJÚA\Cajua\[CAJUA_CF_SEC_New_27-Feb-2024Rev3.xlsx]D-PRBND'!</v>
      </c>
      <c r="G200" s="32" t="s">
        <v>59</v>
      </c>
      <c r="H200" s="33"/>
      <c r="I200" s="33"/>
      <c r="J200" s="37"/>
    </row>
    <row r="201" spans="1:10" x14ac:dyDescent="0.25">
      <c r="A201" s="32" t="s">
        <v>101</v>
      </c>
      <c r="B201" s="32">
        <f t="shared" si="55"/>
        <v>2032</v>
      </c>
      <c r="C201" s="33" t="s">
        <v>51</v>
      </c>
      <c r="D201" s="34" t="s">
        <v>1999</v>
      </c>
      <c r="E201" s="35" t="str">
        <f t="shared" si="53"/>
        <v>PRBND'!</v>
      </c>
      <c r="F201" s="34" t="str">
        <f t="shared" si="54"/>
        <v>C:\Users\jaime.benazar\Quorum Business Solutions\Ecopetrol Prometeo - Documents\Planning Space Implementation\3. Analysis &amp; Design\Design\FC22\DRR Jaime\QUIFA-CAJÚA\Cajua\[CAJUA_CF_SEC_New_27-Feb-2024Rev3.xlsx]D-PRBND'!</v>
      </c>
      <c r="G201" s="32" t="s">
        <v>59</v>
      </c>
      <c r="H201" s="33"/>
      <c r="I201" s="33"/>
      <c r="J201" s="37"/>
    </row>
    <row r="202" spans="1:10" x14ac:dyDescent="0.25">
      <c r="A202" s="32" t="s">
        <v>101</v>
      </c>
      <c r="B202" s="32">
        <f t="shared" si="55"/>
        <v>2033</v>
      </c>
      <c r="C202" s="33" t="s">
        <v>51</v>
      </c>
      <c r="D202" s="34" t="s">
        <v>1999</v>
      </c>
      <c r="E202" s="35" t="str">
        <f t="shared" si="53"/>
        <v>PRBND'!</v>
      </c>
      <c r="F202" s="34" t="str">
        <f t="shared" si="54"/>
        <v>C:\Users\jaime.benazar\Quorum Business Solutions\Ecopetrol Prometeo - Documents\Planning Space Implementation\3. Analysis &amp; Design\Design\FC22\DRR Jaime\QUIFA-CAJÚA\Cajua\[CAJUA_CF_SEC_New_27-Feb-2024Rev3.xlsx]D-PRBND'!</v>
      </c>
      <c r="G202" s="32" t="s">
        <v>59</v>
      </c>
      <c r="H202" s="33"/>
      <c r="I202" s="33"/>
      <c r="J202" s="37"/>
    </row>
    <row r="203" spans="1:10" x14ac:dyDescent="0.25">
      <c r="A203" s="32" t="s">
        <v>101</v>
      </c>
      <c r="B203" s="32">
        <f t="shared" si="55"/>
        <v>2034</v>
      </c>
      <c r="C203" s="33" t="s">
        <v>51</v>
      </c>
      <c r="D203" s="34" t="s">
        <v>1999</v>
      </c>
      <c r="E203" s="35" t="str">
        <f t="shared" si="53"/>
        <v>PRBND'!</v>
      </c>
      <c r="F203" s="34" t="str">
        <f t="shared" si="54"/>
        <v>C:\Users\jaime.benazar\Quorum Business Solutions\Ecopetrol Prometeo - Documents\Planning Space Implementation\3. Analysis &amp; Design\Design\FC22\DRR Jaime\QUIFA-CAJÚA\Cajua\[CAJUA_CF_SEC_New_27-Feb-2024Rev3.xlsx]D-PRBND'!</v>
      </c>
      <c r="G203" s="32" t="s">
        <v>59</v>
      </c>
      <c r="H203" s="33"/>
      <c r="I203" s="33"/>
      <c r="J203" s="37"/>
    </row>
    <row r="204" spans="1:10" x14ac:dyDescent="0.25">
      <c r="A204" s="32" t="s">
        <v>101</v>
      </c>
      <c r="B204" s="32">
        <f t="shared" si="55"/>
        <v>2035</v>
      </c>
      <c r="C204" s="33" t="s">
        <v>51</v>
      </c>
      <c r="D204" s="34" t="s">
        <v>1999</v>
      </c>
      <c r="E204" s="35" t="str">
        <f t="shared" si="53"/>
        <v>PRBND'!</v>
      </c>
      <c r="F204" s="34" t="str">
        <f t="shared" si="54"/>
        <v>C:\Users\jaime.benazar\Quorum Business Solutions\Ecopetrol Prometeo - Documents\Planning Space Implementation\3. Analysis &amp; Design\Design\FC22\DRR Jaime\QUIFA-CAJÚA\Cajua\[CAJUA_CF_SEC_New_27-Feb-2024Rev3.xlsx]D-PRBND'!</v>
      </c>
      <c r="G204" s="32" t="s">
        <v>59</v>
      </c>
      <c r="H204" s="33"/>
      <c r="I204" s="33"/>
      <c r="J204" s="37"/>
    </row>
    <row r="205" spans="1:10" x14ac:dyDescent="0.25">
      <c r="A205" s="32" t="s">
        <v>101</v>
      </c>
      <c r="B205" s="32">
        <f t="shared" si="55"/>
        <v>2036</v>
      </c>
      <c r="C205" s="33" t="s">
        <v>51</v>
      </c>
      <c r="D205" s="34" t="s">
        <v>1999</v>
      </c>
      <c r="E205" s="35" t="str">
        <f t="shared" si="53"/>
        <v>PRBND'!</v>
      </c>
      <c r="F205" s="34" t="str">
        <f t="shared" si="54"/>
        <v>C:\Users\jaime.benazar\Quorum Business Solutions\Ecopetrol Prometeo - Documents\Planning Space Implementation\3. Analysis &amp; Design\Design\FC22\DRR Jaime\QUIFA-CAJÚA\Cajua\[CAJUA_CF_SEC_New_27-Feb-2024Rev3.xlsx]D-PRBND'!</v>
      </c>
      <c r="G205" s="32" t="s">
        <v>59</v>
      </c>
      <c r="H205" s="33"/>
      <c r="I205" s="33"/>
      <c r="J205" s="37"/>
    </row>
    <row r="206" spans="1:10" x14ac:dyDescent="0.25">
      <c r="A206" s="32" t="s">
        <v>101</v>
      </c>
      <c r="B206" s="32">
        <f>+B205+1</f>
        <v>2037</v>
      </c>
      <c r="C206" s="33" t="s">
        <v>51</v>
      </c>
      <c r="D206" s="34" t="s">
        <v>1999</v>
      </c>
      <c r="E206" s="35" t="str">
        <f t="shared" si="53"/>
        <v>PRBND'!</v>
      </c>
      <c r="F206" s="34" t="str">
        <f t="shared" si="54"/>
        <v>C:\Users\jaime.benazar\Quorum Business Solutions\Ecopetrol Prometeo - Documents\Planning Space Implementation\3. Analysis &amp; Design\Design\FC22\DRR Jaime\QUIFA-CAJÚA\Cajua\[CAJUA_CF_SEC_New_27-Feb-2024Rev3.xlsx]D-PRBND'!</v>
      </c>
      <c r="G206" s="32" t="s">
        <v>59</v>
      </c>
      <c r="H206" s="33"/>
      <c r="I206" s="33"/>
      <c r="J206" s="37"/>
    </row>
    <row r="207" spans="1:10" x14ac:dyDescent="0.25">
      <c r="A207" s="32" t="s">
        <v>101</v>
      </c>
      <c r="B207" s="32">
        <f t="shared" ref="B207:B209" si="56">+B206+1</f>
        <v>2038</v>
      </c>
      <c r="C207" s="33" t="s">
        <v>51</v>
      </c>
      <c r="D207" s="34" t="s">
        <v>1999</v>
      </c>
      <c r="E207" s="35" t="str">
        <f t="shared" si="53"/>
        <v>PRBND'!</v>
      </c>
      <c r="F207" s="34" t="str">
        <f t="shared" si="54"/>
        <v>C:\Users\jaime.benazar\Quorum Business Solutions\Ecopetrol Prometeo - Documents\Planning Space Implementation\3. Analysis &amp; Design\Design\FC22\DRR Jaime\QUIFA-CAJÚA\Cajua\[CAJUA_CF_SEC_New_27-Feb-2024Rev3.xlsx]D-PRBND'!</v>
      </c>
      <c r="G207" s="32" t="s">
        <v>59</v>
      </c>
      <c r="H207" s="33"/>
      <c r="I207" s="33"/>
      <c r="J207" s="37"/>
    </row>
    <row r="208" spans="1:10" x14ac:dyDescent="0.25">
      <c r="A208" s="32" t="s">
        <v>101</v>
      </c>
      <c r="B208" s="32">
        <f t="shared" si="56"/>
        <v>2039</v>
      </c>
      <c r="C208" s="33" t="s">
        <v>51</v>
      </c>
      <c r="D208" s="34" t="s">
        <v>1999</v>
      </c>
      <c r="E208" s="35" t="str">
        <f t="shared" si="53"/>
        <v>PRBND'!</v>
      </c>
      <c r="F208" s="34" t="str">
        <f t="shared" si="54"/>
        <v>C:\Users\jaime.benazar\Quorum Business Solutions\Ecopetrol Prometeo - Documents\Planning Space Implementation\3. Analysis &amp; Design\Design\FC22\DRR Jaime\QUIFA-CAJÚA\Cajua\[CAJUA_CF_SEC_New_27-Feb-2024Rev3.xlsx]D-PRBND'!</v>
      </c>
      <c r="G208" s="32" t="s">
        <v>59</v>
      </c>
      <c r="H208" s="33"/>
      <c r="I208" s="33"/>
      <c r="J208" s="37"/>
    </row>
    <row r="209" spans="1:10" x14ac:dyDescent="0.25">
      <c r="A209" s="32" t="s">
        <v>101</v>
      </c>
      <c r="B209" s="32">
        <f t="shared" si="56"/>
        <v>2040</v>
      </c>
      <c r="C209" s="33" t="s">
        <v>51</v>
      </c>
      <c r="D209" s="34" t="s">
        <v>1999</v>
      </c>
      <c r="E209" s="35" t="str">
        <f t="shared" si="53"/>
        <v>PRBND'!</v>
      </c>
      <c r="F209" s="34" t="str">
        <f t="shared" si="54"/>
        <v>C:\Users\jaime.benazar\Quorum Business Solutions\Ecopetrol Prometeo - Documents\Planning Space Implementation\3. Analysis &amp; Design\Design\FC22\DRR Jaime\QUIFA-CAJÚA\Cajua\[CAJUA_CF_SEC_New_27-Feb-2024Rev3.xlsx]D-PRBND'!</v>
      </c>
      <c r="G209" s="32" t="s">
        <v>59</v>
      </c>
      <c r="H209" s="33"/>
      <c r="I209" s="33"/>
      <c r="J209" s="37"/>
    </row>
    <row r="210" spans="1:10" x14ac:dyDescent="0.25">
      <c r="A210" s="32" t="s">
        <v>101</v>
      </c>
      <c r="B210" s="32">
        <f>+B209+1</f>
        <v>2041</v>
      </c>
      <c r="C210" s="33" t="s">
        <v>51</v>
      </c>
      <c r="D210" s="34" t="s">
        <v>1999</v>
      </c>
      <c r="E210" s="35" t="str">
        <f t="shared" si="53"/>
        <v>PRBND'!</v>
      </c>
      <c r="F210" s="34" t="str">
        <f t="shared" si="54"/>
        <v>C:\Users\jaime.benazar\Quorum Business Solutions\Ecopetrol Prometeo - Documents\Planning Space Implementation\3. Analysis &amp; Design\Design\FC22\DRR Jaime\QUIFA-CAJÚA\Cajua\[CAJUA_CF_SEC_New_27-Feb-2024Rev3.xlsx]D-PRBND'!</v>
      </c>
      <c r="G210" s="32" t="s">
        <v>59</v>
      </c>
      <c r="H210" s="33"/>
      <c r="I210" s="33"/>
      <c r="J210" s="37"/>
    </row>
    <row r="211" spans="1:10" x14ac:dyDescent="0.25">
      <c r="A211" s="32" t="s">
        <v>101</v>
      </c>
      <c r="B211" s="32">
        <f t="shared" ref="B211:B212" si="57">+B210+1</f>
        <v>2042</v>
      </c>
      <c r="C211" s="33" t="s">
        <v>51</v>
      </c>
      <c r="D211" s="34" t="s">
        <v>1999</v>
      </c>
      <c r="E211" s="35" t="str">
        <f t="shared" si="53"/>
        <v>PRBND'!</v>
      </c>
      <c r="F211" s="34" t="str">
        <f t="shared" si="54"/>
        <v>C:\Users\jaime.benazar\Quorum Business Solutions\Ecopetrol Prometeo - Documents\Planning Space Implementation\3. Analysis &amp; Design\Design\FC22\DRR Jaime\QUIFA-CAJÚA\Cajua\[CAJUA_CF_SEC_New_27-Feb-2024Rev3.xlsx]D-PRBND'!</v>
      </c>
      <c r="G211" s="32" t="s">
        <v>59</v>
      </c>
      <c r="H211" s="33"/>
      <c r="I211" s="33"/>
      <c r="J211" s="37"/>
    </row>
    <row r="212" spans="1:10" x14ac:dyDescent="0.25">
      <c r="A212" s="32" t="s">
        <v>101</v>
      </c>
      <c r="B212" s="32">
        <f t="shared" si="57"/>
        <v>2043</v>
      </c>
      <c r="C212" s="33" t="s">
        <v>51</v>
      </c>
      <c r="D212" s="34" t="s">
        <v>1999</v>
      </c>
      <c r="E212" s="35" t="str">
        <f t="shared" si="53"/>
        <v>PRBND'!</v>
      </c>
      <c r="F212" s="34" t="str">
        <f t="shared" si="54"/>
        <v>C:\Users\jaime.benazar\Quorum Business Solutions\Ecopetrol Prometeo - Documents\Planning Space Implementation\3. Analysis &amp; Design\Design\FC22\DRR Jaime\QUIFA-CAJÚA\Cajua\[CAJUA_CF_SEC_New_27-Feb-2024Rev3.xlsx]D-PRBND'!</v>
      </c>
      <c r="G212" s="32" t="s">
        <v>59</v>
      </c>
      <c r="H212" s="33"/>
      <c r="I212" s="33"/>
      <c r="J212" s="37"/>
    </row>
    <row r="213" spans="1:10" x14ac:dyDescent="0.25">
      <c r="A213" s="32" t="s">
        <v>101</v>
      </c>
      <c r="B213" s="32">
        <f>+B212+1</f>
        <v>2044</v>
      </c>
      <c r="C213" s="33" t="s">
        <v>51</v>
      </c>
      <c r="D213" s="34" t="s">
        <v>1999</v>
      </c>
      <c r="E213" s="35" t="str">
        <f t="shared" ref="E213:E228" si="58">_xlfn.CONCAT(A213,"'!")</f>
        <v>PRBND'!</v>
      </c>
      <c r="F213" s="34" t="str">
        <f t="shared" ref="F213:F228" si="59">_xlfn.CONCAT(D213:E213)</f>
        <v>C:\Users\jaime.benazar\Quorum Business Solutions\Ecopetrol Prometeo - Documents\Planning Space Implementation\3. Analysis &amp; Design\Design\FC22\DRR Jaime\QUIFA-CAJÚA\Cajua\[CAJUA_CF_SEC_New_27-Feb-2024Rev3.xlsx]D-PRBND'!</v>
      </c>
      <c r="G213" s="32" t="s">
        <v>59</v>
      </c>
      <c r="H213" s="33"/>
      <c r="I213" s="33"/>
      <c r="J213" s="37"/>
    </row>
    <row r="214" spans="1:10" x14ac:dyDescent="0.25">
      <c r="A214" s="32" t="s">
        <v>101</v>
      </c>
      <c r="B214" s="32">
        <f t="shared" ref="B214:B228" si="60">+B213+1</f>
        <v>2045</v>
      </c>
      <c r="C214" s="33" t="s">
        <v>51</v>
      </c>
      <c r="D214" s="34" t="s">
        <v>1999</v>
      </c>
      <c r="E214" s="35" t="str">
        <f t="shared" si="58"/>
        <v>PRBND'!</v>
      </c>
      <c r="F214" s="34" t="str">
        <f t="shared" si="59"/>
        <v>C:\Users\jaime.benazar\Quorum Business Solutions\Ecopetrol Prometeo - Documents\Planning Space Implementation\3. Analysis &amp; Design\Design\FC22\DRR Jaime\QUIFA-CAJÚA\Cajua\[CAJUA_CF_SEC_New_27-Feb-2024Rev3.xlsx]D-PRBND'!</v>
      </c>
      <c r="G214" s="32" t="s">
        <v>59</v>
      </c>
      <c r="H214" s="33"/>
      <c r="I214" s="33"/>
      <c r="J214" s="37"/>
    </row>
    <row r="215" spans="1:10" x14ac:dyDescent="0.25">
      <c r="A215" s="32" t="s">
        <v>101</v>
      </c>
      <c r="B215" s="32">
        <f t="shared" si="60"/>
        <v>2046</v>
      </c>
      <c r="C215" s="33" t="s">
        <v>51</v>
      </c>
      <c r="D215" s="34" t="s">
        <v>1999</v>
      </c>
      <c r="E215" s="35" t="str">
        <f t="shared" si="58"/>
        <v>PRBND'!</v>
      </c>
      <c r="F215" s="34" t="str">
        <f t="shared" si="59"/>
        <v>C:\Users\jaime.benazar\Quorum Business Solutions\Ecopetrol Prometeo - Documents\Planning Space Implementation\3. Analysis &amp; Design\Design\FC22\DRR Jaime\QUIFA-CAJÚA\Cajua\[CAJUA_CF_SEC_New_27-Feb-2024Rev3.xlsx]D-PRBND'!</v>
      </c>
      <c r="G215" s="32" t="s">
        <v>59</v>
      </c>
      <c r="H215" s="33"/>
      <c r="I215" s="33"/>
      <c r="J215" s="37"/>
    </row>
    <row r="216" spans="1:10" x14ac:dyDescent="0.25">
      <c r="A216" s="32" t="s">
        <v>101</v>
      </c>
      <c r="B216" s="32">
        <f t="shared" si="60"/>
        <v>2047</v>
      </c>
      <c r="C216" s="33" t="s">
        <v>51</v>
      </c>
      <c r="D216" s="34" t="s">
        <v>1999</v>
      </c>
      <c r="E216" s="35" t="str">
        <f t="shared" si="58"/>
        <v>PRBND'!</v>
      </c>
      <c r="F216" s="34" t="str">
        <f t="shared" si="59"/>
        <v>C:\Users\jaime.benazar\Quorum Business Solutions\Ecopetrol Prometeo - Documents\Planning Space Implementation\3. Analysis &amp; Design\Design\FC22\DRR Jaime\QUIFA-CAJÚA\Cajua\[CAJUA_CF_SEC_New_27-Feb-2024Rev3.xlsx]D-PRBND'!</v>
      </c>
      <c r="G216" s="32" t="s">
        <v>59</v>
      </c>
      <c r="H216" s="33"/>
      <c r="I216" s="33"/>
      <c r="J216" s="37"/>
    </row>
    <row r="217" spans="1:10" x14ac:dyDescent="0.25">
      <c r="A217" s="32" t="s">
        <v>101</v>
      </c>
      <c r="B217" s="32">
        <f t="shared" si="60"/>
        <v>2048</v>
      </c>
      <c r="C217" s="33" t="s">
        <v>51</v>
      </c>
      <c r="D217" s="34" t="s">
        <v>1999</v>
      </c>
      <c r="E217" s="35" t="str">
        <f t="shared" si="58"/>
        <v>PRBND'!</v>
      </c>
      <c r="F217" s="34" t="str">
        <f t="shared" si="59"/>
        <v>C:\Users\jaime.benazar\Quorum Business Solutions\Ecopetrol Prometeo - Documents\Planning Space Implementation\3. Analysis &amp; Design\Design\FC22\DRR Jaime\QUIFA-CAJÚA\Cajua\[CAJUA_CF_SEC_New_27-Feb-2024Rev3.xlsx]D-PRBND'!</v>
      </c>
      <c r="G217" s="32" t="s">
        <v>59</v>
      </c>
      <c r="H217" s="33"/>
      <c r="I217" s="33"/>
      <c r="J217" s="37"/>
    </row>
    <row r="218" spans="1:10" x14ac:dyDescent="0.25">
      <c r="A218" s="32" t="s">
        <v>101</v>
      </c>
      <c r="B218" s="32">
        <f t="shared" si="60"/>
        <v>2049</v>
      </c>
      <c r="C218" s="33" t="s">
        <v>51</v>
      </c>
      <c r="D218" s="34" t="s">
        <v>1999</v>
      </c>
      <c r="E218" s="35" t="str">
        <f t="shared" si="58"/>
        <v>PRBND'!</v>
      </c>
      <c r="F218" s="34" t="str">
        <f t="shared" si="59"/>
        <v>C:\Users\jaime.benazar\Quorum Business Solutions\Ecopetrol Prometeo - Documents\Planning Space Implementation\3. Analysis &amp; Design\Design\FC22\DRR Jaime\QUIFA-CAJÚA\Cajua\[CAJUA_CF_SEC_New_27-Feb-2024Rev3.xlsx]D-PRBND'!</v>
      </c>
      <c r="G218" s="32" t="s">
        <v>59</v>
      </c>
      <c r="H218" s="33"/>
      <c r="I218" s="33"/>
      <c r="J218" s="37"/>
    </row>
    <row r="219" spans="1:10" x14ac:dyDescent="0.25">
      <c r="A219" s="32" t="s">
        <v>101</v>
      </c>
      <c r="B219" s="32">
        <f t="shared" si="60"/>
        <v>2050</v>
      </c>
      <c r="C219" s="33" t="s">
        <v>51</v>
      </c>
      <c r="D219" s="34" t="s">
        <v>1999</v>
      </c>
      <c r="E219" s="35" t="str">
        <f t="shared" si="58"/>
        <v>PRBND'!</v>
      </c>
      <c r="F219" s="34" t="str">
        <f t="shared" si="59"/>
        <v>C:\Users\jaime.benazar\Quorum Business Solutions\Ecopetrol Prometeo - Documents\Planning Space Implementation\3. Analysis &amp; Design\Design\FC22\DRR Jaime\QUIFA-CAJÚA\Cajua\[CAJUA_CF_SEC_New_27-Feb-2024Rev3.xlsx]D-PRBND'!</v>
      </c>
      <c r="G219" s="32" t="s">
        <v>59</v>
      </c>
      <c r="H219" s="33"/>
      <c r="I219" s="33"/>
      <c r="J219" s="37"/>
    </row>
    <row r="220" spans="1:10" x14ac:dyDescent="0.25">
      <c r="A220" s="32" t="s">
        <v>101</v>
      </c>
      <c r="B220" s="32">
        <f t="shared" si="60"/>
        <v>2051</v>
      </c>
      <c r="C220" s="33" t="s">
        <v>51</v>
      </c>
      <c r="D220" s="34" t="s">
        <v>1999</v>
      </c>
      <c r="E220" s="35" t="str">
        <f t="shared" si="58"/>
        <v>PRBND'!</v>
      </c>
      <c r="F220" s="34" t="str">
        <f t="shared" si="59"/>
        <v>C:\Users\jaime.benazar\Quorum Business Solutions\Ecopetrol Prometeo - Documents\Planning Space Implementation\3. Analysis &amp; Design\Design\FC22\DRR Jaime\QUIFA-CAJÚA\Cajua\[CAJUA_CF_SEC_New_27-Feb-2024Rev3.xlsx]D-PRBND'!</v>
      </c>
      <c r="G220" s="32" t="s">
        <v>59</v>
      </c>
      <c r="H220" s="33"/>
      <c r="I220" s="33"/>
      <c r="J220" s="37"/>
    </row>
    <row r="221" spans="1:10" x14ac:dyDescent="0.25">
      <c r="A221" s="32" t="s">
        <v>101</v>
      </c>
      <c r="B221" s="32">
        <f t="shared" si="60"/>
        <v>2052</v>
      </c>
      <c r="C221" s="33" t="s">
        <v>51</v>
      </c>
      <c r="D221" s="34" t="s">
        <v>1999</v>
      </c>
      <c r="E221" s="35" t="str">
        <f t="shared" si="58"/>
        <v>PRBND'!</v>
      </c>
      <c r="F221" s="34" t="str">
        <f t="shared" si="59"/>
        <v>C:\Users\jaime.benazar\Quorum Business Solutions\Ecopetrol Prometeo - Documents\Planning Space Implementation\3. Analysis &amp; Design\Design\FC22\DRR Jaime\QUIFA-CAJÚA\Cajua\[CAJUA_CF_SEC_New_27-Feb-2024Rev3.xlsx]D-PRBND'!</v>
      </c>
      <c r="G221" s="32" t="s">
        <v>59</v>
      </c>
      <c r="H221" s="33"/>
      <c r="I221" s="33"/>
      <c r="J221" s="37"/>
    </row>
    <row r="222" spans="1:10" x14ac:dyDescent="0.25">
      <c r="A222" s="32" t="s">
        <v>101</v>
      </c>
      <c r="B222" s="32">
        <f t="shared" si="60"/>
        <v>2053</v>
      </c>
      <c r="C222" s="33" t="s">
        <v>51</v>
      </c>
      <c r="D222" s="34" t="s">
        <v>1999</v>
      </c>
      <c r="E222" s="35" t="str">
        <f t="shared" si="58"/>
        <v>PRBND'!</v>
      </c>
      <c r="F222" s="34" t="str">
        <f t="shared" si="59"/>
        <v>C:\Users\jaime.benazar\Quorum Business Solutions\Ecopetrol Prometeo - Documents\Planning Space Implementation\3. Analysis &amp; Design\Design\FC22\DRR Jaime\QUIFA-CAJÚA\Cajua\[CAJUA_CF_SEC_New_27-Feb-2024Rev3.xlsx]D-PRBND'!</v>
      </c>
      <c r="G222" s="32" t="s">
        <v>59</v>
      </c>
      <c r="H222" s="33"/>
      <c r="I222" s="33"/>
      <c r="J222" s="37"/>
    </row>
    <row r="223" spans="1:10" x14ac:dyDescent="0.25">
      <c r="A223" s="32" t="s">
        <v>101</v>
      </c>
      <c r="B223" s="32">
        <f t="shared" si="60"/>
        <v>2054</v>
      </c>
      <c r="C223" s="33" t="s">
        <v>51</v>
      </c>
      <c r="D223" s="34" t="s">
        <v>1999</v>
      </c>
      <c r="E223" s="35" t="str">
        <f t="shared" si="58"/>
        <v>PRBND'!</v>
      </c>
      <c r="F223" s="34" t="str">
        <f t="shared" si="59"/>
        <v>C:\Users\jaime.benazar\Quorum Business Solutions\Ecopetrol Prometeo - Documents\Planning Space Implementation\3. Analysis &amp; Design\Design\FC22\DRR Jaime\QUIFA-CAJÚA\Cajua\[CAJUA_CF_SEC_New_27-Feb-2024Rev3.xlsx]D-PRBND'!</v>
      </c>
      <c r="G223" s="32" t="s">
        <v>59</v>
      </c>
      <c r="H223" s="33"/>
      <c r="I223" s="33"/>
      <c r="J223" s="37"/>
    </row>
    <row r="224" spans="1:10" x14ac:dyDescent="0.25">
      <c r="A224" s="32" t="s">
        <v>101</v>
      </c>
      <c r="B224" s="32">
        <f t="shared" si="60"/>
        <v>2055</v>
      </c>
      <c r="C224" s="33" t="s">
        <v>51</v>
      </c>
      <c r="D224" s="34" t="s">
        <v>1999</v>
      </c>
      <c r="E224" s="35" t="str">
        <f t="shared" si="58"/>
        <v>PRBND'!</v>
      </c>
      <c r="F224" s="34" t="str">
        <f t="shared" si="59"/>
        <v>C:\Users\jaime.benazar\Quorum Business Solutions\Ecopetrol Prometeo - Documents\Planning Space Implementation\3. Analysis &amp; Design\Design\FC22\DRR Jaime\QUIFA-CAJÚA\Cajua\[CAJUA_CF_SEC_New_27-Feb-2024Rev3.xlsx]D-PRBND'!</v>
      </c>
      <c r="G224" s="32" t="s">
        <v>59</v>
      </c>
      <c r="H224" s="33"/>
      <c r="I224" s="33"/>
      <c r="J224" s="37"/>
    </row>
    <row r="225" spans="1:10" x14ac:dyDescent="0.25">
      <c r="A225" s="32" t="s">
        <v>101</v>
      </c>
      <c r="B225" s="32">
        <f t="shared" si="60"/>
        <v>2056</v>
      </c>
      <c r="C225" s="33" t="s">
        <v>51</v>
      </c>
      <c r="D225" s="34" t="s">
        <v>1999</v>
      </c>
      <c r="E225" s="35" t="str">
        <f t="shared" si="58"/>
        <v>PRBND'!</v>
      </c>
      <c r="F225" s="34" t="str">
        <f t="shared" si="59"/>
        <v>C:\Users\jaime.benazar\Quorum Business Solutions\Ecopetrol Prometeo - Documents\Planning Space Implementation\3. Analysis &amp; Design\Design\FC22\DRR Jaime\QUIFA-CAJÚA\Cajua\[CAJUA_CF_SEC_New_27-Feb-2024Rev3.xlsx]D-PRBND'!</v>
      </c>
      <c r="G225" s="32" t="s">
        <v>59</v>
      </c>
      <c r="H225" s="33"/>
      <c r="I225" s="33"/>
      <c r="J225" s="37"/>
    </row>
    <row r="226" spans="1:10" x14ac:dyDescent="0.25">
      <c r="A226" s="32" t="s">
        <v>101</v>
      </c>
      <c r="B226" s="32">
        <f t="shared" si="60"/>
        <v>2057</v>
      </c>
      <c r="C226" s="33" t="s">
        <v>51</v>
      </c>
      <c r="D226" s="34" t="s">
        <v>1999</v>
      </c>
      <c r="E226" s="35" t="str">
        <f t="shared" si="58"/>
        <v>PRBND'!</v>
      </c>
      <c r="F226" s="34" t="str">
        <f t="shared" si="59"/>
        <v>C:\Users\jaime.benazar\Quorum Business Solutions\Ecopetrol Prometeo - Documents\Planning Space Implementation\3. Analysis &amp; Design\Design\FC22\DRR Jaime\QUIFA-CAJÚA\Cajua\[CAJUA_CF_SEC_New_27-Feb-2024Rev3.xlsx]D-PRBND'!</v>
      </c>
      <c r="G226" s="32" t="s">
        <v>59</v>
      </c>
      <c r="H226" s="33"/>
      <c r="I226" s="33"/>
      <c r="J226" s="37"/>
    </row>
    <row r="227" spans="1:10" x14ac:dyDescent="0.25">
      <c r="A227" s="32" t="s">
        <v>101</v>
      </c>
      <c r="B227" s="32">
        <f t="shared" si="60"/>
        <v>2058</v>
      </c>
      <c r="C227" s="33" t="s">
        <v>51</v>
      </c>
      <c r="D227" s="34" t="s">
        <v>1999</v>
      </c>
      <c r="E227" s="35" t="str">
        <f t="shared" si="58"/>
        <v>PRBND'!</v>
      </c>
      <c r="F227" s="34" t="str">
        <f t="shared" si="59"/>
        <v>C:\Users\jaime.benazar\Quorum Business Solutions\Ecopetrol Prometeo - Documents\Planning Space Implementation\3. Analysis &amp; Design\Design\FC22\DRR Jaime\QUIFA-CAJÚA\Cajua\[CAJUA_CF_SEC_New_27-Feb-2024Rev3.xlsx]D-PRBND'!</v>
      </c>
      <c r="G227" s="32" t="s">
        <v>59</v>
      </c>
      <c r="H227" s="33"/>
      <c r="I227" s="33"/>
      <c r="J227" s="37"/>
    </row>
    <row r="228" spans="1:10" x14ac:dyDescent="0.25">
      <c r="A228" s="32" t="s">
        <v>101</v>
      </c>
      <c r="B228" s="32">
        <f t="shared" si="60"/>
        <v>2059</v>
      </c>
      <c r="C228" s="33" t="s">
        <v>51</v>
      </c>
      <c r="D228" s="34" t="s">
        <v>1999</v>
      </c>
      <c r="E228" s="35" t="str">
        <f t="shared" si="58"/>
        <v>PRBND'!</v>
      </c>
      <c r="F228" s="34" t="str">
        <f t="shared" si="59"/>
        <v>C:\Users\jaime.benazar\Quorum Business Solutions\Ecopetrol Prometeo - Documents\Planning Space Implementation\3. Analysis &amp; Design\Design\FC22\DRR Jaime\QUIFA-CAJÚA\Cajua\[CAJUA_CF_SEC_New_27-Feb-2024Rev3.xlsx]D-PRBND'!</v>
      </c>
      <c r="G228" s="32" t="s">
        <v>59</v>
      </c>
      <c r="H228" s="33"/>
      <c r="I228" s="33"/>
      <c r="J228" s="37"/>
    </row>
    <row r="229" spans="1:10" x14ac:dyDescent="0.25">
      <c r="A229" s="32" t="s">
        <v>28</v>
      </c>
      <c r="B229" s="32"/>
      <c r="C229" s="33" t="s">
        <v>51</v>
      </c>
      <c r="D229" s="34"/>
      <c r="E229" s="35"/>
      <c r="F229" s="34"/>
      <c r="G229" s="32"/>
      <c r="H229" s="33"/>
      <c r="I229" s="33"/>
      <c r="J229" s="33"/>
    </row>
    <row r="230" spans="1:10" x14ac:dyDescent="0.25">
      <c r="A230" s="32" t="s">
        <v>4</v>
      </c>
      <c r="B230" s="32">
        <v>2023</v>
      </c>
      <c r="C230" s="33" t="s">
        <v>51</v>
      </c>
      <c r="D230" s="34" t="s">
        <v>1999</v>
      </c>
      <c r="E230" s="35" t="str">
        <f t="shared" si="29"/>
        <v>PRB'!</v>
      </c>
      <c r="F230" s="34" t="str">
        <f t="shared" si="30"/>
        <v>C:\Users\jaime.benazar\Quorum Business Solutions\Ecopetrol Prometeo - Documents\Planning Space Implementation\3. Analysis &amp; Design\Design\FC22\DRR Jaime\QUIFA-CAJÚA\Cajua\[CAJUA_CF_SEC_New_27-Feb-2024Rev3.xlsx]D-PRB'!</v>
      </c>
      <c r="G230" s="32" t="s">
        <v>59</v>
      </c>
      <c r="H230" s="33">
        <v>12</v>
      </c>
      <c r="I230" s="33" t="str">
        <f t="shared" si="31"/>
        <v>='C:\Users\jaime.benazar\Quorum Business Solutions\Ecopetrol Prometeo - Documents\Planning Space Implementation\3. Analysis &amp; Design\Design\FC22\DRR Jaime\QUIFA-CAJÚA\Cajua\[CAJUA_CF_SEC_New_27-Feb-2024Rev3.xlsx]D-PRB'!$BB$12</v>
      </c>
      <c r="J230" s="37" t="s">
        <v>2111</v>
      </c>
    </row>
    <row r="231" spans="1:10" x14ac:dyDescent="0.25">
      <c r="A231" s="32" t="s">
        <v>4</v>
      </c>
      <c r="B231" s="32">
        <f>+B230+1</f>
        <v>2024</v>
      </c>
      <c r="C231" s="33" t="s">
        <v>51</v>
      </c>
      <c r="D231" s="34" t="s">
        <v>1999</v>
      </c>
      <c r="E231" s="35" t="str">
        <f t="shared" si="29"/>
        <v>PRB'!</v>
      </c>
      <c r="F231" s="34" t="str">
        <f t="shared" si="30"/>
        <v>C:\Users\jaime.benazar\Quorum Business Solutions\Ecopetrol Prometeo - Documents\Planning Space Implementation\3. Analysis &amp; Design\Design\FC22\DRR Jaime\QUIFA-CAJÚA\Cajua\[CAJUA_CF_SEC_New_27-Feb-2024Rev3.xlsx]D-PRB'!</v>
      </c>
      <c r="G231" s="32" t="s">
        <v>59</v>
      </c>
      <c r="H231" s="33">
        <f t="shared" ref="H231:H250" si="61">IF(A231&lt;&gt;A230,12,H230+1)</f>
        <v>13</v>
      </c>
      <c r="I231" s="33" t="str">
        <f t="shared" si="31"/>
        <v>='C:\Users\jaime.benazar\Quorum Business Solutions\Ecopetrol Prometeo - Documents\Planning Space Implementation\3. Analysis &amp; Design\Design\FC22\DRR Jaime\QUIFA-CAJÚA\Cajua\[CAJUA_CF_SEC_New_27-Feb-2024Rev3.xlsx]D-PRB'!$BB$13</v>
      </c>
      <c r="J231" s="37" t="s">
        <v>2112</v>
      </c>
    </row>
    <row r="232" spans="1:10" x14ac:dyDescent="0.25">
      <c r="A232" s="32" t="s">
        <v>4</v>
      </c>
      <c r="B232" s="32">
        <f t="shared" ref="B232:B243" si="62">+B231+1</f>
        <v>2025</v>
      </c>
      <c r="C232" s="33" t="s">
        <v>51</v>
      </c>
      <c r="D232" s="34" t="s">
        <v>1999</v>
      </c>
      <c r="E232" s="35" t="str">
        <f t="shared" si="29"/>
        <v>PRB'!</v>
      </c>
      <c r="F232" s="34" t="str">
        <f t="shared" si="30"/>
        <v>C:\Users\jaime.benazar\Quorum Business Solutions\Ecopetrol Prometeo - Documents\Planning Space Implementation\3. Analysis &amp; Design\Design\FC22\DRR Jaime\QUIFA-CAJÚA\Cajua\[CAJUA_CF_SEC_New_27-Feb-2024Rev3.xlsx]D-PRB'!</v>
      </c>
      <c r="G232" s="32" t="s">
        <v>59</v>
      </c>
      <c r="H232" s="33">
        <f t="shared" si="61"/>
        <v>14</v>
      </c>
      <c r="I232" s="33" t="str">
        <f t="shared" si="31"/>
        <v>='C:\Users\jaime.benazar\Quorum Business Solutions\Ecopetrol Prometeo - Documents\Planning Space Implementation\3. Analysis &amp; Design\Design\FC22\DRR Jaime\QUIFA-CAJÚA\Cajua\[CAJUA_CF_SEC_New_27-Feb-2024Rev3.xlsx]D-PRB'!$BB$14</v>
      </c>
      <c r="J232" s="37" t="s">
        <v>2113</v>
      </c>
    </row>
    <row r="233" spans="1:10" x14ac:dyDescent="0.25">
      <c r="A233" s="32" t="s">
        <v>4</v>
      </c>
      <c r="B233" s="32">
        <f t="shared" si="62"/>
        <v>2026</v>
      </c>
      <c r="C233" s="33" t="s">
        <v>51</v>
      </c>
      <c r="D233" s="34" t="s">
        <v>1999</v>
      </c>
      <c r="E233" s="35" t="str">
        <f t="shared" si="29"/>
        <v>PRB'!</v>
      </c>
      <c r="F233" s="34" t="str">
        <f t="shared" si="30"/>
        <v>C:\Users\jaime.benazar\Quorum Business Solutions\Ecopetrol Prometeo - Documents\Planning Space Implementation\3. Analysis &amp; Design\Design\FC22\DRR Jaime\QUIFA-CAJÚA\Cajua\[CAJUA_CF_SEC_New_27-Feb-2024Rev3.xlsx]D-PRB'!</v>
      </c>
      <c r="G233" s="32" t="s">
        <v>59</v>
      </c>
      <c r="H233" s="33">
        <f t="shared" si="61"/>
        <v>15</v>
      </c>
      <c r="I233" s="33" t="str">
        <f t="shared" si="31"/>
        <v>='C:\Users\jaime.benazar\Quorum Business Solutions\Ecopetrol Prometeo - Documents\Planning Space Implementation\3. Analysis &amp; Design\Design\FC22\DRR Jaime\QUIFA-CAJÚA\Cajua\[CAJUA_CF_SEC_New_27-Feb-2024Rev3.xlsx]D-PRB'!$BB$15</v>
      </c>
      <c r="J233" s="37" t="s">
        <v>2114</v>
      </c>
    </row>
    <row r="234" spans="1:10" x14ac:dyDescent="0.25">
      <c r="A234" s="32" t="s">
        <v>4</v>
      </c>
      <c r="B234" s="32">
        <f t="shared" si="62"/>
        <v>2027</v>
      </c>
      <c r="C234" s="33" t="s">
        <v>51</v>
      </c>
      <c r="D234" s="34" t="s">
        <v>1999</v>
      </c>
      <c r="E234" s="35" t="str">
        <f t="shared" si="29"/>
        <v>PRB'!</v>
      </c>
      <c r="F234" s="34" t="str">
        <f t="shared" si="30"/>
        <v>C:\Users\jaime.benazar\Quorum Business Solutions\Ecopetrol Prometeo - Documents\Planning Space Implementation\3. Analysis &amp; Design\Design\FC22\DRR Jaime\QUIFA-CAJÚA\Cajua\[CAJUA_CF_SEC_New_27-Feb-2024Rev3.xlsx]D-PRB'!</v>
      </c>
      <c r="G234" s="32" t="s">
        <v>59</v>
      </c>
      <c r="H234" s="33">
        <f t="shared" si="61"/>
        <v>16</v>
      </c>
      <c r="I234" s="33" t="str">
        <f t="shared" si="31"/>
        <v>='C:\Users\jaime.benazar\Quorum Business Solutions\Ecopetrol Prometeo - Documents\Planning Space Implementation\3. Analysis &amp; Design\Design\FC22\DRR Jaime\QUIFA-CAJÚA\Cajua\[CAJUA_CF_SEC_New_27-Feb-2024Rev3.xlsx]D-PRB'!$BB$16</v>
      </c>
      <c r="J234" s="37" t="s">
        <v>2115</v>
      </c>
    </row>
    <row r="235" spans="1:10" x14ac:dyDescent="0.25">
      <c r="A235" s="32" t="s">
        <v>4</v>
      </c>
      <c r="B235" s="32">
        <f t="shared" si="62"/>
        <v>2028</v>
      </c>
      <c r="C235" s="33" t="s">
        <v>51</v>
      </c>
      <c r="D235" s="34" t="s">
        <v>1999</v>
      </c>
      <c r="E235" s="35" t="str">
        <f t="shared" si="29"/>
        <v>PRB'!</v>
      </c>
      <c r="F235" s="34" t="str">
        <f t="shared" si="30"/>
        <v>C:\Users\jaime.benazar\Quorum Business Solutions\Ecopetrol Prometeo - Documents\Planning Space Implementation\3. Analysis &amp; Design\Design\FC22\DRR Jaime\QUIFA-CAJÚA\Cajua\[CAJUA_CF_SEC_New_27-Feb-2024Rev3.xlsx]D-PRB'!</v>
      </c>
      <c r="G235" s="32" t="s">
        <v>59</v>
      </c>
      <c r="H235" s="33">
        <f t="shared" si="61"/>
        <v>17</v>
      </c>
      <c r="I235" s="33" t="str">
        <f t="shared" si="31"/>
        <v>='C:\Users\jaime.benazar\Quorum Business Solutions\Ecopetrol Prometeo - Documents\Planning Space Implementation\3. Analysis &amp; Design\Design\FC22\DRR Jaime\QUIFA-CAJÚA\Cajua\[CAJUA_CF_SEC_New_27-Feb-2024Rev3.xlsx]D-PRB'!$BB$17</v>
      </c>
      <c r="J235" s="37" t="s">
        <v>2116</v>
      </c>
    </row>
    <row r="236" spans="1:10" x14ac:dyDescent="0.25">
      <c r="A236" s="32" t="s">
        <v>4</v>
      </c>
      <c r="B236" s="32">
        <f t="shared" si="62"/>
        <v>2029</v>
      </c>
      <c r="C236" s="33" t="s">
        <v>51</v>
      </c>
      <c r="D236" s="34" t="s">
        <v>1999</v>
      </c>
      <c r="E236" s="35" t="str">
        <f t="shared" si="29"/>
        <v>PRB'!</v>
      </c>
      <c r="F236" s="34" t="str">
        <f t="shared" si="30"/>
        <v>C:\Users\jaime.benazar\Quorum Business Solutions\Ecopetrol Prometeo - Documents\Planning Space Implementation\3. Analysis &amp; Design\Design\FC22\DRR Jaime\QUIFA-CAJÚA\Cajua\[CAJUA_CF_SEC_New_27-Feb-2024Rev3.xlsx]D-PRB'!</v>
      </c>
      <c r="G236" s="32" t="s">
        <v>59</v>
      </c>
      <c r="H236" s="33">
        <f t="shared" si="61"/>
        <v>18</v>
      </c>
      <c r="I236" s="33" t="str">
        <f t="shared" si="31"/>
        <v>='C:\Users\jaime.benazar\Quorum Business Solutions\Ecopetrol Prometeo - Documents\Planning Space Implementation\3. Analysis &amp; Design\Design\FC22\DRR Jaime\QUIFA-CAJÚA\Cajua\[CAJUA_CF_SEC_New_27-Feb-2024Rev3.xlsx]D-PRB'!$BB$18</v>
      </c>
      <c r="J236" s="37" t="s">
        <v>2117</v>
      </c>
    </row>
    <row r="237" spans="1:10" x14ac:dyDescent="0.25">
      <c r="A237" s="32" t="s">
        <v>4</v>
      </c>
      <c r="B237" s="32">
        <f t="shared" si="62"/>
        <v>2030</v>
      </c>
      <c r="C237" s="33" t="s">
        <v>51</v>
      </c>
      <c r="D237" s="34" t="s">
        <v>1999</v>
      </c>
      <c r="E237" s="35" t="str">
        <f t="shared" si="29"/>
        <v>PRB'!</v>
      </c>
      <c r="F237" s="34" t="str">
        <f t="shared" si="30"/>
        <v>C:\Users\jaime.benazar\Quorum Business Solutions\Ecopetrol Prometeo - Documents\Planning Space Implementation\3. Analysis &amp; Design\Design\FC22\DRR Jaime\QUIFA-CAJÚA\Cajua\[CAJUA_CF_SEC_New_27-Feb-2024Rev3.xlsx]D-PRB'!</v>
      </c>
      <c r="G237" s="32" t="s">
        <v>59</v>
      </c>
      <c r="H237" s="33">
        <f t="shared" si="61"/>
        <v>19</v>
      </c>
      <c r="I237" s="33" t="str">
        <f t="shared" si="31"/>
        <v>='C:\Users\jaime.benazar\Quorum Business Solutions\Ecopetrol Prometeo - Documents\Planning Space Implementation\3. Analysis &amp; Design\Design\FC22\DRR Jaime\QUIFA-CAJÚA\Cajua\[CAJUA_CF_SEC_New_27-Feb-2024Rev3.xlsx]D-PRB'!$BB$19</v>
      </c>
      <c r="J237" s="37" t="s">
        <v>2118</v>
      </c>
    </row>
    <row r="238" spans="1:10" x14ac:dyDescent="0.25">
      <c r="A238" s="32" t="s">
        <v>4</v>
      </c>
      <c r="B238" s="32">
        <f t="shared" si="62"/>
        <v>2031</v>
      </c>
      <c r="C238" s="33" t="s">
        <v>51</v>
      </c>
      <c r="D238" s="34" t="s">
        <v>1999</v>
      </c>
      <c r="E238" s="35" t="str">
        <f t="shared" si="29"/>
        <v>PRB'!</v>
      </c>
      <c r="F238" s="34" t="str">
        <f t="shared" si="30"/>
        <v>C:\Users\jaime.benazar\Quorum Business Solutions\Ecopetrol Prometeo - Documents\Planning Space Implementation\3. Analysis &amp; Design\Design\FC22\DRR Jaime\QUIFA-CAJÚA\Cajua\[CAJUA_CF_SEC_New_27-Feb-2024Rev3.xlsx]D-PRB'!</v>
      </c>
      <c r="G238" s="32" t="s">
        <v>59</v>
      </c>
      <c r="H238" s="33">
        <f t="shared" si="61"/>
        <v>20</v>
      </c>
      <c r="I238" s="33" t="str">
        <f t="shared" si="31"/>
        <v>='C:\Users\jaime.benazar\Quorum Business Solutions\Ecopetrol Prometeo - Documents\Planning Space Implementation\3. Analysis &amp; Design\Design\FC22\DRR Jaime\QUIFA-CAJÚA\Cajua\[CAJUA_CF_SEC_New_27-Feb-2024Rev3.xlsx]D-PRB'!$BB$20</v>
      </c>
      <c r="J238" s="37" t="s">
        <v>2119</v>
      </c>
    </row>
    <row r="239" spans="1:10" x14ac:dyDescent="0.25">
      <c r="A239" s="32" t="s">
        <v>4</v>
      </c>
      <c r="B239" s="32">
        <f t="shared" si="62"/>
        <v>2032</v>
      </c>
      <c r="C239" s="33" t="s">
        <v>51</v>
      </c>
      <c r="D239" s="34" t="s">
        <v>1999</v>
      </c>
      <c r="E239" s="35" t="str">
        <f t="shared" si="29"/>
        <v>PRB'!</v>
      </c>
      <c r="F239" s="34" t="str">
        <f t="shared" si="30"/>
        <v>C:\Users\jaime.benazar\Quorum Business Solutions\Ecopetrol Prometeo - Documents\Planning Space Implementation\3. Analysis &amp; Design\Design\FC22\DRR Jaime\QUIFA-CAJÚA\Cajua\[CAJUA_CF_SEC_New_27-Feb-2024Rev3.xlsx]D-PRB'!</v>
      </c>
      <c r="G239" s="32" t="s">
        <v>59</v>
      </c>
      <c r="H239" s="33">
        <f t="shared" si="61"/>
        <v>21</v>
      </c>
      <c r="I239" s="33" t="str">
        <f t="shared" si="31"/>
        <v>='C:\Users\jaime.benazar\Quorum Business Solutions\Ecopetrol Prometeo - Documents\Planning Space Implementation\3. Analysis &amp; Design\Design\FC22\DRR Jaime\QUIFA-CAJÚA\Cajua\[CAJUA_CF_SEC_New_27-Feb-2024Rev3.xlsx]D-PRB'!$BB$21</v>
      </c>
      <c r="J239" s="37" t="s">
        <v>2120</v>
      </c>
    </row>
    <row r="240" spans="1:10" x14ac:dyDescent="0.25">
      <c r="A240" s="32" t="s">
        <v>4</v>
      </c>
      <c r="B240" s="32">
        <f t="shared" si="62"/>
        <v>2033</v>
      </c>
      <c r="C240" s="33" t="s">
        <v>51</v>
      </c>
      <c r="D240" s="34" t="s">
        <v>1999</v>
      </c>
      <c r="E240" s="35" t="str">
        <f t="shared" si="29"/>
        <v>PRB'!</v>
      </c>
      <c r="F240" s="34" t="str">
        <f t="shared" si="30"/>
        <v>C:\Users\jaime.benazar\Quorum Business Solutions\Ecopetrol Prometeo - Documents\Planning Space Implementation\3. Analysis &amp; Design\Design\FC22\DRR Jaime\QUIFA-CAJÚA\Cajua\[CAJUA_CF_SEC_New_27-Feb-2024Rev3.xlsx]D-PRB'!</v>
      </c>
      <c r="G240" s="32" t="s">
        <v>59</v>
      </c>
      <c r="H240" s="33">
        <f t="shared" si="61"/>
        <v>22</v>
      </c>
      <c r="I240" s="33" t="str">
        <f t="shared" si="31"/>
        <v>='C:\Users\jaime.benazar\Quorum Business Solutions\Ecopetrol Prometeo - Documents\Planning Space Implementation\3. Analysis &amp; Design\Design\FC22\DRR Jaime\QUIFA-CAJÚA\Cajua\[CAJUA_CF_SEC_New_27-Feb-2024Rev3.xlsx]D-PRB'!$BB$22</v>
      </c>
      <c r="J240" s="37" t="s">
        <v>2121</v>
      </c>
    </row>
    <row r="241" spans="1:10" x14ac:dyDescent="0.25">
      <c r="A241" s="32" t="s">
        <v>4</v>
      </c>
      <c r="B241" s="32">
        <f t="shared" si="62"/>
        <v>2034</v>
      </c>
      <c r="C241" s="33" t="s">
        <v>51</v>
      </c>
      <c r="D241" s="34" t="s">
        <v>1999</v>
      </c>
      <c r="E241" s="35" t="str">
        <f t="shared" si="29"/>
        <v>PRB'!</v>
      </c>
      <c r="F241" s="34" t="str">
        <f t="shared" si="30"/>
        <v>C:\Users\jaime.benazar\Quorum Business Solutions\Ecopetrol Prometeo - Documents\Planning Space Implementation\3. Analysis &amp; Design\Design\FC22\DRR Jaime\QUIFA-CAJÚA\Cajua\[CAJUA_CF_SEC_New_27-Feb-2024Rev3.xlsx]D-PRB'!</v>
      </c>
      <c r="G241" s="32" t="s">
        <v>59</v>
      </c>
      <c r="H241" s="33">
        <f t="shared" si="61"/>
        <v>23</v>
      </c>
      <c r="I241" s="33" t="str">
        <f t="shared" si="31"/>
        <v>='C:\Users\jaime.benazar\Quorum Business Solutions\Ecopetrol Prometeo - Documents\Planning Space Implementation\3. Analysis &amp; Design\Design\FC22\DRR Jaime\QUIFA-CAJÚA\Cajua\[CAJUA_CF_SEC_New_27-Feb-2024Rev3.xlsx]D-PRB'!$BB$23</v>
      </c>
      <c r="J241" s="37" t="s">
        <v>2122</v>
      </c>
    </row>
    <row r="242" spans="1:10" x14ac:dyDescent="0.25">
      <c r="A242" s="32" t="s">
        <v>4</v>
      </c>
      <c r="B242" s="32">
        <f t="shared" si="62"/>
        <v>2035</v>
      </c>
      <c r="C242" s="33" t="s">
        <v>51</v>
      </c>
      <c r="D242" s="34" t="s">
        <v>1999</v>
      </c>
      <c r="E242" s="35" t="str">
        <f t="shared" si="29"/>
        <v>PRB'!</v>
      </c>
      <c r="F242" s="34" t="str">
        <f t="shared" si="30"/>
        <v>C:\Users\jaime.benazar\Quorum Business Solutions\Ecopetrol Prometeo - Documents\Planning Space Implementation\3. Analysis &amp; Design\Design\FC22\DRR Jaime\QUIFA-CAJÚA\Cajua\[CAJUA_CF_SEC_New_27-Feb-2024Rev3.xlsx]D-PRB'!</v>
      </c>
      <c r="G242" s="32" t="s">
        <v>59</v>
      </c>
      <c r="H242" s="33">
        <f t="shared" si="61"/>
        <v>24</v>
      </c>
      <c r="I242" s="33" t="str">
        <f t="shared" si="31"/>
        <v>='C:\Users\jaime.benazar\Quorum Business Solutions\Ecopetrol Prometeo - Documents\Planning Space Implementation\3. Analysis &amp; Design\Design\FC22\DRR Jaime\QUIFA-CAJÚA\Cajua\[CAJUA_CF_SEC_New_27-Feb-2024Rev3.xlsx]D-PRB'!$BB$24</v>
      </c>
      <c r="J242" s="37" t="s">
        <v>2123</v>
      </c>
    </row>
    <row r="243" spans="1:10" x14ac:dyDescent="0.25">
      <c r="A243" s="32" t="s">
        <v>4</v>
      </c>
      <c r="B243" s="32">
        <f t="shared" si="62"/>
        <v>2036</v>
      </c>
      <c r="C243" s="33" t="s">
        <v>51</v>
      </c>
      <c r="D243" s="34" t="s">
        <v>1999</v>
      </c>
      <c r="E243" s="35" t="str">
        <f t="shared" si="29"/>
        <v>PRB'!</v>
      </c>
      <c r="F243" s="34" t="str">
        <f t="shared" si="30"/>
        <v>C:\Users\jaime.benazar\Quorum Business Solutions\Ecopetrol Prometeo - Documents\Planning Space Implementation\3. Analysis &amp; Design\Design\FC22\DRR Jaime\QUIFA-CAJÚA\Cajua\[CAJUA_CF_SEC_New_27-Feb-2024Rev3.xlsx]D-PRB'!</v>
      </c>
      <c r="G243" s="32" t="s">
        <v>59</v>
      </c>
      <c r="H243" s="33">
        <f t="shared" si="61"/>
        <v>25</v>
      </c>
      <c r="I243" s="33" t="str">
        <f t="shared" si="31"/>
        <v>='C:\Users\jaime.benazar\Quorum Business Solutions\Ecopetrol Prometeo - Documents\Planning Space Implementation\3. Analysis &amp; Design\Design\FC22\DRR Jaime\QUIFA-CAJÚA\Cajua\[CAJUA_CF_SEC_New_27-Feb-2024Rev3.xlsx]D-PRB'!$BB$25</v>
      </c>
      <c r="J243" s="37" t="s">
        <v>2124</v>
      </c>
    </row>
    <row r="244" spans="1:10" x14ac:dyDescent="0.25">
      <c r="A244" s="32" t="s">
        <v>4</v>
      </c>
      <c r="B244" s="32">
        <f>+B243+1</f>
        <v>2037</v>
      </c>
      <c r="C244" s="33" t="s">
        <v>51</v>
      </c>
      <c r="D244" s="34" t="s">
        <v>1999</v>
      </c>
      <c r="E244" s="35" t="str">
        <f t="shared" si="29"/>
        <v>PRB'!</v>
      </c>
      <c r="F244" s="34" t="str">
        <f t="shared" si="30"/>
        <v>C:\Users\jaime.benazar\Quorum Business Solutions\Ecopetrol Prometeo - Documents\Planning Space Implementation\3. Analysis &amp; Design\Design\FC22\DRR Jaime\QUIFA-CAJÚA\Cajua\[CAJUA_CF_SEC_New_27-Feb-2024Rev3.xlsx]D-PRB'!</v>
      </c>
      <c r="G244" s="32" t="s">
        <v>59</v>
      </c>
      <c r="H244" s="33">
        <f t="shared" si="61"/>
        <v>26</v>
      </c>
      <c r="I244" s="33" t="str">
        <f t="shared" si="31"/>
        <v>='C:\Users\jaime.benazar\Quorum Business Solutions\Ecopetrol Prometeo - Documents\Planning Space Implementation\3. Analysis &amp; Design\Design\FC22\DRR Jaime\QUIFA-CAJÚA\Cajua\[CAJUA_CF_SEC_New_27-Feb-2024Rev3.xlsx]D-PRB'!$BB$26</v>
      </c>
      <c r="J244" s="37" t="s">
        <v>2125</v>
      </c>
    </row>
    <row r="245" spans="1:10" x14ac:dyDescent="0.25">
      <c r="A245" s="32" t="s">
        <v>4</v>
      </c>
      <c r="B245" s="32">
        <f t="shared" ref="B245:B247" si="63">+B244+1</f>
        <v>2038</v>
      </c>
      <c r="C245" s="33" t="s">
        <v>51</v>
      </c>
      <c r="D245" s="34" t="s">
        <v>1999</v>
      </c>
      <c r="E245" s="35" t="str">
        <f t="shared" si="29"/>
        <v>PRB'!</v>
      </c>
      <c r="F245" s="34" t="str">
        <f t="shared" si="30"/>
        <v>C:\Users\jaime.benazar\Quorum Business Solutions\Ecopetrol Prometeo - Documents\Planning Space Implementation\3. Analysis &amp; Design\Design\FC22\DRR Jaime\QUIFA-CAJÚA\Cajua\[CAJUA_CF_SEC_New_27-Feb-2024Rev3.xlsx]D-PRB'!</v>
      </c>
      <c r="G245" s="32" t="s">
        <v>59</v>
      </c>
      <c r="H245" s="33">
        <f t="shared" si="61"/>
        <v>27</v>
      </c>
      <c r="I245" s="33" t="str">
        <f t="shared" si="31"/>
        <v>='C:\Users\jaime.benazar\Quorum Business Solutions\Ecopetrol Prometeo - Documents\Planning Space Implementation\3. Analysis &amp; Design\Design\FC22\DRR Jaime\QUIFA-CAJÚA\Cajua\[CAJUA_CF_SEC_New_27-Feb-2024Rev3.xlsx]D-PRB'!$BB$27</v>
      </c>
      <c r="J245" s="37" t="s">
        <v>2126</v>
      </c>
    </row>
    <row r="246" spans="1:10" x14ac:dyDescent="0.25">
      <c r="A246" s="32" t="s">
        <v>4</v>
      </c>
      <c r="B246" s="32">
        <f t="shared" si="63"/>
        <v>2039</v>
      </c>
      <c r="C246" s="33" t="s">
        <v>51</v>
      </c>
      <c r="D246" s="34" t="s">
        <v>1999</v>
      </c>
      <c r="E246" s="35" t="str">
        <f t="shared" si="29"/>
        <v>PRB'!</v>
      </c>
      <c r="F246" s="34" t="str">
        <f t="shared" si="30"/>
        <v>C:\Users\jaime.benazar\Quorum Business Solutions\Ecopetrol Prometeo - Documents\Planning Space Implementation\3. Analysis &amp; Design\Design\FC22\DRR Jaime\QUIFA-CAJÚA\Cajua\[CAJUA_CF_SEC_New_27-Feb-2024Rev3.xlsx]D-PRB'!</v>
      </c>
      <c r="G246" s="32" t="s">
        <v>59</v>
      </c>
      <c r="H246" s="33">
        <f t="shared" si="61"/>
        <v>28</v>
      </c>
      <c r="I246" s="33" t="str">
        <f t="shared" si="31"/>
        <v>='C:\Users\jaime.benazar\Quorum Business Solutions\Ecopetrol Prometeo - Documents\Planning Space Implementation\3. Analysis &amp; Design\Design\FC22\DRR Jaime\QUIFA-CAJÚA\Cajua\[CAJUA_CF_SEC_New_27-Feb-2024Rev3.xlsx]D-PRB'!$BB$28</v>
      </c>
      <c r="J246" s="37" t="s">
        <v>2127</v>
      </c>
    </row>
    <row r="247" spans="1:10" x14ac:dyDescent="0.25">
      <c r="A247" s="32" t="s">
        <v>4</v>
      </c>
      <c r="B247" s="32">
        <f t="shared" si="63"/>
        <v>2040</v>
      </c>
      <c r="C247" s="33" t="s">
        <v>51</v>
      </c>
      <c r="D247" s="34" t="s">
        <v>1999</v>
      </c>
      <c r="E247" s="35" t="str">
        <f t="shared" si="29"/>
        <v>PRB'!</v>
      </c>
      <c r="F247" s="34" t="str">
        <f t="shared" si="30"/>
        <v>C:\Users\jaime.benazar\Quorum Business Solutions\Ecopetrol Prometeo - Documents\Planning Space Implementation\3. Analysis &amp; Design\Design\FC22\DRR Jaime\QUIFA-CAJÚA\Cajua\[CAJUA_CF_SEC_New_27-Feb-2024Rev3.xlsx]D-PRB'!</v>
      </c>
      <c r="G247" s="32" t="s">
        <v>59</v>
      </c>
      <c r="H247" s="33">
        <f t="shared" si="61"/>
        <v>29</v>
      </c>
      <c r="I247" s="33" t="str">
        <f t="shared" si="31"/>
        <v>='C:\Users\jaime.benazar\Quorum Business Solutions\Ecopetrol Prometeo - Documents\Planning Space Implementation\3. Analysis &amp; Design\Design\FC22\DRR Jaime\QUIFA-CAJÚA\Cajua\[CAJUA_CF_SEC_New_27-Feb-2024Rev3.xlsx]D-PRB'!$BB$29</v>
      </c>
      <c r="J247" s="37" t="s">
        <v>2128</v>
      </c>
    </row>
    <row r="248" spans="1:10" x14ac:dyDescent="0.25">
      <c r="A248" s="32" t="s">
        <v>4</v>
      </c>
      <c r="B248" s="32">
        <f>+B247+1</f>
        <v>2041</v>
      </c>
      <c r="C248" s="33" t="s">
        <v>51</v>
      </c>
      <c r="D248" s="34" t="s">
        <v>1999</v>
      </c>
      <c r="E248" s="35" t="str">
        <f t="shared" si="29"/>
        <v>PRB'!</v>
      </c>
      <c r="F248" s="34" t="str">
        <f t="shared" si="30"/>
        <v>C:\Users\jaime.benazar\Quorum Business Solutions\Ecopetrol Prometeo - Documents\Planning Space Implementation\3. Analysis &amp; Design\Design\FC22\DRR Jaime\QUIFA-CAJÚA\Cajua\[CAJUA_CF_SEC_New_27-Feb-2024Rev3.xlsx]D-PRB'!</v>
      </c>
      <c r="G248" s="32" t="s">
        <v>59</v>
      </c>
      <c r="H248" s="33">
        <f t="shared" si="61"/>
        <v>30</v>
      </c>
      <c r="I248" s="33" t="str">
        <f t="shared" si="31"/>
        <v>='C:\Users\jaime.benazar\Quorum Business Solutions\Ecopetrol Prometeo - Documents\Planning Space Implementation\3. Analysis &amp; Design\Design\FC22\DRR Jaime\QUIFA-CAJÚA\Cajua\[CAJUA_CF_SEC_New_27-Feb-2024Rev3.xlsx]D-PRB'!$BB$30</v>
      </c>
      <c r="J248" s="37" t="s">
        <v>2129</v>
      </c>
    </row>
    <row r="249" spans="1:10" x14ac:dyDescent="0.25">
      <c r="A249" s="32" t="s">
        <v>4</v>
      </c>
      <c r="B249" s="32">
        <f t="shared" ref="B249:B250" si="64">+B248+1</f>
        <v>2042</v>
      </c>
      <c r="C249" s="33" t="s">
        <v>51</v>
      </c>
      <c r="D249" s="34" t="s">
        <v>1999</v>
      </c>
      <c r="E249" s="35" t="str">
        <f t="shared" si="29"/>
        <v>PRB'!</v>
      </c>
      <c r="F249" s="34" t="str">
        <f t="shared" si="30"/>
        <v>C:\Users\jaime.benazar\Quorum Business Solutions\Ecopetrol Prometeo - Documents\Planning Space Implementation\3. Analysis &amp; Design\Design\FC22\DRR Jaime\QUIFA-CAJÚA\Cajua\[CAJUA_CF_SEC_New_27-Feb-2024Rev3.xlsx]D-PRB'!</v>
      </c>
      <c r="G249" s="32" t="s">
        <v>59</v>
      </c>
      <c r="H249" s="33">
        <f t="shared" si="61"/>
        <v>31</v>
      </c>
      <c r="I249" s="33" t="str">
        <f t="shared" si="31"/>
        <v>='C:\Users\jaime.benazar\Quorum Business Solutions\Ecopetrol Prometeo - Documents\Planning Space Implementation\3. Analysis &amp; Design\Design\FC22\DRR Jaime\QUIFA-CAJÚA\Cajua\[CAJUA_CF_SEC_New_27-Feb-2024Rev3.xlsx]D-PRB'!$BB$31</v>
      </c>
      <c r="J249" s="37" t="s">
        <v>2130</v>
      </c>
    </row>
    <row r="250" spans="1:10" x14ac:dyDescent="0.25">
      <c r="A250" s="32" t="s">
        <v>4</v>
      </c>
      <c r="B250" s="32">
        <f t="shared" si="64"/>
        <v>2043</v>
      </c>
      <c r="C250" s="33" t="s">
        <v>51</v>
      </c>
      <c r="D250" s="34" t="s">
        <v>1999</v>
      </c>
      <c r="E250" s="35" t="str">
        <f t="shared" si="29"/>
        <v>PRB'!</v>
      </c>
      <c r="F250" s="34" t="str">
        <f t="shared" si="30"/>
        <v>C:\Users\jaime.benazar\Quorum Business Solutions\Ecopetrol Prometeo - Documents\Planning Space Implementation\3. Analysis &amp; Design\Design\FC22\DRR Jaime\QUIFA-CAJÚA\Cajua\[CAJUA_CF_SEC_New_27-Feb-2024Rev3.xlsx]D-PRB'!</v>
      </c>
      <c r="G250" s="32" t="s">
        <v>59</v>
      </c>
      <c r="H250" s="33">
        <f t="shared" si="61"/>
        <v>32</v>
      </c>
      <c r="I250" s="33" t="str">
        <f t="shared" si="31"/>
        <v>='C:\Users\jaime.benazar\Quorum Business Solutions\Ecopetrol Prometeo - Documents\Planning Space Implementation\3. Analysis &amp; Design\Design\FC22\DRR Jaime\QUIFA-CAJÚA\Cajua\[CAJUA_CF_SEC_New_27-Feb-2024Rev3.xlsx]D-PRB'!$BB$32</v>
      </c>
      <c r="J250" s="37" t="s">
        <v>2131</v>
      </c>
    </row>
    <row r="251" spans="1:10" x14ac:dyDescent="0.25">
      <c r="A251" s="32" t="s">
        <v>4</v>
      </c>
      <c r="B251" s="32">
        <f>+B250+1</f>
        <v>2044</v>
      </c>
      <c r="C251" s="33" t="s">
        <v>51</v>
      </c>
      <c r="D251" s="34" t="s">
        <v>1999</v>
      </c>
      <c r="E251" s="35" t="str">
        <f t="shared" ref="E251:E266" si="65">_xlfn.CONCAT(A251,"'!")</f>
        <v>PRB'!</v>
      </c>
      <c r="F251" s="34" t="str">
        <f t="shared" ref="F251:F266" si="66">_xlfn.CONCAT(D251:E251)</f>
        <v>C:\Users\jaime.benazar\Quorum Business Solutions\Ecopetrol Prometeo - Documents\Planning Space Implementation\3. Analysis &amp; Design\Design\FC22\DRR Jaime\QUIFA-CAJÚA\Cajua\[CAJUA_CF_SEC_New_27-Feb-2024Rev3.xlsx]D-PRB'!</v>
      </c>
      <c r="G251" s="32" t="s">
        <v>59</v>
      </c>
      <c r="H251" s="33">
        <f t="shared" ref="H251:H266" si="67">IF(A251&lt;&gt;A250,12,H250+1)</f>
        <v>33</v>
      </c>
      <c r="I251" s="33" t="str">
        <f t="shared" ref="I251:I266" si="68">_xlfn.CONCAT("='",F251:H251)</f>
        <v>='C:\Users\jaime.benazar\Quorum Business Solutions\Ecopetrol Prometeo - Documents\Planning Space Implementation\3. Analysis &amp; Design\Design\FC22\DRR Jaime\QUIFA-CAJÚA\Cajua\[CAJUA_CF_SEC_New_27-Feb-2024Rev3.xlsx]D-PRB'!$BB$33</v>
      </c>
      <c r="J251" s="37" t="s">
        <v>2132</v>
      </c>
    </row>
    <row r="252" spans="1:10" x14ac:dyDescent="0.25">
      <c r="A252" s="32" t="s">
        <v>4</v>
      </c>
      <c r="B252" s="32">
        <f t="shared" ref="B252:B266" si="69">+B251+1</f>
        <v>2045</v>
      </c>
      <c r="C252" s="33" t="s">
        <v>51</v>
      </c>
      <c r="D252" s="34" t="s">
        <v>1999</v>
      </c>
      <c r="E252" s="35" t="str">
        <f t="shared" si="65"/>
        <v>PRB'!</v>
      </c>
      <c r="F252" s="34" t="str">
        <f t="shared" si="66"/>
        <v>C:\Users\jaime.benazar\Quorum Business Solutions\Ecopetrol Prometeo - Documents\Planning Space Implementation\3. Analysis &amp; Design\Design\FC22\DRR Jaime\QUIFA-CAJÚA\Cajua\[CAJUA_CF_SEC_New_27-Feb-2024Rev3.xlsx]D-PRB'!</v>
      </c>
      <c r="G252" s="32" t="s">
        <v>59</v>
      </c>
      <c r="H252" s="33">
        <f t="shared" si="67"/>
        <v>34</v>
      </c>
      <c r="I252" s="33" t="str">
        <f t="shared" si="68"/>
        <v>='C:\Users\jaime.benazar\Quorum Business Solutions\Ecopetrol Prometeo - Documents\Planning Space Implementation\3. Analysis &amp; Design\Design\FC22\DRR Jaime\QUIFA-CAJÚA\Cajua\[CAJUA_CF_SEC_New_27-Feb-2024Rev3.xlsx]D-PRB'!$BB$34</v>
      </c>
      <c r="J252" s="37" t="s">
        <v>2133</v>
      </c>
    </row>
    <row r="253" spans="1:10" x14ac:dyDescent="0.25">
      <c r="A253" s="32" t="s">
        <v>4</v>
      </c>
      <c r="B253" s="32">
        <f t="shared" si="69"/>
        <v>2046</v>
      </c>
      <c r="C253" s="33" t="s">
        <v>51</v>
      </c>
      <c r="D253" s="34" t="s">
        <v>1999</v>
      </c>
      <c r="E253" s="35" t="str">
        <f t="shared" si="65"/>
        <v>PRB'!</v>
      </c>
      <c r="F253" s="34" t="str">
        <f t="shared" si="66"/>
        <v>C:\Users\jaime.benazar\Quorum Business Solutions\Ecopetrol Prometeo - Documents\Planning Space Implementation\3. Analysis &amp; Design\Design\FC22\DRR Jaime\QUIFA-CAJÚA\Cajua\[CAJUA_CF_SEC_New_27-Feb-2024Rev3.xlsx]D-PRB'!</v>
      </c>
      <c r="G253" s="32" t="s">
        <v>59</v>
      </c>
      <c r="H253" s="33">
        <f t="shared" si="67"/>
        <v>35</v>
      </c>
      <c r="I253" s="33" t="str">
        <f t="shared" si="68"/>
        <v>='C:\Users\jaime.benazar\Quorum Business Solutions\Ecopetrol Prometeo - Documents\Planning Space Implementation\3. Analysis &amp; Design\Design\FC22\DRR Jaime\QUIFA-CAJÚA\Cajua\[CAJUA_CF_SEC_New_27-Feb-2024Rev3.xlsx]D-PRB'!$BB$35</v>
      </c>
      <c r="J253" s="37" t="s">
        <v>2134</v>
      </c>
    </row>
    <row r="254" spans="1:10" x14ac:dyDescent="0.25">
      <c r="A254" s="32" t="s">
        <v>4</v>
      </c>
      <c r="B254" s="32">
        <f t="shared" si="69"/>
        <v>2047</v>
      </c>
      <c r="C254" s="33" t="s">
        <v>51</v>
      </c>
      <c r="D254" s="34" t="s">
        <v>1999</v>
      </c>
      <c r="E254" s="35" t="str">
        <f t="shared" si="65"/>
        <v>PRB'!</v>
      </c>
      <c r="F254" s="34" t="str">
        <f t="shared" si="66"/>
        <v>C:\Users\jaime.benazar\Quorum Business Solutions\Ecopetrol Prometeo - Documents\Planning Space Implementation\3. Analysis &amp; Design\Design\FC22\DRR Jaime\QUIFA-CAJÚA\Cajua\[CAJUA_CF_SEC_New_27-Feb-2024Rev3.xlsx]D-PRB'!</v>
      </c>
      <c r="G254" s="32" t="s">
        <v>59</v>
      </c>
      <c r="H254" s="33">
        <f t="shared" si="67"/>
        <v>36</v>
      </c>
      <c r="I254" s="33" t="str">
        <f t="shared" si="68"/>
        <v>='C:\Users\jaime.benazar\Quorum Business Solutions\Ecopetrol Prometeo - Documents\Planning Space Implementation\3. Analysis &amp; Design\Design\FC22\DRR Jaime\QUIFA-CAJÚA\Cajua\[CAJUA_CF_SEC_New_27-Feb-2024Rev3.xlsx]D-PRB'!$BB$36</v>
      </c>
      <c r="J254" s="37" t="s">
        <v>2135</v>
      </c>
    </row>
    <row r="255" spans="1:10" x14ac:dyDescent="0.25">
      <c r="A255" s="32" t="s">
        <v>4</v>
      </c>
      <c r="B255" s="32">
        <f t="shared" si="69"/>
        <v>2048</v>
      </c>
      <c r="C255" s="33" t="s">
        <v>51</v>
      </c>
      <c r="D255" s="34" t="s">
        <v>1999</v>
      </c>
      <c r="E255" s="35" t="str">
        <f t="shared" si="65"/>
        <v>PRB'!</v>
      </c>
      <c r="F255" s="34" t="str">
        <f t="shared" si="66"/>
        <v>C:\Users\jaime.benazar\Quorum Business Solutions\Ecopetrol Prometeo - Documents\Planning Space Implementation\3. Analysis &amp; Design\Design\FC22\DRR Jaime\QUIFA-CAJÚA\Cajua\[CAJUA_CF_SEC_New_27-Feb-2024Rev3.xlsx]D-PRB'!</v>
      </c>
      <c r="G255" s="32" t="s">
        <v>59</v>
      </c>
      <c r="H255" s="33">
        <f t="shared" si="67"/>
        <v>37</v>
      </c>
      <c r="I255" s="33" t="str">
        <f t="shared" si="68"/>
        <v>='C:\Users\jaime.benazar\Quorum Business Solutions\Ecopetrol Prometeo - Documents\Planning Space Implementation\3. Analysis &amp; Design\Design\FC22\DRR Jaime\QUIFA-CAJÚA\Cajua\[CAJUA_CF_SEC_New_27-Feb-2024Rev3.xlsx]D-PRB'!$BB$37</v>
      </c>
      <c r="J255" s="37" t="s">
        <v>2136</v>
      </c>
    </row>
    <row r="256" spans="1:10" x14ac:dyDescent="0.25">
      <c r="A256" s="32" t="s">
        <v>4</v>
      </c>
      <c r="B256" s="32">
        <f t="shared" si="69"/>
        <v>2049</v>
      </c>
      <c r="C256" s="33" t="s">
        <v>51</v>
      </c>
      <c r="D256" s="34" t="s">
        <v>1999</v>
      </c>
      <c r="E256" s="35" t="str">
        <f t="shared" si="65"/>
        <v>PRB'!</v>
      </c>
      <c r="F256" s="34" t="str">
        <f t="shared" si="66"/>
        <v>C:\Users\jaime.benazar\Quorum Business Solutions\Ecopetrol Prometeo - Documents\Planning Space Implementation\3. Analysis &amp; Design\Design\FC22\DRR Jaime\QUIFA-CAJÚA\Cajua\[CAJUA_CF_SEC_New_27-Feb-2024Rev3.xlsx]D-PRB'!</v>
      </c>
      <c r="G256" s="32" t="s">
        <v>59</v>
      </c>
      <c r="H256" s="33">
        <f t="shared" si="67"/>
        <v>38</v>
      </c>
      <c r="I256" s="33" t="str">
        <f t="shared" si="68"/>
        <v>='C:\Users\jaime.benazar\Quorum Business Solutions\Ecopetrol Prometeo - Documents\Planning Space Implementation\3. Analysis &amp; Design\Design\FC22\DRR Jaime\QUIFA-CAJÚA\Cajua\[CAJUA_CF_SEC_New_27-Feb-2024Rev3.xlsx]D-PRB'!$BB$38</v>
      </c>
      <c r="J256" s="37" t="s">
        <v>2137</v>
      </c>
    </row>
    <row r="257" spans="1:10" x14ac:dyDescent="0.25">
      <c r="A257" s="32" t="s">
        <v>4</v>
      </c>
      <c r="B257" s="32">
        <f t="shared" si="69"/>
        <v>2050</v>
      </c>
      <c r="C257" s="33" t="s">
        <v>51</v>
      </c>
      <c r="D257" s="34" t="s">
        <v>1999</v>
      </c>
      <c r="E257" s="35" t="str">
        <f t="shared" si="65"/>
        <v>PRB'!</v>
      </c>
      <c r="F257" s="34" t="str">
        <f t="shared" si="66"/>
        <v>C:\Users\jaime.benazar\Quorum Business Solutions\Ecopetrol Prometeo - Documents\Planning Space Implementation\3. Analysis &amp; Design\Design\FC22\DRR Jaime\QUIFA-CAJÚA\Cajua\[CAJUA_CF_SEC_New_27-Feb-2024Rev3.xlsx]D-PRB'!</v>
      </c>
      <c r="G257" s="32" t="s">
        <v>59</v>
      </c>
      <c r="H257" s="33">
        <f t="shared" si="67"/>
        <v>39</v>
      </c>
      <c r="I257" s="33" t="str">
        <f t="shared" si="68"/>
        <v>='C:\Users\jaime.benazar\Quorum Business Solutions\Ecopetrol Prometeo - Documents\Planning Space Implementation\3. Analysis &amp; Design\Design\FC22\DRR Jaime\QUIFA-CAJÚA\Cajua\[CAJUA_CF_SEC_New_27-Feb-2024Rev3.xlsx]D-PRB'!$BB$39</v>
      </c>
      <c r="J257" s="37" t="s">
        <v>2138</v>
      </c>
    </row>
    <row r="258" spans="1:10" x14ac:dyDescent="0.25">
      <c r="A258" s="32" t="s">
        <v>4</v>
      </c>
      <c r="B258" s="32">
        <f t="shared" si="69"/>
        <v>2051</v>
      </c>
      <c r="C258" s="33" t="s">
        <v>51</v>
      </c>
      <c r="D258" s="34" t="s">
        <v>1999</v>
      </c>
      <c r="E258" s="35" t="str">
        <f t="shared" si="65"/>
        <v>PRB'!</v>
      </c>
      <c r="F258" s="34" t="str">
        <f t="shared" si="66"/>
        <v>C:\Users\jaime.benazar\Quorum Business Solutions\Ecopetrol Prometeo - Documents\Planning Space Implementation\3. Analysis &amp; Design\Design\FC22\DRR Jaime\QUIFA-CAJÚA\Cajua\[CAJUA_CF_SEC_New_27-Feb-2024Rev3.xlsx]D-PRB'!</v>
      </c>
      <c r="G258" s="32" t="s">
        <v>59</v>
      </c>
      <c r="H258" s="33">
        <f t="shared" si="67"/>
        <v>40</v>
      </c>
      <c r="I258" s="33" t="str">
        <f t="shared" si="68"/>
        <v>='C:\Users\jaime.benazar\Quorum Business Solutions\Ecopetrol Prometeo - Documents\Planning Space Implementation\3. Analysis &amp; Design\Design\FC22\DRR Jaime\QUIFA-CAJÚA\Cajua\[CAJUA_CF_SEC_New_27-Feb-2024Rev3.xlsx]D-PRB'!$BB$40</v>
      </c>
      <c r="J258" s="37" t="s">
        <v>2139</v>
      </c>
    </row>
    <row r="259" spans="1:10" x14ac:dyDescent="0.25">
      <c r="A259" s="32" t="s">
        <v>4</v>
      </c>
      <c r="B259" s="32">
        <f t="shared" si="69"/>
        <v>2052</v>
      </c>
      <c r="C259" s="33" t="s">
        <v>51</v>
      </c>
      <c r="D259" s="34" t="s">
        <v>1999</v>
      </c>
      <c r="E259" s="35" t="str">
        <f t="shared" si="65"/>
        <v>PRB'!</v>
      </c>
      <c r="F259" s="34" t="str">
        <f t="shared" si="66"/>
        <v>C:\Users\jaime.benazar\Quorum Business Solutions\Ecopetrol Prometeo - Documents\Planning Space Implementation\3. Analysis &amp; Design\Design\FC22\DRR Jaime\QUIFA-CAJÚA\Cajua\[CAJUA_CF_SEC_New_27-Feb-2024Rev3.xlsx]D-PRB'!</v>
      </c>
      <c r="G259" s="32" t="s">
        <v>59</v>
      </c>
      <c r="H259" s="33">
        <f t="shared" si="67"/>
        <v>41</v>
      </c>
      <c r="I259" s="33" t="str">
        <f t="shared" si="68"/>
        <v>='C:\Users\jaime.benazar\Quorum Business Solutions\Ecopetrol Prometeo - Documents\Planning Space Implementation\3. Analysis &amp; Design\Design\FC22\DRR Jaime\QUIFA-CAJÚA\Cajua\[CAJUA_CF_SEC_New_27-Feb-2024Rev3.xlsx]D-PRB'!$BB$41</v>
      </c>
      <c r="J259" s="37" t="s">
        <v>2140</v>
      </c>
    </row>
    <row r="260" spans="1:10" x14ac:dyDescent="0.25">
      <c r="A260" s="32" t="s">
        <v>4</v>
      </c>
      <c r="B260" s="32">
        <f t="shared" si="69"/>
        <v>2053</v>
      </c>
      <c r="C260" s="33" t="s">
        <v>51</v>
      </c>
      <c r="D260" s="34" t="s">
        <v>1999</v>
      </c>
      <c r="E260" s="35" t="str">
        <f t="shared" si="65"/>
        <v>PRB'!</v>
      </c>
      <c r="F260" s="34" t="str">
        <f t="shared" si="66"/>
        <v>C:\Users\jaime.benazar\Quorum Business Solutions\Ecopetrol Prometeo - Documents\Planning Space Implementation\3. Analysis &amp; Design\Design\FC22\DRR Jaime\QUIFA-CAJÚA\Cajua\[CAJUA_CF_SEC_New_27-Feb-2024Rev3.xlsx]D-PRB'!</v>
      </c>
      <c r="G260" s="32" t="s">
        <v>59</v>
      </c>
      <c r="H260" s="33">
        <f t="shared" si="67"/>
        <v>42</v>
      </c>
      <c r="I260" s="33" t="str">
        <f t="shared" si="68"/>
        <v>='C:\Users\jaime.benazar\Quorum Business Solutions\Ecopetrol Prometeo - Documents\Planning Space Implementation\3. Analysis &amp; Design\Design\FC22\DRR Jaime\QUIFA-CAJÚA\Cajua\[CAJUA_CF_SEC_New_27-Feb-2024Rev3.xlsx]D-PRB'!$BB$42</v>
      </c>
      <c r="J260" s="37" t="s">
        <v>2141</v>
      </c>
    </row>
    <row r="261" spans="1:10" x14ac:dyDescent="0.25">
      <c r="A261" s="32" t="s">
        <v>4</v>
      </c>
      <c r="B261" s="32">
        <f t="shared" si="69"/>
        <v>2054</v>
      </c>
      <c r="C261" s="33" t="s">
        <v>51</v>
      </c>
      <c r="D261" s="34" t="s">
        <v>1999</v>
      </c>
      <c r="E261" s="35" t="str">
        <f t="shared" si="65"/>
        <v>PRB'!</v>
      </c>
      <c r="F261" s="34" t="str">
        <f t="shared" si="66"/>
        <v>C:\Users\jaime.benazar\Quorum Business Solutions\Ecopetrol Prometeo - Documents\Planning Space Implementation\3. Analysis &amp; Design\Design\FC22\DRR Jaime\QUIFA-CAJÚA\Cajua\[CAJUA_CF_SEC_New_27-Feb-2024Rev3.xlsx]D-PRB'!</v>
      </c>
      <c r="G261" s="32" t="s">
        <v>59</v>
      </c>
      <c r="H261" s="33">
        <f t="shared" si="67"/>
        <v>43</v>
      </c>
      <c r="I261" s="33" t="str">
        <f t="shared" si="68"/>
        <v>='C:\Users\jaime.benazar\Quorum Business Solutions\Ecopetrol Prometeo - Documents\Planning Space Implementation\3. Analysis &amp; Design\Design\FC22\DRR Jaime\QUIFA-CAJÚA\Cajua\[CAJUA_CF_SEC_New_27-Feb-2024Rev3.xlsx]D-PRB'!$BB$43</v>
      </c>
      <c r="J261" s="37" t="s">
        <v>2142</v>
      </c>
    </row>
    <row r="262" spans="1:10" x14ac:dyDescent="0.25">
      <c r="A262" s="32" t="s">
        <v>4</v>
      </c>
      <c r="B262" s="32">
        <f t="shared" si="69"/>
        <v>2055</v>
      </c>
      <c r="C262" s="33" t="s">
        <v>51</v>
      </c>
      <c r="D262" s="34" t="s">
        <v>1999</v>
      </c>
      <c r="E262" s="35" t="str">
        <f t="shared" si="65"/>
        <v>PRB'!</v>
      </c>
      <c r="F262" s="34" t="str">
        <f t="shared" si="66"/>
        <v>C:\Users\jaime.benazar\Quorum Business Solutions\Ecopetrol Prometeo - Documents\Planning Space Implementation\3. Analysis &amp; Design\Design\FC22\DRR Jaime\QUIFA-CAJÚA\Cajua\[CAJUA_CF_SEC_New_27-Feb-2024Rev3.xlsx]D-PRB'!</v>
      </c>
      <c r="G262" s="32" t="s">
        <v>59</v>
      </c>
      <c r="H262" s="33">
        <f t="shared" si="67"/>
        <v>44</v>
      </c>
      <c r="I262" s="33" t="str">
        <f t="shared" si="68"/>
        <v>='C:\Users\jaime.benazar\Quorum Business Solutions\Ecopetrol Prometeo - Documents\Planning Space Implementation\3. Analysis &amp; Design\Design\FC22\DRR Jaime\QUIFA-CAJÚA\Cajua\[CAJUA_CF_SEC_New_27-Feb-2024Rev3.xlsx]D-PRB'!$BB$44</v>
      </c>
      <c r="J262" s="37" t="s">
        <v>2143</v>
      </c>
    </row>
    <row r="263" spans="1:10" x14ac:dyDescent="0.25">
      <c r="A263" s="32" t="s">
        <v>4</v>
      </c>
      <c r="B263" s="32">
        <f t="shared" si="69"/>
        <v>2056</v>
      </c>
      <c r="C263" s="33" t="s">
        <v>51</v>
      </c>
      <c r="D263" s="34" t="s">
        <v>1999</v>
      </c>
      <c r="E263" s="35" t="str">
        <f t="shared" si="65"/>
        <v>PRB'!</v>
      </c>
      <c r="F263" s="34" t="str">
        <f t="shared" si="66"/>
        <v>C:\Users\jaime.benazar\Quorum Business Solutions\Ecopetrol Prometeo - Documents\Planning Space Implementation\3. Analysis &amp; Design\Design\FC22\DRR Jaime\QUIFA-CAJÚA\Cajua\[CAJUA_CF_SEC_New_27-Feb-2024Rev3.xlsx]D-PRB'!</v>
      </c>
      <c r="G263" s="32" t="s">
        <v>59</v>
      </c>
      <c r="H263" s="33">
        <f t="shared" si="67"/>
        <v>45</v>
      </c>
      <c r="I263" s="33" t="str">
        <f t="shared" si="68"/>
        <v>='C:\Users\jaime.benazar\Quorum Business Solutions\Ecopetrol Prometeo - Documents\Planning Space Implementation\3. Analysis &amp; Design\Design\FC22\DRR Jaime\QUIFA-CAJÚA\Cajua\[CAJUA_CF_SEC_New_27-Feb-2024Rev3.xlsx]D-PRB'!$BB$45</v>
      </c>
      <c r="J263" s="37" t="s">
        <v>2144</v>
      </c>
    </row>
    <row r="264" spans="1:10" x14ac:dyDescent="0.25">
      <c r="A264" s="32" t="s">
        <v>4</v>
      </c>
      <c r="B264" s="32">
        <f t="shared" si="69"/>
        <v>2057</v>
      </c>
      <c r="C264" s="33" t="s">
        <v>51</v>
      </c>
      <c r="D264" s="34" t="s">
        <v>1999</v>
      </c>
      <c r="E264" s="35" t="str">
        <f t="shared" si="65"/>
        <v>PRB'!</v>
      </c>
      <c r="F264" s="34" t="str">
        <f t="shared" si="66"/>
        <v>C:\Users\jaime.benazar\Quorum Business Solutions\Ecopetrol Prometeo - Documents\Planning Space Implementation\3. Analysis &amp; Design\Design\FC22\DRR Jaime\QUIFA-CAJÚA\Cajua\[CAJUA_CF_SEC_New_27-Feb-2024Rev3.xlsx]D-PRB'!</v>
      </c>
      <c r="G264" s="32" t="s">
        <v>59</v>
      </c>
      <c r="H264" s="33">
        <f t="shared" si="67"/>
        <v>46</v>
      </c>
      <c r="I264" s="33" t="str">
        <f t="shared" si="68"/>
        <v>='C:\Users\jaime.benazar\Quorum Business Solutions\Ecopetrol Prometeo - Documents\Planning Space Implementation\3. Analysis &amp; Design\Design\FC22\DRR Jaime\QUIFA-CAJÚA\Cajua\[CAJUA_CF_SEC_New_27-Feb-2024Rev3.xlsx]D-PRB'!$BB$46</v>
      </c>
      <c r="J264" s="37" t="s">
        <v>2145</v>
      </c>
    </row>
    <row r="265" spans="1:10" x14ac:dyDescent="0.25">
      <c r="A265" s="32" t="s">
        <v>4</v>
      </c>
      <c r="B265" s="32">
        <f t="shared" si="69"/>
        <v>2058</v>
      </c>
      <c r="C265" s="33" t="s">
        <v>51</v>
      </c>
      <c r="D265" s="34" t="s">
        <v>1999</v>
      </c>
      <c r="E265" s="35" t="str">
        <f t="shared" si="65"/>
        <v>PRB'!</v>
      </c>
      <c r="F265" s="34" t="str">
        <f t="shared" si="66"/>
        <v>C:\Users\jaime.benazar\Quorum Business Solutions\Ecopetrol Prometeo - Documents\Planning Space Implementation\3. Analysis &amp; Design\Design\FC22\DRR Jaime\QUIFA-CAJÚA\Cajua\[CAJUA_CF_SEC_New_27-Feb-2024Rev3.xlsx]D-PRB'!</v>
      </c>
      <c r="G265" s="32" t="s">
        <v>59</v>
      </c>
      <c r="H265" s="33">
        <f t="shared" si="67"/>
        <v>47</v>
      </c>
      <c r="I265" s="33" t="str">
        <f t="shared" si="68"/>
        <v>='C:\Users\jaime.benazar\Quorum Business Solutions\Ecopetrol Prometeo - Documents\Planning Space Implementation\3. Analysis &amp; Design\Design\FC22\DRR Jaime\QUIFA-CAJÚA\Cajua\[CAJUA_CF_SEC_New_27-Feb-2024Rev3.xlsx]D-PRB'!$BB$47</v>
      </c>
      <c r="J265" s="37" t="s">
        <v>2146</v>
      </c>
    </row>
    <row r="266" spans="1:10" x14ac:dyDescent="0.25">
      <c r="A266" s="32" t="s">
        <v>4</v>
      </c>
      <c r="B266" s="32">
        <f t="shared" si="69"/>
        <v>2059</v>
      </c>
      <c r="C266" s="33" t="s">
        <v>51</v>
      </c>
      <c r="D266" s="34" t="s">
        <v>1999</v>
      </c>
      <c r="E266" s="35" t="str">
        <f t="shared" si="65"/>
        <v>PRB'!</v>
      </c>
      <c r="F266" s="34" t="str">
        <f t="shared" si="66"/>
        <v>C:\Users\jaime.benazar\Quorum Business Solutions\Ecopetrol Prometeo - Documents\Planning Space Implementation\3. Analysis &amp; Design\Design\FC22\DRR Jaime\QUIFA-CAJÚA\Cajua\[CAJUA_CF_SEC_New_27-Feb-2024Rev3.xlsx]D-PRB'!</v>
      </c>
      <c r="G266" s="32" t="s">
        <v>59</v>
      </c>
      <c r="H266" s="33">
        <f t="shared" si="67"/>
        <v>48</v>
      </c>
      <c r="I266" s="33" t="str">
        <f t="shared" si="68"/>
        <v>='C:\Users\jaime.benazar\Quorum Business Solutions\Ecopetrol Prometeo - Documents\Planning Space Implementation\3. Analysis &amp; Design\Design\FC22\DRR Jaime\QUIFA-CAJÚA\Cajua\[CAJUA_CF_SEC_New_27-Feb-2024Rev3.xlsx]D-PRB'!$BB$48</v>
      </c>
      <c r="J266" s="37" t="s">
        <v>2147</v>
      </c>
    </row>
    <row r="267" spans="1:10" x14ac:dyDescent="0.25">
      <c r="A267" s="32" t="s">
        <v>28</v>
      </c>
      <c r="B267" s="32"/>
      <c r="C267" s="33" t="s">
        <v>51</v>
      </c>
      <c r="D267" s="34"/>
      <c r="E267" s="35"/>
      <c r="F267" s="34"/>
      <c r="G267" s="32"/>
      <c r="H267" s="33"/>
      <c r="I267" s="33"/>
      <c r="J267" s="33"/>
    </row>
    <row r="268" spans="1:10" x14ac:dyDescent="0.25">
      <c r="A268" s="32" t="s">
        <v>102</v>
      </c>
      <c r="B268" s="32">
        <v>2023</v>
      </c>
      <c r="C268" s="33" t="s">
        <v>51</v>
      </c>
      <c r="D268" s="34" t="s">
        <v>1999</v>
      </c>
      <c r="E268" s="35" t="str">
        <f t="shared" ref="E268:E288" si="70">_xlfn.CONCAT(A268,"'!")</f>
        <v>PSDP'!</v>
      </c>
      <c r="F268" s="34" t="str">
        <f t="shared" ref="F268:F288" si="71">_xlfn.CONCAT(D268:E268)</f>
        <v>C:\Users\jaime.benazar\Quorum Business Solutions\Ecopetrol Prometeo - Documents\Planning Space Implementation\3. Analysis &amp; Design\Design\FC22\DRR Jaime\QUIFA-CAJÚA\Cajua\[CAJUA_CF_SEC_New_27-Feb-2024Rev3.xlsx]D-PSDP'!</v>
      </c>
      <c r="G268" s="32" t="s">
        <v>59</v>
      </c>
      <c r="H268" s="33"/>
      <c r="I268" s="33"/>
      <c r="J268" s="37"/>
    </row>
    <row r="269" spans="1:10" x14ac:dyDescent="0.25">
      <c r="A269" s="32" t="s">
        <v>102</v>
      </c>
      <c r="B269" s="32">
        <f>+B268+1</f>
        <v>2024</v>
      </c>
      <c r="C269" s="33" t="s">
        <v>51</v>
      </c>
      <c r="D269" s="34" t="s">
        <v>1999</v>
      </c>
      <c r="E269" s="35" t="str">
        <f t="shared" si="70"/>
        <v>PSDP'!</v>
      </c>
      <c r="F269" s="34" t="str">
        <f t="shared" si="71"/>
        <v>C:\Users\jaime.benazar\Quorum Business Solutions\Ecopetrol Prometeo - Documents\Planning Space Implementation\3. Analysis &amp; Design\Design\FC22\DRR Jaime\QUIFA-CAJÚA\Cajua\[CAJUA_CF_SEC_New_27-Feb-2024Rev3.xlsx]D-PSDP'!</v>
      </c>
      <c r="G269" s="32" t="s">
        <v>59</v>
      </c>
      <c r="H269" s="33"/>
      <c r="I269" s="33"/>
      <c r="J269" s="37"/>
    </row>
    <row r="270" spans="1:10" x14ac:dyDescent="0.25">
      <c r="A270" s="32" t="s">
        <v>102</v>
      </c>
      <c r="B270" s="32">
        <f t="shared" ref="B270:B281" si="72">+B269+1</f>
        <v>2025</v>
      </c>
      <c r="C270" s="33" t="s">
        <v>51</v>
      </c>
      <c r="D270" s="34" t="s">
        <v>1999</v>
      </c>
      <c r="E270" s="35" t="str">
        <f t="shared" si="70"/>
        <v>PSDP'!</v>
      </c>
      <c r="F270" s="34" t="str">
        <f t="shared" si="71"/>
        <v>C:\Users\jaime.benazar\Quorum Business Solutions\Ecopetrol Prometeo - Documents\Planning Space Implementation\3. Analysis &amp; Design\Design\FC22\DRR Jaime\QUIFA-CAJÚA\Cajua\[CAJUA_CF_SEC_New_27-Feb-2024Rev3.xlsx]D-PSDP'!</v>
      </c>
      <c r="G270" s="32" t="s">
        <v>59</v>
      </c>
      <c r="H270" s="33"/>
      <c r="I270" s="33"/>
      <c r="J270" s="37"/>
    </row>
    <row r="271" spans="1:10" x14ac:dyDescent="0.25">
      <c r="A271" s="32" t="s">
        <v>102</v>
      </c>
      <c r="B271" s="32">
        <f t="shared" si="72"/>
        <v>2026</v>
      </c>
      <c r="C271" s="33" t="s">
        <v>51</v>
      </c>
      <c r="D271" s="34" t="s">
        <v>1999</v>
      </c>
      <c r="E271" s="35" t="str">
        <f t="shared" si="70"/>
        <v>PSDP'!</v>
      </c>
      <c r="F271" s="34" t="str">
        <f t="shared" si="71"/>
        <v>C:\Users\jaime.benazar\Quorum Business Solutions\Ecopetrol Prometeo - Documents\Planning Space Implementation\3. Analysis &amp; Design\Design\FC22\DRR Jaime\QUIFA-CAJÚA\Cajua\[CAJUA_CF_SEC_New_27-Feb-2024Rev3.xlsx]D-PSDP'!</v>
      </c>
      <c r="G271" s="32" t="s">
        <v>59</v>
      </c>
      <c r="H271" s="33"/>
      <c r="I271" s="33"/>
      <c r="J271" s="37"/>
    </row>
    <row r="272" spans="1:10" x14ac:dyDescent="0.25">
      <c r="A272" s="32" t="s">
        <v>102</v>
      </c>
      <c r="B272" s="32">
        <f t="shared" si="72"/>
        <v>2027</v>
      </c>
      <c r="C272" s="33" t="s">
        <v>51</v>
      </c>
      <c r="D272" s="34" t="s">
        <v>1999</v>
      </c>
      <c r="E272" s="35" t="str">
        <f t="shared" si="70"/>
        <v>PSDP'!</v>
      </c>
      <c r="F272" s="34" t="str">
        <f t="shared" si="71"/>
        <v>C:\Users\jaime.benazar\Quorum Business Solutions\Ecopetrol Prometeo - Documents\Planning Space Implementation\3. Analysis &amp; Design\Design\FC22\DRR Jaime\QUIFA-CAJÚA\Cajua\[CAJUA_CF_SEC_New_27-Feb-2024Rev3.xlsx]D-PSDP'!</v>
      </c>
      <c r="G272" s="32" t="s">
        <v>59</v>
      </c>
      <c r="H272" s="33"/>
      <c r="I272" s="33"/>
      <c r="J272" s="37"/>
    </row>
    <row r="273" spans="1:10" x14ac:dyDescent="0.25">
      <c r="A273" s="32" t="s">
        <v>102</v>
      </c>
      <c r="B273" s="32">
        <f t="shared" si="72"/>
        <v>2028</v>
      </c>
      <c r="C273" s="33" t="s">
        <v>51</v>
      </c>
      <c r="D273" s="34" t="s">
        <v>1999</v>
      </c>
      <c r="E273" s="35" t="str">
        <f t="shared" si="70"/>
        <v>PSDP'!</v>
      </c>
      <c r="F273" s="34" t="str">
        <f t="shared" si="71"/>
        <v>C:\Users\jaime.benazar\Quorum Business Solutions\Ecopetrol Prometeo - Documents\Planning Space Implementation\3. Analysis &amp; Design\Design\FC22\DRR Jaime\QUIFA-CAJÚA\Cajua\[CAJUA_CF_SEC_New_27-Feb-2024Rev3.xlsx]D-PSDP'!</v>
      </c>
      <c r="G273" s="32" t="s">
        <v>59</v>
      </c>
      <c r="H273" s="33"/>
      <c r="I273" s="33"/>
      <c r="J273" s="37"/>
    </row>
    <row r="274" spans="1:10" x14ac:dyDescent="0.25">
      <c r="A274" s="32" t="s">
        <v>102</v>
      </c>
      <c r="B274" s="32">
        <f t="shared" si="72"/>
        <v>2029</v>
      </c>
      <c r="C274" s="33" t="s">
        <v>51</v>
      </c>
      <c r="D274" s="34" t="s">
        <v>1999</v>
      </c>
      <c r="E274" s="35" t="str">
        <f t="shared" si="70"/>
        <v>PSDP'!</v>
      </c>
      <c r="F274" s="34" t="str">
        <f t="shared" si="71"/>
        <v>C:\Users\jaime.benazar\Quorum Business Solutions\Ecopetrol Prometeo - Documents\Planning Space Implementation\3. Analysis &amp; Design\Design\FC22\DRR Jaime\QUIFA-CAJÚA\Cajua\[CAJUA_CF_SEC_New_27-Feb-2024Rev3.xlsx]D-PSDP'!</v>
      </c>
      <c r="G274" s="32" t="s">
        <v>59</v>
      </c>
      <c r="H274" s="33"/>
      <c r="I274" s="33"/>
      <c r="J274" s="37"/>
    </row>
    <row r="275" spans="1:10" x14ac:dyDescent="0.25">
      <c r="A275" s="32" t="s">
        <v>102</v>
      </c>
      <c r="B275" s="32">
        <f t="shared" si="72"/>
        <v>2030</v>
      </c>
      <c r="C275" s="33" t="s">
        <v>51</v>
      </c>
      <c r="D275" s="34" t="s">
        <v>1999</v>
      </c>
      <c r="E275" s="35" t="str">
        <f t="shared" si="70"/>
        <v>PSDP'!</v>
      </c>
      <c r="F275" s="34" t="str">
        <f t="shared" si="71"/>
        <v>C:\Users\jaime.benazar\Quorum Business Solutions\Ecopetrol Prometeo - Documents\Planning Space Implementation\3. Analysis &amp; Design\Design\FC22\DRR Jaime\QUIFA-CAJÚA\Cajua\[CAJUA_CF_SEC_New_27-Feb-2024Rev3.xlsx]D-PSDP'!</v>
      </c>
      <c r="G275" s="32" t="s">
        <v>59</v>
      </c>
      <c r="H275" s="33"/>
      <c r="I275" s="33"/>
      <c r="J275" s="37"/>
    </row>
    <row r="276" spans="1:10" x14ac:dyDescent="0.25">
      <c r="A276" s="32" t="s">
        <v>102</v>
      </c>
      <c r="B276" s="32">
        <f t="shared" si="72"/>
        <v>2031</v>
      </c>
      <c r="C276" s="33" t="s">
        <v>51</v>
      </c>
      <c r="D276" s="34" t="s">
        <v>1999</v>
      </c>
      <c r="E276" s="35" t="str">
        <f t="shared" si="70"/>
        <v>PSDP'!</v>
      </c>
      <c r="F276" s="34" t="str">
        <f t="shared" si="71"/>
        <v>C:\Users\jaime.benazar\Quorum Business Solutions\Ecopetrol Prometeo - Documents\Planning Space Implementation\3. Analysis &amp; Design\Design\FC22\DRR Jaime\QUIFA-CAJÚA\Cajua\[CAJUA_CF_SEC_New_27-Feb-2024Rev3.xlsx]D-PSDP'!</v>
      </c>
      <c r="G276" s="32" t="s">
        <v>59</v>
      </c>
      <c r="H276" s="33"/>
      <c r="I276" s="33"/>
      <c r="J276" s="37"/>
    </row>
    <row r="277" spans="1:10" x14ac:dyDescent="0.25">
      <c r="A277" s="32" t="s">
        <v>102</v>
      </c>
      <c r="B277" s="32">
        <f t="shared" si="72"/>
        <v>2032</v>
      </c>
      <c r="C277" s="33" t="s">
        <v>51</v>
      </c>
      <c r="D277" s="34" t="s">
        <v>1999</v>
      </c>
      <c r="E277" s="35" t="str">
        <f t="shared" si="70"/>
        <v>PSDP'!</v>
      </c>
      <c r="F277" s="34" t="str">
        <f t="shared" si="71"/>
        <v>C:\Users\jaime.benazar\Quorum Business Solutions\Ecopetrol Prometeo - Documents\Planning Space Implementation\3. Analysis &amp; Design\Design\FC22\DRR Jaime\QUIFA-CAJÚA\Cajua\[CAJUA_CF_SEC_New_27-Feb-2024Rev3.xlsx]D-PSDP'!</v>
      </c>
      <c r="G277" s="32" t="s">
        <v>59</v>
      </c>
      <c r="H277" s="33"/>
      <c r="I277" s="33"/>
      <c r="J277" s="37"/>
    </row>
    <row r="278" spans="1:10" x14ac:dyDescent="0.25">
      <c r="A278" s="32" t="s">
        <v>102</v>
      </c>
      <c r="B278" s="32">
        <f t="shared" si="72"/>
        <v>2033</v>
      </c>
      <c r="C278" s="33" t="s">
        <v>51</v>
      </c>
      <c r="D278" s="34" t="s">
        <v>1999</v>
      </c>
      <c r="E278" s="35" t="str">
        <f t="shared" si="70"/>
        <v>PSDP'!</v>
      </c>
      <c r="F278" s="34" t="str">
        <f t="shared" si="71"/>
        <v>C:\Users\jaime.benazar\Quorum Business Solutions\Ecopetrol Prometeo - Documents\Planning Space Implementation\3. Analysis &amp; Design\Design\FC22\DRR Jaime\QUIFA-CAJÚA\Cajua\[CAJUA_CF_SEC_New_27-Feb-2024Rev3.xlsx]D-PSDP'!</v>
      </c>
      <c r="G278" s="32" t="s">
        <v>59</v>
      </c>
      <c r="H278" s="33"/>
      <c r="I278" s="33"/>
      <c r="J278" s="37"/>
    </row>
    <row r="279" spans="1:10" x14ac:dyDescent="0.25">
      <c r="A279" s="32" t="s">
        <v>102</v>
      </c>
      <c r="B279" s="32">
        <f t="shared" si="72"/>
        <v>2034</v>
      </c>
      <c r="C279" s="33" t="s">
        <v>51</v>
      </c>
      <c r="D279" s="34" t="s">
        <v>1999</v>
      </c>
      <c r="E279" s="35" t="str">
        <f t="shared" si="70"/>
        <v>PSDP'!</v>
      </c>
      <c r="F279" s="34" t="str">
        <f t="shared" si="71"/>
        <v>C:\Users\jaime.benazar\Quorum Business Solutions\Ecopetrol Prometeo - Documents\Planning Space Implementation\3. Analysis &amp; Design\Design\FC22\DRR Jaime\QUIFA-CAJÚA\Cajua\[CAJUA_CF_SEC_New_27-Feb-2024Rev3.xlsx]D-PSDP'!</v>
      </c>
      <c r="G279" s="32" t="s">
        <v>59</v>
      </c>
      <c r="H279" s="33"/>
      <c r="I279" s="33"/>
      <c r="J279" s="37"/>
    </row>
    <row r="280" spans="1:10" x14ac:dyDescent="0.25">
      <c r="A280" s="32" t="s">
        <v>102</v>
      </c>
      <c r="B280" s="32">
        <f t="shared" si="72"/>
        <v>2035</v>
      </c>
      <c r="C280" s="33" t="s">
        <v>51</v>
      </c>
      <c r="D280" s="34" t="s">
        <v>1999</v>
      </c>
      <c r="E280" s="35" t="str">
        <f t="shared" si="70"/>
        <v>PSDP'!</v>
      </c>
      <c r="F280" s="34" t="str">
        <f t="shared" si="71"/>
        <v>C:\Users\jaime.benazar\Quorum Business Solutions\Ecopetrol Prometeo - Documents\Planning Space Implementation\3. Analysis &amp; Design\Design\FC22\DRR Jaime\QUIFA-CAJÚA\Cajua\[CAJUA_CF_SEC_New_27-Feb-2024Rev3.xlsx]D-PSDP'!</v>
      </c>
      <c r="G280" s="32" t="s">
        <v>59</v>
      </c>
      <c r="H280" s="33"/>
      <c r="I280" s="33"/>
      <c r="J280" s="37"/>
    </row>
    <row r="281" spans="1:10" x14ac:dyDescent="0.25">
      <c r="A281" s="32" t="s">
        <v>102</v>
      </c>
      <c r="B281" s="32">
        <f t="shared" si="72"/>
        <v>2036</v>
      </c>
      <c r="C281" s="33" t="s">
        <v>51</v>
      </c>
      <c r="D281" s="34" t="s">
        <v>1999</v>
      </c>
      <c r="E281" s="35" t="str">
        <f t="shared" si="70"/>
        <v>PSDP'!</v>
      </c>
      <c r="F281" s="34" t="str">
        <f t="shared" si="71"/>
        <v>C:\Users\jaime.benazar\Quorum Business Solutions\Ecopetrol Prometeo - Documents\Planning Space Implementation\3. Analysis &amp; Design\Design\FC22\DRR Jaime\QUIFA-CAJÚA\Cajua\[CAJUA_CF_SEC_New_27-Feb-2024Rev3.xlsx]D-PSDP'!</v>
      </c>
      <c r="G281" s="32" t="s">
        <v>59</v>
      </c>
      <c r="H281" s="33"/>
      <c r="I281" s="33"/>
      <c r="J281" s="37"/>
    </row>
    <row r="282" spans="1:10" x14ac:dyDescent="0.25">
      <c r="A282" s="32" t="s">
        <v>102</v>
      </c>
      <c r="B282" s="32">
        <f>+B281+1</f>
        <v>2037</v>
      </c>
      <c r="C282" s="33" t="s">
        <v>51</v>
      </c>
      <c r="D282" s="34" t="s">
        <v>1999</v>
      </c>
      <c r="E282" s="35" t="str">
        <f t="shared" si="70"/>
        <v>PSDP'!</v>
      </c>
      <c r="F282" s="34" t="str">
        <f t="shared" si="71"/>
        <v>C:\Users\jaime.benazar\Quorum Business Solutions\Ecopetrol Prometeo - Documents\Planning Space Implementation\3. Analysis &amp; Design\Design\FC22\DRR Jaime\QUIFA-CAJÚA\Cajua\[CAJUA_CF_SEC_New_27-Feb-2024Rev3.xlsx]D-PSDP'!</v>
      </c>
      <c r="G282" s="32" t="s">
        <v>59</v>
      </c>
      <c r="H282" s="33"/>
      <c r="I282" s="33"/>
      <c r="J282" s="37"/>
    </row>
    <row r="283" spans="1:10" x14ac:dyDescent="0.25">
      <c r="A283" s="32" t="s">
        <v>102</v>
      </c>
      <c r="B283" s="32">
        <f t="shared" ref="B283:B285" si="73">+B282+1</f>
        <v>2038</v>
      </c>
      <c r="C283" s="33" t="s">
        <v>51</v>
      </c>
      <c r="D283" s="34" t="s">
        <v>1999</v>
      </c>
      <c r="E283" s="35" t="str">
        <f t="shared" si="70"/>
        <v>PSDP'!</v>
      </c>
      <c r="F283" s="34" t="str">
        <f t="shared" si="71"/>
        <v>C:\Users\jaime.benazar\Quorum Business Solutions\Ecopetrol Prometeo - Documents\Planning Space Implementation\3. Analysis &amp; Design\Design\FC22\DRR Jaime\QUIFA-CAJÚA\Cajua\[CAJUA_CF_SEC_New_27-Feb-2024Rev3.xlsx]D-PSDP'!</v>
      </c>
      <c r="G283" s="32" t="s">
        <v>59</v>
      </c>
      <c r="H283" s="33"/>
      <c r="I283" s="33"/>
      <c r="J283" s="37"/>
    </row>
    <row r="284" spans="1:10" x14ac:dyDescent="0.25">
      <c r="A284" s="32" t="s">
        <v>102</v>
      </c>
      <c r="B284" s="32">
        <f t="shared" si="73"/>
        <v>2039</v>
      </c>
      <c r="C284" s="33" t="s">
        <v>51</v>
      </c>
      <c r="D284" s="34" t="s">
        <v>1999</v>
      </c>
      <c r="E284" s="35" t="str">
        <f t="shared" si="70"/>
        <v>PSDP'!</v>
      </c>
      <c r="F284" s="34" t="str">
        <f t="shared" si="71"/>
        <v>C:\Users\jaime.benazar\Quorum Business Solutions\Ecopetrol Prometeo - Documents\Planning Space Implementation\3. Analysis &amp; Design\Design\FC22\DRR Jaime\QUIFA-CAJÚA\Cajua\[CAJUA_CF_SEC_New_27-Feb-2024Rev3.xlsx]D-PSDP'!</v>
      </c>
      <c r="G284" s="32" t="s">
        <v>59</v>
      </c>
      <c r="H284" s="33"/>
      <c r="I284" s="33"/>
      <c r="J284" s="37"/>
    </row>
    <row r="285" spans="1:10" x14ac:dyDescent="0.25">
      <c r="A285" s="32" t="s">
        <v>102</v>
      </c>
      <c r="B285" s="32">
        <f t="shared" si="73"/>
        <v>2040</v>
      </c>
      <c r="C285" s="33" t="s">
        <v>51</v>
      </c>
      <c r="D285" s="34" t="s">
        <v>1999</v>
      </c>
      <c r="E285" s="35" t="str">
        <f t="shared" si="70"/>
        <v>PSDP'!</v>
      </c>
      <c r="F285" s="34" t="str">
        <f t="shared" si="71"/>
        <v>C:\Users\jaime.benazar\Quorum Business Solutions\Ecopetrol Prometeo - Documents\Planning Space Implementation\3. Analysis &amp; Design\Design\FC22\DRR Jaime\QUIFA-CAJÚA\Cajua\[CAJUA_CF_SEC_New_27-Feb-2024Rev3.xlsx]D-PSDP'!</v>
      </c>
      <c r="G285" s="32" t="s">
        <v>59</v>
      </c>
      <c r="H285" s="33"/>
      <c r="I285" s="33"/>
      <c r="J285" s="37"/>
    </row>
    <row r="286" spans="1:10" x14ac:dyDescent="0.25">
      <c r="A286" s="32" t="s">
        <v>102</v>
      </c>
      <c r="B286" s="32">
        <f>+B285+1</f>
        <v>2041</v>
      </c>
      <c r="C286" s="33" t="s">
        <v>51</v>
      </c>
      <c r="D286" s="34" t="s">
        <v>1999</v>
      </c>
      <c r="E286" s="35" t="str">
        <f t="shared" si="70"/>
        <v>PSDP'!</v>
      </c>
      <c r="F286" s="34" t="str">
        <f t="shared" si="71"/>
        <v>C:\Users\jaime.benazar\Quorum Business Solutions\Ecopetrol Prometeo - Documents\Planning Space Implementation\3. Analysis &amp; Design\Design\FC22\DRR Jaime\QUIFA-CAJÚA\Cajua\[CAJUA_CF_SEC_New_27-Feb-2024Rev3.xlsx]D-PSDP'!</v>
      </c>
      <c r="G286" s="32" t="s">
        <v>59</v>
      </c>
      <c r="H286" s="33"/>
      <c r="I286" s="33"/>
      <c r="J286" s="37"/>
    </row>
    <row r="287" spans="1:10" x14ac:dyDescent="0.25">
      <c r="A287" s="32" t="s">
        <v>102</v>
      </c>
      <c r="B287" s="32">
        <f t="shared" ref="B287:B288" si="74">+B286+1</f>
        <v>2042</v>
      </c>
      <c r="C287" s="33" t="s">
        <v>51</v>
      </c>
      <c r="D287" s="34" t="s">
        <v>1999</v>
      </c>
      <c r="E287" s="35" t="str">
        <f t="shared" si="70"/>
        <v>PSDP'!</v>
      </c>
      <c r="F287" s="34" t="str">
        <f t="shared" si="71"/>
        <v>C:\Users\jaime.benazar\Quorum Business Solutions\Ecopetrol Prometeo - Documents\Planning Space Implementation\3. Analysis &amp; Design\Design\FC22\DRR Jaime\QUIFA-CAJÚA\Cajua\[CAJUA_CF_SEC_New_27-Feb-2024Rev3.xlsx]D-PSDP'!</v>
      </c>
      <c r="G287" s="32" t="s">
        <v>59</v>
      </c>
      <c r="H287" s="33"/>
      <c r="I287" s="33"/>
      <c r="J287" s="37"/>
    </row>
    <row r="288" spans="1:10" x14ac:dyDescent="0.25">
      <c r="A288" s="32" t="s">
        <v>102</v>
      </c>
      <c r="B288" s="32">
        <f t="shared" si="74"/>
        <v>2043</v>
      </c>
      <c r="C288" s="33" t="s">
        <v>51</v>
      </c>
      <c r="D288" s="34" t="s">
        <v>1999</v>
      </c>
      <c r="E288" s="35" t="str">
        <f t="shared" si="70"/>
        <v>PSDP'!</v>
      </c>
      <c r="F288" s="34" t="str">
        <f t="shared" si="71"/>
        <v>C:\Users\jaime.benazar\Quorum Business Solutions\Ecopetrol Prometeo - Documents\Planning Space Implementation\3. Analysis &amp; Design\Design\FC22\DRR Jaime\QUIFA-CAJÚA\Cajua\[CAJUA_CF_SEC_New_27-Feb-2024Rev3.xlsx]D-PSDP'!</v>
      </c>
      <c r="G288" s="32" t="s">
        <v>59</v>
      </c>
      <c r="H288" s="33"/>
      <c r="I288" s="33"/>
      <c r="J288" s="37"/>
    </row>
    <row r="289" spans="1:10" x14ac:dyDescent="0.25">
      <c r="A289" s="32" t="s">
        <v>102</v>
      </c>
      <c r="B289" s="32">
        <f>+B288+1</f>
        <v>2044</v>
      </c>
      <c r="C289" s="33" t="s">
        <v>51</v>
      </c>
      <c r="D289" s="34" t="s">
        <v>1999</v>
      </c>
      <c r="E289" s="35" t="str">
        <f t="shared" ref="E289:E304" si="75">_xlfn.CONCAT(A289,"'!")</f>
        <v>PSDP'!</v>
      </c>
      <c r="F289" s="34" t="str">
        <f t="shared" ref="F289:F304" si="76">_xlfn.CONCAT(D289:E289)</f>
        <v>C:\Users\jaime.benazar\Quorum Business Solutions\Ecopetrol Prometeo - Documents\Planning Space Implementation\3. Analysis &amp; Design\Design\FC22\DRR Jaime\QUIFA-CAJÚA\Cajua\[CAJUA_CF_SEC_New_27-Feb-2024Rev3.xlsx]D-PSDP'!</v>
      </c>
      <c r="G289" s="32" t="s">
        <v>59</v>
      </c>
      <c r="H289" s="33"/>
      <c r="I289" s="33"/>
      <c r="J289" s="37"/>
    </row>
    <row r="290" spans="1:10" x14ac:dyDescent="0.25">
      <c r="A290" s="32" t="s">
        <v>102</v>
      </c>
      <c r="B290" s="32">
        <f t="shared" ref="B290:B304" si="77">+B289+1</f>
        <v>2045</v>
      </c>
      <c r="C290" s="33" t="s">
        <v>51</v>
      </c>
      <c r="D290" s="34" t="s">
        <v>1999</v>
      </c>
      <c r="E290" s="35" t="str">
        <f t="shared" si="75"/>
        <v>PSDP'!</v>
      </c>
      <c r="F290" s="34" t="str">
        <f t="shared" si="76"/>
        <v>C:\Users\jaime.benazar\Quorum Business Solutions\Ecopetrol Prometeo - Documents\Planning Space Implementation\3. Analysis &amp; Design\Design\FC22\DRR Jaime\QUIFA-CAJÚA\Cajua\[CAJUA_CF_SEC_New_27-Feb-2024Rev3.xlsx]D-PSDP'!</v>
      </c>
      <c r="G290" s="32" t="s">
        <v>59</v>
      </c>
      <c r="H290" s="33"/>
      <c r="I290" s="33"/>
      <c r="J290" s="37"/>
    </row>
    <row r="291" spans="1:10" x14ac:dyDescent="0.25">
      <c r="A291" s="32" t="s">
        <v>102</v>
      </c>
      <c r="B291" s="32">
        <f t="shared" si="77"/>
        <v>2046</v>
      </c>
      <c r="C291" s="33" t="s">
        <v>51</v>
      </c>
      <c r="D291" s="34" t="s">
        <v>1999</v>
      </c>
      <c r="E291" s="35" t="str">
        <f t="shared" si="75"/>
        <v>PSDP'!</v>
      </c>
      <c r="F291" s="34" t="str">
        <f t="shared" si="76"/>
        <v>C:\Users\jaime.benazar\Quorum Business Solutions\Ecopetrol Prometeo - Documents\Planning Space Implementation\3. Analysis &amp; Design\Design\FC22\DRR Jaime\QUIFA-CAJÚA\Cajua\[CAJUA_CF_SEC_New_27-Feb-2024Rev3.xlsx]D-PSDP'!</v>
      </c>
      <c r="G291" s="32" t="s">
        <v>59</v>
      </c>
      <c r="H291" s="33"/>
      <c r="I291" s="33"/>
      <c r="J291" s="37"/>
    </row>
    <row r="292" spans="1:10" x14ac:dyDescent="0.25">
      <c r="A292" s="32" t="s">
        <v>102</v>
      </c>
      <c r="B292" s="32">
        <f t="shared" si="77"/>
        <v>2047</v>
      </c>
      <c r="C292" s="33" t="s">
        <v>51</v>
      </c>
      <c r="D292" s="34" t="s">
        <v>1999</v>
      </c>
      <c r="E292" s="35" t="str">
        <f t="shared" si="75"/>
        <v>PSDP'!</v>
      </c>
      <c r="F292" s="34" t="str">
        <f t="shared" si="76"/>
        <v>C:\Users\jaime.benazar\Quorum Business Solutions\Ecopetrol Prometeo - Documents\Planning Space Implementation\3. Analysis &amp; Design\Design\FC22\DRR Jaime\QUIFA-CAJÚA\Cajua\[CAJUA_CF_SEC_New_27-Feb-2024Rev3.xlsx]D-PSDP'!</v>
      </c>
      <c r="G292" s="32" t="s">
        <v>59</v>
      </c>
      <c r="H292" s="33"/>
      <c r="I292" s="33"/>
      <c r="J292" s="37"/>
    </row>
    <row r="293" spans="1:10" x14ac:dyDescent="0.25">
      <c r="A293" s="32" t="s">
        <v>102</v>
      </c>
      <c r="B293" s="32">
        <f t="shared" si="77"/>
        <v>2048</v>
      </c>
      <c r="C293" s="33" t="s">
        <v>51</v>
      </c>
      <c r="D293" s="34" t="s">
        <v>1999</v>
      </c>
      <c r="E293" s="35" t="str">
        <f t="shared" si="75"/>
        <v>PSDP'!</v>
      </c>
      <c r="F293" s="34" t="str">
        <f t="shared" si="76"/>
        <v>C:\Users\jaime.benazar\Quorum Business Solutions\Ecopetrol Prometeo - Documents\Planning Space Implementation\3. Analysis &amp; Design\Design\FC22\DRR Jaime\QUIFA-CAJÚA\Cajua\[CAJUA_CF_SEC_New_27-Feb-2024Rev3.xlsx]D-PSDP'!</v>
      </c>
      <c r="G293" s="32" t="s">
        <v>59</v>
      </c>
      <c r="H293" s="33"/>
      <c r="I293" s="33"/>
      <c r="J293" s="37"/>
    </row>
    <row r="294" spans="1:10" x14ac:dyDescent="0.25">
      <c r="A294" s="32" t="s">
        <v>102</v>
      </c>
      <c r="B294" s="32">
        <f t="shared" si="77"/>
        <v>2049</v>
      </c>
      <c r="C294" s="33" t="s">
        <v>51</v>
      </c>
      <c r="D294" s="34" t="s">
        <v>1999</v>
      </c>
      <c r="E294" s="35" t="str">
        <f t="shared" si="75"/>
        <v>PSDP'!</v>
      </c>
      <c r="F294" s="34" t="str">
        <f t="shared" si="76"/>
        <v>C:\Users\jaime.benazar\Quorum Business Solutions\Ecopetrol Prometeo - Documents\Planning Space Implementation\3. Analysis &amp; Design\Design\FC22\DRR Jaime\QUIFA-CAJÚA\Cajua\[CAJUA_CF_SEC_New_27-Feb-2024Rev3.xlsx]D-PSDP'!</v>
      </c>
      <c r="G294" s="32" t="s">
        <v>59</v>
      </c>
      <c r="H294" s="33"/>
      <c r="I294" s="33"/>
      <c r="J294" s="37"/>
    </row>
    <row r="295" spans="1:10" x14ac:dyDescent="0.25">
      <c r="A295" s="32" t="s">
        <v>102</v>
      </c>
      <c r="B295" s="32">
        <f t="shared" si="77"/>
        <v>2050</v>
      </c>
      <c r="C295" s="33" t="s">
        <v>51</v>
      </c>
      <c r="D295" s="34" t="s">
        <v>1999</v>
      </c>
      <c r="E295" s="35" t="str">
        <f t="shared" si="75"/>
        <v>PSDP'!</v>
      </c>
      <c r="F295" s="34" t="str">
        <f t="shared" si="76"/>
        <v>C:\Users\jaime.benazar\Quorum Business Solutions\Ecopetrol Prometeo - Documents\Planning Space Implementation\3. Analysis &amp; Design\Design\FC22\DRR Jaime\QUIFA-CAJÚA\Cajua\[CAJUA_CF_SEC_New_27-Feb-2024Rev3.xlsx]D-PSDP'!</v>
      </c>
      <c r="G295" s="32" t="s">
        <v>59</v>
      </c>
      <c r="H295" s="33"/>
      <c r="I295" s="33"/>
      <c r="J295" s="37"/>
    </row>
    <row r="296" spans="1:10" x14ac:dyDescent="0.25">
      <c r="A296" s="32" t="s">
        <v>102</v>
      </c>
      <c r="B296" s="32">
        <f t="shared" si="77"/>
        <v>2051</v>
      </c>
      <c r="C296" s="33" t="s">
        <v>51</v>
      </c>
      <c r="D296" s="34" t="s">
        <v>1999</v>
      </c>
      <c r="E296" s="35" t="str">
        <f t="shared" si="75"/>
        <v>PSDP'!</v>
      </c>
      <c r="F296" s="34" t="str">
        <f t="shared" si="76"/>
        <v>C:\Users\jaime.benazar\Quorum Business Solutions\Ecopetrol Prometeo - Documents\Planning Space Implementation\3. Analysis &amp; Design\Design\FC22\DRR Jaime\QUIFA-CAJÚA\Cajua\[CAJUA_CF_SEC_New_27-Feb-2024Rev3.xlsx]D-PSDP'!</v>
      </c>
      <c r="G296" s="32" t="s">
        <v>59</v>
      </c>
      <c r="H296" s="33"/>
      <c r="I296" s="33"/>
      <c r="J296" s="37"/>
    </row>
    <row r="297" spans="1:10" x14ac:dyDescent="0.25">
      <c r="A297" s="32" t="s">
        <v>102</v>
      </c>
      <c r="B297" s="32">
        <f t="shared" si="77"/>
        <v>2052</v>
      </c>
      <c r="C297" s="33" t="s">
        <v>51</v>
      </c>
      <c r="D297" s="34" t="s">
        <v>1999</v>
      </c>
      <c r="E297" s="35" t="str">
        <f t="shared" si="75"/>
        <v>PSDP'!</v>
      </c>
      <c r="F297" s="34" t="str">
        <f t="shared" si="76"/>
        <v>C:\Users\jaime.benazar\Quorum Business Solutions\Ecopetrol Prometeo - Documents\Planning Space Implementation\3. Analysis &amp; Design\Design\FC22\DRR Jaime\QUIFA-CAJÚA\Cajua\[CAJUA_CF_SEC_New_27-Feb-2024Rev3.xlsx]D-PSDP'!</v>
      </c>
      <c r="G297" s="32" t="s">
        <v>59</v>
      </c>
      <c r="H297" s="33"/>
      <c r="I297" s="33"/>
      <c r="J297" s="37"/>
    </row>
    <row r="298" spans="1:10" x14ac:dyDescent="0.25">
      <c r="A298" s="32" t="s">
        <v>102</v>
      </c>
      <c r="B298" s="32">
        <f t="shared" si="77"/>
        <v>2053</v>
      </c>
      <c r="C298" s="33" t="s">
        <v>51</v>
      </c>
      <c r="D298" s="34" t="s">
        <v>1999</v>
      </c>
      <c r="E298" s="35" t="str">
        <f t="shared" si="75"/>
        <v>PSDP'!</v>
      </c>
      <c r="F298" s="34" t="str">
        <f t="shared" si="76"/>
        <v>C:\Users\jaime.benazar\Quorum Business Solutions\Ecopetrol Prometeo - Documents\Planning Space Implementation\3. Analysis &amp; Design\Design\FC22\DRR Jaime\QUIFA-CAJÚA\Cajua\[CAJUA_CF_SEC_New_27-Feb-2024Rev3.xlsx]D-PSDP'!</v>
      </c>
      <c r="G298" s="32" t="s">
        <v>59</v>
      </c>
      <c r="H298" s="33"/>
      <c r="I298" s="33"/>
      <c r="J298" s="37"/>
    </row>
    <row r="299" spans="1:10" x14ac:dyDescent="0.25">
      <c r="A299" s="32" t="s">
        <v>102</v>
      </c>
      <c r="B299" s="32">
        <f t="shared" si="77"/>
        <v>2054</v>
      </c>
      <c r="C299" s="33" t="s">
        <v>51</v>
      </c>
      <c r="D299" s="34" t="s">
        <v>1999</v>
      </c>
      <c r="E299" s="35" t="str">
        <f t="shared" si="75"/>
        <v>PSDP'!</v>
      </c>
      <c r="F299" s="34" t="str">
        <f t="shared" si="76"/>
        <v>C:\Users\jaime.benazar\Quorum Business Solutions\Ecopetrol Prometeo - Documents\Planning Space Implementation\3. Analysis &amp; Design\Design\FC22\DRR Jaime\QUIFA-CAJÚA\Cajua\[CAJUA_CF_SEC_New_27-Feb-2024Rev3.xlsx]D-PSDP'!</v>
      </c>
      <c r="G299" s="32" t="s">
        <v>59</v>
      </c>
      <c r="H299" s="33"/>
      <c r="I299" s="33"/>
      <c r="J299" s="37"/>
    </row>
    <row r="300" spans="1:10" x14ac:dyDescent="0.25">
      <c r="A300" s="32" t="s">
        <v>102</v>
      </c>
      <c r="B300" s="32">
        <f t="shared" si="77"/>
        <v>2055</v>
      </c>
      <c r="C300" s="33" t="s">
        <v>51</v>
      </c>
      <c r="D300" s="34" t="s">
        <v>1999</v>
      </c>
      <c r="E300" s="35" t="str">
        <f t="shared" si="75"/>
        <v>PSDP'!</v>
      </c>
      <c r="F300" s="34" t="str">
        <f t="shared" si="76"/>
        <v>C:\Users\jaime.benazar\Quorum Business Solutions\Ecopetrol Prometeo - Documents\Planning Space Implementation\3. Analysis &amp; Design\Design\FC22\DRR Jaime\QUIFA-CAJÚA\Cajua\[CAJUA_CF_SEC_New_27-Feb-2024Rev3.xlsx]D-PSDP'!</v>
      </c>
      <c r="G300" s="32" t="s">
        <v>59</v>
      </c>
      <c r="H300" s="33"/>
      <c r="I300" s="33"/>
      <c r="J300" s="37"/>
    </row>
    <row r="301" spans="1:10" x14ac:dyDescent="0.25">
      <c r="A301" s="32" t="s">
        <v>102</v>
      </c>
      <c r="B301" s="32">
        <f t="shared" si="77"/>
        <v>2056</v>
      </c>
      <c r="C301" s="33" t="s">
        <v>51</v>
      </c>
      <c r="D301" s="34" t="s">
        <v>1999</v>
      </c>
      <c r="E301" s="35" t="str">
        <f t="shared" si="75"/>
        <v>PSDP'!</v>
      </c>
      <c r="F301" s="34" t="str">
        <f t="shared" si="76"/>
        <v>C:\Users\jaime.benazar\Quorum Business Solutions\Ecopetrol Prometeo - Documents\Planning Space Implementation\3. Analysis &amp; Design\Design\FC22\DRR Jaime\QUIFA-CAJÚA\Cajua\[CAJUA_CF_SEC_New_27-Feb-2024Rev3.xlsx]D-PSDP'!</v>
      </c>
      <c r="G301" s="32" t="s">
        <v>59</v>
      </c>
      <c r="H301" s="33"/>
      <c r="I301" s="33"/>
      <c r="J301" s="37"/>
    </row>
    <row r="302" spans="1:10" x14ac:dyDescent="0.25">
      <c r="A302" s="32" t="s">
        <v>102</v>
      </c>
      <c r="B302" s="32">
        <f t="shared" si="77"/>
        <v>2057</v>
      </c>
      <c r="C302" s="33" t="s">
        <v>51</v>
      </c>
      <c r="D302" s="34" t="s">
        <v>1999</v>
      </c>
      <c r="E302" s="35" t="str">
        <f t="shared" si="75"/>
        <v>PSDP'!</v>
      </c>
      <c r="F302" s="34" t="str">
        <f t="shared" si="76"/>
        <v>C:\Users\jaime.benazar\Quorum Business Solutions\Ecopetrol Prometeo - Documents\Planning Space Implementation\3. Analysis &amp; Design\Design\FC22\DRR Jaime\QUIFA-CAJÚA\Cajua\[CAJUA_CF_SEC_New_27-Feb-2024Rev3.xlsx]D-PSDP'!</v>
      </c>
      <c r="G302" s="32" t="s">
        <v>59</v>
      </c>
      <c r="H302" s="33"/>
      <c r="I302" s="33"/>
      <c r="J302" s="37"/>
    </row>
    <row r="303" spans="1:10" x14ac:dyDescent="0.25">
      <c r="A303" s="32" t="s">
        <v>102</v>
      </c>
      <c r="B303" s="32">
        <f t="shared" si="77"/>
        <v>2058</v>
      </c>
      <c r="C303" s="33" t="s">
        <v>51</v>
      </c>
      <c r="D303" s="34" t="s">
        <v>1999</v>
      </c>
      <c r="E303" s="35" t="str">
        <f t="shared" si="75"/>
        <v>PSDP'!</v>
      </c>
      <c r="F303" s="34" t="str">
        <f t="shared" si="76"/>
        <v>C:\Users\jaime.benazar\Quorum Business Solutions\Ecopetrol Prometeo - Documents\Planning Space Implementation\3. Analysis &amp; Design\Design\FC22\DRR Jaime\QUIFA-CAJÚA\Cajua\[CAJUA_CF_SEC_New_27-Feb-2024Rev3.xlsx]D-PSDP'!</v>
      </c>
      <c r="G303" s="32" t="s">
        <v>59</v>
      </c>
      <c r="H303" s="33"/>
      <c r="I303" s="33"/>
      <c r="J303" s="37"/>
    </row>
    <row r="304" spans="1:10" x14ac:dyDescent="0.25">
      <c r="A304" s="32" t="s">
        <v>102</v>
      </c>
      <c r="B304" s="32">
        <f t="shared" si="77"/>
        <v>2059</v>
      </c>
      <c r="C304" s="33" t="s">
        <v>51</v>
      </c>
      <c r="D304" s="34" t="s">
        <v>1999</v>
      </c>
      <c r="E304" s="35" t="str">
        <f t="shared" si="75"/>
        <v>PSDP'!</v>
      </c>
      <c r="F304" s="34" t="str">
        <f t="shared" si="76"/>
        <v>C:\Users\jaime.benazar\Quorum Business Solutions\Ecopetrol Prometeo - Documents\Planning Space Implementation\3. Analysis &amp; Design\Design\FC22\DRR Jaime\QUIFA-CAJÚA\Cajua\[CAJUA_CF_SEC_New_27-Feb-2024Rev3.xlsx]D-PSDP'!</v>
      </c>
      <c r="G304" s="32" t="s">
        <v>59</v>
      </c>
      <c r="H304" s="33"/>
      <c r="I304" s="33"/>
      <c r="J304" s="37"/>
    </row>
    <row r="305" spans="1:10" x14ac:dyDescent="0.25">
      <c r="A305" s="32" t="s">
        <v>28</v>
      </c>
      <c r="B305" s="32"/>
      <c r="C305" s="33" t="s">
        <v>51</v>
      </c>
      <c r="D305" s="34"/>
      <c r="E305" s="35"/>
      <c r="F305" s="34"/>
      <c r="G305" s="32"/>
      <c r="H305" s="33"/>
      <c r="I305" s="33"/>
      <c r="J305" s="33"/>
    </row>
    <row r="306" spans="1:10" x14ac:dyDescent="0.25">
      <c r="A306" s="32" t="s">
        <v>103</v>
      </c>
      <c r="B306" s="32">
        <v>2023</v>
      </c>
      <c r="C306" s="33" t="s">
        <v>51</v>
      </c>
      <c r="D306" s="34" t="s">
        <v>1999</v>
      </c>
      <c r="E306" s="35" t="str">
        <f t="shared" ref="E306:E326" si="78">_xlfn.CONCAT(A306,"'!")</f>
        <v>PSNP'!</v>
      </c>
      <c r="F306" s="34" t="str">
        <f t="shared" ref="F306:F326" si="79">_xlfn.CONCAT(D306:E306)</f>
        <v>C:\Users\jaime.benazar\Quorum Business Solutions\Ecopetrol Prometeo - Documents\Planning Space Implementation\3. Analysis &amp; Design\Design\FC22\DRR Jaime\QUIFA-CAJÚA\Cajua\[CAJUA_CF_SEC_New_27-Feb-2024Rev3.xlsx]D-PSNP'!</v>
      </c>
      <c r="G306" s="32" t="s">
        <v>59</v>
      </c>
      <c r="H306" s="33"/>
      <c r="I306" s="33"/>
      <c r="J306" s="37"/>
    </row>
    <row r="307" spans="1:10" x14ac:dyDescent="0.25">
      <c r="A307" s="32" t="s">
        <v>103</v>
      </c>
      <c r="B307" s="32">
        <f>+B306+1</f>
        <v>2024</v>
      </c>
      <c r="C307" s="33" t="s">
        <v>51</v>
      </c>
      <c r="D307" s="34" t="s">
        <v>1999</v>
      </c>
      <c r="E307" s="35" t="str">
        <f t="shared" si="78"/>
        <v>PSNP'!</v>
      </c>
      <c r="F307" s="34" t="str">
        <f t="shared" si="79"/>
        <v>C:\Users\jaime.benazar\Quorum Business Solutions\Ecopetrol Prometeo - Documents\Planning Space Implementation\3. Analysis &amp; Design\Design\FC22\DRR Jaime\QUIFA-CAJÚA\Cajua\[CAJUA_CF_SEC_New_27-Feb-2024Rev3.xlsx]D-PSNP'!</v>
      </c>
      <c r="G307" s="32" t="s">
        <v>59</v>
      </c>
      <c r="H307" s="33"/>
      <c r="I307" s="33"/>
      <c r="J307" s="37"/>
    </row>
    <row r="308" spans="1:10" x14ac:dyDescent="0.25">
      <c r="A308" s="32" t="s">
        <v>103</v>
      </c>
      <c r="B308" s="32">
        <f t="shared" ref="B308:B319" si="80">+B307+1</f>
        <v>2025</v>
      </c>
      <c r="C308" s="33" t="s">
        <v>51</v>
      </c>
      <c r="D308" s="34" t="s">
        <v>1999</v>
      </c>
      <c r="E308" s="35" t="str">
        <f t="shared" si="78"/>
        <v>PSNP'!</v>
      </c>
      <c r="F308" s="34" t="str">
        <f t="shared" si="79"/>
        <v>C:\Users\jaime.benazar\Quorum Business Solutions\Ecopetrol Prometeo - Documents\Planning Space Implementation\3. Analysis &amp; Design\Design\FC22\DRR Jaime\QUIFA-CAJÚA\Cajua\[CAJUA_CF_SEC_New_27-Feb-2024Rev3.xlsx]D-PSNP'!</v>
      </c>
      <c r="G308" s="32" t="s">
        <v>59</v>
      </c>
      <c r="H308" s="33"/>
      <c r="I308" s="33"/>
      <c r="J308" s="37"/>
    </row>
    <row r="309" spans="1:10" x14ac:dyDescent="0.25">
      <c r="A309" s="32" t="s">
        <v>103</v>
      </c>
      <c r="B309" s="32">
        <f t="shared" si="80"/>
        <v>2026</v>
      </c>
      <c r="C309" s="33" t="s">
        <v>51</v>
      </c>
      <c r="D309" s="34" t="s">
        <v>1999</v>
      </c>
      <c r="E309" s="35" t="str">
        <f t="shared" si="78"/>
        <v>PSNP'!</v>
      </c>
      <c r="F309" s="34" t="str">
        <f t="shared" si="79"/>
        <v>C:\Users\jaime.benazar\Quorum Business Solutions\Ecopetrol Prometeo - Documents\Planning Space Implementation\3. Analysis &amp; Design\Design\FC22\DRR Jaime\QUIFA-CAJÚA\Cajua\[CAJUA_CF_SEC_New_27-Feb-2024Rev3.xlsx]D-PSNP'!</v>
      </c>
      <c r="G309" s="32" t="s">
        <v>59</v>
      </c>
      <c r="H309" s="33"/>
      <c r="I309" s="33"/>
      <c r="J309" s="37"/>
    </row>
    <row r="310" spans="1:10" x14ac:dyDescent="0.25">
      <c r="A310" s="32" t="s">
        <v>103</v>
      </c>
      <c r="B310" s="32">
        <f t="shared" si="80"/>
        <v>2027</v>
      </c>
      <c r="C310" s="33" t="s">
        <v>51</v>
      </c>
      <c r="D310" s="34" t="s">
        <v>1999</v>
      </c>
      <c r="E310" s="35" t="str">
        <f t="shared" si="78"/>
        <v>PSNP'!</v>
      </c>
      <c r="F310" s="34" t="str">
        <f t="shared" si="79"/>
        <v>C:\Users\jaime.benazar\Quorum Business Solutions\Ecopetrol Prometeo - Documents\Planning Space Implementation\3. Analysis &amp; Design\Design\FC22\DRR Jaime\QUIFA-CAJÚA\Cajua\[CAJUA_CF_SEC_New_27-Feb-2024Rev3.xlsx]D-PSNP'!</v>
      </c>
      <c r="G310" s="32" t="s">
        <v>59</v>
      </c>
      <c r="H310" s="33"/>
      <c r="I310" s="33"/>
      <c r="J310" s="37"/>
    </row>
    <row r="311" spans="1:10" x14ac:dyDescent="0.25">
      <c r="A311" s="32" t="s">
        <v>103</v>
      </c>
      <c r="B311" s="32">
        <f t="shared" si="80"/>
        <v>2028</v>
      </c>
      <c r="C311" s="33" t="s">
        <v>51</v>
      </c>
      <c r="D311" s="34" t="s">
        <v>1999</v>
      </c>
      <c r="E311" s="35" t="str">
        <f t="shared" si="78"/>
        <v>PSNP'!</v>
      </c>
      <c r="F311" s="34" t="str">
        <f t="shared" si="79"/>
        <v>C:\Users\jaime.benazar\Quorum Business Solutions\Ecopetrol Prometeo - Documents\Planning Space Implementation\3. Analysis &amp; Design\Design\FC22\DRR Jaime\QUIFA-CAJÚA\Cajua\[CAJUA_CF_SEC_New_27-Feb-2024Rev3.xlsx]D-PSNP'!</v>
      </c>
      <c r="G311" s="32" t="s">
        <v>59</v>
      </c>
      <c r="H311" s="33"/>
      <c r="I311" s="33"/>
      <c r="J311" s="37"/>
    </row>
    <row r="312" spans="1:10" x14ac:dyDescent="0.25">
      <c r="A312" s="32" t="s">
        <v>103</v>
      </c>
      <c r="B312" s="32">
        <f t="shared" si="80"/>
        <v>2029</v>
      </c>
      <c r="C312" s="33" t="s">
        <v>51</v>
      </c>
      <c r="D312" s="34" t="s">
        <v>1999</v>
      </c>
      <c r="E312" s="35" t="str">
        <f t="shared" si="78"/>
        <v>PSNP'!</v>
      </c>
      <c r="F312" s="34" t="str">
        <f t="shared" si="79"/>
        <v>C:\Users\jaime.benazar\Quorum Business Solutions\Ecopetrol Prometeo - Documents\Planning Space Implementation\3. Analysis &amp; Design\Design\FC22\DRR Jaime\QUIFA-CAJÚA\Cajua\[CAJUA_CF_SEC_New_27-Feb-2024Rev3.xlsx]D-PSNP'!</v>
      </c>
      <c r="G312" s="32" t="s">
        <v>59</v>
      </c>
      <c r="H312" s="33"/>
      <c r="I312" s="33"/>
      <c r="J312" s="37"/>
    </row>
    <row r="313" spans="1:10" x14ac:dyDescent="0.25">
      <c r="A313" s="32" t="s">
        <v>103</v>
      </c>
      <c r="B313" s="32">
        <f t="shared" si="80"/>
        <v>2030</v>
      </c>
      <c r="C313" s="33" t="s">
        <v>51</v>
      </c>
      <c r="D313" s="34" t="s">
        <v>1999</v>
      </c>
      <c r="E313" s="35" t="str">
        <f t="shared" si="78"/>
        <v>PSNP'!</v>
      </c>
      <c r="F313" s="34" t="str">
        <f t="shared" si="79"/>
        <v>C:\Users\jaime.benazar\Quorum Business Solutions\Ecopetrol Prometeo - Documents\Planning Space Implementation\3. Analysis &amp; Design\Design\FC22\DRR Jaime\QUIFA-CAJÚA\Cajua\[CAJUA_CF_SEC_New_27-Feb-2024Rev3.xlsx]D-PSNP'!</v>
      </c>
      <c r="G313" s="32" t="s">
        <v>59</v>
      </c>
      <c r="H313" s="33"/>
      <c r="I313" s="33"/>
      <c r="J313" s="37"/>
    </row>
    <row r="314" spans="1:10" x14ac:dyDescent="0.25">
      <c r="A314" s="32" t="s">
        <v>103</v>
      </c>
      <c r="B314" s="32">
        <f t="shared" si="80"/>
        <v>2031</v>
      </c>
      <c r="C314" s="33" t="s">
        <v>51</v>
      </c>
      <c r="D314" s="34" t="s">
        <v>1999</v>
      </c>
      <c r="E314" s="35" t="str">
        <f t="shared" si="78"/>
        <v>PSNP'!</v>
      </c>
      <c r="F314" s="34" t="str">
        <f t="shared" si="79"/>
        <v>C:\Users\jaime.benazar\Quorum Business Solutions\Ecopetrol Prometeo - Documents\Planning Space Implementation\3. Analysis &amp; Design\Design\FC22\DRR Jaime\QUIFA-CAJÚA\Cajua\[CAJUA_CF_SEC_New_27-Feb-2024Rev3.xlsx]D-PSNP'!</v>
      </c>
      <c r="G314" s="32" t="s">
        <v>59</v>
      </c>
      <c r="H314" s="33"/>
      <c r="I314" s="33"/>
      <c r="J314" s="37"/>
    </row>
    <row r="315" spans="1:10" x14ac:dyDescent="0.25">
      <c r="A315" s="32" t="s">
        <v>103</v>
      </c>
      <c r="B315" s="32">
        <f t="shared" si="80"/>
        <v>2032</v>
      </c>
      <c r="C315" s="33" t="s">
        <v>51</v>
      </c>
      <c r="D315" s="34" t="s">
        <v>1999</v>
      </c>
      <c r="E315" s="35" t="str">
        <f t="shared" si="78"/>
        <v>PSNP'!</v>
      </c>
      <c r="F315" s="34" t="str">
        <f t="shared" si="79"/>
        <v>C:\Users\jaime.benazar\Quorum Business Solutions\Ecopetrol Prometeo - Documents\Planning Space Implementation\3. Analysis &amp; Design\Design\FC22\DRR Jaime\QUIFA-CAJÚA\Cajua\[CAJUA_CF_SEC_New_27-Feb-2024Rev3.xlsx]D-PSNP'!</v>
      </c>
      <c r="G315" s="32" t="s">
        <v>59</v>
      </c>
      <c r="H315" s="33"/>
      <c r="I315" s="33"/>
      <c r="J315" s="37"/>
    </row>
    <row r="316" spans="1:10" x14ac:dyDescent="0.25">
      <c r="A316" s="32" t="s">
        <v>103</v>
      </c>
      <c r="B316" s="32">
        <f t="shared" si="80"/>
        <v>2033</v>
      </c>
      <c r="C316" s="33" t="s">
        <v>51</v>
      </c>
      <c r="D316" s="34" t="s">
        <v>1999</v>
      </c>
      <c r="E316" s="35" t="str">
        <f t="shared" si="78"/>
        <v>PSNP'!</v>
      </c>
      <c r="F316" s="34" t="str">
        <f t="shared" si="79"/>
        <v>C:\Users\jaime.benazar\Quorum Business Solutions\Ecopetrol Prometeo - Documents\Planning Space Implementation\3. Analysis &amp; Design\Design\FC22\DRR Jaime\QUIFA-CAJÚA\Cajua\[CAJUA_CF_SEC_New_27-Feb-2024Rev3.xlsx]D-PSNP'!</v>
      </c>
      <c r="G316" s="32" t="s">
        <v>59</v>
      </c>
      <c r="H316" s="33"/>
      <c r="I316" s="33"/>
      <c r="J316" s="37"/>
    </row>
    <row r="317" spans="1:10" x14ac:dyDescent="0.25">
      <c r="A317" s="32" t="s">
        <v>103</v>
      </c>
      <c r="B317" s="32">
        <f t="shared" si="80"/>
        <v>2034</v>
      </c>
      <c r="C317" s="33" t="s">
        <v>51</v>
      </c>
      <c r="D317" s="34" t="s">
        <v>1999</v>
      </c>
      <c r="E317" s="35" t="str">
        <f t="shared" si="78"/>
        <v>PSNP'!</v>
      </c>
      <c r="F317" s="34" t="str">
        <f t="shared" si="79"/>
        <v>C:\Users\jaime.benazar\Quorum Business Solutions\Ecopetrol Prometeo - Documents\Planning Space Implementation\3. Analysis &amp; Design\Design\FC22\DRR Jaime\QUIFA-CAJÚA\Cajua\[CAJUA_CF_SEC_New_27-Feb-2024Rev3.xlsx]D-PSNP'!</v>
      </c>
      <c r="G317" s="32" t="s">
        <v>59</v>
      </c>
      <c r="H317" s="33"/>
      <c r="I317" s="33"/>
      <c r="J317" s="37"/>
    </row>
    <row r="318" spans="1:10" x14ac:dyDescent="0.25">
      <c r="A318" s="32" t="s">
        <v>103</v>
      </c>
      <c r="B318" s="32">
        <f t="shared" si="80"/>
        <v>2035</v>
      </c>
      <c r="C318" s="33" t="s">
        <v>51</v>
      </c>
      <c r="D318" s="34" t="s">
        <v>1999</v>
      </c>
      <c r="E318" s="35" t="str">
        <f t="shared" si="78"/>
        <v>PSNP'!</v>
      </c>
      <c r="F318" s="34" t="str">
        <f t="shared" si="79"/>
        <v>C:\Users\jaime.benazar\Quorum Business Solutions\Ecopetrol Prometeo - Documents\Planning Space Implementation\3. Analysis &amp; Design\Design\FC22\DRR Jaime\QUIFA-CAJÚA\Cajua\[CAJUA_CF_SEC_New_27-Feb-2024Rev3.xlsx]D-PSNP'!</v>
      </c>
      <c r="G318" s="32" t="s">
        <v>59</v>
      </c>
      <c r="H318" s="33"/>
      <c r="I318" s="33"/>
      <c r="J318" s="37"/>
    </row>
    <row r="319" spans="1:10" x14ac:dyDescent="0.25">
      <c r="A319" s="32" t="s">
        <v>103</v>
      </c>
      <c r="B319" s="32">
        <f t="shared" si="80"/>
        <v>2036</v>
      </c>
      <c r="C319" s="33" t="s">
        <v>51</v>
      </c>
      <c r="D319" s="34" t="s">
        <v>1999</v>
      </c>
      <c r="E319" s="35" t="str">
        <f t="shared" si="78"/>
        <v>PSNP'!</v>
      </c>
      <c r="F319" s="34" t="str">
        <f t="shared" si="79"/>
        <v>C:\Users\jaime.benazar\Quorum Business Solutions\Ecopetrol Prometeo - Documents\Planning Space Implementation\3. Analysis &amp; Design\Design\FC22\DRR Jaime\QUIFA-CAJÚA\Cajua\[CAJUA_CF_SEC_New_27-Feb-2024Rev3.xlsx]D-PSNP'!</v>
      </c>
      <c r="G319" s="32" t="s">
        <v>59</v>
      </c>
      <c r="H319" s="33"/>
      <c r="I319" s="33"/>
      <c r="J319" s="37"/>
    </row>
    <row r="320" spans="1:10" x14ac:dyDescent="0.25">
      <c r="A320" s="32" t="s">
        <v>103</v>
      </c>
      <c r="B320" s="32">
        <f>+B319+1</f>
        <v>2037</v>
      </c>
      <c r="C320" s="33" t="s">
        <v>51</v>
      </c>
      <c r="D320" s="34" t="s">
        <v>1999</v>
      </c>
      <c r="E320" s="35" t="str">
        <f t="shared" si="78"/>
        <v>PSNP'!</v>
      </c>
      <c r="F320" s="34" t="str">
        <f t="shared" si="79"/>
        <v>C:\Users\jaime.benazar\Quorum Business Solutions\Ecopetrol Prometeo - Documents\Planning Space Implementation\3. Analysis &amp; Design\Design\FC22\DRR Jaime\QUIFA-CAJÚA\Cajua\[CAJUA_CF_SEC_New_27-Feb-2024Rev3.xlsx]D-PSNP'!</v>
      </c>
      <c r="G320" s="32" t="s">
        <v>59</v>
      </c>
      <c r="H320" s="33"/>
      <c r="I320" s="33"/>
      <c r="J320" s="37"/>
    </row>
    <row r="321" spans="1:10" x14ac:dyDescent="0.25">
      <c r="A321" s="32" t="s">
        <v>103</v>
      </c>
      <c r="B321" s="32">
        <f t="shared" ref="B321:B323" si="81">+B320+1</f>
        <v>2038</v>
      </c>
      <c r="C321" s="33" t="s">
        <v>51</v>
      </c>
      <c r="D321" s="34" t="s">
        <v>1999</v>
      </c>
      <c r="E321" s="35" t="str">
        <f t="shared" si="78"/>
        <v>PSNP'!</v>
      </c>
      <c r="F321" s="34" t="str">
        <f t="shared" si="79"/>
        <v>C:\Users\jaime.benazar\Quorum Business Solutions\Ecopetrol Prometeo - Documents\Planning Space Implementation\3. Analysis &amp; Design\Design\FC22\DRR Jaime\QUIFA-CAJÚA\Cajua\[CAJUA_CF_SEC_New_27-Feb-2024Rev3.xlsx]D-PSNP'!</v>
      </c>
      <c r="G321" s="32" t="s">
        <v>59</v>
      </c>
      <c r="H321" s="33"/>
      <c r="I321" s="33"/>
      <c r="J321" s="37"/>
    </row>
    <row r="322" spans="1:10" x14ac:dyDescent="0.25">
      <c r="A322" s="32" t="s">
        <v>103</v>
      </c>
      <c r="B322" s="32">
        <f t="shared" si="81"/>
        <v>2039</v>
      </c>
      <c r="C322" s="33" t="s">
        <v>51</v>
      </c>
      <c r="D322" s="34" t="s">
        <v>1999</v>
      </c>
      <c r="E322" s="35" t="str">
        <f t="shared" si="78"/>
        <v>PSNP'!</v>
      </c>
      <c r="F322" s="34" t="str">
        <f t="shared" si="79"/>
        <v>C:\Users\jaime.benazar\Quorum Business Solutions\Ecopetrol Prometeo - Documents\Planning Space Implementation\3. Analysis &amp; Design\Design\FC22\DRR Jaime\QUIFA-CAJÚA\Cajua\[CAJUA_CF_SEC_New_27-Feb-2024Rev3.xlsx]D-PSNP'!</v>
      </c>
      <c r="G322" s="32" t="s">
        <v>59</v>
      </c>
      <c r="H322" s="33"/>
      <c r="I322" s="33"/>
      <c r="J322" s="37"/>
    </row>
    <row r="323" spans="1:10" x14ac:dyDescent="0.25">
      <c r="A323" s="32" t="s">
        <v>103</v>
      </c>
      <c r="B323" s="32">
        <f t="shared" si="81"/>
        <v>2040</v>
      </c>
      <c r="C323" s="33" t="s">
        <v>51</v>
      </c>
      <c r="D323" s="34" t="s">
        <v>1999</v>
      </c>
      <c r="E323" s="35" t="str">
        <f t="shared" si="78"/>
        <v>PSNP'!</v>
      </c>
      <c r="F323" s="34" t="str">
        <f t="shared" si="79"/>
        <v>C:\Users\jaime.benazar\Quorum Business Solutions\Ecopetrol Prometeo - Documents\Planning Space Implementation\3. Analysis &amp; Design\Design\FC22\DRR Jaime\QUIFA-CAJÚA\Cajua\[CAJUA_CF_SEC_New_27-Feb-2024Rev3.xlsx]D-PSNP'!</v>
      </c>
      <c r="G323" s="32" t="s">
        <v>59</v>
      </c>
      <c r="H323" s="33"/>
      <c r="I323" s="33"/>
      <c r="J323" s="37"/>
    </row>
    <row r="324" spans="1:10" x14ac:dyDescent="0.25">
      <c r="A324" s="32" t="s">
        <v>103</v>
      </c>
      <c r="B324" s="32">
        <f>+B323+1</f>
        <v>2041</v>
      </c>
      <c r="C324" s="33" t="s">
        <v>51</v>
      </c>
      <c r="D324" s="34" t="s">
        <v>1999</v>
      </c>
      <c r="E324" s="35" t="str">
        <f t="shared" si="78"/>
        <v>PSNP'!</v>
      </c>
      <c r="F324" s="34" t="str">
        <f t="shared" si="79"/>
        <v>C:\Users\jaime.benazar\Quorum Business Solutions\Ecopetrol Prometeo - Documents\Planning Space Implementation\3. Analysis &amp; Design\Design\FC22\DRR Jaime\QUIFA-CAJÚA\Cajua\[CAJUA_CF_SEC_New_27-Feb-2024Rev3.xlsx]D-PSNP'!</v>
      </c>
      <c r="G324" s="32" t="s">
        <v>59</v>
      </c>
      <c r="H324" s="33"/>
      <c r="I324" s="33"/>
      <c r="J324" s="37"/>
    </row>
    <row r="325" spans="1:10" x14ac:dyDescent="0.25">
      <c r="A325" s="32" t="s">
        <v>103</v>
      </c>
      <c r="B325" s="32">
        <f t="shared" ref="B325:B326" si="82">+B324+1</f>
        <v>2042</v>
      </c>
      <c r="C325" s="33" t="s">
        <v>51</v>
      </c>
      <c r="D325" s="34" t="s">
        <v>1999</v>
      </c>
      <c r="E325" s="35" t="str">
        <f t="shared" si="78"/>
        <v>PSNP'!</v>
      </c>
      <c r="F325" s="34" t="str">
        <f t="shared" si="79"/>
        <v>C:\Users\jaime.benazar\Quorum Business Solutions\Ecopetrol Prometeo - Documents\Planning Space Implementation\3. Analysis &amp; Design\Design\FC22\DRR Jaime\QUIFA-CAJÚA\Cajua\[CAJUA_CF_SEC_New_27-Feb-2024Rev3.xlsx]D-PSNP'!</v>
      </c>
      <c r="G325" s="32" t="s">
        <v>59</v>
      </c>
      <c r="H325" s="33"/>
      <c r="I325" s="33"/>
      <c r="J325" s="37"/>
    </row>
    <row r="326" spans="1:10" x14ac:dyDescent="0.25">
      <c r="A326" s="32" t="s">
        <v>103</v>
      </c>
      <c r="B326" s="32">
        <f t="shared" si="82"/>
        <v>2043</v>
      </c>
      <c r="C326" s="33" t="s">
        <v>51</v>
      </c>
      <c r="D326" s="34" t="s">
        <v>1999</v>
      </c>
      <c r="E326" s="35" t="str">
        <f t="shared" si="78"/>
        <v>PSNP'!</v>
      </c>
      <c r="F326" s="34" t="str">
        <f t="shared" si="79"/>
        <v>C:\Users\jaime.benazar\Quorum Business Solutions\Ecopetrol Prometeo - Documents\Planning Space Implementation\3. Analysis &amp; Design\Design\FC22\DRR Jaime\QUIFA-CAJÚA\Cajua\[CAJUA_CF_SEC_New_27-Feb-2024Rev3.xlsx]D-PSNP'!</v>
      </c>
      <c r="G326" s="32" t="s">
        <v>59</v>
      </c>
      <c r="H326" s="33"/>
      <c r="I326" s="33"/>
      <c r="J326" s="37"/>
    </row>
    <row r="327" spans="1:10" x14ac:dyDescent="0.25">
      <c r="A327" s="32" t="s">
        <v>103</v>
      </c>
      <c r="B327" s="32">
        <f>+B326+1</f>
        <v>2044</v>
      </c>
      <c r="C327" s="33" t="s">
        <v>51</v>
      </c>
      <c r="D327" s="34" t="s">
        <v>1999</v>
      </c>
      <c r="E327" s="35" t="str">
        <f t="shared" ref="E327:E342" si="83">_xlfn.CONCAT(A327,"'!")</f>
        <v>PSNP'!</v>
      </c>
      <c r="F327" s="34" t="str">
        <f t="shared" ref="F327:F342" si="84">_xlfn.CONCAT(D327:E327)</f>
        <v>C:\Users\jaime.benazar\Quorum Business Solutions\Ecopetrol Prometeo - Documents\Planning Space Implementation\3. Analysis &amp; Design\Design\FC22\DRR Jaime\QUIFA-CAJÚA\Cajua\[CAJUA_CF_SEC_New_27-Feb-2024Rev3.xlsx]D-PSNP'!</v>
      </c>
      <c r="G327" s="32" t="s">
        <v>59</v>
      </c>
      <c r="H327" s="33"/>
      <c r="I327" s="33"/>
      <c r="J327" s="37"/>
    </row>
    <row r="328" spans="1:10" x14ac:dyDescent="0.25">
      <c r="A328" s="32" t="s">
        <v>103</v>
      </c>
      <c r="B328" s="32">
        <f t="shared" ref="B328:B342" si="85">+B327+1</f>
        <v>2045</v>
      </c>
      <c r="C328" s="33" t="s">
        <v>51</v>
      </c>
      <c r="D328" s="34" t="s">
        <v>1999</v>
      </c>
      <c r="E328" s="35" t="str">
        <f t="shared" si="83"/>
        <v>PSNP'!</v>
      </c>
      <c r="F328" s="34" t="str">
        <f t="shared" si="84"/>
        <v>C:\Users\jaime.benazar\Quorum Business Solutions\Ecopetrol Prometeo - Documents\Planning Space Implementation\3. Analysis &amp; Design\Design\FC22\DRR Jaime\QUIFA-CAJÚA\Cajua\[CAJUA_CF_SEC_New_27-Feb-2024Rev3.xlsx]D-PSNP'!</v>
      </c>
      <c r="G328" s="32" t="s">
        <v>59</v>
      </c>
      <c r="H328" s="33"/>
      <c r="I328" s="33"/>
      <c r="J328" s="37"/>
    </row>
    <row r="329" spans="1:10" x14ac:dyDescent="0.25">
      <c r="A329" s="32" t="s">
        <v>103</v>
      </c>
      <c r="B329" s="32">
        <f t="shared" si="85"/>
        <v>2046</v>
      </c>
      <c r="C329" s="33" t="s">
        <v>51</v>
      </c>
      <c r="D329" s="34" t="s">
        <v>1999</v>
      </c>
      <c r="E329" s="35" t="str">
        <f t="shared" si="83"/>
        <v>PSNP'!</v>
      </c>
      <c r="F329" s="34" t="str">
        <f t="shared" si="84"/>
        <v>C:\Users\jaime.benazar\Quorum Business Solutions\Ecopetrol Prometeo - Documents\Planning Space Implementation\3. Analysis &amp; Design\Design\FC22\DRR Jaime\QUIFA-CAJÚA\Cajua\[CAJUA_CF_SEC_New_27-Feb-2024Rev3.xlsx]D-PSNP'!</v>
      </c>
      <c r="G329" s="32" t="s">
        <v>59</v>
      </c>
      <c r="H329" s="33"/>
      <c r="I329" s="33"/>
      <c r="J329" s="37"/>
    </row>
    <row r="330" spans="1:10" x14ac:dyDescent="0.25">
      <c r="A330" s="32" t="s">
        <v>103</v>
      </c>
      <c r="B330" s="32">
        <f t="shared" si="85"/>
        <v>2047</v>
      </c>
      <c r="C330" s="33" t="s">
        <v>51</v>
      </c>
      <c r="D330" s="34" t="s">
        <v>1999</v>
      </c>
      <c r="E330" s="35" t="str">
        <f t="shared" si="83"/>
        <v>PSNP'!</v>
      </c>
      <c r="F330" s="34" t="str">
        <f t="shared" si="84"/>
        <v>C:\Users\jaime.benazar\Quorum Business Solutions\Ecopetrol Prometeo - Documents\Planning Space Implementation\3. Analysis &amp; Design\Design\FC22\DRR Jaime\QUIFA-CAJÚA\Cajua\[CAJUA_CF_SEC_New_27-Feb-2024Rev3.xlsx]D-PSNP'!</v>
      </c>
      <c r="G330" s="32" t="s">
        <v>59</v>
      </c>
      <c r="H330" s="33"/>
      <c r="I330" s="33"/>
      <c r="J330" s="37"/>
    </row>
    <row r="331" spans="1:10" x14ac:dyDescent="0.25">
      <c r="A331" s="32" t="s">
        <v>103</v>
      </c>
      <c r="B331" s="32">
        <f t="shared" si="85"/>
        <v>2048</v>
      </c>
      <c r="C331" s="33" t="s">
        <v>51</v>
      </c>
      <c r="D331" s="34" t="s">
        <v>1999</v>
      </c>
      <c r="E331" s="35" t="str">
        <f t="shared" si="83"/>
        <v>PSNP'!</v>
      </c>
      <c r="F331" s="34" t="str">
        <f t="shared" si="84"/>
        <v>C:\Users\jaime.benazar\Quorum Business Solutions\Ecopetrol Prometeo - Documents\Planning Space Implementation\3. Analysis &amp; Design\Design\FC22\DRR Jaime\QUIFA-CAJÚA\Cajua\[CAJUA_CF_SEC_New_27-Feb-2024Rev3.xlsx]D-PSNP'!</v>
      </c>
      <c r="G331" s="32" t="s">
        <v>59</v>
      </c>
      <c r="H331" s="33"/>
      <c r="I331" s="33"/>
      <c r="J331" s="37"/>
    </row>
    <row r="332" spans="1:10" x14ac:dyDescent="0.25">
      <c r="A332" s="32" t="s">
        <v>103</v>
      </c>
      <c r="B332" s="32">
        <f t="shared" si="85"/>
        <v>2049</v>
      </c>
      <c r="C332" s="33" t="s">
        <v>51</v>
      </c>
      <c r="D332" s="34" t="s">
        <v>1999</v>
      </c>
      <c r="E332" s="35" t="str">
        <f t="shared" si="83"/>
        <v>PSNP'!</v>
      </c>
      <c r="F332" s="34" t="str">
        <f t="shared" si="84"/>
        <v>C:\Users\jaime.benazar\Quorum Business Solutions\Ecopetrol Prometeo - Documents\Planning Space Implementation\3. Analysis &amp; Design\Design\FC22\DRR Jaime\QUIFA-CAJÚA\Cajua\[CAJUA_CF_SEC_New_27-Feb-2024Rev3.xlsx]D-PSNP'!</v>
      </c>
      <c r="G332" s="32" t="s">
        <v>59</v>
      </c>
      <c r="H332" s="33"/>
      <c r="I332" s="33"/>
      <c r="J332" s="37"/>
    </row>
    <row r="333" spans="1:10" x14ac:dyDescent="0.25">
      <c r="A333" s="32" t="s">
        <v>103</v>
      </c>
      <c r="B333" s="32">
        <f t="shared" si="85"/>
        <v>2050</v>
      </c>
      <c r="C333" s="33" t="s">
        <v>51</v>
      </c>
      <c r="D333" s="34" t="s">
        <v>1999</v>
      </c>
      <c r="E333" s="35" t="str">
        <f t="shared" si="83"/>
        <v>PSNP'!</v>
      </c>
      <c r="F333" s="34" t="str">
        <f t="shared" si="84"/>
        <v>C:\Users\jaime.benazar\Quorum Business Solutions\Ecopetrol Prometeo - Documents\Planning Space Implementation\3. Analysis &amp; Design\Design\FC22\DRR Jaime\QUIFA-CAJÚA\Cajua\[CAJUA_CF_SEC_New_27-Feb-2024Rev3.xlsx]D-PSNP'!</v>
      </c>
      <c r="G333" s="32" t="s">
        <v>59</v>
      </c>
      <c r="H333" s="33"/>
      <c r="I333" s="33"/>
      <c r="J333" s="37"/>
    </row>
    <row r="334" spans="1:10" x14ac:dyDescent="0.25">
      <c r="A334" s="32" t="s">
        <v>103</v>
      </c>
      <c r="B334" s="32">
        <f t="shared" si="85"/>
        <v>2051</v>
      </c>
      <c r="C334" s="33" t="s">
        <v>51</v>
      </c>
      <c r="D334" s="34" t="s">
        <v>1999</v>
      </c>
      <c r="E334" s="35" t="str">
        <f t="shared" si="83"/>
        <v>PSNP'!</v>
      </c>
      <c r="F334" s="34" t="str">
        <f t="shared" si="84"/>
        <v>C:\Users\jaime.benazar\Quorum Business Solutions\Ecopetrol Prometeo - Documents\Planning Space Implementation\3. Analysis &amp; Design\Design\FC22\DRR Jaime\QUIFA-CAJÚA\Cajua\[CAJUA_CF_SEC_New_27-Feb-2024Rev3.xlsx]D-PSNP'!</v>
      </c>
      <c r="G334" s="32" t="s">
        <v>59</v>
      </c>
      <c r="H334" s="33"/>
      <c r="I334" s="33"/>
      <c r="J334" s="37"/>
    </row>
    <row r="335" spans="1:10" x14ac:dyDescent="0.25">
      <c r="A335" s="32" t="s">
        <v>103</v>
      </c>
      <c r="B335" s="32">
        <f t="shared" si="85"/>
        <v>2052</v>
      </c>
      <c r="C335" s="33" t="s">
        <v>51</v>
      </c>
      <c r="D335" s="34" t="s">
        <v>1999</v>
      </c>
      <c r="E335" s="35" t="str">
        <f t="shared" si="83"/>
        <v>PSNP'!</v>
      </c>
      <c r="F335" s="34" t="str">
        <f t="shared" si="84"/>
        <v>C:\Users\jaime.benazar\Quorum Business Solutions\Ecopetrol Prometeo - Documents\Planning Space Implementation\3. Analysis &amp; Design\Design\FC22\DRR Jaime\QUIFA-CAJÚA\Cajua\[CAJUA_CF_SEC_New_27-Feb-2024Rev3.xlsx]D-PSNP'!</v>
      </c>
      <c r="G335" s="32" t="s">
        <v>59</v>
      </c>
      <c r="H335" s="33"/>
      <c r="I335" s="33"/>
      <c r="J335" s="37"/>
    </row>
    <row r="336" spans="1:10" x14ac:dyDescent="0.25">
      <c r="A336" s="32" t="s">
        <v>103</v>
      </c>
      <c r="B336" s="32">
        <f t="shared" si="85"/>
        <v>2053</v>
      </c>
      <c r="C336" s="33" t="s">
        <v>51</v>
      </c>
      <c r="D336" s="34" t="s">
        <v>1999</v>
      </c>
      <c r="E336" s="35" t="str">
        <f t="shared" si="83"/>
        <v>PSNP'!</v>
      </c>
      <c r="F336" s="34" t="str">
        <f t="shared" si="84"/>
        <v>C:\Users\jaime.benazar\Quorum Business Solutions\Ecopetrol Prometeo - Documents\Planning Space Implementation\3. Analysis &amp; Design\Design\FC22\DRR Jaime\QUIFA-CAJÚA\Cajua\[CAJUA_CF_SEC_New_27-Feb-2024Rev3.xlsx]D-PSNP'!</v>
      </c>
      <c r="G336" s="32" t="s">
        <v>59</v>
      </c>
      <c r="H336" s="33"/>
      <c r="I336" s="33"/>
      <c r="J336" s="37"/>
    </row>
    <row r="337" spans="1:10" x14ac:dyDescent="0.25">
      <c r="A337" s="32" t="s">
        <v>103</v>
      </c>
      <c r="B337" s="32">
        <f t="shared" si="85"/>
        <v>2054</v>
      </c>
      <c r="C337" s="33" t="s">
        <v>51</v>
      </c>
      <c r="D337" s="34" t="s">
        <v>1999</v>
      </c>
      <c r="E337" s="35" t="str">
        <f t="shared" si="83"/>
        <v>PSNP'!</v>
      </c>
      <c r="F337" s="34" t="str">
        <f t="shared" si="84"/>
        <v>C:\Users\jaime.benazar\Quorum Business Solutions\Ecopetrol Prometeo - Documents\Planning Space Implementation\3. Analysis &amp; Design\Design\FC22\DRR Jaime\QUIFA-CAJÚA\Cajua\[CAJUA_CF_SEC_New_27-Feb-2024Rev3.xlsx]D-PSNP'!</v>
      </c>
      <c r="G337" s="32" t="s">
        <v>59</v>
      </c>
      <c r="H337" s="33"/>
      <c r="I337" s="33"/>
      <c r="J337" s="37"/>
    </row>
    <row r="338" spans="1:10" x14ac:dyDescent="0.25">
      <c r="A338" s="32" t="s">
        <v>103</v>
      </c>
      <c r="B338" s="32">
        <f t="shared" si="85"/>
        <v>2055</v>
      </c>
      <c r="C338" s="33" t="s">
        <v>51</v>
      </c>
      <c r="D338" s="34" t="s">
        <v>1999</v>
      </c>
      <c r="E338" s="35" t="str">
        <f t="shared" si="83"/>
        <v>PSNP'!</v>
      </c>
      <c r="F338" s="34" t="str">
        <f t="shared" si="84"/>
        <v>C:\Users\jaime.benazar\Quorum Business Solutions\Ecopetrol Prometeo - Documents\Planning Space Implementation\3. Analysis &amp; Design\Design\FC22\DRR Jaime\QUIFA-CAJÚA\Cajua\[CAJUA_CF_SEC_New_27-Feb-2024Rev3.xlsx]D-PSNP'!</v>
      </c>
      <c r="G338" s="32" t="s">
        <v>59</v>
      </c>
      <c r="H338" s="33"/>
      <c r="I338" s="33"/>
      <c r="J338" s="37"/>
    </row>
    <row r="339" spans="1:10" x14ac:dyDescent="0.25">
      <c r="A339" s="32" t="s">
        <v>103</v>
      </c>
      <c r="B339" s="32">
        <f t="shared" si="85"/>
        <v>2056</v>
      </c>
      <c r="C339" s="33" t="s">
        <v>51</v>
      </c>
      <c r="D339" s="34" t="s">
        <v>1999</v>
      </c>
      <c r="E339" s="35" t="str">
        <f t="shared" si="83"/>
        <v>PSNP'!</v>
      </c>
      <c r="F339" s="34" t="str">
        <f t="shared" si="84"/>
        <v>C:\Users\jaime.benazar\Quorum Business Solutions\Ecopetrol Prometeo - Documents\Planning Space Implementation\3. Analysis &amp; Design\Design\FC22\DRR Jaime\QUIFA-CAJÚA\Cajua\[CAJUA_CF_SEC_New_27-Feb-2024Rev3.xlsx]D-PSNP'!</v>
      </c>
      <c r="G339" s="32" t="s">
        <v>59</v>
      </c>
      <c r="H339" s="33"/>
      <c r="I339" s="33"/>
      <c r="J339" s="37"/>
    </row>
    <row r="340" spans="1:10" x14ac:dyDescent="0.25">
      <c r="A340" s="32" t="s">
        <v>103</v>
      </c>
      <c r="B340" s="32">
        <f t="shared" si="85"/>
        <v>2057</v>
      </c>
      <c r="C340" s="33" t="s">
        <v>51</v>
      </c>
      <c r="D340" s="34" t="s">
        <v>1999</v>
      </c>
      <c r="E340" s="35" t="str">
        <f t="shared" si="83"/>
        <v>PSNP'!</v>
      </c>
      <c r="F340" s="34" t="str">
        <f t="shared" si="84"/>
        <v>C:\Users\jaime.benazar\Quorum Business Solutions\Ecopetrol Prometeo - Documents\Planning Space Implementation\3. Analysis &amp; Design\Design\FC22\DRR Jaime\QUIFA-CAJÚA\Cajua\[CAJUA_CF_SEC_New_27-Feb-2024Rev3.xlsx]D-PSNP'!</v>
      </c>
      <c r="G340" s="32" t="s">
        <v>59</v>
      </c>
      <c r="H340" s="33"/>
      <c r="I340" s="33"/>
      <c r="J340" s="37"/>
    </row>
    <row r="341" spans="1:10" x14ac:dyDescent="0.25">
      <c r="A341" s="32" t="s">
        <v>103</v>
      </c>
      <c r="B341" s="32">
        <f t="shared" si="85"/>
        <v>2058</v>
      </c>
      <c r="C341" s="33" t="s">
        <v>51</v>
      </c>
      <c r="D341" s="34" t="s">
        <v>1999</v>
      </c>
      <c r="E341" s="35" t="str">
        <f t="shared" si="83"/>
        <v>PSNP'!</v>
      </c>
      <c r="F341" s="34" t="str">
        <f t="shared" si="84"/>
        <v>C:\Users\jaime.benazar\Quorum Business Solutions\Ecopetrol Prometeo - Documents\Planning Space Implementation\3. Analysis &amp; Design\Design\FC22\DRR Jaime\QUIFA-CAJÚA\Cajua\[CAJUA_CF_SEC_New_27-Feb-2024Rev3.xlsx]D-PSNP'!</v>
      </c>
      <c r="G341" s="32" t="s">
        <v>59</v>
      </c>
      <c r="H341" s="33"/>
      <c r="I341" s="33"/>
      <c r="J341" s="37"/>
    </row>
    <row r="342" spans="1:10" x14ac:dyDescent="0.25">
      <c r="A342" s="32" t="s">
        <v>103</v>
      </c>
      <c r="B342" s="32">
        <f t="shared" si="85"/>
        <v>2059</v>
      </c>
      <c r="C342" s="33" t="s">
        <v>51</v>
      </c>
      <c r="D342" s="34" t="s">
        <v>1999</v>
      </c>
      <c r="E342" s="35" t="str">
        <f t="shared" si="83"/>
        <v>PSNP'!</v>
      </c>
      <c r="F342" s="34" t="str">
        <f t="shared" si="84"/>
        <v>C:\Users\jaime.benazar\Quorum Business Solutions\Ecopetrol Prometeo - Documents\Planning Space Implementation\3. Analysis &amp; Design\Design\FC22\DRR Jaime\QUIFA-CAJÚA\Cajua\[CAJUA_CF_SEC_New_27-Feb-2024Rev3.xlsx]D-PSNP'!</v>
      </c>
      <c r="G342" s="32" t="s">
        <v>59</v>
      </c>
      <c r="H342" s="33"/>
      <c r="I342" s="33"/>
      <c r="J342" s="37"/>
    </row>
    <row r="343" spans="1:10" x14ac:dyDescent="0.25">
      <c r="A343" s="32" t="s">
        <v>28</v>
      </c>
      <c r="B343" s="32"/>
      <c r="C343" s="33" t="s">
        <v>51</v>
      </c>
      <c r="D343" s="34"/>
      <c r="E343" s="35" t="str">
        <f t="shared" ref="E343" si="86">_xlfn.CONCAT(A343,"'!")</f>
        <v>Total'!</v>
      </c>
      <c r="F343" s="34"/>
      <c r="G343" s="32" t="s">
        <v>59</v>
      </c>
      <c r="H343" s="33"/>
      <c r="I343" s="33"/>
      <c r="J343" s="33"/>
    </row>
    <row r="344" spans="1:10" x14ac:dyDescent="0.25">
      <c r="A344" s="32" t="s">
        <v>104</v>
      </c>
      <c r="B344" s="32">
        <v>2023</v>
      </c>
      <c r="C344" s="33" t="s">
        <v>51</v>
      </c>
      <c r="D344" s="34" t="s">
        <v>1999</v>
      </c>
      <c r="E344" s="35" t="str">
        <f t="shared" ref="E344:E364" si="87">_xlfn.CONCAT(A344,"'!")</f>
        <v>PSND'!</v>
      </c>
      <c r="F344" s="34" t="str">
        <f t="shared" ref="F344:F364" si="88">_xlfn.CONCAT(D344:E344)</f>
        <v>C:\Users\jaime.benazar\Quorum Business Solutions\Ecopetrol Prometeo - Documents\Planning Space Implementation\3. Analysis &amp; Design\Design\FC22\DRR Jaime\QUIFA-CAJÚA\Cajua\[CAJUA_CF_SEC_New_27-Feb-2024Rev3.xlsx]D-PSND'!</v>
      </c>
      <c r="G344" s="32" t="s">
        <v>59</v>
      </c>
      <c r="H344" s="33"/>
      <c r="I344" s="33"/>
      <c r="J344" s="37"/>
    </row>
    <row r="345" spans="1:10" x14ac:dyDescent="0.25">
      <c r="A345" s="32" t="s">
        <v>104</v>
      </c>
      <c r="B345" s="32">
        <f>+B344+1</f>
        <v>2024</v>
      </c>
      <c r="C345" s="33" t="s">
        <v>51</v>
      </c>
      <c r="D345" s="34" t="s">
        <v>1999</v>
      </c>
      <c r="E345" s="35" t="str">
        <f t="shared" si="87"/>
        <v>PSND'!</v>
      </c>
      <c r="F345" s="34" t="str">
        <f t="shared" si="88"/>
        <v>C:\Users\jaime.benazar\Quorum Business Solutions\Ecopetrol Prometeo - Documents\Planning Space Implementation\3. Analysis &amp; Design\Design\FC22\DRR Jaime\QUIFA-CAJÚA\Cajua\[CAJUA_CF_SEC_New_27-Feb-2024Rev3.xlsx]D-PSND'!</v>
      </c>
      <c r="G345" s="32" t="s">
        <v>59</v>
      </c>
      <c r="H345" s="33"/>
      <c r="I345" s="33"/>
      <c r="J345" s="37"/>
    </row>
    <row r="346" spans="1:10" x14ac:dyDescent="0.25">
      <c r="A346" s="32" t="s">
        <v>104</v>
      </c>
      <c r="B346" s="32">
        <f t="shared" ref="B346:B357" si="89">+B345+1</f>
        <v>2025</v>
      </c>
      <c r="C346" s="33" t="s">
        <v>51</v>
      </c>
      <c r="D346" s="34" t="s">
        <v>1999</v>
      </c>
      <c r="E346" s="35" t="str">
        <f t="shared" si="87"/>
        <v>PSND'!</v>
      </c>
      <c r="F346" s="34" t="str">
        <f t="shared" si="88"/>
        <v>C:\Users\jaime.benazar\Quorum Business Solutions\Ecopetrol Prometeo - Documents\Planning Space Implementation\3. Analysis &amp; Design\Design\FC22\DRR Jaime\QUIFA-CAJÚA\Cajua\[CAJUA_CF_SEC_New_27-Feb-2024Rev3.xlsx]D-PSND'!</v>
      </c>
      <c r="G346" s="32" t="s">
        <v>59</v>
      </c>
      <c r="H346" s="33"/>
      <c r="I346" s="33"/>
      <c r="J346" s="37"/>
    </row>
    <row r="347" spans="1:10" x14ac:dyDescent="0.25">
      <c r="A347" s="32" t="s">
        <v>104</v>
      </c>
      <c r="B347" s="32">
        <f t="shared" si="89"/>
        <v>2026</v>
      </c>
      <c r="C347" s="33" t="s">
        <v>51</v>
      </c>
      <c r="D347" s="34" t="s">
        <v>1999</v>
      </c>
      <c r="E347" s="35" t="str">
        <f t="shared" si="87"/>
        <v>PSND'!</v>
      </c>
      <c r="F347" s="34" t="str">
        <f t="shared" si="88"/>
        <v>C:\Users\jaime.benazar\Quorum Business Solutions\Ecopetrol Prometeo - Documents\Planning Space Implementation\3. Analysis &amp; Design\Design\FC22\DRR Jaime\QUIFA-CAJÚA\Cajua\[CAJUA_CF_SEC_New_27-Feb-2024Rev3.xlsx]D-PSND'!</v>
      </c>
      <c r="G347" s="32" t="s">
        <v>59</v>
      </c>
      <c r="H347" s="33"/>
      <c r="I347" s="33"/>
      <c r="J347" s="37"/>
    </row>
    <row r="348" spans="1:10" x14ac:dyDescent="0.25">
      <c r="A348" s="32" t="s">
        <v>104</v>
      </c>
      <c r="B348" s="32">
        <f t="shared" si="89"/>
        <v>2027</v>
      </c>
      <c r="C348" s="33" t="s">
        <v>51</v>
      </c>
      <c r="D348" s="34" t="s">
        <v>1999</v>
      </c>
      <c r="E348" s="35" t="str">
        <f t="shared" si="87"/>
        <v>PSND'!</v>
      </c>
      <c r="F348" s="34" t="str">
        <f t="shared" si="88"/>
        <v>C:\Users\jaime.benazar\Quorum Business Solutions\Ecopetrol Prometeo - Documents\Planning Space Implementation\3. Analysis &amp; Design\Design\FC22\DRR Jaime\QUIFA-CAJÚA\Cajua\[CAJUA_CF_SEC_New_27-Feb-2024Rev3.xlsx]D-PSND'!</v>
      </c>
      <c r="G348" s="32" t="s">
        <v>59</v>
      </c>
      <c r="H348" s="33"/>
      <c r="I348" s="33"/>
      <c r="J348" s="37"/>
    </row>
    <row r="349" spans="1:10" x14ac:dyDescent="0.25">
      <c r="A349" s="32" t="s">
        <v>104</v>
      </c>
      <c r="B349" s="32">
        <f t="shared" si="89"/>
        <v>2028</v>
      </c>
      <c r="C349" s="33" t="s">
        <v>51</v>
      </c>
      <c r="D349" s="34" t="s">
        <v>1999</v>
      </c>
      <c r="E349" s="35" t="str">
        <f t="shared" si="87"/>
        <v>PSND'!</v>
      </c>
      <c r="F349" s="34" t="str">
        <f t="shared" si="88"/>
        <v>C:\Users\jaime.benazar\Quorum Business Solutions\Ecopetrol Prometeo - Documents\Planning Space Implementation\3. Analysis &amp; Design\Design\FC22\DRR Jaime\QUIFA-CAJÚA\Cajua\[CAJUA_CF_SEC_New_27-Feb-2024Rev3.xlsx]D-PSND'!</v>
      </c>
      <c r="G349" s="32" t="s">
        <v>59</v>
      </c>
      <c r="H349" s="33"/>
      <c r="I349" s="33"/>
      <c r="J349" s="37"/>
    </row>
    <row r="350" spans="1:10" x14ac:dyDescent="0.25">
      <c r="A350" s="32" t="s">
        <v>104</v>
      </c>
      <c r="B350" s="32">
        <f t="shared" si="89"/>
        <v>2029</v>
      </c>
      <c r="C350" s="33" t="s">
        <v>51</v>
      </c>
      <c r="D350" s="34" t="s">
        <v>1999</v>
      </c>
      <c r="E350" s="35" t="str">
        <f t="shared" si="87"/>
        <v>PSND'!</v>
      </c>
      <c r="F350" s="34" t="str">
        <f t="shared" si="88"/>
        <v>C:\Users\jaime.benazar\Quorum Business Solutions\Ecopetrol Prometeo - Documents\Planning Space Implementation\3. Analysis &amp; Design\Design\FC22\DRR Jaime\QUIFA-CAJÚA\Cajua\[CAJUA_CF_SEC_New_27-Feb-2024Rev3.xlsx]D-PSND'!</v>
      </c>
      <c r="G350" s="32" t="s">
        <v>59</v>
      </c>
      <c r="H350" s="33"/>
      <c r="I350" s="33"/>
      <c r="J350" s="37"/>
    </row>
    <row r="351" spans="1:10" x14ac:dyDescent="0.25">
      <c r="A351" s="32" t="s">
        <v>104</v>
      </c>
      <c r="B351" s="32">
        <f t="shared" si="89"/>
        <v>2030</v>
      </c>
      <c r="C351" s="33" t="s">
        <v>51</v>
      </c>
      <c r="D351" s="34" t="s">
        <v>1999</v>
      </c>
      <c r="E351" s="35" t="str">
        <f t="shared" si="87"/>
        <v>PSND'!</v>
      </c>
      <c r="F351" s="34" t="str">
        <f t="shared" si="88"/>
        <v>C:\Users\jaime.benazar\Quorum Business Solutions\Ecopetrol Prometeo - Documents\Planning Space Implementation\3. Analysis &amp; Design\Design\FC22\DRR Jaime\QUIFA-CAJÚA\Cajua\[CAJUA_CF_SEC_New_27-Feb-2024Rev3.xlsx]D-PSND'!</v>
      </c>
      <c r="G351" s="32" t="s">
        <v>59</v>
      </c>
      <c r="H351" s="33"/>
      <c r="I351" s="33"/>
      <c r="J351" s="37"/>
    </row>
    <row r="352" spans="1:10" x14ac:dyDescent="0.25">
      <c r="A352" s="32" t="s">
        <v>104</v>
      </c>
      <c r="B352" s="32">
        <f t="shared" si="89"/>
        <v>2031</v>
      </c>
      <c r="C352" s="33" t="s">
        <v>51</v>
      </c>
      <c r="D352" s="34" t="s">
        <v>1999</v>
      </c>
      <c r="E352" s="35" t="str">
        <f t="shared" si="87"/>
        <v>PSND'!</v>
      </c>
      <c r="F352" s="34" t="str">
        <f t="shared" si="88"/>
        <v>C:\Users\jaime.benazar\Quorum Business Solutions\Ecopetrol Prometeo - Documents\Planning Space Implementation\3. Analysis &amp; Design\Design\FC22\DRR Jaime\QUIFA-CAJÚA\Cajua\[CAJUA_CF_SEC_New_27-Feb-2024Rev3.xlsx]D-PSND'!</v>
      </c>
      <c r="G352" s="32" t="s">
        <v>59</v>
      </c>
      <c r="H352" s="33"/>
      <c r="I352" s="33"/>
      <c r="J352" s="37"/>
    </row>
    <row r="353" spans="1:10" x14ac:dyDescent="0.25">
      <c r="A353" s="32" t="s">
        <v>104</v>
      </c>
      <c r="B353" s="32">
        <f t="shared" si="89"/>
        <v>2032</v>
      </c>
      <c r="C353" s="33" t="s">
        <v>51</v>
      </c>
      <c r="D353" s="34" t="s">
        <v>1999</v>
      </c>
      <c r="E353" s="35" t="str">
        <f t="shared" si="87"/>
        <v>PSND'!</v>
      </c>
      <c r="F353" s="34" t="str">
        <f t="shared" si="88"/>
        <v>C:\Users\jaime.benazar\Quorum Business Solutions\Ecopetrol Prometeo - Documents\Planning Space Implementation\3. Analysis &amp; Design\Design\FC22\DRR Jaime\QUIFA-CAJÚA\Cajua\[CAJUA_CF_SEC_New_27-Feb-2024Rev3.xlsx]D-PSND'!</v>
      </c>
      <c r="G353" s="32" t="s">
        <v>59</v>
      </c>
      <c r="H353" s="33"/>
      <c r="I353" s="33"/>
      <c r="J353" s="37"/>
    </row>
    <row r="354" spans="1:10" x14ac:dyDescent="0.25">
      <c r="A354" s="32" t="s">
        <v>104</v>
      </c>
      <c r="B354" s="32">
        <f t="shared" si="89"/>
        <v>2033</v>
      </c>
      <c r="C354" s="33" t="s">
        <v>51</v>
      </c>
      <c r="D354" s="34" t="s">
        <v>1999</v>
      </c>
      <c r="E354" s="35" t="str">
        <f t="shared" si="87"/>
        <v>PSND'!</v>
      </c>
      <c r="F354" s="34" t="str">
        <f t="shared" si="88"/>
        <v>C:\Users\jaime.benazar\Quorum Business Solutions\Ecopetrol Prometeo - Documents\Planning Space Implementation\3. Analysis &amp; Design\Design\FC22\DRR Jaime\QUIFA-CAJÚA\Cajua\[CAJUA_CF_SEC_New_27-Feb-2024Rev3.xlsx]D-PSND'!</v>
      </c>
      <c r="G354" s="32" t="s">
        <v>59</v>
      </c>
      <c r="H354" s="33"/>
      <c r="I354" s="33"/>
      <c r="J354" s="37"/>
    </row>
    <row r="355" spans="1:10" x14ac:dyDescent="0.25">
      <c r="A355" s="32" t="s">
        <v>104</v>
      </c>
      <c r="B355" s="32">
        <f t="shared" si="89"/>
        <v>2034</v>
      </c>
      <c r="C355" s="33" t="s">
        <v>51</v>
      </c>
      <c r="D355" s="34" t="s">
        <v>1999</v>
      </c>
      <c r="E355" s="35" t="str">
        <f t="shared" si="87"/>
        <v>PSND'!</v>
      </c>
      <c r="F355" s="34" t="str">
        <f t="shared" si="88"/>
        <v>C:\Users\jaime.benazar\Quorum Business Solutions\Ecopetrol Prometeo - Documents\Planning Space Implementation\3. Analysis &amp; Design\Design\FC22\DRR Jaime\QUIFA-CAJÚA\Cajua\[CAJUA_CF_SEC_New_27-Feb-2024Rev3.xlsx]D-PSND'!</v>
      </c>
      <c r="G355" s="32" t="s">
        <v>59</v>
      </c>
      <c r="H355" s="33"/>
      <c r="I355" s="33"/>
      <c r="J355" s="37"/>
    </row>
    <row r="356" spans="1:10" x14ac:dyDescent="0.25">
      <c r="A356" s="32" t="s">
        <v>104</v>
      </c>
      <c r="B356" s="32">
        <f t="shared" si="89"/>
        <v>2035</v>
      </c>
      <c r="C356" s="33" t="s">
        <v>51</v>
      </c>
      <c r="D356" s="34" t="s">
        <v>1999</v>
      </c>
      <c r="E356" s="35" t="str">
        <f t="shared" si="87"/>
        <v>PSND'!</v>
      </c>
      <c r="F356" s="34" t="str">
        <f t="shared" si="88"/>
        <v>C:\Users\jaime.benazar\Quorum Business Solutions\Ecopetrol Prometeo - Documents\Planning Space Implementation\3. Analysis &amp; Design\Design\FC22\DRR Jaime\QUIFA-CAJÚA\Cajua\[CAJUA_CF_SEC_New_27-Feb-2024Rev3.xlsx]D-PSND'!</v>
      </c>
      <c r="G356" s="32" t="s">
        <v>59</v>
      </c>
      <c r="H356" s="33"/>
      <c r="I356" s="33"/>
      <c r="J356" s="37"/>
    </row>
    <row r="357" spans="1:10" x14ac:dyDescent="0.25">
      <c r="A357" s="32" t="s">
        <v>104</v>
      </c>
      <c r="B357" s="32">
        <f t="shared" si="89"/>
        <v>2036</v>
      </c>
      <c r="C357" s="33" t="s">
        <v>51</v>
      </c>
      <c r="D357" s="34" t="s">
        <v>1999</v>
      </c>
      <c r="E357" s="35" t="str">
        <f t="shared" si="87"/>
        <v>PSND'!</v>
      </c>
      <c r="F357" s="34" t="str">
        <f t="shared" si="88"/>
        <v>C:\Users\jaime.benazar\Quorum Business Solutions\Ecopetrol Prometeo - Documents\Planning Space Implementation\3. Analysis &amp; Design\Design\FC22\DRR Jaime\QUIFA-CAJÚA\Cajua\[CAJUA_CF_SEC_New_27-Feb-2024Rev3.xlsx]D-PSND'!</v>
      </c>
      <c r="G357" s="32" t="s">
        <v>59</v>
      </c>
      <c r="H357" s="33"/>
      <c r="I357" s="33"/>
      <c r="J357" s="37"/>
    </row>
    <row r="358" spans="1:10" x14ac:dyDescent="0.25">
      <c r="A358" s="32" t="s">
        <v>104</v>
      </c>
      <c r="B358" s="32">
        <f>+B357+1</f>
        <v>2037</v>
      </c>
      <c r="C358" s="33" t="s">
        <v>51</v>
      </c>
      <c r="D358" s="34" t="s">
        <v>1999</v>
      </c>
      <c r="E358" s="35" t="str">
        <f t="shared" si="87"/>
        <v>PSND'!</v>
      </c>
      <c r="F358" s="34" t="str">
        <f t="shared" si="88"/>
        <v>C:\Users\jaime.benazar\Quorum Business Solutions\Ecopetrol Prometeo - Documents\Planning Space Implementation\3. Analysis &amp; Design\Design\FC22\DRR Jaime\QUIFA-CAJÚA\Cajua\[CAJUA_CF_SEC_New_27-Feb-2024Rev3.xlsx]D-PSND'!</v>
      </c>
      <c r="G358" s="32" t="s">
        <v>59</v>
      </c>
      <c r="H358" s="33"/>
      <c r="I358" s="33"/>
      <c r="J358" s="37"/>
    </row>
    <row r="359" spans="1:10" x14ac:dyDescent="0.25">
      <c r="A359" s="32" t="s">
        <v>104</v>
      </c>
      <c r="B359" s="32">
        <f t="shared" ref="B359:B361" si="90">+B358+1</f>
        <v>2038</v>
      </c>
      <c r="C359" s="33" t="s">
        <v>51</v>
      </c>
      <c r="D359" s="34" t="s">
        <v>1999</v>
      </c>
      <c r="E359" s="35" t="str">
        <f t="shared" si="87"/>
        <v>PSND'!</v>
      </c>
      <c r="F359" s="34" t="str">
        <f t="shared" si="88"/>
        <v>C:\Users\jaime.benazar\Quorum Business Solutions\Ecopetrol Prometeo - Documents\Planning Space Implementation\3. Analysis &amp; Design\Design\FC22\DRR Jaime\QUIFA-CAJÚA\Cajua\[CAJUA_CF_SEC_New_27-Feb-2024Rev3.xlsx]D-PSND'!</v>
      </c>
      <c r="G359" s="32" t="s">
        <v>59</v>
      </c>
      <c r="H359" s="33"/>
      <c r="I359" s="33"/>
      <c r="J359" s="37"/>
    </row>
    <row r="360" spans="1:10" x14ac:dyDescent="0.25">
      <c r="A360" s="32" t="s">
        <v>104</v>
      </c>
      <c r="B360" s="32">
        <f t="shared" si="90"/>
        <v>2039</v>
      </c>
      <c r="C360" s="33" t="s">
        <v>51</v>
      </c>
      <c r="D360" s="34" t="s">
        <v>1999</v>
      </c>
      <c r="E360" s="35" t="str">
        <f t="shared" si="87"/>
        <v>PSND'!</v>
      </c>
      <c r="F360" s="34" t="str">
        <f t="shared" si="88"/>
        <v>C:\Users\jaime.benazar\Quorum Business Solutions\Ecopetrol Prometeo - Documents\Planning Space Implementation\3. Analysis &amp; Design\Design\FC22\DRR Jaime\QUIFA-CAJÚA\Cajua\[CAJUA_CF_SEC_New_27-Feb-2024Rev3.xlsx]D-PSND'!</v>
      </c>
      <c r="G360" s="32" t="s">
        <v>59</v>
      </c>
      <c r="H360" s="33"/>
      <c r="I360" s="33"/>
      <c r="J360" s="37"/>
    </row>
    <row r="361" spans="1:10" x14ac:dyDescent="0.25">
      <c r="A361" s="32" t="s">
        <v>104</v>
      </c>
      <c r="B361" s="32">
        <f t="shared" si="90"/>
        <v>2040</v>
      </c>
      <c r="C361" s="33" t="s">
        <v>51</v>
      </c>
      <c r="D361" s="34" t="s">
        <v>1999</v>
      </c>
      <c r="E361" s="35" t="str">
        <f t="shared" si="87"/>
        <v>PSND'!</v>
      </c>
      <c r="F361" s="34" t="str">
        <f t="shared" si="88"/>
        <v>C:\Users\jaime.benazar\Quorum Business Solutions\Ecopetrol Prometeo - Documents\Planning Space Implementation\3. Analysis &amp; Design\Design\FC22\DRR Jaime\QUIFA-CAJÚA\Cajua\[CAJUA_CF_SEC_New_27-Feb-2024Rev3.xlsx]D-PSND'!</v>
      </c>
      <c r="G361" s="32" t="s">
        <v>59</v>
      </c>
      <c r="H361" s="33"/>
      <c r="I361" s="33"/>
      <c r="J361" s="37"/>
    </row>
    <row r="362" spans="1:10" x14ac:dyDescent="0.25">
      <c r="A362" s="32" t="s">
        <v>104</v>
      </c>
      <c r="B362" s="32">
        <f>+B361+1</f>
        <v>2041</v>
      </c>
      <c r="C362" s="33" t="s">
        <v>51</v>
      </c>
      <c r="D362" s="34" t="s">
        <v>1999</v>
      </c>
      <c r="E362" s="35" t="str">
        <f t="shared" si="87"/>
        <v>PSND'!</v>
      </c>
      <c r="F362" s="34" t="str">
        <f t="shared" si="88"/>
        <v>C:\Users\jaime.benazar\Quorum Business Solutions\Ecopetrol Prometeo - Documents\Planning Space Implementation\3. Analysis &amp; Design\Design\FC22\DRR Jaime\QUIFA-CAJÚA\Cajua\[CAJUA_CF_SEC_New_27-Feb-2024Rev3.xlsx]D-PSND'!</v>
      </c>
      <c r="G362" s="32" t="s">
        <v>59</v>
      </c>
      <c r="H362" s="33"/>
      <c r="I362" s="33"/>
      <c r="J362" s="37"/>
    </row>
    <row r="363" spans="1:10" x14ac:dyDescent="0.25">
      <c r="A363" s="32" t="s">
        <v>104</v>
      </c>
      <c r="B363" s="32">
        <f t="shared" ref="B363:B364" si="91">+B362+1</f>
        <v>2042</v>
      </c>
      <c r="C363" s="33" t="s">
        <v>51</v>
      </c>
      <c r="D363" s="34" t="s">
        <v>1999</v>
      </c>
      <c r="E363" s="35" t="str">
        <f t="shared" si="87"/>
        <v>PSND'!</v>
      </c>
      <c r="F363" s="34" t="str">
        <f t="shared" si="88"/>
        <v>C:\Users\jaime.benazar\Quorum Business Solutions\Ecopetrol Prometeo - Documents\Planning Space Implementation\3. Analysis &amp; Design\Design\FC22\DRR Jaime\QUIFA-CAJÚA\Cajua\[CAJUA_CF_SEC_New_27-Feb-2024Rev3.xlsx]D-PSND'!</v>
      </c>
      <c r="G363" s="32" t="s">
        <v>59</v>
      </c>
      <c r="H363" s="33"/>
      <c r="I363" s="33"/>
      <c r="J363" s="37"/>
    </row>
    <row r="364" spans="1:10" x14ac:dyDescent="0.25">
      <c r="A364" s="32" t="s">
        <v>104</v>
      </c>
      <c r="B364" s="32">
        <f t="shared" si="91"/>
        <v>2043</v>
      </c>
      <c r="C364" s="33" t="s">
        <v>51</v>
      </c>
      <c r="D364" s="34" t="s">
        <v>1999</v>
      </c>
      <c r="E364" s="35" t="str">
        <f t="shared" si="87"/>
        <v>PSND'!</v>
      </c>
      <c r="F364" s="34" t="str">
        <f t="shared" si="88"/>
        <v>C:\Users\jaime.benazar\Quorum Business Solutions\Ecopetrol Prometeo - Documents\Planning Space Implementation\3. Analysis &amp; Design\Design\FC22\DRR Jaime\QUIFA-CAJÚA\Cajua\[CAJUA_CF_SEC_New_27-Feb-2024Rev3.xlsx]D-PSND'!</v>
      </c>
      <c r="G364" s="32" t="s">
        <v>59</v>
      </c>
      <c r="H364" s="33"/>
      <c r="I364" s="33"/>
      <c r="J364" s="37"/>
    </row>
    <row r="365" spans="1:10" x14ac:dyDescent="0.25">
      <c r="A365" s="32" t="s">
        <v>104</v>
      </c>
      <c r="B365" s="32">
        <f>+B364+1</f>
        <v>2044</v>
      </c>
      <c r="C365" s="33" t="s">
        <v>51</v>
      </c>
      <c r="D365" s="34" t="s">
        <v>1999</v>
      </c>
      <c r="E365" s="35" t="str">
        <f t="shared" ref="E365:E380" si="92">_xlfn.CONCAT(A365,"'!")</f>
        <v>PSND'!</v>
      </c>
      <c r="F365" s="34" t="str">
        <f t="shared" ref="F365:F380" si="93">_xlfn.CONCAT(D365:E365)</f>
        <v>C:\Users\jaime.benazar\Quorum Business Solutions\Ecopetrol Prometeo - Documents\Planning Space Implementation\3. Analysis &amp; Design\Design\FC22\DRR Jaime\QUIFA-CAJÚA\Cajua\[CAJUA_CF_SEC_New_27-Feb-2024Rev3.xlsx]D-PSND'!</v>
      </c>
      <c r="G365" s="32" t="s">
        <v>59</v>
      </c>
      <c r="H365" s="33"/>
      <c r="I365" s="33"/>
      <c r="J365" s="37"/>
    </row>
    <row r="366" spans="1:10" x14ac:dyDescent="0.25">
      <c r="A366" s="32" t="s">
        <v>104</v>
      </c>
      <c r="B366" s="32">
        <f t="shared" ref="B366:B380" si="94">+B365+1</f>
        <v>2045</v>
      </c>
      <c r="C366" s="33" t="s">
        <v>51</v>
      </c>
      <c r="D366" s="34" t="s">
        <v>1999</v>
      </c>
      <c r="E366" s="35" t="str">
        <f t="shared" si="92"/>
        <v>PSND'!</v>
      </c>
      <c r="F366" s="34" t="str">
        <f t="shared" si="93"/>
        <v>C:\Users\jaime.benazar\Quorum Business Solutions\Ecopetrol Prometeo - Documents\Planning Space Implementation\3. Analysis &amp; Design\Design\FC22\DRR Jaime\QUIFA-CAJÚA\Cajua\[CAJUA_CF_SEC_New_27-Feb-2024Rev3.xlsx]D-PSND'!</v>
      </c>
      <c r="G366" s="32" t="s">
        <v>59</v>
      </c>
      <c r="H366" s="33"/>
      <c r="I366" s="33"/>
      <c r="J366" s="37"/>
    </row>
    <row r="367" spans="1:10" x14ac:dyDescent="0.25">
      <c r="A367" s="32" t="s">
        <v>104</v>
      </c>
      <c r="B367" s="32">
        <f t="shared" si="94"/>
        <v>2046</v>
      </c>
      <c r="C367" s="33" t="s">
        <v>51</v>
      </c>
      <c r="D367" s="34" t="s">
        <v>1999</v>
      </c>
      <c r="E367" s="35" t="str">
        <f t="shared" si="92"/>
        <v>PSND'!</v>
      </c>
      <c r="F367" s="34" t="str">
        <f t="shared" si="93"/>
        <v>C:\Users\jaime.benazar\Quorum Business Solutions\Ecopetrol Prometeo - Documents\Planning Space Implementation\3. Analysis &amp; Design\Design\FC22\DRR Jaime\QUIFA-CAJÚA\Cajua\[CAJUA_CF_SEC_New_27-Feb-2024Rev3.xlsx]D-PSND'!</v>
      </c>
      <c r="G367" s="32" t="s">
        <v>59</v>
      </c>
      <c r="H367" s="33"/>
      <c r="I367" s="33"/>
      <c r="J367" s="37"/>
    </row>
    <row r="368" spans="1:10" x14ac:dyDescent="0.25">
      <c r="A368" s="32" t="s">
        <v>104</v>
      </c>
      <c r="B368" s="32">
        <f t="shared" si="94"/>
        <v>2047</v>
      </c>
      <c r="C368" s="33" t="s">
        <v>51</v>
      </c>
      <c r="D368" s="34" t="s">
        <v>1999</v>
      </c>
      <c r="E368" s="35" t="str">
        <f t="shared" si="92"/>
        <v>PSND'!</v>
      </c>
      <c r="F368" s="34" t="str">
        <f t="shared" si="93"/>
        <v>C:\Users\jaime.benazar\Quorum Business Solutions\Ecopetrol Prometeo - Documents\Planning Space Implementation\3. Analysis &amp; Design\Design\FC22\DRR Jaime\QUIFA-CAJÚA\Cajua\[CAJUA_CF_SEC_New_27-Feb-2024Rev3.xlsx]D-PSND'!</v>
      </c>
      <c r="G368" s="32" t="s">
        <v>59</v>
      </c>
      <c r="H368" s="33"/>
      <c r="I368" s="33"/>
      <c r="J368" s="37"/>
    </row>
    <row r="369" spans="1:10" x14ac:dyDescent="0.25">
      <c r="A369" s="32" t="s">
        <v>104</v>
      </c>
      <c r="B369" s="32">
        <f t="shared" si="94"/>
        <v>2048</v>
      </c>
      <c r="C369" s="33" t="s">
        <v>51</v>
      </c>
      <c r="D369" s="34" t="s">
        <v>1999</v>
      </c>
      <c r="E369" s="35" t="str">
        <f t="shared" si="92"/>
        <v>PSND'!</v>
      </c>
      <c r="F369" s="34" t="str">
        <f t="shared" si="93"/>
        <v>C:\Users\jaime.benazar\Quorum Business Solutions\Ecopetrol Prometeo - Documents\Planning Space Implementation\3. Analysis &amp; Design\Design\FC22\DRR Jaime\QUIFA-CAJÚA\Cajua\[CAJUA_CF_SEC_New_27-Feb-2024Rev3.xlsx]D-PSND'!</v>
      </c>
      <c r="G369" s="32" t="s">
        <v>59</v>
      </c>
      <c r="H369" s="33"/>
      <c r="I369" s="33"/>
      <c r="J369" s="37"/>
    </row>
    <row r="370" spans="1:10" x14ac:dyDescent="0.25">
      <c r="A370" s="32" t="s">
        <v>104</v>
      </c>
      <c r="B370" s="32">
        <f t="shared" si="94"/>
        <v>2049</v>
      </c>
      <c r="C370" s="33" t="s">
        <v>51</v>
      </c>
      <c r="D370" s="34" t="s">
        <v>1999</v>
      </c>
      <c r="E370" s="35" t="str">
        <f t="shared" si="92"/>
        <v>PSND'!</v>
      </c>
      <c r="F370" s="34" t="str">
        <f t="shared" si="93"/>
        <v>C:\Users\jaime.benazar\Quorum Business Solutions\Ecopetrol Prometeo - Documents\Planning Space Implementation\3. Analysis &amp; Design\Design\FC22\DRR Jaime\QUIFA-CAJÚA\Cajua\[CAJUA_CF_SEC_New_27-Feb-2024Rev3.xlsx]D-PSND'!</v>
      </c>
      <c r="G370" s="32" t="s">
        <v>59</v>
      </c>
      <c r="H370" s="33"/>
      <c r="I370" s="33"/>
      <c r="J370" s="37"/>
    </row>
    <row r="371" spans="1:10" x14ac:dyDescent="0.25">
      <c r="A371" s="32" t="s">
        <v>104</v>
      </c>
      <c r="B371" s="32">
        <f t="shared" si="94"/>
        <v>2050</v>
      </c>
      <c r="C371" s="33" t="s">
        <v>51</v>
      </c>
      <c r="D371" s="34" t="s">
        <v>1999</v>
      </c>
      <c r="E371" s="35" t="str">
        <f t="shared" si="92"/>
        <v>PSND'!</v>
      </c>
      <c r="F371" s="34" t="str">
        <f t="shared" si="93"/>
        <v>C:\Users\jaime.benazar\Quorum Business Solutions\Ecopetrol Prometeo - Documents\Planning Space Implementation\3. Analysis &amp; Design\Design\FC22\DRR Jaime\QUIFA-CAJÚA\Cajua\[CAJUA_CF_SEC_New_27-Feb-2024Rev3.xlsx]D-PSND'!</v>
      </c>
      <c r="G371" s="32" t="s">
        <v>59</v>
      </c>
      <c r="H371" s="33"/>
      <c r="I371" s="33"/>
      <c r="J371" s="37"/>
    </row>
    <row r="372" spans="1:10" x14ac:dyDescent="0.25">
      <c r="A372" s="32" t="s">
        <v>104</v>
      </c>
      <c r="B372" s="32">
        <f t="shared" si="94"/>
        <v>2051</v>
      </c>
      <c r="C372" s="33" t="s">
        <v>51</v>
      </c>
      <c r="D372" s="34" t="s">
        <v>1999</v>
      </c>
      <c r="E372" s="35" t="str">
        <f t="shared" si="92"/>
        <v>PSND'!</v>
      </c>
      <c r="F372" s="34" t="str">
        <f t="shared" si="93"/>
        <v>C:\Users\jaime.benazar\Quorum Business Solutions\Ecopetrol Prometeo - Documents\Planning Space Implementation\3. Analysis &amp; Design\Design\FC22\DRR Jaime\QUIFA-CAJÚA\Cajua\[CAJUA_CF_SEC_New_27-Feb-2024Rev3.xlsx]D-PSND'!</v>
      </c>
      <c r="G372" s="32" t="s">
        <v>59</v>
      </c>
      <c r="H372" s="33"/>
      <c r="I372" s="33"/>
      <c r="J372" s="37"/>
    </row>
    <row r="373" spans="1:10" x14ac:dyDescent="0.25">
      <c r="A373" s="32" t="s">
        <v>104</v>
      </c>
      <c r="B373" s="32">
        <f t="shared" si="94"/>
        <v>2052</v>
      </c>
      <c r="C373" s="33" t="s">
        <v>51</v>
      </c>
      <c r="D373" s="34" t="s">
        <v>1999</v>
      </c>
      <c r="E373" s="35" t="str">
        <f t="shared" si="92"/>
        <v>PSND'!</v>
      </c>
      <c r="F373" s="34" t="str">
        <f t="shared" si="93"/>
        <v>C:\Users\jaime.benazar\Quorum Business Solutions\Ecopetrol Prometeo - Documents\Planning Space Implementation\3. Analysis &amp; Design\Design\FC22\DRR Jaime\QUIFA-CAJÚA\Cajua\[CAJUA_CF_SEC_New_27-Feb-2024Rev3.xlsx]D-PSND'!</v>
      </c>
      <c r="G373" s="32" t="s">
        <v>59</v>
      </c>
      <c r="H373" s="33"/>
      <c r="I373" s="33"/>
      <c r="J373" s="37"/>
    </row>
    <row r="374" spans="1:10" x14ac:dyDescent="0.25">
      <c r="A374" s="32" t="s">
        <v>104</v>
      </c>
      <c r="B374" s="32">
        <f t="shared" si="94"/>
        <v>2053</v>
      </c>
      <c r="C374" s="33" t="s">
        <v>51</v>
      </c>
      <c r="D374" s="34" t="s">
        <v>1999</v>
      </c>
      <c r="E374" s="35" t="str">
        <f t="shared" si="92"/>
        <v>PSND'!</v>
      </c>
      <c r="F374" s="34" t="str">
        <f t="shared" si="93"/>
        <v>C:\Users\jaime.benazar\Quorum Business Solutions\Ecopetrol Prometeo - Documents\Planning Space Implementation\3. Analysis &amp; Design\Design\FC22\DRR Jaime\QUIFA-CAJÚA\Cajua\[CAJUA_CF_SEC_New_27-Feb-2024Rev3.xlsx]D-PSND'!</v>
      </c>
      <c r="G374" s="32" t="s">
        <v>59</v>
      </c>
      <c r="H374" s="33"/>
      <c r="I374" s="33"/>
      <c r="J374" s="37"/>
    </row>
    <row r="375" spans="1:10" x14ac:dyDescent="0.25">
      <c r="A375" s="32" t="s">
        <v>104</v>
      </c>
      <c r="B375" s="32">
        <f t="shared" si="94"/>
        <v>2054</v>
      </c>
      <c r="C375" s="33" t="s">
        <v>51</v>
      </c>
      <c r="D375" s="34" t="s">
        <v>1999</v>
      </c>
      <c r="E375" s="35" t="str">
        <f t="shared" si="92"/>
        <v>PSND'!</v>
      </c>
      <c r="F375" s="34" t="str">
        <f t="shared" si="93"/>
        <v>C:\Users\jaime.benazar\Quorum Business Solutions\Ecopetrol Prometeo - Documents\Planning Space Implementation\3. Analysis &amp; Design\Design\FC22\DRR Jaime\QUIFA-CAJÚA\Cajua\[CAJUA_CF_SEC_New_27-Feb-2024Rev3.xlsx]D-PSND'!</v>
      </c>
      <c r="G375" s="32" t="s">
        <v>59</v>
      </c>
      <c r="H375" s="33"/>
      <c r="I375" s="33"/>
      <c r="J375" s="37"/>
    </row>
    <row r="376" spans="1:10" x14ac:dyDescent="0.25">
      <c r="A376" s="32" t="s">
        <v>104</v>
      </c>
      <c r="B376" s="32">
        <f t="shared" si="94"/>
        <v>2055</v>
      </c>
      <c r="C376" s="33" t="s">
        <v>51</v>
      </c>
      <c r="D376" s="34" t="s">
        <v>1999</v>
      </c>
      <c r="E376" s="35" t="str">
        <f t="shared" si="92"/>
        <v>PSND'!</v>
      </c>
      <c r="F376" s="34" t="str">
        <f t="shared" si="93"/>
        <v>C:\Users\jaime.benazar\Quorum Business Solutions\Ecopetrol Prometeo - Documents\Planning Space Implementation\3. Analysis &amp; Design\Design\FC22\DRR Jaime\QUIFA-CAJÚA\Cajua\[CAJUA_CF_SEC_New_27-Feb-2024Rev3.xlsx]D-PSND'!</v>
      </c>
      <c r="G376" s="32" t="s">
        <v>59</v>
      </c>
      <c r="H376" s="33"/>
      <c r="I376" s="33"/>
      <c r="J376" s="37"/>
    </row>
    <row r="377" spans="1:10" x14ac:dyDescent="0.25">
      <c r="A377" s="32" t="s">
        <v>104</v>
      </c>
      <c r="B377" s="32">
        <f t="shared" si="94"/>
        <v>2056</v>
      </c>
      <c r="C377" s="33" t="s">
        <v>51</v>
      </c>
      <c r="D377" s="34" t="s">
        <v>1999</v>
      </c>
      <c r="E377" s="35" t="str">
        <f t="shared" si="92"/>
        <v>PSND'!</v>
      </c>
      <c r="F377" s="34" t="str">
        <f t="shared" si="93"/>
        <v>C:\Users\jaime.benazar\Quorum Business Solutions\Ecopetrol Prometeo - Documents\Planning Space Implementation\3. Analysis &amp; Design\Design\FC22\DRR Jaime\QUIFA-CAJÚA\Cajua\[CAJUA_CF_SEC_New_27-Feb-2024Rev3.xlsx]D-PSND'!</v>
      </c>
      <c r="G377" s="32" t="s">
        <v>59</v>
      </c>
      <c r="H377" s="33"/>
      <c r="I377" s="33"/>
      <c r="J377" s="37"/>
    </row>
    <row r="378" spans="1:10" x14ac:dyDescent="0.25">
      <c r="A378" s="32" t="s">
        <v>104</v>
      </c>
      <c r="B378" s="32">
        <f t="shared" si="94"/>
        <v>2057</v>
      </c>
      <c r="C378" s="33" t="s">
        <v>51</v>
      </c>
      <c r="D378" s="34" t="s">
        <v>1999</v>
      </c>
      <c r="E378" s="35" t="str">
        <f t="shared" si="92"/>
        <v>PSND'!</v>
      </c>
      <c r="F378" s="34" t="str">
        <f t="shared" si="93"/>
        <v>C:\Users\jaime.benazar\Quorum Business Solutions\Ecopetrol Prometeo - Documents\Planning Space Implementation\3. Analysis &amp; Design\Design\FC22\DRR Jaime\QUIFA-CAJÚA\Cajua\[CAJUA_CF_SEC_New_27-Feb-2024Rev3.xlsx]D-PSND'!</v>
      </c>
      <c r="G378" s="32" t="s">
        <v>59</v>
      </c>
      <c r="H378" s="33"/>
      <c r="I378" s="33"/>
      <c r="J378" s="37"/>
    </row>
    <row r="379" spans="1:10" x14ac:dyDescent="0.25">
      <c r="A379" s="32" t="s">
        <v>104</v>
      </c>
      <c r="B379" s="32">
        <f t="shared" si="94"/>
        <v>2058</v>
      </c>
      <c r="C379" s="33" t="s">
        <v>51</v>
      </c>
      <c r="D379" s="34" t="s">
        <v>1999</v>
      </c>
      <c r="E379" s="35" t="str">
        <f t="shared" si="92"/>
        <v>PSND'!</v>
      </c>
      <c r="F379" s="34" t="str">
        <f t="shared" si="93"/>
        <v>C:\Users\jaime.benazar\Quorum Business Solutions\Ecopetrol Prometeo - Documents\Planning Space Implementation\3. Analysis &amp; Design\Design\FC22\DRR Jaime\QUIFA-CAJÚA\Cajua\[CAJUA_CF_SEC_New_27-Feb-2024Rev3.xlsx]D-PSND'!</v>
      </c>
      <c r="G379" s="32" t="s">
        <v>59</v>
      </c>
      <c r="H379" s="33"/>
      <c r="I379" s="33"/>
      <c r="J379" s="37"/>
    </row>
    <row r="380" spans="1:10" x14ac:dyDescent="0.25">
      <c r="A380" s="32" t="s">
        <v>104</v>
      </c>
      <c r="B380" s="32">
        <f t="shared" si="94"/>
        <v>2059</v>
      </c>
      <c r="C380" s="33" t="s">
        <v>51</v>
      </c>
      <c r="D380" s="34" t="s">
        <v>1999</v>
      </c>
      <c r="E380" s="35" t="str">
        <f t="shared" si="92"/>
        <v>PSND'!</v>
      </c>
      <c r="F380" s="34" t="str">
        <f t="shared" si="93"/>
        <v>C:\Users\jaime.benazar\Quorum Business Solutions\Ecopetrol Prometeo - Documents\Planning Space Implementation\3. Analysis &amp; Design\Design\FC22\DRR Jaime\QUIFA-CAJÚA\Cajua\[CAJUA_CF_SEC_New_27-Feb-2024Rev3.xlsx]D-PSND'!</v>
      </c>
      <c r="G380" s="32" t="s">
        <v>59</v>
      </c>
      <c r="H380" s="33"/>
      <c r="I380" s="33"/>
      <c r="J380" s="37"/>
    </row>
    <row r="381" spans="1:10" x14ac:dyDescent="0.25">
      <c r="A381" s="32" t="s">
        <v>28</v>
      </c>
      <c r="B381" s="32"/>
      <c r="C381" s="33" t="s">
        <v>51</v>
      </c>
      <c r="D381" s="34"/>
      <c r="E381" s="35"/>
      <c r="F381" s="34"/>
      <c r="G381" s="32"/>
      <c r="H381" s="33"/>
      <c r="I381" s="33"/>
      <c r="J381" s="33"/>
    </row>
    <row r="382" spans="1:10" x14ac:dyDescent="0.25">
      <c r="A382" s="32" t="s">
        <v>34</v>
      </c>
      <c r="B382" s="32">
        <v>2023</v>
      </c>
      <c r="C382" s="33" t="s">
        <v>51</v>
      </c>
      <c r="D382" s="34" t="s">
        <v>1999</v>
      </c>
      <c r="E382" s="35" t="str">
        <f t="shared" si="29"/>
        <v>PS'!</v>
      </c>
      <c r="F382" s="34" t="str">
        <f t="shared" si="30"/>
        <v>C:\Users\jaime.benazar\Quorum Business Solutions\Ecopetrol Prometeo - Documents\Planning Space Implementation\3. Analysis &amp; Design\Design\FC22\DRR Jaime\QUIFA-CAJÚA\Cajua\[CAJUA_CF_SEC_New_27-Feb-2024Rev3.xlsx]D-PS'!</v>
      </c>
      <c r="G382" s="32" t="s">
        <v>59</v>
      </c>
      <c r="H382" s="33">
        <v>12</v>
      </c>
      <c r="I382" s="33" t="str">
        <f t="shared" si="31"/>
        <v>='C:\Users\jaime.benazar\Quorum Business Solutions\Ecopetrol Prometeo - Documents\Planning Space Implementation\3. Analysis &amp; Design\Design\FC22\DRR Jaime\QUIFA-CAJÚA\Cajua\[CAJUA_CF_SEC_New_27-Feb-2024Rev3.xlsx]D-PS'!$BB$12</v>
      </c>
      <c r="J382" s="37" t="s">
        <v>2148</v>
      </c>
    </row>
    <row r="383" spans="1:10" x14ac:dyDescent="0.25">
      <c r="A383" s="32" t="s">
        <v>34</v>
      </c>
      <c r="B383" s="32">
        <f>+B382+1</f>
        <v>2024</v>
      </c>
      <c r="C383" s="33" t="s">
        <v>51</v>
      </c>
      <c r="D383" s="34" t="s">
        <v>1999</v>
      </c>
      <c r="E383" s="35" t="str">
        <f t="shared" si="29"/>
        <v>PS'!</v>
      </c>
      <c r="F383" s="34" t="str">
        <f t="shared" si="30"/>
        <v>C:\Users\jaime.benazar\Quorum Business Solutions\Ecopetrol Prometeo - Documents\Planning Space Implementation\3. Analysis &amp; Design\Design\FC22\DRR Jaime\QUIFA-CAJÚA\Cajua\[CAJUA_CF_SEC_New_27-Feb-2024Rev3.xlsx]D-PS'!</v>
      </c>
      <c r="G383" s="32" t="s">
        <v>59</v>
      </c>
      <c r="H383" s="33">
        <f>IF(A383&lt;&gt;A382,12,H382+1)</f>
        <v>13</v>
      </c>
      <c r="I383" s="33" t="str">
        <f t="shared" si="31"/>
        <v>='C:\Users\jaime.benazar\Quorum Business Solutions\Ecopetrol Prometeo - Documents\Planning Space Implementation\3. Analysis &amp; Design\Design\FC22\DRR Jaime\QUIFA-CAJÚA\Cajua\[CAJUA_CF_SEC_New_27-Feb-2024Rev3.xlsx]D-PS'!$BB$13</v>
      </c>
      <c r="J383" s="37" t="s">
        <v>2149</v>
      </c>
    </row>
    <row r="384" spans="1:10" x14ac:dyDescent="0.25">
      <c r="A384" s="32" t="s">
        <v>34</v>
      </c>
      <c r="B384" s="32">
        <f t="shared" ref="B384:B395" si="95">+B383+1</f>
        <v>2025</v>
      </c>
      <c r="C384" s="33" t="s">
        <v>51</v>
      </c>
      <c r="D384" s="34" t="s">
        <v>1999</v>
      </c>
      <c r="E384" s="35" t="str">
        <f t="shared" si="29"/>
        <v>PS'!</v>
      </c>
      <c r="F384" s="34" t="str">
        <f t="shared" si="30"/>
        <v>C:\Users\jaime.benazar\Quorum Business Solutions\Ecopetrol Prometeo - Documents\Planning Space Implementation\3. Analysis &amp; Design\Design\FC22\DRR Jaime\QUIFA-CAJÚA\Cajua\[CAJUA_CF_SEC_New_27-Feb-2024Rev3.xlsx]D-PS'!</v>
      </c>
      <c r="G384" s="32" t="s">
        <v>59</v>
      </c>
      <c r="H384" s="33">
        <f t="shared" ref="H384:H402" si="96">IF(A384&lt;&gt;A383,12,H383+1)</f>
        <v>14</v>
      </c>
      <c r="I384" s="33" t="str">
        <f t="shared" si="31"/>
        <v>='C:\Users\jaime.benazar\Quorum Business Solutions\Ecopetrol Prometeo - Documents\Planning Space Implementation\3. Analysis &amp; Design\Design\FC22\DRR Jaime\QUIFA-CAJÚA\Cajua\[CAJUA_CF_SEC_New_27-Feb-2024Rev3.xlsx]D-PS'!$BB$14</v>
      </c>
      <c r="J384" s="37" t="s">
        <v>2150</v>
      </c>
    </row>
    <row r="385" spans="1:10" x14ac:dyDescent="0.25">
      <c r="A385" s="32" t="s">
        <v>34</v>
      </c>
      <c r="B385" s="32">
        <f t="shared" si="95"/>
        <v>2026</v>
      </c>
      <c r="C385" s="33" t="s">
        <v>51</v>
      </c>
      <c r="D385" s="34" t="s">
        <v>1999</v>
      </c>
      <c r="E385" s="35" t="str">
        <f t="shared" si="29"/>
        <v>PS'!</v>
      </c>
      <c r="F385" s="34" t="str">
        <f t="shared" si="30"/>
        <v>C:\Users\jaime.benazar\Quorum Business Solutions\Ecopetrol Prometeo - Documents\Planning Space Implementation\3. Analysis &amp; Design\Design\FC22\DRR Jaime\QUIFA-CAJÚA\Cajua\[CAJUA_CF_SEC_New_27-Feb-2024Rev3.xlsx]D-PS'!</v>
      </c>
      <c r="G385" s="32" t="s">
        <v>59</v>
      </c>
      <c r="H385" s="33">
        <f t="shared" si="96"/>
        <v>15</v>
      </c>
      <c r="I385" s="33" t="str">
        <f t="shared" si="31"/>
        <v>='C:\Users\jaime.benazar\Quorum Business Solutions\Ecopetrol Prometeo - Documents\Planning Space Implementation\3. Analysis &amp; Design\Design\FC22\DRR Jaime\QUIFA-CAJÚA\Cajua\[CAJUA_CF_SEC_New_27-Feb-2024Rev3.xlsx]D-PS'!$BB$15</v>
      </c>
      <c r="J385" s="37" t="s">
        <v>2151</v>
      </c>
    </row>
    <row r="386" spans="1:10" x14ac:dyDescent="0.25">
      <c r="A386" s="32" t="s">
        <v>34</v>
      </c>
      <c r="B386" s="32">
        <f t="shared" si="95"/>
        <v>2027</v>
      </c>
      <c r="C386" s="33" t="s">
        <v>51</v>
      </c>
      <c r="D386" s="34" t="s">
        <v>1999</v>
      </c>
      <c r="E386" s="35" t="str">
        <f t="shared" si="29"/>
        <v>PS'!</v>
      </c>
      <c r="F386" s="34" t="str">
        <f t="shared" si="30"/>
        <v>C:\Users\jaime.benazar\Quorum Business Solutions\Ecopetrol Prometeo - Documents\Planning Space Implementation\3. Analysis &amp; Design\Design\FC22\DRR Jaime\QUIFA-CAJÚA\Cajua\[CAJUA_CF_SEC_New_27-Feb-2024Rev3.xlsx]D-PS'!</v>
      </c>
      <c r="G386" s="32" t="s">
        <v>59</v>
      </c>
      <c r="H386" s="33">
        <f t="shared" si="96"/>
        <v>16</v>
      </c>
      <c r="I386" s="33" t="str">
        <f t="shared" si="31"/>
        <v>='C:\Users\jaime.benazar\Quorum Business Solutions\Ecopetrol Prometeo - Documents\Planning Space Implementation\3. Analysis &amp; Design\Design\FC22\DRR Jaime\QUIFA-CAJÚA\Cajua\[CAJUA_CF_SEC_New_27-Feb-2024Rev3.xlsx]D-PS'!$BB$16</v>
      </c>
      <c r="J386" s="37" t="s">
        <v>2152</v>
      </c>
    </row>
    <row r="387" spans="1:10" x14ac:dyDescent="0.25">
      <c r="A387" s="32" t="s">
        <v>34</v>
      </c>
      <c r="B387" s="32">
        <f t="shared" si="95"/>
        <v>2028</v>
      </c>
      <c r="C387" s="33" t="s">
        <v>51</v>
      </c>
      <c r="D387" s="34" t="s">
        <v>1999</v>
      </c>
      <c r="E387" s="35" t="str">
        <f t="shared" si="29"/>
        <v>PS'!</v>
      </c>
      <c r="F387" s="34" t="str">
        <f t="shared" si="30"/>
        <v>C:\Users\jaime.benazar\Quorum Business Solutions\Ecopetrol Prometeo - Documents\Planning Space Implementation\3. Analysis &amp; Design\Design\FC22\DRR Jaime\QUIFA-CAJÚA\Cajua\[CAJUA_CF_SEC_New_27-Feb-2024Rev3.xlsx]D-PS'!</v>
      </c>
      <c r="G387" s="32" t="s">
        <v>59</v>
      </c>
      <c r="H387" s="33">
        <f t="shared" si="96"/>
        <v>17</v>
      </c>
      <c r="I387" s="33" t="str">
        <f t="shared" si="31"/>
        <v>='C:\Users\jaime.benazar\Quorum Business Solutions\Ecopetrol Prometeo - Documents\Planning Space Implementation\3. Analysis &amp; Design\Design\FC22\DRR Jaime\QUIFA-CAJÚA\Cajua\[CAJUA_CF_SEC_New_27-Feb-2024Rev3.xlsx]D-PS'!$BB$17</v>
      </c>
      <c r="J387" s="37" t="s">
        <v>2153</v>
      </c>
    </row>
    <row r="388" spans="1:10" x14ac:dyDescent="0.25">
      <c r="A388" s="32" t="s">
        <v>34</v>
      </c>
      <c r="B388" s="32">
        <f t="shared" si="95"/>
        <v>2029</v>
      </c>
      <c r="C388" s="33" t="s">
        <v>51</v>
      </c>
      <c r="D388" s="34" t="s">
        <v>1999</v>
      </c>
      <c r="E388" s="35" t="str">
        <f t="shared" si="29"/>
        <v>PS'!</v>
      </c>
      <c r="F388" s="34" t="str">
        <f t="shared" si="30"/>
        <v>C:\Users\jaime.benazar\Quorum Business Solutions\Ecopetrol Prometeo - Documents\Planning Space Implementation\3. Analysis &amp; Design\Design\FC22\DRR Jaime\QUIFA-CAJÚA\Cajua\[CAJUA_CF_SEC_New_27-Feb-2024Rev3.xlsx]D-PS'!</v>
      </c>
      <c r="G388" s="32" t="s">
        <v>59</v>
      </c>
      <c r="H388" s="33">
        <f t="shared" si="96"/>
        <v>18</v>
      </c>
      <c r="I388" s="33" t="str">
        <f t="shared" si="31"/>
        <v>='C:\Users\jaime.benazar\Quorum Business Solutions\Ecopetrol Prometeo - Documents\Planning Space Implementation\3. Analysis &amp; Design\Design\FC22\DRR Jaime\QUIFA-CAJÚA\Cajua\[CAJUA_CF_SEC_New_27-Feb-2024Rev3.xlsx]D-PS'!$BB$18</v>
      </c>
      <c r="J388" s="37" t="s">
        <v>2154</v>
      </c>
    </row>
    <row r="389" spans="1:10" x14ac:dyDescent="0.25">
      <c r="A389" s="32" t="s">
        <v>34</v>
      </c>
      <c r="B389" s="32">
        <f t="shared" si="95"/>
        <v>2030</v>
      </c>
      <c r="C389" s="33" t="s">
        <v>51</v>
      </c>
      <c r="D389" s="34" t="s">
        <v>1999</v>
      </c>
      <c r="E389" s="35" t="str">
        <f t="shared" si="29"/>
        <v>PS'!</v>
      </c>
      <c r="F389" s="34" t="str">
        <f t="shared" si="30"/>
        <v>C:\Users\jaime.benazar\Quorum Business Solutions\Ecopetrol Prometeo - Documents\Planning Space Implementation\3. Analysis &amp; Design\Design\FC22\DRR Jaime\QUIFA-CAJÚA\Cajua\[CAJUA_CF_SEC_New_27-Feb-2024Rev3.xlsx]D-PS'!</v>
      </c>
      <c r="G389" s="32" t="s">
        <v>59</v>
      </c>
      <c r="H389" s="33">
        <f t="shared" si="96"/>
        <v>19</v>
      </c>
      <c r="I389" s="33" t="str">
        <f t="shared" si="31"/>
        <v>='C:\Users\jaime.benazar\Quorum Business Solutions\Ecopetrol Prometeo - Documents\Planning Space Implementation\3. Analysis &amp; Design\Design\FC22\DRR Jaime\QUIFA-CAJÚA\Cajua\[CAJUA_CF_SEC_New_27-Feb-2024Rev3.xlsx]D-PS'!$BB$19</v>
      </c>
      <c r="J389" s="37" t="s">
        <v>2155</v>
      </c>
    </row>
    <row r="390" spans="1:10" x14ac:dyDescent="0.25">
      <c r="A390" s="32" t="s">
        <v>34</v>
      </c>
      <c r="B390" s="32">
        <f t="shared" si="95"/>
        <v>2031</v>
      </c>
      <c r="C390" s="33" t="s">
        <v>51</v>
      </c>
      <c r="D390" s="34" t="s">
        <v>1999</v>
      </c>
      <c r="E390" s="35" t="str">
        <f t="shared" si="29"/>
        <v>PS'!</v>
      </c>
      <c r="F390" s="34" t="str">
        <f t="shared" si="30"/>
        <v>C:\Users\jaime.benazar\Quorum Business Solutions\Ecopetrol Prometeo - Documents\Planning Space Implementation\3. Analysis &amp; Design\Design\FC22\DRR Jaime\QUIFA-CAJÚA\Cajua\[CAJUA_CF_SEC_New_27-Feb-2024Rev3.xlsx]D-PS'!</v>
      </c>
      <c r="G390" s="32" t="s">
        <v>59</v>
      </c>
      <c r="H390" s="33">
        <f t="shared" si="96"/>
        <v>20</v>
      </c>
      <c r="I390" s="33" t="str">
        <f t="shared" si="31"/>
        <v>='C:\Users\jaime.benazar\Quorum Business Solutions\Ecopetrol Prometeo - Documents\Planning Space Implementation\3. Analysis &amp; Design\Design\FC22\DRR Jaime\QUIFA-CAJÚA\Cajua\[CAJUA_CF_SEC_New_27-Feb-2024Rev3.xlsx]D-PS'!$BB$20</v>
      </c>
      <c r="J390" s="37" t="s">
        <v>2156</v>
      </c>
    </row>
    <row r="391" spans="1:10" x14ac:dyDescent="0.25">
      <c r="A391" s="32" t="s">
        <v>34</v>
      </c>
      <c r="B391" s="32">
        <f t="shared" si="95"/>
        <v>2032</v>
      </c>
      <c r="C391" s="33" t="s">
        <v>51</v>
      </c>
      <c r="D391" s="34" t="s">
        <v>1999</v>
      </c>
      <c r="E391" s="35" t="str">
        <f t="shared" si="29"/>
        <v>PS'!</v>
      </c>
      <c r="F391" s="34" t="str">
        <f t="shared" si="30"/>
        <v>C:\Users\jaime.benazar\Quorum Business Solutions\Ecopetrol Prometeo - Documents\Planning Space Implementation\3. Analysis &amp; Design\Design\FC22\DRR Jaime\QUIFA-CAJÚA\Cajua\[CAJUA_CF_SEC_New_27-Feb-2024Rev3.xlsx]D-PS'!</v>
      </c>
      <c r="G391" s="32" t="s">
        <v>59</v>
      </c>
      <c r="H391" s="33">
        <f t="shared" si="96"/>
        <v>21</v>
      </c>
      <c r="I391" s="33" t="str">
        <f t="shared" si="31"/>
        <v>='C:\Users\jaime.benazar\Quorum Business Solutions\Ecopetrol Prometeo - Documents\Planning Space Implementation\3. Analysis &amp; Design\Design\FC22\DRR Jaime\QUIFA-CAJÚA\Cajua\[CAJUA_CF_SEC_New_27-Feb-2024Rev3.xlsx]D-PS'!$BB$21</v>
      </c>
      <c r="J391" s="37" t="s">
        <v>2157</v>
      </c>
    </row>
    <row r="392" spans="1:10" x14ac:dyDescent="0.25">
      <c r="A392" s="32" t="s">
        <v>34</v>
      </c>
      <c r="B392" s="32">
        <f t="shared" si="95"/>
        <v>2033</v>
      </c>
      <c r="C392" s="33" t="s">
        <v>51</v>
      </c>
      <c r="D392" s="34" t="s">
        <v>1999</v>
      </c>
      <c r="E392" s="35" t="str">
        <f t="shared" si="29"/>
        <v>PS'!</v>
      </c>
      <c r="F392" s="34" t="str">
        <f t="shared" si="30"/>
        <v>C:\Users\jaime.benazar\Quorum Business Solutions\Ecopetrol Prometeo - Documents\Planning Space Implementation\3. Analysis &amp; Design\Design\FC22\DRR Jaime\QUIFA-CAJÚA\Cajua\[CAJUA_CF_SEC_New_27-Feb-2024Rev3.xlsx]D-PS'!</v>
      </c>
      <c r="G392" s="32" t="s">
        <v>59</v>
      </c>
      <c r="H392" s="33">
        <f t="shared" si="96"/>
        <v>22</v>
      </c>
      <c r="I392" s="33" t="str">
        <f t="shared" si="31"/>
        <v>='C:\Users\jaime.benazar\Quorum Business Solutions\Ecopetrol Prometeo - Documents\Planning Space Implementation\3. Analysis &amp; Design\Design\FC22\DRR Jaime\QUIFA-CAJÚA\Cajua\[CAJUA_CF_SEC_New_27-Feb-2024Rev3.xlsx]D-PS'!$BB$22</v>
      </c>
      <c r="J392" s="37" t="s">
        <v>2158</v>
      </c>
    </row>
    <row r="393" spans="1:10" x14ac:dyDescent="0.25">
      <c r="A393" s="32" t="s">
        <v>34</v>
      </c>
      <c r="B393" s="32">
        <f t="shared" si="95"/>
        <v>2034</v>
      </c>
      <c r="C393" s="33" t="s">
        <v>51</v>
      </c>
      <c r="D393" s="34" t="s">
        <v>1999</v>
      </c>
      <c r="E393" s="35" t="str">
        <f t="shared" si="29"/>
        <v>PS'!</v>
      </c>
      <c r="F393" s="34" t="str">
        <f t="shared" si="30"/>
        <v>C:\Users\jaime.benazar\Quorum Business Solutions\Ecopetrol Prometeo - Documents\Planning Space Implementation\3. Analysis &amp; Design\Design\FC22\DRR Jaime\QUIFA-CAJÚA\Cajua\[CAJUA_CF_SEC_New_27-Feb-2024Rev3.xlsx]D-PS'!</v>
      </c>
      <c r="G393" s="32" t="s">
        <v>59</v>
      </c>
      <c r="H393" s="33">
        <f t="shared" si="96"/>
        <v>23</v>
      </c>
      <c r="I393" s="33" t="str">
        <f t="shared" si="31"/>
        <v>='C:\Users\jaime.benazar\Quorum Business Solutions\Ecopetrol Prometeo - Documents\Planning Space Implementation\3. Analysis &amp; Design\Design\FC22\DRR Jaime\QUIFA-CAJÚA\Cajua\[CAJUA_CF_SEC_New_27-Feb-2024Rev3.xlsx]D-PS'!$BB$23</v>
      </c>
      <c r="J393" s="37" t="s">
        <v>2159</v>
      </c>
    </row>
    <row r="394" spans="1:10" x14ac:dyDescent="0.25">
      <c r="A394" s="32" t="s">
        <v>34</v>
      </c>
      <c r="B394" s="32">
        <f t="shared" si="95"/>
        <v>2035</v>
      </c>
      <c r="C394" s="33" t="s">
        <v>51</v>
      </c>
      <c r="D394" s="34" t="s">
        <v>1999</v>
      </c>
      <c r="E394" s="35" t="str">
        <f t="shared" si="29"/>
        <v>PS'!</v>
      </c>
      <c r="F394" s="34" t="str">
        <f t="shared" si="30"/>
        <v>C:\Users\jaime.benazar\Quorum Business Solutions\Ecopetrol Prometeo - Documents\Planning Space Implementation\3. Analysis &amp; Design\Design\FC22\DRR Jaime\QUIFA-CAJÚA\Cajua\[CAJUA_CF_SEC_New_27-Feb-2024Rev3.xlsx]D-PS'!</v>
      </c>
      <c r="G394" s="32" t="s">
        <v>59</v>
      </c>
      <c r="H394" s="33">
        <f t="shared" si="96"/>
        <v>24</v>
      </c>
      <c r="I394" s="33" t="str">
        <f t="shared" si="31"/>
        <v>='C:\Users\jaime.benazar\Quorum Business Solutions\Ecopetrol Prometeo - Documents\Planning Space Implementation\3. Analysis &amp; Design\Design\FC22\DRR Jaime\QUIFA-CAJÚA\Cajua\[CAJUA_CF_SEC_New_27-Feb-2024Rev3.xlsx]D-PS'!$BB$24</v>
      </c>
      <c r="J394" s="37" t="s">
        <v>2160</v>
      </c>
    </row>
    <row r="395" spans="1:10" x14ac:dyDescent="0.25">
      <c r="A395" s="32" t="s">
        <v>34</v>
      </c>
      <c r="B395" s="32">
        <f t="shared" si="95"/>
        <v>2036</v>
      </c>
      <c r="C395" s="33" t="s">
        <v>51</v>
      </c>
      <c r="D395" s="34" t="s">
        <v>1999</v>
      </c>
      <c r="E395" s="35" t="str">
        <f t="shared" si="29"/>
        <v>PS'!</v>
      </c>
      <c r="F395" s="34" t="str">
        <f t="shared" si="30"/>
        <v>C:\Users\jaime.benazar\Quorum Business Solutions\Ecopetrol Prometeo - Documents\Planning Space Implementation\3. Analysis &amp; Design\Design\FC22\DRR Jaime\QUIFA-CAJÚA\Cajua\[CAJUA_CF_SEC_New_27-Feb-2024Rev3.xlsx]D-PS'!</v>
      </c>
      <c r="G395" s="32" t="s">
        <v>59</v>
      </c>
      <c r="H395" s="33">
        <f t="shared" si="96"/>
        <v>25</v>
      </c>
      <c r="I395" s="33" t="str">
        <f t="shared" si="31"/>
        <v>='C:\Users\jaime.benazar\Quorum Business Solutions\Ecopetrol Prometeo - Documents\Planning Space Implementation\3. Analysis &amp; Design\Design\FC22\DRR Jaime\QUIFA-CAJÚA\Cajua\[CAJUA_CF_SEC_New_27-Feb-2024Rev3.xlsx]D-PS'!$BB$25</v>
      </c>
      <c r="J395" s="37" t="s">
        <v>2161</v>
      </c>
    </row>
    <row r="396" spans="1:10" x14ac:dyDescent="0.25">
      <c r="A396" s="32" t="s">
        <v>34</v>
      </c>
      <c r="B396" s="32">
        <f>+B395+1</f>
        <v>2037</v>
      </c>
      <c r="C396" s="33" t="s">
        <v>51</v>
      </c>
      <c r="D396" s="34" t="s">
        <v>1999</v>
      </c>
      <c r="E396" s="35" t="str">
        <f t="shared" si="29"/>
        <v>PS'!</v>
      </c>
      <c r="F396" s="34" t="str">
        <f t="shared" si="30"/>
        <v>C:\Users\jaime.benazar\Quorum Business Solutions\Ecopetrol Prometeo - Documents\Planning Space Implementation\3. Analysis &amp; Design\Design\FC22\DRR Jaime\QUIFA-CAJÚA\Cajua\[CAJUA_CF_SEC_New_27-Feb-2024Rev3.xlsx]D-PS'!</v>
      </c>
      <c r="G396" s="32" t="s">
        <v>59</v>
      </c>
      <c r="H396" s="33">
        <f t="shared" si="96"/>
        <v>26</v>
      </c>
      <c r="I396" s="33" t="str">
        <f t="shared" si="31"/>
        <v>='C:\Users\jaime.benazar\Quorum Business Solutions\Ecopetrol Prometeo - Documents\Planning Space Implementation\3. Analysis &amp; Design\Design\FC22\DRR Jaime\QUIFA-CAJÚA\Cajua\[CAJUA_CF_SEC_New_27-Feb-2024Rev3.xlsx]D-PS'!$BB$26</v>
      </c>
      <c r="J396" s="37" t="s">
        <v>2162</v>
      </c>
    </row>
    <row r="397" spans="1:10" x14ac:dyDescent="0.25">
      <c r="A397" s="32" t="s">
        <v>34</v>
      </c>
      <c r="B397" s="32">
        <f t="shared" ref="B397:B399" si="97">+B396+1</f>
        <v>2038</v>
      </c>
      <c r="C397" s="33" t="s">
        <v>51</v>
      </c>
      <c r="D397" s="34" t="s">
        <v>1999</v>
      </c>
      <c r="E397" s="35" t="str">
        <f t="shared" si="29"/>
        <v>PS'!</v>
      </c>
      <c r="F397" s="34" t="str">
        <f t="shared" si="30"/>
        <v>C:\Users\jaime.benazar\Quorum Business Solutions\Ecopetrol Prometeo - Documents\Planning Space Implementation\3. Analysis &amp; Design\Design\FC22\DRR Jaime\QUIFA-CAJÚA\Cajua\[CAJUA_CF_SEC_New_27-Feb-2024Rev3.xlsx]D-PS'!</v>
      </c>
      <c r="G397" s="32" t="s">
        <v>59</v>
      </c>
      <c r="H397" s="33">
        <f t="shared" si="96"/>
        <v>27</v>
      </c>
      <c r="I397" s="33" t="str">
        <f t="shared" si="31"/>
        <v>='C:\Users\jaime.benazar\Quorum Business Solutions\Ecopetrol Prometeo - Documents\Planning Space Implementation\3. Analysis &amp; Design\Design\FC22\DRR Jaime\QUIFA-CAJÚA\Cajua\[CAJUA_CF_SEC_New_27-Feb-2024Rev3.xlsx]D-PS'!$BB$27</v>
      </c>
      <c r="J397" s="37" t="s">
        <v>2163</v>
      </c>
    </row>
    <row r="398" spans="1:10" x14ac:dyDescent="0.25">
      <c r="A398" s="32" t="s">
        <v>34</v>
      </c>
      <c r="B398" s="32">
        <f t="shared" si="97"/>
        <v>2039</v>
      </c>
      <c r="C398" s="33" t="s">
        <v>51</v>
      </c>
      <c r="D398" s="34" t="s">
        <v>1999</v>
      </c>
      <c r="E398" s="35" t="str">
        <f t="shared" si="29"/>
        <v>PS'!</v>
      </c>
      <c r="F398" s="34" t="str">
        <f t="shared" si="30"/>
        <v>C:\Users\jaime.benazar\Quorum Business Solutions\Ecopetrol Prometeo - Documents\Planning Space Implementation\3. Analysis &amp; Design\Design\FC22\DRR Jaime\QUIFA-CAJÚA\Cajua\[CAJUA_CF_SEC_New_27-Feb-2024Rev3.xlsx]D-PS'!</v>
      </c>
      <c r="G398" s="32" t="s">
        <v>59</v>
      </c>
      <c r="H398" s="33">
        <f t="shared" si="96"/>
        <v>28</v>
      </c>
      <c r="I398" s="33" t="str">
        <f t="shared" si="31"/>
        <v>='C:\Users\jaime.benazar\Quorum Business Solutions\Ecopetrol Prometeo - Documents\Planning Space Implementation\3. Analysis &amp; Design\Design\FC22\DRR Jaime\QUIFA-CAJÚA\Cajua\[CAJUA_CF_SEC_New_27-Feb-2024Rev3.xlsx]D-PS'!$BB$28</v>
      </c>
      <c r="J398" s="37" t="s">
        <v>2164</v>
      </c>
    </row>
    <row r="399" spans="1:10" x14ac:dyDescent="0.25">
      <c r="A399" s="32" t="s">
        <v>34</v>
      </c>
      <c r="B399" s="32">
        <f t="shared" si="97"/>
        <v>2040</v>
      </c>
      <c r="C399" s="33" t="s">
        <v>51</v>
      </c>
      <c r="D399" s="34" t="s">
        <v>1999</v>
      </c>
      <c r="E399" s="35" t="str">
        <f t="shared" si="29"/>
        <v>PS'!</v>
      </c>
      <c r="F399" s="34" t="str">
        <f t="shared" si="30"/>
        <v>C:\Users\jaime.benazar\Quorum Business Solutions\Ecopetrol Prometeo - Documents\Planning Space Implementation\3. Analysis &amp; Design\Design\FC22\DRR Jaime\QUIFA-CAJÚA\Cajua\[CAJUA_CF_SEC_New_27-Feb-2024Rev3.xlsx]D-PS'!</v>
      </c>
      <c r="G399" s="32" t="s">
        <v>59</v>
      </c>
      <c r="H399" s="33">
        <f t="shared" si="96"/>
        <v>29</v>
      </c>
      <c r="I399" s="33" t="str">
        <f t="shared" si="31"/>
        <v>='C:\Users\jaime.benazar\Quorum Business Solutions\Ecopetrol Prometeo - Documents\Planning Space Implementation\3. Analysis &amp; Design\Design\FC22\DRR Jaime\QUIFA-CAJÚA\Cajua\[CAJUA_CF_SEC_New_27-Feb-2024Rev3.xlsx]D-PS'!$BB$29</v>
      </c>
      <c r="J399" s="37" t="s">
        <v>2165</v>
      </c>
    </row>
    <row r="400" spans="1:10" x14ac:dyDescent="0.25">
      <c r="A400" s="32" t="s">
        <v>34</v>
      </c>
      <c r="B400" s="32">
        <f>+B399+1</f>
        <v>2041</v>
      </c>
      <c r="C400" s="33" t="s">
        <v>51</v>
      </c>
      <c r="D400" s="34" t="s">
        <v>1999</v>
      </c>
      <c r="E400" s="35" t="str">
        <f t="shared" si="29"/>
        <v>PS'!</v>
      </c>
      <c r="F400" s="34" t="str">
        <f t="shared" si="30"/>
        <v>C:\Users\jaime.benazar\Quorum Business Solutions\Ecopetrol Prometeo - Documents\Planning Space Implementation\3. Analysis &amp; Design\Design\FC22\DRR Jaime\QUIFA-CAJÚA\Cajua\[CAJUA_CF_SEC_New_27-Feb-2024Rev3.xlsx]D-PS'!</v>
      </c>
      <c r="G400" s="32" t="s">
        <v>59</v>
      </c>
      <c r="H400" s="33">
        <f t="shared" si="96"/>
        <v>30</v>
      </c>
      <c r="I400" s="33" t="str">
        <f t="shared" si="31"/>
        <v>='C:\Users\jaime.benazar\Quorum Business Solutions\Ecopetrol Prometeo - Documents\Planning Space Implementation\3. Analysis &amp; Design\Design\FC22\DRR Jaime\QUIFA-CAJÚA\Cajua\[CAJUA_CF_SEC_New_27-Feb-2024Rev3.xlsx]D-PS'!$BB$30</v>
      </c>
      <c r="J400" s="37" t="s">
        <v>2166</v>
      </c>
    </row>
    <row r="401" spans="1:10" x14ac:dyDescent="0.25">
      <c r="A401" s="32" t="s">
        <v>34</v>
      </c>
      <c r="B401" s="32">
        <f t="shared" ref="B401:B402" si="98">+B400+1</f>
        <v>2042</v>
      </c>
      <c r="C401" s="33" t="s">
        <v>51</v>
      </c>
      <c r="D401" s="34" t="s">
        <v>1999</v>
      </c>
      <c r="E401" s="35" t="str">
        <f t="shared" si="29"/>
        <v>PS'!</v>
      </c>
      <c r="F401" s="34" t="str">
        <f t="shared" si="30"/>
        <v>C:\Users\jaime.benazar\Quorum Business Solutions\Ecopetrol Prometeo - Documents\Planning Space Implementation\3. Analysis &amp; Design\Design\FC22\DRR Jaime\QUIFA-CAJÚA\Cajua\[CAJUA_CF_SEC_New_27-Feb-2024Rev3.xlsx]D-PS'!</v>
      </c>
      <c r="G401" s="32" t="s">
        <v>59</v>
      </c>
      <c r="H401" s="33">
        <f t="shared" si="96"/>
        <v>31</v>
      </c>
      <c r="I401" s="33" t="str">
        <f t="shared" si="31"/>
        <v>='C:\Users\jaime.benazar\Quorum Business Solutions\Ecopetrol Prometeo - Documents\Planning Space Implementation\3. Analysis &amp; Design\Design\FC22\DRR Jaime\QUIFA-CAJÚA\Cajua\[CAJUA_CF_SEC_New_27-Feb-2024Rev3.xlsx]D-PS'!$BB$31</v>
      </c>
      <c r="J401" s="37" t="s">
        <v>2167</v>
      </c>
    </row>
    <row r="402" spans="1:10" x14ac:dyDescent="0.25">
      <c r="A402" s="32" t="s">
        <v>34</v>
      </c>
      <c r="B402" s="32">
        <f t="shared" si="98"/>
        <v>2043</v>
      </c>
      <c r="C402" s="33" t="s">
        <v>51</v>
      </c>
      <c r="D402" s="34" t="s">
        <v>1999</v>
      </c>
      <c r="E402" s="35" t="str">
        <f t="shared" si="29"/>
        <v>PS'!</v>
      </c>
      <c r="F402" s="34" t="str">
        <f t="shared" si="30"/>
        <v>C:\Users\jaime.benazar\Quorum Business Solutions\Ecopetrol Prometeo - Documents\Planning Space Implementation\3. Analysis &amp; Design\Design\FC22\DRR Jaime\QUIFA-CAJÚA\Cajua\[CAJUA_CF_SEC_New_27-Feb-2024Rev3.xlsx]D-PS'!</v>
      </c>
      <c r="G402" s="32" t="s">
        <v>59</v>
      </c>
      <c r="H402" s="33">
        <f t="shared" si="96"/>
        <v>32</v>
      </c>
      <c r="I402" s="33" t="str">
        <f t="shared" si="31"/>
        <v>='C:\Users\jaime.benazar\Quorum Business Solutions\Ecopetrol Prometeo - Documents\Planning Space Implementation\3. Analysis &amp; Design\Design\FC22\DRR Jaime\QUIFA-CAJÚA\Cajua\[CAJUA_CF_SEC_New_27-Feb-2024Rev3.xlsx]D-PS'!$BB$32</v>
      </c>
      <c r="J402" s="37" t="s">
        <v>2168</v>
      </c>
    </row>
    <row r="403" spans="1:10" x14ac:dyDescent="0.25">
      <c r="A403" s="32" t="s">
        <v>34</v>
      </c>
      <c r="B403" s="32">
        <f>+B402+1</f>
        <v>2044</v>
      </c>
      <c r="C403" s="33" t="s">
        <v>51</v>
      </c>
      <c r="D403" s="34" t="s">
        <v>1999</v>
      </c>
      <c r="E403" s="35" t="str">
        <f t="shared" ref="E403:E418" si="99">_xlfn.CONCAT(A403,"'!")</f>
        <v>PS'!</v>
      </c>
      <c r="F403" s="34" t="str">
        <f t="shared" ref="F403:F418" si="100">_xlfn.CONCAT(D403:E403)</f>
        <v>C:\Users\jaime.benazar\Quorum Business Solutions\Ecopetrol Prometeo - Documents\Planning Space Implementation\3. Analysis &amp; Design\Design\FC22\DRR Jaime\QUIFA-CAJÚA\Cajua\[CAJUA_CF_SEC_New_27-Feb-2024Rev3.xlsx]D-PS'!</v>
      </c>
      <c r="G403" s="32" t="s">
        <v>59</v>
      </c>
      <c r="H403" s="33">
        <f t="shared" ref="H403:H418" si="101">IF(A403&lt;&gt;A402,12,H402+1)</f>
        <v>33</v>
      </c>
      <c r="I403" s="33" t="str">
        <f t="shared" ref="I403:I418" si="102">_xlfn.CONCAT("='",F403:H403)</f>
        <v>='C:\Users\jaime.benazar\Quorum Business Solutions\Ecopetrol Prometeo - Documents\Planning Space Implementation\3. Analysis &amp; Design\Design\FC22\DRR Jaime\QUIFA-CAJÚA\Cajua\[CAJUA_CF_SEC_New_27-Feb-2024Rev3.xlsx]D-PS'!$BB$33</v>
      </c>
      <c r="J403" s="37" t="s">
        <v>2169</v>
      </c>
    </row>
    <row r="404" spans="1:10" x14ac:dyDescent="0.25">
      <c r="A404" s="32" t="s">
        <v>34</v>
      </c>
      <c r="B404" s="32">
        <f t="shared" ref="B404:B418" si="103">+B403+1</f>
        <v>2045</v>
      </c>
      <c r="C404" s="33" t="s">
        <v>51</v>
      </c>
      <c r="D404" s="34" t="s">
        <v>1999</v>
      </c>
      <c r="E404" s="35" t="str">
        <f t="shared" si="99"/>
        <v>PS'!</v>
      </c>
      <c r="F404" s="34" t="str">
        <f t="shared" si="100"/>
        <v>C:\Users\jaime.benazar\Quorum Business Solutions\Ecopetrol Prometeo - Documents\Planning Space Implementation\3. Analysis &amp; Design\Design\FC22\DRR Jaime\QUIFA-CAJÚA\Cajua\[CAJUA_CF_SEC_New_27-Feb-2024Rev3.xlsx]D-PS'!</v>
      </c>
      <c r="G404" s="32" t="s">
        <v>59</v>
      </c>
      <c r="H404" s="33">
        <f t="shared" si="101"/>
        <v>34</v>
      </c>
      <c r="I404" s="33" t="str">
        <f t="shared" si="102"/>
        <v>='C:\Users\jaime.benazar\Quorum Business Solutions\Ecopetrol Prometeo - Documents\Planning Space Implementation\3. Analysis &amp; Design\Design\FC22\DRR Jaime\QUIFA-CAJÚA\Cajua\[CAJUA_CF_SEC_New_27-Feb-2024Rev3.xlsx]D-PS'!$BB$34</v>
      </c>
      <c r="J404" s="37" t="s">
        <v>2170</v>
      </c>
    </row>
    <row r="405" spans="1:10" x14ac:dyDescent="0.25">
      <c r="A405" s="32" t="s">
        <v>34</v>
      </c>
      <c r="B405" s="32">
        <f t="shared" si="103"/>
        <v>2046</v>
      </c>
      <c r="C405" s="33" t="s">
        <v>51</v>
      </c>
      <c r="D405" s="34" t="s">
        <v>1999</v>
      </c>
      <c r="E405" s="35" t="str">
        <f t="shared" si="99"/>
        <v>PS'!</v>
      </c>
      <c r="F405" s="34" t="str">
        <f t="shared" si="100"/>
        <v>C:\Users\jaime.benazar\Quorum Business Solutions\Ecopetrol Prometeo - Documents\Planning Space Implementation\3. Analysis &amp; Design\Design\FC22\DRR Jaime\QUIFA-CAJÚA\Cajua\[CAJUA_CF_SEC_New_27-Feb-2024Rev3.xlsx]D-PS'!</v>
      </c>
      <c r="G405" s="32" t="s">
        <v>59</v>
      </c>
      <c r="H405" s="33">
        <f t="shared" si="101"/>
        <v>35</v>
      </c>
      <c r="I405" s="33" t="str">
        <f t="shared" si="102"/>
        <v>='C:\Users\jaime.benazar\Quorum Business Solutions\Ecopetrol Prometeo - Documents\Planning Space Implementation\3. Analysis &amp; Design\Design\FC22\DRR Jaime\QUIFA-CAJÚA\Cajua\[CAJUA_CF_SEC_New_27-Feb-2024Rev3.xlsx]D-PS'!$BB$35</v>
      </c>
      <c r="J405" s="37" t="s">
        <v>2171</v>
      </c>
    </row>
    <row r="406" spans="1:10" x14ac:dyDescent="0.25">
      <c r="A406" s="32" t="s">
        <v>34</v>
      </c>
      <c r="B406" s="32">
        <f t="shared" si="103"/>
        <v>2047</v>
      </c>
      <c r="C406" s="33" t="s">
        <v>51</v>
      </c>
      <c r="D406" s="34" t="s">
        <v>1999</v>
      </c>
      <c r="E406" s="35" t="str">
        <f t="shared" si="99"/>
        <v>PS'!</v>
      </c>
      <c r="F406" s="34" t="str">
        <f t="shared" si="100"/>
        <v>C:\Users\jaime.benazar\Quorum Business Solutions\Ecopetrol Prometeo - Documents\Planning Space Implementation\3. Analysis &amp; Design\Design\FC22\DRR Jaime\QUIFA-CAJÚA\Cajua\[CAJUA_CF_SEC_New_27-Feb-2024Rev3.xlsx]D-PS'!</v>
      </c>
      <c r="G406" s="32" t="s">
        <v>59</v>
      </c>
      <c r="H406" s="33">
        <f t="shared" si="101"/>
        <v>36</v>
      </c>
      <c r="I406" s="33" t="str">
        <f t="shared" si="102"/>
        <v>='C:\Users\jaime.benazar\Quorum Business Solutions\Ecopetrol Prometeo - Documents\Planning Space Implementation\3. Analysis &amp; Design\Design\FC22\DRR Jaime\QUIFA-CAJÚA\Cajua\[CAJUA_CF_SEC_New_27-Feb-2024Rev3.xlsx]D-PS'!$BB$36</v>
      </c>
      <c r="J406" s="37" t="s">
        <v>2172</v>
      </c>
    </row>
    <row r="407" spans="1:10" x14ac:dyDescent="0.25">
      <c r="A407" s="32" t="s">
        <v>34</v>
      </c>
      <c r="B407" s="32">
        <f t="shared" si="103"/>
        <v>2048</v>
      </c>
      <c r="C407" s="33" t="s">
        <v>51</v>
      </c>
      <c r="D407" s="34" t="s">
        <v>1999</v>
      </c>
      <c r="E407" s="35" t="str">
        <f t="shared" si="99"/>
        <v>PS'!</v>
      </c>
      <c r="F407" s="34" t="str">
        <f t="shared" si="100"/>
        <v>C:\Users\jaime.benazar\Quorum Business Solutions\Ecopetrol Prometeo - Documents\Planning Space Implementation\3. Analysis &amp; Design\Design\FC22\DRR Jaime\QUIFA-CAJÚA\Cajua\[CAJUA_CF_SEC_New_27-Feb-2024Rev3.xlsx]D-PS'!</v>
      </c>
      <c r="G407" s="32" t="s">
        <v>59</v>
      </c>
      <c r="H407" s="33">
        <f t="shared" si="101"/>
        <v>37</v>
      </c>
      <c r="I407" s="33" t="str">
        <f t="shared" si="102"/>
        <v>='C:\Users\jaime.benazar\Quorum Business Solutions\Ecopetrol Prometeo - Documents\Planning Space Implementation\3. Analysis &amp; Design\Design\FC22\DRR Jaime\QUIFA-CAJÚA\Cajua\[CAJUA_CF_SEC_New_27-Feb-2024Rev3.xlsx]D-PS'!$BB$37</v>
      </c>
      <c r="J407" s="37" t="s">
        <v>2173</v>
      </c>
    </row>
    <row r="408" spans="1:10" x14ac:dyDescent="0.25">
      <c r="A408" s="32" t="s">
        <v>34</v>
      </c>
      <c r="B408" s="32">
        <f t="shared" si="103"/>
        <v>2049</v>
      </c>
      <c r="C408" s="33" t="s">
        <v>51</v>
      </c>
      <c r="D408" s="34" t="s">
        <v>1999</v>
      </c>
      <c r="E408" s="35" t="str">
        <f t="shared" si="99"/>
        <v>PS'!</v>
      </c>
      <c r="F408" s="34" t="str">
        <f t="shared" si="100"/>
        <v>C:\Users\jaime.benazar\Quorum Business Solutions\Ecopetrol Prometeo - Documents\Planning Space Implementation\3. Analysis &amp; Design\Design\FC22\DRR Jaime\QUIFA-CAJÚA\Cajua\[CAJUA_CF_SEC_New_27-Feb-2024Rev3.xlsx]D-PS'!</v>
      </c>
      <c r="G408" s="32" t="s">
        <v>59</v>
      </c>
      <c r="H408" s="33">
        <f t="shared" si="101"/>
        <v>38</v>
      </c>
      <c r="I408" s="33" t="str">
        <f t="shared" si="102"/>
        <v>='C:\Users\jaime.benazar\Quorum Business Solutions\Ecopetrol Prometeo - Documents\Planning Space Implementation\3. Analysis &amp; Design\Design\FC22\DRR Jaime\QUIFA-CAJÚA\Cajua\[CAJUA_CF_SEC_New_27-Feb-2024Rev3.xlsx]D-PS'!$BB$38</v>
      </c>
      <c r="J408" s="37" t="s">
        <v>2174</v>
      </c>
    </row>
    <row r="409" spans="1:10" x14ac:dyDescent="0.25">
      <c r="A409" s="32" t="s">
        <v>34</v>
      </c>
      <c r="B409" s="32">
        <f t="shared" si="103"/>
        <v>2050</v>
      </c>
      <c r="C409" s="33" t="s">
        <v>51</v>
      </c>
      <c r="D409" s="34" t="s">
        <v>1999</v>
      </c>
      <c r="E409" s="35" t="str">
        <f t="shared" si="99"/>
        <v>PS'!</v>
      </c>
      <c r="F409" s="34" t="str">
        <f t="shared" si="100"/>
        <v>C:\Users\jaime.benazar\Quorum Business Solutions\Ecopetrol Prometeo - Documents\Planning Space Implementation\3. Analysis &amp; Design\Design\FC22\DRR Jaime\QUIFA-CAJÚA\Cajua\[CAJUA_CF_SEC_New_27-Feb-2024Rev3.xlsx]D-PS'!</v>
      </c>
      <c r="G409" s="32" t="s">
        <v>59</v>
      </c>
      <c r="H409" s="33">
        <f t="shared" si="101"/>
        <v>39</v>
      </c>
      <c r="I409" s="33" t="str">
        <f t="shared" si="102"/>
        <v>='C:\Users\jaime.benazar\Quorum Business Solutions\Ecopetrol Prometeo - Documents\Planning Space Implementation\3. Analysis &amp; Design\Design\FC22\DRR Jaime\QUIFA-CAJÚA\Cajua\[CAJUA_CF_SEC_New_27-Feb-2024Rev3.xlsx]D-PS'!$BB$39</v>
      </c>
      <c r="J409" s="37" t="s">
        <v>2175</v>
      </c>
    </row>
    <row r="410" spans="1:10" x14ac:dyDescent="0.25">
      <c r="A410" s="32" t="s">
        <v>34</v>
      </c>
      <c r="B410" s="32">
        <f t="shared" si="103"/>
        <v>2051</v>
      </c>
      <c r="C410" s="33" t="s">
        <v>51</v>
      </c>
      <c r="D410" s="34" t="s">
        <v>1999</v>
      </c>
      <c r="E410" s="35" t="str">
        <f t="shared" si="99"/>
        <v>PS'!</v>
      </c>
      <c r="F410" s="34" t="str">
        <f t="shared" si="100"/>
        <v>C:\Users\jaime.benazar\Quorum Business Solutions\Ecopetrol Prometeo - Documents\Planning Space Implementation\3. Analysis &amp; Design\Design\FC22\DRR Jaime\QUIFA-CAJÚA\Cajua\[CAJUA_CF_SEC_New_27-Feb-2024Rev3.xlsx]D-PS'!</v>
      </c>
      <c r="G410" s="32" t="s">
        <v>59</v>
      </c>
      <c r="H410" s="33">
        <f t="shared" si="101"/>
        <v>40</v>
      </c>
      <c r="I410" s="33" t="str">
        <f t="shared" si="102"/>
        <v>='C:\Users\jaime.benazar\Quorum Business Solutions\Ecopetrol Prometeo - Documents\Planning Space Implementation\3. Analysis &amp; Design\Design\FC22\DRR Jaime\QUIFA-CAJÚA\Cajua\[CAJUA_CF_SEC_New_27-Feb-2024Rev3.xlsx]D-PS'!$BB$40</v>
      </c>
      <c r="J410" s="37" t="s">
        <v>2176</v>
      </c>
    </row>
    <row r="411" spans="1:10" x14ac:dyDescent="0.25">
      <c r="A411" s="32" t="s">
        <v>34</v>
      </c>
      <c r="B411" s="32">
        <f t="shared" si="103"/>
        <v>2052</v>
      </c>
      <c r="C411" s="33" t="s">
        <v>51</v>
      </c>
      <c r="D411" s="34" t="s">
        <v>1999</v>
      </c>
      <c r="E411" s="35" t="str">
        <f t="shared" si="99"/>
        <v>PS'!</v>
      </c>
      <c r="F411" s="34" t="str">
        <f t="shared" si="100"/>
        <v>C:\Users\jaime.benazar\Quorum Business Solutions\Ecopetrol Prometeo - Documents\Planning Space Implementation\3. Analysis &amp; Design\Design\FC22\DRR Jaime\QUIFA-CAJÚA\Cajua\[CAJUA_CF_SEC_New_27-Feb-2024Rev3.xlsx]D-PS'!</v>
      </c>
      <c r="G411" s="32" t="s">
        <v>59</v>
      </c>
      <c r="H411" s="33">
        <f t="shared" si="101"/>
        <v>41</v>
      </c>
      <c r="I411" s="33" t="str">
        <f t="shared" si="102"/>
        <v>='C:\Users\jaime.benazar\Quorum Business Solutions\Ecopetrol Prometeo - Documents\Planning Space Implementation\3. Analysis &amp; Design\Design\FC22\DRR Jaime\QUIFA-CAJÚA\Cajua\[CAJUA_CF_SEC_New_27-Feb-2024Rev3.xlsx]D-PS'!$BB$41</v>
      </c>
      <c r="J411" s="37" t="s">
        <v>2177</v>
      </c>
    </row>
    <row r="412" spans="1:10" x14ac:dyDescent="0.25">
      <c r="A412" s="32" t="s">
        <v>34</v>
      </c>
      <c r="B412" s="32">
        <f t="shared" si="103"/>
        <v>2053</v>
      </c>
      <c r="C412" s="33" t="s">
        <v>51</v>
      </c>
      <c r="D412" s="34" t="s">
        <v>1999</v>
      </c>
      <c r="E412" s="35" t="str">
        <f t="shared" si="99"/>
        <v>PS'!</v>
      </c>
      <c r="F412" s="34" t="str">
        <f t="shared" si="100"/>
        <v>C:\Users\jaime.benazar\Quorum Business Solutions\Ecopetrol Prometeo - Documents\Planning Space Implementation\3. Analysis &amp; Design\Design\FC22\DRR Jaime\QUIFA-CAJÚA\Cajua\[CAJUA_CF_SEC_New_27-Feb-2024Rev3.xlsx]D-PS'!</v>
      </c>
      <c r="G412" s="32" t="s">
        <v>59</v>
      </c>
      <c r="H412" s="33">
        <f t="shared" si="101"/>
        <v>42</v>
      </c>
      <c r="I412" s="33" t="str">
        <f t="shared" si="102"/>
        <v>='C:\Users\jaime.benazar\Quorum Business Solutions\Ecopetrol Prometeo - Documents\Planning Space Implementation\3. Analysis &amp; Design\Design\FC22\DRR Jaime\QUIFA-CAJÚA\Cajua\[CAJUA_CF_SEC_New_27-Feb-2024Rev3.xlsx]D-PS'!$BB$42</v>
      </c>
      <c r="J412" s="37" t="s">
        <v>2178</v>
      </c>
    </row>
    <row r="413" spans="1:10" x14ac:dyDescent="0.25">
      <c r="A413" s="32" t="s">
        <v>34</v>
      </c>
      <c r="B413" s="32">
        <f t="shared" si="103"/>
        <v>2054</v>
      </c>
      <c r="C413" s="33" t="s">
        <v>51</v>
      </c>
      <c r="D413" s="34" t="s">
        <v>1999</v>
      </c>
      <c r="E413" s="35" t="str">
        <f t="shared" si="99"/>
        <v>PS'!</v>
      </c>
      <c r="F413" s="34" t="str">
        <f t="shared" si="100"/>
        <v>C:\Users\jaime.benazar\Quorum Business Solutions\Ecopetrol Prometeo - Documents\Planning Space Implementation\3. Analysis &amp; Design\Design\FC22\DRR Jaime\QUIFA-CAJÚA\Cajua\[CAJUA_CF_SEC_New_27-Feb-2024Rev3.xlsx]D-PS'!</v>
      </c>
      <c r="G413" s="32" t="s">
        <v>59</v>
      </c>
      <c r="H413" s="33">
        <f t="shared" si="101"/>
        <v>43</v>
      </c>
      <c r="I413" s="33" t="str">
        <f t="shared" si="102"/>
        <v>='C:\Users\jaime.benazar\Quorum Business Solutions\Ecopetrol Prometeo - Documents\Planning Space Implementation\3. Analysis &amp; Design\Design\FC22\DRR Jaime\QUIFA-CAJÚA\Cajua\[CAJUA_CF_SEC_New_27-Feb-2024Rev3.xlsx]D-PS'!$BB$43</v>
      </c>
      <c r="J413" s="37" t="s">
        <v>2179</v>
      </c>
    </row>
    <row r="414" spans="1:10" x14ac:dyDescent="0.25">
      <c r="A414" s="32" t="s">
        <v>34</v>
      </c>
      <c r="B414" s="32">
        <f t="shared" si="103"/>
        <v>2055</v>
      </c>
      <c r="C414" s="33" t="s">
        <v>51</v>
      </c>
      <c r="D414" s="34" t="s">
        <v>1999</v>
      </c>
      <c r="E414" s="35" t="str">
        <f t="shared" si="99"/>
        <v>PS'!</v>
      </c>
      <c r="F414" s="34" t="str">
        <f t="shared" si="100"/>
        <v>C:\Users\jaime.benazar\Quorum Business Solutions\Ecopetrol Prometeo - Documents\Planning Space Implementation\3. Analysis &amp; Design\Design\FC22\DRR Jaime\QUIFA-CAJÚA\Cajua\[CAJUA_CF_SEC_New_27-Feb-2024Rev3.xlsx]D-PS'!</v>
      </c>
      <c r="G414" s="32" t="s">
        <v>59</v>
      </c>
      <c r="H414" s="33">
        <f t="shared" si="101"/>
        <v>44</v>
      </c>
      <c r="I414" s="33" t="str">
        <f t="shared" si="102"/>
        <v>='C:\Users\jaime.benazar\Quorum Business Solutions\Ecopetrol Prometeo - Documents\Planning Space Implementation\3. Analysis &amp; Design\Design\FC22\DRR Jaime\QUIFA-CAJÚA\Cajua\[CAJUA_CF_SEC_New_27-Feb-2024Rev3.xlsx]D-PS'!$BB$44</v>
      </c>
      <c r="J414" s="37" t="s">
        <v>2180</v>
      </c>
    </row>
    <row r="415" spans="1:10" x14ac:dyDescent="0.25">
      <c r="A415" s="32" t="s">
        <v>34</v>
      </c>
      <c r="B415" s="32">
        <f t="shared" si="103"/>
        <v>2056</v>
      </c>
      <c r="C415" s="33" t="s">
        <v>51</v>
      </c>
      <c r="D415" s="34" t="s">
        <v>1999</v>
      </c>
      <c r="E415" s="35" t="str">
        <f t="shared" si="99"/>
        <v>PS'!</v>
      </c>
      <c r="F415" s="34" t="str">
        <f t="shared" si="100"/>
        <v>C:\Users\jaime.benazar\Quorum Business Solutions\Ecopetrol Prometeo - Documents\Planning Space Implementation\3. Analysis &amp; Design\Design\FC22\DRR Jaime\QUIFA-CAJÚA\Cajua\[CAJUA_CF_SEC_New_27-Feb-2024Rev3.xlsx]D-PS'!</v>
      </c>
      <c r="G415" s="32" t="s">
        <v>59</v>
      </c>
      <c r="H415" s="33">
        <f t="shared" si="101"/>
        <v>45</v>
      </c>
      <c r="I415" s="33" t="str">
        <f t="shared" si="102"/>
        <v>='C:\Users\jaime.benazar\Quorum Business Solutions\Ecopetrol Prometeo - Documents\Planning Space Implementation\3. Analysis &amp; Design\Design\FC22\DRR Jaime\QUIFA-CAJÚA\Cajua\[CAJUA_CF_SEC_New_27-Feb-2024Rev3.xlsx]D-PS'!$BB$45</v>
      </c>
      <c r="J415" s="37" t="s">
        <v>2181</v>
      </c>
    </row>
    <row r="416" spans="1:10" x14ac:dyDescent="0.25">
      <c r="A416" s="32" t="s">
        <v>34</v>
      </c>
      <c r="B416" s="32">
        <f t="shared" si="103"/>
        <v>2057</v>
      </c>
      <c r="C416" s="33" t="s">
        <v>51</v>
      </c>
      <c r="D416" s="34" t="s">
        <v>1999</v>
      </c>
      <c r="E416" s="35" t="str">
        <f t="shared" si="99"/>
        <v>PS'!</v>
      </c>
      <c r="F416" s="34" t="str">
        <f t="shared" si="100"/>
        <v>C:\Users\jaime.benazar\Quorum Business Solutions\Ecopetrol Prometeo - Documents\Planning Space Implementation\3. Analysis &amp; Design\Design\FC22\DRR Jaime\QUIFA-CAJÚA\Cajua\[CAJUA_CF_SEC_New_27-Feb-2024Rev3.xlsx]D-PS'!</v>
      </c>
      <c r="G416" s="32" t="s">
        <v>59</v>
      </c>
      <c r="H416" s="33">
        <f t="shared" si="101"/>
        <v>46</v>
      </c>
      <c r="I416" s="33" t="str">
        <f t="shared" si="102"/>
        <v>='C:\Users\jaime.benazar\Quorum Business Solutions\Ecopetrol Prometeo - Documents\Planning Space Implementation\3. Analysis &amp; Design\Design\FC22\DRR Jaime\QUIFA-CAJÚA\Cajua\[CAJUA_CF_SEC_New_27-Feb-2024Rev3.xlsx]D-PS'!$BB$46</v>
      </c>
      <c r="J416" s="37" t="s">
        <v>2182</v>
      </c>
    </row>
    <row r="417" spans="1:10" x14ac:dyDescent="0.25">
      <c r="A417" s="32" t="s">
        <v>34</v>
      </c>
      <c r="B417" s="32">
        <f t="shared" si="103"/>
        <v>2058</v>
      </c>
      <c r="C417" s="33" t="s">
        <v>51</v>
      </c>
      <c r="D417" s="34" t="s">
        <v>1999</v>
      </c>
      <c r="E417" s="35" t="str">
        <f t="shared" si="99"/>
        <v>PS'!</v>
      </c>
      <c r="F417" s="34" t="str">
        <f t="shared" si="100"/>
        <v>C:\Users\jaime.benazar\Quorum Business Solutions\Ecopetrol Prometeo - Documents\Planning Space Implementation\3. Analysis &amp; Design\Design\FC22\DRR Jaime\QUIFA-CAJÚA\Cajua\[CAJUA_CF_SEC_New_27-Feb-2024Rev3.xlsx]D-PS'!</v>
      </c>
      <c r="G417" s="32" t="s">
        <v>59</v>
      </c>
      <c r="H417" s="33">
        <f t="shared" si="101"/>
        <v>47</v>
      </c>
      <c r="I417" s="33" t="str">
        <f t="shared" si="102"/>
        <v>='C:\Users\jaime.benazar\Quorum Business Solutions\Ecopetrol Prometeo - Documents\Planning Space Implementation\3. Analysis &amp; Design\Design\FC22\DRR Jaime\QUIFA-CAJÚA\Cajua\[CAJUA_CF_SEC_New_27-Feb-2024Rev3.xlsx]D-PS'!$BB$47</v>
      </c>
      <c r="J417" s="37" t="s">
        <v>2183</v>
      </c>
    </row>
    <row r="418" spans="1:10" x14ac:dyDescent="0.25">
      <c r="A418" s="32" t="s">
        <v>34</v>
      </c>
      <c r="B418" s="32">
        <f t="shared" si="103"/>
        <v>2059</v>
      </c>
      <c r="C418" s="33" t="s">
        <v>51</v>
      </c>
      <c r="D418" s="34" t="s">
        <v>1999</v>
      </c>
      <c r="E418" s="35" t="str">
        <f t="shared" si="99"/>
        <v>PS'!</v>
      </c>
      <c r="F418" s="34" t="str">
        <f t="shared" si="100"/>
        <v>C:\Users\jaime.benazar\Quorum Business Solutions\Ecopetrol Prometeo - Documents\Planning Space Implementation\3. Analysis &amp; Design\Design\FC22\DRR Jaime\QUIFA-CAJÚA\Cajua\[CAJUA_CF_SEC_New_27-Feb-2024Rev3.xlsx]D-PS'!</v>
      </c>
      <c r="G418" s="32" t="s">
        <v>59</v>
      </c>
      <c r="H418" s="33">
        <f t="shared" si="101"/>
        <v>48</v>
      </c>
      <c r="I418" s="33" t="str">
        <f t="shared" si="102"/>
        <v>='C:\Users\jaime.benazar\Quorum Business Solutions\Ecopetrol Prometeo - Documents\Planning Space Implementation\3. Analysis &amp; Design\Design\FC22\DRR Jaime\QUIFA-CAJÚA\Cajua\[CAJUA_CF_SEC_New_27-Feb-2024Rev3.xlsx]D-PS'!$BB$48</v>
      </c>
      <c r="J418" s="37" t="s">
        <v>2184</v>
      </c>
    </row>
    <row r="419" spans="1:10" x14ac:dyDescent="0.25">
      <c r="A419" s="32" t="s">
        <v>28</v>
      </c>
      <c r="B419" s="32"/>
      <c r="C419" s="33" t="s">
        <v>51</v>
      </c>
      <c r="D419" s="34"/>
      <c r="E419" s="35"/>
      <c r="F419" s="34"/>
      <c r="G419" s="32"/>
      <c r="H419" s="33"/>
      <c r="I419" s="33"/>
      <c r="J419" s="33"/>
    </row>
    <row r="420" spans="1:10" x14ac:dyDescent="0.25">
      <c r="A420" s="32" t="s">
        <v>1</v>
      </c>
      <c r="B420" s="32">
        <v>2023</v>
      </c>
      <c r="C420" s="33" t="s">
        <v>8</v>
      </c>
      <c r="D420" s="34" t="s">
        <v>1999</v>
      </c>
      <c r="E420" s="35" t="str">
        <f>_xlfn.CONCAT(A420,"'!")</f>
        <v>PDP'!</v>
      </c>
      <c r="F420" s="34" t="str">
        <f>_xlfn.CONCAT(D420:E420)</f>
        <v>C:\Users\jaime.benazar\Quorum Business Solutions\Ecopetrol Prometeo - Documents\Planning Space Implementation\3. Analysis &amp; Design\Design\FC22\DRR Jaime\QUIFA-CAJÚA\Cajua\[CAJUA_CF_SEC_New_27-Feb-2024Rev3.xlsx]D-PDP'!</v>
      </c>
      <c r="G420" s="32" t="s">
        <v>37</v>
      </c>
      <c r="H420" s="33">
        <v>12</v>
      </c>
      <c r="I420" s="33" t="str">
        <f>_xlfn.CONCAT("='",F420:H420)</f>
        <v>='C:\Users\jaime.benazar\Quorum Business Solutions\Ecopetrol Prometeo - Documents\Planning Space Implementation\3. Analysis &amp; Design\Design\FC22\DRR Jaime\QUIFA-CAJÚA\Cajua\[CAJUA_CF_SEC_New_27-Feb-2024Rev3.xlsx]D-PDP'!$BW$12</v>
      </c>
      <c r="J420" s="37" t="s">
        <v>2185</v>
      </c>
    </row>
    <row r="421" spans="1:10" x14ac:dyDescent="0.25">
      <c r="A421" s="32" t="s">
        <v>1</v>
      </c>
      <c r="B421" s="32">
        <f>+B420+1</f>
        <v>2024</v>
      </c>
      <c r="C421" s="33" t="s">
        <v>8</v>
      </c>
      <c r="D421" s="34" t="s">
        <v>1999</v>
      </c>
      <c r="E421" s="35" t="str">
        <f t="shared" ref="E421:E514" si="104">_xlfn.CONCAT(A421,"'!")</f>
        <v>PDP'!</v>
      </c>
      <c r="F421" s="34" t="str">
        <f t="shared" ref="F421:F514" si="105">_xlfn.CONCAT(D421:E421)</f>
        <v>C:\Users\jaime.benazar\Quorum Business Solutions\Ecopetrol Prometeo - Documents\Planning Space Implementation\3. Analysis &amp; Design\Design\FC22\DRR Jaime\QUIFA-CAJÚA\Cajua\[CAJUA_CF_SEC_New_27-Feb-2024Rev3.xlsx]D-PDP'!</v>
      </c>
      <c r="G421" s="32" t="s">
        <v>37</v>
      </c>
      <c r="H421" s="33">
        <f>IF(A421&lt;&gt;A420,12,H420+1)</f>
        <v>13</v>
      </c>
      <c r="I421" s="33" t="str">
        <f t="shared" ref="I421:I514" si="106">_xlfn.CONCAT("='",F421:H421)</f>
        <v>='C:\Users\jaime.benazar\Quorum Business Solutions\Ecopetrol Prometeo - Documents\Planning Space Implementation\3. Analysis &amp; Design\Design\FC22\DRR Jaime\QUIFA-CAJÚA\Cajua\[CAJUA_CF_SEC_New_27-Feb-2024Rev3.xlsx]D-PDP'!$BW$13</v>
      </c>
      <c r="J421" s="37" t="s">
        <v>2186</v>
      </c>
    </row>
    <row r="422" spans="1:10" x14ac:dyDescent="0.25">
      <c r="A422" s="32" t="s">
        <v>1</v>
      </c>
      <c r="B422" s="32">
        <f t="shared" ref="B422:B433" si="107">+B421+1</f>
        <v>2025</v>
      </c>
      <c r="C422" s="33" t="s">
        <v>8</v>
      </c>
      <c r="D422" s="34" t="s">
        <v>1999</v>
      </c>
      <c r="E422" s="35" t="str">
        <f t="shared" si="104"/>
        <v>PDP'!</v>
      </c>
      <c r="F422" s="34" t="str">
        <f t="shared" si="105"/>
        <v>C:\Users\jaime.benazar\Quorum Business Solutions\Ecopetrol Prometeo - Documents\Planning Space Implementation\3. Analysis &amp; Design\Design\FC22\DRR Jaime\QUIFA-CAJÚA\Cajua\[CAJUA_CF_SEC_New_27-Feb-2024Rev3.xlsx]D-PDP'!</v>
      </c>
      <c r="G422" s="32" t="s">
        <v>37</v>
      </c>
      <c r="H422" s="33">
        <f t="shared" ref="H422:H440" si="108">IF(A422&lt;&gt;A421,12,H421+1)</f>
        <v>14</v>
      </c>
      <c r="I422" s="33" t="str">
        <f t="shared" si="106"/>
        <v>='C:\Users\jaime.benazar\Quorum Business Solutions\Ecopetrol Prometeo - Documents\Planning Space Implementation\3. Analysis &amp; Design\Design\FC22\DRR Jaime\QUIFA-CAJÚA\Cajua\[CAJUA_CF_SEC_New_27-Feb-2024Rev3.xlsx]D-PDP'!$BW$14</v>
      </c>
      <c r="J422" s="37" t="s">
        <v>2187</v>
      </c>
    </row>
    <row r="423" spans="1:10" x14ac:dyDescent="0.25">
      <c r="A423" s="32" t="s">
        <v>1</v>
      </c>
      <c r="B423" s="32">
        <f t="shared" si="107"/>
        <v>2026</v>
      </c>
      <c r="C423" s="33" t="s">
        <v>8</v>
      </c>
      <c r="D423" s="34" t="s">
        <v>1999</v>
      </c>
      <c r="E423" s="35" t="str">
        <f t="shared" si="104"/>
        <v>PDP'!</v>
      </c>
      <c r="F423" s="34" t="str">
        <f t="shared" si="105"/>
        <v>C:\Users\jaime.benazar\Quorum Business Solutions\Ecopetrol Prometeo - Documents\Planning Space Implementation\3. Analysis &amp; Design\Design\FC22\DRR Jaime\QUIFA-CAJÚA\Cajua\[CAJUA_CF_SEC_New_27-Feb-2024Rev3.xlsx]D-PDP'!</v>
      </c>
      <c r="G423" s="32" t="s">
        <v>37</v>
      </c>
      <c r="H423" s="33">
        <f t="shared" si="108"/>
        <v>15</v>
      </c>
      <c r="I423" s="33" t="str">
        <f t="shared" si="106"/>
        <v>='C:\Users\jaime.benazar\Quorum Business Solutions\Ecopetrol Prometeo - Documents\Planning Space Implementation\3. Analysis &amp; Design\Design\FC22\DRR Jaime\QUIFA-CAJÚA\Cajua\[CAJUA_CF_SEC_New_27-Feb-2024Rev3.xlsx]D-PDP'!$BW$15</v>
      </c>
      <c r="J423" s="37" t="s">
        <v>2188</v>
      </c>
    </row>
    <row r="424" spans="1:10" x14ac:dyDescent="0.25">
      <c r="A424" s="32" t="s">
        <v>1</v>
      </c>
      <c r="B424" s="32">
        <f t="shared" si="107"/>
        <v>2027</v>
      </c>
      <c r="C424" s="33" t="s">
        <v>8</v>
      </c>
      <c r="D424" s="34" t="s">
        <v>1999</v>
      </c>
      <c r="E424" s="35" t="str">
        <f t="shared" si="104"/>
        <v>PDP'!</v>
      </c>
      <c r="F424" s="34" t="str">
        <f t="shared" si="105"/>
        <v>C:\Users\jaime.benazar\Quorum Business Solutions\Ecopetrol Prometeo - Documents\Planning Space Implementation\3. Analysis &amp; Design\Design\FC22\DRR Jaime\QUIFA-CAJÚA\Cajua\[CAJUA_CF_SEC_New_27-Feb-2024Rev3.xlsx]D-PDP'!</v>
      </c>
      <c r="G424" s="32" t="s">
        <v>37</v>
      </c>
      <c r="H424" s="33">
        <f t="shared" si="108"/>
        <v>16</v>
      </c>
      <c r="I424" s="33" t="str">
        <f t="shared" si="106"/>
        <v>='C:\Users\jaime.benazar\Quorum Business Solutions\Ecopetrol Prometeo - Documents\Planning Space Implementation\3. Analysis &amp; Design\Design\FC22\DRR Jaime\QUIFA-CAJÚA\Cajua\[CAJUA_CF_SEC_New_27-Feb-2024Rev3.xlsx]D-PDP'!$BW$16</v>
      </c>
      <c r="J424" s="37" t="s">
        <v>2189</v>
      </c>
    </row>
    <row r="425" spans="1:10" x14ac:dyDescent="0.25">
      <c r="A425" s="32" t="s">
        <v>1</v>
      </c>
      <c r="B425" s="32">
        <f t="shared" si="107"/>
        <v>2028</v>
      </c>
      <c r="C425" s="33" t="s">
        <v>8</v>
      </c>
      <c r="D425" s="34" t="s">
        <v>1999</v>
      </c>
      <c r="E425" s="35" t="str">
        <f t="shared" si="104"/>
        <v>PDP'!</v>
      </c>
      <c r="F425" s="34" t="str">
        <f t="shared" si="105"/>
        <v>C:\Users\jaime.benazar\Quorum Business Solutions\Ecopetrol Prometeo - Documents\Planning Space Implementation\3. Analysis &amp; Design\Design\FC22\DRR Jaime\QUIFA-CAJÚA\Cajua\[CAJUA_CF_SEC_New_27-Feb-2024Rev3.xlsx]D-PDP'!</v>
      </c>
      <c r="G425" s="32" t="s">
        <v>37</v>
      </c>
      <c r="H425" s="33">
        <f t="shared" si="108"/>
        <v>17</v>
      </c>
      <c r="I425" s="33" t="str">
        <f t="shared" si="106"/>
        <v>='C:\Users\jaime.benazar\Quorum Business Solutions\Ecopetrol Prometeo - Documents\Planning Space Implementation\3. Analysis &amp; Design\Design\FC22\DRR Jaime\QUIFA-CAJÚA\Cajua\[CAJUA_CF_SEC_New_27-Feb-2024Rev3.xlsx]D-PDP'!$BW$17</v>
      </c>
      <c r="J425" s="37" t="s">
        <v>2190</v>
      </c>
    </row>
    <row r="426" spans="1:10" x14ac:dyDescent="0.25">
      <c r="A426" s="32" t="s">
        <v>1</v>
      </c>
      <c r="B426" s="32">
        <f t="shared" si="107"/>
        <v>2029</v>
      </c>
      <c r="C426" s="33" t="s">
        <v>8</v>
      </c>
      <c r="D426" s="34" t="s">
        <v>1999</v>
      </c>
      <c r="E426" s="35" t="str">
        <f t="shared" si="104"/>
        <v>PDP'!</v>
      </c>
      <c r="F426" s="34" t="str">
        <f t="shared" si="105"/>
        <v>C:\Users\jaime.benazar\Quorum Business Solutions\Ecopetrol Prometeo - Documents\Planning Space Implementation\3. Analysis &amp; Design\Design\FC22\DRR Jaime\QUIFA-CAJÚA\Cajua\[CAJUA_CF_SEC_New_27-Feb-2024Rev3.xlsx]D-PDP'!</v>
      </c>
      <c r="G426" s="32" t="s">
        <v>37</v>
      </c>
      <c r="H426" s="33">
        <f t="shared" si="108"/>
        <v>18</v>
      </c>
      <c r="I426" s="33" t="str">
        <f t="shared" si="106"/>
        <v>='C:\Users\jaime.benazar\Quorum Business Solutions\Ecopetrol Prometeo - Documents\Planning Space Implementation\3. Analysis &amp; Design\Design\FC22\DRR Jaime\QUIFA-CAJÚA\Cajua\[CAJUA_CF_SEC_New_27-Feb-2024Rev3.xlsx]D-PDP'!$BW$18</v>
      </c>
      <c r="J426" s="37" t="s">
        <v>2191</v>
      </c>
    </row>
    <row r="427" spans="1:10" x14ac:dyDescent="0.25">
      <c r="A427" s="32" t="s">
        <v>1</v>
      </c>
      <c r="B427" s="32">
        <f t="shared" si="107"/>
        <v>2030</v>
      </c>
      <c r="C427" s="33" t="s">
        <v>8</v>
      </c>
      <c r="D427" s="34" t="s">
        <v>1999</v>
      </c>
      <c r="E427" s="35" t="str">
        <f t="shared" si="104"/>
        <v>PDP'!</v>
      </c>
      <c r="F427" s="34" t="str">
        <f t="shared" si="105"/>
        <v>C:\Users\jaime.benazar\Quorum Business Solutions\Ecopetrol Prometeo - Documents\Planning Space Implementation\3. Analysis &amp; Design\Design\FC22\DRR Jaime\QUIFA-CAJÚA\Cajua\[CAJUA_CF_SEC_New_27-Feb-2024Rev3.xlsx]D-PDP'!</v>
      </c>
      <c r="G427" s="32" t="s">
        <v>37</v>
      </c>
      <c r="H427" s="33">
        <f t="shared" si="108"/>
        <v>19</v>
      </c>
      <c r="I427" s="33" t="str">
        <f t="shared" si="106"/>
        <v>='C:\Users\jaime.benazar\Quorum Business Solutions\Ecopetrol Prometeo - Documents\Planning Space Implementation\3. Analysis &amp; Design\Design\FC22\DRR Jaime\QUIFA-CAJÚA\Cajua\[CAJUA_CF_SEC_New_27-Feb-2024Rev3.xlsx]D-PDP'!$BW$19</v>
      </c>
      <c r="J427" s="37" t="s">
        <v>2192</v>
      </c>
    </row>
    <row r="428" spans="1:10" x14ac:dyDescent="0.25">
      <c r="A428" s="32" t="s">
        <v>1</v>
      </c>
      <c r="B428" s="32">
        <f t="shared" si="107"/>
        <v>2031</v>
      </c>
      <c r="C428" s="33" t="s">
        <v>8</v>
      </c>
      <c r="D428" s="34" t="s">
        <v>1999</v>
      </c>
      <c r="E428" s="35" t="str">
        <f t="shared" si="104"/>
        <v>PDP'!</v>
      </c>
      <c r="F428" s="34" t="str">
        <f t="shared" si="105"/>
        <v>C:\Users\jaime.benazar\Quorum Business Solutions\Ecopetrol Prometeo - Documents\Planning Space Implementation\3. Analysis &amp; Design\Design\FC22\DRR Jaime\QUIFA-CAJÚA\Cajua\[CAJUA_CF_SEC_New_27-Feb-2024Rev3.xlsx]D-PDP'!</v>
      </c>
      <c r="G428" s="32" t="s">
        <v>37</v>
      </c>
      <c r="H428" s="33">
        <f t="shared" si="108"/>
        <v>20</v>
      </c>
      <c r="I428" s="33" t="str">
        <f t="shared" si="106"/>
        <v>='C:\Users\jaime.benazar\Quorum Business Solutions\Ecopetrol Prometeo - Documents\Planning Space Implementation\3. Analysis &amp; Design\Design\FC22\DRR Jaime\QUIFA-CAJÚA\Cajua\[CAJUA_CF_SEC_New_27-Feb-2024Rev3.xlsx]D-PDP'!$BW$20</v>
      </c>
      <c r="J428" s="37" t="s">
        <v>2193</v>
      </c>
    </row>
    <row r="429" spans="1:10" x14ac:dyDescent="0.25">
      <c r="A429" s="32" t="s">
        <v>1</v>
      </c>
      <c r="B429" s="32">
        <f t="shared" si="107"/>
        <v>2032</v>
      </c>
      <c r="C429" s="33" t="s">
        <v>8</v>
      </c>
      <c r="D429" s="34" t="s">
        <v>1999</v>
      </c>
      <c r="E429" s="35" t="str">
        <f t="shared" si="104"/>
        <v>PDP'!</v>
      </c>
      <c r="F429" s="34" t="str">
        <f t="shared" si="105"/>
        <v>C:\Users\jaime.benazar\Quorum Business Solutions\Ecopetrol Prometeo - Documents\Planning Space Implementation\3. Analysis &amp; Design\Design\FC22\DRR Jaime\QUIFA-CAJÚA\Cajua\[CAJUA_CF_SEC_New_27-Feb-2024Rev3.xlsx]D-PDP'!</v>
      </c>
      <c r="G429" s="32" t="s">
        <v>37</v>
      </c>
      <c r="H429" s="33">
        <f t="shared" si="108"/>
        <v>21</v>
      </c>
      <c r="I429" s="33" t="str">
        <f t="shared" si="106"/>
        <v>='C:\Users\jaime.benazar\Quorum Business Solutions\Ecopetrol Prometeo - Documents\Planning Space Implementation\3. Analysis &amp; Design\Design\FC22\DRR Jaime\QUIFA-CAJÚA\Cajua\[CAJUA_CF_SEC_New_27-Feb-2024Rev3.xlsx]D-PDP'!$BW$21</v>
      </c>
      <c r="J429" s="37" t="s">
        <v>2194</v>
      </c>
    </row>
    <row r="430" spans="1:10" x14ac:dyDescent="0.25">
      <c r="A430" s="32" t="s">
        <v>1</v>
      </c>
      <c r="B430" s="32">
        <f t="shared" si="107"/>
        <v>2033</v>
      </c>
      <c r="C430" s="33" t="s">
        <v>8</v>
      </c>
      <c r="D430" s="34" t="s">
        <v>1999</v>
      </c>
      <c r="E430" s="35" t="str">
        <f t="shared" si="104"/>
        <v>PDP'!</v>
      </c>
      <c r="F430" s="34" t="str">
        <f t="shared" si="105"/>
        <v>C:\Users\jaime.benazar\Quorum Business Solutions\Ecopetrol Prometeo - Documents\Planning Space Implementation\3. Analysis &amp; Design\Design\FC22\DRR Jaime\QUIFA-CAJÚA\Cajua\[CAJUA_CF_SEC_New_27-Feb-2024Rev3.xlsx]D-PDP'!</v>
      </c>
      <c r="G430" s="32" t="s">
        <v>37</v>
      </c>
      <c r="H430" s="33">
        <f t="shared" si="108"/>
        <v>22</v>
      </c>
      <c r="I430" s="33" t="str">
        <f t="shared" si="106"/>
        <v>='C:\Users\jaime.benazar\Quorum Business Solutions\Ecopetrol Prometeo - Documents\Planning Space Implementation\3. Analysis &amp; Design\Design\FC22\DRR Jaime\QUIFA-CAJÚA\Cajua\[CAJUA_CF_SEC_New_27-Feb-2024Rev3.xlsx]D-PDP'!$BW$22</v>
      </c>
      <c r="J430" s="37" t="s">
        <v>2195</v>
      </c>
    </row>
    <row r="431" spans="1:10" x14ac:dyDescent="0.25">
      <c r="A431" s="32" t="s">
        <v>1</v>
      </c>
      <c r="B431" s="32">
        <f t="shared" si="107"/>
        <v>2034</v>
      </c>
      <c r="C431" s="33" t="s">
        <v>8</v>
      </c>
      <c r="D431" s="34" t="s">
        <v>1999</v>
      </c>
      <c r="E431" s="35" t="str">
        <f t="shared" si="104"/>
        <v>PDP'!</v>
      </c>
      <c r="F431" s="34" t="str">
        <f t="shared" si="105"/>
        <v>C:\Users\jaime.benazar\Quorum Business Solutions\Ecopetrol Prometeo - Documents\Planning Space Implementation\3. Analysis &amp; Design\Design\FC22\DRR Jaime\QUIFA-CAJÚA\Cajua\[CAJUA_CF_SEC_New_27-Feb-2024Rev3.xlsx]D-PDP'!</v>
      </c>
      <c r="G431" s="32" t="s">
        <v>37</v>
      </c>
      <c r="H431" s="33">
        <f t="shared" si="108"/>
        <v>23</v>
      </c>
      <c r="I431" s="33" t="str">
        <f t="shared" si="106"/>
        <v>='C:\Users\jaime.benazar\Quorum Business Solutions\Ecopetrol Prometeo - Documents\Planning Space Implementation\3. Analysis &amp; Design\Design\FC22\DRR Jaime\QUIFA-CAJÚA\Cajua\[CAJUA_CF_SEC_New_27-Feb-2024Rev3.xlsx]D-PDP'!$BW$23</v>
      </c>
      <c r="J431" s="37" t="s">
        <v>2196</v>
      </c>
    </row>
    <row r="432" spans="1:10" x14ac:dyDescent="0.25">
      <c r="A432" s="32" t="s">
        <v>1</v>
      </c>
      <c r="B432" s="32">
        <f t="shared" si="107"/>
        <v>2035</v>
      </c>
      <c r="C432" s="33" t="s">
        <v>8</v>
      </c>
      <c r="D432" s="34" t="s">
        <v>1999</v>
      </c>
      <c r="E432" s="35" t="str">
        <f t="shared" si="104"/>
        <v>PDP'!</v>
      </c>
      <c r="F432" s="34" t="str">
        <f t="shared" si="105"/>
        <v>C:\Users\jaime.benazar\Quorum Business Solutions\Ecopetrol Prometeo - Documents\Planning Space Implementation\3. Analysis &amp; Design\Design\FC22\DRR Jaime\QUIFA-CAJÚA\Cajua\[CAJUA_CF_SEC_New_27-Feb-2024Rev3.xlsx]D-PDP'!</v>
      </c>
      <c r="G432" s="32" t="s">
        <v>37</v>
      </c>
      <c r="H432" s="33">
        <f t="shared" si="108"/>
        <v>24</v>
      </c>
      <c r="I432" s="33" t="str">
        <f t="shared" si="106"/>
        <v>='C:\Users\jaime.benazar\Quorum Business Solutions\Ecopetrol Prometeo - Documents\Planning Space Implementation\3. Analysis &amp; Design\Design\FC22\DRR Jaime\QUIFA-CAJÚA\Cajua\[CAJUA_CF_SEC_New_27-Feb-2024Rev3.xlsx]D-PDP'!$BW$24</v>
      </c>
      <c r="J432" s="37" t="s">
        <v>2197</v>
      </c>
    </row>
    <row r="433" spans="1:10" x14ac:dyDescent="0.25">
      <c r="A433" s="32" t="s">
        <v>1</v>
      </c>
      <c r="B433" s="32">
        <f t="shared" si="107"/>
        <v>2036</v>
      </c>
      <c r="C433" s="33" t="s">
        <v>8</v>
      </c>
      <c r="D433" s="34" t="s">
        <v>1999</v>
      </c>
      <c r="E433" s="35" t="str">
        <f t="shared" si="104"/>
        <v>PDP'!</v>
      </c>
      <c r="F433" s="34" t="str">
        <f t="shared" si="105"/>
        <v>C:\Users\jaime.benazar\Quorum Business Solutions\Ecopetrol Prometeo - Documents\Planning Space Implementation\3. Analysis &amp; Design\Design\FC22\DRR Jaime\QUIFA-CAJÚA\Cajua\[CAJUA_CF_SEC_New_27-Feb-2024Rev3.xlsx]D-PDP'!</v>
      </c>
      <c r="G433" s="32" t="s">
        <v>37</v>
      </c>
      <c r="H433" s="33">
        <f t="shared" si="108"/>
        <v>25</v>
      </c>
      <c r="I433" s="33" t="str">
        <f t="shared" si="106"/>
        <v>='C:\Users\jaime.benazar\Quorum Business Solutions\Ecopetrol Prometeo - Documents\Planning Space Implementation\3. Analysis &amp; Design\Design\FC22\DRR Jaime\QUIFA-CAJÚA\Cajua\[CAJUA_CF_SEC_New_27-Feb-2024Rev3.xlsx]D-PDP'!$BW$25</v>
      </c>
      <c r="J433" s="37" t="s">
        <v>2198</v>
      </c>
    </row>
    <row r="434" spans="1:10" x14ac:dyDescent="0.25">
      <c r="A434" s="32" t="s">
        <v>1</v>
      </c>
      <c r="B434" s="32">
        <f>+B433+1</f>
        <v>2037</v>
      </c>
      <c r="C434" s="33" t="s">
        <v>8</v>
      </c>
      <c r="D434" s="34" t="s">
        <v>1999</v>
      </c>
      <c r="E434" s="35" t="str">
        <f t="shared" si="104"/>
        <v>PDP'!</v>
      </c>
      <c r="F434" s="34" t="str">
        <f t="shared" si="105"/>
        <v>C:\Users\jaime.benazar\Quorum Business Solutions\Ecopetrol Prometeo - Documents\Planning Space Implementation\3. Analysis &amp; Design\Design\FC22\DRR Jaime\QUIFA-CAJÚA\Cajua\[CAJUA_CF_SEC_New_27-Feb-2024Rev3.xlsx]D-PDP'!</v>
      </c>
      <c r="G434" s="32" t="s">
        <v>37</v>
      </c>
      <c r="H434" s="33">
        <f t="shared" si="108"/>
        <v>26</v>
      </c>
      <c r="I434" s="33" t="str">
        <f t="shared" si="106"/>
        <v>='C:\Users\jaime.benazar\Quorum Business Solutions\Ecopetrol Prometeo - Documents\Planning Space Implementation\3. Analysis &amp; Design\Design\FC22\DRR Jaime\QUIFA-CAJÚA\Cajua\[CAJUA_CF_SEC_New_27-Feb-2024Rev3.xlsx]D-PDP'!$BW$26</v>
      </c>
      <c r="J434" s="37" t="s">
        <v>2199</v>
      </c>
    </row>
    <row r="435" spans="1:10" x14ac:dyDescent="0.25">
      <c r="A435" s="32" t="s">
        <v>1</v>
      </c>
      <c r="B435" s="32">
        <f t="shared" ref="B435:B437" si="109">+B434+1</f>
        <v>2038</v>
      </c>
      <c r="C435" s="33" t="s">
        <v>8</v>
      </c>
      <c r="D435" s="34" t="s">
        <v>1999</v>
      </c>
      <c r="E435" s="35" t="str">
        <f t="shared" si="104"/>
        <v>PDP'!</v>
      </c>
      <c r="F435" s="34" t="str">
        <f t="shared" si="105"/>
        <v>C:\Users\jaime.benazar\Quorum Business Solutions\Ecopetrol Prometeo - Documents\Planning Space Implementation\3. Analysis &amp; Design\Design\FC22\DRR Jaime\QUIFA-CAJÚA\Cajua\[CAJUA_CF_SEC_New_27-Feb-2024Rev3.xlsx]D-PDP'!</v>
      </c>
      <c r="G435" s="32" t="s">
        <v>37</v>
      </c>
      <c r="H435" s="33">
        <f t="shared" si="108"/>
        <v>27</v>
      </c>
      <c r="I435" s="33" t="str">
        <f t="shared" si="106"/>
        <v>='C:\Users\jaime.benazar\Quorum Business Solutions\Ecopetrol Prometeo - Documents\Planning Space Implementation\3. Analysis &amp; Design\Design\FC22\DRR Jaime\QUIFA-CAJÚA\Cajua\[CAJUA_CF_SEC_New_27-Feb-2024Rev3.xlsx]D-PDP'!$BW$27</v>
      </c>
      <c r="J435" s="37" t="s">
        <v>2200</v>
      </c>
    </row>
    <row r="436" spans="1:10" x14ac:dyDescent="0.25">
      <c r="A436" s="32" t="s">
        <v>1</v>
      </c>
      <c r="B436" s="32">
        <f t="shared" si="109"/>
        <v>2039</v>
      </c>
      <c r="C436" s="33" t="s">
        <v>8</v>
      </c>
      <c r="D436" s="34" t="s">
        <v>1999</v>
      </c>
      <c r="E436" s="35" t="str">
        <f t="shared" si="104"/>
        <v>PDP'!</v>
      </c>
      <c r="F436" s="34" t="str">
        <f t="shared" si="105"/>
        <v>C:\Users\jaime.benazar\Quorum Business Solutions\Ecopetrol Prometeo - Documents\Planning Space Implementation\3. Analysis &amp; Design\Design\FC22\DRR Jaime\QUIFA-CAJÚA\Cajua\[CAJUA_CF_SEC_New_27-Feb-2024Rev3.xlsx]D-PDP'!</v>
      </c>
      <c r="G436" s="32" t="s">
        <v>37</v>
      </c>
      <c r="H436" s="33">
        <f t="shared" si="108"/>
        <v>28</v>
      </c>
      <c r="I436" s="33" t="str">
        <f t="shared" si="106"/>
        <v>='C:\Users\jaime.benazar\Quorum Business Solutions\Ecopetrol Prometeo - Documents\Planning Space Implementation\3. Analysis &amp; Design\Design\FC22\DRR Jaime\QUIFA-CAJÚA\Cajua\[CAJUA_CF_SEC_New_27-Feb-2024Rev3.xlsx]D-PDP'!$BW$28</v>
      </c>
      <c r="J436" s="37" t="s">
        <v>2201</v>
      </c>
    </row>
    <row r="437" spans="1:10" x14ac:dyDescent="0.25">
      <c r="A437" s="32" t="s">
        <v>1</v>
      </c>
      <c r="B437" s="32">
        <f t="shared" si="109"/>
        <v>2040</v>
      </c>
      <c r="C437" s="33" t="s">
        <v>8</v>
      </c>
      <c r="D437" s="34" t="s">
        <v>1999</v>
      </c>
      <c r="E437" s="35" t="str">
        <f t="shared" si="104"/>
        <v>PDP'!</v>
      </c>
      <c r="F437" s="34" t="str">
        <f t="shared" si="105"/>
        <v>C:\Users\jaime.benazar\Quorum Business Solutions\Ecopetrol Prometeo - Documents\Planning Space Implementation\3. Analysis &amp; Design\Design\FC22\DRR Jaime\QUIFA-CAJÚA\Cajua\[CAJUA_CF_SEC_New_27-Feb-2024Rev3.xlsx]D-PDP'!</v>
      </c>
      <c r="G437" s="32" t="s">
        <v>37</v>
      </c>
      <c r="H437" s="33">
        <f t="shared" si="108"/>
        <v>29</v>
      </c>
      <c r="I437" s="33" t="str">
        <f t="shared" si="106"/>
        <v>='C:\Users\jaime.benazar\Quorum Business Solutions\Ecopetrol Prometeo - Documents\Planning Space Implementation\3. Analysis &amp; Design\Design\FC22\DRR Jaime\QUIFA-CAJÚA\Cajua\[CAJUA_CF_SEC_New_27-Feb-2024Rev3.xlsx]D-PDP'!$BW$29</v>
      </c>
      <c r="J437" s="37" t="s">
        <v>2202</v>
      </c>
    </row>
    <row r="438" spans="1:10" x14ac:dyDescent="0.25">
      <c r="A438" s="32" t="s">
        <v>1</v>
      </c>
      <c r="B438" s="32">
        <f>+B437+1</f>
        <v>2041</v>
      </c>
      <c r="C438" s="33" t="s">
        <v>8</v>
      </c>
      <c r="D438" s="34" t="s">
        <v>1999</v>
      </c>
      <c r="E438" s="35" t="str">
        <f t="shared" si="104"/>
        <v>PDP'!</v>
      </c>
      <c r="F438" s="34" t="str">
        <f t="shared" si="105"/>
        <v>C:\Users\jaime.benazar\Quorum Business Solutions\Ecopetrol Prometeo - Documents\Planning Space Implementation\3. Analysis &amp; Design\Design\FC22\DRR Jaime\QUIFA-CAJÚA\Cajua\[CAJUA_CF_SEC_New_27-Feb-2024Rev3.xlsx]D-PDP'!</v>
      </c>
      <c r="G438" s="32" t="s">
        <v>37</v>
      </c>
      <c r="H438" s="33">
        <f t="shared" si="108"/>
        <v>30</v>
      </c>
      <c r="I438" s="33" t="str">
        <f t="shared" si="106"/>
        <v>='C:\Users\jaime.benazar\Quorum Business Solutions\Ecopetrol Prometeo - Documents\Planning Space Implementation\3. Analysis &amp; Design\Design\FC22\DRR Jaime\QUIFA-CAJÚA\Cajua\[CAJUA_CF_SEC_New_27-Feb-2024Rev3.xlsx]D-PDP'!$BW$30</v>
      </c>
      <c r="J438" s="37" t="s">
        <v>2203</v>
      </c>
    </row>
    <row r="439" spans="1:10" x14ac:dyDescent="0.25">
      <c r="A439" s="32" t="s">
        <v>1</v>
      </c>
      <c r="B439" s="32">
        <f t="shared" ref="B439:B440" si="110">+B438+1</f>
        <v>2042</v>
      </c>
      <c r="C439" s="33" t="s">
        <v>8</v>
      </c>
      <c r="D439" s="34" t="s">
        <v>1999</v>
      </c>
      <c r="E439" s="35" t="str">
        <f t="shared" si="104"/>
        <v>PDP'!</v>
      </c>
      <c r="F439" s="34" t="str">
        <f t="shared" si="105"/>
        <v>C:\Users\jaime.benazar\Quorum Business Solutions\Ecopetrol Prometeo - Documents\Planning Space Implementation\3. Analysis &amp; Design\Design\FC22\DRR Jaime\QUIFA-CAJÚA\Cajua\[CAJUA_CF_SEC_New_27-Feb-2024Rev3.xlsx]D-PDP'!</v>
      </c>
      <c r="G439" s="32" t="s">
        <v>37</v>
      </c>
      <c r="H439" s="33">
        <f t="shared" si="108"/>
        <v>31</v>
      </c>
      <c r="I439" s="33" t="str">
        <f t="shared" si="106"/>
        <v>='C:\Users\jaime.benazar\Quorum Business Solutions\Ecopetrol Prometeo - Documents\Planning Space Implementation\3. Analysis &amp; Design\Design\FC22\DRR Jaime\QUIFA-CAJÚA\Cajua\[CAJUA_CF_SEC_New_27-Feb-2024Rev3.xlsx]D-PDP'!$BW$31</v>
      </c>
      <c r="J439" s="37" t="s">
        <v>2204</v>
      </c>
    </row>
    <row r="440" spans="1:10" x14ac:dyDescent="0.25">
      <c r="A440" s="32" t="s">
        <v>1</v>
      </c>
      <c r="B440" s="32">
        <f t="shared" si="110"/>
        <v>2043</v>
      </c>
      <c r="C440" s="33" t="s">
        <v>8</v>
      </c>
      <c r="D440" s="34" t="s">
        <v>1999</v>
      </c>
      <c r="E440" s="35" t="str">
        <f t="shared" si="104"/>
        <v>PDP'!</v>
      </c>
      <c r="F440" s="34" t="str">
        <f t="shared" si="105"/>
        <v>C:\Users\jaime.benazar\Quorum Business Solutions\Ecopetrol Prometeo - Documents\Planning Space Implementation\3. Analysis &amp; Design\Design\FC22\DRR Jaime\QUIFA-CAJÚA\Cajua\[CAJUA_CF_SEC_New_27-Feb-2024Rev3.xlsx]D-PDP'!</v>
      </c>
      <c r="G440" s="32" t="s">
        <v>37</v>
      </c>
      <c r="H440" s="33">
        <f t="shared" si="108"/>
        <v>32</v>
      </c>
      <c r="I440" s="33" t="str">
        <f t="shared" si="106"/>
        <v>='C:\Users\jaime.benazar\Quorum Business Solutions\Ecopetrol Prometeo - Documents\Planning Space Implementation\3. Analysis &amp; Design\Design\FC22\DRR Jaime\QUIFA-CAJÚA\Cajua\[CAJUA_CF_SEC_New_27-Feb-2024Rev3.xlsx]D-PDP'!$BW$32</v>
      </c>
      <c r="J440" s="37" t="s">
        <v>2205</v>
      </c>
    </row>
    <row r="441" spans="1:10" x14ac:dyDescent="0.25">
      <c r="A441" s="32" t="s">
        <v>1</v>
      </c>
      <c r="B441" s="32">
        <f>+B440+1</f>
        <v>2044</v>
      </c>
      <c r="C441" s="33" t="s">
        <v>8</v>
      </c>
      <c r="D441" s="34" t="s">
        <v>1999</v>
      </c>
      <c r="E441" s="35" t="str">
        <f t="shared" ref="E441:E456" si="111">_xlfn.CONCAT(A441,"'!")</f>
        <v>PDP'!</v>
      </c>
      <c r="F441" s="34" t="str">
        <f t="shared" ref="F441:F456" si="112">_xlfn.CONCAT(D441:E441)</f>
        <v>C:\Users\jaime.benazar\Quorum Business Solutions\Ecopetrol Prometeo - Documents\Planning Space Implementation\3. Analysis &amp; Design\Design\FC22\DRR Jaime\QUIFA-CAJÚA\Cajua\[CAJUA_CF_SEC_New_27-Feb-2024Rev3.xlsx]D-PDP'!</v>
      </c>
      <c r="G441" s="32" t="s">
        <v>37</v>
      </c>
      <c r="H441" s="33">
        <f t="shared" ref="H441:H456" si="113">IF(A441&lt;&gt;A440,12,H440+1)</f>
        <v>33</v>
      </c>
      <c r="I441" s="33" t="str">
        <f t="shared" ref="I441:I456" si="114">_xlfn.CONCAT("='",F441:H441)</f>
        <v>='C:\Users\jaime.benazar\Quorum Business Solutions\Ecopetrol Prometeo - Documents\Planning Space Implementation\3. Analysis &amp; Design\Design\FC22\DRR Jaime\QUIFA-CAJÚA\Cajua\[CAJUA_CF_SEC_New_27-Feb-2024Rev3.xlsx]D-PDP'!$BW$33</v>
      </c>
      <c r="J441" s="37" t="s">
        <v>2206</v>
      </c>
    </row>
    <row r="442" spans="1:10" x14ac:dyDescent="0.25">
      <c r="A442" s="32" t="s">
        <v>1</v>
      </c>
      <c r="B442" s="32">
        <f t="shared" ref="B442:B456" si="115">+B441+1</f>
        <v>2045</v>
      </c>
      <c r="C442" s="33" t="s">
        <v>8</v>
      </c>
      <c r="D442" s="34" t="s">
        <v>1999</v>
      </c>
      <c r="E442" s="35" t="str">
        <f t="shared" si="111"/>
        <v>PDP'!</v>
      </c>
      <c r="F442" s="34" t="str">
        <f t="shared" si="112"/>
        <v>C:\Users\jaime.benazar\Quorum Business Solutions\Ecopetrol Prometeo - Documents\Planning Space Implementation\3. Analysis &amp; Design\Design\FC22\DRR Jaime\QUIFA-CAJÚA\Cajua\[CAJUA_CF_SEC_New_27-Feb-2024Rev3.xlsx]D-PDP'!</v>
      </c>
      <c r="G442" s="32" t="s">
        <v>37</v>
      </c>
      <c r="H442" s="33">
        <f t="shared" si="113"/>
        <v>34</v>
      </c>
      <c r="I442" s="33" t="str">
        <f t="shared" si="114"/>
        <v>='C:\Users\jaime.benazar\Quorum Business Solutions\Ecopetrol Prometeo - Documents\Planning Space Implementation\3. Analysis &amp; Design\Design\FC22\DRR Jaime\QUIFA-CAJÚA\Cajua\[CAJUA_CF_SEC_New_27-Feb-2024Rev3.xlsx]D-PDP'!$BW$34</v>
      </c>
      <c r="J442" s="37" t="s">
        <v>2207</v>
      </c>
    </row>
    <row r="443" spans="1:10" x14ac:dyDescent="0.25">
      <c r="A443" s="32" t="s">
        <v>1</v>
      </c>
      <c r="B443" s="32">
        <f t="shared" si="115"/>
        <v>2046</v>
      </c>
      <c r="C443" s="33" t="s">
        <v>8</v>
      </c>
      <c r="D443" s="34" t="s">
        <v>1999</v>
      </c>
      <c r="E443" s="35" t="str">
        <f t="shared" si="111"/>
        <v>PDP'!</v>
      </c>
      <c r="F443" s="34" t="str">
        <f t="shared" si="112"/>
        <v>C:\Users\jaime.benazar\Quorum Business Solutions\Ecopetrol Prometeo - Documents\Planning Space Implementation\3. Analysis &amp; Design\Design\FC22\DRR Jaime\QUIFA-CAJÚA\Cajua\[CAJUA_CF_SEC_New_27-Feb-2024Rev3.xlsx]D-PDP'!</v>
      </c>
      <c r="G443" s="32" t="s">
        <v>37</v>
      </c>
      <c r="H443" s="33">
        <f t="shared" si="113"/>
        <v>35</v>
      </c>
      <c r="I443" s="33" t="str">
        <f t="shared" si="114"/>
        <v>='C:\Users\jaime.benazar\Quorum Business Solutions\Ecopetrol Prometeo - Documents\Planning Space Implementation\3. Analysis &amp; Design\Design\FC22\DRR Jaime\QUIFA-CAJÚA\Cajua\[CAJUA_CF_SEC_New_27-Feb-2024Rev3.xlsx]D-PDP'!$BW$35</v>
      </c>
      <c r="J443" s="37" t="s">
        <v>2208</v>
      </c>
    </row>
    <row r="444" spans="1:10" x14ac:dyDescent="0.25">
      <c r="A444" s="32" t="s">
        <v>1</v>
      </c>
      <c r="B444" s="32">
        <f t="shared" si="115"/>
        <v>2047</v>
      </c>
      <c r="C444" s="33" t="s">
        <v>8</v>
      </c>
      <c r="D444" s="34" t="s">
        <v>1999</v>
      </c>
      <c r="E444" s="35" t="str">
        <f t="shared" si="111"/>
        <v>PDP'!</v>
      </c>
      <c r="F444" s="34" t="str">
        <f t="shared" si="112"/>
        <v>C:\Users\jaime.benazar\Quorum Business Solutions\Ecopetrol Prometeo - Documents\Planning Space Implementation\3. Analysis &amp; Design\Design\FC22\DRR Jaime\QUIFA-CAJÚA\Cajua\[CAJUA_CF_SEC_New_27-Feb-2024Rev3.xlsx]D-PDP'!</v>
      </c>
      <c r="G444" s="32" t="s">
        <v>37</v>
      </c>
      <c r="H444" s="33">
        <f t="shared" si="113"/>
        <v>36</v>
      </c>
      <c r="I444" s="33" t="str">
        <f t="shared" si="114"/>
        <v>='C:\Users\jaime.benazar\Quorum Business Solutions\Ecopetrol Prometeo - Documents\Planning Space Implementation\3. Analysis &amp; Design\Design\FC22\DRR Jaime\QUIFA-CAJÚA\Cajua\[CAJUA_CF_SEC_New_27-Feb-2024Rev3.xlsx]D-PDP'!$BW$36</v>
      </c>
      <c r="J444" s="37" t="s">
        <v>2209</v>
      </c>
    </row>
    <row r="445" spans="1:10" x14ac:dyDescent="0.25">
      <c r="A445" s="32" t="s">
        <v>1</v>
      </c>
      <c r="B445" s="32">
        <f t="shared" si="115"/>
        <v>2048</v>
      </c>
      <c r="C445" s="33" t="s">
        <v>8</v>
      </c>
      <c r="D445" s="34" t="s">
        <v>1999</v>
      </c>
      <c r="E445" s="35" t="str">
        <f t="shared" si="111"/>
        <v>PDP'!</v>
      </c>
      <c r="F445" s="34" t="str">
        <f t="shared" si="112"/>
        <v>C:\Users\jaime.benazar\Quorum Business Solutions\Ecopetrol Prometeo - Documents\Planning Space Implementation\3. Analysis &amp; Design\Design\FC22\DRR Jaime\QUIFA-CAJÚA\Cajua\[CAJUA_CF_SEC_New_27-Feb-2024Rev3.xlsx]D-PDP'!</v>
      </c>
      <c r="G445" s="32" t="s">
        <v>37</v>
      </c>
      <c r="H445" s="33">
        <f t="shared" si="113"/>
        <v>37</v>
      </c>
      <c r="I445" s="33" t="str">
        <f t="shared" si="114"/>
        <v>='C:\Users\jaime.benazar\Quorum Business Solutions\Ecopetrol Prometeo - Documents\Planning Space Implementation\3. Analysis &amp; Design\Design\FC22\DRR Jaime\QUIFA-CAJÚA\Cajua\[CAJUA_CF_SEC_New_27-Feb-2024Rev3.xlsx]D-PDP'!$BW$37</v>
      </c>
      <c r="J445" s="37" t="s">
        <v>2210</v>
      </c>
    </row>
    <row r="446" spans="1:10" x14ac:dyDescent="0.25">
      <c r="A446" s="32" t="s">
        <v>1</v>
      </c>
      <c r="B446" s="32">
        <f t="shared" si="115"/>
        <v>2049</v>
      </c>
      <c r="C446" s="33" t="s">
        <v>8</v>
      </c>
      <c r="D446" s="34" t="s">
        <v>1999</v>
      </c>
      <c r="E446" s="35" t="str">
        <f t="shared" si="111"/>
        <v>PDP'!</v>
      </c>
      <c r="F446" s="34" t="str">
        <f t="shared" si="112"/>
        <v>C:\Users\jaime.benazar\Quorum Business Solutions\Ecopetrol Prometeo - Documents\Planning Space Implementation\3. Analysis &amp; Design\Design\FC22\DRR Jaime\QUIFA-CAJÚA\Cajua\[CAJUA_CF_SEC_New_27-Feb-2024Rev3.xlsx]D-PDP'!</v>
      </c>
      <c r="G446" s="32" t="s">
        <v>37</v>
      </c>
      <c r="H446" s="33">
        <f t="shared" si="113"/>
        <v>38</v>
      </c>
      <c r="I446" s="33" t="str">
        <f t="shared" si="114"/>
        <v>='C:\Users\jaime.benazar\Quorum Business Solutions\Ecopetrol Prometeo - Documents\Planning Space Implementation\3. Analysis &amp; Design\Design\FC22\DRR Jaime\QUIFA-CAJÚA\Cajua\[CAJUA_CF_SEC_New_27-Feb-2024Rev3.xlsx]D-PDP'!$BW$38</v>
      </c>
      <c r="J446" s="37" t="s">
        <v>2211</v>
      </c>
    </row>
    <row r="447" spans="1:10" x14ac:dyDescent="0.25">
      <c r="A447" s="32" t="s">
        <v>1</v>
      </c>
      <c r="B447" s="32">
        <f t="shared" si="115"/>
        <v>2050</v>
      </c>
      <c r="C447" s="33" t="s">
        <v>8</v>
      </c>
      <c r="D447" s="34" t="s">
        <v>1999</v>
      </c>
      <c r="E447" s="35" t="str">
        <f t="shared" si="111"/>
        <v>PDP'!</v>
      </c>
      <c r="F447" s="34" t="str">
        <f t="shared" si="112"/>
        <v>C:\Users\jaime.benazar\Quorum Business Solutions\Ecopetrol Prometeo - Documents\Planning Space Implementation\3. Analysis &amp; Design\Design\FC22\DRR Jaime\QUIFA-CAJÚA\Cajua\[CAJUA_CF_SEC_New_27-Feb-2024Rev3.xlsx]D-PDP'!</v>
      </c>
      <c r="G447" s="32" t="s">
        <v>37</v>
      </c>
      <c r="H447" s="33">
        <f t="shared" si="113"/>
        <v>39</v>
      </c>
      <c r="I447" s="33" t="str">
        <f t="shared" si="114"/>
        <v>='C:\Users\jaime.benazar\Quorum Business Solutions\Ecopetrol Prometeo - Documents\Planning Space Implementation\3. Analysis &amp; Design\Design\FC22\DRR Jaime\QUIFA-CAJÚA\Cajua\[CAJUA_CF_SEC_New_27-Feb-2024Rev3.xlsx]D-PDP'!$BW$39</v>
      </c>
      <c r="J447" s="37" t="s">
        <v>2212</v>
      </c>
    </row>
    <row r="448" spans="1:10" x14ac:dyDescent="0.25">
      <c r="A448" s="32" t="s">
        <v>1</v>
      </c>
      <c r="B448" s="32">
        <f t="shared" si="115"/>
        <v>2051</v>
      </c>
      <c r="C448" s="33" t="s">
        <v>8</v>
      </c>
      <c r="D448" s="34" t="s">
        <v>1999</v>
      </c>
      <c r="E448" s="35" t="str">
        <f t="shared" si="111"/>
        <v>PDP'!</v>
      </c>
      <c r="F448" s="34" t="str">
        <f t="shared" si="112"/>
        <v>C:\Users\jaime.benazar\Quorum Business Solutions\Ecopetrol Prometeo - Documents\Planning Space Implementation\3. Analysis &amp; Design\Design\FC22\DRR Jaime\QUIFA-CAJÚA\Cajua\[CAJUA_CF_SEC_New_27-Feb-2024Rev3.xlsx]D-PDP'!</v>
      </c>
      <c r="G448" s="32" t="s">
        <v>37</v>
      </c>
      <c r="H448" s="33">
        <f t="shared" si="113"/>
        <v>40</v>
      </c>
      <c r="I448" s="33" t="str">
        <f t="shared" si="114"/>
        <v>='C:\Users\jaime.benazar\Quorum Business Solutions\Ecopetrol Prometeo - Documents\Planning Space Implementation\3. Analysis &amp; Design\Design\FC22\DRR Jaime\QUIFA-CAJÚA\Cajua\[CAJUA_CF_SEC_New_27-Feb-2024Rev3.xlsx]D-PDP'!$BW$40</v>
      </c>
      <c r="J448" s="37" t="s">
        <v>2213</v>
      </c>
    </row>
    <row r="449" spans="1:10" x14ac:dyDescent="0.25">
      <c r="A449" s="32" t="s">
        <v>1</v>
      </c>
      <c r="B449" s="32">
        <f t="shared" si="115"/>
        <v>2052</v>
      </c>
      <c r="C449" s="33" t="s">
        <v>8</v>
      </c>
      <c r="D449" s="34" t="s">
        <v>1999</v>
      </c>
      <c r="E449" s="35" t="str">
        <f t="shared" si="111"/>
        <v>PDP'!</v>
      </c>
      <c r="F449" s="34" t="str">
        <f t="shared" si="112"/>
        <v>C:\Users\jaime.benazar\Quorum Business Solutions\Ecopetrol Prometeo - Documents\Planning Space Implementation\3. Analysis &amp; Design\Design\FC22\DRR Jaime\QUIFA-CAJÚA\Cajua\[CAJUA_CF_SEC_New_27-Feb-2024Rev3.xlsx]D-PDP'!</v>
      </c>
      <c r="G449" s="32" t="s">
        <v>37</v>
      </c>
      <c r="H449" s="33">
        <f t="shared" si="113"/>
        <v>41</v>
      </c>
      <c r="I449" s="33" t="str">
        <f t="shared" si="114"/>
        <v>='C:\Users\jaime.benazar\Quorum Business Solutions\Ecopetrol Prometeo - Documents\Planning Space Implementation\3. Analysis &amp; Design\Design\FC22\DRR Jaime\QUIFA-CAJÚA\Cajua\[CAJUA_CF_SEC_New_27-Feb-2024Rev3.xlsx]D-PDP'!$BW$41</v>
      </c>
      <c r="J449" s="37" t="s">
        <v>2214</v>
      </c>
    </row>
    <row r="450" spans="1:10" x14ac:dyDescent="0.25">
      <c r="A450" s="32" t="s">
        <v>1</v>
      </c>
      <c r="B450" s="32">
        <f t="shared" si="115"/>
        <v>2053</v>
      </c>
      <c r="C450" s="33" t="s">
        <v>8</v>
      </c>
      <c r="D450" s="34" t="s">
        <v>1999</v>
      </c>
      <c r="E450" s="35" t="str">
        <f t="shared" si="111"/>
        <v>PDP'!</v>
      </c>
      <c r="F450" s="34" t="str">
        <f t="shared" si="112"/>
        <v>C:\Users\jaime.benazar\Quorum Business Solutions\Ecopetrol Prometeo - Documents\Planning Space Implementation\3. Analysis &amp; Design\Design\FC22\DRR Jaime\QUIFA-CAJÚA\Cajua\[CAJUA_CF_SEC_New_27-Feb-2024Rev3.xlsx]D-PDP'!</v>
      </c>
      <c r="G450" s="32" t="s">
        <v>37</v>
      </c>
      <c r="H450" s="33">
        <f t="shared" si="113"/>
        <v>42</v>
      </c>
      <c r="I450" s="33" t="str">
        <f t="shared" si="114"/>
        <v>='C:\Users\jaime.benazar\Quorum Business Solutions\Ecopetrol Prometeo - Documents\Planning Space Implementation\3. Analysis &amp; Design\Design\FC22\DRR Jaime\QUIFA-CAJÚA\Cajua\[CAJUA_CF_SEC_New_27-Feb-2024Rev3.xlsx]D-PDP'!$BW$42</v>
      </c>
      <c r="J450" s="37" t="s">
        <v>2215</v>
      </c>
    </row>
    <row r="451" spans="1:10" x14ac:dyDescent="0.25">
      <c r="A451" s="32" t="s">
        <v>1</v>
      </c>
      <c r="B451" s="32">
        <f t="shared" si="115"/>
        <v>2054</v>
      </c>
      <c r="C451" s="33" t="s">
        <v>8</v>
      </c>
      <c r="D451" s="34" t="s">
        <v>1999</v>
      </c>
      <c r="E451" s="35" t="str">
        <f t="shared" si="111"/>
        <v>PDP'!</v>
      </c>
      <c r="F451" s="34" t="str">
        <f t="shared" si="112"/>
        <v>C:\Users\jaime.benazar\Quorum Business Solutions\Ecopetrol Prometeo - Documents\Planning Space Implementation\3. Analysis &amp; Design\Design\FC22\DRR Jaime\QUIFA-CAJÚA\Cajua\[CAJUA_CF_SEC_New_27-Feb-2024Rev3.xlsx]D-PDP'!</v>
      </c>
      <c r="G451" s="32" t="s">
        <v>37</v>
      </c>
      <c r="H451" s="33">
        <f t="shared" si="113"/>
        <v>43</v>
      </c>
      <c r="I451" s="33" t="str">
        <f t="shared" si="114"/>
        <v>='C:\Users\jaime.benazar\Quorum Business Solutions\Ecopetrol Prometeo - Documents\Planning Space Implementation\3. Analysis &amp; Design\Design\FC22\DRR Jaime\QUIFA-CAJÚA\Cajua\[CAJUA_CF_SEC_New_27-Feb-2024Rev3.xlsx]D-PDP'!$BW$43</v>
      </c>
      <c r="J451" s="37" t="s">
        <v>2216</v>
      </c>
    </row>
    <row r="452" spans="1:10" x14ac:dyDescent="0.25">
      <c r="A452" s="32" t="s">
        <v>1</v>
      </c>
      <c r="B452" s="32">
        <f t="shared" si="115"/>
        <v>2055</v>
      </c>
      <c r="C452" s="33" t="s">
        <v>8</v>
      </c>
      <c r="D452" s="34" t="s">
        <v>1999</v>
      </c>
      <c r="E452" s="35" t="str">
        <f t="shared" si="111"/>
        <v>PDP'!</v>
      </c>
      <c r="F452" s="34" t="str">
        <f t="shared" si="112"/>
        <v>C:\Users\jaime.benazar\Quorum Business Solutions\Ecopetrol Prometeo - Documents\Planning Space Implementation\3. Analysis &amp; Design\Design\FC22\DRR Jaime\QUIFA-CAJÚA\Cajua\[CAJUA_CF_SEC_New_27-Feb-2024Rev3.xlsx]D-PDP'!</v>
      </c>
      <c r="G452" s="32" t="s">
        <v>37</v>
      </c>
      <c r="H452" s="33">
        <f t="shared" si="113"/>
        <v>44</v>
      </c>
      <c r="I452" s="33" t="str">
        <f t="shared" si="114"/>
        <v>='C:\Users\jaime.benazar\Quorum Business Solutions\Ecopetrol Prometeo - Documents\Planning Space Implementation\3. Analysis &amp; Design\Design\FC22\DRR Jaime\QUIFA-CAJÚA\Cajua\[CAJUA_CF_SEC_New_27-Feb-2024Rev3.xlsx]D-PDP'!$BW$44</v>
      </c>
      <c r="J452" s="37" t="s">
        <v>2217</v>
      </c>
    </row>
    <row r="453" spans="1:10" x14ac:dyDescent="0.25">
      <c r="A453" s="32" t="s">
        <v>1</v>
      </c>
      <c r="B453" s="32">
        <f t="shared" si="115"/>
        <v>2056</v>
      </c>
      <c r="C453" s="33" t="s">
        <v>8</v>
      </c>
      <c r="D453" s="34" t="s">
        <v>1999</v>
      </c>
      <c r="E453" s="35" t="str">
        <f t="shared" si="111"/>
        <v>PDP'!</v>
      </c>
      <c r="F453" s="34" t="str">
        <f t="shared" si="112"/>
        <v>C:\Users\jaime.benazar\Quorum Business Solutions\Ecopetrol Prometeo - Documents\Planning Space Implementation\3. Analysis &amp; Design\Design\FC22\DRR Jaime\QUIFA-CAJÚA\Cajua\[CAJUA_CF_SEC_New_27-Feb-2024Rev3.xlsx]D-PDP'!</v>
      </c>
      <c r="G453" s="32" t="s">
        <v>37</v>
      </c>
      <c r="H453" s="33">
        <f t="shared" si="113"/>
        <v>45</v>
      </c>
      <c r="I453" s="33" t="str">
        <f t="shared" si="114"/>
        <v>='C:\Users\jaime.benazar\Quorum Business Solutions\Ecopetrol Prometeo - Documents\Planning Space Implementation\3. Analysis &amp; Design\Design\FC22\DRR Jaime\QUIFA-CAJÚA\Cajua\[CAJUA_CF_SEC_New_27-Feb-2024Rev3.xlsx]D-PDP'!$BW$45</v>
      </c>
      <c r="J453" s="37" t="s">
        <v>2218</v>
      </c>
    </row>
    <row r="454" spans="1:10" x14ac:dyDescent="0.25">
      <c r="A454" s="32" t="s">
        <v>1</v>
      </c>
      <c r="B454" s="32">
        <f t="shared" si="115"/>
        <v>2057</v>
      </c>
      <c r="C454" s="33" t="s">
        <v>8</v>
      </c>
      <c r="D454" s="34" t="s">
        <v>1999</v>
      </c>
      <c r="E454" s="35" t="str">
        <f t="shared" si="111"/>
        <v>PDP'!</v>
      </c>
      <c r="F454" s="34" t="str">
        <f t="shared" si="112"/>
        <v>C:\Users\jaime.benazar\Quorum Business Solutions\Ecopetrol Prometeo - Documents\Planning Space Implementation\3. Analysis &amp; Design\Design\FC22\DRR Jaime\QUIFA-CAJÚA\Cajua\[CAJUA_CF_SEC_New_27-Feb-2024Rev3.xlsx]D-PDP'!</v>
      </c>
      <c r="G454" s="32" t="s">
        <v>37</v>
      </c>
      <c r="H454" s="33">
        <f t="shared" si="113"/>
        <v>46</v>
      </c>
      <c r="I454" s="33" t="str">
        <f t="shared" si="114"/>
        <v>='C:\Users\jaime.benazar\Quorum Business Solutions\Ecopetrol Prometeo - Documents\Planning Space Implementation\3. Analysis &amp; Design\Design\FC22\DRR Jaime\QUIFA-CAJÚA\Cajua\[CAJUA_CF_SEC_New_27-Feb-2024Rev3.xlsx]D-PDP'!$BW$46</v>
      </c>
      <c r="J454" s="37" t="s">
        <v>2219</v>
      </c>
    </row>
    <row r="455" spans="1:10" x14ac:dyDescent="0.25">
      <c r="A455" s="32" t="s">
        <v>1</v>
      </c>
      <c r="B455" s="32">
        <f t="shared" si="115"/>
        <v>2058</v>
      </c>
      <c r="C455" s="33" t="s">
        <v>8</v>
      </c>
      <c r="D455" s="34" t="s">
        <v>1999</v>
      </c>
      <c r="E455" s="35" t="str">
        <f t="shared" si="111"/>
        <v>PDP'!</v>
      </c>
      <c r="F455" s="34" t="str">
        <f t="shared" si="112"/>
        <v>C:\Users\jaime.benazar\Quorum Business Solutions\Ecopetrol Prometeo - Documents\Planning Space Implementation\3. Analysis &amp; Design\Design\FC22\DRR Jaime\QUIFA-CAJÚA\Cajua\[CAJUA_CF_SEC_New_27-Feb-2024Rev3.xlsx]D-PDP'!</v>
      </c>
      <c r="G455" s="32" t="s">
        <v>37</v>
      </c>
      <c r="H455" s="33">
        <f t="shared" si="113"/>
        <v>47</v>
      </c>
      <c r="I455" s="33" t="str">
        <f t="shared" si="114"/>
        <v>='C:\Users\jaime.benazar\Quorum Business Solutions\Ecopetrol Prometeo - Documents\Planning Space Implementation\3. Analysis &amp; Design\Design\FC22\DRR Jaime\QUIFA-CAJÚA\Cajua\[CAJUA_CF_SEC_New_27-Feb-2024Rev3.xlsx]D-PDP'!$BW$47</v>
      </c>
      <c r="J455" s="37" t="s">
        <v>2220</v>
      </c>
    </row>
    <row r="456" spans="1:10" x14ac:dyDescent="0.25">
      <c r="A456" s="32" t="s">
        <v>1</v>
      </c>
      <c r="B456" s="32">
        <f t="shared" si="115"/>
        <v>2059</v>
      </c>
      <c r="C456" s="33" t="s">
        <v>8</v>
      </c>
      <c r="D456" s="34" t="s">
        <v>1999</v>
      </c>
      <c r="E456" s="35" t="str">
        <f t="shared" si="111"/>
        <v>PDP'!</v>
      </c>
      <c r="F456" s="34" t="str">
        <f t="shared" si="112"/>
        <v>C:\Users\jaime.benazar\Quorum Business Solutions\Ecopetrol Prometeo - Documents\Planning Space Implementation\3. Analysis &amp; Design\Design\FC22\DRR Jaime\QUIFA-CAJÚA\Cajua\[CAJUA_CF_SEC_New_27-Feb-2024Rev3.xlsx]D-PDP'!</v>
      </c>
      <c r="G456" s="32" t="s">
        <v>37</v>
      </c>
      <c r="H456" s="33">
        <f t="shared" si="113"/>
        <v>48</v>
      </c>
      <c r="I456" s="33" t="str">
        <f t="shared" si="114"/>
        <v>='C:\Users\jaime.benazar\Quorum Business Solutions\Ecopetrol Prometeo - Documents\Planning Space Implementation\3. Analysis &amp; Design\Design\FC22\DRR Jaime\QUIFA-CAJÚA\Cajua\[CAJUA_CF_SEC_New_27-Feb-2024Rev3.xlsx]D-PDP'!$BW$48</v>
      </c>
      <c r="J456" s="37" t="s">
        <v>2221</v>
      </c>
    </row>
    <row r="457" spans="1:10" x14ac:dyDescent="0.25">
      <c r="A457" s="32" t="s">
        <v>28</v>
      </c>
      <c r="B457" s="32"/>
      <c r="C457" s="33" t="s">
        <v>8</v>
      </c>
      <c r="D457" s="34"/>
      <c r="E457" s="35"/>
      <c r="F457" s="34"/>
      <c r="G457" s="32"/>
      <c r="H457" s="33"/>
      <c r="I457" s="33"/>
      <c r="J457" s="33"/>
    </row>
    <row r="458" spans="1:10" x14ac:dyDescent="0.25">
      <c r="A458" s="32" t="s">
        <v>2</v>
      </c>
      <c r="B458" s="32">
        <v>2023</v>
      </c>
      <c r="C458" s="33" t="s">
        <v>8</v>
      </c>
      <c r="D458" s="34" t="s">
        <v>1999</v>
      </c>
      <c r="E458" s="35" t="str">
        <f t="shared" si="104"/>
        <v>PNP'!</v>
      </c>
      <c r="F458" s="34" t="str">
        <f t="shared" si="105"/>
        <v>C:\Users\jaime.benazar\Quorum Business Solutions\Ecopetrol Prometeo - Documents\Planning Space Implementation\3. Analysis &amp; Design\Design\FC22\DRR Jaime\QUIFA-CAJÚA\Cajua\[CAJUA_CF_SEC_New_27-Feb-2024Rev3.xlsx]D-PNP'!</v>
      </c>
      <c r="G458" s="32" t="s">
        <v>37</v>
      </c>
      <c r="H458" s="33">
        <v>12</v>
      </c>
      <c r="I458" s="33" t="str">
        <f t="shared" si="106"/>
        <v>='C:\Users\jaime.benazar\Quorum Business Solutions\Ecopetrol Prometeo - Documents\Planning Space Implementation\3. Analysis &amp; Design\Design\FC22\DRR Jaime\QUIFA-CAJÚA\Cajua\[CAJUA_CF_SEC_New_27-Feb-2024Rev3.xlsx]D-PNP'!$BW$12</v>
      </c>
      <c r="J458" s="37" t="s">
        <v>2222</v>
      </c>
    </row>
    <row r="459" spans="1:10" x14ac:dyDescent="0.25">
      <c r="A459" s="32" t="s">
        <v>2</v>
      </c>
      <c r="B459" s="32">
        <f>+B458+1</f>
        <v>2024</v>
      </c>
      <c r="C459" s="33" t="s">
        <v>8</v>
      </c>
      <c r="D459" s="34" t="s">
        <v>1999</v>
      </c>
      <c r="E459" s="35" t="str">
        <f t="shared" si="104"/>
        <v>PNP'!</v>
      </c>
      <c r="F459" s="34" t="str">
        <f t="shared" si="105"/>
        <v>C:\Users\jaime.benazar\Quorum Business Solutions\Ecopetrol Prometeo - Documents\Planning Space Implementation\3. Analysis &amp; Design\Design\FC22\DRR Jaime\QUIFA-CAJÚA\Cajua\[CAJUA_CF_SEC_New_27-Feb-2024Rev3.xlsx]D-PNP'!</v>
      </c>
      <c r="G459" s="32" t="s">
        <v>37</v>
      </c>
      <c r="H459" s="33">
        <f>IF(A459&lt;&gt;A458,12,H458+1)</f>
        <v>13</v>
      </c>
      <c r="I459" s="33" t="str">
        <f t="shared" si="106"/>
        <v>='C:\Users\jaime.benazar\Quorum Business Solutions\Ecopetrol Prometeo - Documents\Planning Space Implementation\3. Analysis &amp; Design\Design\FC22\DRR Jaime\QUIFA-CAJÚA\Cajua\[CAJUA_CF_SEC_New_27-Feb-2024Rev3.xlsx]D-PNP'!$BW$13</v>
      </c>
      <c r="J459" s="37" t="s">
        <v>2223</v>
      </c>
    </row>
    <row r="460" spans="1:10" x14ac:dyDescent="0.25">
      <c r="A460" s="32" t="s">
        <v>2</v>
      </c>
      <c r="B460" s="32">
        <f t="shared" ref="B460:B471" si="116">+B459+1</f>
        <v>2025</v>
      </c>
      <c r="C460" s="33" t="s">
        <v>8</v>
      </c>
      <c r="D460" s="34" t="s">
        <v>1999</v>
      </c>
      <c r="E460" s="35" t="str">
        <f t="shared" si="104"/>
        <v>PNP'!</v>
      </c>
      <c r="F460" s="34" t="str">
        <f t="shared" si="105"/>
        <v>C:\Users\jaime.benazar\Quorum Business Solutions\Ecopetrol Prometeo - Documents\Planning Space Implementation\3. Analysis &amp; Design\Design\FC22\DRR Jaime\QUIFA-CAJÚA\Cajua\[CAJUA_CF_SEC_New_27-Feb-2024Rev3.xlsx]D-PNP'!</v>
      </c>
      <c r="G460" s="32" t="s">
        <v>37</v>
      </c>
      <c r="H460" s="33">
        <f t="shared" ref="H460:H478" si="117">IF(A460&lt;&gt;A459,12,H459+1)</f>
        <v>14</v>
      </c>
      <c r="I460" s="33" t="str">
        <f t="shared" si="106"/>
        <v>='C:\Users\jaime.benazar\Quorum Business Solutions\Ecopetrol Prometeo - Documents\Planning Space Implementation\3. Analysis &amp; Design\Design\FC22\DRR Jaime\QUIFA-CAJÚA\Cajua\[CAJUA_CF_SEC_New_27-Feb-2024Rev3.xlsx]D-PNP'!$BW$14</v>
      </c>
      <c r="J460" s="37" t="s">
        <v>2224</v>
      </c>
    </row>
    <row r="461" spans="1:10" x14ac:dyDescent="0.25">
      <c r="A461" s="32" t="s">
        <v>2</v>
      </c>
      <c r="B461" s="32">
        <f t="shared" si="116"/>
        <v>2026</v>
      </c>
      <c r="C461" s="33" t="s">
        <v>8</v>
      </c>
      <c r="D461" s="34" t="s">
        <v>1999</v>
      </c>
      <c r="E461" s="35" t="str">
        <f t="shared" si="104"/>
        <v>PNP'!</v>
      </c>
      <c r="F461" s="34" t="str">
        <f t="shared" si="105"/>
        <v>C:\Users\jaime.benazar\Quorum Business Solutions\Ecopetrol Prometeo - Documents\Planning Space Implementation\3. Analysis &amp; Design\Design\FC22\DRR Jaime\QUIFA-CAJÚA\Cajua\[CAJUA_CF_SEC_New_27-Feb-2024Rev3.xlsx]D-PNP'!</v>
      </c>
      <c r="G461" s="32" t="s">
        <v>37</v>
      </c>
      <c r="H461" s="33">
        <f t="shared" si="117"/>
        <v>15</v>
      </c>
      <c r="I461" s="33" t="str">
        <f t="shared" si="106"/>
        <v>='C:\Users\jaime.benazar\Quorum Business Solutions\Ecopetrol Prometeo - Documents\Planning Space Implementation\3. Analysis &amp; Design\Design\FC22\DRR Jaime\QUIFA-CAJÚA\Cajua\[CAJUA_CF_SEC_New_27-Feb-2024Rev3.xlsx]D-PNP'!$BW$15</v>
      </c>
      <c r="J461" s="37" t="s">
        <v>2225</v>
      </c>
    </row>
    <row r="462" spans="1:10" x14ac:dyDescent="0.25">
      <c r="A462" s="32" t="s">
        <v>2</v>
      </c>
      <c r="B462" s="32">
        <f t="shared" si="116"/>
        <v>2027</v>
      </c>
      <c r="C462" s="33" t="s">
        <v>8</v>
      </c>
      <c r="D462" s="34" t="s">
        <v>1999</v>
      </c>
      <c r="E462" s="35" t="str">
        <f t="shared" si="104"/>
        <v>PNP'!</v>
      </c>
      <c r="F462" s="34" t="str">
        <f t="shared" si="105"/>
        <v>C:\Users\jaime.benazar\Quorum Business Solutions\Ecopetrol Prometeo - Documents\Planning Space Implementation\3. Analysis &amp; Design\Design\FC22\DRR Jaime\QUIFA-CAJÚA\Cajua\[CAJUA_CF_SEC_New_27-Feb-2024Rev3.xlsx]D-PNP'!</v>
      </c>
      <c r="G462" s="32" t="s">
        <v>37</v>
      </c>
      <c r="H462" s="33">
        <f t="shared" si="117"/>
        <v>16</v>
      </c>
      <c r="I462" s="33" t="str">
        <f t="shared" si="106"/>
        <v>='C:\Users\jaime.benazar\Quorum Business Solutions\Ecopetrol Prometeo - Documents\Planning Space Implementation\3. Analysis &amp; Design\Design\FC22\DRR Jaime\QUIFA-CAJÚA\Cajua\[CAJUA_CF_SEC_New_27-Feb-2024Rev3.xlsx]D-PNP'!$BW$16</v>
      </c>
      <c r="J462" s="37" t="s">
        <v>2226</v>
      </c>
    </row>
    <row r="463" spans="1:10" x14ac:dyDescent="0.25">
      <c r="A463" s="32" t="s">
        <v>2</v>
      </c>
      <c r="B463" s="32">
        <f t="shared" si="116"/>
        <v>2028</v>
      </c>
      <c r="C463" s="33" t="s">
        <v>8</v>
      </c>
      <c r="D463" s="34" t="s">
        <v>1999</v>
      </c>
      <c r="E463" s="35" t="str">
        <f t="shared" si="104"/>
        <v>PNP'!</v>
      </c>
      <c r="F463" s="34" t="str">
        <f t="shared" si="105"/>
        <v>C:\Users\jaime.benazar\Quorum Business Solutions\Ecopetrol Prometeo - Documents\Planning Space Implementation\3. Analysis &amp; Design\Design\FC22\DRR Jaime\QUIFA-CAJÚA\Cajua\[CAJUA_CF_SEC_New_27-Feb-2024Rev3.xlsx]D-PNP'!</v>
      </c>
      <c r="G463" s="32" t="s">
        <v>37</v>
      </c>
      <c r="H463" s="33">
        <f t="shared" si="117"/>
        <v>17</v>
      </c>
      <c r="I463" s="33" t="str">
        <f t="shared" si="106"/>
        <v>='C:\Users\jaime.benazar\Quorum Business Solutions\Ecopetrol Prometeo - Documents\Planning Space Implementation\3. Analysis &amp; Design\Design\FC22\DRR Jaime\QUIFA-CAJÚA\Cajua\[CAJUA_CF_SEC_New_27-Feb-2024Rev3.xlsx]D-PNP'!$BW$17</v>
      </c>
      <c r="J463" s="37" t="s">
        <v>2227</v>
      </c>
    </row>
    <row r="464" spans="1:10" x14ac:dyDescent="0.25">
      <c r="A464" s="32" t="s">
        <v>2</v>
      </c>
      <c r="B464" s="32">
        <f t="shared" si="116"/>
        <v>2029</v>
      </c>
      <c r="C464" s="33" t="s">
        <v>8</v>
      </c>
      <c r="D464" s="34" t="s">
        <v>1999</v>
      </c>
      <c r="E464" s="35" t="str">
        <f t="shared" si="104"/>
        <v>PNP'!</v>
      </c>
      <c r="F464" s="34" t="str">
        <f t="shared" si="105"/>
        <v>C:\Users\jaime.benazar\Quorum Business Solutions\Ecopetrol Prometeo - Documents\Planning Space Implementation\3. Analysis &amp; Design\Design\FC22\DRR Jaime\QUIFA-CAJÚA\Cajua\[CAJUA_CF_SEC_New_27-Feb-2024Rev3.xlsx]D-PNP'!</v>
      </c>
      <c r="G464" s="32" t="s">
        <v>37</v>
      </c>
      <c r="H464" s="33">
        <f t="shared" si="117"/>
        <v>18</v>
      </c>
      <c r="I464" s="33" t="str">
        <f t="shared" si="106"/>
        <v>='C:\Users\jaime.benazar\Quorum Business Solutions\Ecopetrol Prometeo - Documents\Planning Space Implementation\3. Analysis &amp; Design\Design\FC22\DRR Jaime\QUIFA-CAJÚA\Cajua\[CAJUA_CF_SEC_New_27-Feb-2024Rev3.xlsx]D-PNP'!$BW$18</v>
      </c>
      <c r="J464" s="37" t="s">
        <v>2228</v>
      </c>
    </row>
    <row r="465" spans="1:10" x14ac:dyDescent="0.25">
      <c r="A465" s="32" t="s">
        <v>2</v>
      </c>
      <c r="B465" s="32">
        <f t="shared" si="116"/>
        <v>2030</v>
      </c>
      <c r="C465" s="33" t="s">
        <v>8</v>
      </c>
      <c r="D465" s="34" t="s">
        <v>1999</v>
      </c>
      <c r="E465" s="35" t="str">
        <f t="shared" si="104"/>
        <v>PNP'!</v>
      </c>
      <c r="F465" s="34" t="str">
        <f t="shared" si="105"/>
        <v>C:\Users\jaime.benazar\Quorum Business Solutions\Ecopetrol Prometeo - Documents\Planning Space Implementation\3. Analysis &amp; Design\Design\FC22\DRR Jaime\QUIFA-CAJÚA\Cajua\[CAJUA_CF_SEC_New_27-Feb-2024Rev3.xlsx]D-PNP'!</v>
      </c>
      <c r="G465" s="32" t="s">
        <v>37</v>
      </c>
      <c r="H465" s="33">
        <f t="shared" si="117"/>
        <v>19</v>
      </c>
      <c r="I465" s="33" t="str">
        <f t="shared" si="106"/>
        <v>='C:\Users\jaime.benazar\Quorum Business Solutions\Ecopetrol Prometeo - Documents\Planning Space Implementation\3. Analysis &amp; Design\Design\FC22\DRR Jaime\QUIFA-CAJÚA\Cajua\[CAJUA_CF_SEC_New_27-Feb-2024Rev3.xlsx]D-PNP'!$BW$19</v>
      </c>
      <c r="J465" s="37" t="s">
        <v>2229</v>
      </c>
    </row>
    <row r="466" spans="1:10" x14ac:dyDescent="0.25">
      <c r="A466" s="32" t="s">
        <v>2</v>
      </c>
      <c r="B466" s="32">
        <f t="shared" si="116"/>
        <v>2031</v>
      </c>
      <c r="C466" s="33" t="s">
        <v>8</v>
      </c>
      <c r="D466" s="34" t="s">
        <v>1999</v>
      </c>
      <c r="E466" s="35" t="str">
        <f t="shared" si="104"/>
        <v>PNP'!</v>
      </c>
      <c r="F466" s="34" t="str">
        <f t="shared" si="105"/>
        <v>C:\Users\jaime.benazar\Quorum Business Solutions\Ecopetrol Prometeo - Documents\Planning Space Implementation\3. Analysis &amp; Design\Design\FC22\DRR Jaime\QUIFA-CAJÚA\Cajua\[CAJUA_CF_SEC_New_27-Feb-2024Rev3.xlsx]D-PNP'!</v>
      </c>
      <c r="G466" s="32" t="s">
        <v>37</v>
      </c>
      <c r="H466" s="33">
        <f t="shared" si="117"/>
        <v>20</v>
      </c>
      <c r="I466" s="33" t="str">
        <f t="shared" si="106"/>
        <v>='C:\Users\jaime.benazar\Quorum Business Solutions\Ecopetrol Prometeo - Documents\Planning Space Implementation\3. Analysis &amp; Design\Design\FC22\DRR Jaime\QUIFA-CAJÚA\Cajua\[CAJUA_CF_SEC_New_27-Feb-2024Rev3.xlsx]D-PNP'!$BW$20</v>
      </c>
      <c r="J466" s="37" t="s">
        <v>2230</v>
      </c>
    </row>
    <row r="467" spans="1:10" x14ac:dyDescent="0.25">
      <c r="A467" s="32" t="s">
        <v>2</v>
      </c>
      <c r="B467" s="32">
        <f t="shared" si="116"/>
        <v>2032</v>
      </c>
      <c r="C467" s="33" t="s">
        <v>8</v>
      </c>
      <c r="D467" s="34" t="s">
        <v>1999</v>
      </c>
      <c r="E467" s="35" t="str">
        <f t="shared" si="104"/>
        <v>PNP'!</v>
      </c>
      <c r="F467" s="34" t="str">
        <f t="shared" si="105"/>
        <v>C:\Users\jaime.benazar\Quorum Business Solutions\Ecopetrol Prometeo - Documents\Planning Space Implementation\3. Analysis &amp; Design\Design\FC22\DRR Jaime\QUIFA-CAJÚA\Cajua\[CAJUA_CF_SEC_New_27-Feb-2024Rev3.xlsx]D-PNP'!</v>
      </c>
      <c r="G467" s="32" t="s">
        <v>37</v>
      </c>
      <c r="H467" s="33">
        <f t="shared" si="117"/>
        <v>21</v>
      </c>
      <c r="I467" s="33" t="str">
        <f t="shared" si="106"/>
        <v>='C:\Users\jaime.benazar\Quorum Business Solutions\Ecopetrol Prometeo - Documents\Planning Space Implementation\3. Analysis &amp; Design\Design\FC22\DRR Jaime\QUIFA-CAJÚA\Cajua\[CAJUA_CF_SEC_New_27-Feb-2024Rev3.xlsx]D-PNP'!$BW$21</v>
      </c>
      <c r="J467" s="37" t="s">
        <v>2231</v>
      </c>
    </row>
    <row r="468" spans="1:10" x14ac:dyDescent="0.25">
      <c r="A468" s="32" t="s">
        <v>2</v>
      </c>
      <c r="B468" s="32">
        <f t="shared" si="116"/>
        <v>2033</v>
      </c>
      <c r="C468" s="33" t="s">
        <v>8</v>
      </c>
      <c r="D468" s="34" t="s">
        <v>1999</v>
      </c>
      <c r="E468" s="35" t="str">
        <f t="shared" si="104"/>
        <v>PNP'!</v>
      </c>
      <c r="F468" s="34" t="str">
        <f t="shared" si="105"/>
        <v>C:\Users\jaime.benazar\Quorum Business Solutions\Ecopetrol Prometeo - Documents\Planning Space Implementation\3. Analysis &amp; Design\Design\FC22\DRR Jaime\QUIFA-CAJÚA\Cajua\[CAJUA_CF_SEC_New_27-Feb-2024Rev3.xlsx]D-PNP'!</v>
      </c>
      <c r="G468" s="32" t="s">
        <v>37</v>
      </c>
      <c r="H468" s="33">
        <f t="shared" si="117"/>
        <v>22</v>
      </c>
      <c r="I468" s="33" t="str">
        <f t="shared" si="106"/>
        <v>='C:\Users\jaime.benazar\Quorum Business Solutions\Ecopetrol Prometeo - Documents\Planning Space Implementation\3. Analysis &amp; Design\Design\FC22\DRR Jaime\QUIFA-CAJÚA\Cajua\[CAJUA_CF_SEC_New_27-Feb-2024Rev3.xlsx]D-PNP'!$BW$22</v>
      </c>
      <c r="J468" s="37" t="s">
        <v>2232</v>
      </c>
    </row>
    <row r="469" spans="1:10" x14ac:dyDescent="0.25">
      <c r="A469" s="32" t="s">
        <v>2</v>
      </c>
      <c r="B469" s="32">
        <f t="shared" si="116"/>
        <v>2034</v>
      </c>
      <c r="C469" s="33" t="s">
        <v>8</v>
      </c>
      <c r="D469" s="34" t="s">
        <v>1999</v>
      </c>
      <c r="E469" s="35" t="str">
        <f t="shared" si="104"/>
        <v>PNP'!</v>
      </c>
      <c r="F469" s="34" t="str">
        <f t="shared" si="105"/>
        <v>C:\Users\jaime.benazar\Quorum Business Solutions\Ecopetrol Prometeo - Documents\Planning Space Implementation\3. Analysis &amp; Design\Design\FC22\DRR Jaime\QUIFA-CAJÚA\Cajua\[CAJUA_CF_SEC_New_27-Feb-2024Rev3.xlsx]D-PNP'!</v>
      </c>
      <c r="G469" s="32" t="s">
        <v>37</v>
      </c>
      <c r="H469" s="33">
        <f t="shared" si="117"/>
        <v>23</v>
      </c>
      <c r="I469" s="33" t="str">
        <f t="shared" si="106"/>
        <v>='C:\Users\jaime.benazar\Quorum Business Solutions\Ecopetrol Prometeo - Documents\Planning Space Implementation\3. Analysis &amp; Design\Design\FC22\DRR Jaime\QUIFA-CAJÚA\Cajua\[CAJUA_CF_SEC_New_27-Feb-2024Rev3.xlsx]D-PNP'!$BW$23</v>
      </c>
      <c r="J469" s="37" t="s">
        <v>2233</v>
      </c>
    </row>
    <row r="470" spans="1:10" x14ac:dyDescent="0.25">
      <c r="A470" s="32" t="s">
        <v>2</v>
      </c>
      <c r="B470" s="32">
        <f t="shared" si="116"/>
        <v>2035</v>
      </c>
      <c r="C470" s="33" t="s">
        <v>8</v>
      </c>
      <c r="D470" s="34" t="s">
        <v>1999</v>
      </c>
      <c r="E470" s="35" t="str">
        <f t="shared" si="104"/>
        <v>PNP'!</v>
      </c>
      <c r="F470" s="34" t="str">
        <f t="shared" si="105"/>
        <v>C:\Users\jaime.benazar\Quorum Business Solutions\Ecopetrol Prometeo - Documents\Planning Space Implementation\3. Analysis &amp; Design\Design\FC22\DRR Jaime\QUIFA-CAJÚA\Cajua\[CAJUA_CF_SEC_New_27-Feb-2024Rev3.xlsx]D-PNP'!</v>
      </c>
      <c r="G470" s="32" t="s">
        <v>37</v>
      </c>
      <c r="H470" s="33">
        <f t="shared" si="117"/>
        <v>24</v>
      </c>
      <c r="I470" s="33" t="str">
        <f t="shared" si="106"/>
        <v>='C:\Users\jaime.benazar\Quorum Business Solutions\Ecopetrol Prometeo - Documents\Planning Space Implementation\3. Analysis &amp; Design\Design\FC22\DRR Jaime\QUIFA-CAJÚA\Cajua\[CAJUA_CF_SEC_New_27-Feb-2024Rev3.xlsx]D-PNP'!$BW$24</v>
      </c>
      <c r="J470" s="37" t="s">
        <v>2234</v>
      </c>
    </row>
    <row r="471" spans="1:10" x14ac:dyDescent="0.25">
      <c r="A471" s="32" t="s">
        <v>2</v>
      </c>
      <c r="B471" s="32">
        <f t="shared" si="116"/>
        <v>2036</v>
      </c>
      <c r="C471" s="33" t="s">
        <v>8</v>
      </c>
      <c r="D471" s="34" t="s">
        <v>1999</v>
      </c>
      <c r="E471" s="35" t="str">
        <f t="shared" si="104"/>
        <v>PNP'!</v>
      </c>
      <c r="F471" s="34" t="str">
        <f t="shared" si="105"/>
        <v>C:\Users\jaime.benazar\Quorum Business Solutions\Ecopetrol Prometeo - Documents\Planning Space Implementation\3. Analysis &amp; Design\Design\FC22\DRR Jaime\QUIFA-CAJÚA\Cajua\[CAJUA_CF_SEC_New_27-Feb-2024Rev3.xlsx]D-PNP'!</v>
      </c>
      <c r="G471" s="32" t="s">
        <v>37</v>
      </c>
      <c r="H471" s="33">
        <f t="shared" si="117"/>
        <v>25</v>
      </c>
      <c r="I471" s="33" t="str">
        <f t="shared" si="106"/>
        <v>='C:\Users\jaime.benazar\Quorum Business Solutions\Ecopetrol Prometeo - Documents\Planning Space Implementation\3. Analysis &amp; Design\Design\FC22\DRR Jaime\QUIFA-CAJÚA\Cajua\[CAJUA_CF_SEC_New_27-Feb-2024Rev3.xlsx]D-PNP'!$BW$25</v>
      </c>
      <c r="J471" s="37" t="s">
        <v>2235</v>
      </c>
    </row>
    <row r="472" spans="1:10" x14ac:dyDescent="0.25">
      <c r="A472" s="32" t="s">
        <v>2</v>
      </c>
      <c r="B472" s="32">
        <f>+B471+1</f>
        <v>2037</v>
      </c>
      <c r="C472" s="33" t="s">
        <v>8</v>
      </c>
      <c r="D472" s="34" t="s">
        <v>1999</v>
      </c>
      <c r="E472" s="35" t="str">
        <f t="shared" si="104"/>
        <v>PNP'!</v>
      </c>
      <c r="F472" s="34" t="str">
        <f t="shared" si="105"/>
        <v>C:\Users\jaime.benazar\Quorum Business Solutions\Ecopetrol Prometeo - Documents\Planning Space Implementation\3. Analysis &amp; Design\Design\FC22\DRR Jaime\QUIFA-CAJÚA\Cajua\[CAJUA_CF_SEC_New_27-Feb-2024Rev3.xlsx]D-PNP'!</v>
      </c>
      <c r="G472" s="32" t="s">
        <v>37</v>
      </c>
      <c r="H472" s="33">
        <f t="shared" si="117"/>
        <v>26</v>
      </c>
      <c r="I472" s="33" t="str">
        <f t="shared" si="106"/>
        <v>='C:\Users\jaime.benazar\Quorum Business Solutions\Ecopetrol Prometeo - Documents\Planning Space Implementation\3. Analysis &amp; Design\Design\FC22\DRR Jaime\QUIFA-CAJÚA\Cajua\[CAJUA_CF_SEC_New_27-Feb-2024Rev3.xlsx]D-PNP'!$BW$26</v>
      </c>
      <c r="J472" s="37" t="s">
        <v>2236</v>
      </c>
    </row>
    <row r="473" spans="1:10" x14ac:dyDescent="0.25">
      <c r="A473" s="32" t="s">
        <v>2</v>
      </c>
      <c r="B473" s="32">
        <f t="shared" ref="B473:B475" si="118">+B472+1</f>
        <v>2038</v>
      </c>
      <c r="C473" s="33" t="s">
        <v>8</v>
      </c>
      <c r="D473" s="34" t="s">
        <v>1999</v>
      </c>
      <c r="E473" s="35" t="str">
        <f t="shared" si="104"/>
        <v>PNP'!</v>
      </c>
      <c r="F473" s="34" t="str">
        <f t="shared" si="105"/>
        <v>C:\Users\jaime.benazar\Quorum Business Solutions\Ecopetrol Prometeo - Documents\Planning Space Implementation\3. Analysis &amp; Design\Design\FC22\DRR Jaime\QUIFA-CAJÚA\Cajua\[CAJUA_CF_SEC_New_27-Feb-2024Rev3.xlsx]D-PNP'!</v>
      </c>
      <c r="G473" s="32" t="s">
        <v>37</v>
      </c>
      <c r="H473" s="33">
        <f t="shared" si="117"/>
        <v>27</v>
      </c>
      <c r="I473" s="33" t="str">
        <f t="shared" si="106"/>
        <v>='C:\Users\jaime.benazar\Quorum Business Solutions\Ecopetrol Prometeo - Documents\Planning Space Implementation\3. Analysis &amp; Design\Design\FC22\DRR Jaime\QUIFA-CAJÚA\Cajua\[CAJUA_CF_SEC_New_27-Feb-2024Rev3.xlsx]D-PNP'!$BW$27</v>
      </c>
      <c r="J473" s="37" t="s">
        <v>2237</v>
      </c>
    </row>
    <row r="474" spans="1:10" x14ac:dyDescent="0.25">
      <c r="A474" s="32" t="s">
        <v>2</v>
      </c>
      <c r="B474" s="32">
        <f t="shared" si="118"/>
        <v>2039</v>
      </c>
      <c r="C474" s="33" t="s">
        <v>8</v>
      </c>
      <c r="D474" s="34" t="s">
        <v>1999</v>
      </c>
      <c r="E474" s="35" t="str">
        <f t="shared" si="104"/>
        <v>PNP'!</v>
      </c>
      <c r="F474" s="34" t="str">
        <f t="shared" si="105"/>
        <v>C:\Users\jaime.benazar\Quorum Business Solutions\Ecopetrol Prometeo - Documents\Planning Space Implementation\3. Analysis &amp; Design\Design\FC22\DRR Jaime\QUIFA-CAJÚA\Cajua\[CAJUA_CF_SEC_New_27-Feb-2024Rev3.xlsx]D-PNP'!</v>
      </c>
      <c r="G474" s="32" t="s">
        <v>37</v>
      </c>
      <c r="H474" s="33">
        <f t="shared" si="117"/>
        <v>28</v>
      </c>
      <c r="I474" s="33" t="str">
        <f t="shared" si="106"/>
        <v>='C:\Users\jaime.benazar\Quorum Business Solutions\Ecopetrol Prometeo - Documents\Planning Space Implementation\3. Analysis &amp; Design\Design\FC22\DRR Jaime\QUIFA-CAJÚA\Cajua\[CAJUA_CF_SEC_New_27-Feb-2024Rev3.xlsx]D-PNP'!$BW$28</v>
      </c>
      <c r="J474" s="37" t="s">
        <v>2238</v>
      </c>
    </row>
    <row r="475" spans="1:10" x14ac:dyDescent="0.25">
      <c r="A475" s="32" t="s">
        <v>2</v>
      </c>
      <c r="B475" s="32">
        <f t="shared" si="118"/>
        <v>2040</v>
      </c>
      <c r="C475" s="33" t="s">
        <v>8</v>
      </c>
      <c r="D475" s="34" t="s">
        <v>1999</v>
      </c>
      <c r="E475" s="35" t="str">
        <f t="shared" si="104"/>
        <v>PNP'!</v>
      </c>
      <c r="F475" s="34" t="str">
        <f t="shared" si="105"/>
        <v>C:\Users\jaime.benazar\Quorum Business Solutions\Ecopetrol Prometeo - Documents\Planning Space Implementation\3. Analysis &amp; Design\Design\FC22\DRR Jaime\QUIFA-CAJÚA\Cajua\[CAJUA_CF_SEC_New_27-Feb-2024Rev3.xlsx]D-PNP'!</v>
      </c>
      <c r="G475" s="32" t="s">
        <v>37</v>
      </c>
      <c r="H475" s="33">
        <f t="shared" si="117"/>
        <v>29</v>
      </c>
      <c r="I475" s="33" t="str">
        <f t="shared" si="106"/>
        <v>='C:\Users\jaime.benazar\Quorum Business Solutions\Ecopetrol Prometeo - Documents\Planning Space Implementation\3. Analysis &amp; Design\Design\FC22\DRR Jaime\QUIFA-CAJÚA\Cajua\[CAJUA_CF_SEC_New_27-Feb-2024Rev3.xlsx]D-PNP'!$BW$29</v>
      </c>
      <c r="J475" s="37" t="s">
        <v>2239</v>
      </c>
    </row>
    <row r="476" spans="1:10" x14ac:dyDescent="0.25">
      <c r="A476" s="32" t="s">
        <v>2</v>
      </c>
      <c r="B476" s="32">
        <f>+B475+1</f>
        <v>2041</v>
      </c>
      <c r="C476" s="33" t="s">
        <v>8</v>
      </c>
      <c r="D476" s="34" t="s">
        <v>1999</v>
      </c>
      <c r="E476" s="35" t="str">
        <f t="shared" si="104"/>
        <v>PNP'!</v>
      </c>
      <c r="F476" s="34" t="str">
        <f t="shared" si="105"/>
        <v>C:\Users\jaime.benazar\Quorum Business Solutions\Ecopetrol Prometeo - Documents\Planning Space Implementation\3. Analysis &amp; Design\Design\FC22\DRR Jaime\QUIFA-CAJÚA\Cajua\[CAJUA_CF_SEC_New_27-Feb-2024Rev3.xlsx]D-PNP'!</v>
      </c>
      <c r="G476" s="32" t="s">
        <v>37</v>
      </c>
      <c r="H476" s="33">
        <f t="shared" si="117"/>
        <v>30</v>
      </c>
      <c r="I476" s="33" t="str">
        <f t="shared" si="106"/>
        <v>='C:\Users\jaime.benazar\Quorum Business Solutions\Ecopetrol Prometeo - Documents\Planning Space Implementation\3. Analysis &amp; Design\Design\FC22\DRR Jaime\QUIFA-CAJÚA\Cajua\[CAJUA_CF_SEC_New_27-Feb-2024Rev3.xlsx]D-PNP'!$BW$30</v>
      </c>
      <c r="J476" s="37" t="s">
        <v>2240</v>
      </c>
    </row>
    <row r="477" spans="1:10" x14ac:dyDescent="0.25">
      <c r="A477" s="32" t="s">
        <v>2</v>
      </c>
      <c r="B477" s="32">
        <f t="shared" ref="B477:B478" si="119">+B476+1</f>
        <v>2042</v>
      </c>
      <c r="C477" s="33" t="s">
        <v>8</v>
      </c>
      <c r="D477" s="34" t="s">
        <v>1999</v>
      </c>
      <c r="E477" s="35" t="str">
        <f t="shared" si="104"/>
        <v>PNP'!</v>
      </c>
      <c r="F477" s="34" t="str">
        <f t="shared" si="105"/>
        <v>C:\Users\jaime.benazar\Quorum Business Solutions\Ecopetrol Prometeo - Documents\Planning Space Implementation\3. Analysis &amp; Design\Design\FC22\DRR Jaime\QUIFA-CAJÚA\Cajua\[CAJUA_CF_SEC_New_27-Feb-2024Rev3.xlsx]D-PNP'!</v>
      </c>
      <c r="G477" s="32" t="s">
        <v>37</v>
      </c>
      <c r="H477" s="33">
        <f t="shared" si="117"/>
        <v>31</v>
      </c>
      <c r="I477" s="33" t="str">
        <f t="shared" si="106"/>
        <v>='C:\Users\jaime.benazar\Quorum Business Solutions\Ecopetrol Prometeo - Documents\Planning Space Implementation\3. Analysis &amp; Design\Design\FC22\DRR Jaime\QUIFA-CAJÚA\Cajua\[CAJUA_CF_SEC_New_27-Feb-2024Rev3.xlsx]D-PNP'!$BW$31</v>
      </c>
      <c r="J477" s="37" t="s">
        <v>2241</v>
      </c>
    </row>
    <row r="478" spans="1:10" x14ac:dyDescent="0.25">
      <c r="A478" s="32" t="s">
        <v>2</v>
      </c>
      <c r="B478" s="32">
        <f t="shared" si="119"/>
        <v>2043</v>
      </c>
      <c r="C478" s="33" t="s">
        <v>8</v>
      </c>
      <c r="D478" s="34" t="s">
        <v>1999</v>
      </c>
      <c r="E478" s="35" t="str">
        <f t="shared" si="104"/>
        <v>PNP'!</v>
      </c>
      <c r="F478" s="34" t="str">
        <f t="shared" si="105"/>
        <v>C:\Users\jaime.benazar\Quorum Business Solutions\Ecopetrol Prometeo - Documents\Planning Space Implementation\3. Analysis &amp; Design\Design\FC22\DRR Jaime\QUIFA-CAJÚA\Cajua\[CAJUA_CF_SEC_New_27-Feb-2024Rev3.xlsx]D-PNP'!</v>
      </c>
      <c r="G478" s="32" t="s">
        <v>37</v>
      </c>
      <c r="H478" s="33">
        <f t="shared" si="117"/>
        <v>32</v>
      </c>
      <c r="I478" s="33" t="str">
        <f t="shared" si="106"/>
        <v>='C:\Users\jaime.benazar\Quorum Business Solutions\Ecopetrol Prometeo - Documents\Planning Space Implementation\3. Analysis &amp; Design\Design\FC22\DRR Jaime\QUIFA-CAJÚA\Cajua\[CAJUA_CF_SEC_New_27-Feb-2024Rev3.xlsx]D-PNP'!$BW$32</v>
      </c>
      <c r="J478" s="37" t="s">
        <v>2242</v>
      </c>
    </row>
    <row r="479" spans="1:10" x14ac:dyDescent="0.25">
      <c r="A479" s="32" t="s">
        <v>2</v>
      </c>
      <c r="B479" s="32">
        <f>+B478+1</f>
        <v>2044</v>
      </c>
      <c r="C479" s="33" t="s">
        <v>8</v>
      </c>
      <c r="D479" s="34" t="s">
        <v>1999</v>
      </c>
      <c r="E479" s="35" t="str">
        <f t="shared" ref="E479:E494" si="120">_xlfn.CONCAT(A479,"'!")</f>
        <v>PNP'!</v>
      </c>
      <c r="F479" s="34" t="str">
        <f t="shared" ref="F479:F494" si="121">_xlfn.CONCAT(D479:E479)</f>
        <v>C:\Users\jaime.benazar\Quorum Business Solutions\Ecopetrol Prometeo - Documents\Planning Space Implementation\3. Analysis &amp; Design\Design\FC22\DRR Jaime\QUIFA-CAJÚA\Cajua\[CAJUA_CF_SEC_New_27-Feb-2024Rev3.xlsx]D-PNP'!</v>
      </c>
      <c r="G479" s="32" t="s">
        <v>37</v>
      </c>
      <c r="H479" s="33">
        <f t="shared" ref="H479:H494" si="122">IF(A479&lt;&gt;A478,12,H478+1)</f>
        <v>33</v>
      </c>
      <c r="I479" s="33" t="str">
        <f t="shared" ref="I479:I494" si="123">_xlfn.CONCAT("='",F479:H479)</f>
        <v>='C:\Users\jaime.benazar\Quorum Business Solutions\Ecopetrol Prometeo - Documents\Planning Space Implementation\3. Analysis &amp; Design\Design\FC22\DRR Jaime\QUIFA-CAJÚA\Cajua\[CAJUA_CF_SEC_New_27-Feb-2024Rev3.xlsx]D-PNP'!$BW$33</v>
      </c>
      <c r="J479" s="37" t="s">
        <v>2243</v>
      </c>
    </row>
    <row r="480" spans="1:10" x14ac:dyDescent="0.25">
      <c r="A480" s="32" t="s">
        <v>2</v>
      </c>
      <c r="B480" s="32">
        <f t="shared" ref="B480:B494" si="124">+B479+1</f>
        <v>2045</v>
      </c>
      <c r="C480" s="33" t="s">
        <v>8</v>
      </c>
      <c r="D480" s="34" t="s">
        <v>1999</v>
      </c>
      <c r="E480" s="35" t="str">
        <f t="shared" si="120"/>
        <v>PNP'!</v>
      </c>
      <c r="F480" s="34" t="str">
        <f t="shared" si="121"/>
        <v>C:\Users\jaime.benazar\Quorum Business Solutions\Ecopetrol Prometeo - Documents\Planning Space Implementation\3. Analysis &amp; Design\Design\FC22\DRR Jaime\QUIFA-CAJÚA\Cajua\[CAJUA_CF_SEC_New_27-Feb-2024Rev3.xlsx]D-PNP'!</v>
      </c>
      <c r="G480" s="32" t="s">
        <v>37</v>
      </c>
      <c r="H480" s="33">
        <f t="shared" si="122"/>
        <v>34</v>
      </c>
      <c r="I480" s="33" t="str">
        <f t="shared" si="123"/>
        <v>='C:\Users\jaime.benazar\Quorum Business Solutions\Ecopetrol Prometeo - Documents\Planning Space Implementation\3. Analysis &amp; Design\Design\FC22\DRR Jaime\QUIFA-CAJÚA\Cajua\[CAJUA_CF_SEC_New_27-Feb-2024Rev3.xlsx]D-PNP'!$BW$34</v>
      </c>
      <c r="J480" s="37" t="s">
        <v>2244</v>
      </c>
    </row>
    <row r="481" spans="1:10" x14ac:dyDescent="0.25">
      <c r="A481" s="32" t="s">
        <v>2</v>
      </c>
      <c r="B481" s="32">
        <f t="shared" si="124"/>
        <v>2046</v>
      </c>
      <c r="C481" s="33" t="s">
        <v>8</v>
      </c>
      <c r="D481" s="34" t="s">
        <v>1999</v>
      </c>
      <c r="E481" s="35" t="str">
        <f t="shared" si="120"/>
        <v>PNP'!</v>
      </c>
      <c r="F481" s="34" t="str">
        <f t="shared" si="121"/>
        <v>C:\Users\jaime.benazar\Quorum Business Solutions\Ecopetrol Prometeo - Documents\Planning Space Implementation\3. Analysis &amp; Design\Design\FC22\DRR Jaime\QUIFA-CAJÚA\Cajua\[CAJUA_CF_SEC_New_27-Feb-2024Rev3.xlsx]D-PNP'!</v>
      </c>
      <c r="G481" s="32" t="s">
        <v>37</v>
      </c>
      <c r="H481" s="33">
        <f t="shared" si="122"/>
        <v>35</v>
      </c>
      <c r="I481" s="33" t="str">
        <f t="shared" si="123"/>
        <v>='C:\Users\jaime.benazar\Quorum Business Solutions\Ecopetrol Prometeo - Documents\Planning Space Implementation\3. Analysis &amp; Design\Design\FC22\DRR Jaime\QUIFA-CAJÚA\Cajua\[CAJUA_CF_SEC_New_27-Feb-2024Rev3.xlsx]D-PNP'!$BW$35</v>
      </c>
      <c r="J481" s="37" t="s">
        <v>2245</v>
      </c>
    </row>
    <row r="482" spans="1:10" x14ac:dyDescent="0.25">
      <c r="A482" s="32" t="s">
        <v>2</v>
      </c>
      <c r="B482" s="32">
        <f t="shared" si="124"/>
        <v>2047</v>
      </c>
      <c r="C482" s="33" t="s">
        <v>8</v>
      </c>
      <c r="D482" s="34" t="s">
        <v>1999</v>
      </c>
      <c r="E482" s="35" t="str">
        <f t="shared" si="120"/>
        <v>PNP'!</v>
      </c>
      <c r="F482" s="34" t="str">
        <f t="shared" si="121"/>
        <v>C:\Users\jaime.benazar\Quorum Business Solutions\Ecopetrol Prometeo - Documents\Planning Space Implementation\3. Analysis &amp; Design\Design\FC22\DRR Jaime\QUIFA-CAJÚA\Cajua\[CAJUA_CF_SEC_New_27-Feb-2024Rev3.xlsx]D-PNP'!</v>
      </c>
      <c r="G482" s="32" t="s">
        <v>37</v>
      </c>
      <c r="H482" s="33">
        <f t="shared" si="122"/>
        <v>36</v>
      </c>
      <c r="I482" s="33" t="str">
        <f t="shared" si="123"/>
        <v>='C:\Users\jaime.benazar\Quorum Business Solutions\Ecopetrol Prometeo - Documents\Planning Space Implementation\3. Analysis &amp; Design\Design\FC22\DRR Jaime\QUIFA-CAJÚA\Cajua\[CAJUA_CF_SEC_New_27-Feb-2024Rev3.xlsx]D-PNP'!$BW$36</v>
      </c>
      <c r="J482" s="37" t="s">
        <v>2246</v>
      </c>
    </row>
    <row r="483" spans="1:10" x14ac:dyDescent="0.25">
      <c r="A483" s="32" t="s">
        <v>2</v>
      </c>
      <c r="B483" s="32">
        <f t="shared" si="124"/>
        <v>2048</v>
      </c>
      <c r="C483" s="33" t="s">
        <v>8</v>
      </c>
      <c r="D483" s="34" t="s">
        <v>1999</v>
      </c>
      <c r="E483" s="35" t="str">
        <f t="shared" si="120"/>
        <v>PNP'!</v>
      </c>
      <c r="F483" s="34" t="str">
        <f t="shared" si="121"/>
        <v>C:\Users\jaime.benazar\Quorum Business Solutions\Ecopetrol Prometeo - Documents\Planning Space Implementation\3. Analysis &amp; Design\Design\FC22\DRR Jaime\QUIFA-CAJÚA\Cajua\[CAJUA_CF_SEC_New_27-Feb-2024Rev3.xlsx]D-PNP'!</v>
      </c>
      <c r="G483" s="32" t="s">
        <v>37</v>
      </c>
      <c r="H483" s="33">
        <f t="shared" si="122"/>
        <v>37</v>
      </c>
      <c r="I483" s="33" t="str">
        <f t="shared" si="123"/>
        <v>='C:\Users\jaime.benazar\Quorum Business Solutions\Ecopetrol Prometeo - Documents\Planning Space Implementation\3. Analysis &amp; Design\Design\FC22\DRR Jaime\QUIFA-CAJÚA\Cajua\[CAJUA_CF_SEC_New_27-Feb-2024Rev3.xlsx]D-PNP'!$BW$37</v>
      </c>
      <c r="J483" s="37" t="s">
        <v>2247</v>
      </c>
    </row>
    <row r="484" spans="1:10" x14ac:dyDescent="0.25">
      <c r="A484" s="32" t="s">
        <v>2</v>
      </c>
      <c r="B484" s="32">
        <f t="shared" si="124"/>
        <v>2049</v>
      </c>
      <c r="C484" s="33" t="s">
        <v>8</v>
      </c>
      <c r="D484" s="34" t="s">
        <v>1999</v>
      </c>
      <c r="E484" s="35" t="str">
        <f t="shared" si="120"/>
        <v>PNP'!</v>
      </c>
      <c r="F484" s="34" t="str">
        <f t="shared" si="121"/>
        <v>C:\Users\jaime.benazar\Quorum Business Solutions\Ecopetrol Prometeo - Documents\Planning Space Implementation\3. Analysis &amp; Design\Design\FC22\DRR Jaime\QUIFA-CAJÚA\Cajua\[CAJUA_CF_SEC_New_27-Feb-2024Rev3.xlsx]D-PNP'!</v>
      </c>
      <c r="G484" s="32" t="s">
        <v>37</v>
      </c>
      <c r="H484" s="33">
        <f t="shared" si="122"/>
        <v>38</v>
      </c>
      <c r="I484" s="33" t="str">
        <f t="shared" si="123"/>
        <v>='C:\Users\jaime.benazar\Quorum Business Solutions\Ecopetrol Prometeo - Documents\Planning Space Implementation\3. Analysis &amp; Design\Design\FC22\DRR Jaime\QUIFA-CAJÚA\Cajua\[CAJUA_CF_SEC_New_27-Feb-2024Rev3.xlsx]D-PNP'!$BW$38</v>
      </c>
      <c r="J484" s="37" t="s">
        <v>2248</v>
      </c>
    </row>
    <row r="485" spans="1:10" x14ac:dyDescent="0.25">
      <c r="A485" s="32" t="s">
        <v>2</v>
      </c>
      <c r="B485" s="32">
        <f t="shared" si="124"/>
        <v>2050</v>
      </c>
      <c r="C485" s="33" t="s">
        <v>8</v>
      </c>
      <c r="D485" s="34" t="s">
        <v>1999</v>
      </c>
      <c r="E485" s="35" t="str">
        <f t="shared" si="120"/>
        <v>PNP'!</v>
      </c>
      <c r="F485" s="34" t="str">
        <f t="shared" si="121"/>
        <v>C:\Users\jaime.benazar\Quorum Business Solutions\Ecopetrol Prometeo - Documents\Planning Space Implementation\3. Analysis &amp; Design\Design\FC22\DRR Jaime\QUIFA-CAJÚA\Cajua\[CAJUA_CF_SEC_New_27-Feb-2024Rev3.xlsx]D-PNP'!</v>
      </c>
      <c r="G485" s="32" t="s">
        <v>37</v>
      </c>
      <c r="H485" s="33">
        <f t="shared" si="122"/>
        <v>39</v>
      </c>
      <c r="I485" s="33" t="str">
        <f t="shared" si="123"/>
        <v>='C:\Users\jaime.benazar\Quorum Business Solutions\Ecopetrol Prometeo - Documents\Planning Space Implementation\3. Analysis &amp; Design\Design\FC22\DRR Jaime\QUIFA-CAJÚA\Cajua\[CAJUA_CF_SEC_New_27-Feb-2024Rev3.xlsx]D-PNP'!$BW$39</v>
      </c>
      <c r="J485" s="37" t="s">
        <v>2249</v>
      </c>
    </row>
    <row r="486" spans="1:10" x14ac:dyDescent="0.25">
      <c r="A486" s="32" t="s">
        <v>2</v>
      </c>
      <c r="B486" s="32">
        <f t="shared" si="124"/>
        <v>2051</v>
      </c>
      <c r="C486" s="33" t="s">
        <v>8</v>
      </c>
      <c r="D486" s="34" t="s">
        <v>1999</v>
      </c>
      <c r="E486" s="35" t="str">
        <f t="shared" si="120"/>
        <v>PNP'!</v>
      </c>
      <c r="F486" s="34" t="str">
        <f t="shared" si="121"/>
        <v>C:\Users\jaime.benazar\Quorum Business Solutions\Ecopetrol Prometeo - Documents\Planning Space Implementation\3. Analysis &amp; Design\Design\FC22\DRR Jaime\QUIFA-CAJÚA\Cajua\[CAJUA_CF_SEC_New_27-Feb-2024Rev3.xlsx]D-PNP'!</v>
      </c>
      <c r="G486" s="32" t="s">
        <v>37</v>
      </c>
      <c r="H486" s="33">
        <f t="shared" si="122"/>
        <v>40</v>
      </c>
      <c r="I486" s="33" t="str">
        <f t="shared" si="123"/>
        <v>='C:\Users\jaime.benazar\Quorum Business Solutions\Ecopetrol Prometeo - Documents\Planning Space Implementation\3. Analysis &amp; Design\Design\FC22\DRR Jaime\QUIFA-CAJÚA\Cajua\[CAJUA_CF_SEC_New_27-Feb-2024Rev3.xlsx]D-PNP'!$BW$40</v>
      </c>
      <c r="J486" s="37" t="s">
        <v>2250</v>
      </c>
    </row>
    <row r="487" spans="1:10" x14ac:dyDescent="0.25">
      <c r="A487" s="32" t="s">
        <v>2</v>
      </c>
      <c r="B487" s="32">
        <f t="shared" si="124"/>
        <v>2052</v>
      </c>
      <c r="C487" s="33" t="s">
        <v>8</v>
      </c>
      <c r="D487" s="34" t="s">
        <v>1999</v>
      </c>
      <c r="E487" s="35" t="str">
        <f t="shared" si="120"/>
        <v>PNP'!</v>
      </c>
      <c r="F487" s="34" t="str">
        <f t="shared" si="121"/>
        <v>C:\Users\jaime.benazar\Quorum Business Solutions\Ecopetrol Prometeo - Documents\Planning Space Implementation\3. Analysis &amp; Design\Design\FC22\DRR Jaime\QUIFA-CAJÚA\Cajua\[CAJUA_CF_SEC_New_27-Feb-2024Rev3.xlsx]D-PNP'!</v>
      </c>
      <c r="G487" s="32" t="s">
        <v>37</v>
      </c>
      <c r="H487" s="33">
        <f t="shared" si="122"/>
        <v>41</v>
      </c>
      <c r="I487" s="33" t="str">
        <f t="shared" si="123"/>
        <v>='C:\Users\jaime.benazar\Quorum Business Solutions\Ecopetrol Prometeo - Documents\Planning Space Implementation\3. Analysis &amp; Design\Design\FC22\DRR Jaime\QUIFA-CAJÚA\Cajua\[CAJUA_CF_SEC_New_27-Feb-2024Rev3.xlsx]D-PNP'!$BW$41</v>
      </c>
      <c r="J487" s="37" t="s">
        <v>2251</v>
      </c>
    </row>
    <row r="488" spans="1:10" x14ac:dyDescent="0.25">
      <c r="A488" s="32" t="s">
        <v>2</v>
      </c>
      <c r="B488" s="32">
        <f t="shared" si="124"/>
        <v>2053</v>
      </c>
      <c r="C488" s="33" t="s">
        <v>8</v>
      </c>
      <c r="D488" s="34" t="s">
        <v>1999</v>
      </c>
      <c r="E488" s="35" t="str">
        <f t="shared" si="120"/>
        <v>PNP'!</v>
      </c>
      <c r="F488" s="34" t="str">
        <f t="shared" si="121"/>
        <v>C:\Users\jaime.benazar\Quorum Business Solutions\Ecopetrol Prometeo - Documents\Planning Space Implementation\3. Analysis &amp; Design\Design\FC22\DRR Jaime\QUIFA-CAJÚA\Cajua\[CAJUA_CF_SEC_New_27-Feb-2024Rev3.xlsx]D-PNP'!</v>
      </c>
      <c r="G488" s="32" t="s">
        <v>37</v>
      </c>
      <c r="H488" s="33">
        <f t="shared" si="122"/>
        <v>42</v>
      </c>
      <c r="I488" s="33" t="str">
        <f t="shared" si="123"/>
        <v>='C:\Users\jaime.benazar\Quorum Business Solutions\Ecopetrol Prometeo - Documents\Planning Space Implementation\3. Analysis &amp; Design\Design\FC22\DRR Jaime\QUIFA-CAJÚA\Cajua\[CAJUA_CF_SEC_New_27-Feb-2024Rev3.xlsx]D-PNP'!$BW$42</v>
      </c>
      <c r="J488" s="37" t="s">
        <v>2252</v>
      </c>
    </row>
    <row r="489" spans="1:10" x14ac:dyDescent="0.25">
      <c r="A489" s="32" t="s">
        <v>2</v>
      </c>
      <c r="B489" s="32">
        <f t="shared" si="124"/>
        <v>2054</v>
      </c>
      <c r="C489" s="33" t="s">
        <v>8</v>
      </c>
      <c r="D489" s="34" t="s">
        <v>1999</v>
      </c>
      <c r="E489" s="35" t="str">
        <f t="shared" si="120"/>
        <v>PNP'!</v>
      </c>
      <c r="F489" s="34" t="str">
        <f t="shared" si="121"/>
        <v>C:\Users\jaime.benazar\Quorum Business Solutions\Ecopetrol Prometeo - Documents\Planning Space Implementation\3. Analysis &amp; Design\Design\FC22\DRR Jaime\QUIFA-CAJÚA\Cajua\[CAJUA_CF_SEC_New_27-Feb-2024Rev3.xlsx]D-PNP'!</v>
      </c>
      <c r="G489" s="32" t="s">
        <v>37</v>
      </c>
      <c r="H489" s="33">
        <f t="shared" si="122"/>
        <v>43</v>
      </c>
      <c r="I489" s="33" t="str">
        <f t="shared" si="123"/>
        <v>='C:\Users\jaime.benazar\Quorum Business Solutions\Ecopetrol Prometeo - Documents\Planning Space Implementation\3. Analysis &amp; Design\Design\FC22\DRR Jaime\QUIFA-CAJÚA\Cajua\[CAJUA_CF_SEC_New_27-Feb-2024Rev3.xlsx]D-PNP'!$BW$43</v>
      </c>
      <c r="J489" s="37" t="s">
        <v>2253</v>
      </c>
    </row>
    <row r="490" spans="1:10" x14ac:dyDescent="0.25">
      <c r="A490" s="32" t="s">
        <v>2</v>
      </c>
      <c r="B490" s="32">
        <f t="shared" si="124"/>
        <v>2055</v>
      </c>
      <c r="C490" s="33" t="s">
        <v>8</v>
      </c>
      <c r="D490" s="34" t="s">
        <v>1999</v>
      </c>
      <c r="E490" s="35" t="str">
        <f t="shared" si="120"/>
        <v>PNP'!</v>
      </c>
      <c r="F490" s="34" t="str">
        <f t="shared" si="121"/>
        <v>C:\Users\jaime.benazar\Quorum Business Solutions\Ecopetrol Prometeo - Documents\Planning Space Implementation\3. Analysis &amp; Design\Design\FC22\DRR Jaime\QUIFA-CAJÚA\Cajua\[CAJUA_CF_SEC_New_27-Feb-2024Rev3.xlsx]D-PNP'!</v>
      </c>
      <c r="G490" s="32" t="s">
        <v>37</v>
      </c>
      <c r="H490" s="33">
        <f t="shared" si="122"/>
        <v>44</v>
      </c>
      <c r="I490" s="33" t="str">
        <f t="shared" si="123"/>
        <v>='C:\Users\jaime.benazar\Quorum Business Solutions\Ecopetrol Prometeo - Documents\Planning Space Implementation\3. Analysis &amp; Design\Design\FC22\DRR Jaime\QUIFA-CAJÚA\Cajua\[CAJUA_CF_SEC_New_27-Feb-2024Rev3.xlsx]D-PNP'!$BW$44</v>
      </c>
      <c r="J490" s="37" t="s">
        <v>2254</v>
      </c>
    </row>
    <row r="491" spans="1:10" x14ac:dyDescent="0.25">
      <c r="A491" s="32" t="s">
        <v>2</v>
      </c>
      <c r="B491" s="32">
        <f t="shared" si="124"/>
        <v>2056</v>
      </c>
      <c r="C491" s="33" t="s">
        <v>8</v>
      </c>
      <c r="D491" s="34" t="s">
        <v>1999</v>
      </c>
      <c r="E491" s="35" t="str">
        <f t="shared" si="120"/>
        <v>PNP'!</v>
      </c>
      <c r="F491" s="34" t="str">
        <f t="shared" si="121"/>
        <v>C:\Users\jaime.benazar\Quorum Business Solutions\Ecopetrol Prometeo - Documents\Planning Space Implementation\3. Analysis &amp; Design\Design\FC22\DRR Jaime\QUIFA-CAJÚA\Cajua\[CAJUA_CF_SEC_New_27-Feb-2024Rev3.xlsx]D-PNP'!</v>
      </c>
      <c r="G491" s="32" t="s">
        <v>37</v>
      </c>
      <c r="H491" s="33">
        <f t="shared" si="122"/>
        <v>45</v>
      </c>
      <c r="I491" s="33" t="str">
        <f t="shared" si="123"/>
        <v>='C:\Users\jaime.benazar\Quorum Business Solutions\Ecopetrol Prometeo - Documents\Planning Space Implementation\3. Analysis &amp; Design\Design\FC22\DRR Jaime\QUIFA-CAJÚA\Cajua\[CAJUA_CF_SEC_New_27-Feb-2024Rev3.xlsx]D-PNP'!$BW$45</v>
      </c>
      <c r="J491" s="37" t="s">
        <v>2255</v>
      </c>
    </row>
    <row r="492" spans="1:10" x14ac:dyDescent="0.25">
      <c r="A492" s="32" t="s">
        <v>2</v>
      </c>
      <c r="B492" s="32">
        <f t="shared" si="124"/>
        <v>2057</v>
      </c>
      <c r="C492" s="33" t="s">
        <v>8</v>
      </c>
      <c r="D492" s="34" t="s">
        <v>1999</v>
      </c>
      <c r="E492" s="35" t="str">
        <f t="shared" si="120"/>
        <v>PNP'!</v>
      </c>
      <c r="F492" s="34" t="str">
        <f t="shared" si="121"/>
        <v>C:\Users\jaime.benazar\Quorum Business Solutions\Ecopetrol Prometeo - Documents\Planning Space Implementation\3. Analysis &amp; Design\Design\FC22\DRR Jaime\QUIFA-CAJÚA\Cajua\[CAJUA_CF_SEC_New_27-Feb-2024Rev3.xlsx]D-PNP'!</v>
      </c>
      <c r="G492" s="32" t="s">
        <v>37</v>
      </c>
      <c r="H492" s="33">
        <f t="shared" si="122"/>
        <v>46</v>
      </c>
      <c r="I492" s="33" t="str">
        <f t="shared" si="123"/>
        <v>='C:\Users\jaime.benazar\Quorum Business Solutions\Ecopetrol Prometeo - Documents\Planning Space Implementation\3. Analysis &amp; Design\Design\FC22\DRR Jaime\QUIFA-CAJÚA\Cajua\[CAJUA_CF_SEC_New_27-Feb-2024Rev3.xlsx]D-PNP'!$BW$46</v>
      </c>
      <c r="J492" s="37" t="s">
        <v>2256</v>
      </c>
    </row>
    <row r="493" spans="1:10" x14ac:dyDescent="0.25">
      <c r="A493" s="32" t="s">
        <v>2</v>
      </c>
      <c r="B493" s="32">
        <f t="shared" si="124"/>
        <v>2058</v>
      </c>
      <c r="C493" s="33" t="s">
        <v>8</v>
      </c>
      <c r="D493" s="34" t="s">
        <v>1999</v>
      </c>
      <c r="E493" s="35" t="str">
        <f t="shared" si="120"/>
        <v>PNP'!</v>
      </c>
      <c r="F493" s="34" t="str">
        <f t="shared" si="121"/>
        <v>C:\Users\jaime.benazar\Quorum Business Solutions\Ecopetrol Prometeo - Documents\Planning Space Implementation\3. Analysis &amp; Design\Design\FC22\DRR Jaime\QUIFA-CAJÚA\Cajua\[CAJUA_CF_SEC_New_27-Feb-2024Rev3.xlsx]D-PNP'!</v>
      </c>
      <c r="G493" s="32" t="s">
        <v>37</v>
      </c>
      <c r="H493" s="33">
        <f t="shared" si="122"/>
        <v>47</v>
      </c>
      <c r="I493" s="33" t="str">
        <f t="shared" si="123"/>
        <v>='C:\Users\jaime.benazar\Quorum Business Solutions\Ecopetrol Prometeo - Documents\Planning Space Implementation\3. Analysis &amp; Design\Design\FC22\DRR Jaime\QUIFA-CAJÚA\Cajua\[CAJUA_CF_SEC_New_27-Feb-2024Rev3.xlsx]D-PNP'!$BW$47</v>
      </c>
      <c r="J493" s="37" t="s">
        <v>2257</v>
      </c>
    </row>
    <row r="494" spans="1:10" x14ac:dyDescent="0.25">
      <c r="A494" s="32" t="s">
        <v>2</v>
      </c>
      <c r="B494" s="32">
        <f t="shared" si="124"/>
        <v>2059</v>
      </c>
      <c r="C494" s="33" t="s">
        <v>8</v>
      </c>
      <c r="D494" s="34" t="s">
        <v>1999</v>
      </c>
      <c r="E494" s="35" t="str">
        <f t="shared" si="120"/>
        <v>PNP'!</v>
      </c>
      <c r="F494" s="34" t="str">
        <f t="shared" si="121"/>
        <v>C:\Users\jaime.benazar\Quorum Business Solutions\Ecopetrol Prometeo - Documents\Planning Space Implementation\3. Analysis &amp; Design\Design\FC22\DRR Jaime\QUIFA-CAJÚA\Cajua\[CAJUA_CF_SEC_New_27-Feb-2024Rev3.xlsx]D-PNP'!</v>
      </c>
      <c r="G494" s="32" t="s">
        <v>37</v>
      </c>
      <c r="H494" s="33">
        <f t="shared" si="122"/>
        <v>48</v>
      </c>
      <c r="I494" s="33" t="str">
        <f t="shared" si="123"/>
        <v>='C:\Users\jaime.benazar\Quorum Business Solutions\Ecopetrol Prometeo - Documents\Planning Space Implementation\3. Analysis &amp; Design\Design\FC22\DRR Jaime\QUIFA-CAJÚA\Cajua\[CAJUA_CF_SEC_New_27-Feb-2024Rev3.xlsx]D-PNP'!$BW$48</v>
      </c>
      <c r="J494" s="37" t="s">
        <v>2258</v>
      </c>
    </row>
    <row r="495" spans="1:10" x14ac:dyDescent="0.25">
      <c r="A495" s="32" t="s">
        <v>28</v>
      </c>
      <c r="B495" s="32"/>
      <c r="C495" s="33" t="s">
        <v>8</v>
      </c>
      <c r="D495" s="34"/>
      <c r="E495" s="35"/>
      <c r="F495" s="34"/>
      <c r="G495" s="32"/>
      <c r="H495" s="33"/>
      <c r="I495" s="33"/>
      <c r="J495" s="33"/>
    </row>
    <row r="496" spans="1:10" x14ac:dyDescent="0.25">
      <c r="A496" s="32" t="s">
        <v>3</v>
      </c>
      <c r="B496" s="32">
        <v>2023</v>
      </c>
      <c r="C496" s="33" t="s">
        <v>8</v>
      </c>
      <c r="D496" s="34" t="s">
        <v>1999</v>
      </c>
      <c r="E496" s="35" t="str">
        <f t="shared" si="104"/>
        <v>PND'!</v>
      </c>
      <c r="F496" s="34" t="str">
        <f t="shared" si="105"/>
        <v>C:\Users\jaime.benazar\Quorum Business Solutions\Ecopetrol Prometeo - Documents\Planning Space Implementation\3. Analysis &amp; Design\Design\FC22\DRR Jaime\QUIFA-CAJÚA\Cajua\[CAJUA_CF_SEC_New_27-Feb-2024Rev3.xlsx]D-PND'!</v>
      </c>
      <c r="G496" s="32" t="s">
        <v>37</v>
      </c>
      <c r="H496" s="33">
        <v>12</v>
      </c>
      <c r="I496" s="33" t="str">
        <f t="shared" si="106"/>
        <v>='C:\Users\jaime.benazar\Quorum Business Solutions\Ecopetrol Prometeo - Documents\Planning Space Implementation\3. Analysis &amp; Design\Design\FC22\DRR Jaime\QUIFA-CAJÚA\Cajua\[CAJUA_CF_SEC_New_27-Feb-2024Rev3.xlsx]D-PND'!$BW$12</v>
      </c>
      <c r="J496" s="37" t="s">
        <v>2259</v>
      </c>
    </row>
    <row r="497" spans="1:10" x14ac:dyDescent="0.25">
      <c r="A497" s="32" t="s">
        <v>3</v>
      </c>
      <c r="B497" s="32">
        <f>+B496+1</f>
        <v>2024</v>
      </c>
      <c r="C497" s="33" t="s">
        <v>8</v>
      </c>
      <c r="D497" s="34" t="s">
        <v>1999</v>
      </c>
      <c r="E497" s="35" t="str">
        <f t="shared" si="104"/>
        <v>PND'!</v>
      </c>
      <c r="F497" s="34" t="str">
        <f t="shared" si="105"/>
        <v>C:\Users\jaime.benazar\Quorum Business Solutions\Ecopetrol Prometeo - Documents\Planning Space Implementation\3. Analysis &amp; Design\Design\FC22\DRR Jaime\QUIFA-CAJÚA\Cajua\[CAJUA_CF_SEC_New_27-Feb-2024Rev3.xlsx]D-PND'!</v>
      </c>
      <c r="G497" s="32" t="s">
        <v>37</v>
      </c>
      <c r="H497" s="33">
        <f t="shared" ref="H497:H516" si="125">IF(A497&lt;&gt;A496,12,H496+1)</f>
        <v>13</v>
      </c>
      <c r="I497" s="33" t="str">
        <f t="shared" si="106"/>
        <v>='C:\Users\jaime.benazar\Quorum Business Solutions\Ecopetrol Prometeo - Documents\Planning Space Implementation\3. Analysis &amp; Design\Design\FC22\DRR Jaime\QUIFA-CAJÚA\Cajua\[CAJUA_CF_SEC_New_27-Feb-2024Rev3.xlsx]D-PND'!$BW$13</v>
      </c>
      <c r="J497" s="37" t="s">
        <v>2260</v>
      </c>
    </row>
    <row r="498" spans="1:10" x14ac:dyDescent="0.25">
      <c r="A498" s="32" t="s">
        <v>3</v>
      </c>
      <c r="B498" s="32">
        <f t="shared" ref="B498:B509" si="126">+B497+1</f>
        <v>2025</v>
      </c>
      <c r="C498" s="33" t="s">
        <v>8</v>
      </c>
      <c r="D498" s="34" t="s">
        <v>1999</v>
      </c>
      <c r="E498" s="35" t="str">
        <f t="shared" si="104"/>
        <v>PND'!</v>
      </c>
      <c r="F498" s="34" t="str">
        <f t="shared" si="105"/>
        <v>C:\Users\jaime.benazar\Quorum Business Solutions\Ecopetrol Prometeo - Documents\Planning Space Implementation\3. Analysis &amp; Design\Design\FC22\DRR Jaime\QUIFA-CAJÚA\Cajua\[CAJUA_CF_SEC_New_27-Feb-2024Rev3.xlsx]D-PND'!</v>
      </c>
      <c r="G498" s="32" t="s">
        <v>37</v>
      </c>
      <c r="H498" s="33">
        <f t="shared" si="125"/>
        <v>14</v>
      </c>
      <c r="I498" s="33" t="str">
        <f t="shared" si="106"/>
        <v>='C:\Users\jaime.benazar\Quorum Business Solutions\Ecopetrol Prometeo - Documents\Planning Space Implementation\3. Analysis &amp; Design\Design\FC22\DRR Jaime\QUIFA-CAJÚA\Cajua\[CAJUA_CF_SEC_New_27-Feb-2024Rev3.xlsx]D-PND'!$BW$14</v>
      </c>
      <c r="J498" s="37" t="s">
        <v>2261</v>
      </c>
    </row>
    <row r="499" spans="1:10" x14ac:dyDescent="0.25">
      <c r="A499" s="32" t="s">
        <v>3</v>
      </c>
      <c r="B499" s="32">
        <f t="shared" si="126"/>
        <v>2026</v>
      </c>
      <c r="C499" s="33" t="s">
        <v>8</v>
      </c>
      <c r="D499" s="34" t="s">
        <v>1999</v>
      </c>
      <c r="E499" s="35" t="str">
        <f t="shared" si="104"/>
        <v>PND'!</v>
      </c>
      <c r="F499" s="34" t="str">
        <f t="shared" si="105"/>
        <v>C:\Users\jaime.benazar\Quorum Business Solutions\Ecopetrol Prometeo - Documents\Planning Space Implementation\3. Analysis &amp; Design\Design\FC22\DRR Jaime\QUIFA-CAJÚA\Cajua\[CAJUA_CF_SEC_New_27-Feb-2024Rev3.xlsx]D-PND'!</v>
      </c>
      <c r="G499" s="32" t="s">
        <v>37</v>
      </c>
      <c r="H499" s="33">
        <f t="shared" si="125"/>
        <v>15</v>
      </c>
      <c r="I499" s="33" t="str">
        <f t="shared" si="106"/>
        <v>='C:\Users\jaime.benazar\Quorum Business Solutions\Ecopetrol Prometeo - Documents\Planning Space Implementation\3. Analysis &amp; Design\Design\FC22\DRR Jaime\QUIFA-CAJÚA\Cajua\[CAJUA_CF_SEC_New_27-Feb-2024Rev3.xlsx]D-PND'!$BW$15</v>
      </c>
      <c r="J499" s="37" t="s">
        <v>2262</v>
      </c>
    </row>
    <row r="500" spans="1:10" x14ac:dyDescent="0.25">
      <c r="A500" s="32" t="s">
        <v>3</v>
      </c>
      <c r="B500" s="32">
        <f t="shared" si="126"/>
        <v>2027</v>
      </c>
      <c r="C500" s="33" t="s">
        <v>8</v>
      </c>
      <c r="D500" s="34" t="s">
        <v>1999</v>
      </c>
      <c r="E500" s="35" t="str">
        <f t="shared" si="104"/>
        <v>PND'!</v>
      </c>
      <c r="F500" s="34" t="str">
        <f t="shared" si="105"/>
        <v>C:\Users\jaime.benazar\Quorum Business Solutions\Ecopetrol Prometeo - Documents\Planning Space Implementation\3. Analysis &amp; Design\Design\FC22\DRR Jaime\QUIFA-CAJÚA\Cajua\[CAJUA_CF_SEC_New_27-Feb-2024Rev3.xlsx]D-PND'!</v>
      </c>
      <c r="G500" s="32" t="s">
        <v>37</v>
      </c>
      <c r="H500" s="33">
        <f t="shared" si="125"/>
        <v>16</v>
      </c>
      <c r="I500" s="33" t="str">
        <f t="shared" si="106"/>
        <v>='C:\Users\jaime.benazar\Quorum Business Solutions\Ecopetrol Prometeo - Documents\Planning Space Implementation\3. Analysis &amp; Design\Design\FC22\DRR Jaime\QUIFA-CAJÚA\Cajua\[CAJUA_CF_SEC_New_27-Feb-2024Rev3.xlsx]D-PND'!$BW$16</v>
      </c>
      <c r="J500" s="37" t="s">
        <v>2263</v>
      </c>
    </row>
    <row r="501" spans="1:10" x14ac:dyDescent="0.25">
      <c r="A501" s="32" t="s">
        <v>3</v>
      </c>
      <c r="B501" s="32">
        <f t="shared" si="126"/>
        <v>2028</v>
      </c>
      <c r="C501" s="33" t="s">
        <v>8</v>
      </c>
      <c r="D501" s="34" t="s">
        <v>1999</v>
      </c>
      <c r="E501" s="35" t="str">
        <f t="shared" si="104"/>
        <v>PND'!</v>
      </c>
      <c r="F501" s="34" t="str">
        <f t="shared" si="105"/>
        <v>C:\Users\jaime.benazar\Quorum Business Solutions\Ecopetrol Prometeo - Documents\Planning Space Implementation\3. Analysis &amp; Design\Design\FC22\DRR Jaime\QUIFA-CAJÚA\Cajua\[CAJUA_CF_SEC_New_27-Feb-2024Rev3.xlsx]D-PND'!</v>
      </c>
      <c r="G501" s="32" t="s">
        <v>37</v>
      </c>
      <c r="H501" s="33">
        <f t="shared" si="125"/>
        <v>17</v>
      </c>
      <c r="I501" s="33" t="str">
        <f t="shared" si="106"/>
        <v>='C:\Users\jaime.benazar\Quorum Business Solutions\Ecopetrol Prometeo - Documents\Planning Space Implementation\3. Analysis &amp; Design\Design\FC22\DRR Jaime\QUIFA-CAJÚA\Cajua\[CAJUA_CF_SEC_New_27-Feb-2024Rev3.xlsx]D-PND'!$BW$17</v>
      </c>
      <c r="J501" s="37" t="s">
        <v>2264</v>
      </c>
    </row>
    <row r="502" spans="1:10" x14ac:dyDescent="0.25">
      <c r="A502" s="32" t="s">
        <v>3</v>
      </c>
      <c r="B502" s="32">
        <f t="shared" si="126"/>
        <v>2029</v>
      </c>
      <c r="C502" s="33" t="s">
        <v>8</v>
      </c>
      <c r="D502" s="34" t="s">
        <v>1999</v>
      </c>
      <c r="E502" s="35" t="str">
        <f t="shared" si="104"/>
        <v>PND'!</v>
      </c>
      <c r="F502" s="34" t="str">
        <f t="shared" si="105"/>
        <v>C:\Users\jaime.benazar\Quorum Business Solutions\Ecopetrol Prometeo - Documents\Planning Space Implementation\3. Analysis &amp; Design\Design\FC22\DRR Jaime\QUIFA-CAJÚA\Cajua\[CAJUA_CF_SEC_New_27-Feb-2024Rev3.xlsx]D-PND'!</v>
      </c>
      <c r="G502" s="32" t="s">
        <v>37</v>
      </c>
      <c r="H502" s="33">
        <f t="shared" si="125"/>
        <v>18</v>
      </c>
      <c r="I502" s="33" t="str">
        <f t="shared" si="106"/>
        <v>='C:\Users\jaime.benazar\Quorum Business Solutions\Ecopetrol Prometeo - Documents\Planning Space Implementation\3. Analysis &amp; Design\Design\FC22\DRR Jaime\QUIFA-CAJÚA\Cajua\[CAJUA_CF_SEC_New_27-Feb-2024Rev3.xlsx]D-PND'!$BW$18</v>
      </c>
      <c r="J502" s="37" t="s">
        <v>2265</v>
      </c>
    </row>
    <row r="503" spans="1:10" x14ac:dyDescent="0.25">
      <c r="A503" s="32" t="s">
        <v>3</v>
      </c>
      <c r="B503" s="32">
        <f t="shared" si="126"/>
        <v>2030</v>
      </c>
      <c r="C503" s="33" t="s">
        <v>8</v>
      </c>
      <c r="D503" s="34" t="s">
        <v>1999</v>
      </c>
      <c r="E503" s="35" t="str">
        <f t="shared" si="104"/>
        <v>PND'!</v>
      </c>
      <c r="F503" s="34" t="str">
        <f t="shared" si="105"/>
        <v>C:\Users\jaime.benazar\Quorum Business Solutions\Ecopetrol Prometeo - Documents\Planning Space Implementation\3. Analysis &amp; Design\Design\FC22\DRR Jaime\QUIFA-CAJÚA\Cajua\[CAJUA_CF_SEC_New_27-Feb-2024Rev3.xlsx]D-PND'!</v>
      </c>
      <c r="G503" s="32" t="s">
        <v>37</v>
      </c>
      <c r="H503" s="33">
        <f t="shared" si="125"/>
        <v>19</v>
      </c>
      <c r="I503" s="33" t="str">
        <f t="shared" si="106"/>
        <v>='C:\Users\jaime.benazar\Quorum Business Solutions\Ecopetrol Prometeo - Documents\Planning Space Implementation\3. Analysis &amp; Design\Design\FC22\DRR Jaime\QUIFA-CAJÚA\Cajua\[CAJUA_CF_SEC_New_27-Feb-2024Rev3.xlsx]D-PND'!$BW$19</v>
      </c>
      <c r="J503" s="37" t="s">
        <v>2266</v>
      </c>
    </row>
    <row r="504" spans="1:10" x14ac:dyDescent="0.25">
      <c r="A504" s="32" t="s">
        <v>3</v>
      </c>
      <c r="B504" s="32">
        <f t="shared" si="126"/>
        <v>2031</v>
      </c>
      <c r="C504" s="33" t="s">
        <v>8</v>
      </c>
      <c r="D504" s="34" t="s">
        <v>1999</v>
      </c>
      <c r="E504" s="35" t="str">
        <f t="shared" si="104"/>
        <v>PND'!</v>
      </c>
      <c r="F504" s="34" t="str">
        <f t="shared" si="105"/>
        <v>C:\Users\jaime.benazar\Quorum Business Solutions\Ecopetrol Prometeo - Documents\Planning Space Implementation\3. Analysis &amp; Design\Design\FC22\DRR Jaime\QUIFA-CAJÚA\Cajua\[CAJUA_CF_SEC_New_27-Feb-2024Rev3.xlsx]D-PND'!</v>
      </c>
      <c r="G504" s="32" t="s">
        <v>37</v>
      </c>
      <c r="H504" s="33">
        <f t="shared" si="125"/>
        <v>20</v>
      </c>
      <c r="I504" s="33" t="str">
        <f t="shared" si="106"/>
        <v>='C:\Users\jaime.benazar\Quorum Business Solutions\Ecopetrol Prometeo - Documents\Planning Space Implementation\3. Analysis &amp; Design\Design\FC22\DRR Jaime\QUIFA-CAJÚA\Cajua\[CAJUA_CF_SEC_New_27-Feb-2024Rev3.xlsx]D-PND'!$BW$20</v>
      </c>
      <c r="J504" s="37" t="s">
        <v>2267</v>
      </c>
    </row>
    <row r="505" spans="1:10" x14ac:dyDescent="0.25">
      <c r="A505" s="32" t="s">
        <v>3</v>
      </c>
      <c r="B505" s="32">
        <f t="shared" si="126"/>
        <v>2032</v>
      </c>
      <c r="C505" s="33" t="s">
        <v>8</v>
      </c>
      <c r="D505" s="34" t="s">
        <v>1999</v>
      </c>
      <c r="E505" s="35" t="str">
        <f t="shared" si="104"/>
        <v>PND'!</v>
      </c>
      <c r="F505" s="34" t="str">
        <f t="shared" si="105"/>
        <v>C:\Users\jaime.benazar\Quorum Business Solutions\Ecopetrol Prometeo - Documents\Planning Space Implementation\3. Analysis &amp; Design\Design\FC22\DRR Jaime\QUIFA-CAJÚA\Cajua\[CAJUA_CF_SEC_New_27-Feb-2024Rev3.xlsx]D-PND'!</v>
      </c>
      <c r="G505" s="32" t="s">
        <v>37</v>
      </c>
      <c r="H505" s="33">
        <f t="shared" si="125"/>
        <v>21</v>
      </c>
      <c r="I505" s="33" t="str">
        <f t="shared" si="106"/>
        <v>='C:\Users\jaime.benazar\Quorum Business Solutions\Ecopetrol Prometeo - Documents\Planning Space Implementation\3. Analysis &amp; Design\Design\FC22\DRR Jaime\QUIFA-CAJÚA\Cajua\[CAJUA_CF_SEC_New_27-Feb-2024Rev3.xlsx]D-PND'!$BW$21</v>
      </c>
      <c r="J505" s="37" t="s">
        <v>2268</v>
      </c>
    </row>
    <row r="506" spans="1:10" x14ac:dyDescent="0.25">
      <c r="A506" s="32" t="s">
        <v>3</v>
      </c>
      <c r="B506" s="32">
        <f t="shared" si="126"/>
        <v>2033</v>
      </c>
      <c r="C506" s="33" t="s">
        <v>8</v>
      </c>
      <c r="D506" s="34" t="s">
        <v>1999</v>
      </c>
      <c r="E506" s="35" t="str">
        <f t="shared" si="104"/>
        <v>PND'!</v>
      </c>
      <c r="F506" s="34" t="str">
        <f t="shared" si="105"/>
        <v>C:\Users\jaime.benazar\Quorum Business Solutions\Ecopetrol Prometeo - Documents\Planning Space Implementation\3. Analysis &amp; Design\Design\FC22\DRR Jaime\QUIFA-CAJÚA\Cajua\[CAJUA_CF_SEC_New_27-Feb-2024Rev3.xlsx]D-PND'!</v>
      </c>
      <c r="G506" s="32" t="s">
        <v>37</v>
      </c>
      <c r="H506" s="33">
        <f t="shared" si="125"/>
        <v>22</v>
      </c>
      <c r="I506" s="33" t="str">
        <f t="shared" si="106"/>
        <v>='C:\Users\jaime.benazar\Quorum Business Solutions\Ecopetrol Prometeo - Documents\Planning Space Implementation\3. Analysis &amp; Design\Design\FC22\DRR Jaime\QUIFA-CAJÚA\Cajua\[CAJUA_CF_SEC_New_27-Feb-2024Rev3.xlsx]D-PND'!$BW$22</v>
      </c>
      <c r="J506" s="37" t="s">
        <v>2269</v>
      </c>
    </row>
    <row r="507" spans="1:10" x14ac:dyDescent="0.25">
      <c r="A507" s="32" t="s">
        <v>3</v>
      </c>
      <c r="B507" s="32">
        <f t="shared" si="126"/>
        <v>2034</v>
      </c>
      <c r="C507" s="33" t="s">
        <v>8</v>
      </c>
      <c r="D507" s="34" t="s">
        <v>1999</v>
      </c>
      <c r="E507" s="35" t="str">
        <f t="shared" si="104"/>
        <v>PND'!</v>
      </c>
      <c r="F507" s="34" t="str">
        <f t="shared" si="105"/>
        <v>C:\Users\jaime.benazar\Quorum Business Solutions\Ecopetrol Prometeo - Documents\Planning Space Implementation\3. Analysis &amp; Design\Design\FC22\DRR Jaime\QUIFA-CAJÚA\Cajua\[CAJUA_CF_SEC_New_27-Feb-2024Rev3.xlsx]D-PND'!</v>
      </c>
      <c r="G507" s="32" t="s">
        <v>37</v>
      </c>
      <c r="H507" s="33">
        <f t="shared" si="125"/>
        <v>23</v>
      </c>
      <c r="I507" s="33" t="str">
        <f t="shared" si="106"/>
        <v>='C:\Users\jaime.benazar\Quorum Business Solutions\Ecopetrol Prometeo - Documents\Planning Space Implementation\3. Analysis &amp; Design\Design\FC22\DRR Jaime\QUIFA-CAJÚA\Cajua\[CAJUA_CF_SEC_New_27-Feb-2024Rev3.xlsx]D-PND'!$BW$23</v>
      </c>
      <c r="J507" s="37" t="s">
        <v>2270</v>
      </c>
    </row>
    <row r="508" spans="1:10" x14ac:dyDescent="0.25">
      <c r="A508" s="32" t="s">
        <v>3</v>
      </c>
      <c r="B508" s="32">
        <f t="shared" si="126"/>
        <v>2035</v>
      </c>
      <c r="C508" s="33" t="s">
        <v>8</v>
      </c>
      <c r="D508" s="34" t="s">
        <v>1999</v>
      </c>
      <c r="E508" s="35" t="str">
        <f t="shared" si="104"/>
        <v>PND'!</v>
      </c>
      <c r="F508" s="34" t="str">
        <f t="shared" si="105"/>
        <v>C:\Users\jaime.benazar\Quorum Business Solutions\Ecopetrol Prometeo - Documents\Planning Space Implementation\3. Analysis &amp; Design\Design\FC22\DRR Jaime\QUIFA-CAJÚA\Cajua\[CAJUA_CF_SEC_New_27-Feb-2024Rev3.xlsx]D-PND'!</v>
      </c>
      <c r="G508" s="32" t="s">
        <v>37</v>
      </c>
      <c r="H508" s="33">
        <f t="shared" si="125"/>
        <v>24</v>
      </c>
      <c r="I508" s="33" t="str">
        <f t="shared" si="106"/>
        <v>='C:\Users\jaime.benazar\Quorum Business Solutions\Ecopetrol Prometeo - Documents\Planning Space Implementation\3. Analysis &amp; Design\Design\FC22\DRR Jaime\QUIFA-CAJÚA\Cajua\[CAJUA_CF_SEC_New_27-Feb-2024Rev3.xlsx]D-PND'!$BW$24</v>
      </c>
      <c r="J508" s="37" t="s">
        <v>2271</v>
      </c>
    </row>
    <row r="509" spans="1:10" x14ac:dyDescent="0.25">
      <c r="A509" s="32" t="s">
        <v>3</v>
      </c>
      <c r="B509" s="32">
        <f t="shared" si="126"/>
        <v>2036</v>
      </c>
      <c r="C509" s="33" t="s">
        <v>8</v>
      </c>
      <c r="D509" s="34" t="s">
        <v>1999</v>
      </c>
      <c r="E509" s="35" t="str">
        <f t="shared" si="104"/>
        <v>PND'!</v>
      </c>
      <c r="F509" s="34" t="str">
        <f t="shared" si="105"/>
        <v>C:\Users\jaime.benazar\Quorum Business Solutions\Ecopetrol Prometeo - Documents\Planning Space Implementation\3. Analysis &amp; Design\Design\FC22\DRR Jaime\QUIFA-CAJÚA\Cajua\[CAJUA_CF_SEC_New_27-Feb-2024Rev3.xlsx]D-PND'!</v>
      </c>
      <c r="G509" s="32" t="s">
        <v>37</v>
      </c>
      <c r="H509" s="33">
        <f t="shared" si="125"/>
        <v>25</v>
      </c>
      <c r="I509" s="33" t="str">
        <f t="shared" si="106"/>
        <v>='C:\Users\jaime.benazar\Quorum Business Solutions\Ecopetrol Prometeo - Documents\Planning Space Implementation\3. Analysis &amp; Design\Design\FC22\DRR Jaime\QUIFA-CAJÚA\Cajua\[CAJUA_CF_SEC_New_27-Feb-2024Rev3.xlsx]D-PND'!$BW$25</v>
      </c>
      <c r="J509" s="37" t="s">
        <v>2272</v>
      </c>
    </row>
    <row r="510" spans="1:10" x14ac:dyDescent="0.25">
      <c r="A510" s="32" t="s">
        <v>3</v>
      </c>
      <c r="B510" s="32">
        <f>+B509+1</f>
        <v>2037</v>
      </c>
      <c r="C510" s="33" t="s">
        <v>8</v>
      </c>
      <c r="D510" s="34" t="s">
        <v>1999</v>
      </c>
      <c r="E510" s="35" t="str">
        <f t="shared" si="104"/>
        <v>PND'!</v>
      </c>
      <c r="F510" s="34" t="str">
        <f t="shared" si="105"/>
        <v>C:\Users\jaime.benazar\Quorum Business Solutions\Ecopetrol Prometeo - Documents\Planning Space Implementation\3. Analysis &amp; Design\Design\FC22\DRR Jaime\QUIFA-CAJÚA\Cajua\[CAJUA_CF_SEC_New_27-Feb-2024Rev3.xlsx]D-PND'!</v>
      </c>
      <c r="G510" s="32" t="s">
        <v>37</v>
      </c>
      <c r="H510" s="33">
        <f t="shared" si="125"/>
        <v>26</v>
      </c>
      <c r="I510" s="33" t="str">
        <f t="shared" si="106"/>
        <v>='C:\Users\jaime.benazar\Quorum Business Solutions\Ecopetrol Prometeo - Documents\Planning Space Implementation\3. Analysis &amp; Design\Design\FC22\DRR Jaime\QUIFA-CAJÚA\Cajua\[CAJUA_CF_SEC_New_27-Feb-2024Rev3.xlsx]D-PND'!$BW$26</v>
      </c>
      <c r="J510" s="37" t="s">
        <v>2273</v>
      </c>
    </row>
    <row r="511" spans="1:10" x14ac:dyDescent="0.25">
      <c r="A511" s="32" t="s">
        <v>3</v>
      </c>
      <c r="B511" s="32">
        <f t="shared" ref="B511:B513" si="127">+B510+1</f>
        <v>2038</v>
      </c>
      <c r="C511" s="33" t="s">
        <v>8</v>
      </c>
      <c r="D511" s="34" t="s">
        <v>1999</v>
      </c>
      <c r="E511" s="35" t="str">
        <f t="shared" si="104"/>
        <v>PND'!</v>
      </c>
      <c r="F511" s="34" t="str">
        <f t="shared" si="105"/>
        <v>C:\Users\jaime.benazar\Quorum Business Solutions\Ecopetrol Prometeo - Documents\Planning Space Implementation\3. Analysis &amp; Design\Design\FC22\DRR Jaime\QUIFA-CAJÚA\Cajua\[CAJUA_CF_SEC_New_27-Feb-2024Rev3.xlsx]D-PND'!</v>
      </c>
      <c r="G511" s="32" t="s">
        <v>37</v>
      </c>
      <c r="H511" s="33">
        <f t="shared" si="125"/>
        <v>27</v>
      </c>
      <c r="I511" s="33" t="str">
        <f t="shared" si="106"/>
        <v>='C:\Users\jaime.benazar\Quorum Business Solutions\Ecopetrol Prometeo - Documents\Planning Space Implementation\3. Analysis &amp; Design\Design\FC22\DRR Jaime\QUIFA-CAJÚA\Cajua\[CAJUA_CF_SEC_New_27-Feb-2024Rev3.xlsx]D-PND'!$BW$27</v>
      </c>
      <c r="J511" s="37" t="s">
        <v>2274</v>
      </c>
    </row>
    <row r="512" spans="1:10" x14ac:dyDescent="0.25">
      <c r="A512" s="32" t="s">
        <v>3</v>
      </c>
      <c r="B512" s="32">
        <f t="shared" si="127"/>
        <v>2039</v>
      </c>
      <c r="C512" s="33" t="s">
        <v>8</v>
      </c>
      <c r="D512" s="34" t="s">
        <v>1999</v>
      </c>
      <c r="E512" s="35" t="str">
        <f t="shared" si="104"/>
        <v>PND'!</v>
      </c>
      <c r="F512" s="34" t="str">
        <f t="shared" si="105"/>
        <v>C:\Users\jaime.benazar\Quorum Business Solutions\Ecopetrol Prometeo - Documents\Planning Space Implementation\3. Analysis &amp; Design\Design\FC22\DRR Jaime\QUIFA-CAJÚA\Cajua\[CAJUA_CF_SEC_New_27-Feb-2024Rev3.xlsx]D-PND'!</v>
      </c>
      <c r="G512" s="32" t="s">
        <v>37</v>
      </c>
      <c r="H512" s="33">
        <f t="shared" si="125"/>
        <v>28</v>
      </c>
      <c r="I512" s="33" t="str">
        <f t="shared" si="106"/>
        <v>='C:\Users\jaime.benazar\Quorum Business Solutions\Ecopetrol Prometeo - Documents\Planning Space Implementation\3. Analysis &amp; Design\Design\FC22\DRR Jaime\QUIFA-CAJÚA\Cajua\[CAJUA_CF_SEC_New_27-Feb-2024Rev3.xlsx]D-PND'!$BW$28</v>
      </c>
      <c r="J512" s="37" t="s">
        <v>2275</v>
      </c>
    </row>
    <row r="513" spans="1:10" x14ac:dyDescent="0.25">
      <c r="A513" s="32" t="s">
        <v>3</v>
      </c>
      <c r="B513" s="32">
        <f t="shared" si="127"/>
        <v>2040</v>
      </c>
      <c r="C513" s="33" t="s">
        <v>8</v>
      </c>
      <c r="D513" s="34" t="s">
        <v>1999</v>
      </c>
      <c r="E513" s="35" t="str">
        <f t="shared" si="104"/>
        <v>PND'!</v>
      </c>
      <c r="F513" s="34" t="str">
        <f t="shared" si="105"/>
        <v>C:\Users\jaime.benazar\Quorum Business Solutions\Ecopetrol Prometeo - Documents\Planning Space Implementation\3. Analysis &amp; Design\Design\FC22\DRR Jaime\QUIFA-CAJÚA\Cajua\[CAJUA_CF_SEC_New_27-Feb-2024Rev3.xlsx]D-PND'!</v>
      </c>
      <c r="G513" s="32" t="s">
        <v>37</v>
      </c>
      <c r="H513" s="33">
        <f t="shared" si="125"/>
        <v>29</v>
      </c>
      <c r="I513" s="33" t="str">
        <f t="shared" si="106"/>
        <v>='C:\Users\jaime.benazar\Quorum Business Solutions\Ecopetrol Prometeo - Documents\Planning Space Implementation\3. Analysis &amp; Design\Design\FC22\DRR Jaime\QUIFA-CAJÚA\Cajua\[CAJUA_CF_SEC_New_27-Feb-2024Rev3.xlsx]D-PND'!$BW$29</v>
      </c>
      <c r="J513" s="37" t="s">
        <v>2276</v>
      </c>
    </row>
    <row r="514" spans="1:10" x14ac:dyDescent="0.25">
      <c r="A514" s="32" t="s">
        <v>3</v>
      </c>
      <c r="B514" s="32">
        <f>+B513+1</f>
        <v>2041</v>
      </c>
      <c r="C514" s="33" t="s">
        <v>8</v>
      </c>
      <c r="D514" s="34" t="s">
        <v>1999</v>
      </c>
      <c r="E514" s="35" t="str">
        <f t="shared" si="104"/>
        <v>PND'!</v>
      </c>
      <c r="F514" s="34" t="str">
        <f t="shared" si="105"/>
        <v>C:\Users\jaime.benazar\Quorum Business Solutions\Ecopetrol Prometeo - Documents\Planning Space Implementation\3. Analysis &amp; Design\Design\FC22\DRR Jaime\QUIFA-CAJÚA\Cajua\[CAJUA_CF_SEC_New_27-Feb-2024Rev3.xlsx]D-PND'!</v>
      </c>
      <c r="G514" s="32" t="s">
        <v>37</v>
      </c>
      <c r="H514" s="33">
        <f t="shared" si="125"/>
        <v>30</v>
      </c>
      <c r="I514" s="33" t="str">
        <f t="shared" si="106"/>
        <v>='C:\Users\jaime.benazar\Quorum Business Solutions\Ecopetrol Prometeo - Documents\Planning Space Implementation\3. Analysis &amp; Design\Design\FC22\DRR Jaime\QUIFA-CAJÚA\Cajua\[CAJUA_CF_SEC_New_27-Feb-2024Rev3.xlsx]D-PND'!$BW$30</v>
      </c>
      <c r="J514" s="37" t="s">
        <v>2277</v>
      </c>
    </row>
    <row r="515" spans="1:10" x14ac:dyDescent="0.25">
      <c r="A515" s="32" t="s">
        <v>3</v>
      </c>
      <c r="B515" s="32">
        <f t="shared" ref="B515:B516" si="128">+B514+1</f>
        <v>2042</v>
      </c>
      <c r="C515" s="33" t="s">
        <v>8</v>
      </c>
      <c r="D515" s="34" t="s">
        <v>1999</v>
      </c>
      <c r="E515" s="35" t="str">
        <f t="shared" ref="E515:E820" si="129">_xlfn.CONCAT(A515,"'!")</f>
        <v>PND'!</v>
      </c>
      <c r="F515" s="34" t="str">
        <f t="shared" ref="F515:F820" si="130">_xlfn.CONCAT(D515:E515)</f>
        <v>C:\Users\jaime.benazar\Quorum Business Solutions\Ecopetrol Prometeo - Documents\Planning Space Implementation\3. Analysis &amp; Design\Design\FC22\DRR Jaime\QUIFA-CAJÚA\Cajua\[CAJUA_CF_SEC_New_27-Feb-2024Rev3.xlsx]D-PND'!</v>
      </c>
      <c r="G515" s="32" t="s">
        <v>37</v>
      </c>
      <c r="H515" s="33">
        <f t="shared" si="125"/>
        <v>31</v>
      </c>
      <c r="I515" s="33" t="str">
        <f t="shared" ref="I515:I820" si="131">_xlfn.CONCAT("='",F515:H515)</f>
        <v>='C:\Users\jaime.benazar\Quorum Business Solutions\Ecopetrol Prometeo - Documents\Planning Space Implementation\3. Analysis &amp; Design\Design\FC22\DRR Jaime\QUIFA-CAJÚA\Cajua\[CAJUA_CF_SEC_New_27-Feb-2024Rev3.xlsx]D-PND'!$BW$31</v>
      </c>
      <c r="J515" s="37" t="s">
        <v>2278</v>
      </c>
    </row>
    <row r="516" spans="1:10" x14ac:dyDescent="0.25">
      <c r="A516" s="32" t="s">
        <v>3</v>
      </c>
      <c r="B516" s="32">
        <f t="shared" si="128"/>
        <v>2043</v>
      </c>
      <c r="C516" s="33" t="s">
        <v>8</v>
      </c>
      <c r="D516" s="34" t="s">
        <v>1999</v>
      </c>
      <c r="E516" s="35" t="str">
        <f t="shared" si="129"/>
        <v>PND'!</v>
      </c>
      <c r="F516" s="34" t="str">
        <f t="shared" si="130"/>
        <v>C:\Users\jaime.benazar\Quorum Business Solutions\Ecopetrol Prometeo - Documents\Planning Space Implementation\3. Analysis &amp; Design\Design\FC22\DRR Jaime\QUIFA-CAJÚA\Cajua\[CAJUA_CF_SEC_New_27-Feb-2024Rev3.xlsx]D-PND'!</v>
      </c>
      <c r="G516" s="32" t="s">
        <v>37</v>
      </c>
      <c r="H516" s="33">
        <f t="shared" si="125"/>
        <v>32</v>
      </c>
      <c r="I516" s="33" t="str">
        <f t="shared" si="131"/>
        <v>='C:\Users\jaime.benazar\Quorum Business Solutions\Ecopetrol Prometeo - Documents\Planning Space Implementation\3. Analysis &amp; Design\Design\FC22\DRR Jaime\QUIFA-CAJÚA\Cajua\[CAJUA_CF_SEC_New_27-Feb-2024Rev3.xlsx]D-PND'!$BW$32</v>
      </c>
      <c r="J516" s="37" t="s">
        <v>2279</v>
      </c>
    </row>
    <row r="517" spans="1:10" x14ac:dyDescent="0.25">
      <c r="A517" s="32" t="s">
        <v>3</v>
      </c>
      <c r="B517" s="32">
        <f>+B516+1</f>
        <v>2044</v>
      </c>
      <c r="C517" s="33" t="s">
        <v>8</v>
      </c>
      <c r="D517" s="34" t="s">
        <v>1999</v>
      </c>
      <c r="E517" s="35" t="str">
        <f t="shared" ref="E517:E532" si="132">_xlfn.CONCAT(A517,"'!")</f>
        <v>PND'!</v>
      </c>
      <c r="F517" s="34" t="str">
        <f t="shared" ref="F517:F532" si="133">_xlfn.CONCAT(D517:E517)</f>
        <v>C:\Users\jaime.benazar\Quorum Business Solutions\Ecopetrol Prometeo - Documents\Planning Space Implementation\3. Analysis &amp; Design\Design\FC22\DRR Jaime\QUIFA-CAJÚA\Cajua\[CAJUA_CF_SEC_New_27-Feb-2024Rev3.xlsx]D-PND'!</v>
      </c>
      <c r="G517" s="32" t="s">
        <v>37</v>
      </c>
      <c r="H517" s="33">
        <f t="shared" ref="H517:H532" si="134">IF(A517&lt;&gt;A516,12,H516+1)</f>
        <v>33</v>
      </c>
      <c r="I517" s="33" t="str">
        <f t="shared" ref="I517:I532" si="135">_xlfn.CONCAT("='",F517:H517)</f>
        <v>='C:\Users\jaime.benazar\Quorum Business Solutions\Ecopetrol Prometeo - Documents\Planning Space Implementation\3. Analysis &amp; Design\Design\FC22\DRR Jaime\QUIFA-CAJÚA\Cajua\[CAJUA_CF_SEC_New_27-Feb-2024Rev3.xlsx]D-PND'!$BW$33</v>
      </c>
      <c r="J517" s="37" t="s">
        <v>2280</v>
      </c>
    </row>
    <row r="518" spans="1:10" x14ac:dyDescent="0.25">
      <c r="A518" s="32" t="s">
        <v>3</v>
      </c>
      <c r="B518" s="32">
        <f t="shared" ref="B518:B532" si="136">+B517+1</f>
        <v>2045</v>
      </c>
      <c r="C518" s="33" t="s">
        <v>8</v>
      </c>
      <c r="D518" s="34" t="s">
        <v>1999</v>
      </c>
      <c r="E518" s="35" t="str">
        <f t="shared" si="132"/>
        <v>PND'!</v>
      </c>
      <c r="F518" s="34" t="str">
        <f t="shared" si="133"/>
        <v>C:\Users\jaime.benazar\Quorum Business Solutions\Ecopetrol Prometeo - Documents\Planning Space Implementation\3. Analysis &amp; Design\Design\FC22\DRR Jaime\QUIFA-CAJÚA\Cajua\[CAJUA_CF_SEC_New_27-Feb-2024Rev3.xlsx]D-PND'!</v>
      </c>
      <c r="G518" s="32" t="s">
        <v>37</v>
      </c>
      <c r="H518" s="33">
        <f t="shared" si="134"/>
        <v>34</v>
      </c>
      <c r="I518" s="33" t="str">
        <f t="shared" si="135"/>
        <v>='C:\Users\jaime.benazar\Quorum Business Solutions\Ecopetrol Prometeo - Documents\Planning Space Implementation\3. Analysis &amp; Design\Design\FC22\DRR Jaime\QUIFA-CAJÚA\Cajua\[CAJUA_CF_SEC_New_27-Feb-2024Rev3.xlsx]D-PND'!$BW$34</v>
      </c>
      <c r="J518" s="37" t="s">
        <v>2281</v>
      </c>
    </row>
    <row r="519" spans="1:10" x14ac:dyDescent="0.25">
      <c r="A519" s="32" t="s">
        <v>3</v>
      </c>
      <c r="B519" s="32">
        <f t="shared" si="136"/>
        <v>2046</v>
      </c>
      <c r="C519" s="33" t="s">
        <v>8</v>
      </c>
      <c r="D519" s="34" t="s">
        <v>1999</v>
      </c>
      <c r="E519" s="35" t="str">
        <f t="shared" si="132"/>
        <v>PND'!</v>
      </c>
      <c r="F519" s="34" t="str">
        <f t="shared" si="133"/>
        <v>C:\Users\jaime.benazar\Quorum Business Solutions\Ecopetrol Prometeo - Documents\Planning Space Implementation\3. Analysis &amp; Design\Design\FC22\DRR Jaime\QUIFA-CAJÚA\Cajua\[CAJUA_CF_SEC_New_27-Feb-2024Rev3.xlsx]D-PND'!</v>
      </c>
      <c r="G519" s="32" t="s">
        <v>37</v>
      </c>
      <c r="H519" s="33">
        <f t="shared" si="134"/>
        <v>35</v>
      </c>
      <c r="I519" s="33" t="str">
        <f t="shared" si="135"/>
        <v>='C:\Users\jaime.benazar\Quorum Business Solutions\Ecopetrol Prometeo - Documents\Planning Space Implementation\3. Analysis &amp; Design\Design\FC22\DRR Jaime\QUIFA-CAJÚA\Cajua\[CAJUA_CF_SEC_New_27-Feb-2024Rev3.xlsx]D-PND'!$BW$35</v>
      </c>
      <c r="J519" s="37" t="s">
        <v>2282</v>
      </c>
    </row>
    <row r="520" spans="1:10" x14ac:dyDescent="0.25">
      <c r="A520" s="32" t="s">
        <v>3</v>
      </c>
      <c r="B520" s="32">
        <f t="shared" si="136"/>
        <v>2047</v>
      </c>
      <c r="C520" s="33" t="s">
        <v>8</v>
      </c>
      <c r="D520" s="34" t="s">
        <v>1999</v>
      </c>
      <c r="E520" s="35" t="str">
        <f t="shared" si="132"/>
        <v>PND'!</v>
      </c>
      <c r="F520" s="34" t="str">
        <f t="shared" si="133"/>
        <v>C:\Users\jaime.benazar\Quorum Business Solutions\Ecopetrol Prometeo - Documents\Planning Space Implementation\3. Analysis &amp; Design\Design\FC22\DRR Jaime\QUIFA-CAJÚA\Cajua\[CAJUA_CF_SEC_New_27-Feb-2024Rev3.xlsx]D-PND'!</v>
      </c>
      <c r="G520" s="32" t="s">
        <v>37</v>
      </c>
      <c r="H520" s="33">
        <f t="shared" si="134"/>
        <v>36</v>
      </c>
      <c r="I520" s="33" t="str">
        <f t="shared" si="135"/>
        <v>='C:\Users\jaime.benazar\Quorum Business Solutions\Ecopetrol Prometeo - Documents\Planning Space Implementation\3. Analysis &amp; Design\Design\FC22\DRR Jaime\QUIFA-CAJÚA\Cajua\[CAJUA_CF_SEC_New_27-Feb-2024Rev3.xlsx]D-PND'!$BW$36</v>
      </c>
      <c r="J520" s="37" t="s">
        <v>2283</v>
      </c>
    </row>
    <row r="521" spans="1:10" x14ac:dyDescent="0.25">
      <c r="A521" s="32" t="s">
        <v>3</v>
      </c>
      <c r="B521" s="32">
        <f t="shared" si="136"/>
        <v>2048</v>
      </c>
      <c r="C521" s="33" t="s">
        <v>8</v>
      </c>
      <c r="D521" s="34" t="s">
        <v>1999</v>
      </c>
      <c r="E521" s="35" t="str">
        <f t="shared" si="132"/>
        <v>PND'!</v>
      </c>
      <c r="F521" s="34" t="str">
        <f t="shared" si="133"/>
        <v>C:\Users\jaime.benazar\Quorum Business Solutions\Ecopetrol Prometeo - Documents\Planning Space Implementation\3. Analysis &amp; Design\Design\FC22\DRR Jaime\QUIFA-CAJÚA\Cajua\[CAJUA_CF_SEC_New_27-Feb-2024Rev3.xlsx]D-PND'!</v>
      </c>
      <c r="G521" s="32" t="s">
        <v>37</v>
      </c>
      <c r="H521" s="33">
        <f t="shared" si="134"/>
        <v>37</v>
      </c>
      <c r="I521" s="33" t="str">
        <f t="shared" si="135"/>
        <v>='C:\Users\jaime.benazar\Quorum Business Solutions\Ecopetrol Prometeo - Documents\Planning Space Implementation\3. Analysis &amp; Design\Design\FC22\DRR Jaime\QUIFA-CAJÚA\Cajua\[CAJUA_CF_SEC_New_27-Feb-2024Rev3.xlsx]D-PND'!$BW$37</v>
      </c>
      <c r="J521" s="37" t="s">
        <v>2284</v>
      </c>
    </row>
    <row r="522" spans="1:10" x14ac:dyDescent="0.25">
      <c r="A522" s="32" t="s">
        <v>3</v>
      </c>
      <c r="B522" s="32">
        <f t="shared" si="136"/>
        <v>2049</v>
      </c>
      <c r="C522" s="33" t="s">
        <v>8</v>
      </c>
      <c r="D522" s="34" t="s">
        <v>1999</v>
      </c>
      <c r="E522" s="35" t="str">
        <f t="shared" si="132"/>
        <v>PND'!</v>
      </c>
      <c r="F522" s="34" t="str">
        <f t="shared" si="133"/>
        <v>C:\Users\jaime.benazar\Quorum Business Solutions\Ecopetrol Prometeo - Documents\Planning Space Implementation\3. Analysis &amp; Design\Design\FC22\DRR Jaime\QUIFA-CAJÚA\Cajua\[CAJUA_CF_SEC_New_27-Feb-2024Rev3.xlsx]D-PND'!</v>
      </c>
      <c r="G522" s="32" t="s">
        <v>37</v>
      </c>
      <c r="H522" s="33">
        <f t="shared" si="134"/>
        <v>38</v>
      </c>
      <c r="I522" s="33" t="str">
        <f t="shared" si="135"/>
        <v>='C:\Users\jaime.benazar\Quorum Business Solutions\Ecopetrol Prometeo - Documents\Planning Space Implementation\3. Analysis &amp; Design\Design\FC22\DRR Jaime\QUIFA-CAJÚA\Cajua\[CAJUA_CF_SEC_New_27-Feb-2024Rev3.xlsx]D-PND'!$BW$38</v>
      </c>
      <c r="J522" s="37" t="s">
        <v>2285</v>
      </c>
    </row>
    <row r="523" spans="1:10" x14ac:dyDescent="0.25">
      <c r="A523" s="32" t="s">
        <v>3</v>
      </c>
      <c r="B523" s="32">
        <f t="shared" si="136"/>
        <v>2050</v>
      </c>
      <c r="C523" s="33" t="s">
        <v>8</v>
      </c>
      <c r="D523" s="34" t="s">
        <v>1999</v>
      </c>
      <c r="E523" s="35" t="str">
        <f t="shared" si="132"/>
        <v>PND'!</v>
      </c>
      <c r="F523" s="34" t="str">
        <f t="shared" si="133"/>
        <v>C:\Users\jaime.benazar\Quorum Business Solutions\Ecopetrol Prometeo - Documents\Planning Space Implementation\3. Analysis &amp; Design\Design\FC22\DRR Jaime\QUIFA-CAJÚA\Cajua\[CAJUA_CF_SEC_New_27-Feb-2024Rev3.xlsx]D-PND'!</v>
      </c>
      <c r="G523" s="32" t="s">
        <v>37</v>
      </c>
      <c r="H523" s="33">
        <f t="shared" si="134"/>
        <v>39</v>
      </c>
      <c r="I523" s="33" t="str">
        <f t="shared" si="135"/>
        <v>='C:\Users\jaime.benazar\Quorum Business Solutions\Ecopetrol Prometeo - Documents\Planning Space Implementation\3. Analysis &amp; Design\Design\FC22\DRR Jaime\QUIFA-CAJÚA\Cajua\[CAJUA_CF_SEC_New_27-Feb-2024Rev3.xlsx]D-PND'!$BW$39</v>
      </c>
      <c r="J523" s="37" t="s">
        <v>2286</v>
      </c>
    </row>
    <row r="524" spans="1:10" x14ac:dyDescent="0.25">
      <c r="A524" s="32" t="s">
        <v>3</v>
      </c>
      <c r="B524" s="32">
        <f t="shared" si="136"/>
        <v>2051</v>
      </c>
      <c r="C524" s="33" t="s">
        <v>8</v>
      </c>
      <c r="D524" s="34" t="s">
        <v>1999</v>
      </c>
      <c r="E524" s="35" t="str">
        <f t="shared" si="132"/>
        <v>PND'!</v>
      </c>
      <c r="F524" s="34" t="str">
        <f t="shared" si="133"/>
        <v>C:\Users\jaime.benazar\Quorum Business Solutions\Ecopetrol Prometeo - Documents\Planning Space Implementation\3. Analysis &amp; Design\Design\FC22\DRR Jaime\QUIFA-CAJÚA\Cajua\[CAJUA_CF_SEC_New_27-Feb-2024Rev3.xlsx]D-PND'!</v>
      </c>
      <c r="G524" s="32" t="s">
        <v>37</v>
      </c>
      <c r="H524" s="33">
        <f t="shared" si="134"/>
        <v>40</v>
      </c>
      <c r="I524" s="33" t="str">
        <f t="shared" si="135"/>
        <v>='C:\Users\jaime.benazar\Quorum Business Solutions\Ecopetrol Prometeo - Documents\Planning Space Implementation\3. Analysis &amp; Design\Design\FC22\DRR Jaime\QUIFA-CAJÚA\Cajua\[CAJUA_CF_SEC_New_27-Feb-2024Rev3.xlsx]D-PND'!$BW$40</v>
      </c>
      <c r="J524" s="37" t="s">
        <v>2287</v>
      </c>
    </row>
    <row r="525" spans="1:10" x14ac:dyDescent="0.25">
      <c r="A525" s="32" t="s">
        <v>3</v>
      </c>
      <c r="B525" s="32">
        <f t="shared" si="136"/>
        <v>2052</v>
      </c>
      <c r="C525" s="33" t="s">
        <v>8</v>
      </c>
      <c r="D525" s="34" t="s">
        <v>1999</v>
      </c>
      <c r="E525" s="35" t="str">
        <f t="shared" si="132"/>
        <v>PND'!</v>
      </c>
      <c r="F525" s="34" t="str">
        <f t="shared" si="133"/>
        <v>C:\Users\jaime.benazar\Quorum Business Solutions\Ecopetrol Prometeo - Documents\Planning Space Implementation\3. Analysis &amp; Design\Design\FC22\DRR Jaime\QUIFA-CAJÚA\Cajua\[CAJUA_CF_SEC_New_27-Feb-2024Rev3.xlsx]D-PND'!</v>
      </c>
      <c r="G525" s="32" t="s">
        <v>37</v>
      </c>
      <c r="H525" s="33">
        <f t="shared" si="134"/>
        <v>41</v>
      </c>
      <c r="I525" s="33" t="str">
        <f t="shared" si="135"/>
        <v>='C:\Users\jaime.benazar\Quorum Business Solutions\Ecopetrol Prometeo - Documents\Planning Space Implementation\3. Analysis &amp; Design\Design\FC22\DRR Jaime\QUIFA-CAJÚA\Cajua\[CAJUA_CF_SEC_New_27-Feb-2024Rev3.xlsx]D-PND'!$BW$41</v>
      </c>
      <c r="J525" s="37" t="s">
        <v>2288</v>
      </c>
    </row>
    <row r="526" spans="1:10" x14ac:dyDescent="0.25">
      <c r="A526" s="32" t="s">
        <v>3</v>
      </c>
      <c r="B526" s="32">
        <f t="shared" si="136"/>
        <v>2053</v>
      </c>
      <c r="C526" s="33" t="s">
        <v>8</v>
      </c>
      <c r="D526" s="34" t="s">
        <v>1999</v>
      </c>
      <c r="E526" s="35" t="str">
        <f t="shared" si="132"/>
        <v>PND'!</v>
      </c>
      <c r="F526" s="34" t="str">
        <f t="shared" si="133"/>
        <v>C:\Users\jaime.benazar\Quorum Business Solutions\Ecopetrol Prometeo - Documents\Planning Space Implementation\3. Analysis &amp; Design\Design\FC22\DRR Jaime\QUIFA-CAJÚA\Cajua\[CAJUA_CF_SEC_New_27-Feb-2024Rev3.xlsx]D-PND'!</v>
      </c>
      <c r="G526" s="32" t="s">
        <v>37</v>
      </c>
      <c r="H526" s="33">
        <f t="shared" si="134"/>
        <v>42</v>
      </c>
      <c r="I526" s="33" t="str">
        <f t="shared" si="135"/>
        <v>='C:\Users\jaime.benazar\Quorum Business Solutions\Ecopetrol Prometeo - Documents\Planning Space Implementation\3. Analysis &amp; Design\Design\FC22\DRR Jaime\QUIFA-CAJÚA\Cajua\[CAJUA_CF_SEC_New_27-Feb-2024Rev3.xlsx]D-PND'!$BW$42</v>
      </c>
      <c r="J526" s="37" t="s">
        <v>2289</v>
      </c>
    </row>
    <row r="527" spans="1:10" x14ac:dyDescent="0.25">
      <c r="A527" s="32" t="s">
        <v>3</v>
      </c>
      <c r="B527" s="32">
        <f t="shared" si="136"/>
        <v>2054</v>
      </c>
      <c r="C527" s="33" t="s">
        <v>8</v>
      </c>
      <c r="D527" s="34" t="s">
        <v>1999</v>
      </c>
      <c r="E527" s="35" t="str">
        <f t="shared" si="132"/>
        <v>PND'!</v>
      </c>
      <c r="F527" s="34" t="str">
        <f t="shared" si="133"/>
        <v>C:\Users\jaime.benazar\Quorum Business Solutions\Ecopetrol Prometeo - Documents\Planning Space Implementation\3. Analysis &amp; Design\Design\FC22\DRR Jaime\QUIFA-CAJÚA\Cajua\[CAJUA_CF_SEC_New_27-Feb-2024Rev3.xlsx]D-PND'!</v>
      </c>
      <c r="G527" s="32" t="s">
        <v>37</v>
      </c>
      <c r="H527" s="33">
        <f t="shared" si="134"/>
        <v>43</v>
      </c>
      <c r="I527" s="33" t="str">
        <f t="shared" si="135"/>
        <v>='C:\Users\jaime.benazar\Quorum Business Solutions\Ecopetrol Prometeo - Documents\Planning Space Implementation\3. Analysis &amp; Design\Design\FC22\DRR Jaime\QUIFA-CAJÚA\Cajua\[CAJUA_CF_SEC_New_27-Feb-2024Rev3.xlsx]D-PND'!$BW$43</v>
      </c>
      <c r="J527" s="37" t="s">
        <v>2290</v>
      </c>
    </row>
    <row r="528" spans="1:10" x14ac:dyDescent="0.25">
      <c r="A528" s="32" t="s">
        <v>3</v>
      </c>
      <c r="B528" s="32">
        <f t="shared" si="136"/>
        <v>2055</v>
      </c>
      <c r="C528" s="33" t="s">
        <v>8</v>
      </c>
      <c r="D528" s="34" t="s">
        <v>1999</v>
      </c>
      <c r="E528" s="35" t="str">
        <f t="shared" si="132"/>
        <v>PND'!</v>
      </c>
      <c r="F528" s="34" t="str">
        <f t="shared" si="133"/>
        <v>C:\Users\jaime.benazar\Quorum Business Solutions\Ecopetrol Prometeo - Documents\Planning Space Implementation\3. Analysis &amp; Design\Design\FC22\DRR Jaime\QUIFA-CAJÚA\Cajua\[CAJUA_CF_SEC_New_27-Feb-2024Rev3.xlsx]D-PND'!</v>
      </c>
      <c r="G528" s="32" t="s">
        <v>37</v>
      </c>
      <c r="H528" s="33">
        <f t="shared" si="134"/>
        <v>44</v>
      </c>
      <c r="I528" s="33" t="str">
        <f t="shared" si="135"/>
        <v>='C:\Users\jaime.benazar\Quorum Business Solutions\Ecopetrol Prometeo - Documents\Planning Space Implementation\3. Analysis &amp; Design\Design\FC22\DRR Jaime\QUIFA-CAJÚA\Cajua\[CAJUA_CF_SEC_New_27-Feb-2024Rev3.xlsx]D-PND'!$BW$44</v>
      </c>
      <c r="J528" s="37" t="s">
        <v>2291</v>
      </c>
    </row>
    <row r="529" spans="1:10" x14ac:dyDescent="0.25">
      <c r="A529" s="32" t="s">
        <v>3</v>
      </c>
      <c r="B529" s="32">
        <f t="shared" si="136"/>
        <v>2056</v>
      </c>
      <c r="C529" s="33" t="s">
        <v>8</v>
      </c>
      <c r="D529" s="34" t="s">
        <v>1999</v>
      </c>
      <c r="E529" s="35" t="str">
        <f t="shared" si="132"/>
        <v>PND'!</v>
      </c>
      <c r="F529" s="34" t="str">
        <f t="shared" si="133"/>
        <v>C:\Users\jaime.benazar\Quorum Business Solutions\Ecopetrol Prometeo - Documents\Planning Space Implementation\3. Analysis &amp; Design\Design\FC22\DRR Jaime\QUIFA-CAJÚA\Cajua\[CAJUA_CF_SEC_New_27-Feb-2024Rev3.xlsx]D-PND'!</v>
      </c>
      <c r="G529" s="32" t="s">
        <v>37</v>
      </c>
      <c r="H529" s="33">
        <f t="shared" si="134"/>
        <v>45</v>
      </c>
      <c r="I529" s="33" t="str">
        <f t="shared" si="135"/>
        <v>='C:\Users\jaime.benazar\Quorum Business Solutions\Ecopetrol Prometeo - Documents\Planning Space Implementation\3. Analysis &amp; Design\Design\FC22\DRR Jaime\QUIFA-CAJÚA\Cajua\[CAJUA_CF_SEC_New_27-Feb-2024Rev3.xlsx]D-PND'!$BW$45</v>
      </c>
      <c r="J529" s="37" t="s">
        <v>2292</v>
      </c>
    </row>
    <row r="530" spans="1:10" x14ac:dyDescent="0.25">
      <c r="A530" s="32" t="s">
        <v>3</v>
      </c>
      <c r="B530" s="32">
        <f t="shared" si="136"/>
        <v>2057</v>
      </c>
      <c r="C530" s="33" t="s">
        <v>8</v>
      </c>
      <c r="D530" s="34" t="s">
        <v>1999</v>
      </c>
      <c r="E530" s="35" t="str">
        <f t="shared" si="132"/>
        <v>PND'!</v>
      </c>
      <c r="F530" s="34" t="str">
        <f t="shared" si="133"/>
        <v>C:\Users\jaime.benazar\Quorum Business Solutions\Ecopetrol Prometeo - Documents\Planning Space Implementation\3. Analysis &amp; Design\Design\FC22\DRR Jaime\QUIFA-CAJÚA\Cajua\[CAJUA_CF_SEC_New_27-Feb-2024Rev3.xlsx]D-PND'!</v>
      </c>
      <c r="G530" s="32" t="s">
        <v>37</v>
      </c>
      <c r="H530" s="33">
        <f t="shared" si="134"/>
        <v>46</v>
      </c>
      <c r="I530" s="33" t="str">
        <f t="shared" si="135"/>
        <v>='C:\Users\jaime.benazar\Quorum Business Solutions\Ecopetrol Prometeo - Documents\Planning Space Implementation\3. Analysis &amp; Design\Design\FC22\DRR Jaime\QUIFA-CAJÚA\Cajua\[CAJUA_CF_SEC_New_27-Feb-2024Rev3.xlsx]D-PND'!$BW$46</v>
      </c>
      <c r="J530" s="37" t="s">
        <v>2293</v>
      </c>
    </row>
    <row r="531" spans="1:10" x14ac:dyDescent="0.25">
      <c r="A531" s="32" t="s">
        <v>3</v>
      </c>
      <c r="B531" s="32">
        <f t="shared" si="136"/>
        <v>2058</v>
      </c>
      <c r="C531" s="33" t="s">
        <v>8</v>
      </c>
      <c r="D531" s="34" t="s">
        <v>1999</v>
      </c>
      <c r="E531" s="35" t="str">
        <f t="shared" si="132"/>
        <v>PND'!</v>
      </c>
      <c r="F531" s="34" t="str">
        <f t="shared" si="133"/>
        <v>C:\Users\jaime.benazar\Quorum Business Solutions\Ecopetrol Prometeo - Documents\Planning Space Implementation\3. Analysis &amp; Design\Design\FC22\DRR Jaime\QUIFA-CAJÚA\Cajua\[CAJUA_CF_SEC_New_27-Feb-2024Rev3.xlsx]D-PND'!</v>
      </c>
      <c r="G531" s="32" t="s">
        <v>37</v>
      </c>
      <c r="H531" s="33">
        <f t="shared" si="134"/>
        <v>47</v>
      </c>
      <c r="I531" s="33" t="str">
        <f t="shared" si="135"/>
        <v>='C:\Users\jaime.benazar\Quorum Business Solutions\Ecopetrol Prometeo - Documents\Planning Space Implementation\3. Analysis &amp; Design\Design\FC22\DRR Jaime\QUIFA-CAJÚA\Cajua\[CAJUA_CF_SEC_New_27-Feb-2024Rev3.xlsx]D-PND'!$BW$47</v>
      </c>
      <c r="J531" s="37" t="s">
        <v>2294</v>
      </c>
    </row>
    <row r="532" spans="1:10" x14ac:dyDescent="0.25">
      <c r="A532" s="32" t="s">
        <v>3</v>
      </c>
      <c r="B532" s="32">
        <f t="shared" si="136"/>
        <v>2059</v>
      </c>
      <c r="C532" s="33" t="s">
        <v>8</v>
      </c>
      <c r="D532" s="34" t="s">
        <v>1999</v>
      </c>
      <c r="E532" s="35" t="str">
        <f t="shared" si="132"/>
        <v>PND'!</v>
      </c>
      <c r="F532" s="34" t="str">
        <f t="shared" si="133"/>
        <v>C:\Users\jaime.benazar\Quorum Business Solutions\Ecopetrol Prometeo - Documents\Planning Space Implementation\3. Analysis &amp; Design\Design\FC22\DRR Jaime\QUIFA-CAJÚA\Cajua\[CAJUA_CF_SEC_New_27-Feb-2024Rev3.xlsx]D-PND'!</v>
      </c>
      <c r="G532" s="32" t="s">
        <v>37</v>
      </c>
      <c r="H532" s="33">
        <f t="shared" si="134"/>
        <v>48</v>
      </c>
      <c r="I532" s="33" t="str">
        <f t="shared" si="135"/>
        <v>='C:\Users\jaime.benazar\Quorum Business Solutions\Ecopetrol Prometeo - Documents\Planning Space Implementation\3. Analysis &amp; Design\Design\FC22\DRR Jaime\QUIFA-CAJÚA\Cajua\[CAJUA_CF_SEC_New_27-Feb-2024Rev3.xlsx]D-PND'!$BW$48</v>
      </c>
      <c r="J532" s="37" t="s">
        <v>2295</v>
      </c>
    </row>
    <row r="533" spans="1:10" x14ac:dyDescent="0.25">
      <c r="A533" s="32" t="s">
        <v>28</v>
      </c>
      <c r="B533" s="32"/>
      <c r="C533" s="33" t="s">
        <v>8</v>
      </c>
      <c r="D533" s="34"/>
      <c r="E533" s="35"/>
      <c r="F533" s="34"/>
      <c r="G533" s="32"/>
      <c r="H533" s="33"/>
      <c r="I533" s="33"/>
      <c r="J533" s="33"/>
    </row>
    <row r="534" spans="1:10" x14ac:dyDescent="0.25">
      <c r="A534" s="32" t="s">
        <v>99</v>
      </c>
      <c r="B534" s="32">
        <v>2023</v>
      </c>
      <c r="C534" s="33" t="s">
        <v>8</v>
      </c>
      <c r="D534" s="34" t="s">
        <v>1999</v>
      </c>
      <c r="E534" s="35" t="str">
        <f t="shared" ref="E534:E554" si="137">_xlfn.CONCAT(A534,"'!")</f>
        <v>PRBDP'!</v>
      </c>
      <c r="F534" s="34" t="str">
        <f t="shared" ref="F534:F554" si="138">_xlfn.CONCAT(D534:E534)</f>
        <v>C:\Users\jaime.benazar\Quorum Business Solutions\Ecopetrol Prometeo - Documents\Planning Space Implementation\3. Analysis &amp; Design\Design\FC22\DRR Jaime\QUIFA-CAJÚA\Cajua\[CAJUA_CF_SEC_New_27-Feb-2024Rev3.xlsx]D-PRBDP'!</v>
      </c>
      <c r="G534" s="32" t="s">
        <v>37</v>
      </c>
      <c r="H534" s="33"/>
      <c r="I534" s="33"/>
      <c r="J534" s="37"/>
    </row>
    <row r="535" spans="1:10" x14ac:dyDescent="0.25">
      <c r="A535" s="32" t="s">
        <v>99</v>
      </c>
      <c r="B535" s="32">
        <f>+B534+1</f>
        <v>2024</v>
      </c>
      <c r="C535" s="33" t="s">
        <v>8</v>
      </c>
      <c r="D535" s="34" t="s">
        <v>1999</v>
      </c>
      <c r="E535" s="35" t="str">
        <f t="shared" si="137"/>
        <v>PRBDP'!</v>
      </c>
      <c r="F535" s="34" t="str">
        <f t="shared" si="138"/>
        <v>C:\Users\jaime.benazar\Quorum Business Solutions\Ecopetrol Prometeo - Documents\Planning Space Implementation\3. Analysis &amp; Design\Design\FC22\DRR Jaime\QUIFA-CAJÚA\Cajua\[CAJUA_CF_SEC_New_27-Feb-2024Rev3.xlsx]D-PRBDP'!</v>
      </c>
      <c r="G535" s="32" t="s">
        <v>37</v>
      </c>
      <c r="H535" s="33"/>
      <c r="I535" s="33"/>
      <c r="J535" s="37"/>
    </row>
    <row r="536" spans="1:10" x14ac:dyDescent="0.25">
      <c r="A536" s="32" t="s">
        <v>99</v>
      </c>
      <c r="B536" s="32">
        <f t="shared" ref="B536:B547" si="139">+B535+1</f>
        <v>2025</v>
      </c>
      <c r="C536" s="33" t="s">
        <v>8</v>
      </c>
      <c r="D536" s="34" t="s">
        <v>1999</v>
      </c>
      <c r="E536" s="35" t="str">
        <f t="shared" si="137"/>
        <v>PRBDP'!</v>
      </c>
      <c r="F536" s="34" t="str">
        <f t="shared" si="138"/>
        <v>C:\Users\jaime.benazar\Quorum Business Solutions\Ecopetrol Prometeo - Documents\Planning Space Implementation\3. Analysis &amp; Design\Design\FC22\DRR Jaime\QUIFA-CAJÚA\Cajua\[CAJUA_CF_SEC_New_27-Feb-2024Rev3.xlsx]D-PRBDP'!</v>
      </c>
      <c r="G536" s="32" t="s">
        <v>37</v>
      </c>
      <c r="H536" s="33"/>
      <c r="I536" s="33"/>
      <c r="J536" s="37"/>
    </row>
    <row r="537" spans="1:10" x14ac:dyDescent="0.25">
      <c r="A537" s="32" t="s">
        <v>99</v>
      </c>
      <c r="B537" s="32">
        <f t="shared" si="139"/>
        <v>2026</v>
      </c>
      <c r="C537" s="33" t="s">
        <v>8</v>
      </c>
      <c r="D537" s="34" t="s">
        <v>1999</v>
      </c>
      <c r="E537" s="35" t="str">
        <f t="shared" si="137"/>
        <v>PRBDP'!</v>
      </c>
      <c r="F537" s="34" t="str">
        <f t="shared" si="138"/>
        <v>C:\Users\jaime.benazar\Quorum Business Solutions\Ecopetrol Prometeo - Documents\Planning Space Implementation\3. Analysis &amp; Design\Design\FC22\DRR Jaime\QUIFA-CAJÚA\Cajua\[CAJUA_CF_SEC_New_27-Feb-2024Rev3.xlsx]D-PRBDP'!</v>
      </c>
      <c r="G537" s="32" t="s">
        <v>37</v>
      </c>
      <c r="H537" s="33"/>
      <c r="I537" s="33"/>
      <c r="J537" s="37"/>
    </row>
    <row r="538" spans="1:10" x14ac:dyDescent="0.25">
      <c r="A538" s="32" t="s">
        <v>99</v>
      </c>
      <c r="B538" s="32">
        <f t="shared" si="139"/>
        <v>2027</v>
      </c>
      <c r="C538" s="33" t="s">
        <v>8</v>
      </c>
      <c r="D538" s="34" t="s">
        <v>1999</v>
      </c>
      <c r="E538" s="35" t="str">
        <f t="shared" si="137"/>
        <v>PRBDP'!</v>
      </c>
      <c r="F538" s="34" t="str">
        <f t="shared" si="138"/>
        <v>C:\Users\jaime.benazar\Quorum Business Solutions\Ecopetrol Prometeo - Documents\Planning Space Implementation\3. Analysis &amp; Design\Design\FC22\DRR Jaime\QUIFA-CAJÚA\Cajua\[CAJUA_CF_SEC_New_27-Feb-2024Rev3.xlsx]D-PRBDP'!</v>
      </c>
      <c r="G538" s="32" t="s">
        <v>37</v>
      </c>
      <c r="H538" s="33"/>
      <c r="I538" s="33"/>
      <c r="J538" s="37"/>
    </row>
    <row r="539" spans="1:10" x14ac:dyDescent="0.25">
      <c r="A539" s="32" t="s">
        <v>99</v>
      </c>
      <c r="B539" s="32">
        <f t="shared" si="139"/>
        <v>2028</v>
      </c>
      <c r="C539" s="33" t="s">
        <v>8</v>
      </c>
      <c r="D539" s="34" t="s">
        <v>1999</v>
      </c>
      <c r="E539" s="35" t="str">
        <f t="shared" si="137"/>
        <v>PRBDP'!</v>
      </c>
      <c r="F539" s="34" t="str">
        <f t="shared" si="138"/>
        <v>C:\Users\jaime.benazar\Quorum Business Solutions\Ecopetrol Prometeo - Documents\Planning Space Implementation\3. Analysis &amp; Design\Design\FC22\DRR Jaime\QUIFA-CAJÚA\Cajua\[CAJUA_CF_SEC_New_27-Feb-2024Rev3.xlsx]D-PRBDP'!</v>
      </c>
      <c r="G539" s="32" t="s">
        <v>37</v>
      </c>
      <c r="H539" s="33"/>
      <c r="I539" s="33"/>
      <c r="J539" s="37"/>
    </row>
    <row r="540" spans="1:10" x14ac:dyDescent="0.25">
      <c r="A540" s="32" t="s">
        <v>99</v>
      </c>
      <c r="B540" s="32">
        <f t="shared" si="139"/>
        <v>2029</v>
      </c>
      <c r="C540" s="33" t="s">
        <v>8</v>
      </c>
      <c r="D540" s="34" t="s">
        <v>1999</v>
      </c>
      <c r="E540" s="35" t="str">
        <f t="shared" si="137"/>
        <v>PRBDP'!</v>
      </c>
      <c r="F540" s="34" t="str">
        <f t="shared" si="138"/>
        <v>C:\Users\jaime.benazar\Quorum Business Solutions\Ecopetrol Prometeo - Documents\Planning Space Implementation\3. Analysis &amp; Design\Design\FC22\DRR Jaime\QUIFA-CAJÚA\Cajua\[CAJUA_CF_SEC_New_27-Feb-2024Rev3.xlsx]D-PRBDP'!</v>
      </c>
      <c r="G540" s="32" t="s">
        <v>37</v>
      </c>
      <c r="H540" s="33"/>
      <c r="I540" s="33"/>
      <c r="J540" s="37"/>
    </row>
    <row r="541" spans="1:10" x14ac:dyDescent="0.25">
      <c r="A541" s="32" t="s">
        <v>99</v>
      </c>
      <c r="B541" s="32">
        <f t="shared" si="139"/>
        <v>2030</v>
      </c>
      <c r="C541" s="33" t="s">
        <v>8</v>
      </c>
      <c r="D541" s="34" t="s">
        <v>1999</v>
      </c>
      <c r="E541" s="35" t="str">
        <f t="shared" si="137"/>
        <v>PRBDP'!</v>
      </c>
      <c r="F541" s="34" t="str">
        <f t="shared" si="138"/>
        <v>C:\Users\jaime.benazar\Quorum Business Solutions\Ecopetrol Prometeo - Documents\Planning Space Implementation\3. Analysis &amp; Design\Design\FC22\DRR Jaime\QUIFA-CAJÚA\Cajua\[CAJUA_CF_SEC_New_27-Feb-2024Rev3.xlsx]D-PRBDP'!</v>
      </c>
      <c r="G541" s="32" t="s">
        <v>37</v>
      </c>
      <c r="H541" s="33"/>
      <c r="I541" s="33"/>
      <c r="J541" s="37"/>
    </row>
    <row r="542" spans="1:10" x14ac:dyDescent="0.25">
      <c r="A542" s="32" t="s">
        <v>99</v>
      </c>
      <c r="B542" s="32">
        <f t="shared" si="139"/>
        <v>2031</v>
      </c>
      <c r="C542" s="33" t="s">
        <v>8</v>
      </c>
      <c r="D542" s="34" t="s">
        <v>1999</v>
      </c>
      <c r="E542" s="35" t="str">
        <f t="shared" si="137"/>
        <v>PRBDP'!</v>
      </c>
      <c r="F542" s="34" t="str">
        <f t="shared" si="138"/>
        <v>C:\Users\jaime.benazar\Quorum Business Solutions\Ecopetrol Prometeo - Documents\Planning Space Implementation\3. Analysis &amp; Design\Design\FC22\DRR Jaime\QUIFA-CAJÚA\Cajua\[CAJUA_CF_SEC_New_27-Feb-2024Rev3.xlsx]D-PRBDP'!</v>
      </c>
      <c r="G542" s="32" t="s">
        <v>37</v>
      </c>
      <c r="H542" s="33"/>
      <c r="I542" s="33"/>
      <c r="J542" s="37"/>
    </row>
    <row r="543" spans="1:10" x14ac:dyDescent="0.25">
      <c r="A543" s="32" t="s">
        <v>99</v>
      </c>
      <c r="B543" s="32">
        <f t="shared" si="139"/>
        <v>2032</v>
      </c>
      <c r="C543" s="33" t="s">
        <v>8</v>
      </c>
      <c r="D543" s="34" t="s">
        <v>1999</v>
      </c>
      <c r="E543" s="35" t="str">
        <f t="shared" si="137"/>
        <v>PRBDP'!</v>
      </c>
      <c r="F543" s="34" t="str">
        <f t="shared" si="138"/>
        <v>C:\Users\jaime.benazar\Quorum Business Solutions\Ecopetrol Prometeo - Documents\Planning Space Implementation\3. Analysis &amp; Design\Design\FC22\DRR Jaime\QUIFA-CAJÚA\Cajua\[CAJUA_CF_SEC_New_27-Feb-2024Rev3.xlsx]D-PRBDP'!</v>
      </c>
      <c r="G543" s="32" t="s">
        <v>37</v>
      </c>
      <c r="H543" s="33"/>
      <c r="I543" s="33"/>
      <c r="J543" s="37"/>
    </row>
    <row r="544" spans="1:10" x14ac:dyDescent="0.25">
      <c r="A544" s="32" t="s">
        <v>99</v>
      </c>
      <c r="B544" s="32">
        <f t="shared" si="139"/>
        <v>2033</v>
      </c>
      <c r="C544" s="33" t="s">
        <v>8</v>
      </c>
      <c r="D544" s="34" t="s">
        <v>1999</v>
      </c>
      <c r="E544" s="35" t="str">
        <f t="shared" si="137"/>
        <v>PRBDP'!</v>
      </c>
      <c r="F544" s="34" t="str">
        <f t="shared" si="138"/>
        <v>C:\Users\jaime.benazar\Quorum Business Solutions\Ecopetrol Prometeo - Documents\Planning Space Implementation\3. Analysis &amp; Design\Design\FC22\DRR Jaime\QUIFA-CAJÚA\Cajua\[CAJUA_CF_SEC_New_27-Feb-2024Rev3.xlsx]D-PRBDP'!</v>
      </c>
      <c r="G544" s="32" t="s">
        <v>37</v>
      </c>
      <c r="H544" s="33"/>
      <c r="I544" s="33"/>
      <c r="J544" s="37"/>
    </row>
    <row r="545" spans="1:10" x14ac:dyDescent="0.25">
      <c r="A545" s="32" t="s">
        <v>99</v>
      </c>
      <c r="B545" s="32">
        <f t="shared" si="139"/>
        <v>2034</v>
      </c>
      <c r="C545" s="33" t="s">
        <v>8</v>
      </c>
      <c r="D545" s="34" t="s">
        <v>1999</v>
      </c>
      <c r="E545" s="35" t="str">
        <f t="shared" si="137"/>
        <v>PRBDP'!</v>
      </c>
      <c r="F545" s="34" t="str">
        <f t="shared" si="138"/>
        <v>C:\Users\jaime.benazar\Quorum Business Solutions\Ecopetrol Prometeo - Documents\Planning Space Implementation\3. Analysis &amp; Design\Design\FC22\DRR Jaime\QUIFA-CAJÚA\Cajua\[CAJUA_CF_SEC_New_27-Feb-2024Rev3.xlsx]D-PRBDP'!</v>
      </c>
      <c r="G545" s="32" t="s">
        <v>37</v>
      </c>
      <c r="H545" s="33"/>
      <c r="I545" s="33"/>
      <c r="J545" s="37"/>
    </row>
    <row r="546" spans="1:10" x14ac:dyDescent="0.25">
      <c r="A546" s="32" t="s">
        <v>99</v>
      </c>
      <c r="B546" s="32">
        <f t="shared" si="139"/>
        <v>2035</v>
      </c>
      <c r="C546" s="33" t="s">
        <v>8</v>
      </c>
      <c r="D546" s="34" t="s">
        <v>1999</v>
      </c>
      <c r="E546" s="35" t="str">
        <f t="shared" si="137"/>
        <v>PRBDP'!</v>
      </c>
      <c r="F546" s="34" t="str">
        <f t="shared" si="138"/>
        <v>C:\Users\jaime.benazar\Quorum Business Solutions\Ecopetrol Prometeo - Documents\Planning Space Implementation\3. Analysis &amp; Design\Design\FC22\DRR Jaime\QUIFA-CAJÚA\Cajua\[CAJUA_CF_SEC_New_27-Feb-2024Rev3.xlsx]D-PRBDP'!</v>
      </c>
      <c r="G546" s="32" t="s">
        <v>37</v>
      </c>
      <c r="H546" s="33"/>
      <c r="I546" s="33"/>
      <c r="J546" s="37"/>
    </row>
    <row r="547" spans="1:10" x14ac:dyDescent="0.25">
      <c r="A547" s="32" t="s">
        <v>99</v>
      </c>
      <c r="B547" s="32">
        <f t="shared" si="139"/>
        <v>2036</v>
      </c>
      <c r="C547" s="33" t="s">
        <v>8</v>
      </c>
      <c r="D547" s="34" t="s">
        <v>1999</v>
      </c>
      <c r="E547" s="35" t="str">
        <f t="shared" si="137"/>
        <v>PRBDP'!</v>
      </c>
      <c r="F547" s="34" t="str">
        <f t="shared" si="138"/>
        <v>C:\Users\jaime.benazar\Quorum Business Solutions\Ecopetrol Prometeo - Documents\Planning Space Implementation\3. Analysis &amp; Design\Design\FC22\DRR Jaime\QUIFA-CAJÚA\Cajua\[CAJUA_CF_SEC_New_27-Feb-2024Rev3.xlsx]D-PRBDP'!</v>
      </c>
      <c r="G547" s="32" t="s">
        <v>37</v>
      </c>
      <c r="H547" s="33"/>
      <c r="I547" s="33"/>
      <c r="J547" s="37"/>
    </row>
    <row r="548" spans="1:10" x14ac:dyDescent="0.25">
      <c r="A548" s="32" t="s">
        <v>99</v>
      </c>
      <c r="B548" s="32">
        <f>+B547+1</f>
        <v>2037</v>
      </c>
      <c r="C548" s="33" t="s">
        <v>8</v>
      </c>
      <c r="D548" s="34" t="s">
        <v>1999</v>
      </c>
      <c r="E548" s="35" t="str">
        <f t="shared" si="137"/>
        <v>PRBDP'!</v>
      </c>
      <c r="F548" s="34" t="str">
        <f t="shared" si="138"/>
        <v>C:\Users\jaime.benazar\Quorum Business Solutions\Ecopetrol Prometeo - Documents\Planning Space Implementation\3. Analysis &amp; Design\Design\FC22\DRR Jaime\QUIFA-CAJÚA\Cajua\[CAJUA_CF_SEC_New_27-Feb-2024Rev3.xlsx]D-PRBDP'!</v>
      </c>
      <c r="G548" s="32" t="s">
        <v>37</v>
      </c>
      <c r="H548" s="33"/>
      <c r="I548" s="33"/>
      <c r="J548" s="37"/>
    </row>
    <row r="549" spans="1:10" x14ac:dyDescent="0.25">
      <c r="A549" s="32" t="s">
        <v>99</v>
      </c>
      <c r="B549" s="32">
        <f t="shared" ref="B549:B551" si="140">+B548+1</f>
        <v>2038</v>
      </c>
      <c r="C549" s="33" t="s">
        <v>8</v>
      </c>
      <c r="D549" s="34" t="s">
        <v>1999</v>
      </c>
      <c r="E549" s="35" t="str">
        <f t="shared" si="137"/>
        <v>PRBDP'!</v>
      </c>
      <c r="F549" s="34" t="str">
        <f t="shared" si="138"/>
        <v>C:\Users\jaime.benazar\Quorum Business Solutions\Ecopetrol Prometeo - Documents\Planning Space Implementation\3. Analysis &amp; Design\Design\FC22\DRR Jaime\QUIFA-CAJÚA\Cajua\[CAJUA_CF_SEC_New_27-Feb-2024Rev3.xlsx]D-PRBDP'!</v>
      </c>
      <c r="G549" s="32" t="s">
        <v>37</v>
      </c>
      <c r="H549" s="33"/>
      <c r="I549" s="33"/>
      <c r="J549" s="37"/>
    </row>
    <row r="550" spans="1:10" x14ac:dyDescent="0.25">
      <c r="A550" s="32" t="s">
        <v>99</v>
      </c>
      <c r="B550" s="32">
        <f t="shared" si="140"/>
        <v>2039</v>
      </c>
      <c r="C550" s="33" t="s">
        <v>8</v>
      </c>
      <c r="D550" s="34" t="s">
        <v>1999</v>
      </c>
      <c r="E550" s="35" t="str">
        <f t="shared" si="137"/>
        <v>PRBDP'!</v>
      </c>
      <c r="F550" s="34" t="str">
        <f t="shared" si="138"/>
        <v>C:\Users\jaime.benazar\Quorum Business Solutions\Ecopetrol Prometeo - Documents\Planning Space Implementation\3. Analysis &amp; Design\Design\FC22\DRR Jaime\QUIFA-CAJÚA\Cajua\[CAJUA_CF_SEC_New_27-Feb-2024Rev3.xlsx]D-PRBDP'!</v>
      </c>
      <c r="G550" s="32" t="s">
        <v>37</v>
      </c>
      <c r="H550" s="33"/>
      <c r="I550" s="33"/>
      <c r="J550" s="37"/>
    </row>
    <row r="551" spans="1:10" x14ac:dyDescent="0.25">
      <c r="A551" s="32" t="s">
        <v>99</v>
      </c>
      <c r="B551" s="32">
        <f t="shared" si="140"/>
        <v>2040</v>
      </c>
      <c r="C551" s="33" t="s">
        <v>8</v>
      </c>
      <c r="D551" s="34" t="s">
        <v>1999</v>
      </c>
      <c r="E551" s="35" t="str">
        <f t="shared" si="137"/>
        <v>PRBDP'!</v>
      </c>
      <c r="F551" s="34" t="str">
        <f t="shared" si="138"/>
        <v>C:\Users\jaime.benazar\Quorum Business Solutions\Ecopetrol Prometeo - Documents\Planning Space Implementation\3. Analysis &amp; Design\Design\FC22\DRR Jaime\QUIFA-CAJÚA\Cajua\[CAJUA_CF_SEC_New_27-Feb-2024Rev3.xlsx]D-PRBDP'!</v>
      </c>
      <c r="G551" s="32" t="s">
        <v>37</v>
      </c>
      <c r="H551" s="33"/>
      <c r="I551" s="33"/>
      <c r="J551" s="37"/>
    </row>
    <row r="552" spans="1:10" x14ac:dyDescent="0.25">
      <c r="A552" s="32" t="s">
        <v>99</v>
      </c>
      <c r="B552" s="32">
        <f>+B551+1</f>
        <v>2041</v>
      </c>
      <c r="C552" s="33" t="s">
        <v>8</v>
      </c>
      <c r="D552" s="34" t="s">
        <v>1999</v>
      </c>
      <c r="E552" s="35" t="str">
        <f t="shared" si="137"/>
        <v>PRBDP'!</v>
      </c>
      <c r="F552" s="34" t="str">
        <f t="shared" si="138"/>
        <v>C:\Users\jaime.benazar\Quorum Business Solutions\Ecopetrol Prometeo - Documents\Planning Space Implementation\3. Analysis &amp; Design\Design\FC22\DRR Jaime\QUIFA-CAJÚA\Cajua\[CAJUA_CF_SEC_New_27-Feb-2024Rev3.xlsx]D-PRBDP'!</v>
      </c>
      <c r="G552" s="32" t="s">
        <v>37</v>
      </c>
      <c r="H552" s="33"/>
      <c r="I552" s="33"/>
      <c r="J552" s="37"/>
    </row>
    <row r="553" spans="1:10" x14ac:dyDescent="0.25">
      <c r="A553" s="32" t="s">
        <v>99</v>
      </c>
      <c r="B553" s="32">
        <f t="shared" ref="B553:B554" si="141">+B552+1</f>
        <v>2042</v>
      </c>
      <c r="C553" s="33" t="s">
        <v>8</v>
      </c>
      <c r="D553" s="34" t="s">
        <v>1999</v>
      </c>
      <c r="E553" s="35" t="str">
        <f t="shared" si="137"/>
        <v>PRBDP'!</v>
      </c>
      <c r="F553" s="34" t="str">
        <f t="shared" si="138"/>
        <v>C:\Users\jaime.benazar\Quorum Business Solutions\Ecopetrol Prometeo - Documents\Planning Space Implementation\3. Analysis &amp; Design\Design\FC22\DRR Jaime\QUIFA-CAJÚA\Cajua\[CAJUA_CF_SEC_New_27-Feb-2024Rev3.xlsx]D-PRBDP'!</v>
      </c>
      <c r="G553" s="32" t="s">
        <v>37</v>
      </c>
      <c r="H553" s="33"/>
      <c r="I553" s="33"/>
      <c r="J553" s="37"/>
    </row>
    <row r="554" spans="1:10" x14ac:dyDescent="0.25">
      <c r="A554" s="32" t="s">
        <v>99</v>
      </c>
      <c r="B554" s="32">
        <f t="shared" si="141"/>
        <v>2043</v>
      </c>
      <c r="C554" s="33" t="s">
        <v>8</v>
      </c>
      <c r="D554" s="34" t="s">
        <v>1999</v>
      </c>
      <c r="E554" s="35" t="str">
        <f t="shared" si="137"/>
        <v>PRBDP'!</v>
      </c>
      <c r="F554" s="34" t="str">
        <f t="shared" si="138"/>
        <v>C:\Users\jaime.benazar\Quorum Business Solutions\Ecopetrol Prometeo - Documents\Planning Space Implementation\3. Analysis &amp; Design\Design\FC22\DRR Jaime\QUIFA-CAJÚA\Cajua\[CAJUA_CF_SEC_New_27-Feb-2024Rev3.xlsx]D-PRBDP'!</v>
      </c>
      <c r="G554" s="32" t="s">
        <v>37</v>
      </c>
      <c r="H554" s="33"/>
      <c r="I554" s="33"/>
      <c r="J554" s="37"/>
    </row>
    <row r="555" spans="1:10" x14ac:dyDescent="0.25">
      <c r="A555" s="32" t="s">
        <v>99</v>
      </c>
      <c r="B555" s="32">
        <f>+B554+1</f>
        <v>2044</v>
      </c>
      <c r="C555" s="33" t="s">
        <v>8</v>
      </c>
      <c r="D555" s="34" t="s">
        <v>1999</v>
      </c>
      <c r="E555" s="35" t="str">
        <f t="shared" ref="E555:E570" si="142">_xlfn.CONCAT(A555,"'!")</f>
        <v>PRBDP'!</v>
      </c>
      <c r="F555" s="34" t="str">
        <f t="shared" ref="F555:F570" si="143">_xlfn.CONCAT(D555:E555)</f>
        <v>C:\Users\jaime.benazar\Quorum Business Solutions\Ecopetrol Prometeo - Documents\Planning Space Implementation\3. Analysis &amp; Design\Design\FC22\DRR Jaime\QUIFA-CAJÚA\Cajua\[CAJUA_CF_SEC_New_27-Feb-2024Rev3.xlsx]D-PRBDP'!</v>
      </c>
      <c r="G555" s="32" t="s">
        <v>37</v>
      </c>
      <c r="H555" s="33"/>
      <c r="I555" s="33"/>
      <c r="J555" s="37"/>
    </row>
    <row r="556" spans="1:10" x14ac:dyDescent="0.25">
      <c r="A556" s="32" t="s">
        <v>99</v>
      </c>
      <c r="B556" s="32">
        <f t="shared" ref="B556:B570" si="144">+B555+1</f>
        <v>2045</v>
      </c>
      <c r="C556" s="33" t="s">
        <v>8</v>
      </c>
      <c r="D556" s="34" t="s">
        <v>1999</v>
      </c>
      <c r="E556" s="35" t="str">
        <f t="shared" si="142"/>
        <v>PRBDP'!</v>
      </c>
      <c r="F556" s="34" t="str">
        <f t="shared" si="143"/>
        <v>C:\Users\jaime.benazar\Quorum Business Solutions\Ecopetrol Prometeo - Documents\Planning Space Implementation\3. Analysis &amp; Design\Design\FC22\DRR Jaime\QUIFA-CAJÚA\Cajua\[CAJUA_CF_SEC_New_27-Feb-2024Rev3.xlsx]D-PRBDP'!</v>
      </c>
      <c r="G556" s="32" t="s">
        <v>37</v>
      </c>
      <c r="H556" s="33"/>
      <c r="I556" s="33"/>
      <c r="J556" s="37"/>
    </row>
    <row r="557" spans="1:10" x14ac:dyDescent="0.25">
      <c r="A557" s="32" t="s">
        <v>99</v>
      </c>
      <c r="B557" s="32">
        <f t="shared" si="144"/>
        <v>2046</v>
      </c>
      <c r="C557" s="33" t="s">
        <v>8</v>
      </c>
      <c r="D557" s="34" t="s">
        <v>1999</v>
      </c>
      <c r="E557" s="35" t="str">
        <f t="shared" si="142"/>
        <v>PRBDP'!</v>
      </c>
      <c r="F557" s="34" t="str">
        <f t="shared" si="143"/>
        <v>C:\Users\jaime.benazar\Quorum Business Solutions\Ecopetrol Prometeo - Documents\Planning Space Implementation\3. Analysis &amp; Design\Design\FC22\DRR Jaime\QUIFA-CAJÚA\Cajua\[CAJUA_CF_SEC_New_27-Feb-2024Rev3.xlsx]D-PRBDP'!</v>
      </c>
      <c r="G557" s="32" t="s">
        <v>37</v>
      </c>
      <c r="H557" s="33"/>
      <c r="I557" s="33"/>
      <c r="J557" s="37"/>
    </row>
    <row r="558" spans="1:10" x14ac:dyDescent="0.25">
      <c r="A558" s="32" t="s">
        <v>99</v>
      </c>
      <c r="B558" s="32">
        <f t="shared" si="144"/>
        <v>2047</v>
      </c>
      <c r="C558" s="33" t="s">
        <v>8</v>
      </c>
      <c r="D558" s="34" t="s">
        <v>1999</v>
      </c>
      <c r="E558" s="35" t="str">
        <f t="shared" si="142"/>
        <v>PRBDP'!</v>
      </c>
      <c r="F558" s="34" t="str">
        <f t="shared" si="143"/>
        <v>C:\Users\jaime.benazar\Quorum Business Solutions\Ecopetrol Prometeo - Documents\Planning Space Implementation\3. Analysis &amp; Design\Design\FC22\DRR Jaime\QUIFA-CAJÚA\Cajua\[CAJUA_CF_SEC_New_27-Feb-2024Rev3.xlsx]D-PRBDP'!</v>
      </c>
      <c r="G558" s="32" t="s">
        <v>37</v>
      </c>
      <c r="H558" s="33"/>
      <c r="I558" s="33"/>
      <c r="J558" s="37"/>
    </row>
    <row r="559" spans="1:10" x14ac:dyDescent="0.25">
      <c r="A559" s="32" t="s">
        <v>99</v>
      </c>
      <c r="B559" s="32">
        <f t="shared" si="144"/>
        <v>2048</v>
      </c>
      <c r="C559" s="33" t="s">
        <v>8</v>
      </c>
      <c r="D559" s="34" t="s">
        <v>1999</v>
      </c>
      <c r="E559" s="35" t="str">
        <f t="shared" si="142"/>
        <v>PRBDP'!</v>
      </c>
      <c r="F559" s="34" t="str">
        <f t="shared" si="143"/>
        <v>C:\Users\jaime.benazar\Quorum Business Solutions\Ecopetrol Prometeo - Documents\Planning Space Implementation\3. Analysis &amp; Design\Design\FC22\DRR Jaime\QUIFA-CAJÚA\Cajua\[CAJUA_CF_SEC_New_27-Feb-2024Rev3.xlsx]D-PRBDP'!</v>
      </c>
      <c r="G559" s="32" t="s">
        <v>37</v>
      </c>
      <c r="H559" s="33"/>
      <c r="I559" s="33"/>
      <c r="J559" s="37"/>
    </row>
    <row r="560" spans="1:10" x14ac:dyDescent="0.25">
      <c r="A560" s="32" t="s">
        <v>99</v>
      </c>
      <c r="B560" s="32">
        <f t="shared" si="144"/>
        <v>2049</v>
      </c>
      <c r="C560" s="33" t="s">
        <v>8</v>
      </c>
      <c r="D560" s="34" t="s">
        <v>1999</v>
      </c>
      <c r="E560" s="35" t="str">
        <f t="shared" si="142"/>
        <v>PRBDP'!</v>
      </c>
      <c r="F560" s="34" t="str">
        <f t="shared" si="143"/>
        <v>C:\Users\jaime.benazar\Quorum Business Solutions\Ecopetrol Prometeo - Documents\Planning Space Implementation\3. Analysis &amp; Design\Design\FC22\DRR Jaime\QUIFA-CAJÚA\Cajua\[CAJUA_CF_SEC_New_27-Feb-2024Rev3.xlsx]D-PRBDP'!</v>
      </c>
      <c r="G560" s="32" t="s">
        <v>37</v>
      </c>
      <c r="H560" s="33"/>
      <c r="I560" s="33"/>
      <c r="J560" s="37"/>
    </row>
    <row r="561" spans="1:10" x14ac:dyDescent="0.25">
      <c r="A561" s="32" t="s">
        <v>99</v>
      </c>
      <c r="B561" s="32">
        <f t="shared" si="144"/>
        <v>2050</v>
      </c>
      <c r="C561" s="33" t="s">
        <v>8</v>
      </c>
      <c r="D561" s="34" t="s">
        <v>1999</v>
      </c>
      <c r="E561" s="35" t="str">
        <f t="shared" si="142"/>
        <v>PRBDP'!</v>
      </c>
      <c r="F561" s="34" t="str">
        <f t="shared" si="143"/>
        <v>C:\Users\jaime.benazar\Quorum Business Solutions\Ecopetrol Prometeo - Documents\Planning Space Implementation\3. Analysis &amp; Design\Design\FC22\DRR Jaime\QUIFA-CAJÚA\Cajua\[CAJUA_CF_SEC_New_27-Feb-2024Rev3.xlsx]D-PRBDP'!</v>
      </c>
      <c r="G561" s="32" t="s">
        <v>37</v>
      </c>
      <c r="H561" s="33"/>
      <c r="I561" s="33"/>
      <c r="J561" s="37"/>
    </row>
    <row r="562" spans="1:10" x14ac:dyDescent="0.25">
      <c r="A562" s="32" t="s">
        <v>99</v>
      </c>
      <c r="B562" s="32">
        <f t="shared" si="144"/>
        <v>2051</v>
      </c>
      <c r="C562" s="33" t="s">
        <v>8</v>
      </c>
      <c r="D562" s="34" t="s">
        <v>1999</v>
      </c>
      <c r="E562" s="35" t="str">
        <f t="shared" si="142"/>
        <v>PRBDP'!</v>
      </c>
      <c r="F562" s="34" t="str">
        <f t="shared" si="143"/>
        <v>C:\Users\jaime.benazar\Quorum Business Solutions\Ecopetrol Prometeo - Documents\Planning Space Implementation\3. Analysis &amp; Design\Design\FC22\DRR Jaime\QUIFA-CAJÚA\Cajua\[CAJUA_CF_SEC_New_27-Feb-2024Rev3.xlsx]D-PRBDP'!</v>
      </c>
      <c r="G562" s="32" t="s">
        <v>37</v>
      </c>
      <c r="H562" s="33"/>
      <c r="I562" s="33"/>
      <c r="J562" s="37"/>
    </row>
    <row r="563" spans="1:10" x14ac:dyDescent="0.25">
      <c r="A563" s="32" t="s">
        <v>99</v>
      </c>
      <c r="B563" s="32">
        <f t="shared" si="144"/>
        <v>2052</v>
      </c>
      <c r="C563" s="33" t="s">
        <v>8</v>
      </c>
      <c r="D563" s="34" t="s">
        <v>1999</v>
      </c>
      <c r="E563" s="35" t="str">
        <f t="shared" si="142"/>
        <v>PRBDP'!</v>
      </c>
      <c r="F563" s="34" t="str">
        <f t="shared" si="143"/>
        <v>C:\Users\jaime.benazar\Quorum Business Solutions\Ecopetrol Prometeo - Documents\Planning Space Implementation\3. Analysis &amp; Design\Design\FC22\DRR Jaime\QUIFA-CAJÚA\Cajua\[CAJUA_CF_SEC_New_27-Feb-2024Rev3.xlsx]D-PRBDP'!</v>
      </c>
      <c r="G563" s="32" t="s">
        <v>37</v>
      </c>
      <c r="H563" s="33"/>
      <c r="I563" s="33"/>
      <c r="J563" s="37"/>
    </row>
    <row r="564" spans="1:10" x14ac:dyDescent="0.25">
      <c r="A564" s="32" t="s">
        <v>99</v>
      </c>
      <c r="B564" s="32">
        <f t="shared" si="144"/>
        <v>2053</v>
      </c>
      <c r="C564" s="33" t="s">
        <v>8</v>
      </c>
      <c r="D564" s="34" t="s">
        <v>1999</v>
      </c>
      <c r="E564" s="35" t="str">
        <f t="shared" si="142"/>
        <v>PRBDP'!</v>
      </c>
      <c r="F564" s="34" t="str">
        <f t="shared" si="143"/>
        <v>C:\Users\jaime.benazar\Quorum Business Solutions\Ecopetrol Prometeo - Documents\Planning Space Implementation\3. Analysis &amp; Design\Design\FC22\DRR Jaime\QUIFA-CAJÚA\Cajua\[CAJUA_CF_SEC_New_27-Feb-2024Rev3.xlsx]D-PRBDP'!</v>
      </c>
      <c r="G564" s="32" t="s">
        <v>37</v>
      </c>
      <c r="H564" s="33"/>
      <c r="I564" s="33"/>
      <c r="J564" s="37"/>
    </row>
    <row r="565" spans="1:10" x14ac:dyDescent="0.25">
      <c r="A565" s="32" t="s">
        <v>99</v>
      </c>
      <c r="B565" s="32">
        <f t="shared" si="144"/>
        <v>2054</v>
      </c>
      <c r="C565" s="33" t="s">
        <v>8</v>
      </c>
      <c r="D565" s="34" t="s">
        <v>1999</v>
      </c>
      <c r="E565" s="35" t="str">
        <f t="shared" si="142"/>
        <v>PRBDP'!</v>
      </c>
      <c r="F565" s="34" t="str">
        <f t="shared" si="143"/>
        <v>C:\Users\jaime.benazar\Quorum Business Solutions\Ecopetrol Prometeo - Documents\Planning Space Implementation\3. Analysis &amp; Design\Design\FC22\DRR Jaime\QUIFA-CAJÚA\Cajua\[CAJUA_CF_SEC_New_27-Feb-2024Rev3.xlsx]D-PRBDP'!</v>
      </c>
      <c r="G565" s="32" t="s">
        <v>37</v>
      </c>
      <c r="H565" s="33"/>
      <c r="I565" s="33"/>
      <c r="J565" s="37"/>
    </row>
    <row r="566" spans="1:10" x14ac:dyDescent="0.25">
      <c r="A566" s="32" t="s">
        <v>99</v>
      </c>
      <c r="B566" s="32">
        <f t="shared" si="144"/>
        <v>2055</v>
      </c>
      <c r="C566" s="33" t="s">
        <v>8</v>
      </c>
      <c r="D566" s="34" t="s">
        <v>1999</v>
      </c>
      <c r="E566" s="35" t="str">
        <f t="shared" si="142"/>
        <v>PRBDP'!</v>
      </c>
      <c r="F566" s="34" t="str">
        <f t="shared" si="143"/>
        <v>C:\Users\jaime.benazar\Quorum Business Solutions\Ecopetrol Prometeo - Documents\Planning Space Implementation\3. Analysis &amp; Design\Design\FC22\DRR Jaime\QUIFA-CAJÚA\Cajua\[CAJUA_CF_SEC_New_27-Feb-2024Rev3.xlsx]D-PRBDP'!</v>
      </c>
      <c r="G566" s="32" t="s">
        <v>37</v>
      </c>
      <c r="H566" s="33"/>
      <c r="I566" s="33"/>
      <c r="J566" s="37"/>
    </row>
    <row r="567" spans="1:10" x14ac:dyDescent="0.25">
      <c r="A567" s="32" t="s">
        <v>99</v>
      </c>
      <c r="B567" s="32">
        <f t="shared" si="144"/>
        <v>2056</v>
      </c>
      <c r="C567" s="33" t="s">
        <v>8</v>
      </c>
      <c r="D567" s="34" t="s">
        <v>1999</v>
      </c>
      <c r="E567" s="35" t="str">
        <f t="shared" si="142"/>
        <v>PRBDP'!</v>
      </c>
      <c r="F567" s="34" t="str">
        <f t="shared" si="143"/>
        <v>C:\Users\jaime.benazar\Quorum Business Solutions\Ecopetrol Prometeo - Documents\Planning Space Implementation\3. Analysis &amp; Design\Design\FC22\DRR Jaime\QUIFA-CAJÚA\Cajua\[CAJUA_CF_SEC_New_27-Feb-2024Rev3.xlsx]D-PRBDP'!</v>
      </c>
      <c r="G567" s="32" t="s">
        <v>37</v>
      </c>
      <c r="H567" s="33"/>
      <c r="I567" s="33"/>
      <c r="J567" s="37"/>
    </row>
    <row r="568" spans="1:10" x14ac:dyDescent="0.25">
      <c r="A568" s="32" t="s">
        <v>99</v>
      </c>
      <c r="B568" s="32">
        <f t="shared" si="144"/>
        <v>2057</v>
      </c>
      <c r="C568" s="33" t="s">
        <v>8</v>
      </c>
      <c r="D568" s="34" t="s">
        <v>1999</v>
      </c>
      <c r="E568" s="35" t="str">
        <f t="shared" si="142"/>
        <v>PRBDP'!</v>
      </c>
      <c r="F568" s="34" t="str">
        <f t="shared" si="143"/>
        <v>C:\Users\jaime.benazar\Quorum Business Solutions\Ecopetrol Prometeo - Documents\Planning Space Implementation\3. Analysis &amp; Design\Design\FC22\DRR Jaime\QUIFA-CAJÚA\Cajua\[CAJUA_CF_SEC_New_27-Feb-2024Rev3.xlsx]D-PRBDP'!</v>
      </c>
      <c r="G568" s="32" t="s">
        <v>37</v>
      </c>
      <c r="H568" s="33"/>
      <c r="I568" s="33"/>
      <c r="J568" s="37"/>
    </row>
    <row r="569" spans="1:10" x14ac:dyDescent="0.25">
      <c r="A569" s="32" t="s">
        <v>99</v>
      </c>
      <c r="B569" s="32">
        <f t="shared" si="144"/>
        <v>2058</v>
      </c>
      <c r="C569" s="33" t="s">
        <v>8</v>
      </c>
      <c r="D569" s="34" t="s">
        <v>1999</v>
      </c>
      <c r="E569" s="35" t="str">
        <f t="shared" si="142"/>
        <v>PRBDP'!</v>
      </c>
      <c r="F569" s="34" t="str">
        <f t="shared" si="143"/>
        <v>C:\Users\jaime.benazar\Quorum Business Solutions\Ecopetrol Prometeo - Documents\Planning Space Implementation\3. Analysis &amp; Design\Design\FC22\DRR Jaime\QUIFA-CAJÚA\Cajua\[CAJUA_CF_SEC_New_27-Feb-2024Rev3.xlsx]D-PRBDP'!</v>
      </c>
      <c r="G569" s="32" t="s">
        <v>37</v>
      </c>
      <c r="H569" s="33"/>
      <c r="I569" s="33"/>
      <c r="J569" s="37"/>
    </row>
    <row r="570" spans="1:10" x14ac:dyDescent="0.25">
      <c r="A570" s="32" t="s">
        <v>99</v>
      </c>
      <c r="B570" s="32">
        <f t="shared" si="144"/>
        <v>2059</v>
      </c>
      <c r="C570" s="33" t="s">
        <v>8</v>
      </c>
      <c r="D570" s="34" t="s">
        <v>1999</v>
      </c>
      <c r="E570" s="35" t="str">
        <f t="shared" si="142"/>
        <v>PRBDP'!</v>
      </c>
      <c r="F570" s="34" t="str">
        <f t="shared" si="143"/>
        <v>C:\Users\jaime.benazar\Quorum Business Solutions\Ecopetrol Prometeo - Documents\Planning Space Implementation\3. Analysis &amp; Design\Design\FC22\DRR Jaime\QUIFA-CAJÚA\Cajua\[CAJUA_CF_SEC_New_27-Feb-2024Rev3.xlsx]D-PRBDP'!</v>
      </c>
      <c r="G570" s="32" t="s">
        <v>37</v>
      </c>
      <c r="H570" s="33"/>
      <c r="I570" s="33"/>
      <c r="J570" s="37"/>
    </row>
    <row r="571" spans="1:10" x14ac:dyDescent="0.25">
      <c r="A571" s="32" t="s">
        <v>28</v>
      </c>
      <c r="B571" s="32"/>
      <c r="C571" s="33" t="s">
        <v>8</v>
      </c>
      <c r="D571" s="34"/>
      <c r="E571" s="35"/>
      <c r="F571" s="34"/>
      <c r="G571" s="32"/>
      <c r="H571" s="33"/>
      <c r="I571" s="33"/>
      <c r="J571" s="33"/>
    </row>
    <row r="572" spans="1:10" x14ac:dyDescent="0.25">
      <c r="A572" s="32" t="s">
        <v>100</v>
      </c>
      <c r="B572" s="32">
        <v>2023</v>
      </c>
      <c r="C572" s="33" t="s">
        <v>8</v>
      </c>
      <c r="D572" s="34" t="s">
        <v>1999</v>
      </c>
      <c r="E572" s="35" t="str">
        <f t="shared" ref="E572:E592" si="145">_xlfn.CONCAT(A572,"'!")</f>
        <v>PRBNP'!</v>
      </c>
      <c r="F572" s="34" t="str">
        <f t="shared" ref="F572:F592" si="146">_xlfn.CONCAT(D572:E572)</f>
        <v>C:\Users\jaime.benazar\Quorum Business Solutions\Ecopetrol Prometeo - Documents\Planning Space Implementation\3. Analysis &amp; Design\Design\FC22\DRR Jaime\QUIFA-CAJÚA\Cajua\[CAJUA_CF_SEC_New_27-Feb-2024Rev3.xlsx]D-PRBNP'!</v>
      </c>
      <c r="G572" s="32" t="s">
        <v>37</v>
      </c>
      <c r="H572" s="33"/>
      <c r="I572" s="33"/>
      <c r="J572" s="37"/>
    </row>
    <row r="573" spans="1:10" x14ac:dyDescent="0.25">
      <c r="A573" s="32" t="s">
        <v>100</v>
      </c>
      <c r="B573" s="32">
        <f>+B572+1</f>
        <v>2024</v>
      </c>
      <c r="C573" s="33" t="s">
        <v>8</v>
      </c>
      <c r="D573" s="34" t="s">
        <v>1999</v>
      </c>
      <c r="E573" s="35" t="str">
        <f t="shared" si="145"/>
        <v>PRBNP'!</v>
      </c>
      <c r="F573" s="34" t="str">
        <f t="shared" si="146"/>
        <v>C:\Users\jaime.benazar\Quorum Business Solutions\Ecopetrol Prometeo - Documents\Planning Space Implementation\3. Analysis &amp; Design\Design\FC22\DRR Jaime\QUIFA-CAJÚA\Cajua\[CAJUA_CF_SEC_New_27-Feb-2024Rev3.xlsx]D-PRBNP'!</v>
      </c>
      <c r="G573" s="32" t="s">
        <v>37</v>
      </c>
      <c r="H573" s="33"/>
      <c r="I573" s="33"/>
      <c r="J573" s="37"/>
    </row>
    <row r="574" spans="1:10" x14ac:dyDescent="0.25">
      <c r="A574" s="32" t="s">
        <v>100</v>
      </c>
      <c r="B574" s="32">
        <f t="shared" ref="B574:B585" si="147">+B573+1</f>
        <v>2025</v>
      </c>
      <c r="C574" s="33" t="s">
        <v>8</v>
      </c>
      <c r="D574" s="34" t="s">
        <v>1999</v>
      </c>
      <c r="E574" s="35" t="str">
        <f t="shared" si="145"/>
        <v>PRBNP'!</v>
      </c>
      <c r="F574" s="34" t="str">
        <f t="shared" si="146"/>
        <v>C:\Users\jaime.benazar\Quorum Business Solutions\Ecopetrol Prometeo - Documents\Planning Space Implementation\3. Analysis &amp; Design\Design\FC22\DRR Jaime\QUIFA-CAJÚA\Cajua\[CAJUA_CF_SEC_New_27-Feb-2024Rev3.xlsx]D-PRBNP'!</v>
      </c>
      <c r="G574" s="32" t="s">
        <v>37</v>
      </c>
      <c r="H574" s="33"/>
      <c r="I574" s="33"/>
      <c r="J574" s="37"/>
    </row>
    <row r="575" spans="1:10" x14ac:dyDescent="0.25">
      <c r="A575" s="32" t="s">
        <v>100</v>
      </c>
      <c r="B575" s="32">
        <f t="shared" si="147"/>
        <v>2026</v>
      </c>
      <c r="C575" s="33" t="s">
        <v>8</v>
      </c>
      <c r="D575" s="34" t="s">
        <v>1999</v>
      </c>
      <c r="E575" s="35" t="str">
        <f t="shared" si="145"/>
        <v>PRBNP'!</v>
      </c>
      <c r="F575" s="34" t="str">
        <f t="shared" si="146"/>
        <v>C:\Users\jaime.benazar\Quorum Business Solutions\Ecopetrol Prometeo - Documents\Planning Space Implementation\3. Analysis &amp; Design\Design\FC22\DRR Jaime\QUIFA-CAJÚA\Cajua\[CAJUA_CF_SEC_New_27-Feb-2024Rev3.xlsx]D-PRBNP'!</v>
      </c>
      <c r="G575" s="32" t="s">
        <v>37</v>
      </c>
      <c r="H575" s="33"/>
      <c r="I575" s="33"/>
      <c r="J575" s="37"/>
    </row>
    <row r="576" spans="1:10" x14ac:dyDescent="0.25">
      <c r="A576" s="32" t="s">
        <v>100</v>
      </c>
      <c r="B576" s="32">
        <f t="shared" si="147"/>
        <v>2027</v>
      </c>
      <c r="C576" s="33" t="s">
        <v>8</v>
      </c>
      <c r="D576" s="34" t="s">
        <v>1999</v>
      </c>
      <c r="E576" s="35" t="str">
        <f t="shared" si="145"/>
        <v>PRBNP'!</v>
      </c>
      <c r="F576" s="34" t="str">
        <f t="shared" si="146"/>
        <v>C:\Users\jaime.benazar\Quorum Business Solutions\Ecopetrol Prometeo - Documents\Planning Space Implementation\3. Analysis &amp; Design\Design\FC22\DRR Jaime\QUIFA-CAJÚA\Cajua\[CAJUA_CF_SEC_New_27-Feb-2024Rev3.xlsx]D-PRBNP'!</v>
      </c>
      <c r="G576" s="32" t="s">
        <v>37</v>
      </c>
      <c r="H576" s="33"/>
      <c r="I576" s="33"/>
      <c r="J576" s="37"/>
    </row>
    <row r="577" spans="1:10" x14ac:dyDescent="0.25">
      <c r="A577" s="32" t="s">
        <v>100</v>
      </c>
      <c r="B577" s="32">
        <f t="shared" si="147"/>
        <v>2028</v>
      </c>
      <c r="C577" s="33" t="s">
        <v>8</v>
      </c>
      <c r="D577" s="34" t="s">
        <v>1999</v>
      </c>
      <c r="E577" s="35" t="str">
        <f t="shared" si="145"/>
        <v>PRBNP'!</v>
      </c>
      <c r="F577" s="34" t="str">
        <f t="shared" si="146"/>
        <v>C:\Users\jaime.benazar\Quorum Business Solutions\Ecopetrol Prometeo - Documents\Planning Space Implementation\3. Analysis &amp; Design\Design\FC22\DRR Jaime\QUIFA-CAJÚA\Cajua\[CAJUA_CF_SEC_New_27-Feb-2024Rev3.xlsx]D-PRBNP'!</v>
      </c>
      <c r="G577" s="32" t="s">
        <v>37</v>
      </c>
      <c r="H577" s="33"/>
      <c r="I577" s="33"/>
      <c r="J577" s="37"/>
    </row>
    <row r="578" spans="1:10" x14ac:dyDescent="0.25">
      <c r="A578" s="32" t="s">
        <v>100</v>
      </c>
      <c r="B578" s="32">
        <f t="shared" si="147"/>
        <v>2029</v>
      </c>
      <c r="C578" s="33" t="s">
        <v>8</v>
      </c>
      <c r="D578" s="34" t="s">
        <v>1999</v>
      </c>
      <c r="E578" s="35" t="str">
        <f t="shared" si="145"/>
        <v>PRBNP'!</v>
      </c>
      <c r="F578" s="34" t="str">
        <f t="shared" si="146"/>
        <v>C:\Users\jaime.benazar\Quorum Business Solutions\Ecopetrol Prometeo - Documents\Planning Space Implementation\3. Analysis &amp; Design\Design\FC22\DRR Jaime\QUIFA-CAJÚA\Cajua\[CAJUA_CF_SEC_New_27-Feb-2024Rev3.xlsx]D-PRBNP'!</v>
      </c>
      <c r="G578" s="32" t="s">
        <v>37</v>
      </c>
      <c r="H578" s="33"/>
      <c r="I578" s="33"/>
      <c r="J578" s="37"/>
    </row>
    <row r="579" spans="1:10" x14ac:dyDescent="0.25">
      <c r="A579" s="32" t="s">
        <v>100</v>
      </c>
      <c r="B579" s="32">
        <f t="shared" si="147"/>
        <v>2030</v>
      </c>
      <c r="C579" s="33" t="s">
        <v>8</v>
      </c>
      <c r="D579" s="34" t="s">
        <v>1999</v>
      </c>
      <c r="E579" s="35" t="str">
        <f t="shared" si="145"/>
        <v>PRBNP'!</v>
      </c>
      <c r="F579" s="34" t="str">
        <f t="shared" si="146"/>
        <v>C:\Users\jaime.benazar\Quorum Business Solutions\Ecopetrol Prometeo - Documents\Planning Space Implementation\3. Analysis &amp; Design\Design\FC22\DRR Jaime\QUIFA-CAJÚA\Cajua\[CAJUA_CF_SEC_New_27-Feb-2024Rev3.xlsx]D-PRBNP'!</v>
      </c>
      <c r="G579" s="32" t="s">
        <v>37</v>
      </c>
      <c r="H579" s="33"/>
      <c r="I579" s="33"/>
      <c r="J579" s="37"/>
    </row>
    <row r="580" spans="1:10" x14ac:dyDescent="0.25">
      <c r="A580" s="32" t="s">
        <v>100</v>
      </c>
      <c r="B580" s="32">
        <f t="shared" si="147"/>
        <v>2031</v>
      </c>
      <c r="C580" s="33" t="s">
        <v>8</v>
      </c>
      <c r="D580" s="34" t="s">
        <v>1999</v>
      </c>
      <c r="E580" s="35" t="str">
        <f t="shared" si="145"/>
        <v>PRBNP'!</v>
      </c>
      <c r="F580" s="34" t="str">
        <f t="shared" si="146"/>
        <v>C:\Users\jaime.benazar\Quorum Business Solutions\Ecopetrol Prometeo - Documents\Planning Space Implementation\3. Analysis &amp; Design\Design\FC22\DRR Jaime\QUIFA-CAJÚA\Cajua\[CAJUA_CF_SEC_New_27-Feb-2024Rev3.xlsx]D-PRBNP'!</v>
      </c>
      <c r="G580" s="32" t="s">
        <v>37</v>
      </c>
      <c r="H580" s="33"/>
      <c r="I580" s="33"/>
      <c r="J580" s="37"/>
    </row>
    <row r="581" spans="1:10" x14ac:dyDescent="0.25">
      <c r="A581" s="32" t="s">
        <v>100</v>
      </c>
      <c r="B581" s="32">
        <f t="shared" si="147"/>
        <v>2032</v>
      </c>
      <c r="C581" s="33" t="s">
        <v>8</v>
      </c>
      <c r="D581" s="34" t="s">
        <v>1999</v>
      </c>
      <c r="E581" s="35" t="str">
        <f t="shared" si="145"/>
        <v>PRBNP'!</v>
      </c>
      <c r="F581" s="34" t="str">
        <f t="shared" si="146"/>
        <v>C:\Users\jaime.benazar\Quorum Business Solutions\Ecopetrol Prometeo - Documents\Planning Space Implementation\3. Analysis &amp; Design\Design\FC22\DRR Jaime\QUIFA-CAJÚA\Cajua\[CAJUA_CF_SEC_New_27-Feb-2024Rev3.xlsx]D-PRBNP'!</v>
      </c>
      <c r="G581" s="32" t="s">
        <v>37</v>
      </c>
      <c r="H581" s="33"/>
      <c r="I581" s="33"/>
      <c r="J581" s="37"/>
    </row>
    <row r="582" spans="1:10" x14ac:dyDescent="0.25">
      <c r="A582" s="32" t="s">
        <v>100</v>
      </c>
      <c r="B582" s="32">
        <f t="shared" si="147"/>
        <v>2033</v>
      </c>
      <c r="C582" s="33" t="s">
        <v>8</v>
      </c>
      <c r="D582" s="34" t="s">
        <v>1999</v>
      </c>
      <c r="E582" s="35" t="str">
        <f t="shared" si="145"/>
        <v>PRBNP'!</v>
      </c>
      <c r="F582" s="34" t="str">
        <f t="shared" si="146"/>
        <v>C:\Users\jaime.benazar\Quorum Business Solutions\Ecopetrol Prometeo - Documents\Planning Space Implementation\3. Analysis &amp; Design\Design\FC22\DRR Jaime\QUIFA-CAJÚA\Cajua\[CAJUA_CF_SEC_New_27-Feb-2024Rev3.xlsx]D-PRBNP'!</v>
      </c>
      <c r="G582" s="32" t="s">
        <v>37</v>
      </c>
      <c r="H582" s="33"/>
      <c r="I582" s="33"/>
      <c r="J582" s="37"/>
    </row>
    <row r="583" spans="1:10" x14ac:dyDescent="0.25">
      <c r="A583" s="32" t="s">
        <v>100</v>
      </c>
      <c r="B583" s="32">
        <f t="shared" si="147"/>
        <v>2034</v>
      </c>
      <c r="C583" s="33" t="s">
        <v>8</v>
      </c>
      <c r="D583" s="34" t="s">
        <v>1999</v>
      </c>
      <c r="E583" s="35" t="str">
        <f t="shared" si="145"/>
        <v>PRBNP'!</v>
      </c>
      <c r="F583" s="34" t="str">
        <f t="shared" si="146"/>
        <v>C:\Users\jaime.benazar\Quorum Business Solutions\Ecopetrol Prometeo - Documents\Planning Space Implementation\3. Analysis &amp; Design\Design\FC22\DRR Jaime\QUIFA-CAJÚA\Cajua\[CAJUA_CF_SEC_New_27-Feb-2024Rev3.xlsx]D-PRBNP'!</v>
      </c>
      <c r="G583" s="32" t="s">
        <v>37</v>
      </c>
      <c r="H583" s="33"/>
      <c r="I583" s="33"/>
      <c r="J583" s="37"/>
    </row>
    <row r="584" spans="1:10" x14ac:dyDescent="0.25">
      <c r="A584" s="32" t="s">
        <v>100</v>
      </c>
      <c r="B584" s="32">
        <f t="shared" si="147"/>
        <v>2035</v>
      </c>
      <c r="C584" s="33" t="s">
        <v>8</v>
      </c>
      <c r="D584" s="34" t="s">
        <v>1999</v>
      </c>
      <c r="E584" s="35" t="str">
        <f t="shared" si="145"/>
        <v>PRBNP'!</v>
      </c>
      <c r="F584" s="34" t="str">
        <f t="shared" si="146"/>
        <v>C:\Users\jaime.benazar\Quorum Business Solutions\Ecopetrol Prometeo - Documents\Planning Space Implementation\3. Analysis &amp; Design\Design\FC22\DRR Jaime\QUIFA-CAJÚA\Cajua\[CAJUA_CF_SEC_New_27-Feb-2024Rev3.xlsx]D-PRBNP'!</v>
      </c>
      <c r="G584" s="32" t="s">
        <v>37</v>
      </c>
      <c r="H584" s="33"/>
      <c r="I584" s="33"/>
      <c r="J584" s="37"/>
    </row>
    <row r="585" spans="1:10" x14ac:dyDescent="0.25">
      <c r="A585" s="32" t="s">
        <v>100</v>
      </c>
      <c r="B585" s="32">
        <f t="shared" si="147"/>
        <v>2036</v>
      </c>
      <c r="C585" s="33" t="s">
        <v>8</v>
      </c>
      <c r="D585" s="34" t="s">
        <v>1999</v>
      </c>
      <c r="E585" s="35" t="str">
        <f t="shared" si="145"/>
        <v>PRBNP'!</v>
      </c>
      <c r="F585" s="34" t="str">
        <f t="shared" si="146"/>
        <v>C:\Users\jaime.benazar\Quorum Business Solutions\Ecopetrol Prometeo - Documents\Planning Space Implementation\3. Analysis &amp; Design\Design\FC22\DRR Jaime\QUIFA-CAJÚA\Cajua\[CAJUA_CF_SEC_New_27-Feb-2024Rev3.xlsx]D-PRBNP'!</v>
      </c>
      <c r="G585" s="32" t="s">
        <v>37</v>
      </c>
      <c r="H585" s="33"/>
      <c r="I585" s="33"/>
      <c r="J585" s="37"/>
    </row>
    <row r="586" spans="1:10" x14ac:dyDescent="0.25">
      <c r="A586" s="32" t="s">
        <v>100</v>
      </c>
      <c r="B586" s="32">
        <f>+B585+1</f>
        <v>2037</v>
      </c>
      <c r="C586" s="33" t="s">
        <v>8</v>
      </c>
      <c r="D586" s="34" t="s">
        <v>1999</v>
      </c>
      <c r="E586" s="35" t="str">
        <f t="shared" si="145"/>
        <v>PRBNP'!</v>
      </c>
      <c r="F586" s="34" t="str">
        <f t="shared" si="146"/>
        <v>C:\Users\jaime.benazar\Quorum Business Solutions\Ecopetrol Prometeo - Documents\Planning Space Implementation\3. Analysis &amp; Design\Design\FC22\DRR Jaime\QUIFA-CAJÚA\Cajua\[CAJUA_CF_SEC_New_27-Feb-2024Rev3.xlsx]D-PRBNP'!</v>
      </c>
      <c r="G586" s="32" t="s">
        <v>37</v>
      </c>
      <c r="H586" s="33"/>
      <c r="I586" s="33"/>
      <c r="J586" s="37"/>
    </row>
    <row r="587" spans="1:10" x14ac:dyDescent="0.25">
      <c r="A587" s="32" t="s">
        <v>100</v>
      </c>
      <c r="B587" s="32">
        <f t="shared" ref="B587:B589" si="148">+B586+1</f>
        <v>2038</v>
      </c>
      <c r="C587" s="33" t="s">
        <v>8</v>
      </c>
      <c r="D587" s="34" t="s">
        <v>1999</v>
      </c>
      <c r="E587" s="35" t="str">
        <f t="shared" si="145"/>
        <v>PRBNP'!</v>
      </c>
      <c r="F587" s="34" t="str">
        <f t="shared" si="146"/>
        <v>C:\Users\jaime.benazar\Quorum Business Solutions\Ecopetrol Prometeo - Documents\Planning Space Implementation\3. Analysis &amp; Design\Design\FC22\DRR Jaime\QUIFA-CAJÚA\Cajua\[CAJUA_CF_SEC_New_27-Feb-2024Rev3.xlsx]D-PRBNP'!</v>
      </c>
      <c r="G587" s="32" t="s">
        <v>37</v>
      </c>
      <c r="H587" s="33"/>
      <c r="I587" s="33"/>
      <c r="J587" s="37"/>
    </row>
    <row r="588" spans="1:10" x14ac:dyDescent="0.25">
      <c r="A588" s="32" t="s">
        <v>100</v>
      </c>
      <c r="B588" s="32">
        <f t="shared" si="148"/>
        <v>2039</v>
      </c>
      <c r="C588" s="33" t="s">
        <v>8</v>
      </c>
      <c r="D588" s="34" t="s">
        <v>1999</v>
      </c>
      <c r="E588" s="35" t="str">
        <f t="shared" si="145"/>
        <v>PRBNP'!</v>
      </c>
      <c r="F588" s="34" t="str">
        <f t="shared" si="146"/>
        <v>C:\Users\jaime.benazar\Quorum Business Solutions\Ecopetrol Prometeo - Documents\Planning Space Implementation\3. Analysis &amp; Design\Design\FC22\DRR Jaime\QUIFA-CAJÚA\Cajua\[CAJUA_CF_SEC_New_27-Feb-2024Rev3.xlsx]D-PRBNP'!</v>
      </c>
      <c r="G588" s="32" t="s">
        <v>37</v>
      </c>
      <c r="H588" s="33"/>
      <c r="I588" s="33"/>
      <c r="J588" s="37"/>
    </row>
    <row r="589" spans="1:10" x14ac:dyDescent="0.25">
      <c r="A589" s="32" t="s">
        <v>100</v>
      </c>
      <c r="B589" s="32">
        <f t="shared" si="148"/>
        <v>2040</v>
      </c>
      <c r="C589" s="33" t="s">
        <v>8</v>
      </c>
      <c r="D589" s="34" t="s">
        <v>1999</v>
      </c>
      <c r="E589" s="35" t="str">
        <f t="shared" si="145"/>
        <v>PRBNP'!</v>
      </c>
      <c r="F589" s="34" t="str">
        <f t="shared" si="146"/>
        <v>C:\Users\jaime.benazar\Quorum Business Solutions\Ecopetrol Prometeo - Documents\Planning Space Implementation\3. Analysis &amp; Design\Design\FC22\DRR Jaime\QUIFA-CAJÚA\Cajua\[CAJUA_CF_SEC_New_27-Feb-2024Rev3.xlsx]D-PRBNP'!</v>
      </c>
      <c r="G589" s="32" t="s">
        <v>37</v>
      </c>
      <c r="H589" s="33"/>
      <c r="I589" s="33"/>
      <c r="J589" s="37"/>
    </row>
    <row r="590" spans="1:10" x14ac:dyDescent="0.25">
      <c r="A590" s="32" t="s">
        <v>100</v>
      </c>
      <c r="B590" s="32">
        <f>+B589+1</f>
        <v>2041</v>
      </c>
      <c r="C590" s="33" t="s">
        <v>8</v>
      </c>
      <c r="D590" s="34" t="s">
        <v>1999</v>
      </c>
      <c r="E590" s="35" t="str">
        <f t="shared" si="145"/>
        <v>PRBNP'!</v>
      </c>
      <c r="F590" s="34" t="str">
        <f t="shared" si="146"/>
        <v>C:\Users\jaime.benazar\Quorum Business Solutions\Ecopetrol Prometeo - Documents\Planning Space Implementation\3. Analysis &amp; Design\Design\FC22\DRR Jaime\QUIFA-CAJÚA\Cajua\[CAJUA_CF_SEC_New_27-Feb-2024Rev3.xlsx]D-PRBNP'!</v>
      </c>
      <c r="G590" s="32" t="s">
        <v>37</v>
      </c>
      <c r="H590" s="33"/>
      <c r="I590" s="33"/>
      <c r="J590" s="37"/>
    </row>
    <row r="591" spans="1:10" x14ac:dyDescent="0.25">
      <c r="A591" s="32" t="s">
        <v>100</v>
      </c>
      <c r="B591" s="32">
        <f t="shared" ref="B591:B592" si="149">+B590+1</f>
        <v>2042</v>
      </c>
      <c r="C591" s="33" t="s">
        <v>8</v>
      </c>
      <c r="D591" s="34" t="s">
        <v>1999</v>
      </c>
      <c r="E591" s="35" t="str">
        <f t="shared" si="145"/>
        <v>PRBNP'!</v>
      </c>
      <c r="F591" s="34" t="str">
        <f t="shared" si="146"/>
        <v>C:\Users\jaime.benazar\Quorum Business Solutions\Ecopetrol Prometeo - Documents\Planning Space Implementation\3. Analysis &amp; Design\Design\FC22\DRR Jaime\QUIFA-CAJÚA\Cajua\[CAJUA_CF_SEC_New_27-Feb-2024Rev3.xlsx]D-PRBNP'!</v>
      </c>
      <c r="G591" s="32" t="s">
        <v>37</v>
      </c>
      <c r="H591" s="33"/>
      <c r="I591" s="33"/>
      <c r="J591" s="37"/>
    </row>
    <row r="592" spans="1:10" x14ac:dyDescent="0.25">
      <c r="A592" s="32" t="s">
        <v>100</v>
      </c>
      <c r="B592" s="32">
        <f t="shared" si="149"/>
        <v>2043</v>
      </c>
      <c r="C592" s="33" t="s">
        <v>8</v>
      </c>
      <c r="D592" s="34" t="s">
        <v>1999</v>
      </c>
      <c r="E592" s="35" t="str">
        <f t="shared" si="145"/>
        <v>PRBNP'!</v>
      </c>
      <c r="F592" s="34" t="str">
        <f t="shared" si="146"/>
        <v>C:\Users\jaime.benazar\Quorum Business Solutions\Ecopetrol Prometeo - Documents\Planning Space Implementation\3. Analysis &amp; Design\Design\FC22\DRR Jaime\QUIFA-CAJÚA\Cajua\[CAJUA_CF_SEC_New_27-Feb-2024Rev3.xlsx]D-PRBNP'!</v>
      </c>
      <c r="G592" s="32" t="s">
        <v>37</v>
      </c>
      <c r="H592" s="33"/>
      <c r="I592" s="33"/>
      <c r="J592" s="37"/>
    </row>
    <row r="593" spans="1:10" x14ac:dyDescent="0.25">
      <c r="A593" s="32" t="s">
        <v>100</v>
      </c>
      <c r="B593" s="32">
        <f>+B592+1</f>
        <v>2044</v>
      </c>
      <c r="C593" s="33" t="s">
        <v>8</v>
      </c>
      <c r="D593" s="34" t="s">
        <v>1999</v>
      </c>
      <c r="E593" s="35" t="str">
        <f t="shared" ref="E593:E608" si="150">_xlfn.CONCAT(A593,"'!")</f>
        <v>PRBNP'!</v>
      </c>
      <c r="F593" s="34" t="str">
        <f t="shared" ref="F593:F608" si="151">_xlfn.CONCAT(D593:E593)</f>
        <v>C:\Users\jaime.benazar\Quorum Business Solutions\Ecopetrol Prometeo - Documents\Planning Space Implementation\3. Analysis &amp; Design\Design\FC22\DRR Jaime\QUIFA-CAJÚA\Cajua\[CAJUA_CF_SEC_New_27-Feb-2024Rev3.xlsx]D-PRBNP'!</v>
      </c>
      <c r="G593" s="32" t="s">
        <v>37</v>
      </c>
      <c r="H593" s="33"/>
      <c r="I593" s="33"/>
      <c r="J593" s="37"/>
    </row>
    <row r="594" spans="1:10" x14ac:dyDescent="0.25">
      <c r="A594" s="32" t="s">
        <v>100</v>
      </c>
      <c r="B594" s="32">
        <f t="shared" ref="B594:B608" si="152">+B593+1</f>
        <v>2045</v>
      </c>
      <c r="C594" s="33" t="s">
        <v>8</v>
      </c>
      <c r="D594" s="34" t="s">
        <v>1999</v>
      </c>
      <c r="E594" s="35" t="str">
        <f t="shared" si="150"/>
        <v>PRBNP'!</v>
      </c>
      <c r="F594" s="34" t="str">
        <f t="shared" si="151"/>
        <v>C:\Users\jaime.benazar\Quorum Business Solutions\Ecopetrol Prometeo - Documents\Planning Space Implementation\3. Analysis &amp; Design\Design\FC22\DRR Jaime\QUIFA-CAJÚA\Cajua\[CAJUA_CF_SEC_New_27-Feb-2024Rev3.xlsx]D-PRBNP'!</v>
      </c>
      <c r="G594" s="32" t="s">
        <v>37</v>
      </c>
      <c r="H594" s="33"/>
      <c r="I594" s="33"/>
      <c r="J594" s="37"/>
    </row>
    <row r="595" spans="1:10" x14ac:dyDescent="0.25">
      <c r="A595" s="32" t="s">
        <v>100</v>
      </c>
      <c r="B595" s="32">
        <f t="shared" si="152"/>
        <v>2046</v>
      </c>
      <c r="C595" s="33" t="s">
        <v>8</v>
      </c>
      <c r="D595" s="34" t="s">
        <v>1999</v>
      </c>
      <c r="E595" s="35" t="str">
        <f t="shared" si="150"/>
        <v>PRBNP'!</v>
      </c>
      <c r="F595" s="34" t="str">
        <f t="shared" si="151"/>
        <v>C:\Users\jaime.benazar\Quorum Business Solutions\Ecopetrol Prometeo - Documents\Planning Space Implementation\3. Analysis &amp; Design\Design\FC22\DRR Jaime\QUIFA-CAJÚA\Cajua\[CAJUA_CF_SEC_New_27-Feb-2024Rev3.xlsx]D-PRBNP'!</v>
      </c>
      <c r="G595" s="32" t="s">
        <v>37</v>
      </c>
      <c r="H595" s="33"/>
      <c r="I595" s="33"/>
      <c r="J595" s="37"/>
    </row>
    <row r="596" spans="1:10" x14ac:dyDescent="0.25">
      <c r="A596" s="32" t="s">
        <v>100</v>
      </c>
      <c r="B596" s="32">
        <f t="shared" si="152"/>
        <v>2047</v>
      </c>
      <c r="C596" s="33" t="s">
        <v>8</v>
      </c>
      <c r="D596" s="34" t="s">
        <v>1999</v>
      </c>
      <c r="E596" s="35" t="str">
        <f t="shared" si="150"/>
        <v>PRBNP'!</v>
      </c>
      <c r="F596" s="34" t="str">
        <f t="shared" si="151"/>
        <v>C:\Users\jaime.benazar\Quorum Business Solutions\Ecopetrol Prometeo - Documents\Planning Space Implementation\3. Analysis &amp; Design\Design\FC22\DRR Jaime\QUIFA-CAJÚA\Cajua\[CAJUA_CF_SEC_New_27-Feb-2024Rev3.xlsx]D-PRBNP'!</v>
      </c>
      <c r="G596" s="32" t="s">
        <v>37</v>
      </c>
      <c r="H596" s="33"/>
      <c r="I596" s="33"/>
      <c r="J596" s="37"/>
    </row>
    <row r="597" spans="1:10" x14ac:dyDescent="0.25">
      <c r="A597" s="32" t="s">
        <v>100</v>
      </c>
      <c r="B597" s="32">
        <f t="shared" si="152"/>
        <v>2048</v>
      </c>
      <c r="C597" s="33" t="s">
        <v>8</v>
      </c>
      <c r="D597" s="34" t="s">
        <v>1999</v>
      </c>
      <c r="E597" s="35" t="str">
        <f t="shared" si="150"/>
        <v>PRBNP'!</v>
      </c>
      <c r="F597" s="34" t="str">
        <f t="shared" si="151"/>
        <v>C:\Users\jaime.benazar\Quorum Business Solutions\Ecopetrol Prometeo - Documents\Planning Space Implementation\3. Analysis &amp; Design\Design\FC22\DRR Jaime\QUIFA-CAJÚA\Cajua\[CAJUA_CF_SEC_New_27-Feb-2024Rev3.xlsx]D-PRBNP'!</v>
      </c>
      <c r="G597" s="32" t="s">
        <v>37</v>
      </c>
      <c r="H597" s="33"/>
      <c r="I597" s="33"/>
      <c r="J597" s="37"/>
    </row>
    <row r="598" spans="1:10" x14ac:dyDescent="0.25">
      <c r="A598" s="32" t="s">
        <v>100</v>
      </c>
      <c r="B598" s="32">
        <f t="shared" si="152"/>
        <v>2049</v>
      </c>
      <c r="C598" s="33" t="s">
        <v>8</v>
      </c>
      <c r="D598" s="34" t="s">
        <v>1999</v>
      </c>
      <c r="E598" s="35" t="str">
        <f t="shared" si="150"/>
        <v>PRBNP'!</v>
      </c>
      <c r="F598" s="34" t="str">
        <f t="shared" si="151"/>
        <v>C:\Users\jaime.benazar\Quorum Business Solutions\Ecopetrol Prometeo - Documents\Planning Space Implementation\3. Analysis &amp; Design\Design\FC22\DRR Jaime\QUIFA-CAJÚA\Cajua\[CAJUA_CF_SEC_New_27-Feb-2024Rev3.xlsx]D-PRBNP'!</v>
      </c>
      <c r="G598" s="32" t="s">
        <v>37</v>
      </c>
      <c r="H598" s="33"/>
      <c r="I598" s="33"/>
      <c r="J598" s="37"/>
    </row>
    <row r="599" spans="1:10" x14ac:dyDescent="0.25">
      <c r="A599" s="32" t="s">
        <v>100</v>
      </c>
      <c r="B599" s="32">
        <f t="shared" si="152"/>
        <v>2050</v>
      </c>
      <c r="C599" s="33" t="s">
        <v>8</v>
      </c>
      <c r="D599" s="34" t="s">
        <v>1999</v>
      </c>
      <c r="E599" s="35" t="str">
        <f t="shared" si="150"/>
        <v>PRBNP'!</v>
      </c>
      <c r="F599" s="34" t="str">
        <f t="shared" si="151"/>
        <v>C:\Users\jaime.benazar\Quorum Business Solutions\Ecopetrol Prometeo - Documents\Planning Space Implementation\3. Analysis &amp; Design\Design\FC22\DRR Jaime\QUIFA-CAJÚA\Cajua\[CAJUA_CF_SEC_New_27-Feb-2024Rev3.xlsx]D-PRBNP'!</v>
      </c>
      <c r="G599" s="32" t="s">
        <v>37</v>
      </c>
      <c r="H599" s="33"/>
      <c r="I599" s="33"/>
      <c r="J599" s="37"/>
    </row>
    <row r="600" spans="1:10" x14ac:dyDescent="0.25">
      <c r="A600" s="32" t="s">
        <v>100</v>
      </c>
      <c r="B600" s="32">
        <f t="shared" si="152"/>
        <v>2051</v>
      </c>
      <c r="C600" s="33" t="s">
        <v>8</v>
      </c>
      <c r="D600" s="34" t="s">
        <v>1999</v>
      </c>
      <c r="E600" s="35" t="str">
        <f t="shared" si="150"/>
        <v>PRBNP'!</v>
      </c>
      <c r="F600" s="34" t="str">
        <f t="shared" si="151"/>
        <v>C:\Users\jaime.benazar\Quorum Business Solutions\Ecopetrol Prometeo - Documents\Planning Space Implementation\3. Analysis &amp; Design\Design\FC22\DRR Jaime\QUIFA-CAJÚA\Cajua\[CAJUA_CF_SEC_New_27-Feb-2024Rev3.xlsx]D-PRBNP'!</v>
      </c>
      <c r="G600" s="32" t="s">
        <v>37</v>
      </c>
      <c r="H600" s="33"/>
      <c r="I600" s="33"/>
      <c r="J600" s="37"/>
    </row>
    <row r="601" spans="1:10" x14ac:dyDescent="0.25">
      <c r="A601" s="32" t="s">
        <v>100</v>
      </c>
      <c r="B601" s="32">
        <f t="shared" si="152"/>
        <v>2052</v>
      </c>
      <c r="C601" s="33" t="s">
        <v>8</v>
      </c>
      <c r="D601" s="34" t="s">
        <v>1999</v>
      </c>
      <c r="E601" s="35" t="str">
        <f t="shared" si="150"/>
        <v>PRBNP'!</v>
      </c>
      <c r="F601" s="34" t="str">
        <f t="shared" si="151"/>
        <v>C:\Users\jaime.benazar\Quorum Business Solutions\Ecopetrol Prometeo - Documents\Planning Space Implementation\3. Analysis &amp; Design\Design\FC22\DRR Jaime\QUIFA-CAJÚA\Cajua\[CAJUA_CF_SEC_New_27-Feb-2024Rev3.xlsx]D-PRBNP'!</v>
      </c>
      <c r="G601" s="32" t="s">
        <v>37</v>
      </c>
      <c r="H601" s="33"/>
      <c r="I601" s="33"/>
      <c r="J601" s="37"/>
    </row>
    <row r="602" spans="1:10" x14ac:dyDescent="0.25">
      <c r="A602" s="32" t="s">
        <v>100</v>
      </c>
      <c r="B602" s="32">
        <f t="shared" si="152"/>
        <v>2053</v>
      </c>
      <c r="C602" s="33" t="s">
        <v>8</v>
      </c>
      <c r="D602" s="34" t="s">
        <v>1999</v>
      </c>
      <c r="E602" s="35" t="str">
        <f t="shared" si="150"/>
        <v>PRBNP'!</v>
      </c>
      <c r="F602" s="34" t="str">
        <f t="shared" si="151"/>
        <v>C:\Users\jaime.benazar\Quorum Business Solutions\Ecopetrol Prometeo - Documents\Planning Space Implementation\3. Analysis &amp; Design\Design\FC22\DRR Jaime\QUIFA-CAJÚA\Cajua\[CAJUA_CF_SEC_New_27-Feb-2024Rev3.xlsx]D-PRBNP'!</v>
      </c>
      <c r="G602" s="32" t="s">
        <v>37</v>
      </c>
      <c r="H602" s="33"/>
      <c r="I602" s="33"/>
      <c r="J602" s="37"/>
    </row>
    <row r="603" spans="1:10" x14ac:dyDescent="0.25">
      <c r="A603" s="32" t="s">
        <v>100</v>
      </c>
      <c r="B603" s="32">
        <f t="shared" si="152"/>
        <v>2054</v>
      </c>
      <c r="C603" s="33" t="s">
        <v>8</v>
      </c>
      <c r="D603" s="34" t="s">
        <v>1999</v>
      </c>
      <c r="E603" s="35" t="str">
        <f t="shared" si="150"/>
        <v>PRBNP'!</v>
      </c>
      <c r="F603" s="34" t="str">
        <f t="shared" si="151"/>
        <v>C:\Users\jaime.benazar\Quorum Business Solutions\Ecopetrol Prometeo - Documents\Planning Space Implementation\3. Analysis &amp; Design\Design\FC22\DRR Jaime\QUIFA-CAJÚA\Cajua\[CAJUA_CF_SEC_New_27-Feb-2024Rev3.xlsx]D-PRBNP'!</v>
      </c>
      <c r="G603" s="32" t="s">
        <v>37</v>
      </c>
      <c r="H603" s="33"/>
      <c r="I603" s="33"/>
      <c r="J603" s="37"/>
    </row>
    <row r="604" spans="1:10" x14ac:dyDescent="0.25">
      <c r="A604" s="32" t="s">
        <v>100</v>
      </c>
      <c r="B604" s="32">
        <f t="shared" si="152"/>
        <v>2055</v>
      </c>
      <c r="C604" s="33" t="s">
        <v>8</v>
      </c>
      <c r="D604" s="34" t="s">
        <v>1999</v>
      </c>
      <c r="E604" s="35" t="str">
        <f t="shared" si="150"/>
        <v>PRBNP'!</v>
      </c>
      <c r="F604" s="34" t="str">
        <f t="shared" si="151"/>
        <v>C:\Users\jaime.benazar\Quorum Business Solutions\Ecopetrol Prometeo - Documents\Planning Space Implementation\3. Analysis &amp; Design\Design\FC22\DRR Jaime\QUIFA-CAJÚA\Cajua\[CAJUA_CF_SEC_New_27-Feb-2024Rev3.xlsx]D-PRBNP'!</v>
      </c>
      <c r="G604" s="32" t="s">
        <v>37</v>
      </c>
      <c r="H604" s="33"/>
      <c r="I604" s="33"/>
      <c r="J604" s="37"/>
    </row>
    <row r="605" spans="1:10" x14ac:dyDescent="0.25">
      <c r="A605" s="32" t="s">
        <v>100</v>
      </c>
      <c r="B605" s="32">
        <f t="shared" si="152"/>
        <v>2056</v>
      </c>
      <c r="C605" s="33" t="s">
        <v>8</v>
      </c>
      <c r="D605" s="34" t="s">
        <v>1999</v>
      </c>
      <c r="E605" s="35" t="str">
        <f t="shared" si="150"/>
        <v>PRBNP'!</v>
      </c>
      <c r="F605" s="34" t="str">
        <f t="shared" si="151"/>
        <v>C:\Users\jaime.benazar\Quorum Business Solutions\Ecopetrol Prometeo - Documents\Planning Space Implementation\3. Analysis &amp; Design\Design\FC22\DRR Jaime\QUIFA-CAJÚA\Cajua\[CAJUA_CF_SEC_New_27-Feb-2024Rev3.xlsx]D-PRBNP'!</v>
      </c>
      <c r="G605" s="32" t="s">
        <v>37</v>
      </c>
      <c r="H605" s="33"/>
      <c r="I605" s="33"/>
      <c r="J605" s="37"/>
    </row>
    <row r="606" spans="1:10" x14ac:dyDescent="0.25">
      <c r="A606" s="32" t="s">
        <v>100</v>
      </c>
      <c r="B606" s="32">
        <f t="shared" si="152"/>
        <v>2057</v>
      </c>
      <c r="C606" s="33" t="s">
        <v>8</v>
      </c>
      <c r="D606" s="34" t="s">
        <v>1999</v>
      </c>
      <c r="E606" s="35" t="str">
        <f t="shared" si="150"/>
        <v>PRBNP'!</v>
      </c>
      <c r="F606" s="34" t="str">
        <f t="shared" si="151"/>
        <v>C:\Users\jaime.benazar\Quorum Business Solutions\Ecopetrol Prometeo - Documents\Planning Space Implementation\3. Analysis &amp; Design\Design\FC22\DRR Jaime\QUIFA-CAJÚA\Cajua\[CAJUA_CF_SEC_New_27-Feb-2024Rev3.xlsx]D-PRBNP'!</v>
      </c>
      <c r="G606" s="32" t="s">
        <v>37</v>
      </c>
      <c r="H606" s="33"/>
      <c r="I606" s="33"/>
      <c r="J606" s="37"/>
    </row>
    <row r="607" spans="1:10" x14ac:dyDescent="0.25">
      <c r="A607" s="32" t="s">
        <v>100</v>
      </c>
      <c r="B607" s="32">
        <f t="shared" si="152"/>
        <v>2058</v>
      </c>
      <c r="C607" s="33" t="s">
        <v>8</v>
      </c>
      <c r="D607" s="34" t="s">
        <v>1999</v>
      </c>
      <c r="E607" s="35" t="str">
        <f t="shared" si="150"/>
        <v>PRBNP'!</v>
      </c>
      <c r="F607" s="34" t="str">
        <f t="shared" si="151"/>
        <v>C:\Users\jaime.benazar\Quorum Business Solutions\Ecopetrol Prometeo - Documents\Planning Space Implementation\3. Analysis &amp; Design\Design\FC22\DRR Jaime\QUIFA-CAJÚA\Cajua\[CAJUA_CF_SEC_New_27-Feb-2024Rev3.xlsx]D-PRBNP'!</v>
      </c>
      <c r="G607" s="32" t="s">
        <v>37</v>
      </c>
      <c r="H607" s="33"/>
      <c r="I607" s="33"/>
      <c r="J607" s="37"/>
    </row>
    <row r="608" spans="1:10" x14ac:dyDescent="0.25">
      <c r="A608" s="32" t="s">
        <v>100</v>
      </c>
      <c r="B608" s="32">
        <f t="shared" si="152"/>
        <v>2059</v>
      </c>
      <c r="C608" s="33" t="s">
        <v>8</v>
      </c>
      <c r="D608" s="34" t="s">
        <v>1999</v>
      </c>
      <c r="E608" s="35" t="str">
        <f t="shared" si="150"/>
        <v>PRBNP'!</v>
      </c>
      <c r="F608" s="34" t="str">
        <f t="shared" si="151"/>
        <v>C:\Users\jaime.benazar\Quorum Business Solutions\Ecopetrol Prometeo - Documents\Planning Space Implementation\3. Analysis &amp; Design\Design\FC22\DRR Jaime\QUIFA-CAJÚA\Cajua\[CAJUA_CF_SEC_New_27-Feb-2024Rev3.xlsx]D-PRBNP'!</v>
      </c>
      <c r="G608" s="32" t="s">
        <v>37</v>
      </c>
      <c r="H608" s="33"/>
      <c r="I608" s="33"/>
      <c r="J608" s="37"/>
    </row>
    <row r="609" spans="1:10" x14ac:dyDescent="0.25">
      <c r="A609" s="32" t="s">
        <v>28</v>
      </c>
      <c r="B609" s="32"/>
      <c r="C609" s="33" t="s">
        <v>8</v>
      </c>
      <c r="D609" s="34"/>
      <c r="E609" s="35"/>
      <c r="F609" s="34"/>
      <c r="G609" s="32"/>
      <c r="H609" s="33"/>
      <c r="I609" s="33"/>
      <c r="J609" s="33"/>
    </row>
    <row r="610" spans="1:10" x14ac:dyDescent="0.25">
      <c r="A610" s="32" t="s">
        <v>101</v>
      </c>
      <c r="B610" s="32">
        <v>2023</v>
      </c>
      <c r="C610" s="33" t="s">
        <v>8</v>
      </c>
      <c r="D610" s="34" t="s">
        <v>1999</v>
      </c>
      <c r="E610" s="35" t="str">
        <f t="shared" ref="E610:E630" si="153">_xlfn.CONCAT(A610,"'!")</f>
        <v>PRBND'!</v>
      </c>
      <c r="F610" s="34" t="str">
        <f t="shared" ref="F610:F630" si="154">_xlfn.CONCAT(D610:E610)</f>
        <v>C:\Users\jaime.benazar\Quorum Business Solutions\Ecopetrol Prometeo - Documents\Planning Space Implementation\3. Analysis &amp; Design\Design\FC22\DRR Jaime\QUIFA-CAJÚA\Cajua\[CAJUA_CF_SEC_New_27-Feb-2024Rev3.xlsx]D-PRBND'!</v>
      </c>
      <c r="G610" s="32" t="s">
        <v>37</v>
      </c>
      <c r="H610" s="33"/>
      <c r="I610" s="33"/>
      <c r="J610" s="37"/>
    </row>
    <row r="611" spans="1:10" x14ac:dyDescent="0.25">
      <c r="A611" s="32" t="s">
        <v>101</v>
      </c>
      <c r="B611" s="32">
        <f>+B610+1</f>
        <v>2024</v>
      </c>
      <c r="C611" s="33" t="s">
        <v>8</v>
      </c>
      <c r="D611" s="34" t="s">
        <v>1999</v>
      </c>
      <c r="E611" s="35" t="str">
        <f t="shared" si="153"/>
        <v>PRBND'!</v>
      </c>
      <c r="F611" s="34" t="str">
        <f t="shared" si="154"/>
        <v>C:\Users\jaime.benazar\Quorum Business Solutions\Ecopetrol Prometeo - Documents\Planning Space Implementation\3. Analysis &amp; Design\Design\FC22\DRR Jaime\QUIFA-CAJÚA\Cajua\[CAJUA_CF_SEC_New_27-Feb-2024Rev3.xlsx]D-PRBND'!</v>
      </c>
      <c r="G611" s="32" t="s">
        <v>37</v>
      </c>
      <c r="H611" s="33"/>
      <c r="I611" s="33"/>
      <c r="J611" s="37"/>
    </row>
    <row r="612" spans="1:10" x14ac:dyDescent="0.25">
      <c r="A612" s="32" t="s">
        <v>101</v>
      </c>
      <c r="B612" s="32">
        <f t="shared" ref="B612:B623" si="155">+B611+1</f>
        <v>2025</v>
      </c>
      <c r="C612" s="33" t="s">
        <v>8</v>
      </c>
      <c r="D612" s="34" t="s">
        <v>1999</v>
      </c>
      <c r="E612" s="35" t="str">
        <f t="shared" si="153"/>
        <v>PRBND'!</v>
      </c>
      <c r="F612" s="34" t="str">
        <f t="shared" si="154"/>
        <v>C:\Users\jaime.benazar\Quorum Business Solutions\Ecopetrol Prometeo - Documents\Planning Space Implementation\3. Analysis &amp; Design\Design\FC22\DRR Jaime\QUIFA-CAJÚA\Cajua\[CAJUA_CF_SEC_New_27-Feb-2024Rev3.xlsx]D-PRBND'!</v>
      </c>
      <c r="G612" s="32" t="s">
        <v>37</v>
      </c>
      <c r="H612" s="33"/>
      <c r="I612" s="33"/>
      <c r="J612" s="37"/>
    </row>
    <row r="613" spans="1:10" x14ac:dyDescent="0.25">
      <c r="A613" s="32" t="s">
        <v>101</v>
      </c>
      <c r="B613" s="32">
        <f t="shared" si="155"/>
        <v>2026</v>
      </c>
      <c r="C613" s="33" t="s">
        <v>8</v>
      </c>
      <c r="D613" s="34" t="s">
        <v>1999</v>
      </c>
      <c r="E613" s="35" t="str">
        <f t="shared" si="153"/>
        <v>PRBND'!</v>
      </c>
      <c r="F613" s="34" t="str">
        <f t="shared" si="154"/>
        <v>C:\Users\jaime.benazar\Quorum Business Solutions\Ecopetrol Prometeo - Documents\Planning Space Implementation\3. Analysis &amp; Design\Design\FC22\DRR Jaime\QUIFA-CAJÚA\Cajua\[CAJUA_CF_SEC_New_27-Feb-2024Rev3.xlsx]D-PRBND'!</v>
      </c>
      <c r="G613" s="32" t="s">
        <v>37</v>
      </c>
      <c r="H613" s="33"/>
      <c r="I613" s="33"/>
      <c r="J613" s="37"/>
    </row>
    <row r="614" spans="1:10" x14ac:dyDescent="0.25">
      <c r="A614" s="32" t="s">
        <v>101</v>
      </c>
      <c r="B614" s="32">
        <f t="shared" si="155"/>
        <v>2027</v>
      </c>
      <c r="C614" s="33" t="s">
        <v>8</v>
      </c>
      <c r="D614" s="34" t="s">
        <v>1999</v>
      </c>
      <c r="E614" s="35" t="str">
        <f t="shared" si="153"/>
        <v>PRBND'!</v>
      </c>
      <c r="F614" s="34" t="str">
        <f t="shared" si="154"/>
        <v>C:\Users\jaime.benazar\Quorum Business Solutions\Ecopetrol Prometeo - Documents\Planning Space Implementation\3. Analysis &amp; Design\Design\FC22\DRR Jaime\QUIFA-CAJÚA\Cajua\[CAJUA_CF_SEC_New_27-Feb-2024Rev3.xlsx]D-PRBND'!</v>
      </c>
      <c r="G614" s="32" t="s">
        <v>37</v>
      </c>
      <c r="H614" s="33"/>
      <c r="I614" s="33"/>
      <c r="J614" s="37"/>
    </row>
    <row r="615" spans="1:10" x14ac:dyDescent="0.25">
      <c r="A615" s="32" t="s">
        <v>101</v>
      </c>
      <c r="B615" s="32">
        <f t="shared" si="155"/>
        <v>2028</v>
      </c>
      <c r="C615" s="33" t="s">
        <v>8</v>
      </c>
      <c r="D615" s="34" t="s">
        <v>1999</v>
      </c>
      <c r="E615" s="35" t="str">
        <f t="shared" si="153"/>
        <v>PRBND'!</v>
      </c>
      <c r="F615" s="34" t="str">
        <f t="shared" si="154"/>
        <v>C:\Users\jaime.benazar\Quorum Business Solutions\Ecopetrol Prometeo - Documents\Planning Space Implementation\3. Analysis &amp; Design\Design\FC22\DRR Jaime\QUIFA-CAJÚA\Cajua\[CAJUA_CF_SEC_New_27-Feb-2024Rev3.xlsx]D-PRBND'!</v>
      </c>
      <c r="G615" s="32" t="s">
        <v>37</v>
      </c>
      <c r="H615" s="33"/>
      <c r="I615" s="33"/>
      <c r="J615" s="37"/>
    </row>
    <row r="616" spans="1:10" x14ac:dyDescent="0.25">
      <c r="A616" s="32" t="s">
        <v>101</v>
      </c>
      <c r="B616" s="32">
        <f t="shared" si="155"/>
        <v>2029</v>
      </c>
      <c r="C616" s="33" t="s">
        <v>8</v>
      </c>
      <c r="D616" s="34" t="s">
        <v>1999</v>
      </c>
      <c r="E616" s="35" t="str">
        <f t="shared" si="153"/>
        <v>PRBND'!</v>
      </c>
      <c r="F616" s="34" t="str">
        <f t="shared" si="154"/>
        <v>C:\Users\jaime.benazar\Quorum Business Solutions\Ecopetrol Prometeo - Documents\Planning Space Implementation\3. Analysis &amp; Design\Design\FC22\DRR Jaime\QUIFA-CAJÚA\Cajua\[CAJUA_CF_SEC_New_27-Feb-2024Rev3.xlsx]D-PRBND'!</v>
      </c>
      <c r="G616" s="32" t="s">
        <v>37</v>
      </c>
      <c r="H616" s="33"/>
      <c r="I616" s="33"/>
      <c r="J616" s="37"/>
    </row>
    <row r="617" spans="1:10" x14ac:dyDescent="0.25">
      <c r="A617" s="32" t="s">
        <v>101</v>
      </c>
      <c r="B617" s="32">
        <f t="shared" si="155"/>
        <v>2030</v>
      </c>
      <c r="C617" s="33" t="s">
        <v>8</v>
      </c>
      <c r="D617" s="34" t="s">
        <v>1999</v>
      </c>
      <c r="E617" s="35" t="str">
        <f t="shared" si="153"/>
        <v>PRBND'!</v>
      </c>
      <c r="F617" s="34" t="str">
        <f t="shared" si="154"/>
        <v>C:\Users\jaime.benazar\Quorum Business Solutions\Ecopetrol Prometeo - Documents\Planning Space Implementation\3. Analysis &amp; Design\Design\FC22\DRR Jaime\QUIFA-CAJÚA\Cajua\[CAJUA_CF_SEC_New_27-Feb-2024Rev3.xlsx]D-PRBND'!</v>
      </c>
      <c r="G617" s="32" t="s">
        <v>37</v>
      </c>
      <c r="H617" s="33"/>
      <c r="I617" s="33"/>
      <c r="J617" s="37"/>
    </row>
    <row r="618" spans="1:10" x14ac:dyDescent="0.25">
      <c r="A618" s="32" t="s">
        <v>101</v>
      </c>
      <c r="B618" s="32">
        <f t="shared" si="155"/>
        <v>2031</v>
      </c>
      <c r="C618" s="33" t="s">
        <v>8</v>
      </c>
      <c r="D618" s="34" t="s">
        <v>1999</v>
      </c>
      <c r="E618" s="35" t="str">
        <f t="shared" si="153"/>
        <v>PRBND'!</v>
      </c>
      <c r="F618" s="34" t="str">
        <f t="shared" si="154"/>
        <v>C:\Users\jaime.benazar\Quorum Business Solutions\Ecopetrol Prometeo - Documents\Planning Space Implementation\3. Analysis &amp; Design\Design\FC22\DRR Jaime\QUIFA-CAJÚA\Cajua\[CAJUA_CF_SEC_New_27-Feb-2024Rev3.xlsx]D-PRBND'!</v>
      </c>
      <c r="G618" s="32" t="s">
        <v>37</v>
      </c>
      <c r="H618" s="33"/>
      <c r="I618" s="33"/>
      <c r="J618" s="37"/>
    </row>
    <row r="619" spans="1:10" x14ac:dyDescent="0.25">
      <c r="A619" s="32" t="s">
        <v>101</v>
      </c>
      <c r="B619" s="32">
        <f t="shared" si="155"/>
        <v>2032</v>
      </c>
      <c r="C619" s="33" t="s">
        <v>8</v>
      </c>
      <c r="D619" s="34" t="s">
        <v>1999</v>
      </c>
      <c r="E619" s="35" t="str">
        <f t="shared" si="153"/>
        <v>PRBND'!</v>
      </c>
      <c r="F619" s="34" t="str">
        <f t="shared" si="154"/>
        <v>C:\Users\jaime.benazar\Quorum Business Solutions\Ecopetrol Prometeo - Documents\Planning Space Implementation\3. Analysis &amp; Design\Design\FC22\DRR Jaime\QUIFA-CAJÚA\Cajua\[CAJUA_CF_SEC_New_27-Feb-2024Rev3.xlsx]D-PRBND'!</v>
      </c>
      <c r="G619" s="32" t="s">
        <v>37</v>
      </c>
      <c r="H619" s="33"/>
      <c r="I619" s="33"/>
      <c r="J619" s="37"/>
    </row>
    <row r="620" spans="1:10" x14ac:dyDescent="0.25">
      <c r="A620" s="32" t="s">
        <v>101</v>
      </c>
      <c r="B620" s="32">
        <f t="shared" si="155"/>
        <v>2033</v>
      </c>
      <c r="C620" s="33" t="s">
        <v>8</v>
      </c>
      <c r="D620" s="34" t="s">
        <v>1999</v>
      </c>
      <c r="E620" s="35" t="str">
        <f t="shared" si="153"/>
        <v>PRBND'!</v>
      </c>
      <c r="F620" s="34" t="str">
        <f t="shared" si="154"/>
        <v>C:\Users\jaime.benazar\Quorum Business Solutions\Ecopetrol Prometeo - Documents\Planning Space Implementation\3. Analysis &amp; Design\Design\FC22\DRR Jaime\QUIFA-CAJÚA\Cajua\[CAJUA_CF_SEC_New_27-Feb-2024Rev3.xlsx]D-PRBND'!</v>
      </c>
      <c r="G620" s="32" t="s">
        <v>37</v>
      </c>
      <c r="H620" s="33"/>
      <c r="I620" s="33"/>
      <c r="J620" s="37"/>
    </row>
    <row r="621" spans="1:10" x14ac:dyDescent="0.25">
      <c r="A621" s="32" t="s">
        <v>101</v>
      </c>
      <c r="B621" s="32">
        <f t="shared" si="155"/>
        <v>2034</v>
      </c>
      <c r="C621" s="33" t="s">
        <v>8</v>
      </c>
      <c r="D621" s="34" t="s">
        <v>1999</v>
      </c>
      <c r="E621" s="35" t="str">
        <f t="shared" si="153"/>
        <v>PRBND'!</v>
      </c>
      <c r="F621" s="34" t="str">
        <f t="shared" si="154"/>
        <v>C:\Users\jaime.benazar\Quorum Business Solutions\Ecopetrol Prometeo - Documents\Planning Space Implementation\3. Analysis &amp; Design\Design\FC22\DRR Jaime\QUIFA-CAJÚA\Cajua\[CAJUA_CF_SEC_New_27-Feb-2024Rev3.xlsx]D-PRBND'!</v>
      </c>
      <c r="G621" s="32" t="s">
        <v>37</v>
      </c>
      <c r="H621" s="33"/>
      <c r="I621" s="33"/>
      <c r="J621" s="37"/>
    </row>
    <row r="622" spans="1:10" x14ac:dyDescent="0.25">
      <c r="A622" s="32" t="s">
        <v>101</v>
      </c>
      <c r="B622" s="32">
        <f t="shared" si="155"/>
        <v>2035</v>
      </c>
      <c r="C622" s="33" t="s">
        <v>8</v>
      </c>
      <c r="D622" s="34" t="s">
        <v>1999</v>
      </c>
      <c r="E622" s="35" t="str">
        <f t="shared" si="153"/>
        <v>PRBND'!</v>
      </c>
      <c r="F622" s="34" t="str">
        <f t="shared" si="154"/>
        <v>C:\Users\jaime.benazar\Quorum Business Solutions\Ecopetrol Prometeo - Documents\Planning Space Implementation\3. Analysis &amp; Design\Design\FC22\DRR Jaime\QUIFA-CAJÚA\Cajua\[CAJUA_CF_SEC_New_27-Feb-2024Rev3.xlsx]D-PRBND'!</v>
      </c>
      <c r="G622" s="32" t="s">
        <v>37</v>
      </c>
      <c r="H622" s="33"/>
      <c r="I622" s="33"/>
      <c r="J622" s="37"/>
    </row>
    <row r="623" spans="1:10" x14ac:dyDescent="0.25">
      <c r="A623" s="32" t="s">
        <v>101</v>
      </c>
      <c r="B623" s="32">
        <f t="shared" si="155"/>
        <v>2036</v>
      </c>
      <c r="C623" s="33" t="s">
        <v>8</v>
      </c>
      <c r="D623" s="34" t="s">
        <v>1999</v>
      </c>
      <c r="E623" s="35" t="str">
        <f t="shared" si="153"/>
        <v>PRBND'!</v>
      </c>
      <c r="F623" s="34" t="str">
        <f t="shared" si="154"/>
        <v>C:\Users\jaime.benazar\Quorum Business Solutions\Ecopetrol Prometeo - Documents\Planning Space Implementation\3. Analysis &amp; Design\Design\FC22\DRR Jaime\QUIFA-CAJÚA\Cajua\[CAJUA_CF_SEC_New_27-Feb-2024Rev3.xlsx]D-PRBND'!</v>
      </c>
      <c r="G623" s="32" t="s">
        <v>37</v>
      </c>
      <c r="H623" s="33"/>
      <c r="I623" s="33"/>
      <c r="J623" s="37"/>
    </row>
    <row r="624" spans="1:10" x14ac:dyDescent="0.25">
      <c r="A624" s="32" t="s">
        <v>101</v>
      </c>
      <c r="B624" s="32">
        <f>+B623+1</f>
        <v>2037</v>
      </c>
      <c r="C624" s="33" t="s">
        <v>8</v>
      </c>
      <c r="D624" s="34" t="s">
        <v>1999</v>
      </c>
      <c r="E624" s="35" t="str">
        <f t="shared" si="153"/>
        <v>PRBND'!</v>
      </c>
      <c r="F624" s="34" t="str">
        <f t="shared" si="154"/>
        <v>C:\Users\jaime.benazar\Quorum Business Solutions\Ecopetrol Prometeo - Documents\Planning Space Implementation\3. Analysis &amp; Design\Design\FC22\DRR Jaime\QUIFA-CAJÚA\Cajua\[CAJUA_CF_SEC_New_27-Feb-2024Rev3.xlsx]D-PRBND'!</v>
      </c>
      <c r="G624" s="32" t="s">
        <v>37</v>
      </c>
      <c r="H624" s="33"/>
      <c r="I624" s="33"/>
      <c r="J624" s="37"/>
    </row>
    <row r="625" spans="1:10" x14ac:dyDescent="0.25">
      <c r="A625" s="32" t="s">
        <v>101</v>
      </c>
      <c r="B625" s="32">
        <f t="shared" ref="B625:B627" si="156">+B624+1</f>
        <v>2038</v>
      </c>
      <c r="C625" s="33" t="s">
        <v>8</v>
      </c>
      <c r="D625" s="34" t="s">
        <v>1999</v>
      </c>
      <c r="E625" s="35" t="str">
        <f t="shared" si="153"/>
        <v>PRBND'!</v>
      </c>
      <c r="F625" s="34" t="str">
        <f t="shared" si="154"/>
        <v>C:\Users\jaime.benazar\Quorum Business Solutions\Ecopetrol Prometeo - Documents\Planning Space Implementation\3. Analysis &amp; Design\Design\FC22\DRR Jaime\QUIFA-CAJÚA\Cajua\[CAJUA_CF_SEC_New_27-Feb-2024Rev3.xlsx]D-PRBND'!</v>
      </c>
      <c r="G625" s="32" t="s">
        <v>37</v>
      </c>
      <c r="H625" s="33"/>
      <c r="I625" s="33"/>
      <c r="J625" s="37"/>
    </row>
    <row r="626" spans="1:10" x14ac:dyDescent="0.25">
      <c r="A626" s="32" t="s">
        <v>101</v>
      </c>
      <c r="B626" s="32">
        <f t="shared" si="156"/>
        <v>2039</v>
      </c>
      <c r="C626" s="33" t="s">
        <v>8</v>
      </c>
      <c r="D626" s="34" t="s">
        <v>1999</v>
      </c>
      <c r="E626" s="35" t="str">
        <f t="shared" si="153"/>
        <v>PRBND'!</v>
      </c>
      <c r="F626" s="34" t="str">
        <f t="shared" si="154"/>
        <v>C:\Users\jaime.benazar\Quorum Business Solutions\Ecopetrol Prometeo - Documents\Planning Space Implementation\3. Analysis &amp; Design\Design\FC22\DRR Jaime\QUIFA-CAJÚA\Cajua\[CAJUA_CF_SEC_New_27-Feb-2024Rev3.xlsx]D-PRBND'!</v>
      </c>
      <c r="G626" s="32" t="s">
        <v>37</v>
      </c>
      <c r="H626" s="33"/>
      <c r="I626" s="33"/>
      <c r="J626" s="37"/>
    </row>
    <row r="627" spans="1:10" x14ac:dyDescent="0.25">
      <c r="A627" s="32" t="s">
        <v>101</v>
      </c>
      <c r="B627" s="32">
        <f t="shared" si="156"/>
        <v>2040</v>
      </c>
      <c r="C627" s="33" t="s">
        <v>8</v>
      </c>
      <c r="D627" s="34" t="s">
        <v>1999</v>
      </c>
      <c r="E627" s="35" t="str">
        <f t="shared" si="153"/>
        <v>PRBND'!</v>
      </c>
      <c r="F627" s="34" t="str">
        <f t="shared" si="154"/>
        <v>C:\Users\jaime.benazar\Quorum Business Solutions\Ecopetrol Prometeo - Documents\Planning Space Implementation\3. Analysis &amp; Design\Design\FC22\DRR Jaime\QUIFA-CAJÚA\Cajua\[CAJUA_CF_SEC_New_27-Feb-2024Rev3.xlsx]D-PRBND'!</v>
      </c>
      <c r="G627" s="32" t="s">
        <v>37</v>
      </c>
      <c r="H627" s="33"/>
      <c r="I627" s="33"/>
      <c r="J627" s="37"/>
    </row>
    <row r="628" spans="1:10" x14ac:dyDescent="0.25">
      <c r="A628" s="32" t="s">
        <v>101</v>
      </c>
      <c r="B628" s="32">
        <f>+B627+1</f>
        <v>2041</v>
      </c>
      <c r="C628" s="33" t="s">
        <v>8</v>
      </c>
      <c r="D628" s="34" t="s">
        <v>1999</v>
      </c>
      <c r="E628" s="35" t="str">
        <f t="shared" si="153"/>
        <v>PRBND'!</v>
      </c>
      <c r="F628" s="34" t="str">
        <f t="shared" si="154"/>
        <v>C:\Users\jaime.benazar\Quorum Business Solutions\Ecopetrol Prometeo - Documents\Planning Space Implementation\3. Analysis &amp; Design\Design\FC22\DRR Jaime\QUIFA-CAJÚA\Cajua\[CAJUA_CF_SEC_New_27-Feb-2024Rev3.xlsx]D-PRBND'!</v>
      </c>
      <c r="G628" s="32" t="s">
        <v>37</v>
      </c>
      <c r="H628" s="33"/>
      <c r="I628" s="33"/>
      <c r="J628" s="37"/>
    </row>
    <row r="629" spans="1:10" x14ac:dyDescent="0.25">
      <c r="A629" s="32" t="s">
        <v>101</v>
      </c>
      <c r="B629" s="32">
        <f t="shared" ref="B629:B630" si="157">+B628+1</f>
        <v>2042</v>
      </c>
      <c r="C629" s="33" t="s">
        <v>8</v>
      </c>
      <c r="D629" s="34" t="s">
        <v>1999</v>
      </c>
      <c r="E629" s="35" t="str">
        <f t="shared" si="153"/>
        <v>PRBND'!</v>
      </c>
      <c r="F629" s="34" t="str">
        <f t="shared" si="154"/>
        <v>C:\Users\jaime.benazar\Quorum Business Solutions\Ecopetrol Prometeo - Documents\Planning Space Implementation\3. Analysis &amp; Design\Design\FC22\DRR Jaime\QUIFA-CAJÚA\Cajua\[CAJUA_CF_SEC_New_27-Feb-2024Rev3.xlsx]D-PRBND'!</v>
      </c>
      <c r="G629" s="32" t="s">
        <v>37</v>
      </c>
      <c r="H629" s="33"/>
      <c r="I629" s="33"/>
      <c r="J629" s="37"/>
    </row>
    <row r="630" spans="1:10" x14ac:dyDescent="0.25">
      <c r="A630" s="32" t="s">
        <v>101</v>
      </c>
      <c r="B630" s="32">
        <f t="shared" si="157"/>
        <v>2043</v>
      </c>
      <c r="C630" s="33" t="s">
        <v>8</v>
      </c>
      <c r="D630" s="34" t="s">
        <v>1999</v>
      </c>
      <c r="E630" s="35" t="str">
        <f t="shared" si="153"/>
        <v>PRBND'!</v>
      </c>
      <c r="F630" s="34" t="str">
        <f t="shared" si="154"/>
        <v>C:\Users\jaime.benazar\Quorum Business Solutions\Ecopetrol Prometeo - Documents\Planning Space Implementation\3. Analysis &amp; Design\Design\FC22\DRR Jaime\QUIFA-CAJÚA\Cajua\[CAJUA_CF_SEC_New_27-Feb-2024Rev3.xlsx]D-PRBND'!</v>
      </c>
      <c r="G630" s="32" t="s">
        <v>37</v>
      </c>
      <c r="H630" s="33"/>
      <c r="I630" s="33"/>
      <c r="J630" s="37"/>
    </row>
    <row r="631" spans="1:10" x14ac:dyDescent="0.25">
      <c r="A631" s="32" t="s">
        <v>101</v>
      </c>
      <c r="B631" s="32">
        <f>+B630+1</f>
        <v>2044</v>
      </c>
      <c r="C631" s="33" t="s">
        <v>8</v>
      </c>
      <c r="D631" s="34" t="s">
        <v>1999</v>
      </c>
      <c r="E631" s="35" t="str">
        <f t="shared" ref="E631:E646" si="158">_xlfn.CONCAT(A631,"'!")</f>
        <v>PRBND'!</v>
      </c>
      <c r="F631" s="34" t="str">
        <f t="shared" ref="F631:F646" si="159">_xlfn.CONCAT(D631:E631)</f>
        <v>C:\Users\jaime.benazar\Quorum Business Solutions\Ecopetrol Prometeo - Documents\Planning Space Implementation\3. Analysis &amp; Design\Design\FC22\DRR Jaime\QUIFA-CAJÚA\Cajua\[CAJUA_CF_SEC_New_27-Feb-2024Rev3.xlsx]D-PRBND'!</v>
      </c>
      <c r="G631" s="32" t="s">
        <v>37</v>
      </c>
      <c r="H631" s="33"/>
      <c r="I631" s="33"/>
      <c r="J631" s="37"/>
    </row>
    <row r="632" spans="1:10" x14ac:dyDescent="0.25">
      <c r="A632" s="32" t="s">
        <v>101</v>
      </c>
      <c r="B632" s="32">
        <f t="shared" ref="B632:B646" si="160">+B631+1</f>
        <v>2045</v>
      </c>
      <c r="C632" s="33" t="s">
        <v>8</v>
      </c>
      <c r="D632" s="34" t="s">
        <v>1999</v>
      </c>
      <c r="E632" s="35" t="str">
        <f t="shared" si="158"/>
        <v>PRBND'!</v>
      </c>
      <c r="F632" s="34" t="str">
        <f t="shared" si="159"/>
        <v>C:\Users\jaime.benazar\Quorum Business Solutions\Ecopetrol Prometeo - Documents\Planning Space Implementation\3. Analysis &amp; Design\Design\FC22\DRR Jaime\QUIFA-CAJÚA\Cajua\[CAJUA_CF_SEC_New_27-Feb-2024Rev3.xlsx]D-PRBND'!</v>
      </c>
      <c r="G632" s="32" t="s">
        <v>37</v>
      </c>
      <c r="H632" s="33"/>
      <c r="I632" s="33"/>
      <c r="J632" s="37"/>
    </row>
    <row r="633" spans="1:10" x14ac:dyDescent="0.25">
      <c r="A633" s="32" t="s">
        <v>101</v>
      </c>
      <c r="B633" s="32">
        <f t="shared" si="160"/>
        <v>2046</v>
      </c>
      <c r="C633" s="33" t="s">
        <v>8</v>
      </c>
      <c r="D633" s="34" t="s">
        <v>1999</v>
      </c>
      <c r="E633" s="35" t="str">
        <f t="shared" si="158"/>
        <v>PRBND'!</v>
      </c>
      <c r="F633" s="34" t="str">
        <f t="shared" si="159"/>
        <v>C:\Users\jaime.benazar\Quorum Business Solutions\Ecopetrol Prometeo - Documents\Planning Space Implementation\3. Analysis &amp; Design\Design\FC22\DRR Jaime\QUIFA-CAJÚA\Cajua\[CAJUA_CF_SEC_New_27-Feb-2024Rev3.xlsx]D-PRBND'!</v>
      </c>
      <c r="G633" s="32" t="s">
        <v>37</v>
      </c>
      <c r="H633" s="33"/>
      <c r="I633" s="33"/>
      <c r="J633" s="37"/>
    </row>
    <row r="634" spans="1:10" x14ac:dyDescent="0.25">
      <c r="A634" s="32" t="s">
        <v>101</v>
      </c>
      <c r="B634" s="32">
        <f t="shared" si="160"/>
        <v>2047</v>
      </c>
      <c r="C634" s="33" t="s">
        <v>8</v>
      </c>
      <c r="D634" s="34" t="s">
        <v>1999</v>
      </c>
      <c r="E634" s="35" t="str">
        <f t="shared" si="158"/>
        <v>PRBND'!</v>
      </c>
      <c r="F634" s="34" t="str">
        <f t="shared" si="159"/>
        <v>C:\Users\jaime.benazar\Quorum Business Solutions\Ecopetrol Prometeo - Documents\Planning Space Implementation\3. Analysis &amp; Design\Design\FC22\DRR Jaime\QUIFA-CAJÚA\Cajua\[CAJUA_CF_SEC_New_27-Feb-2024Rev3.xlsx]D-PRBND'!</v>
      </c>
      <c r="G634" s="32" t="s">
        <v>37</v>
      </c>
      <c r="H634" s="33"/>
      <c r="I634" s="33"/>
      <c r="J634" s="37"/>
    </row>
    <row r="635" spans="1:10" x14ac:dyDescent="0.25">
      <c r="A635" s="32" t="s">
        <v>101</v>
      </c>
      <c r="B635" s="32">
        <f t="shared" si="160"/>
        <v>2048</v>
      </c>
      <c r="C635" s="33" t="s">
        <v>8</v>
      </c>
      <c r="D635" s="34" t="s">
        <v>1999</v>
      </c>
      <c r="E635" s="35" t="str">
        <f t="shared" si="158"/>
        <v>PRBND'!</v>
      </c>
      <c r="F635" s="34" t="str">
        <f t="shared" si="159"/>
        <v>C:\Users\jaime.benazar\Quorum Business Solutions\Ecopetrol Prometeo - Documents\Planning Space Implementation\3. Analysis &amp; Design\Design\FC22\DRR Jaime\QUIFA-CAJÚA\Cajua\[CAJUA_CF_SEC_New_27-Feb-2024Rev3.xlsx]D-PRBND'!</v>
      </c>
      <c r="G635" s="32" t="s">
        <v>37</v>
      </c>
      <c r="H635" s="33"/>
      <c r="I635" s="33"/>
      <c r="J635" s="37"/>
    </row>
    <row r="636" spans="1:10" x14ac:dyDescent="0.25">
      <c r="A636" s="32" t="s">
        <v>101</v>
      </c>
      <c r="B636" s="32">
        <f t="shared" si="160"/>
        <v>2049</v>
      </c>
      <c r="C636" s="33" t="s">
        <v>8</v>
      </c>
      <c r="D636" s="34" t="s">
        <v>1999</v>
      </c>
      <c r="E636" s="35" t="str">
        <f t="shared" si="158"/>
        <v>PRBND'!</v>
      </c>
      <c r="F636" s="34" t="str">
        <f t="shared" si="159"/>
        <v>C:\Users\jaime.benazar\Quorum Business Solutions\Ecopetrol Prometeo - Documents\Planning Space Implementation\3. Analysis &amp; Design\Design\FC22\DRR Jaime\QUIFA-CAJÚA\Cajua\[CAJUA_CF_SEC_New_27-Feb-2024Rev3.xlsx]D-PRBND'!</v>
      </c>
      <c r="G636" s="32" t="s">
        <v>37</v>
      </c>
      <c r="H636" s="33"/>
      <c r="I636" s="33"/>
      <c r="J636" s="37"/>
    </row>
    <row r="637" spans="1:10" x14ac:dyDescent="0.25">
      <c r="A637" s="32" t="s">
        <v>101</v>
      </c>
      <c r="B637" s="32">
        <f t="shared" si="160"/>
        <v>2050</v>
      </c>
      <c r="C637" s="33" t="s">
        <v>8</v>
      </c>
      <c r="D637" s="34" t="s">
        <v>1999</v>
      </c>
      <c r="E637" s="35" t="str">
        <f t="shared" si="158"/>
        <v>PRBND'!</v>
      </c>
      <c r="F637" s="34" t="str">
        <f t="shared" si="159"/>
        <v>C:\Users\jaime.benazar\Quorum Business Solutions\Ecopetrol Prometeo - Documents\Planning Space Implementation\3. Analysis &amp; Design\Design\FC22\DRR Jaime\QUIFA-CAJÚA\Cajua\[CAJUA_CF_SEC_New_27-Feb-2024Rev3.xlsx]D-PRBND'!</v>
      </c>
      <c r="G637" s="32" t="s">
        <v>37</v>
      </c>
      <c r="H637" s="33"/>
      <c r="I637" s="33"/>
      <c r="J637" s="37"/>
    </row>
    <row r="638" spans="1:10" x14ac:dyDescent="0.25">
      <c r="A638" s="32" t="s">
        <v>101</v>
      </c>
      <c r="B638" s="32">
        <f t="shared" si="160"/>
        <v>2051</v>
      </c>
      <c r="C638" s="33" t="s">
        <v>8</v>
      </c>
      <c r="D638" s="34" t="s">
        <v>1999</v>
      </c>
      <c r="E638" s="35" t="str">
        <f t="shared" si="158"/>
        <v>PRBND'!</v>
      </c>
      <c r="F638" s="34" t="str">
        <f t="shared" si="159"/>
        <v>C:\Users\jaime.benazar\Quorum Business Solutions\Ecopetrol Prometeo - Documents\Planning Space Implementation\3. Analysis &amp; Design\Design\FC22\DRR Jaime\QUIFA-CAJÚA\Cajua\[CAJUA_CF_SEC_New_27-Feb-2024Rev3.xlsx]D-PRBND'!</v>
      </c>
      <c r="G638" s="32" t="s">
        <v>37</v>
      </c>
      <c r="H638" s="33"/>
      <c r="I638" s="33"/>
      <c r="J638" s="37"/>
    </row>
    <row r="639" spans="1:10" x14ac:dyDescent="0.25">
      <c r="A639" s="32" t="s">
        <v>101</v>
      </c>
      <c r="B639" s="32">
        <f t="shared" si="160"/>
        <v>2052</v>
      </c>
      <c r="C639" s="33" t="s">
        <v>8</v>
      </c>
      <c r="D639" s="34" t="s">
        <v>1999</v>
      </c>
      <c r="E639" s="35" t="str">
        <f t="shared" si="158"/>
        <v>PRBND'!</v>
      </c>
      <c r="F639" s="34" t="str">
        <f t="shared" si="159"/>
        <v>C:\Users\jaime.benazar\Quorum Business Solutions\Ecopetrol Prometeo - Documents\Planning Space Implementation\3. Analysis &amp; Design\Design\FC22\DRR Jaime\QUIFA-CAJÚA\Cajua\[CAJUA_CF_SEC_New_27-Feb-2024Rev3.xlsx]D-PRBND'!</v>
      </c>
      <c r="G639" s="32" t="s">
        <v>37</v>
      </c>
      <c r="H639" s="33"/>
      <c r="I639" s="33"/>
      <c r="J639" s="37"/>
    </row>
    <row r="640" spans="1:10" x14ac:dyDescent="0.25">
      <c r="A640" s="32" t="s">
        <v>101</v>
      </c>
      <c r="B640" s="32">
        <f t="shared" si="160"/>
        <v>2053</v>
      </c>
      <c r="C640" s="33" t="s">
        <v>8</v>
      </c>
      <c r="D640" s="34" t="s">
        <v>1999</v>
      </c>
      <c r="E640" s="35" t="str">
        <f t="shared" si="158"/>
        <v>PRBND'!</v>
      </c>
      <c r="F640" s="34" t="str">
        <f t="shared" si="159"/>
        <v>C:\Users\jaime.benazar\Quorum Business Solutions\Ecopetrol Prometeo - Documents\Planning Space Implementation\3. Analysis &amp; Design\Design\FC22\DRR Jaime\QUIFA-CAJÚA\Cajua\[CAJUA_CF_SEC_New_27-Feb-2024Rev3.xlsx]D-PRBND'!</v>
      </c>
      <c r="G640" s="32" t="s">
        <v>37</v>
      </c>
      <c r="H640" s="33"/>
      <c r="I640" s="33"/>
      <c r="J640" s="37"/>
    </row>
    <row r="641" spans="1:10" x14ac:dyDescent="0.25">
      <c r="A641" s="32" t="s">
        <v>101</v>
      </c>
      <c r="B641" s="32">
        <f t="shared" si="160"/>
        <v>2054</v>
      </c>
      <c r="C641" s="33" t="s">
        <v>8</v>
      </c>
      <c r="D641" s="34" t="s">
        <v>1999</v>
      </c>
      <c r="E641" s="35" t="str">
        <f t="shared" si="158"/>
        <v>PRBND'!</v>
      </c>
      <c r="F641" s="34" t="str">
        <f t="shared" si="159"/>
        <v>C:\Users\jaime.benazar\Quorum Business Solutions\Ecopetrol Prometeo - Documents\Planning Space Implementation\3. Analysis &amp; Design\Design\FC22\DRR Jaime\QUIFA-CAJÚA\Cajua\[CAJUA_CF_SEC_New_27-Feb-2024Rev3.xlsx]D-PRBND'!</v>
      </c>
      <c r="G641" s="32" t="s">
        <v>37</v>
      </c>
      <c r="H641" s="33"/>
      <c r="I641" s="33"/>
      <c r="J641" s="37"/>
    </row>
    <row r="642" spans="1:10" x14ac:dyDescent="0.25">
      <c r="A642" s="32" t="s">
        <v>101</v>
      </c>
      <c r="B642" s="32">
        <f t="shared" si="160"/>
        <v>2055</v>
      </c>
      <c r="C642" s="33" t="s">
        <v>8</v>
      </c>
      <c r="D642" s="34" t="s">
        <v>1999</v>
      </c>
      <c r="E642" s="35" t="str">
        <f t="shared" si="158"/>
        <v>PRBND'!</v>
      </c>
      <c r="F642" s="34" t="str">
        <f t="shared" si="159"/>
        <v>C:\Users\jaime.benazar\Quorum Business Solutions\Ecopetrol Prometeo - Documents\Planning Space Implementation\3. Analysis &amp; Design\Design\FC22\DRR Jaime\QUIFA-CAJÚA\Cajua\[CAJUA_CF_SEC_New_27-Feb-2024Rev3.xlsx]D-PRBND'!</v>
      </c>
      <c r="G642" s="32" t="s">
        <v>37</v>
      </c>
      <c r="H642" s="33"/>
      <c r="I642" s="33"/>
      <c r="J642" s="37"/>
    </row>
    <row r="643" spans="1:10" x14ac:dyDescent="0.25">
      <c r="A643" s="32" t="s">
        <v>101</v>
      </c>
      <c r="B643" s="32">
        <f t="shared" si="160"/>
        <v>2056</v>
      </c>
      <c r="C643" s="33" t="s">
        <v>8</v>
      </c>
      <c r="D643" s="34" t="s">
        <v>1999</v>
      </c>
      <c r="E643" s="35" t="str">
        <f t="shared" si="158"/>
        <v>PRBND'!</v>
      </c>
      <c r="F643" s="34" t="str">
        <f t="shared" si="159"/>
        <v>C:\Users\jaime.benazar\Quorum Business Solutions\Ecopetrol Prometeo - Documents\Planning Space Implementation\3. Analysis &amp; Design\Design\FC22\DRR Jaime\QUIFA-CAJÚA\Cajua\[CAJUA_CF_SEC_New_27-Feb-2024Rev3.xlsx]D-PRBND'!</v>
      </c>
      <c r="G643" s="32" t="s">
        <v>37</v>
      </c>
      <c r="H643" s="33"/>
      <c r="I643" s="33"/>
      <c r="J643" s="37"/>
    </row>
    <row r="644" spans="1:10" x14ac:dyDescent="0.25">
      <c r="A644" s="32" t="s">
        <v>101</v>
      </c>
      <c r="B644" s="32">
        <f t="shared" si="160"/>
        <v>2057</v>
      </c>
      <c r="C644" s="33" t="s">
        <v>8</v>
      </c>
      <c r="D644" s="34" t="s">
        <v>1999</v>
      </c>
      <c r="E644" s="35" t="str">
        <f t="shared" si="158"/>
        <v>PRBND'!</v>
      </c>
      <c r="F644" s="34" t="str">
        <f t="shared" si="159"/>
        <v>C:\Users\jaime.benazar\Quorum Business Solutions\Ecopetrol Prometeo - Documents\Planning Space Implementation\3. Analysis &amp; Design\Design\FC22\DRR Jaime\QUIFA-CAJÚA\Cajua\[CAJUA_CF_SEC_New_27-Feb-2024Rev3.xlsx]D-PRBND'!</v>
      </c>
      <c r="G644" s="32" t="s">
        <v>37</v>
      </c>
      <c r="H644" s="33"/>
      <c r="I644" s="33"/>
      <c r="J644" s="37"/>
    </row>
    <row r="645" spans="1:10" x14ac:dyDescent="0.25">
      <c r="A645" s="32" t="s">
        <v>101</v>
      </c>
      <c r="B645" s="32">
        <f t="shared" si="160"/>
        <v>2058</v>
      </c>
      <c r="C645" s="33" t="s">
        <v>8</v>
      </c>
      <c r="D645" s="34" t="s">
        <v>1999</v>
      </c>
      <c r="E645" s="35" t="str">
        <f t="shared" si="158"/>
        <v>PRBND'!</v>
      </c>
      <c r="F645" s="34" t="str">
        <f t="shared" si="159"/>
        <v>C:\Users\jaime.benazar\Quorum Business Solutions\Ecopetrol Prometeo - Documents\Planning Space Implementation\3. Analysis &amp; Design\Design\FC22\DRR Jaime\QUIFA-CAJÚA\Cajua\[CAJUA_CF_SEC_New_27-Feb-2024Rev3.xlsx]D-PRBND'!</v>
      </c>
      <c r="G645" s="32" t="s">
        <v>37</v>
      </c>
      <c r="H645" s="33"/>
      <c r="I645" s="33"/>
      <c r="J645" s="37"/>
    </row>
    <row r="646" spans="1:10" x14ac:dyDescent="0.25">
      <c r="A646" s="32" t="s">
        <v>101</v>
      </c>
      <c r="B646" s="32">
        <f t="shared" si="160"/>
        <v>2059</v>
      </c>
      <c r="C646" s="33" t="s">
        <v>8</v>
      </c>
      <c r="D646" s="34" t="s">
        <v>1999</v>
      </c>
      <c r="E646" s="35" t="str">
        <f t="shared" si="158"/>
        <v>PRBND'!</v>
      </c>
      <c r="F646" s="34" t="str">
        <f t="shared" si="159"/>
        <v>C:\Users\jaime.benazar\Quorum Business Solutions\Ecopetrol Prometeo - Documents\Planning Space Implementation\3. Analysis &amp; Design\Design\FC22\DRR Jaime\QUIFA-CAJÚA\Cajua\[CAJUA_CF_SEC_New_27-Feb-2024Rev3.xlsx]D-PRBND'!</v>
      </c>
      <c r="G646" s="32" t="s">
        <v>37</v>
      </c>
      <c r="H646" s="33"/>
      <c r="I646" s="33"/>
      <c r="J646" s="37"/>
    </row>
    <row r="647" spans="1:10" x14ac:dyDescent="0.25">
      <c r="A647" s="32" t="s">
        <v>28</v>
      </c>
      <c r="B647" s="32"/>
      <c r="C647" s="33" t="s">
        <v>8</v>
      </c>
      <c r="D647" s="34"/>
      <c r="E647" s="35"/>
      <c r="F647" s="34"/>
      <c r="G647" s="32"/>
      <c r="H647" s="33"/>
      <c r="I647" s="33"/>
      <c r="J647" s="33"/>
    </row>
    <row r="648" spans="1:10" x14ac:dyDescent="0.25">
      <c r="A648" s="32" t="s">
        <v>4</v>
      </c>
      <c r="B648" s="32">
        <v>2023</v>
      </c>
      <c r="C648" s="33" t="s">
        <v>8</v>
      </c>
      <c r="D648" s="34" t="s">
        <v>1999</v>
      </c>
      <c r="E648" s="35" t="str">
        <f t="shared" si="129"/>
        <v>PRB'!</v>
      </c>
      <c r="F648" s="34" t="str">
        <f t="shared" si="130"/>
        <v>C:\Users\jaime.benazar\Quorum Business Solutions\Ecopetrol Prometeo - Documents\Planning Space Implementation\3. Analysis &amp; Design\Design\FC22\DRR Jaime\QUIFA-CAJÚA\Cajua\[CAJUA_CF_SEC_New_27-Feb-2024Rev3.xlsx]D-PRB'!</v>
      </c>
      <c r="G648" s="32" t="s">
        <v>37</v>
      </c>
      <c r="H648" s="33">
        <v>12</v>
      </c>
      <c r="I648" s="33" t="str">
        <f t="shared" si="131"/>
        <v>='C:\Users\jaime.benazar\Quorum Business Solutions\Ecopetrol Prometeo - Documents\Planning Space Implementation\3. Analysis &amp; Design\Design\FC22\DRR Jaime\QUIFA-CAJÚA\Cajua\[CAJUA_CF_SEC_New_27-Feb-2024Rev3.xlsx]D-PRB'!$BW$12</v>
      </c>
      <c r="J648" s="37" t="s">
        <v>2296</v>
      </c>
    </row>
    <row r="649" spans="1:10" x14ac:dyDescent="0.25">
      <c r="A649" s="32" t="s">
        <v>4</v>
      </c>
      <c r="B649" s="32">
        <f>+B648+1</f>
        <v>2024</v>
      </c>
      <c r="C649" s="33" t="s">
        <v>8</v>
      </c>
      <c r="D649" s="34" t="s">
        <v>1999</v>
      </c>
      <c r="E649" s="35" t="str">
        <f t="shared" si="129"/>
        <v>PRB'!</v>
      </c>
      <c r="F649" s="34" t="str">
        <f t="shared" si="130"/>
        <v>C:\Users\jaime.benazar\Quorum Business Solutions\Ecopetrol Prometeo - Documents\Planning Space Implementation\3. Analysis &amp; Design\Design\FC22\DRR Jaime\QUIFA-CAJÚA\Cajua\[CAJUA_CF_SEC_New_27-Feb-2024Rev3.xlsx]D-PRB'!</v>
      </c>
      <c r="G649" s="32" t="s">
        <v>37</v>
      </c>
      <c r="H649" s="33">
        <f>IF(A649&lt;&gt;A648,12,H648+1)</f>
        <v>13</v>
      </c>
      <c r="I649" s="33" t="str">
        <f t="shared" si="131"/>
        <v>='C:\Users\jaime.benazar\Quorum Business Solutions\Ecopetrol Prometeo - Documents\Planning Space Implementation\3. Analysis &amp; Design\Design\FC22\DRR Jaime\QUIFA-CAJÚA\Cajua\[CAJUA_CF_SEC_New_27-Feb-2024Rev3.xlsx]D-PRB'!$BW$13</v>
      </c>
      <c r="J649" s="37" t="s">
        <v>2297</v>
      </c>
    </row>
    <row r="650" spans="1:10" x14ac:dyDescent="0.25">
      <c r="A650" s="32" t="s">
        <v>4</v>
      </c>
      <c r="B650" s="32">
        <f t="shared" ref="B650:B661" si="161">+B649+1</f>
        <v>2025</v>
      </c>
      <c r="C650" s="33" t="s">
        <v>8</v>
      </c>
      <c r="D650" s="34" t="s">
        <v>1999</v>
      </c>
      <c r="E650" s="35" t="str">
        <f t="shared" si="129"/>
        <v>PRB'!</v>
      </c>
      <c r="F650" s="34" t="str">
        <f t="shared" si="130"/>
        <v>C:\Users\jaime.benazar\Quorum Business Solutions\Ecopetrol Prometeo - Documents\Planning Space Implementation\3. Analysis &amp; Design\Design\FC22\DRR Jaime\QUIFA-CAJÚA\Cajua\[CAJUA_CF_SEC_New_27-Feb-2024Rev3.xlsx]D-PRB'!</v>
      </c>
      <c r="G650" s="32" t="s">
        <v>37</v>
      </c>
      <c r="H650" s="33">
        <f t="shared" ref="H650:H668" si="162">IF(A650&lt;&gt;A649,12,H649+1)</f>
        <v>14</v>
      </c>
      <c r="I650" s="33" t="str">
        <f t="shared" si="131"/>
        <v>='C:\Users\jaime.benazar\Quorum Business Solutions\Ecopetrol Prometeo - Documents\Planning Space Implementation\3. Analysis &amp; Design\Design\FC22\DRR Jaime\QUIFA-CAJÚA\Cajua\[CAJUA_CF_SEC_New_27-Feb-2024Rev3.xlsx]D-PRB'!$BW$14</v>
      </c>
      <c r="J650" s="37" t="s">
        <v>2298</v>
      </c>
    </row>
    <row r="651" spans="1:10" x14ac:dyDescent="0.25">
      <c r="A651" s="32" t="s">
        <v>4</v>
      </c>
      <c r="B651" s="32">
        <f t="shared" si="161"/>
        <v>2026</v>
      </c>
      <c r="C651" s="33" t="s">
        <v>8</v>
      </c>
      <c r="D651" s="34" t="s">
        <v>1999</v>
      </c>
      <c r="E651" s="35" t="str">
        <f t="shared" si="129"/>
        <v>PRB'!</v>
      </c>
      <c r="F651" s="34" t="str">
        <f t="shared" si="130"/>
        <v>C:\Users\jaime.benazar\Quorum Business Solutions\Ecopetrol Prometeo - Documents\Planning Space Implementation\3. Analysis &amp; Design\Design\FC22\DRR Jaime\QUIFA-CAJÚA\Cajua\[CAJUA_CF_SEC_New_27-Feb-2024Rev3.xlsx]D-PRB'!</v>
      </c>
      <c r="G651" s="32" t="s">
        <v>37</v>
      </c>
      <c r="H651" s="33">
        <f t="shared" si="162"/>
        <v>15</v>
      </c>
      <c r="I651" s="33" t="str">
        <f t="shared" si="131"/>
        <v>='C:\Users\jaime.benazar\Quorum Business Solutions\Ecopetrol Prometeo - Documents\Planning Space Implementation\3. Analysis &amp; Design\Design\FC22\DRR Jaime\QUIFA-CAJÚA\Cajua\[CAJUA_CF_SEC_New_27-Feb-2024Rev3.xlsx]D-PRB'!$BW$15</v>
      </c>
      <c r="J651" s="37" t="s">
        <v>2299</v>
      </c>
    </row>
    <row r="652" spans="1:10" x14ac:dyDescent="0.25">
      <c r="A652" s="32" t="s">
        <v>4</v>
      </c>
      <c r="B652" s="32">
        <f t="shared" si="161"/>
        <v>2027</v>
      </c>
      <c r="C652" s="33" t="s">
        <v>8</v>
      </c>
      <c r="D652" s="34" t="s">
        <v>1999</v>
      </c>
      <c r="E652" s="35" t="str">
        <f t="shared" si="129"/>
        <v>PRB'!</v>
      </c>
      <c r="F652" s="34" t="str">
        <f t="shared" si="130"/>
        <v>C:\Users\jaime.benazar\Quorum Business Solutions\Ecopetrol Prometeo - Documents\Planning Space Implementation\3. Analysis &amp; Design\Design\FC22\DRR Jaime\QUIFA-CAJÚA\Cajua\[CAJUA_CF_SEC_New_27-Feb-2024Rev3.xlsx]D-PRB'!</v>
      </c>
      <c r="G652" s="32" t="s">
        <v>37</v>
      </c>
      <c r="H652" s="33">
        <f t="shared" si="162"/>
        <v>16</v>
      </c>
      <c r="I652" s="33" t="str">
        <f t="shared" si="131"/>
        <v>='C:\Users\jaime.benazar\Quorum Business Solutions\Ecopetrol Prometeo - Documents\Planning Space Implementation\3. Analysis &amp; Design\Design\FC22\DRR Jaime\QUIFA-CAJÚA\Cajua\[CAJUA_CF_SEC_New_27-Feb-2024Rev3.xlsx]D-PRB'!$BW$16</v>
      </c>
      <c r="J652" s="37" t="s">
        <v>2300</v>
      </c>
    </row>
    <row r="653" spans="1:10" x14ac:dyDescent="0.25">
      <c r="A653" s="32" t="s">
        <v>4</v>
      </c>
      <c r="B653" s="32">
        <f t="shared" si="161"/>
        <v>2028</v>
      </c>
      <c r="C653" s="33" t="s">
        <v>8</v>
      </c>
      <c r="D653" s="34" t="s">
        <v>1999</v>
      </c>
      <c r="E653" s="35" t="str">
        <f t="shared" si="129"/>
        <v>PRB'!</v>
      </c>
      <c r="F653" s="34" t="str">
        <f t="shared" si="130"/>
        <v>C:\Users\jaime.benazar\Quorum Business Solutions\Ecopetrol Prometeo - Documents\Planning Space Implementation\3. Analysis &amp; Design\Design\FC22\DRR Jaime\QUIFA-CAJÚA\Cajua\[CAJUA_CF_SEC_New_27-Feb-2024Rev3.xlsx]D-PRB'!</v>
      </c>
      <c r="G653" s="32" t="s">
        <v>37</v>
      </c>
      <c r="H653" s="33">
        <f t="shared" si="162"/>
        <v>17</v>
      </c>
      <c r="I653" s="33" t="str">
        <f t="shared" si="131"/>
        <v>='C:\Users\jaime.benazar\Quorum Business Solutions\Ecopetrol Prometeo - Documents\Planning Space Implementation\3. Analysis &amp; Design\Design\FC22\DRR Jaime\QUIFA-CAJÚA\Cajua\[CAJUA_CF_SEC_New_27-Feb-2024Rev3.xlsx]D-PRB'!$BW$17</v>
      </c>
      <c r="J653" s="37" t="s">
        <v>2301</v>
      </c>
    </row>
    <row r="654" spans="1:10" x14ac:dyDescent="0.25">
      <c r="A654" s="32" t="s">
        <v>4</v>
      </c>
      <c r="B654" s="32">
        <f t="shared" si="161"/>
        <v>2029</v>
      </c>
      <c r="C654" s="33" t="s">
        <v>8</v>
      </c>
      <c r="D654" s="34" t="s">
        <v>1999</v>
      </c>
      <c r="E654" s="35" t="str">
        <f t="shared" si="129"/>
        <v>PRB'!</v>
      </c>
      <c r="F654" s="34" t="str">
        <f t="shared" si="130"/>
        <v>C:\Users\jaime.benazar\Quorum Business Solutions\Ecopetrol Prometeo - Documents\Planning Space Implementation\3. Analysis &amp; Design\Design\FC22\DRR Jaime\QUIFA-CAJÚA\Cajua\[CAJUA_CF_SEC_New_27-Feb-2024Rev3.xlsx]D-PRB'!</v>
      </c>
      <c r="G654" s="32" t="s">
        <v>37</v>
      </c>
      <c r="H654" s="33">
        <f t="shared" si="162"/>
        <v>18</v>
      </c>
      <c r="I654" s="33" t="str">
        <f t="shared" si="131"/>
        <v>='C:\Users\jaime.benazar\Quorum Business Solutions\Ecopetrol Prometeo - Documents\Planning Space Implementation\3. Analysis &amp; Design\Design\FC22\DRR Jaime\QUIFA-CAJÚA\Cajua\[CAJUA_CF_SEC_New_27-Feb-2024Rev3.xlsx]D-PRB'!$BW$18</v>
      </c>
      <c r="J654" s="37" t="s">
        <v>2302</v>
      </c>
    </row>
    <row r="655" spans="1:10" x14ac:dyDescent="0.25">
      <c r="A655" s="32" t="s">
        <v>4</v>
      </c>
      <c r="B655" s="32">
        <f t="shared" si="161"/>
        <v>2030</v>
      </c>
      <c r="C655" s="33" t="s">
        <v>8</v>
      </c>
      <c r="D655" s="34" t="s">
        <v>1999</v>
      </c>
      <c r="E655" s="35" t="str">
        <f t="shared" si="129"/>
        <v>PRB'!</v>
      </c>
      <c r="F655" s="34" t="str">
        <f t="shared" si="130"/>
        <v>C:\Users\jaime.benazar\Quorum Business Solutions\Ecopetrol Prometeo - Documents\Planning Space Implementation\3. Analysis &amp; Design\Design\FC22\DRR Jaime\QUIFA-CAJÚA\Cajua\[CAJUA_CF_SEC_New_27-Feb-2024Rev3.xlsx]D-PRB'!</v>
      </c>
      <c r="G655" s="32" t="s">
        <v>37</v>
      </c>
      <c r="H655" s="33">
        <f t="shared" si="162"/>
        <v>19</v>
      </c>
      <c r="I655" s="33" t="str">
        <f t="shared" si="131"/>
        <v>='C:\Users\jaime.benazar\Quorum Business Solutions\Ecopetrol Prometeo - Documents\Planning Space Implementation\3. Analysis &amp; Design\Design\FC22\DRR Jaime\QUIFA-CAJÚA\Cajua\[CAJUA_CF_SEC_New_27-Feb-2024Rev3.xlsx]D-PRB'!$BW$19</v>
      </c>
      <c r="J655" s="37" t="s">
        <v>2303</v>
      </c>
    </row>
    <row r="656" spans="1:10" x14ac:dyDescent="0.25">
      <c r="A656" s="32" t="s">
        <v>4</v>
      </c>
      <c r="B656" s="32">
        <f t="shared" si="161"/>
        <v>2031</v>
      </c>
      <c r="C656" s="33" t="s">
        <v>8</v>
      </c>
      <c r="D656" s="34" t="s">
        <v>1999</v>
      </c>
      <c r="E656" s="35" t="str">
        <f t="shared" si="129"/>
        <v>PRB'!</v>
      </c>
      <c r="F656" s="34" t="str">
        <f t="shared" si="130"/>
        <v>C:\Users\jaime.benazar\Quorum Business Solutions\Ecopetrol Prometeo - Documents\Planning Space Implementation\3. Analysis &amp; Design\Design\FC22\DRR Jaime\QUIFA-CAJÚA\Cajua\[CAJUA_CF_SEC_New_27-Feb-2024Rev3.xlsx]D-PRB'!</v>
      </c>
      <c r="G656" s="32" t="s">
        <v>37</v>
      </c>
      <c r="H656" s="33">
        <f t="shared" si="162"/>
        <v>20</v>
      </c>
      <c r="I656" s="33" t="str">
        <f t="shared" si="131"/>
        <v>='C:\Users\jaime.benazar\Quorum Business Solutions\Ecopetrol Prometeo - Documents\Planning Space Implementation\3. Analysis &amp; Design\Design\FC22\DRR Jaime\QUIFA-CAJÚA\Cajua\[CAJUA_CF_SEC_New_27-Feb-2024Rev3.xlsx]D-PRB'!$BW$20</v>
      </c>
      <c r="J656" s="37" t="s">
        <v>2304</v>
      </c>
    </row>
    <row r="657" spans="1:10" x14ac:dyDescent="0.25">
      <c r="A657" s="32" t="s">
        <v>4</v>
      </c>
      <c r="B657" s="32">
        <f t="shared" si="161"/>
        <v>2032</v>
      </c>
      <c r="C657" s="33" t="s">
        <v>8</v>
      </c>
      <c r="D657" s="34" t="s">
        <v>1999</v>
      </c>
      <c r="E657" s="35" t="str">
        <f t="shared" si="129"/>
        <v>PRB'!</v>
      </c>
      <c r="F657" s="34" t="str">
        <f t="shared" si="130"/>
        <v>C:\Users\jaime.benazar\Quorum Business Solutions\Ecopetrol Prometeo - Documents\Planning Space Implementation\3. Analysis &amp; Design\Design\FC22\DRR Jaime\QUIFA-CAJÚA\Cajua\[CAJUA_CF_SEC_New_27-Feb-2024Rev3.xlsx]D-PRB'!</v>
      </c>
      <c r="G657" s="32" t="s">
        <v>37</v>
      </c>
      <c r="H657" s="33">
        <f t="shared" si="162"/>
        <v>21</v>
      </c>
      <c r="I657" s="33" t="str">
        <f t="shared" si="131"/>
        <v>='C:\Users\jaime.benazar\Quorum Business Solutions\Ecopetrol Prometeo - Documents\Planning Space Implementation\3. Analysis &amp; Design\Design\FC22\DRR Jaime\QUIFA-CAJÚA\Cajua\[CAJUA_CF_SEC_New_27-Feb-2024Rev3.xlsx]D-PRB'!$BW$21</v>
      </c>
      <c r="J657" s="37" t="s">
        <v>2305</v>
      </c>
    </row>
    <row r="658" spans="1:10" x14ac:dyDescent="0.25">
      <c r="A658" s="32" t="s">
        <v>4</v>
      </c>
      <c r="B658" s="32">
        <f t="shared" si="161"/>
        <v>2033</v>
      </c>
      <c r="C658" s="33" t="s">
        <v>8</v>
      </c>
      <c r="D658" s="34" t="s">
        <v>1999</v>
      </c>
      <c r="E658" s="35" t="str">
        <f t="shared" si="129"/>
        <v>PRB'!</v>
      </c>
      <c r="F658" s="34" t="str">
        <f t="shared" si="130"/>
        <v>C:\Users\jaime.benazar\Quorum Business Solutions\Ecopetrol Prometeo - Documents\Planning Space Implementation\3. Analysis &amp; Design\Design\FC22\DRR Jaime\QUIFA-CAJÚA\Cajua\[CAJUA_CF_SEC_New_27-Feb-2024Rev3.xlsx]D-PRB'!</v>
      </c>
      <c r="G658" s="32" t="s">
        <v>37</v>
      </c>
      <c r="H658" s="33">
        <f t="shared" si="162"/>
        <v>22</v>
      </c>
      <c r="I658" s="33" t="str">
        <f t="shared" si="131"/>
        <v>='C:\Users\jaime.benazar\Quorum Business Solutions\Ecopetrol Prometeo - Documents\Planning Space Implementation\3. Analysis &amp; Design\Design\FC22\DRR Jaime\QUIFA-CAJÚA\Cajua\[CAJUA_CF_SEC_New_27-Feb-2024Rev3.xlsx]D-PRB'!$BW$22</v>
      </c>
      <c r="J658" s="37" t="s">
        <v>2306</v>
      </c>
    </row>
    <row r="659" spans="1:10" x14ac:dyDescent="0.25">
      <c r="A659" s="32" t="s">
        <v>4</v>
      </c>
      <c r="B659" s="32">
        <f t="shared" si="161"/>
        <v>2034</v>
      </c>
      <c r="C659" s="33" t="s">
        <v>8</v>
      </c>
      <c r="D659" s="34" t="s">
        <v>1999</v>
      </c>
      <c r="E659" s="35" t="str">
        <f t="shared" si="129"/>
        <v>PRB'!</v>
      </c>
      <c r="F659" s="34" t="str">
        <f t="shared" si="130"/>
        <v>C:\Users\jaime.benazar\Quorum Business Solutions\Ecopetrol Prometeo - Documents\Planning Space Implementation\3. Analysis &amp; Design\Design\FC22\DRR Jaime\QUIFA-CAJÚA\Cajua\[CAJUA_CF_SEC_New_27-Feb-2024Rev3.xlsx]D-PRB'!</v>
      </c>
      <c r="G659" s="32" t="s">
        <v>37</v>
      </c>
      <c r="H659" s="33">
        <f t="shared" si="162"/>
        <v>23</v>
      </c>
      <c r="I659" s="33" t="str">
        <f t="shared" si="131"/>
        <v>='C:\Users\jaime.benazar\Quorum Business Solutions\Ecopetrol Prometeo - Documents\Planning Space Implementation\3. Analysis &amp; Design\Design\FC22\DRR Jaime\QUIFA-CAJÚA\Cajua\[CAJUA_CF_SEC_New_27-Feb-2024Rev3.xlsx]D-PRB'!$BW$23</v>
      </c>
      <c r="J659" s="37" t="s">
        <v>2307</v>
      </c>
    </row>
    <row r="660" spans="1:10" x14ac:dyDescent="0.25">
      <c r="A660" s="32" t="s">
        <v>4</v>
      </c>
      <c r="B660" s="32">
        <f t="shared" si="161"/>
        <v>2035</v>
      </c>
      <c r="C660" s="33" t="s">
        <v>8</v>
      </c>
      <c r="D660" s="34" t="s">
        <v>1999</v>
      </c>
      <c r="E660" s="35" t="str">
        <f t="shared" si="129"/>
        <v>PRB'!</v>
      </c>
      <c r="F660" s="34" t="str">
        <f t="shared" si="130"/>
        <v>C:\Users\jaime.benazar\Quorum Business Solutions\Ecopetrol Prometeo - Documents\Planning Space Implementation\3. Analysis &amp; Design\Design\FC22\DRR Jaime\QUIFA-CAJÚA\Cajua\[CAJUA_CF_SEC_New_27-Feb-2024Rev3.xlsx]D-PRB'!</v>
      </c>
      <c r="G660" s="32" t="s">
        <v>37</v>
      </c>
      <c r="H660" s="33">
        <f t="shared" si="162"/>
        <v>24</v>
      </c>
      <c r="I660" s="33" t="str">
        <f t="shared" si="131"/>
        <v>='C:\Users\jaime.benazar\Quorum Business Solutions\Ecopetrol Prometeo - Documents\Planning Space Implementation\3. Analysis &amp; Design\Design\FC22\DRR Jaime\QUIFA-CAJÚA\Cajua\[CAJUA_CF_SEC_New_27-Feb-2024Rev3.xlsx]D-PRB'!$BW$24</v>
      </c>
      <c r="J660" s="37" t="s">
        <v>2308</v>
      </c>
    </row>
    <row r="661" spans="1:10" x14ac:dyDescent="0.25">
      <c r="A661" s="32" t="s">
        <v>4</v>
      </c>
      <c r="B661" s="32">
        <f t="shared" si="161"/>
        <v>2036</v>
      </c>
      <c r="C661" s="33" t="s">
        <v>8</v>
      </c>
      <c r="D661" s="34" t="s">
        <v>1999</v>
      </c>
      <c r="E661" s="35" t="str">
        <f t="shared" si="129"/>
        <v>PRB'!</v>
      </c>
      <c r="F661" s="34" t="str">
        <f t="shared" si="130"/>
        <v>C:\Users\jaime.benazar\Quorum Business Solutions\Ecopetrol Prometeo - Documents\Planning Space Implementation\3. Analysis &amp; Design\Design\FC22\DRR Jaime\QUIFA-CAJÚA\Cajua\[CAJUA_CF_SEC_New_27-Feb-2024Rev3.xlsx]D-PRB'!</v>
      </c>
      <c r="G661" s="32" t="s">
        <v>37</v>
      </c>
      <c r="H661" s="33">
        <f t="shared" si="162"/>
        <v>25</v>
      </c>
      <c r="I661" s="33" t="str">
        <f t="shared" si="131"/>
        <v>='C:\Users\jaime.benazar\Quorum Business Solutions\Ecopetrol Prometeo - Documents\Planning Space Implementation\3. Analysis &amp; Design\Design\FC22\DRR Jaime\QUIFA-CAJÚA\Cajua\[CAJUA_CF_SEC_New_27-Feb-2024Rev3.xlsx]D-PRB'!$BW$25</v>
      </c>
      <c r="J661" s="37" t="s">
        <v>2309</v>
      </c>
    </row>
    <row r="662" spans="1:10" x14ac:dyDescent="0.25">
      <c r="A662" s="32" t="s">
        <v>4</v>
      </c>
      <c r="B662" s="32">
        <f>+B661+1</f>
        <v>2037</v>
      </c>
      <c r="C662" s="33" t="s">
        <v>8</v>
      </c>
      <c r="D662" s="34" t="s">
        <v>1999</v>
      </c>
      <c r="E662" s="35" t="str">
        <f t="shared" si="129"/>
        <v>PRB'!</v>
      </c>
      <c r="F662" s="34" t="str">
        <f t="shared" si="130"/>
        <v>C:\Users\jaime.benazar\Quorum Business Solutions\Ecopetrol Prometeo - Documents\Planning Space Implementation\3. Analysis &amp; Design\Design\FC22\DRR Jaime\QUIFA-CAJÚA\Cajua\[CAJUA_CF_SEC_New_27-Feb-2024Rev3.xlsx]D-PRB'!</v>
      </c>
      <c r="G662" s="32" t="s">
        <v>37</v>
      </c>
      <c r="H662" s="33">
        <f t="shared" si="162"/>
        <v>26</v>
      </c>
      <c r="I662" s="33" t="str">
        <f t="shared" si="131"/>
        <v>='C:\Users\jaime.benazar\Quorum Business Solutions\Ecopetrol Prometeo - Documents\Planning Space Implementation\3. Analysis &amp; Design\Design\FC22\DRR Jaime\QUIFA-CAJÚA\Cajua\[CAJUA_CF_SEC_New_27-Feb-2024Rev3.xlsx]D-PRB'!$BW$26</v>
      </c>
      <c r="J662" s="37" t="s">
        <v>2310</v>
      </c>
    </row>
    <row r="663" spans="1:10" x14ac:dyDescent="0.25">
      <c r="A663" s="32" t="s">
        <v>4</v>
      </c>
      <c r="B663" s="32">
        <f t="shared" ref="B663:B665" si="163">+B662+1</f>
        <v>2038</v>
      </c>
      <c r="C663" s="33" t="s">
        <v>8</v>
      </c>
      <c r="D663" s="34" t="s">
        <v>1999</v>
      </c>
      <c r="E663" s="35" t="str">
        <f t="shared" si="129"/>
        <v>PRB'!</v>
      </c>
      <c r="F663" s="34" t="str">
        <f t="shared" si="130"/>
        <v>C:\Users\jaime.benazar\Quorum Business Solutions\Ecopetrol Prometeo - Documents\Planning Space Implementation\3. Analysis &amp; Design\Design\FC22\DRR Jaime\QUIFA-CAJÚA\Cajua\[CAJUA_CF_SEC_New_27-Feb-2024Rev3.xlsx]D-PRB'!</v>
      </c>
      <c r="G663" s="32" t="s">
        <v>37</v>
      </c>
      <c r="H663" s="33">
        <f t="shared" si="162"/>
        <v>27</v>
      </c>
      <c r="I663" s="33" t="str">
        <f t="shared" si="131"/>
        <v>='C:\Users\jaime.benazar\Quorum Business Solutions\Ecopetrol Prometeo - Documents\Planning Space Implementation\3. Analysis &amp; Design\Design\FC22\DRR Jaime\QUIFA-CAJÚA\Cajua\[CAJUA_CF_SEC_New_27-Feb-2024Rev3.xlsx]D-PRB'!$BW$27</v>
      </c>
      <c r="J663" s="37" t="s">
        <v>2311</v>
      </c>
    </row>
    <row r="664" spans="1:10" x14ac:dyDescent="0.25">
      <c r="A664" s="32" t="s">
        <v>4</v>
      </c>
      <c r="B664" s="32">
        <f t="shared" si="163"/>
        <v>2039</v>
      </c>
      <c r="C664" s="33" t="s">
        <v>8</v>
      </c>
      <c r="D664" s="34" t="s">
        <v>1999</v>
      </c>
      <c r="E664" s="35" t="str">
        <f t="shared" si="129"/>
        <v>PRB'!</v>
      </c>
      <c r="F664" s="34" t="str">
        <f t="shared" si="130"/>
        <v>C:\Users\jaime.benazar\Quorum Business Solutions\Ecopetrol Prometeo - Documents\Planning Space Implementation\3. Analysis &amp; Design\Design\FC22\DRR Jaime\QUIFA-CAJÚA\Cajua\[CAJUA_CF_SEC_New_27-Feb-2024Rev3.xlsx]D-PRB'!</v>
      </c>
      <c r="G664" s="32" t="s">
        <v>37</v>
      </c>
      <c r="H664" s="33">
        <f t="shared" si="162"/>
        <v>28</v>
      </c>
      <c r="I664" s="33" t="str">
        <f t="shared" si="131"/>
        <v>='C:\Users\jaime.benazar\Quorum Business Solutions\Ecopetrol Prometeo - Documents\Planning Space Implementation\3. Analysis &amp; Design\Design\FC22\DRR Jaime\QUIFA-CAJÚA\Cajua\[CAJUA_CF_SEC_New_27-Feb-2024Rev3.xlsx]D-PRB'!$BW$28</v>
      </c>
      <c r="J664" s="37" t="s">
        <v>2312</v>
      </c>
    </row>
    <row r="665" spans="1:10" x14ac:dyDescent="0.25">
      <c r="A665" s="32" t="s">
        <v>4</v>
      </c>
      <c r="B665" s="32">
        <f t="shared" si="163"/>
        <v>2040</v>
      </c>
      <c r="C665" s="33" t="s">
        <v>8</v>
      </c>
      <c r="D665" s="34" t="s">
        <v>1999</v>
      </c>
      <c r="E665" s="35" t="str">
        <f t="shared" si="129"/>
        <v>PRB'!</v>
      </c>
      <c r="F665" s="34" t="str">
        <f t="shared" si="130"/>
        <v>C:\Users\jaime.benazar\Quorum Business Solutions\Ecopetrol Prometeo - Documents\Planning Space Implementation\3. Analysis &amp; Design\Design\FC22\DRR Jaime\QUIFA-CAJÚA\Cajua\[CAJUA_CF_SEC_New_27-Feb-2024Rev3.xlsx]D-PRB'!</v>
      </c>
      <c r="G665" s="32" t="s">
        <v>37</v>
      </c>
      <c r="H665" s="33">
        <f t="shared" si="162"/>
        <v>29</v>
      </c>
      <c r="I665" s="33" t="str">
        <f t="shared" si="131"/>
        <v>='C:\Users\jaime.benazar\Quorum Business Solutions\Ecopetrol Prometeo - Documents\Planning Space Implementation\3. Analysis &amp; Design\Design\FC22\DRR Jaime\QUIFA-CAJÚA\Cajua\[CAJUA_CF_SEC_New_27-Feb-2024Rev3.xlsx]D-PRB'!$BW$29</v>
      </c>
      <c r="J665" s="37" t="s">
        <v>2313</v>
      </c>
    </row>
    <row r="666" spans="1:10" x14ac:dyDescent="0.25">
      <c r="A666" s="32" t="s">
        <v>4</v>
      </c>
      <c r="B666" s="32">
        <f>+B665+1</f>
        <v>2041</v>
      </c>
      <c r="C666" s="33" t="s">
        <v>8</v>
      </c>
      <c r="D666" s="34" t="s">
        <v>1999</v>
      </c>
      <c r="E666" s="35" t="str">
        <f t="shared" si="129"/>
        <v>PRB'!</v>
      </c>
      <c r="F666" s="34" t="str">
        <f t="shared" si="130"/>
        <v>C:\Users\jaime.benazar\Quorum Business Solutions\Ecopetrol Prometeo - Documents\Planning Space Implementation\3. Analysis &amp; Design\Design\FC22\DRR Jaime\QUIFA-CAJÚA\Cajua\[CAJUA_CF_SEC_New_27-Feb-2024Rev3.xlsx]D-PRB'!</v>
      </c>
      <c r="G666" s="32" t="s">
        <v>37</v>
      </c>
      <c r="H666" s="33">
        <f t="shared" si="162"/>
        <v>30</v>
      </c>
      <c r="I666" s="33" t="str">
        <f t="shared" si="131"/>
        <v>='C:\Users\jaime.benazar\Quorum Business Solutions\Ecopetrol Prometeo - Documents\Planning Space Implementation\3. Analysis &amp; Design\Design\FC22\DRR Jaime\QUIFA-CAJÚA\Cajua\[CAJUA_CF_SEC_New_27-Feb-2024Rev3.xlsx]D-PRB'!$BW$30</v>
      </c>
      <c r="J666" s="37" t="s">
        <v>2314</v>
      </c>
    </row>
    <row r="667" spans="1:10" x14ac:dyDescent="0.25">
      <c r="A667" s="32" t="s">
        <v>4</v>
      </c>
      <c r="B667" s="32">
        <f t="shared" ref="B667:B668" si="164">+B666+1</f>
        <v>2042</v>
      </c>
      <c r="C667" s="33" t="s">
        <v>8</v>
      </c>
      <c r="D667" s="34" t="s">
        <v>1999</v>
      </c>
      <c r="E667" s="35" t="str">
        <f t="shared" si="129"/>
        <v>PRB'!</v>
      </c>
      <c r="F667" s="34" t="str">
        <f t="shared" si="130"/>
        <v>C:\Users\jaime.benazar\Quorum Business Solutions\Ecopetrol Prometeo - Documents\Planning Space Implementation\3. Analysis &amp; Design\Design\FC22\DRR Jaime\QUIFA-CAJÚA\Cajua\[CAJUA_CF_SEC_New_27-Feb-2024Rev3.xlsx]D-PRB'!</v>
      </c>
      <c r="G667" s="32" t="s">
        <v>37</v>
      </c>
      <c r="H667" s="33">
        <f t="shared" si="162"/>
        <v>31</v>
      </c>
      <c r="I667" s="33" t="str">
        <f t="shared" si="131"/>
        <v>='C:\Users\jaime.benazar\Quorum Business Solutions\Ecopetrol Prometeo - Documents\Planning Space Implementation\3. Analysis &amp; Design\Design\FC22\DRR Jaime\QUIFA-CAJÚA\Cajua\[CAJUA_CF_SEC_New_27-Feb-2024Rev3.xlsx]D-PRB'!$BW$31</v>
      </c>
      <c r="J667" s="37" t="s">
        <v>2315</v>
      </c>
    </row>
    <row r="668" spans="1:10" x14ac:dyDescent="0.25">
      <c r="A668" s="32" t="s">
        <v>4</v>
      </c>
      <c r="B668" s="32">
        <f t="shared" si="164"/>
        <v>2043</v>
      </c>
      <c r="C668" s="33" t="s">
        <v>8</v>
      </c>
      <c r="D668" s="34" t="s">
        <v>1999</v>
      </c>
      <c r="E668" s="35" t="str">
        <f t="shared" si="129"/>
        <v>PRB'!</v>
      </c>
      <c r="F668" s="34" t="str">
        <f t="shared" si="130"/>
        <v>C:\Users\jaime.benazar\Quorum Business Solutions\Ecopetrol Prometeo - Documents\Planning Space Implementation\3. Analysis &amp; Design\Design\FC22\DRR Jaime\QUIFA-CAJÚA\Cajua\[CAJUA_CF_SEC_New_27-Feb-2024Rev3.xlsx]D-PRB'!</v>
      </c>
      <c r="G668" s="32" t="s">
        <v>37</v>
      </c>
      <c r="H668" s="33">
        <f t="shared" si="162"/>
        <v>32</v>
      </c>
      <c r="I668" s="33" t="str">
        <f t="shared" si="131"/>
        <v>='C:\Users\jaime.benazar\Quorum Business Solutions\Ecopetrol Prometeo - Documents\Planning Space Implementation\3. Analysis &amp; Design\Design\FC22\DRR Jaime\QUIFA-CAJÚA\Cajua\[CAJUA_CF_SEC_New_27-Feb-2024Rev3.xlsx]D-PRB'!$BW$32</v>
      </c>
      <c r="J668" s="37" t="s">
        <v>2316</v>
      </c>
    </row>
    <row r="669" spans="1:10" x14ac:dyDescent="0.25">
      <c r="A669" s="32" t="s">
        <v>4</v>
      </c>
      <c r="B669" s="32">
        <f>+B668+1</f>
        <v>2044</v>
      </c>
      <c r="C669" s="33" t="s">
        <v>8</v>
      </c>
      <c r="D669" s="34" t="s">
        <v>1999</v>
      </c>
      <c r="E669" s="35" t="str">
        <f t="shared" ref="E669:E684" si="165">_xlfn.CONCAT(A669,"'!")</f>
        <v>PRB'!</v>
      </c>
      <c r="F669" s="34" t="str">
        <f t="shared" ref="F669:F684" si="166">_xlfn.CONCAT(D669:E669)</f>
        <v>C:\Users\jaime.benazar\Quorum Business Solutions\Ecopetrol Prometeo - Documents\Planning Space Implementation\3. Analysis &amp; Design\Design\FC22\DRR Jaime\QUIFA-CAJÚA\Cajua\[CAJUA_CF_SEC_New_27-Feb-2024Rev3.xlsx]D-PRB'!</v>
      </c>
      <c r="G669" s="32" t="s">
        <v>37</v>
      </c>
      <c r="H669" s="33">
        <f t="shared" ref="H669:H684" si="167">IF(A669&lt;&gt;A668,12,H668+1)</f>
        <v>33</v>
      </c>
      <c r="I669" s="33" t="str">
        <f t="shared" ref="I669:I684" si="168">_xlfn.CONCAT("='",F669:H669)</f>
        <v>='C:\Users\jaime.benazar\Quorum Business Solutions\Ecopetrol Prometeo - Documents\Planning Space Implementation\3. Analysis &amp; Design\Design\FC22\DRR Jaime\QUIFA-CAJÚA\Cajua\[CAJUA_CF_SEC_New_27-Feb-2024Rev3.xlsx]D-PRB'!$BW$33</v>
      </c>
      <c r="J669" s="37" t="s">
        <v>2317</v>
      </c>
    </row>
    <row r="670" spans="1:10" x14ac:dyDescent="0.25">
      <c r="A670" s="32" t="s">
        <v>4</v>
      </c>
      <c r="B670" s="32">
        <f t="shared" ref="B670:B684" si="169">+B669+1</f>
        <v>2045</v>
      </c>
      <c r="C670" s="33" t="s">
        <v>8</v>
      </c>
      <c r="D670" s="34" t="s">
        <v>1999</v>
      </c>
      <c r="E670" s="35" t="str">
        <f t="shared" si="165"/>
        <v>PRB'!</v>
      </c>
      <c r="F670" s="34" t="str">
        <f t="shared" si="166"/>
        <v>C:\Users\jaime.benazar\Quorum Business Solutions\Ecopetrol Prometeo - Documents\Planning Space Implementation\3. Analysis &amp; Design\Design\FC22\DRR Jaime\QUIFA-CAJÚA\Cajua\[CAJUA_CF_SEC_New_27-Feb-2024Rev3.xlsx]D-PRB'!</v>
      </c>
      <c r="G670" s="32" t="s">
        <v>37</v>
      </c>
      <c r="H670" s="33">
        <f t="shared" si="167"/>
        <v>34</v>
      </c>
      <c r="I670" s="33" t="str">
        <f t="shared" si="168"/>
        <v>='C:\Users\jaime.benazar\Quorum Business Solutions\Ecopetrol Prometeo - Documents\Planning Space Implementation\3. Analysis &amp; Design\Design\FC22\DRR Jaime\QUIFA-CAJÚA\Cajua\[CAJUA_CF_SEC_New_27-Feb-2024Rev3.xlsx]D-PRB'!$BW$34</v>
      </c>
      <c r="J670" s="37" t="s">
        <v>2318</v>
      </c>
    </row>
    <row r="671" spans="1:10" x14ac:dyDescent="0.25">
      <c r="A671" s="32" t="s">
        <v>4</v>
      </c>
      <c r="B671" s="32">
        <f t="shared" si="169"/>
        <v>2046</v>
      </c>
      <c r="C671" s="33" t="s">
        <v>8</v>
      </c>
      <c r="D671" s="34" t="s">
        <v>1999</v>
      </c>
      <c r="E671" s="35" t="str">
        <f t="shared" si="165"/>
        <v>PRB'!</v>
      </c>
      <c r="F671" s="34" t="str">
        <f t="shared" si="166"/>
        <v>C:\Users\jaime.benazar\Quorum Business Solutions\Ecopetrol Prometeo - Documents\Planning Space Implementation\3. Analysis &amp; Design\Design\FC22\DRR Jaime\QUIFA-CAJÚA\Cajua\[CAJUA_CF_SEC_New_27-Feb-2024Rev3.xlsx]D-PRB'!</v>
      </c>
      <c r="G671" s="32" t="s">
        <v>37</v>
      </c>
      <c r="H671" s="33">
        <f t="shared" si="167"/>
        <v>35</v>
      </c>
      <c r="I671" s="33" t="str">
        <f t="shared" si="168"/>
        <v>='C:\Users\jaime.benazar\Quorum Business Solutions\Ecopetrol Prometeo - Documents\Planning Space Implementation\3. Analysis &amp; Design\Design\FC22\DRR Jaime\QUIFA-CAJÚA\Cajua\[CAJUA_CF_SEC_New_27-Feb-2024Rev3.xlsx]D-PRB'!$BW$35</v>
      </c>
      <c r="J671" s="37" t="s">
        <v>2319</v>
      </c>
    </row>
    <row r="672" spans="1:10" x14ac:dyDescent="0.25">
      <c r="A672" s="32" t="s">
        <v>4</v>
      </c>
      <c r="B672" s="32">
        <f t="shared" si="169"/>
        <v>2047</v>
      </c>
      <c r="C672" s="33" t="s">
        <v>8</v>
      </c>
      <c r="D672" s="34" t="s">
        <v>1999</v>
      </c>
      <c r="E672" s="35" t="str">
        <f t="shared" si="165"/>
        <v>PRB'!</v>
      </c>
      <c r="F672" s="34" t="str">
        <f t="shared" si="166"/>
        <v>C:\Users\jaime.benazar\Quorum Business Solutions\Ecopetrol Prometeo - Documents\Planning Space Implementation\3. Analysis &amp; Design\Design\FC22\DRR Jaime\QUIFA-CAJÚA\Cajua\[CAJUA_CF_SEC_New_27-Feb-2024Rev3.xlsx]D-PRB'!</v>
      </c>
      <c r="G672" s="32" t="s">
        <v>37</v>
      </c>
      <c r="H672" s="33">
        <f t="shared" si="167"/>
        <v>36</v>
      </c>
      <c r="I672" s="33" t="str">
        <f t="shared" si="168"/>
        <v>='C:\Users\jaime.benazar\Quorum Business Solutions\Ecopetrol Prometeo - Documents\Planning Space Implementation\3. Analysis &amp; Design\Design\FC22\DRR Jaime\QUIFA-CAJÚA\Cajua\[CAJUA_CF_SEC_New_27-Feb-2024Rev3.xlsx]D-PRB'!$BW$36</v>
      </c>
      <c r="J672" s="37" t="s">
        <v>2320</v>
      </c>
    </row>
    <row r="673" spans="1:10" x14ac:dyDescent="0.25">
      <c r="A673" s="32" t="s">
        <v>4</v>
      </c>
      <c r="B673" s="32">
        <f t="shared" si="169"/>
        <v>2048</v>
      </c>
      <c r="C673" s="33" t="s">
        <v>8</v>
      </c>
      <c r="D673" s="34" t="s">
        <v>1999</v>
      </c>
      <c r="E673" s="35" t="str">
        <f t="shared" si="165"/>
        <v>PRB'!</v>
      </c>
      <c r="F673" s="34" t="str">
        <f t="shared" si="166"/>
        <v>C:\Users\jaime.benazar\Quorum Business Solutions\Ecopetrol Prometeo - Documents\Planning Space Implementation\3. Analysis &amp; Design\Design\FC22\DRR Jaime\QUIFA-CAJÚA\Cajua\[CAJUA_CF_SEC_New_27-Feb-2024Rev3.xlsx]D-PRB'!</v>
      </c>
      <c r="G673" s="32" t="s">
        <v>37</v>
      </c>
      <c r="H673" s="33">
        <f t="shared" si="167"/>
        <v>37</v>
      </c>
      <c r="I673" s="33" t="str">
        <f t="shared" si="168"/>
        <v>='C:\Users\jaime.benazar\Quorum Business Solutions\Ecopetrol Prometeo - Documents\Planning Space Implementation\3. Analysis &amp; Design\Design\FC22\DRR Jaime\QUIFA-CAJÚA\Cajua\[CAJUA_CF_SEC_New_27-Feb-2024Rev3.xlsx]D-PRB'!$BW$37</v>
      </c>
      <c r="J673" s="37" t="s">
        <v>2321</v>
      </c>
    </row>
    <row r="674" spans="1:10" x14ac:dyDescent="0.25">
      <c r="A674" s="32" t="s">
        <v>4</v>
      </c>
      <c r="B674" s="32">
        <f t="shared" si="169"/>
        <v>2049</v>
      </c>
      <c r="C674" s="33" t="s">
        <v>8</v>
      </c>
      <c r="D674" s="34" t="s">
        <v>1999</v>
      </c>
      <c r="E674" s="35" t="str">
        <f t="shared" si="165"/>
        <v>PRB'!</v>
      </c>
      <c r="F674" s="34" t="str">
        <f t="shared" si="166"/>
        <v>C:\Users\jaime.benazar\Quorum Business Solutions\Ecopetrol Prometeo - Documents\Planning Space Implementation\3. Analysis &amp; Design\Design\FC22\DRR Jaime\QUIFA-CAJÚA\Cajua\[CAJUA_CF_SEC_New_27-Feb-2024Rev3.xlsx]D-PRB'!</v>
      </c>
      <c r="G674" s="32" t="s">
        <v>37</v>
      </c>
      <c r="H674" s="33">
        <f t="shared" si="167"/>
        <v>38</v>
      </c>
      <c r="I674" s="33" t="str">
        <f t="shared" si="168"/>
        <v>='C:\Users\jaime.benazar\Quorum Business Solutions\Ecopetrol Prometeo - Documents\Planning Space Implementation\3. Analysis &amp; Design\Design\FC22\DRR Jaime\QUIFA-CAJÚA\Cajua\[CAJUA_CF_SEC_New_27-Feb-2024Rev3.xlsx]D-PRB'!$BW$38</v>
      </c>
      <c r="J674" s="37" t="s">
        <v>2322</v>
      </c>
    </row>
    <row r="675" spans="1:10" x14ac:dyDescent="0.25">
      <c r="A675" s="32" t="s">
        <v>4</v>
      </c>
      <c r="B675" s="32">
        <f t="shared" si="169"/>
        <v>2050</v>
      </c>
      <c r="C675" s="33" t="s">
        <v>8</v>
      </c>
      <c r="D675" s="34" t="s">
        <v>1999</v>
      </c>
      <c r="E675" s="35" t="str">
        <f t="shared" si="165"/>
        <v>PRB'!</v>
      </c>
      <c r="F675" s="34" t="str">
        <f t="shared" si="166"/>
        <v>C:\Users\jaime.benazar\Quorum Business Solutions\Ecopetrol Prometeo - Documents\Planning Space Implementation\3. Analysis &amp; Design\Design\FC22\DRR Jaime\QUIFA-CAJÚA\Cajua\[CAJUA_CF_SEC_New_27-Feb-2024Rev3.xlsx]D-PRB'!</v>
      </c>
      <c r="G675" s="32" t="s">
        <v>37</v>
      </c>
      <c r="H675" s="33">
        <f t="shared" si="167"/>
        <v>39</v>
      </c>
      <c r="I675" s="33" t="str">
        <f t="shared" si="168"/>
        <v>='C:\Users\jaime.benazar\Quorum Business Solutions\Ecopetrol Prometeo - Documents\Planning Space Implementation\3. Analysis &amp; Design\Design\FC22\DRR Jaime\QUIFA-CAJÚA\Cajua\[CAJUA_CF_SEC_New_27-Feb-2024Rev3.xlsx]D-PRB'!$BW$39</v>
      </c>
      <c r="J675" s="37" t="s">
        <v>2323</v>
      </c>
    </row>
    <row r="676" spans="1:10" x14ac:dyDescent="0.25">
      <c r="A676" s="32" t="s">
        <v>4</v>
      </c>
      <c r="B676" s="32">
        <f t="shared" si="169"/>
        <v>2051</v>
      </c>
      <c r="C676" s="33" t="s">
        <v>8</v>
      </c>
      <c r="D676" s="34" t="s">
        <v>1999</v>
      </c>
      <c r="E676" s="35" t="str">
        <f t="shared" si="165"/>
        <v>PRB'!</v>
      </c>
      <c r="F676" s="34" t="str">
        <f t="shared" si="166"/>
        <v>C:\Users\jaime.benazar\Quorum Business Solutions\Ecopetrol Prometeo - Documents\Planning Space Implementation\3. Analysis &amp; Design\Design\FC22\DRR Jaime\QUIFA-CAJÚA\Cajua\[CAJUA_CF_SEC_New_27-Feb-2024Rev3.xlsx]D-PRB'!</v>
      </c>
      <c r="G676" s="32" t="s">
        <v>37</v>
      </c>
      <c r="H676" s="33">
        <f t="shared" si="167"/>
        <v>40</v>
      </c>
      <c r="I676" s="33" t="str">
        <f t="shared" si="168"/>
        <v>='C:\Users\jaime.benazar\Quorum Business Solutions\Ecopetrol Prometeo - Documents\Planning Space Implementation\3. Analysis &amp; Design\Design\FC22\DRR Jaime\QUIFA-CAJÚA\Cajua\[CAJUA_CF_SEC_New_27-Feb-2024Rev3.xlsx]D-PRB'!$BW$40</v>
      </c>
      <c r="J676" s="37" t="s">
        <v>2324</v>
      </c>
    </row>
    <row r="677" spans="1:10" x14ac:dyDescent="0.25">
      <c r="A677" s="32" t="s">
        <v>4</v>
      </c>
      <c r="B677" s="32">
        <f t="shared" si="169"/>
        <v>2052</v>
      </c>
      <c r="C677" s="33" t="s">
        <v>8</v>
      </c>
      <c r="D677" s="34" t="s">
        <v>1999</v>
      </c>
      <c r="E677" s="35" t="str">
        <f t="shared" si="165"/>
        <v>PRB'!</v>
      </c>
      <c r="F677" s="34" t="str">
        <f t="shared" si="166"/>
        <v>C:\Users\jaime.benazar\Quorum Business Solutions\Ecopetrol Prometeo - Documents\Planning Space Implementation\3. Analysis &amp; Design\Design\FC22\DRR Jaime\QUIFA-CAJÚA\Cajua\[CAJUA_CF_SEC_New_27-Feb-2024Rev3.xlsx]D-PRB'!</v>
      </c>
      <c r="G677" s="32" t="s">
        <v>37</v>
      </c>
      <c r="H677" s="33">
        <f t="shared" si="167"/>
        <v>41</v>
      </c>
      <c r="I677" s="33" t="str">
        <f t="shared" si="168"/>
        <v>='C:\Users\jaime.benazar\Quorum Business Solutions\Ecopetrol Prometeo - Documents\Planning Space Implementation\3. Analysis &amp; Design\Design\FC22\DRR Jaime\QUIFA-CAJÚA\Cajua\[CAJUA_CF_SEC_New_27-Feb-2024Rev3.xlsx]D-PRB'!$BW$41</v>
      </c>
      <c r="J677" s="37" t="s">
        <v>2325</v>
      </c>
    </row>
    <row r="678" spans="1:10" x14ac:dyDescent="0.25">
      <c r="A678" s="32" t="s">
        <v>4</v>
      </c>
      <c r="B678" s="32">
        <f t="shared" si="169"/>
        <v>2053</v>
      </c>
      <c r="C678" s="33" t="s">
        <v>8</v>
      </c>
      <c r="D678" s="34" t="s">
        <v>1999</v>
      </c>
      <c r="E678" s="35" t="str">
        <f t="shared" si="165"/>
        <v>PRB'!</v>
      </c>
      <c r="F678" s="34" t="str">
        <f t="shared" si="166"/>
        <v>C:\Users\jaime.benazar\Quorum Business Solutions\Ecopetrol Prometeo - Documents\Planning Space Implementation\3. Analysis &amp; Design\Design\FC22\DRR Jaime\QUIFA-CAJÚA\Cajua\[CAJUA_CF_SEC_New_27-Feb-2024Rev3.xlsx]D-PRB'!</v>
      </c>
      <c r="G678" s="32" t="s">
        <v>37</v>
      </c>
      <c r="H678" s="33">
        <f t="shared" si="167"/>
        <v>42</v>
      </c>
      <c r="I678" s="33" t="str">
        <f t="shared" si="168"/>
        <v>='C:\Users\jaime.benazar\Quorum Business Solutions\Ecopetrol Prometeo - Documents\Planning Space Implementation\3. Analysis &amp; Design\Design\FC22\DRR Jaime\QUIFA-CAJÚA\Cajua\[CAJUA_CF_SEC_New_27-Feb-2024Rev3.xlsx]D-PRB'!$BW$42</v>
      </c>
      <c r="J678" s="37" t="s">
        <v>2326</v>
      </c>
    </row>
    <row r="679" spans="1:10" x14ac:dyDescent="0.25">
      <c r="A679" s="32" t="s">
        <v>4</v>
      </c>
      <c r="B679" s="32">
        <f t="shared" si="169"/>
        <v>2054</v>
      </c>
      <c r="C679" s="33" t="s">
        <v>8</v>
      </c>
      <c r="D679" s="34" t="s">
        <v>1999</v>
      </c>
      <c r="E679" s="35" t="str">
        <f t="shared" si="165"/>
        <v>PRB'!</v>
      </c>
      <c r="F679" s="34" t="str">
        <f t="shared" si="166"/>
        <v>C:\Users\jaime.benazar\Quorum Business Solutions\Ecopetrol Prometeo - Documents\Planning Space Implementation\3. Analysis &amp; Design\Design\FC22\DRR Jaime\QUIFA-CAJÚA\Cajua\[CAJUA_CF_SEC_New_27-Feb-2024Rev3.xlsx]D-PRB'!</v>
      </c>
      <c r="G679" s="32" t="s">
        <v>37</v>
      </c>
      <c r="H679" s="33">
        <f t="shared" si="167"/>
        <v>43</v>
      </c>
      <c r="I679" s="33" t="str">
        <f t="shared" si="168"/>
        <v>='C:\Users\jaime.benazar\Quorum Business Solutions\Ecopetrol Prometeo - Documents\Planning Space Implementation\3. Analysis &amp; Design\Design\FC22\DRR Jaime\QUIFA-CAJÚA\Cajua\[CAJUA_CF_SEC_New_27-Feb-2024Rev3.xlsx]D-PRB'!$BW$43</v>
      </c>
      <c r="J679" s="37" t="s">
        <v>2327</v>
      </c>
    </row>
    <row r="680" spans="1:10" x14ac:dyDescent="0.25">
      <c r="A680" s="32" t="s">
        <v>4</v>
      </c>
      <c r="B680" s="32">
        <f t="shared" si="169"/>
        <v>2055</v>
      </c>
      <c r="C680" s="33" t="s">
        <v>8</v>
      </c>
      <c r="D680" s="34" t="s">
        <v>1999</v>
      </c>
      <c r="E680" s="35" t="str">
        <f t="shared" si="165"/>
        <v>PRB'!</v>
      </c>
      <c r="F680" s="34" t="str">
        <f t="shared" si="166"/>
        <v>C:\Users\jaime.benazar\Quorum Business Solutions\Ecopetrol Prometeo - Documents\Planning Space Implementation\3. Analysis &amp; Design\Design\FC22\DRR Jaime\QUIFA-CAJÚA\Cajua\[CAJUA_CF_SEC_New_27-Feb-2024Rev3.xlsx]D-PRB'!</v>
      </c>
      <c r="G680" s="32" t="s">
        <v>37</v>
      </c>
      <c r="H680" s="33">
        <f t="shared" si="167"/>
        <v>44</v>
      </c>
      <c r="I680" s="33" t="str">
        <f t="shared" si="168"/>
        <v>='C:\Users\jaime.benazar\Quorum Business Solutions\Ecopetrol Prometeo - Documents\Planning Space Implementation\3. Analysis &amp; Design\Design\FC22\DRR Jaime\QUIFA-CAJÚA\Cajua\[CAJUA_CF_SEC_New_27-Feb-2024Rev3.xlsx]D-PRB'!$BW$44</v>
      </c>
      <c r="J680" s="37" t="s">
        <v>2328</v>
      </c>
    </row>
    <row r="681" spans="1:10" x14ac:dyDescent="0.25">
      <c r="A681" s="32" t="s">
        <v>4</v>
      </c>
      <c r="B681" s="32">
        <f t="shared" si="169"/>
        <v>2056</v>
      </c>
      <c r="C681" s="33" t="s">
        <v>8</v>
      </c>
      <c r="D681" s="34" t="s">
        <v>1999</v>
      </c>
      <c r="E681" s="35" t="str">
        <f t="shared" si="165"/>
        <v>PRB'!</v>
      </c>
      <c r="F681" s="34" t="str">
        <f t="shared" si="166"/>
        <v>C:\Users\jaime.benazar\Quorum Business Solutions\Ecopetrol Prometeo - Documents\Planning Space Implementation\3. Analysis &amp; Design\Design\FC22\DRR Jaime\QUIFA-CAJÚA\Cajua\[CAJUA_CF_SEC_New_27-Feb-2024Rev3.xlsx]D-PRB'!</v>
      </c>
      <c r="G681" s="32" t="s">
        <v>37</v>
      </c>
      <c r="H681" s="33">
        <f t="shared" si="167"/>
        <v>45</v>
      </c>
      <c r="I681" s="33" t="str">
        <f t="shared" si="168"/>
        <v>='C:\Users\jaime.benazar\Quorum Business Solutions\Ecopetrol Prometeo - Documents\Planning Space Implementation\3. Analysis &amp; Design\Design\FC22\DRR Jaime\QUIFA-CAJÚA\Cajua\[CAJUA_CF_SEC_New_27-Feb-2024Rev3.xlsx]D-PRB'!$BW$45</v>
      </c>
      <c r="J681" s="37" t="s">
        <v>2329</v>
      </c>
    </row>
    <row r="682" spans="1:10" x14ac:dyDescent="0.25">
      <c r="A682" s="32" t="s">
        <v>4</v>
      </c>
      <c r="B682" s="32">
        <f t="shared" si="169"/>
        <v>2057</v>
      </c>
      <c r="C682" s="33" t="s">
        <v>8</v>
      </c>
      <c r="D682" s="34" t="s">
        <v>1999</v>
      </c>
      <c r="E682" s="35" t="str">
        <f t="shared" si="165"/>
        <v>PRB'!</v>
      </c>
      <c r="F682" s="34" t="str">
        <f t="shared" si="166"/>
        <v>C:\Users\jaime.benazar\Quorum Business Solutions\Ecopetrol Prometeo - Documents\Planning Space Implementation\3. Analysis &amp; Design\Design\FC22\DRR Jaime\QUIFA-CAJÚA\Cajua\[CAJUA_CF_SEC_New_27-Feb-2024Rev3.xlsx]D-PRB'!</v>
      </c>
      <c r="G682" s="32" t="s">
        <v>37</v>
      </c>
      <c r="H682" s="33">
        <f t="shared" si="167"/>
        <v>46</v>
      </c>
      <c r="I682" s="33" t="str">
        <f t="shared" si="168"/>
        <v>='C:\Users\jaime.benazar\Quorum Business Solutions\Ecopetrol Prometeo - Documents\Planning Space Implementation\3. Analysis &amp; Design\Design\FC22\DRR Jaime\QUIFA-CAJÚA\Cajua\[CAJUA_CF_SEC_New_27-Feb-2024Rev3.xlsx]D-PRB'!$BW$46</v>
      </c>
      <c r="J682" s="37" t="s">
        <v>2330</v>
      </c>
    </row>
    <row r="683" spans="1:10" x14ac:dyDescent="0.25">
      <c r="A683" s="32" t="s">
        <v>4</v>
      </c>
      <c r="B683" s="32">
        <f t="shared" si="169"/>
        <v>2058</v>
      </c>
      <c r="C683" s="33" t="s">
        <v>8</v>
      </c>
      <c r="D683" s="34" t="s">
        <v>1999</v>
      </c>
      <c r="E683" s="35" t="str">
        <f t="shared" si="165"/>
        <v>PRB'!</v>
      </c>
      <c r="F683" s="34" t="str">
        <f t="shared" si="166"/>
        <v>C:\Users\jaime.benazar\Quorum Business Solutions\Ecopetrol Prometeo - Documents\Planning Space Implementation\3. Analysis &amp; Design\Design\FC22\DRR Jaime\QUIFA-CAJÚA\Cajua\[CAJUA_CF_SEC_New_27-Feb-2024Rev3.xlsx]D-PRB'!</v>
      </c>
      <c r="G683" s="32" t="s">
        <v>37</v>
      </c>
      <c r="H683" s="33">
        <f t="shared" si="167"/>
        <v>47</v>
      </c>
      <c r="I683" s="33" t="str">
        <f t="shared" si="168"/>
        <v>='C:\Users\jaime.benazar\Quorum Business Solutions\Ecopetrol Prometeo - Documents\Planning Space Implementation\3. Analysis &amp; Design\Design\FC22\DRR Jaime\QUIFA-CAJÚA\Cajua\[CAJUA_CF_SEC_New_27-Feb-2024Rev3.xlsx]D-PRB'!$BW$47</v>
      </c>
      <c r="J683" s="37" t="s">
        <v>2331</v>
      </c>
    </row>
    <row r="684" spans="1:10" x14ac:dyDescent="0.25">
      <c r="A684" s="32" t="s">
        <v>4</v>
      </c>
      <c r="B684" s="32">
        <f t="shared" si="169"/>
        <v>2059</v>
      </c>
      <c r="C684" s="33" t="s">
        <v>8</v>
      </c>
      <c r="D684" s="34" t="s">
        <v>1999</v>
      </c>
      <c r="E684" s="35" t="str">
        <f t="shared" si="165"/>
        <v>PRB'!</v>
      </c>
      <c r="F684" s="34" t="str">
        <f t="shared" si="166"/>
        <v>C:\Users\jaime.benazar\Quorum Business Solutions\Ecopetrol Prometeo - Documents\Planning Space Implementation\3. Analysis &amp; Design\Design\FC22\DRR Jaime\QUIFA-CAJÚA\Cajua\[CAJUA_CF_SEC_New_27-Feb-2024Rev3.xlsx]D-PRB'!</v>
      </c>
      <c r="G684" s="32" t="s">
        <v>37</v>
      </c>
      <c r="H684" s="33">
        <f t="shared" si="167"/>
        <v>48</v>
      </c>
      <c r="I684" s="33" t="str">
        <f t="shared" si="168"/>
        <v>='C:\Users\jaime.benazar\Quorum Business Solutions\Ecopetrol Prometeo - Documents\Planning Space Implementation\3. Analysis &amp; Design\Design\FC22\DRR Jaime\QUIFA-CAJÚA\Cajua\[CAJUA_CF_SEC_New_27-Feb-2024Rev3.xlsx]D-PRB'!$BW$48</v>
      </c>
      <c r="J684" s="37" t="s">
        <v>2332</v>
      </c>
    </row>
    <row r="685" spans="1:10" x14ac:dyDescent="0.25">
      <c r="A685" s="32" t="s">
        <v>28</v>
      </c>
      <c r="B685" s="32"/>
      <c r="C685" s="33" t="s">
        <v>8</v>
      </c>
      <c r="D685" s="34"/>
      <c r="E685" s="35"/>
      <c r="F685" s="34"/>
      <c r="G685" s="32"/>
      <c r="H685" s="33"/>
      <c r="I685" s="33"/>
      <c r="J685" s="33"/>
    </row>
    <row r="686" spans="1:10" x14ac:dyDescent="0.25">
      <c r="A686" s="32" t="s">
        <v>102</v>
      </c>
      <c r="B686" s="32">
        <v>2023</v>
      </c>
      <c r="C686" s="33" t="s">
        <v>8</v>
      </c>
      <c r="D686" s="34" t="s">
        <v>1999</v>
      </c>
      <c r="E686" s="35" t="str">
        <f t="shared" ref="E686:E706" si="170">_xlfn.CONCAT(A686,"'!")</f>
        <v>PSDP'!</v>
      </c>
      <c r="F686" s="34" t="str">
        <f t="shared" ref="F686:F706" si="171">_xlfn.CONCAT(D686:E686)</f>
        <v>C:\Users\jaime.benazar\Quorum Business Solutions\Ecopetrol Prometeo - Documents\Planning Space Implementation\3. Analysis &amp; Design\Design\FC22\DRR Jaime\QUIFA-CAJÚA\Cajua\[CAJUA_CF_SEC_New_27-Feb-2024Rev3.xlsx]D-PSDP'!</v>
      </c>
      <c r="G686" s="32" t="s">
        <v>37</v>
      </c>
      <c r="H686" s="33"/>
      <c r="I686" s="33"/>
      <c r="J686" s="37"/>
    </row>
    <row r="687" spans="1:10" x14ac:dyDescent="0.25">
      <c r="A687" s="32" t="s">
        <v>102</v>
      </c>
      <c r="B687" s="32">
        <f>+B686+1</f>
        <v>2024</v>
      </c>
      <c r="C687" s="33" t="s">
        <v>8</v>
      </c>
      <c r="D687" s="34" t="s">
        <v>1999</v>
      </c>
      <c r="E687" s="35" t="str">
        <f t="shared" si="170"/>
        <v>PSDP'!</v>
      </c>
      <c r="F687" s="34" t="str">
        <f t="shared" si="171"/>
        <v>C:\Users\jaime.benazar\Quorum Business Solutions\Ecopetrol Prometeo - Documents\Planning Space Implementation\3. Analysis &amp; Design\Design\FC22\DRR Jaime\QUIFA-CAJÚA\Cajua\[CAJUA_CF_SEC_New_27-Feb-2024Rev3.xlsx]D-PSDP'!</v>
      </c>
      <c r="G687" s="32" t="s">
        <v>37</v>
      </c>
      <c r="H687" s="33"/>
      <c r="I687" s="33"/>
      <c r="J687" s="37"/>
    </row>
    <row r="688" spans="1:10" x14ac:dyDescent="0.25">
      <c r="A688" s="32" t="s">
        <v>102</v>
      </c>
      <c r="B688" s="32">
        <f t="shared" ref="B688:B699" si="172">+B687+1</f>
        <v>2025</v>
      </c>
      <c r="C688" s="33" t="s">
        <v>8</v>
      </c>
      <c r="D688" s="34" t="s">
        <v>1999</v>
      </c>
      <c r="E688" s="35" t="str">
        <f t="shared" si="170"/>
        <v>PSDP'!</v>
      </c>
      <c r="F688" s="34" t="str">
        <f t="shared" si="171"/>
        <v>C:\Users\jaime.benazar\Quorum Business Solutions\Ecopetrol Prometeo - Documents\Planning Space Implementation\3. Analysis &amp; Design\Design\FC22\DRR Jaime\QUIFA-CAJÚA\Cajua\[CAJUA_CF_SEC_New_27-Feb-2024Rev3.xlsx]D-PSDP'!</v>
      </c>
      <c r="G688" s="32" t="s">
        <v>37</v>
      </c>
      <c r="H688" s="33"/>
      <c r="I688" s="33"/>
      <c r="J688" s="37"/>
    </row>
    <row r="689" spans="1:10" x14ac:dyDescent="0.25">
      <c r="A689" s="32" t="s">
        <v>102</v>
      </c>
      <c r="B689" s="32">
        <f t="shared" si="172"/>
        <v>2026</v>
      </c>
      <c r="C689" s="33" t="s">
        <v>8</v>
      </c>
      <c r="D689" s="34" t="s">
        <v>1999</v>
      </c>
      <c r="E689" s="35" t="str">
        <f t="shared" si="170"/>
        <v>PSDP'!</v>
      </c>
      <c r="F689" s="34" t="str">
        <f t="shared" si="171"/>
        <v>C:\Users\jaime.benazar\Quorum Business Solutions\Ecopetrol Prometeo - Documents\Planning Space Implementation\3. Analysis &amp; Design\Design\FC22\DRR Jaime\QUIFA-CAJÚA\Cajua\[CAJUA_CF_SEC_New_27-Feb-2024Rev3.xlsx]D-PSDP'!</v>
      </c>
      <c r="G689" s="32" t="s">
        <v>37</v>
      </c>
      <c r="H689" s="33"/>
      <c r="I689" s="33"/>
      <c r="J689" s="37"/>
    </row>
    <row r="690" spans="1:10" x14ac:dyDescent="0.25">
      <c r="A690" s="32" t="s">
        <v>102</v>
      </c>
      <c r="B690" s="32">
        <f t="shared" si="172"/>
        <v>2027</v>
      </c>
      <c r="C690" s="33" t="s">
        <v>8</v>
      </c>
      <c r="D690" s="34" t="s">
        <v>1999</v>
      </c>
      <c r="E690" s="35" t="str">
        <f t="shared" si="170"/>
        <v>PSDP'!</v>
      </c>
      <c r="F690" s="34" t="str">
        <f t="shared" si="171"/>
        <v>C:\Users\jaime.benazar\Quorum Business Solutions\Ecopetrol Prometeo - Documents\Planning Space Implementation\3. Analysis &amp; Design\Design\FC22\DRR Jaime\QUIFA-CAJÚA\Cajua\[CAJUA_CF_SEC_New_27-Feb-2024Rev3.xlsx]D-PSDP'!</v>
      </c>
      <c r="G690" s="32" t="s">
        <v>37</v>
      </c>
      <c r="H690" s="33"/>
      <c r="I690" s="33"/>
      <c r="J690" s="37"/>
    </row>
    <row r="691" spans="1:10" x14ac:dyDescent="0.25">
      <c r="A691" s="32" t="s">
        <v>102</v>
      </c>
      <c r="B691" s="32">
        <f t="shared" si="172"/>
        <v>2028</v>
      </c>
      <c r="C691" s="33" t="s">
        <v>8</v>
      </c>
      <c r="D691" s="34" t="s">
        <v>1999</v>
      </c>
      <c r="E691" s="35" t="str">
        <f t="shared" si="170"/>
        <v>PSDP'!</v>
      </c>
      <c r="F691" s="34" t="str">
        <f t="shared" si="171"/>
        <v>C:\Users\jaime.benazar\Quorum Business Solutions\Ecopetrol Prometeo - Documents\Planning Space Implementation\3. Analysis &amp; Design\Design\FC22\DRR Jaime\QUIFA-CAJÚA\Cajua\[CAJUA_CF_SEC_New_27-Feb-2024Rev3.xlsx]D-PSDP'!</v>
      </c>
      <c r="G691" s="32" t="s">
        <v>37</v>
      </c>
      <c r="H691" s="33"/>
      <c r="I691" s="33"/>
      <c r="J691" s="37"/>
    </row>
    <row r="692" spans="1:10" x14ac:dyDescent="0.25">
      <c r="A692" s="32" t="s">
        <v>102</v>
      </c>
      <c r="B692" s="32">
        <f t="shared" si="172"/>
        <v>2029</v>
      </c>
      <c r="C692" s="33" t="s">
        <v>8</v>
      </c>
      <c r="D692" s="34" t="s">
        <v>1999</v>
      </c>
      <c r="E692" s="35" t="str">
        <f t="shared" si="170"/>
        <v>PSDP'!</v>
      </c>
      <c r="F692" s="34" t="str">
        <f t="shared" si="171"/>
        <v>C:\Users\jaime.benazar\Quorum Business Solutions\Ecopetrol Prometeo - Documents\Planning Space Implementation\3. Analysis &amp; Design\Design\FC22\DRR Jaime\QUIFA-CAJÚA\Cajua\[CAJUA_CF_SEC_New_27-Feb-2024Rev3.xlsx]D-PSDP'!</v>
      </c>
      <c r="G692" s="32" t="s">
        <v>37</v>
      </c>
      <c r="H692" s="33"/>
      <c r="I692" s="33"/>
      <c r="J692" s="37"/>
    </row>
    <row r="693" spans="1:10" x14ac:dyDescent="0.25">
      <c r="A693" s="32" t="s">
        <v>102</v>
      </c>
      <c r="B693" s="32">
        <f t="shared" si="172"/>
        <v>2030</v>
      </c>
      <c r="C693" s="33" t="s">
        <v>8</v>
      </c>
      <c r="D693" s="34" t="s">
        <v>1999</v>
      </c>
      <c r="E693" s="35" t="str">
        <f t="shared" si="170"/>
        <v>PSDP'!</v>
      </c>
      <c r="F693" s="34" t="str">
        <f t="shared" si="171"/>
        <v>C:\Users\jaime.benazar\Quorum Business Solutions\Ecopetrol Prometeo - Documents\Planning Space Implementation\3. Analysis &amp; Design\Design\FC22\DRR Jaime\QUIFA-CAJÚA\Cajua\[CAJUA_CF_SEC_New_27-Feb-2024Rev3.xlsx]D-PSDP'!</v>
      </c>
      <c r="G693" s="32" t="s">
        <v>37</v>
      </c>
      <c r="H693" s="33"/>
      <c r="I693" s="33"/>
      <c r="J693" s="37"/>
    </row>
    <row r="694" spans="1:10" x14ac:dyDescent="0.25">
      <c r="A694" s="32" t="s">
        <v>102</v>
      </c>
      <c r="B694" s="32">
        <f t="shared" si="172"/>
        <v>2031</v>
      </c>
      <c r="C694" s="33" t="s">
        <v>8</v>
      </c>
      <c r="D694" s="34" t="s">
        <v>1999</v>
      </c>
      <c r="E694" s="35" t="str">
        <f t="shared" si="170"/>
        <v>PSDP'!</v>
      </c>
      <c r="F694" s="34" t="str">
        <f t="shared" si="171"/>
        <v>C:\Users\jaime.benazar\Quorum Business Solutions\Ecopetrol Prometeo - Documents\Planning Space Implementation\3. Analysis &amp; Design\Design\FC22\DRR Jaime\QUIFA-CAJÚA\Cajua\[CAJUA_CF_SEC_New_27-Feb-2024Rev3.xlsx]D-PSDP'!</v>
      </c>
      <c r="G694" s="32" t="s">
        <v>37</v>
      </c>
      <c r="H694" s="33"/>
      <c r="I694" s="33"/>
      <c r="J694" s="37"/>
    </row>
    <row r="695" spans="1:10" x14ac:dyDescent="0.25">
      <c r="A695" s="32" t="s">
        <v>102</v>
      </c>
      <c r="B695" s="32">
        <f t="shared" si="172"/>
        <v>2032</v>
      </c>
      <c r="C695" s="33" t="s">
        <v>8</v>
      </c>
      <c r="D695" s="34" t="s">
        <v>1999</v>
      </c>
      <c r="E695" s="35" t="str">
        <f t="shared" si="170"/>
        <v>PSDP'!</v>
      </c>
      <c r="F695" s="34" t="str">
        <f t="shared" si="171"/>
        <v>C:\Users\jaime.benazar\Quorum Business Solutions\Ecopetrol Prometeo - Documents\Planning Space Implementation\3. Analysis &amp; Design\Design\FC22\DRR Jaime\QUIFA-CAJÚA\Cajua\[CAJUA_CF_SEC_New_27-Feb-2024Rev3.xlsx]D-PSDP'!</v>
      </c>
      <c r="G695" s="32" t="s">
        <v>37</v>
      </c>
      <c r="H695" s="33"/>
      <c r="I695" s="33"/>
      <c r="J695" s="37"/>
    </row>
    <row r="696" spans="1:10" x14ac:dyDescent="0.25">
      <c r="A696" s="32" t="s">
        <v>102</v>
      </c>
      <c r="B696" s="32">
        <f t="shared" si="172"/>
        <v>2033</v>
      </c>
      <c r="C696" s="33" t="s">
        <v>8</v>
      </c>
      <c r="D696" s="34" t="s">
        <v>1999</v>
      </c>
      <c r="E696" s="35" t="str">
        <f t="shared" si="170"/>
        <v>PSDP'!</v>
      </c>
      <c r="F696" s="34" t="str">
        <f t="shared" si="171"/>
        <v>C:\Users\jaime.benazar\Quorum Business Solutions\Ecopetrol Prometeo - Documents\Planning Space Implementation\3. Analysis &amp; Design\Design\FC22\DRR Jaime\QUIFA-CAJÚA\Cajua\[CAJUA_CF_SEC_New_27-Feb-2024Rev3.xlsx]D-PSDP'!</v>
      </c>
      <c r="G696" s="32" t="s">
        <v>37</v>
      </c>
      <c r="H696" s="33"/>
      <c r="I696" s="33"/>
      <c r="J696" s="37"/>
    </row>
    <row r="697" spans="1:10" x14ac:dyDescent="0.25">
      <c r="A697" s="32" t="s">
        <v>102</v>
      </c>
      <c r="B697" s="32">
        <f t="shared" si="172"/>
        <v>2034</v>
      </c>
      <c r="C697" s="33" t="s">
        <v>8</v>
      </c>
      <c r="D697" s="34" t="s">
        <v>1999</v>
      </c>
      <c r="E697" s="35" t="str">
        <f t="shared" si="170"/>
        <v>PSDP'!</v>
      </c>
      <c r="F697" s="34" t="str">
        <f t="shared" si="171"/>
        <v>C:\Users\jaime.benazar\Quorum Business Solutions\Ecopetrol Prometeo - Documents\Planning Space Implementation\3. Analysis &amp; Design\Design\FC22\DRR Jaime\QUIFA-CAJÚA\Cajua\[CAJUA_CF_SEC_New_27-Feb-2024Rev3.xlsx]D-PSDP'!</v>
      </c>
      <c r="G697" s="32" t="s">
        <v>37</v>
      </c>
      <c r="H697" s="33"/>
      <c r="I697" s="33"/>
      <c r="J697" s="37"/>
    </row>
    <row r="698" spans="1:10" x14ac:dyDescent="0.25">
      <c r="A698" s="32" t="s">
        <v>102</v>
      </c>
      <c r="B698" s="32">
        <f t="shared" si="172"/>
        <v>2035</v>
      </c>
      <c r="C698" s="33" t="s">
        <v>8</v>
      </c>
      <c r="D698" s="34" t="s">
        <v>1999</v>
      </c>
      <c r="E698" s="35" t="str">
        <f t="shared" si="170"/>
        <v>PSDP'!</v>
      </c>
      <c r="F698" s="34" t="str">
        <f t="shared" si="171"/>
        <v>C:\Users\jaime.benazar\Quorum Business Solutions\Ecopetrol Prometeo - Documents\Planning Space Implementation\3. Analysis &amp; Design\Design\FC22\DRR Jaime\QUIFA-CAJÚA\Cajua\[CAJUA_CF_SEC_New_27-Feb-2024Rev3.xlsx]D-PSDP'!</v>
      </c>
      <c r="G698" s="32" t="s">
        <v>37</v>
      </c>
      <c r="H698" s="33"/>
      <c r="I698" s="33"/>
      <c r="J698" s="37"/>
    </row>
    <row r="699" spans="1:10" x14ac:dyDescent="0.25">
      <c r="A699" s="32" t="s">
        <v>102</v>
      </c>
      <c r="B699" s="32">
        <f t="shared" si="172"/>
        <v>2036</v>
      </c>
      <c r="C699" s="33" t="s">
        <v>8</v>
      </c>
      <c r="D699" s="34" t="s">
        <v>1999</v>
      </c>
      <c r="E699" s="35" t="str">
        <f t="shared" si="170"/>
        <v>PSDP'!</v>
      </c>
      <c r="F699" s="34" t="str">
        <f t="shared" si="171"/>
        <v>C:\Users\jaime.benazar\Quorum Business Solutions\Ecopetrol Prometeo - Documents\Planning Space Implementation\3. Analysis &amp; Design\Design\FC22\DRR Jaime\QUIFA-CAJÚA\Cajua\[CAJUA_CF_SEC_New_27-Feb-2024Rev3.xlsx]D-PSDP'!</v>
      </c>
      <c r="G699" s="32" t="s">
        <v>37</v>
      </c>
      <c r="H699" s="33"/>
      <c r="I699" s="33"/>
      <c r="J699" s="37"/>
    </row>
    <row r="700" spans="1:10" x14ac:dyDescent="0.25">
      <c r="A700" s="32" t="s">
        <v>102</v>
      </c>
      <c r="B700" s="32">
        <f>+B699+1</f>
        <v>2037</v>
      </c>
      <c r="C700" s="33" t="s">
        <v>8</v>
      </c>
      <c r="D700" s="34" t="s">
        <v>1999</v>
      </c>
      <c r="E700" s="35" t="str">
        <f t="shared" si="170"/>
        <v>PSDP'!</v>
      </c>
      <c r="F700" s="34" t="str">
        <f t="shared" si="171"/>
        <v>C:\Users\jaime.benazar\Quorum Business Solutions\Ecopetrol Prometeo - Documents\Planning Space Implementation\3. Analysis &amp; Design\Design\FC22\DRR Jaime\QUIFA-CAJÚA\Cajua\[CAJUA_CF_SEC_New_27-Feb-2024Rev3.xlsx]D-PSDP'!</v>
      </c>
      <c r="G700" s="32" t="s">
        <v>37</v>
      </c>
      <c r="H700" s="33"/>
      <c r="I700" s="33"/>
      <c r="J700" s="37"/>
    </row>
    <row r="701" spans="1:10" x14ac:dyDescent="0.25">
      <c r="A701" s="32" t="s">
        <v>102</v>
      </c>
      <c r="B701" s="32">
        <f t="shared" ref="B701:B703" si="173">+B700+1</f>
        <v>2038</v>
      </c>
      <c r="C701" s="33" t="s">
        <v>8</v>
      </c>
      <c r="D701" s="34" t="s">
        <v>1999</v>
      </c>
      <c r="E701" s="35" t="str">
        <f t="shared" si="170"/>
        <v>PSDP'!</v>
      </c>
      <c r="F701" s="34" t="str">
        <f t="shared" si="171"/>
        <v>C:\Users\jaime.benazar\Quorum Business Solutions\Ecopetrol Prometeo - Documents\Planning Space Implementation\3. Analysis &amp; Design\Design\FC22\DRR Jaime\QUIFA-CAJÚA\Cajua\[CAJUA_CF_SEC_New_27-Feb-2024Rev3.xlsx]D-PSDP'!</v>
      </c>
      <c r="G701" s="32" t="s">
        <v>37</v>
      </c>
      <c r="H701" s="33"/>
      <c r="I701" s="33"/>
      <c r="J701" s="37"/>
    </row>
    <row r="702" spans="1:10" x14ac:dyDescent="0.25">
      <c r="A702" s="32" t="s">
        <v>102</v>
      </c>
      <c r="B702" s="32">
        <f t="shared" si="173"/>
        <v>2039</v>
      </c>
      <c r="C702" s="33" t="s">
        <v>8</v>
      </c>
      <c r="D702" s="34" t="s">
        <v>1999</v>
      </c>
      <c r="E702" s="35" t="str">
        <f t="shared" si="170"/>
        <v>PSDP'!</v>
      </c>
      <c r="F702" s="34" t="str">
        <f t="shared" si="171"/>
        <v>C:\Users\jaime.benazar\Quorum Business Solutions\Ecopetrol Prometeo - Documents\Planning Space Implementation\3. Analysis &amp; Design\Design\FC22\DRR Jaime\QUIFA-CAJÚA\Cajua\[CAJUA_CF_SEC_New_27-Feb-2024Rev3.xlsx]D-PSDP'!</v>
      </c>
      <c r="G702" s="32" t="s">
        <v>37</v>
      </c>
      <c r="H702" s="33"/>
      <c r="I702" s="33"/>
      <c r="J702" s="37"/>
    </row>
    <row r="703" spans="1:10" x14ac:dyDescent="0.25">
      <c r="A703" s="32" t="s">
        <v>102</v>
      </c>
      <c r="B703" s="32">
        <f t="shared" si="173"/>
        <v>2040</v>
      </c>
      <c r="C703" s="33" t="s">
        <v>8</v>
      </c>
      <c r="D703" s="34" t="s">
        <v>1999</v>
      </c>
      <c r="E703" s="35" t="str">
        <f t="shared" si="170"/>
        <v>PSDP'!</v>
      </c>
      <c r="F703" s="34" t="str">
        <f t="shared" si="171"/>
        <v>C:\Users\jaime.benazar\Quorum Business Solutions\Ecopetrol Prometeo - Documents\Planning Space Implementation\3. Analysis &amp; Design\Design\FC22\DRR Jaime\QUIFA-CAJÚA\Cajua\[CAJUA_CF_SEC_New_27-Feb-2024Rev3.xlsx]D-PSDP'!</v>
      </c>
      <c r="G703" s="32" t="s">
        <v>37</v>
      </c>
      <c r="H703" s="33"/>
      <c r="I703" s="33"/>
      <c r="J703" s="37"/>
    </row>
    <row r="704" spans="1:10" x14ac:dyDescent="0.25">
      <c r="A704" s="32" t="s">
        <v>102</v>
      </c>
      <c r="B704" s="32">
        <f>+B703+1</f>
        <v>2041</v>
      </c>
      <c r="C704" s="33" t="s">
        <v>8</v>
      </c>
      <c r="D704" s="34" t="s">
        <v>1999</v>
      </c>
      <c r="E704" s="35" t="str">
        <f t="shared" si="170"/>
        <v>PSDP'!</v>
      </c>
      <c r="F704" s="34" t="str">
        <f t="shared" si="171"/>
        <v>C:\Users\jaime.benazar\Quorum Business Solutions\Ecopetrol Prometeo - Documents\Planning Space Implementation\3. Analysis &amp; Design\Design\FC22\DRR Jaime\QUIFA-CAJÚA\Cajua\[CAJUA_CF_SEC_New_27-Feb-2024Rev3.xlsx]D-PSDP'!</v>
      </c>
      <c r="G704" s="32" t="s">
        <v>37</v>
      </c>
      <c r="H704" s="33"/>
      <c r="I704" s="33"/>
      <c r="J704" s="37"/>
    </row>
    <row r="705" spans="1:10" x14ac:dyDescent="0.25">
      <c r="A705" s="32" t="s">
        <v>102</v>
      </c>
      <c r="B705" s="32">
        <f t="shared" ref="B705:B706" si="174">+B704+1</f>
        <v>2042</v>
      </c>
      <c r="C705" s="33" t="s">
        <v>8</v>
      </c>
      <c r="D705" s="34" t="s">
        <v>1999</v>
      </c>
      <c r="E705" s="35" t="str">
        <f t="shared" si="170"/>
        <v>PSDP'!</v>
      </c>
      <c r="F705" s="34" t="str">
        <f t="shared" si="171"/>
        <v>C:\Users\jaime.benazar\Quorum Business Solutions\Ecopetrol Prometeo - Documents\Planning Space Implementation\3. Analysis &amp; Design\Design\FC22\DRR Jaime\QUIFA-CAJÚA\Cajua\[CAJUA_CF_SEC_New_27-Feb-2024Rev3.xlsx]D-PSDP'!</v>
      </c>
      <c r="G705" s="32" t="s">
        <v>37</v>
      </c>
      <c r="H705" s="33"/>
      <c r="I705" s="33"/>
      <c r="J705" s="37"/>
    </row>
    <row r="706" spans="1:10" x14ac:dyDescent="0.25">
      <c r="A706" s="32" t="s">
        <v>102</v>
      </c>
      <c r="B706" s="32">
        <f t="shared" si="174"/>
        <v>2043</v>
      </c>
      <c r="C706" s="33" t="s">
        <v>8</v>
      </c>
      <c r="D706" s="34" t="s">
        <v>1999</v>
      </c>
      <c r="E706" s="35" t="str">
        <f t="shared" si="170"/>
        <v>PSDP'!</v>
      </c>
      <c r="F706" s="34" t="str">
        <f t="shared" si="171"/>
        <v>C:\Users\jaime.benazar\Quorum Business Solutions\Ecopetrol Prometeo - Documents\Planning Space Implementation\3. Analysis &amp; Design\Design\FC22\DRR Jaime\QUIFA-CAJÚA\Cajua\[CAJUA_CF_SEC_New_27-Feb-2024Rev3.xlsx]D-PSDP'!</v>
      </c>
      <c r="G706" s="32" t="s">
        <v>37</v>
      </c>
      <c r="H706" s="33"/>
      <c r="I706" s="33"/>
      <c r="J706" s="37"/>
    </row>
    <row r="707" spans="1:10" x14ac:dyDescent="0.25">
      <c r="A707" s="32" t="s">
        <v>102</v>
      </c>
      <c r="B707" s="32">
        <f>+B706+1</f>
        <v>2044</v>
      </c>
      <c r="C707" s="33" t="s">
        <v>8</v>
      </c>
      <c r="D707" s="34" t="s">
        <v>1999</v>
      </c>
      <c r="E707" s="35" t="str">
        <f t="shared" ref="E707:E722" si="175">_xlfn.CONCAT(A707,"'!")</f>
        <v>PSDP'!</v>
      </c>
      <c r="F707" s="34" t="str">
        <f t="shared" ref="F707:F722" si="176">_xlfn.CONCAT(D707:E707)</f>
        <v>C:\Users\jaime.benazar\Quorum Business Solutions\Ecopetrol Prometeo - Documents\Planning Space Implementation\3. Analysis &amp; Design\Design\FC22\DRR Jaime\QUIFA-CAJÚA\Cajua\[CAJUA_CF_SEC_New_27-Feb-2024Rev3.xlsx]D-PSDP'!</v>
      </c>
      <c r="G707" s="32" t="s">
        <v>37</v>
      </c>
      <c r="H707" s="33"/>
      <c r="I707" s="33"/>
      <c r="J707" s="37"/>
    </row>
    <row r="708" spans="1:10" x14ac:dyDescent="0.25">
      <c r="A708" s="32" t="s">
        <v>102</v>
      </c>
      <c r="B708" s="32">
        <f t="shared" ref="B708:B722" si="177">+B707+1</f>
        <v>2045</v>
      </c>
      <c r="C708" s="33" t="s">
        <v>8</v>
      </c>
      <c r="D708" s="34" t="s">
        <v>1999</v>
      </c>
      <c r="E708" s="35" t="str">
        <f t="shared" si="175"/>
        <v>PSDP'!</v>
      </c>
      <c r="F708" s="34" t="str">
        <f t="shared" si="176"/>
        <v>C:\Users\jaime.benazar\Quorum Business Solutions\Ecopetrol Prometeo - Documents\Planning Space Implementation\3. Analysis &amp; Design\Design\FC22\DRR Jaime\QUIFA-CAJÚA\Cajua\[CAJUA_CF_SEC_New_27-Feb-2024Rev3.xlsx]D-PSDP'!</v>
      </c>
      <c r="G708" s="32" t="s">
        <v>37</v>
      </c>
      <c r="H708" s="33"/>
      <c r="I708" s="33"/>
      <c r="J708" s="37"/>
    </row>
    <row r="709" spans="1:10" x14ac:dyDescent="0.25">
      <c r="A709" s="32" t="s">
        <v>102</v>
      </c>
      <c r="B709" s="32">
        <f t="shared" si="177"/>
        <v>2046</v>
      </c>
      <c r="C709" s="33" t="s">
        <v>8</v>
      </c>
      <c r="D709" s="34" t="s">
        <v>1999</v>
      </c>
      <c r="E709" s="35" t="str">
        <f t="shared" si="175"/>
        <v>PSDP'!</v>
      </c>
      <c r="F709" s="34" t="str">
        <f t="shared" si="176"/>
        <v>C:\Users\jaime.benazar\Quorum Business Solutions\Ecopetrol Prometeo - Documents\Planning Space Implementation\3. Analysis &amp; Design\Design\FC22\DRR Jaime\QUIFA-CAJÚA\Cajua\[CAJUA_CF_SEC_New_27-Feb-2024Rev3.xlsx]D-PSDP'!</v>
      </c>
      <c r="G709" s="32" t="s">
        <v>37</v>
      </c>
      <c r="H709" s="33"/>
      <c r="I709" s="33"/>
      <c r="J709" s="37"/>
    </row>
    <row r="710" spans="1:10" x14ac:dyDescent="0.25">
      <c r="A710" s="32" t="s">
        <v>102</v>
      </c>
      <c r="B710" s="32">
        <f t="shared" si="177"/>
        <v>2047</v>
      </c>
      <c r="C710" s="33" t="s">
        <v>8</v>
      </c>
      <c r="D710" s="34" t="s">
        <v>1999</v>
      </c>
      <c r="E710" s="35" t="str">
        <f t="shared" si="175"/>
        <v>PSDP'!</v>
      </c>
      <c r="F710" s="34" t="str">
        <f t="shared" si="176"/>
        <v>C:\Users\jaime.benazar\Quorum Business Solutions\Ecopetrol Prometeo - Documents\Planning Space Implementation\3. Analysis &amp; Design\Design\FC22\DRR Jaime\QUIFA-CAJÚA\Cajua\[CAJUA_CF_SEC_New_27-Feb-2024Rev3.xlsx]D-PSDP'!</v>
      </c>
      <c r="G710" s="32" t="s">
        <v>37</v>
      </c>
      <c r="H710" s="33"/>
      <c r="I710" s="33"/>
      <c r="J710" s="37"/>
    </row>
    <row r="711" spans="1:10" x14ac:dyDescent="0.25">
      <c r="A711" s="32" t="s">
        <v>102</v>
      </c>
      <c r="B711" s="32">
        <f t="shared" si="177"/>
        <v>2048</v>
      </c>
      <c r="C711" s="33" t="s">
        <v>8</v>
      </c>
      <c r="D711" s="34" t="s">
        <v>1999</v>
      </c>
      <c r="E711" s="35" t="str">
        <f t="shared" si="175"/>
        <v>PSDP'!</v>
      </c>
      <c r="F711" s="34" t="str">
        <f t="shared" si="176"/>
        <v>C:\Users\jaime.benazar\Quorum Business Solutions\Ecopetrol Prometeo - Documents\Planning Space Implementation\3. Analysis &amp; Design\Design\FC22\DRR Jaime\QUIFA-CAJÚA\Cajua\[CAJUA_CF_SEC_New_27-Feb-2024Rev3.xlsx]D-PSDP'!</v>
      </c>
      <c r="G711" s="32" t="s">
        <v>37</v>
      </c>
      <c r="H711" s="33"/>
      <c r="I711" s="33"/>
      <c r="J711" s="37"/>
    </row>
    <row r="712" spans="1:10" x14ac:dyDescent="0.25">
      <c r="A712" s="32" t="s">
        <v>102</v>
      </c>
      <c r="B712" s="32">
        <f t="shared" si="177"/>
        <v>2049</v>
      </c>
      <c r="C712" s="33" t="s">
        <v>8</v>
      </c>
      <c r="D712" s="34" t="s">
        <v>1999</v>
      </c>
      <c r="E712" s="35" t="str">
        <f t="shared" si="175"/>
        <v>PSDP'!</v>
      </c>
      <c r="F712" s="34" t="str">
        <f t="shared" si="176"/>
        <v>C:\Users\jaime.benazar\Quorum Business Solutions\Ecopetrol Prometeo - Documents\Planning Space Implementation\3. Analysis &amp; Design\Design\FC22\DRR Jaime\QUIFA-CAJÚA\Cajua\[CAJUA_CF_SEC_New_27-Feb-2024Rev3.xlsx]D-PSDP'!</v>
      </c>
      <c r="G712" s="32" t="s">
        <v>37</v>
      </c>
      <c r="H712" s="33"/>
      <c r="I712" s="33"/>
      <c r="J712" s="37"/>
    </row>
    <row r="713" spans="1:10" x14ac:dyDescent="0.25">
      <c r="A713" s="32" t="s">
        <v>102</v>
      </c>
      <c r="B713" s="32">
        <f t="shared" si="177"/>
        <v>2050</v>
      </c>
      <c r="C713" s="33" t="s">
        <v>8</v>
      </c>
      <c r="D713" s="34" t="s">
        <v>1999</v>
      </c>
      <c r="E713" s="35" t="str">
        <f t="shared" si="175"/>
        <v>PSDP'!</v>
      </c>
      <c r="F713" s="34" t="str">
        <f t="shared" si="176"/>
        <v>C:\Users\jaime.benazar\Quorum Business Solutions\Ecopetrol Prometeo - Documents\Planning Space Implementation\3. Analysis &amp; Design\Design\FC22\DRR Jaime\QUIFA-CAJÚA\Cajua\[CAJUA_CF_SEC_New_27-Feb-2024Rev3.xlsx]D-PSDP'!</v>
      </c>
      <c r="G713" s="32" t="s">
        <v>37</v>
      </c>
      <c r="H713" s="33"/>
      <c r="I713" s="33"/>
      <c r="J713" s="37"/>
    </row>
    <row r="714" spans="1:10" x14ac:dyDescent="0.25">
      <c r="A714" s="32" t="s">
        <v>102</v>
      </c>
      <c r="B714" s="32">
        <f t="shared" si="177"/>
        <v>2051</v>
      </c>
      <c r="C714" s="33" t="s">
        <v>8</v>
      </c>
      <c r="D714" s="34" t="s">
        <v>1999</v>
      </c>
      <c r="E714" s="35" t="str">
        <f t="shared" si="175"/>
        <v>PSDP'!</v>
      </c>
      <c r="F714" s="34" t="str">
        <f t="shared" si="176"/>
        <v>C:\Users\jaime.benazar\Quorum Business Solutions\Ecopetrol Prometeo - Documents\Planning Space Implementation\3. Analysis &amp; Design\Design\FC22\DRR Jaime\QUIFA-CAJÚA\Cajua\[CAJUA_CF_SEC_New_27-Feb-2024Rev3.xlsx]D-PSDP'!</v>
      </c>
      <c r="G714" s="32" t="s">
        <v>37</v>
      </c>
      <c r="H714" s="33"/>
      <c r="I714" s="33"/>
      <c r="J714" s="37"/>
    </row>
    <row r="715" spans="1:10" x14ac:dyDescent="0.25">
      <c r="A715" s="32" t="s">
        <v>102</v>
      </c>
      <c r="B715" s="32">
        <f t="shared" si="177"/>
        <v>2052</v>
      </c>
      <c r="C715" s="33" t="s">
        <v>8</v>
      </c>
      <c r="D715" s="34" t="s">
        <v>1999</v>
      </c>
      <c r="E715" s="35" t="str">
        <f t="shared" si="175"/>
        <v>PSDP'!</v>
      </c>
      <c r="F715" s="34" t="str">
        <f t="shared" si="176"/>
        <v>C:\Users\jaime.benazar\Quorum Business Solutions\Ecopetrol Prometeo - Documents\Planning Space Implementation\3. Analysis &amp; Design\Design\FC22\DRR Jaime\QUIFA-CAJÚA\Cajua\[CAJUA_CF_SEC_New_27-Feb-2024Rev3.xlsx]D-PSDP'!</v>
      </c>
      <c r="G715" s="32" t="s">
        <v>37</v>
      </c>
      <c r="H715" s="33"/>
      <c r="I715" s="33"/>
      <c r="J715" s="37"/>
    </row>
    <row r="716" spans="1:10" x14ac:dyDescent="0.25">
      <c r="A716" s="32" t="s">
        <v>102</v>
      </c>
      <c r="B716" s="32">
        <f t="shared" si="177"/>
        <v>2053</v>
      </c>
      <c r="C716" s="33" t="s">
        <v>8</v>
      </c>
      <c r="D716" s="34" t="s">
        <v>1999</v>
      </c>
      <c r="E716" s="35" t="str">
        <f t="shared" si="175"/>
        <v>PSDP'!</v>
      </c>
      <c r="F716" s="34" t="str">
        <f t="shared" si="176"/>
        <v>C:\Users\jaime.benazar\Quorum Business Solutions\Ecopetrol Prometeo - Documents\Planning Space Implementation\3. Analysis &amp; Design\Design\FC22\DRR Jaime\QUIFA-CAJÚA\Cajua\[CAJUA_CF_SEC_New_27-Feb-2024Rev3.xlsx]D-PSDP'!</v>
      </c>
      <c r="G716" s="32" t="s">
        <v>37</v>
      </c>
      <c r="H716" s="33"/>
      <c r="I716" s="33"/>
      <c r="J716" s="37"/>
    </row>
    <row r="717" spans="1:10" x14ac:dyDescent="0.25">
      <c r="A717" s="32" t="s">
        <v>102</v>
      </c>
      <c r="B717" s="32">
        <f t="shared" si="177"/>
        <v>2054</v>
      </c>
      <c r="C717" s="33" t="s">
        <v>8</v>
      </c>
      <c r="D717" s="34" t="s">
        <v>1999</v>
      </c>
      <c r="E717" s="35" t="str">
        <f t="shared" si="175"/>
        <v>PSDP'!</v>
      </c>
      <c r="F717" s="34" t="str">
        <f t="shared" si="176"/>
        <v>C:\Users\jaime.benazar\Quorum Business Solutions\Ecopetrol Prometeo - Documents\Planning Space Implementation\3. Analysis &amp; Design\Design\FC22\DRR Jaime\QUIFA-CAJÚA\Cajua\[CAJUA_CF_SEC_New_27-Feb-2024Rev3.xlsx]D-PSDP'!</v>
      </c>
      <c r="G717" s="32" t="s">
        <v>37</v>
      </c>
      <c r="H717" s="33"/>
      <c r="I717" s="33"/>
      <c r="J717" s="37"/>
    </row>
    <row r="718" spans="1:10" x14ac:dyDescent="0.25">
      <c r="A718" s="32" t="s">
        <v>102</v>
      </c>
      <c r="B718" s="32">
        <f t="shared" si="177"/>
        <v>2055</v>
      </c>
      <c r="C718" s="33" t="s">
        <v>8</v>
      </c>
      <c r="D718" s="34" t="s">
        <v>1999</v>
      </c>
      <c r="E718" s="35" t="str">
        <f t="shared" si="175"/>
        <v>PSDP'!</v>
      </c>
      <c r="F718" s="34" t="str">
        <f t="shared" si="176"/>
        <v>C:\Users\jaime.benazar\Quorum Business Solutions\Ecopetrol Prometeo - Documents\Planning Space Implementation\3. Analysis &amp; Design\Design\FC22\DRR Jaime\QUIFA-CAJÚA\Cajua\[CAJUA_CF_SEC_New_27-Feb-2024Rev3.xlsx]D-PSDP'!</v>
      </c>
      <c r="G718" s="32" t="s">
        <v>37</v>
      </c>
      <c r="H718" s="33"/>
      <c r="I718" s="33"/>
      <c r="J718" s="37"/>
    </row>
    <row r="719" spans="1:10" x14ac:dyDescent="0.25">
      <c r="A719" s="32" t="s">
        <v>102</v>
      </c>
      <c r="B719" s="32">
        <f t="shared" si="177"/>
        <v>2056</v>
      </c>
      <c r="C719" s="33" t="s">
        <v>8</v>
      </c>
      <c r="D719" s="34" t="s">
        <v>1999</v>
      </c>
      <c r="E719" s="35" t="str">
        <f t="shared" si="175"/>
        <v>PSDP'!</v>
      </c>
      <c r="F719" s="34" t="str">
        <f t="shared" si="176"/>
        <v>C:\Users\jaime.benazar\Quorum Business Solutions\Ecopetrol Prometeo - Documents\Planning Space Implementation\3. Analysis &amp; Design\Design\FC22\DRR Jaime\QUIFA-CAJÚA\Cajua\[CAJUA_CF_SEC_New_27-Feb-2024Rev3.xlsx]D-PSDP'!</v>
      </c>
      <c r="G719" s="32" t="s">
        <v>37</v>
      </c>
      <c r="H719" s="33"/>
      <c r="I719" s="33"/>
      <c r="J719" s="37"/>
    </row>
    <row r="720" spans="1:10" x14ac:dyDescent="0.25">
      <c r="A720" s="32" t="s">
        <v>102</v>
      </c>
      <c r="B720" s="32">
        <f t="shared" si="177"/>
        <v>2057</v>
      </c>
      <c r="C720" s="33" t="s">
        <v>8</v>
      </c>
      <c r="D720" s="34" t="s">
        <v>1999</v>
      </c>
      <c r="E720" s="35" t="str">
        <f t="shared" si="175"/>
        <v>PSDP'!</v>
      </c>
      <c r="F720" s="34" t="str">
        <f t="shared" si="176"/>
        <v>C:\Users\jaime.benazar\Quorum Business Solutions\Ecopetrol Prometeo - Documents\Planning Space Implementation\3. Analysis &amp; Design\Design\FC22\DRR Jaime\QUIFA-CAJÚA\Cajua\[CAJUA_CF_SEC_New_27-Feb-2024Rev3.xlsx]D-PSDP'!</v>
      </c>
      <c r="G720" s="32" t="s">
        <v>37</v>
      </c>
      <c r="H720" s="33"/>
      <c r="I720" s="33"/>
      <c r="J720" s="37"/>
    </row>
    <row r="721" spans="1:10" x14ac:dyDescent="0.25">
      <c r="A721" s="32" t="s">
        <v>102</v>
      </c>
      <c r="B721" s="32">
        <f t="shared" si="177"/>
        <v>2058</v>
      </c>
      <c r="C721" s="33" t="s">
        <v>8</v>
      </c>
      <c r="D721" s="34" t="s">
        <v>1999</v>
      </c>
      <c r="E721" s="35" t="str">
        <f t="shared" si="175"/>
        <v>PSDP'!</v>
      </c>
      <c r="F721" s="34" t="str">
        <f t="shared" si="176"/>
        <v>C:\Users\jaime.benazar\Quorum Business Solutions\Ecopetrol Prometeo - Documents\Planning Space Implementation\3. Analysis &amp; Design\Design\FC22\DRR Jaime\QUIFA-CAJÚA\Cajua\[CAJUA_CF_SEC_New_27-Feb-2024Rev3.xlsx]D-PSDP'!</v>
      </c>
      <c r="G721" s="32" t="s">
        <v>37</v>
      </c>
      <c r="H721" s="33"/>
      <c r="I721" s="33"/>
      <c r="J721" s="37"/>
    </row>
    <row r="722" spans="1:10" x14ac:dyDescent="0.25">
      <c r="A722" s="32" t="s">
        <v>102</v>
      </c>
      <c r="B722" s="32">
        <f t="shared" si="177"/>
        <v>2059</v>
      </c>
      <c r="C722" s="33" t="s">
        <v>8</v>
      </c>
      <c r="D722" s="34" t="s">
        <v>1999</v>
      </c>
      <c r="E722" s="35" t="str">
        <f t="shared" si="175"/>
        <v>PSDP'!</v>
      </c>
      <c r="F722" s="34" t="str">
        <f t="shared" si="176"/>
        <v>C:\Users\jaime.benazar\Quorum Business Solutions\Ecopetrol Prometeo - Documents\Planning Space Implementation\3. Analysis &amp; Design\Design\FC22\DRR Jaime\QUIFA-CAJÚA\Cajua\[CAJUA_CF_SEC_New_27-Feb-2024Rev3.xlsx]D-PSDP'!</v>
      </c>
      <c r="G722" s="32" t="s">
        <v>37</v>
      </c>
      <c r="H722" s="33"/>
      <c r="I722" s="33"/>
      <c r="J722" s="37"/>
    </row>
    <row r="723" spans="1:10" x14ac:dyDescent="0.25">
      <c r="A723" s="32" t="s">
        <v>28</v>
      </c>
      <c r="B723" s="32"/>
      <c r="C723" s="33" t="s">
        <v>8</v>
      </c>
      <c r="D723" s="34"/>
      <c r="E723" s="35"/>
      <c r="F723" s="34"/>
      <c r="G723" s="32"/>
      <c r="H723" s="33"/>
      <c r="I723" s="33"/>
      <c r="J723" s="33"/>
    </row>
    <row r="724" spans="1:10" x14ac:dyDescent="0.25">
      <c r="A724" s="32" t="s">
        <v>103</v>
      </c>
      <c r="B724" s="32">
        <v>2023</v>
      </c>
      <c r="C724" s="33" t="s">
        <v>8</v>
      </c>
      <c r="D724" s="34" t="s">
        <v>1999</v>
      </c>
      <c r="E724" s="35" t="str">
        <f t="shared" ref="E724:E744" si="178">_xlfn.CONCAT(A724,"'!")</f>
        <v>PSNP'!</v>
      </c>
      <c r="F724" s="34" t="str">
        <f t="shared" ref="F724:F744" si="179">_xlfn.CONCAT(D724:E724)</f>
        <v>C:\Users\jaime.benazar\Quorum Business Solutions\Ecopetrol Prometeo - Documents\Planning Space Implementation\3. Analysis &amp; Design\Design\FC22\DRR Jaime\QUIFA-CAJÚA\Cajua\[CAJUA_CF_SEC_New_27-Feb-2024Rev3.xlsx]D-PSNP'!</v>
      </c>
      <c r="G724" s="32" t="s">
        <v>37</v>
      </c>
      <c r="H724" s="33"/>
      <c r="I724" s="33"/>
      <c r="J724" s="37"/>
    </row>
    <row r="725" spans="1:10" x14ac:dyDescent="0.25">
      <c r="A725" s="32" t="s">
        <v>103</v>
      </c>
      <c r="B725" s="32">
        <f>+B724+1</f>
        <v>2024</v>
      </c>
      <c r="C725" s="33" t="s">
        <v>8</v>
      </c>
      <c r="D725" s="34" t="s">
        <v>1999</v>
      </c>
      <c r="E725" s="35" t="str">
        <f t="shared" si="178"/>
        <v>PSNP'!</v>
      </c>
      <c r="F725" s="34" t="str">
        <f t="shared" si="179"/>
        <v>C:\Users\jaime.benazar\Quorum Business Solutions\Ecopetrol Prometeo - Documents\Planning Space Implementation\3. Analysis &amp; Design\Design\FC22\DRR Jaime\QUIFA-CAJÚA\Cajua\[CAJUA_CF_SEC_New_27-Feb-2024Rev3.xlsx]D-PSNP'!</v>
      </c>
      <c r="G725" s="32" t="s">
        <v>37</v>
      </c>
      <c r="H725" s="33"/>
      <c r="I725" s="33"/>
      <c r="J725" s="37"/>
    </row>
    <row r="726" spans="1:10" x14ac:dyDescent="0.25">
      <c r="A726" s="32" t="s">
        <v>103</v>
      </c>
      <c r="B726" s="32">
        <f t="shared" ref="B726:B737" si="180">+B725+1</f>
        <v>2025</v>
      </c>
      <c r="C726" s="33" t="s">
        <v>8</v>
      </c>
      <c r="D726" s="34" t="s">
        <v>1999</v>
      </c>
      <c r="E726" s="35" t="str">
        <f t="shared" si="178"/>
        <v>PSNP'!</v>
      </c>
      <c r="F726" s="34" t="str">
        <f t="shared" si="179"/>
        <v>C:\Users\jaime.benazar\Quorum Business Solutions\Ecopetrol Prometeo - Documents\Planning Space Implementation\3. Analysis &amp; Design\Design\FC22\DRR Jaime\QUIFA-CAJÚA\Cajua\[CAJUA_CF_SEC_New_27-Feb-2024Rev3.xlsx]D-PSNP'!</v>
      </c>
      <c r="G726" s="32" t="s">
        <v>37</v>
      </c>
      <c r="H726" s="33"/>
      <c r="I726" s="33"/>
      <c r="J726" s="37"/>
    </row>
    <row r="727" spans="1:10" x14ac:dyDescent="0.25">
      <c r="A727" s="32" t="s">
        <v>103</v>
      </c>
      <c r="B727" s="32">
        <f t="shared" si="180"/>
        <v>2026</v>
      </c>
      <c r="C727" s="33" t="s">
        <v>8</v>
      </c>
      <c r="D727" s="34" t="s">
        <v>1999</v>
      </c>
      <c r="E727" s="35" t="str">
        <f t="shared" si="178"/>
        <v>PSNP'!</v>
      </c>
      <c r="F727" s="34" t="str">
        <f t="shared" si="179"/>
        <v>C:\Users\jaime.benazar\Quorum Business Solutions\Ecopetrol Prometeo - Documents\Planning Space Implementation\3. Analysis &amp; Design\Design\FC22\DRR Jaime\QUIFA-CAJÚA\Cajua\[CAJUA_CF_SEC_New_27-Feb-2024Rev3.xlsx]D-PSNP'!</v>
      </c>
      <c r="G727" s="32" t="s">
        <v>37</v>
      </c>
      <c r="H727" s="33"/>
      <c r="I727" s="33"/>
      <c r="J727" s="37"/>
    </row>
    <row r="728" spans="1:10" x14ac:dyDescent="0.25">
      <c r="A728" s="32" t="s">
        <v>103</v>
      </c>
      <c r="B728" s="32">
        <f t="shared" si="180"/>
        <v>2027</v>
      </c>
      <c r="C728" s="33" t="s">
        <v>8</v>
      </c>
      <c r="D728" s="34" t="s">
        <v>1999</v>
      </c>
      <c r="E728" s="35" t="str">
        <f t="shared" si="178"/>
        <v>PSNP'!</v>
      </c>
      <c r="F728" s="34" t="str">
        <f t="shared" si="179"/>
        <v>C:\Users\jaime.benazar\Quorum Business Solutions\Ecopetrol Prometeo - Documents\Planning Space Implementation\3. Analysis &amp; Design\Design\FC22\DRR Jaime\QUIFA-CAJÚA\Cajua\[CAJUA_CF_SEC_New_27-Feb-2024Rev3.xlsx]D-PSNP'!</v>
      </c>
      <c r="G728" s="32" t="s">
        <v>37</v>
      </c>
      <c r="H728" s="33"/>
      <c r="I728" s="33"/>
      <c r="J728" s="37"/>
    </row>
    <row r="729" spans="1:10" x14ac:dyDescent="0.25">
      <c r="A729" s="32" t="s">
        <v>103</v>
      </c>
      <c r="B729" s="32">
        <f t="shared" si="180"/>
        <v>2028</v>
      </c>
      <c r="C729" s="33" t="s">
        <v>8</v>
      </c>
      <c r="D729" s="34" t="s">
        <v>1999</v>
      </c>
      <c r="E729" s="35" t="str">
        <f t="shared" si="178"/>
        <v>PSNP'!</v>
      </c>
      <c r="F729" s="34" t="str">
        <f t="shared" si="179"/>
        <v>C:\Users\jaime.benazar\Quorum Business Solutions\Ecopetrol Prometeo - Documents\Planning Space Implementation\3. Analysis &amp; Design\Design\FC22\DRR Jaime\QUIFA-CAJÚA\Cajua\[CAJUA_CF_SEC_New_27-Feb-2024Rev3.xlsx]D-PSNP'!</v>
      </c>
      <c r="G729" s="32" t="s">
        <v>37</v>
      </c>
      <c r="H729" s="33"/>
      <c r="I729" s="33"/>
      <c r="J729" s="37"/>
    </row>
    <row r="730" spans="1:10" x14ac:dyDescent="0.25">
      <c r="A730" s="32" t="s">
        <v>103</v>
      </c>
      <c r="B730" s="32">
        <f t="shared" si="180"/>
        <v>2029</v>
      </c>
      <c r="C730" s="33" t="s">
        <v>8</v>
      </c>
      <c r="D730" s="34" t="s">
        <v>1999</v>
      </c>
      <c r="E730" s="35" t="str">
        <f t="shared" si="178"/>
        <v>PSNP'!</v>
      </c>
      <c r="F730" s="34" t="str">
        <f t="shared" si="179"/>
        <v>C:\Users\jaime.benazar\Quorum Business Solutions\Ecopetrol Prometeo - Documents\Planning Space Implementation\3. Analysis &amp; Design\Design\FC22\DRR Jaime\QUIFA-CAJÚA\Cajua\[CAJUA_CF_SEC_New_27-Feb-2024Rev3.xlsx]D-PSNP'!</v>
      </c>
      <c r="G730" s="32" t="s">
        <v>37</v>
      </c>
      <c r="H730" s="33"/>
      <c r="I730" s="33"/>
      <c r="J730" s="37"/>
    </row>
    <row r="731" spans="1:10" x14ac:dyDescent="0.25">
      <c r="A731" s="32" t="s">
        <v>103</v>
      </c>
      <c r="B731" s="32">
        <f t="shared" si="180"/>
        <v>2030</v>
      </c>
      <c r="C731" s="33" t="s">
        <v>8</v>
      </c>
      <c r="D731" s="34" t="s">
        <v>1999</v>
      </c>
      <c r="E731" s="35" t="str">
        <f t="shared" si="178"/>
        <v>PSNP'!</v>
      </c>
      <c r="F731" s="34" t="str">
        <f t="shared" si="179"/>
        <v>C:\Users\jaime.benazar\Quorum Business Solutions\Ecopetrol Prometeo - Documents\Planning Space Implementation\3. Analysis &amp; Design\Design\FC22\DRR Jaime\QUIFA-CAJÚA\Cajua\[CAJUA_CF_SEC_New_27-Feb-2024Rev3.xlsx]D-PSNP'!</v>
      </c>
      <c r="G731" s="32" t="s">
        <v>37</v>
      </c>
      <c r="H731" s="33"/>
      <c r="I731" s="33"/>
      <c r="J731" s="37"/>
    </row>
    <row r="732" spans="1:10" x14ac:dyDescent="0.25">
      <c r="A732" s="32" t="s">
        <v>103</v>
      </c>
      <c r="B732" s="32">
        <f t="shared" si="180"/>
        <v>2031</v>
      </c>
      <c r="C732" s="33" t="s">
        <v>8</v>
      </c>
      <c r="D732" s="34" t="s">
        <v>1999</v>
      </c>
      <c r="E732" s="35" t="str">
        <f t="shared" si="178"/>
        <v>PSNP'!</v>
      </c>
      <c r="F732" s="34" t="str">
        <f t="shared" si="179"/>
        <v>C:\Users\jaime.benazar\Quorum Business Solutions\Ecopetrol Prometeo - Documents\Planning Space Implementation\3. Analysis &amp; Design\Design\FC22\DRR Jaime\QUIFA-CAJÚA\Cajua\[CAJUA_CF_SEC_New_27-Feb-2024Rev3.xlsx]D-PSNP'!</v>
      </c>
      <c r="G732" s="32" t="s">
        <v>37</v>
      </c>
      <c r="H732" s="33"/>
      <c r="I732" s="33"/>
      <c r="J732" s="37"/>
    </row>
    <row r="733" spans="1:10" x14ac:dyDescent="0.25">
      <c r="A733" s="32" t="s">
        <v>103</v>
      </c>
      <c r="B733" s="32">
        <f t="shared" si="180"/>
        <v>2032</v>
      </c>
      <c r="C733" s="33" t="s">
        <v>8</v>
      </c>
      <c r="D733" s="34" t="s">
        <v>1999</v>
      </c>
      <c r="E733" s="35" t="str">
        <f t="shared" si="178"/>
        <v>PSNP'!</v>
      </c>
      <c r="F733" s="34" t="str">
        <f t="shared" si="179"/>
        <v>C:\Users\jaime.benazar\Quorum Business Solutions\Ecopetrol Prometeo - Documents\Planning Space Implementation\3. Analysis &amp; Design\Design\FC22\DRR Jaime\QUIFA-CAJÚA\Cajua\[CAJUA_CF_SEC_New_27-Feb-2024Rev3.xlsx]D-PSNP'!</v>
      </c>
      <c r="G733" s="32" t="s">
        <v>37</v>
      </c>
      <c r="H733" s="33"/>
      <c r="I733" s="33"/>
      <c r="J733" s="37"/>
    </row>
    <row r="734" spans="1:10" x14ac:dyDescent="0.25">
      <c r="A734" s="32" t="s">
        <v>103</v>
      </c>
      <c r="B734" s="32">
        <f t="shared" si="180"/>
        <v>2033</v>
      </c>
      <c r="C734" s="33" t="s">
        <v>8</v>
      </c>
      <c r="D734" s="34" t="s">
        <v>1999</v>
      </c>
      <c r="E734" s="35" t="str">
        <f t="shared" si="178"/>
        <v>PSNP'!</v>
      </c>
      <c r="F734" s="34" t="str">
        <f t="shared" si="179"/>
        <v>C:\Users\jaime.benazar\Quorum Business Solutions\Ecopetrol Prometeo - Documents\Planning Space Implementation\3. Analysis &amp; Design\Design\FC22\DRR Jaime\QUIFA-CAJÚA\Cajua\[CAJUA_CF_SEC_New_27-Feb-2024Rev3.xlsx]D-PSNP'!</v>
      </c>
      <c r="G734" s="32" t="s">
        <v>37</v>
      </c>
      <c r="H734" s="33"/>
      <c r="I734" s="33"/>
      <c r="J734" s="37"/>
    </row>
    <row r="735" spans="1:10" x14ac:dyDescent="0.25">
      <c r="A735" s="32" t="s">
        <v>103</v>
      </c>
      <c r="B735" s="32">
        <f t="shared" si="180"/>
        <v>2034</v>
      </c>
      <c r="C735" s="33" t="s">
        <v>8</v>
      </c>
      <c r="D735" s="34" t="s">
        <v>1999</v>
      </c>
      <c r="E735" s="35" t="str">
        <f t="shared" si="178"/>
        <v>PSNP'!</v>
      </c>
      <c r="F735" s="34" t="str">
        <f t="shared" si="179"/>
        <v>C:\Users\jaime.benazar\Quorum Business Solutions\Ecopetrol Prometeo - Documents\Planning Space Implementation\3. Analysis &amp; Design\Design\FC22\DRR Jaime\QUIFA-CAJÚA\Cajua\[CAJUA_CF_SEC_New_27-Feb-2024Rev3.xlsx]D-PSNP'!</v>
      </c>
      <c r="G735" s="32" t="s">
        <v>37</v>
      </c>
      <c r="H735" s="33"/>
      <c r="I735" s="33"/>
      <c r="J735" s="37"/>
    </row>
    <row r="736" spans="1:10" x14ac:dyDescent="0.25">
      <c r="A736" s="32" t="s">
        <v>103</v>
      </c>
      <c r="B736" s="32">
        <f t="shared" si="180"/>
        <v>2035</v>
      </c>
      <c r="C736" s="33" t="s">
        <v>8</v>
      </c>
      <c r="D736" s="34" t="s">
        <v>1999</v>
      </c>
      <c r="E736" s="35" t="str">
        <f t="shared" si="178"/>
        <v>PSNP'!</v>
      </c>
      <c r="F736" s="34" t="str">
        <f t="shared" si="179"/>
        <v>C:\Users\jaime.benazar\Quorum Business Solutions\Ecopetrol Prometeo - Documents\Planning Space Implementation\3. Analysis &amp; Design\Design\FC22\DRR Jaime\QUIFA-CAJÚA\Cajua\[CAJUA_CF_SEC_New_27-Feb-2024Rev3.xlsx]D-PSNP'!</v>
      </c>
      <c r="G736" s="32" t="s">
        <v>37</v>
      </c>
      <c r="H736" s="33"/>
      <c r="I736" s="33"/>
      <c r="J736" s="37"/>
    </row>
    <row r="737" spans="1:10" x14ac:dyDescent="0.25">
      <c r="A737" s="32" t="s">
        <v>103</v>
      </c>
      <c r="B737" s="32">
        <f t="shared" si="180"/>
        <v>2036</v>
      </c>
      <c r="C737" s="33" t="s">
        <v>8</v>
      </c>
      <c r="D737" s="34" t="s">
        <v>1999</v>
      </c>
      <c r="E737" s="35" t="str">
        <f t="shared" si="178"/>
        <v>PSNP'!</v>
      </c>
      <c r="F737" s="34" t="str">
        <f t="shared" si="179"/>
        <v>C:\Users\jaime.benazar\Quorum Business Solutions\Ecopetrol Prometeo - Documents\Planning Space Implementation\3. Analysis &amp; Design\Design\FC22\DRR Jaime\QUIFA-CAJÚA\Cajua\[CAJUA_CF_SEC_New_27-Feb-2024Rev3.xlsx]D-PSNP'!</v>
      </c>
      <c r="G737" s="32" t="s">
        <v>37</v>
      </c>
      <c r="H737" s="33"/>
      <c r="I737" s="33"/>
      <c r="J737" s="37"/>
    </row>
    <row r="738" spans="1:10" x14ac:dyDescent="0.25">
      <c r="A738" s="32" t="s">
        <v>103</v>
      </c>
      <c r="B738" s="32">
        <f>+B737+1</f>
        <v>2037</v>
      </c>
      <c r="C738" s="33" t="s">
        <v>8</v>
      </c>
      <c r="D738" s="34" t="s">
        <v>1999</v>
      </c>
      <c r="E738" s="35" t="str">
        <f t="shared" si="178"/>
        <v>PSNP'!</v>
      </c>
      <c r="F738" s="34" t="str">
        <f t="shared" si="179"/>
        <v>C:\Users\jaime.benazar\Quorum Business Solutions\Ecopetrol Prometeo - Documents\Planning Space Implementation\3. Analysis &amp; Design\Design\FC22\DRR Jaime\QUIFA-CAJÚA\Cajua\[CAJUA_CF_SEC_New_27-Feb-2024Rev3.xlsx]D-PSNP'!</v>
      </c>
      <c r="G738" s="32" t="s">
        <v>37</v>
      </c>
      <c r="H738" s="33"/>
      <c r="I738" s="33"/>
      <c r="J738" s="37"/>
    </row>
    <row r="739" spans="1:10" x14ac:dyDescent="0.25">
      <c r="A739" s="32" t="s">
        <v>103</v>
      </c>
      <c r="B739" s="32">
        <f t="shared" ref="B739:B741" si="181">+B738+1</f>
        <v>2038</v>
      </c>
      <c r="C739" s="33" t="s">
        <v>8</v>
      </c>
      <c r="D739" s="34" t="s">
        <v>1999</v>
      </c>
      <c r="E739" s="35" t="str">
        <f t="shared" si="178"/>
        <v>PSNP'!</v>
      </c>
      <c r="F739" s="34" t="str">
        <f t="shared" si="179"/>
        <v>C:\Users\jaime.benazar\Quorum Business Solutions\Ecopetrol Prometeo - Documents\Planning Space Implementation\3. Analysis &amp; Design\Design\FC22\DRR Jaime\QUIFA-CAJÚA\Cajua\[CAJUA_CF_SEC_New_27-Feb-2024Rev3.xlsx]D-PSNP'!</v>
      </c>
      <c r="G739" s="32" t="s">
        <v>37</v>
      </c>
      <c r="H739" s="33"/>
      <c r="I739" s="33"/>
      <c r="J739" s="37"/>
    </row>
    <row r="740" spans="1:10" x14ac:dyDescent="0.25">
      <c r="A740" s="32" t="s">
        <v>103</v>
      </c>
      <c r="B740" s="32">
        <f t="shared" si="181"/>
        <v>2039</v>
      </c>
      <c r="C740" s="33" t="s">
        <v>8</v>
      </c>
      <c r="D740" s="34" t="s">
        <v>1999</v>
      </c>
      <c r="E740" s="35" t="str">
        <f t="shared" si="178"/>
        <v>PSNP'!</v>
      </c>
      <c r="F740" s="34" t="str">
        <f t="shared" si="179"/>
        <v>C:\Users\jaime.benazar\Quorum Business Solutions\Ecopetrol Prometeo - Documents\Planning Space Implementation\3. Analysis &amp; Design\Design\FC22\DRR Jaime\QUIFA-CAJÚA\Cajua\[CAJUA_CF_SEC_New_27-Feb-2024Rev3.xlsx]D-PSNP'!</v>
      </c>
      <c r="G740" s="32" t="s">
        <v>37</v>
      </c>
      <c r="H740" s="33"/>
      <c r="I740" s="33"/>
      <c r="J740" s="37"/>
    </row>
    <row r="741" spans="1:10" x14ac:dyDescent="0.25">
      <c r="A741" s="32" t="s">
        <v>103</v>
      </c>
      <c r="B741" s="32">
        <f t="shared" si="181"/>
        <v>2040</v>
      </c>
      <c r="C741" s="33" t="s">
        <v>8</v>
      </c>
      <c r="D741" s="34" t="s">
        <v>1999</v>
      </c>
      <c r="E741" s="35" t="str">
        <f t="shared" si="178"/>
        <v>PSNP'!</v>
      </c>
      <c r="F741" s="34" t="str">
        <f t="shared" si="179"/>
        <v>C:\Users\jaime.benazar\Quorum Business Solutions\Ecopetrol Prometeo - Documents\Planning Space Implementation\3. Analysis &amp; Design\Design\FC22\DRR Jaime\QUIFA-CAJÚA\Cajua\[CAJUA_CF_SEC_New_27-Feb-2024Rev3.xlsx]D-PSNP'!</v>
      </c>
      <c r="G741" s="32" t="s">
        <v>37</v>
      </c>
      <c r="H741" s="33"/>
      <c r="I741" s="33"/>
      <c r="J741" s="37"/>
    </row>
    <row r="742" spans="1:10" x14ac:dyDescent="0.25">
      <c r="A742" s="32" t="s">
        <v>103</v>
      </c>
      <c r="B742" s="32">
        <f>+B741+1</f>
        <v>2041</v>
      </c>
      <c r="C742" s="33" t="s">
        <v>8</v>
      </c>
      <c r="D742" s="34" t="s">
        <v>1999</v>
      </c>
      <c r="E742" s="35" t="str">
        <f t="shared" si="178"/>
        <v>PSNP'!</v>
      </c>
      <c r="F742" s="34" t="str">
        <f t="shared" si="179"/>
        <v>C:\Users\jaime.benazar\Quorum Business Solutions\Ecopetrol Prometeo - Documents\Planning Space Implementation\3. Analysis &amp; Design\Design\FC22\DRR Jaime\QUIFA-CAJÚA\Cajua\[CAJUA_CF_SEC_New_27-Feb-2024Rev3.xlsx]D-PSNP'!</v>
      </c>
      <c r="G742" s="32" t="s">
        <v>37</v>
      </c>
      <c r="H742" s="33"/>
      <c r="I742" s="33"/>
      <c r="J742" s="37"/>
    </row>
    <row r="743" spans="1:10" x14ac:dyDescent="0.25">
      <c r="A743" s="32" t="s">
        <v>103</v>
      </c>
      <c r="B743" s="32">
        <f t="shared" ref="B743:B744" si="182">+B742+1</f>
        <v>2042</v>
      </c>
      <c r="C743" s="33" t="s">
        <v>8</v>
      </c>
      <c r="D743" s="34" t="s">
        <v>1999</v>
      </c>
      <c r="E743" s="35" t="str">
        <f t="shared" si="178"/>
        <v>PSNP'!</v>
      </c>
      <c r="F743" s="34" t="str">
        <f t="shared" si="179"/>
        <v>C:\Users\jaime.benazar\Quorum Business Solutions\Ecopetrol Prometeo - Documents\Planning Space Implementation\3. Analysis &amp; Design\Design\FC22\DRR Jaime\QUIFA-CAJÚA\Cajua\[CAJUA_CF_SEC_New_27-Feb-2024Rev3.xlsx]D-PSNP'!</v>
      </c>
      <c r="G743" s="32" t="s">
        <v>37</v>
      </c>
      <c r="H743" s="33"/>
      <c r="I743" s="33"/>
      <c r="J743" s="37"/>
    </row>
    <row r="744" spans="1:10" x14ac:dyDescent="0.25">
      <c r="A744" s="32" t="s">
        <v>103</v>
      </c>
      <c r="B744" s="32">
        <f t="shared" si="182"/>
        <v>2043</v>
      </c>
      <c r="C744" s="33" t="s">
        <v>8</v>
      </c>
      <c r="D744" s="34" t="s">
        <v>1999</v>
      </c>
      <c r="E744" s="35" t="str">
        <f t="shared" si="178"/>
        <v>PSNP'!</v>
      </c>
      <c r="F744" s="34" t="str">
        <f t="shared" si="179"/>
        <v>C:\Users\jaime.benazar\Quorum Business Solutions\Ecopetrol Prometeo - Documents\Planning Space Implementation\3. Analysis &amp; Design\Design\FC22\DRR Jaime\QUIFA-CAJÚA\Cajua\[CAJUA_CF_SEC_New_27-Feb-2024Rev3.xlsx]D-PSNP'!</v>
      </c>
      <c r="G744" s="32" t="s">
        <v>37</v>
      </c>
      <c r="H744" s="33"/>
      <c r="I744" s="33"/>
      <c r="J744" s="37"/>
    </row>
    <row r="745" spans="1:10" x14ac:dyDescent="0.25">
      <c r="A745" s="32" t="s">
        <v>103</v>
      </c>
      <c r="B745" s="32">
        <f>+B744+1</f>
        <v>2044</v>
      </c>
      <c r="C745" s="33" t="s">
        <v>8</v>
      </c>
      <c r="D745" s="34" t="s">
        <v>1999</v>
      </c>
      <c r="E745" s="35" t="str">
        <f t="shared" ref="E745:E760" si="183">_xlfn.CONCAT(A745,"'!")</f>
        <v>PSNP'!</v>
      </c>
      <c r="F745" s="34" t="str">
        <f t="shared" ref="F745:F760" si="184">_xlfn.CONCAT(D745:E745)</f>
        <v>C:\Users\jaime.benazar\Quorum Business Solutions\Ecopetrol Prometeo - Documents\Planning Space Implementation\3. Analysis &amp; Design\Design\FC22\DRR Jaime\QUIFA-CAJÚA\Cajua\[CAJUA_CF_SEC_New_27-Feb-2024Rev3.xlsx]D-PSNP'!</v>
      </c>
      <c r="G745" s="32" t="s">
        <v>37</v>
      </c>
      <c r="H745" s="33"/>
      <c r="I745" s="33"/>
      <c r="J745" s="37"/>
    </row>
    <row r="746" spans="1:10" x14ac:dyDescent="0.25">
      <c r="A746" s="32" t="s">
        <v>103</v>
      </c>
      <c r="B746" s="32">
        <f t="shared" ref="B746:B760" si="185">+B745+1</f>
        <v>2045</v>
      </c>
      <c r="C746" s="33" t="s">
        <v>8</v>
      </c>
      <c r="D746" s="34" t="s">
        <v>1999</v>
      </c>
      <c r="E746" s="35" t="str">
        <f t="shared" si="183"/>
        <v>PSNP'!</v>
      </c>
      <c r="F746" s="34" t="str">
        <f t="shared" si="184"/>
        <v>C:\Users\jaime.benazar\Quorum Business Solutions\Ecopetrol Prometeo - Documents\Planning Space Implementation\3. Analysis &amp; Design\Design\FC22\DRR Jaime\QUIFA-CAJÚA\Cajua\[CAJUA_CF_SEC_New_27-Feb-2024Rev3.xlsx]D-PSNP'!</v>
      </c>
      <c r="G746" s="32" t="s">
        <v>37</v>
      </c>
      <c r="H746" s="33"/>
      <c r="I746" s="33"/>
      <c r="J746" s="37"/>
    </row>
    <row r="747" spans="1:10" x14ac:dyDescent="0.25">
      <c r="A747" s="32" t="s">
        <v>103</v>
      </c>
      <c r="B747" s="32">
        <f t="shared" si="185"/>
        <v>2046</v>
      </c>
      <c r="C747" s="33" t="s">
        <v>8</v>
      </c>
      <c r="D747" s="34" t="s">
        <v>1999</v>
      </c>
      <c r="E747" s="35" t="str">
        <f t="shared" si="183"/>
        <v>PSNP'!</v>
      </c>
      <c r="F747" s="34" t="str">
        <f t="shared" si="184"/>
        <v>C:\Users\jaime.benazar\Quorum Business Solutions\Ecopetrol Prometeo - Documents\Planning Space Implementation\3. Analysis &amp; Design\Design\FC22\DRR Jaime\QUIFA-CAJÚA\Cajua\[CAJUA_CF_SEC_New_27-Feb-2024Rev3.xlsx]D-PSNP'!</v>
      </c>
      <c r="G747" s="32" t="s">
        <v>37</v>
      </c>
      <c r="H747" s="33"/>
      <c r="I747" s="33"/>
      <c r="J747" s="37"/>
    </row>
    <row r="748" spans="1:10" x14ac:dyDescent="0.25">
      <c r="A748" s="32" t="s">
        <v>103</v>
      </c>
      <c r="B748" s="32">
        <f t="shared" si="185"/>
        <v>2047</v>
      </c>
      <c r="C748" s="33" t="s">
        <v>8</v>
      </c>
      <c r="D748" s="34" t="s">
        <v>1999</v>
      </c>
      <c r="E748" s="35" t="str">
        <f t="shared" si="183"/>
        <v>PSNP'!</v>
      </c>
      <c r="F748" s="34" t="str">
        <f t="shared" si="184"/>
        <v>C:\Users\jaime.benazar\Quorum Business Solutions\Ecopetrol Prometeo - Documents\Planning Space Implementation\3. Analysis &amp; Design\Design\FC22\DRR Jaime\QUIFA-CAJÚA\Cajua\[CAJUA_CF_SEC_New_27-Feb-2024Rev3.xlsx]D-PSNP'!</v>
      </c>
      <c r="G748" s="32" t="s">
        <v>37</v>
      </c>
      <c r="H748" s="33"/>
      <c r="I748" s="33"/>
      <c r="J748" s="37"/>
    </row>
    <row r="749" spans="1:10" x14ac:dyDescent="0.25">
      <c r="A749" s="32" t="s">
        <v>103</v>
      </c>
      <c r="B749" s="32">
        <f t="shared" si="185"/>
        <v>2048</v>
      </c>
      <c r="C749" s="33" t="s">
        <v>8</v>
      </c>
      <c r="D749" s="34" t="s">
        <v>1999</v>
      </c>
      <c r="E749" s="35" t="str">
        <f t="shared" si="183"/>
        <v>PSNP'!</v>
      </c>
      <c r="F749" s="34" t="str">
        <f t="shared" si="184"/>
        <v>C:\Users\jaime.benazar\Quorum Business Solutions\Ecopetrol Prometeo - Documents\Planning Space Implementation\3. Analysis &amp; Design\Design\FC22\DRR Jaime\QUIFA-CAJÚA\Cajua\[CAJUA_CF_SEC_New_27-Feb-2024Rev3.xlsx]D-PSNP'!</v>
      </c>
      <c r="G749" s="32" t="s">
        <v>37</v>
      </c>
      <c r="H749" s="33"/>
      <c r="I749" s="33"/>
      <c r="J749" s="37"/>
    </row>
    <row r="750" spans="1:10" x14ac:dyDescent="0.25">
      <c r="A750" s="32" t="s">
        <v>103</v>
      </c>
      <c r="B750" s="32">
        <f t="shared" si="185"/>
        <v>2049</v>
      </c>
      <c r="C750" s="33" t="s">
        <v>8</v>
      </c>
      <c r="D750" s="34" t="s">
        <v>1999</v>
      </c>
      <c r="E750" s="35" t="str">
        <f t="shared" si="183"/>
        <v>PSNP'!</v>
      </c>
      <c r="F750" s="34" t="str">
        <f t="shared" si="184"/>
        <v>C:\Users\jaime.benazar\Quorum Business Solutions\Ecopetrol Prometeo - Documents\Planning Space Implementation\3. Analysis &amp; Design\Design\FC22\DRR Jaime\QUIFA-CAJÚA\Cajua\[CAJUA_CF_SEC_New_27-Feb-2024Rev3.xlsx]D-PSNP'!</v>
      </c>
      <c r="G750" s="32" t="s">
        <v>37</v>
      </c>
      <c r="H750" s="33"/>
      <c r="I750" s="33"/>
      <c r="J750" s="37"/>
    </row>
    <row r="751" spans="1:10" x14ac:dyDescent="0.25">
      <c r="A751" s="32" t="s">
        <v>103</v>
      </c>
      <c r="B751" s="32">
        <f t="shared" si="185"/>
        <v>2050</v>
      </c>
      <c r="C751" s="33" t="s">
        <v>8</v>
      </c>
      <c r="D751" s="34" t="s">
        <v>1999</v>
      </c>
      <c r="E751" s="35" t="str">
        <f t="shared" si="183"/>
        <v>PSNP'!</v>
      </c>
      <c r="F751" s="34" t="str">
        <f t="shared" si="184"/>
        <v>C:\Users\jaime.benazar\Quorum Business Solutions\Ecopetrol Prometeo - Documents\Planning Space Implementation\3. Analysis &amp; Design\Design\FC22\DRR Jaime\QUIFA-CAJÚA\Cajua\[CAJUA_CF_SEC_New_27-Feb-2024Rev3.xlsx]D-PSNP'!</v>
      </c>
      <c r="G751" s="32" t="s">
        <v>37</v>
      </c>
      <c r="H751" s="33"/>
      <c r="I751" s="33"/>
      <c r="J751" s="37"/>
    </row>
    <row r="752" spans="1:10" x14ac:dyDescent="0.25">
      <c r="A752" s="32" t="s">
        <v>103</v>
      </c>
      <c r="B752" s="32">
        <f t="shared" si="185"/>
        <v>2051</v>
      </c>
      <c r="C752" s="33" t="s">
        <v>8</v>
      </c>
      <c r="D752" s="34" t="s">
        <v>1999</v>
      </c>
      <c r="E752" s="35" t="str">
        <f t="shared" si="183"/>
        <v>PSNP'!</v>
      </c>
      <c r="F752" s="34" t="str">
        <f t="shared" si="184"/>
        <v>C:\Users\jaime.benazar\Quorum Business Solutions\Ecopetrol Prometeo - Documents\Planning Space Implementation\3. Analysis &amp; Design\Design\FC22\DRR Jaime\QUIFA-CAJÚA\Cajua\[CAJUA_CF_SEC_New_27-Feb-2024Rev3.xlsx]D-PSNP'!</v>
      </c>
      <c r="G752" s="32" t="s">
        <v>37</v>
      </c>
      <c r="H752" s="33"/>
      <c r="I752" s="33"/>
      <c r="J752" s="37"/>
    </row>
    <row r="753" spans="1:10" x14ac:dyDescent="0.25">
      <c r="A753" s="32" t="s">
        <v>103</v>
      </c>
      <c r="B753" s="32">
        <f t="shared" si="185"/>
        <v>2052</v>
      </c>
      <c r="C753" s="33" t="s">
        <v>8</v>
      </c>
      <c r="D753" s="34" t="s">
        <v>1999</v>
      </c>
      <c r="E753" s="35" t="str">
        <f t="shared" si="183"/>
        <v>PSNP'!</v>
      </c>
      <c r="F753" s="34" t="str">
        <f t="shared" si="184"/>
        <v>C:\Users\jaime.benazar\Quorum Business Solutions\Ecopetrol Prometeo - Documents\Planning Space Implementation\3. Analysis &amp; Design\Design\FC22\DRR Jaime\QUIFA-CAJÚA\Cajua\[CAJUA_CF_SEC_New_27-Feb-2024Rev3.xlsx]D-PSNP'!</v>
      </c>
      <c r="G753" s="32" t="s">
        <v>37</v>
      </c>
      <c r="H753" s="33"/>
      <c r="I753" s="33"/>
      <c r="J753" s="37"/>
    </row>
    <row r="754" spans="1:10" x14ac:dyDescent="0.25">
      <c r="A754" s="32" t="s">
        <v>103</v>
      </c>
      <c r="B754" s="32">
        <f t="shared" si="185"/>
        <v>2053</v>
      </c>
      <c r="C754" s="33" t="s">
        <v>8</v>
      </c>
      <c r="D754" s="34" t="s">
        <v>1999</v>
      </c>
      <c r="E754" s="35" t="str">
        <f t="shared" si="183"/>
        <v>PSNP'!</v>
      </c>
      <c r="F754" s="34" t="str">
        <f t="shared" si="184"/>
        <v>C:\Users\jaime.benazar\Quorum Business Solutions\Ecopetrol Prometeo - Documents\Planning Space Implementation\3. Analysis &amp; Design\Design\FC22\DRR Jaime\QUIFA-CAJÚA\Cajua\[CAJUA_CF_SEC_New_27-Feb-2024Rev3.xlsx]D-PSNP'!</v>
      </c>
      <c r="G754" s="32" t="s">
        <v>37</v>
      </c>
      <c r="H754" s="33"/>
      <c r="I754" s="33"/>
      <c r="J754" s="37"/>
    </row>
    <row r="755" spans="1:10" x14ac:dyDescent="0.25">
      <c r="A755" s="32" t="s">
        <v>103</v>
      </c>
      <c r="B755" s="32">
        <f t="shared" si="185"/>
        <v>2054</v>
      </c>
      <c r="C755" s="33" t="s">
        <v>8</v>
      </c>
      <c r="D755" s="34" t="s">
        <v>1999</v>
      </c>
      <c r="E755" s="35" t="str">
        <f t="shared" si="183"/>
        <v>PSNP'!</v>
      </c>
      <c r="F755" s="34" t="str">
        <f t="shared" si="184"/>
        <v>C:\Users\jaime.benazar\Quorum Business Solutions\Ecopetrol Prometeo - Documents\Planning Space Implementation\3. Analysis &amp; Design\Design\FC22\DRR Jaime\QUIFA-CAJÚA\Cajua\[CAJUA_CF_SEC_New_27-Feb-2024Rev3.xlsx]D-PSNP'!</v>
      </c>
      <c r="G755" s="32" t="s">
        <v>37</v>
      </c>
      <c r="H755" s="33"/>
      <c r="I755" s="33"/>
      <c r="J755" s="37"/>
    </row>
    <row r="756" spans="1:10" x14ac:dyDescent="0.25">
      <c r="A756" s="32" t="s">
        <v>103</v>
      </c>
      <c r="B756" s="32">
        <f t="shared" si="185"/>
        <v>2055</v>
      </c>
      <c r="C756" s="33" t="s">
        <v>8</v>
      </c>
      <c r="D756" s="34" t="s">
        <v>1999</v>
      </c>
      <c r="E756" s="35" t="str">
        <f t="shared" si="183"/>
        <v>PSNP'!</v>
      </c>
      <c r="F756" s="34" t="str">
        <f t="shared" si="184"/>
        <v>C:\Users\jaime.benazar\Quorum Business Solutions\Ecopetrol Prometeo - Documents\Planning Space Implementation\3. Analysis &amp; Design\Design\FC22\DRR Jaime\QUIFA-CAJÚA\Cajua\[CAJUA_CF_SEC_New_27-Feb-2024Rev3.xlsx]D-PSNP'!</v>
      </c>
      <c r="G756" s="32" t="s">
        <v>37</v>
      </c>
      <c r="H756" s="33"/>
      <c r="I756" s="33"/>
      <c r="J756" s="37"/>
    </row>
    <row r="757" spans="1:10" x14ac:dyDescent="0.25">
      <c r="A757" s="32" t="s">
        <v>103</v>
      </c>
      <c r="B757" s="32">
        <f t="shared" si="185"/>
        <v>2056</v>
      </c>
      <c r="C757" s="33" t="s">
        <v>8</v>
      </c>
      <c r="D757" s="34" t="s">
        <v>1999</v>
      </c>
      <c r="E757" s="35" t="str">
        <f t="shared" si="183"/>
        <v>PSNP'!</v>
      </c>
      <c r="F757" s="34" t="str">
        <f t="shared" si="184"/>
        <v>C:\Users\jaime.benazar\Quorum Business Solutions\Ecopetrol Prometeo - Documents\Planning Space Implementation\3. Analysis &amp; Design\Design\FC22\DRR Jaime\QUIFA-CAJÚA\Cajua\[CAJUA_CF_SEC_New_27-Feb-2024Rev3.xlsx]D-PSNP'!</v>
      </c>
      <c r="G757" s="32" t="s">
        <v>37</v>
      </c>
      <c r="H757" s="33"/>
      <c r="I757" s="33"/>
      <c r="J757" s="37"/>
    </row>
    <row r="758" spans="1:10" x14ac:dyDescent="0.25">
      <c r="A758" s="32" t="s">
        <v>103</v>
      </c>
      <c r="B758" s="32">
        <f t="shared" si="185"/>
        <v>2057</v>
      </c>
      <c r="C758" s="33" t="s">
        <v>8</v>
      </c>
      <c r="D758" s="34" t="s">
        <v>1999</v>
      </c>
      <c r="E758" s="35" t="str">
        <f t="shared" si="183"/>
        <v>PSNP'!</v>
      </c>
      <c r="F758" s="34" t="str">
        <f t="shared" si="184"/>
        <v>C:\Users\jaime.benazar\Quorum Business Solutions\Ecopetrol Prometeo - Documents\Planning Space Implementation\3. Analysis &amp; Design\Design\FC22\DRR Jaime\QUIFA-CAJÚA\Cajua\[CAJUA_CF_SEC_New_27-Feb-2024Rev3.xlsx]D-PSNP'!</v>
      </c>
      <c r="G758" s="32" t="s">
        <v>37</v>
      </c>
      <c r="H758" s="33"/>
      <c r="I758" s="33"/>
      <c r="J758" s="37"/>
    </row>
    <row r="759" spans="1:10" x14ac:dyDescent="0.25">
      <c r="A759" s="32" t="s">
        <v>103</v>
      </c>
      <c r="B759" s="32">
        <f t="shared" si="185"/>
        <v>2058</v>
      </c>
      <c r="C759" s="33" t="s">
        <v>8</v>
      </c>
      <c r="D759" s="34" t="s">
        <v>1999</v>
      </c>
      <c r="E759" s="35" t="str">
        <f t="shared" si="183"/>
        <v>PSNP'!</v>
      </c>
      <c r="F759" s="34" t="str">
        <f t="shared" si="184"/>
        <v>C:\Users\jaime.benazar\Quorum Business Solutions\Ecopetrol Prometeo - Documents\Planning Space Implementation\3. Analysis &amp; Design\Design\FC22\DRR Jaime\QUIFA-CAJÚA\Cajua\[CAJUA_CF_SEC_New_27-Feb-2024Rev3.xlsx]D-PSNP'!</v>
      </c>
      <c r="G759" s="32" t="s">
        <v>37</v>
      </c>
      <c r="H759" s="33"/>
      <c r="I759" s="33"/>
      <c r="J759" s="37"/>
    </row>
    <row r="760" spans="1:10" x14ac:dyDescent="0.25">
      <c r="A760" s="32" t="s">
        <v>103</v>
      </c>
      <c r="B760" s="32">
        <f t="shared" si="185"/>
        <v>2059</v>
      </c>
      <c r="C760" s="33" t="s">
        <v>8</v>
      </c>
      <c r="D760" s="34" t="s">
        <v>1999</v>
      </c>
      <c r="E760" s="35" t="str">
        <f t="shared" si="183"/>
        <v>PSNP'!</v>
      </c>
      <c r="F760" s="34" t="str">
        <f t="shared" si="184"/>
        <v>C:\Users\jaime.benazar\Quorum Business Solutions\Ecopetrol Prometeo - Documents\Planning Space Implementation\3. Analysis &amp; Design\Design\FC22\DRR Jaime\QUIFA-CAJÚA\Cajua\[CAJUA_CF_SEC_New_27-Feb-2024Rev3.xlsx]D-PSNP'!</v>
      </c>
      <c r="G760" s="32" t="s">
        <v>37</v>
      </c>
      <c r="H760" s="33"/>
      <c r="I760" s="33"/>
      <c r="J760" s="37"/>
    </row>
    <row r="761" spans="1:10" x14ac:dyDescent="0.25">
      <c r="A761" s="32" t="s">
        <v>28</v>
      </c>
      <c r="B761" s="32"/>
      <c r="C761" s="33" t="s">
        <v>8</v>
      </c>
      <c r="D761" s="34"/>
      <c r="E761" s="35"/>
      <c r="F761" s="34"/>
      <c r="G761" s="32"/>
      <c r="H761" s="33"/>
      <c r="I761" s="33"/>
      <c r="J761" s="33"/>
    </row>
    <row r="762" spans="1:10" x14ac:dyDescent="0.25">
      <c r="A762" s="32" t="s">
        <v>104</v>
      </c>
      <c r="B762" s="32">
        <v>2023</v>
      </c>
      <c r="C762" s="33" t="s">
        <v>8</v>
      </c>
      <c r="D762" s="34" t="s">
        <v>1999</v>
      </c>
      <c r="E762" s="35" t="str">
        <f t="shared" ref="E762:E782" si="186">_xlfn.CONCAT(A762,"'!")</f>
        <v>PSND'!</v>
      </c>
      <c r="F762" s="34" t="str">
        <f t="shared" ref="F762:F782" si="187">_xlfn.CONCAT(D762:E762)</f>
        <v>C:\Users\jaime.benazar\Quorum Business Solutions\Ecopetrol Prometeo - Documents\Planning Space Implementation\3. Analysis &amp; Design\Design\FC22\DRR Jaime\QUIFA-CAJÚA\Cajua\[CAJUA_CF_SEC_New_27-Feb-2024Rev3.xlsx]D-PSND'!</v>
      </c>
      <c r="G762" s="32" t="s">
        <v>37</v>
      </c>
      <c r="H762" s="33"/>
      <c r="I762" s="33"/>
      <c r="J762" s="37"/>
    </row>
    <row r="763" spans="1:10" x14ac:dyDescent="0.25">
      <c r="A763" s="32" t="s">
        <v>104</v>
      </c>
      <c r="B763" s="32">
        <f>+B762+1</f>
        <v>2024</v>
      </c>
      <c r="C763" s="33" t="s">
        <v>8</v>
      </c>
      <c r="D763" s="34" t="s">
        <v>1999</v>
      </c>
      <c r="E763" s="35" t="str">
        <f t="shared" si="186"/>
        <v>PSND'!</v>
      </c>
      <c r="F763" s="34" t="str">
        <f t="shared" si="187"/>
        <v>C:\Users\jaime.benazar\Quorum Business Solutions\Ecopetrol Prometeo - Documents\Planning Space Implementation\3. Analysis &amp; Design\Design\FC22\DRR Jaime\QUIFA-CAJÚA\Cajua\[CAJUA_CF_SEC_New_27-Feb-2024Rev3.xlsx]D-PSND'!</v>
      </c>
      <c r="G763" s="32" t="s">
        <v>37</v>
      </c>
      <c r="H763" s="33"/>
      <c r="I763" s="33"/>
      <c r="J763" s="37"/>
    </row>
    <row r="764" spans="1:10" x14ac:dyDescent="0.25">
      <c r="A764" s="32" t="s">
        <v>104</v>
      </c>
      <c r="B764" s="32">
        <f t="shared" ref="B764:B775" si="188">+B763+1</f>
        <v>2025</v>
      </c>
      <c r="C764" s="33" t="s">
        <v>8</v>
      </c>
      <c r="D764" s="34" t="s">
        <v>1999</v>
      </c>
      <c r="E764" s="35" t="str">
        <f t="shared" si="186"/>
        <v>PSND'!</v>
      </c>
      <c r="F764" s="34" t="str">
        <f t="shared" si="187"/>
        <v>C:\Users\jaime.benazar\Quorum Business Solutions\Ecopetrol Prometeo - Documents\Planning Space Implementation\3. Analysis &amp; Design\Design\FC22\DRR Jaime\QUIFA-CAJÚA\Cajua\[CAJUA_CF_SEC_New_27-Feb-2024Rev3.xlsx]D-PSND'!</v>
      </c>
      <c r="G764" s="32" t="s">
        <v>37</v>
      </c>
      <c r="H764" s="33"/>
      <c r="I764" s="33"/>
      <c r="J764" s="37"/>
    </row>
    <row r="765" spans="1:10" x14ac:dyDescent="0.25">
      <c r="A765" s="32" t="s">
        <v>104</v>
      </c>
      <c r="B765" s="32">
        <f t="shared" si="188"/>
        <v>2026</v>
      </c>
      <c r="C765" s="33" t="s">
        <v>8</v>
      </c>
      <c r="D765" s="34" t="s">
        <v>1999</v>
      </c>
      <c r="E765" s="35" t="str">
        <f t="shared" si="186"/>
        <v>PSND'!</v>
      </c>
      <c r="F765" s="34" t="str">
        <f t="shared" si="187"/>
        <v>C:\Users\jaime.benazar\Quorum Business Solutions\Ecopetrol Prometeo - Documents\Planning Space Implementation\3. Analysis &amp; Design\Design\FC22\DRR Jaime\QUIFA-CAJÚA\Cajua\[CAJUA_CF_SEC_New_27-Feb-2024Rev3.xlsx]D-PSND'!</v>
      </c>
      <c r="G765" s="32" t="s">
        <v>37</v>
      </c>
      <c r="H765" s="33"/>
      <c r="I765" s="33"/>
      <c r="J765" s="37"/>
    </row>
    <row r="766" spans="1:10" x14ac:dyDescent="0.25">
      <c r="A766" s="32" t="s">
        <v>104</v>
      </c>
      <c r="B766" s="32">
        <f t="shared" si="188"/>
        <v>2027</v>
      </c>
      <c r="C766" s="33" t="s">
        <v>8</v>
      </c>
      <c r="D766" s="34" t="s">
        <v>1999</v>
      </c>
      <c r="E766" s="35" t="str">
        <f t="shared" si="186"/>
        <v>PSND'!</v>
      </c>
      <c r="F766" s="34" t="str">
        <f t="shared" si="187"/>
        <v>C:\Users\jaime.benazar\Quorum Business Solutions\Ecopetrol Prometeo - Documents\Planning Space Implementation\3. Analysis &amp; Design\Design\FC22\DRR Jaime\QUIFA-CAJÚA\Cajua\[CAJUA_CF_SEC_New_27-Feb-2024Rev3.xlsx]D-PSND'!</v>
      </c>
      <c r="G766" s="32" t="s">
        <v>37</v>
      </c>
      <c r="H766" s="33"/>
      <c r="I766" s="33"/>
      <c r="J766" s="37"/>
    </row>
    <row r="767" spans="1:10" x14ac:dyDescent="0.25">
      <c r="A767" s="32" t="s">
        <v>104</v>
      </c>
      <c r="B767" s="32">
        <f t="shared" si="188"/>
        <v>2028</v>
      </c>
      <c r="C767" s="33" t="s">
        <v>8</v>
      </c>
      <c r="D767" s="34" t="s">
        <v>1999</v>
      </c>
      <c r="E767" s="35" t="str">
        <f t="shared" si="186"/>
        <v>PSND'!</v>
      </c>
      <c r="F767" s="34" t="str">
        <f t="shared" si="187"/>
        <v>C:\Users\jaime.benazar\Quorum Business Solutions\Ecopetrol Prometeo - Documents\Planning Space Implementation\3. Analysis &amp; Design\Design\FC22\DRR Jaime\QUIFA-CAJÚA\Cajua\[CAJUA_CF_SEC_New_27-Feb-2024Rev3.xlsx]D-PSND'!</v>
      </c>
      <c r="G767" s="32" t="s">
        <v>37</v>
      </c>
      <c r="H767" s="33"/>
      <c r="I767" s="33"/>
      <c r="J767" s="37"/>
    </row>
    <row r="768" spans="1:10" x14ac:dyDescent="0.25">
      <c r="A768" s="32" t="s">
        <v>104</v>
      </c>
      <c r="B768" s="32">
        <f t="shared" si="188"/>
        <v>2029</v>
      </c>
      <c r="C768" s="33" t="s">
        <v>8</v>
      </c>
      <c r="D768" s="34" t="s">
        <v>1999</v>
      </c>
      <c r="E768" s="35" t="str">
        <f t="shared" si="186"/>
        <v>PSND'!</v>
      </c>
      <c r="F768" s="34" t="str">
        <f t="shared" si="187"/>
        <v>C:\Users\jaime.benazar\Quorum Business Solutions\Ecopetrol Prometeo - Documents\Planning Space Implementation\3. Analysis &amp; Design\Design\FC22\DRR Jaime\QUIFA-CAJÚA\Cajua\[CAJUA_CF_SEC_New_27-Feb-2024Rev3.xlsx]D-PSND'!</v>
      </c>
      <c r="G768" s="32" t="s">
        <v>37</v>
      </c>
      <c r="H768" s="33"/>
      <c r="I768" s="33"/>
      <c r="J768" s="37"/>
    </row>
    <row r="769" spans="1:10" x14ac:dyDescent="0.25">
      <c r="A769" s="32" t="s">
        <v>104</v>
      </c>
      <c r="B769" s="32">
        <f t="shared" si="188"/>
        <v>2030</v>
      </c>
      <c r="C769" s="33" t="s">
        <v>8</v>
      </c>
      <c r="D769" s="34" t="s">
        <v>1999</v>
      </c>
      <c r="E769" s="35" t="str">
        <f t="shared" si="186"/>
        <v>PSND'!</v>
      </c>
      <c r="F769" s="34" t="str">
        <f t="shared" si="187"/>
        <v>C:\Users\jaime.benazar\Quorum Business Solutions\Ecopetrol Prometeo - Documents\Planning Space Implementation\3. Analysis &amp; Design\Design\FC22\DRR Jaime\QUIFA-CAJÚA\Cajua\[CAJUA_CF_SEC_New_27-Feb-2024Rev3.xlsx]D-PSND'!</v>
      </c>
      <c r="G769" s="32" t="s">
        <v>37</v>
      </c>
      <c r="H769" s="33"/>
      <c r="I769" s="33"/>
      <c r="J769" s="37"/>
    </row>
    <row r="770" spans="1:10" x14ac:dyDescent="0.25">
      <c r="A770" s="32" t="s">
        <v>104</v>
      </c>
      <c r="B770" s="32">
        <f t="shared" si="188"/>
        <v>2031</v>
      </c>
      <c r="C770" s="33" t="s">
        <v>8</v>
      </c>
      <c r="D770" s="34" t="s">
        <v>1999</v>
      </c>
      <c r="E770" s="35" t="str">
        <f t="shared" si="186"/>
        <v>PSND'!</v>
      </c>
      <c r="F770" s="34" t="str">
        <f t="shared" si="187"/>
        <v>C:\Users\jaime.benazar\Quorum Business Solutions\Ecopetrol Prometeo - Documents\Planning Space Implementation\3. Analysis &amp; Design\Design\FC22\DRR Jaime\QUIFA-CAJÚA\Cajua\[CAJUA_CF_SEC_New_27-Feb-2024Rev3.xlsx]D-PSND'!</v>
      </c>
      <c r="G770" s="32" t="s">
        <v>37</v>
      </c>
      <c r="H770" s="33"/>
      <c r="I770" s="33"/>
      <c r="J770" s="37"/>
    </row>
    <row r="771" spans="1:10" x14ac:dyDescent="0.25">
      <c r="A771" s="32" t="s">
        <v>104</v>
      </c>
      <c r="B771" s="32">
        <f t="shared" si="188"/>
        <v>2032</v>
      </c>
      <c r="C771" s="33" t="s">
        <v>8</v>
      </c>
      <c r="D771" s="34" t="s">
        <v>1999</v>
      </c>
      <c r="E771" s="35" t="str">
        <f t="shared" si="186"/>
        <v>PSND'!</v>
      </c>
      <c r="F771" s="34" t="str">
        <f t="shared" si="187"/>
        <v>C:\Users\jaime.benazar\Quorum Business Solutions\Ecopetrol Prometeo - Documents\Planning Space Implementation\3. Analysis &amp; Design\Design\FC22\DRR Jaime\QUIFA-CAJÚA\Cajua\[CAJUA_CF_SEC_New_27-Feb-2024Rev3.xlsx]D-PSND'!</v>
      </c>
      <c r="G771" s="32" t="s">
        <v>37</v>
      </c>
      <c r="H771" s="33"/>
      <c r="I771" s="33"/>
      <c r="J771" s="37"/>
    </row>
    <row r="772" spans="1:10" x14ac:dyDescent="0.25">
      <c r="A772" s="32" t="s">
        <v>104</v>
      </c>
      <c r="B772" s="32">
        <f t="shared" si="188"/>
        <v>2033</v>
      </c>
      <c r="C772" s="33" t="s">
        <v>8</v>
      </c>
      <c r="D772" s="34" t="s">
        <v>1999</v>
      </c>
      <c r="E772" s="35" t="str">
        <f t="shared" si="186"/>
        <v>PSND'!</v>
      </c>
      <c r="F772" s="34" t="str">
        <f t="shared" si="187"/>
        <v>C:\Users\jaime.benazar\Quorum Business Solutions\Ecopetrol Prometeo - Documents\Planning Space Implementation\3. Analysis &amp; Design\Design\FC22\DRR Jaime\QUIFA-CAJÚA\Cajua\[CAJUA_CF_SEC_New_27-Feb-2024Rev3.xlsx]D-PSND'!</v>
      </c>
      <c r="G772" s="32" t="s">
        <v>37</v>
      </c>
      <c r="H772" s="33"/>
      <c r="I772" s="33"/>
      <c r="J772" s="37"/>
    </row>
    <row r="773" spans="1:10" x14ac:dyDescent="0.25">
      <c r="A773" s="32" t="s">
        <v>104</v>
      </c>
      <c r="B773" s="32">
        <f t="shared" si="188"/>
        <v>2034</v>
      </c>
      <c r="C773" s="33" t="s">
        <v>8</v>
      </c>
      <c r="D773" s="34" t="s">
        <v>1999</v>
      </c>
      <c r="E773" s="35" t="str">
        <f t="shared" si="186"/>
        <v>PSND'!</v>
      </c>
      <c r="F773" s="34" t="str">
        <f t="shared" si="187"/>
        <v>C:\Users\jaime.benazar\Quorum Business Solutions\Ecopetrol Prometeo - Documents\Planning Space Implementation\3. Analysis &amp; Design\Design\FC22\DRR Jaime\QUIFA-CAJÚA\Cajua\[CAJUA_CF_SEC_New_27-Feb-2024Rev3.xlsx]D-PSND'!</v>
      </c>
      <c r="G773" s="32" t="s">
        <v>37</v>
      </c>
      <c r="H773" s="33"/>
      <c r="I773" s="33"/>
      <c r="J773" s="37"/>
    </row>
    <row r="774" spans="1:10" x14ac:dyDescent="0.25">
      <c r="A774" s="32" t="s">
        <v>104</v>
      </c>
      <c r="B774" s="32">
        <f t="shared" si="188"/>
        <v>2035</v>
      </c>
      <c r="C774" s="33" t="s">
        <v>8</v>
      </c>
      <c r="D774" s="34" t="s">
        <v>1999</v>
      </c>
      <c r="E774" s="35" t="str">
        <f t="shared" si="186"/>
        <v>PSND'!</v>
      </c>
      <c r="F774" s="34" t="str">
        <f t="shared" si="187"/>
        <v>C:\Users\jaime.benazar\Quorum Business Solutions\Ecopetrol Prometeo - Documents\Planning Space Implementation\3. Analysis &amp; Design\Design\FC22\DRR Jaime\QUIFA-CAJÚA\Cajua\[CAJUA_CF_SEC_New_27-Feb-2024Rev3.xlsx]D-PSND'!</v>
      </c>
      <c r="G774" s="32" t="s">
        <v>37</v>
      </c>
      <c r="H774" s="33"/>
      <c r="I774" s="33"/>
      <c r="J774" s="37"/>
    </row>
    <row r="775" spans="1:10" x14ac:dyDescent="0.25">
      <c r="A775" s="32" t="s">
        <v>104</v>
      </c>
      <c r="B775" s="32">
        <f t="shared" si="188"/>
        <v>2036</v>
      </c>
      <c r="C775" s="33" t="s">
        <v>8</v>
      </c>
      <c r="D775" s="34" t="s">
        <v>1999</v>
      </c>
      <c r="E775" s="35" t="str">
        <f t="shared" si="186"/>
        <v>PSND'!</v>
      </c>
      <c r="F775" s="34" t="str">
        <f t="shared" si="187"/>
        <v>C:\Users\jaime.benazar\Quorum Business Solutions\Ecopetrol Prometeo - Documents\Planning Space Implementation\3. Analysis &amp; Design\Design\FC22\DRR Jaime\QUIFA-CAJÚA\Cajua\[CAJUA_CF_SEC_New_27-Feb-2024Rev3.xlsx]D-PSND'!</v>
      </c>
      <c r="G775" s="32" t="s">
        <v>37</v>
      </c>
      <c r="H775" s="33"/>
      <c r="I775" s="33"/>
      <c r="J775" s="37"/>
    </row>
    <row r="776" spans="1:10" x14ac:dyDescent="0.25">
      <c r="A776" s="32" t="s">
        <v>104</v>
      </c>
      <c r="B776" s="32">
        <f>+B775+1</f>
        <v>2037</v>
      </c>
      <c r="C776" s="33" t="s">
        <v>8</v>
      </c>
      <c r="D776" s="34" t="s">
        <v>1999</v>
      </c>
      <c r="E776" s="35" t="str">
        <f t="shared" si="186"/>
        <v>PSND'!</v>
      </c>
      <c r="F776" s="34" t="str">
        <f t="shared" si="187"/>
        <v>C:\Users\jaime.benazar\Quorum Business Solutions\Ecopetrol Prometeo - Documents\Planning Space Implementation\3. Analysis &amp; Design\Design\FC22\DRR Jaime\QUIFA-CAJÚA\Cajua\[CAJUA_CF_SEC_New_27-Feb-2024Rev3.xlsx]D-PSND'!</v>
      </c>
      <c r="G776" s="32" t="s">
        <v>37</v>
      </c>
      <c r="H776" s="33"/>
      <c r="I776" s="33"/>
      <c r="J776" s="37"/>
    </row>
    <row r="777" spans="1:10" x14ac:dyDescent="0.25">
      <c r="A777" s="32" t="s">
        <v>104</v>
      </c>
      <c r="B777" s="32">
        <f t="shared" ref="B777:B779" si="189">+B776+1</f>
        <v>2038</v>
      </c>
      <c r="C777" s="33" t="s">
        <v>8</v>
      </c>
      <c r="D777" s="34" t="s">
        <v>1999</v>
      </c>
      <c r="E777" s="35" t="str">
        <f t="shared" si="186"/>
        <v>PSND'!</v>
      </c>
      <c r="F777" s="34" t="str">
        <f t="shared" si="187"/>
        <v>C:\Users\jaime.benazar\Quorum Business Solutions\Ecopetrol Prometeo - Documents\Planning Space Implementation\3. Analysis &amp; Design\Design\FC22\DRR Jaime\QUIFA-CAJÚA\Cajua\[CAJUA_CF_SEC_New_27-Feb-2024Rev3.xlsx]D-PSND'!</v>
      </c>
      <c r="G777" s="32" t="s">
        <v>37</v>
      </c>
      <c r="H777" s="33"/>
      <c r="I777" s="33"/>
      <c r="J777" s="37"/>
    </row>
    <row r="778" spans="1:10" x14ac:dyDescent="0.25">
      <c r="A778" s="32" t="s">
        <v>104</v>
      </c>
      <c r="B778" s="32">
        <f t="shared" si="189"/>
        <v>2039</v>
      </c>
      <c r="C778" s="33" t="s">
        <v>8</v>
      </c>
      <c r="D778" s="34" t="s">
        <v>1999</v>
      </c>
      <c r="E778" s="35" t="str">
        <f t="shared" si="186"/>
        <v>PSND'!</v>
      </c>
      <c r="F778" s="34" t="str">
        <f t="shared" si="187"/>
        <v>C:\Users\jaime.benazar\Quorum Business Solutions\Ecopetrol Prometeo - Documents\Planning Space Implementation\3. Analysis &amp; Design\Design\FC22\DRR Jaime\QUIFA-CAJÚA\Cajua\[CAJUA_CF_SEC_New_27-Feb-2024Rev3.xlsx]D-PSND'!</v>
      </c>
      <c r="G778" s="32" t="s">
        <v>37</v>
      </c>
      <c r="H778" s="33"/>
      <c r="I778" s="33"/>
      <c r="J778" s="37"/>
    </row>
    <row r="779" spans="1:10" x14ac:dyDescent="0.25">
      <c r="A779" s="32" t="s">
        <v>104</v>
      </c>
      <c r="B779" s="32">
        <f t="shared" si="189"/>
        <v>2040</v>
      </c>
      <c r="C779" s="33" t="s">
        <v>8</v>
      </c>
      <c r="D779" s="34" t="s">
        <v>1999</v>
      </c>
      <c r="E779" s="35" t="str">
        <f t="shared" si="186"/>
        <v>PSND'!</v>
      </c>
      <c r="F779" s="34" t="str">
        <f t="shared" si="187"/>
        <v>C:\Users\jaime.benazar\Quorum Business Solutions\Ecopetrol Prometeo - Documents\Planning Space Implementation\3. Analysis &amp; Design\Design\FC22\DRR Jaime\QUIFA-CAJÚA\Cajua\[CAJUA_CF_SEC_New_27-Feb-2024Rev3.xlsx]D-PSND'!</v>
      </c>
      <c r="G779" s="32" t="s">
        <v>37</v>
      </c>
      <c r="H779" s="33"/>
      <c r="I779" s="33"/>
      <c r="J779" s="37"/>
    </row>
    <row r="780" spans="1:10" x14ac:dyDescent="0.25">
      <c r="A780" s="32" t="s">
        <v>104</v>
      </c>
      <c r="B780" s="32">
        <f>+B779+1</f>
        <v>2041</v>
      </c>
      <c r="C780" s="33" t="s">
        <v>8</v>
      </c>
      <c r="D780" s="34" t="s">
        <v>1999</v>
      </c>
      <c r="E780" s="35" t="str">
        <f t="shared" si="186"/>
        <v>PSND'!</v>
      </c>
      <c r="F780" s="34" t="str">
        <f t="shared" si="187"/>
        <v>C:\Users\jaime.benazar\Quorum Business Solutions\Ecopetrol Prometeo - Documents\Planning Space Implementation\3. Analysis &amp; Design\Design\FC22\DRR Jaime\QUIFA-CAJÚA\Cajua\[CAJUA_CF_SEC_New_27-Feb-2024Rev3.xlsx]D-PSND'!</v>
      </c>
      <c r="G780" s="32" t="s">
        <v>37</v>
      </c>
      <c r="H780" s="33"/>
      <c r="I780" s="33"/>
      <c r="J780" s="37"/>
    </row>
    <row r="781" spans="1:10" x14ac:dyDescent="0.25">
      <c r="A781" s="32" t="s">
        <v>104</v>
      </c>
      <c r="B781" s="32">
        <f t="shared" ref="B781:B782" si="190">+B780+1</f>
        <v>2042</v>
      </c>
      <c r="C781" s="33" t="s">
        <v>8</v>
      </c>
      <c r="D781" s="34" t="s">
        <v>1999</v>
      </c>
      <c r="E781" s="35" t="str">
        <f t="shared" si="186"/>
        <v>PSND'!</v>
      </c>
      <c r="F781" s="34" t="str">
        <f t="shared" si="187"/>
        <v>C:\Users\jaime.benazar\Quorum Business Solutions\Ecopetrol Prometeo - Documents\Planning Space Implementation\3. Analysis &amp; Design\Design\FC22\DRR Jaime\QUIFA-CAJÚA\Cajua\[CAJUA_CF_SEC_New_27-Feb-2024Rev3.xlsx]D-PSND'!</v>
      </c>
      <c r="G781" s="32" t="s">
        <v>37</v>
      </c>
      <c r="H781" s="33"/>
      <c r="I781" s="33"/>
      <c r="J781" s="37"/>
    </row>
    <row r="782" spans="1:10" x14ac:dyDescent="0.25">
      <c r="A782" s="32" t="s">
        <v>104</v>
      </c>
      <c r="B782" s="32">
        <f t="shared" si="190"/>
        <v>2043</v>
      </c>
      <c r="C782" s="33" t="s">
        <v>8</v>
      </c>
      <c r="D782" s="34" t="s">
        <v>1999</v>
      </c>
      <c r="E782" s="35" t="str">
        <f t="shared" si="186"/>
        <v>PSND'!</v>
      </c>
      <c r="F782" s="34" t="str">
        <f t="shared" si="187"/>
        <v>C:\Users\jaime.benazar\Quorum Business Solutions\Ecopetrol Prometeo - Documents\Planning Space Implementation\3. Analysis &amp; Design\Design\FC22\DRR Jaime\QUIFA-CAJÚA\Cajua\[CAJUA_CF_SEC_New_27-Feb-2024Rev3.xlsx]D-PSND'!</v>
      </c>
      <c r="G782" s="32" t="s">
        <v>37</v>
      </c>
      <c r="H782" s="33"/>
      <c r="I782" s="33"/>
      <c r="J782" s="37"/>
    </row>
    <row r="783" spans="1:10" x14ac:dyDescent="0.25">
      <c r="A783" s="32" t="s">
        <v>104</v>
      </c>
      <c r="B783" s="32">
        <f>+B782+1</f>
        <v>2044</v>
      </c>
      <c r="C783" s="33" t="s">
        <v>8</v>
      </c>
      <c r="D783" s="34" t="s">
        <v>1999</v>
      </c>
      <c r="E783" s="35" t="str">
        <f t="shared" ref="E783:E798" si="191">_xlfn.CONCAT(A783,"'!")</f>
        <v>PSND'!</v>
      </c>
      <c r="F783" s="34" t="str">
        <f t="shared" ref="F783:F798" si="192">_xlfn.CONCAT(D783:E783)</f>
        <v>C:\Users\jaime.benazar\Quorum Business Solutions\Ecopetrol Prometeo - Documents\Planning Space Implementation\3. Analysis &amp; Design\Design\FC22\DRR Jaime\QUIFA-CAJÚA\Cajua\[CAJUA_CF_SEC_New_27-Feb-2024Rev3.xlsx]D-PSND'!</v>
      </c>
      <c r="G783" s="32" t="s">
        <v>37</v>
      </c>
      <c r="H783" s="33"/>
      <c r="I783" s="33"/>
      <c r="J783" s="37"/>
    </row>
    <row r="784" spans="1:10" x14ac:dyDescent="0.25">
      <c r="A784" s="32" t="s">
        <v>104</v>
      </c>
      <c r="B784" s="32">
        <f t="shared" ref="B784:B798" si="193">+B783+1</f>
        <v>2045</v>
      </c>
      <c r="C784" s="33" t="s">
        <v>8</v>
      </c>
      <c r="D784" s="34" t="s">
        <v>1999</v>
      </c>
      <c r="E784" s="35" t="str">
        <f t="shared" si="191"/>
        <v>PSND'!</v>
      </c>
      <c r="F784" s="34" t="str">
        <f t="shared" si="192"/>
        <v>C:\Users\jaime.benazar\Quorum Business Solutions\Ecopetrol Prometeo - Documents\Planning Space Implementation\3. Analysis &amp; Design\Design\FC22\DRR Jaime\QUIFA-CAJÚA\Cajua\[CAJUA_CF_SEC_New_27-Feb-2024Rev3.xlsx]D-PSND'!</v>
      </c>
      <c r="G784" s="32" t="s">
        <v>37</v>
      </c>
      <c r="H784" s="33"/>
      <c r="I784" s="33"/>
      <c r="J784" s="37"/>
    </row>
    <row r="785" spans="1:10" x14ac:dyDescent="0.25">
      <c r="A785" s="32" t="s">
        <v>104</v>
      </c>
      <c r="B785" s="32">
        <f t="shared" si="193"/>
        <v>2046</v>
      </c>
      <c r="C785" s="33" t="s">
        <v>8</v>
      </c>
      <c r="D785" s="34" t="s">
        <v>1999</v>
      </c>
      <c r="E785" s="35" t="str">
        <f t="shared" si="191"/>
        <v>PSND'!</v>
      </c>
      <c r="F785" s="34" t="str">
        <f t="shared" si="192"/>
        <v>C:\Users\jaime.benazar\Quorum Business Solutions\Ecopetrol Prometeo - Documents\Planning Space Implementation\3. Analysis &amp; Design\Design\FC22\DRR Jaime\QUIFA-CAJÚA\Cajua\[CAJUA_CF_SEC_New_27-Feb-2024Rev3.xlsx]D-PSND'!</v>
      </c>
      <c r="G785" s="32" t="s">
        <v>37</v>
      </c>
      <c r="H785" s="33"/>
      <c r="I785" s="33"/>
      <c r="J785" s="37"/>
    </row>
    <row r="786" spans="1:10" x14ac:dyDescent="0.25">
      <c r="A786" s="32" t="s">
        <v>104</v>
      </c>
      <c r="B786" s="32">
        <f t="shared" si="193"/>
        <v>2047</v>
      </c>
      <c r="C786" s="33" t="s">
        <v>8</v>
      </c>
      <c r="D786" s="34" t="s">
        <v>1999</v>
      </c>
      <c r="E786" s="35" t="str">
        <f t="shared" si="191"/>
        <v>PSND'!</v>
      </c>
      <c r="F786" s="34" t="str">
        <f t="shared" si="192"/>
        <v>C:\Users\jaime.benazar\Quorum Business Solutions\Ecopetrol Prometeo - Documents\Planning Space Implementation\3. Analysis &amp; Design\Design\FC22\DRR Jaime\QUIFA-CAJÚA\Cajua\[CAJUA_CF_SEC_New_27-Feb-2024Rev3.xlsx]D-PSND'!</v>
      </c>
      <c r="G786" s="32" t="s">
        <v>37</v>
      </c>
      <c r="H786" s="33"/>
      <c r="I786" s="33"/>
      <c r="J786" s="37"/>
    </row>
    <row r="787" spans="1:10" x14ac:dyDescent="0.25">
      <c r="A787" s="32" t="s">
        <v>104</v>
      </c>
      <c r="B787" s="32">
        <f t="shared" si="193"/>
        <v>2048</v>
      </c>
      <c r="C787" s="33" t="s">
        <v>8</v>
      </c>
      <c r="D787" s="34" t="s">
        <v>1999</v>
      </c>
      <c r="E787" s="35" t="str">
        <f t="shared" si="191"/>
        <v>PSND'!</v>
      </c>
      <c r="F787" s="34" t="str">
        <f t="shared" si="192"/>
        <v>C:\Users\jaime.benazar\Quorum Business Solutions\Ecopetrol Prometeo - Documents\Planning Space Implementation\3. Analysis &amp; Design\Design\FC22\DRR Jaime\QUIFA-CAJÚA\Cajua\[CAJUA_CF_SEC_New_27-Feb-2024Rev3.xlsx]D-PSND'!</v>
      </c>
      <c r="G787" s="32" t="s">
        <v>37</v>
      </c>
      <c r="H787" s="33"/>
      <c r="I787" s="33"/>
      <c r="J787" s="37"/>
    </row>
    <row r="788" spans="1:10" x14ac:dyDescent="0.25">
      <c r="A788" s="32" t="s">
        <v>104</v>
      </c>
      <c r="B788" s="32">
        <f t="shared" si="193"/>
        <v>2049</v>
      </c>
      <c r="C788" s="33" t="s">
        <v>8</v>
      </c>
      <c r="D788" s="34" t="s">
        <v>1999</v>
      </c>
      <c r="E788" s="35" t="str">
        <f t="shared" si="191"/>
        <v>PSND'!</v>
      </c>
      <c r="F788" s="34" t="str">
        <f t="shared" si="192"/>
        <v>C:\Users\jaime.benazar\Quorum Business Solutions\Ecopetrol Prometeo - Documents\Planning Space Implementation\3. Analysis &amp; Design\Design\FC22\DRR Jaime\QUIFA-CAJÚA\Cajua\[CAJUA_CF_SEC_New_27-Feb-2024Rev3.xlsx]D-PSND'!</v>
      </c>
      <c r="G788" s="32" t="s">
        <v>37</v>
      </c>
      <c r="H788" s="33"/>
      <c r="I788" s="33"/>
      <c r="J788" s="37"/>
    </row>
    <row r="789" spans="1:10" x14ac:dyDescent="0.25">
      <c r="A789" s="32" t="s">
        <v>104</v>
      </c>
      <c r="B789" s="32">
        <f t="shared" si="193"/>
        <v>2050</v>
      </c>
      <c r="C789" s="33" t="s">
        <v>8</v>
      </c>
      <c r="D789" s="34" t="s">
        <v>1999</v>
      </c>
      <c r="E789" s="35" t="str">
        <f t="shared" si="191"/>
        <v>PSND'!</v>
      </c>
      <c r="F789" s="34" t="str">
        <f t="shared" si="192"/>
        <v>C:\Users\jaime.benazar\Quorum Business Solutions\Ecopetrol Prometeo - Documents\Planning Space Implementation\3. Analysis &amp; Design\Design\FC22\DRR Jaime\QUIFA-CAJÚA\Cajua\[CAJUA_CF_SEC_New_27-Feb-2024Rev3.xlsx]D-PSND'!</v>
      </c>
      <c r="G789" s="32" t="s">
        <v>37</v>
      </c>
      <c r="H789" s="33"/>
      <c r="I789" s="33"/>
      <c r="J789" s="37"/>
    </row>
    <row r="790" spans="1:10" x14ac:dyDescent="0.25">
      <c r="A790" s="32" t="s">
        <v>104</v>
      </c>
      <c r="B790" s="32">
        <f t="shared" si="193"/>
        <v>2051</v>
      </c>
      <c r="C790" s="33" t="s">
        <v>8</v>
      </c>
      <c r="D790" s="34" t="s">
        <v>1999</v>
      </c>
      <c r="E790" s="35" t="str">
        <f t="shared" si="191"/>
        <v>PSND'!</v>
      </c>
      <c r="F790" s="34" t="str">
        <f t="shared" si="192"/>
        <v>C:\Users\jaime.benazar\Quorum Business Solutions\Ecopetrol Prometeo - Documents\Planning Space Implementation\3. Analysis &amp; Design\Design\FC22\DRR Jaime\QUIFA-CAJÚA\Cajua\[CAJUA_CF_SEC_New_27-Feb-2024Rev3.xlsx]D-PSND'!</v>
      </c>
      <c r="G790" s="32" t="s">
        <v>37</v>
      </c>
      <c r="H790" s="33"/>
      <c r="I790" s="33"/>
      <c r="J790" s="37"/>
    </row>
    <row r="791" spans="1:10" x14ac:dyDescent="0.25">
      <c r="A791" s="32" t="s">
        <v>104</v>
      </c>
      <c r="B791" s="32">
        <f t="shared" si="193"/>
        <v>2052</v>
      </c>
      <c r="C791" s="33" t="s">
        <v>8</v>
      </c>
      <c r="D791" s="34" t="s">
        <v>1999</v>
      </c>
      <c r="E791" s="35" t="str">
        <f t="shared" si="191"/>
        <v>PSND'!</v>
      </c>
      <c r="F791" s="34" t="str">
        <f t="shared" si="192"/>
        <v>C:\Users\jaime.benazar\Quorum Business Solutions\Ecopetrol Prometeo - Documents\Planning Space Implementation\3. Analysis &amp; Design\Design\FC22\DRR Jaime\QUIFA-CAJÚA\Cajua\[CAJUA_CF_SEC_New_27-Feb-2024Rev3.xlsx]D-PSND'!</v>
      </c>
      <c r="G791" s="32" t="s">
        <v>37</v>
      </c>
      <c r="H791" s="33"/>
      <c r="I791" s="33"/>
      <c r="J791" s="37"/>
    </row>
    <row r="792" spans="1:10" x14ac:dyDescent="0.25">
      <c r="A792" s="32" t="s">
        <v>104</v>
      </c>
      <c r="B792" s="32">
        <f t="shared" si="193"/>
        <v>2053</v>
      </c>
      <c r="C792" s="33" t="s">
        <v>8</v>
      </c>
      <c r="D792" s="34" t="s">
        <v>1999</v>
      </c>
      <c r="E792" s="35" t="str">
        <f t="shared" si="191"/>
        <v>PSND'!</v>
      </c>
      <c r="F792" s="34" t="str">
        <f t="shared" si="192"/>
        <v>C:\Users\jaime.benazar\Quorum Business Solutions\Ecopetrol Prometeo - Documents\Planning Space Implementation\3. Analysis &amp; Design\Design\FC22\DRR Jaime\QUIFA-CAJÚA\Cajua\[CAJUA_CF_SEC_New_27-Feb-2024Rev3.xlsx]D-PSND'!</v>
      </c>
      <c r="G792" s="32" t="s">
        <v>37</v>
      </c>
      <c r="H792" s="33"/>
      <c r="I792" s="33"/>
      <c r="J792" s="37"/>
    </row>
    <row r="793" spans="1:10" x14ac:dyDescent="0.25">
      <c r="A793" s="32" t="s">
        <v>104</v>
      </c>
      <c r="B793" s="32">
        <f t="shared" si="193"/>
        <v>2054</v>
      </c>
      <c r="C793" s="33" t="s">
        <v>8</v>
      </c>
      <c r="D793" s="34" t="s">
        <v>1999</v>
      </c>
      <c r="E793" s="35" t="str">
        <f t="shared" si="191"/>
        <v>PSND'!</v>
      </c>
      <c r="F793" s="34" t="str">
        <f t="shared" si="192"/>
        <v>C:\Users\jaime.benazar\Quorum Business Solutions\Ecopetrol Prometeo - Documents\Planning Space Implementation\3. Analysis &amp; Design\Design\FC22\DRR Jaime\QUIFA-CAJÚA\Cajua\[CAJUA_CF_SEC_New_27-Feb-2024Rev3.xlsx]D-PSND'!</v>
      </c>
      <c r="G793" s="32" t="s">
        <v>37</v>
      </c>
      <c r="H793" s="33"/>
      <c r="I793" s="33"/>
      <c r="J793" s="37"/>
    </row>
    <row r="794" spans="1:10" x14ac:dyDescent="0.25">
      <c r="A794" s="32" t="s">
        <v>104</v>
      </c>
      <c r="B794" s="32">
        <f t="shared" si="193"/>
        <v>2055</v>
      </c>
      <c r="C794" s="33" t="s">
        <v>8</v>
      </c>
      <c r="D794" s="34" t="s">
        <v>1999</v>
      </c>
      <c r="E794" s="35" t="str">
        <f t="shared" si="191"/>
        <v>PSND'!</v>
      </c>
      <c r="F794" s="34" t="str">
        <f t="shared" si="192"/>
        <v>C:\Users\jaime.benazar\Quorum Business Solutions\Ecopetrol Prometeo - Documents\Planning Space Implementation\3. Analysis &amp; Design\Design\FC22\DRR Jaime\QUIFA-CAJÚA\Cajua\[CAJUA_CF_SEC_New_27-Feb-2024Rev3.xlsx]D-PSND'!</v>
      </c>
      <c r="G794" s="32" t="s">
        <v>37</v>
      </c>
      <c r="H794" s="33"/>
      <c r="I794" s="33"/>
      <c r="J794" s="37"/>
    </row>
    <row r="795" spans="1:10" x14ac:dyDescent="0.25">
      <c r="A795" s="32" t="s">
        <v>104</v>
      </c>
      <c r="B795" s="32">
        <f t="shared" si="193"/>
        <v>2056</v>
      </c>
      <c r="C795" s="33" t="s">
        <v>8</v>
      </c>
      <c r="D795" s="34" t="s">
        <v>1999</v>
      </c>
      <c r="E795" s="35" t="str">
        <f t="shared" si="191"/>
        <v>PSND'!</v>
      </c>
      <c r="F795" s="34" t="str">
        <f t="shared" si="192"/>
        <v>C:\Users\jaime.benazar\Quorum Business Solutions\Ecopetrol Prometeo - Documents\Planning Space Implementation\3. Analysis &amp; Design\Design\FC22\DRR Jaime\QUIFA-CAJÚA\Cajua\[CAJUA_CF_SEC_New_27-Feb-2024Rev3.xlsx]D-PSND'!</v>
      </c>
      <c r="G795" s="32" t="s">
        <v>37</v>
      </c>
      <c r="H795" s="33"/>
      <c r="I795" s="33"/>
      <c r="J795" s="37"/>
    </row>
    <row r="796" spans="1:10" x14ac:dyDescent="0.25">
      <c r="A796" s="32" t="s">
        <v>104</v>
      </c>
      <c r="B796" s="32">
        <f t="shared" si="193"/>
        <v>2057</v>
      </c>
      <c r="C796" s="33" t="s">
        <v>8</v>
      </c>
      <c r="D796" s="34" t="s">
        <v>1999</v>
      </c>
      <c r="E796" s="35" t="str">
        <f t="shared" si="191"/>
        <v>PSND'!</v>
      </c>
      <c r="F796" s="34" t="str">
        <f t="shared" si="192"/>
        <v>C:\Users\jaime.benazar\Quorum Business Solutions\Ecopetrol Prometeo - Documents\Planning Space Implementation\3. Analysis &amp; Design\Design\FC22\DRR Jaime\QUIFA-CAJÚA\Cajua\[CAJUA_CF_SEC_New_27-Feb-2024Rev3.xlsx]D-PSND'!</v>
      </c>
      <c r="G796" s="32" t="s">
        <v>37</v>
      </c>
      <c r="H796" s="33"/>
      <c r="I796" s="33"/>
      <c r="J796" s="37"/>
    </row>
    <row r="797" spans="1:10" x14ac:dyDescent="0.25">
      <c r="A797" s="32" t="s">
        <v>104</v>
      </c>
      <c r="B797" s="32">
        <f t="shared" si="193"/>
        <v>2058</v>
      </c>
      <c r="C797" s="33" t="s">
        <v>8</v>
      </c>
      <c r="D797" s="34" t="s">
        <v>1999</v>
      </c>
      <c r="E797" s="35" t="str">
        <f t="shared" si="191"/>
        <v>PSND'!</v>
      </c>
      <c r="F797" s="34" t="str">
        <f t="shared" si="192"/>
        <v>C:\Users\jaime.benazar\Quorum Business Solutions\Ecopetrol Prometeo - Documents\Planning Space Implementation\3. Analysis &amp; Design\Design\FC22\DRR Jaime\QUIFA-CAJÚA\Cajua\[CAJUA_CF_SEC_New_27-Feb-2024Rev3.xlsx]D-PSND'!</v>
      </c>
      <c r="G797" s="32" t="s">
        <v>37</v>
      </c>
      <c r="H797" s="33"/>
      <c r="I797" s="33"/>
      <c r="J797" s="37"/>
    </row>
    <row r="798" spans="1:10" x14ac:dyDescent="0.25">
      <c r="A798" s="32" t="s">
        <v>104</v>
      </c>
      <c r="B798" s="32">
        <f t="shared" si="193"/>
        <v>2059</v>
      </c>
      <c r="C798" s="33" t="s">
        <v>8</v>
      </c>
      <c r="D798" s="34" t="s">
        <v>1999</v>
      </c>
      <c r="E798" s="35" t="str">
        <f t="shared" si="191"/>
        <v>PSND'!</v>
      </c>
      <c r="F798" s="34" t="str">
        <f t="shared" si="192"/>
        <v>C:\Users\jaime.benazar\Quorum Business Solutions\Ecopetrol Prometeo - Documents\Planning Space Implementation\3. Analysis &amp; Design\Design\FC22\DRR Jaime\QUIFA-CAJÚA\Cajua\[CAJUA_CF_SEC_New_27-Feb-2024Rev3.xlsx]D-PSND'!</v>
      </c>
      <c r="G798" s="32" t="s">
        <v>37</v>
      </c>
      <c r="H798" s="33"/>
      <c r="I798" s="33"/>
      <c r="J798" s="37"/>
    </row>
    <row r="799" spans="1:10" x14ac:dyDescent="0.25">
      <c r="A799" s="32" t="s">
        <v>28</v>
      </c>
      <c r="B799" s="32"/>
      <c r="C799" s="33" t="s">
        <v>8</v>
      </c>
      <c r="D799" s="34"/>
      <c r="E799" s="35"/>
      <c r="F799" s="34"/>
      <c r="G799" s="32"/>
      <c r="H799" s="33"/>
      <c r="I799" s="33"/>
      <c r="J799" s="33"/>
    </row>
    <row r="800" spans="1:10" x14ac:dyDescent="0.25">
      <c r="A800" s="32" t="s">
        <v>34</v>
      </c>
      <c r="B800" s="32">
        <v>2023</v>
      </c>
      <c r="C800" s="33" t="s">
        <v>8</v>
      </c>
      <c r="D800" s="34" t="s">
        <v>1999</v>
      </c>
      <c r="E800" s="35" t="str">
        <f t="shared" si="129"/>
        <v>PS'!</v>
      </c>
      <c r="F800" s="34" t="str">
        <f t="shared" si="130"/>
        <v>C:\Users\jaime.benazar\Quorum Business Solutions\Ecopetrol Prometeo - Documents\Planning Space Implementation\3. Analysis &amp; Design\Design\FC22\DRR Jaime\QUIFA-CAJÚA\Cajua\[CAJUA_CF_SEC_New_27-Feb-2024Rev3.xlsx]D-PS'!</v>
      </c>
      <c r="G800" s="32" t="s">
        <v>37</v>
      </c>
      <c r="H800" s="33">
        <v>12</v>
      </c>
      <c r="I800" s="33" t="str">
        <f t="shared" si="131"/>
        <v>='C:\Users\jaime.benazar\Quorum Business Solutions\Ecopetrol Prometeo - Documents\Planning Space Implementation\3. Analysis &amp; Design\Design\FC22\DRR Jaime\QUIFA-CAJÚA\Cajua\[CAJUA_CF_SEC_New_27-Feb-2024Rev3.xlsx]D-PS'!$BW$12</v>
      </c>
      <c r="J800" s="37" t="s">
        <v>2333</v>
      </c>
    </row>
    <row r="801" spans="1:10" x14ac:dyDescent="0.25">
      <c r="A801" s="32" t="s">
        <v>34</v>
      </c>
      <c r="B801" s="32">
        <f>+B800+1</f>
        <v>2024</v>
      </c>
      <c r="C801" s="33" t="s">
        <v>8</v>
      </c>
      <c r="D801" s="34" t="s">
        <v>1999</v>
      </c>
      <c r="E801" s="35" t="str">
        <f t="shared" si="129"/>
        <v>PS'!</v>
      </c>
      <c r="F801" s="34" t="str">
        <f t="shared" si="130"/>
        <v>C:\Users\jaime.benazar\Quorum Business Solutions\Ecopetrol Prometeo - Documents\Planning Space Implementation\3. Analysis &amp; Design\Design\FC22\DRR Jaime\QUIFA-CAJÚA\Cajua\[CAJUA_CF_SEC_New_27-Feb-2024Rev3.xlsx]D-PS'!</v>
      </c>
      <c r="G801" s="32" t="s">
        <v>37</v>
      </c>
      <c r="H801" s="33">
        <f>IF(A801&lt;&gt;A800,12,H800+1)</f>
        <v>13</v>
      </c>
      <c r="I801" s="33" t="str">
        <f t="shared" si="131"/>
        <v>='C:\Users\jaime.benazar\Quorum Business Solutions\Ecopetrol Prometeo - Documents\Planning Space Implementation\3. Analysis &amp; Design\Design\FC22\DRR Jaime\QUIFA-CAJÚA\Cajua\[CAJUA_CF_SEC_New_27-Feb-2024Rev3.xlsx]D-PS'!$BW$13</v>
      </c>
      <c r="J801" s="37" t="s">
        <v>2334</v>
      </c>
    </row>
    <row r="802" spans="1:10" x14ac:dyDescent="0.25">
      <c r="A802" s="32" t="s">
        <v>34</v>
      </c>
      <c r="B802" s="32">
        <f t="shared" ref="B802:B813" si="194">+B801+1</f>
        <v>2025</v>
      </c>
      <c r="C802" s="33" t="s">
        <v>8</v>
      </c>
      <c r="D802" s="34" t="s">
        <v>1999</v>
      </c>
      <c r="E802" s="35" t="str">
        <f t="shared" si="129"/>
        <v>PS'!</v>
      </c>
      <c r="F802" s="34" t="str">
        <f t="shared" si="130"/>
        <v>C:\Users\jaime.benazar\Quorum Business Solutions\Ecopetrol Prometeo - Documents\Planning Space Implementation\3. Analysis &amp; Design\Design\FC22\DRR Jaime\QUIFA-CAJÚA\Cajua\[CAJUA_CF_SEC_New_27-Feb-2024Rev3.xlsx]D-PS'!</v>
      </c>
      <c r="G802" s="32" t="s">
        <v>37</v>
      </c>
      <c r="H802" s="33">
        <f t="shared" ref="H802:H820" si="195">IF(A802&lt;&gt;A801,12,H801+1)</f>
        <v>14</v>
      </c>
      <c r="I802" s="33" t="str">
        <f t="shared" si="131"/>
        <v>='C:\Users\jaime.benazar\Quorum Business Solutions\Ecopetrol Prometeo - Documents\Planning Space Implementation\3. Analysis &amp; Design\Design\FC22\DRR Jaime\QUIFA-CAJÚA\Cajua\[CAJUA_CF_SEC_New_27-Feb-2024Rev3.xlsx]D-PS'!$BW$14</v>
      </c>
      <c r="J802" s="37" t="s">
        <v>2335</v>
      </c>
    </row>
    <row r="803" spans="1:10" x14ac:dyDescent="0.25">
      <c r="A803" s="32" t="s">
        <v>34</v>
      </c>
      <c r="B803" s="32">
        <f t="shared" si="194"/>
        <v>2026</v>
      </c>
      <c r="C803" s="33" t="s">
        <v>8</v>
      </c>
      <c r="D803" s="34" t="s">
        <v>1999</v>
      </c>
      <c r="E803" s="35" t="str">
        <f t="shared" si="129"/>
        <v>PS'!</v>
      </c>
      <c r="F803" s="34" t="str">
        <f t="shared" si="130"/>
        <v>C:\Users\jaime.benazar\Quorum Business Solutions\Ecopetrol Prometeo - Documents\Planning Space Implementation\3. Analysis &amp; Design\Design\FC22\DRR Jaime\QUIFA-CAJÚA\Cajua\[CAJUA_CF_SEC_New_27-Feb-2024Rev3.xlsx]D-PS'!</v>
      </c>
      <c r="G803" s="32" t="s">
        <v>37</v>
      </c>
      <c r="H803" s="33">
        <f t="shared" si="195"/>
        <v>15</v>
      </c>
      <c r="I803" s="33" t="str">
        <f t="shared" si="131"/>
        <v>='C:\Users\jaime.benazar\Quorum Business Solutions\Ecopetrol Prometeo - Documents\Planning Space Implementation\3. Analysis &amp; Design\Design\FC22\DRR Jaime\QUIFA-CAJÚA\Cajua\[CAJUA_CF_SEC_New_27-Feb-2024Rev3.xlsx]D-PS'!$BW$15</v>
      </c>
      <c r="J803" s="37" t="s">
        <v>2336</v>
      </c>
    </row>
    <row r="804" spans="1:10" x14ac:dyDescent="0.25">
      <c r="A804" s="32" t="s">
        <v>34</v>
      </c>
      <c r="B804" s="32">
        <f t="shared" si="194"/>
        <v>2027</v>
      </c>
      <c r="C804" s="33" t="s">
        <v>8</v>
      </c>
      <c r="D804" s="34" t="s">
        <v>1999</v>
      </c>
      <c r="E804" s="35" t="str">
        <f t="shared" si="129"/>
        <v>PS'!</v>
      </c>
      <c r="F804" s="34" t="str">
        <f t="shared" si="130"/>
        <v>C:\Users\jaime.benazar\Quorum Business Solutions\Ecopetrol Prometeo - Documents\Planning Space Implementation\3. Analysis &amp; Design\Design\FC22\DRR Jaime\QUIFA-CAJÚA\Cajua\[CAJUA_CF_SEC_New_27-Feb-2024Rev3.xlsx]D-PS'!</v>
      </c>
      <c r="G804" s="32" t="s">
        <v>37</v>
      </c>
      <c r="H804" s="33">
        <f t="shared" si="195"/>
        <v>16</v>
      </c>
      <c r="I804" s="33" t="str">
        <f t="shared" si="131"/>
        <v>='C:\Users\jaime.benazar\Quorum Business Solutions\Ecopetrol Prometeo - Documents\Planning Space Implementation\3. Analysis &amp; Design\Design\FC22\DRR Jaime\QUIFA-CAJÚA\Cajua\[CAJUA_CF_SEC_New_27-Feb-2024Rev3.xlsx]D-PS'!$BW$16</v>
      </c>
      <c r="J804" s="37" t="s">
        <v>2337</v>
      </c>
    </row>
    <row r="805" spans="1:10" x14ac:dyDescent="0.25">
      <c r="A805" s="32" t="s">
        <v>34</v>
      </c>
      <c r="B805" s="32">
        <f t="shared" si="194"/>
        <v>2028</v>
      </c>
      <c r="C805" s="33" t="s">
        <v>8</v>
      </c>
      <c r="D805" s="34" t="s">
        <v>1999</v>
      </c>
      <c r="E805" s="35" t="str">
        <f t="shared" si="129"/>
        <v>PS'!</v>
      </c>
      <c r="F805" s="34" t="str">
        <f t="shared" si="130"/>
        <v>C:\Users\jaime.benazar\Quorum Business Solutions\Ecopetrol Prometeo - Documents\Planning Space Implementation\3. Analysis &amp; Design\Design\FC22\DRR Jaime\QUIFA-CAJÚA\Cajua\[CAJUA_CF_SEC_New_27-Feb-2024Rev3.xlsx]D-PS'!</v>
      </c>
      <c r="G805" s="32" t="s">
        <v>37</v>
      </c>
      <c r="H805" s="33">
        <f t="shared" si="195"/>
        <v>17</v>
      </c>
      <c r="I805" s="33" t="str">
        <f t="shared" si="131"/>
        <v>='C:\Users\jaime.benazar\Quorum Business Solutions\Ecopetrol Prometeo - Documents\Planning Space Implementation\3. Analysis &amp; Design\Design\FC22\DRR Jaime\QUIFA-CAJÚA\Cajua\[CAJUA_CF_SEC_New_27-Feb-2024Rev3.xlsx]D-PS'!$BW$17</v>
      </c>
      <c r="J805" s="37" t="s">
        <v>2338</v>
      </c>
    </row>
    <row r="806" spans="1:10" x14ac:dyDescent="0.25">
      <c r="A806" s="32" t="s">
        <v>34</v>
      </c>
      <c r="B806" s="32">
        <f t="shared" si="194"/>
        <v>2029</v>
      </c>
      <c r="C806" s="33" t="s">
        <v>8</v>
      </c>
      <c r="D806" s="34" t="s">
        <v>1999</v>
      </c>
      <c r="E806" s="35" t="str">
        <f t="shared" si="129"/>
        <v>PS'!</v>
      </c>
      <c r="F806" s="34" t="str">
        <f t="shared" si="130"/>
        <v>C:\Users\jaime.benazar\Quorum Business Solutions\Ecopetrol Prometeo - Documents\Planning Space Implementation\3. Analysis &amp; Design\Design\FC22\DRR Jaime\QUIFA-CAJÚA\Cajua\[CAJUA_CF_SEC_New_27-Feb-2024Rev3.xlsx]D-PS'!</v>
      </c>
      <c r="G806" s="32" t="s">
        <v>37</v>
      </c>
      <c r="H806" s="33">
        <f t="shared" si="195"/>
        <v>18</v>
      </c>
      <c r="I806" s="33" t="str">
        <f t="shared" si="131"/>
        <v>='C:\Users\jaime.benazar\Quorum Business Solutions\Ecopetrol Prometeo - Documents\Planning Space Implementation\3. Analysis &amp; Design\Design\FC22\DRR Jaime\QUIFA-CAJÚA\Cajua\[CAJUA_CF_SEC_New_27-Feb-2024Rev3.xlsx]D-PS'!$BW$18</v>
      </c>
      <c r="J806" s="37" t="s">
        <v>2339</v>
      </c>
    </row>
    <row r="807" spans="1:10" x14ac:dyDescent="0.25">
      <c r="A807" s="32" t="s">
        <v>34</v>
      </c>
      <c r="B807" s="32">
        <f t="shared" si="194"/>
        <v>2030</v>
      </c>
      <c r="C807" s="33" t="s">
        <v>8</v>
      </c>
      <c r="D807" s="34" t="s">
        <v>1999</v>
      </c>
      <c r="E807" s="35" t="str">
        <f t="shared" si="129"/>
        <v>PS'!</v>
      </c>
      <c r="F807" s="34" t="str">
        <f t="shared" si="130"/>
        <v>C:\Users\jaime.benazar\Quorum Business Solutions\Ecopetrol Prometeo - Documents\Planning Space Implementation\3. Analysis &amp; Design\Design\FC22\DRR Jaime\QUIFA-CAJÚA\Cajua\[CAJUA_CF_SEC_New_27-Feb-2024Rev3.xlsx]D-PS'!</v>
      </c>
      <c r="G807" s="32" t="s">
        <v>37</v>
      </c>
      <c r="H807" s="33">
        <f t="shared" si="195"/>
        <v>19</v>
      </c>
      <c r="I807" s="33" t="str">
        <f t="shared" si="131"/>
        <v>='C:\Users\jaime.benazar\Quorum Business Solutions\Ecopetrol Prometeo - Documents\Planning Space Implementation\3. Analysis &amp; Design\Design\FC22\DRR Jaime\QUIFA-CAJÚA\Cajua\[CAJUA_CF_SEC_New_27-Feb-2024Rev3.xlsx]D-PS'!$BW$19</v>
      </c>
      <c r="J807" s="37" t="s">
        <v>2340</v>
      </c>
    </row>
    <row r="808" spans="1:10" x14ac:dyDescent="0.25">
      <c r="A808" s="32" t="s">
        <v>34</v>
      </c>
      <c r="B808" s="32">
        <f t="shared" si="194"/>
        <v>2031</v>
      </c>
      <c r="C808" s="33" t="s">
        <v>8</v>
      </c>
      <c r="D808" s="34" t="s">
        <v>1999</v>
      </c>
      <c r="E808" s="35" t="str">
        <f t="shared" si="129"/>
        <v>PS'!</v>
      </c>
      <c r="F808" s="34" t="str">
        <f t="shared" si="130"/>
        <v>C:\Users\jaime.benazar\Quorum Business Solutions\Ecopetrol Prometeo - Documents\Planning Space Implementation\3. Analysis &amp; Design\Design\FC22\DRR Jaime\QUIFA-CAJÚA\Cajua\[CAJUA_CF_SEC_New_27-Feb-2024Rev3.xlsx]D-PS'!</v>
      </c>
      <c r="G808" s="32" t="s">
        <v>37</v>
      </c>
      <c r="H808" s="33">
        <f t="shared" si="195"/>
        <v>20</v>
      </c>
      <c r="I808" s="33" t="str">
        <f t="shared" si="131"/>
        <v>='C:\Users\jaime.benazar\Quorum Business Solutions\Ecopetrol Prometeo - Documents\Planning Space Implementation\3. Analysis &amp; Design\Design\FC22\DRR Jaime\QUIFA-CAJÚA\Cajua\[CAJUA_CF_SEC_New_27-Feb-2024Rev3.xlsx]D-PS'!$BW$20</v>
      </c>
      <c r="J808" s="37" t="s">
        <v>2341</v>
      </c>
    </row>
    <row r="809" spans="1:10" x14ac:dyDescent="0.25">
      <c r="A809" s="32" t="s">
        <v>34</v>
      </c>
      <c r="B809" s="32">
        <f t="shared" si="194"/>
        <v>2032</v>
      </c>
      <c r="C809" s="33" t="s">
        <v>8</v>
      </c>
      <c r="D809" s="34" t="s">
        <v>1999</v>
      </c>
      <c r="E809" s="35" t="str">
        <f t="shared" si="129"/>
        <v>PS'!</v>
      </c>
      <c r="F809" s="34" t="str">
        <f t="shared" si="130"/>
        <v>C:\Users\jaime.benazar\Quorum Business Solutions\Ecopetrol Prometeo - Documents\Planning Space Implementation\3. Analysis &amp; Design\Design\FC22\DRR Jaime\QUIFA-CAJÚA\Cajua\[CAJUA_CF_SEC_New_27-Feb-2024Rev3.xlsx]D-PS'!</v>
      </c>
      <c r="G809" s="32" t="s">
        <v>37</v>
      </c>
      <c r="H809" s="33">
        <f t="shared" si="195"/>
        <v>21</v>
      </c>
      <c r="I809" s="33" t="str">
        <f t="shared" si="131"/>
        <v>='C:\Users\jaime.benazar\Quorum Business Solutions\Ecopetrol Prometeo - Documents\Planning Space Implementation\3. Analysis &amp; Design\Design\FC22\DRR Jaime\QUIFA-CAJÚA\Cajua\[CAJUA_CF_SEC_New_27-Feb-2024Rev3.xlsx]D-PS'!$BW$21</v>
      </c>
      <c r="J809" s="37" t="s">
        <v>2342</v>
      </c>
    </row>
    <row r="810" spans="1:10" x14ac:dyDescent="0.25">
      <c r="A810" s="32" t="s">
        <v>34</v>
      </c>
      <c r="B810" s="32">
        <f t="shared" si="194"/>
        <v>2033</v>
      </c>
      <c r="C810" s="33" t="s">
        <v>8</v>
      </c>
      <c r="D810" s="34" t="s">
        <v>1999</v>
      </c>
      <c r="E810" s="35" t="str">
        <f t="shared" si="129"/>
        <v>PS'!</v>
      </c>
      <c r="F810" s="34" t="str">
        <f t="shared" si="130"/>
        <v>C:\Users\jaime.benazar\Quorum Business Solutions\Ecopetrol Prometeo - Documents\Planning Space Implementation\3. Analysis &amp; Design\Design\FC22\DRR Jaime\QUIFA-CAJÚA\Cajua\[CAJUA_CF_SEC_New_27-Feb-2024Rev3.xlsx]D-PS'!</v>
      </c>
      <c r="G810" s="32" t="s">
        <v>37</v>
      </c>
      <c r="H810" s="33">
        <f t="shared" si="195"/>
        <v>22</v>
      </c>
      <c r="I810" s="33" t="str">
        <f t="shared" si="131"/>
        <v>='C:\Users\jaime.benazar\Quorum Business Solutions\Ecopetrol Prometeo - Documents\Planning Space Implementation\3. Analysis &amp; Design\Design\FC22\DRR Jaime\QUIFA-CAJÚA\Cajua\[CAJUA_CF_SEC_New_27-Feb-2024Rev3.xlsx]D-PS'!$BW$22</v>
      </c>
      <c r="J810" s="37" t="s">
        <v>2343</v>
      </c>
    </row>
    <row r="811" spans="1:10" x14ac:dyDescent="0.25">
      <c r="A811" s="32" t="s">
        <v>34</v>
      </c>
      <c r="B811" s="32">
        <f t="shared" si="194"/>
        <v>2034</v>
      </c>
      <c r="C811" s="33" t="s">
        <v>8</v>
      </c>
      <c r="D811" s="34" t="s">
        <v>1999</v>
      </c>
      <c r="E811" s="35" t="str">
        <f t="shared" si="129"/>
        <v>PS'!</v>
      </c>
      <c r="F811" s="34" t="str">
        <f t="shared" si="130"/>
        <v>C:\Users\jaime.benazar\Quorum Business Solutions\Ecopetrol Prometeo - Documents\Planning Space Implementation\3. Analysis &amp; Design\Design\FC22\DRR Jaime\QUIFA-CAJÚA\Cajua\[CAJUA_CF_SEC_New_27-Feb-2024Rev3.xlsx]D-PS'!</v>
      </c>
      <c r="G811" s="32" t="s">
        <v>37</v>
      </c>
      <c r="H811" s="33">
        <f t="shared" si="195"/>
        <v>23</v>
      </c>
      <c r="I811" s="33" t="str">
        <f t="shared" si="131"/>
        <v>='C:\Users\jaime.benazar\Quorum Business Solutions\Ecopetrol Prometeo - Documents\Planning Space Implementation\3. Analysis &amp; Design\Design\FC22\DRR Jaime\QUIFA-CAJÚA\Cajua\[CAJUA_CF_SEC_New_27-Feb-2024Rev3.xlsx]D-PS'!$BW$23</v>
      </c>
      <c r="J811" s="37" t="s">
        <v>2344</v>
      </c>
    </row>
    <row r="812" spans="1:10" x14ac:dyDescent="0.25">
      <c r="A812" s="32" t="s">
        <v>34</v>
      </c>
      <c r="B812" s="32">
        <f t="shared" si="194"/>
        <v>2035</v>
      </c>
      <c r="C812" s="33" t="s">
        <v>8</v>
      </c>
      <c r="D812" s="34" t="s">
        <v>1999</v>
      </c>
      <c r="E812" s="35" t="str">
        <f t="shared" si="129"/>
        <v>PS'!</v>
      </c>
      <c r="F812" s="34" t="str">
        <f t="shared" si="130"/>
        <v>C:\Users\jaime.benazar\Quorum Business Solutions\Ecopetrol Prometeo - Documents\Planning Space Implementation\3. Analysis &amp; Design\Design\FC22\DRR Jaime\QUIFA-CAJÚA\Cajua\[CAJUA_CF_SEC_New_27-Feb-2024Rev3.xlsx]D-PS'!</v>
      </c>
      <c r="G812" s="32" t="s">
        <v>37</v>
      </c>
      <c r="H812" s="33">
        <f t="shared" si="195"/>
        <v>24</v>
      </c>
      <c r="I812" s="33" t="str">
        <f t="shared" si="131"/>
        <v>='C:\Users\jaime.benazar\Quorum Business Solutions\Ecopetrol Prometeo - Documents\Planning Space Implementation\3. Analysis &amp; Design\Design\FC22\DRR Jaime\QUIFA-CAJÚA\Cajua\[CAJUA_CF_SEC_New_27-Feb-2024Rev3.xlsx]D-PS'!$BW$24</v>
      </c>
      <c r="J812" s="37" t="s">
        <v>2345</v>
      </c>
    </row>
    <row r="813" spans="1:10" x14ac:dyDescent="0.25">
      <c r="A813" s="32" t="s">
        <v>34</v>
      </c>
      <c r="B813" s="32">
        <f t="shared" si="194"/>
        <v>2036</v>
      </c>
      <c r="C813" s="33" t="s">
        <v>8</v>
      </c>
      <c r="D813" s="34" t="s">
        <v>1999</v>
      </c>
      <c r="E813" s="35" t="str">
        <f t="shared" si="129"/>
        <v>PS'!</v>
      </c>
      <c r="F813" s="34" t="str">
        <f t="shared" si="130"/>
        <v>C:\Users\jaime.benazar\Quorum Business Solutions\Ecopetrol Prometeo - Documents\Planning Space Implementation\3. Analysis &amp; Design\Design\FC22\DRR Jaime\QUIFA-CAJÚA\Cajua\[CAJUA_CF_SEC_New_27-Feb-2024Rev3.xlsx]D-PS'!</v>
      </c>
      <c r="G813" s="32" t="s">
        <v>37</v>
      </c>
      <c r="H813" s="33">
        <f t="shared" si="195"/>
        <v>25</v>
      </c>
      <c r="I813" s="33" t="str">
        <f t="shared" si="131"/>
        <v>='C:\Users\jaime.benazar\Quorum Business Solutions\Ecopetrol Prometeo - Documents\Planning Space Implementation\3. Analysis &amp; Design\Design\FC22\DRR Jaime\QUIFA-CAJÚA\Cajua\[CAJUA_CF_SEC_New_27-Feb-2024Rev3.xlsx]D-PS'!$BW$25</v>
      </c>
      <c r="J813" s="37" t="s">
        <v>2346</v>
      </c>
    </row>
    <row r="814" spans="1:10" x14ac:dyDescent="0.25">
      <c r="A814" s="32" t="s">
        <v>34</v>
      </c>
      <c r="B814" s="32">
        <f>+B813+1</f>
        <v>2037</v>
      </c>
      <c r="C814" s="33" t="s">
        <v>8</v>
      </c>
      <c r="D814" s="34" t="s">
        <v>1999</v>
      </c>
      <c r="E814" s="35" t="str">
        <f t="shared" si="129"/>
        <v>PS'!</v>
      </c>
      <c r="F814" s="34" t="str">
        <f t="shared" si="130"/>
        <v>C:\Users\jaime.benazar\Quorum Business Solutions\Ecopetrol Prometeo - Documents\Planning Space Implementation\3. Analysis &amp; Design\Design\FC22\DRR Jaime\QUIFA-CAJÚA\Cajua\[CAJUA_CF_SEC_New_27-Feb-2024Rev3.xlsx]D-PS'!</v>
      </c>
      <c r="G814" s="32" t="s">
        <v>37</v>
      </c>
      <c r="H814" s="33">
        <f t="shared" si="195"/>
        <v>26</v>
      </c>
      <c r="I814" s="33" t="str">
        <f t="shared" si="131"/>
        <v>='C:\Users\jaime.benazar\Quorum Business Solutions\Ecopetrol Prometeo - Documents\Planning Space Implementation\3. Analysis &amp; Design\Design\FC22\DRR Jaime\QUIFA-CAJÚA\Cajua\[CAJUA_CF_SEC_New_27-Feb-2024Rev3.xlsx]D-PS'!$BW$26</v>
      </c>
      <c r="J814" s="37" t="s">
        <v>2347</v>
      </c>
    </row>
    <row r="815" spans="1:10" x14ac:dyDescent="0.25">
      <c r="A815" s="32" t="s">
        <v>34</v>
      </c>
      <c r="B815" s="32">
        <f t="shared" ref="B815:B817" si="196">+B814+1</f>
        <v>2038</v>
      </c>
      <c r="C815" s="33" t="s">
        <v>8</v>
      </c>
      <c r="D815" s="34" t="s">
        <v>1999</v>
      </c>
      <c r="E815" s="35" t="str">
        <f t="shared" si="129"/>
        <v>PS'!</v>
      </c>
      <c r="F815" s="34" t="str">
        <f t="shared" si="130"/>
        <v>C:\Users\jaime.benazar\Quorum Business Solutions\Ecopetrol Prometeo - Documents\Planning Space Implementation\3. Analysis &amp; Design\Design\FC22\DRR Jaime\QUIFA-CAJÚA\Cajua\[CAJUA_CF_SEC_New_27-Feb-2024Rev3.xlsx]D-PS'!</v>
      </c>
      <c r="G815" s="32" t="s">
        <v>37</v>
      </c>
      <c r="H815" s="33">
        <f t="shared" si="195"/>
        <v>27</v>
      </c>
      <c r="I815" s="33" t="str">
        <f t="shared" si="131"/>
        <v>='C:\Users\jaime.benazar\Quorum Business Solutions\Ecopetrol Prometeo - Documents\Planning Space Implementation\3. Analysis &amp; Design\Design\FC22\DRR Jaime\QUIFA-CAJÚA\Cajua\[CAJUA_CF_SEC_New_27-Feb-2024Rev3.xlsx]D-PS'!$BW$27</v>
      </c>
      <c r="J815" s="37" t="s">
        <v>2348</v>
      </c>
    </row>
    <row r="816" spans="1:10" x14ac:dyDescent="0.25">
      <c r="A816" s="32" t="s">
        <v>34</v>
      </c>
      <c r="B816" s="32">
        <f t="shared" si="196"/>
        <v>2039</v>
      </c>
      <c r="C816" s="33" t="s">
        <v>8</v>
      </c>
      <c r="D816" s="34" t="s">
        <v>1999</v>
      </c>
      <c r="E816" s="35" t="str">
        <f t="shared" si="129"/>
        <v>PS'!</v>
      </c>
      <c r="F816" s="34" t="str">
        <f t="shared" si="130"/>
        <v>C:\Users\jaime.benazar\Quorum Business Solutions\Ecopetrol Prometeo - Documents\Planning Space Implementation\3. Analysis &amp; Design\Design\FC22\DRR Jaime\QUIFA-CAJÚA\Cajua\[CAJUA_CF_SEC_New_27-Feb-2024Rev3.xlsx]D-PS'!</v>
      </c>
      <c r="G816" s="32" t="s">
        <v>37</v>
      </c>
      <c r="H816" s="33">
        <f t="shared" si="195"/>
        <v>28</v>
      </c>
      <c r="I816" s="33" t="str">
        <f t="shared" si="131"/>
        <v>='C:\Users\jaime.benazar\Quorum Business Solutions\Ecopetrol Prometeo - Documents\Planning Space Implementation\3. Analysis &amp; Design\Design\FC22\DRR Jaime\QUIFA-CAJÚA\Cajua\[CAJUA_CF_SEC_New_27-Feb-2024Rev3.xlsx]D-PS'!$BW$28</v>
      </c>
      <c r="J816" s="37" t="s">
        <v>2349</v>
      </c>
    </row>
    <row r="817" spans="1:10" x14ac:dyDescent="0.25">
      <c r="A817" s="32" t="s">
        <v>34</v>
      </c>
      <c r="B817" s="32">
        <f t="shared" si="196"/>
        <v>2040</v>
      </c>
      <c r="C817" s="33" t="s">
        <v>8</v>
      </c>
      <c r="D817" s="34" t="s">
        <v>1999</v>
      </c>
      <c r="E817" s="35" t="str">
        <f t="shared" si="129"/>
        <v>PS'!</v>
      </c>
      <c r="F817" s="34" t="str">
        <f t="shared" si="130"/>
        <v>C:\Users\jaime.benazar\Quorum Business Solutions\Ecopetrol Prometeo - Documents\Planning Space Implementation\3. Analysis &amp; Design\Design\FC22\DRR Jaime\QUIFA-CAJÚA\Cajua\[CAJUA_CF_SEC_New_27-Feb-2024Rev3.xlsx]D-PS'!</v>
      </c>
      <c r="G817" s="32" t="s">
        <v>37</v>
      </c>
      <c r="H817" s="33">
        <f t="shared" si="195"/>
        <v>29</v>
      </c>
      <c r="I817" s="33" t="str">
        <f t="shared" si="131"/>
        <v>='C:\Users\jaime.benazar\Quorum Business Solutions\Ecopetrol Prometeo - Documents\Planning Space Implementation\3. Analysis &amp; Design\Design\FC22\DRR Jaime\QUIFA-CAJÚA\Cajua\[CAJUA_CF_SEC_New_27-Feb-2024Rev3.xlsx]D-PS'!$BW$29</v>
      </c>
      <c r="J817" s="37" t="s">
        <v>2350</v>
      </c>
    </row>
    <row r="818" spans="1:10" x14ac:dyDescent="0.25">
      <c r="A818" s="32" t="s">
        <v>34</v>
      </c>
      <c r="B818" s="32">
        <f>+B817+1</f>
        <v>2041</v>
      </c>
      <c r="C818" s="33" t="s">
        <v>8</v>
      </c>
      <c r="D818" s="34" t="s">
        <v>1999</v>
      </c>
      <c r="E818" s="35" t="str">
        <f t="shared" si="129"/>
        <v>PS'!</v>
      </c>
      <c r="F818" s="34" t="str">
        <f t="shared" si="130"/>
        <v>C:\Users\jaime.benazar\Quorum Business Solutions\Ecopetrol Prometeo - Documents\Planning Space Implementation\3. Analysis &amp; Design\Design\FC22\DRR Jaime\QUIFA-CAJÚA\Cajua\[CAJUA_CF_SEC_New_27-Feb-2024Rev3.xlsx]D-PS'!</v>
      </c>
      <c r="G818" s="32" t="s">
        <v>37</v>
      </c>
      <c r="H818" s="33">
        <f t="shared" si="195"/>
        <v>30</v>
      </c>
      <c r="I818" s="33" t="str">
        <f t="shared" si="131"/>
        <v>='C:\Users\jaime.benazar\Quorum Business Solutions\Ecopetrol Prometeo - Documents\Planning Space Implementation\3. Analysis &amp; Design\Design\FC22\DRR Jaime\QUIFA-CAJÚA\Cajua\[CAJUA_CF_SEC_New_27-Feb-2024Rev3.xlsx]D-PS'!$BW$30</v>
      </c>
      <c r="J818" s="37" t="s">
        <v>2351</v>
      </c>
    </row>
    <row r="819" spans="1:10" x14ac:dyDescent="0.25">
      <c r="A819" s="32" t="s">
        <v>34</v>
      </c>
      <c r="B819" s="32">
        <f t="shared" ref="B819:B820" si="197">+B818+1</f>
        <v>2042</v>
      </c>
      <c r="C819" s="33" t="s">
        <v>8</v>
      </c>
      <c r="D819" s="34" t="s">
        <v>1999</v>
      </c>
      <c r="E819" s="35" t="str">
        <f t="shared" si="129"/>
        <v>PS'!</v>
      </c>
      <c r="F819" s="34" t="str">
        <f t="shared" si="130"/>
        <v>C:\Users\jaime.benazar\Quorum Business Solutions\Ecopetrol Prometeo - Documents\Planning Space Implementation\3. Analysis &amp; Design\Design\FC22\DRR Jaime\QUIFA-CAJÚA\Cajua\[CAJUA_CF_SEC_New_27-Feb-2024Rev3.xlsx]D-PS'!</v>
      </c>
      <c r="G819" s="32" t="s">
        <v>37</v>
      </c>
      <c r="H819" s="33">
        <f t="shared" si="195"/>
        <v>31</v>
      </c>
      <c r="I819" s="33" t="str">
        <f t="shared" si="131"/>
        <v>='C:\Users\jaime.benazar\Quorum Business Solutions\Ecopetrol Prometeo - Documents\Planning Space Implementation\3. Analysis &amp; Design\Design\FC22\DRR Jaime\QUIFA-CAJÚA\Cajua\[CAJUA_CF_SEC_New_27-Feb-2024Rev3.xlsx]D-PS'!$BW$31</v>
      </c>
      <c r="J819" s="37" t="s">
        <v>2352</v>
      </c>
    </row>
    <row r="820" spans="1:10" x14ac:dyDescent="0.25">
      <c r="A820" s="32" t="s">
        <v>34</v>
      </c>
      <c r="B820" s="32">
        <f t="shared" si="197"/>
        <v>2043</v>
      </c>
      <c r="C820" s="33" t="s">
        <v>8</v>
      </c>
      <c r="D820" s="34" t="s">
        <v>1999</v>
      </c>
      <c r="E820" s="35" t="str">
        <f t="shared" si="129"/>
        <v>PS'!</v>
      </c>
      <c r="F820" s="34" t="str">
        <f t="shared" si="130"/>
        <v>C:\Users\jaime.benazar\Quorum Business Solutions\Ecopetrol Prometeo - Documents\Planning Space Implementation\3. Analysis &amp; Design\Design\FC22\DRR Jaime\QUIFA-CAJÚA\Cajua\[CAJUA_CF_SEC_New_27-Feb-2024Rev3.xlsx]D-PS'!</v>
      </c>
      <c r="G820" s="32" t="s">
        <v>37</v>
      </c>
      <c r="H820" s="33">
        <f t="shared" si="195"/>
        <v>32</v>
      </c>
      <c r="I820" s="33" t="str">
        <f t="shared" si="131"/>
        <v>='C:\Users\jaime.benazar\Quorum Business Solutions\Ecopetrol Prometeo - Documents\Planning Space Implementation\3. Analysis &amp; Design\Design\FC22\DRR Jaime\QUIFA-CAJÚA\Cajua\[CAJUA_CF_SEC_New_27-Feb-2024Rev3.xlsx]D-PS'!$BW$32</v>
      </c>
      <c r="J820" s="37" t="s">
        <v>2353</v>
      </c>
    </row>
    <row r="821" spans="1:10" x14ac:dyDescent="0.25">
      <c r="A821" s="32" t="s">
        <v>34</v>
      </c>
      <c r="B821" s="32">
        <f>+B820+1</f>
        <v>2044</v>
      </c>
      <c r="C821" s="33" t="s">
        <v>8</v>
      </c>
      <c r="D821" s="34" t="s">
        <v>1999</v>
      </c>
      <c r="E821" s="35" t="str">
        <f t="shared" ref="E821:E836" si="198">_xlfn.CONCAT(A821,"'!")</f>
        <v>PS'!</v>
      </c>
      <c r="F821" s="34" t="str">
        <f t="shared" ref="F821:F836" si="199">_xlfn.CONCAT(D821:E821)</f>
        <v>C:\Users\jaime.benazar\Quorum Business Solutions\Ecopetrol Prometeo - Documents\Planning Space Implementation\3. Analysis &amp; Design\Design\FC22\DRR Jaime\QUIFA-CAJÚA\Cajua\[CAJUA_CF_SEC_New_27-Feb-2024Rev3.xlsx]D-PS'!</v>
      </c>
      <c r="G821" s="32" t="s">
        <v>37</v>
      </c>
      <c r="H821" s="33">
        <f t="shared" ref="H821:H836" si="200">IF(A821&lt;&gt;A820,12,H820+1)</f>
        <v>33</v>
      </c>
      <c r="I821" s="33" t="str">
        <f t="shared" ref="I821:I836" si="201">_xlfn.CONCAT("='",F821:H821)</f>
        <v>='C:\Users\jaime.benazar\Quorum Business Solutions\Ecopetrol Prometeo - Documents\Planning Space Implementation\3. Analysis &amp; Design\Design\FC22\DRR Jaime\QUIFA-CAJÚA\Cajua\[CAJUA_CF_SEC_New_27-Feb-2024Rev3.xlsx]D-PS'!$BW$33</v>
      </c>
      <c r="J821" s="37" t="s">
        <v>2354</v>
      </c>
    </row>
    <row r="822" spans="1:10" x14ac:dyDescent="0.25">
      <c r="A822" s="32" t="s">
        <v>34</v>
      </c>
      <c r="B822" s="32">
        <f t="shared" ref="B822:B836" si="202">+B821+1</f>
        <v>2045</v>
      </c>
      <c r="C822" s="33" t="s">
        <v>8</v>
      </c>
      <c r="D822" s="34" t="s">
        <v>1999</v>
      </c>
      <c r="E822" s="35" t="str">
        <f t="shared" si="198"/>
        <v>PS'!</v>
      </c>
      <c r="F822" s="34" t="str">
        <f t="shared" si="199"/>
        <v>C:\Users\jaime.benazar\Quorum Business Solutions\Ecopetrol Prometeo - Documents\Planning Space Implementation\3. Analysis &amp; Design\Design\FC22\DRR Jaime\QUIFA-CAJÚA\Cajua\[CAJUA_CF_SEC_New_27-Feb-2024Rev3.xlsx]D-PS'!</v>
      </c>
      <c r="G822" s="32" t="s">
        <v>37</v>
      </c>
      <c r="H822" s="33">
        <f t="shared" si="200"/>
        <v>34</v>
      </c>
      <c r="I822" s="33" t="str">
        <f t="shared" si="201"/>
        <v>='C:\Users\jaime.benazar\Quorum Business Solutions\Ecopetrol Prometeo - Documents\Planning Space Implementation\3. Analysis &amp; Design\Design\FC22\DRR Jaime\QUIFA-CAJÚA\Cajua\[CAJUA_CF_SEC_New_27-Feb-2024Rev3.xlsx]D-PS'!$BW$34</v>
      </c>
      <c r="J822" s="37" t="s">
        <v>2355</v>
      </c>
    </row>
    <row r="823" spans="1:10" x14ac:dyDescent="0.25">
      <c r="A823" s="32" t="s">
        <v>34</v>
      </c>
      <c r="B823" s="32">
        <f t="shared" si="202"/>
        <v>2046</v>
      </c>
      <c r="C823" s="33" t="s">
        <v>8</v>
      </c>
      <c r="D823" s="34" t="s">
        <v>1999</v>
      </c>
      <c r="E823" s="35" t="str">
        <f t="shared" si="198"/>
        <v>PS'!</v>
      </c>
      <c r="F823" s="34" t="str">
        <f t="shared" si="199"/>
        <v>C:\Users\jaime.benazar\Quorum Business Solutions\Ecopetrol Prometeo - Documents\Planning Space Implementation\3. Analysis &amp; Design\Design\FC22\DRR Jaime\QUIFA-CAJÚA\Cajua\[CAJUA_CF_SEC_New_27-Feb-2024Rev3.xlsx]D-PS'!</v>
      </c>
      <c r="G823" s="32" t="s">
        <v>37</v>
      </c>
      <c r="H823" s="33">
        <f t="shared" si="200"/>
        <v>35</v>
      </c>
      <c r="I823" s="33" t="str">
        <f t="shared" si="201"/>
        <v>='C:\Users\jaime.benazar\Quorum Business Solutions\Ecopetrol Prometeo - Documents\Planning Space Implementation\3. Analysis &amp; Design\Design\FC22\DRR Jaime\QUIFA-CAJÚA\Cajua\[CAJUA_CF_SEC_New_27-Feb-2024Rev3.xlsx]D-PS'!$BW$35</v>
      </c>
      <c r="J823" s="37" t="s">
        <v>2356</v>
      </c>
    </row>
    <row r="824" spans="1:10" x14ac:dyDescent="0.25">
      <c r="A824" s="32" t="s">
        <v>34</v>
      </c>
      <c r="B824" s="32">
        <f t="shared" si="202"/>
        <v>2047</v>
      </c>
      <c r="C824" s="33" t="s">
        <v>8</v>
      </c>
      <c r="D824" s="34" t="s">
        <v>1999</v>
      </c>
      <c r="E824" s="35" t="str">
        <f t="shared" si="198"/>
        <v>PS'!</v>
      </c>
      <c r="F824" s="34" t="str">
        <f t="shared" si="199"/>
        <v>C:\Users\jaime.benazar\Quorum Business Solutions\Ecopetrol Prometeo - Documents\Planning Space Implementation\3. Analysis &amp; Design\Design\FC22\DRR Jaime\QUIFA-CAJÚA\Cajua\[CAJUA_CF_SEC_New_27-Feb-2024Rev3.xlsx]D-PS'!</v>
      </c>
      <c r="G824" s="32" t="s">
        <v>37</v>
      </c>
      <c r="H824" s="33">
        <f t="shared" si="200"/>
        <v>36</v>
      </c>
      <c r="I824" s="33" t="str">
        <f t="shared" si="201"/>
        <v>='C:\Users\jaime.benazar\Quorum Business Solutions\Ecopetrol Prometeo - Documents\Planning Space Implementation\3. Analysis &amp; Design\Design\FC22\DRR Jaime\QUIFA-CAJÚA\Cajua\[CAJUA_CF_SEC_New_27-Feb-2024Rev3.xlsx]D-PS'!$BW$36</v>
      </c>
      <c r="J824" s="37" t="s">
        <v>2357</v>
      </c>
    </row>
    <row r="825" spans="1:10" x14ac:dyDescent="0.25">
      <c r="A825" s="32" t="s">
        <v>34</v>
      </c>
      <c r="B825" s="32">
        <f t="shared" si="202"/>
        <v>2048</v>
      </c>
      <c r="C825" s="33" t="s">
        <v>8</v>
      </c>
      <c r="D825" s="34" t="s">
        <v>1999</v>
      </c>
      <c r="E825" s="35" t="str">
        <f t="shared" si="198"/>
        <v>PS'!</v>
      </c>
      <c r="F825" s="34" t="str">
        <f t="shared" si="199"/>
        <v>C:\Users\jaime.benazar\Quorum Business Solutions\Ecopetrol Prometeo - Documents\Planning Space Implementation\3. Analysis &amp; Design\Design\FC22\DRR Jaime\QUIFA-CAJÚA\Cajua\[CAJUA_CF_SEC_New_27-Feb-2024Rev3.xlsx]D-PS'!</v>
      </c>
      <c r="G825" s="32" t="s">
        <v>37</v>
      </c>
      <c r="H825" s="33">
        <f t="shared" si="200"/>
        <v>37</v>
      </c>
      <c r="I825" s="33" t="str">
        <f t="shared" si="201"/>
        <v>='C:\Users\jaime.benazar\Quorum Business Solutions\Ecopetrol Prometeo - Documents\Planning Space Implementation\3. Analysis &amp; Design\Design\FC22\DRR Jaime\QUIFA-CAJÚA\Cajua\[CAJUA_CF_SEC_New_27-Feb-2024Rev3.xlsx]D-PS'!$BW$37</v>
      </c>
      <c r="J825" s="37" t="s">
        <v>2358</v>
      </c>
    </row>
    <row r="826" spans="1:10" x14ac:dyDescent="0.25">
      <c r="A826" s="32" t="s">
        <v>34</v>
      </c>
      <c r="B826" s="32">
        <f t="shared" si="202"/>
        <v>2049</v>
      </c>
      <c r="C826" s="33" t="s">
        <v>8</v>
      </c>
      <c r="D826" s="34" t="s">
        <v>1999</v>
      </c>
      <c r="E826" s="35" t="str">
        <f t="shared" si="198"/>
        <v>PS'!</v>
      </c>
      <c r="F826" s="34" t="str">
        <f t="shared" si="199"/>
        <v>C:\Users\jaime.benazar\Quorum Business Solutions\Ecopetrol Prometeo - Documents\Planning Space Implementation\3. Analysis &amp; Design\Design\FC22\DRR Jaime\QUIFA-CAJÚA\Cajua\[CAJUA_CF_SEC_New_27-Feb-2024Rev3.xlsx]D-PS'!</v>
      </c>
      <c r="G826" s="32" t="s">
        <v>37</v>
      </c>
      <c r="H826" s="33">
        <f t="shared" si="200"/>
        <v>38</v>
      </c>
      <c r="I826" s="33" t="str">
        <f t="shared" si="201"/>
        <v>='C:\Users\jaime.benazar\Quorum Business Solutions\Ecopetrol Prometeo - Documents\Planning Space Implementation\3. Analysis &amp; Design\Design\FC22\DRR Jaime\QUIFA-CAJÚA\Cajua\[CAJUA_CF_SEC_New_27-Feb-2024Rev3.xlsx]D-PS'!$BW$38</v>
      </c>
      <c r="J826" s="37" t="s">
        <v>2359</v>
      </c>
    </row>
    <row r="827" spans="1:10" x14ac:dyDescent="0.25">
      <c r="A827" s="32" t="s">
        <v>34</v>
      </c>
      <c r="B827" s="32">
        <f t="shared" si="202"/>
        <v>2050</v>
      </c>
      <c r="C827" s="33" t="s">
        <v>8</v>
      </c>
      <c r="D827" s="34" t="s">
        <v>1999</v>
      </c>
      <c r="E827" s="35" t="str">
        <f t="shared" si="198"/>
        <v>PS'!</v>
      </c>
      <c r="F827" s="34" t="str">
        <f t="shared" si="199"/>
        <v>C:\Users\jaime.benazar\Quorum Business Solutions\Ecopetrol Prometeo - Documents\Planning Space Implementation\3. Analysis &amp; Design\Design\FC22\DRR Jaime\QUIFA-CAJÚA\Cajua\[CAJUA_CF_SEC_New_27-Feb-2024Rev3.xlsx]D-PS'!</v>
      </c>
      <c r="G827" s="32" t="s">
        <v>37</v>
      </c>
      <c r="H827" s="33">
        <f t="shared" si="200"/>
        <v>39</v>
      </c>
      <c r="I827" s="33" t="str">
        <f t="shared" si="201"/>
        <v>='C:\Users\jaime.benazar\Quorum Business Solutions\Ecopetrol Prometeo - Documents\Planning Space Implementation\3. Analysis &amp; Design\Design\FC22\DRR Jaime\QUIFA-CAJÚA\Cajua\[CAJUA_CF_SEC_New_27-Feb-2024Rev3.xlsx]D-PS'!$BW$39</v>
      </c>
      <c r="J827" s="37" t="s">
        <v>2360</v>
      </c>
    </row>
    <row r="828" spans="1:10" x14ac:dyDescent="0.25">
      <c r="A828" s="32" t="s">
        <v>34</v>
      </c>
      <c r="B828" s="32">
        <f t="shared" si="202"/>
        <v>2051</v>
      </c>
      <c r="C828" s="33" t="s">
        <v>8</v>
      </c>
      <c r="D828" s="34" t="s">
        <v>1999</v>
      </c>
      <c r="E828" s="35" t="str">
        <f t="shared" si="198"/>
        <v>PS'!</v>
      </c>
      <c r="F828" s="34" t="str">
        <f t="shared" si="199"/>
        <v>C:\Users\jaime.benazar\Quorum Business Solutions\Ecopetrol Prometeo - Documents\Planning Space Implementation\3. Analysis &amp; Design\Design\FC22\DRR Jaime\QUIFA-CAJÚA\Cajua\[CAJUA_CF_SEC_New_27-Feb-2024Rev3.xlsx]D-PS'!</v>
      </c>
      <c r="G828" s="32" t="s">
        <v>37</v>
      </c>
      <c r="H828" s="33">
        <f t="shared" si="200"/>
        <v>40</v>
      </c>
      <c r="I828" s="33" t="str">
        <f t="shared" si="201"/>
        <v>='C:\Users\jaime.benazar\Quorum Business Solutions\Ecopetrol Prometeo - Documents\Planning Space Implementation\3. Analysis &amp; Design\Design\FC22\DRR Jaime\QUIFA-CAJÚA\Cajua\[CAJUA_CF_SEC_New_27-Feb-2024Rev3.xlsx]D-PS'!$BW$40</v>
      </c>
      <c r="J828" s="37" t="s">
        <v>2361</v>
      </c>
    </row>
    <row r="829" spans="1:10" x14ac:dyDescent="0.25">
      <c r="A829" s="32" t="s">
        <v>34</v>
      </c>
      <c r="B829" s="32">
        <f t="shared" si="202"/>
        <v>2052</v>
      </c>
      <c r="C829" s="33" t="s">
        <v>8</v>
      </c>
      <c r="D829" s="34" t="s">
        <v>1999</v>
      </c>
      <c r="E829" s="35" t="str">
        <f t="shared" si="198"/>
        <v>PS'!</v>
      </c>
      <c r="F829" s="34" t="str">
        <f t="shared" si="199"/>
        <v>C:\Users\jaime.benazar\Quorum Business Solutions\Ecopetrol Prometeo - Documents\Planning Space Implementation\3. Analysis &amp; Design\Design\FC22\DRR Jaime\QUIFA-CAJÚA\Cajua\[CAJUA_CF_SEC_New_27-Feb-2024Rev3.xlsx]D-PS'!</v>
      </c>
      <c r="G829" s="32" t="s">
        <v>37</v>
      </c>
      <c r="H829" s="33">
        <f t="shared" si="200"/>
        <v>41</v>
      </c>
      <c r="I829" s="33" t="str">
        <f t="shared" si="201"/>
        <v>='C:\Users\jaime.benazar\Quorum Business Solutions\Ecopetrol Prometeo - Documents\Planning Space Implementation\3. Analysis &amp; Design\Design\FC22\DRR Jaime\QUIFA-CAJÚA\Cajua\[CAJUA_CF_SEC_New_27-Feb-2024Rev3.xlsx]D-PS'!$BW$41</v>
      </c>
      <c r="J829" s="37" t="s">
        <v>2362</v>
      </c>
    </row>
    <row r="830" spans="1:10" x14ac:dyDescent="0.25">
      <c r="A830" s="32" t="s">
        <v>34</v>
      </c>
      <c r="B830" s="32">
        <f t="shared" si="202"/>
        <v>2053</v>
      </c>
      <c r="C830" s="33" t="s">
        <v>8</v>
      </c>
      <c r="D830" s="34" t="s">
        <v>1999</v>
      </c>
      <c r="E830" s="35" t="str">
        <f t="shared" si="198"/>
        <v>PS'!</v>
      </c>
      <c r="F830" s="34" t="str">
        <f t="shared" si="199"/>
        <v>C:\Users\jaime.benazar\Quorum Business Solutions\Ecopetrol Prometeo - Documents\Planning Space Implementation\3. Analysis &amp; Design\Design\FC22\DRR Jaime\QUIFA-CAJÚA\Cajua\[CAJUA_CF_SEC_New_27-Feb-2024Rev3.xlsx]D-PS'!</v>
      </c>
      <c r="G830" s="32" t="s">
        <v>37</v>
      </c>
      <c r="H830" s="33">
        <f t="shared" si="200"/>
        <v>42</v>
      </c>
      <c r="I830" s="33" t="str">
        <f t="shared" si="201"/>
        <v>='C:\Users\jaime.benazar\Quorum Business Solutions\Ecopetrol Prometeo - Documents\Planning Space Implementation\3. Analysis &amp; Design\Design\FC22\DRR Jaime\QUIFA-CAJÚA\Cajua\[CAJUA_CF_SEC_New_27-Feb-2024Rev3.xlsx]D-PS'!$BW$42</v>
      </c>
      <c r="J830" s="37" t="s">
        <v>2363</v>
      </c>
    </row>
    <row r="831" spans="1:10" x14ac:dyDescent="0.25">
      <c r="A831" s="32" t="s">
        <v>34</v>
      </c>
      <c r="B831" s="32">
        <f t="shared" si="202"/>
        <v>2054</v>
      </c>
      <c r="C831" s="33" t="s">
        <v>8</v>
      </c>
      <c r="D831" s="34" t="s">
        <v>1999</v>
      </c>
      <c r="E831" s="35" t="str">
        <f t="shared" si="198"/>
        <v>PS'!</v>
      </c>
      <c r="F831" s="34" t="str">
        <f t="shared" si="199"/>
        <v>C:\Users\jaime.benazar\Quorum Business Solutions\Ecopetrol Prometeo - Documents\Planning Space Implementation\3. Analysis &amp; Design\Design\FC22\DRR Jaime\QUIFA-CAJÚA\Cajua\[CAJUA_CF_SEC_New_27-Feb-2024Rev3.xlsx]D-PS'!</v>
      </c>
      <c r="G831" s="32" t="s">
        <v>37</v>
      </c>
      <c r="H831" s="33">
        <f t="shared" si="200"/>
        <v>43</v>
      </c>
      <c r="I831" s="33" t="str">
        <f t="shared" si="201"/>
        <v>='C:\Users\jaime.benazar\Quorum Business Solutions\Ecopetrol Prometeo - Documents\Planning Space Implementation\3. Analysis &amp; Design\Design\FC22\DRR Jaime\QUIFA-CAJÚA\Cajua\[CAJUA_CF_SEC_New_27-Feb-2024Rev3.xlsx]D-PS'!$BW$43</v>
      </c>
      <c r="J831" s="37" t="s">
        <v>2364</v>
      </c>
    </row>
    <row r="832" spans="1:10" x14ac:dyDescent="0.25">
      <c r="A832" s="32" t="s">
        <v>34</v>
      </c>
      <c r="B832" s="32">
        <f t="shared" si="202"/>
        <v>2055</v>
      </c>
      <c r="C832" s="33" t="s">
        <v>8</v>
      </c>
      <c r="D832" s="34" t="s">
        <v>1999</v>
      </c>
      <c r="E832" s="35" t="str">
        <f t="shared" si="198"/>
        <v>PS'!</v>
      </c>
      <c r="F832" s="34" t="str">
        <f t="shared" si="199"/>
        <v>C:\Users\jaime.benazar\Quorum Business Solutions\Ecopetrol Prometeo - Documents\Planning Space Implementation\3. Analysis &amp; Design\Design\FC22\DRR Jaime\QUIFA-CAJÚA\Cajua\[CAJUA_CF_SEC_New_27-Feb-2024Rev3.xlsx]D-PS'!</v>
      </c>
      <c r="G832" s="32" t="s">
        <v>37</v>
      </c>
      <c r="H832" s="33">
        <f t="shared" si="200"/>
        <v>44</v>
      </c>
      <c r="I832" s="33" t="str">
        <f t="shared" si="201"/>
        <v>='C:\Users\jaime.benazar\Quorum Business Solutions\Ecopetrol Prometeo - Documents\Planning Space Implementation\3. Analysis &amp; Design\Design\FC22\DRR Jaime\QUIFA-CAJÚA\Cajua\[CAJUA_CF_SEC_New_27-Feb-2024Rev3.xlsx]D-PS'!$BW$44</v>
      </c>
      <c r="J832" s="37" t="s">
        <v>2365</v>
      </c>
    </row>
    <row r="833" spans="1:10" x14ac:dyDescent="0.25">
      <c r="A833" s="32" t="s">
        <v>34</v>
      </c>
      <c r="B833" s="32">
        <f t="shared" si="202"/>
        <v>2056</v>
      </c>
      <c r="C833" s="33" t="s">
        <v>8</v>
      </c>
      <c r="D833" s="34" t="s">
        <v>1999</v>
      </c>
      <c r="E833" s="35" t="str">
        <f t="shared" si="198"/>
        <v>PS'!</v>
      </c>
      <c r="F833" s="34" t="str">
        <f t="shared" si="199"/>
        <v>C:\Users\jaime.benazar\Quorum Business Solutions\Ecopetrol Prometeo - Documents\Planning Space Implementation\3. Analysis &amp; Design\Design\FC22\DRR Jaime\QUIFA-CAJÚA\Cajua\[CAJUA_CF_SEC_New_27-Feb-2024Rev3.xlsx]D-PS'!</v>
      </c>
      <c r="G833" s="32" t="s">
        <v>37</v>
      </c>
      <c r="H833" s="33">
        <f t="shared" si="200"/>
        <v>45</v>
      </c>
      <c r="I833" s="33" t="str">
        <f t="shared" si="201"/>
        <v>='C:\Users\jaime.benazar\Quorum Business Solutions\Ecopetrol Prometeo - Documents\Planning Space Implementation\3. Analysis &amp; Design\Design\FC22\DRR Jaime\QUIFA-CAJÚA\Cajua\[CAJUA_CF_SEC_New_27-Feb-2024Rev3.xlsx]D-PS'!$BW$45</v>
      </c>
      <c r="J833" s="37" t="s">
        <v>2366</v>
      </c>
    </row>
    <row r="834" spans="1:10" x14ac:dyDescent="0.25">
      <c r="A834" s="32" t="s">
        <v>34</v>
      </c>
      <c r="B834" s="32">
        <f t="shared" si="202"/>
        <v>2057</v>
      </c>
      <c r="C834" s="33" t="s">
        <v>8</v>
      </c>
      <c r="D834" s="34" t="s">
        <v>1999</v>
      </c>
      <c r="E834" s="35" t="str">
        <f t="shared" si="198"/>
        <v>PS'!</v>
      </c>
      <c r="F834" s="34" t="str">
        <f t="shared" si="199"/>
        <v>C:\Users\jaime.benazar\Quorum Business Solutions\Ecopetrol Prometeo - Documents\Planning Space Implementation\3. Analysis &amp; Design\Design\FC22\DRR Jaime\QUIFA-CAJÚA\Cajua\[CAJUA_CF_SEC_New_27-Feb-2024Rev3.xlsx]D-PS'!</v>
      </c>
      <c r="G834" s="32" t="s">
        <v>37</v>
      </c>
      <c r="H834" s="33">
        <f t="shared" si="200"/>
        <v>46</v>
      </c>
      <c r="I834" s="33" t="str">
        <f t="shared" si="201"/>
        <v>='C:\Users\jaime.benazar\Quorum Business Solutions\Ecopetrol Prometeo - Documents\Planning Space Implementation\3. Analysis &amp; Design\Design\FC22\DRR Jaime\QUIFA-CAJÚA\Cajua\[CAJUA_CF_SEC_New_27-Feb-2024Rev3.xlsx]D-PS'!$BW$46</v>
      </c>
      <c r="J834" s="37" t="s">
        <v>2367</v>
      </c>
    </row>
    <row r="835" spans="1:10" x14ac:dyDescent="0.25">
      <c r="A835" s="32" t="s">
        <v>34</v>
      </c>
      <c r="B835" s="32">
        <f t="shared" si="202"/>
        <v>2058</v>
      </c>
      <c r="C835" s="33" t="s">
        <v>8</v>
      </c>
      <c r="D835" s="34" t="s">
        <v>1999</v>
      </c>
      <c r="E835" s="35" t="str">
        <f t="shared" si="198"/>
        <v>PS'!</v>
      </c>
      <c r="F835" s="34" t="str">
        <f t="shared" si="199"/>
        <v>C:\Users\jaime.benazar\Quorum Business Solutions\Ecopetrol Prometeo - Documents\Planning Space Implementation\3. Analysis &amp; Design\Design\FC22\DRR Jaime\QUIFA-CAJÚA\Cajua\[CAJUA_CF_SEC_New_27-Feb-2024Rev3.xlsx]D-PS'!</v>
      </c>
      <c r="G835" s="32" t="s">
        <v>37</v>
      </c>
      <c r="H835" s="33">
        <f t="shared" si="200"/>
        <v>47</v>
      </c>
      <c r="I835" s="33" t="str">
        <f t="shared" si="201"/>
        <v>='C:\Users\jaime.benazar\Quorum Business Solutions\Ecopetrol Prometeo - Documents\Planning Space Implementation\3. Analysis &amp; Design\Design\FC22\DRR Jaime\QUIFA-CAJÚA\Cajua\[CAJUA_CF_SEC_New_27-Feb-2024Rev3.xlsx]D-PS'!$BW$47</v>
      </c>
      <c r="J835" s="37" t="s">
        <v>2368</v>
      </c>
    </row>
    <row r="836" spans="1:10" x14ac:dyDescent="0.25">
      <c r="A836" s="32" t="s">
        <v>34</v>
      </c>
      <c r="B836" s="32">
        <f t="shared" si="202"/>
        <v>2059</v>
      </c>
      <c r="C836" s="33" t="s">
        <v>8</v>
      </c>
      <c r="D836" s="34" t="s">
        <v>1999</v>
      </c>
      <c r="E836" s="35" t="str">
        <f t="shared" si="198"/>
        <v>PS'!</v>
      </c>
      <c r="F836" s="34" t="str">
        <f t="shared" si="199"/>
        <v>C:\Users\jaime.benazar\Quorum Business Solutions\Ecopetrol Prometeo - Documents\Planning Space Implementation\3. Analysis &amp; Design\Design\FC22\DRR Jaime\QUIFA-CAJÚA\Cajua\[CAJUA_CF_SEC_New_27-Feb-2024Rev3.xlsx]D-PS'!</v>
      </c>
      <c r="G836" s="32" t="s">
        <v>37</v>
      </c>
      <c r="H836" s="33">
        <f t="shared" si="200"/>
        <v>48</v>
      </c>
      <c r="I836" s="33" t="str">
        <f t="shared" si="201"/>
        <v>='C:\Users\jaime.benazar\Quorum Business Solutions\Ecopetrol Prometeo - Documents\Planning Space Implementation\3. Analysis &amp; Design\Design\FC22\DRR Jaime\QUIFA-CAJÚA\Cajua\[CAJUA_CF_SEC_New_27-Feb-2024Rev3.xlsx]D-PS'!$BW$48</v>
      </c>
      <c r="J836" s="37" t="s">
        <v>2369</v>
      </c>
    </row>
    <row r="837" spans="1:10" x14ac:dyDescent="0.25">
      <c r="A837" s="32" t="s">
        <v>28</v>
      </c>
      <c r="B837" s="32"/>
      <c r="C837" s="33" t="s">
        <v>8</v>
      </c>
      <c r="D837" s="34"/>
      <c r="E837" s="35"/>
      <c r="F837" s="34"/>
      <c r="G837" s="32"/>
      <c r="H837" s="33"/>
      <c r="I837" s="33"/>
      <c r="J837" s="33"/>
    </row>
    <row r="838" spans="1:10" x14ac:dyDescent="0.25">
      <c r="A838" s="32" t="s">
        <v>1</v>
      </c>
      <c r="B838" s="32">
        <v>2023</v>
      </c>
      <c r="C838" s="33" t="s">
        <v>11</v>
      </c>
      <c r="D838" s="34" t="s">
        <v>1999</v>
      </c>
      <c r="E838" s="35" t="str">
        <f>_xlfn.CONCAT(A838,"'!")</f>
        <v>PDP'!</v>
      </c>
      <c r="F838" s="34" t="str">
        <f>_xlfn.CONCAT(D838:E838)</f>
        <v>C:\Users\jaime.benazar\Quorum Business Solutions\Ecopetrol Prometeo - Documents\Planning Space Implementation\3. Analysis &amp; Design\Design\FC22\DRR Jaime\QUIFA-CAJÚA\Cajua\[CAJUA_CF_SEC_New_27-Feb-2024Rev3.xlsx]D-PDP'!</v>
      </c>
      <c r="G838" s="32" t="s">
        <v>112</v>
      </c>
      <c r="H838" s="33">
        <v>12</v>
      </c>
      <c r="I838" s="33" t="str">
        <f>_xlfn.CONCAT("='",F838:H838)</f>
        <v>='C:\Users\jaime.benazar\Quorum Business Solutions\Ecopetrol Prometeo - Documents\Planning Space Implementation\3. Analysis &amp; Design\Design\FC22\DRR Jaime\QUIFA-CAJÚA\Cajua\[CAJUA_CF_SEC_New_27-Feb-2024Rev3.xlsx]D-PDP'!$BZ$12</v>
      </c>
      <c r="J838" s="37" t="s">
        <v>2370</v>
      </c>
    </row>
    <row r="839" spans="1:10" x14ac:dyDescent="0.25">
      <c r="A839" s="32" t="s">
        <v>1</v>
      </c>
      <c r="B839" s="32">
        <f>+B838+1</f>
        <v>2024</v>
      </c>
      <c r="C839" s="33" t="s">
        <v>11</v>
      </c>
      <c r="D839" s="34" t="s">
        <v>1999</v>
      </c>
      <c r="E839" s="35" t="str">
        <f t="shared" ref="E839:E932" si="203">_xlfn.CONCAT(A839,"'!")</f>
        <v>PDP'!</v>
      </c>
      <c r="F839" s="34" t="str">
        <f t="shared" ref="F839:F932" si="204">_xlfn.CONCAT(D839:E839)</f>
        <v>C:\Users\jaime.benazar\Quorum Business Solutions\Ecopetrol Prometeo - Documents\Planning Space Implementation\3. Analysis &amp; Design\Design\FC22\DRR Jaime\QUIFA-CAJÚA\Cajua\[CAJUA_CF_SEC_New_27-Feb-2024Rev3.xlsx]D-PDP'!</v>
      </c>
      <c r="G839" s="32" t="s">
        <v>112</v>
      </c>
      <c r="H839" s="33">
        <f t="shared" ref="H839:H858" si="205">IF(A839&lt;&gt;A838,12,H838+1)</f>
        <v>13</v>
      </c>
      <c r="I839" s="33" t="str">
        <f t="shared" ref="I839:I932" si="206">_xlfn.CONCAT("='",F839:H839)</f>
        <v>='C:\Users\jaime.benazar\Quorum Business Solutions\Ecopetrol Prometeo - Documents\Planning Space Implementation\3. Analysis &amp; Design\Design\FC22\DRR Jaime\QUIFA-CAJÚA\Cajua\[CAJUA_CF_SEC_New_27-Feb-2024Rev3.xlsx]D-PDP'!$BZ$13</v>
      </c>
      <c r="J839" s="37" t="s">
        <v>2371</v>
      </c>
    </row>
    <row r="840" spans="1:10" x14ac:dyDescent="0.25">
      <c r="A840" s="32" t="s">
        <v>1</v>
      </c>
      <c r="B840" s="32">
        <f t="shared" ref="B840:B851" si="207">+B839+1</f>
        <v>2025</v>
      </c>
      <c r="C840" s="33" t="s">
        <v>11</v>
      </c>
      <c r="D840" s="34" t="s">
        <v>1999</v>
      </c>
      <c r="E840" s="35" t="str">
        <f t="shared" si="203"/>
        <v>PDP'!</v>
      </c>
      <c r="F840" s="34" t="str">
        <f t="shared" si="204"/>
        <v>C:\Users\jaime.benazar\Quorum Business Solutions\Ecopetrol Prometeo - Documents\Planning Space Implementation\3. Analysis &amp; Design\Design\FC22\DRR Jaime\QUIFA-CAJÚA\Cajua\[CAJUA_CF_SEC_New_27-Feb-2024Rev3.xlsx]D-PDP'!</v>
      </c>
      <c r="G840" s="32" t="s">
        <v>112</v>
      </c>
      <c r="H840" s="33">
        <f t="shared" si="205"/>
        <v>14</v>
      </c>
      <c r="I840" s="33" t="str">
        <f t="shared" si="206"/>
        <v>='C:\Users\jaime.benazar\Quorum Business Solutions\Ecopetrol Prometeo - Documents\Planning Space Implementation\3. Analysis &amp; Design\Design\FC22\DRR Jaime\QUIFA-CAJÚA\Cajua\[CAJUA_CF_SEC_New_27-Feb-2024Rev3.xlsx]D-PDP'!$BZ$14</v>
      </c>
      <c r="J840" s="37" t="s">
        <v>2372</v>
      </c>
    </row>
    <row r="841" spans="1:10" x14ac:dyDescent="0.25">
      <c r="A841" s="32" t="s">
        <v>1</v>
      </c>
      <c r="B841" s="32">
        <f t="shared" si="207"/>
        <v>2026</v>
      </c>
      <c r="C841" s="33" t="s">
        <v>11</v>
      </c>
      <c r="D841" s="34" t="s">
        <v>1999</v>
      </c>
      <c r="E841" s="35" t="str">
        <f t="shared" si="203"/>
        <v>PDP'!</v>
      </c>
      <c r="F841" s="34" t="str">
        <f t="shared" si="204"/>
        <v>C:\Users\jaime.benazar\Quorum Business Solutions\Ecopetrol Prometeo - Documents\Planning Space Implementation\3. Analysis &amp; Design\Design\FC22\DRR Jaime\QUIFA-CAJÚA\Cajua\[CAJUA_CF_SEC_New_27-Feb-2024Rev3.xlsx]D-PDP'!</v>
      </c>
      <c r="G841" s="32" t="s">
        <v>112</v>
      </c>
      <c r="H841" s="33">
        <f t="shared" si="205"/>
        <v>15</v>
      </c>
      <c r="I841" s="33" t="str">
        <f t="shared" si="206"/>
        <v>='C:\Users\jaime.benazar\Quorum Business Solutions\Ecopetrol Prometeo - Documents\Planning Space Implementation\3. Analysis &amp; Design\Design\FC22\DRR Jaime\QUIFA-CAJÚA\Cajua\[CAJUA_CF_SEC_New_27-Feb-2024Rev3.xlsx]D-PDP'!$BZ$15</v>
      </c>
      <c r="J841" s="37" t="s">
        <v>2373</v>
      </c>
    </row>
    <row r="842" spans="1:10" x14ac:dyDescent="0.25">
      <c r="A842" s="32" t="s">
        <v>1</v>
      </c>
      <c r="B842" s="32">
        <f t="shared" si="207"/>
        <v>2027</v>
      </c>
      <c r="C842" s="33" t="s">
        <v>11</v>
      </c>
      <c r="D842" s="34" t="s">
        <v>1999</v>
      </c>
      <c r="E842" s="35" t="str">
        <f t="shared" si="203"/>
        <v>PDP'!</v>
      </c>
      <c r="F842" s="34" t="str">
        <f t="shared" si="204"/>
        <v>C:\Users\jaime.benazar\Quorum Business Solutions\Ecopetrol Prometeo - Documents\Planning Space Implementation\3. Analysis &amp; Design\Design\FC22\DRR Jaime\QUIFA-CAJÚA\Cajua\[CAJUA_CF_SEC_New_27-Feb-2024Rev3.xlsx]D-PDP'!</v>
      </c>
      <c r="G842" s="32" t="s">
        <v>112</v>
      </c>
      <c r="H842" s="33">
        <f t="shared" si="205"/>
        <v>16</v>
      </c>
      <c r="I842" s="33" t="str">
        <f t="shared" si="206"/>
        <v>='C:\Users\jaime.benazar\Quorum Business Solutions\Ecopetrol Prometeo - Documents\Planning Space Implementation\3. Analysis &amp; Design\Design\FC22\DRR Jaime\QUIFA-CAJÚA\Cajua\[CAJUA_CF_SEC_New_27-Feb-2024Rev3.xlsx]D-PDP'!$BZ$16</v>
      </c>
      <c r="J842" s="37" t="s">
        <v>2374</v>
      </c>
    </row>
    <row r="843" spans="1:10" x14ac:dyDescent="0.25">
      <c r="A843" s="32" t="s">
        <v>1</v>
      </c>
      <c r="B843" s="32">
        <f t="shared" si="207"/>
        <v>2028</v>
      </c>
      <c r="C843" s="33" t="s">
        <v>11</v>
      </c>
      <c r="D843" s="34" t="s">
        <v>1999</v>
      </c>
      <c r="E843" s="35" t="str">
        <f t="shared" si="203"/>
        <v>PDP'!</v>
      </c>
      <c r="F843" s="34" t="str">
        <f t="shared" si="204"/>
        <v>C:\Users\jaime.benazar\Quorum Business Solutions\Ecopetrol Prometeo - Documents\Planning Space Implementation\3. Analysis &amp; Design\Design\FC22\DRR Jaime\QUIFA-CAJÚA\Cajua\[CAJUA_CF_SEC_New_27-Feb-2024Rev3.xlsx]D-PDP'!</v>
      </c>
      <c r="G843" s="32" t="s">
        <v>112</v>
      </c>
      <c r="H843" s="33">
        <f t="shared" si="205"/>
        <v>17</v>
      </c>
      <c r="I843" s="33" t="str">
        <f t="shared" si="206"/>
        <v>='C:\Users\jaime.benazar\Quorum Business Solutions\Ecopetrol Prometeo - Documents\Planning Space Implementation\3. Analysis &amp; Design\Design\FC22\DRR Jaime\QUIFA-CAJÚA\Cajua\[CAJUA_CF_SEC_New_27-Feb-2024Rev3.xlsx]D-PDP'!$BZ$17</v>
      </c>
      <c r="J843" s="37" t="s">
        <v>2375</v>
      </c>
    </row>
    <row r="844" spans="1:10" x14ac:dyDescent="0.25">
      <c r="A844" s="32" t="s">
        <v>1</v>
      </c>
      <c r="B844" s="32">
        <f t="shared" si="207"/>
        <v>2029</v>
      </c>
      <c r="C844" s="33" t="s">
        <v>11</v>
      </c>
      <c r="D844" s="34" t="s">
        <v>1999</v>
      </c>
      <c r="E844" s="35" t="str">
        <f t="shared" si="203"/>
        <v>PDP'!</v>
      </c>
      <c r="F844" s="34" t="str">
        <f t="shared" si="204"/>
        <v>C:\Users\jaime.benazar\Quorum Business Solutions\Ecopetrol Prometeo - Documents\Planning Space Implementation\3. Analysis &amp; Design\Design\FC22\DRR Jaime\QUIFA-CAJÚA\Cajua\[CAJUA_CF_SEC_New_27-Feb-2024Rev3.xlsx]D-PDP'!</v>
      </c>
      <c r="G844" s="32" t="s">
        <v>112</v>
      </c>
      <c r="H844" s="33">
        <f t="shared" si="205"/>
        <v>18</v>
      </c>
      <c r="I844" s="33" t="str">
        <f t="shared" si="206"/>
        <v>='C:\Users\jaime.benazar\Quorum Business Solutions\Ecopetrol Prometeo - Documents\Planning Space Implementation\3. Analysis &amp; Design\Design\FC22\DRR Jaime\QUIFA-CAJÚA\Cajua\[CAJUA_CF_SEC_New_27-Feb-2024Rev3.xlsx]D-PDP'!$BZ$18</v>
      </c>
      <c r="J844" s="37" t="s">
        <v>2376</v>
      </c>
    </row>
    <row r="845" spans="1:10" x14ac:dyDescent="0.25">
      <c r="A845" s="32" t="s">
        <v>1</v>
      </c>
      <c r="B845" s="32">
        <f t="shared" si="207"/>
        <v>2030</v>
      </c>
      <c r="C845" s="33" t="s">
        <v>11</v>
      </c>
      <c r="D845" s="34" t="s">
        <v>1999</v>
      </c>
      <c r="E845" s="35" t="str">
        <f t="shared" si="203"/>
        <v>PDP'!</v>
      </c>
      <c r="F845" s="34" t="str">
        <f t="shared" si="204"/>
        <v>C:\Users\jaime.benazar\Quorum Business Solutions\Ecopetrol Prometeo - Documents\Planning Space Implementation\3. Analysis &amp; Design\Design\FC22\DRR Jaime\QUIFA-CAJÚA\Cajua\[CAJUA_CF_SEC_New_27-Feb-2024Rev3.xlsx]D-PDP'!</v>
      </c>
      <c r="G845" s="32" t="s">
        <v>112</v>
      </c>
      <c r="H845" s="33">
        <f t="shared" si="205"/>
        <v>19</v>
      </c>
      <c r="I845" s="33" t="str">
        <f t="shared" si="206"/>
        <v>='C:\Users\jaime.benazar\Quorum Business Solutions\Ecopetrol Prometeo - Documents\Planning Space Implementation\3. Analysis &amp; Design\Design\FC22\DRR Jaime\QUIFA-CAJÚA\Cajua\[CAJUA_CF_SEC_New_27-Feb-2024Rev3.xlsx]D-PDP'!$BZ$19</v>
      </c>
      <c r="J845" s="37" t="s">
        <v>2377</v>
      </c>
    </row>
    <row r="846" spans="1:10" x14ac:dyDescent="0.25">
      <c r="A846" s="32" t="s">
        <v>1</v>
      </c>
      <c r="B846" s="32">
        <f t="shared" si="207"/>
        <v>2031</v>
      </c>
      <c r="C846" s="33" t="s">
        <v>11</v>
      </c>
      <c r="D846" s="34" t="s">
        <v>1999</v>
      </c>
      <c r="E846" s="35" t="str">
        <f t="shared" si="203"/>
        <v>PDP'!</v>
      </c>
      <c r="F846" s="34" t="str">
        <f t="shared" si="204"/>
        <v>C:\Users\jaime.benazar\Quorum Business Solutions\Ecopetrol Prometeo - Documents\Planning Space Implementation\3. Analysis &amp; Design\Design\FC22\DRR Jaime\QUIFA-CAJÚA\Cajua\[CAJUA_CF_SEC_New_27-Feb-2024Rev3.xlsx]D-PDP'!</v>
      </c>
      <c r="G846" s="32" t="s">
        <v>112</v>
      </c>
      <c r="H846" s="33">
        <f t="shared" si="205"/>
        <v>20</v>
      </c>
      <c r="I846" s="33" t="str">
        <f t="shared" si="206"/>
        <v>='C:\Users\jaime.benazar\Quorum Business Solutions\Ecopetrol Prometeo - Documents\Planning Space Implementation\3. Analysis &amp; Design\Design\FC22\DRR Jaime\QUIFA-CAJÚA\Cajua\[CAJUA_CF_SEC_New_27-Feb-2024Rev3.xlsx]D-PDP'!$BZ$20</v>
      </c>
      <c r="J846" s="37" t="s">
        <v>2378</v>
      </c>
    </row>
    <row r="847" spans="1:10" x14ac:dyDescent="0.25">
      <c r="A847" s="32" t="s">
        <v>1</v>
      </c>
      <c r="B847" s="32">
        <f t="shared" si="207"/>
        <v>2032</v>
      </c>
      <c r="C847" s="33" t="s">
        <v>11</v>
      </c>
      <c r="D847" s="34" t="s">
        <v>1999</v>
      </c>
      <c r="E847" s="35" t="str">
        <f t="shared" si="203"/>
        <v>PDP'!</v>
      </c>
      <c r="F847" s="34" t="str">
        <f t="shared" si="204"/>
        <v>C:\Users\jaime.benazar\Quorum Business Solutions\Ecopetrol Prometeo - Documents\Planning Space Implementation\3. Analysis &amp; Design\Design\FC22\DRR Jaime\QUIFA-CAJÚA\Cajua\[CAJUA_CF_SEC_New_27-Feb-2024Rev3.xlsx]D-PDP'!</v>
      </c>
      <c r="G847" s="32" t="s">
        <v>112</v>
      </c>
      <c r="H847" s="33">
        <f t="shared" si="205"/>
        <v>21</v>
      </c>
      <c r="I847" s="33" t="str">
        <f t="shared" si="206"/>
        <v>='C:\Users\jaime.benazar\Quorum Business Solutions\Ecopetrol Prometeo - Documents\Planning Space Implementation\3. Analysis &amp; Design\Design\FC22\DRR Jaime\QUIFA-CAJÚA\Cajua\[CAJUA_CF_SEC_New_27-Feb-2024Rev3.xlsx]D-PDP'!$BZ$21</v>
      </c>
      <c r="J847" s="37" t="s">
        <v>2379</v>
      </c>
    </row>
    <row r="848" spans="1:10" x14ac:dyDescent="0.25">
      <c r="A848" s="32" t="s">
        <v>1</v>
      </c>
      <c r="B848" s="32">
        <f t="shared" si="207"/>
        <v>2033</v>
      </c>
      <c r="C848" s="33" t="s">
        <v>11</v>
      </c>
      <c r="D848" s="34" t="s">
        <v>1999</v>
      </c>
      <c r="E848" s="35" t="str">
        <f t="shared" si="203"/>
        <v>PDP'!</v>
      </c>
      <c r="F848" s="34" t="str">
        <f t="shared" si="204"/>
        <v>C:\Users\jaime.benazar\Quorum Business Solutions\Ecopetrol Prometeo - Documents\Planning Space Implementation\3. Analysis &amp; Design\Design\FC22\DRR Jaime\QUIFA-CAJÚA\Cajua\[CAJUA_CF_SEC_New_27-Feb-2024Rev3.xlsx]D-PDP'!</v>
      </c>
      <c r="G848" s="32" t="s">
        <v>112</v>
      </c>
      <c r="H848" s="33">
        <f t="shared" si="205"/>
        <v>22</v>
      </c>
      <c r="I848" s="33" t="str">
        <f t="shared" si="206"/>
        <v>='C:\Users\jaime.benazar\Quorum Business Solutions\Ecopetrol Prometeo - Documents\Planning Space Implementation\3. Analysis &amp; Design\Design\FC22\DRR Jaime\QUIFA-CAJÚA\Cajua\[CAJUA_CF_SEC_New_27-Feb-2024Rev3.xlsx]D-PDP'!$BZ$22</v>
      </c>
      <c r="J848" s="37" t="s">
        <v>2380</v>
      </c>
    </row>
    <row r="849" spans="1:10" x14ac:dyDescent="0.25">
      <c r="A849" s="32" t="s">
        <v>1</v>
      </c>
      <c r="B849" s="32">
        <f t="shared" si="207"/>
        <v>2034</v>
      </c>
      <c r="C849" s="33" t="s">
        <v>11</v>
      </c>
      <c r="D849" s="34" t="s">
        <v>1999</v>
      </c>
      <c r="E849" s="35" t="str">
        <f t="shared" si="203"/>
        <v>PDP'!</v>
      </c>
      <c r="F849" s="34" t="str">
        <f t="shared" si="204"/>
        <v>C:\Users\jaime.benazar\Quorum Business Solutions\Ecopetrol Prometeo - Documents\Planning Space Implementation\3. Analysis &amp; Design\Design\FC22\DRR Jaime\QUIFA-CAJÚA\Cajua\[CAJUA_CF_SEC_New_27-Feb-2024Rev3.xlsx]D-PDP'!</v>
      </c>
      <c r="G849" s="32" t="s">
        <v>112</v>
      </c>
      <c r="H849" s="33">
        <f t="shared" si="205"/>
        <v>23</v>
      </c>
      <c r="I849" s="33" t="str">
        <f t="shared" si="206"/>
        <v>='C:\Users\jaime.benazar\Quorum Business Solutions\Ecopetrol Prometeo - Documents\Planning Space Implementation\3. Analysis &amp; Design\Design\FC22\DRR Jaime\QUIFA-CAJÚA\Cajua\[CAJUA_CF_SEC_New_27-Feb-2024Rev3.xlsx]D-PDP'!$BZ$23</v>
      </c>
      <c r="J849" s="37" t="s">
        <v>2381</v>
      </c>
    </row>
    <row r="850" spans="1:10" x14ac:dyDescent="0.25">
      <c r="A850" s="32" t="s">
        <v>1</v>
      </c>
      <c r="B850" s="32">
        <f t="shared" si="207"/>
        <v>2035</v>
      </c>
      <c r="C850" s="33" t="s">
        <v>11</v>
      </c>
      <c r="D850" s="34" t="s">
        <v>1999</v>
      </c>
      <c r="E850" s="35" t="str">
        <f t="shared" si="203"/>
        <v>PDP'!</v>
      </c>
      <c r="F850" s="34" t="str">
        <f t="shared" si="204"/>
        <v>C:\Users\jaime.benazar\Quorum Business Solutions\Ecopetrol Prometeo - Documents\Planning Space Implementation\3. Analysis &amp; Design\Design\FC22\DRR Jaime\QUIFA-CAJÚA\Cajua\[CAJUA_CF_SEC_New_27-Feb-2024Rev3.xlsx]D-PDP'!</v>
      </c>
      <c r="G850" s="32" t="s">
        <v>112</v>
      </c>
      <c r="H850" s="33">
        <f t="shared" si="205"/>
        <v>24</v>
      </c>
      <c r="I850" s="33" t="str">
        <f t="shared" si="206"/>
        <v>='C:\Users\jaime.benazar\Quorum Business Solutions\Ecopetrol Prometeo - Documents\Planning Space Implementation\3. Analysis &amp; Design\Design\FC22\DRR Jaime\QUIFA-CAJÚA\Cajua\[CAJUA_CF_SEC_New_27-Feb-2024Rev3.xlsx]D-PDP'!$BZ$24</v>
      </c>
      <c r="J850" s="37" t="s">
        <v>2382</v>
      </c>
    </row>
    <row r="851" spans="1:10" x14ac:dyDescent="0.25">
      <c r="A851" s="32" t="s">
        <v>1</v>
      </c>
      <c r="B851" s="32">
        <f t="shared" si="207"/>
        <v>2036</v>
      </c>
      <c r="C851" s="33" t="s">
        <v>11</v>
      </c>
      <c r="D851" s="34" t="s">
        <v>1999</v>
      </c>
      <c r="E851" s="35" t="str">
        <f t="shared" si="203"/>
        <v>PDP'!</v>
      </c>
      <c r="F851" s="34" t="str">
        <f t="shared" si="204"/>
        <v>C:\Users\jaime.benazar\Quorum Business Solutions\Ecopetrol Prometeo - Documents\Planning Space Implementation\3. Analysis &amp; Design\Design\FC22\DRR Jaime\QUIFA-CAJÚA\Cajua\[CAJUA_CF_SEC_New_27-Feb-2024Rev3.xlsx]D-PDP'!</v>
      </c>
      <c r="G851" s="32" t="s">
        <v>112</v>
      </c>
      <c r="H851" s="33">
        <f t="shared" si="205"/>
        <v>25</v>
      </c>
      <c r="I851" s="33" t="str">
        <f t="shared" si="206"/>
        <v>='C:\Users\jaime.benazar\Quorum Business Solutions\Ecopetrol Prometeo - Documents\Planning Space Implementation\3. Analysis &amp; Design\Design\FC22\DRR Jaime\QUIFA-CAJÚA\Cajua\[CAJUA_CF_SEC_New_27-Feb-2024Rev3.xlsx]D-PDP'!$BZ$25</v>
      </c>
      <c r="J851" s="37" t="s">
        <v>2383</v>
      </c>
    </row>
    <row r="852" spans="1:10" x14ac:dyDescent="0.25">
      <c r="A852" s="32" t="s">
        <v>1</v>
      </c>
      <c r="B852" s="32">
        <f>+B851+1</f>
        <v>2037</v>
      </c>
      <c r="C852" s="33" t="s">
        <v>11</v>
      </c>
      <c r="D852" s="34" t="s">
        <v>1999</v>
      </c>
      <c r="E852" s="35" t="str">
        <f t="shared" si="203"/>
        <v>PDP'!</v>
      </c>
      <c r="F852" s="34" t="str">
        <f t="shared" si="204"/>
        <v>C:\Users\jaime.benazar\Quorum Business Solutions\Ecopetrol Prometeo - Documents\Planning Space Implementation\3. Analysis &amp; Design\Design\FC22\DRR Jaime\QUIFA-CAJÚA\Cajua\[CAJUA_CF_SEC_New_27-Feb-2024Rev3.xlsx]D-PDP'!</v>
      </c>
      <c r="G852" s="32" t="s">
        <v>112</v>
      </c>
      <c r="H852" s="33">
        <f t="shared" si="205"/>
        <v>26</v>
      </c>
      <c r="I852" s="33" t="str">
        <f t="shared" si="206"/>
        <v>='C:\Users\jaime.benazar\Quorum Business Solutions\Ecopetrol Prometeo - Documents\Planning Space Implementation\3. Analysis &amp; Design\Design\FC22\DRR Jaime\QUIFA-CAJÚA\Cajua\[CAJUA_CF_SEC_New_27-Feb-2024Rev3.xlsx]D-PDP'!$BZ$26</v>
      </c>
      <c r="J852" s="37" t="s">
        <v>2384</v>
      </c>
    </row>
    <row r="853" spans="1:10" x14ac:dyDescent="0.25">
      <c r="A853" s="32" t="s">
        <v>1</v>
      </c>
      <c r="B853" s="32">
        <f t="shared" ref="B853:B855" si="208">+B852+1</f>
        <v>2038</v>
      </c>
      <c r="C853" s="33" t="s">
        <v>11</v>
      </c>
      <c r="D853" s="34" t="s">
        <v>1999</v>
      </c>
      <c r="E853" s="35" t="str">
        <f t="shared" si="203"/>
        <v>PDP'!</v>
      </c>
      <c r="F853" s="34" t="str">
        <f t="shared" si="204"/>
        <v>C:\Users\jaime.benazar\Quorum Business Solutions\Ecopetrol Prometeo - Documents\Planning Space Implementation\3. Analysis &amp; Design\Design\FC22\DRR Jaime\QUIFA-CAJÚA\Cajua\[CAJUA_CF_SEC_New_27-Feb-2024Rev3.xlsx]D-PDP'!</v>
      </c>
      <c r="G853" s="32" t="s">
        <v>112</v>
      </c>
      <c r="H853" s="33">
        <f t="shared" si="205"/>
        <v>27</v>
      </c>
      <c r="I853" s="33" t="str">
        <f t="shared" si="206"/>
        <v>='C:\Users\jaime.benazar\Quorum Business Solutions\Ecopetrol Prometeo - Documents\Planning Space Implementation\3. Analysis &amp; Design\Design\FC22\DRR Jaime\QUIFA-CAJÚA\Cajua\[CAJUA_CF_SEC_New_27-Feb-2024Rev3.xlsx]D-PDP'!$BZ$27</v>
      </c>
      <c r="J853" s="37" t="s">
        <v>2385</v>
      </c>
    </row>
    <row r="854" spans="1:10" x14ac:dyDescent="0.25">
      <c r="A854" s="32" t="s">
        <v>1</v>
      </c>
      <c r="B854" s="32">
        <f t="shared" si="208"/>
        <v>2039</v>
      </c>
      <c r="C854" s="33" t="s">
        <v>11</v>
      </c>
      <c r="D854" s="34" t="s">
        <v>1999</v>
      </c>
      <c r="E854" s="35" t="str">
        <f t="shared" si="203"/>
        <v>PDP'!</v>
      </c>
      <c r="F854" s="34" t="str">
        <f t="shared" si="204"/>
        <v>C:\Users\jaime.benazar\Quorum Business Solutions\Ecopetrol Prometeo - Documents\Planning Space Implementation\3. Analysis &amp; Design\Design\FC22\DRR Jaime\QUIFA-CAJÚA\Cajua\[CAJUA_CF_SEC_New_27-Feb-2024Rev3.xlsx]D-PDP'!</v>
      </c>
      <c r="G854" s="32" t="s">
        <v>112</v>
      </c>
      <c r="H854" s="33">
        <f t="shared" si="205"/>
        <v>28</v>
      </c>
      <c r="I854" s="33" t="str">
        <f t="shared" si="206"/>
        <v>='C:\Users\jaime.benazar\Quorum Business Solutions\Ecopetrol Prometeo - Documents\Planning Space Implementation\3. Analysis &amp; Design\Design\FC22\DRR Jaime\QUIFA-CAJÚA\Cajua\[CAJUA_CF_SEC_New_27-Feb-2024Rev3.xlsx]D-PDP'!$BZ$28</v>
      </c>
      <c r="J854" s="37" t="s">
        <v>2386</v>
      </c>
    </row>
    <row r="855" spans="1:10" x14ac:dyDescent="0.25">
      <c r="A855" s="32" t="s">
        <v>1</v>
      </c>
      <c r="B855" s="32">
        <f t="shared" si="208"/>
        <v>2040</v>
      </c>
      <c r="C855" s="33" t="s">
        <v>11</v>
      </c>
      <c r="D855" s="34" t="s">
        <v>1999</v>
      </c>
      <c r="E855" s="35" t="str">
        <f t="shared" si="203"/>
        <v>PDP'!</v>
      </c>
      <c r="F855" s="34" t="str">
        <f t="shared" si="204"/>
        <v>C:\Users\jaime.benazar\Quorum Business Solutions\Ecopetrol Prometeo - Documents\Planning Space Implementation\3. Analysis &amp; Design\Design\FC22\DRR Jaime\QUIFA-CAJÚA\Cajua\[CAJUA_CF_SEC_New_27-Feb-2024Rev3.xlsx]D-PDP'!</v>
      </c>
      <c r="G855" s="32" t="s">
        <v>112</v>
      </c>
      <c r="H855" s="33">
        <f t="shared" si="205"/>
        <v>29</v>
      </c>
      <c r="I855" s="33" t="str">
        <f t="shared" si="206"/>
        <v>='C:\Users\jaime.benazar\Quorum Business Solutions\Ecopetrol Prometeo - Documents\Planning Space Implementation\3. Analysis &amp; Design\Design\FC22\DRR Jaime\QUIFA-CAJÚA\Cajua\[CAJUA_CF_SEC_New_27-Feb-2024Rev3.xlsx]D-PDP'!$BZ$29</v>
      </c>
      <c r="J855" s="37" t="s">
        <v>2387</v>
      </c>
    </row>
    <row r="856" spans="1:10" x14ac:dyDescent="0.25">
      <c r="A856" s="32" t="s">
        <v>1</v>
      </c>
      <c r="B856" s="32">
        <f>+B855+1</f>
        <v>2041</v>
      </c>
      <c r="C856" s="33" t="s">
        <v>11</v>
      </c>
      <c r="D856" s="34" t="s">
        <v>1999</v>
      </c>
      <c r="E856" s="35" t="str">
        <f t="shared" si="203"/>
        <v>PDP'!</v>
      </c>
      <c r="F856" s="34" t="str">
        <f t="shared" si="204"/>
        <v>C:\Users\jaime.benazar\Quorum Business Solutions\Ecopetrol Prometeo - Documents\Planning Space Implementation\3. Analysis &amp; Design\Design\FC22\DRR Jaime\QUIFA-CAJÚA\Cajua\[CAJUA_CF_SEC_New_27-Feb-2024Rev3.xlsx]D-PDP'!</v>
      </c>
      <c r="G856" s="32" t="s">
        <v>112</v>
      </c>
      <c r="H856" s="33">
        <f t="shared" si="205"/>
        <v>30</v>
      </c>
      <c r="I856" s="33" t="str">
        <f t="shared" si="206"/>
        <v>='C:\Users\jaime.benazar\Quorum Business Solutions\Ecopetrol Prometeo - Documents\Planning Space Implementation\3. Analysis &amp; Design\Design\FC22\DRR Jaime\QUIFA-CAJÚA\Cajua\[CAJUA_CF_SEC_New_27-Feb-2024Rev3.xlsx]D-PDP'!$BZ$30</v>
      </c>
      <c r="J856" s="37" t="s">
        <v>2388</v>
      </c>
    </row>
    <row r="857" spans="1:10" x14ac:dyDescent="0.25">
      <c r="A857" s="32" t="s">
        <v>1</v>
      </c>
      <c r="B857" s="32">
        <f t="shared" ref="B857:B858" si="209">+B856+1</f>
        <v>2042</v>
      </c>
      <c r="C857" s="33" t="s">
        <v>11</v>
      </c>
      <c r="D857" s="34" t="s">
        <v>1999</v>
      </c>
      <c r="E857" s="35" t="str">
        <f t="shared" si="203"/>
        <v>PDP'!</v>
      </c>
      <c r="F857" s="34" t="str">
        <f t="shared" si="204"/>
        <v>C:\Users\jaime.benazar\Quorum Business Solutions\Ecopetrol Prometeo - Documents\Planning Space Implementation\3. Analysis &amp; Design\Design\FC22\DRR Jaime\QUIFA-CAJÚA\Cajua\[CAJUA_CF_SEC_New_27-Feb-2024Rev3.xlsx]D-PDP'!</v>
      </c>
      <c r="G857" s="32" t="s">
        <v>112</v>
      </c>
      <c r="H857" s="33">
        <f t="shared" si="205"/>
        <v>31</v>
      </c>
      <c r="I857" s="33" t="str">
        <f t="shared" si="206"/>
        <v>='C:\Users\jaime.benazar\Quorum Business Solutions\Ecopetrol Prometeo - Documents\Planning Space Implementation\3. Analysis &amp; Design\Design\FC22\DRR Jaime\QUIFA-CAJÚA\Cajua\[CAJUA_CF_SEC_New_27-Feb-2024Rev3.xlsx]D-PDP'!$BZ$31</v>
      </c>
      <c r="J857" s="37" t="s">
        <v>2389</v>
      </c>
    </row>
    <row r="858" spans="1:10" x14ac:dyDescent="0.25">
      <c r="A858" s="32" t="s">
        <v>1</v>
      </c>
      <c r="B858" s="32">
        <f t="shared" si="209"/>
        <v>2043</v>
      </c>
      <c r="C858" s="33" t="s">
        <v>11</v>
      </c>
      <c r="D858" s="34" t="s">
        <v>1999</v>
      </c>
      <c r="E858" s="35" t="str">
        <f t="shared" si="203"/>
        <v>PDP'!</v>
      </c>
      <c r="F858" s="34" t="str">
        <f t="shared" si="204"/>
        <v>C:\Users\jaime.benazar\Quorum Business Solutions\Ecopetrol Prometeo - Documents\Planning Space Implementation\3. Analysis &amp; Design\Design\FC22\DRR Jaime\QUIFA-CAJÚA\Cajua\[CAJUA_CF_SEC_New_27-Feb-2024Rev3.xlsx]D-PDP'!</v>
      </c>
      <c r="G858" s="32" t="s">
        <v>112</v>
      </c>
      <c r="H858" s="33">
        <f t="shared" si="205"/>
        <v>32</v>
      </c>
      <c r="I858" s="33" t="str">
        <f t="shared" si="206"/>
        <v>='C:\Users\jaime.benazar\Quorum Business Solutions\Ecopetrol Prometeo - Documents\Planning Space Implementation\3. Analysis &amp; Design\Design\FC22\DRR Jaime\QUIFA-CAJÚA\Cajua\[CAJUA_CF_SEC_New_27-Feb-2024Rev3.xlsx]D-PDP'!$BZ$32</v>
      </c>
      <c r="J858" s="37" t="s">
        <v>2390</v>
      </c>
    </row>
    <row r="859" spans="1:10" x14ac:dyDescent="0.25">
      <c r="A859" s="32" t="s">
        <v>1</v>
      </c>
      <c r="B859" s="32">
        <f>+B858+1</f>
        <v>2044</v>
      </c>
      <c r="C859" s="33" t="s">
        <v>11</v>
      </c>
      <c r="D859" s="34" t="s">
        <v>1999</v>
      </c>
      <c r="E859" s="35" t="str">
        <f t="shared" ref="E859:E874" si="210">_xlfn.CONCAT(A859,"'!")</f>
        <v>PDP'!</v>
      </c>
      <c r="F859" s="34" t="str">
        <f t="shared" ref="F859:F874" si="211">_xlfn.CONCAT(D859:E859)</f>
        <v>C:\Users\jaime.benazar\Quorum Business Solutions\Ecopetrol Prometeo - Documents\Planning Space Implementation\3. Analysis &amp; Design\Design\FC22\DRR Jaime\QUIFA-CAJÚA\Cajua\[CAJUA_CF_SEC_New_27-Feb-2024Rev3.xlsx]D-PDP'!</v>
      </c>
      <c r="G859" s="32" t="s">
        <v>112</v>
      </c>
      <c r="H859" s="33">
        <f t="shared" ref="H859:H874" si="212">IF(A859&lt;&gt;A858,12,H858+1)</f>
        <v>33</v>
      </c>
      <c r="I859" s="33" t="str">
        <f t="shared" ref="I859:I874" si="213">_xlfn.CONCAT("='",F859:H859)</f>
        <v>='C:\Users\jaime.benazar\Quorum Business Solutions\Ecopetrol Prometeo - Documents\Planning Space Implementation\3. Analysis &amp; Design\Design\FC22\DRR Jaime\QUIFA-CAJÚA\Cajua\[CAJUA_CF_SEC_New_27-Feb-2024Rev3.xlsx]D-PDP'!$BZ$33</v>
      </c>
      <c r="J859" s="37" t="s">
        <v>2391</v>
      </c>
    </row>
    <row r="860" spans="1:10" x14ac:dyDescent="0.25">
      <c r="A860" s="32" t="s">
        <v>1</v>
      </c>
      <c r="B860" s="32">
        <f t="shared" ref="B860:B874" si="214">+B859+1</f>
        <v>2045</v>
      </c>
      <c r="C860" s="33" t="s">
        <v>11</v>
      </c>
      <c r="D860" s="34" t="s">
        <v>1999</v>
      </c>
      <c r="E860" s="35" t="str">
        <f t="shared" si="210"/>
        <v>PDP'!</v>
      </c>
      <c r="F860" s="34" t="str">
        <f t="shared" si="211"/>
        <v>C:\Users\jaime.benazar\Quorum Business Solutions\Ecopetrol Prometeo - Documents\Planning Space Implementation\3. Analysis &amp; Design\Design\FC22\DRR Jaime\QUIFA-CAJÚA\Cajua\[CAJUA_CF_SEC_New_27-Feb-2024Rev3.xlsx]D-PDP'!</v>
      </c>
      <c r="G860" s="32" t="s">
        <v>112</v>
      </c>
      <c r="H860" s="33">
        <f t="shared" si="212"/>
        <v>34</v>
      </c>
      <c r="I860" s="33" t="str">
        <f t="shared" si="213"/>
        <v>='C:\Users\jaime.benazar\Quorum Business Solutions\Ecopetrol Prometeo - Documents\Planning Space Implementation\3. Analysis &amp; Design\Design\FC22\DRR Jaime\QUIFA-CAJÚA\Cajua\[CAJUA_CF_SEC_New_27-Feb-2024Rev3.xlsx]D-PDP'!$BZ$34</v>
      </c>
      <c r="J860" s="37" t="s">
        <v>2392</v>
      </c>
    </row>
    <row r="861" spans="1:10" x14ac:dyDescent="0.25">
      <c r="A861" s="32" t="s">
        <v>1</v>
      </c>
      <c r="B861" s="32">
        <f t="shared" si="214"/>
        <v>2046</v>
      </c>
      <c r="C861" s="33" t="s">
        <v>11</v>
      </c>
      <c r="D861" s="34" t="s">
        <v>1999</v>
      </c>
      <c r="E861" s="35" t="str">
        <f t="shared" si="210"/>
        <v>PDP'!</v>
      </c>
      <c r="F861" s="34" t="str">
        <f t="shared" si="211"/>
        <v>C:\Users\jaime.benazar\Quorum Business Solutions\Ecopetrol Prometeo - Documents\Planning Space Implementation\3. Analysis &amp; Design\Design\FC22\DRR Jaime\QUIFA-CAJÚA\Cajua\[CAJUA_CF_SEC_New_27-Feb-2024Rev3.xlsx]D-PDP'!</v>
      </c>
      <c r="G861" s="32" t="s">
        <v>112</v>
      </c>
      <c r="H861" s="33">
        <f t="shared" si="212"/>
        <v>35</v>
      </c>
      <c r="I861" s="33" t="str">
        <f t="shared" si="213"/>
        <v>='C:\Users\jaime.benazar\Quorum Business Solutions\Ecopetrol Prometeo - Documents\Planning Space Implementation\3. Analysis &amp; Design\Design\FC22\DRR Jaime\QUIFA-CAJÚA\Cajua\[CAJUA_CF_SEC_New_27-Feb-2024Rev3.xlsx]D-PDP'!$BZ$35</v>
      </c>
      <c r="J861" s="37" t="s">
        <v>2393</v>
      </c>
    </row>
    <row r="862" spans="1:10" x14ac:dyDescent="0.25">
      <c r="A862" s="32" t="s">
        <v>1</v>
      </c>
      <c r="B862" s="32">
        <f t="shared" si="214"/>
        <v>2047</v>
      </c>
      <c r="C862" s="33" t="s">
        <v>11</v>
      </c>
      <c r="D862" s="34" t="s">
        <v>1999</v>
      </c>
      <c r="E862" s="35" t="str">
        <f t="shared" si="210"/>
        <v>PDP'!</v>
      </c>
      <c r="F862" s="34" t="str">
        <f t="shared" si="211"/>
        <v>C:\Users\jaime.benazar\Quorum Business Solutions\Ecopetrol Prometeo - Documents\Planning Space Implementation\3. Analysis &amp; Design\Design\FC22\DRR Jaime\QUIFA-CAJÚA\Cajua\[CAJUA_CF_SEC_New_27-Feb-2024Rev3.xlsx]D-PDP'!</v>
      </c>
      <c r="G862" s="32" t="s">
        <v>112</v>
      </c>
      <c r="H862" s="33">
        <f t="shared" si="212"/>
        <v>36</v>
      </c>
      <c r="I862" s="33" t="str">
        <f t="shared" si="213"/>
        <v>='C:\Users\jaime.benazar\Quorum Business Solutions\Ecopetrol Prometeo - Documents\Planning Space Implementation\3. Analysis &amp; Design\Design\FC22\DRR Jaime\QUIFA-CAJÚA\Cajua\[CAJUA_CF_SEC_New_27-Feb-2024Rev3.xlsx]D-PDP'!$BZ$36</v>
      </c>
      <c r="J862" s="37" t="s">
        <v>2394</v>
      </c>
    </row>
    <row r="863" spans="1:10" x14ac:dyDescent="0.25">
      <c r="A863" s="32" t="s">
        <v>1</v>
      </c>
      <c r="B863" s="32">
        <f t="shared" si="214"/>
        <v>2048</v>
      </c>
      <c r="C863" s="33" t="s">
        <v>11</v>
      </c>
      <c r="D863" s="34" t="s">
        <v>1999</v>
      </c>
      <c r="E863" s="35" t="str">
        <f t="shared" si="210"/>
        <v>PDP'!</v>
      </c>
      <c r="F863" s="34" t="str">
        <f t="shared" si="211"/>
        <v>C:\Users\jaime.benazar\Quorum Business Solutions\Ecopetrol Prometeo - Documents\Planning Space Implementation\3. Analysis &amp; Design\Design\FC22\DRR Jaime\QUIFA-CAJÚA\Cajua\[CAJUA_CF_SEC_New_27-Feb-2024Rev3.xlsx]D-PDP'!</v>
      </c>
      <c r="G863" s="32" t="s">
        <v>112</v>
      </c>
      <c r="H863" s="33">
        <f t="shared" si="212"/>
        <v>37</v>
      </c>
      <c r="I863" s="33" t="str">
        <f t="shared" si="213"/>
        <v>='C:\Users\jaime.benazar\Quorum Business Solutions\Ecopetrol Prometeo - Documents\Planning Space Implementation\3. Analysis &amp; Design\Design\FC22\DRR Jaime\QUIFA-CAJÚA\Cajua\[CAJUA_CF_SEC_New_27-Feb-2024Rev3.xlsx]D-PDP'!$BZ$37</v>
      </c>
      <c r="J863" s="37" t="s">
        <v>2395</v>
      </c>
    </row>
    <row r="864" spans="1:10" x14ac:dyDescent="0.25">
      <c r="A864" s="32" t="s">
        <v>1</v>
      </c>
      <c r="B864" s="32">
        <f t="shared" si="214"/>
        <v>2049</v>
      </c>
      <c r="C864" s="33" t="s">
        <v>11</v>
      </c>
      <c r="D864" s="34" t="s">
        <v>1999</v>
      </c>
      <c r="E864" s="35" t="str">
        <f t="shared" si="210"/>
        <v>PDP'!</v>
      </c>
      <c r="F864" s="34" t="str">
        <f t="shared" si="211"/>
        <v>C:\Users\jaime.benazar\Quorum Business Solutions\Ecopetrol Prometeo - Documents\Planning Space Implementation\3. Analysis &amp; Design\Design\FC22\DRR Jaime\QUIFA-CAJÚA\Cajua\[CAJUA_CF_SEC_New_27-Feb-2024Rev3.xlsx]D-PDP'!</v>
      </c>
      <c r="G864" s="32" t="s">
        <v>112</v>
      </c>
      <c r="H864" s="33">
        <f t="shared" si="212"/>
        <v>38</v>
      </c>
      <c r="I864" s="33" t="str">
        <f t="shared" si="213"/>
        <v>='C:\Users\jaime.benazar\Quorum Business Solutions\Ecopetrol Prometeo - Documents\Planning Space Implementation\3. Analysis &amp; Design\Design\FC22\DRR Jaime\QUIFA-CAJÚA\Cajua\[CAJUA_CF_SEC_New_27-Feb-2024Rev3.xlsx]D-PDP'!$BZ$38</v>
      </c>
      <c r="J864" s="37" t="s">
        <v>2396</v>
      </c>
    </row>
    <row r="865" spans="1:10" x14ac:dyDescent="0.25">
      <c r="A865" s="32" t="s">
        <v>1</v>
      </c>
      <c r="B865" s="32">
        <f t="shared" si="214"/>
        <v>2050</v>
      </c>
      <c r="C865" s="33" t="s">
        <v>11</v>
      </c>
      <c r="D865" s="34" t="s">
        <v>1999</v>
      </c>
      <c r="E865" s="35" t="str">
        <f t="shared" si="210"/>
        <v>PDP'!</v>
      </c>
      <c r="F865" s="34" t="str">
        <f t="shared" si="211"/>
        <v>C:\Users\jaime.benazar\Quorum Business Solutions\Ecopetrol Prometeo - Documents\Planning Space Implementation\3. Analysis &amp; Design\Design\FC22\DRR Jaime\QUIFA-CAJÚA\Cajua\[CAJUA_CF_SEC_New_27-Feb-2024Rev3.xlsx]D-PDP'!</v>
      </c>
      <c r="G865" s="32" t="s">
        <v>112</v>
      </c>
      <c r="H865" s="33">
        <f t="shared" si="212"/>
        <v>39</v>
      </c>
      <c r="I865" s="33" t="str">
        <f t="shared" si="213"/>
        <v>='C:\Users\jaime.benazar\Quorum Business Solutions\Ecopetrol Prometeo - Documents\Planning Space Implementation\3. Analysis &amp; Design\Design\FC22\DRR Jaime\QUIFA-CAJÚA\Cajua\[CAJUA_CF_SEC_New_27-Feb-2024Rev3.xlsx]D-PDP'!$BZ$39</v>
      </c>
      <c r="J865" s="37" t="s">
        <v>2397</v>
      </c>
    </row>
    <row r="866" spans="1:10" x14ac:dyDescent="0.25">
      <c r="A866" s="32" t="s">
        <v>1</v>
      </c>
      <c r="B866" s="32">
        <f t="shared" si="214"/>
        <v>2051</v>
      </c>
      <c r="C866" s="33" t="s">
        <v>11</v>
      </c>
      <c r="D866" s="34" t="s">
        <v>1999</v>
      </c>
      <c r="E866" s="35" t="str">
        <f t="shared" si="210"/>
        <v>PDP'!</v>
      </c>
      <c r="F866" s="34" t="str">
        <f t="shared" si="211"/>
        <v>C:\Users\jaime.benazar\Quorum Business Solutions\Ecopetrol Prometeo - Documents\Planning Space Implementation\3. Analysis &amp; Design\Design\FC22\DRR Jaime\QUIFA-CAJÚA\Cajua\[CAJUA_CF_SEC_New_27-Feb-2024Rev3.xlsx]D-PDP'!</v>
      </c>
      <c r="G866" s="32" t="s">
        <v>112</v>
      </c>
      <c r="H866" s="33">
        <f t="shared" si="212"/>
        <v>40</v>
      </c>
      <c r="I866" s="33" t="str">
        <f t="shared" si="213"/>
        <v>='C:\Users\jaime.benazar\Quorum Business Solutions\Ecopetrol Prometeo - Documents\Planning Space Implementation\3. Analysis &amp; Design\Design\FC22\DRR Jaime\QUIFA-CAJÚA\Cajua\[CAJUA_CF_SEC_New_27-Feb-2024Rev3.xlsx]D-PDP'!$BZ$40</v>
      </c>
      <c r="J866" s="37" t="s">
        <v>2398</v>
      </c>
    </row>
    <row r="867" spans="1:10" x14ac:dyDescent="0.25">
      <c r="A867" s="32" t="s">
        <v>1</v>
      </c>
      <c r="B867" s="32">
        <f t="shared" si="214"/>
        <v>2052</v>
      </c>
      <c r="C867" s="33" t="s">
        <v>11</v>
      </c>
      <c r="D867" s="34" t="s">
        <v>1999</v>
      </c>
      <c r="E867" s="35" t="str">
        <f t="shared" si="210"/>
        <v>PDP'!</v>
      </c>
      <c r="F867" s="34" t="str">
        <f t="shared" si="211"/>
        <v>C:\Users\jaime.benazar\Quorum Business Solutions\Ecopetrol Prometeo - Documents\Planning Space Implementation\3. Analysis &amp; Design\Design\FC22\DRR Jaime\QUIFA-CAJÚA\Cajua\[CAJUA_CF_SEC_New_27-Feb-2024Rev3.xlsx]D-PDP'!</v>
      </c>
      <c r="G867" s="32" t="s">
        <v>112</v>
      </c>
      <c r="H867" s="33">
        <f t="shared" si="212"/>
        <v>41</v>
      </c>
      <c r="I867" s="33" t="str">
        <f t="shared" si="213"/>
        <v>='C:\Users\jaime.benazar\Quorum Business Solutions\Ecopetrol Prometeo - Documents\Planning Space Implementation\3. Analysis &amp; Design\Design\FC22\DRR Jaime\QUIFA-CAJÚA\Cajua\[CAJUA_CF_SEC_New_27-Feb-2024Rev3.xlsx]D-PDP'!$BZ$41</v>
      </c>
      <c r="J867" s="37" t="s">
        <v>2399</v>
      </c>
    </row>
    <row r="868" spans="1:10" x14ac:dyDescent="0.25">
      <c r="A868" s="32" t="s">
        <v>1</v>
      </c>
      <c r="B868" s="32">
        <f t="shared" si="214"/>
        <v>2053</v>
      </c>
      <c r="C868" s="33" t="s">
        <v>11</v>
      </c>
      <c r="D868" s="34" t="s">
        <v>1999</v>
      </c>
      <c r="E868" s="35" t="str">
        <f t="shared" si="210"/>
        <v>PDP'!</v>
      </c>
      <c r="F868" s="34" t="str">
        <f t="shared" si="211"/>
        <v>C:\Users\jaime.benazar\Quorum Business Solutions\Ecopetrol Prometeo - Documents\Planning Space Implementation\3. Analysis &amp; Design\Design\FC22\DRR Jaime\QUIFA-CAJÚA\Cajua\[CAJUA_CF_SEC_New_27-Feb-2024Rev3.xlsx]D-PDP'!</v>
      </c>
      <c r="G868" s="32" t="s">
        <v>112</v>
      </c>
      <c r="H868" s="33">
        <f t="shared" si="212"/>
        <v>42</v>
      </c>
      <c r="I868" s="33" t="str">
        <f t="shared" si="213"/>
        <v>='C:\Users\jaime.benazar\Quorum Business Solutions\Ecopetrol Prometeo - Documents\Planning Space Implementation\3. Analysis &amp; Design\Design\FC22\DRR Jaime\QUIFA-CAJÚA\Cajua\[CAJUA_CF_SEC_New_27-Feb-2024Rev3.xlsx]D-PDP'!$BZ$42</v>
      </c>
      <c r="J868" s="37" t="s">
        <v>2400</v>
      </c>
    </row>
    <row r="869" spans="1:10" x14ac:dyDescent="0.25">
      <c r="A869" s="32" t="s">
        <v>1</v>
      </c>
      <c r="B869" s="32">
        <f t="shared" si="214"/>
        <v>2054</v>
      </c>
      <c r="C869" s="33" t="s">
        <v>11</v>
      </c>
      <c r="D869" s="34" t="s">
        <v>1999</v>
      </c>
      <c r="E869" s="35" t="str">
        <f t="shared" si="210"/>
        <v>PDP'!</v>
      </c>
      <c r="F869" s="34" t="str">
        <f t="shared" si="211"/>
        <v>C:\Users\jaime.benazar\Quorum Business Solutions\Ecopetrol Prometeo - Documents\Planning Space Implementation\3. Analysis &amp; Design\Design\FC22\DRR Jaime\QUIFA-CAJÚA\Cajua\[CAJUA_CF_SEC_New_27-Feb-2024Rev3.xlsx]D-PDP'!</v>
      </c>
      <c r="G869" s="32" t="s">
        <v>112</v>
      </c>
      <c r="H869" s="33">
        <f t="shared" si="212"/>
        <v>43</v>
      </c>
      <c r="I869" s="33" t="str">
        <f t="shared" si="213"/>
        <v>='C:\Users\jaime.benazar\Quorum Business Solutions\Ecopetrol Prometeo - Documents\Planning Space Implementation\3. Analysis &amp; Design\Design\FC22\DRR Jaime\QUIFA-CAJÚA\Cajua\[CAJUA_CF_SEC_New_27-Feb-2024Rev3.xlsx]D-PDP'!$BZ$43</v>
      </c>
      <c r="J869" s="37" t="s">
        <v>2401</v>
      </c>
    </row>
    <row r="870" spans="1:10" x14ac:dyDescent="0.25">
      <c r="A870" s="32" t="s">
        <v>1</v>
      </c>
      <c r="B870" s="32">
        <f t="shared" si="214"/>
        <v>2055</v>
      </c>
      <c r="C870" s="33" t="s">
        <v>11</v>
      </c>
      <c r="D870" s="34" t="s">
        <v>1999</v>
      </c>
      <c r="E870" s="35" t="str">
        <f t="shared" si="210"/>
        <v>PDP'!</v>
      </c>
      <c r="F870" s="34" t="str">
        <f t="shared" si="211"/>
        <v>C:\Users\jaime.benazar\Quorum Business Solutions\Ecopetrol Prometeo - Documents\Planning Space Implementation\3. Analysis &amp; Design\Design\FC22\DRR Jaime\QUIFA-CAJÚA\Cajua\[CAJUA_CF_SEC_New_27-Feb-2024Rev3.xlsx]D-PDP'!</v>
      </c>
      <c r="G870" s="32" t="s">
        <v>112</v>
      </c>
      <c r="H870" s="33">
        <f t="shared" si="212"/>
        <v>44</v>
      </c>
      <c r="I870" s="33" t="str">
        <f t="shared" si="213"/>
        <v>='C:\Users\jaime.benazar\Quorum Business Solutions\Ecopetrol Prometeo - Documents\Planning Space Implementation\3. Analysis &amp; Design\Design\FC22\DRR Jaime\QUIFA-CAJÚA\Cajua\[CAJUA_CF_SEC_New_27-Feb-2024Rev3.xlsx]D-PDP'!$BZ$44</v>
      </c>
      <c r="J870" s="37" t="s">
        <v>2402</v>
      </c>
    </row>
    <row r="871" spans="1:10" x14ac:dyDescent="0.25">
      <c r="A871" s="32" t="s">
        <v>1</v>
      </c>
      <c r="B871" s="32">
        <f t="shared" si="214"/>
        <v>2056</v>
      </c>
      <c r="C871" s="33" t="s">
        <v>11</v>
      </c>
      <c r="D871" s="34" t="s">
        <v>1999</v>
      </c>
      <c r="E871" s="35" t="str">
        <f t="shared" si="210"/>
        <v>PDP'!</v>
      </c>
      <c r="F871" s="34" t="str">
        <f t="shared" si="211"/>
        <v>C:\Users\jaime.benazar\Quorum Business Solutions\Ecopetrol Prometeo - Documents\Planning Space Implementation\3. Analysis &amp; Design\Design\FC22\DRR Jaime\QUIFA-CAJÚA\Cajua\[CAJUA_CF_SEC_New_27-Feb-2024Rev3.xlsx]D-PDP'!</v>
      </c>
      <c r="G871" s="32" t="s">
        <v>112</v>
      </c>
      <c r="H871" s="33">
        <f t="shared" si="212"/>
        <v>45</v>
      </c>
      <c r="I871" s="33" t="str">
        <f t="shared" si="213"/>
        <v>='C:\Users\jaime.benazar\Quorum Business Solutions\Ecopetrol Prometeo - Documents\Planning Space Implementation\3. Analysis &amp; Design\Design\FC22\DRR Jaime\QUIFA-CAJÚA\Cajua\[CAJUA_CF_SEC_New_27-Feb-2024Rev3.xlsx]D-PDP'!$BZ$45</v>
      </c>
      <c r="J871" s="37" t="s">
        <v>2403</v>
      </c>
    </row>
    <row r="872" spans="1:10" x14ac:dyDescent="0.25">
      <c r="A872" s="32" t="s">
        <v>1</v>
      </c>
      <c r="B872" s="32">
        <f t="shared" si="214"/>
        <v>2057</v>
      </c>
      <c r="C872" s="33" t="s">
        <v>11</v>
      </c>
      <c r="D872" s="34" t="s">
        <v>1999</v>
      </c>
      <c r="E872" s="35" t="str">
        <f t="shared" si="210"/>
        <v>PDP'!</v>
      </c>
      <c r="F872" s="34" t="str">
        <f t="shared" si="211"/>
        <v>C:\Users\jaime.benazar\Quorum Business Solutions\Ecopetrol Prometeo - Documents\Planning Space Implementation\3. Analysis &amp; Design\Design\FC22\DRR Jaime\QUIFA-CAJÚA\Cajua\[CAJUA_CF_SEC_New_27-Feb-2024Rev3.xlsx]D-PDP'!</v>
      </c>
      <c r="G872" s="32" t="s">
        <v>112</v>
      </c>
      <c r="H872" s="33">
        <f t="shared" si="212"/>
        <v>46</v>
      </c>
      <c r="I872" s="33" t="str">
        <f t="shared" si="213"/>
        <v>='C:\Users\jaime.benazar\Quorum Business Solutions\Ecopetrol Prometeo - Documents\Planning Space Implementation\3. Analysis &amp; Design\Design\FC22\DRR Jaime\QUIFA-CAJÚA\Cajua\[CAJUA_CF_SEC_New_27-Feb-2024Rev3.xlsx]D-PDP'!$BZ$46</v>
      </c>
      <c r="J872" s="37" t="s">
        <v>2404</v>
      </c>
    </row>
    <row r="873" spans="1:10" x14ac:dyDescent="0.25">
      <c r="A873" s="32" t="s">
        <v>1</v>
      </c>
      <c r="B873" s="32">
        <f t="shared" si="214"/>
        <v>2058</v>
      </c>
      <c r="C873" s="33" t="s">
        <v>11</v>
      </c>
      <c r="D873" s="34" t="s">
        <v>1999</v>
      </c>
      <c r="E873" s="35" t="str">
        <f t="shared" si="210"/>
        <v>PDP'!</v>
      </c>
      <c r="F873" s="34" t="str">
        <f t="shared" si="211"/>
        <v>C:\Users\jaime.benazar\Quorum Business Solutions\Ecopetrol Prometeo - Documents\Planning Space Implementation\3. Analysis &amp; Design\Design\FC22\DRR Jaime\QUIFA-CAJÚA\Cajua\[CAJUA_CF_SEC_New_27-Feb-2024Rev3.xlsx]D-PDP'!</v>
      </c>
      <c r="G873" s="32" t="s">
        <v>112</v>
      </c>
      <c r="H873" s="33">
        <f t="shared" si="212"/>
        <v>47</v>
      </c>
      <c r="I873" s="33" t="str">
        <f t="shared" si="213"/>
        <v>='C:\Users\jaime.benazar\Quorum Business Solutions\Ecopetrol Prometeo - Documents\Planning Space Implementation\3. Analysis &amp; Design\Design\FC22\DRR Jaime\QUIFA-CAJÚA\Cajua\[CAJUA_CF_SEC_New_27-Feb-2024Rev3.xlsx]D-PDP'!$BZ$47</v>
      </c>
      <c r="J873" s="37" t="s">
        <v>2405</v>
      </c>
    </row>
    <row r="874" spans="1:10" x14ac:dyDescent="0.25">
      <c r="A874" s="32" t="s">
        <v>1</v>
      </c>
      <c r="B874" s="32">
        <f t="shared" si="214"/>
        <v>2059</v>
      </c>
      <c r="C874" s="33" t="s">
        <v>11</v>
      </c>
      <c r="D874" s="34" t="s">
        <v>1999</v>
      </c>
      <c r="E874" s="35" t="str">
        <f t="shared" si="210"/>
        <v>PDP'!</v>
      </c>
      <c r="F874" s="34" t="str">
        <f t="shared" si="211"/>
        <v>C:\Users\jaime.benazar\Quorum Business Solutions\Ecopetrol Prometeo - Documents\Planning Space Implementation\3. Analysis &amp; Design\Design\FC22\DRR Jaime\QUIFA-CAJÚA\Cajua\[CAJUA_CF_SEC_New_27-Feb-2024Rev3.xlsx]D-PDP'!</v>
      </c>
      <c r="G874" s="32" t="s">
        <v>112</v>
      </c>
      <c r="H874" s="33">
        <f t="shared" si="212"/>
        <v>48</v>
      </c>
      <c r="I874" s="33" t="str">
        <f t="shared" si="213"/>
        <v>='C:\Users\jaime.benazar\Quorum Business Solutions\Ecopetrol Prometeo - Documents\Planning Space Implementation\3. Analysis &amp; Design\Design\FC22\DRR Jaime\QUIFA-CAJÚA\Cajua\[CAJUA_CF_SEC_New_27-Feb-2024Rev3.xlsx]D-PDP'!$BZ$48</v>
      </c>
      <c r="J874" s="37" t="s">
        <v>2406</v>
      </c>
    </row>
    <row r="875" spans="1:10" x14ac:dyDescent="0.25">
      <c r="A875" s="32" t="s">
        <v>28</v>
      </c>
      <c r="B875" s="32"/>
      <c r="C875" s="33" t="s">
        <v>11</v>
      </c>
      <c r="D875" s="34"/>
      <c r="E875" s="35"/>
      <c r="F875" s="34"/>
      <c r="G875" s="32"/>
      <c r="H875" s="33"/>
      <c r="I875" s="33"/>
      <c r="J875" s="33"/>
    </row>
    <row r="876" spans="1:10" x14ac:dyDescent="0.25">
      <c r="A876" s="32" t="s">
        <v>2</v>
      </c>
      <c r="B876" s="32">
        <v>2023</v>
      </c>
      <c r="C876" s="33" t="s">
        <v>11</v>
      </c>
      <c r="D876" s="34" t="s">
        <v>1999</v>
      </c>
      <c r="E876" s="35" t="str">
        <f t="shared" si="203"/>
        <v>PNP'!</v>
      </c>
      <c r="F876" s="34" t="str">
        <f t="shared" si="204"/>
        <v>C:\Users\jaime.benazar\Quorum Business Solutions\Ecopetrol Prometeo - Documents\Planning Space Implementation\3. Analysis &amp; Design\Design\FC22\DRR Jaime\QUIFA-CAJÚA\Cajua\[CAJUA_CF_SEC_New_27-Feb-2024Rev3.xlsx]D-PNP'!</v>
      </c>
      <c r="G876" s="32" t="s">
        <v>112</v>
      </c>
      <c r="H876" s="33">
        <v>12</v>
      </c>
      <c r="I876" s="33" t="str">
        <f t="shared" si="206"/>
        <v>='C:\Users\jaime.benazar\Quorum Business Solutions\Ecopetrol Prometeo - Documents\Planning Space Implementation\3. Analysis &amp; Design\Design\FC22\DRR Jaime\QUIFA-CAJÚA\Cajua\[CAJUA_CF_SEC_New_27-Feb-2024Rev3.xlsx]D-PNP'!$BZ$12</v>
      </c>
      <c r="J876" s="37" t="s">
        <v>2407</v>
      </c>
    </row>
    <row r="877" spans="1:10" x14ac:dyDescent="0.25">
      <c r="A877" s="32" t="s">
        <v>2</v>
      </c>
      <c r="B877" s="32">
        <f>+B876+1</f>
        <v>2024</v>
      </c>
      <c r="C877" s="33" t="s">
        <v>11</v>
      </c>
      <c r="D877" s="34" t="s">
        <v>1999</v>
      </c>
      <c r="E877" s="35" t="str">
        <f t="shared" si="203"/>
        <v>PNP'!</v>
      </c>
      <c r="F877" s="34" t="str">
        <f t="shared" si="204"/>
        <v>C:\Users\jaime.benazar\Quorum Business Solutions\Ecopetrol Prometeo - Documents\Planning Space Implementation\3. Analysis &amp; Design\Design\FC22\DRR Jaime\QUIFA-CAJÚA\Cajua\[CAJUA_CF_SEC_New_27-Feb-2024Rev3.xlsx]D-PNP'!</v>
      </c>
      <c r="G877" s="32" t="s">
        <v>112</v>
      </c>
      <c r="H877" s="33">
        <f t="shared" ref="H877:H896" si="215">IF(A877&lt;&gt;A876,12,H876+1)</f>
        <v>13</v>
      </c>
      <c r="I877" s="33" t="str">
        <f t="shared" si="206"/>
        <v>='C:\Users\jaime.benazar\Quorum Business Solutions\Ecopetrol Prometeo - Documents\Planning Space Implementation\3. Analysis &amp; Design\Design\FC22\DRR Jaime\QUIFA-CAJÚA\Cajua\[CAJUA_CF_SEC_New_27-Feb-2024Rev3.xlsx]D-PNP'!$BZ$13</v>
      </c>
      <c r="J877" s="37" t="s">
        <v>2408</v>
      </c>
    </row>
    <row r="878" spans="1:10" x14ac:dyDescent="0.25">
      <c r="A878" s="32" t="s">
        <v>2</v>
      </c>
      <c r="B878" s="32">
        <f t="shared" ref="B878:B889" si="216">+B877+1</f>
        <v>2025</v>
      </c>
      <c r="C878" s="33" t="s">
        <v>11</v>
      </c>
      <c r="D878" s="34" t="s">
        <v>1999</v>
      </c>
      <c r="E878" s="35" t="str">
        <f t="shared" si="203"/>
        <v>PNP'!</v>
      </c>
      <c r="F878" s="34" t="str">
        <f t="shared" si="204"/>
        <v>C:\Users\jaime.benazar\Quorum Business Solutions\Ecopetrol Prometeo - Documents\Planning Space Implementation\3. Analysis &amp; Design\Design\FC22\DRR Jaime\QUIFA-CAJÚA\Cajua\[CAJUA_CF_SEC_New_27-Feb-2024Rev3.xlsx]D-PNP'!</v>
      </c>
      <c r="G878" s="32" t="s">
        <v>112</v>
      </c>
      <c r="H878" s="33">
        <f t="shared" si="215"/>
        <v>14</v>
      </c>
      <c r="I878" s="33" t="str">
        <f t="shared" si="206"/>
        <v>='C:\Users\jaime.benazar\Quorum Business Solutions\Ecopetrol Prometeo - Documents\Planning Space Implementation\3. Analysis &amp; Design\Design\FC22\DRR Jaime\QUIFA-CAJÚA\Cajua\[CAJUA_CF_SEC_New_27-Feb-2024Rev3.xlsx]D-PNP'!$BZ$14</v>
      </c>
      <c r="J878" s="37" t="s">
        <v>2409</v>
      </c>
    </row>
    <row r="879" spans="1:10" x14ac:dyDescent="0.25">
      <c r="A879" s="32" t="s">
        <v>2</v>
      </c>
      <c r="B879" s="32">
        <f t="shared" si="216"/>
        <v>2026</v>
      </c>
      <c r="C879" s="33" t="s">
        <v>11</v>
      </c>
      <c r="D879" s="34" t="s">
        <v>1999</v>
      </c>
      <c r="E879" s="35" t="str">
        <f t="shared" si="203"/>
        <v>PNP'!</v>
      </c>
      <c r="F879" s="34" t="str">
        <f t="shared" si="204"/>
        <v>C:\Users\jaime.benazar\Quorum Business Solutions\Ecopetrol Prometeo - Documents\Planning Space Implementation\3. Analysis &amp; Design\Design\FC22\DRR Jaime\QUIFA-CAJÚA\Cajua\[CAJUA_CF_SEC_New_27-Feb-2024Rev3.xlsx]D-PNP'!</v>
      </c>
      <c r="G879" s="32" t="s">
        <v>112</v>
      </c>
      <c r="H879" s="33">
        <f t="shared" si="215"/>
        <v>15</v>
      </c>
      <c r="I879" s="33" t="str">
        <f t="shared" si="206"/>
        <v>='C:\Users\jaime.benazar\Quorum Business Solutions\Ecopetrol Prometeo - Documents\Planning Space Implementation\3. Analysis &amp; Design\Design\FC22\DRR Jaime\QUIFA-CAJÚA\Cajua\[CAJUA_CF_SEC_New_27-Feb-2024Rev3.xlsx]D-PNP'!$BZ$15</v>
      </c>
      <c r="J879" s="37" t="s">
        <v>2410</v>
      </c>
    </row>
    <row r="880" spans="1:10" x14ac:dyDescent="0.25">
      <c r="A880" s="32" t="s">
        <v>2</v>
      </c>
      <c r="B880" s="32">
        <f t="shared" si="216"/>
        <v>2027</v>
      </c>
      <c r="C880" s="33" t="s">
        <v>11</v>
      </c>
      <c r="D880" s="34" t="s">
        <v>1999</v>
      </c>
      <c r="E880" s="35" t="str">
        <f t="shared" si="203"/>
        <v>PNP'!</v>
      </c>
      <c r="F880" s="34" t="str">
        <f t="shared" si="204"/>
        <v>C:\Users\jaime.benazar\Quorum Business Solutions\Ecopetrol Prometeo - Documents\Planning Space Implementation\3. Analysis &amp; Design\Design\FC22\DRR Jaime\QUIFA-CAJÚA\Cajua\[CAJUA_CF_SEC_New_27-Feb-2024Rev3.xlsx]D-PNP'!</v>
      </c>
      <c r="G880" s="32" t="s">
        <v>112</v>
      </c>
      <c r="H880" s="33">
        <f t="shared" si="215"/>
        <v>16</v>
      </c>
      <c r="I880" s="33" t="str">
        <f t="shared" si="206"/>
        <v>='C:\Users\jaime.benazar\Quorum Business Solutions\Ecopetrol Prometeo - Documents\Planning Space Implementation\3. Analysis &amp; Design\Design\FC22\DRR Jaime\QUIFA-CAJÚA\Cajua\[CAJUA_CF_SEC_New_27-Feb-2024Rev3.xlsx]D-PNP'!$BZ$16</v>
      </c>
      <c r="J880" s="37" t="s">
        <v>2411</v>
      </c>
    </row>
    <row r="881" spans="1:10" x14ac:dyDescent="0.25">
      <c r="A881" s="32" t="s">
        <v>2</v>
      </c>
      <c r="B881" s="32">
        <f t="shared" si="216"/>
        <v>2028</v>
      </c>
      <c r="C881" s="33" t="s">
        <v>11</v>
      </c>
      <c r="D881" s="34" t="s">
        <v>1999</v>
      </c>
      <c r="E881" s="35" t="str">
        <f t="shared" si="203"/>
        <v>PNP'!</v>
      </c>
      <c r="F881" s="34" t="str">
        <f t="shared" si="204"/>
        <v>C:\Users\jaime.benazar\Quorum Business Solutions\Ecopetrol Prometeo - Documents\Planning Space Implementation\3. Analysis &amp; Design\Design\FC22\DRR Jaime\QUIFA-CAJÚA\Cajua\[CAJUA_CF_SEC_New_27-Feb-2024Rev3.xlsx]D-PNP'!</v>
      </c>
      <c r="G881" s="32" t="s">
        <v>112</v>
      </c>
      <c r="H881" s="33">
        <f t="shared" si="215"/>
        <v>17</v>
      </c>
      <c r="I881" s="33" t="str">
        <f t="shared" si="206"/>
        <v>='C:\Users\jaime.benazar\Quorum Business Solutions\Ecopetrol Prometeo - Documents\Planning Space Implementation\3. Analysis &amp; Design\Design\FC22\DRR Jaime\QUIFA-CAJÚA\Cajua\[CAJUA_CF_SEC_New_27-Feb-2024Rev3.xlsx]D-PNP'!$BZ$17</v>
      </c>
      <c r="J881" s="37" t="s">
        <v>2412</v>
      </c>
    </row>
    <row r="882" spans="1:10" x14ac:dyDescent="0.25">
      <c r="A882" s="32" t="s">
        <v>2</v>
      </c>
      <c r="B882" s="32">
        <f t="shared" si="216"/>
        <v>2029</v>
      </c>
      <c r="C882" s="33" t="s">
        <v>11</v>
      </c>
      <c r="D882" s="34" t="s">
        <v>1999</v>
      </c>
      <c r="E882" s="35" t="str">
        <f t="shared" si="203"/>
        <v>PNP'!</v>
      </c>
      <c r="F882" s="34" t="str">
        <f t="shared" si="204"/>
        <v>C:\Users\jaime.benazar\Quorum Business Solutions\Ecopetrol Prometeo - Documents\Planning Space Implementation\3. Analysis &amp; Design\Design\FC22\DRR Jaime\QUIFA-CAJÚA\Cajua\[CAJUA_CF_SEC_New_27-Feb-2024Rev3.xlsx]D-PNP'!</v>
      </c>
      <c r="G882" s="32" t="s">
        <v>112</v>
      </c>
      <c r="H882" s="33">
        <f t="shared" si="215"/>
        <v>18</v>
      </c>
      <c r="I882" s="33" t="str">
        <f t="shared" si="206"/>
        <v>='C:\Users\jaime.benazar\Quorum Business Solutions\Ecopetrol Prometeo - Documents\Planning Space Implementation\3. Analysis &amp; Design\Design\FC22\DRR Jaime\QUIFA-CAJÚA\Cajua\[CAJUA_CF_SEC_New_27-Feb-2024Rev3.xlsx]D-PNP'!$BZ$18</v>
      </c>
      <c r="J882" s="37" t="s">
        <v>2413</v>
      </c>
    </row>
    <row r="883" spans="1:10" x14ac:dyDescent="0.25">
      <c r="A883" s="32" t="s">
        <v>2</v>
      </c>
      <c r="B883" s="32">
        <f t="shared" si="216"/>
        <v>2030</v>
      </c>
      <c r="C883" s="33" t="s">
        <v>11</v>
      </c>
      <c r="D883" s="34" t="s">
        <v>1999</v>
      </c>
      <c r="E883" s="35" t="str">
        <f t="shared" si="203"/>
        <v>PNP'!</v>
      </c>
      <c r="F883" s="34" t="str">
        <f t="shared" si="204"/>
        <v>C:\Users\jaime.benazar\Quorum Business Solutions\Ecopetrol Prometeo - Documents\Planning Space Implementation\3. Analysis &amp; Design\Design\FC22\DRR Jaime\QUIFA-CAJÚA\Cajua\[CAJUA_CF_SEC_New_27-Feb-2024Rev3.xlsx]D-PNP'!</v>
      </c>
      <c r="G883" s="32" t="s">
        <v>112</v>
      </c>
      <c r="H883" s="33">
        <f t="shared" si="215"/>
        <v>19</v>
      </c>
      <c r="I883" s="33" t="str">
        <f t="shared" si="206"/>
        <v>='C:\Users\jaime.benazar\Quorum Business Solutions\Ecopetrol Prometeo - Documents\Planning Space Implementation\3. Analysis &amp; Design\Design\FC22\DRR Jaime\QUIFA-CAJÚA\Cajua\[CAJUA_CF_SEC_New_27-Feb-2024Rev3.xlsx]D-PNP'!$BZ$19</v>
      </c>
      <c r="J883" s="37" t="s">
        <v>2414</v>
      </c>
    </row>
    <row r="884" spans="1:10" x14ac:dyDescent="0.25">
      <c r="A884" s="32" t="s">
        <v>2</v>
      </c>
      <c r="B884" s="32">
        <f t="shared" si="216"/>
        <v>2031</v>
      </c>
      <c r="C884" s="33" t="s">
        <v>11</v>
      </c>
      <c r="D884" s="34" t="s">
        <v>1999</v>
      </c>
      <c r="E884" s="35" t="str">
        <f t="shared" si="203"/>
        <v>PNP'!</v>
      </c>
      <c r="F884" s="34" t="str">
        <f t="shared" si="204"/>
        <v>C:\Users\jaime.benazar\Quorum Business Solutions\Ecopetrol Prometeo - Documents\Planning Space Implementation\3. Analysis &amp; Design\Design\FC22\DRR Jaime\QUIFA-CAJÚA\Cajua\[CAJUA_CF_SEC_New_27-Feb-2024Rev3.xlsx]D-PNP'!</v>
      </c>
      <c r="G884" s="32" t="s">
        <v>112</v>
      </c>
      <c r="H884" s="33">
        <f t="shared" si="215"/>
        <v>20</v>
      </c>
      <c r="I884" s="33" t="str">
        <f t="shared" si="206"/>
        <v>='C:\Users\jaime.benazar\Quorum Business Solutions\Ecopetrol Prometeo - Documents\Planning Space Implementation\3. Analysis &amp; Design\Design\FC22\DRR Jaime\QUIFA-CAJÚA\Cajua\[CAJUA_CF_SEC_New_27-Feb-2024Rev3.xlsx]D-PNP'!$BZ$20</v>
      </c>
      <c r="J884" s="37" t="s">
        <v>2415</v>
      </c>
    </row>
    <row r="885" spans="1:10" x14ac:dyDescent="0.25">
      <c r="A885" s="32" t="s">
        <v>2</v>
      </c>
      <c r="B885" s="32">
        <f t="shared" si="216"/>
        <v>2032</v>
      </c>
      <c r="C885" s="33" t="s">
        <v>11</v>
      </c>
      <c r="D885" s="34" t="s">
        <v>1999</v>
      </c>
      <c r="E885" s="35" t="str">
        <f t="shared" si="203"/>
        <v>PNP'!</v>
      </c>
      <c r="F885" s="34" t="str">
        <f t="shared" si="204"/>
        <v>C:\Users\jaime.benazar\Quorum Business Solutions\Ecopetrol Prometeo - Documents\Planning Space Implementation\3. Analysis &amp; Design\Design\FC22\DRR Jaime\QUIFA-CAJÚA\Cajua\[CAJUA_CF_SEC_New_27-Feb-2024Rev3.xlsx]D-PNP'!</v>
      </c>
      <c r="G885" s="32" t="s">
        <v>112</v>
      </c>
      <c r="H885" s="33">
        <f t="shared" si="215"/>
        <v>21</v>
      </c>
      <c r="I885" s="33" t="str">
        <f t="shared" si="206"/>
        <v>='C:\Users\jaime.benazar\Quorum Business Solutions\Ecopetrol Prometeo - Documents\Planning Space Implementation\3. Analysis &amp; Design\Design\FC22\DRR Jaime\QUIFA-CAJÚA\Cajua\[CAJUA_CF_SEC_New_27-Feb-2024Rev3.xlsx]D-PNP'!$BZ$21</v>
      </c>
      <c r="J885" s="37" t="s">
        <v>2416</v>
      </c>
    </row>
    <row r="886" spans="1:10" x14ac:dyDescent="0.25">
      <c r="A886" s="32" t="s">
        <v>2</v>
      </c>
      <c r="B886" s="32">
        <f t="shared" si="216"/>
        <v>2033</v>
      </c>
      <c r="C886" s="33" t="s">
        <v>11</v>
      </c>
      <c r="D886" s="34" t="s">
        <v>1999</v>
      </c>
      <c r="E886" s="35" t="str">
        <f t="shared" si="203"/>
        <v>PNP'!</v>
      </c>
      <c r="F886" s="34" t="str">
        <f t="shared" si="204"/>
        <v>C:\Users\jaime.benazar\Quorum Business Solutions\Ecopetrol Prometeo - Documents\Planning Space Implementation\3. Analysis &amp; Design\Design\FC22\DRR Jaime\QUIFA-CAJÚA\Cajua\[CAJUA_CF_SEC_New_27-Feb-2024Rev3.xlsx]D-PNP'!</v>
      </c>
      <c r="G886" s="32" t="s">
        <v>112</v>
      </c>
      <c r="H886" s="33">
        <f t="shared" si="215"/>
        <v>22</v>
      </c>
      <c r="I886" s="33" t="str">
        <f t="shared" si="206"/>
        <v>='C:\Users\jaime.benazar\Quorum Business Solutions\Ecopetrol Prometeo - Documents\Planning Space Implementation\3. Analysis &amp; Design\Design\FC22\DRR Jaime\QUIFA-CAJÚA\Cajua\[CAJUA_CF_SEC_New_27-Feb-2024Rev3.xlsx]D-PNP'!$BZ$22</v>
      </c>
      <c r="J886" s="37" t="s">
        <v>2417</v>
      </c>
    </row>
    <row r="887" spans="1:10" x14ac:dyDescent="0.25">
      <c r="A887" s="32" t="s">
        <v>2</v>
      </c>
      <c r="B887" s="32">
        <f t="shared" si="216"/>
        <v>2034</v>
      </c>
      <c r="C887" s="33" t="s">
        <v>11</v>
      </c>
      <c r="D887" s="34" t="s">
        <v>1999</v>
      </c>
      <c r="E887" s="35" t="str">
        <f t="shared" si="203"/>
        <v>PNP'!</v>
      </c>
      <c r="F887" s="34" t="str">
        <f t="shared" si="204"/>
        <v>C:\Users\jaime.benazar\Quorum Business Solutions\Ecopetrol Prometeo - Documents\Planning Space Implementation\3. Analysis &amp; Design\Design\FC22\DRR Jaime\QUIFA-CAJÚA\Cajua\[CAJUA_CF_SEC_New_27-Feb-2024Rev3.xlsx]D-PNP'!</v>
      </c>
      <c r="G887" s="32" t="s">
        <v>112</v>
      </c>
      <c r="H887" s="33">
        <f t="shared" si="215"/>
        <v>23</v>
      </c>
      <c r="I887" s="33" t="str">
        <f t="shared" si="206"/>
        <v>='C:\Users\jaime.benazar\Quorum Business Solutions\Ecopetrol Prometeo - Documents\Planning Space Implementation\3. Analysis &amp; Design\Design\FC22\DRR Jaime\QUIFA-CAJÚA\Cajua\[CAJUA_CF_SEC_New_27-Feb-2024Rev3.xlsx]D-PNP'!$BZ$23</v>
      </c>
      <c r="J887" s="37" t="s">
        <v>2418</v>
      </c>
    </row>
    <row r="888" spans="1:10" x14ac:dyDescent="0.25">
      <c r="A888" s="32" t="s">
        <v>2</v>
      </c>
      <c r="B888" s="32">
        <f t="shared" si="216"/>
        <v>2035</v>
      </c>
      <c r="C888" s="33" t="s">
        <v>11</v>
      </c>
      <c r="D888" s="34" t="s">
        <v>1999</v>
      </c>
      <c r="E888" s="35" t="str">
        <f t="shared" si="203"/>
        <v>PNP'!</v>
      </c>
      <c r="F888" s="34" t="str">
        <f t="shared" si="204"/>
        <v>C:\Users\jaime.benazar\Quorum Business Solutions\Ecopetrol Prometeo - Documents\Planning Space Implementation\3. Analysis &amp; Design\Design\FC22\DRR Jaime\QUIFA-CAJÚA\Cajua\[CAJUA_CF_SEC_New_27-Feb-2024Rev3.xlsx]D-PNP'!</v>
      </c>
      <c r="G888" s="32" t="s">
        <v>112</v>
      </c>
      <c r="H888" s="33">
        <f t="shared" si="215"/>
        <v>24</v>
      </c>
      <c r="I888" s="33" t="str">
        <f t="shared" si="206"/>
        <v>='C:\Users\jaime.benazar\Quorum Business Solutions\Ecopetrol Prometeo - Documents\Planning Space Implementation\3. Analysis &amp; Design\Design\FC22\DRR Jaime\QUIFA-CAJÚA\Cajua\[CAJUA_CF_SEC_New_27-Feb-2024Rev3.xlsx]D-PNP'!$BZ$24</v>
      </c>
      <c r="J888" s="37" t="s">
        <v>2419</v>
      </c>
    </row>
    <row r="889" spans="1:10" x14ac:dyDescent="0.25">
      <c r="A889" s="32" t="s">
        <v>2</v>
      </c>
      <c r="B889" s="32">
        <f t="shared" si="216"/>
        <v>2036</v>
      </c>
      <c r="C889" s="33" t="s">
        <v>11</v>
      </c>
      <c r="D889" s="34" t="s">
        <v>1999</v>
      </c>
      <c r="E889" s="35" t="str">
        <f t="shared" si="203"/>
        <v>PNP'!</v>
      </c>
      <c r="F889" s="34" t="str">
        <f t="shared" si="204"/>
        <v>C:\Users\jaime.benazar\Quorum Business Solutions\Ecopetrol Prometeo - Documents\Planning Space Implementation\3. Analysis &amp; Design\Design\FC22\DRR Jaime\QUIFA-CAJÚA\Cajua\[CAJUA_CF_SEC_New_27-Feb-2024Rev3.xlsx]D-PNP'!</v>
      </c>
      <c r="G889" s="32" t="s">
        <v>112</v>
      </c>
      <c r="H889" s="33">
        <f t="shared" si="215"/>
        <v>25</v>
      </c>
      <c r="I889" s="33" t="str">
        <f t="shared" si="206"/>
        <v>='C:\Users\jaime.benazar\Quorum Business Solutions\Ecopetrol Prometeo - Documents\Planning Space Implementation\3. Analysis &amp; Design\Design\FC22\DRR Jaime\QUIFA-CAJÚA\Cajua\[CAJUA_CF_SEC_New_27-Feb-2024Rev3.xlsx]D-PNP'!$BZ$25</v>
      </c>
      <c r="J889" s="37" t="s">
        <v>2420</v>
      </c>
    </row>
    <row r="890" spans="1:10" x14ac:dyDescent="0.25">
      <c r="A890" s="32" t="s">
        <v>2</v>
      </c>
      <c r="B890" s="32">
        <f>+B889+1</f>
        <v>2037</v>
      </c>
      <c r="C890" s="33" t="s">
        <v>11</v>
      </c>
      <c r="D890" s="34" t="s">
        <v>1999</v>
      </c>
      <c r="E890" s="35" t="str">
        <f t="shared" si="203"/>
        <v>PNP'!</v>
      </c>
      <c r="F890" s="34" t="str">
        <f t="shared" si="204"/>
        <v>C:\Users\jaime.benazar\Quorum Business Solutions\Ecopetrol Prometeo - Documents\Planning Space Implementation\3. Analysis &amp; Design\Design\FC22\DRR Jaime\QUIFA-CAJÚA\Cajua\[CAJUA_CF_SEC_New_27-Feb-2024Rev3.xlsx]D-PNP'!</v>
      </c>
      <c r="G890" s="32" t="s">
        <v>112</v>
      </c>
      <c r="H890" s="33">
        <f t="shared" si="215"/>
        <v>26</v>
      </c>
      <c r="I890" s="33" t="str">
        <f t="shared" si="206"/>
        <v>='C:\Users\jaime.benazar\Quorum Business Solutions\Ecopetrol Prometeo - Documents\Planning Space Implementation\3. Analysis &amp; Design\Design\FC22\DRR Jaime\QUIFA-CAJÚA\Cajua\[CAJUA_CF_SEC_New_27-Feb-2024Rev3.xlsx]D-PNP'!$BZ$26</v>
      </c>
      <c r="J890" s="37" t="s">
        <v>2421</v>
      </c>
    </row>
    <row r="891" spans="1:10" x14ac:dyDescent="0.25">
      <c r="A891" s="32" t="s">
        <v>2</v>
      </c>
      <c r="B891" s="32">
        <f t="shared" ref="B891:B893" si="217">+B890+1</f>
        <v>2038</v>
      </c>
      <c r="C891" s="33" t="s">
        <v>11</v>
      </c>
      <c r="D891" s="34" t="s">
        <v>1999</v>
      </c>
      <c r="E891" s="35" t="str">
        <f t="shared" si="203"/>
        <v>PNP'!</v>
      </c>
      <c r="F891" s="34" t="str">
        <f t="shared" si="204"/>
        <v>C:\Users\jaime.benazar\Quorum Business Solutions\Ecopetrol Prometeo - Documents\Planning Space Implementation\3. Analysis &amp; Design\Design\FC22\DRR Jaime\QUIFA-CAJÚA\Cajua\[CAJUA_CF_SEC_New_27-Feb-2024Rev3.xlsx]D-PNP'!</v>
      </c>
      <c r="G891" s="32" t="s">
        <v>112</v>
      </c>
      <c r="H891" s="33">
        <f t="shared" si="215"/>
        <v>27</v>
      </c>
      <c r="I891" s="33" t="str">
        <f t="shared" si="206"/>
        <v>='C:\Users\jaime.benazar\Quorum Business Solutions\Ecopetrol Prometeo - Documents\Planning Space Implementation\3. Analysis &amp; Design\Design\FC22\DRR Jaime\QUIFA-CAJÚA\Cajua\[CAJUA_CF_SEC_New_27-Feb-2024Rev3.xlsx]D-PNP'!$BZ$27</v>
      </c>
      <c r="J891" s="37" t="s">
        <v>2422</v>
      </c>
    </row>
    <row r="892" spans="1:10" x14ac:dyDescent="0.25">
      <c r="A892" s="32" t="s">
        <v>2</v>
      </c>
      <c r="B892" s="32">
        <f t="shared" si="217"/>
        <v>2039</v>
      </c>
      <c r="C892" s="33" t="s">
        <v>11</v>
      </c>
      <c r="D892" s="34" t="s">
        <v>1999</v>
      </c>
      <c r="E892" s="35" t="str">
        <f t="shared" si="203"/>
        <v>PNP'!</v>
      </c>
      <c r="F892" s="34" t="str">
        <f t="shared" si="204"/>
        <v>C:\Users\jaime.benazar\Quorum Business Solutions\Ecopetrol Prometeo - Documents\Planning Space Implementation\3. Analysis &amp; Design\Design\FC22\DRR Jaime\QUIFA-CAJÚA\Cajua\[CAJUA_CF_SEC_New_27-Feb-2024Rev3.xlsx]D-PNP'!</v>
      </c>
      <c r="G892" s="32" t="s">
        <v>112</v>
      </c>
      <c r="H892" s="33">
        <f t="shared" si="215"/>
        <v>28</v>
      </c>
      <c r="I892" s="33" t="str">
        <f t="shared" si="206"/>
        <v>='C:\Users\jaime.benazar\Quorum Business Solutions\Ecopetrol Prometeo - Documents\Planning Space Implementation\3. Analysis &amp; Design\Design\FC22\DRR Jaime\QUIFA-CAJÚA\Cajua\[CAJUA_CF_SEC_New_27-Feb-2024Rev3.xlsx]D-PNP'!$BZ$28</v>
      </c>
      <c r="J892" s="37" t="s">
        <v>2423</v>
      </c>
    </row>
    <row r="893" spans="1:10" x14ac:dyDescent="0.25">
      <c r="A893" s="32" t="s">
        <v>2</v>
      </c>
      <c r="B893" s="32">
        <f t="shared" si="217"/>
        <v>2040</v>
      </c>
      <c r="C893" s="33" t="s">
        <v>11</v>
      </c>
      <c r="D893" s="34" t="s">
        <v>1999</v>
      </c>
      <c r="E893" s="35" t="str">
        <f t="shared" si="203"/>
        <v>PNP'!</v>
      </c>
      <c r="F893" s="34" t="str">
        <f t="shared" si="204"/>
        <v>C:\Users\jaime.benazar\Quorum Business Solutions\Ecopetrol Prometeo - Documents\Planning Space Implementation\3. Analysis &amp; Design\Design\FC22\DRR Jaime\QUIFA-CAJÚA\Cajua\[CAJUA_CF_SEC_New_27-Feb-2024Rev3.xlsx]D-PNP'!</v>
      </c>
      <c r="G893" s="32" t="s">
        <v>112</v>
      </c>
      <c r="H893" s="33">
        <f t="shared" si="215"/>
        <v>29</v>
      </c>
      <c r="I893" s="33" t="str">
        <f t="shared" si="206"/>
        <v>='C:\Users\jaime.benazar\Quorum Business Solutions\Ecopetrol Prometeo - Documents\Planning Space Implementation\3. Analysis &amp; Design\Design\FC22\DRR Jaime\QUIFA-CAJÚA\Cajua\[CAJUA_CF_SEC_New_27-Feb-2024Rev3.xlsx]D-PNP'!$BZ$29</v>
      </c>
      <c r="J893" s="37" t="s">
        <v>2424</v>
      </c>
    </row>
    <row r="894" spans="1:10" x14ac:dyDescent="0.25">
      <c r="A894" s="32" t="s">
        <v>2</v>
      </c>
      <c r="B894" s="32">
        <f>+B893+1</f>
        <v>2041</v>
      </c>
      <c r="C894" s="33" t="s">
        <v>11</v>
      </c>
      <c r="D894" s="34" t="s">
        <v>1999</v>
      </c>
      <c r="E894" s="35" t="str">
        <f t="shared" si="203"/>
        <v>PNP'!</v>
      </c>
      <c r="F894" s="34" t="str">
        <f t="shared" si="204"/>
        <v>C:\Users\jaime.benazar\Quorum Business Solutions\Ecopetrol Prometeo - Documents\Planning Space Implementation\3. Analysis &amp; Design\Design\FC22\DRR Jaime\QUIFA-CAJÚA\Cajua\[CAJUA_CF_SEC_New_27-Feb-2024Rev3.xlsx]D-PNP'!</v>
      </c>
      <c r="G894" s="32" t="s">
        <v>112</v>
      </c>
      <c r="H894" s="33">
        <f t="shared" si="215"/>
        <v>30</v>
      </c>
      <c r="I894" s="33" t="str">
        <f t="shared" si="206"/>
        <v>='C:\Users\jaime.benazar\Quorum Business Solutions\Ecopetrol Prometeo - Documents\Planning Space Implementation\3. Analysis &amp; Design\Design\FC22\DRR Jaime\QUIFA-CAJÚA\Cajua\[CAJUA_CF_SEC_New_27-Feb-2024Rev3.xlsx]D-PNP'!$BZ$30</v>
      </c>
      <c r="J894" s="37" t="s">
        <v>2425</v>
      </c>
    </row>
    <row r="895" spans="1:10" x14ac:dyDescent="0.25">
      <c r="A895" s="32" t="s">
        <v>2</v>
      </c>
      <c r="B895" s="32">
        <f t="shared" ref="B895:B896" si="218">+B894+1</f>
        <v>2042</v>
      </c>
      <c r="C895" s="33" t="s">
        <v>11</v>
      </c>
      <c r="D895" s="34" t="s">
        <v>1999</v>
      </c>
      <c r="E895" s="35" t="str">
        <f t="shared" si="203"/>
        <v>PNP'!</v>
      </c>
      <c r="F895" s="34" t="str">
        <f t="shared" si="204"/>
        <v>C:\Users\jaime.benazar\Quorum Business Solutions\Ecopetrol Prometeo - Documents\Planning Space Implementation\3. Analysis &amp; Design\Design\FC22\DRR Jaime\QUIFA-CAJÚA\Cajua\[CAJUA_CF_SEC_New_27-Feb-2024Rev3.xlsx]D-PNP'!</v>
      </c>
      <c r="G895" s="32" t="s">
        <v>112</v>
      </c>
      <c r="H895" s="33">
        <f t="shared" si="215"/>
        <v>31</v>
      </c>
      <c r="I895" s="33" t="str">
        <f t="shared" si="206"/>
        <v>='C:\Users\jaime.benazar\Quorum Business Solutions\Ecopetrol Prometeo - Documents\Planning Space Implementation\3. Analysis &amp; Design\Design\FC22\DRR Jaime\QUIFA-CAJÚA\Cajua\[CAJUA_CF_SEC_New_27-Feb-2024Rev3.xlsx]D-PNP'!$BZ$31</v>
      </c>
      <c r="J895" s="37" t="s">
        <v>2426</v>
      </c>
    </row>
    <row r="896" spans="1:10" x14ac:dyDescent="0.25">
      <c r="A896" s="32" t="s">
        <v>2</v>
      </c>
      <c r="B896" s="32">
        <f t="shared" si="218"/>
        <v>2043</v>
      </c>
      <c r="C896" s="33" t="s">
        <v>11</v>
      </c>
      <c r="D896" s="34" t="s">
        <v>1999</v>
      </c>
      <c r="E896" s="35" t="str">
        <f t="shared" si="203"/>
        <v>PNP'!</v>
      </c>
      <c r="F896" s="34" t="str">
        <f t="shared" si="204"/>
        <v>C:\Users\jaime.benazar\Quorum Business Solutions\Ecopetrol Prometeo - Documents\Planning Space Implementation\3. Analysis &amp; Design\Design\FC22\DRR Jaime\QUIFA-CAJÚA\Cajua\[CAJUA_CF_SEC_New_27-Feb-2024Rev3.xlsx]D-PNP'!</v>
      </c>
      <c r="G896" s="32" t="s">
        <v>112</v>
      </c>
      <c r="H896" s="33">
        <f t="shared" si="215"/>
        <v>32</v>
      </c>
      <c r="I896" s="33" t="str">
        <f t="shared" si="206"/>
        <v>='C:\Users\jaime.benazar\Quorum Business Solutions\Ecopetrol Prometeo - Documents\Planning Space Implementation\3. Analysis &amp; Design\Design\FC22\DRR Jaime\QUIFA-CAJÚA\Cajua\[CAJUA_CF_SEC_New_27-Feb-2024Rev3.xlsx]D-PNP'!$BZ$32</v>
      </c>
      <c r="J896" s="37" t="s">
        <v>2427</v>
      </c>
    </row>
    <row r="897" spans="1:10" x14ac:dyDescent="0.25">
      <c r="A897" s="32" t="s">
        <v>2</v>
      </c>
      <c r="B897" s="32">
        <f>+B896+1</f>
        <v>2044</v>
      </c>
      <c r="C897" s="33" t="s">
        <v>11</v>
      </c>
      <c r="D897" s="34" t="s">
        <v>1999</v>
      </c>
      <c r="E897" s="35" t="str">
        <f t="shared" ref="E897:E912" si="219">_xlfn.CONCAT(A897,"'!")</f>
        <v>PNP'!</v>
      </c>
      <c r="F897" s="34" t="str">
        <f t="shared" ref="F897:F912" si="220">_xlfn.CONCAT(D897:E897)</f>
        <v>C:\Users\jaime.benazar\Quorum Business Solutions\Ecopetrol Prometeo - Documents\Planning Space Implementation\3. Analysis &amp; Design\Design\FC22\DRR Jaime\QUIFA-CAJÚA\Cajua\[CAJUA_CF_SEC_New_27-Feb-2024Rev3.xlsx]D-PNP'!</v>
      </c>
      <c r="G897" s="32" t="s">
        <v>112</v>
      </c>
      <c r="H897" s="33">
        <f t="shared" ref="H897:H912" si="221">IF(A897&lt;&gt;A896,12,H896+1)</f>
        <v>33</v>
      </c>
      <c r="I897" s="33" t="str">
        <f t="shared" ref="I897:I912" si="222">_xlfn.CONCAT("='",F897:H897)</f>
        <v>='C:\Users\jaime.benazar\Quorum Business Solutions\Ecopetrol Prometeo - Documents\Planning Space Implementation\3. Analysis &amp; Design\Design\FC22\DRR Jaime\QUIFA-CAJÚA\Cajua\[CAJUA_CF_SEC_New_27-Feb-2024Rev3.xlsx]D-PNP'!$BZ$33</v>
      </c>
      <c r="J897" s="37" t="s">
        <v>2428</v>
      </c>
    </row>
    <row r="898" spans="1:10" x14ac:dyDescent="0.25">
      <c r="A898" s="32" t="s">
        <v>2</v>
      </c>
      <c r="B898" s="32">
        <f t="shared" ref="B898:B912" si="223">+B897+1</f>
        <v>2045</v>
      </c>
      <c r="C898" s="33" t="s">
        <v>11</v>
      </c>
      <c r="D898" s="34" t="s">
        <v>1999</v>
      </c>
      <c r="E898" s="35" t="str">
        <f t="shared" si="219"/>
        <v>PNP'!</v>
      </c>
      <c r="F898" s="34" t="str">
        <f t="shared" si="220"/>
        <v>C:\Users\jaime.benazar\Quorum Business Solutions\Ecopetrol Prometeo - Documents\Planning Space Implementation\3. Analysis &amp; Design\Design\FC22\DRR Jaime\QUIFA-CAJÚA\Cajua\[CAJUA_CF_SEC_New_27-Feb-2024Rev3.xlsx]D-PNP'!</v>
      </c>
      <c r="G898" s="32" t="s">
        <v>112</v>
      </c>
      <c r="H898" s="33">
        <f t="shared" si="221"/>
        <v>34</v>
      </c>
      <c r="I898" s="33" t="str">
        <f t="shared" si="222"/>
        <v>='C:\Users\jaime.benazar\Quorum Business Solutions\Ecopetrol Prometeo - Documents\Planning Space Implementation\3. Analysis &amp; Design\Design\FC22\DRR Jaime\QUIFA-CAJÚA\Cajua\[CAJUA_CF_SEC_New_27-Feb-2024Rev3.xlsx]D-PNP'!$BZ$34</v>
      </c>
      <c r="J898" s="37" t="s">
        <v>2429</v>
      </c>
    </row>
    <row r="899" spans="1:10" x14ac:dyDescent="0.25">
      <c r="A899" s="32" t="s">
        <v>2</v>
      </c>
      <c r="B899" s="32">
        <f t="shared" si="223"/>
        <v>2046</v>
      </c>
      <c r="C899" s="33" t="s">
        <v>11</v>
      </c>
      <c r="D899" s="34" t="s">
        <v>1999</v>
      </c>
      <c r="E899" s="35" t="str">
        <f t="shared" si="219"/>
        <v>PNP'!</v>
      </c>
      <c r="F899" s="34" t="str">
        <f t="shared" si="220"/>
        <v>C:\Users\jaime.benazar\Quorum Business Solutions\Ecopetrol Prometeo - Documents\Planning Space Implementation\3. Analysis &amp; Design\Design\FC22\DRR Jaime\QUIFA-CAJÚA\Cajua\[CAJUA_CF_SEC_New_27-Feb-2024Rev3.xlsx]D-PNP'!</v>
      </c>
      <c r="G899" s="32" t="s">
        <v>112</v>
      </c>
      <c r="H899" s="33">
        <f t="shared" si="221"/>
        <v>35</v>
      </c>
      <c r="I899" s="33" t="str">
        <f t="shared" si="222"/>
        <v>='C:\Users\jaime.benazar\Quorum Business Solutions\Ecopetrol Prometeo - Documents\Planning Space Implementation\3. Analysis &amp; Design\Design\FC22\DRR Jaime\QUIFA-CAJÚA\Cajua\[CAJUA_CF_SEC_New_27-Feb-2024Rev3.xlsx]D-PNP'!$BZ$35</v>
      </c>
      <c r="J899" s="37" t="s">
        <v>2430</v>
      </c>
    </row>
    <row r="900" spans="1:10" x14ac:dyDescent="0.25">
      <c r="A900" s="32" t="s">
        <v>2</v>
      </c>
      <c r="B900" s="32">
        <f t="shared" si="223"/>
        <v>2047</v>
      </c>
      <c r="C900" s="33" t="s">
        <v>11</v>
      </c>
      <c r="D900" s="34" t="s">
        <v>1999</v>
      </c>
      <c r="E900" s="35" t="str">
        <f t="shared" si="219"/>
        <v>PNP'!</v>
      </c>
      <c r="F900" s="34" t="str">
        <f t="shared" si="220"/>
        <v>C:\Users\jaime.benazar\Quorum Business Solutions\Ecopetrol Prometeo - Documents\Planning Space Implementation\3. Analysis &amp; Design\Design\FC22\DRR Jaime\QUIFA-CAJÚA\Cajua\[CAJUA_CF_SEC_New_27-Feb-2024Rev3.xlsx]D-PNP'!</v>
      </c>
      <c r="G900" s="32" t="s">
        <v>112</v>
      </c>
      <c r="H900" s="33">
        <f t="shared" si="221"/>
        <v>36</v>
      </c>
      <c r="I900" s="33" t="str">
        <f t="shared" si="222"/>
        <v>='C:\Users\jaime.benazar\Quorum Business Solutions\Ecopetrol Prometeo - Documents\Planning Space Implementation\3. Analysis &amp; Design\Design\FC22\DRR Jaime\QUIFA-CAJÚA\Cajua\[CAJUA_CF_SEC_New_27-Feb-2024Rev3.xlsx]D-PNP'!$BZ$36</v>
      </c>
      <c r="J900" s="37" t="s">
        <v>2431</v>
      </c>
    </row>
    <row r="901" spans="1:10" x14ac:dyDescent="0.25">
      <c r="A901" s="32" t="s">
        <v>2</v>
      </c>
      <c r="B901" s="32">
        <f t="shared" si="223"/>
        <v>2048</v>
      </c>
      <c r="C901" s="33" t="s">
        <v>11</v>
      </c>
      <c r="D901" s="34" t="s">
        <v>1999</v>
      </c>
      <c r="E901" s="35" t="str">
        <f t="shared" si="219"/>
        <v>PNP'!</v>
      </c>
      <c r="F901" s="34" t="str">
        <f t="shared" si="220"/>
        <v>C:\Users\jaime.benazar\Quorum Business Solutions\Ecopetrol Prometeo - Documents\Planning Space Implementation\3. Analysis &amp; Design\Design\FC22\DRR Jaime\QUIFA-CAJÚA\Cajua\[CAJUA_CF_SEC_New_27-Feb-2024Rev3.xlsx]D-PNP'!</v>
      </c>
      <c r="G901" s="32" t="s">
        <v>112</v>
      </c>
      <c r="H901" s="33">
        <f t="shared" si="221"/>
        <v>37</v>
      </c>
      <c r="I901" s="33" t="str">
        <f t="shared" si="222"/>
        <v>='C:\Users\jaime.benazar\Quorum Business Solutions\Ecopetrol Prometeo - Documents\Planning Space Implementation\3. Analysis &amp; Design\Design\FC22\DRR Jaime\QUIFA-CAJÚA\Cajua\[CAJUA_CF_SEC_New_27-Feb-2024Rev3.xlsx]D-PNP'!$BZ$37</v>
      </c>
      <c r="J901" s="37" t="s">
        <v>2432</v>
      </c>
    </row>
    <row r="902" spans="1:10" x14ac:dyDescent="0.25">
      <c r="A902" s="32" t="s">
        <v>2</v>
      </c>
      <c r="B902" s="32">
        <f t="shared" si="223"/>
        <v>2049</v>
      </c>
      <c r="C902" s="33" t="s">
        <v>11</v>
      </c>
      <c r="D902" s="34" t="s">
        <v>1999</v>
      </c>
      <c r="E902" s="35" t="str">
        <f t="shared" si="219"/>
        <v>PNP'!</v>
      </c>
      <c r="F902" s="34" t="str">
        <f t="shared" si="220"/>
        <v>C:\Users\jaime.benazar\Quorum Business Solutions\Ecopetrol Prometeo - Documents\Planning Space Implementation\3. Analysis &amp; Design\Design\FC22\DRR Jaime\QUIFA-CAJÚA\Cajua\[CAJUA_CF_SEC_New_27-Feb-2024Rev3.xlsx]D-PNP'!</v>
      </c>
      <c r="G902" s="32" t="s">
        <v>112</v>
      </c>
      <c r="H902" s="33">
        <f t="shared" si="221"/>
        <v>38</v>
      </c>
      <c r="I902" s="33" t="str">
        <f t="shared" si="222"/>
        <v>='C:\Users\jaime.benazar\Quorum Business Solutions\Ecopetrol Prometeo - Documents\Planning Space Implementation\3. Analysis &amp; Design\Design\FC22\DRR Jaime\QUIFA-CAJÚA\Cajua\[CAJUA_CF_SEC_New_27-Feb-2024Rev3.xlsx]D-PNP'!$BZ$38</v>
      </c>
      <c r="J902" s="37" t="s">
        <v>2433</v>
      </c>
    </row>
    <row r="903" spans="1:10" x14ac:dyDescent="0.25">
      <c r="A903" s="32" t="s">
        <v>2</v>
      </c>
      <c r="B903" s="32">
        <f t="shared" si="223"/>
        <v>2050</v>
      </c>
      <c r="C903" s="33" t="s">
        <v>11</v>
      </c>
      <c r="D903" s="34" t="s">
        <v>1999</v>
      </c>
      <c r="E903" s="35" t="str">
        <f t="shared" si="219"/>
        <v>PNP'!</v>
      </c>
      <c r="F903" s="34" t="str">
        <f t="shared" si="220"/>
        <v>C:\Users\jaime.benazar\Quorum Business Solutions\Ecopetrol Prometeo - Documents\Planning Space Implementation\3. Analysis &amp; Design\Design\FC22\DRR Jaime\QUIFA-CAJÚA\Cajua\[CAJUA_CF_SEC_New_27-Feb-2024Rev3.xlsx]D-PNP'!</v>
      </c>
      <c r="G903" s="32" t="s">
        <v>112</v>
      </c>
      <c r="H903" s="33">
        <f t="shared" si="221"/>
        <v>39</v>
      </c>
      <c r="I903" s="33" t="str">
        <f t="shared" si="222"/>
        <v>='C:\Users\jaime.benazar\Quorum Business Solutions\Ecopetrol Prometeo - Documents\Planning Space Implementation\3. Analysis &amp; Design\Design\FC22\DRR Jaime\QUIFA-CAJÚA\Cajua\[CAJUA_CF_SEC_New_27-Feb-2024Rev3.xlsx]D-PNP'!$BZ$39</v>
      </c>
      <c r="J903" s="37" t="s">
        <v>2434</v>
      </c>
    </row>
    <row r="904" spans="1:10" x14ac:dyDescent="0.25">
      <c r="A904" s="32" t="s">
        <v>2</v>
      </c>
      <c r="B904" s="32">
        <f t="shared" si="223"/>
        <v>2051</v>
      </c>
      <c r="C904" s="33" t="s">
        <v>11</v>
      </c>
      <c r="D904" s="34" t="s">
        <v>1999</v>
      </c>
      <c r="E904" s="35" t="str">
        <f t="shared" si="219"/>
        <v>PNP'!</v>
      </c>
      <c r="F904" s="34" t="str">
        <f t="shared" si="220"/>
        <v>C:\Users\jaime.benazar\Quorum Business Solutions\Ecopetrol Prometeo - Documents\Planning Space Implementation\3. Analysis &amp; Design\Design\FC22\DRR Jaime\QUIFA-CAJÚA\Cajua\[CAJUA_CF_SEC_New_27-Feb-2024Rev3.xlsx]D-PNP'!</v>
      </c>
      <c r="G904" s="32" t="s">
        <v>112</v>
      </c>
      <c r="H904" s="33">
        <f t="shared" si="221"/>
        <v>40</v>
      </c>
      <c r="I904" s="33" t="str">
        <f t="shared" si="222"/>
        <v>='C:\Users\jaime.benazar\Quorum Business Solutions\Ecopetrol Prometeo - Documents\Planning Space Implementation\3. Analysis &amp; Design\Design\FC22\DRR Jaime\QUIFA-CAJÚA\Cajua\[CAJUA_CF_SEC_New_27-Feb-2024Rev3.xlsx]D-PNP'!$BZ$40</v>
      </c>
      <c r="J904" s="37" t="s">
        <v>2435</v>
      </c>
    </row>
    <row r="905" spans="1:10" x14ac:dyDescent="0.25">
      <c r="A905" s="32" t="s">
        <v>2</v>
      </c>
      <c r="B905" s="32">
        <f t="shared" si="223"/>
        <v>2052</v>
      </c>
      <c r="C905" s="33" t="s">
        <v>11</v>
      </c>
      <c r="D905" s="34" t="s">
        <v>1999</v>
      </c>
      <c r="E905" s="35" t="str">
        <f t="shared" si="219"/>
        <v>PNP'!</v>
      </c>
      <c r="F905" s="34" t="str">
        <f t="shared" si="220"/>
        <v>C:\Users\jaime.benazar\Quorum Business Solutions\Ecopetrol Prometeo - Documents\Planning Space Implementation\3. Analysis &amp; Design\Design\FC22\DRR Jaime\QUIFA-CAJÚA\Cajua\[CAJUA_CF_SEC_New_27-Feb-2024Rev3.xlsx]D-PNP'!</v>
      </c>
      <c r="G905" s="32" t="s">
        <v>112</v>
      </c>
      <c r="H905" s="33">
        <f t="shared" si="221"/>
        <v>41</v>
      </c>
      <c r="I905" s="33" t="str">
        <f t="shared" si="222"/>
        <v>='C:\Users\jaime.benazar\Quorum Business Solutions\Ecopetrol Prometeo - Documents\Planning Space Implementation\3. Analysis &amp; Design\Design\FC22\DRR Jaime\QUIFA-CAJÚA\Cajua\[CAJUA_CF_SEC_New_27-Feb-2024Rev3.xlsx]D-PNP'!$BZ$41</v>
      </c>
      <c r="J905" s="37" t="s">
        <v>2436</v>
      </c>
    </row>
    <row r="906" spans="1:10" x14ac:dyDescent="0.25">
      <c r="A906" s="32" t="s">
        <v>2</v>
      </c>
      <c r="B906" s="32">
        <f t="shared" si="223"/>
        <v>2053</v>
      </c>
      <c r="C906" s="33" t="s">
        <v>11</v>
      </c>
      <c r="D906" s="34" t="s">
        <v>1999</v>
      </c>
      <c r="E906" s="35" t="str">
        <f t="shared" si="219"/>
        <v>PNP'!</v>
      </c>
      <c r="F906" s="34" t="str">
        <f t="shared" si="220"/>
        <v>C:\Users\jaime.benazar\Quorum Business Solutions\Ecopetrol Prometeo - Documents\Planning Space Implementation\3. Analysis &amp; Design\Design\FC22\DRR Jaime\QUIFA-CAJÚA\Cajua\[CAJUA_CF_SEC_New_27-Feb-2024Rev3.xlsx]D-PNP'!</v>
      </c>
      <c r="G906" s="32" t="s">
        <v>112</v>
      </c>
      <c r="H906" s="33">
        <f t="shared" si="221"/>
        <v>42</v>
      </c>
      <c r="I906" s="33" t="str">
        <f t="shared" si="222"/>
        <v>='C:\Users\jaime.benazar\Quorum Business Solutions\Ecopetrol Prometeo - Documents\Planning Space Implementation\3. Analysis &amp; Design\Design\FC22\DRR Jaime\QUIFA-CAJÚA\Cajua\[CAJUA_CF_SEC_New_27-Feb-2024Rev3.xlsx]D-PNP'!$BZ$42</v>
      </c>
      <c r="J906" s="37" t="s">
        <v>2437</v>
      </c>
    </row>
    <row r="907" spans="1:10" x14ac:dyDescent="0.25">
      <c r="A907" s="32" t="s">
        <v>2</v>
      </c>
      <c r="B907" s="32">
        <f t="shared" si="223"/>
        <v>2054</v>
      </c>
      <c r="C907" s="33" t="s">
        <v>11</v>
      </c>
      <c r="D907" s="34" t="s">
        <v>1999</v>
      </c>
      <c r="E907" s="35" t="str">
        <f t="shared" si="219"/>
        <v>PNP'!</v>
      </c>
      <c r="F907" s="34" t="str">
        <f t="shared" si="220"/>
        <v>C:\Users\jaime.benazar\Quorum Business Solutions\Ecopetrol Prometeo - Documents\Planning Space Implementation\3. Analysis &amp; Design\Design\FC22\DRR Jaime\QUIFA-CAJÚA\Cajua\[CAJUA_CF_SEC_New_27-Feb-2024Rev3.xlsx]D-PNP'!</v>
      </c>
      <c r="G907" s="32" t="s">
        <v>112</v>
      </c>
      <c r="H907" s="33">
        <f t="shared" si="221"/>
        <v>43</v>
      </c>
      <c r="I907" s="33" t="str">
        <f t="shared" si="222"/>
        <v>='C:\Users\jaime.benazar\Quorum Business Solutions\Ecopetrol Prometeo - Documents\Planning Space Implementation\3. Analysis &amp; Design\Design\FC22\DRR Jaime\QUIFA-CAJÚA\Cajua\[CAJUA_CF_SEC_New_27-Feb-2024Rev3.xlsx]D-PNP'!$BZ$43</v>
      </c>
      <c r="J907" s="37" t="s">
        <v>2438</v>
      </c>
    </row>
    <row r="908" spans="1:10" x14ac:dyDescent="0.25">
      <c r="A908" s="32" t="s">
        <v>2</v>
      </c>
      <c r="B908" s="32">
        <f t="shared" si="223"/>
        <v>2055</v>
      </c>
      <c r="C908" s="33" t="s">
        <v>11</v>
      </c>
      <c r="D908" s="34" t="s">
        <v>1999</v>
      </c>
      <c r="E908" s="35" t="str">
        <f t="shared" si="219"/>
        <v>PNP'!</v>
      </c>
      <c r="F908" s="34" t="str">
        <f t="shared" si="220"/>
        <v>C:\Users\jaime.benazar\Quorum Business Solutions\Ecopetrol Prometeo - Documents\Planning Space Implementation\3. Analysis &amp; Design\Design\FC22\DRR Jaime\QUIFA-CAJÚA\Cajua\[CAJUA_CF_SEC_New_27-Feb-2024Rev3.xlsx]D-PNP'!</v>
      </c>
      <c r="G908" s="32" t="s">
        <v>112</v>
      </c>
      <c r="H908" s="33">
        <f t="shared" si="221"/>
        <v>44</v>
      </c>
      <c r="I908" s="33" t="str">
        <f t="shared" si="222"/>
        <v>='C:\Users\jaime.benazar\Quorum Business Solutions\Ecopetrol Prometeo - Documents\Planning Space Implementation\3. Analysis &amp; Design\Design\FC22\DRR Jaime\QUIFA-CAJÚA\Cajua\[CAJUA_CF_SEC_New_27-Feb-2024Rev3.xlsx]D-PNP'!$BZ$44</v>
      </c>
      <c r="J908" s="37" t="s">
        <v>2439</v>
      </c>
    </row>
    <row r="909" spans="1:10" x14ac:dyDescent="0.25">
      <c r="A909" s="32" t="s">
        <v>2</v>
      </c>
      <c r="B909" s="32">
        <f t="shared" si="223"/>
        <v>2056</v>
      </c>
      <c r="C909" s="33" t="s">
        <v>11</v>
      </c>
      <c r="D909" s="34" t="s">
        <v>1999</v>
      </c>
      <c r="E909" s="35" t="str">
        <f t="shared" si="219"/>
        <v>PNP'!</v>
      </c>
      <c r="F909" s="34" t="str">
        <f t="shared" si="220"/>
        <v>C:\Users\jaime.benazar\Quorum Business Solutions\Ecopetrol Prometeo - Documents\Planning Space Implementation\3. Analysis &amp; Design\Design\FC22\DRR Jaime\QUIFA-CAJÚA\Cajua\[CAJUA_CF_SEC_New_27-Feb-2024Rev3.xlsx]D-PNP'!</v>
      </c>
      <c r="G909" s="32" t="s">
        <v>112</v>
      </c>
      <c r="H909" s="33">
        <f t="shared" si="221"/>
        <v>45</v>
      </c>
      <c r="I909" s="33" t="str">
        <f t="shared" si="222"/>
        <v>='C:\Users\jaime.benazar\Quorum Business Solutions\Ecopetrol Prometeo - Documents\Planning Space Implementation\3. Analysis &amp; Design\Design\FC22\DRR Jaime\QUIFA-CAJÚA\Cajua\[CAJUA_CF_SEC_New_27-Feb-2024Rev3.xlsx]D-PNP'!$BZ$45</v>
      </c>
      <c r="J909" s="37" t="s">
        <v>2440</v>
      </c>
    </row>
    <row r="910" spans="1:10" x14ac:dyDescent="0.25">
      <c r="A910" s="32" t="s">
        <v>2</v>
      </c>
      <c r="B910" s="32">
        <f t="shared" si="223"/>
        <v>2057</v>
      </c>
      <c r="C910" s="33" t="s">
        <v>11</v>
      </c>
      <c r="D910" s="34" t="s">
        <v>1999</v>
      </c>
      <c r="E910" s="35" t="str">
        <f t="shared" si="219"/>
        <v>PNP'!</v>
      </c>
      <c r="F910" s="34" t="str">
        <f t="shared" si="220"/>
        <v>C:\Users\jaime.benazar\Quorum Business Solutions\Ecopetrol Prometeo - Documents\Planning Space Implementation\3. Analysis &amp; Design\Design\FC22\DRR Jaime\QUIFA-CAJÚA\Cajua\[CAJUA_CF_SEC_New_27-Feb-2024Rev3.xlsx]D-PNP'!</v>
      </c>
      <c r="G910" s="32" t="s">
        <v>112</v>
      </c>
      <c r="H910" s="33">
        <f t="shared" si="221"/>
        <v>46</v>
      </c>
      <c r="I910" s="33" t="str">
        <f t="shared" si="222"/>
        <v>='C:\Users\jaime.benazar\Quorum Business Solutions\Ecopetrol Prometeo - Documents\Planning Space Implementation\3. Analysis &amp; Design\Design\FC22\DRR Jaime\QUIFA-CAJÚA\Cajua\[CAJUA_CF_SEC_New_27-Feb-2024Rev3.xlsx]D-PNP'!$BZ$46</v>
      </c>
      <c r="J910" s="37" t="s">
        <v>2441</v>
      </c>
    </row>
    <row r="911" spans="1:10" x14ac:dyDescent="0.25">
      <c r="A911" s="32" t="s">
        <v>2</v>
      </c>
      <c r="B911" s="32">
        <f t="shared" si="223"/>
        <v>2058</v>
      </c>
      <c r="C911" s="33" t="s">
        <v>11</v>
      </c>
      <c r="D911" s="34" t="s">
        <v>1999</v>
      </c>
      <c r="E911" s="35" t="str">
        <f t="shared" si="219"/>
        <v>PNP'!</v>
      </c>
      <c r="F911" s="34" t="str">
        <f t="shared" si="220"/>
        <v>C:\Users\jaime.benazar\Quorum Business Solutions\Ecopetrol Prometeo - Documents\Planning Space Implementation\3. Analysis &amp; Design\Design\FC22\DRR Jaime\QUIFA-CAJÚA\Cajua\[CAJUA_CF_SEC_New_27-Feb-2024Rev3.xlsx]D-PNP'!</v>
      </c>
      <c r="G911" s="32" t="s">
        <v>112</v>
      </c>
      <c r="H911" s="33">
        <f t="shared" si="221"/>
        <v>47</v>
      </c>
      <c r="I911" s="33" t="str">
        <f t="shared" si="222"/>
        <v>='C:\Users\jaime.benazar\Quorum Business Solutions\Ecopetrol Prometeo - Documents\Planning Space Implementation\3. Analysis &amp; Design\Design\FC22\DRR Jaime\QUIFA-CAJÚA\Cajua\[CAJUA_CF_SEC_New_27-Feb-2024Rev3.xlsx]D-PNP'!$BZ$47</v>
      </c>
      <c r="J911" s="37" t="s">
        <v>2442</v>
      </c>
    </row>
    <row r="912" spans="1:10" x14ac:dyDescent="0.25">
      <c r="A912" s="32" t="s">
        <v>2</v>
      </c>
      <c r="B912" s="32">
        <f t="shared" si="223"/>
        <v>2059</v>
      </c>
      <c r="C912" s="33" t="s">
        <v>11</v>
      </c>
      <c r="D912" s="34" t="s">
        <v>1999</v>
      </c>
      <c r="E912" s="35" t="str">
        <f t="shared" si="219"/>
        <v>PNP'!</v>
      </c>
      <c r="F912" s="34" t="str">
        <f t="shared" si="220"/>
        <v>C:\Users\jaime.benazar\Quorum Business Solutions\Ecopetrol Prometeo - Documents\Planning Space Implementation\3. Analysis &amp; Design\Design\FC22\DRR Jaime\QUIFA-CAJÚA\Cajua\[CAJUA_CF_SEC_New_27-Feb-2024Rev3.xlsx]D-PNP'!</v>
      </c>
      <c r="G912" s="32" t="s">
        <v>112</v>
      </c>
      <c r="H912" s="33">
        <f t="shared" si="221"/>
        <v>48</v>
      </c>
      <c r="I912" s="33" t="str">
        <f t="shared" si="222"/>
        <v>='C:\Users\jaime.benazar\Quorum Business Solutions\Ecopetrol Prometeo - Documents\Planning Space Implementation\3. Analysis &amp; Design\Design\FC22\DRR Jaime\QUIFA-CAJÚA\Cajua\[CAJUA_CF_SEC_New_27-Feb-2024Rev3.xlsx]D-PNP'!$BZ$48</v>
      </c>
      <c r="J912" s="37" t="s">
        <v>2443</v>
      </c>
    </row>
    <row r="913" spans="1:10" x14ac:dyDescent="0.25">
      <c r="A913" s="32" t="s">
        <v>28</v>
      </c>
      <c r="B913" s="32"/>
      <c r="C913" s="33" t="s">
        <v>11</v>
      </c>
      <c r="D913" s="34"/>
      <c r="E913" s="35"/>
      <c r="F913" s="34"/>
      <c r="G913" s="32"/>
      <c r="H913" s="33"/>
      <c r="I913" s="33"/>
      <c r="J913" s="33"/>
    </row>
    <row r="914" spans="1:10" x14ac:dyDescent="0.25">
      <c r="A914" s="32" t="s">
        <v>3</v>
      </c>
      <c r="B914" s="32">
        <v>2023</v>
      </c>
      <c r="C914" s="33" t="s">
        <v>11</v>
      </c>
      <c r="D914" s="34" t="s">
        <v>1999</v>
      </c>
      <c r="E914" s="35" t="str">
        <f t="shared" si="203"/>
        <v>PND'!</v>
      </c>
      <c r="F914" s="34" t="str">
        <f t="shared" si="204"/>
        <v>C:\Users\jaime.benazar\Quorum Business Solutions\Ecopetrol Prometeo - Documents\Planning Space Implementation\3. Analysis &amp; Design\Design\FC22\DRR Jaime\QUIFA-CAJÚA\Cajua\[CAJUA_CF_SEC_New_27-Feb-2024Rev3.xlsx]D-PND'!</v>
      </c>
      <c r="G914" s="32" t="s">
        <v>112</v>
      </c>
      <c r="H914" s="33">
        <v>12</v>
      </c>
      <c r="I914" s="33" t="str">
        <f t="shared" si="206"/>
        <v>='C:\Users\jaime.benazar\Quorum Business Solutions\Ecopetrol Prometeo - Documents\Planning Space Implementation\3. Analysis &amp; Design\Design\FC22\DRR Jaime\QUIFA-CAJÚA\Cajua\[CAJUA_CF_SEC_New_27-Feb-2024Rev3.xlsx]D-PND'!$BZ$12</v>
      </c>
      <c r="J914" s="37" t="s">
        <v>2444</v>
      </c>
    </row>
    <row r="915" spans="1:10" x14ac:dyDescent="0.25">
      <c r="A915" s="32" t="s">
        <v>3</v>
      </c>
      <c r="B915" s="32">
        <f>+B914+1</f>
        <v>2024</v>
      </c>
      <c r="C915" s="33" t="s">
        <v>11</v>
      </c>
      <c r="D915" s="34" t="s">
        <v>1999</v>
      </c>
      <c r="E915" s="35" t="str">
        <f t="shared" si="203"/>
        <v>PND'!</v>
      </c>
      <c r="F915" s="34" t="str">
        <f t="shared" si="204"/>
        <v>C:\Users\jaime.benazar\Quorum Business Solutions\Ecopetrol Prometeo - Documents\Planning Space Implementation\3. Analysis &amp; Design\Design\FC22\DRR Jaime\QUIFA-CAJÚA\Cajua\[CAJUA_CF_SEC_New_27-Feb-2024Rev3.xlsx]D-PND'!</v>
      </c>
      <c r="G915" s="32" t="s">
        <v>112</v>
      </c>
      <c r="H915" s="33">
        <f t="shared" ref="H915:H934" si="224">IF(A915&lt;&gt;A914,12,H914+1)</f>
        <v>13</v>
      </c>
      <c r="I915" s="33" t="str">
        <f t="shared" si="206"/>
        <v>='C:\Users\jaime.benazar\Quorum Business Solutions\Ecopetrol Prometeo - Documents\Planning Space Implementation\3. Analysis &amp; Design\Design\FC22\DRR Jaime\QUIFA-CAJÚA\Cajua\[CAJUA_CF_SEC_New_27-Feb-2024Rev3.xlsx]D-PND'!$BZ$13</v>
      </c>
      <c r="J915" s="37" t="s">
        <v>2445</v>
      </c>
    </row>
    <row r="916" spans="1:10" x14ac:dyDescent="0.25">
      <c r="A916" s="32" t="s">
        <v>3</v>
      </c>
      <c r="B916" s="32">
        <f t="shared" ref="B916:B927" si="225">+B915+1</f>
        <v>2025</v>
      </c>
      <c r="C916" s="33" t="s">
        <v>11</v>
      </c>
      <c r="D916" s="34" t="s">
        <v>1999</v>
      </c>
      <c r="E916" s="35" t="str">
        <f t="shared" si="203"/>
        <v>PND'!</v>
      </c>
      <c r="F916" s="34" t="str">
        <f t="shared" si="204"/>
        <v>C:\Users\jaime.benazar\Quorum Business Solutions\Ecopetrol Prometeo - Documents\Planning Space Implementation\3. Analysis &amp; Design\Design\FC22\DRR Jaime\QUIFA-CAJÚA\Cajua\[CAJUA_CF_SEC_New_27-Feb-2024Rev3.xlsx]D-PND'!</v>
      </c>
      <c r="G916" s="32" t="s">
        <v>112</v>
      </c>
      <c r="H916" s="33">
        <f t="shared" si="224"/>
        <v>14</v>
      </c>
      <c r="I916" s="33" t="str">
        <f t="shared" si="206"/>
        <v>='C:\Users\jaime.benazar\Quorum Business Solutions\Ecopetrol Prometeo - Documents\Planning Space Implementation\3. Analysis &amp; Design\Design\FC22\DRR Jaime\QUIFA-CAJÚA\Cajua\[CAJUA_CF_SEC_New_27-Feb-2024Rev3.xlsx]D-PND'!$BZ$14</v>
      </c>
      <c r="J916" s="37" t="s">
        <v>2446</v>
      </c>
    </row>
    <row r="917" spans="1:10" x14ac:dyDescent="0.25">
      <c r="A917" s="32" t="s">
        <v>3</v>
      </c>
      <c r="B917" s="32">
        <f t="shared" si="225"/>
        <v>2026</v>
      </c>
      <c r="C917" s="33" t="s">
        <v>11</v>
      </c>
      <c r="D917" s="34" t="s">
        <v>1999</v>
      </c>
      <c r="E917" s="35" t="str">
        <f t="shared" si="203"/>
        <v>PND'!</v>
      </c>
      <c r="F917" s="34" t="str">
        <f t="shared" si="204"/>
        <v>C:\Users\jaime.benazar\Quorum Business Solutions\Ecopetrol Prometeo - Documents\Planning Space Implementation\3. Analysis &amp; Design\Design\FC22\DRR Jaime\QUIFA-CAJÚA\Cajua\[CAJUA_CF_SEC_New_27-Feb-2024Rev3.xlsx]D-PND'!</v>
      </c>
      <c r="G917" s="32" t="s">
        <v>112</v>
      </c>
      <c r="H917" s="33">
        <f t="shared" si="224"/>
        <v>15</v>
      </c>
      <c r="I917" s="33" t="str">
        <f t="shared" si="206"/>
        <v>='C:\Users\jaime.benazar\Quorum Business Solutions\Ecopetrol Prometeo - Documents\Planning Space Implementation\3. Analysis &amp; Design\Design\FC22\DRR Jaime\QUIFA-CAJÚA\Cajua\[CAJUA_CF_SEC_New_27-Feb-2024Rev3.xlsx]D-PND'!$BZ$15</v>
      </c>
      <c r="J917" s="37" t="s">
        <v>2447</v>
      </c>
    </row>
    <row r="918" spans="1:10" x14ac:dyDescent="0.25">
      <c r="A918" s="32" t="s">
        <v>3</v>
      </c>
      <c r="B918" s="32">
        <f t="shared" si="225"/>
        <v>2027</v>
      </c>
      <c r="C918" s="33" t="s">
        <v>11</v>
      </c>
      <c r="D918" s="34" t="s">
        <v>1999</v>
      </c>
      <c r="E918" s="35" t="str">
        <f t="shared" si="203"/>
        <v>PND'!</v>
      </c>
      <c r="F918" s="34" t="str">
        <f t="shared" si="204"/>
        <v>C:\Users\jaime.benazar\Quorum Business Solutions\Ecopetrol Prometeo - Documents\Planning Space Implementation\3. Analysis &amp; Design\Design\FC22\DRR Jaime\QUIFA-CAJÚA\Cajua\[CAJUA_CF_SEC_New_27-Feb-2024Rev3.xlsx]D-PND'!</v>
      </c>
      <c r="G918" s="32" t="s">
        <v>112</v>
      </c>
      <c r="H918" s="33">
        <f t="shared" si="224"/>
        <v>16</v>
      </c>
      <c r="I918" s="33" t="str">
        <f t="shared" si="206"/>
        <v>='C:\Users\jaime.benazar\Quorum Business Solutions\Ecopetrol Prometeo - Documents\Planning Space Implementation\3. Analysis &amp; Design\Design\FC22\DRR Jaime\QUIFA-CAJÚA\Cajua\[CAJUA_CF_SEC_New_27-Feb-2024Rev3.xlsx]D-PND'!$BZ$16</v>
      </c>
      <c r="J918" s="37" t="s">
        <v>2448</v>
      </c>
    </row>
    <row r="919" spans="1:10" x14ac:dyDescent="0.25">
      <c r="A919" s="32" t="s">
        <v>3</v>
      </c>
      <c r="B919" s="32">
        <f t="shared" si="225"/>
        <v>2028</v>
      </c>
      <c r="C919" s="33" t="s">
        <v>11</v>
      </c>
      <c r="D919" s="34" t="s">
        <v>1999</v>
      </c>
      <c r="E919" s="35" t="str">
        <f t="shared" si="203"/>
        <v>PND'!</v>
      </c>
      <c r="F919" s="34" t="str">
        <f t="shared" si="204"/>
        <v>C:\Users\jaime.benazar\Quorum Business Solutions\Ecopetrol Prometeo - Documents\Planning Space Implementation\3. Analysis &amp; Design\Design\FC22\DRR Jaime\QUIFA-CAJÚA\Cajua\[CAJUA_CF_SEC_New_27-Feb-2024Rev3.xlsx]D-PND'!</v>
      </c>
      <c r="G919" s="32" t="s">
        <v>112</v>
      </c>
      <c r="H919" s="33">
        <f t="shared" si="224"/>
        <v>17</v>
      </c>
      <c r="I919" s="33" t="str">
        <f t="shared" si="206"/>
        <v>='C:\Users\jaime.benazar\Quorum Business Solutions\Ecopetrol Prometeo - Documents\Planning Space Implementation\3. Analysis &amp; Design\Design\FC22\DRR Jaime\QUIFA-CAJÚA\Cajua\[CAJUA_CF_SEC_New_27-Feb-2024Rev3.xlsx]D-PND'!$BZ$17</v>
      </c>
      <c r="J919" s="37" t="s">
        <v>2449</v>
      </c>
    </row>
    <row r="920" spans="1:10" x14ac:dyDescent="0.25">
      <c r="A920" s="32" t="s">
        <v>3</v>
      </c>
      <c r="B920" s="32">
        <f t="shared" si="225"/>
        <v>2029</v>
      </c>
      <c r="C920" s="33" t="s">
        <v>11</v>
      </c>
      <c r="D920" s="34" t="s">
        <v>1999</v>
      </c>
      <c r="E920" s="35" t="str">
        <f t="shared" si="203"/>
        <v>PND'!</v>
      </c>
      <c r="F920" s="34" t="str">
        <f t="shared" si="204"/>
        <v>C:\Users\jaime.benazar\Quorum Business Solutions\Ecopetrol Prometeo - Documents\Planning Space Implementation\3. Analysis &amp; Design\Design\FC22\DRR Jaime\QUIFA-CAJÚA\Cajua\[CAJUA_CF_SEC_New_27-Feb-2024Rev3.xlsx]D-PND'!</v>
      </c>
      <c r="G920" s="32" t="s">
        <v>112</v>
      </c>
      <c r="H920" s="33">
        <f t="shared" si="224"/>
        <v>18</v>
      </c>
      <c r="I920" s="33" t="str">
        <f t="shared" si="206"/>
        <v>='C:\Users\jaime.benazar\Quorum Business Solutions\Ecopetrol Prometeo - Documents\Planning Space Implementation\3. Analysis &amp; Design\Design\FC22\DRR Jaime\QUIFA-CAJÚA\Cajua\[CAJUA_CF_SEC_New_27-Feb-2024Rev3.xlsx]D-PND'!$BZ$18</v>
      </c>
      <c r="J920" s="37" t="s">
        <v>2450</v>
      </c>
    </row>
    <row r="921" spans="1:10" x14ac:dyDescent="0.25">
      <c r="A921" s="32" t="s">
        <v>3</v>
      </c>
      <c r="B921" s="32">
        <f t="shared" si="225"/>
        <v>2030</v>
      </c>
      <c r="C921" s="33" t="s">
        <v>11</v>
      </c>
      <c r="D921" s="34" t="s">
        <v>1999</v>
      </c>
      <c r="E921" s="35" t="str">
        <f t="shared" si="203"/>
        <v>PND'!</v>
      </c>
      <c r="F921" s="34" t="str">
        <f t="shared" si="204"/>
        <v>C:\Users\jaime.benazar\Quorum Business Solutions\Ecopetrol Prometeo - Documents\Planning Space Implementation\3. Analysis &amp; Design\Design\FC22\DRR Jaime\QUIFA-CAJÚA\Cajua\[CAJUA_CF_SEC_New_27-Feb-2024Rev3.xlsx]D-PND'!</v>
      </c>
      <c r="G921" s="32" t="s">
        <v>112</v>
      </c>
      <c r="H921" s="33">
        <f t="shared" si="224"/>
        <v>19</v>
      </c>
      <c r="I921" s="33" t="str">
        <f t="shared" si="206"/>
        <v>='C:\Users\jaime.benazar\Quorum Business Solutions\Ecopetrol Prometeo - Documents\Planning Space Implementation\3. Analysis &amp; Design\Design\FC22\DRR Jaime\QUIFA-CAJÚA\Cajua\[CAJUA_CF_SEC_New_27-Feb-2024Rev3.xlsx]D-PND'!$BZ$19</v>
      </c>
      <c r="J921" s="37" t="s">
        <v>2451</v>
      </c>
    </row>
    <row r="922" spans="1:10" x14ac:dyDescent="0.25">
      <c r="A922" s="32" t="s">
        <v>3</v>
      </c>
      <c r="B922" s="32">
        <f t="shared" si="225"/>
        <v>2031</v>
      </c>
      <c r="C922" s="33" t="s">
        <v>11</v>
      </c>
      <c r="D922" s="34" t="s">
        <v>1999</v>
      </c>
      <c r="E922" s="35" t="str">
        <f t="shared" si="203"/>
        <v>PND'!</v>
      </c>
      <c r="F922" s="34" t="str">
        <f t="shared" si="204"/>
        <v>C:\Users\jaime.benazar\Quorum Business Solutions\Ecopetrol Prometeo - Documents\Planning Space Implementation\3. Analysis &amp; Design\Design\FC22\DRR Jaime\QUIFA-CAJÚA\Cajua\[CAJUA_CF_SEC_New_27-Feb-2024Rev3.xlsx]D-PND'!</v>
      </c>
      <c r="G922" s="32" t="s">
        <v>112</v>
      </c>
      <c r="H922" s="33">
        <f t="shared" si="224"/>
        <v>20</v>
      </c>
      <c r="I922" s="33" t="str">
        <f t="shared" si="206"/>
        <v>='C:\Users\jaime.benazar\Quorum Business Solutions\Ecopetrol Prometeo - Documents\Planning Space Implementation\3. Analysis &amp; Design\Design\FC22\DRR Jaime\QUIFA-CAJÚA\Cajua\[CAJUA_CF_SEC_New_27-Feb-2024Rev3.xlsx]D-PND'!$BZ$20</v>
      </c>
      <c r="J922" s="37" t="s">
        <v>2452</v>
      </c>
    </row>
    <row r="923" spans="1:10" x14ac:dyDescent="0.25">
      <c r="A923" s="32" t="s">
        <v>3</v>
      </c>
      <c r="B923" s="32">
        <f t="shared" si="225"/>
        <v>2032</v>
      </c>
      <c r="C923" s="33" t="s">
        <v>11</v>
      </c>
      <c r="D923" s="34" t="s">
        <v>1999</v>
      </c>
      <c r="E923" s="35" t="str">
        <f t="shared" si="203"/>
        <v>PND'!</v>
      </c>
      <c r="F923" s="34" t="str">
        <f t="shared" si="204"/>
        <v>C:\Users\jaime.benazar\Quorum Business Solutions\Ecopetrol Prometeo - Documents\Planning Space Implementation\3. Analysis &amp; Design\Design\FC22\DRR Jaime\QUIFA-CAJÚA\Cajua\[CAJUA_CF_SEC_New_27-Feb-2024Rev3.xlsx]D-PND'!</v>
      </c>
      <c r="G923" s="32" t="s">
        <v>112</v>
      </c>
      <c r="H923" s="33">
        <f t="shared" si="224"/>
        <v>21</v>
      </c>
      <c r="I923" s="33" t="str">
        <f t="shared" si="206"/>
        <v>='C:\Users\jaime.benazar\Quorum Business Solutions\Ecopetrol Prometeo - Documents\Planning Space Implementation\3. Analysis &amp; Design\Design\FC22\DRR Jaime\QUIFA-CAJÚA\Cajua\[CAJUA_CF_SEC_New_27-Feb-2024Rev3.xlsx]D-PND'!$BZ$21</v>
      </c>
      <c r="J923" s="37" t="s">
        <v>2453</v>
      </c>
    </row>
    <row r="924" spans="1:10" x14ac:dyDescent="0.25">
      <c r="A924" s="32" t="s">
        <v>3</v>
      </c>
      <c r="B924" s="32">
        <f t="shared" si="225"/>
        <v>2033</v>
      </c>
      <c r="C924" s="33" t="s">
        <v>11</v>
      </c>
      <c r="D924" s="34" t="s">
        <v>1999</v>
      </c>
      <c r="E924" s="35" t="str">
        <f t="shared" si="203"/>
        <v>PND'!</v>
      </c>
      <c r="F924" s="34" t="str">
        <f t="shared" si="204"/>
        <v>C:\Users\jaime.benazar\Quorum Business Solutions\Ecopetrol Prometeo - Documents\Planning Space Implementation\3. Analysis &amp; Design\Design\FC22\DRR Jaime\QUIFA-CAJÚA\Cajua\[CAJUA_CF_SEC_New_27-Feb-2024Rev3.xlsx]D-PND'!</v>
      </c>
      <c r="G924" s="32" t="s">
        <v>112</v>
      </c>
      <c r="H924" s="33">
        <f t="shared" si="224"/>
        <v>22</v>
      </c>
      <c r="I924" s="33" t="str">
        <f t="shared" si="206"/>
        <v>='C:\Users\jaime.benazar\Quorum Business Solutions\Ecopetrol Prometeo - Documents\Planning Space Implementation\3. Analysis &amp; Design\Design\FC22\DRR Jaime\QUIFA-CAJÚA\Cajua\[CAJUA_CF_SEC_New_27-Feb-2024Rev3.xlsx]D-PND'!$BZ$22</v>
      </c>
      <c r="J924" s="37" t="s">
        <v>2454</v>
      </c>
    </row>
    <row r="925" spans="1:10" x14ac:dyDescent="0.25">
      <c r="A925" s="32" t="s">
        <v>3</v>
      </c>
      <c r="B925" s="32">
        <f t="shared" si="225"/>
        <v>2034</v>
      </c>
      <c r="C925" s="33" t="s">
        <v>11</v>
      </c>
      <c r="D925" s="34" t="s">
        <v>1999</v>
      </c>
      <c r="E925" s="35" t="str">
        <f t="shared" si="203"/>
        <v>PND'!</v>
      </c>
      <c r="F925" s="34" t="str">
        <f t="shared" si="204"/>
        <v>C:\Users\jaime.benazar\Quorum Business Solutions\Ecopetrol Prometeo - Documents\Planning Space Implementation\3. Analysis &amp; Design\Design\FC22\DRR Jaime\QUIFA-CAJÚA\Cajua\[CAJUA_CF_SEC_New_27-Feb-2024Rev3.xlsx]D-PND'!</v>
      </c>
      <c r="G925" s="32" t="s">
        <v>112</v>
      </c>
      <c r="H925" s="33">
        <f t="shared" si="224"/>
        <v>23</v>
      </c>
      <c r="I925" s="33" t="str">
        <f t="shared" si="206"/>
        <v>='C:\Users\jaime.benazar\Quorum Business Solutions\Ecopetrol Prometeo - Documents\Planning Space Implementation\3. Analysis &amp; Design\Design\FC22\DRR Jaime\QUIFA-CAJÚA\Cajua\[CAJUA_CF_SEC_New_27-Feb-2024Rev3.xlsx]D-PND'!$BZ$23</v>
      </c>
      <c r="J925" s="37" t="s">
        <v>2455</v>
      </c>
    </row>
    <row r="926" spans="1:10" x14ac:dyDescent="0.25">
      <c r="A926" s="32" t="s">
        <v>3</v>
      </c>
      <c r="B926" s="32">
        <f t="shared" si="225"/>
        <v>2035</v>
      </c>
      <c r="C926" s="33" t="s">
        <v>11</v>
      </c>
      <c r="D926" s="34" t="s">
        <v>1999</v>
      </c>
      <c r="E926" s="35" t="str">
        <f t="shared" si="203"/>
        <v>PND'!</v>
      </c>
      <c r="F926" s="34" t="str">
        <f t="shared" si="204"/>
        <v>C:\Users\jaime.benazar\Quorum Business Solutions\Ecopetrol Prometeo - Documents\Planning Space Implementation\3. Analysis &amp; Design\Design\FC22\DRR Jaime\QUIFA-CAJÚA\Cajua\[CAJUA_CF_SEC_New_27-Feb-2024Rev3.xlsx]D-PND'!</v>
      </c>
      <c r="G926" s="32" t="s">
        <v>112</v>
      </c>
      <c r="H926" s="33">
        <f t="shared" si="224"/>
        <v>24</v>
      </c>
      <c r="I926" s="33" t="str">
        <f t="shared" si="206"/>
        <v>='C:\Users\jaime.benazar\Quorum Business Solutions\Ecopetrol Prometeo - Documents\Planning Space Implementation\3. Analysis &amp; Design\Design\FC22\DRR Jaime\QUIFA-CAJÚA\Cajua\[CAJUA_CF_SEC_New_27-Feb-2024Rev3.xlsx]D-PND'!$BZ$24</v>
      </c>
      <c r="J926" s="37" t="s">
        <v>2456</v>
      </c>
    </row>
    <row r="927" spans="1:10" x14ac:dyDescent="0.25">
      <c r="A927" s="32" t="s">
        <v>3</v>
      </c>
      <c r="B927" s="32">
        <f t="shared" si="225"/>
        <v>2036</v>
      </c>
      <c r="C927" s="33" t="s">
        <v>11</v>
      </c>
      <c r="D927" s="34" t="s">
        <v>1999</v>
      </c>
      <c r="E927" s="35" t="str">
        <f t="shared" si="203"/>
        <v>PND'!</v>
      </c>
      <c r="F927" s="34" t="str">
        <f t="shared" si="204"/>
        <v>C:\Users\jaime.benazar\Quorum Business Solutions\Ecopetrol Prometeo - Documents\Planning Space Implementation\3. Analysis &amp; Design\Design\FC22\DRR Jaime\QUIFA-CAJÚA\Cajua\[CAJUA_CF_SEC_New_27-Feb-2024Rev3.xlsx]D-PND'!</v>
      </c>
      <c r="G927" s="32" t="s">
        <v>112</v>
      </c>
      <c r="H927" s="33">
        <f t="shared" si="224"/>
        <v>25</v>
      </c>
      <c r="I927" s="33" t="str">
        <f t="shared" si="206"/>
        <v>='C:\Users\jaime.benazar\Quorum Business Solutions\Ecopetrol Prometeo - Documents\Planning Space Implementation\3. Analysis &amp; Design\Design\FC22\DRR Jaime\QUIFA-CAJÚA\Cajua\[CAJUA_CF_SEC_New_27-Feb-2024Rev3.xlsx]D-PND'!$BZ$25</v>
      </c>
      <c r="J927" s="37" t="s">
        <v>2457</v>
      </c>
    </row>
    <row r="928" spans="1:10" x14ac:dyDescent="0.25">
      <c r="A928" s="32" t="s">
        <v>3</v>
      </c>
      <c r="B928" s="32">
        <f>+B927+1</f>
        <v>2037</v>
      </c>
      <c r="C928" s="33" t="s">
        <v>11</v>
      </c>
      <c r="D928" s="34" t="s">
        <v>1999</v>
      </c>
      <c r="E928" s="35" t="str">
        <f t="shared" si="203"/>
        <v>PND'!</v>
      </c>
      <c r="F928" s="34" t="str">
        <f t="shared" si="204"/>
        <v>C:\Users\jaime.benazar\Quorum Business Solutions\Ecopetrol Prometeo - Documents\Planning Space Implementation\3. Analysis &amp; Design\Design\FC22\DRR Jaime\QUIFA-CAJÚA\Cajua\[CAJUA_CF_SEC_New_27-Feb-2024Rev3.xlsx]D-PND'!</v>
      </c>
      <c r="G928" s="32" t="s">
        <v>112</v>
      </c>
      <c r="H928" s="33">
        <f t="shared" si="224"/>
        <v>26</v>
      </c>
      <c r="I928" s="33" t="str">
        <f t="shared" si="206"/>
        <v>='C:\Users\jaime.benazar\Quorum Business Solutions\Ecopetrol Prometeo - Documents\Planning Space Implementation\3. Analysis &amp; Design\Design\FC22\DRR Jaime\QUIFA-CAJÚA\Cajua\[CAJUA_CF_SEC_New_27-Feb-2024Rev3.xlsx]D-PND'!$BZ$26</v>
      </c>
      <c r="J928" s="37" t="s">
        <v>2458</v>
      </c>
    </row>
    <row r="929" spans="1:10" x14ac:dyDescent="0.25">
      <c r="A929" s="32" t="s">
        <v>3</v>
      </c>
      <c r="B929" s="32">
        <f t="shared" ref="B929:B931" si="226">+B928+1</f>
        <v>2038</v>
      </c>
      <c r="C929" s="33" t="s">
        <v>11</v>
      </c>
      <c r="D929" s="34" t="s">
        <v>1999</v>
      </c>
      <c r="E929" s="35" t="str">
        <f t="shared" si="203"/>
        <v>PND'!</v>
      </c>
      <c r="F929" s="34" t="str">
        <f t="shared" si="204"/>
        <v>C:\Users\jaime.benazar\Quorum Business Solutions\Ecopetrol Prometeo - Documents\Planning Space Implementation\3. Analysis &amp; Design\Design\FC22\DRR Jaime\QUIFA-CAJÚA\Cajua\[CAJUA_CF_SEC_New_27-Feb-2024Rev3.xlsx]D-PND'!</v>
      </c>
      <c r="G929" s="32" t="s">
        <v>112</v>
      </c>
      <c r="H929" s="33">
        <f t="shared" si="224"/>
        <v>27</v>
      </c>
      <c r="I929" s="33" t="str">
        <f t="shared" si="206"/>
        <v>='C:\Users\jaime.benazar\Quorum Business Solutions\Ecopetrol Prometeo - Documents\Planning Space Implementation\3. Analysis &amp; Design\Design\FC22\DRR Jaime\QUIFA-CAJÚA\Cajua\[CAJUA_CF_SEC_New_27-Feb-2024Rev3.xlsx]D-PND'!$BZ$27</v>
      </c>
      <c r="J929" s="37" t="s">
        <v>2459</v>
      </c>
    </row>
    <row r="930" spans="1:10" x14ac:dyDescent="0.25">
      <c r="A930" s="32" t="s">
        <v>3</v>
      </c>
      <c r="B930" s="32">
        <f t="shared" si="226"/>
        <v>2039</v>
      </c>
      <c r="C930" s="33" t="s">
        <v>11</v>
      </c>
      <c r="D930" s="34" t="s">
        <v>1999</v>
      </c>
      <c r="E930" s="35" t="str">
        <f t="shared" si="203"/>
        <v>PND'!</v>
      </c>
      <c r="F930" s="34" t="str">
        <f t="shared" si="204"/>
        <v>C:\Users\jaime.benazar\Quorum Business Solutions\Ecopetrol Prometeo - Documents\Planning Space Implementation\3. Analysis &amp; Design\Design\FC22\DRR Jaime\QUIFA-CAJÚA\Cajua\[CAJUA_CF_SEC_New_27-Feb-2024Rev3.xlsx]D-PND'!</v>
      </c>
      <c r="G930" s="32" t="s">
        <v>112</v>
      </c>
      <c r="H930" s="33">
        <f t="shared" si="224"/>
        <v>28</v>
      </c>
      <c r="I930" s="33" t="str">
        <f t="shared" si="206"/>
        <v>='C:\Users\jaime.benazar\Quorum Business Solutions\Ecopetrol Prometeo - Documents\Planning Space Implementation\3. Analysis &amp; Design\Design\FC22\DRR Jaime\QUIFA-CAJÚA\Cajua\[CAJUA_CF_SEC_New_27-Feb-2024Rev3.xlsx]D-PND'!$BZ$28</v>
      </c>
      <c r="J930" s="37" t="s">
        <v>2460</v>
      </c>
    </row>
    <row r="931" spans="1:10" x14ac:dyDescent="0.25">
      <c r="A931" s="32" t="s">
        <v>3</v>
      </c>
      <c r="B931" s="32">
        <f t="shared" si="226"/>
        <v>2040</v>
      </c>
      <c r="C931" s="33" t="s">
        <v>11</v>
      </c>
      <c r="D931" s="34" t="s">
        <v>1999</v>
      </c>
      <c r="E931" s="35" t="str">
        <f t="shared" si="203"/>
        <v>PND'!</v>
      </c>
      <c r="F931" s="34" t="str">
        <f t="shared" si="204"/>
        <v>C:\Users\jaime.benazar\Quorum Business Solutions\Ecopetrol Prometeo - Documents\Planning Space Implementation\3. Analysis &amp; Design\Design\FC22\DRR Jaime\QUIFA-CAJÚA\Cajua\[CAJUA_CF_SEC_New_27-Feb-2024Rev3.xlsx]D-PND'!</v>
      </c>
      <c r="G931" s="32" t="s">
        <v>112</v>
      </c>
      <c r="H931" s="33">
        <f t="shared" si="224"/>
        <v>29</v>
      </c>
      <c r="I931" s="33" t="str">
        <f t="shared" si="206"/>
        <v>='C:\Users\jaime.benazar\Quorum Business Solutions\Ecopetrol Prometeo - Documents\Planning Space Implementation\3. Analysis &amp; Design\Design\FC22\DRR Jaime\QUIFA-CAJÚA\Cajua\[CAJUA_CF_SEC_New_27-Feb-2024Rev3.xlsx]D-PND'!$BZ$29</v>
      </c>
      <c r="J931" s="37" t="s">
        <v>2461</v>
      </c>
    </row>
    <row r="932" spans="1:10" x14ac:dyDescent="0.25">
      <c r="A932" s="32" t="s">
        <v>3</v>
      </c>
      <c r="B932" s="32">
        <f>+B931+1</f>
        <v>2041</v>
      </c>
      <c r="C932" s="33" t="s">
        <v>11</v>
      </c>
      <c r="D932" s="34" t="s">
        <v>1999</v>
      </c>
      <c r="E932" s="35" t="str">
        <f t="shared" si="203"/>
        <v>PND'!</v>
      </c>
      <c r="F932" s="34" t="str">
        <f t="shared" si="204"/>
        <v>C:\Users\jaime.benazar\Quorum Business Solutions\Ecopetrol Prometeo - Documents\Planning Space Implementation\3. Analysis &amp; Design\Design\FC22\DRR Jaime\QUIFA-CAJÚA\Cajua\[CAJUA_CF_SEC_New_27-Feb-2024Rev3.xlsx]D-PND'!</v>
      </c>
      <c r="G932" s="32" t="s">
        <v>112</v>
      </c>
      <c r="H932" s="33">
        <f t="shared" si="224"/>
        <v>30</v>
      </c>
      <c r="I932" s="33" t="str">
        <f t="shared" si="206"/>
        <v>='C:\Users\jaime.benazar\Quorum Business Solutions\Ecopetrol Prometeo - Documents\Planning Space Implementation\3. Analysis &amp; Design\Design\FC22\DRR Jaime\QUIFA-CAJÚA\Cajua\[CAJUA_CF_SEC_New_27-Feb-2024Rev3.xlsx]D-PND'!$BZ$30</v>
      </c>
      <c r="J932" s="37" t="s">
        <v>2462</v>
      </c>
    </row>
    <row r="933" spans="1:10" x14ac:dyDescent="0.25">
      <c r="A933" s="32" t="s">
        <v>3</v>
      </c>
      <c r="B933" s="32">
        <f t="shared" ref="B933:B934" si="227">+B932+1</f>
        <v>2042</v>
      </c>
      <c r="C933" s="33" t="s">
        <v>11</v>
      </c>
      <c r="D933" s="34" t="s">
        <v>1999</v>
      </c>
      <c r="E933" s="35" t="str">
        <f t="shared" ref="E933:E1238" si="228">_xlfn.CONCAT(A933,"'!")</f>
        <v>PND'!</v>
      </c>
      <c r="F933" s="34" t="str">
        <f t="shared" ref="F933:F1238" si="229">_xlfn.CONCAT(D933:E933)</f>
        <v>C:\Users\jaime.benazar\Quorum Business Solutions\Ecopetrol Prometeo - Documents\Planning Space Implementation\3. Analysis &amp; Design\Design\FC22\DRR Jaime\QUIFA-CAJÚA\Cajua\[CAJUA_CF_SEC_New_27-Feb-2024Rev3.xlsx]D-PND'!</v>
      </c>
      <c r="G933" s="32" t="s">
        <v>112</v>
      </c>
      <c r="H933" s="33">
        <f t="shared" si="224"/>
        <v>31</v>
      </c>
      <c r="I933" s="33" t="str">
        <f t="shared" ref="I933:I1238" si="230">_xlfn.CONCAT("='",F933:H933)</f>
        <v>='C:\Users\jaime.benazar\Quorum Business Solutions\Ecopetrol Prometeo - Documents\Planning Space Implementation\3. Analysis &amp; Design\Design\FC22\DRR Jaime\QUIFA-CAJÚA\Cajua\[CAJUA_CF_SEC_New_27-Feb-2024Rev3.xlsx]D-PND'!$BZ$31</v>
      </c>
      <c r="J933" s="37" t="s">
        <v>2463</v>
      </c>
    </row>
    <row r="934" spans="1:10" x14ac:dyDescent="0.25">
      <c r="A934" s="32" t="s">
        <v>3</v>
      </c>
      <c r="B934" s="32">
        <f t="shared" si="227"/>
        <v>2043</v>
      </c>
      <c r="C934" s="33" t="s">
        <v>11</v>
      </c>
      <c r="D934" s="34" t="s">
        <v>1999</v>
      </c>
      <c r="E934" s="35" t="str">
        <f t="shared" si="228"/>
        <v>PND'!</v>
      </c>
      <c r="F934" s="34" t="str">
        <f t="shared" si="229"/>
        <v>C:\Users\jaime.benazar\Quorum Business Solutions\Ecopetrol Prometeo - Documents\Planning Space Implementation\3. Analysis &amp; Design\Design\FC22\DRR Jaime\QUIFA-CAJÚA\Cajua\[CAJUA_CF_SEC_New_27-Feb-2024Rev3.xlsx]D-PND'!</v>
      </c>
      <c r="G934" s="32" t="s">
        <v>112</v>
      </c>
      <c r="H934" s="33">
        <f t="shared" si="224"/>
        <v>32</v>
      </c>
      <c r="I934" s="33" t="str">
        <f t="shared" si="230"/>
        <v>='C:\Users\jaime.benazar\Quorum Business Solutions\Ecopetrol Prometeo - Documents\Planning Space Implementation\3. Analysis &amp; Design\Design\FC22\DRR Jaime\QUIFA-CAJÚA\Cajua\[CAJUA_CF_SEC_New_27-Feb-2024Rev3.xlsx]D-PND'!$BZ$32</v>
      </c>
      <c r="J934" s="37" t="s">
        <v>2464</v>
      </c>
    </row>
    <row r="935" spans="1:10" x14ac:dyDescent="0.25">
      <c r="A935" s="32" t="s">
        <v>3</v>
      </c>
      <c r="B935" s="32">
        <f>+B934+1</f>
        <v>2044</v>
      </c>
      <c r="C935" s="33" t="s">
        <v>11</v>
      </c>
      <c r="D935" s="34" t="s">
        <v>1999</v>
      </c>
      <c r="E935" s="35" t="str">
        <f t="shared" ref="E935:E950" si="231">_xlfn.CONCAT(A935,"'!")</f>
        <v>PND'!</v>
      </c>
      <c r="F935" s="34" t="str">
        <f t="shared" ref="F935:F950" si="232">_xlfn.CONCAT(D935:E935)</f>
        <v>C:\Users\jaime.benazar\Quorum Business Solutions\Ecopetrol Prometeo - Documents\Planning Space Implementation\3. Analysis &amp; Design\Design\FC22\DRR Jaime\QUIFA-CAJÚA\Cajua\[CAJUA_CF_SEC_New_27-Feb-2024Rev3.xlsx]D-PND'!</v>
      </c>
      <c r="G935" s="32" t="s">
        <v>112</v>
      </c>
      <c r="H935" s="33">
        <f t="shared" ref="H935:H950" si="233">IF(A935&lt;&gt;A934,12,H934+1)</f>
        <v>33</v>
      </c>
      <c r="I935" s="33" t="str">
        <f t="shared" ref="I935:I950" si="234">_xlfn.CONCAT("='",F935:H935)</f>
        <v>='C:\Users\jaime.benazar\Quorum Business Solutions\Ecopetrol Prometeo - Documents\Planning Space Implementation\3. Analysis &amp; Design\Design\FC22\DRR Jaime\QUIFA-CAJÚA\Cajua\[CAJUA_CF_SEC_New_27-Feb-2024Rev3.xlsx]D-PND'!$BZ$33</v>
      </c>
      <c r="J935" s="37" t="s">
        <v>2465</v>
      </c>
    </row>
    <row r="936" spans="1:10" x14ac:dyDescent="0.25">
      <c r="A936" s="32" t="s">
        <v>3</v>
      </c>
      <c r="B936" s="32">
        <f t="shared" ref="B936:B950" si="235">+B935+1</f>
        <v>2045</v>
      </c>
      <c r="C936" s="33" t="s">
        <v>11</v>
      </c>
      <c r="D936" s="34" t="s">
        <v>1999</v>
      </c>
      <c r="E936" s="35" t="str">
        <f t="shared" si="231"/>
        <v>PND'!</v>
      </c>
      <c r="F936" s="34" t="str">
        <f t="shared" si="232"/>
        <v>C:\Users\jaime.benazar\Quorum Business Solutions\Ecopetrol Prometeo - Documents\Planning Space Implementation\3. Analysis &amp; Design\Design\FC22\DRR Jaime\QUIFA-CAJÚA\Cajua\[CAJUA_CF_SEC_New_27-Feb-2024Rev3.xlsx]D-PND'!</v>
      </c>
      <c r="G936" s="32" t="s">
        <v>112</v>
      </c>
      <c r="H936" s="33">
        <f t="shared" si="233"/>
        <v>34</v>
      </c>
      <c r="I936" s="33" t="str">
        <f t="shared" si="234"/>
        <v>='C:\Users\jaime.benazar\Quorum Business Solutions\Ecopetrol Prometeo - Documents\Planning Space Implementation\3. Analysis &amp; Design\Design\FC22\DRR Jaime\QUIFA-CAJÚA\Cajua\[CAJUA_CF_SEC_New_27-Feb-2024Rev3.xlsx]D-PND'!$BZ$34</v>
      </c>
      <c r="J936" s="37" t="s">
        <v>2466</v>
      </c>
    </row>
    <row r="937" spans="1:10" x14ac:dyDescent="0.25">
      <c r="A937" s="32" t="s">
        <v>3</v>
      </c>
      <c r="B937" s="32">
        <f t="shared" si="235"/>
        <v>2046</v>
      </c>
      <c r="C937" s="33" t="s">
        <v>11</v>
      </c>
      <c r="D937" s="34" t="s">
        <v>1999</v>
      </c>
      <c r="E937" s="35" t="str">
        <f t="shared" si="231"/>
        <v>PND'!</v>
      </c>
      <c r="F937" s="34" t="str">
        <f t="shared" si="232"/>
        <v>C:\Users\jaime.benazar\Quorum Business Solutions\Ecopetrol Prometeo - Documents\Planning Space Implementation\3. Analysis &amp; Design\Design\FC22\DRR Jaime\QUIFA-CAJÚA\Cajua\[CAJUA_CF_SEC_New_27-Feb-2024Rev3.xlsx]D-PND'!</v>
      </c>
      <c r="G937" s="32" t="s">
        <v>112</v>
      </c>
      <c r="H937" s="33">
        <f t="shared" si="233"/>
        <v>35</v>
      </c>
      <c r="I937" s="33" t="str">
        <f t="shared" si="234"/>
        <v>='C:\Users\jaime.benazar\Quorum Business Solutions\Ecopetrol Prometeo - Documents\Planning Space Implementation\3. Analysis &amp; Design\Design\FC22\DRR Jaime\QUIFA-CAJÚA\Cajua\[CAJUA_CF_SEC_New_27-Feb-2024Rev3.xlsx]D-PND'!$BZ$35</v>
      </c>
      <c r="J937" s="37" t="s">
        <v>2467</v>
      </c>
    </row>
    <row r="938" spans="1:10" x14ac:dyDescent="0.25">
      <c r="A938" s="32" t="s">
        <v>3</v>
      </c>
      <c r="B938" s="32">
        <f t="shared" si="235"/>
        <v>2047</v>
      </c>
      <c r="C938" s="33" t="s">
        <v>11</v>
      </c>
      <c r="D938" s="34" t="s">
        <v>1999</v>
      </c>
      <c r="E938" s="35" t="str">
        <f t="shared" si="231"/>
        <v>PND'!</v>
      </c>
      <c r="F938" s="34" t="str">
        <f t="shared" si="232"/>
        <v>C:\Users\jaime.benazar\Quorum Business Solutions\Ecopetrol Prometeo - Documents\Planning Space Implementation\3. Analysis &amp; Design\Design\FC22\DRR Jaime\QUIFA-CAJÚA\Cajua\[CAJUA_CF_SEC_New_27-Feb-2024Rev3.xlsx]D-PND'!</v>
      </c>
      <c r="G938" s="32" t="s">
        <v>112</v>
      </c>
      <c r="H938" s="33">
        <f t="shared" si="233"/>
        <v>36</v>
      </c>
      <c r="I938" s="33" t="str">
        <f t="shared" si="234"/>
        <v>='C:\Users\jaime.benazar\Quorum Business Solutions\Ecopetrol Prometeo - Documents\Planning Space Implementation\3. Analysis &amp; Design\Design\FC22\DRR Jaime\QUIFA-CAJÚA\Cajua\[CAJUA_CF_SEC_New_27-Feb-2024Rev3.xlsx]D-PND'!$BZ$36</v>
      </c>
      <c r="J938" s="37" t="s">
        <v>2468</v>
      </c>
    </row>
    <row r="939" spans="1:10" x14ac:dyDescent="0.25">
      <c r="A939" s="32" t="s">
        <v>3</v>
      </c>
      <c r="B939" s="32">
        <f t="shared" si="235"/>
        <v>2048</v>
      </c>
      <c r="C939" s="33" t="s">
        <v>11</v>
      </c>
      <c r="D939" s="34" t="s">
        <v>1999</v>
      </c>
      <c r="E939" s="35" t="str">
        <f t="shared" si="231"/>
        <v>PND'!</v>
      </c>
      <c r="F939" s="34" t="str">
        <f t="shared" si="232"/>
        <v>C:\Users\jaime.benazar\Quorum Business Solutions\Ecopetrol Prometeo - Documents\Planning Space Implementation\3. Analysis &amp; Design\Design\FC22\DRR Jaime\QUIFA-CAJÚA\Cajua\[CAJUA_CF_SEC_New_27-Feb-2024Rev3.xlsx]D-PND'!</v>
      </c>
      <c r="G939" s="32" t="s">
        <v>112</v>
      </c>
      <c r="H939" s="33">
        <f t="shared" si="233"/>
        <v>37</v>
      </c>
      <c r="I939" s="33" t="str">
        <f t="shared" si="234"/>
        <v>='C:\Users\jaime.benazar\Quorum Business Solutions\Ecopetrol Prometeo - Documents\Planning Space Implementation\3. Analysis &amp; Design\Design\FC22\DRR Jaime\QUIFA-CAJÚA\Cajua\[CAJUA_CF_SEC_New_27-Feb-2024Rev3.xlsx]D-PND'!$BZ$37</v>
      </c>
      <c r="J939" s="37" t="s">
        <v>2469</v>
      </c>
    </row>
    <row r="940" spans="1:10" x14ac:dyDescent="0.25">
      <c r="A940" s="32" t="s">
        <v>3</v>
      </c>
      <c r="B940" s="32">
        <f t="shared" si="235"/>
        <v>2049</v>
      </c>
      <c r="C940" s="33" t="s">
        <v>11</v>
      </c>
      <c r="D940" s="34" t="s">
        <v>1999</v>
      </c>
      <c r="E940" s="35" t="str">
        <f t="shared" si="231"/>
        <v>PND'!</v>
      </c>
      <c r="F940" s="34" t="str">
        <f t="shared" si="232"/>
        <v>C:\Users\jaime.benazar\Quorum Business Solutions\Ecopetrol Prometeo - Documents\Planning Space Implementation\3. Analysis &amp; Design\Design\FC22\DRR Jaime\QUIFA-CAJÚA\Cajua\[CAJUA_CF_SEC_New_27-Feb-2024Rev3.xlsx]D-PND'!</v>
      </c>
      <c r="G940" s="32" t="s">
        <v>112</v>
      </c>
      <c r="H940" s="33">
        <f t="shared" si="233"/>
        <v>38</v>
      </c>
      <c r="I940" s="33" t="str">
        <f t="shared" si="234"/>
        <v>='C:\Users\jaime.benazar\Quorum Business Solutions\Ecopetrol Prometeo - Documents\Planning Space Implementation\3. Analysis &amp; Design\Design\FC22\DRR Jaime\QUIFA-CAJÚA\Cajua\[CAJUA_CF_SEC_New_27-Feb-2024Rev3.xlsx]D-PND'!$BZ$38</v>
      </c>
      <c r="J940" s="37" t="s">
        <v>2470</v>
      </c>
    </row>
    <row r="941" spans="1:10" x14ac:dyDescent="0.25">
      <c r="A941" s="32" t="s">
        <v>3</v>
      </c>
      <c r="B941" s="32">
        <f t="shared" si="235"/>
        <v>2050</v>
      </c>
      <c r="C941" s="33" t="s">
        <v>11</v>
      </c>
      <c r="D941" s="34" t="s">
        <v>1999</v>
      </c>
      <c r="E941" s="35" t="str">
        <f t="shared" si="231"/>
        <v>PND'!</v>
      </c>
      <c r="F941" s="34" t="str">
        <f t="shared" si="232"/>
        <v>C:\Users\jaime.benazar\Quorum Business Solutions\Ecopetrol Prometeo - Documents\Planning Space Implementation\3. Analysis &amp; Design\Design\FC22\DRR Jaime\QUIFA-CAJÚA\Cajua\[CAJUA_CF_SEC_New_27-Feb-2024Rev3.xlsx]D-PND'!</v>
      </c>
      <c r="G941" s="32" t="s">
        <v>112</v>
      </c>
      <c r="H941" s="33">
        <f t="shared" si="233"/>
        <v>39</v>
      </c>
      <c r="I941" s="33" t="str">
        <f t="shared" si="234"/>
        <v>='C:\Users\jaime.benazar\Quorum Business Solutions\Ecopetrol Prometeo - Documents\Planning Space Implementation\3. Analysis &amp; Design\Design\FC22\DRR Jaime\QUIFA-CAJÚA\Cajua\[CAJUA_CF_SEC_New_27-Feb-2024Rev3.xlsx]D-PND'!$BZ$39</v>
      </c>
      <c r="J941" s="37" t="s">
        <v>2471</v>
      </c>
    </row>
    <row r="942" spans="1:10" x14ac:dyDescent="0.25">
      <c r="A942" s="32" t="s">
        <v>3</v>
      </c>
      <c r="B942" s="32">
        <f t="shared" si="235"/>
        <v>2051</v>
      </c>
      <c r="C942" s="33" t="s">
        <v>11</v>
      </c>
      <c r="D942" s="34" t="s">
        <v>1999</v>
      </c>
      <c r="E942" s="35" t="str">
        <f t="shared" si="231"/>
        <v>PND'!</v>
      </c>
      <c r="F942" s="34" t="str">
        <f t="shared" si="232"/>
        <v>C:\Users\jaime.benazar\Quorum Business Solutions\Ecopetrol Prometeo - Documents\Planning Space Implementation\3. Analysis &amp; Design\Design\FC22\DRR Jaime\QUIFA-CAJÚA\Cajua\[CAJUA_CF_SEC_New_27-Feb-2024Rev3.xlsx]D-PND'!</v>
      </c>
      <c r="G942" s="32" t="s">
        <v>112</v>
      </c>
      <c r="H942" s="33">
        <f t="shared" si="233"/>
        <v>40</v>
      </c>
      <c r="I942" s="33" t="str">
        <f t="shared" si="234"/>
        <v>='C:\Users\jaime.benazar\Quorum Business Solutions\Ecopetrol Prometeo - Documents\Planning Space Implementation\3. Analysis &amp; Design\Design\FC22\DRR Jaime\QUIFA-CAJÚA\Cajua\[CAJUA_CF_SEC_New_27-Feb-2024Rev3.xlsx]D-PND'!$BZ$40</v>
      </c>
      <c r="J942" s="37" t="s">
        <v>2472</v>
      </c>
    </row>
    <row r="943" spans="1:10" x14ac:dyDescent="0.25">
      <c r="A943" s="32" t="s">
        <v>3</v>
      </c>
      <c r="B943" s="32">
        <f t="shared" si="235"/>
        <v>2052</v>
      </c>
      <c r="C943" s="33" t="s">
        <v>11</v>
      </c>
      <c r="D943" s="34" t="s">
        <v>1999</v>
      </c>
      <c r="E943" s="35" t="str">
        <f t="shared" si="231"/>
        <v>PND'!</v>
      </c>
      <c r="F943" s="34" t="str">
        <f t="shared" si="232"/>
        <v>C:\Users\jaime.benazar\Quorum Business Solutions\Ecopetrol Prometeo - Documents\Planning Space Implementation\3. Analysis &amp; Design\Design\FC22\DRR Jaime\QUIFA-CAJÚA\Cajua\[CAJUA_CF_SEC_New_27-Feb-2024Rev3.xlsx]D-PND'!</v>
      </c>
      <c r="G943" s="32" t="s">
        <v>112</v>
      </c>
      <c r="H943" s="33">
        <f t="shared" si="233"/>
        <v>41</v>
      </c>
      <c r="I943" s="33" t="str">
        <f t="shared" si="234"/>
        <v>='C:\Users\jaime.benazar\Quorum Business Solutions\Ecopetrol Prometeo - Documents\Planning Space Implementation\3. Analysis &amp; Design\Design\FC22\DRR Jaime\QUIFA-CAJÚA\Cajua\[CAJUA_CF_SEC_New_27-Feb-2024Rev3.xlsx]D-PND'!$BZ$41</v>
      </c>
      <c r="J943" s="37" t="s">
        <v>2473</v>
      </c>
    </row>
    <row r="944" spans="1:10" x14ac:dyDescent="0.25">
      <c r="A944" s="32" t="s">
        <v>3</v>
      </c>
      <c r="B944" s="32">
        <f t="shared" si="235"/>
        <v>2053</v>
      </c>
      <c r="C944" s="33" t="s">
        <v>11</v>
      </c>
      <c r="D944" s="34" t="s">
        <v>1999</v>
      </c>
      <c r="E944" s="35" t="str">
        <f t="shared" si="231"/>
        <v>PND'!</v>
      </c>
      <c r="F944" s="34" t="str">
        <f t="shared" si="232"/>
        <v>C:\Users\jaime.benazar\Quorum Business Solutions\Ecopetrol Prometeo - Documents\Planning Space Implementation\3. Analysis &amp; Design\Design\FC22\DRR Jaime\QUIFA-CAJÚA\Cajua\[CAJUA_CF_SEC_New_27-Feb-2024Rev3.xlsx]D-PND'!</v>
      </c>
      <c r="G944" s="32" t="s">
        <v>112</v>
      </c>
      <c r="H944" s="33">
        <f t="shared" si="233"/>
        <v>42</v>
      </c>
      <c r="I944" s="33" t="str">
        <f t="shared" si="234"/>
        <v>='C:\Users\jaime.benazar\Quorum Business Solutions\Ecopetrol Prometeo - Documents\Planning Space Implementation\3. Analysis &amp; Design\Design\FC22\DRR Jaime\QUIFA-CAJÚA\Cajua\[CAJUA_CF_SEC_New_27-Feb-2024Rev3.xlsx]D-PND'!$BZ$42</v>
      </c>
      <c r="J944" s="37" t="s">
        <v>2474</v>
      </c>
    </row>
    <row r="945" spans="1:10" x14ac:dyDescent="0.25">
      <c r="A945" s="32" t="s">
        <v>3</v>
      </c>
      <c r="B945" s="32">
        <f t="shared" si="235"/>
        <v>2054</v>
      </c>
      <c r="C945" s="33" t="s">
        <v>11</v>
      </c>
      <c r="D945" s="34" t="s">
        <v>1999</v>
      </c>
      <c r="E945" s="35" t="str">
        <f t="shared" si="231"/>
        <v>PND'!</v>
      </c>
      <c r="F945" s="34" t="str">
        <f t="shared" si="232"/>
        <v>C:\Users\jaime.benazar\Quorum Business Solutions\Ecopetrol Prometeo - Documents\Planning Space Implementation\3. Analysis &amp; Design\Design\FC22\DRR Jaime\QUIFA-CAJÚA\Cajua\[CAJUA_CF_SEC_New_27-Feb-2024Rev3.xlsx]D-PND'!</v>
      </c>
      <c r="G945" s="32" t="s">
        <v>112</v>
      </c>
      <c r="H945" s="33">
        <f t="shared" si="233"/>
        <v>43</v>
      </c>
      <c r="I945" s="33" t="str">
        <f t="shared" si="234"/>
        <v>='C:\Users\jaime.benazar\Quorum Business Solutions\Ecopetrol Prometeo - Documents\Planning Space Implementation\3. Analysis &amp; Design\Design\FC22\DRR Jaime\QUIFA-CAJÚA\Cajua\[CAJUA_CF_SEC_New_27-Feb-2024Rev3.xlsx]D-PND'!$BZ$43</v>
      </c>
      <c r="J945" s="37" t="s">
        <v>2475</v>
      </c>
    </row>
    <row r="946" spans="1:10" x14ac:dyDescent="0.25">
      <c r="A946" s="32" t="s">
        <v>3</v>
      </c>
      <c r="B946" s="32">
        <f t="shared" si="235"/>
        <v>2055</v>
      </c>
      <c r="C946" s="33" t="s">
        <v>11</v>
      </c>
      <c r="D946" s="34" t="s">
        <v>1999</v>
      </c>
      <c r="E946" s="35" t="str">
        <f t="shared" si="231"/>
        <v>PND'!</v>
      </c>
      <c r="F946" s="34" t="str">
        <f t="shared" si="232"/>
        <v>C:\Users\jaime.benazar\Quorum Business Solutions\Ecopetrol Prometeo - Documents\Planning Space Implementation\3. Analysis &amp; Design\Design\FC22\DRR Jaime\QUIFA-CAJÚA\Cajua\[CAJUA_CF_SEC_New_27-Feb-2024Rev3.xlsx]D-PND'!</v>
      </c>
      <c r="G946" s="32" t="s">
        <v>112</v>
      </c>
      <c r="H946" s="33">
        <f t="shared" si="233"/>
        <v>44</v>
      </c>
      <c r="I946" s="33" t="str">
        <f t="shared" si="234"/>
        <v>='C:\Users\jaime.benazar\Quorum Business Solutions\Ecopetrol Prometeo - Documents\Planning Space Implementation\3. Analysis &amp; Design\Design\FC22\DRR Jaime\QUIFA-CAJÚA\Cajua\[CAJUA_CF_SEC_New_27-Feb-2024Rev3.xlsx]D-PND'!$BZ$44</v>
      </c>
      <c r="J946" s="37" t="s">
        <v>2476</v>
      </c>
    </row>
    <row r="947" spans="1:10" x14ac:dyDescent="0.25">
      <c r="A947" s="32" t="s">
        <v>3</v>
      </c>
      <c r="B947" s="32">
        <f t="shared" si="235"/>
        <v>2056</v>
      </c>
      <c r="C947" s="33" t="s">
        <v>11</v>
      </c>
      <c r="D947" s="34" t="s">
        <v>1999</v>
      </c>
      <c r="E947" s="35" t="str">
        <f t="shared" si="231"/>
        <v>PND'!</v>
      </c>
      <c r="F947" s="34" t="str">
        <f t="shared" si="232"/>
        <v>C:\Users\jaime.benazar\Quorum Business Solutions\Ecopetrol Prometeo - Documents\Planning Space Implementation\3. Analysis &amp; Design\Design\FC22\DRR Jaime\QUIFA-CAJÚA\Cajua\[CAJUA_CF_SEC_New_27-Feb-2024Rev3.xlsx]D-PND'!</v>
      </c>
      <c r="G947" s="32" t="s">
        <v>112</v>
      </c>
      <c r="H947" s="33">
        <f t="shared" si="233"/>
        <v>45</v>
      </c>
      <c r="I947" s="33" t="str">
        <f t="shared" si="234"/>
        <v>='C:\Users\jaime.benazar\Quorum Business Solutions\Ecopetrol Prometeo - Documents\Planning Space Implementation\3. Analysis &amp; Design\Design\FC22\DRR Jaime\QUIFA-CAJÚA\Cajua\[CAJUA_CF_SEC_New_27-Feb-2024Rev3.xlsx]D-PND'!$BZ$45</v>
      </c>
      <c r="J947" s="37" t="s">
        <v>2477</v>
      </c>
    </row>
    <row r="948" spans="1:10" x14ac:dyDescent="0.25">
      <c r="A948" s="32" t="s">
        <v>3</v>
      </c>
      <c r="B948" s="32">
        <f t="shared" si="235"/>
        <v>2057</v>
      </c>
      <c r="C948" s="33" t="s">
        <v>11</v>
      </c>
      <c r="D948" s="34" t="s">
        <v>1999</v>
      </c>
      <c r="E948" s="35" t="str">
        <f t="shared" si="231"/>
        <v>PND'!</v>
      </c>
      <c r="F948" s="34" t="str">
        <f t="shared" si="232"/>
        <v>C:\Users\jaime.benazar\Quorum Business Solutions\Ecopetrol Prometeo - Documents\Planning Space Implementation\3. Analysis &amp; Design\Design\FC22\DRR Jaime\QUIFA-CAJÚA\Cajua\[CAJUA_CF_SEC_New_27-Feb-2024Rev3.xlsx]D-PND'!</v>
      </c>
      <c r="G948" s="32" t="s">
        <v>112</v>
      </c>
      <c r="H948" s="33">
        <f t="shared" si="233"/>
        <v>46</v>
      </c>
      <c r="I948" s="33" t="str">
        <f t="shared" si="234"/>
        <v>='C:\Users\jaime.benazar\Quorum Business Solutions\Ecopetrol Prometeo - Documents\Planning Space Implementation\3. Analysis &amp; Design\Design\FC22\DRR Jaime\QUIFA-CAJÚA\Cajua\[CAJUA_CF_SEC_New_27-Feb-2024Rev3.xlsx]D-PND'!$BZ$46</v>
      </c>
      <c r="J948" s="37" t="s">
        <v>2478</v>
      </c>
    </row>
    <row r="949" spans="1:10" x14ac:dyDescent="0.25">
      <c r="A949" s="32" t="s">
        <v>3</v>
      </c>
      <c r="B949" s="32">
        <f t="shared" si="235"/>
        <v>2058</v>
      </c>
      <c r="C949" s="33" t="s">
        <v>11</v>
      </c>
      <c r="D949" s="34" t="s">
        <v>1999</v>
      </c>
      <c r="E949" s="35" t="str">
        <f t="shared" si="231"/>
        <v>PND'!</v>
      </c>
      <c r="F949" s="34" t="str">
        <f t="shared" si="232"/>
        <v>C:\Users\jaime.benazar\Quorum Business Solutions\Ecopetrol Prometeo - Documents\Planning Space Implementation\3. Analysis &amp; Design\Design\FC22\DRR Jaime\QUIFA-CAJÚA\Cajua\[CAJUA_CF_SEC_New_27-Feb-2024Rev3.xlsx]D-PND'!</v>
      </c>
      <c r="G949" s="32" t="s">
        <v>112</v>
      </c>
      <c r="H949" s="33">
        <f t="shared" si="233"/>
        <v>47</v>
      </c>
      <c r="I949" s="33" t="str">
        <f t="shared" si="234"/>
        <v>='C:\Users\jaime.benazar\Quorum Business Solutions\Ecopetrol Prometeo - Documents\Planning Space Implementation\3. Analysis &amp; Design\Design\FC22\DRR Jaime\QUIFA-CAJÚA\Cajua\[CAJUA_CF_SEC_New_27-Feb-2024Rev3.xlsx]D-PND'!$BZ$47</v>
      </c>
      <c r="J949" s="37" t="s">
        <v>2479</v>
      </c>
    </row>
    <row r="950" spans="1:10" x14ac:dyDescent="0.25">
      <c r="A950" s="32" t="s">
        <v>3</v>
      </c>
      <c r="B950" s="32">
        <f t="shared" si="235"/>
        <v>2059</v>
      </c>
      <c r="C950" s="33" t="s">
        <v>11</v>
      </c>
      <c r="D950" s="34" t="s">
        <v>1999</v>
      </c>
      <c r="E950" s="35" t="str">
        <f t="shared" si="231"/>
        <v>PND'!</v>
      </c>
      <c r="F950" s="34" t="str">
        <f t="shared" si="232"/>
        <v>C:\Users\jaime.benazar\Quorum Business Solutions\Ecopetrol Prometeo - Documents\Planning Space Implementation\3. Analysis &amp; Design\Design\FC22\DRR Jaime\QUIFA-CAJÚA\Cajua\[CAJUA_CF_SEC_New_27-Feb-2024Rev3.xlsx]D-PND'!</v>
      </c>
      <c r="G950" s="32" t="s">
        <v>112</v>
      </c>
      <c r="H950" s="33">
        <f t="shared" si="233"/>
        <v>48</v>
      </c>
      <c r="I950" s="33" t="str">
        <f t="shared" si="234"/>
        <v>='C:\Users\jaime.benazar\Quorum Business Solutions\Ecopetrol Prometeo - Documents\Planning Space Implementation\3. Analysis &amp; Design\Design\FC22\DRR Jaime\QUIFA-CAJÚA\Cajua\[CAJUA_CF_SEC_New_27-Feb-2024Rev3.xlsx]D-PND'!$BZ$48</v>
      </c>
      <c r="J950" s="37" t="s">
        <v>2480</v>
      </c>
    </row>
    <row r="951" spans="1:10" x14ac:dyDescent="0.25">
      <c r="A951" s="32" t="s">
        <v>28</v>
      </c>
      <c r="B951" s="32"/>
      <c r="C951" s="33" t="s">
        <v>11</v>
      </c>
      <c r="D951" s="34"/>
      <c r="E951" s="35"/>
      <c r="F951" s="34"/>
      <c r="G951" s="32"/>
      <c r="H951" s="33"/>
      <c r="I951" s="33"/>
      <c r="J951" s="33"/>
    </row>
    <row r="952" spans="1:10" x14ac:dyDescent="0.25">
      <c r="A952" s="32" t="s">
        <v>99</v>
      </c>
      <c r="B952" s="32">
        <v>2023</v>
      </c>
      <c r="C952" s="33" t="s">
        <v>11</v>
      </c>
      <c r="D952" s="34" t="s">
        <v>1999</v>
      </c>
      <c r="E952" s="35" t="str">
        <f t="shared" ref="E952:E972" si="236">_xlfn.CONCAT(A952,"'!")</f>
        <v>PRBDP'!</v>
      </c>
      <c r="F952" s="34" t="str">
        <f t="shared" ref="F952:F972" si="237">_xlfn.CONCAT(D952:E952)</f>
        <v>C:\Users\jaime.benazar\Quorum Business Solutions\Ecopetrol Prometeo - Documents\Planning Space Implementation\3. Analysis &amp; Design\Design\FC22\DRR Jaime\QUIFA-CAJÚA\Cajua\[CAJUA_CF_SEC_New_27-Feb-2024Rev3.xlsx]D-PRBDP'!</v>
      </c>
      <c r="G952" s="32" t="s">
        <v>112</v>
      </c>
      <c r="H952" s="33"/>
      <c r="I952" s="33"/>
      <c r="J952" s="37"/>
    </row>
    <row r="953" spans="1:10" x14ac:dyDescent="0.25">
      <c r="A953" s="32" t="s">
        <v>99</v>
      </c>
      <c r="B953" s="32">
        <f>+B952+1</f>
        <v>2024</v>
      </c>
      <c r="C953" s="33" t="s">
        <v>11</v>
      </c>
      <c r="D953" s="34" t="s">
        <v>1999</v>
      </c>
      <c r="E953" s="35" t="str">
        <f t="shared" si="236"/>
        <v>PRBDP'!</v>
      </c>
      <c r="F953" s="34" t="str">
        <f t="shared" si="237"/>
        <v>C:\Users\jaime.benazar\Quorum Business Solutions\Ecopetrol Prometeo - Documents\Planning Space Implementation\3. Analysis &amp; Design\Design\FC22\DRR Jaime\QUIFA-CAJÚA\Cajua\[CAJUA_CF_SEC_New_27-Feb-2024Rev3.xlsx]D-PRBDP'!</v>
      </c>
      <c r="G953" s="32" t="s">
        <v>112</v>
      </c>
      <c r="H953" s="33"/>
      <c r="I953" s="33"/>
      <c r="J953" s="37"/>
    </row>
    <row r="954" spans="1:10" x14ac:dyDescent="0.25">
      <c r="A954" s="32" t="s">
        <v>99</v>
      </c>
      <c r="B954" s="32">
        <f t="shared" ref="B954:B965" si="238">+B953+1</f>
        <v>2025</v>
      </c>
      <c r="C954" s="33" t="s">
        <v>11</v>
      </c>
      <c r="D954" s="34" t="s">
        <v>1999</v>
      </c>
      <c r="E954" s="35" t="str">
        <f t="shared" si="236"/>
        <v>PRBDP'!</v>
      </c>
      <c r="F954" s="34" t="str">
        <f t="shared" si="237"/>
        <v>C:\Users\jaime.benazar\Quorum Business Solutions\Ecopetrol Prometeo - Documents\Planning Space Implementation\3. Analysis &amp; Design\Design\FC22\DRR Jaime\QUIFA-CAJÚA\Cajua\[CAJUA_CF_SEC_New_27-Feb-2024Rev3.xlsx]D-PRBDP'!</v>
      </c>
      <c r="G954" s="32" t="s">
        <v>112</v>
      </c>
      <c r="H954" s="33"/>
      <c r="I954" s="33"/>
      <c r="J954" s="37"/>
    </row>
    <row r="955" spans="1:10" x14ac:dyDescent="0.25">
      <c r="A955" s="32" t="s">
        <v>99</v>
      </c>
      <c r="B955" s="32">
        <f t="shared" si="238"/>
        <v>2026</v>
      </c>
      <c r="C955" s="33" t="s">
        <v>11</v>
      </c>
      <c r="D955" s="34" t="s">
        <v>1999</v>
      </c>
      <c r="E955" s="35" t="str">
        <f t="shared" si="236"/>
        <v>PRBDP'!</v>
      </c>
      <c r="F955" s="34" t="str">
        <f t="shared" si="237"/>
        <v>C:\Users\jaime.benazar\Quorum Business Solutions\Ecopetrol Prometeo - Documents\Planning Space Implementation\3. Analysis &amp; Design\Design\FC22\DRR Jaime\QUIFA-CAJÚA\Cajua\[CAJUA_CF_SEC_New_27-Feb-2024Rev3.xlsx]D-PRBDP'!</v>
      </c>
      <c r="G955" s="32" t="s">
        <v>112</v>
      </c>
      <c r="H955" s="33"/>
      <c r="I955" s="33"/>
      <c r="J955" s="37"/>
    </row>
    <row r="956" spans="1:10" x14ac:dyDescent="0.25">
      <c r="A956" s="32" t="s">
        <v>99</v>
      </c>
      <c r="B956" s="32">
        <f t="shared" si="238"/>
        <v>2027</v>
      </c>
      <c r="C956" s="33" t="s">
        <v>11</v>
      </c>
      <c r="D956" s="34" t="s">
        <v>1999</v>
      </c>
      <c r="E956" s="35" t="str">
        <f t="shared" si="236"/>
        <v>PRBDP'!</v>
      </c>
      <c r="F956" s="34" t="str">
        <f t="shared" si="237"/>
        <v>C:\Users\jaime.benazar\Quorum Business Solutions\Ecopetrol Prometeo - Documents\Planning Space Implementation\3. Analysis &amp; Design\Design\FC22\DRR Jaime\QUIFA-CAJÚA\Cajua\[CAJUA_CF_SEC_New_27-Feb-2024Rev3.xlsx]D-PRBDP'!</v>
      </c>
      <c r="G956" s="32" t="s">
        <v>112</v>
      </c>
      <c r="H956" s="33"/>
      <c r="I956" s="33"/>
      <c r="J956" s="37"/>
    </row>
    <row r="957" spans="1:10" x14ac:dyDescent="0.25">
      <c r="A957" s="32" t="s">
        <v>99</v>
      </c>
      <c r="B957" s="32">
        <f t="shared" si="238"/>
        <v>2028</v>
      </c>
      <c r="C957" s="33" t="s">
        <v>11</v>
      </c>
      <c r="D957" s="34" t="s">
        <v>1999</v>
      </c>
      <c r="E957" s="35" t="str">
        <f t="shared" si="236"/>
        <v>PRBDP'!</v>
      </c>
      <c r="F957" s="34" t="str">
        <f t="shared" si="237"/>
        <v>C:\Users\jaime.benazar\Quorum Business Solutions\Ecopetrol Prometeo - Documents\Planning Space Implementation\3. Analysis &amp; Design\Design\FC22\DRR Jaime\QUIFA-CAJÚA\Cajua\[CAJUA_CF_SEC_New_27-Feb-2024Rev3.xlsx]D-PRBDP'!</v>
      </c>
      <c r="G957" s="32" t="s">
        <v>112</v>
      </c>
      <c r="H957" s="33"/>
      <c r="I957" s="33"/>
      <c r="J957" s="37"/>
    </row>
    <row r="958" spans="1:10" x14ac:dyDescent="0.25">
      <c r="A958" s="32" t="s">
        <v>99</v>
      </c>
      <c r="B958" s="32">
        <f t="shared" si="238"/>
        <v>2029</v>
      </c>
      <c r="C958" s="33" t="s">
        <v>11</v>
      </c>
      <c r="D958" s="34" t="s">
        <v>1999</v>
      </c>
      <c r="E958" s="35" t="str">
        <f t="shared" si="236"/>
        <v>PRBDP'!</v>
      </c>
      <c r="F958" s="34" t="str">
        <f t="shared" si="237"/>
        <v>C:\Users\jaime.benazar\Quorum Business Solutions\Ecopetrol Prometeo - Documents\Planning Space Implementation\3. Analysis &amp; Design\Design\FC22\DRR Jaime\QUIFA-CAJÚA\Cajua\[CAJUA_CF_SEC_New_27-Feb-2024Rev3.xlsx]D-PRBDP'!</v>
      </c>
      <c r="G958" s="32" t="s">
        <v>112</v>
      </c>
      <c r="H958" s="33"/>
      <c r="I958" s="33"/>
      <c r="J958" s="37"/>
    </row>
    <row r="959" spans="1:10" x14ac:dyDescent="0.25">
      <c r="A959" s="32" t="s">
        <v>99</v>
      </c>
      <c r="B959" s="32">
        <f t="shared" si="238"/>
        <v>2030</v>
      </c>
      <c r="C959" s="33" t="s">
        <v>11</v>
      </c>
      <c r="D959" s="34" t="s">
        <v>1999</v>
      </c>
      <c r="E959" s="35" t="str">
        <f t="shared" si="236"/>
        <v>PRBDP'!</v>
      </c>
      <c r="F959" s="34" t="str">
        <f t="shared" si="237"/>
        <v>C:\Users\jaime.benazar\Quorum Business Solutions\Ecopetrol Prometeo - Documents\Planning Space Implementation\3. Analysis &amp; Design\Design\FC22\DRR Jaime\QUIFA-CAJÚA\Cajua\[CAJUA_CF_SEC_New_27-Feb-2024Rev3.xlsx]D-PRBDP'!</v>
      </c>
      <c r="G959" s="32" t="s">
        <v>112</v>
      </c>
      <c r="H959" s="33"/>
      <c r="I959" s="33"/>
      <c r="J959" s="37"/>
    </row>
    <row r="960" spans="1:10" x14ac:dyDescent="0.25">
      <c r="A960" s="32" t="s">
        <v>99</v>
      </c>
      <c r="B960" s="32">
        <f t="shared" si="238"/>
        <v>2031</v>
      </c>
      <c r="C960" s="33" t="s">
        <v>11</v>
      </c>
      <c r="D960" s="34" t="s">
        <v>1999</v>
      </c>
      <c r="E960" s="35" t="str">
        <f t="shared" si="236"/>
        <v>PRBDP'!</v>
      </c>
      <c r="F960" s="34" t="str">
        <f t="shared" si="237"/>
        <v>C:\Users\jaime.benazar\Quorum Business Solutions\Ecopetrol Prometeo - Documents\Planning Space Implementation\3. Analysis &amp; Design\Design\FC22\DRR Jaime\QUIFA-CAJÚA\Cajua\[CAJUA_CF_SEC_New_27-Feb-2024Rev3.xlsx]D-PRBDP'!</v>
      </c>
      <c r="G960" s="32" t="s">
        <v>112</v>
      </c>
      <c r="H960" s="33"/>
      <c r="I960" s="33"/>
      <c r="J960" s="37"/>
    </row>
    <row r="961" spans="1:10" x14ac:dyDescent="0.25">
      <c r="A961" s="32" t="s">
        <v>99</v>
      </c>
      <c r="B961" s="32">
        <f t="shared" si="238"/>
        <v>2032</v>
      </c>
      <c r="C961" s="33" t="s">
        <v>11</v>
      </c>
      <c r="D961" s="34" t="s">
        <v>1999</v>
      </c>
      <c r="E961" s="35" t="str">
        <f t="shared" si="236"/>
        <v>PRBDP'!</v>
      </c>
      <c r="F961" s="34" t="str">
        <f t="shared" si="237"/>
        <v>C:\Users\jaime.benazar\Quorum Business Solutions\Ecopetrol Prometeo - Documents\Planning Space Implementation\3. Analysis &amp; Design\Design\FC22\DRR Jaime\QUIFA-CAJÚA\Cajua\[CAJUA_CF_SEC_New_27-Feb-2024Rev3.xlsx]D-PRBDP'!</v>
      </c>
      <c r="G961" s="32" t="s">
        <v>112</v>
      </c>
      <c r="H961" s="33"/>
      <c r="I961" s="33"/>
      <c r="J961" s="37"/>
    </row>
    <row r="962" spans="1:10" x14ac:dyDescent="0.25">
      <c r="A962" s="32" t="s">
        <v>99</v>
      </c>
      <c r="B962" s="32">
        <f t="shared" si="238"/>
        <v>2033</v>
      </c>
      <c r="C962" s="33" t="s">
        <v>11</v>
      </c>
      <c r="D962" s="34" t="s">
        <v>1999</v>
      </c>
      <c r="E962" s="35" t="str">
        <f t="shared" si="236"/>
        <v>PRBDP'!</v>
      </c>
      <c r="F962" s="34" t="str">
        <f t="shared" si="237"/>
        <v>C:\Users\jaime.benazar\Quorum Business Solutions\Ecopetrol Prometeo - Documents\Planning Space Implementation\3. Analysis &amp; Design\Design\FC22\DRR Jaime\QUIFA-CAJÚA\Cajua\[CAJUA_CF_SEC_New_27-Feb-2024Rev3.xlsx]D-PRBDP'!</v>
      </c>
      <c r="G962" s="32" t="s">
        <v>112</v>
      </c>
      <c r="H962" s="33"/>
      <c r="I962" s="33"/>
      <c r="J962" s="37"/>
    </row>
    <row r="963" spans="1:10" x14ac:dyDescent="0.25">
      <c r="A963" s="32" t="s">
        <v>99</v>
      </c>
      <c r="B963" s="32">
        <f t="shared" si="238"/>
        <v>2034</v>
      </c>
      <c r="C963" s="33" t="s">
        <v>11</v>
      </c>
      <c r="D963" s="34" t="s">
        <v>1999</v>
      </c>
      <c r="E963" s="35" t="str">
        <f t="shared" si="236"/>
        <v>PRBDP'!</v>
      </c>
      <c r="F963" s="34" t="str">
        <f t="shared" si="237"/>
        <v>C:\Users\jaime.benazar\Quorum Business Solutions\Ecopetrol Prometeo - Documents\Planning Space Implementation\3. Analysis &amp; Design\Design\FC22\DRR Jaime\QUIFA-CAJÚA\Cajua\[CAJUA_CF_SEC_New_27-Feb-2024Rev3.xlsx]D-PRBDP'!</v>
      </c>
      <c r="G963" s="32" t="s">
        <v>112</v>
      </c>
      <c r="H963" s="33"/>
      <c r="I963" s="33"/>
      <c r="J963" s="37"/>
    </row>
    <row r="964" spans="1:10" x14ac:dyDescent="0.25">
      <c r="A964" s="32" t="s">
        <v>99</v>
      </c>
      <c r="B964" s="32">
        <f t="shared" si="238"/>
        <v>2035</v>
      </c>
      <c r="C964" s="33" t="s">
        <v>11</v>
      </c>
      <c r="D964" s="34" t="s">
        <v>1999</v>
      </c>
      <c r="E964" s="35" t="str">
        <f t="shared" si="236"/>
        <v>PRBDP'!</v>
      </c>
      <c r="F964" s="34" t="str">
        <f t="shared" si="237"/>
        <v>C:\Users\jaime.benazar\Quorum Business Solutions\Ecopetrol Prometeo - Documents\Planning Space Implementation\3. Analysis &amp; Design\Design\FC22\DRR Jaime\QUIFA-CAJÚA\Cajua\[CAJUA_CF_SEC_New_27-Feb-2024Rev3.xlsx]D-PRBDP'!</v>
      </c>
      <c r="G964" s="32" t="s">
        <v>112</v>
      </c>
      <c r="H964" s="33"/>
      <c r="I964" s="33"/>
      <c r="J964" s="37"/>
    </row>
    <row r="965" spans="1:10" x14ac:dyDescent="0.25">
      <c r="A965" s="32" t="s">
        <v>99</v>
      </c>
      <c r="B965" s="32">
        <f t="shared" si="238"/>
        <v>2036</v>
      </c>
      <c r="C965" s="33" t="s">
        <v>11</v>
      </c>
      <c r="D965" s="34" t="s">
        <v>1999</v>
      </c>
      <c r="E965" s="35" t="str">
        <f t="shared" si="236"/>
        <v>PRBDP'!</v>
      </c>
      <c r="F965" s="34" t="str">
        <f t="shared" si="237"/>
        <v>C:\Users\jaime.benazar\Quorum Business Solutions\Ecopetrol Prometeo - Documents\Planning Space Implementation\3. Analysis &amp; Design\Design\FC22\DRR Jaime\QUIFA-CAJÚA\Cajua\[CAJUA_CF_SEC_New_27-Feb-2024Rev3.xlsx]D-PRBDP'!</v>
      </c>
      <c r="G965" s="32" t="s">
        <v>112</v>
      </c>
      <c r="H965" s="33"/>
      <c r="I965" s="33"/>
      <c r="J965" s="37"/>
    </row>
    <row r="966" spans="1:10" x14ac:dyDescent="0.25">
      <c r="A966" s="32" t="s">
        <v>99</v>
      </c>
      <c r="B966" s="32">
        <f>+B965+1</f>
        <v>2037</v>
      </c>
      <c r="C966" s="33" t="s">
        <v>11</v>
      </c>
      <c r="D966" s="34" t="s">
        <v>1999</v>
      </c>
      <c r="E966" s="35" t="str">
        <f t="shared" si="236"/>
        <v>PRBDP'!</v>
      </c>
      <c r="F966" s="34" t="str">
        <f t="shared" si="237"/>
        <v>C:\Users\jaime.benazar\Quorum Business Solutions\Ecopetrol Prometeo - Documents\Planning Space Implementation\3. Analysis &amp; Design\Design\FC22\DRR Jaime\QUIFA-CAJÚA\Cajua\[CAJUA_CF_SEC_New_27-Feb-2024Rev3.xlsx]D-PRBDP'!</v>
      </c>
      <c r="G966" s="32" t="s">
        <v>112</v>
      </c>
      <c r="H966" s="33"/>
      <c r="I966" s="33"/>
      <c r="J966" s="37"/>
    </row>
    <row r="967" spans="1:10" x14ac:dyDescent="0.25">
      <c r="A967" s="32" t="s">
        <v>99</v>
      </c>
      <c r="B967" s="32">
        <f t="shared" ref="B967:B969" si="239">+B966+1</f>
        <v>2038</v>
      </c>
      <c r="C967" s="33" t="s">
        <v>11</v>
      </c>
      <c r="D967" s="34" t="s">
        <v>1999</v>
      </c>
      <c r="E967" s="35" t="str">
        <f t="shared" si="236"/>
        <v>PRBDP'!</v>
      </c>
      <c r="F967" s="34" t="str">
        <f t="shared" si="237"/>
        <v>C:\Users\jaime.benazar\Quorum Business Solutions\Ecopetrol Prometeo - Documents\Planning Space Implementation\3. Analysis &amp; Design\Design\FC22\DRR Jaime\QUIFA-CAJÚA\Cajua\[CAJUA_CF_SEC_New_27-Feb-2024Rev3.xlsx]D-PRBDP'!</v>
      </c>
      <c r="G967" s="32" t="s">
        <v>112</v>
      </c>
      <c r="H967" s="33"/>
      <c r="I967" s="33"/>
      <c r="J967" s="37"/>
    </row>
    <row r="968" spans="1:10" x14ac:dyDescent="0.25">
      <c r="A968" s="32" t="s">
        <v>99</v>
      </c>
      <c r="B968" s="32">
        <f t="shared" si="239"/>
        <v>2039</v>
      </c>
      <c r="C968" s="33" t="s">
        <v>11</v>
      </c>
      <c r="D968" s="34" t="s">
        <v>1999</v>
      </c>
      <c r="E968" s="35" t="str">
        <f t="shared" si="236"/>
        <v>PRBDP'!</v>
      </c>
      <c r="F968" s="34" t="str">
        <f t="shared" si="237"/>
        <v>C:\Users\jaime.benazar\Quorum Business Solutions\Ecopetrol Prometeo - Documents\Planning Space Implementation\3. Analysis &amp; Design\Design\FC22\DRR Jaime\QUIFA-CAJÚA\Cajua\[CAJUA_CF_SEC_New_27-Feb-2024Rev3.xlsx]D-PRBDP'!</v>
      </c>
      <c r="G968" s="32" t="s">
        <v>112</v>
      </c>
      <c r="H968" s="33"/>
      <c r="I968" s="33"/>
      <c r="J968" s="37"/>
    </row>
    <row r="969" spans="1:10" x14ac:dyDescent="0.25">
      <c r="A969" s="32" t="s">
        <v>99</v>
      </c>
      <c r="B969" s="32">
        <f t="shared" si="239"/>
        <v>2040</v>
      </c>
      <c r="C969" s="33" t="s">
        <v>11</v>
      </c>
      <c r="D969" s="34" t="s">
        <v>1999</v>
      </c>
      <c r="E969" s="35" t="str">
        <f t="shared" si="236"/>
        <v>PRBDP'!</v>
      </c>
      <c r="F969" s="34" t="str">
        <f t="shared" si="237"/>
        <v>C:\Users\jaime.benazar\Quorum Business Solutions\Ecopetrol Prometeo - Documents\Planning Space Implementation\3. Analysis &amp; Design\Design\FC22\DRR Jaime\QUIFA-CAJÚA\Cajua\[CAJUA_CF_SEC_New_27-Feb-2024Rev3.xlsx]D-PRBDP'!</v>
      </c>
      <c r="G969" s="32" t="s">
        <v>112</v>
      </c>
      <c r="H969" s="33"/>
      <c r="I969" s="33"/>
      <c r="J969" s="37"/>
    </row>
    <row r="970" spans="1:10" x14ac:dyDescent="0.25">
      <c r="A970" s="32" t="s">
        <v>99</v>
      </c>
      <c r="B970" s="32">
        <f>+B969+1</f>
        <v>2041</v>
      </c>
      <c r="C970" s="33" t="s">
        <v>11</v>
      </c>
      <c r="D970" s="34" t="s">
        <v>1999</v>
      </c>
      <c r="E970" s="35" t="str">
        <f t="shared" si="236"/>
        <v>PRBDP'!</v>
      </c>
      <c r="F970" s="34" t="str">
        <f t="shared" si="237"/>
        <v>C:\Users\jaime.benazar\Quorum Business Solutions\Ecopetrol Prometeo - Documents\Planning Space Implementation\3. Analysis &amp; Design\Design\FC22\DRR Jaime\QUIFA-CAJÚA\Cajua\[CAJUA_CF_SEC_New_27-Feb-2024Rev3.xlsx]D-PRBDP'!</v>
      </c>
      <c r="G970" s="32" t="s">
        <v>112</v>
      </c>
      <c r="H970" s="33"/>
      <c r="I970" s="33"/>
      <c r="J970" s="37"/>
    </row>
    <row r="971" spans="1:10" x14ac:dyDescent="0.25">
      <c r="A971" s="32" t="s">
        <v>99</v>
      </c>
      <c r="B971" s="32">
        <f t="shared" ref="B971:B972" si="240">+B970+1</f>
        <v>2042</v>
      </c>
      <c r="C971" s="33" t="s">
        <v>11</v>
      </c>
      <c r="D971" s="34" t="s">
        <v>1999</v>
      </c>
      <c r="E971" s="35" t="str">
        <f t="shared" si="236"/>
        <v>PRBDP'!</v>
      </c>
      <c r="F971" s="34" t="str">
        <f t="shared" si="237"/>
        <v>C:\Users\jaime.benazar\Quorum Business Solutions\Ecopetrol Prometeo - Documents\Planning Space Implementation\3. Analysis &amp; Design\Design\FC22\DRR Jaime\QUIFA-CAJÚA\Cajua\[CAJUA_CF_SEC_New_27-Feb-2024Rev3.xlsx]D-PRBDP'!</v>
      </c>
      <c r="G971" s="32" t="s">
        <v>112</v>
      </c>
      <c r="H971" s="33"/>
      <c r="I971" s="33"/>
      <c r="J971" s="37"/>
    </row>
    <row r="972" spans="1:10" x14ac:dyDescent="0.25">
      <c r="A972" s="32" t="s">
        <v>99</v>
      </c>
      <c r="B972" s="32">
        <f t="shared" si="240"/>
        <v>2043</v>
      </c>
      <c r="C972" s="33" t="s">
        <v>11</v>
      </c>
      <c r="D972" s="34" t="s">
        <v>1999</v>
      </c>
      <c r="E972" s="35" t="str">
        <f t="shared" si="236"/>
        <v>PRBDP'!</v>
      </c>
      <c r="F972" s="34" t="str">
        <f t="shared" si="237"/>
        <v>C:\Users\jaime.benazar\Quorum Business Solutions\Ecopetrol Prometeo - Documents\Planning Space Implementation\3. Analysis &amp; Design\Design\FC22\DRR Jaime\QUIFA-CAJÚA\Cajua\[CAJUA_CF_SEC_New_27-Feb-2024Rev3.xlsx]D-PRBDP'!</v>
      </c>
      <c r="G972" s="32" t="s">
        <v>112</v>
      </c>
      <c r="H972" s="33"/>
      <c r="I972" s="33"/>
      <c r="J972" s="37"/>
    </row>
    <row r="973" spans="1:10" x14ac:dyDescent="0.25">
      <c r="A973" s="32" t="s">
        <v>99</v>
      </c>
      <c r="B973" s="32">
        <f>+B972+1</f>
        <v>2044</v>
      </c>
      <c r="C973" s="33" t="s">
        <v>11</v>
      </c>
      <c r="D973" s="34" t="s">
        <v>1999</v>
      </c>
      <c r="E973" s="35" t="str">
        <f t="shared" ref="E973:E988" si="241">_xlfn.CONCAT(A973,"'!")</f>
        <v>PRBDP'!</v>
      </c>
      <c r="F973" s="34" t="str">
        <f t="shared" ref="F973:F988" si="242">_xlfn.CONCAT(D973:E973)</f>
        <v>C:\Users\jaime.benazar\Quorum Business Solutions\Ecopetrol Prometeo - Documents\Planning Space Implementation\3. Analysis &amp; Design\Design\FC22\DRR Jaime\QUIFA-CAJÚA\Cajua\[CAJUA_CF_SEC_New_27-Feb-2024Rev3.xlsx]D-PRBDP'!</v>
      </c>
      <c r="G973" s="32" t="s">
        <v>112</v>
      </c>
      <c r="H973" s="33"/>
      <c r="I973" s="33"/>
      <c r="J973" s="37"/>
    </row>
    <row r="974" spans="1:10" x14ac:dyDescent="0.25">
      <c r="A974" s="32" t="s">
        <v>99</v>
      </c>
      <c r="B974" s="32">
        <f t="shared" ref="B974:B988" si="243">+B973+1</f>
        <v>2045</v>
      </c>
      <c r="C974" s="33" t="s">
        <v>11</v>
      </c>
      <c r="D974" s="34" t="s">
        <v>1999</v>
      </c>
      <c r="E974" s="35" t="str">
        <f t="shared" si="241"/>
        <v>PRBDP'!</v>
      </c>
      <c r="F974" s="34" t="str">
        <f t="shared" si="242"/>
        <v>C:\Users\jaime.benazar\Quorum Business Solutions\Ecopetrol Prometeo - Documents\Planning Space Implementation\3. Analysis &amp; Design\Design\FC22\DRR Jaime\QUIFA-CAJÚA\Cajua\[CAJUA_CF_SEC_New_27-Feb-2024Rev3.xlsx]D-PRBDP'!</v>
      </c>
      <c r="G974" s="32" t="s">
        <v>112</v>
      </c>
      <c r="H974" s="33"/>
      <c r="I974" s="33"/>
      <c r="J974" s="37"/>
    </row>
    <row r="975" spans="1:10" x14ac:dyDescent="0.25">
      <c r="A975" s="32" t="s">
        <v>99</v>
      </c>
      <c r="B975" s="32">
        <f t="shared" si="243"/>
        <v>2046</v>
      </c>
      <c r="C975" s="33" t="s">
        <v>11</v>
      </c>
      <c r="D975" s="34" t="s">
        <v>1999</v>
      </c>
      <c r="E975" s="35" t="str">
        <f t="shared" si="241"/>
        <v>PRBDP'!</v>
      </c>
      <c r="F975" s="34" t="str">
        <f t="shared" si="242"/>
        <v>C:\Users\jaime.benazar\Quorum Business Solutions\Ecopetrol Prometeo - Documents\Planning Space Implementation\3. Analysis &amp; Design\Design\FC22\DRR Jaime\QUIFA-CAJÚA\Cajua\[CAJUA_CF_SEC_New_27-Feb-2024Rev3.xlsx]D-PRBDP'!</v>
      </c>
      <c r="G975" s="32" t="s">
        <v>112</v>
      </c>
      <c r="H975" s="33"/>
      <c r="I975" s="33"/>
      <c r="J975" s="37"/>
    </row>
    <row r="976" spans="1:10" x14ac:dyDescent="0.25">
      <c r="A976" s="32" t="s">
        <v>99</v>
      </c>
      <c r="B976" s="32">
        <f t="shared" si="243"/>
        <v>2047</v>
      </c>
      <c r="C976" s="33" t="s">
        <v>11</v>
      </c>
      <c r="D976" s="34" t="s">
        <v>1999</v>
      </c>
      <c r="E976" s="35" t="str">
        <f t="shared" si="241"/>
        <v>PRBDP'!</v>
      </c>
      <c r="F976" s="34" t="str">
        <f t="shared" si="242"/>
        <v>C:\Users\jaime.benazar\Quorum Business Solutions\Ecopetrol Prometeo - Documents\Planning Space Implementation\3. Analysis &amp; Design\Design\FC22\DRR Jaime\QUIFA-CAJÚA\Cajua\[CAJUA_CF_SEC_New_27-Feb-2024Rev3.xlsx]D-PRBDP'!</v>
      </c>
      <c r="G976" s="32" t="s">
        <v>112</v>
      </c>
      <c r="H976" s="33"/>
      <c r="I976" s="33"/>
      <c r="J976" s="37"/>
    </row>
    <row r="977" spans="1:10" x14ac:dyDescent="0.25">
      <c r="A977" s="32" t="s">
        <v>99</v>
      </c>
      <c r="B977" s="32">
        <f t="shared" si="243"/>
        <v>2048</v>
      </c>
      <c r="C977" s="33" t="s">
        <v>11</v>
      </c>
      <c r="D977" s="34" t="s">
        <v>1999</v>
      </c>
      <c r="E977" s="35" t="str">
        <f t="shared" si="241"/>
        <v>PRBDP'!</v>
      </c>
      <c r="F977" s="34" t="str">
        <f t="shared" si="242"/>
        <v>C:\Users\jaime.benazar\Quorum Business Solutions\Ecopetrol Prometeo - Documents\Planning Space Implementation\3. Analysis &amp; Design\Design\FC22\DRR Jaime\QUIFA-CAJÚA\Cajua\[CAJUA_CF_SEC_New_27-Feb-2024Rev3.xlsx]D-PRBDP'!</v>
      </c>
      <c r="G977" s="32" t="s">
        <v>112</v>
      </c>
      <c r="H977" s="33"/>
      <c r="I977" s="33"/>
      <c r="J977" s="37"/>
    </row>
    <row r="978" spans="1:10" x14ac:dyDescent="0.25">
      <c r="A978" s="32" t="s">
        <v>99</v>
      </c>
      <c r="B978" s="32">
        <f t="shared" si="243"/>
        <v>2049</v>
      </c>
      <c r="C978" s="33" t="s">
        <v>11</v>
      </c>
      <c r="D978" s="34" t="s">
        <v>1999</v>
      </c>
      <c r="E978" s="35" t="str">
        <f t="shared" si="241"/>
        <v>PRBDP'!</v>
      </c>
      <c r="F978" s="34" t="str">
        <f t="shared" si="242"/>
        <v>C:\Users\jaime.benazar\Quorum Business Solutions\Ecopetrol Prometeo - Documents\Planning Space Implementation\3. Analysis &amp; Design\Design\FC22\DRR Jaime\QUIFA-CAJÚA\Cajua\[CAJUA_CF_SEC_New_27-Feb-2024Rev3.xlsx]D-PRBDP'!</v>
      </c>
      <c r="G978" s="32" t="s">
        <v>112</v>
      </c>
      <c r="H978" s="33"/>
      <c r="I978" s="33"/>
      <c r="J978" s="37"/>
    </row>
    <row r="979" spans="1:10" x14ac:dyDescent="0.25">
      <c r="A979" s="32" t="s">
        <v>99</v>
      </c>
      <c r="B979" s="32">
        <f t="shared" si="243"/>
        <v>2050</v>
      </c>
      <c r="C979" s="33" t="s">
        <v>11</v>
      </c>
      <c r="D979" s="34" t="s">
        <v>1999</v>
      </c>
      <c r="E979" s="35" t="str">
        <f t="shared" si="241"/>
        <v>PRBDP'!</v>
      </c>
      <c r="F979" s="34" t="str">
        <f t="shared" si="242"/>
        <v>C:\Users\jaime.benazar\Quorum Business Solutions\Ecopetrol Prometeo - Documents\Planning Space Implementation\3. Analysis &amp; Design\Design\FC22\DRR Jaime\QUIFA-CAJÚA\Cajua\[CAJUA_CF_SEC_New_27-Feb-2024Rev3.xlsx]D-PRBDP'!</v>
      </c>
      <c r="G979" s="32" t="s">
        <v>112</v>
      </c>
      <c r="H979" s="33"/>
      <c r="I979" s="33"/>
      <c r="J979" s="37"/>
    </row>
    <row r="980" spans="1:10" x14ac:dyDescent="0.25">
      <c r="A980" s="32" t="s">
        <v>99</v>
      </c>
      <c r="B980" s="32">
        <f t="shared" si="243"/>
        <v>2051</v>
      </c>
      <c r="C980" s="33" t="s">
        <v>11</v>
      </c>
      <c r="D980" s="34" t="s">
        <v>1999</v>
      </c>
      <c r="E980" s="35" t="str">
        <f t="shared" si="241"/>
        <v>PRBDP'!</v>
      </c>
      <c r="F980" s="34" t="str">
        <f t="shared" si="242"/>
        <v>C:\Users\jaime.benazar\Quorum Business Solutions\Ecopetrol Prometeo - Documents\Planning Space Implementation\3. Analysis &amp; Design\Design\FC22\DRR Jaime\QUIFA-CAJÚA\Cajua\[CAJUA_CF_SEC_New_27-Feb-2024Rev3.xlsx]D-PRBDP'!</v>
      </c>
      <c r="G980" s="32" t="s">
        <v>112</v>
      </c>
      <c r="H980" s="33"/>
      <c r="I980" s="33"/>
      <c r="J980" s="37"/>
    </row>
    <row r="981" spans="1:10" x14ac:dyDescent="0.25">
      <c r="A981" s="32" t="s">
        <v>99</v>
      </c>
      <c r="B981" s="32">
        <f t="shared" si="243"/>
        <v>2052</v>
      </c>
      <c r="C981" s="33" t="s">
        <v>11</v>
      </c>
      <c r="D981" s="34" t="s">
        <v>1999</v>
      </c>
      <c r="E981" s="35" t="str">
        <f t="shared" si="241"/>
        <v>PRBDP'!</v>
      </c>
      <c r="F981" s="34" t="str">
        <f t="shared" si="242"/>
        <v>C:\Users\jaime.benazar\Quorum Business Solutions\Ecopetrol Prometeo - Documents\Planning Space Implementation\3. Analysis &amp; Design\Design\FC22\DRR Jaime\QUIFA-CAJÚA\Cajua\[CAJUA_CF_SEC_New_27-Feb-2024Rev3.xlsx]D-PRBDP'!</v>
      </c>
      <c r="G981" s="32" t="s">
        <v>112</v>
      </c>
      <c r="H981" s="33"/>
      <c r="I981" s="33"/>
      <c r="J981" s="37"/>
    </row>
    <row r="982" spans="1:10" x14ac:dyDescent="0.25">
      <c r="A982" s="32" t="s">
        <v>99</v>
      </c>
      <c r="B982" s="32">
        <f t="shared" si="243"/>
        <v>2053</v>
      </c>
      <c r="C982" s="33" t="s">
        <v>11</v>
      </c>
      <c r="D982" s="34" t="s">
        <v>1999</v>
      </c>
      <c r="E982" s="35" t="str">
        <f t="shared" si="241"/>
        <v>PRBDP'!</v>
      </c>
      <c r="F982" s="34" t="str">
        <f t="shared" si="242"/>
        <v>C:\Users\jaime.benazar\Quorum Business Solutions\Ecopetrol Prometeo - Documents\Planning Space Implementation\3. Analysis &amp; Design\Design\FC22\DRR Jaime\QUIFA-CAJÚA\Cajua\[CAJUA_CF_SEC_New_27-Feb-2024Rev3.xlsx]D-PRBDP'!</v>
      </c>
      <c r="G982" s="32" t="s">
        <v>112</v>
      </c>
      <c r="H982" s="33"/>
      <c r="I982" s="33"/>
      <c r="J982" s="37"/>
    </row>
    <row r="983" spans="1:10" x14ac:dyDescent="0.25">
      <c r="A983" s="32" t="s">
        <v>99</v>
      </c>
      <c r="B983" s="32">
        <f t="shared" si="243"/>
        <v>2054</v>
      </c>
      <c r="C983" s="33" t="s">
        <v>11</v>
      </c>
      <c r="D983" s="34" t="s">
        <v>1999</v>
      </c>
      <c r="E983" s="35" t="str">
        <f t="shared" si="241"/>
        <v>PRBDP'!</v>
      </c>
      <c r="F983" s="34" t="str">
        <f t="shared" si="242"/>
        <v>C:\Users\jaime.benazar\Quorum Business Solutions\Ecopetrol Prometeo - Documents\Planning Space Implementation\3. Analysis &amp; Design\Design\FC22\DRR Jaime\QUIFA-CAJÚA\Cajua\[CAJUA_CF_SEC_New_27-Feb-2024Rev3.xlsx]D-PRBDP'!</v>
      </c>
      <c r="G983" s="32" t="s">
        <v>112</v>
      </c>
      <c r="H983" s="33"/>
      <c r="I983" s="33"/>
      <c r="J983" s="37"/>
    </row>
    <row r="984" spans="1:10" x14ac:dyDescent="0.25">
      <c r="A984" s="32" t="s">
        <v>99</v>
      </c>
      <c r="B984" s="32">
        <f t="shared" si="243"/>
        <v>2055</v>
      </c>
      <c r="C984" s="33" t="s">
        <v>11</v>
      </c>
      <c r="D984" s="34" t="s">
        <v>1999</v>
      </c>
      <c r="E984" s="35" t="str">
        <f t="shared" si="241"/>
        <v>PRBDP'!</v>
      </c>
      <c r="F984" s="34" t="str">
        <f t="shared" si="242"/>
        <v>C:\Users\jaime.benazar\Quorum Business Solutions\Ecopetrol Prometeo - Documents\Planning Space Implementation\3. Analysis &amp; Design\Design\FC22\DRR Jaime\QUIFA-CAJÚA\Cajua\[CAJUA_CF_SEC_New_27-Feb-2024Rev3.xlsx]D-PRBDP'!</v>
      </c>
      <c r="G984" s="32" t="s">
        <v>112</v>
      </c>
      <c r="H984" s="33"/>
      <c r="I984" s="33"/>
      <c r="J984" s="37"/>
    </row>
    <row r="985" spans="1:10" x14ac:dyDescent="0.25">
      <c r="A985" s="32" t="s">
        <v>99</v>
      </c>
      <c r="B985" s="32">
        <f t="shared" si="243"/>
        <v>2056</v>
      </c>
      <c r="C985" s="33" t="s">
        <v>11</v>
      </c>
      <c r="D985" s="34" t="s">
        <v>1999</v>
      </c>
      <c r="E985" s="35" t="str">
        <f t="shared" si="241"/>
        <v>PRBDP'!</v>
      </c>
      <c r="F985" s="34" t="str">
        <f t="shared" si="242"/>
        <v>C:\Users\jaime.benazar\Quorum Business Solutions\Ecopetrol Prometeo - Documents\Planning Space Implementation\3. Analysis &amp; Design\Design\FC22\DRR Jaime\QUIFA-CAJÚA\Cajua\[CAJUA_CF_SEC_New_27-Feb-2024Rev3.xlsx]D-PRBDP'!</v>
      </c>
      <c r="G985" s="32" t="s">
        <v>112</v>
      </c>
      <c r="H985" s="33"/>
      <c r="I985" s="33"/>
      <c r="J985" s="37"/>
    </row>
    <row r="986" spans="1:10" x14ac:dyDescent="0.25">
      <c r="A986" s="32" t="s">
        <v>99</v>
      </c>
      <c r="B986" s="32">
        <f t="shared" si="243"/>
        <v>2057</v>
      </c>
      <c r="C986" s="33" t="s">
        <v>11</v>
      </c>
      <c r="D986" s="34" t="s">
        <v>1999</v>
      </c>
      <c r="E986" s="35" t="str">
        <f t="shared" si="241"/>
        <v>PRBDP'!</v>
      </c>
      <c r="F986" s="34" t="str">
        <f t="shared" si="242"/>
        <v>C:\Users\jaime.benazar\Quorum Business Solutions\Ecopetrol Prometeo - Documents\Planning Space Implementation\3. Analysis &amp; Design\Design\FC22\DRR Jaime\QUIFA-CAJÚA\Cajua\[CAJUA_CF_SEC_New_27-Feb-2024Rev3.xlsx]D-PRBDP'!</v>
      </c>
      <c r="G986" s="32" t="s">
        <v>112</v>
      </c>
      <c r="H986" s="33"/>
      <c r="I986" s="33"/>
      <c r="J986" s="37"/>
    </row>
    <row r="987" spans="1:10" x14ac:dyDescent="0.25">
      <c r="A987" s="32" t="s">
        <v>99</v>
      </c>
      <c r="B987" s="32">
        <f t="shared" si="243"/>
        <v>2058</v>
      </c>
      <c r="C987" s="33" t="s">
        <v>11</v>
      </c>
      <c r="D987" s="34" t="s">
        <v>1999</v>
      </c>
      <c r="E987" s="35" t="str">
        <f t="shared" si="241"/>
        <v>PRBDP'!</v>
      </c>
      <c r="F987" s="34" t="str">
        <f t="shared" si="242"/>
        <v>C:\Users\jaime.benazar\Quorum Business Solutions\Ecopetrol Prometeo - Documents\Planning Space Implementation\3. Analysis &amp; Design\Design\FC22\DRR Jaime\QUIFA-CAJÚA\Cajua\[CAJUA_CF_SEC_New_27-Feb-2024Rev3.xlsx]D-PRBDP'!</v>
      </c>
      <c r="G987" s="32" t="s">
        <v>112</v>
      </c>
      <c r="H987" s="33"/>
      <c r="I987" s="33"/>
      <c r="J987" s="37"/>
    </row>
    <row r="988" spans="1:10" x14ac:dyDescent="0.25">
      <c r="A988" s="32" t="s">
        <v>99</v>
      </c>
      <c r="B988" s="32">
        <f t="shared" si="243"/>
        <v>2059</v>
      </c>
      <c r="C988" s="33" t="s">
        <v>11</v>
      </c>
      <c r="D988" s="34" t="s">
        <v>1999</v>
      </c>
      <c r="E988" s="35" t="str">
        <f t="shared" si="241"/>
        <v>PRBDP'!</v>
      </c>
      <c r="F988" s="34" t="str">
        <f t="shared" si="242"/>
        <v>C:\Users\jaime.benazar\Quorum Business Solutions\Ecopetrol Prometeo - Documents\Planning Space Implementation\3. Analysis &amp; Design\Design\FC22\DRR Jaime\QUIFA-CAJÚA\Cajua\[CAJUA_CF_SEC_New_27-Feb-2024Rev3.xlsx]D-PRBDP'!</v>
      </c>
      <c r="G988" s="32" t="s">
        <v>112</v>
      </c>
      <c r="H988" s="33"/>
      <c r="I988" s="33"/>
      <c r="J988" s="37"/>
    </row>
    <row r="989" spans="1:10" x14ac:dyDescent="0.25">
      <c r="A989" s="32" t="s">
        <v>28</v>
      </c>
      <c r="B989" s="32"/>
      <c r="C989" s="33" t="s">
        <v>11</v>
      </c>
      <c r="D989" s="34"/>
      <c r="E989" s="35"/>
      <c r="F989" s="34"/>
      <c r="G989" s="32"/>
      <c r="H989" s="33"/>
      <c r="I989" s="33"/>
      <c r="J989" s="33"/>
    </row>
    <row r="990" spans="1:10" x14ac:dyDescent="0.25">
      <c r="A990" s="32" t="s">
        <v>100</v>
      </c>
      <c r="B990" s="32">
        <v>2023</v>
      </c>
      <c r="C990" s="33" t="s">
        <v>11</v>
      </c>
      <c r="D990" s="34" t="s">
        <v>1999</v>
      </c>
      <c r="E990" s="35" t="str">
        <f t="shared" ref="E990:E1010" si="244">_xlfn.CONCAT(A990,"'!")</f>
        <v>PRBNP'!</v>
      </c>
      <c r="F990" s="34" t="str">
        <f t="shared" ref="F990:F1010" si="245">_xlfn.CONCAT(D990:E990)</f>
        <v>C:\Users\jaime.benazar\Quorum Business Solutions\Ecopetrol Prometeo - Documents\Planning Space Implementation\3. Analysis &amp; Design\Design\FC22\DRR Jaime\QUIFA-CAJÚA\Cajua\[CAJUA_CF_SEC_New_27-Feb-2024Rev3.xlsx]D-PRBNP'!</v>
      </c>
      <c r="G990" s="32" t="s">
        <v>112</v>
      </c>
      <c r="H990" s="33"/>
      <c r="I990" s="33"/>
      <c r="J990" s="37"/>
    </row>
    <row r="991" spans="1:10" x14ac:dyDescent="0.25">
      <c r="A991" s="32" t="s">
        <v>100</v>
      </c>
      <c r="B991" s="32">
        <f>+B990+1</f>
        <v>2024</v>
      </c>
      <c r="C991" s="33" t="s">
        <v>11</v>
      </c>
      <c r="D991" s="34" t="s">
        <v>1999</v>
      </c>
      <c r="E991" s="35" t="str">
        <f t="shared" si="244"/>
        <v>PRBNP'!</v>
      </c>
      <c r="F991" s="34" t="str">
        <f t="shared" si="245"/>
        <v>C:\Users\jaime.benazar\Quorum Business Solutions\Ecopetrol Prometeo - Documents\Planning Space Implementation\3. Analysis &amp; Design\Design\FC22\DRR Jaime\QUIFA-CAJÚA\Cajua\[CAJUA_CF_SEC_New_27-Feb-2024Rev3.xlsx]D-PRBNP'!</v>
      </c>
      <c r="G991" s="32" t="s">
        <v>112</v>
      </c>
      <c r="H991" s="33"/>
      <c r="I991" s="33"/>
      <c r="J991" s="37"/>
    </row>
    <row r="992" spans="1:10" x14ac:dyDescent="0.25">
      <c r="A992" s="32" t="s">
        <v>100</v>
      </c>
      <c r="B992" s="32">
        <f t="shared" ref="B992:B1003" si="246">+B991+1</f>
        <v>2025</v>
      </c>
      <c r="C992" s="33" t="s">
        <v>11</v>
      </c>
      <c r="D992" s="34" t="s">
        <v>1999</v>
      </c>
      <c r="E992" s="35" t="str">
        <f t="shared" si="244"/>
        <v>PRBNP'!</v>
      </c>
      <c r="F992" s="34" t="str">
        <f t="shared" si="245"/>
        <v>C:\Users\jaime.benazar\Quorum Business Solutions\Ecopetrol Prometeo - Documents\Planning Space Implementation\3. Analysis &amp; Design\Design\FC22\DRR Jaime\QUIFA-CAJÚA\Cajua\[CAJUA_CF_SEC_New_27-Feb-2024Rev3.xlsx]D-PRBNP'!</v>
      </c>
      <c r="G992" s="32" t="s">
        <v>112</v>
      </c>
      <c r="H992" s="33"/>
      <c r="I992" s="33"/>
      <c r="J992" s="37"/>
    </row>
    <row r="993" spans="1:10" x14ac:dyDescent="0.25">
      <c r="A993" s="32" t="s">
        <v>100</v>
      </c>
      <c r="B993" s="32">
        <f t="shared" si="246"/>
        <v>2026</v>
      </c>
      <c r="C993" s="33" t="s">
        <v>11</v>
      </c>
      <c r="D993" s="34" t="s">
        <v>1999</v>
      </c>
      <c r="E993" s="35" t="str">
        <f t="shared" si="244"/>
        <v>PRBNP'!</v>
      </c>
      <c r="F993" s="34" t="str">
        <f t="shared" si="245"/>
        <v>C:\Users\jaime.benazar\Quorum Business Solutions\Ecopetrol Prometeo - Documents\Planning Space Implementation\3. Analysis &amp; Design\Design\FC22\DRR Jaime\QUIFA-CAJÚA\Cajua\[CAJUA_CF_SEC_New_27-Feb-2024Rev3.xlsx]D-PRBNP'!</v>
      </c>
      <c r="G993" s="32" t="s">
        <v>112</v>
      </c>
      <c r="H993" s="33"/>
      <c r="I993" s="33"/>
      <c r="J993" s="37"/>
    </row>
    <row r="994" spans="1:10" x14ac:dyDescent="0.25">
      <c r="A994" s="32" t="s">
        <v>100</v>
      </c>
      <c r="B994" s="32">
        <f t="shared" si="246"/>
        <v>2027</v>
      </c>
      <c r="C994" s="33" t="s">
        <v>11</v>
      </c>
      <c r="D994" s="34" t="s">
        <v>1999</v>
      </c>
      <c r="E994" s="35" t="str">
        <f t="shared" si="244"/>
        <v>PRBNP'!</v>
      </c>
      <c r="F994" s="34" t="str">
        <f t="shared" si="245"/>
        <v>C:\Users\jaime.benazar\Quorum Business Solutions\Ecopetrol Prometeo - Documents\Planning Space Implementation\3. Analysis &amp; Design\Design\FC22\DRR Jaime\QUIFA-CAJÚA\Cajua\[CAJUA_CF_SEC_New_27-Feb-2024Rev3.xlsx]D-PRBNP'!</v>
      </c>
      <c r="G994" s="32" t="s">
        <v>112</v>
      </c>
      <c r="H994" s="33"/>
      <c r="I994" s="33"/>
      <c r="J994" s="37"/>
    </row>
    <row r="995" spans="1:10" x14ac:dyDescent="0.25">
      <c r="A995" s="32" t="s">
        <v>100</v>
      </c>
      <c r="B995" s="32">
        <f t="shared" si="246"/>
        <v>2028</v>
      </c>
      <c r="C995" s="33" t="s">
        <v>11</v>
      </c>
      <c r="D995" s="34" t="s">
        <v>1999</v>
      </c>
      <c r="E995" s="35" t="str">
        <f t="shared" si="244"/>
        <v>PRBNP'!</v>
      </c>
      <c r="F995" s="34" t="str">
        <f t="shared" si="245"/>
        <v>C:\Users\jaime.benazar\Quorum Business Solutions\Ecopetrol Prometeo - Documents\Planning Space Implementation\3. Analysis &amp; Design\Design\FC22\DRR Jaime\QUIFA-CAJÚA\Cajua\[CAJUA_CF_SEC_New_27-Feb-2024Rev3.xlsx]D-PRBNP'!</v>
      </c>
      <c r="G995" s="32" t="s">
        <v>112</v>
      </c>
      <c r="H995" s="33"/>
      <c r="I995" s="33"/>
      <c r="J995" s="37"/>
    </row>
    <row r="996" spans="1:10" x14ac:dyDescent="0.25">
      <c r="A996" s="32" t="s">
        <v>100</v>
      </c>
      <c r="B996" s="32">
        <f t="shared" si="246"/>
        <v>2029</v>
      </c>
      <c r="C996" s="33" t="s">
        <v>11</v>
      </c>
      <c r="D996" s="34" t="s">
        <v>1999</v>
      </c>
      <c r="E996" s="35" t="str">
        <f t="shared" si="244"/>
        <v>PRBNP'!</v>
      </c>
      <c r="F996" s="34" t="str">
        <f t="shared" si="245"/>
        <v>C:\Users\jaime.benazar\Quorum Business Solutions\Ecopetrol Prometeo - Documents\Planning Space Implementation\3. Analysis &amp; Design\Design\FC22\DRR Jaime\QUIFA-CAJÚA\Cajua\[CAJUA_CF_SEC_New_27-Feb-2024Rev3.xlsx]D-PRBNP'!</v>
      </c>
      <c r="G996" s="32" t="s">
        <v>112</v>
      </c>
      <c r="H996" s="33"/>
      <c r="I996" s="33"/>
      <c r="J996" s="37"/>
    </row>
    <row r="997" spans="1:10" x14ac:dyDescent="0.25">
      <c r="A997" s="32" t="s">
        <v>100</v>
      </c>
      <c r="B997" s="32">
        <f t="shared" si="246"/>
        <v>2030</v>
      </c>
      <c r="C997" s="33" t="s">
        <v>11</v>
      </c>
      <c r="D997" s="34" t="s">
        <v>1999</v>
      </c>
      <c r="E997" s="35" t="str">
        <f t="shared" si="244"/>
        <v>PRBNP'!</v>
      </c>
      <c r="F997" s="34" t="str">
        <f t="shared" si="245"/>
        <v>C:\Users\jaime.benazar\Quorum Business Solutions\Ecopetrol Prometeo - Documents\Planning Space Implementation\3. Analysis &amp; Design\Design\FC22\DRR Jaime\QUIFA-CAJÚA\Cajua\[CAJUA_CF_SEC_New_27-Feb-2024Rev3.xlsx]D-PRBNP'!</v>
      </c>
      <c r="G997" s="32" t="s">
        <v>112</v>
      </c>
      <c r="H997" s="33"/>
      <c r="I997" s="33"/>
      <c r="J997" s="37"/>
    </row>
    <row r="998" spans="1:10" x14ac:dyDescent="0.25">
      <c r="A998" s="32" t="s">
        <v>100</v>
      </c>
      <c r="B998" s="32">
        <f t="shared" si="246"/>
        <v>2031</v>
      </c>
      <c r="C998" s="33" t="s">
        <v>11</v>
      </c>
      <c r="D998" s="34" t="s">
        <v>1999</v>
      </c>
      <c r="E998" s="35" t="str">
        <f t="shared" si="244"/>
        <v>PRBNP'!</v>
      </c>
      <c r="F998" s="34" t="str">
        <f t="shared" si="245"/>
        <v>C:\Users\jaime.benazar\Quorum Business Solutions\Ecopetrol Prometeo - Documents\Planning Space Implementation\3. Analysis &amp; Design\Design\FC22\DRR Jaime\QUIFA-CAJÚA\Cajua\[CAJUA_CF_SEC_New_27-Feb-2024Rev3.xlsx]D-PRBNP'!</v>
      </c>
      <c r="G998" s="32" t="s">
        <v>112</v>
      </c>
      <c r="H998" s="33"/>
      <c r="I998" s="33"/>
      <c r="J998" s="37"/>
    </row>
    <row r="999" spans="1:10" x14ac:dyDescent="0.25">
      <c r="A999" s="32" t="s">
        <v>100</v>
      </c>
      <c r="B999" s="32">
        <f t="shared" si="246"/>
        <v>2032</v>
      </c>
      <c r="C999" s="33" t="s">
        <v>11</v>
      </c>
      <c r="D999" s="34" t="s">
        <v>1999</v>
      </c>
      <c r="E999" s="35" t="str">
        <f t="shared" si="244"/>
        <v>PRBNP'!</v>
      </c>
      <c r="F999" s="34" t="str">
        <f t="shared" si="245"/>
        <v>C:\Users\jaime.benazar\Quorum Business Solutions\Ecopetrol Prometeo - Documents\Planning Space Implementation\3. Analysis &amp; Design\Design\FC22\DRR Jaime\QUIFA-CAJÚA\Cajua\[CAJUA_CF_SEC_New_27-Feb-2024Rev3.xlsx]D-PRBNP'!</v>
      </c>
      <c r="G999" s="32" t="s">
        <v>112</v>
      </c>
      <c r="H999" s="33"/>
      <c r="I999" s="33"/>
      <c r="J999" s="37"/>
    </row>
    <row r="1000" spans="1:10" x14ac:dyDescent="0.25">
      <c r="A1000" s="32" t="s">
        <v>100</v>
      </c>
      <c r="B1000" s="32">
        <f t="shared" si="246"/>
        <v>2033</v>
      </c>
      <c r="C1000" s="33" t="s">
        <v>11</v>
      </c>
      <c r="D1000" s="34" t="s">
        <v>1999</v>
      </c>
      <c r="E1000" s="35" t="str">
        <f t="shared" si="244"/>
        <v>PRBNP'!</v>
      </c>
      <c r="F1000" s="34" t="str">
        <f t="shared" si="245"/>
        <v>C:\Users\jaime.benazar\Quorum Business Solutions\Ecopetrol Prometeo - Documents\Planning Space Implementation\3. Analysis &amp; Design\Design\FC22\DRR Jaime\QUIFA-CAJÚA\Cajua\[CAJUA_CF_SEC_New_27-Feb-2024Rev3.xlsx]D-PRBNP'!</v>
      </c>
      <c r="G1000" s="32" t="s">
        <v>112</v>
      </c>
      <c r="H1000" s="33"/>
      <c r="I1000" s="33"/>
      <c r="J1000" s="37"/>
    </row>
    <row r="1001" spans="1:10" x14ac:dyDescent="0.25">
      <c r="A1001" s="32" t="s">
        <v>100</v>
      </c>
      <c r="B1001" s="32">
        <f t="shared" si="246"/>
        <v>2034</v>
      </c>
      <c r="C1001" s="33" t="s">
        <v>11</v>
      </c>
      <c r="D1001" s="34" t="s">
        <v>1999</v>
      </c>
      <c r="E1001" s="35" t="str">
        <f t="shared" si="244"/>
        <v>PRBNP'!</v>
      </c>
      <c r="F1001" s="34" t="str">
        <f t="shared" si="245"/>
        <v>C:\Users\jaime.benazar\Quorum Business Solutions\Ecopetrol Prometeo - Documents\Planning Space Implementation\3. Analysis &amp; Design\Design\FC22\DRR Jaime\QUIFA-CAJÚA\Cajua\[CAJUA_CF_SEC_New_27-Feb-2024Rev3.xlsx]D-PRBNP'!</v>
      </c>
      <c r="G1001" s="32" t="s">
        <v>112</v>
      </c>
      <c r="H1001" s="33"/>
      <c r="I1001" s="33"/>
      <c r="J1001" s="37"/>
    </row>
    <row r="1002" spans="1:10" x14ac:dyDescent="0.25">
      <c r="A1002" s="32" t="s">
        <v>100</v>
      </c>
      <c r="B1002" s="32">
        <f t="shared" si="246"/>
        <v>2035</v>
      </c>
      <c r="C1002" s="33" t="s">
        <v>11</v>
      </c>
      <c r="D1002" s="34" t="s">
        <v>1999</v>
      </c>
      <c r="E1002" s="35" t="str">
        <f t="shared" si="244"/>
        <v>PRBNP'!</v>
      </c>
      <c r="F1002" s="34" t="str">
        <f t="shared" si="245"/>
        <v>C:\Users\jaime.benazar\Quorum Business Solutions\Ecopetrol Prometeo - Documents\Planning Space Implementation\3. Analysis &amp; Design\Design\FC22\DRR Jaime\QUIFA-CAJÚA\Cajua\[CAJUA_CF_SEC_New_27-Feb-2024Rev3.xlsx]D-PRBNP'!</v>
      </c>
      <c r="G1002" s="32" t="s">
        <v>112</v>
      </c>
      <c r="H1002" s="33"/>
      <c r="I1002" s="33"/>
      <c r="J1002" s="37"/>
    </row>
    <row r="1003" spans="1:10" x14ac:dyDescent="0.25">
      <c r="A1003" s="32" t="s">
        <v>100</v>
      </c>
      <c r="B1003" s="32">
        <f t="shared" si="246"/>
        <v>2036</v>
      </c>
      <c r="C1003" s="33" t="s">
        <v>11</v>
      </c>
      <c r="D1003" s="34" t="s">
        <v>1999</v>
      </c>
      <c r="E1003" s="35" t="str">
        <f t="shared" si="244"/>
        <v>PRBNP'!</v>
      </c>
      <c r="F1003" s="34" t="str">
        <f t="shared" si="245"/>
        <v>C:\Users\jaime.benazar\Quorum Business Solutions\Ecopetrol Prometeo - Documents\Planning Space Implementation\3. Analysis &amp; Design\Design\FC22\DRR Jaime\QUIFA-CAJÚA\Cajua\[CAJUA_CF_SEC_New_27-Feb-2024Rev3.xlsx]D-PRBNP'!</v>
      </c>
      <c r="G1003" s="32" t="s">
        <v>112</v>
      </c>
      <c r="H1003" s="33"/>
      <c r="I1003" s="33"/>
      <c r="J1003" s="37"/>
    </row>
    <row r="1004" spans="1:10" x14ac:dyDescent="0.25">
      <c r="A1004" s="32" t="s">
        <v>100</v>
      </c>
      <c r="B1004" s="32">
        <f>+B1003+1</f>
        <v>2037</v>
      </c>
      <c r="C1004" s="33" t="s">
        <v>11</v>
      </c>
      <c r="D1004" s="34" t="s">
        <v>1999</v>
      </c>
      <c r="E1004" s="35" t="str">
        <f t="shared" si="244"/>
        <v>PRBNP'!</v>
      </c>
      <c r="F1004" s="34" t="str">
        <f t="shared" si="245"/>
        <v>C:\Users\jaime.benazar\Quorum Business Solutions\Ecopetrol Prometeo - Documents\Planning Space Implementation\3. Analysis &amp; Design\Design\FC22\DRR Jaime\QUIFA-CAJÚA\Cajua\[CAJUA_CF_SEC_New_27-Feb-2024Rev3.xlsx]D-PRBNP'!</v>
      </c>
      <c r="G1004" s="32" t="s">
        <v>112</v>
      </c>
      <c r="H1004" s="33"/>
      <c r="I1004" s="33"/>
      <c r="J1004" s="37"/>
    </row>
    <row r="1005" spans="1:10" x14ac:dyDescent="0.25">
      <c r="A1005" s="32" t="s">
        <v>100</v>
      </c>
      <c r="B1005" s="32">
        <f t="shared" ref="B1005:B1007" si="247">+B1004+1</f>
        <v>2038</v>
      </c>
      <c r="C1005" s="33" t="s">
        <v>11</v>
      </c>
      <c r="D1005" s="34" t="s">
        <v>1999</v>
      </c>
      <c r="E1005" s="35" t="str">
        <f t="shared" si="244"/>
        <v>PRBNP'!</v>
      </c>
      <c r="F1005" s="34" t="str">
        <f t="shared" si="245"/>
        <v>C:\Users\jaime.benazar\Quorum Business Solutions\Ecopetrol Prometeo - Documents\Planning Space Implementation\3. Analysis &amp; Design\Design\FC22\DRR Jaime\QUIFA-CAJÚA\Cajua\[CAJUA_CF_SEC_New_27-Feb-2024Rev3.xlsx]D-PRBNP'!</v>
      </c>
      <c r="G1005" s="32" t="s">
        <v>112</v>
      </c>
      <c r="H1005" s="33"/>
      <c r="I1005" s="33"/>
      <c r="J1005" s="37"/>
    </row>
    <row r="1006" spans="1:10" x14ac:dyDescent="0.25">
      <c r="A1006" s="32" t="s">
        <v>100</v>
      </c>
      <c r="B1006" s="32">
        <f t="shared" si="247"/>
        <v>2039</v>
      </c>
      <c r="C1006" s="33" t="s">
        <v>11</v>
      </c>
      <c r="D1006" s="34" t="s">
        <v>1999</v>
      </c>
      <c r="E1006" s="35" t="str">
        <f t="shared" si="244"/>
        <v>PRBNP'!</v>
      </c>
      <c r="F1006" s="34" t="str">
        <f t="shared" si="245"/>
        <v>C:\Users\jaime.benazar\Quorum Business Solutions\Ecopetrol Prometeo - Documents\Planning Space Implementation\3. Analysis &amp; Design\Design\FC22\DRR Jaime\QUIFA-CAJÚA\Cajua\[CAJUA_CF_SEC_New_27-Feb-2024Rev3.xlsx]D-PRBNP'!</v>
      </c>
      <c r="G1006" s="32" t="s">
        <v>112</v>
      </c>
      <c r="H1006" s="33"/>
      <c r="I1006" s="33"/>
      <c r="J1006" s="37"/>
    </row>
    <row r="1007" spans="1:10" x14ac:dyDescent="0.25">
      <c r="A1007" s="32" t="s">
        <v>100</v>
      </c>
      <c r="B1007" s="32">
        <f t="shared" si="247"/>
        <v>2040</v>
      </c>
      <c r="C1007" s="33" t="s">
        <v>11</v>
      </c>
      <c r="D1007" s="34" t="s">
        <v>1999</v>
      </c>
      <c r="E1007" s="35" t="str">
        <f t="shared" si="244"/>
        <v>PRBNP'!</v>
      </c>
      <c r="F1007" s="34" t="str">
        <f t="shared" si="245"/>
        <v>C:\Users\jaime.benazar\Quorum Business Solutions\Ecopetrol Prometeo - Documents\Planning Space Implementation\3. Analysis &amp; Design\Design\FC22\DRR Jaime\QUIFA-CAJÚA\Cajua\[CAJUA_CF_SEC_New_27-Feb-2024Rev3.xlsx]D-PRBNP'!</v>
      </c>
      <c r="G1007" s="32" t="s">
        <v>112</v>
      </c>
      <c r="H1007" s="33"/>
      <c r="I1007" s="33"/>
      <c r="J1007" s="37"/>
    </row>
    <row r="1008" spans="1:10" x14ac:dyDescent="0.25">
      <c r="A1008" s="32" t="s">
        <v>100</v>
      </c>
      <c r="B1008" s="32">
        <f>+B1007+1</f>
        <v>2041</v>
      </c>
      <c r="C1008" s="33" t="s">
        <v>11</v>
      </c>
      <c r="D1008" s="34" t="s">
        <v>1999</v>
      </c>
      <c r="E1008" s="35" t="str">
        <f t="shared" si="244"/>
        <v>PRBNP'!</v>
      </c>
      <c r="F1008" s="34" t="str">
        <f t="shared" si="245"/>
        <v>C:\Users\jaime.benazar\Quorum Business Solutions\Ecopetrol Prometeo - Documents\Planning Space Implementation\3. Analysis &amp; Design\Design\FC22\DRR Jaime\QUIFA-CAJÚA\Cajua\[CAJUA_CF_SEC_New_27-Feb-2024Rev3.xlsx]D-PRBNP'!</v>
      </c>
      <c r="G1008" s="32" t="s">
        <v>112</v>
      </c>
      <c r="H1008" s="33"/>
      <c r="I1008" s="33"/>
      <c r="J1008" s="37"/>
    </row>
    <row r="1009" spans="1:10" x14ac:dyDescent="0.25">
      <c r="A1009" s="32" t="s">
        <v>100</v>
      </c>
      <c r="B1009" s="32">
        <f t="shared" ref="B1009:B1010" si="248">+B1008+1</f>
        <v>2042</v>
      </c>
      <c r="C1009" s="33" t="s">
        <v>11</v>
      </c>
      <c r="D1009" s="34" t="s">
        <v>1999</v>
      </c>
      <c r="E1009" s="35" t="str">
        <f t="shared" si="244"/>
        <v>PRBNP'!</v>
      </c>
      <c r="F1009" s="34" t="str">
        <f t="shared" si="245"/>
        <v>C:\Users\jaime.benazar\Quorum Business Solutions\Ecopetrol Prometeo - Documents\Planning Space Implementation\3. Analysis &amp; Design\Design\FC22\DRR Jaime\QUIFA-CAJÚA\Cajua\[CAJUA_CF_SEC_New_27-Feb-2024Rev3.xlsx]D-PRBNP'!</v>
      </c>
      <c r="G1009" s="32" t="s">
        <v>112</v>
      </c>
      <c r="H1009" s="33"/>
      <c r="I1009" s="33"/>
      <c r="J1009" s="37"/>
    </row>
    <row r="1010" spans="1:10" x14ac:dyDescent="0.25">
      <c r="A1010" s="32" t="s">
        <v>100</v>
      </c>
      <c r="B1010" s="32">
        <f t="shared" si="248"/>
        <v>2043</v>
      </c>
      <c r="C1010" s="33" t="s">
        <v>11</v>
      </c>
      <c r="D1010" s="34" t="s">
        <v>1999</v>
      </c>
      <c r="E1010" s="35" t="str">
        <f t="shared" si="244"/>
        <v>PRBNP'!</v>
      </c>
      <c r="F1010" s="34" t="str">
        <f t="shared" si="245"/>
        <v>C:\Users\jaime.benazar\Quorum Business Solutions\Ecopetrol Prometeo - Documents\Planning Space Implementation\3. Analysis &amp; Design\Design\FC22\DRR Jaime\QUIFA-CAJÚA\Cajua\[CAJUA_CF_SEC_New_27-Feb-2024Rev3.xlsx]D-PRBNP'!</v>
      </c>
      <c r="G1010" s="32" t="s">
        <v>112</v>
      </c>
      <c r="H1010" s="33"/>
      <c r="I1010" s="33"/>
      <c r="J1010" s="37"/>
    </row>
    <row r="1011" spans="1:10" x14ac:dyDescent="0.25">
      <c r="A1011" s="32" t="s">
        <v>100</v>
      </c>
      <c r="B1011" s="32">
        <f>+B1010+1</f>
        <v>2044</v>
      </c>
      <c r="C1011" s="33" t="s">
        <v>11</v>
      </c>
      <c r="D1011" s="34" t="s">
        <v>1999</v>
      </c>
      <c r="E1011" s="35" t="str">
        <f t="shared" ref="E1011:E1026" si="249">_xlfn.CONCAT(A1011,"'!")</f>
        <v>PRBNP'!</v>
      </c>
      <c r="F1011" s="34" t="str">
        <f t="shared" ref="F1011:F1026" si="250">_xlfn.CONCAT(D1011:E1011)</f>
        <v>C:\Users\jaime.benazar\Quorum Business Solutions\Ecopetrol Prometeo - Documents\Planning Space Implementation\3. Analysis &amp; Design\Design\FC22\DRR Jaime\QUIFA-CAJÚA\Cajua\[CAJUA_CF_SEC_New_27-Feb-2024Rev3.xlsx]D-PRBNP'!</v>
      </c>
      <c r="G1011" s="32" t="s">
        <v>112</v>
      </c>
      <c r="H1011" s="33"/>
      <c r="I1011" s="33"/>
      <c r="J1011" s="37"/>
    </row>
    <row r="1012" spans="1:10" x14ac:dyDescent="0.25">
      <c r="A1012" s="32" t="s">
        <v>100</v>
      </c>
      <c r="B1012" s="32">
        <f t="shared" ref="B1012:B1026" si="251">+B1011+1</f>
        <v>2045</v>
      </c>
      <c r="C1012" s="33" t="s">
        <v>11</v>
      </c>
      <c r="D1012" s="34" t="s">
        <v>1999</v>
      </c>
      <c r="E1012" s="35" t="str">
        <f t="shared" si="249"/>
        <v>PRBNP'!</v>
      </c>
      <c r="F1012" s="34" t="str">
        <f t="shared" si="250"/>
        <v>C:\Users\jaime.benazar\Quorum Business Solutions\Ecopetrol Prometeo - Documents\Planning Space Implementation\3. Analysis &amp; Design\Design\FC22\DRR Jaime\QUIFA-CAJÚA\Cajua\[CAJUA_CF_SEC_New_27-Feb-2024Rev3.xlsx]D-PRBNP'!</v>
      </c>
      <c r="G1012" s="32" t="s">
        <v>112</v>
      </c>
      <c r="H1012" s="33"/>
      <c r="I1012" s="33"/>
      <c r="J1012" s="37"/>
    </row>
    <row r="1013" spans="1:10" x14ac:dyDescent="0.25">
      <c r="A1013" s="32" t="s">
        <v>100</v>
      </c>
      <c r="B1013" s="32">
        <f t="shared" si="251"/>
        <v>2046</v>
      </c>
      <c r="C1013" s="33" t="s">
        <v>11</v>
      </c>
      <c r="D1013" s="34" t="s">
        <v>1999</v>
      </c>
      <c r="E1013" s="35" t="str">
        <f t="shared" si="249"/>
        <v>PRBNP'!</v>
      </c>
      <c r="F1013" s="34" t="str">
        <f t="shared" si="250"/>
        <v>C:\Users\jaime.benazar\Quorum Business Solutions\Ecopetrol Prometeo - Documents\Planning Space Implementation\3. Analysis &amp; Design\Design\FC22\DRR Jaime\QUIFA-CAJÚA\Cajua\[CAJUA_CF_SEC_New_27-Feb-2024Rev3.xlsx]D-PRBNP'!</v>
      </c>
      <c r="G1013" s="32" t="s">
        <v>112</v>
      </c>
      <c r="H1013" s="33"/>
      <c r="I1013" s="33"/>
      <c r="J1013" s="37"/>
    </row>
    <row r="1014" spans="1:10" x14ac:dyDescent="0.25">
      <c r="A1014" s="32" t="s">
        <v>100</v>
      </c>
      <c r="B1014" s="32">
        <f t="shared" si="251"/>
        <v>2047</v>
      </c>
      <c r="C1014" s="33" t="s">
        <v>11</v>
      </c>
      <c r="D1014" s="34" t="s">
        <v>1999</v>
      </c>
      <c r="E1014" s="35" t="str">
        <f t="shared" si="249"/>
        <v>PRBNP'!</v>
      </c>
      <c r="F1014" s="34" t="str">
        <f t="shared" si="250"/>
        <v>C:\Users\jaime.benazar\Quorum Business Solutions\Ecopetrol Prometeo - Documents\Planning Space Implementation\3. Analysis &amp; Design\Design\FC22\DRR Jaime\QUIFA-CAJÚA\Cajua\[CAJUA_CF_SEC_New_27-Feb-2024Rev3.xlsx]D-PRBNP'!</v>
      </c>
      <c r="G1014" s="32" t="s">
        <v>112</v>
      </c>
      <c r="H1014" s="33"/>
      <c r="I1014" s="33"/>
      <c r="J1014" s="37"/>
    </row>
    <row r="1015" spans="1:10" x14ac:dyDescent="0.25">
      <c r="A1015" s="32" t="s">
        <v>100</v>
      </c>
      <c r="B1015" s="32">
        <f t="shared" si="251"/>
        <v>2048</v>
      </c>
      <c r="C1015" s="33" t="s">
        <v>11</v>
      </c>
      <c r="D1015" s="34" t="s">
        <v>1999</v>
      </c>
      <c r="E1015" s="35" t="str">
        <f t="shared" si="249"/>
        <v>PRBNP'!</v>
      </c>
      <c r="F1015" s="34" t="str">
        <f t="shared" si="250"/>
        <v>C:\Users\jaime.benazar\Quorum Business Solutions\Ecopetrol Prometeo - Documents\Planning Space Implementation\3. Analysis &amp; Design\Design\FC22\DRR Jaime\QUIFA-CAJÚA\Cajua\[CAJUA_CF_SEC_New_27-Feb-2024Rev3.xlsx]D-PRBNP'!</v>
      </c>
      <c r="G1015" s="32" t="s">
        <v>112</v>
      </c>
      <c r="H1015" s="33"/>
      <c r="I1015" s="33"/>
      <c r="J1015" s="37"/>
    </row>
    <row r="1016" spans="1:10" x14ac:dyDescent="0.25">
      <c r="A1016" s="32" t="s">
        <v>100</v>
      </c>
      <c r="B1016" s="32">
        <f t="shared" si="251"/>
        <v>2049</v>
      </c>
      <c r="C1016" s="33" t="s">
        <v>11</v>
      </c>
      <c r="D1016" s="34" t="s">
        <v>1999</v>
      </c>
      <c r="E1016" s="35" t="str">
        <f t="shared" si="249"/>
        <v>PRBNP'!</v>
      </c>
      <c r="F1016" s="34" t="str">
        <f t="shared" si="250"/>
        <v>C:\Users\jaime.benazar\Quorum Business Solutions\Ecopetrol Prometeo - Documents\Planning Space Implementation\3. Analysis &amp; Design\Design\FC22\DRR Jaime\QUIFA-CAJÚA\Cajua\[CAJUA_CF_SEC_New_27-Feb-2024Rev3.xlsx]D-PRBNP'!</v>
      </c>
      <c r="G1016" s="32" t="s">
        <v>112</v>
      </c>
      <c r="H1016" s="33"/>
      <c r="I1016" s="33"/>
      <c r="J1016" s="37"/>
    </row>
    <row r="1017" spans="1:10" x14ac:dyDescent="0.25">
      <c r="A1017" s="32" t="s">
        <v>100</v>
      </c>
      <c r="B1017" s="32">
        <f t="shared" si="251"/>
        <v>2050</v>
      </c>
      <c r="C1017" s="33" t="s">
        <v>11</v>
      </c>
      <c r="D1017" s="34" t="s">
        <v>1999</v>
      </c>
      <c r="E1017" s="35" t="str">
        <f t="shared" si="249"/>
        <v>PRBNP'!</v>
      </c>
      <c r="F1017" s="34" t="str">
        <f t="shared" si="250"/>
        <v>C:\Users\jaime.benazar\Quorum Business Solutions\Ecopetrol Prometeo - Documents\Planning Space Implementation\3. Analysis &amp; Design\Design\FC22\DRR Jaime\QUIFA-CAJÚA\Cajua\[CAJUA_CF_SEC_New_27-Feb-2024Rev3.xlsx]D-PRBNP'!</v>
      </c>
      <c r="G1017" s="32" t="s">
        <v>112</v>
      </c>
      <c r="H1017" s="33"/>
      <c r="I1017" s="33"/>
      <c r="J1017" s="37"/>
    </row>
    <row r="1018" spans="1:10" x14ac:dyDescent="0.25">
      <c r="A1018" s="32" t="s">
        <v>100</v>
      </c>
      <c r="B1018" s="32">
        <f t="shared" si="251"/>
        <v>2051</v>
      </c>
      <c r="C1018" s="33" t="s">
        <v>11</v>
      </c>
      <c r="D1018" s="34" t="s">
        <v>1999</v>
      </c>
      <c r="E1018" s="35" t="str">
        <f t="shared" si="249"/>
        <v>PRBNP'!</v>
      </c>
      <c r="F1018" s="34" t="str">
        <f t="shared" si="250"/>
        <v>C:\Users\jaime.benazar\Quorum Business Solutions\Ecopetrol Prometeo - Documents\Planning Space Implementation\3. Analysis &amp; Design\Design\FC22\DRR Jaime\QUIFA-CAJÚA\Cajua\[CAJUA_CF_SEC_New_27-Feb-2024Rev3.xlsx]D-PRBNP'!</v>
      </c>
      <c r="G1018" s="32" t="s">
        <v>112</v>
      </c>
      <c r="H1018" s="33"/>
      <c r="I1018" s="33"/>
      <c r="J1018" s="37"/>
    </row>
    <row r="1019" spans="1:10" x14ac:dyDescent="0.25">
      <c r="A1019" s="32" t="s">
        <v>100</v>
      </c>
      <c r="B1019" s="32">
        <f t="shared" si="251"/>
        <v>2052</v>
      </c>
      <c r="C1019" s="33" t="s">
        <v>11</v>
      </c>
      <c r="D1019" s="34" t="s">
        <v>1999</v>
      </c>
      <c r="E1019" s="35" t="str">
        <f t="shared" si="249"/>
        <v>PRBNP'!</v>
      </c>
      <c r="F1019" s="34" t="str">
        <f t="shared" si="250"/>
        <v>C:\Users\jaime.benazar\Quorum Business Solutions\Ecopetrol Prometeo - Documents\Planning Space Implementation\3. Analysis &amp; Design\Design\FC22\DRR Jaime\QUIFA-CAJÚA\Cajua\[CAJUA_CF_SEC_New_27-Feb-2024Rev3.xlsx]D-PRBNP'!</v>
      </c>
      <c r="G1019" s="32" t="s">
        <v>112</v>
      </c>
      <c r="H1019" s="33"/>
      <c r="I1019" s="33"/>
      <c r="J1019" s="37"/>
    </row>
    <row r="1020" spans="1:10" x14ac:dyDescent="0.25">
      <c r="A1020" s="32" t="s">
        <v>100</v>
      </c>
      <c r="B1020" s="32">
        <f t="shared" si="251"/>
        <v>2053</v>
      </c>
      <c r="C1020" s="33" t="s">
        <v>11</v>
      </c>
      <c r="D1020" s="34" t="s">
        <v>1999</v>
      </c>
      <c r="E1020" s="35" t="str">
        <f t="shared" si="249"/>
        <v>PRBNP'!</v>
      </c>
      <c r="F1020" s="34" t="str">
        <f t="shared" si="250"/>
        <v>C:\Users\jaime.benazar\Quorum Business Solutions\Ecopetrol Prometeo - Documents\Planning Space Implementation\3. Analysis &amp; Design\Design\FC22\DRR Jaime\QUIFA-CAJÚA\Cajua\[CAJUA_CF_SEC_New_27-Feb-2024Rev3.xlsx]D-PRBNP'!</v>
      </c>
      <c r="G1020" s="32" t="s">
        <v>112</v>
      </c>
      <c r="H1020" s="33"/>
      <c r="I1020" s="33"/>
      <c r="J1020" s="37"/>
    </row>
    <row r="1021" spans="1:10" x14ac:dyDescent="0.25">
      <c r="A1021" s="32" t="s">
        <v>100</v>
      </c>
      <c r="B1021" s="32">
        <f t="shared" si="251"/>
        <v>2054</v>
      </c>
      <c r="C1021" s="33" t="s">
        <v>11</v>
      </c>
      <c r="D1021" s="34" t="s">
        <v>1999</v>
      </c>
      <c r="E1021" s="35" t="str">
        <f t="shared" si="249"/>
        <v>PRBNP'!</v>
      </c>
      <c r="F1021" s="34" t="str">
        <f t="shared" si="250"/>
        <v>C:\Users\jaime.benazar\Quorum Business Solutions\Ecopetrol Prometeo - Documents\Planning Space Implementation\3. Analysis &amp; Design\Design\FC22\DRR Jaime\QUIFA-CAJÚA\Cajua\[CAJUA_CF_SEC_New_27-Feb-2024Rev3.xlsx]D-PRBNP'!</v>
      </c>
      <c r="G1021" s="32" t="s">
        <v>112</v>
      </c>
      <c r="H1021" s="33"/>
      <c r="I1021" s="33"/>
      <c r="J1021" s="37"/>
    </row>
    <row r="1022" spans="1:10" x14ac:dyDescent="0.25">
      <c r="A1022" s="32" t="s">
        <v>100</v>
      </c>
      <c r="B1022" s="32">
        <f t="shared" si="251"/>
        <v>2055</v>
      </c>
      <c r="C1022" s="33" t="s">
        <v>11</v>
      </c>
      <c r="D1022" s="34" t="s">
        <v>1999</v>
      </c>
      <c r="E1022" s="35" t="str">
        <f t="shared" si="249"/>
        <v>PRBNP'!</v>
      </c>
      <c r="F1022" s="34" t="str">
        <f t="shared" si="250"/>
        <v>C:\Users\jaime.benazar\Quorum Business Solutions\Ecopetrol Prometeo - Documents\Planning Space Implementation\3. Analysis &amp; Design\Design\FC22\DRR Jaime\QUIFA-CAJÚA\Cajua\[CAJUA_CF_SEC_New_27-Feb-2024Rev3.xlsx]D-PRBNP'!</v>
      </c>
      <c r="G1022" s="32" t="s">
        <v>112</v>
      </c>
      <c r="H1022" s="33"/>
      <c r="I1022" s="33"/>
      <c r="J1022" s="37"/>
    </row>
    <row r="1023" spans="1:10" x14ac:dyDescent="0.25">
      <c r="A1023" s="32" t="s">
        <v>100</v>
      </c>
      <c r="B1023" s="32">
        <f t="shared" si="251"/>
        <v>2056</v>
      </c>
      <c r="C1023" s="33" t="s">
        <v>11</v>
      </c>
      <c r="D1023" s="34" t="s">
        <v>1999</v>
      </c>
      <c r="E1023" s="35" t="str">
        <f t="shared" si="249"/>
        <v>PRBNP'!</v>
      </c>
      <c r="F1023" s="34" t="str">
        <f t="shared" si="250"/>
        <v>C:\Users\jaime.benazar\Quorum Business Solutions\Ecopetrol Prometeo - Documents\Planning Space Implementation\3. Analysis &amp; Design\Design\FC22\DRR Jaime\QUIFA-CAJÚA\Cajua\[CAJUA_CF_SEC_New_27-Feb-2024Rev3.xlsx]D-PRBNP'!</v>
      </c>
      <c r="G1023" s="32" t="s">
        <v>112</v>
      </c>
      <c r="H1023" s="33"/>
      <c r="I1023" s="33"/>
      <c r="J1023" s="37"/>
    </row>
    <row r="1024" spans="1:10" x14ac:dyDescent="0.25">
      <c r="A1024" s="32" t="s">
        <v>100</v>
      </c>
      <c r="B1024" s="32">
        <f t="shared" si="251"/>
        <v>2057</v>
      </c>
      <c r="C1024" s="33" t="s">
        <v>11</v>
      </c>
      <c r="D1024" s="34" t="s">
        <v>1999</v>
      </c>
      <c r="E1024" s="35" t="str">
        <f t="shared" si="249"/>
        <v>PRBNP'!</v>
      </c>
      <c r="F1024" s="34" t="str">
        <f t="shared" si="250"/>
        <v>C:\Users\jaime.benazar\Quorum Business Solutions\Ecopetrol Prometeo - Documents\Planning Space Implementation\3. Analysis &amp; Design\Design\FC22\DRR Jaime\QUIFA-CAJÚA\Cajua\[CAJUA_CF_SEC_New_27-Feb-2024Rev3.xlsx]D-PRBNP'!</v>
      </c>
      <c r="G1024" s="32" t="s">
        <v>112</v>
      </c>
      <c r="H1024" s="33"/>
      <c r="I1024" s="33"/>
      <c r="J1024" s="37"/>
    </row>
    <row r="1025" spans="1:10" x14ac:dyDescent="0.25">
      <c r="A1025" s="32" t="s">
        <v>100</v>
      </c>
      <c r="B1025" s="32">
        <f t="shared" si="251"/>
        <v>2058</v>
      </c>
      <c r="C1025" s="33" t="s">
        <v>11</v>
      </c>
      <c r="D1025" s="34" t="s">
        <v>1999</v>
      </c>
      <c r="E1025" s="35" t="str">
        <f t="shared" si="249"/>
        <v>PRBNP'!</v>
      </c>
      <c r="F1025" s="34" t="str">
        <f t="shared" si="250"/>
        <v>C:\Users\jaime.benazar\Quorum Business Solutions\Ecopetrol Prometeo - Documents\Planning Space Implementation\3. Analysis &amp; Design\Design\FC22\DRR Jaime\QUIFA-CAJÚA\Cajua\[CAJUA_CF_SEC_New_27-Feb-2024Rev3.xlsx]D-PRBNP'!</v>
      </c>
      <c r="G1025" s="32" t="s">
        <v>112</v>
      </c>
      <c r="H1025" s="33"/>
      <c r="I1025" s="33"/>
      <c r="J1025" s="37"/>
    </row>
    <row r="1026" spans="1:10" x14ac:dyDescent="0.25">
      <c r="A1026" s="32" t="s">
        <v>100</v>
      </c>
      <c r="B1026" s="32">
        <f t="shared" si="251"/>
        <v>2059</v>
      </c>
      <c r="C1026" s="33" t="s">
        <v>11</v>
      </c>
      <c r="D1026" s="34" t="s">
        <v>1999</v>
      </c>
      <c r="E1026" s="35" t="str">
        <f t="shared" si="249"/>
        <v>PRBNP'!</v>
      </c>
      <c r="F1026" s="34" t="str">
        <f t="shared" si="250"/>
        <v>C:\Users\jaime.benazar\Quorum Business Solutions\Ecopetrol Prometeo - Documents\Planning Space Implementation\3. Analysis &amp; Design\Design\FC22\DRR Jaime\QUIFA-CAJÚA\Cajua\[CAJUA_CF_SEC_New_27-Feb-2024Rev3.xlsx]D-PRBNP'!</v>
      </c>
      <c r="G1026" s="32" t="s">
        <v>112</v>
      </c>
      <c r="H1026" s="33"/>
      <c r="I1026" s="33"/>
      <c r="J1026" s="37"/>
    </row>
    <row r="1027" spans="1:10" x14ac:dyDescent="0.25">
      <c r="A1027" s="32" t="s">
        <v>28</v>
      </c>
      <c r="B1027" s="32"/>
      <c r="C1027" s="33" t="s">
        <v>11</v>
      </c>
      <c r="D1027" s="34"/>
      <c r="E1027" s="35"/>
      <c r="F1027" s="34"/>
      <c r="G1027" s="32"/>
      <c r="H1027" s="33"/>
      <c r="I1027" s="33"/>
      <c r="J1027" s="33"/>
    </row>
    <row r="1028" spans="1:10" x14ac:dyDescent="0.25">
      <c r="A1028" s="32" t="s">
        <v>101</v>
      </c>
      <c r="B1028" s="32">
        <v>2023</v>
      </c>
      <c r="C1028" s="33" t="s">
        <v>11</v>
      </c>
      <c r="D1028" s="34" t="s">
        <v>1999</v>
      </c>
      <c r="E1028" s="35" t="str">
        <f t="shared" ref="E1028:E1048" si="252">_xlfn.CONCAT(A1028,"'!")</f>
        <v>PRBND'!</v>
      </c>
      <c r="F1028" s="34" t="str">
        <f t="shared" ref="F1028:F1048" si="253">_xlfn.CONCAT(D1028:E1028)</f>
        <v>C:\Users\jaime.benazar\Quorum Business Solutions\Ecopetrol Prometeo - Documents\Planning Space Implementation\3. Analysis &amp; Design\Design\FC22\DRR Jaime\QUIFA-CAJÚA\Cajua\[CAJUA_CF_SEC_New_27-Feb-2024Rev3.xlsx]D-PRBND'!</v>
      </c>
      <c r="G1028" s="32" t="s">
        <v>112</v>
      </c>
      <c r="H1028" s="33"/>
      <c r="I1028" s="33"/>
      <c r="J1028" s="37"/>
    </row>
    <row r="1029" spans="1:10" x14ac:dyDescent="0.25">
      <c r="A1029" s="32" t="s">
        <v>101</v>
      </c>
      <c r="B1029" s="32">
        <f>+B1028+1</f>
        <v>2024</v>
      </c>
      <c r="C1029" s="33" t="s">
        <v>11</v>
      </c>
      <c r="D1029" s="34" t="s">
        <v>1999</v>
      </c>
      <c r="E1029" s="35" t="str">
        <f t="shared" si="252"/>
        <v>PRBND'!</v>
      </c>
      <c r="F1029" s="34" t="str">
        <f t="shared" si="253"/>
        <v>C:\Users\jaime.benazar\Quorum Business Solutions\Ecopetrol Prometeo - Documents\Planning Space Implementation\3. Analysis &amp; Design\Design\FC22\DRR Jaime\QUIFA-CAJÚA\Cajua\[CAJUA_CF_SEC_New_27-Feb-2024Rev3.xlsx]D-PRBND'!</v>
      </c>
      <c r="G1029" s="32" t="s">
        <v>112</v>
      </c>
      <c r="H1029" s="33"/>
      <c r="I1029" s="33"/>
      <c r="J1029" s="37"/>
    </row>
    <row r="1030" spans="1:10" x14ac:dyDescent="0.25">
      <c r="A1030" s="32" t="s">
        <v>101</v>
      </c>
      <c r="B1030" s="32">
        <f t="shared" ref="B1030:B1041" si="254">+B1029+1</f>
        <v>2025</v>
      </c>
      <c r="C1030" s="33" t="s">
        <v>11</v>
      </c>
      <c r="D1030" s="34" t="s">
        <v>1999</v>
      </c>
      <c r="E1030" s="35" t="str">
        <f t="shared" si="252"/>
        <v>PRBND'!</v>
      </c>
      <c r="F1030" s="34" t="str">
        <f t="shared" si="253"/>
        <v>C:\Users\jaime.benazar\Quorum Business Solutions\Ecopetrol Prometeo - Documents\Planning Space Implementation\3. Analysis &amp; Design\Design\FC22\DRR Jaime\QUIFA-CAJÚA\Cajua\[CAJUA_CF_SEC_New_27-Feb-2024Rev3.xlsx]D-PRBND'!</v>
      </c>
      <c r="G1030" s="32" t="s">
        <v>112</v>
      </c>
      <c r="H1030" s="33"/>
      <c r="I1030" s="33"/>
      <c r="J1030" s="37"/>
    </row>
    <row r="1031" spans="1:10" x14ac:dyDescent="0.25">
      <c r="A1031" s="32" t="s">
        <v>101</v>
      </c>
      <c r="B1031" s="32">
        <f t="shared" si="254"/>
        <v>2026</v>
      </c>
      <c r="C1031" s="33" t="s">
        <v>11</v>
      </c>
      <c r="D1031" s="34" t="s">
        <v>1999</v>
      </c>
      <c r="E1031" s="35" t="str">
        <f t="shared" si="252"/>
        <v>PRBND'!</v>
      </c>
      <c r="F1031" s="34" t="str">
        <f t="shared" si="253"/>
        <v>C:\Users\jaime.benazar\Quorum Business Solutions\Ecopetrol Prometeo - Documents\Planning Space Implementation\3. Analysis &amp; Design\Design\FC22\DRR Jaime\QUIFA-CAJÚA\Cajua\[CAJUA_CF_SEC_New_27-Feb-2024Rev3.xlsx]D-PRBND'!</v>
      </c>
      <c r="G1031" s="32" t="s">
        <v>112</v>
      </c>
      <c r="H1031" s="33"/>
      <c r="I1031" s="33"/>
      <c r="J1031" s="37"/>
    </row>
    <row r="1032" spans="1:10" x14ac:dyDescent="0.25">
      <c r="A1032" s="32" t="s">
        <v>101</v>
      </c>
      <c r="B1032" s="32">
        <f t="shared" si="254"/>
        <v>2027</v>
      </c>
      <c r="C1032" s="33" t="s">
        <v>11</v>
      </c>
      <c r="D1032" s="34" t="s">
        <v>1999</v>
      </c>
      <c r="E1032" s="35" t="str">
        <f t="shared" si="252"/>
        <v>PRBND'!</v>
      </c>
      <c r="F1032" s="34" t="str">
        <f t="shared" si="253"/>
        <v>C:\Users\jaime.benazar\Quorum Business Solutions\Ecopetrol Prometeo - Documents\Planning Space Implementation\3. Analysis &amp; Design\Design\FC22\DRR Jaime\QUIFA-CAJÚA\Cajua\[CAJUA_CF_SEC_New_27-Feb-2024Rev3.xlsx]D-PRBND'!</v>
      </c>
      <c r="G1032" s="32" t="s">
        <v>112</v>
      </c>
      <c r="H1032" s="33"/>
      <c r="I1032" s="33"/>
      <c r="J1032" s="37"/>
    </row>
    <row r="1033" spans="1:10" x14ac:dyDescent="0.25">
      <c r="A1033" s="32" t="s">
        <v>101</v>
      </c>
      <c r="B1033" s="32">
        <f t="shared" si="254"/>
        <v>2028</v>
      </c>
      <c r="C1033" s="33" t="s">
        <v>11</v>
      </c>
      <c r="D1033" s="34" t="s">
        <v>1999</v>
      </c>
      <c r="E1033" s="35" t="str">
        <f t="shared" si="252"/>
        <v>PRBND'!</v>
      </c>
      <c r="F1033" s="34" t="str">
        <f t="shared" si="253"/>
        <v>C:\Users\jaime.benazar\Quorum Business Solutions\Ecopetrol Prometeo - Documents\Planning Space Implementation\3. Analysis &amp; Design\Design\FC22\DRR Jaime\QUIFA-CAJÚA\Cajua\[CAJUA_CF_SEC_New_27-Feb-2024Rev3.xlsx]D-PRBND'!</v>
      </c>
      <c r="G1033" s="32" t="s">
        <v>112</v>
      </c>
      <c r="H1033" s="33"/>
      <c r="I1033" s="33"/>
      <c r="J1033" s="37"/>
    </row>
    <row r="1034" spans="1:10" x14ac:dyDescent="0.25">
      <c r="A1034" s="32" t="s">
        <v>101</v>
      </c>
      <c r="B1034" s="32">
        <f t="shared" si="254"/>
        <v>2029</v>
      </c>
      <c r="C1034" s="33" t="s">
        <v>11</v>
      </c>
      <c r="D1034" s="34" t="s">
        <v>1999</v>
      </c>
      <c r="E1034" s="35" t="str">
        <f t="shared" si="252"/>
        <v>PRBND'!</v>
      </c>
      <c r="F1034" s="34" t="str">
        <f t="shared" si="253"/>
        <v>C:\Users\jaime.benazar\Quorum Business Solutions\Ecopetrol Prometeo - Documents\Planning Space Implementation\3. Analysis &amp; Design\Design\FC22\DRR Jaime\QUIFA-CAJÚA\Cajua\[CAJUA_CF_SEC_New_27-Feb-2024Rev3.xlsx]D-PRBND'!</v>
      </c>
      <c r="G1034" s="32" t="s">
        <v>112</v>
      </c>
      <c r="H1034" s="33"/>
      <c r="I1034" s="33"/>
      <c r="J1034" s="37"/>
    </row>
    <row r="1035" spans="1:10" x14ac:dyDescent="0.25">
      <c r="A1035" s="32" t="s">
        <v>101</v>
      </c>
      <c r="B1035" s="32">
        <f t="shared" si="254"/>
        <v>2030</v>
      </c>
      <c r="C1035" s="33" t="s">
        <v>11</v>
      </c>
      <c r="D1035" s="34" t="s">
        <v>1999</v>
      </c>
      <c r="E1035" s="35" t="str">
        <f t="shared" si="252"/>
        <v>PRBND'!</v>
      </c>
      <c r="F1035" s="34" t="str">
        <f t="shared" si="253"/>
        <v>C:\Users\jaime.benazar\Quorum Business Solutions\Ecopetrol Prometeo - Documents\Planning Space Implementation\3. Analysis &amp; Design\Design\FC22\DRR Jaime\QUIFA-CAJÚA\Cajua\[CAJUA_CF_SEC_New_27-Feb-2024Rev3.xlsx]D-PRBND'!</v>
      </c>
      <c r="G1035" s="32" t="s">
        <v>112</v>
      </c>
      <c r="H1035" s="33"/>
      <c r="I1035" s="33"/>
      <c r="J1035" s="37"/>
    </row>
    <row r="1036" spans="1:10" x14ac:dyDescent="0.25">
      <c r="A1036" s="32" t="s">
        <v>101</v>
      </c>
      <c r="B1036" s="32">
        <f t="shared" si="254"/>
        <v>2031</v>
      </c>
      <c r="C1036" s="33" t="s">
        <v>11</v>
      </c>
      <c r="D1036" s="34" t="s">
        <v>1999</v>
      </c>
      <c r="E1036" s="35" t="str">
        <f t="shared" si="252"/>
        <v>PRBND'!</v>
      </c>
      <c r="F1036" s="34" t="str">
        <f t="shared" si="253"/>
        <v>C:\Users\jaime.benazar\Quorum Business Solutions\Ecopetrol Prometeo - Documents\Planning Space Implementation\3. Analysis &amp; Design\Design\FC22\DRR Jaime\QUIFA-CAJÚA\Cajua\[CAJUA_CF_SEC_New_27-Feb-2024Rev3.xlsx]D-PRBND'!</v>
      </c>
      <c r="G1036" s="32" t="s">
        <v>112</v>
      </c>
      <c r="H1036" s="33"/>
      <c r="I1036" s="33"/>
      <c r="J1036" s="37"/>
    </row>
    <row r="1037" spans="1:10" x14ac:dyDescent="0.25">
      <c r="A1037" s="32" t="s">
        <v>101</v>
      </c>
      <c r="B1037" s="32">
        <f t="shared" si="254"/>
        <v>2032</v>
      </c>
      <c r="C1037" s="33" t="s">
        <v>11</v>
      </c>
      <c r="D1037" s="34" t="s">
        <v>1999</v>
      </c>
      <c r="E1037" s="35" t="str">
        <f t="shared" si="252"/>
        <v>PRBND'!</v>
      </c>
      <c r="F1037" s="34" t="str">
        <f t="shared" si="253"/>
        <v>C:\Users\jaime.benazar\Quorum Business Solutions\Ecopetrol Prometeo - Documents\Planning Space Implementation\3. Analysis &amp; Design\Design\FC22\DRR Jaime\QUIFA-CAJÚA\Cajua\[CAJUA_CF_SEC_New_27-Feb-2024Rev3.xlsx]D-PRBND'!</v>
      </c>
      <c r="G1037" s="32" t="s">
        <v>112</v>
      </c>
      <c r="H1037" s="33"/>
      <c r="I1037" s="33"/>
      <c r="J1037" s="37"/>
    </row>
    <row r="1038" spans="1:10" x14ac:dyDescent="0.25">
      <c r="A1038" s="32" t="s">
        <v>101</v>
      </c>
      <c r="B1038" s="32">
        <f t="shared" si="254"/>
        <v>2033</v>
      </c>
      <c r="C1038" s="33" t="s">
        <v>11</v>
      </c>
      <c r="D1038" s="34" t="s">
        <v>1999</v>
      </c>
      <c r="E1038" s="35" t="str">
        <f t="shared" si="252"/>
        <v>PRBND'!</v>
      </c>
      <c r="F1038" s="34" t="str">
        <f t="shared" si="253"/>
        <v>C:\Users\jaime.benazar\Quorum Business Solutions\Ecopetrol Prometeo - Documents\Planning Space Implementation\3. Analysis &amp; Design\Design\FC22\DRR Jaime\QUIFA-CAJÚA\Cajua\[CAJUA_CF_SEC_New_27-Feb-2024Rev3.xlsx]D-PRBND'!</v>
      </c>
      <c r="G1038" s="32" t="s">
        <v>112</v>
      </c>
      <c r="H1038" s="33"/>
      <c r="I1038" s="33"/>
      <c r="J1038" s="37"/>
    </row>
    <row r="1039" spans="1:10" x14ac:dyDescent="0.25">
      <c r="A1039" s="32" t="s">
        <v>101</v>
      </c>
      <c r="B1039" s="32">
        <f t="shared" si="254"/>
        <v>2034</v>
      </c>
      <c r="C1039" s="33" t="s">
        <v>11</v>
      </c>
      <c r="D1039" s="34" t="s">
        <v>1999</v>
      </c>
      <c r="E1039" s="35" t="str">
        <f t="shared" si="252"/>
        <v>PRBND'!</v>
      </c>
      <c r="F1039" s="34" t="str">
        <f t="shared" si="253"/>
        <v>C:\Users\jaime.benazar\Quorum Business Solutions\Ecopetrol Prometeo - Documents\Planning Space Implementation\3. Analysis &amp; Design\Design\FC22\DRR Jaime\QUIFA-CAJÚA\Cajua\[CAJUA_CF_SEC_New_27-Feb-2024Rev3.xlsx]D-PRBND'!</v>
      </c>
      <c r="G1039" s="32" t="s">
        <v>112</v>
      </c>
      <c r="H1039" s="33"/>
      <c r="I1039" s="33"/>
      <c r="J1039" s="37"/>
    </row>
    <row r="1040" spans="1:10" x14ac:dyDescent="0.25">
      <c r="A1040" s="32" t="s">
        <v>101</v>
      </c>
      <c r="B1040" s="32">
        <f t="shared" si="254"/>
        <v>2035</v>
      </c>
      <c r="C1040" s="33" t="s">
        <v>11</v>
      </c>
      <c r="D1040" s="34" t="s">
        <v>1999</v>
      </c>
      <c r="E1040" s="35" t="str">
        <f t="shared" si="252"/>
        <v>PRBND'!</v>
      </c>
      <c r="F1040" s="34" t="str">
        <f t="shared" si="253"/>
        <v>C:\Users\jaime.benazar\Quorum Business Solutions\Ecopetrol Prometeo - Documents\Planning Space Implementation\3. Analysis &amp; Design\Design\FC22\DRR Jaime\QUIFA-CAJÚA\Cajua\[CAJUA_CF_SEC_New_27-Feb-2024Rev3.xlsx]D-PRBND'!</v>
      </c>
      <c r="G1040" s="32" t="s">
        <v>112</v>
      </c>
      <c r="H1040" s="33"/>
      <c r="I1040" s="33"/>
      <c r="J1040" s="37"/>
    </row>
    <row r="1041" spans="1:10" x14ac:dyDescent="0.25">
      <c r="A1041" s="32" t="s">
        <v>101</v>
      </c>
      <c r="B1041" s="32">
        <f t="shared" si="254"/>
        <v>2036</v>
      </c>
      <c r="C1041" s="33" t="s">
        <v>11</v>
      </c>
      <c r="D1041" s="34" t="s">
        <v>1999</v>
      </c>
      <c r="E1041" s="35" t="str">
        <f t="shared" si="252"/>
        <v>PRBND'!</v>
      </c>
      <c r="F1041" s="34" t="str">
        <f t="shared" si="253"/>
        <v>C:\Users\jaime.benazar\Quorum Business Solutions\Ecopetrol Prometeo - Documents\Planning Space Implementation\3. Analysis &amp; Design\Design\FC22\DRR Jaime\QUIFA-CAJÚA\Cajua\[CAJUA_CF_SEC_New_27-Feb-2024Rev3.xlsx]D-PRBND'!</v>
      </c>
      <c r="G1041" s="32" t="s">
        <v>112</v>
      </c>
      <c r="H1041" s="33"/>
      <c r="I1041" s="33"/>
      <c r="J1041" s="37"/>
    </row>
    <row r="1042" spans="1:10" x14ac:dyDescent="0.25">
      <c r="A1042" s="32" t="s">
        <v>101</v>
      </c>
      <c r="B1042" s="32">
        <f>+B1041+1</f>
        <v>2037</v>
      </c>
      <c r="C1042" s="33" t="s">
        <v>11</v>
      </c>
      <c r="D1042" s="34" t="s">
        <v>1999</v>
      </c>
      <c r="E1042" s="35" t="str">
        <f t="shared" si="252"/>
        <v>PRBND'!</v>
      </c>
      <c r="F1042" s="34" t="str">
        <f t="shared" si="253"/>
        <v>C:\Users\jaime.benazar\Quorum Business Solutions\Ecopetrol Prometeo - Documents\Planning Space Implementation\3. Analysis &amp; Design\Design\FC22\DRR Jaime\QUIFA-CAJÚA\Cajua\[CAJUA_CF_SEC_New_27-Feb-2024Rev3.xlsx]D-PRBND'!</v>
      </c>
      <c r="G1042" s="32" t="s">
        <v>112</v>
      </c>
      <c r="H1042" s="33"/>
      <c r="I1042" s="33"/>
      <c r="J1042" s="37"/>
    </row>
    <row r="1043" spans="1:10" x14ac:dyDescent="0.25">
      <c r="A1043" s="32" t="s">
        <v>101</v>
      </c>
      <c r="B1043" s="32">
        <f t="shared" ref="B1043:B1045" si="255">+B1042+1</f>
        <v>2038</v>
      </c>
      <c r="C1043" s="33" t="s">
        <v>11</v>
      </c>
      <c r="D1043" s="34" t="s">
        <v>1999</v>
      </c>
      <c r="E1043" s="35" t="str">
        <f t="shared" si="252"/>
        <v>PRBND'!</v>
      </c>
      <c r="F1043" s="34" t="str">
        <f t="shared" si="253"/>
        <v>C:\Users\jaime.benazar\Quorum Business Solutions\Ecopetrol Prometeo - Documents\Planning Space Implementation\3. Analysis &amp; Design\Design\FC22\DRR Jaime\QUIFA-CAJÚA\Cajua\[CAJUA_CF_SEC_New_27-Feb-2024Rev3.xlsx]D-PRBND'!</v>
      </c>
      <c r="G1043" s="32" t="s">
        <v>112</v>
      </c>
      <c r="H1043" s="33"/>
      <c r="I1043" s="33"/>
      <c r="J1043" s="37"/>
    </row>
    <row r="1044" spans="1:10" x14ac:dyDescent="0.25">
      <c r="A1044" s="32" t="s">
        <v>101</v>
      </c>
      <c r="B1044" s="32">
        <f t="shared" si="255"/>
        <v>2039</v>
      </c>
      <c r="C1044" s="33" t="s">
        <v>11</v>
      </c>
      <c r="D1044" s="34" t="s">
        <v>1999</v>
      </c>
      <c r="E1044" s="35" t="str">
        <f t="shared" si="252"/>
        <v>PRBND'!</v>
      </c>
      <c r="F1044" s="34" t="str">
        <f t="shared" si="253"/>
        <v>C:\Users\jaime.benazar\Quorum Business Solutions\Ecopetrol Prometeo - Documents\Planning Space Implementation\3. Analysis &amp; Design\Design\FC22\DRR Jaime\QUIFA-CAJÚA\Cajua\[CAJUA_CF_SEC_New_27-Feb-2024Rev3.xlsx]D-PRBND'!</v>
      </c>
      <c r="G1044" s="32" t="s">
        <v>112</v>
      </c>
      <c r="H1044" s="33"/>
      <c r="I1044" s="33"/>
      <c r="J1044" s="37"/>
    </row>
    <row r="1045" spans="1:10" x14ac:dyDescent="0.25">
      <c r="A1045" s="32" t="s">
        <v>101</v>
      </c>
      <c r="B1045" s="32">
        <f t="shared" si="255"/>
        <v>2040</v>
      </c>
      <c r="C1045" s="33" t="s">
        <v>11</v>
      </c>
      <c r="D1045" s="34" t="s">
        <v>1999</v>
      </c>
      <c r="E1045" s="35" t="str">
        <f t="shared" si="252"/>
        <v>PRBND'!</v>
      </c>
      <c r="F1045" s="34" t="str">
        <f t="shared" si="253"/>
        <v>C:\Users\jaime.benazar\Quorum Business Solutions\Ecopetrol Prometeo - Documents\Planning Space Implementation\3. Analysis &amp; Design\Design\FC22\DRR Jaime\QUIFA-CAJÚA\Cajua\[CAJUA_CF_SEC_New_27-Feb-2024Rev3.xlsx]D-PRBND'!</v>
      </c>
      <c r="G1045" s="32" t="s">
        <v>112</v>
      </c>
      <c r="H1045" s="33"/>
      <c r="I1045" s="33"/>
      <c r="J1045" s="37"/>
    </row>
    <row r="1046" spans="1:10" x14ac:dyDescent="0.25">
      <c r="A1046" s="32" t="s">
        <v>101</v>
      </c>
      <c r="B1046" s="32">
        <f>+B1045+1</f>
        <v>2041</v>
      </c>
      <c r="C1046" s="33" t="s">
        <v>11</v>
      </c>
      <c r="D1046" s="34" t="s">
        <v>1999</v>
      </c>
      <c r="E1046" s="35" t="str">
        <f t="shared" si="252"/>
        <v>PRBND'!</v>
      </c>
      <c r="F1046" s="34" t="str">
        <f t="shared" si="253"/>
        <v>C:\Users\jaime.benazar\Quorum Business Solutions\Ecopetrol Prometeo - Documents\Planning Space Implementation\3. Analysis &amp; Design\Design\FC22\DRR Jaime\QUIFA-CAJÚA\Cajua\[CAJUA_CF_SEC_New_27-Feb-2024Rev3.xlsx]D-PRBND'!</v>
      </c>
      <c r="G1046" s="32" t="s">
        <v>112</v>
      </c>
      <c r="H1046" s="33"/>
      <c r="I1046" s="33"/>
      <c r="J1046" s="37"/>
    </row>
    <row r="1047" spans="1:10" x14ac:dyDescent="0.25">
      <c r="A1047" s="32" t="s">
        <v>101</v>
      </c>
      <c r="B1047" s="32">
        <f t="shared" ref="B1047:B1048" si="256">+B1046+1</f>
        <v>2042</v>
      </c>
      <c r="C1047" s="33" t="s">
        <v>11</v>
      </c>
      <c r="D1047" s="34" t="s">
        <v>1999</v>
      </c>
      <c r="E1047" s="35" t="str">
        <f t="shared" si="252"/>
        <v>PRBND'!</v>
      </c>
      <c r="F1047" s="34" t="str">
        <f t="shared" si="253"/>
        <v>C:\Users\jaime.benazar\Quorum Business Solutions\Ecopetrol Prometeo - Documents\Planning Space Implementation\3. Analysis &amp; Design\Design\FC22\DRR Jaime\QUIFA-CAJÚA\Cajua\[CAJUA_CF_SEC_New_27-Feb-2024Rev3.xlsx]D-PRBND'!</v>
      </c>
      <c r="G1047" s="32" t="s">
        <v>112</v>
      </c>
      <c r="H1047" s="33"/>
      <c r="I1047" s="33"/>
      <c r="J1047" s="37"/>
    </row>
    <row r="1048" spans="1:10" x14ac:dyDescent="0.25">
      <c r="A1048" s="32" t="s">
        <v>101</v>
      </c>
      <c r="B1048" s="32">
        <f t="shared" si="256"/>
        <v>2043</v>
      </c>
      <c r="C1048" s="33" t="s">
        <v>11</v>
      </c>
      <c r="D1048" s="34" t="s">
        <v>1999</v>
      </c>
      <c r="E1048" s="35" t="str">
        <f t="shared" si="252"/>
        <v>PRBND'!</v>
      </c>
      <c r="F1048" s="34" t="str">
        <f t="shared" si="253"/>
        <v>C:\Users\jaime.benazar\Quorum Business Solutions\Ecopetrol Prometeo - Documents\Planning Space Implementation\3. Analysis &amp; Design\Design\FC22\DRR Jaime\QUIFA-CAJÚA\Cajua\[CAJUA_CF_SEC_New_27-Feb-2024Rev3.xlsx]D-PRBND'!</v>
      </c>
      <c r="G1048" s="32" t="s">
        <v>112</v>
      </c>
      <c r="H1048" s="33"/>
      <c r="I1048" s="33"/>
      <c r="J1048" s="37"/>
    </row>
    <row r="1049" spans="1:10" x14ac:dyDescent="0.25">
      <c r="A1049" s="32" t="s">
        <v>101</v>
      </c>
      <c r="B1049" s="32">
        <f>+B1048+1</f>
        <v>2044</v>
      </c>
      <c r="C1049" s="33" t="s">
        <v>11</v>
      </c>
      <c r="D1049" s="34" t="s">
        <v>1999</v>
      </c>
      <c r="E1049" s="35" t="str">
        <f t="shared" ref="E1049:E1064" si="257">_xlfn.CONCAT(A1049,"'!")</f>
        <v>PRBND'!</v>
      </c>
      <c r="F1049" s="34" t="str">
        <f t="shared" ref="F1049:F1064" si="258">_xlfn.CONCAT(D1049:E1049)</f>
        <v>C:\Users\jaime.benazar\Quorum Business Solutions\Ecopetrol Prometeo - Documents\Planning Space Implementation\3. Analysis &amp; Design\Design\FC22\DRR Jaime\QUIFA-CAJÚA\Cajua\[CAJUA_CF_SEC_New_27-Feb-2024Rev3.xlsx]D-PRBND'!</v>
      </c>
      <c r="G1049" s="32" t="s">
        <v>112</v>
      </c>
      <c r="H1049" s="33"/>
      <c r="I1049" s="33"/>
      <c r="J1049" s="37"/>
    </row>
    <row r="1050" spans="1:10" x14ac:dyDescent="0.25">
      <c r="A1050" s="32" t="s">
        <v>101</v>
      </c>
      <c r="B1050" s="32">
        <f t="shared" ref="B1050:B1064" si="259">+B1049+1</f>
        <v>2045</v>
      </c>
      <c r="C1050" s="33" t="s">
        <v>11</v>
      </c>
      <c r="D1050" s="34" t="s">
        <v>1999</v>
      </c>
      <c r="E1050" s="35" t="str">
        <f t="shared" si="257"/>
        <v>PRBND'!</v>
      </c>
      <c r="F1050" s="34" t="str">
        <f t="shared" si="258"/>
        <v>C:\Users\jaime.benazar\Quorum Business Solutions\Ecopetrol Prometeo - Documents\Planning Space Implementation\3. Analysis &amp; Design\Design\FC22\DRR Jaime\QUIFA-CAJÚA\Cajua\[CAJUA_CF_SEC_New_27-Feb-2024Rev3.xlsx]D-PRBND'!</v>
      </c>
      <c r="G1050" s="32" t="s">
        <v>112</v>
      </c>
      <c r="H1050" s="33"/>
      <c r="I1050" s="33"/>
      <c r="J1050" s="37"/>
    </row>
    <row r="1051" spans="1:10" x14ac:dyDescent="0.25">
      <c r="A1051" s="32" t="s">
        <v>101</v>
      </c>
      <c r="B1051" s="32">
        <f t="shared" si="259"/>
        <v>2046</v>
      </c>
      <c r="C1051" s="33" t="s">
        <v>11</v>
      </c>
      <c r="D1051" s="34" t="s">
        <v>1999</v>
      </c>
      <c r="E1051" s="35" t="str">
        <f t="shared" si="257"/>
        <v>PRBND'!</v>
      </c>
      <c r="F1051" s="34" t="str">
        <f t="shared" si="258"/>
        <v>C:\Users\jaime.benazar\Quorum Business Solutions\Ecopetrol Prometeo - Documents\Planning Space Implementation\3. Analysis &amp; Design\Design\FC22\DRR Jaime\QUIFA-CAJÚA\Cajua\[CAJUA_CF_SEC_New_27-Feb-2024Rev3.xlsx]D-PRBND'!</v>
      </c>
      <c r="G1051" s="32" t="s">
        <v>112</v>
      </c>
      <c r="H1051" s="33"/>
      <c r="I1051" s="33"/>
      <c r="J1051" s="37"/>
    </row>
    <row r="1052" spans="1:10" x14ac:dyDescent="0.25">
      <c r="A1052" s="32" t="s">
        <v>101</v>
      </c>
      <c r="B1052" s="32">
        <f t="shared" si="259"/>
        <v>2047</v>
      </c>
      <c r="C1052" s="33" t="s">
        <v>11</v>
      </c>
      <c r="D1052" s="34" t="s">
        <v>1999</v>
      </c>
      <c r="E1052" s="35" t="str">
        <f t="shared" si="257"/>
        <v>PRBND'!</v>
      </c>
      <c r="F1052" s="34" t="str">
        <f t="shared" si="258"/>
        <v>C:\Users\jaime.benazar\Quorum Business Solutions\Ecopetrol Prometeo - Documents\Planning Space Implementation\3. Analysis &amp; Design\Design\FC22\DRR Jaime\QUIFA-CAJÚA\Cajua\[CAJUA_CF_SEC_New_27-Feb-2024Rev3.xlsx]D-PRBND'!</v>
      </c>
      <c r="G1052" s="32" t="s">
        <v>112</v>
      </c>
      <c r="H1052" s="33"/>
      <c r="I1052" s="33"/>
      <c r="J1052" s="37"/>
    </row>
    <row r="1053" spans="1:10" x14ac:dyDescent="0.25">
      <c r="A1053" s="32" t="s">
        <v>101</v>
      </c>
      <c r="B1053" s="32">
        <f t="shared" si="259"/>
        <v>2048</v>
      </c>
      <c r="C1053" s="33" t="s">
        <v>11</v>
      </c>
      <c r="D1053" s="34" t="s">
        <v>1999</v>
      </c>
      <c r="E1053" s="35" t="str">
        <f t="shared" si="257"/>
        <v>PRBND'!</v>
      </c>
      <c r="F1053" s="34" t="str">
        <f t="shared" si="258"/>
        <v>C:\Users\jaime.benazar\Quorum Business Solutions\Ecopetrol Prometeo - Documents\Planning Space Implementation\3. Analysis &amp; Design\Design\FC22\DRR Jaime\QUIFA-CAJÚA\Cajua\[CAJUA_CF_SEC_New_27-Feb-2024Rev3.xlsx]D-PRBND'!</v>
      </c>
      <c r="G1053" s="32" t="s">
        <v>112</v>
      </c>
      <c r="H1053" s="33"/>
      <c r="I1053" s="33"/>
      <c r="J1053" s="37"/>
    </row>
    <row r="1054" spans="1:10" x14ac:dyDescent="0.25">
      <c r="A1054" s="32" t="s">
        <v>101</v>
      </c>
      <c r="B1054" s="32">
        <f t="shared" si="259"/>
        <v>2049</v>
      </c>
      <c r="C1054" s="33" t="s">
        <v>11</v>
      </c>
      <c r="D1054" s="34" t="s">
        <v>1999</v>
      </c>
      <c r="E1054" s="35" t="str">
        <f t="shared" si="257"/>
        <v>PRBND'!</v>
      </c>
      <c r="F1054" s="34" t="str">
        <f t="shared" si="258"/>
        <v>C:\Users\jaime.benazar\Quorum Business Solutions\Ecopetrol Prometeo - Documents\Planning Space Implementation\3. Analysis &amp; Design\Design\FC22\DRR Jaime\QUIFA-CAJÚA\Cajua\[CAJUA_CF_SEC_New_27-Feb-2024Rev3.xlsx]D-PRBND'!</v>
      </c>
      <c r="G1054" s="32" t="s">
        <v>112</v>
      </c>
      <c r="H1054" s="33"/>
      <c r="I1054" s="33"/>
      <c r="J1054" s="37"/>
    </row>
    <row r="1055" spans="1:10" x14ac:dyDescent="0.25">
      <c r="A1055" s="32" t="s">
        <v>101</v>
      </c>
      <c r="B1055" s="32">
        <f t="shared" si="259"/>
        <v>2050</v>
      </c>
      <c r="C1055" s="33" t="s">
        <v>11</v>
      </c>
      <c r="D1055" s="34" t="s">
        <v>1999</v>
      </c>
      <c r="E1055" s="35" t="str">
        <f t="shared" si="257"/>
        <v>PRBND'!</v>
      </c>
      <c r="F1055" s="34" t="str">
        <f t="shared" si="258"/>
        <v>C:\Users\jaime.benazar\Quorum Business Solutions\Ecopetrol Prometeo - Documents\Planning Space Implementation\3. Analysis &amp; Design\Design\FC22\DRR Jaime\QUIFA-CAJÚA\Cajua\[CAJUA_CF_SEC_New_27-Feb-2024Rev3.xlsx]D-PRBND'!</v>
      </c>
      <c r="G1055" s="32" t="s">
        <v>112</v>
      </c>
      <c r="H1055" s="33"/>
      <c r="I1055" s="33"/>
      <c r="J1055" s="37"/>
    </row>
    <row r="1056" spans="1:10" x14ac:dyDescent="0.25">
      <c r="A1056" s="32" t="s">
        <v>101</v>
      </c>
      <c r="B1056" s="32">
        <f t="shared" si="259"/>
        <v>2051</v>
      </c>
      <c r="C1056" s="33" t="s">
        <v>11</v>
      </c>
      <c r="D1056" s="34" t="s">
        <v>1999</v>
      </c>
      <c r="E1056" s="35" t="str">
        <f t="shared" si="257"/>
        <v>PRBND'!</v>
      </c>
      <c r="F1056" s="34" t="str">
        <f t="shared" si="258"/>
        <v>C:\Users\jaime.benazar\Quorum Business Solutions\Ecopetrol Prometeo - Documents\Planning Space Implementation\3. Analysis &amp; Design\Design\FC22\DRR Jaime\QUIFA-CAJÚA\Cajua\[CAJUA_CF_SEC_New_27-Feb-2024Rev3.xlsx]D-PRBND'!</v>
      </c>
      <c r="G1056" s="32" t="s">
        <v>112</v>
      </c>
      <c r="H1056" s="33"/>
      <c r="I1056" s="33"/>
      <c r="J1056" s="37"/>
    </row>
    <row r="1057" spans="1:10" x14ac:dyDescent="0.25">
      <c r="A1057" s="32" t="s">
        <v>101</v>
      </c>
      <c r="B1057" s="32">
        <f t="shared" si="259"/>
        <v>2052</v>
      </c>
      <c r="C1057" s="33" t="s">
        <v>11</v>
      </c>
      <c r="D1057" s="34" t="s">
        <v>1999</v>
      </c>
      <c r="E1057" s="35" t="str">
        <f t="shared" si="257"/>
        <v>PRBND'!</v>
      </c>
      <c r="F1057" s="34" t="str">
        <f t="shared" si="258"/>
        <v>C:\Users\jaime.benazar\Quorum Business Solutions\Ecopetrol Prometeo - Documents\Planning Space Implementation\3. Analysis &amp; Design\Design\FC22\DRR Jaime\QUIFA-CAJÚA\Cajua\[CAJUA_CF_SEC_New_27-Feb-2024Rev3.xlsx]D-PRBND'!</v>
      </c>
      <c r="G1057" s="32" t="s">
        <v>112</v>
      </c>
      <c r="H1057" s="33"/>
      <c r="I1057" s="33"/>
      <c r="J1057" s="37"/>
    </row>
    <row r="1058" spans="1:10" x14ac:dyDescent="0.25">
      <c r="A1058" s="32" t="s">
        <v>101</v>
      </c>
      <c r="B1058" s="32">
        <f t="shared" si="259"/>
        <v>2053</v>
      </c>
      <c r="C1058" s="33" t="s">
        <v>11</v>
      </c>
      <c r="D1058" s="34" t="s">
        <v>1999</v>
      </c>
      <c r="E1058" s="35" t="str">
        <f t="shared" si="257"/>
        <v>PRBND'!</v>
      </c>
      <c r="F1058" s="34" t="str">
        <f t="shared" si="258"/>
        <v>C:\Users\jaime.benazar\Quorum Business Solutions\Ecopetrol Prometeo - Documents\Planning Space Implementation\3. Analysis &amp; Design\Design\FC22\DRR Jaime\QUIFA-CAJÚA\Cajua\[CAJUA_CF_SEC_New_27-Feb-2024Rev3.xlsx]D-PRBND'!</v>
      </c>
      <c r="G1058" s="32" t="s">
        <v>112</v>
      </c>
      <c r="H1058" s="33"/>
      <c r="I1058" s="33"/>
      <c r="J1058" s="37"/>
    </row>
    <row r="1059" spans="1:10" x14ac:dyDescent="0.25">
      <c r="A1059" s="32" t="s">
        <v>101</v>
      </c>
      <c r="B1059" s="32">
        <f t="shared" si="259"/>
        <v>2054</v>
      </c>
      <c r="C1059" s="33" t="s">
        <v>11</v>
      </c>
      <c r="D1059" s="34" t="s">
        <v>1999</v>
      </c>
      <c r="E1059" s="35" t="str">
        <f t="shared" si="257"/>
        <v>PRBND'!</v>
      </c>
      <c r="F1059" s="34" t="str">
        <f t="shared" si="258"/>
        <v>C:\Users\jaime.benazar\Quorum Business Solutions\Ecopetrol Prometeo - Documents\Planning Space Implementation\3. Analysis &amp; Design\Design\FC22\DRR Jaime\QUIFA-CAJÚA\Cajua\[CAJUA_CF_SEC_New_27-Feb-2024Rev3.xlsx]D-PRBND'!</v>
      </c>
      <c r="G1059" s="32" t="s">
        <v>112</v>
      </c>
      <c r="H1059" s="33"/>
      <c r="I1059" s="33"/>
      <c r="J1059" s="37"/>
    </row>
    <row r="1060" spans="1:10" x14ac:dyDescent="0.25">
      <c r="A1060" s="32" t="s">
        <v>101</v>
      </c>
      <c r="B1060" s="32">
        <f t="shared" si="259"/>
        <v>2055</v>
      </c>
      <c r="C1060" s="33" t="s">
        <v>11</v>
      </c>
      <c r="D1060" s="34" t="s">
        <v>1999</v>
      </c>
      <c r="E1060" s="35" t="str">
        <f t="shared" si="257"/>
        <v>PRBND'!</v>
      </c>
      <c r="F1060" s="34" t="str">
        <f t="shared" si="258"/>
        <v>C:\Users\jaime.benazar\Quorum Business Solutions\Ecopetrol Prometeo - Documents\Planning Space Implementation\3. Analysis &amp; Design\Design\FC22\DRR Jaime\QUIFA-CAJÚA\Cajua\[CAJUA_CF_SEC_New_27-Feb-2024Rev3.xlsx]D-PRBND'!</v>
      </c>
      <c r="G1060" s="32" t="s">
        <v>112</v>
      </c>
      <c r="H1060" s="33"/>
      <c r="I1060" s="33"/>
      <c r="J1060" s="37"/>
    </row>
    <row r="1061" spans="1:10" x14ac:dyDescent="0.25">
      <c r="A1061" s="32" t="s">
        <v>101</v>
      </c>
      <c r="B1061" s="32">
        <f t="shared" si="259"/>
        <v>2056</v>
      </c>
      <c r="C1061" s="33" t="s">
        <v>11</v>
      </c>
      <c r="D1061" s="34" t="s">
        <v>1999</v>
      </c>
      <c r="E1061" s="35" t="str">
        <f t="shared" si="257"/>
        <v>PRBND'!</v>
      </c>
      <c r="F1061" s="34" t="str">
        <f t="shared" si="258"/>
        <v>C:\Users\jaime.benazar\Quorum Business Solutions\Ecopetrol Prometeo - Documents\Planning Space Implementation\3. Analysis &amp; Design\Design\FC22\DRR Jaime\QUIFA-CAJÚA\Cajua\[CAJUA_CF_SEC_New_27-Feb-2024Rev3.xlsx]D-PRBND'!</v>
      </c>
      <c r="G1061" s="32" t="s">
        <v>112</v>
      </c>
      <c r="H1061" s="33"/>
      <c r="I1061" s="33"/>
      <c r="J1061" s="37"/>
    </row>
    <row r="1062" spans="1:10" x14ac:dyDescent="0.25">
      <c r="A1062" s="32" t="s">
        <v>101</v>
      </c>
      <c r="B1062" s="32">
        <f t="shared" si="259"/>
        <v>2057</v>
      </c>
      <c r="C1062" s="33" t="s">
        <v>11</v>
      </c>
      <c r="D1062" s="34" t="s">
        <v>1999</v>
      </c>
      <c r="E1062" s="35" t="str">
        <f t="shared" si="257"/>
        <v>PRBND'!</v>
      </c>
      <c r="F1062" s="34" t="str">
        <f t="shared" si="258"/>
        <v>C:\Users\jaime.benazar\Quorum Business Solutions\Ecopetrol Prometeo - Documents\Planning Space Implementation\3. Analysis &amp; Design\Design\FC22\DRR Jaime\QUIFA-CAJÚA\Cajua\[CAJUA_CF_SEC_New_27-Feb-2024Rev3.xlsx]D-PRBND'!</v>
      </c>
      <c r="G1062" s="32" t="s">
        <v>112</v>
      </c>
      <c r="H1062" s="33"/>
      <c r="I1062" s="33"/>
      <c r="J1062" s="37"/>
    </row>
    <row r="1063" spans="1:10" x14ac:dyDescent="0.25">
      <c r="A1063" s="32" t="s">
        <v>101</v>
      </c>
      <c r="B1063" s="32">
        <f t="shared" si="259"/>
        <v>2058</v>
      </c>
      <c r="C1063" s="33" t="s">
        <v>11</v>
      </c>
      <c r="D1063" s="34" t="s">
        <v>1999</v>
      </c>
      <c r="E1063" s="35" t="str">
        <f t="shared" si="257"/>
        <v>PRBND'!</v>
      </c>
      <c r="F1063" s="34" t="str">
        <f t="shared" si="258"/>
        <v>C:\Users\jaime.benazar\Quorum Business Solutions\Ecopetrol Prometeo - Documents\Planning Space Implementation\3. Analysis &amp; Design\Design\FC22\DRR Jaime\QUIFA-CAJÚA\Cajua\[CAJUA_CF_SEC_New_27-Feb-2024Rev3.xlsx]D-PRBND'!</v>
      </c>
      <c r="G1063" s="32" t="s">
        <v>112</v>
      </c>
      <c r="H1063" s="33"/>
      <c r="I1063" s="33"/>
      <c r="J1063" s="37"/>
    </row>
    <row r="1064" spans="1:10" x14ac:dyDescent="0.25">
      <c r="A1064" s="32" t="s">
        <v>101</v>
      </c>
      <c r="B1064" s="32">
        <f t="shared" si="259"/>
        <v>2059</v>
      </c>
      <c r="C1064" s="33" t="s">
        <v>11</v>
      </c>
      <c r="D1064" s="34" t="s">
        <v>1999</v>
      </c>
      <c r="E1064" s="35" t="str">
        <f t="shared" si="257"/>
        <v>PRBND'!</v>
      </c>
      <c r="F1064" s="34" t="str">
        <f t="shared" si="258"/>
        <v>C:\Users\jaime.benazar\Quorum Business Solutions\Ecopetrol Prometeo - Documents\Planning Space Implementation\3. Analysis &amp; Design\Design\FC22\DRR Jaime\QUIFA-CAJÚA\Cajua\[CAJUA_CF_SEC_New_27-Feb-2024Rev3.xlsx]D-PRBND'!</v>
      </c>
      <c r="G1064" s="32" t="s">
        <v>112</v>
      </c>
      <c r="H1064" s="33"/>
      <c r="I1064" s="33"/>
      <c r="J1064" s="37"/>
    </row>
    <row r="1065" spans="1:10" x14ac:dyDescent="0.25">
      <c r="A1065" s="32" t="s">
        <v>28</v>
      </c>
      <c r="B1065" s="32"/>
      <c r="C1065" s="33" t="s">
        <v>11</v>
      </c>
      <c r="D1065" s="34"/>
      <c r="E1065" s="35"/>
      <c r="F1065" s="34"/>
      <c r="G1065" s="32"/>
      <c r="H1065" s="33"/>
      <c r="I1065" s="33"/>
      <c r="J1065" s="33"/>
    </row>
    <row r="1066" spans="1:10" x14ac:dyDescent="0.25">
      <c r="A1066" s="32" t="s">
        <v>4</v>
      </c>
      <c r="B1066" s="32">
        <v>2023</v>
      </c>
      <c r="C1066" s="33" t="s">
        <v>11</v>
      </c>
      <c r="D1066" s="34" t="s">
        <v>1999</v>
      </c>
      <c r="E1066" s="35" t="str">
        <f t="shared" si="228"/>
        <v>PRB'!</v>
      </c>
      <c r="F1066" s="34" t="str">
        <f t="shared" si="229"/>
        <v>C:\Users\jaime.benazar\Quorum Business Solutions\Ecopetrol Prometeo - Documents\Planning Space Implementation\3. Analysis &amp; Design\Design\FC22\DRR Jaime\QUIFA-CAJÚA\Cajua\[CAJUA_CF_SEC_New_27-Feb-2024Rev3.xlsx]D-PRB'!</v>
      </c>
      <c r="G1066" s="32" t="s">
        <v>112</v>
      </c>
      <c r="H1066" s="33">
        <v>12</v>
      </c>
      <c r="I1066" s="33" t="str">
        <f t="shared" si="230"/>
        <v>='C:\Users\jaime.benazar\Quorum Business Solutions\Ecopetrol Prometeo - Documents\Planning Space Implementation\3. Analysis &amp; Design\Design\FC22\DRR Jaime\QUIFA-CAJÚA\Cajua\[CAJUA_CF_SEC_New_27-Feb-2024Rev3.xlsx]D-PRB'!$BZ$12</v>
      </c>
      <c r="J1066" s="37" t="s">
        <v>2481</v>
      </c>
    </row>
    <row r="1067" spans="1:10" x14ac:dyDescent="0.25">
      <c r="A1067" s="32" t="s">
        <v>4</v>
      </c>
      <c r="B1067" s="32">
        <f>+B1066+1</f>
        <v>2024</v>
      </c>
      <c r="C1067" s="33" t="s">
        <v>11</v>
      </c>
      <c r="D1067" s="34" t="s">
        <v>1999</v>
      </c>
      <c r="E1067" s="35" t="str">
        <f t="shared" si="228"/>
        <v>PRB'!</v>
      </c>
      <c r="F1067" s="34" t="str">
        <f t="shared" si="229"/>
        <v>C:\Users\jaime.benazar\Quorum Business Solutions\Ecopetrol Prometeo - Documents\Planning Space Implementation\3. Analysis &amp; Design\Design\FC22\DRR Jaime\QUIFA-CAJÚA\Cajua\[CAJUA_CF_SEC_New_27-Feb-2024Rev3.xlsx]D-PRB'!</v>
      </c>
      <c r="G1067" s="32" t="s">
        <v>112</v>
      </c>
      <c r="H1067" s="33">
        <f t="shared" ref="H1067:H1086" si="260">IF(A1067&lt;&gt;A1066,12,H1066+1)</f>
        <v>13</v>
      </c>
      <c r="I1067" s="33" t="str">
        <f t="shared" si="230"/>
        <v>='C:\Users\jaime.benazar\Quorum Business Solutions\Ecopetrol Prometeo - Documents\Planning Space Implementation\3. Analysis &amp; Design\Design\FC22\DRR Jaime\QUIFA-CAJÚA\Cajua\[CAJUA_CF_SEC_New_27-Feb-2024Rev3.xlsx]D-PRB'!$BZ$13</v>
      </c>
      <c r="J1067" s="37" t="s">
        <v>2482</v>
      </c>
    </row>
    <row r="1068" spans="1:10" x14ac:dyDescent="0.25">
      <c r="A1068" s="32" t="s">
        <v>4</v>
      </c>
      <c r="B1068" s="32">
        <f t="shared" ref="B1068:B1079" si="261">+B1067+1</f>
        <v>2025</v>
      </c>
      <c r="C1068" s="33" t="s">
        <v>11</v>
      </c>
      <c r="D1068" s="34" t="s">
        <v>1999</v>
      </c>
      <c r="E1068" s="35" t="str">
        <f t="shared" si="228"/>
        <v>PRB'!</v>
      </c>
      <c r="F1068" s="34" t="str">
        <f t="shared" si="229"/>
        <v>C:\Users\jaime.benazar\Quorum Business Solutions\Ecopetrol Prometeo - Documents\Planning Space Implementation\3. Analysis &amp; Design\Design\FC22\DRR Jaime\QUIFA-CAJÚA\Cajua\[CAJUA_CF_SEC_New_27-Feb-2024Rev3.xlsx]D-PRB'!</v>
      </c>
      <c r="G1068" s="32" t="s">
        <v>112</v>
      </c>
      <c r="H1068" s="33">
        <f t="shared" si="260"/>
        <v>14</v>
      </c>
      <c r="I1068" s="33" t="str">
        <f t="shared" si="230"/>
        <v>='C:\Users\jaime.benazar\Quorum Business Solutions\Ecopetrol Prometeo - Documents\Planning Space Implementation\3. Analysis &amp; Design\Design\FC22\DRR Jaime\QUIFA-CAJÚA\Cajua\[CAJUA_CF_SEC_New_27-Feb-2024Rev3.xlsx]D-PRB'!$BZ$14</v>
      </c>
      <c r="J1068" s="37" t="s">
        <v>2483</v>
      </c>
    </row>
    <row r="1069" spans="1:10" x14ac:dyDescent="0.25">
      <c r="A1069" s="32" t="s">
        <v>4</v>
      </c>
      <c r="B1069" s="32">
        <f t="shared" si="261"/>
        <v>2026</v>
      </c>
      <c r="C1069" s="33" t="s">
        <v>11</v>
      </c>
      <c r="D1069" s="34" t="s">
        <v>1999</v>
      </c>
      <c r="E1069" s="35" t="str">
        <f t="shared" si="228"/>
        <v>PRB'!</v>
      </c>
      <c r="F1069" s="34" t="str">
        <f t="shared" si="229"/>
        <v>C:\Users\jaime.benazar\Quorum Business Solutions\Ecopetrol Prometeo - Documents\Planning Space Implementation\3. Analysis &amp; Design\Design\FC22\DRR Jaime\QUIFA-CAJÚA\Cajua\[CAJUA_CF_SEC_New_27-Feb-2024Rev3.xlsx]D-PRB'!</v>
      </c>
      <c r="G1069" s="32" t="s">
        <v>112</v>
      </c>
      <c r="H1069" s="33">
        <f t="shared" si="260"/>
        <v>15</v>
      </c>
      <c r="I1069" s="33" t="str">
        <f t="shared" si="230"/>
        <v>='C:\Users\jaime.benazar\Quorum Business Solutions\Ecopetrol Prometeo - Documents\Planning Space Implementation\3. Analysis &amp; Design\Design\FC22\DRR Jaime\QUIFA-CAJÚA\Cajua\[CAJUA_CF_SEC_New_27-Feb-2024Rev3.xlsx]D-PRB'!$BZ$15</v>
      </c>
      <c r="J1069" s="37" t="s">
        <v>2484</v>
      </c>
    </row>
    <row r="1070" spans="1:10" x14ac:dyDescent="0.25">
      <c r="A1070" s="32" t="s">
        <v>4</v>
      </c>
      <c r="B1070" s="32">
        <f t="shared" si="261"/>
        <v>2027</v>
      </c>
      <c r="C1070" s="33" t="s">
        <v>11</v>
      </c>
      <c r="D1070" s="34" t="s">
        <v>1999</v>
      </c>
      <c r="E1070" s="35" t="str">
        <f t="shared" si="228"/>
        <v>PRB'!</v>
      </c>
      <c r="F1070" s="34" t="str">
        <f t="shared" si="229"/>
        <v>C:\Users\jaime.benazar\Quorum Business Solutions\Ecopetrol Prometeo - Documents\Planning Space Implementation\3. Analysis &amp; Design\Design\FC22\DRR Jaime\QUIFA-CAJÚA\Cajua\[CAJUA_CF_SEC_New_27-Feb-2024Rev3.xlsx]D-PRB'!</v>
      </c>
      <c r="G1070" s="32" t="s">
        <v>112</v>
      </c>
      <c r="H1070" s="33">
        <f t="shared" si="260"/>
        <v>16</v>
      </c>
      <c r="I1070" s="33" t="str">
        <f t="shared" si="230"/>
        <v>='C:\Users\jaime.benazar\Quorum Business Solutions\Ecopetrol Prometeo - Documents\Planning Space Implementation\3. Analysis &amp; Design\Design\FC22\DRR Jaime\QUIFA-CAJÚA\Cajua\[CAJUA_CF_SEC_New_27-Feb-2024Rev3.xlsx]D-PRB'!$BZ$16</v>
      </c>
      <c r="J1070" s="37" t="s">
        <v>2485</v>
      </c>
    </row>
    <row r="1071" spans="1:10" x14ac:dyDescent="0.25">
      <c r="A1071" s="32" t="s">
        <v>4</v>
      </c>
      <c r="B1071" s="32">
        <f t="shared" si="261"/>
        <v>2028</v>
      </c>
      <c r="C1071" s="33" t="s">
        <v>11</v>
      </c>
      <c r="D1071" s="34" t="s">
        <v>1999</v>
      </c>
      <c r="E1071" s="35" t="str">
        <f t="shared" si="228"/>
        <v>PRB'!</v>
      </c>
      <c r="F1071" s="34" t="str">
        <f t="shared" si="229"/>
        <v>C:\Users\jaime.benazar\Quorum Business Solutions\Ecopetrol Prometeo - Documents\Planning Space Implementation\3. Analysis &amp; Design\Design\FC22\DRR Jaime\QUIFA-CAJÚA\Cajua\[CAJUA_CF_SEC_New_27-Feb-2024Rev3.xlsx]D-PRB'!</v>
      </c>
      <c r="G1071" s="32" t="s">
        <v>112</v>
      </c>
      <c r="H1071" s="33">
        <f t="shared" si="260"/>
        <v>17</v>
      </c>
      <c r="I1071" s="33" t="str">
        <f t="shared" si="230"/>
        <v>='C:\Users\jaime.benazar\Quorum Business Solutions\Ecopetrol Prometeo - Documents\Planning Space Implementation\3. Analysis &amp; Design\Design\FC22\DRR Jaime\QUIFA-CAJÚA\Cajua\[CAJUA_CF_SEC_New_27-Feb-2024Rev3.xlsx]D-PRB'!$BZ$17</v>
      </c>
      <c r="J1071" s="37" t="s">
        <v>2486</v>
      </c>
    </row>
    <row r="1072" spans="1:10" x14ac:dyDescent="0.25">
      <c r="A1072" s="32" t="s">
        <v>4</v>
      </c>
      <c r="B1072" s="32">
        <f t="shared" si="261"/>
        <v>2029</v>
      </c>
      <c r="C1072" s="33" t="s">
        <v>11</v>
      </c>
      <c r="D1072" s="34" t="s">
        <v>1999</v>
      </c>
      <c r="E1072" s="35" t="str">
        <f t="shared" si="228"/>
        <v>PRB'!</v>
      </c>
      <c r="F1072" s="34" t="str">
        <f t="shared" si="229"/>
        <v>C:\Users\jaime.benazar\Quorum Business Solutions\Ecopetrol Prometeo - Documents\Planning Space Implementation\3. Analysis &amp; Design\Design\FC22\DRR Jaime\QUIFA-CAJÚA\Cajua\[CAJUA_CF_SEC_New_27-Feb-2024Rev3.xlsx]D-PRB'!</v>
      </c>
      <c r="G1072" s="32" t="s">
        <v>112</v>
      </c>
      <c r="H1072" s="33">
        <f t="shared" si="260"/>
        <v>18</v>
      </c>
      <c r="I1072" s="33" t="str">
        <f t="shared" si="230"/>
        <v>='C:\Users\jaime.benazar\Quorum Business Solutions\Ecopetrol Prometeo - Documents\Planning Space Implementation\3. Analysis &amp; Design\Design\FC22\DRR Jaime\QUIFA-CAJÚA\Cajua\[CAJUA_CF_SEC_New_27-Feb-2024Rev3.xlsx]D-PRB'!$BZ$18</v>
      </c>
      <c r="J1072" s="37" t="s">
        <v>2487</v>
      </c>
    </row>
    <row r="1073" spans="1:10" x14ac:dyDescent="0.25">
      <c r="A1073" s="32" t="s">
        <v>4</v>
      </c>
      <c r="B1073" s="32">
        <f t="shared" si="261"/>
        <v>2030</v>
      </c>
      <c r="C1073" s="33" t="s">
        <v>11</v>
      </c>
      <c r="D1073" s="34" t="s">
        <v>1999</v>
      </c>
      <c r="E1073" s="35" t="str">
        <f t="shared" si="228"/>
        <v>PRB'!</v>
      </c>
      <c r="F1073" s="34" t="str">
        <f t="shared" si="229"/>
        <v>C:\Users\jaime.benazar\Quorum Business Solutions\Ecopetrol Prometeo - Documents\Planning Space Implementation\3. Analysis &amp; Design\Design\FC22\DRR Jaime\QUIFA-CAJÚA\Cajua\[CAJUA_CF_SEC_New_27-Feb-2024Rev3.xlsx]D-PRB'!</v>
      </c>
      <c r="G1073" s="32" t="s">
        <v>112</v>
      </c>
      <c r="H1073" s="33">
        <f t="shared" si="260"/>
        <v>19</v>
      </c>
      <c r="I1073" s="33" t="str">
        <f t="shared" si="230"/>
        <v>='C:\Users\jaime.benazar\Quorum Business Solutions\Ecopetrol Prometeo - Documents\Planning Space Implementation\3. Analysis &amp; Design\Design\FC22\DRR Jaime\QUIFA-CAJÚA\Cajua\[CAJUA_CF_SEC_New_27-Feb-2024Rev3.xlsx]D-PRB'!$BZ$19</v>
      </c>
      <c r="J1073" s="37" t="s">
        <v>2488</v>
      </c>
    </row>
    <row r="1074" spans="1:10" x14ac:dyDescent="0.25">
      <c r="A1074" s="32" t="s">
        <v>4</v>
      </c>
      <c r="B1074" s="32">
        <f t="shared" si="261"/>
        <v>2031</v>
      </c>
      <c r="C1074" s="33" t="s">
        <v>11</v>
      </c>
      <c r="D1074" s="34" t="s">
        <v>1999</v>
      </c>
      <c r="E1074" s="35" t="str">
        <f t="shared" si="228"/>
        <v>PRB'!</v>
      </c>
      <c r="F1074" s="34" t="str">
        <f t="shared" si="229"/>
        <v>C:\Users\jaime.benazar\Quorum Business Solutions\Ecopetrol Prometeo - Documents\Planning Space Implementation\3. Analysis &amp; Design\Design\FC22\DRR Jaime\QUIFA-CAJÚA\Cajua\[CAJUA_CF_SEC_New_27-Feb-2024Rev3.xlsx]D-PRB'!</v>
      </c>
      <c r="G1074" s="32" t="s">
        <v>112</v>
      </c>
      <c r="H1074" s="33">
        <f t="shared" si="260"/>
        <v>20</v>
      </c>
      <c r="I1074" s="33" t="str">
        <f t="shared" si="230"/>
        <v>='C:\Users\jaime.benazar\Quorum Business Solutions\Ecopetrol Prometeo - Documents\Planning Space Implementation\3. Analysis &amp; Design\Design\FC22\DRR Jaime\QUIFA-CAJÚA\Cajua\[CAJUA_CF_SEC_New_27-Feb-2024Rev3.xlsx]D-PRB'!$BZ$20</v>
      </c>
      <c r="J1074" s="37" t="s">
        <v>2489</v>
      </c>
    </row>
    <row r="1075" spans="1:10" x14ac:dyDescent="0.25">
      <c r="A1075" s="32" t="s">
        <v>4</v>
      </c>
      <c r="B1075" s="32">
        <f t="shared" si="261"/>
        <v>2032</v>
      </c>
      <c r="C1075" s="33" t="s">
        <v>11</v>
      </c>
      <c r="D1075" s="34" t="s">
        <v>1999</v>
      </c>
      <c r="E1075" s="35" t="str">
        <f t="shared" si="228"/>
        <v>PRB'!</v>
      </c>
      <c r="F1075" s="34" t="str">
        <f t="shared" si="229"/>
        <v>C:\Users\jaime.benazar\Quorum Business Solutions\Ecopetrol Prometeo - Documents\Planning Space Implementation\3. Analysis &amp; Design\Design\FC22\DRR Jaime\QUIFA-CAJÚA\Cajua\[CAJUA_CF_SEC_New_27-Feb-2024Rev3.xlsx]D-PRB'!</v>
      </c>
      <c r="G1075" s="32" t="s">
        <v>112</v>
      </c>
      <c r="H1075" s="33">
        <f t="shared" si="260"/>
        <v>21</v>
      </c>
      <c r="I1075" s="33" t="str">
        <f t="shared" si="230"/>
        <v>='C:\Users\jaime.benazar\Quorum Business Solutions\Ecopetrol Prometeo - Documents\Planning Space Implementation\3. Analysis &amp; Design\Design\FC22\DRR Jaime\QUIFA-CAJÚA\Cajua\[CAJUA_CF_SEC_New_27-Feb-2024Rev3.xlsx]D-PRB'!$BZ$21</v>
      </c>
      <c r="J1075" s="37" t="s">
        <v>2490</v>
      </c>
    </row>
    <row r="1076" spans="1:10" x14ac:dyDescent="0.25">
      <c r="A1076" s="32" t="s">
        <v>4</v>
      </c>
      <c r="B1076" s="32">
        <f t="shared" si="261"/>
        <v>2033</v>
      </c>
      <c r="C1076" s="33" t="s">
        <v>11</v>
      </c>
      <c r="D1076" s="34" t="s">
        <v>1999</v>
      </c>
      <c r="E1076" s="35" t="str">
        <f t="shared" si="228"/>
        <v>PRB'!</v>
      </c>
      <c r="F1076" s="34" t="str">
        <f t="shared" si="229"/>
        <v>C:\Users\jaime.benazar\Quorum Business Solutions\Ecopetrol Prometeo - Documents\Planning Space Implementation\3. Analysis &amp; Design\Design\FC22\DRR Jaime\QUIFA-CAJÚA\Cajua\[CAJUA_CF_SEC_New_27-Feb-2024Rev3.xlsx]D-PRB'!</v>
      </c>
      <c r="G1076" s="32" t="s">
        <v>112</v>
      </c>
      <c r="H1076" s="33">
        <f t="shared" si="260"/>
        <v>22</v>
      </c>
      <c r="I1076" s="33" t="str">
        <f t="shared" si="230"/>
        <v>='C:\Users\jaime.benazar\Quorum Business Solutions\Ecopetrol Prometeo - Documents\Planning Space Implementation\3. Analysis &amp; Design\Design\FC22\DRR Jaime\QUIFA-CAJÚA\Cajua\[CAJUA_CF_SEC_New_27-Feb-2024Rev3.xlsx]D-PRB'!$BZ$22</v>
      </c>
      <c r="J1076" s="37" t="s">
        <v>2491</v>
      </c>
    </row>
    <row r="1077" spans="1:10" x14ac:dyDescent="0.25">
      <c r="A1077" s="32" t="s">
        <v>4</v>
      </c>
      <c r="B1077" s="32">
        <f t="shared" si="261"/>
        <v>2034</v>
      </c>
      <c r="C1077" s="33" t="s">
        <v>11</v>
      </c>
      <c r="D1077" s="34" t="s">
        <v>1999</v>
      </c>
      <c r="E1077" s="35" t="str">
        <f t="shared" si="228"/>
        <v>PRB'!</v>
      </c>
      <c r="F1077" s="34" t="str">
        <f t="shared" si="229"/>
        <v>C:\Users\jaime.benazar\Quorum Business Solutions\Ecopetrol Prometeo - Documents\Planning Space Implementation\3. Analysis &amp; Design\Design\FC22\DRR Jaime\QUIFA-CAJÚA\Cajua\[CAJUA_CF_SEC_New_27-Feb-2024Rev3.xlsx]D-PRB'!</v>
      </c>
      <c r="G1077" s="32" t="s">
        <v>112</v>
      </c>
      <c r="H1077" s="33">
        <f t="shared" si="260"/>
        <v>23</v>
      </c>
      <c r="I1077" s="33" t="str">
        <f t="shared" si="230"/>
        <v>='C:\Users\jaime.benazar\Quorum Business Solutions\Ecopetrol Prometeo - Documents\Planning Space Implementation\3. Analysis &amp; Design\Design\FC22\DRR Jaime\QUIFA-CAJÚA\Cajua\[CAJUA_CF_SEC_New_27-Feb-2024Rev3.xlsx]D-PRB'!$BZ$23</v>
      </c>
      <c r="J1077" s="37" t="s">
        <v>2492</v>
      </c>
    </row>
    <row r="1078" spans="1:10" x14ac:dyDescent="0.25">
      <c r="A1078" s="32" t="s">
        <v>4</v>
      </c>
      <c r="B1078" s="32">
        <f t="shared" si="261"/>
        <v>2035</v>
      </c>
      <c r="C1078" s="33" t="s">
        <v>11</v>
      </c>
      <c r="D1078" s="34" t="s">
        <v>1999</v>
      </c>
      <c r="E1078" s="35" t="str">
        <f t="shared" si="228"/>
        <v>PRB'!</v>
      </c>
      <c r="F1078" s="34" t="str">
        <f t="shared" si="229"/>
        <v>C:\Users\jaime.benazar\Quorum Business Solutions\Ecopetrol Prometeo - Documents\Planning Space Implementation\3. Analysis &amp; Design\Design\FC22\DRR Jaime\QUIFA-CAJÚA\Cajua\[CAJUA_CF_SEC_New_27-Feb-2024Rev3.xlsx]D-PRB'!</v>
      </c>
      <c r="G1078" s="32" t="s">
        <v>112</v>
      </c>
      <c r="H1078" s="33">
        <f t="shared" si="260"/>
        <v>24</v>
      </c>
      <c r="I1078" s="33" t="str">
        <f t="shared" si="230"/>
        <v>='C:\Users\jaime.benazar\Quorum Business Solutions\Ecopetrol Prometeo - Documents\Planning Space Implementation\3. Analysis &amp; Design\Design\FC22\DRR Jaime\QUIFA-CAJÚA\Cajua\[CAJUA_CF_SEC_New_27-Feb-2024Rev3.xlsx]D-PRB'!$BZ$24</v>
      </c>
      <c r="J1078" s="37" t="s">
        <v>2493</v>
      </c>
    </row>
    <row r="1079" spans="1:10" x14ac:dyDescent="0.25">
      <c r="A1079" s="32" t="s">
        <v>4</v>
      </c>
      <c r="B1079" s="32">
        <f t="shared" si="261"/>
        <v>2036</v>
      </c>
      <c r="C1079" s="33" t="s">
        <v>11</v>
      </c>
      <c r="D1079" s="34" t="s">
        <v>1999</v>
      </c>
      <c r="E1079" s="35" t="str">
        <f t="shared" si="228"/>
        <v>PRB'!</v>
      </c>
      <c r="F1079" s="34" t="str">
        <f t="shared" si="229"/>
        <v>C:\Users\jaime.benazar\Quorum Business Solutions\Ecopetrol Prometeo - Documents\Planning Space Implementation\3. Analysis &amp; Design\Design\FC22\DRR Jaime\QUIFA-CAJÚA\Cajua\[CAJUA_CF_SEC_New_27-Feb-2024Rev3.xlsx]D-PRB'!</v>
      </c>
      <c r="G1079" s="32" t="s">
        <v>112</v>
      </c>
      <c r="H1079" s="33">
        <f t="shared" si="260"/>
        <v>25</v>
      </c>
      <c r="I1079" s="33" t="str">
        <f t="shared" si="230"/>
        <v>='C:\Users\jaime.benazar\Quorum Business Solutions\Ecopetrol Prometeo - Documents\Planning Space Implementation\3. Analysis &amp; Design\Design\FC22\DRR Jaime\QUIFA-CAJÚA\Cajua\[CAJUA_CF_SEC_New_27-Feb-2024Rev3.xlsx]D-PRB'!$BZ$25</v>
      </c>
      <c r="J1079" s="37" t="s">
        <v>2494</v>
      </c>
    </row>
    <row r="1080" spans="1:10" x14ac:dyDescent="0.25">
      <c r="A1080" s="32" t="s">
        <v>4</v>
      </c>
      <c r="B1080" s="32">
        <f>+B1079+1</f>
        <v>2037</v>
      </c>
      <c r="C1080" s="33" t="s">
        <v>11</v>
      </c>
      <c r="D1080" s="34" t="s">
        <v>1999</v>
      </c>
      <c r="E1080" s="35" t="str">
        <f t="shared" si="228"/>
        <v>PRB'!</v>
      </c>
      <c r="F1080" s="34" t="str">
        <f t="shared" si="229"/>
        <v>C:\Users\jaime.benazar\Quorum Business Solutions\Ecopetrol Prometeo - Documents\Planning Space Implementation\3. Analysis &amp; Design\Design\FC22\DRR Jaime\QUIFA-CAJÚA\Cajua\[CAJUA_CF_SEC_New_27-Feb-2024Rev3.xlsx]D-PRB'!</v>
      </c>
      <c r="G1080" s="32" t="s">
        <v>112</v>
      </c>
      <c r="H1080" s="33">
        <f t="shared" si="260"/>
        <v>26</v>
      </c>
      <c r="I1080" s="33" t="str">
        <f t="shared" si="230"/>
        <v>='C:\Users\jaime.benazar\Quorum Business Solutions\Ecopetrol Prometeo - Documents\Planning Space Implementation\3. Analysis &amp; Design\Design\FC22\DRR Jaime\QUIFA-CAJÚA\Cajua\[CAJUA_CF_SEC_New_27-Feb-2024Rev3.xlsx]D-PRB'!$BZ$26</v>
      </c>
      <c r="J1080" s="37" t="s">
        <v>2495</v>
      </c>
    </row>
    <row r="1081" spans="1:10" x14ac:dyDescent="0.25">
      <c r="A1081" s="32" t="s">
        <v>4</v>
      </c>
      <c r="B1081" s="32">
        <f t="shared" ref="B1081:B1083" si="262">+B1080+1</f>
        <v>2038</v>
      </c>
      <c r="C1081" s="33" t="s">
        <v>11</v>
      </c>
      <c r="D1081" s="34" t="s">
        <v>1999</v>
      </c>
      <c r="E1081" s="35" t="str">
        <f t="shared" si="228"/>
        <v>PRB'!</v>
      </c>
      <c r="F1081" s="34" t="str">
        <f t="shared" si="229"/>
        <v>C:\Users\jaime.benazar\Quorum Business Solutions\Ecopetrol Prometeo - Documents\Planning Space Implementation\3. Analysis &amp; Design\Design\FC22\DRR Jaime\QUIFA-CAJÚA\Cajua\[CAJUA_CF_SEC_New_27-Feb-2024Rev3.xlsx]D-PRB'!</v>
      </c>
      <c r="G1081" s="32" t="s">
        <v>112</v>
      </c>
      <c r="H1081" s="33">
        <f t="shared" si="260"/>
        <v>27</v>
      </c>
      <c r="I1081" s="33" t="str">
        <f t="shared" si="230"/>
        <v>='C:\Users\jaime.benazar\Quorum Business Solutions\Ecopetrol Prometeo - Documents\Planning Space Implementation\3. Analysis &amp; Design\Design\FC22\DRR Jaime\QUIFA-CAJÚA\Cajua\[CAJUA_CF_SEC_New_27-Feb-2024Rev3.xlsx]D-PRB'!$BZ$27</v>
      </c>
      <c r="J1081" s="37" t="s">
        <v>2496</v>
      </c>
    </row>
    <row r="1082" spans="1:10" x14ac:dyDescent="0.25">
      <c r="A1082" s="32" t="s">
        <v>4</v>
      </c>
      <c r="B1082" s="32">
        <f t="shared" si="262"/>
        <v>2039</v>
      </c>
      <c r="C1082" s="33" t="s">
        <v>11</v>
      </c>
      <c r="D1082" s="34" t="s">
        <v>1999</v>
      </c>
      <c r="E1082" s="35" t="str">
        <f t="shared" si="228"/>
        <v>PRB'!</v>
      </c>
      <c r="F1082" s="34" t="str">
        <f t="shared" si="229"/>
        <v>C:\Users\jaime.benazar\Quorum Business Solutions\Ecopetrol Prometeo - Documents\Planning Space Implementation\3. Analysis &amp; Design\Design\FC22\DRR Jaime\QUIFA-CAJÚA\Cajua\[CAJUA_CF_SEC_New_27-Feb-2024Rev3.xlsx]D-PRB'!</v>
      </c>
      <c r="G1082" s="32" t="s">
        <v>112</v>
      </c>
      <c r="H1082" s="33">
        <f t="shared" si="260"/>
        <v>28</v>
      </c>
      <c r="I1082" s="33" t="str">
        <f t="shared" si="230"/>
        <v>='C:\Users\jaime.benazar\Quorum Business Solutions\Ecopetrol Prometeo - Documents\Planning Space Implementation\3. Analysis &amp; Design\Design\FC22\DRR Jaime\QUIFA-CAJÚA\Cajua\[CAJUA_CF_SEC_New_27-Feb-2024Rev3.xlsx]D-PRB'!$BZ$28</v>
      </c>
      <c r="J1082" s="37" t="s">
        <v>2497</v>
      </c>
    </row>
    <row r="1083" spans="1:10" x14ac:dyDescent="0.25">
      <c r="A1083" s="32" t="s">
        <v>4</v>
      </c>
      <c r="B1083" s="32">
        <f t="shared" si="262"/>
        <v>2040</v>
      </c>
      <c r="C1083" s="33" t="s">
        <v>11</v>
      </c>
      <c r="D1083" s="34" t="s">
        <v>1999</v>
      </c>
      <c r="E1083" s="35" t="str">
        <f t="shared" si="228"/>
        <v>PRB'!</v>
      </c>
      <c r="F1083" s="34" t="str">
        <f t="shared" si="229"/>
        <v>C:\Users\jaime.benazar\Quorum Business Solutions\Ecopetrol Prometeo - Documents\Planning Space Implementation\3. Analysis &amp; Design\Design\FC22\DRR Jaime\QUIFA-CAJÚA\Cajua\[CAJUA_CF_SEC_New_27-Feb-2024Rev3.xlsx]D-PRB'!</v>
      </c>
      <c r="G1083" s="32" t="s">
        <v>112</v>
      </c>
      <c r="H1083" s="33">
        <f t="shared" si="260"/>
        <v>29</v>
      </c>
      <c r="I1083" s="33" t="str">
        <f t="shared" si="230"/>
        <v>='C:\Users\jaime.benazar\Quorum Business Solutions\Ecopetrol Prometeo - Documents\Planning Space Implementation\3. Analysis &amp; Design\Design\FC22\DRR Jaime\QUIFA-CAJÚA\Cajua\[CAJUA_CF_SEC_New_27-Feb-2024Rev3.xlsx]D-PRB'!$BZ$29</v>
      </c>
      <c r="J1083" s="37" t="s">
        <v>2498</v>
      </c>
    </row>
    <row r="1084" spans="1:10" x14ac:dyDescent="0.25">
      <c r="A1084" s="32" t="s">
        <v>4</v>
      </c>
      <c r="B1084" s="32">
        <f>+B1083+1</f>
        <v>2041</v>
      </c>
      <c r="C1084" s="33" t="s">
        <v>11</v>
      </c>
      <c r="D1084" s="34" t="s">
        <v>1999</v>
      </c>
      <c r="E1084" s="35" t="str">
        <f t="shared" si="228"/>
        <v>PRB'!</v>
      </c>
      <c r="F1084" s="34" t="str">
        <f t="shared" si="229"/>
        <v>C:\Users\jaime.benazar\Quorum Business Solutions\Ecopetrol Prometeo - Documents\Planning Space Implementation\3. Analysis &amp; Design\Design\FC22\DRR Jaime\QUIFA-CAJÚA\Cajua\[CAJUA_CF_SEC_New_27-Feb-2024Rev3.xlsx]D-PRB'!</v>
      </c>
      <c r="G1084" s="32" t="s">
        <v>112</v>
      </c>
      <c r="H1084" s="33">
        <f t="shared" si="260"/>
        <v>30</v>
      </c>
      <c r="I1084" s="33" t="str">
        <f t="shared" si="230"/>
        <v>='C:\Users\jaime.benazar\Quorum Business Solutions\Ecopetrol Prometeo - Documents\Planning Space Implementation\3. Analysis &amp; Design\Design\FC22\DRR Jaime\QUIFA-CAJÚA\Cajua\[CAJUA_CF_SEC_New_27-Feb-2024Rev3.xlsx]D-PRB'!$BZ$30</v>
      </c>
      <c r="J1084" s="37" t="s">
        <v>2499</v>
      </c>
    </row>
    <row r="1085" spans="1:10" x14ac:dyDescent="0.25">
      <c r="A1085" s="32" t="s">
        <v>4</v>
      </c>
      <c r="B1085" s="32">
        <f t="shared" ref="B1085:B1086" si="263">+B1084+1</f>
        <v>2042</v>
      </c>
      <c r="C1085" s="33" t="s">
        <v>11</v>
      </c>
      <c r="D1085" s="34" t="s">
        <v>1999</v>
      </c>
      <c r="E1085" s="35" t="str">
        <f t="shared" si="228"/>
        <v>PRB'!</v>
      </c>
      <c r="F1085" s="34" t="str">
        <f t="shared" si="229"/>
        <v>C:\Users\jaime.benazar\Quorum Business Solutions\Ecopetrol Prometeo - Documents\Planning Space Implementation\3. Analysis &amp; Design\Design\FC22\DRR Jaime\QUIFA-CAJÚA\Cajua\[CAJUA_CF_SEC_New_27-Feb-2024Rev3.xlsx]D-PRB'!</v>
      </c>
      <c r="G1085" s="32" t="s">
        <v>112</v>
      </c>
      <c r="H1085" s="33">
        <f t="shared" si="260"/>
        <v>31</v>
      </c>
      <c r="I1085" s="33" t="str">
        <f t="shared" si="230"/>
        <v>='C:\Users\jaime.benazar\Quorum Business Solutions\Ecopetrol Prometeo - Documents\Planning Space Implementation\3. Analysis &amp; Design\Design\FC22\DRR Jaime\QUIFA-CAJÚA\Cajua\[CAJUA_CF_SEC_New_27-Feb-2024Rev3.xlsx]D-PRB'!$BZ$31</v>
      </c>
      <c r="J1085" s="37" t="s">
        <v>2500</v>
      </c>
    </row>
    <row r="1086" spans="1:10" x14ac:dyDescent="0.25">
      <c r="A1086" s="32" t="s">
        <v>4</v>
      </c>
      <c r="B1086" s="32">
        <f t="shared" si="263"/>
        <v>2043</v>
      </c>
      <c r="C1086" s="33" t="s">
        <v>11</v>
      </c>
      <c r="D1086" s="34" t="s">
        <v>1999</v>
      </c>
      <c r="E1086" s="35" t="str">
        <f t="shared" si="228"/>
        <v>PRB'!</v>
      </c>
      <c r="F1086" s="34" t="str">
        <f t="shared" si="229"/>
        <v>C:\Users\jaime.benazar\Quorum Business Solutions\Ecopetrol Prometeo - Documents\Planning Space Implementation\3. Analysis &amp; Design\Design\FC22\DRR Jaime\QUIFA-CAJÚA\Cajua\[CAJUA_CF_SEC_New_27-Feb-2024Rev3.xlsx]D-PRB'!</v>
      </c>
      <c r="G1086" s="32" t="s">
        <v>112</v>
      </c>
      <c r="H1086" s="33">
        <f t="shared" si="260"/>
        <v>32</v>
      </c>
      <c r="I1086" s="33" t="str">
        <f t="shared" si="230"/>
        <v>='C:\Users\jaime.benazar\Quorum Business Solutions\Ecopetrol Prometeo - Documents\Planning Space Implementation\3. Analysis &amp; Design\Design\FC22\DRR Jaime\QUIFA-CAJÚA\Cajua\[CAJUA_CF_SEC_New_27-Feb-2024Rev3.xlsx]D-PRB'!$BZ$32</v>
      </c>
      <c r="J1086" s="37" t="s">
        <v>2501</v>
      </c>
    </row>
    <row r="1087" spans="1:10" x14ac:dyDescent="0.25">
      <c r="A1087" s="32" t="s">
        <v>4</v>
      </c>
      <c r="B1087" s="32">
        <f>+B1086+1</f>
        <v>2044</v>
      </c>
      <c r="C1087" s="33" t="s">
        <v>11</v>
      </c>
      <c r="D1087" s="34" t="s">
        <v>1999</v>
      </c>
      <c r="E1087" s="35" t="str">
        <f t="shared" ref="E1087:E1102" si="264">_xlfn.CONCAT(A1087,"'!")</f>
        <v>PRB'!</v>
      </c>
      <c r="F1087" s="34" t="str">
        <f t="shared" ref="F1087:F1102" si="265">_xlfn.CONCAT(D1087:E1087)</f>
        <v>C:\Users\jaime.benazar\Quorum Business Solutions\Ecopetrol Prometeo - Documents\Planning Space Implementation\3. Analysis &amp; Design\Design\FC22\DRR Jaime\QUIFA-CAJÚA\Cajua\[CAJUA_CF_SEC_New_27-Feb-2024Rev3.xlsx]D-PRB'!</v>
      </c>
      <c r="G1087" s="32" t="s">
        <v>112</v>
      </c>
      <c r="H1087" s="33">
        <f t="shared" ref="H1087:H1102" si="266">IF(A1087&lt;&gt;A1086,12,H1086+1)</f>
        <v>33</v>
      </c>
      <c r="I1087" s="33" t="str">
        <f t="shared" ref="I1087:I1102" si="267">_xlfn.CONCAT("='",F1087:H1087)</f>
        <v>='C:\Users\jaime.benazar\Quorum Business Solutions\Ecopetrol Prometeo - Documents\Planning Space Implementation\3. Analysis &amp; Design\Design\FC22\DRR Jaime\QUIFA-CAJÚA\Cajua\[CAJUA_CF_SEC_New_27-Feb-2024Rev3.xlsx]D-PRB'!$BZ$33</v>
      </c>
      <c r="J1087" s="37" t="s">
        <v>2502</v>
      </c>
    </row>
    <row r="1088" spans="1:10" x14ac:dyDescent="0.25">
      <c r="A1088" s="32" t="s">
        <v>4</v>
      </c>
      <c r="B1088" s="32">
        <f t="shared" ref="B1088:B1102" si="268">+B1087+1</f>
        <v>2045</v>
      </c>
      <c r="C1088" s="33" t="s">
        <v>11</v>
      </c>
      <c r="D1088" s="34" t="s">
        <v>1999</v>
      </c>
      <c r="E1088" s="35" t="str">
        <f t="shared" si="264"/>
        <v>PRB'!</v>
      </c>
      <c r="F1088" s="34" t="str">
        <f t="shared" si="265"/>
        <v>C:\Users\jaime.benazar\Quorum Business Solutions\Ecopetrol Prometeo - Documents\Planning Space Implementation\3. Analysis &amp; Design\Design\FC22\DRR Jaime\QUIFA-CAJÚA\Cajua\[CAJUA_CF_SEC_New_27-Feb-2024Rev3.xlsx]D-PRB'!</v>
      </c>
      <c r="G1088" s="32" t="s">
        <v>112</v>
      </c>
      <c r="H1088" s="33">
        <f t="shared" si="266"/>
        <v>34</v>
      </c>
      <c r="I1088" s="33" t="str">
        <f t="shared" si="267"/>
        <v>='C:\Users\jaime.benazar\Quorum Business Solutions\Ecopetrol Prometeo - Documents\Planning Space Implementation\3. Analysis &amp; Design\Design\FC22\DRR Jaime\QUIFA-CAJÚA\Cajua\[CAJUA_CF_SEC_New_27-Feb-2024Rev3.xlsx]D-PRB'!$BZ$34</v>
      </c>
      <c r="J1088" s="37" t="s">
        <v>2503</v>
      </c>
    </row>
    <row r="1089" spans="1:10" x14ac:dyDescent="0.25">
      <c r="A1089" s="32" t="s">
        <v>4</v>
      </c>
      <c r="B1089" s="32">
        <f t="shared" si="268"/>
        <v>2046</v>
      </c>
      <c r="C1089" s="33" t="s">
        <v>11</v>
      </c>
      <c r="D1089" s="34" t="s">
        <v>1999</v>
      </c>
      <c r="E1089" s="35" t="str">
        <f t="shared" si="264"/>
        <v>PRB'!</v>
      </c>
      <c r="F1089" s="34" t="str">
        <f t="shared" si="265"/>
        <v>C:\Users\jaime.benazar\Quorum Business Solutions\Ecopetrol Prometeo - Documents\Planning Space Implementation\3. Analysis &amp; Design\Design\FC22\DRR Jaime\QUIFA-CAJÚA\Cajua\[CAJUA_CF_SEC_New_27-Feb-2024Rev3.xlsx]D-PRB'!</v>
      </c>
      <c r="G1089" s="32" t="s">
        <v>112</v>
      </c>
      <c r="H1089" s="33">
        <f t="shared" si="266"/>
        <v>35</v>
      </c>
      <c r="I1089" s="33" t="str">
        <f t="shared" si="267"/>
        <v>='C:\Users\jaime.benazar\Quorum Business Solutions\Ecopetrol Prometeo - Documents\Planning Space Implementation\3. Analysis &amp; Design\Design\FC22\DRR Jaime\QUIFA-CAJÚA\Cajua\[CAJUA_CF_SEC_New_27-Feb-2024Rev3.xlsx]D-PRB'!$BZ$35</v>
      </c>
      <c r="J1089" s="37" t="s">
        <v>2504</v>
      </c>
    </row>
    <row r="1090" spans="1:10" x14ac:dyDescent="0.25">
      <c r="A1090" s="32" t="s">
        <v>4</v>
      </c>
      <c r="B1090" s="32">
        <f t="shared" si="268"/>
        <v>2047</v>
      </c>
      <c r="C1090" s="33" t="s">
        <v>11</v>
      </c>
      <c r="D1090" s="34" t="s">
        <v>1999</v>
      </c>
      <c r="E1090" s="35" t="str">
        <f t="shared" si="264"/>
        <v>PRB'!</v>
      </c>
      <c r="F1090" s="34" t="str">
        <f t="shared" si="265"/>
        <v>C:\Users\jaime.benazar\Quorum Business Solutions\Ecopetrol Prometeo - Documents\Planning Space Implementation\3. Analysis &amp; Design\Design\FC22\DRR Jaime\QUIFA-CAJÚA\Cajua\[CAJUA_CF_SEC_New_27-Feb-2024Rev3.xlsx]D-PRB'!</v>
      </c>
      <c r="G1090" s="32" t="s">
        <v>112</v>
      </c>
      <c r="H1090" s="33">
        <f t="shared" si="266"/>
        <v>36</v>
      </c>
      <c r="I1090" s="33" t="str">
        <f t="shared" si="267"/>
        <v>='C:\Users\jaime.benazar\Quorum Business Solutions\Ecopetrol Prometeo - Documents\Planning Space Implementation\3. Analysis &amp; Design\Design\FC22\DRR Jaime\QUIFA-CAJÚA\Cajua\[CAJUA_CF_SEC_New_27-Feb-2024Rev3.xlsx]D-PRB'!$BZ$36</v>
      </c>
      <c r="J1090" s="37" t="s">
        <v>2505</v>
      </c>
    </row>
    <row r="1091" spans="1:10" x14ac:dyDescent="0.25">
      <c r="A1091" s="32" t="s">
        <v>4</v>
      </c>
      <c r="B1091" s="32">
        <f t="shared" si="268"/>
        <v>2048</v>
      </c>
      <c r="C1091" s="33" t="s">
        <v>11</v>
      </c>
      <c r="D1091" s="34" t="s">
        <v>1999</v>
      </c>
      <c r="E1091" s="35" t="str">
        <f t="shared" si="264"/>
        <v>PRB'!</v>
      </c>
      <c r="F1091" s="34" t="str">
        <f t="shared" si="265"/>
        <v>C:\Users\jaime.benazar\Quorum Business Solutions\Ecopetrol Prometeo - Documents\Planning Space Implementation\3. Analysis &amp; Design\Design\FC22\DRR Jaime\QUIFA-CAJÚA\Cajua\[CAJUA_CF_SEC_New_27-Feb-2024Rev3.xlsx]D-PRB'!</v>
      </c>
      <c r="G1091" s="32" t="s">
        <v>112</v>
      </c>
      <c r="H1091" s="33">
        <f t="shared" si="266"/>
        <v>37</v>
      </c>
      <c r="I1091" s="33" t="str">
        <f t="shared" si="267"/>
        <v>='C:\Users\jaime.benazar\Quorum Business Solutions\Ecopetrol Prometeo - Documents\Planning Space Implementation\3. Analysis &amp; Design\Design\FC22\DRR Jaime\QUIFA-CAJÚA\Cajua\[CAJUA_CF_SEC_New_27-Feb-2024Rev3.xlsx]D-PRB'!$BZ$37</v>
      </c>
      <c r="J1091" s="37" t="s">
        <v>2506</v>
      </c>
    </row>
    <row r="1092" spans="1:10" x14ac:dyDescent="0.25">
      <c r="A1092" s="32" t="s">
        <v>4</v>
      </c>
      <c r="B1092" s="32">
        <f t="shared" si="268"/>
        <v>2049</v>
      </c>
      <c r="C1092" s="33" t="s">
        <v>11</v>
      </c>
      <c r="D1092" s="34" t="s">
        <v>1999</v>
      </c>
      <c r="E1092" s="35" t="str">
        <f t="shared" si="264"/>
        <v>PRB'!</v>
      </c>
      <c r="F1092" s="34" t="str">
        <f t="shared" si="265"/>
        <v>C:\Users\jaime.benazar\Quorum Business Solutions\Ecopetrol Prometeo - Documents\Planning Space Implementation\3. Analysis &amp; Design\Design\FC22\DRR Jaime\QUIFA-CAJÚA\Cajua\[CAJUA_CF_SEC_New_27-Feb-2024Rev3.xlsx]D-PRB'!</v>
      </c>
      <c r="G1092" s="32" t="s">
        <v>112</v>
      </c>
      <c r="H1092" s="33">
        <f t="shared" si="266"/>
        <v>38</v>
      </c>
      <c r="I1092" s="33" t="str">
        <f t="shared" si="267"/>
        <v>='C:\Users\jaime.benazar\Quorum Business Solutions\Ecopetrol Prometeo - Documents\Planning Space Implementation\3. Analysis &amp; Design\Design\FC22\DRR Jaime\QUIFA-CAJÚA\Cajua\[CAJUA_CF_SEC_New_27-Feb-2024Rev3.xlsx]D-PRB'!$BZ$38</v>
      </c>
      <c r="J1092" s="37" t="s">
        <v>2507</v>
      </c>
    </row>
    <row r="1093" spans="1:10" x14ac:dyDescent="0.25">
      <c r="A1093" s="32" t="s">
        <v>4</v>
      </c>
      <c r="B1093" s="32">
        <f t="shared" si="268"/>
        <v>2050</v>
      </c>
      <c r="C1093" s="33" t="s">
        <v>11</v>
      </c>
      <c r="D1093" s="34" t="s">
        <v>1999</v>
      </c>
      <c r="E1093" s="35" t="str">
        <f t="shared" si="264"/>
        <v>PRB'!</v>
      </c>
      <c r="F1093" s="34" t="str">
        <f t="shared" si="265"/>
        <v>C:\Users\jaime.benazar\Quorum Business Solutions\Ecopetrol Prometeo - Documents\Planning Space Implementation\3. Analysis &amp; Design\Design\FC22\DRR Jaime\QUIFA-CAJÚA\Cajua\[CAJUA_CF_SEC_New_27-Feb-2024Rev3.xlsx]D-PRB'!</v>
      </c>
      <c r="G1093" s="32" t="s">
        <v>112</v>
      </c>
      <c r="H1093" s="33">
        <f t="shared" si="266"/>
        <v>39</v>
      </c>
      <c r="I1093" s="33" t="str">
        <f t="shared" si="267"/>
        <v>='C:\Users\jaime.benazar\Quorum Business Solutions\Ecopetrol Prometeo - Documents\Planning Space Implementation\3. Analysis &amp; Design\Design\FC22\DRR Jaime\QUIFA-CAJÚA\Cajua\[CAJUA_CF_SEC_New_27-Feb-2024Rev3.xlsx]D-PRB'!$BZ$39</v>
      </c>
      <c r="J1093" s="37" t="s">
        <v>2508</v>
      </c>
    </row>
    <row r="1094" spans="1:10" x14ac:dyDescent="0.25">
      <c r="A1094" s="32" t="s">
        <v>4</v>
      </c>
      <c r="B1094" s="32">
        <f t="shared" si="268"/>
        <v>2051</v>
      </c>
      <c r="C1094" s="33" t="s">
        <v>11</v>
      </c>
      <c r="D1094" s="34" t="s">
        <v>1999</v>
      </c>
      <c r="E1094" s="35" t="str">
        <f t="shared" si="264"/>
        <v>PRB'!</v>
      </c>
      <c r="F1094" s="34" t="str">
        <f t="shared" si="265"/>
        <v>C:\Users\jaime.benazar\Quorum Business Solutions\Ecopetrol Prometeo - Documents\Planning Space Implementation\3. Analysis &amp; Design\Design\FC22\DRR Jaime\QUIFA-CAJÚA\Cajua\[CAJUA_CF_SEC_New_27-Feb-2024Rev3.xlsx]D-PRB'!</v>
      </c>
      <c r="G1094" s="32" t="s">
        <v>112</v>
      </c>
      <c r="H1094" s="33">
        <f t="shared" si="266"/>
        <v>40</v>
      </c>
      <c r="I1094" s="33" t="str">
        <f t="shared" si="267"/>
        <v>='C:\Users\jaime.benazar\Quorum Business Solutions\Ecopetrol Prometeo - Documents\Planning Space Implementation\3. Analysis &amp; Design\Design\FC22\DRR Jaime\QUIFA-CAJÚA\Cajua\[CAJUA_CF_SEC_New_27-Feb-2024Rev3.xlsx]D-PRB'!$BZ$40</v>
      </c>
      <c r="J1094" s="37" t="s">
        <v>2509</v>
      </c>
    </row>
    <row r="1095" spans="1:10" x14ac:dyDescent="0.25">
      <c r="A1095" s="32" t="s">
        <v>4</v>
      </c>
      <c r="B1095" s="32">
        <f t="shared" si="268"/>
        <v>2052</v>
      </c>
      <c r="C1095" s="33" t="s">
        <v>11</v>
      </c>
      <c r="D1095" s="34" t="s">
        <v>1999</v>
      </c>
      <c r="E1095" s="35" t="str">
        <f t="shared" si="264"/>
        <v>PRB'!</v>
      </c>
      <c r="F1095" s="34" t="str">
        <f t="shared" si="265"/>
        <v>C:\Users\jaime.benazar\Quorum Business Solutions\Ecopetrol Prometeo - Documents\Planning Space Implementation\3. Analysis &amp; Design\Design\FC22\DRR Jaime\QUIFA-CAJÚA\Cajua\[CAJUA_CF_SEC_New_27-Feb-2024Rev3.xlsx]D-PRB'!</v>
      </c>
      <c r="G1095" s="32" t="s">
        <v>112</v>
      </c>
      <c r="H1095" s="33">
        <f t="shared" si="266"/>
        <v>41</v>
      </c>
      <c r="I1095" s="33" t="str">
        <f t="shared" si="267"/>
        <v>='C:\Users\jaime.benazar\Quorum Business Solutions\Ecopetrol Prometeo - Documents\Planning Space Implementation\3. Analysis &amp; Design\Design\FC22\DRR Jaime\QUIFA-CAJÚA\Cajua\[CAJUA_CF_SEC_New_27-Feb-2024Rev3.xlsx]D-PRB'!$BZ$41</v>
      </c>
      <c r="J1095" s="37" t="s">
        <v>2510</v>
      </c>
    </row>
    <row r="1096" spans="1:10" x14ac:dyDescent="0.25">
      <c r="A1096" s="32" t="s">
        <v>4</v>
      </c>
      <c r="B1096" s="32">
        <f t="shared" si="268"/>
        <v>2053</v>
      </c>
      <c r="C1096" s="33" t="s">
        <v>11</v>
      </c>
      <c r="D1096" s="34" t="s">
        <v>1999</v>
      </c>
      <c r="E1096" s="35" t="str">
        <f t="shared" si="264"/>
        <v>PRB'!</v>
      </c>
      <c r="F1096" s="34" t="str">
        <f t="shared" si="265"/>
        <v>C:\Users\jaime.benazar\Quorum Business Solutions\Ecopetrol Prometeo - Documents\Planning Space Implementation\3. Analysis &amp; Design\Design\FC22\DRR Jaime\QUIFA-CAJÚA\Cajua\[CAJUA_CF_SEC_New_27-Feb-2024Rev3.xlsx]D-PRB'!</v>
      </c>
      <c r="G1096" s="32" t="s">
        <v>112</v>
      </c>
      <c r="H1096" s="33">
        <f t="shared" si="266"/>
        <v>42</v>
      </c>
      <c r="I1096" s="33" t="str">
        <f t="shared" si="267"/>
        <v>='C:\Users\jaime.benazar\Quorum Business Solutions\Ecopetrol Prometeo - Documents\Planning Space Implementation\3. Analysis &amp; Design\Design\FC22\DRR Jaime\QUIFA-CAJÚA\Cajua\[CAJUA_CF_SEC_New_27-Feb-2024Rev3.xlsx]D-PRB'!$BZ$42</v>
      </c>
      <c r="J1096" s="37" t="s">
        <v>2511</v>
      </c>
    </row>
    <row r="1097" spans="1:10" x14ac:dyDescent="0.25">
      <c r="A1097" s="32" t="s">
        <v>4</v>
      </c>
      <c r="B1097" s="32">
        <f t="shared" si="268"/>
        <v>2054</v>
      </c>
      <c r="C1097" s="33" t="s">
        <v>11</v>
      </c>
      <c r="D1097" s="34" t="s">
        <v>1999</v>
      </c>
      <c r="E1097" s="35" t="str">
        <f t="shared" si="264"/>
        <v>PRB'!</v>
      </c>
      <c r="F1097" s="34" t="str">
        <f t="shared" si="265"/>
        <v>C:\Users\jaime.benazar\Quorum Business Solutions\Ecopetrol Prometeo - Documents\Planning Space Implementation\3. Analysis &amp; Design\Design\FC22\DRR Jaime\QUIFA-CAJÚA\Cajua\[CAJUA_CF_SEC_New_27-Feb-2024Rev3.xlsx]D-PRB'!</v>
      </c>
      <c r="G1097" s="32" t="s">
        <v>112</v>
      </c>
      <c r="H1097" s="33">
        <f t="shared" si="266"/>
        <v>43</v>
      </c>
      <c r="I1097" s="33" t="str">
        <f t="shared" si="267"/>
        <v>='C:\Users\jaime.benazar\Quorum Business Solutions\Ecopetrol Prometeo - Documents\Planning Space Implementation\3. Analysis &amp; Design\Design\FC22\DRR Jaime\QUIFA-CAJÚA\Cajua\[CAJUA_CF_SEC_New_27-Feb-2024Rev3.xlsx]D-PRB'!$BZ$43</v>
      </c>
      <c r="J1097" s="37" t="s">
        <v>2512</v>
      </c>
    </row>
    <row r="1098" spans="1:10" x14ac:dyDescent="0.25">
      <c r="A1098" s="32" t="s">
        <v>4</v>
      </c>
      <c r="B1098" s="32">
        <f t="shared" si="268"/>
        <v>2055</v>
      </c>
      <c r="C1098" s="33" t="s">
        <v>11</v>
      </c>
      <c r="D1098" s="34" t="s">
        <v>1999</v>
      </c>
      <c r="E1098" s="35" t="str">
        <f t="shared" si="264"/>
        <v>PRB'!</v>
      </c>
      <c r="F1098" s="34" t="str">
        <f t="shared" si="265"/>
        <v>C:\Users\jaime.benazar\Quorum Business Solutions\Ecopetrol Prometeo - Documents\Planning Space Implementation\3. Analysis &amp; Design\Design\FC22\DRR Jaime\QUIFA-CAJÚA\Cajua\[CAJUA_CF_SEC_New_27-Feb-2024Rev3.xlsx]D-PRB'!</v>
      </c>
      <c r="G1098" s="32" t="s">
        <v>112</v>
      </c>
      <c r="H1098" s="33">
        <f t="shared" si="266"/>
        <v>44</v>
      </c>
      <c r="I1098" s="33" t="str">
        <f t="shared" si="267"/>
        <v>='C:\Users\jaime.benazar\Quorum Business Solutions\Ecopetrol Prometeo - Documents\Planning Space Implementation\3. Analysis &amp; Design\Design\FC22\DRR Jaime\QUIFA-CAJÚA\Cajua\[CAJUA_CF_SEC_New_27-Feb-2024Rev3.xlsx]D-PRB'!$BZ$44</v>
      </c>
      <c r="J1098" s="37" t="s">
        <v>2513</v>
      </c>
    </row>
    <row r="1099" spans="1:10" x14ac:dyDescent="0.25">
      <c r="A1099" s="32" t="s">
        <v>4</v>
      </c>
      <c r="B1099" s="32">
        <f t="shared" si="268"/>
        <v>2056</v>
      </c>
      <c r="C1099" s="33" t="s">
        <v>11</v>
      </c>
      <c r="D1099" s="34" t="s">
        <v>1999</v>
      </c>
      <c r="E1099" s="35" t="str">
        <f t="shared" si="264"/>
        <v>PRB'!</v>
      </c>
      <c r="F1099" s="34" t="str">
        <f t="shared" si="265"/>
        <v>C:\Users\jaime.benazar\Quorum Business Solutions\Ecopetrol Prometeo - Documents\Planning Space Implementation\3. Analysis &amp; Design\Design\FC22\DRR Jaime\QUIFA-CAJÚA\Cajua\[CAJUA_CF_SEC_New_27-Feb-2024Rev3.xlsx]D-PRB'!</v>
      </c>
      <c r="G1099" s="32" t="s">
        <v>112</v>
      </c>
      <c r="H1099" s="33">
        <f t="shared" si="266"/>
        <v>45</v>
      </c>
      <c r="I1099" s="33" t="str">
        <f t="shared" si="267"/>
        <v>='C:\Users\jaime.benazar\Quorum Business Solutions\Ecopetrol Prometeo - Documents\Planning Space Implementation\3. Analysis &amp; Design\Design\FC22\DRR Jaime\QUIFA-CAJÚA\Cajua\[CAJUA_CF_SEC_New_27-Feb-2024Rev3.xlsx]D-PRB'!$BZ$45</v>
      </c>
      <c r="J1099" s="37" t="s">
        <v>2514</v>
      </c>
    </row>
    <row r="1100" spans="1:10" x14ac:dyDescent="0.25">
      <c r="A1100" s="32" t="s">
        <v>4</v>
      </c>
      <c r="B1100" s="32">
        <f t="shared" si="268"/>
        <v>2057</v>
      </c>
      <c r="C1100" s="33" t="s">
        <v>11</v>
      </c>
      <c r="D1100" s="34" t="s">
        <v>1999</v>
      </c>
      <c r="E1100" s="35" t="str">
        <f t="shared" si="264"/>
        <v>PRB'!</v>
      </c>
      <c r="F1100" s="34" t="str">
        <f t="shared" si="265"/>
        <v>C:\Users\jaime.benazar\Quorum Business Solutions\Ecopetrol Prometeo - Documents\Planning Space Implementation\3. Analysis &amp; Design\Design\FC22\DRR Jaime\QUIFA-CAJÚA\Cajua\[CAJUA_CF_SEC_New_27-Feb-2024Rev3.xlsx]D-PRB'!</v>
      </c>
      <c r="G1100" s="32" t="s">
        <v>112</v>
      </c>
      <c r="H1100" s="33">
        <f t="shared" si="266"/>
        <v>46</v>
      </c>
      <c r="I1100" s="33" t="str">
        <f t="shared" si="267"/>
        <v>='C:\Users\jaime.benazar\Quorum Business Solutions\Ecopetrol Prometeo - Documents\Planning Space Implementation\3. Analysis &amp; Design\Design\FC22\DRR Jaime\QUIFA-CAJÚA\Cajua\[CAJUA_CF_SEC_New_27-Feb-2024Rev3.xlsx]D-PRB'!$BZ$46</v>
      </c>
      <c r="J1100" s="37" t="s">
        <v>2515</v>
      </c>
    </row>
    <row r="1101" spans="1:10" x14ac:dyDescent="0.25">
      <c r="A1101" s="32" t="s">
        <v>4</v>
      </c>
      <c r="B1101" s="32">
        <f t="shared" si="268"/>
        <v>2058</v>
      </c>
      <c r="C1101" s="33" t="s">
        <v>11</v>
      </c>
      <c r="D1101" s="34" t="s">
        <v>1999</v>
      </c>
      <c r="E1101" s="35" t="str">
        <f t="shared" si="264"/>
        <v>PRB'!</v>
      </c>
      <c r="F1101" s="34" t="str">
        <f t="shared" si="265"/>
        <v>C:\Users\jaime.benazar\Quorum Business Solutions\Ecopetrol Prometeo - Documents\Planning Space Implementation\3. Analysis &amp; Design\Design\FC22\DRR Jaime\QUIFA-CAJÚA\Cajua\[CAJUA_CF_SEC_New_27-Feb-2024Rev3.xlsx]D-PRB'!</v>
      </c>
      <c r="G1101" s="32" t="s">
        <v>112</v>
      </c>
      <c r="H1101" s="33">
        <f t="shared" si="266"/>
        <v>47</v>
      </c>
      <c r="I1101" s="33" t="str">
        <f t="shared" si="267"/>
        <v>='C:\Users\jaime.benazar\Quorum Business Solutions\Ecopetrol Prometeo - Documents\Planning Space Implementation\3. Analysis &amp; Design\Design\FC22\DRR Jaime\QUIFA-CAJÚA\Cajua\[CAJUA_CF_SEC_New_27-Feb-2024Rev3.xlsx]D-PRB'!$BZ$47</v>
      </c>
      <c r="J1101" s="37" t="s">
        <v>2516</v>
      </c>
    </row>
    <row r="1102" spans="1:10" x14ac:dyDescent="0.25">
      <c r="A1102" s="32" t="s">
        <v>4</v>
      </c>
      <c r="B1102" s="32">
        <f t="shared" si="268"/>
        <v>2059</v>
      </c>
      <c r="C1102" s="33" t="s">
        <v>11</v>
      </c>
      <c r="D1102" s="34" t="s">
        <v>1999</v>
      </c>
      <c r="E1102" s="35" t="str">
        <f t="shared" si="264"/>
        <v>PRB'!</v>
      </c>
      <c r="F1102" s="34" t="str">
        <f t="shared" si="265"/>
        <v>C:\Users\jaime.benazar\Quorum Business Solutions\Ecopetrol Prometeo - Documents\Planning Space Implementation\3. Analysis &amp; Design\Design\FC22\DRR Jaime\QUIFA-CAJÚA\Cajua\[CAJUA_CF_SEC_New_27-Feb-2024Rev3.xlsx]D-PRB'!</v>
      </c>
      <c r="G1102" s="32" t="s">
        <v>112</v>
      </c>
      <c r="H1102" s="33">
        <f t="shared" si="266"/>
        <v>48</v>
      </c>
      <c r="I1102" s="33" t="str">
        <f t="shared" si="267"/>
        <v>='C:\Users\jaime.benazar\Quorum Business Solutions\Ecopetrol Prometeo - Documents\Planning Space Implementation\3. Analysis &amp; Design\Design\FC22\DRR Jaime\QUIFA-CAJÚA\Cajua\[CAJUA_CF_SEC_New_27-Feb-2024Rev3.xlsx]D-PRB'!$BZ$48</v>
      </c>
      <c r="J1102" s="37" t="s">
        <v>2517</v>
      </c>
    </row>
    <row r="1103" spans="1:10" x14ac:dyDescent="0.25">
      <c r="A1103" s="32" t="s">
        <v>28</v>
      </c>
      <c r="B1103" s="32"/>
      <c r="C1103" s="33" t="s">
        <v>11</v>
      </c>
      <c r="D1103" s="34"/>
      <c r="E1103" s="35"/>
      <c r="F1103" s="34"/>
      <c r="G1103" s="32"/>
      <c r="H1103" s="33"/>
      <c r="I1103" s="33"/>
      <c r="J1103" s="33"/>
    </row>
    <row r="1104" spans="1:10" x14ac:dyDescent="0.25">
      <c r="A1104" s="32" t="s">
        <v>102</v>
      </c>
      <c r="B1104" s="32">
        <v>2023</v>
      </c>
      <c r="C1104" s="33" t="s">
        <v>11</v>
      </c>
      <c r="D1104" s="34" t="s">
        <v>1999</v>
      </c>
      <c r="E1104" s="35" t="str">
        <f t="shared" ref="E1104:E1124" si="269">_xlfn.CONCAT(A1104,"'!")</f>
        <v>PSDP'!</v>
      </c>
      <c r="F1104" s="34" t="str">
        <f t="shared" ref="F1104:F1124" si="270">_xlfn.CONCAT(D1104:E1104)</f>
        <v>C:\Users\jaime.benazar\Quorum Business Solutions\Ecopetrol Prometeo - Documents\Planning Space Implementation\3. Analysis &amp; Design\Design\FC22\DRR Jaime\QUIFA-CAJÚA\Cajua\[CAJUA_CF_SEC_New_27-Feb-2024Rev3.xlsx]D-PSDP'!</v>
      </c>
      <c r="G1104" s="32" t="s">
        <v>112</v>
      </c>
      <c r="H1104" s="33"/>
      <c r="I1104" s="33"/>
      <c r="J1104" s="37"/>
    </row>
    <row r="1105" spans="1:10" x14ac:dyDescent="0.25">
      <c r="A1105" s="32" t="s">
        <v>102</v>
      </c>
      <c r="B1105" s="32">
        <f>+B1104+1</f>
        <v>2024</v>
      </c>
      <c r="C1105" s="33" t="s">
        <v>11</v>
      </c>
      <c r="D1105" s="34" t="s">
        <v>1999</v>
      </c>
      <c r="E1105" s="35" t="str">
        <f t="shared" si="269"/>
        <v>PSDP'!</v>
      </c>
      <c r="F1105" s="34" t="str">
        <f t="shared" si="270"/>
        <v>C:\Users\jaime.benazar\Quorum Business Solutions\Ecopetrol Prometeo - Documents\Planning Space Implementation\3. Analysis &amp; Design\Design\FC22\DRR Jaime\QUIFA-CAJÚA\Cajua\[CAJUA_CF_SEC_New_27-Feb-2024Rev3.xlsx]D-PSDP'!</v>
      </c>
      <c r="G1105" s="32" t="s">
        <v>112</v>
      </c>
      <c r="H1105" s="33"/>
      <c r="I1105" s="33"/>
      <c r="J1105" s="37"/>
    </row>
    <row r="1106" spans="1:10" x14ac:dyDescent="0.25">
      <c r="A1106" s="32" t="s">
        <v>102</v>
      </c>
      <c r="B1106" s="32">
        <f t="shared" ref="B1106:B1117" si="271">+B1105+1</f>
        <v>2025</v>
      </c>
      <c r="C1106" s="33" t="s">
        <v>11</v>
      </c>
      <c r="D1106" s="34" t="s">
        <v>1999</v>
      </c>
      <c r="E1106" s="35" t="str">
        <f t="shared" si="269"/>
        <v>PSDP'!</v>
      </c>
      <c r="F1106" s="34" t="str">
        <f t="shared" si="270"/>
        <v>C:\Users\jaime.benazar\Quorum Business Solutions\Ecopetrol Prometeo - Documents\Planning Space Implementation\3. Analysis &amp; Design\Design\FC22\DRR Jaime\QUIFA-CAJÚA\Cajua\[CAJUA_CF_SEC_New_27-Feb-2024Rev3.xlsx]D-PSDP'!</v>
      </c>
      <c r="G1106" s="32" t="s">
        <v>112</v>
      </c>
      <c r="H1106" s="33"/>
      <c r="I1106" s="33"/>
      <c r="J1106" s="37"/>
    </row>
    <row r="1107" spans="1:10" x14ac:dyDescent="0.25">
      <c r="A1107" s="32" t="s">
        <v>102</v>
      </c>
      <c r="B1107" s="32">
        <f t="shared" si="271"/>
        <v>2026</v>
      </c>
      <c r="C1107" s="33" t="s">
        <v>11</v>
      </c>
      <c r="D1107" s="34" t="s">
        <v>1999</v>
      </c>
      <c r="E1107" s="35" t="str">
        <f t="shared" si="269"/>
        <v>PSDP'!</v>
      </c>
      <c r="F1107" s="34" t="str">
        <f t="shared" si="270"/>
        <v>C:\Users\jaime.benazar\Quorum Business Solutions\Ecopetrol Prometeo - Documents\Planning Space Implementation\3. Analysis &amp; Design\Design\FC22\DRR Jaime\QUIFA-CAJÚA\Cajua\[CAJUA_CF_SEC_New_27-Feb-2024Rev3.xlsx]D-PSDP'!</v>
      </c>
      <c r="G1107" s="32" t="s">
        <v>112</v>
      </c>
      <c r="H1107" s="33"/>
      <c r="I1107" s="33"/>
      <c r="J1107" s="37"/>
    </row>
    <row r="1108" spans="1:10" x14ac:dyDescent="0.25">
      <c r="A1108" s="32" t="s">
        <v>102</v>
      </c>
      <c r="B1108" s="32">
        <f t="shared" si="271"/>
        <v>2027</v>
      </c>
      <c r="C1108" s="33" t="s">
        <v>11</v>
      </c>
      <c r="D1108" s="34" t="s">
        <v>1999</v>
      </c>
      <c r="E1108" s="35" t="str">
        <f t="shared" si="269"/>
        <v>PSDP'!</v>
      </c>
      <c r="F1108" s="34" t="str">
        <f t="shared" si="270"/>
        <v>C:\Users\jaime.benazar\Quorum Business Solutions\Ecopetrol Prometeo - Documents\Planning Space Implementation\3. Analysis &amp; Design\Design\FC22\DRR Jaime\QUIFA-CAJÚA\Cajua\[CAJUA_CF_SEC_New_27-Feb-2024Rev3.xlsx]D-PSDP'!</v>
      </c>
      <c r="G1108" s="32" t="s">
        <v>112</v>
      </c>
      <c r="H1108" s="33"/>
      <c r="I1108" s="33"/>
      <c r="J1108" s="37"/>
    </row>
    <row r="1109" spans="1:10" x14ac:dyDescent="0.25">
      <c r="A1109" s="32" t="s">
        <v>102</v>
      </c>
      <c r="B1109" s="32">
        <f t="shared" si="271"/>
        <v>2028</v>
      </c>
      <c r="C1109" s="33" t="s">
        <v>11</v>
      </c>
      <c r="D1109" s="34" t="s">
        <v>1999</v>
      </c>
      <c r="E1109" s="35" t="str">
        <f t="shared" si="269"/>
        <v>PSDP'!</v>
      </c>
      <c r="F1109" s="34" t="str">
        <f t="shared" si="270"/>
        <v>C:\Users\jaime.benazar\Quorum Business Solutions\Ecopetrol Prometeo - Documents\Planning Space Implementation\3. Analysis &amp; Design\Design\FC22\DRR Jaime\QUIFA-CAJÚA\Cajua\[CAJUA_CF_SEC_New_27-Feb-2024Rev3.xlsx]D-PSDP'!</v>
      </c>
      <c r="G1109" s="32" t="s">
        <v>112</v>
      </c>
      <c r="H1109" s="33"/>
      <c r="I1109" s="33"/>
      <c r="J1109" s="37"/>
    </row>
    <row r="1110" spans="1:10" x14ac:dyDescent="0.25">
      <c r="A1110" s="32" t="s">
        <v>102</v>
      </c>
      <c r="B1110" s="32">
        <f t="shared" si="271"/>
        <v>2029</v>
      </c>
      <c r="C1110" s="33" t="s">
        <v>11</v>
      </c>
      <c r="D1110" s="34" t="s">
        <v>1999</v>
      </c>
      <c r="E1110" s="35" t="str">
        <f t="shared" si="269"/>
        <v>PSDP'!</v>
      </c>
      <c r="F1110" s="34" t="str">
        <f t="shared" si="270"/>
        <v>C:\Users\jaime.benazar\Quorum Business Solutions\Ecopetrol Prometeo - Documents\Planning Space Implementation\3. Analysis &amp; Design\Design\FC22\DRR Jaime\QUIFA-CAJÚA\Cajua\[CAJUA_CF_SEC_New_27-Feb-2024Rev3.xlsx]D-PSDP'!</v>
      </c>
      <c r="G1110" s="32" t="s">
        <v>112</v>
      </c>
      <c r="H1110" s="33"/>
      <c r="I1110" s="33"/>
      <c r="J1110" s="37"/>
    </row>
    <row r="1111" spans="1:10" x14ac:dyDescent="0.25">
      <c r="A1111" s="32" t="s">
        <v>102</v>
      </c>
      <c r="B1111" s="32">
        <f t="shared" si="271"/>
        <v>2030</v>
      </c>
      <c r="C1111" s="33" t="s">
        <v>11</v>
      </c>
      <c r="D1111" s="34" t="s">
        <v>1999</v>
      </c>
      <c r="E1111" s="35" t="str">
        <f t="shared" si="269"/>
        <v>PSDP'!</v>
      </c>
      <c r="F1111" s="34" t="str">
        <f t="shared" si="270"/>
        <v>C:\Users\jaime.benazar\Quorum Business Solutions\Ecopetrol Prometeo - Documents\Planning Space Implementation\3. Analysis &amp; Design\Design\FC22\DRR Jaime\QUIFA-CAJÚA\Cajua\[CAJUA_CF_SEC_New_27-Feb-2024Rev3.xlsx]D-PSDP'!</v>
      </c>
      <c r="G1111" s="32" t="s">
        <v>112</v>
      </c>
      <c r="H1111" s="33"/>
      <c r="I1111" s="33"/>
      <c r="J1111" s="37"/>
    </row>
    <row r="1112" spans="1:10" x14ac:dyDescent="0.25">
      <c r="A1112" s="32" t="s">
        <v>102</v>
      </c>
      <c r="B1112" s="32">
        <f t="shared" si="271"/>
        <v>2031</v>
      </c>
      <c r="C1112" s="33" t="s">
        <v>11</v>
      </c>
      <c r="D1112" s="34" t="s">
        <v>1999</v>
      </c>
      <c r="E1112" s="35" t="str">
        <f t="shared" si="269"/>
        <v>PSDP'!</v>
      </c>
      <c r="F1112" s="34" t="str">
        <f t="shared" si="270"/>
        <v>C:\Users\jaime.benazar\Quorum Business Solutions\Ecopetrol Prometeo - Documents\Planning Space Implementation\3. Analysis &amp; Design\Design\FC22\DRR Jaime\QUIFA-CAJÚA\Cajua\[CAJUA_CF_SEC_New_27-Feb-2024Rev3.xlsx]D-PSDP'!</v>
      </c>
      <c r="G1112" s="32" t="s">
        <v>112</v>
      </c>
      <c r="H1112" s="33"/>
      <c r="I1112" s="33"/>
      <c r="J1112" s="37"/>
    </row>
    <row r="1113" spans="1:10" x14ac:dyDescent="0.25">
      <c r="A1113" s="32" t="s">
        <v>102</v>
      </c>
      <c r="B1113" s="32">
        <f t="shared" si="271"/>
        <v>2032</v>
      </c>
      <c r="C1113" s="33" t="s">
        <v>11</v>
      </c>
      <c r="D1113" s="34" t="s">
        <v>1999</v>
      </c>
      <c r="E1113" s="35" t="str">
        <f t="shared" si="269"/>
        <v>PSDP'!</v>
      </c>
      <c r="F1113" s="34" t="str">
        <f t="shared" si="270"/>
        <v>C:\Users\jaime.benazar\Quorum Business Solutions\Ecopetrol Prometeo - Documents\Planning Space Implementation\3. Analysis &amp; Design\Design\FC22\DRR Jaime\QUIFA-CAJÚA\Cajua\[CAJUA_CF_SEC_New_27-Feb-2024Rev3.xlsx]D-PSDP'!</v>
      </c>
      <c r="G1113" s="32" t="s">
        <v>112</v>
      </c>
      <c r="H1113" s="33"/>
      <c r="I1113" s="33"/>
      <c r="J1113" s="37"/>
    </row>
    <row r="1114" spans="1:10" x14ac:dyDescent="0.25">
      <c r="A1114" s="32" t="s">
        <v>102</v>
      </c>
      <c r="B1114" s="32">
        <f t="shared" si="271"/>
        <v>2033</v>
      </c>
      <c r="C1114" s="33" t="s">
        <v>11</v>
      </c>
      <c r="D1114" s="34" t="s">
        <v>1999</v>
      </c>
      <c r="E1114" s="35" t="str">
        <f t="shared" si="269"/>
        <v>PSDP'!</v>
      </c>
      <c r="F1114" s="34" t="str">
        <f t="shared" si="270"/>
        <v>C:\Users\jaime.benazar\Quorum Business Solutions\Ecopetrol Prometeo - Documents\Planning Space Implementation\3. Analysis &amp; Design\Design\FC22\DRR Jaime\QUIFA-CAJÚA\Cajua\[CAJUA_CF_SEC_New_27-Feb-2024Rev3.xlsx]D-PSDP'!</v>
      </c>
      <c r="G1114" s="32" t="s">
        <v>112</v>
      </c>
      <c r="H1114" s="33"/>
      <c r="I1114" s="33"/>
      <c r="J1114" s="37"/>
    </row>
    <row r="1115" spans="1:10" x14ac:dyDescent="0.25">
      <c r="A1115" s="32" t="s">
        <v>102</v>
      </c>
      <c r="B1115" s="32">
        <f t="shared" si="271"/>
        <v>2034</v>
      </c>
      <c r="C1115" s="33" t="s">
        <v>11</v>
      </c>
      <c r="D1115" s="34" t="s">
        <v>1999</v>
      </c>
      <c r="E1115" s="35" t="str">
        <f t="shared" si="269"/>
        <v>PSDP'!</v>
      </c>
      <c r="F1115" s="34" t="str">
        <f t="shared" si="270"/>
        <v>C:\Users\jaime.benazar\Quorum Business Solutions\Ecopetrol Prometeo - Documents\Planning Space Implementation\3. Analysis &amp; Design\Design\FC22\DRR Jaime\QUIFA-CAJÚA\Cajua\[CAJUA_CF_SEC_New_27-Feb-2024Rev3.xlsx]D-PSDP'!</v>
      </c>
      <c r="G1115" s="32" t="s">
        <v>112</v>
      </c>
      <c r="H1115" s="33"/>
      <c r="I1115" s="33"/>
      <c r="J1115" s="37"/>
    </row>
    <row r="1116" spans="1:10" x14ac:dyDescent="0.25">
      <c r="A1116" s="32" t="s">
        <v>102</v>
      </c>
      <c r="B1116" s="32">
        <f t="shared" si="271"/>
        <v>2035</v>
      </c>
      <c r="C1116" s="33" t="s">
        <v>11</v>
      </c>
      <c r="D1116" s="34" t="s">
        <v>1999</v>
      </c>
      <c r="E1116" s="35" t="str">
        <f t="shared" si="269"/>
        <v>PSDP'!</v>
      </c>
      <c r="F1116" s="34" t="str">
        <f t="shared" si="270"/>
        <v>C:\Users\jaime.benazar\Quorum Business Solutions\Ecopetrol Prometeo - Documents\Planning Space Implementation\3. Analysis &amp; Design\Design\FC22\DRR Jaime\QUIFA-CAJÚA\Cajua\[CAJUA_CF_SEC_New_27-Feb-2024Rev3.xlsx]D-PSDP'!</v>
      </c>
      <c r="G1116" s="32" t="s">
        <v>112</v>
      </c>
      <c r="H1116" s="33"/>
      <c r="I1116" s="33"/>
      <c r="J1116" s="37"/>
    </row>
    <row r="1117" spans="1:10" x14ac:dyDescent="0.25">
      <c r="A1117" s="32" t="s">
        <v>102</v>
      </c>
      <c r="B1117" s="32">
        <f t="shared" si="271"/>
        <v>2036</v>
      </c>
      <c r="C1117" s="33" t="s">
        <v>11</v>
      </c>
      <c r="D1117" s="34" t="s">
        <v>1999</v>
      </c>
      <c r="E1117" s="35" t="str">
        <f t="shared" si="269"/>
        <v>PSDP'!</v>
      </c>
      <c r="F1117" s="34" t="str">
        <f t="shared" si="270"/>
        <v>C:\Users\jaime.benazar\Quorum Business Solutions\Ecopetrol Prometeo - Documents\Planning Space Implementation\3. Analysis &amp; Design\Design\FC22\DRR Jaime\QUIFA-CAJÚA\Cajua\[CAJUA_CF_SEC_New_27-Feb-2024Rev3.xlsx]D-PSDP'!</v>
      </c>
      <c r="G1117" s="32" t="s">
        <v>112</v>
      </c>
      <c r="H1117" s="33"/>
      <c r="I1117" s="33"/>
      <c r="J1117" s="37"/>
    </row>
    <row r="1118" spans="1:10" x14ac:dyDescent="0.25">
      <c r="A1118" s="32" t="s">
        <v>102</v>
      </c>
      <c r="B1118" s="32">
        <f>+B1117+1</f>
        <v>2037</v>
      </c>
      <c r="C1118" s="33" t="s">
        <v>11</v>
      </c>
      <c r="D1118" s="34" t="s">
        <v>1999</v>
      </c>
      <c r="E1118" s="35" t="str">
        <f t="shared" si="269"/>
        <v>PSDP'!</v>
      </c>
      <c r="F1118" s="34" t="str">
        <f t="shared" si="270"/>
        <v>C:\Users\jaime.benazar\Quorum Business Solutions\Ecopetrol Prometeo - Documents\Planning Space Implementation\3. Analysis &amp; Design\Design\FC22\DRR Jaime\QUIFA-CAJÚA\Cajua\[CAJUA_CF_SEC_New_27-Feb-2024Rev3.xlsx]D-PSDP'!</v>
      </c>
      <c r="G1118" s="32" t="s">
        <v>112</v>
      </c>
      <c r="H1118" s="33"/>
      <c r="I1118" s="33"/>
      <c r="J1118" s="37"/>
    </row>
    <row r="1119" spans="1:10" x14ac:dyDescent="0.25">
      <c r="A1119" s="32" t="s">
        <v>102</v>
      </c>
      <c r="B1119" s="32">
        <f t="shared" ref="B1119:B1121" si="272">+B1118+1</f>
        <v>2038</v>
      </c>
      <c r="C1119" s="33" t="s">
        <v>11</v>
      </c>
      <c r="D1119" s="34" t="s">
        <v>1999</v>
      </c>
      <c r="E1119" s="35" t="str">
        <f t="shared" si="269"/>
        <v>PSDP'!</v>
      </c>
      <c r="F1119" s="34" t="str">
        <f t="shared" si="270"/>
        <v>C:\Users\jaime.benazar\Quorum Business Solutions\Ecopetrol Prometeo - Documents\Planning Space Implementation\3. Analysis &amp; Design\Design\FC22\DRR Jaime\QUIFA-CAJÚA\Cajua\[CAJUA_CF_SEC_New_27-Feb-2024Rev3.xlsx]D-PSDP'!</v>
      </c>
      <c r="G1119" s="32" t="s">
        <v>112</v>
      </c>
      <c r="H1119" s="33"/>
      <c r="I1119" s="33"/>
      <c r="J1119" s="37"/>
    </row>
    <row r="1120" spans="1:10" x14ac:dyDescent="0.25">
      <c r="A1120" s="32" t="s">
        <v>102</v>
      </c>
      <c r="B1120" s="32">
        <f t="shared" si="272"/>
        <v>2039</v>
      </c>
      <c r="C1120" s="33" t="s">
        <v>11</v>
      </c>
      <c r="D1120" s="34" t="s">
        <v>1999</v>
      </c>
      <c r="E1120" s="35" t="str">
        <f t="shared" si="269"/>
        <v>PSDP'!</v>
      </c>
      <c r="F1120" s="34" t="str">
        <f t="shared" si="270"/>
        <v>C:\Users\jaime.benazar\Quorum Business Solutions\Ecopetrol Prometeo - Documents\Planning Space Implementation\3. Analysis &amp; Design\Design\FC22\DRR Jaime\QUIFA-CAJÚA\Cajua\[CAJUA_CF_SEC_New_27-Feb-2024Rev3.xlsx]D-PSDP'!</v>
      </c>
      <c r="G1120" s="32" t="s">
        <v>112</v>
      </c>
      <c r="H1120" s="33"/>
      <c r="I1120" s="33"/>
      <c r="J1120" s="37"/>
    </row>
    <row r="1121" spans="1:10" x14ac:dyDescent="0.25">
      <c r="A1121" s="32" t="s">
        <v>102</v>
      </c>
      <c r="B1121" s="32">
        <f t="shared" si="272"/>
        <v>2040</v>
      </c>
      <c r="C1121" s="33" t="s">
        <v>11</v>
      </c>
      <c r="D1121" s="34" t="s">
        <v>1999</v>
      </c>
      <c r="E1121" s="35" t="str">
        <f t="shared" si="269"/>
        <v>PSDP'!</v>
      </c>
      <c r="F1121" s="34" t="str">
        <f t="shared" si="270"/>
        <v>C:\Users\jaime.benazar\Quorum Business Solutions\Ecopetrol Prometeo - Documents\Planning Space Implementation\3. Analysis &amp; Design\Design\FC22\DRR Jaime\QUIFA-CAJÚA\Cajua\[CAJUA_CF_SEC_New_27-Feb-2024Rev3.xlsx]D-PSDP'!</v>
      </c>
      <c r="G1121" s="32" t="s">
        <v>112</v>
      </c>
      <c r="H1121" s="33"/>
      <c r="I1121" s="33"/>
      <c r="J1121" s="37"/>
    </row>
    <row r="1122" spans="1:10" x14ac:dyDescent="0.25">
      <c r="A1122" s="32" t="s">
        <v>102</v>
      </c>
      <c r="B1122" s="32">
        <f>+B1121+1</f>
        <v>2041</v>
      </c>
      <c r="C1122" s="33" t="s">
        <v>11</v>
      </c>
      <c r="D1122" s="34" t="s">
        <v>1999</v>
      </c>
      <c r="E1122" s="35" t="str">
        <f t="shared" si="269"/>
        <v>PSDP'!</v>
      </c>
      <c r="F1122" s="34" t="str">
        <f t="shared" si="270"/>
        <v>C:\Users\jaime.benazar\Quorum Business Solutions\Ecopetrol Prometeo - Documents\Planning Space Implementation\3. Analysis &amp; Design\Design\FC22\DRR Jaime\QUIFA-CAJÚA\Cajua\[CAJUA_CF_SEC_New_27-Feb-2024Rev3.xlsx]D-PSDP'!</v>
      </c>
      <c r="G1122" s="32" t="s">
        <v>112</v>
      </c>
      <c r="H1122" s="33"/>
      <c r="I1122" s="33"/>
      <c r="J1122" s="37"/>
    </row>
    <row r="1123" spans="1:10" x14ac:dyDescent="0.25">
      <c r="A1123" s="32" t="s">
        <v>102</v>
      </c>
      <c r="B1123" s="32">
        <f t="shared" ref="B1123:B1124" si="273">+B1122+1</f>
        <v>2042</v>
      </c>
      <c r="C1123" s="33" t="s">
        <v>11</v>
      </c>
      <c r="D1123" s="34" t="s">
        <v>1999</v>
      </c>
      <c r="E1123" s="35" t="str">
        <f t="shared" si="269"/>
        <v>PSDP'!</v>
      </c>
      <c r="F1123" s="34" t="str">
        <f t="shared" si="270"/>
        <v>C:\Users\jaime.benazar\Quorum Business Solutions\Ecopetrol Prometeo - Documents\Planning Space Implementation\3. Analysis &amp; Design\Design\FC22\DRR Jaime\QUIFA-CAJÚA\Cajua\[CAJUA_CF_SEC_New_27-Feb-2024Rev3.xlsx]D-PSDP'!</v>
      </c>
      <c r="G1123" s="32" t="s">
        <v>112</v>
      </c>
      <c r="H1123" s="33"/>
      <c r="I1123" s="33"/>
      <c r="J1123" s="37"/>
    </row>
    <row r="1124" spans="1:10" x14ac:dyDescent="0.25">
      <c r="A1124" s="32" t="s">
        <v>102</v>
      </c>
      <c r="B1124" s="32">
        <f t="shared" si="273"/>
        <v>2043</v>
      </c>
      <c r="C1124" s="33" t="s">
        <v>11</v>
      </c>
      <c r="D1124" s="34" t="s">
        <v>1999</v>
      </c>
      <c r="E1124" s="35" t="str">
        <f t="shared" si="269"/>
        <v>PSDP'!</v>
      </c>
      <c r="F1124" s="34" t="str">
        <f t="shared" si="270"/>
        <v>C:\Users\jaime.benazar\Quorum Business Solutions\Ecopetrol Prometeo - Documents\Planning Space Implementation\3. Analysis &amp; Design\Design\FC22\DRR Jaime\QUIFA-CAJÚA\Cajua\[CAJUA_CF_SEC_New_27-Feb-2024Rev3.xlsx]D-PSDP'!</v>
      </c>
      <c r="G1124" s="32" t="s">
        <v>112</v>
      </c>
      <c r="H1124" s="33"/>
      <c r="I1124" s="33"/>
      <c r="J1124" s="37"/>
    </row>
    <row r="1125" spans="1:10" x14ac:dyDescent="0.25">
      <c r="A1125" s="32" t="s">
        <v>102</v>
      </c>
      <c r="B1125" s="32">
        <f>+B1124+1</f>
        <v>2044</v>
      </c>
      <c r="C1125" s="33" t="s">
        <v>11</v>
      </c>
      <c r="D1125" s="34" t="s">
        <v>1999</v>
      </c>
      <c r="E1125" s="35" t="str">
        <f t="shared" ref="E1125:E1140" si="274">_xlfn.CONCAT(A1125,"'!")</f>
        <v>PSDP'!</v>
      </c>
      <c r="F1125" s="34" t="str">
        <f t="shared" ref="F1125:F1140" si="275">_xlfn.CONCAT(D1125:E1125)</f>
        <v>C:\Users\jaime.benazar\Quorum Business Solutions\Ecopetrol Prometeo - Documents\Planning Space Implementation\3. Analysis &amp; Design\Design\FC22\DRR Jaime\QUIFA-CAJÚA\Cajua\[CAJUA_CF_SEC_New_27-Feb-2024Rev3.xlsx]D-PSDP'!</v>
      </c>
      <c r="G1125" s="32" t="s">
        <v>112</v>
      </c>
      <c r="H1125" s="33"/>
      <c r="I1125" s="33"/>
      <c r="J1125" s="37"/>
    </row>
    <row r="1126" spans="1:10" x14ac:dyDescent="0.25">
      <c r="A1126" s="32" t="s">
        <v>102</v>
      </c>
      <c r="B1126" s="32">
        <f t="shared" ref="B1126:B1140" si="276">+B1125+1</f>
        <v>2045</v>
      </c>
      <c r="C1126" s="33" t="s">
        <v>11</v>
      </c>
      <c r="D1126" s="34" t="s">
        <v>1999</v>
      </c>
      <c r="E1126" s="35" t="str">
        <f t="shared" si="274"/>
        <v>PSDP'!</v>
      </c>
      <c r="F1126" s="34" t="str">
        <f t="shared" si="275"/>
        <v>C:\Users\jaime.benazar\Quorum Business Solutions\Ecopetrol Prometeo - Documents\Planning Space Implementation\3. Analysis &amp; Design\Design\FC22\DRR Jaime\QUIFA-CAJÚA\Cajua\[CAJUA_CF_SEC_New_27-Feb-2024Rev3.xlsx]D-PSDP'!</v>
      </c>
      <c r="G1126" s="32" t="s">
        <v>112</v>
      </c>
      <c r="H1126" s="33"/>
      <c r="I1126" s="33"/>
      <c r="J1126" s="37"/>
    </row>
    <row r="1127" spans="1:10" x14ac:dyDescent="0.25">
      <c r="A1127" s="32" t="s">
        <v>102</v>
      </c>
      <c r="B1127" s="32">
        <f t="shared" si="276"/>
        <v>2046</v>
      </c>
      <c r="C1127" s="33" t="s">
        <v>11</v>
      </c>
      <c r="D1127" s="34" t="s">
        <v>1999</v>
      </c>
      <c r="E1127" s="35" t="str">
        <f t="shared" si="274"/>
        <v>PSDP'!</v>
      </c>
      <c r="F1127" s="34" t="str">
        <f t="shared" si="275"/>
        <v>C:\Users\jaime.benazar\Quorum Business Solutions\Ecopetrol Prometeo - Documents\Planning Space Implementation\3. Analysis &amp; Design\Design\FC22\DRR Jaime\QUIFA-CAJÚA\Cajua\[CAJUA_CF_SEC_New_27-Feb-2024Rev3.xlsx]D-PSDP'!</v>
      </c>
      <c r="G1127" s="32" t="s">
        <v>112</v>
      </c>
      <c r="H1127" s="33"/>
      <c r="I1127" s="33"/>
      <c r="J1127" s="37"/>
    </row>
    <row r="1128" spans="1:10" x14ac:dyDescent="0.25">
      <c r="A1128" s="32" t="s">
        <v>102</v>
      </c>
      <c r="B1128" s="32">
        <f t="shared" si="276"/>
        <v>2047</v>
      </c>
      <c r="C1128" s="33" t="s">
        <v>11</v>
      </c>
      <c r="D1128" s="34" t="s">
        <v>1999</v>
      </c>
      <c r="E1128" s="35" t="str">
        <f t="shared" si="274"/>
        <v>PSDP'!</v>
      </c>
      <c r="F1128" s="34" t="str">
        <f t="shared" si="275"/>
        <v>C:\Users\jaime.benazar\Quorum Business Solutions\Ecopetrol Prometeo - Documents\Planning Space Implementation\3. Analysis &amp; Design\Design\FC22\DRR Jaime\QUIFA-CAJÚA\Cajua\[CAJUA_CF_SEC_New_27-Feb-2024Rev3.xlsx]D-PSDP'!</v>
      </c>
      <c r="G1128" s="32" t="s">
        <v>112</v>
      </c>
      <c r="H1128" s="33"/>
      <c r="I1128" s="33"/>
      <c r="J1128" s="37"/>
    </row>
    <row r="1129" spans="1:10" x14ac:dyDescent="0.25">
      <c r="A1129" s="32" t="s">
        <v>102</v>
      </c>
      <c r="B1129" s="32">
        <f t="shared" si="276"/>
        <v>2048</v>
      </c>
      <c r="C1129" s="33" t="s">
        <v>11</v>
      </c>
      <c r="D1129" s="34" t="s">
        <v>1999</v>
      </c>
      <c r="E1129" s="35" t="str">
        <f t="shared" si="274"/>
        <v>PSDP'!</v>
      </c>
      <c r="F1129" s="34" t="str">
        <f t="shared" si="275"/>
        <v>C:\Users\jaime.benazar\Quorum Business Solutions\Ecopetrol Prometeo - Documents\Planning Space Implementation\3. Analysis &amp; Design\Design\FC22\DRR Jaime\QUIFA-CAJÚA\Cajua\[CAJUA_CF_SEC_New_27-Feb-2024Rev3.xlsx]D-PSDP'!</v>
      </c>
      <c r="G1129" s="32" t="s">
        <v>112</v>
      </c>
      <c r="H1129" s="33"/>
      <c r="I1129" s="33"/>
      <c r="J1129" s="37"/>
    </row>
    <row r="1130" spans="1:10" x14ac:dyDescent="0.25">
      <c r="A1130" s="32" t="s">
        <v>102</v>
      </c>
      <c r="B1130" s="32">
        <f t="shared" si="276"/>
        <v>2049</v>
      </c>
      <c r="C1130" s="33" t="s">
        <v>11</v>
      </c>
      <c r="D1130" s="34" t="s">
        <v>1999</v>
      </c>
      <c r="E1130" s="35" t="str">
        <f t="shared" si="274"/>
        <v>PSDP'!</v>
      </c>
      <c r="F1130" s="34" t="str">
        <f t="shared" si="275"/>
        <v>C:\Users\jaime.benazar\Quorum Business Solutions\Ecopetrol Prometeo - Documents\Planning Space Implementation\3. Analysis &amp; Design\Design\FC22\DRR Jaime\QUIFA-CAJÚA\Cajua\[CAJUA_CF_SEC_New_27-Feb-2024Rev3.xlsx]D-PSDP'!</v>
      </c>
      <c r="G1130" s="32" t="s">
        <v>112</v>
      </c>
      <c r="H1130" s="33"/>
      <c r="I1130" s="33"/>
      <c r="J1130" s="37"/>
    </row>
    <row r="1131" spans="1:10" x14ac:dyDescent="0.25">
      <c r="A1131" s="32" t="s">
        <v>102</v>
      </c>
      <c r="B1131" s="32">
        <f t="shared" si="276"/>
        <v>2050</v>
      </c>
      <c r="C1131" s="33" t="s">
        <v>11</v>
      </c>
      <c r="D1131" s="34" t="s">
        <v>1999</v>
      </c>
      <c r="E1131" s="35" t="str">
        <f t="shared" si="274"/>
        <v>PSDP'!</v>
      </c>
      <c r="F1131" s="34" t="str">
        <f t="shared" si="275"/>
        <v>C:\Users\jaime.benazar\Quorum Business Solutions\Ecopetrol Prometeo - Documents\Planning Space Implementation\3. Analysis &amp; Design\Design\FC22\DRR Jaime\QUIFA-CAJÚA\Cajua\[CAJUA_CF_SEC_New_27-Feb-2024Rev3.xlsx]D-PSDP'!</v>
      </c>
      <c r="G1131" s="32" t="s">
        <v>112</v>
      </c>
      <c r="H1131" s="33"/>
      <c r="I1131" s="33"/>
      <c r="J1131" s="37"/>
    </row>
    <row r="1132" spans="1:10" x14ac:dyDescent="0.25">
      <c r="A1132" s="32" t="s">
        <v>102</v>
      </c>
      <c r="B1132" s="32">
        <f t="shared" si="276"/>
        <v>2051</v>
      </c>
      <c r="C1132" s="33" t="s">
        <v>11</v>
      </c>
      <c r="D1132" s="34" t="s">
        <v>1999</v>
      </c>
      <c r="E1132" s="35" t="str">
        <f t="shared" si="274"/>
        <v>PSDP'!</v>
      </c>
      <c r="F1132" s="34" t="str">
        <f t="shared" si="275"/>
        <v>C:\Users\jaime.benazar\Quorum Business Solutions\Ecopetrol Prometeo - Documents\Planning Space Implementation\3. Analysis &amp; Design\Design\FC22\DRR Jaime\QUIFA-CAJÚA\Cajua\[CAJUA_CF_SEC_New_27-Feb-2024Rev3.xlsx]D-PSDP'!</v>
      </c>
      <c r="G1132" s="32" t="s">
        <v>112</v>
      </c>
      <c r="H1132" s="33"/>
      <c r="I1132" s="33"/>
      <c r="J1132" s="37"/>
    </row>
    <row r="1133" spans="1:10" x14ac:dyDescent="0.25">
      <c r="A1133" s="32" t="s">
        <v>102</v>
      </c>
      <c r="B1133" s="32">
        <f t="shared" si="276"/>
        <v>2052</v>
      </c>
      <c r="C1133" s="33" t="s">
        <v>11</v>
      </c>
      <c r="D1133" s="34" t="s">
        <v>1999</v>
      </c>
      <c r="E1133" s="35" t="str">
        <f t="shared" si="274"/>
        <v>PSDP'!</v>
      </c>
      <c r="F1133" s="34" t="str">
        <f t="shared" si="275"/>
        <v>C:\Users\jaime.benazar\Quorum Business Solutions\Ecopetrol Prometeo - Documents\Planning Space Implementation\3. Analysis &amp; Design\Design\FC22\DRR Jaime\QUIFA-CAJÚA\Cajua\[CAJUA_CF_SEC_New_27-Feb-2024Rev3.xlsx]D-PSDP'!</v>
      </c>
      <c r="G1133" s="32" t="s">
        <v>112</v>
      </c>
      <c r="H1133" s="33"/>
      <c r="I1133" s="33"/>
      <c r="J1133" s="37"/>
    </row>
    <row r="1134" spans="1:10" x14ac:dyDescent="0.25">
      <c r="A1134" s="32" t="s">
        <v>102</v>
      </c>
      <c r="B1134" s="32">
        <f t="shared" si="276"/>
        <v>2053</v>
      </c>
      <c r="C1134" s="33" t="s">
        <v>11</v>
      </c>
      <c r="D1134" s="34" t="s">
        <v>1999</v>
      </c>
      <c r="E1134" s="35" t="str">
        <f t="shared" si="274"/>
        <v>PSDP'!</v>
      </c>
      <c r="F1134" s="34" t="str">
        <f t="shared" si="275"/>
        <v>C:\Users\jaime.benazar\Quorum Business Solutions\Ecopetrol Prometeo - Documents\Planning Space Implementation\3. Analysis &amp; Design\Design\FC22\DRR Jaime\QUIFA-CAJÚA\Cajua\[CAJUA_CF_SEC_New_27-Feb-2024Rev3.xlsx]D-PSDP'!</v>
      </c>
      <c r="G1134" s="32" t="s">
        <v>112</v>
      </c>
      <c r="H1134" s="33"/>
      <c r="I1134" s="33"/>
      <c r="J1134" s="37"/>
    </row>
    <row r="1135" spans="1:10" x14ac:dyDescent="0.25">
      <c r="A1135" s="32" t="s">
        <v>102</v>
      </c>
      <c r="B1135" s="32">
        <f t="shared" si="276"/>
        <v>2054</v>
      </c>
      <c r="C1135" s="33" t="s">
        <v>11</v>
      </c>
      <c r="D1135" s="34" t="s">
        <v>1999</v>
      </c>
      <c r="E1135" s="35" t="str">
        <f t="shared" si="274"/>
        <v>PSDP'!</v>
      </c>
      <c r="F1135" s="34" t="str">
        <f t="shared" si="275"/>
        <v>C:\Users\jaime.benazar\Quorum Business Solutions\Ecopetrol Prometeo - Documents\Planning Space Implementation\3. Analysis &amp; Design\Design\FC22\DRR Jaime\QUIFA-CAJÚA\Cajua\[CAJUA_CF_SEC_New_27-Feb-2024Rev3.xlsx]D-PSDP'!</v>
      </c>
      <c r="G1135" s="32" t="s">
        <v>112</v>
      </c>
      <c r="H1135" s="33"/>
      <c r="I1135" s="33"/>
      <c r="J1135" s="37"/>
    </row>
    <row r="1136" spans="1:10" x14ac:dyDescent="0.25">
      <c r="A1136" s="32" t="s">
        <v>102</v>
      </c>
      <c r="B1136" s="32">
        <f t="shared" si="276"/>
        <v>2055</v>
      </c>
      <c r="C1136" s="33" t="s">
        <v>11</v>
      </c>
      <c r="D1136" s="34" t="s">
        <v>1999</v>
      </c>
      <c r="E1136" s="35" t="str">
        <f t="shared" si="274"/>
        <v>PSDP'!</v>
      </c>
      <c r="F1136" s="34" t="str">
        <f t="shared" si="275"/>
        <v>C:\Users\jaime.benazar\Quorum Business Solutions\Ecopetrol Prometeo - Documents\Planning Space Implementation\3. Analysis &amp; Design\Design\FC22\DRR Jaime\QUIFA-CAJÚA\Cajua\[CAJUA_CF_SEC_New_27-Feb-2024Rev3.xlsx]D-PSDP'!</v>
      </c>
      <c r="G1136" s="32" t="s">
        <v>112</v>
      </c>
      <c r="H1136" s="33"/>
      <c r="I1136" s="33"/>
      <c r="J1136" s="37"/>
    </row>
    <row r="1137" spans="1:10" x14ac:dyDescent="0.25">
      <c r="A1137" s="32" t="s">
        <v>102</v>
      </c>
      <c r="B1137" s="32">
        <f t="shared" si="276"/>
        <v>2056</v>
      </c>
      <c r="C1137" s="33" t="s">
        <v>11</v>
      </c>
      <c r="D1137" s="34" t="s">
        <v>1999</v>
      </c>
      <c r="E1137" s="35" t="str">
        <f t="shared" si="274"/>
        <v>PSDP'!</v>
      </c>
      <c r="F1137" s="34" t="str">
        <f t="shared" si="275"/>
        <v>C:\Users\jaime.benazar\Quorum Business Solutions\Ecopetrol Prometeo - Documents\Planning Space Implementation\3. Analysis &amp; Design\Design\FC22\DRR Jaime\QUIFA-CAJÚA\Cajua\[CAJUA_CF_SEC_New_27-Feb-2024Rev3.xlsx]D-PSDP'!</v>
      </c>
      <c r="G1137" s="32" t="s">
        <v>112</v>
      </c>
      <c r="H1137" s="33"/>
      <c r="I1137" s="33"/>
      <c r="J1137" s="37"/>
    </row>
    <row r="1138" spans="1:10" x14ac:dyDescent="0.25">
      <c r="A1138" s="32" t="s">
        <v>102</v>
      </c>
      <c r="B1138" s="32">
        <f t="shared" si="276"/>
        <v>2057</v>
      </c>
      <c r="C1138" s="33" t="s">
        <v>11</v>
      </c>
      <c r="D1138" s="34" t="s">
        <v>1999</v>
      </c>
      <c r="E1138" s="35" t="str">
        <f t="shared" si="274"/>
        <v>PSDP'!</v>
      </c>
      <c r="F1138" s="34" t="str">
        <f t="shared" si="275"/>
        <v>C:\Users\jaime.benazar\Quorum Business Solutions\Ecopetrol Prometeo - Documents\Planning Space Implementation\3. Analysis &amp; Design\Design\FC22\DRR Jaime\QUIFA-CAJÚA\Cajua\[CAJUA_CF_SEC_New_27-Feb-2024Rev3.xlsx]D-PSDP'!</v>
      </c>
      <c r="G1138" s="32" t="s">
        <v>112</v>
      </c>
      <c r="H1138" s="33"/>
      <c r="I1138" s="33"/>
      <c r="J1138" s="37"/>
    </row>
    <row r="1139" spans="1:10" x14ac:dyDescent="0.25">
      <c r="A1139" s="32" t="s">
        <v>102</v>
      </c>
      <c r="B1139" s="32">
        <f t="shared" si="276"/>
        <v>2058</v>
      </c>
      <c r="C1139" s="33" t="s">
        <v>11</v>
      </c>
      <c r="D1139" s="34" t="s">
        <v>1999</v>
      </c>
      <c r="E1139" s="35" t="str">
        <f t="shared" si="274"/>
        <v>PSDP'!</v>
      </c>
      <c r="F1139" s="34" t="str">
        <f t="shared" si="275"/>
        <v>C:\Users\jaime.benazar\Quorum Business Solutions\Ecopetrol Prometeo - Documents\Planning Space Implementation\3. Analysis &amp; Design\Design\FC22\DRR Jaime\QUIFA-CAJÚA\Cajua\[CAJUA_CF_SEC_New_27-Feb-2024Rev3.xlsx]D-PSDP'!</v>
      </c>
      <c r="G1139" s="32" t="s">
        <v>112</v>
      </c>
      <c r="H1139" s="33"/>
      <c r="I1139" s="33"/>
      <c r="J1139" s="37"/>
    </row>
    <row r="1140" spans="1:10" x14ac:dyDescent="0.25">
      <c r="A1140" s="32" t="s">
        <v>102</v>
      </c>
      <c r="B1140" s="32">
        <f t="shared" si="276"/>
        <v>2059</v>
      </c>
      <c r="C1140" s="33" t="s">
        <v>11</v>
      </c>
      <c r="D1140" s="34" t="s">
        <v>1999</v>
      </c>
      <c r="E1140" s="35" t="str">
        <f t="shared" si="274"/>
        <v>PSDP'!</v>
      </c>
      <c r="F1140" s="34" t="str">
        <f t="shared" si="275"/>
        <v>C:\Users\jaime.benazar\Quorum Business Solutions\Ecopetrol Prometeo - Documents\Planning Space Implementation\3. Analysis &amp; Design\Design\FC22\DRR Jaime\QUIFA-CAJÚA\Cajua\[CAJUA_CF_SEC_New_27-Feb-2024Rev3.xlsx]D-PSDP'!</v>
      </c>
      <c r="G1140" s="32" t="s">
        <v>112</v>
      </c>
      <c r="H1140" s="33"/>
      <c r="I1140" s="33"/>
      <c r="J1140" s="37"/>
    </row>
    <row r="1141" spans="1:10" x14ac:dyDescent="0.25">
      <c r="A1141" s="32" t="s">
        <v>28</v>
      </c>
      <c r="B1141" s="32"/>
      <c r="C1141" s="33" t="s">
        <v>11</v>
      </c>
      <c r="D1141" s="34"/>
      <c r="E1141" s="35"/>
      <c r="F1141" s="34"/>
      <c r="G1141" s="32"/>
      <c r="H1141" s="33"/>
      <c r="I1141" s="33"/>
      <c r="J1141" s="33"/>
    </row>
    <row r="1142" spans="1:10" x14ac:dyDescent="0.25">
      <c r="A1142" s="32" t="s">
        <v>103</v>
      </c>
      <c r="B1142" s="32">
        <v>2023</v>
      </c>
      <c r="C1142" s="33" t="s">
        <v>11</v>
      </c>
      <c r="D1142" s="34" t="s">
        <v>1999</v>
      </c>
      <c r="E1142" s="35" t="str">
        <f t="shared" ref="E1142:E1162" si="277">_xlfn.CONCAT(A1142,"'!")</f>
        <v>PSNP'!</v>
      </c>
      <c r="F1142" s="34" t="str">
        <f t="shared" ref="F1142:F1162" si="278">_xlfn.CONCAT(D1142:E1142)</f>
        <v>C:\Users\jaime.benazar\Quorum Business Solutions\Ecopetrol Prometeo - Documents\Planning Space Implementation\3. Analysis &amp; Design\Design\FC22\DRR Jaime\QUIFA-CAJÚA\Cajua\[CAJUA_CF_SEC_New_27-Feb-2024Rev3.xlsx]D-PSNP'!</v>
      </c>
      <c r="G1142" s="32" t="s">
        <v>112</v>
      </c>
      <c r="H1142" s="33"/>
      <c r="I1142" s="33"/>
      <c r="J1142" s="37"/>
    </row>
    <row r="1143" spans="1:10" x14ac:dyDescent="0.25">
      <c r="A1143" s="32" t="s">
        <v>103</v>
      </c>
      <c r="B1143" s="32">
        <f>+B1142+1</f>
        <v>2024</v>
      </c>
      <c r="C1143" s="33" t="s">
        <v>11</v>
      </c>
      <c r="D1143" s="34" t="s">
        <v>1999</v>
      </c>
      <c r="E1143" s="35" t="str">
        <f t="shared" si="277"/>
        <v>PSNP'!</v>
      </c>
      <c r="F1143" s="34" t="str">
        <f t="shared" si="278"/>
        <v>C:\Users\jaime.benazar\Quorum Business Solutions\Ecopetrol Prometeo - Documents\Planning Space Implementation\3. Analysis &amp; Design\Design\FC22\DRR Jaime\QUIFA-CAJÚA\Cajua\[CAJUA_CF_SEC_New_27-Feb-2024Rev3.xlsx]D-PSNP'!</v>
      </c>
      <c r="G1143" s="32" t="s">
        <v>112</v>
      </c>
      <c r="H1143" s="33"/>
      <c r="I1143" s="33"/>
      <c r="J1143" s="37"/>
    </row>
    <row r="1144" spans="1:10" x14ac:dyDescent="0.25">
      <c r="A1144" s="32" t="s">
        <v>103</v>
      </c>
      <c r="B1144" s="32">
        <f t="shared" ref="B1144:B1155" si="279">+B1143+1</f>
        <v>2025</v>
      </c>
      <c r="C1144" s="33" t="s">
        <v>11</v>
      </c>
      <c r="D1144" s="34" t="s">
        <v>1999</v>
      </c>
      <c r="E1144" s="35" t="str">
        <f t="shared" si="277"/>
        <v>PSNP'!</v>
      </c>
      <c r="F1144" s="34" t="str">
        <f t="shared" si="278"/>
        <v>C:\Users\jaime.benazar\Quorum Business Solutions\Ecopetrol Prometeo - Documents\Planning Space Implementation\3. Analysis &amp; Design\Design\FC22\DRR Jaime\QUIFA-CAJÚA\Cajua\[CAJUA_CF_SEC_New_27-Feb-2024Rev3.xlsx]D-PSNP'!</v>
      </c>
      <c r="G1144" s="32" t="s">
        <v>112</v>
      </c>
      <c r="H1144" s="33"/>
      <c r="I1144" s="33"/>
      <c r="J1144" s="37"/>
    </row>
    <row r="1145" spans="1:10" x14ac:dyDescent="0.25">
      <c r="A1145" s="32" t="s">
        <v>103</v>
      </c>
      <c r="B1145" s="32">
        <f t="shared" si="279"/>
        <v>2026</v>
      </c>
      <c r="C1145" s="33" t="s">
        <v>11</v>
      </c>
      <c r="D1145" s="34" t="s">
        <v>1999</v>
      </c>
      <c r="E1145" s="35" t="str">
        <f t="shared" si="277"/>
        <v>PSNP'!</v>
      </c>
      <c r="F1145" s="34" t="str">
        <f t="shared" si="278"/>
        <v>C:\Users\jaime.benazar\Quorum Business Solutions\Ecopetrol Prometeo - Documents\Planning Space Implementation\3. Analysis &amp; Design\Design\FC22\DRR Jaime\QUIFA-CAJÚA\Cajua\[CAJUA_CF_SEC_New_27-Feb-2024Rev3.xlsx]D-PSNP'!</v>
      </c>
      <c r="G1145" s="32" t="s">
        <v>112</v>
      </c>
      <c r="H1145" s="33"/>
      <c r="I1145" s="33"/>
      <c r="J1145" s="37"/>
    </row>
    <row r="1146" spans="1:10" x14ac:dyDescent="0.25">
      <c r="A1146" s="32" t="s">
        <v>103</v>
      </c>
      <c r="B1146" s="32">
        <f t="shared" si="279"/>
        <v>2027</v>
      </c>
      <c r="C1146" s="33" t="s">
        <v>11</v>
      </c>
      <c r="D1146" s="34" t="s">
        <v>1999</v>
      </c>
      <c r="E1146" s="35" t="str">
        <f t="shared" si="277"/>
        <v>PSNP'!</v>
      </c>
      <c r="F1146" s="34" t="str">
        <f t="shared" si="278"/>
        <v>C:\Users\jaime.benazar\Quorum Business Solutions\Ecopetrol Prometeo - Documents\Planning Space Implementation\3. Analysis &amp; Design\Design\FC22\DRR Jaime\QUIFA-CAJÚA\Cajua\[CAJUA_CF_SEC_New_27-Feb-2024Rev3.xlsx]D-PSNP'!</v>
      </c>
      <c r="G1146" s="32" t="s">
        <v>112</v>
      </c>
      <c r="H1146" s="33"/>
      <c r="I1146" s="33"/>
      <c r="J1146" s="37"/>
    </row>
    <row r="1147" spans="1:10" x14ac:dyDescent="0.25">
      <c r="A1147" s="32" t="s">
        <v>103</v>
      </c>
      <c r="B1147" s="32">
        <f t="shared" si="279"/>
        <v>2028</v>
      </c>
      <c r="C1147" s="33" t="s">
        <v>11</v>
      </c>
      <c r="D1147" s="34" t="s">
        <v>1999</v>
      </c>
      <c r="E1147" s="35" t="str">
        <f t="shared" si="277"/>
        <v>PSNP'!</v>
      </c>
      <c r="F1147" s="34" t="str">
        <f t="shared" si="278"/>
        <v>C:\Users\jaime.benazar\Quorum Business Solutions\Ecopetrol Prometeo - Documents\Planning Space Implementation\3. Analysis &amp; Design\Design\FC22\DRR Jaime\QUIFA-CAJÚA\Cajua\[CAJUA_CF_SEC_New_27-Feb-2024Rev3.xlsx]D-PSNP'!</v>
      </c>
      <c r="G1147" s="32" t="s">
        <v>112</v>
      </c>
      <c r="H1147" s="33"/>
      <c r="I1147" s="33"/>
      <c r="J1147" s="37"/>
    </row>
    <row r="1148" spans="1:10" x14ac:dyDescent="0.25">
      <c r="A1148" s="32" t="s">
        <v>103</v>
      </c>
      <c r="B1148" s="32">
        <f t="shared" si="279"/>
        <v>2029</v>
      </c>
      <c r="C1148" s="33" t="s">
        <v>11</v>
      </c>
      <c r="D1148" s="34" t="s">
        <v>1999</v>
      </c>
      <c r="E1148" s="35" t="str">
        <f t="shared" si="277"/>
        <v>PSNP'!</v>
      </c>
      <c r="F1148" s="34" t="str">
        <f t="shared" si="278"/>
        <v>C:\Users\jaime.benazar\Quorum Business Solutions\Ecopetrol Prometeo - Documents\Planning Space Implementation\3. Analysis &amp; Design\Design\FC22\DRR Jaime\QUIFA-CAJÚA\Cajua\[CAJUA_CF_SEC_New_27-Feb-2024Rev3.xlsx]D-PSNP'!</v>
      </c>
      <c r="G1148" s="32" t="s">
        <v>112</v>
      </c>
      <c r="H1148" s="33"/>
      <c r="I1148" s="33"/>
      <c r="J1148" s="37"/>
    </row>
    <row r="1149" spans="1:10" x14ac:dyDescent="0.25">
      <c r="A1149" s="32" t="s">
        <v>103</v>
      </c>
      <c r="B1149" s="32">
        <f t="shared" si="279"/>
        <v>2030</v>
      </c>
      <c r="C1149" s="33" t="s">
        <v>11</v>
      </c>
      <c r="D1149" s="34" t="s">
        <v>1999</v>
      </c>
      <c r="E1149" s="35" t="str">
        <f t="shared" si="277"/>
        <v>PSNP'!</v>
      </c>
      <c r="F1149" s="34" t="str">
        <f t="shared" si="278"/>
        <v>C:\Users\jaime.benazar\Quorum Business Solutions\Ecopetrol Prometeo - Documents\Planning Space Implementation\3. Analysis &amp; Design\Design\FC22\DRR Jaime\QUIFA-CAJÚA\Cajua\[CAJUA_CF_SEC_New_27-Feb-2024Rev3.xlsx]D-PSNP'!</v>
      </c>
      <c r="G1149" s="32" t="s">
        <v>112</v>
      </c>
      <c r="H1149" s="33"/>
      <c r="I1149" s="33"/>
      <c r="J1149" s="37"/>
    </row>
    <row r="1150" spans="1:10" x14ac:dyDescent="0.25">
      <c r="A1150" s="32" t="s">
        <v>103</v>
      </c>
      <c r="B1150" s="32">
        <f t="shared" si="279"/>
        <v>2031</v>
      </c>
      <c r="C1150" s="33" t="s">
        <v>11</v>
      </c>
      <c r="D1150" s="34" t="s">
        <v>1999</v>
      </c>
      <c r="E1150" s="35" t="str">
        <f t="shared" si="277"/>
        <v>PSNP'!</v>
      </c>
      <c r="F1150" s="34" t="str">
        <f t="shared" si="278"/>
        <v>C:\Users\jaime.benazar\Quorum Business Solutions\Ecopetrol Prometeo - Documents\Planning Space Implementation\3. Analysis &amp; Design\Design\FC22\DRR Jaime\QUIFA-CAJÚA\Cajua\[CAJUA_CF_SEC_New_27-Feb-2024Rev3.xlsx]D-PSNP'!</v>
      </c>
      <c r="G1150" s="32" t="s">
        <v>112</v>
      </c>
      <c r="H1150" s="33"/>
      <c r="I1150" s="33"/>
      <c r="J1150" s="37"/>
    </row>
    <row r="1151" spans="1:10" x14ac:dyDescent="0.25">
      <c r="A1151" s="32" t="s">
        <v>103</v>
      </c>
      <c r="B1151" s="32">
        <f t="shared" si="279"/>
        <v>2032</v>
      </c>
      <c r="C1151" s="33" t="s">
        <v>11</v>
      </c>
      <c r="D1151" s="34" t="s">
        <v>1999</v>
      </c>
      <c r="E1151" s="35" t="str">
        <f t="shared" si="277"/>
        <v>PSNP'!</v>
      </c>
      <c r="F1151" s="34" t="str">
        <f t="shared" si="278"/>
        <v>C:\Users\jaime.benazar\Quorum Business Solutions\Ecopetrol Prometeo - Documents\Planning Space Implementation\3. Analysis &amp; Design\Design\FC22\DRR Jaime\QUIFA-CAJÚA\Cajua\[CAJUA_CF_SEC_New_27-Feb-2024Rev3.xlsx]D-PSNP'!</v>
      </c>
      <c r="G1151" s="32" t="s">
        <v>112</v>
      </c>
      <c r="H1151" s="33"/>
      <c r="I1151" s="33"/>
      <c r="J1151" s="37"/>
    </row>
    <row r="1152" spans="1:10" x14ac:dyDescent="0.25">
      <c r="A1152" s="32" t="s">
        <v>103</v>
      </c>
      <c r="B1152" s="32">
        <f t="shared" si="279"/>
        <v>2033</v>
      </c>
      <c r="C1152" s="33" t="s">
        <v>11</v>
      </c>
      <c r="D1152" s="34" t="s">
        <v>1999</v>
      </c>
      <c r="E1152" s="35" t="str">
        <f t="shared" si="277"/>
        <v>PSNP'!</v>
      </c>
      <c r="F1152" s="34" t="str">
        <f t="shared" si="278"/>
        <v>C:\Users\jaime.benazar\Quorum Business Solutions\Ecopetrol Prometeo - Documents\Planning Space Implementation\3. Analysis &amp; Design\Design\FC22\DRR Jaime\QUIFA-CAJÚA\Cajua\[CAJUA_CF_SEC_New_27-Feb-2024Rev3.xlsx]D-PSNP'!</v>
      </c>
      <c r="G1152" s="32" t="s">
        <v>112</v>
      </c>
      <c r="H1152" s="33"/>
      <c r="I1152" s="33"/>
      <c r="J1152" s="37"/>
    </row>
    <row r="1153" spans="1:10" x14ac:dyDescent="0.25">
      <c r="A1153" s="32" t="s">
        <v>103</v>
      </c>
      <c r="B1153" s="32">
        <f t="shared" si="279"/>
        <v>2034</v>
      </c>
      <c r="C1153" s="33" t="s">
        <v>11</v>
      </c>
      <c r="D1153" s="34" t="s">
        <v>1999</v>
      </c>
      <c r="E1153" s="35" t="str">
        <f t="shared" si="277"/>
        <v>PSNP'!</v>
      </c>
      <c r="F1153" s="34" t="str">
        <f t="shared" si="278"/>
        <v>C:\Users\jaime.benazar\Quorum Business Solutions\Ecopetrol Prometeo - Documents\Planning Space Implementation\3. Analysis &amp; Design\Design\FC22\DRR Jaime\QUIFA-CAJÚA\Cajua\[CAJUA_CF_SEC_New_27-Feb-2024Rev3.xlsx]D-PSNP'!</v>
      </c>
      <c r="G1153" s="32" t="s">
        <v>112</v>
      </c>
      <c r="H1153" s="33"/>
      <c r="I1153" s="33"/>
      <c r="J1153" s="37"/>
    </row>
    <row r="1154" spans="1:10" x14ac:dyDescent="0.25">
      <c r="A1154" s="32" t="s">
        <v>103</v>
      </c>
      <c r="B1154" s="32">
        <f t="shared" si="279"/>
        <v>2035</v>
      </c>
      <c r="C1154" s="33" t="s">
        <v>11</v>
      </c>
      <c r="D1154" s="34" t="s">
        <v>1999</v>
      </c>
      <c r="E1154" s="35" t="str">
        <f t="shared" si="277"/>
        <v>PSNP'!</v>
      </c>
      <c r="F1154" s="34" t="str">
        <f t="shared" si="278"/>
        <v>C:\Users\jaime.benazar\Quorum Business Solutions\Ecopetrol Prometeo - Documents\Planning Space Implementation\3. Analysis &amp; Design\Design\FC22\DRR Jaime\QUIFA-CAJÚA\Cajua\[CAJUA_CF_SEC_New_27-Feb-2024Rev3.xlsx]D-PSNP'!</v>
      </c>
      <c r="G1154" s="32" t="s">
        <v>112</v>
      </c>
      <c r="H1154" s="33"/>
      <c r="I1154" s="33"/>
      <c r="J1154" s="37"/>
    </row>
    <row r="1155" spans="1:10" x14ac:dyDescent="0.25">
      <c r="A1155" s="32" t="s">
        <v>103</v>
      </c>
      <c r="B1155" s="32">
        <f t="shared" si="279"/>
        <v>2036</v>
      </c>
      <c r="C1155" s="33" t="s">
        <v>11</v>
      </c>
      <c r="D1155" s="34" t="s">
        <v>1999</v>
      </c>
      <c r="E1155" s="35" t="str">
        <f t="shared" si="277"/>
        <v>PSNP'!</v>
      </c>
      <c r="F1155" s="34" t="str">
        <f t="shared" si="278"/>
        <v>C:\Users\jaime.benazar\Quorum Business Solutions\Ecopetrol Prometeo - Documents\Planning Space Implementation\3. Analysis &amp; Design\Design\FC22\DRR Jaime\QUIFA-CAJÚA\Cajua\[CAJUA_CF_SEC_New_27-Feb-2024Rev3.xlsx]D-PSNP'!</v>
      </c>
      <c r="G1155" s="32" t="s">
        <v>112</v>
      </c>
      <c r="H1155" s="33"/>
      <c r="I1155" s="33"/>
      <c r="J1155" s="37"/>
    </row>
    <row r="1156" spans="1:10" x14ac:dyDescent="0.25">
      <c r="A1156" s="32" t="s">
        <v>103</v>
      </c>
      <c r="B1156" s="32">
        <f>+B1155+1</f>
        <v>2037</v>
      </c>
      <c r="C1156" s="33" t="s">
        <v>11</v>
      </c>
      <c r="D1156" s="34" t="s">
        <v>1999</v>
      </c>
      <c r="E1156" s="35" t="str">
        <f t="shared" si="277"/>
        <v>PSNP'!</v>
      </c>
      <c r="F1156" s="34" t="str">
        <f t="shared" si="278"/>
        <v>C:\Users\jaime.benazar\Quorum Business Solutions\Ecopetrol Prometeo - Documents\Planning Space Implementation\3. Analysis &amp; Design\Design\FC22\DRR Jaime\QUIFA-CAJÚA\Cajua\[CAJUA_CF_SEC_New_27-Feb-2024Rev3.xlsx]D-PSNP'!</v>
      </c>
      <c r="G1156" s="32" t="s">
        <v>112</v>
      </c>
      <c r="H1156" s="33"/>
      <c r="I1156" s="33"/>
      <c r="J1156" s="37"/>
    </row>
    <row r="1157" spans="1:10" x14ac:dyDescent="0.25">
      <c r="A1157" s="32" t="s">
        <v>103</v>
      </c>
      <c r="B1157" s="32">
        <f t="shared" ref="B1157:B1159" si="280">+B1156+1</f>
        <v>2038</v>
      </c>
      <c r="C1157" s="33" t="s">
        <v>11</v>
      </c>
      <c r="D1157" s="34" t="s">
        <v>1999</v>
      </c>
      <c r="E1157" s="35" t="str">
        <f t="shared" si="277"/>
        <v>PSNP'!</v>
      </c>
      <c r="F1157" s="34" t="str">
        <f t="shared" si="278"/>
        <v>C:\Users\jaime.benazar\Quorum Business Solutions\Ecopetrol Prometeo - Documents\Planning Space Implementation\3. Analysis &amp; Design\Design\FC22\DRR Jaime\QUIFA-CAJÚA\Cajua\[CAJUA_CF_SEC_New_27-Feb-2024Rev3.xlsx]D-PSNP'!</v>
      </c>
      <c r="G1157" s="32" t="s">
        <v>112</v>
      </c>
      <c r="H1157" s="33"/>
      <c r="I1157" s="33"/>
      <c r="J1157" s="37"/>
    </row>
    <row r="1158" spans="1:10" x14ac:dyDescent="0.25">
      <c r="A1158" s="32" t="s">
        <v>103</v>
      </c>
      <c r="B1158" s="32">
        <f t="shared" si="280"/>
        <v>2039</v>
      </c>
      <c r="C1158" s="33" t="s">
        <v>11</v>
      </c>
      <c r="D1158" s="34" t="s">
        <v>1999</v>
      </c>
      <c r="E1158" s="35" t="str">
        <f t="shared" si="277"/>
        <v>PSNP'!</v>
      </c>
      <c r="F1158" s="34" t="str">
        <f t="shared" si="278"/>
        <v>C:\Users\jaime.benazar\Quorum Business Solutions\Ecopetrol Prometeo - Documents\Planning Space Implementation\3. Analysis &amp; Design\Design\FC22\DRR Jaime\QUIFA-CAJÚA\Cajua\[CAJUA_CF_SEC_New_27-Feb-2024Rev3.xlsx]D-PSNP'!</v>
      </c>
      <c r="G1158" s="32" t="s">
        <v>112</v>
      </c>
      <c r="H1158" s="33"/>
      <c r="I1158" s="33"/>
      <c r="J1158" s="37"/>
    </row>
    <row r="1159" spans="1:10" x14ac:dyDescent="0.25">
      <c r="A1159" s="32" t="s">
        <v>103</v>
      </c>
      <c r="B1159" s="32">
        <f t="shared" si="280"/>
        <v>2040</v>
      </c>
      <c r="C1159" s="33" t="s">
        <v>11</v>
      </c>
      <c r="D1159" s="34" t="s">
        <v>1999</v>
      </c>
      <c r="E1159" s="35" t="str">
        <f t="shared" si="277"/>
        <v>PSNP'!</v>
      </c>
      <c r="F1159" s="34" t="str">
        <f t="shared" si="278"/>
        <v>C:\Users\jaime.benazar\Quorum Business Solutions\Ecopetrol Prometeo - Documents\Planning Space Implementation\3. Analysis &amp; Design\Design\FC22\DRR Jaime\QUIFA-CAJÚA\Cajua\[CAJUA_CF_SEC_New_27-Feb-2024Rev3.xlsx]D-PSNP'!</v>
      </c>
      <c r="G1159" s="32" t="s">
        <v>112</v>
      </c>
      <c r="H1159" s="33"/>
      <c r="I1159" s="33"/>
      <c r="J1159" s="37"/>
    </row>
    <row r="1160" spans="1:10" x14ac:dyDescent="0.25">
      <c r="A1160" s="32" t="s">
        <v>103</v>
      </c>
      <c r="B1160" s="32">
        <f>+B1159+1</f>
        <v>2041</v>
      </c>
      <c r="C1160" s="33" t="s">
        <v>11</v>
      </c>
      <c r="D1160" s="34" t="s">
        <v>1999</v>
      </c>
      <c r="E1160" s="35" t="str">
        <f t="shared" si="277"/>
        <v>PSNP'!</v>
      </c>
      <c r="F1160" s="34" t="str">
        <f t="shared" si="278"/>
        <v>C:\Users\jaime.benazar\Quorum Business Solutions\Ecopetrol Prometeo - Documents\Planning Space Implementation\3. Analysis &amp; Design\Design\FC22\DRR Jaime\QUIFA-CAJÚA\Cajua\[CAJUA_CF_SEC_New_27-Feb-2024Rev3.xlsx]D-PSNP'!</v>
      </c>
      <c r="G1160" s="32" t="s">
        <v>112</v>
      </c>
      <c r="H1160" s="33"/>
      <c r="I1160" s="33"/>
      <c r="J1160" s="37"/>
    </row>
    <row r="1161" spans="1:10" x14ac:dyDescent="0.25">
      <c r="A1161" s="32" t="s">
        <v>103</v>
      </c>
      <c r="B1161" s="32">
        <f t="shared" ref="B1161:B1162" si="281">+B1160+1</f>
        <v>2042</v>
      </c>
      <c r="C1161" s="33" t="s">
        <v>11</v>
      </c>
      <c r="D1161" s="34" t="s">
        <v>1999</v>
      </c>
      <c r="E1161" s="35" t="str">
        <f t="shared" si="277"/>
        <v>PSNP'!</v>
      </c>
      <c r="F1161" s="34" t="str">
        <f t="shared" si="278"/>
        <v>C:\Users\jaime.benazar\Quorum Business Solutions\Ecopetrol Prometeo - Documents\Planning Space Implementation\3. Analysis &amp; Design\Design\FC22\DRR Jaime\QUIFA-CAJÚA\Cajua\[CAJUA_CF_SEC_New_27-Feb-2024Rev3.xlsx]D-PSNP'!</v>
      </c>
      <c r="G1161" s="32" t="s">
        <v>112</v>
      </c>
      <c r="H1161" s="33"/>
      <c r="I1161" s="33"/>
      <c r="J1161" s="37"/>
    </row>
    <row r="1162" spans="1:10" x14ac:dyDescent="0.25">
      <c r="A1162" s="32" t="s">
        <v>103</v>
      </c>
      <c r="B1162" s="32">
        <f t="shared" si="281"/>
        <v>2043</v>
      </c>
      <c r="C1162" s="33" t="s">
        <v>11</v>
      </c>
      <c r="D1162" s="34" t="s">
        <v>1999</v>
      </c>
      <c r="E1162" s="35" t="str">
        <f t="shared" si="277"/>
        <v>PSNP'!</v>
      </c>
      <c r="F1162" s="34" t="str">
        <f t="shared" si="278"/>
        <v>C:\Users\jaime.benazar\Quorum Business Solutions\Ecopetrol Prometeo - Documents\Planning Space Implementation\3. Analysis &amp; Design\Design\FC22\DRR Jaime\QUIFA-CAJÚA\Cajua\[CAJUA_CF_SEC_New_27-Feb-2024Rev3.xlsx]D-PSNP'!</v>
      </c>
      <c r="G1162" s="32" t="s">
        <v>112</v>
      </c>
      <c r="H1162" s="33"/>
      <c r="I1162" s="33"/>
      <c r="J1162" s="37"/>
    </row>
    <row r="1163" spans="1:10" x14ac:dyDescent="0.25">
      <c r="A1163" s="32" t="s">
        <v>103</v>
      </c>
      <c r="B1163" s="32">
        <f>+B1162+1</f>
        <v>2044</v>
      </c>
      <c r="C1163" s="33" t="s">
        <v>11</v>
      </c>
      <c r="D1163" s="34" t="s">
        <v>1999</v>
      </c>
      <c r="E1163" s="35" t="str">
        <f t="shared" ref="E1163:E1178" si="282">_xlfn.CONCAT(A1163,"'!")</f>
        <v>PSNP'!</v>
      </c>
      <c r="F1163" s="34" t="str">
        <f t="shared" ref="F1163:F1178" si="283">_xlfn.CONCAT(D1163:E1163)</f>
        <v>C:\Users\jaime.benazar\Quorum Business Solutions\Ecopetrol Prometeo - Documents\Planning Space Implementation\3. Analysis &amp; Design\Design\FC22\DRR Jaime\QUIFA-CAJÚA\Cajua\[CAJUA_CF_SEC_New_27-Feb-2024Rev3.xlsx]D-PSNP'!</v>
      </c>
      <c r="G1163" s="32" t="s">
        <v>112</v>
      </c>
      <c r="H1163" s="33"/>
      <c r="I1163" s="33"/>
      <c r="J1163" s="37"/>
    </row>
    <row r="1164" spans="1:10" x14ac:dyDescent="0.25">
      <c r="A1164" s="32" t="s">
        <v>103</v>
      </c>
      <c r="B1164" s="32">
        <f t="shared" ref="B1164:B1178" si="284">+B1163+1</f>
        <v>2045</v>
      </c>
      <c r="C1164" s="33" t="s">
        <v>11</v>
      </c>
      <c r="D1164" s="34" t="s">
        <v>1999</v>
      </c>
      <c r="E1164" s="35" t="str">
        <f t="shared" si="282"/>
        <v>PSNP'!</v>
      </c>
      <c r="F1164" s="34" t="str">
        <f t="shared" si="283"/>
        <v>C:\Users\jaime.benazar\Quorum Business Solutions\Ecopetrol Prometeo - Documents\Planning Space Implementation\3. Analysis &amp; Design\Design\FC22\DRR Jaime\QUIFA-CAJÚA\Cajua\[CAJUA_CF_SEC_New_27-Feb-2024Rev3.xlsx]D-PSNP'!</v>
      </c>
      <c r="G1164" s="32" t="s">
        <v>112</v>
      </c>
      <c r="H1164" s="33"/>
      <c r="I1164" s="33"/>
      <c r="J1164" s="37"/>
    </row>
    <row r="1165" spans="1:10" x14ac:dyDescent="0.25">
      <c r="A1165" s="32" t="s">
        <v>103</v>
      </c>
      <c r="B1165" s="32">
        <f t="shared" si="284"/>
        <v>2046</v>
      </c>
      <c r="C1165" s="33" t="s">
        <v>11</v>
      </c>
      <c r="D1165" s="34" t="s">
        <v>1999</v>
      </c>
      <c r="E1165" s="35" t="str">
        <f t="shared" si="282"/>
        <v>PSNP'!</v>
      </c>
      <c r="F1165" s="34" t="str">
        <f t="shared" si="283"/>
        <v>C:\Users\jaime.benazar\Quorum Business Solutions\Ecopetrol Prometeo - Documents\Planning Space Implementation\3. Analysis &amp; Design\Design\FC22\DRR Jaime\QUIFA-CAJÚA\Cajua\[CAJUA_CF_SEC_New_27-Feb-2024Rev3.xlsx]D-PSNP'!</v>
      </c>
      <c r="G1165" s="32" t="s">
        <v>112</v>
      </c>
      <c r="H1165" s="33"/>
      <c r="I1165" s="33"/>
      <c r="J1165" s="37"/>
    </row>
    <row r="1166" spans="1:10" x14ac:dyDescent="0.25">
      <c r="A1166" s="32" t="s">
        <v>103</v>
      </c>
      <c r="B1166" s="32">
        <f t="shared" si="284"/>
        <v>2047</v>
      </c>
      <c r="C1166" s="33" t="s">
        <v>11</v>
      </c>
      <c r="D1166" s="34" t="s">
        <v>1999</v>
      </c>
      <c r="E1166" s="35" t="str">
        <f t="shared" si="282"/>
        <v>PSNP'!</v>
      </c>
      <c r="F1166" s="34" t="str">
        <f t="shared" si="283"/>
        <v>C:\Users\jaime.benazar\Quorum Business Solutions\Ecopetrol Prometeo - Documents\Planning Space Implementation\3. Analysis &amp; Design\Design\FC22\DRR Jaime\QUIFA-CAJÚA\Cajua\[CAJUA_CF_SEC_New_27-Feb-2024Rev3.xlsx]D-PSNP'!</v>
      </c>
      <c r="G1166" s="32" t="s">
        <v>112</v>
      </c>
      <c r="H1166" s="33"/>
      <c r="I1166" s="33"/>
      <c r="J1166" s="37"/>
    </row>
    <row r="1167" spans="1:10" x14ac:dyDescent="0.25">
      <c r="A1167" s="32" t="s">
        <v>103</v>
      </c>
      <c r="B1167" s="32">
        <f t="shared" si="284"/>
        <v>2048</v>
      </c>
      <c r="C1167" s="33" t="s">
        <v>11</v>
      </c>
      <c r="D1167" s="34" t="s">
        <v>1999</v>
      </c>
      <c r="E1167" s="35" t="str">
        <f t="shared" si="282"/>
        <v>PSNP'!</v>
      </c>
      <c r="F1167" s="34" t="str">
        <f t="shared" si="283"/>
        <v>C:\Users\jaime.benazar\Quorum Business Solutions\Ecopetrol Prometeo - Documents\Planning Space Implementation\3. Analysis &amp; Design\Design\FC22\DRR Jaime\QUIFA-CAJÚA\Cajua\[CAJUA_CF_SEC_New_27-Feb-2024Rev3.xlsx]D-PSNP'!</v>
      </c>
      <c r="G1167" s="32" t="s">
        <v>112</v>
      </c>
      <c r="H1167" s="33"/>
      <c r="I1167" s="33"/>
      <c r="J1167" s="37"/>
    </row>
    <row r="1168" spans="1:10" x14ac:dyDescent="0.25">
      <c r="A1168" s="32" t="s">
        <v>103</v>
      </c>
      <c r="B1168" s="32">
        <f t="shared" si="284"/>
        <v>2049</v>
      </c>
      <c r="C1168" s="33" t="s">
        <v>11</v>
      </c>
      <c r="D1168" s="34" t="s">
        <v>1999</v>
      </c>
      <c r="E1168" s="35" t="str">
        <f t="shared" si="282"/>
        <v>PSNP'!</v>
      </c>
      <c r="F1168" s="34" t="str">
        <f t="shared" si="283"/>
        <v>C:\Users\jaime.benazar\Quorum Business Solutions\Ecopetrol Prometeo - Documents\Planning Space Implementation\3. Analysis &amp; Design\Design\FC22\DRR Jaime\QUIFA-CAJÚA\Cajua\[CAJUA_CF_SEC_New_27-Feb-2024Rev3.xlsx]D-PSNP'!</v>
      </c>
      <c r="G1168" s="32" t="s">
        <v>112</v>
      </c>
      <c r="H1168" s="33"/>
      <c r="I1168" s="33"/>
      <c r="J1168" s="37"/>
    </row>
    <row r="1169" spans="1:10" x14ac:dyDescent="0.25">
      <c r="A1169" s="32" t="s">
        <v>103</v>
      </c>
      <c r="B1169" s="32">
        <f t="shared" si="284"/>
        <v>2050</v>
      </c>
      <c r="C1169" s="33" t="s">
        <v>11</v>
      </c>
      <c r="D1169" s="34" t="s">
        <v>1999</v>
      </c>
      <c r="E1169" s="35" t="str">
        <f t="shared" si="282"/>
        <v>PSNP'!</v>
      </c>
      <c r="F1169" s="34" t="str">
        <f t="shared" si="283"/>
        <v>C:\Users\jaime.benazar\Quorum Business Solutions\Ecopetrol Prometeo - Documents\Planning Space Implementation\3. Analysis &amp; Design\Design\FC22\DRR Jaime\QUIFA-CAJÚA\Cajua\[CAJUA_CF_SEC_New_27-Feb-2024Rev3.xlsx]D-PSNP'!</v>
      </c>
      <c r="G1169" s="32" t="s">
        <v>112</v>
      </c>
      <c r="H1169" s="33"/>
      <c r="I1169" s="33"/>
      <c r="J1169" s="37"/>
    </row>
    <row r="1170" spans="1:10" x14ac:dyDescent="0.25">
      <c r="A1170" s="32" t="s">
        <v>103</v>
      </c>
      <c r="B1170" s="32">
        <f t="shared" si="284"/>
        <v>2051</v>
      </c>
      <c r="C1170" s="33" t="s">
        <v>11</v>
      </c>
      <c r="D1170" s="34" t="s">
        <v>1999</v>
      </c>
      <c r="E1170" s="35" t="str">
        <f t="shared" si="282"/>
        <v>PSNP'!</v>
      </c>
      <c r="F1170" s="34" t="str">
        <f t="shared" si="283"/>
        <v>C:\Users\jaime.benazar\Quorum Business Solutions\Ecopetrol Prometeo - Documents\Planning Space Implementation\3. Analysis &amp; Design\Design\FC22\DRR Jaime\QUIFA-CAJÚA\Cajua\[CAJUA_CF_SEC_New_27-Feb-2024Rev3.xlsx]D-PSNP'!</v>
      </c>
      <c r="G1170" s="32" t="s">
        <v>112</v>
      </c>
      <c r="H1170" s="33"/>
      <c r="I1170" s="33"/>
      <c r="J1170" s="37"/>
    </row>
    <row r="1171" spans="1:10" x14ac:dyDescent="0.25">
      <c r="A1171" s="32" t="s">
        <v>103</v>
      </c>
      <c r="B1171" s="32">
        <f t="shared" si="284"/>
        <v>2052</v>
      </c>
      <c r="C1171" s="33" t="s">
        <v>11</v>
      </c>
      <c r="D1171" s="34" t="s">
        <v>1999</v>
      </c>
      <c r="E1171" s="35" t="str">
        <f t="shared" si="282"/>
        <v>PSNP'!</v>
      </c>
      <c r="F1171" s="34" t="str">
        <f t="shared" si="283"/>
        <v>C:\Users\jaime.benazar\Quorum Business Solutions\Ecopetrol Prometeo - Documents\Planning Space Implementation\3. Analysis &amp; Design\Design\FC22\DRR Jaime\QUIFA-CAJÚA\Cajua\[CAJUA_CF_SEC_New_27-Feb-2024Rev3.xlsx]D-PSNP'!</v>
      </c>
      <c r="G1171" s="32" t="s">
        <v>112</v>
      </c>
      <c r="H1171" s="33"/>
      <c r="I1171" s="33"/>
      <c r="J1171" s="37"/>
    </row>
    <row r="1172" spans="1:10" x14ac:dyDescent="0.25">
      <c r="A1172" s="32" t="s">
        <v>103</v>
      </c>
      <c r="B1172" s="32">
        <f t="shared" si="284"/>
        <v>2053</v>
      </c>
      <c r="C1172" s="33" t="s">
        <v>11</v>
      </c>
      <c r="D1172" s="34" t="s">
        <v>1999</v>
      </c>
      <c r="E1172" s="35" t="str">
        <f t="shared" si="282"/>
        <v>PSNP'!</v>
      </c>
      <c r="F1172" s="34" t="str">
        <f t="shared" si="283"/>
        <v>C:\Users\jaime.benazar\Quorum Business Solutions\Ecopetrol Prometeo - Documents\Planning Space Implementation\3. Analysis &amp; Design\Design\FC22\DRR Jaime\QUIFA-CAJÚA\Cajua\[CAJUA_CF_SEC_New_27-Feb-2024Rev3.xlsx]D-PSNP'!</v>
      </c>
      <c r="G1172" s="32" t="s">
        <v>112</v>
      </c>
      <c r="H1172" s="33"/>
      <c r="I1172" s="33"/>
      <c r="J1172" s="37"/>
    </row>
    <row r="1173" spans="1:10" x14ac:dyDescent="0.25">
      <c r="A1173" s="32" t="s">
        <v>103</v>
      </c>
      <c r="B1173" s="32">
        <f t="shared" si="284"/>
        <v>2054</v>
      </c>
      <c r="C1173" s="33" t="s">
        <v>11</v>
      </c>
      <c r="D1173" s="34" t="s">
        <v>1999</v>
      </c>
      <c r="E1173" s="35" t="str">
        <f t="shared" si="282"/>
        <v>PSNP'!</v>
      </c>
      <c r="F1173" s="34" t="str">
        <f t="shared" si="283"/>
        <v>C:\Users\jaime.benazar\Quorum Business Solutions\Ecopetrol Prometeo - Documents\Planning Space Implementation\3. Analysis &amp; Design\Design\FC22\DRR Jaime\QUIFA-CAJÚA\Cajua\[CAJUA_CF_SEC_New_27-Feb-2024Rev3.xlsx]D-PSNP'!</v>
      </c>
      <c r="G1173" s="32" t="s">
        <v>112</v>
      </c>
      <c r="H1173" s="33"/>
      <c r="I1173" s="33"/>
      <c r="J1173" s="37"/>
    </row>
    <row r="1174" spans="1:10" x14ac:dyDescent="0.25">
      <c r="A1174" s="32" t="s">
        <v>103</v>
      </c>
      <c r="B1174" s="32">
        <f t="shared" si="284"/>
        <v>2055</v>
      </c>
      <c r="C1174" s="33" t="s">
        <v>11</v>
      </c>
      <c r="D1174" s="34" t="s">
        <v>1999</v>
      </c>
      <c r="E1174" s="35" t="str">
        <f t="shared" si="282"/>
        <v>PSNP'!</v>
      </c>
      <c r="F1174" s="34" t="str">
        <f t="shared" si="283"/>
        <v>C:\Users\jaime.benazar\Quorum Business Solutions\Ecopetrol Prometeo - Documents\Planning Space Implementation\3. Analysis &amp; Design\Design\FC22\DRR Jaime\QUIFA-CAJÚA\Cajua\[CAJUA_CF_SEC_New_27-Feb-2024Rev3.xlsx]D-PSNP'!</v>
      </c>
      <c r="G1174" s="32" t="s">
        <v>112</v>
      </c>
      <c r="H1174" s="33"/>
      <c r="I1174" s="33"/>
      <c r="J1174" s="37"/>
    </row>
    <row r="1175" spans="1:10" x14ac:dyDescent="0.25">
      <c r="A1175" s="32" t="s">
        <v>103</v>
      </c>
      <c r="B1175" s="32">
        <f t="shared" si="284"/>
        <v>2056</v>
      </c>
      <c r="C1175" s="33" t="s">
        <v>11</v>
      </c>
      <c r="D1175" s="34" t="s">
        <v>1999</v>
      </c>
      <c r="E1175" s="35" t="str">
        <f t="shared" si="282"/>
        <v>PSNP'!</v>
      </c>
      <c r="F1175" s="34" t="str">
        <f t="shared" si="283"/>
        <v>C:\Users\jaime.benazar\Quorum Business Solutions\Ecopetrol Prometeo - Documents\Planning Space Implementation\3. Analysis &amp; Design\Design\FC22\DRR Jaime\QUIFA-CAJÚA\Cajua\[CAJUA_CF_SEC_New_27-Feb-2024Rev3.xlsx]D-PSNP'!</v>
      </c>
      <c r="G1175" s="32" t="s">
        <v>112</v>
      </c>
      <c r="H1175" s="33"/>
      <c r="I1175" s="33"/>
      <c r="J1175" s="37"/>
    </row>
    <row r="1176" spans="1:10" x14ac:dyDescent="0.25">
      <c r="A1176" s="32" t="s">
        <v>103</v>
      </c>
      <c r="B1176" s="32">
        <f t="shared" si="284"/>
        <v>2057</v>
      </c>
      <c r="C1176" s="33" t="s">
        <v>11</v>
      </c>
      <c r="D1176" s="34" t="s">
        <v>1999</v>
      </c>
      <c r="E1176" s="35" t="str">
        <f t="shared" si="282"/>
        <v>PSNP'!</v>
      </c>
      <c r="F1176" s="34" t="str">
        <f t="shared" si="283"/>
        <v>C:\Users\jaime.benazar\Quorum Business Solutions\Ecopetrol Prometeo - Documents\Planning Space Implementation\3. Analysis &amp; Design\Design\FC22\DRR Jaime\QUIFA-CAJÚA\Cajua\[CAJUA_CF_SEC_New_27-Feb-2024Rev3.xlsx]D-PSNP'!</v>
      </c>
      <c r="G1176" s="32" t="s">
        <v>112</v>
      </c>
      <c r="H1176" s="33"/>
      <c r="I1176" s="33"/>
      <c r="J1176" s="37"/>
    </row>
    <row r="1177" spans="1:10" x14ac:dyDescent="0.25">
      <c r="A1177" s="32" t="s">
        <v>103</v>
      </c>
      <c r="B1177" s="32">
        <f t="shared" si="284"/>
        <v>2058</v>
      </c>
      <c r="C1177" s="33" t="s">
        <v>11</v>
      </c>
      <c r="D1177" s="34" t="s">
        <v>1999</v>
      </c>
      <c r="E1177" s="35" t="str">
        <f t="shared" si="282"/>
        <v>PSNP'!</v>
      </c>
      <c r="F1177" s="34" t="str">
        <f t="shared" si="283"/>
        <v>C:\Users\jaime.benazar\Quorum Business Solutions\Ecopetrol Prometeo - Documents\Planning Space Implementation\3. Analysis &amp; Design\Design\FC22\DRR Jaime\QUIFA-CAJÚA\Cajua\[CAJUA_CF_SEC_New_27-Feb-2024Rev3.xlsx]D-PSNP'!</v>
      </c>
      <c r="G1177" s="32" t="s">
        <v>112</v>
      </c>
      <c r="H1177" s="33"/>
      <c r="I1177" s="33"/>
      <c r="J1177" s="37"/>
    </row>
    <row r="1178" spans="1:10" x14ac:dyDescent="0.25">
      <c r="A1178" s="32" t="s">
        <v>103</v>
      </c>
      <c r="B1178" s="32">
        <f t="shared" si="284"/>
        <v>2059</v>
      </c>
      <c r="C1178" s="33" t="s">
        <v>11</v>
      </c>
      <c r="D1178" s="34" t="s">
        <v>1999</v>
      </c>
      <c r="E1178" s="35" t="str">
        <f t="shared" si="282"/>
        <v>PSNP'!</v>
      </c>
      <c r="F1178" s="34" t="str">
        <f t="shared" si="283"/>
        <v>C:\Users\jaime.benazar\Quorum Business Solutions\Ecopetrol Prometeo - Documents\Planning Space Implementation\3. Analysis &amp; Design\Design\FC22\DRR Jaime\QUIFA-CAJÚA\Cajua\[CAJUA_CF_SEC_New_27-Feb-2024Rev3.xlsx]D-PSNP'!</v>
      </c>
      <c r="G1178" s="32" t="s">
        <v>112</v>
      </c>
      <c r="H1178" s="33"/>
      <c r="I1178" s="33"/>
      <c r="J1178" s="37"/>
    </row>
    <row r="1179" spans="1:10" x14ac:dyDescent="0.25">
      <c r="A1179" s="32" t="s">
        <v>28</v>
      </c>
      <c r="B1179" s="32"/>
      <c r="C1179" s="33" t="s">
        <v>11</v>
      </c>
      <c r="D1179" s="34"/>
      <c r="E1179" s="35"/>
      <c r="F1179" s="34"/>
      <c r="G1179" s="32"/>
      <c r="H1179" s="33"/>
      <c r="I1179" s="33"/>
      <c r="J1179" s="33"/>
    </row>
    <row r="1180" spans="1:10" x14ac:dyDescent="0.25">
      <c r="A1180" s="32" t="s">
        <v>104</v>
      </c>
      <c r="B1180" s="32">
        <v>2023</v>
      </c>
      <c r="C1180" s="33" t="s">
        <v>11</v>
      </c>
      <c r="D1180" s="34" t="s">
        <v>1999</v>
      </c>
      <c r="E1180" s="35" t="str">
        <f t="shared" ref="E1180:E1200" si="285">_xlfn.CONCAT(A1180,"'!")</f>
        <v>PSND'!</v>
      </c>
      <c r="F1180" s="34" t="str">
        <f t="shared" ref="F1180:F1200" si="286">_xlfn.CONCAT(D1180:E1180)</f>
        <v>C:\Users\jaime.benazar\Quorum Business Solutions\Ecopetrol Prometeo - Documents\Planning Space Implementation\3. Analysis &amp; Design\Design\FC22\DRR Jaime\QUIFA-CAJÚA\Cajua\[CAJUA_CF_SEC_New_27-Feb-2024Rev3.xlsx]D-PSND'!</v>
      </c>
      <c r="G1180" s="32" t="s">
        <v>112</v>
      </c>
      <c r="H1180" s="33"/>
      <c r="I1180" s="33"/>
      <c r="J1180" s="37"/>
    </row>
    <row r="1181" spans="1:10" x14ac:dyDescent="0.25">
      <c r="A1181" s="32" t="s">
        <v>104</v>
      </c>
      <c r="B1181" s="32">
        <f>+B1180+1</f>
        <v>2024</v>
      </c>
      <c r="C1181" s="33" t="s">
        <v>11</v>
      </c>
      <c r="D1181" s="34" t="s">
        <v>1999</v>
      </c>
      <c r="E1181" s="35" t="str">
        <f t="shared" si="285"/>
        <v>PSND'!</v>
      </c>
      <c r="F1181" s="34" t="str">
        <f t="shared" si="286"/>
        <v>C:\Users\jaime.benazar\Quorum Business Solutions\Ecopetrol Prometeo - Documents\Planning Space Implementation\3. Analysis &amp; Design\Design\FC22\DRR Jaime\QUIFA-CAJÚA\Cajua\[CAJUA_CF_SEC_New_27-Feb-2024Rev3.xlsx]D-PSND'!</v>
      </c>
      <c r="G1181" s="32" t="s">
        <v>112</v>
      </c>
      <c r="H1181" s="33"/>
      <c r="I1181" s="33"/>
      <c r="J1181" s="37"/>
    </row>
    <row r="1182" spans="1:10" x14ac:dyDescent="0.25">
      <c r="A1182" s="32" t="s">
        <v>104</v>
      </c>
      <c r="B1182" s="32">
        <f t="shared" ref="B1182:B1193" si="287">+B1181+1</f>
        <v>2025</v>
      </c>
      <c r="C1182" s="33" t="s">
        <v>11</v>
      </c>
      <c r="D1182" s="34" t="s">
        <v>1999</v>
      </c>
      <c r="E1182" s="35" t="str">
        <f t="shared" si="285"/>
        <v>PSND'!</v>
      </c>
      <c r="F1182" s="34" t="str">
        <f t="shared" si="286"/>
        <v>C:\Users\jaime.benazar\Quorum Business Solutions\Ecopetrol Prometeo - Documents\Planning Space Implementation\3. Analysis &amp; Design\Design\FC22\DRR Jaime\QUIFA-CAJÚA\Cajua\[CAJUA_CF_SEC_New_27-Feb-2024Rev3.xlsx]D-PSND'!</v>
      </c>
      <c r="G1182" s="32" t="s">
        <v>112</v>
      </c>
      <c r="H1182" s="33"/>
      <c r="I1182" s="33"/>
      <c r="J1182" s="37"/>
    </row>
    <row r="1183" spans="1:10" x14ac:dyDescent="0.25">
      <c r="A1183" s="32" t="s">
        <v>104</v>
      </c>
      <c r="B1183" s="32">
        <f t="shared" si="287"/>
        <v>2026</v>
      </c>
      <c r="C1183" s="33" t="s">
        <v>11</v>
      </c>
      <c r="D1183" s="34" t="s">
        <v>1999</v>
      </c>
      <c r="E1183" s="35" t="str">
        <f t="shared" si="285"/>
        <v>PSND'!</v>
      </c>
      <c r="F1183" s="34" t="str">
        <f t="shared" si="286"/>
        <v>C:\Users\jaime.benazar\Quorum Business Solutions\Ecopetrol Prometeo - Documents\Planning Space Implementation\3. Analysis &amp; Design\Design\FC22\DRR Jaime\QUIFA-CAJÚA\Cajua\[CAJUA_CF_SEC_New_27-Feb-2024Rev3.xlsx]D-PSND'!</v>
      </c>
      <c r="G1183" s="32" t="s">
        <v>112</v>
      </c>
      <c r="H1183" s="33"/>
      <c r="I1183" s="33"/>
      <c r="J1183" s="37"/>
    </row>
    <row r="1184" spans="1:10" x14ac:dyDescent="0.25">
      <c r="A1184" s="32" t="s">
        <v>104</v>
      </c>
      <c r="B1184" s="32">
        <f t="shared" si="287"/>
        <v>2027</v>
      </c>
      <c r="C1184" s="33" t="s">
        <v>11</v>
      </c>
      <c r="D1184" s="34" t="s">
        <v>1999</v>
      </c>
      <c r="E1184" s="35" t="str">
        <f t="shared" si="285"/>
        <v>PSND'!</v>
      </c>
      <c r="F1184" s="34" t="str">
        <f t="shared" si="286"/>
        <v>C:\Users\jaime.benazar\Quorum Business Solutions\Ecopetrol Prometeo - Documents\Planning Space Implementation\3. Analysis &amp; Design\Design\FC22\DRR Jaime\QUIFA-CAJÚA\Cajua\[CAJUA_CF_SEC_New_27-Feb-2024Rev3.xlsx]D-PSND'!</v>
      </c>
      <c r="G1184" s="32" t="s">
        <v>112</v>
      </c>
      <c r="H1184" s="33"/>
      <c r="I1184" s="33"/>
      <c r="J1184" s="37"/>
    </row>
    <row r="1185" spans="1:10" x14ac:dyDescent="0.25">
      <c r="A1185" s="32" t="s">
        <v>104</v>
      </c>
      <c r="B1185" s="32">
        <f t="shared" si="287"/>
        <v>2028</v>
      </c>
      <c r="C1185" s="33" t="s">
        <v>11</v>
      </c>
      <c r="D1185" s="34" t="s">
        <v>1999</v>
      </c>
      <c r="E1185" s="35" t="str">
        <f t="shared" si="285"/>
        <v>PSND'!</v>
      </c>
      <c r="F1185" s="34" t="str">
        <f t="shared" si="286"/>
        <v>C:\Users\jaime.benazar\Quorum Business Solutions\Ecopetrol Prometeo - Documents\Planning Space Implementation\3. Analysis &amp; Design\Design\FC22\DRR Jaime\QUIFA-CAJÚA\Cajua\[CAJUA_CF_SEC_New_27-Feb-2024Rev3.xlsx]D-PSND'!</v>
      </c>
      <c r="G1185" s="32" t="s">
        <v>112</v>
      </c>
      <c r="H1185" s="33"/>
      <c r="I1185" s="33"/>
      <c r="J1185" s="37"/>
    </row>
    <row r="1186" spans="1:10" x14ac:dyDescent="0.25">
      <c r="A1186" s="32" t="s">
        <v>104</v>
      </c>
      <c r="B1186" s="32">
        <f t="shared" si="287"/>
        <v>2029</v>
      </c>
      <c r="C1186" s="33" t="s">
        <v>11</v>
      </c>
      <c r="D1186" s="34" t="s">
        <v>1999</v>
      </c>
      <c r="E1186" s="35" t="str">
        <f t="shared" si="285"/>
        <v>PSND'!</v>
      </c>
      <c r="F1186" s="34" t="str">
        <f t="shared" si="286"/>
        <v>C:\Users\jaime.benazar\Quorum Business Solutions\Ecopetrol Prometeo - Documents\Planning Space Implementation\3. Analysis &amp; Design\Design\FC22\DRR Jaime\QUIFA-CAJÚA\Cajua\[CAJUA_CF_SEC_New_27-Feb-2024Rev3.xlsx]D-PSND'!</v>
      </c>
      <c r="G1186" s="32" t="s">
        <v>112</v>
      </c>
      <c r="H1186" s="33"/>
      <c r="I1186" s="33"/>
      <c r="J1186" s="37"/>
    </row>
    <row r="1187" spans="1:10" x14ac:dyDescent="0.25">
      <c r="A1187" s="32" t="s">
        <v>104</v>
      </c>
      <c r="B1187" s="32">
        <f t="shared" si="287"/>
        <v>2030</v>
      </c>
      <c r="C1187" s="33" t="s">
        <v>11</v>
      </c>
      <c r="D1187" s="34" t="s">
        <v>1999</v>
      </c>
      <c r="E1187" s="35" t="str">
        <f t="shared" si="285"/>
        <v>PSND'!</v>
      </c>
      <c r="F1187" s="34" t="str">
        <f t="shared" si="286"/>
        <v>C:\Users\jaime.benazar\Quorum Business Solutions\Ecopetrol Prometeo - Documents\Planning Space Implementation\3. Analysis &amp; Design\Design\FC22\DRR Jaime\QUIFA-CAJÚA\Cajua\[CAJUA_CF_SEC_New_27-Feb-2024Rev3.xlsx]D-PSND'!</v>
      </c>
      <c r="G1187" s="32" t="s">
        <v>112</v>
      </c>
      <c r="H1187" s="33"/>
      <c r="I1187" s="33"/>
      <c r="J1187" s="37"/>
    </row>
    <row r="1188" spans="1:10" x14ac:dyDescent="0.25">
      <c r="A1188" s="32" t="s">
        <v>104</v>
      </c>
      <c r="B1188" s="32">
        <f t="shared" si="287"/>
        <v>2031</v>
      </c>
      <c r="C1188" s="33" t="s">
        <v>11</v>
      </c>
      <c r="D1188" s="34" t="s">
        <v>1999</v>
      </c>
      <c r="E1188" s="35" t="str">
        <f t="shared" si="285"/>
        <v>PSND'!</v>
      </c>
      <c r="F1188" s="34" t="str">
        <f t="shared" si="286"/>
        <v>C:\Users\jaime.benazar\Quorum Business Solutions\Ecopetrol Prometeo - Documents\Planning Space Implementation\3. Analysis &amp; Design\Design\FC22\DRR Jaime\QUIFA-CAJÚA\Cajua\[CAJUA_CF_SEC_New_27-Feb-2024Rev3.xlsx]D-PSND'!</v>
      </c>
      <c r="G1188" s="32" t="s">
        <v>112</v>
      </c>
      <c r="H1188" s="33"/>
      <c r="I1188" s="33"/>
      <c r="J1188" s="37"/>
    </row>
    <row r="1189" spans="1:10" x14ac:dyDescent="0.25">
      <c r="A1189" s="32" t="s">
        <v>104</v>
      </c>
      <c r="B1189" s="32">
        <f t="shared" si="287"/>
        <v>2032</v>
      </c>
      <c r="C1189" s="33" t="s">
        <v>11</v>
      </c>
      <c r="D1189" s="34" t="s">
        <v>1999</v>
      </c>
      <c r="E1189" s="35" t="str">
        <f t="shared" si="285"/>
        <v>PSND'!</v>
      </c>
      <c r="F1189" s="34" t="str">
        <f t="shared" si="286"/>
        <v>C:\Users\jaime.benazar\Quorum Business Solutions\Ecopetrol Prometeo - Documents\Planning Space Implementation\3. Analysis &amp; Design\Design\FC22\DRR Jaime\QUIFA-CAJÚA\Cajua\[CAJUA_CF_SEC_New_27-Feb-2024Rev3.xlsx]D-PSND'!</v>
      </c>
      <c r="G1189" s="32" t="s">
        <v>112</v>
      </c>
      <c r="H1189" s="33"/>
      <c r="I1189" s="33"/>
      <c r="J1189" s="37"/>
    </row>
    <row r="1190" spans="1:10" x14ac:dyDescent="0.25">
      <c r="A1190" s="32" t="s">
        <v>104</v>
      </c>
      <c r="B1190" s="32">
        <f t="shared" si="287"/>
        <v>2033</v>
      </c>
      <c r="C1190" s="33" t="s">
        <v>11</v>
      </c>
      <c r="D1190" s="34" t="s">
        <v>1999</v>
      </c>
      <c r="E1190" s="35" t="str">
        <f t="shared" si="285"/>
        <v>PSND'!</v>
      </c>
      <c r="F1190" s="34" t="str">
        <f t="shared" si="286"/>
        <v>C:\Users\jaime.benazar\Quorum Business Solutions\Ecopetrol Prometeo - Documents\Planning Space Implementation\3. Analysis &amp; Design\Design\FC22\DRR Jaime\QUIFA-CAJÚA\Cajua\[CAJUA_CF_SEC_New_27-Feb-2024Rev3.xlsx]D-PSND'!</v>
      </c>
      <c r="G1190" s="32" t="s">
        <v>112</v>
      </c>
      <c r="H1190" s="33"/>
      <c r="I1190" s="33"/>
      <c r="J1190" s="37"/>
    </row>
    <row r="1191" spans="1:10" x14ac:dyDescent="0.25">
      <c r="A1191" s="32" t="s">
        <v>104</v>
      </c>
      <c r="B1191" s="32">
        <f t="shared" si="287"/>
        <v>2034</v>
      </c>
      <c r="C1191" s="33" t="s">
        <v>11</v>
      </c>
      <c r="D1191" s="34" t="s">
        <v>1999</v>
      </c>
      <c r="E1191" s="35" t="str">
        <f t="shared" si="285"/>
        <v>PSND'!</v>
      </c>
      <c r="F1191" s="34" t="str">
        <f t="shared" si="286"/>
        <v>C:\Users\jaime.benazar\Quorum Business Solutions\Ecopetrol Prometeo - Documents\Planning Space Implementation\3. Analysis &amp; Design\Design\FC22\DRR Jaime\QUIFA-CAJÚA\Cajua\[CAJUA_CF_SEC_New_27-Feb-2024Rev3.xlsx]D-PSND'!</v>
      </c>
      <c r="G1191" s="32" t="s">
        <v>112</v>
      </c>
      <c r="H1191" s="33"/>
      <c r="I1191" s="33"/>
      <c r="J1191" s="37"/>
    </row>
    <row r="1192" spans="1:10" x14ac:dyDescent="0.25">
      <c r="A1192" s="32" t="s">
        <v>104</v>
      </c>
      <c r="B1192" s="32">
        <f t="shared" si="287"/>
        <v>2035</v>
      </c>
      <c r="C1192" s="33" t="s">
        <v>11</v>
      </c>
      <c r="D1192" s="34" t="s">
        <v>1999</v>
      </c>
      <c r="E1192" s="35" t="str">
        <f t="shared" si="285"/>
        <v>PSND'!</v>
      </c>
      <c r="F1192" s="34" t="str">
        <f t="shared" si="286"/>
        <v>C:\Users\jaime.benazar\Quorum Business Solutions\Ecopetrol Prometeo - Documents\Planning Space Implementation\3. Analysis &amp; Design\Design\FC22\DRR Jaime\QUIFA-CAJÚA\Cajua\[CAJUA_CF_SEC_New_27-Feb-2024Rev3.xlsx]D-PSND'!</v>
      </c>
      <c r="G1192" s="32" t="s">
        <v>112</v>
      </c>
      <c r="H1192" s="33"/>
      <c r="I1192" s="33"/>
      <c r="J1192" s="37"/>
    </row>
    <row r="1193" spans="1:10" x14ac:dyDescent="0.25">
      <c r="A1193" s="32" t="s">
        <v>104</v>
      </c>
      <c r="B1193" s="32">
        <f t="shared" si="287"/>
        <v>2036</v>
      </c>
      <c r="C1193" s="33" t="s">
        <v>11</v>
      </c>
      <c r="D1193" s="34" t="s">
        <v>1999</v>
      </c>
      <c r="E1193" s="35" t="str">
        <f t="shared" si="285"/>
        <v>PSND'!</v>
      </c>
      <c r="F1193" s="34" t="str">
        <f t="shared" si="286"/>
        <v>C:\Users\jaime.benazar\Quorum Business Solutions\Ecopetrol Prometeo - Documents\Planning Space Implementation\3. Analysis &amp; Design\Design\FC22\DRR Jaime\QUIFA-CAJÚA\Cajua\[CAJUA_CF_SEC_New_27-Feb-2024Rev3.xlsx]D-PSND'!</v>
      </c>
      <c r="G1193" s="32" t="s">
        <v>112</v>
      </c>
      <c r="H1193" s="33"/>
      <c r="I1193" s="33"/>
      <c r="J1193" s="37"/>
    </row>
    <row r="1194" spans="1:10" x14ac:dyDescent="0.25">
      <c r="A1194" s="32" t="s">
        <v>104</v>
      </c>
      <c r="B1194" s="32">
        <f>+B1193+1</f>
        <v>2037</v>
      </c>
      <c r="C1194" s="33" t="s">
        <v>11</v>
      </c>
      <c r="D1194" s="34" t="s">
        <v>1999</v>
      </c>
      <c r="E1194" s="35" t="str">
        <f t="shared" si="285"/>
        <v>PSND'!</v>
      </c>
      <c r="F1194" s="34" t="str">
        <f t="shared" si="286"/>
        <v>C:\Users\jaime.benazar\Quorum Business Solutions\Ecopetrol Prometeo - Documents\Planning Space Implementation\3. Analysis &amp; Design\Design\FC22\DRR Jaime\QUIFA-CAJÚA\Cajua\[CAJUA_CF_SEC_New_27-Feb-2024Rev3.xlsx]D-PSND'!</v>
      </c>
      <c r="G1194" s="32" t="s">
        <v>112</v>
      </c>
      <c r="H1194" s="33"/>
      <c r="I1194" s="33"/>
      <c r="J1194" s="37"/>
    </row>
    <row r="1195" spans="1:10" x14ac:dyDescent="0.25">
      <c r="A1195" s="32" t="s">
        <v>104</v>
      </c>
      <c r="B1195" s="32">
        <f t="shared" ref="B1195:B1197" si="288">+B1194+1</f>
        <v>2038</v>
      </c>
      <c r="C1195" s="33" t="s">
        <v>11</v>
      </c>
      <c r="D1195" s="34" t="s">
        <v>1999</v>
      </c>
      <c r="E1195" s="35" t="str">
        <f t="shared" si="285"/>
        <v>PSND'!</v>
      </c>
      <c r="F1195" s="34" t="str">
        <f t="shared" si="286"/>
        <v>C:\Users\jaime.benazar\Quorum Business Solutions\Ecopetrol Prometeo - Documents\Planning Space Implementation\3. Analysis &amp; Design\Design\FC22\DRR Jaime\QUIFA-CAJÚA\Cajua\[CAJUA_CF_SEC_New_27-Feb-2024Rev3.xlsx]D-PSND'!</v>
      </c>
      <c r="G1195" s="32" t="s">
        <v>112</v>
      </c>
      <c r="H1195" s="33"/>
      <c r="I1195" s="33"/>
      <c r="J1195" s="37"/>
    </row>
    <row r="1196" spans="1:10" x14ac:dyDescent="0.25">
      <c r="A1196" s="32" t="s">
        <v>104</v>
      </c>
      <c r="B1196" s="32">
        <f t="shared" si="288"/>
        <v>2039</v>
      </c>
      <c r="C1196" s="33" t="s">
        <v>11</v>
      </c>
      <c r="D1196" s="34" t="s">
        <v>1999</v>
      </c>
      <c r="E1196" s="35" t="str">
        <f t="shared" si="285"/>
        <v>PSND'!</v>
      </c>
      <c r="F1196" s="34" t="str">
        <f t="shared" si="286"/>
        <v>C:\Users\jaime.benazar\Quorum Business Solutions\Ecopetrol Prometeo - Documents\Planning Space Implementation\3. Analysis &amp; Design\Design\FC22\DRR Jaime\QUIFA-CAJÚA\Cajua\[CAJUA_CF_SEC_New_27-Feb-2024Rev3.xlsx]D-PSND'!</v>
      </c>
      <c r="G1196" s="32" t="s">
        <v>112</v>
      </c>
      <c r="H1196" s="33"/>
      <c r="I1196" s="33"/>
      <c r="J1196" s="37"/>
    </row>
    <row r="1197" spans="1:10" x14ac:dyDescent="0.25">
      <c r="A1197" s="32" t="s">
        <v>104</v>
      </c>
      <c r="B1197" s="32">
        <f t="shared" si="288"/>
        <v>2040</v>
      </c>
      <c r="C1197" s="33" t="s">
        <v>11</v>
      </c>
      <c r="D1197" s="34" t="s">
        <v>1999</v>
      </c>
      <c r="E1197" s="35" t="str">
        <f t="shared" si="285"/>
        <v>PSND'!</v>
      </c>
      <c r="F1197" s="34" t="str">
        <f t="shared" si="286"/>
        <v>C:\Users\jaime.benazar\Quorum Business Solutions\Ecopetrol Prometeo - Documents\Planning Space Implementation\3. Analysis &amp; Design\Design\FC22\DRR Jaime\QUIFA-CAJÚA\Cajua\[CAJUA_CF_SEC_New_27-Feb-2024Rev3.xlsx]D-PSND'!</v>
      </c>
      <c r="G1197" s="32" t="s">
        <v>112</v>
      </c>
      <c r="H1197" s="33"/>
      <c r="I1197" s="33"/>
      <c r="J1197" s="37"/>
    </row>
    <row r="1198" spans="1:10" x14ac:dyDescent="0.25">
      <c r="A1198" s="32" t="s">
        <v>104</v>
      </c>
      <c r="B1198" s="32">
        <f>+B1197+1</f>
        <v>2041</v>
      </c>
      <c r="C1198" s="33" t="s">
        <v>11</v>
      </c>
      <c r="D1198" s="34" t="s">
        <v>1999</v>
      </c>
      <c r="E1198" s="35" t="str">
        <f t="shared" si="285"/>
        <v>PSND'!</v>
      </c>
      <c r="F1198" s="34" t="str">
        <f t="shared" si="286"/>
        <v>C:\Users\jaime.benazar\Quorum Business Solutions\Ecopetrol Prometeo - Documents\Planning Space Implementation\3. Analysis &amp; Design\Design\FC22\DRR Jaime\QUIFA-CAJÚA\Cajua\[CAJUA_CF_SEC_New_27-Feb-2024Rev3.xlsx]D-PSND'!</v>
      </c>
      <c r="G1198" s="32" t="s">
        <v>112</v>
      </c>
      <c r="H1198" s="33"/>
      <c r="I1198" s="33"/>
      <c r="J1198" s="37"/>
    </row>
    <row r="1199" spans="1:10" x14ac:dyDescent="0.25">
      <c r="A1199" s="32" t="s">
        <v>104</v>
      </c>
      <c r="B1199" s="32">
        <f t="shared" ref="B1199:B1200" si="289">+B1198+1</f>
        <v>2042</v>
      </c>
      <c r="C1199" s="33" t="s">
        <v>11</v>
      </c>
      <c r="D1199" s="34" t="s">
        <v>1999</v>
      </c>
      <c r="E1199" s="35" t="str">
        <f t="shared" si="285"/>
        <v>PSND'!</v>
      </c>
      <c r="F1199" s="34" t="str">
        <f t="shared" si="286"/>
        <v>C:\Users\jaime.benazar\Quorum Business Solutions\Ecopetrol Prometeo - Documents\Planning Space Implementation\3. Analysis &amp; Design\Design\FC22\DRR Jaime\QUIFA-CAJÚA\Cajua\[CAJUA_CF_SEC_New_27-Feb-2024Rev3.xlsx]D-PSND'!</v>
      </c>
      <c r="G1199" s="32" t="s">
        <v>112</v>
      </c>
      <c r="H1199" s="33"/>
      <c r="I1199" s="33"/>
      <c r="J1199" s="37"/>
    </row>
    <row r="1200" spans="1:10" x14ac:dyDescent="0.25">
      <c r="A1200" s="32" t="s">
        <v>104</v>
      </c>
      <c r="B1200" s="32">
        <f t="shared" si="289"/>
        <v>2043</v>
      </c>
      <c r="C1200" s="33" t="s">
        <v>11</v>
      </c>
      <c r="D1200" s="34" t="s">
        <v>1999</v>
      </c>
      <c r="E1200" s="35" t="str">
        <f t="shared" si="285"/>
        <v>PSND'!</v>
      </c>
      <c r="F1200" s="34" t="str">
        <f t="shared" si="286"/>
        <v>C:\Users\jaime.benazar\Quorum Business Solutions\Ecopetrol Prometeo - Documents\Planning Space Implementation\3. Analysis &amp; Design\Design\FC22\DRR Jaime\QUIFA-CAJÚA\Cajua\[CAJUA_CF_SEC_New_27-Feb-2024Rev3.xlsx]D-PSND'!</v>
      </c>
      <c r="G1200" s="32" t="s">
        <v>112</v>
      </c>
      <c r="H1200" s="33"/>
      <c r="I1200" s="33"/>
      <c r="J1200" s="37"/>
    </row>
    <row r="1201" spans="1:10" x14ac:dyDescent="0.25">
      <c r="A1201" s="32" t="s">
        <v>104</v>
      </c>
      <c r="B1201" s="32">
        <f>+B1200+1</f>
        <v>2044</v>
      </c>
      <c r="C1201" s="33" t="s">
        <v>11</v>
      </c>
      <c r="D1201" s="34" t="s">
        <v>1999</v>
      </c>
      <c r="E1201" s="35" t="str">
        <f t="shared" ref="E1201:E1216" si="290">_xlfn.CONCAT(A1201,"'!")</f>
        <v>PSND'!</v>
      </c>
      <c r="F1201" s="34" t="str">
        <f t="shared" ref="F1201:F1216" si="291">_xlfn.CONCAT(D1201:E1201)</f>
        <v>C:\Users\jaime.benazar\Quorum Business Solutions\Ecopetrol Prometeo - Documents\Planning Space Implementation\3. Analysis &amp; Design\Design\FC22\DRR Jaime\QUIFA-CAJÚA\Cajua\[CAJUA_CF_SEC_New_27-Feb-2024Rev3.xlsx]D-PSND'!</v>
      </c>
      <c r="G1201" s="32" t="s">
        <v>112</v>
      </c>
      <c r="H1201" s="33"/>
      <c r="I1201" s="33"/>
      <c r="J1201" s="37"/>
    </row>
    <row r="1202" spans="1:10" x14ac:dyDescent="0.25">
      <c r="A1202" s="32" t="s">
        <v>104</v>
      </c>
      <c r="B1202" s="32">
        <f t="shared" ref="B1202:B1216" si="292">+B1201+1</f>
        <v>2045</v>
      </c>
      <c r="C1202" s="33" t="s">
        <v>11</v>
      </c>
      <c r="D1202" s="34" t="s">
        <v>1999</v>
      </c>
      <c r="E1202" s="35" t="str">
        <f t="shared" si="290"/>
        <v>PSND'!</v>
      </c>
      <c r="F1202" s="34" t="str">
        <f t="shared" si="291"/>
        <v>C:\Users\jaime.benazar\Quorum Business Solutions\Ecopetrol Prometeo - Documents\Planning Space Implementation\3. Analysis &amp; Design\Design\FC22\DRR Jaime\QUIFA-CAJÚA\Cajua\[CAJUA_CF_SEC_New_27-Feb-2024Rev3.xlsx]D-PSND'!</v>
      </c>
      <c r="G1202" s="32" t="s">
        <v>112</v>
      </c>
      <c r="H1202" s="33"/>
      <c r="I1202" s="33"/>
      <c r="J1202" s="37"/>
    </row>
    <row r="1203" spans="1:10" x14ac:dyDescent="0.25">
      <c r="A1203" s="32" t="s">
        <v>104</v>
      </c>
      <c r="B1203" s="32">
        <f t="shared" si="292"/>
        <v>2046</v>
      </c>
      <c r="C1203" s="33" t="s">
        <v>11</v>
      </c>
      <c r="D1203" s="34" t="s">
        <v>1999</v>
      </c>
      <c r="E1203" s="35" t="str">
        <f t="shared" si="290"/>
        <v>PSND'!</v>
      </c>
      <c r="F1203" s="34" t="str">
        <f t="shared" si="291"/>
        <v>C:\Users\jaime.benazar\Quorum Business Solutions\Ecopetrol Prometeo - Documents\Planning Space Implementation\3. Analysis &amp; Design\Design\FC22\DRR Jaime\QUIFA-CAJÚA\Cajua\[CAJUA_CF_SEC_New_27-Feb-2024Rev3.xlsx]D-PSND'!</v>
      </c>
      <c r="G1203" s="32" t="s">
        <v>112</v>
      </c>
      <c r="H1203" s="33"/>
      <c r="I1203" s="33"/>
      <c r="J1203" s="37"/>
    </row>
    <row r="1204" spans="1:10" x14ac:dyDescent="0.25">
      <c r="A1204" s="32" t="s">
        <v>104</v>
      </c>
      <c r="B1204" s="32">
        <f t="shared" si="292"/>
        <v>2047</v>
      </c>
      <c r="C1204" s="33" t="s">
        <v>11</v>
      </c>
      <c r="D1204" s="34" t="s">
        <v>1999</v>
      </c>
      <c r="E1204" s="35" t="str">
        <f t="shared" si="290"/>
        <v>PSND'!</v>
      </c>
      <c r="F1204" s="34" t="str">
        <f t="shared" si="291"/>
        <v>C:\Users\jaime.benazar\Quorum Business Solutions\Ecopetrol Prometeo - Documents\Planning Space Implementation\3. Analysis &amp; Design\Design\FC22\DRR Jaime\QUIFA-CAJÚA\Cajua\[CAJUA_CF_SEC_New_27-Feb-2024Rev3.xlsx]D-PSND'!</v>
      </c>
      <c r="G1204" s="32" t="s">
        <v>112</v>
      </c>
      <c r="H1204" s="33"/>
      <c r="I1204" s="33"/>
      <c r="J1204" s="37"/>
    </row>
    <row r="1205" spans="1:10" x14ac:dyDescent="0.25">
      <c r="A1205" s="32" t="s">
        <v>104</v>
      </c>
      <c r="B1205" s="32">
        <f t="shared" si="292"/>
        <v>2048</v>
      </c>
      <c r="C1205" s="33" t="s">
        <v>11</v>
      </c>
      <c r="D1205" s="34" t="s">
        <v>1999</v>
      </c>
      <c r="E1205" s="35" t="str">
        <f t="shared" si="290"/>
        <v>PSND'!</v>
      </c>
      <c r="F1205" s="34" t="str">
        <f t="shared" si="291"/>
        <v>C:\Users\jaime.benazar\Quorum Business Solutions\Ecopetrol Prometeo - Documents\Planning Space Implementation\3. Analysis &amp; Design\Design\FC22\DRR Jaime\QUIFA-CAJÚA\Cajua\[CAJUA_CF_SEC_New_27-Feb-2024Rev3.xlsx]D-PSND'!</v>
      </c>
      <c r="G1205" s="32" t="s">
        <v>112</v>
      </c>
      <c r="H1205" s="33"/>
      <c r="I1205" s="33"/>
      <c r="J1205" s="37"/>
    </row>
    <row r="1206" spans="1:10" x14ac:dyDescent="0.25">
      <c r="A1206" s="32" t="s">
        <v>104</v>
      </c>
      <c r="B1206" s="32">
        <f t="shared" si="292"/>
        <v>2049</v>
      </c>
      <c r="C1206" s="33" t="s">
        <v>11</v>
      </c>
      <c r="D1206" s="34" t="s">
        <v>1999</v>
      </c>
      <c r="E1206" s="35" t="str">
        <f t="shared" si="290"/>
        <v>PSND'!</v>
      </c>
      <c r="F1206" s="34" t="str">
        <f t="shared" si="291"/>
        <v>C:\Users\jaime.benazar\Quorum Business Solutions\Ecopetrol Prometeo - Documents\Planning Space Implementation\3. Analysis &amp; Design\Design\FC22\DRR Jaime\QUIFA-CAJÚA\Cajua\[CAJUA_CF_SEC_New_27-Feb-2024Rev3.xlsx]D-PSND'!</v>
      </c>
      <c r="G1206" s="32" t="s">
        <v>112</v>
      </c>
      <c r="H1206" s="33"/>
      <c r="I1206" s="33"/>
      <c r="J1206" s="37"/>
    </row>
    <row r="1207" spans="1:10" x14ac:dyDescent="0.25">
      <c r="A1207" s="32" t="s">
        <v>104</v>
      </c>
      <c r="B1207" s="32">
        <f t="shared" si="292"/>
        <v>2050</v>
      </c>
      <c r="C1207" s="33" t="s">
        <v>11</v>
      </c>
      <c r="D1207" s="34" t="s">
        <v>1999</v>
      </c>
      <c r="E1207" s="35" t="str">
        <f t="shared" si="290"/>
        <v>PSND'!</v>
      </c>
      <c r="F1207" s="34" t="str">
        <f t="shared" si="291"/>
        <v>C:\Users\jaime.benazar\Quorum Business Solutions\Ecopetrol Prometeo - Documents\Planning Space Implementation\3. Analysis &amp; Design\Design\FC22\DRR Jaime\QUIFA-CAJÚA\Cajua\[CAJUA_CF_SEC_New_27-Feb-2024Rev3.xlsx]D-PSND'!</v>
      </c>
      <c r="G1207" s="32" t="s">
        <v>112</v>
      </c>
      <c r="H1207" s="33"/>
      <c r="I1207" s="33"/>
      <c r="J1207" s="37"/>
    </row>
    <row r="1208" spans="1:10" x14ac:dyDescent="0.25">
      <c r="A1208" s="32" t="s">
        <v>104</v>
      </c>
      <c r="B1208" s="32">
        <f t="shared" si="292"/>
        <v>2051</v>
      </c>
      <c r="C1208" s="33" t="s">
        <v>11</v>
      </c>
      <c r="D1208" s="34" t="s">
        <v>1999</v>
      </c>
      <c r="E1208" s="35" t="str">
        <f t="shared" si="290"/>
        <v>PSND'!</v>
      </c>
      <c r="F1208" s="34" t="str">
        <f t="shared" si="291"/>
        <v>C:\Users\jaime.benazar\Quorum Business Solutions\Ecopetrol Prometeo - Documents\Planning Space Implementation\3. Analysis &amp; Design\Design\FC22\DRR Jaime\QUIFA-CAJÚA\Cajua\[CAJUA_CF_SEC_New_27-Feb-2024Rev3.xlsx]D-PSND'!</v>
      </c>
      <c r="G1208" s="32" t="s">
        <v>112</v>
      </c>
      <c r="H1208" s="33"/>
      <c r="I1208" s="33"/>
      <c r="J1208" s="37"/>
    </row>
    <row r="1209" spans="1:10" x14ac:dyDescent="0.25">
      <c r="A1209" s="32" t="s">
        <v>104</v>
      </c>
      <c r="B1209" s="32">
        <f t="shared" si="292"/>
        <v>2052</v>
      </c>
      <c r="C1209" s="33" t="s">
        <v>11</v>
      </c>
      <c r="D1209" s="34" t="s">
        <v>1999</v>
      </c>
      <c r="E1209" s="35" t="str">
        <f t="shared" si="290"/>
        <v>PSND'!</v>
      </c>
      <c r="F1209" s="34" t="str">
        <f t="shared" si="291"/>
        <v>C:\Users\jaime.benazar\Quorum Business Solutions\Ecopetrol Prometeo - Documents\Planning Space Implementation\3. Analysis &amp; Design\Design\FC22\DRR Jaime\QUIFA-CAJÚA\Cajua\[CAJUA_CF_SEC_New_27-Feb-2024Rev3.xlsx]D-PSND'!</v>
      </c>
      <c r="G1209" s="32" t="s">
        <v>112</v>
      </c>
      <c r="H1209" s="33"/>
      <c r="I1209" s="33"/>
      <c r="J1209" s="37"/>
    </row>
    <row r="1210" spans="1:10" x14ac:dyDescent="0.25">
      <c r="A1210" s="32" t="s">
        <v>104</v>
      </c>
      <c r="B1210" s="32">
        <f t="shared" si="292"/>
        <v>2053</v>
      </c>
      <c r="C1210" s="33" t="s">
        <v>11</v>
      </c>
      <c r="D1210" s="34" t="s">
        <v>1999</v>
      </c>
      <c r="E1210" s="35" t="str">
        <f t="shared" si="290"/>
        <v>PSND'!</v>
      </c>
      <c r="F1210" s="34" t="str">
        <f t="shared" si="291"/>
        <v>C:\Users\jaime.benazar\Quorum Business Solutions\Ecopetrol Prometeo - Documents\Planning Space Implementation\3. Analysis &amp; Design\Design\FC22\DRR Jaime\QUIFA-CAJÚA\Cajua\[CAJUA_CF_SEC_New_27-Feb-2024Rev3.xlsx]D-PSND'!</v>
      </c>
      <c r="G1210" s="32" t="s">
        <v>112</v>
      </c>
      <c r="H1210" s="33"/>
      <c r="I1210" s="33"/>
      <c r="J1210" s="37"/>
    </row>
    <row r="1211" spans="1:10" x14ac:dyDescent="0.25">
      <c r="A1211" s="32" t="s">
        <v>104</v>
      </c>
      <c r="B1211" s="32">
        <f t="shared" si="292"/>
        <v>2054</v>
      </c>
      <c r="C1211" s="33" t="s">
        <v>11</v>
      </c>
      <c r="D1211" s="34" t="s">
        <v>1999</v>
      </c>
      <c r="E1211" s="35" t="str">
        <f t="shared" si="290"/>
        <v>PSND'!</v>
      </c>
      <c r="F1211" s="34" t="str">
        <f t="shared" si="291"/>
        <v>C:\Users\jaime.benazar\Quorum Business Solutions\Ecopetrol Prometeo - Documents\Planning Space Implementation\3. Analysis &amp; Design\Design\FC22\DRR Jaime\QUIFA-CAJÚA\Cajua\[CAJUA_CF_SEC_New_27-Feb-2024Rev3.xlsx]D-PSND'!</v>
      </c>
      <c r="G1211" s="32" t="s">
        <v>112</v>
      </c>
      <c r="H1211" s="33"/>
      <c r="I1211" s="33"/>
      <c r="J1211" s="37"/>
    </row>
    <row r="1212" spans="1:10" x14ac:dyDescent="0.25">
      <c r="A1212" s="32" t="s">
        <v>104</v>
      </c>
      <c r="B1212" s="32">
        <f t="shared" si="292"/>
        <v>2055</v>
      </c>
      <c r="C1212" s="33" t="s">
        <v>11</v>
      </c>
      <c r="D1212" s="34" t="s">
        <v>1999</v>
      </c>
      <c r="E1212" s="35" t="str">
        <f t="shared" si="290"/>
        <v>PSND'!</v>
      </c>
      <c r="F1212" s="34" t="str">
        <f t="shared" si="291"/>
        <v>C:\Users\jaime.benazar\Quorum Business Solutions\Ecopetrol Prometeo - Documents\Planning Space Implementation\3. Analysis &amp; Design\Design\FC22\DRR Jaime\QUIFA-CAJÚA\Cajua\[CAJUA_CF_SEC_New_27-Feb-2024Rev3.xlsx]D-PSND'!</v>
      </c>
      <c r="G1212" s="32" t="s">
        <v>112</v>
      </c>
      <c r="H1212" s="33"/>
      <c r="I1212" s="33"/>
      <c r="J1212" s="37"/>
    </row>
    <row r="1213" spans="1:10" x14ac:dyDescent="0.25">
      <c r="A1213" s="32" t="s">
        <v>104</v>
      </c>
      <c r="B1213" s="32">
        <f t="shared" si="292"/>
        <v>2056</v>
      </c>
      <c r="C1213" s="33" t="s">
        <v>11</v>
      </c>
      <c r="D1213" s="34" t="s">
        <v>1999</v>
      </c>
      <c r="E1213" s="35" t="str">
        <f t="shared" si="290"/>
        <v>PSND'!</v>
      </c>
      <c r="F1213" s="34" t="str">
        <f t="shared" si="291"/>
        <v>C:\Users\jaime.benazar\Quorum Business Solutions\Ecopetrol Prometeo - Documents\Planning Space Implementation\3. Analysis &amp; Design\Design\FC22\DRR Jaime\QUIFA-CAJÚA\Cajua\[CAJUA_CF_SEC_New_27-Feb-2024Rev3.xlsx]D-PSND'!</v>
      </c>
      <c r="G1213" s="32" t="s">
        <v>112</v>
      </c>
      <c r="H1213" s="33"/>
      <c r="I1213" s="33"/>
      <c r="J1213" s="37"/>
    </row>
    <row r="1214" spans="1:10" x14ac:dyDescent="0.25">
      <c r="A1214" s="32" t="s">
        <v>104</v>
      </c>
      <c r="B1214" s="32">
        <f t="shared" si="292"/>
        <v>2057</v>
      </c>
      <c r="C1214" s="33" t="s">
        <v>11</v>
      </c>
      <c r="D1214" s="34" t="s">
        <v>1999</v>
      </c>
      <c r="E1214" s="35" t="str">
        <f t="shared" si="290"/>
        <v>PSND'!</v>
      </c>
      <c r="F1214" s="34" t="str">
        <f t="shared" si="291"/>
        <v>C:\Users\jaime.benazar\Quorum Business Solutions\Ecopetrol Prometeo - Documents\Planning Space Implementation\3. Analysis &amp; Design\Design\FC22\DRR Jaime\QUIFA-CAJÚA\Cajua\[CAJUA_CF_SEC_New_27-Feb-2024Rev3.xlsx]D-PSND'!</v>
      </c>
      <c r="G1214" s="32" t="s">
        <v>112</v>
      </c>
      <c r="H1214" s="33"/>
      <c r="I1214" s="33"/>
      <c r="J1214" s="37"/>
    </row>
    <row r="1215" spans="1:10" x14ac:dyDescent="0.25">
      <c r="A1215" s="32" t="s">
        <v>104</v>
      </c>
      <c r="B1215" s="32">
        <f t="shared" si="292"/>
        <v>2058</v>
      </c>
      <c r="C1215" s="33" t="s">
        <v>11</v>
      </c>
      <c r="D1215" s="34" t="s">
        <v>1999</v>
      </c>
      <c r="E1215" s="35" t="str">
        <f t="shared" si="290"/>
        <v>PSND'!</v>
      </c>
      <c r="F1215" s="34" t="str">
        <f t="shared" si="291"/>
        <v>C:\Users\jaime.benazar\Quorum Business Solutions\Ecopetrol Prometeo - Documents\Planning Space Implementation\3. Analysis &amp; Design\Design\FC22\DRR Jaime\QUIFA-CAJÚA\Cajua\[CAJUA_CF_SEC_New_27-Feb-2024Rev3.xlsx]D-PSND'!</v>
      </c>
      <c r="G1215" s="32" t="s">
        <v>112</v>
      </c>
      <c r="H1215" s="33"/>
      <c r="I1215" s="33"/>
      <c r="J1215" s="37"/>
    </row>
    <row r="1216" spans="1:10" x14ac:dyDescent="0.25">
      <c r="A1216" s="32" t="s">
        <v>104</v>
      </c>
      <c r="B1216" s="32">
        <f t="shared" si="292"/>
        <v>2059</v>
      </c>
      <c r="C1216" s="33" t="s">
        <v>11</v>
      </c>
      <c r="D1216" s="34" t="s">
        <v>1999</v>
      </c>
      <c r="E1216" s="35" t="str">
        <f t="shared" si="290"/>
        <v>PSND'!</v>
      </c>
      <c r="F1216" s="34" t="str">
        <f t="shared" si="291"/>
        <v>C:\Users\jaime.benazar\Quorum Business Solutions\Ecopetrol Prometeo - Documents\Planning Space Implementation\3. Analysis &amp; Design\Design\FC22\DRR Jaime\QUIFA-CAJÚA\Cajua\[CAJUA_CF_SEC_New_27-Feb-2024Rev3.xlsx]D-PSND'!</v>
      </c>
      <c r="G1216" s="32" t="s">
        <v>112</v>
      </c>
      <c r="H1216" s="33"/>
      <c r="I1216" s="33"/>
      <c r="J1216" s="37"/>
    </row>
    <row r="1217" spans="1:10" x14ac:dyDescent="0.25">
      <c r="A1217" s="32" t="s">
        <v>28</v>
      </c>
      <c r="B1217" s="32"/>
      <c r="C1217" s="33" t="s">
        <v>11</v>
      </c>
      <c r="D1217" s="34"/>
      <c r="E1217" s="35"/>
      <c r="F1217" s="34"/>
      <c r="G1217" s="32"/>
      <c r="H1217" s="33"/>
      <c r="I1217" s="33"/>
      <c r="J1217" s="33"/>
    </row>
    <row r="1218" spans="1:10" x14ac:dyDescent="0.25">
      <c r="A1218" s="32" t="s">
        <v>34</v>
      </c>
      <c r="B1218" s="32">
        <v>2023</v>
      </c>
      <c r="C1218" s="33" t="s">
        <v>11</v>
      </c>
      <c r="D1218" s="34" t="s">
        <v>1999</v>
      </c>
      <c r="E1218" s="35" t="str">
        <f t="shared" si="228"/>
        <v>PS'!</v>
      </c>
      <c r="F1218" s="34" t="str">
        <f t="shared" si="229"/>
        <v>C:\Users\jaime.benazar\Quorum Business Solutions\Ecopetrol Prometeo - Documents\Planning Space Implementation\3. Analysis &amp; Design\Design\FC22\DRR Jaime\QUIFA-CAJÚA\Cajua\[CAJUA_CF_SEC_New_27-Feb-2024Rev3.xlsx]D-PS'!</v>
      </c>
      <c r="G1218" s="32" t="s">
        <v>112</v>
      </c>
      <c r="H1218" s="33">
        <v>12</v>
      </c>
      <c r="I1218" s="33" t="str">
        <f t="shared" si="230"/>
        <v>='C:\Users\jaime.benazar\Quorum Business Solutions\Ecopetrol Prometeo - Documents\Planning Space Implementation\3. Analysis &amp; Design\Design\FC22\DRR Jaime\QUIFA-CAJÚA\Cajua\[CAJUA_CF_SEC_New_27-Feb-2024Rev3.xlsx]D-PS'!$BZ$12</v>
      </c>
      <c r="J1218" s="37" t="s">
        <v>2518</v>
      </c>
    </row>
    <row r="1219" spans="1:10" x14ac:dyDescent="0.25">
      <c r="A1219" s="32" t="s">
        <v>34</v>
      </c>
      <c r="B1219" s="32">
        <f>+B1218+1</f>
        <v>2024</v>
      </c>
      <c r="C1219" s="33" t="s">
        <v>11</v>
      </c>
      <c r="D1219" s="34" t="s">
        <v>1999</v>
      </c>
      <c r="E1219" s="35" t="str">
        <f t="shared" si="228"/>
        <v>PS'!</v>
      </c>
      <c r="F1219" s="34" t="str">
        <f t="shared" si="229"/>
        <v>C:\Users\jaime.benazar\Quorum Business Solutions\Ecopetrol Prometeo - Documents\Planning Space Implementation\3. Analysis &amp; Design\Design\FC22\DRR Jaime\QUIFA-CAJÚA\Cajua\[CAJUA_CF_SEC_New_27-Feb-2024Rev3.xlsx]D-PS'!</v>
      </c>
      <c r="G1219" s="32" t="s">
        <v>112</v>
      </c>
      <c r="H1219" s="33">
        <f t="shared" ref="H1219:H1238" si="293">IF(A1219&lt;&gt;A1218,12,H1218+1)</f>
        <v>13</v>
      </c>
      <c r="I1219" s="33" t="str">
        <f t="shared" si="230"/>
        <v>='C:\Users\jaime.benazar\Quorum Business Solutions\Ecopetrol Prometeo - Documents\Planning Space Implementation\3. Analysis &amp; Design\Design\FC22\DRR Jaime\QUIFA-CAJÚA\Cajua\[CAJUA_CF_SEC_New_27-Feb-2024Rev3.xlsx]D-PS'!$BZ$13</v>
      </c>
      <c r="J1219" s="37" t="s">
        <v>2519</v>
      </c>
    </row>
    <row r="1220" spans="1:10" x14ac:dyDescent="0.25">
      <c r="A1220" s="32" t="s">
        <v>34</v>
      </c>
      <c r="B1220" s="32">
        <f t="shared" ref="B1220:B1231" si="294">+B1219+1</f>
        <v>2025</v>
      </c>
      <c r="C1220" s="33" t="s">
        <v>11</v>
      </c>
      <c r="D1220" s="34" t="s">
        <v>1999</v>
      </c>
      <c r="E1220" s="35" t="str">
        <f t="shared" si="228"/>
        <v>PS'!</v>
      </c>
      <c r="F1220" s="34" t="str">
        <f t="shared" si="229"/>
        <v>C:\Users\jaime.benazar\Quorum Business Solutions\Ecopetrol Prometeo - Documents\Planning Space Implementation\3. Analysis &amp; Design\Design\FC22\DRR Jaime\QUIFA-CAJÚA\Cajua\[CAJUA_CF_SEC_New_27-Feb-2024Rev3.xlsx]D-PS'!</v>
      </c>
      <c r="G1220" s="32" t="s">
        <v>112</v>
      </c>
      <c r="H1220" s="33">
        <f t="shared" si="293"/>
        <v>14</v>
      </c>
      <c r="I1220" s="33" t="str">
        <f t="shared" si="230"/>
        <v>='C:\Users\jaime.benazar\Quorum Business Solutions\Ecopetrol Prometeo - Documents\Planning Space Implementation\3. Analysis &amp; Design\Design\FC22\DRR Jaime\QUIFA-CAJÚA\Cajua\[CAJUA_CF_SEC_New_27-Feb-2024Rev3.xlsx]D-PS'!$BZ$14</v>
      </c>
      <c r="J1220" s="37" t="s">
        <v>2520</v>
      </c>
    </row>
    <row r="1221" spans="1:10" x14ac:dyDescent="0.25">
      <c r="A1221" s="32" t="s">
        <v>34</v>
      </c>
      <c r="B1221" s="32">
        <f t="shared" si="294"/>
        <v>2026</v>
      </c>
      <c r="C1221" s="33" t="s">
        <v>11</v>
      </c>
      <c r="D1221" s="34" t="s">
        <v>1999</v>
      </c>
      <c r="E1221" s="35" t="str">
        <f t="shared" si="228"/>
        <v>PS'!</v>
      </c>
      <c r="F1221" s="34" t="str">
        <f t="shared" si="229"/>
        <v>C:\Users\jaime.benazar\Quorum Business Solutions\Ecopetrol Prometeo - Documents\Planning Space Implementation\3. Analysis &amp; Design\Design\FC22\DRR Jaime\QUIFA-CAJÚA\Cajua\[CAJUA_CF_SEC_New_27-Feb-2024Rev3.xlsx]D-PS'!</v>
      </c>
      <c r="G1221" s="32" t="s">
        <v>112</v>
      </c>
      <c r="H1221" s="33">
        <f t="shared" si="293"/>
        <v>15</v>
      </c>
      <c r="I1221" s="33" t="str">
        <f t="shared" si="230"/>
        <v>='C:\Users\jaime.benazar\Quorum Business Solutions\Ecopetrol Prometeo - Documents\Planning Space Implementation\3. Analysis &amp; Design\Design\FC22\DRR Jaime\QUIFA-CAJÚA\Cajua\[CAJUA_CF_SEC_New_27-Feb-2024Rev3.xlsx]D-PS'!$BZ$15</v>
      </c>
      <c r="J1221" s="37" t="s">
        <v>2521</v>
      </c>
    </row>
    <row r="1222" spans="1:10" x14ac:dyDescent="0.25">
      <c r="A1222" s="32" t="s">
        <v>34</v>
      </c>
      <c r="B1222" s="32">
        <f t="shared" si="294"/>
        <v>2027</v>
      </c>
      <c r="C1222" s="33" t="s">
        <v>11</v>
      </c>
      <c r="D1222" s="34" t="s">
        <v>1999</v>
      </c>
      <c r="E1222" s="35" t="str">
        <f t="shared" si="228"/>
        <v>PS'!</v>
      </c>
      <c r="F1222" s="34" t="str">
        <f t="shared" si="229"/>
        <v>C:\Users\jaime.benazar\Quorum Business Solutions\Ecopetrol Prometeo - Documents\Planning Space Implementation\3. Analysis &amp; Design\Design\FC22\DRR Jaime\QUIFA-CAJÚA\Cajua\[CAJUA_CF_SEC_New_27-Feb-2024Rev3.xlsx]D-PS'!</v>
      </c>
      <c r="G1222" s="32" t="s">
        <v>112</v>
      </c>
      <c r="H1222" s="33">
        <f t="shared" si="293"/>
        <v>16</v>
      </c>
      <c r="I1222" s="33" t="str">
        <f t="shared" si="230"/>
        <v>='C:\Users\jaime.benazar\Quorum Business Solutions\Ecopetrol Prometeo - Documents\Planning Space Implementation\3. Analysis &amp; Design\Design\FC22\DRR Jaime\QUIFA-CAJÚA\Cajua\[CAJUA_CF_SEC_New_27-Feb-2024Rev3.xlsx]D-PS'!$BZ$16</v>
      </c>
      <c r="J1222" s="37" t="s">
        <v>2522</v>
      </c>
    </row>
    <row r="1223" spans="1:10" x14ac:dyDescent="0.25">
      <c r="A1223" s="32" t="s">
        <v>34</v>
      </c>
      <c r="B1223" s="32">
        <f t="shared" si="294"/>
        <v>2028</v>
      </c>
      <c r="C1223" s="33" t="s">
        <v>11</v>
      </c>
      <c r="D1223" s="34" t="s">
        <v>1999</v>
      </c>
      <c r="E1223" s="35" t="str">
        <f t="shared" si="228"/>
        <v>PS'!</v>
      </c>
      <c r="F1223" s="34" t="str">
        <f t="shared" si="229"/>
        <v>C:\Users\jaime.benazar\Quorum Business Solutions\Ecopetrol Prometeo - Documents\Planning Space Implementation\3. Analysis &amp; Design\Design\FC22\DRR Jaime\QUIFA-CAJÚA\Cajua\[CAJUA_CF_SEC_New_27-Feb-2024Rev3.xlsx]D-PS'!</v>
      </c>
      <c r="G1223" s="32" t="s">
        <v>112</v>
      </c>
      <c r="H1223" s="33">
        <f t="shared" si="293"/>
        <v>17</v>
      </c>
      <c r="I1223" s="33" t="str">
        <f t="shared" si="230"/>
        <v>='C:\Users\jaime.benazar\Quorum Business Solutions\Ecopetrol Prometeo - Documents\Planning Space Implementation\3. Analysis &amp; Design\Design\FC22\DRR Jaime\QUIFA-CAJÚA\Cajua\[CAJUA_CF_SEC_New_27-Feb-2024Rev3.xlsx]D-PS'!$BZ$17</v>
      </c>
      <c r="J1223" s="37" t="s">
        <v>2523</v>
      </c>
    </row>
    <row r="1224" spans="1:10" x14ac:dyDescent="0.25">
      <c r="A1224" s="32" t="s">
        <v>34</v>
      </c>
      <c r="B1224" s="32">
        <f t="shared" si="294"/>
        <v>2029</v>
      </c>
      <c r="C1224" s="33" t="s">
        <v>11</v>
      </c>
      <c r="D1224" s="34" t="s">
        <v>1999</v>
      </c>
      <c r="E1224" s="35" t="str">
        <f t="shared" si="228"/>
        <v>PS'!</v>
      </c>
      <c r="F1224" s="34" t="str">
        <f t="shared" si="229"/>
        <v>C:\Users\jaime.benazar\Quorum Business Solutions\Ecopetrol Prometeo - Documents\Planning Space Implementation\3. Analysis &amp; Design\Design\FC22\DRR Jaime\QUIFA-CAJÚA\Cajua\[CAJUA_CF_SEC_New_27-Feb-2024Rev3.xlsx]D-PS'!</v>
      </c>
      <c r="G1224" s="32" t="s">
        <v>112</v>
      </c>
      <c r="H1224" s="33">
        <f t="shared" si="293"/>
        <v>18</v>
      </c>
      <c r="I1224" s="33" t="str">
        <f t="shared" si="230"/>
        <v>='C:\Users\jaime.benazar\Quorum Business Solutions\Ecopetrol Prometeo - Documents\Planning Space Implementation\3. Analysis &amp; Design\Design\FC22\DRR Jaime\QUIFA-CAJÚA\Cajua\[CAJUA_CF_SEC_New_27-Feb-2024Rev3.xlsx]D-PS'!$BZ$18</v>
      </c>
      <c r="J1224" s="37" t="s">
        <v>2524</v>
      </c>
    </row>
    <row r="1225" spans="1:10" x14ac:dyDescent="0.25">
      <c r="A1225" s="32" t="s">
        <v>34</v>
      </c>
      <c r="B1225" s="32">
        <f t="shared" si="294"/>
        <v>2030</v>
      </c>
      <c r="C1225" s="33" t="s">
        <v>11</v>
      </c>
      <c r="D1225" s="34" t="s">
        <v>1999</v>
      </c>
      <c r="E1225" s="35" t="str">
        <f t="shared" si="228"/>
        <v>PS'!</v>
      </c>
      <c r="F1225" s="34" t="str">
        <f t="shared" si="229"/>
        <v>C:\Users\jaime.benazar\Quorum Business Solutions\Ecopetrol Prometeo - Documents\Planning Space Implementation\3. Analysis &amp; Design\Design\FC22\DRR Jaime\QUIFA-CAJÚA\Cajua\[CAJUA_CF_SEC_New_27-Feb-2024Rev3.xlsx]D-PS'!</v>
      </c>
      <c r="G1225" s="32" t="s">
        <v>112</v>
      </c>
      <c r="H1225" s="33">
        <f t="shared" si="293"/>
        <v>19</v>
      </c>
      <c r="I1225" s="33" t="str">
        <f t="shared" si="230"/>
        <v>='C:\Users\jaime.benazar\Quorum Business Solutions\Ecopetrol Prometeo - Documents\Planning Space Implementation\3. Analysis &amp; Design\Design\FC22\DRR Jaime\QUIFA-CAJÚA\Cajua\[CAJUA_CF_SEC_New_27-Feb-2024Rev3.xlsx]D-PS'!$BZ$19</v>
      </c>
      <c r="J1225" s="37" t="s">
        <v>2525</v>
      </c>
    </row>
    <row r="1226" spans="1:10" x14ac:dyDescent="0.25">
      <c r="A1226" s="32" t="s">
        <v>34</v>
      </c>
      <c r="B1226" s="32">
        <f t="shared" si="294"/>
        <v>2031</v>
      </c>
      <c r="C1226" s="33" t="s">
        <v>11</v>
      </c>
      <c r="D1226" s="34" t="s">
        <v>1999</v>
      </c>
      <c r="E1226" s="35" t="str">
        <f t="shared" si="228"/>
        <v>PS'!</v>
      </c>
      <c r="F1226" s="34" t="str">
        <f t="shared" si="229"/>
        <v>C:\Users\jaime.benazar\Quorum Business Solutions\Ecopetrol Prometeo - Documents\Planning Space Implementation\3. Analysis &amp; Design\Design\FC22\DRR Jaime\QUIFA-CAJÚA\Cajua\[CAJUA_CF_SEC_New_27-Feb-2024Rev3.xlsx]D-PS'!</v>
      </c>
      <c r="G1226" s="32" t="s">
        <v>112</v>
      </c>
      <c r="H1226" s="33">
        <f t="shared" si="293"/>
        <v>20</v>
      </c>
      <c r="I1226" s="33" t="str">
        <f t="shared" si="230"/>
        <v>='C:\Users\jaime.benazar\Quorum Business Solutions\Ecopetrol Prometeo - Documents\Planning Space Implementation\3. Analysis &amp; Design\Design\FC22\DRR Jaime\QUIFA-CAJÚA\Cajua\[CAJUA_CF_SEC_New_27-Feb-2024Rev3.xlsx]D-PS'!$BZ$20</v>
      </c>
      <c r="J1226" s="37" t="s">
        <v>2526</v>
      </c>
    </row>
    <row r="1227" spans="1:10" x14ac:dyDescent="0.25">
      <c r="A1227" s="32" t="s">
        <v>34</v>
      </c>
      <c r="B1227" s="32">
        <f t="shared" si="294"/>
        <v>2032</v>
      </c>
      <c r="C1227" s="33" t="s">
        <v>11</v>
      </c>
      <c r="D1227" s="34" t="s">
        <v>1999</v>
      </c>
      <c r="E1227" s="35" t="str">
        <f t="shared" si="228"/>
        <v>PS'!</v>
      </c>
      <c r="F1227" s="34" t="str">
        <f t="shared" si="229"/>
        <v>C:\Users\jaime.benazar\Quorum Business Solutions\Ecopetrol Prometeo - Documents\Planning Space Implementation\3. Analysis &amp; Design\Design\FC22\DRR Jaime\QUIFA-CAJÚA\Cajua\[CAJUA_CF_SEC_New_27-Feb-2024Rev3.xlsx]D-PS'!</v>
      </c>
      <c r="G1227" s="32" t="s">
        <v>112</v>
      </c>
      <c r="H1227" s="33">
        <f t="shared" si="293"/>
        <v>21</v>
      </c>
      <c r="I1227" s="33" t="str">
        <f t="shared" si="230"/>
        <v>='C:\Users\jaime.benazar\Quorum Business Solutions\Ecopetrol Prometeo - Documents\Planning Space Implementation\3. Analysis &amp; Design\Design\FC22\DRR Jaime\QUIFA-CAJÚA\Cajua\[CAJUA_CF_SEC_New_27-Feb-2024Rev3.xlsx]D-PS'!$BZ$21</v>
      </c>
      <c r="J1227" s="37" t="s">
        <v>2527</v>
      </c>
    </row>
    <row r="1228" spans="1:10" x14ac:dyDescent="0.25">
      <c r="A1228" s="32" t="s">
        <v>34</v>
      </c>
      <c r="B1228" s="32">
        <f t="shared" si="294"/>
        <v>2033</v>
      </c>
      <c r="C1228" s="33" t="s">
        <v>11</v>
      </c>
      <c r="D1228" s="34" t="s">
        <v>1999</v>
      </c>
      <c r="E1228" s="35" t="str">
        <f t="shared" si="228"/>
        <v>PS'!</v>
      </c>
      <c r="F1228" s="34" t="str">
        <f t="shared" si="229"/>
        <v>C:\Users\jaime.benazar\Quorum Business Solutions\Ecopetrol Prometeo - Documents\Planning Space Implementation\3. Analysis &amp; Design\Design\FC22\DRR Jaime\QUIFA-CAJÚA\Cajua\[CAJUA_CF_SEC_New_27-Feb-2024Rev3.xlsx]D-PS'!</v>
      </c>
      <c r="G1228" s="32" t="s">
        <v>112</v>
      </c>
      <c r="H1228" s="33">
        <f t="shared" si="293"/>
        <v>22</v>
      </c>
      <c r="I1228" s="33" t="str">
        <f t="shared" si="230"/>
        <v>='C:\Users\jaime.benazar\Quorum Business Solutions\Ecopetrol Prometeo - Documents\Planning Space Implementation\3. Analysis &amp; Design\Design\FC22\DRR Jaime\QUIFA-CAJÚA\Cajua\[CAJUA_CF_SEC_New_27-Feb-2024Rev3.xlsx]D-PS'!$BZ$22</v>
      </c>
      <c r="J1228" s="37" t="s">
        <v>2528</v>
      </c>
    </row>
    <row r="1229" spans="1:10" x14ac:dyDescent="0.25">
      <c r="A1229" s="32" t="s">
        <v>34</v>
      </c>
      <c r="B1229" s="32">
        <f t="shared" si="294"/>
        <v>2034</v>
      </c>
      <c r="C1229" s="33" t="s">
        <v>11</v>
      </c>
      <c r="D1229" s="34" t="s">
        <v>1999</v>
      </c>
      <c r="E1229" s="35" t="str">
        <f t="shared" si="228"/>
        <v>PS'!</v>
      </c>
      <c r="F1229" s="34" t="str">
        <f t="shared" si="229"/>
        <v>C:\Users\jaime.benazar\Quorum Business Solutions\Ecopetrol Prometeo - Documents\Planning Space Implementation\3. Analysis &amp; Design\Design\FC22\DRR Jaime\QUIFA-CAJÚA\Cajua\[CAJUA_CF_SEC_New_27-Feb-2024Rev3.xlsx]D-PS'!</v>
      </c>
      <c r="G1229" s="32" t="s">
        <v>112</v>
      </c>
      <c r="H1229" s="33">
        <f t="shared" si="293"/>
        <v>23</v>
      </c>
      <c r="I1229" s="33" t="str">
        <f t="shared" si="230"/>
        <v>='C:\Users\jaime.benazar\Quorum Business Solutions\Ecopetrol Prometeo - Documents\Planning Space Implementation\3. Analysis &amp; Design\Design\FC22\DRR Jaime\QUIFA-CAJÚA\Cajua\[CAJUA_CF_SEC_New_27-Feb-2024Rev3.xlsx]D-PS'!$BZ$23</v>
      </c>
      <c r="J1229" s="37" t="s">
        <v>2529</v>
      </c>
    </row>
    <row r="1230" spans="1:10" x14ac:dyDescent="0.25">
      <c r="A1230" s="32" t="s">
        <v>34</v>
      </c>
      <c r="B1230" s="32">
        <f t="shared" si="294"/>
        <v>2035</v>
      </c>
      <c r="C1230" s="33" t="s">
        <v>11</v>
      </c>
      <c r="D1230" s="34" t="s">
        <v>1999</v>
      </c>
      <c r="E1230" s="35" t="str">
        <f t="shared" si="228"/>
        <v>PS'!</v>
      </c>
      <c r="F1230" s="34" t="str">
        <f t="shared" si="229"/>
        <v>C:\Users\jaime.benazar\Quorum Business Solutions\Ecopetrol Prometeo - Documents\Planning Space Implementation\3. Analysis &amp; Design\Design\FC22\DRR Jaime\QUIFA-CAJÚA\Cajua\[CAJUA_CF_SEC_New_27-Feb-2024Rev3.xlsx]D-PS'!</v>
      </c>
      <c r="G1230" s="32" t="s">
        <v>112</v>
      </c>
      <c r="H1230" s="33">
        <f t="shared" si="293"/>
        <v>24</v>
      </c>
      <c r="I1230" s="33" t="str">
        <f t="shared" si="230"/>
        <v>='C:\Users\jaime.benazar\Quorum Business Solutions\Ecopetrol Prometeo - Documents\Planning Space Implementation\3. Analysis &amp; Design\Design\FC22\DRR Jaime\QUIFA-CAJÚA\Cajua\[CAJUA_CF_SEC_New_27-Feb-2024Rev3.xlsx]D-PS'!$BZ$24</v>
      </c>
      <c r="J1230" s="37" t="s">
        <v>2530</v>
      </c>
    </row>
    <row r="1231" spans="1:10" x14ac:dyDescent="0.25">
      <c r="A1231" s="32" t="s">
        <v>34</v>
      </c>
      <c r="B1231" s="32">
        <f t="shared" si="294"/>
        <v>2036</v>
      </c>
      <c r="C1231" s="33" t="s">
        <v>11</v>
      </c>
      <c r="D1231" s="34" t="s">
        <v>1999</v>
      </c>
      <c r="E1231" s="35" t="str">
        <f t="shared" si="228"/>
        <v>PS'!</v>
      </c>
      <c r="F1231" s="34" t="str">
        <f t="shared" si="229"/>
        <v>C:\Users\jaime.benazar\Quorum Business Solutions\Ecopetrol Prometeo - Documents\Planning Space Implementation\3. Analysis &amp; Design\Design\FC22\DRR Jaime\QUIFA-CAJÚA\Cajua\[CAJUA_CF_SEC_New_27-Feb-2024Rev3.xlsx]D-PS'!</v>
      </c>
      <c r="G1231" s="32" t="s">
        <v>112</v>
      </c>
      <c r="H1231" s="33">
        <f t="shared" si="293"/>
        <v>25</v>
      </c>
      <c r="I1231" s="33" t="str">
        <f t="shared" si="230"/>
        <v>='C:\Users\jaime.benazar\Quorum Business Solutions\Ecopetrol Prometeo - Documents\Planning Space Implementation\3. Analysis &amp; Design\Design\FC22\DRR Jaime\QUIFA-CAJÚA\Cajua\[CAJUA_CF_SEC_New_27-Feb-2024Rev3.xlsx]D-PS'!$BZ$25</v>
      </c>
      <c r="J1231" s="37" t="s">
        <v>2531</v>
      </c>
    </row>
    <row r="1232" spans="1:10" x14ac:dyDescent="0.25">
      <c r="A1232" s="32" t="s">
        <v>34</v>
      </c>
      <c r="B1232" s="32">
        <f>+B1231+1</f>
        <v>2037</v>
      </c>
      <c r="C1232" s="33" t="s">
        <v>11</v>
      </c>
      <c r="D1232" s="34" t="s">
        <v>1999</v>
      </c>
      <c r="E1232" s="35" t="str">
        <f t="shared" si="228"/>
        <v>PS'!</v>
      </c>
      <c r="F1232" s="34" t="str">
        <f t="shared" si="229"/>
        <v>C:\Users\jaime.benazar\Quorum Business Solutions\Ecopetrol Prometeo - Documents\Planning Space Implementation\3. Analysis &amp; Design\Design\FC22\DRR Jaime\QUIFA-CAJÚA\Cajua\[CAJUA_CF_SEC_New_27-Feb-2024Rev3.xlsx]D-PS'!</v>
      </c>
      <c r="G1232" s="32" t="s">
        <v>112</v>
      </c>
      <c r="H1232" s="33">
        <f t="shared" si="293"/>
        <v>26</v>
      </c>
      <c r="I1232" s="33" t="str">
        <f t="shared" si="230"/>
        <v>='C:\Users\jaime.benazar\Quorum Business Solutions\Ecopetrol Prometeo - Documents\Planning Space Implementation\3. Analysis &amp; Design\Design\FC22\DRR Jaime\QUIFA-CAJÚA\Cajua\[CAJUA_CF_SEC_New_27-Feb-2024Rev3.xlsx]D-PS'!$BZ$26</v>
      </c>
      <c r="J1232" s="37" t="s">
        <v>2532</v>
      </c>
    </row>
    <row r="1233" spans="1:10" x14ac:dyDescent="0.25">
      <c r="A1233" s="32" t="s">
        <v>34</v>
      </c>
      <c r="B1233" s="32">
        <f t="shared" ref="B1233:B1235" si="295">+B1232+1</f>
        <v>2038</v>
      </c>
      <c r="C1233" s="33" t="s">
        <v>11</v>
      </c>
      <c r="D1233" s="34" t="s">
        <v>1999</v>
      </c>
      <c r="E1233" s="35" t="str">
        <f t="shared" si="228"/>
        <v>PS'!</v>
      </c>
      <c r="F1233" s="34" t="str">
        <f t="shared" si="229"/>
        <v>C:\Users\jaime.benazar\Quorum Business Solutions\Ecopetrol Prometeo - Documents\Planning Space Implementation\3. Analysis &amp; Design\Design\FC22\DRR Jaime\QUIFA-CAJÚA\Cajua\[CAJUA_CF_SEC_New_27-Feb-2024Rev3.xlsx]D-PS'!</v>
      </c>
      <c r="G1233" s="32" t="s">
        <v>112</v>
      </c>
      <c r="H1233" s="33">
        <f t="shared" si="293"/>
        <v>27</v>
      </c>
      <c r="I1233" s="33" t="str">
        <f t="shared" si="230"/>
        <v>='C:\Users\jaime.benazar\Quorum Business Solutions\Ecopetrol Prometeo - Documents\Planning Space Implementation\3. Analysis &amp; Design\Design\FC22\DRR Jaime\QUIFA-CAJÚA\Cajua\[CAJUA_CF_SEC_New_27-Feb-2024Rev3.xlsx]D-PS'!$BZ$27</v>
      </c>
      <c r="J1233" s="37" t="s">
        <v>2533</v>
      </c>
    </row>
    <row r="1234" spans="1:10" x14ac:dyDescent="0.25">
      <c r="A1234" s="32" t="s">
        <v>34</v>
      </c>
      <c r="B1234" s="32">
        <f t="shared" si="295"/>
        <v>2039</v>
      </c>
      <c r="C1234" s="33" t="s">
        <v>11</v>
      </c>
      <c r="D1234" s="34" t="s">
        <v>1999</v>
      </c>
      <c r="E1234" s="35" t="str">
        <f t="shared" si="228"/>
        <v>PS'!</v>
      </c>
      <c r="F1234" s="34" t="str">
        <f t="shared" si="229"/>
        <v>C:\Users\jaime.benazar\Quorum Business Solutions\Ecopetrol Prometeo - Documents\Planning Space Implementation\3. Analysis &amp; Design\Design\FC22\DRR Jaime\QUIFA-CAJÚA\Cajua\[CAJUA_CF_SEC_New_27-Feb-2024Rev3.xlsx]D-PS'!</v>
      </c>
      <c r="G1234" s="32" t="s">
        <v>112</v>
      </c>
      <c r="H1234" s="33">
        <f t="shared" si="293"/>
        <v>28</v>
      </c>
      <c r="I1234" s="33" t="str">
        <f t="shared" si="230"/>
        <v>='C:\Users\jaime.benazar\Quorum Business Solutions\Ecopetrol Prometeo - Documents\Planning Space Implementation\3. Analysis &amp; Design\Design\FC22\DRR Jaime\QUIFA-CAJÚA\Cajua\[CAJUA_CF_SEC_New_27-Feb-2024Rev3.xlsx]D-PS'!$BZ$28</v>
      </c>
      <c r="J1234" s="37" t="s">
        <v>2534</v>
      </c>
    </row>
    <row r="1235" spans="1:10" x14ac:dyDescent="0.25">
      <c r="A1235" s="32" t="s">
        <v>34</v>
      </c>
      <c r="B1235" s="32">
        <f t="shared" si="295"/>
        <v>2040</v>
      </c>
      <c r="C1235" s="33" t="s">
        <v>11</v>
      </c>
      <c r="D1235" s="34" t="s">
        <v>1999</v>
      </c>
      <c r="E1235" s="35" t="str">
        <f t="shared" si="228"/>
        <v>PS'!</v>
      </c>
      <c r="F1235" s="34" t="str">
        <f t="shared" si="229"/>
        <v>C:\Users\jaime.benazar\Quorum Business Solutions\Ecopetrol Prometeo - Documents\Planning Space Implementation\3. Analysis &amp; Design\Design\FC22\DRR Jaime\QUIFA-CAJÚA\Cajua\[CAJUA_CF_SEC_New_27-Feb-2024Rev3.xlsx]D-PS'!</v>
      </c>
      <c r="G1235" s="32" t="s">
        <v>112</v>
      </c>
      <c r="H1235" s="33">
        <f t="shared" si="293"/>
        <v>29</v>
      </c>
      <c r="I1235" s="33" t="str">
        <f t="shared" si="230"/>
        <v>='C:\Users\jaime.benazar\Quorum Business Solutions\Ecopetrol Prometeo - Documents\Planning Space Implementation\3. Analysis &amp; Design\Design\FC22\DRR Jaime\QUIFA-CAJÚA\Cajua\[CAJUA_CF_SEC_New_27-Feb-2024Rev3.xlsx]D-PS'!$BZ$29</v>
      </c>
      <c r="J1235" s="37" t="s">
        <v>2535</v>
      </c>
    </row>
    <row r="1236" spans="1:10" x14ac:dyDescent="0.25">
      <c r="A1236" s="32" t="s">
        <v>34</v>
      </c>
      <c r="B1236" s="32">
        <f>+B1235+1</f>
        <v>2041</v>
      </c>
      <c r="C1236" s="33" t="s">
        <v>11</v>
      </c>
      <c r="D1236" s="34" t="s">
        <v>1999</v>
      </c>
      <c r="E1236" s="35" t="str">
        <f t="shared" si="228"/>
        <v>PS'!</v>
      </c>
      <c r="F1236" s="34" t="str">
        <f t="shared" si="229"/>
        <v>C:\Users\jaime.benazar\Quorum Business Solutions\Ecopetrol Prometeo - Documents\Planning Space Implementation\3. Analysis &amp; Design\Design\FC22\DRR Jaime\QUIFA-CAJÚA\Cajua\[CAJUA_CF_SEC_New_27-Feb-2024Rev3.xlsx]D-PS'!</v>
      </c>
      <c r="G1236" s="32" t="s">
        <v>112</v>
      </c>
      <c r="H1236" s="33">
        <f t="shared" si="293"/>
        <v>30</v>
      </c>
      <c r="I1236" s="33" t="str">
        <f t="shared" si="230"/>
        <v>='C:\Users\jaime.benazar\Quorum Business Solutions\Ecopetrol Prometeo - Documents\Planning Space Implementation\3. Analysis &amp; Design\Design\FC22\DRR Jaime\QUIFA-CAJÚA\Cajua\[CAJUA_CF_SEC_New_27-Feb-2024Rev3.xlsx]D-PS'!$BZ$30</v>
      </c>
      <c r="J1236" s="37" t="s">
        <v>2536</v>
      </c>
    </row>
    <row r="1237" spans="1:10" x14ac:dyDescent="0.25">
      <c r="A1237" s="32" t="s">
        <v>34</v>
      </c>
      <c r="B1237" s="32">
        <f t="shared" ref="B1237:B1238" si="296">+B1236+1</f>
        <v>2042</v>
      </c>
      <c r="C1237" s="33" t="s">
        <v>11</v>
      </c>
      <c r="D1237" s="34" t="s">
        <v>1999</v>
      </c>
      <c r="E1237" s="35" t="str">
        <f t="shared" si="228"/>
        <v>PS'!</v>
      </c>
      <c r="F1237" s="34" t="str">
        <f t="shared" si="229"/>
        <v>C:\Users\jaime.benazar\Quorum Business Solutions\Ecopetrol Prometeo - Documents\Planning Space Implementation\3. Analysis &amp; Design\Design\FC22\DRR Jaime\QUIFA-CAJÚA\Cajua\[CAJUA_CF_SEC_New_27-Feb-2024Rev3.xlsx]D-PS'!</v>
      </c>
      <c r="G1237" s="32" t="s">
        <v>112</v>
      </c>
      <c r="H1237" s="33">
        <f t="shared" si="293"/>
        <v>31</v>
      </c>
      <c r="I1237" s="33" t="str">
        <f t="shared" si="230"/>
        <v>='C:\Users\jaime.benazar\Quorum Business Solutions\Ecopetrol Prometeo - Documents\Planning Space Implementation\3. Analysis &amp; Design\Design\FC22\DRR Jaime\QUIFA-CAJÚA\Cajua\[CAJUA_CF_SEC_New_27-Feb-2024Rev3.xlsx]D-PS'!$BZ$31</v>
      </c>
      <c r="J1237" s="37" t="s">
        <v>2537</v>
      </c>
    </row>
    <row r="1238" spans="1:10" x14ac:dyDescent="0.25">
      <c r="A1238" s="32" t="s">
        <v>34</v>
      </c>
      <c r="B1238" s="32">
        <f t="shared" si="296"/>
        <v>2043</v>
      </c>
      <c r="C1238" s="33" t="s">
        <v>11</v>
      </c>
      <c r="D1238" s="34" t="s">
        <v>1999</v>
      </c>
      <c r="E1238" s="35" t="str">
        <f t="shared" si="228"/>
        <v>PS'!</v>
      </c>
      <c r="F1238" s="34" t="str">
        <f t="shared" si="229"/>
        <v>C:\Users\jaime.benazar\Quorum Business Solutions\Ecopetrol Prometeo - Documents\Planning Space Implementation\3. Analysis &amp; Design\Design\FC22\DRR Jaime\QUIFA-CAJÚA\Cajua\[CAJUA_CF_SEC_New_27-Feb-2024Rev3.xlsx]D-PS'!</v>
      </c>
      <c r="G1238" s="32" t="s">
        <v>112</v>
      </c>
      <c r="H1238" s="33">
        <f t="shared" si="293"/>
        <v>32</v>
      </c>
      <c r="I1238" s="33" t="str">
        <f t="shared" si="230"/>
        <v>='C:\Users\jaime.benazar\Quorum Business Solutions\Ecopetrol Prometeo - Documents\Planning Space Implementation\3. Analysis &amp; Design\Design\FC22\DRR Jaime\QUIFA-CAJÚA\Cajua\[CAJUA_CF_SEC_New_27-Feb-2024Rev3.xlsx]D-PS'!$BZ$32</v>
      </c>
      <c r="J1238" s="37" t="s">
        <v>2538</v>
      </c>
    </row>
    <row r="1239" spans="1:10" x14ac:dyDescent="0.25">
      <c r="A1239" s="32" t="s">
        <v>34</v>
      </c>
      <c r="B1239" s="32">
        <f>+B1238+1</f>
        <v>2044</v>
      </c>
      <c r="C1239" s="33" t="s">
        <v>11</v>
      </c>
      <c r="D1239" s="34" t="s">
        <v>1999</v>
      </c>
      <c r="E1239" s="35" t="str">
        <f t="shared" ref="E1239:E1254" si="297">_xlfn.CONCAT(A1239,"'!")</f>
        <v>PS'!</v>
      </c>
      <c r="F1239" s="34" t="str">
        <f t="shared" ref="F1239:F1254" si="298">_xlfn.CONCAT(D1239:E1239)</f>
        <v>C:\Users\jaime.benazar\Quorum Business Solutions\Ecopetrol Prometeo - Documents\Planning Space Implementation\3. Analysis &amp; Design\Design\FC22\DRR Jaime\QUIFA-CAJÚA\Cajua\[CAJUA_CF_SEC_New_27-Feb-2024Rev3.xlsx]D-PS'!</v>
      </c>
      <c r="G1239" s="32" t="s">
        <v>112</v>
      </c>
      <c r="H1239" s="33">
        <f t="shared" ref="H1239:H1254" si="299">IF(A1239&lt;&gt;A1238,12,H1238+1)</f>
        <v>33</v>
      </c>
      <c r="I1239" s="33" t="str">
        <f t="shared" ref="I1239:I1254" si="300">_xlfn.CONCAT("='",F1239:H1239)</f>
        <v>='C:\Users\jaime.benazar\Quorum Business Solutions\Ecopetrol Prometeo - Documents\Planning Space Implementation\3. Analysis &amp; Design\Design\FC22\DRR Jaime\QUIFA-CAJÚA\Cajua\[CAJUA_CF_SEC_New_27-Feb-2024Rev3.xlsx]D-PS'!$BZ$33</v>
      </c>
      <c r="J1239" s="37" t="s">
        <v>2539</v>
      </c>
    </row>
    <row r="1240" spans="1:10" x14ac:dyDescent="0.25">
      <c r="A1240" s="32" t="s">
        <v>34</v>
      </c>
      <c r="B1240" s="32">
        <f t="shared" ref="B1240:B1254" si="301">+B1239+1</f>
        <v>2045</v>
      </c>
      <c r="C1240" s="33" t="s">
        <v>11</v>
      </c>
      <c r="D1240" s="34" t="s">
        <v>1999</v>
      </c>
      <c r="E1240" s="35" t="str">
        <f t="shared" si="297"/>
        <v>PS'!</v>
      </c>
      <c r="F1240" s="34" t="str">
        <f t="shared" si="298"/>
        <v>C:\Users\jaime.benazar\Quorum Business Solutions\Ecopetrol Prometeo - Documents\Planning Space Implementation\3. Analysis &amp; Design\Design\FC22\DRR Jaime\QUIFA-CAJÚA\Cajua\[CAJUA_CF_SEC_New_27-Feb-2024Rev3.xlsx]D-PS'!</v>
      </c>
      <c r="G1240" s="32" t="s">
        <v>112</v>
      </c>
      <c r="H1240" s="33">
        <f t="shared" si="299"/>
        <v>34</v>
      </c>
      <c r="I1240" s="33" t="str">
        <f t="shared" si="300"/>
        <v>='C:\Users\jaime.benazar\Quorum Business Solutions\Ecopetrol Prometeo - Documents\Planning Space Implementation\3. Analysis &amp; Design\Design\FC22\DRR Jaime\QUIFA-CAJÚA\Cajua\[CAJUA_CF_SEC_New_27-Feb-2024Rev3.xlsx]D-PS'!$BZ$34</v>
      </c>
      <c r="J1240" s="37" t="s">
        <v>2540</v>
      </c>
    </row>
    <row r="1241" spans="1:10" x14ac:dyDescent="0.25">
      <c r="A1241" s="32" t="s">
        <v>34</v>
      </c>
      <c r="B1241" s="32">
        <f t="shared" si="301"/>
        <v>2046</v>
      </c>
      <c r="C1241" s="33" t="s">
        <v>11</v>
      </c>
      <c r="D1241" s="34" t="s">
        <v>1999</v>
      </c>
      <c r="E1241" s="35" t="str">
        <f t="shared" si="297"/>
        <v>PS'!</v>
      </c>
      <c r="F1241" s="34" t="str">
        <f t="shared" si="298"/>
        <v>C:\Users\jaime.benazar\Quorum Business Solutions\Ecopetrol Prometeo - Documents\Planning Space Implementation\3. Analysis &amp; Design\Design\FC22\DRR Jaime\QUIFA-CAJÚA\Cajua\[CAJUA_CF_SEC_New_27-Feb-2024Rev3.xlsx]D-PS'!</v>
      </c>
      <c r="G1241" s="32" t="s">
        <v>112</v>
      </c>
      <c r="H1241" s="33">
        <f t="shared" si="299"/>
        <v>35</v>
      </c>
      <c r="I1241" s="33" t="str">
        <f t="shared" si="300"/>
        <v>='C:\Users\jaime.benazar\Quorum Business Solutions\Ecopetrol Prometeo - Documents\Planning Space Implementation\3. Analysis &amp; Design\Design\FC22\DRR Jaime\QUIFA-CAJÚA\Cajua\[CAJUA_CF_SEC_New_27-Feb-2024Rev3.xlsx]D-PS'!$BZ$35</v>
      </c>
      <c r="J1241" s="37" t="s">
        <v>2541</v>
      </c>
    </row>
    <row r="1242" spans="1:10" x14ac:dyDescent="0.25">
      <c r="A1242" s="32" t="s">
        <v>34</v>
      </c>
      <c r="B1242" s="32">
        <f t="shared" si="301"/>
        <v>2047</v>
      </c>
      <c r="C1242" s="33" t="s">
        <v>11</v>
      </c>
      <c r="D1242" s="34" t="s">
        <v>1999</v>
      </c>
      <c r="E1242" s="35" t="str">
        <f t="shared" si="297"/>
        <v>PS'!</v>
      </c>
      <c r="F1242" s="34" t="str">
        <f t="shared" si="298"/>
        <v>C:\Users\jaime.benazar\Quorum Business Solutions\Ecopetrol Prometeo - Documents\Planning Space Implementation\3. Analysis &amp; Design\Design\FC22\DRR Jaime\QUIFA-CAJÚA\Cajua\[CAJUA_CF_SEC_New_27-Feb-2024Rev3.xlsx]D-PS'!</v>
      </c>
      <c r="G1242" s="32" t="s">
        <v>112</v>
      </c>
      <c r="H1242" s="33">
        <f t="shared" si="299"/>
        <v>36</v>
      </c>
      <c r="I1242" s="33" t="str">
        <f t="shared" si="300"/>
        <v>='C:\Users\jaime.benazar\Quorum Business Solutions\Ecopetrol Prometeo - Documents\Planning Space Implementation\3. Analysis &amp; Design\Design\FC22\DRR Jaime\QUIFA-CAJÚA\Cajua\[CAJUA_CF_SEC_New_27-Feb-2024Rev3.xlsx]D-PS'!$BZ$36</v>
      </c>
      <c r="J1242" s="37" t="s">
        <v>2542</v>
      </c>
    </row>
    <row r="1243" spans="1:10" x14ac:dyDescent="0.25">
      <c r="A1243" s="32" t="s">
        <v>34</v>
      </c>
      <c r="B1243" s="32">
        <f t="shared" si="301"/>
        <v>2048</v>
      </c>
      <c r="C1243" s="33" t="s">
        <v>11</v>
      </c>
      <c r="D1243" s="34" t="s">
        <v>1999</v>
      </c>
      <c r="E1243" s="35" t="str">
        <f t="shared" si="297"/>
        <v>PS'!</v>
      </c>
      <c r="F1243" s="34" t="str">
        <f t="shared" si="298"/>
        <v>C:\Users\jaime.benazar\Quorum Business Solutions\Ecopetrol Prometeo - Documents\Planning Space Implementation\3. Analysis &amp; Design\Design\FC22\DRR Jaime\QUIFA-CAJÚA\Cajua\[CAJUA_CF_SEC_New_27-Feb-2024Rev3.xlsx]D-PS'!</v>
      </c>
      <c r="G1243" s="32" t="s">
        <v>112</v>
      </c>
      <c r="H1243" s="33">
        <f t="shared" si="299"/>
        <v>37</v>
      </c>
      <c r="I1243" s="33" t="str">
        <f t="shared" si="300"/>
        <v>='C:\Users\jaime.benazar\Quorum Business Solutions\Ecopetrol Prometeo - Documents\Planning Space Implementation\3. Analysis &amp; Design\Design\FC22\DRR Jaime\QUIFA-CAJÚA\Cajua\[CAJUA_CF_SEC_New_27-Feb-2024Rev3.xlsx]D-PS'!$BZ$37</v>
      </c>
      <c r="J1243" s="37" t="s">
        <v>2543</v>
      </c>
    </row>
    <row r="1244" spans="1:10" x14ac:dyDescent="0.25">
      <c r="A1244" s="32" t="s">
        <v>34</v>
      </c>
      <c r="B1244" s="32">
        <f t="shared" si="301"/>
        <v>2049</v>
      </c>
      <c r="C1244" s="33" t="s">
        <v>11</v>
      </c>
      <c r="D1244" s="34" t="s">
        <v>1999</v>
      </c>
      <c r="E1244" s="35" t="str">
        <f t="shared" si="297"/>
        <v>PS'!</v>
      </c>
      <c r="F1244" s="34" t="str">
        <f t="shared" si="298"/>
        <v>C:\Users\jaime.benazar\Quorum Business Solutions\Ecopetrol Prometeo - Documents\Planning Space Implementation\3. Analysis &amp; Design\Design\FC22\DRR Jaime\QUIFA-CAJÚA\Cajua\[CAJUA_CF_SEC_New_27-Feb-2024Rev3.xlsx]D-PS'!</v>
      </c>
      <c r="G1244" s="32" t="s">
        <v>112</v>
      </c>
      <c r="H1244" s="33">
        <f t="shared" si="299"/>
        <v>38</v>
      </c>
      <c r="I1244" s="33" t="str">
        <f t="shared" si="300"/>
        <v>='C:\Users\jaime.benazar\Quorum Business Solutions\Ecopetrol Prometeo - Documents\Planning Space Implementation\3. Analysis &amp; Design\Design\FC22\DRR Jaime\QUIFA-CAJÚA\Cajua\[CAJUA_CF_SEC_New_27-Feb-2024Rev3.xlsx]D-PS'!$BZ$38</v>
      </c>
      <c r="J1244" s="37" t="s">
        <v>2544</v>
      </c>
    </row>
    <row r="1245" spans="1:10" x14ac:dyDescent="0.25">
      <c r="A1245" s="32" t="s">
        <v>34</v>
      </c>
      <c r="B1245" s="32">
        <f t="shared" si="301"/>
        <v>2050</v>
      </c>
      <c r="C1245" s="33" t="s">
        <v>11</v>
      </c>
      <c r="D1245" s="34" t="s">
        <v>1999</v>
      </c>
      <c r="E1245" s="35" t="str">
        <f t="shared" si="297"/>
        <v>PS'!</v>
      </c>
      <c r="F1245" s="34" t="str">
        <f t="shared" si="298"/>
        <v>C:\Users\jaime.benazar\Quorum Business Solutions\Ecopetrol Prometeo - Documents\Planning Space Implementation\3. Analysis &amp; Design\Design\FC22\DRR Jaime\QUIFA-CAJÚA\Cajua\[CAJUA_CF_SEC_New_27-Feb-2024Rev3.xlsx]D-PS'!</v>
      </c>
      <c r="G1245" s="32" t="s">
        <v>112</v>
      </c>
      <c r="H1245" s="33">
        <f t="shared" si="299"/>
        <v>39</v>
      </c>
      <c r="I1245" s="33" t="str">
        <f t="shared" si="300"/>
        <v>='C:\Users\jaime.benazar\Quorum Business Solutions\Ecopetrol Prometeo - Documents\Planning Space Implementation\3. Analysis &amp; Design\Design\FC22\DRR Jaime\QUIFA-CAJÚA\Cajua\[CAJUA_CF_SEC_New_27-Feb-2024Rev3.xlsx]D-PS'!$BZ$39</v>
      </c>
      <c r="J1245" s="37" t="s">
        <v>2545</v>
      </c>
    </row>
    <row r="1246" spans="1:10" x14ac:dyDescent="0.25">
      <c r="A1246" s="32" t="s">
        <v>34</v>
      </c>
      <c r="B1246" s="32">
        <f t="shared" si="301"/>
        <v>2051</v>
      </c>
      <c r="C1246" s="33" t="s">
        <v>11</v>
      </c>
      <c r="D1246" s="34" t="s">
        <v>1999</v>
      </c>
      <c r="E1246" s="35" t="str">
        <f t="shared" si="297"/>
        <v>PS'!</v>
      </c>
      <c r="F1246" s="34" t="str">
        <f t="shared" si="298"/>
        <v>C:\Users\jaime.benazar\Quorum Business Solutions\Ecopetrol Prometeo - Documents\Planning Space Implementation\3. Analysis &amp; Design\Design\FC22\DRR Jaime\QUIFA-CAJÚA\Cajua\[CAJUA_CF_SEC_New_27-Feb-2024Rev3.xlsx]D-PS'!</v>
      </c>
      <c r="G1246" s="32" t="s">
        <v>112</v>
      </c>
      <c r="H1246" s="33">
        <f t="shared" si="299"/>
        <v>40</v>
      </c>
      <c r="I1246" s="33" t="str">
        <f t="shared" si="300"/>
        <v>='C:\Users\jaime.benazar\Quorum Business Solutions\Ecopetrol Prometeo - Documents\Planning Space Implementation\3. Analysis &amp; Design\Design\FC22\DRR Jaime\QUIFA-CAJÚA\Cajua\[CAJUA_CF_SEC_New_27-Feb-2024Rev3.xlsx]D-PS'!$BZ$40</v>
      </c>
      <c r="J1246" s="37" t="s">
        <v>2546</v>
      </c>
    </row>
    <row r="1247" spans="1:10" x14ac:dyDescent="0.25">
      <c r="A1247" s="32" t="s">
        <v>34</v>
      </c>
      <c r="B1247" s="32">
        <f t="shared" si="301"/>
        <v>2052</v>
      </c>
      <c r="C1247" s="33" t="s">
        <v>11</v>
      </c>
      <c r="D1247" s="34" t="s">
        <v>1999</v>
      </c>
      <c r="E1247" s="35" t="str">
        <f t="shared" si="297"/>
        <v>PS'!</v>
      </c>
      <c r="F1247" s="34" t="str">
        <f t="shared" si="298"/>
        <v>C:\Users\jaime.benazar\Quorum Business Solutions\Ecopetrol Prometeo - Documents\Planning Space Implementation\3. Analysis &amp; Design\Design\FC22\DRR Jaime\QUIFA-CAJÚA\Cajua\[CAJUA_CF_SEC_New_27-Feb-2024Rev3.xlsx]D-PS'!</v>
      </c>
      <c r="G1247" s="32" t="s">
        <v>112</v>
      </c>
      <c r="H1247" s="33">
        <f t="shared" si="299"/>
        <v>41</v>
      </c>
      <c r="I1247" s="33" t="str">
        <f t="shared" si="300"/>
        <v>='C:\Users\jaime.benazar\Quorum Business Solutions\Ecopetrol Prometeo - Documents\Planning Space Implementation\3. Analysis &amp; Design\Design\FC22\DRR Jaime\QUIFA-CAJÚA\Cajua\[CAJUA_CF_SEC_New_27-Feb-2024Rev3.xlsx]D-PS'!$BZ$41</v>
      </c>
      <c r="J1247" s="37" t="s">
        <v>2547</v>
      </c>
    </row>
    <row r="1248" spans="1:10" x14ac:dyDescent="0.25">
      <c r="A1248" s="32" t="s">
        <v>34</v>
      </c>
      <c r="B1248" s="32">
        <f t="shared" si="301"/>
        <v>2053</v>
      </c>
      <c r="C1248" s="33" t="s">
        <v>11</v>
      </c>
      <c r="D1248" s="34" t="s">
        <v>1999</v>
      </c>
      <c r="E1248" s="35" t="str">
        <f t="shared" si="297"/>
        <v>PS'!</v>
      </c>
      <c r="F1248" s="34" t="str">
        <f t="shared" si="298"/>
        <v>C:\Users\jaime.benazar\Quorum Business Solutions\Ecopetrol Prometeo - Documents\Planning Space Implementation\3. Analysis &amp; Design\Design\FC22\DRR Jaime\QUIFA-CAJÚA\Cajua\[CAJUA_CF_SEC_New_27-Feb-2024Rev3.xlsx]D-PS'!</v>
      </c>
      <c r="G1248" s="32" t="s">
        <v>112</v>
      </c>
      <c r="H1248" s="33">
        <f t="shared" si="299"/>
        <v>42</v>
      </c>
      <c r="I1248" s="33" t="str">
        <f t="shared" si="300"/>
        <v>='C:\Users\jaime.benazar\Quorum Business Solutions\Ecopetrol Prometeo - Documents\Planning Space Implementation\3. Analysis &amp; Design\Design\FC22\DRR Jaime\QUIFA-CAJÚA\Cajua\[CAJUA_CF_SEC_New_27-Feb-2024Rev3.xlsx]D-PS'!$BZ$42</v>
      </c>
      <c r="J1248" s="37" t="s">
        <v>2548</v>
      </c>
    </row>
    <row r="1249" spans="1:10" x14ac:dyDescent="0.25">
      <c r="A1249" s="32" t="s">
        <v>34</v>
      </c>
      <c r="B1249" s="32">
        <f t="shared" si="301"/>
        <v>2054</v>
      </c>
      <c r="C1249" s="33" t="s">
        <v>11</v>
      </c>
      <c r="D1249" s="34" t="s">
        <v>1999</v>
      </c>
      <c r="E1249" s="35" t="str">
        <f t="shared" si="297"/>
        <v>PS'!</v>
      </c>
      <c r="F1249" s="34" t="str">
        <f t="shared" si="298"/>
        <v>C:\Users\jaime.benazar\Quorum Business Solutions\Ecopetrol Prometeo - Documents\Planning Space Implementation\3. Analysis &amp; Design\Design\FC22\DRR Jaime\QUIFA-CAJÚA\Cajua\[CAJUA_CF_SEC_New_27-Feb-2024Rev3.xlsx]D-PS'!</v>
      </c>
      <c r="G1249" s="32" t="s">
        <v>112</v>
      </c>
      <c r="H1249" s="33">
        <f t="shared" si="299"/>
        <v>43</v>
      </c>
      <c r="I1249" s="33" t="str">
        <f t="shared" si="300"/>
        <v>='C:\Users\jaime.benazar\Quorum Business Solutions\Ecopetrol Prometeo - Documents\Planning Space Implementation\3. Analysis &amp; Design\Design\FC22\DRR Jaime\QUIFA-CAJÚA\Cajua\[CAJUA_CF_SEC_New_27-Feb-2024Rev3.xlsx]D-PS'!$BZ$43</v>
      </c>
      <c r="J1249" s="37" t="s">
        <v>2549</v>
      </c>
    </row>
    <row r="1250" spans="1:10" x14ac:dyDescent="0.25">
      <c r="A1250" s="32" t="s">
        <v>34</v>
      </c>
      <c r="B1250" s="32">
        <f t="shared" si="301"/>
        <v>2055</v>
      </c>
      <c r="C1250" s="33" t="s">
        <v>11</v>
      </c>
      <c r="D1250" s="34" t="s">
        <v>1999</v>
      </c>
      <c r="E1250" s="35" t="str">
        <f t="shared" si="297"/>
        <v>PS'!</v>
      </c>
      <c r="F1250" s="34" t="str">
        <f t="shared" si="298"/>
        <v>C:\Users\jaime.benazar\Quorum Business Solutions\Ecopetrol Prometeo - Documents\Planning Space Implementation\3. Analysis &amp; Design\Design\FC22\DRR Jaime\QUIFA-CAJÚA\Cajua\[CAJUA_CF_SEC_New_27-Feb-2024Rev3.xlsx]D-PS'!</v>
      </c>
      <c r="G1250" s="32" t="s">
        <v>112</v>
      </c>
      <c r="H1250" s="33">
        <f t="shared" si="299"/>
        <v>44</v>
      </c>
      <c r="I1250" s="33" t="str">
        <f t="shared" si="300"/>
        <v>='C:\Users\jaime.benazar\Quorum Business Solutions\Ecopetrol Prometeo - Documents\Planning Space Implementation\3. Analysis &amp; Design\Design\FC22\DRR Jaime\QUIFA-CAJÚA\Cajua\[CAJUA_CF_SEC_New_27-Feb-2024Rev3.xlsx]D-PS'!$BZ$44</v>
      </c>
      <c r="J1250" s="37" t="s">
        <v>2550</v>
      </c>
    </row>
    <row r="1251" spans="1:10" x14ac:dyDescent="0.25">
      <c r="A1251" s="32" t="s">
        <v>34</v>
      </c>
      <c r="B1251" s="32">
        <f t="shared" si="301"/>
        <v>2056</v>
      </c>
      <c r="C1251" s="33" t="s">
        <v>11</v>
      </c>
      <c r="D1251" s="34" t="s">
        <v>1999</v>
      </c>
      <c r="E1251" s="35" t="str">
        <f t="shared" si="297"/>
        <v>PS'!</v>
      </c>
      <c r="F1251" s="34" t="str">
        <f t="shared" si="298"/>
        <v>C:\Users\jaime.benazar\Quorum Business Solutions\Ecopetrol Prometeo - Documents\Planning Space Implementation\3. Analysis &amp; Design\Design\FC22\DRR Jaime\QUIFA-CAJÚA\Cajua\[CAJUA_CF_SEC_New_27-Feb-2024Rev3.xlsx]D-PS'!</v>
      </c>
      <c r="G1251" s="32" t="s">
        <v>112</v>
      </c>
      <c r="H1251" s="33">
        <f t="shared" si="299"/>
        <v>45</v>
      </c>
      <c r="I1251" s="33" t="str">
        <f t="shared" si="300"/>
        <v>='C:\Users\jaime.benazar\Quorum Business Solutions\Ecopetrol Prometeo - Documents\Planning Space Implementation\3. Analysis &amp; Design\Design\FC22\DRR Jaime\QUIFA-CAJÚA\Cajua\[CAJUA_CF_SEC_New_27-Feb-2024Rev3.xlsx]D-PS'!$BZ$45</v>
      </c>
      <c r="J1251" s="37" t="s">
        <v>2551</v>
      </c>
    </row>
    <row r="1252" spans="1:10" x14ac:dyDescent="0.25">
      <c r="A1252" s="32" t="s">
        <v>34</v>
      </c>
      <c r="B1252" s="32">
        <f t="shared" si="301"/>
        <v>2057</v>
      </c>
      <c r="C1252" s="33" t="s">
        <v>11</v>
      </c>
      <c r="D1252" s="34" t="s">
        <v>1999</v>
      </c>
      <c r="E1252" s="35" t="str">
        <f t="shared" si="297"/>
        <v>PS'!</v>
      </c>
      <c r="F1252" s="34" t="str">
        <f t="shared" si="298"/>
        <v>C:\Users\jaime.benazar\Quorum Business Solutions\Ecopetrol Prometeo - Documents\Planning Space Implementation\3. Analysis &amp; Design\Design\FC22\DRR Jaime\QUIFA-CAJÚA\Cajua\[CAJUA_CF_SEC_New_27-Feb-2024Rev3.xlsx]D-PS'!</v>
      </c>
      <c r="G1252" s="32" t="s">
        <v>112</v>
      </c>
      <c r="H1252" s="33">
        <f t="shared" si="299"/>
        <v>46</v>
      </c>
      <c r="I1252" s="33" t="str">
        <f t="shared" si="300"/>
        <v>='C:\Users\jaime.benazar\Quorum Business Solutions\Ecopetrol Prometeo - Documents\Planning Space Implementation\3. Analysis &amp; Design\Design\FC22\DRR Jaime\QUIFA-CAJÚA\Cajua\[CAJUA_CF_SEC_New_27-Feb-2024Rev3.xlsx]D-PS'!$BZ$46</v>
      </c>
      <c r="J1252" s="37" t="s">
        <v>2552</v>
      </c>
    </row>
    <row r="1253" spans="1:10" x14ac:dyDescent="0.25">
      <c r="A1253" s="32" t="s">
        <v>34</v>
      </c>
      <c r="B1253" s="32">
        <f t="shared" si="301"/>
        <v>2058</v>
      </c>
      <c r="C1253" s="33" t="s">
        <v>11</v>
      </c>
      <c r="D1253" s="34" t="s">
        <v>1999</v>
      </c>
      <c r="E1253" s="35" t="str">
        <f t="shared" si="297"/>
        <v>PS'!</v>
      </c>
      <c r="F1253" s="34" t="str">
        <f t="shared" si="298"/>
        <v>C:\Users\jaime.benazar\Quorum Business Solutions\Ecopetrol Prometeo - Documents\Planning Space Implementation\3. Analysis &amp; Design\Design\FC22\DRR Jaime\QUIFA-CAJÚA\Cajua\[CAJUA_CF_SEC_New_27-Feb-2024Rev3.xlsx]D-PS'!</v>
      </c>
      <c r="G1253" s="32" t="s">
        <v>112</v>
      </c>
      <c r="H1253" s="33">
        <f t="shared" si="299"/>
        <v>47</v>
      </c>
      <c r="I1253" s="33" t="str">
        <f t="shared" si="300"/>
        <v>='C:\Users\jaime.benazar\Quorum Business Solutions\Ecopetrol Prometeo - Documents\Planning Space Implementation\3. Analysis &amp; Design\Design\FC22\DRR Jaime\QUIFA-CAJÚA\Cajua\[CAJUA_CF_SEC_New_27-Feb-2024Rev3.xlsx]D-PS'!$BZ$47</v>
      </c>
      <c r="J1253" s="37" t="s">
        <v>2553</v>
      </c>
    </row>
    <row r="1254" spans="1:10" x14ac:dyDescent="0.25">
      <c r="A1254" s="32" t="s">
        <v>34</v>
      </c>
      <c r="B1254" s="32">
        <f t="shared" si="301"/>
        <v>2059</v>
      </c>
      <c r="C1254" s="33" t="s">
        <v>11</v>
      </c>
      <c r="D1254" s="34" t="s">
        <v>1999</v>
      </c>
      <c r="E1254" s="35" t="str">
        <f t="shared" si="297"/>
        <v>PS'!</v>
      </c>
      <c r="F1254" s="34" t="str">
        <f t="shared" si="298"/>
        <v>C:\Users\jaime.benazar\Quorum Business Solutions\Ecopetrol Prometeo - Documents\Planning Space Implementation\3. Analysis &amp; Design\Design\FC22\DRR Jaime\QUIFA-CAJÚA\Cajua\[CAJUA_CF_SEC_New_27-Feb-2024Rev3.xlsx]D-PS'!</v>
      </c>
      <c r="G1254" s="32" t="s">
        <v>112</v>
      </c>
      <c r="H1254" s="33">
        <f t="shared" si="299"/>
        <v>48</v>
      </c>
      <c r="I1254" s="33" t="str">
        <f t="shared" si="300"/>
        <v>='C:\Users\jaime.benazar\Quorum Business Solutions\Ecopetrol Prometeo - Documents\Planning Space Implementation\3. Analysis &amp; Design\Design\FC22\DRR Jaime\QUIFA-CAJÚA\Cajua\[CAJUA_CF_SEC_New_27-Feb-2024Rev3.xlsx]D-PS'!$BZ$48</v>
      </c>
      <c r="J1254" s="37" t="s">
        <v>2554</v>
      </c>
    </row>
    <row r="1255" spans="1:10" x14ac:dyDescent="0.25">
      <c r="A1255" s="32" t="s">
        <v>28</v>
      </c>
      <c r="B1255" s="32"/>
      <c r="C1255" s="33" t="s">
        <v>11</v>
      </c>
      <c r="D1255" s="34"/>
      <c r="E1255" s="35"/>
      <c r="F1255" s="34"/>
      <c r="G1255" s="32"/>
      <c r="H1255" s="33"/>
      <c r="I1255" s="33"/>
      <c r="J1255" s="33"/>
    </row>
    <row r="1256" spans="1:10" x14ac:dyDescent="0.25">
      <c r="A1256" s="32" t="s">
        <v>1</v>
      </c>
      <c r="B1256" s="32">
        <v>2023</v>
      </c>
      <c r="C1256" s="33" t="s">
        <v>14</v>
      </c>
      <c r="D1256" s="34" t="s">
        <v>1999</v>
      </c>
      <c r="E1256" s="35" t="str">
        <f>_xlfn.CONCAT(A1256,"'!")</f>
        <v>PDP'!</v>
      </c>
      <c r="F1256" s="34" t="str">
        <f>_xlfn.CONCAT(D1256:E1256)</f>
        <v>C:\Users\jaime.benazar\Quorum Business Solutions\Ecopetrol Prometeo - Documents\Planning Space Implementation\3. Analysis &amp; Design\Design\FC22\DRR Jaime\QUIFA-CAJÚA\Cajua\[CAJUA_CF_SEC_New_27-Feb-2024Rev3.xlsx]D-PDP'!</v>
      </c>
      <c r="G1256" s="32" t="s">
        <v>113</v>
      </c>
      <c r="H1256" s="33">
        <v>12</v>
      </c>
      <c r="I1256" s="33" t="str">
        <f>_xlfn.CONCAT("='",F1256:H1256)</f>
        <v>='C:\Users\jaime.benazar\Quorum Business Solutions\Ecopetrol Prometeo - Documents\Planning Space Implementation\3. Analysis &amp; Design\Design\FC22\DRR Jaime\QUIFA-CAJÚA\Cajua\[CAJUA_CF_SEC_New_27-Feb-2024Rev3.xlsx]D-PDP'!$CA$12</v>
      </c>
      <c r="J1256" s="37" t="s">
        <v>2555</v>
      </c>
    </row>
    <row r="1257" spans="1:10" x14ac:dyDescent="0.25">
      <c r="A1257" s="32" t="s">
        <v>1</v>
      </c>
      <c r="B1257" s="32">
        <f>+B1256+1</f>
        <v>2024</v>
      </c>
      <c r="C1257" s="33" t="s">
        <v>14</v>
      </c>
      <c r="D1257" s="34" t="s">
        <v>1999</v>
      </c>
      <c r="E1257" s="35" t="str">
        <f t="shared" ref="E1257:E1350" si="302">_xlfn.CONCAT(A1257,"'!")</f>
        <v>PDP'!</v>
      </c>
      <c r="F1257" s="34" t="str">
        <f t="shared" ref="F1257:F1350" si="303">_xlfn.CONCAT(D1257:E1257)</f>
        <v>C:\Users\jaime.benazar\Quorum Business Solutions\Ecopetrol Prometeo - Documents\Planning Space Implementation\3. Analysis &amp; Design\Design\FC22\DRR Jaime\QUIFA-CAJÚA\Cajua\[CAJUA_CF_SEC_New_27-Feb-2024Rev3.xlsx]D-PDP'!</v>
      </c>
      <c r="G1257" s="32" t="s">
        <v>113</v>
      </c>
      <c r="H1257" s="33">
        <f t="shared" ref="H1257:H1276" si="304">IF(A1257&lt;&gt;A1256,12,H1256+1)</f>
        <v>13</v>
      </c>
      <c r="I1257" s="33" t="str">
        <f t="shared" ref="I1257:I1350" si="305">_xlfn.CONCAT("='",F1257:H1257)</f>
        <v>='C:\Users\jaime.benazar\Quorum Business Solutions\Ecopetrol Prometeo - Documents\Planning Space Implementation\3. Analysis &amp; Design\Design\FC22\DRR Jaime\QUIFA-CAJÚA\Cajua\[CAJUA_CF_SEC_New_27-Feb-2024Rev3.xlsx]D-PDP'!$CA$13</v>
      </c>
      <c r="J1257" s="37" t="s">
        <v>2556</v>
      </c>
    </row>
    <row r="1258" spans="1:10" x14ac:dyDescent="0.25">
      <c r="A1258" s="32" t="s">
        <v>1</v>
      </c>
      <c r="B1258" s="32">
        <f t="shared" ref="B1258:B1269" si="306">+B1257+1</f>
        <v>2025</v>
      </c>
      <c r="C1258" s="33" t="s">
        <v>14</v>
      </c>
      <c r="D1258" s="34" t="s">
        <v>1999</v>
      </c>
      <c r="E1258" s="35" t="str">
        <f t="shared" si="302"/>
        <v>PDP'!</v>
      </c>
      <c r="F1258" s="34" t="str">
        <f t="shared" si="303"/>
        <v>C:\Users\jaime.benazar\Quorum Business Solutions\Ecopetrol Prometeo - Documents\Planning Space Implementation\3. Analysis &amp; Design\Design\FC22\DRR Jaime\QUIFA-CAJÚA\Cajua\[CAJUA_CF_SEC_New_27-Feb-2024Rev3.xlsx]D-PDP'!</v>
      </c>
      <c r="G1258" s="32" t="s">
        <v>113</v>
      </c>
      <c r="H1258" s="33">
        <f t="shared" si="304"/>
        <v>14</v>
      </c>
      <c r="I1258" s="33" t="str">
        <f t="shared" si="305"/>
        <v>='C:\Users\jaime.benazar\Quorum Business Solutions\Ecopetrol Prometeo - Documents\Planning Space Implementation\3. Analysis &amp; Design\Design\FC22\DRR Jaime\QUIFA-CAJÚA\Cajua\[CAJUA_CF_SEC_New_27-Feb-2024Rev3.xlsx]D-PDP'!$CA$14</v>
      </c>
      <c r="J1258" s="37" t="s">
        <v>2557</v>
      </c>
    </row>
    <row r="1259" spans="1:10" x14ac:dyDescent="0.25">
      <c r="A1259" s="32" t="s">
        <v>1</v>
      </c>
      <c r="B1259" s="32">
        <f t="shared" si="306"/>
        <v>2026</v>
      </c>
      <c r="C1259" s="33" t="s">
        <v>14</v>
      </c>
      <c r="D1259" s="34" t="s">
        <v>1999</v>
      </c>
      <c r="E1259" s="35" t="str">
        <f t="shared" si="302"/>
        <v>PDP'!</v>
      </c>
      <c r="F1259" s="34" t="str">
        <f t="shared" si="303"/>
        <v>C:\Users\jaime.benazar\Quorum Business Solutions\Ecopetrol Prometeo - Documents\Planning Space Implementation\3. Analysis &amp; Design\Design\FC22\DRR Jaime\QUIFA-CAJÚA\Cajua\[CAJUA_CF_SEC_New_27-Feb-2024Rev3.xlsx]D-PDP'!</v>
      </c>
      <c r="G1259" s="32" t="s">
        <v>113</v>
      </c>
      <c r="H1259" s="33">
        <f t="shared" si="304"/>
        <v>15</v>
      </c>
      <c r="I1259" s="33" t="str">
        <f t="shared" si="305"/>
        <v>='C:\Users\jaime.benazar\Quorum Business Solutions\Ecopetrol Prometeo - Documents\Planning Space Implementation\3. Analysis &amp; Design\Design\FC22\DRR Jaime\QUIFA-CAJÚA\Cajua\[CAJUA_CF_SEC_New_27-Feb-2024Rev3.xlsx]D-PDP'!$CA$15</v>
      </c>
      <c r="J1259" s="37" t="s">
        <v>2558</v>
      </c>
    </row>
    <row r="1260" spans="1:10" x14ac:dyDescent="0.25">
      <c r="A1260" s="32" t="s">
        <v>1</v>
      </c>
      <c r="B1260" s="32">
        <f t="shared" si="306"/>
        <v>2027</v>
      </c>
      <c r="C1260" s="33" t="s">
        <v>14</v>
      </c>
      <c r="D1260" s="34" t="s">
        <v>1999</v>
      </c>
      <c r="E1260" s="35" t="str">
        <f t="shared" si="302"/>
        <v>PDP'!</v>
      </c>
      <c r="F1260" s="34" t="str">
        <f t="shared" si="303"/>
        <v>C:\Users\jaime.benazar\Quorum Business Solutions\Ecopetrol Prometeo - Documents\Planning Space Implementation\3. Analysis &amp; Design\Design\FC22\DRR Jaime\QUIFA-CAJÚA\Cajua\[CAJUA_CF_SEC_New_27-Feb-2024Rev3.xlsx]D-PDP'!</v>
      </c>
      <c r="G1260" s="32" t="s">
        <v>113</v>
      </c>
      <c r="H1260" s="33">
        <f t="shared" si="304"/>
        <v>16</v>
      </c>
      <c r="I1260" s="33" t="str">
        <f t="shared" si="305"/>
        <v>='C:\Users\jaime.benazar\Quorum Business Solutions\Ecopetrol Prometeo - Documents\Planning Space Implementation\3. Analysis &amp; Design\Design\FC22\DRR Jaime\QUIFA-CAJÚA\Cajua\[CAJUA_CF_SEC_New_27-Feb-2024Rev3.xlsx]D-PDP'!$CA$16</v>
      </c>
      <c r="J1260" s="37" t="s">
        <v>2559</v>
      </c>
    </row>
    <row r="1261" spans="1:10" x14ac:dyDescent="0.25">
      <c r="A1261" s="32" t="s">
        <v>1</v>
      </c>
      <c r="B1261" s="32">
        <f t="shared" si="306"/>
        <v>2028</v>
      </c>
      <c r="C1261" s="33" t="s">
        <v>14</v>
      </c>
      <c r="D1261" s="34" t="s">
        <v>1999</v>
      </c>
      <c r="E1261" s="35" t="str">
        <f t="shared" si="302"/>
        <v>PDP'!</v>
      </c>
      <c r="F1261" s="34" t="str">
        <f t="shared" si="303"/>
        <v>C:\Users\jaime.benazar\Quorum Business Solutions\Ecopetrol Prometeo - Documents\Planning Space Implementation\3. Analysis &amp; Design\Design\FC22\DRR Jaime\QUIFA-CAJÚA\Cajua\[CAJUA_CF_SEC_New_27-Feb-2024Rev3.xlsx]D-PDP'!</v>
      </c>
      <c r="G1261" s="32" t="s">
        <v>113</v>
      </c>
      <c r="H1261" s="33">
        <f t="shared" si="304"/>
        <v>17</v>
      </c>
      <c r="I1261" s="33" t="str">
        <f t="shared" si="305"/>
        <v>='C:\Users\jaime.benazar\Quorum Business Solutions\Ecopetrol Prometeo - Documents\Planning Space Implementation\3. Analysis &amp; Design\Design\FC22\DRR Jaime\QUIFA-CAJÚA\Cajua\[CAJUA_CF_SEC_New_27-Feb-2024Rev3.xlsx]D-PDP'!$CA$17</v>
      </c>
      <c r="J1261" s="37" t="s">
        <v>2560</v>
      </c>
    </row>
    <row r="1262" spans="1:10" x14ac:dyDescent="0.25">
      <c r="A1262" s="32" t="s">
        <v>1</v>
      </c>
      <c r="B1262" s="32">
        <f t="shared" si="306"/>
        <v>2029</v>
      </c>
      <c r="C1262" s="33" t="s">
        <v>14</v>
      </c>
      <c r="D1262" s="34" t="s">
        <v>1999</v>
      </c>
      <c r="E1262" s="35" t="str">
        <f t="shared" si="302"/>
        <v>PDP'!</v>
      </c>
      <c r="F1262" s="34" t="str">
        <f t="shared" si="303"/>
        <v>C:\Users\jaime.benazar\Quorum Business Solutions\Ecopetrol Prometeo - Documents\Planning Space Implementation\3. Analysis &amp; Design\Design\FC22\DRR Jaime\QUIFA-CAJÚA\Cajua\[CAJUA_CF_SEC_New_27-Feb-2024Rev3.xlsx]D-PDP'!</v>
      </c>
      <c r="G1262" s="32" t="s">
        <v>113</v>
      </c>
      <c r="H1262" s="33">
        <f t="shared" si="304"/>
        <v>18</v>
      </c>
      <c r="I1262" s="33" t="str">
        <f t="shared" si="305"/>
        <v>='C:\Users\jaime.benazar\Quorum Business Solutions\Ecopetrol Prometeo - Documents\Planning Space Implementation\3. Analysis &amp; Design\Design\FC22\DRR Jaime\QUIFA-CAJÚA\Cajua\[CAJUA_CF_SEC_New_27-Feb-2024Rev3.xlsx]D-PDP'!$CA$18</v>
      </c>
      <c r="J1262" s="37" t="s">
        <v>2561</v>
      </c>
    </row>
    <row r="1263" spans="1:10" x14ac:dyDescent="0.25">
      <c r="A1263" s="32" t="s">
        <v>1</v>
      </c>
      <c r="B1263" s="32">
        <f t="shared" si="306"/>
        <v>2030</v>
      </c>
      <c r="C1263" s="33" t="s">
        <v>14</v>
      </c>
      <c r="D1263" s="34" t="s">
        <v>1999</v>
      </c>
      <c r="E1263" s="35" t="str">
        <f t="shared" si="302"/>
        <v>PDP'!</v>
      </c>
      <c r="F1263" s="34" t="str">
        <f t="shared" si="303"/>
        <v>C:\Users\jaime.benazar\Quorum Business Solutions\Ecopetrol Prometeo - Documents\Planning Space Implementation\3. Analysis &amp; Design\Design\FC22\DRR Jaime\QUIFA-CAJÚA\Cajua\[CAJUA_CF_SEC_New_27-Feb-2024Rev3.xlsx]D-PDP'!</v>
      </c>
      <c r="G1263" s="32" t="s">
        <v>113</v>
      </c>
      <c r="H1263" s="33">
        <f t="shared" si="304"/>
        <v>19</v>
      </c>
      <c r="I1263" s="33" t="str">
        <f t="shared" si="305"/>
        <v>='C:\Users\jaime.benazar\Quorum Business Solutions\Ecopetrol Prometeo - Documents\Planning Space Implementation\3. Analysis &amp; Design\Design\FC22\DRR Jaime\QUIFA-CAJÚA\Cajua\[CAJUA_CF_SEC_New_27-Feb-2024Rev3.xlsx]D-PDP'!$CA$19</v>
      </c>
      <c r="J1263" s="37" t="s">
        <v>2562</v>
      </c>
    </row>
    <row r="1264" spans="1:10" x14ac:dyDescent="0.25">
      <c r="A1264" s="32" t="s">
        <v>1</v>
      </c>
      <c r="B1264" s="32">
        <f t="shared" si="306"/>
        <v>2031</v>
      </c>
      <c r="C1264" s="33" t="s">
        <v>14</v>
      </c>
      <c r="D1264" s="34" t="s">
        <v>1999</v>
      </c>
      <c r="E1264" s="35" t="str">
        <f t="shared" si="302"/>
        <v>PDP'!</v>
      </c>
      <c r="F1264" s="34" t="str">
        <f t="shared" si="303"/>
        <v>C:\Users\jaime.benazar\Quorum Business Solutions\Ecopetrol Prometeo - Documents\Planning Space Implementation\3. Analysis &amp; Design\Design\FC22\DRR Jaime\QUIFA-CAJÚA\Cajua\[CAJUA_CF_SEC_New_27-Feb-2024Rev3.xlsx]D-PDP'!</v>
      </c>
      <c r="G1264" s="32" t="s">
        <v>113</v>
      </c>
      <c r="H1264" s="33">
        <f t="shared" si="304"/>
        <v>20</v>
      </c>
      <c r="I1264" s="33" t="str">
        <f t="shared" si="305"/>
        <v>='C:\Users\jaime.benazar\Quorum Business Solutions\Ecopetrol Prometeo - Documents\Planning Space Implementation\3. Analysis &amp; Design\Design\FC22\DRR Jaime\QUIFA-CAJÚA\Cajua\[CAJUA_CF_SEC_New_27-Feb-2024Rev3.xlsx]D-PDP'!$CA$20</v>
      </c>
      <c r="J1264" s="37" t="s">
        <v>2563</v>
      </c>
    </row>
    <row r="1265" spans="1:10" x14ac:dyDescent="0.25">
      <c r="A1265" s="32" t="s">
        <v>1</v>
      </c>
      <c r="B1265" s="32">
        <f t="shared" si="306"/>
        <v>2032</v>
      </c>
      <c r="C1265" s="33" t="s">
        <v>14</v>
      </c>
      <c r="D1265" s="34" t="s">
        <v>1999</v>
      </c>
      <c r="E1265" s="35" t="str">
        <f t="shared" si="302"/>
        <v>PDP'!</v>
      </c>
      <c r="F1265" s="34" t="str">
        <f t="shared" si="303"/>
        <v>C:\Users\jaime.benazar\Quorum Business Solutions\Ecopetrol Prometeo - Documents\Planning Space Implementation\3. Analysis &amp; Design\Design\FC22\DRR Jaime\QUIFA-CAJÚA\Cajua\[CAJUA_CF_SEC_New_27-Feb-2024Rev3.xlsx]D-PDP'!</v>
      </c>
      <c r="G1265" s="32" t="s">
        <v>113</v>
      </c>
      <c r="H1265" s="33">
        <f t="shared" si="304"/>
        <v>21</v>
      </c>
      <c r="I1265" s="33" t="str">
        <f t="shared" si="305"/>
        <v>='C:\Users\jaime.benazar\Quorum Business Solutions\Ecopetrol Prometeo - Documents\Planning Space Implementation\3. Analysis &amp; Design\Design\FC22\DRR Jaime\QUIFA-CAJÚA\Cajua\[CAJUA_CF_SEC_New_27-Feb-2024Rev3.xlsx]D-PDP'!$CA$21</v>
      </c>
      <c r="J1265" s="37" t="s">
        <v>2564</v>
      </c>
    </row>
    <row r="1266" spans="1:10" x14ac:dyDescent="0.25">
      <c r="A1266" s="32" t="s">
        <v>1</v>
      </c>
      <c r="B1266" s="32">
        <f t="shared" si="306"/>
        <v>2033</v>
      </c>
      <c r="C1266" s="33" t="s">
        <v>14</v>
      </c>
      <c r="D1266" s="34" t="s">
        <v>1999</v>
      </c>
      <c r="E1266" s="35" t="str">
        <f t="shared" si="302"/>
        <v>PDP'!</v>
      </c>
      <c r="F1266" s="34" t="str">
        <f t="shared" si="303"/>
        <v>C:\Users\jaime.benazar\Quorum Business Solutions\Ecopetrol Prometeo - Documents\Planning Space Implementation\3. Analysis &amp; Design\Design\FC22\DRR Jaime\QUIFA-CAJÚA\Cajua\[CAJUA_CF_SEC_New_27-Feb-2024Rev3.xlsx]D-PDP'!</v>
      </c>
      <c r="G1266" s="32" t="s">
        <v>113</v>
      </c>
      <c r="H1266" s="33">
        <f t="shared" si="304"/>
        <v>22</v>
      </c>
      <c r="I1266" s="33" t="str">
        <f t="shared" si="305"/>
        <v>='C:\Users\jaime.benazar\Quorum Business Solutions\Ecopetrol Prometeo - Documents\Planning Space Implementation\3. Analysis &amp; Design\Design\FC22\DRR Jaime\QUIFA-CAJÚA\Cajua\[CAJUA_CF_SEC_New_27-Feb-2024Rev3.xlsx]D-PDP'!$CA$22</v>
      </c>
      <c r="J1266" s="37" t="s">
        <v>2565</v>
      </c>
    </row>
    <row r="1267" spans="1:10" x14ac:dyDescent="0.25">
      <c r="A1267" s="32" t="s">
        <v>1</v>
      </c>
      <c r="B1267" s="32">
        <f t="shared" si="306"/>
        <v>2034</v>
      </c>
      <c r="C1267" s="33" t="s">
        <v>14</v>
      </c>
      <c r="D1267" s="34" t="s">
        <v>1999</v>
      </c>
      <c r="E1267" s="35" t="str">
        <f t="shared" si="302"/>
        <v>PDP'!</v>
      </c>
      <c r="F1267" s="34" t="str">
        <f t="shared" si="303"/>
        <v>C:\Users\jaime.benazar\Quorum Business Solutions\Ecopetrol Prometeo - Documents\Planning Space Implementation\3. Analysis &amp; Design\Design\FC22\DRR Jaime\QUIFA-CAJÚA\Cajua\[CAJUA_CF_SEC_New_27-Feb-2024Rev3.xlsx]D-PDP'!</v>
      </c>
      <c r="G1267" s="32" t="s">
        <v>113</v>
      </c>
      <c r="H1267" s="33">
        <f t="shared" si="304"/>
        <v>23</v>
      </c>
      <c r="I1267" s="33" t="str">
        <f t="shared" si="305"/>
        <v>='C:\Users\jaime.benazar\Quorum Business Solutions\Ecopetrol Prometeo - Documents\Planning Space Implementation\3. Analysis &amp; Design\Design\FC22\DRR Jaime\QUIFA-CAJÚA\Cajua\[CAJUA_CF_SEC_New_27-Feb-2024Rev3.xlsx]D-PDP'!$CA$23</v>
      </c>
      <c r="J1267" s="37" t="s">
        <v>2566</v>
      </c>
    </row>
    <row r="1268" spans="1:10" x14ac:dyDescent="0.25">
      <c r="A1268" s="32" t="s">
        <v>1</v>
      </c>
      <c r="B1268" s="32">
        <f t="shared" si="306"/>
        <v>2035</v>
      </c>
      <c r="C1268" s="33" t="s">
        <v>14</v>
      </c>
      <c r="D1268" s="34" t="s">
        <v>1999</v>
      </c>
      <c r="E1268" s="35" t="str">
        <f t="shared" si="302"/>
        <v>PDP'!</v>
      </c>
      <c r="F1268" s="34" t="str">
        <f t="shared" si="303"/>
        <v>C:\Users\jaime.benazar\Quorum Business Solutions\Ecopetrol Prometeo - Documents\Planning Space Implementation\3. Analysis &amp; Design\Design\FC22\DRR Jaime\QUIFA-CAJÚA\Cajua\[CAJUA_CF_SEC_New_27-Feb-2024Rev3.xlsx]D-PDP'!</v>
      </c>
      <c r="G1268" s="32" t="s">
        <v>113</v>
      </c>
      <c r="H1268" s="33">
        <f t="shared" si="304"/>
        <v>24</v>
      </c>
      <c r="I1268" s="33" t="str">
        <f t="shared" si="305"/>
        <v>='C:\Users\jaime.benazar\Quorum Business Solutions\Ecopetrol Prometeo - Documents\Planning Space Implementation\3. Analysis &amp; Design\Design\FC22\DRR Jaime\QUIFA-CAJÚA\Cajua\[CAJUA_CF_SEC_New_27-Feb-2024Rev3.xlsx]D-PDP'!$CA$24</v>
      </c>
      <c r="J1268" s="37" t="s">
        <v>2567</v>
      </c>
    </row>
    <row r="1269" spans="1:10" x14ac:dyDescent="0.25">
      <c r="A1269" s="32" t="s">
        <v>1</v>
      </c>
      <c r="B1269" s="32">
        <f t="shared" si="306"/>
        <v>2036</v>
      </c>
      <c r="C1269" s="33" t="s">
        <v>14</v>
      </c>
      <c r="D1269" s="34" t="s">
        <v>1999</v>
      </c>
      <c r="E1269" s="35" t="str">
        <f t="shared" si="302"/>
        <v>PDP'!</v>
      </c>
      <c r="F1269" s="34" t="str">
        <f t="shared" si="303"/>
        <v>C:\Users\jaime.benazar\Quorum Business Solutions\Ecopetrol Prometeo - Documents\Planning Space Implementation\3. Analysis &amp; Design\Design\FC22\DRR Jaime\QUIFA-CAJÚA\Cajua\[CAJUA_CF_SEC_New_27-Feb-2024Rev3.xlsx]D-PDP'!</v>
      </c>
      <c r="G1269" s="32" t="s">
        <v>113</v>
      </c>
      <c r="H1269" s="33">
        <f t="shared" si="304"/>
        <v>25</v>
      </c>
      <c r="I1269" s="33" t="str">
        <f t="shared" si="305"/>
        <v>='C:\Users\jaime.benazar\Quorum Business Solutions\Ecopetrol Prometeo - Documents\Planning Space Implementation\3. Analysis &amp; Design\Design\FC22\DRR Jaime\QUIFA-CAJÚA\Cajua\[CAJUA_CF_SEC_New_27-Feb-2024Rev3.xlsx]D-PDP'!$CA$25</v>
      </c>
      <c r="J1269" s="37" t="s">
        <v>2568</v>
      </c>
    </row>
    <row r="1270" spans="1:10" x14ac:dyDescent="0.25">
      <c r="A1270" s="32" t="s">
        <v>1</v>
      </c>
      <c r="B1270" s="32">
        <f>+B1269+1</f>
        <v>2037</v>
      </c>
      <c r="C1270" s="33" t="s">
        <v>14</v>
      </c>
      <c r="D1270" s="34" t="s">
        <v>1999</v>
      </c>
      <c r="E1270" s="35" t="str">
        <f t="shared" si="302"/>
        <v>PDP'!</v>
      </c>
      <c r="F1270" s="34" t="str">
        <f t="shared" si="303"/>
        <v>C:\Users\jaime.benazar\Quorum Business Solutions\Ecopetrol Prometeo - Documents\Planning Space Implementation\3. Analysis &amp; Design\Design\FC22\DRR Jaime\QUIFA-CAJÚA\Cajua\[CAJUA_CF_SEC_New_27-Feb-2024Rev3.xlsx]D-PDP'!</v>
      </c>
      <c r="G1270" s="32" t="s">
        <v>113</v>
      </c>
      <c r="H1270" s="33">
        <f t="shared" si="304"/>
        <v>26</v>
      </c>
      <c r="I1270" s="33" t="str">
        <f t="shared" si="305"/>
        <v>='C:\Users\jaime.benazar\Quorum Business Solutions\Ecopetrol Prometeo - Documents\Planning Space Implementation\3. Analysis &amp; Design\Design\FC22\DRR Jaime\QUIFA-CAJÚA\Cajua\[CAJUA_CF_SEC_New_27-Feb-2024Rev3.xlsx]D-PDP'!$CA$26</v>
      </c>
      <c r="J1270" s="37" t="s">
        <v>2569</v>
      </c>
    </row>
    <row r="1271" spans="1:10" x14ac:dyDescent="0.25">
      <c r="A1271" s="32" t="s">
        <v>1</v>
      </c>
      <c r="B1271" s="32">
        <f t="shared" ref="B1271:B1273" si="307">+B1270+1</f>
        <v>2038</v>
      </c>
      <c r="C1271" s="33" t="s">
        <v>14</v>
      </c>
      <c r="D1271" s="34" t="s">
        <v>1999</v>
      </c>
      <c r="E1271" s="35" t="str">
        <f t="shared" si="302"/>
        <v>PDP'!</v>
      </c>
      <c r="F1271" s="34" t="str">
        <f t="shared" si="303"/>
        <v>C:\Users\jaime.benazar\Quorum Business Solutions\Ecopetrol Prometeo - Documents\Planning Space Implementation\3. Analysis &amp; Design\Design\FC22\DRR Jaime\QUIFA-CAJÚA\Cajua\[CAJUA_CF_SEC_New_27-Feb-2024Rev3.xlsx]D-PDP'!</v>
      </c>
      <c r="G1271" s="32" t="s">
        <v>113</v>
      </c>
      <c r="H1271" s="33">
        <f t="shared" si="304"/>
        <v>27</v>
      </c>
      <c r="I1271" s="33" t="str">
        <f t="shared" si="305"/>
        <v>='C:\Users\jaime.benazar\Quorum Business Solutions\Ecopetrol Prometeo - Documents\Planning Space Implementation\3. Analysis &amp; Design\Design\FC22\DRR Jaime\QUIFA-CAJÚA\Cajua\[CAJUA_CF_SEC_New_27-Feb-2024Rev3.xlsx]D-PDP'!$CA$27</v>
      </c>
      <c r="J1271" s="37" t="s">
        <v>2570</v>
      </c>
    </row>
    <row r="1272" spans="1:10" x14ac:dyDescent="0.25">
      <c r="A1272" s="32" t="s">
        <v>1</v>
      </c>
      <c r="B1272" s="32">
        <f t="shared" si="307"/>
        <v>2039</v>
      </c>
      <c r="C1272" s="33" t="s">
        <v>14</v>
      </c>
      <c r="D1272" s="34" t="s">
        <v>1999</v>
      </c>
      <c r="E1272" s="35" t="str">
        <f t="shared" si="302"/>
        <v>PDP'!</v>
      </c>
      <c r="F1272" s="34" t="str">
        <f t="shared" si="303"/>
        <v>C:\Users\jaime.benazar\Quorum Business Solutions\Ecopetrol Prometeo - Documents\Planning Space Implementation\3. Analysis &amp; Design\Design\FC22\DRR Jaime\QUIFA-CAJÚA\Cajua\[CAJUA_CF_SEC_New_27-Feb-2024Rev3.xlsx]D-PDP'!</v>
      </c>
      <c r="G1272" s="32" t="s">
        <v>113</v>
      </c>
      <c r="H1272" s="33">
        <f t="shared" si="304"/>
        <v>28</v>
      </c>
      <c r="I1272" s="33" t="str">
        <f t="shared" si="305"/>
        <v>='C:\Users\jaime.benazar\Quorum Business Solutions\Ecopetrol Prometeo - Documents\Planning Space Implementation\3. Analysis &amp; Design\Design\FC22\DRR Jaime\QUIFA-CAJÚA\Cajua\[CAJUA_CF_SEC_New_27-Feb-2024Rev3.xlsx]D-PDP'!$CA$28</v>
      </c>
      <c r="J1272" s="37" t="s">
        <v>2571</v>
      </c>
    </row>
    <row r="1273" spans="1:10" x14ac:dyDescent="0.25">
      <c r="A1273" s="32" t="s">
        <v>1</v>
      </c>
      <c r="B1273" s="32">
        <f t="shared" si="307"/>
        <v>2040</v>
      </c>
      <c r="C1273" s="33" t="s">
        <v>14</v>
      </c>
      <c r="D1273" s="34" t="s">
        <v>1999</v>
      </c>
      <c r="E1273" s="35" t="str">
        <f t="shared" si="302"/>
        <v>PDP'!</v>
      </c>
      <c r="F1273" s="34" t="str">
        <f t="shared" si="303"/>
        <v>C:\Users\jaime.benazar\Quorum Business Solutions\Ecopetrol Prometeo - Documents\Planning Space Implementation\3. Analysis &amp; Design\Design\FC22\DRR Jaime\QUIFA-CAJÚA\Cajua\[CAJUA_CF_SEC_New_27-Feb-2024Rev3.xlsx]D-PDP'!</v>
      </c>
      <c r="G1273" s="32" t="s">
        <v>113</v>
      </c>
      <c r="H1273" s="33">
        <f t="shared" si="304"/>
        <v>29</v>
      </c>
      <c r="I1273" s="33" t="str">
        <f t="shared" si="305"/>
        <v>='C:\Users\jaime.benazar\Quorum Business Solutions\Ecopetrol Prometeo - Documents\Planning Space Implementation\3. Analysis &amp; Design\Design\FC22\DRR Jaime\QUIFA-CAJÚA\Cajua\[CAJUA_CF_SEC_New_27-Feb-2024Rev3.xlsx]D-PDP'!$CA$29</v>
      </c>
      <c r="J1273" s="37" t="s">
        <v>2572</v>
      </c>
    </row>
    <row r="1274" spans="1:10" x14ac:dyDescent="0.25">
      <c r="A1274" s="32" t="s">
        <v>1</v>
      </c>
      <c r="B1274" s="32">
        <f>+B1273+1</f>
        <v>2041</v>
      </c>
      <c r="C1274" s="33" t="s">
        <v>14</v>
      </c>
      <c r="D1274" s="34" t="s">
        <v>1999</v>
      </c>
      <c r="E1274" s="35" t="str">
        <f t="shared" si="302"/>
        <v>PDP'!</v>
      </c>
      <c r="F1274" s="34" t="str">
        <f t="shared" si="303"/>
        <v>C:\Users\jaime.benazar\Quorum Business Solutions\Ecopetrol Prometeo - Documents\Planning Space Implementation\3. Analysis &amp; Design\Design\FC22\DRR Jaime\QUIFA-CAJÚA\Cajua\[CAJUA_CF_SEC_New_27-Feb-2024Rev3.xlsx]D-PDP'!</v>
      </c>
      <c r="G1274" s="32" t="s">
        <v>113</v>
      </c>
      <c r="H1274" s="33">
        <f t="shared" si="304"/>
        <v>30</v>
      </c>
      <c r="I1274" s="33" t="str">
        <f t="shared" si="305"/>
        <v>='C:\Users\jaime.benazar\Quorum Business Solutions\Ecopetrol Prometeo - Documents\Planning Space Implementation\3. Analysis &amp; Design\Design\FC22\DRR Jaime\QUIFA-CAJÚA\Cajua\[CAJUA_CF_SEC_New_27-Feb-2024Rev3.xlsx]D-PDP'!$CA$30</v>
      </c>
      <c r="J1274" s="37" t="s">
        <v>2573</v>
      </c>
    </row>
    <row r="1275" spans="1:10" x14ac:dyDescent="0.25">
      <c r="A1275" s="32" t="s">
        <v>1</v>
      </c>
      <c r="B1275" s="32">
        <f t="shared" ref="B1275:B1276" si="308">+B1274+1</f>
        <v>2042</v>
      </c>
      <c r="C1275" s="33" t="s">
        <v>14</v>
      </c>
      <c r="D1275" s="34" t="s">
        <v>1999</v>
      </c>
      <c r="E1275" s="35" t="str">
        <f t="shared" si="302"/>
        <v>PDP'!</v>
      </c>
      <c r="F1275" s="34" t="str">
        <f t="shared" si="303"/>
        <v>C:\Users\jaime.benazar\Quorum Business Solutions\Ecopetrol Prometeo - Documents\Planning Space Implementation\3. Analysis &amp; Design\Design\FC22\DRR Jaime\QUIFA-CAJÚA\Cajua\[CAJUA_CF_SEC_New_27-Feb-2024Rev3.xlsx]D-PDP'!</v>
      </c>
      <c r="G1275" s="32" t="s">
        <v>113</v>
      </c>
      <c r="H1275" s="33">
        <f t="shared" si="304"/>
        <v>31</v>
      </c>
      <c r="I1275" s="33" t="str">
        <f t="shared" si="305"/>
        <v>='C:\Users\jaime.benazar\Quorum Business Solutions\Ecopetrol Prometeo - Documents\Planning Space Implementation\3. Analysis &amp; Design\Design\FC22\DRR Jaime\QUIFA-CAJÚA\Cajua\[CAJUA_CF_SEC_New_27-Feb-2024Rev3.xlsx]D-PDP'!$CA$31</v>
      </c>
      <c r="J1275" s="37" t="s">
        <v>2574</v>
      </c>
    </row>
    <row r="1276" spans="1:10" x14ac:dyDescent="0.25">
      <c r="A1276" s="32" t="s">
        <v>1</v>
      </c>
      <c r="B1276" s="32">
        <f t="shared" si="308"/>
        <v>2043</v>
      </c>
      <c r="C1276" s="33" t="s">
        <v>14</v>
      </c>
      <c r="D1276" s="34" t="s">
        <v>1999</v>
      </c>
      <c r="E1276" s="35" t="str">
        <f t="shared" si="302"/>
        <v>PDP'!</v>
      </c>
      <c r="F1276" s="34" t="str">
        <f t="shared" si="303"/>
        <v>C:\Users\jaime.benazar\Quorum Business Solutions\Ecopetrol Prometeo - Documents\Planning Space Implementation\3. Analysis &amp; Design\Design\FC22\DRR Jaime\QUIFA-CAJÚA\Cajua\[CAJUA_CF_SEC_New_27-Feb-2024Rev3.xlsx]D-PDP'!</v>
      </c>
      <c r="G1276" s="32" t="s">
        <v>113</v>
      </c>
      <c r="H1276" s="33">
        <f t="shared" si="304"/>
        <v>32</v>
      </c>
      <c r="I1276" s="33" t="str">
        <f t="shared" si="305"/>
        <v>='C:\Users\jaime.benazar\Quorum Business Solutions\Ecopetrol Prometeo - Documents\Planning Space Implementation\3. Analysis &amp; Design\Design\FC22\DRR Jaime\QUIFA-CAJÚA\Cajua\[CAJUA_CF_SEC_New_27-Feb-2024Rev3.xlsx]D-PDP'!$CA$32</v>
      </c>
      <c r="J1276" s="37" t="s">
        <v>2575</v>
      </c>
    </row>
    <row r="1277" spans="1:10" x14ac:dyDescent="0.25">
      <c r="A1277" s="32" t="s">
        <v>1</v>
      </c>
      <c r="B1277" s="32">
        <f>+B1276+1</f>
        <v>2044</v>
      </c>
      <c r="C1277" s="33" t="s">
        <v>14</v>
      </c>
      <c r="D1277" s="34" t="s">
        <v>1999</v>
      </c>
      <c r="E1277" s="35" t="str">
        <f t="shared" ref="E1277:E1292" si="309">_xlfn.CONCAT(A1277,"'!")</f>
        <v>PDP'!</v>
      </c>
      <c r="F1277" s="34" t="str">
        <f t="shared" ref="F1277:F1292" si="310">_xlfn.CONCAT(D1277:E1277)</f>
        <v>C:\Users\jaime.benazar\Quorum Business Solutions\Ecopetrol Prometeo - Documents\Planning Space Implementation\3. Analysis &amp; Design\Design\FC22\DRR Jaime\QUIFA-CAJÚA\Cajua\[CAJUA_CF_SEC_New_27-Feb-2024Rev3.xlsx]D-PDP'!</v>
      </c>
      <c r="G1277" s="32" t="s">
        <v>113</v>
      </c>
      <c r="H1277" s="33">
        <f t="shared" ref="H1277:H1292" si="311">IF(A1277&lt;&gt;A1276,12,H1276+1)</f>
        <v>33</v>
      </c>
      <c r="I1277" s="33" t="str">
        <f t="shared" ref="I1277:I1292" si="312">_xlfn.CONCAT("='",F1277:H1277)</f>
        <v>='C:\Users\jaime.benazar\Quorum Business Solutions\Ecopetrol Prometeo - Documents\Planning Space Implementation\3. Analysis &amp; Design\Design\FC22\DRR Jaime\QUIFA-CAJÚA\Cajua\[CAJUA_CF_SEC_New_27-Feb-2024Rev3.xlsx]D-PDP'!$CA$33</v>
      </c>
      <c r="J1277" s="37" t="s">
        <v>2576</v>
      </c>
    </row>
    <row r="1278" spans="1:10" x14ac:dyDescent="0.25">
      <c r="A1278" s="32" t="s">
        <v>1</v>
      </c>
      <c r="B1278" s="32">
        <f t="shared" ref="B1278:B1292" si="313">+B1277+1</f>
        <v>2045</v>
      </c>
      <c r="C1278" s="33" t="s">
        <v>14</v>
      </c>
      <c r="D1278" s="34" t="s">
        <v>1999</v>
      </c>
      <c r="E1278" s="35" t="str">
        <f t="shared" si="309"/>
        <v>PDP'!</v>
      </c>
      <c r="F1278" s="34" t="str">
        <f t="shared" si="310"/>
        <v>C:\Users\jaime.benazar\Quorum Business Solutions\Ecopetrol Prometeo - Documents\Planning Space Implementation\3. Analysis &amp; Design\Design\FC22\DRR Jaime\QUIFA-CAJÚA\Cajua\[CAJUA_CF_SEC_New_27-Feb-2024Rev3.xlsx]D-PDP'!</v>
      </c>
      <c r="G1278" s="32" t="s">
        <v>113</v>
      </c>
      <c r="H1278" s="33">
        <f t="shared" si="311"/>
        <v>34</v>
      </c>
      <c r="I1278" s="33" t="str">
        <f t="shared" si="312"/>
        <v>='C:\Users\jaime.benazar\Quorum Business Solutions\Ecopetrol Prometeo - Documents\Planning Space Implementation\3. Analysis &amp; Design\Design\FC22\DRR Jaime\QUIFA-CAJÚA\Cajua\[CAJUA_CF_SEC_New_27-Feb-2024Rev3.xlsx]D-PDP'!$CA$34</v>
      </c>
      <c r="J1278" s="37" t="s">
        <v>2577</v>
      </c>
    </row>
    <row r="1279" spans="1:10" x14ac:dyDescent="0.25">
      <c r="A1279" s="32" t="s">
        <v>1</v>
      </c>
      <c r="B1279" s="32">
        <f t="shared" si="313"/>
        <v>2046</v>
      </c>
      <c r="C1279" s="33" t="s">
        <v>14</v>
      </c>
      <c r="D1279" s="34" t="s">
        <v>1999</v>
      </c>
      <c r="E1279" s="35" t="str">
        <f t="shared" si="309"/>
        <v>PDP'!</v>
      </c>
      <c r="F1279" s="34" t="str">
        <f t="shared" si="310"/>
        <v>C:\Users\jaime.benazar\Quorum Business Solutions\Ecopetrol Prometeo - Documents\Planning Space Implementation\3. Analysis &amp; Design\Design\FC22\DRR Jaime\QUIFA-CAJÚA\Cajua\[CAJUA_CF_SEC_New_27-Feb-2024Rev3.xlsx]D-PDP'!</v>
      </c>
      <c r="G1279" s="32" t="s">
        <v>113</v>
      </c>
      <c r="H1279" s="33">
        <f t="shared" si="311"/>
        <v>35</v>
      </c>
      <c r="I1279" s="33" t="str">
        <f t="shared" si="312"/>
        <v>='C:\Users\jaime.benazar\Quorum Business Solutions\Ecopetrol Prometeo - Documents\Planning Space Implementation\3. Analysis &amp; Design\Design\FC22\DRR Jaime\QUIFA-CAJÚA\Cajua\[CAJUA_CF_SEC_New_27-Feb-2024Rev3.xlsx]D-PDP'!$CA$35</v>
      </c>
      <c r="J1279" s="37" t="s">
        <v>2578</v>
      </c>
    </row>
    <row r="1280" spans="1:10" x14ac:dyDescent="0.25">
      <c r="A1280" s="32" t="s">
        <v>1</v>
      </c>
      <c r="B1280" s="32">
        <f t="shared" si="313"/>
        <v>2047</v>
      </c>
      <c r="C1280" s="33" t="s">
        <v>14</v>
      </c>
      <c r="D1280" s="34" t="s">
        <v>1999</v>
      </c>
      <c r="E1280" s="35" t="str">
        <f t="shared" si="309"/>
        <v>PDP'!</v>
      </c>
      <c r="F1280" s="34" t="str">
        <f t="shared" si="310"/>
        <v>C:\Users\jaime.benazar\Quorum Business Solutions\Ecopetrol Prometeo - Documents\Planning Space Implementation\3. Analysis &amp; Design\Design\FC22\DRR Jaime\QUIFA-CAJÚA\Cajua\[CAJUA_CF_SEC_New_27-Feb-2024Rev3.xlsx]D-PDP'!</v>
      </c>
      <c r="G1280" s="32" t="s">
        <v>113</v>
      </c>
      <c r="H1280" s="33">
        <f t="shared" si="311"/>
        <v>36</v>
      </c>
      <c r="I1280" s="33" t="str">
        <f t="shared" si="312"/>
        <v>='C:\Users\jaime.benazar\Quorum Business Solutions\Ecopetrol Prometeo - Documents\Planning Space Implementation\3. Analysis &amp; Design\Design\FC22\DRR Jaime\QUIFA-CAJÚA\Cajua\[CAJUA_CF_SEC_New_27-Feb-2024Rev3.xlsx]D-PDP'!$CA$36</v>
      </c>
      <c r="J1280" s="37" t="s">
        <v>2579</v>
      </c>
    </row>
    <row r="1281" spans="1:10" x14ac:dyDescent="0.25">
      <c r="A1281" s="32" t="s">
        <v>1</v>
      </c>
      <c r="B1281" s="32">
        <f t="shared" si="313"/>
        <v>2048</v>
      </c>
      <c r="C1281" s="33" t="s">
        <v>14</v>
      </c>
      <c r="D1281" s="34" t="s">
        <v>1999</v>
      </c>
      <c r="E1281" s="35" t="str">
        <f t="shared" si="309"/>
        <v>PDP'!</v>
      </c>
      <c r="F1281" s="34" t="str">
        <f t="shared" si="310"/>
        <v>C:\Users\jaime.benazar\Quorum Business Solutions\Ecopetrol Prometeo - Documents\Planning Space Implementation\3. Analysis &amp; Design\Design\FC22\DRR Jaime\QUIFA-CAJÚA\Cajua\[CAJUA_CF_SEC_New_27-Feb-2024Rev3.xlsx]D-PDP'!</v>
      </c>
      <c r="G1281" s="32" t="s">
        <v>113</v>
      </c>
      <c r="H1281" s="33">
        <f t="shared" si="311"/>
        <v>37</v>
      </c>
      <c r="I1281" s="33" t="str">
        <f t="shared" si="312"/>
        <v>='C:\Users\jaime.benazar\Quorum Business Solutions\Ecopetrol Prometeo - Documents\Planning Space Implementation\3. Analysis &amp; Design\Design\FC22\DRR Jaime\QUIFA-CAJÚA\Cajua\[CAJUA_CF_SEC_New_27-Feb-2024Rev3.xlsx]D-PDP'!$CA$37</v>
      </c>
      <c r="J1281" s="37" t="s">
        <v>2580</v>
      </c>
    </row>
    <row r="1282" spans="1:10" x14ac:dyDescent="0.25">
      <c r="A1282" s="32" t="s">
        <v>1</v>
      </c>
      <c r="B1282" s="32">
        <f t="shared" si="313"/>
        <v>2049</v>
      </c>
      <c r="C1282" s="33" t="s">
        <v>14</v>
      </c>
      <c r="D1282" s="34" t="s">
        <v>1999</v>
      </c>
      <c r="E1282" s="35" t="str">
        <f t="shared" si="309"/>
        <v>PDP'!</v>
      </c>
      <c r="F1282" s="34" t="str">
        <f t="shared" si="310"/>
        <v>C:\Users\jaime.benazar\Quorum Business Solutions\Ecopetrol Prometeo - Documents\Planning Space Implementation\3. Analysis &amp; Design\Design\FC22\DRR Jaime\QUIFA-CAJÚA\Cajua\[CAJUA_CF_SEC_New_27-Feb-2024Rev3.xlsx]D-PDP'!</v>
      </c>
      <c r="G1282" s="32" t="s">
        <v>113</v>
      </c>
      <c r="H1282" s="33">
        <f t="shared" si="311"/>
        <v>38</v>
      </c>
      <c r="I1282" s="33" t="str">
        <f t="shared" si="312"/>
        <v>='C:\Users\jaime.benazar\Quorum Business Solutions\Ecopetrol Prometeo - Documents\Planning Space Implementation\3. Analysis &amp; Design\Design\FC22\DRR Jaime\QUIFA-CAJÚA\Cajua\[CAJUA_CF_SEC_New_27-Feb-2024Rev3.xlsx]D-PDP'!$CA$38</v>
      </c>
      <c r="J1282" s="37" t="s">
        <v>2581</v>
      </c>
    </row>
    <row r="1283" spans="1:10" x14ac:dyDescent="0.25">
      <c r="A1283" s="32" t="s">
        <v>1</v>
      </c>
      <c r="B1283" s="32">
        <f t="shared" si="313"/>
        <v>2050</v>
      </c>
      <c r="C1283" s="33" t="s">
        <v>14</v>
      </c>
      <c r="D1283" s="34" t="s">
        <v>1999</v>
      </c>
      <c r="E1283" s="35" t="str">
        <f t="shared" si="309"/>
        <v>PDP'!</v>
      </c>
      <c r="F1283" s="34" t="str">
        <f t="shared" si="310"/>
        <v>C:\Users\jaime.benazar\Quorum Business Solutions\Ecopetrol Prometeo - Documents\Planning Space Implementation\3. Analysis &amp; Design\Design\FC22\DRR Jaime\QUIFA-CAJÚA\Cajua\[CAJUA_CF_SEC_New_27-Feb-2024Rev3.xlsx]D-PDP'!</v>
      </c>
      <c r="G1283" s="32" t="s">
        <v>113</v>
      </c>
      <c r="H1283" s="33">
        <f t="shared" si="311"/>
        <v>39</v>
      </c>
      <c r="I1283" s="33" t="str">
        <f t="shared" si="312"/>
        <v>='C:\Users\jaime.benazar\Quorum Business Solutions\Ecopetrol Prometeo - Documents\Planning Space Implementation\3. Analysis &amp; Design\Design\FC22\DRR Jaime\QUIFA-CAJÚA\Cajua\[CAJUA_CF_SEC_New_27-Feb-2024Rev3.xlsx]D-PDP'!$CA$39</v>
      </c>
      <c r="J1283" s="37" t="s">
        <v>2582</v>
      </c>
    </row>
    <row r="1284" spans="1:10" x14ac:dyDescent="0.25">
      <c r="A1284" s="32" t="s">
        <v>1</v>
      </c>
      <c r="B1284" s="32">
        <f t="shared" si="313"/>
        <v>2051</v>
      </c>
      <c r="C1284" s="33" t="s">
        <v>14</v>
      </c>
      <c r="D1284" s="34" t="s">
        <v>1999</v>
      </c>
      <c r="E1284" s="35" t="str">
        <f t="shared" si="309"/>
        <v>PDP'!</v>
      </c>
      <c r="F1284" s="34" t="str">
        <f t="shared" si="310"/>
        <v>C:\Users\jaime.benazar\Quorum Business Solutions\Ecopetrol Prometeo - Documents\Planning Space Implementation\3. Analysis &amp; Design\Design\FC22\DRR Jaime\QUIFA-CAJÚA\Cajua\[CAJUA_CF_SEC_New_27-Feb-2024Rev3.xlsx]D-PDP'!</v>
      </c>
      <c r="G1284" s="32" t="s">
        <v>113</v>
      </c>
      <c r="H1284" s="33">
        <f t="shared" si="311"/>
        <v>40</v>
      </c>
      <c r="I1284" s="33" t="str">
        <f t="shared" si="312"/>
        <v>='C:\Users\jaime.benazar\Quorum Business Solutions\Ecopetrol Prometeo - Documents\Planning Space Implementation\3. Analysis &amp; Design\Design\FC22\DRR Jaime\QUIFA-CAJÚA\Cajua\[CAJUA_CF_SEC_New_27-Feb-2024Rev3.xlsx]D-PDP'!$CA$40</v>
      </c>
      <c r="J1284" s="37" t="s">
        <v>2583</v>
      </c>
    </row>
    <row r="1285" spans="1:10" x14ac:dyDescent="0.25">
      <c r="A1285" s="32" t="s">
        <v>1</v>
      </c>
      <c r="B1285" s="32">
        <f t="shared" si="313"/>
        <v>2052</v>
      </c>
      <c r="C1285" s="33" t="s">
        <v>14</v>
      </c>
      <c r="D1285" s="34" t="s">
        <v>1999</v>
      </c>
      <c r="E1285" s="35" t="str">
        <f t="shared" si="309"/>
        <v>PDP'!</v>
      </c>
      <c r="F1285" s="34" t="str">
        <f t="shared" si="310"/>
        <v>C:\Users\jaime.benazar\Quorum Business Solutions\Ecopetrol Prometeo - Documents\Planning Space Implementation\3. Analysis &amp; Design\Design\FC22\DRR Jaime\QUIFA-CAJÚA\Cajua\[CAJUA_CF_SEC_New_27-Feb-2024Rev3.xlsx]D-PDP'!</v>
      </c>
      <c r="G1285" s="32" t="s">
        <v>113</v>
      </c>
      <c r="H1285" s="33">
        <f t="shared" si="311"/>
        <v>41</v>
      </c>
      <c r="I1285" s="33" t="str">
        <f t="shared" si="312"/>
        <v>='C:\Users\jaime.benazar\Quorum Business Solutions\Ecopetrol Prometeo - Documents\Planning Space Implementation\3. Analysis &amp; Design\Design\FC22\DRR Jaime\QUIFA-CAJÚA\Cajua\[CAJUA_CF_SEC_New_27-Feb-2024Rev3.xlsx]D-PDP'!$CA$41</v>
      </c>
      <c r="J1285" s="37" t="s">
        <v>2584</v>
      </c>
    </row>
    <row r="1286" spans="1:10" x14ac:dyDescent="0.25">
      <c r="A1286" s="32" t="s">
        <v>1</v>
      </c>
      <c r="B1286" s="32">
        <f t="shared" si="313"/>
        <v>2053</v>
      </c>
      <c r="C1286" s="33" t="s">
        <v>14</v>
      </c>
      <c r="D1286" s="34" t="s">
        <v>1999</v>
      </c>
      <c r="E1286" s="35" t="str">
        <f t="shared" si="309"/>
        <v>PDP'!</v>
      </c>
      <c r="F1286" s="34" t="str">
        <f t="shared" si="310"/>
        <v>C:\Users\jaime.benazar\Quorum Business Solutions\Ecopetrol Prometeo - Documents\Planning Space Implementation\3. Analysis &amp; Design\Design\FC22\DRR Jaime\QUIFA-CAJÚA\Cajua\[CAJUA_CF_SEC_New_27-Feb-2024Rev3.xlsx]D-PDP'!</v>
      </c>
      <c r="G1286" s="32" t="s">
        <v>113</v>
      </c>
      <c r="H1286" s="33">
        <f t="shared" si="311"/>
        <v>42</v>
      </c>
      <c r="I1286" s="33" t="str">
        <f t="shared" si="312"/>
        <v>='C:\Users\jaime.benazar\Quorum Business Solutions\Ecopetrol Prometeo - Documents\Planning Space Implementation\3. Analysis &amp; Design\Design\FC22\DRR Jaime\QUIFA-CAJÚA\Cajua\[CAJUA_CF_SEC_New_27-Feb-2024Rev3.xlsx]D-PDP'!$CA$42</v>
      </c>
      <c r="J1286" s="37" t="s">
        <v>2585</v>
      </c>
    </row>
    <row r="1287" spans="1:10" x14ac:dyDescent="0.25">
      <c r="A1287" s="32" t="s">
        <v>1</v>
      </c>
      <c r="B1287" s="32">
        <f t="shared" si="313"/>
        <v>2054</v>
      </c>
      <c r="C1287" s="33" t="s">
        <v>14</v>
      </c>
      <c r="D1287" s="34" t="s">
        <v>1999</v>
      </c>
      <c r="E1287" s="35" t="str">
        <f t="shared" si="309"/>
        <v>PDP'!</v>
      </c>
      <c r="F1287" s="34" t="str">
        <f t="shared" si="310"/>
        <v>C:\Users\jaime.benazar\Quorum Business Solutions\Ecopetrol Prometeo - Documents\Planning Space Implementation\3. Analysis &amp; Design\Design\FC22\DRR Jaime\QUIFA-CAJÚA\Cajua\[CAJUA_CF_SEC_New_27-Feb-2024Rev3.xlsx]D-PDP'!</v>
      </c>
      <c r="G1287" s="32" t="s">
        <v>113</v>
      </c>
      <c r="H1287" s="33">
        <f t="shared" si="311"/>
        <v>43</v>
      </c>
      <c r="I1287" s="33" t="str">
        <f t="shared" si="312"/>
        <v>='C:\Users\jaime.benazar\Quorum Business Solutions\Ecopetrol Prometeo - Documents\Planning Space Implementation\3. Analysis &amp; Design\Design\FC22\DRR Jaime\QUIFA-CAJÚA\Cajua\[CAJUA_CF_SEC_New_27-Feb-2024Rev3.xlsx]D-PDP'!$CA$43</v>
      </c>
      <c r="J1287" s="37" t="s">
        <v>2586</v>
      </c>
    </row>
    <row r="1288" spans="1:10" x14ac:dyDescent="0.25">
      <c r="A1288" s="32" t="s">
        <v>1</v>
      </c>
      <c r="B1288" s="32">
        <f t="shared" si="313"/>
        <v>2055</v>
      </c>
      <c r="C1288" s="33" t="s">
        <v>14</v>
      </c>
      <c r="D1288" s="34" t="s">
        <v>1999</v>
      </c>
      <c r="E1288" s="35" t="str">
        <f t="shared" si="309"/>
        <v>PDP'!</v>
      </c>
      <c r="F1288" s="34" t="str">
        <f t="shared" si="310"/>
        <v>C:\Users\jaime.benazar\Quorum Business Solutions\Ecopetrol Prometeo - Documents\Planning Space Implementation\3. Analysis &amp; Design\Design\FC22\DRR Jaime\QUIFA-CAJÚA\Cajua\[CAJUA_CF_SEC_New_27-Feb-2024Rev3.xlsx]D-PDP'!</v>
      </c>
      <c r="G1288" s="32" t="s">
        <v>113</v>
      </c>
      <c r="H1288" s="33">
        <f t="shared" si="311"/>
        <v>44</v>
      </c>
      <c r="I1288" s="33" t="str">
        <f t="shared" si="312"/>
        <v>='C:\Users\jaime.benazar\Quorum Business Solutions\Ecopetrol Prometeo - Documents\Planning Space Implementation\3. Analysis &amp; Design\Design\FC22\DRR Jaime\QUIFA-CAJÚA\Cajua\[CAJUA_CF_SEC_New_27-Feb-2024Rev3.xlsx]D-PDP'!$CA$44</v>
      </c>
      <c r="J1288" s="37" t="s">
        <v>2587</v>
      </c>
    </row>
    <row r="1289" spans="1:10" x14ac:dyDescent="0.25">
      <c r="A1289" s="32" t="s">
        <v>1</v>
      </c>
      <c r="B1289" s="32">
        <f t="shared" si="313"/>
        <v>2056</v>
      </c>
      <c r="C1289" s="33" t="s">
        <v>14</v>
      </c>
      <c r="D1289" s="34" t="s">
        <v>1999</v>
      </c>
      <c r="E1289" s="35" t="str">
        <f t="shared" si="309"/>
        <v>PDP'!</v>
      </c>
      <c r="F1289" s="34" t="str">
        <f t="shared" si="310"/>
        <v>C:\Users\jaime.benazar\Quorum Business Solutions\Ecopetrol Prometeo - Documents\Planning Space Implementation\3. Analysis &amp; Design\Design\FC22\DRR Jaime\QUIFA-CAJÚA\Cajua\[CAJUA_CF_SEC_New_27-Feb-2024Rev3.xlsx]D-PDP'!</v>
      </c>
      <c r="G1289" s="32" t="s">
        <v>113</v>
      </c>
      <c r="H1289" s="33">
        <f t="shared" si="311"/>
        <v>45</v>
      </c>
      <c r="I1289" s="33" t="str">
        <f t="shared" si="312"/>
        <v>='C:\Users\jaime.benazar\Quorum Business Solutions\Ecopetrol Prometeo - Documents\Planning Space Implementation\3. Analysis &amp; Design\Design\FC22\DRR Jaime\QUIFA-CAJÚA\Cajua\[CAJUA_CF_SEC_New_27-Feb-2024Rev3.xlsx]D-PDP'!$CA$45</v>
      </c>
      <c r="J1289" s="37" t="s">
        <v>2588</v>
      </c>
    </row>
    <row r="1290" spans="1:10" x14ac:dyDescent="0.25">
      <c r="A1290" s="32" t="s">
        <v>1</v>
      </c>
      <c r="B1290" s="32">
        <f t="shared" si="313"/>
        <v>2057</v>
      </c>
      <c r="C1290" s="33" t="s">
        <v>14</v>
      </c>
      <c r="D1290" s="34" t="s">
        <v>1999</v>
      </c>
      <c r="E1290" s="35" t="str">
        <f t="shared" si="309"/>
        <v>PDP'!</v>
      </c>
      <c r="F1290" s="34" t="str">
        <f t="shared" si="310"/>
        <v>C:\Users\jaime.benazar\Quorum Business Solutions\Ecopetrol Prometeo - Documents\Planning Space Implementation\3. Analysis &amp; Design\Design\FC22\DRR Jaime\QUIFA-CAJÚA\Cajua\[CAJUA_CF_SEC_New_27-Feb-2024Rev3.xlsx]D-PDP'!</v>
      </c>
      <c r="G1290" s="32" t="s">
        <v>113</v>
      </c>
      <c r="H1290" s="33">
        <f t="shared" si="311"/>
        <v>46</v>
      </c>
      <c r="I1290" s="33" t="str">
        <f t="shared" si="312"/>
        <v>='C:\Users\jaime.benazar\Quorum Business Solutions\Ecopetrol Prometeo - Documents\Planning Space Implementation\3. Analysis &amp; Design\Design\FC22\DRR Jaime\QUIFA-CAJÚA\Cajua\[CAJUA_CF_SEC_New_27-Feb-2024Rev3.xlsx]D-PDP'!$CA$46</v>
      </c>
      <c r="J1290" s="37" t="s">
        <v>2589</v>
      </c>
    </row>
    <row r="1291" spans="1:10" x14ac:dyDescent="0.25">
      <c r="A1291" s="32" t="s">
        <v>1</v>
      </c>
      <c r="B1291" s="32">
        <f t="shared" si="313"/>
        <v>2058</v>
      </c>
      <c r="C1291" s="33" t="s">
        <v>14</v>
      </c>
      <c r="D1291" s="34" t="s">
        <v>1999</v>
      </c>
      <c r="E1291" s="35" t="str">
        <f t="shared" si="309"/>
        <v>PDP'!</v>
      </c>
      <c r="F1291" s="34" t="str">
        <f t="shared" si="310"/>
        <v>C:\Users\jaime.benazar\Quorum Business Solutions\Ecopetrol Prometeo - Documents\Planning Space Implementation\3. Analysis &amp; Design\Design\FC22\DRR Jaime\QUIFA-CAJÚA\Cajua\[CAJUA_CF_SEC_New_27-Feb-2024Rev3.xlsx]D-PDP'!</v>
      </c>
      <c r="G1291" s="32" t="s">
        <v>113</v>
      </c>
      <c r="H1291" s="33">
        <f t="shared" si="311"/>
        <v>47</v>
      </c>
      <c r="I1291" s="33" t="str">
        <f t="shared" si="312"/>
        <v>='C:\Users\jaime.benazar\Quorum Business Solutions\Ecopetrol Prometeo - Documents\Planning Space Implementation\3. Analysis &amp; Design\Design\FC22\DRR Jaime\QUIFA-CAJÚA\Cajua\[CAJUA_CF_SEC_New_27-Feb-2024Rev3.xlsx]D-PDP'!$CA$47</v>
      </c>
      <c r="J1291" s="37" t="s">
        <v>2590</v>
      </c>
    </row>
    <row r="1292" spans="1:10" x14ac:dyDescent="0.25">
      <c r="A1292" s="32" t="s">
        <v>1</v>
      </c>
      <c r="B1292" s="32">
        <f t="shared" si="313"/>
        <v>2059</v>
      </c>
      <c r="C1292" s="33" t="s">
        <v>14</v>
      </c>
      <c r="D1292" s="34" t="s">
        <v>1999</v>
      </c>
      <c r="E1292" s="35" t="str">
        <f t="shared" si="309"/>
        <v>PDP'!</v>
      </c>
      <c r="F1292" s="34" t="str">
        <f t="shared" si="310"/>
        <v>C:\Users\jaime.benazar\Quorum Business Solutions\Ecopetrol Prometeo - Documents\Planning Space Implementation\3. Analysis &amp; Design\Design\FC22\DRR Jaime\QUIFA-CAJÚA\Cajua\[CAJUA_CF_SEC_New_27-Feb-2024Rev3.xlsx]D-PDP'!</v>
      </c>
      <c r="G1292" s="32" t="s">
        <v>113</v>
      </c>
      <c r="H1292" s="33">
        <f t="shared" si="311"/>
        <v>48</v>
      </c>
      <c r="I1292" s="33" t="str">
        <f t="shared" si="312"/>
        <v>='C:\Users\jaime.benazar\Quorum Business Solutions\Ecopetrol Prometeo - Documents\Planning Space Implementation\3. Analysis &amp; Design\Design\FC22\DRR Jaime\QUIFA-CAJÚA\Cajua\[CAJUA_CF_SEC_New_27-Feb-2024Rev3.xlsx]D-PDP'!$CA$48</v>
      </c>
      <c r="J1292" s="37" t="s">
        <v>2591</v>
      </c>
    </row>
    <row r="1293" spans="1:10" x14ac:dyDescent="0.25">
      <c r="A1293" s="32" t="s">
        <v>28</v>
      </c>
      <c r="B1293" s="32"/>
      <c r="C1293" s="33" t="s">
        <v>14</v>
      </c>
      <c r="D1293" s="34"/>
      <c r="E1293" s="35"/>
      <c r="F1293" s="34"/>
      <c r="G1293" s="32"/>
      <c r="H1293" s="33"/>
      <c r="I1293" s="33"/>
      <c r="J1293" s="33"/>
    </row>
    <row r="1294" spans="1:10" x14ac:dyDescent="0.25">
      <c r="A1294" s="32" t="s">
        <v>2</v>
      </c>
      <c r="B1294" s="32">
        <v>2023</v>
      </c>
      <c r="C1294" s="33" t="s">
        <v>14</v>
      </c>
      <c r="D1294" s="34" t="s">
        <v>1999</v>
      </c>
      <c r="E1294" s="35" t="str">
        <f t="shared" si="302"/>
        <v>PNP'!</v>
      </c>
      <c r="F1294" s="34" t="str">
        <f t="shared" si="303"/>
        <v>C:\Users\jaime.benazar\Quorum Business Solutions\Ecopetrol Prometeo - Documents\Planning Space Implementation\3. Analysis &amp; Design\Design\FC22\DRR Jaime\QUIFA-CAJÚA\Cajua\[CAJUA_CF_SEC_New_27-Feb-2024Rev3.xlsx]D-PNP'!</v>
      </c>
      <c r="G1294" s="32" t="s">
        <v>113</v>
      </c>
      <c r="H1294" s="33">
        <v>12</v>
      </c>
      <c r="I1294" s="33" t="str">
        <f t="shared" si="305"/>
        <v>='C:\Users\jaime.benazar\Quorum Business Solutions\Ecopetrol Prometeo - Documents\Planning Space Implementation\3. Analysis &amp; Design\Design\FC22\DRR Jaime\QUIFA-CAJÚA\Cajua\[CAJUA_CF_SEC_New_27-Feb-2024Rev3.xlsx]D-PNP'!$CA$12</v>
      </c>
      <c r="J1294" s="37" t="s">
        <v>2592</v>
      </c>
    </row>
    <row r="1295" spans="1:10" x14ac:dyDescent="0.25">
      <c r="A1295" s="32" t="s">
        <v>2</v>
      </c>
      <c r="B1295" s="32">
        <f>+B1294+1</f>
        <v>2024</v>
      </c>
      <c r="C1295" s="33" t="s">
        <v>14</v>
      </c>
      <c r="D1295" s="34" t="s">
        <v>1999</v>
      </c>
      <c r="E1295" s="35" t="str">
        <f t="shared" si="302"/>
        <v>PNP'!</v>
      </c>
      <c r="F1295" s="34" t="str">
        <f t="shared" si="303"/>
        <v>C:\Users\jaime.benazar\Quorum Business Solutions\Ecopetrol Prometeo - Documents\Planning Space Implementation\3. Analysis &amp; Design\Design\FC22\DRR Jaime\QUIFA-CAJÚA\Cajua\[CAJUA_CF_SEC_New_27-Feb-2024Rev3.xlsx]D-PNP'!</v>
      </c>
      <c r="G1295" s="32" t="s">
        <v>113</v>
      </c>
      <c r="H1295" s="33">
        <f t="shared" ref="H1295:H1314" si="314">IF(A1295&lt;&gt;A1294,12,H1294+1)</f>
        <v>13</v>
      </c>
      <c r="I1295" s="33" t="str">
        <f t="shared" si="305"/>
        <v>='C:\Users\jaime.benazar\Quorum Business Solutions\Ecopetrol Prometeo - Documents\Planning Space Implementation\3. Analysis &amp; Design\Design\FC22\DRR Jaime\QUIFA-CAJÚA\Cajua\[CAJUA_CF_SEC_New_27-Feb-2024Rev3.xlsx]D-PNP'!$CA$13</v>
      </c>
      <c r="J1295" s="37" t="s">
        <v>2593</v>
      </c>
    </row>
    <row r="1296" spans="1:10" x14ac:dyDescent="0.25">
      <c r="A1296" s="32" t="s">
        <v>2</v>
      </c>
      <c r="B1296" s="32">
        <f t="shared" ref="B1296:B1307" si="315">+B1295+1</f>
        <v>2025</v>
      </c>
      <c r="C1296" s="33" t="s">
        <v>14</v>
      </c>
      <c r="D1296" s="34" t="s">
        <v>1999</v>
      </c>
      <c r="E1296" s="35" t="str">
        <f t="shared" si="302"/>
        <v>PNP'!</v>
      </c>
      <c r="F1296" s="34" t="str">
        <f t="shared" si="303"/>
        <v>C:\Users\jaime.benazar\Quorum Business Solutions\Ecopetrol Prometeo - Documents\Planning Space Implementation\3. Analysis &amp; Design\Design\FC22\DRR Jaime\QUIFA-CAJÚA\Cajua\[CAJUA_CF_SEC_New_27-Feb-2024Rev3.xlsx]D-PNP'!</v>
      </c>
      <c r="G1296" s="32" t="s">
        <v>113</v>
      </c>
      <c r="H1296" s="33">
        <f t="shared" si="314"/>
        <v>14</v>
      </c>
      <c r="I1296" s="33" t="str">
        <f t="shared" si="305"/>
        <v>='C:\Users\jaime.benazar\Quorum Business Solutions\Ecopetrol Prometeo - Documents\Planning Space Implementation\3. Analysis &amp; Design\Design\FC22\DRR Jaime\QUIFA-CAJÚA\Cajua\[CAJUA_CF_SEC_New_27-Feb-2024Rev3.xlsx]D-PNP'!$CA$14</v>
      </c>
      <c r="J1296" s="37" t="s">
        <v>2594</v>
      </c>
    </row>
    <row r="1297" spans="1:10" x14ac:dyDescent="0.25">
      <c r="A1297" s="32" t="s">
        <v>2</v>
      </c>
      <c r="B1297" s="32">
        <f t="shared" si="315"/>
        <v>2026</v>
      </c>
      <c r="C1297" s="33" t="s">
        <v>14</v>
      </c>
      <c r="D1297" s="34" t="s">
        <v>1999</v>
      </c>
      <c r="E1297" s="35" t="str">
        <f t="shared" si="302"/>
        <v>PNP'!</v>
      </c>
      <c r="F1297" s="34" t="str">
        <f t="shared" si="303"/>
        <v>C:\Users\jaime.benazar\Quorum Business Solutions\Ecopetrol Prometeo - Documents\Planning Space Implementation\3. Analysis &amp; Design\Design\FC22\DRR Jaime\QUIFA-CAJÚA\Cajua\[CAJUA_CF_SEC_New_27-Feb-2024Rev3.xlsx]D-PNP'!</v>
      </c>
      <c r="G1297" s="32" t="s">
        <v>113</v>
      </c>
      <c r="H1297" s="33">
        <f t="shared" si="314"/>
        <v>15</v>
      </c>
      <c r="I1297" s="33" t="str">
        <f t="shared" si="305"/>
        <v>='C:\Users\jaime.benazar\Quorum Business Solutions\Ecopetrol Prometeo - Documents\Planning Space Implementation\3. Analysis &amp; Design\Design\FC22\DRR Jaime\QUIFA-CAJÚA\Cajua\[CAJUA_CF_SEC_New_27-Feb-2024Rev3.xlsx]D-PNP'!$CA$15</v>
      </c>
      <c r="J1297" s="37" t="s">
        <v>2595</v>
      </c>
    </row>
    <row r="1298" spans="1:10" x14ac:dyDescent="0.25">
      <c r="A1298" s="32" t="s">
        <v>2</v>
      </c>
      <c r="B1298" s="32">
        <f t="shared" si="315"/>
        <v>2027</v>
      </c>
      <c r="C1298" s="33" t="s">
        <v>14</v>
      </c>
      <c r="D1298" s="34" t="s">
        <v>1999</v>
      </c>
      <c r="E1298" s="35" t="str">
        <f t="shared" si="302"/>
        <v>PNP'!</v>
      </c>
      <c r="F1298" s="34" t="str">
        <f t="shared" si="303"/>
        <v>C:\Users\jaime.benazar\Quorum Business Solutions\Ecopetrol Prometeo - Documents\Planning Space Implementation\3. Analysis &amp; Design\Design\FC22\DRR Jaime\QUIFA-CAJÚA\Cajua\[CAJUA_CF_SEC_New_27-Feb-2024Rev3.xlsx]D-PNP'!</v>
      </c>
      <c r="G1298" s="32" t="s">
        <v>113</v>
      </c>
      <c r="H1298" s="33">
        <f t="shared" si="314"/>
        <v>16</v>
      </c>
      <c r="I1298" s="33" t="str">
        <f t="shared" si="305"/>
        <v>='C:\Users\jaime.benazar\Quorum Business Solutions\Ecopetrol Prometeo - Documents\Planning Space Implementation\3. Analysis &amp; Design\Design\FC22\DRR Jaime\QUIFA-CAJÚA\Cajua\[CAJUA_CF_SEC_New_27-Feb-2024Rev3.xlsx]D-PNP'!$CA$16</v>
      </c>
      <c r="J1298" s="37" t="s">
        <v>2596</v>
      </c>
    </row>
    <row r="1299" spans="1:10" x14ac:dyDescent="0.25">
      <c r="A1299" s="32" t="s">
        <v>2</v>
      </c>
      <c r="B1299" s="32">
        <f t="shared" si="315"/>
        <v>2028</v>
      </c>
      <c r="C1299" s="33" t="s">
        <v>14</v>
      </c>
      <c r="D1299" s="34" t="s">
        <v>1999</v>
      </c>
      <c r="E1299" s="35" t="str">
        <f t="shared" si="302"/>
        <v>PNP'!</v>
      </c>
      <c r="F1299" s="34" t="str">
        <f t="shared" si="303"/>
        <v>C:\Users\jaime.benazar\Quorum Business Solutions\Ecopetrol Prometeo - Documents\Planning Space Implementation\3. Analysis &amp; Design\Design\FC22\DRR Jaime\QUIFA-CAJÚA\Cajua\[CAJUA_CF_SEC_New_27-Feb-2024Rev3.xlsx]D-PNP'!</v>
      </c>
      <c r="G1299" s="32" t="s">
        <v>113</v>
      </c>
      <c r="H1299" s="33">
        <f t="shared" si="314"/>
        <v>17</v>
      </c>
      <c r="I1299" s="33" t="str">
        <f t="shared" si="305"/>
        <v>='C:\Users\jaime.benazar\Quorum Business Solutions\Ecopetrol Prometeo - Documents\Planning Space Implementation\3. Analysis &amp; Design\Design\FC22\DRR Jaime\QUIFA-CAJÚA\Cajua\[CAJUA_CF_SEC_New_27-Feb-2024Rev3.xlsx]D-PNP'!$CA$17</v>
      </c>
      <c r="J1299" s="37" t="s">
        <v>2597</v>
      </c>
    </row>
    <row r="1300" spans="1:10" x14ac:dyDescent="0.25">
      <c r="A1300" s="32" t="s">
        <v>2</v>
      </c>
      <c r="B1300" s="32">
        <f t="shared" si="315"/>
        <v>2029</v>
      </c>
      <c r="C1300" s="33" t="s">
        <v>14</v>
      </c>
      <c r="D1300" s="34" t="s">
        <v>1999</v>
      </c>
      <c r="E1300" s="35" t="str">
        <f t="shared" si="302"/>
        <v>PNP'!</v>
      </c>
      <c r="F1300" s="34" t="str">
        <f t="shared" si="303"/>
        <v>C:\Users\jaime.benazar\Quorum Business Solutions\Ecopetrol Prometeo - Documents\Planning Space Implementation\3. Analysis &amp; Design\Design\FC22\DRR Jaime\QUIFA-CAJÚA\Cajua\[CAJUA_CF_SEC_New_27-Feb-2024Rev3.xlsx]D-PNP'!</v>
      </c>
      <c r="G1300" s="32" t="s">
        <v>113</v>
      </c>
      <c r="H1300" s="33">
        <f t="shared" si="314"/>
        <v>18</v>
      </c>
      <c r="I1300" s="33" t="str">
        <f t="shared" si="305"/>
        <v>='C:\Users\jaime.benazar\Quorum Business Solutions\Ecopetrol Prometeo - Documents\Planning Space Implementation\3. Analysis &amp; Design\Design\FC22\DRR Jaime\QUIFA-CAJÚA\Cajua\[CAJUA_CF_SEC_New_27-Feb-2024Rev3.xlsx]D-PNP'!$CA$18</v>
      </c>
      <c r="J1300" s="37" t="s">
        <v>2598</v>
      </c>
    </row>
    <row r="1301" spans="1:10" x14ac:dyDescent="0.25">
      <c r="A1301" s="32" t="s">
        <v>2</v>
      </c>
      <c r="B1301" s="32">
        <f t="shared" si="315"/>
        <v>2030</v>
      </c>
      <c r="C1301" s="33" t="s">
        <v>14</v>
      </c>
      <c r="D1301" s="34" t="s">
        <v>1999</v>
      </c>
      <c r="E1301" s="35" t="str">
        <f t="shared" si="302"/>
        <v>PNP'!</v>
      </c>
      <c r="F1301" s="34" t="str">
        <f t="shared" si="303"/>
        <v>C:\Users\jaime.benazar\Quorum Business Solutions\Ecopetrol Prometeo - Documents\Planning Space Implementation\3. Analysis &amp; Design\Design\FC22\DRR Jaime\QUIFA-CAJÚA\Cajua\[CAJUA_CF_SEC_New_27-Feb-2024Rev3.xlsx]D-PNP'!</v>
      </c>
      <c r="G1301" s="32" t="s">
        <v>113</v>
      </c>
      <c r="H1301" s="33">
        <f t="shared" si="314"/>
        <v>19</v>
      </c>
      <c r="I1301" s="33" t="str">
        <f t="shared" si="305"/>
        <v>='C:\Users\jaime.benazar\Quorum Business Solutions\Ecopetrol Prometeo - Documents\Planning Space Implementation\3. Analysis &amp; Design\Design\FC22\DRR Jaime\QUIFA-CAJÚA\Cajua\[CAJUA_CF_SEC_New_27-Feb-2024Rev3.xlsx]D-PNP'!$CA$19</v>
      </c>
      <c r="J1301" s="37" t="s">
        <v>2599</v>
      </c>
    </row>
    <row r="1302" spans="1:10" x14ac:dyDescent="0.25">
      <c r="A1302" s="32" t="s">
        <v>2</v>
      </c>
      <c r="B1302" s="32">
        <f t="shared" si="315"/>
        <v>2031</v>
      </c>
      <c r="C1302" s="33" t="s">
        <v>14</v>
      </c>
      <c r="D1302" s="34" t="s">
        <v>1999</v>
      </c>
      <c r="E1302" s="35" t="str">
        <f t="shared" si="302"/>
        <v>PNP'!</v>
      </c>
      <c r="F1302" s="34" t="str">
        <f t="shared" si="303"/>
        <v>C:\Users\jaime.benazar\Quorum Business Solutions\Ecopetrol Prometeo - Documents\Planning Space Implementation\3. Analysis &amp; Design\Design\FC22\DRR Jaime\QUIFA-CAJÚA\Cajua\[CAJUA_CF_SEC_New_27-Feb-2024Rev3.xlsx]D-PNP'!</v>
      </c>
      <c r="G1302" s="32" t="s">
        <v>113</v>
      </c>
      <c r="H1302" s="33">
        <f t="shared" si="314"/>
        <v>20</v>
      </c>
      <c r="I1302" s="33" t="str">
        <f t="shared" si="305"/>
        <v>='C:\Users\jaime.benazar\Quorum Business Solutions\Ecopetrol Prometeo - Documents\Planning Space Implementation\3. Analysis &amp; Design\Design\FC22\DRR Jaime\QUIFA-CAJÚA\Cajua\[CAJUA_CF_SEC_New_27-Feb-2024Rev3.xlsx]D-PNP'!$CA$20</v>
      </c>
      <c r="J1302" s="37" t="s">
        <v>2600</v>
      </c>
    </row>
    <row r="1303" spans="1:10" x14ac:dyDescent="0.25">
      <c r="A1303" s="32" t="s">
        <v>2</v>
      </c>
      <c r="B1303" s="32">
        <f t="shared" si="315"/>
        <v>2032</v>
      </c>
      <c r="C1303" s="33" t="s">
        <v>14</v>
      </c>
      <c r="D1303" s="34" t="s">
        <v>1999</v>
      </c>
      <c r="E1303" s="35" t="str">
        <f t="shared" si="302"/>
        <v>PNP'!</v>
      </c>
      <c r="F1303" s="34" t="str">
        <f t="shared" si="303"/>
        <v>C:\Users\jaime.benazar\Quorum Business Solutions\Ecopetrol Prometeo - Documents\Planning Space Implementation\3. Analysis &amp; Design\Design\FC22\DRR Jaime\QUIFA-CAJÚA\Cajua\[CAJUA_CF_SEC_New_27-Feb-2024Rev3.xlsx]D-PNP'!</v>
      </c>
      <c r="G1303" s="32" t="s">
        <v>113</v>
      </c>
      <c r="H1303" s="33">
        <f t="shared" si="314"/>
        <v>21</v>
      </c>
      <c r="I1303" s="33" t="str">
        <f t="shared" si="305"/>
        <v>='C:\Users\jaime.benazar\Quorum Business Solutions\Ecopetrol Prometeo - Documents\Planning Space Implementation\3. Analysis &amp; Design\Design\FC22\DRR Jaime\QUIFA-CAJÚA\Cajua\[CAJUA_CF_SEC_New_27-Feb-2024Rev3.xlsx]D-PNP'!$CA$21</v>
      </c>
      <c r="J1303" s="37" t="s">
        <v>2601</v>
      </c>
    </row>
    <row r="1304" spans="1:10" x14ac:dyDescent="0.25">
      <c r="A1304" s="32" t="s">
        <v>2</v>
      </c>
      <c r="B1304" s="32">
        <f t="shared" si="315"/>
        <v>2033</v>
      </c>
      <c r="C1304" s="33" t="s">
        <v>14</v>
      </c>
      <c r="D1304" s="34" t="s">
        <v>1999</v>
      </c>
      <c r="E1304" s="35" t="str">
        <f t="shared" si="302"/>
        <v>PNP'!</v>
      </c>
      <c r="F1304" s="34" t="str">
        <f t="shared" si="303"/>
        <v>C:\Users\jaime.benazar\Quorum Business Solutions\Ecopetrol Prometeo - Documents\Planning Space Implementation\3. Analysis &amp; Design\Design\FC22\DRR Jaime\QUIFA-CAJÚA\Cajua\[CAJUA_CF_SEC_New_27-Feb-2024Rev3.xlsx]D-PNP'!</v>
      </c>
      <c r="G1304" s="32" t="s">
        <v>113</v>
      </c>
      <c r="H1304" s="33">
        <f t="shared" si="314"/>
        <v>22</v>
      </c>
      <c r="I1304" s="33" t="str">
        <f t="shared" si="305"/>
        <v>='C:\Users\jaime.benazar\Quorum Business Solutions\Ecopetrol Prometeo - Documents\Planning Space Implementation\3. Analysis &amp; Design\Design\FC22\DRR Jaime\QUIFA-CAJÚA\Cajua\[CAJUA_CF_SEC_New_27-Feb-2024Rev3.xlsx]D-PNP'!$CA$22</v>
      </c>
      <c r="J1304" s="37" t="s">
        <v>2602</v>
      </c>
    </row>
    <row r="1305" spans="1:10" x14ac:dyDescent="0.25">
      <c r="A1305" s="32" t="s">
        <v>2</v>
      </c>
      <c r="B1305" s="32">
        <f t="shared" si="315"/>
        <v>2034</v>
      </c>
      <c r="C1305" s="33" t="s">
        <v>14</v>
      </c>
      <c r="D1305" s="34" t="s">
        <v>1999</v>
      </c>
      <c r="E1305" s="35" t="str">
        <f t="shared" si="302"/>
        <v>PNP'!</v>
      </c>
      <c r="F1305" s="34" t="str">
        <f t="shared" si="303"/>
        <v>C:\Users\jaime.benazar\Quorum Business Solutions\Ecopetrol Prometeo - Documents\Planning Space Implementation\3. Analysis &amp; Design\Design\FC22\DRR Jaime\QUIFA-CAJÚA\Cajua\[CAJUA_CF_SEC_New_27-Feb-2024Rev3.xlsx]D-PNP'!</v>
      </c>
      <c r="G1305" s="32" t="s">
        <v>113</v>
      </c>
      <c r="H1305" s="33">
        <f t="shared" si="314"/>
        <v>23</v>
      </c>
      <c r="I1305" s="33" t="str">
        <f t="shared" si="305"/>
        <v>='C:\Users\jaime.benazar\Quorum Business Solutions\Ecopetrol Prometeo - Documents\Planning Space Implementation\3. Analysis &amp; Design\Design\FC22\DRR Jaime\QUIFA-CAJÚA\Cajua\[CAJUA_CF_SEC_New_27-Feb-2024Rev3.xlsx]D-PNP'!$CA$23</v>
      </c>
      <c r="J1305" s="37" t="s">
        <v>2603</v>
      </c>
    </row>
    <row r="1306" spans="1:10" x14ac:dyDescent="0.25">
      <c r="A1306" s="32" t="s">
        <v>2</v>
      </c>
      <c r="B1306" s="32">
        <f t="shared" si="315"/>
        <v>2035</v>
      </c>
      <c r="C1306" s="33" t="s">
        <v>14</v>
      </c>
      <c r="D1306" s="34" t="s">
        <v>1999</v>
      </c>
      <c r="E1306" s="35" t="str">
        <f t="shared" si="302"/>
        <v>PNP'!</v>
      </c>
      <c r="F1306" s="34" t="str">
        <f t="shared" si="303"/>
        <v>C:\Users\jaime.benazar\Quorum Business Solutions\Ecopetrol Prometeo - Documents\Planning Space Implementation\3. Analysis &amp; Design\Design\FC22\DRR Jaime\QUIFA-CAJÚA\Cajua\[CAJUA_CF_SEC_New_27-Feb-2024Rev3.xlsx]D-PNP'!</v>
      </c>
      <c r="G1306" s="32" t="s">
        <v>113</v>
      </c>
      <c r="H1306" s="33">
        <f t="shared" si="314"/>
        <v>24</v>
      </c>
      <c r="I1306" s="33" t="str">
        <f t="shared" si="305"/>
        <v>='C:\Users\jaime.benazar\Quorum Business Solutions\Ecopetrol Prometeo - Documents\Planning Space Implementation\3. Analysis &amp; Design\Design\FC22\DRR Jaime\QUIFA-CAJÚA\Cajua\[CAJUA_CF_SEC_New_27-Feb-2024Rev3.xlsx]D-PNP'!$CA$24</v>
      </c>
      <c r="J1306" s="37" t="s">
        <v>2604</v>
      </c>
    </row>
    <row r="1307" spans="1:10" x14ac:dyDescent="0.25">
      <c r="A1307" s="32" t="s">
        <v>2</v>
      </c>
      <c r="B1307" s="32">
        <f t="shared" si="315"/>
        <v>2036</v>
      </c>
      <c r="C1307" s="33" t="s">
        <v>14</v>
      </c>
      <c r="D1307" s="34" t="s">
        <v>1999</v>
      </c>
      <c r="E1307" s="35" t="str">
        <f t="shared" si="302"/>
        <v>PNP'!</v>
      </c>
      <c r="F1307" s="34" t="str">
        <f t="shared" si="303"/>
        <v>C:\Users\jaime.benazar\Quorum Business Solutions\Ecopetrol Prometeo - Documents\Planning Space Implementation\3. Analysis &amp; Design\Design\FC22\DRR Jaime\QUIFA-CAJÚA\Cajua\[CAJUA_CF_SEC_New_27-Feb-2024Rev3.xlsx]D-PNP'!</v>
      </c>
      <c r="G1307" s="32" t="s">
        <v>113</v>
      </c>
      <c r="H1307" s="33">
        <f t="shared" si="314"/>
        <v>25</v>
      </c>
      <c r="I1307" s="33" t="str">
        <f t="shared" si="305"/>
        <v>='C:\Users\jaime.benazar\Quorum Business Solutions\Ecopetrol Prometeo - Documents\Planning Space Implementation\3. Analysis &amp; Design\Design\FC22\DRR Jaime\QUIFA-CAJÚA\Cajua\[CAJUA_CF_SEC_New_27-Feb-2024Rev3.xlsx]D-PNP'!$CA$25</v>
      </c>
      <c r="J1307" s="37" t="s">
        <v>2605</v>
      </c>
    </row>
    <row r="1308" spans="1:10" x14ac:dyDescent="0.25">
      <c r="A1308" s="32" t="s">
        <v>2</v>
      </c>
      <c r="B1308" s="32">
        <f>+B1307+1</f>
        <v>2037</v>
      </c>
      <c r="C1308" s="33" t="s">
        <v>14</v>
      </c>
      <c r="D1308" s="34" t="s">
        <v>1999</v>
      </c>
      <c r="E1308" s="35" t="str">
        <f t="shared" si="302"/>
        <v>PNP'!</v>
      </c>
      <c r="F1308" s="34" t="str">
        <f t="shared" si="303"/>
        <v>C:\Users\jaime.benazar\Quorum Business Solutions\Ecopetrol Prometeo - Documents\Planning Space Implementation\3. Analysis &amp; Design\Design\FC22\DRR Jaime\QUIFA-CAJÚA\Cajua\[CAJUA_CF_SEC_New_27-Feb-2024Rev3.xlsx]D-PNP'!</v>
      </c>
      <c r="G1308" s="32" t="s">
        <v>113</v>
      </c>
      <c r="H1308" s="33">
        <f t="shared" si="314"/>
        <v>26</v>
      </c>
      <c r="I1308" s="33" t="str">
        <f t="shared" si="305"/>
        <v>='C:\Users\jaime.benazar\Quorum Business Solutions\Ecopetrol Prometeo - Documents\Planning Space Implementation\3. Analysis &amp; Design\Design\FC22\DRR Jaime\QUIFA-CAJÚA\Cajua\[CAJUA_CF_SEC_New_27-Feb-2024Rev3.xlsx]D-PNP'!$CA$26</v>
      </c>
      <c r="J1308" s="37" t="s">
        <v>2606</v>
      </c>
    </row>
    <row r="1309" spans="1:10" x14ac:dyDescent="0.25">
      <c r="A1309" s="32" t="s">
        <v>2</v>
      </c>
      <c r="B1309" s="32">
        <f t="shared" ref="B1309:B1311" si="316">+B1308+1</f>
        <v>2038</v>
      </c>
      <c r="C1309" s="33" t="s">
        <v>14</v>
      </c>
      <c r="D1309" s="34" t="s">
        <v>1999</v>
      </c>
      <c r="E1309" s="35" t="str">
        <f t="shared" si="302"/>
        <v>PNP'!</v>
      </c>
      <c r="F1309" s="34" t="str">
        <f t="shared" si="303"/>
        <v>C:\Users\jaime.benazar\Quorum Business Solutions\Ecopetrol Prometeo - Documents\Planning Space Implementation\3. Analysis &amp; Design\Design\FC22\DRR Jaime\QUIFA-CAJÚA\Cajua\[CAJUA_CF_SEC_New_27-Feb-2024Rev3.xlsx]D-PNP'!</v>
      </c>
      <c r="G1309" s="32" t="s">
        <v>113</v>
      </c>
      <c r="H1309" s="33">
        <f t="shared" si="314"/>
        <v>27</v>
      </c>
      <c r="I1309" s="33" t="str">
        <f t="shared" si="305"/>
        <v>='C:\Users\jaime.benazar\Quorum Business Solutions\Ecopetrol Prometeo - Documents\Planning Space Implementation\3. Analysis &amp; Design\Design\FC22\DRR Jaime\QUIFA-CAJÚA\Cajua\[CAJUA_CF_SEC_New_27-Feb-2024Rev3.xlsx]D-PNP'!$CA$27</v>
      </c>
      <c r="J1309" s="37" t="s">
        <v>2607</v>
      </c>
    </row>
    <row r="1310" spans="1:10" x14ac:dyDescent="0.25">
      <c r="A1310" s="32" t="s">
        <v>2</v>
      </c>
      <c r="B1310" s="32">
        <f t="shared" si="316"/>
        <v>2039</v>
      </c>
      <c r="C1310" s="33" t="s">
        <v>14</v>
      </c>
      <c r="D1310" s="34" t="s">
        <v>1999</v>
      </c>
      <c r="E1310" s="35" t="str">
        <f t="shared" si="302"/>
        <v>PNP'!</v>
      </c>
      <c r="F1310" s="34" t="str">
        <f t="shared" si="303"/>
        <v>C:\Users\jaime.benazar\Quorum Business Solutions\Ecopetrol Prometeo - Documents\Planning Space Implementation\3. Analysis &amp; Design\Design\FC22\DRR Jaime\QUIFA-CAJÚA\Cajua\[CAJUA_CF_SEC_New_27-Feb-2024Rev3.xlsx]D-PNP'!</v>
      </c>
      <c r="G1310" s="32" t="s">
        <v>113</v>
      </c>
      <c r="H1310" s="33">
        <f t="shared" si="314"/>
        <v>28</v>
      </c>
      <c r="I1310" s="33" t="str">
        <f t="shared" si="305"/>
        <v>='C:\Users\jaime.benazar\Quorum Business Solutions\Ecopetrol Prometeo - Documents\Planning Space Implementation\3. Analysis &amp; Design\Design\FC22\DRR Jaime\QUIFA-CAJÚA\Cajua\[CAJUA_CF_SEC_New_27-Feb-2024Rev3.xlsx]D-PNP'!$CA$28</v>
      </c>
      <c r="J1310" s="37" t="s">
        <v>2608</v>
      </c>
    </row>
    <row r="1311" spans="1:10" x14ac:dyDescent="0.25">
      <c r="A1311" s="32" t="s">
        <v>2</v>
      </c>
      <c r="B1311" s="32">
        <f t="shared" si="316"/>
        <v>2040</v>
      </c>
      <c r="C1311" s="33" t="s">
        <v>14</v>
      </c>
      <c r="D1311" s="34" t="s">
        <v>1999</v>
      </c>
      <c r="E1311" s="35" t="str">
        <f t="shared" si="302"/>
        <v>PNP'!</v>
      </c>
      <c r="F1311" s="34" t="str">
        <f t="shared" si="303"/>
        <v>C:\Users\jaime.benazar\Quorum Business Solutions\Ecopetrol Prometeo - Documents\Planning Space Implementation\3. Analysis &amp; Design\Design\FC22\DRR Jaime\QUIFA-CAJÚA\Cajua\[CAJUA_CF_SEC_New_27-Feb-2024Rev3.xlsx]D-PNP'!</v>
      </c>
      <c r="G1311" s="32" t="s">
        <v>113</v>
      </c>
      <c r="H1311" s="33">
        <f t="shared" si="314"/>
        <v>29</v>
      </c>
      <c r="I1311" s="33" t="str">
        <f t="shared" si="305"/>
        <v>='C:\Users\jaime.benazar\Quorum Business Solutions\Ecopetrol Prometeo - Documents\Planning Space Implementation\3. Analysis &amp; Design\Design\FC22\DRR Jaime\QUIFA-CAJÚA\Cajua\[CAJUA_CF_SEC_New_27-Feb-2024Rev3.xlsx]D-PNP'!$CA$29</v>
      </c>
      <c r="J1311" s="37" t="s">
        <v>2609</v>
      </c>
    </row>
    <row r="1312" spans="1:10" x14ac:dyDescent="0.25">
      <c r="A1312" s="32" t="s">
        <v>2</v>
      </c>
      <c r="B1312" s="32">
        <f>+B1311+1</f>
        <v>2041</v>
      </c>
      <c r="C1312" s="33" t="s">
        <v>14</v>
      </c>
      <c r="D1312" s="34" t="s">
        <v>1999</v>
      </c>
      <c r="E1312" s="35" t="str">
        <f t="shared" si="302"/>
        <v>PNP'!</v>
      </c>
      <c r="F1312" s="34" t="str">
        <f t="shared" si="303"/>
        <v>C:\Users\jaime.benazar\Quorum Business Solutions\Ecopetrol Prometeo - Documents\Planning Space Implementation\3. Analysis &amp; Design\Design\FC22\DRR Jaime\QUIFA-CAJÚA\Cajua\[CAJUA_CF_SEC_New_27-Feb-2024Rev3.xlsx]D-PNP'!</v>
      </c>
      <c r="G1312" s="32" t="s">
        <v>113</v>
      </c>
      <c r="H1312" s="33">
        <f t="shared" si="314"/>
        <v>30</v>
      </c>
      <c r="I1312" s="33" t="str">
        <f t="shared" si="305"/>
        <v>='C:\Users\jaime.benazar\Quorum Business Solutions\Ecopetrol Prometeo - Documents\Planning Space Implementation\3. Analysis &amp; Design\Design\FC22\DRR Jaime\QUIFA-CAJÚA\Cajua\[CAJUA_CF_SEC_New_27-Feb-2024Rev3.xlsx]D-PNP'!$CA$30</v>
      </c>
      <c r="J1312" s="37" t="s">
        <v>2610</v>
      </c>
    </row>
    <row r="1313" spans="1:10" x14ac:dyDescent="0.25">
      <c r="A1313" s="32" t="s">
        <v>2</v>
      </c>
      <c r="B1313" s="32">
        <f t="shared" ref="B1313:B1314" si="317">+B1312+1</f>
        <v>2042</v>
      </c>
      <c r="C1313" s="33" t="s">
        <v>14</v>
      </c>
      <c r="D1313" s="34" t="s">
        <v>1999</v>
      </c>
      <c r="E1313" s="35" t="str">
        <f t="shared" si="302"/>
        <v>PNP'!</v>
      </c>
      <c r="F1313" s="34" t="str">
        <f t="shared" si="303"/>
        <v>C:\Users\jaime.benazar\Quorum Business Solutions\Ecopetrol Prometeo - Documents\Planning Space Implementation\3. Analysis &amp; Design\Design\FC22\DRR Jaime\QUIFA-CAJÚA\Cajua\[CAJUA_CF_SEC_New_27-Feb-2024Rev3.xlsx]D-PNP'!</v>
      </c>
      <c r="G1313" s="32" t="s">
        <v>113</v>
      </c>
      <c r="H1313" s="33">
        <f t="shared" si="314"/>
        <v>31</v>
      </c>
      <c r="I1313" s="33" t="str">
        <f t="shared" si="305"/>
        <v>='C:\Users\jaime.benazar\Quorum Business Solutions\Ecopetrol Prometeo - Documents\Planning Space Implementation\3. Analysis &amp; Design\Design\FC22\DRR Jaime\QUIFA-CAJÚA\Cajua\[CAJUA_CF_SEC_New_27-Feb-2024Rev3.xlsx]D-PNP'!$CA$31</v>
      </c>
      <c r="J1313" s="37" t="s">
        <v>2611</v>
      </c>
    </row>
    <row r="1314" spans="1:10" x14ac:dyDescent="0.25">
      <c r="A1314" s="32" t="s">
        <v>2</v>
      </c>
      <c r="B1314" s="32">
        <f t="shared" si="317"/>
        <v>2043</v>
      </c>
      <c r="C1314" s="33" t="s">
        <v>14</v>
      </c>
      <c r="D1314" s="34" t="s">
        <v>1999</v>
      </c>
      <c r="E1314" s="35" t="str">
        <f t="shared" si="302"/>
        <v>PNP'!</v>
      </c>
      <c r="F1314" s="34" t="str">
        <f t="shared" si="303"/>
        <v>C:\Users\jaime.benazar\Quorum Business Solutions\Ecopetrol Prometeo - Documents\Planning Space Implementation\3. Analysis &amp; Design\Design\FC22\DRR Jaime\QUIFA-CAJÚA\Cajua\[CAJUA_CF_SEC_New_27-Feb-2024Rev3.xlsx]D-PNP'!</v>
      </c>
      <c r="G1314" s="32" t="s">
        <v>113</v>
      </c>
      <c r="H1314" s="33">
        <f t="shared" si="314"/>
        <v>32</v>
      </c>
      <c r="I1314" s="33" t="str">
        <f t="shared" si="305"/>
        <v>='C:\Users\jaime.benazar\Quorum Business Solutions\Ecopetrol Prometeo - Documents\Planning Space Implementation\3. Analysis &amp; Design\Design\FC22\DRR Jaime\QUIFA-CAJÚA\Cajua\[CAJUA_CF_SEC_New_27-Feb-2024Rev3.xlsx]D-PNP'!$CA$32</v>
      </c>
      <c r="J1314" s="37" t="s">
        <v>2612</v>
      </c>
    </row>
    <row r="1315" spans="1:10" x14ac:dyDescent="0.25">
      <c r="A1315" s="32" t="s">
        <v>2</v>
      </c>
      <c r="B1315" s="32">
        <f>+B1314+1</f>
        <v>2044</v>
      </c>
      <c r="C1315" s="33" t="s">
        <v>14</v>
      </c>
      <c r="D1315" s="34" t="s">
        <v>1999</v>
      </c>
      <c r="E1315" s="35" t="str">
        <f t="shared" ref="E1315:E1330" si="318">_xlfn.CONCAT(A1315,"'!")</f>
        <v>PNP'!</v>
      </c>
      <c r="F1315" s="34" t="str">
        <f t="shared" ref="F1315:F1330" si="319">_xlfn.CONCAT(D1315:E1315)</f>
        <v>C:\Users\jaime.benazar\Quorum Business Solutions\Ecopetrol Prometeo - Documents\Planning Space Implementation\3. Analysis &amp; Design\Design\FC22\DRR Jaime\QUIFA-CAJÚA\Cajua\[CAJUA_CF_SEC_New_27-Feb-2024Rev3.xlsx]D-PNP'!</v>
      </c>
      <c r="G1315" s="32" t="s">
        <v>113</v>
      </c>
      <c r="H1315" s="33">
        <f t="shared" ref="H1315:H1330" si="320">IF(A1315&lt;&gt;A1314,12,H1314+1)</f>
        <v>33</v>
      </c>
      <c r="I1315" s="33" t="str">
        <f t="shared" ref="I1315:I1330" si="321">_xlfn.CONCAT("='",F1315:H1315)</f>
        <v>='C:\Users\jaime.benazar\Quorum Business Solutions\Ecopetrol Prometeo - Documents\Planning Space Implementation\3. Analysis &amp; Design\Design\FC22\DRR Jaime\QUIFA-CAJÚA\Cajua\[CAJUA_CF_SEC_New_27-Feb-2024Rev3.xlsx]D-PNP'!$CA$33</v>
      </c>
      <c r="J1315" s="37" t="s">
        <v>2613</v>
      </c>
    </row>
    <row r="1316" spans="1:10" x14ac:dyDescent="0.25">
      <c r="A1316" s="32" t="s">
        <v>2</v>
      </c>
      <c r="B1316" s="32">
        <f t="shared" ref="B1316:B1330" si="322">+B1315+1</f>
        <v>2045</v>
      </c>
      <c r="C1316" s="33" t="s">
        <v>14</v>
      </c>
      <c r="D1316" s="34" t="s">
        <v>1999</v>
      </c>
      <c r="E1316" s="35" t="str">
        <f t="shared" si="318"/>
        <v>PNP'!</v>
      </c>
      <c r="F1316" s="34" t="str">
        <f t="shared" si="319"/>
        <v>C:\Users\jaime.benazar\Quorum Business Solutions\Ecopetrol Prometeo - Documents\Planning Space Implementation\3. Analysis &amp; Design\Design\FC22\DRR Jaime\QUIFA-CAJÚA\Cajua\[CAJUA_CF_SEC_New_27-Feb-2024Rev3.xlsx]D-PNP'!</v>
      </c>
      <c r="G1316" s="32" t="s">
        <v>113</v>
      </c>
      <c r="H1316" s="33">
        <f t="shared" si="320"/>
        <v>34</v>
      </c>
      <c r="I1316" s="33" t="str">
        <f t="shared" si="321"/>
        <v>='C:\Users\jaime.benazar\Quorum Business Solutions\Ecopetrol Prometeo - Documents\Planning Space Implementation\3. Analysis &amp; Design\Design\FC22\DRR Jaime\QUIFA-CAJÚA\Cajua\[CAJUA_CF_SEC_New_27-Feb-2024Rev3.xlsx]D-PNP'!$CA$34</v>
      </c>
      <c r="J1316" s="37" t="s">
        <v>2614</v>
      </c>
    </row>
    <row r="1317" spans="1:10" x14ac:dyDescent="0.25">
      <c r="A1317" s="32" t="s">
        <v>2</v>
      </c>
      <c r="B1317" s="32">
        <f t="shared" si="322"/>
        <v>2046</v>
      </c>
      <c r="C1317" s="33" t="s">
        <v>14</v>
      </c>
      <c r="D1317" s="34" t="s">
        <v>1999</v>
      </c>
      <c r="E1317" s="35" t="str">
        <f t="shared" si="318"/>
        <v>PNP'!</v>
      </c>
      <c r="F1317" s="34" t="str">
        <f t="shared" si="319"/>
        <v>C:\Users\jaime.benazar\Quorum Business Solutions\Ecopetrol Prometeo - Documents\Planning Space Implementation\3. Analysis &amp; Design\Design\FC22\DRR Jaime\QUIFA-CAJÚA\Cajua\[CAJUA_CF_SEC_New_27-Feb-2024Rev3.xlsx]D-PNP'!</v>
      </c>
      <c r="G1317" s="32" t="s">
        <v>113</v>
      </c>
      <c r="H1317" s="33">
        <f t="shared" si="320"/>
        <v>35</v>
      </c>
      <c r="I1317" s="33" t="str">
        <f t="shared" si="321"/>
        <v>='C:\Users\jaime.benazar\Quorum Business Solutions\Ecopetrol Prometeo - Documents\Planning Space Implementation\3. Analysis &amp; Design\Design\FC22\DRR Jaime\QUIFA-CAJÚA\Cajua\[CAJUA_CF_SEC_New_27-Feb-2024Rev3.xlsx]D-PNP'!$CA$35</v>
      </c>
      <c r="J1317" s="37" t="s">
        <v>2615</v>
      </c>
    </row>
    <row r="1318" spans="1:10" x14ac:dyDescent="0.25">
      <c r="A1318" s="32" t="s">
        <v>2</v>
      </c>
      <c r="B1318" s="32">
        <f t="shared" si="322"/>
        <v>2047</v>
      </c>
      <c r="C1318" s="33" t="s">
        <v>14</v>
      </c>
      <c r="D1318" s="34" t="s">
        <v>1999</v>
      </c>
      <c r="E1318" s="35" t="str">
        <f t="shared" si="318"/>
        <v>PNP'!</v>
      </c>
      <c r="F1318" s="34" t="str">
        <f t="shared" si="319"/>
        <v>C:\Users\jaime.benazar\Quorum Business Solutions\Ecopetrol Prometeo - Documents\Planning Space Implementation\3. Analysis &amp; Design\Design\FC22\DRR Jaime\QUIFA-CAJÚA\Cajua\[CAJUA_CF_SEC_New_27-Feb-2024Rev3.xlsx]D-PNP'!</v>
      </c>
      <c r="G1318" s="32" t="s">
        <v>113</v>
      </c>
      <c r="H1318" s="33">
        <f t="shared" si="320"/>
        <v>36</v>
      </c>
      <c r="I1318" s="33" t="str">
        <f t="shared" si="321"/>
        <v>='C:\Users\jaime.benazar\Quorum Business Solutions\Ecopetrol Prometeo - Documents\Planning Space Implementation\3. Analysis &amp; Design\Design\FC22\DRR Jaime\QUIFA-CAJÚA\Cajua\[CAJUA_CF_SEC_New_27-Feb-2024Rev3.xlsx]D-PNP'!$CA$36</v>
      </c>
      <c r="J1318" s="37" t="s">
        <v>2616</v>
      </c>
    </row>
    <row r="1319" spans="1:10" x14ac:dyDescent="0.25">
      <c r="A1319" s="32" t="s">
        <v>2</v>
      </c>
      <c r="B1319" s="32">
        <f t="shared" si="322"/>
        <v>2048</v>
      </c>
      <c r="C1319" s="33" t="s">
        <v>14</v>
      </c>
      <c r="D1319" s="34" t="s">
        <v>1999</v>
      </c>
      <c r="E1319" s="35" t="str">
        <f t="shared" si="318"/>
        <v>PNP'!</v>
      </c>
      <c r="F1319" s="34" t="str">
        <f t="shared" si="319"/>
        <v>C:\Users\jaime.benazar\Quorum Business Solutions\Ecopetrol Prometeo - Documents\Planning Space Implementation\3. Analysis &amp; Design\Design\FC22\DRR Jaime\QUIFA-CAJÚA\Cajua\[CAJUA_CF_SEC_New_27-Feb-2024Rev3.xlsx]D-PNP'!</v>
      </c>
      <c r="G1319" s="32" t="s">
        <v>113</v>
      </c>
      <c r="H1319" s="33">
        <f t="shared" si="320"/>
        <v>37</v>
      </c>
      <c r="I1319" s="33" t="str">
        <f t="shared" si="321"/>
        <v>='C:\Users\jaime.benazar\Quorum Business Solutions\Ecopetrol Prometeo - Documents\Planning Space Implementation\3. Analysis &amp; Design\Design\FC22\DRR Jaime\QUIFA-CAJÚA\Cajua\[CAJUA_CF_SEC_New_27-Feb-2024Rev3.xlsx]D-PNP'!$CA$37</v>
      </c>
      <c r="J1319" s="37" t="s">
        <v>2617</v>
      </c>
    </row>
    <row r="1320" spans="1:10" x14ac:dyDescent="0.25">
      <c r="A1320" s="32" t="s">
        <v>2</v>
      </c>
      <c r="B1320" s="32">
        <f t="shared" si="322"/>
        <v>2049</v>
      </c>
      <c r="C1320" s="33" t="s">
        <v>14</v>
      </c>
      <c r="D1320" s="34" t="s">
        <v>1999</v>
      </c>
      <c r="E1320" s="35" t="str">
        <f t="shared" si="318"/>
        <v>PNP'!</v>
      </c>
      <c r="F1320" s="34" t="str">
        <f t="shared" si="319"/>
        <v>C:\Users\jaime.benazar\Quorum Business Solutions\Ecopetrol Prometeo - Documents\Planning Space Implementation\3. Analysis &amp; Design\Design\FC22\DRR Jaime\QUIFA-CAJÚA\Cajua\[CAJUA_CF_SEC_New_27-Feb-2024Rev3.xlsx]D-PNP'!</v>
      </c>
      <c r="G1320" s="32" t="s">
        <v>113</v>
      </c>
      <c r="H1320" s="33">
        <f t="shared" si="320"/>
        <v>38</v>
      </c>
      <c r="I1320" s="33" t="str">
        <f t="shared" si="321"/>
        <v>='C:\Users\jaime.benazar\Quorum Business Solutions\Ecopetrol Prometeo - Documents\Planning Space Implementation\3. Analysis &amp; Design\Design\FC22\DRR Jaime\QUIFA-CAJÚA\Cajua\[CAJUA_CF_SEC_New_27-Feb-2024Rev3.xlsx]D-PNP'!$CA$38</v>
      </c>
      <c r="J1320" s="37" t="s">
        <v>2618</v>
      </c>
    </row>
    <row r="1321" spans="1:10" x14ac:dyDescent="0.25">
      <c r="A1321" s="32" t="s">
        <v>2</v>
      </c>
      <c r="B1321" s="32">
        <f t="shared" si="322"/>
        <v>2050</v>
      </c>
      <c r="C1321" s="33" t="s">
        <v>14</v>
      </c>
      <c r="D1321" s="34" t="s">
        <v>1999</v>
      </c>
      <c r="E1321" s="35" t="str">
        <f t="shared" si="318"/>
        <v>PNP'!</v>
      </c>
      <c r="F1321" s="34" t="str">
        <f t="shared" si="319"/>
        <v>C:\Users\jaime.benazar\Quorum Business Solutions\Ecopetrol Prometeo - Documents\Planning Space Implementation\3. Analysis &amp; Design\Design\FC22\DRR Jaime\QUIFA-CAJÚA\Cajua\[CAJUA_CF_SEC_New_27-Feb-2024Rev3.xlsx]D-PNP'!</v>
      </c>
      <c r="G1321" s="32" t="s">
        <v>113</v>
      </c>
      <c r="H1321" s="33">
        <f t="shared" si="320"/>
        <v>39</v>
      </c>
      <c r="I1321" s="33" t="str">
        <f t="shared" si="321"/>
        <v>='C:\Users\jaime.benazar\Quorum Business Solutions\Ecopetrol Prometeo - Documents\Planning Space Implementation\3. Analysis &amp; Design\Design\FC22\DRR Jaime\QUIFA-CAJÚA\Cajua\[CAJUA_CF_SEC_New_27-Feb-2024Rev3.xlsx]D-PNP'!$CA$39</v>
      </c>
      <c r="J1321" s="37" t="s">
        <v>2619</v>
      </c>
    </row>
    <row r="1322" spans="1:10" x14ac:dyDescent="0.25">
      <c r="A1322" s="32" t="s">
        <v>2</v>
      </c>
      <c r="B1322" s="32">
        <f t="shared" si="322"/>
        <v>2051</v>
      </c>
      <c r="C1322" s="33" t="s">
        <v>14</v>
      </c>
      <c r="D1322" s="34" t="s">
        <v>1999</v>
      </c>
      <c r="E1322" s="35" t="str">
        <f t="shared" si="318"/>
        <v>PNP'!</v>
      </c>
      <c r="F1322" s="34" t="str">
        <f t="shared" si="319"/>
        <v>C:\Users\jaime.benazar\Quorum Business Solutions\Ecopetrol Prometeo - Documents\Planning Space Implementation\3. Analysis &amp; Design\Design\FC22\DRR Jaime\QUIFA-CAJÚA\Cajua\[CAJUA_CF_SEC_New_27-Feb-2024Rev3.xlsx]D-PNP'!</v>
      </c>
      <c r="G1322" s="32" t="s">
        <v>113</v>
      </c>
      <c r="H1322" s="33">
        <f t="shared" si="320"/>
        <v>40</v>
      </c>
      <c r="I1322" s="33" t="str">
        <f t="shared" si="321"/>
        <v>='C:\Users\jaime.benazar\Quorum Business Solutions\Ecopetrol Prometeo - Documents\Planning Space Implementation\3. Analysis &amp; Design\Design\FC22\DRR Jaime\QUIFA-CAJÚA\Cajua\[CAJUA_CF_SEC_New_27-Feb-2024Rev3.xlsx]D-PNP'!$CA$40</v>
      </c>
      <c r="J1322" s="37" t="s">
        <v>2620</v>
      </c>
    </row>
    <row r="1323" spans="1:10" x14ac:dyDescent="0.25">
      <c r="A1323" s="32" t="s">
        <v>2</v>
      </c>
      <c r="B1323" s="32">
        <f t="shared" si="322"/>
        <v>2052</v>
      </c>
      <c r="C1323" s="33" t="s">
        <v>14</v>
      </c>
      <c r="D1323" s="34" t="s">
        <v>1999</v>
      </c>
      <c r="E1323" s="35" t="str">
        <f t="shared" si="318"/>
        <v>PNP'!</v>
      </c>
      <c r="F1323" s="34" t="str">
        <f t="shared" si="319"/>
        <v>C:\Users\jaime.benazar\Quorum Business Solutions\Ecopetrol Prometeo - Documents\Planning Space Implementation\3. Analysis &amp; Design\Design\FC22\DRR Jaime\QUIFA-CAJÚA\Cajua\[CAJUA_CF_SEC_New_27-Feb-2024Rev3.xlsx]D-PNP'!</v>
      </c>
      <c r="G1323" s="32" t="s">
        <v>113</v>
      </c>
      <c r="H1323" s="33">
        <f t="shared" si="320"/>
        <v>41</v>
      </c>
      <c r="I1323" s="33" t="str">
        <f t="shared" si="321"/>
        <v>='C:\Users\jaime.benazar\Quorum Business Solutions\Ecopetrol Prometeo - Documents\Planning Space Implementation\3. Analysis &amp; Design\Design\FC22\DRR Jaime\QUIFA-CAJÚA\Cajua\[CAJUA_CF_SEC_New_27-Feb-2024Rev3.xlsx]D-PNP'!$CA$41</v>
      </c>
      <c r="J1323" s="37" t="s">
        <v>2621</v>
      </c>
    </row>
    <row r="1324" spans="1:10" x14ac:dyDescent="0.25">
      <c r="A1324" s="32" t="s">
        <v>2</v>
      </c>
      <c r="B1324" s="32">
        <f t="shared" si="322"/>
        <v>2053</v>
      </c>
      <c r="C1324" s="33" t="s">
        <v>14</v>
      </c>
      <c r="D1324" s="34" t="s">
        <v>1999</v>
      </c>
      <c r="E1324" s="35" t="str">
        <f t="shared" si="318"/>
        <v>PNP'!</v>
      </c>
      <c r="F1324" s="34" t="str">
        <f t="shared" si="319"/>
        <v>C:\Users\jaime.benazar\Quorum Business Solutions\Ecopetrol Prometeo - Documents\Planning Space Implementation\3. Analysis &amp; Design\Design\FC22\DRR Jaime\QUIFA-CAJÚA\Cajua\[CAJUA_CF_SEC_New_27-Feb-2024Rev3.xlsx]D-PNP'!</v>
      </c>
      <c r="G1324" s="32" t="s">
        <v>113</v>
      </c>
      <c r="H1324" s="33">
        <f t="shared" si="320"/>
        <v>42</v>
      </c>
      <c r="I1324" s="33" t="str">
        <f t="shared" si="321"/>
        <v>='C:\Users\jaime.benazar\Quorum Business Solutions\Ecopetrol Prometeo - Documents\Planning Space Implementation\3. Analysis &amp; Design\Design\FC22\DRR Jaime\QUIFA-CAJÚA\Cajua\[CAJUA_CF_SEC_New_27-Feb-2024Rev3.xlsx]D-PNP'!$CA$42</v>
      </c>
      <c r="J1324" s="37" t="s">
        <v>2622</v>
      </c>
    </row>
    <row r="1325" spans="1:10" x14ac:dyDescent="0.25">
      <c r="A1325" s="32" t="s">
        <v>2</v>
      </c>
      <c r="B1325" s="32">
        <f t="shared" si="322"/>
        <v>2054</v>
      </c>
      <c r="C1325" s="33" t="s">
        <v>14</v>
      </c>
      <c r="D1325" s="34" t="s">
        <v>1999</v>
      </c>
      <c r="E1325" s="35" t="str">
        <f t="shared" si="318"/>
        <v>PNP'!</v>
      </c>
      <c r="F1325" s="34" t="str">
        <f t="shared" si="319"/>
        <v>C:\Users\jaime.benazar\Quorum Business Solutions\Ecopetrol Prometeo - Documents\Planning Space Implementation\3. Analysis &amp; Design\Design\FC22\DRR Jaime\QUIFA-CAJÚA\Cajua\[CAJUA_CF_SEC_New_27-Feb-2024Rev3.xlsx]D-PNP'!</v>
      </c>
      <c r="G1325" s="32" t="s">
        <v>113</v>
      </c>
      <c r="H1325" s="33">
        <f t="shared" si="320"/>
        <v>43</v>
      </c>
      <c r="I1325" s="33" t="str">
        <f t="shared" si="321"/>
        <v>='C:\Users\jaime.benazar\Quorum Business Solutions\Ecopetrol Prometeo - Documents\Planning Space Implementation\3. Analysis &amp; Design\Design\FC22\DRR Jaime\QUIFA-CAJÚA\Cajua\[CAJUA_CF_SEC_New_27-Feb-2024Rev3.xlsx]D-PNP'!$CA$43</v>
      </c>
      <c r="J1325" s="37" t="s">
        <v>2623</v>
      </c>
    </row>
    <row r="1326" spans="1:10" x14ac:dyDescent="0.25">
      <c r="A1326" s="32" t="s">
        <v>2</v>
      </c>
      <c r="B1326" s="32">
        <f t="shared" si="322"/>
        <v>2055</v>
      </c>
      <c r="C1326" s="33" t="s">
        <v>14</v>
      </c>
      <c r="D1326" s="34" t="s">
        <v>1999</v>
      </c>
      <c r="E1326" s="35" t="str">
        <f t="shared" si="318"/>
        <v>PNP'!</v>
      </c>
      <c r="F1326" s="34" t="str">
        <f t="shared" si="319"/>
        <v>C:\Users\jaime.benazar\Quorum Business Solutions\Ecopetrol Prometeo - Documents\Planning Space Implementation\3. Analysis &amp; Design\Design\FC22\DRR Jaime\QUIFA-CAJÚA\Cajua\[CAJUA_CF_SEC_New_27-Feb-2024Rev3.xlsx]D-PNP'!</v>
      </c>
      <c r="G1326" s="32" t="s">
        <v>113</v>
      </c>
      <c r="H1326" s="33">
        <f t="shared" si="320"/>
        <v>44</v>
      </c>
      <c r="I1326" s="33" t="str">
        <f t="shared" si="321"/>
        <v>='C:\Users\jaime.benazar\Quorum Business Solutions\Ecopetrol Prometeo - Documents\Planning Space Implementation\3. Analysis &amp; Design\Design\FC22\DRR Jaime\QUIFA-CAJÚA\Cajua\[CAJUA_CF_SEC_New_27-Feb-2024Rev3.xlsx]D-PNP'!$CA$44</v>
      </c>
      <c r="J1326" s="37" t="s">
        <v>2624</v>
      </c>
    </row>
    <row r="1327" spans="1:10" x14ac:dyDescent="0.25">
      <c r="A1327" s="32" t="s">
        <v>2</v>
      </c>
      <c r="B1327" s="32">
        <f t="shared" si="322"/>
        <v>2056</v>
      </c>
      <c r="C1327" s="33" t="s">
        <v>14</v>
      </c>
      <c r="D1327" s="34" t="s">
        <v>1999</v>
      </c>
      <c r="E1327" s="35" t="str">
        <f t="shared" si="318"/>
        <v>PNP'!</v>
      </c>
      <c r="F1327" s="34" t="str">
        <f t="shared" si="319"/>
        <v>C:\Users\jaime.benazar\Quorum Business Solutions\Ecopetrol Prometeo - Documents\Planning Space Implementation\3. Analysis &amp; Design\Design\FC22\DRR Jaime\QUIFA-CAJÚA\Cajua\[CAJUA_CF_SEC_New_27-Feb-2024Rev3.xlsx]D-PNP'!</v>
      </c>
      <c r="G1327" s="32" t="s">
        <v>113</v>
      </c>
      <c r="H1327" s="33">
        <f t="shared" si="320"/>
        <v>45</v>
      </c>
      <c r="I1327" s="33" t="str">
        <f t="shared" si="321"/>
        <v>='C:\Users\jaime.benazar\Quorum Business Solutions\Ecopetrol Prometeo - Documents\Planning Space Implementation\3. Analysis &amp; Design\Design\FC22\DRR Jaime\QUIFA-CAJÚA\Cajua\[CAJUA_CF_SEC_New_27-Feb-2024Rev3.xlsx]D-PNP'!$CA$45</v>
      </c>
      <c r="J1327" s="37" t="s">
        <v>2625</v>
      </c>
    </row>
    <row r="1328" spans="1:10" x14ac:dyDescent="0.25">
      <c r="A1328" s="32" t="s">
        <v>2</v>
      </c>
      <c r="B1328" s="32">
        <f t="shared" si="322"/>
        <v>2057</v>
      </c>
      <c r="C1328" s="33" t="s">
        <v>14</v>
      </c>
      <c r="D1328" s="34" t="s">
        <v>1999</v>
      </c>
      <c r="E1328" s="35" t="str">
        <f t="shared" si="318"/>
        <v>PNP'!</v>
      </c>
      <c r="F1328" s="34" t="str">
        <f t="shared" si="319"/>
        <v>C:\Users\jaime.benazar\Quorum Business Solutions\Ecopetrol Prometeo - Documents\Planning Space Implementation\3. Analysis &amp; Design\Design\FC22\DRR Jaime\QUIFA-CAJÚA\Cajua\[CAJUA_CF_SEC_New_27-Feb-2024Rev3.xlsx]D-PNP'!</v>
      </c>
      <c r="G1328" s="32" t="s">
        <v>113</v>
      </c>
      <c r="H1328" s="33">
        <f t="shared" si="320"/>
        <v>46</v>
      </c>
      <c r="I1328" s="33" t="str">
        <f t="shared" si="321"/>
        <v>='C:\Users\jaime.benazar\Quorum Business Solutions\Ecopetrol Prometeo - Documents\Planning Space Implementation\3. Analysis &amp; Design\Design\FC22\DRR Jaime\QUIFA-CAJÚA\Cajua\[CAJUA_CF_SEC_New_27-Feb-2024Rev3.xlsx]D-PNP'!$CA$46</v>
      </c>
      <c r="J1328" s="37" t="s">
        <v>2626</v>
      </c>
    </row>
    <row r="1329" spans="1:10" x14ac:dyDescent="0.25">
      <c r="A1329" s="32" t="s">
        <v>2</v>
      </c>
      <c r="B1329" s="32">
        <f t="shared" si="322"/>
        <v>2058</v>
      </c>
      <c r="C1329" s="33" t="s">
        <v>14</v>
      </c>
      <c r="D1329" s="34" t="s">
        <v>1999</v>
      </c>
      <c r="E1329" s="35" t="str">
        <f t="shared" si="318"/>
        <v>PNP'!</v>
      </c>
      <c r="F1329" s="34" t="str">
        <f t="shared" si="319"/>
        <v>C:\Users\jaime.benazar\Quorum Business Solutions\Ecopetrol Prometeo - Documents\Planning Space Implementation\3. Analysis &amp; Design\Design\FC22\DRR Jaime\QUIFA-CAJÚA\Cajua\[CAJUA_CF_SEC_New_27-Feb-2024Rev3.xlsx]D-PNP'!</v>
      </c>
      <c r="G1329" s="32" t="s">
        <v>113</v>
      </c>
      <c r="H1329" s="33">
        <f t="shared" si="320"/>
        <v>47</v>
      </c>
      <c r="I1329" s="33" t="str">
        <f t="shared" si="321"/>
        <v>='C:\Users\jaime.benazar\Quorum Business Solutions\Ecopetrol Prometeo - Documents\Planning Space Implementation\3. Analysis &amp; Design\Design\FC22\DRR Jaime\QUIFA-CAJÚA\Cajua\[CAJUA_CF_SEC_New_27-Feb-2024Rev3.xlsx]D-PNP'!$CA$47</v>
      </c>
      <c r="J1329" s="37" t="s">
        <v>2627</v>
      </c>
    </row>
    <row r="1330" spans="1:10" x14ac:dyDescent="0.25">
      <c r="A1330" s="32" t="s">
        <v>2</v>
      </c>
      <c r="B1330" s="32">
        <f t="shared" si="322"/>
        <v>2059</v>
      </c>
      <c r="C1330" s="33" t="s">
        <v>14</v>
      </c>
      <c r="D1330" s="34" t="s">
        <v>1999</v>
      </c>
      <c r="E1330" s="35" t="str">
        <f t="shared" si="318"/>
        <v>PNP'!</v>
      </c>
      <c r="F1330" s="34" t="str">
        <f t="shared" si="319"/>
        <v>C:\Users\jaime.benazar\Quorum Business Solutions\Ecopetrol Prometeo - Documents\Planning Space Implementation\3. Analysis &amp; Design\Design\FC22\DRR Jaime\QUIFA-CAJÚA\Cajua\[CAJUA_CF_SEC_New_27-Feb-2024Rev3.xlsx]D-PNP'!</v>
      </c>
      <c r="G1330" s="32" t="s">
        <v>113</v>
      </c>
      <c r="H1330" s="33">
        <f t="shared" si="320"/>
        <v>48</v>
      </c>
      <c r="I1330" s="33" t="str">
        <f t="shared" si="321"/>
        <v>='C:\Users\jaime.benazar\Quorum Business Solutions\Ecopetrol Prometeo - Documents\Planning Space Implementation\3. Analysis &amp; Design\Design\FC22\DRR Jaime\QUIFA-CAJÚA\Cajua\[CAJUA_CF_SEC_New_27-Feb-2024Rev3.xlsx]D-PNP'!$CA$48</v>
      </c>
      <c r="J1330" s="37" t="s">
        <v>2628</v>
      </c>
    </row>
    <row r="1331" spans="1:10" x14ac:dyDescent="0.25">
      <c r="A1331" s="32" t="s">
        <v>28</v>
      </c>
      <c r="B1331" s="32"/>
      <c r="C1331" s="33" t="s">
        <v>14</v>
      </c>
      <c r="D1331" s="34"/>
      <c r="E1331" s="35"/>
      <c r="F1331" s="34"/>
      <c r="G1331" s="32"/>
      <c r="H1331" s="33"/>
      <c r="I1331" s="33"/>
      <c r="J1331" s="33"/>
    </row>
    <row r="1332" spans="1:10" x14ac:dyDescent="0.25">
      <c r="A1332" s="32" t="s">
        <v>3</v>
      </c>
      <c r="B1332" s="32">
        <v>2023</v>
      </c>
      <c r="C1332" s="33" t="s">
        <v>14</v>
      </c>
      <c r="D1332" s="34" t="s">
        <v>1999</v>
      </c>
      <c r="E1332" s="35" t="str">
        <f t="shared" si="302"/>
        <v>PND'!</v>
      </c>
      <c r="F1332" s="34" t="str">
        <f t="shared" si="303"/>
        <v>C:\Users\jaime.benazar\Quorum Business Solutions\Ecopetrol Prometeo - Documents\Planning Space Implementation\3. Analysis &amp; Design\Design\FC22\DRR Jaime\QUIFA-CAJÚA\Cajua\[CAJUA_CF_SEC_New_27-Feb-2024Rev3.xlsx]D-PND'!</v>
      </c>
      <c r="G1332" s="32" t="s">
        <v>113</v>
      </c>
      <c r="H1332" s="33">
        <v>12</v>
      </c>
      <c r="I1332" s="33" t="str">
        <f t="shared" si="305"/>
        <v>='C:\Users\jaime.benazar\Quorum Business Solutions\Ecopetrol Prometeo - Documents\Planning Space Implementation\3. Analysis &amp; Design\Design\FC22\DRR Jaime\QUIFA-CAJÚA\Cajua\[CAJUA_CF_SEC_New_27-Feb-2024Rev3.xlsx]D-PND'!$CA$12</v>
      </c>
      <c r="J1332" s="37" t="s">
        <v>2629</v>
      </c>
    </row>
    <row r="1333" spans="1:10" x14ac:dyDescent="0.25">
      <c r="A1333" s="32" t="s">
        <v>3</v>
      </c>
      <c r="B1333" s="32">
        <f>+B1332+1</f>
        <v>2024</v>
      </c>
      <c r="C1333" s="33" t="s">
        <v>14</v>
      </c>
      <c r="D1333" s="34" t="s">
        <v>1999</v>
      </c>
      <c r="E1333" s="35" t="str">
        <f t="shared" si="302"/>
        <v>PND'!</v>
      </c>
      <c r="F1333" s="34" t="str">
        <f t="shared" si="303"/>
        <v>C:\Users\jaime.benazar\Quorum Business Solutions\Ecopetrol Prometeo - Documents\Planning Space Implementation\3. Analysis &amp; Design\Design\FC22\DRR Jaime\QUIFA-CAJÚA\Cajua\[CAJUA_CF_SEC_New_27-Feb-2024Rev3.xlsx]D-PND'!</v>
      </c>
      <c r="G1333" s="32" t="s">
        <v>113</v>
      </c>
      <c r="H1333" s="33">
        <f t="shared" ref="H1333:H1352" si="323">IF(A1333&lt;&gt;A1332,12,H1332+1)</f>
        <v>13</v>
      </c>
      <c r="I1333" s="33" t="str">
        <f t="shared" si="305"/>
        <v>='C:\Users\jaime.benazar\Quorum Business Solutions\Ecopetrol Prometeo - Documents\Planning Space Implementation\3. Analysis &amp; Design\Design\FC22\DRR Jaime\QUIFA-CAJÚA\Cajua\[CAJUA_CF_SEC_New_27-Feb-2024Rev3.xlsx]D-PND'!$CA$13</v>
      </c>
      <c r="J1333" s="37" t="s">
        <v>2630</v>
      </c>
    </row>
    <row r="1334" spans="1:10" x14ac:dyDescent="0.25">
      <c r="A1334" s="32" t="s">
        <v>3</v>
      </c>
      <c r="B1334" s="32">
        <f t="shared" ref="B1334:B1345" si="324">+B1333+1</f>
        <v>2025</v>
      </c>
      <c r="C1334" s="33" t="s">
        <v>14</v>
      </c>
      <c r="D1334" s="34" t="s">
        <v>1999</v>
      </c>
      <c r="E1334" s="35" t="str">
        <f t="shared" si="302"/>
        <v>PND'!</v>
      </c>
      <c r="F1334" s="34" t="str">
        <f t="shared" si="303"/>
        <v>C:\Users\jaime.benazar\Quorum Business Solutions\Ecopetrol Prometeo - Documents\Planning Space Implementation\3. Analysis &amp; Design\Design\FC22\DRR Jaime\QUIFA-CAJÚA\Cajua\[CAJUA_CF_SEC_New_27-Feb-2024Rev3.xlsx]D-PND'!</v>
      </c>
      <c r="G1334" s="32" t="s">
        <v>113</v>
      </c>
      <c r="H1334" s="33">
        <f t="shared" si="323"/>
        <v>14</v>
      </c>
      <c r="I1334" s="33" t="str">
        <f t="shared" si="305"/>
        <v>='C:\Users\jaime.benazar\Quorum Business Solutions\Ecopetrol Prometeo - Documents\Planning Space Implementation\3. Analysis &amp; Design\Design\FC22\DRR Jaime\QUIFA-CAJÚA\Cajua\[CAJUA_CF_SEC_New_27-Feb-2024Rev3.xlsx]D-PND'!$CA$14</v>
      </c>
      <c r="J1334" s="37" t="s">
        <v>2631</v>
      </c>
    </row>
    <row r="1335" spans="1:10" x14ac:dyDescent="0.25">
      <c r="A1335" s="32" t="s">
        <v>3</v>
      </c>
      <c r="B1335" s="32">
        <f t="shared" si="324"/>
        <v>2026</v>
      </c>
      <c r="C1335" s="33" t="s">
        <v>14</v>
      </c>
      <c r="D1335" s="34" t="s">
        <v>1999</v>
      </c>
      <c r="E1335" s="35" t="str">
        <f t="shared" si="302"/>
        <v>PND'!</v>
      </c>
      <c r="F1335" s="34" t="str">
        <f t="shared" si="303"/>
        <v>C:\Users\jaime.benazar\Quorum Business Solutions\Ecopetrol Prometeo - Documents\Planning Space Implementation\3. Analysis &amp; Design\Design\FC22\DRR Jaime\QUIFA-CAJÚA\Cajua\[CAJUA_CF_SEC_New_27-Feb-2024Rev3.xlsx]D-PND'!</v>
      </c>
      <c r="G1335" s="32" t="s">
        <v>113</v>
      </c>
      <c r="H1335" s="33">
        <f t="shared" si="323"/>
        <v>15</v>
      </c>
      <c r="I1335" s="33" t="str">
        <f t="shared" si="305"/>
        <v>='C:\Users\jaime.benazar\Quorum Business Solutions\Ecopetrol Prometeo - Documents\Planning Space Implementation\3. Analysis &amp; Design\Design\FC22\DRR Jaime\QUIFA-CAJÚA\Cajua\[CAJUA_CF_SEC_New_27-Feb-2024Rev3.xlsx]D-PND'!$CA$15</v>
      </c>
      <c r="J1335" s="37" t="s">
        <v>2632</v>
      </c>
    </row>
    <row r="1336" spans="1:10" x14ac:dyDescent="0.25">
      <c r="A1336" s="32" t="s">
        <v>3</v>
      </c>
      <c r="B1336" s="32">
        <f t="shared" si="324"/>
        <v>2027</v>
      </c>
      <c r="C1336" s="33" t="s">
        <v>14</v>
      </c>
      <c r="D1336" s="34" t="s">
        <v>1999</v>
      </c>
      <c r="E1336" s="35" t="str">
        <f t="shared" si="302"/>
        <v>PND'!</v>
      </c>
      <c r="F1336" s="34" t="str">
        <f t="shared" si="303"/>
        <v>C:\Users\jaime.benazar\Quorum Business Solutions\Ecopetrol Prometeo - Documents\Planning Space Implementation\3. Analysis &amp; Design\Design\FC22\DRR Jaime\QUIFA-CAJÚA\Cajua\[CAJUA_CF_SEC_New_27-Feb-2024Rev3.xlsx]D-PND'!</v>
      </c>
      <c r="G1336" s="32" t="s">
        <v>113</v>
      </c>
      <c r="H1336" s="33">
        <f t="shared" si="323"/>
        <v>16</v>
      </c>
      <c r="I1336" s="33" t="str">
        <f t="shared" si="305"/>
        <v>='C:\Users\jaime.benazar\Quorum Business Solutions\Ecopetrol Prometeo - Documents\Planning Space Implementation\3. Analysis &amp; Design\Design\FC22\DRR Jaime\QUIFA-CAJÚA\Cajua\[CAJUA_CF_SEC_New_27-Feb-2024Rev3.xlsx]D-PND'!$CA$16</v>
      </c>
      <c r="J1336" s="37" t="s">
        <v>2633</v>
      </c>
    </row>
    <row r="1337" spans="1:10" x14ac:dyDescent="0.25">
      <c r="A1337" s="32" t="s">
        <v>3</v>
      </c>
      <c r="B1337" s="32">
        <f t="shared" si="324"/>
        <v>2028</v>
      </c>
      <c r="C1337" s="33" t="s">
        <v>14</v>
      </c>
      <c r="D1337" s="34" t="s">
        <v>1999</v>
      </c>
      <c r="E1337" s="35" t="str">
        <f t="shared" si="302"/>
        <v>PND'!</v>
      </c>
      <c r="F1337" s="34" t="str">
        <f t="shared" si="303"/>
        <v>C:\Users\jaime.benazar\Quorum Business Solutions\Ecopetrol Prometeo - Documents\Planning Space Implementation\3. Analysis &amp; Design\Design\FC22\DRR Jaime\QUIFA-CAJÚA\Cajua\[CAJUA_CF_SEC_New_27-Feb-2024Rev3.xlsx]D-PND'!</v>
      </c>
      <c r="G1337" s="32" t="s">
        <v>113</v>
      </c>
      <c r="H1337" s="33">
        <f t="shared" si="323"/>
        <v>17</v>
      </c>
      <c r="I1337" s="33" t="str">
        <f t="shared" si="305"/>
        <v>='C:\Users\jaime.benazar\Quorum Business Solutions\Ecopetrol Prometeo - Documents\Planning Space Implementation\3. Analysis &amp; Design\Design\FC22\DRR Jaime\QUIFA-CAJÚA\Cajua\[CAJUA_CF_SEC_New_27-Feb-2024Rev3.xlsx]D-PND'!$CA$17</v>
      </c>
      <c r="J1337" s="37" t="s">
        <v>2634</v>
      </c>
    </row>
    <row r="1338" spans="1:10" x14ac:dyDescent="0.25">
      <c r="A1338" s="32" t="s">
        <v>3</v>
      </c>
      <c r="B1338" s="32">
        <f t="shared" si="324"/>
        <v>2029</v>
      </c>
      <c r="C1338" s="33" t="s">
        <v>14</v>
      </c>
      <c r="D1338" s="34" t="s">
        <v>1999</v>
      </c>
      <c r="E1338" s="35" t="str">
        <f t="shared" si="302"/>
        <v>PND'!</v>
      </c>
      <c r="F1338" s="34" t="str">
        <f t="shared" si="303"/>
        <v>C:\Users\jaime.benazar\Quorum Business Solutions\Ecopetrol Prometeo - Documents\Planning Space Implementation\3. Analysis &amp; Design\Design\FC22\DRR Jaime\QUIFA-CAJÚA\Cajua\[CAJUA_CF_SEC_New_27-Feb-2024Rev3.xlsx]D-PND'!</v>
      </c>
      <c r="G1338" s="32" t="s">
        <v>113</v>
      </c>
      <c r="H1338" s="33">
        <f t="shared" si="323"/>
        <v>18</v>
      </c>
      <c r="I1338" s="33" t="str">
        <f t="shared" si="305"/>
        <v>='C:\Users\jaime.benazar\Quorum Business Solutions\Ecopetrol Prometeo - Documents\Planning Space Implementation\3. Analysis &amp; Design\Design\FC22\DRR Jaime\QUIFA-CAJÚA\Cajua\[CAJUA_CF_SEC_New_27-Feb-2024Rev3.xlsx]D-PND'!$CA$18</v>
      </c>
      <c r="J1338" s="37" t="s">
        <v>2635</v>
      </c>
    </row>
    <row r="1339" spans="1:10" x14ac:dyDescent="0.25">
      <c r="A1339" s="32" t="s">
        <v>3</v>
      </c>
      <c r="B1339" s="32">
        <f t="shared" si="324"/>
        <v>2030</v>
      </c>
      <c r="C1339" s="33" t="s">
        <v>14</v>
      </c>
      <c r="D1339" s="34" t="s">
        <v>1999</v>
      </c>
      <c r="E1339" s="35" t="str">
        <f t="shared" si="302"/>
        <v>PND'!</v>
      </c>
      <c r="F1339" s="34" t="str">
        <f t="shared" si="303"/>
        <v>C:\Users\jaime.benazar\Quorum Business Solutions\Ecopetrol Prometeo - Documents\Planning Space Implementation\3. Analysis &amp; Design\Design\FC22\DRR Jaime\QUIFA-CAJÚA\Cajua\[CAJUA_CF_SEC_New_27-Feb-2024Rev3.xlsx]D-PND'!</v>
      </c>
      <c r="G1339" s="32" t="s">
        <v>113</v>
      </c>
      <c r="H1339" s="33">
        <f t="shared" si="323"/>
        <v>19</v>
      </c>
      <c r="I1339" s="33" t="str">
        <f t="shared" si="305"/>
        <v>='C:\Users\jaime.benazar\Quorum Business Solutions\Ecopetrol Prometeo - Documents\Planning Space Implementation\3. Analysis &amp; Design\Design\FC22\DRR Jaime\QUIFA-CAJÚA\Cajua\[CAJUA_CF_SEC_New_27-Feb-2024Rev3.xlsx]D-PND'!$CA$19</v>
      </c>
      <c r="J1339" s="37" t="s">
        <v>2636</v>
      </c>
    </row>
    <row r="1340" spans="1:10" x14ac:dyDescent="0.25">
      <c r="A1340" s="32" t="s">
        <v>3</v>
      </c>
      <c r="B1340" s="32">
        <f t="shared" si="324"/>
        <v>2031</v>
      </c>
      <c r="C1340" s="33" t="s">
        <v>14</v>
      </c>
      <c r="D1340" s="34" t="s">
        <v>1999</v>
      </c>
      <c r="E1340" s="35" t="str">
        <f t="shared" si="302"/>
        <v>PND'!</v>
      </c>
      <c r="F1340" s="34" t="str">
        <f t="shared" si="303"/>
        <v>C:\Users\jaime.benazar\Quorum Business Solutions\Ecopetrol Prometeo - Documents\Planning Space Implementation\3. Analysis &amp; Design\Design\FC22\DRR Jaime\QUIFA-CAJÚA\Cajua\[CAJUA_CF_SEC_New_27-Feb-2024Rev3.xlsx]D-PND'!</v>
      </c>
      <c r="G1340" s="32" t="s">
        <v>113</v>
      </c>
      <c r="H1340" s="33">
        <f t="shared" si="323"/>
        <v>20</v>
      </c>
      <c r="I1340" s="33" t="str">
        <f t="shared" si="305"/>
        <v>='C:\Users\jaime.benazar\Quorum Business Solutions\Ecopetrol Prometeo - Documents\Planning Space Implementation\3. Analysis &amp; Design\Design\FC22\DRR Jaime\QUIFA-CAJÚA\Cajua\[CAJUA_CF_SEC_New_27-Feb-2024Rev3.xlsx]D-PND'!$CA$20</v>
      </c>
      <c r="J1340" s="37" t="s">
        <v>2637</v>
      </c>
    </row>
    <row r="1341" spans="1:10" x14ac:dyDescent="0.25">
      <c r="A1341" s="32" t="s">
        <v>3</v>
      </c>
      <c r="B1341" s="32">
        <f t="shared" si="324"/>
        <v>2032</v>
      </c>
      <c r="C1341" s="33" t="s">
        <v>14</v>
      </c>
      <c r="D1341" s="34" t="s">
        <v>1999</v>
      </c>
      <c r="E1341" s="35" t="str">
        <f t="shared" si="302"/>
        <v>PND'!</v>
      </c>
      <c r="F1341" s="34" t="str">
        <f t="shared" si="303"/>
        <v>C:\Users\jaime.benazar\Quorum Business Solutions\Ecopetrol Prometeo - Documents\Planning Space Implementation\3. Analysis &amp; Design\Design\FC22\DRR Jaime\QUIFA-CAJÚA\Cajua\[CAJUA_CF_SEC_New_27-Feb-2024Rev3.xlsx]D-PND'!</v>
      </c>
      <c r="G1341" s="32" t="s">
        <v>113</v>
      </c>
      <c r="H1341" s="33">
        <f t="shared" si="323"/>
        <v>21</v>
      </c>
      <c r="I1341" s="33" t="str">
        <f t="shared" si="305"/>
        <v>='C:\Users\jaime.benazar\Quorum Business Solutions\Ecopetrol Prometeo - Documents\Planning Space Implementation\3. Analysis &amp; Design\Design\FC22\DRR Jaime\QUIFA-CAJÚA\Cajua\[CAJUA_CF_SEC_New_27-Feb-2024Rev3.xlsx]D-PND'!$CA$21</v>
      </c>
      <c r="J1341" s="37" t="s">
        <v>2638</v>
      </c>
    </row>
    <row r="1342" spans="1:10" x14ac:dyDescent="0.25">
      <c r="A1342" s="32" t="s">
        <v>3</v>
      </c>
      <c r="B1342" s="32">
        <f t="shared" si="324"/>
        <v>2033</v>
      </c>
      <c r="C1342" s="33" t="s">
        <v>14</v>
      </c>
      <c r="D1342" s="34" t="s">
        <v>1999</v>
      </c>
      <c r="E1342" s="35" t="str">
        <f t="shared" si="302"/>
        <v>PND'!</v>
      </c>
      <c r="F1342" s="34" t="str">
        <f t="shared" si="303"/>
        <v>C:\Users\jaime.benazar\Quorum Business Solutions\Ecopetrol Prometeo - Documents\Planning Space Implementation\3. Analysis &amp; Design\Design\FC22\DRR Jaime\QUIFA-CAJÚA\Cajua\[CAJUA_CF_SEC_New_27-Feb-2024Rev3.xlsx]D-PND'!</v>
      </c>
      <c r="G1342" s="32" t="s">
        <v>113</v>
      </c>
      <c r="H1342" s="33">
        <f t="shared" si="323"/>
        <v>22</v>
      </c>
      <c r="I1342" s="33" t="str">
        <f t="shared" si="305"/>
        <v>='C:\Users\jaime.benazar\Quorum Business Solutions\Ecopetrol Prometeo - Documents\Planning Space Implementation\3. Analysis &amp; Design\Design\FC22\DRR Jaime\QUIFA-CAJÚA\Cajua\[CAJUA_CF_SEC_New_27-Feb-2024Rev3.xlsx]D-PND'!$CA$22</v>
      </c>
      <c r="J1342" s="37" t="s">
        <v>2639</v>
      </c>
    </row>
    <row r="1343" spans="1:10" x14ac:dyDescent="0.25">
      <c r="A1343" s="32" t="s">
        <v>3</v>
      </c>
      <c r="B1343" s="32">
        <f t="shared" si="324"/>
        <v>2034</v>
      </c>
      <c r="C1343" s="33" t="s">
        <v>14</v>
      </c>
      <c r="D1343" s="34" t="s">
        <v>1999</v>
      </c>
      <c r="E1343" s="35" t="str">
        <f t="shared" si="302"/>
        <v>PND'!</v>
      </c>
      <c r="F1343" s="34" t="str">
        <f t="shared" si="303"/>
        <v>C:\Users\jaime.benazar\Quorum Business Solutions\Ecopetrol Prometeo - Documents\Planning Space Implementation\3. Analysis &amp; Design\Design\FC22\DRR Jaime\QUIFA-CAJÚA\Cajua\[CAJUA_CF_SEC_New_27-Feb-2024Rev3.xlsx]D-PND'!</v>
      </c>
      <c r="G1343" s="32" t="s">
        <v>113</v>
      </c>
      <c r="H1343" s="33">
        <f t="shared" si="323"/>
        <v>23</v>
      </c>
      <c r="I1343" s="33" t="str">
        <f t="shared" si="305"/>
        <v>='C:\Users\jaime.benazar\Quorum Business Solutions\Ecopetrol Prometeo - Documents\Planning Space Implementation\3. Analysis &amp; Design\Design\FC22\DRR Jaime\QUIFA-CAJÚA\Cajua\[CAJUA_CF_SEC_New_27-Feb-2024Rev3.xlsx]D-PND'!$CA$23</v>
      </c>
      <c r="J1343" s="37" t="s">
        <v>2640</v>
      </c>
    </row>
    <row r="1344" spans="1:10" x14ac:dyDescent="0.25">
      <c r="A1344" s="32" t="s">
        <v>3</v>
      </c>
      <c r="B1344" s="32">
        <f t="shared" si="324"/>
        <v>2035</v>
      </c>
      <c r="C1344" s="33" t="s">
        <v>14</v>
      </c>
      <c r="D1344" s="34" t="s">
        <v>1999</v>
      </c>
      <c r="E1344" s="35" t="str">
        <f t="shared" si="302"/>
        <v>PND'!</v>
      </c>
      <c r="F1344" s="34" t="str">
        <f t="shared" si="303"/>
        <v>C:\Users\jaime.benazar\Quorum Business Solutions\Ecopetrol Prometeo - Documents\Planning Space Implementation\3. Analysis &amp; Design\Design\FC22\DRR Jaime\QUIFA-CAJÚA\Cajua\[CAJUA_CF_SEC_New_27-Feb-2024Rev3.xlsx]D-PND'!</v>
      </c>
      <c r="G1344" s="32" t="s">
        <v>113</v>
      </c>
      <c r="H1344" s="33">
        <f t="shared" si="323"/>
        <v>24</v>
      </c>
      <c r="I1344" s="33" t="str">
        <f t="shared" si="305"/>
        <v>='C:\Users\jaime.benazar\Quorum Business Solutions\Ecopetrol Prometeo - Documents\Planning Space Implementation\3. Analysis &amp; Design\Design\FC22\DRR Jaime\QUIFA-CAJÚA\Cajua\[CAJUA_CF_SEC_New_27-Feb-2024Rev3.xlsx]D-PND'!$CA$24</v>
      </c>
      <c r="J1344" s="37" t="s">
        <v>2641</v>
      </c>
    </row>
    <row r="1345" spans="1:10" x14ac:dyDescent="0.25">
      <c r="A1345" s="32" t="s">
        <v>3</v>
      </c>
      <c r="B1345" s="32">
        <f t="shared" si="324"/>
        <v>2036</v>
      </c>
      <c r="C1345" s="33" t="s">
        <v>14</v>
      </c>
      <c r="D1345" s="34" t="s">
        <v>1999</v>
      </c>
      <c r="E1345" s="35" t="str">
        <f t="shared" si="302"/>
        <v>PND'!</v>
      </c>
      <c r="F1345" s="34" t="str">
        <f t="shared" si="303"/>
        <v>C:\Users\jaime.benazar\Quorum Business Solutions\Ecopetrol Prometeo - Documents\Planning Space Implementation\3. Analysis &amp; Design\Design\FC22\DRR Jaime\QUIFA-CAJÚA\Cajua\[CAJUA_CF_SEC_New_27-Feb-2024Rev3.xlsx]D-PND'!</v>
      </c>
      <c r="G1345" s="32" t="s">
        <v>113</v>
      </c>
      <c r="H1345" s="33">
        <f t="shared" si="323"/>
        <v>25</v>
      </c>
      <c r="I1345" s="33" t="str">
        <f t="shared" si="305"/>
        <v>='C:\Users\jaime.benazar\Quorum Business Solutions\Ecopetrol Prometeo - Documents\Planning Space Implementation\3. Analysis &amp; Design\Design\FC22\DRR Jaime\QUIFA-CAJÚA\Cajua\[CAJUA_CF_SEC_New_27-Feb-2024Rev3.xlsx]D-PND'!$CA$25</v>
      </c>
      <c r="J1345" s="37" t="s">
        <v>2642</v>
      </c>
    </row>
    <row r="1346" spans="1:10" x14ac:dyDescent="0.25">
      <c r="A1346" s="32" t="s">
        <v>3</v>
      </c>
      <c r="B1346" s="32">
        <f>+B1345+1</f>
        <v>2037</v>
      </c>
      <c r="C1346" s="33" t="s">
        <v>14</v>
      </c>
      <c r="D1346" s="34" t="s">
        <v>1999</v>
      </c>
      <c r="E1346" s="35" t="str">
        <f t="shared" si="302"/>
        <v>PND'!</v>
      </c>
      <c r="F1346" s="34" t="str">
        <f t="shared" si="303"/>
        <v>C:\Users\jaime.benazar\Quorum Business Solutions\Ecopetrol Prometeo - Documents\Planning Space Implementation\3. Analysis &amp; Design\Design\FC22\DRR Jaime\QUIFA-CAJÚA\Cajua\[CAJUA_CF_SEC_New_27-Feb-2024Rev3.xlsx]D-PND'!</v>
      </c>
      <c r="G1346" s="32" t="s">
        <v>113</v>
      </c>
      <c r="H1346" s="33">
        <f t="shared" si="323"/>
        <v>26</v>
      </c>
      <c r="I1346" s="33" t="str">
        <f t="shared" si="305"/>
        <v>='C:\Users\jaime.benazar\Quorum Business Solutions\Ecopetrol Prometeo - Documents\Planning Space Implementation\3. Analysis &amp; Design\Design\FC22\DRR Jaime\QUIFA-CAJÚA\Cajua\[CAJUA_CF_SEC_New_27-Feb-2024Rev3.xlsx]D-PND'!$CA$26</v>
      </c>
      <c r="J1346" s="37" t="s">
        <v>2643</v>
      </c>
    </row>
    <row r="1347" spans="1:10" x14ac:dyDescent="0.25">
      <c r="A1347" s="32" t="s">
        <v>3</v>
      </c>
      <c r="B1347" s="32">
        <f t="shared" ref="B1347:B1349" si="325">+B1346+1</f>
        <v>2038</v>
      </c>
      <c r="C1347" s="33" t="s">
        <v>14</v>
      </c>
      <c r="D1347" s="34" t="s">
        <v>1999</v>
      </c>
      <c r="E1347" s="35" t="str">
        <f t="shared" si="302"/>
        <v>PND'!</v>
      </c>
      <c r="F1347" s="34" t="str">
        <f t="shared" si="303"/>
        <v>C:\Users\jaime.benazar\Quorum Business Solutions\Ecopetrol Prometeo - Documents\Planning Space Implementation\3. Analysis &amp; Design\Design\FC22\DRR Jaime\QUIFA-CAJÚA\Cajua\[CAJUA_CF_SEC_New_27-Feb-2024Rev3.xlsx]D-PND'!</v>
      </c>
      <c r="G1347" s="32" t="s">
        <v>113</v>
      </c>
      <c r="H1347" s="33">
        <f t="shared" si="323"/>
        <v>27</v>
      </c>
      <c r="I1347" s="33" t="str">
        <f t="shared" si="305"/>
        <v>='C:\Users\jaime.benazar\Quorum Business Solutions\Ecopetrol Prometeo - Documents\Planning Space Implementation\3. Analysis &amp; Design\Design\FC22\DRR Jaime\QUIFA-CAJÚA\Cajua\[CAJUA_CF_SEC_New_27-Feb-2024Rev3.xlsx]D-PND'!$CA$27</v>
      </c>
      <c r="J1347" s="37" t="s">
        <v>2644</v>
      </c>
    </row>
    <row r="1348" spans="1:10" x14ac:dyDescent="0.25">
      <c r="A1348" s="32" t="s">
        <v>3</v>
      </c>
      <c r="B1348" s="32">
        <f t="shared" si="325"/>
        <v>2039</v>
      </c>
      <c r="C1348" s="33" t="s">
        <v>14</v>
      </c>
      <c r="D1348" s="34" t="s">
        <v>1999</v>
      </c>
      <c r="E1348" s="35" t="str">
        <f t="shared" si="302"/>
        <v>PND'!</v>
      </c>
      <c r="F1348" s="34" t="str">
        <f t="shared" si="303"/>
        <v>C:\Users\jaime.benazar\Quorum Business Solutions\Ecopetrol Prometeo - Documents\Planning Space Implementation\3. Analysis &amp; Design\Design\FC22\DRR Jaime\QUIFA-CAJÚA\Cajua\[CAJUA_CF_SEC_New_27-Feb-2024Rev3.xlsx]D-PND'!</v>
      </c>
      <c r="G1348" s="32" t="s">
        <v>113</v>
      </c>
      <c r="H1348" s="33">
        <f t="shared" si="323"/>
        <v>28</v>
      </c>
      <c r="I1348" s="33" t="str">
        <f t="shared" si="305"/>
        <v>='C:\Users\jaime.benazar\Quorum Business Solutions\Ecopetrol Prometeo - Documents\Planning Space Implementation\3. Analysis &amp; Design\Design\FC22\DRR Jaime\QUIFA-CAJÚA\Cajua\[CAJUA_CF_SEC_New_27-Feb-2024Rev3.xlsx]D-PND'!$CA$28</v>
      </c>
      <c r="J1348" s="37" t="s">
        <v>2645</v>
      </c>
    </row>
    <row r="1349" spans="1:10" x14ac:dyDescent="0.25">
      <c r="A1349" s="32" t="s">
        <v>3</v>
      </c>
      <c r="B1349" s="32">
        <f t="shared" si="325"/>
        <v>2040</v>
      </c>
      <c r="C1349" s="33" t="s">
        <v>14</v>
      </c>
      <c r="D1349" s="34" t="s">
        <v>1999</v>
      </c>
      <c r="E1349" s="35" t="str">
        <f t="shared" si="302"/>
        <v>PND'!</v>
      </c>
      <c r="F1349" s="34" t="str">
        <f t="shared" si="303"/>
        <v>C:\Users\jaime.benazar\Quorum Business Solutions\Ecopetrol Prometeo - Documents\Planning Space Implementation\3. Analysis &amp; Design\Design\FC22\DRR Jaime\QUIFA-CAJÚA\Cajua\[CAJUA_CF_SEC_New_27-Feb-2024Rev3.xlsx]D-PND'!</v>
      </c>
      <c r="G1349" s="32" t="s">
        <v>113</v>
      </c>
      <c r="H1349" s="33">
        <f t="shared" si="323"/>
        <v>29</v>
      </c>
      <c r="I1349" s="33" t="str">
        <f t="shared" si="305"/>
        <v>='C:\Users\jaime.benazar\Quorum Business Solutions\Ecopetrol Prometeo - Documents\Planning Space Implementation\3. Analysis &amp; Design\Design\FC22\DRR Jaime\QUIFA-CAJÚA\Cajua\[CAJUA_CF_SEC_New_27-Feb-2024Rev3.xlsx]D-PND'!$CA$29</v>
      </c>
      <c r="J1349" s="37" t="s">
        <v>2646</v>
      </c>
    </row>
    <row r="1350" spans="1:10" x14ac:dyDescent="0.25">
      <c r="A1350" s="32" t="s">
        <v>3</v>
      </c>
      <c r="B1350" s="32">
        <f>+B1349+1</f>
        <v>2041</v>
      </c>
      <c r="C1350" s="33" t="s">
        <v>14</v>
      </c>
      <c r="D1350" s="34" t="s">
        <v>1999</v>
      </c>
      <c r="E1350" s="35" t="str">
        <f t="shared" si="302"/>
        <v>PND'!</v>
      </c>
      <c r="F1350" s="34" t="str">
        <f t="shared" si="303"/>
        <v>C:\Users\jaime.benazar\Quorum Business Solutions\Ecopetrol Prometeo - Documents\Planning Space Implementation\3. Analysis &amp; Design\Design\FC22\DRR Jaime\QUIFA-CAJÚA\Cajua\[CAJUA_CF_SEC_New_27-Feb-2024Rev3.xlsx]D-PND'!</v>
      </c>
      <c r="G1350" s="32" t="s">
        <v>113</v>
      </c>
      <c r="H1350" s="33">
        <f t="shared" si="323"/>
        <v>30</v>
      </c>
      <c r="I1350" s="33" t="str">
        <f t="shared" si="305"/>
        <v>='C:\Users\jaime.benazar\Quorum Business Solutions\Ecopetrol Prometeo - Documents\Planning Space Implementation\3. Analysis &amp; Design\Design\FC22\DRR Jaime\QUIFA-CAJÚA\Cajua\[CAJUA_CF_SEC_New_27-Feb-2024Rev3.xlsx]D-PND'!$CA$30</v>
      </c>
      <c r="J1350" s="37" t="s">
        <v>2647</v>
      </c>
    </row>
    <row r="1351" spans="1:10" x14ac:dyDescent="0.25">
      <c r="A1351" s="32" t="s">
        <v>3</v>
      </c>
      <c r="B1351" s="32">
        <f t="shared" ref="B1351:B1352" si="326">+B1350+1</f>
        <v>2042</v>
      </c>
      <c r="C1351" s="33" t="s">
        <v>14</v>
      </c>
      <c r="D1351" s="34" t="s">
        <v>1999</v>
      </c>
      <c r="E1351" s="35" t="str">
        <f t="shared" ref="E1351:E1656" si="327">_xlfn.CONCAT(A1351,"'!")</f>
        <v>PND'!</v>
      </c>
      <c r="F1351" s="34" t="str">
        <f t="shared" ref="F1351:F1656" si="328">_xlfn.CONCAT(D1351:E1351)</f>
        <v>C:\Users\jaime.benazar\Quorum Business Solutions\Ecopetrol Prometeo - Documents\Planning Space Implementation\3. Analysis &amp; Design\Design\FC22\DRR Jaime\QUIFA-CAJÚA\Cajua\[CAJUA_CF_SEC_New_27-Feb-2024Rev3.xlsx]D-PND'!</v>
      </c>
      <c r="G1351" s="32" t="s">
        <v>113</v>
      </c>
      <c r="H1351" s="33">
        <f t="shared" si="323"/>
        <v>31</v>
      </c>
      <c r="I1351" s="33" t="str">
        <f t="shared" ref="I1351:I1656" si="329">_xlfn.CONCAT("='",F1351:H1351)</f>
        <v>='C:\Users\jaime.benazar\Quorum Business Solutions\Ecopetrol Prometeo - Documents\Planning Space Implementation\3. Analysis &amp; Design\Design\FC22\DRR Jaime\QUIFA-CAJÚA\Cajua\[CAJUA_CF_SEC_New_27-Feb-2024Rev3.xlsx]D-PND'!$CA$31</v>
      </c>
      <c r="J1351" s="37" t="s">
        <v>2648</v>
      </c>
    </row>
    <row r="1352" spans="1:10" x14ac:dyDescent="0.25">
      <c r="A1352" s="32" t="s">
        <v>3</v>
      </c>
      <c r="B1352" s="32">
        <f t="shared" si="326"/>
        <v>2043</v>
      </c>
      <c r="C1352" s="33" t="s">
        <v>14</v>
      </c>
      <c r="D1352" s="34" t="s">
        <v>1999</v>
      </c>
      <c r="E1352" s="35" t="str">
        <f t="shared" si="327"/>
        <v>PND'!</v>
      </c>
      <c r="F1352" s="34" t="str">
        <f t="shared" si="328"/>
        <v>C:\Users\jaime.benazar\Quorum Business Solutions\Ecopetrol Prometeo - Documents\Planning Space Implementation\3. Analysis &amp; Design\Design\FC22\DRR Jaime\QUIFA-CAJÚA\Cajua\[CAJUA_CF_SEC_New_27-Feb-2024Rev3.xlsx]D-PND'!</v>
      </c>
      <c r="G1352" s="32" t="s">
        <v>113</v>
      </c>
      <c r="H1352" s="33">
        <f t="shared" si="323"/>
        <v>32</v>
      </c>
      <c r="I1352" s="33" t="str">
        <f t="shared" si="329"/>
        <v>='C:\Users\jaime.benazar\Quorum Business Solutions\Ecopetrol Prometeo - Documents\Planning Space Implementation\3. Analysis &amp; Design\Design\FC22\DRR Jaime\QUIFA-CAJÚA\Cajua\[CAJUA_CF_SEC_New_27-Feb-2024Rev3.xlsx]D-PND'!$CA$32</v>
      </c>
      <c r="J1352" s="37" t="s">
        <v>2649</v>
      </c>
    </row>
    <row r="1353" spans="1:10" x14ac:dyDescent="0.25">
      <c r="A1353" s="32" t="s">
        <v>3</v>
      </c>
      <c r="B1353" s="32">
        <f>+B1352+1</f>
        <v>2044</v>
      </c>
      <c r="C1353" s="33" t="s">
        <v>14</v>
      </c>
      <c r="D1353" s="34" t="s">
        <v>1999</v>
      </c>
      <c r="E1353" s="35" t="str">
        <f t="shared" ref="E1353:E1368" si="330">_xlfn.CONCAT(A1353,"'!")</f>
        <v>PND'!</v>
      </c>
      <c r="F1353" s="34" t="str">
        <f t="shared" ref="F1353:F1368" si="331">_xlfn.CONCAT(D1353:E1353)</f>
        <v>C:\Users\jaime.benazar\Quorum Business Solutions\Ecopetrol Prometeo - Documents\Planning Space Implementation\3. Analysis &amp; Design\Design\FC22\DRR Jaime\QUIFA-CAJÚA\Cajua\[CAJUA_CF_SEC_New_27-Feb-2024Rev3.xlsx]D-PND'!</v>
      </c>
      <c r="G1353" s="32" t="s">
        <v>113</v>
      </c>
      <c r="H1353" s="33">
        <f t="shared" ref="H1353:H1368" si="332">IF(A1353&lt;&gt;A1352,12,H1352+1)</f>
        <v>33</v>
      </c>
      <c r="I1353" s="33" t="str">
        <f t="shared" ref="I1353:I1368" si="333">_xlfn.CONCAT("='",F1353:H1353)</f>
        <v>='C:\Users\jaime.benazar\Quorum Business Solutions\Ecopetrol Prometeo - Documents\Planning Space Implementation\3. Analysis &amp; Design\Design\FC22\DRR Jaime\QUIFA-CAJÚA\Cajua\[CAJUA_CF_SEC_New_27-Feb-2024Rev3.xlsx]D-PND'!$CA$33</v>
      </c>
      <c r="J1353" s="37" t="s">
        <v>2650</v>
      </c>
    </row>
    <row r="1354" spans="1:10" x14ac:dyDescent="0.25">
      <c r="A1354" s="32" t="s">
        <v>3</v>
      </c>
      <c r="B1354" s="32">
        <f t="shared" ref="B1354:B1368" si="334">+B1353+1</f>
        <v>2045</v>
      </c>
      <c r="C1354" s="33" t="s">
        <v>14</v>
      </c>
      <c r="D1354" s="34" t="s">
        <v>1999</v>
      </c>
      <c r="E1354" s="35" t="str">
        <f t="shared" si="330"/>
        <v>PND'!</v>
      </c>
      <c r="F1354" s="34" t="str">
        <f t="shared" si="331"/>
        <v>C:\Users\jaime.benazar\Quorum Business Solutions\Ecopetrol Prometeo - Documents\Planning Space Implementation\3. Analysis &amp; Design\Design\FC22\DRR Jaime\QUIFA-CAJÚA\Cajua\[CAJUA_CF_SEC_New_27-Feb-2024Rev3.xlsx]D-PND'!</v>
      </c>
      <c r="G1354" s="32" t="s">
        <v>113</v>
      </c>
      <c r="H1354" s="33">
        <f t="shared" si="332"/>
        <v>34</v>
      </c>
      <c r="I1354" s="33" t="str">
        <f t="shared" si="333"/>
        <v>='C:\Users\jaime.benazar\Quorum Business Solutions\Ecopetrol Prometeo - Documents\Planning Space Implementation\3. Analysis &amp; Design\Design\FC22\DRR Jaime\QUIFA-CAJÚA\Cajua\[CAJUA_CF_SEC_New_27-Feb-2024Rev3.xlsx]D-PND'!$CA$34</v>
      </c>
      <c r="J1354" s="37" t="s">
        <v>2651</v>
      </c>
    </row>
    <row r="1355" spans="1:10" x14ac:dyDescent="0.25">
      <c r="A1355" s="32" t="s">
        <v>3</v>
      </c>
      <c r="B1355" s="32">
        <f t="shared" si="334"/>
        <v>2046</v>
      </c>
      <c r="C1355" s="33" t="s">
        <v>14</v>
      </c>
      <c r="D1355" s="34" t="s">
        <v>1999</v>
      </c>
      <c r="E1355" s="35" t="str">
        <f t="shared" si="330"/>
        <v>PND'!</v>
      </c>
      <c r="F1355" s="34" t="str">
        <f t="shared" si="331"/>
        <v>C:\Users\jaime.benazar\Quorum Business Solutions\Ecopetrol Prometeo - Documents\Planning Space Implementation\3. Analysis &amp; Design\Design\FC22\DRR Jaime\QUIFA-CAJÚA\Cajua\[CAJUA_CF_SEC_New_27-Feb-2024Rev3.xlsx]D-PND'!</v>
      </c>
      <c r="G1355" s="32" t="s">
        <v>113</v>
      </c>
      <c r="H1355" s="33">
        <f t="shared" si="332"/>
        <v>35</v>
      </c>
      <c r="I1355" s="33" t="str">
        <f t="shared" si="333"/>
        <v>='C:\Users\jaime.benazar\Quorum Business Solutions\Ecopetrol Prometeo - Documents\Planning Space Implementation\3. Analysis &amp; Design\Design\FC22\DRR Jaime\QUIFA-CAJÚA\Cajua\[CAJUA_CF_SEC_New_27-Feb-2024Rev3.xlsx]D-PND'!$CA$35</v>
      </c>
      <c r="J1355" s="37" t="s">
        <v>2652</v>
      </c>
    </row>
    <row r="1356" spans="1:10" x14ac:dyDescent="0.25">
      <c r="A1356" s="32" t="s">
        <v>3</v>
      </c>
      <c r="B1356" s="32">
        <f t="shared" si="334"/>
        <v>2047</v>
      </c>
      <c r="C1356" s="33" t="s">
        <v>14</v>
      </c>
      <c r="D1356" s="34" t="s">
        <v>1999</v>
      </c>
      <c r="E1356" s="35" t="str">
        <f t="shared" si="330"/>
        <v>PND'!</v>
      </c>
      <c r="F1356" s="34" t="str">
        <f t="shared" si="331"/>
        <v>C:\Users\jaime.benazar\Quorum Business Solutions\Ecopetrol Prometeo - Documents\Planning Space Implementation\3. Analysis &amp; Design\Design\FC22\DRR Jaime\QUIFA-CAJÚA\Cajua\[CAJUA_CF_SEC_New_27-Feb-2024Rev3.xlsx]D-PND'!</v>
      </c>
      <c r="G1356" s="32" t="s">
        <v>113</v>
      </c>
      <c r="H1356" s="33">
        <f t="shared" si="332"/>
        <v>36</v>
      </c>
      <c r="I1356" s="33" t="str">
        <f t="shared" si="333"/>
        <v>='C:\Users\jaime.benazar\Quorum Business Solutions\Ecopetrol Prometeo - Documents\Planning Space Implementation\3. Analysis &amp; Design\Design\FC22\DRR Jaime\QUIFA-CAJÚA\Cajua\[CAJUA_CF_SEC_New_27-Feb-2024Rev3.xlsx]D-PND'!$CA$36</v>
      </c>
      <c r="J1356" s="37" t="s">
        <v>2653</v>
      </c>
    </row>
    <row r="1357" spans="1:10" x14ac:dyDescent="0.25">
      <c r="A1357" s="32" t="s">
        <v>3</v>
      </c>
      <c r="B1357" s="32">
        <f t="shared" si="334"/>
        <v>2048</v>
      </c>
      <c r="C1357" s="33" t="s">
        <v>14</v>
      </c>
      <c r="D1357" s="34" t="s">
        <v>1999</v>
      </c>
      <c r="E1357" s="35" t="str">
        <f t="shared" si="330"/>
        <v>PND'!</v>
      </c>
      <c r="F1357" s="34" t="str">
        <f t="shared" si="331"/>
        <v>C:\Users\jaime.benazar\Quorum Business Solutions\Ecopetrol Prometeo - Documents\Planning Space Implementation\3. Analysis &amp; Design\Design\FC22\DRR Jaime\QUIFA-CAJÚA\Cajua\[CAJUA_CF_SEC_New_27-Feb-2024Rev3.xlsx]D-PND'!</v>
      </c>
      <c r="G1357" s="32" t="s">
        <v>113</v>
      </c>
      <c r="H1357" s="33">
        <f t="shared" si="332"/>
        <v>37</v>
      </c>
      <c r="I1357" s="33" t="str">
        <f t="shared" si="333"/>
        <v>='C:\Users\jaime.benazar\Quorum Business Solutions\Ecopetrol Prometeo - Documents\Planning Space Implementation\3. Analysis &amp; Design\Design\FC22\DRR Jaime\QUIFA-CAJÚA\Cajua\[CAJUA_CF_SEC_New_27-Feb-2024Rev3.xlsx]D-PND'!$CA$37</v>
      </c>
      <c r="J1357" s="37" t="s">
        <v>2654</v>
      </c>
    </row>
    <row r="1358" spans="1:10" x14ac:dyDescent="0.25">
      <c r="A1358" s="32" t="s">
        <v>3</v>
      </c>
      <c r="B1358" s="32">
        <f t="shared" si="334"/>
        <v>2049</v>
      </c>
      <c r="C1358" s="33" t="s">
        <v>14</v>
      </c>
      <c r="D1358" s="34" t="s">
        <v>1999</v>
      </c>
      <c r="E1358" s="35" t="str">
        <f t="shared" si="330"/>
        <v>PND'!</v>
      </c>
      <c r="F1358" s="34" t="str">
        <f t="shared" si="331"/>
        <v>C:\Users\jaime.benazar\Quorum Business Solutions\Ecopetrol Prometeo - Documents\Planning Space Implementation\3. Analysis &amp; Design\Design\FC22\DRR Jaime\QUIFA-CAJÚA\Cajua\[CAJUA_CF_SEC_New_27-Feb-2024Rev3.xlsx]D-PND'!</v>
      </c>
      <c r="G1358" s="32" t="s">
        <v>113</v>
      </c>
      <c r="H1358" s="33">
        <f t="shared" si="332"/>
        <v>38</v>
      </c>
      <c r="I1358" s="33" t="str">
        <f t="shared" si="333"/>
        <v>='C:\Users\jaime.benazar\Quorum Business Solutions\Ecopetrol Prometeo - Documents\Planning Space Implementation\3. Analysis &amp; Design\Design\FC22\DRR Jaime\QUIFA-CAJÚA\Cajua\[CAJUA_CF_SEC_New_27-Feb-2024Rev3.xlsx]D-PND'!$CA$38</v>
      </c>
      <c r="J1358" s="37" t="s">
        <v>2655</v>
      </c>
    </row>
    <row r="1359" spans="1:10" x14ac:dyDescent="0.25">
      <c r="A1359" s="32" t="s">
        <v>3</v>
      </c>
      <c r="B1359" s="32">
        <f t="shared" si="334"/>
        <v>2050</v>
      </c>
      <c r="C1359" s="33" t="s">
        <v>14</v>
      </c>
      <c r="D1359" s="34" t="s">
        <v>1999</v>
      </c>
      <c r="E1359" s="35" t="str">
        <f t="shared" si="330"/>
        <v>PND'!</v>
      </c>
      <c r="F1359" s="34" t="str">
        <f t="shared" si="331"/>
        <v>C:\Users\jaime.benazar\Quorum Business Solutions\Ecopetrol Prometeo - Documents\Planning Space Implementation\3. Analysis &amp; Design\Design\FC22\DRR Jaime\QUIFA-CAJÚA\Cajua\[CAJUA_CF_SEC_New_27-Feb-2024Rev3.xlsx]D-PND'!</v>
      </c>
      <c r="G1359" s="32" t="s">
        <v>113</v>
      </c>
      <c r="H1359" s="33">
        <f t="shared" si="332"/>
        <v>39</v>
      </c>
      <c r="I1359" s="33" t="str">
        <f t="shared" si="333"/>
        <v>='C:\Users\jaime.benazar\Quorum Business Solutions\Ecopetrol Prometeo - Documents\Planning Space Implementation\3. Analysis &amp; Design\Design\FC22\DRR Jaime\QUIFA-CAJÚA\Cajua\[CAJUA_CF_SEC_New_27-Feb-2024Rev3.xlsx]D-PND'!$CA$39</v>
      </c>
      <c r="J1359" s="37" t="s">
        <v>2656</v>
      </c>
    </row>
    <row r="1360" spans="1:10" x14ac:dyDescent="0.25">
      <c r="A1360" s="32" t="s">
        <v>3</v>
      </c>
      <c r="B1360" s="32">
        <f t="shared" si="334"/>
        <v>2051</v>
      </c>
      <c r="C1360" s="33" t="s">
        <v>14</v>
      </c>
      <c r="D1360" s="34" t="s">
        <v>1999</v>
      </c>
      <c r="E1360" s="35" t="str">
        <f t="shared" si="330"/>
        <v>PND'!</v>
      </c>
      <c r="F1360" s="34" t="str">
        <f t="shared" si="331"/>
        <v>C:\Users\jaime.benazar\Quorum Business Solutions\Ecopetrol Prometeo - Documents\Planning Space Implementation\3. Analysis &amp; Design\Design\FC22\DRR Jaime\QUIFA-CAJÚA\Cajua\[CAJUA_CF_SEC_New_27-Feb-2024Rev3.xlsx]D-PND'!</v>
      </c>
      <c r="G1360" s="32" t="s">
        <v>113</v>
      </c>
      <c r="H1360" s="33">
        <f t="shared" si="332"/>
        <v>40</v>
      </c>
      <c r="I1360" s="33" t="str">
        <f t="shared" si="333"/>
        <v>='C:\Users\jaime.benazar\Quorum Business Solutions\Ecopetrol Prometeo - Documents\Planning Space Implementation\3. Analysis &amp; Design\Design\FC22\DRR Jaime\QUIFA-CAJÚA\Cajua\[CAJUA_CF_SEC_New_27-Feb-2024Rev3.xlsx]D-PND'!$CA$40</v>
      </c>
      <c r="J1360" s="37" t="s">
        <v>2657</v>
      </c>
    </row>
    <row r="1361" spans="1:10" x14ac:dyDescent="0.25">
      <c r="A1361" s="32" t="s">
        <v>3</v>
      </c>
      <c r="B1361" s="32">
        <f t="shared" si="334"/>
        <v>2052</v>
      </c>
      <c r="C1361" s="33" t="s">
        <v>14</v>
      </c>
      <c r="D1361" s="34" t="s">
        <v>1999</v>
      </c>
      <c r="E1361" s="35" t="str">
        <f t="shared" si="330"/>
        <v>PND'!</v>
      </c>
      <c r="F1361" s="34" t="str">
        <f t="shared" si="331"/>
        <v>C:\Users\jaime.benazar\Quorum Business Solutions\Ecopetrol Prometeo - Documents\Planning Space Implementation\3. Analysis &amp; Design\Design\FC22\DRR Jaime\QUIFA-CAJÚA\Cajua\[CAJUA_CF_SEC_New_27-Feb-2024Rev3.xlsx]D-PND'!</v>
      </c>
      <c r="G1361" s="32" t="s">
        <v>113</v>
      </c>
      <c r="H1361" s="33">
        <f t="shared" si="332"/>
        <v>41</v>
      </c>
      <c r="I1361" s="33" t="str">
        <f t="shared" si="333"/>
        <v>='C:\Users\jaime.benazar\Quorum Business Solutions\Ecopetrol Prometeo - Documents\Planning Space Implementation\3. Analysis &amp; Design\Design\FC22\DRR Jaime\QUIFA-CAJÚA\Cajua\[CAJUA_CF_SEC_New_27-Feb-2024Rev3.xlsx]D-PND'!$CA$41</v>
      </c>
      <c r="J1361" s="37" t="s">
        <v>2658</v>
      </c>
    </row>
    <row r="1362" spans="1:10" x14ac:dyDescent="0.25">
      <c r="A1362" s="32" t="s">
        <v>3</v>
      </c>
      <c r="B1362" s="32">
        <f t="shared" si="334"/>
        <v>2053</v>
      </c>
      <c r="C1362" s="33" t="s">
        <v>14</v>
      </c>
      <c r="D1362" s="34" t="s">
        <v>1999</v>
      </c>
      <c r="E1362" s="35" t="str">
        <f t="shared" si="330"/>
        <v>PND'!</v>
      </c>
      <c r="F1362" s="34" t="str">
        <f t="shared" si="331"/>
        <v>C:\Users\jaime.benazar\Quorum Business Solutions\Ecopetrol Prometeo - Documents\Planning Space Implementation\3. Analysis &amp; Design\Design\FC22\DRR Jaime\QUIFA-CAJÚA\Cajua\[CAJUA_CF_SEC_New_27-Feb-2024Rev3.xlsx]D-PND'!</v>
      </c>
      <c r="G1362" s="32" t="s">
        <v>113</v>
      </c>
      <c r="H1362" s="33">
        <f t="shared" si="332"/>
        <v>42</v>
      </c>
      <c r="I1362" s="33" t="str">
        <f t="shared" si="333"/>
        <v>='C:\Users\jaime.benazar\Quorum Business Solutions\Ecopetrol Prometeo - Documents\Planning Space Implementation\3. Analysis &amp; Design\Design\FC22\DRR Jaime\QUIFA-CAJÚA\Cajua\[CAJUA_CF_SEC_New_27-Feb-2024Rev3.xlsx]D-PND'!$CA$42</v>
      </c>
      <c r="J1362" s="37" t="s">
        <v>2659</v>
      </c>
    </row>
    <row r="1363" spans="1:10" x14ac:dyDescent="0.25">
      <c r="A1363" s="32" t="s">
        <v>3</v>
      </c>
      <c r="B1363" s="32">
        <f t="shared" si="334"/>
        <v>2054</v>
      </c>
      <c r="C1363" s="33" t="s">
        <v>14</v>
      </c>
      <c r="D1363" s="34" t="s">
        <v>1999</v>
      </c>
      <c r="E1363" s="35" t="str">
        <f t="shared" si="330"/>
        <v>PND'!</v>
      </c>
      <c r="F1363" s="34" t="str">
        <f t="shared" si="331"/>
        <v>C:\Users\jaime.benazar\Quorum Business Solutions\Ecopetrol Prometeo - Documents\Planning Space Implementation\3. Analysis &amp; Design\Design\FC22\DRR Jaime\QUIFA-CAJÚA\Cajua\[CAJUA_CF_SEC_New_27-Feb-2024Rev3.xlsx]D-PND'!</v>
      </c>
      <c r="G1363" s="32" t="s">
        <v>113</v>
      </c>
      <c r="H1363" s="33">
        <f t="shared" si="332"/>
        <v>43</v>
      </c>
      <c r="I1363" s="33" t="str">
        <f t="shared" si="333"/>
        <v>='C:\Users\jaime.benazar\Quorum Business Solutions\Ecopetrol Prometeo - Documents\Planning Space Implementation\3. Analysis &amp; Design\Design\FC22\DRR Jaime\QUIFA-CAJÚA\Cajua\[CAJUA_CF_SEC_New_27-Feb-2024Rev3.xlsx]D-PND'!$CA$43</v>
      </c>
      <c r="J1363" s="37" t="s">
        <v>2660</v>
      </c>
    </row>
    <row r="1364" spans="1:10" x14ac:dyDescent="0.25">
      <c r="A1364" s="32" t="s">
        <v>3</v>
      </c>
      <c r="B1364" s="32">
        <f t="shared" si="334"/>
        <v>2055</v>
      </c>
      <c r="C1364" s="33" t="s">
        <v>14</v>
      </c>
      <c r="D1364" s="34" t="s">
        <v>1999</v>
      </c>
      <c r="E1364" s="35" t="str">
        <f t="shared" si="330"/>
        <v>PND'!</v>
      </c>
      <c r="F1364" s="34" t="str">
        <f t="shared" si="331"/>
        <v>C:\Users\jaime.benazar\Quorum Business Solutions\Ecopetrol Prometeo - Documents\Planning Space Implementation\3. Analysis &amp; Design\Design\FC22\DRR Jaime\QUIFA-CAJÚA\Cajua\[CAJUA_CF_SEC_New_27-Feb-2024Rev3.xlsx]D-PND'!</v>
      </c>
      <c r="G1364" s="32" t="s">
        <v>113</v>
      </c>
      <c r="H1364" s="33">
        <f t="shared" si="332"/>
        <v>44</v>
      </c>
      <c r="I1364" s="33" t="str">
        <f t="shared" si="333"/>
        <v>='C:\Users\jaime.benazar\Quorum Business Solutions\Ecopetrol Prometeo - Documents\Planning Space Implementation\3. Analysis &amp; Design\Design\FC22\DRR Jaime\QUIFA-CAJÚA\Cajua\[CAJUA_CF_SEC_New_27-Feb-2024Rev3.xlsx]D-PND'!$CA$44</v>
      </c>
      <c r="J1364" s="37" t="s">
        <v>2661</v>
      </c>
    </row>
    <row r="1365" spans="1:10" x14ac:dyDescent="0.25">
      <c r="A1365" s="32" t="s">
        <v>3</v>
      </c>
      <c r="B1365" s="32">
        <f t="shared" si="334"/>
        <v>2056</v>
      </c>
      <c r="C1365" s="33" t="s">
        <v>14</v>
      </c>
      <c r="D1365" s="34" t="s">
        <v>1999</v>
      </c>
      <c r="E1365" s="35" t="str">
        <f t="shared" si="330"/>
        <v>PND'!</v>
      </c>
      <c r="F1365" s="34" t="str">
        <f t="shared" si="331"/>
        <v>C:\Users\jaime.benazar\Quorum Business Solutions\Ecopetrol Prometeo - Documents\Planning Space Implementation\3. Analysis &amp; Design\Design\FC22\DRR Jaime\QUIFA-CAJÚA\Cajua\[CAJUA_CF_SEC_New_27-Feb-2024Rev3.xlsx]D-PND'!</v>
      </c>
      <c r="G1365" s="32" t="s">
        <v>113</v>
      </c>
      <c r="H1365" s="33">
        <f t="shared" si="332"/>
        <v>45</v>
      </c>
      <c r="I1365" s="33" t="str">
        <f t="shared" si="333"/>
        <v>='C:\Users\jaime.benazar\Quorum Business Solutions\Ecopetrol Prometeo - Documents\Planning Space Implementation\3. Analysis &amp; Design\Design\FC22\DRR Jaime\QUIFA-CAJÚA\Cajua\[CAJUA_CF_SEC_New_27-Feb-2024Rev3.xlsx]D-PND'!$CA$45</v>
      </c>
      <c r="J1365" s="37" t="s">
        <v>2662</v>
      </c>
    </row>
    <row r="1366" spans="1:10" x14ac:dyDescent="0.25">
      <c r="A1366" s="32" t="s">
        <v>3</v>
      </c>
      <c r="B1366" s="32">
        <f t="shared" si="334"/>
        <v>2057</v>
      </c>
      <c r="C1366" s="33" t="s">
        <v>14</v>
      </c>
      <c r="D1366" s="34" t="s">
        <v>1999</v>
      </c>
      <c r="E1366" s="35" t="str">
        <f t="shared" si="330"/>
        <v>PND'!</v>
      </c>
      <c r="F1366" s="34" t="str">
        <f t="shared" si="331"/>
        <v>C:\Users\jaime.benazar\Quorum Business Solutions\Ecopetrol Prometeo - Documents\Planning Space Implementation\3. Analysis &amp; Design\Design\FC22\DRR Jaime\QUIFA-CAJÚA\Cajua\[CAJUA_CF_SEC_New_27-Feb-2024Rev3.xlsx]D-PND'!</v>
      </c>
      <c r="G1366" s="32" t="s">
        <v>113</v>
      </c>
      <c r="H1366" s="33">
        <f t="shared" si="332"/>
        <v>46</v>
      </c>
      <c r="I1366" s="33" t="str">
        <f t="shared" si="333"/>
        <v>='C:\Users\jaime.benazar\Quorum Business Solutions\Ecopetrol Prometeo - Documents\Planning Space Implementation\3. Analysis &amp; Design\Design\FC22\DRR Jaime\QUIFA-CAJÚA\Cajua\[CAJUA_CF_SEC_New_27-Feb-2024Rev3.xlsx]D-PND'!$CA$46</v>
      </c>
      <c r="J1366" s="37" t="s">
        <v>2663</v>
      </c>
    </row>
    <row r="1367" spans="1:10" x14ac:dyDescent="0.25">
      <c r="A1367" s="32" t="s">
        <v>3</v>
      </c>
      <c r="B1367" s="32">
        <f t="shared" si="334"/>
        <v>2058</v>
      </c>
      <c r="C1367" s="33" t="s">
        <v>14</v>
      </c>
      <c r="D1367" s="34" t="s">
        <v>1999</v>
      </c>
      <c r="E1367" s="35" t="str">
        <f t="shared" si="330"/>
        <v>PND'!</v>
      </c>
      <c r="F1367" s="34" t="str">
        <f t="shared" si="331"/>
        <v>C:\Users\jaime.benazar\Quorum Business Solutions\Ecopetrol Prometeo - Documents\Planning Space Implementation\3. Analysis &amp; Design\Design\FC22\DRR Jaime\QUIFA-CAJÚA\Cajua\[CAJUA_CF_SEC_New_27-Feb-2024Rev3.xlsx]D-PND'!</v>
      </c>
      <c r="G1367" s="32" t="s">
        <v>113</v>
      </c>
      <c r="H1367" s="33">
        <f t="shared" si="332"/>
        <v>47</v>
      </c>
      <c r="I1367" s="33" t="str">
        <f t="shared" si="333"/>
        <v>='C:\Users\jaime.benazar\Quorum Business Solutions\Ecopetrol Prometeo - Documents\Planning Space Implementation\3. Analysis &amp; Design\Design\FC22\DRR Jaime\QUIFA-CAJÚA\Cajua\[CAJUA_CF_SEC_New_27-Feb-2024Rev3.xlsx]D-PND'!$CA$47</v>
      </c>
      <c r="J1367" s="37" t="s">
        <v>2664</v>
      </c>
    </row>
    <row r="1368" spans="1:10" x14ac:dyDescent="0.25">
      <c r="A1368" s="32" t="s">
        <v>3</v>
      </c>
      <c r="B1368" s="32">
        <f t="shared" si="334"/>
        <v>2059</v>
      </c>
      <c r="C1368" s="33" t="s">
        <v>14</v>
      </c>
      <c r="D1368" s="34" t="s">
        <v>1999</v>
      </c>
      <c r="E1368" s="35" t="str">
        <f t="shared" si="330"/>
        <v>PND'!</v>
      </c>
      <c r="F1368" s="34" t="str">
        <f t="shared" si="331"/>
        <v>C:\Users\jaime.benazar\Quorum Business Solutions\Ecopetrol Prometeo - Documents\Planning Space Implementation\3. Analysis &amp; Design\Design\FC22\DRR Jaime\QUIFA-CAJÚA\Cajua\[CAJUA_CF_SEC_New_27-Feb-2024Rev3.xlsx]D-PND'!</v>
      </c>
      <c r="G1368" s="32" t="s">
        <v>113</v>
      </c>
      <c r="H1368" s="33">
        <f t="shared" si="332"/>
        <v>48</v>
      </c>
      <c r="I1368" s="33" t="str">
        <f t="shared" si="333"/>
        <v>='C:\Users\jaime.benazar\Quorum Business Solutions\Ecopetrol Prometeo - Documents\Planning Space Implementation\3. Analysis &amp; Design\Design\FC22\DRR Jaime\QUIFA-CAJÚA\Cajua\[CAJUA_CF_SEC_New_27-Feb-2024Rev3.xlsx]D-PND'!$CA$48</v>
      </c>
      <c r="J1368" s="37" t="s">
        <v>2665</v>
      </c>
    </row>
    <row r="1369" spans="1:10" x14ac:dyDescent="0.25">
      <c r="A1369" s="32" t="s">
        <v>28</v>
      </c>
      <c r="B1369" s="32"/>
      <c r="C1369" s="33" t="s">
        <v>14</v>
      </c>
      <c r="D1369" s="34"/>
      <c r="E1369" s="35"/>
      <c r="F1369" s="34"/>
      <c r="G1369" s="32"/>
      <c r="H1369" s="33"/>
      <c r="I1369" s="33"/>
      <c r="J1369" s="33"/>
    </row>
    <row r="1370" spans="1:10" x14ac:dyDescent="0.25">
      <c r="A1370" s="32" t="s">
        <v>99</v>
      </c>
      <c r="B1370" s="32">
        <v>2023</v>
      </c>
      <c r="C1370" s="33" t="s">
        <v>14</v>
      </c>
      <c r="D1370" s="34" t="s">
        <v>1999</v>
      </c>
      <c r="E1370" s="35" t="str">
        <f t="shared" ref="E1370:E1390" si="335">_xlfn.CONCAT(A1370,"'!")</f>
        <v>PRBDP'!</v>
      </c>
      <c r="F1370" s="34" t="str">
        <f t="shared" ref="F1370:F1390" si="336">_xlfn.CONCAT(D1370:E1370)</f>
        <v>C:\Users\jaime.benazar\Quorum Business Solutions\Ecopetrol Prometeo - Documents\Planning Space Implementation\3. Analysis &amp; Design\Design\FC22\DRR Jaime\QUIFA-CAJÚA\Cajua\[CAJUA_CF_SEC_New_27-Feb-2024Rev3.xlsx]D-PRBDP'!</v>
      </c>
      <c r="G1370" s="32" t="s">
        <v>113</v>
      </c>
      <c r="H1370" s="33"/>
      <c r="I1370" s="33"/>
      <c r="J1370" s="37"/>
    </row>
    <row r="1371" spans="1:10" x14ac:dyDescent="0.25">
      <c r="A1371" s="32" t="s">
        <v>99</v>
      </c>
      <c r="B1371" s="32">
        <f>+B1370+1</f>
        <v>2024</v>
      </c>
      <c r="C1371" s="33" t="s">
        <v>14</v>
      </c>
      <c r="D1371" s="34" t="s">
        <v>1999</v>
      </c>
      <c r="E1371" s="35" t="str">
        <f t="shared" si="335"/>
        <v>PRBDP'!</v>
      </c>
      <c r="F1371" s="34" t="str">
        <f t="shared" si="336"/>
        <v>C:\Users\jaime.benazar\Quorum Business Solutions\Ecopetrol Prometeo - Documents\Planning Space Implementation\3. Analysis &amp; Design\Design\FC22\DRR Jaime\QUIFA-CAJÚA\Cajua\[CAJUA_CF_SEC_New_27-Feb-2024Rev3.xlsx]D-PRBDP'!</v>
      </c>
      <c r="G1371" s="32" t="s">
        <v>113</v>
      </c>
      <c r="H1371" s="33"/>
      <c r="I1371" s="33"/>
      <c r="J1371" s="37"/>
    </row>
    <row r="1372" spans="1:10" x14ac:dyDescent="0.25">
      <c r="A1372" s="32" t="s">
        <v>99</v>
      </c>
      <c r="B1372" s="32">
        <f t="shared" ref="B1372:B1383" si="337">+B1371+1</f>
        <v>2025</v>
      </c>
      <c r="C1372" s="33" t="s">
        <v>14</v>
      </c>
      <c r="D1372" s="34" t="s">
        <v>1999</v>
      </c>
      <c r="E1372" s="35" t="str">
        <f t="shared" si="335"/>
        <v>PRBDP'!</v>
      </c>
      <c r="F1372" s="34" t="str">
        <f t="shared" si="336"/>
        <v>C:\Users\jaime.benazar\Quorum Business Solutions\Ecopetrol Prometeo - Documents\Planning Space Implementation\3. Analysis &amp; Design\Design\FC22\DRR Jaime\QUIFA-CAJÚA\Cajua\[CAJUA_CF_SEC_New_27-Feb-2024Rev3.xlsx]D-PRBDP'!</v>
      </c>
      <c r="G1372" s="32" t="s">
        <v>113</v>
      </c>
      <c r="H1372" s="33"/>
      <c r="I1372" s="33"/>
      <c r="J1372" s="37"/>
    </row>
    <row r="1373" spans="1:10" x14ac:dyDescent="0.25">
      <c r="A1373" s="32" t="s">
        <v>99</v>
      </c>
      <c r="B1373" s="32">
        <f t="shared" si="337"/>
        <v>2026</v>
      </c>
      <c r="C1373" s="33" t="s">
        <v>14</v>
      </c>
      <c r="D1373" s="34" t="s">
        <v>1999</v>
      </c>
      <c r="E1373" s="35" t="str">
        <f t="shared" si="335"/>
        <v>PRBDP'!</v>
      </c>
      <c r="F1373" s="34" t="str">
        <f t="shared" si="336"/>
        <v>C:\Users\jaime.benazar\Quorum Business Solutions\Ecopetrol Prometeo - Documents\Planning Space Implementation\3. Analysis &amp; Design\Design\FC22\DRR Jaime\QUIFA-CAJÚA\Cajua\[CAJUA_CF_SEC_New_27-Feb-2024Rev3.xlsx]D-PRBDP'!</v>
      </c>
      <c r="G1373" s="32" t="s">
        <v>113</v>
      </c>
      <c r="H1373" s="33"/>
      <c r="I1373" s="33"/>
      <c r="J1373" s="37"/>
    </row>
    <row r="1374" spans="1:10" x14ac:dyDescent="0.25">
      <c r="A1374" s="32" t="s">
        <v>99</v>
      </c>
      <c r="B1374" s="32">
        <f t="shared" si="337"/>
        <v>2027</v>
      </c>
      <c r="C1374" s="33" t="s">
        <v>14</v>
      </c>
      <c r="D1374" s="34" t="s">
        <v>1999</v>
      </c>
      <c r="E1374" s="35" t="str">
        <f t="shared" si="335"/>
        <v>PRBDP'!</v>
      </c>
      <c r="F1374" s="34" t="str">
        <f t="shared" si="336"/>
        <v>C:\Users\jaime.benazar\Quorum Business Solutions\Ecopetrol Prometeo - Documents\Planning Space Implementation\3. Analysis &amp; Design\Design\FC22\DRR Jaime\QUIFA-CAJÚA\Cajua\[CAJUA_CF_SEC_New_27-Feb-2024Rev3.xlsx]D-PRBDP'!</v>
      </c>
      <c r="G1374" s="32" t="s">
        <v>113</v>
      </c>
      <c r="H1374" s="33"/>
      <c r="I1374" s="33"/>
      <c r="J1374" s="37"/>
    </row>
    <row r="1375" spans="1:10" x14ac:dyDescent="0.25">
      <c r="A1375" s="32" t="s">
        <v>99</v>
      </c>
      <c r="B1375" s="32">
        <f t="shared" si="337"/>
        <v>2028</v>
      </c>
      <c r="C1375" s="33" t="s">
        <v>14</v>
      </c>
      <c r="D1375" s="34" t="s">
        <v>1999</v>
      </c>
      <c r="E1375" s="35" t="str">
        <f t="shared" si="335"/>
        <v>PRBDP'!</v>
      </c>
      <c r="F1375" s="34" t="str">
        <f t="shared" si="336"/>
        <v>C:\Users\jaime.benazar\Quorum Business Solutions\Ecopetrol Prometeo - Documents\Planning Space Implementation\3. Analysis &amp; Design\Design\FC22\DRR Jaime\QUIFA-CAJÚA\Cajua\[CAJUA_CF_SEC_New_27-Feb-2024Rev3.xlsx]D-PRBDP'!</v>
      </c>
      <c r="G1375" s="32" t="s">
        <v>113</v>
      </c>
      <c r="H1375" s="33"/>
      <c r="I1375" s="33"/>
      <c r="J1375" s="37"/>
    </row>
    <row r="1376" spans="1:10" x14ac:dyDescent="0.25">
      <c r="A1376" s="32" t="s">
        <v>99</v>
      </c>
      <c r="B1376" s="32">
        <f t="shared" si="337"/>
        <v>2029</v>
      </c>
      <c r="C1376" s="33" t="s">
        <v>14</v>
      </c>
      <c r="D1376" s="34" t="s">
        <v>1999</v>
      </c>
      <c r="E1376" s="35" t="str">
        <f t="shared" si="335"/>
        <v>PRBDP'!</v>
      </c>
      <c r="F1376" s="34" t="str">
        <f t="shared" si="336"/>
        <v>C:\Users\jaime.benazar\Quorum Business Solutions\Ecopetrol Prometeo - Documents\Planning Space Implementation\3. Analysis &amp; Design\Design\FC22\DRR Jaime\QUIFA-CAJÚA\Cajua\[CAJUA_CF_SEC_New_27-Feb-2024Rev3.xlsx]D-PRBDP'!</v>
      </c>
      <c r="G1376" s="32" t="s">
        <v>113</v>
      </c>
      <c r="H1376" s="33"/>
      <c r="I1376" s="33"/>
      <c r="J1376" s="37"/>
    </row>
    <row r="1377" spans="1:10" x14ac:dyDescent="0.25">
      <c r="A1377" s="32" t="s">
        <v>99</v>
      </c>
      <c r="B1377" s="32">
        <f t="shared" si="337"/>
        <v>2030</v>
      </c>
      <c r="C1377" s="33" t="s">
        <v>14</v>
      </c>
      <c r="D1377" s="34" t="s">
        <v>1999</v>
      </c>
      <c r="E1377" s="35" t="str">
        <f t="shared" si="335"/>
        <v>PRBDP'!</v>
      </c>
      <c r="F1377" s="34" t="str">
        <f t="shared" si="336"/>
        <v>C:\Users\jaime.benazar\Quorum Business Solutions\Ecopetrol Prometeo - Documents\Planning Space Implementation\3. Analysis &amp; Design\Design\FC22\DRR Jaime\QUIFA-CAJÚA\Cajua\[CAJUA_CF_SEC_New_27-Feb-2024Rev3.xlsx]D-PRBDP'!</v>
      </c>
      <c r="G1377" s="32" t="s">
        <v>113</v>
      </c>
      <c r="H1377" s="33"/>
      <c r="I1377" s="33"/>
      <c r="J1377" s="37"/>
    </row>
    <row r="1378" spans="1:10" x14ac:dyDescent="0.25">
      <c r="A1378" s="32" t="s">
        <v>99</v>
      </c>
      <c r="B1378" s="32">
        <f t="shared" si="337"/>
        <v>2031</v>
      </c>
      <c r="C1378" s="33" t="s">
        <v>14</v>
      </c>
      <c r="D1378" s="34" t="s">
        <v>1999</v>
      </c>
      <c r="E1378" s="35" t="str">
        <f t="shared" si="335"/>
        <v>PRBDP'!</v>
      </c>
      <c r="F1378" s="34" t="str">
        <f t="shared" si="336"/>
        <v>C:\Users\jaime.benazar\Quorum Business Solutions\Ecopetrol Prometeo - Documents\Planning Space Implementation\3. Analysis &amp; Design\Design\FC22\DRR Jaime\QUIFA-CAJÚA\Cajua\[CAJUA_CF_SEC_New_27-Feb-2024Rev3.xlsx]D-PRBDP'!</v>
      </c>
      <c r="G1378" s="32" t="s">
        <v>113</v>
      </c>
      <c r="H1378" s="33"/>
      <c r="I1378" s="33"/>
      <c r="J1378" s="37"/>
    </row>
    <row r="1379" spans="1:10" x14ac:dyDescent="0.25">
      <c r="A1379" s="32" t="s">
        <v>99</v>
      </c>
      <c r="B1379" s="32">
        <f t="shared" si="337"/>
        <v>2032</v>
      </c>
      <c r="C1379" s="33" t="s">
        <v>14</v>
      </c>
      <c r="D1379" s="34" t="s">
        <v>1999</v>
      </c>
      <c r="E1379" s="35" t="str">
        <f t="shared" si="335"/>
        <v>PRBDP'!</v>
      </c>
      <c r="F1379" s="34" t="str">
        <f t="shared" si="336"/>
        <v>C:\Users\jaime.benazar\Quorum Business Solutions\Ecopetrol Prometeo - Documents\Planning Space Implementation\3. Analysis &amp; Design\Design\FC22\DRR Jaime\QUIFA-CAJÚA\Cajua\[CAJUA_CF_SEC_New_27-Feb-2024Rev3.xlsx]D-PRBDP'!</v>
      </c>
      <c r="G1379" s="32" t="s">
        <v>113</v>
      </c>
      <c r="H1379" s="33"/>
      <c r="I1379" s="33"/>
      <c r="J1379" s="37"/>
    </row>
    <row r="1380" spans="1:10" x14ac:dyDescent="0.25">
      <c r="A1380" s="32" t="s">
        <v>99</v>
      </c>
      <c r="B1380" s="32">
        <f t="shared" si="337"/>
        <v>2033</v>
      </c>
      <c r="C1380" s="33" t="s">
        <v>14</v>
      </c>
      <c r="D1380" s="34" t="s">
        <v>1999</v>
      </c>
      <c r="E1380" s="35" t="str">
        <f t="shared" si="335"/>
        <v>PRBDP'!</v>
      </c>
      <c r="F1380" s="34" t="str">
        <f t="shared" si="336"/>
        <v>C:\Users\jaime.benazar\Quorum Business Solutions\Ecopetrol Prometeo - Documents\Planning Space Implementation\3. Analysis &amp; Design\Design\FC22\DRR Jaime\QUIFA-CAJÚA\Cajua\[CAJUA_CF_SEC_New_27-Feb-2024Rev3.xlsx]D-PRBDP'!</v>
      </c>
      <c r="G1380" s="32" t="s">
        <v>113</v>
      </c>
      <c r="H1380" s="33"/>
      <c r="I1380" s="33"/>
      <c r="J1380" s="37"/>
    </row>
    <row r="1381" spans="1:10" x14ac:dyDescent="0.25">
      <c r="A1381" s="32" t="s">
        <v>99</v>
      </c>
      <c r="B1381" s="32">
        <f t="shared" si="337"/>
        <v>2034</v>
      </c>
      <c r="C1381" s="33" t="s">
        <v>14</v>
      </c>
      <c r="D1381" s="34" t="s">
        <v>1999</v>
      </c>
      <c r="E1381" s="35" t="str">
        <f t="shared" si="335"/>
        <v>PRBDP'!</v>
      </c>
      <c r="F1381" s="34" t="str">
        <f t="shared" si="336"/>
        <v>C:\Users\jaime.benazar\Quorum Business Solutions\Ecopetrol Prometeo - Documents\Planning Space Implementation\3. Analysis &amp; Design\Design\FC22\DRR Jaime\QUIFA-CAJÚA\Cajua\[CAJUA_CF_SEC_New_27-Feb-2024Rev3.xlsx]D-PRBDP'!</v>
      </c>
      <c r="G1381" s="32" t="s">
        <v>113</v>
      </c>
      <c r="H1381" s="33"/>
      <c r="I1381" s="33"/>
      <c r="J1381" s="37"/>
    </row>
    <row r="1382" spans="1:10" x14ac:dyDescent="0.25">
      <c r="A1382" s="32" t="s">
        <v>99</v>
      </c>
      <c r="B1382" s="32">
        <f t="shared" si="337"/>
        <v>2035</v>
      </c>
      <c r="C1382" s="33" t="s">
        <v>14</v>
      </c>
      <c r="D1382" s="34" t="s">
        <v>1999</v>
      </c>
      <c r="E1382" s="35" t="str">
        <f t="shared" si="335"/>
        <v>PRBDP'!</v>
      </c>
      <c r="F1382" s="34" t="str">
        <f t="shared" si="336"/>
        <v>C:\Users\jaime.benazar\Quorum Business Solutions\Ecopetrol Prometeo - Documents\Planning Space Implementation\3. Analysis &amp; Design\Design\FC22\DRR Jaime\QUIFA-CAJÚA\Cajua\[CAJUA_CF_SEC_New_27-Feb-2024Rev3.xlsx]D-PRBDP'!</v>
      </c>
      <c r="G1382" s="32" t="s">
        <v>113</v>
      </c>
      <c r="H1382" s="33"/>
      <c r="I1382" s="33"/>
      <c r="J1382" s="37"/>
    </row>
    <row r="1383" spans="1:10" x14ac:dyDescent="0.25">
      <c r="A1383" s="32" t="s">
        <v>99</v>
      </c>
      <c r="B1383" s="32">
        <f t="shared" si="337"/>
        <v>2036</v>
      </c>
      <c r="C1383" s="33" t="s">
        <v>14</v>
      </c>
      <c r="D1383" s="34" t="s">
        <v>1999</v>
      </c>
      <c r="E1383" s="35" t="str">
        <f t="shared" si="335"/>
        <v>PRBDP'!</v>
      </c>
      <c r="F1383" s="34" t="str">
        <f t="shared" si="336"/>
        <v>C:\Users\jaime.benazar\Quorum Business Solutions\Ecopetrol Prometeo - Documents\Planning Space Implementation\3. Analysis &amp; Design\Design\FC22\DRR Jaime\QUIFA-CAJÚA\Cajua\[CAJUA_CF_SEC_New_27-Feb-2024Rev3.xlsx]D-PRBDP'!</v>
      </c>
      <c r="G1383" s="32" t="s">
        <v>113</v>
      </c>
      <c r="H1383" s="33"/>
      <c r="I1383" s="33"/>
      <c r="J1383" s="37"/>
    </row>
    <row r="1384" spans="1:10" x14ac:dyDescent="0.25">
      <c r="A1384" s="32" t="s">
        <v>99</v>
      </c>
      <c r="B1384" s="32">
        <f>+B1383+1</f>
        <v>2037</v>
      </c>
      <c r="C1384" s="33" t="s">
        <v>14</v>
      </c>
      <c r="D1384" s="34" t="s">
        <v>1999</v>
      </c>
      <c r="E1384" s="35" t="str">
        <f t="shared" si="335"/>
        <v>PRBDP'!</v>
      </c>
      <c r="F1384" s="34" t="str">
        <f t="shared" si="336"/>
        <v>C:\Users\jaime.benazar\Quorum Business Solutions\Ecopetrol Prometeo - Documents\Planning Space Implementation\3. Analysis &amp; Design\Design\FC22\DRR Jaime\QUIFA-CAJÚA\Cajua\[CAJUA_CF_SEC_New_27-Feb-2024Rev3.xlsx]D-PRBDP'!</v>
      </c>
      <c r="G1384" s="32" t="s">
        <v>113</v>
      </c>
      <c r="H1384" s="33"/>
      <c r="I1384" s="33"/>
      <c r="J1384" s="37"/>
    </row>
    <row r="1385" spans="1:10" x14ac:dyDescent="0.25">
      <c r="A1385" s="32" t="s">
        <v>99</v>
      </c>
      <c r="B1385" s="32">
        <f t="shared" ref="B1385:B1387" si="338">+B1384+1</f>
        <v>2038</v>
      </c>
      <c r="C1385" s="33" t="s">
        <v>14</v>
      </c>
      <c r="D1385" s="34" t="s">
        <v>1999</v>
      </c>
      <c r="E1385" s="35" t="str">
        <f t="shared" si="335"/>
        <v>PRBDP'!</v>
      </c>
      <c r="F1385" s="34" t="str">
        <f t="shared" si="336"/>
        <v>C:\Users\jaime.benazar\Quorum Business Solutions\Ecopetrol Prometeo - Documents\Planning Space Implementation\3. Analysis &amp; Design\Design\FC22\DRR Jaime\QUIFA-CAJÚA\Cajua\[CAJUA_CF_SEC_New_27-Feb-2024Rev3.xlsx]D-PRBDP'!</v>
      </c>
      <c r="G1385" s="32" t="s">
        <v>113</v>
      </c>
      <c r="H1385" s="33"/>
      <c r="I1385" s="33"/>
      <c r="J1385" s="37"/>
    </row>
    <row r="1386" spans="1:10" x14ac:dyDescent="0.25">
      <c r="A1386" s="32" t="s">
        <v>99</v>
      </c>
      <c r="B1386" s="32">
        <f t="shared" si="338"/>
        <v>2039</v>
      </c>
      <c r="C1386" s="33" t="s">
        <v>14</v>
      </c>
      <c r="D1386" s="34" t="s">
        <v>1999</v>
      </c>
      <c r="E1386" s="35" t="str">
        <f t="shared" si="335"/>
        <v>PRBDP'!</v>
      </c>
      <c r="F1386" s="34" t="str">
        <f t="shared" si="336"/>
        <v>C:\Users\jaime.benazar\Quorum Business Solutions\Ecopetrol Prometeo - Documents\Planning Space Implementation\3. Analysis &amp; Design\Design\FC22\DRR Jaime\QUIFA-CAJÚA\Cajua\[CAJUA_CF_SEC_New_27-Feb-2024Rev3.xlsx]D-PRBDP'!</v>
      </c>
      <c r="G1386" s="32" t="s">
        <v>113</v>
      </c>
      <c r="H1386" s="33"/>
      <c r="I1386" s="33"/>
      <c r="J1386" s="37"/>
    </row>
    <row r="1387" spans="1:10" x14ac:dyDescent="0.25">
      <c r="A1387" s="32" t="s">
        <v>99</v>
      </c>
      <c r="B1387" s="32">
        <f t="shared" si="338"/>
        <v>2040</v>
      </c>
      <c r="C1387" s="33" t="s">
        <v>14</v>
      </c>
      <c r="D1387" s="34" t="s">
        <v>1999</v>
      </c>
      <c r="E1387" s="35" t="str">
        <f t="shared" si="335"/>
        <v>PRBDP'!</v>
      </c>
      <c r="F1387" s="34" t="str">
        <f t="shared" si="336"/>
        <v>C:\Users\jaime.benazar\Quorum Business Solutions\Ecopetrol Prometeo - Documents\Planning Space Implementation\3. Analysis &amp; Design\Design\FC22\DRR Jaime\QUIFA-CAJÚA\Cajua\[CAJUA_CF_SEC_New_27-Feb-2024Rev3.xlsx]D-PRBDP'!</v>
      </c>
      <c r="G1387" s="32" t="s">
        <v>113</v>
      </c>
      <c r="H1387" s="33"/>
      <c r="I1387" s="33"/>
      <c r="J1387" s="37"/>
    </row>
    <row r="1388" spans="1:10" x14ac:dyDescent="0.25">
      <c r="A1388" s="32" t="s">
        <v>99</v>
      </c>
      <c r="B1388" s="32">
        <f>+B1387+1</f>
        <v>2041</v>
      </c>
      <c r="C1388" s="33" t="s">
        <v>14</v>
      </c>
      <c r="D1388" s="34" t="s">
        <v>1999</v>
      </c>
      <c r="E1388" s="35" t="str">
        <f t="shared" si="335"/>
        <v>PRBDP'!</v>
      </c>
      <c r="F1388" s="34" t="str">
        <f t="shared" si="336"/>
        <v>C:\Users\jaime.benazar\Quorum Business Solutions\Ecopetrol Prometeo - Documents\Planning Space Implementation\3. Analysis &amp; Design\Design\FC22\DRR Jaime\QUIFA-CAJÚA\Cajua\[CAJUA_CF_SEC_New_27-Feb-2024Rev3.xlsx]D-PRBDP'!</v>
      </c>
      <c r="G1388" s="32" t="s">
        <v>113</v>
      </c>
      <c r="H1388" s="33"/>
      <c r="I1388" s="33"/>
      <c r="J1388" s="37"/>
    </row>
    <row r="1389" spans="1:10" x14ac:dyDescent="0.25">
      <c r="A1389" s="32" t="s">
        <v>99</v>
      </c>
      <c r="B1389" s="32">
        <f t="shared" ref="B1389:B1390" si="339">+B1388+1</f>
        <v>2042</v>
      </c>
      <c r="C1389" s="33" t="s">
        <v>14</v>
      </c>
      <c r="D1389" s="34" t="s">
        <v>1999</v>
      </c>
      <c r="E1389" s="35" t="str">
        <f t="shared" si="335"/>
        <v>PRBDP'!</v>
      </c>
      <c r="F1389" s="34" t="str">
        <f t="shared" si="336"/>
        <v>C:\Users\jaime.benazar\Quorum Business Solutions\Ecopetrol Prometeo - Documents\Planning Space Implementation\3. Analysis &amp; Design\Design\FC22\DRR Jaime\QUIFA-CAJÚA\Cajua\[CAJUA_CF_SEC_New_27-Feb-2024Rev3.xlsx]D-PRBDP'!</v>
      </c>
      <c r="G1389" s="32" t="s">
        <v>113</v>
      </c>
      <c r="H1389" s="33"/>
      <c r="I1389" s="33"/>
      <c r="J1389" s="37"/>
    </row>
    <row r="1390" spans="1:10" x14ac:dyDescent="0.25">
      <c r="A1390" s="32" t="s">
        <v>99</v>
      </c>
      <c r="B1390" s="32">
        <f t="shared" si="339"/>
        <v>2043</v>
      </c>
      <c r="C1390" s="33" t="s">
        <v>14</v>
      </c>
      <c r="D1390" s="34" t="s">
        <v>1999</v>
      </c>
      <c r="E1390" s="35" t="str">
        <f t="shared" si="335"/>
        <v>PRBDP'!</v>
      </c>
      <c r="F1390" s="34" t="str">
        <f t="shared" si="336"/>
        <v>C:\Users\jaime.benazar\Quorum Business Solutions\Ecopetrol Prometeo - Documents\Planning Space Implementation\3. Analysis &amp; Design\Design\FC22\DRR Jaime\QUIFA-CAJÚA\Cajua\[CAJUA_CF_SEC_New_27-Feb-2024Rev3.xlsx]D-PRBDP'!</v>
      </c>
      <c r="G1390" s="32" t="s">
        <v>113</v>
      </c>
      <c r="H1390" s="33"/>
      <c r="I1390" s="33"/>
      <c r="J1390" s="37"/>
    </row>
    <row r="1391" spans="1:10" x14ac:dyDescent="0.25">
      <c r="A1391" s="32" t="s">
        <v>99</v>
      </c>
      <c r="B1391" s="32">
        <f>+B1390+1</f>
        <v>2044</v>
      </c>
      <c r="C1391" s="33" t="s">
        <v>14</v>
      </c>
      <c r="D1391" s="34" t="s">
        <v>1999</v>
      </c>
      <c r="E1391" s="35" t="str">
        <f t="shared" ref="E1391:E1406" si="340">_xlfn.CONCAT(A1391,"'!")</f>
        <v>PRBDP'!</v>
      </c>
      <c r="F1391" s="34" t="str">
        <f t="shared" ref="F1391:F1406" si="341">_xlfn.CONCAT(D1391:E1391)</f>
        <v>C:\Users\jaime.benazar\Quorum Business Solutions\Ecopetrol Prometeo - Documents\Planning Space Implementation\3. Analysis &amp; Design\Design\FC22\DRR Jaime\QUIFA-CAJÚA\Cajua\[CAJUA_CF_SEC_New_27-Feb-2024Rev3.xlsx]D-PRBDP'!</v>
      </c>
      <c r="G1391" s="32" t="s">
        <v>113</v>
      </c>
      <c r="H1391" s="33"/>
      <c r="I1391" s="33"/>
      <c r="J1391" s="37"/>
    </row>
    <row r="1392" spans="1:10" x14ac:dyDescent="0.25">
      <c r="A1392" s="32" t="s">
        <v>99</v>
      </c>
      <c r="B1392" s="32">
        <f t="shared" ref="B1392:B1406" si="342">+B1391+1</f>
        <v>2045</v>
      </c>
      <c r="C1392" s="33" t="s">
        <v>14</v>
      </c>
      <c r="D1392" s="34" t="s">
        <v>1999</v>
      </c>
      <c r="E1392" s="35" t="str">
        <f t="shared" si="340"/>
        <v>PRBDP'!</v>
      </c>
      <c r="F1392" s="34" t="str">
        <f t="shared" si="341"/>
        <v>C:\Users\jaime.benazar\Quorum Business Solutions\Ecopetrol Prometeo - Documents\Planning Space Implementation\3. Analysis &amp; Design\Design\FC22\DRR Jaime\QUIFA-CAJÚA\Cajua\[CAJUA_CF_SEC_New_27-Feb-2024Rev3.xlsx]D-PRBDP'!</v>
      </c>
      <c r="G1392" s="32" t="s">
        <v>113</v>
      </c>
      <c r="H1392" s="33"/>
      <c r="I1392" s="33"/>
      <c r="J1392" s="37"/>
    </row>
    <row r="1393" spans="1:10" x14ac:dyDescent="0.25">
      <c r="A1393" s="32" t="s">
        <v>99</v>
      </c>
      <c r="B1393" s="32">
        <f t="shared" si="342"/>
        <v>2046</v>
      </c>
      <c r="C1393" s="33" t="s">
        <v>14</v>
      </c>
      <c r="D1393" s="34" t="s">
        <v>1999</v>
      </c>
      <c r="E1393" s="35" t="str">
        <f t="shared" si="340"/>
        <v>PRBDP'!</v>
      </c>
      <c r="F1393" s="34" t="str">
        <f t="shared" si="341"/>
        <v>C:\Users\jaime.benazar\Quorum Business Solutions\Ecopetrol Prometeo - Documents\Planning Space Implementation\3. Analysis &amp; Design\Design\FC22\DRR Jaime\QUIFA-CAJÚA\Cajua\[CAJUA_CF_SEC_New_27-Feb-2024Rev3.xlsx]D-PRBDP'!</v>
      </c>
      <c r="G1393" s="32" t="s">
        <v>113</v>
      </c>
      <c r="H1393" s="33"/>
      <c r="I1393" s="33"/>
      <c r="J1393" s="37"/>
    </row>
    <row r="1394" spans="1:10" x14ac:dyDescent="0.25">
      <c r="A1394" s="32" t="s">
        <v>99</v>
      </c>
      <c r="B1394" s="32">
        <f t="shared" si="342"/>
        <v>2047</v>
      </c>
      <c r="C1394" s="33" t="s">
        <v>14</v>
      </c>
      <c r="D1394" s="34" t="s">
        <v>1999</v>
      </c>
      <c r="E1394" s="35" t="str">
        <f t="shared" si="340"/>
        <v>PRBDP'!</v>
      </c>
      <c r="F1394" s="34" t="str">
        <f t="shared" si="341"/>
        <v>C:\Users\jaime.benazar\Quorum Business Solutions\Ecopetrol Prometeo - Documents\Planning Space Implementation\3. Analysis &amp; Design\Design\FC22\DRR Jaime\QUIFA-CAJÚA\Cajua\[CAJUA_CF_SEC_New_27-Feb-2024Rev3.xlsx]D-PRBDP'!</v>
      </c>
      <c r="G1394" s="32" t="s">
        <v>113</v>
      </c>
      <c r="H1394" s="33"/>
      <c r="I1394" s="33"/>
      <c r="J1394" s="37"/>
    </row>
    <row r="1395" spans="1:10" x14ac:dyDescent="0.25">
      <c r="A1395" s="32" t="s">
        <v>99</v>
      </c>
      <c r="B1395" s="32">
        <f t="shared" si="342"/>
        <v>2048</v>
      </c>
      <c r="C1395" s="33" t="s">
        <v>14</v>
      </c>
      <c r="D1395" s="34" t="s">
        <v>1999</v>
      </c>
      <c r="E1395" s="35" t="str">
        <f t="shared" si="340"/>
        <v>PRBDP'!</v>
      </c>
      <c r="F1395" s="34" t="str">
        <f t="shared" si="341"/>
        <v>C:\Users\jaime.benazar\Quorum Business Solutions\Ecopetrol Prometeo - Documents\Planning Space Implementation\3. Analysis &amp; Design\Design\FC22\DRR Jaime\QUIFA-CAJÚA\Cajua\[CAJUA_CF_SEC_New_27-Feb-2024Rev3.xlsx]D-PRBDP'!</v>
      </c>
      <c r="G1395" s="32" t="s">
        <v>113</v>
      </c>
      <c r="H1395" s="33"/>
      <c r="I1395" s="33"/>
      <c r="J1395" s="37"/>
    </row>
    <row r="1396" spans="1:10" x14ac:dyDescent="0.25">
      <c r="A1396" s="32" t="s">
        <v>99</v>
      </c>
      <c r="B1396" s="32">
        <f t="shared" si="342"/>
        <v>2049</v>
      </c>
      <c r="C1396" s="33" t="s">
        <v>14</v>
      </c>
      <c r="D1396" s="34" t="s">
        <v>1999</v>
      </c>
      <c r="E1396" s="35" t="str">
        <f t="shared" si="340"/>
        <v>PRBDP'!</v>
      </c>
      <c r="F1396" s="34" t="str">
        <f t="shared" si="341"/>
        <v>C:\Users\jaime.benazar\Quorum Business Solutions\Ecopetrol Prometeo - Documents\Planning Space Implementation\3. Analysis &amp; Design\Design\FC22\DRR Jaime\QUIFA-CAJÚA\Cajua\[CAJUA_CF_SEC_New_27-Feb-2024Rev3.xlsx]D-PRBDP'!</v>
      </c>
      <c r="G1396" s="32" t="s">
        <v>113</v>
      </c>
      <c r="H1396" s="33"/>
      <c r="I1396" s="33"/>
      <c r="J1396" s="37"/>
    </row>
    <row r="1397" spans="1:10" x14ac:dyDescent="0.25">
      <c r="A1397" s="32" t="s">
        <v>99</v>
      </c>
      <c r="B1397" s="32">
        <f t="shared" si="342"/>
        <v>2050</v>
      </c>
      <c r="C1397" s="33" t="s">
        <v>14</v>
      </c>
      <c r="D1397" s="34" t="s">
        <v>1999</v>
      </c>
      <c r="E1397" s="35" t="str">
        <f t="shared" si="340"/>
        <v>PRBDP'!</v>
      </c>
      <c r="F1397" s="34" t="str">
        <f t="shared" si="341"/>
        <v>C:\Users\jaime.benazar\Quorum Business Solutions\Ecopetrol Prometeo - Documents\Planning Space Implementation\3. Analysis &amp; Design\Design\FC22\DRR Jaime\QUIFA-CAJÚA\Cajua\[CAJUA_CF_SEC_New_27-Feb-2024Rev3.xlsx]D-PRBDP'!</v>
      </c>
      <c r="G1397" s="32" t="s">
        <v>113</v>
      </c>
      <c r="H1397" s="33"/>
      <c r="I1397" s="33"/>
      <c r="J1397" s="37"/>
    </row>
    <row r="1398" spans="1:10" x14ac:dyDescent="0.25">
      <c r="A1398" s="32" t="s">
        <v>99</v>
      </c>
      <c r="B1398" s="32">
        <f t="shared" si="342"/>
        <v>2051</v>
      </c>
      <c r="C1398" s="33" t="s">
        <v>14</v>
      </c>
      <c r="D1398" s="34" t="s">
        <v>1999</v>
      </c>
      <c r="E1398" s="35" t="str">
        <f t="shared" si="340"/>
        <v>PRBDP'!</v>
      </c>
      <c r="F1398" s="34" t="str">
        <f t="shared" si="341"/>
        <v>C:\Users\jaime.benazar\Quorum Business Solutions\Ecopetrol Prometeo - Documents\Planning Space Implementation\3. Analysis &amp; Design\Design\FC22\DRR Jaime\QUIFA-CAJÚA\Cajua\[CAJUA_CF_SEC_New_27-Feb-2024Rev3.xlsx]D-PRBDP'!</v>
      </c>
      <c r="G1398" s="32" t="s">
        <v>113</v>
      </c>
      <c r="H1398" s="33"/>
      <c r="I1398" s="33"/>
      <c r="J1398" s="37"/>
    </row>
    <row r="1399" spans="1:10" x14ac:dyDescent="0.25">
      <c r="A1399" s="32" t="s">
        <v>99</v>
      </c>
      <c r="B1399" s="32">
        <f t="shared" si="342"/>
        <v>2052</v>
      </c>
      <c r="C1399" s="33" t="s">
        <v>14</v>
      </c>
      <c r="D1399" s="34" t="s">
        <v>1999</v>
      </c>
      <c r="E1399" s="35" t="str">
        <f t="shared" si="340"/>
        <v>PRBDP'!</v>
      </c>
      <c r="F1399" s="34" t="str">
        <f t="shared" si="341"/>
        <v>C:\Users\jaime.benazar\Quorum Business Solutions\Ecopetrol Prometeo - Documents\Planning Space Implementation\3. Analysis &amp; Design\Design\FC22\DRR Jaime\QUIFA-CAJÚA\Cajua\[CAJUA_CF_SEC_New_27-Feb-2024Rev3.xlsx]D-PRBDP'!</v>
      </c>
      <c r="G1399" s="32" t="s">
        <v>113</v>
      </c>
      <c r="H1399" s="33"/>
      <c r="I1399" s="33"/>
      <c r="J1399" s="37"/>
    </row>
    <row r="1400" spans="1:10" x14ac:dyDescent="0.25">
      <c r="A1400" s="32" t="s">
        <v>99</v>
      </c>
      <c r="B1400" s="32">
        <f t="shared" si="342"/>
        <v>2053</v>
      </c>
      <c r="C1400" s="33" t="s">
        <v>14</v>
      </c>
      <c r="D1400" s="34" t="s">
        <v>1999</v>
      </c>
      <c r="E1400" s="35" t="str">
        <f t="shared" si="340"/>
        <v>PRBDP'!</v>
      </c>
      <c r="F1400" s="34" t="str">
        <f t="shared" si="341"/>
        <v>C:\Users\jaime.benazar\Quorum Business Solutions\Ecopetrol Prometeo - Documents\Planning Space Implementation\3. Analysis &amp; Design\Design\FC22\DRR Jaime\QUIFA-CAJÚA\Cajua\[CAJUA_CF_SEC_New_27-Feb-2024Rev3.xlsx]D-PRBDP'!</v>
      </c>
      <c r="G1400" s="32" t="s">
        <v>113</v>
      </c>
      <c r="H1400" s="33"/>
      <c r="I1400" s="33"/>
      <c r="J1400" s="37"/>
    </row>
    <row r="1401" spans="1:10" x14ac:dyDescent="0.25">
      <c r="A1401" s="32" t="s">
        <v>99</v>
      </c>
      <c r="B1401" s="32">
        <f t="shared" si="342"/>
        <v>2054</v>
      </c>
      <c r="C1401" s="33" t="s">
        <v>14</v>
      </c>
      <c r="D1401" s="34" t="s">
        <v>1999</v>
      </c>
      <c r="E1401" s="35" t="str">
        <f t="shared" si="340"/>
        <v>PRBDP'!</v>
      </c>
      <c r="F1401" s="34" t="str">
        <f t="shared" si="341"/>
        <v>C:\Users\jaime.benazar\Quorum Business Solutions\Ecopetrol Prometeo - Documents\Planning Space Implementation\3. Analysis &amp; Design\Design\FC22\DRR Jaime\QUIFA-CAJÚA\Cajua\[CAJUA_CF_SEC_New_27-Feb-2024Rev3.xlsx]D-PRBDP'!</v>
      </c>
      <c r="G1401" s="32" t="s">
        <v>113</v>
      </c>
      <c r="H1401" s="33"/>
      <c r="I1401" s="33"/>
      <c r="J1401" s="37"/>
    </row>
    <row r="1402" spans="1:10" x14ac:dyDescent="0.25">
      <c r="A1402" s="32" t="s">
        <v>99</v>
      </c>
      <c r="B1402" s="32">
        <f t="shared" si="342"/>
        <v>2055</v>
      </c>
      <c r="C1402" s="33" t="s">
        <v>14</v>
      </c>
      <c r="D1402" s="34" t="s">
        <v>1999</v>
      </c>
      <c r="E1402" s="35" t="str">
        <f t="shared" si="340"/>
        <v>PRBDP'!</v>
      </c>
      <c r="F1402" s="34" t="str">
        <f t="shared" si="341"/>
        <v>C:\Users\jaime.benazar\Quorum Business Solutions\Ecopetrol Prometeo - Documents\Planning Space Implementation\3. Analysis &amp; Design\Design\FC22\DRR Jaime\QUIFA-CAJÚA\Cajua\[CAJUA_CF_SEC_New_27-Feb-2024Rev3.xlsx]D-PRBDP'!</v>
      </c>
      <c r="G1402" s="32" t="s">
        <v>113</v>
      </c>
      <c r="H1402" s="33"/>
      <c r="I1402" s="33"/>
      <c r="J1402" s="37"/>
    </row>
    <row r="1403" spans="1:10" x14ac:dyDescent="0.25">
      <c r="A1403" s="32" t="s">
        <v>99</v>
      </c>
      <c r="B1403" s="32">
        <f t="shared" si="342"/>
        <v>2056</v>
      </c>
      <c r="C1403" s="33" t="s">
        <v>14</v>
      </c>
      <c r="D1403" s="34" t="s">
        <v>1999</v>
      </c>
      <c r="E1403" s="35" t="str">
        <f t="shared" si="340"/>
        <v>PRBDP'!</v>
      </c>
      <c r="F1403" s="34" t="str">
        <f t="shared" si="341"/>
        <v>C:\Users\jaime.benazar\Quorum Business Solutions\Ecopetrol Prometeo - Documents\Planning Space Implementation\3. Analysis &amp; Design\Design\FC22\DRR Jaime\QUIFA-CAJÚA\Cajua\[CAJUA_CF_SEC_New_27-Feb-2024Rev3.xlsx]D-PRBDP'!</v>
      </c>
      <c r="G1403" s="32" t="s">
        <v>113</v>
      </c>
      <c r="H1403" s="33"/>
      <c r="I1403" s="33"/>
      <c r="J1403" s="37"/>
    </row>
    <row r="1404" spans="1:10" x14ac:dyDescent="0.25">
      <c r="A1404" s="32" t="s">
        <v>99</v>
      </c>
      <c r="B1404" s="32">
        <f t="shared" si="342"/>
        <v>2057</v>
      </c>
      <c r="C1404" s="33" t="s">
        <v>14</v>
      </c>
      <c r="D1404" s="34" t="s">
        <v>1999</v>
      </c>
      <c r="E1404" s="35" t="str">
        <f t="shared" si="340"/>
        <v>PRBDP'!</v>
      </c>
      <c r="F1404" s="34" t="str">
        <f t="shared" si="341"/>
        <v>C:\Users\jaime.benazar\Quorum Business Solutions\Ecopetrol Prometeo - Documents\Planning Space Implementation\3. Analysis &amp; Design\Design\FC22\DRR Jaime\QUIFA-CAJÚA\Cajua\[CAJUA_CF_SEC_New_27-Feb-2024Rev3.xlsx]D-PRBDP'!</v>
      </c>
      <c r="G1404" s="32" t="s">
        <v>113</v>
      </c>
      <c r="H1404" s="33"/>
      <c r="I1404" s="33"/>
      <c r="J1404" s="37"/>
    </row>
    <row r="1405" spans="1:10" x14ac:dyDescent="0.25">
      <c r="A1405" s="32" t="s">
        <v>99</v>
      </c>
      <c r="B1405" s="32">
        <f t="shared" si="342"/>
        <v>2058</v>
      </c>
      <c r="C1405" s="33" t="s">
        <v>14</v>
      </c>
      <c r="D1405" s="34" t="s">
        <v>1999</v>
      </c>
      <c r="E1405" s="35" t="str">
        <f t="shared" si="340"/>
        <v>PRBDP'!</v>
      </c>
      <c r="F1405" s="34" t="str">
        <f t="shared" si="341"/>
        <v>C:\Users\jaime.benazar\Quorum Business Solutions\Ecopetrol Prometeo - Documents\Planning Space Implementation\3. Analysis &amp; Design\Design\FC22\DRR Jaime\QUIFA-CAJÚA\Cajua\[CAJUA_CF_SEC_New_27-Feb-2024Rev3.xlsx]D-PRBDP'!</v>
      </c>
      <c r="G1405" s="32" t="s">
        <v>113</v>
      </c>
      <c r="H1405" s="33"/>
      <c r="I1405" s="33"/>
      <c r="J1405" s="37"/>
    </row>
    <row r="1406" spans="1:10" x14ac:dyDescent="0.25">
      <c r="A1406" s="32" t="s">
        <v>99</v>
      </c>
      <c r="B1406" s="32">
        <f t="shared" si="342"/>
        <v>2059</v>
      </c>
      <c r="C1406" s="33" t="s">
        <v>14</v>
      </c>
      <c r="D1406" s="34" t="s">
        <v>1999</v>
      </c>
      <c r="E1406" s="35" t="str">
        <f t="shared" si="340"/>
        <v>PRBDP'!</v>
      </c>
      <c r="F1406" s="34" t="str">
        <f t="shared" si="341"/>
        <v>C:\Users\jaime.benazar\Quorum Business Solutions\Ecopetrol Prometeo - Documents\Planning Space Implementation\3. Analysis &amp; Design\Design\FC22\DRR Jaime\QUIFA-CAJÚA\Cajua\[CAJUA_CF_SEC_New_27-Feb-2024Rev3.xlsx]D-PRBDP'!</v>
      </c>
      <c r="G1406" s="32" t="s">
        <v>113</v>
      </c>
      <c r="H1406" s="33"/>
      <c r="I1406" s="33"/>
      <c r="J1406" s="37"/>
    </row>
    <row r="1407" spans="1:10" x14ac:dyDescent="0.25">
      <c r="A1407" s="32" t="s">
        <v>28</v>
      </c>
      <c r="B1407" s="32"/>
      <c r="C1407" s="33" t="s">
        <v>14</v>
      </c>
      <c r="D1407" s="34"/>
      <c r="E1407" s="35"/>
      <c r="F1407" s="34"/>
      <c r="G1407" s="32"/>
      <c r="H1407" s="33"/>
      <c r="I1407" s="33"/>
      <c r="J1407" s="33"/>
    </row>
    <row r="1408" spans="1:10" x14ac:dyDescent="0.25">
      <c r="A1408" s="32" t="s">
        <v>100</v>
      </c>
      <c r="B1408" s="32">
        <v>2023</v>
      </c>
      <c r="C1408" s="33" t="s">
        <v>14</v>
      </c>
      <c r="D1408" s="34" t="s">
        <v>1999</v>
      </c>
      <c r="E1408" s="35" t="str">
        <f t="shared" ref="E1408:E1428" si="343">_xlfn.CONCAT(A1408,"'!")</f>
        <v>PRBNP'!</v>
      </c>
      <c r="F1408" s="34" t="str">
        <f t="shared" ref="F1408:F1428" si="344">_xlfn.CONCAT(D1408:E1408)</f>
        <v>C:\Users\jaime.benazar\Quorum Business Solutions\Ecopetrol Prometeo - Documents\Planning Space Implementation\3. Analysis &amp; Design\Design\FC22\DRR Jaime\QUIFA-CAJÚA\Cajua\[CAJUA_CF_SEC_New_27-Feb-2024Rev3.xlsx]D-PRBNP'!</v>
      </c>
      <c r="G1408" s="32" t="s">
        <v>113</v>
      </c>
      <c r="H1408" s="33"/>
      <c r="I1408" s="33"/>
      <c r="J1408" s="37"/>
    </row>
    <row r="1409" spans="1:10" x14ac:dyDescent="0.25">
      <c r="A1409" s="32" t="s">
        <v>100</v>
      </c>
      <c r="B1409" s="32">
        <f>+B1408+1</f>
        <v>2024</v>
      </c>
      <c r="C1409" s="33" t="s">
        <v>14</v>
      </c>
      <c r="D1409" s="34" t="s">
        <v>1999</v>
      </c>
      <c r="E1409" s="35" t="str">
        <f t="shared" si="343"/>
        <v>PRBNP'!</v>
      </c>
      <c r="F1409" s="34" t="str">
        <f t="shared" si="344"/>
        <v>C:\Users\jaime.benazar\Quorum Business Solutions\Ecopetrol Prometeo - Documents\Planning Space Implementation\3. Analysis &amp; Design\Design\FC22\DRR Jaime\QUIFA-CAJÚA\Cajua\[CAJUA_CF_SEC_New_27-Feb-2024Rev3.xlsx]D-PRBNP'!</v>
      </c>
      <c r="G1409" s="32" t="s">
        <v>113</v>
      </c>
      <c r="H1409" s="33"/>
      <c r="I1409" s="33"/>
      <c r="J1409" s="37"/>
    </row>
    <row r="1410" spans="1:10" x14ac:dyDescent="0.25">
      <c r="A1410" s="32" t="s">
        <v>100</v>
      </c>
      <c r="B1410" s="32">
        <f t="shared" ref="B1410:B1421" si="345">+B1409+1</f>
        <v>2025</v>
      </c>
      <c r="C1410" s="33" t="s">
        <v>14</v>
      </c>
      <c r="D1410" s="34" t="s">
        <v>1999</v>
      </c>
      <c r="E1410" s="35" t="str">
        <f t="shared" si="343"/>
        <v>PRBNP'!</v>
      </c>
      <c r="F1410" s="34" t="str">
        <f t="shared" si="344"/>
        <v>C:\Users\jaime.benazar\Quorum Business Solutions\Ecopetrol Prometeo - Documents\Planning Space Implementation\3. Analysis &amp; Design\Design\FC22\DRR Jaime\QUIFA-CAJÚA\Cajua\[CAJUA_CF_SEC_New_27-Feb-2024Rev3.xlsx]D-PRBNP'!</v>
      </c>
      <c r="G1410" s="32" t="s">
        <v>113</v>
      </c>
      <c r="H1410" s="33"/>
      <c r="I1410" s="33"/>
      <c r="J1410" s="37"/>
    </row>
    <row r="1411" spans="1:10" x14ac:dyDescent="0.25">
      <c r="A1411" s="32" t="s">
        <v>100</v>
      </c>
      <c r="B1411" s="32">
        <f t="shared" si="345"/>
        <v>2026</v>
      </c>
      <c r="C1411" s="33" t="s">
        <v>14</v>
      </c>
      <c r="D1411" s="34" t="s">
        <v>1999</v>
      </c>
      <c r="E1411" s="35" t="str">
        <f t="shared" si="343"/>
        <v>PRBNP'!</v>
      </c>
      <c r="F1411" s="34" t="str">
        <f t="shared" si="344"/>
        <v>C:\Users\jaime.benazar\Quorum Business Solutions\Ecopetrol Prometeo - Documents\Planning Space Implementation\3. Analysis &amp; Design\Design\FC22\DRR Jaime\QUIFA-CAJÚA\Cajua\[CAJUA_CF_SEC_New_27-Feb-2024Rev3.xlsx]D-PRBNP'!</v>
      </c>
      <c r="G1411" s="32" t="s">
        <v>113</v>
      </c>
      <c r="H1411" s="33"/>
      <c r="I1411" s="33"/>
      <c r="J1411" s="37"/>
    </row>
    <row r="1412" spans="1:10" x14ac:dyDescent="0.25">
      <c r="A1412" s="32" t="s">
        <v>100</v>
      </c>
      <c r="B1412" s="32">
        <f t="shared" si="345"/>
        <v>2027</v>
      </c>
      <c r="C1412" s="33" t="s">
        <v>14</v>
      </c>
      <c r="D1412" s="34" t="s">
        <v>1999</v>
      </c>
      <c r="E1412" s="35" t="str">
        <f t="shared" si="343"/>
        <v>PRBNP'!</v>
      </c>
      <c r="F1412" s="34" t="str">
        <f t="shared" si="344"/>
        <v>C:\Users\jaime.benazar\Quorum Business Solutions\Ecopetrol Prometeo - Documents\Planning Space Implementation\3. Analysis &amp; Design\Design\FC22\DRR Jaime\QUIFA-CAJÚA\Cajua\[CAJUA_CF_SEC_New_27-Feb-2024Rev3.xlsx]D-PRBNP'!</v>
      </c>
      <c r="G1412" s="32" t="s">
        <v>113</v>
      </c>
      <c r="H1412" s="33"/>
      <c r="I1412" s="33"/>
      <c r="J1412" s="37"/>
    </row>
    <row r="1413" spans="1:10" x14ac:dyDescent="0.25">
      <c r="A1413" s="32" t="s">
        <v>100</v>
      </c>
      <c r="B1413" s="32">
        <f t="shared" si="345"/>
        <v>2028</v>
      </c>
      <c r="C1413" s="33" t="s">
        <v>14</v>
      </c>
      <c r="D1413" s="34" t="s">
        <v>1999</v>
      </c>
      <c r="E1413" s="35" t="str">
        <f t="shared" si="343"/>
        <v>PRBNP'!</v>
      </c>
      <c r="F1413" s="34" t="str">
        <f t="shared" si="344"/>
        <v>C:\Users\jaime.benazar\Quorum Business Solutions\Ecopetrol Prometeo - Documents\Planning Space Implementation\3. Analysis &amp; Design\Design\FC22\DRR Jaime\QUIFA-CAJÚA\Cajua\[CAJUA_CF_SEC_New_27-Feb-2024Rev3.xlsx]D-PRBNP'!</v>
      </c>
      <c r="G1413" s="32" t="s">
        <v>113</v>
      </c>
      <c r="H1413" s="33"/>
      <c r="I1413" s="33"/>
      <c r="J1413" s="37"/>
    </row>
    <row r="1414" spans="1:10" x14ac:dyDescent="0.25">
      <c r="A1414" s="32" t="s">
        <v>100</v>
      </c>
      <c r="B1414" s="32">
        <f t="shared" si="345"/>
        <v>2029</v>
      </c>
      <c r="C1414" s="33" t="s">
        <v>14</v>
      </c>
      <c r="D1414" s="34" t="s">
        <v>1999</v>
      </c>
      <c r="E1414" s="35" t="str">
        <f t="shared" si="343"/>
        <v>PRBNP'!</v>
      </c>
      <c r="F1414" s="34" t="str">
        <f t="shared" si="344"/>
        <v>C:\Users\jaime.benazar\Quorum Business Solutions\Ecopetrol Prometeo - Documents\Planning Space Implementation\3. Analysis &amp; Design\Design\FC22\DRR Jaime\QUIFA-CAJÚA\Cajua\[CAJUA_CF_SEC_New_27-Feb-2024Rev3.xlsx]D-PRBNP'!</v>
      </c>
      <c r="G1414" s="32" t="s">
        <v>113</v>
      </c>
      <c r="H1414" s="33"/>
      <c r="I1414" s="33"/>
      <c r="J1414" s="37"/>
    </row>
    <row r="1415" spans="1:10" x14ac:dyDescent="0.25">
      <c r="A1415" s="32" t="s">
        <v>100</v>
      </c>
      <c r="B1415" s="32">
        <f t="shared" si="345"/>
        <v>2030</v>
      </c>
      <c r="C1415" s="33" t="s">
        <v>14</v>
      </c>
      <c r="D1415" s="34" t="s">
        <v>1999</v>
      </c>
      <c r="E1415" s="35" t="str">
        <f t="shared" si="343"/>
        <v>PRBNP'!</v>
      </c>
      <c r="F1415" s="34" t="str">
        <f t="shared" si="344"/>
        <v>C:\Users\jaime.benazar\Quorum Business Solutions\Ecopetrol Prometeo - Documents\Planning Space Implementation\3. Analysis &amp; Design\Design\FC22\DRR Jaime\QUIFA-CAJÚA\Cajua\[CAJUA_CF_SEC_New_27-Feb-2024Rev3.xlsx]D-PRBNP'!</v>
      </c>
      <c r="G1415" s="32" t="s">
        <v>113</v>
      </c>
      <c r="H1415" s="33"/>
      <c r="I1415" s="33"/>
      <c r="J1415" s="37"/>
    </row>
    <row r="1416" spans="1:10" x14ac:dyDescent="0.25">
      <c r="A1416" s="32" t="s">
        <v>100</v>
      </c>
      <c r="B1416" s="32">
        <f t="shared" si="345"/>
        <v>2031</v>
      </c>
      <c r="C1416" s="33" t="s">
        <v>14</v>
      </c>
      <c r="D1416" s="34" t="s">
        <v>1999</v>
      </c>
      <c r="E1416" s="35" t="str">
        <f t="shared" si="343"/>
        <v>PRBNP'!</v>
      </c>
      <c r="F1416" s="34" t="str">
        <f t="shared" si="344"/>
        <v>C:\Users\jaime.benazar\Quorum Business Solutions\Ecopetrol Prometeo - Documents\Planning Space Implementation\3. Analysis &amp; Design\Design\FC22\DRR Jaime\QUIFA-CAJÚA\Cajua\[CAJUA_CF_SEC_New_27-Feb-2024Rev3.xlsx]D-PRBNP'!</v>
      </c>
      <c r="G1416" s="32" t="s">
        <v>113</v>
      </c>
      <c r="H1416" s="33"/>
      <c r="I1416" s="33"/>
      <c r="J1416" s="37"/>
    </row>
    <row r="1417" spans="1:10" x14ac:dyDescent="0.25">
      <c r="A1417" s="32" t="s">
        <v>100</v>
      </c>
      <c r="B1417" s="32">
        <f t="shared" si="345"/>
        <v>2032</v>
      </c>
      <c r="C1417" s="33" t="s">
        <v>14</v>
      </c>
      <c r="D1417" s="34" t="s">
        <v>1999</v>
      </c>
      <c r="E1417" s="35" t="str">
        <f t="shared" si="343"/>
        <v>PRBNP'!</v>
      </c>
      <c r="F1417" s="34" t="str">
        <f t="shared" si="344"/>
        <v>C:\Users\jaime.benazar\Quorum Business Solutions\Ecopetrol Prometeo - Documents\Planning Space Implementation\3. Analysis &amp; Design\Design\FC22\DRR Jaime\QUIFA-CAJÚA\Cajua\[CAJUA_CF_SEC_New_27-Feb-2024Rev3.xlsx]D-PRBNP'!</v>
      </c>
      <c r="G1417" s="32" t="s">
        <v>113</v>
      </c>
      <c r="H1417" s="33"/>
      <c r="I1417" s="33"/>
      <c r="J1417" s="37"/>
    </row>
    <row r="1418" spans="1:10" x14ac:dyDescent="0.25">
      <c r="A1418" s="32" t="s">
        <v>100</v>
      </c>
      <c r="B1418" s="32">
        <f t="shared" si="345"/>
        <v>2033</v>
      </c>
      <c r="C1418" s="33" t="s">
        <v>14</v>
      </c>
      <c r="D1418" s="34" t="s">
        <v>1999</v>
      </c>
      <c r="E1418" s="35" t="str">
        <f t="shared" si="343"/>
        <v>PRBNP'!</v>
      </c>
      <c r="F1418" s="34" t="str">
        <f t="shared" si="344"/>
        <v>C:\Users\jaime.benazar\Quorum Business Solutions\Ecopetrol Prometeo - Documents\Planning Space Implementation\3. Analysis &amp; Design\Design\FC22\DRR Jaime\QUIFA-CAJÚA\Cajua\[CAJUA_CF_SEC_New_27-Feb-2024Rev3.xlsx]D-PRBNP'!</v>
      </c>
      <c r="G1418" s="32" t="s">
        <v>113</v>
      </c>
      <c r="H1418" s="33"/>
      <c r="I1418" s="33"/>
      <c r="J1418" s="37"/>
    </row>
    <row r="1419" spans="1:10" x14ac:dyDescent="0.25">
      <c r="A1419" s="32" t="s">
        <v>100</v>
      </c>
      <c r="B1419" s="32">
        <f t="shared" si="345"/>
        <v>2034</v>
      </c>
      <c r="C1419" s="33" t="s">
        <v>14</v>
      </c>
      <c r="D1419" s="34" t="s">
        <v>1999</v>
      </c>
      <c r="E1419" s="35" t="str">
        <f t="shared" si="343"/>
        <v>PRBNP'!</v>
      </c>
      <c r="F1419" s="34" t="str">
        <f t="shared" si="344"/>
        <v>C:\Users\jaime.benazar\Quorum Business Solutions\Ecopetrol Prometeo - Documents\Planning Space Implementation\3. Analysis &amp; Design\Design\FC22\DRR Jaime\QUIFA-CAJÚA\Cajua\[CAJUA_CF_SEC_New_27-Feb-2024Rev3.xlsx]D-PRBNP'!</v>
      </c>
      <c r="G1419" s="32" t="s">
        <v>113</v>
      </c>
      <c r="H1419" s="33"/>
      <c r="I1419" s="33"/>
      <c r="J1419" s="37"/>
    </row>
    <row r="1420" spans="1:10" x14ac:dyDescent="0.25">
      <c r="A1420" s="32" t="s">
        <v>100</v>
      </c>
      <c r="B1420" s="32">
        <f t="shared" si="345"/>
        <v>2035</v>
      </c>
      <c r="C1420" s="33" t="s">
        <v>14</v>
      </c>
      <c r="D1420" s="34" t="s">
        <v>1999</v>
      </c>
      <c r="E1420" s="35" t="str">
        <f t="shared" si="343"/>
        <v>PRBNP'!</v>
      </c>
      <c r="F1420" s="34" t="str">
        <f t="shared" si="344"/>
        <v>C:\Users\jaime.benazar\Quorum Business Solutions\Ecopetrol Prometeo - Documents\Planning Space Implementation\3. Analysis &amp; Design\Design\FC22\DRR Jaime\QUIFA-CAJÚA\Cajua\[CAJUA_CF_SEC_New_27-Feb-2024Rev3.xlsx]D-PRBNP'!</v>
      </c>
      <c r="G1420" s="32" t="s">
        <v>113</v>
      </c>
      <c r="H1420" s="33"/>
      <c r="I1420" s="33"/>
      <c r="J1420" s="37"/>
    </row>
    <row r="1421" spans="1:10" x14ac:dyDescent="0.25">
      <c r="A1421" s="32" t="s">
        <v>100</v>
      </c>
      <c r="B1421" s="32">
        <f t="shared" si="345"/>
        <v>2036</v>
      </c>
      <c r="C1421" s="33" t="s">
        <v>14</v>
      </c>
      <c r="D1421" s="34" t="s">
        <v>1999</v>
      </c>
      <c r="E1421" s="35" t="str">
        <f t="shared" si="343"/>
        <v>PRBNP'!</v>
      </c>
      <c r="F1421" s="34" t="str">
        <f t="shared" si="344"/>
        <v>C:\Users\jaime.benazar\Quorum Business Solutions\Ecopetrol Prometeo - Documents\Planning Space Implementation\3. Analysis &amp; Design\Design\FC22\DRR Jaime\QUIFA-CAJÚA\Cajua\[CAJUA_CF_SEC_New_27-Feb-2024Rev3.xlsx]D-PRBNP'!</v>
      </c>
      <c r="G1421" s="32" t="s">
        <v>113</v>
      </c>
      <c r="H1421" s="33"/>
      <c r="I1421" s="33"/>
      <c r="J1421" s="37"/>
    </row>
    <row r="1422" spans="1:10" x14ac:dyDescent="0.25">
      <c r="A1422" s="32" t="s">
        <v>100</v>
      </c>
      <c r="B1422" s="32">
        <f>+B1421+1</f>
        <v>2037</v>
      </c>
      <c r="C1422" s="33" t="s">
        <v>14</v>
      </c>
      <c r="D1422" s="34" t="s">
        <v>1999</v>
      </c>
      <c r="E1422" s="35" t="str">
        <f t="shared" si="343"/>
        <v>PRBNP'!</v>
      </c>
      <c r="F1422" s="34" t="str">
        <f t="shared" si="344"/>
        <v>C:\Users\jaime.benazar\Quorum Business Solutions\Ecopetrol Prometeo - Documents\Planning Space Implementation\3. Analysis &amp; Design\Design\FC22\DRR Jaime\QUIFA-CAJÚA\Cajua\[CAJUA_CF_SEC_New_27-Feb-2024Rev3.xlsx]D-PRBNP'!</v>
      </c>
      <c r="G1422" s="32" t="s">
        <v>113</v>
      </c>
      <c r="H1422" s="33"/>
      <c r="I1422" s="33"/>
      <c r="J1422" s="37"/>
    </row>
    <row r="1423" spans="1:10" x14ac:dyDescent="0.25">
      <c r="A1423" s="32" t="s">
        <v>100</v>
      </c>
      <c r="B1423" s="32">
        <f t="shared" ref="B1423:B1425" si="346">+B1422+1</f>
        <v>2038</v>
      </c>
      <c r="C1423" s="33" t="s">
        <v>14</v>
      </c>
      <c r="D1423" s="34" t="s">
        <v>1999</v>
      </c>
      <c r="E1423" s="35" t="str">
        <f t="shared" si="343"/>
        <v>PRBNP'!</v>
      </c>
      <c r="F1423" s="34" t="str">
        <f t="shared" si="344"/>
        <v>C:\Users\jaime.benazar\Quorum Business Solutions\Ecopetrol Prometeo - Documents\Planning Space Implementation\3. Analysis &amp; Design\Design\FC22\DRR Jaime\QUIFA-CAJÚA\Cajua\[CAJUA_CF_SEC_New_27-Feb-2024Rev3.xlsx]D-PRBNP'!</v>
      </c>
      <c r="G1423" s="32" t="s">
        <v>113</v>
      </c>
      <c r="H1423" s="33"/>
      <c r="I1423" s="33"/>
      <c r="J1423" s="37"/>
    </row>
    <row r="1424" spans="1:10" x14ac:dyDescent="0.25">
      <c r="A1424" s="32" t="s">
        <v>100</v>
      </c>
      <c r="B1424" s="32">
        <f t="shared" si="346"/>
        <v>2039</v>
      </c>
      <c r="C1424" s="33" t="s">
        <v>14</v>
      </c>
      <c r="D1424" s="34" t="s">
        <v>1999</v>
      </c>
      <c r="E1424" s="35" t="str">
        <f t="shared" si="343"/>
        <v>PRBNP'!</v>
      </c>
      <c r="F1424" s="34" t="str">
        <f t="shared" si="344"/>
        <v>C:\Users\jaime.benazar\Quorum Business Solutions\Ecopetrol Prometeo - Documents\Planning Space Implementation\3. Analysis &amp; Design\Design\FC22\DRR Jaime\QUIFA-CAJÚA\Cajua\[CAJUA_CF_SEC_New_27-Feb-2024Rev3.xlsx]D-PRBNP'!</v>
      </c>
      <c r="G1424" s="32" t="s">
        <v>113</v>
      </c>
      <c r="H1424" s="33"/>
      <c r="I1424" s="33"/>
      <c r="J1424" s="37"/>
    </row>
    <row r="1425" spans="1:10" x14ac:dyDescent="0.25">
      <c r="A1425" s="32" t="s">
        <v>100</v>
      </c>
      <c r="B1425" s="32">
        <f t="shared" si="346"/>
        <v>2040</v>
      </c>
      <c r="C1425" s="33" t="s">
        <v>14</v>
      </c>
      <c r="D1425" s="34" t="s">
        <v>1999</v>
      </c>
      <c r="E1425" s="35" t="str">
        <f t="shared" si="343"/>
        <v>PRBNP'!</v>
      </c>
      <c r="F1425" s="34" t="str">
        <f t="shared" si="344"/>
        <v>C:\Users\jaime.benazar\Quorum Business Solutions\Ecopetrol Prometeo - Documents\Planning Space Implementation\3. Analysis &amp; Design\Design\FC22\DRR Jaime\QUIFA-CAJÚA\Cajua\[CAJUA_CF_SEC_New_27-Feb-2024Rev3.xlsx]D-PRBNP'!</v>
      </c>
      <c r="G1425" s="32" t="s">
        <v>113</v>
      </c>
      <c r="H1425" s="33"/>
      <c r="I1425" s="33"/>
      <c r="J1425" s="37"/>
    </row>
    <row r="1426" spans="1:10" x14ac:dyDescent="0.25">
      <c r="A1426" s="32" t="s">
        <v>100</v>
      </c>
      <c r="B1426" s="32">
        <f>+B1425+1</f>
        <v>2041</v>
      </c>
      <c r="C1426" s="33" t="s">
        <v>14</v>
      </c>
      <c r="D1426" s="34" t="s">
        <v>1999</v>
      </c>
      <c r="E1426" s="35" t="str">
        <f t="shared" si="343"/>
        <v>PRBNP'!</v>
      </c>
      <c r="F1426" s="34" t="str">
        <f t="shared" si="344"/>
        <v>C:\Users\jaime.benazar\Quorum Business Solutions\Ecopetrol Prometeo - Documents\Planning Space Implementation\3. Analysis &amp; Design\Design\FC22\DRR Jaime\QUIFA-CAJÚA\Cajua\[CAJUA_CF_SEC_New_27-Feb-2024Rev3.xlsx]D-PRBNP'!</v>
      </c>
      <c r="G1426" s="32" t="s">
        <v>113</v>
      </c>
      <c r="H1426" s="33"/>
      <c r="I1426" s="33"/>
      <c r="J1426" s="37"/>
    </row>
    <row r="1427" spans="1:10" x14ac:dyDescent="0.25">
      <c r="A1427" s="32" t="s">
        <v>100</v>
      </c>
      <c r="B1427" s="32">
        <f t="shared" ref="B1427:B1428" si="347">+B1426+1</f>
        <v>2042</v>
      </c>
      <c r="C1427" s="33" t="s">
        <v>14</v>
      </c>
      <c r="D1427" s="34" t="s">
        <v>1999</v>
      </c>
      <c r="E1427" s="35" t="str">
        <f t="shared" si="343"/>
        <v>PRBNP'!</v>
      </c>
      <c r="F1427" s="34" t="str">
        <f t="shared" si="344"/>
        <v>C:\Users\jaime.benazar\Quorum Business Solutions\Ecopetrol Prometeo - Documents\Planning Space Implementation\3. Analysis &amp; Design\Design\FC22\DRR Jaime\QUIFA-CAJÚA\Cajua\[CAJUA_CF_SEC_New_27-Feb-2024Rev3.xlsx]D-PRBNP'!</v>
      </c>
      <c r="G1427" s="32" t="s">
        <v>113</v>
      </c>
      <c r="H1427" s="33"/>
      <c r="I1427" s="33"/>
      <c r="J1427" s="37"/>
    </row>
    <row r="1428" spans="1:10" x14ac:dyDescent="0.25">
      <c r="A1428" s="32" t="s">
        <v>100</v>
      </c>
      <c r="B1428" s="32">
        <f t="shared" si="347"/>
        <v>2043</v>
      </c>
      <c r="C1428" s="33" t="s">
        <v>14</v>
      </c>
      <c r="D1428" s="34" t="s">
        <v>1999</v>
      </c>
      <c r="E1428" s="35" t="str">
        <f t="shared" si="343"/>
        <v>PRBNP'!</v>
      </c>
      <c r="F1428" s="34" t="str">
        <f t="shared" si="344"/>
        <v>C:\Users\jaime.benazar\Quorum Business Solutions\Ecopetrol Prometeo - Documents\Planning Space Implementation\3. Analysis &amp; Design\Design\FC22\DRR Jaime\QUIFA-CAJÚA\Cajua\[CAJUA_CF_SEC_New_27-Feb-2024Rev3.xlsx]D-PRBNP'!</v>
      </c>
      <c r="G1428" s="32" t="s">
        <v>113</v>
      </c>
      <c r="H1428" s="33"/>
      <c r="I1428" s="33"/>
      <c r="J1428" s="37"/>
    </row>
    <row r="1429" spans="1:10" x14ac:dyDescent="0.25">
      <c r="A1429" s="32" t="s">
        <v>100</v>
      </c>
      <c r="B1429" s="32">
        <f>+B1428+1</f>
        <v>2044</v>
      </c>
      <c r="C1429" s="33" t="s">
        <v>14</v>
      </c>
      <c r="D1429" s="34" t="s">
        <v>1999</v>
      </c>
      <c r="E1429" s="35" t="str">
        <f t="shared" ref="E1429:E1444" si="348">_xlfn.CONCAT(A1429,"'!")</f>
        <v>PRBNP'!</v>
      </c>
      <c r="F1429" s="34" t="str">
        <f t="shared" ref="F1429:F1444" si="349">_xlfn.CONCAT(D1429:E1429)</f>
        <v>C:\Users\jaime.benazar\Quorum Business Solutions\Ecopetrol Prometeo - Documents\Planning Space Implementation\3. Analysis &amp; Design\Design\FC22\DRR Jaime\QUIFA-CAJÚA\Cajua\[CAJUA_CF_SEC_New_27-Feb-2024Rev3.xlsx]D-PRBNP'!</v>
      </c>
      <c r="G1429" s="32" t="s">
        <v>113</v>
      </c>
      <c r="H1429" s="33"/>
      <c r="I1429" s="33"/>
      <c r="J1429" s="37"/>
    </row>
    <row r="1430" spans="1:10" x14ac:dyDescent="0.25">
      <c r="A1430" s="32" t="s">
        <v>100</v>
      </c>
      <c r="B1430" s="32">
        <f t="shared" ref="B1430:B1444" si="350">+B1429+1</f>
        <v>2045</v>
      </c>
      <c r="C1430" s="33" t="s">
        <v>14</v>
      </c>
      <c r="D1430" s="34" t="s">
        <v>1999</v>
      </c>
      <c r="E1430" s="35" t="str">
        <f t="shared" si="348"/>
        <v>PRBNP'!</v>
      </c>
      <c r="F1430" s="34" t="str">
        <f t="shared" si="349"/>
        <v>C:\Users\jaime.benazar\Quorum Business Solutions\Ecopetrol Prometeo - Documents\Planning Space Implementation\3. Analysis &amp; Design\Design\FC22\DRR Jaime\QUIFA-CAJÚA\Cajua\[CAJUA_CF_SEC_New_27-Feb-2024Rev3.xlsx]D-PRBNP'!</v>
      </c>
      <c r="G1430" s="32" t="s">
        <v>113</v>
      </c>
      <c r="H1430" s="33"/>
      <c r="I1430" s="33"/>
      <c r="J1430" s="37"/>
    </row>
    <row r="1431" spans="1:10" x14ac:dyDescent="0.25">
      <c r="A1431" s="32" t="s">
        <v>100</v>
      </c>
      <c r="B1431" s="32">
        <f t="shared" si="350"/>
        <v>2046</v>
      </c>
      <c r="C1431" s="33" t="s">
        <v>14</v>
      </c>
      <c r="D1431" s="34" t="s">
        <v>1999</v>
      </c>
      <c r="E1431" s="35" t="str">
        <f t="shared" si="348"/>
        <v>PRBNP'!</v>
      </c>
      <c r="F1431" s="34" t="str">
        <f t="shared" si="349"/>
        <v>C:\Users\jaime.benazar\Quorum Business Solutions\Ecopetrol Prometeo - Documents\Planning Space Implementation\3. Analysis &amp; Design\Design\FC22\DRR Jaime\QUIFA-CAJÚA\Cajua\[CAJUA_CF_SEC_New_27-Feb-2024Rev3.xlsx]D-PRBNP'!</v>
      </c>
      <c r="G1431" s="32" t="s">
        <v>113</v>
      </c>
      <c r="H1431" s="33"/>
      <c r="I1431" s="33"/>
      <c r="J1431" s="37"/>
    </row>
    <row r="1432" spans="1:10" x14ac:dyDescent="0.25">
      <c r="A1432" s="32" t="s">
        <v>100</v>
      </c>
      <c r="B1432" s="32">
        <f t="shared" si="350"/>
        <v>2047</v>
      </c>
      <c r="C1432" s="33" t="s">
        <v>14</v>
      </c>
      <c r="D1432" s="34" t="s">
        <v>1999</v>
      </c>
      <c r="E1432" s="35" t="str">
        <f t="shared" si="348"/>
        <v>PRBNP'!</v>
      </c>
      <c r="F1432" s="34" t="str">
        <f t="shared" si="349"/>
        <v>C:\Users\jaime.benazar\Quorum Business Solutions\Ecopetrol Prometeo - Documents\Planning Space Implementation\3. Analysis &amp; Design\Design\FC22\DRR Jaime\QUIFA-CAJÚA\Cajua\[CAJUA_CF_SEC_New_27-Feb-2024Rev3.xlsx]D-PRBNP'!</v>
      </c>
      <c r="G1432" s="32" t="s">
        <v>113</v>
      </c>
      <c r="H1432" s="33"/>
      <c r="I1432" s="33"/>
      <c r="J1432" s="37"/>
    </row>
    <row r="1433" spans="1:10" x14ac:dyDescent="0.25">
      <c r="A1433" s="32" t="s">
        <v>100</v>
      </c>
      <c r="B1433" s="32">
        <f t="shared" si="350"/>
        <v>2048</v>
      </c>
      <c r="C1433" s="33" t="s">
        <v>14</v>
      </c>
      <c r="D1433" s="34" t="s">
        <v>1999</v>
      </c>
      <c r="E1433" s="35" t="str">
        <f t="shared" si="348"/>
        <v>PRBNP'!</v>
      </c>
      <c r="F1433" s="34" t="str">
        <f t="shared" si="349"/>
        <v>C:\Users\jaime.benazar\Quorum Business Solutions\Ecopetrol Prometeo - Documents\Planning Space Implementation\3. Analysis &amp; Design\Design\FC22\DRR Jaime\QUIFA-CAJÚA\Cajua\[CAJUA_CF_SEC_New_27-Feb-2024Rev3.xlsx]D-PRBNP'!</v>
      </c>
      <c r="G1433" s="32" t="s">
        <v>113</v>
      </c>
      <c r="H1433" s="33"/>
      <c r="I1433" s="33"/>
      <c r="J1433" s="37"/>
    </row>
    <row r="1434" spans="1:10" x14ac:dyDescent="0.25">
      <c r="A1434" s="32" t="s">
        <v>100</v>
      </c>
      <c r="B1434" s="32">
        <f t="shared" si="350"/>
        <v>2049</v>
      </c>
      <c r="C1434" s="33" t="s">
        <v>14</v>
      </c>
      <c r="D1434" s="34" t="s">
        <v>1999</v>
      </c>
      <c r="E1434" s="35" t="str">
        <f t="shared" si="348"/>
        <v>PRBNP'!</v>
      </c>
      <c r="F1434" s="34" t="str">
        <f t="shared" si="349"/>
        <v>C:\Users\jaime.benazar\Quorum Business Solutions\Ecopetrol Prometeo - Documents\Planning Space Implementation\3. Analysis &amp; Design\Design\FC22\DRR Jaime\QUIFA-CAJÚA\Cajua\[CAJUA_CF_SEC_New_27-Feb-2024Rev3.xlsx]D-PRBNP'!</v>
      </c>
      <c r="G1434" s="32" t="s">
        <v>113</v>
      </c>
      <c r="H1434" s="33"/>
      <c r="I1434" s="33"/>
      <c r="J1434" s="37"/>
    </row>
    <row r="1435" spans="1:10" x14ac:dyDescent="0.25">
      <c r="A1435" s="32" t="s">
        <v>100</v>
      </c>
      <c r="B1435" s="32">
        <f t="shared" si="350"/>
        <v>2050</v>
      </c>
      <c r="C1435" s="33" t="s">
        <v>14</v>
      </c>
      <c r="D1435" s="34" t="s">
        <v>1999</v>
      </c>
      <c r="E1435" s="35" t="str">
        <f t="shared" si="348"/>
        <v>PRBNP'!</v>
      </c>
      <c r="F1435" s="34" t="str">
        <f t="shared" si="349"/>
        <v>C:\Users\jaime.benazar\Quorum Business Solutions\Ecopetrol Prometeo - Documents\Planning Space Implementation\3. Analysis &amp; Design\Design\FC22\DRR Jaime\QUIFA-CAJÚA\Cajua\[CAJUA_CF_SEC_New_27-Feb-2024Rev3.xlsx]D-PRBNP'!</v>
      </c>
      <c r="G1435" s="32" t="s">
        <v>113</v>
      </c>
      <c r="H1435" s="33"/>
      <c r="I1435" s="33"/>
      <c r="J1435" s="37"/>
    </row>
    <row r="1436" spans="1:10" x14ac:dyDescent="0.25">
      <c r="A1436" s="32" t="s">
        <v>100</v>
      </c>
      <c r="B1436" s="32">
        <f t="shared" si="350"/>
        <v>2051</v>
      </c>
      <c r="C1436" s="33" t="s">
        <v>14</v>
      </c>
      <c r="D1436" s="34" t="s">
        <v>1999</v>
      </c>
      <c r="E1436" s="35" t="str">
        <f t="shared" si="348"/>
        <v>PRBNP'!</v>
      </c>
      <c r="F1436" s="34" t="str">
        <f t="shared" si="349"/>
        <v>C:\Users\jaime.benazar\Quorum Business Solutions\Ecopetrol Prometeo - Documents\Planning Space Implementation\3. Analysis &amp; Design\Design\FC22\DRR Jaime\QUIFA-CAJÚA\Cajua\[CAJUA_CF_SEC_New_27-Feb-2024Rev3.xlsx]D-PRBNP'!</v>
      </c>
      <c r="G1436" s="32" t="s">
        <v>113</v>
      </c>
      <c r="H1436" s="33"/>
      <c r="I1436" s="33"/>
      <c r="J1436" s="37"/>
    </row>
    <row r="1437" spans="1:10" x14ac:dyDescent="0.25">
      <c r="A1437" s="32" t="s">
        <v>100</v>
      </c>
      <c r="B1437" s="32">
        <f t="shared" si="350"/>
        <v>2052</v>
      </c>
      <c r="C1437" s="33" t="s">
        <v>14</v>
      </c>
      <c r="D1437" s="34" t="s">
        <v>1999</v>
      </c>
      <c r="E1437" s="35" t="str">
        <f t="shared" si="348"/>
        <v>PRBNP'!</v>
      </c>
      <c r="F1437" s="34" t="str">
        <f t="shared" si="349"/>
        <v>C:\Users\jaime.benazar\Quorum Business Solutions\Ecopetrol Prometeo - Documents\Planning Space Implementation\3. Analysis &amp; Design\Design\FC22\DRR Jaime\QUIFA-CAJÚA\Cajua\[CAJUA_CF_SEC_New_27-Feb-2024Rev3.xlsx]D-PRBNP'!</v>
      </c>
      <c r="G1437" s="32" t="s">
        <v>113</v>
      </c>
      <c r="H1437" s="33"/>
      <c r="I1437" s="33"/>
      <c r="J1437" s="37"/>
    </row>
    <row r="1438" spans="1:10" x14ac:dyDescent="0.25">
      <c r="A1438" s="32" t="s">
        <v>100</v>
      </c>
      <c r="B1438" s="32">
        <f t="shared" si="350"/>
        <v>2053</v>
      </c>
      <c r="C1438" s="33" t="s">
        <v>14</v>
      </c>
      <c r="D1438" s="34" t="s">
        <v>1999</v>
      </c>
      <c r="E1438" s="35" t="str">
        <f t="shared" si="348"/>
        <v>PRBNP'!</v>
      </c>
      <c r="F1438" s="34" t="str">
        <f t="shared" si="349"/>
        <v>C:\Users\jaime.benazar\Quorum Business Solutions\Ecopetrol Prometeo - Documents\Planning Space Implementation\3. Analysis &amp; Design\Design\FC22\DRR Jaime\QUIFA-CAJÚA\Cajua\[CAJUA_CF_SEC_New_27-Feb-2024Rev3.xlsx]D-PRBNP'!</v>
      </c>
      <c r="G1438" s="32" t="s">
        <v>113</v>
      </c>
      <c r="H1438" s="33"/>
      <c r="I1438" s="33"/>
      <c r="J1438" s="37"/>
    </row>
    <row r="1439" spans="1:10" x14ac:dyDescent="0.25">
      <c r="A1439" s="32" t="s">
        <v>100</v>
      </c>
      <c r="B1439" s="32">
        <f t="shared" si="350"/>
        <v>2054</v>
      </c>
      <c r="C1439" s="33" t="s">
        <v>14</v>
      </c>
      <c r="D1439" s="34" t="s">
        <v>1999</v>
      </c>
      <c r="E1439" s="35" t="str">
        <f t="shared" si="348"/>
        <v>PRBNP'!</v>
      </c>
      <c r="F1439" s="34" t="str">
        <f t="shared" si="349"/>
        <v>C:\Users\jaime.benazar\Quorum Business Solutions\Ecopetrol Prometeo - Documents\Planning Space Implementation\3. Analysis &amp; Design\Design\FC22\DRR Jaime\QUIFA-CAJÚA\Cajua\[CAJUA_CF_SEC_New_27-Feb-2024Rev3.xlsx]D-PRBNP'!</v>
      </c>
      <c r="G1439" s="32" t="s">
        <v>113</v>
      </c>
      <c r="H1439" s="33"/>
      <c r="I1439" s="33"/>
      <c r="J1439" s="37"/>
    </row>
    <row r="1440" spans="1:10" x14ac:dyDescent="0.25">
      <c r="A1440" s="32" t="s">
        <v>100</v>
      </c>
      <c r="B1440" s="32">
        <f t="shared" si="350"/>
        <v>2055</v>
      </c>
      <c r="C1440" s="33" t="s">
        <v>14</v>
      </c>
      <c r="D1440" s="34" t="s">
        <v>1999</v>
      </c>
      <c r="E1440" s="35" t="str">
        <f t="shared" si="348"/>
        <v>PRBNP'!</v>
      </c>
      <c r="F1440" s="34" t="str">
        <f t="shared" si="349"/>
        <v>C:\Users\jaime.benazar\Quorum Business Solutions\Ecopetrol Prometeo - Documents\Planning Space Implementation\3. Analysis &amp; Design\Design\FC22\DRR Jaime\QUIFA-CAJÚA\Cajua\[CAJUA_CF_SEC_New_27-Feb-2024Rev3.xlsx]D-PRBNP'!</v>
      </c>
      <c r="G1440" s="32" t="s">
        <v>113</v>
      </c>
      <c r="H1440" s="33"/>
      <c r="I1440" s="33"/>
      <c r="J1440" s="37"/>
    </row>
    <row r="1441" spans="1:10" x14ac:dyDescent="0.25">
      <c r="A1441" s="32" t="s">
        <v>100</v>
      </c>
      <c r="B1441" s="32">
        <f t="shared" si="350"/>
        <v>2056</v>
      </c>
      <c r="C1441" s="33" t="s">
        <v>14</v>
      </c>
      <c r="D1441" s="34" t="s">
        <v>1999</v>
      </c>
      <c r="E1441" s="35" t="str">
        <f t="shared" si="348"/>
        <v>PRBNP'!</v>
      </c>
      <c r="F1441" s="34" t="str">
        <f t="shared" si="349"/>
        <v>C:\Users\jaime.benazar\Quorum Business Solutions\Ecopetrol Prometeo - Documents\Planning Space Implementation\3. Analysis &amp; Design\Design\FC22\DRR Jaime\QUIFA-CAJÚA\Cajua\[CAJUA_CF_SEC_New_27-Feb-2024Rev3.xlsx]D-PRBNP'!</v>
      </c>
      <c r="G1441" s="32" t="s">
        <v>113</v>
      </c>
      <c r="H1441" s="33"/>
      <c r="I1441" s="33"/>
      <c r="J1441" s="37"/>
    </row>
    <row r="1442" spans="1:10" x14ac:dyDescent="0.25">
      <c r="A1442" s="32" t="s">
        <v>100</v>
      </c>
      <c r="B1442" s="32">
        <f t="shared" si="350"/>
        <v>2057</v>
      </c>
      <c r="C1442" s="33" t="s">
        <v>14</v>
      </c>
      <c r="D1442" s="34" t="s">
        <v>1999</v>
      </c>
      <c r="E1442" s="35" t="str">
        <f t="shared" si="348"/>
        <v>PRBNP'!</v>
      </c>
      <c r="F1442" s="34" t="str">
        <f t="shared" si="349"/>
        <v>C:\Users\jaime.benazar\Quorum Business Solutions\Ecopetrol Prometeo - Documents\Planning Space Implementation\3. Analysis &amp; Design\Design\FC22\DRR Jaime\QUIFA-CAJÚA\Cajua\[CAJUA_CF_SEC_New_27-Feb-2024Rev3.xlsx]D-PRBNP'!</v>
      </c>
      <c r="G1442" s="32" t="s">
        <v>113</v>
      </c>
      <c r="H1442" s="33"/>
      <c r="I1442" s="33"/>
      <c r="J1442" s="37"/>
    </row>
    <row r="1443" spans="1:10" x14ac:dyDescent="0.25">
      <c r="A1443" s="32" t="s">
        <v>100</v>
      </c>
      <c r="B1443" s="32">
        <f t="shared" si="350"/>
        <v>2058</v>
      </c>
      <c r="C1443" s="33" t="s">
        <v>14</v>
      </c>
      <c r="D1443" s="34" t="s">
        <v>1999</v>
      </c>
      <c r="E1443" s="35" t="str">
        <f t="shared" si="348"/>
        <v>PRBNP'!</v>
      </c>
      <c r="F1443" s="34" t="str">
        <f t="shared" si="349"/>
        <v>C:\Users\jaime.benazar\Quorum Business Solutions\Ecopetrol Prometeo - Documents\Planning Space Implementation\3. Analysis &amp; Design\Design\FC22\DRR Jaime\QUIFA-CAJÚA\Cajua\[CAJUA_CF_SEC_New_27-Feb-2024Rev3.xlsx]D-PRBNP'!</v>
      </c>
      <c r="G1443" s="32" t="s">
        <v>113</v>
      </c>
      <c r="H1443" s="33"/>
      <c r="I1443" s="33"/>
      <c r="J1443" s="37"/>
    </row>
    <row r="1444" spans="1:10" x14ac:dyDescent="0.25">
      <c r="A1444" s="32" t="s">
        <v>100</v>
      </c>
      <c r="B1444" s="32">
        <f t="shared" si="350"/>
        <v>2059</v>
      </c>
      <c r="C1444" s="33" t="s">
        <v>14</v>
      </c>
      <c r="D1444" s="34" t="s">
        <v>1999</v>
      </c>
      <c r="E1444" s="35" t="str">
        <f t="shared" si="348"/>
        <v>PRBNP'!</v>
      </c>
      <c r="F1444" s="34" t="str">
        <f t="shared" si="349"/>
        <v>C:\Users\jaime.benazar\Quorum Business Solutions\Ecopetrol Prometeo - Documents\Planning Space Implementation\3. Analysis &amp; Design\Design\FC22\DRR Jaime\QUIFA-CAJÚA\Cajua\[CAJUA_CF_SEC_New_27-Feb-2024Rev3.xlsx]D-PRBNP'!</v>
      </c>
      <c r="G1444" s="32" t="s">
        <v>113</v>
      </c>
      <c r="H1444" s="33"/>
      <c r="I1444" s="33"/>
      <c r="J1444" s="37"/>
    </row>
    <row r="1445" spans="1:10" x14ac:dyDescent="0.25">
      <c r="A1445" s="32" t="s">
        <v>28</v>
      </c>
      <c r="B1445" s="32"/>
      <c r="C1445" s="33" t="s">
        <v>14</v>
      </c>
      <c r="D1445" s="34"/>
      <c r="E1445" s="35"/>
      <c r="F1445" s="34"/>
      <c r="G1445" s="32"/>
      <c r="H1445" s="33"/>
      <c r="I1445" s="33"/>
      <c r="J1445" s="33"/>
    </row>
    <row r="1446" spans="1:10" x14ac:dyDescent="0.25">
      <c r="A1446" s="32" t="s">
        <v>101</v>
      </c>
      <c r="B1446" s="32">
        <v>2023</v>
      </c>
      <c r="C1446" s="33" t="s">
        <v>14</v>
      </c>
      <c r="D1446" s="34" t="s">
        <v>1999</v>
      </c>
      <c r="E1446" s="35" t="str">
        <f t="shared" ref="E1446:E1466" si="351">_xlfn.CONCAT(A1446,"'!")</f>
        <v>PRBND'!</v>
      </c>
      <c r="F1446" s="34" t="str">
        <f t="shared" ref="F1446:F1466" si="352">_xlfn.CONCAT(D1446:E1446)</f>
        <v>C:\Users\jaime.benazar\Quorum Business Solutions\Ecopetrol Prometeo - Documents\Planning Space Implementation\3. Analysis &amp; Design\Design\FC22\DRR Jaime\QUIFA-CAJÚA\Cajua\[CAJUA_CF_SEC_New_27-Feb-2024Rev3.xlsx]D-PRBND'!</v>
      </c>
      <c r="G1446" s="32" t="s">
        <v>113</v>
      </c>
      <c r="H1446" s="33"/>
      <c r="I1446" s="33"/>
      <c r="J1446" s="37"/>
    </row>
    <row r="1447" spans="1:10" x14ac:dyDescent="0.25">
      <c r="A1447" s="32" t="s">
        <v>101</v>
      </c>
      <c r="B1447" s="32">
        <f>+B1446+1</f>
        <v>2024</v>
      </c>
      <c r="C1447" s="33" t="s">
        <v>14</v>
      </c>
      <c r="D1447" s="34" t="s">
        <v>1999</v>
      </c>
      <c r="E1447" s="35" t="str">
        <f t="shared" si="351"/>
        <v>PRBND'!</v>
      </c>
      <c r="F1447" s="34" t="str">
        <f t="shared" si="352"/>
        <v>C:\Users\jaime.benazar\Quorum Business Solutions\Ecopetrol Prometeo - Documents\Planning Space Implementation\3. Analysis &amp; Design\Design\FC22\DRR Jaime\QUIFA-CAJÚA\Cajua\[CAJUA_CF_SEC_New_27-Feb-2024Rev3.xlsx]D-PRBND'!</v>
      </c>
      <c r="G1447" s="32" t="s">
        <v>113</v>
      </c>
      <c r="H1447" s="33"/>
      <c r="I1447" s="33"/>
      <c r="J1447" s="37"/>
    </row>
    <row r="1448" spans="1:10" x14ac:dyDescent="0.25">
      <c r="A1448" s="32" t="s">
        <v>101</v>
      </c>
      <c r="B1448" s="32">
        <f t="shared" ref="B1448:B1459" si="353">+B1447+1</f>
        <v>2025</v>
      </c>
      <c r="C1448" s="33" t="s">
        <v>14</v>
      </c>
      <c r="D1448" s="34" t="s">
        <v>1999</v>
      </c>
      <c r="E1448" s="35" t="str">
        <f t="shared" si="351"/>
        <v>PRBND'!</v>
      </c>
      <c r="F1448" s="34" t="str">
        <f t="shared" si="352"/>
        <v>C:\Users\jaime.benazar\Quorum Business Solutions\Ecopetrol Prometeo - Documents\Planning Space Implementation\3. Analysis &amp; Design\Design\FC22\DRR Jaime\QUIFA-CAJÚA\Cajua\[CAJUA_CF_SEC_New_27-Feb-2024Rev3.xlsx]D-PRBND'!</v>
      </c>
      <c r="G1448" s="32" t="s">
        <v>113</v>
      </c>
      <c r="H1448" s="33"/>
      <c r="I1448" s="33"/>
      <c r="J1448" s="37"/>
    </row>
    <row r="1449" spans="1:10" x14ac:dyDescent="0.25">
      <c r="A1449" s="32" t="s">
        <v>101</v>
      </c>
      <c r="B1449" s="32">
        <f t="shared" si="353"/>
        <v>2026</v>
      </c>
      <c r="C1449" s="33" t="s">
        <v>14</v>
      </c>
      <c r="D1449" s="34" t="s">
        <v>1999</v>
      </c>
      <c r="E1449" s="35" t="str">
        <f t="shared" si="351"/>
        <v>PRBND'!</v>
      </c>
      <c r="F1449" s="34" t="str">
        <f t="shared" si="352"/>
        <v>C:\Users\jaime.benazar\Quorum Business Solutions\Ecopetrol Prometeo - Documents\Planning Space Implementation\3. Analysis &amp; Design\Design\FC22\DRR Jaime\QUIFA-CAJÚA\Cajua\[CAJUA_CF_SEC_New_27-Feb-2024Rev3.xlsx]D-PRBND'!</v>
      </c>
      <c r="G1449" s="32" t="s">
        <v>113</v>
      </c>
      <c r="H1449" s="33"/>
      <c r="I1449" s="33"/>
      <c r="J1449" s="37"/>
    </row>
    <row r="1450" spans="1:10" x14ac:dyDescent="0.25">
      <c r="A1450" s="32" t="s">
        <v>101</v>
      </c>
      <c r="B1450" s="32">
        <f t="shared" si="353"/>
        <v>2027</v>
      </c>
      <c r="C1450" s="33" t="s">
        <v>14</v>
      </c>
      <c r="D1450" s="34" t="s">
        <v>1999</v>
      </c>
      <c r="E1450" s="35" t="str">
        <f t="shared" si="351"/>
        <v>PRBND'!</v>
      </c>
      <c r="F1450" s="34" t="str">
        <f t="shared" si="352"/>
        <v>C:\Users\jaime.benazar\Quorum Business Solutions\Ecopetrol Prometeo - Documents\Planning Space Implementation\3. Analysis &amp; Design\Design\FC22\DRR Jaime\QUIFA-CAJÚA\Cajua\[CAJUA_CF_SEC_New_27-Feb-2024Rev3.xlsx]D-PRBND'!</v>
      </c>
      <c r="G1450" s="32" t="s">
        <v>113</v>
      </c>
      <c r="H1450" s="33"/>
      <c r="I1450" s="33"/>
      <c r="J1450" s="37"/>
    </row>
    <row r="1451" spans="1:10" x14ac:dyDescent="0.25">
      <c r="A1451" s="32" t="s">
        <v>101</v>
      </c>
      <c r="B1451" s="32">
        <f t="shared" si="353"/>
        <v>2028</v>
      </c>
      <c r="C1451" s="33" t="s">
        <v>14</v>
      </c>
      <c r="D1451" s="34" t="s">
        <v>1999</v>
      </c>
      <c r="E1451" s="35" t="str">
        <f t="shared" si="351"/>
        <v>PRBND'!</v>
      </c>
      <c r="F1451" s="34" t="str">
        <f t="shared" si="352"/>
        <v>C:\Users\jaime.benazar\Quorum Business Solutions\Ecopetrol Prometeo - Documents\Planning Space Implementation\3. Analysis &amp; Design\Design\FC22\DRR Jaime\QUIFA-CAJÚA\Cajua\[CAJUA_CF_SEC_New_27-Feb-2024Rev3.xlsx]D-PRBND'!</v>
      </c>
      <c r="G1451" s="32" t="s">
        <v>113</v>
      </c>
      <c r="H1451" s="33"/>
      <c r="I1451" s="33"/>
      <c r="J1451" s="37"/>
    </row>
    <row r="1452" spans="1:10" x14ac:dyDescent="0.25">
      <c r="A1452" s="32" t="s">
        <v>101</v>
      </c>
      <c r="B1452" s="32">
        <f t="shared" si="353"/>
        <v>2029</v>
      </c>
      <c r="C1452" s="33" t="s">
        <v>14</v>
      </c>
      <c r="D1452" s="34" t="s">
        <v>1999</v>
      </c>
      <c r="E1452" s="35" t="str">
        <f t="shared" si="351"/>
        <v>PRBND'!</v>
      </c>
      <c r="F1452" s="34" t="str">
        <f t="shared" si="352"/>
        <v>C:\Users\jaime.benazar\Quorum Business Solutions\Ecopetrol Prometeo - Documents\Planning Space Implementation\3. Analysis &amp; Design\Design\FC22\DRR Jaime\QUIFA-CAJÚA\Cajua\[CAJUA_CF_SEC_New_27-Feb-2024Rev3.xlsx]D-PRBND'!</v>
      </c>
      <c r="G1452" s="32" t="s">
        <v>113</v>
      </c>
      <c r="H1452" s="33"/>
      <c r="I1452" s="33"/>
      <c r="J1452" s="37"/>
    </row>
    <row r="1453" spans="1:10" x14ac:dyDescent="0.25">
      <c r="A1453" s="32" t="s">
        <v>101</v>
      </c>
      <c r="B1453" s="32">
        <f t="shared" si="353"/>
        <v>2030</v>
      </c>
      <c r="C1453" s="33" t="s">
        <v>14</v>
      </c>
      <c r="D1453" s="34" t="s">
        <v>1999</v>
      </c>
      <c r="E1453" s="35" t="str">
        <f t="shared" si="351"/>
        <v>PRBND'!</v>
      </c>
      <c r="F1453" s="34" t="str">
        <f t="shared" si="352"/>
        <v>C:\Users\jaime.benazar\Quorum Business Solutions\Ecopetrol Prometeo - Documents\Planning Space Implementation\3. Analysis &amp; Design\Design\FC22\DRR Jaime\QUIFA-CAJÚA\Cajua\[CAJUA_CF_SEC_New_27-Feb-2024Rev3.xlsx]D-PRBND'!</v>
      </c>
      <c r="G1453" s="32" t="s">
        <v>113</v>
      </c>
      <c r="H1453" s="33"/>
      <c r="I1453" s="33"/>
      <c r="J1453" s="37"/>
    </row>
    <row r="1454" spans="1:10" x14ac:dyDescent="0.25">
      <c r="A1454" s="32" t="s">
        <v>101</v>
      </c>
      <c r="B1454" s="32">
        <f t="shared" si="353"/>
        <v>2031</v>
      </c>
      <c r="C1454" s="33" t="s">
        <v>14</v>
      </c>
      <c r="D1454" s="34" t="s">
        <v>1999</v>
      </c>
      <c r="E1454" s="35" t="str">
        <f t="shared" si="351"/>
        <v>PRBND'!</v>
      </c>
      <c r="F1454" s="34" t="str">
        <f t="shared" si="352"/>
        <v>C:\Users\jaime.benazar\Quorum Business Solutions\Ecopetrol Prometeo - Documents\Planning Space Implementation\3. Analysis &amp; Design\Design\FC22\DRR Jaime\QUIFA-CAJÚA\Cajua\[CAJUA_CF_SEC_New_27-Feb-2024Rev3.xlsx]D-PRBND'!</v>
      </c>
      <c r="G1454" s="32" t="s">
        <v>113</v>
      </c>
      <c r="H1454" s="33"/>
      <c r="I1454" s="33"/>
      <c r="J1454" s="37"/>
    </row>
    <row r="1455" spans="1:10" x14ac:dyDescent="0.25">
      <c r="A1455" s="32" t="s">
        <v>101</v>
      </c>
      <c r="B1455" s="32">
        <f t="shared" si="353"/>
        <v>2032</v>
      </c>
      <c r="C1455" s="33" t="s">
        <v>14</v>
      </c>
      <c r="D1455" s="34" t="s">
        <v>1999</v>
      </c>
      <c r="E1455" s="35" t="str">
        <f t="shared" si="351"/>
        <v>PRBND'!</v>
      </c>
      <c r="F1455" s="34" t="str">
        <f t="shared" si="352"/>
        <v>C:\Users\jaime.benazar\Quorum Business Solutions\Ecopetrol Prometeo - Documents\Planning Space Implementation\3. Analysis &amp; Design\Design\FC22\DRR Jaime\QUIFA-CAJÚA\Cajua\[CAJUA_CF_SEC_New_27-Feb-2024Rev3.xlsx]D-PRBND'!</v>
      </c>
      <c r="G1455" s="32" t="s">
        <v>113</v>
      </c>
      <c r="H1455" s="33"/>
      <c r="I1455" s="33"/>
      <c r="J1455" s="37"/>
    </row>
    <row r="1456" spans="1:10" x14ac:dyDescent="0.25">
      <c r="A1456" s="32" t="s">
        <v>101</v>
      </c>
      <c r="B1456" s="32">
        <f t="shared" si="353"/>
        <v>2033</v>
      </c>
      <c r="C1456" s="33" t="s">
        <v>14</v>
      </c>
      <c r="D1456" s="34" t="s">
        <v>1999</v>
      </c>
      <c r="E1456" s="35" t="str">
        <f t="shared" si="351"/>
        <v>PRBND'!</v>
      </c>
      <c r="F1456" s="34" t="str">
        <f t="shared" si="352"/>
        <v>C:\Users\jaime.benazar\Quorum Business Solutions\Ecopetrol Prometeo - Documents\Planning Space Implementation\3. Analysis &amp; Design\Design\FC22\DRR Jaime\QUIFA-CAJÚA\Cajua\[CAJUA_CF_SEC_New_27-Feb-2024Rev3.xlsx]D-PRBND'!</v>
      </c>
      <c r="G1456" s="32" t="s">
        <v>113</v>
      </c>
      <c r="H1456" s="33"/>
      <c r="I1456" s="33"/>
      <c r="J1456" s="37"/>
    </row>
    <row r="1457" spans="1:10" x14ac:dyDescent="0.25">
      <c r="A1457" s="32" t="s">
        <v>101</v>
      </c>
      <c r="B1457" s="32">
        <f t="shared" si="353"/>
        <v>2034</v>
      </c>
      <c r="C1457" s="33" t="s">
        <v>14</v>
      </c>
      <c r="D1457" s="34" t="s">
        <v>1999</v>
      </c>
      <c r="E1457" s="35" t="str">
        <f t="shared" si="351"/>
        <v>PRBND'!</v>
      </c>
      <c r="F1457" s="34" t="str">
        <f t="shared" si="352"/>
        <v>C:\Users\jaime.benazar\Quorum Business Solutions\Ecopetrol Prometeo - Documents\Planning Space Implementation\3. Analysis &amp; Design\Design\FC22\DRR Jaime\QUIFA-CAJÚA\Cajua\[CAJUA_CF_SEC_New_27-Feb-2024Rev3.xlsx]D-PRBND'!</v>
      </c>
      <c r="G1457" s="32" t="s">
        <v>113</v>
      </c>
      <c r="H1457" s="33"/>
      <c r="I1457" s="33"/>
      <c r="J1457" s="37"/>
    </row>
    <row r="1458" spans="1:10" x14ac:dyDescent="0.25">
      <c r="A1458" s="32" t="s">
        <v>101</v>
      </c>
      <c r="B1458" s="32">
        <f t="shared" si="353"/>
        <v>2035</v>
      </c>
      <c r="C1458" s="33" t="s">
        <v>14</v>
      </c>
      <c r="D1458" s="34" t="s">
        <v>1999</v>
      </c>
      <c r="E1458" s="35" t="str">
        <f t="shared" si="351"/>
        <v>PRBND'!</v>
      </c>
      <c r="F1458" s="34" t="str">
        <f t="shared" si="352"/>
        <v>C:\Users\jaime.benazar\Quorum Business Solutions\Ecopetrol Prometeo - Documents\Planning Space Implementation\3. Analysis &amp; Design\Design\FC22\DRR Jaime\QUIFA-CAJÚA\Cajua\[CAJUA_CF_SEC_New_27-Feb-2024Rev3.xlsx]D-PRBND'!</v>
      </c>
      <c r="G1458" s="32" t="s">
        <v>113</v>
      </c>
      <c r="H1458" s="33"/>
      <c r="I1458" s="33"/>
      <c r="J1458" s="37"/>
    </row>
    <row r="1459" spans="1:10" x14ac:dyDescent="0.25">
      <c r="A1459" s="32" t="s">
        <v>101</v>
      </c>
      <c r="B1459" s="32">
        <f t="shared" si="353"/>
        <v>2036</v>
      </c>
      <c r="C1459" s="33" t="s">
        <v>14</v>
      </c>
      <c r="D1459" s="34" t="s">
        <v>1999</v>
      </c>
      <c r="E1459" s="35" t="str">
        <f t="shared" si="351"/>
        <v>PRBND'!</v>
      </c>
      <c r="F1459" s="34" t="str">
        <f t="shared" si="352"/>
        <v>C:\Users\jaime.benazar\Quorum Business Solutions\Ecopetrol Prometeo - Documents\Planning Space Implementation\3. Analysis &amp; Design\Design\FC22\DRR Jaime\QUIFA-CAJÚA\Cajua\[CAJUA_CF_SEC_New_27-Feb-2024Rev3.xlsx]D-PRBND'!</v>
      </c>
      <c r="G1459" s="32" t="s">
        <v>113</v>
      </c>
      <c r="H1459" s="33"/>
      <c r="I1459" s="33"/>
      <c r="J1459" s="37"/>
    </row>
    <row r="1460" spans="1:10" x14ac:dyDescent="0.25">
      <c r="A1460" s="32" t="s">
        <v>101</v>
      </c>
      <c r="B1460" s="32">
        <f>+B1459+1</f>
        <v>2037</v>
      </c>
      <c r="C1460" s="33" t="s">
        <v>14</v>
      </c>
      <c r="D1460" s="34" t="s">
        <v>1999</v>
      </c>
      <c r="E1460" s="35" t="str">
        <f t="shared" si="351"/>
        <v>PRBND'!</v>
      </c>
      <c r="F1460" s="34" t="str">
        <f t="shared" si="352"/>
        <v>C:\Users\jaime.benazar\Quorum Business Solutions\Ecopetrol Prometeo - Documents\Planning Space Implementation\3. Analysis &amp; Design\Design\FC22\DRR Jaime\QUIFA-CAJÚA\Cajua\[CAJUA_CF_SEC_New_27-Feb-2024Rev3.xlsx]D-PRBND'!</v>
      </c>
      <c r="G1460" s="32" t="s">
        <v>113</v>
      </c>
      <c r="H1460" s="33"/>
      <c r="I1460" s="33"/>
      <c r="J1460" s="37"/>
    </row>
    <row r="1461" spans="1:10" x14ac:dyDescent="0.25">
      <c r="A1461" s="32" t="s">
        <v>101</v>
      </c>
      <c r="B1461" s="32">
        <f t="shared" ref="B1461:B1463" si="354">+B1460+1</f>
        <v>2038</v>
      </c>
      <c r="C1461" s="33" t="s">
        <v>14</v>
      </c>
      <c r="D1461" s="34" t="s">
        <v>1999</v>
      </c>
      <c r="E1461" s="35" t="str">
        <f t="shared" si="351"/>
        <v>PRBND'!</v>
      </c>
      <c r="F1461" s="34" t="str">
        <f t="shared" si="352"/>
        <v>C:\Users\jaime.benazar\Quorum Business Solutions\Ecopetrol Prometeo - Documents\Planning Space Implementation\3. Analysis &amp; Design\Design\FC22\DRR Jaime\QUIFA-CAJÚA\Cajua\[CAJUA_CF_SEC_New_27-Feb-2024Rev3.xlsx]D-PRBND'!</v>
      </c>
      <c r="G1461" s="32" t="s">
        <v>113</v>
      </c>
      <c r="H1461" s="33"/>
      <c r="I1461" s="33"/>
      <c r="J1461" s="37"/>
    </row>
    <row r="1462" spans="1:10" x14ac:dyDescent="0.25">
      <c r="A1462" s="32" t="s">
        <v>101</v>
      </c>
      <c r="B1462" s="32">
        <f t="shared" si="354"/>
        <v>2039</v>
      </c>
      <c r="C1462" s="33" t="s">
        <v>14</v>
      </c>
      <c r="D1462" s="34" t="s">
        <v>1999</v>
      </c>
      <c r="E1462" s="35" t="str">
        <f t="shared" si="351"/>
        <v>PRBND'!</v>
      </c>
      <c r="F1462" s="34" t="str">
        <f t="shared" si="352"/>
        <v>C:\Users\jaime.benazar\Quorum Business Solutions\Ecopetrol Prometeo - Documents\Planning Space Implementation\3. Analysis &amp; Design\Design\FC22\DRR Jaime\QUIFA-CAJÚA\Cajua\[CAJUA_CF_SEC_New_27-Feb-2024Rev3.xlsx]D-PRBND'!</v>
      </c>
      <c r="G1462" s="32" t="s">
        <v>113</v>
      </c>
      <c r="H1462" s="33"/>
      <c r="I1462" s="33"/>
      <c r="J1462" s="37"/>
    </row>
    <row r="1463" spans="1:10" x14ac:dyDescent="0.25">
      <c r="A1463" s="32" t="s">
        <v>101</v>
      </c>
      <c r="B1463" s="32">
        <f t="shared" si="354"/>
        <v>2040</v>
      </c>
      <c r="C1463" s="33" t="s">
        <v>14</v>
      </c>
      <c r="D1463" s="34" t="s">
        <v>1999</v>
      </c>
      <c r="E1463" s="35" t="str">
        <f t="shared" si="351"/>
        <v>PRBND'!</v>
      </c>
      <c r="F1463" s="34" t="str">
        <f t="shared" si="352"/>
        <v>C:\Users\jaime.benazar\Quorum Business Solutions\Ecopetrol Prometeo - Documents\Planning Space Implementation\3. Analysis &amp; Design\Design\FC22\DRR Jaime\QUIFA-CAJÚA\Cajua\[CAJUA_CF_SEC_New_27-Feb-2024Rev3.xlsx]D-PRBND'!</v>
      </c>
      <c r="G1463" s="32" t="s">
        <v>113</v>
      </c>
      <c r="H1463" s="33"/>
      <c r="I1463" s="33"/>
      <c r="J1463" s="37"/>
    </row>
    <row r="1464" spans="1:10" x14ac:dyDescent="0.25">
      <c r="A1464" s="32" t="s">
        <v>101</v>
      </c>
      <c r="B1464" s="32">
        <f>+B1463+1</f>
        <v>2041</v>
      </c>
      <c r="C1464" s="33" t="s">
        <v>14</v>
      </c>
      <c r="D1464" s="34" t="s">
        <v>1999</v>
      </c>
      <c r="E1464" s="35" t="str">
        <f t="shared" si="351"/>
        <v>PRBND'!</v>
      </c>
      <c r="F1464" s="34" t="str">
        <f t="shared" si="352"/>
        <v>C:\Users\jaime.benazar\Quorum Business Solutions\Ecopetrol Prometeo - Documents\Planning Space Implementation\3. Analysis &amp; Design\Design\FC22\DRR Jaime\QUIFA-CAJÚA\Cajua\[CAJUA_CF_SEC_New_27-Feb-2024Rev3.xlsx]D-PRBND'!</v>
      </c>
      <c r="G1464" s="32" t="s">
        <v>113</v>
      </c>
      <c r="H1464" s="33"/>
      <c r="I1464" s="33"/>
      <c r="J1464" s="37"/>
    </row>
    <row r="1465" spans="1:10" x14ac:dyDescent="0.25">
      <c r="A1465" s="32" t="s">
        <v>101</v>
      </c>
      <c r="B1465" s="32">
        <f t="shared" ref="B1465:B1466" si="355">+B1464+1</f>
        <v>2042</v>
      </c>
      <c r="C1465" s="33" t="s">
        <v>14</v>
      </c>
      <c r="D1465" s="34" t="s">
        <v>1999</v>
      </c>
      <c r="E1465" s="35" t="str">
        <f t="shared" si="351"/>
        <v>PRBND'!</v>
      </c>
      <c r="F1465" s="34" t="str">
        <f t="shared" si="352"/>
        <v>C:\Users\jaime.benazar\Quorum Business Solutions\Ecopetrol Prometeo - Documents\Planning Space Implementation\3. Analysis &amp; Design\Design\FC22\DRR Jaime\QUIFA-CAJÚA\Cajua\[CAJUA_CF_SEC_New_27-Feb-2024Rev3.xlsx]D-PRBND'!</v>
      </c>
      <c r="G1465" s="32" t="s">
        <v>113</v>
      </c>
      <c r="H1465" s="33"/>
      <c r="I1465" s="33"/>
      <c r="J1465" s="37"/>
    </row>
    <row r="1466" spans="1:10" x14ac:dyDescent="0.25">
      <c r="A1466" s="32" t="s">
        <v>101</v>
      </c>
      <c r="B1466" s="32">
        <f t="shared" si="355"/>
        <v>2043</v>
      </c>
      <c r="C1466" s="33" t="s">
        <v>14</v>
      </c>
      <c r="D1466" s="34" t="s">
        <v>1999</v>
      </c>
      <c r="E1466" s="35" t="str">
        <f t="shared" si="351"/>
        <v>PRBND'!</v>
      </c>
      <c r="F1466" s="34" t="str">
        <f t="shared" si="352"/>
        <v>C:\Users\jaime.benazar\Quorum Business Solutions\Ecopetrol Prometeo - Documents\Planning Space Implementation\3. Analysis &amp; Design\Design\FC22\DRR Jaime\QUIFA-CAJÚA\Cajua\[CAJUA_CF_SEC_New_27-Feb-2024Rev3.xlsx]D-PRBND'!</v>
      </c>
      <c r="G1466" s="32" t="s">
        <v>113</v>
      </c>
      <c r="H1466" s="33"/>
      <c r="I1466" s="33"/>
      <c r="J1466" s="37"/>
    </row>
    <row r="1467" spans="1:10" x14ac:dyDescent="0.25">
      <c r="A1467" s="32" t="s">
        <v>101</v>
      </c>
      <c r="B1467" s="32">
        <f>+B1466+1</f>
        <v>2044</v>
      </c>
      <c r="C1467" s="33" t="s">
        <v>14</v>
      </c>
      <c r="D1467" s="34" t="s">
        <v>1999</v>
      </c>
      <c r="E1467" s="35" t="str">
        <f t="shared" ref="E1467:E1482" si="356">_xlfn.CONCAT(A1467,"'!")</f>
        <v>PRBND'!</v>
      </c>
      <c r="F1467" s="34" t="str">
        <f t="shared" ref="F1467:F1482" si="357">_xlfn.CONCAT(D1467:E1467)</f>
        <v>C:\Users\jaime.benazar\Quorum Business Solutions\Ecopetrol Prometeo - Documents\Planning Space Implementation\3. Analysis &amp; Design\Design\FC22\DRR Jaime\QUIFA-CAJÚA\Cajua\[CAJUA_CF_SEC_New_27-Feb-2024Rev3.xlsx]D-PRBND'!</v>
      </c>
      <c r="G1467" s="32" t="s">
        <v>113</v>
      </c>
      <c r="H1467" s="33"/>
      <c r="I1467" s="33"/>
      <c r="J1467" s="37"/>
    </row>
    <row r="1468" spans="1:10" x14ac:dyDescent="0.25">
      <c r="A1468" s="32" t="s">
        <v>101</v>
      </c>
      <c r="B1468" s="32">
        <f t="shared" ref="B1468:B1482" si="358">+B1467+1</f>
        <v>2045</v>
      </c>
      <c r="C1468" s="33" t="s">
        <v>14</v>
      </c>
      <c r="D1468" s="34" t="s">
        <v>1999</v>
      </c>
      <c r="E1468" s="35" t="str">
        <f t="shared" si="356"/>
        <v>PRBND'!</v>
      </c>
      <c r="F1468" s="34" t="str">
        <f t="shared" si="357"/>
        <v>C:\Users\jaime.benazar\Quorum Business Solutions\Ecopetrol Prometeo - Documents\Planning Space Implementation\3. Analysis &amp; Design\Design\FC22\DRR Jaime\QUIFA-CAJÚA\Cajua\[CAJUA_CF_SEC_New_27-Feb-2024Rev3.xlsx]D-PRBND'!</v>
      </c>
      <c r="G1468" s="32" t="s">
        <v>113</v>
      </c>
      <c r="H1468" s="33"/>
      <c r="I1468" s="33"/>
      <c r="J1468" s="37"/>
    </row>
    <row r="1469" spans="1:10" x14ac:dyDescent="0.25">
      <c r="A1469" s="32" t="s">
        <v>101</v>
      </c>
      <c r="B1469" s="32">
        <f t="shared" si="358"/>
        <v>2046</v>
      </c>
      <c r="C1469" s="33" t="s">
        <v>14</v>
      </c>
      <c r="D1469" s="34" t="s">
        <v>1999</v>
      </c>
      <c r="E1469" s="35" t="str">
        <f t="shared" si="356"/>
        <v>PRBND'!</v>
      </c>
      <c r="F1469" s="34" t="str">
        <f t="shared" si="357"/>
        <v>C:\Users\jaime.benazar\Quorum Business Solutions\Ecopetrol Prometeo - Documents\Planning Space Implementation\3. Analysis &amp; Design\Design\FC22\DRR Jaime\QUIFA-CAJÚA\Cajua\[CAJUA_CF_SEC_New_27-Feb-2024Rev3.xlsx]D-PRBND'!</v>
      </c>
      <c r="G1469" s="32" t="s">
        <v>113</v>
      </c>
      <c r="H1469" s="33"/>
      <c r="I1469" s="33"/>
      <c r="J1469" s="37"/>
    </row>
    <row r="1470" spans="1:10" x14ac:dyDescent="0.25">
      <c r="A1470" s="32" t="s">
        <v>101</v>
      </c>
      <c r="B1470" s="32">
        <f t="shared" si="358"/>
        <v>2047</v>
      </c>
      <c r="C1470" s="33" t="s">
        <v>14</v>
      </c>
      <c r="D1470" s="34" t="s">
        <v>1999</v>
      </c>
      <c r="E1470" s="35" t="str">
        <f t="shared" si="356"/>
        <v>PRBND'!</v>
      </c>
      <c r="F1470" s="34" t="str">
        <f t="shared" si="357"/>
        <v>C:\Users\jaime.benazar\Quorum Business Solutions\Ecopetrol Prometeo - Documents\Planning Space Implementation\3. Analysis &amp; Design\Design\FC22\DRR Jaime\QUIFA-CAJÚA\Cajua\[CAJUA_CF_SEC_New_27-Feb-2024Rev3.xlsx]D-PRBND'!</v>
      </c>
      <c r="G1470" s="32" t="s">
        <v>113</v>
      </c>
      <c r="H1470" s="33"/>
      <c r="I1470" s="33"/>
      <c r="J1470" s="37"/>
    </row>
    <row r="1471" spans="1:10" x14ac:dyDescent="0.25">
      <c r="A1471" s="32" t="s">
        <v>101</v>
      </c>
      <c r="B1471" s="32">
        <f t="shared" si="358"/>
        <v>2048</v>
      </c>
      <c r="C1471" s="33" t="s">
        <v>14</v>
      </c>
      <c r="D1471" s="34" t="s">
        <v>1999</v>
      </c>
      <c r="E1471" s="35" t="str">
        <f t="shared" si="356"/>
        <v>PRBND'!</v>
      </c>
      <c r="F1471" s="34" t="str">
        <f t="shared" si="357"/>
        <v>C:\Users\jaime.benazar\Quorum Business Solutions\Ecopetrol Prometeo - Documents\Planning Space Implementation\3. Analysis &amp; Design\Design\FC22\DRR Jaime\QUIFA-CAJÚA\Cajua\[CAJUA_CF_SEC_New_27-Feb-2024Rev3.xlsx]D-PRBND'!</v>
      </c>
      <c r="G1471" s="32" t="s">
        <v>113</v>
      </c>
      <c r="H1471" s="33"/>
      <c r="I1471" s="33"/>
      <c r="J1471" s="37"/>
    </row>
    <row r="1472" spans="1:10" x14ac:dyDescent="0.25">
      <c r="A1472" s="32" t="s">
        <v>101</v>
      </c>
      <c r="B1472" s="32">
        <f t="shared" si="358"/>
        <v>2049</v>
      </c>
      <c r="C1472" s="33" t="s">
        <v>14</v>
      </c>
      <c r="D1472" s="34" t="s">
        <v>1999</v>
      </c>
      <c r="E1472" s="35" t="str">
        <f t="shared" si="356"/>
        <v>PRBND'!</v>
      </c>
      <c r="F1472" s="34" t="str">
        <f t="shared" si="357"/>
        <v>C:\Users\jaime.benazar\Quorum Business Solutions\Ecopetrol Prometeo - Documents\Planning Space Implementation\3. Analysis &amp; Design\Design\FC22\DRR Jaime\QUIFA-CAJÚA\Cajua\[CAJUA_CF_SEC_New_27-Feb-2024Rev3.xlsx]D-PRBND'!</v>
      </c>
      <c r="G1472" s="32" t="s">
        <v>113</v>
      </c>
      <c r="H1472" s="33"/>
      <c r="I1472" s="33"/>
      <c r="J1472" s="37"/>
    </row>
    <row r="1473" spans="1:10" x14ac:dyDescent="0.25">
      <c r="A1473" s="32" t="s">
        <v>101</v>
      </c>
      <c r="B1473" s="32">
        <f t="shared" si="358"/>
        <v>2050</v>
      </c>
      <c r="C1473" s="33" t="s">
        <v>14</v>
      </c>
      <c r="D1473" s="34" t="s">
        <v>1999</v>
      </c>
      <c r="E1473" s="35" t="str">
        <f t="shared" si="356"/>
        <v>PRBND'!</v>
      </c>
      <c r="F1473" s="34" t="str">
        <f t="shared" si="357"/>
        <v>C:\Users\jaime.benazar\Quorum Business Solutions\Ecopetrol Prometeo - Documents\Planning Space Implementation\3. Analysis &amp; Design\Design\FC22\DRR Jaime\QUIFA-CAJÚA\Cajua\[CAJUA_CF_SEC_New_27-Feb-2024Rev3.xlsx]D-PRBND'!</v>
      </c>
      <c r="G1473" s="32" t="s">
        <v>113</v>
      </c>
      <c r="H1473" s="33"/>
      <c r="I1473" s="33"/>
      <c r="J1473" s="37"/>
    </row>
    <row r="1474" spans="1:10" x14ac:dyDescent="0.25">
      <c r="A1474" s="32" t="s">
        <v>101</v>
      </c>
      <c r="B1474" s="32">
        <f t="shared" si="358"/>
        <v>2051</v>
      </c>
      <c r="C1474" s="33" t="s">
        <v>14</v>
      </c>
      <c r="D1474" s="34" t="s">
        <v>1999</v>
      </c>
      <c r="E1474" s="35" t="str">
        <f t="shared" si="356"/>
        <v>PRBND'!</v>
      </c>
      <c r="F1474" s="34" t="str">
        <f t="shared" si="357"/>
        <v>C:\Users\jaime.benazar\Quorum Business Solutions\Ecopetrol Prometeo - Documents\Planning Space Implementation\3. Analysis &amp; Design\Design\FC22\DRR Jaime\QUIFA-CAJÚA\Cajua\[CAJUA_CF_SEC_New_27-Feb-2024Rev3.xlsx]D-PRBND'!</v>
      </c>
      <c r="G1474" s="32" t="s">
        <v>113</v>
      </c>
      <c r="H1474" s="33"/>
      <c r="I1474" s="33"/>
      <c r="J1474" s="37"/>
    </row>
    <row r="1475" spans="1:10" x14ac:dyDescent="0.25">
      <c r="A1475" s="32" t="s">
        <v>101</v>
      </c>
      <c r="B1475" s="32">
        <f t="shared" si="358"/>
        <v>2052</v>
      </c>
      <c r="C1475" s="33" t="s">
        <v>14</v>
      </c>
      <c r="D1475" s="34" t="s">
        <v>1999</v>
      </c>
      <c r="E1475" s="35" t="str">
        <f t="shared" si="356"/>
        <v>PRBND'!</v>
      </c>
      <c r="F1475" s="34" t="str">
        <f t="shared" si="357"/>
        <v>C:\Users\jaime.benazar\Quorum Business Solutions\Ecopetrol Prometeo - Documents\Planning Space Implementation\3. Analysis &amp; Design\Design\FC22\DRR Jaime\QUIFA-CAJÚA\Cajua\[CAJUA_CF_SEC_New_27-Feb-2024Rev3.xlsx]D-PRBND'!</v>
      </c>
      <c r="G1475" s="32" t="s">
        <v>113</v>
      </c>
      <c r="H1475" s="33"/>
      <c r="I1475" s="33"/>
      <c r="J1475" s="37"/>
    </row>
    <row r="1476" spans="1:10" x14ac:dyDescent="0.25">
      <c r="A1476" s="32" t="s">
        <v>101</v>
      </c>
      <c r="B1476" s="32">
        <f t="shared" si="358"/>
        <v>2053</v>
      </c>
      <c r="C1476" s="33" t="s">
        <v>14</v>
      </c>
      <c r="D1476" s="34" t="s">
        <v>1999</v>
      </c>
      <c r="E1476" s="35" t="str">
        <f t="shared" si="356"/>
        <v>PRBND'!</v>
      </c>
      <c r="F1476" s="34" t="str">
        <f t="shared" si="357"/>
        <v>C:\Users\jaime.benazar\Quorum Business Solutions\Ecopetrol Prometeo - Documents\Planning Space Implementation\3. Analysis &amp; Design\Design\FC22\DRR Jaime\QUIFA-CAJÚA\Cajua\[CAJUA_CF_SEC_New_27-Feb-2024Rev3.xlsx]D-PRBND'!</v>
      </c>
      <c r="G1476" s="32" t="s">
        <v>113</v>
      </c>
      <c r="H1476" s="33"/>
      <c r="I1476" s="33"/>
      <c r="J1476" s="37"/>
    </row>
    <row r="1477" spans="1:10" x14ac:dyDescent="0.25">
      <c r="A1477" s="32" t="s">
        <v>101</v>
      </c>
      <c r="B1477" s="32">
        <f t="shared" si="358"/>
        <v>2054</v>
      </c>
      <c r="C1477" s="33" t="s">
        <v>14</v>
      </c>
      <c r="D1477" s="34" t="s">
        <v>1999</v>
      </c>
      <c r="E1477" s="35" t="str">
        <f t="shared" si="356"/>
        <v>PRBND'!</v>
      </c>
      <c r="F1477" s="34" t="str">
        <f t="shared" si="357"/>
        <v>C:\Users\jaime.benazar\Quorum Business Solutions\Ecopetrol Prometeo - Documents\Planning Space Implementation\3. Analysis &amp; Design\Design\FC22\DRR Jaime\QUIFA-CAJÚA\Cajua\[CAJUA_CF_SEC_New_27-Feb-2024Rev3.xlsx]D-PRBND'!</v>
      </c>
      <c r="G1477" s="32" t="s">
        <v>113</v>
      </c>
      <c r="H1477" s="33"/>
      <c r="I1477" s="33"/>
      <c r="J1477" s="37"/>
    </row>
    <row r="1478" spans="1:10" x14ac:dyDescent="0.25">
      <c r="A1478" s="32" t="s">
        <v>101</v>
      </c>
      <c r="B1478" s="32">
        <f t="shared" si="358"/>
        <v>2055</v>
      </c>
      <c r="C1478" s="33" t="s">
        <v>14</v>
      </c>
      <c r="D1478" s="34" t="s">
        <v>1999</v>
      </c>
      <c r="E1478" s="35" t="str">
        <f t="shared" si="356"/>
        <v>PRBND'!</v>
      </c>
      <c r="F1478" s="34" t="str">
        <f t="shared" si="357"/>
        <v>C:\Users\jaime.benazar\Quorum Business Solutions\Ecopetrol Prometeo - Documents\Planning Space Implementation\3. Analysis &amp; Design\Design\FC22\DRR Jaime\QUIFA-CAJÚA\Cajua\[CAJUA_CF_SEC_New_27-Feb-2024Rev3.xlsx]D-PRBND'!</v>
      </c>
      <c r="G1478" s="32" t="s">
        <v>113</v>
      </c>
      <c r="H1478" s="33"/>
      <c r="I1478" s="33"/>
      <c r="J1478" s="37"/>
    </row>
    <row r="1479" spans="1:10" x14ac:dyDescent="0.25">
      <c r="A1479" s="32" t="s">
        <v>101</v>
      </c>
      <c r="B1479" s="32">
        <f t="shared" si="358"/>
        <v>2056</v>
      </c>
      <c r="C1479" s="33" t="s">
        <v>14</v>
      </c>
      <c r="D1479" s="34" t="s">
        <v>1999</v>
      </c>
      <c r="E1479" s="35" t="str">
        <f t="shared" si="356"/>
        <v>PRBND'!</v>
      </c>
      <c r="F1479" s="34" t="str">
        <f t="shared" si="357"/>
        <v>C:\Users\jaime.benazar\Quorum Business Solutions\Ecopetrol Prometeo - Documents\Planning Space Implementation\3. Analysis &amp; Design\Design\FC22\DRR Jaime\QUIFA-CAJÚA\Cajua\[CAJUA_CF_SEC_New_27-Feb-2024Rev3.xlsx]D-PRBND'!</v>
      </c>
      <c r="G1479" s="32" t="s">
        <v>113</v>
      </c>
      <c r="H1479" s="33"/>
      <c r="I1479" s="33"/>
      <c r="J1479" s="37"/>
    </row>
    <row r="1480" spans="1:10" x14ac:dyDescent="0.25">
      <c r="A1480" s="32" t="s">
        <v>101</v>
      </c>
      <c r="B1480" s="32">
        <f t="shared" si="358"/>
        <v>2057</v>
      </c>
      <c r="C1480" s="33" t="s">
        <v>14</v>
      </c>
      <c r="D1480" s="34" t="s">
        <v>1999</v>
      </c>
      <c r="E1480" s="35" t="str">
        <f t="shared" si="356"/>
        <v>PRBND'!</v>
      </c>
      <c r="F1480" s="34" t="str">
        <f t="shared" si="357"/>
        <v>C:\Users\jaime.benazar\Quorum Business Solutions\Ecopetrol Prometeo - Documents\Planning Space Implementation\3. Analysis &amp; Design\Design\FC22\DRR Jaime\QUIFA-CAJÚA\Cajua\[CAJUA_CF_SEC_New_27-Feb-2024Rev3.xlsx]D-PRBND'!</v>
      </c>
      <c r="G1480" s="32" t="s">
        <v>113</v>
      </c>
      <c r="H1480" s="33"/>
      <c r="I1480" s="33"/>
      <c r="J1480" s="37"/>
    </row>
    <row r="1481" spans="1:10" x14ac:dyDescent="0.25">
      <c r="A1481" s="32" t="s">
        <v>101</v>
      </c>
      <c r="B1481" s="32">
        <f t="shared" si="358"/>
        <v>2058</v>
      </c>
      <c r="C1481" s="33" t="s">
        <v>14</v>
      </c>
      <c r="D1481" s="34" t="s">
        <v>1999</v>
      </c>
      <c r="E1481" s="35" t="str">
        <f t="shared" si="356"/>
        <v>PRBND'!</v>
      </c>
      <c r="F1481" s="34" t="str">
        <f t="shared" si="357"/>
        <v>C:\Users\jaime.benazar\Quorum Business Solutions\Ecopetrol Prometeo - Documents\Planning Space Implementation\3. Analysis &amp; Design\Design\FC22\DRR Jaime\QUIFA-CAJÚA\Cajua\[CAJUA_CF_SEC_New_27-Feb-2024Rev3.xlsx]D-PRBND'!</v>
      </c>
      <c r="G1481" s="32" t="s">
        <v>113</v>
      </c>
      <c r="H1481" s="33"/>
      <c r="I1481" s="33"/>
      <c r="J1481" s="37"/>
    </row>
    <row r="1482" spans="1:10" x14ac:dyDescent="0.25">
      <c r="A1482" s="32" t="s">
        <v>101</v>
      </c>
      <c r="B1482" s="32">
        <f t="shared" si="358"/>
        <v>2059</v>
      </c>
      <c r="C1482" s="33" t="s">
        <v>14</v>
      </c>
      <c r="D1482" s="34" t="s">
        <v>1999</v>
      </c>
      <c r="E1482" s="35" t="str">
        <f t="shared" si="356"/>
        <v>PRBND'!</v>
      </c>
      <c r="F1482" s="34" t="str">
        <f t="shared" si="357"/>
        <v>C:\Users\jaime.benazar\Quorum Business Solutions\Ecopetrol Prometeo - Documents\Planning Space Implementation\3. Analysis &amp; Design\Design\FC22\DRR Jaime\QUIFA-CAJÚA\Cajua\[CAJUA_CF_SEC_New_27-Feb-2024Rev3.xlsx]D-PRBND'!</v>
      </c>
      <c r="G1482" s="32" t="s">
        <v>113</v>
      </c>
      <c r="H1482" s="33"/>
      <c r="I1482" s="33"/>
      <c r="J1482" s="37"/>
    </row>
    <row r="1483" spans="1:10" x14ac:dyDescent="0.25">
      <c r="A1483" s="32" t="s">
        <v>28</v>
      </c>
      <c r="B1483" s="32"/>
      <c r="C1483" s="33" t="s">
        <v>14</v>
      </c>
      <c r="D1483" s="34"/>
      <c r="E1483" s="35"/>
      <c r="F1483" s="34"/>
      <c r="G1483" s="32"/>
      <c r="H1483" s="33"/>
      <c r="I1483" s="33"/>
      <c r="J1483" s="33"/>
    </row>
    <row r="1484" spans="1:10" x14ac:dyDescent="0.25">
      <c r="A1484" s="32" t="s">
        <v>4</v>
      </c>
      <c r="B1484" s="32">
        <v>2023</v>
      </c>
      <c r="C1484" s="33" t="s">
        <v>14</v>
      </c>
      <c r="D1484" s="34" t="s">
        <v>1999</v>
      </c>
      <c r="E1484" s="35" t="str">
        <f t="shared" si="327"/>
        <v>PRB'!</v>
      </c>
      <c r="F1484" s="34" t="str">
        <f t="shared" si="328"/>
        <v>C:\Users\jaime.benazar\Quorum Business Solutions\Ecopetrol Prometeo - Documents\Planning Space Implementation\3. Analysis &amp; Design\Design\FC22\DRR Jaime\QUIFA-CAJÚA\Cajua\[CAJUA_CF_SEC_New_27-Feb-2024Rev3.xlsx]D-PRB'!</v>
      </c>
      <c r="G1484" s="32" t="s">
        <v>113</v>
      </c>
      <c r="H1484" s="33">
        <v>12</v>
      </c>
      <c r="I1484" s="33" t="str">
        <f t="shared" si="329"/>
        <v>='C:\Users\jaime.benazar\Quorum Business Solutions\Ecopetrol Prometeo - Documents\Planning Space Implementation\3. Analysis &amp; Design\Design\FC22\DRR Jaime\QUIFA-CAJÚA\Cajua\[CAJUA_CF_SEC_New_27-Feb-2024Rev3.xlsx]D-PRB'!$CA$12</v>
      </c>
      <c r="J1484" s="37" t="s">
        <v>2666</v>
      </c>
    </row>
    <row r="1485" spans="1:10" x14ac:dyDescent="0.25">
      <c r="A1485" s="32" t="s">
        <v>4</v>
      </c>
      <c r="B1485" s="32">
        <f>+B1484+1</f>
        <v>2024</v>
      </c>
      <c r="C1485" s="33" t="s">
        <v>14</v>
      </c>
      <c r="D1485" s="34" t="s">
        <v>1999</v>
      </c>
      <c r="E1485" s="35" t="str">
        <f t="shared" si="327"/>
        <v>PRB'!</v>
      </c>
      <c r="F1485" s="34" t="str">
        <f t="shared" si="328"/>
        <v>C:\Users\jaime.benazar\Quorum Business Solutions\Ecopetrol Prometeo - Documents\Planning Space Implementation\3. Analysis &amp; Design\Design\FC22\DRR Jaime\QUIFA-CAJÚA\Cajua\[CAJUA_CF_SEC_New_27-Feb-2024Rev3.xlsx]D-PRB'!</v>
      </c>
      <c r="G1485" s="32" t="s">
        <v>113</v>
      </c>
      <c r="H1485" s="33">
        <f t="shared" ref="H1485:H1504" si="359">IF(A1485&lt;&gt;A1484,12,H1484+1)</f>
        <v>13</v>
      </c>
      <c r="I1485" s="33" t="str">
        <f t="shared" si="329"/>
        <v>='C:\Users\jaime.benazar\Quorum Business Solutions\Ecopetrol Prometeo - Documents\Planning Space Implementation\3. Analysis &amp; Design\Design\FC22\DRR Jaime\QUIFA-CAJÚA\Cajua\[CAJUA_CF_SEC_New_27-Feb-2024Rev3.xlsx]D-PRB'!$CA$13</v>
      </c>
      <c r="J1485" s="37" t="s">
        <v>2667</v>
      </c>
    </row>
    <row r="1486" spans="1:10" x14ac:dyDescent="0.25">
      <c r="A1486" s="32" t="s">
        <v>4</v>
      </c>
      <c r="B1486" s="32">
        <f t="shared" ref="B1486:B1497" si="360">+B1485+1</f>
        <v>2025</v>
      </c>
      <c r="C1486" s="33" t="s">
        <v>14</v>
      </c>
      <c r="D1486" s="34" t="s">
        <v>1999</v>
      </c>
      <c r="E1486" s="35" t="str">
        <f t="shared" si="327"/>
        <v>PRB'!</v>
      </c>
      <c r="F1486" s="34" t="str">
        <f t="shared" si="328"/>
        <v>C:\Users\jaime.benazar\Quorum Business Solutions\Ecopetrol Prometeo - Documents\Planning Space Implementation\3. Analysis &amp; Design\Design\FC22\DRR Jaime\QUIFA-CAJÚA\Cajua\[CAJUA_CF_SEC_New_27-Feb-2024Rev3.xlsx]D-PRB'!</v>
      </c>
      <c r="G1486" s="32" t="s">
        <v>113</v>
      </c>
      <c r="H1486" s="33">
        <f t="shared" si="359"/>
        <v>14</v>
      </c>
      <c r="I1486" s="33" t="str">
        <f t="shared" si="329"/>
        <v>='C:\Users\jaime.benazar\Quorum Business Solutions\Ecopetrol Prometeo - Documents\Planning Space Implementation\3. Analysis &amp; Design\Design\FC22\DRR Jaime\QUIFA-CAJÚA\Cajua\[CAJUA_CF_SEC_New_27-Feb-2024Rev3.xlsx]D-PRB'!$CA$14</v>
      </c>
      <c r="J1486" s="37" t="s">
        <v>2668</v>
      </c>
    </row>
    <row r="1487" spans="1:10" x14ac:dyDescent="0.25">
      <c r="A1487" s="32" t="s">
        <v>4</v>
      </c>
      <c r="B1487" s="32">
        <f t="shared" si="360"/>
        <v>2026</v>
      </c>
      <c r="C1487" s="33" t="s">
        <v>14</v>
      </c>
      <c r="D1487" s="34" t="s">
        <v>1999</v>
      </c>
      <c r="E1487" s="35" t="str">
        <f t="shared" si="327"/>
        <v>PRB'!</v>
      </c>
      <c r="F1487" s="34" t="str">
        <f t="shared" si="328"/>
        <v>C:\Users\jaime.benazar\Quorum Business Solutions\Ecopetrol Prometeo - Documents\Planning Space Implementation\3. Analysis &amp; Design\Design\FC22\DRR Jaime\QUIFA-CAJÚA\Cajua\[CAJUA_CF_SEC_New_27-Feb-2024Rev3.xlsx]D-PRB'!</v>
      </c>
      <c r="G1487" s="32" t="s">
        <v>113</v>
      </c>
      <c r="H1487" s="33">
        <f t="shared" si="359"/>
        <v>15</v>
      </c>
      <c r="I1487" s="33" t="str">
        <f t="shared" si="329"/>
        <v>='C:\Users\jaime.benazar\Quorum Business Solutions\Ecopetrol Prometeo - Documents\Planning Space Implementation\3. Analysis &amp; Design\Design\FC22\DRR Jaime\QUIFA-CAJÚA\Cajua\[CAJUA_CF_SEC_New_27-Feb-2024Rev3.xlsx]D-PRB'!$CA$15</v>
      </c>
      <c r="J1487" s="37" t="s">
        <v>2669</v>
      </c>
    </row>
    <row r="1488" spans="1:10" x14ac:dyDescent="0.25">
      <c r="A1488" s="32" t="s">
        <v>4</v>
      </c>
      <c r="B1488" s="32">
        <f t="shared" si="360"/>
        <v>2027</v>
      </c>
      <c r="C1488" s="33" t="s">
        <v>14</v>
      </c>
      <c r="D1488" s="34" t="s">
        <v>1999</v>
      </c>
      <c r="E1488" s="35" t="str">
        <f t="shared" si="327"/>
        <v>PRB'!</v>
      </c>
      <c r="F1488" s="34" t="str">
        <f t="shared" si="328"/>
        <v>C:\Users\jaime.benazar\Quorum Business Solutions\Ecopetrol Prometeo - Documents\Planning Space Implementation\3. Analysis &amp; Design\Design\FC22\DRR Jaime\QUIFA-CAJÚA\Cajua\[CAJUA_CF_SEC_New_27-Feb-2024Rev3.xlsx]D-PRB'!</v>
      </c>
      <c r="G1488" s="32" t="s">
        <v>113</v>
      </c>
      <c r="H1488" s="33">
        <f t="shared" si="359"/>
        <v>16</v>
      </c>
      <c r="I1488" s="33" t="str">
        <f t="shared" si="329"/>
        <v>='C:\Users\jaime.benazar\Quorum Business Solutions\Ecopetrol Prometeo - Documents\Planning Space Implementation\3. Analysis &amp; Design\Design\FC22\DRR Jaime\QUIFA-CAJÚA\Cajua\[CAJUA_CF_SEC_New_27-Feb-2024Rev3.xlsx]D-PRB'!$CA$16</v>
      </c>
      <c r="J1488" s="37" t="s">
        <v>2670</v>
      </c>
    </row>
    <row r="1489" spans="1:10" x14ac:dyDescent="0.25">
      <c r="A1489" s="32" t="s">
        <v>4</v>
      </c>
      <c r="B1489" s="32">
        <f t="shared" si="360"/>
        <v>2028</v>
      </c>
      <c r="C1489" s="33" t="s">
        <v>14</v>
      </c>
      <c r="D1489" s="34" t="s">
        <v>1999</v>
      </c>
      <c r="E1489" s="35" t="str">
        <f t="shared" si="327"/>
        <v>PRB'!</v>
      </c>
      <c r="F1489" s="34" t="str">
        <f t="shared" si="328"/>
        <v>C:\Users\jaime.benazar\Quorum Business Solutions\Ecopetrol Prometeo - Documents\Planning Space Implementation\3. Analysis &amp; Design\Design\FC22\DRR Jaime\QUIFA-CAJÚA\Cajua\[CAJUA_CF_SEC_New_27-Feb-2024Rev3.xlsx]D-PRB'!</v>
      </c>
      <c r="G1489" s="32" t="s">
        <v>113</v>
      </c>
      <c r="H1489" s="33">
        <f t="shared" si="359"/>
        <v>17</v>
      </c>
      <c r="I1489" s="33" t="str">
        <f t="shared" si="329"/>
        <v>='C:\Users\jaime.benazar\Quorum Business Solutions\Ecopetrol Prometeo - Documents\Planning Space Implementation\3. Analysis &amp; Design\Design\FC22\DRR Jaime\QUIFA-CAJÚA\Cajua\[CAJUA_CF_SEC_New_27-Feb-2024Rev3.xlsx]D-PRB'!$CA$17</v>
      </c>
      <c r="J1489" s="37" t="s">
        <v>2671</v>
      </c>
    </row>
    <row r="1490" spans="1:10" x14ac:dyDescent="0.25">
      <c r="A1490" s="32" t="s">
        <v>4</v>
      </c>
      <c r="B1490" s="32">
        <f t="shared" si="360"/>
        <v>2029</v>
      </c>
      <c r="C1490" s="33" t="s">
        <v>14</v>
      </c>
      <c r="D1490" s="34" t="s">
        <v>1999</v>
      </c>
      <c r="E1490" s="35" t="str">
        <f t="shared" si="327"/>
        <v>PRB'!</v>
      </c>
      <c r="F1490" s="34" t="str">
        <f t="shared" si="328"/>
        <v>C:\Users\jaime.benazar\Quorum Business Solutions\Ecopetrol Prometeo - Documents\Planning Space Implementation\3. Analysis &amp; Design\Design\FC22\DRR Jaime\QUIFA-CAJÚA\Cajua\[CAJUA_CF_SEC_New_27-Feb-2024Rev3.xlsx]D-PRB'!</v>
      </c>
      <c r="G1490" s="32" t="s">
        <v>113</v>
      </c>
      <c r="H1490" s="33">
        <f t="shared" si="359"/>
        <v>18</v>
      </c>
      <c r="I1490" s="33" t="str">
        <f t="shared" si="329"/>
        <v>='C:\Users\jaime.benazar\Quorum Business Solutions\Ecopetrol Prometeo - Documents\Planning Space Implementation\3. Analysis &amp; Design\Design\FC22\DRR Jaime\QUIFA-CAJÚA\Cajua\[CAJUA_CF_SEC_New_27-Feb-2024Rev3.xlsx]D-PRB'!$CA$18</v>
      </c>
      <c r="J1490" s="37" t="s">
        <v>2672</v>
      </c>
    </row>
    <row r="1491" spans="1:10" x14ac:dyDescent="0.25">
      <c r="A1491" s="32" t="s">
        <v>4</v>
      </c>
      <c r="B1491" s="32">
        <f t="shared" si="360"/>
        <v>2030</v>
      </c>
      <c r="C1491" s="33" t="s">
        <v>14</v>
      </c>
      <c r="D1491" s="34" t="s">
        <v>1999</v>
      </c>
      <c r="E1491" s="35" t="str">
        <f t="shared" si="327"/>
        <v>PRB'!</v>
      </c>
      <c r="F1491" s="34" t="str">
        <f t="shared" si="328"/>
        <v>C:\Users\jaime.benazar\Quorum Business Solutions\Ecopetrol Prometeo - Documents\Planning Space Implementation\3. Analysis &amp; Design\Design\FC22\DRR Jaime\QUIFA-CAJÚA\Cajua\[CAJUA_CF_SEC_New_27-Feb-2024Rev3.xlsx]D-PRB'!</v>
      </c>
      <c r="G1491" s="32" t="s">
        <v>113</v>
      </c>
      <c r="H1491" s="33">
        <f t="shared" si="359"/>
        <v>19</v>
      </c>
      <c r="I1491" s="33" t="str">
        <f t="shared" si="329"/>
        <v>='C:\Users\jaime.benazar\Quorum Business Solutions\Ecopetrol Prometeo - Documents\Planning Space Implementation\3. Analysis &amp; Design\Design\FC22\DRR Jaime\QUIFA-CAJÚA\Cajua\[CAJUA_CF_SEC_New_27-Feb-2024Rev3.xlsx]D-PRB'!$CA$19</v>
      </c>
      <c r="J1491" s="37" t="s">
        <v>2673</v>
      </c>
    </row>
    <row r="1492" spans="1:10" x14ac:dyDescent="0.25">
      <c r="A1492" s="32" t="s">
        <v>4</v>
      </c>
      <c r="B1492" s="32">
        <f t="shared" si="360"/>
        <v>2031</v>
      </c>
      <c r="C1492" s="33" t="s">
        <v>14</v>
      </c>
      <c r="D1492" s="34" t="s">
        <v>1999</v>
      </c>
      <c r="E1492" s="35" t="str">
        <f t="shared" si="327"/>
        <v>PRB'!</v>
      </c>
      <c r="F1492" s="34" t="str">
        <f t="shared" si="328"/>
        <v>C:\Users\jaime.benazar\Quorum Business Solutions\Ecopetrol Prometeo - Documents\Planning Space Implementation\3. Analysis &amp; Design\Design\FC22\DRR Jaime\QUIFA-CAJÚA\Cajua\[CAJUA_CF_SEC_New_27-Feb-2024Rev3.xlsx]D-PRB'!</v>
      </c>
      <c r="G1492" s="32" t="s">
        <v>113</v>
      </c>
      <c r="H1492" s="33">
        <f t="shared" si="359"/>
        <v>20</v>
      </c>
      <c r="I1492" s="33" t="str">
        <f t="shared" si="329"/>
        <v>='C:\Users\jaime.benazar\Quorum Business Solutions\Ecopetrol Prometeo - Documents\Planning Space Implementation\3. Analysis &amp; Design\Design\FC22\DRR Jaime\QUIFA-CAJÚA\Cajua\[CAJUA_CF_SEC_New_27-Feb-2024Rev3.xlsx]D-PRB'!$CA$20</v>
      </c>
      <c r="J1492" s="37" t="s">
        <v>2674</v>
      </c>
    </row>
    <row r="1493" spans="1:10" x14ac:dyDescent="0.25">
      <c r="A1493" s="32" t="s">
        <v>4</v>
      </c>
      <c r="B1493" s="32">
        <f t="shared" si="360"/>
        <v>2032</v>
      </c>
      <c r="C1493" s="33" t="s">
        <v>14</v>
      </c>
      <c r="D1493" s="34" t="s">
        <v>1999</v>
      </c>
      <c r="E1493" s="35" t="str">
        <f t="shared" si="327"/>
        <v>PRB'!</v>
      </c>
      <c r="F1493" s="34" t="str">
        <f t="shared" si="328"/>
        <v>C:\Users\jaime.benazar\Quorum Business Solutions\Ecopetrol Prometeo - Documents\Planning Space Implementation\3. Analysis &amp; Design\Design\FC22\DRR Jaime\QUIFA-CAJÚA\Cajua\[CAJUA_CF_SEC_New_27-Feb-2024Rev3.xlsx]D-PRB'!</v>
      </c>
      <c r="G1493" s="32" t="s">
        <v>113</v>
      </c>
      <c r="H1493" s="33">
        <f t="shared" si="359"/>
        <v>21</v>
      </c>
      <c r="I1493" s="33" t="str">
        <f t="shared" si="329"/>
        <v>='C:\Users\jaime.benazar\Quorum Business Solutions\Ecopetrol Prometeo - Documents\Planning Space Implementation\3. Analysis &amp; Design\Design\FC22\DRR Jaime\QUIFA-CAJÚA\Cajua\[CAJUA_CF_SEC_New_27-Feb-2024Rev3.xlsx]D-PRB'!$CA$21</v>
      </c>
      <c r="J1493" s="37" t="s">
        <v>2675</v>
      </c>
    </row>
    <row r="1494" spans="1:10" x14ac:dyDescent="0.25">
      <c r="A1494" s="32" t="s">
        <v>4</v>
      </c>
      <c r="B1494" s="32">
        <f t="shared" si="360"/>
        <v>2033</v>
      </c>
      <c r="C1494" s="33" t="s">
        <v>14</v>
      </c>
      <c r="D1494" s="34" t="s">
        <v>1999</v>
      </c>
      <c r="E1494" s="35" t="str">
        <f t="shared" si="327"/>
        <v>PRB'!</v>
      </c>
      <c r="F1494" s="34" t="str">
        <f t="shared" si="328"/>
        <v>C:\Users\jaime.benazar\Quorum Business Solutions\Ecopetrol Prometeo - Documents\Planning Space Implementation\3. Analysis &amp; Design\Design\FC22\DRR Jaime\QUIFA-CAJÚA\Cajua\[CAJUA_CF_SEC_New_27-Feb-2024Rev3.xlsx]D-PRB'!</v>
      </c>
      <c r="G1494" s="32" t="s">
        <v>113</v>
      </c>
      <c r="H1494" s="33">
        <f t="shared" si="359"/>
        <v>22</v>
      </c>
      <c r="I1494" s="33" t="str">
        <f t="shared" si="329"/>
        <v>='C:\Users\jaime.benazar\Quorum Business Solutions\Ecopetrol Prometeo - Documents\Planning Space Implementation\3. Analysis &amp; Design\Design\FC22\DRR Jaime\QUIFA-CAJÚA\Cajua\[CAJUA_CF_SEC_New_27-Feb-2024Rev3.xlsx]D-PRB'!$CA$22</v>
      </c>
      <c r="J1494" s="37" t="s">
        <v>2676</v>
      </c>
    </row>
    <row r="1495" spans="1:10" x14ac:dyDescent="0.25">
      <c r="A1495" s="32" t="s">
        <v>4</v>
      </c>
      <c r="B1495" s="32">
        <f t="shared" si="360"/>
        <v>2034</v>
      </c>
      <c r="C1495" s="33" t="s">
        <v>14</v>
      </c>
      <c r="D1495" s="34" t="s">
        <v>1999</v>
      </c>
      <c r="E1495" s="35" t="str">
        <f t="shared" si="327"/>
        <v>PRB'!</v>
      </c>
      <c r="F1495" s="34" t="str">
        <f t="shared" si="328"/>
        <v>C:\Users\jaime.benazar\Quorum Business Solutions\Ecopetrol Prometeo - Documents\Planning Space Implementation\3. Analysis &amp; Design\Design\FC22\DRR Jaime\QUIFA-CAJÚA\Cajua\[CAJUA_CF_SEC_New_27-Feb-2024Rev3.xlsx]D-PRB'!</v>
      </c>
      <c r="G1495" s="32" t="s">
        <v>113</v>
      </c>
      <c r="H1495" s="33">
        <f t="shared" si="359"/>
        <v>23</v>
      </c>
      <c r="I1495" s="33" t="str">
        <f t="shared" si="329"/>
        <v>='C:\Users\jaime.benazar\Quorum Business Solutions\Ecopetrol Prometeo - Documents\Planning Space Implementation\3. Analysis &amp; Design\Design\FC22\DRR Jaime\QUIFA-CAJÚA\Cajua\[CAJUA_CF_SEC_New_27-Feb-2024Rev3.xlsx]D-PRB'!$CA$23</v>
      </c>
      <c r="J1495" s="37" t="s">
        <v>2677</v>
      </c>
    </row>
    <row r="1496" spans="1:10" x14ac:dyDescent="0.25">
      <c r="A1496" s="32" t="s">
        <v>4</v>
      </c>
      <c r="B1496" s="32">
        <f t="shared" si="360"/>
        <v>2035</v>
      </c>
      <c r="C1496" s="33" t="s">
        <v>14</v>
      </c>
      <c r="D1496" s="34" t="s">
        <v>1999</v>
      </c>
      <c r="E1496" s="35" t="str">
        <f t="shared" si="327"/>
        <v>PRB'!</v>
      </c>
      <c r="F1496" s="34" t="str">
        <f t="shared" si="328"/>
        <v>C:\Users\jaime.benazar\Quorum Business Solutions\Ecopetrol Prometeo - Documents\Planning Space Implementation\3. Analysis &amp; Design\Design\FC22\DRR Jaime\QUIFA-CAJÚA\Cajua\[CAJUA_CF_SEC_New_27-Feb-2024Rev3.xlsx]D-PRB'!</v>
      </c>
      <c r="G1496" s="32" t="s">
        <v>113</v>
      </c>
      <c r="H1496" s="33">
        <f t="shared" si="359"/>
        <v>24</v>
      </c>
      <c r="I1496" s="33" t="str">
        <f t="shared" si="329"/>
        <v>='C:\Users\jaime.benazar\Quorum Business Solutions\Ecopetrol Prometeo - Documents\Planning Space Implementation\3. Analysis &amp; Design\Design\FC22\DRR Jaime\QUIFA-CAJÚA\Cajua\[CAJUA_CF_SEC_New_27-Feb-2024Rev3.xlsx]D-PRB'!$CA$24</v>
      </c>
      <c r="J1496" s="37" t="s">
        <v>2678</v>
      </c>
    </row>
    <row r="1497" spans="1:10" x14ac:dyDescent="0.25">
      <c r="A1497" s="32" t="s">
        <v>4</v>
      </c>
      <c r="B1497" s="32">
        <f t="shared" si="360"/>
        <v>2036</v>
      </c>
      <c r="C1497" s="33" t="s">
        <v>14</v>
      </c>
      <c r="D1497" s="34" t="s">
        <v>1999</v>
      </c>
      <c r="E1497" s="35" t="str">
        <f t="shared" si="327"/>
        <v>PRB'!</v>
      </c>
      <c r="F1497" s="34" t="str">
        <f t="shared" si="328"/>
        <v>C:\Users\jaime.benazar\Quorum Business Solutions\Ecopetrol Prometeo - Documents\Planning Space Implementation\3. Analysis &amp; Design\Design\FC22\DRR Jaime\QUIFA-CAJÚA\Cajua\[CAJUA_CF_SEC_New_27-Feb-2024Rev3.xlsx]D-PRB'!</v>
      </c>
      <c r="G1497" s="32" t="s">
        <v>113</v>
      </c>
      <c r="H1497" s="33">
        <f t="shared" si="359"/>
        <v>25</v>
      </c>
      <c r="I1497" s="33" t="str">
        <f t="shared" si="329"/>
        <v>='C:\Users\jaime.benazar\Quorum Business Solutions\Ecopetrol Prometeo - Documents\Planning Space Implementation\3. Analysis &amp; Design\Design\FC22\DRR Jaime\QUIFA-CAJÚA\Cajua\[CAJUA_CF_SEC_New_27-Feb-2024Rev3.xlsx]D-PRB'!$CA$25</v>
      </c>
      <c r="J1497" s="37" t="s">
        <v>2679</v>
      </c>
    </row>
    <row r="1498" spans="1:10" x14ac:dyDescent="0.25">
      <c r="A1498" s="32" t="s">
        <v>4</v>
      </c>
      <c r="B1498" s="32">
        <f>+B1497+1</f>
        <v>2037</v>
      </c>
      <c r="C1498" s="33" t="s">
        <v>14</v>
      </c>
      <c r="D1498" s="34" t="s">
        <v>1999</v>
      </c>
      <c r="E1498" s="35" t="str">
        <f t="shared" si="327"/>
        <v>PRB'!</v>
      </c>
      <c r="F1498" s="34" t="str">
        <f t="shared" si="328"/>
        <v>C:\Users\jaime.benazar\Quorum Business Solutions\Ecopetrol Prometeo - Documents\Planning Space Implementation\3. Analysis &amp; Design\Design\FC22\DRR Jaime\QUIFA-CAJÚA\Cajua\[CAJUA_CF_SEC_New_27-Feb-2024Rev3.xlsx]D-PRB'!</v>
      </c>
      <c r="G1498" s="32" t="s">
        <v>113</v>
      </c>
      <c r="H1498" s="33">
        <f t="shared" si="359"/>
        <v>26</v>
      </c>
      <c r="I1498" s="33" t="str">
        <f t="shared" si="329"/>
        <v>='C:\Users\jaime.benazar\Quorum Business Solutions\Ecopetrol Prometeo - Documents\Planning Space Implementation\3. Analysis &amp; Design\Design\FC22\DRR Jaime\QUIFA-CAJÚA\Cajua\[CAJUA_CF_SEC_New_27-Feb-2024Rev3.xlsx]D-PRB'!$CA$26</v>
      </c>
      <c r="J1498" s="37" t="s">
        <v>2680</v>
      </c>
    </row>
    <row r="1499" spans="1:10" x14ac:dyDescent="0.25">
      <c r="A1499" s="32" t="s">
        <v>4</v>
      </c>
      <c r="B1499" s="32">
        <f t="shared" ref="B1499:B1501" si="361">+B1498+1</f>
        <v>2038</v>
      </c>
      <c r="C1499" s="33" t="s">
        <v>14</v>
      </c>
      <c r="D1499" s="34" t="s">
        <v>1999</v>
      </c>
      <c r="E1499" s="35" t="str">
        <f t="shared" si="327"/>
        <v>PRB'!</v>
      </c>
      <c r="F1499" s="34" t="str">
        <f t="shared" si="328"/>
        <v>C:\Users\jaime.benazar\Quorum Business Solutions\Ecopetrol Prometeo - Documents\Planning Space Implementation\3. Analysis &amp; Design\Design\FC22\DRR Jaime\QUIFA-CAJÚA\Cajua\[CAJUA_CF_SEC_New_27-Feb-2024Rev3.xlsx]D-PRB'!</v>
      </c>
      <c r="G1499" s="32" t="s">
        <v>113</v>
      </c>
      <c r="H1499" s="33">
        <f t="shared" si="359"/>
        <v>27</v>
      </c>
      <c r="I1499" s="33" t="str">
        <f t="shared" si="329"/>
        <v>='C:\Users\jaime.benazar\Quorum Business Solutions\Ecopetrol Prometeo - Documents\Planning Space Implementation\3. Analysis &amp; Design\Design\FC22\DRR Jaime\QUIFA-CAJÚA\Cajua\[CAJUA_CF_SEC_New_27-Feb-2024Rev3.xlsx]D-PRB'!$CA$27</v>
      </c>
      <c r="J1499" s="37" t="s">
        <v>2681</v>
      </c>
    </row>
    <row r="1500" spans="1:10" x14ac:dyDescent="0.25">
      <c r="A1500" s="32" t="s">
        <v>4</v>
      </c>
      <c r="B1500" s="32">
        <f t="shared" si="361"/>
        <v>2039</v>
      </c>
      <c r="C1500" s="33" t="s">
        <v>14</v>
      </c>
      <c r="D1500" s="34" t="s">
        <v>1999</v>
      </c>
      <c r="E1500" s="35" t="str">
        <f t="shared" si="327"/>
        <v>PRB'!</v>
      </c>
      <c r="F1500" s="34" t="str">
        <f t="shared" si="328"/>
        <v>C:\Users\jaime.benazar\Quorum Business Solutions\Ecopetrol Prometeo - Documents\Planning Space Implementation\3. Analysis &amp; Design\Design\FC22\DRR Jaime\QUIFA-CAJÚA\Cajua\[CAJUA_CF_SEC_New_27-Feb-2024Rev3.xlsx]D-PRB'!</v>
      </c>
      <c r="G1500" s="32" t="s">
        <v>113</v>
      </c>
      <c r="H1500" s="33">
        <f t="shared" si="359"/>
        <v>28</v>
      </c>
      <c r="I1500" s="33" t="str">
        <f t="shared" si="329"/>
        <v>='C:\Users\jaime.benazar\Quorum Business Solutions\Ecopetrol Prometeo - Documents\Planning Space Implementation\3. Analysis &amp; Design\Design\FC22\DRR Jaime\QUIFA-CAJÚA\Cajua\[CAJUA_CF_SEC_New_27-Feb-2024Rev3.xlsx]D-PRB'!$CA$28</v>
      </c>
      <c r="J1500" s="37" t="s">
        <v>2682</v>
      </c>
    </row>
    <row r="1501" spans="1:10" x14ac:dyDescent="0.25">
      <c r="A1501" s="32" t="s">
        <v>4</v>
      </c>
      <c r="B1501" s="32">
        <f t="shared" si="361"/>
        <v>2040</v>
      </c>
      <c r="C1501" s="33" t="s">
        <v>14</v>
      </c>
      <c r="D1501" s="34" t="s">
        <v>1999</v>
      </c>
      <c r="E1501" s="35" t="str">
        <f t="shared" si="327"/>
        <v>PRB'!</v>
      </c>
      <c r="F1501" s="34" t="str">
        <f t="shared" si="328"/>
        <v>C:\Users\jaime.benazar\Quorum Business Solutions\Ecopetrol Prometeo - Documents\Planning Space Implementation\3. Analysis &amp; Design\Design\FC22\DRR Jaime\QUIFA-CAJÚA\Cajua\[CAJUA_CF_SEC_New_27-Feb-2024Rev3.xlsx]D-PRB'!</v>
      </c>
      <c r="G1501" s="32" t="s">
        <v>113</v>
      </c>
      <c r="H1501" s="33">
        <f t="shared" si="359"/>
        <v>29</v>
      </c>
      <c r="I1501" s="33" t="str">
        <f t="shared" si="329"/>
        <v>='C:\Users\jaime.benazar\Quorum Business Solutions\Ecopetrol Prometeo - Documents\Planning Space Implementation\3. Analysis &amp; Design\Design\FC22\DRR Jaime\QUIFA-CAJÚA\Cajua\[CAJUA_CF_SEC_New_27-Feb-2024Rev3.xlsx]D-PRB'!$CA$29</v>
      </c>
      <c r="J1501" s="37" t="s">
        <v>2683</v>
      </c>
    </row>
    <row r="1502" spans="1:10" x14ac:dyDescent="0.25">
      <c r="A1502" s="32" t="s">
        <v>4</v>
      </c>
      <c r="B1502" s="32">
        <f>+B1501+1</f>
        <v>2041</v>
      </c>
      <c r="C1502" s="33" t="s">
        <v>14</v>
      </c>
      <c r="D1502" s="34" t="s">
        <v>1999</v>
      </c>
      <c r="E1502" s="35" t="str">
        <f t="shared" si="327"/>
        <v>PRB'!</v>
      </c>
      <c r="F1502" s="34" t="str">
        <f t="shared" si="328"/>
        <v>C:\Users\jaime.benazar\Quorum Business Solutions\Ecopetrol Prometeo - Documents\Planning Space Implementation\3. Analysis &amp; Design\Design\FC22\DRR Jaime\QUIFA-CAJÚA\Cajua\[CAJUA_CF_SEC_New_27-Feb-2024Rev3.xlsx]D-PRB'!</v>
      </c>
      <c r="G1502" s="32" t="s">
        <v>113</v>
      </c>
      <c r="H1502" s="33">
        <f t="shared" si="359"/>
        <v>30</v>
      </c>
      <c r="I1502" s="33" t="str">
        <f t="shared" si="329"/>
        <v>='C:\Users\jaime.benazar\Quorum Business Solutions\Ecopetrol Prometeo - Documents\Planning Space Implementation\3. Analysis &amp; Design\Design\FC22\DRR Jaime\QUIFA-CAJÚA\Cajua\[CAJUA_CF_SEC_New_27-Feb-2024Rev3.xlsx]D-PRB'!$CA$30</v>
      </c>
      <c r="J1502" s="37" t="s">
        <v>2684</v>
      </c>
    </row>
    <row r="1503" spans="1:10" x14ac:dyDescent="0.25">
      <c r="A1503" s="32" t="s">
        <v>4</v>
      </c>
      <c r="B1503" s="32">
        <f t="shared" ref="B1503:B1504" si="362">+B1502+1</f>
        <v>2042</v>
      </c>
      <c r="C1503" s="33" t="s">
        <v>14</v>
      </c>
      <c r="D1503" s="34" t="s">
        <v>1999</v>
      </c>
      <c r="E1503" s="35" t="str">
        <f t="shared" si="327"/>
        <v>PRB'!</v>
      </c>
      <c r="F1503" s="34" t="str">
        <f t="shared" si="328"/>
        <v>C:\Users\jaime.benazar\Quorum Business Solutions\Ecopetrol Prometeo - Documents\Planning Space Implementation\3. Analysis &amp; Design\Design\FC22\DRR Jaime\QUIFA-CAJÚA\Cajua\[CAJUA_CF_SEC_New_27-Feb-2024Rev3.xlsx]D-PRB'!</v>
      </c>
      <c r="G1503" s="32" t="s">
        <v>113</v>
      </c>
      <c r="H1503" s="33">
        <f t="shared" si="359"/>
        <v>31</v>
      </c>
      <c r="I1503" s="33" t="str">
        <f t="shared" si="329"/>
        <v>='C:\Users\jaime.benazar\Quorum Business Solutions\Ecopetrol Prometeo - Documents\Planning Space Implementation\3. Analysis &amp; Design\Design\FC22\DRR Jaime\QUIFA-CAJÚA\Cajua\[CAJUA_CF_SEC_New_27-Feb-2024Rev3.xlsx]D-PRB'!$CA$31</v>
      </c>
      <c r="J1503" s="37" t="s">
        <v>2685</v>
      </c>
    </row>
    <row r="1504" spans="1:10" x14ac:dyDescent="0.25">
      <c r="A1504" s="32" t="s">
        <v>4</v>
      </c>
      <c r="B1504" s="32">
        <f t="shared" si="362"/>
        <v>2043</v>
      </c>
      <c r="C1504" s="33" t="s">
        <v>14</v>
      </c>
      <c r="D1504" s="34" t="s">
        <v>1999</v>
      </c>
      <c r="E1504" s="35" t="str">
        <f t="shared" si="327"/>
        <v>PRB'!</v>
      </c>
      <c r="F1504" s="34" t="str">
        <f t="shared" si="328"/>
        <v>C:\Users\jaime.benazar\Quorum Business Solutions\Ecopetrol Prometeo - Documents\Planning Space Implementation\3. Analysis &amp; Design\Design\FC22\DRR Jaime\QUIFA-CAJÚA\Cajua\[CAJUA_CF_SEC_New_27-Feb-2024Rev3.xlsx]D-PRB'!</v>
      </c>
      <c r="G1504" s="32" t="s">
        <v>113</v>
      </c>
      <c r="H1504" s="33">
        <f t="shared" si="359"/>
        <v>32</v>
      </c>
      <c r="I1504" s="33" t="str">
        <f t="shared" si="329"/>
        <v>='C:\Users\jaime.benazar\Quorum Business Solutions\Ecopetrol Prometeo - Documents\Planning Space Implementation\3. Analysis &amp; Design\Design\FC22\DRR Jaime\QUIFA-CAJÚA\Cajua\[CAJUA_CF_SEC_New_27-Feb-2024Rev3.xlsx]D-PRB'!$CA$32</v>
      </c>
      <c r="J1504" s="37" t="s">
        <v>2686</v>
      </c>
    </row>
    <row r="1505" spans="1:10" x14ac:dyDescent="0.25">
      <c r="A1505" s="32" t="s">
        <v>4</v>
      </c>
      <c r="B1505" s="32">
        <f>+B1504+1</f>
        <v>2044</v>
      </c>
      <c r="C1505" s="33" t="s">
        <v>14</v>
      </c>
      <c r="D1505" s="34" t="s">
        <v>1999</v>
      </c>
      <c r="E1505" s="35" t="str">
        <f t="shared" ref="E1505:E1520" si="363">_xlfn.CONCAT(A1505,"'!")</f>
        <v>PRB'!</v>
      </c>
      <c r="F1505" s="34" t="str">
        <f t="shared" ref="F1505:F1520" si="364">_xlfn.CONCAT(D1505:E1505)</f>
        <v>C:\Users\jaime.benazar\Quorum Business Solutions\Ecopetrol Prometeo - Documents\Planning Space Implementation\3. Analysis &amp; Design\Design\FC22\DRR Jaime\QUIFA-CAJÚA\Cajua\[CAJUA_CF_SEC_New_27-Feb-2024Rev3.xlsx]D-PRB'!</v>
      </c>
      <c r="G1505" s="32" t="s">
        <v>113</v>
      </c>
      <c r="H1505" s="33">
        <f t="shared" ref="H1505:H1520" si="365">IF(A1505&lt;&gt;A1504,12,H1504+1)</f>
        <v>33</v>
      </c>
      <c r="I1505" s="33" t="str">
        <f t="shared" ref="I1505:I1520" si="366">_xlfn.CONCAT("='",F1505:H1505)</f>
        <v>='C:\Users\jaime.benazar\Quorum Business Solutions\Ecopetrol Prometeo - Documents\Planning Space Implementation\3. Analysis &amp; Design\Design\FC22\DRR Jaime\QUIFA-CAJÚA\Cajua\[CAJUA_CF_SEC_New_27-Feb-2024Rev3.xlsx]D-PRB'!$CA$33</v>
      </c>
      <c r="J1505" s="37" t="s">
        <v>2687</v>
      </c>
    </row>
    <row r="1506" spans="1:10" x14ac:dyDescent="0.25">
      <c r="A1506" s="32" t="s">
        <v>4</v>
      </c>
      <c r="B1506" s="32">
        <f t="shared" ref="B1506:B1520" si="367">+B1505+1</f>
        <v>2045</v>
      </c>
      <c r="C1506" s="33" t="s">
        <v>14</v>
      </c>
      <c r="D1506" s="34" t="s">
        <v>1999</v>
      </c>
      <c r="E1506" s="35" t="str">
        <f t="shared" si="363"/>
        <v>PRB'!</v>
      </c>
      <c r="F1506" s="34" t="str">
        <f t="shared" si="364"/>
        <v>C:\Users\jaime.benazar\Quorum Business Solutions\Ecopetrol Prometeo - Documents\Planning Space Implementation\3. Analysis &amp; Design\Design\FC22\DRR Jaime\QUIFA-CAJÚA\Cajua\[CAJUA_CF_SEC_New_27-Feb-2024Rev3.xlsx]D-PRB'!</v>
      </c>
      <c r="G1506" s="32" t="s">
        <v>113</v>
      </c>
      <c r="H1506" s="33">
        <f t="shared" si="365"/>
        <v>34</v>
      </c>
      <c r="I1506" s="33" t="str">
        <f t="shared" si="366"/>
        <v>='C:\Users\jaime.benazar\Quorum Business Solutions\Ecopetrol Prometeo - Documents\Planning Space Implementation\3. Analysis &amp; Design\Design\FC22\DRR Jaime\QUIFA-CAJÚA\Cajua\[CAJUA_CF_SEC_New_27-Feb-2024Rev3.xlsx]D-PRB'!$CA$34</v>
      </c>
      <c r="J1506" s="37" t="s">
        <v>2688</v>
      </c>
    </row>
    <row r="1507" spans="1:10" x14ac:dyDescent="0.25">
      <c r="A1507" s="32" t="s">
        <v>4</v>
      </c>
      <c r="B1507" s="32">
        <f t="shared" si="367"/>
        <v>2046</v>
      </c>
      <c r="C1507" s="33" t="s">
        <v>14</v>
      </c>
      <c r="D1507" s="34" t="s">
        <v>1999</v>
      </c>
      <c r="E1507" s="35" t="str">
        <f t="shared" si="363"/>
        <v>PRB'!</v>
      </c>
      <c r="F1507" s="34" t="str">
        <f t="shared" si="364"/>
        <v>C:\Users\jaime.benazar\Quorum Business Solutions\Ecopetrol Prometeo - Documents\Planning Space Implementation\3. Analysis &amp; Design\Design\FC22\DRR Jaime\QUIFA-CAJÚA\Cajua\[CAJUA_CF_SEC_New_27-Feb-2024Rev3.xlsx]D-PRB'!</v>
      </c>
      <c r="G1507" s="32" t="s">
        <v>113</v>
      </c>
      <c r="H1507" s="33">
        <f t="shared" si="365"/>
        <v>35</v>
      </c>
      <c r="I1507" s="33" t="str">
        <f t="shared" si="366"/>
        <v>='C:\Users\jaime.benazar\Quorum Business Solutions\Ecopetrol Prometeo - Documents\Planning Space Implementation\3. Analysis &amp; Design\Design\FC22\DRR Jaime\QUIFA-CAJÚA\Cajua\[CAJUA_CF_SEC_New_27-Feb-2024Rev3.xlsx]D-PRB'!$CA$35</v>
      </c>
      <c r="J1507" s="37" t="s">
        <v>2689</v>
      </c>
    </row>
    <row r="1508" spans="1:10" x14ac:dyDescent="0.25">
      <c r="A1508" s="32" t="s">
        <v>4</v>
      </c>
      <c r="B1508" s="32">
        <f t="shared" si="367"/>
        <v>2047</v>
      </c>
      <c r="C1508" s="33" t="s">
        <v>14</v>
      </c>
      <c r="D1508" s="34" t="s">
        <v>1999</v>
      </c>
      <c r="E1508" s="35" t="str">
        <f t="shared" si="363"/>
        <v>PRB'!</v>
      </c>
      <c r="F1508" s="34" t="str">
        <f t="shared" si="364"/>
        <v>C:\Users\jaime.benazar\Quorum Business Solutions\Ecopetrol Prometeo - Documents\Planning Space Implementation\3. Analysis &amp; Design\Design\FC22\DRR Jaime\QUIFA-CAJÚA\Cajua\[CAJUA_CF_SEC_New_27-Feb-2024Rev3.xlsx]D-PRB'!</v>
      </c>
      <c r="G1508" s="32" t="s">
        <v>113</v>
      </c>
      <c r="H1508" s="33">
        <f t="shared" si="365"/>
        <v>36</v>
      </c>
      <c r="I1508" s="33" t="str">
        <f t="shared" si="366"/>
        <v>='C:\Users\jaime.benazar\Quorum Business Solutions\Ecopetrol Prometeo - Documents\Planning Space Implementation\3. Analysis &amp; Design\Design\FC22\DRR Jaime\QUIFA-CAJÚA\Cajua\[CAJUA_CF_SEC_New_27-Feb-2024Rev3.xlsx]D-PRB'!$CA$36</v>
      </c>
      <c r="J1508" s="37" t="s">
        <v>2690</v>
      </c>
    </row>
    <row r="1509" spans="1:10" x14ac:dyDescent="0.25">
      <c r="A1509" s="32" t="s">
        <v>4</v>
      </c>
      <c r="B1509" s="32">
        <f t="shared" si="367"/>
        <v>2048</v>
      </c>
      <c r="C1509" s="33" t="s">
        <v>14</v>
      </c>
      <c r="D1509" s="34" t="s">
        <v>1999</v>
      </c>
      <c r="E1509" s="35" t="str">
        <f t="shared" si="363"/>
        <v>PRB'!</v>
      </c>
      <c r="F1509" s="34" t="str">
        <f t="shared" si="364"/>
        <v>C:\Users\jaime.benazar\Quorum Business Solutions\Ecopetrol Prometeo - Documents\Planning Space Implementation\3. Analysis &amp; Design\Design\FC22\DRR Jaime\QUIFA-CAJÚA\Cajua\[CAJUA_CF_SEC_New_27-Feb-2024Rev3.xlsx]D-PRB'!</v>
      </c>
      <c r="G1509" s="32" t="s">
        <v>113</v>
      </c>
      <c r="H1509" s="33">
        <f t="shared" si="365"/>
        <v>37</v>
      </c>
      <c r="I1509" s="33" t="str">
        <f t="shared" si="366"/>
        <v>='C:\Users\jaime.benazar\Quorum Business Solutions\Ecopetrol Prometeo - Documents\Planning Space Implementation\3. Analysis &amp; Design\Design\FC22\DRR Jaime\QUIFA-CAJÚA\Cajua\[CAJUA_CF_SEC_New_27-Feb-2024Rev3.xlsx]D-PRB'!$CA$37</v>
      </c>
      <c r="J1509" s="37" t="s">
        <v>2691</v>
      </c>
    </row>
    <row r="1510" spans="1:10" x14ac:dyDescent="0.25">
      <c r="A1510" s="32" t="s">
        <v>4</v>
      </c>
      <c r="B1510" s="32">
        <f t="shared" si="367"/>
        <v>2049</v>
      </c>
      <c r="C1510" s="33" t="s">
        <v>14</v>
      </c>
      <c r="D1510" s="34" t="s">
        <v>1999</v>
      </c>
      <c r="E1510" s="35" t="str">
        <f t="shared" si="363"/>
        <v>PRB'!</v>
      </c>
      <c r="F1510" s="34" t="str">
        <f t="shared" si="364"/>
        <v>C:\Users\jaime.benazar\Quorum Business Solutions\Ecopetrol Prometeo - Documents\Planning Space Implementation\3. Analysis &amp; Design\Design\FC22\DRR Jaime\QUIFA-CAJÚA\Cajua\[CAJUA_CF_SEC_New_27-Feb-2024Rev3.xlsx]D-PRB'!</v>
      </c>
      <c r="G1510" s="32" t="s">
        <v>113</v>
      </c>
      <c r="H1510" s="33">
        <f t="shared" si="365"/>
        <v>38</v>
      </c>
      <c r="I1510" s="33" t="str">
        <f t="shared" si="366"/>
        <v>='C:\Users\jaime.benazar\Quorum Business Solutions\Ecopetrol Prometeo - Documents\Planning Space Implementation\3. Analysis &amp; Design\Design\FC22\DRR Jaime\QUIFA-CAJÚA\Cajua\[CAJUA_CF_SEC_New_27-Feb-2024Rev3.xlsx]D-PRB'!$CA$38</v>
      </c>
      <c r="J1510" s="37" t="s">
        <v>2692</v>
      </c>
    </row>
    <row r="1511" spans="1:10" x14ac:dyDescent="0.25">
      <c r="A1511" s="32" t="s">
        <v>4</v>
      </c>
      <c r="B1511" s="32">
        <f t="shared" si="367"/>
        <v>2050</v>
      </c>
      <c r="C1511" s="33" t="s">
        <v>14</v>
      </c>
      <c r="D1511" s="34" t="s">
        <v>1999</v>
      </c>
      <c r="E1511" s="35" t="str">
        <f t="shared" si="363"/>
        <v>PRB'!</v>
      </c>
      <c r="F1511" s="34" t="str">
        <f t="shared" si="364"/>
        <v>C:\Users\jaime.benazar\Quorum Business Solutions\Ecopetrol Prometeo - Documents\Planning Space Implementation\3. Analysis &amp; Design\Design\FC22\DRR Jaime\QUIFA-CAJÚA\Cajua\[CAJUA_CF_SEC_New_27-Feb-2024Rev3.xlsx]D-PRB'!</v>
      </c>
      <c r="G1511" s="32" t="s">
        <v>113</v>
      </c>
      <c r="H1511" s="33">
        <f t="shared" si="365"/>
        <v>39</v>
      </c>
      <c r="I1511" s="33" t="str">
        <f t="shared" si="366"/>
        <v>='C:\Users\jaime.benazar\Quorum Business Solutions\Ecopetrol Prometeo - Documents\Planning Space Implementation\3. Analysis &amp; Design\Design\FC22\DRR Jaime\QUIFA-CAJÚA\Cajua\[CAJUA_CF_SEC_New_27-Feb-2024Rev3.xlsx]D-PRB'!$CA$39</v>
      </c>
      <c r="J1511" s="37" t="s">
        <v>2693</v>
      </c>
    </row>
    <row r="1512" spans="1:10" x14ac:dyDescent="0.25">
      <c r="A1512" s="32" t="s">
        <v>4</v>
      </c>
      <c r="B1512" s="32">
        <f t="shared" si="367"/>
        <v>2051</v>
      </c>
      <c r="C1512" s="33" t="s">
        <v>14</v>
      </c>
      <c r="D1512" s="34" t="s">
        <v>1999</v>
      </c>
      <c r="E1512" s="35" t="str">
        <f t="shared" si="363"/>
        <v>PRB'!</v>
      </c>
      <c r="F1512" s="34" t="str">
        <f t="shared" si="364"/>
        <v>C:\Users\jaime.benazar\Quorum Business Solutions\Ecopetrol Prometeo - Documents\Planning Space Implementation\3. Analysis &amp; Design\Design\FC22\DRR Jaime\QUIFA-CAJÚA\Cajua\[CAJUA_CF_SEC_New_27-Feb-2024Rev3.xlsx]D-PRB'!</v>
      </c>
      <c r="G1512" s="32" t="s">
        <v>113</v>
      </c>
      <c r="H1512" s="33">
        <f t="shared" si="365"/>
        <v>40</v>
      </c>
      <c r="I1512" s="33" t="str">
        <f t="shared" si="366"/>
        <v>='C:\Users\jaime.benazar\Quorum Business Solutions\Ecopetrol Prometeo - Documents\Planning Space Implementation\3. Analysis &amp; Design\Design\FC22\DRR Jaime\QUIFA-CAJÚA\Cajua\[CAJUA_CF_SEC_New_27-Feb-2024Rev3.xlsx]D-PRB'!$CA$40</v>
      </c>
      <c r="J1512" s="37" t="s">
        <v>2694</v>
      </c>
    </row>
    <row r="1513" spans="1:10" x14ac:dyDescent="0.25">
      <c r="A1513" s="32" t="s">
        <v>4</v>
      </c>
      <c r="B1513" s="32">
        <f t="shared" si="367"/>
        <v>2052</v>
      </c>
      <c r="C1513" s="33" t="s">
        <v>14</v>
      </c>
      <c r="D1513" s="34" t="s">
        <v>1999</v>
      </c>
      <c r="E1513" s="35" t="str">
        <f t="shared" si="363"/>
        <v>PRB'!</v>
      </c>
      <c r="F1513" s="34" t="str">
        <f t="shared" si="364"/>
        <v>C:\Users\jaime.benazar\Quorum Business Solutions\Ecopetrol Prometeo - Documents\Planning Space Implementation\3. Analysis &amp; Design\Design\FC22\DRR Jaime\QUIFA-CAJÚA\Cajua\[CAJUA_CF_SEC_New_27-Feb-2024Rev3.xlsx]D-PRB'!</v>
      </c>
      <c r="G1513" s="32" t="s">
        <v>113</v>
      </c>
      <c r="H1513" s="33">
        <f t="shared" si="365"/>
        <v>41</v>
      </c>
      <c r="I1513" s="33" t="str">
        <f t="shared" si="366"/>
        <v>='C:\Users\jaime.benazar\Quorum Business Solutions\Ecopetrol Prometeo - Documents\Planning Space Implementation\3. Analysis &amp; Design\Design\FC22\DRR Jaime\QUIFA-CAJÚA\Cajua\[CAJUA_CF_SEC_New_27-Feb-2024Rev3.xlsx]D-PRB'!$CA$41</v>
      </c>
      <c r="J1513" s="37" t="s">
        <v>2695</v>
      </c>
    </row>
    <row r="1514" spans="1:10" x14ac:dyDescent="0.25">
      <c r="A1514" s="32" t="s">
        <v>4</v>
      </c>
      <c r="B1514" s="32">
        <f t="shared" si="367"/>
        <v>2053</v>
      </c>
      <c r="C1514" s="33" t="s">
        <v>14</v>
      </c>
      <c r="D1514" s="34" t="s">
        <v>1999</v>
      </c>
      <c r="E1514" s="35" t="str">
        <f t="shared" si="363"/>
        <v>PRB'!</v>
      </c>
      <c r="F1514" s="34" t="str">
        <f t="shared" si="364"/>
        <v>C:\Users\jaime.benazar\Quorum Business Solutions\Ecopetrol Prometeo - Documents\Planning Space Implementation\3. Analysis &amp; Design\Design\FC22\DRR Jaime\QUIFA-CAJÚA\Cajua\[CAJUA_CF_SEC_New_27-Feb-2024Rev3.xlsx]D-PRB'!</v>
      </c>
      <c r="G1514" s="32" t="s">
        <v>113</v>
      </c>
      <c r="H1514" s="33">
        <f t="shared" si="365"/>
        <v>42</v>
      </c>
      <c r="I1514" s="33" t="str">
        <f t="shared" si="366"/>
        <v>='C:\Users\jaime.benazar\Quorum Business Solutions\Ecopetrol Prometeo - Documents\Planning Space Implementation\3. Analysis &amp; Design\Design\FC22\DRR Jaime\QUIFA-CAJÚA\Cajua\[CAJUA_CF_SEC_New_27-Feb-2024Rev3.xlsx]D-PRB'!$CA$42</v>
      </c>
      <c r="J1514" s="37" t="s">
        <v>2696</v>
      </c>
    </row>
    <row r="1515" spans="1:10" x14ac:dyDescent="0.25">
      <c r="A1515" s="32" t="s">
        <v>4</v>
      </c>
      <c r="B1515" s="32">
        <f t="shared" si="367"/>
        <v>2054</v>
      </c>
      <c r="C1515" s="33" t="s">
        <v>14</v>
      </c>
      <c r="D1515" s="34" t="s">
        <v>1999</v>
      </c>
      <c r="E1515" s="35" t="str">
        <f t="shared" si="363"/>
        <v>PRB'!</v>
      </c>
      <c r="F1515" s="34" t="str">
        <f t="shared" si="364"/>
        <v>C:\Users\jaime.benazar\Quorum Business Solutions\Ecopetrol Prometeo - Documents\Planning Space Implementation\3. Analysis &amp; Design\Design\FC22\DRR Jaime\QUIFA-CAJÚA\Cajua\[CAJUA_CF_SEC_New_27-Feb-2024Rev3.xlsx]D-PRB'!</v>
      </c>
      <c r="G1515" s="32" t="s">
        <v>113</v>
      </c>
      <c r="H1515" s="33">
        <f t="shared" si="365"/>
        <v>43</v>
      </c>
      <c r="I1515" s="33" t="str">
        <f t="shared" si="366"/>
        <v>='C:\Users\jaime.benazar\Quorum Business Solutions\Ecopetrol Prometeo - Documents\Planning Space Implementation\3. Analysis &amp; Design\Design\FC22\DRR Jaime\QUIFA-CAJÚA\Cajua\[CAJUA_CF_SEC_New_27-Feb-2024Rev3.xlsx]D-PRB'!$CA$43</v>
      </c>
      <c r="J1515" s="37" t="s">
        <v>2697</v>
      </c>
    </row>
    <row r="1516" spans="1:10" x14ac:dyDescent="0.25">
      <c r="A1516" s="32" t="s">
        <v>4</v>
      </c>
      <c r="B1516" s="32">
        <f t="shared" si="367"/>
        <v>2055</v>
      </c>
      <c r="C1516" s="33" t="s">
        <v>14</v>
      </c>
      <c r="D1516" s="34" t="s">
        <v>1999</v>
      </c>
      <c r="E1516" s="35" t="str">
        <f t="shared" si="363"/>
        <v>PRB'!</v>
      </c>
      <c r="F1516" s="34" t="str">
        <f t="shared" si="364"/>
        <v>C:\Users\jaime.benazar\Quorum Business Solutions\Ecopetrol Prometeo - Documents\Planning Space Implementation\3. Analysis &amp; Design\Design\FC22\DRR Jaime\QUIFA-CAJÚA\Cajua\[CAJUA_CF_SEC_New_27-Feb-2024Rev3.xlsx]D-PRB'!</v>
      </c>
      <c r="G1516" s="32" t="s">
        <v>113</v>
      </c>
      <c r="H1516" s="33">
        <f t="shared" si="365"/>
        <v>44</v>
      </c>
      <c r="I1516" s="33" t="str">
        <f t="shared" si="366"/>
        <v>='C:\Users\jaime.benazar\Quorum Business Solutions\Ecopetrol Prometeo - Documents\Planning Space Implementation\3. Analysis &amp; Design\Design\FC22\DRR Jaime\QUIFA-CAJÚA\Cajua\[CAJUA_CF_SEC_New_27-Feb-2024Rev3.xlsx]D-PRB'!$CA$44</v>
      </c>
      <c r="J1516" s="37" t="s">
        <v>2698</v>
      </c>
    </row>
    <row r="1517" spans="1:10" x14ac:dyDescent="0.25">
      <c r="A1517" s="32" t="s">
        <v>4</v>
      </c>
      <c r="B1517" s="32">
        <f t="shared" si="367"/>
        <v>2056</v>
      </c>
      <c r="C1517" s="33" t="s">
        <v>14</v>
      </c>
      <c r="D1517" s="34" t="s">
        <v>1999</v>
      </c>
      <c r="E1517" s="35" t="str">
        <f t="shared" si="363"/>
        <v>PRB'!</v>
      </c>
      <c r="F1517" s="34" t="str">
        <f t="shared" si="364"/>
        <v>C:\Users\jaime.benazar\Quorum Business Solutions\Ecopetrol Prometeo - Documents\Planning Space Implementation\3. Analysis &amp; Design\Design\FC22\DRR Jaime\QUIFA-CAJÚA\Cajua\[CAJUA_CF_SEC_New_27-Feb-2024Rev3.xlsx]D-PRB'!</v>
      </c>
      <c r="G1517" s="32" t="s">
        <v>113</v>
      </c>
      <c r="H1517" s="33">
        <f t="shared" si="365"/>
        <v>45</v>
      </c>
      <c r="I1517" s="33" t="str">
        <f t="shared" si="366"/>
        <v>='C:\Users\jaime.benazar\Quorum Business Solutions\Ecopetrol Prometeo - Documents\Planning Space Implementation\3. Analysis &amp; Design\Design\FC22\DRR Jaime\QUIFA-CAJÚA\Cajua\[CAJUA_CF_SEC_New_27-Feb-2024Rev3.xlsx]D-PRB'!$CA$45</v>
      </c>
      <c r="J1517" s="37" t="s">
        <v>2699</v>
      </c>
    </row>
    <row r="1518" spans="1:10" x14ac:dyDescent="0.25">
      <c r="A1518" s="32" t="s">
        <v>4</v>
      </c>
      <c r="B1518" s="32">
        <f t="shared" si="367"/>
        <v>2057</v>
      </c>
      <c r="C1518" s="33" t="s">
        <v>14</v>
      </c>
      <c r="D1518" s="34" t="s">
        <v>1999</v>
      </c>
      <c r="E1518" s="35" t="str">
        <f t="shared" si="363"/>
        <v>PRB'!</v>
      </c>
      <c r="F1518" s="34" t="str">
        <f t="shared" si="364"/>
        <v>C:\Users\jaime.benazar\Quorum Business Solutions\Ecopetrol Prometeo - Documents\Planning Space Implementation\3. Analysis &amp; Design\Design\FC22\DRR Jaime\QUIFA-CAJÚA\Cajua\[CAJUA_CF_SEC_New_27-Feb-2024Rev3.xlsx]D-PRB'!</v>
      </c>
      <c r="G1518" s="32" t="s">
        <v>113</v>
      </c>
      <c r="H1518" s="33">
        <f t="shared" si="365"/>
        <v>46</v>
      </c>
      <c r="I1518" s="33" t="str">
        <f t="shared" si="366"/>
        <v>='C:\Users\jaime.benazar\Quorum Business Solutions\Ecopetrol Prometeo - Documents\Planning Space Implementation\3. Analysis &amp; Design\Design\FC22\DRR Jaime\QUIFA-CAJÚA\Cajua\[CAJUA_CF_SEC_New_27-Feb-2024Rev3.xlsx]D-PRB'!$CA$46</v>
      </c>
      <c r="J1518" s="37" t="s">
        <v>2700</v>
      </c>
    </row>
    <row r="1519" spans="1:10" x14ac:dyDescent="0.25">
      <c r="A1519" s="32" t="s">
        <v>4</v>
      </c>
      <c r="B1519" s="32">
        <f t="shared" si="367"/>
        <v>2058</v>
      </c>
      <c r="C1519" s="33" t="s">
        <v>14</v>
      </c>
      <c r="D1519" s="34" t="s">
        <v>1999</v>
      </c>
      <c r="E1519" s="35" t="str">
        <f t="shared" si="363"/>
        <v>PRB'!</v>
      </c>
      <c r="F1519" s="34" t="str">
        <f t="shared" si="364"/>
        <v>C:\Users\jaime.benazar\Quorum Business Solutions\Ecopetrol Prometeo - Documents\Planning Space Implementation\3. Analysis &amp; Design\Design\FC22\DRR Jaime\QUIFA-CAJÚA\Cajua\[CAJUA_CF_SEC_New_27-Feb-2024Rev3.xlsx]D-PRB'!</v>
      </c>
      <c r="G1519" s="32" t="s">
        <v>113</v>
      </c>
      <c r="H1519" s="33">
        <f t="shared" si="365"/>
        <v>47</v>
      </c>
      <c r="I1519" s="33" t="str">
        <f t="shared" si="366"/>
        <v>='C:\Users\jaime.benazar\Quorum Business Solutions\Ecopetrol Prometeo - Documents\Planning Space Implementation\3. Analysis &amp; Design\Design\FC22\DRR Jaime\QUIFA-CAJÚA\Cajua\[CAJUA_CF_SEC_New_27-Feb-2024Rev3.xlsx]D-PRB'!$CA$47</v>
      </c>
      <c r="J1519" s="37" t="s">
        <v>2701</v>
      </c>
    </row>
    <row r="1520" spans="1:10" x14ac:dyDescent="0.25">
      <c r="A1520" s="32" t="s">
        <v>4</v>
      </c>
      <c r="B1520" s="32">
        <f t="shared" si="367"/>
        <v>2059</v>
      </c>
      <c r="C1520" s="33" t="s">
        <v>14</v>
      </c>
      <c r="D1520" s="34" t="s">
        <v>1999</v>
      </c>
      <c r="E1520" s="35" t="str">
        <f t="shared" si="363"/>
        <v>PRB'!</v>
      </c>
      <c r="F1520" s="34" t="str">
        <f t="shared" si="364"/>
        <v>C:\Users\jaime.benazar\Quorum Business Solutions\Ecopetrol Prometeo - Documents\Planning Space Implementation\3. Analysis &amp; Design\Design\FC22\DRR Jaime\QUIFA-CAJÚA\Cajua\[CAJUA_CF_SEC_New_27-Feb-2024Rev3.xlsx]D-PRB'!</v>
      </c>
      <c r="G1520" s="32" t="s">
        <v>113</v>
      </c>
      <c r="H1520" s="33">
        <f t="shared" si="365"/>
        <v>48</v>
      </c>
      <c r="I1520" s="33" t="str">
        <f t="shared" si="366"/>
        <v>='C:\Users\jaime.benazar\Quorum Business Solutions\Ecopetrol Prometeo - Documents\Planning Space Implementation\3. Analysis &amp; Design\Design\FC22\DRR Jaime\QUIFA-CAJÚA\Cajua\[CAJUA_CF_SEC_New_27-Feb-2024Rev3.xlsx]D-PRB'!$CA$48</v>
      </c>
      <c r="J1520" s="37" t="s">
        <v>2702</v>
      </c>
    </row>
    <row r="1521" spans="1:10" x14ac:dyDescent="0.25">
      <c r="A1521" s="32" t="s">
        <v>28</v>
      </c>
      <c r="B1521" s="32"/>
      <c r="C1521" s="33" t="s">
        <v>14</v>
      </c>
      <c r="D1521" s="34"/>
      <c r="E1521" s="35"/>
      <c r="F1521" s="34"/>
      <c r="G1521" s="32"/>
      <c r="H1521" s="33"/>
      <c r="I1521" s="33"/>
      <c r="J1521" s="33"/>
    </row>
    <row r="1522" spans="1:10" x14ac:dyDescent="0.25">
      <c r="A1522" s="32" t="s">
        <v>102</v>
      </c>
      <c r="B1522" s="32">
        <v>2023</v>
      </c>
      <c r="C1522" s="33" t="s">
        <v>14</v>
      </c>
      <c r="D1522" s="34" t="s">
        <v>1999</v>
      </c>
      <c r="E1522" s="35" t="str">
        <f t="shared" ref="E1522:E1542" si="368">_xlfn.CONCAT(A1522,"'!")</f>
        <v>PSDP'!</v>
      </c>
      <c r="F1522" s="34" t="str">
        <f t="shared" ref="F1522:F1542" si="369">_xlfn.CONCAT(D1522:E1522)</f>
        <v>C:\Users\jaime.benazar\Quorum Business Solutions\Ecopetrol Prometeo - Documents\Planning Space Implementation\3. Analysis &amp; Design\Design\FC22\DRR Jaime\QUIFA-CAJÚA\Cajua\[CAJUA_CF_SEC_New_27-Feb-2024Rev3.xlsx]D-PSDP'!</v>
      </c>
      <c r="G1522" s="32" t="s">
        <v>113</v>
      </c>
      <c r="H1522" s="33"/>
      <c r="I1522" s="33"/>
      <c r="J1522" s="37"/>
    </row>
    <row r="1523" spans="1:10" x14ac:dyDescent="0.25">
      <c r="A1523" s="32" t="s">
        <v>102</v>
      </c>
      <c r="B1523" s="32">
        <f>+B1522+1</f>
        <v>2024</v>
      </c>
      <c r="C1523" s="33" t="s">
        <v>14</v>
      </c>
      <c r="D1523" s="34" t="s">
        <v>1999</v>
      </c>
      <c r="E1523" s="35" t="str">
        <f t="shared" si="368"/>
        <v>PSDP'!</v>
      </c>
      <c r="F1523" s="34" t="str">
        <f t="shared" si="369"/>
        <v>C:\Users\jaime.benazar\Quorum Business Solutions\Ecopetrol Prometeo - Documents\Planning Space Implementation\3. Analysis &amp; Design\Design\FC22\DRR Jaime\QUIFA-CAJÚA\Cajua\[CAJUA_CF_SEC_New_27-Feb-2024Rev3.xlsx]D-PSDP'!</v>
      </c>
      <c r="G1523" s="32" t="s">
        <v>113</v>
      </c>
      <c r="H1523" s="33"/>
      <c r="I1523" s="33"/>
      <c r="J1523" s="37"/>
    </row>
    <row r="1524" spans="1:10" x14ac:dyDescent="0.25">
      <c r="A1524" s="32" t="s">
        <v>102</v>
      </c>
      <c r="B1524" s="32">
        <f t="shared" ref="B1524:B1535" si="370">+B1523+1</f>
        <v>2025</v>
      </c>
      <c r="C1524" s="33" t="s">
        <v>14</v>
      </c>
      <c r="D1524" s="34" t="s">
        <v>1999</v>
      </c>
      <c r="E1524" s="35" t="str">
        <f t="shared" si="368"/>
        <v>PSDP'!</v>
      </c>
      <c r="F1524" s="34" t="str">
        <f t="shared" si="369"/>
        <v>C:\Users\jaime.benazar\Quorum Business Solutions\Ecopetrol Prometeo - Documents\Planning Space Implementation\3. Analysis &amp; Design\Design\FC22\DRR Jaime\QUIFA-CAJÚA\Cajua\[CAJUA_CF_SEC_New_27-Feb-2024Rev3.xlsx]D-PSDP'!</v>
      </c>
      <c r="G1524" s="32" t="s">
        <v>113</v>
      </c>
      <c r="H1524" s="33"/>
      <c r="I1524" s="33"/>
      <c r="J1524" s="37"/>
    </row>
    <row r="1525" spans="1:10" x14ac:dyDescent="0.25">
      <c r="A1525" s="32" t="s">
        <v>102</v>
      </c>
      <c r="B1525" s="32">
        <f t="shared" si="370"/>
        <v>2026</v>
      </c>
      <c r="C1525" s="33" t="s">
        <v>14</v>
      </c>
      <c r="D1525" s="34" t="s">
        <v>1999</v>
      </c>
      <c r="E1525" s="35" t="str">
        <f t="shared" si="368"/>
        <v>PSDP'!</v>
      </c>
      <c r="F1525" s="34" t="str">
        <f t="shared" si="369"/>
        <v>C:\Users\jaime.benazar\Quorum Business Solutions\Ecopetrol Prometeo - Documents\Planning Space Implementation\3. Analysis &amp; Design\Design\FC22\DRR Jaime\QUIFA-CAJÚA\Cajua\[CAJUA_CF_SEC_New_27-Feb-2024Rev3.xlsx]D-PSDP'!</v>
      </c>
      <c r="G1525" s="32" t="s">
        <v>113</v>
      </c>
      <c r="H1525" s="33"/>
      <c r="I1525" s="33"/>
      <c r="J1525" s="37"/>
    </row>
    <row r="1526" spans="1:10" x14ac:dyDescent="0.25">
      <c r="A1526" s="32" t="s">
        <v>102</v>
      </c>
      <c r="B1526" s="32">
        <f t="shared" si="370"/>
        <v>2027</v>
      </c>
      <c r="C1526" s="33" t="s">
        <v>14</v>
      </c>
      <c r="D1526" s="34" t="s">
        <v>1999</v>
      </c>
      <c r="E1526" s="35" t="str">
        <f t="shared" si="368"/>
        <v>PSDP'!</v>
      </c>
      <c r="F1526" s="34" t="str">
        <f t="shared" si="369"/>
        <v>C:\Users\jaime.benazar\Quorum Business Solutions\Ecopetrol Prometeo - Documents\Planning Space Implementation\3. Analysis &amp; Design\Design\FC22\DRR Jaime\QUIFA-CAJÚA\Cajua\[CAJUA_CF_SEC_New_27-Feb-2024Rev3.xlsx]D-PSDP'!</v>
      </c>
      <c r="G1526" s="32" t="s">
        <v>113</v>
      </c>
      <c r="H1526" s="33"/>
      <c r="I1526" s="33"/>
      <c r="J1526" s="37"/>
    </row>
    <row r="1527" spans="1:10" x14ac:dyDescent="0.25">
      <c r="A1527" s="32" t="s">
        <v>102</v>
      </c>
      <c r="B1527" s="32">
        <f t="shared" si="370"/>
        <v>2028</v>
      </c>
      <c r="C1527" s="33" t="s">
        <v>14</v>
      </c>
      <c r="D1527" s="34" t="s">
        <v>1999</v>
      </c>
      <c r="E1527" s="35" t="str">
        <f t="shared" si="368"/>
        <v>PSDP'!</v>
      </c>
      <c r="F1527" s="34" t="str">
        <f t="shared" si="369"/>
        <v>C:\Users\jaime.benazar\Quorum Business Solutions\Ecopetrol Prometeo - Documents\Planning Space Implementation\3. Analysis &amp; Design\Design\FC22\DRR Jaime\QUIFA-CAJÚA\Cajua\[CAJUA_CF_SEC_New_27-Feb-2024Rev3.xlsx]D-PSDP'!</v>
      </c>
      <c r="G1527" s="32" t="s">
        <v>113</v>
      </c>
      <c r="H1527" s="33"/>
      <c r="I1527" s="33"/>
      <c r="J1527" s="37"/>
    </row>
    <row r="1528" spans="1:10" x14ac:dyDescent="0.25">
      <c r="A1528" s="32" t="s">
        <v>102</v>
      </c>
      <c r="B1528" s="32">
        <f t="shared" si="370"/>
        <v>2029</v>
      </c>
      <c r="C1528" s="33" t="s">
        <v>14</v>
      </c>
      <c r="D1528" s="34" t="s">
        <v>1999</v>
      </c>
      <c r="E1528" s="35" t="str">
        <f t="shared" si="368"/>
        <v>PSDP'!</v>
      </c>
      <c r="F1528" s="34" t="str">
        <f t="shared" si="369"/>
        <v>C:\Users\jaime.benazar\Quorum Business Solutions\Ecopetrol Prometeo - Documents\Planning Space Implementation\3. Analysis &amp; Design\Design\FC22\DRR Jaime\QUIFA-CAJÚA\Cajua\[CAJUA_CF_SEC_New_27-Feb-2024Rev3.xlsx]D-PSDP'!</v>
      </c>
      <c r="G1528" s="32" t="s">
        <v>113</v>
      </c>
      <c r="H1528" s="33"/>
      <c r="I1528" s="33"/>
      <c r="J1528" s="37"/>
    </row>
    <row r="1529" spans="1:10" x14ac:dyDescent="0.25">
      <c r="A1529" s="32" t="s">
        <v>102</v>
      </c>
      <c r="B1529" s="32">
        <f t="shared" si="370"/>
        <v>2030</v>
      </c>
      <c r="C1529" s="33" t="s">
        <v>14</v>
      </c>
      <c r="D1529" s="34" t="s">
        <v>1999</v>
      </c>
      <c r="E1529" s="35" t="str">
        <f t="shared" si="368"/>
        <v>PSDP'!</v>
      </c>
      <c r="F1529" s="34" t="str">
        <f t="shared" si="369"/>
        <v>C:\Users\jaime.benazar\Quorum Business Solutions\Ecopetrol Prometeo - Documents\Planning Space Implementation\3. Analysis &amp; Design\Design\FC22\DRR Jaime\QUIFA-CAJÚA\Cajua\[CAJUA_CF_SEC_New_27-Feb-2024Rev3.xlsx]D-PSDP'!</v>
      </c>
      <c r="G1529" s="32" t="s">
        <v>113</v>
      </c>
      <c r="H1529" s="33"/>
      <c r="I1529" s="33"/>
      <c r="J1529" s="37"/>
    </row>
    <row r="1530" spans="1:10" x14ac:dyDescent="0.25">
      <c r="A1530" s="32" t="s">
        <v>102</v>
      </c>
      <c r="B1530" s="32">
        <f t="shared" si="370"/>
        <v>2031</v>
      </c>
      <c r="C1530" s="33" t="s">
        <v>14</v>
      </c>
      <c r="D1530" s="34" t="s">
        <v>1999</v>
      </c>
      <c r="E1530" s="35" t="str">
        <f t="shared" si="368"/>
        <v>PSDP'!</v>
      </c>
      <c r="F1530" s="34" t="str">
        <f t="shared" si="369"/>
        <v>C:\Users\jaime.benazar\Quorum Business Solutions\Ecopetrol Prometeo - Documents\Planning Space Implementation\3. Analysis &amp; Design\Design\FC22\DRR Jaime\QUIFA-CAJÚA\Cajua\[CAJUA_CF_SEC_New_27-Feb-2024Rev3.xlsx]D-PSDP'!</v>
      </c>
      <c r="G1530" s="32" t="s">
        <v>113</v>
      </c>
      <c r="H1530" s="33"/>
      <c r="I1530" s="33"/>
      <c r="J1530" s="37"/>
    </row>
    <row r="1531" spans="1:10" x14ac:dyDescent="0.25">
      <c r="A1531" s="32" t="s">
        <v>102</v>
      </c>
      <c r="B1531" s="32">
        <f t="shared" si="370"/>
        <v>2032</v>
      </c>
      <c r="C1531" s="33" t="s">
        <v>14</v>
      </c>
      <c r="D1531" s="34" t="s">
        <v>1999</v>
      </c>
      <c r="E1531" s="35" t="str">
        <f t="shared" si="368"/>
        <v>PSDP'!</v>
      </c>
      <c r="F1531" s="34" t="str">
        <f t="shared" si="369"/>
        <v>C:\Users\jaime.benazar\Quorum Business Solutions\Ecopetrol Prometeo - Documents\Planning Space Implementation\3. Analysis &amp; Design\Design\FC22\DRR Jaime\QUIFA-CAJÚA\Cajua\[CAJUA_CF_SEC_New_27-Feb-2024Rev3.xlsx]D-PSDP'!</v>
      </c>
      <c r="G1531" s="32" t="s">
        <v>113</v>
      </c>
      <c r="H1531" s="33"/>
      <c r="I1531" s="33"/>
      <c r="J1531" s="37"/>
    </row>
    <row r="1532" spans="1:10" x14ac:dyDescent="0.25">
      <c r="A1532" s="32" t="s">
        <v>102</v>
      </c>
      <c r="B1532" s="32">
        <f t="shared" si="370"/>
        <v>2033</v>
      </c>
      <c r="C1532" s="33" t="s">
        <v>14</v>
      </c>
      <c r="D1532" s="34" t="s">
        <v>1999</v>
      </c>
      <c r="E1532" s="35" t="str">
        <f t="shared" si="368"/>
        <v>PSDP'!</v>
      </c>
      <c r="F1532" s="34" t="str">
        <f t="shared" si="369"/>
        <v>C:\Users\jaime.benazar\Quorum Business Solutions\Ecopetrol Prometeo - Documents\Planning Space Implementation\3. Analysis &amp; Design\Design\FC22\DRR Jaime\QUIFA-CAJÚA\Cajua\[CAJUA_CF_SEC_New_27-Feb-2024Rev3.xlsx]D-PSDP'!</v>
      </c>
      <c r="G1532" s="32" t="s">
        <v>113</v>
      </c>
      <c r="H1532" s="33"/>
      <c r="I1532" s="33"/>
      <c r="J1532" s="37"/>
    </row>
    <row r="1533" spans="1:10" x14ac:dyDescent="0.25">
      <c r="A1533" s="32" t="s">
        <v>102</v>
      </c>
      <c r="B1533" s="32">
        <f t="shared" si="370"/>
        <v>2034</v>
      </c>
      <c r="C1533" s="33" t="s">
        <v>14</v>
      </c>
      <c r="D1533" s="34" t="s">
        <v>1999</v>
      </c>
      <c r="E1533" s="35" t="str">
        <f t="shared" si="368"/>
        <v>PSDP'!</v>
      </c>
      <c r="F1533" s="34" t="str">
        <f t="shared" si="369"/>
        <v>C:\Users\jaime.benazar\Quorum Business Solutions\Ecopetrol Prometeo - Documents\Planning Space Implementation\3. Analysis &amp; Design\Design\FC22\DRR Jaime\QUIFA-CAJÚA\Cajua\[CAJUA_CF_SEC_New_27-Feb-2024Rev3.xlsx]D-PSDP'!</v>
      </c>
      <c r="G1533" s="32" t="s">
        <v>113</v>
      </c>
      <c r="H1533" s="33"/>
      <c r="I1533" s="33"/>
      <c r="J1533" s="37"/>
    </row>
    <row r="1534" spans="1:10" x14ac:dyDescent="0.25">
      <c r="A1534" s="32" t="s">
        <v>102</v>
      </c>
      <c r="B1534" s="32">
        <f t="shared" si="370"/>
        <v>2035</v>
      </c>
      <c r="C1534" s="33" t="s">
        <v>14</v>
      </c>
      <c r="D1534" s="34" t="s">
        <v>1999</v>
      </c>
      <c r="E1534" s="35" t="str">
        <f t="shared" si="368"/>
        <v>PSDP'!</v>
      </c>
      <c r="F1534" s="34" t="str">
        <f t="shared" si="369"/>
        <v>C:\Users\jaime.benazar\Quorum Business Solutions\Ecopetrol Prometeo - Documents\Planning Space Implementation\3. Analysis &amp; Design\Design\FC22\DRR Jaime\QUIFA-CAJÚA\Cajua\[CAJUA_CF_SEC_New_27-Feb-2024Rev3.xlsx]D-PSDP'!</v>
      </c>
      <c r="G1534" s="32" t="s">
        <v>113</v>
      </c>
      <c r="H1534" s="33"/>
      <c r="I1534" s="33"/>
      <c r="J1534" s="37"/>
    </row>
    <row r="1535" spans="1:10" x14ac:dyDescent="0.25">
      <c r="A1535" s="32" t="s">
        <v>102</v>
      </c>
      <c r="B1535" s="32">
        <f t="shared" si="370"/>
        <v>2036</v>
      </c>
      <c r="C1535" s="33" t="s">
        <v>14</v>
      </c>
      <c r="D1535" s="34" t="s">
        <v>1999</v>
      </c>
      <c r="E1535" s="35" t="str">
        <f t="shared" si="368"/>
        <v>PSDP'!</v>
      </c>
      <c r="F1535" s="34" t="str">
        <f t="shared" si="369"/>
        <v>C:\Users\jaime.benazar\Quorum Business Solutions\Ecopetrol Prometeo - Documents\Planning Space Implementation\3. Analysis &amp; Design\Design\FC22\DRR Jaime\QUIFA-CAJÚA\Cajua\[CAJUA_CF_SEC_New_27-Feb-2024Rev3.xlsx]D-PSDP'!</v>
      </c>
      <c r="G1535" s="32" t="s">
        <v>113</v>
      </c>
      <c r="H1535" s="33"/>
      <c r="I1535" s="33"/>
      <c r="J1535" s="37"/>
    </row>
    <row r="1536" spans="1:10" x14ac:dyDescent="0.25">
      <c r="A1536" s="32" t="s">
        <v>102</v>
      </c>
      <c r="B1536" s="32">
        <f>+B1535+1</f>
        <v>2037</v>
      </c>
      <c r="C1536" s="33" t="s">
        <v>14</v>
      </c>
      <c r="D1536" s="34" t="s">
        <v>1999</v>
      </c>
      <c r="E1536" s="35" t="str">
        <f t="shared" si="368"/>
        <v>PSDP'!</v>
      </c>
      <c r="F1536" s="34" t="str">
        <f t="shared" si="369"/>
        <v>C:\Users\jaime.benazar\Quorum Business Solutions\Ecopetrol Prometeo - Documents\Planning Space Implementation\3. Analysis &amp; Design\Design\FC22\DRR Jaime\QUIFA-CAJÚA\Cajua\[CAJUA_CF_SEC_New_27-Feb-2024Rev3.xlsx]D-PSDP'!</v>
      </c>
      <c r="G1536" s="32" t="s">
        <v>113</v>
      </c>
      <c r="H1536" s="33"/>
      <c r="I1536" s="33"/>
      <c r="J1536" s="37"/>
    </row>
    <row r="1537" spans="1:10" x14ac:dyDescent="0.25">
      <c r="A1537" s="32" t="s">
        <v>102</v>
      </c>
      <c r="B1537" s="32">
        <f t="shared" ref="B1537:B1539" si="371">+B1536+1</f>
        <v>2038</v>
      </c>
      <c r="C1537" s="33" t="s">
        <v>14</v>
      </c>
      <c r="D1537" s="34" t="s">
        <v>1999</v>
      </c>
      <c r="E1537" s="35" t="str">
        <f t="shared" si="368"/>
        <v>PSDP'!</v>
      </c>
      <c r="F1537" s="34" t="str">
        <f t="shared" si="369"/>
        <v>C:\Users\jaime.benazar\Quorum Business Solutions\Ecopetrol Prometeo - Documents\Planning Space Implementation\3. Analysis &amp; Design\Design\FC22\DRR Jaime\QUIFA-CAJÚA\Cajua\[CAJUA_CF_SEC_New_27-Feb-2024Rev3.xlsx]D-PSDP'!</v>
      </c>
      <c r="G1537" s="32" t="s">
        <v>113</v>
      </c>
      <c r="H1537" s="33"/>
      <c r="I1537" s="33"/>
      <c r="J1537" s="37"/>
    </row>
    <row r="1538" spans="1:10" x14ac:dyDescent="0.25">
      <c r="A1538" s="32" t="s">
        <v>102</v>
      </c>
      <c r="B1538" s="32">
        <f t="shared" si="371"/>
        <v>2039</v>
      </c>
      <c r="C1538" s="33" t="s">
        <v>14</v>
      </c>
      <c r="D1538" s="34" t="s">
        <v>1999</v>
      </c>
      <c r="E1538" s="35" t="str">
        <f t="shared" si="368"/>
        <v>PSDP'!</v>
      </c>
      <c r="F1538" s="34" t="str">
        <f t="shared" si="369"/>
        <v>C:\Users\jaime.benazar\Quorum Business Solutions\Ecopetrol Prometeo - Documents\Planning Space Implementation\3. Analysis &amp; Design\Design\FC22\DRR Jaime\QUIFA-CAJÚA\Cajua\[CAJUA_CF_SEC_New_27-Feb-2024Rev3.xlsx]D-PSDP'!</v>
      </c>
      <c r="G1538" s="32" t="s">
        <v>113</v>
      </c>
      <c r="H1538" s="33"/>
      <c r="I1538" s="33"/>
      <c r="J1538" s="37"/>
    </row>
    <row r="1539" spans="1:10" x14ac:dyDescent="0.25">
      <c r="A1539" s="32" t="s">
        <v>102</v>
      </c>
      <c r="B1539" s="32">
        <f t="shared" si="371"/>
        <v>2040</v>
      </c>
      <c r="C1539" s="33" t="s">
        <v>14</v>
      </c>
      <c r="D1539" s="34" t="s">
        <v>1999</v>
      </c>
      <c r="E1539" s="35" t="str">
        <f t="shared" si="368"/>
        <v>PSDP'!</v>
      </c>
      <c r="F1539" s="34" t="str">
        <f t="shared" si="369"/>
        <v>C:\Users\jaime.benazar\Quorum Business Solutions\Ecopetrol Prometeo - Documents\Planning Space Implementation\3. Analysis &amp; Design\Design\FC22\DRR Jaime\QUIFA-CAJÚA\Cajua\[CAJUA_CF_SEC_New_27-Feb-2024Rev3.xlsx]D-PSDP'!</v>
      </c>
      <c r="G1539" s="32" t="s">
        <v>113</v>
      </c>
      <c r="H1539" s="33"/>
      <c r="I1539" s="33"/>
      <c r="J1539" s="37"/>
    </row>
    <row r="1540" spans="1:10" x14ac:dyDescent="0.25">
      <c r="A1540" s="32" t="s">
        <v>102</v>
      </c>
      <c r="B1540" s="32">
        <f>+B1539+1</f>
        <v>2041</v>
      </c>
      <c r="C1540" s="33" t="s">
        <v>14</v>
      </c>
      <c r="D1540" s="34" t="s">
        <v>1999</v>
      </c>
      <c r="E1540" s="35" t="str">
        <f t="shared" si="368"/>
        <v>PSDP'!</v>
      </c>
      <c r="F1540" s="34" t="str">
        <f t="shared" si="369"/>
        <v>C:\Users\jaime.benazar\Quorum Business Solutions\Ecopetrol Prometeo - Documents\Planning Space Implementation\3. Analysis &amp; Design\Design\FC22\DRR Jaime\QUIFA-CAJÚA\Cajua\[CAJUA_CF_SEC_New_27-Feb-2024Rev3.xlsx]D-PSDP'!</v>
      </c>
      <c r="G1540" s="32" t="s">
        <v>113</v>
      </c>
      <c r="H1540" s="33"/>
      <c r="I1540" s="33"/>
      <c r="J1540" s="37"/>
    </row>
    <row r="1541" spans="1:10" x14ac:dyDescent="0.25">
      <c r="A1541" s="32" t="s">
        <v>102</v>
      </c>
      <c r="B1541" s="32">
        <f t="shared" ref="B1541:B1542" si="372">+B1540+1</f>
        <v>2042</v>
      </c>
      <c r="C1541" s="33" t="s">
        <v>14</v>
      </c>
      <c r="D1541" s="34" t="s">
        <v>1999</v>
      </c>
      <c r="E1541" s="35" t="str">
        <f t="shared" si="368"/>
        <v>PSDP'!</v>
      </c>
      <c r="F1541" s="34" t="str">
        <f t="shared" si="369"/>
        <v>C:\Users\jaime.benazar\Quorum Business Solutions\Ecopetrol Prometeo - Documents\Planning Space Implementation\3. Analysis &amp; Design\Design\FC22\DRR Jaime\QUIFA-CAJÚA\Cajua\[CAJUA_CF_SEC_New_27-Feb-2024Rev3.xlsx]D-PSDP'!</v>
      </c>
      <c r="G1541" s="32" t="s">
        <v>113</v>
      </c>
      <c r="H1541" s="33"/>
      <c r="I1541" s="33"/>
      <c r="J1541" s="37"/>
    </row>
    <row r="1542" spans="1:10" x14ac:dyDescent="0.25">
      <c r="A1542" s="32" t="s">
        <v>102</v>
      </c>
      <c r="B1542" s="32">
        <f t="shared" si="372"/>
        <v>2043</v>
      </c>
      <c r="C1542" s="33" t="s">
        <v>14</v>
      </c>
      <c r="D1542" s="34" t="s">
        <v>1999</v>
      </c>
      <c r="E1542" s="35" t="str">
        <f t="shared" si="368"/>
        <v>PSDP'!</v>
      </c>
      <c r="F1542" s="34" t="str">
        <f t="shared" si="369"/>
        <v>C:\Users\jaime.benazar\Quorum Business Solutions\Ecopetrol Prometeo - Documents\Planning Space Implementation\3. Analysis &amp; Design\Design\FC22\DRR Jaime\QUIFA-CAJÚA\Cajua\[CAJUA_CF_SEC_New_27-Feb-2024Rev3.xlsx]D-PSDP'!</v>
      </c>
      <c r="G1542" s="32" t="s">
        <v>113</v>
      </c>
      <c r="H1542" s="33"/>
      <c r="I1542" s="33"/>
      <c r="J1542" s="37"/>
    </row>
    <row r="1543" spans="1:10" x14ac:dyDescent="0.25">
      <c r="A1543" s="32" t="s">
        <v>102</v>
      </c>
      <c r="B1543" s="32">
        <f>+B1542+1</f>
        <v>2044</v>
      </c>
      <c r="C1543" s="33" t="s">
        <v>14</v>
      </c>
      <c r="D1543" s="34" t="s">
        <v>1999</v>
      </c>
      <c r="E1543" s="35" t="str">
        <f t="shared" ref="E1543:E1558" si="373">_xlfn.CONCAT(A1543,"'!")</f>
        <v>PSDP'!</v>
      </c>
      <c r="F1543" s="34" t="str">
        <f t="shared" ref="F1543:F1558" si="374">_xlfn.CONCAT(D1543:E1543)</f>
        <v>C:\Users\jaime.benazar\Quorum Business Solutions\Ecopetrol Prometeo - Documents\Planning Space Implementation\3. Analysis &amp; Design\Design\FC22\DRR Jaime\QUIFA-CAJÚA\Cajua\[CAJUA_CF_SEC_New_27-Feb-2024Rev3.xlsx]D-PSDP'!</v>
      </c>
      <c r="G1543" s="32" t="s">
        <v>113</v>
      </c>
      <c r="H1543" s="33"/>
      <c r="I1543" s="33"/>
      <c r="J1543" s="37"/>
    </row>
    <row r="1544" spans="1:10" x14ac:dyDescent="0.25">
      <c r="A1544" s="32" t="s">
        <v>102</v>
      </c>
      <c r="B1544" s="32">
        <f t="shared" ref="B1544:B1558" si="375">+B1543+1</f>
        <v>2045</v>
      </c>
      <c r="C1544" s="33" t="s">
        <v>14</v>
      </c>
      <c r="D1544" s="34" t="s">
        <v>1999</v>
      </c>
      <c r="E1544" s="35" t="str">
        <f t="shared" si="373"/>
        <v>PSDP'!</v>
      </c>
      <c r="F1544" s="34" t="str">
        <f t="shared" si="374"/>
        <v>C:\Users\jaime.benazar\Quorum Business Solutions\Ecopetrol Prometeo - Documents\Planning Space Implementation\3. Analysis &amp; Design\Design\FC22\DRR Jaime\QUIFA-CAJÚA\Cajua\[CAJUA_CF_SEC_New_27-Feb-2024Rev3.xlsx]D-PSDP'!</v>
      </c>
      <c r="G1544" s="32" t="s">
        <v>113</v>
      </c>
      <c r="H1544" s="33"/>
      <c r="I1544" s="33"/>
      <c r="J1544" s="37"/>
    </row>
    <row r="1545" spans="1:10" x14ac:dyDescent="0.25">
      <c r="A1545" s="32" t="s">
        <v>102</v>
      </c>
      <c r="B1545" s="32">
        <f t="shared" si="375"/>
        <v>2046</v>
      </c>
      <c r="C1545" s="33" t="s">
        <v>14</v>
      </c>
      <c r="D1545" s="34" t="s">
        <v>1999</v>
      </c>
      <c r="E1545" s="35" t="str">
        <f t="shared" si="373"/>
        <v>PSDP'!</v>
      </c>
      <c r="F1545" s="34" t="str">
        <f t="shared" si="374"/>
        <v>C:\Users\jaime.benazar\Quorum Business Solutions\Ecopetrol Prometeo - Documents\Planning Space Implementation\3. Analysis &amp; Design\Design\FC22\DRR Jaime\QUIFA-CAJÚA\Cajua\[CAJUA_CF_SEC_New_27-Feb-2024Rev3.xlsx]D-PSDP'!</v>
      </c>
      <c r="G1545" s="32" t="s">
        <v>113</v>
      </c>
      <c r="H1545" s="33"/>
      <c r="I1545" s="33"/>
      <c r="J1545" s="37"/>
    </row>
    <row r="1546" spans="1:10" x14ac:dyDescent="0.25">
      <c r="A1546" s="32" t="s">
        <v>102</v>
      </c>
      <c r="B1546" s="32">
        <f t="shared" si="375"/>
        <v>2047</v>
      </c>
      <c r="C1546" s="33" t="s">
        <v>14</v>
      </c>
      <c r="D1546" s="34" t="s">
        <v>1999</v>
      </c>
      <c r="E1546" s="35" t="str">
        <f t="shared" si="373"/>
        <v>PSDP'!</v>
      </c>
      <c r="F1546" s="34" t="str">
        <f t="shared" si="374"/>
        <v>C:\Users\jaime.benazar\Quorum Business Solutions\Ecopetrol Prometeo - Documents\Planning Space Implementation\3. Analysis &amp; Design\Design\FC22\DRR Jaime\QUIFA-CAJÚA\Cajua\[CAJUA_CF_SEC_New_27-Feb-2024Rev3.xlsx]D-PSDP'!</v>
      </c>
      <c r="G1546" s="32" t="s">
        <v>113</v>
      </c>
      <c r="H1546" s="33"/>
      <c r="I1546" s="33"/>
      <c r="J1546" s="37"/>
    </row>
    <row r="1547" spans="1:10" x14ac:dyDescent="0.25">
      <c r="A1547" s="32" t="s">
        <v>102</v>
      </c>
      <c r="B1547" s="32">
        <f t="shared" si="375"/>
        <v>2048</v>
      </c>
      <c r="C1547" s="33" t="s">
        <v>14</v>
      </c>
      <c r="D1547" s="34" t="s">
        <v>1999</v>
      </c>
      <c r="E1547" s="35" t="str">
        <f t="shared" si="373"/>
        <v>PSDP'!</v>
      </c>
      <c r="F1547" s="34" t="str">
        <f t="shared" si="374"/>
        <v>C:\Users\jaime.benazar\Quorum Business Solutions\Ecopetrol Prometeo - Documents\Planning Space Implementation\3. Analysis &amp; Design\Design\FC22\DRR Jaime\QUIFA-CAJÚA\Cajua\[CAJUA_CF_SEC_New_27-Feb-2024Rev3.xlsx]D-PSDP'!</v>
      </c>
      <c r="G1547" s="32" t="s">
        <v>113</v>
      </c>
      <c r="H1547" s="33"/>
      <c r="I1547" s="33"/>
      <c r="J1547" s="37"/>
    </row>
    <row r="1548" spans="1:10" x14ac:dyDescent="0.25">
      <c r="A1548" s="32" t="s">
        <v>102</v>
      </c>
      <c r="B1548" s="32">
        <f t="shared" si="375"/>
        <v>2049</v>
      </c>
      <c r="C1548" s="33" t="s">
        <v>14</v>
      </c>
      <c r="D1548" s="34" t="s">
        <v>1999</v>
      </c>
      <c r="E1548" s="35" t="str">
        <f t="shared" si="373"/>
        <v>PSDP'!</v>
      </c>
      <c r="F1548" s="34" t="str">
        <f t="shared" si="374"/>
        <v>C:\Users\jaime.benazar\Quorum Business Solutions\Ecopetrol Prometeo - Documents\Planning Space Implementation\3. Analysis &amp; Design\Design\FC22\DRR Jaime\QUIFA-CAJÚA\Cajua\[CAJUA_CF_SEC_New_27-Feb-2024Rev3.xlsx]D-PSDP'!</v>
      </c>
      <c r="G1548" s="32" t="s">
        <v>113</v>
      </c>
      <c r="H1548" s="33"/>
      <c r="I1548" s="33"/>
      <c r="J1548" s="37"/>
    </row>
    <row r="1549" spans="1:10" x14ac:dyDescent="0.25">
      <c r="A1549" s="32" t="s">
        <v>102</v>
      </c>
      <c r="B1549" s="32">
        <f t="shared" si="375"/>
        <v>2050</v>
      </c>
      <c r="C1549" s="33" t="s">
        <v>14</v>
      </c>
      <c r="D1549" s="34" t="s">
        <v>1999</v>
      </c>
      <c r="E1549" s="35" t="str">
        <f t="shared" si="373"/>
        <v>PSDP'!</v>
      </c>
      <c r="F1549" s="34" t="str">
        <f t="shared" si="374"/>
        <v>C:\Users\jaime.benazar\Quorum Business Solutions\Ecopetrol Prometeo - Documents\Planning Space Implementation\3. Analysis &amp; Design\Design\FC22\DRR Jaime\QUIFA-CAJÚA\Cajua\[CAJUA_CF_SEC_New_27-Feb-2024Rev3.xlsx]D-PSDP'!</v>
      </c>
      <c r="G1549" s="32" t="s">
        <v>113</v>
      </c>
      <c r="H1549" s="33"/>
      <c r="I1549" s="33"/>
      <c r="J1549" s="37"/>
    </row>
    <row r="1550" spans="1:10" x14ac:dyDescent="0.25">
      <c r="A1550" s="32" t="s">
        <v>102</v>
      </c>
      <c r="B1550" s="32">
        <f t="shared" si="375"/>
        <v>2051</v>
      </c>
      <c r="C1550" s="33" t="s">
        <v>14</v>
      </c>
      <c r="D1550" s="34" t="s">
        <v>1999</v>
      </c>
      <c r="E1550" s="35" t="str">
        <f t="shared" si="373"/>
        <v>PSDP'!</v>
      </c>
      <c r="F1550" s="34" t="str">
        <f t="shared" si="374"/>
        <v>C:\Users\jaime.benazar\Quorum Business Solutions\Ecopetrol Prometeo - Documents\Planning Space Implementation\3. Analysis &amp; Design\Design\FC22\DRR Jaime\QUIFA-CAJÚA\Cajua\[CAJUA_CF_SEC_New_27-Feb-2024Rev3.xlsx]D-PSDP'!</v>
      </c>
      <c r="G1550" s="32" t="s">
        <v>113</v>
      </c>
      <c r="H1550" s="33"/>
      <c r="I1550" s="33"/>
      <c r="J1550" s="37"/>
    </row>
    <row r="1551" spans="1:10" x14ac:dyDescent="0.25">
      <c r="A1551" s="32" t="s">
        <v>102</v>
      </c>
      <c r="B1551" s="32">
        <f t="shared" si="375"/>
        <v>2052</v>
      </c>
      <c r="C1551" s="33" t="s">
        <v>14</v>
      </c>
      <c r="D1551" s="34" t="s">
        <v>1999</v>
      </c>
      <c r="E1551" s="35" t="str">
        <f t="shared" si="373"/>
        <v>PSDP'!</v>
      </c>
      <c r="F1551" s="34" t="str">
        <f t="shared" si="374"/>
        <v>C:\Users\jaime.benazar\Quorum Business Solutions\Ecopetrol Prometeo - Documents\Planning Space Implementation\3. Analysis &amp; Design\Design\FC22\DRR Jaime\QUIFA-CAJÚA\Cajua\[CAJUA_CF_SEC_New_27-Feb-2024Rev3.xlsx]D-PSDP'!</v>
      </c>
      <c r="G1551" s="32" t="s">
        <v>113</v>
      </c>
      <c r="H1551" s="33"/>
      <c r="I1551" s="33"/>
      <c r="J1551" s="37"/>
    </row>
    <row r="1552" spans="1:10" x14ac:dyDescent="0.25">
      <c r="A1552" s="32" t="s">
        <v>102</v>
      </c>
      <c r="B1552" s="32">
        <f t="shared" si="375"/>
        <v>2053</v>
      </c>
      <c r="C1552" s="33" t="s">
        <v>14</v>
      </c>
      <c r="D1552" s="34" t="s">
        <v>1999</v>
      </c>
      <c r="E1552" s="35" t="str">
        <f t="shared" si="373"/>
        <v>PSDP'!</v>
      </c>
      <c r="F1552" s="34" t="str">
        <f t="shared" si="374"/>
        <v>C:\Users\jaime.benazar\Quorum Business Solutions\Ecopetrol Prometeo - Documents\Planning Space Implementation\3. Analysis &amp; Design\Design\FC22\DRR Jaime\QUIFA-CAJÚA\Cajua\[CAJUA_CF_SEC_New_27-Feb-2024Rev3.xlsx]D-PSDP'!</v>
      </c>
      <c r="G1552" s="32" t="s">
        <v>113</v>
      </c>
      <c r="H1552" s="33"/>
      <c r="I1552" s="33"/>
      <c r="J1552" s="37"/>
    </row>
    <row r="1553" spans="1:10" x14ac:dyDescent="0.25">
      <c r="A1553" s="32" t="s">
        <v>102</v>
      </c>
      <c r="B1553" s="32">
        <f t="shared" si="375"/>
        <v>2054</v>
      </c>
      <c r="C1553" s="33" t="s">
        <v>14</v>
      </c>
      <c r="D1553" s="34" t="s">
        <v>1999</v>
      </c>
      <c r="E1553" s="35" t="str">
        <f t="shared" si="373"/>
        <v>PSDP'!</v>
      </c>
      <c r="F1553" s="34" t="str">
        <f t="shared" si="374"/>
        <v>C:\Users\jaime.benazar\Quorum Business Solutions\Ecopetrol Prometeo - Documents\Planning Space Implementation\3. Analysis &amp; Design\Design\FC22\DRR Jaime\QUIFA-CAJÚA\Cajua\[CAJUA_CF_SEC_New_27-Feb-2024Rev3.xlsx]D-PSDP'!</v>
      </c>
      <c r="G1553" s="32" t="s">
        <v>113</v>
      </c>
      <c r="H1553" s="33"/>
      <c r="I1553" s="33"/>
      <c r="J1553" s="37"/>
    </row>
    <row r="1554" spans="1:10" x14ac:dyDescent="0.25">
      <c r="A1554" s="32" t="s">
        <v>102</v>
      </c>
      <c r="B1554" s="32">
        <f t="shared" si="375"/>
        <v>2055</v>
      </c>
      <c r="C1554" s="33" t="s">
        <v>14</v>
      </c>
      <c r="D1554" s="34" t="s">
        <v>1999</v>
      </c>
      <c r="E1554" s="35" t="str">
        <f t="shared" si="373"/>
        <v>PSDP'!</v>
      </c>
      <c r="F1554" s="34" t="str">
        <f t="shared" si="374"/>
        <v>C:\Users\jaime.benazar\Quorum Business Solutions\Ecopetrol Prometeo - Documents\Planning Space Implementation\3. Analysis &amp; Design\Design\FC22\DRR Jaime\QUIFA-CAJÚA\Cajua\[CAJUA_CF_SEC_New_27-Feb-2024Rev3.xlsx]D-PSDP'!</v>
      </c>
      <c r="G1554" s="32" t="s">
        <v>113</v>
      </c>
      <c r="H1554" s="33"/>
      <c r="I1554" s="33"/>
      <c r="J1554" s="37"/>
    </row>
    <row r="1555" spans="1:10" x14ac:dyDescent="0.25">
      <c r="A1555" s="32" t="s">
        <v>102</v>
      </c>
      <c r="B1555" s="32">
        <f t="shared" si="375"/>
        <v>2056</v>
      </c>
      <c r="C1555" s="33" t="s">
        <v>14</v>
      </c>
      <c r="D1555" s="34" t="s">
        <v>1999</v>
      </c>
      <c r="E1555" s="35" t="str">
        <f t="shared" si="373"/>
        <v>PSDP'!</v>
      </c>
      <c r="F1555" s="34" t="str">
        <f t="shared" si="374"/>
        <v>C:\Users\jaime.benazar\Quorum Business Solutions\Ecopetrol Prometeo - Documents\Planning Space Implementation\3. Analysis &amp; Design\Design\FC22\DRR Jaime\QUIFA-CAJÚA\Cajua\[CAJUA_CF_SEC_New_27-Feb-2024Rev3.xlsx]D-PSDP'!</v>
      </c>
      <c r="G1555" s="32" t="s">
        <v>113</v>
      </c>
      <c r="H1555" s="33"/>
      <c r="I1555" s="33"/>
      <c r="J1555" s="37"/>
    </row>
    <row r="1556" spans="1:10" x14ac:dyDescent="0.25">
      <c r="A1556" s="32" t="s">
        <v>102</v>
      </c>
      <c r="B1556" s="32">
        <f t="shared" si="375"/>
        <v>2057</v>
      </c>
      <c r="C1556" s="33" t="s">
        <v>14</v>
      </c>
      <c r="D1556" s="34" t="s">
        <v>1999</v>
      </c>
      <c r="E1556" s="35" t="str">
        <f t="shared" si="373"/>
        <v>PSDP'!</v>
      </c>
      <c r="F1556" s="34" t="str">
        <f t="shared" si="374"/>
        <v>C:\Users\jaime.benazar\Quorum Business Solutions\Ecopetrol Prometeo - Documents\Planning Space Implementation\3. Analysis &amp; Design\Design\FC22\DRR Jaime\QUIFA-CAJÚA\Cajua\[CAJUA_CF_SEC_New_27-Feb-2024Rev3.xlsx]D-PSDP'!</v>
      </c>
      <c r="G1556" s="32" t="s">
        <v>113</v>
      </c>
      <c r="H1556" s="33"/>
      <c r="I1556" s="33"/>
      <c r="J1556" s="37"/>
    </row>
    <row r="1557" spans="1:10" x14ac:dyDescent="0.25">
      <c r="A1557" s="32" t="s">
        <v>102</v>
      </c>
      <c r="B1557" s="32">
        <f t="shared" si="375"/>
        <v>2058</v>
      </c>
      <c r="C1557" s="33" t="s">
        <v>14</v>
      </c>
      <c r="D1557" s="34" t="s">
        <v>1999</v>
      </c>
      <c r="E1557" s="35" t="str">
        <f t="shared" si="373"/>
        <v>PSDP'!</v>
      </c>
      <c r="F1557" s="34" t="str">
        <f t="shared" si="374"/>
        <v>C:\Users\jaime.benazar\Quorum Business Solutions\Ecopetrol Prometeo - Documents\Planning Space Implementation\3. Analysis &amp; Design\Design\FC22\DRR Jaime\QUIFA-CAJÚA\Cajua\[CAJUA_CF_SEC_New_27-Feb-2024Rev3.xlsx]D-PSDP'!</v>
      </c>
      <c r="G1557" s="32" t="s">
        <v>113</v>
      </c>
      <c r="H1557" s="33"/>
      <c r="I1557" s="33"/>
      <c r="J1557" s="37"/>
    </row>
    <row r="1558" spans="1:10" x14ac:dyDescent="0.25">
      <c r="A1558" s="32" t="s">
        <v>102</v>
      </c>
      <c r="B1558" s="32">
        <f t="shared" si="375"/>
        <v>2059</v>
      </c>
      <c r="C1558" s="33" t="s">
        <v>14</v>
      </c>
      <c r="D1558" s="34" t="s">
        <v>1999</v>
      </c>
      <c r="E1558" s="35" t="str">
        <f t="shared" si="373"/>
        <v>PSDP'!</v>
      </c>
      <c r="F1558" s="34" t="str">
        <f t="shared" si="374"/>
        <v>C:\Users\jaime.benazar\Quorum Business Solutions\Ecopetrol Prometeo - Documents\Planning Space Implementation\3. Analysis &amp; Design\Design\FC22\DRR Jaime\QUIFA-CAJÚA\Cajua\[CAJUA_CF_SEC_New_27-Feb-2024Rev3.xlsx]D-PSDP'!</v>
      </c>
      <c r="G1558" s="32" t="s">
        <v>113</v>
      </c>
      <c r="H1558" s="33"/>
      <c r="I1558" s="33"/>
      <c r="J1558" s="37"/>
    </row>
    <row r="1559" spans="1:10" x14ac:dyDescent="0.25">
      <c r="A1559" s="32" t="s">
        <v>28</v>
      </c>
      <c r="B1559" s="32"/>
      <c r="C1559" s="33" t="s">
        <v>14</v>
      </c>
      <c r="D1559" s="34"/>
      <c r="E1559" s="35"/>
      <c r="F1559" s="34"/>
      <c r="G1559" s="32"/>
      <c r="H1559" s="33"/>
      <c r="I1559" s="33"/>
      <c r="J1559" s="33"/>
    </row>
    <row r="1560" spans="1:10" x14ac:dyDescent="0.25">
      <c r="A1560" s="32" t="s">
        <v>103</v>
      </c>
      <c r="B1560" s="32">
        <v>2023</v>
      </c>
      <c r="C1560" s="33" t="s">
        <v>14</v>
      </c>
      <c r="D1560" s="34" t="s">
        <v>1999</v>
      </c>
      <c r="E1560" s="35" t="str">
        <f t="shared" ref="E1560:E1580" si="376">_xlfn.CONCAT(A1560,"'!")</f>
        <v>PSNP'!</v>
      </c>
      <c r="F1560" s="34" t="str">
        <f t="shared" ref="F1560:F1580" si="377">_xlfn.CONCAT(D1560:E1560)</f>
        <v>C:\Users\jaime.benazar\Quorum Business Solutions\Ecopetrol Prometeo - Documents\Planning Space Implementation\3. Analysis &amp; Design\Design\FC22\DRR Jaime\QUIFA-CAJÚA\Cajua\[CAJUA_CF_SEC_New_27-Feb-2024Rev3.xlsx]D-PSNP'!</v>
      </c>
      <c r="G1560" s="32" t="s">
        <v>113</v>
      </c>
      <c r="H1560" s="33"/>
      <c r="I1560" s="33"/>
      <c r="J1560" s="37"/>
    </row>
    <row r="1561" spans="1:10" x14ac:dyDescent="0.25">
      <c r="A1561" s="32" t="s">
        <v>103</v>
      </c>
      <c r="B1561" s="32">
        <f>+B1560+1</f>
        <v>2024</v>
      </c>
      <c r="C1561" s="33" t="s">
        <v>14</v>
      </c>
      <c r="D1561" s="34" t="s">
        <v>1999</v>
      </c>
      <c r="E1561" s="35" t="str">
        <f t="shared" si="376"/>
        <v>PSNP'!</v>
      </c>
      <c r="F1561" s="34" t="str">
        <f t="shared" si="377"/>
        <v>C:\Users\jaime.benazar\Quorum Business Solutions\Ecopetrol Prometeo - Documents\Planning Space Implementation\3. Analysis &amp; Design\Design\FC22\DRR Jaime\QUIFA-CAJÚA\Cajua\[CAJUA_CF_SEC_New_27-Feb-2024Rev3.xlsx]D-PSNP'!</v>
      </c>
      <c r="G1561" s="32" t="s">
        <v>113</v>
      </c>
      <c r="H1561" s="33"/>
      <c r="I1561" s="33"/>
      <c r="J1561" s="37"/>
    </row>
    <row r="1562" spans="1:10" x14ac:dyDescent="0.25">
      <c r="A1562" s="32" t="s">
        <v>103</v>
      </c>
      <c r="B1562" s="32">
        <f t="shared" ref="B1562:B1573" si="378">+B1561+1</f>
        <v>2025</v>
      </c>
      <c r="C1562" s="33" t="s">
        <v>14</v>
      </c>
      <c r="D1562" s="34" t="s">
        <v>1999</v>
      </c>
      <c r="E1562" s="35" t="str">
        <f t="shared" si="376"/>
        <v>PSNP'!</v>
      </c>
      <c r="F1562" s="34" t="str">
        <f t="shared" si="377"/>
        <v>C:\Users\jaime.benazar\Quorum Business Solutions\Ecopetrol Prometeo - Documents\Planning Space Implementation\3. Analysis &amp; Design\Design\FC22\DRR Jaime\QUIFA-CAJÚA\Cajua\[CAJUA_CF_SEC_New_27-Feb-2024Rev3.xlsx]D-PSNP'!</v>
      </c>
      <c r="G1562" s="32" t="s">
        <v>113</v>
      </c>
      <c r="H1562" s="33"/>
      <c r="I1562" s="33"/>
      <c r="J1562" s="37"/>
    </row>
    <row r="1563" spans="1:10" x14ac:dyDescent="0.25">
      <c r="A1563" s="32" t="s">
        <v>103</v>
      </c>
      <c r="B1563" s="32">
        <f t="shared" si="378"/>
        <v>2026</v>
      </c>
      <c r="C1563" s="33" t="s">
        <v>14</v>
      </c>
      <c r="D1563" s="34" t="s">
        <v>1999</v>
      </c>
      <c r="E1563" s="35" t="str">
        <f t="shared" si="376"/>
        <v>PSNP'!</v>
      </c>
      <c r="F1563" s="34" t="str">
        <f t="shared" si="377"/>
        <v>C:\Users\jaime.benazar\Quorum Business Solutions\Ecopetrol Prometeo - Documents\Planning Space Implementation\3. Analysis &amp; Design\Design\FC22\DRR Jaime\QUIFA-CAJÚA\Cajua\[CAJUA_CF_SEC_New_27-Feb-2024Rev3.xlsx]D-PSNP'!</v>
      </c>
      <c r="G1563" s="32" t="s">
        <v>113</v>
      </c>
      <c r="H1563" s="33"/>
      <c r="I1563" s="33"/>
      <c r="J1563" s="37"/>
    </row>
    <row r="1564" spans="1:10" x14ac:dyDescent="0.25">
      <c r="A1564" s="32" t="s">
        <v>103</v>
      </c>
      <c r="B1564" s="32">
        <f t="shared" si="378"/>
        <v>2027</v>
      </c>
      <c r="C1564" s="33" t="s">
        <v>14</v>
      </c>
      <c r="D1564" s="34" t="s">
        <v>1999</v>
      </c>
      <c r="E1564" s="35" t="str">
        <f t="shared" si="376"/>
        <v>PSNP'!</v>
      </c>
      <c r="F1564" s="34" t="str">
        <f t="shared" si="377"/>
        <v>C:\Users\jaime.benazar\Quorum Business Solutions\Ecopetrol Prometeo - Documents\Planning Space Implementation\3. Analysis &amp; Design\Design\FC22\DRR Jaime\QUIFA-CAJÚA\Cajua\[CAJUA_CF_SEC_New_27-Feb-2024Rev3.xlsx]D-PSNP'!</v>
      </c>
      <c r="G1564" s="32" t="s">
        <v>113</v>
      </c>
      <c r="H1564" s="33"/>
      <c r="I1564" s="33"/>
      <c r="J1564" s="37"/>
    </row>
    <row r="1565" spans="1:10" x14ac:dyDescent="0.25">
      <c r="A1565" s="32" t="s">
        <v>103</v>
      </c>
      <c r="B1565" s="32">
        <f t="shared" si="378"/>
        <v>2028</v>
      </c>
      <c r="C1565" s="33" t="s">
        <v>14</v>
      </c>
      <c r="D1565" s="34" t="s">
        <v>1999</v>
      </c>
      <c r="E1565" s="35" t="str">
        <f t="shared" si="376"/>
        <v>PSNP'!</v>
      </c>
      <c r="F1565" s="34" t="str">
        <f t="shared" si="377"/>
        <v>C:\Users\jaime.benazar\Quorum Business Solutions\Ecopetrol Prometeo - Documents\Planning Space Implementation\3. Analysis &amp; Design\Design\FC22\DRR Jaime\QUIFA-CAJÚA\Cajua\[CAJUA_CF_SEC_New_27-Feb-2024Rev3.xlsx]D-PSNP'!</v>
      </c>
      <c r="G1565" s="32" t="s">
        <v>113</v>
      </c>
      <c r="H1565" s="33"/>
      <c r="I1565" s="33"/>
      <c r="J1565" s="37"/>
    </row>
    <row r="1566" spans="1:10" x14ac:dyDescent="0.25">
      <c r="A1566" s="32" t="s">
        <v>103</v>
      </c>
      <c r="B1566" s="32">
        <f t="shared" si="378"/>
        <v>2029</v>
      </c>
      <c r="C1566" s="33" t="s">
        <v>14</v>
      </c>
      <c r="D1566" s="34" t="s">
        <v>1999</v>
      </c>
      <c r="E1566" s="35" t="str">
        <f t="shared" si="376"/>
        <v>PSNP'!</v>
      </c>
      <c r="F1566" s="34" t="str">
        <f t="shared" si="377"/>
        <v>C:\Users\jaime.benazar\Quorum Business Solutions\Ecopetrol Prometeo - Documents\Planning Space Implementation\3. Analysis &amp; Design\Design\FC22\DRR Jaime\QUIFA-CAJÚA\Cajua\[CAJUA_CF_SEC_New_27-Feb-2024Rev3.xlsx]D-PSNP'!</v>
      </c>
      <c r="G1566" s="32" t="s">
        <v>113</v>
      </c>
      <c r="H1566" s="33"/>
      <c r="I1566" s="33"/>
      <c r="J1566" s="37"/>
    </row>
    <row r="1567" spans="1:10" x14ac:dyDescent="0.25">
      <c r="A1567" s="32" t="s">
        <v>103</v>
      </c>
      <c r="B1567" s="32">
        <f t="shared" si="378"/>
        <v>2030</v>
      </c>
      <c r="C1567" s="33" t="s">
        <v>14</v>
      </c>
      <c r="D1567" s="34" t="s">
        <v>1999</v>
      </c>
      <c r="E1567" s="35" t="str">
        <f t="shared" si="376"/>
        <v>PSNP'!</v>
      </c>
      <c r="F1567" s="34" t="str">
        <f t="shared" si="377"/>
        <v>C:\Users\jaime.benazar\Quorum Business Solutions\Ecopetrol Prometeo - Documents\Planning Space Implementation\3. Analysis &amp; Design\Design\FC22\DRR Jaime\QUIFA-CAJÚA\Cajua\[CAJUA_CF_SEC_New_27-Feb-2024Rev3.xlsx]D-PSNP'!</v>
      </c>
      <c r="G1567" s="32" t="s">
        <v>113</v>
      </c>
      <c r="H1567" s="33"/>
      <c r="I1567" s="33"/>
      <c r="J1567" s="37"/>
    </row>
    <row r="1568" spans="1:10" x14ac:dyDescent="0.25">
      <c r="A1568" s="32" t="s">
        <v>103</v>
      </c>
      <c r="B1568" s="32">
        <f t="shared" si="378"/>
        <v>2031</v>
      </c>
      <c r="C1568" s="33" t="s">
        <v>14</v>
      </c>
      <c r="D1568" s="34" t="s">
        <v>1999</v>
      </c>
      <c r="E1568" s="35" t="str">
        <f t="shared" si="376"/>
        <v>PSNP'!</v>
      </c>
      <c r="F1568" s="34" t="str">
        <f t="shared" si="377"/>
        <v>C:\Users\jaime.benazar\Quorum Business Solutions\Ecopetrol Prometeo - Documents\Planning Space Implementation\3. Analysis &amp; Design\Design\FC22\DRR Jaime\QUIFA-CAJÚA\Cajua\[CAJUA_CF_SEC_New_27-Feb-2024Rev3.xlsx]D-PSNP'!</v>
      </c>
      <c r="G1568" s="32" t="s">
        <v>113</v>
      </c>
      <c r="H1568" s="33"/>
      <c r="I1568" s="33"/>
      <c r="J1568" s="37"/>
    </row>
    <row r="1569" spans="1:10" x14ac:dyDescent="0.25">
      <c r="A1569" s="32" t="s">
        <v>103</v>
      </c>
      <c r="B1569" s="32">
        <f t="shared" si="378"/>
        <v>2032</v>
      </c>
      <c r="C1569" s="33" t="s">
        <v>14</v>
      </c>
      <c r="D1569" s="34" t="s">
        <v>1999</v>
      </c>
      <c r="E1569" s="35" t="str">
        <f t="shared" si="376"/>
        <v>PSNP'!</v>
      </c>
      <c r="F1569" s="34" t="str">
        <f t="shared" si="377"/>
        <v>C:\Users\jaime.benazar\Quorum Business Solutions\Ecopetrol Prometeo - Documents\Planning Space Implementation\3. Analysis &amp; Design\Design\FC22\DRR Jaime\QUIFA-CAJÚA\Cajua\[CAJUA_CF_SEC_New_27-Feb-2024Rev3.xlsx]D-PSNP'!</v>
      </c>
      <c r="G1569" s="32" t="s">
        <v>113</v>
      </c>
      <c r="H1569" s="33"/>
      <c r="I1569" s="33"/>
      <c r="J1569" s="37"/>
    </row>
    <row r="1570" spans="1:10" x14ac:dyDescent="0.25">
      <c r="A1570" s="32" t="s">
        <v>103</v>
      </c>
      <c r="B1570" s="32">
        <f t="shared" si="378"/>
        <v>2033</v>
      </c>
      <c r="C1570" s="33" t="s">
        <v>14</v>
      </c>
      <c r="D1570" s="34" t="s">
        <v>1999</v>
      </c>
      <c r="E1570" s="35" t="str">
        <f t="shared" si="376"/>
        <v>PSNP'!</v>
      </c>
      <c r="F1570" s="34" t="str">
        <f t="shared" si="377"/>
        <v>C:\Users\jaime.benazar\Quorum Business Solutions\Ecopetrol Prometeo - Documents\Planning Space Implementation\3. Analysis &amp; Design\Design\FC22\DRR Jaime\QUIFA-CAJÚA\Cajua\[CAJUA_CF_SEC_New_27-Feb-2024Rev3.xlsx]D-PSNP'!</v>
      </c>
      <c r="G1570" s="32" t="s">
        <v>113</v>
      </c>
      <c r="H1570" s="33"/>
      <c r="I1570" s="33"/>
      <c r="J1570" s="37"/>
    </row>
    <row r="1571" spans="1:10" x14ac:dyDescent="0.25">
      <c r="A1571" s="32" t="s">
        <v>103</v>
      </c>
      <c r="B1571" s="32">
        <f t="shared" si="378"/>
        <v>2034</v>
      </c>
      <c r="C1571" s="33" t="s">
        <v>14</v>
      </c>
      <c r="D1571" s="34" t="s">
        <v>1999</v>
      </c>
      <c r="E1571" s="35" t="str">
        <f t="shared" si="376"/>
        <v>PSNP'!</v>
      </c>
      <c r="F1571" s="34" t="str">
        <f t="shared" si="377"/>
        <v>C:\Users\jaime.benazar\Quorum Business Solutions\Ecopetrol Prometeo - Documents\Planning Space Implementation\3. Analysis &amp; Design\Design\FC22\DRR Jaime\QUIFA-CAJÚA\Cajua\[CAJUA_CF_SEC_New_27-Feb-2024Rev3.xlsx]D-PSNP'!</v>
      </c>
      <c r="G1571" s="32" t="s">
        <v>113</v>
      </c>
      <c r="H1571" s="33"/>
      <c r="I1571" s="33"/>
      <c r="J1571" s="37"/>
    </row>
    <row r="1572" spans="1:10" x14ac:dyDescent="0.25">
      <c r="A1572" s="32" t="s">
        <v>103</v>
      </c>
      <c r="B1572" s="32">
        <f t="shared" si="378"/>
        <v>2035</v>
      </c>
      <c r="C1572" s="33" t="s">
        <v>14</v>
      </c>
      <c r="D1572" s="34" t="s">
        <v>1999</v>
      </c>
      <c r="E1572" s="35" t="str">
        <f t="shared" si="376"/>
        <v>PSNP'!</v>
      </c>
      <c r="F1572" s="34" t="str">
        <f t="shared" si="377"/>
        <v>C:\Users\jaime.benazar\Quorum Business Solutions\Ecopetrol Prometeo - Documents\Planning Space Implementation\3. Analysis &amp; Design\Design\FC22\DRR Jaime\QUIFA-CAJÚA\Cajua\[CAJUA_CF_SEC_New_27-Feb-2024Rev3.xlsx]D-PSNP'!</v>
      </c>
      <c r="G1572" s="32" t="s">
        <v>113</v>
      </c>
      <c r="H1572" s="33"/>
      <c r="I1572" s="33"/>
      <c r="J1572" s="37"/>
    </row>
    <row r="1573" spans="1:10" x14ac:dyDescent="0.25">
      <c r="A1573" s="32" t="s">
        <v>103</v>
      </c>
      <c r="B1573" s="32">
        <f t="shared" si="378"/>
        <v>2036</v>
      </c>
      <c r="C1573" s="33" t="s">
        <v>14</v>
      </c>
      <c r="D1573" s="34" t="s">
        <v>1999</v>
      </c>
      <c r="E1573" s="35" t="str">
        <f t="shared" si="376"/>
        <v>PSNP'!</v>
      </c>
      <c r="F1573" s="34" t="str">
        <f t="shared" si="377"/>
        <v>C:\Users\jaime.benazar\Quorum Business Solutions\Ecopetrol Prometeo - Documents\Planning Space Implementation\3. Analysis &amp; Design\Design\FC22\DRR Jaime\QUIFA-CAJÚA\Cajua\[CAJUA_CF_SEC_New_27-Feb-2024Rev3.xlsx]D-PSNP'!</v>
      </c>
      <c r="G1573" s="32" t="s">
        <v>113</v>
      </c>
      <c r="H1573" s="33"/>
      <c r="I1573" s="33"/>
      <c r="J1573" s="37"/>
    </row>
    <row r="1574" spans="1:10" x14ac:dyDescent="0.25">
      <c r="A1574" s="32" t="s">
        <v>103</v>
      </c>
      <c r="B1574" s="32">
        <f>+B1573+1</f>
        <v>2037</v>
      </c>
      <c r="C1574" s="33" t="s">
        <v>14</v>
      </c>
      <c r="D1574" s="34" t="s">
        <v>1999</v>
      </c>
      <c r="E1574" s="35" t="str">
        <f t="shared" si="376"/>
        <v>PSNP'!</v>
      </c>
      <c r="F1574" s="34" t="str">
        <f t="shared" si="377"/>
        <v>C:\Users\jaime.benazar\Quorum Business Solutions\Ecopetrol Prometeo - Documents\Planning Space Implementation\3. Analysis &amp; Design\Design\FC22\DRR Jaime\QUIFA-CAJÚA\Cajua\[CAJUA_CF_SEC_New_27-Feb-2024Rev3.xlsx]D-PSNP'!</v>
      </c>
      <c r="G1574" s="32" t="s">
        <v>113</v>
      </c>
      <c r="H1574" s="33"/>
      <c r="I1574" s="33"/>
      <c r="J1574" s="37"/>
    </row>
    <row r="1575" spans="1:10" x14ac:dyDescent="0.25">
      <c r="A1575" s="32" t="s">
        <v>103</v>
      </c>
      <c r="B1575" s="32">
        <f t="shared" ref="B1575:B1577" si="379">+B1574+1</f>
        <v>2038</v>
      </c>
      <c r="C1575" s="33" t="s">
        <v>14</v>
      </c>
      <c r="D1575" s="34" t="s">
        <v>1999</v>
      </c>
      <c r="E1575" s="35" t="str">
        <f t="shared" si="376"/>
        <v>PSNP'!</v>
      </c>
      <c r="F1575" s="34" t="str">
        <f t="shared" si="377"/>
        <v>C:\Users\jaime.benazar\Quorum Business Solutions\Ecopetrol Prometeo - Documents\Planning Space Implementation\3. Analysis &amp; Design\Design\FC22\DRR Jaime\QUIFA-CAJÚA\Cajua\[CAJUA_CF_SEC_New_27-Feb-2024Rev3.xlsx]D-PSNP'!</v>
      </c>
      <c r="G1575" s="32" t="s">
        <v>113</v>
      </c>
      <c r="H1575" s="33"/>
      <c r="I1575" s="33"/>
      <c r="J1575" s="37"/>
    </row>
    <row r="1576" spans="1:10" x14ac:dyDescent="0.25">
      <c r="A1576" s="32" t="s">
        <v>103</v>
      </c>
      <c r="B1576" s="32">
        <f t="shared" si="379"/>
        <v>2039</v>
      </c>
      <c r="C1576" s="33" t="s">
        <v>14</v>
      </c>
      <c r="D1576" s="34" t="s">
        <v>1999</v>
      </c>
      <c r="E1576" s="35" t="str">
        <f t="shared" si="376"/>
        <v>PSNP'!</v>
      </c>
      <c r="F1576" s="34" t="str">
        <f t="shared" si="377"/>
        <v>C:\Users\jaime.benazar\Quorum Business Solutions\Ecopetrol Prometeo - Documents\Planning Space Implementation\3. Analysis &amp; Design\Design\FC22\DRR Jaime\QUIFA-CAJÚA\Cajua\[CAJUA_CF_SEC_New_27-Feb-2024Rev3.xlsx]D-PSNP'!</v>
      </c>
      <c r="G1576" s="32" t="s">
        <v>113</v>
      </c>
      <c r="H1576" s="33"/>
      <c r="I1576" s="33"/>
      <c r="J1576" s="37"/>
    </row>
    <row r="1577" spans="1:10" x14ac:dyDescent="0.25">
      <c r="A1577" s="32" t="s">
        <v>103</v>
      </c>
      <c r="B1577" s="32">
        <f t="shared" si="379"/>
        <v>2040</v>
      </c>
      <c r="C1577" s="33" t="s">
        <v>14</v>
      </c>
      <c r="D1577" s="34" t="s">
        <v>1999</v>
      </c>
      <c r="E1577" s="35" t="str">
        <f t="shared" si="376"/>
        <v>PSNP'!</v>
      </c>
      <c r="F1577" s="34" t="str">
        <f t="shared" si="377"/>
        <v>C:\Users\jaime.benazar\Quorum Business Solutions\Ecopetrol Prometeo - Documents\Planning Space Implementation\3. Analysis &amp; Design\Design\FC22\DRR Jaime\QUIFA-CAJÚA\Cajua\[CAJUA_CF_SEC_New_27-Feb-2024Rev3.xlsx]D-PSNP'!</v>
      </c>
      <c r="G1577" s="32" t="s">
        <v>113</v>
      </c>
      <c r="H1577" s="33"/>
      <c r="I1577" s="33"/>
      <c r="J1577" s="37"/>
    </row>
    <row r="1578" spans="1:10" x14ac:dyDescent="0.25">
      <c r="A1578" s="32" t="s">
        <v>103</v>
      </c>
      <c r="B1578" s="32">
        <f>+B1577+1</f>
        <v>2041</v>
      </c>
      <c r="C1578" s="33" t="s">
        <v>14</v>
      </c>
      <c r="D1578" s="34" t="s">
        <v>1999</v>
      </c>
      <c r="E1578" s="35" t="str">
        <f t="shared" si="376"/>
        <v>PSNP'!</v>
      </c>
      <c r="F1578" s="34" t="str">
        <f t="shared" si="377"/>
        <v>C:\Users\jaime.benazar\Quorum Business Solutions\Ecopetrol Prometeo - Documents\Planning Space Implementation\3. Analysis &amp; Design\Design\FC22\DRR Jaime\QUIFA-CAJÚA\Cajua\[CAJUA_CF_SEC_New_27-Feb-2024Rev3.xlsx]D-PSNP'!</v>
      </c>
      <c r="G1578" s="32" t="s">
        <v>113</v>
      </c>
      <c r="H1578" s="33"/>
      <c r="I1578" s="33"/>
      <c r="J1578" s="37"/>
    </row>
    <row r="1579" spans="1:10" x14ac:dyDescent="0.25">
      <c r="A1579" s="32" t="s">
        <v>103</v>
      </c>
      <c r="B1579" s="32">
        <f t="shared" ref="B1579:B1580" si="380">+B1578+1</f>
        <v>2042</v>
      </c>
      <c r="C1579" s="33" t="s">
        <v>14</v>
      </c>
      <c r="D1579" s="34" t="s">
        <v>1999</v>
      </c>
      <c r="E1579" s="35" t="str">
        <f t="shared" si="376"/>
        <v>PSNP'!</v>
      </c>
      <c r="F1579" s="34" t="str">
        <f t="shared" si="377"/>
        <v>C:\Users\jaime.benazar\Quorum Business Solutions\Ecopetrol Prometeo - Documents\Planning Space Implementation\3. Analysis &amp; Design\Design\FC22\DRR Jaime\QUIFA-CAJÚA\Cajua\[CAJUA_CF_SEC_New_27-Feb-2024Rev3.xlsx]D-PSNP'!</v>
      </c>
      <c r="G1579" s="32" t="s">
        <v>113</v>
      </c>
      <c r="H1579" s="33"/>
      <c r="I1579" s="33"/>
      <c r="J1579" s="37"/>
    </row>
    <row r="1580" spans="1:10" x14ac:dyDescent="0.25">
      <c r="A1580" s="32" t="s">
        <v>103</v>
      </c>
      <c r="B1580" s="32">
        <f t="shared" si="380"/>
        <v>2043</v>
      </c>
      <c r="C1580" s="33" t="s">
        <v>14</v>
      </c>
      <c r="D1580" s="34" t="s">
        <v>1999</v>
      </c>
      <c r="E1580" s="35" t="str">
        <f t="shared" si="376"/>
        <v>PSNP'!</v>
      </c>
      <c r="F1580" s="34" t="str">
        <f t="shared" si="377"/>
        <v>C:\Users\jaime.benazar\Quorum Business Solutions\Ecopetrol Prometeo - Documents\Planning Space Implementation\3. Analysis &amp; Design\Design\FC22\DRR Jaime\QUIFA-CAJÚA\Cajua\[CAJUA_CF_SEC_New_27-Feb-2024Rev3.xlsx]D-PSNP'!</v>
      </c>
      <c r="G1580" s="32" t="s">
        <v>113</v>
      </c>
      <c r="H1580" s="33"/>
      <c r="I1580" s="33"/>
      <c r="J1580" s="37"/>
    </row>
    <row r="1581" spans="1:10" x14ac:dyDescent="0.25">
      <c r="A1581" s="32" t="s">
        <v>103</v>
      </c>
      <c r="B1581" s="32">
        <f>+B1580+1</f>
        <v>2044</v>
      </c>
      <c r="C1581" s="33" t="s">
        <v>14</v>
      </c>
      <c r="D1581" s="34" t="s">
        <v>1999</v>
      </c>
      <c r="E1581" s="35" t="str">
        <f t="shared" ref="E1581:E1596" si="381">_xlfn.CONCAT(A1581,"'!")</f>
        <v>PSNP'!</v>
      </c>
      <c r="F1581" s="34" t="str">
        <f t="shared" ref="F1581:F1596" si="382">_xlfn.CONCAT(D1581:E1581)</f>
        <v>C:\Users\jaime.benazar\Quorum Business Solutions\Ecopetrol Prometeo - Documents\Planning Space Implementation\3. Analysis &amp; Design\Design\FC22\DRR Jaime\QUIFA-CAJÚA\Cajua\[CAJUA_CF_SEC_New_27-Feb-2024Rev3.xlsx]D-PSNP'!</v>
      </c>
      <c r="G1581" s="32" t="s">
        <v>113</v>
      </c>
      <c r="H1581" s="33"/>
      <c r="I1581" s="33"/>
      <c r="J1581" s="37"/>
    </row>
    <row r="1582" spans="1:10" x14ac:dyDescent="0.25">
      <c r="A1582" s="32" t="s">
        <v>103</v>
      </c>
      <c r="B1582" s="32">
        <f t="shared" ref="B1582:B1596" si="383">+B1581+1</f>
        <v>2045</v>
      </c>
      <c r="C1582" s="33" t="s">
        <v>14</v>
      </c>
      <c r="D1582" s="34" t="s">
        <v>1999</v>
      </c>
      <c r="E1582" s="35" t="str">
        <f t="shared" si="381"/>
        <v>PSNP'!</v>
      </c>
      <c r="F1582" s="34" t="str">
        <f t="shared" si="382"/>
        <v>C:\Users\jaime.benazar\Quorum Business Solutions\Ecopetrol Prometeo - Documents\Planning Space Implementation\3. Analysis &amp; Design\Design\FC22\DRR Jaime\QUIFA-CAJÚA\Cajua\[CAJUA_CF_SEC_New_27-Feb-2024Rev3.xlsx]D-PSNP'!</v>
      </c>
      <c r="G1582" s="32" t="s">
        <v>113</v>
      </c>
      <c r="H1582" s="33"/>
      <c r="I1582" s="33"/>
      <c r="J1582" s="37"/>
    </row>
    <row r="1583" spans="1:10" x14ac:dyDescent="0.25">
      <c r="A1583" s="32" t="s">
        <v>103</v>
      </c>
      <c r="B1583" s="32">
        <f t="shared" si="383"/>
        <v>2046</v>
      </c>
      <c r="C1583" s="33" t="s">
        <v>14</v>
      </c>
      <c r="D1583" s="34" t="s">
        <v>1999</v>
      </c>
      <c r="E1583" s="35" t="str">
        <f t="shared" si="381"/>
        <v>PSNP'!</v>
      </c>
      <c r="F1583" s="34" t="str">
        <f t="shared" si="382"/>
        <v>C:\Users\jaime.benazar\Quorum Business Solutions\Ecopetrol Prometeo - Documents\Planning Space Implementation\3. Analysis &amp; Design\Design\FC22\DRR Jaime\QUIFA-CAJÚA\Cajua\[CAJUA_CF_SEC_New_27-Feb-2024Rev3.xlsx]D-PSNP'!</v>
      </c>
      <c r="G1583" s="32" t="s">
        <v>113</v>
      </c>
      <c r="H1583" s="33"/>
      <c r="I1583" s="33"/>
      <c r="J1583" s="37"/>
    </row>
    <row r="1584" spans="1:10" x14ac:dyDescent="0.25">
      <c r="A1584" s="32" t="s">
        <v>103</v>
      </c>
      <c r="B1584" s="32">
        <f t="shared" si="383"/>
        <v>2047</v>
      </c>
      <c r="C1584" s="33" t="s">
        <v>14</v>
      </c>
      <c r="D1584" s="34" t="s">
        <v>1999</v>
      </c>
      <c r="E1584" s="35" t="str">
        <f t="shared" si="381"/>
        <v>PSNP'!</v>
      </c>
      <c r="F1584" s="34" t="str">
        <f t="shared" si="382"/>
        <v>C:\Users\jaime.benazar\Quorum Business Solutions\Ecopetrol Prometeo - Documents\Planning Space Implementation\3. Analysis &amp; Design\Design\FC22\DRR Jaime\QUIFA-CAJÚA\Cajua\[CAJUA_CF_SEC_New_27-Feb-2024Rev3.xlsx]D-PSNP'!</v>
      </c>
      <c r="G1584" s="32" t="s">
        <v>113</v>
      </c>
      <c r="H1584" s="33"/>
      <c r="I1584" s="33"/>
      <c r="J1584" s="37"/>
    </row>
    <row r="1585" spans="1:10" x14ac:dyDescent="0.25">
      <c r="A1585" s="32" t="s">
        <v>103</v>
      </c>
      <c r="B1585" s="32">
        <f t="shared" si="383"/>
        <v>2048</v>
      </c>
      <c r="C1585" s="33" t="s">
        <v>14</v>
      </c>
      <c r="D1585" s="34" t="s">
        <v>1999</v>
      </c>
      <c r="E1585" s="35" t="str">
        <f t="shared" si="381"/>
        <v>PSNP'!</v>
      </c>
      <c r="F1585" s="34" t="str">
        <f t="shared" si="382"/>
        <v>C:\Users\jaime.benazar\Quorum Business Solutions\Ecopetrol Prometeo - Documents\Planning Space Implementation\3. Analysis &amp; Design\Design\FC22\DRR Jaime\QUIFA-CAJÚA\Cajua\[CAJUA_CF_SEC_New_27-Feb-2024Rev3.xlsx]D-PSNP'!</v>
      </c>
      <c r="G1585" s="32" t="s">
        <v>113</v>
      </c>
      <c r="H1585" s="33"/>
      <c r="I1585" s="33"/>
      <c r="J1585" s="37"/>
    </row>
    <row r="1586" spans="1:10" x14ac:dyDescent="0.25">
      <c r="A1586" s="32" t="s">
        <v>103</v>
      </c>
      <c r="B1586" s="32">
        <f t="shared" si="383"/>
        <v>2049</v>
      </c>
      <c r="C1586" s="33" t="s">
        <v>14</v>
      </c>
      <c r="D1586" s="34" t="s">
        <v>1999</v>
      </c>
      <c r="E1586" s="35" t="str">
        <f t="shared" si="381"/>
        <v>PSNP'!</v>
      </c>
      <c r="F1586" s="34" t="str">
        <f t="shared" si="382"/>
        <v>C:\Users\jaime.benazar\Quorum Business Solutions\Ecopetrol Prometeo - Documents\Planning Space Implementation\3. Analysis &amp; Design\Design\FC22\DRR Jaime\QUIFA-CAJÚA\Cajua\[CAJUA_CF_SEC_New_27-Feb-2024Rev3.xlsx]D-PSNP'!</v>
      </c>
      <c r="G1586" s="32" t="s">
        <v>113</v>
      </c>
      <c r="H1586" s="33"/>
      <c r="I1586" s="33"/>
      <c r="J1586" s="37"/>
    </row>
    <row r="1587" spans="1:10" x14ac:dyDescent="0.25">
      <c r="A1587" s="32" t="s">
        <v>103</v>
      </c>
      <c r="B1587" s="32">
        <f t="shared" si="383"/>
        <v>2050</v>
      </c>
      <c r="C1587" s="33" t="s">
        <v>14</v>
      </c>
      <c r="D1587" s="34" t="s">
        <v>1999</v>
      </c>
      <c r="E1587" s="35" t="str">
        <f t="shared" si="381"/>
        <v>PSNP'!</v>
      </c>
      <c r="F1587" s="34" t="str">
        <f t="shared" si="382"/>
        <v>C:\Users\jaime.benazar\Quorum Business Solutions\Ecopetrol Prometeo - Documents\Planning Space Implementation\3. Analysis &amp; Design\Design\FC22\DRR Jaime\QUIFA-CAJÚA\Cajua\[CAJUA_CF_SEC_New_27-Feb-2024Rev3.xlsx]D-PSNP'!</v>
      </c>
      <c r="G1587" s="32" t="s">
        <v>113</v>
      </c>
      <c r="H1587" s="33"/>
      <c r="I1587" s="33"/>
      <c r="J1587" s="37"/>
    </row>
    <row r="1588" spans="1:10" x14ac:dyDescent="0.25">
      <c r="A1588" s="32" t="s">
        <v>103</v>
      </c>
      <c r="B1588" s="32">
        <f t="shared" si="383"/>
        <v>2051</v>
      </c>
      <c r="C1588" s="33" t="s">
        <v>14</v>
      </c>
      <c r="D1588" s="34" t="s">
        <v>1999</v>
      </c>
      <c r="E1588" s="35" t="str">
        <f t="shared" si="381"/>
        <v>PSNP'!</v>
      </c>
      <c r="F1588" s="34" t="str">
        <f t="shared" si="382"/>
        <v>C:\Users\jaime.benazar\Quorum Business Solutions\Ecopetrol Prometeo - Documents\Planning Space Implementation\3. Analysis &amp; Design\Design\FC22\DRR Jaime\QUIFA-CAJÚA\Cajua\[CAJUA_CF_SEC_New_27-Feb-2024Rev3.xlsx]D-PSNP'!</v>
      </c>
      <c r="G1588" s="32" t="s">
        <v>113</v>
      </c>
      <c r="H1588" s="33"/>
      <c r="I1588" s="33"/>
      <c r="J1588" s="37"/>
    </row>
    <row r="1589" spans="1:10" x14ac:dyDescent="0.25">
      <c r="A1589" s="32" t="s">
        <v>103</v>
      </c>
      <c r="B1589" s="32">
        <f t="shared" si="383"/>
        <v>2052</v>
      </c>
      <c r="C1589" s="33" t="s">
        <v>14</v>
      </c>
      <c r="D1589" s="34" t="s">
        <v>1999</v>
      </c>
      <c r="E1589" s="35" t="str">
        <f t="shared" si="381"/>
        <v>PSNP'!</v>
      </c>
      <c r="F1589" s="34" t="str">
        <f t="shared" si="382"/>
        <v>C:\Users\jaime.benazar\Quorum Business Solutions\Ecopetrol Prometeo - Documents\Planning Space Implementation\3. Analysis &amp; Design\Design\FC22\DRR Jaime\QUIFA-CAJÚA\Cajua\[CAJUA_CF_SEC_New_27-Feb-2024Rev3.xlsx]D-PSNP'!</v>
      </c>
      <c r="G1589" s="32" t="s">
        <v>113</v>
      </c>
      <c r="H1589" s="33"/>
      <c r="I1589" s="33"/>
      <c r="J1589" s="37"/>
    </row>
    <row r="1590" spans="1:10" x14ac:dyDescent="0.25">
      <c r="A1590" s="32" t="s">
        <v>103</v>
      </c>
      <c r="B1590" s="32">
        <f t="shared" si="383"/>
        <v>2053</v>
      </c>
      <c r="C1590" s="33" t="s">
        <v>14</v>
      </c>
      <c r="D1590" s="34" t="s">
        <v>1999</v>
      </c>
      <c r="E1590" s="35" t="str">
        <f t="shared" si="381"/>
        <v>PSNP'!</v>
      </c>
      <c r="F1590" s="34" t="str">
        <f t="shared" si="382"/>
        <v>C:\Users\jaime.benazar\Quorum Business Solutions\Ecopetrol Prometeo - Documents\Planning Space Implementation\3. Analysis &amp; Design\Design\FC22\DRR Jaime\QUIFA-CAJÚA\Cajua\[CAJUA_CF_SEC_New_27-Feb-2024Rev3.xlsx]D-PSNP'!</v>
      </c>
      <c r="G1590" s="32" t="s">
        <v>113</v>
      </c>
      <c r="H1590" s="33"/>
      <c r="I1590" s="33"/>
      <c r="J1590" s="37"/>
    </row>
    <row r="1591" spans="1:10" x14ac:dyDescent="0.25">
      <c r="A1591" s="32" t="s">
        <v>103</v>
      </c>
      <c r="B1591" s="32">
        <f t="shared" si="383"/>
        <v>2054</v>
      </c>
      <c r="C1591" s="33" t="s">
        <v>14</v>
      </c>
      <c r="D1591" s="34" t="s">
        <v>1999</v>
      </c>
      <c r="E1591" s="35" t="str">
        <f t="shared" si="381"/>
        <v>PSNP'!</v>
      </c>
      <c r="F1591" s="34" t="str">
        <f t="shared" si="382"/>
        <v>C:\Users\jaime.benazar\Quorum Business Solutions\Ecopetrol Prometeo - Documents\Planning Space Implementation\3. Analysis &amp; Design\Design\FC22\DRR Jaime\QUIFA-CAJÚA\Cajua\[CAJUA_CF_SEC_New_27-Feb-2024Rev3.xlsx]D-PSNP'!</v>
      </c>
      <c r="G1591" s="32" t="s">
        <v>113</v>
      </c>
      <c r="H1591" s="33"/>
      <c r="I1591" s="33"/>
      <c r="J1591" s="37"/>
    </row>
    <row r="1592" spans="1:10" x14ac:dyDescent="0.25">
      <c r="A1592" s="32" t="s">
        <v>103</v>
      </c>
      <c r="B1592" s="32">
        <f t="shared" si="383"/>
        <v>2055</v>
      </c>
      <c r="C1592" s="33" t="s">
        <v>14</v>
      </c>
      <c r="D1592" s="34" t="s">
        <v>1999</v>
      </c>
      <c r="E1592" s="35" t="str">
        <f t="shared" si="381"/>
        <v>PSNP'!</v>
      </c>
      <c r="F1592" s="34" t="str">
        <f t="shared" si="382"/>
        <v>C:\Users\jaime.benazar\Quorum Business Solutions\Ecopetrol Prometeo - Documents\Planning Space Implementation\3. Analysis &amp; Design\Design\FC22\DRR Jaime\QUIFA-CAJÚA\Cajua\[CAJUA_CF_SEC_New_27-Feb-2024Rev3.xlsx]D-PSNP'!</v>
      </c>
      <c r="G1592" s="32" t="s">
        <v>113</v>
      </c>
      <c r="H1592" s="33"/>
      <c r="I1592" s="33"/>
      <c r="J1592" s="37"/>
    </row>
    <row r="1593" spans="1:10" x14ac:dyDescent="0.25">
      <c r="A1593" s="32" t="s">
        <v>103</v>
      </c>
      <c r="B1593" s="32">
        <f t="shared" si="383"/>
        <v>2056</v>
      </c>
      <c r="C1593" s="33" t="s">
        <v>14</v>
      </c>
      <c r="D1593" s="34" t="s">
        <v>1999</v>
      </c>
      <c r="E1593" s="35" t="str">
        <f t="shared" si="381"/>
        <v>PSNP'!</v>
      </c>
      <c r="F1593" s="34" t="str">
        <f t="shared" si="382"/>
        <v>C:\Users\jaime.benazar\Quorum Business Solutions\Ecopetrol Prometeo - Documents\Planning Space Implementation\3. Analysis &amp; Design\Design\FC22\DRR Jaime\QUIFA-CAJÚA\Cajua\[CAJUA_CF_SEC_New_27-Feb-2024Rev3.xlsx]D-PSNP'!</v>
      </c>
      <c r="G1593" s="32" t="s">
        <v>113</v>
      </c>
      <c r="H1593" s="33"/>
      <c r="I1593" s="33"/>
      <c r="J1593" s="37"/>
    </row>
    <row r="1594" spans="1:10" x14ac:dyDescent="0.25">
      <c r="A1594" s="32" t="s">
        <v>103</v>
      </c>
      <c r="B1594" s="32">
        <f t="shared" si="383"/>
        <v>2057</v>
      </c>
      <c r="C1594" s="33" t="s">
        <v>14</v>
      </c>
      <c r="D1594" s="34" t="s">
        <v>1999</v>
      </c>
      <c r="E1594" s="35" t="str">
        <f t="shared" si="381"/>
        <v>PSNP'!</v>
      </c>
      <c r="F1594" s="34" t="str">
        <f t="shared" si="382"/>
        <v>C:\Users\jaime.benazar\Quorum Business Solutions\Ecopetrol Prometeo - Documents\Planning Space Implementation\3. Analysis &amp; Design\Design\FC22\DRR Jaime\QUIFA-CAJÚA\Cajua\[CAJUA_CF_SEC_New_27-Feb-2024Rev3.xlsx]D-PSNP'!</v>
      </c>
      <c r="G1594" s="32" t="s">
        <v>113</v>
      </c>
      <c r="H1594" s="33"/>
      <c r="I1594" s="33"/>
      <c r="J1594" s="37"/>
    </row>
    <row r="1595" spans="1:10" x14ac:dyDescent="0.25">
      <c r="A1595" s="32" t="s">
        <v>103</v>
      </c>
      <c r="B1595" s="32">
        <f t="shared" si="383"/>
        <v>2058</v>
      </c>
      <c r="C1595" s="33" t="s">
        <v>14</v>
      </c>
      <c r="D1595" s="34" t="s">
        <v>1999</v>
      </c>
      <c r="E1595" s="35" t="str">
        <f t="shared" si="381"/>
        <v>PSNP'!</v>
      </c>
      <c r="F1595" s="34" t="str">
        <f t="shared" si="382"/>
        <v>C:\Users\jaime.benazar\Quorum Business Solutions\Ecopetrol Prometeo - Documents\Planning Space Implementation\3. Analysis &amp; Design\Design\FC22\DRR Jaime\QUIFA-CAJÚA\Cajua\[CAJUA_CF_SEC_New_27-Feb-2024Rev3.xlsx]D-PSNP'!</v>
      </c>
      <c r="G1595" s="32" t="s">
        <v>113</v>
      </c>
      <c r="H1595" s="33"/>
      <c r="I1595" s="33"/>
      <c r="J1595" s="37"/>
    </row>
    <row r="1596" spans="1:10" x14ac:dyDescent="0.25">
      <c r="A1596" s="32" t="s">
        <v>103</v>
      </c>
      <c r="B1596" s="32">
        <f t="shared" si="383"/>
        <v>2059</v>
      </c>
      <c r="C1596" s="33" t="s">
        <v>14</v>
      </c>
      <c r="D1596" s="34" t="s">
        <v>1999</v>
      </c>
      <c r="E1596" s="35" t="str">
        <f t="shared" si="381"/>
        <v>PSNP'!</v>
      </c>
      <c r="F1596" s="34" t="str">
        <f t="shared" si="382"/>
        <v>C:\Users\jaime.benazar\Quorum Business Solutions\Ecopetrol Prometeo - Documents\Planning Space Implementation\3. Analysis &amp; Design\Design\FC22\DRR Jaime\QUIFA-CAJÚA\Cajua\[CAJUA_CF_SEC_New_27-Feb-2024Rev3.xlsx]D-PSNP'!</v>
      </c>
      <c r="G1596" s="32" t="s">
        <v>113</v>
      </c>
      <c r="H1596" s="33"/>
      <c r="I1596" s="33"/>
      <c r="J1596" s="37"/>
    </row>
    <row r="1597" spans="1:10" x14ac:dyDescent="0.25">
      <c r="A1597" s="32" t="s">
        <v>28</v>
      </c>
      <c r="B1597" s="32"/>
      <c r="C1597" s="33" t="s">
        <v>14</v>
      </c>
      <c r="D1597" s="34"/>
      <c r="E1597" s="35"/>
      <c r="F1597" s="34"/>
      <c r="G1597" s="32"/>
      <c r="H1597" s="33"/>
      <c r="I1597" s="33"/>
      <c r="J1597" s="33"/>
    </row>
    <row r="1598" spans="1:10" x14ac:dyDescent="0.25">
      <c r="A1598" s="32" t="s">
        <v>104</v>
      </c>
      <c r="B1598" s="32">
        <v>2023</v>
      </c>
      <c r="C1598" s="33" t="s">
        <v>14</v>
      </c>
      <c r="D1598" s="34" t="s">
        <v>1999</v>
      </c>
      <c r="E1598" s="35" t="str">
        <f t="shared" ref="E1598:E1618" si="384">_xlfn.CONCAT(A1598,"'!")</f>
        <v>PSND'!</v>
      </c>
      <c r="F1598" s="34" t="str">
        <f t="shared" ref="F1598:F1618" si="385">_xlfn.CONCAT(D1598:E1598)</f>
        <v>C:\Users\jaime.benazar\Quorum Business Solutions\Ecopetrol Prometeo - Documents\Planning Space Implementation\3. Analysis &amp; Design\Design\FC22\DRR Jaime\QUIFA-CAJÚA\Cajua\[CAJUA_CF_SEC_New_27-Feb-2024Rev3.xlsx]D-PSND'!</v>
      </c>
      <c r="G1598" s="32" t="s">
        <v>113</v>
      </c>
      <c r="H1598" s="33"/>
      <c r="I1598" s="33"/>
      <c r="J1598" s="37"/>
    </row>
    <row r="1599" spans="1:10" x14ac:dyDescent="0.25">
      <c r="A1599" s="32" t="s">
        <v>104</v>
      </c>
      <c r="B1599" s="32">
        <f>+B1598+1</f>
        <v>2024</v>
      </c>
      <c r="C1599" s="33" t="s">
        <v>14</v>
      </c>
      <c r="D1599" s="34" t="s">
        <v>1999</v>
      </c>
      <c r="E1599" s="35" t="str">
        <f t="shared" si="384"/>
        <v>PSND'!</v>
      </c>
      <c r="F1599" s="34" t="str">
        <f t="shared" si="385"/>
        <v>C:\Users\jaime.benazar\Quorum Business Solutions\Ecopetrol Prometeo - Documents\Planning Space Implementation\3. Analysis &amp; Design\Design\FC22\DRR Jaime\QUIFA-CAJÚA\Cajua\[CAJUA_CF_SEC_New_27-Feb-2024Rev3.xlsx]D-PSND'!</v>
      </c>
      <c r="G1599" s="32" t="s">
        <v>113</v>
      </c>
      <c r="H1599" s="33"/>
      <c r="I1599" s="33"/>
      <c r="J1599" s="37"/>
    </row>
    <row r="1600" spans="1:10" x14ac:dyDescent="0.25">
      <c r="A1600" s="32" t="s">
        <v>104</v>
      </c>
      <c r="B1600" s="32">
        <f t="shared" ref="B1600:B1611" si="386">+B1599+1</f>
        <v>2025</v>
      </c>
      <c r="C1600" s="33" t="s">
        <v>14</v>
      </c>
      <c r="D1600" s="34" t="s">
        <v>1999</v>
      </c>
      <c r="E1600" s="35" t="str">
        <f t="shared" si="384"/>
        <v>PSND'!</v>
      </c>
      <c r="F1600" s="34" t="str">
        <f t="shared" si="385"/>
        <v>C:\Users\jaime.benazar\Quorum Business Solutions\Ecopetrol Prometeo - Documents\Planning Space Implementation\3. Analysis &amp; Design\Design\FC22\DRR Jaime\QUIFA-CAJÚA\Cajua\[CAJUA_CF_SEC_New_27-Feb-2024Rev3.xlsx]D-PSND'!</v>
      </c>
      <c r="G1600" s="32" t="s">
        <v>113</v>
      </c>
      <c r="H1600" s="33"/>
      <c r="I1600" s="33"/>
      <c r="J1600" s="37"/>
    </row>
    <row r="1601" spans="1:10" x14ac:dyDescent="0.25">
      <c r="A1601" s="32" t="s">
        <v>104</v>
      </c>
      <c r="B1601" s="32">
        <f t="shared" si="386"/>
        <v>2026</v>
      </c>
      <c r="C1601" s="33" t="s">
        <v>14</v>
      </c>
      <c r="D1601" s="34" t="s">
        <v>1999</v>
      </c>
      <c r="E1601" s="35" t="str">
        <f t="shared" si="384"/>
        <v>PSND'!</v>
      </c>
      <c r="F1601" s="34" t="str">
        <f t="shared" si="385"/>
        <v>C:\Users\jaime.benazar\Quorum Business Solutions\Ecopetrol Prometeo - Documents\Planning Space Implementation\3. Analysis &amp; Design\Design\FC22\DRR Jaime\QUIFA-CAJÚA\Cajua\[CAJUA_CF_SEC_New_27-Feb-2024Rev3.xlsx]D-PSND'!</v>
      </c>
      <c r="G1601" s="32" t="s">
        <v>113</v>
      </c>
      <c r="H1601" s="33"/>
      <c r="I1601" s="33"/>
      <c r="J1601" s="37"/>
    </row>
    <row r="1602" spans="1:10" x14ac:dyDescent="0.25">
      <c r="A1602" s="32" t="s">
        <v>104</v>
      </c>
      <c r="B1602" s="32">
        <f t="shared" si="386"/>
        <v>2027</v>
      </c>
      <c r="C1602" s="33" t="s">
        <v>14</v>
      </c>
      <c r="D1602" s="34" t="s">
        <v>1999</v>
      </c>
      <c r="E1602" s="35" t="str">
        <f t="shared" si="384"/>
        <v>PSND'!</v>
      </c>
      <c r="F1602" s="34" t="str">
        <f t="shared" si="385"/>
        <v>C:\Users\jaime.benazar\Quorum Business Solutions\Ecopetrol Prometeo - Documents\Planning Space Implementation\3. Analysis &amp; Design\Design\FC22\DRR Jaime\QUIFA-CAJÚA\Cajua\[CAJUA_CF_SEC_New_27-Feb-2024Rev3.xlsx]D-PSND'!</v>
      </c>
      <c r="G1602" s="32" t="s">
        <v>113</v>
      </c>
      <c r="H1602" s="33"/>
      <c r="I1602" s="33"/>
      <c r="J1602" s="37"/>
    </row>
    <row r="1603" spans="1:10" x14ac:dyDescent="0.25">
      <c r="A1603" s="32" t="s">
        <v>104</v>
      </c>
      <c r="B1603" s="32">
        <f t="shared" si="386"/>
        <v>2028</v>
      </c>
      <c r="C1603" s="33" t="s">
        <v>14</v>
      </c>
      <c r="D1603" s="34" t="s">
        <v>1999</v>
      </c>
      <c r="E1603" s="35" t="str">
        <f t="shared" si="384"/>
        <v>PSND'!</v>
      </c>
      <c r="F1603" s="34" t="str">
        <f t="shared" si="385"/>
        <v>C:\Users\jaime.benazar\Quorum Business Solutions\Ecopetrol Prometeo - Documents\Planning Space Implementation\3. Analysis &amp; Design\Design\FC22\DRR Jaime\QUIFA-CAJÚA\Cajua\[CAJUA_CF_SEC_New_27-Feb-2024Rev3.xlsx]D-PSND'!</v>
      </c>
      <c r="G1603" s="32" t="s">
        <v>113</v>
      </c>
      <c r="H1603" s="33"/>
      <c r="I1603" s="33"/>
      <c r="J1603" s="37"/>
    </row>
    <row r="1604" spans="1:10" x14ac:dyDescent="0.25">
      <c r="A1604" s="32" t="s">
        <v>104</v>
      </c>
      <c r="B1604" s="32">
        <f t="shared" si="386"/>
        <v>2029</v>
      </c>
      <c r="C1604" s="33" t="s">
        <v>14</v>
      </c>
      <c r="D1604" s="34" t="s">
        <v>1999</v>
      </c>
      <c r="E1604" s="35" t="str">
        <f t="shared" si="384"/>
        <v>PSND'!</v>
      </c>
      <c r="F1604" s="34" t="str">
        <f t="shared" si="385"/>
        <v>C:\Users\jaime.benazar\Quorum Business Solutions\Ecopetrol Prometeo - Documents\Planning Space Implementation\3. Analysis &amp; Design\Design\FC22\DRR Jaime\QUIFA-CAJÚA\Cajua\[CAJUA_CF_SEC_New_27-Feb-2024Rev3.xlsx]D-PSND'!</v>
      </c>
      <c r="G1604" s="32" t="s">
        <v>113</v>
      </c>
      <c r="H1604" s="33"/>
      <c r="I1604" s="33"/>
      <c r="J1604" s="37"/>
    </row>
    <row r="1605" spans="1:10" x14ac:dyDescent="0.25">
      <c r="A1605" s="32" t="s">
        <v>104</v>
      </c>
      <c r="B1605" s="32">
        <f t="shared" si="386"/>
        <v>2030</v>
      </c>
      <c r="C1605" s="33" t="s">
        <v>14</v>
      </c>
      <c r="D1605" s="34" t="s">
        <v>1999</v>
      </c>
      <c r="E1605" s="35" t="str">
        <f t="shared" si="384"/>
        <v>PSND'!</v>
      </c>
      <c r="F1605" s="34" t="str">
        <f t="shared" si="385"/>
        <v>C:\Users\jaime.benazar\Quorum Business Solutions\Ecopetrol Prometeo - Documents\Planning Space Implementation\3. Analysis &amp; Design\Design\FC22\DRR Jaime\QUIFA-CAJÚA\Cajua\[CAJUA_CF_SEC_New_27-Feb-2024Rev3.xlsx]D-PSND'!</v>
      </c>
      <c r="G1605" s="32" t="s">
        <v>113</v>
      </c>
      <c r="H1605" s="33"/>
      <c r="I1605" s="33"/>
      <c r="J1605" s="37"/>
    </row>
    <row r="1606" spans="1:10" x14ac:dyDescent="0.25">
      <c r="A1606" s="32" t="s">
        <v>104</v>
      </c>
      <c r="B1606" s="32">
        <f t="shared" si="386"/>
        <v>2031</v>
      </c>
      <c r="C1606" s="33" t="s">
        <v>14</v>
      </c>
      <c r="D1606" s="34" t="s">
        <v>1999</v>
      </c>
      <c r="E1606" s="35" t="str">
        <f t="shared" si="384"/>
        <v>PSND'!</v>
      </c>
      <c r="F1606" s="34" t="str">
        <f t="shared" si="385"/>
        <v>C:\Users\jaime.benazar\Quorum Business Solutions\Ecopetrol Prometeo - Documents\Planning Space Implementation\3. Analysis &amp; Design\Design\FC22\DRR Jaime\QUIFA-CAJÚA\Cajua\[CAJUA_CF_SEC_New_27-Feb-2024Rev3.xlsx]D-PSND'!</v>
      </c>
      <c r="G1606" s="32" t="s">
        <v>113</v>
      </c>
      <c r="H1606" s="33"/>
      <c r="I1606" s="33"/>
      <c r="J1606" s="37"/>
    </row>
    <row r="1607" spans="1:10" x14ac:dyDescent="0.25">
      <c r="A1607" s="32" t="s">
        <v>104</v>
      </c>
      <c r="B1607" s="32">
        <f t="shared" si="386"/>
        <v>2032</v>
      </c>
      <c r="C1607" s="33" t="s">
        <v>14</v>
      </c>
      <c r="D1607" s="34" t="s">
        <v>1999</v>
      </c>
      <c r="E1607" s="35" t="str">
        <f t="shared" si="384"/>
        <v>PSND'!</v>
      </c>
      <c r="F1607" s="34" t="str">
        <f t="shared" si="385"/>
        <v>C:\Users\jaime.benazar\Quorum Business Solutions\Ecopetrol Prometeo - Documents\Planning Space Implementation\3. Analysis &amp; Design\Design\FC22\DRR Jaime\QUIFA-CAJÚA\Cajua\[CAJUA_CF_SEC_New_27-Feb-2024Rev3.xlsx]D-PSND'!</v>
      </c>
      <c r="G1607" s="32" t="s">
        <v>113</v>
      </c>
      <c r="H1607" s="33"/>
      <c r="I1607" s="33"/>
      <c r="J1607" s="37"/>
    </row>
    <row r="1608" spans="1:10" x14ac:dyDescent="0.25">
      <c r="A1608" s="32" t="s">
        <v>104</v>
      </c>
      <c r="B1608" s="32">
        <f t="shared" si="386"/>
        <v>2033</v>
      </c>
      <c r="C1608" s="33" t="s">
        <v>14</v>
      </c>
      <c r="D1608" s="34" t="s">
        <v>1999</v>
      </c>
      <c r="E1608" s="35" t="str">
        <f t="shared" si="384"/>
        <v>PSND'!</v>
      </c>
      <c r="F1608" s="34" t="str">
        <f t="shared" si="385"/>
        <v>C:\Users\jaime.benazar\Quorum Business Solutions\Ecopetrol Prometeo - Documents\Planning Space Implementation\3. Analysis &amp; Design\Design\FC22\DRR Jaime\QUIFA-CAJÚA\Cajua\[CAJUA_CF_SEC_New_27-Feb-2024Rev3.xlsx]D-PSND'!</v>
      </c>
      <c r="G1608" s="32" t="s">
        <v>113</v>
      </c>
      <c r="H1608" s="33"/>
      <c r="I1608" s="33"/>
      <c r="J1608" s="37"/>
    </row>
    <row r="1609" spans="1:10" x14ac:dyDescent="0.25">
      <c r="A1609" s="32" t="s">
        <v>104</v>
      </c>
      <c r="B1609" s="32">
        <f t="shared" si="386"/>
        <v>2034</v>
      </c>
      <c r="C1609" s="33" t="s">
        <v>14</v>
      </c>
      <c r="D1609" s="34" t="s">
        <v>1999</v>
      </c>
      <c r="E1609" s="35" t="str">
        <f t="shared" si="384"/>
        <v>PSND'!</v>
      </c>
      <c r="F1609" s="34" t="str">
        <f t="shared" si="385"/>
        <v>C:\Users\jaime.benazar\Quorum Business Solutions\Ecopetrol Prometeo - Documents\Planning Space Implementation\3. Analysis &amp; Design\Design\FC22\DRR Jaime\QUIFA-CAJÚA\Cajua\[CAJUA_CF_SEC_New_27-Feb-2024Rev3.xlsx]D-PSND'!</v>
      </c>
      <c r="G1609" s="32" t="s">
        <v>113</v>
      </c>
      <c r="H1609" s="33"/>
      <c r="I1609" s="33"/>
      <c r="J1609" s="37"/>
    </row>
    <row r="1610" spans="1:10" x14ac:dyDescent="0.25">
      <c r="A1610" s="32" t="s">
        <v>104</v>
      </c>
      <c r="B1610" s="32">
        <f t="shared" si="386"/>
        <v>2035</v>
      </c>
      <c r="C1610" s="33" t="s">
        <v>14</v>
      </c>
      <c r="D1610" s="34" t="s">
        <v>1999</v>
      </c>
      <c r="E1610" s="35" t="str">
        <f t="shared" si="384"/>
        <v>PSND'!</v>
      </c>
      <c r="F1610" s="34" t="str">
        <f t="shared" si="385"/>
        <v>C:\Users\jaime.benazar\Quorum Business Solutions\Ecopetrol Prometeo - Documents\Planning Space Implementation\3. Analysis &amp; Design\Design\FC22\DRR Jaime\QUIFA-CAJÚA\Cajua\[CAJUA_CF_SEC_New_27-Feb-2024Rev3.xlsx]D-PSND'!</v>
      </c>
      <c r="G1610" s="32" t="s">
        <v>113</v>
      </c>
      <c r="H1610" s="33"/>
      <c r="I1610" s="33"/>
      <c r="J1610" s="37"/>
    </row>
    <row r="1611" spans="1:10" x14ac:dyDescent="0.25">
      <c r="A1611" s="32" t="s">
        <v>104</v>
      </c>
      <c r="B1611" s="32">
        <f t="shared" si="386"/>
        <v>2036</v>
      </c>
      <c r="C1611" s="33" t="s">
        <v>14</v>
      </c>
      <c r="D1611" s="34" t="s">
        <v>1999</v>
      </c>
      <c r="E1611" s="35" t="str">
        <f t="shared" si="384"/>
        <v>PSND'!</v>
      </c>
      <c r="F1611" s="34" t="str">
        <f t="shared" si="385"/>
        <v>C:\Users\jaime.benazar\Quorum Business Solutions\Ecopetrol Prometeo - Documents\Planning Space Implementation\3. Analysis &amp; Design\Design\FC22\DRR Jaime\QUIFA-CAJÚA\Cajua\[CAJUA_CF_SEC_New_27-Feb-2024Rev3.xlsx]D-PSND'!</v>
      </c>
      <c r="G1611" s="32" t="s">
        <v>113</v>
      </c>
      <c r="H1611" s="33"/>
      <c r="I1611" s="33"/>
      <c r="J1611" s="37"/>
    </row>
    <row r="1612" spans="1:10" x14ac:dyDescent="0.25">
      <c r="A1612" s="32" t="s">
        <v>104</v>
      </c>
      <c r="B1612" s="32">
        <f>+B1611+1</f>
        <v>2037</v>
      </c>
      <c r="C1612" s="33" t="s">
        <v>14</v>
      </c>
      <c r="D1612" s="34" t="s">
        <v>1999</v>
      </c>
      <c r="E1612" s="35" t="str">
        <f t="shared" si="384"/>
        <v>PSND'!</v>
      </c>
      <c r="F1612" s="34" t="str">
        <f t="shared" si="385"/>
        <v>C:\Users\jaime.benazar\Quorum Business Solutions\Ecopetrol Prometeo - Documents\Planning Space Implementation\3. Analysis &amp; Design\Design\FC22\DRR Jaime\QUIFA-CAJÚA\Cajua\[CAJUA_CF_SEC_New_27-Feb-2024Rev3.xlsx]D-PSND'!</v>
      </c>
      <c r="G1612" s="32" t="s">
        <v>113</v>
      </c>
      <c r="H1612" s="33"/>
      <c r="I1612" s="33"/>
      <c r="J1612" s="37"/>
    </row>
    <row r="1613" spans="1:10" x14ac:dyDescent="0.25">
      <c r="A1613" s="32" t="s">
        <v>104</v>
      </c>
      <c r="B1613" s="32">
        <f t="shared" ref="B1613:B1615" si="387">+B1612+1</f>
        <v>2038</v>
      </c>
      <c r="C1613" s="33" t="s">
        <v>14</v>
      </c>
      <c r="D1613" s="34" t="s">
        <v>1999</v>
      </c>
      <c r="E1613" s="35" t="str">
        <f t="shared" si="384"/>
        <v>PSND'!</v>
      </c>
      <c r="F1613" s="34" t="str">
        <f t="shared" si="385"/>
        <v>C:\Users\jaime.benazar\Quorum Business Solutions\Ecopetrol Prometeo - Documents\Planning Space Implementation\3. Analysis &amp; Design\Design\FC22\DRR Jaime\QUIFA-CAJÚA\Cajua\[CAJUA_CF_SEC_New_27-Feb-2024Rev3.xlsx]D-PSND'!</v>
      </c>
      <c r="G1613" s="32" t="s">
        <v>113</v>
      </c>
      <c r="H1613" s="33"/>
      <c r="I1613" s="33"/>
      <c r="J1613" s="37"/>
    </row>
    <row r="1614" spans="1:10" x14ac:dyDescent="0.25">
      <c r="A1614" s="32" t="s">
        <v>104</v>
      </c>
      <c r="B1614" s="32">
        <f t="shared" si="387"/>
        <v>2039</v>
      </c>
      <c r="C1614" s="33" t="s">
        <v>14</v>
      </c>
      <c r="D1614" s="34" t="s">
        <v>1999</v>
      </c>
      <c r="E1614" s="35" t="str">
        <f t="shared" si="384"/>
        <v>PSND'!</v>
      </c>
      <c r="F1614" s="34" t="str">
        <f t="shared" si="385"/>
        <v>C:\Users\jaime.benazar\Quorum Business Solutions\Ecopetrol Prometeo - Documents\Planning Space Implementation\3. Analysis &amp; Design\Design\FC22\DRR Jaime\QUIFA-CAJÚA\Cajua\[CAJUA_CF_SEC_New_27-Feb-2024Rev3.xlsx]D-PSND'!</v>
      </c>
      <c r="G1614" s="32" t="s">
        <v>113</v>
      </c>
      <c r="H1614" s="33"/>
      <c r="I1614" s="33"/>
      <c r="J1614" s="37"/>
    </row>
    <row r="1615" spans="1:10" x14ac:dyDescent="0.25">
      <c r="A1615" s="32" t="s">
        <v>104</v>
      </c>
      <c r="B1615" s="32">
        <f t="shared" si="387"/>
        <v>2040</v>
      </c>
      <c r="C1615" s="33" t="s">
        <v>14</v>
      </c>
      <c r="D1615" s="34" t="s">
        <v>1999</v>
      </c>
      <c r="E1615" s="35" t="str">
        <f t="shared" si="384"/>
        <v>PSND'!</v>
      </c>
      <c r="F1615" s="34" t="str">
        <f t="shared" si="385"/>
        <v>C:\Users\jaime.benazar\Quorum Business Solutions\Ecopetrol Prometeo - Documents\Planning Space Implementation\3. Analysis &amp; Design\Design\FC22\DRR Jaime\QUIFA-CAJÚA\Cajua\[CAJUA_CF_SEC_New_27-Feb-2024Rev3.xlsx]D-PSND'!</v>
      </c>
      <c r="G1615" s="32" t="s">
        <v>113</v>
      </c>
      <c r="H1615" s="33"/>
      <c r="I1615" s="33"/>
      <c r="J1615" s="37"/>
    </row>
    <row r="1616" spans="1:10" x14ac:dyDescent="0.25">
      <c r="A1616" s="32" t="s">
        <v>104</v>
      </c>
      <c r="B1616" s="32">
        <f>+B1615+1</f>
        <v>2041</v>
      </c>
      <c r="C1616" s="33" t="s">
        <v>14</v>
      </c>
      <c r="D1616" s="34" t="s">
        <v>1999</v>
      </c>
      <c r="E1616" s="35" t="str">
        <f t="shared" si="384"/>
        <v>PSND'!</v>
      </c>
      <c r="F1616" s="34" t="str">
        <f t="shared" si="385"/>
        <v>C:\Users\jaime.benazar\Quorum Business Solutions\Ecopetrol Prometeo - Documents\Planning Space Implementation\3. Analysis &amp; Design\Design\FC22\DRR Jaime\QUIFA-CAJÚA\Cajua\[CAJUA_CF_SEC_New_27-Feb-2024Rev3.xlsx]D-PSND'!</v>
      </c>
      <c r="G1616" s="32" t="s">
        <v>113</v>
      </c>
      <c r="H1616" s="33"/>
      <c r="I1616" s="33"/>
      <c r="J1616" s="37"/>
    </row>
    <row r="1617" spans="1:10" x14ac:dyDescent="0.25">
      <c r="A1617" s="32" t="s">
        <v>104</v>
      </c>
      <c r="B1617" s="32">
        <f t="shared" ref="B1617:B1618" si="388">+B1616+1</f>
        <v>2042</v>
      </c>
      <c r="C1617" s="33" t="s">
        <v>14</v>
      </c>
      <c r="D1617" s="34" t="s">
        <v>1999</v>
      </c>
      <c r="E1617" s="35" t="str">
        <f t="shared" si="384"/>
        <v>PSND'!</v>
      </c>
      <c r="F1617" s="34" t="str">
        <f t="shared" si="385"/>
        <v>C:\Users\jaime.benazar\Quorum Business Solutions\Ecopetrol Prometeo - Documents\Planning Space Implementation\3. Analysis &amp; Design\Design\FC22\DRR Jaime\QUIFA-CAJÚA\Cajua\[CAJUA_CF_SEC_New_27-Feb-2024Rev3.xlsx]D-PSND'!</v>
      </c>
      <c r="G1617" s="32" t="s">
        <v>113</v>
      </c>
      <c r="H1617" s="33"/>
      <c r="I1617" s="33"/>
      <c r="J1617" s="37"/>
    </row>
    <row r="1618" spans="1:10" x14ac:dyDescent="0.25">
      <c r="A1618" s="32" t="s">
        <v>104</v>
      </c>
      <c r="B1618" s="32">
        <f t="shared" si="388"/>
        <v>2043</v>
      </c>
      <c r="C1618" s="33" t="s">
        <v>14</v>
      </c>
      <c r="D1618" s="34" t="s">
        <v>1999</v>
      </c>
      <c r="E1618" s="35" t="str">
        <f t="shared" si="384"/>
        <v>PSND'!</v>
      </c>
      <c r="F1618" s="34" t="str">
        <f t="shared" si="385"/>
        <v>C:\Users\jaime.benazar\Quorum Business Solutions\Ecopetrol Prometeo - Documents\Planning Space Implementation\3. Analysis &amp; Design\Design\FC22\DRR Jaime\QUIFA-CAJÚA\Cajua\[CAJUA_CF_SEC_New_27-Feb-2024Rev3.xlsx]D-PSND'!</v>
      </c>
      <c r="G1618" s="32" t="s">
        <v>113</v>
      </c>
      <c r="H1618" s="33"/>
      <c r="I1618" s="33"/>
      <c r="J1618" s="37"/>
    </row>
    <row r="1619" spans="1:10" x14ac:dyDescent="0.25">
      <c r="A1619" s="32" t="s">
        <v>104</v>
      </c>
      <c r="B1619" s="32">
        <f>+B1618+1</f>
        <v>2044</v>
      </c>
      <c r="C1619" s="33" t="s">
        <v>14</v>
      </c>
      <c r="D1619" s="34" t="s">
        <v>1999</v>
      </c>
      <c r="E1619" s="35" t="str">
        <f t="shared" ref="E1619:E1634" si="389">_xlfn.CONCAT(A1619,"'!")</f>
        <v>PSND'!</v>
      </c>
      <c r="F1619" s="34" t="str">
        <f t="shared" ref="F1619:F1634" si="390">_xlfn.CONCAT(D1619:E1619)</f>
        <v>C:\Users\jaime.benazar\Quorum Business Solutions\Ecopetrol Prometeo - Documents\Planning Space Implementation\3. Analysis &amp; Design\Design\FC22\DRR Jaime\QUIFA-CAJÚA\Cajua\[CAJUA_CF_SEC_New_27-Feb-2024Rev3.xlsx]D-PSND'!</v>
      </c>
      <c r="G1619" s="32" t="s">
        <v>113</v>
      </c>
      <c r="H1619" s="33"/>
      <c r="I1619" s="33"/>
      <c r="J1619" s="37"/>
    </row>
    <row r="1620" spans="1:10" x14ac:dyDescent="0.25">
      <c r="A1620" s="32" t="s">
        <v>104</v>
      </c>
      <c r="B1620" s="32">
        <f t="shared" ref="B1620:B1634" si="391">+B1619+1</f>
        <v>2045</v>
      </c>
      <c r="C1620" s="33" t="s">
        <v>14</v>
      </c>
      <c r="D1620" s="34" t="s">
        <v>1999</v>
      </c>
      <c r="E1620" s="35" t="str">
        <f t="shared" si="389"/>
        <v>PSND'!</v>
      </c>
      <c r="F1620" s="34" t="str">
        <f t="shared" si="390"/>
        <v>C:\Users\jaime.benazar\Quorum Business Solutions\Ecopetrol Prometeo - Documents\Planning Space Implementation\3. Analysis &amp; Design\Design\FC22\DRR Jaime\QUIFA-CAJÚA\Cajua\[CAJUA_CF_SEC_New_27-Feb-2024Rev3.xlsx]D-PSND'!</v>
      </c>
      <c r="G1620" s="32" t="s">
        <v>113</v>
      </c>
      <c r="H1620" s="33"/>
      <c r="I1620" s="33"/>
      <c r="J1620" s="37"/>
    </row>
    <row r="1621" spans="1:10" x14ac:dyDescent="0.25">
      <c r="A1621" s="32" t="s">
        <v>104</v>
      </c>
      <c r="B1621" s="32">
        <f t="shared" si="391"/>
        <v>2046</v>
      </c>
      <c r="C1621" s="33" t="s">
        <v>14</v>
      </c>
      <c r="D1621" s="34" t="s">
        <v>1999</v>
      </c>
      <c r="E1621" s="35" t="str">
        <f t="shared" si="389"/>
        <v>PSND'!</v>
      </c>
      <c r="F1621" s="34" t="str">
        <f t="shared" si="390"/>
        <v>C:\Users\jaime.benazar\Quorum Business Solutions\Ecopetrol Prometeo - Documents\Planning Space Implementation\3. Analysis &amp; Design\Design\FC22\DRR Jaime\QUIFA-CAJÚA\Cajua\[CAJUA_CF_SEC_New_27-Feb-2024Rev3.xlsx]D-PSND'!</v>
      </c>
      <c r="G1621" s="32" t="s">
        <v>113</v>
      </c>
      <c r="H1621" s="33"/>
      <c r="I1621" s="33"/>
      <c r="J1621" s="37"/>
    </row>
    <row r="1622" spans="1:10" x14ac:dyDescent="0.25">
      <c r="A1622" s="32" t="s">
        <v>104</v>
      </c>
      <c r="B1622" s="32">
        <f t="shared" si="391"/>
        <v>2047</v>
      </c>
      <c r="C1622" s="33" t="s">
        <v>14</v>
      </c>
      <c r="D1622" s="34" t="s">
        <v>1999</v>
      </c>
      <c r="E1622" s="35" t="str">
        <f t="shared" si="389"/>
        <v>PSND'!</v>
      </c>
      <c r="F1622" s="34" t="str">
        <f t="shared" si="390"/>
        <v>C:\Users\jaime.benazar\Quorum Business Solutions\Ecopetrol Prometeo - Documents\Planning Space Implementation\3. Analysis &amp; Design\Design\FC22\DRR Jaime\QUIFA-CAJÚA\Cajua\[CAJUA_CF_SEC_New_27-Feb-2024Rev3.xlsx]D-PSND'!</v>
      </c>
      <c r="G1622" s="32" t="s">
        <v>113</v>
      </c>
      <c r="H1622" s="33"/>
      <c r="I1622" s="33"/>
      <c r="J1622" s="37"/>
    </row>
    <row r="1623" spans="1:10" x14ac:dyDescent="0.25">
      <c r="A1623" s="32" t="s">
        <v>104</v>
      </c>
      <c r="B1623" s="32">
        <f t="shared" si="391"/>
        <v>2048</v>
      </c>
      <c r="C1623" s="33" t="s">
        <v>14</v>
      </c>
      <c r="D1623" s="34" t="s">
        <v>1999</v>
      </c>
      <c r="E1623" s="35" t="str">
        <f t="shared" si="389"/>
        <v>PSND'!</v>
      </c>
      <c r="F1623" s="34" t="str">
        <f t="shared" si="390"/>
        <v>C:\Users\jaime.benazar\Quorum Business Solutions\Ecopetrol Prometeo - Documents\Planning Space Implementation\3. Analysis &amp; Design\Design\FC22\DRR Jaime\QUIFA-CAJÚA\Cajua\[CAJUA_CF_SEC_New_27-Feb-2024Rev3.xlsx]D-PSND'!</v>
      </c>
      <c r="G1623" s="32" t="s">
        <v>113</v>
      </c>
      <c r="H1623" s="33"/>
      <c r="I1623" s="33"/>
      <c r="J1623" s="37"/>
    </row>
    <row r="1624" spans="1:10" x14ac:dyDescent="0.25">
      <c r="A1624" s="32" t="s">
        <v>104</v>
      </c>
      <c r="B1624" s="32">
        <f t="shared" si="391"/>
        <v>2049</v>
      </c>
      <c r="C1624" s="33" t="s">
        <v>14</v>
      </c>
      <c r="D1624" s="34" t="s">
        <v>1999</v>
      </c>
      <c r="E1624" s="35" t="str">
        <f t="shared" si="389"/>
        <v>PSND'!</v>
      </c>
      <c r="F1624" s="34" t="str">
        <f t="shared" si="390"/>
        <v>C:\Users\jaime.benazar\Quorum Business Solutions\Ecopetrol Prometeo - Documents\Planning Space Implementation\3. Analysis &amp; Design\Design\FC22\DRR Jaime\QUIFA-CAJÚA\Cajua\[CAJUA_CF_SEC_New_27-Feb-2024Rev3.xlsx]D-PSND'!</v>
      </c>
      <c r="G1624" s="32" t="s">
        <v>113</v>
      </c>
      <c r="H1624" s="33"/>
      <c r="I1624" s="33"/>
      <c r="J1624" s="37"/>
    </row>
    <row r="1625" spans="1:10" x14ac:dyDescent="0.25">
      <c r="A1625" s="32" t="s">
        <v>104</v>
      </c>
      <c r="B1625" s="32">
        <f t="shared" si="391"/>
        <v>2050</v>
      </c>
      <c r="C1625" s="33" t="s">
        <v>14</v>
      </c>
      <c r="D1625" s="34" t="s">
        <v>1999</v>
      </c>
      <c r="E1625" s="35" t="str">
        <f t="shared" si="389"/>
        <v>PSND'!</v>
      </c>
      <c r="F1625" s="34" t="str">
        <f t="shared" si="390"/>
        <v>C:\Users\jaime.benazar\Quorum Business Solutions\Ecopetrol Prometeo - Documents\Planning Space Implementation\3. Analysis &amp; Design\Design\FC22\DRR Jaime\QUIFA-CAJÚA\Cajua\[CAJUA_CF_SEC_New_27-Feb-2024Rev3.xlsx]D-PSND'!</v>
      </c>
      <c r="G1625" s="32" t="s">
        <v>113</v>
      </c>
      <c r="H1625" s="33"/>
      <c r="I1625" s="33"/>
      <c r="J1625" s="37"/>
    </row>
    <row r="1626" spans="1:10" x14ac:dyDescent="0.25">
      <c r="A1626" s="32" t="s">
        <v>104</v>
      </c>
      <c r="B1626" s="32">
        <f t="shared" si="391"/>
        <v>2051</v>
      </c>
      <c r="C1626" s="33" t="s">
        <v>14</v>
      </c>
      <c r="D1626" s="34" t="s">
        <v>1999</v>
      </c>
      <c r="E1626" s="35" t="str">
        <f t="shared" si="389"/>
        <v>PSND'!</v>
      </c>
      <c r="F1626" s="34" t="str">
        <f t="shared" si="390"/>
        <v>C:\Users\jaime.benazar\Quorum Business Solutions\Ecopetrol Prometeo - Documents\Planning Space Implementation\3. Analysis &amp; Design\Design\FC22\DRR Jaime\QUIFA-CAJÚA\Cajua\[CAJUA_CF_SEC_New_27-Feb-2024Rev3.xlsx]D-PSND'!</v>
      </c>
      <c r="G1626" s="32" t="s">
        <v>113</v>
      </c>
      <c r="H1626" s="33"/>
      <c r="I1626" s="33"/>
      <c r="J1626" s="37"/>
    </row>
    <row r="1627" spans="1:10" x14ac:dyDescent="0.25">
      <c r="A1627" s="32" t="s">
        <v>104</v>
      </c>
      <c r="B1627" s="32">
        <f t="shared" si="391"/>
        <v>2052</v>
      </c>
      <c r="C1627" s="33" t="s">
        <v>14</v>
      </c>
      <c r="D1627" s="34" t="s">
        <v>1999</v>
      </c>
      <c r="E1627" s="35" t="str">
        <f t="shared" si="389"/>
        <v>PSND'!</v>
      </c>
      <c r="F1627" s="34" t="str">
        <f t="shared" si="390"/>
        <v>C:\Users\jaime.benazar\Quorum Business Solutions\Ecopetrol Prometeo - Documents\Planning Space Implementation\3. Analysis &amp; Design\Design\FC22\DRR Jaime\QUIFA-CAJÚA\Cajua\[CAJUA_CF_SEC_New_27-Feb-2024Rev3.xlsx]D-PSND'!</v>
      </c>
      <c r="G1627" s="32" t="s">
        <v>113</v>
      </c>
      <c r="H1627" s="33"/>
      <c r="I1627" s="33"/>
      <c r="J1627" s="37"/>
    </row>
    <row r="1628" spans="1:10" x14ac:dyDescent="0.25">
      <c r="A1628" s="32" t="s">
        <v>104</v>
      </c>
      <c r="B1628" s="32">
        <f t="shared" si="391"/>
        <v>2053</v>
      </c>
      <c r="C1628" s="33" t="s">
        <v>14</v>
      </c>
      <c r="D1628" s="34" t="s">
        <v>1999</v>
      </c>
      <c r="E1628" s="35" t="str">
        <f t="shared" si="389"/>
        <v>PSND'!</v>
      </c>
      <c r="F1628" s="34" t="str">
        <f t="shared" si="390"/>
        <v>C:\Users\jaime.benazar\Quorum Business Solutions\Ecopetrol Prometeo - Documents\Planning Space Implementation\3. Analysis &amp; Design\Design\FC22\DRR Jaime\QUIFA-CAJÚA\Cajua\[CAJUA_CF_SEC_New_27-Feb-2024Rev3.xlsx]D-PSND'!</v>
      </c>
      <c r="G1628" s="32" t="s">
        <v>113</v>
      </c>
      <c r="H1628" s="33"/>
      <c r="I1628" s="33"/>
      <c r="J1628" s="37"/>
    </row>
    <row r="1629" spans="1:10" x14ac:dyDescent="0.25">
      <c r="A1629" s="32" t="s">
        <v>104</v>
      </c>
      <c r="B1629" s="32">
        <f t="shared" si="391"/>
        <v>2054</v>
      </c>
      <c r="C1629" s="33" t="s">
        <v>14</v>
      </c>
      <c r="D1629" s="34" t="s">
        <v>1999</v>
      </c>
      <c r="E1629" s="35" t="str">
        <f t="shared" si="389"/>
        <v>PSND'!</v>
      </c>
      <c r="F1629" s="34" t="str">
        <f t="shared" si="390"/>
        <v>C:\Users\jaime.benazar\Quorum Business Solutions\Ecopetrol Prometeo - Documents\Planning Space Implementation\3. Analysis &amp; Design\Design\FC22\DRR Jaime\QUIFA-CAJÚA\Cajua\[CAJUA_CF_SEC_New_27-Feb-2024Rev3.xlsx]D-PSND'!</v>
      </c>
      <c r="G1629" s="32" t="s">
        <v>113</v>
      </c>
      <c r="H1629" s="33"/>
      <c r="I1629" s="33"/>
      <c r="J1629" s="37"/>
    </row>
    <row r="1630" spans="1:10" x14ac:dyDescent="0.25">
      <c r="A1630" s="32" t="s">
        <v>104</v>
      </c>
      <c r="B1630" s="32">
        <f t="shared" si="391"/>
        <v>2055</v>
      </c>
      <c r="C1630" s="33" t="s">
        <v>14</v>
      </c>
      <c r="D1630" s="34" t="s">
        <v>1999</v>
      </c>
      <c r="E1630" s="35" t="str">
        <f t="shared" si="389"/>
        <v>PSND'!</v>
      </c>
      <c r="F1630" s="34" t="str">
        <f t="shared" si="390"/>
        <v>C:\Users\jaime.benazar\Quorum Business Solutions\Ecopetrol Prometeo - Documents\Planning Space Implementation\3. Analysis &amp; Design\Design\FC22\DRR Jaime\QUIFA-CAJÚA\Cajua\[CAJUA_CF_SEC_New_27-Feb-2024Rev3.xlsx]D-PSND'!</v>
      </c>
      <c r="G1630" s="32" t="s">
        <v>113</v>
      </c>
      <c r="H1630" s="33"/>
      <c r="I1630" s="33"/>
      <c r="J1630" s="37"/>
    </row>
    <row r="1631" spans="1:10" x14ac:dyDescent="0.25">
      <c r="A1631" s="32" t="s">
        <v>104</v>
      </c>
      <c r="B1631" s="32">
        <f t="shared" si="391"/>
        <v>2056</v>
      </c>
      <c r="C1631" s="33" t="s">
        <v>14</v>
      </c>
      <c r="D1631" s="34" t="s">
        <v>1999</v>
      </c>
      <c r="E1631" s="35" t="str">
        <f t="shared" si="389"/>
        <v>PSND'!</v>
      </c>
      <c r="F1631" s="34" t="str">
        <f t="shared" si="390"/>
        <v>C:\Users\jaime.benazar\Quorum Business Solutions\Ecopetrol Prometeo - Documents\Planning Space Implementation\3. Analysis &amp; Design\Design\FC22\DRR Jaime\QUIFA-CAJÚA\Cajua\[CAJUA_CF_SEC_New_27-Feb-2024Rev3.xlsx]D-PSND'!</v>
      </c>
      <c r="G1631" s="32" t="s">
        <v>113</v>
      </c>
      <c r="H1631" s="33"/>
      <c r="I1631" s="33"/>
      <c r="J1631" s="37"/>
    </row>
    <row r="1632" spans="1:10" x14ac:dyDescent="0.25">
      <c r="A1632" s="32" t="s">
        <v>104</v>
      </c>
      <c r="B1632" s="32">
        <f t="shared" si="391"/>
        <v>2057</v>
      </c>
      <c r="C1632" s="33" t="s">
        <v>14</v>
      </c>
      <c r="D1632" s="34" t="s">
        <v>1999</v>
      </c>
      <c r="E1632" s="35" t="str">
        <f t="shared" si="389"/>
        <v>PSND'!</v>
      </c>
      <c r="F1632" s="34" t="str">
        <f t="shared" si="390"/>
        <v>C:\Users\jaime.benazar\Quorum Business Solutions\Ecopetrol Prometeo - Documents\Planning Space Implementation\3. Analysis &amp; Design\Design\FC22\DRR Jaime\QUIFA-CAJÚA\Cajua\[CAJUA_CF_SEC_New_27-Feb-2024Rev3.xlsx]D-PSND'!</v>
      </c>
      <c r="G1632" s="32" t="s">
        <v>113</v>
      </c>
      <c r="H1632" s="33"/>
      <c r="I1632" s="33"/>
      <c r="J1632" s="37"/>
    </row>
    <row r="1633" spans="1:10" x14ac:dyDescent="0.25">
      <c r="A1633" s="32" t="s">
        <v>104</v>
      </c>
      <c r="B1633" s="32">
        <f t="shared" si="391"/>
        <v>2058</v>
      </c>
      <c r="C1633" s="33" t="s">
        <v>14</v>
      </c>
      <c r="D1633" s="34" t="s">
        <v>1999</v>
      </c>
      <c r="E1633" s="35" t="str">
        <f t="shared" si="389"/>
        <v>PSND'!</v>
      </c>
      <c r="F1633" s="34" t="str">
        <f t="shared" si="390"/>
        <v>C:\Users\jaime.benazar\Quorum Business Solutions\Ecopetrol Prometeo - Documents\Planning Space Implementation\3. Analysis &amp; Design\Design\FC22\DRR Jaime\QUIFA-CAJÚA\Cajua\[CAJUA_CF_SEC_New_27-Feb-2024Rev3.xlsx]D-PSND'!</v>
      </c>
      <c r="G1633" s="32" t="s">
        <v>113</v>
      </c>
      <c r="H1633" s="33"/>
      <c r="I1633" s="33"/>
      <c r="J1633" s="37"/>
    </row>
    <row r="1634" spans="1:10" x14ac:dyDescent="0.25">
      <c r="A1634" s="32" t="s">
        <v>104</v>
      </c>
      <c r="B1634" s="32">
        <f t="shared" si="391"/>
        <v>2059</v>
      </c>
      <c r="C1634" s="33" t="s">
        <v>14</v>
      </c>
      <c r="D1634" s="34" t="s">
        <v>1999</v>
      </c>
      <c r="E1634" s="35" t="str">
        <f t="shared" si="389"/>
        <v>PSND'!</v>
      </c>
      <c r="F1634" s="34" t="str">
        <f t="shared" si="390"/>
        <v>C:\Users\jaime.benazar\Quorum Business Solutions\Ecopetrol Prometeo - Documents\Planning Space Implementation\3. Analysis &amp; Design\Design\FC22\DRR Jaime\QUIFA-CAJÚA\Cajua\[CAJUA_CF_SEC_New_27-Feb-2024Rev3.xlsx]D-PSND'!</v>
      </c>
      <c r="G1634" s="32" t="s">
        <v>113</v>
      </c>
      <c r="H1634" s="33"/>
      <c r="I1634" s="33"/>
      <c r="J1634" s="37"/>
    </row>
    <row r="1635" spans="1:10" x14ac:dyDescent="0.25">
      <c r="A1635" s="32" t="s">
        <v>28</v>
      </c>
      <c r="B1635" s="32"/>
      <c r="C1635" s="33" t="s">
        <v>14</v>
      </c>
      <c r="D1635" s="34"/>
      <c r="E1635" s="35"/>
      <c r="F1635" s="34"/>
      <c r="G1635" s="32"/>
      <c r="H1635" s="33"/>
      <c r="I1635" s="33"/>
      <c r="J1635" s="33"/>
    </row>
    <row r="1636" spans="1:10" x14ac:dyDescent="0.25">
      <c r="A1636" s="32" t="s">
        <v>34</v>
      </c>
      <c r="B1636" s="32">
        <v>2023</v>
      </c>
      <c r="C1636" s="33" t="s">
        <v>14</v>
      </c>
      <c r="D1636" s="34" t="s">
        <v>1999</v>
      </c>
      <c r="E1636" s="35" t="str">
        <f t="shared" si="327"/>
        <v>PS'!</v>
      </c>
      <c r="F1636" s="34" t="str">
        <f t="shared" si="328"/>
        <v>C:\Users\jaime.benazar\Quorum Business Solutions\Ecopetrol Prometeo - Documents\Planning Space Implementation\3. Analysis &amp; Design\Design\FC22\DRR Jaime\QUIFA-CAJÚA\Cajua\[CAJUA_CF_SEC_New_27-Feb-2024Rev3.xlsx]D-PS'!</v>
      </c>
      <c r="G1636" s="32" t="s">
        <v>113</v>
      </c>
      <c r="H1636" s="33">
        <v>12</v>
      </c>
      <c r="I1636" s="33" t="str">
        <f t="shared" si="329"/>
        <v>='C:\Users\jaime.benazar\Quorum Business Solutions\Ecopetrol Prometeo - Documents\Planning Space Implementation\3. Analysis &amp; Design\Design\FC22\DRR Jaime\QUIFA-CAJÚA\Cajua\[CAJUA_CF_SEC_New_27-Feb-2024Rev3.xlsx]D-PS'!$CA$12</v>
      </c>
      <c r="J1636" s="37" t="s">
        <v>2703</v>
      </c>
    </row>
    <row r="1637" spans="1:10" x14ac:dyDescent="0.25">
      <c r="A1637" s="32" t="s">
        <v>34</v>
      </c>
      <c r="B1637" s="32">
        <f>+B1636+1</f>
        <v>2024</v>
      </c>
      <c r="C1637" s="33" t="s">
        <v>14</v>
      </c>
      <c r="D1637" s="34" t="s">
        <v>1999</v>
      </c>
      <c r="E1637" s="35" t="str">
        <f t="shared" si="327"/>
        <v>PS'!</v>
      </c>
      <c r="F1637" s="34" t="str">
        <f t="shared" si="328"/>
        <v>C:\Users\jaime.benazar\Quorum Business Solutions\Ecopetrol Prometeo - Documents\Planning Space Implementation\3. Analysis &amp; Design\Design\FC22\DRR Jaime\QUIFA-CAJÚA\Cajua\[CAJUA_CF_SEC_New_27-Feb-2024Rev3.xlsx]D-PS'!</v>
      </c>
      <c r="G1637" s="32" t="s">
        <v>113</v>
      </c>
      <c r="H1637" s="33">
        <f t="shared" ref="H1637:H1656" si="392">IF(A1637&lt;&gt;A1636,12,H1636+1)</f>
        <v>13</v>
      </c>
      <c r="I1637" s="33" t="str">
        <f t="shared" si="329"/>
        <v>='C:\Users\jaime.benazar\Quorum Business Solutions\Ecopetrol Prometeo - Documents\Planning Space Implementation\3. Analysis &amp; Design\Design\FC22\DRR Jaime\QUIFA-CAJÚA\Cajua\[CAJUA_CF_SEC_New_27-Feb-2024Rev3.xlsx]D-PS'!$CA$13</v>
      </c>
      <c r="J1637" s="37" t="s">
        <v>2704</v>
      </c>
    </row>
    <row r="1638" spans="1:10" x14ac:dyDescent="0.25">
      <c r="A1638" s="32" t="s">
        <v>34</v>
      </c>
      <c r="B1638" s="32">
        <f t="shared" ref="B1638:B1649" si="393">+B1637+1</f>
        <v>2025</v>
      </c>
      <c r="C1638" s="33" t="s">
        <v>14</v>
      </c>
      <c r="D1638" s="34" t="s">
        <v>1999</v>
      </c>
      <c r="E1638" s="35" t="str">
        <f t="shared" si="327"/>
        <v>PS'!</v>
      </c>
      <c r="F1638" s="34" t="str">
        <f t="shared" si="328"/>
        <v>C:\Users\jaime.benazar\Quorum Business Solutions\Ecopetrol Prometeo - Documents\Planning Space Implementation\3. Analysis &amp; Design\Design\FC22\DRR Jaime\QUIFA-CAJÚA\Cajua\[CAJUA_CF_SEC_New_27-Feb-2024Rev3.xlsx]D-PS'!</v>
      </c>
      <c r="G1638" s="32" t="s">
        <v>113</v>
      </c>
      <c r="H1638" s="33">
        <f t="shared" si="392"/>
        <v>14</v>
      </c>
      <c r="I1638" s="33" t="str">
        <f t="shared" si="329"/>
        <v>='C:\Users\jaime.benazar\Quorum Business Solutions\Ecopetrol Prometeo - Documents\Planning Space Implementation\3. Analysis &amp; Design\Design\FC22\DRR Jaime\QUIFA-CAJÚA\Cajua\[CAJUA_CF_SEC_New_27-Feb-2024Rev3.xlsx]D-PS'!$CA$14</v>
      </c>
      <c r="J1638" s="37" t="s">
        <v>2705</v>
      </c>
    </row>
    <row r="1639" spans="1:10" x14ac:dyDescent="0.25">
      <c r="A1639" s="32" t="s">
        <v>34</v>
      </c>
      <c r="B1639" s="32">
        <f t="shared" si="393"/>
        <v>2026</v>
      </c>
      <c r="C1639" s="33" t="s">
        <v>14</v>
      </c>
      <c r="D1639" s="34" t="s">
        <v>1999</v>
      </c>
      <c r="E1639" s="35" t="str">
        <f t="shared" si="327"/>
        <v>PS'!</v>
      </c>
      <c r="F1639" s="34" t="str">
        <f t="shared" si="328"/>
        <v>C:\Users\jaime.benazar\Quorum Business Solutions\Ecopetrol Prometeo - Documents\Planning Space Implementation\3. Analysis &amp; Design\Design\FC22\DRR Jaime\QUIFA-CAJÚA\Cajua\[CAJUA_CF_SEC_New_27-Feb-2024Rev3.xlsx]D-PS'!</v>
      </c>
      <c r="G1639" s="32" t="s">
        <v>113</v>
      </c>
      <c r="H1639" s="33">
        <f t="shared" si="392"/>
        <v>15</v>
      </c>
      <c r="I1639" s="33" t="str">
        <f t="shared" si="329"/>
        <v>='C:\Users\jaime.benazar\Quorum Business Solutions\Ecopetrol Prometeo - Documents\Planning Space Implementation\3. Analysis &amp; Design\Design\FC22\DRR Jaime\QUIFA-CAJÚA\Cajua\[CAJUA_CF_SEC_New_27-Feb-2024Rev3.xlsx]D-PS'!$CA$15</v>
      </c>
      <c r="J1639" s="37" t="s">
        <v>2706</v>
      </c>
    </row>
    <row r="1640" spans="1:10" x14ac:dyDescent="0.25">
      <c r="A1640" s="32" t="s">
        <v>34</v>
      </c>
      <c r="B1640" s="32">
        <f t="shared" si="393"/>
        <v>2027</v>
      </c>
      <c r="C1640" s="33" t="s">
        <v>14</v>
      </c>
      <c r="D1640" s="34" t="s">
        <v>1999</v>
      </c>
      <c r="E1640" s="35" t="str">
        <f t="shared" si="327"/>
        <v>PS'!</v>
      </c>
      <c r="F1640" s="34" t="str">
        <f t="shared" si="328"/>
        <v>C:\Users\jaime.benazar\Quorum Business Solutions\Ecopetrol Prometeo - Documents\Planning Space Implementation\3. Analysis &amp; Design\Design\FC22\DRR Jaime\QUIFA-CAJÚA\Cajua\[CAJUA_CF_SEC_New_27-Feb-2024Rev3.xlsx]D-PS'!</v>
      </c>
      <c r="G1640" s="32" t="s">
        <v>113</v>
      </c>
      <c r="H1640" s="33">
        <f t="shared" si="392"/>
        <v>16</v>
      </c>
      <c r="I1640" s="33" t="str">
        <f t="shared" si="329"/>
        <v>='C:\Users\jaime.benazar\Quorum Business Solutions\Ecopetrol Prometeo - Documents\Planning Space Implementation\3. Analysis &amp; Design\Design\FC22\DRR Jaime\QUIFA-CAJÚA\Cajua\[CAJUA_CF_SEC_New_27-Feb-2024Rev3.xlsx]D-PS'!$CA$16</v>
      </c>
      <c r="J1640" s="37" t="s">
        <v>2707</v>
      </c>
    </row>
    <row r="1641" spans="1:10" x14ac:dyDescent="0.25">
      <c r="A1641" s="32" t="s">
        <v>34</v>
      </c>
      <c r="B1641" s="32">
        <f t="shared" si="393"/>
        <v>2028</v>
      </c>
      <c r="C1641" s="33" t="s">
        <v>14</v>
      </c>
      <c r="D1641" s="34" t="s">
        <v>1999</v>
      </c>
      <c r="E1641" s="35" t="str">
        <f t="shared" si="327"/>
        <v>PS'!</v>
      </c>
      <c r="F1641" s="34" t="str">
        <f t="shared" si="328"/>
        <v>C:\Users\jaime.benazar\Quorum Business Solutions\Ecopetrol Prometeo - Documents\Planning Space Implementation\3. Analysis &amp; Design\Design\FC22\DRR Jaime\QUIFA-CAJÚA\Cajua\[CAJUA_CF_SEC_New_27-Feb-2024Rev3.xlsx]D-PS'!</v>
      </c>
      <c r="G1641" s="32" t="s">
        <v>113</v>
      </c>
      <c r="H1641" s="33">
        <f t="shared" si="392"/>
        <v>17</v>
      </c>
      <c r="I1641" s="33" t="str">
        <f t="shared" si="329"/>
        <v>='C:\Users\jaime.benazar\Quorum Business Solutions\Ecopetrol Prometeo - Documents\Planning Space Implementation\3. Analysis &amp; Design\Design\FC22\DRR Jaime\QUIFA-CAJÚA\Cajua\[CAJUA_CF_SEC_New_27-Feb-2024Rev3.xlsx]D-PS'!$CA$17</v>
      </c>
      <c r="J1641" s="37" t="s">
        <v>2708</v>
      </c>
    </row>
    <row r="1642" spans="1:10" x14ac:dyDescent="0.25">
      <c r="A1642" s="32" t="s">
        <v>34</v>
      </c>
      <c r="B1642" s="32">
        <f t="shared" si="393"/>
        <v>2029</v>
      </c>
      <c r="C1642" s="33" t="s">
        <v>14</v>
      </c>
      <c r="D1642" s="34" t="s">
        <v>1999</v>
      </c>
      <c r="E1642" s="35" t="str">
        <f t="shared" si="327"/>
        <v>PS'!</v>
      </c>
      <c r="F1642" s="34" t="str">
        <f t="shared" si="328"/>
        <v>C:\Users\jaime.benazar\Quorum Business Solutions\Ecopetrol Prometeo - Documents\Planning Space Implementation\3. Analysis &amp; Design\Design\FC22\DRR Jaime\QUIFA-CAJÚA\Cajua\[CAJUA_CF_SEC_New_27-Feb-2024Rev3.xlsx]D-PS'!</v>
      </c>
      <c r="G1642" s="32" t="s">
        <v>113</v>
      </c>
      <c r="H1642" s="33">
        <f t="shared" si="392"/>
        <v>18</v>
      </c>
      <c r="I1642" s="33" t="str">
        <f t="shared" si="329"/>
        <v>='C:\Users\jaime.benazar\Quorum Business Solutions\Ecopetrol Prometeo - Documents\Planning Space Implementation\3. Analysis &amp; Design\Design\FC22\DRR Jaime\QUIFA-CAJÚA\Cajua\[CAJUA_CF_SEC_New_27-Feb-2024Rev3.xlsx]D-PS'!$CA$18</v>
      </c>
      <c r="J1642" s="37" t="s">
        <v>2709</v>
      </c>
    </row>
    <row r="1643" spans="1:10" x14ac:dyDescent="0.25">
      <c r="A1643" s="32" t="s">
        <v>34</v>
      </c>
      <c r="B1643" s="32">
        <f t="shared" si="393"/>
        <v>2030</v>
      </c>
      <c r="C1643" s="33" t="s">
        <v>14</v>
      </c>
      <c r="D1643" s="34" t="s">
        <v>1999</v>
      </c>
      <c r="E1643" s="35" t="str">
        <f t="shared" si="327"/>
        <v>PS'!</v>
      </c>
      <c r="F1643" s="34" t="str">
        <f t="shared" si="328"/>
        <v>C:\Users\jaime.benazar\Quorum Business Solutions\Ecopetrol Prometeo - Documents\Planning Space Implementation\3. Analysis &amp; Design\Design\FC22\DRR Jaime\QUIFA-CAJÚA\Cajua\[CAJUA_CF_SEC_New_27-Feb-2024Rev3.xlsx]D-PS'!</v>
      </c>
      <c r="G1643" s="32" t="s">
        <v>113</v>
      </c>
      <c r="H1643" s="33">
        <f t="shared" si="392"/>
        <v>19</v>
      </c>
      <c r="I1643" s="33" t="str">
        <f t="shared" si="329"/>
        <v>='C:\Users\jaime.benazar\Quorum Business Solutions\Ecopetrol Prometeo - Documents\Planning Space Implementation\3. Analysis &amp; Design\Design\FC22\DRR Jaime\QUIFA-CAJÚA\Cajua\[CAJUA_CF_SEC_New_27-Feb-2024Rev3.xlsx]D-PS'!$CA$19</v>
      </c>
      <c r="J1643" s="37" t="s">
        <v>2710</v>
      </c>
    </row>
    <row r="1644" spans="1:10" x14ac:dyDescent="0.25">
      <c r="A1644" s="32" t="s">
        <v>34</v>
      </c>
      <c r="B1644" s="32">
        <f t="shared" si="393"/>
        <v>2031</v>
      </c>
      <c r="C1644" s="33" t="s">
        <v>14</v>
      </c>
      <c r="D1644" s="34" t="s">
        <v>1999</v>
      </c>
      <c r="E1644" s="35" t="str">
        <f t="shared" si="327"/>
        <v>PS'!</v>
      </c>
      <c r="F1644" s="34" t="str">
        <f t="shared" si="328"/>
        <v>C:\Users\jaime.benazar\Quorum Business Solutions\Ecopetrol Prometeo - Documents\Planning Space Implementation\3. Analysis &amp; Design\Design\FC22\DRR Jaime\QUIFA-CAJÚA\Cajua\[CAJUA_CF_SEC_New_27-Feb-2024Rev3.xlsx]D-PS'!</v>
      </c>
      <c r="G1644" s="32" t="s">
        <v>113</v>
      </c>
      <c r="H1644" s="33">
        <f t="shared" si="392"/>
        <v>20</v>
      </c>
      <c r="I1644" s="33" t="str">
        <f t="shared" si="329"/>
        <v>='C:\Users\jaime.benazar\Quorum Business Solutions\Ecopetrol Prometeo - Documents\Planning Space Implementation\3. Analysis &amp; Design\Design\FC22\DRR Jaime\QUIFA-CAJÚA\Cajua\[CAJUA_CF_SEC_New_27-Feb-2024Rev3.xlsx]D-PS'!$CA$20</v>
      </c>
      <c r="J1644" s="37" t="s">
        <v>2711</v>
      </c>
    </row>
    <row r="1645" spans="1:10" x14ac:dyDescent="0.25">
      <c r="A1645" s="32" t="s">
        <v>34</v>
      </c>
      <c r="B1645" s="32">
        <f t="shared" si="393"/>
        <v>2032</v>
      </c>
      <c r="C1645" s="33" t="s">
        <v>14</v>
      </c>
      <c r="D1645" s="34" t="s">
        <v>1999</v>
      </c>
      <c r="E1645" s="35" t="str">
        <f t="shared" si="327"/>
        <v>PS'!</v>
      </c>
      <c r="F1645" s="34" t="str">
        <f t="shared" si="328"/>
        <v>C:\Users\jaime.benazar\Quorum Business Solutions\Ecopetrol Prometeo - Documents\Planning Space Implementation\3. Analysis &amp; Design\Design\FC22\DRR Jaime\QUIFA-CAJÚA\Cajua\[CAJUA_CF_SEC_New_27-Feb-2024Rev3.xlsx]D-PS'!</v>
      </c>
      <c r="G1645" s="32" t="s">
        <v>113</v>
      </c>
      <c r="H1645" s="33">
        <f t="shared" si="392"/>
        <v>21</v>
      </c>
      <c r="I1645" s="33" t="str">
        <f t="shared" si="329"/>
        <v>='C:\Users\jaime.benazar\Quorum Business Solutions\Ecopetrol Prometeo - Documents\Planning Space Implementation\3. Analysis &amp; Design\Design\FC22\DRR Jaime\QUIFA-CAJÚA\Cajua\[CAJUA_CF_SEC_New_27-Feb-2024Rev3.xlsx]D-PS'!$CA$21</v>
      </c>
      <c r="J1645" s="37" t="s">
        <v>2712</v>
      </c>
    </row>
    <row r="1646" spans="1:10" x14ac:dyDescent="0.25">
      <c r="A1646" s="32" t="s">
        <v>34</v>
      </c>
      <c r="B1646" s="32">
        <f t="shared" si="393"/>
        <v>2033</v>
      </c>
      <c r="C1646" s="33" t="s">
        <v>14</v>
      </c>
      <c r="D1646" s="34" t="s">
        <v>1999</v>
      </c>
      <c r="E1646" s="35" t="str">
        <f t="shared" si="327"/>
        <v>PS'!</v>
      </c>
      <c r="F1646" s="34" t="str">
        <f t="shared" si="328"/>
        <v>C:\Users\jaime.benazar\Quorum Business Solutions\Ecopetrol Prometeo - Documents\Planning Space Implementation\3. Analysis &amp; Design\Design\FC22\DRR Jaime\QUIFA-CAJÚA\Cajua\[CAJUA_CF_SEC_New_27-Feb-2024Rev3.xlsx]D-PS'!</v>
      </c>
      <c r="G1646" s="32" t="s">
        <v>113</v>
      </c>
      <c r="H1646" s="33">
        <f t="shared" si="392"/>
        <v>22</v>
      </c>
      <c r="I1646" s="33" t="str">
        <f t="shared" si="329"/>
        <v>='C:\Users\jaime.benazar\Quorum Business Solutions\Ecopetrol Prometeo - Documents\Planning Space Implementation\3. Analysis &amp; Design\Design\FC22\DRR Jaime\QUIFA-CAJÚA\Cajua\[CAJUA_CF_SEC_New_27-Feb-2024Rev3.xlsx]D-PS'!$CA$22</v>
      </c>
      <c r="J1646" s="37" t="s">
        <v>2713</v>
      </c>
    </row>
    <row r="1647" spans="1:10" x14ac:dyDescent="0.25">
      <c r="A1647" s="32" t="s">
        <v>34</v>
      </c>
      <c r="B1647" s="32">
        <f t="shared" si="393"/>
        <v>2034</v>
      </c>
      <c r="C1647" s="33" t="s">
        <v>14</v>
      </c>
      <c r="D1647" s="34" t="s">
        <v>1999</v>
      </c>
      <c r="E1647" s="35" t="str">
        <f t="shared" si="327"/>
        <v>PS'!</v>
      </c>
      <c r="F1647" s="34" t="str">
        <f t="shared" si="328"/>
        <v>C:\Users\jaime.benazar\Quorum Business Solutions\Ecopetrol Prometeo - Documents\Planning Space Implementation\3. Analysis &amp; Design\Design\FC22\DRR Jaime\QUIFA-CAJÚA\Cajua\[CAJUA_CF_SEC_New_27-Feb-2024Rev3.xlsx]D-PS'!</v>
      </c>
      <c r="G1647" s="32" t="s">
        <v>113</v>
      </c>
      <c r="H1647" s="33">
        <f t="shared" si="392"/>
        <v>23</v>
      </c>
      <c r="I1647" s="33" t="str">
        <f t="shared" si="329"/>
        <v>='C:\Users\jaime.benazar\Quorum Business Solutions\Ecopetrol Prometeo - Documents\Planning Space Implementation\3. Analysis &amp; Design\Design\FC22\DRR Jaime\QUIFA-CAJÚA\Cajua\[CAJUA_CF_SEC_New_27-Feb-2024Rev3.xlsx]D-PS'!$CA$23</v>
      </c>
      <c r="J1647" s="37" t="s">
        <v>2714</v>
      </c>
    </row>
    <row r="1648" spans="1:10" x14ac:dyDescent="0.25">
      <c r="A1648" s="32" t="s">
        <v>34</v>
      </c>
      <c r="B1648" s="32">
        <f t="shared" si="393"/>
        <v>2035</v>
      </c>
      <c r="C1648" s="33" t="s">
        <v>14</v>
      </c>
      <c r="D1648" s="34" t="s">
        <v>1999</v>
      </c>
      <c r="E1648" s="35" t="str">
        <f t="shared" si="327"/>
        <v>PS'!</v>
      </c>
      <c r="F1648" s="34" t="str">
        <f t="shared" si="328"/>
        <v>C:\Users\jaime.benazar\Quorum Business Solutions\Ecopetrol Prometeo - Documents\Planning Space Implementation\3. Analysis &amp; Design\Design\FC22\DRR Jaime\QUIFA-CAJÚA\Cajua\[CAJUA_CF_SEC_New_27-Feb-2024Rev3.xlsx]D-PS'!</v>
      </c>
      <c r="G1648" s="32" t="s">
        <v>113</v>
      </c>
      <c r="H1648" s="33">
        <f t="shared" si="392"/>
        <v>24</v>
      </c>
      <c r="I1648" s="33" t="str">
        <f t="shared" si="329"/>
        <v>='C:\Users\jaime.benazar\Quorum Business Solutions\Ecopetrol Prometeo - Documents\Planning Space Implementation\3. Analysis &amp; Design\Design\FC22\DRR Jaime\QUIFA-CAJÚA\Cajua\[CAJUA_CF_SEC_New_27-Feb-2024Rev3.xlsx]D-PS'!$CA$24</v>
      </c>
      <c r="J1648" s="37" t="s">
        <v>2715</v>
      </c>
    </row>
    <row r="1649" spans="1:10" x14ac:dyDescent="0.25">
      <c r="A1649" s="32" t="s">
        <v>34</v>
      </c>
      <c r="B1649" s="32">
        <f t="shared" si="393"/>
        <v>2036</v>
      </c>
      <c r="C1649" s="33" t="s">
        <v>14</v>
      </c>
      <c r="D1649" s="34" t="s">
        <v>1999</v>
      </c>
      <c r="E1649" s="35" t="str">
        <f t="shared" si="327"/>
        <v>PS'!</v>
      </c>
      <c r="F1649" s="34" t="str">
        <f t="shared" si="328"/>
        <v>C:\Users\jaime.benazar\Quorum Business Solutions\Ecopetrol Prometeo - Documents\Planning Space Implementation\3. Analysis &amp; Design\Design\FC22\DRR Jaime\QUIFA-CAJÚA\Cajua\[CAJUA_CF_SEC_New_27-Feb-2024Rev3.xlsx]D-PS'!</v>
      </c>
      <c r="G1649" s="32" t="s">
        <v>113</v>
      </c>
      <c r="H1649" s="33">
        <f t="shared" si="392"/>
        <v>25</v>
      </c>
      <c r="I1649" s="33" t="str">
        <f t="shared" si="329"/>
        <v>='C:\Users\jaime.benazar\Quorum Business Solutions\Ecopetrol Prometeo - Documents\Planning Space Implementation\3. Analysis &amp; Design\Design\FC22\DRR Jaime\QUIFA-CAJÚA\Cajua\[CAJUA_CF_SEC_New_27-Feb-2024Rev3.xlsx]D-PS'!$CA$25</v>
      </c>
      <c r="J1649" s="37" t="s">
        <v>2716</v>
      </c>
    </row>
    <row r="1650" spans="1:10" x14ac:dyDescent="0.25">
      <c r="A1650" s="32" t="s">
        <v>34</v>
      </c>
      <c r="B1650" s="32">
        <f>+B1649+1</f>
        <v>2037</v>
      </c>
      <c r="C1650" s="33" t="s">
        <v>14</v>
      </c>
      <c r="D1650" s="34" t="s">
        <v>1999</v>
      </c>
      <c r="E1650" s="35" t="str">
        <f t="shared" si="327"/>
        <v>PS'!</v>
      </c>
      <c r="F1650" s="34" t="str">
        <f t="shared" si="328"/>
        <v>C:\Users\jaime.benazar\Quorum Business Solutions\Ecopetrol Prometeo - Documents\Planning Space Implementation\3. Analysis &amp; Design\Design\FC22\DRR Jaime\QUIFA-CAJÚA\Cajua\[CAJUA_CF_SEC_New_27-Feb-2024Rev3.xlsx]D-PS'!</v>
      </c>
      <c r="G1650" s="32" t="s">
        <v>113</v>
      </c>
      <c r="H1650" s="33">
        <f t="shared" si="392"/>
        <v>26</v>
      </c>
      <c r="I1650" s="33" t="str">
        <f t="shared" si="329"/>
        <v>='C:\Users\jaime.benazar\Quorum Business Solutions\Ecopetrol Prometeo - Documents\Planning Space Implementation\3. Analysis &amp; Design\Design\FC22\DRR Jaime\QUIFA-CAJÚA\Cajua\[CAJUA_CF_SEC_New_27-Feb-2024Rev3.xlsx]D-PS'!$CA$26</v>
      </c>
      <c r="J1650" s="37" t="s">
        <v>2717</v>
      </c>
    </row>
    <row r="1651" spans="1:10" x14ac:dyDescent="0.25">
      <c r="A1651" s="32" t="s">
        <v>34</v>
      </c>
      <c r="B1651" s="32">
        <f t="shared" ref="B1651:B1653" si="394">+B1650+1</f>
        <v>2038</v>
      </c>
      <c r="C1651" s="33" t="s">
        <v>14</v>
      </c>
      <c r="D1651" s="34" t="s">
        <v>1999</v>
      </c>
      <c r="E1651" s="35" t="str">
        <f t="shared" si="327"/>
        <v>PS'!</v>
      </c>
      <c r="F1651" s="34" t="str">
        <f t="shared" si="328"/>
        <v>C:\Users\jaime.benazar\Quorum Business Solutions\Ecopetrol Prometeo - Documents\Planning Space Implementation\3. Analysis &amp; Design\Design\FC22\DRR Jaime\QUIFA-CAJÚA\Cajua\[CAJUA_CF_SEC_New_27-Feb-2024Rev3.xlsx]D-PS'!</v>
      </c>
      <c r="G1651" s="32" t="s">
        <v>113</v>
      </c>
      <c r="H1651" s="33">
        <f t="shared" si="392"/>
        <v>27</v>
      </c>
      <c r="I1651" s="33" t="str">
        <f t="shared" si="329"/>
        <v>='C:\Users\jaime.benazar\Quorum Business Solutions\Ecopetrol Prometeo - Documents\Planning Space Implementation\3. Analysis &amp; Design\Design\FC22\DRR Jaime\QUIFA-CAJÚA\Cajua\[CAJUA_CF_SEC_New_27-Feb-2024Rev3.xlsx]D-PS'!$CA$27</v>
      </c>
      <c r="J1651" s="37" t="s">
        <v>2718</v>
      </c>
    </row>
    <row r="1652" spans="1:10" x14ac:dyDescent="0.25">
      <c r="A1652" s="32" t="s">
        <v>34</v>
      </c>
      <c r="B1652" s="32">
        <f t="shared" si="394"/>
        <v>2039</v>
      </c>
      <c r="C1652" s="33" t="s">
        <v>14</v>
      </c>
      <c r="D1652" s="34" t="s">
        <v>1999</v>
      </c>
      <c r="E1652" s="35" t="str">
        <f t="shared" si="327"/>
        <v>PS'!</v>
      </c>
      <c r="F1652" s="34" t="str">
        <f t="shared" si="328"/>
        <v>C:\Users\jaime.benazar\Quorum Business Solutions\Ecopetrol Prometeo - Documents\Planning Space Implementation\3. Analysis &amp; Design\Design\FC22\DRR Jaime\QUIFA-CAJÚA\Cajua\[CAJUA_CF_SEC_New_27-Feb-2024Rev3.xlsx]D-PS'!</v>
      </c>
      <c r="G1652" s="32" t="s">
        <v>113</v>
      </c>
      <c r="H1652" s="33">
        <f t="shared" si="392"/>
        <v>28</v>
      </c>
      <c r="I1652" s="33" t="str">
        <f t="shared" si="329"/>
        <v>='C:\Users\jaime.benazar\Quorum Business Solutions\Ecopetrol Prometeo - Documents\Planning Space Implementation\3. Analysis &amp; Design\Design\FC22\DRR Jaime\QUIFA-CAJÚA\Cajua\[CAJUA_CF_SEC_New_27-Feb-2024Rev3.xlsx]D-PS'!$CA$28</v>
      </c>
      <c r="J1652" s="37" t="s">
        <v>2719</v>
      </c>
    </row>
    <row r="1653" spans="1:10" x14ac:dyDescent="0.25">
      <c r="A1653" s="32" t="s">
        <v>34</v>
      </c>
      <c r="B1653" s="32">
        <f t="shared" si="394"/>
        <v>2040</v>
      </c>
      <c r="C1653" s="33" t="s">
        <v>14</v>
      </c>
      <c r="D1653" s="34" t="s">
        <v>1999</v>
      </c>
      <c r="E1653" s="35" t="str">
        <f t="shared" si="327"/>
        <v>PS'!</v>
      </c>
      <c r="F1653" s="34" t="str">
        <f t="shared" si="328"/>
        <v>C:\Users\jaime.benazar\Quorum Business Solutions\Ecopetrol Prometeo - Documents\Planning Space Implementation\3. Analysis &amp; Design\Design\FC22\DRR Jaime\QUIFA-CAJÚA\Cajua\[CAJUA_CF_SEC_New_27-Feb-2024Rev3.xlsx]D-PS'!</v>
      </c>
      <c r="G1653" s="32" t="s">
        <v>113</v>
      </c>
      <c r="H1653" s="33">
        <f t="shared" si="392"/>
        <v>29</v>
      </c>
      <c r="I1653" s="33" t="str">
        <f t="shared" si="329"/>
        <v>='C:\Users\jaime.benazar\Quorum Business Solutions\Ecopetrol Prometeo - Documents\Planning Space Implementation\3. Analysis &amp; Design\Design\FC22\DRR Jaime\QUIFA-CAJÚA\Cajua\[CAJUA_CF_SEC_New_27-Feb-2024Rev3.xlsx]D-PS'!$CA$29</v>
      </c>
      <c r="J1653" s="37" t="s">
        <v>2720</v>
      </c>
    </row>
    <row r="1654" spans="1:10" x14ac:dyDescent="0.25">
      <c r="A1654" s="32" t="s">
        <v>34</v>
      </c>
      <c r="B1654" s="32">
        <f>+B1653+1</f>
        <v>2041</v>
      </c>
      <c r="C1654" s="33" t="s">
        <v>14</v>
      </c>
      <c r="D1654" s="34" t="s">
        <v>1999</v>
      </c>
      <c r="E1654" s="35" t="str">
        <f t="shared" si="327"/>
        <v>PS'!</v>
      </c>
      <c r="F1654" s="34" t="str">
        <f t="shared" si="328"/>
        <v>C:\Users\jaime.benazar\Quorum Business Solutions\Ecopetrol Prometeo - Documents\Planning Space Implementation\3. Analysis &amp; Design\Design\FC22\DRR Jaime\QUIFA-CAJÚA\Cajua\[CAJUA_CF_SEC_New_27-Feb-2024Rev3.xlsx]D-PS'!</v>
      </c>
      <c r="G1654" s="32" t="s">
        <v>113</v>
      </c>
      <c r="H1654" s="33">
        <f t="shared" si="392"/>
        <v>30</v>
      </c>
      <c r="I1654" s="33" t="str">
        <f t="shared" si="329"/>
        <v>='C:\Users\jaime.benazar\Quorum Business Solutions\Ecopetrol Prometeo - Documents\Planning Space Implementation\3. Analysis &amp; Design\Design\FC22\DRR Jaime\QUIFA-CAJÚA\Cajua\[CAJUA_CF_SEC_New_27-Feb-2024Rev3.xlsx]D-PS'!$CA$30</v>
      </c>
      <c r="J1654" s="37" t="s">
        <v>2721</v>
      </c>
    </row>
    <row r="1655" spans="1:10" x14ac:dyDescent="0.25">
      <c r="A1655" s="32" t="s">
        <v>34</v>
      </c>
      <c r="B1655" s="32">
        <f t="shared" ref="B1655:B1656" si="395">+B1654+1</f>
        <v>2042</v>
      </c>
      <c r="C1655" s="33" t="s">
        <v>14</v>
      </c>
      <c r="D1655" s="34" t="s">
        <v>1999</v>
      </c>
      <c r="E1655" s="35" t="str">
        <f t="shared" si="327"/>
        <v>PS'!</v>
      </c>
      <c r="F1655" s="34" t="str">
        <f t="shared" si="328"/>
        <v>C:\Users\jaime.benazar\Quorum Business Solutions\Ecopetrol Prometeo - Documents\Planning Space Implementation\3. Analysis &amp; Design\Design\FC22\DRR Jaime\QUIFA-CAJÚA\Cajua\[CAJUA_CF_SEC_New_27-Feb-2024Rev3.xlsx]D-PS'!</v>
      </c>
      <c r="G1655" s="32" t="s">
        <v>113</v>
      </c>
      <c r="H1655" s="33">
        <f t="shared" si="392"/>
        <v>31</v>
      </c>
      <c r="I1655" s="33" t="str">
        <f t="shared" si="329"/>
        <v>='C:\Users\jaime.benazar\Quorum Business Solutions\Ecopetrol Prometeo - Documents\Planning Space Implementation\3. Analysis &amp; Design\Design\FC22\DRR Jaime\QUIFA-CAJÚA\Cajua\[CAJUA_CF_SEC_New_27-Feb-2024Rev3.xlsx]D-PS'!$CA$31</v>
      </c>
      <c r="J1655" s="37" t="s">
        <v>2722</v>
      </c>
    </row>
    <row r="1656" spans="1:10" x14ac:dyDescent="0.25">
      <c r="A1656" s="32" t="s">
        <v>34</v>
      </c>
      <c r="B1656" s="32">
        <f t="shared" si="395"/>
        <v>2043</v>
      </c>
      <c r="C1656" s="33" t="s">
        <v>14</v>
      </c>
      <c r="D1656" s="34" t="s">
        <v>1999</v>
      </c>
      <c r="E1656" s="35" t="str">
        <f t="shared" si="327"/>
        <v>PS'!</v>
      </c>
      <c r="F1656" s="34" t="str">
        <f t="shared" si="328"/>
        <v>C:\Users\jaime.benazar\Quorum Business Solutions\Ecopetrol Prometeo - Documents\Planning Space Implementation\3. Analysis &amp; Design\Design\FC22\DRR Jaime\QUIFA-CAJÚA\Cajua\[CAJUA_CF_SEC_New_27-Feb-2024Rev3.xlsx]D-PS'!</v>
      </c>
      <c r="G1656" s="32" t="s">
        <v>113</v>
      </c>
      <c r="H1656" s="33">
        <f t="shared" si="392"/>
        <v>32</v>
      </c>
      <c r="I1656" s="33" t="str">
        <f t="shared" si="329"/>
        <v>='C:\Users\jaime.benazar\Quorum Business Solutions\Ecopetrol Prometeo - Documents\Planning Space Implementation\3. Analysis &amp; Design\Design\FC22\DRR Jaime\QUIFA-CAJÚA\Cajua\[CAJUA_CF_SEC_New_27-Feb-2024Rev3.xlsx]D-PS'!$CA$32</v>
      </c>
      <c r="J1656" s="37" t="s">
        <v>2723</v>
      </c>
    </row>
    <row r="1657" spans="1:10" x14ac:dyDescent="0.25">
      <c r="A1657" s="32" t="s">
        <v>34</v>
      </c>
      <c r="B1657" s="32">
        <f>+B1656+1</f>
        <v>2044</v>
      </c>
      <c r="C1657" s="33" t="s">
        <v>14</v>
      </c>
      <c r="D1657" s="34" t="s">
        <v>1999</v>
      </c>
      <c r="E1657" s="35" t="str">
        <f t="shared" ref="E1657:E1672" si="396">_xlfn.CONCAT(A1657,"'!")</f>
        <v>PS'!</v>
      </c>
      <c r="F1657" s="34" t="str">
        <f t="shared" ref="F1657:F1672" si="397">_xlfn.CONCAT(D1657:E1657)</f>
        <v>C:\Users\jaime.benazar\Quorum Business Solutions\Ecopetrol Prometeo - Documents\Planning Space Implementation\3. Analysis &amp; Design\Design\FC22\DRR Jaime\QUIFA-CAJÚA\Cajua\[CAJUA_CF_SEC_New_27-Feb-2024Rev3.xlsx]D-PS'!</v>
      </c>
      <c r="G1657" s="32" t="s">
        <v>113</v>
      </c>
      <c r="H1657" s="33">
        <f t="shared" ref="H1657:H1672" si="398">IF(A1657&lt;&gt;A1656,12,H1656+1)</f>
        <v>33</v>
      </c>
      <c r="I1657" s="33" t="str">
        <f t="shared" ref="I1657:I1672" si="399">_xlfn.CONCAT("='",F1657:H1657)</f>
        <v>='C:\Users\jaime.benazar\Quorum Business Solutions\Ecopetrol Prometeo - Documents\Planning Space Implementation\3. Analysis &amp; Design\Design\FC22\DRR Jaime\QUIFA-CAJÚA\Cajua\[CAJUA_CF_SEC_New_27-Feb-2024Rev3.xlsx]D-PS'!$CA$33</v>
      </c>
      <c r="J1657" s="37" t="s">
        <v>2724</v>
      </c>
    </row>
    <row r="1658" spans="1:10" x14ac:dyDescent="0.25">
      <c r="A1658" s="32" t="s">
        <v>34</v>
      </c>
      <c r="B1658" s="32">
        <f t="shared" ref="B1658:B1672" si="400">+B1657+1</f>
        <v>2045</v>
      </c>
      <c r="C1658" s="33" t="s">
        <v>14</v>
      </c>
      <c r="D1658" s="34" t="s">
        <v>1999</v>
      </c>
      <c r="E1658" s="35" t="str">
        <f t="shared" si="396"/>
        <v>PS'!</v>
      </c>
      <c r="F1658" s="34" t="str">
        <f t="shared" si="397"/>
        <v>C:\Users\jaime.benazar\Quorum Business Solutions\Ecopetrol Prometeo - Documents\Planning Space Implementation\3. Analysis &amp; Design\Design\FC22\DRR Jaime\QUIFA-CAJÚA\Cajua\[CAJUA_CF_SEC_New_27-Feb-2024Rev3.xlsx]D-PS'!</v>
      </c>
      <c r="G1658" s="32" t="s">
        <v>113</v>
      </c>
      <c r="H1658" s="33">
        <f t="shared" si="398"/>
        <v>34</v>
      </c>
      <c r="I1658" s="33" t="str">
        <f t="shared" si="399"/>
        <v>='C:\Users\jaime.benazar\Quorum Business Solutions\Ecopetrol Prometeo - Documents\Planning Space Implementation\3. Analysis &amp; Design\Design\FC22\DRR Jaime\QUIFA-CAJÚA\Cajua\[CAJUA_CF_SEC_New_27-Feb-2024Rev3.xlsx]D-PS'!$CA$34</v>
      </c>
      <c r="J1658" s="37" t="s">
        <v>2725</v>
      </c>
    </row>
    <row r="1659" spans="1:10" x14ac:dyDescent="0.25">
      <c r="A1659" s="32" t="s">
        <v>34</v>
      </c>
      <c r="B1659" s="32">
        <f t="shared" si="400"/>
        <v>2046</v>
      </c>
      <c r="C1659" s="33" t="s">
        <v>14</v>
      </c>
      <c r="D1659" s="34" t="s">
        <v>1999</v>
      </c>
      <c r="E1659" s="35" t="str">
        <f t="shared" si="396"/>
        <v>PS'!</v>
      </c>
      <c r="F1659" s="34" t="str">
        <f t="shared" si="397"/>
        <v>C:\Users\jaime.benazar\Quorum Business Solutions\Ecopetrol Prometeo - Documents\Planning Space Implementation\3. Analysis &amp; Design\Design\FC22\DRR Jaime\QUIFA-CAJÚA\Cajua\[CAJUA_CF_SEC_New_27-Feb-2024Rev3.xlsx]D-PS'!</v>
      </c>
      <c r="G1659" s="32" t="s">
        <v>113</v>
      </c>
      <c r="H1659" s="33">
        <f t="shared" si="398"/>
        <v>35</v>
      </c>
      <c r="I1659" s="33" t="str">
        <f t="shared" si="399"/>
        <v>='C:\Users\jaime.benazar\Quorum Business Solutions\Ecopetrol Prometeo - Documents\Planning Space Implementation\3. Analysis &amp; Design\Design\FC22\DRR Jaime\QUIFA-CAJÚA\Cajua\[CAJUA_CF_SEC_New_27-Feb-2024Rev3.xlsx]D-PS'!$CA$35</v>
      </c>
      <c r="J1659" s="37" t="s">
        <v>2726</v>
      </c>
    </row>
    <row r="1660" spans="1:10" x14ac:dyDescent="0.25">
      <c r="A1660" s="32" t="s">
        <v>34</v>
      </c>
      <c r="B1660" s="32">
        <f t="shared" si="400"/>
        <v>2047</v>
      </c>
      <c r="C1660" s="33" t="s">
        <v>14</v>
      </c>
      <c r="D1660" s="34" t="s">
        <v>1999</v>
      </c>
      <c r="E1660" s="35" t="str">
        <f t="shared" si="396"/>
        <v>PS'!</v>
      </c>
      <c r="F1660" s="34" t="str">
        <f t="shared" si="397"/>
        <v>C:\Users\jaime.benazar\Quorum Business Solutions\Ecopetrol Prometeo - Documents\Planning Space Implementation\3. Analysis &amp; Design\Design\FC22\DRR Jaime\QUIFA-CAJÚA\Cajua\[CAJUA_CF_SEC_New_27-Feb-2024Rev3.xlsx]D-PS'!</v>
      </c>
      <c r="G1660" s="32" t="s">
        <v>113</v>
      </c>
      <c r="H1660" s="33">
        <f t="shared" si="398"/>
        <v>36</v>
      </c>
      <c r="I1660" s="33" t="str">
        <f t="shared" si="399"/>
        <v>='C:\Users\jaime.benazar\Quorum Business Solutions\Ecopetrol Prometeo - Documents\Planning Space Implementation\3. Analysis &amp; Design\Design\FC22\DRR Jaime\QUIFA-CAJÚA\Cajua\[CAJUA_CF_SEC_New_27-Feb-2024Rev3.xlsx]D-PS'!$CA$36</v>
      </c>
      <c r="J1660" s="37" t="s">
        <v>2727</v>
      </c>
    </row>
    <row r="1661" spans="1:10" x14ac:dyDescent="0.25">
      <c r="A1661" s="32" t="s">
        <v>34</v>
      </c>
      <c r="B1661" s="32">
        <f t="shared" si="400"/>
        <v>2048</v>
      </c>
      <c r="C1661" s="33" t="s">
        <v>14</v>
      </c>
      <c r="D1661" s="34" t="s">
        <v>1999</v>
      </c>
      <c r="E1661" s="35" t="str">
        <f t="shared" si="396"/>
        <v>PS'!</v>
      </c>
      <c r="F1661" s="34" t="str">
        <f t="shared" si="397"/>
        <v>C:\Users\jaime.benazar\Quorum Business Solutions\Ecopetrol Prometeo - Documents\Planning Space Implementation\3. Analysis &amp; Design\Design\FC22\DRR Jaime\QUIFA-CAJÚA\Cajua\[CAJUA_CF_SEC_New_27-Feb-2024Rev3.xlsx]D-PS'!</v>
      </c>
      <c r="G1661" s="32" t="s">
        <v>113</v>
      </c>
      <c r="H1661" s="33">
        <f t="shared" si="398"/>
        <v>37</v>
      </c>
      <c r="I1661" s="33" t="str">
        <f t="shared" si="399"/>
        <v>='C:\Users\jaime.benazar\Quorum Business Solutions\Ecopetrol Prometeo - Documents\Planning Space Implementation\3. Analysis &amp; Design\Design\FC22\DRR Jaime\QUIFA-CAJÚA\Cajua\[CAJUA_CF_SEC_New_27-Feb-2024Rev3.xlsx]D-PS'!$CA$37</v>
      </c>
      <c r="J1661" s="37" t="s">
        <v>2728</v>
      </c>
    </row>
    <row r="1662" spans="1:10" x14ac:dyDescent="0.25">
      <c r="A1662" s="32" t="s">
        <v>34</v>
      </c>
      <c r="B1662" s="32">
        <f t="shared" si="400"/>
        <v>2049</v>
      </c>
      <c r="C1662" s="33" t="s">
        <v>14</v>
      </c>
      <c r="D1662" s="34" t="s">
        <v>1999</v>
      </c>
      <c r="E1662" s="35" t="str">
        <f t="shared" si="396"/>
        <v>PS'!</v>
      </c>
      <c r="F1662" s="34" t="str">
        <f t="shared" si="397"/>
        <v>C:\Users\jaime.benazar\Quorum Business Solutions\Ecopetrol Prometeo - Documents\Planning Space Implementation\3. Analysis &amp; Design\Design\FC22\DRR Jaime\QUIFA-CAJÚA\Cajua\[CAJUA_CF_SEC_New_27-Feb-2024Rev3.xlsx]D-PS'!</v>
      </c>
      <c r="G1662" s="32" t="s">
        <v>113</v>
      </c>
      <c r="H1662" s="33">
        <f t="shared" si="398"/>
        <v>38</v>
      </c>
      <c r="I1662" s="33" t="str">
        <f t="shared" si="399"/>
        <v>='C:\Users\jaime.benazar\Quorum Business Solutions\Ecopetrol Prometeo - Documents\Planning Space Implementation\3. Analysis &amp; Design\Design\FC22\DRR Jaime\QUIFA-CAJÚA\Cajua\[CAJUA_CF_SEC_New_27-Feb-2024Rev3.xlsx]D-PS'!$CA$38</v>
      </c>
      <c r="J1662" s="37" t="s">
        <v>2729</v>
      </c>
    </row>
    <row r="1663" spans="1:10" x14ac:dyDescent="0.25">
      <c r="A1663" s="32" t="s">
        <v>34</v>
      </c>
      <c r="B1663" s="32">
        <f t="shared" si="400"/>
        <v>2050</v>
      </c>
      <c r="C1663" s="33" t="s">
        <v>14</v>
      </c>
      <c r="D1663" s="34" t="s">
        <v>1999</v>
      </c>
      <c r="E1663" s="35" t="str">
        <f t="shared" si="396"/>
        <v>PS'!</v>
      </c>
      <c r="F1663" s="34" t="str">
        <f t="shared" si="397"/>
        <v>C:\Users\jaime.benazar\Quorum Business Solutions\Ecopetrol Prometeo - Documents\Planning Space Implementation\3. Analysis &amp; Design\Design\FC22\DRR Jaime\QUIFA-CAJÚA\Cajua\[CAJUA_CF_SEC_New_27-Feb-2024Rev3.xlsx]D-PS'!</v>
      </c>
      <c r="G1663" s="32" t="s">
        <v>113</v>
      </c>
      <c r="H1663" s="33">
        <f t="shared" si="398"/>
        <v>39</v>
      </c>
      <c r="I1663" s="33" t="str">
        <f t="shared" si="399"/>
        <v>='C:\Users\jaime.benazar\Quorum Business Solutions\Ecopetrol Prometeo - Documents\Planning Space Implementation\3. Analysis &amp; Design\Design\FC22\DRR Jaime\QUIFA-CAJÚA\Cajua\[CAJUA_CF_SEC_New_27-Feb-2024Rev3.xlsx]D-PS'!$CA$39</v>
      </c>
      <c r="J1663" s="37" t="s">
        <v>2730</v>
      </c>
    </row>
    <row r="1664" spans="1:10" x14ac:dyDescent="0.25">
      <c r="A1664" s="32" t="s">
        <v>34</v>
      </c>
      <c r="B1664" s="32">
        <f t="shared" si="400"/>
        <v>2051</v>
      </c>
      <c r="C1664" s="33" t="s">
        <v>14</v>
      </c>
      <c r="D1664" s="34" t="s">
        <v>1999</v>
      </c>
      <c r="E1664" s="35" t="str">
        <f t="shared" si="396"/>
        <v>PS'!</v>
      </c>
      <c r="F1664" s="34" t="str">
        <f t="shared" si="397"/>
        <v>C:\Users\jaime.benazar\Quorum Business Solutions\Ecopetrol Prometeo - Documents\Planning Space Implementation\3. Analysis &amp; Design\Design\FC22\DRR Jaime\QUIFA-CAJÚA\Cajua\[CAJUA_CF_SEC_New_27-Feb-2024Rev3.xlsx]D-PS'!</v>
      </c>
      <c r="G1664" s="32" t="s">
        <v>113</v>
      </c>
      <c r="H1664" s="33">
        <f t="shared" si="398"/>
        <v>40</v>
      </c>
      <c r="I1664" s="33" t="str">
        <f t="shared" si="399"/>
        <v>='C:\Users\jaime.benazar\Quorum Business Solutions\Ecopetrol Prometeo - Documents\Planning Space Implementation\3. Analysis &amp; Design\Design\FC22\DRR Jaime\QUIFA-CAJÚA\Cajua\[CAJUA_CF_SEC_New_27-Feb-2024Rev3.xlsx]D-PS'!$CA$40</v>
      </c>
      <c r="J1664" s="37" t="s">
        <v>2731</v>
      </c>
    </row>
    <row r="1665" spans="1:10" x14ac:dyDescent="0.25">
      <c r="A1665" s="32" t="s">
        <v>34</v>
      </c>
      <c r="B1665" s="32">
        <f t="shared" si="400"/>
        <v>2052</v>
      </c>
      <c r="C1665" s="33" t="s">
        <v>14</v>
      </c>
      <c r="D1665" s="34" t="s">
        <v>1999</v>
      </c>
      <c r="E1665" s="35" t="str">
        <f t="shared" si="396"/>
        <v>PS'!</v>
      </c>
      <c r="F1665" s="34" t="str">
        <f t="shared" si="397"/>
        <v>C:\Users\jaime.benazar\Quorum Business Solutions\Ecopetrol Prometeo - Documents\Planning Space Implementation\3. Analysis &amp; Design\Design\FC22\DRR Jaime\QUIFA-CAJÚA\Cajua\[CAJUA_CF_SEC_New_27-Feb-2024Rev3.xlsx]D-PS'!</v>
      </c>
      <c r="G1665" s="32" t="s">
        <v>113</v>
      </c>
      <c r="H1665" s="33">
        <f t="shared" si="398"/>
        <v>41</v>
      </c>
      <c r="I1665" s="33" t="str">
        <f t="shared" si="399"/>
        <v>='C:\Users\jaime.benazar\Quorum Business Solutions\Ecopetrol Prometeo - Documents\Planning Space Implementation\3. Analysis &amp; Design\Design\FC22\DRR Jaime\QUIFA-CAJÚA\Cajua\[CAJUA_CF_SEC_New_27-Feb-2024Rev3.xlsx]D-PS'!$CA$41</v>
      </c>
      <c r="J1665" s="37" t="s">
        <v>2732</v>
      </c>
    </row>
    <row r="1666" spans="1:10" x14ac:dyDescent="0.25">
      <c r="A1666" s="32" t="s">
        <v>34</v>
      </c>
      <c r="B1666" s="32">
        <f t="shared" si="400"/>
        <v>2053</v>
      </c>
      <c r="C1666" s="33" t="s">
        <v>14</v>
      </c>
      <c r="D1666" s="34" t="s">
        <v>1999</v>
      </c>
      <c r="E1666" s="35" t="str">
        <f t="shared" si="396"/>
        <v>PS'!</v>
      </c>
      <c r="F1666" s="34" t="str">
        <f t="shared" si="397"/>
        <v>C:\Users\jaime.benazar\Quorum Business Solutions\Ecopetrol Prometeo - Documents\Planning Space Implementation\3. Analysis &amp; Design\Design\FC22\DRR Jaime\QUIFA-CAJÚA\Cajua\[CAJUA_CF_SEC_New_27-Feb-2024Rev3.xlsx]D-PS'!</v>
      </c>
      <c r="G1666" s="32" t="s">
        <v>113</v>
      </c>
      <c r="H1666" s="33">
        <f t="shared" si="398"/>
        <v>42</v>
      </c>
      <c r="I1666" s="33" t="str">
        <f t="shared" si="399"/>
        <v>='C:\Users\jaime.benazar\Quorum Business Solutions\Ecopetrol Prometeo - Documents\Planning Space Implementation\3. Analysis &amp; Design\Design\FC22\DRR Jaime\QUIFA-CAJÚA\Cajua\[CAJUA_CF_SEC_New_27-Feb-2024Rev3.xlsx]D-PS'!$CA$42</v>
      </c>
      <c r="J1666" s="37" t="s">
        <v>2733</v>
      </c>
    </row>
    <row r="1667" spans="1:10" x14ac:dyDescent="0.25">
      <c r="A1667" s="32" t="s">
        <v>34</v>
      </c>
      <c r="B1667" s="32">
        <f t="shared" si="400"/>
        <v>2054</v>
      </c>
      <c r="C1667" s="33" t="s">
        <v>14</v>
      </c>
      <c r="D1667" s="34" t="s">
        <v>1999</v>
      </c>
      <c r="E1667" s="35" t="str">
        <f t="shared" si="396"/>
        <v>PS'!</v>
      </c>
      <c r="F1667" s="34" t="str">
        <f t="shared" si="397"/>
        <v>C:\Users\jaime.benazar\Quorum Business Solutions\Ecopetrol Prometeo - Documents\Planning Space Implementation\3. Analysis &amp; Design\Design\FC22\DRR Jaime\QUIFA-CAJÚA\Cajua\[CAJUA_CF_SEC_New_27-Feb-2024Rev3.xlsx]D-PS'!</v>
      </c>
      <c r="G1667" s="32" t="s">
        <v>113</v>
      </c>
      <c r="H1667" s="33">
        <f t="shared" si="398"/>
        <v>43</v>
      </c>
      <c r="I1667" s="33" t="str">
        <f t="shared" si="399"/>
        <v>='C:\Users\jaime.benazar\Quorum Business Solutions\Ecopetrol Prometeo - Documents\Planning Space Implementation\3. Analysis &amp; Design\Design\FC22\DRR Jaime\QUIFA-CAJÚA\Cajua\[CAJUA_CF_SEC_New_27-Feb-2024Rev3.xlsx]D-PS'!$CA$43</v>
      </c>
      <c r="J1667" s="37" t="s">
        <v>2734</v>
      </c>
    </row>
    <row r="1668" spans="1:10" x14ac:dyDescent="0.25">
      <c r="A1668" s="32" t="s">
        <v>34</v>
      </c>
      <c r="B1668" s="32">
        <f t="shared" si="400"/>
        <v>2055</v>
      </c>
      <c r="C1668" s="33" t="s">
        <v>14</v>
      </c>
      <c r="D1668" s="34" t="s">
        <v>1999</v>
      </c>
      <c r="E1668" s="35" t="str">
        <f t="shared" si="396"/>
        <v>PS'!</v>
      </c>
      <c r="F1668" s="34" t="str">
        <f t="shared" si="397"/>
        <v>C:\Users\jaime.benazar\Quorum Business Solutions\Ecopetrol Prometeo - Documents\Planning Space Implementation\3. Analysis &amp; Design\Design\FC22\DRR Jaime\QUIFA-CAJÚA\Cajua\[CAJUA_CF_SEC_New_27-Feb-2024Rev3.xlsx]D-PS'!</v>
      </c>
      <c r="G1668" s="32" t="s">
        <v>113</v>
      </c>
      <c r="H1668" s="33">
        <f t="shared" si="398"/>
        <v>44</v>
      </c>
      <c r="I1668" s="33" t="str">
        <f t="shared" si="399"/>
        <v>='C:\Users\jaime.benazar\Quorum Business Solutions\Ecopetrol Prometeo - Documents\Planning Space Implementation\3. Analysis &amp; Design\Design\FC22\DRR Jaime\QUIFA-CAJÚA\Cajua\[CAJUA_CF_SEC_New_27-Feb-2024Rev3.xlsx]D-PS'!$CA$44</v>
      </c>
      <c r="J1668" s="37" t="s">
        <v>2735</v>
      </c>
    </row>
    <row r="1669" spans="1:10" x14ac:dyDescent="0.25">
      <c r="A1669" s="32" t="s">
        <v>34</v>
      </c>
      <c r="B1669" s="32">
        <f t="shared" si="400"/>
        <v>2056</v>
      </c>
      <c r="C1669" s="33" t="s">
        <v>14</v>
      </c>
      <c r="D1669" s="34" t="s">
        <v>1999</v>
      </c>
      <c r="E1669" s="35" t="str">
        <f t="shared" si="396"/>
        <v>PS'!</v>
      </c>
      <c r="F1669" s="34" t="str">
        <f t="shared" si="397"/>
        <v>C:\Users\jaime.benazar\Quorum Business Solutions\Ecopetrol Prometeo - Documents\Planning Space Implementation\3. Analysis &amp; Design\Design\FC22\DRR Jaime\QUIFA-CAJÚA\Cajua\[CAJUA_CF_SEC_New_27-Feb-2024Rev3.xlsx]D-PS'!</v>
      </c>
      <c r="G1669" s="32" t="s">
        <v>113</v>
      </c>
      <c r="H1669" s="33">
        <f t="shared" si="398"/>
        <v>45</v>
      </c>
      <c r="I1669" s="33" t="str">
        <f t="shared" si="399"/>
        <v>='C:\Users\jaime.benazar\Quorum Business Solutions\Ecopetrol Prometeo - Documents\Planning Space Implementation\3. Analysis &amp; Design\Design\FC22\DRR Jaime\QUIFA-CAJÚA\Cajua\[CAJUA_CF_SEC_New_27-Feb-2024Rev3.xlsx]D-PS'!$CA$45</v>
      </c>
      <c r="J1669" s="37" t="s">
        <v>2736</v>
      </c>
    </row>
    <row r="1670" spans="1:10" x14ac:dyDescent="0.25">
      <c r="A1670" s="32" t="s">
        <v>34</v>
      </c>
      <c r="B1670" s="32">
        <f t="shared" si="400"/>
        <v>2057</v>
      </c>
      <c r="C1670" s="33" t="s">
        <v>14</v>
      </c>
      <c r="D1670" s="34" t="s">
        <v>1999</v>
      </c>
      <c r="E1670" s="35" t="str">
        <f t="shared" si="396"/>
        <v>PS'!</v>
      </c>
      <c r="F1670" s="34" t="str">
        <f t="shared" si="397"/>
        <v>C:\Users\jaime.benazar\Quorum Business Solutions\Ecopetrol Prometeo - Documents\Planning Space Implementation\3. Analysis &amp; Design\Design\FC22\DRR Jaime\QUIFA-CAJÚA\Cajua\[CAJUA_CF_SEC_New_27-Feb-2024Rev3.xlsx]D-PS'!</v>
      </c>
      <c r="G1670" s="32" t="s">
        <v>113</v>
      </c>
      <c r="H1670" s="33">
        <f t="shared" si="398"/>
        <v>46</v>
      </c>
      <c r="I1670" s="33" t="str">
        <f t="shared" si="399"/>
        <v>='C:\Users\jaime.benazar\Quorum Business Solutions\Ecopetrol Prometeo - Documents\Planning Space Implementation\3. Analysis &amp; Design\Design\FC22\DRR Jaime\QUIFA-CAJÚA\Cajua\[CAJUA_CF_SEC_New_27-Feb-2024Rev3.xlsx]D-PS'!$CA$46</v>
      </c>
      <c r="J1670" s="37" t="s">
        <v>2737</v>
      </c>
    </row>
    <row r="1671" spans="1:10" x14ac:dyDescent="0.25">
      <c r="A1671" s="32" t="s">
        <v>34</v>
      </c>
      <c r="B1671" s="32">
        <f t="shared" si="400"/>
        <v>2058</v>
      </c>
      <c r="C1671" s="33" t="s">
        <v>14</v>
      </c>
      <c r="D1671" s="34" t="s">
        <v>1999</v>
      </c>
      <c r="E1671" s="35" t="str">
        <f t="shared" si="396"/>
        <v>PS'!</v>
      </c>
      <c r="F1671" s="34" t="str">
        <f t="shared" si="397"/>
        <v>C:\Users\jaime.benazar\Quorum Business Solutions\Ecopetrol Prometeo - Documents\Planning Space Implementation\3. Analysis &amp; Design\Design\FC22\DRR Jaime\QUIFA-CAJÚA\Cajua\[CAJUA_CF_SEC_New_27-Feb-2024Rev3.xlsx]D-PS'!</v>
      </c>
      <c r="G1671" s="32" t="s">
        <v>113</v>
      </c>
      <c r="H1671" s="33">
        <f t="shared" si="398"/>
        <v>47</v>
      </c>
      <c r="I1671" s="33" t="str">
        <f t="shared" si="399"/>
        <v>='C:\Users\jaime.benazar\Quorum Business Solutions\Ecopetrol Prometeo - Documents\Planning Space Implementation\3. Analysis &amp; Design\Design\FC22\DRR Jaime\QUIFA-CAJÚA\Cajua\[CAJUA_CF_SEC_New_27-Feb-2024Rev3.xlsx]D-PS'!$CA$47</v>
      </c>
      <c r="J1671" s="37" t="s">
        <v>2738</v>
      </c>
    </row>
    <row r="1672" spans="1:10" x14ac:dyDescent="0.25">
      <c r="A1672" s="32" t="s">
        <v>34</v>
      </c>
      <c r="B1672" s="32">
        <f t="shared" si="400"/>
        <v>2059</v>
      </c>
      <c r="C1672" s="33" t="s">
        <v>14</v>
      </c>
      <c r="D1672" s="34" t="s">
        <v>1999</v>
      </c>
      <c r="E1672" s="35" t="str">
        <f t="shared" si="396"/>
        <v>PS'!</v>
      </c>
      <c r="F1672" s="34" t="str">
        <f t="shared" si="397"/>
        <v>C:\Users\jaime.benazar\Quorum Business Solutions\Ecopetrol Prometeo - Documents\Planning Space Implementation\3. Analysis &amp; Design\Design\FC22\DRR Jaime\QUIFA-CAJÚA\Cajua\[CAJUA_CF_SEC_New_27-Feb-2024Rev3.xlsx]D-PS'!</v>
      </c>
      <c r="G1672" s="32" t="s">
        <v>113</v>
      </c>
      <c r="H1672" s="33">
        <f t="shared" si="398"/>
        <v>48</v>
      </c>
      <c r="I1672" s="33" t="str">
        <f t="shared" si="399"/>
        <v>='C:\Users\jaime.benazar\Quorum Business Solutions\Ecopetrol Prometeo - Documents\Planning Space Implementation\3. Analysis &amp; Design\Design\FC22\DRR Jaime\QUIFA-CAJÚA\Cajua\[CAJUA_CF_SEC_New_27-Feb-2024Rev3.xlsx]D-PS'!$CA$48</v>
      </c>
      <c r="J1672" s="37" t="s">
        <v>2739</v>
      </c>
    </row>
    <row r="1673" spans="1:10" x14ac:dyDescent="0.25">
      <c r="A1673" s="32" t="s">
        <v>28</v>
      </c>
      <c r="B1673" s="32"/>
      <c r="C1673" s="33" t="s">
        <v>14</v>
      </c>
      <c r="D1673" s="34"/>
      <c r="E1673" s="35"/>
      <c r="F1673" s="34"/>
      <c r="G1673" s="32"/>
      <c r="H1673" s="33"/>
      <c r="I1673" s="33"/>
      <c r="J1673" s="33"/>
    </row>
    <row r="1674" spans="1:10" x14ac:dyDescent="0.25">
      <c r="A1674" s="32" t="s">
        <v>1</v>
      </c>
      <c r="B1674" s="32">
        <v>2023</v>
      </c>
      <c r="C1674" s="33" t="s">
        <v>17</v>
      </c>
      <c r="D1674" s="34" t="s">
        <v>1999</v>
      </c>
      <c r="E1674" s="35" t="str">
        <f>_xlfn.CONCAT(A1674,"'!")</f>
        <v>PDP'!</v>
      </c>
      <c r="F1674" s="34" t="str">
        <f>_xlfn.CONCAT(D1674:E1674)</f>
        <v>C:\Users\jaime.benazar\Quorum Business Solutions\Ecopetrol Prometeo - Documents\Planning Space Implementation\3. Analysis &amp; Design\Design\FC22\DRR Jaime\QUIFA-CAJÚA\Cajua\[CAJUA_CF_SEC_New_27-Feb-2024Rev3.xlsx]D-PDP'!</v>
      </c>
      <c r="G1674" s="32" t="s">
        <v>38</v>
      </c>
      <c r="H1674" s="33">
        <v>12</v>
      </c>
      <c r="I1674" s="33" t="str">
        <f>_xlfn.CONCAT("='",F1674:H1674)</f>
        <v>='C:\Users\jaime.benazar\Quorum Business Solutions\Ecopetrol Prometeo - Documents\Planning Space Implementation\3. Analysis &amp; Design\Design\FC22\DRR Jaime\QUIFA-CAJÚA\Cajua\[CAJUA_CF_SEC_New_27-Feb-2024Rev3.xlsx]D-PDP'!$BX$12</v>
      </c>
      <c r="J1674" s="37" t="s">
        <v>2740</v>
      </c>
    </row>
    <row r="1675" spans="1:10" x14ac:dyDescent="0.25">
      <c r="A1675" s="32" t="s">
        <v>1</v>
      </c>
      <c r="B1675" s="32">
        <f>+B1674+1</f>
        <v>2024</v>
      </c>
      <c r="C1675" s="33" t="s">
        <v>17</v>
      </c>
      <c r="D1675" s="34" t="s">
        <v>1999</v>
      </c>
      <c r="E1675" s="35" t="str">
        <f t="shared" ref="E1675:E1768" si="401">_xlfn.CONCAT(A1675,"'!")</f>
        <v>PDP'!</v>
      </c>
      <c r="F1675" s="34" t="str">
        <f t="shared" ref="F1675:F1768" si="402">_xlfn.CONCAT(D1675:E1675)</f>
        <v>C:\Users\jaime.benazar\Quorum Business Solutions\Ecopetrol Prometeo - Documents\Planning Space Implementation\3. Analysis &amp; Design\Design\FC22\DRR Jaime\QUIFA-CAJÚA\Cajua\[CAJUA_CF_SEC_New_27-Feb-2024Rev3.xlsx]D-PDP'!</v>
      </c>
      <c r="G1675" s="32" t="s">
        <v>38</v>
      </c>
      <c r="H1675" s="33">
        <f t="shared" ref="H1675:H1694" si="403">IF(A1675&lt;&gt;A1674,12,H1674+1)</f>
        <v>13</v>
      </c>
      <c r="I1675" s="33" t="str">
        <f t="shared" ref="I1675:I1694" si="404">_xlfn.CONCAT("='",F1675:H1675)</f>
        <v>='C:\Users\jaime.benazar\Quorum Business Solutions\Ecopetrol Prometeo - Documents\Planning Space Implementation\3. Analysis &amp; Design\Design\FC22\DRR Jaime\QUIFA-CAJÚA\Cajua\[CAJUA_CF_SEC_New_27-Feb-2024Rev3.xlsx]D-PDP'!$BX$13</v>
      </c>
      <c r="J1675" s="37" t="s">
        <v>2741</v>
      </c>
    </row>
    <row r="1676" spans="1:10" x14ac:dyDescent="0.25">
      <c r="A1676" s="32" t="s">
        <v>1</v>
      </c>
      <c r="B1676" s="32">
        <f t="shared" ref="B1676:B1687" si="405">+B1675+1</f>
        <v>2025</v>
      </c>
      <c r="C1676" s="33" t="s">
        <v>17</v>
      </c>
      <c r="D1676" s="34" t="s">
        <v>1999</v>
      </c>
      <c r="E1676" s="35" t="str">
        <f t="shared" si="401"/>
        <v>PDP'!</v>
      </c>
      <c r="F1676" s="34" t="str">
        <f t="shared" si="402"/>
        <v>C:\Users\jaime.benazar\Quorum Business Solutions\Ecopetrol Prometeo - Documents\Planning Space Implementation\3. Analysis &amp; Design\Design\FC22\DRR Jaime\QUIFA-CAJÚA\Cajua\[CAJUA_CF_SEC_New_27-Feb-2024Rev3.xlsx]D-PDP'!</v>
      </c>
      <c r="G1676" s="32" t="s">
        <v>38</v>
      </c>
      <c r="H1676" s="33">
        <f t="shared" si="403"/>
        <v>14</v>
      </c>
      <c r="I1676" s="33" t="str">
        <f t="shared" si="404"/>
        <v>='C:\Users\jaime.benazar\Quorum Business Solutions\Ecopetrol Prometeo - Documents\Planning Space Implementation\3. Analysis &amp; Design\Design\FC22\DRR Jaime\QUIFA-CAJÚA\Cajua\[CAJUA_CF_SEC_New_27-Feb-2024Rev3.xlsx]D-PDP'!$BX$14</v>
      </c>
      <c r="J1676" s="37" t="s">
        <v>2742</v>
      </c>
    </row>
    <row r="1677" spans="1:10" x14ac:dyDescent="0.25">
      <c r="A1677" s="32" t="s">
        <v>1</v>
      </c>
      <c r="B1677" s="32">
        <f t="shared" si="405"/>
        <v>2026</v>
      </c>
      <c r="C1677" s="33" t="s">
        <v>17</v>
      </c>
      <c r="D1677" s="34" t="s">
        <v>1999</v>
      </c>
      <c r="E1677" s="35" t="str">
        <f t="shared" si="401"/>
        <v>PDP'!</v>
      </c>
      <c r="F1677" s="34" t="str">
        <f t="shared" si="402"/>
        <v>C:\Users\jaime.benazar\Quorum Business Solutions\Ecopetrol Prometeo - Documents\Planning Space Implementation\3. Analysis &amp; Design\Design\FC22\DRR Jaime\QUIFA-CAJÚA\Cajua\[CAJUA_CF_SEC_New_27-Feb-2024Rev3.xlsx]D-PDP'!</v>
      </c>
      <c r="G1677" s="32" t="s">
        <v>38</v>
      </c>
      <c r="H1677" s="33">
        <f t="shared" si="403"/>
        <v>15</v>
      </c>
      <c r="I1677" s="33" t="str">
        <f t="shared" si="404"/>
        <v>='C:\Users\jaime.benazar\Quorum Business Solutions\Ecopetrol Prometeo - Documents\Planning Space Implementation\3. Analysis &amp; Design\Design\FC22\DRR Jaime\QUIFA-CAJÚA\Cajua\[CAJUA_CF_SEC_New_27-Feb-2024Rev3.xlsx]D-PDP'!$BX$15</v>
      </c>
      <c r="J1677" s="37" t="s">
        <v>2743</v>
      </c>
    </row>
    <row r="1678" spans="1:10" x14ac:dyDescent="0.25">
      <c r="A1678" s="32" t="s">
        <v>1</v>
      </c>
      <c r="B1678" s="32">
        <f t="shared" si="405"/>
        <v>2027</v>
      </c>
      <c r="C1678" s="33" t="s">
        <v>17</v>
      </c>
      <c r="D1678" s="34" t="s">
        <v>1999</v>
      </c>
      <c r="E1678" s="35" t="str">
        <f t="shared" si="401"/>
        <v>PDP'!</v>
      </c>
      <c r="F1678" s="34" t="str">
        <f t="shared" si="402"/>
        <v>C:\Users\jaime.benazar\Quorum Business Solutions\Ecopetrol Prometeo - Documents\Planning Space Implementation\3. Analysis &amp; Design\Design\FC22\DRR Jaime\QUIFA-CAJÚA\Cajua\[CAJUA_CF_SEC_New_27-Feb-2024Rev3.xlsx]D-PDP'!</v>
      </c>
      <c r="G1678" s="32" t="s">
        <v>38</v>
      </c>
      <c r="H1678" s="33">
        <f t="shared" si="403"/>
        <v>16</v>
      </c>
      <c r="I1678" s="33" t="str">
        <f t="shared" si="404"/>
        <v>='C:\Users\jaime.benazar\Quorum Business Solutions\Ecopetrol Prometeo - Documents\Planning Space Implementation\3. Analysis &amp; Design\Design\FC22\DRR Jaime\QUIFA-CAJÚA\Cajua\[CAJUA_CF_SEC_New_27-Feb-2024Rev3.xlsx]D-PDP'!$BX$16</v>
      </c>
      <c r="J1678" s="37" t="s">
        <v>2744</v>
      </c>
    </row>
    <row r="1679" spans="1:10" x14ac:dyDescent="0.25">
      <c r="A1679" s="32" t="s">
        <v>1</v>
      </c>
      <c r="B1679" s="32">
        <f t="shared" si="405"/>
        <v>2028</v>
      </c>
      <c r="C1679" s="33" t="s">
        <v>17</v>
      </c>
      <c r="D1679" s="34" t="s">
        <v>1999</v>
      </c>
      <c r="E1679" s="35" t="str">
        <f t="shared" si="401"/>
        <v>PDP'!</v>
      </c>
      <c r="F1679" s="34" t="str">
        <f t="shared" si="402"/>
        <v>C:\Users\jaime.benazar\Quorum Business Solutions\Ecopetrol Prometeo - Documents\Planning Space Implementation\3. Analysis &amp; Design\Design\FC22\DRR Jaime\QUIFA-CAJÚA\Cajua\[CAJUA_CF_SEC_New_27-Feb-2024Rev3.xlsx]D-PDP'!</v>
      </c>
      <c r="G1679" s="32" t="s">
        <v>38</v>
      </c>
      <c r="H1679" s="33">
        <f t="shared" si="403"/>
        <v>17</v>
      </c>
      <c r="I1679" s="33" t="str">
        <f t="shared" si="404"/>
        <v>='C:\Users\jaime.benazar\Quorum Business Solutions\Ecopetrol Prometeo - Documents\Planning Space Implementation\3. Analysis &amp; Design\Design\FC22\DRR Jaime\QUIFA-CAJÚA\Cajua\[CAJUA_CF_SEC_New_27-Feb-2024Rev3.xlsx]D-PDP'!$BX$17</v>
      </c>
      <c r="J1679" s="37" t="s">
        <v>2745</v>
      </c>
    </row>
    <row r="1680" spans="1:10" x14ac:dyDescent="0.25">
      <c r="A1680" s="32" t="s">
        <v>1</v>
      </c>
      <c r="B1680" s="32">
        <f t="shared" si="405"/>
        <v>2029</v>
      </c>
      <c r="C1680" s="33" t="s">
        <v>17</v>
      </c>
      <c r="D1680" s="34" t="s">
        <v>1999</v>
      </c>
      <c r="E1680" s="35" t="str">
        <f t="shared" si="401"/>
        <v>PDP'!</v>
      </c>
      <c r="F1680" s="34" t="str">
        <f t="shared" si="402"/>
        <v>C:\Users\jaime.benazar\Quorum Business Solutions\Ecopetrol Prometeo - Documents\Planning Space Implementation\3. Analysis &amp; Design\Design\FC22\DRR Jaime\QUIFA-CAJÚA\Cajua\[CAJUA_CF_SEC_New_27-Feb-2024Rev3.xlsx]D-PDP'!</v>
      </c>
      <c r="G1680" s="32" t="s">
        <v>38</v>
      </c>
      <c r="H1680" s="33">
        <f t="shared" si="403"/>
        <v>18</v>
      </c>
      <c r="I1680" s="33" t="str">
        <f t="shared" si="404"/>
        <v>='C:\Users\jaime.benazar\Quorum Business Solutions\Ecopetrol Prometeo - Documents\Planning Space Implementation\3. Analysis &amp; Design\Design\FC22\DRR Jaime\QUIFA-CAJÚA\Cajua\[CAJUA_CF_SEC_New_27-Feb-2024Rev3.xlsx]D-PDP'!$BX$18</v>
      </c>
      <c r="J1680" s="37" t="s">
        <v>2746</v>
      </c>
    </row>
    <row r="1681" spans="1:10" x14ac:dyDescent="0.25">
      <c r="A1681" s="32" t="s">
        <v>1</v>
      </c>
      <c r="B1681" s="32">
        <f t="shared" si="405"/>
        <v>2030</v>
      </c>
      <c r="C1681" s="33" t="s">
        <v>17</v>
      </c>
      <c r="D1681" s="34" t="s">
        <v>1999</v>
      </c>
      <c r="E1681" s="35" t="str">
        <f t="shared" si="401"/>
        <v>PDP'!</v>
      </c>
      <c r="F1681" s="34" t="str">
        <f t="shared" si="402"/>
        <v>C:\Users\jaime.benazar\Quorum Business Solutions\Ecopetrol Prometeo - Documents\Planning Space Implementation\3. Analysis &amp; Design\Design\FC22\DRR Jaime\QUIFA-CAJÚA\Cajua\[CAJUA_CF_SEC_New_27-Feb-2024Rev3.xlsx]D-PDP'!</v>
      </c>
      <c r="G1681" s="32" t="s">
        <v>38</v>
      </c>
      <c r="H1681" s="33">
        <f t="shared" si="403"/>
        <v>19</v>
      </c>
      <c r="I1681" s="33" t="str">
        <f t="shared" si="404"/>
        <v>='C:\Users\jaime.benazar\Quorum Business Solutions\Ecopetrol Prometeo - Documents\Planning Space Implementation\3. Analysis &amp; Design\Design\FC22\DRR Jaime\QUIFA-CAJÚA\Cajua\[CAJUA_CF_SEC_New_27-Feb-2024Rev3.xlsx]D-PDP'!$BX$19</v>
      </c>
      <c r="J1681" s="37" t="s">
        <v>2747</v>
      </c>
    </row>
    <row r="1682" spans="1:10" x14ac:dyDescent="0.25">
      <c r="A1682" s="32" t="s">
        <v>1</v>
      </c>
      <c r="B1682" s="32">
        <f t="shared" si="405"/>
        <v>2031</v>
      </c>
      <c r="C1682" s="33" t="s">
        <v>17</v>
      </c>
      <c r="D1682" s="34" t="s">
        <v>1999</v>
      </c>
      <c r="E1682" s="35" t="str">
        <f t="shared" si="401"/>
        <v>PDP'!</v>
      </c>
      <c r="F1682" s="34" t="str">
        <f t="shared" si="402"/>
        <v>C:\Users\jaime.benazar\Quorum Business Solutions\Ecopetrol Prometeo - Documents\Planning Space Implementation\3. Analysis &amp; Design\Design\FC22\DRR Jaime\QUIFA-CAJÚA\Cajua\[CAJUA_CF_SEC_New_27-Feb-2024Rev3.xlsx]D-PDP'!</v>
      </c>
      <c r="G1682" s="32" t="s">
        <v>38</v>
      </c>
      <c r="H1682" s="33">
        <f t="shared" si="403"/>
        <v>20</v>
      </c>
      <c r="I1682" s="33" t="str">
        <f t="shared" si="404"/>
        <v>='C:\Users\jaime.benazar\Quorum Business Solutions\Ecopetrol Prometeo - Documents\Planning Space Implementation\3. Analysis &amp; Design\Design\FC22\DRR Jaime\QUIFA-CAJÚA\Cajua\[CAJUA_CF_SEC_New_27-Feb-2024Rev3.xlsx]D-PDP'!$BX$20</v>
      </c>
      <c r="J1682" s="37" t="s">
        <v>2748</v>
      </c>
    </row>
    <row r="1683" spans="1:10" x14ac:dyDescent="0.25">
      <c r="A1683" s="32" t="s">
        <v>1</v>
      </c>
      <c r="B1683" s="32">
        <f t="shared" si="405"/>
        <v>2032</v>
      </c>
      <c r="C1683" s="33" t="s">
        <v>17</v>
      </c>
      <c r="D1683" s="34" t="s">
        <v>1999</v>
      </c>
      <c r="E1683" s="35" t="str">
        <f t="shared" si="401"/>
        <v>PDP'!</v>
      </c>
      <c r="F1683" s="34" t="str">
        <f t="shared" si="402"/>
        <v>C:\Users\jaime.benazar\Quorum Business Solutions\Ecopetrol Prometeo - Documents\Planning Space Implementation\3. Analysis &amp; Design\Design\FC22\DRR Jaime\QUIFA-CAJÚA\Cajua\[CAJUA_CF_SEC_New_27-Feb-2024Rev3.xlsx]D-PDP'!</v>
      </c>
      <c r="G1683" s="32" t="s">
        <v>38</v>
      </c>
      <c r="H1683" s="33">
        <f t="shared" si="403"/>
        <v>21</v>
      </c>
      <c r="I1683" s="33" t="str">
        <f t="shared" si="404"/>
        <v>='C:\Users\jaime.benazar\Quorum Business Solutions\Ecopetrol Prometeo - Documents\Planning Space Implementation\3. Analysis &amp; Design\Design\FC22\DRR Jaime\QUIFA-CAJÚA\Cajua\[CAJUA_CF_SEC_New_27-Feb-2024Rev3.xlsx]D-PDP'!$BX$21</v>
      </c>
      <c r="J1683" s="37" t="s">
        <v>2749</v>
      </c>
    </row>
    <row r="1684" spans="1:10" x14ac:dyDescent="0.25">
      <c r="A1684" s="32" t="s">
        <v>1</v>
      </c>
      <c r="B1684" s="32">
        <f t="shared" si="405"/>
        <v>2033</v>
      </c>
      <c r="C1684" s="33" t="s">
        <v>17</v>
      </c>
      <c r="D1684" s="34" t="s">
        <v>1999</v>
      </c>
      <c r="E1684" s="35" t="str">
        <f t="shared" si="401"/>
        <v>PDP'!</v>
      </c>
      <c r="F1684" s="34" t="str">
        <f t="shared" si="402"/>
        <v>C:\Users\jaime.benazar\Quorum Business Solutions\Ecopetrol Prometeo - Documents\Planning Space Implementation\3. Analysis &amp; Design\Design\FC22\DRR Jaime\QUIFA-CAJÚA\Cajua\[CAJUA_CF_SEC_New_27-Feb-2024Rev3.xlsx]D-PDP'!</v>
      </c>
      <c r="G1684" s="32" t="s">
        <v>38</v>
      </c>
      <c r="H1684" s="33">
        <f t="shared" si="403"/>
        <v>22</v>
      </c>
      <c r="I1684" s="33" t="str">
        <f t="shared" si="404"/>
        <v>='C:\Users\jaime.benazar\Quorum Business Solutions\Ecopetrol Prometeo - Documents\Planning Space Implementation\3. Analysis &amp; Design\Design\FC22\DRR Jaime\QUIFA-CAJÚA\Cajua\[CAJUA_CF_SEC_New_27-Feb-2024Rev3.xlsx]D-PDP'!$BX$22</v>
      </c>
      <c r="J1684" s="37" t="s">
        <v>2750</v>
      </c>
    </row>
    <row r="1685" spans="1:10" x14ac:dyDescent="0.25">
      <c r="A1685" s="32" t="s">
        <v>1</v>
      </c>
      <c r="B1685" s="32">
        <f t="shared" si="405"/>
        <v>2034</v>
      </c>
      <c r="C1685" s="33" t="s">
        <v>17</v>
      </c>
      <c r="D1685" s="34" t="s">
        <v>1999</v>
      </c>
      <c r="E1685" s="35" t="str">
        <f t="shared" si="401"/>
        <v>PDP'!</v>
      </c>
      <c r="F1685" s="34" t="str">
        <f t="shared" si="402"/>
        <v>C:\Users\jaime.benazar\Quorum Business Solutions\Ecopetrol Prometeo - Documents\Planning Space Implementation\3. Analysis &amp; Design\Design\FC22\DRR Jaime\QUIFA-CAJÚA\Cajua\[CAJUA_CF_SEC_New_27-Feb-2024Rev3.xlsx]D-PDP'!</v>
      </c>
      <c r="G1685" s="32" t="s">
        <v>38</v>
      </c>
      <c r="H1685" s="33">
        <f t="shared" si="403"/>
        <v>23</v>
      </c>
      <c r="I1685" s="33" t="str">
        <f t="shared" si="404"/>
        <v>='C:\Users\jaime.benazar\Quorum Business Solutions\Ecopetrol Prometeo - Documents\Planning Space Implementation\3. Analysis &amp; Design\Design\FC22\DRR Jaime\QUIFA-CAJÚA\Cajua\[CAJUA_CF_SEC_New_27-Feb-2024Rev3.xlsx]D-PDP'!$BX$23</v>
      </c>
      <c r="J1685" s="37" t="s">
        <v>2751</v>
      </c>
    </row>
    <row r="1686" spans="1:10" x14ac:dyDescent="0.25">
      <c r="A1686" s="32" t="s">
        <v>1</v>
      </c>
      <c r="B1686" s="32">
        <f t="shared" si="405"/>
        <v>2035</v>
      </c>
      <c r="C1686" s="33" t="s">
        <v>17</v>
      </c>
      <c r="D1686" s="34" t="s">
        <v>1999</v>
      </c>
      <c r="E1686" s="35" t="str">
        <f t="shared" si="401"/>
        <v>PDP'!</v>
      </c>
      <c r="F1686" s="34" t="str">
        <f t="shared" si="402"/>
        <v>C:\Users\jaime.benazar\Quorum Business Solutions\Ecopetrol Prometeo - Documents\Planning Space Implementation\3. Analysis &amp; Design\Design\FC22\DRR Jaime\QUIFA-CAJÚA\Cajua\[CAJUA_CF_SEC_New_27-Feb-2024Rev3.xlsx]D-PDP'!</v>
      </c>
      <c r="G1686" s="32" t="s">
        <v>38</v>
      </c>
      <c r="H1686" s="33">
        <f t="shared" si="403"/>
        <v>24</v>
      </c>
      <c r="I1686" s="33" t="str">
        <f t="shared" si="404"/>
        <v>='C:\Users\jaime.benazar\Quorum Business Solutions\Ecopetrol Prometeo - Documents\Planning Space Implementation\3. Analysis &amp; Design\Design\FC22\DRR Jaime\QUIFA-CAJÚA\Cajua\[CAJUA_CF_SEC_New_27-Feb-2024Rev3.xlsx]D-PDP'!$BX$24</v>
      </c>
      <c r="J1686" s="37" t="s">
        <v>2752</v>
      </c>
    </row>
    <row r="1687" spans="1:10" x14ac:dyDescent="0.25">
      <c r="A1687" s="32" t="s">
        <v>1</v>
      </c>
      <c r="B1687" s="32">
        <f t="shared" si="405"/>
        <v>2036</v>
      </c>
      <c r="C1687" s="33" t="s">
        <v>17</v>
      </c>
      <c r="D1687" s="34" t="s">
        <v>1999</v>
      </c>
      <c r="E1687" s="35" t="str">
        <f t="shared" si="401"/>
        <v>PDP'!</v>
      </c>
      <c r="F1687" s="34" t="str">
        <f t="shared" si="402"/>
        <v>C:\Users\jaime.benazar\Quorum Business Solutions\Ecopetrol Prometeo - Documents\Planning Space Implementation\3. Analysis &amp; Design\Design\FC22\DRR Jaime\QUIFA-CAJÚA\Cajua\[CAJUA_CF_SEC_New_27-Feb-2024Rev3.xlsx]D-PDP'!</v>
      </c>
      <c r="G1687" s="32" t="s">
        <v>38</v>
      </c>
      <c r="H1687" s="33">
        <f t="shared" si="403"/>
        <v>25</v>
      </c>
      <c r="I1687" s="33" t="str">
        <f t="shared" si="404"/>
        <v>='C:\Users\jaime.benazar\Quorum Business Solutions\Ecopetrol Prometeo - Documents\Planning Space Implementation\3. Analysis &amp; Design\Design\FC22\DRR Jaime\QUIFA-CAJÚA\Cajua\[CAJUA_CF_SEC_New_27-Feb-2024Rev3.xlsx]D-PDP'!$BX$25</v>
      </c>
      <c r="J1687" s="37" t="s">
        <v>2753</v>
      </c>
    </row>
    <row r="1688" spans="1:10" x14ac:dyDescent="0.25">
      <c r="A1688" s="32" t="s">
        <v>1</v>
      </c>
      <c r="B1688" s="32">
        <f>+B1687+1</f>
        <v>2037</v>
      </c>
      <c r="C1688" s="33" t="s">
        <v>17</v>
      </c>
      <c r="D1688" s="34" t="s">
        <v>1999</v>
      </c>
      <c r="E1688" s="35" t="str">
        <f t="shared" si="401"/>
        <v>PDP'!</v>
      </c>
      <c r="F1688" s="34" t="str">
        <f t="shared" si="402"/>
        <v>C:\Users\jaime.benazar\Quorum Business Solutions\Ecopetrol Prometeo - Documents\Planning Space Implementation\3. Analysis &amp; Design\Design\FC22\DRR Jaime\QUIFA-CAJÚA\Cajua\[CAJUA_CF_SEC_New_27-Feb-2024Rev3.xlsx]D-PDP'!</v>
      </c>
      <c r="G1688" s="32" t="s">
        <v>38</v>
      </c>
      <c r="H1688" s="33">
        <f t="shared" si="403"/>
        <v>26</v>
      </c>
      <c r="I1688" s="33" t="str">
        <f t="shared" si="404"/>
        <v>='C:\Users\jaime.benazar\Quorum Business Solutions\Ecopetrol Prometeo - Documents\Planning Space Implementation\3. Analysis &amp; Design\Design\FC22\DRR Jaime\QUIFA-CAJÚA\Cajua\[CAJUA_CF_SEC_New_27-Feb-2024Rev3.xlsx]D-PDP'!$BX$26</v>
      </c>
      <c r="J1688" s="37" t="s">
        <v>2754</v>
      </c>
    </row>
    <row r="1689" spans="1:10" x14ac:dyDescent="0.25">
      <c r="A1689" s="32" t="s">
        <v>1</v>
      </c>
      <c r="B1689" s="32">
        <f t="shared" ref="B1689:B1691" si="406">+B1688+1</f>
        <v>2038</v>
      </c>
      <c r="C1689" s="33" t="s">
        <v>17</v>
      </c>
      <c r="D1689" s="34" t="s">
        <v>1999</v>
      </c>
      <c r="E1689" s="35" t="str">
        <f t="shared" si="401"/>
        <v>PDP'!</v>
      </c>
      <c r="F1689" s="34" t="str">
        <f t="shared" si="402"/>
        <v>C:\Users\jaime.benazar\Quorum Business Solutions\Ecopetrol Prometeo - Documents\Planning Space Implementation\3. Analysis &amp; Design\Design\FC22\DRR Jaime\QUIFA-CAJÚA\Cajua\[CAJUA_CF_SEC_New_27-Feb-2024Rev3.xlsx]D-PDP'!</v>
      </c>
      <c r="G1689" s="32" t="s">
        <v>38</v>
      </c>
      <c r="H1689" s="33">
        <f t="shared" si="403"/>
        <v>27</v>
      </c>
      <c r="I1689" s="33" t="str">
        <f t="shared" si="404"/>
        <v>='C:\Users\jaime.benazar\Quorum Business Solutions\Ecopetrol Prometeo - Documents\Planning Space Implementation\3. Analysis &amp; Design\Design\FC22\DRR Jaime\QUIFA-CAJÚA\Cajua\[CAJUA_CF_SEC_New_27-Feb-2024Rev3.xlsx]D-PDP'!$BX$27</v>
      </c>
      <c r="J1689" s="37" t="s">
        <v>2755</v>
      </c>
    </row>
    <row r="1690" spans="1:10" x14ac:dyDescent="0.25">
      <c r="A1690" s="32" t="s">
        <v>1</v>
      </c>
      <c r="B1690" s="32">
        <f t="shared" si="406"/>
        <v>2039</v>
      </c>
      <c r="C1690" s="33" t="s">
        <v>17</v>
      </c>
      <c r="D1690" s="34" t="s">
        <v>1999</v>
      </c>
      <c r="E1690" s="35" t="str">
        <f t="shared" si="401"/>
        <v>PDP'!</v>
      </c>
      <c r="F1690" s="34" t="str">
        <f t="shared" si="402"/>
        <v>C:\Users\jaime.benazar\Quorum Business Solutions\Ecopetrol Prometeo - Documents\Planning Space Implementation\3. Analysis &amp; Design\Design\FC22\DRR Jaime\QUIFA-CAJÚA\Cajua\[CAJUA_CF_SEC_New_27-Feb-2024Rev3.xlsx]D-PDP'!</v>
      </c>
      <c r="G1690" s="32" t="s">
        <v>38</v>
      </c>
      <c r="H1690" s="33">
        <f t="shared" si="403"/>
        <v>28</v>
      </c>
      <c r="I1690" s="33" t="str">
        <f t="shared" si="404"/>
        <v>='C:\Users\jaime.benazar\Quorum Business Solutions\Ecopetrol Prometeo - Documents\Planning Space Implementation\3. Analysis &amp; Design\Design\FC22\DRR Jaime\QUIFA-CAJÚA\Cajua\[CAJUA_CF_SEC_New_27-Feb-2024Rev3.xlsx]D-PDP'!$BX$28</v>
      </c>
      <c r="J1690" s="37" t="s">
        <v>2756</v>
      </c>
    </row>
    <row r="1691" spans="1:10" x14ac:dyDescent="0.25">
      <c r="A1691" s="32" t="s">
        <v>1</v>
      </c>
      <c r="B1691" s="32">
        <f t="shared" si="406"/>
        <v>2040</v>
      </c>
      <c r="C1691" s="33" t="s">
        <v>17</v>
      </c>
      <c r="D1691" s="34" t="s">
        <v>1999</v>
      </c>
      <c r="E1691" s="35" t="str">
        <f t="shared" si="401"/>
        <v>PDP'!</v>
      </c>
      <c r="F1691" s="34" t="str">
        <f t="shared" si="402"/>
        <v>C:\Users\jaime.benazar\Quorum Business Solutions\Ecopetrol Prometeo - Documents\Planning Space Implementation\3. Analysis &amp; Design\Design\FC22\DRR Jaime\QUIFA-CAJÚA\Cajua\[CAJUA_CF_SEC_New_27-Feb-2024Rev3.xlsx]D-PDP'!</v>
      </c>
      <c r="G1691" s="32" t="s">
        <v>38</v>
      </c>
      <c r="H1691" s="33">
        <f t="shared" si="403"/>
        <v>29</v>
      </c>
      <c r="I1691" s="33" t="str">
        <f t="shared" si="404"/>
        <v>='C:\Users\jaime.benazar\Quorum Business Solutions\Ecopetrol Prometeo - Documents\Planning Space Implementation\3. Analysis &amp; Design\Design\FC22\DRR Jaime\QUIFA-CAJÚA\Cajua\[CAJUA_CF_SEC_New_27-Feb-2024Rev3.xlsx]D-PDP'!$BX$29</v>
      </c>
      <c r="J1691" s="37" t="s">
        <v>2757</v>
      </c>
    </row>
    <row r="1692" spans="1:10" x14ac:dyDescent="0.25">
      <c r="A1692" s="32" t="s">
        <v>1</v>
      </c>
      <c r="B1692" s="32">
        <f>+B1691+1</f>
        <v>2041</v>
      </c>
      <c r="C1692" s="33" t="s">
        <v>17</v>
      </c>
      <c r="D1692" s="34" t="s">
        <v>1999</v>
      </c>
      <c r="E1692" s="35" t="str">
        <f t="shared" si="401"/>
        <v>PDP'!</v>
      </c>
      <c r="F1692" s="34" t="str">
        <f t="shared" si="402"/>
        <v>C:\Users\jaime.benazar\Quorum Business Solutions\Ecopetrol Prometeo - Documents\Planning Space Implementation\3. Analysis &amp; Design\Design\FC22\DRR Jaime\QUIFA-CAJÚA\Cajua\[CAJUA_CF_SEC_New_27-Feb-2024Rev3.xlsx]D-PDP'!</v>
      </c>
      <c r="G1692" s="32" t="s">
        <v>38</v>
      </c>
      <c r="H1692" s="33">
        <f t="shared" si="403"/>
        <v>30</v>
      </c>
      <c r="I1692" s="33" t="str">
        <f t="shared" si="404"/>
        <v>='C:\Users\jaime.benazar\Quorum Business Solutions\Ecopetrol Prometeo - Documents\Planning Space Implementation\3. Analysis &amp; Design\Design\FC22\DRR Jaime\QUIFA-CAJÚA\Cajua\[CAJUA_CF_SEC_New_27-Feb-2024Rev3.xlsx]D-PDP'!$BX$30</v>
      </c>
      <c r="J1692" s="37" t="s">
        <v>2758</v>
      </c>
    </row>
    <row r="1693" spans="1:10" x14ac:dyDescent="0.25">
      <c r="A1693" s="32" t="s">
        <v>1</v>
      </c>
      <c r="B1693" s="32">
        <f t="shared" ref="B1693:B1694" si="407">+B1692+1</f>
        <v>2042</v>
      </c>
      <c r="C1693" s="33" t="s">
        <v>17</v>
      </c>
      <c r="D1693" s="34" t="s">
        <v>1999</v>
      </c>
      <c r="E1693" s="35" t="str">
        <f t="shared" si="401"/>
        <v>PDP'!</v>
      </c>
      <c r="F1693" s="34" t="str">
        <f t="shared" si="402"/>
        <v>C:\Users\jaime.benazar\Quorum Business Solutions\Ecopetrol Prometeo - Documents\Planning Space Implementation\3. Analysis &amp; Design\Design\FC22\DRR Jaime\QUIFA-CAJÚA\Cajua\[CAJUA_CF_SEC_New_27-Feb-2024Rev3.xlsx]D-PDP'!</v>
      </c>
      <c r="G1693" s="32" t="s">
        <v>38</v>
      </c>
      <c r="H1693" s="33">
        <f t="shared" si="403"/>
        <v>31</v>
      </c>
      <c r="I1693" s="33" t="str">
        <f t="shared" si="404"/>
        <v>='C:\Users\jaime.benazar\Quorum Business Solutions\Ecopetrol Prometeo - Documents\Planning Space Implementation\3. Analysis &amp; Design\Design\FC22\DRR Jaime\QUIFA-CAJÚA\Cajua\[CAJUA_CF_SEC_New_27-Feb-2024Rev3.xlsx]D-PDP'!$BX$31</v>
      </c>
      <c r="J1693" s="37" t="s">
        <v>2759</v>
      </c>
    </row>
    <row r="1694" spans="1:10" x14ac:dyDescent="0.25">
      <c r="A1694" s="32" t="s">
        <v>1</v>
      </c>
      <c r="B1694" s="32">
        <f t="shared" si="407"/>
        <v>2043</v>
      </c>
      <c r="C1694" s="33" t="s">
        <v>17</v>
      </c>
      <c r="D1694" s="34" t="s">
        <v>1999</v>
      </c>
      <c r="E1694" s="35" t="str">
        <f t="shared" si="401"/>
        <v>PDP'!</v>
      </c>
      <c r="F1694" s="34" t="str">
        <f t="shared" si="402"/>
        <v>C:\Users\jaime.benazar\Quorum Business Solutions\Ecopetrol Prometeo - Documents\Planning Space Implementation\3. Analysis &amp; Design\Design\FC22\DRR Jaime\QUIFA-CAJÚA\Cajua\[CAJUA_CF_SEC_New_27-Feb-2024Rev3.xlsx]D-PDP'!</v>
      </c>
      <c r="G1694" s="32" t="s">
        <v>38</v>
      </c>
      <c r="H1694" s="33">
        <f t="shared" si="403"/>
        <v>32</v>
      </c>
      <c r="I1694" s="33" t="str">
        <f t="shared" si="404"/>
        <v>='C:\Users\jaime.benazar\Quorum Business Solutions\Ecopetrol Prometeo - Documents\Planning Space Implementation\3. Analysis &amp; Design\Design\FC22\DRR Jaime\QUIFA-CAJÚA\Cajua\[CAJUA_CF_SEC_New_27-Feb-2024Rev3.xlsx]D-PDP'!$BX$32</v>
      </c>
      <c r="J1694" s="37" t="s">
        <v>2760</v>
      </c>
    </row>
    <row r="1695" spans="1:10" x14ac:dyDescent="0.25">
      <c r="A1695" s="32" t="s">
        <v>1</v>
      </c>
      <c r="B1695" s="32">
        <f>+B1694+1</f>
        <v>2044</v>
      </c>
      <c r="C1695" s="33" t="s">
        <v>17</v>
      </c>
      <c r="D1695" s="34" t="s">
        <v>1999</v>
      </c>
      <c r="E1695" s="35" t="str">
        <f t="shared" ref="E1695:E1710" si="408">_xlfn.CONCAT(A1695,"'!")</f>
        <v>PDP'!</v>
      </c>
      <c r="F1695" s="34" t="str">
        <f t="shared" ref="F1695:F1710" si="409">_xlfn.CONCAT(D1695:E1695)</f>
        <v>C:\Users\jaime.benazar\Quorum Business Solutions\Ecopetrol Prometeo - Documents\Planning Space Implementation\3. Analysis &amp; Design\Design\FC22\DRR Jaime\QUIFA-CAJÚA\Cajua\[CAJUA_CF_SEC_New_27-Feb-2024Rev3.xlsx]D-PDP'!</v>
      </c>
      <c r="G1695" s="32" t="s">
        <v>38</v>
      </c>
      <c r="H1695" s="33">
        <f t="shared" ref="H1695:H1710" si="410">IF(A1695&lt;&gt;A1694,12,H1694+1)</f>
        <v>33</v>
      </c>
      <c r="I1695" s="33" t="str">
        <f t="shared" ref="I1695:I1710" si="411">_xlfn.CONCAT("='",F1695:H1695)</f>
        <v>='C:\Users\jaime.benazar\Quorum Business Solutions\Ecopetrol Prometeo - Documents\Planning Space Implementation\3. Analysis &amp; Design\Design\FC22\DRR Jaime\QUIFA-CAJÚA\Cajua\[CAJUA_CF_SEC_New_27-Feb-2024Rev3.xlsx]D-PDP'!$BX$33</v>
      </c>
      <c r="J1695" s="37" t="s">
        <v>2761</v>
      </c>
    </row>
    <row r="1696" spans="1:10" x14ac:dyDescent="0.25">
      <c r="A1696" s="32" t="s">
        <v>1</v>
      </c>
      <c r="B1696" s="32">
        <f t="shared" ref="B1696:B1710" si="412">+B1695+1</f>
        <v>2045</v>
      </c>
      <c r="C1696" s="33" t="s">
        <v>17</v>
      </c>
      <c r="D1696" s="34" t="s">
        <v>1999</v>
      </c>
      <c r="E1696" s="35" t="str">
        <f t="shared" si="408"/>
        <v>PDP'!</v>
      </c>
      <c r="F1696" s="34" t="str">
        <f t="shared" si="409"/>
        <v>C:\Users\jaime.benazar\Quorum Business Solutions\Ecopetrol Prometeo - Documents\Planning Space Implementation\3. Analysis &amp; Design\Design\FC22\DRR Jaime\QUIFA-CAJÚA\Cajua\[CAJUA_CF_SEC_New_27-Feb-2024Rev3.xlsx]D-PDP'!</v>
      </c>
      <c r="G1696" s="32" t="s">
        <v>38</v>
      </c>
      <c r="H1696" s="33">
        <f t="shared" si="410"/>
        <v>34</v>
      </c>
      <c r="I1696" s="33" t="str">
        <f t="shared" si="411"/>
        <v>='C:\Users\jaime.benazar\Quorum Business Solutions\Ecopetrol Prometeo - Documents\Planning Space Implementation\3. Analysis &amp; Design\Design\FC22\DRR Jaime\QUIFA-CAJÚA\Cajua\[CAJUA_CF_SEC_New_27-Feb-2024Rev3.xlsx]D-PDP'!$BX$34</v>
      </c>
      <c r="J1696" s="37" t="s">
        <v>2762</v>
      </c>
    </row>
    <row r="1697" spans="1:10" x14ac:dyDescent="0.25">
      <c r="A1697" s="32" t="s">
        <v>1</v>
      </c>
      <c r="B1697" s="32">
        <f t="shared" si="412"/>
        <v>2046</v>
      </c>
      <c r="C1697" s="33" t="s">
        <v>17</v>
      </c>
      <c r="D1697" s="34" t="s">
        <v>1999</v>
      </c>
      <c r="E1697" s="35" t="str">
        <f t="shared" si="408"/>
        <v>PDP'!</v>
      </c>
      <c r="F1697" s="34" t="str">
        <f t="shared" si="409"/>
        <v>C:\Users\jaime.benazar\Quorum Business Solutions\Ecopetrol Prometeo - Documents\Planning Space Implementation\3. Analysis &amp; Design\Design\FC22\DRR Jaime\QUIFA-CAJÚA\Cajua\[CAJUA_CF_SEC_New_27-Feb-2024Rev3.xlsx]D-PDP'!</v>
      </c>
      <c r="G1697" s="32" t="s">
        <v>38</v>
      </c>
      <c r="H1697" s="33">
        <f t="shared" si="410"/>
        <v>35</v>
      </c>
      <c r="I1697" s="33" t="str">
        <f t="shared" si="411"/>
        <v>='C:\Users\jaime.benazar\Quorum Business Solutions\Ecopetrol Prometeo - Documents\Planning Space Implementation\3. Analysis &amp; Design\Design\FC22\DRR Jaime\QUIFA-CAJÚA\Cajua\[CAJUA_CF_SEC_New_27-Feb-2024Rev3.xlsx]D-PDP'!$BX$35</v>
      </c>
      <c r="J1697" s="37" t="s">
        <v>2763</v>
      </c>
    </row>
    <row r="1698" spans="1:10" x14ac:dyDescent="0.25">
      <c r="A1698" s="32" t="s">
        <v>1</v>
      </c>
      <c r="B1698" s="32">
        <f t="shared" si="412"/>
        <v>2047</v>
      </c>
      <c r="C1698" s="33" t="s">
        <v>17</v>
      </c>
      <c r="D1698" s="34" t="s">
        <v>1999</v>
      </c>
      <c r="E1698" s="35" t="str">
        <f t="shared" si="408"/>
        <v>PDP'!</v>
      </c>
      <c r="F1698" s="34" t="str">
        <f t="shared" si="409"/>
        <v>C:\Users\jaime.benazar\Quorum Business Solutions\Ecopetrol Prometeo - Documents\Planning Space Implementation\3. Analysis &amp; Design\Design\FC22\DRR Jaime\QUIFA-CAJÚA\Cajua\[CAJUA_CF_SEC_New_27-Feb-2024Rev3.xlsx]D-PDP'!</v>
      </c>
      <c r="G1698" s="32" t="s">
        <v>38</v>
      </c>
      <c r="H1698" s="33">
        <f t="shared" si="410"/>
        <v>36</v>
      </c>
      <c r="I1698" s="33" t="str">
        <f t="shared" si="411"/>
        <v>='C:\Users\jaime.benazar\Quorum Business Solutions\Ecopetrol Prometeo - Documents\Planning Space Implementation\3. Analysis &amp; Design\Design\FC22\DRR Jaime\QUIFA-CAJÚA\Cajua\[CAJUA_CF_SEC_New_27-Feb-2024Rev3.xlsx]D-PDP'!$BX$36</v>
      </c>
      <c r="J1698" s="37" t="s">
        <v>2764</v>
      </c>
    </row>
    <row r="1699" spans="1:10" x14ac:dyDescent="0.25">
      <c r="A1699" s="32" t="s">
        <v>1</v>
      </c>
      <c r="B1699" s="32">
        <f t="shared" si="412"/>
        <v>2048</v>
      </c>
      <c r="C1699" s="33" t="s">
        <v>17</v>
      </c>
      <c r="D1699" s="34" t="s">
        <v>1999</v>
      </c>
      <c r="E1699" s="35" t="str">
        <f t="shared" si="408"/>
        <v>PDP'!</v>
      </c>
      <c r="F1699" s="34" t="str">
        <f t="shared" si="409"/>
        <v>C:\Users\jaime.benazar\Quorum Business Solutions\Ecopetrol Prometeo - Documents\Planning Space Implementation\3. Analysis &amp; Design\Design\FC22\DRR Jaime\QUIFA-CAJÚA\Cajua\[CAJUA_CF_SEC_New_27-Feb-2024Rev3.xlsx]D-PDP'!</v>
      </c>
      <c r="G1699" s="32" t="s">
        <v>38</v>
      </c>
      <c r="H1699" s="33">
        <f t="shared" si="410"/>
        <v>37</v>
      </c>
      <c r="I1699" s="33" t="str">
        <f t="shared" si="411"/>
        <v>='C:\Users\jaime.benazar\Quorum Business Solutions\Ecopetrol Prometeo - Documents\Planning Space Implementation\3. Analysis &amp; Design\Design\FC22\DRR Jaime\QUIFA-CAJÚA\Cajua\[CAJUA_CF_SEC_New_27-Feb-2024Rev3.xlsx]D-PDP'!$BX$37</v>
      </c>
      <c r="J1699" s="37" t="s">
        <v>2765</v>
      </c>
    </row>
    <row r="1700" spans="1:10" x14ac:dyDescent="0.25">
      <c r="A1700" s="32" t="s">
        <v>1</v>
      </c>
      <c r="B1700" s="32">
        <f t="shared" si="412"/>
        <v>2049</v>
      </c>
      <c r="C1700" s="33" t="s">
        <v>17</v>
      </c>
      <c r="D1700" s="34" t="s">
        <v>1999</v>
      </c>
      <c r="E1700" s="35" t="str">
        <f t="shared" si="408"/>
        <v>PDP'!</v>
      </c>
      <c r="F1700" s="34" t="str">
        <f t="shared" si="409"/>
        <v>C:\Users\jaime.benazar\Quorum Business Solutions\Ecopetrol Prometeo - Documents\Planning Space Implementation\3. Analysis &amp; Design\Design\FC22\DRR Jaime\QUIFA-CAJÚA\Cajua\[CAJUA_CF_SEC_New_27-Feb-2024Rev3.xlsx]D-PDP'!</v>
      </c>
      <c r="G1700" s="32" t="s">
        <v>38</v>
      </c>
      <c r="H1700" s="33">
        <f t="shared" si="410"/>
        <v>38</v>
      </c>
      <c r="I1700" s="33" t="str">
        <f t="shared" si="411"/>
        <v>='C:\Users\jaime.benazar\Quorum Business Solutions\Ecopetrol Prometeo - Documents\Planning Space Implementation\3. Analysis &amp; Design\Design\FC22\DRR Jaime\QUIFA-CAJÚA\Cajua\[CAJUA_CF_SEC_New_27-Feb-2024Rev3.xlsx]D-PDP'!$BX$38</v>
      </c>
      <c r="J1700" s="37" t="s">
        <v>2766</v>
      </c>
    </row>
    <row r="1701" spans="1:10" x14ac:dyDescent="0.25">
      <c r="A1701" s="32" t="s">
        <v>1</v>
      </c>
      <c r="B1701" s="32">
        <f t="shared" si="412"/>
        <v>2050</v>
      </c>
      <c r="C1701" s="33" t="s">
        <v>17</v>
      </c>
      <c r="D1701" s="34" t="s">
        <v>1999</v>
      </c>
      <c r="E1701" s="35" t="str">
        <f t="shared" si="408"/>
        <v>PDP'!</v>
      </c>
      <c r="F1701" s="34" t="str">
        <f t="shared" si="409"/>
        <v>C:\Users\jaime.benazar\Quorum Business Solutions\Ecopetrol Prometeo - Documents\Planning Space Implementation\3. Analysis &amp; Design\Design\FC22\DRR Jaime\QUIFA-CAJÚA\Cajua\[CAJUA_CF_SEC_New_27-Feb-2024Rev3.xlsx]D-PDP'!</v>
      </c>
      <c r="G1701" s="32" t="s">
        <v>38</v>
      </c>
      <c r="H1701" s="33">
        <f t="shared" si="410"/>
        <v>39</v>
      </c>
      <c r="I1701" s="33" t="str">
        <f t="shared" si="411"/>
        <v>='C:\Users\jaime.benazar\Quorum Business Solutions\Ecopetrol Prometeo - Documents\Planning Space Implementation\3. Analysis &amp; Design\Design\FC22\DRR Jaime\QUIFA-CAJÚA\Cajua\[CAJUA_CF_SEC_New_27-Feb-2024Rev3.xlsx]D-PDP'!$BX$39</v>
      </c>
      <c r="J1701" s="37" t="s">
        <v>2767</v>
      </c>
    </row>
    <row r="1702" spans="1:10" x14ac:dyDescent="0.25">
      <c r="A1702" s="32" t="s">
        <v>1</v>
      </c>
      <c r="B1702" s="32">
        <f t="shared" si="412"/>
        <v>2051</v>
      </c>
      <c r="C1702" s="33" t="s">
        <v>17</v>
      </c>
      <c r="D1702" s="34" t="s">
        <v>1999</v>
      </c>
      <c r="E1702" s="35" t="str">
        <f t="shared" si="408"/>
        <v>PDP'!</v>
      </c>
      <c r="F1702" s="34" t="str">
        <f t="shared" si="409"/>
        <v>C:\Users\jaime.benazar\Quorum Business Solutions\Ecopetrol Prometeo - Documents\Planning Space Implementation\3. Analysis &amp; Design\Design\FC22\DRR Jaime\QUIFA-CAJÚA\Cajua\[CAJUA_CF_SEC_New_27-Feb-2024Rev3.xlsx]D-PDP'!</v>
      </c>
      <c r="G1702" s="32" t="s">
        <v>38</v>
      </c>
      <c r="H1702" s="33">
        <f t="shared" si="410"/>
        <v>40</v>
      </c>
      <c r="I1702" s="33" t="str">
        <f t="shared" si="411"/>
        <v>='C:\Users\jaime.benazar\Quorum Business Solutions\Ecopetrol Prometeo - Documents\Planning Space Implementation\3. Analysis &amp; Design\Design\FC22\DRR Jaime\QUIFA-CAJÚA\Cajua\[CAJUA_CF_SEC_New_27-Feb-2024Rev3.xlsx]D-PDP'!$BX$40</v>
      </c>
      <c r="J1702" s="37" t="s">
        <v>2768</v>
      </c>
    </row>
    <row r="1703" spans="1:10" x14ac:dyDescent="0.25">
      <c r="A1703" s="32" t="s">
        <v>1</v>
      </c>
      <c r="B1703" s="32">
        <f t="shared" si="412"/>
        <v>2052</v>
      </c>
      <c r="C1703" s="33" t="s">
        <v>17</v>
      </c>
      <c r="D1703" s="34" t="s">
        <v>1999</v>
      </c>
      <c r="E1703" s="35" t="str">
        <f t="shared" si="408"/>
        <v>PDP'!</v>
      </c>
      <c r="F1703" s="34" t="str">
        <f t="shared" si="409"/>
        <v>C:\Users\jaime.benazar\Quorum Business Solutions\Ecopetrol Prometeo - Documents\Planning Space Implementation\3. Analysis &amp; Design\Design\FC22\DRR Jaime\QUIFA-CAJÚA\Cajua\[CAJUA_CF_SEC_New_27-Feb-2024Rev3.xlsx]D-PDP'!</v>
      </c>
      <c r="G1703" s="32" t="s">
        <v>38</v>
      </c>
      <c r="H1703" s="33">
        <f t="shared" si="410"/>
        <v>41</v>
      </c>
      <c r="I1703" s="33" t="str">
        <f t="shared" si="411"/>
        <v>='C:\Users\jaime.benazar\Quorum Business Solutions\Ecopetrol Prometeo - Documents\Planning Space Implementation\3. Analysis &amp; Design\Design\FC22\DRR Jaime\QUIFA-CAJÚA\Cajua\[CAJUA_CF_SEC_New_27-Feb-2024Rev3.xlsx]D-PDP'!$BX$41</v>
      </c>
      <c r="J1703" s="37" t="s">
        <v>2769</v>
      </c>
    </row>
    <row r="1704" spans="1:10" x14ac:dyDescent="0.25">
      <c r="A1704" s="32" t="s">
        <v>1</v>
      </c>
      <c r="B1704" s="32">
        <f t="shared" si="412"/>
        <v>2053</v>
      </c>
      <c r="C1704" s="33" t="s">
        <v>17</v>
      </c>
      <c r="D1704" s="34" t="s">
        <v>1999</v>
      </c>
      <c r="E1704" s="35" t="str">
        <f t="shared" si="408"/>
        <v>PDP'!</v>
      </c>
      <c r="F1704" s="34" t="str">
        <f t="shared" si="409"/>
        <v>C:\Users\jaime.benazar\Quorum Business Solutions\Ecopetrol Prometeo - Documents\Planning Space Implementation\3. Analysis &amp; Design\Design\FC22\DRR Jaime\QUIFA-CAJÚA\Cajua\[CAJUA_CF_SEC_New_27-Feb-2024Rev3.xlsx]D-PDP'!</v>
      </c>
      <c r="G1704" s="32" t="s">
        <v>38</v>
      </c>
      <c r="H1704" s="33">
        <f t="shared" si="410"/>
        <v>42</v>
      </c>
      <c r="I1704" s="33" t="str">
        <f t="shared" si="411"/>
        <v>='C:\Users\jaime.benazar\Quorum Business Solutions\Ecopetrol Prometeo - Documents\Planning Space Implementation\3. Analysis &amp; Design\Design\FC22\DRR Jaime\QUIFA-CAJÚA\Cajua\[CAJUA_CF_SEC_New_27-Feb-2024Rev3.xlsx]D-PDP'!$BX$42</v>
      </c>
      <c r="J1704" s="37" t="s">
        <v>2770</v>
      </c>
    </row>
    <row r="1705" spans="1:10" x14ac:dyDescent="0.25">
      <c r="A1705" s="32" t="s">
        <v>1</v>
      </c>
      <c r="B1705" s="32">
        <f t="shared" si="412"/>
        <v>2054</v>
      </c>
      <c r="C1705" s="33" t="s">
        <v>17</v>
      </c>
      <c r="D1705" s="34" t="s">
        <v>1999</v>
      </c>
      <c r="E1705" s="35" t="str">
        <f t="shared" si="408"/>
        <v>PDP'!</v>
      </c>
      <c r="F1705" s="34" t="str">
        <f t="shared" si="409"/>
        <v>C:\Users\jaime.benazar\Quorum Business Solutions\Ecopetrol Prometeo - Documents\Planning Space Implementation\3. Analysis &amp; Design\Design\FC22\DRR Jaime\QUIFA-CAJÚA\Cajua\[CAJUA_CF_SEC_New_27-Feb-2024Rev3.xlsx]D-PDP'!</v>
      </c>
      <c r="G1705" s="32" t="s">
        <v>38</v>
      </c>
      <c r="H1705" s="33">
        <f t="shared" si="410"/>
        <v>43</v>
      </c>
      <c r="I1705" s="33" t="str">
        <f t="shared" si="411"/>
        <v>='C:\Users\jaime.benazar\Quorum Business Solutions\Ecopetrol Prometeo - Documents\Planning Space Implementation\3. Analysis &amp; Design\Design\FC22\DRR Jaime\QUIFA-CAJÚA\Cajua\[CAJUA_CF_SEC_New_27-Feb-2024Rev3.xlsx]D-PDP'!$BX$43</v>
      </c>
      <c r="J1705" s="37" t="s">
        <v>2771</v>
      </c>
    </row>
    <row r="1706" spans="1:10" x14ac:dyDescent="0.25">
      <c r="A1706" s="32" t="s">
        <v>1</v>
      </c>
      <c r="B1706" s="32">
        <f t="shared" si="412"/>
        <v>2055</v>
      </c>
      <c r="C1706" s="33" t="s">
        <v>17</v>
      </c>
      <c r="D1706" s="34" t="s">
        <v>1999</v>
      </c>
      <c r="E1706" s="35" t="str">
        <f t="shared" si="408"/>
        <v>PDP'!</v>
      </c>
      <c r="F1706" s="34" t="str">
        <f t="shared" si="409"/>
        <v>C:\Users\jaime.benazar\Quorum Business Solutions\Ecopetrol Prometeo - Documents\Planning Space Implementation\3. Analysis &amp; Design\Design\FC22\DRR Jaime\QUIFA-CAJÚA\Cajua\[CAJUA_CF_SEC_New_27-Feb-2024Rev3.xlsx]D-PDP'!</v>
      </c>
      <c r="G1706" s="32" t="s">
        <v>38</v>
      </c>
      <c r="H1706" s="33">
        <f t="shared" si="410"/>
        <v>44</v>
      </c>
      <c r="I1706" s="33" t="str">
        <f t="shared" si="411"/>
        <v>='C:\Users\jaime.benazar\Quorum Business Solutions\Ecopetrol Prometeo - Documents\Planning Space Implementation\3. Analysis &amp; Design\Design\FC22\DRR Jaime\QUIFA-CAJÚA\Cajua\[CAJUA_CF_SEC_New_27-Feb-2024Rev3.xlsx]D-PDP'!$BX$44</v>
      </c>
      <c r="J1706" s="37" t="s">
        <v>2772</v>
      </c>
    </row>
    <row r="1707" spans="1:10" x14ac:dyDescent="0.25">
      <c r="A1707" s="32" t="s">
        <v>1</v>
      </c>
      <c r="B1707" s="32">
        <f t="shared" si="412"/>
        <v>2056</v>
      </c>
      <c r="C1707" s="33" t="s">
        <v>17</v>
      </c>
      <c r="D1707" s="34" t="s">
        <v>1999</v>
      </c>
      <c r="E1707" s="35" t="str">
        <f t="shared" si="408"/>
        <v>PDP'!</v>
      </c>
      <c r="F1707" s="34" t="str">
        <f t="shared" si="409"/>
        <v>C:\Users\jaime.benazar\Quorum Business Solutions\Ecopetrol Prometeo - Documents\Planning Space Implementation\3. Analysis &amp; Design\Design\FC22\DRR Jaime\QUIFA-CAJÚA\Cajua\[CAJUA_CF_SEC_New_27-Feb-2024Rev3.xlsx]D-PDP'!</v>
      </c>
      <c r="G1707" s="32" t="s">
        <v>38</v>
      </c>
      <c r="H1707" s="33">
        <f t="shared" si="410"/>
        <v>45</v>
      </c>
      <c r="I1707" s="33" t="str">
        <f t="shared" si="411"/>
        <v>='C:\Users\jaime.benazar\Quorum Business Solutions\Ecopetrol Prometeo - Documents\Planning Space Implementation\3. Analysis &amp; Design\Design\FC22\DRR Jaime\QUIFA-CAJÚA\Cajua\[CAJUA_CF_SEC_New_27-Feb-2024Rev3.xlsx]D-PDP'!$BX$45</v>
      </c>
      <c r="J1707" s="37" t="s">
        <v>2773</v>
      </c>
    </row>
    <row r="1708" spans="1:10" x14ac:dyDescent="0.25">
      <c r="A1708" s="32" t="s">
        <v>1</v>
      </c>
      <c r="B1708" s="32">
        <f t="shared" si="412"/>
        <v>2057</v>
      </c>
      <c r="C1708" s="33" t="s">
        <v>17</v>
      </c>
      <c r="D1708" s="34" t="s">
        <v>1999</v>
      </c>
      <c r="E1708" s="35" t="str">
        <f t="shared" si="408"/>
        <v>PDP'!</v>
      </c>
      <c r="F1708" s="34" t="str">
        <f t="shared" si="409"/>
        <v>C:\Users\jaime.benazar\Quorum Business Solutions\Ecopetrol Prometeo - Documents\Planning Space Implementation\3. Analysis &amp; Design\Design\FC22\DRR Jaime\QUIFA-CAJÚA\Cajua\[CAJUA_CF_SEC_New_27-Feb-2024Rev3.xlsx]D-PDP'!</v>
      </c>
      <c r="G1708" s="32" t="s">
        <v>38</v>
      </c>
      <c r="H1708" s="33">
        <f t="shared" si="410"/>
        <v>46</v>
      </c>
      <c r="I1708" s="33" t="str">
        <f t="shared" si="411"/>
        <v>='C:\Users\jaime.benazar\Quorum Business Solutions\Ecopetrol Prometeo - Documents\Planning Space Implementation\3. Analysis &amp; Design\Design\FC22\DRR Jaime\QUIFA-CAJÚA\Cajua\[CAJUA_CF_SEC_New_27-Feb-2024Rev3.xlsx]D-PDP'!$BX$46</v>
      </c>
      <c r="J1708" s="37" t="s">
        <v>2774</v>
      </c>
    </row>
    <row r="1709" spans="1:10" x14ac:dyDescent="0.25">
      <c r="A1709" s="32" t="s">
        <v>1</v>
      </c>
      <c r="B1709" s="32">
        <f t="shared" si="412"/>
        <v>2058</v>
      </c>
      <c r="C1709" s="33" t="s">
        <v>17</v>
      </c>
      <c r="D1709" s="34" t="s">
        <v>1999</v>
      </c>
      <c r="E1709" s="35" t="str">
        <f t="shared" si="408"/>
        <v>PDP'!</v>
      </c>
      <c r="F1709" s="34" t="str">
        <f t="shared" si="409"/>
        <v>C:\Users\jaime.benazar\Quorum Business Solutions\Ecopetrol Prometeo - Documents\Planning Space Implementation\3. Analysis &amp; Design\Design\FC22\DRR Jaime\QUIFA-CAJÚA\Cajua\[CAJUA_CF_SEC_New_27-Feb-2024Rev3.xlsx]D-PDP'!</v>
      </c>
      <c r="G1709" s="32" t="s">
        <v>38</v>
      </c>
      <c r="H1709" s="33">
        <f t="shared" si="410"/>
        <v>47</v>
      </c>
      <c r="I1709" s="33" t="str">
        <f t="shared" si="411"/>
        <v>='C:\Users\jaime.benazar\Quorum Business Solutions\Ecopetrol Prometeo - Documents\Planning Space Implementation\3. Analysis &amp; Design\Design\FC22\DRR Jaime\QUIFA-CAJÚA\Cajua\[CAJUA_CF_SEC_New_27-Feb-2024Rev3.xlsx]D-PDP'!$BX$47</v>
      </c>
      <c r="J1709" s="37" t="s">
        <v>2775</v>
      </c>
    </row>
    <row r="1710" spans="1:10" x14ac:dyDescent="0.25">
      <c r="A1710" s="32" t="s">
        <v>1</v>
      </c>
      <c r="B1710" s="32">
        <f t="shared" si="412"/>
        <v>2059</v>
      </c>
      <c r="C1710" s="33" t="s">
        <v>17</v>
      </c>
      <c r="D1710" s="34" t="s">
        <v>1999</v>
      </c>
      <c r="E1710" s="35" t="str">
        <f t="shared" si="408"/>
        <v>PDP'!</v>
      </c>
      <c r="F1710" s="34" t="str">
        <f t="shared" si="409"/>
        <v>C:\Users\jaime.benazar\Quorum Business Solutions\Ecopetrol Prometeo - Documents\Planning Space Implementation\3. Analysis &amp; Design\Design\FC22\DRR Jaime\QUIFA-CAJÚA\Cajua\[CAJUA_CF_SEC_New_27-Feb-2024Rev3.xlsx]D-PDP'!</v>
      </c>
      <c r="G1710" s="32" t="s">
        <v>38</v>
      </c>
      <c r="H1710" s="33">
        <f t="shared" si="410"/>
        <v>48</v>
      </c>
      <c r="I1710" s="33" t="str">
        <f t="shared" si="411"/>
        <v>='C:\Users\jaime.benazar\Quorum Business Solutions\Ecopetrol Prometeo - Documents\Planning Space Implementation\3. Analysis &amp; Design\Design\FC22\DRR Jaime\QUIFA-CAJÚA\Cajua\[CAJUA_CF_SEC_New_27-Feb-2024Rev3.xlsx]D-PDP'!$BX$48</v>
      </c>
      <c r="J1710" s="37" t="s">
        <v>2776</v>
      </c>
    </row>
    <row r="1711" spans="1:10" x14ac:dyDescent="0.25">
      <c r="A1711" s="32" t="s">
        <v>28</v>
      </c>
      <c r="B1711" s="32"/>
      <c r="C1711" s="33" t="s">
        <v>17</v>
      </c>
      <c r="D1711" s="34"/>
      <c r="E1711" s="35"/>
      <c r="F1711" s="34"/>
      <c r="G1711" s="32"/>
      <c r="H1711" s="33"/>
      <c r="I1711" s="33"/>
      <c r="J1711" s="33"/>
    </row>
    <row r="1712" spans="1:10" x14ac:dyDescent="0.25">
      <c r="A1712" s="32" t="s">
        <v>2</v>
      </c>
      <c r="B1712" s="32">
        <v>2023</v>
      </c>
      <c r="C1712" s="33" t="s">
        <v>17</v>
      </c>
      <c r="D1712" s="34" t="s">
        <v>1999</v>
      </c>
      <c r="E1712" s="35" t="str">
        <f t="shared" si="401"/>
        <v>PNP'!</v>
      </c>
      <c r="F1712" s="34" t="str">
        <f t="shared" si="402"/>
        <v>C:\Users\jaime.benazar\Quorum Business Solutions\Ecopetrol Prometeo - Documents\Planning Space Implementation\3. Analysis &amp; Design\Design\FC22\DRR Jaime\QUIFA-CAJÚA\Cajua\[CAJUA_CF_SEC_New_27-Feb-2024Rev3.xlsx]D-PNP'!</v>
      </c>
      <c r="G1712" s="32" t="s">
        <v>38</v>
      </c>
      <c r="H1712" s="33">
        <v>12</v>
      </c>
      <c r="I1712" s="33" t="str">
        <f t="shared" ref="I1712:I1732" si="413">_xlfn.CONCAT("='",F1712:H1712)</f>
        <v>='C:\Users\jaime.benazar\Quorum Business Solutions\Ecopetrol Prometeo - Documents\Planning Space Implementation\3. Analysis &amp; Design\Design\FC22\DRR Jaime\QUIFA-CAJÚA\Cajua\[CAJUA_CF_SEC_New_27-Feb-2024Rev3.xlsx]D-PNP'!$BX$12</v>
      </c>
      <c r="J1712" s="37" t="s">
        <v>2777</v>
      </c>
    </row>
    <row r="1713" spans="1:10" x14ac:dyDescent="0.25">
      <c r="A1713" s="32" t="s">
        <v>2</v>
      </c>
      <c r="B1713" s="32">
        <f>+B1712+1</f>
        <v>2024</v>
      </c>
      <c r="C1713" s="33" t="s">
        <v>17</v>
      </c>
      <c r="D1713" s="34" t="s">
        <v>1999</v>
      </c>
      <c r="E1713" s="35" t="str">
        <f t="shared" si="401"/>
        <v>PNP'!</v>
      </c>
      <c r="F1713" s="34" t="str">
        <f t="shared" si="402"/>
        <v>C:\Users\jaime.benazar\Quorum Business Solutions\Ecopetrol Prometeo - Documents\Planning Space Implementation\3. Analysis &amp; Design\Design\FC22\DRR Jaime\QUIFA-CAJÚA\Cajua\[CAJUA_CF_SEC_New_27-Feb-2024Rev3.xlsx]D-PNP'!</v>
      </c>
      <c r="G1713" s="32" t="s">
        <v>38</v>
      </c>
      <c r="H1713" s="33">
        <f t="shared" ref="H1713:H1732" si="414">IF(A1713&lt;&gt;A1712,12,H1712+1)</f>
        <v>13</v>
      </c>
      <c r="I1713" s="33" t="str">
        <f t="shared" si="413"/>
        <v>='C:\Users\jaime.benazar\Quorum Business Solutions\Ecopetrol Prometeo - Documents\Planning Space Implementation\3. Analysis &amp; Design\Design\FC22\DRR Jaime\QUIFA-CAJÚA\Cajua\[CAJUA_CF_SEC_New_27-Feb-2024Rev3.xlsx]D-PNP'!$BX$13</v>
      </c>
      <c r="J1713" s="37" t="s">
        <v>2778</v>
      </c>
    </row>
    <row r="1714" spans="1:10" x14ac:dyDescent="0.25">
      <c r="A1714" s="32" t="s">
        <v>2</v>
      </c>
      <c r="B1714" s="32">
        <f t="shared" ref="B1714:B1725" si="415">+B1713+1</f>
        <v>2025</v>
      </c>
      <c r="C1714" s="33" t="s">
        <v>17</v>
      </c>
      <c r="D1714" s="34" t="s">
        <v>1999</v>
      </c>
      <c r="E1714" s="35" t="str">
        <f t="shared" si="401"/>
        <v>PNP'!</v>
      </c>
      <c r="F1714" s="34" t="str">
        <f t="shared" si="402"/>
        <v>C:\Users\jaime.benazar\Quorum Business Solutions\Ecopetrol Prometeo - Documents\Planning Space Implementation\3. Analysis &amp; Design\Design\FC22\DRR Jaime\QUIFA-CAJÚA\Cajua\[CAJUA_CF_SEC_New_27-Feb-2024Rev3.xlsx]D-PNP'!</v>
      </c>
      <c r="G1714" s="32" t="s">
        <v>38</v>
      </c>
      <c r="H1714" s="33">
        <f t="shared" si="414"/>
        <v>14</v>
      </c>
      <c r="I1714" s="33" t="str">
        <f t="shared" si="413"/>
        <v>='C:\Users\jaime.benazar\Quorum Business Solutions\Ecopetrol Prometeo - Documents\Planning Space Implementation\3. Analysis &amp; Design\Design\FC22\DRR Jaime\QUIFA-CAJÚA\Cajua\[CAJUA_CF_SEC_New_27-Feb-2024Rev3.xlsx]D-PNP'!$BX$14</v>
      </c>
      <c r="J1714" s="37" t="s">
        <v>2779</v>
      </c>
    </row>
    <row r="1715" spans="1:10" x14ac:dyDescent="0.25">
      <c r="A1715" s="32" t="s">
        <v>2</v>
      </c>
      <c r="B1715" s="32">
        <f t="shared" si="415"/>
        <v>2026</v>
      </c>
      <c r="C1715" s="33" t="s">
        <v>17</v>
      </c>
      <c r="D1715" s="34" t="s">
        <v>1999</v>
      </c>
      <c r="E1715" s="35" t="str">
        <f t="shared" si="401"/>
        <v>PNP'!</v>
      </c>
      <c r="F1715" s="34" t="str">
        <f t="shared" si="402"/>
        <v>C:\Users\jaime.benazar\Quorum Business Solutions\Ecopetrol Prometeo - Documents\Planning Space Implementation\3. Analysis &amp; Design\Design\FC22\DRR Jaime\QUIFA-CAJÚA\Cajua\[CAJUA_CF_SEC_New_27-Feb-2024Rev3.xlsx]D-PNP'!</v>
      </c>
      <c r="G1715" s="32" t="s">
        <v>38</v>
      </c>
      <c r="H1715" s="33">
        <f t="shared" si="414"/>
        <v>15</v>
      </c>
      <c r="I1715" s="33" t="str">
        <f t="shared" si="413"/>
        <v>='C:\Users\jaime.benazar\Quorum Business Solutions\Ecopetrol Prometeo - Documents\Planning Space Implementation\3. Analysis &amp; Design\Design\FC22\DRR Jaime\QUIFA-CAJÚA\Cajua\[CAJUA_CF_SEC_New_27-Feb-2024Rev3.xlsx]D-PNP'!$BX$15</v>
      </c>
      <c r="J1715" s="37" t="s">
        <v>2780</v>
      </c>
    </row>
    <row r="1716" spans="1:10" x14ac:dyDescent="0.25">
      <c r="A1716" s="32" t="s">
        <v>2</v>
      </c>
      <c r="B1716" s="32">
        <f t="shared" si="415"/>
        <v>2027</v>
      </c>
      <c r="C1716" s="33" t="s">
        <v>17</v>
      </c>
      <c r="D1716" s="34" t="s">
        <v>1999</v>
      </c>
      <c r="E1716" s="35" t="str">
        <f t="shared" si="401"/>
        <v>PNP'!</v>
      </c>
      <c r="F1716" s="34" t="str">
        <f t="shared" si="402"/>
        <v>C:\Users\jaime.benazar\Quorum Business Solutions\Ecopetrol Prometeo - Documents\Planning Space Implementation\3. Analysis &amp; Design\Design\FC22\DRR Jaime\QUIFA-CAJÚA\Cajua\[CAJUA_CF_SEC_New_27-Feb-2024Rev3.xlsx]D-PNP'!</v>
      </c>
      <c r="G1716" s="32" t="s">
        <v>38</v>
      </c>
      <c r="H1716" s="33">
        <f t="shared" si="414"/>
        <v>16</v>
      </c>
      <c r="I1716" s="33" t="str">
        <f t="shared" si="413"/>
        <v>='C:\Users\jaime.benazar\Quorum Business Solutions\Ecopetrol Prometeo - Documents\Planning Space Implementation\3. Analysis &amp; Design\Design\FC22\DRR Jaime\QUIFA-CAJÚA\Cajua\[CAJUA_CF_SEC_New_27-Feb-2024Rev3.xlsx]D-PNP'!$BX$16</v>
      </c>
      <c r="J1716" s="37" t="s">
        <v>2781</v>
      </c>
    </row>
    <row r="1717" spans="1:10" x14ac:dyDescent="0.25">
      <c r="A1717" s="32" t="s">
        <v>2</v>
      </c>
      <c r="B1717" s="32">
        <f t="shared" si="415"/>
        <v>2028</v>
      </c>
      <c r="C1717" s="33" t="s">
        <v>17</v>
      </c>
      <c r="D1717" s="34" t="s">
        <v>1999</v>
      </c>
      <c r="E1717" s="35" t="str">
        <f t="shared" si="401"/>
        <v>PNP'!</v>
      </c>
      <c r="F1717" s="34" t="str">
        <f t="shared" si="402"/>
        <v>C:\Users\jaime.benazar\Quorum Business Solutions\Ecopetrol Prometeo - Documents\Planning Space Implementation\3. Analysis &amp; Design\Design\FC22\DRR Jaime\QUIFA-CAJÚA\Cajua\[CAJUA_CF_SEC_New_27-Feb-2024Rev3.xlsx]D-PNP'!</v>
      </c>
      <c r="G1717" s="32" t="s">
        <v>38</v>
      </c>
      <c r="H1717" s="33">
        <f t="shared" si="414"/>
        <v>17</v>
      </c>
      <c r="I1717" s="33" t="str">
        <f t="shared" si="413"/>
        <v>='C:\Users\jaime.benazar\Quorum Business Solutions\Ecopetrol Prometeo - Documents\Planning Space Implementation\3. Analysis &amp; Design\Design\FC22\DRR Jaime\QUIFA-CAJÚA\Cajua\[CAJUA_CF_SEC_New_27-Feb-2024Rev3.xlsx]D-PNP'!$BX$17</v>
      </c>
      <c r="J1717" s="37" t="s">
        <v>2782</v>
      </c>
    </row>
    <row r="1718" spans="1:10" x14ac:dyDescent="0.25">
      <c r="A1718" s="32" t="s">
        <v>2</v>
      </c>
      <c r="B1718" s="32">
        <f t="shared" si="415"/>
        <v>2029</v>
      </c>
      <c r="C1718" s="33" t="s">
        <v>17</v>
      </c>
      <c r="D1718" s="34" t="s">
        <v>1999</v>
      </c>
      <c r="E1718" s="35" t="str">
        <f t="shared" si="401"/>
        <v>PNP'!</v>
      </c>
      <c r="F1718" s="34" t="str">
        <f t="shared" si="402"/>
        <v>C:\Users\jaime.benazar\Quorum Business Solutions\Ecopetrol Prometeo - Documents\Planning Space Implementation\3. Analysis &amp; Design\Design\FC22\DRR Jaime\QUIFA-CAJÚA\Cajua\[CAJUA_CF_SEC_New_27-Feb-2024Rev3.xlsx]D-PNP'!</v>
      </c>
      <c r="G1718" s="32" t="s">
        <v>38</v>
      </c>
      <c r="H1718" s="33">
        <f t="shared" si="414"/>
        <v>18</v>
      </c>
      <c r="I1718" s="33" t="str">
        <f t="shared" si="413"/>
        <v>='C:\Users\jaime.benazar\Quorum Business Solutions\Ecopetrol Prometeo - Documents\Planning Space Implementation\3. Analysis &amp; Design\Design\FC22\DRR Jaime\QUIFA-CAJÚA\Cajua\[CAJUA_CF_SEC_New_27-Feb-2024Rev3.xlsx]D-PNP'!$BX$18</v>
      </c>
      <c r="J1718" s="37" t="s">
        <v>2783</v>
      </c>
    </row>
    <row r="1719" spans="1:10" x14ac:dyDescent="0.25">
      <c r="A1719" s="32" t="s">
        <v>2</v>
      </c>
      <c r="B1719" s="32">
        <f t="shared" si="415"/>
        <v>2030</v>
      </c>
      <c r="C1719" s="33" t="s">
        <v>17</v>
      </c>
      <c r="D1719" s="34" t="s">
        <v>1999</v>
      </c>
      <c r="E1719" s="35" t="str">
        <f t="shared" si="401"/>
        <v>PNP'!</v>
      </c>
      <c r="F1719" s="34" t="str">
        <f t="shared" si="402"/>
        <v>C:\Users\jaime.benazar\Quorum Business Solutions\Ecopetrol Prometeo - Documents\Planning Space Implementation\3. Analysis &amp; Design\Design\FC22\DRR Jaime\QUIFA-CAJÚA\Cajua\[CAJUA_CF_SEC_New_27-Feb-2024Rev3.xlsx]D-PNP'!</v>
      </c>
      <c r="G1719" s="32" t="s">
        <v>38</v>
      </c>
      <c r="H1719" s="33">
        <f t="shared" si="414"/>
        <v>19</v>
      </c>
      <c r="I1719" s="33" t="str">
        <f t="shared" si="413"/>
        <v>='C:\Users\jaime.benazar\Quorum Business Solutions\Ecopetrol Prometeo - Documents\Planning Space Implementation\3. Analysis &amp; Design\Design\FC22\DRR Jaime\QUIFA-CAJÚA\Cajua\[CAJUA_CF_SEC_New_27-Feb-2024Rev3.xlsx]D-PNP'!$BX$19</v>
      </c>
      <c r="J1719" s="37" t="s">
        <v>2784</v>
      </c>
    </row>
    <row r="1720" spans="1:10" x14ac:dyDescent="0.25">
      <c r="A1720" s="32" t="s">
        <v>2</v>
      </c>
      <c r="B1720" s="32">
        <f t="shared" si="415"/>
        <v>2031</v>
      </c>
      <c r="C1720" s="33" t="s">
        <v>17</v>
      </c>
      <c r="D1720" s="34" t="s">
        <v>1999</v>
      </c>
      <c r="E1720" s="35" t="str">
        <f t="shared" si="401"/>
        <v>PNP'!</v>
      </c>
      <c r="F1720" s="34" t="str">
        <f t="shared" si="402"/>
        <v>C:\Users\jaime.benazar\Quorum Business Solutions\Ecopetrol Prometeo - Documents\Planning Space Implementation\3. Analysis &amp; Design\Design\FC22\DRR Jaime\QUIFA-CAJÚA\Cajua\[CAJUA_CF_SEC_New_27-Feb-2024Rev3.xlsx]D-PNP'!</v>
      </c>
      <c r="G1720" s="32" t="s">
        <v>38</v>
      </c>
      <c r="H1720" s="33">
        <f t="shared" si="414"/>
        <v>20</v>
      </c>
      <c r="I1720" s="33" t="str">
        <f t="shared" si="413"/>
        <v>='C:\Users\jaime.benazar\Quorum Business Solutions\Ecopetrol Prometeo - Documents\Planning Space Implementation\3. Analysis &amp; Design\Design\FC22\DRR Jaime\QUIFA-CAJÚA\Cajua\[CAJUA_CF_SEC_New_27-Feb-2024Rev3.xlsx]D-PNP'!$BX$20</v>
      </c>
      <c r="J1720" s="37" t="s">
        <v>2785</v>
      </c>
    </row>
    <row r="1721" spans="1:10" x14ac:dyDescent="0.25">
      <c r="A1721" s="32" t="s">
        <v>2</v>
      </c>
      <c r="B1721" s="32">
        <f t="shared" si="415"/>
        <v>2032</v>
      </c>
      <c r="C1721" s="33" t="s">
        <v>17</v>
      </c>
      <c r="D1721" s="34" t="s">
        <v>1999</v>
      </c>
      <c r="E1721" s="35" t="str">
        <f t="shared" si="401"/>
        <v>PNP'!</v>
      </c>
      <c r="F1721" s="34" t="str">
        <f t="shared" si="402"/>
        <v>C:\Users\jaime.benazar\Quorum Business Solutions\Ecopetrol Prometeo - Documents\Planning Space Implementation\3. Analysis &amp; Design\Design\FC22\DRR Jaime\QUIFA-CAJÚA\Cajua\[CAJUA_CF_SEC_New_27-Feb-2024Rev3.xlsx]D-PNP'!</v>
      </c>
      <c r="G1721" s="32" t="s">
        <v>38</v>
      </c>
      <c r="H1721" s="33">
        <f t="shared" si="414"/>
        <v>21</v>
      </c>
      <c r="I1721" s="33" t="str">
        <f t="shared" si="413"/>
        <v>='C:\Users\jaime.benazar\Quorum Business Solutions\Ecopetrol Prometeo - Documents\Planning Space Implementation\3. Analysis &amp; Design\Design\FC22\DRR Jaime\QUIFA-CAJÚA\Cajua\[CAJUA_CF_SEC_New_27-Feb-2024Rev3.xlsx]D-PNP'!$BX$21</v>
      </c>
      <c r="J1721" s="37" t="s">
        <v>2786</v>
      </c>
    </row>
    <row r="1722" spans="1:10" x14ac:dyDescent="0.25">
      <c r="A1722" s="32" t="s">
        <v>2</v>
      </c>
      <c r="B1722" s="32">
        <f t="shared" si="415"/>
        <v>2033</v>
      </c>
      <c r="C1722" s="33" t="s">
        <v>17</v>
      </c>
      <c r="D1722" s="34" t="s">
        <v>1999</v>
      </c>
      <c r="E1722" s="35" t="str">
        <f t="shared" si="401"/>
        <v>PNP'!</v>
      </c>
      <c r="F1722" s="34" t="str">
        <f t="shared" si="402"/>
        <v>C:\Users\jaime.benazar\Quorum Business Solutions\Ecopetrol Prometeo - Documents\Planning Space Implementation\3. Analysis &amp; Design\Design\FC22\DRR Jaime\QUIFA-CAJÚA\Cajua\[CAJUA_CF_SEC_New_27-Feb-2024Rev3.xlsx]D-PNP'!</v>
      </c>
      <c r="G1722" s="32" t="s">
        <v>38</v>
      </c>
      <c r="H1722" s="33">
        <f t="shared" si="414"/>
        <v>22</v>
      </c>
      <c r="I1722" s="33" t="str">
        <f t="shared" si="413"/>
        <v>='C:\Users\jaime.benazar\Quorum Business Solutions\Ecopetrol Prometeo - Documents\Planning Space Implementation\3. Analysis &amp; Design\Design\FC22\DRR Jaime\QUIFA-CAJÚA\Cajua\[CAJUA_CF_SEC_New_27-Feb-2024Rev3.xlsx]D-PNP'!$BX$22</v>
      </c>
      <c r="J1722" s="37" t="s">
        <v>2787</v>
      </c>
    </row>
    <row r="1723" spans="1:10" x14ac:dyDescent="0.25">
      <c r="A1723" s="32" t="s">
        <v>2</v>
      </c>
      <c r="B1723" s="32">
        <f t="shared" si="415"/>
        <v>2034</v>
      </c>
      <c r="C1723" s="33" t="s">
        <v>17</v>
      </c>
      <c r="D1723" s="34" t="s">
        <v>1999</v>
      </c>
      <c r="E1723" s="35" t="str">
        <f t="shared" si="401"/>
        <v>PNP'!</v>
      </c>
      <c r="F1723" s="34" t="str">
        <f t="shared" si="402"/>
        <v>C:\Users\jaime.benazar\Quorum Business Solutions\Ecopetrol Prometeo - Documents\Planning Space Implementation\3. Analysis &amp; Design\Design\FC22\DRR Jaime\QUIFA-CAJÚA\Cajua\[CAJUA_CF_SEC_New_27-Feb-2024Rev3.xlsx]D-PNP'!</v>
      </c>
      <c r="G1723" s="32" t="s">
        <v>38</v>
      </c>
      <c r="H1723" s="33">
        <f t="shared" si="414"/>
        <v>23</v>
      </c>
      <c r="I1723" s="33" t="str">
        <f t="shared" si="413"/>
        <v>='C:\Users\jaime.benazar\Quorum Business Solutions\Ecopetrol Prometeo - Documents\Planning Space Implementation\3. Analysis &amp; Design\Design\FC22\DRR Jaime\QUIFA-CAJÚA\Cajua\[CAJUA_CF_SEC_New_27-Feb-2024Rev3.xlsx]D-PNP'!$BX$23</v>
      </c>
      <c r="J1723" s="37" t="s">
        <v>2788</v>
      </c>
    </row>
    <row r="1724" spans="1:10" x14ac:dyDescent="0.25">
      <c r="A1724" s="32" t="s">
        <v>2</v>
      </c>
      <c r="B1724" s="32">
        <f t="shared" si="415"/>
        <v>2035</v>
      </c>
      <c r="C1724" s="33" t="s">
        <v>17</v>
      </c>
      <c r="D1724" s="34" t="s">
        <v>1999</v>
      </c>
      <c r="E1724" s="35" t="str">
        <f t="shared" si="401"/>
        <v>PNP'!</v>
      </c>
      <c r="F1724" s="34" t="str">
        <f t="shared" si="402"/>
        <v>C:\Users\jaime.benazar\Quorum Business Solutions\Ecopetrol Prometeo - Documents\Planning Space Implementation\3. Analysis &amp; Design\Design\FC22\DRR Jaime\QUIFA-CAJÚA\Cajua\[CAJUA_CF_SEC_New_27-Feb-2024Rev3.xlsx]D-PNP'!</v>
      </c>
      <c r="G1724" s="32" t="s">
        <v>38</v>
      </c>
      <c r="H1724" s="33">
        <f t="shared" si="414"/>
        <v>24</v>
      </c>
      <c r="I1724" s="33" t="str">
        <f t="shared" si="413"/>
        <v>='C:\Users\jaime.benazar\Quorum Business Solutions\Ecopetrol Prometeo - Documents\Planning Space Implementation\3. Analysis &amp; Design\Design\FC22\DRR Jaime\QUIFA-CAJÚA\Cajua\[CAJUA_CF_SEC_New_27-Feb-2024Rev3.xlsx]D-PNP'!$BX$24</v>
      </c>
      <c r="J1724" s="37" t="s">
        <v>2789</v>
      </c>
    </row>
    <row r="1725" spans="1:10" x14ac:dyDescent="0.25">
      <c r="A1725" s="32" t="s">
        <v>2</v>
      </c>
      <c r="B1725" s="32">
        <f t="shared" si="415"/>
        <v>2036</v>
      </c>
      <c r="C1725" s="33" t="s">
        <v>17</v>
      </c>
      <c r="D1725" s="34" t="s">
        <v>1999</v>
      </c>
      <c r="E1725" s="35" t="str">
        <f t="shared" si="401"/>
        <v>PNP'!</v>
      </c>
      <c r="F1725" s="34" t="str">
        <f t="shared" si="402"/>
        <v>C:\Users\jaime.benazar\Quorum Business Solutions\Ecopetrol Prometeo - Documents\Planning Space Implementation\3. Analysis &amp; Design\Design\FC22\DRR Jaime\QUIFA-CAJÚA\Cajua\[CAJUA_CF_SEC_New_27-Feb-2024Rev3.xlsx]D-PNP'!</v>
      </c>
      <c r="G1725" s="32" t="s">
        <v>38</v>
      </c>
      <c r="H1725" s="33">
        <f t="shared" si="414"/>
        <v>25</v>
      </c>
      <c r="I1725" s="33" t="str">
        <f t="shared" si="413"/>
        <v>='C:\Users\jaime.benazar\Quorum Business Solutions\Ecopetrol Prometeo - Documents\Planning Space Implementation\3. Analysis &amp; Design\Design\FC22\DRR Jaime\QUIFA-CAJÚA\Cajua\[CAJUA_CF_SEC_New_27-Feb-2024Rev3.xlsx]D-PNP'!$BX$25</v>
      </c>
      <c r="J1725" s="37" t="s">
        <v>2790</v>
      </c>
    </row>
    <row r="1726" spans="1:10" x14ac:dyDescent="0.25">
      <c r="A1726" s="32" t="s">
        <v>2</v>
      </c>
      <c r="B1726" s="32">
        <f>+B1725+1</f>
        <v>2037</v>
      </c>
      <c r="C1726" s="33" t="s">
        <v>17</v>
      </c>
      <c r="D1726" s="34" t="s">
        <v>1999</v>
      </c>
      <c r="E1726" s="35" t="str">
        <f t="shared" si="401"/>
        <v>PNP'!</v>
      </c>
      <c r="F1726" s="34" t="str">
        <f t="shared" si="402"/>
        <v>C:\Users\jaime.benazar\Quorum Business Solutions\Ecopetrol Prometeo - Documents\Planning Space Implementation\3. Analysis &amp; Design\Design\FC22\DRR Jaime\QUIFA-CAJÚA\Cajua\[CAJUA_CF_SEC_New_27-Feb-2024Rev3.xlsx]D-PNP'!</v>
      </c>
      <c r="G1726" s="32" t="s">
        <v>38</v>
      </c>
      <c r="H1726" s="33">
        <f t="shared" si="414"/>
        <v>26</v>
      </c>
      <c r="I1726" s="33" t="str">
        <f t="shared" si="413"/>
        <v>='C:\Users\jaime.benazar\Quorum Business Solutions\Ecopetrol Prometeo - Documents\Planning Space Implementation\3. Analysis &amp; Design\Design\FC22\DRR Jaime\QUIFA-CAJÚA\Cajua\[CAJUA_CF_SEC_New_27-Feb-2024Rev3.xlsx]D-PNP'!$BX$26</v>
      </c>
      <c r="J1726" s="37" t="s">
        <v>2791</v>
      </c>
    </row>
    <row r="1727" spans="1:10" x14ac:dyDescent="0.25">
      <c r="A1727" s="32" t="s">
        <v>2</v>
      </c>
      <c r="B1727" s="32">
        <f t="shared" ref="B1727:B1729" si="416">+B1726+1</f>
        <v>2038</v>
      </c>
      <c r="C1727" s="33" t="s">
        <v>17</v>
      </c>
      <c r="D1727" s="34" t="s">
        <v>1999</v>
      </c>
      <c r="E1727" s="35" t="str">
        <f t="shared" si="401"/>
        <v>PNP'!</v>
      </c>
      <c r="F1727" s="34" t="str">
        <f t="shared" si="402"/>
        <v>C:\Users\jaime.benazar\Quorum Business Solutions\Ecopetrol Prometeo - Documents\Planning Space Implementation\3. Analysis &amp; Design\Design\FC22\DRR Jaime\QUIFA-CAJÚA\Cajua\[CAJUA_CF_SEC_New_27-Feb-2024Rev3.xlsx]D-PNP'!</v>
      </c>
      <c r="G1727" s="32" t="s">
        <v>38</v>
      </c>
      <c r="H1727" s="33">
        <f t="shared" si="414"/>
        <v>27</v>
      </c>
      <c r="I1727" s="33" t="str">
        <f t="shared" si="413"/>
        <v>='C:\Users\jaime.benazar\Quorum Business Solutions\Ecopetrol Prometeo - Documents\Planning Space Implementation\3. Analysis &amp; Design\Design\FC22\DRR Jaime\QUIFA-CAJÚA\Cajua\[CAJUA_CF_SEC_New_27-Feb-2024Rev3.xlsx]D-PNP'!$BX$27</v>
      </c>
      <c r="J1727" s="37" t="s">
        <v>2792</v>
      </c>
    </row>
    <row r="1728" spans="1:10" x14ac:dyDescent="0.25">
      <c r="A1728" s="32" t="s">
        <v>2</v>
      </c>
      <c r="B1728" s="32">
        <f t="shared" si="416"/>
        <v>2039</v>
      </c>
      <c r="C1728" s="33" t="s">
        <v>17</v>
      </c>
      <c r="D1728" s="34" t="s">
        <v>1999</v>
      </c>
      <c r="E1728" s="35" t="str">
        <f t="shared" si="401"/>
        <v>PNP'!</v>
      </c>
      <c r="F1728" s="34" t="str">
        <f t="shared" si="402"/>
        <v>C:\Users\jaime.benazar\Quorum Business Solutions\Ecopetrol Prometeo - Documents\Planning Space Implementation\3. Analysis &amp; Design\Design\FC22\DRR Jaime\QUIFA-CAJÚA\Cajua\[CAJUA_CF_SEC_New_27-Feb-2024Rev3.xlsx]D-PNP'!</v>
      </c>
      <c r="G1728" s="32" t="s">
        <v>38</v>
      </c>
      <c r="H1728" s="33">
        <f t="shared" si="414"/>
        <v>28</v>
      </c>
      <c r="I1728" s="33" t="str">
        <f t="shared" si="413"/>
        <v>='C:\Users\jaime.benazar\Quorum Business Solutions\Ecopetrol Prometeo - Documents\Planning Space Implementation\3. Analysis &amp; Design\Design\FC22\DRR Jaime\QUIFA-CAJÚA\Cajua\[CAJUA_CF_SEC_New_27-Feb-2024Rev3.xlsx]D-PNP'!$BX$28</v>
      </c>
      <c r="J1728" s="37" t="s">
        <v>2793</v>
      </c>
    </row>
    <row r="1729" spans="1:10" x14ac:dyDescent="0.25">
      <c r="A1729" s="32" t="s">
        <v>2</v>
      </c>
      <c r="B1729" s="32">
        <f t="shared" si="416"/>
        <v>2040</v>
      </c>
      <c r="C1729" s="33" t="s">
        <v>17</v>
      </c>
      <c r="D1729" s="34" t="s">
        <v>1999</v>
      </c>
      <c r="E1729" s="35" t="str">
        <f t="shared" si="401"/>
        <v>PNP'!</v>
      </c>
      <c r="F1729" s="34" t="str">
        <f t="shared" si="402"/>
        <v>C:\Users\jaime.benazar\Quorum Business Solutions\Ecopetrol Prometeo - Documents\Planning Space Implementation\3. Analysis &amp; Design\Design\FC22\DRR Jaime\QUIFA-CAJÚA\Cajua\[CAJUA_CF_SEC_New_27-Feb-2024Rev3.xlsx]D-PNP'!</v>
      </c>
      <c r="G1729" s="32" t="s">
        <v>38</v>
      </c>
      <c r="H1729" s="33">
        <f t="shared" si="414"/>
        <v>29</v>
      </c>
      <c r="I1729" s="33" t="str">
        <f t="shared" si="413"/>
        <v>='C:\Users\jaime.benazar\Quorum Business Solutions\Ecopetrol Prometeo - Documents\Planning Space Implementation\3. Analysis &amp; Design\Design\FC22\DRR Jaime\QUIFA-CAJÚA\Cajua\[CAJUA_CF_SEC_New_27-Feb-2024Rev3.xlsx]D-PNP'!$BX$29</v>
      </c>
      <c r="J1729" s="37" t="s">
        <v>2794</v>
      </c>
    </row>
    <row r="1730" spans="1:10" x14ac:dyDescent="0.25">
      <c r="A1730" s="32" t="s">
        <v>2</v>
      </c>
      <c r="B1730" s="32">
        <f>+B1729+1</f>
        <v>2041</v>
      </c>
      <c r="C1730" s="33" t="s">
        <v>17</v>
      </c>
      <c r="D1730" s="34" t="s">
        <v>1999</v>
      </c>
      <c r="E1730" s="35" t="str">
        <f t="shared" si="401"/>
        <v>PNP'!</v>
      </c>
      <c r="F1730" s="34" t="str">
        <f t="shared" si="402"/>
        <v>C:\Users\jaime.benazar\Quorum Business Solutions\Ecopetrol Prometeo - Documents\Planning Space Implementation\3. Analysis &amp; Design\Design\FC22\DRR Jaime\QUIFA-CAJÚA\Cajua\[CAJUA_CF_SEC_New_27-Feb-2024Rev3.xlsx]D-PNP'!</v>
      </c>
      <c r="G1730" s="32" t="s">
        <v>38</v>
      </c>
      <c r="H1730" s="33">
        <f t="shared" si="414"/>
        <v>30</v>
      </c>
      <c r="I1730" s="33" t="str">
        <f t="shared" si="413"/>
        <v>='C:\Users\jaime.benazar\Quorum Business Solutions\Ecopetrol Prometeo - Documents\Planning Space Implementation\3. Analysis &amp; Design\Design\FC22\DRR Jaime\QUIFA-CAJÚA\Cajua\[CAJUA_CF_SEC_New_27-Feb-2024Rev3.xlsx]D-PNP'!$BX$30</v>
      </c>
      <c r="J1730" s="37" t="s">
        <v>2795</v>
      </c>
    </row>
    <row r="1731" spans="1:10" x14ac:dyDescent="0.25">
      <c r="A1731" s="32" t="s">
        <v>2</v>
      </c>
      <c r="B1731" s="32">
        <f t="shared" ref="B1731:B1732" si="417">+B1730+1</f>
        <v>2042</v>
      </c>
      <c r="C1731" s="33" t="s">
        <v>17</v>
      </c>
      <c r="D1731" s="34" t="s">
        <v>1999</v>
      </c>
      <c r="E1731" s="35" t="str">
        <f t="shared" si="401"/>
        <v>PNP'!</v>
      </c>
      <c r="F1731" s="34" t="str">
        <f t="shared" si="402"/>
        <v>C:\Users\jaime.benazar\Quorum Business Solutions\Ecopetrol Prometeo - Documents\Planning Space Implementation\3. Analysis &amp; Design\Design\FC22\DRR Jaime\QUIFA-CAJÚA\Cajua\[CAJUA_CF_SEC_New_27-Feb-2024Rev3.xlsx]D-PNP'!</v>
      </c>
      <c r="G1731" s="32" t="s">
        <v>38</v>
      </c>
      <c r="H1731" s="33">
        <f t="shared" si="414"/>
        <v>31</v>
      </c>
      <c r="I1731" s="33" t="str">
        <f t="shared" si="413"/>
        <v>='C:\Users\jaime.benazar\Quorum Business Solutions\Ecopetrol Prometeo - Documents\Planning Space Implementation\3. Analysis &amp; Design\Design\FC22\DRR Jaime\QUIFA-CAJÚA\Cajua\[CAJUA_CF_SEC_New_27-Feb-2024Rev3.xlsx]D-PNP'!$BX$31</v>
      </c>
      <c r="J1731" s="37" t="s">
        <v>2796</v>
      </c>
    </row>
    <row r="1732" spans="1:10" x14ac:dyDescent="0.25">
      <c r="A1732" s="32" t="s">
        <v>2</v>
      </c>
      <c r="B1732" s="32">
        <f t="shared" si="417"/>
        <v>2043</v>
      </c>
      <c r="C1732" s="33" t="s">
        <v>17</v>
      </c>
      <c r="D1732" s="34" t="s">
        <v>1999</v>
      </c>
      <c r="E1732" s="35" t="str">
        <f t="shared" si="401"/>
        <v>PNP'!</v>
      </c>
      <c r="F1732" s="34" t="str">
        <f t="shared" si="402"/>
        <v>C:\Users\jaime.benazar\Quorum Business Solutions\Ecopetrol Prometeo - Documents\Planning Space Implementation\3. Analysis &amp; Design\Design\FC22\DRR Jaime\QUIFA-CAJÚA\Cajua\[CAJUA_CF_SEC_New_27-Feb-2024Rev3.xlsx]D-PNP'!</v>
      </c>
      <c r="G1732" s="32" t="s">
        <v>38</v>
      </c>
      <c r="H1732" s="33">
        <f t="shared" si="414"/>
        <v>32</v>
      </c>
      <c r="I1732" s="33" t="str">
        <f t="shared" si="413"/>
        <v>='C:\Users\jaime.benazar\Quorum Business Solutions\Ecopetrol Prometeo - Documents\Planning Space Implementation\3. Analysis &amp; Design\Design\FC22\DRR Jaime\QUIFA-CAJÚA\Cajua\[CAJUA_CF_SEC_New_27-Feb-2024Rev3.xlsx]D-PNP'!$BX$32</v>
      </c>
      <c r="J1732" s="37" t="s">
        <v>2797</v>
      </c>
    </row>
    <row r="1733" spans="1:10" x14ac:dyDescent="0.25">
      <c r="A1733" s="32" t="s">
        <v>2</v>
      </c>
      <c r="B1733" s="32">
        <f>+B1732+1</f>
        <v>2044</v>
      </c>
      <c r="C1733" s="33" t="s">
        <v>17</v>
      </c>
      <c r="D1733" s="34" t="s">
        <v>1999</v>
      </c>
      <c r="E1733" s="35" t="str">
        <f t="shared" ref="E1733:E1748" si="418">_xlfn.CONCAT(A1733,"'!")</f>
        <v>PNP'!</v>
      </c>
      <c r="F1733" s="34" t="str">
        <f t="shared" ref="F1733:F1748" si="419">_xlfn.CONCAT(D1733:E1733)</f>
        <v>C:\Users\jaime.benazar\Quorum Business Solutions\Ecopetrol Prometeo - Documents\Planning Space Implementation\3. Analysis &amp; Design\Design\FC22\DRR Jaime\QUIFA-CAJÚA\Cajua\[CAJUA_CF_SEC_New_27-Feb-2024Rev3.xlsx]D-PNP'!</v>
      </c>
      <c r="G1733" s="32" t="s">
        <v>38</v>
      </c>
      <c r="H1733" s="33">
        <f t="shared" ref="H1733:H1748" si="420">IF(A1733&lt;&gt;A1732,12,H1732+1)</f>
        <v>33</v>
      </c>
      <c r="I1733" s="33" t="str">
        <f t="shared" ref="I1733:I1748" si="421">_xlfn.CONCAT("='",F1733:H1733)</f>
        <v>='C:\Users\jaime.benazar\Quorum Business Solutions\Ecopetrol Prometeo - Documents\Planning Space Implementation\3. Analysis &amp; Design\Design\FC22\DRR Jaime\QUIFA-CAJÚA\Cajua\[CAJUA_CF_SEC_New_27-Feb-2024Rev3.xlsx]D-PNP'!$BX$33</v>
      </c>
      <c r="J1733" s="37" t="s">
        <v>2798</v>
      </c>
    </row>
    <row r="1734" spans="1:10" x14ac:dyDescent="0.25">
      <c r="A1734" s="32" t="s">
        <v>2</v>
      </c>
      <c r="B1734" s="32">
        <f t="shared" ref="B1734:B1748" si="422">+B1733+1</f>
        <v>2045</v>
      </c>
      <c r="C1734" s="33" t="s">
        <v>17</v>
      </c>
      <c r="D1734" s="34" t="s">
        <v>1999</v>
      </c>
      <c r="E1734" s="35" t="str">
        <f t="shared" si="418"/>
        <v>PNP'!</v>
      </c>
      <c r="F1734" s="34" t="str">
        <f t="shared" si="419"/>
        <v>C:\Users\jaime.benazar\Quorum Business Solutions\Ecopetrol Prometeo - Documents\Planning Space Implementation\3. Analysis &amp; Design\Design\FC22\DRR Jaime\QUIFA-CAJÚA\Cajua\[CAJUA_CF_SEC_New_27-Feb-2024Rev3.xlsx]D-PNP'!</v>
      </c>
      <c r="G1734" s="32" t="s">
        <v>38</v>
      </c>
      <c r="H1734" s="33">
        <f t="shared" si="420"/>
        <v>34</v>
      </c>
      <c r="I1734" s="33" t="str">
        <f t="shared" si="421"/>
        <v>='C:\Users\jaime.benazar\Quorum Business Solutions\Ecopetrol Prometeo - Documents\Planning Space Implementation\3. Analysis &amp; Design\Design\FC22\DRR Jaime\QUIFA-CAJÚA\Cajua\[CAJUA_CF_SEC_New_27-Feb-2024Rev3.xlsx]D-PNP'!$BX$34</v>
      </c>
      <c r="J1734" s="37" t="s">
        <v>2799</v>
      </c>
    </row>
    <row r="1735" spans="1:10" x14ac:dyDescent="0.25">
      <c r="A1735" s="32" t="s">
        <v>2</v>
      </c>
      <c r="B1735" s="32">
        <f t="shared" si="422"/>
        <v>2046</v>
      </c>
      <c r="C1735" s="33" t="s">
        <v>17</v>
      </c>
      <c r="D1735" s="34" t="s">
        <v>1999</v>
      </c>
      <c r="E1735" s="35" t="str">
        <f t="shared" si="418"/>
        <v>PNP'!</v>
      </c>
      <c r="F1735" s="34" t="str">
        <f t="shared" si="419"/>
        <v>C:\Users\jaime.benazar\Quorum Business Solutions\Ecopetrol Prometeo - Documents\Planning Space Implementation\3. Analysis &amp; Design\Design\FC22\DRR Jaime\QUIFA-CAJÚA\Cajua\[CAJUA_CF_SEC_New_27-Feb-2024Rev3.xlsx]D-PNP'!</v>
      </c>
      <c r="G1735" s="32" t="s">
        <v>38</v>
      </c>
      <c r="H1735" s="33">
        <f t="shared" si="420"/>
        <v>35</v>
      </c>
      <c r="I1735" s="33" t="str">
        <f t="shared" si="421"/>
        <v>='C:\Users\jaime.benazar\Quorum Business Solutions\Ecopetrol Prometeo - Documents\Planning Space Implementation\3. Analysis &amp; Design\Design\FC22\DRR Jaime\QUIFA-CAJÚA\Cajua\[CAJUA_CF_SEC_New_27-Feb-2024Rev3.xlsx]D-PNP'!$BX$35</v>
      </c>
      <c r="J1735" s="37" t="s">
        <v>2800</v>
      </c>
    </row>
    <row r="1736" spans="1:10" x14ac:dyDescent="0.25">
      <c r="A1736" s="32" t="s">
        <v>2</v>
      </c>
      <c r="B1736" s="32">
        <f t="shared" si="422"/>
        <v>2047</v>
      </c>
      <c r="C1736" s="33" t="s">
        <v>17</v>
      </c>
      <c r="D1736" s="34" t="s">
        <v>1999</v>
      </c>
      <c r="E1736" s="35" t="str">
        <f t="shared" si="418"/>
        <v>PNP'!</v>
      </c>
      <c r="F1736" s="34" t="str">
        <f t="shared" si="419"/>
        <v>C:\Users\jaime.benazar\Quorum Business Solutions\Ecopetrol Prometeo - Documents\Planning Space Implementation\3. Analysis &amp; Design\Design\FC22\DRR Jaime\QUIFA-CAJÚA\Cajua\[CAJUA_CF_SEC_New_27-Feb-2024Rev3.xlsx]D-PNP'!</v>
      </c>
      <c r="G1736" s="32" t="s">
        <v>38</v>
      </c>
      <c r="H1736" s="33">
        <f t="shared" si="420"/>
        <v>36</v>
      </c>
      <c r="I1736" s="33" t="str">
        <f t="shared" si="421"/>
        <v>='C:\Users\jaime.benazar\Quorum Business Solutions\Ecopetrol Prometeo - Documents\Planning Space Implementation\3. Analysis &amp; Design\Design\FC22\DRR Jaime\QUIFA-CAJÚA\Cajua\[CAJUA_CF_SEC_New_27-Feb-2024Rev3.xlsx]D-PNP'!$BX$36</v>
      </c>
      <c r="J1736" s="37" t="s">
        <v>2801</v>
      </c>
    </row>
    <row r="1737" spans="1:10" x14ac:dyDescent="0.25">
      <c r="A1737" s="32" t="s">
        <v>2</v>
      </c>
      <c r="B1737" s="32">
        <f t="shared" si="422"/>
        <v>2048</v>
      </c>
      <c r="C1737" s="33" t="s">
        <v>17</v>
      </c>
      <c r="D1737" s="34" t="s">
        <v>1999</v>
      </c>
      <c r="E1737" s="35" t="str">
        <f t="shared" si="418"/>
        <v>PNP'!</v>
      </c>
      <c r="F1737" s="34" t="str">
        <f t="shared" si="419"/>
        <v>C:\Users\jaime.benazar\Quorum Business Solutions\Ecopetrol Prometeo - Documents\Planning Space Implementation\3. Analysis &amp; Design\Design\FC22\DRR Jaime\QUIFA-CAJÚA\Cajua\[CAJUA_CF_SEC_New_27-Feb-2024Rev3.xlsx]D-PNP'!</v>
      </c>
      <c r="G1737" s="32" t="s">
        <v>38</v>
      </c>
      <c r="H1737" s="33">
        <f t="shared" si="420"/>
        <v>37</v>
      </c>
      <c r="I1737" s="33" t="str">
        <f t="shared" si="421"/>
        <v>='C:\Users\jaime.benazar\Quorum Business Solutions\Ecopetrol Prometeo - Documents\Planning Space Implementation\3. Analysis &amp; Design\Design\FC22\DRR Jaime\QUIFA-CAJÚA\Cajua\[CAJUA_CF_SEC_New_27-Feb-2024Rev3.xlsx]D-PNP'!$BX$37</v>
      </c>
      <c r="J1737" s="37" t="s">
        <v>2802</v>
      </c>
    </row>
    <row r="1738" spans="1:10" x14ac:dyDescent="0.25">
      <c r="A1738" s="32" t="s">
        <v>2</v>
      </c>
      <c r="B1738" s="32">
        <f t="shared" si="422"/>
        <v>2049</v>
      </c>
      <c r="C1738" s="33" t="s">
        <v>17</v>
      </c>
      <c r="D1738" s="34" t="s">
        <v>1999</v>
      </c>
      <c r="E1738" s="35" t="str">
        <f t="shared" si="418"/>
        <v>PNP'!</v>
      </c>
      <c r="F1738" s="34" t="str">
        <f t="shared" si="419"/>
        <v>C:\Users\jaime.benazar\Quorum Business Solutions\Ecopetrol Prometeo - Documents\Planning Space Implementation\3. Analysis &amp; Design\Design\FC22\DRR Jaime\QUIFA-CAJÚA\Cajua\[CAJUA_CF_SEC_New_27-Feb-2024Rev3.xlsx]D-PNP'!</v>
      </c>
      <c r="G1738" s="32" t="s">
        <v>38</v>
      </c>
      <c r="H1738" s="33">
        <f t="shared" si="420"/>
        <v>38</v>
      </c>
      <c r="I1738" s="33" t="str">
        <f t="shared" si="421"/>
        <v>='C:\Users\jaime.benazar\Quorum Business Solutions\Ecopetrol Prometeo - Documents\Planning Space Implementation\3. Analysis &amp; Design\Design\FC22\DRR Jaime\QUIFA-CAJÚA\Cajua\[CAJUA_CF_SEC_New_27-Feb-2024Rev3.xlsx]D-PNP'!$BX$38</v>
      </c>
      <c r="J1738" s="37" t="s">
        <v>2803</v>
      </c>
    </row>
    <row r="1739" spans="1:10" x14ac:dyDescent="0.25">
      <c r="A1739" s="32" t="s">
        <v>2</v>
      </c>
      <c r="B1739" s="32">
        <f t="shared" si="422"/>
        <v>2050</v>
      </c>
      <c r="C1739" s="33" t="s">
        <v>17</v>
      </c>
      <c r="D1739" s="34" t="s">
        <v>1999</v>
      </c>
      <c r="E1739" s="35" t="str">
        <f t="shared" si="418"/>
        <v>PNP'!</v>
      </c>
      <c r="F1739" s="34" t="str">
        <f t="shared" si="419"/>
        <v>C:\Users\jaime.benazar\Quorum Business Solutions\Ecopetrol Prometeo - Documents\Planning Space Implementation\3. Analysis &amp; Design\Design\FC22\DRR Jaime\QUIFA-CAJÚA\Cajua\[CAJUA_CF_SEC_New_27-Feb-2024Rev3.xlsx]D-PNP'!</v>
      </c>
      <c r="G1739" s="32" t="s">
        <v>38</v>
      </c>
      <c r="H1739" s="33">
        <f t="shared" si="420"/>
        <v>39</v>
      </c>
      <c r="I1739" s="33" t="str">
        <f t="shared" si="421"/>
        <v>='C:\Users\jaime.benazar\Quorum Business Solutions\Ecopetrol Prometeo - Documents\Planning Space Implementation\3. Analysis &amp; Design\Design\FC22\DRR Jaime\QUIFA-CAJÚA\Cajua\[CAJUA_CF_SEC_New_27-Feb-2024Rev3.xlsx]D-PNP'!$BX$39</v>
      </c>
      <c r="J1739" s="37" t="s">
        <v>2804</v>
      </c>
    </row>
    <row r="1740" spans="1:10" x14ac:dyDescent="0.25">
      <c r="A1740" s="32" t="s">
        <v>2</v>
      </c>
      <c r="B1740" s="32">
        <f t="shared" si="422"/>
        <v>2051</v>
      </c>
      <c r="C1740" s="33" t="s">
        <v>17</v>
      </c>
      <c r="D1740" s="34" t="s">
        <v>1999</v>
      </c>
      <c r="E1740" s="35" t="str">
        <f t="shared" si="418"/>
        <v>PNP'!</v>
      </c>
      <c r="F1740" s="34" t="str">
        <f t="shared" si="419"/>
        <v>C:\Users\jaime.benazar\Quorum Business Solutions\Ecopetrol Prometeo - Documents\Planning Space Implementation\3. Analysis &amp; Design\Design\FC22\DRR Jaime\QUIFA-CAJÚA\Cajua\[CAJUA_CF_SEC_New_27-Feb-2024Rev3.xlsx]D-PNP'!</v>
      </c>
      <c r="G1740" s="32" t="s">
        <v>38</v>
      </c>
      <c r="H1740" s="33">
        <f t="shared" si="420"/>
        <v>40</v>
      </c>
      <c r="I1740" s="33" t="str">
        <f t="shared" si="421"/>
        <v>='C:\Users\jaime.benazar\Quorum Business Solutions\Ecopetrol Prometeo - Documents\Planning Space Implementation\3. Analysis &amp; Design\Design\FC22\DRR Jaime\QUIFA-CAJÚA\Cajua\[CAJUA_CF_SEC_New_27-Feb-2024Rev3.xlsx]D-PNP'!$BX$40</v>
      </c>
      <c r="J1740" s="37" t="s">
        <v>2805</v>
      </c>
    </row>
    <row r="1741" spans="1:10" x14ac:dyDescent="0.25">
      <c r="A1741" s="32" t="s">
        <v>2</v>
      </c>
      <c r="B1741" s="32">
        <f t="shared" si="422"/>
        <v>2052</v>
      </c>
      <c r="C1741" s="33" t="s">
        <v>17</v>
      </c>
      <c r="D1741" s="34" t="s">
        <v>1999</v>
      </c>
      <c r="E1741" s="35" t="str">
        <f t="shared" si="418"/>
        <v>PNP'!</v>
      </c>
      <c r="F1741" s="34" t="str">
        <f t="shared" si="419"/>
        <v>C:\Users\jaime.benazar\Quorum Business Solutions\Ecopetrol Prometeo - Documents\Planning Space Implementation\3. Analysis &amp; Design\Design\FC22\DRR Jaime\QUIFA-CAJÚA\Cajua\[CAJUA_CF_SEC_New_27-Feb-2024Rev3.xlsx]D-PNP'!</v>
      </c>
      <c r="G1741" s="32" t="s">
        <v>38</v>
      </c>
      <c r="H1741" s="33">
        <f t="shared" si="420"/>
        <v>41</v>
      </c>
      <c r="I1741" s="33" t="str">
        <f t="shared" si="421"/>
        <v>='C:\Users\jaime.benazar\Quorum Business Solutions\Ecopetrol Prometeo - Documents\Planning Space Implementation\3. Analysis &amp; Design\Design\FC22\DRR Jaime\QUIFA-CAJÚA\Cajua\[CAJUA_CF_SEC_New_27-Feb-2024Rev3.xlsx]D-PNP'!$BX$41</v>
      </c>
      <c r="J1741" s="37" t="s">
        <v>2806</v>
      </c>
    </row>
    <row r="1742" spans="1:10" x14ac:dyDescent="0.25">
      <c r="A1742" s="32" t="s">
        <v>2</v>
      </c>
      <c r="B1742" s="32">
        <f t="shared" si="422"/>
        <v>2053</v>
      </c>
      <c r="C1742" s="33" t="s">
        <v>17</v>
      </c>
      <c r="D1742" s="34" t="s">
        <v>1999</v>
      </c>
      <c r="E1742" s="35" t="str">
        <f t="shared" si="418"/>
        <v>PNP'!</v>
      </c>
      <c r="F1742" s="34" t="str">
        <f t="shared" si="419"/>
        <v>C:\Users\jaime.benazar\Quorum Business Solutions\Ecopetrol Prometeo - Documents\Planning Space Implementation\3. Analysis &amp; Design\Design\FC22\DRR Jaime\QUIFA-CAJÚA\Cajua\[CAJUA_CF_SEC_New_27-Feb-2024Rev3.xlsx]D-PNP'!</v>
      </c>
      <c r="G1742" s="32" t="s">
        <v>38</v>
      </c>
      <c r="H1742" s="33">
        <f t="shared" si="420"/>
        <v>42</v>
      </c>
      <c r="I1742" s="33" t="str">
        <f t="shared" si="421"/>
        <v>='C:\Users\jaime.benazar\Quorum Business Solutions\Ecopetrol Prometeo - Documents\Planning Space Implementation\3. Analysis &amp; Design\Design\FC22\DRR Jaime\QUIFA-CAJÚA\Cajua\[CAJUA_CF_SEC_New_27-Feb-2024Rev3.xlsx]D-PNP'!$BX$42</v>
      </c>
      <c r="J1742" s="37" t="s">
        <v>2807</v>
      </c>
    </row>
    <row r="1743" spans="1:10" x14ac:dyDescent="0.25">
      <c r="A1743" s="32" t="s">
        <v>2</v>
      </c>
      <c r="B1743" s="32">
        <f t="shared" si="422"/>
        <v>2054</v>
      </c>
      <c r="C1743" s="33" t="s">
        <v>17</v>
      </c>
      <c r="D1743" s="34" t="s">
        <v>1999</v>
      </c>
      <c r="E1743" s="35" t="str">
        <f t="shared" si="418"/>
        <v>PNP'!</v>
      </c>
      <c r="F1743" s="34" t="str">
        <f t="shared" si="419"/>
        <v>C:\Users\jaime.benazar\Quorum Business Solutions\Ecopetrol Prometeo - Documents\Planning Space Implementation\3. Analysis &amp; Design\Design\FC22\DRR Jaime\QUIFA-CAJÚA\Cajua\[CAJUA_CF_SEC_New_27-Feb-2024Rev3.xlsx]D-PNP'!</v>
      </c>
      <c r="G1743" s="32" t="s">
        <v>38</v>
      </c>
      <c r="H1743" s="33">
        <f t="shared" si="420"/>
        <v>43</v>
      </c>
      <c r="I1743" s="33" t="str">
        <f t="shared" si="421"/>
        <v>='C:\Users\jaime.benazar\Quorum Business Solutions\Ecopetrol Prometeo - Documents\Planning Space Implementation\3. Analysis &amp; Design\Design\FC22\DRR Jaime\QUIFA-CAJÚA\Cajua\[CAJUA_CF_SEC_New_27-Feb-2024Rev3.xlsx]D-PNP'!$BX$43</v>
      </c>
      <c r="J1743" s="37" t="s">
        <v>2808</v>
      </c>
    </row>
    <row r="1744" spans="1:10" x14ac:dyDescent="0.25">
      <c r="A1744" s="32" t="s">
        <v>2</v>
      </c>
      <c r="B1744" s="32">
        <f t="shared" si="422"/>
        <v>2055</v>
      </c>
      <c r="C1744" s="33" t="s">
        <v>17</v>
      </c>
      <c r="D1744" s="34" t="s">
        <v>1999</v>
      </c>
      <c r="E1744" s="35" t="str">
        <f t="shared" si="418"/>
        <v>PNP'!</v>
      </c>
      <c r="F1744" s="34" t="str">
        <f t="shared" si="419"/>
        <v>C:\Users\jaime.benazar\Quorum Business Solutions\Ecopetrol Prometeo - Documents\Planning Space Implementation\3. Analysis &amp; Design\Design\FC22\DRR Jaime\QUIFA-CAJÚA\Cajua\[CAJUA_CF_SEC_New_27-Feb-2024Rev3.xlsx]D-PNP'!</v>
      </c>
      <c r="G1744" s="32" t="s">
        <v>38</v>
      </c>
      <c r="H1744" s="33">
        <f t="shared" si="420"/>
        <v>44</v>
      </c>
      <c r="I1744" s="33" t="str">
        <f t="shared" si="421"/>
        <v>='C:\Users\jaime.benazar\Quorum Business Solutions\Ecopetrol Prometeo - Documents\Planning Space Implementation\3. Analysis &amp; Design\Design\FC22\DRR Jaime\QUIFA-CAJÚA\Cajua\[CAJUA_CF_SEC_New_27-Feb-2024Rev3.xlsx]D-PNP'!$BX$44</v>
      </c>
      <c r="J1744" s="37" t="s">
        <v>2809</v>
      </c>
    </row>
    <row r="1745" spans="1:10" x14ac:dyDescent="0.25">
      <c r="A1745" s="32" t="s">
        <v>2</v>
      </c>
      <c r="B1745" s="32">
        <f t="shared" si="422"/>
        <v>2056</v>
      </c>
      <c r="C1745" s="33" t="s">
        <v>17</v>
      </c>
      <c r="D1745" s="34" t="s">
        <v>1999</v>
      </c>
      <c r="E1745" s="35" t="str">
        <f t="shared" si="418"/>
        <v>PNP'!</v>
      </c>
      <c r="F1745" s="34" t="str">
        <f t="shared" si="419"/>
        <v>C:\Users\jaime.benazar\Quorum Business Solutions\Ecopetrol Prometeo - Documents\Planning Space Implementation\3. Analysis &amp; Design\Design\FC22\DRR Jaime\QUIFA-CAJÚA\Cajua\[CAJUA_CF_SEC_New_27-Feb-2024Rev3.xlsx]D-PNP'!</v>
      </c>
      <c r="G1745" s="32" t="s">
        <v>38</v>
      </c>
      <c r="H1745" s="33">
        <f t="shared" si="420"/>
        <v>45</v>
      </c>
      <c r="I1745" s="33" t="str">
        <f t="shared" si="421"/>
        <v>='C:\Users\jaime.benazar\Quorum Business Solutions\Ecopetrol Prometeo - Documents\Planning Space Implementation\3. Analysis &amp; Design\Design\FC22\DRR Jaime\QUIFA-CAJÚA\Cajua\[CAJUA_CF_SEC_New_27-Feb-2024Rev3.xlsx]D-PNP'!$BX$45</v>
      </c>
      <c r="J1745" s="37" t="s">
        <v>2810</v>
      </c>
    </row>
    <row r="1746" spans="1:10" x14ac:dyDescent="0.25">
      <c r="A1746" s="32" t="s">
        <v>2</v>
      </c>
      <c r="B1746" s="32">
        <f t="shared" si="422"/>
        <v>2057</v>
      </c>
      <c r="C1746" s="33" t="s">
        <v>17</v>
      </c>
      <c r="D1746" s="34" t="s">
        <v>1999</v>
      </c>
      <c r="E1746" s="35" t="str">
        <f t="shared" si="418"/>
        <v>PNP'!</v>
      </c>
      <c r="F1746" s="34" t="str">
        <f t="shared" si="419"/>
        <v>C:\Users\jaime.benazar\Quorum Business Solutions\Ecopetrol Prometeo - Documents\Planning Space Implementation\3. Analysis &amp; Design\Design\FC22\DRR Jaime\QUIFA-CAJÚA\Cajua\[CAJUA_CF_SEC_New_27-Feb-2024Rev3.xlsx]D-PNP'!</v>
      </c>
      <c r="G1746" s="32" t="s">
        <v>38</v>
      </c>
      <c r="H1746" s="33">
        <f t="shared" si="420"/>
        <v>46</v>
      </c>
      <c r="I1746" s="33" t="str">
        <f t="shared" si="421"/>
        <v>='C:\Users\jaime.benazar\Quorum Business Solutions\Ecopetrol Prometeo - Documents\Planning Space Implementation\3. Analysis &amp; Design\Design\FC22\DRR Jaime\QUIFA-CAJÚA\Cajua\[CAJUA_CF_SEC_New_27-Feb-2024Rev3.xlsx]D-PNP'!$BX$46</v>
      </c>
      <c r="J1746" s="37" t="s">
        <v>2811</v>
      </c>
    </row>
    <row r="1747" spans="1:10" x14ac:dyDescent="0.25">
      <c r="A1747" s="32" t="s">
        <v>2</v>
      </c>
      <c r="B1747" s="32">
        <f t="shared" si="422"/>
        <v>2058</v>
      </c>
      <c r="C1747" s="33" t="s">
        <v>17</v>
      </c>
      <c r="D1747" s="34" t="s">
        <v>1999</v>
      </c>
      <c r="E1747" s="35" t="str">
        <f t="shared" si="418"/>
        <v>PNP'!</v>
      </c>
      <c r="F1747" s="34" t="str">
        <f t="shared" si="419"/>
        <v>C:\Users\jaime.benazar\Quorum Business Solutions\Ecopetrol Prometeo - Documents\Planning Space Implementation\3. Analysis &amp; Design\Design\FC22\DRR Jaime\QUIFA-CAJÚA\Cajua\[CAJUA_CF_SEC_New_27-Feb-2024Rev3.xlsx]D-PNP'!</v>
      </c>
      <c r="G1747" s="32" t="s">
        <v>38</v>
      </c>
      <c r="H1747" s="33">
        <f t="shared" si="420"/>
        <v>47</v>
      </c>
      <c r="I1747" s="33" t="str">
        <f t="shared" si="421"/>
        <v>='C:\Users\jaime.benazar\Quorum Business Solutions\Ecopetrol Prometeo - Documents\Planning Space Implementation\3. Analysis &amp; Design\Design\FC22\DRR Jaime\QUIFA-CAJÚA\Cajua\[CAJUA_CF_SEC_New_27-Feb-2024Rev3.xlsx]D-PNP'!$BX$47</v>
      </c>
      <c r="J1747" s="37" t="s">
        <v>2812</v>
      </c>
    </row>
    <row r="1748" spans="1:10" x14ac:dyDescent="0.25">
      <c r="A1748" s="32" t="s">
        <v>2</v>
      </c>
      <c r="B1748" s="32">
        <f t="shared" si="422"/>
        <v>2059</v>
      </c>
      <c r="C1748" s="33" t="s">
        <v>17</v>
      </c>
      <c r="D1748" s="34" t="s">
        <v>1999</v>
      </c>
      <c r="E1748" s="35" t="str">
        <f t="shared" si="418"/>
        <v>PNP'!</v>
      </c>
      <c r="F1748" s="34" t="str">
        <f t="shared" si="419"/>
        <v>C:\Users\jaime.benazar\Quorum Business Solutions\Ecopetrol Prometeo - Documents\Planning Space Implementation\3. Analysis &amp; Design\Design\FC22\DRR Jaime\QUIFA-CAJÚA\Cajua\[CAJUA_CF_SEC_New_27-Feb-2024Rev3.xlsx]D-PNP'!</v>
      </c>
      <c r="G1748" s="32" t="s">
        <v>38</v>
      </c>
      <c r="H1748" s="33">
        <f t="shared" si="420"/>
        <v>48</v>
      </c>
      <c r="I1748" s="33" t="str">
        <f t="shared" si="421"/>
        <v>='C:\Users\jaime.benazar\Quorum Business Solutions\Ecopetrol Prometeo - Documents\Planning Space Implementation\3. Analysis &amp; Design\Design\FC22\DRR Jaime\QUIFA-CAJÚA\Cajua\[CAJUA_CF_SEC_New_27-Feb-2024Rev3.xlsx]D-PNP'!$BX$48</v>
      </c>
      <c r="J1748" s="37" t="s">
        <v>2813</v>
      </c>
    </row>
    <row r="1749" spans="1:10" x14ac:dyDescent="0.25">
      <c r="A1749" s="32" t="s">
        <v>28</v>
      </c>
      <c r="B1749" s="32"/>
      <c r="C1749" s="33" t="s">
        <v>17</v>
      </c>
      <c r="D1749" s="34"/>
      <c r="E1749" s="35"/>
      <c r="F1749" s="34"/>
      <c r="G1749" s="32"/>
      <c r="H1749" s="33"/>
      <c r="I1749" s="33"/>
      <c r="J1749" s="33"/>
    </row>
    <row r="1750" spans="1:10" x14ac:dyDescent="0.25">
      <c r="A1750" s="32" t="s">
        <v>3</v>
      </c>
      <c r="B1750" s="32">
        <v>2023</v>
      </c>
      <c r="C1750" s="33" t="s">
        <v>17</v>
      </c>
      <c r="D1750" s="34" t="s">
        <v>1999</v>
      </c>
      <c r="E1750" s="35" t="str">
        <f t="shared" si="401"/>
        <v>PND'!</v>
      </c>
      <c r="F1750" s="34" t="str">
        <f t="shared" si="402"/>
        <v>C:\Users\jaime.benazar\Quorum Business Solutions\Ecopetrol Prometeo - Documents\Planning Space Implementation\3. Analysis &amp; Design\Design\FC22\DRR Jaime\QUIFA-CAJÚA\Cajua\[CAJUA_CF_SEC_New_27-Feb-2024Rev3.xlsx]D-PND'!</v>
      </c>
      <c r="G1750" s="32" t="s">
        <v>38</v>
      </c>
      <c r="H1750" s="33">
        <v>12</v>
      </c>
      <c r="I1750" s="33" t="str">
        <f t="shared" ref="I1750:I1770" si="423">_xlfn.CONCAT("='",F1750:H1750)</f>
        <v>='C:\Users\jaime.benazar\Quorum Business Solutions\Ecopetrol Prometeo - Documents\Planning Space Implementation\3. Analysis &amp; Design\Design\FC22\DRR Jaime\QUIFA-CAJÚA\Cajua\[CAJUA_CF_SEC_New_27-Feb-2024Rev3.xlsx]D-PND'!$BX$12</v>
      </c>
      <c r="J1750" s="37" t="s">
        <v>2814</v>
      </c>
    </row>
    <row r="1751" spans="1:10" x14ac:dyDescent="0.25">
      <c r="A1751" s="32" t="s">
        <v>3</v>
      </c>
      <c r="B1751" s="32">
        <f>+B1750+1</f>
        <v>2024</v>
      </c>
      <c r="C1751" s="33" t="s">
        <v>17</v>
      </c>
      <c r="D1751" s="34" t="s">
        <v>1999</v>
      </c>
      <c r="E1751" s="35" t="str">
        <f t="shared" si="401"/>
        <v>PND'!</v>
      </c>
      <c r="F1751" s="34" t="str">
        <f t="shared" si="402"/>
        <v>C:\Users\jaime.benazar\Quorum Business Solutions\Ecopetrol Prometeo - Documents\Planning Space Implementation\3. Analysis &amp; Design\Design\FC22\DRR Jaime\QUIFA-CAJÚA\Cajua\[CAJUA_CF_SEC_New_27-Feb-2024Rev3.xlsx]D-PND'!</v>
      </c>
      <c r="G1751" s="32" t="s">
        <v>38</v>
      </c>
      <c r="H1751" s="33">
        <f t="shared" ref="H1751:H1770" si="424">IF(A1751&lt;&gt;A1750,12,H1750+1)</f>
        <v>13</v>
      </c>
      <c r="I1751" s="33" t="str">
        <f t="shared" si="423"/>
        <v>='C:\Users\jaime.benazar\Quorum Business Solutions\Ecopetrol Prometeo - Documents\Planning Space Implementation\3. Analysis &amp; Design\Design\FC22\DRR Jaime\QUIFA-CAJÚA\Cajua\[CAJUA_CF_SEC_New_27-Feb-2024Rev3.xlsx]D-PND'!$BX$13</v>
      </c>
      <c r="J1751" s="37" t="s">
        <v>2815</v>
      </c>
    </row>
    <row r="1752" spans="1:10" x14ac:dyDescent="0.25">
      <c r="A1752" s="32" t="s">
        <v>3</v>
      </c>
      <c r="B1752" s="32">
        <f t="shared" ref="B1752:B1763" si="425">+B1751+1</f>
        <v>2025</v>
      </c>
      <c r="C1752" s="33" t="s">
        <v>17</v>
      </c>
      <c r="D1752" s="34" t="s">
        <v>1999</v>
      </c>
      <c r="E1752" s="35" t="str">
        <f t="shared" si="401"/>
        <v>PND'!</v>
      </c>
      <c r="F1752" s="34" t="str">
        <f t="shared" si="402"/>
        <v>C:\Users\jaime.benazar\Quorum Business Solutions\Ecopetrol Prometeo - Documents\Planning Space Implementation\3. Analysis &amp; Design\Design\FC22\DRR Jaime\QUIFA-CAJÚA\Cajua\[CAJUA_CF_SEC_New_27-Feb-2024Rev3.xlsx]D-PND'!</v>
      </c>
      <c r="G1752" s="32" t="s">
        <v>38</v>
      </c>
      <c r="H1752" s="33">
        <f t="shared" si="424"/>
        <v>14</v>
      </c>
      <c r="I1752" s="33" t="str">
        <f t="shared" si="423"/>
        <v>='C:\Users\jaime.benazar\Quorum Business Solutions\Ecopetrol Prometeo - Documents\Planning Space Implementation\3. Analysis &amp; Design\Design\FC22\DRR Jaime\QUIFA-CAJÚA\Cajua\[CAJUA_CF_SEC_New_27-Feb-2024Rev3.xlsx]D-PND'!$BX$14</v>
      </c>
      <c r="J1752" s="37" t="s">
        <v>2816</v>
      </c>
    </row>
    <row r="1753" spans="1:10" x14ac:dyDescent="0.25">
      <c r="A1753" s="32" t="s">
        <v>3</v>
      </c>
      <c r="B1753" s="32">
        <f t="shared" si="425"/>
        <v>2026</v>
      </c>
      <c r="C1753" s="33" t="s">
        <v>17</v>
      </c>
      <c r="D1753" s="34" t="s">
        <v>1999</v>
      </c>
      <c r="E1753" s="35" t="str">
        <f t="shared" si="401"/>
        <v>PND'!</v>
      </c>
      <c r="F1753" s="34" t="str">
        <f t="shared" si="402"/>
        <v>C:\Users\jaime.benazar\Quorum Business Solutions\Ecopetrol Prometeo - Documents\Planning Space Implementation\3. Analysis &amp; Design\Design\FC22\DRR Jaime\QUIFA-CAJÚA\Cajua\[CAJUA_CF_SEC_New_27-Feb-2024Rev3.xlsx]D-PND'!</v>
      </c>
      <c r="G1753" s="32" t="s">
        <v>38</v>
      </c>
      <c r="H1753" s="33">
        <f t="shared" si="424"/>
        <v>15</v>
      </c>
      <c r="I1753" s="33" t="str">
        <f t="shared" si="423"/>
        <v>='C:\Users\jaime.benazar\Quorum Business Solutions\Ecopetrol Prometeo - Documents\Planning Space Implementation\3. Analysis &amp; Design\Design\FC22\DRR Jaime\QUIFA-CAJÚA\Cajua\[CAJUA_CF_SEC_New_27-Feb-2024Rev3.xlsx]D-PND'!$BX$15</v>
      </c>
      <c r="J1753" s="37" t="s">
        <v>2817</v>
      </c>
    </row>
    <row r="1754" spans="1:10" x14ac:dyDescent="0.25">
      <c r="A1754" s="32" t="s">
        <v>3</v>
      </c>
      <c r="B1754" s="32">
        <f t="shared" si="425"/>
        <v>2027</v>
      </c>
      <c r="C1754" s="33" t="s">
        <v>17</v>
      </c>
      <c r="D1754" s="34" t="s">
        <v>1999</v>
      </c>
      <c r="E1754" s="35" t="str">
        <f t="shared" si="401"/>
        <v>PND'!</v>
      </c>
      <c r="F1754" s="34" t="str">
        <f t="shared" si="402"/>
        <v>C:\Users\jaime.benazar\Quorum Business Solutions\Ecopetrol Prometeo - Documents\Planning Space Implementation\3. Analysis &amp; Design\Design\FC22\DRR Jaime\QUIFA-CAJÚA\Cajua\[CAJUA_CF_SEC_New_27-Feb-2024Rev3.xlsx]D-PND'!</v>
      </c>
      <c r="G1754" s="32" t="s">
        <v>38</v>
      </c>
      <c r="H1754" s="33">
        <f t="shared" si="424"/>
        <v>16</v>
      </c>
      <c r="I1754" s="33" t="str">
        <f t="shared" si="423"/>
        <v>='C:\Users\jaime.benazar\Quorum Business Solutions\Ecopetrol Prometeo - Documents\Planning Space Implementation\3. Analysis &amp; Design\Design\FC22\DRR Jaime\QUIFA-CAJÚA\Cajua\[CAJUA_CF_SEC_New_27-Feb-2024Rev3.xlsx]D-PND'!$BX$16</v>
      </c>
      <c r="J1754" s="37" t="s">
        <v>2818</v>
      </c>
    </row>
    <row r="1755" spans="1:10" x14ac:dyDescent="0.25">
      <c r="A1755" s="32" t="s">
        <v>3</v>
      </c>
      <c r="B1755" s="32">
        <f t="shared" si="425"/>
        <v>2028</v>
      </c>
      <c r="C1755" s="33" t="s">
        <v>17</v>
      </c>
      <c r="D1755" s="34" t="s">
        <v>1999</v>
      </c>
      <c r="E1755" s="35" t="str">
        <f t="shared" si="401"/>
        <v>PND'!</v>
      </c>
      <c r="F1755" s="34" t="str">
        <f t="shared" si="402"/>
        <v>C:\Users\jaime.benazar\Quorum Business Solutions\Ecopetrol Prometeo - Documents\Planning Space Implementation\3. Analysis &amp; Design\Design\FC22\DRR Jaime\QUIFA-CAJÚA\Cajua\[CAJUA_CF_SEC_New_27-Feb-2024Rev3.xlsx]D-PND'!</v>
      </c>
      <c r="G1755" s="32" t="s">
        <v>38</v>
      </c>
      <c r="H1755" s="33">
        <f t="shared" si="424"/>
        <v>17</v>
      </c>
      <c r="I1755" s="33" t="str">
        <f t="shared" si="423"/>
        <v>='C:\Users\jaime.benazar\Quorum Business Solutions\Ecopetrol Prometeo - Documents\Planning Space Implementation\3. Analysis &amp; Design\Design\FC22\DRR Jaime\QUIFA-CAJÚA\Cajua\[CAJUA_CF_SEC_New_27-Feb-2024Rev3.xlsx]D-PND'!$BX$17</v>
      </c>
      <c r="J1755" s="37" t="s">
        <v>2819</v>
      </c>
    </row>
    <row r="1756" spans="1:10" x14ac:dyDescent="0.25">
      <c r="A1756" s="32" t="s">
        <v>3</v>
      </c>
      <c r="B1756" s="32">
        <f t="shared" si="425"/>
        <v>2029</v>
      </c>
      <c r="C1756" s="33" t="s">
        <v>17</v>
      </c>
      <c r="D1756" s="34" t="s">
        <v>1999</v>
      </c>
      <c r="E1756" s="35" t="str">
        <f t="shared" si="401"/>
        <v>PND'!</v>
      </c>
      <c r="F1756" s="34" t="str">
        <f t="shared" si="402"/>
        <v>C:\Users\jaime.benazar\Quorum Business Solutions\Ecopetrol Prometeo - Documents\Planning Space Implementation\3. Analysis &amp; Design\Design\FC22\DRR Jaime\QUIFA-CAJÚA\Cajua\[CAJUA_CF_SEC_New_27-Feb-2024Rev3.xlsx]D-PND'!</v>
      </c>
      <c r="G1756" s="32" t="s">
        <v>38</v>
      </c>
      <c r="H1756" s="33">
        <f t="shared" si="424"/>
        <v>18</v>
      </c>
      <c r="I1756" s="33" t="str">
        <f t="shared" si="423"/>
        <v>='C:\Users\jaime.benazar\Quorum Business Solutions\Ecopetrol Prometeo - Documents\Planning Space Implementation\3. Analysis &amp; Design\Design\FC22\DRR Jaime\QUIFA-CAJÚA\Cajua\[CAJUA_CF_SEC_New_27-Feb-2024Rev3.xlsx]D-PND'!$BX$18</v>
      </c>
      <c r="J1756" s="37" t="s">
        <v>2820</v>
      </c>
    </row>
    <row r="1757" spans="1:10" x14ac:dyDescent="0.25">
      <c r="A1757" s="32" t="s">
        <v>3</v>
      </c>
      <c r="B1757" s="32">
        <f t="shared" si="425"/>
        <v>2030</v>
      </c>
      <c r="C1757" s="33" t="s">
        <v>17</v>
      </c>
      <c r="D1757" s="34" t="s">
        <v>1999</v>
      </c>
      <c r="E1757" s="35" t="str">
        <f t="shared" si="401"/>
        <v>PND'!</v>
      </c>
      <c r="F1757" s="34" t="str">
        <f t="shared" si="402"/>
        <v>C:\Users\jaime.benazar\Quorum Business Solutions\Ecopetrol Prometeo - Documents\Planning Space Implementation\3. Analysis &amp; Design\Design\FC22\DRR Jaime\QUIFA-CAJÚA\Cajua\[CAJUA_CF_SEC_New_27-Feb-2024Rev3.xlsx]D-PND'!</v>
      </c>
      <c r="G1757" s="32" t="s">
        <v>38</v>
      </c>
      <c r="H1757" s="33">
        <f t="shared" si="424"/>
        <v>19</v>
      </c>
      <c r="I1757" s="33" t="str">
        <f t="shared" si="423"/>
        <v>='C:\Users\jaime.benazar\Quorum Business Solutions\Ecopetrol Prometeo - Documents\Planning Space Implementation\3. Analysis &amp; Design\Design\FC22\DRR Jaime\QUIFA-CAJÚA\Cajua\[CAJUA_CF_SEC_New_27-Feb-2024Rev3.xlsx]D-PND'!$BX$19</v>
      </c>
      <c r="J1757" s="37" t="s">
        <v>2821</v>
      </c>
    </row>
    <row r="1758" spans="1:10" x14ac:dyDescent="0.25">
      <c r="A1758" s="32" t="s">
        <v>3</v>
      </c>
      <c r="B1758" s="32">
        <f t="shared" si="425"/>
        <v>2031</v>
      </c>
      <c r="C1758" s="33" t="s">
        <v>17</v>
      </c>
      <c r="D1758" s="34" t="s">
        <v>1999</v>
      </c>
      <c r="E1758" s="35" t="str">
        <f t="shared" si="401"/>
        <v>PND'!</v>
      </c>
      <c r="F1758" s="34" t="str">
        <f t="shared" si="402"/>
        <v>C:\Users\jaime.benazar\Quorum Business Solutions\Ecopetrol Prometeo - Documents\Planning Space Implementation\3. Analysis &amp; Design\Design\FC22\DRR Jaime\QUIFA-CAJÚA\Cajua\[CAJUA_CF_SEC_New_27-Feb-2024Rev3.xlsx]D-PND'!</v>
      </c>
      <c r="G1758" s="32" t="s">
        <v>38</v>
      </c>
      <c r="H1758" s="33">
        <f t="shared" si="424"/>
        <v>20</v>
      </c>
      <c r="I1758" s="33" t="str">
        <f t="shared" si="423"/>
        <v>='C:\Users\jaime.benazar\Quorum Business Solutions\Ecopetrol Prometeo - Documents\Planning Space Implementation\3. Analysis &amp; Design\Design\FC22\DRR Jaime\QUIFA-CAJÚA\Cajua\[CAJUA_CF_SEC_New_27-Feb-2024Rev3.xlsx]D-PND'!$BX$20</v>
      </c>
      <c r="J1758" s="37" t="s">
        <v>2822</v>
      </c>
    </row>
    <row r="1759" spans="1:10" x14ac:dyDescent="0.25">
      <c r="A1759" s="32" t="s">
        <v>3</v>
      </c>
      <c r="B1759" s="32">
        <f t="shared" si="425"/>
        <v>2032</v>
      </c>
      <c r="C1759" s="33" t="s">
        <v>17</v>
      </c>
      <c r="D1759" s="34" t="s">
        <v>1999</v>
      </c>
      <c r="E1759" s="35" t="str">
        <f t="shared" si="401"/>
        <v>PND'!</v>
      </c>
      <c r="F1759" s="34" t="str">
        <f t="shared" si="402"/>
        <v>C:\Users\jaime.benazar\Quorum Business Solutions\Ecopetrol Prometeo - Documents\Planning Space Implementation\3. Analysis &amp; Design\Design\FC22\DRR Jaime\QUIFA-CAJÚA\Cajua\[CAJUA_CF_SEC_New_27-Feb-2024Rev3.xlsx]D-PND'!</v>
      </c>
      <c r="G1759" s="32" t="s">
        <v>38</v>
      </c>
      <c r="H1759" s="33">
        <f t="shared" si="424"/>
        <v>21</v>
      </c>
      <c r="I1759" s="33" t="str">
        <f t="shared" si="423"/>
        <v>='C:\Users\jaime.benazar\Quorum Business Solutions\Ecopetrol Prometeo - Documents\Planning Space Implementation\3. Analysis &amp; Design\Design\FC22\DRR Jaime\QUIFA-CAJÚA\Cajua\[CAJUA_CF_SEC_New_27-Feb-2024Rev3.xlsx]D-PND'!$BX$21</v>
      </c>
      <c r="J1759" s="37" t="s">
        <v>2823</v>
      </c>
    </row>
    <row r="1760" spans="1:10" x14ac:dyDescent="0.25">
      <c r="A1760" s="32" t="s">
        <v>3</v>
      </c>
      <c r="B1760" s="32">
        <f t="shared" si="425"/>
        <v>2033</v>
      </c>
      <c r="C1760" s="33" t="s">
        <v>17</v>
      </c>
      <c r="D1760" s="34" t="s">
        <v>1999</v>
      </c>
      <c r="E1760" s="35" t="str">
        <f t="shared" si="401"/>
        <v>PND'!</v>
      </c>
      <c r="F1760" s="34" t="str">
        <f t="shared" si="402"/>
        <v>C:\Users\jaime.benazar\Quorum Business Solutions\Ecopetrol Prometeo - Documents\Planning Space Implementation\3. Analysis &amp; Design\Design\FC22\DRR Jaime\QUIFA-CAJÚA\Cajua\[CAJUA_CF_SEC_New_27-Feb-2024Rev3.xlsx]D-PND'!</v>
      </c>
      <c r="G1760" s="32" t="s">
        <v>38</v>
      </c>
      <c r="H1760" s="33">
        <f t="shared" si="424"/>
        <v>22</v>
      </c>
      <c r="I1760" s="33" t="str">
        <f t="shared" si="423"/>
        <v>='C:\Users\jaime.benazar\Quorum Business Solutions\Ecopetrol Prometeo - Documents\Planning Space Implementation\3. Analysis &amp; Design\Design\FC22\DRR Jaime\QUIFA-CAJÚA\Cajua\[CAJUA_CF_SEC_New_27-Feb-2024Rev3.xlsx]D-PND'!$BX$22</v>
      </c>
      <c r="J1760" s="37" t="s">
        <v>2824</v>
      </c>
    </row>
    <row r="1761" spans="1:10" x14ac:dyDescent="0.25">
      <c r="A1761" s="32" t="s">
        <v>3</v>
      </c>
      <c r="B1761" s="32">
        <f t="shared" si="425"/>
        <v>2034</v>
      </c>
      <c r="C1761" s="33" t="s">
        <v>17</v>
      </c>
      <c r="D1761" s="34" t="s">
        <v>1999</v>
      </c>
      <c r="E1761" s="35" t="str">
        <f t="shared" si="401"/>
        <v>PND'!</v>
      </c>
      <c r="F1761" s="34" t="str">
        <f t="shared" si="402"/>
        <v>C:\Users\jaime.benazar\Quorum Business Solutions\Ecopetrol Prometeo - Documents\Planning Space Implementation\3. Analysis &amp; Design\Design\FC22\DRR Jaime\QUIFA-CAJÚA\Cajua\[CAJUA_CF_SEC_New_27-Feb-2024Rev3.xlsx]D-PND'!</v>
      </c>
      <c r="G1761" s="32" t="s">
        <v>38</v>
      </c>
      <c r="H1761" s="33">
        <f t="shared" si="424"/>
        <v>23</v>
      </c>
      <c r="I1761" s="33" t="str">
        <f t="shared" si="423"/>
        <v>='C:\Users\jaime.benazar\Quorum Business Solutions\Ecopetrol Prometeo - Documents\Planning Space Implementation\3. Analysis &amp; Design\Design\FC22\DRR Jaime\QUIFA-CAJÚA\Cajua\[CAJUA_CF_SEC_New_27-Feb-2024Rev3.xlsx]D-PND'!$BX$23</v>
      </c>
      <c r="J1761" s="37" t="s">
        <v>2825</v>
      </c>
    </row>
    <row r="1762" spans="1:10" x14ac:dyDescent="0.25">
      <c r="A1762" s="32" t="s">
        <v>3</v>
      </c>
      <c r="B1762" s="32">
        <f t="shared" si="425"/>
        <v>2035</v>
      </c>
      <c r="C1762" s="33" t="s">
        <v>17</v>
      </c>
      <c r="D1762" s="34" t="s">
        <v>1999</v>
      </c>
      <c r="E1762" s="35" t="str">
        <f t="shared" si="401"/>
        <v>PND'!</v>
      </c>
      <c r="F1762" s="34" t="str">
        <f t="shared" si="402"/>
        <v>C:\Users\jaime.benazar\Quorum Business Solutions\Ecopetrol Prometeo - Documents\Planning Space Implementation\3. Analysis &amp; Design\Design\FC22\DRR Jaime\QUIFA-CAJÚA\Cajua\[CAJUA_CF_SEC_New_27-Feb-2024Rev3.xlsx]D-PND'!</v>
      </c>
      <c r="G1762" s="32" t="s">
        <v>38</v>
      </c>
      <c r="H1762" s="33">
        <f t="shared" si="424"/>
        <v>24</v>
      </c>
      <c r="I1762" s="33" t="str">
        <f t="shared" si="423"/>
        <v>='C:\Users\jaime.benazar\Quorum Business Solutions\Ecopetrol Prometeo - Documents\Planning Space Implementation\3. Analysis &amp; Design\Design\FC22\DRR Jaime\QUIFA-CAJÚA\Cajua\[CAJUA_CF_SEC_New_27-Feb-2024Rev3.xlsx]D-PND'!$BX$24</v>
      </c>
      <c r="J1762" s="37" t="s">
        <v>2826</v>
      </c>
    </row>
    <row r="1763" spans="1:10" x14ac:dyDescent="0.25">
      <c r="A1763" s="32" t="s">
        <v>3</v>
      </c>
      <c r="B1763" s="32">
        <f t="shared" si="425"/>
        <v>2036</v>
      </c>
      <c r="C1763" s="33" t="s">
        <v>17</v>
      </c>
      <c r="D1763" s="34" t="s">
        <v>1999</v>
      </c>
      <c r="E1763" s="35" t="str">
        <f t="shared" si="401"/>
        <v>PND'!</v>
      </c>
      <c r="F1763" s="34" t="str">
        <f t="shared" si="402"/>
        <v>C:\Users\jaime.benazar\Quorum Business Solutions\Ecopetrol Prometeo - Documents\Planning Space Implementation\3. Analysis &amp; Design\Design\FC22\DRR Jaime\QUIFA-CAJÚA\Cajua\[CAJUA_CF_SEC_New_27-Feb-2024Rev3.xlsx]D-PND'!</v>
      </c>
      <c r="G1763" s="32" t="s">
        <v>38</v>
      </c>
      <c r="H1763" s="33">
        <f t="shared" si="424"/>
        <v>25</v>
      </c>
      <c r="I1763" s="33" t="str">
        <f t="shared" si="423"/>
        <v>='C:\Users\jaime.benazar\Quorum Business Solutions\Ecopetrol Prometeo - Documents\Planning Space Implementation\3. Analysis &amp; Design\Design\FC22\DRR Jaime\QUIFA-CAJÚA\Cajua\[CAJUA_CF_SEC_New_27-Feb-2024Rev3.xlsx]D-PND'!$BX$25</v>
      </c>
      <c r="J1763" s="37" t="s">
        <v>2827</v>
      </c>
    </row>
    <row r="1764" spans="1:10" x14ac:dyDescent="0.25">
      <c r="A1764" s="32" t="s">
        <v>3</v>
      </c>
      <c r="B1764" s="32">
        <f>+B1763+1</f>
        <v>2037</v>
      </c>
      <c r="C1764" s="33" t="s">
        <v>17</v>
      </c>
      <c r="D1764" s="34" t="s">
        <v>1999</v>
      </c>
      <c r="E1764" s="35" t="str">
        <f t="shared" si="401"/>
        <v>PND'!</v>
      </c>
      <c r="F1764" s="34" t="str">
        <f t="shared" si="402"/>
        <v>C:\Users\jaime.benazar\Quorum Business Solutions\Ecopetrol Prometeo - Documents\Planning Space Implementation\3. Analysis &amp; Design\Design\FC22\DRR Jaime\QUIFA-CAJÚA\Cajua\[CAJUA_CF_SEC_New_27-Feb-2024Rev3.xlsx]D-PND'!</v>
      </c>
      <c r="G1764" s="32" t="s">
        <v>38</v>
      </c>
      <c r="H1764" s="33">
        <f t="shared" si="424"/>
        <v>26</v>
      </c>
      <c r="I1764" s="33" t="str">
        <f t="shared" si="423"/>
        <v>='C:\Users\jaime.benazar\Quorum Business Solutions\Ecopetrol Prometeo - Documents\Planning Space Implementation\3. Analysis &amp; Design\Design\FC22\DRR Jaime\QUIFA-CAJÚA\Cajua\[CAJUA_CF_SEC_New_27-Feb-2024Rev3.xlsx]D-PND'!$BX$26</v>
      </c>
      <c r="J1764" s="37" t="s">
        <v>2828</v>
      </c>
    </row>
    <row r="1765" spans="1:10" x14ac:dyDescent="0.25">
      <c r="A1765" s="32" t="s">
        <v>3</v>
      </c>
      <c r="B1765" s="32">
        <f t="shared" ref="B1765:B1767" si="426">+B1764+1</f>
        <v>2038</v>
      </c>
      <c r="C1765" s="33" t="s">
        <v>17</v>
      </c>
      <c r="D1765" s="34" t="s">
        <v>1999</v>
      </c>
      <c r="E1765" s="35" t="str">
        <f t="shared" si="401"/>
        <v>PND'!</v>
      </c>
      <c r="F1765" s="34" t="str">
        <f t="shared" si="402"/>
        <v>C:\Users\jaime.benazar\Quorum Business Solutions\Ecopetrol Prometeo - Documents\Planning Space Implementation\3. Analysis &amp; Design\Design\FC22\DRR Jaime\QUIFA-CAJÚA\Cajua\[CAJUA_CF_SEC_New_27-Feb-2024Rev3.xlsx]D-PND'!</v>
      </c>
      <c r="G1765" s="32" t="s">
        <v>38</v>
      </c>
      <c r="H1765" s="33">
        <f t="shared" si="424"/>
        <v>27</v>
      </c>
      <c r="I1765" s="33" t="str">
        <f t="shared" si="423"/>
        <v>='C:\Users\jaime.benazar\Quorum Business Solutions\Ecopetrol Prometeo - Documents\Planning Space Implementation\3. Analysis &amp; Design\Design\FC22\DRR Jaime\QUIFA-CAJÚA\Cajua\[CAJUA_CF_SEC_New_27-Feb-2024Rev3.xlsx]D-PND'!$BX$27</v>
      </c>
      <c r="J1765" s="37" t="s">
        <v>2829</v>
      </c>
    </row>
    <row r="1766" spans="1:10" x14ac:dyDescent="0.25">
      <c r="A1766" s="32" t="s">
        <v>3</v>
      </c>
      <c r="B1766" s="32">
        <f t="shared" si="426"/>
        <v>2039</v>
      </c>
      <c r="C1766" s="33" t="s">
        <v>17</v>
      </c>
      <c r="D1766" s="34" t="s">
        <v>1999</v>
      </c>
      <c r="E1766" s="35" t="str">
        <f t="shared" si="401"/>
        <v>PND'!</v>
      </c>
      <c r="F1766" s="34" t="str">
        <f t="shared" si="402"/>
        <v>C:\Users\jaime.benazar\Quorum Business Solutions\Ecopetrol Prometeo - Documents\Planning Space Implementation\3. Analysis &amp; Design\Design\FC22\DRR Jaime\QUIFA-CAJÚA\Cajua\[CAJUA_CF_SEC_New_27-Feb-2024Rev3.xlsx]D-PND'!</v>
      </c>
      <c r="G1766" s="32" t="s">
        <v>38</v>
      </c>
      <c r="H1766" s="33">
        <f t="shared" si="424"/>
        <v>28</v>
      </c>
      <c r="I1766" s="33" t="str">
        <f t="shared" si="423"/>
        <v>='C:\Users\jaime.benazar\Quorum Business Solutions\Ecopetrol Prometeo - Documents\Planning Space Implementation\3. Analysis &amp; Design\Design\FC22\DRR Jaime\QUIFA-CAJÚA\Cajua\[CAJUA_CF_SEC_New_27-Feb-2024Rev3.xlsx]D-PND'!$BX$28</v>
      </c>
      <c r="J1766" s="37" t="s">
        <v>2830</v>
      </c>
    </row>
    <row r="1767" spans="1:10" x14ac:dyDescent="0.25">
      <c r="A1767" s="32" t="s">
        <v>3</v>
      </c>
      <c r="B1767" s="32">
        <f t="shared" si="426"/>
        <v>2040</v>
      </c>
      <c r="C1767" s="33" t="s">
        <v>17</v>
      </c>
      <c r="D1767" s="34" t="s">
        <v>1999</v>
      </c>
      <c r="E1767" s="35" t="str">
        <f t="shared" si="401"/>
        <v>PND'!</v>
      </c>
      <c r="F1767" s="34" t="str">
        <f t="shared" si="402"/>
        <v>C:\Users\jaime.benazar\Quorum Business Solutions\Ecopetrol Prometeo - Documents\Planning Space Implementation\3. Analysis &amp; Design\Design\FC22\DRR Jaime\QUIFA-CAJÚA\Cajua\[CAJUA_CF_SEC_New_27-Feb-2024Rev3.xlsx]D-PND'!</v>
      </c>
      <c r="G1767" s="32" t="s">
        <v>38</v>
      </c>
      <c r="H1767" s="33">
        <f t="shared" si="424"/>
        <v>29</v>
      </c>
      <c r="I1767" s="33" t="str">
        <f t="shared" si="423"/>
        <v>='C:\Users\jaime.benazar\Quorum Business Solutions\Ecopetrol Prometeo - Documents\Planning Space Implementation\3. Analysis &amp; Design\Design\FC22\DRR Jaime\QUIFA-CAJÚA\Cajua\[CAJUA_CF_SEC_New_27-Feb-2024Rev3.xlsx]D-PND'!$BX$29</v>
      </c>
      <c r="J1767" s="37" t="s">
        <v>2831</v>
      </c>
    </row>
    <row r="1768" spans="1:10" x14ac:dyDescent="0.25">
      <c r="A1768" s="32" t="s">
        <v>3</v>
      </c>
      <c r="B1768" s="32">
        <f>+B1767+1</f>
        <v>2041</v>
      </c>
      <c r="C1768" s="33" t="s">
        <v>17</v>
      </c>
      <c r="D1768" s="34" t="s">
        <v>1999</v>
      </c>
      <c r="E1768" s="35" t="str">
        <f t="shared" si="401"/>
        <v>PND'!</v>
      </c>
      <c r="F1768" s="34" t="str">
        <f t="shared" si="402"/>
        <v>C:\Users\jaime.benazar\Quorum Business Solutions\Ecopetrol Prometeo - Documents\Planning Space Implementation\3. Analysis &amp; Design\Design\FC22\DRR Jaime\QUIFA-CAJÚA\Cajua\[CAJUA_CF_SEC_New_27-Feb-2024Rev3.xlsx]D-PND'!</v>
      </c>
      <c r="G1768" s="32" t="s">
        <v>38</v>
      </c>
      <c r="H1768" s="33">
        <f t="shared" si="424"/>
        <v>30</v>
      </c>
      <c r="I1768" s="33" t="str">
        <f t="shared" si="423"/>
        <v>='C:\Users\jaime.benazar\Quorum Business Solutions\Ecopetrol Prometeo - Documents\Planning Space Implementation\3. Analysis &amp; Design\Design\FC22\DRR Jaime\QUIFA-CAJÚA\Cajua\[CAJUA_CF_SEC_New_27-Feb-2024Rev3.xlsx]D-PND'!$BX$30</v>
      </c>
      <c r="J1768" s="37" t="s">
        <v>2832</v>
      </c>
    </row>
    <row r="1769" spans="1:10" x14ac:dyDescent="0.25">
      <c r="A1769" s="32" t="s">
        <v>3</v>
      </c>
      <c r="B1769" s="32">
        <f t="shared" ref="B1769:B1770" si="427">+B1768+1</f>
        <v>2042</v>
      </c>
      <c r="C1769" s="33" t="s">
        <v>17</v>
      </c>
      <c r="D1769" s="34" t="s">
        <v>1999</v>
      </c>
      <c r="E1769" s="35" t="str">
        <f t="shared" ref="E1769:E2074" si="428">_xlfn.CONCAT(A1769,"'!")</f>
        <v>PND'!</v>
      </c>
      <c r="F1769" s="34" t="str">
        <f t="shared" ref="F1769:F2074" si="429">_xlfn.CONCAT(D1769:E1769)</f>
        <v>C:\Users\jaime.benazar\Quorum Business Solutions\Ecopetrol Prometeo - Documents\Planning Space Implementation\3. Analysis &amp; Design\Design\FC22\DRR Jaime\QUIFA-CAJÚA\Cajua\[CAJUA_CF_SEC_New_27-Feb-2024Rev3.xlsx]D-PND'!</v>
      </c>
      <c r="G1769" s="32" t="s">
        <v>38</v>
      </c>
      <c r="H1769" s="33">
        <f t="shared" si="424"/>
        <v>31</v>
      </c>
      <c r="I1769" s="33" t="str">
        <f t="shared" si="423"/>
        <v>='C:\Users\jaime.benazar\Quorum Business Solutions\Ecopetrol Prometeo - Documents\Planning Space Implementation\3. Analysis &amp; Design\Design\FC22\DRR Jaime\QUIFA-CAJÚA\Cajua\[CAJUA_CF_SEC_New_27-Feb-2024Rev3.xlsx]D-PND'!$BX$31</v>
      </c>
      <c r="J1769" s="37" t="s">
        <v>2833</v>
      </c>
    </row>
    <row r="1770" spans="1:10" x14ac:dyDescent="0.25">
      <c r="A1770" s="32" t="s">
        <v>3</v>
      </c>
      <c r="B1770" s="32">
        <f t="shared" si="427"/>
        <v>2043</v>
      </c>
      <c r="C1770" s="33" t="s">
        <v>17</v>
      </c>
      <c r="D1770" s="34" t="s">
        <v>1999</v>
      </c>
      <c r="E1770" s="35" t="str">
        <f t="shared" si="428"/>
        <v>PND'!</v>
      </c>
      <c r="F1770" s="34" t="str">
        <f t="shared" si="429"/>
        <v>C:\Users\jaime.benazar\Quorum Business Solutions\Ecopetrol Prometeo - Documents\Planning Space Implementation\3. Analysis &amp; Design\Design\FC22\DRR Jaime\QUIFA-CAJÚA\Cajua\[CAJUA_CF_SEC_New_27-Feb-2024Rev3.xlsx]D-PND'!</v>
      </c>
      <c r="G1770" s="32" t="s">
        <v>38</v>
      </c>
      <c r="H1770" s="33">
        <f t="shared" si="424"/>
        <v>32</v>
      </c>
      <c r="I1770" s="33" t="str">
        <f t="shared" si="423"/>
        <v>='C:\Users\jaime.benazar\Quorum Business Solutions\Ecopetrol Prometeo - Documents\Planning Space Implementation\3. Analysis &amp; Design\Design\FC22\DRR Jaime\QUIFA-CAJÚA\Cajua\[CAJUA_CF_SEC_New_27-Feb-2024Rev3.xlsx]D-PND'!$BX$32</v>
      </c>
      <c r="J1770" s="37" t="s">
        <v>2834</v>
      </c>
    </row>
    <row r="1771" spans="1:10" x14ac:dyDescent="0.25">
      <c r="A1771" s="32" t="s">
        <v>3</v>
      </c>
      <c r="B1771" s="32">
        <f>+B1770+1</f>
        <v>2044</v>
      </c>
      <c r="C1771" s="33" t="s">
        <v>17</v>
      </c>
      <c r="D1771" s="34" t="s">
        <v>1999</v>
      </c>
      <c r="E1771" s="35" t="str">
        <f t="shared" ref="E1771:E1786" si="430">_xlfn.CONCAT(A1771,"'!")</f>
        <v>PND'!</v>
      </c>
      <c r="F1771" s="34" t="str">
        <f t="shared" ref="F1771:F1786" si="431">_xlfn.CONCAT(D1771:E1771)</f>
        <v>C:\Users\jaime.benazar\Quorum Business Solutions\Ecopetrol Prometeo - Documents\Planning Space Implementation\3. Analysis &amp; Design\Design\FC22\DRR Jaime\QUIFA-CAJÚA\Cajua\[CAJUA_CF_SEC_New_27-Feb-2024Rev3.xlsx]D-PND'!</v>
      </c>
      <c r="G1771" s="32" t="s">
        <v>38</v>
      </c>
      <c r="H1771" s="33">
        <f t="shared" ref="H1771:H1786" si="432">IF(A1771&lt;&gt;A1770,12,H1770+1)</f>
        <v>33</v>
      </c>
      <c r="I1771" s="33" t="str">
        <f t="shared" ref="I1771:I1786" si="433">_xlfn.CONCAT("='",F1771:H1771)</f>
        <v>='C:\Users\jaime.benazar\Quorum Business Solutions\Ecopetrol Prometeo - Documents\Planning Space Implementation\3. Analysis &amp; Design\Design\FC22\DRR Jaime\QUIFA-CAJÚA\Cajua\[CAJUA_CF_SEC_New_27-Feb-2024Rev3.xlsx]D-PND'!$BX$33</v>
      </c>
      <c r="J1771" s="37" t="s">
        <v>2835</v>
      </c>
    </row>
    <row r="1772" spans="1:10" x14ac:dyDescent="0.25">
      <c r="A1772" s="32" t="s">
        <v>3</v>
      </c>
      <c r="B1772" s="32">
        <f t="shared" ref="B1772:B1786" si="434">+B1771+1</f>
        <v>2045</v>
      </c>
      <c r="C1772" s="33" t="s">
        <v>17</v>
      </c>
      <c r="D1772" s="34" t="s">
        <v>1999</v>
      </c>
      <c r="E1772" s="35" t="str">
        <f t="shared" si="430"/>
        <v>PND'!</v>
      </c>
      <c r="F1772" s="34" t="str">
        <f t="shared" si="431"/>
        <v>C:\Users\jaime.benazar\Quorum Business Solutions\Ecopetrol Prometeo - Documents\Planning Space Implementation\3. Analysis &amp; Design\Design\FC22\DRR Jaime\QUIFA-CAJÚA\Cajua\[CAJUA_CF_SEC_New_27-Feb-2024Rev3.xlsx]D-PND'!</v>
      </c>
      <c r="G1772" s="32" t="s">
        <v>38</v>
      </c>
      <c r="H1772" s="33">
        <f t="shared" si="432"/>
        <v>34</v>
      </c>
      <c r="I1772" s="33" t="str">
        <f t="shared" si="433"/>
        <v>='C:\Users\jaime.benazar\Quorum Business Solutions\Ecopetrol Prometeo - Documents\Planning Space Implementation\3. Analysis &amp; Design\Design\FC22\DRR Jaime\QUIFA-CAJÚA\Cajua\[CAJUA_CF_SEC_New_27-Feb-2024Rev3.xlsx]D-PND'!$BX$34</v>
      </c>
      <c r="J1772" s="37" t="s">
        <v>2836</v>
      </c>
    </row>
    <row r="1773" spans="1:10" x14ac:dyDescent="0.25">
      <c r="A1773" s="32" t="s">
        <v>3</v>
      </c>
      <c r="B1773" s="32">
        <f t="shared" si="434"/>
        <v>2046</v>
      </c>
      <c r="C1773" s="33" t="s">
        <v>17</v>
      </c>
      <c r="D1773" s="34" t="s">
        <v>1999</v>
      </c>
      <c r="E1773" s="35" t="str">
        <f t="shared" si="430"/>
        <v>PND'!</v>
      </c>
      <c r="F1773" s="34" t="str">
        <f t="shared" si="431"/>
        <v>C:\Users\jaime.benazar\Quorum Business Solutions\Ecopetrol Prometeo - Documents\Planning Space Implementation\3. Analysis &amp; Design\Design\FC22\DRR Jaime\QUIFA-CAJÚA\Cajua\[CAJUA_CF_SEC_New_27-Feb-2024Rev3.xlsx]D-PND'!</v>
      </c>
      <c r="G1773" s="32" t="s">
        <v>38</v>
      </c>
      <c r="H1773" s="33">
        <f t="shared" si="432"/>
        <v>35</v>
      </c>
      <c r="I1773" s="33" t="str">
        <f t="shared" si="433"/>
        <v>='C:\Users\jaime.benazar\Quorum Business Solutions\Ecopetrol Prometeo - Documents\Planning Space Implementation\3. Analysis &amp; Design\Design\FC22\DRR Jaime\QUIFA-CAJÚA\Cajua\[CAJUA_CF_SEC_New_27-Feb-2024Rev3.xlsx]D-PND'!$BX$35</v>
      </c>
      <c r="J1773" s="37" t="s">
        <v>2837</v>
      </c>
    </row>
    <row r="1774" spans="1:10" x14ac:dyDescent="0.25">
      <c r="A1774" s="32" t="s">
        <v>3</v>
      </c>
      <c r="B1774" s="32">
        <f t="shared" si="434"/>
        <v>2047</v>
      </c>
      <c r="C1774" s="33" t="s">
        <v>17</v>
      </c>
      <c r="D1774" s="34" t="s">
        <v>1999</v>
      </c>
      <c r="E1774" s="35" t="str">
        <f t="shared" si="430"/>
        <v>PND'!</v>
      </c>
      <c r="F1774" s="34" t="str">
        <f t="shared" si="431"/>
        <v>C:\Users\jaime.benazar\Quorum Business Solutions\Ecopetrol Prometeo - Documents\Planning Space Implementation\3. Analysis &amp; Design\Design\FC22\DRR Jaime\QUIFA-CAJÚA\Cajua\[CAJUA_CF_SEC_New_27-Feb-2024Rev3.xlsx]D-PND'!</v>
      </c>
      <c r="G1774" s="32" t="s">
        <v>38</v>
      </c>
      <c r="H1774" s="33">
        <f t="shared" si="432"/>
        <v>36</v>
      </c>
      <c r="I1774" s="33" t="str">
        <f t="shared" si="433"/>
        <v>='C:\Users\jaime.benazar\Quorum Business Solutions\Ecopetrol Prometeo - Documents\Planning Space Implementation\3. Analysis &amp; Design\Design\FC22\DRR Jaime\QUIFA-CAJÚA\Cajua\[CAJUA_CF_SEC_New_27-Feb-2024Rev3.xlsx]D-PND'!$BX$36</v>
      </c>
      <c r="J1774" s="37" t="s">
        <v>2838</v>
      </c>
    </row>
    <row r="1775" spans="1:10" x14ac:dyDescent="0.25">
      <c r="A1775" s="32" t="s">
        <v>3</v>
      </c>
      <c r="B1775" s="32">
        <f t="shared" si="434"/>
        <v>2048</v>
      </c>
      <c r="C1775" s="33" t="s">
        <v>17</v>
      </c>
      <c r="D1775" s="34" t="s">
        <v>1999</v>
      </c>
      <c r="E1775" s="35" t="str">
        <f t="shared" si="430"/>
        <v>PND'!</v>
      </c>
      <c r="F1775" s="34" t="str">
        <f t="shared" si="431"/>
        <v>C:\Users\jaime.benazar\Quorum Business Solutions\Ecopetrol Prometeo - Documents\Planning Space Implementation\3. Analysis &amp; Design\Design\FC22\DRR Jaime\QUIFA-CAJÚA\Cajua\[CAJUA_CF_SEC_New_27-Feb-2024Rev3.xlsx]D-PND'!</v>
      </c>
      <c r="G1775" s="32" t="s">
        <v>38</v>
      </c>
      <c r="H1775" s="33">
        <f t="shared" si="432"/>
        <v>37</v>
      </c>
      <c r="I1775" s="33" t="str">
        <f t="shared" si="433"/>
        <v>='C:\Users\jaime.benazar\Quorum Business Solutions\Ecopetrol Prometeo - Documents\Planning Space Implementation\3. Analysis &amp; Design\Design\FC22\DRR Jaime\QUIFA-CAJÚA\Cajua\[CAJUA_CF_SEC_New_27-Feb-2024Rev3.xlsx]D-PND'!$BX$37</v>
      </c>
      <c r="J1775" s="37" t="s">
        <v>2839</v>
      </c>
    </row>
    <row r="1776" spans="1:10" x14ac:dyDescent="0.25">
      <c r="A1776" s="32" t="s">
        <v>3</v>
      </c>
      <c r="B1776" s="32">
        <f t="shared" si="434"/>
        <v>2049</v>
      </c>
      <c r="C1776" s="33" t="s">
        <v>17</v>
      </c>
      <c r="D1776" s="34" t="s">
        <v>1999</v>
      </c>
      <c r="E1776" s="35" t="str">
        <f t="shared" si="430"/>
        <v>PND'!</v>
      </c>
      <c r="F1776" s="34" t="str">
        <f t="shared" si="431"/>
        <v>C:\Users\jaime.benazar\Quorum Business Solutions\Ecopetrol Prometeo - Documents\Planning Space Implementation\3. Analysis &amp; Design\Design\FC22\DRR Jaime\QUIFA-CAJÚA\Cajua\[CAJUA_CF_SEC_New_27-Feb-2024Rev3.xlsx]D-PND'!</v>
      </c>
      <c r="G1776" s="32" t="s">
        <v>38</v>
      </c>
      <c r="H1776" s="33">
        <f t="shared" si="432"/>
        <v>38</v>
      </c>
      <c r="I1776" s="33" t="str">
        <f t="shared" si="433"/>
        <v>='C:\Users\jaime.benazar\Quorum Business Solutions\Ecopetrol Prometeo - Documents\Planning Space Implementation\3. Analysis &amp; Design\Design\FC22\DRR Jaime\QUIFA-CAJÚA\Cajua\[CAJUA_CF_SEC_New_27-Feb-2024Rev3.xlsx]D-PND'!$BX$38</v>
      </c>
      <c r="J1776" s="37" t="s">
        <v>2840</v>
      </c>
    </row>
    <row r="1777" spans="1:10" x14ac:dyDescent="0.25">
      <c r="A1777" s="32" t="s">
        <v>3</v>
      </c>
      <c r="B1777" s="32">
        <f t="shared" si="434"/>
        <v>2050</v>
      </c>
      <c r="C1777" s="33" t="s">
        <v>17</v>
      </c>
      <c r="D1777" s="34" t="s">
        <v>1999</v>
      </c>
      <c r="E1777" s="35" t="str">
        <f t="shared" si="430"/>
        <v>PND'!</v>
      </c>
      <c r="F1777" s="34" t="str">
        <f t="shared" si="431"/>
        <v>C:\Users\jaime.benazar\Quorum Business Solutions\Ecopetrol Prometeo - Documents\Planning Space Implementation\3. Analysis &amp; Design\Design\FC22\DRR Jaime\QUIFA-CAJÚA\Cajua\[CAJUA_CF_SEC_New_27-Feb-2024Rev3.xlsx]D-PND'!</v>
      </c>
      <c r="G1777" s="32" t="s">
        <v>38</v>
      </c>
      <c r="H1777" s="33">
        <f t="shared" si="432"/>
        <v>39</v>
      </c>
      <c r="I1777" s="33" t="str">
        <f t="shared" si="433"/>
        <v>='C:\Users\jaime.benazar\Quorum Business Solutions\Ecopetrol Prometeo - Documents\Planning Space Implementation\3. Analysis &amp; Design\Design\FC22\DRR Jaime\QUIFA-CAJÚA\Cajua\[CAJUA_CF_SEC_New_27-Feb-2024Rev3.xlsx]D-PND'!$BX$39</v>
      </c>
      <c r="J1777" s="37" t="s">
        <v>2841</v>
      </c>
    </row>
    <row r="1778" spans="1:10" x14ac:dyDescent="0.25">
      <c r="A1778" s="32" t="s">
        <v>3</v>
      </c>
      <c r="B1778" s="32">
        <f t="shared" si="434"/>
        <v>2051</v>
      </c>
      <c r="C1778" s="33" t="s">
        <v>17</v>
      </c>
      <c r="D1778" s="34" t="s">
        <v>1999</v>
      </c>
      <c r="E1778" s="35" t="str">
        <f t="shared" si="430"/>
        <v>PND'!</v>
      </c>
      <c r="F1778" s="34" t="str">
        <f t="shared" si="431"/>
        <v>C:\Users\jaime.benazar\Quorum Business Solutions\Ecopetrol Prometeo - Documents\Planning Space Implementation\3. Analysis &amp; Design\Design\FC22\DRR Jaime\QUIFA-CAJÚA\Cajua\[CAJUA_CF_SEC_New_27-Feb-2024Rev3.xlsx]D-PND'!</v>
      </c>
      <c r="G1778" s="32" t="s">
        <v>38</v>
      </c>
      <c r="H1778" s="33">
        <f t="shared" si="432"/>
        <v>40</v>
      </c>
      <c r="I1778" s="33" t="str">
        <f t="shared" si="433"/>
        <v>='C:\Users\jaime.benazar\Quorum Business Solutions\Ecopetrol Prometeo - Documents\Planning Space Implementation\3. Analysis &amp; Design\Design\FC22\DRR Jaime\QUIFA-CAJÚA\Cajua\[CAJUA_CF_SEC_New_27-Feb-2024Rev3.xlsx]D-PND'!$BX$40</v>
      </c>
      <c r="J1778" s="37" t="s">
        <v>2842</v>
      </c>
    </row>
    <row r="1779" spans="1:10" x14ac:dyDescent="0.25">
      <c r="A1779" s="32" t="s">
        <v>3</v>
      </c>
      <c r="B1779" s="32">
        <f t="shared" si="434"/>
        <v>2052</v>
      </c>
      <c r="C1779" s="33" t="s">
        <v>17</v>
      </c>
      <c r="D1779" s="34" t="s">
        <v>1999</v>
      </c>
      <c r="E1779" s="35" t="str">
        <f t="shared" si="430"/>
        <v>PND'!</v>
      </c>
      <c r="F1779" s="34" t="str">
        <f t="shared" si="431"/>
        <v>C:\Users\jaime.benazar\Quorum Business Solutions\Ecopetrol Prometeo - Documents\Planning Space Implementation\3. Analysis &amp; Design\Design\FC22\DRR Jaime\QUIFA-CAJÚA\Cajua\[CAJUA_CF_SEC_New_27-Feb-2024Rev3.xlsx]D-PND'!</v>
      </c>
      <c r="G1779" s="32" t="s">
        <v>38</v>
      </c>
      <c r="H1779" s="33">
        <f t="shared" si="432"/>
        <v>41</v>
      </c>
      <c r="I1779" s="33" t="str">
        <f t="shared" si="433"/>
        <v>='C:\Users\jaime.benazar\Quorum Business Solutions\Ecopetrol Prometeo - Documents\Planning Space Implementation\3. Analysis &amp; Design\Design\FC22\DRR Jaime\QUIFA-CAJÚA\Cajua\[CAJUA_CF_SEC_New_27-Feb-2024Rev3.xlsx]D-PND'!$BX$41</v>
      </c>
      <c r="J1779" s="37" t="s">
        <v>2843</v>
      </c>
    </row>
    <row r="1780" spans="1:10" x14ac:dyDescent="0.25">
      <c r="A1780" s="32" t="s">
        <v>3</v>
      </c>
      <c r="B1780" s="32">
        <f t="shared" si="434"/>
        <v>2053</v>
      </c>
      <c r="C1780" s="33" t="s">
        <v>17</v>
      </c>
      <c r="D1780" s="34" t="s">
        <v>1999</v>
      </c>
      <c r="E1780" s="35" t="str">
        <f t="shared" si="430"/>
        <v>PND'!</v>
      </c>
      <c r="F1780" s="34" t="str">
        <f t="shared" si="431"/>
        <v>C:\Users\jaime.benazar\Quorum Business Solutions\Ecopetrol Prometeo - Documents\Planning Space Implementation\3. Analysis &amp; Design\Design\FC22\DRR Jaime\QUIFA-CAJÚA\Cajua\[CAJUA_CF_SEC_New_27-Feb-2024Rev3.xlsx]D-PND'!</v>
      </c>
      <c r="G1780" s="32" t="s">
        <v>38</v>
      </c>
      <c r="H1780" s="33">
        <f t="shared" si="432"/>
        <v>42</v>
      </c>
      <c r="I1780" s="33" t="str">
        <f t="shared" si="433"/>
        <v>='C:\Users\jaime.benazar\Quorum Business Solutions\Ecopetrol Prometeo - Documents\Planning Space Implementation\3. Analysis &amp; Design\Design\FC22\DRR Jaime\QUIFA-CAJÚA\Cajua\[CAJUA_CF_SEC_New_27-Feb-2024Rev3.xlsx]D-PND'!$BX$42</v>
      </c>
      <c r="J1780" s="37" t="s">
        <v>2844</v>
      </c>
    </row>
    <row r="1781" spans="1:10" x14ac:dyDescent="0.25">
      <c r="A1781" s="32" t="s">
        <v>3</v>
      </c>
      <c r="B1781" s="32">
        <f t="shared" si="434"/>
        <v>2054</v>
      </c>
      <c r="C1781" s="33" t="s">
        <v>17</v>
      </c>
      <c r="D1781" s="34" t="s">
        <v>1999</v>
      </c>
      <c r="E1781" s="35" t="str">
        <f t="shared" si="430"/>
        <v>PND'!</v>
      </c>
      <c r="F1781" s="34" t="str">
        <f t="shared" si="431"/>
        <v>C:\Users\jaime.benazar\Quorum Business Solutions\Ecopetrol Prometeo - Documents\Planning Space Implementation\3. Analysis &amp; Design\Design\FC22\DRR Jaime\QUIFA-CAJÚA\Cajua\[CAJUA_CF_SEC_New_27-Feb-2024Rev3.xlsx]D-PND'!</v>
      </c>
      <c r="G1781" s="32" t="s">
        <v>38</v>
      </c>
      <c r="H1781" s="33">
        <f t="shared" si="432"/>
        <v>43</v>
      </c>
      <c r="I1781" s="33" t="str">
        <f t="shared" si="433"/>
        <v>='C:\Users\jaime.benazar\Quorum Business Solutions\Ecopetrol Prometeo - Documents\Planning Space Implementation\3. Analysis &amp; Design\Design\FC22\DRR Jaime\QUIFA-CAJÚA\Cajua\[CAJUA_CF_SEC_New_27-Feb-2024Rev3.xlsx]D-PND'!$BX$43</v>
      </c>
      <c r="J1781" s="37" t="s">
        <v>2845</v>
      </c>
    </row>
    <row r="1782" spans="1:10" x14ac:dyDescent="0.25">
      <c r="A1782" s="32" t="s">
        <v>3</v>
      </c>
      <c r="B1782" s="32">
        <f t="shared" si="434"/>
        <v>2055</v>
      </c>
      <c r="C1782" s="33" t="s">
        <v>17</v>
      </c>
      <c r="D1782" s="34" t="s">
        <v>1999</v>
      </c>
      <c r="E1782" s="35" t="str">
        <f t="shared" si="430"/>
        <v>PND'!</v>
      </c>
      <c r="F1782" s="34" t="str">
        <f t="shared" si="431"/>
        <v>C:\Users\jaime.benazar\Quorum Business Solutions\Ecopetrol Prometeo - Documents\Planning Space Implementation\3. Analysis &amp; Design\Design\FC22\DRR Jaime\QUIFA-CAJÚA\Cajua\[CAJUA_CF_SEC_New_27-Feb-2024Rev3.xlsx]D-PND'!</v>
      </c>
      <c r="G1782" s="32" t="s">
        <v>38</v>
      </c>
      <c r="H1782" s="33">
        <f t="shared" si="432"/>
        <v>44</v>
      </c>
      <c r="I1782" s="33" t="str">
        <f t="shared" si="433"/>
        <v>='C:\Users\jaime.benazar\Quorum Business Solutions\Ecopetrol Prometeo - Documents\Planning Space Implementation\3. Analysis &amp; Design\Design\FC22\DRR Jaime\QUIFA-CAJÚA\Cajua\[CAJUA_CF_SEC_New_27-Feb-2024Rev3.xlsx]D-PND'!$BX$44</v>
      </c>
      <c r="J1782" s="37" t="s">
        <v>2846</v>
      </c>
    </row>
    <row r="1783" spans="1:10" x14ac:dyDescent="0.25">
      <c r="A1783" s="32" t="s">
        <v>3</v>
      </c>
      <c r="B1783" s="32">
        <f t="shared" si="434"/>
        <v>2056</v>
      </c>
      <c r="C1783" s="33" t="s">
        <v>17</v>
      </c>
      <c r="D1783" s="34" t="s">
        <v>1999</v>
      </c>
      <c r="E1783" s="35" t="str">
        <f t="shared" si="430"/>
        <v>PND'!</v>
      </c>
      <c r="F1783" s="34" t="str">
        <f t="shared" si="431"/>
        <v>C:\Users\jaime.benazar\Quorum Business Solutions\Ecopetrol Prometeo - Documents\Planning Space Implementation\3. Analysis &amp; Design\Design\FC22\DRR Jaime\QUIFA-CAJÚA\Cajua\[CAJUA_CF_SEC_New_27-Feb-2024Rev3.xlsx]D-PND'!</v>
      </c>
      <c r="G1783" s="32" t="s">
        <v>38</v>
      </c>
      <c r="H1783" s="33">
        <f t="shared" si="432"/>
        <v>45</v>
      </c>
      <c r="I1783" s="33" t="str">
        <f t="shared" si="433"/>
        <v>='C:\Users\jaime.benazar\Quorum Business Solutions\Ecopetrol Prometeo - Documents\Planning Space Implementation\3. Analysis &amp; Design\Design\FC22\DRR Jaime\QUIFA-CAJÚA\Cajua\[CAJUA_CF_SEC_New_27-Feb-2024Rev3.xlsx]D-PND'!$BX$45</v>
      </c>
      <c r="J1783" s="37" t="s">
        <v>2847</v>
      </c>
    </row>
    <row r="1784" spans="1:10" x14ac:dyDescent="0.25">
      <c r="A1784" s="32" t="s">
        <v>3</v>
      </c>
      <c r="B1784" s="32">
        <f t="shared" si="434"/>
        <v>2057</v>
      </c>
      <c r="C1784" s="33" t="s">
        <v>17</v>
      </c>
      <c r="D1784" s="34" t="s">
        <v>1999</v>
      </c>
      <c r="E1784" s="35" t="str">
        <f t="shared" si="430"/>
        <v>PND'!</v>
      </c>
      <c r="F1784" s="34" t="str">
        <f t="shared" si="431"/>
        <v>C:\Users\jaime.benazar\Quorum Business Solutions\Ecopetrol Prometeo - Documents\Planning Space Implementation\3. Analysis &amp; Design\Design\FC22\DRR Jaime\QUIFA-CAJÚA\Cajua\[CAJUA_CF_SEC_New_27-Feb-2024Rev3.xlsx]D-PND'!</v>
      </c>
      <c r="G1784" s="32" t="s">
        <v>38</v>
      </c>
      <c r="H1784" s="33">
        <f t="shared" si="432"/>
        <v>46</v>
      </c>
      <c r="I1784" s="33" t="str">
        <f t="shared" si="433"/>
        <v>='C:\Users\jaime.benazar\Quorum Business Solutions\Ecopetrol Prometeo - Documents\Planning Space Implementation\3. Analysis &amp; Design\Design\FC22\DRR Jaime\QUIFA-CAJÚA\Cajua\[CAJUA_CF_SEC_New_27-Feb-2024Rev3.xlsx]D-PND'!$BX$46</v>
      </c>
      <c r="J1784" s="37" t="s">
        <v>2848</v>
      </c>
    </row>
    <row r="1785" spans="1:10" x14ac:dyDescent="0.25">
      <c r="A1785" s="32" t="s">
        <v>3</v>
      </c>
      <c r="B1785" s="32">
        <f t="shared" si="434"/>
        <v>2058</v>
      </c>
      <c r="C1785" s="33" t="s">
        <v>17</v>
      </c>
      <c r="D1785" s="34" t="s">
        <v>1999</v>
      </c>
      <c r="E1785" s="35" t="str">
        <f t="shared" si="430"/>
        <v>PND'!</v>
      </c>
      <c r="F1785" s="34" t="str">
        <f t="shared" si="431"/>
        <v>C:\Users\jaime.benazar\Quorum Business Solutions\Ecopetrol Prometeo - Documents\Planning Space Implementation\3. Analysis &amp; Design\Design\FC22\DRR Jaime\QUIFA-CAJÚA\Cajua\[CAJUA_CF_SEC_New_27-Feb-2024Rev3.xlsx]D-PND'!</v>
      </c>
      <c r="G1785" s="32" t="s">
        <v>38</v>
      </c>
      <c r="H1785" s="33">
        <f t="shared" si="432"/>
        <v>47</v>
      </c>
      <c r="I1785" s="33" t="str">
        <f t="shared" si="433"/>
        <v>='C:\Users\jaime.benazar\Quorum Business Solutions\Ecopetrol Prometeo - Documents\Planning Space Implementation\3. Analysis &amp; Design\Design\FC22\DRR Jaime\QUIFA-CAJÚA\Cajua\[CAJUA_CF_SEC_New_27-Feb-2024Rev3.xlsx]D-PND'!$BX$47</v>
      </c>
      <c r="J1785" s="37" t="s">
        <v>2849</v>
      </c>
    </row>
    <row r="1786" spans="1:10" x14ac:dyDescent="0.25">
      <c r="A1786" s="32" t="s">
        <v>3</v>
      </c>
      <c r="B1786" s="32">
        <f t="shared" si="434"/>
        <v>2059</v>
      </c>
      <c r="C1786" s="33" t="s">
        <v>17</v>
      </c>
      <c r="D1786" s="34" t="s">
        <v>1999</v>
      </c>
      <c r="E1786" s="35" t="str">
        <f t="shared" si="430"/>
        <v>PND'!</v>
      </c>
      <c r="F1786" s="34" t="str">
        <f t="shared" si="431"/>
        <v>C:\Users\jaime.benazar\Quorum Business Solutions\Ecopetrol Prometeo - Documents\Planning Space Implementation\3. Analysis &amp; Design\Design\FC22\DRR Jaime\QUIFA-CAJÚA\Cajua\[CAJUA_CF_SEC_New_27-Feb-2024Rev3.xlsx]D-PND'!</v>
      </c>
      <c r="G1786" s="32" t="s">
        <v>38</v>
      </c>
      <c r="H1786" s="33">
        <f t="shared" si="432"/>
        <v>48</v>
      </c>
      <c r="I1786" s="33" t="str">
        <f t="shared" si="433"/>
        <v>='C:\Users\jaime.benazar\Quorum Business Solutions\Ecopetrol Prometeo - Documents\Planning Space Implementation\3. Analysis &amp; Design\Design\FC22\DRR Jaime\QUIFA-CAJÚA\Cajua\[CAJUA_CF_SEC_New_27-Feb-2024Rev3.xlsx]D-PND'!$BX$48</v>
      </c>
      <c r="J1786" s="37" t="s">
        <v>2850</v>
      </c>
    </row>
    <row r="1787" spans="1:10" x14ac:dyDescent="0.25">
      <c r="A1787" s="32" t="s">
        <v>28</v>
      </c>
      <c r="B1787" s="32"/>
      <c r="C1787" s="33" t="s">
        <v>17</v>
      </c>
      <c r="D1787" s="34"/>
      <c r="E1787" s="35"/>
      <c r="F1787" s="34"/>
      <c r="G1787" s="32"/>
      <c r="H1787" s="33"/>
      <c r="I1787" s="33"/>
      <c r="J1787" s="33"/>
    </row>
    <row r="1788" spans="1:10" x14ac:dyDescent="0.25">
      <c r="A1788" s="32" t="s">
        <v>99</v>
      </c>
      <c r="B1788" s="32">
        <v>2023</v>
      </c>
      <c r="C1788" s="33" t="s">
        <v>17</v>
      </c>
      <c r="D1788" s="34" t="s">
        <v>1999</v>
      </c>
      <c r="E1788" s="35" t="str">
        <f t="shared" ref="E1788:E1808" si="435">_xlfn.CONCAT(A1788,"'!")</f>
        <v>PRBDP'!</v>
      </c>
      <c r="F1788" s="34" t="str">
        <f t="shared" ref="F1788:F1808" si="436">_xlfn.CONCAT(D1788:E1788)</f>
        <v>C:\Users\jaime.benazar\Quorum Business Solutions\Ecopetrol Prometeo - Documents\Planning Space Implementation\3. Analysis &amp; Design\Design\FC22\DRR Jaime\QUIFA-CAJÚA\Cajua\[CAJUA_CF_SEC_New_27-Feb-2024Rev3.xlsx]D-PRBDP'!</v>
      </c>
      <c r="G1788" s="32" t="s">
        <v>38</v>
      </c>
      <c r="H1788" s="33"/>
      <c r="I1788" s="33"/>
      <c r="J1788" s="37"/>
    </row>
    <row r="1789" spans="1:10" x14ac:dyDescent="0.25">
      <c r="A1789" s="32" t="s">
        <v>99</v>
      </c>
      <c r="B1789" s="32">
        <f>+B1788+1</f>
        <v>2024</v>
      </c>
      <c r="C1789" s="33" t="s">
        <v>17</v>
      </c>
      <c r="D1789" s="34" t="s">
        <v>1999</v>
      </c>
      <c r="E1789" s="35" t="str">
        <f t="shared" si="435"/>
        <v>PRBDP'!</v>
      </c>
      <c r="F1789" s="34" t="str">
        <f t="shared" si="436"/>
        <v>C:\Users\jaime.benazar\Quorum Business Solutions\Ecopetrol Prometeo - Documents\Planning Space Implementation\3. Analysis &amp; Design\Design\FC22\DRR Jaime\QUIFA-CAJÚA\Cajua\[CAJUA_CF_SEC_New_27-Feb-2024Rev3.xlsx]D-PRBDP'!</v>
      </c>
      <c r="G1789" s="32" t="s">
        <v>38</v>
      </c>
      <c r="H1789" s="33"/>
      <c r="I1789" s="33"/>
      <c r="J1789" s="37"/>
    </row>
    <row r="1790" spans="1:10" x14ac:dyDescent="0.25">
      <c r="A1790" s="32" t="s">
        <v>99</v>
      </c>
      <c r="B1790" s="32">
        <f t="shared" ref="B1790:B1801" si="437">+B1789+1</f>
        <v>2025</v>
      </c>
      <c r="C1790" s="33" t="s">
        <v>17</v>
      </c>
      <c r="D1790" s="34" t="s">
        <v>1999</v>
      </c>
      <c r="E1790" s="35" t="str">
        <f t="shared" si="435"/>
        <v>PRBDP'!</v>
      </c>
      <c r="F1790" s="34" t="str">
        <f t="shared" si="436"/>
        <v>C:\Users\jaime.benazar\Quorum Business Solutions\Ecopetrol Prometeo - Documents\Planning Space Implementation\3. Analysis &amp; Design\Design\FC22\DRR Jaime\QUIFA-CAJÚA\Cajua\[CAJUA_CF_SEC_New_27-Feb-2024Rev3.xlsx]D-PRBDP'!</v>
      </c>
      <c r="G1790" s="32" t="s">
        <v>38</v>
      </c>
      <c r="H1790" s="33"/>
      <c r="I1790" s="33"/>
      <c r="J1790" s="37"/>
    </row>
    <row r="1791" spans="1:10" x14ac:dyDescent="0.25">
      <c r="A1791" s="32" t="s">
        <v>99</v>
      </c>
      <c r="B1791" s="32">
        <f t="shared" si="437"/>
        <v>2026</v>
      </c>
      <c r="C1791" s="33" t="s">
        <v>17</v>
      </c>
      <c r="D1791" s="34" t="s">
        <v>1999</v>
      </c>
      <c r="E1791" s="35" t="str">
        <f t="shared" si="435"/>
        <v>PRBDP'!</v>
      </c>
      <c r="F1791" s="34" t="str">
        <f t="shared" si="436"/>
        <v>C:\Users\jaime.benazar\Quorum Business Solutions\Ecopetrol Prometeo - Documents\Planning Space Implementation\3. Analysis &amp; Design\Design\FC22\DRR Jaime\QUIFA-CAJÚA\Cajua\[CAJUA_CF_SEC_New_27-Feb-2024Rev3.xlsx]D-PRBDP'!</v>
      </c>
      <c r="G1791" s="32" t="s">
        <v>38</v>
      </c>
      <c r="H1791" s="33"/>
      <c r="I1791" s="33"/>
      <c r="J1791" s="37"/>
    </row>
    <row r="1792" spans="1:10" x14ac:dyDescent="0.25">
      <c r="A1792" s="32" t="s">
        <v>99</v>
      </c>
      <c r="B1792" s="32">
        <f t="shared" si="437"/>
        <v>2027</v>
      </c>
      <c r="C1792" s="33" t="s">
        <v>17</v>
      </c>
      <c r="D1792" s="34" t="s">
        <v>1999</v>
      </c>
      <c r="E1792" s="35" t="str">
        <f t="shared" si="435"/>
        <v>PRBDP'!</v>
      </c>
      <c r="F1792" s="34" t="str">
        <f t="shared" si="436"/>
        <v>C:\Users\jaime.benazar\Quorum Business Solutions\Ecopetrol Prometeo - Documents\Planning Space Implementation\3. Analysis &amp; Design\Design\FC22\DRR Jaime\QUIFA-CAJÚA\Cajua\[CAJUA_CF_SEC_New_27-Feb-2024Rev3.xlsx]D-PRBDP'!</v>
      </c>
      <c r="G1792" s="32" t="s">
        <v>38</v>
      </c>
      <c r="H1792" s="33"/>
      <c r="I1792" s="33"/>
      <c r="J1792" s="37"/>
    </row>
    <row r="1793" spans="1:10" x14ac:dyDescent="0.25">
      <c r="A1793" s="32" t="s">
        <v>99</v>
      </c>
      <c r="B1793" s="32">
        <f t="shared" si="437"/>
        <v>2028</v>
      </c>
      <c r="C1793" s="33" t="s">
        <v>17</v>
      </c>
      <c r="D1793" s="34" t="s">
        <v>1999</v>
      </c>
      <c r="E1793" s="35" t="str">
        <f t="shared" si="435"/>
        <v>PRBDP'!</v>
      </c>
      <c r="F1793" s="34" t="str">
        <f t="shared" si="436"/>
        <v>C:\Users\jaime.benazar\Quorum Business Solutions\Ecopetrol Prometeo - Documents\Planning Space Implementation\3. Analysis &amp; Design\Design\FC22\DRR Jaime\QUIFA-CAJÚA\Cajua\[CAJUA_CF_SEC_New_27-Feb-2024Rev3.xlsx]D-PRBDP'!</v>
      </c>
      <c r="G1793" s="32" t="s">
        <v>38</v>
      </c>
      <c r="H1793" s="33"/>
      <c r="I1793" s="33"/>
      <c r="J1793" s="37"/>
    </row>
    <row r="1794" spans="1:10" x14ac:dyDescent="0.25">
      <c r="A1794" s="32" t="s">
        <v>99</v>
      </c>
      <c r="B1794" s="32">
        <f t="shared" si="437"/>
        <v>2029</v>
      </c>
      <c r="C1794" s="33" t="s">
        <v>17</v>
      </c>
      <c r="D1794" s="34" t="s">
        <v>1999</v>
      </c>
      <c r="E1794" s="35" t="str">
        <f t="shared" si="435"/>
        <v>PRBDP'!</v>
      </c>
      <c r="F1794" s="34" t="str">
        <f t="shared" si="436"/>
        <v>C:\Users\jaime.benazar\Quorum Business Solutions\Ecopetrol Prometeo - Documents\Planning Space Implementation\3. Analysis &amp; Design\Design\FC22\DRR Jaime\QUIFA-CAJÚA\Cajua\[CAJUA_CF_SEC_New_27-Feb-2024Rev3.xlsx]D-PRBDP'!</v>
      </c>
      <c r="G1794" s="32" t="s">
        <v>38</v>
      </c>
      <c r="H1794" s="33"/>
      <c r="I1794" s="33"/>
      <c r="J1794" s="37"/>
    </row>
    <row r="1795" spans="1:10" x14ac:dyDescent="0.25">
      <c r="A1795" s="32" t="s">
        <v>99</v>
      </c>
      <c r="B1795" s="32">
        <f t="shared" si="437"/>
        <v>2030</v>
      </c>
      <c r="C1795" s="33" t="s">
        <v>17</v>
      </c>
      <c r="D1795" s="34" t="s">
        <v>1999</v>
      </c>
      <c r="E1795" s="35" t="str">
        <f t="shared" si="435"/>
        <v>PRBDP'!</v>
      </c>
      <c r="F1795" s="34" t="str">
        <f t="shared" si="436"/>
        <v>C:\Users\jaime.benazar\Quorum Business Solutions\Ecopetrol Prometeo - Documents\Planning Space Implementation\3. Analysis &amp; Design\Design\FC22\DRR Jaime\QUIFA-CAJÚA\Cajua\[CAJUA_CF_SEC_New_27-Feb-2024Rev3.xlsx]D-PRBDP'!</v>
      </c>
      <c r="G1795" s="32" t="s">
        <v>38</v>
      </c>
      <c r="H1795" s="33"/>
      <c r="I1795" s="33"/>
      <c r="J1795" s="37"/>
    </row>
    <row r="1796" spans="1:10" x14ac:dyDescent="0.25">
      <c r="A1796" s="32" t="s">
        <v>99</v>
      </c>
      <c r="B1796" s="32">
        <f t="shared" si="437"/>
        <v>2031</v>
      </c>
      <c r="C1796" s="33" t="s">
        <v>17</v>
      </c>
      <c r="D1796" s="34" t="s">
        <v>1999</v>
      </c>
      <c r="E1796" s="35" t="str">
        <f t="shared" si="435"/>
        <v>PRBDP'!</v>
      </c>
      <c r="F1796" s="34" t="str">
        <f t="shared" si="436"/>
        <v>C:\Users\jaime.benazar\Quorum Business Solutions\Ecopetrol Prometeo - Documents\Planning Space Implementation\3. Analysis &amp; Design\Design\FC22\DRR Jaime\QUIFA-CAJÚA\Cajua\[CAJUA_CF_SEC_New_27-Feb-2024Rev3.xlsx]D-PRBDP'!</v>
      </c>
      <c r="G1796" s="32" t="s">
        <v>38</v>
      </c>
      <c r="H1796" s="33"/>
      <c r="I1796" s="33"/>
      <c r="J1796" s="37"/>
    </row>
    <row r="1797" spans="1:10" x14ac:dyDescent="0.25">
      <c r="A1797" s="32" t="s">
        <v>99</v>
      </c>
      <c r="B1797" s="32">
        <f t="shared" si="437"/>
        <v>2032</v>
      </c>
      <c r="C1797" s="33" t="s">
        <v>17</v>
      </c>
      <c r="D1797" s="34" t="s">
        <v>1999</v>
      </c>
      <c r="E1797" s="35" t="str">
        <f t="shared" si="435"/>
        <v>PRBDP'!</v>
      </c>
      <c r="F1797" s="34" t="str">
        <f t="shared" si="436"/>
        <v>C:\Users\jaime.benazar\Quorum Business Solutions\Ecopetrol Prometeo - Documents\Planning Space Implementation\3. Analysis &amp; Design\Design\FC22\DRR Jaime\QUIFA-CAJÚA\Cajua\[CAJUA_CF_SEC_New_27-Feb-2024Rev3.xlsx]D-PRBDP'!</v>
      </c>
      <c r="G1797" s="32" t="s">
        <v>38</v>
      </c>
      <c r="H1797" s="33"/>
      <c r="I1797" s="33"/>
      <c r="J1797" s="37"/>
    </row>
    <row r="1798" spans="1:10" x14ac:dyDescent="0.25">
      <c r="A1798" s="32" t="s">
        <v>99</v>
      </c>
      <c r="B1798" s="32">
        <f t="shared" si="437"/>
        <v>2033</v>
      </c>
      <c r="C1798" s="33" t="s">
        <v>17</v>
      </c>
      <c r="D1798" s="34" t="s">
        <v>1999</v>
      </c>
      <c r="E1798" s="35" t="str">
        <f t="shared" si="435"/>
        <v>PRBDP'!</v>
      </c>
      <c r="F1798" s="34" t="str">
        <f t="shared" si="436"/>
        <v>C:\Users\jaime.benazar\Quorum Business Solutions\Ecopetrol Prometeo - Documents\Planning Space Implementation\3. Analysis &amp; Design\Design\FC22\DRR Jaime\QUIFA-CAJÚA\Cajua\[CAJUA_CF_SEC_New_27-Feb-2024Rev3.xlsx]D-PRBDP'!</v>
      </c>
      <c r="G1798" s="32" t="s">
        <v>38</v>
      </c>
      <c r="H1798" s="33"/>
      <c r="I1798" s="33"/>
      <c r="J1798" s="37"/>
    </row>
    <row r="1799" spans="1:10" x14ac:dyDescent="0.25">
      <c r="A1799" s="32" t="s">
        <v>99</v>
      </c>
      <c r="B1799" s="32">
        <f t="shared" si="437"/>
        <v>2034</v>
      </c>
      <c r="C1799" s="33" t="s">
        <v>17</v>
      </c>
      <c r="D1799" s="34" t="s">
        <v>1999</v>
      </c>
      <c r="E1799" s="35" t="str">
        <f t="shared" si="435"/>
        <v>PRBDP'!</v>
      </c>
      <c r="F1799" s="34" t="str">
        <f t="shared" si="436"/>
        <v>C:\Users\jaime.benazar\Quorum Business Solutions\Ecopetrol Prometeo - Documents\Planning Space Implementation\3. Analysis &amp; Design\Design\FC22\DRR Jaime\QUIFA-CAJÚA\Cajua\[CAJUA_CF_SEC_New_27-Feb-2024Rev3.xlsx]D-PRBDP'!</v>
      </c>
      <c r="G1799" s="32" t="s">
        <v>38</v>
      </c>
      <c r="H1799" s="33"/>
      <c r="I1799" s="33"/>
      <c r="J1799" s="37"/>
    </row>
    <row r="1800" spans="1:10" x14ac:dyDescent="0.25">
      <c r="A1800" s="32" t="s">
        <v>99</v>
      </c>
      <c r="B1800" s="32">
        <f t="shared" si="437"/>
        <v>2035</v>
      </c>
      <c r="C1800" s="33" t="s">
        <v>17</v>
      </c>
      <c r="D1800" s="34" t="s">
        <v>1999</v>
      </c>
      <c r="E1800" s="35" t="str">
        <f t="shared" si="435"/>
        <v>PRBDP'!</v>
      </c>
      <c r="F1800" s="34" t="str">
        <f t="shared" si="436"/>
        <v>C:\Users\jaime.benazar\Quorum Business Solutions\Ecopetrol Prometeo - Documents\Planning Space Implementation\3. Analysis &amp; Design\Design\FC22\DRR Jaime\QUIFA-CAJÚA\Cajua\[CAJUA_CF_SEC_New_27-Feb-2024Rev3.xlsx]D-PRBDP'!</v>
      </c>
      <c r="G1800" s="32" t="s">
        <v>38</v>
      </c>
      <c r="H1800" s="33"/>
      <c r="I1800" s="33"/>
      <c r="J1800" s="37"/>
    </row>
    <row r="1801" spans="1:10" x14ac:dyDescent="0.25">
      <c r="A1801" s="32" t="s">
        <v>99</v>
      </c>
      <c r="B1801" s="32">
        <f t="shared" si="437"/>
        <v>2036</v>
      </c>
      <c r="C1801" s="33" t="s">
        <v>17</v>
      </c>
      <c r="D1801" s="34" t="s">
        <v>1999</v>
      </c>
      <c r="E1801" s="35" t="str">
        <f t="shared" si="435"/>
        <v>PRBDP'!</v>
      </c>
      <c r="F1801" s="34" t="str">
        <f t="shared" si="436"/>
        <v>C:\Users\jaime.benazar\Quorum Business Solutions\Ecopetrol Prometeo - Documents\Planning Space Implementation\3. Analysis &amp; Design\Design\FC22\DRR Jaime\QUIFA-CAJÚA\Cajua\[CAJUA_CF_SEC_New_27-Feb-2024Rev3.xlsx]D-PRBDP'!</v>
      </c>
      <c r="G1801" s="32" t="s">
        <v>38</v>
      </c>
      <c r="H1801" s="33"/>
      <c r="I1801" s="33"/>
      <c r="J1801" s="37"/>
    </row>
    <row r="1802" spans="1:10" x14ac:dyDescent="0.25">
      <c r="A1802" s="32" t="s">
        <v>99</v>
      </c>
      <c r="B1802" s="32">
        <f>+B1801+1</f>
        <v>2037</v>
      </c>
      <c r="C1802" s="33" t="s">
        <v>17</v>
      </c>
      <c r="D1802" s="34" t="s">
        <v>1999</v>
      </c>
      <c r="E1802" s="35" t="str">
        <f t="shared" si="435"/>
        <v>PRBDP'!</v>
      </c>
      <c r="F1802" s="34" t="str">
        <f t="shared" si="436"/>
        <v>C:\Users\jaime.benazar\Quorum Business Solutions\Ecopetrol Prometeo - Documents\Planning Space Implementation\3. Analysis &amp; Design\Design\FC22\DRR Jaime\QUIFA-CAJÚA\Cajua\[CAJUA_CF_SEC_New_27-Feb-2024Rev3.xlsx]D-PRBDP'!</v>
      </c>
      <c r="G1802" s="32" t="s">
        <v>38</v>
      </c>
      <c r="H1802" s="33"/>
      <c r="I1802" s="33"/>
      <c r="J1802" s="37"/>
    </row>
    <row r="1803" spans="1:10" x14ac:dyDescent="0.25">
      <c r="A1803" s="32" t="s">
        <v>99</v>
      </c>
      <c r="B1803" s="32">
        <f t="shared" ref="B1803:B1805" si="438">+B1802+1</f>
        <v>2038</v>
      </c>
      <c r="C1803" s="33" t="s">
        <v>17</v>
      </c>
      <c r="D1803" s="34" t="s">
        <v>1999</v>
      </c>
      <c r="E1803" s="35" t="str">
        <f t="shared" si="435"/>
        <v>PRBDP'!</v>
      </c>
      <c r="F1803" s="34" t="str">
        <f t="shared" si="436"/>
        <v>C:\Users\jaime.benazar\Quorum Business Solutions\Ecopetrol Prometeo - Documents\Planning Space Implementation\3. Analysis &amp; Design\Design\FC22\DRR Jaime\QUIFA-CAJÚA\Cajua\[CAJUA_CF_SEC_New_27-Feb-2024Rev3.xlsx]D-PRBDP'!</v>
      </c>
      <c r="G1803" s="32" t="s">
        <v>38</v>
      </c>
      <c r="H1803" s="33"/>
      <c r="I1803" s="33"/>
      <c r="J1803" s="37"/>
    </row>
    <row r="1804" spans="1:10" x14ac:dyDescent="0.25">
      <c r="A1804" s="32" t="s">
        <v>99</v>
      </c>
      <c r="B1804" s="32">
        <f t="shared" si="438"/>
        <v>2039</v>
      </c>
      <c r="C1804" s="33" t="s">
        <v>17</v>
      </c>
      <c r="D1804" s="34" t="s">
        <v>1999</v>
      </c>
      <c r="E1804" s="35" t="str">
        <f t="shared" si="435"/>
        <v>PRBDP'!</v>
      </c>
      <c r="F1804" s="34" t="str">
        <f t="shared" si="436"/>
        <v>C:\Users\jaime.benazar\Quorum Business Solutions\Ecopetrol Prometeo - Documents\Planning Space Implementation\3. Analysis &amp; Design\Design\FC22\DRR Jaime\QUIFA-CAJÚA\Cajua\[CAJUA_CF_SEC_New_27-Feb-2024Rev3.xlsx]D-PRBDP'!</v>
      </c>
      <c r="G1804" s="32" t="s">
        <v>38</v>
      </c>
      <c r="H1804" s="33"/>
      <c r="I1804" s="33"/>
      <c r="J1804" s="37"/>
    </row>
    <row r="1805" spans="1:10" x14ac:dyDescent="0.25">
      <c r="A1805" s="32" t="s">
        <v>99</v>
      </c>
      <c r="B1805" s="32">
        <f t="shared" si="438"/>
        <v>2040</v>
      </c>
      <c r="C1805" s="33" t="s">
        <v>17</v>
      </c>
      <c r="D1805" s="34" t="s">
        <v>1999</v>
      </c>
      <c r="E1805" s="35" t="str">
        <f t="shared" si="435"/>
        <v>PRBDP'!</v>
      </c>
      <c r="F1805" s="34" t="str">
        <f t="shared" si="436"/>
        <v>C:\Users\jaime.benazar\Quorum Business Solutions\Ecopetrol Prometeo - Documents\Planning Space Implementation\3. Analysis &amp; Design\Design\FC22\DRR Jaime\QUIFA-CAJÚA\Cajua\[CAJUA_CF_SEC_New_27-Feb-2024Rev3.xlsx]D-PRBDP'!</v>
      </c>
      <c r="G1805" s="32" t="s">
        <v>38</v>
      </c>
      <c r="H1805" s="33"/>
      <c r="I1805" s="33"/>
      <c r="J1805" s="37"/>
    </row>
    <row r="1806" spans="1:10" x14ac:dyDescent="0.25">
      <c r="A1806" s="32" t="s">
        <v>99</v>
      </c>
      <c r="B1806" s="32">
        <f>+B1805+1</f>
        <v>2041</v>
      </c>
      <c r="C1806" s="33" t="s">
        <v>17</v>
      </c>
      <c r="D1806" s="34" t="s">
        <v>1999</v>
      </c>
      <c r="E1806" s="35" t="str">
        <f t="shared" si="435"/>
        <v>PRBDP'!</v>
      </c>
      <c r="F1806" s="34" t="str">
        <f t="shared" si="436"/>
        <v>C:\Users\jaime.benazar\Quorum Business Solutions\Ecopetrol Prometeo - Documents\Planning Space Implementation\3. Analysis &amp; Design\Design\FC22\DRR Jaime\QUIFA-CAJÚA\Cajua\[CAJUA_CF_SEC_New_27-Feb-2024Rev3.xlsx]D-PRBDP'!</v>
      </c>
      <c r="G1806" s="32" t="s">
        <v>38</v>
      </c>
      <c r="H1806" s="33"/>
      <c r="I1806" s="33"/>
      <c r="J1806" s="37"/>
    </row>
    <row r="1807" spans="1:10" x14ac:dyDescent="0.25">
      <c r="A1807" s="32" t="s">
        <v>99</v>
      </c>
      <c r="B1807" s="32">
        <f t="shared" ref="B1807:B1808" si="439">+B1806+1</f>
        <v>2042</v>
      </c>
      <c r="C1807" s="33" t="s">
        <v>17</v>
      </c>
      <c r="D1807" s="34" t="s">
        <v>1999</v>
      </c>
      <c r="E1807" s="35" t="str">
        <f t="shared" si="435"/>
        <v>PRBDP'!</v>
      </c>
      <c r="F1807" s="34" t="str">
        <f t="shared" si="436"/>
        <v>C:\Users\jaime.benazar\Quorum Business Solutions\Ecopetrol Prometeo - Documents\Planning Space Implementation\3. Analysis &amp; Design\Design\FC22\DRR Jaime\QUIFA-CAJÚA\Cajua\[CAJUA_CF_SEC_New_27-Feb-2024Rev3.xlsx]D-PRBDP'!</v>
      </c>
      <c r="G1807" s="32" t="s">
        <v>38</v>
      </c>
      <c r="H1807" s="33"/>
      <c r="I1807" s="33"/>
      <c r="J1807" s="37"/>
    </row>
    <row r="1808" spans="1:10" x14ac:dyDescent="0.25">
      <c r="A1808" s="32" t="s">
        <v>99</v>
      </c>
      <c r="B1808" s="32">
        <f t="shared" si="439"/>
        <v>2043</v>
      </c>
      <c r="C1808" s="33" t="s">
        <v>17</v>
      </c>
      <c r="D1808" s="34" t="s">
        <v>1999</v>
      </c>
      <c r="E1808" s="35" t="str">
        <f t="shared" si="435"/>
        <v>PRBDP'!</v>
      </c>
      <c r="F1808" s="34" t="str">
        <f t="shared" si="436"/>
        <v>C:\Users\jaime.benazar\Quorum Business Solutions\Ecopetrol Prometeo - Documents\Planning Space Implementation\3. Analysis &amp; Design\Design\FC22\DRR Jaime\QUIFA-CAJÚA\Cajua\[CAJUA_CF_SEC_New_27-Feb-2024Rev3.xlsx]D-PRBDP'!</v>
      </c>
      <c r="G1808" s="32" t="s">
        <v>38</v>
      </c>
      <c r="H1808" s="33"/>
      <c r="I1808" s="33"/>
      <c r="J1808" s="37"/>
    </row>
    <row r="1809" spans="1:10" x14ac:dyDescent="0.25">
      <c r="A1809" s="32" t="s">
        <v>99</v>
      </c>
      <c r="B1809" s="32">
        <f>+B1808+1</f>
        <v>2044</v>
      </c>
      <c r="C1809" s="33" t="s">
        <v>17</v>
      </c>
      <c r="D1809" s="34" t="s">
        <v>1999</v>
      </c>
      <c r="E1809" s="35" t="str">
        <f t="shared" ref="E1809:E1824" si="440">_xlfn.CONCAT(A1809,"'!")</f>
        <v>PRBDP'!</v>
      </c>
      <c r="F1809" s="34" t="str">
        <f t="shared" ref="F1809:F1824" si="441">_xlfn.CONCAT(D1809:E1809)</f>
        <v>C:\Users\jaime.benazar\Quorum Business Solutions\Ecopetrol Prometeo - Documents\Planning Space Implementation\3. Analysis &amp; Design\Design\FC22\DRR Jaime\QUIFA-CAJÚA\Cajua\[CAJUA_CF_SEC_New_27-Feb-2024Rev3.xlsx]D-PRBDP'!</v>
      </c>
      <c r="G1809" s="32" t="s">
        <v>38</v>
      </c>
      <c r="H1809" s="33"/>
      <c r="I1809" s="33"/>
      <c r="J1809" s="37"/>
    </row>
    <row r="1810" spans="1:10" x14ac:dyDescent="0.25">
      <c r="A1810" s="32" t="s">
        <v>99</v>
      </c>
      <c r="B1810" s="32">
        <f t="shared" ref="B1810:B1824" si="442">+B1809+1</f>
        <v>2045</v>
      </c>
      <c r="C1810" s="33" t="s">
        <v>17</v>
      </c>
      <c r="D1810" s="34" t="s">
        <v>1999</v>
      </c>
      <c r="E1810" s="35" t="str">
        <f t="shared" si="440"/>
        <v>PRBDP'!</v>
      </c>
      <c r="F1810" s="34" t="str">
        <f t="shared" si="441"/>
        <v>C:\Users\jaime.benazar\Quorum Business Solutions\Ecopetrol Prometeo - Documents\Planning Space Implementation\3. Analysis &amp; Design\Design\FC22\DRR Jaime\QUIFA-CAJÚA\Cajua\[CAJUA_CF_SEC_New_27-Feb-2024Rev3.xlsx]D-PRBDP'!</v>
      </c>
      <c r="G1810" s="32" t="s">
        <v>38</v>
      </c>
      <c r="H1810" s="33"/>
      <c r="I1810" s="33"/>
      <c r="J1810" s="37"/>
    </row>
    <row r="1811" spans="1:10" x14ac:dyDescent="0.25">
      <c r="A1811" s="32" t="s">
        <v>99</v>
      </c>
      <c r="B1811" s="32">
        <f t="shared" si="442"/>
        <v>2046</v>
      </c>
      <c r="C1811" s="33" t="s">
        <v>17</v>
      </c>
      <c r="D1811" s="34" t="s">
        <v>1999</v>
      </c>
      <c r="E1811" s="35" t="str">
        <f t="shared" si="440"/>
        <v>PRBDP'!</v>
      </c>
      <c r="F1811" s="34" t="str">
        <f t="shared" si="441"/>
        <v>C:\Users\jaime.benazar\Quorum Business Solutions\Ecopetrol Prometeo - Documents\Planning Space Implementation\3. Analysis &amp; Design\Design\FC22\DRR Jaime\QUIFA-CAJÚA\Cajua\[CAJUA_CF_SEC_New_27-Feb-2024Rev3.xlsx]D-PRBDP'!</v>
      </c>
      <c r="G1811" s="32" t="s">
        <v>38</v>
      </c>
      <c r="H1811" s="33"/>
      <c r="I1811" s="33"/>
      <c r="J1811" s="37"/>
    </row>
    <row r="1812" spans="1:10" x14ac:dyDescent="0.25">
      <c r="A1812" s="32" t="s">
        <v>99</v>
      </c>
      <c r="B1812" s="32">
        <f t="shared" si="442"/>
        <v>2047</v>
      </c>
      <c r="C1812" s="33" t="s">
        <v>17</v>
      </c>
      <c r="D1812" s="34" t="s">
        <v>1999</v>
      </c>
      <c r="E1812" s="35" t="str">
        <f t="shared" si="440"/>
        <v>PRBDP'!</v>
      </c>
      <c r="F1812" s="34" t="str">
        <f t="shared" si="441"/>
        <v>C:\Users\jaime.benazar\Quorum Business Solutions\Ecopetrol Prometeo - Documents\Planning Space Implementation\3. Analysis &amp; Design\Design\FC22\DRR Jaime\QUIFA-CAJÚA\Cajua\[CAJUA_CF_SEC_New_27-Feb-2024Rev3.xlsx]D-PRBDP'!</v>
      </c>
      <c r="G1812" s="32" t="s">
        <v>38</v>
      </c>
      <c r="H1812" s="33"/>
      <c r="I1812" s="33"/>
      <c r="J1812" s="37"/>
    </row>
    <row r="1813" spans="1:10" x14ac:dyDescent="0.25">
      <c r="A1813" s="32" t="s">
        <v>99</v>
      </c>
      <c r="B1813" s="32">
        <f t="shared" si="442"/>
        <v>2048</v>
      </c>
      <c r="C1813" s="33" t="s">
        <v>17</v>
      </c>
      <c r="D1813" s="34" t="s">
        <v>1999</v>
      </c>
      <c r="E1813" s="35" t="str">
        <f t="shared" si="440"/>
        <v>PRBDP'!</v>
      </c>
      <c r="F1813" s="34" t="str">
        <f t="shared" si="441"/>
        <v>C:\Users\jaime.benazar\Quorum Business Solutions\Ecopetrol Prometeo - Documents\Planning Space Implementation\3. Analysis &amp; Design\Design\FC22\DRR Jaime\QUIFA-CAJÚA\Cajua\[CAJUA_CF_SEC_New_27-Feb-2024Rev3.xlsx]D-PRBDP'!</v>
      </c>
      <c r="G1813" s="32" t="s">
        <v>38</v>
      </c>
      <c r="H1813" s="33"/>
      <c r="I1813" s="33"/>
      <c r="J1813" s="37"/>
    </row>
    <row r="1814" spans="1:10" x14ac:dyDescent="0.25">
      <c r="A1814" s="32" t="s">
        <v>99</v>
      </c>
      <c r="B1814" s="32">
        <f t="shared" si="442"/>
        <v>2049</v>
      </c>
      <c r="C1814" s="33" t="s">
        <v>17</v>
      </c>
      <c r="D1814" s="34" t="s">
        <v>1999</v>
      </c>
      <c r="E1814" s="35" t="str">
        <f t="shared" si="440"/>
        <v>PRBDP'!</v>
      </c>
      <c r="F1814" s="34" t="str">
        <f t="shared" si="441"/>
        <v>C:\Users\jaime.benazar\Quorum Business Solutions\Ecopetrol Prometeo - Documents\Planning Space Implementation\3. Analysis &amp; Design\Design\FC22\DRR Jaime\QUIFA-CAJÚA\Cajua\[CAJUA_CF_SEC_New_27-Feb-2024Rev3.xlsx]D-PRBDP'!</v>
      </c>
      <c r="G1814" s="32" t="s">
        <v>38</v>
      </c>
      <c r="H1814" s="33"/>
      <c r="I1814" s="33"/>
      <c r="J1814" s="37"/>
    </row>
    <row r="1815" spans="1:10" x14ac:dyDescent="0.25">
      <c r="A1815" s="32" t="s">
        <v>99</v>
      </c>
      <c r="B1815" s="32">
        <f t="shared" si="442"/>
        <v>2050</v>
      </c>
      <c r="C1815" s="33" t="s">
        <v>17</v>
      </c>
      <c r="D1815" s="34" t="s">
        <v>1999</v>
      </c>
      <c r="E1815" s="35" t="str">
        <f t="shared" si="440"/>
        <v>PRBDP'!</v>
      </c>
      <c r="F1815" s="34" t="str">
        <f t="shared" si="441"/>
        <v>C:\Users\jaime.benazar\Quorum Business Solutions\Ecopetrol Prometeo - Documents\Planning Space Implementation\3. Analysis &amp; Design\Design\FC22\DRR Jaime\QUIFA-CAJÚA\Cajua\[CAJUA_CF_SEC_New_27-Feb-2024Rev3.xlsx]D-PRBDP'!</v>
      </c>
      <c r="G1815" s="32" t="s">
        <v>38</v>
      </c>
      <c r="H1815" s="33"/>
      <c r="I1815" s="33"/>
      <c r="J1815" s="37"/>
    </row>
    <row r="1816" spans="1:10" x14ac:dyDescent="0.25">
      <c r="A1816" s="32" t="s">
        <v>99</v>
      </c>
      <c r="B1816" s="32">
        <f t="shared" si="442"/>
        <v>2051</v>
      </c>
      <c r="C1816" s="33" t="s">
        <v>17</v>
      </c>
      <c r="D1816" s="34" t="s">
        <v>1999</v>
      </c>
      <c r="E1816" s="35" t="str">
        <f t="shared" si="440"/>
        <v>PRBDP'!</v>
      </c>
      <c r="F1816" s="34" t="str">
        <f t="shared" si="441"/>
        <v>C:\Users\jaime.benazar\Quorum Business Solutions\Ecopetrol Prometeo - Documents\Planning Space Implementation\3. Analysis &amp; Design\Design\FC22\DRR Jaime\QUIFA-CAJÚA\Cajua\[CAJUA_CF_SEC_New_27-Feb-2024Rev3.xlsx]D-PRBDP'!</v>
      </c>
      <c r="G1816" s="32" t="s">
        <v>38</v>
      </c>
      <c r="H1816" s="33"/>
      <c r="I1816" s="33"/>
      <c r="J1816" s="37"/>
    </row>
    <row r="1817" spans="1:10" x14ac:dyDescent="0.25">
      <c r="A1817" s="32" t="s">
        <v>99</v>
      </c>
      <c r="B1817" s="32">
        <f t="shared" si="442"/>
        <v>2052</v>
      </c>
      <c r="C1817" s="33" t="s">
        <v>17</v>
      </c>
      <c r="D1817" s="34" t="s">
        <v>1999</v>
      </c>
      <c r="E1817" s="35" t="str">
        <f t="shared" si="440"/>
        <v>PRBDP'!</v>
      </c>
      <c r="F1817" s="34" t="str">
        <f t="shared" si="441"/>
        <v>C:\Users\jaime.benazar\Quorum Business Solutions\Ecopetrol Prometeo - Documents\Planning Space Implementation\3. Analysis &amp; Design\Design\FC22\DRR Jaime\QUIFA-CAJÚA\Cajua\[CAJUA_CF_SEC_New_27-Feb-2024Rev3.xlsx]D-PRBDP'!</v>
      </c>
      <c r="G1817" s="32" t="s">
        <v>38</v>
      </c>
      <c r="H1817" s="33"/>
      <c r="I1817" s="33"/>
      <c r="J1817" s="37"/>
    </row>
    <row r="1818" spans="1:10" x14ac:dyDescent="0.25">
      <c r="A1818" s="32" t="s">
        <v>99</v>
      </c>
      <c r="B1818" s="32">
        <f t="shared" si="442"/>
        <v>2053</v>
      </c>
      <c r="C1818" s="33" t="s">
        <v>17</v>
      </c>
      <c r="D1818" s="34" t="s">
        <v>1999</v>
      </c>
      <c r="E1818" s="35" t="str">
        <f t="shared" si="440"/>
        <v>PRBDP'!</v>
      </c>
      <c r="F1818" s="34" t="str">
        <f t="shared" si="441"/>
        <v>C:\Users\jaime.benazar\Quorum Business Solutions\Ecopetrol Prometeo - Documents\Planning Space Implementation\3. Analysis &amp; Design\Design\FC22\DRR Jaime\QUIFA-CAJÚA\Cajua\[CAJUA_CF_SEC_New_27-Feb-2024Rev3.xlsx]D-PRBDP'!</v>
      </c>
      <c r="G1818" s="32" t="s">
        <v>38</v>
      </c>
      <c r="H1818" s="33"/>
      <c r="I1818" s="33"/>
      <c r="J1818" s="37"/>
    </row>
    <row r="1819" spans="1:10" x14ac:dyDescent="0.25">
      <c r="A1819" s="32" t="s">
        <v>99</v>
      </c>
      <c r="B1819" s="32">
        <f t="shared" si="442"/>
        <v>2054</v>
      </c>
      <c r="C1819" s="33" t="s">
        <v>17</v>
      </c>
      <c r="D1819" s="34" t="s">
        <v>1999</v>
      </c>
      <c r="E1819" s="35" t="str">
        <f t="shared" si="440"/>
        <v>PRBDP'!</v>
      </c>
      <c r="F1819" s="34" t="str">
        <f t="shared" si="441"/>
        <v>C:\Users\jaime.benazar\Quorum Business Solutions\Ecopetrol Prometeo - Documents\Planning Space Implementation\3. Analysis &amp; Design\Design\FC22\DRR Jaime\QUIFA-CAJÚA\Cajua\[CAJUA_CF_SEC_New_27-Feb-2024Rev3.xlsx]D-PRBDP'!</v>
      </c>
      <c r="G1819" s="32" t="s">
        <v>38</v>
      </c>
      <c r="H1819" s="33"/>
      <c r="I1819" s="33"/>
      <c r="J1819" s="37"/>
    </row>
    <row r="1820" spans="1:10" x14ac:dyDescent="0.25">
      <c r="A1820" s="32" t="s">
        <v>99</v>
      </c>
      <c r="B1820" s="32">
        <f t="shared" si="442"/>
        <v>2055</v>
      </c>
      <c r="C1820" s="33" t="s">
        <v>17</v>
      </c>
      <c r="D1820" s="34" t="s">
        <v>1999</v>
      </c>
      <c r="E1820" s="35" t="str">
        <f t="shared" si="440"/>
        <v>PRBDP'!</v>
      </c>
      <c r="F1820" s="34" t="str">
        <f t="shared" si="441"/>
        <v>C:\Users\jaime.benazar\Quorum Business Solutions\Ecopetrol Prometeo - Documents\Planning Space Implementation\3. Analysis &amp; Design\Design\FC22\DRR Jaime\QUIFA-CAJÚA\Cajua\[CAJUA_CF_SEC_New_27-Feb-2024Rev3.xlsx]D-PRBDP'!</v>
      </c>
      <c r="G1820" s="32" t="s">
        <v>38</v>
      </c>
      <c r="H1820" s="33"/>
      <c r="I1820" s="33"/>
      <c r="J1820" s="37"/>
    </row>
    <row r="1821" spans="1:10" x14ac:dyDescent="0.25">
      <c r="A1821" s="32" t="s">
        <v>99</v>
      </c>
      <c r="B1821" s="32">
        <f t="shared" si="442"/>
        <v>2056</v>
      </c>
      <c r="C1821" s="33" t="s">
        <v>17</v>
      </c>
      <c r="D1821" s="34" t="s">
        <v>1999</v>
      </c>
      <c r="E1821" s="35" t="str">
        <f t="shared" si="440"/>
        <v>PRBDP'!</v>
      </c>
      <c r="F1821" s="34" t="str">
        <f t="shared" si="441"/>
        <v>C:\Users\jaime.benazar\Quorum Business Solutions\Ecopetrol Prometeo - Documents\Planning Space Implementation\3. Analysis &amp; Design\Design\FC22\DRR Jaime\QUIFA-CAJÚA\Cajua\[CAJUA_CF_SEC_New_27-Feb-2024Rev3.xlsx]D-PRBDP'!</v>
      </c>
      <c r="G1821" s="32" t="s">
        <v>38</v>
      </c>
      <c r="H1821" s="33"/>
      <c r="I1821" s="33"/>
      <c r="J1821" s="37"/>
    </row>
    <row r="1822" spans="1:10" x14ac:dyDescent="0.25">
      <c r="A1822" s="32" t="s">
        <v>99</v>
      </c>
      <c r="B1822" s="32">
        <f t="shared" si="442"/>
        <v>2057</v>
      </c>
      <c r="C1822" s="33" t="s">
        <v>17</v>
      </c>
      <c r="D1822" s="34" t="s">
        <v>1999</v>
      </c>
      <c r="E1822" s="35" t="str">
        <f t="shared" si="440"/>
        <v>PRBDP'!</v>
      </c>
      <c r="F1822" s="34" t="str">
        <f t="shared" si="441"/>
        <v>C:\Users\jaime.benazar\Quorum Business Solutions\Ecopetrol Prometeo - Documents\Planning Space Implementation\3. Analysis &amp; Design\Design\FC22\DRR Jaime\QUIFA-CAJÚA\Cajua\[CAJUA_CF_SEC_New_27-Feb-2024Rev3.xlsx]D-PRBDP'!</v>
      </c>
      <c r="G1822" s="32" t="s">
        <v>38</v>
      </c>
      <c r="H1822" s="33"/>
      <c r="I1822" s="33"/>
      <c r="J1822" s="37"/>
    </row>
    <row r="1823" spans="1:10" x14ac:dyDescent="0.25">
      <c r="A1823" s="32" t="s">
        <v>99</v>
      </c>
      <c r="B1823" s="32">
        <f t="shared" si="442"/>
        <v>2058</v>
      </c>
      <c r="C1823" s="33" t="s">
        <v>17</v>
      </c>
      <c r="D1823" s="34" t="s">
        <v>1999</v>
      </c>
      <c r="E1823" s="35" t="str">
        <f t="shared" si="440"/>
        <v>PRBDP'!</v>
      </c>
      <c r="F1823" s="34" t="str">
        <f t="shared" si="441"/>
        <v>C:\Users\jaime.benazar\Quorum Business Solutions\Ecopetrol Prometeo - Documents\Planning Space Implementation\3. Analysis &amp; Design\Design\FC22\DRR Jaime\QUIFA-CAJÚA\Cajua\[CAJUA_CF_SEC_New_27-Feb-2024Rev3.xlsx]D-PRBDP'!</v>
      </c>
      <c r="G1823" s="32" t="s">
        <v>38</v>
      </c>
      <c r="H1823" s="33"/>
      <c r="I1823" s="33"/>
      <c r="J1823" s="37"/>
    </row>
    <row r="1824" spans="1:10" x14ac:dyDescent="0.25">
      <c r="A1824" s="32" t="s">
        <v>99</v>
      </c>
      <c r="B1824" s="32">
        <f t="shared" si="442"/>
        <v>2059</v>
      </c>
      <c r="C1824" s="33" t="s">
        <v>17</v>
      </c>
      <c r="D1824" s="34" t="s">
        <v>1999</v>
      </c>
      <c r="E1824" s="35" t="str">
        <f t="shared" si="440"/>
        <v>PRBDP'!</v>
      </c>
      <c r="F1824" s="34" t="str">
        <f t="shared" si="441"/>
        <v>C:\Users\jaime.benazar\Quorum Business Solutions\Ecopetrol Prometeo - Documents\Planning Space Implementation\3. Analysis &amp; Design\Design\FC22\DRR Jaime\QUIFA-CAJÚA\Cajua\[CAJUA_CF_SEC_New_27-Feb-2024Rev3.xlsx]D-PRBDP'!</v>
      </c>
      <c r="G1824" s="32" t="s">
        <v>38</v>
      </c>
      <c r="H1824" s="33"/>
      <c r="I1824" s="33"/>
      <c r="J1824" s="37"/>
    </row>
    <row r="1825" spans="1:10" x14ac:dyDescent="0.25">
      <c r="A1825" s="32" t="s">
        <v>28</v>
      </c>
      <c r="B1825" s="32"/>
      <c r="C1825" s="33" t="s">
        <v>17</v>
      </c>
      <c r="D1825" s="34"/>
      <c r="E1825" s="35"/>
      <c r="F1825" s="34"/>
      <c r="G1825" s="32"/>
      <c r="H1825" s="33"/>
      <c r="I1825" s="33"/>
      <c r="J1825" s="33"/>
    </row>
    <row r="1826" spans="1:10" x14ac:dyDescent="0.25">
      <c r="A1826" s="32" t="s">
        <v>100</v>
      </c>
      <c r="B1826" s="32">
        <v>2023</v>
      </c>
      <c r="C1826" s="33" t="s">
        <v>17</v>
      </c>
      <c r="D1826" s="34" t="s">
        <v>1999</v>
      </c>
      <c r="E1826" s="35" t="str">
        <f t="shared" ref="E1826:E1846" si="443">_xlfn.CONCAT(A1826,"'!")</f>
        <v>PRBNP'!</v>
      </c>
      <c r="F1826" s="34" t="str">
        <f t="shared" ref="F1826:F1846" si="444">_xlfn.CONCAT(D1826:E1826)</f>
        <v>C:\Users\jaime.benazar\Quorum Business Solutions\Ecopetrol Prometeo - Documents\Planning Space Implementation\3. Analysis &amp; Design\Design\FC22\DRR Jaime\QUIFA-CAJÚA\Cajua\[CAJUA_CF_SEC_New_27-Feb-2024Rev3.xlsx]D-PRBNP'!</v>
      </c>
      <c r="G1826" s="32" t="s">
        <v>38</v>
      </c>
      <c r="H1826" s="33"/>
      <c r="I1826" s="33"/>
      <c r="J1826" s="37"/>
    </row>
    <row r="1827" spans="1:10" x14ac:dyDescent="0.25">
      <c r="A1827" s="32" t="s">
        <v>100</v>
      </c>
      <c r="B1827" s="32">
        <f>+B1826+1</f>
        <v>2024</v>
      </c>
      <c r="C1827" s="33" t="s">
        <v>17</v>
      </c>
      <c r="D1827" s="34" t="s">
        <v>1999</v>
      </c>
      <c r="E1827" s="35" t="str">
        <f t="shared" si="443"/>
        <v>PRBNP'!</v>
      </c>
      <c r="F1827" s="34" t="str">
        <f t="shared" si="444"/>
        <v>C:\Users\jaime.benazar\Quorum Business Solutions\Ecopetrol Prometeo - Documents\Planning Space Implementation\3. Analysis &amp; Design\Design\FC22\DRR Jaime\QUIFA-CAJÚA\Cajua\[CAJUA_CF_SEC_New_27-Feb-2024Rev3.xlsx]D-PRBNP'!</v>
      </c>
      <c r="G1827" s="32" t="s">
        <v>38</v>
      </c>
      <c r="H1827" s="33"/>
      <c r="I1827" s="33"/>
      <c r="J1827" s="37"/>
    </row>
    <row r="1828" spans="1:10" x14ac:dyDescent="0.25">
      <c r="A1828" s="32" t="s">
        <v>100</v>
      </c>
      <c r="B1828" s="32">
        <f t="shared" ref="B1828:B1839" si="445">+B1827+1</f>
        <v>2025</v>
      </c>
      <c r="C1828" s="33" t="s">
        <v>17</v>
      </c>
      <c r="D1828" s="34" t="s">
        <v>1999</v>
      </c>
      <c r="E1828" s="35" t="str">
        <f t="shared" si="443"/>
        <v>PRBNP'!</v>
      </c>
      <c r="F1828" s="34" t="str">
        <f t="shared" si="444"/>
        <v>C:\Users\jaime.benazar\Quorum Business Solutions\Ecopetrol Prometeo - Documents\Planning Space Implementation\3. Analysis &amp; Design\Design\FC22\DRR Jaime\QUIFA-CAJÚA\Cajua\[CAJUA_CF_SEC_New_27-Feb-2024Rev3.xlsx]D-PRBNP'!</v>
      </c>
      <c r="G1828" s="32" t="s">
        <v>38</v>
      </c>
      <c r="H1828" s="33"/>
      <c r="I1828" s="33"/>
      <c r="J1828" s="37"/>
    </row>
    <row r="1829" spans="1:10" x14ac:dyDescent="0.25">
      <c r="A1829" s="32" t="s">
        <v>100</v>
      </c>
      <c r="B1829" s="32">
        <f t="shared" si="445"/>
        <v>2026</v>
      </c>
      <c r="C1829" s="33" t="s">
        <v>17</v>
      </c>
      <c r="D1829" s="34" t="s">
        <v>1999</v>
      </c>
      <c r="E1829" s="35" t="str">
        <f t="shared" si="443"/>
        <v>PRBNP'!</v>
      </c>
      <c r="F1829" s="34" t="str">
        <f t="shared" si="444"/>
        <v>C:\Users\jaime.benazar\Quorum Business Solutions\Ecopetrol Prometeo - Documents\Planning Space Implementation\3. Analysis &amp; Design\Design\FC22\DRR Jaime\QUIFA-CAJÚA\Cajua\[CAJUA_CF_SEC_New_27-Feb-2024Rev3.xlsx]D-PRBNP'!</v>
      </c>
      <c r="G1829" s="32" t="s">
        <v>38</v>
      </c>
      <c r="H1829" s="33"/>
      <c r="I1829" s="33"/>
      <c r="J1829" s="37"/>
    </row>
    <row r="1830" spans="1:10" x14ac:dyDescent="0.25">
      <c r="A1830" s="32" t="s">
        <v>100</v>
      </c>
      <c r="B1830" s="32">
        <f t="shared" si="445"/>
        <v>2027</v>
      </c>
      <c r="C1830" s="33" t="s">
        <v>17</v>
      </c>
      <c r="D1830" s="34" t="s">
        <v>1999</v>
      </c>
      <c r="E1830" s="35" t="str">
        <f t="shared" si="443"/>
        <v>PRBNP'!</v>
      </c>
      <c r="F1830" s="34" t="str">
        <f t="shared" si="444"/>
        <v>C:\Users\jaime.benazar\Quorum Business Solutions\Ecopetrol Prometeo - Documents\Planning Space Implementation\3. Analysis &amp; Design\Design\FC22\DRR Jaime\QUIFA-CAJÚA\Cajua\[CAJUA_CF_SEC_New_27-Feb-2024Rev3.xlsx]D-PRBNP'!</v>
      </c>
      <c r="G1830" s="32" t="s">
        <v>38</v>
      </c>
      <c r="H1830" s="33"/>
      <c r="I1830" s="33"/>
      <c r="J1830" s="37"/>
    </row>
    <row r="1831" spans="1:10" x14ac:dyDescent="0.25">
      <c r="A1831" s="32" t="s">
        <v>100</v>
      </c>
      <c r="B1831" s="32">
        <f t="shared" si="445"/>
        <v>2028</v>
      </c>
      <c r="C1831" s="33" t="s">
        <v>17</v>
      </c>
      <c r="D1831" s="34" t="s">
        <v>1999</v>
      </c>
      <c r="E1831" s="35" t="str">
        <f t="shared" si="443"/>
        <v>PRBNP'!</v>
      </c>
      <c r="F1831" s="34" t="str">
        <f t="shared" si="444"/>
        <v>C:\Users\jaime.benazar\Quorum Business Solutions\Ecopetrol Prometeo - Documents\Planning Space Implementation\3. Analysis &amp; Design\Design\FC22\DRR Jaime\QUIFA-CAJÚA\Cajua\[CAJUA_CF_SEC_New_27-Feb-2024Rev3.xlsx]D-PRBNP'!</v>
      </c>
      <c r="G1831" s="32" t="s">
        <v>38</v>
      </c>
      <c r="H1831" s="33"/>
      <c r="I1831" s="33"/>
      <c r="J1831" s="37"/>
    </row>
    <row r="1832" spans="1:10" x14ac:dyDescent="0.25">
      <c r="A1832" s="32" t="s">
        <v>100</v>
      </c>
      <c r="B1832" s="32">
        <f t="shared" si="445"/>
        <v>2029</v>
      </c>
      <c r="C1832" s="33" t="s">
        <v>17</v>
      </c>
      <c r="D1832" s="34" t="s">
        <v>1999</v>
      </c>
      <c r="E1832" s="35" t="str">
        <f t="shared" si="443"/>
        <v>PRBNP'!</v>
      </c>
      <c r="F1832" s="34" t="str">
        <f t="shared" si="444"/>
        <v>C:\Users\jaime.benazar\Quorum Business Solutions\Ecopetrol Prometeo - Documents\Planning Space Implementation\3. Analysis &amp; Design\Design\FC22\DRR Jaime\QUIFA-CAJÚA\Cajua\[CAJUA_CF_SEC_New_27-Feb-2024Rev3.xlsx]D-PRBNP'!</v>
      </c>
      <c r="G1832" s="32" t="s">
        <v>38</v>
      </c>
      <c r="H1832" s="33"/>
      <c r="I1832" s="33"/>
      <c r="J1832" s="37"/>
    </row>
    <row r="1833" spans="1:10" x14ac:dyDescent="0.25">
      <c r="A1833" s="32" t="s">
        <v>100</v>
      </c>
      <c r="B1833" s="32">
        <f t="shared" si="445"/>
        <v>2030</v>
      </c>
      <c r="C1833" s="33" t="s">
        <v>17</v>
      </c>
      <c r="D1833" s="34" t="s">
        <v>1999</v>
      </c>
      <c r="E1833" s="35" t="str">
        <f t="shared" si="443"/>
        <v>PRBNP'!</v>
      </c>
      <c r="F1833" s="34" t="str">
        <f t="shared" si="444"/>
        <v>C:\Users\jaime.benazar\Quorum Business Solutions\Ecopetrol Prometeo - Documents\Planning Space Implementation\3. Analysis &amp; Design\Design\FC22\DRR Jaime\QUIFA-CAJÚA\Cajua\[CAJUA_CF_SEC_New_27-Feb-2024Rev3.xlsx]D-PRBNP'!</v>
      </c>
      <c r="G1833" s="32" t="s">
        <v>38</v>
      </c>
      <c r="H1833" s="33"/>
      <c r="I1833" s="33"/>
      <c r="J1833" s="37"/>
    </row>
    <row r="1834" spans="1:10" x14ac:dyDescent="0.25">
      <c r="A1834" s="32" t="s">
        <v>100</v>
      </c>
      <c r="B1834" s="32">
        <f t="shared" si="445"/>
        <v>2031</v>
      </c>
      <c r="C1834" s="33" t="s">
        <v>17</v>
      </c>
      <c r="D1834" s="34" t="s">
        <v>1999</v>
      </c>
      <c r="E1834" s="35" t="str">
        <f t="shared" si="443"/>
        <v>PRBNP'!</v>
      </c>
      <c r="F1834" s="34" t="str">
        <f t="shared" si="444"/>
        <v>C:\Users\jaime.benazar\Quorum Business Solutions\Ecopetrol Prometeo - Documents\Planning Space Implementation\3. Analysis &amp; Design\Design\FC22\DRR Jaime\QUIFA-CAJÚA\Cajua\[CAJUA_CF_SEC_New_27-Feb-2024Rev3.xlsx]D-PRBNP'!</v>
      </c>
      <c r="G1834" s="32" t="s">
        <v>38</v>
      </c>
      <c r="H1834" s="33"/>
      <c r="I1834" s="33"/>
      <c r="J1834" s="37"/>
    </row>
    <row r="1835" spans="1:10" x14ac:dyDescent="0.25">
      <c r="A1835" s="32" t="s">
        <v>100</v>
      </c>
      <c r="B1835" s="32">
        <f t="shared" si="445"/>
        <v>2032</v>
      </c>
      <c r="C1835" s="33" t="s">
        <v>17</v>
      </c>
      <c r="D1835" s="34" t="s">
        <v>1999</v>
      </c>
      <c r="E1835" s="35" t="str">
        <f t="shared" si="443"/>
        <v>PRBNP'!</v>
      </c>
      <c r="F1835" s="34" t="str">
        <f t="shared" si="444"/>
        <v>C:\Users\jaime.benazar\Quorum Business Solutions\Ecopetrol Prometeo - Documents\Planning Space Implementation\3. Analysis &amp; Design\Design\FC22\DRR Jaime\QUIFA-CAJÚA\Cajua\[CAJUA_CF_SEC_New_27-Feb-2024Rev3.xlsx]D-PRBNP'!</v>
      </c>
      <c r="G1835" s="32" t="s">
        <v>38</v>
      </c>
      <c r="H1835" s="33"/>
      <c r="I1835" s="33"/>
      <c r="J1835" s="37"/>
    </row>
    <row r="1836" spans="1:10" x14ac:dyDescent="0.25">
      <c r="A1836" s="32" t="s">
        <v>100</v>
      </c>
      <c r="B1836" s="32">
        <f t="shared" si="445"/>
        <v>2033</v>
      </c>
      <c r="C1836" s="33" t="s">
        <v>17</v>
      </c>
      <c r="D1836" s="34" t="s">
        <v>1999</v>
      </c>
      <c r="E1836" s="35" t="str">
        <f t="shared" si="443"/>
        <v>PRBNP'!</v>
      </c>
      <c r="F1836" s="34" t="str">
        <f t="shared" si="444"/>
        <v>C:\Users\jaime.benazar\Quorum Business Solutions\Ecopetrol Prometeo - Documents\Planning Space Implementation\3. Analysis &amp; Design\Design\FC22\DRR Jaime\QUIFA-CAJÚA\Cajua\[CAJUA_CF_SEC_New_27-Feb-2024Rev3.xlsx]D-PRBNP'!</v>
      </c>
      <c r="G1836" s="32" t="s">
        <v>38</v>
      </c>
      <c r="H1836" s="33"/>
      <c r="I1836" s="33"/>
      <c r="J1836" s="37"/>
    </row>
    <row r="1837" spans="1:10" x14ac:dyDescent="0.25">
      <c r="A1837" s="32" t="s">
        <v>100</v>
      </c>
      <c r="B1837" s="32">
        <f t="shared" si="445"/>
        <v>2034</v>
      </c>
      <c r="C1837" s="33" t="s">
        <v>17</v>
      </c>
      <c r="D1837" s="34" t="s">
        <v>1999</v>
      </c>
      <c r="E1837" s="35" t="str">
        <f t="shared" si="443"/>
        <v>PRBNP'!</v>
      </c>
      <c r="F1837" s="34" t="str">
        <f t="shared" si="444"/>
        <v>C:\Users\jaime.benazar\Quorum Business Solutions\Ecopetrol Prometeo - Documents\Planning Space Implementation\3. Analysis &amp; Design\Design\FC22\DRR Jaime\QUIFA-CAJÚA\Cajua\[CAJUA_CF_SEC_New_27-Feb-2024Rev3.xlsx]D-PRBNP'!</v>
      </c>
      <c r="G1837" s="32" t="s">
        <v>38</v>
      </c>
      <c r="H1837" s="33"/>
      <c r="I1837" s="33"/>
      <c r="J1837" s="37"/>
    </row>
    <row r="1838" spans="1:10" x14ac:dyDescent="0.25">
      <c r="A1838" s="32" t="s">
        <v>100</v>
      </c>
      <c r="B1838" s="32">
        <f t="shared" si="445"/>
        <v>2035</v>
      </c>
      <c r="C1838" s="33" t="s">
        <v>17</v>
      </c>
      <c r="D1838" s="34" t="s">
        <v>1999</v>
      </c>
      <c r="E1838" s="35" t="str">
        <f t="shared" si="443"/>
        <v>PRBNP'!</v>
      </c>
      <c r="F1838" s="34" t="str">
        <f t="shared" si="444"/>
        <v>C:\Users\jaime.benazar\Quorum Business Solutions\Ecopetrol Prometeo - Documents\Planning Space Implementation\3. Analysis &amp; Design\Design\FC22\DRR Jaime\QUIFA-CAJÚA\Cajua\[CAJUA_CF_SEC_New_27-Feb-2024Rev3.xlsx]D-PRBNP'!</v>
      </c>
      <c r="G1838" s="32" t="s">
        <v>38</v>
      </c>
      <c r="H1838" s="33"/>
      <c r="I1838" s="33"/>
      <c r="J1838" s="37"/>
    </row>
    <row r="1839" spans="1:10" x14ac:dyDescent="0.25">
      <c r="A1839" s="32" t="s">
        <v>100</v>
      </c>
      <c r="B1839" s="32">
        <f t="shared" si="445"/>
        <v>2036</v>
      </c>
      <c r="C1839" s="33" t="s">
        <v>17</v>
      </c>
      <c r="D1839" s="34" t="s">
        <v>1999</v>
      </c>
      <c r="E1839" s="35" t="str">
        <f t="shared" si="443"/>
        <v>PRBNP'!</v>
      </c>
      <c r="F1839" s="34" t="str">
        <f t="shared" si="444"/>
        <v>C:\Users\jaime.benazar\Quorum Business Solutions\Ecopetrol Prometeo - Documents\Planning Space Implementation\3. Analysis &amp; Design\Design\FC22\DRR Jaime\QUIFA-CAJÚA\Cajua\[CAJUA_CF_SEC_New_27-Feb-2024Rev3.xlsx]D-PRBNP'!</v>
      </c>
      <c r="G1839" s="32" t="s">
        <v>38</v>
      </c>
      <c r="H1839" s="33"/>
      <c r="I1839" s="33"/>
      <c r="J1839" s="37"/>
    </row>
    <row r="1840" spans="1:10" x14ac:dyDescent="0.25">
      <c r="A1840" s="32" t="s">
        <v>100</v>
      </c>
      <c r="B1840" s="32">
        <f>+B1839+1</f>
        <v>2037</v>
      </c>
      <c r="C1840" s="33" t="s">
        <v>17</v>
      </c>
      <c r="D1840" s="34" t="s">
        <v>1999</v>
      </c>
      <c r="E1840" s="35" t="str">
        <f t="shared" si="443"/>
        <v>PRBNP'!</v>
      </c>
      <c r="F1840" s="34" t="str">
        <f t="shared" si="444"/>
        <v>C:\Users\jaime.benazar\Quorum Business Solutions\Ecopetrol Prometeo - Documents\Planning Space Implementation\3. Analysis &amp; Design\Design\FC22\DRR Jaime\QUIFA-CAJÚA\Cajua\[CAJUA_CF_SEC_New_27-Feb-2024Rev3.xlsx]D-PRBNP'!</v>
      </c>
      <c r="G1840" s="32" t="s">
        <v>38</v>
      </c>
      <c r="H1840" s="33"/>
      <c r="I1840" s="33"/>
      <c r="J1840" s="37"/>
    </row>
    <row r="1841" spans="1:10" x14ac:dyDescent="0.25">
      <c r="A1841" s="32" t="s">
        <v>100</v>
      </c>
      <c r="B1841" s="32">
        <f t="shared" ref="B1841:B1843" si="446">+B1840+1</f>
        <v>2038</v>
      </c>
      <c r="C1841" s="33" t="s">
        <v>17</v>
      </c>
      <c r="D1841" s="34" t="s">
        <v>1999</v>
      </c>
      <c r="E1841" s="35" t="str">
        <f t="shared" si="443"/>
        <v>PRBNP'!</v>
      </c>
      <c r="F1841" s="34" t="str">
        <f t="shared" si="444"/>
        <v>C:\Users\jaime.benazar\Quorum Business Solutions\Ecopetrol Prometeo - Documents\Planning Space Implementation\3. Analysis &amp; Design\Design\FC22\DRR Jaime\QUIFA-CAJÚA\Cajua\[CAJUA_CF_SEC_New_27-Feb-2024Rev3.xlsx]D-PRBNP'!</v>
      </c>
      <c r="G1841" s="32" t="s">
        <v>38</v>
      </c>
      <c r="H1841" s="33"/>
      <c r="I1841" s="33"/>
      <c r="J1841" s="37"/>
    </row>
    <row r="1842" spans="1:10" x14ac:dyDescent="0.25">
      <c r="A1842" s="32" t="s">
        <v>100</v>
      </c>
      <c r="B1842" s="32">
        <f t="shared" si="446"/>
        <v>2039</v>
      </c>
      <c r="C1842" s="33" t="s">
        <v>17</v>
      </c>
      <c r="D1842" s="34" t="s">
        <v>1999</v>
      </c>
      <c r="E1842" s="35" t="str">
        <f t="shared" si="443"/>
        <v>PRBNP'!</v>
      </c>
      <c r="F1842" s="34" t="str">
        <f t="shared" si="444"/>
        <v>C:\Users\jaime.benazar\Quorum Business Solutions\Ecopetrol Prometeo - Documents\Planning Space Implementation\3. Analysis &amp; Design\Design\FC22\DRR Jaime\QUIFA-CAJÚA\Cajua\[CAJUA_CF_SEC_New_27-Feb-2024Rev3.xlsx]D-PRBNP'!</v>
      </c>
      <c r="G1842" s="32" t="s">
        <v>38</v>
      </c>
      <c r="H1842" s="33"/>
      <c r="I1842" s="33"/>
      <c r="J1842" s="37"/>
    </row>
    <row r="1843" spans="1:10" x14ac:dyDescent="0.25">
      <c r="A1843" s="32" t="s">
        <v>100</v>
      </c>
      <c r="B1843" s="32">
        <f t="shared" si="446"/>
        <v>2040</v>
      </c>
      <c r="C1843" s="33" t="s">
        <v>17</v>
      </c>
      <c r="D1843" s="34" t="s">
        <v>1999</v>
      </c>
      <c r="E1843" s="35" t="str">
        <f t="shared" si="443"/>
        <v>PRBNP'!</v>
      </c>
      <c r="F1843" s="34" t="str">
        <f t="shared" si="444"/>
        <v>C:\Users\jaime.benazar\Quorum Business Solutions\Ecopetrol Prometeo - Documents\Planning Space Implementation\3. Analysis &amp; Design\Design\FC22\DRR Jaime\QUIFA-CAJÚA\Cajua\[CAJUA_CF_SEC_New_27-Feb-2024Rev3.xlsx]D-PRBNP'!</v>
      </c>
      <c r="G1843" s="32" t="s">
        <v>38</v>
      </c>
      <c r="H1843" s="33"/>
      <c r="I1843" s="33"/>
      <c r="J1843" s="37"/>
    </row>
    <row r="1844" spans="1:10" x14ac:dyDescent="0.25">
      <c r="A1844" s="32" t="s">
        <v>100</v>
      </c>
      <c r="B1844" s="32">
        <f>+B1843+1</f>
        <v>2041</v>
      </c>
      <c r="C1844" s="33" t="s">
        <v>17</v>
      </c>
      <c r="D1844" s="34" t="s">
        <v>1999</v>
      </c>
      <c r="E1844" s="35" t="str">
        <f t="shared" si="443"/>
        <v>PRBNP'!</v>
      </c>
      <c r="F1844" s="34" t="str">
        <f t="shared" si="444"/>
        <v>C:\Users\jaime.benazar\Quorum Business Solutions\Ecopetrol Prometeo - Documents\Planning Space Implementation\3. Analysis &amp; Design\Design\FC22\DRR Jaime\QUIFA-CAJÚA\Cajua\[CAJUA_CF_SEC_New_27-Feb-2024Rev3.xlsx]D-PRBNP'!</v>
      </c>
      <c r="G1844" s="32" t="s">
        <v>38</v>
      </c>
      <c r="H1844" s="33"/>
      <c r="I1844" s="33"/>
      <c r="J1844" s="37"/>
    </row>
    <row r="1845" spans="1:10" x14ac:dyDescent="0.25">
      <c r="A1845" s="32" t="s">
        <v>100</v>
      </c>
      <c r="B1845" s="32">
        <f t="shared" ref="B1845:B1846" si="447">+B1844+1</f>
        <v>2042</v>
      </c>
      <c r="C1845" s="33" t="s">
        <v>17</v>
      </c>
      <c r="D1845" s="34" t="s">
        <v>1999</v>
      </c>
      <c r="E1845" s="35" t="str">
        <f t="shared" si="443"/>
        <v>PRBNP'!</v>
      </c>
      <c r="F1845" s="34" t="str">
        <f t="shared" si="444"/>
        <v>C:\Users\jaime.benazar\Quorum Business Solutions\Ecopetrol Prometeo - Documents\Planning Space Implementation\3. Analysis &amp; Design\Design\FC22\DRR Jaime\QUIFA-CAJÚA\Cajua\[CAJUA_CF_SEC_New_27-Feb-2024Rev3.xlsx]D-PRBNP'!</v>
      </c>
      <c r="G1845" s="32" t="s">
        <v>38</v>
      </c>
      <c r="H1845" s="33"/>
      <c r="I1845" s="33"/>
      <c r="J1845" s="37"/>
    </row>
    <row r="1846" spans="1:10" x14ac:dyDescent="0.25">
      <c r="A1846" s="32" t="s">
        <v>100</v>
      </c>
      <c r="B1846" s="32">
        <f t="shared" si="447"/>
        <v>2043</v>
      </c>
      <c r="C1846" s="33" t="s">
        <v>17</v>
      </c>
      <c r="D1846" s="34" t="s">
        <v>1999</v>
      </c>
      <c r="E1846" s="35" t="str">
        <f t="shared" si="443"/>
        <v>PRBNP'!</v>
      </c>
      <c r="F1846" s="34" t="str">
        <f t="shared" si="444"/>
        <v>C:\Users\jaime.benazar\Quorum Business Solutions\Ecopetrol Prometeo - Documents\Planning Space Implementation\3. Analysis &amp; Design\Design\FC22\DRR Jaime\QUIFA-CAJÚA\Cajua\[CAJUA_CF_SEC_New_27-Feb-2024Rev3.xlsx]D-PRBNP'!</v>
      </c>
      <c r="G1846" s="32" t="s">
        <v>38</v>
      </c>
      <c r="H1846" s="33"/>
      <c r="I1846" s="33"/>
      <c r="J1846" s="37"/>
    </row>
    <row r="1847" spans="1:10" x14ac:dyDescent="0.25">
      <c r="A1847" s="32" t="s">
        <v>100</v>
      </c>
      <c r="B1847" s="32">
        <f>+B1846+1</f>
        <v>2044</v>
      </c>
      <c r="C1847" s="33" t="s">
        <v>17</v>
      </c>
      <c r="D1847" s="34" t="s">
        <v>1999</v>
      </c>
      <c r="E1847" s="35" t="str">
        <f t="shared" ref="E1847:E1862" si="448">_xlfn.CONCAT(A1847,"'!")</f>
        <v>PRBNP'!</v>
      </c>
      <c r="F1847" s="34" t="str">
        <f t="shared" ref="F1847:F1862" si="449">_xlfn.CONCAT(D1847:E1847)</f>
        <v>C:\Users\jaime.benazar\Quorum Business Solutions\Ecopetrol Prometeo - Documents\Planning Space Implementation\3. Analysis &amp; Design\Design\FC22\DRR Jaime\QUIFA-CAJÚA\Cajua\[CAJUA_CF_SEC_New_27-Feb-2024Rev3.xlsx]D-PRBNP'!</v>
      </c>
      <c r="G1847" s="32" t="s">
        <v>38</v>
      </c>
      <c r="H1847" s="33"/>
      <c r="I1847" s="33"/>
      <c r="J1847" s="37"/>
    </row>
    <row r="1848" spans="1:10" x14ac:dyDescent="0.25">
      <c r="A1848" s="32" t="s">
        <v>100</v>
      </c>
      <c r="B1848" s="32">
        <f t="shared" ref="B1848:B1862" si="450">+B1847+1</f>
        <v>2045</v>
      </c>
      <c r="C1848" s="33" t="s">
        <v>17</v>
      </c>
      <c r="D1848" s="34" t="s">
        <v>1999</v>
      </c>
      <c r="E1848" s="35" t="str">
        <f t="shared" si="448"/>
        <v>PRBNP'!</v>
      </c>
      <c r="F1848" s="34" t="str">
        <f t="shared" si="449"/>
        <v>C:\Users\jaime.benazar\Quorum Business Solutions\Ecopetrol Prometeo - Documents\Planning Space Implementation\3. Analysis &amp; Design\Design\FC22\DRR Jaime\QUIFA-CAJÚA\Cajua\[CAJUA_CF_SEC_New_27-Feb-2024Rev3.xlsx]D-PRBNP'!</v>
      </c>
      <c r="G1848" s="32" t="s">
        <v>38</v>
      </c>
      <c r="H1848" s="33"/>
      <c r="I1848" s="33"/>
      <c r="J1848" s="37"/>
    </row>
    <row r="1849" spans="1:10" x14ac:dyDescent="0.25">
      <c r="A1849" s="32" t="s">
        <v>100</v>
      </c>
      <c r="B1849" s="32">
        <f t="shared" si="450"/>
        <v>2046</v>
      </c>
      <c r="C1849" s="33" t="s">
        <v>17</v>
      </c>
      <c r="D1849" s="34" t="s">
        <v>1999</v>
      </c>
      <c r="E1849" s="35" t="str">
        <f t="shared" si="448"/>
        <v>PRBNP'!</v>
      </c>
      <c r="F1849" s="34" t="str">
        <f t="shared" si="449"/>
        <v>C:\Users\jaime.benazar\Quorum Business Solutions\Ecopetrol Prometeo - Documents\Planning Space Implementation\3. Analysis &amp; Design\Design\FC22\DRR Jaime\QUIFA-CAJÚA\Cajua\[CAJUA_CF_SEC_New_27-Feb-2024Rev3.xlsx]D-PRBNP'!</v>
      </c>
      <c r="G1849" s="32" t="s">
        <v>38</v>
      </c>
      <c r="H1849" s="33"/>
      <c r="I1849" s="33"/>
      <c r="J1849" s="37"/>
    </row>
    <row r="1850" spans="1:10" x14ac:dyDescent="0.25">
      <c r="A1850" s="32" t="s">
        <v>100</v>
      </c>
      <c r="B1850" s="32">
        <f t="shared" si="450"/>
        <v>2047</v>
      </c>
      <c r="C1850" s="33" t="s">
        <v>17</v>
      </c>
      <c r="D1850" s="34" t="s">
        <v>1999</v>
      </c>
      <c r="E1850" s="35" t="str">
        <f t="shared" si="448"/>
        <v>PRBNP'!</v>
      </c>
      <c r="F1850" s="34" t="str">
        <f t="shared" si="449"/>
        <v>C:\Users\jaime.benazar\Quorum Business Solutions\Ecopetrol Prometeo - Documents\Planning Space Implementation\3. Analysis &amp; Design\Design\FC22\DRR Jaime\QUIFA-CAJÚA\Cajua\[CAJUA_CF_SEC_New_27-Feb-2024Rev3.xlsx]D-PRBNP'!</v>
      </c>
      <c r="G1850" s="32" t="s">
        <v>38</v>
      </c>
      <c r="H1850" s="33"/>
      <c r="I1850" s="33"/>
      <c r="J1850" s="37"/>
    </row>
    <row r="1851" spans="1:10" x14ac:dyDescent="0.25">
      <c r="A1851" s="32" t="s">
        <v>100</v>
      </c>
      <c r="B1851" s="32">
        <f t="shared" si="450"/>
        <v>2048</v>
      </c>
      <c r="C1851" s="33" t="s">
        <v>17</v>
      </c>
      <c r="D1851" s="34" t="s">
        <v>1999</v>
      </c>
      <c r="E1851" s="35" t="str">
        <f t="shared" si="448"/>
        <v>PRBNP'!</v>
      </c>
      <c r="F1851" s="34" t="str">
        <f t="shared" si="449"/>
        <v>C:\Users\jaime.benazar\Quorum Business Solutions\Ecopetrol Prometeo - Documents\Planning Space Implementation\3. Analysis &amp; Design\Design\FC22\DRR Jaime\QUIFA-CAJÚA\Cajua\[CAJUA_CF_SEC_New_27-Feb-2024Rev3.xlsx]D-PRBNP'!</v>
      </c>
      <c r="G1851" s="32" t="s">
        <v>38</v>
      </c>
      <c r="H1851" s="33"/>
      <c r="I1851" s="33"/>
      <c r="J1851" s="37"/>
    </row>
    <row r="1852" spans="1:10" x14ac:dyDescent="0.25">
      <c r="A1852" s="32" t="s">
        <v>100</v>
      </c>
      <c r="B1852" s="32">
        <f t="shared" si="450"/>
        <v>2049</v>
      </c>
      <c r="C1852" s="33" t="s">
        <v>17</v>
      </c>
      <c r="D1852" s="34" t="s">
        <v>1999</v>
      </c>
      <c r="E1852" s="35" t="str">
        <f t="shared" si="448"/>
        <v>PRBNP'!</v>
      </c>
      <c r="F1852" s="34" t="str">
        <f t="shared" si="449"/>
        <v>C:\Users\jaime.benazar\Quorum Business Solutions\Ecopetrol Prometeo - Documents\Planning Space Implementation\3. Analysis &amp; Design\Design\FC22\DRR Jaime\QUIFA-CAJÚA\Cajua\[CAJUA_CF_SEC_New_27-Feb-2024Rev3.xlsx]D-PRBNP'!</v>
      </c>
      <c r="G1852" s="32" t="s">
        <v>38</v>
      </c>
      <c r="H1852" s="33"/>
      <c r="I1852" s="33"/>
      <c r="J1852" s="37"/>
    </row>
    <row r="1853" spans="1:10" x14ac:dyDescent="0.25">
      <c r="A1853" s="32" t="s">
        <v>100</v>
      </c>
      <c r="B1853" s="32">
        <f t="shared" si="450"/>
        <v>2050</v>
      </c>
      <c r="C1853" s="33" t="s">
        <v>17</v>
      </c>
      <c r="D1853" s="34" t="s">
        <v>1999</v>
      </c>
      <c r="E1853" s="35" t="str">
        <f t="shared" si="448"/>
        <v>PRBNP'!</v>
      </c>
      <c r="F1853" s="34" t="str">
        <f t="shared" si="449"/>
        <v>C:\Users\jaime.benazar\Quorum Business Solutions\Ecopetrol Prometeo - Documents\Planning Space Implementation\3. Analysis &amp; Design\Design\FC22\DRR Jaime\QUIFA-CAJÚA\Cajua\[CAJUA_CF_SEC_New_27-Feb-2024Rev3.xlsx]D-PRBNP'!</v>
      </c>
      <c r="G1853" s="32" t="s">
        <v>38</v>
      </c>
      <c r="H1853" s="33"/>
      <c r="I1853" s="33"/>
      <c r="J1853" s="37"/>
    </row>
    <row r="1854" spans="1:10" x14ac:dyDescent="0.25">
      <c r="A1854" s="32" t="s">
        <v>100</v>
      </c>
      <c r="B1854" s="32">
        <f t="shared" si="450"/>
        <v>2051</v>
      </c>
      <c r="C1854" s="33" t="s">
        <v>17</v>
      </c>
      <c r="D1854" s="34" t="s">
        <v>1999</v>
      </c>
      <c r="E1854" s="35" t="str">
        <f t="shared" si="448"/>
        <v>PRBNP'!</v>
      </c>
      <c r="F1854" s="34" t="str">
        <f t="shared" si="449"/>
        <v>C:\Users\jaime.benazar\Quorum Business Solutions\Ecopetrol Prometeo - Documents\Planning Space Implementation\3. Analysis &amp; Design\Design\FC22\DRR Jaime\QUIFA-CAJÚA\Cajua\[CAJUA_CF_SEC_New_27-Feb-2024Rev3.xlsx]D-PRBNP'!</v>
      </c>
      <c r="G1854" s="32" t="s">
        <v>38</v>
      </c>
      <c r="H1854" s="33"/>
      <c r="I1854" s="33"/>
      <c r="J1854" s="37"/>
    </row>
    <row r="1855" spans="1:10" x14ac:dyDescent="0.25">
      <c r="A1855" s="32" t="s">
        <v>100</v>
      </c>
      <c r="B1855" s="32">
        <f t="shared" si="450"/>
        <v>2052</v>
      </c>
      <c r="C1855" s="33" t="s">
        <v>17</v>
      </c>
      <c r="D1855" s="34" t="s">
        <v>1999</v>
      </c>
      <c r="E1855" s="35" t="str">
        <f t="shared" si="448"/>
        <v>PRBNP'!</v>
      </c>
      <c r="F1855" s="34" t="str">
        <f t="shared" si="449"/>
        <v>C:\Users\jaime.benazar\Quorum Business Solutions\Ecopetrol Prometeo - Documents\Planning Space Implementation\3. Analysis &amp; Design\Design\FC22\DRR Jaime\QUIFA-CAJÚA\Cajua\[CAJUA_CF_SEC_New_27-Feb-2024Rev3.xlsx]D-PRBNP'!</v>
      </c>
      <c r="G1855" s="32" t="s">
        <v>38</v>
      </c>
      <c r="H1855" s="33"/>
      <c r="I1855" s="33"/>
      <c r="J1855" s="37"/>
    </row>
    <row r="1856" spans="1:10" x14ac:dyDescent="0.25">
      <c r="A1856" s="32" t="s">
        <v>100</v>
      </c>
      <c r="B1856" s="32">
        <f t="shared" si="450"/>
        <v>2053</v>
      </c>
      <c r="C1856" s="33" t="s">
        <v>17</v>
      </c>
      <c r="D1856" s="34" t="s">
        <v>1999</v>
      </c>
      <c r="E1856" s="35" t="str">
        <f t="shared" si="448"/>
        <v>PRBNP'!</v>
      </c>
      <c r="F1856" s="34" t="str">
        <f t="shared" si="449"/>
        <v>C:\Users\jaime.benazar\Quorum Business Solutions\Ecopetrol Prometeo - Documents\Planning Space Implementation\3. Analysis &amp; Design\Design\FC22\DRR Jaime\QUIFA-CAJÚA\Cajua\[CAJUA_CF_SEC_New_27-Feb-2024Rev3.xlsx]D-PRBNP'!</v>
      </c>
      <c r="G1856" s="32" t="s">
        <v>38</v>
      </c>
      <c r="H1856" s="33"/>
      <c r="I1856" s="33"/>
      <c r="J1856" s="37"/>
    </row>
    <row r="1857" spans="1:10" x14ac:dyDescent="0.25">
      <c r="A1857" s="32" t="s">
        <v>100</v>
      </c>
      <c r="B1857" s="32">
        <f t="shared" si="450"/>
        <v>2054</v>
      </c>
      <c r="C1857" s="33" t="s">
        <v>17</v>
      </c>
      <c r="D1857" s="34" t="s">
        <v>1999</v>
      </c>
      <c r="E1857" s="35" t="str">
        <f t="shared" si="448"/>
        <v>PRBNP'!</v>
      </c>
      <c r="F1857" s="34" t="str">
        <f t="shared" si="449"/>
        <v>C:\Users\jaime.benazar\Quorum Business Solutions\Ecopetrol Prometeo - Documents\Planning Space Implementation\3. Analysis &amp; Design\Design\FC22\DRR Jaime\QUIFA-CAJÚA\Cajua\[CAJUA_CF_SEC_New_27-Feb-2024Rev3.xlsx]D-PRBNP'!</v>
      </c>
      <c r="G1857" s="32" t="s">
        <v>38</v>
      </c>
      <c r="H1857" s="33"/>
      <c r="I1857" s="33"/>
      <c r="J1857" s="37"/>
    </row>
    <row r="1858" spans="1:10" x14ac:dyDescent="0.25">
      <c r="A1858" s="32" t="s">
        <v>100</v>
      </c>
      <c r="B1858" s="32">
        <f t="shared" si="450"/>
        <v>2055</v>
      </c>
      <c r="C1858" s="33" t="s">
        <v>17</v>
      </c>
      <c r="D1858" s="34" t="s">
        <v>1999</v>
      </c>
      <c r="E1858" s="35" t="str">
        <f t="shared" si="448"/>
        <v>PRBNP'!</v>
      </c>
      <c r="F1858" s="34" t="str">
        <f t="shared" si="449"/>
        <v>C:\Users\jaime.benazar\Quorum Business Solutions\Ecopetrol Prometeo - Documents\Planning Space Implementation\3. Analysis &amp; Design\Design\FC22\DRR Jaime\QUIFA-CAJÚA\Cajua\[CAJUA_CF_SEC_New_27-Feb-2024Rev3.xlsx]D-PRBNP'!</v>
      </c>
      <c r="G1858" s="32" t="s">
        <v>38</v>
      </c>
      <c r="H1858" s="33"/>
      <c r="I1858" s="33"/>
      <c r="J1858" s="37"/>
    </row>
    <row r="1859" spans="1:10" x14ac:dyDescent="0.25">
      <c r="A1859" s="32" t="s">
        <v>100</v>
      </c>
      <c r="B1859" s="32">
        <f t="shared" si="450"/>
        <v>2056</v>
      </c>
      <c r="C1859" s="33" t="s">
        <v>17</v>
      </c>
      <c r="D1859" s="34" t="s">
        <v>1999</v>
      </c>
      <c r="E1859" s="35" t="str">
        <f t="shared" si="448"/>
        <v>PRBNP'!</v>
      </c>
      <c r="F1859" s="34" t="str">
        <f t="shared" si="449"/>
        <v>C:\Users\jaime.benazar\Quorum Business Solutions\Ecopetrol Prometeo - Documents\Planning Space Implementation\3. Analysis &amp; Design\Design\FC22\DRR Jaime\QUIFA-CAJÚA\Cajua\[CAJUA_CF_SEC_New_27-Feb-2024Rev3.xlsx]D-PRBNP'!</v>
      </c>
      <c r="G1859" s="32" t="s">
        <v>38</v>
      </c>
      <c r="H1859" s="33"/>
      <c r="I1859" s="33"/>
      <c r="J1859" s="37"/>
    </row>
    <row r="1860" spans="1:10" x14ac:dyDescent="0.25">
      <c r="A1860" s="32" t="s">
        <v>100</v>
      </c>
      <c r="B1860" s="32">
        <f t="shared" si="450"/>
        <v>2057</v>
      </c>
      <c r="C1860" s="33" t="s">
        <v>17</v>
      </c>
      <c r="D1860" s="34" t="s">
        <v>1999</v>
      </c>
      <c r="E1860" s="35" t="str">
        <f t="shared" si="448"/>
        <v>PRBNP'!</v>
      </c>
      <c r="F1860" s="34" t="str">
        <f t="shared" si="449"/>
        <v>C:\Users\jaime.benazar\Quorum Business Solutions\Ecopetrol Prometeo - Documents\Planning Space Implementation\3. Analysis &amp; Design\Design\FC22\DRR Jaime\QUIFA-CAJÚA\Cajua\[CAJUA_CF_SEC_New_27-Feb-2024Rev3.xlsx]D-PRBNP'!</v>
      </c>
      <c r="G1860" s="32" t="s">
        <v>38</v>
      </c>
      <c r="H1860" s="33"/>
      <c r="I1860" s="33"/>
      <c r="J1860" s="37"/>
    </row>
    <row r="1861" spans="1:10" x14ac:dyDescent="0.25">
      <c r="A1861" s="32" t="s">
        <v>100</v>
      </c>
      <c r="B1861" s="32">
        <f t="shared" si="450"/>
        <v>2058</v>
      </c>
      <c r="C1861" s="33" t="s">
        <v>17</v>
      </c>
      <c r="D1861" s="34" t="s">
        <v>1999</v>
      </c>
      <c r="E1861" s="35" t="str">
        <f t="shared" si="448"/>
        <v>PRBNP'!</v>
      </c>
      <c r="F1861" s="34" t="str">
        <f t="shared" si="449"/>
        <v>C:\Users\jaime.benazar\Quorum Business Solutions\Ecopetrol Prometeo - Documents\Planning Space Implementation\3. Analysis &amp; Design\Design\FC22\DRR Jaime\QUIFA-CAJÚA\Cajua\[CAJUA_CF_SEC_New_27-Feb-2024Rev3.xlsx]D-PRBNP'!</v>
      </c>
      <c r="G1861" s="32" t="s">
        <v>38</v>
      </c>
      <c r="H1861" s="33"/>
      <c r="I1861" s="33"/>
      <c r="J1861" s="37"/>
    </row>
    <row r="1862" spans="1:10" x14ac:dyDescent="0.25">
      <c r="A1862" s="32" t="s">
        <v>100</v>
      </c>
      <c r="B1862" s="32">
        <f t="shared" si="450"/>
        <v>2059</v>
      </c>
      <c r="C1862" s="33" t="s">
        <v>17</v>
      </c>
      <c r="D1862" s="34" t="s">
        <v>1999</v>
      </c>
      <c r="E1862" s="35" t="str">
        <f t="shared" si="448"/>
        <v>PRBNP'!</v>
      </c>
      <c r="F1862" s="34" t="str">
        <f t="shared" si="449"/>
        <v>C:\Users\jaime.benazar\Quorum Business Solutions\Ecopetrol Prometeo - Documents\Planning Space Implementation\3. Analysis &amp; Design\Design\FC22\DRR Jaime\QUIFA-CAJÚA\Cajua\[CAJUA_CF_SEC_New_27-Feb-2024Rev3.xlsx]D-PRBNP'!</v>
      </c>
      <c r="G1862" s="32" t="s">
        <v>38</v>
      </c>
      <c r="H1862" s="33"/>
      <c r="I1862" s="33"/>
      <c r="J1862" s="37"/>
    </row>
    <row r="1863" spans="1:10" x14ac:dyDescent="0.25">
      <c r="A1863" s="32" t="s">
        <v>28</v>
      </c>
      <c r="B1863" s="32"/>
      <c r="C1863" s="33" t="s">
        <v>17</v>
      </c>
      <c r="D1863" s="34"/>
      <c r="E1863" s="35"/>
      <c r="F1863" s="34"/>
      <c r="G1863" s="32"/>
      <c r="H1863" s="33"/>
      <c r="I1863" s="33"/>
      <c r="J1863" s="33"/>
    </row>
    <row r="1864" spans="1:10" x14ac:dyDescent="0.25">
      <c r="A1864" s="32" t="s">
        <v>101</v>
      </c>
      <c r="B1864" s="32">
        <v>2023</v>
      </c>
      <c r="C1864" s="33" t="s">
        <v>17</v>
      </c>
      <c r="D1864" s="34" t="s">
        <v>1999</v>
      </c>
      <c r="E1864" s="35" t="str">
        <f t="shared" ref="E1864:E1884" si="451">_xlfn.CONCAT(A1864,"'!")</f>
        <v>PRBND'!</v>
      </c>
      <c r="F1864" s="34" t="str">
        <f t="shared" ref="F1864:F1884" si="452">_xlfn.CONCAT(D1864:E1864)</f>
        <v>C:\Users\jaime.benazar\Quorum Business Solutions\Ecopetrol Prometeo - Documents\Planning Space Implementation\3. Analysis &amp; Design\Design\FC22\DRR Jaime\QUIFA-CAJÚA\Cajua\[CAJUA_CF_SEC_New_27-Feb-2024Rev3.xlsx]D-PRBND'!</v>
      </c>
      <c r="G1864" s="32" t="s">
        <v>38</v>
      </c>
      <c r="H1864" s="33"/>
      <c r="I1864" s="33"/>
      <c r="J1864" s="37"/>
    </row>
    <row r="1865" spans="1:10" x14ac:dyDescent="0.25">
      <c r="A1865" s="32" t="s">
        <v>101</v>
      </c>
      <c r="B1865" s="32">
        <f>+B1864+1</f>
        <v>2024</v>
      </c>
      <c r="C1865" s="33" t="s">
        <v>17</v>
      </c>
      <c r="D1865" s="34" t="s">
        <v>1999</v>
      </c>
      <c r="E1865" s="35" t="str">
        <f t="shared" si="451"/>
        <v>PRBND'!</v>
      </c>
      <c r="F1865" s="34" t="str">
        <f t="shared" si="452"/>
        <v>C:\Users\jaime.benazar\Quorum Business Solutions\Ecopetrol Prometeo - Documents\Planning Space Implementation\3. Analysis &amp; Design\Design\FC22\DRR Jaime\QUIFA-CAJÚA\Cajua\[CAJUA_CF_SEC_New_27-Feb-2024Rev3.xlsx]D-PRBND'!</v>
      </c>
      <c r="G1865" s="32" t="s">
        <v>38</v>
      </c>
      <c r="H1865" s="33"/>
      <c r="I1865" s="33"/>
      <c r="J1865" s="37"/>
    </row>
    <row r="1866" spans="1:10" x14ac:dyDescent="0.25">
      <c r="A1866" s="32" t="s">
        <v>101</v>
      </c>
      <c r="B1866" s="32">
        <f t="shared" ref="B1866:B1877" si="453">+B1865+1</f>
        <v>2025</v>
      </c>
      <c r="C1866" s="33" t="s">
        <v>17</v>
      </c>
      <c r="D1866" s="34" t="s">
        <v>1999</v>
      </c>
      <c r="E1866" s="35" t="str">
        <f t="shared" si="451"/>
        <v>PRBND'!</v>
      </c>
      <c r="F1866" s="34" t="str">
        <f t="shared" si="452"/>
        <v>C:\Users\jaime.benazar\Quorum Business Solutions\Ecopetrol Prometeo - Documents\Planning Space Implementation\3. Analysis &amp; Design\Design\FC22\DRR Jaime\QUIFA-CAJÚA\Cajua\[CAJUA_CF_SEC_New_27-Feb-2024Rev3.xlsx]D-PRBND'!</v>
      </c>
      <c r="G1866" s="32" t="s">
        <v>38</v>
      </c>
      <c r="H1866" s="33"/>
      <c r="I1866" s="33"/>
      <c r="J1866" s="37"/>
    </row>
    <row r="1867" spans="1:10" x14ac:dyDescent="0.25">
      <c r="A1867" s="32" t="s">
        <v>101</v>
      </c>
      <c r="B1867" s="32">
        <f t="shared" si="453"/>
        <v>2026</v>
      </c>
      <c r="C1867" s="33" t="s">
        <v>17</v>
      </c>
      <c r="D1867" s="34" t="s">
        <v>1999</v>
      </c>
      <c r="E1867" s="35" t="str">
        <f t="shared" si="451"/>
        <v>PRBND'!</v>
      </c>
      <c r="F1867" s="34" t="str">
        <f t="shared" si="452"/>
        <v>C:\Users\jaime.benazar\Quorum Business Solutions\Ecopetrol Prometeo - Documents\Planning Space Implementation\3. Analysis &amp; Design\Design\FC22\DRR Jaime\QUIFA-CAJÚA\Cajua\[CAJUA_CF_SEC_New_27-Feb-2024Rev3.xlsx]D-PRBND'!</v>
      </c>
      <c r="G1867" s="32" t="s">
        <v>38</v>
      </c>
      <c r="H1867" s="33"/>
      <c r="I1867" s="33"/>
      <c r="J1867" s="37"/>
    </row>
    <row r="1868" spans="1:10" x14ac:dyDescent="0.25">
      <c r="A1868" s="32" t="s">
        <v>101</v>
      </c>
      <c r="B1868" s="32">
        <f t="shared" si="453"/>
        <v>2027</v>
      </c>
      <c r="C1868" s="33" t="s">
        <v>17</v>
      </c>
      <c r="D1868" s="34" t="s">
        <v>1999</v>
      </c>
      <c r="E1868" s="35" t="str">
        <f t="shared" si="451"/>
        <v>PRBND'!</v>
      </c>
      <c r="F1868" s="34" t="str">
        <f t="shared" si="452"/>
        <v>C:\Users\jaime.benazar\Quorum Business Solutions\Ecopetrol Prometeo - Documents\Planning Space Implementation\3. Analysis &amp; Design\Design\FC22\DRR Jaime\QUIFA-CAJÚA\Cajua\[CAJUA_CF_SEC_New_27-Feb-2024Rev3.xlsx]D-PRBND'!</v>
      </c>
      <c r="G1868" s="32" t="s">
        <v>38</v>
      </c>
      <c r="H1868" s="33"/>
      <c r="I1868" s="33"/>
      <c r="J1868" s="37"/>
    </row>
    <row r="1869" spans="1:10" x14ac:dyDescent="0.25">
      <c r="A1869" s="32" t="s">
        <v>101</v>
      </c>
      <c r="B1869" s="32">
        <f t="shared" si="453"/>
        <v>2028</v>
      </c>
      <c r="C1869" s="33" t="s">
        <v>17</v>
      </c>
      <c r="D1869" s="34" t="s">
        <v>1999</v>
      </c>
      <c r="E1869" s="35" t="str">
        <f t="shared" si="451"/>
        <v>PRBND'!</v>
      </c>
      <c r="F1869" s="34" t="str">
        <f t="shared" si="452"/>
        <v>C:\Users\jaime.benazar\Quorum Business Solutions\Ecopetrol Prometeo - Documents\Planning Space Implementation\3. Analysis &amp; Design\Design\FC22\DRR Jaime\QUIFA-CAJÚA\Cajua\[CAJUA_CF_SEC_New_27-Feb-2024Rev3.xlsx]D-PRBND'!</v>
      </c>
      <c r="G1869" s="32" t="s">
        <v>38</v>
      </c>
      <c r="H1869" s="33"/>
      <c r="I1869" s="33"/>
      <c r="J1869" s="37"/>
    </row>
    <row r="1870" spans="1:10" x14ac:dyDescent="0.25">
      <c r="A1870" s="32" t="s">
        <v>101</v>
      </c>
      <c r="B1870" s="32">
        <f t="shared" si="453"/>
        <v>2029</v>
      </c>
      <c r="C1870" s="33" t="s">
        <v>17</v>
      </c>
      <c r="D1870" s="34" t="s">
        <v>1999</v>
      </c>
      <c r="E1870" s="35" t="str">
        <f t="shared" si="451"/>
        <v>PRBND'!</v>
      </c>
      <c r="F1870" s="34" t="str">
        <f t="shared" si="452"/>
        <v>C:\Users\jaime.benazar\Quorum Business Solutions\Ecopetrol Prometeo - Documents\Planning Space Implementation\3. Analysis &amp; Design\Design\FC22\DRR Jaime\QUIFA-CAJÚA\Cajua\[CAJUA_CF_SEC_New_27-Feb-2024Rev3.xlsx]D-PRBND'!</v>
      </c>
      <c r="G1870" s="32" t="s">
        <v>38</v>
      </c>
      <c r="H1870" s="33"/>
      <c r="I1870" s="33"/>
      <c r="J1870" s="37"/>
    </row>
    <row r="1871" spans="1:10" x14ac:dyDescent="0.25">
      <c r="A1871" s="32" t="s">
        <v>101</v>
      </c>
      <c r="B1871" s="32">
        <f t="shared" si="453"/>
        <v>2030</v>
      </c>
      <c r="C1871" s="33" t="s">
        <v>17</v>
      </c>
      <c r="D1871" s="34" t="s">
        <v>1999</v>
      </c>
      <c r="E1871" s="35" t="str">
        <f t="shared" si="451"/>
        <v>PRBND'!</v>
      </c>
      <c r="F1871" s="34" t="str">
        <f t="shared" si="452"/>
        <v>C:\Users\jaime.benazar\Quorum Business Solutions\Ecopetrol Prometeo - Documents\Planning Space Implementation\3. Analysis &amp; Design\Design\FC22\DRR Jaime\QUIFA-CAJÚA\Cajua\[CAJUA_CF_SEC_New_27-Feb-2024Rev3.xlsx]D-PRBND'!</v>
      </c>
      <c r="G1871" s="32" t="s">
        <v>38</v>
      </c>
      <c r="H1871" s="33"/>
      <c r="I1871" s="33"/>
      <c r="J1871" s="37"/>
    </row>
    <row r="1872" spans="1:10" x14ac:dyDescent="0.25">
      <c r="A1872" s="32" t="s">
        <v>101</v>
      </c>
      <c r="B1872" s="32">
        <f t="shared" si="453"/>
        <v>2031</v>
      </c>
      <c r="C1872" s="33" t="s">
        <v>17</v>
      </c>
      <c r="D1872" s="34" t="s">
        <v>1999</v>
      </c>
      <c r="E1872" s="35" t="str">
        <f t="shared" si="451"/>
        <v>PRBND'!</v>
      </c>
      <c r="F1872" s="34" t="str">
        <f t="shared" si="452"/>
        <v>C:\Users\jaime.benazar\Quorum Business Solutions\Ecopetrol Prometeo - Documents\Planning Space Implementation\3. Analysis &amp; Design\Design\FC22\DRR Jaime\QUIFA-CAJÚA\Cajua\[CAJUA_CF_SEC_New_27-Feb-2024Rev3.xlsx]D-PRBND'!</v>
      </c>
      <c r="G1872" s="32" t="s">
        <v>38</v>
      </c>
      <c r="H1872" s="33"/>
      <c r="I1872" s="33"/>
      <c r="J1872" s="37"/>
    </row>
    <row r="1873" spans="1:10" x14ac:dyDescent="0.25">
      <c r="A1873" s="32" t="s">
        <v>101</v>
      </c>
      <c r="B1873" s="32">
        <f t="shared" si="453"/>
        <v>2032</v>
      </c>
      <c r="C1873" s="33" t="s">
        <v>17</v>
      </c>
      <c r="D1873" s="34" t="s">
        <v>1999</v>
      </c>
      <c r="E1873" s="35" t="str">
        <f t="shared" si="451"/>
        <v>PRBND'!</v>
      </c>
      <c r="F1873" s="34" t="str">
        <f t="shared" si="452"/>
        <v>C:\Users\jaime.benazar\Quorum Business Solutions\Ecopetrol Prometeo - Documents\Planning Space Implementation\3. Analysis &amp; Design\Design\FC22\DRR Jaime\QUIFA-CAJÚA\Cajua\[CAJUA_CF_SEC_New_27-Feb-2024Rev3.xlsx]D-PRBND'!</v>
      </c>
      <c r="G1873" s="32" t="s">
        <v>38</v>
      </c>
      <c r="H1873" s="33"/>
      <c r="I1873" s="33"/>
      <c r="J1873" s="37"/>
    </row>
    <row r="1874" spans="1:10" x14ac:dyDescent="0.25">
      <c r="A1874" s="32" t="s">
        <v>101</v>
      </c>
      <c r="B1874" s="32">
        <f t="shared" si="453"/>
        <v>2033</v>
      </c>
      <c r="C1874" s="33" t="s">
        <v>17</v>
      </c>
      <c r="D1874" s="34" t="s">
        <v>1999</v>
      </c>
      <c r="E1874" s="35" t="str">
        <f t="shared" si="451"/>
        <v>PRBND'!</v>
      </c>
      <c r="F1874" s="34" t="str">
        <f t="shared" si="452"/>
        <v>C:\Users\jaime.benazar\Quorum Business Solutions\Ecopetrol Prometeo - Documents\Planning Space Implementation\3. Analysis &amp; Design\Design\FC22\DRR Jaime\QUIFA-CAJÚA\Cajua\[CAJUA_CF_SEC_New_27-Feb-2024Rev3.xlsx]D-PRBND'!</v>
      </c>
      <c r="G1874" s="32" t="s">
        <v>38</v>
      </c>
      <c r="H1874" s="33"/>
      <c r="I1874" s="33"/>
      <c r="J1874" s="37"/>
    </row>
    <row r="1875" spans="1:10" x14ac:dyDescent="0.25">
      <c r="A1875" s="32" t="s">
        <v>101</v>
      </c>
      <c r="B1875" s="32">
        <f t="shared" si="453"/>
        <v>2034</v>
      </c>
      <c r="C1875" s="33" t="s">
        <v>17</v>
      </c>
      <c r="D1875" s="34" t="s">
        <v>1999</v>
      </c>
      <c r="E1875" s="35" t="str">
        <f t="shared" si="451"/>
        <v>PRBND'!</v>
      </c>
      <c r="F1875" s="34" t="str">
        <f t="shared" si="452"/>
        <v>C:\Users\jaime.benazar\Quorum Business Solutions\Ecopetrol Prometeo - Documents\Planning Space Implementation\3. Analysis &amp; Design\Design\FC22\DRR Jaime\QUIFA-CAJÚA\Cajua\[CAJUA_CF_SEC_New_27-Feb-2024Rev3.xlsx]D-PRBND'!</v>
      </c>
      <c r="G1875" s="32" t="s">
        <v>38</v>
      </c>
      <c r="H1875" s="33"/>
      <c r="I1875" s="33"/>
      <c r="J1875" s="37"/>
    </row>
    <row r="1876" spans="1:10" x14ac:dyDescent="0.25">
      <c r="A1876" s="32" t="s">
        <v>101</v>
      </c>
      <c r="B1876" s="32">
        <f t="shared" si="453"/>
        <v>2035</v>
      </c>
      <c r="C1876" s="33" t="s">
        <v>17</v>
      </c>
      <c r="D1876" s="34" t="s">
        <v>1999</v>
      </c>
      <c r="E1876" s="35" t="str">
        <f t="shared" si="451"/>
        <v>PRBND'!</v>
      </c>
      <c r="F1876" s="34" t="str">
        <f t="shared" si="452"/>
        <v>C:\Users\jaime.benazar\Quorum Business Solutions\Ecopetrol Prometeo - Documents\Planning Space Implementation\3. Analysis &amp; Design\Design\FC22\DRR Jaime\QUIFA-CAJÚA\Cajua\[CAJUA_CF_SEC_New_27-Feb-2024Rev3.xlsx]D-PRBND'!</v>
      </c>
      <c r="G1876" s="32" t="s">
        <v>38</v>
      </c>
      <c r="H1876" s="33"/>
      <c r="I1876" s="33"/>
      <c r="J1876" s="37"/>
    </row>
    <row r="1877" spans="1:10" x14ac:dyDescent="0.25">
      <c r="A1877" s="32" t="s">
        <v>101</v>
      </c>
      <c r="B1877" s="32">
        <f t="shared" si="453"/>
        <v>2036</v>
      </c>
      <c r="C1877" s="33" t="s">
        <v>17</v>
      </c>
      <c r="D1877" s="34" t="s">
        <v>1999</v>
      </c>
      <c r="E1877" s="35" t="str">
        <f t="shared" si="451"/>
        <v>PRBND'!</v>
      </c>
      <c r="F1877" s="34" t="str">
        <f t="shared" si="452"/>
        <v>C:\Users\jaime.benazar\Quorum Business Solutions\Ecopetrol Prometeo - Documents\Planning Space Implementation\3. Analysis &amp; Design\Design\FC22\DRR Jaime\QUIFA-CAJÚA\Cajua\[CAJUA_CF_SEC_New_27-Feb-2024Rev3.xlsx]D-PRBND'!</v>
      </c>
      <c r="G1877" s="32" t="s">
        <v>38</v>
      </c>
      <c r="H1877" s="33"/>
      <c r="I1877" s="33"/>
      <c r="J1877" s="37"/>
    </row>
    <row r="1878" spans="1:10" x14ac:dyDescent="0.25">
      <c r="A1878" s="32" t="s">
        <v>101</v>
      </c>
      <c r="B1878" s="32">
        <f>+B1877+1</f>
        <v>2037</v>
      </c>
      <c r="C1878" s="33" t="s">
        <v>17</v>
      </c>
      <c r="D1878" s="34" t="s">
        <v>1999</v>
      </c>
      <c r="E1878" s="35" t="str">
        <f t="shared" si="451"/>
        <v>PRBND'!</v>
      </c>
      <c r="F1878" s="34" t="str">
        <f t="shared" si="452"/>
        <v>C:\Users\jaime.benazar\Quorum Business Solutions\Ecopetrol Prometeo - Documents\Planning Space Implementation\3. Analysis &amp; Design\Design\FC22\DRR Jaime\QUIFA-CAJÚA\Cajua\[CAJUA_CF_SEC_New_27-Feb-2024Rev3.xlsx]D-PRBND'!</v>
      </c>
      <c r="G1878" s="32" t="s">
        <v>38</v>
      </c>
      <c r="H1878" s="33"/>
      <c r="I1878" s="33"/>
      <c r="J1878" s="37"/>
    </row>
    <row r="1879" spans="1:10" x14ac:dyDescent="0.25">
      <c r="A1879" s="32" t="s">
        <v>101</v>
      </c>
      <c r="B1879" s="32">
        <f t="shared" ref="B1879:B1881" si="454">+B1878+1</f>
        <v>2038</v>
      </c>
      <c r="C1879" s="33" t="s">
        <v>17</v>
      </c>
      <c r="D1879" s="34" t="s">
        <v>1999</v>
      </c>
      <c r="E1879" s="35" t="str">
        <f t="shared" si="451"/>
        <v>PRBND'!</v>
      </c>
      <c r="F1879" s="34" t="str">
        <f t="shared" si="452"/>
        <v>C:\Users\jaime.benazar\Quorum Business Solutions\Ecopetrol Prometeo - Documents\Planning Space Implementation\3. Analysis &amp; Design\Design\FC22\DRR Jaime\QUIFA-CAJÚA\Cajua\[CAJUA_CF_SEC_New_27-Feb-2024Rev3.xlsx]D-PRBND'!</v>
      </c>
      <c r="G1879" s="32" t="s">
        <v>38</v>
      </c>
      <c r="H1879" s="33"/>
      <c r="I1879" s="33"/>
      <c r="J1879" s="37"/>
    </row>
    <row r="1880" spans="1:10" x14ac:dyDescent="0.25">
      <c r="A1880" s="32" t="s">
        <v>101</v>
      </c>
      <c r="B1880" s="32">
        <f t="shared" si="454"/>
        <v>2039</v>
      </c>
      <c r="C1880" s="33" t="s">
        <v>17</v>
      </c>
      <c r="D1880" s="34" t="s">
        <v>1999</v>
      </c>
      <c r="E1880" s="35" t="str">
        <f t="shared" si="451"/>
        <v>PRBND'!</v>
      </c>
      <c r="F1880" s="34" t="str">
        <f t="shared" si="452"/>
        <v>C:\Users\jaime.benazar\Quorum Business Solutions\Ecopetrol Prometeo - Documents\Planning Space Implementation\3. Analysis &amp; Design\Design\FC22\DRR Jaime\QUIFA-CAJÚA\Cajua\[CAJUA_CF_SEC_New_27-Feb-2024Rev3.xlsx]D-PRBND'!</v>
      </c>
      <c r="G1880" s="32" t="s">
        <v>38</v>
      </c>
      <c r="H1880" s="33"/>
      <c r="I1880" s="33"/>
      <c r="J1880" s="37"/>
    </row>
    <row r="1881" spans="1:10" x14ac:dyDescent="0.25">
      <c r="A1881" s="32" t="s">
        <v>101</v>
      </c>
      <c r="B1881" s="32">
        <f t="shared" si="454"/>
        <v>2040</v>
      </c>
      <c r="C1881" s="33" t="s">
        <v>17</v>
      </c>
      <c r="D1881" s="34" t="s">
        <v>1999</v>
      </c>
      <c r="E1881" s="35" t="str">
        <f t="shared" si="451"/>
        <v>PRBND'!</v>
      </c>
      <c r="F1881" s="34" t="str">
        <f t="shared" si="452"/>
        <v>C:\Users\jaime.benazar\Quorum Business Solutions\Ecopetrol Prometeo - Documents\Planning Space Implementation\3. Analysis &amp; Design\Design\FC22\DRR Jaime\QUIFA-CAJÚA\Cajua\[CAJUA_CF_SEC_New_27-Feb-2024Rev3.xlsx]D-PRBND'!</v>
      </c>
      <c r="G1881" s="32" t="s">
        <v>38</v>
      </c>
      <c r="H1881" s="33"/>
      <c r="I1881" s="33"/>
      <c r="J1881" s="37"/>
    </row>
    <row r="1882" spans="1:10" x14ac:dyDescent="0.25">
      <c r="A1882" s="32" t="s">
        <v>101</v>
      </c>
      <c r="B1882" s="32">
        <f>+B1881+1</f>
        <v>2041</v>
      </c>
      <c r="C1882" s="33" t="s">
        <v>17</v>
      </c>
      <c r="D1882" s="34" t="s">
        <v>1999</v>
      </c>
      <c r="E1882" s="35" t="str">
        <f t="shared" si="451"/>
        <v>PRBND'!</v>
      </c>
      <c r="F1882" s="34" t="str">
        <f t="shared" si="452"/>
        <v>C:\Users\jaime.benazar\Quorum Business Solutions\Ecopetrol Prometeo - Documents\Planning Space Implementation\3. Analysis &amp; Design\Design\FC22\DRR Jaime\QUIFA-CAJÚA\Cajua\[CAJUA_CF_SEC_New_27-Feb-2024Rev3.xlsx]D-PRBND'!</v>
      </c>
      <c r="G1882" s="32" t="s">
        <v>38</v>
      </c>
      <c r="H1882" s="33"/>
      <c r="I1882" s="33"/>
      <c r="J1882" s="37"/>
    </row>
    <row r="1883" spans="1:10" x14ac:dyDescent="0.25">
      <c r="A1883" s="32" t="s">
        <v>101</v>
      </c>
      <c r="B1883" s="32">
        <f t="shared" ref="B1883:B1884" si="455">+B1882+1</f>
        <v>2042</v>
      </c>
      <c r="C1883" s="33" t="s">
        <v>17</v>
      </c>
      <c r="D1883" s="34" t="s">
        <v>1999</v>
      </c>
      <c r="E1883" s="35" t="str">
        <f t="shared" si="451"/>
        <v>PRBND'!</v>
      </c>
      <c r="F1883" s="34" t="str">
        <f t="shared" si="452"/>
        <v>C:\Users\jaime.benazar\Quorum Business Solutions\Ecopetrol Prometeo - Documents\Planning Space Implementation\3. Analysis &amp; Design\Design\FC22\DRR Jaime\QUIFA-CAJÚA\Cajua\[CAJUA_CF_SEC_New_27-Feb-2024Rev3.xlsx]D-PRBND'!</v>
      </c>
      <c r="G1883" s="32" t="s">
        <v>38</v>
      </c>
      <c r="H1883" s="33"/>
      <c r="I1883" s="33"/>
      <c r="J1883" s="37"/>
    </row>
    <row r="1884" spans="1:10" x14ac:dyDescent="0.25">
      <c r="A1884" s="32" t="s">
        <v>101</v>
      </c>
      <c r="B1884" s="32">
        <f t="shared" si="455"/>
        <v>2043</v>
      </c>
      <c r="C1884" s="33" t="s">
        <v>17</v>
      </c>
      <c r="D1884" s="34" t="s">
        <v>1999</v>
      </c>
      <c r="E1884" s="35" t="str">
        <f t="shared" si="451"/>
        <v>PRBND'!</v>
      </c>
      <c r="F1884" s="34" t="str">
        <f t="shared" si="452"/>
        <v>C:\Users\jaime.benazar\Quorum Business Solutions\Ecopetrol Prometeo - Documents\Planning Space Implementation\3. Analysis &amp; Design\Design\FC22\DRR Jaime\QUIFA-CAJÚA\Cajua\[CAJUA_CF_SEC_New_27-Feb-2024Rev3.xlsx]D-PRBND'!</v>
      </c>
      <c r="G1884" s="32" t="s">
        <v>38</v>
      </c>
      <c r="H1884" s="33"/>
      <c r="I1884" s="33"/>
      <c r="J1884" s="37"/>
    </row>
    <row r="1885" spans="1:10" x14ac:dyDescent="0.25">
      <c r="A1885" s="32" t="s">
        <v>101</v>
      </c>
      <c r="B1885" s="32">
        <f>+B1884+1</f>
        <v>2044</v>
      </c>
      <c r="C1885" s="33" t="s">
        <v>17</v>
      </c>
      <c r="D1885" s="34" t="s">
        <v>1999</v>
      </c>
      <c r="E1885" s="35" t="str">
        <f t="shared" ref="E1885:E1900" si="456">_xlfn.CONCAT(A1885,"'!")</f>
        <v>PRBND'!</v>
      </c>
      <c r="F1885" s="34" t="str">
        <f t="shared" ref="F1885:F1900" si="457">_xlfn.CONCAT(D1885:E1885)</f>
        <v>C:\Users\jaime.benazar\Quorum Business Solutions\Ecopetrol Prometeo - Documents\Planning Space Implementation\3. Analysis &amp; Design\Design\FC22\DRR Jaime\QUIFA-CAJÚA\Cajua\[CAJUA_CF_SEC_New_27-Feb-2024Rev3.xlsx]D-PRBND'!</v>
      </c>
      <c r="G1885" s="32" t="s">
        <v>38</v>
      </c>
      <c r="H1885" s="33"/>
      <c r="I1885" s="33"/>
      <c r="J1885" s="37"/>
    </row>
    <row r="1886" spans="1:10" x14ac:dyDescent="0.25">
      <c r="A1886" s="32" t="s">
        <v>101</v>
      </c>
      <c r="B1886" s="32">
        <f t="shared" ref="B1886:B1900" si="458">+B1885+1</f>
        <v>2045</v>
      </c>
      <c r="C1886" s="33" t="s">
        <v>17</v>
      </c>
      <c r="D1886" s="34" t="s">
        <v>1999</v>
      </c>
      <c r="E1886" s="35" t="str">
        <f t="shared" si="456"/>
        <v>PRBND'!</v>
      </c>
      <c r="F1886" s="34" t="str">
        <f t="shared" si="457"/>
        <v>C:\Users\jaime.benazar\Quorum Business Solutions\Ecopetrol Prometeo - Documents\Planning Space Implementation\3. Analysis &amp; Design\Design\FC22\DRR Jaime\QUIFA-CAJÚA\Cajua\[CAJUA_CF_SEC_New_27-Feb-2024Rev3.xlsx]D-PRBND'!</v>
      </c>
      <c r="G1886" s="32" t="s">
        <v>38</v>
      </c>
      <c r="H1886" s="33"/>
      <c r="I1886" s="33"/>
      <c r="J1886" s="37"/>
    </row>
    <row r="1887" spans="1:10" x14ac:dyDescent="0.25">
      <c r="A1887" s="32" t="s">
        <v>101</v>
      </c>
      <c r="B1887" s="32">
        <f t="shared" si="458"/>
        <v>2046</v>
      </c>
      <c r="C1887" s="33" t="s">
        <v>17</v>
      </c>
      <c r="D1887" s="34" t="s">
        <v>1999</v>
      </c>
      <c r="E1887" s="35" t="str">
        <f t="shared" si="456"/>
        <v>PRBND'!</v>
      </c>
      <c r="F1887" s="34" t="str">
        <f t="shared" si="457"/>
        <v>C:\Users\jaime.benazar\Quorum Business Solutions\Ecopetrol Prometeo - Documents\Planning Space Implementation\3. Analysis &amp; Design\Design\FC22\DRR Jaime\QUIFA-CAJÚA\Cajua\[CAJUA_CF_SEC_New_27-Feb-2024Rev3.xlsx]D-PRBND'!</v>
      </c>
      <c r="G1887" s="32" t="s">
        <v>38</v>
      </c>
      <c r="H1887" s="33"/>
      <c r="I1887" s="33"/>
      <c r="J1887" s="37"/>
    </row>
    <row r="1888" spans="1:10" x14ac:dyDescent="0.25">
      <c r="A1888" s="32" t="s">
        <v>101</v>
      </c>
      <c r="B1888" s="32">
        <f t="shared" si="458"/>
        <v>2047</v>
      </c>
      <c r="C1888" s="33" t="s">
        <v>17</v>
      </c>
      <c r="D1888" s="34" t="s">
        <v>1999</v>
      </c>
      <c r="E1888" s="35" t="str">
        <f t="shared" si="456"/>
        <v>PRBND'!</v>
      </c>
      <c r="F1888" s="34" t="str">
        <f t="shared" si="457"/>
        <v>C:\Users\jaime.benazar\Quorum Business Solutions\Ecopetrol Prometeo - Documents\Planning Space Implementation\3. Analysis &amp; Design\Design\FC22\DRR Jaime\QUIFA-CAJÚA\Cajua\[CAJUA_CF_SEC_New_27-Feb-2024Rev3.xlsx]D-PRBND'!</v>
      </c>
      <c r="G1888" s="32" t="s">
        <v>38</v>
      </c>
      <c r="H1888" s="33"/>
      <c r="I1888" s="33"/>
      <c r="J1888" s="37"/>
    </row>
    <row r="1889" spans="1:10" x14ac:dyDescent="0.25">
      <c r="A1889" s="32" t="s">
        <v>101</v>
      </c>
      <c r="B1889" s="32">
        <f t="shared" si="458"/>
        <v>2048</v>
      </c>
      <c r="C1889" s="33" t="s">
        <v>17</v>
      </c>
      <c r="D1889" s="34" t="s">
        <v>1999</v>
      </c>
      <c r="E1889" s="35" t="str">
        <f t="shared" si="456"/>
        <v>PRBND'!</v>
      </c>
      <c r="F1889" s="34" t="str">
        <f t="shared" si="457"/>
        <v>C:\Users\jaime.benazar\Quorum Business Solutions\Ecopetrol Prometeo - Documents\Planning Space Implementation\3. Analysis &amp; Design\Design\FC22\DRR Jaime\QUIFA-CAJÚA\Cajua\[CAJUA_CF_SEC_New_27-Feb-2024Rev3.xlsx]D-PRBND'!</v>
      </c>
      <c r="G1889" s="32" t="s">
        <v>38</v>
      </c>
      <c r="H1889" s="33"/>
      <c r="I1889" s="33"/>
      <c r="J1889" s="37"/>
    </row>
    <row r="1890" spans="1:10" x14ac:dyDescent="0.25">
      <c r="A1890" s="32" t="s">
        <v>101</v>
      </c>
      <c r="B1890" s="32">
        <f t="shared" si="458"/>
        <v>2049</v>
      </c>
      <c r="C1890" s="33" t="s">
        <v>17</v>
      </c>
      <c r="D1890" s="34" t="s">
        <v>1999</v>
      </c>
      <c r="E1890" s="35" t="str">
        <f t="shared" si="456"/>
        <v>PRBND'!</v>
      </c>
      <c r="F1890" s="34" t="str">
        <f t="shared" si="457"/>
        <v>C:\Users\jaime.benazar\Quorum Business Solutions\Ecopetrol Prometeo - Documents\Planning Space Implementation\3. Analysis &amp; Design\Design\FC22\DRR Jaime\QUIFA-CAJÚA\Cajua\[CAJUA_CF_SEC_New_27-Feb-2024Rev3.xlsx]D-PRBND'!</v>
      </c>
      <c r="G1890" s="32" t="s">
        <v>38</v>
      </c>
      <c r="H1890" s="33"/>
      <c r="I1890" s="33"/>
      <c r="J1890" s="37"/>
    </row>
    <row r="1891" spans="1:10" x14ac:dyDescent="0.25">
      <c r="A1891" s="32" t="s">
        <v>101</v>
      </c>
      <c r="B1891" s="32">
        <f t="shared" si="458"/>
        <v>2050</v>
      </c>
      <c r="C1891" s="33" t="s">
        <v>17</v>
      </c>
      <c r="D1891" s="34" t="s">
        <v>1999</v>
      </c>
      <c r="E1891" s="35" t="str">
        <f t="shared" si="456"/>
        <v>PRBND'!</v>
      </c>
      <c r="F1891" s="34" t="str">
        <f t="shared" si="457"/>
        <v>C:\Users\jaime.benazar\Quorum Business Solutions\Ecopetrol Prometeo - Documents\Planning Space Implementation\3. Analysis &amp; Design\Design\FC22\DRR Jaime\QUIFA-CAJÚA\Cajua\[CAJUA_CF_SEC_New_27-Feb-2024Rev3.xlsx]D-PRBND'!</v>
      </c>
      <c r="G1891" s="32" t="s">
        <v>38</v>
      </c>
      <c r="H1891" s="33"/>
      <c r="I1891" s="33"/>
      <c r="J1891" s="37"/>
    </row>
    <row r="1892" spans="1:10" x14ac:dyDescent="0.25">
      <c r="A1892" s="32" t="s">
        <v>101</v>
      </c>
      <c r="B1892" s="32">
        <f t="shared" si="458"/>
        <v>2051</v>
      </c>
      <c r="C1892" s="33" t="s">
        <v>17</v>
      </c>
      <c r="D1892" s="34" t="s">
        <v>1999</v>
      </c>
      <c r="E1892" s="35" t="str">
        <f t="shared" si="456"/>
        <v>PRBND'!</v>
      </c>
      <c r="F1892" s="34" t="str">
        <f t="shared" si="457"/>
        <v>C:\Users\jaime.benazar\Quorum Business Solutions\Ecopetrol Prometeo - Documents\Planning Space Implementation\3. Analysis &amp; Design\Design\FC22\DRR Jaime\QUIFA-CAJÚA\Cajua\[CAJUA_CF_SEC_New_27-Feb-2024Rev3.xlsx]D-PRBND'!</v>
      </c>
      <c r="G1892" s="32" t="s">
        <v>38</v>
      </c>
      <c r="H1892" s="33"/>
      <c r="I1892" s="33"/>
      <c r="J1892" s="37"/>
    </row>
    <row r="1893" spans="1:10" x14ac:dyDescent="0.25">
      <c r="A1893" s="32" t="s">
        <v>101</v>
      </c>
      <c r="B1893" s="32">
        <f t="shared" si="458"/>
        <v>2052</v>
      </c>
      <c r="C1893" s="33" t="s">
        <v>17</v>
      </c>
      <c r="D1893" s="34" t="s">
        <v>1999</v>
      </c>
      <c r="E1893" s="35" t="str">
        <f t="shared" si="456"/>
        <v>PRBND'!</v>
      </c>
      <c r="F1893" s="34" t="str">
        <f t="shared" si="457"/>
        <v>C:\Users\jaime.benazar\Quorum Business Solutions\Ecopetrol Prometeo - Documents\Planning Space Implementation\3. Analysis &amp; Design\Design\FC22\DRR Jaime\QUIFA-CAJÚA\Cajua\[CAJUA_CF_SEC_New_27-Feb-2024Rev3.xlsx]D-PRBND'!</v>
      </c>
      <c r="G1893" s="32" t="s">
        <v>38</v>
      </c>
      <c r="H1893" s="33"/>
      <c r="I1893" s="33"/>
      <c r="J1893" s="37"/>
    </row>
    <row r="1894" spans="1:10" x14ac:dyDescent="0.25">
      <c r="A1894" s="32" t="s">
        <v>101</v>
      </c>
      <c r="B1894" s="32">
        <f t="shared" si="458"/>
        <v>2053</v>
      </c>
      <c r="C1894" s="33" t="s">
        <v>17</v>
      </c>
      <c r="D1894" s="34" t="s">
        <v>1999</v>
      </c>
      <c r="E1894" s="35" t="str">
        <f t="shared" si="456"/>
        <v>PRBND'!</v>
      </c>
      <c r="F1894" s="34" t="str">
        <f t="shared" si="457"/>
        <v>C:\Users\jaime.benazar\Quorum Business Solutions\Ecopetrol Prometeo - Documents\Planning Space Implementation\3. Analysis &amp; Design\Design\FC22\DRR Jaime\QUIFA-CAJÚA\Cajua\[CAJUA_CF_SEC_New_27-Feb-2024Rev3.xlsx]D-PRBND'!</v>
      </c>
      <c r="G1894" s="32" t="s">
        <v>38</v>
      </c>
      <c r="H1894" s="33"/>
      <c r="I1894" s="33"/>
      <c r="J1894" s="37"/>
    </row>
    <row r="1895" spans="1:10" x14ac:dyDescent="0.25">
      <c r="A1895" s="32" t="s">
        <v>101</v>
      </c>
      <c r="B1895" s="32">
        <f t="shared" si="458"/>
        <v>2054</v>
      </c>
      <c r="C1895" s="33" t="s">
        <v>17</v>
      </c>
      <c r="D1895" s="34" t="s">
        <v>1999</v>
      </c>
      <c r="E1895" s="35" t="str">
        <f t="shared" si="456"/>
        <v>PRBND'!</v>
      </c>
      <c r="F1895" s="34" t="str">
        <f t="shared" si="457"/>
        <v>C:\Users\jaime.benazar\Quorum Business Solutions\Ecopetrol Prometeo - Documents\Planning Space Implementation\3. Analysis &amp; Design\Design\FC22\DRR Jaime\QUIFA-CAJÚA\Cajua\[CAJUA_CF_SEC_New_27-Feb-2024Rev3.xlsx]D-PRBND'!</v>
      </c>
      <c r="G1895" s="32" t="s">
        <v>38</v>
      </c>
      <c r="H1895" s="33"/>
      <c r="I1895" s="33"/>
      <c r="J1895" s="37"/>
    </row>
    <row r="1896" spans="1:10" x14ac:dyDescent="0.25">
      <c r="A1896" s="32" t="s">
        <v>101</v>
      </c>
      <c r="B1896" s="32">
        <f t="shared" si="458"/>
        <v>2055</v>
      </c>
      <c r="C1896" s="33" t="s">
        <v>17</v>
      </c>
      <c r="D1896" s="34" t="s">
        <v>1999</v>
      </c>
      <c r="E1896" s="35" t="str">
        <f t="shared" si="456"/>
        <v>PRBND'!</v>
      </c>
      <c r="F1896" s="34" t="str">
        <f t="shared" si="457"/>
        <v>C:\Users\jaime.benazar\Quorum Business Solutions\Ecopetrol Prometeo - Documents\Planning Space Implementation\3. Analysis &amp; Design\Design\FC22\DRR Jaime\QUIFA-CAJÚA\Cajua\[CAJUA_CF_SEC_New_27-Feb-2024Rev3.xlsx]D-PRBND'!</v>
      </c>
      <c r="G1896" s="32" t="s">
        <v>38</v>
      </c>
      <c r="H1896" s="33"/>
      <c r="I1896" s="33"/>
      <c r="J1896" s="37"/>
    </row>
    <row r="1897" spans="1:10" x14ac:dyDescent="0.25">
      <c r="A1897" s="32" t="s">
        <v>101</v>
      </c>
      <c r="B1897" s="32">
        <f t="shared" si="458"/>
        <v>2056</v>
      </c>
      <c r="C1897" s="33" t="s">
        <v>17</v>
      </c>
      <c r="D1897" s="34" t="s">
        <v>1999</v>
      </c>
      <c r="E1897" s="35" t="str">
        <f t="shared" si="456"/>
        <v>PRBND'!</v>
      </c>
      <c r="F1897" s="34" t="str">
        <f t="shared" si="457"/>
        <v>C:\Users\jaime.benazar\Quorum Business Solutions\Ecopetrol Prometeo - Documents\Planning Space Implementation\3. Analysis &amp; Design\Design\FC22\DRR Jaime\QUIFA-CAJÚA\Cajua\[CAJUA_CF_SEC_New_27-Feb-2024Rev3.xlsx]D-PRBND'!</v>
      </c>
      <c r="G1897" s="32" t="s">
        <v>38</v>
      </c>
      <c r="H1897" s="33"/>
      <c r="I1897" s="33"/>
      <c r="J1897" s="37"/>
    </row>
    <row r="1898" spans="1:10" x14ac:dyDescent="0.25">
      <c r="A1898" s="32" t="s">
        <v>101</v>
      </c>
      <c r="B1898" s="32">
        <f t="shared" si="458"/>
        <v>2057</v>
      </c>
      <c r="C1898" s="33" t="s">
        <v>17</v>
      </c>
      <c r="D1898" s="34" t="s">
        <v>1999</v>
      </c>
      <c r="E1898" s="35" t="str">
        <f t="shared" si="456"/>
        <v>PRBND'!</v>
      </c>
      <c r="F1898" s="34" t="str">
        <f t="shared" si="457"/>
        <v>C:\Users\jaime.benazar\Quorum Business Solutions\Ecopetrol Prometeo - Documents\Planning Space Implementation\3. Analysis &amp; Design\Design\FC22\DRR Jaime\QUIFA-CAJÚA\Cajua\[CAJUA_CF_SEC_New_27-Feb-2024Rev3.xlsx]D-PRBND'!</v>
      </c>
      <c r="G1898" s="32" t="s">
        <v>38</v>
      </c>
      <c r="H1898" s="33"/>
      <c r="I1898" s="33"/>
      <c r="J1898" s="37"/>
    </row>
    <row r="1899" spans="1:10" x14ac:dyDescent="0.25">
      <c r="A1899" s="32" t="s">
        <v>101</v>
      </c>
      <c r="B1899" s="32">
        <f t="shared" si="458"/>
        <v>2058</v>
      </c>
      <c r="C1899" s="33" t="s">
        <v>17</v>
      </c>
      <c r="D1899" s="34" t="s">
        <v>1999</v>
      </c>
      <c r="E1899" s="35" t="str">
        <f t="shared" si="456"/>
        <v>PRBND'!</v>
      </c>
      <c r="F1899" s="34" t="str">
        <f t="shared" si="457"/>
        <v>C:\Users\jaime.benazar\Quorum Business Solutions\Ecopetrol Prometeo - Documents\Planning Space Implementation\3. Analysis &amp; Design\Design\FC22\DRR Jaime\QUIFA-CAJÚA\Cajua\[CAJUA_CF_SEC_New_27-Feb-2024Rev3.xlsx]D-PRBND'!</v>
      </c>
      <c r="G1899" s="32" t="s">
        <v>38</v>
      </c>
      <c r="H1899" s="33"/>
      <c r="I1899" s="33"/>
      <c r="J1899" s="37"/>
    </row>
    <row r="1900" spans="1:10" x14ac:dyDescent="0.25">
      <c r="A1900" s="32" t="s">
        <v>101</v>
      </c>
      <c r="B1900" s="32">
        <f t="shared" si="458"/>
        <v>2059</v>
      </c>
      <c r="C1900" s="33" t="s">
        <v>17</v>
      </c>
      <c r="D1900" s="34" t="s">
        <v>1999</v>
      </c>
      <c r="E1900" s="35" t="str">
        <f t="shared" si="456"/>
        <v>PRBND'!</v>
      </c>
      <c r="F1900" s="34" t="str">
        <f t="shared" si="457"/>
        <v>C:\Users\jaime.benazar\Quorum Business Solutions\Ecopetrol Prometeo - Documents\Planning Space Implementation\3. Analysis &amp; Design\Design\FC22\DRR Jaime\QUIFA-CAJÚA\Cajua\[CAJUA_CF_SEC_New_27-Feb-2024Rev3.xlsx]D-PRBND'!</v>
      </c>
      <c r="G1900" s="32" t="s">
        <v>38</v>
      </c>
      <c r="H1900" s="33"/>
      <c r="I1900" s="33"/>
      <c r="J1900" s="37"/>
    </row>
    <row r="1901" spans="1:10" x14ac:dyDescent="0.25">
      <c r="A1901" s="32" t="s">
        <v>28</v>
      </c>
      <c r="B1901" s="32"/>
      <c r="C1901" s="33" t="s">
        <v>17</v>
      </c>
      <c r="D1901" s="34"/>
      <c r="E1901" s="35"/>
      <c r="F1901" s="34"/>
      <c r="G1901" s="32"/>
      <c r="H1901" s="33"/>
      <c r="I1901" s="33"/>
      <c r="J1901" s="33"/>
    </row>
    <row r="1902" spans="1:10" x14ac:dyDescent="0.25">
      <c r="A1902" s="32" t="s">
        <v>4</v>
      </c>
      <c r="B1902" s="32">
        <v>2023</v>
      </c>
      <c r="C1902" s="33" t="s">
        <v>17</v>
      </c>
      <c r="D1902" s="34" t="s">
        <v>1999</v>
      </c>
      <c r="E1902" s="35" t="str">
        <f t="shared" si="428"/>
        <v>PRB'!</v>
      </c>
      <c r="F1902" s="34" t="str">
        <f t="shared" si="429"/>
        <v>C:\Users\jaime.benazar\Quorum Business Solutions\Ecopetrol Prometeo - Documents\Planning Space Implementation\3. Analysis &amp; Design\Design\FC22\DRR Jaime\QUIFA-CAJÚA\Cajua\[CAJUA_CF_SEC_New_27-Feb-2024Rev3.xlsx]D-PRB'!</v>
      </c>
      <c r="G1902" s="32" t="s">
        <v>38</v>
      </c>
      <c r="H1902" s="33">
        <v>12</v>
      </c>
      <c r="I1902" s="33" t="str">
        <f t="shared" ref="I1902:I1922" si="459">_xlfn.CONCAT("='",F1902:H1902)</f>
        <v>='C:\Users\jaime.benazar\Quorum Business Solutions\Ecopetrol Prometeo - Documents\Planning Space Implementation\3. Analysis &amp; Design\Design\FC22\DRR Jaime\QUIFA-CAJÚA\Cajua\[CAJUA_CF_SEC_New_27-Feb-2024Rev3.xlsx]D-PRB'!$BX$12</v>
      </c>
      <c r="J1902" s="37" t="s">
        <v>2851</v>
      </c>
    </row>
    <row r="1903" spans="1:10" x14ac:dyDescent="0.25">
      <c r="A1903" s="32" t="s">
        <v>4</v>
      </c>
      <c r="B1903" s="32">
        <f>+B1902+1</f>
        <v>2024</v>
      </c>
      <c r="C1903" s="33" t="s">
        <v>17</v>
      </c>
      <c r="D1903" s="34" t="s">
        <v>1999</v>
      </c>
      <c r="E1903" s="35" t="str">
        <f t="shared" si="428"/>
        <v>PRB'!</v>
      </c>
      <c r="F1903" s="34" t="str">
        <f t="shared" si="429"/>
        <v>C:\Users\jaime.benazar\Quorum Business Solutions\Ecopetrol Prometeo - Documents\Planning Space Implementation\3. Analysis &amp; Design\Design\FC22\DRR Jaime\QUIFA-CAJÚA\Cajua\[CAJUA_CF_SEC_New_27-Feb-2024Rev3.xlsx]D-PRB'!</v>
      </c>
      <c r="G1903" s="32" t="s">
        <v>38</v>
      </c>
      <c r="H1903" s="33">
        <f t="shared" ref="H1903:H1922" si="460">IF(A1903&lt;&gt;A1902,12,H1902+1)</f>
        <v>13</v>
      </c>
      <c r="I1903" s="33" t="str">
        <f t="shared" si="459"/>
        <v>='C:\Users\jaime.benazar\Quorum Business Solutions\Ecopetrol Prometeo - Documents\Planning Space Implementation\3. Analysis &amp; Design\Design\FC22\DRR Jaime\QUIFA-CAJÚA\Cajua\[CAJUA_CF_SEC_New_27-Feb-2024Rev3.xlsx]D-PRB'!$BX$13</v>
      </c>
      <c r="J1903" s="37" t="s">
        <v>2852</v>
      </c>
    </row>
    <row r="1904" spans="1:10" x14ac:dyDescent="0.25">
      <c r="A1904" s="32" t="s">
        <v>4</v>
      </c>
      <c r="B1904" s="32">
        <f t="shared" ref="B1904:B1915" si="461">+B1903+1</f>
        <v>2025</v>
      </c>
      <c r="C1904" s="33" t="s">
        <v>17</v>
      </c>
      <c r="D1904" s="34" t="s">
        <v>1999</v>
      </c>
      <c r="E1904" s="35" t="str">
        <f t="shared" si="428"/>
        <v>PRB'!</v>
      </c>
      <c r="F1904" s="34" t="str">
        <f t="shared" si="429"/>
        <v>C:\Users\jaime.benazar\Quorum Business Solutions\Ecopetrol Prometeo - Documents\Planning Space Implementation\3. Analysis &amp; Design\Design\FC22\DRR Jaime\QUIFA-CAJÚA\Cajua\[CAJUA_CF_SEC_New_27-Feb-2024Rev3.xlsx]D-PRB'!</v>
      </c>
      <c r="G1904" s="32" t="s">
        <v>38</v>
      </c>
      <c r="H1904" s="33">
        <f t="shared" si="460"/>
        <v>14</v>
      </c>
      <c r="I1904" s="33" t="str">
        <f t="shared" si="459"/>
        <v>='C:\Users\jaime.benazar\Quorum Business Solutions\Ecopetrol Prometeo - Documents\Planning Space Implementation\3. Analysis &amp; Design\Design\FC22\DRR Jaime\QUIFA-CAJÚA\Cajua\[CAJUA_CF_SEC_New_27-Feb-2024Rev3.xlsx]D-PRB'!$BX$14</v>
      </c>
      <c r="J1904" s="37" t="s">
        <v>2853</v>
      </c>
    </row>
    <row r="1905" spans="1:10" x14ac:dyDescent="0.25">
      <c r="A1905" s="32" t="s">
        <v>4</v>
      </c>
      <c r="B1905" s="32">
        <f t="shared" si="461"/>
        <v>2026</v>
      </c>
      <c r="C1905" s="33" t="s">
        <v>17</v>
      </c>
      <c r="D1905" s="34" t="s">
        <v>1999</v>
      </c>
      <c r="E1905" s="35" t="str">
        <f t="shared" si="428"/>
        <v>PRB'!</v>
      </c>
      <c r="F1905" s="34" t="str">
        <f t="shared" si="429"/>
        <v>C:\Users\jaime.benazar\Quorum Business Solutions\Ecopetrol Prometeo - Documents\Planning Space Implementation\3. Analysis &amp; Design\Design\FC22\DRR Jaime\QUIFA-CAJÚA\Cajua\[CAJUA_CF_SEC_New_27-Feb-2024Rev3.xlsx]D-PRB'!</v>
      </c>
      <c r="G1905" s="32" t="s">
        <v>38</v>
      </c>
      <c r="H1905" s="33">
        <f t="shared" si="460"/>
        <v>15</v>
      </c>
      <c r="I1905" s="33" t="str">
        <f t="shared" si="459"/>
        <v>='C:\Users\jaime.benazar\Quorum Business Solutions\Ecopetrol Prometeo - Documents\Planning Space Implementation\3. Analysis &amp; Design\Design\FC22\DRR Jaime\QUIFA-CAJÚA\Cajua\[CAJUA_CF_SEC_New_27-Feb-2024Rev3.xlsx]D-PRB'!$BX$15</v>
      </c>
      <c r="J1905" s="37" t="s">
        <v>2854</v>
      </c>
    </row>
    <row r="1906" spans="1:10" x14ac:dyDescent="0.25">
      <c r="A1906" s="32" t="s">
        <v>4</v>
      </c>
      <c r="B1906" s="32">
        <f t="shared" si="461"/>
        <v>2027</v>
      </c>
      <c r="C1906" s="33" t="s">
        <v>17</v>
      </c>
      <c r="D1906" s="34" t="s">
        <v>1999</v>
      </c>
      <c r="E1906" s="35" t="str">
        <f t="shared" si="428"/>
        <v>PRB'!</v>
      </c>
      <c r="F1906" s="34" t="str">
        <f t="shared" si="429"/>
        <v>C:\Users\jaime.benazar\Quorum Business Solutions\Ecopetrol Prometeo - Documents\Planning Space Implementation\3. Analysis &amp; Design\Design\FC22\DRR Jaime\QUIFA-CAJÚA\Cajua\[CAJUA_CF_SEC_New_27-Feb-2024Rev3.xlsx]D-PRB'!</v>
      </c>
      <c r="G1906" s="32" t="s">
        <v>38</v>
      </c>
      <c r="H1906" s="33">
        <f t="shared" si="460"/>
        <v>16</v>
      </c>
      <c r="I1906" s="33" t="str">
        <f t="shared" si="459"/>
        <v>='C:\Users\jaime.benazar\Quorum Business Solutions\Ecopetrol Prometeo - Documents\Planning Space Implementation\3. Analysis &amp; Design\Design\FC22\DRR Jaime\QUIFA-CAJÚA\Cajua\[CAJUA_CF_SEC_New_27-Feb-2024Rev3.xlsx]D-PRB'!$BX$16</v>
      </c>
      <c r="J1906" s="37" t="s">
        <v>2855</v>
      </c>
    </row>
    <row r="1907" spans="1:10" x14ac:dyDescent="0.25">
      <c r="A1907" s="32" t="s">
        <v>4</v>
      </c>
      <c r="B1907" s="32">
        <f t="shared" si="461"/>
        <v>2028</v>
      </c>
      <c r="C1907" s="33" t="s">
        <v>17</v>
      </c>
      <c r="D1907" s="34" t="s">
        <v>1999</v>
      </c>
      <c r="E1907" s="35" t="str">
        <f t="shared" si="428"/>
        <v>PRB'!</v>
      </c>
      <c r="F1907" s="34" t="str">
        <f t="shared" si="429"/>
        <v>C:\Users\jaime.benazar\Quorum Business Solutions\Ecopetrol Prometeo - Documents\Planning Space Implementation\3. Analysis &amp; Design\Design\FC22\DRR Jaime\QUIFA-CAJÚA\Cajua\[CAJUA_CF_SEC_New_27-Feb-2024Rev3.xlsx]D-PRB'!</v>
      </c>
      <c r="G1907" s="32" t="s">
        <v>38</v>
      </c>
      <c r="H1907" s="33">
        <f t="shared" si="460"/>
        <v>17</v>
      </c>
      <c r="I1907" s="33" t="str">
        <f t="shared" si="459"/>
        <v>='C:\Users\jaime.benazar\Quorum Business Solutions\Ecopetrol Prometeo - Documents\Planning Space Implementation\3. Analysis &amp; Design\Design\FC22\DRR Jaime\QUIFA-CAJÚA\Cajua\[CAJUA_CF_SEC_New_27-Feb-2024Rev3.xlsx]D-PRB'!$BX$17</v>
      </c>
      <c r="J1907" s="37" t="s">
        <v>2856</v>
      </c>
    </row>
    <row r="1908" spans="1:10" x14ac:dyDescent="0.25">
      <c r="A1908" s="32" t="s">
        <v>4</v>
      </c>
      <c r="B1908" s="32">
        <f t="shared" si="461"/>
        <v>2029</v>
      </c>
      <c r="C1908" s="33" t="s">
        <v>17</v>
      </c>
      <c r="D1908" s="34" t="s">
        <v>1999</v>
      </c>
      <c r="E1908" s="35" t="str">
        <f t="shared" si="428"/>
        <v>PRB'!</v>
      </c>
      <c r="F1908" s="34" t="str">
        <f t="shared" si="429"/>
        <v>C:\Users\jaime.benazar\Quorum Business Solutions\Ecopetrol Prometeo - Documents\Planning Space Implementation\3. Analysis &amp; Design\Design\FC22\DRR Jaime\QUIFA-CAJÚA\Cajua\[CAJUA_CF_SEC_New_27-Feb-2024Rev3.xlsx]D-PRB'!</v>
      </c>
      <c r="G1908" s="32" t="s">
        <v>38</v>
      </c>
      <c r="H1908" s="33">
        <f t="shared" si="460"/>
        <v>18</v>
      </c>
      <c r="I1908" s="33" t="str">
        <f t="shared" si="459"/>
        <v>='C:\Users\jaime.benazar\Quorum Business Solutions\Ecopetrol Prometeo - Documents\Planning Space Implementation\3. Analysis &amp; Design\Design\FC22\DRR Jaime\QUIFA-CAJÚA\Cajua\[CAJUA_CF_SEC_New_27-Feb-2024Rev3.xlsx]D-PRB'!$BX$18</v>
      </c>
      <c r="J1908" s="37" t="s">
        <v>2857</v>
      </c>
    </row>
    <row r="1909" spans="1:10" x14ac:dyDescent="0.25">
      <c r="A1909" s="32" t="s">
        <v>4</v>
      </c>
      <c r="B1909" s="32">
        <f t="shared" si="461"/>
        <v>2030</v>
      </c>
      <c r="C1909" s="33" t="s">
        <v>17</v>
      </c>
      <c r="D1909" s="34" t="s">
        <v>1999</v>
      </c>
      <c r="E1909" s="35" t="str">
        <f t="shared" si="428"/>
        <v>PRB'!</v>
      </c>
      <c r="F1909" s="34" t="str">
        <f t="shared" si="429"/>
        <v>C:\Users\jaime.benazar\Quorum Business Solutions\Ecopetrol Prometeo - Documents\Planning Space Implementation\3. Analysis &amp; Design\Design\FC22\DRR Jaime\QUIFA-CAJÚA\Cajua\[CAJUA_CF_SEC_New_27-Feb-2024Rev3.xlsx]D-PRB'!</v>
      </c>
      <c r="G1909" s="32" t="s">
        <v>38</v>
      </c>
      <c r="H1909" s="33">
        <f t="shared" si="460"/>
        <v>19</v>
      </c>
      <c r="I1909" s="33" t="str">
        <f t="shared" si="459"/>
        <v>='C:\Users\jaime.benazar\Quorum Business Solutions\Ecopetrol Prometeo - Documents\Planning Space Implementation\3. Analysis &amp; Design\Design\FC22\DRR Jaime\QUIFA-CAJÚA\Cajua\[CAJUA_CF_SEC_New_27-Feb-2024Rev3.xlsx]D-PRB'!$BX$19</v>
      </c>
      <c r="J1909" s="37" t="s">
        <v>2858</v>
      </c>
    </row>
    <row r="1910" spans="1:10" x14ac:dyDescent="0.25">
      <c r="A1910" s="32" t="s">
        <v>4</v>
      </c>
      <c r="B1910" s="32">
        <f t="shared" si="461"/>
        <v>2031</v>
      </c>
      <c r="C1910" s="33" t="s">
        <v>17</v>
      </c>
      <c r="D1910" s="34" t="s">
        <v>1999</v>
      </c>
      <c r="E1910" s="35" t="str">
        <f t="shared" si="428"/>
        <v>PRB'!</v>
      </c>
      <c r="F1910" s="34" t="str">
        <f t="shared" si="429"/>
        <v>C:\Users\jaime.benazar\Quorum Business Solutions\Ecopetrol Prometeo - Documents\Planning Space Implementation\3. Analysis &amp; Design\Design\FC22\DRR Jaime\QUIFA-CAJÚA\Cajua\[CAJUA_CF_SEC_New_27-Feb-2024Rev3.xlsx]D-PRB'!</v>
      </c>
      <c r="G1910" s="32" t="s">
        <v>38</v>
      </c>
      <c r="H1910" s="33">
        <f t="shared" si="460"/>
        <v>20</v>
      </c>
      <c r="I1910" s="33" t="str">
        <f t="shared" si="459"/>
        <v>='C:\Users\jaime.benazar\Quorum Business Solutions\Ecopetrol Prometeo - Documents\Planning Space Implementation\3. Analysis &amp; Design\Design\FC22\DRR Jaime\QUIFA-CAJÚA\Cajua\[CAJUA_CF_SEC_New_27-Feb-2024Rev3.xlsx]D-PRB'!$BX$20</v>
      </c>
      <c r="J1910" s="37" t="s">
        <v>2859</v>
      </c>
    </row>
    <row r="1911" spans="1:10" x14ac:dyDescent="0.25">
      <c r="A1911" s="32" t="s">
        <v>4</v>
      </c>
      <c r="B1911" s="32">
        <f t="shared" si="461"/>
        <v>2032</v>
      </c>
      <c r="C1911" s="33" t="s">
        <v>17</v>
      </c>
      <c r="D1911" s="34" t="s">
        <v>1999</v>
      </c>
      <c r="E1911" s="35" t="str">
        <f t="shared" si="428"/>
        <v>PRB'!</v>
      </c>
      <c r="F1911" s="34" t="str">
        <f t="shared" si="429"/>
        <v>C:\Users\jaime.benazar\Quorum Business Solutions\Ecopetrol Prometeo - Documents\Planning Space Implementation\3. Analysis &amp; Design\Design\FC22\DRR Jaime\QUIFA-CAJÚA\Cajua\[CAJUA_CF_SEC_New_27-Feb-2024Rev3.xlsx]D-PRB'!</v>
      </c>
      <c r="G1911" s="32" t="s">
        <v>38</v>
      </c>
      <c r="H1911" s="33">
        <f t="shared" si="460"/>
        <v>21</v>
      </c>
      <c r="I1911" s="33" t="str">
        <f t="shared" si="459"/>
        <v>='C:\Users\jaime.benazar\Quorum Business Solutions\Ecopetrol Prometeo - Documents\Planning Space Implementation\3. Analysis &amp; Design\Design\FC22\DRR Jaime\QUIFA-CAJÚA\Cajua\[CAJUA_CF_SEC_New_27-Feb-2024Rev3.xlsx]D-PRB'!$BX$21</v>
      </c>
      <c r="J1911" s="37" t="s">
        <v>2860</v>
      </c>
    </row>
    <row r="1912" spans="1:10" x14ac:dyDescent="0.25">
      <c r="A1912" s="32" t="s">
        <v>4</v>
      </c>
      <c r="B1912" s="32">
        <f t="shared" si="461"/>
        <v>2033</v>
      </c>
      <c r="C1912" s="33" t="s">
        <v>17</v>
      </c>
      <c r="D1912" s="34" t="s">
        <v>1999</v>
      </c>
      <c r="E1912" s="35" t="str">
        <f t="shared" si="428"/>
        <v>PRB'!</v>
      </c>
      <c r="F1912" s="34" t="str">
        <f t="shared" si="429"/>
        <v>C:\Users\jaime.benazar\Quorum Business Solutions\Ecopetrol Prometeo - Documents\Planning Space Implementation\3. Analysis &amp; Design\Design\FC22\DRR Jaime\QUIFA-CAJÚA\Cajua\[CAJUA_CF_SEC_New_27-Feb-2024Rev3.xlsx]D-PRB'!</v>
      </c>
      <c r="G1912" s="32" t="s">
        <v>38</v>
      </c>
      <c r="H1912" s="33">
        <f t="shared" si="460"/>
        <v>22</v>
      </c>
      <c r="I1912" s="33" t="str">
        <f t="shared" si="459"/>
        <v>='C:\Users\jaime.benazar\Quorum Business Solutions\Ecopetrol Prometeo - Documents\Planning Space Implementation\3. Analysis &amp; Design\Design\FC22\DRR Jaime\QUIFA-CAJÚA\Cajua\[CAJUA_CF_SEC_New_27-Feb-2024Rev3.xlsx]D-PRB'!$BX$22</v>
      </c>
      <c r="J1912" s="37" t="s">
        <v>2861</v>
      </c>
    </row>
    <row r="1913" spans="1:10" x14ac:dyDescent="0.25">
      <c r="A1913" s="32" t="s">
        <v>4</v>
      </c>
      <c r="B1913" s="32">
        <f t="shared" si="461"/>
        <v>2034</v>
      </c>
      <c r="C1913" s="33" t="s">
        <v>17</v>
      </c>
      <c r="D1913" s="34" t="s">
        <v>1999</v>
      </c>
      <c r="E1913" s="35" t="str">
        <f t="shared" si="428"/>
        <v>PRB'!</v>
      </c>
      <c r="F1913" s="34" t="str">
        <f t="shared" si="429"/>
        <v>C:\Users\jaime.benazar\Quorum Business Solutions\Ecopetrol Prometeo - Documents\Planning Space Implementation\3. Analysis &amp; Design\Design\FC22\DRR Jaime\QUIFA-CAJÚA\Cajua\[CAJUA_CF_SEC_New_27-Feb-2024Rev3.xlsx]D-PRB'!</v>
      </c>
      <c r="G1913" s="32" t="s">
        <v>38</v>
      </c>
      <c r="H1913" s="33">
        <f t="shared" si="460"/>
        <v>23</v>
      </c>
      <c r="I1913" s="33" t="str">
        <f t="shared" si="459"/>
        <v>='C:\Users\jaime.benazar\Quorum Business Solutions\Ecopetrol Prometeo - Documents\Planning Space Implementation\3. Analysis &amp; Design\Design\FC22\DRR Jaime\QUIFA-CAJÚA\Cajua\[CAJUA_CF_SEC_New_27-Feb-2024Rev3.xlsx]D-PRB'!$BX$23</v>
      </c>
      <c r="J1913" s="37" t="s">
        <v>2862</v>
      </c>
    </row>
    <row r="1914" spans="1:10" x14ac:dyDescent="0.25">
      <c r="A1914" s="32" t="s">
        <v>4</v>
      </c>
      <c r="B1914" s="32">
        <f t="shared" si="461"/>
        <v>2035</v>
      </c>
      <c r="C1914" s="33" t="s">
        <v>17</v>
      </c>
      <c r="D1914" s="34" t="s">
        <v>1999</v>
      </c>
      <c r="E1914" s="35" t="str">
        <f t="shared" si="428"/>
        <v>PRB'!</v>
      </c>
      <c r="F1914" s="34" t="str">
        <f t="shared" si="429"/>
        <v>C:\Users\jaime.benazar\Quorum Business Solutions\Ecopetrol Prometeo - Documents\Planning Space Implementation\3. Analysis &amp; Design\Design\FC22\DRR Jaime\QUIFA-CAJÚA\Cajua\[CAJUA_CF_SEC_New_27-Feb-2024Rev3.xlsx]D-PRB'!</v>
      </c>
      <c r="G1914" s="32" t="s">
        <v>38</v>
      </c>
      <c r="H1914" s="33">
        <f t="shared" si="460"/>
        <v>24</v>
      </c>
      <c r="I1914" s="33" t="str">
        <f t="shared" si="459"/>
        <v>='C:\Users\jaime.benazar\Quorum Business Solutions\Ecopetrol Prometeo - Documents\Planning Space Implementation\3. Analysis &amp; Design\Design\FC22\DRR Jaime\QUIFA-CAJÚA\Cajua\[CAJUA_CF_SEC_New_27-Feb-2024Rev3.xlsx]D-PRB'!$BX$24</v>
      </c>
      <c r="J1914" s="37" t="s">
        <v>2863</v>
      </c>
    </row>
    <row r="1915" spans="1:10" x14ac:dyDescent="0.25">
      <c r="A1915" s="32" t="s">
        <v>4</v>
      </c>
      <c r="B1915" s="32">
        <f t="shared" si="461"/>
        <v>2036</v>
      </c>
      <c r="C1915" s="33" t="s">
        <v>17</v>
      </c>
      <c r="D1915" s="34" t="s">
        <v>1999</v>
      </c>
      <c r="E1915" s="35" t="str">
        <f t="shared" si="428"/>
        <v>PRB'!</v>
      </c>
      <c r="F1915" s="34" t="str">
        <f t="shared" si="429"/>
        <v>C:\Users\jaime.benazar\Quorum Business Solutions\Ecopetrol Prometeo - Documents\Planning Space Implementation\3. Analysis &amp; Design\Design\FC22\DRR Jaime\QUIFA-CAJÚA\Cajua\[CAJUA_CF_SEC_New_27-Feb-2024Rev3.xlsx]D-PRB'!</v>
      </c>
      <c r="G1915" s="32" t="s">
        <v>38</v>
      </c>
      <c r="H1915" s="33">
        <f t="shared" si="460"/>
        <v>25</v>
      </c>
      <c r="I1915" s="33" t="str">
        <f t="shared" si="459"/>
        <v>='C:\Users\jaime.benazar\Quorum Business Solutions\Ecopetrol Prometeo - Documents\Planning Space Implementation\3. Analysis &amp; Design\Design\FC22\DRR Jaime\QUIFA-CAJÚA\Cajua\[CAJUA_CF_SEC_New_27-Feb-2024Rev3.xlsx]D-PRB'!$BX$25</v>
      </c>
      <c r="J1915" s="37" t="s">
        <v>2864</v>
      </c>
    </row>
    <row r="1916" spans="1:10" x14ac:dyDescent="0.25">
      <c r="A1916" s="32" t="s">
        <v>4</v>
      </c>
      <c r="B1916" s="32">
        <f>+B1915+1</f>
        <v>2037</v>
      </c>
      <c r="C1916" s="33" t="s">
        <v>17</v>
      </c>
      <c r="D1916" s="34" t="s">
        <v>1999</v>
      </c>
      <c r="E1916" s="35" t="str">
        <f t="shared" si="428"/>
        <v>PRB'!</v>
      </c>
      <c r="F1916" s="34" t="str">
        <f t="shared" si="429"/>
        <v>C:\Users\jaime.benazar\Quorum Business Solutions\Ecopetrol Prometeo - Documents\Planning Space Implementation\3. Analysis &amp; Design\Design\FC22\DRR Jaime\QUIFA-CAJÚA\Cajua\[CAJUA_CF_SEC_New_27-Feb-2024Rev3.xlsx]D-PRB'!</v>
      </c>
      <c r="G1916" s="32" t="s">
        <v>38</v>
      </c>
      <c r="H1916" s="33">
        <f t="shared" si="460"/>
        <v>26</v>
      </c>
      <c r="I1916" s="33" t="str">
        <f t="shared" si="459"/>
        <v>='C:\Users\jaime.benazar\Quorum Business Solutions\Ecopetrol Prometeo - Documents\Planning Space Implementation\3. Analysis &amp; Design\Design\FC22\DRR Jaime\QUIFA-CAJÚA\Cajua\[CAJUA_CF_SEC_New_27-Feb-2024Rev3.xlsx]D-PRB'!$BX$26</v>
      </c>
      <c r="J1916" s="37" t="s">
        <v>2865</v>
      </c>
    </row>
    <row r="1917" spans="1:10" x14ac:dyDescent="0.25">
      <c r="A1917" s="32" t="s">
        <v>4</v>
      </c>
      <c r="B1917" s="32">
        <f t="shared" ref="B1917:B1919" si="462">+B1916+1</f>
        <v>2038</v>
      </c>
      <c r="C1917" s="33" t="s">
        <v>17</v>
      </c>
      <c r="D1917" s="34" t="s">
        <v>1999</v>
      </c>
      <c r="E1917" s="35" t="str">
        <f t="shared" si="428"/>
        <v>PRB'!</v>
      </c>
      <c r="F1917" s="34" t="str">
        <f t="shared" si="429"/>
        <v>C:\Users\jaime.benazar\Quorum Business Solutions\Ecopetrol Prometeo - Documents\Planning Space Implementation\3. Analysis &amp; Design\Design\FC22\DRR Jaime\QUIFA-CAJÚA\Cajua\[CAJUA_CF_SEC_New_27-Feb-2024Rev3.xlsx]D-PRB'!</v>
      </c>
      <c r="G1917" s="32" t="s">
        <v>38</v>
      </c>
      <c r="H1917" s="33">
        <f t="shared" si="460"/>
        <v>27</v>
      </c>
      <c r="I1917" s="33" t="str">
        <f t="shared" si="459"/>
        <v>='C:\Users\jaime.benazar\Quorum Business Solutions\Ecopetrol Prometeo - Documents\Planning Space Implementation\3. Analysis &amp; Design\Design\FC22\DRR Jaime\QUIFA-CAJÚA\Cajua\[CAJUA_CF_SEC_New_27-Feb-2024Rev3.xlsx]D-PRB'!$BX$27</v>
      </c>
      <c r="J1917" s="37" t="s">
        <v>2866</v>
      </c>
    </row>
    <row r="1918" spans="1:10" x14ac:dyDescent="0.25">
      <c r="A1918" s="32" t="s">
        <v>4</v>
      </c>
      <c r="B1918" s="32">
        <f t="shared" si="462"/>
        <v>2039</v>
      </c>
      <c r="C1918" s="33" t="s">
        <v>17</v>
      </c>
      <c r="D1918" s="34" t="s">
        <v>1999</v>
      </c>
      <c r="E1918" s="35" t="str">
        <f t="shared" si="428"/>
        <v>PRB'!</v>
      </c>
      <c r="F1918" s="34" t="str">
        <f t="shared" si="429"/>
        <v>C:\Users\jaime.benazar\Quorum Business Solutions\Ecopetrol Prometeo - Documents\Planning Space Implementation\3. Analysis &amp; Design\Design\FC22\DRR Jaime\QUIFA-CAJÚA\Cajua\[CAJUA_CF_SEC_New_27-Feb-2024Rev3.xlsx]D-PRB'!</v>
      </c>
      <c r="G1918" s="32" t="s">
        <v>38</v>
      </c>
      <c r="H1918" s="33">
        <f t="shared" si="460"/>
        <v>28</v>
      </c>
      <c r="I1918" s="33" t="str">
        <f t="shared" si="459"/>
        <v>='C:\Users\jaime.benazar\Quorum Business Solutions\Ecopetrol Prometeo - Documents\Planning Space Implementation\3. Analysis &amp; Design\Design\FC22\DRR Jaime\QUIFA-CAJÚA\Cajua\[CAJUA_CF_SEC_New_27-Feb-2024Rev3.xlsx]D-PRB'!$BX$28</v>
      </c>
      <c r="J1918" s="37" t="s">
        <v>2867</v>
      </c>
    </row>
    <row r="1919" spans="1:10" x14ac:dyDescent="0.25">
      <c r="A1919" s="32" t="s">
        <v>4</v>
      </c>
      <c r="B1919" s="32">
        <f t="shared" si="462"/>
        <v>2040</v>
      </c>
      <c r="C1919" s="33" t="s">
        <v>17</v>
      </c>
      <c r="D1919" s="34" t="s">
        <v>1999</v>
      </c>
      <c r="E1919" s="35" t="str">
        <f t="shared" si="428"/>
        <v>PRB'!</v>
      </c>
      <c r="F1919" s="34" t="str">
        <f t="shared" si="429"/>
        <v>C:\Users\jaime.benazar\Quorum Business Solutions\Ecopetrol Prometeo - Documents\Planning Space Implementation\3. Analysis &amp; Design\Design\FC22\DRR Jaime\QUIFA-CAJÚA\Cajua\[CAJUA_CF_SEC_New_27-Feb-2024Rev3.xlsx]D-PRB'!</v>
      </c>
      <c r="G1919" s="32" t="s">
        <v>38</v>
      </c>
      <c r="H1919" s="33">
        <f t="shared" si="460"/>
        <v>29</v>
      </c>
      <c r="I1919" s="33" t="str">
        <f t="shared" si="459"/>
        <v>='C:\Users\jaime.benazar\Quorum Business Solutions\Ecopetrol Prometeo - Documents\Planning Space Implementation\3. Analysis &amp; Design\Design\FC22\DRR Jaime\QUIFA-CAJÚA\Cajua\[CAJUA_CF_SEC_New_27-Feb-2024Rev3.xlsx]D-PRB'!$BX$29</v>
      </c>
      <c r="J1919" s="37" t="s">
        <v>2868</v>
      </c>
    </row>
    <row r="1920" spans="1:10" x14ac:dyDescent="0.25">
      <c r="A1920" s="32" t="s">
        <v>4</v>
      </c>
      <c r="B1920" s="32">
        <f>+B1919+1</f>
        <v>2041</v>
      </c>
      <c r="C1920" s="33" t="s">
        <v>17</v>
      </c>
      <c r="D1920" s="34" t="s">
        <v>1999</v>
      </c>
      <c r="E1920" s="35" t="str">
        <f t="shared" si="428"/>
        <v>PRB'!</v>
      </c>
      <c r="F1920" s="34" t="str">
        <f t="shared" si="429"/>
        <v>C:\Users\jaime.benazar\Quorum Business Solutions\Ecopetrol Prometeo - Documents\Planning Space Implementation\3. Analysis &amp; Design\Design\FC22\DRR Jaime\QUIFA-CAJÚA\Cajua\[CAJUA_CF_SEC_New_27-Feb-2024Rev3.xlsx]D-PRB'!</v>
      </c>
      <c r="G1920" s="32" t="s">
        <v>38</v>
      </c>
      <c r="H1920" s="33">
        <f t="shared" si="460"/>
        <v>30</v>
      </c>
      <c r="I1920" s="33" t="str">
        <f t="shared" si="459"/>
        <v>='C:\Users\jaime.benazar\Quorum Business Solutions\Ecopetrol Prometeo - Documents\Planning Space Implementation\3. Analysis &amp; Design\Design\FC22\DRR Jaime\QUIFA-CAJÚA\Cajua\[CAJUA_CF_SEC_New_27-Feb-2024Rev3.xlsx]D-PRB'!$BX$30</v>
      </c>
      <c r="J1920" s="37" t="s">
        <v>2869</v>
      </c>
    </row>
    <row r="1921" spans="1:10" x14ac:dyDescent="0.25">
      <c r="A1921" s="32" t="s">
        <v>4</v>
      </c>
      <c r="B1921" s="32">
        <f t="shared" ref="B1921:B1922" si="463">+B1920+1</f>
        <v>2042</v>
      </c>
      <c r="C1921" s="33" t="s">
        <v>17</v>
      </c>
      <c r="D1921" s="34" t="s">
        <v>1999</v>
      </c>
      <c r="E1921" s="35" t="str">
        <f t="shared" si="428"/>
        <v>PRB'!</v>
      </c>
      <c r="F1921" s="34" t="str">
        <f t="shared" si="429"/>
        <v>C:\Users\jaime.benazar\Quorum Business Solutions\Ecopetrol Prometeo - Documents\Planning Space Implementation\3. Analysis &amp; Design\Design\FC22\DRR Jaime\QUIFA-CAJÚA\Cajua\[CAJUA_CF_SEC_New_27-Feb-2024Rev3.xlsx]D-PRB'!</v>
      </c>
      <c r="G1921" s="32" t="s">
        <v>38</v>
      </c>
      <c r="H1921" s="33">
        <f t="shared" si="460"/>
        <v>31</v>
      </c>
      <c r="I1921" s="33" t="str">
        <f t="shared" si="459"/>
        <v>='C:\Users\jaime.benazar\Quorum Business Solutions\Ecopetrol Prometeo - Documents\Planning Space Implementation\3. Analysis &amp; Design\Design\FC22\DRR Jaime\QUIFA-CAJÚA\Cajua\[CAJUA_CF_SEC_New_27-Feb-2024Rev3.xlsx]D-PRB'!$BX$31</v>
      </c>
      <c r="J1921" s="37" t="s">
        <v>2870</v>
      </c>
    </row>
    <row r="1922" spans="1:10" x14ac:dyDescent="0.25">
      <c r="A1922" s="32" t="s">
        <v>4</v>
      </c>
      <c r="B1922" s="32">
        <f t="shared" si="463"/>
        <v>2043</v>
      </c>
      <c r="C1922" s="33" t="s">
        <v>17</v>
      </c>
      <c r="D1922" s="34" t="s">
        <v>1999</v>
      </c>
      <c r="E1922" s="35" t="str">
        <f t="shared" si="428"/>
        <v>PRB'!</v>
      </c>
      <c r="F1922" s="34" t="str">
        <f t="shared" si="429"/>
        <v>C:\Users\jaime.benazar\Quorum Business Solutions\Ecopetrol Prometeo - Documents\Planning Space Implementation\3. Analysis &amp; Design\Design\FC22\DRR Jaime\QUIFA-CAJÚA\Cajua\[CAJUA_CF_SEC_New_27-Feb-2024Rev3.xlsx]D-PRB'!</v>
      </c>
      <c r="G1922" s="32" t="s">
        <v>38</v>
      </c>
      <c r="H1922" s="33">
        <f t="shared" si="460"/>
        <v>32</v>
      </c>
      <c r="I1922" s="33" t="str">
        <f t="shared" si="459"/>
        <v>='C:\Users\jaime.benazar\Quorum Business Solutions\Ecopetrol Prometeo - Documents\Planning Space Implementation\3. Analysis &amp; Design\Design\FC22\DRR Jaime\QUIFA-CAJÚA\Cajua\[CAJUA_CF_SEC_New_27-Feb-2024Rev3.xlsx]D-PRB'!$BX$32</v>
      </c>
      <c r="J1922" s="37" t="s">
        <v>2871</v>
      </c>
    </row>
    <row r="1923" spans="1:10" x14ac:dyDescent="0.25">
      <c r="A1923" s="32" t="s">
        <v>4</v>
      </c>
      <c r="B1923" s="32">
        <f>+B1922+1</f>
        <v>2044</v>
      </c>
      <c r="C1923" s="33" t="s">
        <v>17</v>
      </c>
      <c r="D1923" s="34" t="s">
        <v>1999</v>
      </c>
      <c r="E1923" s="35" t="str">
        <f t="shared" ref="E1923:E1938" si="464">_xlfn.CONCAT(A1923,"'!")</f>
        <v>PRB'!</v>
      </c>
      <c r="F1923" s="34" t="str">
        <f t="shared" ref="F1923:F1938" si="465">_xlfn.CONCAT(D1923:E1923)</f>
        <v>C:\Users\jaime.benazar\Quorum Business Solutions\Ecopetrol Prometeo - Documents\Planning Space Implementation\3. Analysis &amp; Design\Design\FC22\DRR Jaime\QUIFA-CAJÚA\Cajua\[CAJUA_CF_SEC_New_27-Feb-2024Rev3.xlsx]D-PRB'!</v>
      </c>
      <c r="G1923" s="32" t="s">
        <v>38</v>
      </c>
      <c r="H1923" s="33">
        <f t="shared" ref="H1923:H1938" si="466">IF(A1923&lt;&gt;A1922,12,H1922+1)</f>
        <v>33</v>
      </c>
      <c r="I1923" s="33" t="str">
        <f t="shared" ref="I1923:I1938" si="467">_xlfn.CONCAT("='",F1923:H1923)</f>
        <v>='C:\Users\jaime.benazar\Quorum Business Solutions\Ecopetrol Prometeo - Documents\Planning Space Implementation\3. Analysis &amp; Design\Design\FC22\DRR Jaime\QUIFA-CAJÚA\Cajua\[CAJUA_CF_SEC_New_27-Feb-2024Rev3.xlsx]D-PRB'!$BX$33</v>
      </c>
      <c r="J1923" s="37" t="s">
        <v>2872</v>
      </c>
    </row>
    <row r="1924" spans="1:10" x14ac:dyDescent="0.25">
      <c r="A1924" s="32" t="s">
        <v>4</v>
      </c>
      <c r="B1924" s="32">
        <f t="shared" ref="B1924:B1938" si="468">+B1923+1</f>
        <v>2045</v>
      </c>
      <c r="C1924" s="33" t="s">
        <v>17</v>
      </c>
      <c r="D1924" s="34" t="s">
        <v>1999</v>
      </c>
      <c r="E1924" s="35" t="str">
        <f t="shared" si="464"/>
        <v>PRB'!</v>
      </c>
      <c r="F1924" s="34" t="str">
        <f t="shared" si="465"/>
        <v>C:\Users\jaime.benazar\Quorum Business Solutions\Ecopetrol Prometeo - Documents\Planning Space Implementation\3. Analysis &amp; Design\Design\FC22\DRR Jaime\QUIFA-CAJÚA\Cajua\[CAJUA_CF_SEC_New_27-Feb-2024Rev3.xlsx]D-PRB'!</v>
      </c>
      <c r="G1924" s="32" t="s">
        <v>38</v>
      </c>
      <c r="H1924" s="33">
        <f t="shared" si="466"/>
        <v>34</v>
      </c>
      <c r="I1924" s="33" t="str">
        <f t="shared" si="467"/>
        <v>='C:\Users\jaime.benazar\Quorum Business Solutions\Ecopetrol Prometeo - Documents\Planning Space Implementation\3. Analysis &amp; Design\Design\FC22\DRR Jaime\QUIFA-CAJÚA\Cajua\[CAJUA_CF_SEC_New_27-Feb-2024Rev3.xlsx]D-PRB'!$BX$34</v>
      </c>
      <c r="J1924" s="37" t="s">
        <v>2873</v>
      </c>
    </row>
    <row r="1925" spans="1:10" x14ac:dyDescent="0.25">
      <c r="A1925" s="32" t="s">
        <v>4</v>
      </c>
      <c r="B1925" s="32">
        <f t="shared" si="468"/>
        <v>2046</v>
      </c>
      <c r="C1925" s="33" t="s">
        <v>17</v>
      </c>
      <c r="D1925" s="34" t="s">
        <v>1999</v>
      </c>
      <c r="E1925" s="35" t="str">
        <f t="shared" si="464"/>
        <v>PRB'!</v>
      </c>
      <c r="F1925" s="34" t="str">
        <f t="shared" si="465"/>
        <v>C:\Users\jaime.benazar\Quorum Business Solutions\Ecopetrol Prometeo - Documents\Planning Space Implementation\3. Analysis &amp; Design\Design\FC22\DRR Jaime\QUIFA-CAJÚA\Cajua\[CAJUA_CF_SEC_New_27-Feb-2024Rev3.xlsx]D-PRB'!</v>
      </c>
      <c r="G1925" s="32" t="s">
        <v>38</v>
      </c>
      <c r="H1925" s="33">
        <f t="shared" si="466"/>
        <v>35</v>
      </c>
      <c r="I1925" s="33" t="str">
        <f t="shared" si="467"/>
        <v>='C:\Users\jaime.benazar\Quorum Business Solutions\Ecopetrol Prometeo - Documents\Planning Space Implementation\3. Analysis &amp; Design\Design\FC22\DRR Jaime\QUIFA-CAJÚA\Cajua\[CAJUA_CF_SEC_New_27-Feb-2024Rev3.xlsx]D-PRB'!$BX$35</v>
      </c>
      <c r="J1925" s="37" t="s">
        <v>2874</v>
      </c>
    </row>
    <row r="1926" spans="1:10" x14ac:dyDescent="0.25">
      <c r="A1926" s="32" t="s">
        <v>4</v>
      </c>
      <c r="B1926" s="32">
        <f t="shared" si="468"/>
        <v>2047</v>
      </c>
      <c r="C1926" s="33" t="s">
        <v>17</v>
      </c>
      <c r="D1926" s="34" t="s">
        <v>1999</v>
      </c>
      <c r="E1926" s="35" t="str">
        <f t="shared" si="464"/>
        <v>PRB'!</v>
      </c>
      <c r="F1926" s="34" t="str">
        <f t="shared" si="465"/>
        <v>C:\Users\jaime.benazar\Quorum Business Solutions\Ecopetrol Prometeo - Documents\Planning Space Implementation\3. Analysis &amp; Design\Design\FC22\DRR Jaime\QUIFA-CAJÚA\Cajua\[CAJUA_CF_SEC_New_27-Feb-2024Rev3.xlsx]D-PRB'!</v>
      </c>
      <c r="G1926" s="32" t="s">
        <v>38</v>
      </c>
      <c r="H1926" s="33">
        <f t="shared" si="466"/>
        <v>36</v>
      </c>
      <c r="I1926" s="33" t="str">
        <f t="shared" si="467"/>
        <v>='C:\Users\jaime.benazar\Quorum Business Solutions\Ecopetrol Prometeo - Documents\Planning Space Implementation\3. Analysis &amp; Design\Design\FC22\DRR Jaime\QUIFA-CAJÚA\Cajua\[CAJUA_CF_SEC_New_27-Feb-2024Rev3.xlsx]D-PRB'!$BX$36</v>
      </c>
      <c r="J1926" s="37" t="s">
        <v>2875</v>
      </c>
    </row>
    <row r="1927" spans="1:10" x14ac:dyDescent="0.25">
      <c r="A1927" s="32" t="s">
        <v>4</v>
      </c>
      <c r="B1927" s="32">
        <f t="shared" si="468"/>
        <v>2048</v>
      </c>
      <c r="C1927" s="33" t="s">
        <v>17</v>
      </c>
      <c r="D1927" s="34" t="s">
        <v>1999</v>
      </c>
      <c r="E1927" s="35" t="str">
        <f t="shared" si="464"/>
        <v>PRB'!</v>
      </c>
      <c r="F1927" s="34" t="str">
        <f t="shared" si="465"/>
        <v>C:\Users\jaime.benazar\Quorum Business Solutions\Ecopetrol Prometeo - Documents\Planning Space Implementation\3. Analysis &amp; Design\Design\FC22\DRR Jaime\QUIFA-CAJÚA\Cajua\[CAJUA_CF_SEC_New_27-Feb-2024Rev3.xlsx]D-PRB'!</v>
      </c>
      <c r="G1927" s="32" t="s">
        <v>38</v>
      </c>
      <c r="H1927" s="33">
        <f t="shared" si="466"/>
        <v>37</v>
      </c>
      <c r="I1927" s="33" t="str">
        <f t="shared" si="467"/>
        <v>='C:\Users\jaime.benazar\Quorum Business Solutions\Ecopetrol Prometeo - Documents\Planning Space Implementation\3. Analysis &amp; Design\Design\FC22\DRR Jaime\QUIFA-CAJÚA\Cajua\[CAJUA_CF_SEC_New_27-Feb-2024Rev3.xlsx]D-PRB'!$BX$37</v>
      </c>
      <c r="J1927" s="37" t="s">
        <v>2876</v>
      </c>
    </row>
    <row r="1928" spans="1:10" x14ac:dyDescent="0.25">
      <c r="A1928" s="32" t="s">
        <v>4</v>
      </c>
      <c r="B1928" s="32">
        <f t="shared" si="468"/>
        <v>2049</v>
      </c>
      <c r="C1928" s="33" t="s">
        <v>17</v>
      </c>
      <c r="D1928" s="34" t="s">
        <v>1999</v>
      </c>
      <c r="E1928" s="35" t="str">
        <f t="shared" si="464"/>
        <v>PRB'!</v>
      </c>
      <c r="F1928" s="34" t="str">
        <f t="shared" si="465"/>
        <v>C:\Users\jaime.benazar\Quorum Business Solutions\Ecopetrol Prometeo - Documents\Planning Space Implementation\3. Analysis &amp; Design\Design\FC22\DRR Jaime\QUIFA-CAJÚA\Cajua\[CAJUA_CF_SEC_New_27-Feb-2024Rev3.xlsx]D-PRB'!</v>
      </c>
      <c r="G1928" s="32" t="s">
        <v>38</v>
      </c>
      <c r="H1928" s="33">
        <f t="shared" si="466"/>
        <v>38</v>
      </c>
      <c r="I1928" s="33" t="str">
        <f t="shared" si="467"/>
        <v>='C:\Users\jaime.benazar\Quorum Business Solutions\Ecopetrol Prometeo - Documents\Planning Space Implementation\3. Analysis &amp; Design\Design\FC22\DRR Jaime\QUIFA-CAJÚA\Cajua\[CAJUA_CF_SEC_New_27-Feb-2024Rev3.xlsx]D-PRB'!$BX$38</v>
      </c>
      <c r="J1928" s="37" t="s">
        <v>2877</v>
      </c>
    </row>
    <row r="1929" spans="1:10" x14ac:dyDescent="0.25">
      <c r="A1929" s="32" t="s">
        <v>4</v>
      </c>
      <c r="B1929" s="32">
        <f t="shared" si="468"/>
        <v>2050</v>
      </c>
      <c r="C1929" s="33" t="s">
        <v>17</v>
      </c>
      <c r="D1929" s="34" t="s">
        <v>1999</v>
      </c>
      <c r="E1929" s="35" t="str">
        <f t="shared" si="464"/>
        <v>PRB'!</v>
      </c>
      <c r="F1929" s="34" t="str">
        <f t="shared" si="465"/>
        <v>C:\Users\jaime.benazar\Quorum Business Solutions\Ecopetrol Prometeo - Documents\Planning Space Implementation\3. Analysis &amp; Design\Design\FC22\DRR Jaime\QUIFA-CAJÚA\Cajua\[CAJUA_CF_SEC_New_27-Feb-2024Rev3.xlsx]D-PRB'!</v>
      </c>
      <c r="G1929" s="32" t="s">
        <v>38</v>
      </c>
      <c r="H1929" s="33">
        <f t="shared" si="466"/>
        <v>39</v>
      </c>
      <c r="I1929" s="33" t="str">
        <f t="shared" si="467"/>
        <v>='C:\Users\jaime.benazar\Quorum Business Solutions\Ecopetrol Prometeo - Documents\Planning Space Implementation\3. Analysis &amp; Design\Design\FC22\DRR Jaime\QUIFA-CAJÚA\Cajua\[CAJUA_CF_SEC_New_27-Feb-2024Rev3.xlsx]D-PRB'!$BX$39</v>
      </c>
      <c r="J1929" s="37" t="s">
        <v>2878</v>
      </c>
    </row>
    <row r="1930" spans="1:10" x14ac:dyDescent="0.25">
      <c r="A1930" s="32" t="s">
        <v>4</v>
      </c>
      <c r="B1930" s="32">
        <f t="shared" si="468"/>
        <v>2051</v>
      </c>
      <c r="C1930" s="33" t="s">
        <v>17</v>
      </c>
      <c r="D1930" s="34" t="s">
        <v>1999</v>
      </c>
      <c r="E1930" s="35" t="str">
        <f t="shared" si="464"/>
        <v>PRB'!</v>
      </c>
      <c r="F1930" s="34" t="str">
        <f t="shared" si="465"/>
        <v>C:\Users\jaime.benazar\Quorum Business Solutions\Ecopetrol Prometeo - Documents\Planning Space Implementation\3. Analysis &amp; Design\Design\FC22\DRR Jaime\QUIFA-CAJÚA\Cajua\[CAJUA_CF_SEC_New_27-Feb-2024Rev3.xlsx]D-PRB'!</v>
      </c>
      <c r="G1930" s="32" t="s">
        <v>38</v>
      </c>
      <c r="H1930" s="33">
        <f t="shared" si="466"/>
        <v>40</v>
      </c>
      <c r="I1930" s="33" t="str">
        <f t="shared" si="467"/>
        <v>='C:\Users\jaime.benazar\Quorum Business Solutions\Ecopetrol Prometeo - Documents\Planning Space Implementation\3. Analysis &amp; Design\Design\FC22\DRR Jaime\QUIFA-CAJÚA\Cajua\[CAJUA_CF_SEC_New_27-Feb-2024Rev3.xlsx]D-PRB'!$BX$40</v>
      </c>
      <c r="J1930" s="37" t="s">
        <v>2879</v>
      </c>
    </row>
    <row r="1931" spans="1:10" x14ac:dyDescent="0.25">
      <c r="A1931" s="32" t="s">
        <v>4</v>
      </c>
      <c r="B1931" s="32">
        <f t="shared" si="468"/>
        <v>2052</v>
      </c>
      <c r="C1931" s="33" t="s">
        <v>17</v>
      </c>
      <c r="D1931" s="34" t="s">
        <v>1999</v>
      </c>
      <c r="E1931" s="35" t="str">
        <f t="shared" si="464"/>
        <v>PRB'!</v>
      </c>
      <c r="F1931" s="34" t="str">
        <f t="shared" si="465"/>
        <v>C:\Users\jaime.benazar\Quorum Business Solutions\Ecopetrol Prometeo - Documents\Planning Space Implementation\3. Analysis &amp; Design\Design\FC22\DRR Jaime\QUIFA-CAJÚA\Cajua\[CAJUA_CF_SEC_New_27-Feb-2024Rev3.xlsx]D-PRB'!</v>
      </c>
      <c r="G1931" s="32" t="s">
        <v>38</v>
      </c>
      <c r="H1931" s="33">
        <f t="shared" si="466"/>
        <v>41</v>
      </c>
      <c r="I1931" s="33" t="str">
        <f t="shared" si="467"/>
        <v>='C:\Users\jaime.benazar\Quorum Business Solutions\Ecopetrol Prometeo - Documents\Planning Space Implementation\3. Analysis &amp; Design\Design\FC22\DRR Jaime\QUIFA-CAJÚA\Cajua\[CAJUA_CF_SEC_New_27-Feb-2024Rev3.xlsx]D-PRB'!$BX$41</v>
      </c>
      <c r="J1931" s="37" t="s">
        <v>2880</v>
      </c>
    </row>
    <row r="1932" spans="1:10" x14ac:dyDescent="0.25">
      <c r="A1932" s="32" t="s">
        <v>4</v>
      </c>
      <c r="B1932" s="32">
        <f t="shared" si="468"/>
        <v>2053</v>
      </c>
      <c r="C1932" s="33" t="s">
        <v>17</v>
      </c>
      <c r="D1932" s="34" t="s">
        <v>1999</v>
      </c>
      <c r="E1932" s="35" t="str">
        <f t="shared" si="464"/>
        <v>PRB'!</v>
      </c>
      <c r="F1932" s="34" t="str">
        <f t="shared" si="465"/>
        <v>C:\Users\jaime.benazar\Quorum Business Solutions\Ecopetrol Prometeo - Documents\Planning Space Implementation\3. Analysis &amp; Design\Design\FC22\DRR Jaime\QUIFA-CAJÚA\Cajua\[CAJUA_CF_SEC_New_27-Feb-2024Rev3.xlsx]D-PRB'!</v>
      </c>
      <c r="G1932" s="32" t="s">
        <v>38</v>
      </c>
      <c r="H1932" s="33">
        <f t="shared" si="466"/>
        <v>42</v>
      </c>
      <c r="I1932" s="33" t="str">
        <f t="shared" si="467"/>
        <v>='C:\Users\jaime.benazar\Quorum Business Solutions\Ecopetrol Prometeo - Documents\Planning Space Implementation\3. Analysis &amp; Design\Design\FC22\DRR Jaime\QUIFA-CAJÚA\Cajua\[CAJUA_CF_SEC_New_27-Feb-2024Rev3.xlsx]D-PRB'!$BX$42</v>
      </c>
      <c r="J1932" s="37" t="s">
        <v>2881</v>
      </c>
    </row>
    <row r="1933" spans="1:10" x14ac:dyDescent="0.25">
      <c r="A1933" s="32" t="s">
        <v>4</v>
      </c>
      <c r="B1933" s="32">
        <f t="shared" si="468"/>
        <v>2054</v>
      </c>
      <c r="C1933" s="33" t="s">
        <v>17</v>
      </c>
      <c r="D1933" s="34" t="s">
        <v>1999</v>
      </c>
      <c r="E1933" s="35" t="str">
        <f t="shared" si="464"/>
        <v>PRB'!</v>
      </c>
      <c r="F1933" s="34" t="str">
        <f t="shared" si="465"/>
        <v>C:\Users\jaime.benazar\Quorum Business Solutions\Ecopetrol Prometeo - Documents\Planning Space Implementation\3. Analysis &amp; Design\Design\FC22\DRR Jaime\QUIFA-CAJÚA\Cajua\[CAJUA_CF_SEC_New_27-Feb-2024Rev3.xlsx]D-PRB'!</v>
      </c>
      <c r="G1933" s="32" t="s">
        <v>38</v>
      </c>
      <c r="H1933" s="33">
        <f t="shared" si="466"/>
        <v>43</v>
      </c>
      <c r="I1933" s="33" t="str">
        <f t="shared" si="467"/>
        <v>='C:\Users\jaime.benazar\Quorum Business Solutions\Ecopetrol Prometeo - Documents\Planning Space Implementation\3. Analysis &amp; Design\Design\FC22\DRR Jaime\QUIFA-CAJÚA\Cajua\[CAJUA_CF_SEC_New_27-Feb-2024Rev3.xlsx]D-PRB'!$BX$43</v>
      </c>
      <c r="J1933" s="37" t="s">
        <v>2882</v>
      </c>
    </row>
    <row r="1934" spans="1:10" x14ac:dyDescent="0.25">
      <c r="A1934" s="32" t="s">
        <v>4</v>
      </c>
      <c r="B1934" s="32">
        <f t="shared" si="468"/>
        <v>2055</v>
      </c>
      <c r="C1934" s="33" t="s">
        <v>17</v>
      </c>
      <c r="D1934" s="34" t="s">
        <v>1999</v>
      </c>
      <c r="E1934" s="35" t="str">
        <f t="shared" si="464"/>
        <v>PRB'!</v>
      </c>
      <c r="F1934" s="34" t="str">
        <f t="shared" si="465"/>
        <v>C:\Users\jaime.benazar\Quorum Business Solutions\Ecopetrol Prometeo - Documents\Planning Space Implementation\3. Analysis &amp; Design\Design\FC22\DRR Jaime\QUIFA-CAJÚA\Cajua\[CAJUA_CF_SEC_New_27-Feb-2024Rev3.xlsx]D-PRB'!</v>
      </c>
      <c r="G1934" s="32" t="s">
        <v>38</v>
      </c>
      <c r="H1934" s="33">
        <f t="shared" si="466"/>
        <v>44</v>
      </c>
      <c r="I1934" s="33" t="str">
        <f t="shared" si="467"/>
        <v>='C:\Users\jaime.benazar\Quorum Business Solutions\Ecopetrol Prometeo - Documents\Planning Space Implementation\3. Analysis &amp; Design\Design\FC22\DRR Jaime\QUIFA-CAJÚA\Cajua\[CAJUA_CF_SEC_New_27-Feb-2024Rev3.xlsx]D-PRB'!$BX$44</v>
      </c>
      <c r="J1934" s="37" t="s">
        <v>2883</v>
      </c>
    </row>
    <row r="1935" spans="1:10" x14ac:dyDescent="0.25">
      <c r="A1935" s="32" t="s">
        <v>4</v>
      </c>
      <c r="B1935" s="32">
        <f t="shared" si="468"/>
        <v>2056</v>
      </c>
      <c r="C1935" s="33" t="s">
        <v>17</v>
      </c>
      <c r="D1935" s="34" t="s">
        <v>1999</v>
      </c>
      <c r="E1935" s="35" t="str">
        <f t="shared" si="464"/>
        <v>PRB'!</v>
      </c>
      <c r="F1935" s="34" t="str">
        <f t="shared" si="465"/>
        <v>C:\Users\jaime.benazar\Quorum Business Solutions\Ecopetrol Prometeo - Documents\Planning Space Implementation\3. Analysis &amp; Design\Design\FC22\DRR Jaime\QUIFA-CAJÚA\Cajua\[CAJUA_CF_SEC_New_27-Feb-2024Rev3.xlsx]D-PRB'!</v>
      </c>
      <c r="G1935" s="32" t="s">
        <v>38</v>
      </c>
      <c r="H1935" s="33">
        <f t="shared" si="466"/>
        <v>45</v>
      </c>
      <c r="I1935" s="33" t="str">
        <f t="shared" si="467"/>
        <v>='C:\Users\jaime.benazar\Quorum Business Solutions\Ecopetrol Prometeo - Documents\Planning Space Implementation\3. Analysis &amp; Design\Design\FC22\DRR Jaime\QUIFA-CAJÚA\Cajua\[CAJUA_CF_SEC_New_27-Feb-2024Rev3.xlsx]D-PRB'!$BX$45</v>
      </c>
      <c r="J1935" s="37" t="s">
        <v>2884</v>
      </c>
    </row>
    <row r="1936" spans="1:10" x14ac:dyDescent="0.25">
      <c r="A1936" s="32" t="s">
        <v>4</v>
      </c>
      <c r="B1936" s="32">
        <f t="shared" si="468"/>
        <v>2057</v>
      </c>
      <c r="C1936" s="33" t="s">
        <v>17</v>
      </c>
      <c r="D1936" s="34" t="s">
        <v>1999</v>
      </c>
      <c r="E1936" s="35" t="str">
        <f t="shared" si="464"/>
        <v>PRB'!</v>
      </c>
      <c r="F1936" s="34" t="str">
        <f t="shared" si="465"/>
        <v>C:\Users\jaime.benazar\Quorum Business Solutions\Ecopetrol Prometeo - Documents\Planning Space Implementation\3. Analysis &amp; Design\Design\FC22\DRR Jaime\QUIFA-CAJÚA\Cajua\[CAJUA_CF_SEC_New_27-Feb-2024Rev3.xlsx]D-PRB'!</v>
      </c>
      <c r="G1936" s="32" t="s">
        <v>38</v>
      </c>
      <c r="H1936" s="33">
        <f t="shared" si="466"/>
        <v>46</v>
      </c>
      <c r="I1936" s="33" t="str">
        <f t="shared" si="467"/>
        <v>='C:\Users\jaime.benazar\Quorum Business Solutions\Ecopetrol Prometeo - Documents\Planning Space Implementation\3. Analysis &amp; Design\Design\FC22\DRR Jaime\QUIFA-CAJÚA\Cajua\[CAJUA_CF_SEC_New_27-Feb-2024Rev3.xlsx]D-PRB'!$BX$46</v>
      </c>
      <c r="J1936" s="37" t="s">
        <v>2885</v>
      </c>
    </row>
    <row r="1937" spans="1:10" x14ac:dyDescent="0.25">
      <c r="A1937" s="32" t="s">
        <v>4</v>
      </c>
      <c r="B1937" s="32">
        <f t="shared" si="468"/>
        <v>2058</v>
      </c>
      <c r="C1937" s="33" t="s">
        <v>17</v>
      </c>
      <c r="D1937" s="34" t="s">
        <v>1999</v>
      </c>
      <c r="E1937" s="35" t="str">
        <f t="shared" si="464"/>
        <v>PRB'!</v>
      </c>
      <c r="F1937" s="34" t="str">
        <f t="shared" si="465"/>
        <v>C:\Users\jaime.benazar\Quorum Business Solutions\Ecopetrol Prometeo - Documents\Planning Space Implementation\3. Analysis &amp; Design\Design\FC22\DRR Jaime\QUIFA-CAJÚA\Cajua\[CAJUA_CF_SEC_New_27-Feb-2024Rev3.xlsx]D-PRB'!</v>
      </c>
      <c r="G1937" s="32" t="s">
        <v>38</v>
      </c>
      <c r="H1937" s="33">
        <f t="shared" si="466"/>
        <v>47</v>
      </c>
      <c r="I1937" s="33" t="str">
        <f t="shared" si="467"/>
        <v>='C:\Users\jaime.benazar\Quorum Business Solutions\Ecopetrol Prometeo - Documents\Planning Space Implementation\3. Analysis &amp; Design\Design\FC22\DRR Jaime\QUIFA-CAJÚA\Cajua\[CAJUA_CF_SEC_New_27-Feb-2024Rev3.xlsx]D-PRB'!$BX$47</v>
      </c>
      <c r="J1937" s="37" t="s">
        <v>2886</v>
      </c>
    </row>
    <row r="1938" spans="1:10" x14ac:dyDescent="0.25">
      <c r="A1938" s="32" t="s">
        <v>4</v>
      </c>
      <c r="B1938" s="32">
        <f t="shared" si="468"/>
        <v>2059</v>
      </c>
      <c r="C1938" s="33" t="s">
        <v>17</v>
      </c>
      <c r="D1938" s="34" t="s">
        <v>1999</v>
      </c>
      <c r="E1938" s="35" t="str">
        <f t="shared" si="464"/>
        <v>PRB'!</v>
      </c>
      <c r="F1938" s="34" t="str">
        <f t="shared" si="465"/>
        <v>C:\Users\jaime.benazar\Quorum Business Solutions\Ecopetrol Prometeo - Documents\Planning Space Implementation\3. Analysis &amp; Design\Design\FC22\DRR Jaime\QUIFA-CAJÚA\Cajua\[CAJUA_CF_SEC_New_27-Feb-2024Rev3.xlsx]D-PRB'!</v>
      </c>
      <c r="G1938" s="32" t="s">
        <v>38</v>
      </c>
      <c r="H1938" s="33">
        <f t="shared" si="466"/>
        <v>48</v>
      </c>
      <c r="I1938" s="33" t="str">
        <f t="shared" si="467"/>
        <v>='C:\Users\jaime.benazar\Quorum Business Solutions\Ecopetrol Prometeo - Documents\Planning Space Implementation\3. Analysis &amp; Design\Design\FC22\DRR Jaime\QUIFA-CAJÚA\Cajua\[CAJUA_CF_SEC_New_27-Feb-2024Rev3.xlsx]D-PRB'!$BX$48</v>
      </c>
      <c r="J1938" s="37" t="s">
        <v>2887</v>
      </c>
    </row>
    <row r="1939" spans="1:10" x14ac:dyDescent="0.25">
      <c r="A1939" s="32" t="s">
        <v>28</v>
      </c>
      <c r="B1939" s="32"/>
      <c r="C1939" s="33" t="s">
        <v>17</v>
      </c>
      <c r="D1939" s="34"/>
      <c r="E1939" s="35"/>
      <c r="F1939" s="34"/>
      <c r="G1939" s="32"/>
      <c r="H1939" s="33"/>
      <c r="I1939" s="33"/>
      <c r="J1939" s="33"/>
    </row>
    <row r="1940" spans="1:10" x14ac:dyDescent="0.25">
      <c r="A1940" s="32" t="s">
        <v>102</v>
      </c>
      <c r="B1940" s="32">
        <v>2023</v>
      </c>
      <c r="C1940" s="33" t="s">
        <v>17</v>
      </c>
      <c r="D1940" s="34" t="s">
        <v>1999</v>
      </c>
      <c r="E1940" s="35" t="str">
        <f t="shared" ref="E1940:E1960" si="469">_xlfn.CONCAT(A1940,"'!")</f>
        <v>PSDP'!</v>
      </c>
      <c r="F1940" s="34" t="str">
        <f t="shared" ref="F1940:F1960" si="470">_xlfn.CONCAT(D1940:E1940)</f>
        <v>C:\Users\jaime.benazar\Quorum Business Solutions\Ecopetrol Prometeo - Documents\Planning Space Implementation\3. Analysis &amp; Design\Design\FC22\DRR Jaime\QUIFA-CAJÚA\Cajua\[CAJUA_CF_SEC_New_27-Feb-2024Rev3.xlsx]D-PSDP'!</v>
      </c>
      <c r="G1940" s="32" t="s">
        <v>38</v>
      </c>
      <c r="H1940" s="33"/>
      <c r="I1940" s="33"/>
      <c r="J1940" s="37"/>
    </row>
    <row r="1941" spans="1:10" x14ac:dyDescent="0.25">
      <c r="A1941" s="32" t="s">
        <v>102</v>
      </c>
      <c r="B1941" s="32">
        <f>+B1940+1</f>
        <v>2024</v>
      </c>
      <c r="C1941" s="33" t="s">
        <v>17</v>
      </c>
      <c r="D1941" s="34" t="s">
        <v>1999</v>
      </c>
      <c r="E1941" s="35" t="str">
        <f t="shared" si="469"/>
        <v>PSDP'!</v>
      </c>
      <c r="F1941" s="34" t="str">
        <f t="shared" si="470"/>
        <v>C:\Users\jaime.benazar\Quorum Business Solutions\Ecopetrol Prometeo - Documents\Planning Space Implementation\3. Analysis &amp; Design\Design\FC22\DRR Jaime\QUIFA-CAJÚA\Cajua\[CAJUA_CF_SEC_New_27-Feb-2024Rev3.xlsx]D-PSDP'!</v>
      </c>
      <c r="G1941" s="32" t="s">
        <v>38</v>
      </c>
      <c r="H1941" s="33"/>
      <c r="I1941" s="33"/>
      <c r="J1941" s="37"/>
    </row>
    <row r="1942" spans="1:10" x14ac:dyDescent="0.25">
      <c r="A1942" s="32" t="s">
        <v>102</v>
      </c>
      <c r="B1942" s="32">
        <f t="shared" ref="B1942:B1953" si="471">+B1941+1</f>
        <v>2025</v>
      </c>
      <c r="C1942" s="33" t="s">
        <v>17</v>
      </c>
      <c r="D1942" s="34" t="s">
        <v>1999</v>
      </c>
      <c r="E1942" s="35" t="str">
        <f t="shared" si="469"/>
        <v>PSDP'!</v>
      </c>
      <c r="F1942" s="34" t="str">
        <f t="shared" si="470"/>
        <v>C:\Users\jaime.benazar\Quorum Business Solutions\Ecopetrol Prometeo - Documents\Planning Space Implementation\3. Analysis &amp; Design\Design\FC22\DRR Jaime\QUIFA-CAJÚA\Cajua\[CAJUA_CF_SEC_New_27-Feb-2024Rev3.xlsx]D-PSDP'!</v>
      </c>
      <c r="G1942" s="32" t="s">
        <v>38</v>
      </c>
      <c r="H1942" s="33"/>
      <c r="I1942" s="33"/>
      <c r="J1942" s="37"/>
    </row>
    <row r="1943" spans="1:10" x14ac:dyDescent="0.25">
      <c r="A1943" s="32" t="s">
        <v>102</v>
      </c>
      <c r="B1943" s="32">
        <f t="shared" si="471"/>
        <v>2026</v>
      </c>
      <c r="C1943" s="33" t="s">
        <v>17</v>
      </c>
      <c r="D1943" s="34" t="s">
        <v>1999</v>
      </c>
      <c r="E1943" s="35" t="str">
        <f t="shared" si="469"/>
        <v>PSDP'!</v>
      </c>
      <c r="F1943" s="34" t="str">
        <f t="shared" si="470"/>
        <v>C:\Users\jaime.benazar\Quorum Business Solutions\Ecopetrol Prometeo - Documents\Planning Space Implementation\3. Analysis &amp; Design\Design\FC22\DRR Jaime\QUIFA-CAJÚA\Cajua\[CAJUA_CF_SEC_New_27-Feb-2024Rev3.xlsx]D-PSDP'!</v>
      </c>
      <c r="G1943" s="32" t="s">
        <v>38</v>
      </c>
      <c r="H1943" s="33"/>
      <c r="I1943" s="33"/>
      <c r="J1943" s="37"/>
    </row>
    <row r="1944" spans="1:10" x14ac:dyDescent="0.25">
      <c r="A1944" s="32" t="s">
        <v>102</v>
      </c>
      <c r="B1944" s="32">
        <f t="shared" si="471"/>
        <v>2027</v>
      </c>
      <c r="C1944" s="33" t="s">
        <v>17</v>
      </c>
      <c r="D1944" s="34" t="s">
        <v>1999</v>
      </c>
      <c r="E1944" s="35" t="str">
        <f t="shared" si="469"/>
        <v>PSDP'!</v>
      </c>
      <c r="F1944" s="34" t="str">
        <f t="shared" si="470"/>
        <v>C:\Users\jaime.benazar\Quorum Business Solutions\Ecopetrol Prometeo - Documents\Planning Space Implementation\3. Analysis &amp; Design\Design\FC22\DRR Jaime\QUIFA-CAJÚA\Cajua\[CAJUA_CF_SEC_New_27-Feb-2024Rev3.xlsx]D-PSDP'!</v>
      </c>
      <c r="G1944" s="32" t="s">
        <v>38</v>
      </c>
      <c r="H1944" s="33"/>
      <c r="I1944" s="33"/>
      <c r="J1944" s="37"/>
    </row>
    <row r="1945" spans="1:10" x14ac:dyDescent="0.25">
      <c r="A1945" s="32" t="s">
        <v>102</v>
      </c>
      <c r="B1945" s="32">
        <f t="shared" si="471"/>
        <v>2028</v>
      </c>
      <c r="C1945" s="33" t="s">
        <v>17</v>
      </c>
      <c r="D1945" s="34" t="s">
        <v>1999</v>
      </c>
      <c r="E1945" s="35" t="str">
        <f t="shared" si="469"/>
        <v>PSDP'!</v>
      </c>
      <c r="F1945" s="34" t="str">
        <f t="shared" si="470"/>
        <v>C:\Users\jaime.benazar\Quorum Business Solutions\Ecopetrol Prometeo - Documents\Planning Space Implementation\3. Analysis &amp; Design\Design\FC22\DRR Jaime\QUIFA-CAJÚA\Cajua\[CAJUA_CF_SEC_New_27-Feb-2024Rev3.xlsx]D-PSDP'!</v>
      </c>
      <c r="G1945" s="32" t="s">
        <v>38</v>
      </c>
      <c r="H1945" s="33"/>
      <c r="I1945" s="33"/>
      <c r="J1945" s="37"/>
    </row>
    <row r="1946" spans="1:10" x14ac:dyDescent="0.25">
      <c r="A1946" s="32" t="s">
        <v>102</v>
      </c>
      <c r="B1946" s="32">
        <f t="shared" si="471"/>
        <v>2029</v>
      </c>
      <c r="C1946" s="33" t="s">
        <v>17</v>
      </c>
      <c r="D1946" s="34" t="s">
        <v>1999</v>
      </c>
      <c r="E1946" s="35" t="str">
        <f t="shared" si="469"/>
        <v>PSDP'!</v>
      </c>
      <c r="F1946" s="34" t="str">
        <f t="shared" si="470"/>
        <v>C:\Users\jaime.benazar\Quorum Business Solutions\Ecopetrol Prometeo - Documents\Planning Space Implementation\3. Analysis &amp; Design\Design\FC22\DRR Jaime\QUIFA-CAJÚA\Cajua\[CAJUA_CF_SEC_New_27-Feb-2024Rev3.xlsx]D-PSDP'!</v>
      </c>
      <c r="G1946" s="32" t="s">
        <v>38</v>
      </c>
      <c r="H1946" s="33"/>
      <c r="I1946" s="33"/>
      <c r="J1946" s="37"/>
    </row>
    <row r="1947" spans="1:10" x14ac:dyDescent="0.25">
      <c r="A1947" s="32" t="s">
        <v>102</v>
      </c>
      <c r="B1947" s="32">
        <f t="shared" si="471"/>
        <v>2030</v>
      </c>
      <c r="C1947" s="33" t="s">
        <v>17</v>
      </c>
      <c r="D1947" s="34" t="s">
        <v>1999</v>
      </c>
      <c r="E1947" s="35" t="str">
        <f t="shared" si="469"/>
        <v>PSDP'!</v>
      </c>
      <c r="F1947" s="34" t="str">
        <f t="shared" si="470"/>
        <v>C:\Users\jaime.benazar\Quorum Business Solutions\Ecopetrol Prometeo - Documents\Planning Space Implementation\3. Analysis &amp; Design\Design\FC22\DRR Jaime\QUIFA-CAJÚA\Cajua\[CAJUA_CF_SEC_New_27-Feb-2024Rev3.xlsx]D-PSDP'!</v>
      </c>
      <c r="G1947" s="32" t="s">
        <v>38</v>
      </c>
      <c r="H1947" s="33"/>
      <c r="I1947" s="33"/>
      <c r="J1947" s="37"/>
    </row>
    <row r="1948" spans="1:10" x14ac:dyDescent="0.25">
      <c r="A1948" s="32" t="s">
        <v>102</v>
      </c>
      <c r="B1948" s="32">
        <f t="shared" si="471"/>
        <v>2031</v>
      </c>
      <c r="C1948" s="33" t="s">
        <v>17</v>
      </c>
      <c r="D1948" s="34" t="s">
        <v>1999</v>
      </c>
      <c r="E1948" s="35" t="str">
        <f t="shared" si="469"/>
        <v>PSDP'!</v>
      </c>
      <c r="F1948" s="34" t="str">
        <f t="shared" si="470"/>
        <v>C:\Users\jaime.benazar\Quorum Business Solutions\Ecopetrol Prometeo - Documents\Planning Space Implementation\3. Analysis &amp; Design\Design\FC22\DRR Jaime\QUIFA-CAJÚA\Cajua\[CAJUA_CF_SEC_New_27-Feb-2024Rev3.xlsx]D-PSDP'!</v>
      </c>
      <c r="G1948" s="32" t="s">
        <v>38</v>
      </c>
      <c r="H1948" s="33"/>
      <c r="I1948" s="33"/>
      <c r="J1948" s="37"/>
    </row>
    <row r="1949" spans="1:10" x14ac:dyDescent="0.25">
      <c r="A1949" s="32" t="s">
        <v>102</v>
      </c>
      <c r="B1949" s="32">
        <f t="shared" si="471"/>
        <v>2032</v>
      </c>
      <c r="C1949" s="33" t="s">
        <v>17</v>
      </c>
      <c r="D1949" s="34" t="s">
        <v>1999</v>
      </c>
      <c r="E1949" s="35" t="str">
        <f t="shared" si="469"/>
        <v>PSDP'!</v>
      </c>
      <c r="F1949" s="34" t="str">
        <f t="shared" si="470"/>
        <v>C:\Users\jaime.benazar\Quorum Business Solutions\Ecopetrol Prometeo - Documents\Planning Space Implementation\3. Analysis &amp; Design\Design\FC22\DRR Jaime\QUIFA-CAJÚA\Cajua\[CAJUA_CF_SEC_New_27-Feb-2024Rev3.xlsx]D-PSDP'!</v>
      </c>
      <c r="G1949" s="32" t="s">
        <v>38</v>
      </c>
      <c r="H1949" s="33"/>
      <c r="I1949" s="33"/>
      <c r="J1949" s="37"/>
    </row>
    <row r="1950" spans="1:10" x14ac:dyDescent="0.25">
      <c r="A1950" s="32" t="s">
        <v>102</v>
      </c>
      <c r="B1950" s="32">
        <f t="shared" si="471"/>
        <v>2033</v>
      </c>
      <c r="C1950" s="33" t="s">
        <v>17</v>
      </c>
      <c r="D1950" s="34" t="s">
        <v>1999</v>
      </c>
      <c r="E1950" s="35" t="str">
        <f t="shared" si="469"/>
        <v>PSDP'!</v>
      </c>
      <c r="F1950" s="34" t="str">
        <f t="shared" si="470"/>
        <v>C:\Users\jaime.benazar\Quorum Business Solutions\Ecopetrol Prometeo - Documents\Planning Space Implementation\3. Analysis &amp; Design\Design\FC22\DRR Jaime\QUIFA-CAJÚA\Cajua\[CAJUA_CF_SEC_New_27-Feb-2024Rev3.xlsx]D-PSDP'!</v>
      </c>
      <c r="G1950" s="32" t="s">
        <v>38</v>
      </c>
      <c r="H1950" s="33"/>
      <c r="I1950" s="33"/>
      <c r="J1950" s="37"/>
    </row>
    <row r="1951" spans="1:10" x14ac:dyDescent="0.25">
      <c r="A1951" s="32" t="s">
        <v>102</v>
      </c>
      <c r="B1951" s="32">
        <f t="shared" si="471"/>
        <v>2034</v>
      </c>
      <c r="C1951" s="33" t="s">
        <v>17</v>
      </c>
      <c r="D1951" s="34" t="s">
        <v>1999</v>
      </c>
      <c r="E1951" s="35" t="str">
        <f t="shared" si="469"/>
        <v>PSDP'!</v>
      </c>
      <c r="F1951" s="34" t="str">
        <f t="shared" si="470"/>
        <v>C:\Users\jaime.benazar\Quorum Business Solutions\Ecopetrol Prometeo - Documents\Planning Space Implementation\3. Analysis &amp; Design\Design\FC22\DRR Jaime\QUIFA-CAJÚA\Cajua\[CAJUA_CF_SEC_New_27-Feb-2024Rev3.xlsx]D-PSDP'!</v>
      </c>
      <c r="G1951" s="32" t="s">
        <v>38</v>
      </c>
      <c r="H1951" s="33"/>
      <c r="I1951" s="33"/>
      <c r="J1951" s="37"/>
    </row>
    <row r="1952" spans="1:10" x14ac:dyDescent="0.25">
      <c r="A1952" s="32" t="s">
        <v>102</v>
      </c>
      <c r="B1952" s="32">
        <f t="shared" si="471"/>
        <v>2035</v>
      </c>
      <c r="C1952" s="33" t="s">
        <v>17</v>
      </c>
      <c r="D1952" s="34" t="s">
        <v>1999</v>
      </c>
      <c r="E1952" s="35" t="str">
        <f t="shared" si="469"/>
        <v>PSDP'!</v>
      </c>
      <c r="F1952" s="34" t="str">
        <f t="shared" si="470"/>
        <v>C:\Users\jaime.benazar\Quorum Business Solutions\Ecopetrol Prometeo - Documents\Planning Space Implementation\3. Analysis &amp; Design\Design\FC22\DRR Jaime\QUIFA-CAJÚA\Cajua\[CAJUA_CF_SEC_New_27-Feb-2024Rev3.xlsx]D-PSDP'!</v>
      </c>
      <c r="G1952" s="32" t="s">
        <v>38</v>
      </c>
      <c r="H1952" s="33"/>
      <c r="I1952" s="33"/>
      <c r="J1952" s="37"/>
    </row>
    <row r="1953" spans="1:10" x14ac:dyDescent="0.25">
      <c r="A1953" s="32" t="s">
        <v>102</v>
      </c>
      <c r="B1953" s="32">
        <f t="shared" si="471"/>
        <v>2036</v>
      </c>
      <c r="C1953" s="33" t="s">
        <v>17</v>
      </c>
      <c r="D1953" s="34" t="s">
        <v>1999</v>
      </c>
      <c r="E1953" s="35" t="str">
        <f t="shared" si="469"/>
        <v>PSDP'!</v>
      </c>
      <c r="F1953" s="34" t="str">
        <f t="shared" si="470"/>
        <v>C:\Users\jaime.benazar\Quorum Business Solutions\Ecopetrol Prometeo - Documents\Planning Space Implementation\3. Analysis &amp; Design\Design\FC22\DRR Jaime\QUIFA-CAJÚA\Cajua\[CAJUA_CF_SEC_New_27-Feb-2024Rev3.xlsx]D-PSDP'!</v>
      </c>
      <c r="G1953" s="32" t="s">
        <v>38</v>
      </c>
      <c r="H1953" s="33"/>
      <c r="I1953" s="33"/>
      <c r="J1953" s="37"/>
    </row>
    <row r="1954" spans="1:10" x14ac:dyDescent="0.25">
      <c r="A1954" s="32" t="s">
        <v>102</v>
      </c>
      <c r="B1954" s="32">
        <f>+B1953+1</f>
        <v>2037</v>
      </c>
      <c r="C1954" s="33" t="s">
        <v>17</v>
      </c>
      <c r="D1954" s="34" t="s">
        <v>1999</v>
      </c>
      <c r="E1954" s="35" t="str">
        <f t="shared" si="469"/>
        <v>PSDP'!</v>
      </c>
      <c r="F1954" s="34" t="str">
        <f t="shared" si="470"/>
        <v>C:\Users\jaime.benazar\Quorum Business Solutions\Ecopetrol Prometeo - Documents\Planning Space Implementation\3. Analysis &amp; Design\Design\FC22\DRR Jaime\QUIFA-CAJÚA\Cajua\[CAJUA_CF_SEC_New_27-Feb-2024Rev3.xlsx]D-PSDP'!</v>
      </c>
      <c r="G1954" s="32" t="s">
        <v>38</v>
      </c>
      <c r="H1954" s="33"/>
      <c r="I1954" s="33"/>
      <c r="J1954" s="37"/>
    </row>
    <row r="1955" spans="1:10" x14ac:dyDescent="0.25">
      <c r="A1955" s="32" t="s">
        <v>102</v>
      </c>
      <c r="B1955" s="32">
        <f t="shared" ref="B1955:B1957" si="472">+B1954+1</f>
        <v>2038</v>
      </c>
      <c r="C1955" s="33" t="s">
        <v>17</v>
      </c>
      <c r="D1955" s="34" t="s">
        <v>1999</v>
      </c>
      <c r="E1955" s="35" t="str">
        <f t="shared" si="469"/>
        <v>PSDP'!</v>
      </c>
      <c r="F1955" s="34" t="str">
        <f t="shared" si="470"/>
        <v>C:\Users\jaime.benazar\Quorum Business Solutions\Ecopetrol Prometeo - Documents\Planning Space Implementation\3. Analysis &amp; Design\Design\FC22\DRR Jaime\QUIFA-CAJÚA\Cajua\[CAJUA_CF_SEC_New_27-Feb-2024Rev3.xlsx]D-PSDP'!</v>
      </c>
      <c r="G1955" s="32" t="s">
        <v>38</v>
      </c>
      <c r="H1955" s="33"/>
      <c r="I1955" s="33"/>
      <c r="J1955" s="37"/>
    </row>
    <row r="1956" spans="1:10" x14ac:dyDescent="0.25">
      <c r="A1956" s="32" t="s">
        <v>102</v>
      </c>
      <c r="B1956" s="32">
        <f t="shared" si="472"/>
        <v>2039</v>
      </c>
      <c r="C1956" s="33" t="s">
        <v>17</v>
      </c>
      <c r="D1956" s="34" t="s">
        <v>1999</v>
      </c>
      <c r="E1956" s="35" t="str">
        <f t="shared" si="469"/>
        <v>PSDP'!</v>
      </c>
      <c r="F1956" s="34" t="str">
        <f t="shared" si="470"/>
        <v>C:\Users\jaime.benazar\Quorum Business Solutions\Ecopetrol Prometeo - Documents\Planning Space Implementation\3. Analysis &amp; Design\Design\FC22\DRR Jaime\QUIFA-CAJÚA\Cajua\[CAJUA_CF_SEC_New_27-Feb-2024Rev3.xlsx]D-PSDP'!</v>
      </c>
      <c r="G1956" s="32" t="s">
        <v>38</v>
      </c>
      <c r="H1956" s="33"/>
      <c r="I1956" s="33"/>
      <c r="J1956" s="37"/>
    </row>
    <row r="1957" spans="1:10" x14ac:dyDescent="0.25">
      <c r="A1957" s="32" t="s">
        <v>102</v>
      </c>
      <c r="B1957" s="32">
        <f t="shared" si="472"/>
        <v>2040</v>
      </c>
      <c r="C1957" s="33" t="s">
        <v>17</v>
      </c>
      <c r="D1957" s="34" t="s">
        <v>1999</v>
      </c>
      <c r="E1957" s="35" t="str">
        <f t="shared" si="469"/>
        <v>PSDP'!</v>
      </c>
      <c r="F1957" s="34" t="str">
        <f t="shared" si="470"/>
        <v>C:\Users\jaime.benazar\Quorum Business Solutions\Ecopetrol Prometeo - Documents\Planning Space Implementation\3. Analysis &amp; Design\Design\FC22\DRR Jaime\QUIFA-CAJÚA\Cajua\[CAJUA_CF_SEC_New_27-Feb-2024Rev3.xlsx]D-PSDP'!</v>
      </c>
      <c r="G1957" s="32" t="s">
        <v>38</v>
      </c>
      <c r="H1957" s="33"/>
      <c r="I1957" s="33"/>
      <c r="J1957" s="37"/>
    </row>
    <row r="1958" spans="1:10" x14ac:dyDescent="0.25">
      <c r="A1958" s="32" t="s">
        <v>102</v>
      </c>
      <c r="B1958" s="32">
        <f>+B1957+1</f>
        <v>2041</v>
      </c>
      <c r="C1958" s="33" t="s">
        <v>17</v>
      </c>
      <c r="D1958" s="34" t="s">
        <v>1999</v>
      </c>
      <c r="E1958" s="35" t="str">
        <f t="shared" si="469"/>
        <v>PSDP'!</v>
      </c>
      <c r="F1958" s="34" t="str">
        <f t="shared" si="470"/>
        <v>C:\Users\jaime.benazar\Quorum Business Solutions\Ecopetrol Prometeo - Documents\Planning Space Implementation\3. Analysis &amp; Design\Design\FC22\DRR Jaime\QUIFA-CAJÚA\Cajua\[CAJUA_CF_SEC_New_27-Feb-2024Rev3.xlsx]D-PSDP'!</v>
      </c>
      <c r="G1958" s="32" t="s">
        <v>38</v>
      </c>
      <c r="H1958" s="33"/>
      <c r="I1958" s="33"/>
      <c r="J1958" s="37"/>
    </row>
    <row r="1959" spans="1:10" x14ac:dyDescent="0.25">
      <c r="A1959" s="32" t="s">
        <v>102</v>
      </c>
      <c r="B1959" s="32">
        <f t="shared" ref="B1959:B1960" si="473">+B1958+1</f>
        <v>2042</v>
      </c>
      <c r="C1959" s="33" t="s">
        <v>17</v>
      </c>
      <c r="D1959" s="34" t="s">
        <v>1999</v>
      </c>
      <c r="E1959" s="35" t="str">
        <f t="shared" si="469"/>
        <v>PSDP'!</v>
      </c>
      <c r="F1959" s="34" t="str">
        <f t="shared" si="470"/>
        <v>C:\Users\jaime.benazar\Quorum Business Solutions\Ecopetrol Prometeo - Documents\Planning Space Implementation\3. Analysis &amp; Design\Design\FC22\DRR Jaime\QUIFA-CAJÚA\Cajua\[CAJUA_CF_SEC_New_27-Feb-2024Rev3.xlsx]D-PSDP'!</v>
      </c>
      <c r="G1959" s="32" t="s">
        <v>38</v>
      </c>
      <c r="H1959" s="33"/>
      <c r="I1959" s="33"/>
      <c r="J1959" s="37"/>
    </row>
    <row r="1960" spans="1:10" x14ac:dyDescent="0.25">
      <c r="A1960" s="32" t="s">
        <v>102</v>
      </c>
      <c r="B1960" s="32">
        <f t="shared" si="473"/>
        <v>2043</v>
      </c>
      <c r="C1960" s="33" t="s">
        <v>17</v>
      </c>
      <c r="D1960" s="34" t="s">
        <v>1999</v>
      </c>
      <c r="E1960" s="35" t="str">
        <f t="shared" si="469"/>
        <v>PSDP'!</v>
      </c>
      <c r="F1960" s="34" t="str">
        <f t="shared" si="470"/>
        <v>C:\Users\jaime.benazar\Quorum Business Solutions\Ecopetrol Prometeo - Documents\Planning Space Implementation\3. Analysis &amp; Design\Design\FC22\DRR Jaime\QUIFA-CAJÚA\Cajua\[CAJUA_CF_SEC_New_27-Feb-2024Rev3.xlsx]D-PSDP'!</v>
      </c>
      <c r="G1960" s="32" t="s">
        <v>38</v>
      </c>
      <c r="H1960" s="33"/>
      <c r="I1960" s="33"/>
      <c r="J1960" s="37"/>
    </row>
    <row r="1961" spans="1:10" x14ac:dyDescent="0.25">
      <c r="A1961" s="32" t="s">
        <v>102</v>
      </c>
      <c r="B1961" s="32">
        <f>+B1960+1</f>
        <v>2044</v>
      </c>
      <c r="C1961" s="33" t="s">
        <v>17</v>
      </c>
      <c r="D1961" s="34" t="s">
        <v>1999</v>
      </c>
      <c r="E1961" s="35" t="str">
        <f t="shared" ref="E1961:E1976" si="474">_xlfn.CONCAT(A1961,"'!")</f>
        <v>PSDP'!</v>
      </c>
      <c r="F1961" s="34" t="str">
        <f t="shared" ref="F1961:F1976" si="475">_xlfn.CONCAT(D1961:E1961)</f>
        <v>C:\Users\jaime.benazar\Quorum Business Solutions\Ecopetrol Prometeo - Documents\Planning Space Implementation\3. Analysis &amp; Design\Design\FC22\DRR Jaime\QUIFA-CAJÚA\Cajua\[CAJUA_CF_SEC_New_27-Feb-2024Rev3.xlsx]D-PSDP'!</v>
      </c>
      <c r="G1961" s="32" t="s">
        <v>38</v>
      </c>
      <c r="H1961" s="33"/>
      <c r="I1961" s="33"/>
      <c r="J1961" s="37"/>
    </row>
    <row r="1962" spans="1:10" x14ac:dyDescent="0.25">
      <c r="A1962" s="32" t="s">
        <v>102</v>
      </c>
      <c r="B1962" s="32">
        <f t="shared" ref="B1962:B1976" si="476">+B1961+1</f>
        <v>2045</v>
      </c>
      <c r="C1962" s="33" t="s">
        <v>17</v>
      </c>
      <c r="D1962" s="34" t="s">
        <v>1999</v>
      </c>
      <c r="E1962" s="35" t="str">
        <f t="shared" si="474"/>
        <v>PSDP'!</v>
      </c>
      <c r="F1962" s="34" t="str">
        <f t="shared" si="475"/>
        <v>C:\Users\jaime.benazar\Quorum Business Solutions\Ecopetrol Prometeo - Documents\Planning Space Implementation\3. Analysis &amp; Design\Design\FC22\DRR Jaime\QUIFA-CAJÚA\Cajua\[CAJUA_CF_SEC_New_27-Feb-2024Rev3.xlsx]D-PSDP'!</v>
      </c>
      <c r="G1962" s="32" t="s">
        <v>38</v>
      </c>
      <c r="H1962" s="33"/>
      <c r="I1962" s="33"/>
      <c r="J1962" s="37"/>
    </row>
    <row r="1963" spans="1:10" x14ac:dyDescent="0.25">
      <c r="A1963" s="32" t="s">
        <v>102</v>
      </c>
      <c r="B1963" s="32">
        <f t="shared" si="476"/>
        <v>2046</v>
      </c>
      <c r="C1963" s="33" t="s">
        <v>17</v>
      </c>
      <c r="D1963" s="34" t="s">
        <v>1999</v>
      </c>
      <c r="E1963" s="35" t="str">
        <f t="shared" si="474"/>
        <v>PSDP'!</v>
      </c>
      <c r="F1963" s="34" t="str">
        <f t="shared" si="475"/>
        <v>C:\Users\jaime.benazar\Quorum Business Solutions\Ecopetrol Prometeo - Documents\Planning Space Implementation\3. Analysis &amp; Design\Design\FC22\DRR Jaime\QUIFA-CAJÚA\Cajua\[CAJUA_CF_SEC_New_27-Feb-2024Rev3.xlsx]D-PSDP'!</v>
      </c>
      <c r="G1963" s="32" t="s">
        <v>38</v>
      </c>
      <c r="H1963" s="33"/>
      <c r="I1963" s="33"/>
      <c r="J1963" s="37"/>
    </row>
    <row r="1964" spans="1:10" x14ac:dyDescent="0.25">
      <c r="A1964" s="32" t="s">
        <v>102</v>
      </c>
      <c r="B1964" s="32">
        <f t="shared" si="476"/>
        <v>2047</v>
      </c>
      <c r="C1964" s="33" t="s">
        <v>17</v>
      </c>
      <c r="D1964" s="34" t="s">
        <v>1999</v>
      </c>
      <c r="E1964" s="35" t="str">
        <f t="shared" si="474"/>
        <v>PSDP'!</v>
      </c>
      <c r="F1964" s="34" t="str">
        <f t="shared" si="475"/>
        <v>C:\Users\jaime.benazar\Quorum Business Solutions\Ecopetrol Prometeo - Documents\Planning Space Implementation\3. Analysis &amp; Design\Design\FC22\DRR Jaime\QUIFA-CAJÚA\Cajua\[CAJUA_CF_SEC_New_27-Feb-2024Rev3.xlsx]D-PSDP'!</v>
      </c>
      <c r="G1964" s="32" t="s">
        <v>38</v>
      </c>
      <c r="H1964" s="33"/>
      <c r="I1964" s="33"/>
      <c r="J1964" s="37"/>
    </row>
    <row r="1965" spans="1:10" x14ac:dyDescent="0.25">
      <c r="A1965" s="32" t="s">
        <v>102</v>
      </c>
      <c r="B1965" s="32">
        <f t="shared" si="476"/>
        <v>2048</v>
      </c>
      <c r="C1965" s="33" t="s">
        <v>17</v>
      </c>
      <c r="D1965" s="34" t="s">
        <v>1999</v>
      </c>
      <c r="E1965" s="35" t="str">
        <f t="shared" si="474"/>
        <v>PSDP'!</v>
      </c>
      <c r="F1965" s="34" t="str">
        <f t="shared" si="475"/>
        <v>C:\Users\jaime.benazar\Quorum Business Solutions\Ecopetrol Prometeo - Documents\Planning Space Implementation\3. Analysis &amp; Design\Design\FC22\DRR Jaime\QUIFA-CAJÚA\Cajua\[CAJUA_CF_SEC_New_27-Feb-2024Rev3.xlsx]D-PSDP'!</v>
      </c>
      <c r="G1965" s="32" t="s">
        <v>38</v>
      </c>
      <c r="H1965" s="33"/>
      <c r="I1965" s="33"/>
      <c r="J1965" s="37"/>
    </row>
    <row r="1966" spans="1:10" x14ac:dyDescent="0.25">
      <c r="A1966" s="32" t="s">
        <v>102</v>
      </c>
      <c r="B1966" s="32">
        <f t="shared" si="476"/>
        <v>2049</v>
      </c>
      <c r="C1966" s="33" t="s">
        <v>17</v>
      </c>
      <c r="D1966" s="34" t="s">
        <v>1999</v>
      </c>
      <c r="E1966" s="35" t="str">
        <f t="shared" si="474"/>
        <v>PSDP'!</v>
      </c>
      <c r="F1966" s="34" t="str">
        <f t="shared" si="475"/>
        <v>C:\Users\jaime.benazar\Quorum Business Solutions\Ecopetrol Prometeo - Documents\Planning Space Implementation\3. Analysis &amp; Design\Design\FC22\DRR Jaime\QUIFA-CAJÚA\Cajua\[CAJUA_CF_SEC_New_27-Feb-2024Rev3.xlsx]D-PSDP'!</v>
      </c>
      <c r="G1966" s="32" t="s">
        <v>38</v>
      </c>
      <c r="H1966" s="33"/>
      <c r="I1966" s="33"/>
      <c r="J1966" s="37"/>
    </row>
    <row r="1967" spans="1:10" x14ac:dyDescent="0.25">
      <c r="A1967" s="32" t="s">
        <v>102</v>
      </c>
      <c r="B1967" s="32">
        <f t="shared" si="476"/>
        <v>2050</v>
      </c>
      <c r="C1967" s="33" t="s">
        <v>17</v>
      </c>
      <c r="D1967" s="34" t="s">
        <v>1999</v>
      </c>
      <c r="E1967" s="35" t="str">
        <f t="shared" si="474"/>
        <v>PSDP'!</v>
      </c>
      <c r="F1967" s="34" t="str">
        <f t="shared" si="475"/>
        <v>C:\Users\jaime.benazar\Quorum Business Solutions\Ecopetrol Prometeo - Documents\Planning Space Implementation\3. Analysis &amp; Design\Design\FC22\DRR Jaime\QUIFA-CAJÚA\Cajua\[CAJUA_CF_SEC_New_27-Feb-2024Rev3.xlsx]D-PSDP'!</v>
      </c>
      <c r="G1967" s="32" t="s">
        <v>38</v>
      </c>
      <c r="H1967" s="33"/>
      <c r="I1967" s="33"/>
      <c r="J1967" s="37"/>
    </row>
    <row r="1968" spans="1:10" x14ac:dyDescent="0.25">
      <c r="A1968" s="32" t="s">
        <v>102</v>
      </c>
      <c r="B1968" s="32">
        <f t="shared" si="476"/>
        <v>2051</v>
      </c>
      <c r="C1968" s="33" t="s">
        <v>17</v>
      </c>
      <c r="D1968" s="34" t="s">
        <v>1999</v>
      </c>
      <c r="E1968" s="35" t="str">
        <f t="shared" si="474"/>
        <v>PSDP'!</v>
      </c>
      <c r="F1968" s="34" t="str">
        <f t="shared" si="475"/>
        <v>C:\Users\jaime.benazar\Quorum Business Solutions\Ecopetrol Prometeo - Documents\Planning Space Implementation\3. Analysis &amp; Design\Design\FC22\DRR Jaime\QUIFA-CAJÚA\Cajua\[CAJUA_CF_SEC_New_27-Feb-2024Rev3.xlsx]D-PSDP'!</v>
      </c>
      <c r="G1968" s="32" t="s">
        <v>38</v>
      </c>
      <c r="H1968" s="33"/>
      <c r="I1968" s="33"/>
      <c r="J1968" s="37"/>
    </row>
    <row r="1969" spans="1:10" x14ac:dyDescent="0.25">
      <c r="A1969" s="32" t="s">
        <v>102</v>
      </c>
      <c r="B1969" s="32">
        <f t="shared" si="476"/>
        <v>2052</v>
      </c>
      <c r="C1969" s="33" t="s">
        <v>17</v>
      </c>
      <c r="D1969" s="34" t="s">
        <v>1999</v>
      </c>
      <c r="E1969" s="35" t="str">
        <f t="shared" si="474"/>
        <v>PSDP'!</v>
      </c>
      <c r="F1969" s="34" t="str">
        <f t="shared" si="475"/>
        <v>C:\Users\jaime.benazar\Quorum Business Solutions\Ecopetrol Prometeo - Documents\Planning Space Implementation\3. Analysis &amp; Design\Design\FC22\DRR Jaime\QUIFA-CAJÚA\Cajua\[CAJUA_CF_SEC_New_27-Feb-2024Rev3.xlsx]D-PSDP'!</v>
      </c>
      <c r="G1969" s="32" t="s">
        <v>38</v>
      </c>
      <c r="H1969" s="33"/>
      <c r="I1969" s="33"/>
      <c r="J1969" s="37"/>
    </row>
    <row r="1970" spans="1:10" x14ac:dyDescent="0.25">
      <c r="A1970" s="32" t="s">
        <v>102</v>
      </c>
      <c r="B1970" s="32">
        <f t="shared" si="476"/>
        <v>2053</v>
      </c>
      <c r="C1970" s="33" t="s">
        <v>17</v>
      </c>
      <c r="D1970" s="34" t="s">
        <v>1999</v>
      </c>
      <c r="E1970" s="35" t="str">
        <f t="shared" si="474"/>
        <v>PSDP'!</v>
      </c>
      <c r="F1970" s="34" t="str">
        <f t="shared" si="475"/>
        <v>C:\Users\jaime.benazar\Quorum Business Solutions\Ecopetrol Prometeo - Documents\Planning Space Implementation\3. Analysis &amp; Design\Design\FC22\DRR Jaime\QUIFA-CAJÚA\Cajua\[CAJUA_CF_SEC_New_27-Feb-2024Rev3.xlsx]D-PSDP'!</v>
      </c>
      <c r="G1970" s="32" t="s">
        <v>38</v>
      </c>
      <c r="H1970" s="33"/>
      <c r="I1970" s="33"/>
      <c r="J1970" s="37"/>
    </row>
    <row r="1971" spans="1:10" x14ac:dyDescent="0.25">
      <c r="A1971" s="32" t="s">
        <v>102</v>
      </c>
      <c r="B1971" s="32">
        <f t="shared" si="476"/>
        <v>2054</v>
      </c>
      <c r="C1971" s="33" t="s">
        <v>17</v>
      </c>
      <c r="D1971" s="34" t="s">
        <v>1999</v>
      </c>
      <c r="E1971" s="35" t="str">
        <f t="shared" si="474"/>
        <v>PSDP'!</v>
      </c>
      <c r="F1971" s="34" t="str">
        <f t="shared" si="475"/>
        <v>C:\Users\jaime.benazar\Quorum Business Solutions\Ecopetrol Prometeo - Documents\Planning Space Implementation\3. Analysis &amp; Design\Design\FC22\DRR Jaime\QUIFA-CAJÚA\Cajua\[CAJUA_CF_SEC_New_27-Feb-2024Rev3.xlsx]D-PSDP'!</v>
      </c>
      <c r="G1971" s="32" t="s">
        <v>38</v>
      </c>
      <c r="H1971" s="33"/>
      <c r="I1971" s="33"/>
      <c r="J1971" s="37"/>
    </row>
    <row r="1972" spans="1:10" x14ac:dyDescent="0.25">
      <c r="A1972" s="32" t="s">
        <v>102</v>
      </c>
      <c r="B1972" s="32">
        <f t="shared" si="476"/>
        <v>2055</v>
      </c>
      <c r="C1972" s="33" t="s">
        <v>17</v>
      </c>
      <c r="D1972" s="34" t="s">
        <v>1999</v>
      </c>
      <c r="E1972" s="35" t="str">
        <f t="shared" si="474"/>
        <v>PSDP'!</v>
      </c>
      <c r="F1972" s="34" t="str">
        <f t="shared" si="475"/>
        <v>C:\Users\jaime.benazar\Quorum Business Solutions\Ecopetrol Prometeo - Documents\Planning Space Implementation\3. Analysis &amp; Design\Design\FC22\DRR Jaime\QUIFA-CAJÚA\Cajua\[CAJUA_CF_SEC_New_27-Feb-2024Rev3.xlsx]D-PSDP'!</v>
      </c>
      <c r="G1972" s="32" t="s">
        <v>38</v>
      </c>
      <c r="H1972" s="33"/>
      <c r="I1972" s="33"/>
      <c r="J1972" s="37"/>
    </row>
    <row r="1973" spans="1:10" x14ac:dyDescent="0.25">
      <c r="A1973" s="32" t="s">
        <v>102</v>
      </c>
      <c r="B1973" s="32">
        <f t="shared" si="476"/>
        <v>2056</v>
      </c>
      <c r="C1973" s="33" t="s">
        <v>17</v>
      </c>
      <c r="D1973" s="34" t="s">
        <v>1999</v>
      </c>
      <c r="E1973" s="35" t="str">
        <f t="shared" si="474"/>
        <v>PSDP'!</v>
      </c>
      <c r="F1973" s="34" t="str">
        <f t="shared" si="475"/>
        <v>C:\Users\jaime.benazar\Quorum Business Solutions\Ecopetrol Prometeo - Documents\Planning Space Implementation\3. Analysis &amp; Design\Design\FC22\DRR Jaime\QUIFA-CAJÚA\Cajua\[CAJUA_CF_SEC_New_27-Feb-2024Rev3.xlsx]D-PSDP'!</v>
      </c>
      <c r="G1973" s="32" t="s">
        <v>38</v>
      </c>
      <c r="H1973" s="33"/>
      <c r="I1973" s="33"/>
      <c r="J1973" s="37"/>
    </row>
    <row r="1974" spans="1:10" x14ac:dyDescent="0.25">
      <c r="A1974" s="32" t="s">
        <v>102</v>
      </c>
      <c r="B1974" s="32">
        <f t="shared" si="476"/>
        <v>2057</v>
      </c>
      <c r="C1974" s="33" t="s">
        <v>17</v>
      </c>
      <c r="D1974" s="34" t="s">
        <v>1999</v>
      </c>
      <c r="E1974" s="35" t="str">
        <f t="shared" si="474"/>
        <v>PSDP'!</v>
      </c>
      <c r="F1974" s="34" t="str">
        <f t="shared" si="475"/>
        <v>C:\Users\jaime.benazar\Quorum Business Solutions\Ecopetrol Prometeo - Documents\Planning Space Implementation\3. Analysis &amp; Design\Design\FC22\DRR Jaime\QUIFA-CAJÚA\Cajua\[CAJUA_CF_SEC_New_27-Feb-2024Rev3.xlsx]D-PSDP'!</v>
      </c>
      <c r="G1974" s="32" t="s">
        <v>38</v>
      </c>
      <c r="H1974" s="33"/>
      <c r="I1974" s="33"/>
      <c r="J1974" s="37"/>
    </row>
    <row r="1975" spans="1:10" x14ac:dyDescent="0.25">
      <c r="A1975" s="32" t="s">
        <v>102</v>
      </c>
      <c r="B1975" s="32">
        <f t="shared" si="476"/>
        <v>2058</v>
      </c>
      <c r="C1975" s="33" t="s">
        <v>17</v>
      </c>
      <c r="D1975" s="34" t="s">
        <v>1999</v>
      </c>
      <c r="E1975" s="35" t="str">
        <f t="shared" si="474"/>
        <v>PSDP'!</v>
      </c>
      <c r="F1975" s="34" t="str">
        <f t="shared" si="475"/>
        <v>C:\Users\jaime.benazar\Quorum Business Solutions\Ecopetrol Prometeo - Documents\Planning Space Implementation\3. Analysis &amp; Design\Design\FC22\DRR Jaime\QUIFA-CAJÚA\Cajua\[CAJUA_CF_SEC_New_27-Feb-2024Rev3.xlsx]D-PSDP'!</v>
      </c>
      <c r="G1975" s="32" t="s">
        <v>38</v>
      </c>
      <c r="H1975" s="33"/>
      <c r="I1975" s="33"/>
      <c r="J1975" s="37"/>
    </row>
    <row r="1976" spans="1:10" x14ac:dyDescent="0.25">
      <c r="A1976" s="32" t="s">
        <v>102</v>
      </c>
      <c r="B1976" s="32">
        <f t="shared" si="476"/>
        <v>2059</v>
      </c>
      <c r="C1976" s="33" t="s">
        <v>17</v>
      </c>
      <c r="D1976" s="34" t="s">
        <v>1999</v>
      </c>
      <c r="E1976" s="35" t="str">
        <f t="shared" si="474"/>
        <v>PSDP'!</v>
      </c>
      <c r="F1976" s="34" t="str">
        <f t="shared" si="475"/>
        <v>C:\Users\jaime.benazar\Quorum Business Solutions\Ecopetrol Prometeo - Documents\Planning Space Implementation\3. Analysis &amp; Design\Design\FC22\DRR Jaime\QUIFA-CAJÚA\Cajua\[CAJUA_CF_SEC_New_27-Feb-2024Rev3.xlsx]D-PSDP'!</v>
      </c>
      <c r="G1976" s="32" t="s">
        <v>38</v>
      </c>
      <c r="H1976" s="33"/>
      <c r="I1976" s="33"/>
      <c r="J1976" s="37"/>
    </row>
    <row r="1977" spans="1:10" x14ac:dyDescent="0.25">
      <c r="A1977" s="32" t="s">
        <v>28</v>
      </c>
      <c r="B1977" s="32"/>
      <c r="C1977" s="33" t="s">
        <v>17</v>
      </c>
      <c r="D1977" s="34"/>
      <c r="E1977" s="35"/>
      <c r="F1977" s="34"/>
      <c r="G1977" s="32"/>
      <c r="H1977" s="33"/>
      <c r="I1977" s="33"/>
      <c r="J1977" s="33"/>
    </row>
    <row r="1978" spans="1:10" x14ac:dyDescent="0.25">
      <c r="A1978" s="32" t="s">
        <v>103</v>
      </c>
      <c r="B1978" s="32">
        <v>2023</v>
      </c>
      <c r="C1978" s="33" t="s">
        <v>17</v>
      </c>
      <c r="D1978" s="34" t="s">
        <v>1999</v>
      </c>
      <c r="E1978" s="35" t="str">
        <f t="shared" ref="E1978:E1998" si="477">_xlfn.CONCAT(A1978,"'!")</f>
        <v>PSNP'!</v>
      </c>
      <c r="F1978" s="34" t="str">
        <f t="shared" ref="F1978:F1998" si="478">_xlfn.CONCAT(D1978:E1978)</f>
        <v>C:\Users\jaime.benazar\Quorum Business Solutions\Ecopetrol Prometeo - Documents\Planning Space Implementation\3. Analysis &amp; Design\Design\FC22\DRR Jaime\QUIFA-CAJÚA\Cajua\[CAJUA_CF_SEC_New_27-Feb-2024Rev3.xlsx]D-PSNP'!</v>
      </c>
      <c r="G1978" s="32" t="s">
        <v>38</v>
      </c>
      <c r="H1978" s="33"/>
      <c r="I1978" s="33"/>
      <c r="J1978" s="37"/>
    </row>
    <row r="1979" spans="1:10" x14ac:dyDescent="0.25">
      <c r="A1979" s="32" t="s">
        <v>103</v>
      </c>
      <c r="B1979" s="32">
        <f>+B1978+1</f>
        <v>2024</v>
      </c>
      <c r="C1979" s="33" t="s">
        <v>17</v>
      </c>
      <c r="D1979" s="34" t="s">
        <v>1999</v>
      </c>
      <c r="E1979" s="35" t="str">
        <f t="shared" si="477"/>
        <v>PSNP'!</v>
      </c>
      <c r="F1979" s="34" t="str">
        <f t="shared" si="478"/>
        <v>C:\Users\jaime.benazar\Quorum Business Solutions\Ecopetrol Prometeo - Documents\Planning Space Implementation\3. Analysis &amp; Design\Design\FC22\DRR Jaime\QUIFA-CAJÚA\Cajua\[CAJUA_CF_SEC_New_27-Feb-2024Rev3.xlsx]D-PSNP'!</v>
      </c>
      <c r="G1979" s="32" t="s">
        <v>38</v>
      </c>
      <c r="H1979" s="33"/>
      <c r="I1979" s="33"/>
      <c r="J1979" s="37"/>
    </row>
    <row r="1980" spans="1:10" x14ac:dyDescent="0.25">
      <c r="A1980" s="32" t="s">
        <v>103</v>
      </c>
      <c r="B1980" s="32">
        <f t="shared" ref="B1980:B1991" si="479">+B1979+1</f>
        <v>2025</v>
      </c>
      <c r="C1980" s="33" t="s">
        <v>17</v>
      </c>
      <c r="D1980" s="34" t="s">
        <v>1999</v>
      </c>
      <c r="E1980" s="35" t="str">
        <f t="shared" si="477"/>
        <v>PSNP'!</v>
      </c>
      <c r="F1980" s="34" t="str">
        <f t="shared" si="478"/>
        <v>C:\Users\jaime.benazar\Quorum Business Solutions\Ecopetrol Prometeo - Documents\Planning Space Implementation\3. Analysis &amp; Design\Design\FC22\DRR Jaime\QUIFA-CAJÚA\Cajua\[CAJUA_CF_SEC_New_27-Feb-2024Rev3.xlsx]D-PSNP'!</v>
      </c>
      <c r="G1980" s="32" t="s">
        <v>38</v>
      </c>
      <c r="H1980" s="33"/>
      <c r="I1980" s="33"/>
      <c r="J1980" s="37"/>
    </row>
    <row r="1981" spans="1:10" x14ac:dyDescent="0.25">
      <c r="A1981" s="32" t="s">
        <v>103</v>
      </c>
      <c r="B1981" s="32">
        <f t="shared" si="479"/>
        <v>2026</v>
      </c>
      <c r="C1981" s="33" t="s">
        <v>17</v>
      </c>
      <c r="D1981" s="34" t="s">
        <v>1999</v>
      </c>
      <c r="E1981" s="35" t="str">
        <f t="shared" si="477"/>
        <v>PSNP'!</v>
      </c>
      <c r="F1981" s="34" t="str">
        <f t="shared" si="478"/>
        <v>C:\Users\jaime.benazar\Quorum Business Solutions\Ecopetrol Prometeo - Documents\Planning Space Implementation\3. Analysis &amp; Design\Design\FC22\DRR Jaime\QUIFA-CAJÚA\Cajua\[CAJUA_CF_SEC_New_27-Feb-2024Rev3.xlsx]D-PSNP'!</v>
      </c>
      <c r="G1981" s="32" t="s">
        <v>38</v>
      </c>
      <c r="H1981" s="33"/>
      <c r="I1981" s="33"/>
      <c r="J1981" s="37"/>
    </row>
    <row r="1982" spans="1:10" x14ac:dyDescent="0.25">
      <c r="A1982" s="32" t="s">
        <v>103</v>
      </c>
      <c r="B1982" s="32">
        <f t="shared" si="479"/>
        <v>2027</v>
      </c>
      <c r="C1982" s="33" t="s">
        <v>17</v>
      </c>
      <c r="D1982" s="34" t="s">
        <v>1999</v>
      </c>
      <c r="E1982" s="35" t="str">
        <f t="shared" si="477"/>
        <v>PSNP'!</v>
      </c>
      <c r="F1982" s="34" t="str">
        <f t="shared" si="478"/>
        <v>C:\Users\jaime.benazar\Quorum Business Solutions\Ecopetrol Prometeo - Documents\Planning Space Implementation\3. Analysis &amp; Design\Design\FC22\DRR Jaime\QUIFA-CAJÚA\Cajua\[CAJUA_CF_SEC_New_27-Feb-2024Rev3.xlsx]D-PSNP'!</v>
      </c>
      <c r="G1982" s="32" t="s">
        <v>38</v>
      </c>
      <c r="H1982" s="33"/>
      <c r="I1982" s="33"/>
      <c r="J1982" s="37"/>
    </row>
    <row r="1983" spans="1:10" x14ac:dyDescent="0.25">
      <c r="A1983" s="32" t="s">
        <v>103</v>
      </c>
      <c r="B1983" s="32">
        <f t="shared" si="479"/>
        <v>2028</v>
      </c>
      <c r="C1983" s="33" t="s">
        <v>17</v>
      </c>
      <c r="D1983" s="34" t="s">
        <v>1999</v>
      </c>
      <c r="E1983" s="35" t="str">
        <f t="shared" si="477"/>
        <v>PSNP'!</v>
      </c>
      <c r="F1983" s="34" t="str">
        <f t="shared" si="478"/>
        <v>C:\Users\jaime.benazar\Quorum Business Solutions\Ecopetrol Prometeo - Documents\Planning Space Implementation\3. Analysis &amp; Design\Design\FC22\DRR Jaime\QUIFA-CAJÚA\Cajua\[CAJUA_CF_SEC_New_27-Feb-2024Rev3.xlsx]D-PSNP'!</v>
      </c>
      <c r="G1983" s="32" t="s">
        <v>38</v>
      </c>
      <c r="H1983" s="33"/>
      <c r="I1983" s="33"/>
      <c r="J1983" s="37"/>
    </row>
    <row r="1984" spans="1:10" x14ac:dyDescent="0.25">
      <c r="A1984" s="32" t="s">
        <v>103</v>
      </c>
      <c r="B1984" s="32">
        <f t="shared" si="479"/>
        <v>2029</v>
      </c>
      <c r="C1984" s="33" t="s">
        <v>17</v>
      </c>
      <c r="D1984" s="34" t="s">
        <v>1999</v>
      </c>
      <c r="E1984" s="35" t="str">
        <f t="shared" si="477"/>
        <v>PSNP'!</v>
      </c>
      <c r="F1984" s="34" t="str">
        <f t="shared" si="478"/>
        <v>C:\Users\jaime.benazar\Quorum Business Solutions\Ecopetrol Prometeo - Documents\Planning Space Implementation\3. Analysis &amp; Design\Design\FC22\DRR Jaime\QUIFA-CAJÚA\Cajua\[CAJUA_CF_SEC_New_27-Feb-2024Rev3.xlsx]D-PSNP'!</v>
      </c>
      <c r="G1984" s="32" t="s">
        <v>38</v>
      </c>
      <c r="H1984" s="33"/>
      <c r="I1984" s="33"/>
      <c r="J1984" s="37"/>
    </row>
    <row r="1985" spans="1:10" x14ac:dyDescent="0.25">
      <c r="A1985" s="32" t="s">
        <v>103</v>
      </c>
      <c r="B1985" s="32">
        <f t="shared" si="479"/>
        <v>2030</v>
      </c>
      <c r="C1985" s="33" t="s">
        <v>17</v>
      </c>
      <c r="D1985" s="34" t="s">
        <v>1999</v>
      </c>
      <c r="E1985" s="35" t="str">
        <f t="shared" si="477"/>
        <v>PSNP'!</v>
      </c>
      <c r="F1985" s="34" t="str">
        <f t="shared" si="478"/>
        <v>C:\Users\jaime.benazar\Quorum Business Solutions\Ecopetrol Prometeo - Documents\Planning Space Implementation\3. Analysis &amp; Design\Design\FC22\DRR Jaime\QUIFA-CAJÚA\Cajua\[CAJUA_CF_SEC_New_27-Feb-2024Rev3.xlsx]D-PSNP'!</v>
      </c>
      <c r="G1985" s="32" t="s">
        <v>38</v>
      </c>
      <c r="H1985" s="33"/>
      <c r="I1985" s="33"/>
      <c r="J1985" s="37"/>
    </row>
    <row r="1986" spans="1:10" x14ac:dyDescent="0.25">
      <c r="A1986" s="32" t="s">
        <v>103</v>
      </c>
      <c r="B1986" s="32">
        <f t="shared" si="479"/>
        <v>2031</v>
      </c>
      <c r="C1986" s="33" t="s">
        <v>17</v>
      </c>
      <c r="D1986" s="34" t="s">
        <v>1999</v>
      </c>
      <c r="E1986" s="35" t="str">
        <f t="shared" si="477"/>
        <v>PSNP'!</v>
      </c>
      <c r="F1986" s="34" t="str">
        <f t="shared" si="478"/>
        <v>C:\Users\jaime.benazar\Quorum Business Solutions\Ecopetrol Prometeo - Documents\Planning Space Implementation\3. Analysis &amp; Design\Design\FC22\DRR Jaime\QUIFA-CAJÚA\Cajua\[CAJUA_CF_SEC_New_27-Feb-2024Rev3.xlsx]D-PSNP'!</v>
      </c>
      <c r="G1986" s="32" t="s">
        <v>38</v>
      </c>
      <c r="H1986" s="33"/>
      <c r="I1986" s="33"/>
      <c r="J1986" s="37"/>
    </row>
    <row r="1987" spans="1:10" x14ac:dyDescent="0.25">
      <c r="A1987" s="32" t="s">
        <v>103</v>
      </c>
      <c r="B1987" s="32">
        <f t="shared" si="479"/>
        <v>2032</v>
      </c>
      <c r="C1987" s="33" t="s">
        <v>17</v>
      </c>
      <c r="D1987" s="34" t="s">
        <v>1999</v>
      </c>
      <c r="E1987" s="35" t="str">
        <f t="shared" si="477"/>
        <v>PSNP'!</v>
      </c>
      <c r="F1987" s="34" t="str">
        <f t="shared" si="478"/>
        <v>C:\Users\jaime.benazar\Quorum Business Solutions\Ecopetrol Prometeo - Documents\Planning Space Implementation\3. Analysis &amp; Design\Design\FC22\DRR Jaime\QUIFA-CAJÚA\Cajua\[CAJUA_CF_SEC_New_27-Feb-2024Rev3.xlsx]D-PSNP'!</v>
      </c>
      <c r="G1987" s="32" t="s">
        <v>38</v>
      </c>
      <c r="H1987" s="33"/>
      <c r="I1987" s="33"/>
      <c r="J1987" s="37"/>
    </row>
    <row r="1988" spans="1:10" x14ac:dyDescent="0.25">
      <c r="A1988" s="32" t="s">
        <v>103</v>
      </c>
      <c r="B1988" s="32">
        <f t="shared" si="479"/>
        <v>2033</v>
      </c>
      <c r="C1988" s="33" t="s">
        <v>17</v>
      </c>
      <c r="D1988" s="34" t="s">
        <v>1999</v>
      </c>
      <c r="E1988" s="35" t="str">
        <f t="shared" si="477"/>
        <v>PSNP'!</v>
      </c>
      <c r="F1988" s="34" t="str">
        <f t="shared" si="478"/>
        <v>C:\Users\jaime.benazar\Quorum Business Solutions\Ecopetrol Prometeo - Documents\Planning Space Implementation\3. Analysis &amp; Design\Design\FC22\DRR Jaime\QUIFA-CAJÚA\Cajua\[CAJUA_CF_SEC_New_27-Feb-2024Rev3.xlsx]D-PSNP'!</v>
      </c>
      <c r="G1988" s="32" t="s">
        <v>38</v>
      </c>
      <c r="H1988" s="33"/>
      <c r="I1988" s="33"/>
      <c r="J1988" s="37"/>
    </row>
    <row r="1989" spans="1:10" x14ac:dyDescent="0.25">
      <c r="A1989" s="32" t="s">
        <v>103</v>
      </c>
      <c r="B1989" s="32">
        <f t="shared" si="479"/>
        <v>2034</v>
      </c>
      <c r="C1989" s="33" t="s">
        <v>17</v>
      </c>
      <c r="D1989" s="34" t="s">
        <v>1999</v>
      </c>
      <c r="E1989" s="35" t="str">
        <f t="shared" si="477"/>
        <v>PSNP'!</v>
      </c>
      <c r="F1989" s="34" t="str">
        <f t="shared" si="478"/>
        <v>C:\Users\jaime.benazar\Quorum Business Solutions\Ecopetrol Prometeo - Documents\Planning Space Implementation\3. Analysis &amp; Design\Design\FC22\DRR Jaime\QUIFA-CAJÚA\Cajua\[CAJUA_CF_SEC_New_27-Feb-2024Rev3.xlsx]D-PSNP'!</v>
      </c>
      <c r="G1989" s="32" t="s">
        <v>38</v>
      </c>
      <c r="H1989" s="33"/>
      <c r="I1989" s="33"/>
      <c r="J1989" s="37"/>
    </row>
    <row r="1990" spans="1:10" x14ac:dyDescent="0.25">
      <c r="A1990" s="32" t="s">
        <v>103</v>
      </c>
      <c r="B1990" s="32">
        <f t="shared" si="479"/>
        <v>2035</v>
      </c>
      <c r="C1990" s="33" t="s">
        <v>17</v>
      </c>
      <c r="D1990" s="34" t="s">
        <v>1999</v>
      </c>
      <c r="E1990" s="35" t="str">
        <f t="shared" si="477"/>
        <v>PSNP'!</v>
      </c>
      <c r="F1990" s="34" t="str">
        <f t="shared" si="478"/>
        <v>C:\Users\jaime.benazar\Quorum Business Solutions\Ecopetrol Prometeo - Documents\Planning Space Implementation\3. Analysis &amp; Design\Design\FC22\DRR Jaime\QUIFA-CAJÚA\Cajua\[CAJUA_CF_SEC_New_27-Feb-2024Rev3.xlsx]D-PSNP'!</v>
      </c>
      <c r="G1990" s="32" t="s">
        <v>38</v>
      </c>
      <c r="H1990" s="33"/>
      <c r="I1990" s="33"/>
      <c r="J1990" s="37"/>
    </row>
    <row r="1991" spans="1:10" x14ac:dyDescent="0.25">
      <c r="A1991" s="32" t="s">
        <v>103</v>
      </c>
      <c r="B1991" s="32">
        <f t="shared" si="479"/>
        <v>2036</v>
      </c>
      <c r="C1991" s="33" t="s">
        <v>17</v>
      </c>
      <c r="D1991" s="34" t="s">
        <v>1999</v>
      </c>
      <c r="E1991" s="35" t="str">
        <f t="shared" si="477"/>
        <v>PSNP'!</v>
      </c>
      <c r="F1991" s="34" t="str">
        <f t="shared" si="478"/>
        <v>C:\Users\jaime.benazar\Quorum Business Solutions\Ecopetrol Prometeo - Documents\Planning Space Implementation\3. Analysis &amp; Design\Design\FC22\DRR Jaime\QUIFA-CAJÚA\Cajua\[CAJUA_CF_SEC_New_27-Feb-2024Rev3.xlsx]D-PSNP'!</v>
      </c>
      <c r="G1991" s="32" t="s">
        <v>38</v>
      </c>
      <c r="H1991" s="33"/>
      <c r="I1991" s="33"/>
      <c r="J1991" s="37"/>
    </row>
    <row r="1992" spans="1:10" x14ac:dyDescent="0.25">
      <c r="A1992" s="32" t="s">
        <v>103</v>
      </c>
      <c r="B1992" s="32">
        <f>+B1991+1</f>
        <v>2037</v>
      </c>
      <c r="C1992" s="33" t="s">
        <v>17</v>
      </c>
      <c r="D1992" s="34" t="s">
        <v>1999</v>
      </c>
      <c r="E1992" s="35" t="str">
        <f t="shared" si="477"/>
        <v>PSNP'!</v>
      </c>
      <c r="F1992" s="34" t="str">
        <f t="shared" si="478"/>
        <v>C:\Users\jaime.benazar\Quorum Business Solutions\Ecopetrol Prometeo - Documents\Planning Space Implementation\3. Analysis &amp; Design\Design\FC22\DRR Jaime\QUIFA-CAJÚA\Cajua\[CAJUA_CF_SEC_New_27-Feb-2024Rev3.xlsx]D-PSNP'!</v>
      </c>
      <c r="G1992" s="32" t="s">
        <v>38</v>
      </c>
      <c r="H1992" s="33"/>
      <c r="I1992" s="33"/>
      <c r="J1992" s="37"/>
    </row>
    <row r="1993" spans="1:10" x14ac:dyDescent="0.25">
      <c r="A1993" s="32" t="s">
        <v>103</v>
      </c>
      <c r="B1993" s="32">
        <f t="shared" ref="B1993:B1995" si="480">+B1992+1</f>
        <v>2038</v>
      </c>
      <c r="C1993" s="33" t="s">
        <v>17</v>
      </c>
      <c r="D1993" s="34" t="s">
        <v>1999</v>
      </c>
      <c r="E1993" s="35" t="str">
        <f t="shared" si="477"/>
        <v>PSNP'!</v>
      </c>
      <c r="F1993" s="34" t="str">
        <f t="shared" si="478"/>
        <v>C:\Users\jaime.benazar\Quorum Business Solutions\Ecopetrol Prometeo - Documents\Planning Space Implementation\3. Analysis &amp; Design\Design\FC22\DRR Jaime\QUIFA-CAJÚA\Cajua\[CAJUA_CF_SEC_New_27-Feb-2024Rev3.xlsx]D-PSNP'!</v>
      </c>
      <c r="G1993" s="32" t="s">
        <v>38</v>
      </c>
      <c r="H1993" s="33"/>
      <c r="I1993" s="33"/>
      <c r="J1993" s="37"/>
    </row>
    <row r="1994" spans="1:10" x14ac:dyDescent="0.25">
      <c r="A1994" s="32" t="s">
        <v>103</v>
      </c>
      <c r="B1994" s="32">
        <f t="shared" si="480"/>
        <v>2039</v>
      </c>
      <c r="C1994" s="33" t="s">
        <v>17</v>
      </c>
      <c r="D1994" s="34" t="s">
        <v>1999</v>
      </c>
      <c r="E1994" s="35" t="str">
        <f t="shared" si="477"/>
        <v>PSNP'!</v>
      </c>
      <c r="F1994" s="34" t="str">
        <f t="shared" si="478"/>
        <v>C:\Users\jaime.benazar\Quorum Business Solutions\Ecopetrol Prometeo - Documents\Planning Space Implementation\3. Analysis &amp; Design\Design\FC22\DRR Jaime\QUIFA-CAJÚA\Cajua\[CAJUA_CF_SEC_New_27-Feb-2024Rev3.xlsx]D-PSNP'!</v>
      </c>
      <c r="G1994" s="32" t="s">
        <v>38</v>
      </c>
      <c r="H1994" s="33"/>
      <c r="I1994" s="33"/>
      <c r="J1994" s="37"/>
    </row>
    <row r="1995" spans="1:10" x14ac:dyDescent="0.25">
      <c r="A1995" s="32" t="s">
        <v>103</v>
      </c>
      <c r="B1995" s="32">
        <f t="shared" si="480"/>
        <v>2040</v>
      </c>
      <c r="C1995" s="33" t="s">
        <v>17</v>
      </c>
      <c r="D1995" s="34" t="s">
        <v>1999</v>
      </c>
      <c r="E1995" s="35" t="str">
        <f t="shared" si="477"/>
        <v>PSNP'!</v>
      </c>
      <c r="F1995" s="34" t="str">
        <f t="shared" si="478"/>
        <v>C:\Users\jaime.benazar\Quorum Business Solutions\Ecopetrol Prometeo - Documents\Planning Space Implementation\3. Analysis &amp; Design\Design\FC22\DRR Jaime\QUIFA-CAJÚA\Cajua\[CAJUA_CF_SEC_New_27-Feb-2024Rev3.xlsx]D-PSNP'!</v>
      </c>
      <c r="G1995" s="32" t="s">
        <v>38</v>
      </c>
      <c r="H1995" s="33"/>
      <c r="I1995" s="33"/>
      <c r="J1995" s="37"/>
    </row>
    <row r="1996" spans="1:10" x14ac:dyDescent="0.25">
      <c r="A1996" s="32" t="s">
        <v>103</v>
      </c>
      <c r="B1996" s="32">
        <f>+B1995+1</f>
        <v>2041</v>
      </c>
      <c r="C1996" s="33" t="s">
        <v>17</v>
      </c>
      <c r="D1996" s="34" t="s">
        <v>1999</v>
      </c>
      <c r="E1996" s="35" t="str">
        <f t="shared" si="477"/>
        <v>PSNP'!</v>
      </c>
      <c r="F1996" s="34" t="str">
        <f t="shared" si="478"/>
        <v>C:\Users\jaime.benazar\Quorum Business Solutions\Ecopetrol Prometeo - Documents\Planning Space Implementation\3. Analysis &amp; Design\Design\FC22\DRR Jaime\QUIFA-CAJÚA\Cajua\[CAJUA_CF_SEC_New_27-Feb-2024Rev3.xlsx]D-PSNP'!</v>
      </c>
      <c r="G1996" s="32" t="s">
        <v>38</v>
      </c>
      <c r="H1996" s="33"/>
      <c r="I1996" s="33"/>
      <c r="J1996" s="37"/>
    </row>
    <row r="1997" spans="1:10" x14ac:dyDescent="0.25">
      <c r="A1997" s="32" t="s">
        <v>103</v>
      </c>
      <c r="B1997" s="32">
        <f t="shared" ref="B1997:B1998" si="481">+B1996+1</f>
        <v>2042</v>
      </c>
      <c r="C1997" s="33" t="s">
        <v>17</v>
      </c>
      <c r="D1997" s="34" t="s">
        <v>1999</v>
      </c>
      <c r="E1997" s="35" t="str">
        <f t="shared" si="477"/>
        <v>PSNP'!</v>
      </c>
      <c r="F1997" s="34" t="str">
        <f t="shared" si="478"/>
        <v>C:\Users\jaime.benazar\Quorum Business Solutions\Ecopetrol Prometeo - Documents\Planning Space Implementation\3. Analysis &amp; Design\Design\FC22\DRR Jaime\QUIFA-CAJÚA\Cajua\[CAJUA_CF_SEC_New_27-Feb-2024Rev3.xlsx]D-PSNP'!</v>
      </c>
      <c r="G1997" s="32" t="s">
        <v>38</v>
      </c>
      <c r="H1997" s="33"/>
      <c r="I1997" s="33"/>
      <c r="J1997" s="37"/>
    </row>
    <row r="1998" spans="1:10" x14ac:dyDescent="0.25">
      <c r="A1998" s="32" t="s">
        <v>103</v>
      </c>
      <c r="B1998" s="32">
        <f t="shared" si="481"/>
        <v>2043</v>
      </c>
      <c r="C1998" s="33" t="s">
        <v>17</v>
      </c>
      <c r="D1998" s="34" t="s">
        <v>1999</v>
      </c>
      <c r="E1998" s="35" t="str">
        <f t="shared" si="477"/>
        <v>PSNP'!</v>
      </c>
      <c r="F1998" s="34" t="str">
        <f t="shared" si="478"/>
        <v>C:\Users\jaime.benazar\Quorum Business Solutions\Ecopetrol Prometeo - Documents\Planning Space Implementation\3. Analysis &amp; Design\Design\FC22\DRR Jaime\QUIFA-CAJÚA\Cajua\[CAJUA_CF_SEC_New_27-Feb-2024Rev3.xlsx]D-PSNP'!</v>
      </c>
      <c r="G1998" s="32" t="s">
        <v>38</v>
      </c>
      <c r="H1998" s="33"/>
      <c r="I1998" s="33"/>
      <c r="J1998" s="37"/>
    </row>
    <row r="1999" spans="1:10" x14ac:dyDescent="0.25">
      <c r="A1999" s="32" t="s">
        <v>103</v>
      </c>
      <c r="B1999" s="32">
        <f>+B1998+1</f>
        <v>2044</v>
      </c>
      <c r="C1999" s="33" t="s">
        <v>17</v>
      </c>
      <c r="D1999" s="34" t="s">
        <v>1999</v>
      </c>
      <c r="E1999" s="35" t="str">
        <f t="shared" ref="E1999:E2014" si="482">_xlfn.CONCAT(A1999,"'!")</f>
        <v>PSNP'!</v>
      </c>
      <c r="F1999" s="34" t="str">
        <f t="shared" ref="F1999:F2014" si="483">_xlfn.CONCAT(D1999:E1999)</f>
        <v>C:\Users\jaime.benazar\Quorum Business Solutions\Ecopetrol Prometeo - Documents\Planning Space Implementation\3. Analysis &amp; Design\Design\FC22\DRR Jaime\QUIFA-CAJÚA\Cajua\[CAJUA_CF_SEC_New_27-Feb-2024Rev3.xlsx]D-PSNP'!</v>
      </c>
      <c r="G1999" s="32" t="s">
        <v>38</v>
      </c>
      <c r="H1999" s="33"/>
      <c r="I1999" s="33"/>
      <c r="J1999" s="37"/>
    </row>
    <row r="2000" spans="1:10" x14ac:dyDescent="0.25">
      <c r="A2000" s="32" t="s">
        <v>103</v>
      </c>
      <c r="B2000" s="32">
        <f t="shared" ref="B2000:B2014" si="484">+B1999+1</f>
        <v>2045</v>
      </c>
      <c r="C2000" s="33" t="s">
        <v>17</v>
      </c>
      <c r="D2000" s="34" t="s">
        <v>1999</v>
      </c>
      <c r="E2000" s="35" t="str">
        <f t="shared" si="482"/>
        <v>PSNP'!</v>
      </c>
      <c r="F2000" s="34" t="str">
        <f t="shared" si="483"/>
        <v>C:\Users\jaime.benazar\Quorum Business Solutions\Ecopetrol Prometeo - Documents\Planning Space Implementation\3. Analysis &amp; Design\Design\FC22\DRR Jaime\QUIFA-CAJÚA\Cajua\[CAJUA_CF_SEC_New_27-Feb-2024Rev3.xlsx]D-PSNP'!</v>
      </c>
      <c r="G2000" s="32" t="s">
        <v>38</v>
      </c>
      <c r="H2000" s="33"/>
      <c r="I2000" s="33"/>
      <c r="J2000" s="37"/>
    </row>
    <row r="2001" spans="1:10" x14ac:dyDescent="0.25">
      <c r="A2001" s="32" t="s">
        <v>103</v>
      </c>
      <c r="B2001" s="32">
        <f t="shared" si="484"/>
        <v>2046</v>
      </c>
      <c r="C2001" s="33" t="s">
        <v>17</v>
      </c>
      <c r="D2001" s="34" t="s">
        <v>1999</v>
      </c>
      <c r="E2001" s="35" t="str">
        <f t="shared" si="482"/>
        <v>PSNP'!</v>
      </c>
      <c r="F2001" s="34" t="str">
        <f t="shared" si="483"/>
        <v>C:\Users\jaime.benazar\Quorum Business Solutions\Ecopetrol Prometeo - Documents\Planning Space Implementation\3. Analysis &amp; Design\Design\FC22\DRR Jaime\QUIFA-CAJÚA\Cajua\[CAJUA_CF_SEC_New_27-Feb-2024Rev3.xlsx]D-PSNP'!</v>
      </c>
      <c r="G2001" s="32" t="s">
        <v>38</v>
      </c>
      <c r="H2001" s="33"/>
      <c r="I2001" s="33"/>
      <c r="J2001" s="37"/>
    </row>
    <row r="2002" spans="1:10" x14ac:dyDescent="0.25">
      <c r="A2002" s="32" t="s">
        <v>103</v>
      </c>
      <c r="B2002" s="32">
        <f t="shared" si="484"/>
        <v>2047</v>
      </c>
      <c r="C2002" s="33" t="s">
        <v>17</v>
      </c>
      <c r="D2002" s="34" t="s">
        <v>1999</v>
      </c>
      <c r="E2002" s="35" t="str">
        <f t="shared" si="482"/>
        <v>PSNP'!</v>
      </c>
      <c r="F2002" s="34" t="str">
        <f t="shared" si="483"/>
        <v>C:\Users\jaime.benazar\Quorum Business Solutions\Ecopetrol Prometeo - Documents\Planning Space Implementation\3. Analysis &amp; Design\Design\FC22\DRR Jaime\QUIFA-CAJÚA\Cajua\[CAJUA_CF_SEC_New_27-Feb-2024Rev3.xlsx]D-PSNP'!</v>
      </c>
      <c r="G2002" s="32" t="s">
        <v>38</v>
      </c>
      <c r="H2002" s="33"/>
      <c r="I2002" s="33"/>
      <c r="J2002" s="37"/>
    </row>
    <row r="2003" spans="1:10" x14ac:dyDescent="0.25">
      <c r="A2003" s="32" t="s">
        <v>103</v>
      </c>
      <c r="B2003" s="32">
        <f t="shared" si="484"/>
        <v>2048</v>
      </c>
      <c r="C2003" s="33" t="s">
        <v>17</v>
      </c>
      <c r="D2003" s="34" t="s">
        <v>1999</v>
      </c>
      <c r="E2003" s="35" t="str">
        <f t="shared" si="482"/>
        <v>PSNP'!</v>
      </c>
      <c r="F2003" s="34" t="str">
        <f t="shared" si="483"/>
        <v>C:\Users\jaime.benazar\Quorum Business Solutions\Ecopetrol Prometeo - Documents\Planning Space Implementation\3. Analysis &amp; Design\Design\FC22\DRR Jaime\QUIFA-CAJÚA\Cajua\[CAJUA_CF_SEC_New_27-Feb-2024Rev3.xlsx]D-PSNP'!</v>
      </c>
      <c r="G2003" s="32" t="s">
        <v>38</v>
      </c>
      <c r="H2003" s="33"/>
      <c r="I2003" s="33"/>
      <c r="J2003" s="37"/>
    </row>
    <row r="2004" spans="1:10" x14ac:dyDescent="0.25">
      <c r="A2004" s="32" t="s">
        <v>103</v>
      </c>
      <c r="B2004" s="32">
        <f t="shared" si="484"/>
        <v>2049</v>
      </c>
      <c r="C2004" s="33" t="s">
        <v>17</v>
      </c>
      <c r="D2004" s="34" t="s">
        <v>1999</v>
      </c>
      <c r="E2004" s="35" t="str">
        <f t="shared" si="482"/>
        <v>PSNP'!</v>
      </c>
      <c r="F2004" s="34" t="str">
        <f t="shared" si="483"/>
        <v>C:\Users\jaime.benazar\Quorum Business Solutions\Ecopetrol Prometeo - Documents\Planning Space Implementation\3. Analysis &amp; Design\Design\FC22\DRR Jaime\QUIFA-CAJÚA\Cajua\[CAJUA_CF_SEC_New_27-Feb-2024Rev3.xlsx]D-PSNP'!</v>
      </c>
      <c r="G2004" s="32" t="s">
        <v>38</v>
      </c>
      <c r="H2004" s="33"/>
      <c r="I2004" s="33"/>
      <c r="J2004" s="37"/>
    </row>
    <row r="2005" spans="1:10" x14ac:dyDescent="0.25">
      <c r="A2005" s="32" t="s">
        <v>103</v>
      </c>
      <c r="B2005" s="32">
        <f t="shared" si="484"/>
        <v>2050</v>
      </c>
      <c r="C2005" s="33" t="s">
        <v>17</v>
      </c>
      <c r="D2005" s="34" t="s">
        <v>1999</v>
      </c>
      <c r="E2005" s="35" t="str">
        <f t="shared" si="482"/>
        <v>PSNP'!</v>
      </c>
      <c r="F2005" s="34" t="str">
        <f t="shared" si="483"/>
        <v>C:\Users\jaime.benazar\Quorum Business Solutions\Ecopetrol Prometeo - Documents\Planning Space Implementation\3. Analysis &amp; Design\Design\FC22\DRR Jaime\QUIFA-CAJÚA\Cajua\[CAJUA_CF_SEC_New_27-Feb-2024Rev3.xlsx]D-PSNP'!</v>
      </c>
      <c r="G2005" s="32" t="s">
        <v>38</v>
      </c>
      <c r="H2005" s="33"/>
      <c r="I2005" s="33"/>
      <c r="J2005" s="37"/>
    </row>
    <row r="2006" spans="1:10" x14ac:dyDescent="0.25">
      <c r="A2006" s="32" t="s">
        <v>103</v>
      </c>
      <c r="B2006" s="32">
        <f t="shared" si="484"/>
        <v>2051</v>
      </c>
      <c r="C2006" s="33" t="s">
        <v>17</v>
      </c>
      <c r="D2006" s="34" t="s">
        <v>1999</v>
      </c>
      <c r="E2006" s="35" t="str">
        <f t="shared" si="482"/>
        <v>PSNP'!</v>
      </c>
      <c r="F2006" s="34" t="str">
        <f t="shared" si="483"/>
        <v>C:\Users\jaime.benazar\Quorum Business Solutions\Ecopetrol Prometeo - Documents\Planning Space Implementation\3. Analysis &amp; Design\Design\FC22\DRR Jaime\QUIFA-CAJÚA\Cajua\[CAJUA_CF_SEC_New_27-Feb-2024Rev3.xlsx]D-PSNP'!</v>
      </c>
      <c r="G2006" s="32" t="s">
        <v>38</v>
      </c>
      <c r="H2006" s="33"/>
      <c r="I2006" s="33"/>
      <c r="J2006" s="37"/>
    </row>
    <row r="2007" spans="1:10" x14ac:dyDescent="0.25">
      <c r="A2007" s="32" t="s">
        <v>103</v>
      </c>
      <c r="B2007" s="32">
        <f t="shared" si="484"/>
        <v>2052</v>
      </c>
      <c r="C2007" s="33" t="s">
        <v>17</v>
      </c>
      <c r="D2007" s="34" t="s">
        <v>1999</v>
      </c>
      <c r="E2007" s="35" t="str">
        <f t="shared" si="482"/>
        <v>PSNP'!</v>
      </c>
      <c r="F2007" s="34" t="str">
        <f t="shared" si="483"/>
        <v>C:\Users\jaime.benazar\Quorum Business Solutions\Ecopetrol Prometeo - Documents\Planning Space Implementation\3. Analysis &amp; Design\Design\FC22\DRR Jaime\QUIFA-CAJÚA\Cajua\[CAJUA_CF_SEC_New_27-Feb-2024Rev3.xlsx]D-PSNP'!</v>
      </c>
      <c r="G2007" s="32" t="s">
        <v>38</v>
      </c>
      <c r="H2007" s="33"/>
      <c r="I2007" s="33"/>
      <c r="J2007" s="37"/>
    </row>
    <row r="2008" spans="1:10" x14ac:dyDescent="0.25">
      <c r="A2008" s="32" t="s">
        <v>103</v>
      </c>
      <c r="B2008" s="32">
        <f t="shared" si="484"/>
        <v>2053</v>
      </c>
      <c r="C2008" s="33" t="s">
        <v>17</v>
      </c>
      <c r="D2008" s="34" t="s">
        <v>1999</v>
      </c>
      <c r="E2008" s="35" t="str">
        <f t="shared" si="482"/>
        <v>PSNP'!</v>
      </c>
      <c r="F2008" s="34" t="str">
        <f t="shared" si="483"/>
        <v>C:\Users\jaime.benazar\Quorum Business Solutions\Ecopetrol Prometeo - Documents\Planning Space Implementation\3. Analysis &amp; Design\Design\FC22\DRR Jaime\QUIFA-CAJÚA\Cajua\[CAJUA_CF_SEC_New_27-Feb-2024Rev3.xlsx]D-PSNP'!</v>
      </c>
      <c r="G2008" s="32" t="s">
        <v>38</v>
      </c>
      <c r="H2008" s="33"/>
      <c r="I2008" s="33"/>
      <c r="J2008" s="37"/>
    </row>
    <row r="2009" spans="1:10" x14ac:dyDescent="0.25">
      <c r="A2009" s="32" t="s">
        <v>103</v>
      </c>
      <c r="B2009" s="32">
        <f t="shared" si="484"/>
        <v>2054</v>
      </c>
      <c r="C2009" s="33" t="s">
        <v>17</v>
      </c>
      <c r="D2009" s="34" t="s">
        <v>1999</v>
      </c>
      <c r="E2009" s="35" t="str">
        <f t="shared" si="482"/>
        <v>PSNP'!</v>
      </c>
      <c r="F2009" s="34" t="str">
        <f t="shared" si="483"/>
        <v>C:\Users\jaime.benazar\Quorum Business Solutions\Ecopetrol Prometeo - Documents\Planning Space Implementation\3. Analysis &amp; Design\Design\FC22\DRR Jaime\QUIFA-CAJÚA\Cajua\[CAJUA_CF_SEC_New_27-Feb-2024Rev3.xlsx]D-PSNP'!</v>
      </c>
      <c r="G2009" s="32" t="s">
        <v>38</v>
      </c>
      <c r="H2009" s="33"/>
      <c r="I2009" s="33"/>
      <c r="J2009" s="37"/>
    </row>
    <row r="2010" spans="1:10" x14ac:dyDescent="0.25">
      <c r="A2010" s="32" t="s">
        <v>103</v>
      </c>
      <c r="B2010" s="32">
        <f t="shared" si="484"/>
        <v>2055</v>
      </c>
      <c r="C2010" s="33" t="s">
        <v>17</v>
      </c>
      <c r="D2010" s="34" t="s">
        <v>1999</v>
      </c>
      <c r="E2010" s="35" t="str">
        <f t="shared" si="482"/>
        <v>PSNP'!</v>
      </c>
      <c r="F2010" s="34" t="str">
        <f t="shared" si="483"/>
        <v>C:\Users\jaime.benazar\Quorum Business Solutions\Ecopetrol Prometeo - Documents\Planning Space Implementation\3. Analysis &amp; Design\Design\FC22\DRR Jaime\QUIFA-CAJÚA\Cajua\[CAJUA_CF_SEC_New_27-Feb-2024Rev3.xlsx]D-PSNP'!</v>
      </c>
      <c r="G2010" s="32" t="s">
        <v>38</v>
      </c>
      <c r="H2010" s="33"/>
      <c r="I2010" s="33"/>
      <c r="J2010" s="37"/>
    </row>
    <row r="2011" spans="1:10" x14ac:dyDescent="0.25">
      <c r="A2011" s="32" t="s">
        <v>103</v>
      </c>
      <c r="B2011" s="32">
        <f t="shared" si="484"/>
        <v>2056</v>
      </c>
      <c r="C2011" s="33" t="s">
        <v>17</v>
      </c>
      <c r="D2011" s="34" t="s">
        <v>1999</v>
      </c>
      <c r="E2011" s="35" t="str">
        <f t="shared" si="482"/>
        <v>PSNP'!</v>
      </c>
      <c r="F2011" s="34" t="str">
        <f t="shared" si="483"/>
        <v>C:\Users\jaime.benazar\Quorum Business Solutions\Ecopetrol Prometeo - Documents\Planning Space Implementation\3. Analysis &amp; Design\Design\FC22\DRR Jaime\QUIFA-CAJÚA\Cajua\[CAJUA_CF_SEC_New_27-Feb-2024Rev3.xlsx]D-PSNP'!</v>
      </c>
      <c r="G2011" s="32" t="s">
        <v>38</v>
      </c>
      <c r="H2011" s="33"/>
      <c r="I2011" s="33"/>
      <c r="J2011" s="37"/>
    </row>
    <row r="2012" spans="1:10" x14ac:dyDescent="0.25">
      <c r="A2012" s="32" t="s">
        <v>103</v>
      </c>
      <c r="B2012" s="32">
        <f t="shared" si="484"/>
        <v>2057</v>
      </c>
      <c r="C2012" s="33" t="s">
        <v>17</v>
      </c>
      <c r="D2012" s="34" t="s">
        <v>1999</v>
      </c>
      <c r="E2012" s="35" t="str">
        <f t="shared" si="482"/>
        <v>PSNP'!</v>
      </c>
      <c r="F2012" s="34" t="str">
        <f t="shared" si="483"/>
        <v>C:\Users\jaime.benazar\Quorum Business Solutions\Ecopetrol Prometeo - Documents\Planning Space Implementation\3. Analysis &amp; Design\Design\FC22\DRR Jaime\QUIFA-CAJÚA\Cajua\[CAJUA_CF_SEC_New_27-Feb-2024Rev3.xlsx]D-PSNP'!</v>
      </c>
      <c r="G2012" s="32" t="s">
        <v>38</v>
      </c>
      <c r="H2012" s="33"/>
      <c r="I2012" s="33"/>
      <c r="J2012" s="37"/>
    </row>
    <row r="2013" spans="1:10" x14ac:dyDescent="0.25">
      <c r="A2013" s="32" t="s">
        <v>103</v>
      </c>
      <c r="B2013" s="32">
        <f t="shared" si="484"/>
        <v>2058</v>
      </c>
      <c r="C2013" s="33" t="s">
        <v>17</v>
      </c>
      <c r="D2013" s="34" t="s">
        <v>1999</v>
      </c>
      <c r="E2013" s="35" t="str">
        <f t="shared" si="482"/>
        <v>PSNP'!</v>
      </c>
      <c r="F2013" s="34" t="str">
        <f t="shared" si="483"/>
        <v>C:\Users\jaime.benazar\Quorum Business Solutions\Ecopetrol Prometeo - Documents\Planning Space Implementation\3. Analysis &amp; Design\Design\FC22\DRR Jaime\QUIFA-CAJÚA\Cajua\[CAJUA_CF_SEC_New_27-Feb-2024Rev3.xlsx]D-PSNP'!</v>
      </c>
      <c r="G2013" s="32" t="s">
        <v>38</v>
      </c>
      <c r="H2013" s="33"/>
      <c r="I2013" s="33"/>
      <c r="J2013" s="37"/>
    </row>
    <row r="2014" spans="1:10" x14ac:dyDescent="0.25">
      <c r="A2014" s="32" t="s">
        <v>103</v>
      </c>
      <c r="B2014" s="32">
        <f t="shared" si="484"/>
        <v>2059</v>
      </c>
      <c r="C2014" s="33" t="s">
        <v>17</v>
      </c>
      <c r="D2014" s="34" t="s">
        <v>1999</v>
      </c>
      <c r="E2014" s="35" t="str">
        <f t="shared" si="482"/>
        <v>PSNP'!</v>
      </c>
      <c r="F2014" s="34" t="str">
        <f t="shared" si="483"/>
        <v>C:\Users\jaime.benazar\Quorum Business Solutions\Ecopetrol Prometeo - Documents\Planning Space Implementation\3. Analysis &amp; Design\Design\FC22\DRR Jaime\QUIFA-CAJÚA\Cajua\[CAJUA_CF_SEC_New_27-Feb-2024Rev3.xlsx]D-PSNP'!</v>
      </c>
      <c r="G2014" s="32" t="s">
        <v>38</v>
      </c>
      <c r="H2014" s="33"/>
      <c r="I2014" s="33"/>
      <c r="J2014" s="37"/>
    </row>
    <row r="2015" spans="1:10" x14ac:dyDescent="0.25">
      <c r="A2015" s="32" t="s">
        <v>28</v>
      </c>
      <c r="B2015" s="32"/>
      <c r="C2015" s="33" t="s">
        <v>17</v>
      </c>
      <c r="D2015" s="34"/>
      <c r="E2015" s="35"/>
      <c r="F2015" s="34"/>
      <c r="G2015" s="32"/>
      <c r="H2015" s="33"/>
      <c r="I2015" s="33"/>
      <c r="J2015" s="33"/>
    </row>
    <row r="2016" spans="1:10" x14ac:dyDescent="0.25">
      <c r="A2016" s="32" t="s">
        <v>104</v>
      </c>
      <c r="B2016" s="32">
        <v>2023</v>
      </c>
      <c r="C2016" s="33" t="s">
        <v>17</v>
      </c>
      <c r="D2016" s="34" t="s">
        <v>1999</v>
      </c>
      <c r="E2016" s="35" t="str">
        <f t="shared" ref="E2016:E2036" si="485">_xlfn.CONCAT(A2016,"'!")</f>
        <v>PSND'!</v>
      </c>
      <c r="F2016" s="34" t="str">
        <f t="shared" ref="F2016:F2036" si="486">_xlfn.CONCAT(D2016:E2016)</f>
        <v>C:\Users\jaime.benazar\Quorum Business Solutions\Ecopetrol Prometeo - Documents\Planning Space Implementation\3. Analysis &amp; Design\Design\FC22\DRR Jaime\QUIFA-CAJÚA\Cajua\[CAJUA_CF_SEC_New_27-Feb-2024Rev3.xlsx]D-PSND'!</v>
      </c>
      <c r="G2016" s="32" t="s">
        <v>38</v>
      </c>
      <c r="H2016" s="33"/>
      <c r="I2016" s="33"/>
      <c r="J2016" s="37"/>
    </row>
    <row r="2017" spans="1:10" x14ac:dyDescent="0.25">
      <c r="A2017" s="32" t="s">
        <v>104</v>
      </c>
      <c r="B2017" s="32">
        <f>+B2016+1</f>
        <v>2024</v>
      </c>
      <c r="C2017" s="33" t="s">
        <v>17</v>
      </c>
      <c r="D2017" s="34" t="s">
        <v>1999</v>
      </c>
      <c r="E2017" s="35" t="str">
        <f t="shared" si="485"/>
        <v>PSND'!</v>
      </c>
      <c r="F2017" s="34" t="str">
        <f t="shared" si="486"/>
        <v>C:\Users\jaime.benazar\Quorum Business Solutions\Ecopetrol Prometeo - Documents\Planning Space Implementation\3. Analysis &amp; Design\Design\FC22\DRR Jaime\QUIFA-CAJÚA\Cajua\[CAJUA_CF_SEC_New_27-Feb-2024Rev3.xlsx]D-PSND'!</v>
      </c>
      <c r="G2017" s="32" t="s">
        <v>38</v>
      </c>
      <c r="H2017" s="33"/>
      <c r="I2017" s="33"/>
      <c r="J2017" s="37"/>
    </row>
    <row r="2018" spans="1:10" x14ac:dyDescent="0.25">
      <c r="A2018" s="32" t="s">
        <v>104</v>
      </c>
      <c r="B2018" s="32">
        <f t="shared" ref="B2018:B2029" si="487">+B2017+1</f>
        <v>2025</v>
      </c>
      <c r="C2018" s="33" t="s">
        <v>17</v>
      </c>
      <c r="D2018" s="34" t="s">
        <v>1999</v>
      </c>
      <c r="E2018" s="35" t="str">
        <f t="shared" si="485"/>
        <v>PSND'!</v>
      </c>
      <c r="F2018" s="34" t="str">
        <f t="shared" si="486"/>
        <v>C:\Users\jaime.benazar\Quorum Business Solutions\Ecopetrol Prometeo - Documents\Planning Space Implementation\3. Analysis &amp; Design\Design\FC22\DRR Jaime\QUIFA-CAJÚA\Cajua\[CAJUA_CF_SEC_New_27-Feb-2024Rev3.xlsx]D-PSND'!</v>
      </c>
      <c r="G2018" s="32" t="s">
        <v>38</v>
      </c>
      <c r="H2018" s="33"/>
      <c r="I2018" s="33"/>
      <c r="J2018" s="37"/>
    </row>
    <row r="2019" spans="1:10" x14ac:dyDescent="0.25">
      <c r="A2019" s="32" t="s">
        <v>104</v>
      </c>
      <c r="B2019" s="32">
        <f t="shared" si="487"/>
        <v>2026</v>
      </c>
      <c r="C2019" s="33" t="s">
        <v>17</v>
      </c>
      <c r="D2019" s="34" t="s">
        <v>1999</v>
      </c>
      <c r="E2019" s="35" t="str">
        <f t="shared" si="485"/>
        <v>PSND'!</v>
      </c>
      <c r="F2019" s="34" t="str">
        <f t="shared" si="486"/>
        <v>C:\Users\jaime.benazar\Quorum Business Solutions\Ecopetrol Prometeo - Documents\Planning Space Implementation\3. Analysis &amp; Design\Design\FC22\DRR Jaime\QUIFA-CAJÚA\Cajua\[CAJUA_CF_SEC_New_27-Feb-2024Rev3.xlsx]D-PSND'!</v>
      </c>
      <c r="G2019" s="32" t="s">
        <v>38</v>
      </c>
      <c r="H2019" s="33"/>
      <c r="I2019" s="33"/>
      <c r="J2019" s="37"/>
    </row>
    <row r="2020" spans="1:10" x14ac:dyDescent="0.25">
      <c r="A2020" s="32" t="s">
        <v>104</v>
      </c>
      <c r="B2020" s="32">
        <f t="shared" si="487"/>
        <v>2027</v>
      </c>
      <c r="C2020" s="33" t="s">
        <v>17</v>
      </c>
      <c r="D2020" s="34" t="s">
        <v>1999</v>
      </c>
      <c r="E2020" s="35" t="str">
        <f t="shared" si="485"/>
        <v>PSND'!</v>
      </c>
      <c r="F2020" s="34" t="str">
        <f t="shared" si="486"/>
        <v>C:\Users\jaime.benazar\Quorum Business Solutions\Ecopetrol Prometeo - Documents\Planning Space Implementation\3. Analysis &amp; Design\Design\FC22\DRR Jaime\QUIFA-CAJÚA\Cajua\[CAJUA_CF_SEC_New_27-Feb-2024Rev3.xlsx]D-PSND'!</v>
      </c>
      <c r="G2020" s="32" t="s">
        <v>38</v>
      </c>
      <c r="H2020" s="33"/>
      <c r="I2020" s="33"/>
      <c r="J2020" s="37"/>
    </row>
    <row r="2021" spans="1:10" x14ac:dyDescent="0.25">
      <c r="A2021" s="32" t="s">
        <v>104</v>
      </c>
      <c r="B2021" s="32">
        <f t="shared" si="487"/>
        <v>2028</v>
      </c>
      <c r="C2021" s="33" t="s">
        <v>17</v>
      </c>
      <c r="D2021" s="34" t="s">
        <v>1999</v>
      </c>
      <c r="E2021" s="35" t="str">
        <f t="shared" si="485"/>
        <v>PSND'!</v>
      </c>
      <c r="F2021" s="34" t="str">
        <f t="shared" si="486"/>
        <v>C:\Users\jaime.benazar\Quorum Business Solutions\Ecopetrol Prometeo - Documents\Planning Space Implementation\3. Analysis &amp; Design\Design\FC22\DRR Jaime\QUIFA-CAJÚA\Cajua\[CAJUA_CF_SEC_New_27-Feb-2024Rev3.xlsx]D-PSND'!</v>
      </c>
      <c r="G2021" s="32" t="s">
        <v>38</v>
      </c>
      <c r="H2021" s="33"/>
      <c r="I2021" s="33"/>
      <c r="J2021" s="37"/>
    </row>
    <row r="2022" spans="1:10" x14ac:dyDescent="0.25">
      <c r="A2022" s="32" t="s">
        <v>104</v>
      </c>
      <c r="B2022" s="32">
        <f t="shared" si="487"/>
        <v>2029</v>
      </c>
      <c r="C2022" s="33" t="s">
        <v>17</v>
      </c>
      <c r="D2022" s="34" t="s">
        <v>1999</v>
      </c>
      <c r="E2022" s="35" t="str">
        <f t="shared" si="485"/>
        <v>PSND'!</v>
      </c>
      <c r="F2022" s="34" t="str">
        <f t="shared" si="486"/>
        <v>C:\Users\jaime.benazar\Quorum Business Solutions\Ecopetrol Prometeo - Documents\Planning Space Implementation\3. Analysis &amp; Design\Design\FC22\DRR Jaime\QUIFA-CAJÚA\Cajua\[CAJUA_CF_SEC_New_27-Feb-2024Rev3.xlsx]D-PSND'!</v>
      </c>
      <c r="G2022" s="32" t="s">
        <v>38</v>
      </c>
      <c r="H2022" s="33"/>
      <c r="I2022" s="33"/>
      <c r="J2022" s="37"/>
    </row>
    <row r="2023" spans="1:10" x14ac:dyDescent="0.25">
      <c r="A2023" s="32" t="s">
        <v>104</v>
      </c>
      <c r="B2023" s="32">
        <f t="shared" si="487"/>
        <v>2030</v>
      </c>
      <c r="C2023" s="33" t="s">
        <v>17</v>
      </c>
      <c r="D2023" s="34" t="s">
        <v>1999</v>
      </c>
      <c r="E2023" s="35" t="str">
        <f t="shared" si="485"/>
        <v>PSND'!</v>
      </c>
      <c r="F2023" s="34" t="str">
        <f t="shared" si="486"/>
        <v>C:\Users\jaime.benazar\Quorum Business Solutions\Ecopetrol Prometeo - Documents\Planning Space Implementation\3. Analysis &amp; Design\Design\FC22\DRR Jaime\QUIFA-CAJÚA\Cajua\[CAJUA_CF_SEC_New_27-Feb-2024Rev3.xlsx]D-PSND'!</v>
      </c>
      <c r="G2023" s="32" t="s">
        <v>38</v>
      </c>
      <c r="H2023" s="33"/>
      <c r="I2023" s="33"/>
      <c r="J2023" s="37"/>
    </row>
    <row r="2024" spans="1:10" x14ac:dyDescent="0.25">
      <c r="A2024" s="32" t="s">
        <v>104</v>
      </c>
      <c r="B2024" s="32">
        <f t="shared" si="487"/>
        <v>2031</v>
      </c>
      <c r="C2024" s="33" t="s">
        <v>17</v>
      </c>
      <c r="D2024" s="34" t="s">
        <v>1999</v>
      </c>
      <c r="E2024" s="35" t="str">
        <f t="shared" si="485"/>
        <v>PSND'!</v>
      </c>
      <c r="F2024" s="34" t="str">
        <f t="shared" si="486"/>
        <v>C:\Users\jaime.benazar\Quorum Business Solutions\Ecopetrol Prometeo - Documents\Planning Space Implementation\3. Analysis &amp; Design\Design\FC22\DRR Jaime\QUIFA-CAJÚA\Cajua\[CAJUA_CF_SEC_New_27-Feb-2024Rev3.xlsx]D-PSND'!</v>
      </c>
      <c r="G2024" s="32" t="s">
        <v>38</v>
      </c>
      <c r="H2024" s="33"/>
      <c r="I2024" s="33"/>
      <c r="J2024" s="37"/>
    </row>
    <row r="2025" spans="1:10" x14ac:dyDescent="0.25">
      <c r="A2025" s="32" t="s">
        <v>104</v>
      </c>
      <c r="B2025" s="32">
        <f t="shared" si="487"/>
        <v>2032</v>
      </c>
      <c r="C2025" s="33" t="s">
        <v>17</v>
      </c>
      <c r="D2025" s="34" t="s">
        <v>1999</v>
      </c>
      <c r="E2025" s="35" t="str">
        <f t="shared" si="485"/>
        <v>PSND'!</v>
      </c>
      <c r="F2025" s="34" t="str">
        <f t="shared" si="486"/>
        <v>C:\Users\jaime.benazar\Quorum Business Solutions\Ecopetrol Prometeo - Documents\Planning Space Implementation\3. Analysis &amp; Design\Design\FC22\DRR Jaime\QUIFA-CAJÚA\Cajua\[CAJUA_CF_SEC_New_27-Feb-2024Rev3.xlsx]D-PSND'!</v>
      </c>
      <c r="G2025" s="32" t="s">
        <v>38</v>
      </c>
      <c r="H2025" s="33"/>
      <c r="I2025" s="33"/>
      <c r="J2025" s="37"/>
    </row>
    <row r="2026" spans="1:10" x14ac:dyDescent="0.25">
      <c r="A2026" s="32" t="s">
        <v>104</v>
      </c>
      <c r="B2026" s="32">
        <f t="shared" si="487"/>
        <v>2033</v>
      </c>
      <c r="C2026" s="33" t="s">
        <v>17</v>
      </c>
      <c r="D2026" s="34" t="s">
        <v>1999</v>
      </c>
      <c r="E2026" s="35" t="str">
        <f t="shared" si="485"/>
        <v>PSND'!</v>
      </c>
      <c r="F2026" s="34" t="str">
        <f t="shared" si="486"/>
        <v>C:\Users\jaime.benazar\Quorum Business Solutions\Ecopetrol Prometeo - Documents\Planning Space Implementation\3. Analysis &amp; Design\Design\FC22\DRR Jaime\QUIFA-CAJÚA\Cajua\[CAJUA_CF_SEC_New_27-Feb-2024Rev3.xlsx]D-PSND'!</v>
      </c>
      <c r="G2026" s="32" t="s">
        <v>38</v>
      </c>
      <c r="H2026" s="33"/>
      <c r="I2026" s="33"/>
      <c r="J2026" s="37"/>
    </row>
    <row r="2027" spans="1:10" x14ac:dyDescent="0.25">
      <c r="A2027" s="32" t="s">
        <v>104</v>
      </c>
      <c r="B2027" s="32">
        <f t="shared" si="487"/>
        <v>2034</v>
      </c>
      <c r="C2027" s="33" t="s">
        <v>17</v>
      </c>
      <c r="D2027" s="34" t="s">
        <v>1999</v>
      </c>
      <c r="E2027" s="35" t="str">
        <f t="shared" si="485"/>
        <v>PSND'!</v>
      </c>
      <c r="F2027" s="34" t="str">
        <f t="shared" si="486"/>
        <v>C:\Users\jaime.benazar\Quorum Business Solutions\Ecopetrol Prometeo - Documents\Planning Space Implementation\3. Analysis &amp; Design\Design\FC22\DRR Jaime\QUIFA-CAJÚA\Cajua\[CAJUA_CF_SEC_New_27-Feb-2024Rev3.xlsx]D-PSND'!</v>
      </c>
      <c r="G2027" s="32" t="s">
        <v>38</v>
      </c>
      <c r="H2027" s="33"/>
      <c r="I2027" s="33"/>
      <c r="J2027" s="37"/>
    </row>
    <row r="2028" spans="1:10" x14ac:dyDescent="0.25">
      <c r="A2028" s="32" t="s">
        <v>104</v>
      </c>
      <c r="B2028" s="32">
        <f t="shared" si="487"/>
        <v>2035</v>
      </c>
      <c r="C2028" s="33" t="s">
        <v>17</v>
      </c>
      <c r="D2028" s="34" t="s">
        <v>1999</v>
      </c>
      <c r="E2028" s="35" t="str">
        <f t="shared" si="485"/>
        <v>PSND'!</v>
      </c>
      <c r="F2028" s="34" t="str">
        <f t="shared" si="486"/>
        <v>C:\Users\jaime.benazar\Quorum Business Solutions\Ecopetrol Prometeo - Documents\Planning Space Implementation\3. Analysis &amp; Design\Design\FC22\DRR Jaime\QUIFA-CAJÚA\Cajua\[CAJUA_CF_SEC_New_27-Feb-2024Rev3.xlsx]D-PSND'!</v>
      </c>
      <c r="G2028" s="32" t="s">
        <v>38</v>
      </c>
      <c r="H2028" s="33"/>
      <c r="I2028" s="33"/>
      <c r="J2028" s="37"/>
    </row>
    <row r="2029" spans="1:10" x14ac:dyDescent="0.25">
      <c r="A2029" s="32" t="s">
        <v>104</v>
      </c>
      <c r="B2029" s="32">
        <f t="shared" si="487"/>
        <v>2036</v>
      </c>
      <c r="C2029" s="33" t="s">
        <v>17</v>
      </c>
      <c r="D2029" s="34" t="s">
        <v>1999</v>
      </c>
      <c r="E2029" s="35" t="str">
        <f t="shared" si="485"/>
        <v>PSND'!</v>
      </c>
      <c r="F2029" s="34" t="str">
        <f t="shared" si="486"/>
        <v>C:\Users\jaime.benazar\Quorum Business Solutions\Ecopetrol Prometeo - Documents\Planning Space Implementation\3. Analysis &amp; Design\Design\FC22\DRR Jaime\QUIFA-CAJÚA\Cajua\[CAJUA_CF_SEC_New_27-Feb-2024Rev3.xlsx]D-PSND'!</v>
      </c>
      <c r="G2029" s="32" t="s">
        <v>38</v>
      </c>
      <c r="H2029" s="33"/>
      <c r="I2029" s="33"/>
      <c r="J2029" s="37"/>
    </row>
    <row r="2030" spans="1:10" x14ac:dyDescent="0.25">
      <c r="A2030" s="32" t="s">
        <v>104</v>
      </c>
      <c r="B2030" s="32">
        <f>+B2029+1</f>
        <v>2037</v>
      </c>
      <c r="C2030" s="33" t="s">
        <v>17</v>
      </c>
      <c r="D2030" s="34" t="s">
        <v>1999</v>
      </c>
      <c r="E2030" s="35" t="str">
        <f t="shared" si="485"/>
        <v>PSND'!</v>
      </c>
      <c r="F2030" s="34" t="str">
        <f t="shared" si="486"/>
        <v>C:\Users\jaime.benazar\Quorum Business Solutions\Ecopetrol Prometeo - Documents\Planning Space Implementation\3. Analysis &amp; Design\Design\FC22\DRR Jaime\QUIFA-CAJÚA\Cajua\[CAJUA_CF_SEC_New_27-Feb-2024Rev3.xlsx]D-PSND'!</v>
      </c>
      <c r="G2030" s="32" t="s">
        <v>38</v>
      </c>
      <c r="H2030" s="33"/>
      <c r="I2030" s="33"/>
      <c r="J2030" s="37"/>
    </row>
    <row r="2031" spans="1:10" x14ac:dyDescent="0.25">
      <c r="A2031" s="32" t="s">
        <v>104</v>
      </c>
      <c r="B2031" s="32">
        <f t="shared" ref="B2031:B2033" si="488">+B2030+1</f>
        <v>2038</v>
      </c>
      <c r="C2031" s="33" t="s">
        <v>17</v>
      </c>
      <c r="D2031" s="34" t="s">
        <v>1999</v>
      </c>
      <c r="E2031" s="35" t="str">
        <f t="shared" si="485"/>
        <v>PSND'!</v>
      </c>
      <c r="F2031" s="34" t="str">
        <f t="shared" si="486"/>
        <v>C:\Users\jaime.benazar\Quorum Business Solutions\Ecopetrol Prometeo - Documents\Planning Space Implementation\3. Analysis &amp; Design\Design\FC22\DRR Jaime\QUIFA-CAJÚA\Cajua\[CAJUA_CF_SEC_New_27-Feb-2024Rev3.xlsx]D-PSND'!</v>
      </c>
      <c r="G2031" s="32" t="s">
        <v>38</v>
      </c>
      <c r="H2031" s="33"/>
      <c r="I2031" s="33"/>
      <c r="J2031" s="37"/>
    </row>
    <row r="2032" spans="1:10" x14ac:dyDescent="0.25">
      <c r="A2032" s="32" t="s">
        <v>104</v>
      </c>
      <c r="B2032" s="32">
        <f t="shared" si="488"/>
        <v>2039</v>
      </c>
      <c r="C2032" s="33" t="s">
        <v>17</v>
      </c>
      <c r="D2032" s="34" t="s">
        <v>1999</v>
      </c>
      <c r="E2032" s="35" t="str">
        <f t="shared" si="485"/>
        <v>PSND'!</v>
      </c>
      <c r="F2032" s="34" t="str">
        <f t="shared" si="486"/>
        <v>C:\Users\jaime.benazar\Quorum Business Solutions\Ecopetrol Prometeo - Documents\Planning Space Implementation\3. Analysis &amp; Design\Design\FC22\DRR Jaime\QUIFA-CAJÚA\Cajua\[CAJUA_CF_SEC_New_27-Feb-2024Rev3.xlsx]D-PSND'!</v>
      </c>
      <c r="G2032" s="32" t="s">
        <v>38</v>
      </c>
      <c r="H2032" s="33"/>
      <c r="I2032" s="33"/>
      <c r="J2032" s="37"/>
    </row>
    <row r="2033" spans="1:10" x14ac:dyDescent="0.25">
      <c r="A2033" s="32" t="s">
        <v>104</v>
      </c>
      <c r="B2033" s="32">
        <f t="shared" si="488"/>
        <v>2040</v>
      </c>
      <c r="C2033" s="33" t="s">
        <v>17</v>
      </c>
      <c r="D2033" s="34" t="s">
        <v>1999</v>
      </c>
      <c r="E2033" s="35" t="str">
        <f t="shared" si="485"/>
        <v>PSND'!</v>
      </c>
      <c r="F2033" s="34" t="str">
        <f t="shared" si="486"/>
        <v>C:\Users\jaime.benazar\Quorum Business Solutions\Ecopetrol Prometeo - Documents\Planning Space Implementation\3. Analysis &amp; Design\Design\FC22\DRR Jaime\QUIFA-CAJÚA\Cajua\[CAJUA_CF_SEC_New_27-Feb-2024Rev3.xlsx]D-PSND'!</v>
      </c>
      <c r="G2033" s="32" t="s">
        <v>38</v>
      </c>
      <c r="H2033" s="33"/>
      <c r="I2033" s="33"/>
      <c r="J2033" s="37"/>
    </row>
    <row r="2034" spans="1:10" x14ac:dyDescent="0.25">
      <c r="A2034" s="32" t="s">
        <v>104</v>
      </c>
      <c r="B2034" s="32">
        <f>+B2033+1</f>
        <v>2041</v>
      </c>
      <c r="C2034" s="33" t="s">
        <v>17</v>
      </c>
      <c r="D2034" s="34" t="s">
        <v>1999</v>
      </c>
      <c r="E2034" s="35" t="str">
        <f t="shared" si="485"/>
        <v>PSND'!</v>
      </c>
      <c r="F2034" s="34" t="str">
        <f t="shared" si="486"/>
        <v>C:\Users\jaime.benazar\Quorum Business Solutions\Ecopetrol Prometeo - Documents\Planning Space Implementation\3. Analysis &amp; Design\Design\FC22\DRR Jaime\QUIFA-CAJÚA\Cajua\[CAJUA_CF_SEC_New_27-Feb-2024Rev3.xlsx]D-PSND'!</v>
      </c>
      <c r="G2034" s="32" t="s">
        <v>38</v>
      </c>
      <c r="H2034" s="33"/>
      <c r="I2034" s="33"/>
      <c r="J2034" s="37"/>
    </row>
    <row r="2035" spans="1:10" x14ac:dyDescent="0.25">
      <c r="A2035" s="32" t="s">
        <v>104</v>
      </c>
      <c r="B2035" s="32">
        <f t="shared" ref="B2035:B2036" si="489">+B2034+1</f>
        <v>2042</v>
      </c>
      <c r="C2035" s="33" t="s">
        <v>17</v>
      </c>
      <c r="D2035" s="34" t="s">
        <v>1999</v>
      </c>
      <c r="E2035" s="35" t="str">
        <f t="shared" si="485"/>
        <v>PSND'!</v>
      </c>
      <c r="F2035" s="34" t="str">
        <f t="shared" si="486"/>
        <v>C:\Users\jaime.benazar\Quorum Business Solutions\Ecopetrol Prometeo - Documents\Planning Space Implementation\3. Analysis &amp; Design\Design\FC22\DRR Jaime\QUIFA-CAJÚA\Cajua\[CAJUA_CF_SEC_New_27-Feb-2024Rev3.xlsx]D-PSND'!</v>
      </c>
      <c r="G2035" s="32" t="s">
        <v>38</v>
      </c>
      <c r="H2035" s="33"/>
      <c r="I2035" s="33"/>
      <c r="J2035" s="37"/>
    </row>
    <row r="2036" spans="1:10" x14ac:dyDescent="0.25">
      <c r="A2036" s="32" t="s">
        <v>104</v>
      </c>
      <c r="B2036" s="32">
        <f t="shared" si="489"/>
        <v>2043</v>
      </c>
      <c r="C2036" s="33" t="s">
        <v>17</v>
      </c>
      <c r="D2036" s="34" t="s">
        <v>1999</v>
      </c>
      <c r="E2036" s="35" t="str">
        <f t="shared" si="485"/>
        <v>PSND'!</v>
      </c>
      <c r="F2036" s="34" t="str">
        <f t="shared" si="486"/>
        <v>C:\Users\jaime.benazar\Quorum Business Solutions\Ecopetrol Prometeo - Documents\Planning Space Implementation\3. Analysis &amp; Design\Design\FC22\DRR Jaime\QUIFA-CAJÚA\Cajua\[CAJUA_CF_SEC_New_27-Feb-2024Rev3.xlsx]D-PSND'!</v>
      </c>
      <c r="G2036" s="32" t="s">
        <v>38</v>
      </c>
      <c r="H2036" s="33"/>
      <c r="I2036" s="33"/>
      <c r="J2036" s="37"/>
    </row>
    <row r="2037" spans="1:10" x14ac:dyDescent="0.25">
      <c r="A2037" s="32" t="s">
        <v>104</v>
      </c>
      <c r="B2037" s="32">
        <f>+B2036+1</f>
        <v>2044</v>
      </c>
      <c r="C2037" s="33" t="s">
        <v>17</v>
      </c>
      <c r="D2037" s="34" t="s">
        <v>1999</v>
      </c>
      <c r="E2037" s="35" t="str">
        <f t="shared" ref="E2037:E2052" si="490">_xlfn.CONCAT(A2037,"'!")</f>
        <v>PSND'!</v>
      </c>
      <c r="F2037" s="34" t="str">
        <f t="shared" ref="F2037:F2052" si="491">_xlfn.CONCAT(D2037:E2037)</f>
        <v>C:\Users\jaime.benazar\Quorum Business Solutions\Ecopetrol Prometeo - Documents\Planning Space Implementation\3. Analysis &amp; Design\Design\FC22\DRR Jaime\QUIFA-CAJÚA\Cajua\[CAJUA_CF_SEC_New_27-Feb-2024Rev3.xlsx]D-PSND'!</v>
      </c>
      <c r="G2037" s="32" t="s">
        <v>38</v>
      </c>
      <c r="H2037" s="33"/>
      <c r="I2037" s="33"/>
      <c r="J2037" s="37"/>
    </row>
    <row r="2038" spans="1:10" x14ac:dyDescent="0.25">
      <c r="A2038" s="32" t="s">
        <v>104</v>
      </c>
      <c r="B2038" s="32">
        <f t="shared" ref="B2038:B2052" si="492">+B2037+1</f>
        <v>2045</v>
      </c>
      <c r="C2038" s="33" t="s">
        <v>17</v>
      </c>
      <c r="D2038" s="34" t="s">
        <v>1999</v>
      </c>
      <c r="E2038" s="35" t="str">
        <f t="shared" si="490"/>
        <v>PSND'!</v>
      </c>
      <c r="F2038" s="34" t="str">
        <f t="shared" si="491"/>
        <v>C:\Users\jaime.benazar\Quorum Business Solutions\Ecopetrol Prometeo - Documents\Planning Space Implementation\3. Analysis &amp; Design\Design\FC22\DRR Jaime\QUIFA-CAJÚA\Cajua\[CAJUA_CF_SEC_New_27-Feb-2024Rev3.xlsx]D-PSND'!</v>
      </c>
      <c r="G2038" s="32" t="s">
        <v>38</v>
      </c>
      <c r="H2038" s="33"/>
      <c r="I2038" s="33"/>
      <c r="J2038" s="37"/>
    </row>
    <row r="2039" spans="1:10" x14ac:dyDescent="0.25">
      <c r="A2039" s="32" t="s">
        <v>104</v>
      </c>
      <c r="B2039" s="32">
        <f t="shared" si="492"/>
        <v>2046</v>
      </c>
      <c r="C2039" s="33" t="s">
        <v>17</v>
      </c>
      <c r="D2039" s="34" t="s">
        <v>1999</v>
      </c>
      <c r="E2039" s="35" t="str">
        <f t="shared" si="490"/>
        <v>PSND'!</v>
      </c>
      <c r="F2039" s="34" t="str">
        <f t="shared" si="491"/>
        <v>C:\Users\jaime.benazar\Quorum Business Solutions\Ecopetrol Prometeo - Documents\Planning Space Implementation\3. Analysis &amp; Design\Design\FC22\DRR Jaime\QUIFA-CAJÚA\Cajua\[CAJUA_CF_SEC_New_27-Feb-2024Rev3.xlsx]D-PSND'!</v>
      </c>
      <c r="G2039" s="32" t="s">
        <v>38</v>
      </c>
      <c r="H2039" s="33"/>
      <c r="I2039" s="33"/>
      <c r="J2039" s="37"/>
    </row>
    <row r="2040" spans="1:10" x14ac:dyDescent="0.25">
      <c r="A2040" s="32" t="s">
        <v>104</v>
      </c>
      <c r="B2040" s="32">
        <f t="shared" si="492"/>
        <v>2047</v>
      </c>
      <c r="C2040" s="33" t="s">
        <v>17</v>
      </c>
      <c r="D2040" s="34" t="s">
        <v>1999</v>
      </c>
      <c r="E2040" s="35" t="str">
        <f t="shared" si="490"/>
        <v>PSND'!</v>
      </c>
      <c r="F2040" s="34" t="str">
        <f t="shared" si="491"/>
        <v>C:\Users\jaime.benazar\Quorum Business Solutions\Ecopetrol Prometeo - Documents\Planning Space Implementation\3. Analysis &amp; Design\Design\FC22\DRR Jaime\QUIFA-CAJÚA\Cajua\[CAJUA_CF_SEC_New_27-Feb-2024Rev3.xlsx]D-PSND'!</v>
      </c>
      <c r="G2040" s="32" t="s">
        <v>38</v>
      </c>
      <c r="H2040" s="33"/>
      <c r="I2040" s="33"/>
      <c r="J2040" s="37"/>
    </row>
    <row r="2041" spans="1:10" x14ac:dyDescent="0.25">
      <c r="A2041" s="32" t="s">
        <v>104</v>
      </c>
      <c r="B2041" s="32">
        <f t="shared" si="492"/>
        <v>2048</v>
      </c>
      <c r="C2041" s="33" t="s">
        <v>17</v>
      </c>
      <c r="D2041" s="34" t="s">
        <v>1999</v>
      </c>
      <c r="E2041" s="35" t="str">
        <f t="shared" si="490"/>
        <v>PSND'!</v>
      </c>
      <c r="F2041" s="34" t="str">
        <f t="shared" si="491"/>
        <v>C:\Users\jaime.benazar\Quorum Business Solutions\Ecopetrol Prometeo - Documents\Planning Space Implementation\3. Analysis &amp; Design\Design\FC22\DRR Jaime\QUIFA-CAJÚA\Cajua\[CAJUA_CF_SEC_New_27-Feb-2024Rev3.xlsx]D-PSND'!</v>
      </c>
      <c r="G2041" s="32" t="s">
        <v>38</v>
      </c>
      <c r="H2041" s="33"/>
      <c r="I2041" s="33"/>
      <c r="J2041" s="37"/>
    </row>
    <row r="2042" spans="1:10" x14ac:dyDescent="0.25">
      <c r="A2042" s="32" t="s">
        <v>104</v>
      </c>
      <c r="B2042" s="32">
        <f t="shared" si="492"/>
        <v>2049</v>
      </c>
      <c r="C2042" s="33" t="s">
        <v>17</v>
      </c>
      <c r="D2042" s="34" t="s">
        <v>1999</v>
      </c>
      <c r="E2042" s="35" t="str">
        <f t="shared" si="490"/>
        <v>PSND'!</v>
      </c>
      <c r="F2042" s="34" t="str">
        <f t="shared" si="491"/>
        <v>C:\Users\jaime.benazar\Quorum Business Solutions\Ecopetrol Prometeo - Documents\Planning Space Implementation\3. Analysis &amp; Design\Design\FC22\DRR Jaime\QUIFA-CAJÚA\Cajua\[CAJUA_CF_SEC_New_27-Feb-2024Rev3.xlsx]D-PSND'!</v>
      </c>
      <c r="G2042" s="32" t="s">
        <v>38</v>
      </c>
      <c r="H2042" s="33"/>
      <c r="I2042" s="33"/>
      <c r="J2042" s="37"/>
    </row>
    <row r="2043" spans="1:10" x14ac:dyDescent="0.25">
      <c r="A2043" s="32" t="s">
        <v>104</v>
      </c>
      <c r="B2043" s="32">
        <f t="shared" si="492"/>
        <v>2050</v>
      </c>
      <c r="C2043" s="33" t="s">
        <v>17</v>
      </c>
      <c r="D2043" s="34" t="s">
        <v>1999</v>
      </c>
      <c r="E2043" s="35" t="str">
        <f t="shared" si="490"/>
        <v>PSND'!</v>
      </c>
      <c r="F2043" s="34" t="str">
        <f t="shared" si="491"/>
        <v>C:\Users\jaime.benazar\Quorum Business Solutions\Ecopetrol Prometeo - Documents\Planning Space Implementation\3. Analysis &amp; Design\Design\FC22\DRR Jaime\QUIFA-CAJÚA\Cajua\[CAJUA_CF_SEC_New_27-Feb-2024Rev3.xlsx]D-PSND'!</v>
      </c>
      <c r="G2043" s="32" t="s">
        <v>38</v>
      </c>
      <c r="H2043" s="33"/>
      <c r="I2043" s="33"/>
      <c r="J2043" s="37"/>
    </row>
    <row r="2044" spans="1:10" x14ac:dyDescent="0.25">
      <c r="A2044" s="32" t="s">
        <v>104</v>
      </c>
      <c r="B2044" s="32">
        <f t="shared" si="492"/>
        <v>2051</v>
      </c>
      <c r="C2044" s="33" t="s">
        <v>17</v>
      </c>
      <c r="D2044" s="34" t="s">
        <v>1999</v>
      </c>
      <c r="E2044" s="35" t="str">
        <f t="shared" si="490"/>
        <v>PSND'!</v>
      </c>
      <c r="F2044" s="34" t="str">
        <f t="shared" si="491"/>
        <v>C:\Users\jaime.benazar\Quorum Business Solutions\Ecopetrol Prometeo - Documents\Planning Space Implementation\3. Analysis &amp; Design\Design\FC22\DRR Jaime\QUIFA-CAJÚA\Cajua\[CAJUA_CF_SEC_New_27-Feb-2024Rev3.xlsx]D-PSND'!</v>
      </c>
      <c r="G2044" s="32" t="s">
        <v>38</v>
      </c>
      <c r="H2044" s="33"/>
      <c r="I2044" s="33"/>
      <c r="J2044" s="37"/>
    </row>
    <row r="2045" spans="1:10" x14ac:dyDescent="0.25">
      <c r="A2045" s="32" t="s">
        <v>104</v>
      </c>
      <c r="B2045" s="32">
        <f t="shared" si="492"/>
        <v>2052</v>
      </c>
      <c r="C2045" s="33" t="s">
        <v>17</v>
      </c>
      <c r="D2045" s="34" t="s">
        <v>1999</v>
      </c>
      <c r="E2045" s="35" t="str">
        <f t="shared" si="490"/>
        <v>PSND'!</v>
      </c>
      <c r="F2045" s="34" t="str">
        <f t="shared" si="491"/>
        <v>C:\Users\jaime.benazar\Quorum Business Solutions\Ecopetrol Prometeo - Documents\Planning Space Implementation\3. Analysis &amp; Design\Design\FC22\DRR Jaime\QUIFA-CAJÚA\Cajua\[CAJUA_CF_SEC_New_27-Feb-2024Rev3.xlsx]D-PSND'!</v>
      </c>
      <c r="G2045" s="32" t="s">
        <v>38</v>
      </c>
      <c r="H2045" s="33"/>
      <c r="I2045" s="33"/>
      <c r="J2045" s="37"/>
    </row>
    <row r="2046" spans="1:10" x14ac:dyDescent="0.25">
      <c r="A2046" s="32" t="s">
        <v>104</v>
      </c>
      <c r="B2046" s="32">
        <f t="shared" si="492"/>
        <v>2053</v>
      </c>
      <c r="C2046" s="33" t="s">
        <v>17</v>
      </c>
      <c r="D2046" s="34" t="s">
        <v>1999</v>
      </c>
      <c r="E2046" s="35" t="str">
        <f t="shared" si="490"/>
        <v>PSND'!</v>
      </c>
      <c r="F2046" s="34" t="str">
        <f t="shared" si="491"/>
        <v>C:\Users\jaime.benazar\Quorum Business Solutions\Ecopetrol Prometeo - Documents\Planning Space Implementation\3. Analysis &amp; Design\Design\FC22\DRR Jaime\QUIFA-CAJÚA\Cajua\[CAJUA_CF_SEC_New_27-Feb-2024Rev3.xlsx]D-PSND'!</v>
      </c>
      <c r="G2046" s="32" t="s">
        <v>38</v>
      </c>
      <c r="H2046" s="33"/>
      <c r="I2046" s="33"/>
      <c r="J2046" s="37"/>
    </row>
    <row r="2047" spans="1:10" x14ac:dyDescent="0.25">
      <c r="A2047" s="32" t="s">
        <v>104</v>
      </c>
      <c r="B2047" s="32">
        <f t="shared" si="492"/>
        <v>2054</v>
      </c>
      <c r="C2047" s="33" t="s">
        <v>17</v>
      </c>
      <c r="D2047" s="34" t="s">
        <v>1999</v>
      </c>
      <c r="E2047" s="35" t="str">
        <f t="shared" si="490"/>
        <v>PSND'!</v>
      </c>
      <c r="F2047" s="34" t="str">
        <f t="shared" si="491"/>
        <v>C:\Users\jaime.benazar\Quorum Business Solutions\Ecopetrol Prometeo - Documents\Planning Space Implementation\3. Analysis &amp; Design\Design\FC22\DRR Jaime\QUIFA-CAJÚA\Cajua\[CAJUA_CF_SEC_New_27-Feb-2024Rev3.xlsx]D-PSND'!</v>
      </c>
      <c r="G2047" s="32" t="s">
        <v>38</v>
      </c>
      <c r="H2047" s="33"/>
      <c r="I2047" s="33"/>
      <c r="J2047" s="37"/>
    </row>
    <row r="2048" spans="1:10" x14ac:dyDescent="0.25">
      <c r="A2048" s="32" t="s">
        <v>104</v>
      </c>
      <c r="B2048" s="32">
        <f t="shared" si="492"/>
        <v>2055</v>
      </c>
      <c r="C2048" s="33" t="s">
        <v>17</v>
      </c>
      <c r="D2048" s="34" t="s">
        <v>1999</v>
      </c>
      <c r="E2048" s="35" t="str">
        <f t="shared" si="490"/>
        <v>PSND'!</v>
      </c>
      <c r="F2048" s="34" t="str">
        <f t="shared" si="491"/>
        <v>C:\Users\jaime.benazar\Quorum Business Solutions\Ecopetrol Prometeo - Documents\Planning Space Implementation\3. Analysis &amp; Design\Design\FC22\DRR Jaime\QUIFA-CAJÚA\Cajua\[CAJUA_CF_SEC_New_27-Feb-2024Rev3.xlsx]D-PSND'!</v>
      </c>
      <c r="G2048" s="32" t="s">
        <v>38</v>
      </c>
      <c r="H2048" s="33"/>
      <c r="I2048" s="33"/>
      <c r="J2048" s="37"/>
    </row>
    <row r="2049" spans="1:10" x14ac:dyDescent="0.25">
      <c r="A2049" s="32" t="s">
        <v>104</v>
      </c>
      <c r="B2049" s="32">
        <f t="shared" si="492"/>
        <v>2056</v>
      </c>
      <c r="C2049" s="33" t="s">
        <v>17</v>
      </c>
      <c r="D2049" s="34" t="s">
        <v>1999</v>
      </c>
      <c r="E2049" s="35" t="str">
        <f t="shared" si="490"/>
        <v>PSND'!</v>
      </c>
      <c r="F2049" s="34" t="str">
        <f t="shared" si="491"/>
        <v>C:\Users\jaime.benazar\Quorum Business Solutions\Ecopetrol Prometeo - Documents\Planning Space Implementation\3. Analysis &amp; Design\Design\FC22\DRR Jaime\QUIFA-CAJÚA\Cajua\[CAJUA_CF_SEC_New_27-Feb-2024Rev3.xlsx]D-PSND'!</v>
      </c>
      <c r="G2049" s="32" t="s">
        <v>38</v>
      </c>
      <c r="H2049" s="33"/>
      <c r="I2049" s="33"/>
      <c r="J2049" s="37"/>
    </row>
    <row r="2050" spans="1:10" x14ac:dyDescent="0.25">
      <c r="A2050" s="32" t="s">
        <v>104</v>
      </c>
      <c r="B2050" s="32">
        <f t="shared" si="492"/>
        <v>2057</v>
      </c>
      <c r="C2050" s="33" t="s">
        <v>17</v>
      </c>
      <c r="D2050" s="34" t="s">
        <v>1999</v>
      </c>
      <c r="E2050" s="35" t="str">
        <f t="shared" si="490"/>
        <v>PSND'!</v>
      </c>
      <c r="F2050" s="34" t="str">
        <f t="shared" si="491"/>
        <v>C:\Users\jaime.benazar\Quorum Business Solutions\Ecopetrol Prometeo - Documents\Planning Space Implementation\3. Analysis &amp; Design\Design\FC22\DRR Jaime\QUIFA-CAJÚA\Cajua\[CAJUA_CF_SEC_New_27-Feb-2024Rev3.xlsx]D-PSND'!</v>
      </c>
      <c r="G2050" s="32" t="s">
        <v>38</v>
      </c>
      <c r="H2050" s="33"/>
      <c r="I2050" s="33"/>
      <c r="J2050" s="37"/>
    </row>
    <row r="2051" spans="1:10" x14ac:dyDescent="0.25">
      <c r="A2051" s="32" t="s">
        <v>104</v>
      </c>
      <c r="B2051" s="32">
        <f t="shared" si="492"/>
        <v>2058</v>
      </c>
      <c r="C2051" s="33" t="s">
        <v>17</v>
      </c>
      <c r="D2051" s="34" t="s">
        <v>1999</v>
      </c>
      <c r="E2051" s="35" t="str">
        <f t="shared" si="490"/>
        <v>PSND'!</v>
      </c>
      <c r="F2051" s="34" t="str">
        <f t="shared" si="491"/>
        <v>C:\Users\jaime.benazar\Quorum Business Solutions\Ecopetrol Prometeo - Documents\Planning Space Implementation\3. Analysis &amp; Design\Design\FC22\DRR Jaime\QUIFA-CAJÚA\Cajua\[CAJUA_CF_SEC_New_27-Feb-2024Rev3.xlsx]D-PSND'!</v>
      </c>
      <c r="G2051" s="32" t="s">
        <v>38</v>
      </c>
      <c r="H2051" s="33"/>
      <c r="I2051" s="33"/>
      <c r="J2051" s="37"/>
    </row>
    <row r="2052" spans="1:10" x14ac:dyDescent="0.25">
      <c r="A2052" s="32" t="s">
        <v>104</v>
      </c>
      <c r="B2052" s="32">
        <f t="shared" si="492"/>
        <v>2059</v>
      </c>
      <c r="C2052" s="33" t="s">
        <v>17</v>
      </c>
      <c r="D2052" s="34" t="s">
        <v>1999</v>
      </c>
      <c r="E2052" s="35" t="str">
        <f t="shared" si="490"/>
        <v>PSND'!</v>
      </c>
      <c r="F2052" s="34" t="str">
        <f t="shared" si="491"/>
        <v>C:\Users\jaime.benazar\Quorum Business Solutions\Ecopetrol Prometeo - Documents\Planning Space Implementation\3. Analysis &amp; Design\Design\FC22\DRR Jaime\QUIFA-CAJÚA\Cajua\[CAJUA_CF_SEC_New_27-Feb-2024Rev3.xlsx]D-PSND'!</v>
      </c>
      <c r="G2052" s="32" t="s">
        <v>38</v>
      </c>
      <c r="H2052" s="33"/>
      <c r="I2052" s="33"/>
      <c r="J2052" s="37"/>
    </row>
    <row r="2053" spans="1:10" x14ac:dyDescent="0.25">
      <c r="A2053" s="32" t="s">
        <v>28</v>
      </c>
      <c r="B2053" s="32"/>
      <c r="C2053" s="33" t="s">
        <v>17</v>
      </c>
      <c r="D2053" s="34"/>
      <c r="E2053" s="35"/>
      <c r="F2053" s="34"/>
      <c r="G2053" s="32"/>
      <c r="H2053" s="33"/>
      <c r="I2053" s="33"/>
      <c r="J2053" s="33"/>
    </row>
    <row r="2054" spans="1:10" x14ac:dyDescent="0.25">
      <c r="A2054" s="32" t="s">
        <v>34</v>
      </c>
      <c r="B2054" s="32">
        <v>2023</v>
      </c>
      <c r="C2054" s="33" t="s">
        <v>17</v>
      </c>
      <c r="D2054" s="34" t="s">
        <v>1999</v>
      </c>
      <c r="E2054" s="35" t="str">
        <f t="shared" si="428"/>
        <v>PS'!</v>
      </c>
      <c r="F2054" s="34" t="str">
        <f t="shared" si="429"/>
        <v>C:\Users\jaime.benazar\Quorum Business Solutions\Ecopetrol Prometeo - Documents\Planning Space Implementation\3. Analysis &amp; Design\Design\FC22\DRR Jaime\QUIFA-CAJÚA\Cajua\[CAJUA_CF_SEC_New_27-Feb-2024Rev3.xlsx]D-PS'!</v>
      </c>
      <c r="G2054" s="32" t="s">
        <v>38</v>
      </c>
      <c r="H2054" s="33">
        <v>12</v>
      </c>
      <c r="I2054" s="33" t="str">
        <f t="shared" ref="I2054:I2074" si="493">_xlfn.CONCAT("='",F2054:H2054)</f>
        <v>='C:\Users\jaime.benazar\Quorum Business Solutions\Ecopetrol Prometeo - Documents\Planning Space Implementation\3. Analysis &amp; Design\Design\FC22\DRR Jaime\QUIFA-CAJÚA\Cajua\[CAJUA_CF_SEC_New_27-Feb-2024Rev3.xlsx]D-PS'!$BX$12</v>
      </c>
      <c r="J2054" s="37" t="s">
        <v>2888</v>
      </c>
    </row>
    <row r="2055" spans="1:10" x14ac:dyDescent="0.25">
      <c r="A2055" s="32" t="s">
        <v>34</v>
      </c>
      <c r="B2055" s="32">
        <f>+B2054+1</f>
        <v>2024</v>
      </c>
      <c r="C2055" s="33" t="s">
        <v>17</v>
      </c>
      <c r="D2055" s="34" t="s">
        <v>1999</v>
      </c>
      <c r="E2055" s="35" t="str">
        <f t="shared" si="428"/>
        <v>PS'!</v>
      </c>
      <c r="F2055" s="34" t="str">
        <f t="shared" si="429"/>
        <v>C:\Users\jaime.benazar\Quorum Business Solutions\Ecopetrol Prometeo - Documents\Planning Space Implementation\3. Analysis &amp; Design\Design\FC22\DRR Jaime\QUIFA-CAJÚA\Cajua\[CAJUA_CF_SEC_New_27-Feb-2024Rev3.xlsx]D-PS'!</v>
      </c>
      <c r="G2055" s="32" t="s">
        <v>38</v>
      </c>
      <c r="H2055" s="33">
        <f t="shared" ref="H2055:H2074" si="494">IF(A2055&lt;&gt;A2054,12,H2054+1)</f>
        <v>13</v>
      </c>
      <c r="I2055" s="33" t="str">
        <f t="shared" si="493"/>
        <v>='C:\Users\jaime.benazar\Quorum Business Solutions\Ecopetrol Prometeo - Documents\Planning Space Implementation\3. Analysis &amp; Design\Design\FC22\DRR Jaime\QUIFA-CAJÚA\Cajua\[CAJUA_CF_SEC_New_27-Feb-2024Rev3.xlsx]D-PS'!$BX$13</v>
      </c>
      <c r="J2055" s="37" t="s">
        <v>2889</v>
      </c>
    </row>
    <row r="2056" spans="1:10" x14ac:dyDescent="0.25">
      <c r="A2056" s="32" t="s">
        <v>34</v>
      </c>
      <c r="B2056" s="32">
        <f t="shared" ref="B2056:B2067" si="495">+B2055+1</f>
        <v>2025</v>
      </c>
      <c r="C2056" s="33" t="s">
        <v>17</v>
      </c>
      <c r="D2056" s="34" t="s">
        <v>1999</v>
      </c>
      <c r="E2056" s="35" t="str">
        <f t="shared" si="428"/>
        <v>PS'!</v>
      </c>
      <c r="F2056" s="34" t="str">
        <f t="shared" si="429"/>
        <v>C:\Users\jaime.benazar\Quorum Business Solutions\Ecopetrol Prometeo - Documents\Planning Space Implementation\3. Analysis &amp; Design\Design\FC22\DRR Jaime\QUIFA-CAJÚA\Cajua\[CAJUA_CF_SEC_New_27-Feb-2024Rev3.xlsx]D-PS'!</v>
      </c>
      <c r="G2056" s="32" t="s">
        <v>38</v>
      </c>
      <c r="H2056" s="33">
        <f t="shared" si="494"/>
        <v>14</v>
      </c>
      <c r="I2056" s="33" t="str">
        <f t="shared" si="493"/>
        <v>='C:\Users\jaime.benazar\Quorum Business Solutions\Ecopetrol Prometeo - Documents\Planning Space Implementation\3. Analysis &amp; Design\Design\FC22\DRR Jaime\QUIFA-CAJÚA\Cajua\[CAJUA_CF_SEC_New_27-Feb-2024Rev3.xlsx]D-PS'!$BX$14</v>
      </c>
      <c r="J2056" s="37" t="s">
        <v>2890</v>
      </c>
    </row>
    <row r="2057" spans="1:10" x14ac:dyDescent="0.25">
      <c r="A2057" s="32" t="s">
        <v>34</v>
      </c>
      <c r="B2057" s="32">
        <f t="shared" si="495"/>
        <v>2026</v>
      </c>
      <c r="C2057" s="33" t="s">
        <v>17</v>
      </c>
      <c r="D2057" s="34" t="s">
        <v>1999</v>
      </c>
      <c r="E2057" s="35" t="str">
        <f t="shared" si="428"/>
        <v>PS'!</v>
      </c>
      <c r="F2057" s="34" t="str">
        <f t="shared" si="429"/>
        <v>C:\Users\jaime.benazar\Quorum Business Solutions\Ecopetrol Prometeo - Documents\Planning Space Implementation\3. Analysis &amp; Design\Design\FC22\DRR Jaime\QUIFA-CAJÚA\Cajua\[CAJUA_CF_SEC_New_27-Feb-2024Rev3.xlsx]D-PS'!</v>
      </c>
      <c r="G2057" s="32" t="s">
        <v>38</v>
      </c>
      <c r="H2057" s="33">
        <f t="shared" si="494"/>
        <v>15</v>
      </c>
      <c r="I2057" s="33" t="str">
        <f t="shared" si="493"/>
        <v>='C:\Users\jaime.benazar\Quorum Business Solutions\Ecopetrol Prometeo - Documents\Planning Space Implementation\3. Analysis &amp; Design\Design\FC22\DRR Jaime\QUIFA-CAJÚA\Cajua\[CAJUA_CF_SEC_New_27-Feb-2024Rev3.xlsx]D-PS'!$BX$15</v>
      </c>
      <c r="J2057" s="37" t="s">
        <v>2891</v>
      </c>
    </row>
    <row r="2058" spans="1:10" x14ac:dyDescent="0.25">
      <c r="A2058" s="32" t="s">
        <v>34</v>
      </c>
      <c r="B2058" s="32">
        <f t="shared" si="495"/>
        <v>2027</v>
      </c>
      <c r="C2058" s="33" t="s">
        <v>17</v>
      </c>
      <c r="D2058" s="34" t="s">
        <v>1999</v>
      </c>
      <c r="E2058" s="35" t="str">
        <f t="shared" si="428"/>
        <v>PS'!</v>
      </c>
      <c r="F2058" s="34" t="str">
        <f t="shared" si="429"/>
        <v>C:\Users\jaime.benazar\Quorum Business Solutions\Ecopetrol Prometeo - Documents\Planning Space Implementation\3. Analysis &amp; Design\Design\FC22\DRR Jaime\QUIFA-CAJÚA\Cajua\[CAJUA_CF_SEC_New_27-Feb-2024Rev3.xlsx]D-PS'!</v>
      </c>
      <c r="G2058" s="32" t="s">
        <v>38</v>
      </c>
      <c r="H2058" s="33">
        <f t="shared" si="494"/>
        <v>16</v>
      </c>
      <c r="I2058" s="33" t="str">
        <f t="shared" si="493"/>
        <v>='C:\Users\jaime.benazar\Quorum Business Solutions\Ecopetrol Prometeo - Documents\Planning Space Implementation\3. Analysis &amp; Design\Design\FC22\DRR Jaime\QUIFA-CAJÚA\Cajua\[CAJUA_CF_SEC_New_27-Feb-2024Rev3.xlsx]D-PS'!$BX$16</v>
      </c>
      <c r="J2058" s="37" t="s">
        <v>2892</v>
      </c>
    </row>
    <row r="2059" spans="1:10" x14ac:dyDescent="0.25">
      <c r="A2059" s="32" t="s">
        <v>34</v>
      </c>
      <c r="B2059" s="32">
        <f t="shared" si="495"/>
        <v>2028</v>
      </c>
      <c r="C2059" s="33" t="s">
        <v>17</v>
      </c>
      <c r="D2059" s="34" t="s">
        <v>1999</v>
      </c>
      <c r="E2059" s="35" t="str">
        <f t="shared" si="428"/>
        <v>PS'!</v>
      </c>
      <c r="F2059" s="34" t="str">
        <f t="shared" si="429"/>
        <v>C:\Users\jaime.benazar\Quorum Business Solutions\Ecopetrol Prometeo - Documents\Planning Space Implementation\3. Analysis &amp; Design\Design\FC22\DRR Jaime\QUIFA-CAJÚA\Cajua\[CAJUA_CF_SEC_New_27-Feb-2024Rev3.xlsx]D-PS'!</v>
      </c>
      <c r="G2059" s="32" t="s">
        <v>38</v>
      </c>
      <c r="H2059" s="33">
        <f t="shared" si="494"/>
        <v>17</v>
      </c>
      <c r="I2059" s="33" t="str">
        <f t="shared" si="493"/>
        <v>='C:\Users\jaime.benazar\Quorum Business Solutions\Ecopetrol Prometeo - Documents\Planning Space Implementation\3. Analysis &amp; Design\Design\FC22\DRR Jaime\QUIFA-CAJÚA\Cajua\[CAJUA_CF_SEC_New_27-Feb-2024Rev3.xlsx]D-PS'!$BX$17</v>
      </c>
      <c r="J2059" s="37" t="s">
        <v>2893</v>
      </c>
    </row>
    <row r="2060" spans="1:10" x14ac:dyDescent="0.25">
      <c r="A2060" s="32" t="s">
        <v>34</v>
      </c>
      <c r="B2060" s="32">
        <f t="shared" si="495"/>
        <v>2029</v>
      </c>
      <c r="C2060" s="33" t="s">
        <v>17</v>
      </c>
      <c r="D2060" s="34" t="s">
        <v>1999</v>
      </c>
      <c r="E2060" s="35" t="str">
        <f t="shared" si="428"/>
        <v>PS'!</v>
      </c>
      <c r="F2060" s="34" t="str">
        <f t="shared" si="429"/>
        <v>C:\Users\jaime.benazar\Quorum Business Solutions\Ecopetrol Prometeo - Documents\Planning Space Implementation\3. Analysis &amp; Design\Design\FC22\DRR Jaime\QUIFA-CAJÚA\Cajua\[CAJUA_CF_SEC_New_27-Feb-2024Rev3.xlsx]D-PS'!</v>
      </c>
      <c r="G2060" s="32" t="s">
        <v>38</v>
      </c>
      <c r="H2060" s="33">
        <f t="shared" si="494"/>
        <v>18</v>
      </c>
      <c r="I2060" s="33" t="str">
        <f t="shared" si="493"/>
        <v>='C:\Users\jaime.benazar\Quorum Business Solutions\Ecopetrol Prometeo - Documents\Planning Space Implementation\3. Analysis &amp; Design\Design\FC22\DRR Jaime\QUIFA-CAJÚA\Cajua\[CAJUA_CF_SEC_New_27-Feb-2024Rev3.xlsx]D-PS'!$BX$18</v>
      </c>
      <c r="J2060" s="37" t="s">
        <v>2894</v>
      </c>
    </row>
    <row r="2061" spans="1:10" x14ac:dyDescent="0.25">
      <c r="A2061" s="32" t="s">
        <v>34</v>
      </c>
      <c r="B2061" s="32">
        <f t="shared" si="495"/>
        <v>2030</v>
      </c>
      <c r="C2061" s="33" t="s">
        <v>17</v>
      </c>
      <c r="D2061" s="34" t="s">
        <v>1999</v>
      </c>
      <c r="E2061" s="35" t="str">
        <f t="shared" si="428"/>
        <v>PS'!</v>
      </c>
      <c r="F2061" s="34" t="str">
        <f t="shared" si="429"/>
        <v>C:\Users\jaime.benazar\Quorum Business Solutions\Ecopetrol Prometeo - Documents\Planning Space Implementation\3. Analysis &amp; Design\Design\FC22\DRR Jaime\QUIFA-CAJÚA\Cajua\[CAJUA_CF_SEC_New_27-Feb-2024Rev3.xlsx]D-PS'!</v>
      </c>
      <c r="G2061" s="32" t="s">
        <v>38</v>
      </c>
      <c r="H2061" s="33">
        <f t="shared" si="494"/>
        <v>19</v>
      </c>
      <c r="I2061" s="33" t="str">
        <f t="shared" si="493"/>
        <v>='C:\Users\jaime.benazar\Quorum Business Solutions\Ecopetrol Prometeo - Documents\Planning Space Implementation\3. Analysis &amp; Design\Design\FC22\DRR Jaime\QUIFA-CAJÚA\Cajua\[CAJUA_CF_SEC_New_27-Feb-2024Rev3.xlsx]D-PS'!$BX$19</v>
      </c>
      <c r="J2061" s="37" t="s">
        <v>2895</v>
      </c>
    </row>
    <row r="2062" spans="1:10" x14ac:dyDescent="0.25">
      <c r="A2062" s="32" t="s">
        <v>34</v>
      </c>
      <c r="B2062" s="32">
        <f t="shared" si="495"/>
        <v>2031</v>
      </c>
      <c r="C2062" s="33" t="s">
        <v>17</v>
      </c>
      <c r="D2062" s="34" t="s">
        <v>1999</v>
      </c>
      <c r="E2062" s="35" t="str">
        <f t="shared" si="428"/>
        <v>PS'!</v>
      </c>
      <c r="F2062" s="34" t="str">
        <f t="shared" si="429"/>
        <v>C:\Users\jaime.benazar\Quorum Business Solutions\Ecopetrol Prometeo - Documents\Planning Space Implementation\3. Analysis &amp; Design\Design\FC22\DRR Jaime\QUIFA-CAJÚA\Cajua\[CAJUA_CF_SEC_New_27-Feb-2024Rev3.xlsx]D-PS'!</v>
      </c>
      <c r="G2062" s="32" t="s">
        <v>38</v>
      </c>
      <c r="H2062" s="33">
        <f t="shared" si="494"/>
        <v>20</v>
      </c>
      <c r="I2062" s="33" t="str">
        <f t="shared" si="493"/>
        <v>='C:\Users\jaime.benazar\Quorum Business Solutions\Ecopetrol Prometeo - Documents\Planning Space Implementation\3. Analysis &amp; Design\Design\FC22\DRR Jaime\QUIFA-CAJÚA\Cajua\[CAJUA_CF_SEC_New_27-Feb-2024Rev3.xlsx]D-PS'!$BX$20</v>
      </c>
      <c r="J2062" s="37" t="s">
        <v>2896</v>
      </c>
    </row>
    <row r="2063" spans="1:10" x14ac:dyDescent="0.25">
      <c r="A2063" s="32" t="s">
        <v>34</v>
      </c>
      <c r="B2063" s="32">
        <f t="shared" si="495"/>
        <v>2032</v>
      </c>
      <c r="C2063" s="33" t="s">
        <v>17</v>
      </c>
      <c r="D2063" s="34" t="s">
        <v>1999</v>
      </c>
      <c r="E2063" s="35" t="str">
        <f t="shared" si="428"/>
        <v>PS'!</v>
      </c>
      <c r="F2063" s="34" t="str">
        <f t="shared" si="429"/>
        <v>C:\Users\jaime.benazar\Quorum Business Solutions\Ecopetrol Prometeo - Documents\Planning Space Implementation\3. Analysis &amp; Design\Design\FC22\DRR Jaime\QUIFA-CAJÚA\Cajua\[CAJUA_CF_SEC_New_27-Feb-2024Rev3.xlsx]D-PS'!</v>
      </c>
      <c r="G2063" s="32" t="s">
        <v>38</v>
      </c>
      <c r="H2063" s="33">
        <f t="shared" si="494"/>
        <v>21</v>
      </c>
      <c r="I2063" s="33" t="str">
        <f t="shared" si="493"/>
        <v>='C:\Users\jaime.benazar\Quorum Business Solutions\Ecopetrol Prometeo - Documents\Planning Space Implementation\3. Analysis &amp; Design\Design\FC22\DRR Jaime\QUIFA-CAJÚA\Cajua\[CAJUA_CF_SEC_New_27-Feb-2024Rev3.xlsx]D-PS'!$BX$21</v>
      </c>
      <c r="J2063" s="37" t="s">
        <v>2897</v>
      </c>
    </row>
    <row r="2064" spans="1:10" x14ac:dyDescent="0.25">
      <c r="A2064" s="32" t="s">
        <v>34</v>
      </c>
      <c r="B2064" s="32">
        <f t="shared" si="495"/>
        <v>2033</v>
      </c>
      <c r="C2064" s="33" t="s">
        <v>17</v>
      </c>
      <c r="D2064" s="34" t="s">
        <v>1999</v>
      </c>
      <c r="E2064" s="35" t="str">
        <f t="shared" si="428"/>
        <v>PS'!</v>
      </c>
      <c r="F2064" s="34" t="str">
        <f t="shared" si="429"/>
        <v>C:\Users\jaime.benazar\Quorum Business Solutions\Ecopetrol Prometeo - Documents\Planning Space Implementation\3. Analysis &amp; Design\Design\FC22\DRR Jaime\QUIFA-CAJÚA\Cajua\[CAJUA_CF_SEC_New_27-Feb-2024Rev3.xlsx]D-PS'!</v>
      </c>
      <c r="G2064" s="32" t="s">
        <v>38</v>
      </c>
      <c r="H2064" s="33">
        <f t="shared" si="494"/>
        <v>22</v>
      </c>
      <c r="I2064" s="33" t="str">
        <f t="shared" si="493"/>
        <v>='C:\Users\jaime.benazar\Quorum Business Solutions\Ecopetrol Prometeo - Documents\Planning Space Implementation\3. Analysis &amp; Design\Design\FC22\DRR Jaime\QUIFA-CAJÚA\Cajua\[CAJUA_CF_SEC_New_27-Feb-2024Rev3.xlsx]D-PS'!$BX$22</v>
      </c>
      <c r="J2064" s="37" t="s">
        <v>2898</v>
      </c>
    </row>
    <row r="2065" spans="1:10" x14ac:dyDescent="0.25">
      <c r="A2065" s="32" t="s">
        <v>34</v>
      </c>
      <c r="B2065" s="32">
        <f t="shared" si="495"/>
        <v>2034</v>
      </c>
      <c r="C2065" s="33" t="s">
        <v>17</v>
      </c>
      <c r="D2065" s="34" t="s">
        <v>1999</v>
      </c>
      <c r="E2065" s="35" t="str">
        <f t="shared" si="428"/>
        <v>PS'!</v>
      </c>
      <c r="F2065" s="34" t="str">
        <f t="shared" si="429"/>
        <v>C:\Users\jaime.benazar\Quorum Business Solutions\Ecopetrol Prometeo - Documents\Planning Space Implementation\3. Analysis &amp; Design\Design\FC22\DRR Jaime\QUIFA-CAJÚA\Cajua\[CAJUA_CF_SEC_New_27-Feb-2024Rev3.xlsx]D-PS'!</v>
      </c>
      <c r="G2065" s="32" t="s">
        <v>38</v>
      </c>
      <c r="H2065" s="33">
        <f t="shared" si="494"/>
        <v>23</v>
      </c>
      <c r="I2065" s="33" t="str">
        <f t="shared" si="493"/>
        <v>='C:\Users\jaime.benazar\Quorum Business Solutions\Ecopetrol Prometeo - Documents\Planning Space Implementation\3. Analysis &amp; Design\Design\FC22\DRR Jaime\QUIFA-CAJÚA\Cajua\[CAJUA_CF_SEC_New_27-Feb-2024Rev3.xlsx]D-PS'!$BX$23</v>
      </c>
      <c r="J2065" s="37" t="s">
        <v>2899</v>
      </c>
    </row>
    <row r="2066" spans="1:10" x14ac:dyDescent="0.25">
      <c r="A2066" s="32" t="s">
        <v>34</v>
      </c>
      <c r="B2066" s="32">
        <f t="shared" si="495"/>
        <v>2035</v>
      </c>
      <c r="C2066" s="33" t="s">
        <v>17</v>
      </c>
      <c r="D2066" s="34" t="s">
        <v>1999</v>
      </c>
      <c r="E2066" s="35" t="str">
        <f t="shared" si="428"/>
        <v>PS'!</v>
      </c>
      <c r="F2066" s="34" t="str">
        <f t="shared" si="429"/>
        <v>C:\Users\jaime.benazar\Quorum Business Solutions\Ecopetrol Prometeo - Documents\Planning Space Implementation\3. Analysis &amp; Design\Design\FC22\DRR Jaime\QUIFA-CAJÚA\Cajua\[CAJUA_CF_SEC_New_27-Feb-2024Rev3.xlsx]D-PS'!</v>
      </c>
      <c r="G2066" s="32" t="s">
        <v>38</v>
      </c>
      <c r="H2066" s="33">
        <f t="shared" si="494"/>
        <v>24</v>
      </c>
      <c r="I2066" s="33" t="str">
        <f t="shared" si="493"/>
        <v>='C:\Users\jaime.benazar\Quorum Business Solutions\Ecopetrol Prometeo - Documents\Planning Space Implementation\3. Analysis &amp; Design\Design\FC22\DRR Jaime\QUIFA-CAJÚA\Cajua\[CAJUA_CF_SEC_New_27-Feb-2024Rev3.xlsx]D-PS'!$BX$24</v>
      </c>
      <c r="J2066" s="37" t="s">
        <v>2900</v>
      </c>
    </row>
    <row r="2067" spans="1:10" x14ac:dyDescent="0.25">
      <c r="A2067" s="32" t="s">
        <v>34</v>
      </c>
      <c r="B2067" s="32">
        <f t="shared" si="495"/>
        <v>2036</v>
      </c>
      <c r="C2067" s="33" t="s">
        <v>17</v>
      </c>
      <c r="D2067" s="34" t="s">
        <v>1999</v>
      </c>
      <c r="E2067" s="35" t="str">
        <f t="shared" si="428"/>
        <v>PS'!</v>
      </c>
      <c r="F2067" s="34" t="str">
        <f t="shared" si="429"/>
        <v>C:\Users\jaime.benazar\Quorum Business Solutions\Ecopetrol Prometeo - Documents\Planning Space Implementation\3. Analysis &amp; Design\Design\FC22\DRR Jaime\QUIFA-CAJÚA\Cajua\[CAJUA_CF_SEC_New_27-Feb-2024Rev3.xlsx]D-PS'!</v>
      </c>
      <c r="G2067" s="32" t="s">
        <v>38</v>
      </c>
      <c r="H2067" s="33">
        <f t="shared" si="494"/>
        <v>25</v>
      </c>
      <c r="I2067" s="33" t="str">
        <f t="shared" si="493"/>
        <v>='C:\Users\jaime.benazar\Quorum Business Solutions\Ecopetrol Prometeo - Documents\Planning Space Implementation\3. Analysis &amp; Design\Design\FC22\DRR Jaime\QUIFA-CAJÚA\Cajua\[CAJUA_CF_SEC_New_27-Feb-2024Rev3.xlsx]D-PS'!$BX$25</v>
      </c>
      <c r="J2067" s="37" t="s">
        <v>2901</v>
      </c>
    </row>
    <row r="2068" spans="1:10" x14ac:dyDescent="0.25">
      <c r="A2068" s="32" t="s">
        <v>34</v>
      </c>
      <c r="B2068" s="32">
        <f>+B2067+1</f>
        <v>2037</v>
      </c>
      <c r="C2068" s="33" t="s">
        <v>17</v>
      </c>
      <c r="D2068" s="34" t="s">
        <v>1999</v>
      </c>
      <c r="E2068" s="35" t="str">
        <f t="shared" si="428"/>
        <v>PS'!</v>
      </c>
      <c r="F2068" s="34" t="str">
        <f t="shared" si="429"/>
        <v>C:\Users\jaime.benazar\Quorum Business Solutions\Ecopetrol Prometeo - Documents\Planning Space Implementation\3. Analysis &amp; Design\Design\FC22\DRR Jaime\QUIFA-CAJÚA\Cajua\[CAJUA_CF_SEC_New_27-Feb-2024Rev3.xlsx]D-PS'!</v>
      </c>
      <c r="G2068" s="32" t="s">
        <v>38</v>
      </c>
      <c r="H2068" s="33">
        <f t="shared" si="494"/>
        <v>26</v>
      </c>
      <c r="I2068" s="33" t="str">
        <f t="shared" si="493"/>
        <v>='C:\Users\jaime.benazar\Quorum Business Solutions\Ecopetrol Prometeo - Documents\Planning Space Implementation\3. Analysis &amp; Design\Design\FC22\DRR Jaime\QUIFA-CAJÚA\Cajua\[CAJUA_CF_SEC_New_27-Feb-2024Rev3.xlsx]D-PS'!$BX$26</v>
      </c>
      <c r="J2068" s="37" t="s">
        <v>2902</v>
      </c>
    </row>
    <row r="2069" spans="1:10" x14ac:dyDescent="0.25">
      <c r="A2069" s="32" t="s">
        <v>34</v>
      </c>
      <c r="B2069" s="32">
        <f t="shared" ref="B2069:B2071" si="496">+B2068+1</f>
        <v>2038</v>
      </c>
      <c r="C2069" s="33" t="s">
        <v>17</v>
      </c>
      <c r="D2069" s="34" t="s">
        <v>1999</v>
      </c>
      <c r="E2069" s="35" t="str">
        <f t="shared" si="428"/>
        <v>PS'!</v>
      </c>
      <c r="F2069" s="34" t="str">
        <f t="shared" si="429"/>
        <v>C:\Users\jaime.benazar\Quorum Business Solutions\Ecopetrol Prometeo - Documents\Planning Space Implementation\3. Analysis &amp; Design\Design\FC22\DRR Jaime\QUIFA-CAJÚA\Cajua\[CAJUA_CF_SEC_New_27-Feb-2024Rev3.xlsx]D-PS'!</v>
      </c>
      <c r="G2069" s="32" t="s">
        <v>38</v>
      </c>
      <c r="H2069" s="33">
        <f t="shared" si="494"/>
        <v>27</v>
      </c>
      <c r="I2069" s="33" t="str">
        <f t="shared" si="493"/>
        <v>='C:\Users\jaime.benazar\Quorum Business Solutions\Ecopetrol Prometeo - Documents\Planning Space Implementation\3. Analysis &amp; Design\Design\FC22\DRR Jaime\QUIFA-CAJÚA\Cajua\[CAJUA_CF_SEC_New_27-Feb-2024Rev3.xlsx]D-PS'!$BX$27</v>
      </c>
      <c r="J2069" s="37" t="s">
        <v>2903</v>
      </c>
    </row>
    <row r="2070" spans="1:10" x14ac:dyDescent="0.25">
      <c r="A2070" s="32" t="s">
        <v>34</v>
      </c>
      <c r="B2070" s="32">
        <f t="shared" si="496"/>
        <v>2039</v>
      </c>
      <c r="C2070" s="33" t="s">
        <v>17</v>
      </c>
      <c r="D2070" s="34" t="s">
        <v>1999</v>
      </c>
      <c r="E2070" s="35" t="str">
        <f t="shared" si="428"/>
        <v>PS'!</v>
      </c>
      <c r="F2070" s="34" t="str">
        <f t="shared" si="429"/>
        <v>C:\Users\jaime.benazar\Quorum Business Solutions\Ecopetrol Prometeo - Documents\Planning Space Implementation\3. Analysis &amp; Design\Design\FC22\DRR Jaime\QUIFA-CAJÚA\Cajua\[CAJUA_CF_SEC_New_27-Feb-2024Rev3.xlsx]D-PS'!</v>
      </c>
      <c r="G2070" s="32" t="s">
        <v>38</v>
      </c>
      <c r="H2070" s="33">
        <f t="shared" si="494"/>
        <v>28</v>
      </c>
      <c r="I2070" s="33" t="str">
        <f t="shared" si="493"/>
        <v>='C:\Users\jaime.benazar\Quorum Business Solutions\Ecopetrol Prometeo - Documents\Planning Space Implementation\3. Analysis &amp; Design\Design\FC22\DRR Jaime\QUIFA-CAJÚA\Cajua\[CAJUA_CF_SEC_New_27-Feb-2024Rev3.xlsx]D-PS'!$BX$28</v>
      </c>
      <c r="J2070" s="37" t="s">
        <v>2904</v>
      </c>
    </row>
    <row r="2071" spans="1:10" x14ac:dyDescent="0.25">
      <c r="A2071" s="32" t="s">
        <v>34</v>
      </c>
      <c r="B2071" s="32">
        <f t="shared" si="496"/>
        <v>2040</v>
      </c>
      <c r="C2071" s="33" t="s">
        <v>17</v>
      </c>
      <c r="D2071" s="34" t="s">
        <v>1999</v>
      </c>
      <c r="E2071" s="35" t="str">
        <f t="shared" si="428"/>
        <v>PS'!</v>
      </c>
      <c r="F2071" s="34" t="str">
        <f t="shared" si="429"/>
        <v>C:\Users\jaime.benazar\Quorum Business Solutions\Ecopetrol Prometeo - Documents\Planning Space Implementation\3. Analysis &amp; Design\Design\FC22\DRR Jaime\QUIFA-CAJÚA\Cajua\[CAJUA_CF_SEC_New_27-Feb-2024Rev3.xlsx]D-PS'!</v>
      </c>
      <c r="G2071" s="32" t="s">
        <v>38</v>
      </c>
      <c r="H2071" s="33">
        <f t="shared" si="494"/>
        <v>29</v>
      </c>
      <c r="I2071" s="33" t="str">
        <f t="shared" si="493"/>
        <v>='C:\Users\jaime.benazar\Quorum Business Solutions\Ecopetrol Prometeo - Documents\Planning Space Implementation\3. Analysis &amp; Design\Design\FC22\DRR Jaime\QUIFA-CAJÚA\Cajua\[CAJUA_CF_SEC_New_27-Feb-2024Rev3.xlsx]D-PS'!$BX$29</v>
      </c>
      <c r="J2071" s="37" t="s">
        <v>2905</v>
      </c>
    </row>
    <row r="2072" spans="1:10" x14ac:dyDescent="0.25">
      <c r="A2072" s="32" t="s">
        <v>34</v>
      </c>
      <c r="B2072" s="32">
        <f>+B2071+1</f>
        <v>2041</v>
      </c>
      <c r="C2072" s="33" t="s">
        <v>17</v>
      </c>
      <c r="D2072" s="34" t="s">
        <v>1999</v>
      </c>
      <c r="E2072" s="35" t="str">
        <f t="shared" si="428"/>
        <v>PS'!</v>
      </c>
      <c r="F2072" s="34" t="str">
        <f t="shared" si="429"/>
        <v>C:\Users\jaime.benazar\Quorum Business Solutions\Ecopetrol Prometeo - Documents\Planning Space Implementation\3. Analysis &amp; Design\Design\FC22\DRR Jaime\QUIFA-CAJÚA\Cajua\[CAJUA_CF_SEC_New_27-Feb-2024Rev3.xlsx]D-PS'!</v>
      </c>
      <c r="G2072" s="32" t="s">
        <v>38</v>
      </c>
      <c r="H2072" s="33">
        <f t="shared" si="494"/>
        <v>30</v>
      </c>
      <c r="I2072" s="33" t="str">
        <f t="shared" si="493"/>
        <v>='C:\Users\jaime.benazar\Quorum Business Solutions\Ecopetrol Prometeo - Documents\Planning Space Implementation\3. Analysis &amp; Design\Design\FC22\DRR Jaime\QUIFA-CAJÚA\Cajua\[CAJUA_CF_SEC_New_27-Feb-2024Rev3.xlsx]D-PS'!$BX$30</v>
      </c>
      <c r="J2072" s="37" t="s">
        <v>2906</v>
      </c>
    </row>
    <row r="2073" spans="1:10" x14ac:dyDescent="0.25">
      <c r="A2073" s="32" t="s">
        <v>34</v>
      </c>
      <c r="B2073" s="32">
        <f t="shared" ref="B2073:B2074" si="497">+B2072+1</f>
        <v>2042</v>
      </c>
      <c r="C2073" s="33" t="s">
        <v>17</v>
      </c>
      <c r="D2073" s="34" t="s">
        <v>1999</v>
      </c>
      <c r="E2073" s="35" t="str">
        <f t="shared" si="428"/>
        <v>PS'!</v>
      </c>
      <c r="F2073" s="34" t="str">
        <f t="shared" si="429"/>
        <v>C:\Users\jaime.benazar\Quorum Business Solutions\Ecopetrol Prometeo - Documents\Planning Space Implementation\3. Analysis &amp; Design\Design\FC22\DRR Jaime\QUIFA-CAJÚA\Cajua\[CAJUA_CF_SEC_New_27-Feb-2024Rev3.xlsx]D-PS'!</v>
      </c>
      <c r="G2073" s="32" t="s">
        <v>38</v>
      </c>
      <c r="H2073" s="33">
        <f t="shared" si="494"/>
        <v>31</v>
      </c>
      <c r="I2073" s="33" t="str">
        <f t="shared" si="493"/>
        <v>='C:\Users\jaime.benazar\Quorum Business Solutions\Ecopetrol Prometeo - Documents\Planning Space Implementation\3. Analysis &amp; Design\Design\FC22\DRR Jaime\QUIFA-CAJÚA\Cajua\[CAJUA_CF_SEC_New_27-Feb-2024Rev3.xlsx]D-PS'!$BX$31</v>
      </c>
      <c r="J2073" s="37" t="s">
        <v>2907</v>
      </c>
    </row>
    <row r="2074" spans="1:10" x14ac:dyDescent="0.25">
      <c r="A2074" s="32" t="s">
        <v>34</v>
      </c>
      <c r="B2074" s="32">
        <f t="shared" si="497"/>
        <v>2043</v>
      </c>
      <c r="C2074" s="33" t="s">
        <v>17</v>
      </c>
      <c r="D2074" s="34" t="s">
        <v>1999</v>
      </c>
      <c r="E2074" s="35" t="str">
        <f t="shared" si="428"/>
        <v>PS'!</v>
      </c>
      <c r="F2074" s="34" t="str">
        <f t="shared" si="429"/>
        <v>C:\Users\jaime.benazar\Quorum Business Solutions\Ecopetrol Prometeo - Documents\Planning Space Implementation\3. Analysis &amp; Design\Design\FC22\DRR Jaime\QUIFA-CAJÚA\Cajua\[CAJUA_CF_SEC_New_27-Feb-2024Rev3.xlsx]D-PS'!</v>
      </c>
      <c r="G2074" s="32" t="s">
        <v>38</v>
      </c>
      <c r="H2074" s="33">
        <f t="shared" si="494"/>
        <v>32</v>
      </c>
      <c r="I2074" s="33" t="str">
        <f t="shared" si="493"/>
        <v>='C:\Users\jaime.benazar\Quorum Business Solutions\Ecopetrol Prometeo - Documents\Planning Space Implementation\3. Analysis &amp; Design\Design\FC22\DRR Jaime\QUIFA-CAJÚA\Cajua\[CAJUA_CF_SEC_New_27-Feb-2024Rev3.xlsx]D-PS'!$BX$32</v>
      </c>
      <c r="J2074" s="37" t="s">
        <v>2908</v>
      </c>
    </row>
    <row r="2075" spans="1:10" x14ac:dyDescent="0.25">
      <c r="A2075" s="32" t="s">
        <v>34</v>
      </c>
      <c r="B2075" s="32">
        <f>+B2074+1</f>
        <v>2044</v>
      </c>
      <c r="C2075" s="33" t="s">
        <v>17</v>
      </c>
      <c r="D2075" s="34" t="s">
        <v>1999</v>
      </c>
      <c r="E2075" s="35" t="str">
        <f t="shared" ref="E2075:E2090" si="498">_xlfn.CONCAT(A2075,"'!")</f>
        <v>PS'!</v>
      </c>
      <c r="F2075" s="34" t="str">
        <f t="shared" ref="F2075:F2090" si="499">_xlfn.CONCAT(D2075:E2075)</f>
        <v>C:\Users\jaime.benazar\Quorum Business Solutions\Ecopetrol Prometeo - Documents\Planning Space Implementation\3. Analysis &amp; Design\Design\FC22\DRR Jaime\QUIFA-CAJÚA\Cajua\[CAJUA_CF_SEC_New_27-Feb-2024Rev3.xlsx]D-PS'!</v>
      </c>
      <c r="G2075" s="32" t="s">
        <v>38</v>
      </c>
      <c r="H2075" s="33">
        <f t="shared" ref="H2075:H2090" si="500">IF(A2075&lt;&gt;A2074,12,H2074+1)</f>
        <v>33</v>
      </c>
      <c r="I2075" s="33" t="str">
        <f t="shared" ref="I2075:I2090" si="501">_xlfn.CONCAT("='",F2075:H2075)</f>
        <v>='C:\Users\jaime.benazar\Quorum Business Solutions\Ecopetrol Prometeo - Documents\Planning Space Implementation\3. Analysis &amp; Design\Design\FC22\DRR Jaime\QUIFA-CAJÚA\Cajua\[CAJUA_CF_SEC_New_27-Feb-2024Rev3.xlsx]D-PS'!$BX$33</v>
      </c>
      <c r="J2075" s="37" t="s">
        <v>2909</v>
      </c>
    </row>
    <row r="2076" spans="1:10" x14ac:dyDescent="0.25">
      <c r="A2076" s="32" t="s">
        <v>34</v>
      </c>
      <c r="B2076" s="32">
        <f t="shared" ref="B2076:B2090" si="502">+B2075+1</f>
        <v>2045</v>
      </c>
      <c r="C2076" s="33" t="s">
        <v>17</v>
      </c>
      <c r="D2076" s="34" t="s">
        <v>1999</v>
      </c>
      <c r="E2076" s="35" t="str">
        <f t="shared" si="498"/>
        <v>PS'!</v>
      </c>
      <c r="F2076" s="34" t="str">
        <f t="shared" si="499"/>
        <v>C:\Users\jaime.benazar\Quorum Business Solutions\Ecopetrol Prometeo - Documents\Planning Space Implementation\3. Analysis &amp; Design\Design\FC22\DRR Jaime\QUIFA-CAJÚA\Cajua\[CAJUA_CF_SEC_New_27-Feb-2024Rev3.xlsx]D-PS'!</v>
      </c>
      <c r="G2076" s="32" t="s">
        <v>38</v>
      </c>
      <c r="H2076" s="33">
        <f t="shared" si="500"/>
        <v>34</v>
      </c>
      <c r="I2076" s="33" t="str">
        <f t="shared" si="501"/>
        <v>='C:\Users\jaime.benazar\Quorum Business Solutions\Ecopetrol Prometeo - Documents\Planning Space Implementation\3. Analysis &amp; Design\Design\FC22\DRR Jaime\QUIFA-CAJÚA\Cajua\[CAJUA_CF_SEC_New_27-Feb-2024Rev3.xlsx]D-PS'!$BX$34</v>
      </c>
      <c r="J2076" s="37" t="s">
        <v>2910</v>
      </c>
    </row>
    <row r="2077" spans="1:10" x14ac:dyDescent="0.25">
      <c r="A2077" s="32" t="s">
        <v>34</v>
      </c>
      <c r="B2077" s="32">
        <f t="shared" si="502"/>
        <v>2046</v>
      </c>
      <c r="C2077" s="33" t="s">
        <v>17</v>
      </c>
      <c r="D2077" s="34" t="s">
        <v>1999</v>
      </c>
      <c r="E2077" s="35" t="str">
        <f t="shared" si="498"/>
        <v>PS'!</v>
      </c>
      <c r="F2077" s="34" t="str">
        <f t="shared" si="499"/>
        <v>C:\Users\jaime.benazar\Quorum Business Solutions\Ecopetrol Prometeo - Documents\Planning Space Implementation\3. Analysis &amp; Design\Design\FC22\DRR Jaime\QUIFA-CAJÚA\Cajua\[CAJUA_CF_SEC_New_27-Feb-2024Rev3.xlsx]D-PS'!</v>
      </c>
      <c r="G2077" s="32" t="s">
        <v>38</v>
      </c>
      <c r="H2077" s="33">
        <f t="shared" si="500"/>
        <v>35</v>
      </c>
      <c r="I2077" s="33" t="str">
        <f t="shared" si="501"/>
        <v>='C:\Users\jaime.benazar\Quorum Business Solutions\Ecopetrol Prometeo - Documents\Planning Space Implementation\3. Analysis &amp; Design\Design\FC22\DRR Jaime\QUIFA-CAJÚA\Cajua\[CAJUA_CF_SEC_New_27-Feb-2024Rev3.xlsx]D-PS'!$BX$35</v>
      </c>
      <c r="J2077" s="37" t="s">
        <v>2911</v>
      </c>
    </row>
    <row r="2078" spans="1:10" x14ac:dyDescent="0.25">
      <c r="A2078" s="32" t="s">
        <v>34</v>
      </c>
      <c r="B2078" s="32">
        <f t="shared" si="502"/>
        <v>2047</v>
      </c>
      <c r="C2078" s="33" t="s">
        <v>17</v>
      </c>
      <c r="D2078" s="34" t="s">
        <v>1999</v>
      </c>
      <c r="E2078" s="35" t="str">
        <f t="shared" si="498"/>
        <v>PS'!</v>
      </c>
      <c r="F2078" s="34" t="str">
        <f t="shared" si="499"/>
        <v>C:\Users\jaime.benazar\Quorum Business Solutions\Ecopetrol Prometeo - Documents\Planning Space Implementation\3. Analysis &amp; Design\Design\FC22\DRR Jaime\QUIFA-CAJÚA\Cajua\[CAJUA_CF_SEC_New_27-Feb-2024Rev3.xlsx]D-PS'!</v>
      </c>
      <c r="G2078" s="32" t="s">
        <v>38</v>
      </c>
      <c r="H2078" s="33">
        <f t="shared" si="500"/>
        <v>36</v>
      </c>
      <c r="I2078" s="33" t="str">
        <f t="shared" si="501"/>
        <v>='C:\Users\jaime.benazar\Quorum Business Solutions\Ecopetrol Prometeo - Documents\Planning Space Implementation\3. Analysis &amp; Design\Design\FC22\DRR Jaime\QUIFA-CAJÚA\Cajua\[CAJUA_CF_SEC_New_27-Feb-2024Rev3.xlsx]D-PS'!$BX$36</v>
      </c>
      <c r="J2078" s="37" t="s">
        <v>2912</v>
      </c>
    </row>
    <row r="2079" spans="1:10" x14ac:dyDescent="0.25">
      <c r="A2079" s="32" t="s">
        <v>34</v>
      </c>
      <c r="B2079" s="32">
        <f t="shared" si="502"/>
        <v>2048</v>
      </c>
      <c r="C2079" s="33" t="s">
        <v>17</v>
      </c>
      <c r="D2079" s="34" t="s">
        <v>1999</v>
      </c>
      <c r="E2079" s="35" t="str">
        <f t="shared" si="498"/>
        <v>PS'!</v>
      </c>
      <c r="F2079" s="34" t="str">
        <f t="shared" si="499"/>
        <v>C:\Users\jaime.benazar\Quorum Business Solutions\Ecopetrol Prometeo - Documents\Planning Space Implementation\3. Analysis &amp; Design\Design\FC22\DRR Jaime\QUIFA-CAJÚA\Cajua\[CAJUA_CF_SEC_New_27-Feb-2024Rev3.xlsx]D-PS'!</v>
      </c>
      <c r="G2079" s="32" t="s">
        <v>38</v>
      </c>
      <c r="H2079" s="33">
        <f t="shared" si="500"/>
        <v>37</v>
      </c>
      <c r="I2079" s="33" t="str">
        <f t="shared" si="501"/>
        <v>='C:\Users\jaime.benazar\Quorum Business Solutions\Ecopetrol Prometeo - Documents\Planning Space Implementation\3. Analysis &amp; Design\Design\FC22\DRR Jaime\QUIFA-CAJÚA\Cajua\[CAJUA_CF_SEC_New_27-Feb-2024Rev3.xlsx]D-PS'!$BX$37</v>
      </c>
      <c r="J2079" s="37" t="s">
        <v>2913</v>
      </c>
    </row>
    <row r="2080" spans="1:10" x14ac:dyDescent="0.25">
      <c r="A2080" s="32" t="s">
        <v>34</v>
      </c>
      <c r="B2080" s="32">
        <f t="shared" si="502"/>
        <v>2049</v>
      </c>
      <c r="C2080" s="33" t="s">
        <v>17</v>
      </c>
      <c r="D2080" s="34" t="s">
        <v>1999</v>
      </c>
      <c r="E2080" s="35" t="str">
        <f t="shared" si="498"/>
        <v>PS'!</v>
      </c>
      <c r="F2080" s="34" t="str">
        <f t="shared" si="499"/>
        <v>C:\Users\jaime.benazar\Quorum Business Solutions\Ecopetrol Prometeo - Documents\Planning Space Implementation\3. Analysis &amp; Design\Design\FC22\DRR Jaime\QUIFA-CAJÚA\Cajua\[CAJUA_CF_SEC_New_27-Feb-2024Rev3.xlsx]D-PS'!</v>
      </c>
      <c r="G2080" s="32" t="s">
        <v>38</v>
      </c>
      <c r="H2080" s="33">
        <f t="shared" si="500"/>
        <v>38</v>
      </c>
      <c r="I2080" s="33" t="str">
        <f t="shared" si="501"/>
        <v>='C:\Users\jaime.benazar\Quorum Business Solutions\Ecopetrol Prometeo - Documents\Planning Space Implementation\3. Analysis &amp; Design\Design\FC22\DRR Jaime\QUIFA-CAJÚA\Cajua\[CAJUA_CF_SEC_New_27-Feb-2024Rev3.xlsx]D-PS'!$BX$38</v>
      </c>
      <c r="J2080" s="37" t="s">
        <v>2914</v>
      </c>
    </row>
    <row r="2081" spans="1:10" x14ac:dyDescent="0.25">
      <c r="A2081" s="32" t="s">
        <v>34</v>
      </c>
      <c r="B2081" s="32">
        <f t="shared" si="502"/>
        <v>2050</v>
      </c>
      <c r="C2081" s="33" t="s">
        <v>17</v>
      </c>
      <c r="D2081" s="34" t="s">
        <v>1999</v>
      </c>
      <c r="E2081" s="35" t="str">
        <f t="shared" si="498"/>
        <v>PS'!</v>
      </c>
      <c r="F2081" s="34" t="str">
        <f t="shared" si="499"/>
        <v>C:\Users\jaime.benazar\Quorum Business Solutions\Ecopetrol Prometeo - Documents\Planning Space Implementation\3. Analysis &amp; Design\Design\FC22\DRR Jaime\QUIFA-CAJÚA\Cajua\[CAJUA_CF_SEC_New_27-Feb-2024Rev3.xlsx]D-PS'!</v>
      </c>
      <c r="G2081" s="32" t="s">
        <v>38</v>
      </c>
      <c r="H2081" s="33">
        <f t="shared" si="500"/>
        <v>39</v>
      </c>
      <c r="I2081" s="33" t="str">
        <f t="shared" si="501"/>
        <v>='C:\Users\jaime.benazar\Quorum Business Solutions\Ecopetrol Prometeo - Documents\Planning Space Implementation\3. Analysis &amp; Design\Design\FC22\DRR Jaime\QUIFA-CAJÚA\Cajua\[CAJUA_CF_SEC_New_27-Feb-2024Rev3.xlsx]D-PS'!$BX$39</v>
      </c>
      <c r="J2081" s="37" t="s">
        <v>2915</v>
      </c>
    </row>
    <row r="2082" spans="1:10" x14ac:dyDescent="0.25">
      <c r="A2082" s="32" t="s">
        <v>34</v>
      </c>
      <c r="B2082" s="32">
        <f t="shared" si="502"/>
        <v>2051</v>
      </c>
      <c r="C2082" s="33" t="s">
        <v>17</v>
      </c>
      <c r="D2082" s="34" t="s">
        <v>1999</v>
      </c>
      <c r="E2082" s="35" t="str">
        <f t="shared" si="498"/>
        <v>PS'!</v>
      </c>
      <c r="F2082" s="34" t="str">
        <f t="shared" si="499"/>
        <v>C:\Users\jaime.benazar\Quorum Business Solutions\Ecopetrol Prometeo - Documents\Planning Space Implementation\3. Analysis &amp; Design\Design\FC22\DRR Jaime\QUIFA-CAJÚA\Cajua\[CAJUA_CF_SEC_New_27-Feb-2024Rev3.xlsx]D-PS'!</v>
      </c>
      <c r="G2082" s="32" t="s">
        <v>38</v>
      </c>
      <c r="H2082" s="33">
        <f t="shared" si="500"/>
        <v>40</v>
      </c>
      <c r="I2082" s="33" t="str">
        <f t="shared" si="501"/>
        <v>='C:\Users\jaime.benazar\Quorum Business Solutions\Ecopetrol Prometeo - Documents\Planning Space Implementation\3. Analysis &amp; Design\Design\FC22\DRR Jaime\QUIFA-CAJÚA\Cajua\[CAJUA_CF_SEC_New_27-Feb-2024Rev3.xlsx]D-PS'!$BX$40</v>
      </c>
      <c r="J2082" s="37" t="s">
        <v>2916</v>
      </c>
    </row>
    <row r="2083" spans="1:10" x14ac:dyDescent="0.25">
      <c r="A2083" s="32" t="s">
        <v>34</v>
      </c>
      <c r="B2083" s="32">
        <f t="shared" si="502"/>
        <v>2052</v>
      </c>
      <c r="C2083" s="33" t="s">
        <v>17</v>
      </c>
      <c r="D2083" s="34" t="s">
        <v>1999</v>
      </c>
      <c r="E2083" s="35" t="str">
        <f t="shared" si="498"/>
        <v>PS'!</v>
      </c>
      <c r="F2083" s="34" t="str">
        <f t="shared" si="499"/>
        <v>C:\Users\jaime.benazar\Quorum Business Solutions\Ecopetrol Prometeo - Documents\Planning Space Implementation\3. Analysis &amp; Design\Design\FC22\DRR Jaime\QUIFA-CAJÚA\Cajua\[CAJUA_CF_SEC_New_27-Feb-2024Rev3.xlsx]D-PS'!</v>
      </c>
      <c r="G2083" s="32" t="s">
        <v>38</v>
      </c>
      <c r="H2083" s="33">
        <f t="shared" si="500"/>
        <v>41</v>
      </c>
      <c r="I2083" s="33" t="str">
        <f t="shared" si="501"/>
        <v>='C:\Users\jaime.benazar\Quorum Business Solutions\Ecopetrol Prometeo - Documents\Planning Space Implementation\3. Analysis &amp; Design\Design\FC22\DRR Jaime\QUIFA-CAJÚA\Cajua\[CAJUA_CF_SEC_New_27-Feb-2024Rev3.xlsx]D-PS'!$BX$41</v>
      </c>
      <c r="J2083" s="37" t="s">
        <v>2917</v>
      </c>
    </row>
    <row r="2084" spans="1:10" x14ac:dyDescent="0.25">
      <c r="A2084" s="32" t="s">
        <v>34</v>
      </c>
      <c r="B2084" s="32">
        <f t="shared" si="502"/>
        <v>2053</v>
      </c>
      <c r="C2084" s="33" t="s">
        <v>17</v>
      </c>
      <c r="D2084" s="34" t="s">
        <v>1999</v>
      </c>
      <c r="E2084" s="35" t="str">
        <f t="shared" si="498"/>
        <v>PS'!</v>
      </c>
      <c r="F2084" s="34" t="str">
        <f t="shared" si="499"/>
        <v>C:\Users\jaime.benazar\Quorum Business Solutions\Ecopetrol Prometeo - Documents\Planning Space Implementation\3. Analysis &amp; Design\Design\FC22\DRR Jaime\QUIFA-CAJÚA\Cajua\[CAJUA_CF_SEC_New_27-Feb-2024Rev3.xlsx]D-PS'!</v>
      </c>
      <c r="G2084" s="32" t="s">
        <v>38</v>
      </c>
      <c r="H2084" s="33">
        <f t="shared" si="500"/>
        <v>42</v>
      </c>
      <c r="I2084" s="33" t="str">
        <f t="shared" si="501"/>
        <v>='C:\Users\jaime.benazar\Quorum Business Solutions\Ecopetrol Prometeo - Documents\Planning Space Implementation\3. Analysis &amp; Design\Design\FC22\DRR Jaime\QUIFA-CAJÚA\Cajua\[CAJUA_CF_SEC_New_27-Feb-2024Rev3.xlsx]D-PS'!$BX$42</v>
      </c>
      <c r="J2084" s="37" t="s">
        <v>2918</v>
      </c>
    </row>
    <row r="2085" spans="1:10" x14ac:dyDescent="0.25">
      <c r="A2085" s="32" t="s">
        <v>34</v>
      </c>
      <c r="B2085" s="32">
        <f t="shared" si="502"/>
        <v>2054</v>
      </c>
      <c r="C2085" s="33" t="s">
        <v>17</v>
      </c>
      <c r="D2085" s="34" t="s">
        <v>1999</v>
      </c>
      <c r="E2085" s="35" t="str">
        <f t="shared" si="498"/>
        <v>PS'!</v>
      </c>
      <c r="F2085" s="34" t="str">
        <f t="shared" si="499"/>
        <v>C:\Users\jaime.benazar\Quorum Business Solutions\Ecopetrol Prometeo - Documents\Planning Space Implementation\3. Analysis &amp; Design\Design\FC22\DRR Jaime\QUIFA-CAJÚA\Cajua\[CAJUA_CF_SEC_New_27-Feb-2024Rev3.xlsx]D-PS'!</v>
      </c>
      <c r="G2085" s="32" t="s">
        <v>38</v>
      </c>
      <c r="H2085" s="33">
        <f t="shared" si="500"/>
        <v>43</v>
      </c>
      <c r="I2085" s="33" t="str">
        <f t="shared" si="501"/>
        <v>='C:\Users\jaime.benazar\Quorum Business Solutions\Ecopetrol Prometeo - Documents\Planning Space Implementation\3. Analysis &amp; Design\Design\FC22\DRR Jaime\QUIFA-CAJÚA\Cajua\[CAJUA_CF_SEC_New_27-Feb-2024Rev3.xlsx]D-PS'!$BX$43</v>
      </c>
      <c r="J2085" s="37" t="s">
        <v>2919</v>
      </c>
    </row>
    <row r="2086" spans="1:10" x14ac:dyDescent="0.25">
      <c r="A2086" s="32" t="s">
        <v>34</v>
      </c>
      <c r="B2086" s="32">
        <f t="shared" si="502"/>
        <v>2055</v>
      </c>
      <c r="C2086" s="33" t="s">
        <v>17</v>
      </c>
      <c r="D2086" s="34" t="s">
        <v>1999</v>
      </c>
      <c r="E2086" s="35" t="str">
        <f t="shared" si="498"/>
        <v>PS'!</v>
      </c>
      <c r="F2086" s="34" t="str">
        <f t="shared" si="499"/>
        <v>C:\Users\jaime.benazar\Quorum Business Solutions\Ecopetrol Prometeo - Documents\Planning Space Implementation\3. Analysis &amp; Design\Design\FC22\DRR Jaime\QUIFA-CAJÚA\Cajua\[CAJUA_CF_SEC_New_27-Feb-2024Rev3.xlsx]D-PS'!</v>
      </c>
      <c r="G2086" s="32" t="s">
        <v>38</v>
      </c>
      <c r="H2086" s="33">
        <f t="shared" si="500"/>
        <v>44</v>
      </c>
      <c r="I2086" s="33" t="str">
        <f t="shared" si="501"/>
        <v>='C:\Users\jaime.benazar\Quorum Business Solutions\Ecopetrol Prometeo - Documents\Planning Space Implementation\3. Analysis &amp; Design\Design\FC22\DRR Jaime\QUIFA-CAJÚA\Cajua\[CAJUA_CF_SEC_New_27-Feb-2024Rev3.xlsx]D-PS'!$BX$44</v>
      </c>
      <c r="J2086" s="37" t="s">
        <v>2920</v>
      </c>
    </row>
    <row r="2087" spans="1:10" x14ac:dyDescent="0.25">
      <c r="A2087" s="32" t="s">
        <v>34</v>
      </c>
      <c r="B2087" s="32">
        <f t="shared" si="502"/>
        <v>2056</v>
      </c>
      <c r="C2087" s="33" t="s">
        <v>17</v>
      </c>
      <c r="D2087" s="34" t="s">
        <v>1999</v>
      </c>
      <c r="E2087" s="35" t="str">
        <f t="shared" si="498"/>
        <v>PS'!</v>
      </c>
      <c r="F2087" s="34" t="str">
        <f t="shared" si="499"/>
        <v>C:\Users\jaime.benazar\Quorum Business Solutions\Ecopetrol Prometeo - Documents\Planning Space Implementation\3. Analysis &amp; Design\Design\FC22\DRR Jaime\QUIFA-CAJÚA\Cajua\[CAJUA_CF_SEC_New_27-Feb-2024Rev3.xlsx]D-PS'!</v>
      </c>
      <c r="G2087" s="32" t="s">
        <v>38</v>
      </c>
      <c r="H2087" s="33">
        <f t="shared" si="500"/>
        <v>45</v>
      </c>
      <c r="I2087" s="33" t="str">
        <f t="shared" si="501"/>
        <v>='C:\Users\jaime.benazar\Quorum Business Solutions\Ecopetrol Prometeo - Documents\Planning Space Implementation\3. Analysis &amp; Design\Design\FC22\DRR Jaime\QUIFA-CAJÚA\Cajua\[CAJUA_CF_SEC_New_27-Feb-2024Rev3.xlsx]D-PS'!$BX$45</v>
      </c>
      <c r="J2087" s="37" t="s">
        <v>2921</v>
      </c>
    </row>
    <row r="2088" spans="1:10" x14ac:dyDescent="0.25">
      <c r="A2088" s="32" t="s">
        <v>34</v>
      </c>
      <c r="B2088" s="32">
        <f t="shared" si="502"/>
        <v>2057</v>
      </c>
      <c r="C2088" s="33" t="s">
        <v>17</v>
      </c>
      <c r="D2088" s="34" t="s">
        <v>1999</v>
      </c>
      <c r="E2088" s="35" t="str">
        <f t="shared" si="498"/>
        <v>PS'!</v>
      </c>
      <c r="F2088" s="34" t="str">
        <f t="shared" si="499"/>
        <v>C:\Users\jaime.benazar\Quorum Business Solutions\Ecopetrol Prometeo - Documents\Planning Space Implementation\3. Analysis &amp; Design\Design\FC22\DRR Jaime\QUIFA-CAJÚA\Cajua\[CAJUA_CF_SEC_New_27-Feb-2024Rev3.xlsx]D-PS'!</v>
      </c>
      <c r="G2088" s="32" t="s">
        <v>38</v>
      </c>
      <c r="H2088" s="33">
        <f t="shared" si="500"/>
        <v>46</v>
      </c>
      <c r="I2088" s="33" t="str">
        <f t="shared" si="501"/>
        <v>='C:\Users\jaime.benazar\Quorum Business Solutions\Ecopetrol Prometeo - Documents\Planning Space Implementation\3. Analysis &amp; Design\Design\FC22\DRR Jaime\QUIFA-CAJÚA\Cajua\[CAJUA_CF_SEC_New_27-Feb-2024Rev3.xlsx]D-PS'!$BX$46</v>
      </c>
      <c r="J2088" s="37" t="s">
        <v>2922</v>
      </c>
    </row>
    <row r="2089" spans="1:10" x14ac:dyDescent="0.25">
      <c r="A2089" s="32" t="s">
        <v>34</v>
      </c>
      <c r="B2089" s="32">
        <f t="shared" si="502"/>
        <v>2058</v>
      </c>
      <c r="C2089" s="33" t="s">
        <v>17</v>
      </c>
      <c r="D2089" s="34" t="s">
        <v>1999</v>
      </c>
      <c r="E2089" s="35" t="str">
        <f t="shared" si="498"/>
        <v>PS'!</v>
      </c>
      <c r="F2089" s="34" t="str">
        <f t="shared" si="499"/>
        <v>C:\Users\jaime.benazar\Quorum Business Solutions\Ecopetrol Prometeo - Documents\Planning Space Implementation\3. Analysis &amp; Design\Design\FC22\DRR Jaime\QUIFA-CAJÚA\Cajua\[CAJUA_CF_SEC_New_27-Feb-2024Rev3.xlsx]D-PS'!</v>
      </c>
      <c r="G2089" s="32" t="s">
        <v>38</v>
      </c>
      <c r="H2089" s="33">
        <f t="shared" si="500"/>
        <v>47</v>
      </c>
      <c r="I2089" s="33" t="str">
        <f t="shared" si="501"/>
        <v>='C:\Users\jaime.benazar\Quorum Business Solutions\Ecopetrol Prometeo - Documents\Planning Space Implementation\3. Analysis &amp; Design\Design\FC22\DRR Jaime\QUIFA-CAJÚA\Cajua\[CAJUA_CF_SEC_New_27-Feb-2024Rev3.xlsx]D-PS'!$BX$47</v>
      </c>
      <c r="J2089" s="37" t="s">
        <v>2923</v>
      </c>
    </row>
    <row r="2090" spans="1:10" x14ac:dyDescent="0.25">
      <c r="A2090" s="32" t="s">
        <v>34</v>
      </c>
      <c r="B2090" s="32">
        <f t="shared" si="502"/>
        <v>2059</v>
      </c>
      <c r="C2090" s="33" t="s">
        <v>17</v>
      </c>
      <c r="D2090" s="34" t="s">
        <v>1999</v>
      </c>
      <c r="E2090" s="35" t="str">
        <f t="shared" si="498"/>
        <v>PS'!</v>
      </c>
      <c r="F2090" s="34" t="str">
        <f t="shared" si="499"/>
        <v>C:\Users\jaime.benazar\Quorum Business Solutions\Ecopetrol Prometeo - Documents\Planning Space Implementation\3. Analysis &amp; Design\Design\FC22\DRR Jaime\QUIFA-CAJÚA\Cajua\[CAJUA_CF_SEC_New_27-Feb-2024Rev3.xlsx]D-PS'!</v>
      </c>
      <c r="G2090" s="32" t="s">
        <v>38</v>
      </c>
      <c r="H2090" s="33">
        <f t="shared" si="500"/>
        <v>48</v>
      </c>
      <c r="I2090" s="33" t="str">
        <f t="shared" si="501"/>
        <v>='C:\Users\jaime.benazar\Quorum Business Solutions\Ecopetrol Prometeo - Documents\Planning Space Implementation\3. Analysis &amp; Design\Design\FC22\DRR Jaime\QUIFA-CAJÚA\Cajua\[CAJUA_CF_SEC_New_27-Feb-2024Rev3.xlsx]D-PS'!$BX$48</v>
      </c>
      <c r="J2090" s="37" t="s">
        <v>2924</v>
      </c>
    </row>
    <row r="2091" spans="1:10" x14ac:dyDescent="0.25">
      <c r="A2091" s="32" t="s">
        <v>28</v>
      </c>
      <c r="B2091" s="32"/>
      <c r="C2091" s="33" t="s">
        <v>17</v>
      </c>
      <c r="D2091" s="34"/>
      <c r="E2091" s="35"/>
      <c r="F2091" s="34"/>
      <c r="G2091" s="32"/>
      <c r="H2091" s="33"/>
      <c r="I2091" s="33"/>
      <c r="J2091" s="33"/>
    </row>
    <row r="2092" spans="1:10" x14ac:dyDescent="0.25">
      <c r="A2092" s="32" t="s">
        <v>1</v>
      </c>
      <c r="B2092" s="32">
        <v>2023</v>
      </c>
      <c r="C2092" s="33" t="s">
        <v>20</v>
      </c>
      <c r="D2092" s="34" t="s">
        <v>1999</v>
      </c>
      <c r="E2092" s="35" t="str">
        <f>_xlfn.CONCAT(A2092,"'!")</f>
        <v>PDP'!</v>
      </c>
      <c r="F2092" s="34" t="str">
        <f>_xlfn.CONCAT(D2092:E2092)</f>
        <v>C:\Users\jaime.benazar\Quorum Business Solutions\Ecopetrol Prometeo - Documents\Planning Space Implementation\3. Analysis &amp; Design\Design\FC22\DRR Jaime\QUIFA-CAJÚA\Cajua\[CAJUA_CF_SEC_New_27-Feb-2024Rev3.xlsx]D-PDP'!</v>
      </c>
      <c r="G2092" s="32" t="s">
        <v>115</v>
      </c>
      <c r="H2092" s="33">
        <v>12</v>
      </c>
      <c r="I2092" s="33" t="str">
        <f>_xlfn.CONCAT("='",F2092:H2092)</f>
        <v>='C:\Users\jaime.benazar\Quorum Business Solutions\Ecopetrol Prometeo - Documents\Planning Space Implementation\3. Analysis &amp; Design\Design\FC22\DRR Jaime\QUIFA-CAJÚA\Cajua\[CAJUA_CF_SEC_New_27-Feb-2024Rev3.xlsx]D-PDP'!$DC$12</v>
      </c>
      <c r="J2092" s="37" t="s">
        <v>2925</v>
      </c>
    </row>
    <row r="2093" spans="1:10" x14ac:dyDescent="0.25">
      <c r="A2093" s="32" t="s">
        <v>1</v>
      </c>
      <c r="B2093" s="32">
        <f>+B2092+1</f>
        <v>2024</v>
      </c>
      <c r="C2093" s="33" t="s">
        <v>20</v>
      </c>
      <c r="D2093" s="34" t="s">
        <v>1999</v>
      </c>
      <c r="E2093" s="35" t="str">
        <f t="shared" ref="E2093:E2186" si="503">_xlfn.CONCAT(A2093,"'!")</f>
        <v>PDP'!</v>
      </c>
      <c r="F2093" s="34" t="str">
        <f t="shared" ref="F2093:F2186" si="504">_xlfn.CONCAT(D2093:E2093)</f>
        <v>C:\Users\jaime.benazar\Quorum Business Solutions\Ecopetrol Prometeo - Documents\Planning Space Implementation\3. Analysis &amp; Design\Design\FC22\DRR Jaime\QUIFA-CAJÚA\Cajua\[CAJUA_CF_SEC_New_27-Feb-2024Rev3.xlsx]D-PDP'!</v>
      </c>
      <c r="G2093" s="32" t="s">
        <v>115</v>
      </c>
      <c r="H2093" s="33">
        <f t="shared" ref="H2093:H2112" si="505">IF(A2093&lt;&gt;A2092,12,H2092+1)</f>
        <v>13</v>
      </c>
      <c r="I2093" s="33" t="str">
        <f t="shared" ref="I2093:I2186" si="506">_xlfn.CONCAT("='",F2093:H2093)</f>
        <v>='C:\Users\jaime.benazar\Quorum Business Solutions\Ecopetrol Prometeo - Documents\Planning Space Implementation\3. Analysis &amp; Design\Design\FC22\DRR Jaime\QUIFA-CAJÚA\Cajua\[CAJUA_CF_SEC_New_27-Feb-2024Rev3.xlsx]D-PDP'!$DC$13</v>
      </c>
      <c r="J2093" s="37" t="s">
        <v>2926</v>
      </c>
    </row>
    <row r="2094" spans="1:10" x14ac:dyDescent="0.25">
      <c r="A2094" s="32" t="s">
        <v>1</v>
      </c>
      <c r="B2094" s="32">
        <f t="shared" ref="B2094:B2105" si="507">+B2093+1</f>
        <v>2025</v>
      </c>
      <c r="C2094" s="33" t="s">
        <v>20</v>
      </c>
      <c r="D2094" s="34" t="s">
        <v>1999</v>
      </c>
      <c r="E2094" s="35" t="str">
        <f t="shared" si="503"/>
        <v>PDP'!</v>
      </c>
      <c r="F2094" s="34" t="str">
        <f t="shared" si="504"/>
        <v>C:\Users\jaime.benazar\Quorum Business Solutions\Ecopetrol Prometeo - Documents\Planning Space Implementation\3. Analysis &amp; Design\Design\FC22\DRR Jaime\QUIFA-CAJÚA\Cajua\[CAJUA_CF_SEC_New_27-Feb-2024Rev3.xlsx]D-PDP'!</v>
      </c>
      <c r="G2094" s="32" t="s">
        <v>115</v>
      </c>
      <c r="H2094" s="33">
        <f t="shared" si="505"/>
        <v>14</v>
      </c>
      <c r="I2094" s="33" t="str">
        <f t="shared" si="506"/>
        <v>='C:\Users\jaime.benazar\Quorum Business Solutions\Ecopetrol Prometeo - Documents\Planning Space Implementation\3. Analysis &amp; Design\Design\FC22\DRR Jaime\QUIFA-CAJÚA\Cajua\[CAJUA_CF_SEC_New_27-Feb-2024Rev3.xlsx]D-PDP'!$DC$14</v>
      </c>
      <c r="J2094" s="37" t="s">
        <v>2927</v>
      </c>
    </row>
    <row r="2095" spans="1:10" x14ac:dyDescent="0.25">
      <c r="A2095" s="32" t="s">
        <v>1</v>
      </c>
      <c r="B2095" s="32">
        <f t="shared" si="507"/>
        <v>2026</v>
      </c>
      <c r="C2095" s="33" t="s">
        <v>20</v>
      </c>
      <c r="D2095" s="34" t="s">
        <v>1999</v>
      </c>
      <c r="E2095" s="35" t="str">
        <f t="shared" si="503"/>
        <v>PDP'!</v>
      </c>
      <c r="F2095" s="34" t="str">
        <f t="shared" si="504"/>
        <v>C:\Users\jaime.benazar\Quorum Business Solutions\Ecopetrol Prometeo - Documents\Planning Space Implementation\3. Analysis &amp; Design\Design\FC22\DRR Jaime\QUIFA-CAJÚA\Cajua\[CAJUA_CF_SEC_New_27-Feb-2024Rev3.xlsx]D-PDP'!</v>
      </c>
      <c r="G2095" s="32" t="s">
        <v>115</v>
      </c>
      <c r="H2095" s="33">
        <f t="shared" si="505"/>
        <v>15</v>
      </c>
      <c r="I2095" s="33" t="str">
        <f t="shared" si="506"/>
        <v>='C:\Users\jaime.benazar\Quorum Business Solutions\Ecopetrol Prometeo - Documents\Planning Space Implementation\3. Analysis &amp; Design\Design\FC22\DRR Jaime\QUIFA-CAJÚA\Cajua\[CAJUA_CF_SEC_New_27-Feb-2024Rev3.xlsx]D-PDP'!$DC$15</v>
      </c>
      <c r="J2095" s="37" t="s">
        <v>2928</v>
      </c>
    </row>
    <row r="2096" spans="1:10" x14ac:dyDescent="0.25">
      <c r="A2096" s="32" t="s">
        <v>1</v>
      </c>
      <c r="B2096" s="32">
        <f t="shared" si="507"/>
        <v>2027</v>
      </c>
      <c r="C2096" s="33" t="s">
        <v>20</v>
      </c>
      <c r="D2096" s="34" t="s">
        <v>1999</v>
      </c>
      <c r="E2096" s="35" t="str">
        <f t="shared" si="503"/>
        <v>PDP'!</v>
      </c>
      <c r="F2096" s="34" t="str">
        <f t="shared" si="504"/>
        <v>C:\Users\jaime.benazar\Quorum Business Solutions\Ecopetrol Prometeo - Documents\Planning Space Implementation\3. Analysis &amp; Design\Design\FC22\DRR Jaime\QUIFA-CAJÚA\Cajua\[CAJUA_CF_SEC_New_27-Feb-2024Rev3.xlsx]D-PDP'!</v>
      </c>
      <c r="G2096" s="32" t="s">
        <v>115</v>
      </c>
      <c r="H2096" s="33">
        <f t="shared" si="505"/>
        <v>16</v>
      </c>
      <c r="I2096" s="33" t="str">
        <f t="shared" si="506"/>
        <v>='C:\Users\jaime.benazar\Quorum Business Solutions\Ecopetrol Prometeo - Documents\Planning Space Implementation\3. Analysis &amp; Design\Design\FC22\DRR Jaime\QUIFA-CAJÚA\Cajua\[CAJUA_CF_SEC_New_27-Feb-2024Rev3.xlsx]D-PDP'!$DC$16</v>
      </c>
      <c r="J2096" s="37" t="s">
        <v>2929</v>
      </c>
    </row>
    <row r="2097" spans="1:10" x14ac:dyDescent="0.25">
      <c r="A2097" s="32" t="s">
        <v>1</v>
      </c>
      <c r="B2097" s="32">
        <f t="shared" si="507"/>
        <v>2028</v>
      </c>
      <c r="C2097" s="33" t="s">
        <v>20</v>
      </c>
      <c r="D2097" s="34" t="s">
        <v>1999</v>
      </c>
      <c r="E2097" s="35" t="str">
        <f t="shared" si="503"/>
        <v>PDP'!</v>
      </c>
      <c r="F2097" s="34" t="str">
        <f t="shared" si="504"/>
        <v>C:\Users\jaime.benazar\Quorum Business Solutions\Ecopetrol Prometeo - Documents\Planning Space Implementation\3. Analysis &amp; Design\Design\FC22\DRR Jaime\QUIFA-CAJÚA\Cajua\[CAJUA_CF_SEC_New_27-Feb-2024Rev3.xlsx]D-PDP'!</v>
      </c>
      <c r="G2097" s="32" t="s">
        <v>115</v>
      </c>
      <c r="H2097" s="33">
        <f t="shared" si="505"/>
        <v>17</v>
      </c>
      <c r="I2097" s="33" t="str">
        <f t="shared" si="506"/>
        <v>='C:\Users\jaime.benazar\Quorum Business Solutions\Ecopetrol Prometeo - Documents\Planning Space Implementation\3. Analysis &amp; Design\Design\FC22\DRR Jaime\QUIFA-CAJÚA\Cajua\[CAJUA_CF_SEC_New_27-Feb-2024Rev3.xlsx]D-PDP'!$DC$17</v>
      </c>
      <c r="J2097" s="37" t="s">
        <v>2930</v>
      </c>
    </row>
    <row r="2098" spans="1:10" x14ac:dyDescent="0.25">
      <c r="A2098" s="32" t="s">
        <v>1</v>
      </c>
      <c r="B2098" s="32">
        <f t="shared" si="507"/>
        <v>2029</v>
      </c>
      <c r="C2098" s="33" t="s">
        <v>20</v>
      </c>
      <c r="D2098" s="34" t="s">
        <v>1999</v>
      </c>
      <c r="E2098" s="35" t="str">
        <f t="shared" si="503"/>
        <v>PDP'!</v>
      </c>
      <c r="F2098" s="34" t="str">
        <f t="shared" si="504"/>
        <v>C:\Users\jaime.benazar\Quorum Business Solutions\Ecopetrol Prometeo - Documents\Planning Space Implementation\3. Analysis &amp; Design\Design\FC22\DRR Jaime\QUIFA-CAJÚA\Cajua\[CAJUA_CF_SEC_New_27-Feb-2024Rev3.xlsx]D-PDP'!</v>
      </c>
      <c r="G2098" s="32" t="s">
        <v>115</v>
      </c>
      <c r="H2098" s="33">
        <f t="shared" si="505"/>
        <v>18</v>
      </c>
      <c r="I2098" s="33" t="str">
        <f t="shared" si="506"/>
        <v>='C:\Users\jaime.benazar\Quorum Business Solutions\Ecopetrol Prometeo - Documents\Planning Space Implementation\3. Analysis &amp; Design\Design\FC22\DRR Jaime\QUIFA-CAJÚA\Cajua\[CAJUA_CF_SEC_New_27-Feb-2024Rev3.xlsx]D-PDP'!$DC$18</v>
      </c>
      <c r="J2098" s="37" t="s">
        <v>2931</v>
      </c>
    </row>
    <row r="2099" spans="1:10" x14ac:dyDescent="0.25">
      <c r="A2099" s="32" t="s">
        <v>1</v>
      </c>
      <c r="B2099" s="32">
        <f t="shared" si="507"/>
        <v>2030</v>
      </c>
      <c r="C2099" s="33" t="s">
        <v>20</v>
      </c>
      <c r="D2099" s="34" t="s">
        <v>1999</v>
      </c>
      <c r="E2099" s="35" t="str">
        <f t="shared" si="503"/>
        <v>PDP'!</v>
      </c>
      <c r="F2099" s="34" t="str">
        <f t="shared" si="504"/>
        <v>C:\Users\jaime.benazar\Quorum Business Solutions\Ecopetrol Prometeo - Documents\Planning Space Implementation\3. Analysis &amp; Design\Design\FC22\DRR Jaime\QUIFA-CAJÚA\Cajua\[CAJUA_CF_SEC_New_27-Feb-2024Rev3.xlsx]D-PDP'!</v>
      </c>
      <c r="G2099" s="32" t="s">
        <v>115</v>
      </c>
      <c r="H2099" s="33">
        <f t="shared" si="505"/>
        <v>19</v>
      </c>
      <c r="I2099" s="33" t="str">
        <f t="shared" si="506"/>
        <v>='C:\Users\jaime.benazar\Quorum Business Solutions\Ecopetrol Prometeo - Documents\Planning Space Implementation\3. Analysis &amp; Design\Design\FC22\DRR Jaime\QUIFA-CAJÚA\Cajua\[CAJUA_CF_SEC_New_27-Feb-2024Rev3.xlsx]D-PDP'!$DC$19</v>
      </c>
      <c r="J2099" s="37" t="s">
        <v>2932</v>
      </c>
    </row>
    <row r="2100" spans="1:10" x14ac:dyDescent="0.25">
      <c r="A2100" s="32" t="s">
        <v>1</v>
      </c>
      <c r="B2100" s="32">
        <f t="shared" si="507"/>
        <v>2031</v>
      </c>
      <c r="C2100" s="33" t="s">
        <v>20</v>
      </c>
      <c r="D2100" s="34" t="s">
        <v>1999</v>
      </c>
      <c r="E2100" s="35" t="str">
        <f t="shared" si="503"/>
        <v>PDP'!</v>
      </c>
      <c r="F2100" s="34" t="str">
        <f t="shared" si="504"/>
        <v>C:\Users\jaime.benazar\Quorum Business Solutions\Ecopetrol Prometeo - Documents\Planning Space Implementation\3. Analysis &amp; Design\Design\FC22\DRR Jaime\QUIFA-CAJÚA\Cajua\[CAJUA_CF_SEC_New_27-Feb-2024Rev3.xlsx]D-PDP'!</v>
      </c>
      <c r="G2100" s="32" t="s">
        <v>115</v>
      </c>
      <c r="H2100" s="33">
        <f t="shared" si="505"/>
        <v>20</v>
      </c>
      <c r="I2100" s="33" t="str">
        <f t="shared" si="506"/>
        <v>='C:\Users\jaime.benazar\Quorum Business Solutions\Ecopetrol Prometeo - Documents\Planning Space Implementation\3. Analysis &amp; Design\Design\FC22\DRR Jaime\QUIFA-CAJÚA\Cajua\[CAJUA_CF_SEC_New_27-Feb-2024Rev3.xlsx]D-PDP'!$DC$20</v>
      </c>
      <c r="J2100" s="37" t="s">
        <v>2933</v>
      </c>
    </row>
    <row r="2101" spans="1:10" x14ac:dyDescent="0.25">
      <c r="A2101" s="32" t="s">
        <v>1</v>
      </c>
      <c r="B2101" s="32">
        <f t="shared" si="507"/>
        <v>2032</v>
      </c>
      <c r="C2101" s="33" t="s">
        <v>20</v>
      </c>
      <c r="D2101" s="34" t="s">
        <v>1999</v>
      </c>
      <c r="E2101" s="35" t="str">
        <f t="shared" si="503"/>
        <v>PDP'!</v>
      </c>
      <c r="F2101" s="34" t="str">
        <f t="shared" si="504"/>
        <v>C:\Users\jaime.benazar\Quorum Business Solutions\Ecopetrol Prometeo - Documents\Planning Space Implementation\3. Analysis &amp; Design\Design\FC22\DRR Jaime\QUIFA-CAJÚA\Cajua\[CAJUA_CF_SEC_New_27-Feb-2024Rev3.xlsx]D-PDP'!</v>
      </c>
      <c r="G2101" s="32" t="s">
        <v>115</v>
      </c>
      <c r="H2101" s="33">
        <f t="shared" si="505"/>
        <v>21</v>
      </c>
      <c r="I2101" s="33" t="str">
        <f t="shared" si="506"/>
        <v>='C:\Users\jaime.benazar\Quorum Business Solutions\Ecopetrol Prometeo - Documents\Planning Space Implementation\3. Analysis &amp; Design\Design\FC22\DRR Jaime\QUIFA-CAJÚA\Cajua\[CAJUA_CF_SEC_New_27-Feb-2024Rev3.xlsx]D-PDP'!$DC$21</v>
      </c>
      <c r="J2101" s="37" t="s">
        <v>2934</v>
      </c>
    </row>
    <row r="2102" spans="1:10" x14ac:dyDescent="0.25">
      <c r="A2102" s="32" t="s">
        <v>1</v>
      </c>
      <c r="B2102" s="32">
        <f t="shared" si="507"/>
        <v>2033</v>
      </c>
      <c r="C2102" s="33" t="s">
        <v>20</v>
      </c>
      <c r="D2102" s="34" t="s">
        <v>1999</v>
      </c>
      <c r="E2102" s="35" t="str">
        <f t="shared" si="503"/>
        <v>PDP'!</v>
      </c>
      <c r="F2102" s="34" t="str">
        <f t="shared" si="504"/>
        <v>C:\Users\jaime.benazar\Quorum Business Solutions\Ecopetrol Prometeo - Documents\Planning Space Implementation\3. Analysis &amp; Design\Design\FC22\DRR Jaime\QUIFA-CAJÚA\Cajua\[CAJUA_CF_SEC_New_27-Feb-2024Rev3.xlsx]D-PDP'!</v>
      </c>
      <c r="G2102" s="32" t="s">
        <v>115</v>
      </c>
      <c r="H2102" s="33">
        <f t="shared" si="505"/>
        <v>22</v>
      </c>
      <c r="I2102" s="33" t="str">
        <f t="shared" si="506"/>
        <v>='C:\Users\jaime.benazar\Quorum Business Solutions\Ecopetrol Prometeo - Documents\Planning Space Implementation\3. Analysis &amp; Design\Design\FC22\DRR Jaime\QUIFA-CAJÚA\Cajua\[CAJUA_CF_SEC_New_27-Feb-2024Rev3.xlsx]D-PDP'!$DC$22</v>
      </c>
      <c r="J2102" s="37" t="s">
        <v>2935</v>
      </c>
    </row>
    <row r="2103" spans="1:10" x14ac:dyDescent="0.25">
      <c r="A2103" s="32" t="s">
        <v>1</v>
      </c>
      <c r="B2103" s="32">
        <f t="shared" si="507"/>
        <v>2034</v>
      </c>
      <c r="C2103" s="33" t="s">
        <v>20</v>
      </c>
      <c r="D2103" s="34" t="s">
        <v>1999</v>
      </c>
      <c r="E2103" s="35" t="str">
        <f t="shared" si="503"/>
        <v>PDP'!</v>
      </c>
      <c r="F2103" s="34" t="str">
        <f t="shared" si="504"/>
        <v>C:\Users\jaime.benazar\Quorum Business Solutions\Ecopetrol Prometeo - Documents\Planning Space Implementation\3. Analysis &amp; Design\Design\FC22\DRR Jaime\QUIFA-CAJÚA\Cajua\[CAJUA_CF_SEC_New_27-Feb-2024Rev3.xlsx]D-PDP'!</v>
      </c>
      <c r="G2103" s="32" t="s">
        <v>115</v>
      </c>
      <c r="H2103" s="33">
        <f t="shared" si="505"/>
        <v>23</v>
      </c>
      <c r="I2103" s="33" t="str">
        <f t="shared" si="506"/>
        <v>='C:\Users\jaime.benazar\Quorum Business Solutions\Ecopetrol Prometeo - Documents\Planning Space Implementation\3. Analysis &amp; Design\Design\FC22\DRR Jaime\QUIFA-CAJÚA\Cajua\[CAJUA_CF_SEC_New_27-Feb-2024Rev3.xlsx]D-PDP'!$DC$23</v>
      </c>
      <c r="J2103" s="37" t="s">
        <v>2936</v>
      </c>
    </row>
    <row r="2104" spans="1:10" x14ac:dyDescent="0.25">
      <c r="A2104" s="32" t="s">
        <v>1</v>
      </c>
      <c r="B2104" s="32">
        <f t="shared" si="507"/>
        <v>2035</v>
      </c>
      <c r="C2104" s="33" t="s">
        <v>20</v>
      </c>
      <c r="D2104" s="34" t="s">
        <v>1999</v>
      </c>
      <c r="E2104" s="35" t="str">
        <f t="shared" si="503"/>
        <v>PDP'!</v>
      </c>
      <c r="F2104" s="34" t="str">
        <f t="shared" si="504"/>
        <v>C:\Users\jaime.benazar\Quorum Business Solutions\Ecopetrol Prometeo - Documents\Planning Space Implementation\3. Analysis &amp; Design\Design\FC22\DRR Jaime\QUIFA-CAJÚA\Cajua\[CAJUA_CF_SEC_New_27-Feb-2024Rev3.xlsx]D-PDP'!</v>
      </c>
      <c r="G2104" s="32" t="s">
        <v>115</v>
      </c>
      <c r="H2104" s="33">
        <f t="shared" si="505"/>
        <v>24</v>
      </c>
      <c r="I2104" s="33" t="str">
        <f t="shared" si="506"/>
        <v>='C:\Users\jaime.benazar\Quorum Business Solutions\Ecopetrol Prometeo - Documents\Planning Space Implementation\3. Analysis &amp; Design\Design\FC22\DRR Jaime\QUIFA-CAJÚA\Cajua\[CAJUA_CF_SEC_New_27-Feb-2024Rev3.xlsx]D-PDP'!$DC$24</v>
      </c>
      <c r="J2104" s="37" t="s">
        <v>2937</v>
      </c>
    </row>
    <row r="2105" spans="1:10" x14ac:dyDescent="0.25">
      <c r="A2105" s="32" t="s">
        <v>1</v>
      </c>
      <c r="B2105" s="32">
        <f t="shared" si="507"/>
        <v>2036</v>
      </c>
      <c r="C2105" s="33" t="s">
        <v>20</v>
      </c>
      <c r="D2105" s="34" t="s">
        <v>1999</v>
      </c>
      <c r="E2105" s="35" t="str">
        <f t="shared" si="503"/>
        <v>PDP'!</v>
      </c>
      <c r="F2105" s="34" t="str">
        <f t="shared" si="504"/>
        <v>C:\Users\jaime.benazar\Quorum Business Solutions\Ecopetrol Prometeo - Documents\Planning Space Implementation\3. Analysis &amp; Design\Design\FC22\DRR Jaime\QUIFA-CAJÚA\Cajua\[CAJUA_CF_SEC_New_27-Feb-2024Rev3.xlsx]D-PDP'!</v>
      </c>
      <c r="G2105" s="32" t="s">
        <v>115</v>
      </c>
      <c r="H2105" s="33">
        <f t="shared" si="505"/>
        <v>25</v>
      </c>
      <c r="I2105" s="33" t="str">
        <f t="shared" si="506"/>
        <v>='C:\Users\jaime.benazar\Quorum Business Solutions\Ecopetrol Prometeo - Documents\Planning Space Implementation\3. Analysis &amp; Design\Design\FC22\DRR Jaime\QUIFA-CAJÚA\Cajua\[CAJUA_CF_SEC_New_27-Feb-2024Rev3.xlsx]D-PDP'!$DC$25</v>
      </c>
      <c r="J2105" s="37" t="s">
        <v>2938</v>
      </c>
    </row>
    <row r="2106" spans="1:10" x14ac:dyDescent="0.25">
      <c r="A2106" s="32" t="s">
        <v>1</v>
      </c>
      <c r="B2106" s="32">
        <f>+B2105+1</f>
        <v>2037</v>
      </c>
      <c r="C2106" s="33" t="s">
        <v>20</v>
      </c>
      <c r="D2106" s="34" t="s">
        <v>1999</v>
      </c>
      <c r="E2106" s="35" t="str">
        <f t="shared" si="503"/>
        <v>PDP'!</v>
      </c>
      <c r="F2106" s="34" t="str">
        <f t="shared" si="504"/>
        <v>C:\Users\jaime.benazar\Quorum Business Solutions\Ecopetrol Prometeo - Documents\Planning Space Implementation\3. Analysis &amp; Design\Design\FC22\DRR Jaime\QUIFA-CAJÚA\Cajua\[CAJUA_CF_SEC_New_27-Feb-2024Rev3.xlsx]D-PDP'!</v>
      </c>
      <c r="G2106" s="32" t="s">
        <v>115</v>
      </c>
      <c r="H2106" s="33">
        <f t="shared" si="505"/>
        <v>26</v>
      </c>
      <c r="I2106" s="33" t="str">
        <f t="shared" si="506"/>
        <v>='C:\Users\jaime.benazar\Quorum Business Solutions\Ecopetrol Prometeo - Documents\Planning Space Implementation\3. Analysis &amp; Design\Design\FC22\DRR Jaime\QUIFA-CAJÚA\Cajua\[CAJUA_CF_SEC_New_27-Feb-2024Rev3.xlsx]D-PDP'!$DC$26</v>
      </c>
      <c r="J2106" s="37" t="s">
        <v>2939</v>
      </c>
    </row>
    <row r="2107" spans="1:10" x14ac:dyDescent="0.25">
      <c r="A2107" s="32" t="s">
        <v>1</v>
      </c>
      <c r="B2107" s="32">
        <f t="shared" ref="B2107:B2109" si="508">+B2106+1</f>
        <v>2038</v>
      </c>
      <c r="C2107" s="33" t="s">
        <v>20</v>
      </c>
      <c r="D2107" s="34" t="s">
        <v>1999</v>
      </c>
      <c r="E2107" s="35" t="str">
        <f t="shared" si="503"/>
        <v>PDP'!</v>
      </c>
      <c r="F2107" s="34" t="str">
        <f t="shared" si="504"/>
        <v>C:\Users\jaime.benazar\Quorum Business Solutions\Ecopetrol Prometeo - Documents\Planning Space Implementation\3. Analysis &amp; Design\Design\FC22\DRR Jaime\QUIFA-CAJÚA\Cajua\[CAJUA_CF_SEC_New_27-Feb-2024Rev3.xlsx]D-PDP'!</v>
      </c>
      <c r="G2107" s="32" t="s">
        <v>115</v>
      </c>
      <c r="H2107" s="33">
        <f t="shared" si="505"/>
        <v>27</v>
      </c>
      <c r="I2107" s="33" t="str">
        <f t="shared" si="506"/>
        <v>='C:\Users\jaime.benazar\Quorum Business Solutions\Ecopetrol Prometeo - Documents\Planning Space Implementation\3. Analysis &amp; Design\Design\FC22\DRR Jaime\QUIFA-CAJÚA\Cajua\[CAJUA_CF_SEC_New_27-Feb-2024Rev3.xlsx]D-PDP'!$DC$27</v>
      </c>
      <c r="J2107" s="37" t="s">
        <v>2940</v>
      </c>
    </row>
    <row r="2108" spans="1:10" x14ac:dyDescent="0.25">
      <c r="A2108" s="32" t="s">
        <v>1</v>
      </c>
      <c r="B2108" s="32">
        <f t="shared" si="508"/>
        <v>2039</v>
      </c>
      <c r="C2108" s="33" t="s">
        <v>20</v>
      </c>
      <c r="D2108" s="34" t="s">
        <v>1999</v>
      </c>
      <c r="E2108" s="35" t="str">
        <f t="shared" si="503"/>
        <v>PDP'!</v>
      </c>
      <c r="F2108" s="34" t="str">
        <f t="shared" si="504"/>
        <v>C:\Users\jaime.benazar\Quorum Business Solutions\Ecopetrol Prometeo - Documents\Planning Space Implementation\3. Analysis &amp; Design\Design\FC22\DRR Jaime\QUIFA-CAJÚA\Cajua\[CAJUA_CF_SEC_New_27-Feb-2024Rev3.xlsx]D-PDP'!</v>
      </c>
      <c r="G2108" s="32" t="s">
        <v>115</v>
      </c>
      <c r="H2108" s="33">
        <f t="shared" si="505"/>
        <v>28</v>
      </c>
      <c r="I2108" s="33" t="str">
        <f t="shared" si="506"/>
        <v>='C:\Users\jaime.benazar\Quorum Business Solutions\Ecopetrol Prometeo - Documents\Planning Space Implementation\3. Analysis &amp; Design\Design\FC22\DRR Jaime\QUIFA-CAJÚA\Cajua\[CAJUA_CF_SEC_New_27-Feb-2024Rev3.xlsx]D-PDP'!$DC$28</v>
      </c>
      <c r="J2108" s="37" t="s">
        <v>2941</v>
      </c>
    </row>
    <row r="2109" spans="1:10" x14ac:dyDescent="0.25">
      <c r="A2109" s="32" t="s">
        <v>1</v>
      </c>
      <c r="B2109" s="32">
        <f t="shared" si="508"/>
        <v>2040</v>
      </c>
      <c r="C2109" s="33" t="s">
        <v>20</v>
      </c>
      <c r="D2109" s="34" t="s">
        <v>1999</v>
      </c>
      <c r="E2109" s="35" t="str">
        <f t="shared" si="503"/>
        <v>PDP'!</v>
      </c>
      <c r="F2109" s="34" t="str">
        <f t="shared" si="504"/>
        <v>C:\Users\jaime.benazar\Quorum Business Solutions\Ecopetrol Prometeo - Documents\Planning Space Implementation\3. Analysis &amp; Design\Design\FC22\DRR Jaime\QUIFA-CAJÚA\Cajua\[CAJUA_CF_SEC_New_27-Feb-2024Rev3.xlsx]D-PDP'!</v>
      </c>
      <c r="G2109" s="32" t="s">
        <v>115</v>
      </c>
      <c r="H2109" s="33">
        <f t="shared" si="505"/>
        <v>29</v>
      </c>
      <c r="I2109" s="33" t="str">
        <f t="shared" si="506"/>
        <v>='C:\Users\jaime.benazar\Quorum Business Solutions\Ecopetrol Prometeo - Documents\Planning Space Implementation\3. Analysis &amp; Design\Design\FC22\DRR Jaime\QUIFA-CAJÚA\Cajua\[CAJUA_CF_SEC_New_27-Feb-2024Rev3.xlsx]D-PDP'!$DC$29</v>
      </c>
      <c r="J2109" s="37" t="s">
        <v>2942</v>
      </c>
    </row>
    <row r="2110" spans="1:10" x14ac:dyDescent="0.25">
      <c r="A2110" s="32" t="s">
        <v>1</v>
      </c>
      <c r="B2110" s="32">
        <f>+B2109+1</f>
        <v>2041</v>
      </c>
      <c r="C2110" s="33" t="s">
        <v>20</v>
      </c>
      <c r="D2110" s="34" t="s">
        <v>1999</v>
      </c>
      <c r="E2110" s="35" t="str">
        <f t="shared" si="503"/>
        <v>PDP'!</v>
      </c>
      <c r="F2110" s="34" t="str">
        <f t="shared" si="504"/>
        <v>C:\Users\jaime.benazar\Quorum Business Solutions\Ecopetrol Prometeo - Documents\Planning Space Implementation\3. Analysis &amp; Design\Design\FC22\DRR Jaime\QUIFA-CAJÚA\Cajua\[CAJUA_CF_SEC_New_27-Feb-2024Rev3.xlsx]D-PDP'!</v>
      </c>
      <c r="G2110" s="32" t="s">
        <v>115</v>
      </c>
      <c r="H2110" s="33">
        <f t="shared" si="505"/>
        <v>30</v>
      </c>
      <c r="I2110" s="33" t="str">
        <f t="shared" si="506"/>
        <v>='C:\Users\jaime.benazar\Quorum Business Solutions\Ecopetrol Prometeo - Documents\Planning Space Implementation\3. Analysis &amp; Design\Design\FC22\DRR Jaime\QUIFA-CAJÚA\Cajua\[CAJUA_CF_SEC_New_27-Feb-2024Rev3.xlsx]D-PDP'!$DC$30</v>
      </c>
      <c r="J2110" s="37" t="s">
        <v>2943</v>
      </c>
    </row>
    <row r="2111" spans="1:10" x14ac:dyDescent="0.25">
      <c r="A2111" s="32" t="s">
        <v>1</v>
      </c>
      <c r="B2111" s="32">
        <f t="shared" ref="B2111:B2112" si="509">+B2110+1</f>
        <v>2042</v>
      </c>
      <c r="C2111" s="33" t="s">
        <v>20</v>
      </c>
      <c r="D2111" s="34" t="s">
        <v>1999</v>
      </c>
      <c r="E2111" s="35" t="str">
        <f t="shared" si="503"/>
        <v>PDP'!</v>
      </c>
      <c r="F2111" s="34" t="str">
        <f t="shared" si="504"/>
        <v>C:\Users\jaime.benazar\Quorum Business Solutions\Ecopetrol Prometeo - Documents\Planning Space Implementation\3. Analysis &amp; Design\Design\FC22\DRR Jaime\QUIFA-CAJÚA\Cajua\[CAJUA_CF_SEC_New_27-Feb-2024Rev3.xlsx]D-PDP'!</v>
      </c>
      <c r="G2111" s="32" t="s">
        <v>115</v>
      </c>
      <c r="H2111" s="33">
        <f t="shared" si="505"/>
        <v>31</v>
      </c>
      <c r="I2111" s="33" t="str">
        <f t="shared" si="506"/>
        <v>='C:\Users\jaime.benazar\Quorum Business Solutions\Ecopetrol Prometeo - Documents\Planning Space Implementation\3. Analysis &amp; Design\Design\FC22\DRR Jaime\QUIFA-CAJÚA\Cajua\[CAJUA_CF_SEC_New_27-Feb-2024Rev3.xlsx]D-PDP'!$DC$31</v>
      </c>
      <c r="J2111" s="37" t="s">
        <v>2944</v>
      </c>
    </row>
    <row r="2112" spans="1:10" x14ac:dyDescent="0.25">
      <c r="A2112" s="32" t="s">
        <v>1</v>
      </c>
      <c r="B2112" s="32">
        <f t="shared" si="509"/>
        <v>2043</v>
      </c>
      <c r="C2112" s="33" t="s">
        <v>20</v>
      </c>
      <c r="D2112" s="34" t="s">
        <v>1999</v>
      </c>
      <c r="E2112" s="35" t="str">
        <f t="shared" si="503"/>
        <v>PDP'!</v>
      </c>
      <c r="F2112" s="34" t="str">
        <f t="shared" si="504"/>
        <v>C:\Users\jaime.benazar\Quorum Business Solutions\Ecopetrol Prometeo - Documents\Planning Space Implementation\3. Analysis &amp; Design\Design\FC22\DRR Jaime\QUIFA-CAJÚA\Cajua\[CAJUA_CF_SEC_New_27-Feb-2024Rev3.xlsx]D-PDP'!</v>
      </c>
      <c r="G2112" s="32" t="s">
        <v>115</v>
      </c>
      <c r="H2112" s="33">
        <f t="shared" si="505"/>
        <v>32</v>
      </c>
      <c r="I2112" s="33" t="str">
        <f t="shared" si="506"/>
        <v>='C:\Users\jaime.benazar\Quorum Business Solutions\Ecopetrol Prometeo - Documents\Planning Space Implementation\3. Analysis &amp; Design\Design\FC22\DRR Jaime\QUIFA-CAJÚA\Cajua\[CAJUA_CF_SEC_New_27-Feb-2024Rev3.xlsx]D-PDP'!$DC$32</v>
      </c>
      <c r="J2112" s="37" t="s">
        <v>2945</v>
      </c>
    </row>
    <row r="2113" spans="1:10" x14ac:dyDescent="0.25">
      <c r="A2113" s="32" t="s">
        <v>1</v>
      </c>
      <c r="B2113" s="32">
        <f>+B2112+1</f>
        <v>2044</v>
      </c>
      <c r="C2113" s="33" t="s">
        <v>20</v>
      </c>
      <c r="D2113" s="34" t="s">
        <v>1999</v>
      </c>
      <c r="E2113" s="35" t="str">
        <f t="shared" ref="E2113:E2128" si="510">_xlfn.CONCAT(A2113,"'!")</f>
        <v>PDP'!</v>
      </c>
      <c r="F2113" s="34" t="str">
        <f t="shared" ref="F2113:F2128" si="511">_xlfn.CONCAT(D2113:E2113)</f>
        <v>C:\Users\jaime.benazar\Quorum Business Solutions\Ecopetrol Prometeo - Documents\Planning Space Implementation\3. Analysis &amp; Design\Design\FC22\DRR Jaime\QUIFA-CAJÚA\Cajua\[CAJUA_CF_SEC_New_27-Feb-2024Rev3.xlsx]D-PDP'!</v>
      </c>
      <c r="G2113" s="32" t="s">
        <v>115</v>
      </c>
      <c r="H2113" s="33">
        <f t="shared" ref="H2113:H2128" si="512">IF(A2113&lt;&gt;A2112,12,H2112+1)</f>
        <v>33</v>
      </c>
      <c r="I2113" s="33" t="str">
        <f t="shared" ref="I2113:I2128" si="513">_xlfn.CONCAT("='",F2113:H2113)</f>
        <v>='C:\Users\jaime.benazar\Quorum Business Solutions\Ecopetrol Prometeo - Documents\Planning Space Implementation\3. Analysis &amp; Design\Design\FC22\DRR Jaime\QUIFA-CAJÚA\Cajua\[CAJUA_CF_SEC_New_27-Feb-2024Rev3.xlsx]D-PDP'!$DC$33</v>
      </c>
      <c r="J2113" s="37" t="s">
        <v>2946</v>
      </c>
    </row>
    <row r="2114" spans="1:10" x14ac:dyDescent="0.25">
      <c r="A2114" s="32" t="s">
        <v>1</v>
      </c>
      <c r="B2114" s="32">
        <f t="shared" ref="B2114:B2128" si="514">+B2113+1</f>
        <v>2045</v>
      </c>
      <c r="C2114" s="33" t="s">
        <v>20</v>
      </c>
      <c r="D2114" s="34" t="s">
        <v>1999</v>
      </c>
      <c r="E2114" s="35" t="str">
        <f t="shared" si="510"/>
        <v>PDP'!</v>
      </c>
      <c r="F2114" s="34" t="str">
        <f t="shared" si="511"/>
        <v>C:\Users\jaime.benazar\Quorum Business Solutions\Ecopetrol Prometeo - Documents\Planning Space Implementation\3. Analysis &amp; Design\Design\FC22\DRR Jaime\QUIFA-CAJÚA\Cajua\[CAJUA_CF_SEC_New_27-Feb-2024Rev3.xlsx]D-PDP'!</v>
      </c>
      <c r="G2114" s="32" t="s">
        <v>115</v>
      </c>
      <c r="H2114" s="33">
        <f t="shared" si="512"/>
        <v>34</v>
      </c>
      <c r="I2114" s="33" t="str">
        <f t="shared" si="513"/>
        <v>='C:\Users\jaime.benazar\Quorum Business Solutions\Ecopetrol Prometeo - Documents\Planning Space Implementation\3. Analysis &amp; Design\Design\FC22\DRR Jaime\QUIFA-CAJÚA\Cajua\[CAJUA_CF_SEC_New_27-Feb-2024Rev3.xlsx]D-PDP'!$DC$34</v>
      </c>
      <c r="J2114" s="37" t="s">
        <v>2947</v>
      </c>
    </row>
    <row r="2115" spans="1:10" x14ac:dyDescent="0.25">
      <c r="A2115" s="32" t="s">
        <v>1</v>
      </c>
      <c r="B2115" s="32">
        <f t="shared" si="514"/>
        <v>2046</v>
      </c>
      <c r="C2115" s="33" t="s">
        <v>20</v>
      </c>
      <c r="D2115" s="34" t="s">
        <v>1999</v>
      </c>
      <c r="E2115" s="35" t="str">
        <f t="shared" si="510"/>
        <v>PDP'!</v>
      </c>
      <c r="F2115" s="34" t="str">
        <f t="shared" si="511"/>
        <v>C:\Users\jaime.benazar\Quorum Business Solutions\Ecopetrol Prometeo - Documents\Planning Space Implementation\3. Analysis &amp; Design\Design\FC22\DRR Jaime\QUIFA-CAJÚA\Cajua\[CAJUA_CF_SEC_New_27-Feb-2024Rev3.xlsx]D-PDP'!</v>
      </c>
      <c r="G2115" s="32" t="s">
        <v>115</v>
      </c>
      <c r="H2115" s="33">
        <f t="shared" si="512"/>
        <v>35</v>
      </c>
      <c r="I2115" s="33" t="str">
        <f t="shared" si="513"/>
        <v>='C:\Users\jaime.benazar\Quorum Business Solutions\Ecopetrol Prometeo - Documents\Planning Space Implementation\3. Analysis &amp; Design\Design\FC22\DRR Jaime\QUIFA-CAJÚA\Cajua\[CAJUA_CF_SEC_New_27-Feb-2024Rev3.xlsx]D-PDP'!$DC$35</v>
      </c>
      <c r="J2115" s="37" t="s">
        <v>2948</v>
      </c>
    </row>
    <row r="2116" spans="1:10" x14ac:dyDescent="0.25">
      <c r="A2116" s="32" t="s">
        <v>1</v>
      </c>
      <c r="B2116" s="32">
        <f t="shared" si="514"/>
        <v>2047</v>
      </c>
      <c r="C2116" s="33" t="s">
        <v>20</v>
      </c>
      <c r="D2116" s="34" t="s">
        <v>1999</v>
      </c>
      <c r="E2116" s="35" t="str">
        <f t="shared" si="510"/>
        <v>PDP'!</v>
      </c>
      <c r="F2116" s="34" t="str">
        <f t="shared" si="511"/>
        <v>C:\Users\jaime.benazar\Quorum Business Solutions\Ecopetrol Prometeo - Documents\Planning Space Implementation\3. Analysis &amp; Design\Design\FC22\DRR Jaime\QUIFA-CAJÚA\Cajua\[CAJUA_CF_SEC_New_27-Feb-2024Rev3.xlsx]D-PDP'!</v>
      </c>
      <c r="G2116" s="32" t="s">
        <v>115</v>
      </c>
      <c r="H2116" s="33">
        <f t="shared" si="512"/>
        <v>36</v>
      </c>
      <c r="I2116" s="33" t="str">
        <f t="shared" si="513"/>
        <v>='C:\Users\jaime.benazar\Quorum Business Solutions\Ecopetrol Prometeo - Documents\Planning Space Implementation\3. Analysis &amp; Design\Design\FC22\DRR Jaime\QUIFA-CAJÚA\Cajua\[CAJUA_CF_SEC_New_27-Feb-2024Rev3.xlsx]D-PDP'!$DC$36</v>
      </c>
      <c r="J2116" s="37" t="s">
        <v>2949</v>
      </c>
    </row>
    <row r="2117" spans="1:10" x14ac:dyDescent="0.25">
      <c r="A2117" s="32" t="s">
        <v>1</v>
      </c>
      <c r="B2117" s="32">
        <f t="shared" si="514"/>
        <v>2048</v>
      </c>
      <c r="C2117" s="33" t="s">
        <v>20</v>
      </c>
      <c r="D2117" s="34" t="s">
        <v>1999</v>
      </c>
      <c r="E2117" s="35" t="str">
        <f t="shared" si="510"/>
        <v>PDP'!</v>
      </c>
      <c r="F2117" s="34" t="str">
        <f t="shared" si="511"/>
        <v>C:\Users\jaime.benazar\Quorum Business Solutions\Ecopetrol Prometeo - Documents\Planning Space Implementation\3. Analysis &amp; Design\Design\FC22\DRR Jaime\QUIFA-CAJÚA\Cajua\[CAJUA_CF_SEC_New_27-Feb-2024Rev3.xlsx]D-PDP'!</v>
      </c>
      <c r="G2117" s="32" t="s">
        <v>115</v>
      </c>
      <c r="H2117" s="33">
        <f t="shared" si="512"/>
        <v>37</v>
      </c>
      <c r="I2117" s="33" t="str">
        <f t="shared" si="513"/>
        <v>='C:\Users\jaime.benazar\Quorum Business Solutions\Ecopetrol Prometeo - Documents\Planning Space Implementation\3. Analysis &amp; Design\Design\FC22\DRR Jaime\QUIFA-CAJÚA\Cajua\[CAJUA_CF_SEC_New_27-Feb-2024Rev3.xlsx]D-PDP'!$DC$37</v>
      </c>
      <c r="J2117" s="37" t="s">
        <v>2950</v>
      </c>
    </row>
    <row r="2118" spans="1:10" x14ac:dyDescent="0.25">
      <c r="A2118" s="32" t="s">
        <v>1</v>
      </c>
      <c r="B2118" s="32">
        <f t="shared" si="514"/>
        <v>2049</v>
      </c>
      <c r="C2118" s="33" t="s">
        <v>20</v>
      </c>
      <c r="D2118" s="34" t="s">
        <v>1999</v>
      </c>
      <c r="E2118" s="35" t="str">
        <f t="shared" si="510"/>
        <v>PDP'!</v>
      </c>
      <c r="F2118" s="34" t="str">
        <f t="shared" si="511"/>
        <v>C:\Users\jaime.benazar\Quorum Business Solutions\Ecopetrol Prometeo - Documents\Planning Space Implementation\3. Analysis &amp; Design\Design\FC22\DRR Jaime\QUIFA-CAJÚA\Cajua\[CAJUA_CF_SEC_New_27-Feb-2024Rev3.xlsx]D-PDP'!</v>
      </c>
      <c r="G2118" s="32" t="s">
        <v>115</v>
      </c>
      <c r="H2118" s="33">
        <f t="shared" si="512"/>
        <v>38</v>
      </c>
      <c r="I2118" s="33" t="str">
        <f t="shared" si="513"/>
        <v>='C:\Users\jaime.benazar\Quorum Business Solutions\Ecopetrol Prometeo - Documents\Planning Space Implementation\3. Analysis &amp; Design\Design\FC22\DRR Jaime\QUIFA-CAJÚA\Cajua\[CAJUA_CF_SEC_New_27-Feb-2024Rev3.xlsx]D-PDP'!$DC$38</v>
      </c>
      <c r="J2118" s="37" t="s">
        <v>2951</v>
      </c>
    </row>
    <row r="2119" spans="1:10" x14ac:dyDescent="0.25">
      <c r="A2119" s="32" t="s">
        <v>1</v>
      </c>
      <c r="B2119" s="32">
        <f t="shared" si="514"/>
        <v>2050</v>
      </c>
      <c r="C2119" s="33" t="s">
        <v>20</v>
      </c>
      <c r="D2119" s="34" t="s">
        <v>1999</v>
      </c>
      <c r="E2119" s="35" t="str">
        <f t="shared" si="510"/>
        <v>PDP'!</v>
      </c>
      <c r="F2119" s="34" t="str">
        <f t="shared" si="511"/>
        <v>C:\Users\jaime.benazar\Quorum Business Solutions\Ecopetrol Prometeo - Documents\Planning Space Implementation\3. Analysis &amp; Design\Design\FC22\DRR Jaime\QUIFA-CAJÚA\Cajua\[CAJUA_CF_SEC_New_27-Feb-2024Rev3.xlsx]D-PDP'!</v>
      </c>
      <c r="G2119" s="32" t="s">
        <v>115</v>
      </c>
      <c r="H2119" s="33">
        <f t="shared" si="512"/>
        <v>39</v>
      </c>
      <c r="I2119" s="33" t="str">
        <f t="shared" si="513"/>
        <v>='C:\Users\jaime.benazar\Quorum Business Solutions\Ecopetrol Prometeo - Documents\Planning Space Implementation\3. Analysis &amp; Design\Design\FC22\DRR Jaime\QUIFA-CAJÚA\Cajua\[CAJUA_CF_SEC_New_27-Feb-2024Rev3.xlsx]D-PDP'!$DC$39</v>
      </c>
      <c r="J2119" s="37" t="s">
        <v>2952</v>
      </c>
    </row>
    <row r="2120" spans="1:10" x14ac:dyDescent="0.25">
      <c r="A2120" s="32" t="s">
        <v>1</v>
      </c>
      <c r="B2120" s="32">
        <f t="shared" si="514"/>
        <v>2051</v>
      </c>
      <c r="C2120" s="33" t="s">
        <v>20</v>
      </c>
      <c r="D2120" s="34" t="s">
        <v>1999</v>
      </c>
      <c r="E2120" s="35" t="str">
        <f t="shared" si="510"/>
        <v>PDP'!</v>
      </c>
      <c r="F2120" s="34" t="str">
        <f t="shared" si="511"/>
        <v>C:\Users\jaime.benazar\Quorum Business Solutions\Ecopetrol Prometeo - Documents\Planning Space Implementation\3. Analysis &amp; Design\Design\FC22\DRR Jaime\QUIFA-CAJÚA\Cajua\[CAJUA_CF_SEC_New_27-Feb-2024Rev3.xlsx]D-PDP'!</v>
      </c>
      <c r="G2120" s="32" t="s">
        <v>115</v>
      </c>
      <c r="H2120" s="33">
        <f t="shared" si="512"/>
        <v>40</v>
      </c>
      <c r="I2120" s="33" t="str">
        <f t="shared" si="513"/>
        <v>='C:\Users\jaime.benazar\Quorum Business Solutions\Ecopetrol Prometeo - Documents\Planning Space Implementation\3. Analysis &amp; Design\Design\FC22\DRR Jaime\QUIFA-CAJÚA\Cajua\[CAJUA_CF_SEC_New_27-Feb-2024Rev3.xlsx]D-PDP'!$DC$40</v>
      </c>
      <c r="J2120" s="37" t="s">
        <v>2953</v>
      </c>
    </row>
    <row r="2121" spans="1:10" x14ac:dyDescent="0.25">
      <c r="A2121" s="32" t="s">
        <v>1</v>
      </c>
      <c r="B2121" s="32">
        <f t="shared" si="514"/>
        <v>2052</v>
      </c>
      <c r="C2121" s="33" t="s">
        <v>20</v>
      </c>
      <c r="D2121" s="34" t="s">
        <v>1999</v>
      </c>
      <c r="E2121" s="35" t="str">
        <f t="shared" si="510"/>
        <v>PDP'!</v>
      </c>
      <c r="F2121" s="34" t="str">
        <f t="shared" si="511"/>
        <v>C:\Users\jaime.benazar\Quorum Business Solutions\Ecopetrol Prometeo - Documents\Planning Space Implementation\3. Analysis &amp; Design\Design\FC22\DRR Jaime\QUIFA-CAJÚA\Cajua\[CAJUA_CF_SEC_New_27-Feb-2024Rev3.xlsx]D-PDP'!</v>
      </c>
      <c r="G2121" s="32" t="s">
        <v>115</v>
      </c>
      <c r="H2121" s="33">
        <f t="shared" si="512"/>
        <v>41</v>
      </c>
      <c r="I2121" s="33" t="str">
        <f t="shared" si="513"/>
        <v>='C:\Users\jaime.benazar\Quorum Business Solutions\Ecopetrol Prometeo - Documents\Planning Space Implementation\3. Analysis &amp; Design\Design\FC22\DRR Jaime\QUIFA-CAJÚA\Cajua\[CAJUA_CF_SEC_New_27-Feb-2024Rev3.xlsx]D-PDP'!$DC$41</v>
      </c>
      <c r="J2121" s="37" t="s">
        <v>2954</v>
      </c>
    </row>
    <row r="2122" spans="1:10" x14ac:dyDescent="0.25">
      <c r="A2122" s="32" t="s">
        <v>1</v>
      </c>
      <c r="B2122" s="32">
        <f t="shared" si="514"/>
        <v>2053</v>
      </c>
      <c r="C2122" s="33" t="s">
        <v>20</v>
      </c>
      <c r="D2122" s="34" t="s">
        <v>1999</v>
      </c>
      <c r="E2122" s="35" t="str">
        <f t="shared" si="510"/>
        <v>PDP'!</v>
      </c>
      <c r="F2122" s="34" t="str">
        <f t="shared" si="511"/>
        <v>C:\Users\jaime.benazar\Quorum Business Solutions\Ecopetrol Prometeo - Documents\Planning Space Implementation\3. Analysis &amp; Design\Design\FC22\DRR Jaime\QUIFA-CAJÚA\Cajua\[CAJUA_CF_SEC_New_27-Feb-2024Rev3.xlsx]D-PDP'!</v>
      </c>
      <c r="G2122" s="32" t="s">
        <v>115</v>
      </c>
      <c r="H2122" s="33">
        <f t="shared" si="512"/>
        <v>42</v>
      </c>
      <c r="I2122" s="33" t="str">
        <f t="shared" si="513"/>
        <v>='C:\Users\jaime.benazar\Quorum Business Solutions\Ecopetrol Prometeo - Documents\Planning Space Implementation\3. Analysis &amp; Design\Design\FC22\DRR Jaime\QUIFA-CAJÚA\Cajua\[CAJUA_CF_SEC_New_27-Feb-2024Rev3.xlsx]D-PDP'!$DC$42</v>
      </c>
      <c r="J2122" s="37" t="s">
        <v>2955</v>
      </c>
    </row>
    <row r="2123" spans="1:10" x14ac:dyDescent="0.25">
      <c r="A2123" s="32" t="s">
        <v>1</v>
      </c>
      <c r="B2123" s="32">
        <f t="shared" si="514"/>
        <v>2054</v>
      </c>
      <c r="C2123" s="33" t="s">
        <v>20</v>
      </c>
      <c r="D2123" s="34" t="s">
        <v>1999</v>
      </c>
      <c r="E2123" s="35" t="str">
        <f t="shared" si="510"/>
        <v>PDP'!</v>
      </c>
      <c r="F2123" s="34" t="str">
        <f t="shared" si="511"/>
        <v>C:\Users\jaime.benazar\Quorum Business Solutions\Ecopetrol Prometeo - Documents\Planning Space Implementation\3. Analysis &amp; Design\Design\FC22\DRR Jaime\QUIFA-CAJÚA\Cajua\[CAJUA_CF_SEC_New_27-Feb-2024Rev3.xlsx]D-PDP'!</v>
      </c>
      <c r="G2123" s="32" t="s">
        <v>115</v>
      </c>
      <c r="H2123" s="33">
        <f t="shared" si="512"/>
        <v>43</v>
      </c>
      <c r="I2123" s="33" t="str">
        <f t="shared" si="513"/>
        <v>='C:\Users\jaime.benazar\Quorum Business Solutions\Ecopetrol Prometeo - Documents\Planning Space Implementation\3. Analysis &amp; Design\Design\FC22\DRR Jaime\QUIFA-CAJÚA\Cajua\[CAJUA_CF_SEC_New_27-Feb-2024Rev3.xlsx]D-PDP'!$DC$43</v>
      </c>
      <c r="J2123" s="37" t="s">
        <v>2956</v>
      </c>
    </row>
    <row r="2124" spans="1:10" x14ac:dyDescent="0.25">
      <c r="A2124" s="32" t="s">
        <v>1</v>
      </c>
      <c r="B2124" s="32">
        <f t="shared" si="514"/>
        <v>2055</v>
      </c>
      <c r="C2124" s="33" t="s">
        <v>20</v>
      </c>
      <c r="D2124" s="34" t="s">
        <v>1999</v>
      </c>
      <c r="E2124" s="35" t="str">
        <f t="shared" si="510"/>
        <v>PDP'!</v>
      </c>
      <c r="F2124" s="34" t="str">
        <f t="shared" si="511"/>
        <v>C:\Users\jaime.benazar\Quorum Business Solutions\Ecopetrol Prometeo - Documents\Planning Space Implementation\3. Analysis &amp; Design\Design\FC22\DRR Jaime\QUIFA-CAJÚA\Cajua\[CAJUA_CF_SEC_New_27-Feb-2024Rev3.xlsx]D-PDP'!</v>
      </c>
      <c r="G2124" s="32" t="s">
        <v>115</v>
      </c>
      <c r="H2124" s="33">
        <f t="shared" si="512"/>
        <v>44</v>
      </c>
      <c r="I2124" s="33" t="str">
        <f t="shared" si="513"/>
        <v>='C:\Users\jaime.benazar\Quorum Business Solutions\Ecopetrol Prometeo - Documents\Planning Space Implementation\3. Analysis &amp; Design\Design\FC22\DRR Jaime\QUIFA-CAJÚA\Cajua\[CAJUA_CF_SEC_New_27-Feb-2024Rev3.xlsx]D-PDP'!$DC$44</v>
      </c>
      <c r="J2124" s="37" t="s">
        <v>2957</v>
      </c>
    </row>
    <row r="2125" spans="1:10" x14ac:dyDescent="0.25">
      <c r="A2125" s="32" t="s">
        <v>1</v>
      </c>
      <c r="B2125" s="32">
        <f t="shared" si="514"/>
        <v>2056</v>
      </c>
      <c r="C2125" s="33" t="s">
        <v>20</v>
      </c>
      <c r="D2125" s="34" t="s">
        <v>1999</v>
      </c>
      <c r="E2125" s="35" t="str">
        <f t="shared" si="510"/>
        <v>PDP'!</v>
      </c>
      <c r="F2125" s="34" t="str">
        <f t="shared" si="511"/>
        <v>C:\Users\jaime.benazar\Quorum Business Solutions\Ecopetrol Prometeo - Documents\Planning Space Implementation\3. Analysis &amp; Design\Design\FC22\DRR Jaime\QUIFA-CAJÚA\Cajua\[CAJUA_CF_SEC_New_27-Feb-2024Rev3.xlsx]D-PDP'!</v>
      </c>
      <c r="G2125" s="32" t="s">
        <v>115</v>
      </c>
      <c r="H2125" s="33">
        <f t="shared" si="512"/>
        <v>45</v>
      </c>
      <c r="I2125" s="33" t="str">
        <f t="shared" si="513"/>
        <v>='C:\Users\jaime.benazar\Quorum Business Solutions\Ecopetrol Prometeo - Documents\Planning Space Implementation\3. Analysis &amp; Design\Design\FC22\DRR Jaime\QUIFA-CAJÚA\Cajua\[CAJUA_CF_SEC_New_27-Feb-2024Rev3.xlsx]D-PDP'!$DC$45</v>
      </c>
      <c r="J2125" s="37" t="s">
        <v>2958</v>
      </c>
    </row>
    <row r="2126" spans="1:10" x14ac:dyDescent="0.25">
      <c r="A2126" s="32" t="s">
        <v>1</v>
      </c>
      <c r="B2126" s="32">
        <f t="shared" si="514"/>
        <v>2057</v>
      </c>
      <c r="C2126" s="33" t="s">
        <v>20</v>
      </c>
      <c r="D2126" s="34" t="s">
        <v>1999</v>
      </c>
      <c r="E2126" s="35" t="str">
        <f t="shared" si="510"/>
        <v>PDP'!</v>
      </c>
      <c r="F2126" s="34" t="str">
        <f t="shared" si="511"/>
        <v>C:\Users\jaime.benazar\Quorum Business Solutions\Ecopetrol Prometeo - Documents\Planning Space Implementation\3. Analysis &amp; Design\Design\FC22\DRR Jaime\QUIFA-CAJÚA\Cajua\[CAJUA_CF_SEC_New_27-Feb-2024Rev3.xlsx]D-PDP'!</v>
      </c>
      <c r="G2126" s="32" t="s">
        <v>115</v>
      </c>
      <c r="H2126" s="33">
        <f t="shared" si="512"/>
        <v>46</v>
      </c>
      <c r="I2126" s="33" t="str">
        <f t="shared" si="513"/>
        <v>='C:\Users\jaime.benazar\Quorum Business Solutions\Ecopetrol Prometeo - Documents\Planning Space Implementation\3. Analysis &amp; Design\Design\FC22\DRR Jaime\QUIFA-CAJÚA\Cajua\[CAJUA_CF_SEC_New_27-Feb-2024Rev3.xlsx]D-PDP'!$DC$46</v>
      </c>
      <c r="J2126" s="37" t="s">
        <v>2959</v>
      </c>
    </row>
    <row r="2127" spans="1:10" x14ac:dyDescent="0.25">
      <c r="A2127" s="32" t="s">
        <v>1</v>
      </c>
      <c r="B2127" s="32">
        <f t="shared" si="514"/>
        <v>2058</v>
      </c>
      <c r="C2127" s="33" t="s">
        <v>20</v>
      </c>
      <c r="D2127" s="34" t="s">
        <v>1999</v>
      </c>
      <c r="E2127" s="35" t="str">
        <f t="shared" si="510"/>
        <v>PDP'!</v>
      </c>
      <c r="F2127" s="34" t="str">
        <f t="shared" si="511"/>
        <v>C:\Users\jaime.benazar\Quorum Business Solutions\Ecopetrol Prometeo - Documents\Planning Space Implementation\3. Analysis &amp; Design\Design\FC22\DRR Jaime\QUIFA-CAJÚA\Cajua\[CAJUA_CF_SEC_New_27-Feb-2024Rev3.xlsx]D-PDP'!</v>
      </c>
      <c r="G2127" s="32" t="s">
        <v>115</v>
      </c>
      <c r="H2127" s="33">
        <f t="shared" si="512"/>
        <v>47</v>
      </c>
      <c r="I2127" s="33" t="str">
        <f t="shared" si="513"/>
        <v>='C:\Users\jaime.benazar\Quorum Business Solutions\Ecopetrol Prometeo - Documents\Planning Space Implementation\3. Analysis &amp; Design\Design\FC22\DRR Jaime\QUIFA-CAJÚA\Cajua\[CAJUA_CF_SEC_New_27-Feb-2024Rev3.xlsx]D-PDP'!$DC$47</v>
      </c>
      <c r="J2127" s="37" t="s">
        <v>2960</v>
      </c>
    </row>
    <row r="2128" spans="1:10" x14ac:dyDescent="0.25">
      <c r="A2128" s="32" t="s">
        <v>1</v>
      </c>
      <c r="B2128" s="32">
        <f t="shared" si="514"/>
        <v>2059</v>
      </c>
      <c r="C2128" s="33" t="s">
        <v>20</v>
      </c>
      <c r="D2128" s="34" t="s">
        <v>1999</v>
      </c>
      <c r="E2128" s="35" t="str">
        <f t="shared" si="510"/>
        <v>PDP'!</v>
      </c>
      <c r="F2128" s="34" t="str">
        <f t="shared" si="511"/>
        <v>C:\Users\jaime.benazar\Quorum Business Solutions\Ecopetrol Prometeo - Documents\Planning Space Implementation\3. Analysis &amp; Design\Design\FC22\DRR Jaime\QUIFA-CAJÚA\Cajua\[CAJUA_CF_SEC_New_27-Feb-2024Rev3.xlsx]D-PDP'!</v>
      </c>
      <c r="G2128" s="32" t="s">
        <v>115</v>
      </c>
      <c r="H2128" s="33">
        <f t="shared" si="512"/>
        <v>48</v>
      </c>
      <c r="I2128" s="33" t="str">
        <f t="shared" si="513"/>
        <v>='C:\Users\jaime.benazar\Quorum Business Solutions\Ecopetrol Prometeo - Documents\Planning Space Implementation\3. Analysis &amp; Design\Design\FC22\DRR Jaime\QUIFA-CAJÚA\Cajua\[CAJUA_CF_SEC_New_27-Feb-2024Rev3.xlsx]D-PDP'!$DC$48</v>
      </c>
      <c r="J2128" s="37" t="s">
        <v>2961</v>
      </c>
    </row>
    <row r="2129" spans="1:10" x14ac:dyDescent="0.25">
      <c r="A2129" s="32" t="s">
        <v>28</v>
      </c>
      <c r="B2129" s="32"/>
      <c r="C2129" s="33" t="s">
        <v>20</v>
      </c>
      <c r="D2129" s="34"/>
      <c r="E2129" s="35"/>
      <c r="F2129" s="34"/>
      <c r="G2129" s="32"/>
      <c r="H2129" s="33"/>
      <c r="I2129" s="33"/>
      <c r="J2129" s="33"/>
    </row>
    <row r="2130" spans="1:10" x14ac:dyDescent="0.25">
      <c r="A2130" s="32" t="s">
        <v>2</v>
      </c>
      <c r="B2130" s="32">
        <v>2023</v>
      </c>
      <c r="C2130" s="33" t="s">
        <v>20</v>
      </c>
      <c r="D2130" s="34" t="s">
        <v>1999</v>
      </c>
      <c r="E2130" s="35" t="str">
        <f t="shared" si="503"/>
        <v>PNP'!</v>
      </c>
      <c r="F2130" s="34" t="str">
        <f t="shared" si="504"/>
        <v>C:\Users\jaime.benazar\Quorum Business Solutions\Ecopetrol Prometeo - Documents\Planning Space Implementation\3. Analysis &amp; Design\Design\FC22\DRR Jaime\QUIFA-CAJÚA\Cajua\[CAJUA_CF_SEC_New_27-Feb-2024Rev3.xlsx]D-PNP'!</v>
      </c>
      <c r="G2130" s="32" t="s">
        <v>115</v>
      </c>
      <c r="H2130" s="33">
        <v>12</v>
      </c>
      <c r="I2130" s="33" t="str">
        <f t="shared" si="506"/>
        <v>='C:\Users\jaime.benazar\Quorum Business Solutions\Ecopetrol Prometeo - Documents\Planning Space Implementation\3. Analysis &amp; Design\Design\FC22\DRR Jaime\QUIFA-CAJÚA\Cajua\[CAJUA_CF_SEC_New_27-Feb-2024Rev3.xlsx]D-PNP'!$DC$12</v>
      </c>
      <c r="J2130" s="37" t="s">
        <v>2962</v>
      </c>
    </row>
    <row r="2131" spans="1:10" x14ac:dyDescent="0.25">
      <c r="A2131" s="32" t="s">
        <v>2</v>
      </c>
      <c r="B2131" s="32">
        <f>+B2130+1</f>
        <v>2024</v>
      </c>
      <c r="C2131" s="33" t="s">
        <v>20</v>
      </c>
      <c r="D2131" s="34" t="s">
        <v>1999</v>
      </c>
      <c r="E2131" s="35" t="str">
        <f t="shared" si="503"/>
        <v>PNP'!</v>
      </c>
      <c r="F2131" s="34" t="str">
        <f t="shared" si="504"/>
        <v>C:\Users\jaime.benazar\Quorum Business Solutions\Ecopetrol Prometeo - Documents\Planning Space Implementation\3. Analysis &amp; Design\Design\FC22\DRR Jaime\QUIFA-CAJÚA\Cajua\[CAJUA_CF_SEC_New_27-Feb-2024Rev3.xlsx]D-PNP'!</v>
      </c>
      <c r="G2131" s="32" t="s">
        <v>115</v>
      </c>
      <c r="H2131" s="33">
        <f t="shared" ref="H2131:H2150" si="515">IF(A2131&lt;&gt;A2130,12,H2130+1)</f>
        <v>13</v>
      </c>
      <c r="I2131" s="33" t="str">
        <f t="shared" si="506"/>
        <v>='C:\Users\jaime.benazar\Quorum Business Solutions\Ecopetrol Prometeo - Documents\Planning Space Implementation\3. Analysis &amp; Design\Design\FC22\DRR Jaime\QUIFA-CAJÚA\Cajua\[CAJUA_CF_SEC_New_27-Feb-2024Rev3.xlsx]D-PNP'!$DC$13</v>
      </c>
      <c r="J2131" s="37" t="s">
        <v>2963</v>
      </c>
    </row>
    <row r="2132" spans="1:10" x14ac:dyDescent="0.25">
      <c r="A2132" s="32" t="s">
        <v>2</v>
      </c>
      <c r="B2132" s="32">
        <f t="shared" ref="B2132:B2143" si="516">+B2131+1</f>
        <v>2025</v>
      </c>
      <c r="C2132" s="33" t="s">
        <v>20</v>
      </c>
      <c r="D2132" s="34" t="s">
        <v>1999</v>
      </c>
      <c r="E2132" s="35" t="str">
        <f t="shared" si="503"/>
        <v>PNP'!</v>
      </c>
      <c r="F2132" s="34" t="str">
        <f t="shared" si="504"/>
        <v>C:\Users\jaime.benazar\Quorum Business Solutions\Ecopetrol Prometeo - Documents\Planning Space Implementation\3. Analysis &amp; Design\Design\FC22\DRR Jaime\QUIFA-CAJÚA\Cajua\[CAJUA_CF_SEC_New_27-Feb-2024Rev3.xlsx]D-PNP'!</v>
      </c>
      <c r="G2132" s="32" t="s">
        <v>115</v>
      </c>
      <c r="H2132" s="33">
        <f t="shared" si="515"/>
        <v>14</v>
      </c>
      <c r="I2132" s="33" t="str">
        <f t="shared" si="506"/>
        <v>='C:\Users\jaime.benazar\Quorum Business Solutions\Ecopetrol Prometeo - Documents\Planning Space Implementation\3. Analysis &amp; Design\Design\FC22\DRR Jaime\QUIFA-CAJÚA\Cajua\[CAJUA_CF_SEC_New_27-Feb-2024Rev3.xlsx]D-PNP'!$DC$14</v>
      </c>
      <c r="J2132" s="37" t="s">
        <v>2964</v>
      </c>
    </row>
    <row r="2133" spans="1:10" x14ac:dyDescent="0.25">
      <c r="A2133" s="32" t="s">
        <v>2</v>
      </c>
      <c r="B2133" s="32">
        <f t="shared" si="516"/>
        <v>2026</v>
      </c>
      <c r="C2133" s="33" t="s">
        <v>20</v>
      </c>
      <c r="D2133" s="34" t="s">
        <v>1999</v>
      </c>
      <c r="E2133" s="35" t="str">
        <f t="shared" si="503"/>
        <v>PNP'!</v>
      </c>
      <c r="F2133" s="34" t="str">
        <f t="shared" si="504"/>
        <v>C:\Users\jaime.benazar\Quorum Business Solutions\Ecopetrol Prometeo - Documents\Planning Space Implementation\3. Analysis &amp; Design\Design\FC22\DRR Jaime\QUIFA-CAJÚA\Cajua\[CAJUA_CF_SEC_New_27-Feb-2024Rev3.xlsx]D-PNP'!</v>
      </c>
      <c r="G2133" s="32" t="s">
        <v>115</v>
      </c>
      <c r="H2133" s="33">
        <f t="shared" si="515"/>
        <v>15</v>
      </c>
      <c r="I2133" s="33" t="str">
        <f t="shared" si="506"/>
        <v>='C:\Users\jaime.benazar\Quorum Business Solutions\Ecopetrol Prometeo - Documents\Planning Space Implementation\3. Analysis &amp; Design\Design\FC22\DRR Jaime\QUIFA-CAJÚA\Cajua\[CAJUA_CF_SEC_New_27-Feb-2024Rev3.xlsx]D-PNP'!$DC$15</v>
      </c>
      <c r="J2133" s="37" t="s">
        <v>2965</v>
      </c>
    </row>
    <row r="2134" spans="1:10" x14ac:dyDescent="0.25">
      <c r="A2134" s="32" t="s">
        <v>2</v>
      </c>
      <c r="B2134" s="32">
        <f t="shared" si="516"/>
        <v>2027</v>
      </c>
      <c r="C2134" s="33" t="s">
        <v>20</v>
      </c>
      <c r="D2134" s="34" t="s">
        <v>1999</v>
      </c>
      <c r="E2134" s="35" t="str">
        <f t="shared" si="503"/>
        <v>PNP'!</v>
      </c>
      <c r="F2134" s="34" t="str">
        <f t="shared" si="504"/>
        <v>C:\Users\jaime.benazar\Quorum Business Solutions\Ecopetrol Prometeo - Documents\Planning Space Implementation\3. Analysis &amp; Design\Design\FC22\DRR Jaime\QUIFA-CAJÚA\Cajua\[CAJUA_CF_SEC_New_27-Feb-2024Rev3.xlsx]D-PNP'!</v>
      </c>
      <c r="G2134" s="32" t="s">
        <v>115</v>
      </c>
      <c r="H2134" s="33">
        <f t="shared" si="515"/>
        <v>16</v>
      </c>
      <c r="I2134" s="33" t="str">
        <f t="shared" si="506"/>
        <v>='C:\Users\jaime.benazar\Quorum Business Solutions\Ecopetrol Prometeo - Documents\Planning Space Implementation\3. Analysis &amp; Design\Design\FC22\DRR Jaime\QUIFA-CAJÚA\Cajua\[CAJUA_CF_SEC_New_27-Feb-2024Rev3.xlsx]D-PNP'!$DC$16</v>
      </c>
      <c r="J2134" s="37" t="s">
        <v>2966</v>
      </c>
    </row>
    <row r="2135" spans="1:10" x14ac:dyDescent="0.25">
      <c r="A2135" s="32" t="s">
        <v>2</v>
      </c>
      <c r="B2135" s="32">
        <f t="shared" si="516"/>
        <v>2028</v>
      </c>
      <c r="C2135" s="33" t="s">
        <v>20</v>
      </c>
      <c r="D2135" s="34" t="s">
        <v>1999</v>
      </c>
      <c r="E2135" s="35" t="str">
        <f t="shared" si="503"/>
        <v>PNP'!</v>
      </c>
      <c r="F2135" s="34" t="str">
        <f t="shared" si="504"/>
        <v>C:\Users\jaime.benazar\Quorum Business Solutions\Ecopetrol Prometeo - Documents\Planning Space Implementation\3. Analysis &amp; Design\Design\FC22\DRR Jaime\QUIFA-CAJÚA\Cajua\[CAJUA_CF_SEC_New_27-Feb-2024Rev3.xlsx]D-PNP'!</v>
      </c>
      <c r="G2135" s="32" t="s">
        <v>115</v>
      </c>
      <c r="H2135" s="33">
        <f t="shared" si="515"/>
        <v>17</v>
      </c>
      <c r="I2135" s="33" t="str">
        <f t="shared" si="506"/>
        <v>='C:\Users\jaime.benazar\Quorum Business Solutions\Ecopetrol Prometeo - Documents\Planning Space Implementation\3. Analysis &amp; Design\Design\FC22\DRR Jaime\QUIFA-CAJÚA\Cajua\[CAJUA_CF_SEC_New_27-Feb-2024Rev3.xlsx]D-PNP'!$DC$17</v>
      </c>
      <c r="J2135" s="37" t="s">
        <v>2967</v>
      </c>
    </row>
    <row r="2136" spans="1:10" x14ac:dyDescent="0.25">
      <c r="A2136" s="32" t="s">
        <v>2</v>
      </c>
      <c r="B2136" s="32">
        <f t="shared" si="516"/>
        <v>2029</v>
      </c>
      <c r="C2136" s="33" t="s">
        <v>20</v>
      </c>
      <c r="D2136" s="34" t="s">
        <v>1999</v>
      </c>
      <c r="E2136" s="35" t="str">
        <f t="shared" si="503"/>
        <v>PNP'!</v>
      </c>
      <c r="F2136" s="34" t="str">
        <f t="shared" si="504"/>
        <v>C:\Users\jaime.benazar\Quorum Business Solutions\Ecopetrol Prometeo - Documents\Planning Space Implementation\3. Analysis &amp; Design\Design\FC22\DRR Jaime\QUIFA-CAJÚA\Cajua\[CAJUA_CF_SEC_New_27-Feb-2024Rev3.xlsx]D-PNP'!</v>
      </c>
      <c r="G2136" s="32" t="s">
        <v>115</v>
      </c>
      <c r="H2136" s="33">
        <f t="shared" si="515"/>
        <v>18</v>
      </c>
      <c r="I2136" s="33" t="str">
        <f t="shared" si="506"/>
        <v>='C:\Users\jaime.benazar\Quorum Business Solutions\Ecopetrol Prometeo - Documents\Planning Space Implementation\3. Analysis &amp; Design\Design\FC22\DRR Jaime\QUIFA-CAJÚA\Cajua\[CAJUA_CF_SEC_New_27-Feb-2024Rev3.xlsx]D-PNP'!$DC$18</v>
      </c>
      <c r="J2136" s="37" t="s">
        <v>2968</v>
      </c>
    </row>
    <row r="2137" spans="1:10" x14ac:dyDescent="0.25">
      <c r="A2137" s="32" t="s">
        <v>2</v>
      </c>
      <c r="B2137" s="32">
        <f t="shared" si="516"/>
        <v>2030</v>
      </c>
      <c r="C2137" s="33" t="s">
        <v>20</v>
      </c>
      <c r="D2137" s="34" t="s">
        <v>1999</v>
      </c>
      <c r="E2137" s="35" t="str">
        <f t="shared" si="503"/>
        <v>PNP'!</v>
      </c>
      <c r="F2137" s="34" t="str">
        <f t="shared" si="504"/>
        <v>C:\Users\jaime.benazar\Quorum Business Solutions\Ecopetrol Prometeo - Documents\Planning Space Implementation\3. Analysis &amp; Design\Design\FC22\DRR Jaime\QUIFA-CAJÚA\Cajua\[CAJUA_CF_SEC_New_27-Feb-2024Rev3.xlsx]D-PNP'!</v>
      </c>
      <c r="G2137" s="32" t="s">
        <v>115</v>
      </c>
      <c r="H2137" s="33">
        <f t="shared" si="515"/>
        <v>19</v>
      </c>
      <c r="I2137" s="33" t="str">
        <f t="shared" si="506"/>
        <v>='C:\Users\jaime.benazar\Quorum Business Solutions\Ecopetrol Prometeo - Documents\Planning Space Implementation\3. Analysis &amp; Design\Design\FC22\DRR Jaime\QUIFA-CAJÚA\Cajua\[CAJUA_CF_SEC_New_27-Feb-2024Rev3.xlsx]D-PNP'!$DC$19</v>
      </c>
      <c r="J2137" s="37" t="s">
        <v>2969</v>
      </c>
    </row>
    <row r="2138" spans="1:10" x14ac:dyDescent="0.25">
      <c r="A2138" s="32" t="s">
        <v>2</v>
      </c>
      <c r="B2138" s="32">
        <f t="shared" si="516"/>
        <v>2031</v>
      </c>
      <c r="C2138" s="33" t="s">
        <v>20</v>
      </c>
      <c r="D2138" s="34" t="s">
        <v>1999</v>
      </c>
      <c r="E2138" s="35" t="str">
        <f t="shared" si="503"/>
        <v>PNP'!</v>
      </c>
      <c r="F2138" s="34" t="str">
        <f t="shared" si="504"/>
        <v>C:\Users\jaime.benazar\Quorum Business Solutions\Ecopetrol Prometeo - Documents\Planning Space Implementation\3. Analysis &amp; Design\Design\FC22\DRR Jaime\QUIFA-CAJÚA\Cajua\[CAJUA_CF_SEC_New_27-Feb-2024Rev3.xlsx]D-PNP'!</v>
      </c>
      <c r="G2138" s="32" t="s">
        <v>115</v>
      </c>
      <c r="H2138" s="33">
        <f t="shared" si="515"/>
        <v>20</v>
      </c>
      <c r="I2138" s="33" t="str">
        <f t="shared" si="506"/>
        <v>='C:\Users\jaime.benazar\Quorum Business Solutions\Ecopetrol Prometeo - Documents\Planning Space Implementation\3. Analysis &amp; Design\Design\FC22\DRR Jaime\QUIFA-CAJÚA\Cajua\[CAJUA_CF_SEC_New_27-Feb-2024Rev3.xlsx]D-PNP'!$DC$20</v>
      </c>
      <c r="J2138" s="37" t="s">
        <v>2970</v>
      </c>
    </row>
    <row r="2139" spans="1:10" x14ac:dyDescent="0.25">
      <c r="A2139" s="32" t="s">
        <v>2</v>
      </c>
      <c r="B2139" s="32">
        <f t="shared" si="516"/>
        <v>2032</v>
      </c>
      <c r="C2139" s="33" t="s">
        <v>20</v>
      </c>
      <c r="D2139" s="34" t="s">
        <v>1999</v>
      </c>
      <c r="E2139" s="35" t="str">
        <f t="shared" si="503"/>
        <v>PNP'!</v>
      </c>
      <c r="F2139" s="34" t="str">
        <f t="shared" si="504"/>
        <v>C:\Users\jaime.benazar\Quorum Business Solutions\Ecopetrol Prometeo - Documents\Planning Space Implementation\3. Analysis &amp; Design\Design\FC22\DRR Jaime\QUIFA-CAJÚA\Cajua\[CAJUA_CF_SEC_New_27-Feb-2024Rev3.xlsx]D-PNP'!</v>
      </c>
      <c r="G2139" s="32" t="s">
        <v>115</v>
      </c>
      <c r="H2139" s="33">
        <f t="shared" si="515"/>
        <v>21</v>
      </c>
      <c r="I2139" s="33" t="str">
        <f t="shared" si="506"/>
        <v>='C:\Users\jaime.benazar\Quorum Business Solutions\Ecopetrol Prometeo - Documents\Planning Space Implementation\3. Analysis &amp; Design\Design\FC22\DRR Jaime\QUIFA-CAJÚA\Cajua\[CAJUA_CF_SEC_New_27-Feb-2024Rev3.xlsx]D-PNP'!$DC$21</v>
      </c>
      <c r="J2139" s="37" t="s">
        <v>2971</v>
      </c>
    </row>
    <row r="2140" spans="1:10" x14ac:dyDescent="0.25">
      <c r="A2140" s="32" t="s">
        <v>2</v>
      </c>
      <c r="B2140" s="32">
        <f t="shared" si="516"/>
        <v>2033</v>
      </c>
      <c r="C2140" s="33" t="s">
        <v>20</v>
      </c>
      <c r="D2140" s="34" t="s">
        <v>1999</v>
      </c>
      <c r="E2140" s="35" t="str">
        <f t="shared" si="503"/>
        <v>PNP'!</v>
      </c>
      <c r="F2140" s="34" t="str">
        <f t="shared" si="504"/>
        <v>C:\Users\jaime.benazar\Quorum Business Solutions\Ecopetrol Prometeo - Documents\Planning Space Implementation\3. Analysis &amp; Design\Design\FC22\DRR Jaime\QUIFA-CAJÚA\Cajua\[CAJUA_CF_SEC_New_27-Feb-2024Rev3.xlsx]D-PNP'!</v>
      </c>
      <c r="G2140" s="32" t="s">
        <v>115</v>
      </c>
      <c r="H2140" s="33">
        <f t="shared" si="515"/>
        <v>22</v>
      </c>
      <c r="I2140" s="33" t="str">
        <f t="shared" si="506"/>
        <v>='C:\Users\jaime.benazar\Quorum Business Solutions\Ecopetrol Prometeo - Documents\Planning Space Implementation\3. Analysis &amp; Design\Design\FC22\DRR Jaime\QUIFA-CAJÚA\Cajua\[CAJUA_CF_SEC_New_27-Feb-2024Rev3.xlsx]D-PNP'!$DC$22</v>
      </c>
      <c r="J2140" s="37" t="s">
        <v>2972</v>
      </c>
    </row>
    <row r="2141" spans="1:10" x14ac:dyDescent="0.25">
      <c r="A2141" s="32" t="s">
        <v>2</v>
      </c>
      <c r="B2141" s="32">
        <f t="shared" si="516"/>
        <v>2034</v>
      </c>
      <c r="C2141" s="33" t="s">
        <v>20</v>
      </c>
      <c r="D2141" s="34" t="s">
        <v>1999</v>
      </c>
      <c r="E2141" s="35" t="str">
        <f t="shared" si="503"/>
        <v>PNP'!</v>
      </c>
      <c r="F2141" s="34" t="str">
        <f t="shared" si="504"/>
        <v>C:\Users\jaime.benazar\Quorum Business Solutions\Ecopetrol Prometeo - Documents\Planning Space Implementation\3. Analysis &amp; Design\Design\FC22\DRR Jaime\QUIFA-CAJÚA\Cajua\[CAJUA_CF_SEC_New_27-Feb-2024Rev3.xlsx]D-PNP'!</v>
      </c>
      <c r="G2141" s="32" t="s">
        <v>115</v>
      </c>
      <c r="H2141" s="33">
        <f t="shared" si="515"/>
        <v>23</v>
      </c>
      <c r="I2141" s="33" t="str">
        <f t="shared" si="506"/>
        <v>='C:\Users\jaime.benazar\Quorum Business Solutions\Ecopetrol Prometeo - Documents\Planning Space Implementation\3. Analysis &amp; Design\Design\FC22\DRR Jaime\QUIFA-CAJÚA\Cajua\[CAJUA_CF_SEC_New_27-Feb-2024Rev3.xlsx]D-PNP'!$DC$23</v>
      </c>
      <c r="J2141" s="37" t="s">
        <v>2973</v>
      </c>
    </row>
    <row r="2142" spans="1:10" x14ac:dyDescent="0.25">
      <c r="A2142" s="32" t="s">
        <v>2</v>
      </c>
      <c r="B2142" s="32">
        <f t="shared" si="516"/>
        <v>2035</v>
      </c>
      <c r="C2142" s="33" t="s">
        <v>20</v>
      </c>
      <c r="D2142" s="34" t="s">
        <v>1999</v>
      </c>
      <c r="E2142" s="35" t="str">
        <f t="shared" si="503"/>
        <v>PNP'!</v>
      </c>
      <c r="F2142" s="34" t="str">
        <f t="shared" si="504"/>
        <v>C:\Users\jaime.benazar\Quorum Business Solutions\Ecopetrol Prometeo - Documents\Planning Space Implementation\3. Analysis &amp; Design\Design\FC22\DRR Jaime\QUIFA-CAJÚA\Cajua\[CAJUA_CF_SEC_New_27-Feb-2024Rev3.xlsx]D-PNP'!</v>
      </c>
      <c r="G2142" s="32" t="s">
        <v>115</v>
      </c>
      <c r="H2142" s="33">
        <f t="shared" si="515"/>
        <v>24</v>
      </c>
      <c r="I2142" s="33" t="str">
        <f t="shared" si="506"/>
        <v>='C:\Users\jaime.benazar\Quorum Business Solutions\Ecopetrol Prometeo - Documents\Planning Space Implementation\3. Analysis &amp; Design\Design\FC22\DRR Jaime\QUIFA-CAJÚA\Cajua\[CAJUA_CF_SEC_New_27-Feb-2024Rev3.xlsx]D-PNP'!$DC$24</v>
      </c>
      <c r="J2142" s="37" t="s">
        <v>2974</v>
      </c>
    </row>
    <row r="2143" spans="1:10" x14ac:dyDescent="0.25">
      <c r="A2143" s="32" t="s">
        <v>2</v>
      </c>
      <c r="B2143" s="32">
        <f t="shared" si="516"/>
        <v>2036</v>
      </c>
      <c r="C2143" s="33" t="s">
        <v>20</v>
      </c>
      <c r="D2143" s="34" t="s">
        <v>1999</v>
      </c>
      <c r="E2143" s="35" t="str">
        <f t="shared" si="503"/>
        <v>PNP'!</v>
      </c>
      <c r="F2143" s="34" t="str">
        <f t="shared" si="504"/>
        <v>C:\Users\jaime.benazar\Quorum Business Solutions\Ecopetrol Prometeo - Documents\Planning Space Implementation\3. Analysis &amp; Design\Design\FC22\DRR Jaime\QUIFA-CAJÚA\Cajua\[CAJUA_CF_SEC_New_27-Feb-2024Rev3.xlsx]D-PNP'!</v>
      </c>
      <c r="G2143" s="32" t="s">
        <v>115</v>
      </c>
      <c r="H2143" s="33">
        <f t="shared" si="515"/>
        <v>25</v>
      </c>
      <c r="I2143" s="33" t="str">
        <f t="shared" si="506"/>
        <v>='C:\Users\jaime.benazar\Quorum Business Solutions\Ecopetrol Prometeo - Documents\Planning Space Implementation\3. Analysis &amp; Design\Design\FC22\DRR Jaime\QUIFA-CAJÚA\Cajua\[CAJUA_CF_SEC_New_27-Feb-2024Rev3.xlsx]D-PNP'!$DC$25</v>
      </c>
      <c r="J2143" s="37" t="s">
        <v>2975</v>
      </c>
    </row>
    <row r="2144" spans="1:10" x14ac:dyDescent="0.25">
      <c r="A2144" s="32" t="s">
        <v>2</v>
      </c>
      <c r="B2144" s="32">
        <f>+B2143+1</f>
        <v>2037</v>
      </c>
      <c r="C2144" s="33" t="s">
        <v>20</v>
      </c>
      <c r="D2144" s="34" t="s">
        <v>1999</v>
      </c>
      <c r="E2144" s="35" t="str">
        <f t="shared" si="503"/>
        <v>PNP'!</v>
      </c>
      <c r="F2144" s="34" t="str">
        <f t="shared" si="504"/>
        <v>C:\Users\jaime.benazar\Quorum Business Solutions\Ecopetrol Prometeo - Documents\Planning Space Implementation\3. Analysis &amp; Design\Design\FC22\DRR Jaime\QUIFA-CAJÚA\Cajua\[CAJUA_CF_SEC_New_27-Feb-2024Rev3.xlsx]D-PNP'!</v>
      </c>
      <c r="G2144" s="32" t="s">
        <v>115</v>
      </c>
      <c r="H2144" s="33">
        <f t="shared" si="515"/>
        <v>26</v>
      </c>
      <c r="I2144" s="33" t="str">
        <f t="shared" si="506"/>
        <v>='C:\Users\jaime.benazar\Quorum Business Solutions\Ecopetrol Prometeo - Documents\Planning Space Implementation\3. Analysis &amp; Design\Design\FC22\DRR Jaime\QUIFA-CAJÚA\Cajua\[CAJUA_CF_SEC_New_27-Feb-2024Rev3.xlsx]D-PNP'!$DC$26</v>
      </c>
      <c r="J2144" s="37" t="s">
        <v>2976</v>
      </c>
    </row>
    <row r="2145" spans="1:10" x14ac:dyDescent="0.25">
      <c r="A2145" s="32" t="s">
        <v>2</v>
      </c>
      <c r="B2145" s="32">
        <f t="shared" ref="B2145:B2147" si="517">+B2144+1</f>
        <v>2038</v>
      </c>
      <c r="C2145" s="33" t="s">
        <v>20</v>
      </c>
      <c r="D2145" s="34" t="s">
        <v>1999</v>
      </c>
      <c r="E2145" s="35" t="str">
        <f t="shared" si="503"/>
        <v>PNP'!</v>
      </c>
      <c r="F2145" s="34" t="str">
        <f t="shared" si="504"/>
        <v>C:\Users\jaime.benazar\Quorum Business Solutions\Ecopetrol Prometeo - Documents\Planning Space Implementation\3. Analysis &amp; Design\Design\FC22\DRR Jaime\QUIFA-CAJÚA\Cajua\[CAJUA_CF_SEC_New_27-Feb-2024Rev3.xlsx]D-PNP'!</v>
      </c>
      <c r="G2145" s="32" t="s">
        <v>115</v>
      </c>
      <c r="H2145" s="33">
        <f t="shared" si="515"/>
        <v>27</v>
      </c>
      <c r="I2145" s="33" t="str">
        <f t="shared" si="506"/>
        <v>='C:\Users\jaime.benazar\Quorum Business Solutions\Ecopetrol Prometeo - Documents\Planning Space Implementation\3. Analysis &amp; Design\Design\FC22\DRR Jaime\QUIFA-CAJÚA\Cajua\[CAJUA_CF_SEC_New_27-Feb-2024Rev3.xlsx]D-PNP'!$DC$27</v>
      </c>
      <c r="J2145" s="37" t="s">
        <v>2977</v>
      </c>
    </row>
    <row r="2146" spans="1:10" x14ac:dyDescent="0.25">
      <c r="A2146" s="32" t="s">
        <v>2</v>
      </c>
      <c r="B2146" s="32">
        <f t="shared" si="517"/>
        <v>2039</v>
      </c>
      <c r="C2146" s="33" t="s">
        <v>20</v>
      </c>
      <c r="D2146" s="34" t="s">
        <v>1999</v>
      </c>
      <c r="E2146" s="35" t="str">
        <f t="shared" si="503"/>
        <v>PNP'!</v>
      </c>
      <c r="F2146" s="34" t="str">
        <f t="shared" si="504"/>
        <v>C:\Users\jaime.benazar\Quorum Business Solutions\Ecopetrol Prometeo - Documents\Planning Space Implementation\3. Analysis &amp; Design\Design\FC22\DRR Jaime\QUIFA-CAJÚA\Cajua\[CAJUA_CF_SEC_New_27-Feb-2024Rev3.xlsx]D-PNP'!</v>
      </c>
      <c r="G2146" s="32" t="s">
        <v>115</v>
      </c>
      <c r="H2146" s="33">
        <f t="shared" si="515"/>
        <v>28</v>
      </c>
      <c r="I2146" s="33" t="str">
        <f t="shared" si="506"/>
        <v>='C:\Users\jaime.benazar\Quorum Business Solutions\Ecopetrol Prometeo - Documents\Planning Space Implementation\3. Analysis &amp; Design\Design\FC22\DRR Jaime\QUIFA-CAJÚA\Cajua\[CAJUA_CF_SEC_New_27-Feb-2024Rev3.xlsx]D-PNP'!$DC$28</v>
      </c>
      <c r="J2146" s="37" t="s">
        <v>2978</v>
      </c>
    </row>
    <row r="2147" spans="1:10" x14ac:dyDescent="0.25">
      <c r="A2147" s="32" t="s">
        <v>2</v>
      </c>
      <c r="B2147" s="32">
        <f t="shared" si="517"/>
        <v>2040</v>
      </c>
      <c r="C2147" s="33" t="s">
        <v>20</v>
      </c>
      <c r="D2147" s="34" t="s">
        <v>1999</v>
      </c>
      <c r="E2147" s="35" t="str">
        <f t="shared" si="503"/>
        <v>PNP'!</v>
      </c>
      <c r="F2147" s="34" t="str">
        <f t="shared" si="504"/>
        <v>C:\Users\jaime.benazar\Quorum Business Solutions\Ecopetrol Prometeo - Documents\Planning Space Implementation\3. Analysis &amp; Design\Design\FC22\DRR Jaime\QUIFA-CAJÚA\Cajua\[CAJUA_CF_SEC_New_27-Feb-2024Rev3.xlsx]D-PNP'!</v>
      </c>
      <c r="G2147" s="32" t="s">
        <v>115</v>
      </c>
      <c r="H2147" s="33">
        <f t="shared" si="515"/>
        <v>29</v>
      </c>
      <c r="I2147" s="33" t="str">
        <f t="shared" si="506"/>
        <v>='C:\Users\jaime.benazar\Quorum Business Solutions\Ecopetrol Prometeo - Documents\Planning Space Implementation\3. Analysis &amp; Design\Design\FC22\DRR Jaime\QUIFA-CAJÚA\Cajua\[CAJUA_CF_SEC_New_27-Feb-2024Rev3.xlsx]D-PNP'!$DC$29</v>
      </c>
      <c r="J2147" s="37" t="s">
        <v>2979</v>
      </c>
    </row>
    <row r="2148" spans="1:10" x14ac:dyDescent="0.25">
      <c r="A2148" s="32" t="s">
        <v>2</v>
      </c>
      <c r="B2148" s="32">
        <f>+B2147+1</f>
        <v>2041</v>
      </c>
      <c r="C2148" s="33" t="s">
        <v>20</v>
      </c>
      <c r="D2148" s="34" t="s">
        <v>1999</v>
      </c>
      <c r="E2148" s="35" t="str">
        <f t="shared" si="503"/>
        <v>PNP'!</v>
      </c>
      <c r="F2148" s="34" t="str">
        <f t="shared" si="504"/>
        <v>C:\Users\jaime.benazar\Quorum Business Solutions\Ecopetrol Prometeo - Documents\Planning Space Implementation\3. Analysis &amp; Design\Design\FC22\DRR Jaime\QUIFA-CAJÚA\Cajua\[CAJUA_CF_SEC_New_27-Feb-2024Rev3.xlsx]D-PNP'!</v>
      </c>
      <c r="G2148" s="32" t="s">
        <v>115</v>
      </c>
      <c r="H2148" s="33">
        <f t="shared" si="515"/>
        <v>30</v>
      </c>
      <c r="I2148" s="33" t="str">
        <f t="shared" si="506"/>
        <v>='C:\Users\jaime.benazar\Quorum Business Solutions\Ecopetrol Prometeo - Documents\Planning Space Implementation\3. Analysis &amp; Design\Design\FC22\DRR Jaime\QUIFA-CAJÚA\Cajua\[CAJUA_CF_SEC_New_27-Feb-2024Rev3.xlsx]D-PNP'!$DC$30</v>
      </c>
      <c r="J2148" s="37" t="s">
        <v>2980</v>
      </c>
    </row>
    <row r="2149" spans="1:10" x14ac:dyDescent="0.25">
      <c r="A2149" s="32" t="s">
        <v>2</v>
      </c>
      <c r="B2149" s="32">
        <f t="shared" ref="B2149:B2150" si="518">+B2148+1</f>
        <v>2042</v>
      </c>
      <c r="C2149" s="33" t="s">
        <v>20</v>
      </c>
      <c r="D2149" s="34" t="s">
        <v>1999</v>
      </c>
      <c r="E2149" s="35" t="str">
        <f t="shared" si="503"/>
        <v>PNP'!</v>
      </c>
      <c r="F2149" s="34" t="str">
        <f t="shared" si="504"/>
        <v>C:\Users\jaime.benazar\Quorum Business Solutions\Ecopetrol Prometeo - Documents\Planning Space Implementation\3. Analysis &amp; Design\Design\FC22\DRR Jaime\QUIFA-CAJÚA\Cajua\[CAJUA_CF_SEC_New_27-Feb-2024Rev3.xlsx]D-PNP'!</v>
      </c>
      <c r="G2149" s="32" t="s">
        <v>115</v>
      </c>
      <c r="H2149" s="33">
        <f t="shared" si="515"/>
        <v>31</v>
      </c>
      <c r="I2149" s="33" t="str">
        <f t="shared" si="506"/>
        <v>='C:\Users\jaime.benazar\Quorum Business Solutions\Ecopetrol Prometeo - Documents\Planning Space Implementation\3. Analysis &amp; Design\Design\FC22\DRR Jaime\QUIFA-CAJÚA\Cajua\[CAJUA_CF_SEC_New_27-Feb-2024Rev3.xlsx]D-PNP'!$DC$31</v>
      </c>
      <c r="J2149" s="37" t="s">
        <v>2981</v>
      </c>
    </row>
    <row r="2150" spans="1:10" x14ac:dyDescent="0.25">
      <c r="A2150" s="32" t="s">
        <v>2</v>
      </c>
      <c r="B2150" s="32">
        <f t="shared" si="518"/>
        <v>2043</v>
      </c>
      <c r="C2150" s="33" t="s">
        <v>20</v>
      </c>
      <c r="D2150" s="34" t="s">
        <v>1999</v>
      </c>
      <c r="E2150" s="35" t="str">
        <f t="shared" si="503"/>
        <v>PNP'!</v>
      </c>
      <c r="F2150" s="34" t="str">
        <f t="shared" si="504"/>
        <v>C:\Users\jaime.benazar\Quorum Business Solutions\Ecopetrol Prometeo - Documents\Planning Space Implementation\3. Analysis &amp; Design\Design\FC22\DRR Jaime\QUIFA-CAJÚA\Cajua\[CAJUA_CF_SEC_New_27-Feb-2024Rev3.xlsx]D-PNP'!</v>
      </c>
      <c r="G2150" s="32" t="s">
        <v>115</v>
      </c>
      <c r="H2150" s="33">
        <f t="shared" si="515"/>
        <v>32</v>
      </c>
      <c r="I2150" s="33" t="str">
        <f t="shared" si="506"/>
        <v>='C:\Users\jaime.benazar\Quorum Business Solutions\Ecopetrol Prometeo - Documents\Planning Space Implementation\3. Analysis &amp; Design\Design\FC22\DRR Jaime\QUIFA-CAJÚA\Cajua\[CAJUA_CF_SEC_New_27-Feb-2024Rev3.xlsx]D-PNP'!$DC$32</v>
      </c>
      <c r="J2150" s="37" t="s">
        <v>2982</v>
      </c>
    </row>
    <row r="2151" spans="1:10" x14ac:dyDescent="0.25">
      <c r="A2151" s="32" t="s">
        <v>2</v>
      </c>
      <c r="B2151" s="32">
        <f>+B2150+1</f>
        <v>2044</v>
      </c>
      <c r="C2151" s="33" t="s">
        <v>20</v>
      </c>
      <c r="D2151" s="34" t="s">
        <v>1999</v>
      </c>
      <c r="E2151" s="35" t="str">
        <f t="shared" ref="E2151:E2166" si="519">_xlfn.CONCAT(A2151,"'!")</f>
        <v>PNP'!</v>
      </c>
      <c r="F2151" s="34" t="str">
        <f t="shared" ref="F2151:F2166" si="520">_xlfn.CONCAT(D2151:E2151)</f>
        <v>C:\Users\jaime.benazar\Quorum Business Solutions\Ecopetrol Prometeo - Documents\Planning Space Implementation\3. Analysis &amp; Design\Design\FC22\DRR Jaime\QUIFA-CAJÚA\Cajua\[CAJUA_CF_SEC_New_27-Feb-2024Rev3.xlsx]D-PNP'!</v>
      </c>
      <c r="G2151" s="32" t="s">
        <v>115</v>
      </c>
      <c r="H2151" s="33">
        <f t="shared" ref="H2151:H2166" si="521">IF(A2151&lt;&gt;A2150,12,H2150+1)</f>
        <v>33</v>
      </c>
      <c r="I2151" s="33" t="str">
        <f t="shared" ref="I2151:I2166" si="522">_xlfn.CONCAT("='",F2151:H2151)</f>
        <v>='C:\Users\jaime.benazar\Quorum Business Solutions\Ecopetrol Prometeo - Documents\Planning Space Implementation\3. Analysis &amp; Design\Design\FC22\DRR Jaime\QUIFA-CAJÚA\Cajua\[CAJUA_CF_SEC_New_27-Feb-2024Rev3.xlsx]D-PNP'!$DC$33</v>
      </c>
      <c r="J2151" s="37" t="s">
        <v>2983</v>
      </c>
    </row>
    <row r="2152" spans="1:10" x14ac:dyDescent="0.25">
      <c r="A2152" s="32" t="s">
        <v>2</v>
      </c>
      <c r="B2152" s="32">
        <f t="shared" ref="B2152:B2166" si="523">+B2151+1</f>
        <v>2045</v>
      </c>
      <c r="C2152" s="33" t="s">
        <v>20</v>
      </c>
      <c r="D2152" s="34" t="s">
        <v>1999</v>
      </c>
      <c r="E2152" s="35" t="str">
        <f t="shared" si="519"/>
        <v>PNP'!</v>
      </c>
      <c r="F2152" s="34" t="str">
        <f t="shared" si="520"/>
        <v>C:\Users\jaime.benazar\Quorum Business Solutions\Ecopetrol Prometeo - Documents\Planning Space Implementation\3. Analysis &amp; Design\Design\FC22\DRR Jaime\QUIFA-CAJÚA\Cajua\[CAJUA_CF_SEC_New_27-Feb-2024Rev3.xlsx]D-PNP'!</v>
      </c>
      <c r="G2152" s="32" t="s">
        <v>115</v>
      </c>
      <c r="H2152" s="33">
        <f t="shared" si="521"/>
        <v>34</v>
      </c>
      <c r="I2152" s="33" t="str">
        <f t="shared" si="522"/>
        <v>='C:\Users\jaime.benazar\Quorum Business Solutions\Ecopetrol Prometeo - Documents\Planning Space Implementation\3. Analysis &amp; Design\Design\FC22\DRR Jaime\QUIFA-CAJÚA\Cajua\[CAJUA_CF_SEC_New_27-Feb-2024Rev3.xlsx]D-PNP'!$DC$34</v>
      </c>
      <c r="J2152" s="37" t="s">
        <v>2984</v>
      </c>
    </row>
    <row r="2153" spans="1:10" x14ac:dyDescent="0.25">
      <c r="A2153" s="32" t="s">
        <v>2</v>
      </c>
      <c r="B2153" s="32">
        <f t="shared" si="523"/>
        <v>2046</v>
      </c>
      <c r="C2153" s="33" t="s">
        <v>20</v>
      </c>
      <c r="D2153" s="34" t="s">
        <v>1999</v>
      </c>
      <c r="E2153" s="35" t="str">
        <f t="shared" si="519"/>
        <v>PNP'!</v>
      </c>
      <c r="F2153" s="34" t="str">
        <f t="shared" si="520"/>
        <v>C:\Users\jaime.benazar\Quorum Business Solutions\Ecopetrol Prometeo - Documents\Planning Space Implementation\3. Analysis &amp; Design\Design\FC22\DRR Jaime\QUIFA-CAJÚA\Cajua\[CAJUA_CF_SEC_New_27-Feb-2024Rev3.xlsx]D-PNP'!</v>
      </c>
      <c r="G2153" s="32" t="s">
        <v>115</v>
      </c>
      <c r="H2153" s="33">
        <f t="shared" si="521"/>
        <v>35</v>
      </c>
      <c r="I2153" s="33" t="str">
        <f t="shared" si="522"/>
        <v>='C:\Users\jaime.benazar\Quorum Business Solutions\Ecopetrol Prometeo - Documents\Planning Space Implementation\3. Analysis &amp; Design\Design\FC22\DRR Jaime\QUIFA-CAJÚA\Cajua\[CAJUA_CF_SEC_New_27-Feb-2024Rev3.xlsx]D-PNP'!$DC$35</v>
      </c>
      <c r="J2153" s="37" t="s">
        <v>2985</v>
      </c>
    </row>
    <row r="2154" spans="1:10" x14ac:dyDescent="0.25">
      <c r="A2154" s="32" t="s">
        <v>2</v>
      </c>
      <c r="B2154" s="32">
        <f t="shared" si="523"/>
        <v>2047</v>
      </c>
      <c r="C2154" s="33" t="s">
        <v>20</v>
      </c>
      <c r="D2154" s="34" t="s">
        <v>1999</v>
      </c>
      <c r="E2154" s="35" t="str">
        <f t="shared" si="519"/>
        <v>PNP'!</v>
      </c>
      <c r="F2154" s="34" t="str">
        <f t="shared" si="520"/>
        <v>C:\Users\jaime.benazar\Quorum Business Solutions\Ecopetrol Prometeo - Documents\Planning Space Implementation\3. Analysis &amp; Design\Design\FC22\DRR Jaime\QUIFA-CAJÚA\Cajua\[CAJUA_CF_SEC_New_27-Feb-2024Rev3.xlsx]D-PNP'!</v>
      </c>
      <c r="G2154" s="32" t="s">
        <v>115</v>
      </c>
      <c r="H2154" s="33">
        <f t="shared" si="521"/>
        <v>36</v>
      </c>
      <c r="I2154" s="33" t="str">
        <f t="shared" si="522"/>
        <v>='C:\Users\jaime.benazar\Quorum Business Solutions\Ecopetrol Prometeo - Documents\Planning Space Implementation\3. Analysis &amp; Design\Design\FC22\DRR Jaime\QUIFA-CAJÚA\Cajua\[CAJUA_CF_SEC_New_27-Feb-2024Rev3.xlsx]D-PNP'!$DC$36</v>
      </c>
      <c r="J2154" s="37" t="s">
        <v>2986</v>
      </c>
    </row>
    <row r="2155" spans="1:10" x14ac:dyDescent="0.25">
      <c r="A2155" s="32" t="s">
        <v>2</v>
      </c>
      <c r="B2155" s="32">
        <f t="shared" si="523"/>
        <v>2048</v>
      </c>
      <c r="C2155" s="33" t="s">
        <v>20</v>
      </c>
      <c r="D2155" s="34" t="s">
        <v>1999</v>
      </c>
      <c r="E2155" s="35" t="str">
        <f t="shared" si="519"/>
        <v>PNP'!</v>
      </c>
      <c r="F2155" s="34" t="str">
        <f t="shared" si="520"/>
        <v>C:\Users\jaime.benazar\Quorum Business Solutions\Ecopetrol Prometeo - Documents\Planning Space Implementation\3. Analysis &amp; Design\Design\FC22\DRR Jaime\QUIFA-CAJÚA\Cajua\[CAJUA_CF_SEC_New_27-Feb-2024Rev3.xlsx]D-PNP'!</v>
      </c>
      <c r="G2155" s="32" t="s">
        <v>115</v>
      </c>
      <c r="H2155" s="33">
        <f t="shared" si="521"/>
        <v>37</v>
      </c>
      <c r="I2155" s="33" t="str">
        <f t="shared" si="522"/>
        <v>='C:\Users\jaime.benazar\Quorum Business Solutions\Ecopetrol Prometeo - Documents\Planning Space Implementation\3. Analysis &amp; Design\Design\FC22\DRR Jaime\QUIFA-CAJÚA\Cajua\[CAJUA_CF_SEC_New_27-Feb-2024Rev3.xlsx]D-PNP'!$DC$37</v>
      </c>
      <c r="J2155" s="37" t="s">
        <v>2987</v>
      </c>
    </row>
    <row r="2156" spans="1:10" x14ac:dyDescent="0.25">
      <c r="A2156" s="32" t="s">
        <v>2</v>
      </c>
      <c r="B2156" s="32">
        <f t="shared" si="523"/>
        <v>2049</v>
      </c>
      <c r="C2156" s="33" t="s">
        <v>20</v>
      </c>
      <c r="D2156" s="34" t="s">
        <v>1999</v>
      </c>
      <c r="E2156" s="35" t="str">
        <f t="shared" si="519"/>
        <v>PNP'!</v>
      </c>
      <c r="F2156" s="34" t="str">
        <f t="shared" si="520"/>
        <v>C:\Users\jaime.benazar\Quorum Business Solutions\Ecopetrol Prometeo - Documents\Planning Space Implementation\3. Analysis &amp; Design\Design\FC22\DRR Jaime\QUIFA-CAJÚA\Cajua\[CAJUA_CF_SEC_New_27-Feb-2024Rev3.xlsx]D-PNP'!</v>
      </c>
      <c r="G2156" s="32" t="s">
        <v>115</v>
      </c>
      <c r="H2156" s="33">
        <f t="shared" si="521"/>
        <v>38</v>
      </c>
      <c r="I2156" s="33" t="str">
        <f t="shared" si="522"/>
        <v>='C:\Users\jaime.benazar\Quorum Business Solutions\Ecopetrol Prometeo - Documents\Planning Space Implementation\3. Analysis &amp; Design\Design\FC22\DRR Jaime\QUIFA-CAJÚA\Cajua\[CAJUA_CF_SEC_New_27-Feb-2024Rev3.xlsx]D-PNP'!$DC$38</v>
      </c>
      <c r="J2156" s="37" t="s">
        <v>2988</v>
      </c>
    </row>
    <row r="2157" spans="1:10" x14ac:dyDescent="0.25">
      <c r="A2157" s="32" t="s">
        <v>2</v>
      </c>
      <c r="B2157" s="32">
        <f t="shared" si="523"/>
        <v>2050</v>
      </c>
      <c r="C2157" s="33" t="s">
        <v>20</v>
      </c>
      <c r="D2157" s="34" t="s">
        <v>1999</v>
      </c>
      <c r="E2157" s="35" t="str">
        <f t="shared" si="519"/>
        <v>PNP'!</v>
      </c>
      <c r="F2157" s="34" t="str">
        <f t="shared" si="520"/>
        <v>C:\Users\jaime.benazar\Quorum Business Solutions\Ecopetrol Prometeo - Documents\Planning Space Implementation\3. Analysis &amp; Design\Design\FC22\DRR Jaime\QUIFA-CAJÚA\Cajua\[CAJUA_CF_SEC_New_27-Feb-2024Rev3.xlsx]D-PNP'!</v>
      </c>
      <c r="G2157" s="32" t="s">
        <v>115</v>
      </c>
      <c r="H2157" s="33">
        <f t="shared" si="521"/>
        <v>39</v>
      </c>
      <c r="I2157" s="33" t="str">
        <f t="shared" si="522"/>
        <v>='C:\Users\jaime.benazar\Quorum Business Solutions\Ecopetrol Prometeo - Documents\Planning Space Implementation\3. Analysis &amp; Design\Design\FC22\DRR Jaime\QUIFA-CAJÚA\Cajua\[CAJUA_CF_SEC_New_27-Feb-2024Rev3.xlsx]D-PNP'!$DC$39</v>
      </c>
      <c r="J2157" s="37" t="s">
        <v>2989</v>
      </c>
    </row>
    <row r="2158" spans="1:10" x14ac:dyDescent="0.25">
      <c r="A2158" s="32" t="s">
        <v>2</v>
      </c>
      <c r="B2158" s="32">
        <f t="shared" si="523"/>
        <v>2051</v>
      </c>
      <c r="C2158" s="33" t="s">
        <v>20</v>
      </c>
      <c r="D2158" s="34" t="s">
        <v>1999</v>
      </c>
      <c r="E2158" s="35" t="str">
        <f t="shared" si="519"/>
        <v>PNP'!</v>
      </c>
      <c r="F2158" s="34" t="str">
        <f t="shared" si="520"/>
        <v>C:\Users\jaime.benazar\Quorum Business Solutions\Ecopetrol Prometeo - Documents\Planning Space Implementation\3. Analysis &amp; Design\Design\FC22\DRR Jaime\QUIFA-CAJÚA\Cajua\[CAJUA_CF_SEC_New_27-Feb-2024Rev3.xlsx]D-PNP'!</v>
      </c>
      <c r="G2158" s="32" t="s">
        <v>115</v>
      </c>
      <c r="H2158" s="33">
        <f t="shared" si="521"/>
        <v>40</v>
      </c>
      <c r="I2158" s="33" t="str">
        <f t="shared" si="522"/>
        <v>='C:\Users\jaime.benazar\Quorum Business Solutions\Ecopetrol Prometeo - Documents\Planning Space Implementation\3. Analysis &amp; Design\Design\FC22\DRR Jaime\QUIFA-CAJÚA\Cajua\[CAJUA_CF_SEC_New_27-Feb-2024Rev3.xlsx]D-PNP'!$DC$40</v>
      </c>
      <c r="J2158" s="37" t="s">
        <v>2990</v>
      </c>
    </row>
    <row r="2159" spans="1:10" x14ac:dyDescent="0.25">
      <c r="A2159" s="32" t="s">
        <v>2</v>
      </c>
      <c r="B2159" s="32">
        <f t="shared" si="523"/>
        <v>2052</v>
      </c>
      <c r="C2159" s="33" t="s">
        <v>20</v>
      </c>
      <c r="D2159" s="34" t="s">
        <v>1999</v>
      </c>
      <c r="E2159" s="35" t="str">
        <f t="shared" si="519"/>
        <v>PNP'!</v>
      </c>
      <c r="F2159" s="34" t="str">
        <f t="shared" si="520"/>
        <v>C:\Users\jaime.benazar\Quorum Business Solutions\Ecopetrol Prometeo - Documents\Planning Space Implementation\3. Analysis &amp; Design\Design\FC22\DRR Jaime\QUIFA-CAJÚA\Cajua\[CAJUA_CF_SEC_New_27-Feb-2024Rev3.xlsx]D-PNP'!</v>
      </c>
      <c r="G2159" s="32" t="s">
        <v>115</v>
      </c>
      <c r="H2159" s="33">
        <f t="shared" si="521"/>
        <v>41</v>
      </c>
      <c r="I2159" s="33" t="str">
        <f t="shared" si="522"/>
        <v>='C:\Users\jaime.benazar\Quorum Business Solutions\Ecopetrol Prometeo - Documents\Planning Space Implementation\3. Analysis &amp; Design\Design\FC22\DRR Jaime\QUIFA-CAJÚA\Cajua\[CAJUA_CF_SEC_New_27-Feb-2024Rev3.xlsx]D-PNP'!$DC$41</v>
      </c>
      <c r="J2159" s="37" t="s">
        <v>2991</v>
      </c>
    </row>
    <row r="2160" spans="1:10" x14ac:dyDescent="0.25">
      <c r="A2160" s="32" t="s">
        <v>2</v>
      </c>
      <c r="B2160" s="32">
        <f t="shared" si="523"/>
        <v>2053</v>
      </c>
      <c r="C2160" s="33" t="s">
        <v>20</v>
      </c>
      <c r="D2160" s="34" t="s">
        <v>1999</v>
      </c>
      <c r="E2160" s="35" t="str">
        <f t="shared" si="519"/>
        <v>PNP'!</v>
      </c>
      <c r="F2160" s="34" t="str">
        <f t="shared" si="520"/>
        <v>C:\Users\jaime.benazar\Quorum Business Solutions\Ecopetrol Prometeo - Documents\Planning Space Implementation\3. Analysis &amp; Design\Design\FC22\DRR Jaime\QUIFA-CAJÚA\Cajua\[CAJUA_CF_SEC_New_27-Feb-2024Rev3.xlsx]D-PNP'!</v>
      </c>
      <c r="G2160" s="32" t="s">
        <v>115</v>
      </c>
      <c r="H2160" s="33">
        <f t="shared" si="521"/>
        <v>42</v>
      </c>
      <c r="I2160" s="33" t="str">
        <f t="shared" si="522"/>
        <v>='C:\Users\jaime.benazar\Quorum Business Solutions\Ecopetrol Prometeo - Documents\Planning Space Implementation\3. Analysis &amp; Design\Design\FC22\DRR Jaime\QUIFA-CAJÚA\Cajua\[CAJUA_CF_SEC_New_27-Feb-2024Rev3.xlsx]D-PNP'!$DC$42</v>
      </c>
      <c r="J2160" s="37" t="s">
        <v>2992</v>
      </c>
    </row>
    <row r="2161" spans="1:10" x14ac:dyDescent="0.25">
      <c r="A2161" s="32" t="s">
        <v>2</v>
      </c>
      <c r="B2161" s="32">
        <f t="shared" si="523"/>
        <v>2054</v>
      </c>
      <c r="C2161" s="33" t="s">
        <v>20</v>
      </c>
      <c r="D2161" s="34" t="s">
        <v>1999</v>
      </c>
      <c r="E2161" s="35" t="str">
        <f t="shared" si="519"/>
        <v>PNP'!</v>
      </c>
      <c r="F2161" s="34" t="str">
        <f t="shared" si="520"/>
        <v>C:\Users\jaime.benazar\Quorum Business Solutions\Ecopetrol Prometeo - Documents\Planning Space Implementation\3. Analysis &amp; Design\Design\FC22\DRR Jaime\QUIFA-CAJÚA\Cajua\[CAJUA_CF_SEC_New_27-Feb-2024Rev3.xlsx]D-PNP'!</v>
      </c>
      <c r="G2161" s="32" t="s">
        <v>115</v>
      </c>
      <c r="H2161" s="33">
        <f t="shared" si="521"/>
        <v>43</v>
      </c>
      <c r="I2161" s="33" t="str">
        <f t="shared" si="522"/>
        <v>='C:\Users\jaime.benazar\Quorum Business Solutions\Ecopetrol Prometeo - Documents\Planning Space Implementation\3. Analysis &amp; Design\Design\FC22\DRR Jaime\QUIFA-CAJÚA\Cajua\[CAJUA_CF_SEC_New_27-Feb-2024Rev3.xlsx]D-PNP'!$DC$43</v>
      </c>
      <c r="J2161" s="37" t="s">
        <v>2993</v>
      </c>
    </row>
    <row r="2162" spans="1:10" x14ac:dyDescent="0.25">
      <c r="A2162" s="32" t="s">
        <v>2</v>
      </c>
      <c r="B2162" s="32">
        <f t="shared" si="523"/>
        <v>2055</v>
      </c>
      <c r="C2162" s="33" t="s">
        <v>20</v>
      </c>
      <c r="D2162" s="34" t="s">
        <v>1999</v>
      </c>
      <c r="E2162" s="35" t="str">
        <f t="shared" si="519"/>
        <v>PNP'!</v>
      </c>
      <c r="F2162" s="34" t="str">
        <f t="shared" si="520"/>
        <v>C:\Users\jaime.benazar\Quorum Business Solutions\Ecopetrol Prometeo - Documents\Planning Space Implementation\3. Analysis &amp; Design\Design\FC22\DRR Jaime\QUIFA-CAJÚA\Cajua\[CAJUA_CF_SEC_New_27-Feb-2024Rev3.xlsx]D-PNP'!</v>
      </c>
      <c r="G2162" s="32" t="s">
        <v>115</v>
      </c>
      <c r="H2162" s="33">
        <f t="shared" si="521"/>
        <v>44</v>
      </c>
      <c r="I2162" s="33" t="str">
        <f t="shared" si="522"/>
        <v>='C:\Users\jaime.benazar\Quorum Business Solutions\Ecopetrol Prometeo - Documents\Planning Space Implementation\3. Analysis &amp; Design\Design\FC22\DRR Jaime\QUIFA-CAJÚA\Cajua\[CAJUA_CF_SEC_New_27-Feb-2024Rev3.xlsx]D-PNP'!$DC$44</v>
      </c>
      <c r="J2162" s="37" t="s">
        <v>2994</v>
      </c>
    </row>
    <row r="2163" spans="1:10" x14ac:dyDescent="0.25">
      <c r="A2163" s="32" t="s">
        <v>2</v>
      </c>
      <c r="B2163" s="32">
        <f t="shared" si="523"/>
        <v>2056</v>
      </c>
      <c r="C2163" s="33" t="s">
        <v>20</v>
      </c>
      <c r="D2163" s="34" t="s">
        <v>1999</v>
      </c>
      <c r="E2163" s="35" t="str">
        <f t="shared" si="519"/>
        <v>PNP'!</v>
      </c>
      <c r="F2163" s="34" t="str">
        <f t="shared" si="520"/>
        <v>C:\Users\jaime.benazar\Quorum Business Solutions\Ecopetrol Prometeo - Documents\Planning Space Implementation\3. Analysis &amp; Design\Design\FC22\DRR Jaime\QUIFA-CAJÚA\Cajua\[CAJUA_CF_SEC_New_27-Feb-2024Rev3.xlsx]D-PNP'!</v>
      </c>
      <c r="G2163" s="32" t="s">
        <v>115</v>
      </c>
      <c r="H2163" s="33">
        <f t="shared" si="521"/>
        <v>45</v>
      </c>
      <c r="I2163" s="33" t="str">
        <f t="shared" si="522"/>
        <v>='C:\Users\jaime.benazar\Quorum Business Solutions\Ecopetrol Prometeo - Documents\Planning Space Implementation\3. Analysis &amp; Design\Design\FC22\DRR Jaime\QUIFA-CAJÚA\Cajua\[CAJUA_CF_SEC_New_27-Feb-2024Rev3.xlsx]D-PNP'!$DC$45</v>
      </c>
      <c r="J2163" s="37" t="s">
        <v>2995</v>
      </c>
    </row>
    <row r="2164" spans="1:10" x14ac:dyDescent="0.25">
      <c r="A2164" s="32" t="s">
        <v>2</v>
      </c>
      <c r="B2164" s="32">
        <f t="shared" si="523"/>
        <v>2057</v>
      </c>
      <c r="C2164" s="33" t="s">
        <v>20</v>
      </c>
      <c r="D2164" s="34" t="s">
        <v>1999</v>
      </c>
      <c r="E2164" s="35" t="str">
        <f t="shared" si="519"/>
        <v>PNP'!</v>
      </c>
      <c r="F2164" s="34" t="str">
        <f t="shared" si="520"/>
        <v>C:\Users\jaime.benazar\Quorum Business Solutions\Ecopetrol Prometeo - Documents\Planning Space Implementation\3. Analysis &amp; Design\Design\FC22\DRR Jaime\QUIFA-CAJÚA\Cajua\[CAJUA_CF_SEC_New_27-Feb-2024Rev3.xlsx]D-PNP'!</v>
      </c>
      <c r="G2164" s="32" t="s">
        <v>115</v>
      </c>
      <c r="H2164" s="33">
        <f t="shared" si="521"/>
        <v>46</v>
      </c>
      <c r="I2164" s="33" t="str">
        <f t="shared" si="522"/>
        <v>='C:\Users\jaime.benazar\Quorum Business Solutions\Ecopetrol Prometeo - Documents\Planning Space Implementation\3. Analysis &amp; Design\Design\FC22\DRR Jaime\QUIFA-CAJÚA\Cajua\[CAJUA_CF_SEC_New_27-Feb-2024Rev3.xlsx]D-PNP'!$DC$46</v>
      </c>
      <c r="J2164" s="37" t="s">
        <v>2996</v>
      </c>
    </row>
    <row r="2165" spans="1:10" x14ac:dyDescent="0.25">
      <c r="A2165" s="32" t="s">
        <v>2</v>
      </c>
      <c r="B2165" s="32">
        <f t="shared" si="523"/>
        <v>2058</v>
      </c>
      <c r="C2165" s="33" t="s">
        <v>20</v>
      </c>
      <c r="D2165" s="34" t="s">
        <v>1999</v>
      </c>
      <c r="E2165" s="35" t="str">
        <f t="shared" si="519"/>
        <v>PNP'!</v>
      </c>
      <c r="F2165" s="34" t="str">
        <f t="shared" si="520"/>
        <v>C:\Users\jaime.benazar\Quorum Business Solutions\Ecopetrol Prometeo - Documents\Planning Space Implementation\3. Analysis &amp; Design\Design\FC22\DRR Jaime\QUIFA-CAJÚA\Cajua\[CAJUA_CF_SEC_New_27-Feb-2024Rev3.xlsx]D-PNP'!</v>
      </c>
      <c r="G2165" s="32" t="s">
        <v>115</v>
      </c>
      <c r="H2165" s="33">
        <f t="shared" si="521"/>
        <v>47</v>
      </c>
      <c r="I2165" s="33" t="str">
        <f t="shared" si="522"/>
        <v>='C:\Users\jaime.benazar\Quorum Business Solutions\Ecopetrol Prometeo - Documents\Planning Space Implementation\3. Analysis &amp; Design\Design\FC22\DRR Jaime\QUIFA-CAJÚA\Cajua\[CAJUA_CF_SEC_New_27-Feb-2024Rev3.xlsx]D-PNP'!$DC$47</v>
      </c>
      <c r="J2165" s="37" t="s">
        <v>2997</v>
      </c>
    </row>
    <row r="2166" spans="1:10" x14ac:dyDescent="0.25">
      <c r="A2166" s="32" t="s">
        <v>2</v>
      </c>
      <c r="B2166" s="32">
        <f t="shared" si="523"/>
        <v>2059</v>
      </c>
      <c r="C2166" s="33" t="s">
        <v>20</v>
      </c>
      <c r="D2166" s="34" t="s">
        <v>1999</v>
      </c>
      <c r="E2166" s="35" t="str">
        <f t="shared" si="519"/>
        <v>PNP'!</v>
      </c>
      <c r="F2166" s="34" t="str">
        <f t="shared" si="520"/>
        <v>C:\Users\jaime.benazar\Quorum Business Solutions\Ecopetrol Prometeo - Documents\Planning Space Implementation\3. Analysis &amp; Design\Design\FC22\DRR Jaime\QUIFA-CAJÚA\Cajua\[CAJUA_CF_SEC_New_27-Feb-2024Rev3.xlsx]D-PNP'!</v>
      </c>
      <c r="G2166" s="32" t="s">
        <v>115</v>
      </c>
      <c r="H2166" s="33">
        <f t="shared" si="521"/>
        <v>48</v>
      </c>
      <c r="I2166" s="33" t="str">
        <f t="shared" si="522"/>
        <v>='C:\Users\jaime.benazar\Quorum Business Solutions\Ecopetrol Prometeo - Documents\Planning Space Implementation\3. Analysis &amp; Design\Design\FC22\DRR Jaime\QUIFA-CAJÚA\Cajua\[CAJUA_CF_SEC_New_27-Feb-2024Rev3.xlsx]D-PNP'!$DC$48</v>
      </c>
      <c r="J2166" s="37" t="s">
        <v>2998</v>
      </c>
    </row>
    <row r="2167" spans="1:10" x14ac:dyDescent="0.25">
      <c r="A2167" s="32" t="s">
        <v>28</v>
      </c>
      <c r="B2167" s="32"/>
      <c r="C2167" s="33" t="s">
        <v>20</v>
      </c>
      <c r="D2167" s="34"/>
      <c r="E2167" s="35"/>
      <c r="F2167" s="34"/>
      <c r="G2167" s="32"/>
      <c r="H2167" s="33"/>
      <c r="I2167" s="33"/>
      <c r="J2167" s="33"/>
    </row>
    <row r="2168" spans="1:10" x14ac:dyDescent="0.25">
      <c r="A2168" s="32" t="s">
        <v>3</v>
      </c>
      <c r="B2168" s="32">
        <v>2023</v>
      </c>
      <c r="C2168" s="33" t="s">
        <v>20</v>
      </c>
      <c r="D2168" s="34" t="s">
        <v>1999</v>
      </c>
      <c r="E2168" s="35" t="str">
        <f t="shared" si="503"/>
        <v>PND'!</v>
      </c>
      <c r="F2168" s="34" t="str">
        <f t="shared" si="504"/>
        <v>C:\Users\jaime.benazar\Quorum Business Solutions\Ecopetrol Prometeo - Documents\Planning Space Implementation\3. Analysis &amp; Design\Design\FC22\DRR Jaime\QUIFA-CAJÚA\Cajua\[CAJUA_CF_SEC_New_27-Feb-2024Rev3.xlsx]D-PND'!</v>
      </c>
      <c r="G2168" s="32" t="s">
        <v>115</v>
      </c>
      <c r="H2168" s="33">
        <v>12</v>
      </c>
      <c r="I2168" s="33" t="str">
        <f t="shared" si="506"/>
        <v>='C:\Users\jaime.benazar\Quorum Business Solutions\Ecopetrol Prometeo - Documents\Planning Space Implementation\3. Analysis &amp; Design\Design\FC22\DRR Jaime\QUIFA-CAJÚA\Cajua\[CAJUA_CF_SEC_New_27-Feb-2024Rev3.xlsx]D-PND'!$DC$12</v>
      </c>
      <c r="J2168" s="37" t="s">
        <v>2999</v>
      </c>
    </row>
    <row r="2169" spans="1:10" x14ac:dyDescent="0.25">
      <c r="A2169" s="32" t="s">
        <v>3</v>
      </c>
      <c r="B2169" s="32">
        <f>+B2168+1</f>
        <v>2024</v>
      </c>
      <c r="C2169" s="33" t="s">
        <v>20</v>
      </c>
      <c r="D2169" s="34" t="s">
        <v>1999</v>
      </c>
      <c r="E2169" s="35" t="str">
        <f t="shared" si="503"/>
        <v>PND'!</v>
      </c>
      <c r="F2169" s="34" t="str">
        <f t="shared" si="504"/>
        <v>C:\Users\jaime.benazar\Quorum Business Solutions\Ecopetrol Prometeo - Documents\Planning Space Implementation\3. Analysis &amp; Design\Design\FC22\DRR Jaime\QUIFA-CAJÚA\Cajua\[CAJUA_CF_SEC_New_27-Feb-2024Rev3.xlsx]D-PND'!</v>
      </c>
      <c r="G2169" s="32" t="s">
        <v>115</v>
      </c>
      <c r="H2169" s="33">
        <f t="shared" ref="H2169:H2188" si="524">IF(A2169&lt;&gt;A2168,12,H2168+1)</f>
        <v>13</v>
      </c>
      <c r="I2169" s="33" t="str">
        <f t="shared" si="506"/>
        <v>='C:\Users\jaime.benazar\Quorum Business Solutions\Ecopetrol Prometeo - Documents\Planning Space Implementation\3. Analysis &amp; Design\Design\FC22\DRR Jaime\QUIFA-CAJÚA\Cajua\[CAJUA_CF_SEC_New_27-Feb-2024Rev3.xlsx]D-PND'!$DC$13</v>
      </c>
      <c r="J2169" s="37" t="s">
        <v>3000</v>
      </c>
    </row>
    <row r="2170" spans="1:10" x14ac:dyDescent="0.25">
      <c r="A2170" s="32" t="s">
        <v>3</v>
      </c>
      <c r="B2170" s="32">
        <f t="shared" ref="B2170:B2181" si="525">+B2169+1</f>
        <v>2025</v>
      </c>
      <c r="C2170" s="33" t="s">
        <v>20</v>
      </c>
      <c r="D2170" s="34" t="s">
        <v>1999</v>
      </c>
      <c r="E2170" s="35" t="str">
        <f t="shared" si="503"/>
        <v>PND'!</v>
      </c>
      <c r="F2170" s="34" t="str">
        <f t="shared" si="504"/>
        <v>C:\Users\jaime.benazar\Quorum Business Solutions\Ecopetrol Prometeo - Documents\Planning Space Implementation\3. Analysis &amp; Design\Design\FC22\DRR Jaime\QUIFA-CAJÚA\Cajua\[CAJUA_CF_SEC_New_27-Feb-2024Rev3.xlsx]D-PND'!</v>
      </c>
      <c r="G2170" s="32" t="s">
        <v>115</v>
      </c>
      <c r="H2170" s="33">
        <f t="shared" si="524"/>
        <v>14</v>
      </c>
      <c r="I2170" s="33" t="str">
        <f t="shared" si="506"/>
        <v>='C:\Users\jaime.benazar\Quorum Business Solutions\Ecopetrol Prometeo - Documents\Planning Space Implementation\3. Analysis &amp; Design\Design\FC22\DRR Jaime\QUIFA-CAJÚA\Cajua\[CAJUA_CF_SEC_New_27-Feb-2024Rev3.xlsx]D-PND'!$DC$14</v>
      </c>
      <c r="J2170" s="37" t="s">
        <v>3001</v>
      </c>
    </row>
    <row r="2171" spans="1:10" x14ac:dyDescent="0.25">
      <c r="A2171" s="32" t="s">
        <v>3</v>
      </c>
      <c r="B2171" s="32">
        <f t="shared" si="525"/>
        <v>2026</v>
      </c>
      <c r="C2171" s="33" t="s">
        <v>20</v>
      </c>
      <c r="D2171" s="34" t="s">
        <v>1999</v>
      </c>
      <c r="E2171" s="35" t="str">
        <f t="shared" si="503"/>
        <v>PND'!</v>
      </c>
      <c r="F2171" s="34" t="str">
        <f t="shared" si="504"/>
        <v>C:\Users\jaime.benazar\Quorum Business Solutions\Ecopetrol Prometeo - Documents\Planning Space Implementation\3. Analysis &amp; Design\Design\FC22\DRR Jaime\QUIFA-CAJÚA\Cajua\[CAJUA_CF_SEC_New_27-Feb-2024Rev3.xlsx]D-PND'!</v>
      </c>
      <c r="G2171" s="32" t="s">
        <v>115</v>
      </c>
      <c r="H2171" s="33">
        <f t="shared" si="524"/>
        <v>15</v>
      </c>
      <c r="I2171" s="33" t="str">
        <f t="shared" si="506"/>
        <v>='C:\Users\jaime.benazar\Quorum Business Solutions\Ecopetrol Prometeo - Documents\Planning Space Implementation\3. Analysis &amp; Design\Design\FC22\DRR Jaime\QUIFA-CAJÚA\Cajua\[CAJUA_CF_SEC_New_27-Feb-2024Rev3.xlsx]D-PND'!$DC$15</v>
      </c>
      <c r="J2171" s="37" t="s">
        <v>3002</v>
      </c>
    </row>
    <row r="2172" spans="1:10" x14ac:dyDescent="0.25">
      <c r="A2172" s="32" t="s">
        <v>3</v>
      </c>
      <c r="B2172" s="32">
        <f t="shared" si="525"/>
        <v>2027</v>
      </c>
      <c r="C2172" s="33" t="s">
        <v>20</v>
      </c>
      <c r="D2172" s="34" t="s">
        <v>1999</v>
      </c>
      <c r="E2172" s="35" t="str">
        <f t="shared" si="503"/>
        <v>PND'!</v>
      </c>
      <c r="F2172" s="34" t="str">
        <f t="shared" si="504"/>
        <v>C:\Users\jaime.benazar\Quorum Business Solutions\Ecopetrol Prometeo - Documents\Planning Space Implementation\3. Analysis &amp; Design\Design\FC22\DRR Jaime\QUIFA-CAJÚA\Cajua\[CAJUA_CF_SEC_New_27-Feb-2024Rev3.xlsx]D-PND'!</v>
      </c>
      <c r="G2172" s="32" t="s">
        <v>115</v>
      </c>
      <c r="H2172" s="33">
        <f t="shared" si="524"/>
        <v>16</v>
      </c>
      <c r="I2172" s="33" t="str">
        <f t="shared" si="506"/>
        <v>='C:\Users\jaime.benazar\Quorum Business Solutions\Ecopetrol Prometeo - Documents\Planning Space Implementation\3. Analysis &amp; Design\Design\FC22\DRR Jaime\QUIFA-CAJÚA\Cajua\[CAJUA_CF_SEC_New_27-Feb-2024Rev3.xlsx]D-PND'!$DC$16</v>
      </c>
      <c r="J2172" s="37" t="s">
        <v>3003</v>
      </c>
    </row>
    <row r="2173" spans="1:10" x14ac:dyDescent="0.25">
      <c r="A2173" s="32" t="s">
        <v>3</v>
      </c>
      <c r="B2173" s="32">
        <f t="shared" si="525"/>
        <v>2028</v>
      </c>
      <c r="C2173" s="33" t="s">
        <v>20</v>
      </c>
      <c r="D2173" s="34" t="s">
        <v>1999</v>
      </c>
      <c r="E2173" s="35" t="str">
        <f t="shared" si="503"/>
        <v>PND'!</v>
      </c>
      <c r="F2173" s="34" t="str">
        <f t="shared" si="504"/>
        <v>C:\Users\jaime.benazar\Quorum Business Solutions\Ecopetrol Prometeo - Documents\Planning Space Implementation\3. Analysis &amp; Design\Design\FC22\DRR Jaime\QUIFA-CAJÚA\Cajua\[CAJUA_CF_SEC_New_27-Feb-2024Rev3.xlsx]D-PND'!</v>
      </c>
      <c r="G2173" s="32" t="s">
        <v>115</v>
      </c>
      <c r="H2173" s="33">
        <f t="shared" si="524"/>
        <v>17</v>
      </c>
      <c r="I2173" s="33" t="str">
        <f t="shared" si="506"/>
        <v>='C:\Users\jaime.benazar\Quorum Business Solutions\Ecopetrol Prometeo - Documents\Planning Space Implementation\3. Analysis &amp; Design\Design\FC22\DRR Jaime\QUIFA-CAJÚA\Cajua\[CAJUA_CF_SEC_New_27-Feb-2024Rev3.xlsx]D-PND'!$DC$17</v>
      </c>
      <c r="J2173" s="37" t="s">
        <v>3004</v>
      </c>
    </row>
    <row r="2174" spans="1:10" x14ac:dyDescent="0.25">
      <c r="A2174" s="32" t="s">
        <v>3</v>
      </c>
      <c r="B2174" s="32">
        <f t="shared" si="525"/>
        <v>2029</v>
      </c>
      <c r="C2174" s="33" t="s">
        <v>20</v>
      </c>
      <c r="D2174" s="34" t="s">
        <v>1999</v>
      </c>
      <c r="E2174" s="35" t="str">
        <f t="shared" si="503"/>
        <v>PND'!</v>
      </c>
      <c r="F2174" s="34" t="str">
        <f t="shared" si="504"/>
        <v>C:\Users\jaime.benazar\Quorum Business Solutions\Ecopetrol Prometeo - Documents\Planning Space Implementation\3. Analysis &amp; Design\Design\FC22\DRR Jaime\QUIFA-CAJÚA\Cajua\[CAJUA_CF_SEC_New_27-Feb-2024Rev3.xlsx]D-PND'!</v>
      </c>
      <c r="G2174" s="32" t="s">
        <v>115</v>
      </c>
      <c r="H2174" s="33">
        <f t="shared" si="524"/>
        <v>18</v>
      </c>
      <c r="I2174" s="33" t="str">
        <f t="shared" si="506"/>
        <v>='C:\Users\jaime.benazar\Quorum Business Solutions\Ecopetrol Prometeo - Documents\Planning Space Implementation\3. Analysis &amp; Design\Design\FC22\DRR Jaime\QUIFA-CAJÚA\Cajua\[CAJUA_CF_SEC_New_27-Feb-2024Rev3.xlsx]D-PND'!$DC$18</v>
      </c>
      <c r="J2174" s="37" t="s">
        <v>3005</v>
      </c>
    </row>
    <row r="2175" spans="1:10" x14ac:dyDescent="0.25">
      <c r="A2175" s="32" t="s">
        <v>3</v>
      </c>
      <c r="B2175" s="32">
        <f t="shared" si="525"/>
        <v>2030</v>
      </c>
      <c r="C2175" s="33" t="s">
        <v>20</v>
      </c>
      <c r="D2175" s="34" t="s">
        <v>1999</v>
      </c>
      <c r="E2175" s="35" t="str">
        <f t="shared" si="503"/>
        <v>PND'!</v>
      </c>
      <c r="F2175" s="34" t="str">
        <f t="shared" si="504"/>
        <v>C:\Users\jaime.benazar\Quorum Business Solutions\Ecopetrol Prometeo - Documents\Planning Space Implementation\3. Analysis &amp; Design\Design\FC22\DRR Jaime\QUIFA-CAJÚA\Cajua\[CAJUA_CF_SEC_New_27-Feb-2024Rev3.xlsx]D-PND'!</v>
      </c>
      <c r="G2175" s="32" t="s">
        <v>115</v>
      </c>
      <c r="H2175" s="33">
        <f t="shared" si="524"/>
        <v>19</v>
      </c>
      <c r="I2175" s="33" t="str">
        <f t="shared" si="506"/>
        <v>='C:\Users\jaime.benazar\Quorum Business Solutions\Ecopetrol Prometeo - Documents\Planning Space Implementation\3. Analysis &amp; Design\Design\FC22\DRR Jaime\QUIFA-CAJÚA\Cajua\[CAJUA_CF_SEC_New_27-Feb-2024Rev3.xlsx]D-PND'!$DC$19</v>
      </c>
      <c r="J2175" s="37" t="s">
        <v>3006</v>
      </c>
    </row>
    <row r="2176" spans="1:10" x14ac:dyDescent="0.25">
      <c r="A2176" s="32" t="s">
        <v>3</v>
      </c>
      <c r="B2176" s="32">
        <f t="shared" si="525"/>
        <v>2031</v>
      </c>
      <c r="C2176" s="33" t="s">
        <v>20</v>
      </c>
      <c r="D2176" s="34" t="s">
        <v>1999</v>
      </c>
      <c r="E2176" s="35" t="str">
        <f t="shared" si="503"/>
        <v>PND'!</v>
      </c>
      <c r="F2176" s="34" t="str">
        <f t="shared" si="504"/>
        <v>C:\Users\jaime.benazar\Quorum Business Solutions\Ecopetrol Prometeo - Documents\Planning Space Implementation\3. Analysis &amp; Design\Design\FC22\DRR Jaime\QUIFA-CAJÚA\Cajua\[CAJUA_CF_SEC_New_27-Feb-2024Rev3.xlsx]D-PND'!</v>
      </c>
      <c r="G2176" s="32" t="s">
        <v>115</v>
      </c>
      <c r="H2176" s="33">
        <f t="shared" si="524"/>
        <v>20</v>
      </c>
      <c r="I2176" s="33" t="str">
        <f t="shared" si="506"/>
        <v>='C:\Users\jaime.benazar\Quorum Business Solutions\Ecopetrol Prometeo - Documents\Planning Space Implementation\3. Analysis &amp; Design\Design\FC22\DRR Jaime\QUIFA-CAJÚA\Cajua\[CAJUA_CF_SEC_New_27-Feb-2024Rev3.xlsx]D-PND'!$DC$20</v>
      </c>
      <c r="J2176" s="37" t="s">
        <v>3007</v>
      </c>
    </row>
    <row r="2177" spans="1:10" x14ac:dyDescent="0.25">
      <c r="A2177" s="32" t="s">
        <v>3</v>
      </c>
      <c r="B2177" s="32">
        <f t="shared" si="525"/>
        <v>2032</v>
      </c>
      <c r="C2177" s="33" t="s">
        <v>20</v>
      </c>
      <c r="D2177" s="34" t="s">
        <v>1999</v>
      </c>
      <c r="E2177" s="35" t="str">
        <f t="shared" si="503"/>
        <v>PND'!</v>
      </c>
      <c r="F2177" s="34" t="str">
        <f t="shared" si="504"/>
        <v>C:\Users\jaime.benazar\Quorum Business Solutions\Ecopetrol Prometeo - Documents\Planning Space Implementation\3. Analysis &amp; Design\Design\FC22\DRR Jaime\QUIFA-CAJÚA\Cajua\[CAJUA_CF_SEC_New_27-Feb-2024Rev3.xlsx]D-PND'!</v>
      </c>
      <c r="G2177" s="32" t="s">
        <v>115</v>
      </c>
      <c r="H2177" s="33">
        <f t="shared" si="524"/>
        <v>21</v>
      </c>
      <c r="I2177" s="33" t="str">
        <f t="shared" si="506"/>
        <v>='C:\Users\jaime.benazar\Quorum Business Solutions\Ecopetrol Prometeo - Documents\Planning Space Implementation\3. Analysis &amp; Design\Design\FC22\DRR Jaime\QUIFA-CAJÚA\Cajua\[CAJUA_CF_SEC_New_27-Feb-2024Rev3.xlsx]D-PND'!$DC$21</v>
      </c>
      <c r="J2177" s="37" t="s">
        <v>3008</v>
      </c>
    </row>
    <row r="2178" spans="1:10" x14ac:dyDescent="0.25">
      <c r="A2178" s="32" t="s">
        <v>3</v>
      </c>
      <c r="B2178" s="32">
        <f t="shared" si="525"/>
        <v>2033</v>
      </c>
      <c r="C2178" s="33" t="s">
        <v>20</v>
      </c>
      <c r="D2178" s="34" t="s">
        <v>1999</v>
      </c>
      <c r="E2178" s="35" t="str">
        <f t="shared" si="503"/>
        <v>PND'!</v>
      </c>
      <c r="F2178" s="34" t="str">
        <f t="shared" si="504"/>
        <v>C:\Users\jaime.benazar\Quorum Business Solutions\Ecopetrol Prometeo - Documents\Planning Space Implementation\3. Analysis &amp; Design\Design\FC22\DRR Jaime\QUIFA-CAJÚA\Cajua\[CAJUA_CF_SEC_New_27-Feb-2024Rev3.xlsx]D-PND'!</v>
      </c>
      <c r="G2178" s="32" t="s">
        <v>115</v>
      </c>
      <c r="H2178" s="33">
        <f t="shared" si="524"/>
        <v>22</v>
      </c>
      <c r="I2178" s="33" t="str">
        <f t="shared" si="506"/>
        <v>='C:\Users\jaime.benazar\Quorum Business Solutions\Ecopetrol Prometeo - Documents\Planning Space Implementation\3. Analysis &amp; Design\Design\FC22\DRR Jaime\QUIFA-CAJÚA\Cajua\[CAJUA_CF_SEC_New_27-Feb-2024Rev3.xlsx]D-PND'!$DC$22</v>
      </c>
      <c r="J2178" s="37" t="s">
        <v>3009</v>
      </c>
    </row>
    <row r="2179" spans="1:10" x14ac:dyDescent="0.25">
      <c r="A2179" s="32" t="s">
        <v>3</v>
      </c>
      <c r="B2179" s="32">
        <f t="shared" si="525"/>
        <v>2034</v>
      </c>
      <c r="C2179" s="33" t="s">
        <v>20</v>
      </c>
      <c r="D2179" s="34" t="s">
        <v>1999</v>
      </c>
      <c r="E2179" s="35" t="str">
        <f t="shared" si="503"/>
        <v>PND'!</v>
      </c>
      <c r="F2179" s="34" t="str">
        <f t="shared" si="504"/>
        <v>C:\Users\jaime.benazar\Quorum Business Solutions\Ecopetrol Prometeo - Documents\Planning Space Implementation\3. Analysis &amp; Design\Design\FC22\DRR Jaime\QUIFA-CAJÚA\Cajua\[CAJUA_CF_SEC_New_27-Feb-2024Rev3.xlsx]D-PND'!</v>
      </c>
      <c r="G2179" s="32" t="s">
        <v>115</v>
      </c>
      <c r="H2179" s="33">
        <f t="shared" si="524"/>
        <v>23</v>
      </c>
      <c r="I2179" s="33" t="str">
        <f t="shared" si="506"/>
        <v>='C:\Users\jaime.benazar\Quorum Business Solutions\Ecopetrol Prometeo - Documents\Planning Space Implementation\3. Analysis &amp; Design\Design\FC22\DRR Jaime\QUIFA-CAJÚA\Cajua\[CAJUA_CF_SEC_New_27-Feb-2024Rev3.xlsx]D-PND'!$DC$23</v>
      </c>
      <c r="J2179" s="37" t="s">
        <v>3010</v>
      </c>
    </row>
    <row r="2180" spans="1:10" x14ac:dyDescent="0.25">
      <c r="A2180" s="32" t="s">
        <v>3</v>
      </c>
      <c r="B2180" s="32">
        <f t="shared" si="525"/>
        <v>2035</v>
      </c>
      <c r="C2180" s="33" t="s">
        <v>20</v>
      </c>
      <c r="D2180" s="34" t="s">
        <v>1999</v>
      </c>
      <c r="E2180" s="35" t="str">
        <f t="shared" si="503"/>
        <v>PND'!</v>
      </c>
      <c r="F2180" s="34" t="str">
        <f t="shared" si="504"/>
        <v>C:\Users\jaime.benazar\Quorum Business Solutions\Ecopetrol Prometeo - Documents\Planning Space Implementation\3. Analysis &amp; Design\Design\FC22\DRR Jaime\QUIFA-CAJÚA\Cajua\[CAJUA_CF_SEC_New_27-Feb-2024Rev3.xlsx]D-PND'!</v>
      </c>
      <c r="G2180" s="32" t="s">
        <v>115</v>
      </c>
      <c r="H2180" s="33">
        <f t="shared" si="524"/>
        <v>24</v>
      </c>
      <c r="I2180" s="33" t="str">
        <f t="shared" si="506"/>
        <v>='C:\Users\jaime.benazar\Quorum Business Solutions\Ecopetrol Prometeo - Documents\Planning Space Implementation\3. Analysis &amp; Design\Design\FC22\DRR Jaime\QUIFA-CAJÚA\Cajua\[CAJUA_CF_SEC_New_27-Feb-2024Rev3.xlsx]D-PND'!$DC$24</v>
      </c>
      <c r="J2180" s="37" t="s">
        <v>3011</v>
      </c>
    </row>
    <row r="2181" spans="1:10" x14ac:dyDescent="0.25">
      <c r="A2181" s="32" t="s">
        <v>3</v>
      </c>
      <c r="B2181" s="32">
        <f t="shared" si="525"/>
        <v>2036</v>
      </c>
      <c r="C2181" s="33" t="s">
        <v>20</v>
      </c>
      <c r="D2181" s="34" t="s">
        <v>1999</v>
      </c>
      <c r="E2181" s="35" t="str">
        <f t="shared" si="503"/>
        <v>PND'!</v>
      </c>
      <c r="F2181" s="34" t="str">
        <f t="shared" si="504"/>
        <v>C:\Users\jaime.benazar\Quorum Business Solutions\Ecopetrol Prometeo - Documents\Planning Space Implementation\3. Analysis &amp; Design\Design\FC22\DRR Jaime\QUIFA-CAJÚA\Cajua\[CAJUA_CF_SEC_New_27-Feb-2024Rev3.xlsx]D-PND'!</v>
      </c>
      <c r="G2181" s="32" t="s">
        <v>115</v>
      </c>
      <c r="H2181" s="33">
        <f t="shared" si="524"/>
        <v>25</v>
      </c>
      <c r="I2181" s="33" t="str">
        <f t="shared" si="506"/>
        <v>='C:\Users\jaime.benazar\Quorum Business Solutions\Ecopetrol Prometeo - Documents\Planning Space Implementation\3. Analysis &amp; Design\Design\FC22\DRR Jaime\QUIFA-CAJÚA\Cajua\[CAJUA_CF_SEC_New_27-Feb-2024Rev3.xlsx]D-PND'!$DC$25</v>
      </c>
      <c r="J2181" s="37" t="s">
        <v>3012</v>
      </c>
    </row>
    <row r="2182" spans="1:10" x14ac:dyDescent="0.25">
      <c r="A2182" s="32" t="s">
        <v>3</v>
      </c>
      <c r="B2182" s="32">
        <f>+B2181+1</f>
        <v>2037</v>
      </c>
      <c r="C2182" s="33" t="s">
        <v>20</v>
      </c>
      <c r="D2182" s="34" t="s">
        <v>1999</v>
      </c>
      <c r="E2182" s="35" t="str">
        <f t="shared" si="503"/>
        <v>PND'!</v>
      </c>
      <c r="F2182" s="34" t="str">
        <f t="shared" si="504"/>
        <v>C:\Users\jaime.benazar\Quorum Business Solutions\Ecopetrol Prometeo - Documents\Planning Space Implementation\3. Analysis &amp; Design\Design\FC22\DRR Jaime\QUIFA-CAJÚA\Cajua\[CAJUA_CF_SEC_New_27-Feb-2024Rev3.xlsx]D-PND'!</v>
      </c>
      <c r="G2182" s="32" t="s">
        <v>115</v>
      </c>
      <c r="H2182" s="33">
        <f t="shared" si="524"/>
        <v>26</v>
      </c>
      <c r="I2182" s="33" t="str">
        <f t="shared" si="506"/>
        <v>='C:\Users\jaime.benazar\Quorum Business Solutions\Ecopetrol Prometeo - Documents\Planning Space Implementation\3. Analysis &amp; Design\Design\FC22\DRR Jaime\QUIFA-CAJÚA\Cajua\[CAJUA_CF_SEC_New_27-Feb-2024Rev3.xlsx]D-PND'!$DC$26</v>
      </c>
      <c r="J2182" s="37" t="s">
        <v>3013</v>
      </c>
    </row>
    <row r="2183" spans="1:10" x14ac:dyDescent="0.25">
      <c r="A2183" s="32" t="s">
        <v>3</v>
      </c>
      <c r="B2183" s="32">
        <f t="shared" ref="B2183:B2185" si="526">+B2182+1</f>
        <v>2038</v>
      </c>
      <c r="C2183" s="33" t="s">
        <v>20</v>
      </c>
      <c r="D2183" s="34" t="s">
        <v>1999</v>
      </c>
      <c r="E2183" s="35" t="str">
        <f t="shared" si="503"/>
        <v>PND'!</v>
      </c>
      <c r="F2183" s="34" t="str">
        <f t="shared" si="504"/>
        <v>C:\Users\jaime.benazar\Quorum Business Solutions\Ecopetrol Prometeo - Documents\Planning Space Implementation\3. Analysis &amp; Design\Design\FC22\DRR Jaime\QUIFA-CAJÚA\Cajua\[CAJUA_CF_SEC_New_27-Feb-2024Rev3.xlsx]D-PND'!</v>
      </c>
      <c r="G2183" s="32" t="s">
        <v>115</v>
      </c>
      <c r="H2183" s="33">
        <f t="shared" si="524"/>
        <v>27</v>
      </c>
      <c r="I2183" s="33" t="str">
        <f t="shared" si="506"/>
        <v>='C:\Users\jaime.benazar\Quorum Business Solutions\Ecopetrol Prometeo - Documents\Planning Space Implementation\3. Analysis &amp; Design\Design\FC22\DRR Jaime\QUIFA-CAJÚA\Cajua\[CAJUA_CF_SEC_New_27-Feb-2024Rev3.xlsx]D-PND'!$DC$27</v>
      </c>
      <c r="J2183" s="37" t="s">
        <v>3014</v>
      </c>
    </row>
    <row r="2184" spans="1:10" x14ac:dyDescent="0.25">
      <c r="A2184" s="32" t="s">
        <v>3</v>
      </c>
      <c r="B2184" s="32">
        <f t="shared" si="526"/>
        <v>2039</v>
      </c>
      <c r="C2184" s="33" t="s">
        <v>20</v>
      </c>
      <c r="D2184" s="34" t="s">
        <v>1999</v>
      </c>
      <c r="E2184" s="35" t="str">
        <f t="shared" si="503"/>
        <v>PND'!</v>
      </c>
      <c r="F2184" s="34" t="str">
        <f t="shared" si="504"/>
        <v>C:\Users\jaime.benazar\Quorum Business Solutions\Ecopetrol Prometeo - Documents\Planning Space Implementation\3. Analysis &amp; Design\Design\FC22\DRR Jaime\QUIFA-CAJÚA\Cajua\[CAJUA_CF_SEC_New_27-Feb-2024Rev3.xlsx]D-PND'!</v>
      </c>
      <c r="G2184" s="32" t="s">
        <v>115</v>
      </c>
      <c r="H2184" s="33">
        <f t="shared" si="524"/>
        <v>28</v>
      </c>
      <c r="I2184" s="33" t="str">
        <f t="shared" si="506"/>
        <v>='C:\Users\jaime.benazar\Quorum Business Solutions\Ecopetrol Prometeo - Documents\Planning Space Implementation\3. Analysis &amp; Design\Design\FC22\DRR Jaime\QUIFA-CAJÚA\Cajua\[CAJUA_CF_SEC_New_27-Feb-2024Rev3.xlsx]D-PND'!$DC$28</v>
      </c>
      <c r="J2184" s="37" t="s">
        <v>3015</v>
      </c>
    </row>
    <row r="2185" spans="1:10" x14ac:dyDescent="0.25">
      <c r="A2185" s="32" t="s">
        <v>3</v>
      </c>
      <c r="B2185" s="32">
        <f t="shared" si="526"/>
        <v>2040</v>
      </c>
      <c r="C2185" s="33" t="s">
        <v>20</v>
      </c>
      <c r="D2185" s="34" t="s">
        <v>1999</v>
      </c>
      <c r="E2185" s="35" t="str">
        <f t="shared" si="503"/>
        <v>PND'!</v>
      </c>
      <c r="F2185" s="34" t="str">
        <f t="shared" si="504"/>
        <v>C:\Users\jaime.benazar\Quorum Business Solutions\Ecopetrol Prometeo - Documents\Planning Space Implementation\3. Analysis &amp; Design\Design\FC22\DRR Jaime\QUIFA-CAJÚA\Cajua\[CAJUA_CF_SEC_New_27-Feb-2024Rev3.xlsx]D-PND'!</v>
      </c>
      <c r="G2185" s="32" t="s">
        <v>115</v>
      </c>
      <c r="H2185" s="33">
        <f t="shared" si="524"/>
        <v>29</v>
      </c>
      <c r="I2185" s="33" t="str">
        <f t="shared" si="506"/>
        <v>='C:\Users\jaime.benazar\Quorum Business Solutions\Ecopetrol Prometeo - Documents\Planning Space Implementation\3. Analysis &amp; Design\Design\FC22\DRR Jaime\QUIFA-CAJÚA\Cajua\[CAJUA_CF_SEC_New_27-Feb-2024Rev3.xlsx]D-PND'!$DC$29</v>
      </c>
      <c r="J2185" s="37" t="s">
        <v>3016</v>
      </c>
    </row>
    <row r="2186" spans="1:10" x14ac:dyDescent="0.25">
      <c r="A2186" s="32" t="s">
        <v>3</v>
      </c>
      <c r="B2186" s="32">
        <f>+B2185+1</f>
        <v>2041</v>
      </c>
      <c r="C2186" s="33" t="s">
        <v>20</v>
      </c>
      <c r="D2186" s="34" t="s">
        <v>1999</v>
      </c>
      <c r="E2186" s="35" t="str">
        <f t="shared" si="503"/>
        <v>PND'!</v>
      </c>
      <c r="F2186" s="34" t="str">
        <f t="shared" si="504"/>
        <v>C:\Users\jaime.benazar\Quorum Business Solutions\Ecopetrol Prometeo - Documents\Planning Space Implementation\3. Analysis &amp; Design\Design\FC22\DRR Jaime\QUIFA-CAJÚA\Cajua\[CAJUA_CF_SEC_New_27-Feb-2024Rev3.xlsx]D-PND'!</v>
      </c>
      <c r="G2186" s="32" t="s">
        <v>115</v>
      </c>
      <c r="H2186" s="33">
        <f t="shared" si="524"/>
        <v>30</v>
      </c>
      <c r="I2186" s="33" t="str">
        <f t="shared" si="506"/>
        <v>='C:\Users\jaime.benazar\Quorum Business Solutions\Ecopetrol Prometeo - Documents\Planning Space Implementation\3. Analysis &amp; Design\Design\FC22\DRR Jaime\QUIFA-CAJÚA\Cajua\[CAJUA_CF_SEC_New_27-Feb-2024Rev3.xlsx]D-PND'!$DC$30</v>
      </c>
      <c r="J2186" s="37" t="s">
        <v>3017</v>
      </c>
    </row>
    <row r="2187" spans="1:10" x14ac:dyDescent="0.25">
      <c r="A2187" s="32" t="s">
        <v>3</v>
      </c>
      <c r="B2187" s="32">
        <f t="shared" ref="B2187:B2188" si="527">+B2186+1</f>
        <v>2042</v>
      </c>
      <c r="C2187" s="33" t="s">
        <v>20</v>
      </c>
      <c r="D2187" s="34" t="s">
        <v>1999</v>
      </c>
      <c r="E2187" s="35" t="str">
        <f t="shared" ref="E2187:E2340" si="528">_xlfn.CONCAT(A2187,"'!")</f>
        <v>PND'!</v>
      </c>
      <c r="F2187" s="34" t="str">
        <f t="shared" ref="F2187:F2358" si="529">_xlfn.CONCAT(D2187:E2187)</f>
        <v>C:\Users\jaime.benazar\Quorum Business Solutions\Ecopetrol Prometeo - Documents\Planning Space Implementation\3. Analysis &amp; Design\Design\FC22\DRR Jaime\QUIFA-CAJÚA\Cajua\[CAJUA_CF_SEC_New_27-Feb-2024Rev3.xlsx]D-PND'!</v>
      </c>
      <c r="G2187" s="32" t="s">
        <v>115</v>
      </c>
      <c r="H2187" s="33">
        <f t="shared" si="524"/>
        <v>31</v>
      </c>
      <c r="I2187" s="33" t="str">
        <f t="shared" ref="I2187:I2340" si="530">_xlfn.CONCAT("='",F2187:H2187)</f>
        <v>='C:\Users\jaime.benazar\Quorum Business Solutions\Ecopetrol Prometeo - Documents\Planning Space Implementation\3. Analysis &amp; Design\Design\FC22\DRR Jaime\QUIFA-CAJÚA\Cajua\[CAJUA_CF_SEC_New_27-Feb-2024Rev3.xlsx]D-PND'!$DC$31</v>
      </c>
      <c r="J2187" s="37" t="s">
        <v>3018</v>
      </c>
    </row>
    <row r="2188" spans="1:10" x14ac:dyDescent="0.25">
      <c r="A2188" s="32" t="s">
        <v>3</v>
      </c>
      <c r="B2188" s="32">
        <f t="shared" si="527"/>
        <v>2043</v>
      </c>
      <c r="C2188" s="33" t="s">
        <v>20</v>
      </c>
      <c r="D2188" s="34" t="s">
        <v>1999</v>
      </c>
      <c r="E2188" s="35" t="str">
        <f t="shared" si="528"/>
        <v>PND'!</v>
      </c>
      <c r="F2188" s="34" t="str">
        <f t="shared" si="529"/>
        <v>C:\Users\jaime.benazar\Quorum Business Solutions\Ecopetrol Prometeo - Documents\Planning Space Implementation\3. Analysis &amp; Design\Design\FC22\DRR Jaime\QUIFA-CAJÚA\Cajua\[CAJUA_CF_SEC_New_27-Feb-2024Rev3.xlsx]D-PND'!</v>
      </c>
      <c r="G2188" s="32" t="s">
        <v>115</v>
      </c>
      <c r="H2188" s="33">
        <f t="shared" si="524"/>
        <v>32</v>
      </c>
      <c r="I2188" s="33" t="str">
        <f t="shared" si="530"/>
        <v>='C:\Users\jaime.benazar\Quorum Business Solutions\Ecopetrol Prometeo - Documents\Planning Space Implementation\3. Analysis &amp; Design\Design\FC22\DRR Jaime\QUIFA-CAJÚA\Cajua\[CAJUA_CF_SEC_New_27-Feb-2024Rev3.xlsx]D-PND'!$DC$32</v>
      </c>
      <c r="J2188" s="37" t="s">
        <v>3019</v>
      </c>
    </row>
    <row r="2189" spans="1:10" x14ac:dyDescent="0.25">
      <c r="A2189" s="32" t="s">
        <v>3</v>
      </c>
      <c r="B2189" s="32">
        <f>+B2188+1</f>
        <v>2044</v>
      </c>
      <c r="C2189" s="33" t="s">
        <v>20</v>
      </c>
      <c r="D2189" s="34" t="s">
        <v>1999</v>
      </c>
      <c r="E2189" s="35" t="str">
        <f t="shared" ref="E2189:E2204" si="531">_xlfn.CONCAT(A2189,"'!")</f>
        <v>PND'!</v>
      </c>
      <c r="F2189" s="34" t="str">
        <f t="shared" ref="F2189:F2204" si="532">_xlfn.CONCAT(D2189:E2189)</f>
        <v>C:\Users\jaime.benazar\Quorum Business Solutions\Ecopetrol Prometeo - Documents\Planning Space Implementation\3. Analysis &amp; Design\Design\FC22\DRR Jaime\QUIFA-CAJÚA\Cajua\[CAJUA_CF_SEC_New_27-Feb-2024Rev3.xlsx]D-PND'!</v>
      </c>
      <c r="G2189" s="32" t="s">
        <v>115</v>
      </c>
      <c r="H2189" s="33">
        <f t="shared" ref="H2189:H2204" si="533">IF(A2189&lt;&gt;A2188,12,H2188+1)</f>
        <v>33</v>
      </c>
      <c r="I2189" s="33" t="str">
        <f t="shared" ref="I2189:I2204" si="534">_xlfn.CONCAT("='",F2189:H2189)</f>
        <v>='C:\Users\jaime.benazar\Quorum Business Solutions\Ecopetrol Prometeo - Documents\Planning Space Implementation\3. Analysis &amp; Design\Design\FC22\DRR Jaime\QUIFA-CAJÚA\Cajua\[CAJUA_CF_SEC_New_27-Feb-2024Rev3.xlsx]D-PND'!$DC$33</v>
      </c>
      <c r="J2189" s="37" t="s">
        <v>3020</v>
      </c>
    </row>
    <row r="2190" spans="1:10" x14ac:dyDescent="0.25">
      <c r="A2190" s="32" t="s">
        <v>3</v>
      </c>
      <c r="B2190" s="32">
        <f t="shared" ref="B2190:B2204" si="535">+B2189+1</f>
        <v>2045</v>
      </c>
      <c r="C2190" s="33" t="s">
        <v>20</v>
      </c>
      <c r="D2190" s="34" t="s">
        <v>1999</v>
      </c>
      <c r="E2190" s="35" t="str">
        <f t="shared" si="531"/>
        <v>PND'!</v>
      </c>
      <c r="F2190" s="34" t="str">
        <f t="shared" si="532"/>
        <v>C:\Users\jaime.benazar\Quorum Business Solutions\Ecopetrol Prometeo - Documents\Planning Space Implementation\3. Analysis &amp; Design\Design\FC22\DRR Jaime\QUIFA-CAJÚA\Cajua\[CAJUA_CF_SEC_New_27-Feb-2024Rev3.xlsx]D-PND'!</v>
      </c>
      <c r="G2190" s="32" t="s">
        <v>115</v>
      </c>
      <c r="H2190" s="33">
        <f t="shared" si="533"/>
        <v>34</v>
      </c>
      <c r="I2190" s="33" t="str">
        <f t="shared" si="534"/>
        <v>='C:\Users\jaime.benazar\Quorum Business Solutions\Ecopetrol Prometeo - Documents\Planning Space Implementation\3. Analysis &amp; Design\Design\FC22\DRR Jaime\QUIFA-CAJÚA\Cajua\[CAJUA_CF_SEC_New_27-Feb-2024Rev3.xlsx]D-PND'!$DC$34</v>
      </c>
      <c r="J2190" s="37" t="s">
        <v>3021</v>
      </c>
    </row>
    <row r="2191" spans="1:10" x14ac:dyDescent="0.25">
      <c r="A2191" s="32" t="s">
        <v>3</v>
      </c>
      <c r="B2191" s="32">
        <f t="shared" si="535"/>
        <v>2046</v>
      </c>
      <c r="C2191" s="33" t="s">
        <v>20</v>
      </c>
      <c r="D2191" s="34" t="s">
        <v>1999</v>
      </c>
      <c r="E2191" s="35" t="str">
        <f t="shared" si="531"/>
        <v>PND'!</v>
      </c>
      <c r="F2191" s="34" t="str">
        <f t="shared" si="532"/>
        <v>C:\Users\jaime.benazar\Quorum Business Solutions\Ecopetrol Prometeo - Documents\Planning Space Implementation\3. Analysis &amp; Design\Design\FC22\DRR Jaime\QUIFA-CAJÚA\Cajua\[CAJUA_CF_SEC_New_27-Feb-2024Rev3.xlsx]D-PND'!</v>
      </c>
      <c r="G2191" s="32" t="s">
        <v>115</v>
      </c>
      <c r="H2191" s="33">
        <f t="shared" si="533"/>
        <v>35</v>
      </c>
      <c r="I2191" s="33" t="str">
        <f t="shared" si="534"/>
        <v>='C:\Users\jaime.benazar\Quorum Business Solutions\Ecopetrol Prometeo - Documents\Planning Space Implementation\3. Analysis &amp; Design\Design\FC22\DRR Jaime\QUIFA-CAJÚA\Cajua\[CAJUA_CF_SEC_New_27-Feb-2024Rev3.xlsx]D-PND'!$DC$35</v>
      </c>
      <c r="J2191" s="37" t="s">
        <v>3022</v>
      </c>
    </row>
    <row r="2192" spans="1:10" x14ac:dyDescent="0.25">
      <c r="A2192" s="32" t="s">
        <v>3</v>
      </c>
      <c r="B2192" s="32">
        <f t="shared" si="535"/>
        <v>2047</v>
      </c>
      <c r="C2192" s="33" t="s">
        <v>20</v>
      </c>
      <c r="D2192" s="34" t="s">
        <v>1999</v>
      </c>
      <c r="E2192" s="35" t="str">
        <f t="shared" si="531"/>
        <v>PND'!</v>
      </c>
      <c r="F2192" s="34" t="str">
        <f t="shared" si="532"/>
        <v>C:\Users\jaime.benazar\Quorum Business Solutions\Ecopetrol Prometeo - Documents\Planning Space Implementation\3. Analysis &amp; Design\Design\FC22\DRR Jaime\QUIFA-CAJÚA\Cajua\[CAJUA_CF_SEC_New_27-Feb-2024Rev3.xlsx]D-PND'!</v>
      </c>
      <c r="G2192" s="32" t="s">
        <v>115</v>
      </c>
      <c r="H2192" s="33">
        <f t="shared" si="533"/>
        <v>36</v>
      </c>
      <c r="I2192" s="33" t="str">
        <f t="shared" si="534"/>
        <v>='C:\Users\jaime.benazar\Quorum Business Solutions\Ecopetrol Prometeo - Documents\Planning Space Implementation\3. Analysis &amp; Design\Design\FC22\DRR Jaime\QUIFA-CAJÚA\Cajua\[CAJUA_CF_SEC_New_27-Feb-2024Rev3.xlsx]D-PND'!$DC$36</v>
      </c>
      <c r="J2192" s="37" t="s">
        <v>3023</v>
      </c>
    </row>
    <row r="2193" spans="1:10" x14ac:dyDescent="0.25">
      <c r="A2193" s="32" t="s">
        <v>3</v>
      </c>
      <c r="B2193" s="32">
        <f t="shared" si="535"/>
        <v>2048</v>
      </c>
      <c r="C2193" s="33" t="s">
        <v>20</v>
      </c>
      <c r="D2193" s="34" t="s">
        <v>1999</v>
      </c>
      <c r="E2193" s="35" t="str">
        <f t="shared" si="531"/>
        <v>PND'!</v>
      </c>
      <c r="F2193" s="34" t="str">
        <f t="shared" si="532"/>
        <v>C:\Users\jaime.benazar\Quorum Business Solutions\Ecopetrol Prometeo - Documents\Planning Space Implementation\3. Analysis &amp; Design\Design\FC22\DRR Jaime\QUIFA-CAJÚA\Cajua\[CAJUA_CF_SEC_New_27-Feb-2024Rev3.xlsx]D-PND'!</v>
      </c>
      <c r="G2193" s="32" t="s">
        <v>115</v>
      </c>
      <c r="H2193" s="33">
        <f t="shared" si="533"/>
        <v>37</v>
      </c>
      <c r="I2193" s="33" t="str">
        <f t="shared" si="534"/>
        <v>='C:\Users\jaime.benazar\Quorum Business Solutions\Ecopetrol Prometeo - Documents\Planning Space Implementation\3. Analysis &amp; Design\Design\FC22\DRR Jaime\QUIFA-CAJÚA\Cajua\[CAJUA_CF_SEC_New_27-Feb-2024Rev3.xlsx]D-PND'!$DC$37</v>
      </c>
      <c r="J2193" s="37" t="s">
        <v>3024</v>
      </c>
    </row>
    <row r="2194" spans="1:10" x14ac:dyDescent="0.25">
      <c r="A2194" s="32" t="s">
        <v>3</v>
      </c>
      <c r="B2194" s="32">
        <f t="shared" si="535"/>
        <v>2049</v>
      </c>
      <c r="C2194" s="33" t="s">
        <v>20</v>
      </c>
      <c r="D2194" s="34" t="s">
        <v>1999</v>
      </c>
      <c r="E2194" s="35" t="str">
        <f t="shared" si="531"/>
        <v>PND'!</v>
      </c>
      <c r="F2194" s="34" t="str">
        <f t="shared" si="532"/>
        <v>C:\Users\jaime.benazar\Quorum Business Solutions\Ecopetrol Prometeo - Documents\Planning Space Implementation\3. Analysis &amp; Design\Design\FC22\DRR Jaime\QUIFA-CAJÚA\Cajua\[CAJUA_CF_SEC_New_27-Feb-2024Rev3.xlsx]D-PND'!</v>
      </c>
      <c r="G2194" s="32" t="s">
        <v>115</v>
      </c>
      <c r="H2194" s="33">
        <f t="shared" si="533"/>
        <v>38</v>
      </c>
      <c r="I2194" s="33" t="str">
        <f t="shared" si="534"/>
        <v>='C:\Users\jaime.benazar\Quorum Business Solutions\Ecopetrol Prometeo - Documents\Planning Space Implementation\3. Analysis &amp; Design\Design\FC22\DRR Jaime\QUIFA-CAJÚA\Cajua\[CAJUA_CF_SEC_New_27-Feb-2024Rev3.xlsx]D-PND'!$DC$38</v>
      </c>
      <c r="J2194" s="37" t="s">
        <v>3025</v>
      </c>
    </row>
    <row r="2195" spans="1:10" x14ac:dyDescent="0.25">
      <c r="A2195" s="32" t="s">
        <v>3</v>
      </c>
      <c r="B2195" s="32">
        <f t="shared" si="535"/>
        <v>2050</v>
      </c>
      <c r="C2195" s="33" t="s">
        <v>20</v>
      </c>
      <c r="D2195" s="34" t="s">
        <v>1999</v>
      </c>
      <c r="E2195" s="35" t="str">
        <f t="shared" si="531"/>
        <v>PND'!</v>
      </c>
      <c r="F2195" s="34" t="str">
        <f t="shared" si="532"/>
        <v>C:\Users\jaime.benazar\Quorum Business Solutions\Ecopetrol Prometeo - Documents\Planning Space Implementation\3. Analysis &amp; Design\Design\FC22\DRR Jaime\QUIFA-CAJÚA\Cajua\[CAJUA_CF_SEC_New_27-Feb-2024Rev3.xlsx]D-PND'!</v>
      </c>
      <c r="G2195" s="32" t="s">
        <v>115</v>
      </c>
      <c r="H2195" s="33">
        <f t="shared" si="533"/>
        <v>39</v>
      </c>
      <c r="I2195" s="33" t="str">
        <f t="shared" si="534"/>
        <v>='C:\Users\jaime.benazar\Quorum Business Solutions\Ecopetrol Prometeo - Documents\Planning Space Implementation\3. Analysis &amp; Design\Design\FC22\DRR Jaime\QUIFA-CAJÚA\Cajua\[CAJUA_CF_SEC_New_27-Feb-2024Rev3.xlsx]D-PND'!$DC$39</v>
      </c>
      <c r="J2195" s="37" t="s">
        <v>3026</v>
      </c>
    </row>
    <row r="2196" spans="1:10" x14ac:dyDescent="0.25">
      <c r="A2196" s="32" t="s">
        <v>3</v>
      </c>
      <c r="B2196" s="32">
        <f t="shared" si="535"/>
        <v>2051</v>
      </c>
      <c r="C2196" s="33" t="s">
        <v>20</v>
      </c>
      <c r="D2196" s="34" t="s">
        <v>1999</v>
      </c>
      <c r="E2196" s="35" t="str">
        <f t="shared" si="531"/>
        <v>PND'!</v>
      </c>
      <c r="F2196" s="34" t="str">
        <f t="shared" si="532"/>
        <v>C:\Users\jaime.benazar\Quorum Business Solutions\Ecopetrol Prometeo - Documents\Planning Space Implementation\3. Analysis &amp; Design\Design\FC22\DRR Jaime\QUIFA-CAJÚA\Cajua\[CAJUA_CF_SEC_New_27-Feb-2024Rev3.xlsx]D-PND'!</v>
      </c>
      <c r="G2196" s="32" t="s">
        <v>115</v>
      </c>
      <c r="H2196" s="33">
        <f t="shared" si="533"/>
        <v>40</v>
      </c>
      <c r="I2196" s="33" t="str">
        <f t="shared" si="534"/>
        <v>='C:\Users\jaime.benazar\Quorum Business Solutions\Ecopetrol Prometeo - Documents\Planning Space Implementation\3. Analysis &amp; Design\Design\FC22\DRR Jaime\QUIFA-CAJÚA\Cajua\[CAJUA_CF_SEC_New_27-Feb-2024Rev3.xlsx]D-PND'!$DC$40</v>
      </c>
      <c r="J2196" s="37" t="s">
        <v>3027</v>
      </c>
    </row>
    <row r="2197" spans="1:10" x14ac:dyDescent="0.25">
      <c r="A2197" s="32" t="s">
        <v>3</v>
      </c>
      <c r="B2197" s="32">
        <f t="shared" si="535"/>
        <v>2052</v>
      </c>
      <c r="C2197" s="33" t="s">
        <v>20</v>
      </c>
      <c r="D2197" s="34" t="s">
        <v>1999</v>
      </c>
      <c r="E2197" s="35" t="str">
        <f t="shared" si="531"/>
        <v>PND'!</v>
      </c>
      <c r="F2197" s="34" t="str">
        <f t="shared" si="532"/>
        <v>C:\Users\jaime.benazar\Quorum Business Solutions\Ecopetrol Prometeo - Documents\Planning Space Implementation\3. Analysis &amp; Design\Design\FC22\DRR Jaime\QUIFA-CAJÚA\Cajua\[CAJUA_CF_SEC_New_27-Feb-2024Rev3.xlsx]D-PND'!</v>
      </c>
      <c r="G2197" s="32" t="s">
        <v>115</v>
      </c>
      <c r="H2197" s="33">
        <f t="shared" si="533"/>
        <v>41</v>
      </c>
      <c r="I2197" s="33" t="str">
        <f t="shared" si="534"/>
        <v>='C:\Users\jaime.benazar\Quorum Business Solutions\Ecopetrol Prometeo - Documents\Planning Space Implementation\3. Analysis &amp; Design\Design\FC22\DRR Jaime\QUIFA-CAJÚA\Cajua\[CAJUA_CF_SEC_New_27-Feb-2024Rev3.xlsx]D-PND'!$DC$41</v>
      </c>
      <c r="J2197" s="37" t="s">
        <v>3028</v>
      </c>
    </row>
    <row r="2198" spans="1:10" x14ac:dyDescent="0.25">
      <c r="A2198" s="32" t="s">
        <v>3</v>
      </c>
      <c r="B2198" s="32">
        <f t="shared" si="535"/>
        <v>2053</v>
      </c>
      <c r="C2198" s="33" t="s">
        <v>20</v>
      </c>
      <c r="D2198" s="34" t="s">
        <v>1999</v>
      </c>
      <c r="E2198" s="35" t="str">
        <f t="shared" si="531"/>
        <v>PND'!</v>
      </c>
      <c r="F2198" s="34" t="str">
        <f t="shared" si="532"/>
        <v>C:\Users\jaime.benazar\Quorum Business Solutions\Ecopetrol Prometeo - Documents\Planning Space Implementation\3. Analysis &amp; Design\Design\FC22\DRR Jaime\QUIFA-CAJÚA\Cajua\[CAJUA_CF_SEC_New_27-Feb-2024Rev3.xlsx]D-PND'!</v>
      </c>
      <c r="G2198" s="32" t="s">
        <v>115</v>
      </c>
      <c r="H2198" s="33">
        <f t="shared" si="533"/>
        <v>42</v>
      </c>
      <c r="I2198" s="33" t="str">
        <f t="shared" si="534"/>
        <v>='C:\Users\jaime.benazar\Quorum Business Solutions\Ecopetrol Prometeo - Documents\Planning Space Implementation\3. Analysis &amp; Design\Design\FC22\DRR Jaime\QUIFA-CAJÚA\Cajua\[CAJUA_CF_SEC_New_27-Feb-2024Rev3.xlsx]D-PND'!$DC$42</v>
      </c>
      <c r="J2198" s="37" t="s">
        <v>3029</v>
      </c>
    </row>
    <row r="2199" spans="1:10" x14ac:dyDescent="0.25">
      <c r="A2199" s="32" t="s">
        <v>3</v>
      </c>
      <c r="B2199" s="32">
        <f t="shared" si="535"/>
        <v>2054</v>
      </c>
      <c r="C2199" s="33" t="s">
        <v>20</v>
      </c>
      <c r="D2199" s="34" t="s">
        <v>1999</v>
      </c>
      <c r="E2199" s="35" t="str">
        <f t="shared" si="531"/>
        <v>PND'!</v>
      </c>
      <c r="F2199" s="34" t="str">
        <f t="shared" si="532"/>
        <v>C:\Users\jaime.benazar\Quorum Business Solutions\Ecopetrol Prometeo - Documents\Planning Space Implementation\3. Analysis &amp; Design\Design\FC22\DRR Jaime\QUIFA-CAJÚA\Cajua\[CAJUA_CF_SEC_New_27-Feb-2024Rev3.xlsx]D-PND'!</v>
      </c>
      <c r="G2199" s="32" t="s">
        <v>115</v>
      </c>
      <c r="H2199" s="33">
        <f t="shared" si="533"/>
        <v>43</v>
      </c>
      <c r="I2199" s="33" t="str">
        <f t="shared" si="534"/>
        <v>='C:\Users\jaime.benazar\Quorum Business Solutions\Ecopetrol Prometeo - Documents\Planning Space Implementation\3. Analysis &amp; Design\Design\FC22\DRR Jaime\QUIFA-CAJÚA\Cajua\[CAJUA_CF_SEC_New_27-Feb-2024Rev3.xlsx]D-PND'!$DC$43</v>
      </c>
      <c r="J2199" s="37" t="s">
        <v>3030</v>
      </c>
    </row>
    <row r="2200" spans="1:10" x14ac:dyDescent="0.25">
      <c r="A2200" s="32" t="s">
        <v>3</v>
      </c>
      <c r="B2200" s="32">
        <f t="shared" si="535"/>
        <v>2055</v>
      </c>
      <c r="C2200" s="33" t="s">
        <v>20</v>
      </c>
      <c r="D2200" s="34" t="s">
        <v>1999</v>
      </c>
      <c r="E2200" s="35" t="str">
        <f t="shared" si="531"/>
        <v>PND'!</v>
      </c>
      <c r="F2200" s="34" t="str">
        <f t="shared" si="532"/>
        <v>C:\Users\jaime.benazar\Quorum Business Solutions\Ecopetrol Prometeo - Documents\Planning Space Implementation\3. Analysis &amp; Design\Design\FC22\DRR Jaime\QUIFA-CAJÚA\Cajua\[CAJUA_CF_SEC_New_27-Feb-2024Rev3.xlsx]D-PND'!</v>
      </c>
      <c r="G2200" s="32" t="s">
        <v>115</v>
      </c>
      <c r="H2200" s="33">
        <f t="shared" si="533"/>
        <v>44</v>
      </c>
      <c r="I2200" s="33" t="str">
        <f t="shared" si="534"/>
        <v>='C:\Users\jaime.benazar\Quorum Business Solutions\Ecopetrol Prometeo - Documents\Planning Space Implementation\3. Analysis &amp; Design\Design\FC22\DRR Jaime\QUIFA-CAJÚA\Cajua\[CAJUA_CF_SEC_New_27-Feb-2024Rev3.xlsx]D-PND'!$DC$44</v>
      </c>
      <c r="J2200" s="37" t="s">
        <v>3031</v>
      </c>
    </row>
    <row r="2201" spans="1:10" x14ac:dyDescent="0.25">
      <c r="A2201" s="32" t="s">
        <v>3</v>
      </c>
      <c r="B2201" s="32">
        <f t="shared" si="535"/>
        <v>2056</v>
      </c>
      <c r="C2201" s="33" t="s">
        <v>20</v>
      </c>
      <c r="D2201" s="34" t="s">
        <v>1999</v>
      </c>
      <c r="E2201" s="35" t="str">
        <f t="shared" si="531"/>
        <v>PND'!</v>
      </c>
      <c r="F2201" s="34" t="str">
        <f t="shared" si="532"/>
        <v>C:\Users\jaime.benazar\Quorum Business Solutions\Ecopetrol Prometeo - Documents\Planning Space Implementation\3. Analysis &amp; Design\Design\FC22\DRR Jaime\QUIFA-CAJÚA\Cajua\[CAJUA_CF_SEC_New_27-Feb-2024Rev3.xlsx]D-PND'!</v>
      </c>
      <c r="G2201" s="32" t="s">
        <v>115</v>
      </c>
      <c r="H2201" s="33">
        <f t="shared" si="533"/>
        <v>45</v>
      </c>
      <c r="I2201" s="33" t="str">
        <f t="shared" si="534"/>
        <v>='C:\Users\jaime.benazar\Quorum Business Solutions\Ecopetrol Prometeo - Documents\Planning Space Implementation\3. Analysis &amp; Design\Design\FC22\DRR Jaime\QUIFA-CAJÚA\Cajua\[CAJUA_CF_SEC_New_27-Feb-2024Rev3.xlsx]D-PND'!$DC$45</v>
      </c>
      <c r="J2201" s="37" t="s">
        <v>3032</v>
      </c>
    </row>
    <row r="2202" spans="1:10" x14ac:dyDescent="0.25">
      <c r="A2202" s="32" t="s">
        <v>3</v>
      </c>
      <c r="B2202" s="32">
        <f t="shared" si="535"/>
        <v>2057</v>
      </c>
      <c r="C2202" s="33" t="s">
        <v>20</v>
      </c>
      <c r="D2202" s="34" t="s">
        <v>1999</v>
      </c>
      <c r="E2202" s="35" t="str">
        <f t="shared" si="531"/>
        <v>PND'!</v>
      </c>
      <c r="F2202" s="34" t="str">
        <f t="shared" si="532"/>
        <v>C:\Users\jaime.benazar\Quorum Business Solutions\Ecopetrol Prometeo - Documents\Planning Space Implementation\3. Analysis &amp; Design\Design\FC22\DRR Jaime\QUIFA-CAJÚA\Cajua\[CAJUA_CF_SEC_New_27-Feb-2024Rev3.xlsx]D-PND'!</v>
      </c>
      <c r="G2202" s="32" t="s">
        <v>115</v>
      </c>
      <c r="H2202" s="33">
        <f t="shared" si="533"/>
        <v>46</v>
      </c>
      <c r="I2202" s="33" t="str">
        <f t="shared" si="534"/>
        <v>='C:\Users\jaime.benazar\Quorum Business Solutions\Ecopetrol Prometeo - Documents\Planning Space Implementation\3. Analysis &amp; Design\Design\FC22\DRR Jaime\QUIFA-CAJÚA\Cajua\[CAJUA_CF_SEC_New_27-Feb-2024Rev3.xlsx]D-PND'!$DC$46</v>
      </c>
      <c r="J2202" s="37" t="s">
        <v>3033</v>
      </c>
    </row>
    <row r="2203" spans="1:10" x14ac:dyDescent="0.25">
      <c r="A2203" s="32" t="s">
        <v>3</v>
      </c>
      <c r="B2203" s="32">
        <f t="shared" si="535"/>
        <v>2058</v>
      </c>
      <c r="C2203" s="33" t="s">
        <v>20</v>
      </c>
      <c r="D2203" s="34" t="s">
        <v>1999</v>
      </c>
      <c r="E2203" s="35" t="str">
        <f t="shared" si="531"/>
        <v>PND'!</v>
      </c>
      <c r="F2203" s="34" t="str">
        <f t="shared" si="532"/>
        <v>C:\Users\jaime.benazar\Quorum Business Solutions\Ecopetrol Prometeo - Documents\Planning Space Implementation\3. Analysis &amp; Design\Design\FC22\DRR Jaime\QUIFA-CAJÚA\Cajua\[CAJUA_CF_SEC_New_27-Feb-2024Rev3.xlsx]D-PND'!</v>
      </c>
      <c r="G2203" s="32" t="s">
        <v>115</v>
      </c>
      <c r="H2203" s="33">
        <f t="shared" si="533"/>
        <v>47</v>
      </c>
      <c r="I2203" s="33" t="str">
        <f t="shared" si="534"/>
        <v>='C:\Users\jaime.benazar\Quorum Business Solutions\Ecopetrol Prometeo - Documents\Planning Space Implementation\3. Analysis &amp; Design\Design\FC22\DRR Jaime\QUIFA-CAJÚA\Cajua\[CAJUA_CF_SEC_New_27-Feb-2024Rev3.xlsx]D-PND'!$DC$47</v>
      </c>
      <c r="J2203" s="37" t="s">
        <v>3034</v>
      </c>
    </row>
    <row r="2204" spans="1:10" x14ac:dyDescent="0.25">
      <c r="A2204" s="32" t="s">
        <v>3</v>
      </c>
      <c r="B2204" s="32">
        <f t="shared" si="535"/>
        <v>2059</v>
      </c>
      <c r="C2204" s="33" t="s">
        <v>20</v>
      </c>
      <c r="D2204" s="34" t="s">
        <v>1999</v>
      </c>
      <c r="E2204" s="35" t="str">
        <f t="shared" si="531"/>
        <v>PND'!</v>
      </c>
      <c r="F2204" s="34" t="str">
        <f t="shared" si="532"/>
        <v>C:\Users\jaime.benazar\Quorum Business Solutions\Ecopetrol Prometeo - Documents\Planning Space Implementation\3. Analysis &amp; Design\Design\FC22\DRR Jaime\QUIFA-CAJÚA\Cajua\[CAJUA_CF_SEC_New_27-Feb-2024Rev3.xlsx]D-PND'!</v>
      </c>
      <c r="G2204" s="32" t="s">
        <v>115</v>
      </c>
      <c r="H2204" s="33">
        <f t="shared" si="533"/>
        <v>48</v>
      </c>
      <c r="I2204" s="33" t="str">
        <f t="shared" si="534"/>
        <v>='C:\Users\jaime.benazar\Quorum Business Solutions\Ecopetrol Prometeo - Documents\Planning Space Implementation\3. Analysis &amp; Design\Design\FC22\DRR Jaime\QUIFA-CAJÚA\Cajua\[CAJUA_CF_SEC_New_27-Feb-2024Rev3.xlsx]D-PND'!$DC$48</v>
      </c>
      <c r="J2204" s="37" t="s">
        <v>3035</v>
      </c>
    </row>
    <row r="2205" spans="1:10" x14ac:dyDescent="0.25">
      <c r="A2205" s="32" t="s">
        <v>28</v>
      </c>
      <c r="B2205" s="32"/>
      <c r="C2205" s="33" t="s">
        <v>20</v>
      </c>
      <c r="D2205" s="34"/>
      <c r="E2205" s="35"/>
      <c r="F2205" s="34"/>
      <c r="G2205" s="32"/>
      <c r="H2205" s="33"/>
      <c r="I2205" s="33"/>
      <c r="J2205" s="33"/>
    </row>
    <row r="2206" spans="1:10" x14ac:dyDescent="0.25">
      <c r="A2206" s="32" t="s">
        <v>99</v>
      </c>
      <c r="B2206" s="32">
        <v>2023</v>
      </c>
      <c r="C2206" s="33" t="s">
        <v>20</v>
      </c>
      <c r="D2206" s="34" t="s">
        <v>1999</v>
      </c>
      <c r="E2206" s="35" t="str">
        <f t="shared" ref="E2206:E2226" si="536">_xlfn.CONCAT(A2206,"'!")</f>
        <v>PRBDP'!</v>
      </c>
      <c r="F2206" s="34" t="str">
        <f t="shared" ref="F2206:F2226" si="537">_xlfn.CONCAT(D2206:E2206)</f>
        <v>C:\Users\jaime.benazar\Quorum Business Solutions\Ecopetrol Prometeo - Documents\Planning Space Implementation\3. Analysis &amp; Design\Design\FC22\DRR Jaime\QUIFA-CAJÚA\Cajua\[CAJUA_CF_SEC_New_27-Feb-2024Rev3.xlsx]D-PRBDP'!</v>
      </c>
      <c r="G2206" s="32" t="s">
        <v>115</v>
      </c>
      <c r="H2206" s="33"/>
      <c r="I2206" s="33"/>
      <c r="J2206" s="37"/>
    </row>
    <row r="2207" spans="1:10" x14ac:dyDescent="0.25">
      <c r="A2207" s="32" t="s">
        <v>99</v>
      </c>
      <c r="B2207" s="32">
        <f>+B2206+1</f>
        <v>2024</v>
      </c>
      <c r="C2207" s="33" t="s">
        <v>20</v>
      </c>
      <c r="D2207" s="34" t="s">
        <v>1999</v>
      </c>
      <c r="E2207" s="35" t="str">
        <f t="shared" si="536"/>
        <v>PRBDP'!</v>
      </c>
      <c r="F2207" s="34" t="str">
        <f t="shared" si="537"/>
        <v>C:\Users\jaime.benazar\Quorum Business Solutions\Ecopetrol Prometeo - Documents\Planning Space Implementation\3. Analysis &amp; Design\Design\FC22\DRR Jaime\QUIFA-CAJÚA\Cajua\[CAJUA_CF_SEC_New_27-Feb-2024Rev3.xlsx]D-PRBDP'!</v>
      </c>
      <c r="G2207" s="32" t="s">
        <v>115</v>
      </c>
      <c r="H2207" s="33"/>
      <c r="I2207" s="33"/>
      <c r="J2207" s="37"/>
    </row>
    <row r="2208" spans="1:10" x14ac:dyDescent="0.25">
      <c r="A2208" s="32" t="s">
        <v>99</v>
      </c>
      <c r="B2208" s="32">
        <f t="shared" ref="B2208:B2219" si="538">+B2207+1</f>
        <v>2025</v>
      </c>
      <c r="C2208" s="33" t="s">
        <v>20</v>
      </c>
      <c r="D2208" s="34" t="s">
        <v>1999</v>
      </c>
      <c r="E2208" s="35" t="str">
        <f t="shared" si="536"/>
        <v>PRBDP'!</v>
      </c>
      <c r="F2208" s="34" t="str">
        <f t="shared" si="537"/>
        <v>C:\Users\jaime.benazar\Quorum Business Solutions\Ecopetrol Prometeo - Documents\Planning Space Implementation\3. Analysis &amp; Design\Design\FC22\DRR Jaime\QUIFA-CAJÚA\Cajua\[CAJUA_CF_SEC_New_27-Feb-2024Rev3.xlsx]D-PRBDP'!</v>
      </c>
      <c r="G2208" s="32" t="s">
        <v>115</v>
      </c>
      <c r="H2208" s="33"/>
      <c r="I2208" s="33"/>
      <c r="J2208" s="37"/>
    </row>
    <row r="2209" spans="1:10" x14ac:dyDescent="0.25">
      <c r="A2209" s="32" t="s">
        <v>99</v>
      </c>
      <c r="B2209" s="32">
        <f t="shared" si="538"/>
        <v>2026</v>
      </c>
      <c r="C2209" s="33" t="s">
        <v>20</v>
      </c>
      <c r="D2209" s="34" t="s">
        <v>1999</v>
      </c>
      <c r="E2209" s="35" t="str">
        <f t="shared" si="536"/>
        <v>PRBDP'!</v>
      </c>
      <c r="F2209" s="34" t="str">
        <f t="shared" si="537"/>
        <v>C:\Users\jaime.benazar\Quorum Business Solutions\Ecopetrol Prometeo - Documents\Planning Space Implementation\3. Analysis &amp; Design\Design\FC22\DRR Jaime\QUIFA-CAJÚA\Cajua\[CAJUA_CF_SEC_New_27-Feb-2024Rev3.xlsx]D-PRBDP'!</v>
      </c>
      <c r="G2209" s="32" t="s">
        <v>115</v>
      </c>
      <c r="H2209" s="33"/>
      <c r="I2209" s="33"/>
      <c r="J2209" s="37"/>
    </row>
    <row r="2210" spans="1:10" x14ac:dyDescent="0.25">
      <c r="A2210" s="32" t="s">
        <v>99</v>
      </c>
      <c r="B2210" s="32">
        <f t="shared" si="538"/>
        <v>2027</v>
      </c>
      <c r="C2210" s="33" t="s">
        <v>20</v>
      </c>
      <c r="D2210" s="34" t="s">
        <v>1999</v>
      </c>
      <c r="E2210" s="35" t="str">
        <f t="shared" si="536"/>
        <v>PRBDP'!</v>
      </c>
      <c r="F2210" s="34" t="str">
        <f t="shared" si="537"/>
        <v>C:\Users\jaime.benazar\Quorum Business Solutions\Ecopetrol Prometeo - Documents\Planning Space Implementation\3. Analysis &amp; Design\Design\FC22\DRR Jaime\QUIFA-CAJÚA\Cajua\[CAJUA_CF_SEC_New_27-Feb-2024Rev3.xlsx]D-PRBDP'!</v>
      </c>
      <c r="G2210" s="32" t="s">
        <v>115</v>
      </c>
      <c r="H2210" s="33"/>
      <c r="I2210" s="33"/>
      <c r="J2210" s="37"/>
    </row>
    <row r="2211" spans="1:10" x14ac:dyDescent="0.25">
      <c r="A2211" s="32" t="s">
        <v>99</v>
      </c>
      <c r="B2211" s="32">
        <f t="shared" si="538"/>
        <v>2028</v>
      </c>
      <c r="C2211" s="33" t="s">
        <v>20</v>
      </c>
      <c r="D2211" s="34" t="s">
        <v>1999</v>
      </c>
      <c r="E2211" s="35" t="str">
        <f t="shared" si="536"/>
        <v>PRBDP'!</v>
      </c>
      <c r="F2211" s="34" t="str">
        <f t="shared" si="537"/>
        <v>C:\Users\jaime.benazar\Quorum Business Solutions\Ecopetrol Prometeo - Documents\Planning Space Implementation\3. Analysis &amp; Design\Design\FC22\DRR Jaime\QUIFA-CAJÚA\Cajua\[CAJUA_CF_SEC_New_27-Feb-2024Rev3.xlsx]D-PRBDP'!</v>
      </c>
      <c r="G2211" s="32" t="s">
        <v>115</v>
      </c>
      <c r="H2211" s="33"/>
      <c r="I2211" s="33"/>
      <c r="J2211" s="37"/>
    </row>
    <row r="2212" spans="1:10" x14ac:dyDescent="0.25">
      <c r="A2212" s="32" t="s">
        <v>99</v>
      </c>
      <c r="B2212" s="32">
        <f t="shared" si="538"/>
        <v>2029</v>
      </c>
      <c r="C2212" s="33" t="s">
        <v>20</v>
      </c>
      <c r="D2212" s="34" t="s">
        <v>1999</v>
      </c>
      <c r="E2212" s="35" t="str">
        <f t="shared" si="536"/>
        <v>PRBDP'!</v>
      </c>
      <c r="F2212" s="34" t="str">
        <f t="shared" si="537"/>
        <v>C:\Users\jaime.benazar\Quorum Business Solutions\Ecopetrol Prometeo - Documents\Planning Space Implementation\3. Analysis &amp; Design\Design\FC22\DRR Jaime\QUIFA-CAJÚA\Cajua\[CAJUA_CF_SEC_New_27-Feb-2024Rev3.xlsx]D-PRBDP'!</v>
      </c>
      <c r="G2212" s="32" t="s">
        <v>115</v>
      </c>
      <c r="H2212" s="33"/>
      <c r="I2212" s="33"/>
      <c r="J2212" s="37"/>
    </row>
    <row r="2213" spans="1:10" x14ac:dyDescent="0.25">
      <c r="A2213" s="32" t="s">
        <v>99</v>
      </c>
      <c r="B2213" s="32">
        <f t="shared" si="538"/>
        <v>2030</v>
      </c>
      <c r="C2213" s="33" t="s">
        <v>20</v>
      </c>
      <c r="D2213" s="34" t="s">
        <v>1999</v>
      </c>
      <c r="E2213" s="35" t="str">
        <f t="shared" si="536"/>
        <v>PRBDP'!</v>
      </c>
      <c r="F2213" s="34" t="str">
        <f t="shared" si="537"/>
        <v>C:\Users\jaime.benazar\Quorum Business Solutions\Ecopetrol Prometeo - Documents\Planning Space Implementation\3. Analysis &amp; Design\Design\FC22\DRR Jaime\QUIFA-CAJÚA\Cajua\[CAJUA_CF_SEC_New_27-Feb-2024Rev3.xlsx]D-PRBDP'!</v>
      </c>
      <c r="G2213" s="32" t="s">
        <v>115</v>
      </c>
      <c r="H2213" s="33"/>
      <c r="I2213" s="33"/>
      <c r="J2213" s="37"/>
    </row>
    <row r="2214" spans="1:10" x14ac:dyDescent="0.25">
      <c r="A2214" s="32" t="s">
        <v>99</v>
      </c>
      <c r="B2214" s="32">
        <f t="shared" si="538"/>
        <v>2031</v>
      </c>
      <c r="C2214" s="33" t="s">
        <v>20</v>
      </c>
      <c r="D2214" s="34" t="s">
        <v>1999</v>
      </c>
      <c r="E2214" s="35" t="str">
        <f t="shared" si="536"/>
        <v>PRBDP'!</v>
      </c>
      <c r="F2214" s="34" t="str">
        <f t="shared" si="537"/>
        <v>C:\Users\jaime.benazar\Quorum Business Solutions\Ecopetrol Prometeo - Documents\Planning Space Implementation\3. Analysis &amp; Design\Design\FC22\DRR Jaime\QUIFA-CAJÚA\Cajua\[CAJUA_CF_SEC_New_27-Feb-2024Rev3.xlsx]D-PRBDP'!</v>
      </c>
      <c r="G2214" s="32" t="s">
        <v>115</v>
      </c>
      <c r="H2214" s="33"/>
      <c r="I2214" s="33"/>
      <c r="J2214" s="37"/>
    </row>
    <row r="2215" spans="1:10" x14ac:dyDescent="0.25">
      <c r="A2215" s="32" t="s">
        <v>99</v>
      </c>
      <c r="B2215" s="32">
        <f t="shared" si="538"/>
        <v>2032</v>
      </c>
      <c r="C2215" s="33" t="s">
        <v>20</v>
      </c>
      <c r="D2215" s="34" t="s">
        <v>1999</v>
      </c>
      <c r="E2215" s="35" t="str">
        <f t="shared" si="536"/>
        <v>PRBDP'!</v>
      </c>
      <c r="F2215" s="34" t="str">
        <f t="shared" si="537"/>
        <v>C:\Users\jaime.benazar\Quorum Business Solutions\Ecopetrol Prometeo - Documents\Planning Space Implementation\3. Analysis &amp; Design\Design\FC22\DRR Jaime\QUIFA-CAJÚA\Cajua\[CAJUA_CF_SEC_New_27-Feb-2024Rev3.xlsx]D-PRBDP'!</v>
      </c>
      <c r="G2215" s="32" t="s">
        <v>115</v>
      </c>
      <c r="H2215" s="33"/>
      <c r="I2215" s="33"/>
      <c r="J2215" s="37"/>
    </row>
    <row r="2216" spans="1:10" x14ac:dyDescent="0.25">
      <c r="A2216" s="32" t="s">
        <v>99</v>
      </c>
      <c r="B2216" s="32">
        <f t="shared" si="538"/>
        <v>2033</v>
      </c>
      <c r="C2216" s="33" t="s">
        <v>20</v>
      </c>
      <c r="D2216" s="34" t="s">
        <v>1999</v>
      </c>
      <c r="E2216" s="35" t="str">
        <f t="shared" si="536"/>
        <v>PRBDP'!</v>
      </c>
      <c r="F2216" s="34" t="str">
        <f t="shared" si="537"/>
        <v>C:\Users\jaime.benazar\Quorum Business Solutions\Ecopetrol Prometeo - Documents\Planning Space Implementation\3. Analysis &amp; Design\Design\FC22\DRR Jaime\QUIFA-CAJÚA\Cajua\[CAJUA_CF_SEC_New_27-Feb-2024Rev3.xlsx]D-PRBDP'!</v>
      </c>
      <c r="G2216" s="32" t="s">
        <v>115</v>
      </c>
      <c r="H2216" s="33"/>
      <c r="I2216" s="33"/>
      <c r="J2216" s="37"/>
    </row>
    <row r="2217" spans="1:10" x14ac:dyDescent="0.25">
      <c r="A2217" s="32" t="s">
        <v>99</v>
      </c>
      <c r="B2217" s="32">
        <f t="shared" si="538"/>
        <v>2034</v>
      </c>
      <c r="C2217" s="33" t="s">
        <v>20</v>
      </c>
      <c r="D2217" s="34" t="s">
        <v>1999</v>
      </c>
      <c r="E2217" s="35" t="str">
        <f t="shared" si="536"/>
        <v>PRBDP'!</v>
      </c>
      <c r="F2217" s="34" t="str">
        <f t="shared" si="537"/>
        <v>C:\Users\jaime.benazar\Quorum Business Solutions\Ecopetrol Prometeo - Documents\Planning Space Implementation\3. Analysis &amp; Design\Design\FC22\DRR Jaime\QUIFA-CAJÚA\Cajua\[CAJUA_CF_SEC_New_27-Feb-2024Rev3.xlsx]D-PRBDP'!</v>
      </c>
      <c r="G2217" s="32" t="s">
        <v>115</v>
      </c>
      <c r="H2217" s="33"/>
      <c r="I2217" s="33"/>
      <c r="J2217" s="37"/>
    </row>
    <row r="2218" spans="1:10" x14ac:dyDescent="0.25">
      <c r="A2218" s="32" t="s">
        <v>99</v>
      </c>
      <c r="B2218" s="32">
        <f t="shared" si="538"/>
        <v>2035</v>
      </c>
      <c r="C2218" s="33" t="s">
        <v>20</v>
      </c>
      <c r="D2218" s="34" t="s">
        <v>1999</v>
      </c>
      <c r="E2218" s="35" t="str">
        <f t="shared" si="536"/>
        <v>PRBDP'!</v>
      </c>
      <c r="F2218" s="34" t="str">
        <f t="shared" si="537"/>
        <v>C:\Users\jaime.benazar\Quorum Business Solutions\Ecopetrol Prometeo - Documents\Planning Space Implementation\3. Analysis &amp; Design\Design\FC22\DRR Jaime\QUIFA-CAJÚA\Cajua\[CAJUA_CF_SEC_New_27-Feb-2024Rev3.xlsx]D-PRBDP'!</v>
      </c>
      <c r="G2218" s="32" t="s">
        <v>115</v>
      </c>
      <c r="H2218" s="33"/>
      <c r="I2218" s="33"/>
      <c r="J2218" s="37"/>
    </row>
    <row r="2219" spans="1:10" x14ac:dyDescent="0.25">
      <c r="A2219" s="32" t="s">
        <v>99</v>
      </c>
      <c r="B2219" s="32">
        <f t="shared" si="538"/>
        <v>2036</v>
      </c>
      <c r="C2219" s="33" t="s">
        <v>20</v>
      </c>
      <c r="D2219" s="34" t="s">
        <v>1999</v>
      </c>
      <c r="E2219" s="35" t="str">
        <f t="shared" si="536"/>
        <v>PRBDP'!</v>
      </c>
      <c r="F2219" s="34" t="str">
        <f t="shared" si="537"/>
        <v>C:\Users\jaime.benazar\Quorum Business Solutions\Ecopetrol Prometeo - Documents\Planning Space Implementation\3. Analysis &amp; Design\Design\FC22\DRR Jaime\QUIFA-CAJÚA\Cajua\[CAJUA_CF_SEC_New_27-Feb-2024Rev3.xlsx]D-PRBDP'!</v>
      </c>
      <c r="G2219" s="32" t="s">
        <v>115</v>
      </c>
      <c r="H2219" s="33"/>
      <c r="I2219" s="33"/>
      <c r="J2219" s="37"/>
    </row>
    <row r="2220" spans="1:10" x14ac:dyDescent="0.25">
      <c r="A2220" s="32" t="s">
        <v>99</v>
      </c>
      <c r="B2220" s="32">
        <f>+B2219+1</f>
        <v>2037</v>
      </c>
      <c r="C2220" s="33" t="s">
        <v>20</v>
      </c>
      <c r="D2220" s="34" t="s">
        <v>1999</v>
      </c>
      <c r="E2220" s="35" t="str">
        <f t="shared" si="536"/>
        <v>PRBDP'!</v>
      </c>
      <c r="F2220" s="34" t="str">
        <f t="shared" si="537"/>
        <v>C:\Users\jaime.benazar\Quorum Business Solutions\Ecopetrol Prometeo - Documents\Planning Space Implementation\3. Analysis &amp; Design\Design\FC22\DRR Jaime\QUIFA-CAJÚA\Cajua\[CAJUA_CF_SEC_New_27-Feb-2024Rev3.xlsx]D-PRBDP'!</v>
      </c>
      <c r="G2220" s="32" t="s">
        <v>115</v>
      </c>
      <c r="H2220" s="33"/>
      <c r="I2220" s="33"/>
      <c r="J2220" s="37"/>
    </row>
    <row r="2221" spans="1:10" x14ac:dyDescent="0.25">
      <c r="A2221" s="32" t="s">
        <v>99</v>
      </c>
      <c r="B2221" s="32">
        <f t="shared" ref="B2221:B2223" si="539">+B2220+1</f>
        <v>2038</v>
      </c>
      <c r="C2221" s="33" t="s">
        <v>20</v>
      </c>
      <c r="D2221" s="34" t="s">
        <v>1999</v>
      </c>
      <c r="E2221" s="35" t="str">
        <f t="shared" si="536"/>
        <v>PRBDP'!</v>
      </c>
      <c r="F2221" s="34" t="str">
        <f t="shared" si="537"/>
        <v>C:\Users\jaime.benazar\Quorum Business Solutions\Ecopetrol Prometeo - Documents\Planning Space Implementation\3. Analysis &amp; Design\Design\FC22\DRR Jaime\QUIFA-CAJÚA\Cajua\[CAJUA_CF_SEC_New_27-Feb-2024Rev3.xlsx]D-PRBDP'!</v>
      </c>
      <c r="G2221" s="32" t="s">
        <v>115</v>
      </c>
      <c r="H2221" s="33"/>
      <c r="I2221" s="33"/>
      <c r="J2221" s="37"/>
    </row>
    <row r="2222" spans="1:10" x14ac:dyDescent="0.25">
      <c r="A2222" s="32" t="s">
        <v>99</v>
      </c>
      <c r="B2222" s="32">
        <f t="shared" si="539"/>
        <v>2039</v>
      </c>
      <c r="C2222" s="33" t="s">
        <v>20</v>
      </c>
      <c r="D2222" s="34" t="s">
        <v>1999</v>
      </c>
      <c r="E2222" s="35" t="str">
        <f t="shared" si="536"/>
        <v>PRBDP'!</v>
      </c>
      <c r="F2222" s="34" t="str">
        <f t="shared" si="537"/>
        <v>C:\Users\jaime.benazar\Quorum Business Solutions\Ecopetrol Prometeo - Documents\Planning Space Implementation\3. Analysis &amp; Design\Design\FC22\DRR Jaime\QUIFA-CAJÚA\Cajua\[CAJUA_CF_SEC_New_27-Feb-2024Rev3.xlsx]D-PRBDP'!</v>
      </c>
      <c r="G2222" s="32" t="s">
        <v>115</v>
      </c>
      <c r="H2222" s="33"/>
      <c r="I2222" s="33"/>
      <c r="J2222" s="37"/>
    </row>
    <row r="2223" spans="1:10" x14ac:dyDescent="0.25">
      <c r="A2223" s="32" t="s">
        <v>99</v>
      </c>
      <c r="B2223" s="32">
        <f t="shared" si="539"/>
        <v>2040</v>
      </c>
      <c r="C2223" s="33" t="s">
        <v>20</v>
      </c>
      <c r="D2223" s="34" t="s">
        <v>1999</v>
      </c>
      <c r="E2223" s="35" t="str">
        <f t="shared" si="536"/>
        <v>PRBDP'!</v>
      </c>
      <c r="F2223" s="34" t="str">
        <f t="shared" si="537"/>
        <v>C:\Users\jaime.benazar\Quorum Business Solutions\Ecopetrol Prometeo - Documents\Planning Space Implementation\3. Analysis &amp; Design\Design\FC22\DRR Jaime\QUIFA-CAJÚA\Cajua\[CAJUA_CF_SEC_New_27-Feb-2024Rev3.xlsx]D-PRBDP'!</v>
      </c>
      <c r="G2223" s="32" t="s">
        <v>115</v>
      </c>
      <c r="H2223" s="33"/>
      <c r="I2223" s="33"/>
      <c r="J2223" s="37"/>
    </row>
    <row r="2224" spans="1:10" x14ac:dyDescent="0.25">
      <c r="A2224" s="32" t="s">
        <v>99</v>
      </c>
      <c r="B2224" s="32">
        <f>+B2223+1</f>
        <v>2041</v>
      </c>
      <c r="C2224" s="33" t="s">
        <v>20</v>
      </c>
      <c r="D2224" s="34" t="s">
        <v>1999</v>
      </c>
      <c r="E2224" s="35" t="str">
        <f t="shared" si="536"/>
        <v>PRBDP'!</v>
      </c>
      <c r="F2224" s="34" t="str">
        <f t="shared" si="537"/>
        <v>C:\Users\jaime.benazar\Quorum Business Solutions\Ecopetrol Prometeo - Documents\Planning Space Implementation\3. Analysis &amp; Design\Design\FC22\DRR Jaime\QUIFA-CAJÚA\Cajua\[CAJUA_CF_SEC_New_27-Feb-2024Rev3.xlsx]D-PRBDP'!</v>
      </c>
      <c r="G2224" s="32" t="s">
        <v>115</v>
      </c>
      <c r="H2224" s="33"/>
      <c r="I2224" s="33"/>
      <c r="J2224" s="37"/>
    </row>
    <row r="2225" spans="1:10" x14ac:dyDescent="0.25">
      <c r="A2225" s="32" t="s">
        <v>99</v>
      </c>
      <c r="B2225" s="32">
        <f t="shared" ref="B2225:B2226" si="540">+B2224+1</f>
        <v>2042</v>
      </c>
      <c r="C2225" s="33" t="s">
        <v>20</v>
      </c>
      <c r="D2225" s="34" t="s">
        <v>1999</v>
      </c>
      <c r="E2225" s="35" t="str">
        <f t="shared" si="536"/>
        <v>PRBDP'!</v>
      </c>
      <c r="F2225" s="34" t="str">
        <f t="shared" si="537"/>
        <v>C:\Users\jaime.benazar\Quorum Business Solutions\Ecopetrol Prometeo - Documents\Planning Space Implementation\3. Analysis &amp; Design\Design\FC22\DRR Jaime\QUIFA-CAJÚA\Cajua\[CAJUA_CF_SEC_New_27-Feb-2024Rev3.xlsx]D-PRBDP'!</v>
      </c>
      <c r="G2225" s="32" t="s">
        <v>115</v>
      </c>
      <c r="H2225" s="33"/>
      <c r="I2225" s="33"/>
      <c r="J2225" s="37"/>
    </row>
    <row r="2226" spans="1:10" x14ac:dyDescent="0.25">
      <c r="A2226" s="32" t="s">
        <v>99</v>
      </c>
      <c r="B2226" s="32">
        <f t="shared" si="540"/>
        <v>2043</v>
      </c>
      <c r="C2226" s="33" t="s">
        <v>20</v>
      </c>
      <c r="D2226" s="34" t="s">
        <v>1999</v>
      </c>
      <c r="E2226" s="35" t="str">
        <f t="shared" si="536"/>
        <v>PRBDP'!</v>
      </c>
      <c r="F2226" s="34" t="str">
        <f t="shared" si="537"/>
        <v>C:\Users\jaime.benazar\Quorum Business Solutions\Ecopetrol Prometeo - Documents\Planning Space Implementation\3. Analysis &amp; Design\Design\FC22\DRR Jaime\QUIFA-CAJÚA\Cajua\[CAJUA_CF_SEC_New_27-Feb-2024Rev3.xlsx]D-PRBDP'!</v>
      </c>
      <c r="G2226" s="32" t="s">
        <v>115</v>
      </c>
      <c r="H2226" s="33"/>
      <c r="I2226" s="33"/>
      <c r="J2226" s="37"/>
    </row>
    <row r="2227" spans="1:10" x14ac:dyDescent="0.25">
      <c r="A2227" s="32" t="s">
        <v>99</v>
      </c>
      <c r="B2227" s="32">
        <f>+B2226+1</f>
        <v>2044</v>
      </c>
      <c r="C2227" s="33" t="s">
        <v>20</v>
      </c>
      <c r="D2227" s="34" t="s">
        <v>1999</v>
      </c>
      <c r="E2227" s="35" t="str">
        <f t="shared" ref="E2227:E2242" si="541">_xlfn.CONCAT(A2227,"'!")</f>
        <v>PRBDP'!</v>
      </c>
      <c r="F2227" s="34" t="str">
        <f t="shared" ref="F2227:F2242" si="542">_xlfn.CONCAT(D2227:E2227)</f>
        <v>C:\Users\jaime.benazar\Quorum Business Solutions\Ecopetrol Prometeo - Documents\Planning Space Implementation\3. Analysis &amp; Design\Design\FC22\DRR Jaime\QUIFA-CAJÚA\Cajua\[CAJUA_CF_SEC_New_27-Feb-2024Rev3.xlsx]D-PRBDP'!</v>
      </c>
      <c r="G2227" s="32" t="s">
        <v>115</v>
      </c>
      <c r="H2227" s="33"/>
      <c r="I2227" s="33"/>
      <c r="J2227" s="37"/>
    </row>
    <row r="2228" spans="1:10" x14ac:dyDescent="0.25">
      <c r="A2228" s="32" t="s">
        <v>99</v>
      </c>
      <c r="B2228" s="32">
        <f t="shared" ref="B2228:B2242" si="543">+B2227+1</f>
        <v>2045</v>
      </c>
      <c r="C2228" s="33" t="s">
        <v>20</v>
      </c>
      <c r="D2228" s="34" t="s">
        <v>1999</v>
      </c>
      <c r="E2228" s="35" t="str">
        <f t="shared" si="541"/>
        <v>PRBDP'!</v>
      </c>
      <c r="F2228" s="34" t="str">
        <f t="shared" si="542"/>
        <v>C:\Users\jaime.benazar\Quorum Business Solutions\Ecopetrol Prometeo - Documents\Planning Space Implementation\3. Analysis &amp; Design\Design\FC22\DRR Jaime\QUIFA-CAJÚA\Cajua\[CAJUA_CF_SEC_New_27-Feb-2024Rev3.xlsx]D-PRBDP'!</v>
      </c>
      <c r="G2228" s="32" t="s">
        <v>115</v>
      </c>
      <c r="H2228" s="33"/>
      <c r="I2228" s="33"/>
      <c r="J2228" s="37"/>
    </row>
    <row r="2229" spans="1:10" x14ac:dyDescent="0.25">
      <c r="A2229" s="32" t="s">
        <v>99</v>
      </c>
      <c r="B2229" s="32">
        <f t="shared" si="543"/>
        <v>2046</v>
      </c>
      <c r="C2229" s="33" t="s">
        <v>20</v>
      </c>
      <c r="D2229" s="34" t="s">
        <v>1999</v>
      </c>
      <c r="E2229" s="35" t="str">
        <f t="shared" si="541"/>
        <v>PRBDP'!</v>
      </c>
      <c r="F2229" s="34" t="str">
        <f t="shared" si="542"/>
        <v>C:\Users\jaime.benazar\Quorum Business Solutions\Ecopetrol Prometeo - Documents\Planning Space Implementation\3. Analysis &amp; Design\Design\FC22\DRR Jaime\QUIFA-CAJÚA\Cajua\[CAJUA_CF_SEC_New_27-Feb-2024Rev3.xlsx]D-PRBDP'!</v>
      </c>
      <c r="G2229" s="32" t="s">
        <v>115</v>
      </c>
      <c r="H2229" s="33"/>
      <c r="I2229" s="33"/>
      <c r="J2229" s="37"/>
    </row>
    <row r="2230" spans="1:10" x14ac:dyDescent="0.25">
      <c r="A2230" s="32" t="s">
        <v>99</v>
      </c>
      <c r="B2230" s="32">
        <f t="shared" si="543"/>
        <v>2047</v>
      </c>
      <c r="C2230" s="33" t="s">
        <v>20</v>
      </c>
      <c r="D2230" s="34" t="s">
        <v>1999</v>
      </c>
      <c r="E2230" s="35" t="str">
        <f t="shared" si="541"/>
        <v>PRBDP'!</v>
      </c>
      <c r="F2230" s="34" t="str">
        <f t="shared" si="542"/>
        <v>C:\Users\jaime.benazar\Quorum Business Solutions\Ecopetrol Prometeo - Documents\Planning Space Implementation\3. Analysis &amp; Design\Design\FC22\DRR Jaime\QUIFA-CAJÚA\Cajua\[CAJUA_CF_SEC_New_27-Feb-2024Rev3.xlsx]D-PRBDP'!</v>
      </c>
      <c r="G2230" s="32" t="s">
        <v>115</v>
      </c>
      <c r="H2230" s="33"/>
      <c r="I2230" s="33"/>
      <c r="J2230" s="37"/>
    </row>
    <row r="2231" spans="1:10" x14ac:dyDescent="0.25">
      <c r="A2231" s="32" t="s">
        <v>99</v>
      </c>
      <c r="B2231" s="32">
        <f t="shared" si="543"/>
        <v>2048</v>
      </c>
      <c r="C2231" s="33" t="s">
        <v>20</v>
      </c>
      <c r="D2231" s="34" t="s">
        <v>1999</v>
      </c>
      <c r="E2231" s="35" t="str">
        <f t="shared" si="541"/>
        <v>PRBDP'!</v>
      </c>
      <c r="F2231" s="34" t="str">
        <f t="shared" si="542"/>
        <v>C:\Users\jaime.benazar\Quorum Business Solutions\Ecopetrol Prometeo - Documents\Planning Space Implementation\3. Analysis &amp; Design\Design\FC22\DRR Jaime\QUIFA-CAJÚA\Cajua\[CAJUA_CF_SEC_New_27-Feb-2024Rev3.xlsx]D-PRBDP'!</v>
      </c>
      <c r="G2231" s="32" t="s">
        <v>115</v>
      </c>
      <c r="H2231" s="33"/>
      <c r="I2231" s="33"/>
      <c r="J2231" s="37"/>
    </row>
    <row r="2232" spans="1:10" x14ac:dyDescent="0.25">
      <c r="A2232" s="32" t="s">
        <v>99</v>
      </c>
      <c r="B2232" s="32">
        <f t="shared" si="543"/>
        <v>2049</v>
      </c>
      <c r="C2232" s="33" t="s">
        <v>20</v>
      </c>
      <c r="D2232" s="34" t="s">
        <v>1999</v>
      </c>
      <c r="E2232" s="35" t="str">
        <f t="shared" si="541"/>
        <v>PRBDP'!</v>
      </c>
      <c r="F2232" s="34" t="str">
        <f t="shared" si="542"/>
        <v>C:\Users\jaime.benazar\Quorum Business Solutions\Ecopetrol Prometeo - Documents\Planning Space Implementation\3. Analysis &amp; Design\Design\FC22\DRR Jaime\QUIFA-CAJÚA\Cajua\[CAJUA_CF_SEC_New_27-Feb-2024Rev3.xlsx]D-PRBDP'!</v>
      </c>
      <c r="G2232" s="32" t="s">
        <v>115</v>
      </c>
      <c r="H2232" s="33"/>
      <c r="I2232" s="33"/>
      <c r="J2232" s="37"/>
    </row>
    <row r="2233" spans="1:10" x14ac:dyDescent="0.25">
      <c r="A2233" s="32" t="s">
        <v>99</v>
      </c>
      <c r="B2233" s="32">
        <f t="shared" si="543"/>
        <v>2050</v>
      </c>
      <c r="C2233" s="33" t="s">
        <v>20</v>
      </c>
      <c r="D2233" s="34" t="s">
        <v>1999</v>
      </c>
      <c r="E2233" s="35" t="str">
        <f t="shared" si="541"/>
        <v>PRBDP'!</v>
      </c>
      <c r="F2233" s="34" t="str">
        <f t="shared" si="542"/>
        <v>C:\Users\jaime.benazar\Quorum Business Solutions\Ecopetrol Prometeo - Documents\Planning Space Implementation\3. Analysis &amp; Design\Design\FC22\DRR Jaime\QUIFA-CAJÚA\Cajua\[CAJUA_CF_SEC_New_27-Feb-2024Rev3.xlsx]D-PRBDP'!</v>
      </c>
      <c r="G2233" s="32" t="s">
        <v>115</v>
      </c>
      <c r="H2233" s="33"/>
      <c r="I2233" s="33"/>
      <c r="J2233" s="37"/>
    </row>
    <row r="2234" spans="1:10" x14ac:dyDescent="0.25">
      <c r="A2234" s="32" t="s">
        <v>99</v>
      </c>
      <c r="B2234" s="32">
        <f t="shared" si="543"/>
        <v>2051</v>
      </c>
      <c r="C2234" s="33" t="s">
        <v>20</v>
      </c>
      <c r="D2234" s="34" t="s">
        <v>1999</v>
      </c>
      <c r="E2234" s="35" t="str">
        <f t="shared" si="541"/>
        <v>PRBDP'!</v>
      </c>
      <c r="F2234" s="34" t="str">
        <f t="shared" si="542"/>
        <v>C:\Users\jaime.benazar\Quorum Business Solutions\Ecopetrol Prometeo - Documents\Planning Space Implementation\3. Analysis &amp; Design\Design\FC22\DRR Jaime\QUIFA-CAJÚA\Cajua\[CAJUA_CF_SEC_New_27-Feb-2024Rev3.xlsx]D-PRBDP'!</v>
      </c>
      <c r="G2234" s="32" t="s">
        <v>115</v>
      </c>
      <c r="H2234" s="33"/>
      <c r="I2234" s="33"/>
      <c r="J2234" s="37"/>
    </row>
    <row r="2235" spans="1:10" x14ac:dyDescent="0.25">
      <c r="A2235" s="32" t="s">
        <v>99</v>
      </c>
      <c r="B2235" s="32">
        <f t="shared" si="543"/>
        <v>2052</v>
      </c>
      <c r="C2235" s="33" t="s">
        <v>20</v>
      </c>
      <c r="D2235" s="34" t="s">
        <v>1999</v>
      </c>
      <c r="E2235" s="35" t="str">
        <f t="shared" si="541"/>
        <v>PRBDP'!</v>
      </c>
      <c r="F2235" s="34" t="str">
        <f t="shared" si="542"/>
        <v>C:\Users\jaime.benazar\Quorum Business Solutions\Ecopetrol Prometeo - Documents\Planning Space Implementation\3. Analysis &amp; Design\Design\FC22\DRR Jaime\QUIFA-CAJÚA\Cajua\[CAJUA_CF_SEC_New_27-Feb-2024Rev3.xlsx]D-PRBDP'!</v>
      </c>
      <c r="G2235" s="32" t="s">
        <v>115</v>
      </c>
      <c r="H2235" s="33"/>
      <c r="I2235" s="33"/>
      <c r="J2235" s="37"/>
    </row>
    <row r="2236" spans="1:10" x14ac:dyDescent="0.25">
      <c r="A2236" s="32" t="s">
        <v>99</v>
      </c>
      <c r="B2236" s="32">
        <f t="shared" si="543"/>
        <v>2053</v>
      </c>
      <c r="C2236" s="33" t="s">
        <v>20</v>
      </c>
      <c r="D2236" s="34" t="s">
        <v>1999</v>
      </c>
      <c r="E2236" s="35" t="str">
        <f t="shared" si="541"/>
        <v>PRBDP'!</v>
      </c>
      <c r="F2236" s="34" t="str">
        <f t="shared" si="542"/>
        <v>C:\Users\jaime.benazar\Quorum Business Solutions\Ecopetrol Prometeo - Documents\Planning Space Implementation\3. Analysis &amp; Design\Design\FC22\DRR Jaime\QUIFA-CAJÚA\Cajua\[CAJUA_CF_SEC_New_27-Feb-2024Rev3.xlsx]D-PRBDP'!</v>
      </c>
      <c r="G2236" s="32" t="s">
        <v>115</v>
      </c>
      <c r="H2236" s="33"/>
      <c r="I2236" s="33"/>
      <c r="J2236" s="37"/>
    </row>
    <row r="2237" spans="1:10" x14ac:dyDescent="0.25">
      <c r="A2237" s="32" t="s">
        <v>99</v>
      </c>
      <c r="B2237" s="32">
        <f t="shared" si="543"/>
        <v>2054</v>
      </c>
      <c r="C2237" s="33" t="s">
        <v>20</v>
      </c>
      <c r="D2237" s="34" t="s">
        <v>1999</v>
      </c>
      <c r="E2237" s="35" t="str">
        <f t="shared" si="541"/>
        <v>PRBDP'!</v>
      </c>
      <c r="F2237" s="34" t="str">
        <f t="shared" si="542"/>
        <v>C:\Users\jaime.benazar\Quorum Business Solutions\Ecopetrol Prometeo - Documents\Planning Space Implementation\3. Analysis &amp; Design\Design\FC22\DRR Jaime\QUIFA-CAJÚA\Cajua\[CAJUA_CF_SEC_New_27-Feb-2024Rev3.xlsx]D-PRBDP'!</v>
      </c>
      <c r="G2237" s="32" t="s">
        <v>115</v>
      </c>
      <c r="H2237" s="33"/>
      <c r="I2237" s="33"/>
      <c r="J2237" s="37"/>
    </row>
    <row r="2238" spans="1:10" x14ac:dyDescent="0.25">
      <c r="A2238" s="32" t="s">
        <v>99</v>
      </c>
      <c r="B2238" s="32">
        <f t="shared" si="543"/>
        <v>2055</v>
      </c>
      <c r="C2238" s="33" t="s">
        <v>20</v>
      </c>
      <c r="D2238" s="34" t="s">
        <v>1999</v>
      </c>
      <c r="E2238" s="35" t="str">
        <f t="shared" si="541"/>
        <v>PRBDP'!</v>
      </c>
      <c r="F2238" s="34" t="str">
        <f t="shared" si="542"/>
        <v>C:\Users\jaime.benazar\Quorum Business Solutions\Ecopetrol Prometeo - Documents\Planning Space Implementation\3. Analysis &amp; Design\Design\FC22\DRR Jaime\QUIFA-CAJÚA\Cajua\[CAJUA_CF_SEC_New_27-Feb-2024Rev3.xlsx]D-PRBDP'!</v>
      </c>
      <c r="G2238" s="32" t="s">
        <v>115</v>
      </c>
      <c r="H2238" s="33"/>
      <c r="I2238" s="33"/>
      <c r="J2238" s="37"/>
    </row>
    <row r="2239" spans="1:10" x14ac:dyDescent="0.25">
      <c r="A2239" s="32" t="s">
        <v>99</v>
      </c>
      <c r="B2239" s="32">
        <f t="shared" si="543"/>
        <v>2056</v>
      </c>
      <c r="C2239" s="33" t="s">
        <v>20</v>
      </c>
      <c r="D2239" s="34" t="s">
        <v>1999</v>
      </c>
      <c r="E2239" s="35" t="str">
        <f t="shared" si="541"/>
        <v>PRBDP'!</v>
      </c>
      <c r="F2239" s="34" t="str">
        <f t="shared" si="542"/>
        <v>C:\Users\jaime.benazar\Quorum Business Solutions\Ecopetrol Prometeo - Documents\Planning Space Implementation\3. Analysis &amp; Design\Design\FC22\DRR Jaime\QUIFA-CAJÚA\Cajua\[CAJUA_CF_SEC_New_27-Feb-2024Rev3.xlsx]D-PRBDP'!</v>
      </c>
      <c r="G2239" s="32" t="s">
        <v>115</v>
      </c>
      <c r="H2239" s="33"/>
      <c r="I2239" s="33"/>
      <c r="J2239" s="37"/>
    </row>
    <row r="2240" spans="1:10" x14ac:dyDescent="0.25">
      <c r="A2240" s="32" t="s">
        <v>99</v>
      </c>
      <c r="B2240" s="32">
        <f t="shared" si="543"/>
        <v>2057</v>
      </c>
      <c r="C2240" s="33" t="s">
        <v>20</v>
      </c>
      <c r="D2240" s="34" t="s">
        <v>1999</v>
      </c>
      <c r="E2240" s="35" t="str">
        <f t="shared" si="541"/>
        <v>PRBDP'!</v>
      </c>
      <c r="F2240" s="34" t="str">
        <f t="shared" si="542"/>
        <v>C:\Users\jaime.benazar\Quorum Business Solutions\Ecopetrol Prometeo - Documents\Planning Space Implementation\3. Analysis &amp; Design\Design\FC22\DRR Jaime\QUIFA-CAJÚA\Cajua\[CAJUA_CF_SEC_New_27-Feb-2024Rev3.xlsx]D-PRBDP'!</v>
      </c>
      <c r="G2240" s="32" t="s">
        <v>115</v>
      </c>
      <c r="H2240" s="33"/>
      <c r="I2240" s="33"/>
      <c r="J2240" s="37"/>
    </row>
    <row r="2241" spans="1:10" x14ac:dyDescent="0.25">
      <c r="A2241" s="32" t="s">
        <v>99</v>
      </c>
      <c r="B2241" s="32">
        <f t="shared" si="543"/>
        <v>2058</v>
      </c>
      <c r="C2241" s="33" t="s">
        <v>20</v>
      </c>
      <c r="D2241" s="34" t="s">
        <v>1999</v>
      </c>
      <c r="E2241" s="35" t="str">
        <f t="shared" si="541"/>
        <v>PRBDP'!</v>
      </c>
      <c r="F2241" s="34" t="str">
        <f t="shared" si="542"/>
        <v>C:\Users\jaime.benazar\Quorum Business Solutions\Ecopetrol Prometeo - Documents\Planning Space Implementation\3. Analysis &amp; Design\Design\FC22\DRR Jaime\QUIFA-CAJÚA\Cajua\[CAJUA_CF_SEC_New_27-Feb-2024Rev3.xlsx]D-PRBDP'!</v>
      </c>
      <c r="G2241" s="32" t="s">
        <v>115</v>
      </c>
      <c r="H2241" s="33"/>
      <c r="I2241" s="33"/>
      <c r="J2241" s="37"/>
    </row>
    <row r="2242" spans="1:10" x14ac:dyDescent="0.25">
      <c r="A2242" s="32" t="s">
        <v>99</v>
      </c>
      <c r="B2242" s="32">
        <f t="shared" si="543"/>
        <v>2059</v>
      </c>
      <c r="C2242" s="33" t="s">
        <v>20</v>
      </c>
      <c r="D2242" s="34" t="s">
        <v>1999</v>
      </c>
      <c r="E2242" s="35" t="str">
        <f t="shared" si="541"/>
        <v>PRBDP'!</v>
      </c>
      <c r="F2242" s="34" t="str">
        <f t="shared" si="542"/>
        <v>C:\Users\jaime.benazar\Quorum Business Solutions\Ecopetrol Prometeo - Documents\Planning Space Implementation\3. Analysis &amp; Design\Design\FC22\DRR Jaime\QUIFA-CAJÚA\Cajua\[CAJUA_CF_SEC_New_27-Feb-2024Rev3.xlsx]D-PRBDP'!</v>
      </c>
      <c r="G2242" s="32" t="s">
        <v>115</v>
      </c>
      <c r="H2242" s="33"/>
      <c r="I2242" s="33"/>
      <c r="J2242" s="37"/>
    </row>
    <row r="2243" spans="1:10" x14ac:dyDescent="0.25">
      <c r="A2243" s="32" t="s">
        <v>28</v>
      </c>
      <c r="B2243" s="32"/>
      <c r="C2243" s="33" t="s">
        <v>20</v>
      </c>
      <c r="D2243" s="34"/>
      <c r="E2243" s="35"/>
      <c r="F2243" s="34"/>
      <c r="G2243" s="32"/>
      <c r="H2243" s="33"/>
      <c r="I2243" s="33"/>
      <c r="J2243" s="33"/>
    </row>
    <row r="2244" spans="1:10" x14ac:dyDescent="0.25">
      <c r="A2244" s="32" t="s">
        <v>100</v>
      </c>
      <c r="B2244" s="32">
        <v>2023</v>
      </c>
      <c r="C2244" s="33" t="s">
        <v>20</v>
      </c>
      <c r="D2244" s="34" t="s">
        <v>1999</v>
      </c>
      <c r="E2244" s="35" t="str">
        <f t="shared" ref="E2244:E2264" si="544">_xlfn.CONCAT(A2244,"'!")</f>
        <v>PRBNP'!</v>
      </c>
      <c r="F2244" s="34" t="str">
        <f t="shared" ref="F2244:F2264" si="545">_xlfn.CONCAT(D2244:E2244)</f>
        <v>C:\Users\jaime.benazar\Quorum Business Solutions\Ecopetrol Prometeo - Documents\Planning Space Implementation\3. Analysis &amp; Design\Design\FC22\DRR Jaime\QUIFA-CAJÚA\Cajua\[CAJUA_CF_SEC_New_27-Feb-2024Rev3.xlsx]D-PRBNP'!</v>
      </c>
      <c r="G2244" s="32" t="s">
        <v>115</v>
      </c>
      <c r="H2244" s="33"/>
      <c r="I2244" s="33"/>
      <c r="J2244" s="37"/>
    </row>
    <row r="2245" spans="1:10" x14ac:dyDescent="0.25">
      <c r="A2245" s="32" t="s">
        <v>100</v>
      </c>
      <c r="B2245" s="32">
        <f>+B2244+1</f>
        <v>2024</v>
      </c>
      <c r="C2245" s="33" t="s">
        <v>20</v>
      </c>
      <c r="D2245" s="34" t="s">
        <v>1999</v>
      </c>
      <c r="E2245" s="35" t="str">
        <f t="shared" si="544"/>
        <v>PRBNP'!</v>
      </c>
      <c r="F2245" s="34" t="str">
        <f t="shared" si="545"/>
        <v>C:\Users\jaime.benazar\Quorum Business Solutions\Ecopetrol Prometeo - Documents\Planning Space Implementation\3. Analysis &amp; Design\Design\FC22\DRR Jaime\QUIFA-CAJÚA\Cajua\[CAJUA_CF_SEC_New_27-Feb-2024Rev3.xlsx]D-PRBNP'!</v>
      </c>
      <c r="G2245" s="32" t="s">
        <v>115</v>
      </c>
      <c r="H2245" s="33"/>
      <c r="I2245" s="33"/>
      <c r="J2245" s="37"/>
    </row>
    <row r="2246" spans="1:10" x14ac:dyDescent="0.25">
      <c r="A2246" s="32" t="s">
        <v>100</v>
      </c>
      <c r="B2246" s="32">
        <f t="shared" ref="B2246:B2257" si="546">+B2245+1</f>
        <v>2025</v>
      </c>
      <c r="C2246" s="33" t="s">
        <v>20</v>
      </c>
      <c r="D2246" s="34" t="s">
        <v>1999</v>
      </c>
      <c r="E2246" s="35" t="str">
        <f t="shared" si="544"/>
        <v>PRBNP'!</v>
      </c>
      <c r="F2246" s="34" t="str">
        <f t="shared" si="545"/>
        <v>C:\Users\jaime.benazar\Quorum Business Solutions\Ecopetrol Prometeo - Documents\Planning Space Implementation\3. Analysis &amp; Design\Design\FC22\DRR Jaime\QUIFA-CAJÚA\Cajua\[CAJUA_CF_SEC_New_27-Feb-2024Rev3.xlsx]D-PRBNP'!</v>
      </c>
      <c r="G2246" s="32" t="s">
        <v>115</v>
      </c>
      <c r="H2246" s="33"/>
      <c r="I2246" s="33"/>
      <c r="J2246" s="37"/>
    </row>
    <row r="2247" spans="1:10" x14ac:dyDescent="0.25">
      <c r="A2247" s="32" t="s">
        <v>100</v>
      </c>
      <c r="B2247" s="32">
        <f t="shared" si="546"/>
        <v>2026</v>
      </c>
      <c r="C2247" s="33" t="s">
        <v>20</v>
      </c>
      <c r="D2247" s="34" t="s">
        <v>1999</v>
      </c>
      <c r="E2247" s="35" t="str">
        <f t="shared" si="544"/>
        <v>PRBNP'!</v>
      </c>
      <c r="F2247" s="34" t="str">
        <f t="shared" si="545"/>
        <v>C:\Users\jaime.benazar\Quorum Business Solutions\Ecopetrol Prometeo - Documents\Planning Space Implementation\3. Analysis &amp; Design\Design\FC22\DRR Jaime\QUIFA-CAJÚA\Cajua\[CAJUA_CF_SEC_New_27-Feb-2024Rev3.xlsx]D-PRBNP'!</v>
      </c>
      <c r="G2247" s="32" t="s">
        <v>115</v>
      </c>
      <c r="H2247" s="33"/>
      <c r="I2247" s="33"/>
      <c r="J2247" s="37"/>
    </row>
    <row r="2248" spans="1:10" x14ac:dyDescent="0.25">
      <c r="A2248" s="32" t="s">
        <v>100</v>
      </c>
      <c r="B2248" s="32">
        <f t="shared" si="546"/>
        <v>2027</v>
      </c>
      <c r="C2248" s="33" t="s">
        <v>20</v>
      </c>
      <c r="D2248" s="34" t="s">
        <v>1999</v>
      </c>
      <c r="E2248" s="35" t="str">
        <f t="shared" si="544"/>
        <v>PRBNP'!</v>
      </c>
      <c r="F2248" s="34" t="str">
        <f t="shared" si="545"/>
        <v>C:\Users\jaime.benazar\Quorum Business Solutions\Ecopetrol Prometeo - Documents\Planning Space Implementation\3. Analysis &amp; Design\Design\FC22\DRR Jaime\QUIFA-CAJÚA\Cajua\[CAJUA_CF_SEC_New_27-Feb-2024Rev3.xlsx]D-PRBNP'!</v>
      </c>
      <c r="G2248" s="32" t="s">
        <v>115</v>
      </c>
      <c r="H2248" s="33"/>
      <c r="I2248" s="33"/>
      <c r="J2248" s="37"/>
    </row>
    <row r="2249" spans="1:10" x14ac:dyDescent="0.25">
      <c r="A2249" s="32" t="s">
        <v>100</v>
      </c>
      <c r="B2249" s="32">
        <f t="shared" si="546"/>
        <v>2028</v>
      </c>
      <c r="C2249" s="33" t="s">
        <v>20</v>
      </c>
      <c r="D2249" s="34" t="s">
        <v>1999</v>
      </c>
      <c r="E2249" s="35" t="str">
        <f t="shared" si="544"/>
        <v>PRBNP'!</v>
      </c>
      <c r="F2249" s="34" t="str">
        <f t="shared" si="545"/>
        <v>C:\Users\jaime.benazar\Quorum Business Solutions\Ecopetrol Prometeo - Documents\Planning Space Implementation\3. Analysis &amp; Design\Design\FC22\DRR Jaime\QUIFA-CAJÚA\Cajua\[CAJUA_CF_SEC_New_27-Feb-2024Rev3.xlsx]D-PRBNP'!</v>
      </c>
      <c r="G2249" s="32" t="s">
        <v>115</v>
      </c>
      <c r="H2249" s="33"/>
      <c r="I2249" s="33"/>
      <c r="J2249" s="37"/>
    </row>
    <row r="2250" spans="1:10" x14ac:dyDescent="0.25">
      <c r="A2250" s="32" t="s">
        <v>100</v>
      </c>
      <c r="B2250" s="32">
        <f t="shared" si="546"/>
        <v>2029</v>
      </c>
      <c r="C2250" s="33" t="s">
        <v>20</v>
      </c>
      <c r="D2250" s="34" t="s">
        <v>1999</v>
      </c>
      <c r="E2250" s="35" t="str">
        <f t="shared" si="544"/>
        <v>PRBNP'!</v>
      </c>
      <c r="F2250" s="34" t="str">
        <f t="shared" si="545"/>
        <v>C:\Users\jaime.benazar\Quorum Business Solutions\Ecopetrol Prometeo - Documents\Planning Space Implementation\3. Analysis &amp; Design\Design\FC22\DRR Jaime\QUIFA-CAJÚA\Cajua\[CAJUA_CF_SEC_New_27-Feb-2024Rev3.xlsx]D-PRBNP'!</v>
      </c>
      <c r="G2250" s="32" t="s">
        <v>115</v>
      </c>
      <c r="H2250" s="33"/>
      <c r="I2250" s="33"/>
      <c r="J2250" s="37"/>
    </row>
    <row r="2251" spans="1:10" x14ac:dyDescent="0.25">
      <c r="A2251" s="32" t="s">
        <v>100</v>
      </c>
      <c r="B2251" s="32">
        <f t="shared" si="546"/>
        <v>2030</v>
      </c>
      <c r="C2251" s="33" t="s">
        <v>20</v>
      </c>
      <c r="D2251" s="34" t="s">
        <v>1999</v>
      </c>
      <c r="E2251" s="35" t="str">
        <f t="shared" si="544"/>
        <v>PRBNP'!</v>
      </c>
      <c r="F2251" s="34" t="str">
        <f t="shared" si="545"/>
        <v>C:\Users\jaime.benazar\Quorum Business Solutions\Ecopetrol Prometeo - Documents\Planning Space Implementation\3. Analysis &amp; Design\Design\FC22\DRR Jaime\QUIFA-CAJÚA\Cajua\[CAJUA_CF_SEC_New_27-Feb-2024Rev3.xlsx]D-PRBNP'!</v>
      </c>
      <c r="G2251" s="32" t="s">
        <v>115</v>
      </c>
      <c r="H2251" s="33"/>
      <c r="I2251" s="33"/>
      <c r="J2251" s="37"/>
    </row>
    <row r="2252" spans="1:10" x14ac:dyDescent="0.25">
      <c r="A2252" s="32" t="s">
        <v>100</v>
      </c>
      <c r="B2252" s="32">
        <f t="shared" si="546"/>
        <v>2031</v>
      </c>
      <c r="C2252" s="33" t="s">
        <v>20</v>
      </c>
      <c r="D2252" s="34" t="s">
        <v>1999</v>
      </c>
      <c r="E2252" s="35" t="str">
        <f t="shared" si="544"/>
        <v>PRBNP'!</v>
      </c>
      <c r="F2252" s="34" t="str">
        <f t="shared" si="545"/>
        <v>C:\Users\jaime.benazar\Quorum Business Solutions\Ecopetrol Prometeo - Documents\Planning Space Implementation\3. Analysis &amp; Design\Design\FC22\DRR Jaime\QUIFA-CAJÚA\Cajua\[CAJUA_CF_SEC_New_27-Feb-2024Rev3.xlsx]D-PRBNP'!</v>
      </c>
      <c r="G2252" s="32" t="s">
        <v>115</v>
      </c>
      <c r="H2252" s="33"/>
      <c r="I2252" s="33"/>
      <c r="J2252" s="37"/>
    </row>
    <row r="2253" spans="1:10" x14ac:dyDescent="0.25">
      <c r="A2253" s="32" t="s">
        <v>100</v>
      </c>
      <c r="B2253" s="32">
        <f t="shared" si="546"/>
        <v>2032</v>
      </c>
      <c r="C2253" s="33" t="s">
        <v>20</v>
      </c>
      <c r="D2253" s="34" t="s">
        <v>1999</v>
      </c>
      <c r="E2253" s="35" t="str">
        <f t="shared" si="544"/>
        <v>PRBNP'!</v>
      </c>
      <c r="F2253" s="34" t="str">
        <f t="shared" si="545"/>
        <v>C:\Users\jaime.benazar\Quorum Business Solutions\Ecopetrol Prometeo - Documents\Planning Space Implementation\3. Analysis &amp; Design\Design\FC22\DRR Jaime\QUIFA-CAJÚA\Cajua\[CAJUA_CF_SEC_New_27-Feb-2024Rev3.xlsx]D-PRBNP'!</v>
      </c>
      <c r="G2253" s="32" t="s">
        <v>115</v>
      </c>
      <c r="H2253" s="33"/>
      <c r="I2253" s="33"/>
      <c r="J2253" s="37"/>
    </row>
    <row r="2254" spans="1:10" x14ac:dyDescent="0.25">
      <c r="A2254" s="32" t="s">
        <v>100</v>
      </c>
      <c r="B2254" s="32">
        <f t="shared" si="546"/>
        <v>2033</v>
      </c>
      <c r="C2254" s="33" t="s">
        <v>20</v>
      </c>
      <c r="D2254" s="34" t="s">
        <v>1999</v>
      </c>
      <c r="E2254" s="35" t="str">
        <f t="shared" si="544"/>
        <v>PRBNP'!</v>
      </c>
      <c r="F2254" s="34" t="str">
        <f t="shared" si="545"/>
        <v>C:\Users\jaime.benazar\Quorum Business Solutions\Ecopetrol Prometeo - Documents\Planning Space Implementation\3. Analysis &amp; Design\Design\FC22\DRR Jaime\QUIFA-CAJÚA\Cajua\[CAJUA_CF_SEC_New_27-Feb-2024Rev3.xlsx]D-PRBNP'!</v>
      </c>
      <c r="G2254" s="32" t="s">
        <v>115</v>
      </c>
      <c r="H2254" s="33"/>
      <c r="I2254" s="33"/>
      <c r="J2254" s="37"/>
    </row>
    <row r="2255" spans="1:10" x14ac:dyDescent="0.25">
      <c r="A2255" s="32" t="s">
        <v>100</v>
      </c>
      <c r="B2255" s="32">
        <f t="shared" si="546"/>
        <v>2034</v>
      </c>
      <c r="C2255" s="33" t="s">
        <v>20</v>
      </c>
      <c r="D2255" s="34" t="s">
        <v>1999</v>
      </c>
      <c r="E2255" s="35" t="str">
        <f t="shared" si="544"/>
        <v>PRBNP'!</v>
      </c>
      <c r="F2255" s="34" t="str">
        <f t="shared" si="545"/>
        <v>C:\Users\jaime.benazar\Quorum Business Solutions\Ecopetrol Prometeo - Documents\Planning Space Implementation\3. Analysis &amp; Design\Design\FC22\DRR Jaime\QUIFA-CAJÚA\Cajua\[CAJUA_CF_SEC_New_27-Feb-2024Rev3.xlsx]D-PRBNP'!</v>
      </c>
      <c r="G2255" s="32" t="s">
        <v>115</v>
      </c>
      <c r="H2255" s="33"/>
      <c r="I2255" s="33"/>
      <c r="J2255" s="37"/>
    </row>
    <row r="2256" spans="1:10" x14ac:dyDescent="0.25">
      <c r="A2256" s="32" t="s">
        <v>100</v>
      </c>
      <c r="B2256" s="32">
        <f t="shared" si="546"/>
        <v>2035</v>
      </c>
      <c r="C2256" s="33" t="s">
        <v>20</v>
      </c>
      <c r="D2256" s="34" t="s">
        <v>1999</v>
      </c>
      <c r="E2256" s="35" t="str">
        <f t="shared" si="544"/>
        <v>PRBNP'!</v>
      </c>
      <c r="F2256" s="34" t="str">
        <f t="shared" si="545"/>
        <v>C:\Users\jaime.benazar\Quorum Business Solutions\Ecopetrol Prometeo - Documents\Planning Space Implementation\3. Analysis &amp; Design\Design\FC22\DRR Jaime\QUIFA-CAJÚA\Cajua\[CAJUA_CF_SEC_New_27-Feb-2024Rev3.xlsx]D-PRBNP'!</v>
      </c>
      <c r="G2256" s="32" t="s">
        <v>115</v>
      </c>
      <c r="H2256" s="33"/>
      <c r="I2256" s="33"/>
      <c r="J2256" s="37"/>
    </row>
    <row r="2257" spans="1:10" x14ac:dyDescent="0.25">
      <c r="A2257" s="32" t="s">
        <v>100</v>
      </c>
      <c r="B2257" s="32">
        <f t="shared" si="546"/>
        <v>2036</v>
      </c>
      <c r="C2257" s="33" t="s">
        <v>20</v>
      </c>
      <c r="D2257" s="34" t="s">
        <v>1999</v>
      </c>
      <c r="E2257" s="35" t="str">
        <f t="shared" si="544"/>
        <v>PRBNP'!</v>
      </c>
      <c r="F2257" s="34" t="str">
        <f t="shared" si="545"/>
        <v>C:\Users\jaime.benazar\Quorum Business Solutions\Ecopetrol Prometeo - Documents\Planning Space Implementation\3. Analysis &amp; Design\Design\FC22\DRR Jaime\QUIFA-CAJÚA\Cajua\[CAJUA_CF_SEC_New_27-Feb-2024Rev3.xlsx]D-PRBNP'!</v>
      </c>
      <c r="G2257" s="32" t="s">
        <v>115</v>
      </c>
      <c r="H2257" s="33"/>
      <c r="I2257" s="33"/>
      <c r="J2257" s="37"/>
    </row>
    <row r="2258" spans="1:10" x14ac:dyDescent="0.25">
      <c r="A2258" s="32" t="s">
        <v>100</v>
      </c>
      <c r="B2258" s="32">
        <f>+B2257+1</f>
        <v>2037</v>
      </c>
      <c r="C2258" s="33" t="s">
        <v>20</v>
      </c>
      <c r="D2258" s="34" t="s">
        <v>1999</v>
      </c>
      <c r="E2258" s="35" t="str">
        <f t="shared" si="544"/>
        <v>PRBNP'!</v>
      </c>
      <c r="F2258" s="34" t="str">
        <f t="shared" si="545"/>
        <v>C:\Users\jaime.benazar\Quorum Business Solutions\Ecopetrol Prometeo - Documents\Planning Space Implementation\3. Analysis &amp; Design\Design\FC22\DRR Jaime\QUIFA-CAJÚA\Cajua\[CAJUA_CF_SEC_New_27-Feb-2024Rev3.xlsx]D-PRBNP'!</v>
      </c>
      <c r="G2258" s="32" t="s">
        <v>115</v>
      </c>
      <c r="H2258" s="33"/>
      <c r="I2258" s="33"/>
      <c r="J2258" s="37"/>
    </row>
    <row r="2259" spans="1:10" x14ac:dyDescent="0.25">
      <c r="A2259" s="32" t="s">
        <v>100</v>
      </c>
      <c r="B2259" s="32">
        <f t="shared" ref="B2259:B2261" si="547">+B2258+1</f>
        <v>2038</v>
      </c>
      <c r="C2259" s="33" t="s">
        <v>20</v>
      </c>
      <c r="D2259" s="34" t="s">
        <v>1999</v>
      </c>
      <c r="E2259" s="35" t="str">
        <f t="shared" si="544"/>
        <v>PRBNP'!</v>
      </c>
      <c r="F2259" s="34" t="str">
        <f t="shared" si="545"/>
        <v>C:\Users\jaime.benazar\Quorum Business Solutions\Ecopetrol Prometeo - Documents\Planning Space Implementation\3. Analysis &amp; Design\Design\FC22\DRR Jaime\QUIFA-CAJÚA\Cajua\[CAJUA_CF_SEC_New_27-Feb-2024Rev3.xlsx]D-PRBNP'!</v>
      </c>
      <c r="G2259" s="32" t="s">
        <v>115</v>
      </c>
      <c r="H2259" s="33"/>
      <c r="I2259" s="33"/>
      <c r="J2259" s="37"/>
    </row>
    <row r="2260" spans="1:10" x14ac:dyDescent="0.25">
      <c r="A2260" s="32" t="s">
        <v>100</v>
      </c>
      <c r="B2260" s="32">
        <f t="shared" si="547"/>
        <v>2039</v>
      </c>
      <c r="C2260" s="33" t="s">
        <v>20</v>
      </c>
      <c r="D2260" s="34" t="s">
        <v>1999</v>
      </c>
      <c r="E2260" s="35" t="str">
        <f t="shared" si="544"/>
        <v>PRBNP'!</v>
      </c>
      <c r="F2260" s="34" t="str">
        <f t="shared" si="545"/>
        <v>C:\Users\jaime.benazar\Quorum Business Solutions\Ecopetrol Prometeo - Documents\Planning Space Implementation\3. Analysis &amp; Design\Design\FC22\DRR Jaime\QUIFA-CAJÚA\Cajua\[CAJUA_CF_SEC_New_27-Feb-2024Rev3.xlsx]D-PRBNP'!</v>
      </c>
      <c r="G2260" s="32" t="s">
        <v>115</v>
      </c>
      <c r="H2260" s="33"/>
      <c r="I2260" s="33"/>
      <c r="J2260" s="37"/>
    </row>
    <row r="2261" spans="1:10" x14ac:dyDescent="0.25">
      <c r="A2261" s="32" t="s">
        <v>100</v>
      </c>
      <c r="B2261" s="32">
        <f t="shared" si="547"/>
        <v>2040</v>
      </c>
      <c r="C2261" s="33" t="s">
        <v>20</v>
      </c>
      <c r="D2261" s="34" t="s">
        <v>1999</v>
      </c>
      <c r="E2261" s="35" t="str">
        <f t="shared" si="544"/>
        <v>PRBNP'!</v>
      </c>
      <c r="F2261" s="34" t="str">
        <f t="shared" si="545"/>
        <v>C:\Users\jaime.benazar\Quorum Business Solutions\Ecopetrol Prometeo - Documents\Planning Space Implementation\3. Analysis &amp; Design\Design\FC22\DRR Jaime\QUIFA-CAJÚA\Cajua\[CAJUA_CF_SEC_New_27-Feb-2024Rev3.xlsx]D-PRBNP'!</v>
      </c>
      <c r="G2261" s="32" t="s">
        <v>115</v>
      </c>
      <c r="H2261" s="33"/>
      <c r="I2261" s="33"/>
      <c r="J2261" s="37"/>
    </row>
    <row r="2262" spans="1:10" x14ac:dyDescent="0.25">
      <c r="A2262" s="32" t="s">
        <v>100</v>
      </c>
      <c r="B2262" s="32">
        <f>+B2261+1</f>
        <v>2041</v>
      </c>
      <c r="C2262" s="33" t="s">
        <v>20</v>
      </c>
      <c r="D2262" s="34" t="s">
        <v>1999</v>
      </c>
      <c r="E2262" s="35" t="str">
        <f t="shared" si="544"/>
        <v>PRBNP'!</v>
      </c>
      <c r="F2262" s="34" t="str">
        <f t="shared" si="545"/>
        <v>C:\Users\jaime.benazar\Quorum Business Solutions\Ecopetrol Prometeo - Documents\Planning Space Implementation\3. Analysis &amp; Design\Design\FC22\DRR Jaime\QUIFA-CAJÚA\Cajua\[CAJUA_CF_SEC_New_27-Feb-2024Rev3.xlsx]D-PRBNP'!</v>
      </c>
      <c r="G2262" s="32" t="s">
        <v>115</v>
      </c>
      <c r="H2262" s="33"/>
      <c r="I2262" s="33"/>
      <c r="J2262" s="37"/>
    </row>
    <row r="2263" spans="1:10" x14ac:dyDescent="0.25">
      <c r="A2263" s="32" t="s">
        <v>100</v>
      </c>
      <c r="B2263" s="32">
        <f t="shared" ref="B2263:B2264" si="548">+B2262+1</f>
        <v>2042</v>
      </c>
      <c r="C2263" s="33" t="s">
        <v>20</v>
      </c>
      <c r="D2263" s="34" t="s">
        <v>1999</v>
      </c>
      <c r="E2263" s="35" t="str">
        <f t="shared" si="544"/>
        <v>PRBNP'!</v>
      </c>
      <c r="F2263" s="34" t="str">
        <f t="shared" si="545"/>
        <v>C:\Users\jaime.benazar\Quorum Business Solutions\Ecopetrol Prometeo - Documents\Planning Space Implementation\3. Analysis &amp; Design\Design\FC22\DRR Jaime\QUIFA-CAJÚA\Cajua\[CAJUA_CF_SEC_New_27-Feb-2024Rev3.xlsx]D-PRBNP'!</v>
      </c>
      <c r="G2263" s="32" t="s">
        <v>115</v>
      </c>
      <c r="H2263" s="33"/>
      <c r="I2263" s="33"/>
      <c r="J2263" s="37"/>
    </row>
    <row r="2264" spans="1:10" x14ac:dyDescent="0.25">
      <c r="A2264" s="32" t="s">
        <v>100</v>
      </c>
      <c r="B2264" s="32">
        <f t="shared" si="548"/>
        <v>2043</v>
      </c>
      <c r="C2264" s="33" t="s">
        <v>20</v>
      </c>
      <c r="D2264" s="34" t="s">
        <v>1999</v>
      </c>
      <c r="E2264" s="35" t="str">
        <f t="shared" si="544"/>
        <v>PRBNP'!</v>
      </c>
      <c r="F2264" s="34" t="str">
        <f t="shared" si="545"/>
        <v>C:\Users\jaime.benazar\Quorum Business Solutions\Ecopetrol Prometeo - Documents\Planning Space Implementation\3. Analysis &amp; Design\Design\FC22\DRR Jaime\QUIFA-CAJÚA\Cajua\[CAJUA_CF_SEC_New_27-Feb-2024Rev3.xlsx]D-PRBNP'!</v>
      </c>
      <c r="G2264" s="32" t="s">
        <v>115</v>
      </c>
      <c r="H2264" s="33"/>
      <c r="I2264" s="33"/>
      <c r="J2264" s="37"/>
    </row>
    <row r="2265" spans="1:10" x14ac:dyDescent="0.25">
      <c r="A2265" s="32" t="s">
        <v>100</v>
      </c>
      <c r="B2265" s="32">
        <f>+B2264+1</f>
        <v>2044</v>
      </c>
      <c r="C2265" s="33" t="s">
        <v>20</v>
      </c>
      <c r="D2265" s="34" t="s">
        <v>1999</v>
      </c>
      <c r="E2265" s="35" t="str">
        <f t="shared" ref="E2265:E2280" si="549">_xlfn.CONCAT(A2265,"'!")</f>
        <v>PRBNP'!</v>
      </c>
      <c r="F2265" s="34" t="str">
        <f t="shared" ref="F2265:F2280" si="550">_xlfn.CONCAT(D2265:E2265)</f>
        <v>C:\Users\jaime.benazar\Quorum Business Solutions\Ecopetrol Prometeo - Documents\Planning Space Implementation\3. Analysis &amp; Design\Design\FC22\DRR Jaime\QUIFA-CAJÚA\Cajua\[CAJUA_CF_SEC_New_27-Feb-2024Rev3.xlsx]D-PRBNP'!</v>
      </c>
      <c r="G2265" s="32" t="s">
        <v>115</v>
      </c>
      <c r="H2265" s="33"/>
      <c r="I2265" s="33"/>
      <c r="J2265" s="37"/>
    </row>
    <row r="2266" spans="1:10" x14ac:dyDescent="0.25">
      <c r="A2266" s="32" t="s">
        <v>100</v>
      </c>
      <c r="B2266" s="32">
        <f t="shared" ref="B2266:B2280" si="551">+B2265+1</f>
        <v>2045</v>
      </c>
      <c r="C2266" s="33" t="s">
        <v>20</v>
      </c>
      <c r="D2266" s="34" t="s">
        <v>1999</v>
      </c>
      <c r="E2266" s="35" t="str">
        <f t="shared" si="549"/>
        <v>PRBNP'!</v>
      </c>
      <c r="F2266" s="34" t="str">
        <f t="shared" si="550"/>
        <v>C:\Users\jaime.benazar\Quorum Business Solutions\Ecopetrol Prometeo - Documents\Planning Space Implementation\3. Analysis &amp; Design\Design\FC22\DRR Jaime\QUIFA-CAJÚA\Cajua\[CAJUA_CF_SEC_New_27-Feb-2024Rev3.xlsx]D-PRBNP'!</v>
      </c>
      <c r="G2266" s="32" t="s">
        <v>115</v>
      </c>
      <c r="H2266" s="33"/>
      <c r="I2266" s="33"/>
      <c r="J2266" s="37"/>
    </row>
    <row r="2267" spans="1:10" x14ac:dyDescent="0.25">
      <c r="A2267" s="32" t="s">
        <v>100</v>
      </c>
      <c r="B2267" s="32">
        <f t="shared" si="551"/>
        <v>2046</v>
      </c>
      <c r="C2267" s="33" t="s">
        <v>20</v>
      </c>
      <c r="D2267" s="34" t="s">
        <v>1999</v>
      </c>
      <c r="E2267" s="35" t="str">
        <f t="shared" si="549"/>
        <v>PRBNP'!</v>
      </c>
      <c r="F2267" s="34" t="str">
        <f t="shared" si="550"/>
        <v>C:\Users\jaime.benazar\Quorum Business Solutions\Ecopetrol Prometeo - Documents\Planning Space Implementation\3. Analysis &amp; Design\Design\FC22\DRR Jaime\QUIFA-CAJÚA\Cajua\[CAJUA_CF_SEC_New_27-Feb-2024Rev3.xlsx]D-PRBNP'!</v>
      </c>
      <c r="G2267" s="32" t="s">
        <v>115</v>
      </c>
      <c r="H2267" s="33"/>
      <c r="I2267" s="33"/>
      <c r="J2267" s="37"/>
    </row>
    <row r="2268" spans="1:10" x14ac:dyDescent="0.25">
      <c r="A2268" s="32" t="s">
        <v>100</v>
      </c>
      <c r="B2268" s="32">
        <f t="shared" si="551"/>
        <v>2047</v>
      </c>
      <c r="C2268" s="33" t="s">
        <v>20</v>
      </c>
      <c r="D2268" s="34" t="s">
        <v>1999</v>
      </c>
      <c r="E2268" s="35" t="str">
        <f t="shared" si="549"/>
        <v>PRBNP'!</v>
      </c>
      <c r="F2268" s="34" t="str">
        <f t="shared" si="550"/>
        <v>C:\Users\jaime.benazar\Quorum Business Solutions\Ecopetrol Prometeo - Documents\Planning Space Implementation\3. Analysis &amp; Design\Design\FC22\DRR Jaime\QUIFA-CAJÚA\Cajua\[CAJUA_CF_SEC_New_27-Feb-2024Rev3.xlsx]D-PRBNP'!</v>
      </c>
      <c r="G2268" s="32" t="s">
        <v>115</v>
      </c>
      <c r="H2268" s="33"/>
      <c r="I2268" s="33"/>
      <c r="J2268" s="37"/>
    </row>
    <row r="2269" spans="1:10" x14ac:dyDescent="0.25">
      <c r="A2269" s="32" t="s">
        <v>100</v>
      </c>
      <c r="B2269" s="32">
        <f t="shared" si="551"/>
        <v>2048</v>
      </c>
      <c r="C2269" s="33" t="s">
        <v>20</v>
      </c>
      <c r="D2269" s="34" t="s">
        <v>1999</v>
      </c>
      <c r="E2269" s="35" t="str">
        <f t="shared" si="549"/>
        <v>PRBNP'!</v>
      </c>
      <c r="F2269" s="34" t="str">
        <f t="shared" si="550"/>
        <v>C:\Users\jaime.benazar\Quorum Business Solutions\Ecopetrol Prometeo - Documents\Planning Space Implementation\3. Analysis &amp; Design\Design\FC22\DRR Jaime\QUIFA-CAJÚA\Cajua\[CAJUA_CF_SEC_New_27-Feb-2024Rev3.xlsx]D-PRBNP'!</v>
      </c>
      <c r="G2269" s="32" t="s">
        <v>115</v>
      </c>
      <c r="H2269" s="33"/>
      <c r="I2269" s="33"/>
      <c r="J2269" s="37"/>
    </row>
    <row r="2270" spans="1:10" x14ac:dyDescent="0.25">
      <c r="A2270" s="32" t="s">
        <v>100</v>
      </c>
      <c r="B2270" s="32">
        <f t="shared" si="551"/>
        <v>2049</v>
      </c>
      <c r="C2270" s="33" t="s">
        <v>20</v>
      </c>
      <c r="D2270" s="34" t="s">
        <v>1999</v>
      </c>
      <c r="E2270" s="35" t="str">
        <f t="shared" si="549"/>
        <v>PRBNP'!</v>
      </c>
      <c r="F2270" s="34" t="str">
        <f t="shared" si="550"/>
        <v>C:\Users\jaime.benazar\Quorum Business Solutions\Ecopetrol Prometeo - Documents\Planning Space Implementation\3. Analysis &amp; Design\Design\FC22\DRR Jaime\QUIFA-CAJÚA\Cajua\[CAJUA_CF_SEC_New_27-Feb-2024Rev3.xlsx]D-PRBNP'!</v>
      </c>
      <c r="G2270" s="32" t="s">
        <v>115</v>
      </c>
      <c r="H2270" s="33"/>
      <c r="I2270" s="33"/>
      <c r="J2270" s="37"/>
    </row>
    <row r="2271" spans="1:10" x14ac:dyDescent="0.25">
      <c r="A2271" s="32" t="s">
        <v>100</v>
      </c>
      <c r="B2271" s="32">
        <f t="shared" si="551"/>
        <v>2050</v>
      </c>
      <c r="C2271" s="33" t="s">
        <v>20</v>
      </c>
      <c r="D2271" s="34" t="s">
        <v>1999</v>
      </c>
      <c r="E2271" s="35" t="str">
        <f t="shared" si="549"/>
        <v>PRBNP'!</v>
      </c>
      <c r="F2271" s="34" t="str">
        <f t="shared" si="550"/>
        <v>C:\Users\jaime.benazar\Quorum Business Solutions\Ecopetrol Prometeo - Documents\Planning Space Implementation\3. Analysis &amp; Design\Design\FC22\DRR Jaime\QUIFA-CAJÚA\Cajua\[CAJUA_CF_SEC_New_27-Feb-2024Rev3.xlsx]D-PRBNP'!</v>
      </c>
      <c r="G2271" s="32" t="s">
        <v>115</v>
      </c>
      <c r="H2271" s="33"/>
      <c r="I2271" s="33"/>
      <c r="J2271" s="37"/>
    </row>
    <row r="2272" spans="1:10" x14ac:dyDescent="0.25">
      <c r="A2272" s="32" t="s">
        <v>100</v>
      </c>
      <c r="B2272" s="32">
        <f t="shared" si="551"/>
        <v>2051</v>
      </c>
      <c r="C2272" s="33" t="s">
        <v>20</v>
      </c>
      <c r="D2272" s="34" t="s">
        <v>1999</v>
      </c>
      <c r="E2272" s="35" t="str">
        <f t="shared" si="549"/>
        <v>PRBNP'!</v>
      </c>
      <c r="F2272" s="34" t="str">
        <f t="shared" si="550"/>
        <v>C:\Users\jaime.benazar\Quorum Business Solutions\Ecopetrol Prometeo - Documents\Planning Space Implementation\3. Analysis &amp; Design\Design\FC22\DRR Jaime\QUIFA-CAJÚA\Cajua\[CAJUA_CF_SEC_New_27-Feb-2024Rev3.xlsx]D-PRBNP'!</v>
      </c>
      <c r="G2272" s="32" t="s">
        <v>115</v>
      </c>
      <c r="H2272" s="33"/>
      <c r="I2272" s="33"/>
      <c r="J2272" s="37"/>
    </row>
    <row r="2273" spans="1:10" x14ac:dyDescent="0.25">
      <c r="A2273" s="32" t="s">
        <v>100</v>
      </c>
      <c r="B2273" s="32">
        <f t="shared" si="551"/>
        <v>2052</v>
      </c>
      <c r="C2273" s="33" t="s">
        <v>20</v>
      </c>
      <c r="D2273" s="34" t="s">
        <v>1999</v>
      </c>
      <c r="E2273" s="35" t="str">
        <f t="shared" si="549"/>
        <v>PRBNP'!</v>
      </c>
      <c r="F2273" s="34" t="str">
        <f t="shared" si="550"/>
        <v>C:\Users\jaime.benazar\Quorum Business Solutions\Ecopetrol Prometeo - Documents\Planning Space Implementation\3. Analysis &amp; Design\Design\FC22\DRR Jaime\QUIFA-CAJÚA\Cajua\[CAJUA_CF_SEC_New_27-Feb-2024Rev3.xlsx]D-PRBNP'!</v>
      </c>
      <c r="G2273" s="32" t="s">
        <v>115</v>
      </c>
      <c r="H2273" s="33"/>
      <c r="I2273" s="33"/>
      <c r="J2273" s="37"/>
    </row>
    <row r="2274" spans="1:10" x14ac:dyDescent="0.25">
      <c r="A2274" s="32" t="s">
        <v>100</v>
      </c>
      <c r="B2274" s="32">
        <f t="shared" si="551"/>
        <v>2053</v>
      </c>
      <c r="C2274" s="33" t="s">
        <v>20</v>
      </c>
      <c r="D2274" s="34" t="s">
        <v>1999</v>
      </c>
      <c r="E2274" s="35" t="str">
        <f t="shared" si="549"/>
        <v>PRBNP'!</v>
      </c>
      <c r="F2274" s="34" t="str">
        <f t="shared" si="550"/>
        <v>C:\Users\jaime.benazar\Quorum Business Solutions\Ecopetrol Prometeo - Documents\Planning Space Implementation\3. Analysis &amp; Design\Design\FC22\DRR Jaime\QUIFA-CAJÚA\Cajua\[CAJUA_CF_SEC_New_27-Feb-2024Rev3.xlsx]D-PRBNP'!</v>
      </c>
      <c r="G2274" s="32" t="s">
        <v>115</v>
      </c>
      <c r="H2274" s="33"/>
      <c r="I2274" s="33"/>
      <c r="J2274" s="37"/>
    </row>
    <row r="2275" spans="1:10" x14ac:dyDescent="0.25">
      <c r="A2275" s="32" t="s">
        <v>100</v>
      </c>
      <c r="B2275" s="32">
        <f t="shared" si="551"/>
        <v>2054</v>
      </c>
      <c r="C2275" s="33" t="s">
        <v>20</v>
      </c>
      <c r="D2275" s="34" t="s">
        <v>1999</v>
      </c>
      <c r="E2275" s="35" t="str">
        <f t="shared" si="549"/>
        <v>PRBNP'!</v>
      </c>
      <c r="F2275" s="34" t="str">
        <f t="shared" si="550"/>
        <v>C:\Users\jaime.benazar\Quorum Business Solutions\Ecopetrol Prometeo - Documents\Planning Space Implementation\3. Analysis &amp; Design\Design\FC22\DRR Jaime\QUIFA-CAJÚA\Cajua\[CAJUA_CF_SEC_New_27-Feb-2024Rev3.xlsx]D-PRBNP'!</v>
      </c>
      <c r="G2275" s="32" t="s">
        <v>115</v>
      </c>
      <c r="H2275" s="33"/>
      <c r="I2275" s="33"/>
      <c r="J2275" s="37"/>
    </row>
    <row r="2276" spans="1:10" x14ac:dyDescent="0.25">
      <c r="A2276" s="32" t="s">
        <v>100</v>
      </c>
      <c r="B2276" s="32">
        <f t="shared" si="551"/>
        <v>2055</v>
      </c>
      <c r="C2276" s="33" t="s">
        <v>20</v>
      </c>
      <c r="D2276" s="34" t="s">
        <v>1999</v>
      </c>
      <c r="E2276" s="35" t="str">
        <f t="shared" si="549"/>
        <v>PRBNP'!</v>
      </c>
      <c r="F2276" s="34" t="str">
        <f t="shared" si="550"/>
        <v>C:\Users\jaime.benazar\Quorum Business Solutions\Ecopetrol Prometeo - Documents\Planning Space Implementation\3. Analysis &amp; Design\Design\FC22\DRR Jaime\QUIFA-CAJÚA\Cajua\[CAJUA_CF_SEC_New_27-Feb-2024Rev3.xlsx]D-PRBNP'!</v>
      </c>
      <c r="G2276" s="32" t="s">
        <v>115</v>
      </c>
      <c r="H2276" s="33"/>
      <c r="I2276" s="33"/>
      <c r="J2276" s="37"/>
    </row>
    <row r="2277" spans="1:10" x14ac:dyDescent="0.25">
      <c r="A2277" s="32" t="s">
        <v>100</v>
      </c>
      <c r="B2277" s="32">
        <f t="shared" si="551"/>
        <v>2056</v>
      </c>
      <c r="C2277" s="33" t="s">
        <v>20</v>
      </c>
      <c r="D2277" s="34" t="s">
        <v>1999</v>
      </c>
      <c r="E2277" s="35" t="str">
        <f t="shared" si="549"/>
        <v>PRBNP'!</v>
      </c>
      <c r="F2277" s="34" t="str">
        <f t="shared" si="550"/>
        <v>C:\Users\jaime.benazar\Quorum Business Solutions\Ecopetrol Prometeo - Documents\Planning Space Implementation\3. Analysis &amp; Design\Design\FC22\DRR Jaime\QUIFA-CAJÚA\Cajua\[CAJUA_CF_SEC_New_27-Feb-2024Rev3.xlsx]D-PRBNP'!</v>
      </c>
      <c r="G2277" s="32" t="s">
        <v>115</v>
      </c>
      <c r="H2277" s="33"/>
      <c r="I2277" s="33"/>
      <c r="J2277" s="37"/>
    </row>
    <row r="2278" spans="1:10" x14ac:dyDescent="0.25">
      <c r="A2278" s="32" t="s">
        <v>100</v>
      </c>
      <c r="B2278" s="32">
        <f t="shared" si="551"/>
        <v>2057</v>
      </c>
      <c r="C2278" s="33" t="s">
        <v>20</v>
      </c>
      <c r="D2278" s="34" t="s">
        <v>1999</v>
      </c>
      <c r="E2278" s="35" t="str">
        <f t="shared" si="549"/>
        <v>PRBNP'!</v>
      </c>
      <c r="F2278" s="34" t="str">
        <f t="shared" si="550"/>
        <v>C:\Users\jaime.benazar\Quorum Business Solutions\Ecopetrol Prometeo - Documents\Planning Space Implementation\3. Analysis &amp; Design\Design\FC22\DRR Jaime\QUIFA-CAJÚA\Cajua\[CAJUA_CF_SEC_New_27-Feb-2024Rev3.xlsx]D-PRBNP'!</v>
      </c>
      <c r="G2278" s="32" t="s">
        <v>115</v>
      </c>
      <c r="H2278" s="33"/>
      <c r="I2278" s="33"/>
      <c r="J2278" s="37"/>
    </row>
    <row r="2279" spans="1:10" x14ac:dyDescent="0.25">
      <c r="A2279" s="32" t="s">
        <v>100</v>
      </c>
      <c r="B2279" s="32">
        <f t="shared" si="551"/>
        <v>2058</v>
      </c>
      <c r="C2279" s="33" t="s">
        <v>20</v>
      </c>
      <c r="D2279" s="34" t="s">
        <v>1999</v>
      </c>
      <c r="E2279" s="35" t="str">
        <f t="shared" si="549"/>
        <v>PRBNP'!</v>
      </c>
      <c r="F2279" s="34" t="str">
        <f t="shared" si="550"/>
        <v>C:\Users\jaime.benazar\Quorum Business Solutions\Ecopetrol Prometeo - Documents\Planning Space Implementation\3. Analysis &amp; Design\Design\FC22\DRR Jaime\QUIFA-CAJÚA\Cajua\[CAJUA_CF_SEC_New_27-Feb-2024Rev3.xlsx]D-PRBNP'!</v>
      </c>
      <c r="G2279" s="32" t="s">
        <v>115</v>
      </c>
      <c r="H2279" s="33"/>
      <c r="I2279" s="33"/>
      <c r="J2279" s="37"/>
    </row>
    <row r="2280" spans="1:10" x14ac:dyDescent="0.25">
      <c r="A2280" s="32" t="s">
        <v>100</v>
      </c>
      <c r="B2280" s="32">
        <f t="shared" si="551"/>
        <v>2059</v>
      </c>
      <c r="C2280" s="33" t="s">
        <v>20</v>
      </c>
      <c r="D2280" s="34" t="s">
        <v>1999</v>
      </c>
      <c r="E2280" s="35" t="str">
        <f t="shared" si="549"/>
        <v>PRBNP'!</v>
      </c>
      <c r="F2280" s="34" t="str">
        <f t="shared" si="550"/>
        <v>C:\Users\jaime.benazar\Quorum Business Solutions\Ecopetrol Prometeo - Documents\Planning Space Implementation\3. Analysis &amp; Design\Design\FC22\DRR Jaime\QUIFA-CAJÚA\Cajua\[CAJUA_CF_SEC_New_27-Feb-2024Rev3.xlsx]D-PRBNP'!</v>
      </c>
      <c r="G2280" s="32" t="s">
        <v>115</v>
      </c>
      <c r="H2280" s="33"/>
      <c r="I2280" s="33"/>
      <c r="J2280" s="37"/>
    </row>
    <row r="2281" spans="1:10" x14ac:dyDescent="0.25">
      <c r="A2281" s="32" t="s">
        <v>28</v>
      </c>
      <c r="B2281" s="32"/>
      <c r="C2281" s="33" t="s">
        <v>20</v>
      </c>
      <c r="D2281" s="34"/>
      <c r="E2281" s="35"/>
      <c r="F2281" s="34"/>
      <c r="G2281" s="32"/>
      <c r="H2281" s="33"/>
      <c r="I2281" s="33"/>
      <c r="J2281" s="33"/>
    </row>
    <row r="2282" spans="1:10" x14ac:dyDescent="0.25">
      <c r="A2282" s="32" t="s">
        <v>101</v>
      </c>
      <c r="B2282" s="32">
        <v>2023</v>
      </c>
      <c r="C2282" s="33" t="s">
        <v>20</v>
      </c>
      <c r="D2282" s="34" t="s">
        <v>1999</v>
      </c>
      <c r="E2282" s="35" t="str">
        <f t="shared" ref="E2282:E2302" si="552">_xlfn.CONCAT(A2282,"'!")</f>
        <v>PRBND'!</v>
      </c>
      <c r="F2282" s="34" t="str">
        <f t="shared" ref="F2282:F2302" si="553">_xlfn.CONCAT(D2282:E2282)</f>
        <v>C:\Users\jaime.benazar\Quorum Business Solutions\Ecopetrol Prometeo - Documents\Planning Space Implementation\3. Analysis &amp; Design\Design\FC22\DRR Jaime\QUIFA-CAJÚA\Cajua\[CAJUA_CF_SEC_New_27-Feb-2024Rev3.xlsx]D-PRBND'!</v>
      </c>
      <c r="G2282" s="32" t="s">
        <v>115</v>
      </c>
      <c r="H2282" s="33"/>
      <c r="I2282" s="33"/>
      <c r="J2282" s="37"/>
    </row>
    <row r="2283" spans="1:10" x14ac:dyDescent="0.25">
      <c r="A2283" s="32" t="s">
        <v>101</v>
      </c>
      <c r="B2283" s="32">
        <f>+B2282+1</f>
        <v>2024</v>
      </c>
      <c r="C2283" s="33" t="s">
        <v>20</v>
      </c>
      <c r="D2283" s="34" t="s">
        <v>1999</v>
      </c>
      <c r="E2283" s="35" t="str">
        <f t="shared" si="552"/>
        <v>PRBND'!</v>
      </c>
      <c r="F2283" s="34" t="str">
        <f t="shared" si="553"/>
        <v>C:\Users\jaime.benazar\Quorum Business Solutions\Ecopetrol Prometeo - Documents\Planning Space Implementation\3. Analysis &amp; Design\Design\FC22\DRR Jaime\QUIFA-CAJÚA\Cajua\[CAJUA_CF_SEC_New_27-Feb-2024Rev3.xlsx]D-PRBND'!</v>
      </c>
      <c r="G2283" s="32" t="s">
        <v>115</v>
      </c>
      <c r="H2283" s="33"/>
      <c r="I2283" s="33"/>
      <c r="J2283" s="37"/>
    </row>
    <row r="2284" spans="1:10" x14ac:dyDescent="0.25">
      <c r="A2284" s="32" t="s">
        <v>101</v>
      </c>
      <c r="B2284" s="32">
        <f t="shared" ref="B2284:B2295" si="554">+B2283+1</f>
        <v>2025</v>
      </c>
      <c r="C2284" s="33" t="s">
        <v>20</v>
      </c>
      <c r="D2284" s="34" t="s">
        <v>1999</v>
      </c>
      <c r="E2284" s="35" t="str">
        <f t="shared" si="552"/>
        <v>PRBND'!</v>
      </c>
      <c r="F2284" s="34" t="str">
        <f t="shared" si="553"/>
        <v>C:\Users\jaime.benazar\Quorum Business Solutions\Ecopetrol Prometeo - Documents\Planning Space Implementation\3. Analysis &amp; Design\Design\FC22\DRR Jaime\QUIFA-CAJÚA\Cajua\[CAJUA_CF_SEC_New_27-Feb-2024Rev3.xlsx]D-PRBND'!</v>
      </c>
      <c r="G2284" s="32" t="s">
        <v>115</v>
      </c>
      <c r="H2284" s="33"/>
      <c r="I2284" s="33"/>
      <c r="J2284" s="37"/>
    </row>
    <row r="2285" spans="1:10" x14ac:dyDescent="0.25">
      <c r="A2285" s="32" t="s">
        <v>101</v>
      </c>
      <c r="B2285" s="32">
        <f t="shared" si="554"/>
        <v>2026</v>
      </c>
      <c r="C2285" s="33" t="s">
        <v>20</v>
      </c>
      <c r="D2285" s="34" t="s">
        <v>1999</v>
      </c>
      <c r="E2285" s="35" t="str">
        <f t="shared" si="552"/>
        <v>PRBND'!</v>
      </c>
      <c r="F2285" s="34" t="str">
        <f t="shared" si="553"/>
        <v>C:\Users\jaime.benazar\Quorum Business Solutions\Ecopetrol Prometeo - Documents\Planning Space Implementation\3. Analysis &amp; Design\Design\FC22\DRR Jaime\QUIFA-CAJÚA\Cajua\[CAJUA_CF_SEC_New_27-Feb-2024Rev3.xlsx]D-PRBND'!</v>
      </c>
      <c r="G2285" s="32" t="s">
        <v>115</v>
      </c>
      <c r="H2285" s="33"/>
      <c r="I2285" s="33"/>
      <c r="J2285" s="37"/>
    </row>
    <row r="2286" spans="1:10" x14ac:dyDescent="0.25">
      <c r="A2286" s="32" t="s">
        <v>101</v>
      </c>
      <c r="B2286" s="32">
        <f t="shared" si="554"/>
        <v>2027</v>
      </c>
      <c r="C2286" s="33" t="s">
        <v>20</v>
      </c>
      <c r="D2286" s="34" t="s">
        <v>1999</v>
      </c>
      <c r="E2286" s="35" t="str">
        <f t="shared" si="552"/>
        <v>PRBND'!</v>
      </c>
      <c r="F2286" s="34" t="str">
        <f t="shared" si="553"/>
        <v>C:\Users\jaime.benazar\Quorum Business Solutions\Ecopetrol Prometeo - Documents\Planning Space Implementation\3. Analysis &amp; Design\Design\FC22\DRR Jaime\QUIFA-CAJÚA\Cajua\[CAJUA_CF_SEC_New_27-Feb-2024Rev3.xlsx]D-PRBND'!</v>
      </c>
      <c r="G2286" s="32" t="s">
        <v>115</v>
      </c>
      <c r="H2286" s="33"/>
      <c r="I2286" s="33"/>
      <c r="J2286" s="37"/>
    </row>
    <row r="2287" spans="1:10" x14ac:dyDescent="0.25">
      <c r="A2287" s="32" t="s">
        <v>101</v>
      </c>
      <c r="B2287" s="32">
        <f t="shared" si="554"/>
        <v>2028</v>
      </c>
      <c r="C2287" s="33" t="s">
        <v>20</v>
      </c>
      <c r="D2287" s="34" t="s">
        <v>1999</v>
      </c>
      <c r="E2287" s="35" t="str">
        <f t="shared" si="552"/>
        <v>PRBND'!</v>
      </c>
      <c r="F2287" s="34" t="str">
        <f t="shared" si="553"/>
        <v>C:\Users\jaime.benazar\Quorum Business Solutions\Ecopetrol Prometeo - Documents\Planning Space Implementation\3. Analysis &amp; Design\Design\FC22\DRR Jaime\QUIFA-CAJÚA\Cajua\[CAJUA_CF_SEC_New_27-Feb-2024Rev3.xlsx]D-PRBND'!</v>
      </c>
      <c r="G2287" s="32" t="s">
        <v>115</v>
      </c>
      <c r="H2287" s="33"/>
      <c r="I2287" s="33"/>
      <c r="J2287" s="37"/>
    </row>
    <row r="2288" spans="1:10" x14ac:dyDescent="0.25">
      <c r="A2288" s="32" t="s">
        <v>101</v>
      </c>
      <c r="B2288" s="32">
        <f t="shared" si="554"/>
        <v>2029</v>
      </c>
      <c r="C2288" s="33" t="s">
        <v>20</v>
      </c>
      <c r="D2288" s="34" t="s">
        <v>1999</v>
      </c>
      <c r="E2288" s="35" t="str">
        <f t="shared" si="552"/>
        <v>PRBND'!</v>
      </c>
      <c r="F2288" s="34" t="str">
        <f t="shared" si="553"/>
        <v>C:\Users\jaime.benazar\Quorum Business Solutions\Ecopetrol Prometeo - Documents\Planning Space Implementation\3. Analysis &amp; Design\Design\FC22\DRR Jaime\QUIFA-CAJÚA\Cajua\[CAJUA_CF_SEC_New_27-Feb-2024Rev3.xlsx]D-PRBND'!</v>
      </c>
      <c r="G2288" s="32" t="s">
        <v>115</v>
      </c>
      <c r="H2288" s="33"/>
      <c r="I2288" s="33"/>
      <c r="J2288" s="37"/>
    </row>
    <row r="2289" spans="1:10" x14ac:dyDescent="0.25">
      <c r="A2289" s="32" t="s">
        <v>101</v>
      </c>
      <c r="B2289" s="32">
        <f t="shared" si="554"/>
        <v>2030</v>
      </c>
      <c r="C2289" s="33" t="s">
        <v>20</v>
      </c>
      <c r="D2289" s="34" t="s">
        <v>1999</v>
      </c>
      <c r="E2289" s="35" t="str">
        <f t="shared" si="552"/>
        <v>PRBND'!</v>
      </c>
      <c r="F2289" s="34" t="str">
        <f t="shared" si="553"/>
        <v>C:\Users\jaime.benazar\Quorum Business Solutions\Ecopetrol Prometeo - Documents\Planning Space Implementation\3. Analysis &amp; Design\Design\FC22\DRR Jaime\QUIFA-CAJÚA\Cajua\[CAJUA_CF_SEC_New_27-Feb-2024Rev3.xlsx]D-PRBND'!</v>
      </c>
      <c r="G2289" s="32" t="s">
        <v>115</v>
      </c>
      <c r="H2289" s="33"/>
      <c r="I2289" s="33"/>
      <c r="J2289" s="37"/>
    </row>
    <row r="2290" spans="1:10" x14ac:dyDescent="0.25">
      <c r="A2290" s="32" t="s">
        <v>101</v>
      </c>
      <c r="B2290" s="32">
        <f t="shared" si="554"/>
        <v>2031</v>
      </c>
      <c r="C2290" s="33" t="s">
        <v>20</v>
      </c>
      <c r="D2290" s="34" t="s">
        <v>1999</v>
      </c>
      <c r="E2290" s="35" t="str">
        <f t="shared" si="552"/>
        <v>PRBND'!</v>
      </c>
      <c r="F2290" s="34" t="str">
        <f t="shared" si="553"/>
        <v>C:\Users\jaime.benazar\Quorum Business Solutions\Ecopetrol Prometeo - Documents\Planning Space Implementation\3. Analysis &amp; Design\Design\FC22\DRR Jaime\QUIFA-CAJÚA\Cajua\[CAJUA_CF_SEC_New_27-Feb-2024Rev3.xlsx]D-PRBND'!</v>
      </c>
      <c r="G2290" s="32" t="s">
        <v>115</v>
      </c>
      <c r="H2290" s="33"/>
      <c r="I2290" s="33"/>
      <c r="J2290" s="37"/>
    </row>
    <row r="2291" spans="1:10" x14ac:dyDescent="0.25">
      <c r="A2291" s="32" t="s">
        <v>101</v>
      </c>
      <c r="B2291" s="32">
        <f t="shared" si="554"/>
        <v>2032</v>
      </c>
      <c r="C2291" s="33" t="s">
        <v>20</v>
      </c>
      <c r="D2291" s="34" t="s">
        <v>1999</v>
      </c>
      <c r="E2291" s="35" t="str">
        <f t="shared" si="552"/>
        <v>PRBND'!</v>
      </c>
      <c r="F2291" s="34" t="str">
        <f t="shared" si="553"/>
        <v>C:\Users\jaime.benazar\Quorum Business Solutions\Ecopetrol Prometeo - Documents\Planning Space Implementation\3. Analysis &amp; Design\Design\FC22\DRR Jaime\QUIFA-CAJÚA\Cajua\[CAJUA_CF_SEC_New_27-Feb-2024Rev3.xlsx]D-PRBND'!</v>
      </c>
      <c r="G2291" s="32" t="s">
        <v>115</v>
      </c>
      <c r="H2291" s="33"/>
      <c r="I2291" s="33"/>
      <c r="J2291" s="37"/>
    </row>
    <row r="2292" spans="1:10" x14ac:dyDescent="0.25">
      <c r="A2292" s="32" t="s">
        <v>101</v>
      </c>
      <c r="B2292" s="32">
        <f t="shared" si="554"/>
        <v>2033</v>
      </c>
      <c r="C2292" s="33" t="s">
        <v>20</v>
      </c>
      <c r="D2292" s="34" t="s">
        <v>1999</v>
      </c>
      <c r="E2292" s="35" t="str">
        <f t="shared" si="552"/>
        <v>PRBND'!</v>
      </c>
      <c r="F2292" s="34" t="str">
        <f t="shared" si="553"/>
        <v>C:\Users\jaime.benazar\Quorum Business Solutions\Ecopetrol Prometeo - Documents\Planning Space Implementation\3. Analysis &amp; Design\Design\FC22\DRR Jaime\QUIFA-CAJÚA\Cajua\[CAJUA_CF_SEC_New_27-Feb-2024Rev3.xlsx]D-PRBND'!</v>
      </c>
      <c r="G2292" s="32" t="s">
        <v>115</v>
      </c>
      <c r="H2292" s="33"/>
      <c r="I2292" s="33"/>
      <c r="J2292" s="37"/>
    </row>
    <row r="2293" spans="1:10" x14ac:dyDescent="0.25">
      <c r="A2293" s="32" t="s">
        <v>101</v>
      </c>
      <c r="B2293" s="32">
        <f t="shared" si="554"/>
        <v>2034</v>
      </c>
      <c r="C2293" s="33" t="s">
        <v>20</v>
      </c>
      <c r="D2293" s="34" t="s">
        <v>1999</v>
      </c>
      <c r="E2293" s="35" t="str">
        <f t="shared" si="552"/>
        <v>PRBND'!</v>
      </c>
      <c r="F2293" s="34" t="str">
        <f t="shared" si="553"/>
        <v>C:\Users\jaime.benazar\Quorum Business Solutions\Ecopetrol Prometeo - Documents\Planning Space Implementation\3. Analysis &amp; Design\Design\FC22\DRR Jaime\QUIFA-CAJÚA\Cajua\[CAJUA_CF_SEC_New_27-Feb-2024Rev3.xlsx]D-PRBND'!</v>
      </c>
      <c r="G2293" s="32" t="s">
        <v>115</v>
      </c>
      <c r="H2293" s="33"/>
      <c r="I2293" s="33"/>
      <c r="J2293" s="37"/>
    </row>
    <row r="2294" spans="1:10" x14ac:dyDescent="0.25">
      <c r="A2294" s="32" t="s">
        <v>101</v>
      </c>
      <c r="B2294" s="32">
        <f t="shared" si="554"/>
        <v>2035</v>
      </c>
      <c r="C2294" s="33" t="s">
        <v>20</v>
      </c>
      <c r="D2294" s="34" t="s">
        <v>1999</v>
      </c>
      <c r="E2294" s="35" t="str">
        <f t="shared" si="552"/>
        <v>PRBND'!</v>
      </c>
      <c r="F2294" s="34" t="str">
        <f t="shared" si="553"/>
        <v>C:\Users\jaime.benazar\Quorum Business Solutions\Ecopetrol Prometeo - Documents\Planning Space Implementation\3. Analysis &amp; Design\Design\FC22\DRR Jaime\QUIFA-CAJÚA\Cajua\[CAJUA_CF_SEC_New_27-Feb-2024Rev3.xlsx]D-PRBND'!</v>
      </c>
      <c r="G2294" s="32" t="s">
        <v>115</v>
      </c>
      <c r="H2294" s="33"/>
      <c r="I2294" s="33"/>
      <c r="J2294" s="37"/>
    </row>
    <row r="2295" spans="1:10" x14ac:dyDescent="0.25">
      <c r="A2295" s="32" t="s">
        <v>101</v>
      </c>
      <c r="B2295" s="32">
        <f t="shared" si="554"/>
        <v>2036</v>
      </c>
      <c r="C2295" s="33" t="s">
        <v>20</v>
      </c>
      <c r="D2295" s="34" t="s">
        <v>1999</v>
      </c>
      <c r="E2295" s="35" t="str">
        <f t="shared" si="552"/>
        <v>PRBND'!</v>
      </c>
      <c r="F2295" s="34" t="str">
        <f t="shared" si="553"/>
        <v>C:\Users\jaime.benazar\Quorum Business Solutions\Ecopetrol Prometeo - Documents\Planning Space Implementation\3. Analysis &amp; Design\Design\FC22\DRR Jaime\QUIFA-CAJÚA\Cajua\[CAJUA_CF_SEC_New_27-Feb-2024Rev3.xlsx]D-PRBND'!</v>
      </c>
      <c r="G2295" s="32" t="s">
        <v>115</v>
      </c>
      <c r="H2295" s="33"/>
      <c r="I2295" s="33"/>
      <c r="J2295" s="37"/>
    </row>
    <row r="2296" spans="1:10" x14ac:dyDescent="0.25">
      <c r="A2296" s="32" t="s">
        <v>101</v>
      </c>
      <c r="B2296" s="32">
        <f>+B2295+1</f>
        <v>2037</v>
      </c>
      <c r="C2296" s="33" t="s">
        <v>20</v>
      </c>
      <c r="D2296" s="34" t="s">
        <v>1999</v>
      </c>
      <c r="E2296" s="35" t="str">
        <f t="shared" si="552"/>
        <v>PRBND'!</v>
      </c>
      <c r="F2296" s="34" t="str">
        <f t="shared" si="553"/>
        <v>C:\Users\jaime.benazar\Quorum Business Solutions\Ecopetrol Prometeo - Documents\Planning Space Implementation\3. Analysis &amp; Design\Design\FC22\DRR Jaime\QUIFA-CAJÚA\Cajua\[CAJUA_CF_SEC_New_27-Feb-2024Rev3.xlsx]D-PRBND'!</v>
      </c>
      <c r="G2296" s="32" t="s">
        <v>115</v>
      </c>
      <c r="H2296" s="33"/>
      <c r="I2296" s="33"/>
      <c r="J2296" s="37"/>
    </row>
    <row r="2297" spans="1:10" x14ac:dyDescent="0.25">
      <c r="A2297" s="32" t="s">
        <v>101</v>
      </c>
      <c r="B2297" s="32">
        <f t="shared" ref="B2297:B2299" si="555">+B2296+1</f>
        <v>2038</v>
      </c>
      <c r="C2297" s="33" t="s">
        <v>20</v>
      </c>
      <c r="D2297" s="34" t="s">
        <v>1999</v>
      </c>
      <c r="E2297" s="35" t="str">
        <f t="shared" si="552"/>
        <v>PRBND'!</v>
      </c>
      <c r="F2297" s="34" t="str">
        <f t="shared" si="553"/>
        <v>C:\Users\jaime.benazar\Quorum Business Solutions\Ecopetrol Prometeo - Documents\Planning Space Implementation\3. Analysis &amp; Design\Design\FC22\DRR Jaime\QUIFA-CAJÚA\Cajua\[CAJUA_CF_SEC_New_27-Feb-2024Rev3.xlsx]D-PRBND'!</v>
      </c>
      <c r="G2297" s="32" t="s">
        <v>115</v>
      </c>
      <c r="H2297" s="33"/>
      <c r="I2297" s="33"/>
      <c r="J2297" s="37"/>
    </row>
    <row r="2298" spans="1:10" x14ac:dyDescent="0.25">
      <c r="A2298" s="32" t="s">
        <v>101</v>
      </c>
      <c r="B2298" s="32">
        <f t="shared" si="555"/>
        <v>2039</v>
      </c>
      <c r="C2298" s="33" t="s">
        <v>20</v>
      </c>
      <c r="D2298" s="34" t="s">
        <v>1999</v>
      </c>
      <c r="E2298" s="35" t="str">
        <f t="shared" si="552"/>
        <v>PRBND'!</v>
      </c>
      <c r="F2298" s="34" t="str">
        <f t="shared" si="553"/>
        <v>C:\Users\jaime.benazar\Quorum Business Solutions\Ecopetrol Prometeo - Documents\Planning Space Implementation\3. Analysis &amp; Design\Design\FC22\DRR Jaime\QUIFA-CAJÚA\Cajua\[CAJUA_CF_SEC_New_27-Feb-2024Rev3.xlsx]D-PRBND'!</v>
      </c>
      <c r="G2298" s="32" t="s">
        <v>115</v>
      </c>
      <c r="H2298" s="33"/>
      <c r="I2298" s="33"/>
      <c r="J2298" s="37"/>
    </row>
    <row r="2299" spans="1:10" x14ac:dyDescent="0.25">
      <c r="A2299" s="32" t="s">
        <v>101</v>
      </c>
      <c r="B2299" s="32">
        <f t="shared" si="555"/>
        <v>2040</v>
      </c>
      <c r="C2299" s="33" t="s">
        <v>20</v>
      </c>
      <c r="D2299" s="34" t="s">
        <v>1999</v>
      </c>
      <c r="E2299" s="35" t="str">
        <f t="shared" si="552"/>
        <v>PRBND'!</v>
      </c>
      <c r="F2299" s="34" t="str">
        <f t="shared" si="553"/>
        <v>C:\Users\jaime.benazar\Quorum Business Solutions\Ecopetrol Prometeo - Documents\Planning Space Implementation\3. Analysis &amp; Design\Design\FC22\DRR Jaime\QUIFA-CAJÚA\Cajua\[CAJUA_CF_SEC_New_27-Feb-2024Rev3.xlsx]D-PRBND'!</v>
      </c>
      <c r="G2299" s="32" t="s">
        <v>115</v>
      </c>
      <c r="H2299" s="33"/>
      <c r="I2299" s="33"/>
      <c r="J2299" s="37"/>
    </row>
    <row r="2300" spans="1:10" x14ac:dyDescent="0.25">
      <c r="A2300" s="32" t="s">
        <v>101</v>
      </c>
      <c r="B2300" s="32">
        <f>+B2299+1</f>
        <v>2041</v>
      </c>
      <c r="C2300" s="33" t="s">
        <v>20</v>
      </c>
      <c r="D2300" s="34" t="s">
        <v>1999</v>
      </c>
      <c r="E2300" s="35" t="str">
        <f t="shared" si="552"/>
        <v>PRBND'!</v>
      </c>
      <c r="F2300" s="34" t="str">
        <f t="shared" si="553"/>
        <v>C:\Users\jaime.benazar\Quorum Business Solutions\Ecopetrol Prometeo - Documents\Planning Space Implementation\3. Analysis &amp; Design\Design\FC22\DRR Jaime\QUIFA-CAJÚA\Cajua\[CAJUA_CF_SEC_New_27-Feb-2024Rev3.xlsx]D-PRBND'!</v>
      </c>
      <c r="G2300" s="32" t="s">
        <v>115</v>
      </c>
      <c r="H2300" s="33"/>
      <c r="I2300" s="33"/>
      <c r="J2300" s="37"/>
    </row>
    <row r="2301" spans="1:10" x14ac:dyDescent="0.25">
      <c r="A2301" s="32" t="s">
        <v>101</v>
      </c>
      <c r="B2301" s="32">
        <f t="shared" ref="B2301:B2302" si="556">+B2300+1</f>
        <v>2042</v>
      </c>
      <c r="C2301" s="33" t="s">
        <v>20</v>
      </c>
      <c r="D2301" s="34" t="s">
        <v>1999</v>
      </c>
      <c r="E2301" s="35" t="str">
        <f t="shared" si="552"/>
        <v>PRBND'!</v>
      </c>
      <c r="F2301" s="34" t="str">
        <f t="shared" si="553"/>
        <v>C:\Users\jaime.benazar\Quorum Business Solutions\Ecopetrol Prometeo - Documents\Planning Space Implementation\3. Analysis &amp; Design\Design\FC22\DRR Jaime\QUIFA-CAJÚA\Cajua\[CAJUA_CF_SEC_New_27-Feb-2024Rev3.xlsx]D-PRBND'!</v>
      </c>
      <c r="G2301" s="32" t="s">
        <v>115</v>
      </c>
      <c r="H2301" s="33"/>
      <c r="I2301" s="33"/>
      <c r="J2301" s="37"/>
    </row>
    <row r="2302" spans="1:10" x14ac:dyDescent="0.25">
      <c r="A2302" s="32" t="s">
        <v>101</v>
      </c>
      <c r="B2302" s="32">
        <f t="shared" si="556"/>
        <v>2043</v>
      </c>
      <c r="C2302" s="33" t="s">
        <v>20</v>
      </c>
      <c r="D2302" s="34" t="s">
        <v>1999</v>
      </c>
      <c r="E2302" s="35" t="str">
        <f t="shared" si="552"/>
        <v>PRBND'!</v>
      </c>
      <c r="F2302" s="34" t="str">
        <f t="shared" si="553"/>
        <v>C:\Users\jaime.benazar\Quorum Business Solutions\Ecopetrol Prometeo - Documents\Planning Space Implementation\3. Analysis &amp; Design\Design\FC22\DRR Jaime\QUIFA-CAJÚA\Cajua\[CAJUA_CF_SEC_New_27-Feb-2024Rev3.xlsx]D-PRBND'!</v>
      </c>
      <c r="G2302" s="32" t="s">
        <v>115</v>
      </c>
      <c r="H2302" s="33"/>
      <c r="I2302" s="33"/>
      <c r="J2302" s="37"/>
    </row>
    <row r="2303" spans="1:10" x14ac:dyDescent="0.25">
      <c r="A2303" s="32" t="s">
        <v>101</v>
      </c>
      <c r="B2303" s="32">
        <f>+B2302+1</f>
        <v>2044</v>
      </c>
      <c r="C2303" s="33" t="s">
        <v>20</v>
      </c>
      <c r="D2303" s="34" t="s">
        <v>1999</v>
      </c>
      <c r="E2303" s="35" t="str">
        <f t="shared" ref="E2303:E2318" si="557">_xlfn.CONCAT(A2303,"'!")</f>
        <v>PRBND'!</v>
      </c>
      <c r="F2303" s="34" t="str">
        <f t="shared" ref="F2303:F2318" si="558">_xlfn.CONCAT(D2303:E2303)</f>
        <v>C:\Users\jaime.benazar\Quorum Business Solutions\Ecopetrol Prometeo - Documents\Planning Space Implementation\3. Analysis &amp; Design\Design\FC22\DRR Jaime\QUIFA-CAJÚA\Cajua\[CAJUA_CF_SEC_New_27-Feb-2024Rev3.xlsx]D-PRBND'!</v>
      </c>
      <c r="G2303" s="32" t="s">
        <v>115</v>
      </c>
      <c r="H2303" s="33"/>
      <c r="I2303" s="33"/>
      <c r="J2303" s="37"/>
    </row>
    <row r="2304" spans="1:10" x14ac:dyDescent="0.25">
      <c r="A2304" s="32" t="s">
        <v>101</v>
      </c>
      <c r="B2304" s="32">
        <f t="shared" ref="B2304:B2318" si="559">+B2303+1</f>
        <v>2045</v>
      </c>
      <c r="C2304" s="33" t="s">
        <v>20</v>
      </c>
      <c r="D2304" s="34" t="s">
        <v>1999</v>
      </c>
      <c r="E2304" s="35" t="str">
        <f t="shared" si="557"/>
        <v>PRBND'!</v>
      </c>
      <c r="F2304" s="34" t="str">
        <f t="shared" si="558"/>
        <v>C:\Users\jaime.benazar\Quorum Business Solutions\Ecopetrol Prometeo - Documents\Planning Space Implementation\3. Analysis &amp; Design\Design\FC22\DRR Jaime\QUIFA-CAJÚA\Cajua\[CAJUA_CF_SEC_New_27-Feb-2024Rev3.xlsx]D-PRBND'!</v>
      </c>
      <c r="G2304" s="32" t="s">
        <v>115</v>
      </c>
      <c r="H2304" s="33"/>
      <c r="I2304" s="33"/>
      <c r="J2304" s="37"/>
    </row>
    <row r="2305" spans="1:10" x14ac:dyDescent="0.25">
      <c r="A2305" s="32" t="s">
        <v>101</v>
      </c>
      <c r="B2305" s="32">
        <f t="shared" si="559"/>
        <v>2046</v>
      </c>
      <c r="C2305" s="33" t="s">
        <v>20</v>
      </c>
      <c r="D2305" s="34" t="s">
        <v>1999</v>
      </c>
      <c r="E2305" s="35" t="str">
        <f t="shared" si="557"/>
        <v>PRBND'!</v>
      </c>
      <c r="F2305" s="34" t="str">
        <f t="shared" si="558"/>
        <v>C:\Users\jaime.benazar\Quorum Business Solutions\Ecopetrol Prometeo - Documents\Planning Space Implementation\3. Analysis &amp; Design\Design\FC22\DRR Jaime\QUIFA-CAJÚA\Cajua\[CAJUA_CF_SEC_New_27-Feb-2024Rev3.xlsx]D-PRBND'!</v>
      </c>
      <c r="G2305" s="32" t="s">
        <v>115</v>
      </c>
      <c r="H2305" s="33"/>
      <c r="I2305" s="33"/>
      <c r="J2305" s="37"/>
    </row>
    <row r="2306" spans="1:10" x14ac:dyDescent="0.25">
      <c r="A2306" s="32" t="s">
        <v>101</v>
      </c>
      <c r="B2306" s="32">
        <f t="shared" si="559"/>
        <v>2047</v>
      </c>
      <c r="C2306" s="33" t="s">
        <v>20</v>
      </c>
      <c r="D2306" s="34" t="s">
        <v>1999</v>
      </c>
      <c r="E2306" s="35" t="str">
        <f t="shared" si="557"/>
        <v>PRBND'!</v>
      </c>
      <c r="F2306" s="34" t="str">
        <f t="shared" si="558"/>
        <v>C:\Users\jaime.benazar\Quorum Business Solutions\Ecopetrol Prometeo - Documents\Planning Space Implementation\3. Analysis &amp; Design\Design\FC22\DRR Jaime\QUIFA-CAJÚA\Cajua\[CAJUA_CF_SEC_New_27-Feb-2024Rev3.xlsx]D-PRBND'!</v>
      </c>
      <c r="G2306" s="32" t="s">
        <v>115</v>
      </c>
      <c r="H2306" s="33"/>
      <c r="I2306" s="33"/>
      <c r="J2306" s="37"/>
    </row>
    <row r="2307" spans="1:10" x14ac:dyDescent="0.25">
      <c r="A2307" s="32" t="s">
        <v>101</v>
      </c>
      <c r="B2307" s="32">
        <f t="shared" si="559"/>
        <v>2048</v>
      </c>
      <c r="C2307" s="33" t="s">
        <v>20</v>
      </c>
      <c r="D2307" s="34" t="s">
        <v>1999</v>
      </c>
      <c r="E2307" s="35" t="str">
        <f t="shared" si="557"/>
        <v>PRBND'!</v>
      </c>
      <c r="F2307" s="34" t="str">
        <f t="shared" si="558"/>
        <v>C:\Users\jaime.benazar\Quorum Business Solutions\Ecopetrol Prometeo - Documents\Planning Space Implementation\3. Analysis &amp; Design\Design\FC22\DRR Jaime\QUIFA-CAJÚA\Cajua\[CAJUA_CF_SEC_New_27-Feb-2024Rev3.xlsx]D-PRBND'!</v>
      </c>
      <c r="G2307" s="32" t="s">
        <v>115</v>
      </c>
      <c r="H2307" s="33"/>
      <c r="I2307" s="33"/>
      <c r="J2307" s="37"/>
    </row>
    <row r="2308" spans="1:10" x14ac:dyDescent="0.25">
      <c r="A2308" s="32" t="s">
        <v>101</v>
      </c>
      <c r="B2308" s="32">
        <f t="shared" si="559"/>
        <v>2049</v>
      </c>
      <c r="C2308" s="33" t="s">
        <v>20</v>
      </c>
      <c r="D2308" s="34" t="s">
        <v>1999</v>
      </c>
      <c r="E2308" s="35" t="str">
        <f t="shared" si="557"/>
        <v>PRBND'!</v>
      </c>
      <c r="F2308" s="34" t="str">
        <f t="shared" si="558"/>
        <v>C:\Users\jaime.benazar\Quorum Business Solutions\Ecopetrol Prometeo - Documents\Planning Space Implementation\3. Analysis &amp; Design\Design\FC22\DRR Jaime\QUIFA-CAJÚA\Cajua\[CAJUA_CF_SEC_New_27-Feb-2024Rev3.xlsx]D-PRBND'!</v>
      </c>
      <c r="G2308" s="32" t="s">
        <v>115</v>
      </c>
      <c r="H2308" s="33"/>
      <c r="I2308" s="33"/>
      <c r="J2308" s="37"/>
    </row>
    <row r="2309" spans="1:10" x14ac:dyDescent="0.25">
      <c r="A2309" s="32" t="s">
        <v>101</v>
      </c>
      <c r="B2309" s="32">
        <f t="shared" si="559"/>
        <v>2050</v>
      </c>
      <c r="C2309" s="33" t="s">
        <v>20</v>
      </c>
      <c r="D2309" s="34" t="s">
        <v>1999</v>
      </c>
      <c r="E2309" s="35" t="str">
        <f t="shared" si="557"/>
        <v>PRBND'!</v>
      </c>
      <c r="F2309" s="34" t="str">
        <f t="shared" si="558"/>
        <v>C:\Users\jaime.benazar\Quorum Business Solutions\Ecopetrol Prometeo - Documents\Planning Space Implementation\3. Analysis &amp; Design\Design\FC22\DRR Jaime\QUIFA-CAJÚA\Cajua\[CAJUA_CF_SEC_New_27-Feb-2024Rev3.xlsx]D-PRBND'!</v>
      </c>
      <c r="G2309" s="32" t="s">
        <v>115</v>
      </c>
      <c r="H2309" s="33"/>
      <c r="I2309" s="33"/>
      <c r="J2309" s="37"/>
    </row>
    <row r="2310" spans="1:10" x14ac:dyDescent="0.25">
      <c r="A2310" s="32" t="s">
        <v>101</v>
      </c>
      <c r="B2310" s="32">
        <f t="shared" si="559"/>
        <v>2051</v>
      </c>
      <c r="C2310" s="33" t="s">
        <v>20</v>
      </c>
      <c r="D2310" s="34" t="s">
        <v>1999</v>
      </c>
      <c r="E2310" s="35" t="str">
        <f t="shared" si="557"/>
        <v>PRBND'!</v>
      </c>
      <c r="F2310" s="34" t="str">
        <f t="shared" si="558"/>
        <v>C:\Users\jaime.benazar\Quorum Business Solutions\Ecopetrol Prometeo - Documents\Planning Space Implementation\3. Analysis &amp; Design\Design\FC22\DRR Jaime\QUIFA-CAJÚA\Cajua\[CAJUA_CF_SEC_New_27-Feb-2024Rev3.xlsx]D-PRBND'!</v>
      </c>
      <c r="G2310" s="32" t="s">
        <v>115</v>
      </c>
      <c r="H2310" s="33"/>
      <c r="I2310" s="33"/>
      <c r="J2310" s="37"/>
    </row>
    <row r="2311" spans="1:10" x14ac:dyDescent="0.25">
      <c r="A2311" s="32" t="s">
        <v>101</v>
      </c>
      <c r="B2311" s="32">
        <f t="shared" si="559"/>
        <v>2052</v>
      </c>
      <c r="C2311" s="33" t="s">
        <v>20</v>
      </c>
      <c r="D2311" s="34" t="s">
        <v>1999</v>
      </c>
      <c r="E2311" s="35" t="str">
        <f t="shared" si="557"/>
        <v>PRBND'!</v>
      </c>
      <c r="F2311" s="34" t="str">
        <f t="shared" si="558"/>
        <v>C:\Users\jaime.benazar\Quorum Business Solutions\Ecopetrol Prometeo - Documents\Planning Space Implementation\3. Analysis &amp; Design\Design\FC22\DRR Jaime\QUIFA-CAJÚA\Cajua\[CAJUA_CF_SEC_New_27-Feb-2024Rev3.xlsx]D-PRBND'!</v>
      </c>
      <c r="G2311" s="32" t="s">
        <v>115</v>
      </c>
      <c r="H2311" s="33"/>
      <c r="I2311" s="33"/>
      <c r="J2311" s="37"/>
    </row>
    <row r="2312" spans="1:10" x14ac:dyDescent="0.25">
      <c r="A2312" s="32" t="s">
        <v>101</v>
      </c>
      <c r="B2312" s="32">
        <f t="shared" si="559"/>
        <v>2053</v>
      </c>
      <c r="C2312" s="33" t="s">
        <v>20</v>
      </c>
      <c r="D2312" s="34" t="s">
        <v>1999</v>
      </c>
      <c r="E2312" s="35" t="str">
        <f t="shared" si="557"/>
        <v>PRBND'!</v>
      </c>
      <c r="F2312" s="34" t="str">
        <f t="shared" si="558"/>
        <v>C:\Users\jaime.benazar\Quorum Business Solutions\Ecopetrol Prometeo - Documents\Planning Space Implementation\3. Analysis &amp; Design\Design\FC22\DRR Jaime\QUIFA-CAJÚA\Cajua\[CAJUA_CF_SEC_New_27-Feb-2024Rev3.xlsx]D-PRBND'!</v>
      </c>
      <c r="G2312" s="32" t="s">
        <v>115</v>
      </c>
      <c r="H2312" s="33"/>
      <c r="I2312" s="33"/>
      <c r="J2312" s="37"/>
    </row>
    <row r="2313" spans="1:10" x14ac:dyDescent="0.25">
      <c r="A2313" s="32" t="s">
        <v>101</v>
      </c>
      <c r="B2313" s="32">
        <f t="shared" si="559"/>
        <v>2054</v>
      </c>
      <c r="C2313" s="33" t="s">
        <v>20</v>
      </c>
      <c r="D2313" s="34" t="s">
        <v>1999</v>
      </c>
      <c r="E2313" s="35" t="str">
        <f t="shared" si="557"/>
        <v>PRBND'!</v>
      </c>
      <c r="F2313" s="34" t="str">
        <f t="shared" si="558"/>
        <v>C:\Users\jaime.benazar\Quorum Business Solutions\Ecopetrol Prometeo - Documents\Planning Space Implementation\3. Analysis &amp; Design\Design\FC22\DRR Jaime\QUIFA-CAJÚA\Cajua\[CAJUA_CF_SEC_New_27-Feb-2024Rev3.xlsx]D-PRBND'!</v>
      </c>
      <c r="G2313" s="32" t="s">
        <v>115</v>
      </c>
      <c r="H2313" s="33"/>
      <c r="I2313" s="33"/>
      <c r="J2313" s="37"/>
    </row>
    <row r="2314" spans="1:10" x14ac:dyDescent="0.25">
      <c r="A2314" s="32" t="s">
        <v>101</v>
      </c>
      <c r="B2314" s="32">
        <f t="shared" si="559"/>
        <v>2055</v>
      </c>
      <c r="C2314" s="33" t="s">
        <v>20</v>
      </c>
      <c r="D2314" s="34" t="s">
        <v>1999</v>
      </c>
      <c r="E2314" s="35" t="str">
        <f t="shared" si="557"/>
        <v>PRBND'!</v>
      </c>
      <c r="F2314" s="34" t="str">
        <f t="shared" si="558"/>
        <v>C:\Users\jaime.benazar\Quorum Business Solutions\Ecopetrol Prometeo - Documents\Planning Space Implementation\3. Analysis &amp; Design\Design\FC22\DRR Jaime\QUIFA-CAJÚA\Cajua\[CAJUA_CF_SEC_New_27-Feb-2024Rev3.xlsx]D-PRBND'!</v>
      </c>
      <c r="G2314" s="32" t="s">
        <v>115</v>
      </c>
      <c r="H2314" s="33"/>
      <c r="I2314" s="33"/>
      <c r="J2314" s="37"/>
    </row>
    <row r="2315" spans="1:10" x14ac:dyDescent="0.25">
      <c r="A2315" s="32" t="s">
        <v>101</v>
      </c>
      <c r="B2315" s="32">
        <f t="shared" si="559"/>
        <v>2056</v>
      </c>
      <c r="C2315" s="33" t="s">
        <v>20</v>
      </c>
      <c r="D2315" s="34" t="s">
        <v>1999</v>
      </c>
      <c r="E2315" s="35" t="str">
        <f t="shared" si="557"/>
        <v>PRBND'!</v>
      </c>
      <c r="F2315" s="34" t="str">
        <f t="shared" si="558"/>
        <v>C:\Users\jaime.benazar\Quorum Business Solutions\Ecopetrol Prometeo - Documents\Planning Space Implementation\3. Analysis &amp; Design\Design\FC22\DRR Jaime\QUIFA-CAJÚA\Cajua\[CAJUA_CF_SEC_New_27-Feb-2024Rev3.xlsx]D-PRBND'!</v>
      </c>
      <c r="G2315" s="32" t="s">
        <v>115</v>
      </c>
      <c r="H2315" s="33"/>
      <c r="I2315" s="33"/>
      <c r="J2315" s="37"/>
    </row>
    <row r="2316" spans="1:10" x14ac:dyDescent="0.25">
      <c r="A2316" s="32" t="s">
        <v>101</v>
      </c>
      <c r="B2316" s="32">
        <f t="shared" si="559"/>
        <v>2057</v>
      </c>
      <c r="C2316" s="33" t="s">
        <v>20</v>
      </c>
      <c r="D2316" s="34" t="s">
        <v>1999</v>
      </c>
      <c r="E2316" s="35" t="str">
        <f t="shared" si="557"/>
        <v>PRBND'!</v>
      </c>
      <c r="F2316" s="34" t="str">
        <f t="shared" si="558"/>
        <v>C:\Users\jaime.benazar\Quorum Business Solutions\Ecopetrol Prometeo - Documents\Planning Space Implementation\3. Analysis &amp; Design\Design\FC22\DRR Jaime\QUIFA-CAJÚA\Cajua\[CAJUA_CF_SEC_New_27-Feb-2024Rev3.xlsx]D-PRBND'!</v>
      </c>
      <c r="G2316" s="32" t="s">
        <v>115</v>
      </c>
      <c r="H2316" s="33"/>
      <c r="I2316" s="33"/>
      <c r="J2316" s="37"/>
    </row>
    <row r="2317" spans="1:10" x14ac:dyDescent="0.25">
      <c r="A2317" s="32" t="s">
        <v>101</v>
      </c>
      <c r="B2317" s="32">
        <f t="shared" si="559"/>
        <v>2058</v>
      </c>
      <c r="C2317" s="33" t="s">
        <v>20</v>
      </c>
      <c r="D2317" s="34" t="s">
        <v>1999</v>
      </c>
      <c r="E2317" s="35" t="str">
        <f t="shared" si="557"/>
        <v>PRBND'!</v>
      </c>
      <c r="F2317" s="34" t="str">
        <f t="shared" si="558"/>
        <v>C:\Users\jaime.benazar\Quorum Business Solutions\Ecopetrol Prometeo - Documents\Planning Space Implementation\3. Analysis &amp; Design\Design\FC22\DRR Jaime\QUIFA-CAJÚA\Cajua\[CAJUA_CF_SEC_New_27-Feb-2024Rev3.xlsx]D-PRBND'!</v>
      </c>
      <c r="G2317" s="32" t="s">
        <v>115</v>
      </c>
      <c r="H2317" s="33"/>
      <c r="I2317" s="33"/>
      <c r="J2317" s="37"/>
    </row>
    <row r="2318" spans="1:10" x14ac:dyDescent="0.25">
      <c r="A2318" s="32" t="s">
        <v>101</v>
      </c>
      <c r="B2318" s="32">
        <f t="shared" si="559"/>
        <v>2059</v>
      </c>
      <c r="C2318" s="33" t="s">
        <v>20</v>
      </c>
      <c r="D2318" s="34" t="s">
        <v>1999</v>
      </c>
      <c r="E2318" s="35" t="str">
        <f t="shared" si="557"/>
        <v>PRBND'!</v>
      </c>
      <c r="F2318" s="34" t="str">
        <f t="shared" si="558"/>
        <v>C:\Users\jaime.benazar\Quorum Business Solutions\Ecopetrol Prometeo - Documents\Planning Space Implementation\3. Analysis &amp; Design\Design\FC22\DRR Jaime\QUIFA-CAJÚA\Cajua\[CAJUA_CF_SEC_New_27-Feb-2024Rev3.xlsx]D-PRBND'!</v>
      </c>
      <c r="G2318" s="32" t="s">
        <v>115</v>
      </c>
      <c r="H2318" s="33"/>
      <c r="I2318" s="33"/>
      <c r="J2318" s="37"/>
    </row>
    <row r="2319" spans="1:10" x14ac:dyDescent="0.25">
      <c r="A2319" s="32" t="s">
        <v>28</v>
      </c>
      <c r="B2319" s="32"/>
      <c r="C2319" s="33" t="s">
        <v>20</v>
      </c>
      <c r="D2319" s="34"/>
      <c r="E2319" s="35"/>
      <c r="F2319" s="34"/>
      <c r="G2319" s="32"/>
      <c r="H2319" s="33"/>
      <c r="I2319" s="33"/>
      <c r="J2319" s="33"/>
    </row>
    <row r="2320" spans="1:10" x14ac:dyDescent="0.25">
      <c r="A2320" s="32" t="s">
        <v>4</v>
      </c>
      <c r="B2320" s="32">
        <v>2023</v>
      </c>
      <c r="C2320" s="33" t="s">
        <v>20</v>
      </c>
      <c r="D2320" s="34" t="s">
        <v>1999</v>
      </c>
      <c r="E2320" s="35" t="str">
        <f t="shared" si="528"/>
        <v>PRB'!</v>
      </c>
      <c r="F2320" s="34" t="str">
        <f t="shared" si="529"/>
        <v>C:\Users\jaime.benazar\Quorum Business Solutions\Ecopetrol Prometeo - Documents\Planning Space Implementation\3. Analysis &amp; Design\Design\FC22\DRR Jaime\QUIFA-CAJÚA\Cajua\[CAJUA_CF_SEC_New_27-Feb-2024Rev3.xlsx]D-PRB'!</v>
      </c>
      <c r="G2320" s="32" t="s">
        <v>115</v>
      </c>
      <c r="H2320" s="33">
        <v>12</v>
      </c>
      <c r="I2320" s="33" t="str">
        <f t="shared" si="530"/>
        <v>='C:\Users\jaime.benazar\Quorum Business Solutions\Ecopetrol Prometeo - Documents\Planning Space Implementation\3. Analysis &amp; Design\Design\FC22\DRR Jaime\QUIFA-CAJÚA\Cajua\[CAJUA_CF_SEC_New_27-Feb-2024Rev3.xlsx]D-PRB'!$DC$12</v>
      </c>
      <c r="J2320" s="37" t="s">
        <v>3036</v>
      </c>
    </row>
    <row r="2321" spans="1:10" x14ac:dyDescent="0.25">
      <c r="A2321" s="32" t="s">
        <v>4</v>
      </c>
      <c r="B2321" s="32">
        <f>+B2320+1</f>
        <v>2024</v>
      </c>
      <c r="C2321" s="33" t="s">
        <v>20</v>
      </c>
      <c r="D2321" s="34" t="s">
        <v>1999</v>
      </c>
      <c r="E2321" s="35" t="str">
        <f t="shared" si="528"/>
        <v>PRB'!</v>
      </c>
      <c r="F2321" s="34" t="str">
        <f t="shared" si="529"/>
        <v>C:\Users\jaime.benazar\Quorum Business Solutions\Ecopetrol Prometeo - Documents\Planning Space Implementation\3. Analysis &amp; Design\Design\FC22\DRR Jaime\QUIFA-CAJÚA\Cajua\[CAJUA_CF_SEC_New_27-Feb-2024Rev3.xlsx]D-PRB'!</v>
      </c>
      <c r="G2321" s="32" t="s">
        <v>115</v>
      </c>
      <c r="H2321" s="33">
        <f t="shared" ref="H2321:H2340" si="560">IF(A2321&lt;&gt;A2320,12,H2320+1)</f>
        <v>13</v>
      </c>
      <c r="I2321" s="33" t="str">
        <f t="shared" si="530"/>
        <v>='C:\Users\jaime.benazar\Quorum Business Solutions\Ecopetrol Prometeo - Documents\Planning Space Implementation\3. Analysis &amp; Design\Design\FC22\DRR Jaime\QUIFA-CAJÚA\Cajua\[CAJUA_CF_SEC_New_27-Feb-2024Rev3.xlsx]D-PRB'!$DC$13</v>
      </c>
      <c r="J2321" s="37" t="s">
        <v>3037</v>
      </c>
    </row>
    <row r="2322" spans="1:10" x14ac:dyDescent="0.25">
      <c r="A2322" s="32" t="s">
        <v>4</v>
      </c>
      <c r="B2322" s="32">
        <f t="shared" ref="B2322:B2333" si="561">+B2321+1</f>
        <v>2025</v>
      </c>
      <c r="C2322" s="33" t="s">
        <v>20</v>
      </c>
      <c r="D2322" s="34" t="s">
        <v>1999</v>
      </c>
      <c r="E2322" s="35" t="str">
        <f t="shared" si="528"/>
        <v>PRB'!</v>
      </c>
      <c r="F2322" s="34" t="str">
        <f t="shared" si="529"/>
        <v>C:\Users\jaime.benazar\Quorum Business Solutions\Ecopetrol Prometeo - Documents\Planning Space Implementation\3. Analysis &amp; Design\Design\FC22\DRR Jaime\QUIFA-CAJÚA\Cajua\[CAJUA_CF_SEC_New_27-Feb-2024Rev3.xlsx]D-PRB'!</v>
      </c>
      <c r="G2322" s="32" t="s">
        <v>115</v>
      </c>
      <c r="H2322" s="33">
        <f t="shared" si="560"/>
        <v>14</v>
      </c>
      <c r="I2322" s="33" t="str">
        <f t="shared" si="530"/>
        <v>='C:\Users\jaime.benazar\Quorum Business Solutions\Ecopetrol Prometeo - Documents\Planning Space Implementation\3. Analysis &amp; Design\Design\FC22\DRR Jaime\QUIFA-CAJÚA\Cajua\[CAJUA_CF_SEC_New_27-Feb-2024Rev3.xlsx]D-PRB'!$DC$14</v>
      </c>
      <c r="J2322" s="37" t="s">
        <v>3038</v>
      </c>
    </row>
    <row r="2323" spans="1:10" x14ac:dyDescent="0.25">
      <c r="A2323" s="32" t="s">
        <v>4</v>
      </c>
      <c r="B2323" s="32">
        <f t="shared" si="561"/>
        <v>2026</v>
      </c>
      <c r="C2323" s="33" t="s">
        <v>20</v>
      </c>
      <c r="D2323" s="34" t="s">
        <v>1999</v>
      </c>
      <c r="E2323" s="35" t="str">
        <f t="shared" si="528"/>
        <v>PRB'!</v>
      </c>
      <c r="F2323" s="34" t="str">
        <f t="shared" si="529"/>
        <v>C:\Users\jaime.benazar\Quorum Business Solutions\Ecopetrol Prometeo - Documents\Planning Space Implementation\3. Analysis &amp; Design\Design\FC22\DRR Jaime\QUIFA-CAJÚA\Cajua\[CAJUA_CF_SEC_New_27-Feb-2024Rev3.xlsx]D-PRB'!</v>
      </c>
      <c r="G2323" s="32" t="s">
        <v>115</v>
      </c>
      <c r="H2323" s="33">
        <f t="shared" si="560"/>
        <v>15</v>
      </c>
      <c r="I2323" s="33" t="str">
        <f t="shared" si="530"/>
        <v>='C:\Users\jaime.benazar\Quorum Business Solutions\Ecopetrol Prometeo - Documents\Planning Space Implementation\3. Analysis &amp; Design\Design\FC22\DRR Jaime\QUIFA-CAJÚA\Cajua\[CAJUA_CF_SEC_New_27-Feb-2024Rev3.xlsx]D-PRB'!$DC$15</v>
      </c>
      <c r="J2323" s="37" t="s">
        <v>3039</v>
      </c>
    </row>
    <row r="2324" spans="1:10" x14ac:dyDescent="0.25">
      <c r="A2324" s="32" t="s">
        <v>4</v>
      </c>
      <c r="B2324" s="32">
        <f t="shared" si="561"/>
        <v>2027</v>
      </c>
      <c r="C2324" s="33" t="s">
        <v>20</v>
      </c>
      <c r="D2324" s="34" t="s">
        <v>1999</v>
      </c>
      <c r="E2324" s="35" t="str">
        <f t="shared" si="528"/>
        <v>PRB'!</v>
      </c>
      <c r="F2324" s="34" t="str">
        <f t="shared" si="529"/>
        <v>C:\Users\jaime.benazar\Quorum Business Solutions\Ecopetrol Prometeo - Documents\Planning Space Implementation\3. Analysis &amp; Design\Design\FC22\DRR Jaime\QUIFA-CAJÚA\Cajua\[CAJUA_CF_SEC_New_27-Feb-2024Rev3.xlsx]D-PRB'!</v>
      </c>
      <c r="G2324" s="32" t="s">
        <v>115</v>
      </c>
      <c r="H2324" s="33">
        <f t="shared" si="560"/>
        <v>16</v>
      </c>
      <c r="I2324" s="33" t="str">
        <f t="shared" si="530"/>
        <v>='C:\Users\jaime.benazar\Quorum Business Solutions\Ecopetrol Prometeo - Documents\Planning Space Implementation\3. Analysis &amp; Design\Design\FC22\DRR Jaime\QUIFA-CAJÚA\Cajua\[CAJUA_CF_SEC_New_27-Feb-2024Rev3.xlsx]D-PRB'!$DC$16</v>
      </c>
      <c r="J2324" s="37" t="s">
        <v>3040</v>
      </c>
    </row>
    <row r="2325" spans="1:10" x14ac:dyDescent="0.25">
      <c r="A2325" s="32" t="s">
        <v>4</v>
      </c>
      <c r="B2325" s="32">
        <f t="shared" si="561"/>
        <v>2028</v>
      </c>
      <c r="C2325" s="33" t="s">
        <v>20</v>
      </c>
      <c r="D2325" s="34" t="s">
        <v>1999</v>
      </c>
      <c r="E2325" s="35" t="str">
        <f t="shared" si="528"/>
        <v>PRB'!</v>
      </c>
      <c r="F2325" s="34" t="str">
        <f t="shared" si="529"/>
        <v>C:\Users\jaime.benazar\Quorum Business Solutions\Ecopetrol Prometeo - Documents\Planning Space Implementation\3. Analysis &amp; Design\Design\FC22\DRR Jaime\QUIFA-CAJÚA\Cajua\[CAJUA_CF_SEC_New_27-Feb-2024Rev3.xlsx]D-PRB'!</v>
      </c>
      <c r="G2325" s="32" t="s">
        <v>115</v>
      </c>
      <c r="H2325" s="33">
        <f t="shared" si="560"/>
        <v>17</v>
      </c>
      <c r="I2325" s="33" t="str">
        <f t="shared" si="530"/>
        <v>='C:\Users\jaime.benazar\Quorum Business Solutions\Ecopetrol Prometeo - Documents\Planning Space Implementation\3. Analysis &amp; Design\Design\FC22\DRR Jaime\QUIFA-CAJÚA\Cajua\[CAJUA_CF_SEC_New_27-Feb-2024Rev3.xlsx]D-PRB'!$DC$17</v>
      </c>
      <c r="J2325" s="37" t="s">
        <v>3041</v>
      </c>
    </row>
    <row r="2326" spans="1:10" x14ac:dyDescent="0.25">
      <c r="A2326" s="32" t="s">
        <v>4</v>
      </c>
      <c r="B2326" s="32">
        <f t="shared" si="561"/>
        <v>2029</v>
      </c>
      <c r="C2326" s="33" t="s">
        <v>20</v>
      </c>
      <c r="D2326" s="34" t="s">
        <v>1999</v>
      </c>
      <c r="E2326" s="35" t="str">
        <f t="shared" si="528"/>
        <v>PRB'!</v>
      </c>
      <c r="F2326" s="34" t="str">
        <f t="shared" si="529"/>
        <v>C:\Users\jaime.benazar\Quorum Business Solutions\Ecopetrol Prometeo - Documents\Planning Space Implementation\3. Analysis &amp; Design\Design\FC22\DRR Jaime\QUIFA-CAJÚA\Cajua\[CAJUA_CF_SEC_New_27-Feb-2024Rev3.xlsx]D-PRB'!</v>
      </c>
      <c r="G2326" s="32" t="s">
        <v>115</v>
      </c>
      <c r="H2326" s="33">
        <f t="shared" si="560"/>
        <v>18</v>
      </c>
      <c r="I2326" s="33" t="str">
        <f t="shared" si="530"/>
        <v>='C:\Users\jaime.benazar\Quorum Business Solutions\Ecopetrol Prometeo - Documents\Planning Space Implementation\3. Analysis &amp; Design\Design\FC22\DRR Jaime\QUIFA-CAJÚA\Cajua\[CAJUA_CF_SEC_New_27-Feb-2024Rev3.xlsx]D-PRB'!$DC$18</v>
      </c>
      <c r="J2326" s="37" t="s">
        <v>3042</v>
      </c>
    </row>
    <row r="2327" spans="1:10" x14ac:dyDescent="0.25">
      <c r="A2327" s="32" t="s">
        <v>4</v>
      </c>
      <c r="B2327" s="32">
        <f t="shared" si="561"/>
        <v>2030</v>
      </c>
      <c r="C2327" s="33" t="s">
        <v>20</v>
      </c>
      <c r="D2327" s="34" t="s">
        <v>1999</v>
      </c>
      <c r="E2327" s="35" t="str">
        <f t="shared" si="528"/>
        <v>PRB'!</v>
      </c>
      <c r="F2327" s="34" t="str">
        <f t="shared" si="529"/>
        <v>C:\Users\jaime.benazar\Quorum Business Solutions\Ecopetrol Prometeo - Documents\Planning Space Implementation\3. Analysis &amp; Design\Design\FC22\DRR Jaime\QUIFA-CAJÚA\Cajua\[CAJUA_CF_SEC_New_27-Feb-2024Rev3.xlsx]D-PRB'!</v>
      </c>
      <c r="G2327" s="32" t="s">
        <v>115</v>
      </c>
      <c r="H2327" s="33">
        <f t="shared" si="560"/>
        <v>19</v>
      </c>
      <c r="I2327" s="33" t="str">
        <f t="shared" si="530"/>
        <v>='C:\Users\jaime.benazar\Quorum Business Solutions\Ecopetrol Prometeo - Documents\Planning Space Implementation\3. Analysis &amp; Design\Design\FC22\DRR Jaime\QUIFA-CAJÚA\Cajua\[CAJUA_CF_SEC_New_27-Feb-2024Rev3.xlsx]D-PRB'!$DC$19</v>
      </c>
      <c r="J2327" s="37" t="s">
        <v>3043</v>
      </c>
    </row>
    <row r="2328" spans="1:10" x14ac:dyDescent="0.25">
      <c r="A2328" s="32" t="s">
        <v>4</v>
      </c>
      <c r="B2328" s="32">
        <f t="shared" si="561"/>
        <v>2031</v>
      </c>
      <c r="C2328" s="33" t="s">
        <v>20</v>
      </c>
      <c r="D2328" s="34" t="s">
        <v>1999</v>
      </c>
      <c r="E2328" s="35" t="str">
        <f t="shared" si="528"/>
        <v>PRB'!</v>
      </c>
      <c r="F2328" s="34" t="str">
        <f t="shared" si="529"/>
        <v>C:\Users\jaime.benazar\Quorum Business Solutions\Ecopetrol Prometeo - Documents\Planning Space Implementation\3. Analysis &amp; Design\Design\FC22\DRR Jaime\QUIFA-CAJÚA\Cajua\[CAJUA_CF_SEC_New_27-Feb-2024Rev3.xlsx]D-PRB'!</v>
      </c>
      <c r="G2328" s="32" t="s">
        <v>115</v>
      </c>
      <c r="H2328" s="33">
        <f t="shared" si="560"/>
        <v>20</v>
      </c>
      <c r="I2328" s="33" t="str">
        <f t="shared" si="530"/>
        <v>='C:\Users\jaime.benazar\Quorum Business Solutions\Ecopetrol Prometeo - Documents\Planning Space Implementation\3. Analysis &amp; Design\Design\FC22\DRR Jaime\QUIFA-CAJÚA\Cajua\[CAJUA_CF_SEC_New_27-Feb-2024Rev3.xlsx]D-PRB'!$DC$20</v>
      </c>
      <c r="J2328" s="37" t="s">
        <v>3044</v>
      </c>
    </row>
    <row r="2329" spans="1:10" x14ac:dyDescent="0.25">
      <c r="A2329" s="32" t="s">
        <v>4</v>
      </c>
      <c r="B2329" s="32">
        <f t="shared" si="561"/>
        <v>2032</v>
      </c>
      <c r="C2329" s="33" t="s">
        <v>20</v>
      </c>
      <c r="D2329" s="34" t="s">
        <v>1999</v>
      </c>
      <c r="E2329" s="35" t="str">
        <f t="shared" si="528"/>
        <v>PRB'!</v>
      </c>
      <c r="F2329" s="34" t="str">
        <f t="shared" si="529"/>
        <v>C:\Users\jaime.benazar\Quorum Business Solutions\Ecopetrol Prometeo - Documents\Planning Space Implementation\3. Analysis &amp; Design\Design\FC22\DRR Jaime\QUIFA-CAJÚA\Cajua\[CAJUA_CF_SEC_New_27-Feb-2024Rev3.xlsx]D-PRB'!</v>
      </c>
      <c r="G2329" s="32" t="s">
        <v>115</v>
      </c>
      <c r="H2329" s="33">
        <f t="shared" si="560"/>
        <v>21</v>
      </c>
      <c r="I2329" s="33" t="str">
        <f t="shared" si="530"/>
        <v>='C:\Users\jaime.benazar\Quorum Business Solutions\Ecopetrol Prometeo - Documents\Planning Space Implementation\3. Analysis &amp; Design\Design\FC22\DRR Jaime\QUIFA-CAJÚA\Cajua\[CAJUA_CF_SEC_New_27-Feb-2024Rev3.xlsx]D-PRB'!$DC$21</v>
      </c>
      <c r="J2329" s="37" t="s">
        <v>3045</v>
      </c>
    </row>
    <row r="2330" spans="1:10" x14ac:dyDescent="0.25">
      <c r="A2330" s="32" t="s">
        <v>4</v>
      </c>
      <c r="B2330" s="32">
        <f t="shared" si="561"/>
        <v>2033</v>
      </c>
      <c r="C2330" s="33" t="s">
        <v>20</v>
      </c>
      <c r="D2330" s="34" t="s">
        <v>1999</v>
      </c>
      <c r="E2330" s="35" t="str">
        <f t="shared" si="528"/>
        <v>PRB'!</v>
      </c>
      <c r="F2330" s="34" t="str">
        <f t="shared" si="529"/>
        <v>C:\Users\jaime.benazar\Quorum Business Solutions\Ecopetrol Prometeo - Documents\Planning Space Implementation\3. Analysis &amp; Design\Design\FC22\DRR Jaime\QUIFA-CAJÚA\Cajua\[CAJUA_CF_SEC_New_27-Feb-2024Rev3.xlsx]D-PRB'!</v>
      </c>
      <c r="G2330" s="32" t="s">
        <v>115</v>
      </c>
      <c r="H2330" s="33">
        <f t="shared" si="560"/>
        <v>22</v>
      </c>
      <c r="I2330" s="33" t="str">
        <f t="shared" si="530"/>
        <v>='C:\Users\jaime.benazar\Quorum Business Solutions\Ecopetrol Prometeo - Documents\Planning Space Implementation\3. Analysis &amp; Design\Design\FC22\DRR Jaime\QUIFA-CAJÚA\Cajua\[CAJUA_CF_SEC_New_27-Feb-2024Rev3.xlsx]D-PRB'!$DC$22</v>
      </c>
      <c r="J2330" s="37" t="s">
        <v>3046</v>
      </c>
    </row>
    <row r="2331" spans="1:10" x14ac:dyDescent="0.25">
      <c r="A2331" s="32" t="s">
        <v>4</v>
      </c>
      <c r="B2331" s="32">
        <f t="shared" si="561"/>
        <v>2034</v>
      </c>
      <c r="C2331" s="33" t="s">
        <v>20</v>
      </c>
      <c r="D2331" s="34" t="s">
        <v>1999</v>
      </c>
      <c r="E2331" s="35" t="str">
        <f t="shared" si="528"/>
        <v>PRB'!</v>
      </c>
      <c r="F2331" s="34" t="str">
        <f t="shared" si="529"/>
        <v>C:\Users\jaime.benazar\Quorum Business Solutions\Ecopetrol Prometeo - Documents\Planning Space Implementation\3. Analysis &amp; Design\Design\FC22\DRR Jaime\QUIFA-CAJÚA\Cajua\[CAJUA_CF_SEC_New_27-Feb-2024Rev3.xlsx]D-PRB'!</v>
      </c>
      <c r="G2331" s="32" t="s">
        <v>115</v>
      </c>
      <c r="H2331" s="33">
        <f t="shared" si="560"/>
        <v>23</v>
      </c>
      <c r="I2331" s="33" t="str">
        <f t="shared" si="530"/>
        <v>='C:\Users\jaime.benazar\Quorum Business Solutions\Ecopetrol Prometeo - Documents\Planning Space Implementation\3. Analysis &amp; Design\Design\FC22\DRR Jaime\QUIFA-CAJÚA\Cajua\[CAJUA_CF_SEC_New_27-Feb-2024Rev3.xlsx]D-PRB'!$DC$23</v>
      </c>
      <c r="J2331" s="37" t="s">
        <v>3047</v>
      </c>
    </row>
    <row r="2332" spans="1:10" x14ac:dyDescent="0.25">
      <c r="A2332" s="32" t="s">
        <v>4</v>
      </c>
      <c r="B2332" s="32">
        <f t="shared" si="561"/>
        <v>2035</v>
      </c>
      <c r="C2332" s="33" t="s">
        <v>20</v>
      </c>
      <c r="D2332" s="34" t="s">
        <v>1999</v>
      </c>
      <c r="E2332" s="35" t="str">
        <f t="shared" si="528"/>
        <v>PRB'!</v>
      </c>
      <c r="F2332" s="34" t="str">
        <f t="shared" si="529"/>
        <v>C:\Users\jaime.benazar\Quorum Business Solutions\Ecopetrol Prometeo - Documents\Planning Space Implementation\3. Analysis &amp; Design\Design\FC22\DRR Jaime\QUIFA-CAJÚA\Cajua\[CAJUA_CF_SEC_New_27-Feb-2024Rev3.xlsx]D-PRB'!</v>
      </c>
      <c r="G2332" s="32" t="s">
        <v>115</v>
      </c>
      <c r="H2332" s="33">
        <f t="shared" si="560"/>
        <v>24</v>
      </c>
      <c r="I2332" s="33" t="str">
        <f t="shared" si="530"/>
        <v>='C:\Users\jaime.benazar\Quorum Business Solutions\Ecopetrol Prometeo - Documents\Planning Space Implementation\3. Analysis &amp; Design\Design\FC22\DRR Jaime\QUIFA-CAJÚA\Cajua\[CAJUA_CF_SEC_New_27-Feb-2024Rev3.xlsx]D-PRB'!$DC$24</v>
      </c>
      <c r="J2332" s="37" t="s">
        <v>3048</v>
      </c>
    </row>
    <row r="2333" spans="1:10" x14ac:dyDescent="0.25">
      <c r="A2333" s="32" t="s">
        <v>4</v>
      </c>
      <c r="B2333" s="32">
        <f t="shared" si="561"/>
        <v>2036</v>
      </c>
      <c r="C2333" s="33" t="s">
        <v>20</v>
      </c>
      <c r="D2333" s="34" t="s">
        <v>1999</v>
      </c>
      <c r="E2333" s="35" t="str">
        <f t="shared" si="528"/>
        <v>PRB'!</v>
      </c>
      <c r="F2333" s="34" t="str">
        <f t="shared" si="529"/>
        <v>C:\Users\jaime.benazar\Quorum Business Solutions\Ecopetrol Prometeo - Documents\Planning Space Implementation\3. Analysis &amp; Design\Design\FC22\DRR Jaime\QUIFA-CAJÚA\Cajua\[CAJUA_CF_SEC_New_27-Feb-2024Rev3.xlsx]D-PRB'!</v>
      </c>
      <c r="G2333" s="32" t="s">
        <v>115</v>
      </c>
      <c r="H2333" s="33">
        <f t="shared" si="560"/>
        <v>25</v>
      </c>
      <c r="I2333" s="33" t="str">
        <f t="shared" si="530"/>
        <v>='C:\Users\jaime.benazar\Quorum Business Solutions\Ecopetrol Prometeo - Documents\Planning Space Implementation\3. Analysis &amp; Design\Design\FC22\DRR Jaime\QUIFA-CAJÚA\Cajua\[CAJUA_CF_SEC_New_27-Feb-2024Rev3.xlsx]D-PRB'!$DC$25</v>
      </c>
      <c r="J2333" s="37" t="s">
        <v>3049</v>
      </c>
    </row>
    <row r="2334" spans="1:10" x14ac:dyDescent="0.25">
      <c r="A2334" s="32" t="s">
        <v>4</v>
      </c>
      <c r="B2334" s="32">
        <f>+B2333+1</f>
        <v>2037</v>
      </c>
      <c r="C2334" s="33" t="s">
        <v>20</v>
      </c>
      <c r="D2334" s="34" t="s">
        <v>1999</v>
      </c>
      <c r="E2334" s="35" t="str">
        <f t="shared" si="528"/>
        <v>PRB'!</v>
      </c>
      <c r="F2334" s="34" t="str">
        <f t="shared" si="529"/>
        <v>C:\Users\jaime.benazar\Quorum Business Solutions\Ecopetrol Prometeo - Documents\Planning Space Implementation\3. Analysis &amp; Design\Design\FC22\DRR Jaime\QUIFA-CAJÚA\Cajua\[CAJUA_CF_SEC_New_27-Feb-2024Rev3.xlsx]D-PRB'!</v>
      </c>
      <c r="G2334" s="32" t="s">
        <v>115</v>
      </c>
      <c r="H2334" s="33">
        <f t="shared" si="560"/>
        <v>26</v>
      </c>
      <c r="I2334" s="33" t="str">
        <f t="shared" si="530"/>
        <v>='C:\Users\jaime.benazar\Quorum Business Solutions\Ecopetrol Prometeo - Documents\Planning Space Implementation\3. Analysis &amp; Design\Design\FC22\DRR Jaime\QUIFA-CAJÚA\Cajua\[CAJUA_CF_SEC_New_27-Feb-2024Rev3.xlsx]D-PRB'!$DC$26</v>
      </c>
      <c r="J2334" s="37" t="s">
        <v>3050</v>
      </c>
    </row>
    <row r="2335" spans="1:10" x14ac:dyDescent="0.25">
      <c r="A2335" s="32" t="s">
        <v>4</v>
      </c>
      <c r="B2335" s="32">
        <f t="shared" ref="B2335:B2337" si="562">+B2334+1</f>
        <v>2038</v>
      </c>
      <c r="C2335" s="33" t="s">
        <v>20</v>
      </c>
      <c r="D2335" s="34" t="s">
        <v>1999</v>
      </c>
      <c r="E2335" s="35" t="str">
        <f t="shared" si="528"/>
        <v>PRB'!</v>
      </c>
      <c r="F2335" s="34" t="str">
        <f t="shared" si="529"/>
        <v>C:\Users\jaime.benazar\Quorum Business Solutions\Ecopetrol Prometeo - Documents\Planning Space Implementation\3. Analysis &amp; Design\Design\FC22\DRR Jaime\QUIFA-CAJÚA\Cajua\[CAJUA_CF_SEC_New_27-Feb-2024Rev3.xlsx]D-PRB'!</v>
      </c>
      <c r="G2335" s="32" t="s">
        <v>115</v>
      </c>
      <c r="H2335" s="33">
        <f t="shared" si="560"/>
        <v>27</v>
      </c>
      <c r="I2335" s="33" t="str">
        <f t="shared" si="530"/>
        <v>='C:\Users\jaime.benazar\Quorum Business Solutions\Ecopetrol Prometeo - Documents\Planning Space Implementation\3. Analysis &amp; Design\Design\FC22\DRR Jaime\QUIFA-CAJÚA\Cajua\[CAJUA_CF_SEC_New_27-Feb-2024Rev3.xlsx]D-PRB'!$DC$27</v>
      </c>
      <c r="J2335" s="37" t="s">
        <v>3051</v>
      </c>
    </row>
    <row r="2336" spans="1:10" x14ac:dyDescent="0.25">
      <c r="A2336" s="32" t="s">
        <v>4</v>
      </c>
      <c r="B2336" s="32">
        <f t="shared" si="562"/>
        <v>2039</v>
      </c>
      <c r="C2336" s="33" t="s">
        <v>20</v>
      </c>
      <c r="D2336" s="34" t="s">
        <v>1999</v>
      </c>
      <c r="E2336" s="35" t="str">
        <f t="shared" si="528"/>
        <v>PRB'!</v>
      </c>
      <c r="F2336" s="34" t="str">
        <f t="shared" si="529"/>
        <v>C:\Users\jaime.benazar\Quorum Business Solutions\Ecopetrol Prometeo - Documents\Planning Space Implementation\3. Analysis &amp; Design\Design\FC22\DRR Jaime\QUIFA-CAJÚA\Cajua\[CAJUA_CF_SEC_New_27-Feb-2024Rev3.xlsx]D-PRB'!</v>
      </c>
      <c r="G2336" s="32" t="s">
        <v>115</v>
      </c>
      <c r="H2336" s="33">
        <f t="shared" si="560"/>
        <v>28</v>
      </c>
      <c r="I2336" s="33" t="str">
        <f t="shared" si="530"/>
        <v>='C:\Users\jaime.benazar\Quorum Business Solutions\Ecopetrol Prometeo - Documents\Planning Space Implementation\3. Analysis &amp; Design\Design\FC22\DRR Jaime\QUIFA-CAJÚA\Cajua\[CAJUA_CF_SEC_New_27-Feb-2024Rev3.xlsx]D-PRB'!$DC$28</v>
      </c>
      <c r="J2336" s="37" t="s">
        <v>3052</v>
      </c>
    </row>
    <row r="2337" spans="1:10" x14ac:dyDescent="0.25">
      <c r="A2337" s="32" t="s">
        <v>4</v>
      </c>
      <c r="B2337" s="32">
        <f t="shared" si="562"/>
        <v>2040</v>
      </c>
      <c r="C2337" s="33" t="s">
        <v>20</v>
      </c>
      <c r="D2337" s="34" t="s">
        <v>1999</v>
      </c>
      <c r="E2337" s="35" t="str">
        <f t="shared" si="528"/>
        <v>PRB'!</v>
      </c>
      <c r="F2337" s="34" t="str">
        <f t="shared" si="529"/>
        <v>C:\Users\jaime.benazar\Quorum Business Solutions\Ecopetrol Prometeo - Documents\Planning Space Implementation\3. Analysis &amp; Design\Design\FC22\DRR Jaime\QUIFA-CAJÚA\Cajua\[CAJUA_CF_SEC_New_27-Feb-2024Rev3.xlsx]D-PRB'!</v>
      </c>
      <c r="G2337" s="32" t="s">
        <v>115</v>
      </c>
      <c r="H2337" s="33">
        <f t="shared" si="560"/>
        <v>29</v>
      </c>
      <c r="I2337" s="33" t="str">
        <f t="shared" si="530"/>
        <v>='C:\Users\jaime.benazar\Quorum Business Solutions\Ecopetrol Prometeo - Documents\Planning Space Implementation\3. Analysis &amp; Design\Design\FC22\DRR Jaime\QUIFA-CAJÚA\Cajua\[CAJUA_CF_SEC_New_27-Feb-2024Rev3.xlsx]D-PRB'!$DC$29</v>
      </c>
      <c r="J2337" s="37" t="s">
        <v>3053</v>
      </c>
    </row>
    <row r="2338" spans="1:10" x14ac:dyDescent="0.25">
      <c r="A2338" s="32" t="s">
        <v>4</v>
      </c>
      <c r="B2338" s="32">
        <f>+B2337+1</f>
        <v>2041</v>
      </c>
      <c r="C2338" s="33" t="s">
        <v>20</v>
      </c>
      <c r="D2338" s="34" t="s">
        <v>1999</v>
      </c>
      <c r="E2338" s="35" t="str">
        <f t="shared" si="528"/>
        <v>PRB'!</v>
      </c>
      <c r="F2338" s="34" t="str">
        <f t="shared" si="529"/>
        <v>C:\Users\jaime.benazar\Quorum Business Solutions\Ecopetrol Prometeo - Documents\Planning Space Implementation\3. Analysis &amp; Design\Design\FC22\DRR Jaime\QUIFA-CAJÚA\Cajua\[CAJUA_CF_SEC_New_27-Feb-2024Rev3.xlsx]D-PRB'!</v>
      </c>
      <c r="G2338" s="32" t="s">
        <v>115</v>
      </c>
      <c r="H2338" s="33">
        <f t="shared" si="560"/>
        <v>30</v>
      </c>
      <c r="I2338" s="33" t="str">
        <f t="shared" si="530"/>
        <v>='C:\Users\jaime.benazar\Quorum Business Solutions\Ecopetrol Prometeo - Documents\Planning Space Implementation\3. Analysis &amp; Design\Design\FC22\DRR Jaime\QUIFA-CAJÚA\Cajua\[CAJUA_CF_SEC_New_27-Feb-2024Rev3.xlsx]D-PRB'!$DC$30</v>
      </c>
      <c r="J2338" s="37" t="s">
        <v>3054</v>
      </c>
    </row>
    <row r="2339" spans="1:10" x14ac:dyDescent="0.25">
      <c r="A2339" s="32" t="s">
        <v>4</v>
      </c>
      <c r="B2339" s="32">
        <f t="shared" ref="B2339:B2340" si="563">+B2338+1</f>
        <v>2042</v>
      </c>
      <c r="C2339" s="33" t="s">
        <v>20</v>
      </c>
      <c r="D2339" s="34" t="s">
        <v>1999</v>
      </c>
      <c r="E2339" s="35" t="str">
        <f t="shared" si="528"/>
        <v>PRB'!</v>
      </c>
      <c r="F2339" s="34" t="str">
        <f t="shared" si="529"/>
        <v>C:\Users\jaime.benazar\Quorum Business Solutions\Ecopetrol Prometeo - Documents\Planning Space Implementation\3. Analysis &amp; Design\Design\FC22\DRR Jaime\QUIFA-CAJÚA\Cajua\[CAJUA_CF_SEC_New_27-Feb-2024Rev3.xlsx]D-PRB'!</v>
      </c>
      <c r="G2339" s="32" t="s">
        <v>115</v>
      </c>
      <c r="H2339" s="33">
        <f t="shared" si="560"/>
        <v>31</v>
      </c>
      <c r="I2339" s="33" t="str">
        <f t="shared" si="530"/>
        <v>='C:\Users\jaime.benazar\Quorum Business Solutions\Ecopetrol Prometeo - Documents\Planning Space Implementation\3. Analysis &amp; Design\Design\FC22\DRR Jaime\QUIFA-CAJÚA\Cajua\[CAJUA_CF_SEC_New_27-Feb-2024Rev3.xlsx]D-PRB'!$DC$31</v>
      </c>
      <c r="J2339" s="37" t="s">
        <v>3055</v>
      </c>
    </row>
    <row r="2340" spans="1:10" x14ac:dyDescent="0.25">
      <c r="A2340" s="32" t="s">
        <v>4</v>
      </c>
      <c r="B2340" s="32">
        <f t="shared" si="563"/>
        <v>2043</v>
      </c>
      <c r="C2340" s="33" t="s">
        <v>20</v>
      </c>
      <c r="D2340" s="34" t="s">
        <v>1999</v>
      </c>
      <c r="E2340" s="35" t="str">
        <f t="shared" si="528"/>
        <v>PRB'!</v>
      </c>
      <c r="F2340" s="34" t="str">
        <f t="shared" si="529"/>
        <v>C:\Users\jaime.benazar\Quorum Business Solutions\Ecopetrol Prometeo - Documents\Planning Space Implementation\3. Analysis &amp; Design\Design\FC22\DRR Jaime\QUIFA-CAJÚA\Cajua\[CAJUA_CF_SEC_New_27-Feb-2024Rev3.xlsx]D-PRB'!</v>
      </c>
      <c r="G2340" s="32" t="s">
        <v>115</v>
      </c>
      <c r="H2340" s="33">
        <f t="shared" si="560"/>
        <v>32</v>
      </c>
      <c r="I2340" s="33" t="str">
        <f t="shared" si="530"/>
        <v>='C:\Users\jaime.benazar\Quorum Business Solutions\Ecopetrol Prometeo - Documents\Planning Space Implementation\3. Analysis &amp; Design\Design\FC22\DRR Jaime\QUIFA-CAJÚA\Cajua\[CAJUA_CF_SEC_New_27-Feb-2024Rev3.xlsx]D-PRB'!$DC$32</v>
      </c>
      <c r="J2340" s="37" t="s">
        <v>3056</v>
      </c>
    </row>
    <row r="2341" spans="1:10" x14ac:dyDescent="0.25">
      <c r="A2341" s="32" t="s">
        <v>4</v>
      </c>
      <c r="B2341" s="32">
        <f>+B2340+1</f>
        <v>2044</v>
      </c>
      <c r="C2341" s="33" t="s">
        <v>20</v>
      </c>
      <c r="D2341" s="34" t="s">
        <v>1999</v>
      </c>
      <c r="E2341" s="35" t="str">
        <f t="shared" ref="E2341:E2356" si="564">_xlfn.CONCAT(A2341,"'!")</f>
        <v>PRB'!</v>
      </c>
      <c r="F2341" s="34" t="str">
        <f t="shared" ref="F2341:F2356" si="565">_xlfn.CONCAT(D2341:E2341)</f>
        <v>C:\Users\jaime.benazar\Quorum Business Solutions\Ecopetrol Prometeo - Documents\Planning Space Implementation\3. Analysis &amp; Design\Design\FC22\DRR Jaime\QUIFA-CAJÚA\Cajua\[CAJUA_CF_SEC_New_27-Feb-2024Rev3.xlsx]D-PRB'!</v>
      </c>
      <c r="G2341" s="32" t="s">
        <v>115</v>
      </c>
      <c r="H2341" s="33">
        <f t="shared" ref="H2341:H2356" si="566">IF(A2341&lt;&gt;A2340,12,H2340+1)</f>
        <v>33</v>
      </c>
      <c r="I2341" s="33" t="str">
        <f t="shared" ref="I2341:I2356" si="567">_xlfn.CONCAT("='",F2341:H2341)</f>
        <v>='C:\Users\jaime.benazar\Quorum Business Solutions\Ecopetrol Prometeo - Documents\Planning Space Implementation\3. Analysis &amp; Design\Design\FC22\DRR Jaime\QUIFA-CAJÚA\Cajua\[CAJUA_CF_SEC_New_27-Feb-2024Rev3.xlsx]D-PRB'!$DC$33</v>
      </c>
      <c r="J2341" s="37" t="s">
        <v>3057</v>
      </c>
    </row>
    <row r="2342" spans="1:10" x14ac:dyDescent="0.25">
      <c r="A2342" s="32" t="s">
        <v>4</v>
      </c>
      <c r="B2342" s="32">
        <f t="shared" ref="B2342:B2356" si="568">+B2341+1</f>
        <v>2045</v>
      </c>
      <c r="C2342" s="33" t="s">
        <v>20</v>
      </c>
      <c r="D2342" s="34" t="s">
        <v>1999</v>
      </c>
      <c r="E2342" s="35" t="str">
        <f t="shared" si="564"/>
        <v>PRB'!</v>
      </c>
      <c r="F2342" s="34" t="str">
        <f t="shared" si="565"/>
        <v>C:\Users\jaime.benazar\Quorum Business Solutions\Ecopetrol Prometeo - Documents\Planning Space Implementation\3. Analysis &amp; Design\Design\FC22\DRR Jaime\QUIFA-CAJÚA\Cajua\[CAJUA_CF_SEC_New_27-Feb-2024Rev3.xlsx]D-PRB'!</v>
      </c>
      <c r="G2342" s="32" t="s">
        <v>115</v>
      </c>
      <c r="H2342" s="33">
        <f t="shared" si="566"/>
        <v>34</v>
      </c>
      <c r="I2342" s="33" t="str">
        <f t="shared" si="567"/>
        <v>='C:\Users\jaime.benazar\Quorum Business Solutions\Ecopetrol Prometeo - Documents\Planning Space Implementation\3. Analysis &amp; Design\Design\FC22\DRR Jaime\QUIFA-CAJÚA\Cajua\[CAJUA_CF_SEC_New_27-Feb-2024Rev3.xlsx]D-PRB'!$DC$34</v>
      </c>
      <c r="J2342" s="37" t="s">
        <v>3058</v>
      </c>
    </row>
    <row r="2343" spans="1:10" x14ac:dyDescent="0.25">
      <c r="A2343" s="32" t="s">
        <v>4</v>
      </c>
      <c r="B2343" s="32">
        <f t="shared" si="568"/>
        <v>2046</v>
      </c>
      <c r="C2343" s="33" t="s">
        <v>20</v>
      </c>
      <c r="D2343" s="34" t="s">
        <v>1999</v>
      </c>
      <c r="E2343" s="35" t="str">
        <f t="shared" si="564"/>
        <v>PRB'!</v>
      </c>
      <c r="F2343" s="34" t="str">
        <f t="shared" si="565"/>
        <v>C:\Users\jaime.benazar\Quorum Business Solutions\Ecopetrol Prometeo - Documents\Planning Space Implementation\3. Analysis &amp; Design\Design\FC22\DRR Jaime\QUIFA-CAJÚA\Cajua\[CAJUA_CF_SEC_New_27-Feb-2024Rev3.xlsx]D-PRB'!</v>
      </c>
      <c r="G2343" s="32" t="s">
        <v>115</v>
      </c>
      <c r="H2343" s="33">
        <f t="shared" si="566"/>
        <v>35</v>
      </c>
      <c r="I2343" s="33" t="str">
        <f t="shared" si="567"/>
        <v>='C:\Users\jaime.benazar\Quorum Business Solutions\Ecopetrol Prometeo - Documents\Planning Space Implementation\3. Analysis &amp; Design\Design\FC22\DRR Jaime\QUIFA-CAJÚA\Cajua\[CAJUA_CF_SEC_New_27-Feb-2024Rev3.xlsx]D-PRB'!$DC$35</v>
      </c>
      <c r="J2343" s="37" t="s">
        <v>3059</v>
      </c>
    </row>
    <row r="2344" spans="1:10" x14ac:dyDescent="0.25">
      <c r="A2344" s="32" t="s">
        <v>4</v>
      </c>
      <c r="B2344" s="32">
        <f t="shared" si="568"/>
        <v>2047</v>
      </c>
      <c r="C2344" s="33" t="s">
        <v>20</v>
      </c>
      <c r="D2344" s="34" t="s">
        <v>1999</v>
      </c>
      <c r="E2344" s="35" t="str">
        <f t="shared" si="564"/>
        <v>PRB'!</v>
      </c>
      <c r="F2344" s="34" t="str">
        <f t="shared" si="565"/>
        <v>C:\Users\jaime.benazar\Quorum Business Solutions\Ecopetrol Prometeo - Documents\Planning Space Implementation\3. Analysis &amp; Design\Design\FC22\DRR Jaime\QUIFA-CAJÚA\Cajua\[CAJUA_CF_SEC_New_27-Feb-2024Rev3.xlsx]D-PRB'!</v>
      </c>
      <c r="G2344" s="32" t="s">
        <v>115</v>
      </c>
      <c r="H2344" s="33">
        <f t="shared" si="566"/>
        <v>36</v>
      </c>
      <c r="I2344" s="33" t="str">
        <f t="shared" si="567"/>
        <v>='C:\Users\jaime.benazar\Quorum Business Solutions\Ecopetrol Prometeo - Documents\Planning Space Implementation\3. Analysis &amp; Design\Design\FC22\DRR Jaime\QUIFA-CAJÚA\Cajua\[CAJUA_CF_SEC_New_27-Feb-2024Rev3.xlsx]D-PRB'!$DC$36</v>
      </c>
      <c r="J2344" s="37" t="s">
        <v>3060</v>
      </c>
    </row>
    <row r="2345" spans="1:10" x14ac:dyDescent="0.25">
      <c r="A2345" s="32" t="s">
        <v>4</v>
      </c>
      <c r="B2345" s="32">
        <f t="shared" si="568"/>
        <v>2048</v>
      </c>
      <c r="C2345" s="33" t="s">
        <v>20</v>
      </c>
      <c r="D2345" s="34" t="s">
        <v>1999</v>
      </c>
      <c r="E2345" s="35" t="str">
        <f t="shared" si="564"/>
        <v>PRB'!</v>
      </c>
      <c r="F2345" s="34" t="str">
        <f t="shared" si="565"/>
        <v>C:\Users\jaime.benazar\Quorum Business Solutions\Ecopetrol Prometeo - Documents\Planning Space Implementation\3. Analysis &amp; Design\Design\FC22\DRR Jaime\QUIFA-CAJÚA\Cajua\[CAJUA_CF_SEC_New_27-Feb-2024Rev3.xlsx]D-PRB'!</v>
      </c>
      <c r="G2345" s="32" t="s">
        <v>115</v>
      </c>
      <c r="H2345" s="33">
        <f t="shared" si="566"/>
        <v>37</v>
      </c>
      <c r="I2345" s="33" t="str">
        <f t="shared" si="567"/>
        <v>='C:\Users\jaime.benazar\Quorum Business Solutions\Ecopetrol Prometeo - Documents\Planning Space Implementation\3. Analysis &amp; Design\Design\FC22\DRR Jaime\QUIFA-CAJÚA\Cajua\[CAJUA_CF_SEC_New_27-Feb-2024Rev3.xlsx]D-PRB'!$DC$37</v>
      </c>
      <c r="J2345" s="37" t="s">
        <v>3061</v>
      </c>
    </row>
    <row r="2346" spans="1:10" x14ac:dyDescent="0.25">
      <c r="A2346" s="32" t="s">
        <v>4</v>
      </c>
      <c r="B2346" s="32">
        <f t="shared" si="568"/>
        <v>2049</v>
      </c>
      <c r="C2346" s="33" t="s">
        <v>20</v>
      </c>
      <c r="D2346" s="34" t="s">
        <v>1999</v>
      </c>
      <c r="E2346" s="35" t="str">
        <f t="shared" si="564"/>
        <v>PRB'!</v>
      </c>
      <c r="F2346" s="34" t="str">
        <f t="shared" si="565"/>
        <v>C:\Users\jaime.benazar\Quorum Business Solutions\Ecopetrol Prometeo - Documents\Planning Space Implementation\3. Analysis &amp; Design\Design\FC22\DRR Jaime\QUIFA-CAJÚA\Cajua\[CAJUA_CF_SEC_New_27-Feb-2024Rev3.xlsx]D-PRB'!</v>
      </c>
      <c r="G2346" s="32" t="s">
        <v>115</v>
      </c>
      <c r="H2346" s="33">
        <f t="shared" si="566"/>
        <v>38</v>
      </c>
      <c r="I2346" s="33" t="str">
        <f t="shared" si="567"/>
        <v>='C:\Users\jaime.benazar\Quorum Business Solutions\Ecopetrol Prometeo - Documents\Planning Space Implementation\3. Analysis &amp; Design\Design\FC22\DRR Jaime\QUIFA-CAJÚA\Cajua\[CAJUA_CF_SEC_New_27-Feb-2024Rev3.xlsx]D-PRB'!$DC$38</v>
      </c>
      <c r="J2346" s="37" t="s">
        <v>3062</v>
      </c>
    </row>
    <row r="2347" spans="1:10" x14ac:dyDescent="0.25">
      <c r="A2347" s="32" t="s">
        <v>4</v>
      </c>
      <c r="B2347" s="32">
        <f t="shared" si="568"/>
        <v>2050</v>
      </c>
      <c r="C2347" s="33" t="s">
        <v>20</v>
      </c>
      <c r="D2347" s="34" t="s">
        <v>1999</v>
      </c>
      <c r="E2347" s="35" t="str">
        <f t="shared" si="564"/>
        <v>PRB'!</v>
      </c>
      <c r="F2347" s="34" t="str">
        <f t="shared" si="565"/>
        <v>C:\Users\jaime.benazar\Quorum Business Solutions\Ecopetrol Prometeo - Documents\Planning Space Implementation\3. Analysis &amp; Design\Design\FC22\DRR Jaime\QUIFA-CAJÚA\Cajua\[CAJUA_CF_SEC_New_27-Feb-2024Rev3.xlsx]D-PRB'!</v>
      </c>
      <c r="G2347" s="32" t="s">
        <v>115</v>
      </c>
      <c r="H2347" s="33">
        <f t="shared" si="566"/>
        <v>39</v>
      </c>
      <c r="I2347" s="33" t="str">
        <f t="shared" si="567"/>
        <v>='C:\Users\jaime.benazar\Quorum Business Solutions\Ecopetrol Prometeo - Documents\Planning Space Implementation\3. Analysis &amp; Design\Design\FC22\DRR Jaime\QUIFA-CAJÚA\Cajua\[CAJUA_CF_SEC_New_27-Feb-2024Rev3.xlsx]D-PRB'!$DC$39</v>
      </c>
      <c r="J2347" s="37" t="s">
        <v>3063</v>
      </c>
    </row>
    <row r="2348" spans="1:10" x14ac:dyDescent="0.25">
      <c r="A2348" s="32" t="s">
        <v>4</v>
      </c>
      <c r="B2348" s="32">
        <f t="shared" si="568"/>
        <v>2051</v>
      </c>
      <c r="C2348" s="33" t="s">
        <v>20</v>
      </c>
      <c r="D2348" s="34" t="s">
        <v>1999</v>
      </c>
      <c r="E2348" s="35" t="str">
        <f t="shared" si="564"/>
        <v>PRB'!</v>
      </c>
      <c r="F2348" s="34" t="str">
        <f t="shared" si="565"/>
        <v>C:\Users\jaime.benazar\Quorum Business Solutions\Ecopetrol Prometeo - Documents\Planning Space Implementation\3. Analysis &amp; Design\Design\FC22\DRR Jaime\QUIFA-CAJÚA\Cajua\[CAJUA_CF_SEC_New_27-Feb-2024Rev3.xlsx]D-PRB'!</v>
      </c>
      <c r="G2348" s="32" t="s">
        <v>115</v>
      </c>
      <c r="H2348" s="33">
        <f t="shared" si="566"/>
        <v>40</v>
      </c>
      <c r="I2348" s="33" t="str">
        <f t="shared" si="567"/>
        <v>='C:\Users\jaime.benazar\Quorum Business Solutions\Ecopetrol Prometeo - Documents\Planning Space Implementation\3. Analysis &amp; Design\Design\FC22\DRR Jaime\QUIFA-CAJÚA\Cajua\[CAJUA_CF_SEC_New_27-Feb-2024Rev3.xlsx]D-PRB'!$DC$40</v>
      </c>
      <c r="J2348" s="37" t="s">
        <v>3064</v>
      </c>
    </row>
    <row r="2349" spans="1:10" x14ac:dyDescent="0.25">
      <c r="A2349" s="32" t="s">
        <v>4</v>
      </c>
      <c r="B2349" s="32">
        <f t="shared" si="568"/>
        <v>2052</v>
      </c>
      <c r="C2349" s="33" t="s">
        <v>20</v>
      </c>
      <c r="D2349" s="34" t="s">
        <v>1999</v>
      </c>
      <c r="E2349" s="35" t="str">
        <f t="shared" si="564"/>
        <v>PRB'!</v>
      </c>
      <c r="F2349" s="34" t="str">
        <f t="shared" si="565"/>
        <v>C:\Users\jaime.benazar\Quorum Business Solutions\Ecopetrol Prometeo - Documents\Planning Space Implementation\3. Analysis &amp; Design\Design\FC22\DRR Jaime\QUIFA-CAJÚA\Cajua\[CAJUA_CF_SEC_New_27-Feb-2024Rev3.xlsx]D-PRB'!</v>
      </c>
      <c r="G2349" s="32" t="s">
        <v>115</v>
      </c>
      <c r="H2349" s="33">
        <f t="shared" si="566"/>
        <v>41</v>
      </c>
      <c r="I2349" s="33" t="str">
        <f t="shared" si="567"/>
        <v>='C:\Users\jaime.benazar\Quorum Business Solutions\Ecopetrol Prometeo - Documents\Planning Space Implementation\3. Analysis &amp; Design\Design\FC22\DRR Jaime\QUIFA-CAJÚA\Cajua\[CAJUA_CF_SEC_New_27-Feb-2024Rev3.xlsx]D-PRB'!$DC$41</v>
      </c>
      <c r="J2349" s="37" t="s">
        <v>3065</v>
      </c>
    </row>
    <row r="2350" spans="1:10" x14ac:dyDescent="0.25">
      <c r="A2350" s="32" t="s">
        <v>4</v>
      </c>
      <c r="B2350" s="32">
        <f t="shared" si="568"/>
        <v>2053</v>
      </c>
      <c r="C2350" s="33" t="s">
        <v>20</v>
      </c>
      <c r="D2350" s="34" t="s">
        <v>1999</v>
      </c>
      <c r="E2350" s="35" t="str">
        <f t="shared" si="564"/>
        <v>PRB'!</v>
      </c>
      <c r="F2350" s="34" t="str">
        <f t="shared" si="565"/>
        <v>C:\Users\jaime.benazar\Quorum Business Solutions\Ecopetrol Prometeo - Documents\Planning Space Implementation\3. Analysis &amp; Design\Design\FC22\DRR Jaime\QUIFA-CAJÚA\Cajua\[CAJUA_CF_SEC_New_27-Feb-2024Rev3.xlsx]D-PRB'!</v>
      </c>
      <c r="G2350" s="32" t="s">
        <v>115</v>
      </c>
      <c r="H2350" s="33">
        <f t="shared" si="566"/>
        <v>42</v>
      </c>
      <c r="I2350" s="33" t="str">
        <f t="shared" si="567"/>
        <v>='C:\Users\jaime.benazar\Quorum Business Solutions\Ecopetrol Prometeo - Documents\Planning Space Implementation\3. Analysis &amp; Design\Design\FC22\DRR Jaime\QUIFA-CAJÚA\Cajua\[CAJUA_CF_SEC_New_27-Feb-2024Rev3.xlsx]D-PRB'!$DC$42</v>
      </c>
      <c r="J2350" s="37" t="s">
        <v>3066</v>
      </c>
    </row>
    <row r="2351" spans="1:10" x14ac:dyDescent="0.25">
      <c r="A2351" s="32" t="s">
        <v>4</v>
      </c>
      <c r="B2351" s="32">
        <f t="shared" si="568"/>
        <v>2054</v>
      </c>
      <c r="C2351" s="33" t="s">
        <v>20</v>
      </c>
      <c r="D2351" s="34" t="s">
        <v>1999</v>
      </c>
      <c r="E2351" s="35" t="str">
        <f t="shared" si="564"/>
        <v>PRB'!</v>
      </c>
      <c r="F2351" s="34" t="str">
        <f t="shared" si="565"/>
        <v>C:\Users\jaime.benazar\Quorum Business Solutions\Ecopetrol Prometeo - Documents\Planning Space Implementation\3. Analysis &amp; Design\Design\FC22\DRR Jaime\QUIFA-CAJÚA\Cajua\[CAJUA_CF_SEC_New_27-Feb-2024Rev3.xlsx]D-PRB'!</v>
      </c>
      <c r="G2351" s="32" t="s">
        <v>115</v>
      </c>
      <c r="H2351" s="33">
        <f t="shared" si="566"/>
        <v>43</v>
      </c>
      <c r="I2351" s="33" t="str">
        <f t="shared" si="567"/>
        <v>='C:\Users\jaime.benazar\Quorum Business Solutions\Ecopetrol Prometeo - Documents\Planning Space Implementation\3. Analysis &amp; Design\Design\FC22\DRR Jaime\QUIFA-CAJÚA\Cajua\[CAJUA_CF_SEC_New_27-Feb-2024Rev3.xlsx]D-PRB'!$DC$43</v>
      </c>
      <c r="J2351" s="37" t="s">
        <v>3067</v>
      </c>
    </row>
    <row r="2352" spans="1:10" x14ac:dyDescent="0.25">
      <c r="A2352" s="32" t="s">
        <v>4</v>
      </c>
      <c r="B2352" s="32">
        <f t="shared" si="568"/>
        <v>2055</v>
      </c>
      <c r="C2352" s="33" t="s">
        <v>20</v>
      </c>
      <c r="D2352" s="34" t="s">
        <v>1999</v>
      </c>
      <c r="E2352" s="35" t="str">
        <f t="shared" si="564"/>
        <v>PRB'!</v>
      </c>
      <c r="F2352" s="34" t="str">
        <f t="shared" si="565"/>
        <v>C:\Users\jaime.benazar\Quorum Business Solutions\Ecopetrol Prometeo - Documents\Planning Space Implementation\3. Analysis &amp; Design\Design\FC22\DRR Jaime\QUIFA-CAJÚA\Cajua\[CAJUA_CF_SEC_New_27-Feb-2024Rev3.xlsx]D-PRB'!</v>
      </c>
      <c r="G2352" s="32" t="s">
        <v>115</v>
      </c>
      <c r="H2352" s="33">
        <f t="shared" si="566"/>
        <v>44</v>
      </c>
      <c r="I2352" s="33" t="str">
        <f t="shared" si="567"/>
        <v>='C:\Users\jaime.benazar\Quorum Business Solutions\Ecopetrol Prometeo - Documents\Planning Space Implementation\3. Analysis &amp; Design\Design\FC22\DRR Jaime\QUIFA-CAJÚA\Cajua\[CAJUA_CF_SEC_New_27-Feb-2024Rev3.xlsx]D-PRB'!$DC$44</v>
      </c>
      <c r="J2352" s="37" t="s">
        <v>3068</v>
      </c>
    </row>
    <row r="2353" spans="1:10" x14ac:dyDescent="0.25">
      <c r="A2353" s="32" t="s">
        <v>4</v>
      </c>
      <c r="B2353" s="32">
        <f t="shared" si="568"/>
        <v>2056</v>
      </c>
      <c r="C2353" s="33" t="s">
        <v>20</v>
      </c>
      <c r="D2353" s="34" t="s">
        <v>1999</v>
      </c>
      <c r="E2353" s="35" t="str">
        <f t="shared" si="564"/>
        <v>PRB'!</v>
      </c>
      <c r="F2353" s="34" t="str">
        <f t="shared" si="565"/>
        <v>C:\Users\jaime.benazar\Quorum Business Solutions\Ecopetrol Prometeo - Documents\Planning Space Implementation\3. Analysis &amp; Design\Design\FC22\DRR Jaime\QUIFA-CAJÚA\Cajua\[CAJUA_CF_SEC_New_27-Feb-2024Rev3.xlsx]D-PRB'!</v>
      </c>
      <c r="G2353" s="32" t="s">
        <v>115</v>
      </c>
      <c r="H2353" s="33">
        <f t="shared" si="566"/>
        <v>45</v>
      </c>
      <c r="I2353" s="33" t="str">
        <f t="shared" si="567"/>
        <v>='C:\Users\jaime.benazar\Quorum Business Solutions\Ecopetrol Prometeo - Documents\Planning Space Implementation\3. Analysis &amp; Design\Design\FC22\DRR Jaime\QUIFA-CAJÚA\Cajua\[CAJUA_CF_SEC_New_27-Feb-2024Rev3.xlsx]D-PRB'!$DC$45</v>
      </c>
      <c r="J2353" s="37" t="s">
        <v>3069</v>
      </c>
    </row>
    <row r="2354" spans="1:10" x14ac:dyDescent="0.25">
      <c r="A2354" s="32" t="s">
        <v>4</v>
      </c>
      <c r="B2354" s="32">
        <f t="shared" si="568"/>
        <v>2057</v>
      </c>
      <c r="C2354" s="33" t="s">
        <v>20</v>
      </c>
      <c r="D2354" s="34" t="s">
        <v>1999</v>
      </c>
      <c r="E2354" s="35" t="str">
        <f t="shared" si="564"/>
        <v>PRB'!</v>
      </c>
      <c r="F2354" s="34" t="str">
        <f t="shared" si="565"/>
        <v>C:\Users\jaime.benazar\Quorum Business Solutions\Ecopetrol Prometeo - Documents\Planning Space Implementation\3. Analysis &amp; Design\Design\FC22\DRR Jaime\QUIFA-CAJÚA\Cajua\[CAJUA_CF_SEC_New_27-Feb-2024Rev3.xlsx]D-PRB'!</v>
      </c>
      <c r="G2354" s="32" t="s">
        <v>115</v>
      </c>
      <c r="H2354" s="33">
        <f t="shared" si="566"/>
        <v>46</v>
      </c>
      <c r="I2354" s="33" t="str">
        <f t="shared" si="567"/>
        <v>='C:\Users\jaime.benazar\Quorum Business Solutions\Ecopetrol Prometeo - Documents\Planning Space Implementation\3. Analysis &amp; Design\Design\FC22\DRR Jaime\QUIFA-CAJÚA\Cajua\[CAJUA_CF_SEC_New_27-Feb-2024Rev3.xlsx]D-PRB'!$DC$46</v>
      </c>
      <c r="J2354" s="37" t="s">
        <v>3070</v>
      </c>
    </row>
    <row r="2355" spans="1:10" x14ac:dyDescent="0.25">
      <c r="A2355" s="32" t="s">
        <v>4</v>
      </c>
      <c r="B2355" s="32">
        <f t="shared" si="568"/>
        <v>2058</v>
      </c>
      <c r="C2355" s="33" t="s">
        <v>20</v>
      </c>
      <c r="D2355" s="34" t="s">
        <v>1999</v>
      </c>
      <c r="E2355" s="35" t="str">
        <f t="shared" si="564"/>
        <v>PRB'!</v>
      </c>
      <c r="F2355" s="34" t="str">
        <f t="shared" si="565"/>
        <v>C:\Users\jaime.benazar\Quorum Business Solutions\Ecopetrol Prometeo - Documents\Planning Space Implementation\3. Analysis &amp; Design\Design\FC22\DRR Jaime\QUIFA-CAJÚA\Cajua\[CAJUA_CF_SEC_New_27-Feb-2024Rev3.xlsx]D-PRB'!</v>
      </c>
      <c r="G2355" s="32" t="s">
        <v>115</v>
      </c>
      <c r="H2355" s="33">
        <f t="shared" si="566"/>
        <v>47</v>
      </c>
      <c r="I2355" s="33" t="str">
        <f t="shared" si="567"/>
        <v>='C:\Users\jaime.benazar\Quorum Business Solutions\Ecopetrol Prometeo - Documents\Planning Space Implementation\3. Analysis &amp; Design\Design\FC22\DRR Jaime\QUIFA-CAJÚA\Cajua\[CAJUA_CF_SEC_New_27-Feb-2024Rev3.xlsx]D-PRB'!$DC$47</v>
      </c>
      <c r="J2355" s="37" t="s">
        <v>3071</v>
      </c>
    </row>
    <row r="2356" spans="1:10" x14ac:dyDescent="0.25">
      <c r="A2356" s="32" t="s">
        <v>4</v>
      </c>
      <c r="B2356" s="32">
        <f t="shared" si="568"/>
        <v>2059</v>
      </c>
      <c r="C2356" s="33" t="s">
        <v>20</v>
      </c>
      <c r="D2356" s="34" t="s">
        <v>1999</v>
      </c>
      <c r="E2356" s="35" t="str">
        <f t="shared" si="564"/>
        <v>PRB'!</v>
      </c>
      <c r="F2356" s="34" t="str">
        <f t="shared" si="565"/>
        <v>C:\Users\jaime.benazar\Quorum Business Solutions\Ecopetrol Prometeo - Documents\Planning Space Implementation\3. Analysis &amp; Design\Design\FC22\DRR Jaime\QUIFA-CAJÚA\Cajua\[CAJUA_CF_SEC_New_27-Feb-2024Rev3.xlsx]D-PRB'!</v>
      </c>
      <c r="G2356" s="32" t="s">
        <v>115</v>
      </c>
      <c r="H2356" s="33">
        <f t="shared" si="566"/>
        <v>48</v>
      </c>
      <c r="I2356" s="33" t="str">
        <f t="shared" si="567"/>
        <v>='C:\Users\jaime.benazar\Quorum Business Solutions\Ecopetrol Prometeo - Documents\Planning Space Implementation\3. Analysis &amp; Design\Design\FC22\DRR Jaime\QUIFA-CAJÚA\Cajua\[CAJUA_CF_SEC_New_27-Feb-2024Rev3.xlsx]D-PRB'!$DC$48</v>
      </c>
      <c r="J2356" s="37" t="s">
        <v>3072</v>
      </c>
    </row>
    <row r="2357" spans="1:10" x14ac:dyDescent="0.25">
      <c r="A2357" s="32" t="s">
        <v>28</v>
      </c>
      <c r="B2357" s="32"/>
      <c r="C2357" s="33" t="s">
        <v>20</v>
      </c>
      <c r="D2357" s="34"/>
      <c r="E2357" s="35"/>
      <c r="F2357" s="34"/>
      <c r="G2357" s="32"/>
      <c r="H2357" s="33"/>
      <c r="I2357" s="33"/>
      <c r="J2357" s="33"/>
    </row>
    <row r="2358" spans="1:10" x14ac:dyDescent="0.25">
      <c r="A2358" s="32" t="s">
        <v>102</v>
      </c>
      <c r="B2358" s="32">
        <v>2023</v>
      </c>
      <c r="C2358" s="33" t="s">
        <v>20</v>
      </c>
      <c r="D2358" s="34" t="s">
        <v>1999</v>
      </c>
      <c r="E2358" s="35" t="s">
        <v>105</v>
      </c>
      <c r="F2358" s="34" t="str">
        <f t="shared" si="529"/>
        <v>C:\Users\jaime.benazar\Quorum Business Solutions\Ecopetrol Prometeo - Documents\Planning Space Implementation\3. Analysis &amp; Design\Design\FC22\DRR Jaime\QUIFA-CAJÚA\Cajua\[CAJUA_CF_SEC_New_27-Feb-2024Rev3.xlsx]D-PSDP'!</v>
      </c>
      <c r="G2358" s="32" t="s">
        <v>115</v>
      </c>
      <c r="H2358" s="33"/>
      <c r="I2358" s="33"/>
      <c r="J2358" s="37"/>
    </row>
    <row r="2359" spans="1:10" x14ac:dyDescent="0.25">
      <c r="A2359" s="32" t="s">
        <v>102</v>
      </c>
      <c r="B2359" s="32">
        <v>2024</v>
      </c>
      <c r="C2359" s="33" t="s">
        <v>20</v>
      </c>
      <c r="D2359" s="34" t="s">
        <v>1999</v>
      </c>
      <c r="E2359" s="35" t="s">
        <v>105</v>
      </c>
      <c r="F2359" s="34" t="str">
        <f t="shared" ref="F2359:F2378" si="569">_xlfn.CONCAT(D2359:E2359)</f>
        <v>C:\Users\jaime.benazar\Quorum Business Solutions\Ecopetrol Prometeo - Documents\Planning Space Implementation\3. Analysis &amp; Design\Design\FC22\DRR Jaime\QUIFA-CAJÚA\Cajua\[CAJUA_CF_SEC_New_27-Feb-2024Rev3.xlsx]D-PSDP'!</v>
      </c>
      <c r="G2359" s="32" t="s">
        <v>115</v>
      </c>
      <c r="H2359" s="33"/>
      <c r="I2359" s="33"/>
      <c r="J2359" s="37"/>
    </row>
    <row r="2360" spans="1:10" x14ac:dyDescent="0.25">
      <c r="A2360" s="32" t="s">
        <v>102</v>
      </c>
      <c r="B2360" s="32">
        <v>2025</v>
      </c>
      <c r="C2360" s="33" t="s">
        <v>20</v>
      </c>
      <c r="D2360" s="34" t="s">
        <v>1999</v>
      </c>
      <c r="E2360" s="35" t="s">
        <v>105</v>
      </c>
      <c r="F2360" s="34" t="str">
        <f t="shared" si="569"/>
        <v>C:\Users\jaime.benazar\Quorum Business Solutions\Ecopetrol Prometeo - Documents\Planning Space Implementation\3. Analysis &amp; Design\Design\FC22\DRR Jaime\QUIFA-CAJÚA\Cajua\[CAJUA_CF_SEC_New_27-Feb-2024Rev3.xlsx]D-PSDP'!</v>
      </c>
      <c r="G2360" s="32" t="s">
        <v>115</v>
      </c>
      <c r="H2360" s="33"/>
      <c r="I2360" s="33"/>
      <c r="J2360" s="37"/>
    </row>
    <row r="2361" spans="1:10" x14ac:dyDescent="0.25">
      <c r="A2361" s="32" t="s">
        <v>102</v>
      </c>
      <c r="B2361" s="32">
        <v>2026</v>
      </c>
      <c r="C2361" s="33" t="s">
        <v>20</v>
      </c>
      <c r="D2361" s="34" t="s">
        <v>1999</v>
      </c>
      <c r="E2361" s="35" t="s">
        <v>105</v>
      </c>
      <c r="F2361" s="34" t="str">
        <f t="shared" si="569"/>
        <v>C:\Users\jaime.benazar\Quorum Business Solutions\Ecopetrol Prometeo - Documents\Planning Space Implementation\3. Analysis &amp; Design\Design\FC22\DRR Jaime\QUIFA-CAJÚA\Cajua\[CAJUA_CF_SEC_New_27-Feb-2024Rev3.xlsx]D-PSDP'!</v>
      </c>
      <c r="G2361" s="32" t="s">
        <v>115</v>
      </c>
      <c r="H2361" s="33"/>
      <c r="I2361" s="33"/>
      <c r="J2361" s="37"/>
    </row>
    <row r="2362" spans="1:10" x14ac:dyDescent="0.25">
      <c r="A2362" s="32" t="s">
        <v>102</v>
      </c>
      <c r="B2362" s="32">
        <v>2027</v>
      </c>
      <c r="C2362" s="33" t="s">
        <v>20</v>
      </c>
      <c r="D2362" s="34" t="s">
        <v>1999</v>
      </c>
      <c r="E2362" s="35" t="s">
        <v>105</v>
      </c>
      <c r="F2362" s="34" t="str">
        <f t="shared" si="569"/>
        <v>C:\Users\jaime.benazar\Quorum Business Solutions\Ecopetrol Prometeo - Documents\Planning Space Implementation\3. Analysis &amp; Design\Design\FC22\DRR Jaime\QUIFA-CAJÚA\Cajua\[CAJUA_CF_SEC_New_27-Feb-2024Rev3.xlsx]D-PSDP'!</v>
      </c>
      <c r="G2362" s="32" t="s">
        <v>115</v>
      </c>
      <c r="H2362" s="33"/>
      <c r="I2362" s="33"/>
      <c r="J2362" s="37"/>
    </row>
    <row r="2363" spans="1:10" x14ac:dyDescent="0.25">
      <c r="A2363" s="32" t="s">
        <v>102</v>
      </c>
      <c r="B2363" s="32">
        <v>2028</v>
      </c>
      <c r="C2363" s="33" t="s">
        <v>20</v>
      </c>
      <c r="D2363" s="34" t="s">
        <v>1999</v>
      </c>
      <c r="E2363" s="35" t="s">
        <v>105</v>
      </c>
      <c r="F2363" s="34" t="str">
        <f t="shared" si="569"/>
        <v>C:\Users\jaime.benazar\Quorum Business Solutions\Ecopetrol Prometeo - Documents\Planning Space Implementation\3. Analysis &amp; Design\Design\FC22\DRR Jaime\QUIFA-CAJÚA\Cajua\[CAJUA_CF_SEC_New_27-Feb-2024Rev3.xlsx]D-PSDP'!</v>
      </c>
      <c r="G2363" s="32" t="s">
        <v>115</v>
      </c>
      <c r="H2363" s="33"/>
      <c r="I2363" s="33"/>
      <c r="J2363" s="37"/>
    </row>
    <row r="2364" spans="1:10" x14ac:dyDescent="0.25">
      <c r="A2364" s="32" t="s">
        <v>102</v>
      </c>
      <c r="B2364" s="32">
        <v>2029</v>
      </c>
      <c r="C2364" s="33" t="s">
        <v>20</v>
      </c>
      <c r="D2364" s="34" t="s">
        <v>1999</v>
      </c>
      <c r="E2364" s="35" t="s">
        <v>105</v>
      </c>
      <c r="F2364" s="34" t="str">
        <f t="shared" si="569"/>
        <v>C:\Users\jaime.benazar\Quorum Business Solutions\Ecopetrol Prometeo - Documents\Planning Space Implementation\3. Analysis &amp; Design\Design\FC22\DRR Jaime\QUIFA-CAJÚA\Cajua\[CAJUA_CF_SEC_New_27-Feb-2024Rev3.xlsx]D-PSDP'!</v>
      </c>
      <c r="G2364" s="32" t="s">
        <v>115</v>
      </c>
      <c r="H2364" s="33"/>
      <c r="I2364" s="33"/>
      <c r="J2364" s="37"/>
    </row>
    <row r="2365" spans="1:10" x14ac:dyDescent="0.25">
      <c r="A2365" s="32" t="s">
        <v>102</v>
      </c>
      <c r="B2365" s="32">
        <v>2030</v>
      </c>
      <c r="C2365" s="33" t="s">
        <v>20</v>
      </c>
      <c r="D2365" s="34" t="s">
        <v>1999</v>
      </c>
      <c r="E2365" s="35" t="s">
        <v>105</v>
      </c>
      <c r="F2365" s="34" t="str">
        <f t="shared" si="569"/>
        <v>C:\Users\jaime.benazar\Quorum Business Solutions\Ecopetrol Prometeo - Documents\Planning Space Implementation\3. Analysis &amp; Design\Design\FC22\DRR Jaime\QUIFA-CAJÚA\Cajua\[CAJUA_CF_SEC_New_27-Feb-2024Rev3.xlsx]D-PSDP'!</v>
      </c>
      <c r="G2365" s="32" t="s">
        <v>115</v>
      </c>
      <c r="H2365" s="33"/>
      <c r="I2365" s="33"/>
      <c r="J2365" s="37"/>
    </row>
    <row r="2366" spans="1:10" x14ac:dyDescent="0.25">
      <c r="A2366" s="32" t="s">
        <v>102</v>
      </c>
      <c r="B2366" s="32">
        <v>2031</v>
      </c>
      <c r="C2366" s="33" t="s">
        <v>20</v>
      </c>
      <c r="D2366" s="34" t="s">
        <v>1999</v>
      </c>
      <c r="E2366" s="35" t="s">
        <v>105</v>
      </c>
      <c r="F2366" s="34" t="str">
        <f t="shared" si="569"/>
        <v>C:\Users\jaime.benazar\Quorum Business Solutions\Ecopetrol Prometeo - Documents\Planning Space Implementation\3. Analysis &amp; Design\Design\FC22\DRR Jaime\QUIFA-CAJÚA\Cajua\[CAJUA_CF_SEC_New_27-Feb-2024Rev3.xlsx]D-PSDP'!</v>
      </c>
      <c r="G2366" s="32" t="s">
        <v>115</v>
      </c>
      <c r="H2366" s="33"/>
      <c r="I2366" s="33"/>
      <c r="J2366" s="37"/>
    </row>
    <row r="2367" spans="1:10" x14ac:dyDescent="0.25">
      <c r="A2367" s="32" t="s">
        <v>102</v>
      </c>
      <c r="B2367" s="32">
        <v>2032</v>
      </c>
      <c r="C2367" s="33" t="s">
        <v>20</v>
      </c>
      <c r="D2367" s="34" t="s">
        <v>1999</v>
      </c>
      <c r="E2367" s="35" t="s">
        <v>105</v>
      </c>
      <c r="F2367" s="34" t="str">
        <f t="shared" si="569"/>
        <v>C:\Users\jaime.benazar\Quorum Business Solutions\Ecopetrol Prometeo - Documents\Planning Space Implementation\3. Analysis &amp; Design\Design\FC22\DRR Jaime\QUIFA-CAJÚA\Cajua\[CAJUA_CF_SEC_New_27-Feb-2024Rev3.xlsx]D-PSDP'!</v>
      </c>
      <c r="G2367" s="32" t="s">
        <v>115</v>
      </c>
      <c r="H2367" s="33"/>
      <c r="I2367" s="33"/>
      <c r="J2367" s="37"/>
    </row>
    <row r="2368" spans="1:10" x14ac:dyDescent="0.25">
      <c r="A2368" s="32" t="s">
        <v>102</v>
      </c>
      <c r="B2368" s="32">
        <v>2033</v>
      </c>
      <c r="C2368" s="33" t="s">
        <v>20</v>
      </c>
      <c r="D2368" s="34" t="s">
        <v>1999</v>
      </c>
      <c r="E2368" s="35" t="s">
        <v>105</v>
      </c>
      <c r="F2368" s="34" t="str">
        <f t="shared" si="569"/>
        <v>C:\Users\jaime.benazar\Quorum Business Solutions\Ecopetrol Prometeo - Documents\Planning Space Implementation\3. Analysis &amp; Design\Design\FC22\DRR Jaime\QUIFA-CAJÚA\Cajua\[CAJUA_CF_SEC_New_27-Feb-2024Rev3.xlsx]D-PSDP'!</v>
      </c>
      <c r="G2368" s="32" t="s">
        <v>115</v>
      </c>
      <c r="H2368" s="33"/>
      <c r="I2368" s="33"/>
      <c r="J2368" s="37"/>
    </row>
    <row r="2369" spans="1:10" x14ac:dyDescent="0.25">
      <c r="A2369" s="32" t="s">
        <v>102</v>
      </c>
      <c r="B2369" s="32">
        <v>2034</v>
      </c>
      <c r="C2369" s="33" t="s">
        <v>20</v>
      </c>
      <c r="D2369" s="34" t="s">
        <v>1999</v>
      </c>
      <c r="E2369" s="35" t="s">
        <v>105</v>
      </c>
      <c r="F2369" s="34" t="str">
        <f t="shared" si="569"/>
        <v>C:\Users\jaime.benazar\Quorum Business Solutions\Ecopetrol Prometeo - Documents\Planning Space Implementation\3. Analysis &amp; Design\Design\FC22\DRR Jaime\QUIFA-CAJÚA\Cajua\[CAJUA_CF_SEC_New_27-Feb-2024Rev3.xlsx]D-PSDP'!</v>
      </c>
      <c r="G2369" s="32" t="s">
        <v>115</v>
      </c>
      <c r="H2369" s="33"/>
      <c r="I2369" s="33"/>
      <c r="J2369" s="37"/>
    </row>
    <row r="2370" spans="1:10" x14ac:dyDescent="0.25">
      <c r="A2370" s="32" t="s">
        <v>102</v>
      </c>
      <c r="B2370" s="32">
        <v>2035</v>
      </c>
      <c r="C2370" s="33" t="s">
        <v>20</v>
      </c>
      <c r="D2370" s="34" t="s">
        <v>1999</v>
      </c>
      <c r="E2370" s="35" t="s">
        <v>105</v>
      </c>
      <c r="F2370" s="34" t="str">
        <f t="shared" si="569"/>
        <v>C:\Users\jaime.benazar\Quorum Business Solutions\Ecopetrol Prometeo - Documents\Planning Space Implementation\3. Analysis &amp; Design\Design\FC22\DRR Jaime\QUIFA-CAJÚA\Cajua\[CAJUA_CF_SEC_New_27-Feb-2024Rev3.xlsx]D-PSDP'!</v>
      </c>
      <c r="G2370" s="32" t="s">
        <v>115</v>
      </c>
      <c r="H2370" s="33"/>
      <c r="I2370" s="33"/>
      <c r="J2370" s="37"/>
    </row>
    <row r="2371" spans="1:10" x14ac:dyDescent="0.25">
      <c r="A2371" s="32" t="s">
        <v>102</v>
      </c>
      <c r="B2371" s="32">
        <v>2036</v>
      </c>
      <c r="C2371" s="33" t="s">
        <v>20</v>
      </c>
      <c r="D2371" s="34" t="s">
        <v>1999</v>
      </c>
      <c r="E2371" s="35" t="s">
        <v>105</v>
      </c>
      <c r="F2371" s="34" t="str">
        <f t="shared" si="569"/>
        <v>C:\Users\jaime.benazar\Quorum Business Solutions\Ecopetrol Prometeo - Documents\Planning Space Implementation\3. Analysis &amp; Design\Design\FC22\DRR Jaime\QUIFA-CAJÚA\Cajua\[CAJUA_CF_SEC_New_27-Feb-2024Rev3.xlsx]D-PSDP'!</v>
      </c>
      <c r="G2371" s="32" t="s">
        <v>115</v>
      </c>
      <c r="H2371" s="33"/>
      <c r="I2371" s="33"/>
      <c r="J2371" s="37"/>
    </row>
    <row r="2372" spans="1:10" x14ac:dyDescent="0.25">
      <c r="A2372" s="32" t="s">
        <v>102</v>
      </c>
      <c r="B2372" s="32">
        <v>2037</v>
      </c>
      <c r="C2372" s="33" t="s">
        <v>20</v>
      </c>
      <c r="D2372" s="34" t="s">
        <v>1999</v>
      </c>
      <c r="E2372" s="35" t="s">
        <v>105</v>
      </c>
      <c r="F2372" s="34" t="str">
        <f t="shared" si="569"/>
        <v>C:\Users\jaime.benazar\Quorum Business Solutions\Ecopetrol Prometeo - Documents\Planning Space Implementation\3. Analysis &amp; Design\Design\FC22\DRR Jaime\QUIFA-CAJÚA\Cajua\[CAJUA_CF_SEC_New_27-Feb-2024Rev3.xlsx]D-PSDP'!</v>
      </c>
      <c r="G2372" s="32" t="s">
        <v>115</v>
      </c>
      <c r="H2372" s="33"/>
      <c r="I2372" s="33"/>
      <c r="J2372" s="37"/>
    </row>
    <row r="2373" spans="1:10" x14ac:dyDescent="0.25">
      <c r="A2373" s="32" t="s">
        <v>102</v>
      </c>
      <c r="B2373" s="32">
        <v>2038</v>
      </c>
      <c r="C2373" s="33" t="s">
        <v>20</v>
      </c>
      <c r="D2373" s="34" t="s">
        <v>1999</v>
      </c>
      <c r="E2373" s="35" t="s">
        <v>105</v>
      </c>
      <c r="F2373" s="34" t="str">
        <f t="shared" si="569"/>
        <v>C:\Users\jaime.benazar\Quorum Business Solutions\Ecopetrol Prometeo - Documents\Planning Space Implementation\3. Analysis &amp; Design\Design\FC22\DRR Jaime\QUIFA-CAJÚA\Cajua\[CAJUA_CF_SEC_New_27-Feb-2024Rev3.xlsx]D-PSDP'!</v>
      </c>
      <c r="G2373" s="32" t="s">
        <v>115</v>
      </c>
      <c r="H2373" s="33"/>
      <c r="I2373" s="33"/>
      <c r="J2373" s="37"/>
    </row>
    <row r="2374" spans="1:10" x14ac:dyDescent="0.25">
      <c r="A2374" s="32" t="s">
        <v>102</v>
      </c>
      <c r="B2374" s="32">
        <v>2039</v>
      </c>
      <c r="C2374" s="33" t="s">
        <v>20</v>
      </c>
      <c r="D2374" s="34" t="s">
        <v>1999</v>
      </c>
      <c r="E2374" s="35" t="s">
        <v>105</v>
      </c>
      <c r="F2374" s="34" t="str">
        <f t="shared" si="569"/>
        <v>C:\Users\jaime.benazar\Quorum Business Solutions\Ecopetrol Prometeo - Documents\Planning Space Implementation\3. Analysis &amp; Design\Design\FC22\DRR Jaime\QUIFA-CAJÚA\Cajua\[CAJUA_CF_SEC_New_27-Feb-2024Rev3.xlsx]D-PSDP'!</v>
      </c>
      <c r="G2374" s="32" t="s">
        <v>115</v>
      </c>
      <c r="H2374" s="33"/>
      <c r="I2374" s="33"/>
      <c r="J2374" s="37"/>
    </row>
    <row r="2375" spans="1:10" x14ac:dyDescent="0.25">
      <c r="A2375" s="32" t="s">
        <v>102</v>
      </c>
      <c r="B2375" s="32">
        <v>2040</v>
      </c>
      <c r="C2375" s="33" t="s">
        <v>20</v>
      </c>
      <c r="D2375" s="34" t="s">
        <v>1999</v>
      </c>
      <c r="E2375" s="35" t="s">
        <v>105</v>
      </c>
      <c r="F2375" s="34" t="str">
        <f t="shared" si="569"/>
        <v>C:\Users\jaime.benazar\Quorum Business Solutions\Ecopetrol Prometeo - Documents\Planning Space Implementation\3. Analysis &amp; Design\Design\FC22\DRR Jaime\QUIFA-CAJÚA\Cajua\[CAJUA_CF_SEC_New_27-Feb-2024Rev3.xlsx]D-PSDP'!</v>
      </c>
      <c r="G2375" s="32" t="s">
        <v>115</v>
      </c>
      <c r="H2375" s="33"/>
      <c r="I2375" s="33"/>
      <c r="J2375" s="37"/>
    </row>
    <row r="2376" spans="1:10" x14ac:dyDescent="0.25">
      <c r="A2376" s="32" t="s">
        <v>102</v>
      </c>
      <c r="B2376" s="32">
        <v>2041</v>
      </c>
      <c r="C2376" s="33" t="s">
        <v>20</v>
      </c>
      <c r="D2376" s="34" t="s">
        <v>1999</v>
      </c>
      <c r="E2376" s="35" t="s">
        <v>105</v>
      </c>
      <c r="F2376" s="34" t="str">
        <f t="shared" si="569"/>
        <v>C:\Users\jaime.benazar\Quorum Business Solutions\Ecopetrol Prometeo - Documents\Planning Space Implementation\3. Analysis &amp; Design\Design\FC22\DRR Jaime\QUIFA-CAJÚA\Cajua\[CAJUA_CF_SEC_New_27-Feb-2024Rev3.xlsx]D-PSDP'!</v>
      </c>
      <c r="G2376" s="32" t="s">
        <v>115</v>
      </c>
      <c r="H2376" s="33"/>
      <c r="I2376" s="33"/>
      <c r="J2376" s="37"/>
    </row>
    <row r="2377" spans="1:10" x14ac:dyDescent="0.25">
      <c r="A2377" s="32" t="s">
        <v>102</v>
      </c>
      <c r="B2377" s="32">
        <v>2042</v>
      </c>
      <c r="C2377" s="33" t="s">
        <v>20</v>
      </c>
      <c r="D2377" s="34" t="s">
        <v>1999</v>
      </c>
      <c r="E2377" s="35" t="s">
        <v>105</v>
      </c>
      <c r="F2377" s="34" t="str">
        <f t="shared" si="569"/>
        <v>C:\Users\jaime.benazar\Quorum Business Solutions\Ecopetrol Prometeo - Documents\Planning Space Implementation\3. Analysis &amp; Design\Design\FC22\DRR Jaime\QUIFA-CAJÚA\Cajua\[CAJUA_CF_SEC_New_27-Feb-2024Rev3.xlsx]D-PSDP'!</v>
      </c>
      <c r="G2377" s="32" t="s">
        <v>115</v>
      </c>
      <c r="H2377" s="33"/>
      <c r="I2377" s="33"/>
      <c r="J2377" s="37"/>
    </row>
    <row r="2378" spans="1:10" x14ac:dyDescent="0.25">
      <c r="A2378" s="32" t="s">
        <v>102</v>
      </c>
      <c r="B2378" s="32">
        <v>2043</v>
      </c>
      <c r="C2378" s="33" t="s">
        <v>20</v>
      </c>
      <c r="D2378" s="34" t="s">
        <v>1999</v>
      </c>
      <c r="E2378" s="35" t="s">
        <v>105</v>
      </c>
      <c r="F2378" s="34" t="str">
        <f t="shared" si="569"/>
        <v>C:\Users\jaime.benazar\Quorum Business Solutions\Ecopetrol Prometeo - Documents\Planning Space Implementation\3. Analysis &amp; Design\Design\FC22\DRR Jaime\QUIFA-CAJÚA\Cajua\[CAJUA_CF_SEC_New_27-Feb-2024Rev3.xlsx]D-PSDP'!</v>
      </c>
      <c r="G2378" s="32" t="s">
        <v>115</v>
      </c>
      <c r="H2378" s="33"/>
      <c r="I2378" s="33"/>
      <c r="J2378" s="37"/>
    </row>
    <row r="2379" spans="1:10" x14ac:dyDescent="0.25">
      <c r="A2379" s="32" t="s">
        <v>102</v>
      </c>
      <c r="B2379" s="32">
        <v>2044</v>
      </c>
      <c r="C2379" s="33" t="s">
        <v>20</v>
      </c>
      <c r="D2379" s="34" t="s">
        <v>1999</v>
      </c>
      <c r="E2379" s="35" t="s">
        <v>105</v>
      </c>
      <c r="F2379" s="34" t="str">
        <f t="shared" ref="F2379:F2394" si="570">_xlfn.CONCAT(D2379:E2379)</f>
        <v>C:\Users\jaime.benazar\Quorum Business Solutions\Ecopetrol Prometeo - Documents\Planning Space Implementation\3. Analysis &amp; Design\Design\FC22\DRR Jaime\QUIFA-CAJÚA\Cajua\[CAJUA_CF_SEC_New_27-Feb-2024Rev3.xlsx]D-PSDP'!</v>
      </c>
      <c r="G2379" s="32" t="s">
        <v>115</v>
      </c>
      <c r="H2379" s="33"/>
      <c r="I2379" s="33"/>
      <c r="J2379" s="37"/>
    </row>
    <row r="2380" spans="1:10" x14ac:dyDescent="0.25">
      <c r="A2380" s="32" t="s">
        <v>102</v>
      </c>
      <c r="B2380" s="32">
        <v>2045</v>
      </c>
      <c r="C2380" s="33" t="s">
        <v>20</v>
      </c>
      <c r="D2380" s="34" t="s">
        <v>1999</v>
      </c>
      <c r="E2380" s="35" t="s">
        <v>105</v>
      </c>
      <c r="F2380" s="34" t="str">
        <f t="shared" si="570"/>
        <v>C:\Users\jaime.benazar\Quorum Business Solutions\Ecopetrol Prometeo - Documents\Planning Space Implementation\3. Analysis &amp; Design\Design\FC22\DRR Jaime\QUIFA-CAJÚA\Cajua\[CAJUA_CF_SEC_New_27-Feb-2024Rev3.xlsx]D-PSDP'!</v>
      </c>
      <c r="G2380" s="32" t="s">
        <v>115</v>
      </c>
      <c r="H2380" s="33"/>
      <c r="I2380" s="33"/>
      <c r="J2380" s="37"/>
    </row>
    <row r="2381" spans="1:10" x14ac:dyDescent="0.25">
      <c r="A2381" s="32" t="s">
        <v>102</v>
      </c>
      <c r="B2381" s="32">
        <v>2046</v>
      </c>
      <c r="C2381" s="33" t="s">
        <v>20</v>
      </c>
      <c r="D2381" s="34" t="s">
        <v>1999</v>
      </c>
      <c r="E2381" s="35" t="s">
        <v>105</v>
      </c>
      <c r="F2381" s="34" t="str">
        <f t="shared" si="570"/>
        <v>C:\Users\jaime.benazar\Quorum Business Solutions\Ecopetrol Prometeo - Documents\Planning Space Implementation\3. Analysis &amp; Design\Design\FC22\DRR Jaime\QUIFA-CAJÚA\Cajua\[CAJUA_CF_SEC_New_27-Feb-2024Rev3.xlsx]D-PSDP'!</v>
      </c>
      <c r="G2381" s="32" t="s">
        <v>115</v>
      </c>
      <c r="H2381" s="33"/>
      <c r="I2381" s="33"/>
      <c r="J2381" s="37"/>
    </row>
    <row r="2382" spans="1:10" x14ac:dyDescent="0.25">
      <c r="A2382" s="32" t="s">
        <v>102</v>
      </c>
      <c r="B2382" s="32">
        <v>2047</v>
      </c>
      <c r="C2382" s="33" t="s">
        <v>20</v>
      </c>
      <c r="D2382" s="34" t="s">
        <v>1999</v>
      </c>
      <c r="E2382" s="35" t="s">
        <v>105</v>
      </c>
      <c r="F2382" s="34" t="str">
        <f t="shared" si="570"/>
        <v>C:\Users\jaime.benazar\Quorum Business Solutions\Ecopetrol Prometeo - Documents\Planning Space Implementation\3. Analysis &amp; Design\Design\FC22\DRR Jaime\QUIFA-CAJÚA\Cajua\[CAJUA_CF_SEC_New_27-Feb-2024Rev3.xlsx]D-PSDP'!</v>
      </c>
      <c r="G2382" s="32" t="s">
        <v>115</v>
      </c>
      <c r="H2382" s="33"/>
      <c r="I2382" s="33"/>
      <c r="J2382" s="37"/>
    </row>
    <row r="2383" spans="1:10" x14ac:dyDescent="0.25">
      <c r="A2383" s="32" t="s">
        <v>102</v>
      </c>
      <c r="B2383" s="32">
        <v>2048</v>
      </c>
      <c r="C2383" s="33" t="s">
        <v>20</v>
      </c>
      <c r="D2383" s="34" t="s">
        <v>1999</v>
      </c>
      <c r="E2383" s="35" t="s">
        <v>105</v>
      </c>
      <c r="F2383" s="34" t="str">
        <f t="shared" si="570"/>
        <v>C:\Users\jaime.benazar\Quorum Business Solutions\Ecopetrol Prometeo - Documents\Planning Space Implementation\3. Analysis &amp; Design\Design\FC22\DRR Jaime\QUIFA-CAJÚA\Cajua\[CAJUA_CF_SEC_New_27-Feb-2024Rev3.xlsx]D-PSDP'!</v>
      </c>
      <c r="G2383" s="32" t="s">
        <v>115</v>
      </c>
      <c r="H2383" s="33"/>
      <c r="I2383" s="33"/>
      <c r="J2383" s="37"/>
    </row>
    <row r="2384" spans="1:10" x14ac:dyDescent="0.25">
      <c r="A2384" s="32" t="s">
        <v>102</v>
      </c>
      <c r="B2384" s="32">
        <v>2049</v>
      </c>
      <c r="C2384" s="33" t="s">
        <v>20</v>
      </c>
      <c r="D2384" s="34" t="s">
        <v>1999</v>
      </c>
      <c r="E2384" s="35" t="s">
        <v>105</v>
      </c>
      <c r="F2384" s="34" t="str">
        <f t="shared" si="570"/>
        <v>C:\Users\jaime.benazar\Quorum Business Solutions\Ecopetrol Prometeo - Documents\Planning Space Implementation\3. Analysis &amp; Design\Design\FC22\DRR Jaime\QUIFA-CAJÚA\Cajua\[CAJUA_CF_SEC_New_27-Feb-2024Rev3.xlsx]D-PSDP'!</v>
      </c>
      <c r="G2384" s="32" t="s">
        <v>115</v>
      </c>
      <c r="H2384" s="33"/>
      <c r="I2384" s="33"/>
      <c r="J2384" s="37"/>
    </row>
    <row r="2385" spans="1:10" x14ac:dyDescent="0.25">
      <c r="A2385" s="32" t="s">
        <v>102</v>
      </c>
      <c r="B2385" s="32">
        <v>2050</v>
      </c>
      <c r="C2385" s="33" t="s">
        <v>20</v>
      </c>
      <c r="D2385" s="34" t="s">
        <v>1999</v>
      </c>
      <c r="E2385" s="35" t="s">
        <v>105</v>
      </c>
      <c r="F2385" s="34" t="str">
        <f t="shared" si="570"/>
        <v>C:\Users\jaime.benazar\Quorum Business Solutions\Ecopetrol Prometeo - Documents\Planning Space Implementation\3. Analysis &amp; Design\Design\FC22\DRR Jaime\QUIFA-CAJÚA\Cajua\[CAJUA_CF_SEC_New_27-Feb-2024Rev3.xlsx]D-PSDP'!</v>
      </c>
      <c r="G2385" s="32" t="s">
        <v>115</v>
      </c>
      <c r="H2385" s="33"/>
      <c r="I2385" s="33"/>
      <c r="J2385" s="37"/>
    </row>
    <row r="2386" spans="1:10" x14ac:dyDescent="0.25">
      <c r="A2386" s="32" t="s">
        <v>102</v>
      </c>
      <c r="B2386" s="32">
        <v>2051</v>
      </c>
      <c r="C2386" s="33" t="s">
        <v>20</v>
      </c>
      <c r="D2386" s="34" t="s">
        <v>1999</v>
      </c>
      <c r="E2386" s="35" t="s">
        <v>105</v>
      </c>
      <c r="F2386" s="34" t="str">
        <f t="shared" si="570"/>
        <v>C:\Users\jaime.benazar\Quorum Business Solutions\Ecopetrol Prometeo - Documents\Planning Space Implementation\3. Analysis &amp; Design\Design\FC22\DRR Jaime\QUIFA-CAJÚA\Cajua\[CAJUA_CF_SEC_New_27-Feb-2024Rev3.xlsx]D-PSDP'!</v>
      </c>
      <c r="G2386" s="32" t="s">
        <v>115</v>
      </c>
      <c r="H2386" s="33"/>
      <c r="I2386" s="33"/>
      <c r="J2386" s="37"/>
    </row>
    <row r="2387" spans="1:10" x14ac:dyDescent="0.25">
      <c r="A2387" s="32" t="s">
        <v>102</v>
      </c>
      <c r="B2387" s="32">
        <v>2052</v>
      </c>
      <c r="C2387" s="33" t="s">
        <v>20</v>
      </c>
      <c r="D2387" s="34" t="s">
        <v>1999</v>
      </c>
      <c r="E2387" s="35" t="s">
        <v>105</v>
      </c>
      <c r="F2387" s="34" t="str">
        <f t="shared" si="570"/>
        <v>C:\Users\jaime.benazar\Quorum Business Solutions\Ecopetrol Prometeo - Documents\Planning Space Implementation\3. Analysis &amp; Design\Design\FC22\DRR Jaime\QUIFA-CAJÚA\Cajua\[CAJUA_CF_SEC_New_27-Feb-2024Rev3.xlsx]D-PSDP'!</v>
      </c>
      <c r="G2387" s="32" t="s">
        <v>115</v>
      </c>
      <c r="H2387" s="33"/>
      <c r="I2387" s="33"/>
      <c r="J2387" s="37"/>
    </row>
    <row r="2388" spans="1:10" x14ac:dyDescent="0.25">
      <c r="A2388" s="32" t="s">
        <v>102</v>
      </c>
      <c r="B2388" s="32">
        <v>2053</v>
      </c>
      <c r="C2388" s="33" t="s">
        <v>20</v>
      </c>
      <c r="D2388" s="34" t="s">
        <v>1999</v>
      </c>
      <c r="E2388" s="35" t="s">
        <v>105</v>
      </c>
      <c r="F2388" s="34" t="str">
        <f t="shared" si="570"/>
        <v>C:\Users\jaime.benazar\Quorum Business Solutions\Ecopetrol Prometeo - Documents\Planning Space Implementation\3. Analysis &amp; Design\Design\FC22\DRR Jaime\QUIFA-CAJÚA\Cajua\[CAJUA_CF_SEC_New_27-Feb-2024Rev3.xlsx]D-PSDP'!</v>
      </c>
      <c r="G2388" s="32" t="s">
        <v>115</v>
      </c>
      <c r="H2388" s="33"/>
      <c r="I2388" s="33"/>
      <c r="J2388" s="37"/>
    </row>
    <row r="2389" spans="1:10" x14ac:dyDescent="0.25">
      <c r="A2389" s="32" t="s">
        <v>102</v>
      </c>
      <c r="B2389" s="32">
        <v>2054</v>
      </c>
      <c r="C2389" s="33" t="s">
        <v>20</v>
      </c>
      <c r="D2389" s="34" t="s">
        <v>1999</v>
      </c>
      <c r="E2389" s="35" t="s">
        <v>105</v>
      </c>
      <c r="F2389" s="34" t="str">
        <f t="shared" si="570"/>
        <v>C:\Users\jaime.benazar\Quorum Business Solutions\Ecopetrol Prometeo - Documents\Planning Space Implementation\3. Analysis &amp; Design\Design\FC22\DRR Jaime\QUIFA-CAJÚA\Cajua\[CAJUA_CF_SEC_New_27-Feb-2024Rev3.xlsx]D-PSDP'!</v>
      </c>
      <c r="G2389" s="32" t="s">
        <v>115</v>
      </c>
      <c r="H2389" s="33"/>
      <c r="I2389" s="33"/>
      <c r="J2389" s="37"/>
    </row>
    <row r="2390" spans="1:10" x14ac:dyDescent="0.25">
      <c r="A2390" s="32" t="s">
        <v>102</v>
      </c>
      <c r="B2390" s="32">
        <v>2055</v>
      </c>
      <c r="C2390" s="33" t="s">
        <v>20</v>
      </c>
      <c r="D2390" s="34" t="s">
        <v>1999</v>
      </c>
      <c r="E2390" s="35" t="s">
        <v>105</v>
      </c>
      <c r="F2390" s="34" t="str">
        <f t="shared" si="570"/>
        <v>C:\Users\jaime.benazar\Quorum Business Solutions\Ecopetrol Prometeo - Documents\Planning Space Implementation\3. Analysis &amp; Design\Design\FC22\DRR Jaime\QUIFA-CAJÚA\Cajua\[CAJUA_CF_SEC_New_27-Feb-2024Rev3.xlsx]D-PSDP'!</v>
      </c>
      <c r="G2390" s="32" t="s">
        <v>115</v>
      </c>
      <c r="H2390" s="33"/>
      <c r="I2390" s="33"/>
      <c r="J2390" s="37"/>
    </row>
    <row r="2391" spans="1:10" x14ac:dyDescent="0.25">
      <c r="A2391" s="32" t="s">
        <v>102</v>
      </c>
      <c r="B2391" s="32">
        <v>2056</v>
      </c>
      <c r="C2391" s="33" t="s">
        <v>20</v>
      </c>
      <c r="D2391" s="34" t="s">
        <v>1999</v>
      </c>
      <c r="E2391" s="35" t="s">
        <v>105</v>
      </c>
      <c r="F2391" s="34" t="str">
        <f t="shared" si="570"/>
        <v>C:\Users\jaime.benazar\Quorum Business Solutions\Ecopetrol Prometeo - Documents\Planning Space Implementation\3. Analysis &amp; Design\Design\FC22\DRR Jaime\QUIFA-CAJÚA\Cajua\[CAJUA_CF_SEC_New_27-Feb-2024Rev3.xlsx]D-PSDP'!</v>
      </c>
      <c r="G2391" s="32" t="s">
        <v>115</v>
      </c>
      <c r="H2391" s="33"/>
      <c r="I2391" s="33"/>
      <c r="J2391" s="37"/>
    </row>
    <row r="2392" spans="1:10" x14ac:dyDescent="0.25">
      <c r="A2392" s="32" t="s">
        <v>102</v>
      </c>
      <c r="B2392" s="32">
        <v>2057</v>
      </c>
      <c r="C2392" s="33" t="s">
        <v>20</v>
      </c>
      <c r="D2392" s="34" t="s">
        <v>1999</v>
      </c>
      <c r="E2392" s="35" t="s">
        <v>105</v>
      </c>
      <c r="F2392" s="34" t="str">
        <f t="shared" si="570"/>
        <v>C:\Users\jaime.benazar\Quorum Business Solutions\Ecopetrol Prometeo - Documents\Planning Space Implementation\3. Analysis &amp; Design\Design\FC22\DRR Jaime\QUIFA-CAJÚA\Cajua\[CAJUA_CF_SEC_New_27-Feb-2024Rev3.xlsx]D-PSDP'!</v>
      </c>
      <c r="G2392" s="32" t="s">
        <v>115</v>
      </c>
      <c r="H2392" s="33"/>
      <c r="I2392" s="33"/>
      <c r="J2392" s="37"/>
    </row>
    <row r="2393" spans="1:10" x14ac:dyDescent="0.25">
      <c r="A2393" s="32" t="s">
        <v>102</v>
      </c>
      <c r="B2393" s="32">
        <v>2058</v>
      </c>
      <c r="C2393" s="33" t="s">
        <v>20</v>
      </c>
      <c r="D2393" s="34" t="s">
        <v>1999</v>
      </c>
      <c r="E2393" s="35" t="s">
        <v>105</v>
      </c>
      <c r="F2393" s="34" t="str">
        <f t="shared" si="570"/>
        <v>C:\Users\jaime.benazar\Quorum Business Solutions\Ecopetrol Prometeo - Documents\Planning Space Implementation\3. Analysis &amp; Design\Design\FC22\DRR Jaime\QUIFA-CAJÚA\Cajua\[CAJUA_CF_SEC_New_27-Feb-2024Rev3.xlsx]D-PSDP'!</v>
      </c>
      <c r="G2393" s="32" t="s">
        <v>115</v>
      </c>
      <c r="H2393" s="33"/>
      <c r="I2393" s="33"/>
      <c r="J2393" s="37"/>
    </row>
    <row r="2394" spans="1:10" x14ac:dyDescent="0.25">
      <c r="A2394" s="32" t="s">
        <v>102</v>
      </c>
      <c r="B2394" s="32">
        <v>2059</v>
      </c>
      <c r="C2394" s="33" t="s">
        <v>20</v>
      </c>
      <c r="D2394" s="34" t="s">
        <v>1999</v>
      </c>
      <c r="E2394" s="35" t="s">
        <v>105</v>
      </c>
      <c r="F2394" s="34" t="str">
        <f t="shared" si="570"/>
        <v>C:\Users\jaime.benazar\Quorum Business Solutions\Ecopetrol Prometeo - Documents\Planning Space Implementation\3. Analysis &amp; Design\Design\FC22\DRR Jaime\QUIFA-CAJÚA\Cajua\[CAJUA_CF_SEC_New_27-Feb-2024Rev3.xlsx]D-PSDP'!</v>
      </c>
      <c r="G2394" s="32" t="s">
        <v>115</v>
      </c>
      <c r="H2394" s="33"/>
      <c r="I2394" s="33"/>
      <c r="J2394" s="37"/>
    </row>
    <row r="2395" spans="1:10" x14ac:dyDescent="0.25">
      <c r="A2395" s="32" t="s">
        <v>28</v>
      </c>
      <c r="B2395" s="32"/>
      <c r="C2395" s="33" t="s">
        <v>20</v>
      </c>
      <c r="D2395" s="34"/>
      <c r="E2395" s="35"/>
      <c r="F2395" s="34"/>
      <c r="G2395" s="32"/>
      <c r="H2395" s="33"/>
      <c r="I2395" s="33"/>
      <c r="J2395" s="33"/>
    </row>
    <row r="2396" spans="1:10" x14ac:dyDescent="0.25">
      <c r="A2396" s="32" t="s">
        <v>103</v>
      </c>
      <c r="B2396" s="32">
        <v>2023</v>
      </c>
      <c r="C2396" s="33" t="s">
        <v>20</v>
      </c>
      <c r="D2396" s="34" t="s">
        <v>1999</v>
      </c>
      <c r="E2396" s="35" t="s">
        <v>106</v>
      </c>
      <c r="F2396" s="34" t="str">
        <f t="shared" ref="F2396:F2416" si="571">_xlfn.CONCAT(D2396:E2396)</f>
        <v>C:\Users\jaime.benazar\Quorum Business Solutions\Ecopetrol Prometeo - Documents\Planning Space Implementation\3. Analysis &amp; Design\Design\FC22\DRR Jaime\QUIFA-CAJÚA\Cajua\[CAJUA_CF_SEC_New_27-Feb-2024Rev3.xlsx]D-PSNP'!</v>
      </c>
      <c r="G2396" s="32" t="s">
        <v>115</v>
      </c>
      <c r="H2396" s="33"/>
      <c r="I2396" s="33"/>
      <c r="J2396" s="37"/>
    </row>
    <row r="2397" spans="1:10" x14ac:dyDescent="0.25">
      <c r="A2397" s="32" t="s">
        <v>103</v>
      </c>
      <c r="B2397" s="32">
        <v>2024</v>
      </c>
      <c r="C2397" s="33" t="s">
        <v>20</v>
      </c>
      <c r="D2397" s="34" t="s">
        <v>1999</v>
      </c>
      <c r="E2397" s="35" t="s">
        <v>106</v>
      </c>
      <c r="F2397" s="34" t="str">
        <f t="shared" si="571"/>
        <v>C:\Users\jaime.benazar\Quorum Business Solutions\Ecopetrol Prometeo - Documents\Planning Space Implementation\3. Analysis &amp; Design\Design\FC22\DRR Jaime\QUIFA-CAJÚA\Cajua\[CAJUA_CF_SEC_New_27-Feb-2024Rev3.xlsx]D-PSNP'!</v>
      </c>
      <c r="G2397" s="32" t="s">
        <v>115</v>
      </c>
      <c r="H2397" s="33"/>
      <c r="I2397" s="33"/>
      <c r="J2397" s="37"/>
    </row>
    <row r="2398" spans="1:10" x14ac:dyDescent="0.25">
      <c r="A2398" s="32" t="s">
        <v>103</v>
      </c>
      <c r="B2398" s="32">
        <v>2025</v>
      </c>
      <c r="C2398" s="33" t="s">
        <v>20</v>
      </c>
      <c r="D2398" s="34" t="s">
        <v>1999</v>
      </c>
      <c r="E2398" s="35" t="s">
        <v>106</v>
      </c>
      <c r="F2398" s="34" t="str">
        <f t="shared" si="571"/>
        <v>C:\Users\jaime.benazar\Quorum Business Solutions\Ecopetrol Prometeo - Documents\Planning Space Implementation\3. Analysis &amp; Design\Design\FC22\DRR Jaime\QUIFA-CAJÚA\Cajua\[CAJUA_CF_SEC_New_27-Feb-2024Rev3.xlsx]D-PSNP'!</v>
      </c>
      <c r="G2398" s="32" t="s">
        <v>115</v>
      </c>
      <c r="H2398" s="33"/>
      <c r="I2398" s="33"/>
      <c r="J2398" s="37"/>
    </row>
    <row r="2399" spans="1:10" x14ac:dyDescent="0.25">
      <c r="A2399" s="32" t="s">
        <v>103</v>
      </c>
      <c r="B2399" s="32">
        <v>2026</v>
      </c>
      <c r="C2399" s="33" t="s">
        <v>20</v>
      </c>
      <c r="D2399" s="34" t="s">
        <v>1999</v>
      </c>
      <c r="E2399" s="35" t="s">
        <v>106</v>
      </c>
      <c r="F2399" s="34" t="str">
        <f t="shared" si="571"/>
        <v>C:\Users\jaime.benazar\Quorum Business Solutions\Ecopetrol Prometeo - Documents\Planning Space Implementation\3. Analysis &amp; Design\Design\FC22\DRR Jaime\QUIFA-CAJÚA\Cajua\[CAJUA_CF_SEC_New_27-Feb-2024Rev3.xlsx]D-PSNP'!</v>
      </c>
      <c r="G2399" s="32" t="s">
        <v>115</v>
      </c>
      <c r="H2399" s="33"/>
      <c r="I2399" s="33"/>
      <c r="J2399" s="37"/>
    </row>
    <row r="2400" spans="1:10" x14ac:dyDescent="0.25">
      <c r="A2400" s="32" t="s">
        <v>103</v>
      </c>
      <c r="B2400" s="32">
        <v>2027</v>
      </c>
      <c r="C2400" s="33" t="s">
        <v>20</v>
      </c>
      <c r="D2400" s="34" t="s">
        <v>1999</v>
      </c>
      <c r="E2400" s="35" t="s">
        <v>106</v>
      </c>
      <c r="F2400" s="34" t="str">
        <f t="shared" si="571"/>
        <v>C:\Users\jaime.benazar\Quorum Business Solutions\Ecopetrol Prometeo - Documents\Planning Space Implementation\3. Analysis &amp; Design\Design\FC22\DRR Jaime\QUIFA-CAJÚA\Cajua\[CAJUA_CF_SEC_New_27-Feb-2024Rev3.xlsx]D-PSNP'!</v>
      </c>
      <c r="G2400" s="32" t="s">
        <v>115</v>
      </c>
      <c r="H2400" s="33"/>
      <c r="I2400" s="33"/>
      <c r="J2400" s="37"/>
    </row>
    <row r="2401" spans="1:10" x14ac:dyDescent="0.25">
      <c r="A2401" s="32" t="s">
        <v>103</v>
      </c>
      <c r="B2401" s="32">
        <v>2028</v>
      </c>
      <c r="C2401" s="33" t="s">
        <v>20</v>
      </c>
      <c r="D2401" s="34" t="s">
        <v>1999</v>
      </c>
      <c r="E2401" s="35" t="s">
        <v>106</v>
      </c>
      <c r="F2401" s="34" t="str">
        <f t="shared" si="571"/>
        <v>C:\Users\jaime.benazar\Quorum Business Solutions\Ecopetrol Prometeo - Documents\Planning Space Implementation\3. Analysis &amp; Design\Design\FC22\DRR Jaime\QUIFA-CAJÚA\Cajua\[CAJUA_CF_SEC_New_27-Feb-2024Rev3.xlsx]D-PSNP'!</v>
      </c>
      <c r="G2401" s="32" t="s">
        <v>115</v>
      </c>
      <c r="H2401" s="33"/>
      <c r="I2401" s="33"/>
      <c r="J2401" s="37"/>
    </row>
    <row r="2402" spans="1:10" x14ac:dyDescent="0.25">
      <c r="A2402" s="32" t="s">
        <v>103</v>
      </c>
      <c r="B2402" s="32">
        <v>2029</v>
      </c>
      <c r="C2402" s="33" t="s">
        <v>20</v>
      </c>
      <c r="D2402" s="34" t="s">
        <v>1999</v>
      </c>
      <c r="E2402" s="35" t="s">
        <v>106</v>
      </c>
      <c r="F2402" s="34" t="str">
        <f t="shared" si="571"/>
        <v>C:\Users\jaime.benazar\Quorum Business Solutions\Ecopetrol Prometeo - Documents\Planning Space Implementation\3. Analysis &amp; Design\Design\FC22\DRR Jaime\QUIFA-CAJÚA\Cajua\[CAJUA_CF_SEC_New_27-Feb-2024Rev3.xlsx]D-PSNP'!</v>
      </c>
      <c r="G2402" s="32" t="s">
        <v>115</v>
      </c>
      <c r="H2402" s="33"/>
      <c r="I2402" s="33"/>
      <c r="J2402" s="37"/>
    </row>
    <row r="2403" spans="1:10" x14ac:dyDescent="0.25">
      <c r="A2403" s="32" t="s">
        <v>103</v>
      </c>
      <c r="B2403" s="32">
        <v>2030</v>
      </c>
      <c r="C2403" s="33" t="s">
        <v>20</v>
      </c>
      <c r="D2403" s="34" t="s">
        <v>1999</v>
      </c>
      <c r="E2403" s="35" t="s">
        <v>106</v>
      </c>
      <c r="F2403" s="34" t="str">
        <f t="shared" si="571"/>
        <v>C:\Users\jaime.benazar\Quorum Business Solutions\Ecopetrol Prometeo - Documents\Planning Space Implementation\3. Analysis &amp; Design\Design\FC22\DRR Jaime\QUIFA-CAJÚA\Cajua\[CAJUA_CF_SEC_New_27-Feb-2024Rev3.xlsx]D-PSNP'!</v>
      </c>
      <c r="G2403" s="32" t="s">
        <v>115</v>
      </c>
      <c r="H2403" s="33"/>
      <c r="I2403" s="33"/>
      <c r="J2403" s="37"/>
    </row>
    <row r="2404" spans="1:10" x14ac:dyDescent="0.25">
      <c r="A2404" s="32" t="s">
        <v>103</v>
      </c>
      <c r="B2404" s="32">
        <v>2031</v>
      </c>
      <c r="C2404" s="33" t="s">
        <v>20</v>
      </c>
      <c r="D2404" s="34" t="s">
        <v>1999</v>
      </c>
      <c r="E2404" s="35" t="s">
        <v>106</v>
      </c>
      <c r="F2404" s="34" t="str">
        <f t="shared" si="571"/>
        <v>C:\Users\jaime.benazar\Quorum Business Solutions\Ecopetrol Prometeo - Documents\Planning Space Implementation\3. Analysis &amp; Design\Design\FC22\DRR Jaime\QUIFA-CAJÚA\Cajua\[CAJUA_CF_SEC_New_27-Feb-2024Rev3.xlsx]D-PSNP'!</v>
      </c>
      <c r="G2404" s="32" t="s">
        <v>115</v>
      </c>
      <c r="H2404" s="33"/>
      <c r="I2404" s="33"/>
      <c r="J2404" s="37"/>
    </row>
    <row r="2405" spans="1:10" x14ac:dyDescent="0.25">
      <c r="A2405" s="32" t="s">
        <v>103</v>
      </c>
      <c r="B2405" s="32">
        <v>2032</v>
      </c>
      <c r="C2405" s="33" t="s">
        <v>20</v>
      </c>
      <c r="D2405" s="34" t="s">
        <v>1999</v>
      </c>
      <c r="E2405" s="35" t="s">
        <v>106</v>
      </c>
      <c r="F2405" s="34" t="str">
        <f t="shared" si="571"/>
        <v>C:\Users\jaime.benazar\Quorum Business Solutions\Ecopetrol Prometeo - Documents\Planning Space Implementation\3. Analysis &amp; Design\Design\FC22\DRR Jaime\QUIFA-CAJÚA\Cajua\[CAJUA_CF_SEC_New_27-Feb-2024Rev3.xlsx]D-PSNP'!</v>
      </c>
      <c r="G2405" s="32" t="s">
        <v>115</v>
      </c>
      <c r="H2405" s="33"/>
      <c r="I2405" s="33"/>
      <c r="J2405" s="37"/>
    </row>
    <row r="2406" spans="1:10" x14ac:dyDescent="0.25">
      <c r="A2406" s="32" t="s">
        <v>103</v>
      </c>
      <c r="B2406" s="32">
        <v>2033</v>
      </c>
      <c r="C2406" s="33" t="s">
        <v>20</v>
      </c>
      <c r="D2406" s="34" t="s">
        <v>1999</v>
      </c>
      <c r="E2406" s="35" t="s">
        <v>106</v>
      </c>
      <c r="F2406" s="34" t="str">
        <f t="shared" si="571"/>
        <v>C:\Users\jaime.benazar\Quorum Business Solutions\Ecopetrol Prometeo - Documents\Planning Space Implementation\3. Analysis &amp; Design\Design\FC22\DRR Jaime\QUIFA-CAJÚA\Cajua\[CAJUA_CF_SEC_New_27-Feb-2024Rev3.xlsx]D-PSNP'!</v>
      </c>
      <c r="G2406" s="32" t="s">
        <v>115</v>
      </c>
      <c r="H2406" s="33"/>
      <c r="I2406" s="33"/>
      <c r="J2406" s="37"/>
    </row>
    <row r="2407" spans="1:10" x14ac:dyDescent="0.25">
      <c r="A2407" s="32" t="s">
        <v>103</v>
      </c>
      <c r="B2407" s="32">
        <v>2034</v>
      </c>
      <c r="C2407" s="33" t="s">
        <v>20</v>
      </c>
      <c r="D2407" s="34" t="s">
        <v>1999</v>
      </c>
      <c r="E2407" s="35" t="s">
        <v>106</v>
      </c>
      <c r="F2407" s="34" t="str">
        <f t="shared" si="571"/>
        <v>C:\Users\jaime.benazar\Quorum Business Solutions\Ecopetrol Prometeo - Documents\Planning Space Implementation\3. Analysis &amp; Design\Design\FC22\DRR Jaime\QUIFA-CAJÚA\Cajua\[CAJUA_CF_SEC_New_27-Feb-2024Rev3.xlsx]D-PSNP'!</v>
      </c>
      <c r="G2407" s="32" t="s">
        <v>115</v>
      </c>
      <c r="H2407" s="33"/>
      <c r="I2407" s="33"/>
      <c r="J2407" s="37"/>
    </row>
    <row r="2408" spans="1:10" x14ac:dyDescent="0.25">
      <c r="A2408" s="32" t="s">
        <v>103</v>
      </c>
      <c r="B2408" s="32">
        <v>2035</v>
      </c>
      <c r="C2408" s="33" t="s">
        <v>20</v>
      </c>
      <c r="D2408" s="34" t="s">
        <v>1999</v>
      </c>
      <c r="E2408" s="35" t="s">
        <v>106</v>
      </c>
      <c r="F2408" s="34" t="str">
        <f t="shared" si="571"/>
        <v>C:\Users\jaime.benazar\Quorum Business Solutions\Ecopetrol Prometeo - Documents\Planning Space Implementation\3. Analysis &amp; Design\Design\FC22\DRR Jaime\QUIFA-CAJÚA\Cajua\[CAJUA_CF_SEC_New_27-Feb-2024Rev3.xlsx]D-PSNP'!</v>
      </c>
      <c r="G2408" s="32" t="s">
        <v>115</v>
      </c>
      <c r="H2408" s="33"/>
      <c r="I2408" s="33"/>
      <c r="J2408" s="37"/>
    </row>
    <row r="2409" spans="1:10" x14ac:dyDescent="0.25">
      <c r="A2409" s="32" t="s">
        <v>103</v>
      </c>
      <c r="B2409" s="32">
        <v>2036</v>
      </c>
      <c r="C2409" s="33" t="s">
        <v>20</v>
      </c>
      <c r="D2409" s="34" t="s">
        <v>1999</v>
      </c>
      <c r="E2409" s="35" t="s">
        <v>106</v>
      </c>
      <c r="F2409" s="34" t="str">
        <f t="shared" si="571"/>
        <v>C:\Users\jaime.benazar\Quorum Business Solutions\Ecopetrol Prometeo - Documents\Planning Space Implementation\3. Analysis &amp; Design\Design\FC22\DRR Jaime\QUIFA-CAJÚA\Cajua\[CAJUA_CF_SEC_New_27-Feb-2024Rev3.xlsx]D-PSNP'!</v>
      </c>
      <c r="G2409" s="32" t="s">
        <v>115</v>
      </c>
      <c r="H2409" s="33"/>
      <c r="I2409" s="33"/>
      <c r="J2409" s="37"/>
    </row>
    <row r="2410" spans="1:10" x14ac:dyDescent="0.25">
      <c r="A2410" s="32" t="s">
        <v>103</v>
      </c>
      <c r="B2410" s="32">
        <v>2037</v>
      </c>
      <c r="C2410" s="33" t="s">
        <v>20</v>
      </c>
      <c r="D2410" s="34" t="s">
        <v>1999</v>
      </c>
      <c r="E2410" s="35" t="s">
        <v>106</v>
      </c>
      <c r="F2410" s="34" t="str">
        <f t="shared" si="571"/>
        <v>C:\Users\jaime.benazar\Quorum Business Solutions\Ecopetrol Prometeo - Documents\Planning Space Implementation\3. Analysis &amp; Design\Design\FC22\DRR Jaime\QUIFA-CAJÚA\Cajua\[CAJUA_CF_SEC_New_27-Feb-2024Rev3.xlsx]D-PSNP'!</v>
      </c>
      <c r="G2410" s="32" t="s">
        <v>115</v>
      </c>
      <c r="H2410" s="33"/>
      <c r="I2410" s="33"/>
      <c r="J2410" s="37"/>
    </row>
    <row r="2411" spans="1:10" x14ac:dyDescent="0.25">
      <c r="A2411" s="32" t="s">
        <v>103</v>
      </c>
      <c r="B2411" s="32">
        <v>2038</v>
      </c>
      <c r="C2411" s="33" t="s">
        <v>20</v>
      </c>
      <c r="D2411" s="34" t="s">
        <v>1999</v>
      </c>
      <c r="E2411" s="35" t="s">
        <v>106</v>
      </c>
      <c r="F2411" s="34" t="str">
        <f t="shared" si="571"/>
        <v>C:\Users\jaime.benazar\Quorum Business Solutions\Ecopetrol Prometeo - Documents\Planning Space Implementation\3. Analysis &amp; Design\Design\FC22\DRR Jaime\QUIFA-CAJÚA\Cajua\[CAJUA_CF_SEC_New_27-Feb-2024Rev3.xlsx]D-PSNP'!</v>
      </c>
      <c r="G2411" s="32" t="s">
        <v>115</v>
      </c>
      <c r="H2411" s="33"/>
      <c r="I2411" s="33"/>
      <c r="J2411" s="37"/>
    </row>
    <row r="2412" spans="1:10" x14ac:dyDescent="0.25">
      <c r="A2412" s="32" t="s">
        <v>103</v>
      </c>
      <c r="B2412" s="32">
        <v>2039</v>
      </c>
      <c r="C2412" s="33" t="s">
        <v>20</v>
      </c>
      <c r="D2412" s="34" t="s">
        <v>1999</v>
      </c>
      <c r="E2412" s="35" t="s">
        <v>106</v>
      </c>
      <c r="F2412" s="34" t="str">
        <f t="shared" si="571"/>
        <v>C:\Users\jaime.benazar\Quorum Business Solutions\Ecopetrol Prometeo - Documents\Planning Space Implementation\3. Analysis &amp; Design\Design\FC22\DRR Jaime\QUIFA-CAJÚA\Cajua\[CAJUA_CF_SEC_New_27-Feb-2024Rev3.xlsx]D-PSNP'!</v>
      </c>
      <c r="G2412" s="32" t="s">
        <v>115</v>
      </c>
      <c r="H2412" s="33"/>
      <c r="I2412" s="33"/>
      <c r="J2412" s="37"/>
    </row>
    <row r="2413" spans="1:10" x14ac:dyDescent="0.25">
      <c r="A2413" s="32" t="s">
        <v>103</v>
      </c>
      <c r="B2413" s="32">
        <v>2040</v>
      </c>
      <c r="C2413" s="33" t="s">
        <v>20</v>
      </c>
      <c r="D2413" s="34" t="s">
        <v>1999</v>
      </c>
      <c r="E2413" s="35" t="s">
        <v>106</v>
      </c>
      <c r="F2413" s="34" t="str">
        <f t="shared" si="571"/>
        <v>C:\Users\jaime.benazar\Quorum Business Solutions\Ecopetrol Prometeo - Documents\Planning Space Implementation\3. Analysis &amp; Design\Design\FC22\DRR Jaime\QUIFA-CAJÚA\Cajua\[CAJUA_CF_SEC_New_27-Feb-2024Rev3.xlsx]D-PSNP'!</v>
      </c>
      <c r="G2413" s="32" t="s">
        <v>115</v>
      </c>
      <c r="H2413" s="33"/>
      <c r="I2413" s="33"/>
      <c r="J2413" s="37"/>
    </row>
    <row r="2414" spans="1:10" x14ac:dyDescent="0.25">
      <c r="A2414" s="32" t="s">
        <v>103</v>
      </c>
      <c r="B2414" s="32">
        <v>2041</v>
      </c>
      <c r="C2414" s="33" t="s">
        <v>20</v>
      </c>
      <c r="D2414" s="34" t="s">
        <v>1999</v>
      </c>
      <c r="E2414" s="35" t="s">
        <v>106</v>
      </c>
      <c r="F2414" s="34" t="str">
        <f t="shared" si="571"/>
        <v>C:\Users\jaime.benazar\Quorum Business Solutions\Ecopetrol Prometeo - Documents\Planning Space Implementation\3. Analysis &amp; Design\Design\FC22\DRR Jaime\QUIFA-CAJÚA\Cajua\[CAJUA_CF_SEC_New_27-Feb-2024Rev3.xlsx]D-PSNP'!</v>
      </c>
      <c r="G2414" s="32" t="s">
        <v>115</v>
      </c>
      <c r="H2414" s="33"/>
      <c r="I2414" s="33"/>
      <c r="J2414" s="37"/>
    </row>
    <row r="2415" spans="1:10" x14ac:dyDescent="0.25">
      <c r="A2415" s="32" t="s">
        <v>103</v>
      </c>
      <c r="B2415" s="32">
        <v>2042</v>
      </c>
      <c r="C2415" s="33" t="s">
        <v>20</v>
      </c>
      <c r="D2415" s="34" t="s">
        <v>1999</v>
      </c>
      <c r="E2415" s="35" t="s">
        <v>106</v>
      </c>
      <c r="F2415" s="34" t="str">
        <f t="shared" si="571"/>
        <v>C:\Users\jaime.benazar\Quorum Business Solutions\Ecopetrol Prometeo - Documents\Planning Space Implementation\3. Analysis &amp; Design\Design\FC22\DRR Jaime\QUIFA-CAJÚA\Cajua\[CAJUA_CF_SEC_New_27-Feb-2024Rev3.xlsx]D-PSNP'!</v>
      </c>
      <c r="G2415" s="32" t="s">
        <v>115</v>
      </c>
      <c r="H2415" s="33"/>
      <c r="I2415" s="33"/>
      <c r="J2415" s="37"/>
    </row>
    <row r="2416" spans="1:10" x14ac:dyDescent="0.25">
      <c r="A2416" s="32" t="s">
        <v>103</v>
      </c>
      <c r="B2416" s="32">
        <v>2043</v>
      </c>
      <c r="C2416" s="33" t="s">
        <v>20</v>
      </c>
      <c r="D2416" s="34" t="s">
        <v>1999</v>
      </c>
      <c r="E2416" s="35" t="s">
        <v>106</v>
      </c>
      <c r="F2416" s="34" t="str">
        <f t="shared" si="571"/>
        <v>C:\Users\jaime.benazar\Quorum Business Solutions\Ecopetrol Prometeo - Documents\Planning Space Implementation\3. Analysis &amp; Design\Design\FC22\DRR Jaime\QUIFA-CAJÚA\Cajua\[CAJUA_CF_SEC_New_27-Feb-2024Rev3.xlsx]D-PSNP'!</v>
      </c>
      <c r="G2416" s="32" t="s">
        <v>115</v>
      </c>
      <c r="H2416" s="33"/>
      <c r="I2416" s="33"/>
      <c r="J2416" s="37"/>
    </row>
    <row r="2417" spans="1:10" x14ac:dyDescent="0.25">
      <c r="A2417" s="32" t="s">
        <v>103</v>
      </c>
      <c r="B2417" s="32">
        <v>2044</v>
      </c>
      <c r="C2417" s="33" t="s">
        <v>20</v>
      </c>
      <c r="D2417" s="34" t="s">
        <v>1999</v>
      </c>
      <c r="E2417" s="35" t="s">
        <v>106</v>
      </c>
      <c r="F2417" s="34" t="str">
        <f t="shared" ref="F2417:F2432" si="572">_xlfn.CONCAT(D2417:E2417)</f>
        <v>C:\Users\jaime.benazar\Quorum Business Solutions\Ecopetrol Prometeo - Documents\Planning Space Implementation\3. Analysis &amp; Design\Design\FC22\DRR Jaime\QUIFA-CAJÚA\Cajua\[CAJUA_CF_SEC_New_27-Feb-2024Rev3.xlsx]D-PSNP'!</v>
      </c>
      <c r="G2417" s="32" t="s">
        <v>115</v>
      </c>
      <c r="H2417" s="33"/>
      <c r="I2417" s="33"/>
      <c r="J2417" s="37"/>
    </row>
    <row r="2418" spans="1:10" x14ac:dyDescent="0.25">
      <c r="A2418" s="32" t="s">
        <v>103</v>
      </c>
      <c r="B2418" s="32">
        <v>2045</v>
      </c>
      <c r="C2418" s="33" t="s">
        <v>20</v>
      </c>
      <c r="D2418" s="34" t="s">
        <v>1999</v>
      </c>
      <c r="E2418" s="35" t="s">
        <v>106</v>
      </c>
      <c r="F2418" s="34" t="str">
        <f t="shared" si="572"/>
        <v>C:\Users\jaime.benazar\Quorum Business Solutions\Ecopetrol Prometeo - Documents\Planning Space Implementation\3. Analysis &amp; Design\Design\FC22\DRR Jaime\QUIFA-CAJÚA\Cajua\[CAJUA_CF_SEC_New_27-Feb-2024Rev3.xlsx]D-PSNP'!</v>
      </c>
      <c r="G2418" s="32" t="s">
        <v>115</v>
      </c>
      <c r="H2418" s="33"/>
      <c r="I2418" s="33"/>
      <c r="J2418" s="37"/>
    </row>
    <row r="2419" spans="1:10" x14ac:dyDescent="0.25">
      <c r="A2419" s="32" t="s">
        <v>103</v>
      </c>
      <c r="B2419" s="32">
        <v>2046</v>
      </c>
      <c r="C2419" s="33" t="s">
        <v>20</v>
      </c>
      <c r="D2419" s="34" t="s">
        <v>1999</v>
      </c>
      <c r="E2419" s="35" t="s">
        <v>106</v>
      </c>
      <c r="F2419" s="34" t="str">
        <f t="shared" si="572"/>
        <v>C:\Users\jaime.benazar\Quorum Business Solutions\Ecopetrol Prometeo - Documents\Planning Space Implementation\3. Analysis &amp; Design\Design\FC22\DRR Jaime\QUIFA-CAJÚA\Cajua\[CAJUA_CF_SEC_New_27-Feb-2024Rev3.xlsx]D-PSNP'!</v>
      </c>
      <c r="G2419" s="32" t="s">
        <v>115</v>
      </c>
      <c r="H2419" s="33"/>
      <c r="I2419" s="33"/>
      <c r="J2419" s="37"/>
    </row>
    <row r="2420" spans="1:10" x14ac:dyDescent="0.25">
      <c r="A2420" s="32" t="s">
        <v>103</v>
      </c>
      <c r="B2420" s="32">
        <v>2047</v>
      </c>
      <c r="C2420" s="33" t="s">
        <v>20</v>
      </c>
      <c r="D2420" s="34" t="s">
        <v>1999</v>
      </c>
      <c r="E2420" s="35" t="s">
        <v>106</v>
      </c>
      <c r="F2420" s="34" t="str">
        <f t="shared" si="572"/>
        <v>C:\Users\jaime.benazar\Quorum Business Solutions\Ecopetrol Prometeo - Documents\Planning Space Implementation\3. Analysis &amp; Design\Design\FC22\DRR Jaime\QUIFA-CAJÚA\Cajua\[CAJUA_CF_SEC_New_27-Feb-2024Rev3.xlsx]D-PSNP'!</v>
      </c>
      <c r="G2420" s="32" t="s">
        <v>115</v>
      </c>
      <c r="H2420" s="33"/>
      <c r="I2420" s="33"/>
      <c r="J2420" s="37"/>
    </row>
    <row r="2421" spans="1:10" x14ac:dyDescent="0.25">
      <c r="A2421" s="32" t="s">
        <v>103</v>
      </c>
      <c r="B2421" s="32">
        <v>2048</v>
      </c>
      <c r="C2421" s="33" t="s">
        <v>20</v>
      </c>
      <c r="D2421" s="34" t="s">
        <v>1999</v>
      </c>
      <c r="E2421" s="35" t="s">
        <v>106</v>
      </c>
      <c r="F2421" s="34" t="str">
        <f t="shared" si="572"/>
        <v>C:\Users\jaime.benazar\Quorum Business Solutions\Ecopetrol Prometeo - Documents\Planning Space Implementation\3. Analysis &amp; Design\Design\FC22\DRR Jaime\QUIFA-CAJÚA\Cajua\[CAJUA_CF_SEC_New_27-Feb-2024Rev3.xlsx]D-PSNP'!</v>
      </c>
      <c r="G2421" s="32" t="s">
        <v>115</v>
      </c>
      <c r="H2421" s="33"/>
      <c r="I2421" s="33"/>
      <c r="J2421" s="37"/>
    </row>
    <row r="2422" spans="1:10" x14ac:dyDescent="0.25">
      <c r="A2422" s="32" t="s">
        <v>103</v>
      </c>
      <c r="B2422" s="32">
        <v>2049</v>
      </c>
      <c r="C2422" s="33" t="s">
        <v>20</v>
      </c>
      <c r="D2422" s="34" t="s">
        <v>1999</v>
      </c>
      <c r="E2422" s="35" t="s">
        <v>106</v>
      </c>
      <c r="F2422" s="34" t="str">
        <f t="shared" si="572"/>
        <v>C:\Users\jaime.benazar\Quorum Business Solutions\Ecopetrol Prometeo - Documents\Planning Space Implementation\3. Analysis &amp; Design\Design\FC22\DRR Jaime\QUIFA-CAJÚA\Cajua\[CAJUA_CF_SEC_New_27-Feb-2024Rev3.xlsx]D-PSNP'!</v>
      </c>
      <c r="G2422" s="32" t="s">
        <v>115</v>
      </c>
      <c r="H2422" s="33"/>
      <c r="I2422" s="33"/>
      <c r="J2422" s="37"/>
    </row>
    <row r="2423" spans="1:10" x14ac:dyDescent="0.25">
      <c r="A2423" s="32" t="s">
        <v>103</v>
      </c>
      <c r="B2423" s="32">
        <v>2050</v>
      </c>
      <c r="C2423" s="33" t="s">
        <v>20</v>
      </c>
      <c r="D2423" s="34" t="s">
        <v>1999</v>
      </c>
      <c r="E2423" s="35" t="s">
        <v>106</v>
      </c>
      <c r="F2423" s="34" t="str">
        <f t="shared" si="572"/>
        <v>C:\Users\jaime.benazar\Quorum Business Solutions\Ecopetrol Prometeo - Documents\Planning Space Implementation\3. Analysis &amp; Design\Design\FC22\DRR Jaime\QUIFA-CAJÚA\Cajua\[CAJUA_CF_SEC_New_27-Feb-2024Rev3.xlsx]D-PSNP'!</v>
      </c>
      <c r="G2423" s="32" t="s">
        <v>115</v>
      </c>
      <c r="H2423" s="33"/>
      <c r="I2423" s="33"/>
      <c r="J2423" s="37"/>
    </row>
    <row r="2424" spans="1:10" x14ac:dyDescent="0.25">
      <c r="A2424" s="32" t="s">
        <v>103</v>
      </c>
      <c r="B2424" s="32">
        <v>2051</v>
      </c>
      <c r="C2424" s="33" t="s">
        <v>20</v>
      </c>
      <c r="D2424" s="34" t="s">
        <v>1999</v>
      </c>
      <c r="E2424" s="35" t="s">
        <v>106</v>
      </c>
      <c r="F2424" s="34" t="str">
        <f t="shared" si="572"/>
        <v>C:\Users\jaime.benazar\Quorum Business Solutions\Ecopetrol Prometeo - Documents\Planning Space Implementation\3. Analysis &amp; Design\Design\FC22\DRR Jaime\QUIFA-CAJÚA\Cajua\[CAJUA_CF_SEC_New_27-Feb-2024Rev3.xlsx]D-PSNP'!</v>
      </c>
      <c r="G2424" s="32" t="s">
        <v>115</v>
      </c>
      <c r="H2424" s="33"/>
      <c r="I2424" s="33"/>
      <c r="J2424" s="37"/>
    </row>
    <row r="2425" spans="1:10" x14ac:dyDescent="0.25">
      <c r="A2425" s="32" t="s">
        <v>103</v>
      </c>
      <c r="B2425" s="32">
        <v>2052</v>
      </c>
      <c r="C2425" s="33" t="s">
        <v>20</v>
      </c>
      <c r="D2425" s="34" t="s">
        <v>1999</v>
      </c>
      <c r="E2425" s="35" t="s">
        <v>106</v>
      </c>
      <c r="F2425" s="34" t="str">
        <f t="shared" si="572"/>
        <v>C:\Users\jaime.benazar\Quorum Business Solutions\Ecopetrol Prometeo - Documents\Planning Space Implementation\3. Analysis &amp; Design\Design\FC22\DRR Jaime\QUIFA-CAJÚA\Cajua\[CAJUA_CF_SEC_New_27-Feb-2024Rev3.xlsx]D-PSNP'!</v>
      </c>
      <c r="G2425" s="32" t="s">
        <v>115</v>
      </c>
      <c r="H2425" s="33"/>
      <c r="I2425" s="33"/>
      <c r="J2425" s="37"/>
    </row>
    <row r="2426" spans="1:10" x14ac:dyDescent="0.25">
      <c r="A2426" s="32" t="s">
        <v>103</v>
      </c>
      <c r="B2426" s="32">
        <v>2053</v>
      </c>
      <c r="C2426" s="33" t="s">
        <v>20</v>
      </c>
      <c r="D2426" s="34" t="s">
        <v>1999</v>
      </c>
      <c r="E2426" s="35" t="s">
        <v>106</v>
      </c>
      <c r="F2426" s="34" t="str">
        <f t="shared" si="572"/>
        <v>C:\Users\jaime.benazar\Quorum Business Solutions\Ecopetrol Prometeo - Documents\Planning Space Implementation\3. Analysis &amp; Design\Design\FC22\DRR Jaime\QUIFA-CAJÚA\Cajua\[CAJUA_CF_SEC_New_27-Feb-2024Rev3.xlsx]D-PSNP'!</v>
      </c>
      <c r="G2426" s="32" t="s">
        <v>115</v>
      </c>
      <c r="H2426" s="33"/>
      <c r="I2426" s="33"/>
      <c r="J2426" s="37"/>
    </row>
    <row r="2427" spans="1:10" x14ac:dyDescent="0.25">
      <c r="A2427" s="32" t="s">
        <v>103</v>
      </c>
      <c r="B2427" s="32">
        <v>2054</v>
      </c>
      <c r="C2427" s="33" t="s">
        <v>20</v>
      </c>
      <c r="D2427" s="34" t="s">
        <v>1999</v>
      </c>
      <c r="E2427" s="35" t="s">
        <v>106</v>
      </c>
      <c r="F2427" s="34" t="str">
        <f t="shared" si="572"/>
        <v>C:\Users\jaime.benazar\Quorum Business Solutions\Ecopetrol Prometeo - Documents\Planning Space Implementation\3. Analysis &amp; Design\Design\FC22\DRR Jaime\QUIFA-CAJÚA\Cajua\[CAJUA_CF_SEC_New_27-Feb-2024Rev3.xlsx]D-PSNP'!</v>
      </c>
      <c r="G2427" s="32" t="s">
        <v>115</v>
      </c>
      <c r="H2427" s="33"/>
      <c r="I2427" s="33"/>
      <c r="J2427" s="37"/>
    </row>
    <row r="2428" spans="1:10" x14ac:dyDescent="0.25">
      <c r="A2428" s="32" t="s">
        <v>103</v>
      </c>
      <c r="B2428" s="32">
        <v>2055</v>
      </c>
      <c r="C2428" s="33" t="s">
        <v>20</v>
      </c>
      <c r="D2428" s="34" t="s">
        <v>1999</v>
      </c>
      <c r="E2428" s="35" t="s">
        <v>106</v>
      </c>
      <c r="F2428" s="34" t="str">
        <f t="shared" si="572"/>
        <v>C:\Users\jaime.benazar\Quorum Business Solutions\Ecopetrol Prometeo - Documents\Planning Space Implementation\3. Analysis &amp; Design\Design\FC22\DRR Jaime\QUIFA-CAJÚA\Cajua\[CAJUA_CF_SEC_New_27-Feb-2024Rev3.xlsx]D-PSNP'!</v>
      </c>
      <c r="G2428" s="32" t="s">
        <v>115</v>
      </c>
      <c r="H2428" s="33"/>
      <c r="I2428" s="33"/>
      <c r="J2428" s="37"/>
    </row>
    <row r="2429" spans="1:10" x14ac:dyDescent="0.25">
      <c r="A2429" s="32" t="s">
        <v>103</v>
      </c>
      <c r="B2429" s="32">
        <v>2056</v>
      </c>
      <c r="C2429" s="33" t="s">
        <v>20</v>
      </c>
      <c r="D2429" s="34" t="s">
        <v>1999</v>
      </c>
      <c r="E2429" s="35" t="s">
        <v>106</v>
      </c>
      <c r="F2429" s="34" t="str">
        <f t="shared" si="572"/>
        <v>C:\Users\jaime.benazar\Quorum Business Solutions\Ecopetrol Prometeo - Documents\Planning Space Implementation\3. Analysis &amp; Design\Design\FC22\DRR Jaime\QUIFA-CAJÚA\Cajua\[CAJUA_CF_SEC_New_27-Feb-2024Rev3.xlsx]D-PSNP'!</v>
      </c>
      <c r="G2429" s="32" t="s">
        <v>115</v>
      </c>
      <c r="H2429" s="33"/>
      <c r="I2429" s="33"/>
      <c r="J2429" s="37"/>
    </row>
    <row r="2430" spans="1:10" x14ac:dyDescent="0.25">
      <c r="A2430" s="32" t="s">
        <v>103</v>
      </c>
      <c r="B2430" s="32">
        <v>2057</v>
      </c>
      <c r="C2430" s="33" t="s">
        <v>20</v>
      </c>
      <c r="D2430" s="34" t="s">
        <v>1999</v>
      </c>
      <c r="E2430" s="35" t="s">
        <v>106</v>
      </c>
      <c r="F2430" s="34" t="str">
        <f t="shared" si="572"/>
        <v>C:\Users\jaime.benazar\Quorum Business Solutions\Ecopetrol Prometeo - Documents\Planning Space Implementation\3. Analysis &amp; Design\Design\FC22\DRR Jaime\QUIFA-CAJÚA\Cajua\[CAJUA_CF_SEC_New_27-Feb-2024Rev3.xlsx]D-PSNP'!</v>
      </c>
      <c r="G2430" s="32" t="s">
        <v>115</v>
      </c>
      <c r="H2430" s="33"/>
      <c r="I2430" s="33"/>
      <c r="J2430" s="37"/>
    </row>
    <row r="2431" spans="1:10" x14ac:dyDescent="0.25">
      <c r="A2431" s="32" t="s">
        <v>103</v>
      </c>
      <c r="B2431" s="32">
        <v>2058</v>
      </c>
      <c r="C2431" s="33" t="s">
        <v>20</v>
      </c>
      <c r="D2431" s="34" t="s">
        <v>1999</v>
      </c>
      <c r="E2431" s="35" t="s">
        <v>106</v>
      </c>
      <c r="F2431" s="34" t="str">
        <f t="shared" si="572"/>
        <v>C:\Users\jaime.benazar\Quorum Business Solutions\Ecopetrol Prometeo - Documents\Planning Space Implementation\3. Analysis &amp; Design\Design\FC22\DRR Jaime\QUIFA-CAJÚA\Cajua\[CAJUA_CF_SEC_New_27-Feb-2024Rev3.xlsx]D-PSNP'!</v>
      </c>
      <c r="G2431" s="32" t="s">
        <v>115</v>
      </c>
      <c r="H2431" s="33"/>
      <c r="I2431" s="33"/>
      <c r="J2431" s="37"/>
    </row>
    <row r="2432" spans="1:10" x14ac:dyDescent="0.25">
      <c r="A2432" s="32" t="s">
        <v>103</v>
      </c>
      <c r="B2432" s="32">
        <v>2059</v>
      </c>
      <c r="C2432" s="33" t="s">
        <v>20</v>
      </c>
      <c r="D2432" s="34" t="s">
        <v>1999</v>
      </c>
      <c r="E2432" s="35" t="s">
        <v>106</v>
      </c>
      <c r="F2432" s="34" t="str">
        <f t="shared" si="572"/>
        <v>C:\Users\jaime.benazar\Quorum Business Solutions\Ecopetrol Prometeo - Documents\Planning Space Implementation\3. Analysis &amp; Design\Design\FC22\DRR Jaime\QUIFA-CAJÚA\Cajua\[CAJUA_CF_SEC_New_27-Feb-2024Rev3.xlsx]D-PSNP'!</v>
      </c>
      <c r="G2432" s="32" t="s">
        <v>115</v>
      </c>
      <c r="H2432" s="33"/>
      <c r="I2432" s="33"/>
      <c r="J2432" s="37"/>
    </row>
    <row r="2433" spans="1:10" x14ac:dyDescent="0.25">
      <c r="A2433" s="32" t="s">
        <v>28</v>
      </c>
      <c r="B2433" s="32"/>
      <c r="C2433" s="33" t="s">
        <v>20</v>
      </c>
      <c r="D2433" s="34"/>
      <c r="E2433" s="35"/>
      <c r="F2433" s="34"/>
      <c r="G2433" s="32"/>
      <c r="H2433" s="33"/>
      <c r="I2433" s="33"/>
      <c r="J2433" s="33"/>
    </row>
    <row r="2434" spans="1:10" x14ac:dyDescent="0.25">
      <c r="A2434" s="32" t="s">
        <v>104</v>
      </c>
      <c r="B2434" s="32">
        <v>2023</v>
      </c>
      <c r="C2434" s="33" t="s">
        <v>20</v>
      </c>
      <c r="D2434" s="34" t="s">
        <v>1999</v>
      </c>
      <c r="E2434" s="35" t="s">
        <v>107</v>
      </c>
      <c r="F2434" s="34" t="str">
        <f t="shared" ref="F2434:F2454" si="573">_xlfn.CONCAT(D2434:E2434)</f>
        <v>C:\Users\jaime.benazar\Quorum Business Solutions\Ecopetrol Prometeo - Documents\Planning Space Implementation\3. Analysis &amp; Design\Design\FC22\DRR Jaime\QUIFA-CAJÚA\Cajua\[CAJUA_CF_SEC_New_27-Feb-2024Rev3.xlsx]D-PSND'!</v>
      </c>
      <c r="G2434" s="32" t="s">
        <v>115</v>
      </c>
      <c r="H2434" s="33"/>
      <c r="I2434" s="33"/>
      <c r="J2434" s="37"/>
    </row>
    <row r="2435" spans="1:10" x14ac:dyDescent="0.25">
      <c r="A2435" s="32" t="s">
        <v>104</v>
      </c>
      <c r="B2435" s="32">
        <v>2024</v>
      </c>
      <c r="C2435" s="33" t="s">
        <v>20</v>
      </c>
      <c r="D2435" s="34" t="s">
        <v>1999</v>
      </c>
      <c r="E2435" s="35" t="s">
        <v>107</v>
      </c>
      <c r="F2435" s="34" t="str">
        <f t="shared" si="573"/>
        <v>C:\Users\jaime.benazar\Quorum Business Solutions\Ecopetrol Prometeo - Documents\Planning Space Implementation\3. Analysis &amp; Design\Design\FC22\DRR Jaime\QUIFA-CAJÚA\Cajua\[CAJUA_CF_SEC_New_27-Feb-2024Rev3.xlsx]D-PSND'!</v>
      </c>
      <c r="G2435" s="32" t="s">
        <v>115</v>
      </c>
      <c r="H2435" s="33"/>
      <c r="I2435" s="33"/>
      <c r="J2435" s="37"/>
    </row>
    <row r="2436" spans="1:10" x14ac:dyDescent="0.25">
      <c r="A2436" s="32" t="s">
        <v>104</v>
      </c>
      <c r="B2436" s="32">
        <v>2025</v>
      </c>
      <c r="C2436" s="33" t="s">
        <v>20</v>
      </c>
      <c r="D2436" s="34" t="s">
        <v>1999</v>
      </c>
      <c r="E2436" s="35" t="s">
        <v>107</v>
      </c>
      <c r="F2436" s="34" t="str">
        <f t="shared" si="573"/>
        <v>C:\Users\jaime.benazar\Quorum Business Solutions\Ecopetrol Prometeo - Documents\Planning Space Implementation\3. Analysis &amp; Design\Design\FC22\DRR Jaime\QUIFA-CAJÚA\Cajua\[CAJUA_CF_SEC_New_27-Feb-2024Rev3.xlsx]D-PSND'!</v>
      </c>
      <c r="G2436" s="32" t="s">
        <v>115</v>
      </c>
      <c r="H2436" s="33"/>
      <c r="I2436" s="33"/>
      <c r="J2436" s="37"/>
    </row>
    <row r="2437" spans="1:10" x14ac:dyDescent="0.25">
      <c r="A2437" s="32" t="s">
        <v>104</v>
      </c>
      <c r="B2437" s="32">
        <v>2026</v>
      </c>
      <c r="C2437" s="33" t="s">
        <v>20</v>
      </c>
      <c r="D2437" s="34" t="s">
        <v>1999</v>
      </c>
      <c r="E2437" s="35" t="s">
        <v>107</v>
      </c>
      <c r="F2437" s="34" t="str">
        <f t="shared" si="573"/>
        <v>C:\Users\jaime.benazar\Quorum Business Solutions\Ecopetrol Prometeo - Documents\Planning Space Implementation\3. Analysis &amp; Design\Design\FC22\DRR Jaime\QUIFA-CAJÚA\Cajua\[CAJUA_CF_SEC_New_27-Feb-2024Rev3.xlsx]D-PSND'!</v>
      </c>
      <c r="G2437" s="32" t="s">
        <v>115</v>
      </c>
      <c r="H2437" s="33"/>
      <c r="I2437" s="33"/>
      <c r="J2437" s="37"/>
    </row>
    <row r="2438" spans="1:10" x14ac:dyDescent="0.25">
      <c r="A2438" s="32" t="s">
        <v>104</v>
      </c>
      <c r="B2438" s="32">
        <v>2027</v>
      </c>
      <c r="C2438" s="33" t="s">
        <v>20</v>
      </c>
      <c r="D2438" s="34" t="s">
        <v>1999</v>
      </c>
      <c r="E2438" s="35" t="s">
        <v>107</v>
      </c>
      <c r="F2438" s="34" t="str">
        <f t="shared" si="573"/>
        <v>C:\Users\jaime.benazar\Quorum Business Solutions\Ecopetrol Prometeo - Documents\Planning Space Implementation\3. Analysis &amp; Design\Design\FC22\DRR Jaime\QUIFA-CAJÚA\Cajua\[CAJUA_CF_SEC_New_27-Feb-2024Rev3.xlsx]D-PSND'!</v>
      </c>
      <c r="G2438" s="32" t="s">
        <v>115</v>
      </c>
      <c r="H2438" s="33"/>
      <c r="I2438" s="33"/>
      <c r="J2438" s="37"/>
    </row>
    <row r="2439" spans="1:10" x14ac:dyDescent="0.25">
      <c r="A2439" s="32" t="s">
        <v>104</v>
      </c>
      <c r="B2439" s="32">
        <v>2028</v>
      </c>
      <c r="C2439" s="33" t="s">
        <v>20</v>
      </c>
      <c r="D2439" s="34" t="s">
        <v>1999</v>
      </c>
      <c r="E2439" s="35" t="s">
        <v>107</v>
      </c>
      <c r="F2439" s="34" t="str">
        <f t="shared" si="573"/>
        <v>C:\Users\jaime.benazar\Quorum Business Solutions\Ecopetrol Prometeo - Documents\Planning Space Implementation\3. Analysis &amp; Design\Design\FC22\DRR Jaime\QUIFA-CAJÚA\Cajua\[CAJUA_CF_SEC_New_27-Feb-2024Rev3.xlsx]D-PSND'!</v>
      </c>
      <c r="G2439" s="32" t="s">
        <v>115</v>
      </c>
      <c r="H2439" s="33"/>
      <c r="I2439" s="33"/>
      <c r="J2439" s="37"/>
    </row>
    <row r="2440" spans="1:10" x14ac:dyDescent="0.25">
      <c r="A2440" s="32" t="s">
        <v>104</v>
      </c>
      <c r="B2440" s="32">
        <v>2029</v>
      </c>
      <c r="C2440" s="33" t="s">
        <v>20</v>
      </c>
      <c r="D2440" s="34" t="s">
        <v>1999</v>
      </c>
      <c r="E2440" s="35" t="s">
        <v>107</v>
      </c>
      <c r="F2440" s="34" t="str">
        <f t="shared" si="573"/>
        <v>C:\Users\jaime.benazar\Quorum Business Solutions\Ecopetrol Prometeo - Documents\Planning Space Implementation\3. Analysis &amp; Design\Design\FC22\DRR Jaime\QUIFA-CAJÚA\Cajua\[CAJUA_CF_SEC_New_27-Feb-2024Rev3.xlsx]D-PSND'!</v>
      </c>
      <c r="G2440" s="32" t="s">
        <v>115</v>
      </c>
      <c r="H2440" s="33"/>
      <c r="I2440" s="33"/>
      <c r="J2440" s="37"/>
    </row>
    <row r="2441" spans="1:10" x14ac:dyDescent="0.25">
      <c r="A2441" s="32" t="s">
        <v>104</v>
      </c>
      <c r="B2441" s="32">
        <v>2030</v>
      </c>
      <c r="C2441" s="33" t="s">
        <v>20</v>
      </c>
      <c r="D2441" s="34" t="s">
        <v>1999</v>
      </c>
      <c r="E2441" s="35" t="s">
        <v>107</v>
      </c>
      <c r="F2441" s="34" t="str">
        <f t="shared" si="573"/>
        <v>C:\Users\jaime.benazar\Quorum Business Solutions\Ecopetrol Prometeo - Documents\Planning Space Implementation\3. Analysis &amp; Design\Design\FC22\DRR Jaime\QUIFA-CAJÚA\Cajua\[CAJUA_CF_SEC_New_27-Feb-2024Rev3.xlsx]D-PSND'!</v>
      </c>
      <c r="G2441" s="32" t="s">
        <v>115</v>
      </c>
      <c r="H2441" s="33"/>
      <c r="I2441" s="33"/>
      <c r="J2441" s="37"/>
    </row>
    <row r="2442" spans="1:10" x14ac:dyDescent="0.25">
      <c r="A2442" s="32" t="s">
        <v>104</v>
      </c>
      <c r="B2442" s="32">
        <v>2031</v>
      </c>
      <c r="C2442" s="33" t="s">
        <v>20</v>
      </c>
      <c r="D2442" s="34" t="s">
        <v>1999</v>
      </c>
      <c r="E2442" s="35" t="s">
        <v>107</v>
      </c>
      <c r="F2442" s="34" t="str">
        <f t="shared" si="573"/>
        <v>C:\Users\jaime.benazar\Quorum Business Solutions\Ecopetrol Prometeo - Documents\Planning Space Implementation\3. Analysis &amp; Design\Design\FC22\DRR Jaime\QUIFA-CAJÚA\Cajua\[CAJUA_CF_SEC_New_27-Feb-2024Rev3.xlsx]D-PSND'!</v>
      </c>
      <c r="G2442" s="32" t="s">
        <v>115</v>
      </c>
      <c r="H2442" s="33"/>
      <c r="I2442" s="33"/>
      <c r="J2442" s="37"/>
    </row>
    <row r="2443" spans="1:10" x14ac:dyDescent="0.25">
      <c r="A2443" s="32" t="s">
        <v>104</v>
      </c>
      <c r="B2443" s="32">
        <v>2032</v>
      </c>
      <c r="C2443" s="33" t="s">
        <v>20</v>
      </c>
      <c r="D2443" s="34" t="s">
        <v>1999</v>
      </c>
      <c r="E2443" s="35" t="s">
        <v>107</v>
      </c>
      <c r="F2443" s="34" t="str">
        <f t="shared" si="573"/>
        <v>C:\Users\jaime.benazar\Quorum Business Solutions\Ecopetrol Prometeo - Documents\Planning Space Implementation\3. Analysis &amp; Design\Design\FC22\DRR Jaime\QUIFA-CAJÚA\Cajua\[CAJUA_CF_SEC_New_27-Feb-2024Rev3.xlsx]D-PSND'!</v>
      </c>
      <c r="G2443" s="32" t="s">
        <v>115</v>
      </c>
      <c r="H2443" s="33"/>
      <c r="I2443" s="33"/>
      <c r="J2443" s="37"/>
    </row>
    <row r="2444" spans="1:10" x14ac:dyDescent="0.25">
      <c r="A2444" s="32" t="s">
        <v>104</v>
      </c>
      <c r="B2444" s="32">
        <v>2033</v>
      </c>
      <c r="C2444" s="33" t="s">
        <v>20</v>
      </c>
      <c r="D2444" s="34" t="s">
        <v>1999</v>
      </c>
      <c r="E2444" s="35" t="s">
        <v>107</v>
      </c>
      <c r="F2444" s="34" t="str">
        <f t="shared" si="573"/>
        <v>C:\Users\jaime.benazar\Quorum Business Solutions\Ecopetrol Prometeo - Documents\Planning Space Implementation\3. Analysis &amp; Design\Design\FC22\DRR Jaime\QUIFA-CAJÚA\Cajua\[CAJUA_CF_SEC_New_27-Feb-2024Rev3.xlsx]D-PSND'!</v>
      </c>
      <c r="G2444" s="32" t="s">
        <v>115</v>
      </c>
      <c r="H2444" s="33"/>
      <c r="I2444" s="33"/>
      <c r="J2444" s="37"/>
    </row>
    <row r="2445" spans="1:10" x14ac:dyDescent="0.25">
      <c r="A2445" s="32" t="s">
        <v>104</v>
      </c>
      <c r="B2445" s="32">
        <v>2034</v>
      </c>
      <c r="C2445" s="33" t="s">
        <v>20</v>
      </c>
      <c r="D2445" s="34" t="s">
        <v>1999</v>
      </c>
      <c r="E2445" s="35" t="s">
        <v>107</v>
      </c>
      <c r="F2445" s="34" t="str">
        <f t="shared" si="573"/>
        <v>C:\Users\jaime.benazar\Quorum Business Solutions\Ecopetrol Prometeo - Documents\Planning Space Implementation\3. Analysis &amp; Design\Design\FC22\DRR Jaime\QUIFA-CAJÚA\Cajua\[CAJUA_CF_SEC_New_27-Feb-2024Rev3.xlsx]D-PSND'!</v>
      </c>
      <c r="G2445" s="32" t="s">
        <v>115</v>
      </c>
      <c r="H2445" s="33"/>
      <c r="I2445" s="33"/>
      <c r="J2445" s="37"/>
    </row>
    <row r="2446" spans="1:10" x14ac:dyDescent="0.25">
      <c r="A2446" s="32" t="s">
        <v>104</v>
      </c>
      <c r="B2446" s="32">
        <v>2035</v>
      </c>
      <c r="C2446" s="33" t="s">
        <v>20</v>
      </c>
      <c r="D2446" s="34" t="s">
        <v>1999</v>
      </c>
      <c r="E2446" s="35" t="s">
        <v>107</v>
      </c>
      <c r="F2446" s="34" t="str">
        <f t="shared" si="573"/>
        <v>C:\Users\jaime.benazar\Quorum Business Solutions\Ecopetrol Prometeo - Documents\Planning Space Implementation\3. Analysis &amp; Design\Design\FC22\DRR Jaime\QUIFA-CAJÚA\Cajua\[CAJUA_CF_SEC_New_27-Feb-2024Rev3.xlsx]D-PSND'!</v>
      </c>
      <c r="G2446" s="32" t="s">
        <v>115</v>
      </c>
      <c r="H2446" s="33"/>
      <c r="I2446" s="33"/>
      <c r="J2446" s="37"/>
    </row>
    <row r="2447" spans="1:10" x14ac:dyDescent="0.25">
      <c r="A2447" s="32" t="s">
        <v>104</v>
      </c>
      <c r="B2447" s="32">
        <v>2036</v>
      </c>
      <c r="C2447" s="33" t="s">
        <v>20</v>
      </c>
      <c r="D2447" s="34" t="s">
        <v>1999</v>
      </c>
      <c r="E2447" s="35" t="s">
        <v>107</v>
      </c>
      <c r="F2447" s="34" t="str">
        <f t="shared" si="573"/>
        <v>C:\Users\jaime.benazar\Quorum Business Solutions\Ecopetrol Prometeo - Documents\Planning Space Implementation\3. Analysis &amp; Design\Design\FC22\DRR Jaime\QUIFA-CAJÚA\Cajua\[CAJUA_CF_SEC_New_27-Feb-2024Rev3.xlsx]D-PSND'!</v>
      </c>
      <c r="G2447" s="32" t="s">
        <v>115</v>
      </c>
      <c r="H2447" s="33"/>
      <c r="I2447" s="33"/>
      <c r="J2447" s="37"/>
    </row>
    <row r="2448" spans="1:10" x14ac:dyDescent="0.25">
      <c r="A2448" s="32" t="s">
        <v>104</v>
      </c>
      <c r="B2448" s="32">
        <v>2037</v>
      </c>
      <c r="C2448" s="33" t="s">
        <v>20</v>
      </c>
      <c r="D2448" s="34" t="s">
        <v>1999</v>
      </c>
      <c r="E2448" s="35" t="s">
        <v>107</v>
      </c>
      <c r="F2448" s="34" t="str">
        <f t="shared" si="573"/>
        <v>C:\Users\jaime.benazar\Quorum Business Solutions\Ecopetrol Prometeo - Documents\Planning Space Implementation\3. Analysis &amp; Design\Design\FC22\DRR Jaime\QUIFA-CAJÚA\Cajua\[CAJUA_CF_SEC_New_27-Feb-2024Rev3.xlsx]D-PSND'!</v>
      </c>
      <c r="G2448" s="32" t="s">
        <v>115</v>
      </c>
      <c r="H2448" s="33"/>
      <c r="I2448" s="33"/>
      <c r="J2448" s="37"/>
    </row>
    <row r="2449" spans="1:10" x14ac:dyDescent="0.25">
      <c r="A2449" s="32" t="s">
        <v>104</v>
      </c>
      <c r="B2449" s="32">
        <v>2038</v>
      </c>
      <c r="C2449" s="33" t="s">
        <v>20</v>
      </c>
      <c r="D2449" s="34" t="s">
        <v>1999</v>
      </c>
      <c r="E2449" s="35" t="s">
        <v>107</v>
      </c>
      <c r="F2449" s="34" t="str">
        <f t="shared" si="573"/>
        <v>C:\Users\jaime.benazar\Quorum Business Solutions\Ecopetrol Prometeo - Documents\Planning Space Implementation\3. Analysis &amp; Design\Design\FC22\DRR Jaime\QUIFA-CAJÚA\Cajua\[CAJUA_CF_SEC_New_27-Feb-2024Rev3.xlsx]D-PSND'!</v>
      </c>
      <c r="G2449" s="32" t="s">
        <v>115</v>
      </c>
      <c r="H2449" s="33"/>
      <c r="I2449" s="33"/>
      <c r="J2449" s="37"/>
    </row>
    <row r="2450" spans="1:10" x14ac:dyDescent="0.25">
      <c r="A2450" s="32" t="s">
        <v>104</v>
      </c>
      <c r="B2450" s="32">
        <v>2039</v>
      </c>
      <c r="C2450" s="33" t="s">
        <v>20</v>
      </c>
      <c r="D2450" s="34" t="s">
        <v>1999</v>
      </c>
      <c r="E2450" s="35" t="s">
        <v>107</v>
      </c>
      <c r="F2450" s="34" t="str">
        <f t="shared" si="573"/>
        <v>C:\Users\jaime.benazar\Quorum Business Solutions\Ecopetrol Prometeo - Documents\Planning Space Implementation\3. Analysis &amp; Design\Design\FC22\DRR Jaime\QUIFA-CAJÚA\Cajua\[CAJUA_CF_SEC_New_27-Feb-2024Rev3.xlsx]D-PSND'!</v>
      </c>
      <c r="G2450" s="32" t="s">
        <v>115</v>
      </c>
      <c r="H2450" s="33"/>
      <c r="I2450" s="33"/>
      <c r="J2450" s="37"/>
    </row>
    <row r="2451" spans="1:10" x14ac:dyDescent="0.25">
      <c r="A2451" s="32" t="s">
        <v>104</v>
      </c>
      <c r="B2451" s="32">
        <v>2040</v>
      </c>
      <c r="C2451" s="33" t="s">
        <v>20</v>
      </c>
      <c r="D2451" s="34" t="s">
        <v>1999</v>
      </c>
      <c r="E2451" s="35" t="s">
        <v>107</v>
      </c>
      <c r="F2451" s="34" t="str">
        <f t="shared" si="573"/>
        <v>C:\Users\jaime.benazar\Quorum Business Solutions\Ecopetrol Prometeo - Documents\Planning Space Implementation\3. Analysis &amp; Design\Design\FC22\DRR Jaime\QUIFA-CAJÚA\Cajua\[CAJUA_CF_SEC_New_27-Feb-2024Rev3.xlsx]D-PSND'!</v>
      </c>
      <c r="G2451" s="32" t="s">
        <v>115</v>
      </c>
      <c r="H2451" s="33"/>
      <c r="I2451" s="33"/>
      <c r="J2451" s="37"/>
    </row>
    <row r="2452" spans="1:10" x14ac:dyDescent="0.25">
      <c r="A2452" s="32" t="s">
        <v>104</v>
      </c>
      <c r="B2452" s="32">
        <v>2041</v>
      </c>
      <c r="C2452" s="33" t="s">
        <v>20</v>
      </c>
      <c r="D2452" s="34" t="s">
        <v>1999</v>
      </c>
      <c r="E2452" s="35" t="s">
        <v>107</v>
      </c>
      <c r="F2452" s="34" t="str">
        <f t="shared" si="573"/>
        <v>C:\Users\jaime.benazar\Quorum Business Solutions\Ecopetrol Prometeo - Documents\Planning Space Implementation\3. Analysis &amp; Design\Design\FC22\DRR Jaime\QUIFA-CAJÚA\Cajua\[CAJUA_CF_SEC_New_27-Feb-2024Rev3.xlsx]D-PSND'!</v>
      </c>
      <c r="G2452" s="32" t="s">
        <v>115</v>
      </c>
      <c r="H2452" s="33"/>
      <c r="I2452" s="33"/>
      <c r="J2452" s="37"/>
    </row>
    <row r="2453" spans="1:10" x14ac:dyDescent="0.25">
      <c r="A2453" s="32" t="s">
        <v>104</v>
      </c>
      <c r="B2453" s="32">
        <v>2042</v>
      </c>
      <c r="C2453" s="33" t="s">
        <v>20</v>
      </c>
      <c r="D2453" s="34" t="s">
        <v>1999</v>
      </c>
      <c r="E2453" s="35" t="s">
        <v>107</v>
      </c>
      <c r="F2453" s="34" t="str">
        <f t="shared" si="573"/>
        <v>C:\Users\jaime.benazar\Quorum Business Solutions\Ecopetrol Prometeo - Documents\Planning Space Implementation\3. Analysis &amp; Design\Design\FC22\DRR Jaime\QUIFA-CAJÚA\Cajua\[CAJUA_CF_SEC_New_27-Feb-2024Rev3.xlsx]D-PSND'!</v>
      </c>
      <c r="G2453" s="32" t="s">
        <v>115</v>
      </c>
      <c r="H2453" s="33"/>
      <c r="I2453" s="33"/>
      <c r="J2453" s="37"/>
    </row>
    <row r="2454" spans="1:10" x14ac:dyDescent="0.25">
      <c r="A2454" s="32" t="s">
        <v>104</v>
      </c>
      <c r="B2454" s="32">
        <v>2043</v>
      </c>
      <c r="C2454" s="33" t="s">
        <v>20</v>
      </c>
      <c r="D2454" s="34" t="s">
        <v>1999</v>
      </c>
      <c r="E2454" s="35" t="s">
        <v>107</v>
      </c>
      <c r="F2454" s="34" t="str">
        <f t="shared" si="573"/>
        <v>C:\Users\jaime.benazar\Quorum Business Solutions\Ecopetrol Prometeo - Documents\Planning Space Implementation\3. Analysis &amp; Design\Design\FC22\DRR Jaime\QUIFA-CAJÚA\Cajua\[CAJUA_CF_SEC_New_27-Feb-2024Rev3.xlsx]D-PSND'!</v>
      </c>
      <c r="G2454" s="32" t="s">
        <v>115</v>
      </c>
      <c r="H2454" s="33"/>
      <c r="I2454" s="33"/>
      <c r="J2454" s="37"/>
    </row>
    <row r="2455" spans="1:10" x14ac:dyDescent="0.25">
      <c r="A2455" s="32" t="s">
        <v>104</v>
      </c>
      <c r="B2455" s="32">
        <v>2044</v>
      </c>
      <c r="C2455" s="33" t="s">
        <v>20</v>
      </c>
      <c r="D2455" s="34" t="s">
        <v>1999</v>
      </c>
      <c r="E2455" s="35" t="s">
        <v>107</v>
      </c>
      <c r="F2455" s="34" t="str">
        <f t="shared" ref="F2455:F2470" si="574">_xlfn.CONCAT(D2455:E2455)</f>
        <v>C:\Users\jaime.benazar\Quorum Business Solutions\Ecopetrol Prometeo - Documents\Planning Space Implementation\3. Analysis &amp; Design\Design\FC22\DRR Jaime\QUIFA-CAJÚA\Cajua\[CAJUA_CF_SEC_New_27-Feb-2024Rev3.xlsx]D-PSND'!</v>
      </c>
      <c r="G2455" s="32" t="s">
        <v>115</v>
      </c>
      <c r="H2455" s="33"/>
      <c r="I2455" s="33"/>
      <c r="J2455" s="37"/>
    </row>
    <row r="2456" spans="1:10" x14ac:dyDescent="0.25">
      <c r="A2456" s="32" t="s">
        <v>104</v>
      </c>
      <c r="B2456" s="32">
        <v>2045</v>
      </c>
      <c r="C2456" s="33" t="s">
        <v>20</v>
      </c>
      <c r="D2456" s="34" t="s">
        <v>1999</v>
      </c>
      <c r="E2456" s="35" t="s">
        <v>107</v>
      </c>
      <c r="F2456" s="34" t="str">
        <f t="shared" si="574"/>
        <v>C:\Users\jaime.benazar\Quorum Business Solutions\Ecopetrol Prometeo - Documents\Planning Space Implementation\3. Analysis &amp; Design\Design\FC22\DRR Jaime\QUIFA-CAJÚA\Cajua\[CAJUA_CF_SEC_New_27-Feb-2024Rev3.xlsx]D-PSND'!</v>
      </c>
      <c r="G2456" s="32" t="s">
        <v>115</v>
      </c>
      <c r="H2456" s="33"/>
      <c r="I2456" s="33"/>
      <c r="J2456" s="37"/>
    </row>
    <row r="2457" spans="1:10" x14ac:dyDescent="0.25">
      <c r="A2457" s="32" t="s">
        <v>104</v>
      </c>
      <c r="B2457" s="32">
        <v>2046</v>
      </c>
      <c r="C2457" s="33" t="s">
        <v>20</v>
      </c>
      <c r="D2457" s="34" t="s">
        <v>1999</v>
      </c>
      <c r="E2457" s="35" t="s">
        <v>107</v>
      </c>
      <c r="F2457" s="34" t="str">
        <f t="shared" si="574"/>
        <v>C:\Users\jaime.benazar\Quorum Business Solutions\Ecopetrol Prometeo - Documents\Planning Space Implementation\3. Analysis &amp; Design\Design\FC22\DRR Jaime\QUIFA-CAJÚA\Cajua\[CAJUA_CF_SEC_New_27-Feb-2024Rev3.xlsx]D-PSND'!</v>
      </c>
      <c r="G2457" s="32" t="s">
        <v>115</v>
      </c>
      <c r="H2457" s="33"/>
      <c r="I2457" s="33"/>
      <c r="J2457" s="37"/>
    </row>
    <row r="2458" spans="1:10" x14ac:dyDescent="0.25">
      <c r="A2458" s="32" t="s">
        <v>104</v>
      </c>
      <c r="B2458" s="32">
        <v>2047</v>
      </c>
      <c r="C2458" s="33" t="s">
        <v>20</v>
      </c>
      <c r="D2458" s="34" t="s">
        <v>1999</v>
      </c>
      <c r="E2458" s="35" t="s">
        <v>107</v>
      </c>
      <c r="F2458" s="34" t="str">
        <f t="shared" si="574"/>
        <v>C:\Users\jaime.benazar\Quorum Business Solutions\Ecopetrol Prometeo - Documents\Planning Space Implementation\3. Analysis &amp; Design\Design\FC22\DRR Jaime\QUIFA-CAJÚA\Cajua\[CAJUA_CF_SEC_New_27-Feb-2024Rev3.xlsx]D-PSND'!</v>
      </c>
      <c r="G2458" s="32" t="s">
        <v>115</v>
      </c>
      <c r="H2458" s="33"/>
      <c r="I2458" s="33"/>
      <c r="J2458" s="37"/>
    </row>
    <row r="2459" spans="1:10" x14ac:dyDescent="0.25">
      <c r="A2459" s="32" t="s">
        <v>104</v>
      </c>
      <c r="B2459" s="32">
        <v>2048</v>
      </c>
      <c r="C2459" s="33" t="s">
        <v>20</v>
      </c>
      <c r="D2459" s="34" t="s">
        <v>1999</v>
      </c>
      <c r="E2459" s="35" t="s">
        <v>107</v>
      </c>
      <c r="F2459" s="34" t="str">
        <f t="shared" si="574"/>
        <v>C:\Users\jaime.benazar\Quorum Business Solutions\Ecopetrol Prometeo - Documents\Planning Space Implementation\3. Analysis &amp; Design\Design\FC22\DRR Jaime\QUIFA-CAJÚA\Cajua\[CAJUA_CF_SEC_New_27-Feb-2024Rev3.xlsx]D-PSND'!</v>
      </c>
      <c r="G2459" s="32" t="s">
        <v>115</v>
      </c>
      <c r="H2459" s="33"/>
      <c r="I2459" s="33"/>
      <c r="J2459" s="37"/>
    </row>
    <row r="2460" spans="1:10" x14ac:dyDescent="0.25">
      <c r="A2460" s="32" t="s">
        <v>104</v>
      </c>
      <c r="B2460" s="32">
        <v>2049</v>
      </c>
      <c r="C2460" s="33" t="s">
        <v>20</v>
      </c>
      <c r="D2460" s="34" t="s">
        <v>1999</v>
      </c>
      <c r="E2460" s="35" t="s">
        <v>107</v>
      </c>
      <c r="F2460" s="34" t="str">
        <f t="shared" si="574"/>
        <v>C:\Users\jaime.benazar\Quorum Business Solutions\Ecopetrol Prometeo - Documents\Planning Space Implementation\3. Analysis &amp; Design\Design\FC22\DRR Jaime\QUIFA-CAJÚA\Cajua\[CAJUA_CF_SEC_New_27-Feb-2024Rev3.xlsx]D-PSND'!</v>
      </c>
      <c r="G2460" s="32" t="s">
        <v>115</v>
      </c>
      <c r="H2460" s="33"/>
      <c r="I2460" s="33"/>
      <c r="J2460" s="37"/>
    </row>
    <row r="2461" spans="1:10" x14ac:dyDescent="0.25">
      <c r="A2461" s="32" t="s">
        <v>104</v>
      </c>
      <c r="B2461" s="32">
        <v>2050</v>
      </c>
      <c r="C2461" s="33" t="s">
        <v>20</v>
      </c>
      <c r="D2461" s="34" t="s">
        <v>1999</v>
      </c>
      <c r="E2461" s="35" t="s">
        <v>107</v>
      </c>
      <c r="F2461" s="34" t="str">
        <f t="shared" si="574"/>
        <v>C:\Users\jaime.benazar\Quorum Business Solutions\Ecopetrol Prometeo - Documents\Planning Space Implementation\3. Analysis &amp; Design\Design\FC22\DRR Jaime\QUIFA-CAJÚA\Cajua\[CAJUA_CF_SEC_New_27-Feb-2024Rev3.xlsx]D-PSND'!</v>
      </c>
      <c r="G2461" s="32" t="s">
        <v>115</v>
      </c>
      <c r="H2461" s="33"/>
      <c r="I2461" s="33"/>
      <c r="J2461" s="37"/>
    </row>
    <row r="2462" spans="1:10" x14ac:dyDescent="0.25">
      <c r="A2462" s="32" t="s">
        <v>104</v>
      </c>
      <c r="B2462" s="32">
        <v>2051</v>
      </c>
      <c r="C2462" s="33" t="s">
        <v>20</v>
      </c>
      <c r="D2462" s="34" t="s">
        <v>1999</v>
      </c>
      <c r="E2462" s="35" t="s">
        <v>107</v>
      </c>
      <c r="F2462" s="34" t="str">
        <f t="shared" si="574"/>
        <v>C:\Users\jaime.benazar\Quorum Business Solutions\Ecopetrol Prometeo - Documents\Planning Space Implementation\3. Analysis &amp; Design\Design\FC22\DRR Jaime\QUIFA-CAJÚA\Cajua\[CAJUA_CF_SEC_New_27-Feb-2024Rev3.xlsx]D-PSND'!</v>
      </c>
      <c r="G2462" s="32" t="s">
        <v>115</v>
      </c>
      <c r="H2462" s="33"/>
      <c r="I2462" s="33"/>
      <c r="J2462" s="37"/>
    </row>
    <row r="2463" spans="1:10" x14ac:dyDescent="0.25">
      <c r="A2463" s="32" t="s">
        <v>104</v>
      </c>
      <c r="B2463" s="32">
        <v>2052</v>
      </c>
      <c r="C2463" s="33" t="s">
        <v>20</v>
      </c>
      <c r="D2463" s="34" t="s">
        <v>1999</v>
      </c>
      <c r="E2463" s="35" t="s">
        <v>107</v>
      </c>
      <c r="F2463" s="34" t="str">
        <f t="shared" si="574"/>
        <v>C:\Users\jaime.benazar\Quorum Business Solutions\Ecopetrol Prometeo - Documents\Planning Space Implementation\3. Analysis &amp; Design\Design\FC22\DRR Jaime\QUIFA-CAJÚA\Cajua\[CAJUA_CF_SEC_New_27-Feb-2024Rev3.xlsx]D-PSND'!</v>
      </c>
      <c r="G2463" s="32" t="s">
        <v>115</v>
      </c>
      <c r="H2463" s="33"/>
      <c r="I2463" s="33"/>
      <c r="J2463" s="37"/>
    </row>
    <row r="2464" spans="1:10" x14ac:dyDescent="0.25">
      <c r="A2464" s="32" t="s">
        <v>104</v>
      </c>
      <c r="B2464" s="32">
        <v>2053</v>
      </c>
      <c r="C2464" s="33" t="s">
        <v>20</v>
      </c>
      <c r="D2464" s="34" t="s">
        <v>1999</v>
      </c>
      <c r="E2464" s="35" t="s">
        <v>107</v>
      </c>
      <c r="F2464" s="34" t="str">
        <f t="shared" si="574"/>
        <v>C:\Users\jaime.benazar\Quorum Business Solutions\Ecopetrol Prometeo - Documents\Planning Space Implementation\3. Analysis &amp; Design\Design\FC22\DRR Jaime\QUIFA-CAJÚA\Cajua\[CAJUA_CF_SEC_New_27-Feb-2024Rev3.xlsx]D-PSND'!</v>
      </c>
      <c r="G2464" s="32" t="s">
        <v>115</v>
      </c>
      <c r="H2464" s="33"/>
      <c r="I2464" s="33"/>
      <c r="J2464" s="37"/>
    </row>
    <row r="2465" spans="1:10" x14ac:dyDescent="0.25">
      <c r="A2465" s="32" t="s">
        <v>104</v>
      </c>
      <c r="B2465" s="32">
        <v>2054</v>
      </c>
      <c r="C2465" s="33" t="s">
        <v>20</v>
      </c>
      <c r="D2465" s="34" t="s">
        <v>1999</v>
      </c>
      <c r="E2465" s="35" t="s">
        <v>107</v>
      </c>
      <c r="F2465" s="34" t="str">
        <f t="shared" si="574"/>
        <v>C:\Users\jaime.benazar\Quorum Business Solutions\Ecopetrol Prometeo - Documents\Planning Space Implementation\3. Analysis &amp; Design\Design\FC22\DRR Jaime\QUIFA-CAJÚA\Cajua\[CAJUA_CF_SEC_New_27-Feb-2024Rev3.xlsx]D-PSND'!</v>
      </c>
      <c r="G2465" s="32" t="s">
        <v>115</v>
      </c>
      <c r="H2465" s="33"/>
      <c r="I2465" s="33"/>
      <c r="J2465" s="37"/>
    </row>
    <row r="2466" spans="1:10" x14ac:dyDescent="0.25">
      <c r="A2466" s="32" t="s">
        <v>104</v>
      </c>
      <c r="B2466" s="32">
        <v>2055</v>
      </c>
      <c r="C2466" s="33" t="s">
        <v>20</v>
      </c>
      <c r="D2466" s="34" t="s">
        <v>1999</v>
      </c>
      <c r="E2466" s="35" t="s">
        <v>107</v>
      </c>
      <c r="F2466" s="34" t="str">
        <f t="shared" si="574"/>
        <v>C:\Users\jaime.benazar\Quorum Business Solutions\Ecopetrol Prometeo - Documents\Planning Space Implementation\3. Analysis &amp; Design\Design\FC22\DRR Jaime\QUIFA-CAJÚA\Cajua\[CAJUA_CF_SEC_New_27-Feb-2024Rev3.xlsx]D-PSND'!</v>
      </c>
      <c r="G2466" s="32" t="s">
        <v>115</v>
      </c>
      <c r="H2466" s="33"/>
      <c r="I2466" s="33"/>
      <c r="J2466" s="37"/>
    </row>
    <row r="2467" spans="1:10" x14ac:dyDescent="0.25">
      <c r="A2467" s="32" t="s">
        <v>104</v>
      </c>
      <c r="B2467" s="32">
        <v>2056</v>
      </c>
      <c r="C2467" s="33" t="s">
        <v>20</v>
      </c>
      <c r="D2467" s="34" t="s">
        <v>1999</v>
      </c>
      <c r="E2467" s="35" t="s">
        <v>107</v>
      </c>
      <c r="F2467" s="34" t="str">
        <f t="shared" si="574"/>
        <v>C:\Users\jaime.benazar\Quorum Business Solutions\Ecopetrol Prometeo - Documents\Planning Space Implementation\3. Analysis &amp; Design\Design\FC22\DRR Jaime\QUIFA-CAJÚA\Cajua\[CAJUA_CF_SEC_New_27-Feb-2024Rev3.xlsx]D-PSND'!</v>
      </c>
      <c r="G2467" s="32" t="s">
        <v>115</v>
      </c>
      <c r="H2467" s="33"/>
      <c r="I2467" s="33"/>
      <c r="J2467" s="37"/>
    </row>
    <row r="2468" spans="1:10" x14ac:dyDescent="0.25">
      <c r="A2468" s="32" t="s">
        <v>104</v>
      </c>
      <c r="B2468" s="32">
        <v>2057</v>
      </c>
      <c r="C2468" s="33" t="s">
        <v>20</v>
      </c>
      <c r="D2468" s="34" t="s">
        <v>1999</v>
      </c>
      <c r="E2468" s="35" t="s">
        <v>107</v>
      </c>
      <c r="F2468" s="34" t="str">
        <f t="shared" si="574"/>
        <v>C:\Users\jaime.benazar\Quorum Business Solutions\Ecopetrol Prometeo - Documents\Planning Space Implementation\3. Analysis &amp; Design\Design\FC22\DRR Jaime\QUIFA-CAJÚA\Cajua\[CAJUA_CF_SEC_New_27-Feb-2024Rev3.xlsx]D-PSND'!</v>
      </c>
      <c r="G2468" s="32" t="s">
        <v>115</v>
      </c>
      <c r="H2468" s="33"/>
      <c r="I2468" s="33"/>
      <c r="J2468" s="37"/>
    </row>
    <row r="2469" spans="1:10" x14ac:dyDescent="0.25">
      <c r="A2469" s="32" t="s">
        <v>104</v>
      </c>
      <c r="B2469" s="32">
        <v>2058</v>
      </c>
      <c r="C2469" s="33" t="s">
        <v>20</v>
      </c>
      <c r="D2469" s="34" t="s">
        <v>1999</v>
      </c>
      <c r="E2469" s="35" t="s">
        <v>107</v>
      </c>
      <c r="F2469" s="34" t="str">
        <f t="shared" si="574"/>
        <v>C:\Users\jaime.benazar\Quorum Business Solutions\Ecopetrol Prometeo - Documents\Planning Space Implementation\3. Analysis &amp; Design\Design\FC22\DRR Jaime\QUIFA-CAJÚA\Cajua\[CAJUA_CF_SEC_New_27-Feb-2024Rev3.xlsx]D-PSND'!</v>
      </c>
      <c r="G2469" s="32" t="s">
        <v>115</v>
      </c>
      <c r="H2469" s="33"/>
      <c r="I2469" s="33"/>
      <c r="J2469" s="37"/>
    </row>
    <row r="2470" spans="1:10" x14ac:dyDescent="0.25">
      <c r="A2470" s="32" t="s">
        <v>104</v>
      </c>
      <c r="B2470" s="32">
        <v>2059</v>
      </c>
      <c r="C2470" s="33" t="s">
        <v>20</v>
      </c>
      <c r="D2470" s="34" t="s">
        <v>1999</v>
      </c>
      <c r="E2470" s="35" t="s">
        <v>107</v>
      </c>
      <c r="F2470" s="34" t="str">
        <f t="shared" si="574"/>
        <v>C:\Users\jaime.benazar\Quorum Business Solutions\Ecopetrol Prometeo - Documents\Planning Space Implementation\3. Analysis &amp; Design\Design\FC22\DRR Jaime\QUIFA-CAJÚA\Cajua\[CAJUA_CF_SEC_New_27-Feb-2024Rev3.xlsx]D-PSND'!</v>
      </c>
      <c r="G2470" s="32" t="s">
        <v>115</v>
      </c>
      <c r="H2470" s="33"/>
      <c r="I2470" s="33"/>
      <c r="J2470" s="37"/>
    </row>
    <row r="2471" spans="1:10" x14ac:dyDescent="0.25">
      <c r="A2471" s="32" t="s">
        <v>28</v>
      </c>
      <c r="B2471" s="32"/>
      <c r="C2471" s="33" t="s">
        <v>20</v>
      </c>
      <c r="D2471" s="34"/>
      <c r="E2471" s="35"/>
      <c r="F2471" s="34"/>
      <c r="G2471" s="32"/>
      <c r="H2471" s="33"/>
      <c r="I2471" s="33"/>
      <c r="J2471" s="33"/>
    </row>
    <row r="2472" spans="1:10" x14ac:dyDescent="0.25">
      <c r="A2472" s="32" t="s">
        <v>34</v>
      </c>
      <c r="B2472" s="32">
        <v>2023</v>
      </c>
      <c r="C2472" s="33" t="s">
        <v>20</v>
      </c>
      <c r="D2472" s="34" t="s">
        <v>1999</v>
      </c>
      <c r="E2472" s="35" t="str">
        <f t="shared" ref="E2472:E2492" si="575">_xlfn.CONCAT(A2472,"'!")</f>
        <v>PS'!</v>
      </c>
      <c r="F2472" s="34" t="str">
        <f t="shared" ref="F2472:F2492" si="576">_xlfn.CONCAT(D2472:E2472)</f>
        <v>C:\Users\jaime.benazar\Quorum Business Solutions\Ecopetrol Prometeo - Documents\Planning Space Implementation\3. Analysis &amp; Design\Design\FC22\DRR Jaime\QUIFA-CAJÚA\Cajua\[CAJUA_CF_SEC_New_27-Feb-2024Rev3.xlsx]D-PS'!</v>
      </c>
      <c r="G2472" s="32" t="s">
        <v>115</v>
      </c>
      <c r="H2472" s="33">
        <v>12</v>
      </c>
      <c r="I2472" s="33" t="str">
        <f t="shared" ref="I2472:I2508" si="577">_xlfn.CONCAT("='",F2472:H2472)</f>
        <v>='C:\Users\jaime.benazar\Quorum Business Solutions\Ecopetrol Prometeo - Documents\Planning Space Implementation\3. Analysis &amp; Design\Design\FC22\DRR Jaime\QUIFA-CAJÚA\Cajua\[CAJUA_CF_SEC_New_27-Feb-2024Rev3.xlsx]D-PS'!$DC$12</v>
      </c>
      <c r="J2472" s="37" t="s">
        <v>3073</v>
      </c>
    </row>
    <row r="2473" spans="1:10" x14ac:dyDescent="0.25">
      <c r="A2473" s="32" t="s">
        <v>34</v>
      </c>
      <c r="B2473" s="32">
        <f>+B2472+1</f>
        <v>2024</v>
      </c>
      <c r="C2473" s="33" t="s">
        <v>20</v>
      </c>
      <c r="D2473" s="34" t="s">
        <v>1999</v>
      </c>
      <c r="E2473" s="35" t="str">
        <f t="shared" si="575"/>
        <v>PS'!</v>
      </c>
      <c r="F2473" s="34" t="str">
        <f t="shared" si="576"/>
        <v>C:\Users\jaime.benazar\Quorum Business Solutions\Ecopetrol Prometeo - Documents\Planning Space Implementation\3. Analysis &amp; Design\Design\FC22\DRR Jaime\QUIFA-CAJÚA\Cajua\[CAJUA_CF_SEC_New_27-Feb-2024Rev3.xlsx]D-PS'!</v>
      </c>
      <c r="G2473" s="32" t="s">
        <v>115</v>
      </c>
      <c r="H2473" s="33">
        <f t="shared" ref="H2473:H2492" si="578">IF(A2473&lt;&gt;A2472,12,H2472+1)</f>
        <v>13</v>
      </c>
      <c r="I2473" s="33" t="str">
        <f t="shared" si="577"/>
        <v>='C:\Users\jaime.benazar\Quorum Business Solutions\Ecopetrol Prometeo - Documents\Planning Space Implementation\3. Analysis &amp; Design\Design\FC22\DRR Jaime\QUIFA-CAJÚA\Cajua\[CAJUA_CF_SEC_New_27-Feb-2024Rev3.xlsx]D-PS'!$DC$13</v>
      </c>
      <c r="J2473" s="37" t="s">
        <v>3074</v>
      </c>
    </row>
    <row r="2474" spans="1:10" x14ac:dyDescent="0.25">
      <c r="A2474" s="32" t="s">
        <v>34</v>
      </c>
      <c r="B2474" s="32">
        <f t="shared" ref="B2474:B2485" si="579">+B2473+1</f>
        <v>2025</v>
      </c>
      <c r="C2474" s="33" t="s">
        <v>20</v>
      </c>
      <c r="D2474" s="34" t="s">
        <v>1999</v>
      </c>
      <c r="E2474" s="35" t="str">
        <f t="shared" si="575"/>
        <v>PS'!</v>
      </c>
      <c r="F2474" s="34" t="str">
        <f t="shared" si="576"/>
        <v>C:\Users\jaime.benazar\Quorum Business Solutions\Ecopetrol Prometeo - Documents\Planning Space Implementation\3. Analysis &amp; Design\Design\FC22\DRR Jaime\QUIFA-CAJÚA\Cajua\[CAJUA_CF_SEC_New_27-Feb-2024Rev3.xlsx]D-PS'!</v>
      </c>
      <c r="G2474" s="32" t="s">
        <v>115</v>
      </c>
      <c r="H2474" s="33">
        <f t="shared" si="578"/>
        <v>14</v>
      </c>
      <c r="I2474" s="33" t="str">
        <f t="shared" si="577"/>
        <v>='C:\Users\jaime.benazar\Quorum Business Solutions\Ecopetrol Prometeo - Documents\Planning Space Implementation\3. Analysis &amp; Design\Design\FC22\DRR Jaime\QUIFA-CAJÚA\Cajua\[CAJUA_CF_SEC_New_27-Feb-2024Rev3.xlsx]D-PS'!$DC$14</v>
      </c>
      <c r="J2474" s="37" t="s">
        <v>3075</v>
      </c>
    </row>
    <row r="2475" spans="1:10" x14ac:dyDescent="0.25">
      <c r="A2475" s="32" t="s">
        <v>34</v>
      </c>
      <c r="B2475" s="32">
        <f t="shared" si="579"/>
        <v>2026</v>
      </c>
      <c r="C2475" s="33" t="s">
        <v>20</v>
      </c>
      <c r="D2475" s="34" t="s">
        <v>1999</v>
      </c>
      <c r="E2475" s="35" t="str">
        <f t="shared" si="575"/>
        <v>PS'!</v>
      </c>
      <c r="F2475" s="34" t="str">
        <f t="shared" si="576"/>
        <v>C:\Users\jaime.benazar\Quorum Business Solutions\Ecopetrol Prometeo - Documents\Planning Space Implementation\3. Analysis &amp; Design\Design\FC22\DRR Jaime\QUIFA-CAJÚA\Cajua\[CAJUA_CF_SEC_New_27-Feb-2024Rev3.xlsx]D-PS'!</v>
      </c>
      <c r="G2475" s="32" t="s">
        <v>115</v>
      </c>
      <c r="H2475" s="33">
        <f t="shared" si="578"/>
        <v>15</v>
      </c>
      <c r="I2475" s="33" t="str">
        <f t="shared" si="577"/>
        <v>='C:\Users\jaime.benazar\Quorum Business Solutions\Ecopetrol Prometeo - Documents\Planning Space Implementation\3. Analysis &amp; Design\Design\FC22\DRR Jaime\QUIFA-CAJÚA\Cajua\[CAJUA_CF_SEC_New_27-Feb-2024Rev3.xlsx]D-PS'!$DC$15</v>
      </c>
      <c r="J2475" s="37" t="s">
        <v>3076</v>
      </c>
    </row>
    <row r="2476" spans="1:10" x14ac:dyDescent="0.25">
      <c r="A2476" s="32" t="s">
        <v>34</v>
      </c>
      <c r="B2476" s="32">
        <f t="shared" si="579"/>
        <v>2027</v>
      </c>
      <c r="C2476" s="33" t="s">
        <v>20</v>
      </c>
      <c r="D2476" s="34" t="s">
        <v>1999</v>
      </c>
      <c r="E2476" s="35" t="str">
        <f t="shared" si="575"/>
        <v>PS'!</v>
      </c>
      <c r="F2476" s="34" t="str">
        <f t="shared" si="576"/>
        <v>C:\Users\jaime.benazar\Quorum Business Solutions\Ecopetrol Prometeo - Documents\Planning Space Implementation\3. Analysis &amp; Design\Design\FC22\DRR Jaime\QUIFA-CAJÚA\Cajua\[CAJUA_CF_SEC_New_27-Feb-2024Rev3.xlsx]D-PS'!</v>
      </c>
      <c r="G2476" s="32" t="s">
        <v>115</v>
      </c>
      <c r="H2476" s="33">
        <f t="shared" si="578"/>
        <v>16</v>
      </c>
      <c r="I2476" s="33" t="str">
        <f t="shared" si="577"/>
        <v>='C:\Users\jaime.benazar\Quorum Business Solutions\Ecopetrol Prometeo - Documents\Planning Space Implementation\3. Analysis &amp; Design\Design\FC22\DRR Jaime\QUIFA-CAJÚA\Cajua\[CAJUA_CF_SEC_New_27-Feb-2024Rev3.xlsx]D-PS'!$DC$16</v>
      </c>
      <c r="J2476" s="37" t="s">
        <v>3077</v>
      </c>
    </row>
    <row r="2477" spans="1:10" x14ac:dyDescent="0.25">
      <c r="A2477" s="32" t="s">
        <v>34</v>
      </c>
      <c r="B2477" s="32">
        <f t="shared" si="579"/>
        <v>2028</v>
      </c>
      <c r="C2477" s="33" t="s">
        <v>20</v>
      </c>
      <c r="D2477" s="34" t="s">
        <v>1999</v>
      </c>
      <c r="E2477" s="35" t="str">
        <f t="shared" si="575"/>
        <v>PS'!</v>
      </c>
      <c r="F2477" s="34" t="str">
        <f t="shared" si="576"/>
        <v>C:\Users\jaime.benazar\Quorum Business Solutions\Ecopetrol Prometeo - Documents\Planning Space Implementation\3. Analysis &amp; Design\Design\FC22\DRR Jaime\QUIFA-CAJÚA\Cajua\[CAJUA_CF_SEC_New_27-Feb-2024Rev3.xlsx]D-PS'!</v>
      </c>
      <c r="G2477" s="32" t="s">
        <v>115</v>
      </c>
      <c r="H2477" s="33">
        <f t="shared" si="578"/>
        <v>17</v>
      </c>
      <c r="I2477" s="33" t="str">
        <f t="shared" si="577"/>
        <v>='C:\Users\jaime.benazar\Quorum Business Solutions\Ecopetrol Prometeo - Documents\Planning Space Implementation\3. Analysis &amp; Design\Design\FC22\DRR Jaime\QUIFA-CAJÚA\Cajua\[CAJUA_CF_SEC_New_27-Feb-2024Rev3.xlsx]D-PS'!$DC$17</v>
      </c>
      <c r="J2477" s="37" t="s">
        <v>3078</v>
      </c>
    </row>
    <row r="2478" spans="1:10" x14ac:dyDescent="0.25">
      <c r="A2478" s="32" t="s">
        <v>34</v>
      </c>
      <c r="B2478" s="32">
        <f t="shared" si="579"/>
        <v>2029</v>
      </c>
      <c r="C2478" s="33" t="s">
        <v>20</v>
      </c>
      <c r="D2478" s="34" t="s">
        <v>1999</v>
      </c>
      <c r="E2478" s="35" t="str">
        <f t="shared" si="575"/>
        <v>PS'!</v>
      </c>
      <c r="F2478" s="34" t="str">
        <f t="shared" si="576"/>
        <v>C:\Users\jaime.benazar\Quorum Business Solutions\Ecopetrol Prometeo - Documents\Planning Space Implementation\3. Analysis &amp; Design\Design\FC22\DRR Jaime\QUIFA-CAJÚA\Cajua\[CAJUA_CF_SEC_New_27-Feb-2024Rev3.xlsx]D-PS'!</v>
      </c>
      <c r="G2478" s="32" t="s">
        <v>115</v>
      </c>
      <c r="H2478" s="33">
        <f t="shared" si="578"/>
        <v>18</v>
      </c>
      <c r="I2478" s="33" t="str">
        <f t="shared" si="577"/>
        <v>='C:\Users\jaime.benazar\Quorum Business Solutions\Ecopetrol Prometeo - Documents\Planning Space Implementation\3. Analysis &amp; Design\Design\FC22\DRR Jaime\QUIFA-CAJÚA\Cajua\[CAJUA_CF_SEC_New_27-Feb-2024Rev3.xlsx]D-PS'!$DC$18</v>
      </c>
      <c r="J2478" s="37" t="s">
        <v>3079</v>
      </c>
    </row>
    <row r="2479" spans="1:10" x14ac:dyDescent="0.25">
      <c r="A2479" s="32" t="s">
        <v>34</v>
      </c>
      <c r="B2479" s="32">
        <f t="shared" si="579"/>
        <v>2030</v>
      </c>
      <c r="C2479" s="33" t="s">
        <v>20</v>
      </c>
      <c r="D2479" s="34" t="s">
        <v>1999</v>
      </c>
      <c r="E2479" s="35" t="str">
        <f t="shared" si="575"/>
        <v>PS'!</v>
      </c>
      <c r="F2479" s="34" t="str">
        <f t="shared" si="576"/>
        <v>C:\Users\jaime.benazar\Quorum Business Solutions\Ecopetrol Prometeo - Documents\Planning Space Implementation\3. Analysis &amp; Design\Design\FC22\DRR Jaime\QUIFA-CAJÚA\Cajua\[CAJUA_CF_SEC_New_27-Feb-2024Rev3.xlsx]D-PS'!</v>
      </c>
      <c r="G2479" s="32" t="s">
        <v>115</v>
      </c>
      <c r="H2479" s="33">
        <f t="shared" si="578"/>
        <v>19</v>
      </c>
      <c r="I2479" s="33" t="str">
        <f t="shared" si="577"/>
        <v>='C:\Users\jaime.benazar\Quorum Business Solutions\Ecopetrol Prometeo - Documents\Planning Space Implementation\3. Analysis &amp; Design\Design\FC22\DRR Jaime\QUIFA-CAJÚA\Cajua\[CAJUA_CF_SEC_New_27-Feb-2024Rev3.xlsx]D-PS'!$DC$19</v>
      </c>
      <c r="J2479" s="37" t="s">
        <v>3080</v>
      </c>
    </row>
    <row r="2480" spans="1:10" x14ac:dyDescent="0.25">
      <c r="A2480" s="32" t="s">
        <v>34</v>
      </c>
      <c r="B2480" s="32">
        <f t="shared" si="579"/>
        <v>2031</v>
      </c>
      <c r="C2480" s="33" t="s">
        <v>20</v>
      </c>
      <c r="D2480" s="34" t="s">
        <v>1999</v>
      </c>
      <c r="E2480" s="35" t="str">
        <f t="shared" si="575"/>
        <v>PS'!</v>
      </c>
      <c r="F2480" s="34" t="str">
        <f t="shared" si="576"/>
        <v>C:\Users\jaime.benazar\Quorum Business Solutions\Ecopetrol Prometeo - Documents\Planning Space Implementation\3. Analysis &amp; Design\Design\FC22\DRR Jaime\QUIFA-CAJÚA\Cajua\[CAJUA_CF_SEC_New_27-Feb-2024Rev3.xlsx]D-PS'!</v>
      </c>
      <c r="G2480" s="32" t="s">
        <v>115</v>
      </c>
      <c r="H2480" s="33">
        <f t="shared" si="578"/>
        <v>20</v>
      </c>
      <c r="I2480" s="33" t="str">
        <f t="shared" si="577"/>
        <v>='C:\Users\jaime.benazar\Quorum Business Solutions\Ecopetrol Prometeo - Documents\Planning Space Implementation\3. Analysis &amp; Design\Design\FC22\DRR Jaime\QUIFA-CAJÚA\Cajua\[CAJUA_CF_SEC_New_27-Feb-2024Rev3.xlsx]D-PS'!$DC$20</v>
      </c>
      <c r="J2480" s="37" t="s">
        <v>3081</v>
      </c>
    </row>
    <row r="2481" spans="1:10" x14ac:dyDescent="0.25">
      <c r="A2481" s="32" t="s">
        <v>34</v>
      </c>
      <c r="B2481" s="32">
        <f t="shared" si="579"/>
        <v>2032</v>
      </c>
      <c r="C2481" s="33" t="s">
        <v>20</v>
      </c>
      <c r="D2481" s="34" t="s">
        <v>1999</v>
      </c>
      <c r="E2481" s="35" t="str">
        <f t="shared" si="575"/>
        <v>PS'!</v>
      </c>
      <c r="F2481" s="34" t="str">
        <f t="shared" si="576"/>
        <v>C:\Users\jaime.benazar\Quorum Business Solutions\Ecopetrol Prometeo - Documents\Planning Space Implementation\3. Analysis &amp; Design\Design\FC22\DRR Jaime\QUIFA-CAJÚA\Cajua\[CAJUA_CF_SEC_New_27-Feb-2024Rev3.xlsx]D-PS'!</v>
      </c>
      <c r="G2481" s="32" t="s">
        <v>115</v>
      </c>
      <c r="H2481" s="33">
        <f t="shared" si="578"/>
        <v>21</v>
      </c>
      <c r="I2481" s="33" t="str">
        <f t="shared" si="577"/>
        <v>='C:\Users\jaime.benazar\Quorum Business Solutions\Ecopetrol Prometeo - Documents\Planning Space Implementation\3. Analysis &amp; Design\Design\FC22\DRR Jaime\QUIFA-CAJÚA\Cajua\[CAJUA_CF_SEC_New_27-Feb-2024Rev3.xlsx]D-PS'!$DC$21</v>
      </c>
      <c r="J2481" s="37" t="s">
        <v>3082</v>
      </c>
    </row>
    <row r="2482" spans="1:10" x14ac:dyDescent="0.25">
      <c r="A2482" s="32" t="s">
        <v>34</v>
      </c>
      <c r="B2482" s="32">
        <f t="shared" si="579"/>
        <v>2033</v>
      </c>
      <c r="C2482" s="33" t="s">
        <v>20</v>
      </c>
      <c r="D2482" s="34" t="s">
        <v>1999</v>
      </c>
      <c r="E2482" s="35" t="str">
        <f t="shared" si="575"/>
        <v>PS'!</v>
      </c>
      <c r="F2482" s="34" t="str">
        <f t="shared" si="576"/>
        <v>C:\Users\jaime.benazar\Quorum Business Solutions\Ecopetrol Prometeo - Documents\Planning Space Implementation\3. Analysis &amp; Design\Design\FC22\DRR Jaime\QUIFA-CAJÚA\Cajua\[CAJUA_CF_SEC_New_27-Feb-2024Rev3.xlsx]D-PS'!</v>
      </c>
      <c r="G2482" s="32" t="s">
        <v>115</v>
      </c>
      <c r="H2482" s="33">
        <f t="shared" si="578"/>
        <v>22</v>
      </c>
      <c r="I2482" s="33" t="str">
        <f t="shared" si="577"/>
        <v>='C:\Users\jaime.benazar\Quorum Business Solutions\Ecopetrol Prometeo - Documents\Planning Space Implementation\3. Analysis &amp; Design\Design\FC22\DRR Jaime\QUIFA-CAJÚA\Cajua\[CAJUA_CF_SEC_New_27-Feb-2024Rev3.xlsx]D-PS'!$DC$22</v>
      </c>
      <c r="J2482" s="37" t="s">
        <v>3083</v>
      </c>
    </row>
    <row r="2483" spans="1:10" x14ac:dyDescent="0.25">
      <c r="A2483" s="32" t="s">
        <v>34</v>
      </c>
      <c r="B2483" s="32">
        <f t="shared" si="579"/>
        <v>2034</v>
      </c>
      <c r="C2483" s="33" t="s">
        <v>20</v>
      </c>
      <c r="D2483" s="34" t="s">
        <v>1999</v>
      </c>
      <c r="E2483" s="35" t="str">
        <f t="shared" si="575"/>
        <v>PS'!</v>
      </c>
      <c r="F2483" s="34" t="str">
        <f t="shared" si="576"/>
        <v>C:\Users\jaime.benazar\Quorum Business Solutions\Ecopetrol Prometeo - Documents\Planning Space Implementation\3. Analysis &amp; Design\Design\FC22\DRR Jaime\QUIFA-CAJÚA\Cajua\[CAJUA_CF_SEC_New_27-Feb-2024Rev3.xlsx]D-PS'!</v>
      </c>
      <c r="G2483" s="32" t="s">
        <v>115</v>
      </c>
      <c r="H2483" s="33">
        <f t="shared" si="578"/>
        <v>23</v>
      </c>
      <c r="I2483" s="33" t="str">
        <f t="shared" si="577"/>
        <v>='C:\Users\jaime.benazar\Quorum Business Solutions\Ecopetrol Prometeo - Documents\Planning Space Implementation\3. Analysis &amp; Design\Design\FC22\DRR Jaime\QUIFA-CAJÚA\Cajua\[CAJUA_CF_SEC_New_27-Feb-2024Rev3.xlsx]D-PS'!$DC$23</v>
      </c>
      <c r="J2483" s="37" t="s">
        <v>3084</v>
      </c>
    </row>
    <row r="2484" spans="1:10" x14ac:dyDescent="0.25">
      <c r="A2484" s="32" t="s">
        <v>34</v>
      </c>
      <c r="B2484" s="32">
        <f t="shared" si="579"/>
        <v>2035</v>
      </c>
      <c r="C2484" s="33" t="s">
        <v>20</v>
      </c>
      <c r="D2484" s="34" t="s">
        <v>1999</v>
      </c>
      <c r="E2484" s="35" t="str">
        <f t="shared" si="575"/>
        <v>PS'!</v>
      </c>
      <c r="F2484" s="34" t="str">
        <f t="shared" si="576"/>
        <v>C:\Users\jaime.benazar\Quorum Business Solutions\Ecopetrol Prometeo - Documents\Planning Space Implementation\3. Analysis &amp; Design\Design\FC22\DRR Jaime\QUIFA-CAJÚA\Cajua\[CAJUA_CF_SEC_New_27-Feb-2024Rev3.xlsx]D-PS'!</v>
      </c>
      <c r="G2484" s="32" t="s">
        <v>115</v>
      </c>
      <c r="H2484" s="33">
        <f t="shared" si="578"/>
        <v>24</v>
      </c>
      <c r="I2484" s="33" t="str">
        <f t="shared" si="577"/>
        <v>='C:\Users\jaime.benazar\Quorum Business Solutions\Ecopetrol Prometeo - Documents\Planning Space Implementation\3. Analysis &amp; Design\Design\FC22\DRR Jaime\QUIFA-CAJÚA\Cajua\[CAJUA_CF_SEC_New_27-Feb-2024Rev3.xlsx]D-PS'!$DC$24</v>
      </c>
      <c r="J2484" s="37" t="s">
        <v>3085</v>
      </c>
    </row>
    <row r="2485" spans="1:10" x14ac:dyDescent="0.25">
      <c r="A2485" s="32" t="s">
        <v>34</v>
      </c>
      <c r="B2485" s="32">
        <f t="shared" si="579"/>
        <v>2036</v>
      </c>
      <c r="C2485" s="33" t="s">
        <v>20</v>
      </c>
      <c r="D2485" s="34" t="s">
        <v>1999</v>
      </c>
      <c r="E2485" s="35" t="str">
        <f t="shared" si="575"/>
        <v>PS'!</v>
      </c>
      <c r="F2485" s="34" t="str">
        <f t="shared" si="576"/>
        <v>C:\Users\jaime.benazar\Quorum Business Solutions\Ecopetrol Prometeo - Documents\Planning Space Implementation\3. Analysis &amp; Design\Design\FC22\DRR Jaime\QUIFA-CAJÚA\Cajua\[CAJUA_CF_SEC_New_27-Feb-2024Rev3.xlsx]D-PS'!</v>
      </c>
      <c r="G2485" s="32" t="s">
        <v>115</v>
      </c>
      <c r="H2485" s="33">
        <f t="shared" si="578"/>
        <v>25</v>
      </c>
      <c r="I2485" s="33" t="str">
        <f t="shared" si="577"/>
        <v>='C:\Users\jaime.benazar\Quorum Business Solutions\Ecopetrol Prometeo - Documents\Planning Space Implementation\3. Analysis &amp; Design\Design\FC22\DRR Jaime\QUIFA-CAJÚA\Cajua\[CAJUA_CF_SEC_New_27-Feb-2024Rev3.xlsx]D-PS'!$DC$25</v>
      </c>
      <c r="J2485" s="37" t="s">
        <v>3086</v>
      </c>
    </row>
    <row r="2486" spans="1:10" x14ac:dyDescent="0.25">
      <c r="A2486" s="32" t="s">
        <v>34</v>
      </c>
      <c r="B2486" s="32">
        <f>+B2485+1</f>
        <v>2037</v>
      </c>
      <c r="C2486" s="33" t="s">
        <v>20</v>
      </c>
      <c r="D2486" s="34" t="s">
        <v>1999</v>
      </c>
      <c r="E2486" s="35" t="str">
        <f t="shared" si="575"/>
        <v>PS'!</v>
      </c>
      <c r="F2486" s="34" t="str">
        <f t="shared" si="576"/>
        <v>C:\Users\jaime.benazar\Quorum Business Solutions\Ecopetrol Prometeo - Documents\Planning Space Implementation\3. Analysis &amp; Design\Design\FC22\DRR Jaime\QUIFA-CAJÚA\Cajua\[CAJUA_CF_SEC_New_27-Feb-2024Rev3.xlsx]D-PS'!</v>
      </c>
      <c r="G2486" s="32" t="s">
        <v>115</v>
      </c>
      <c r="H2486" s="33">
        <f t="shared" si="578"/>
        <v>26</v>
      </c>
      <c r="I2486" s="33" t="str">
        <f t="shared" si="577"/>
        <v>='C:\Users\jaime.benazar\Quorum Business Solutions\Ecopetrol Prometeo - Documents\Planning Space Implementation\3. Analysis &amp; Design\Design\FC22\DRR Jaime\QUIFA-CAJÚA\Cajua\[CAJUA_CF_SEC_New_27-Feb-2024Rev3.xlsx]D-PS'!$DC$26</v>
      </c>
      <c r="J2486" s="37" t="s">
        <v>3087</v>
      </c>
    </row>
    <row r="2487" spans="1:10" x14ac:dyDescent="0.25">
      <c r="A2487" s="32" t="s">
        <v>34</v>
      </c>
      <c r="B2487" s="32">
        <f t="shared" ref="B2487:B2489" si="580">+B2486+1</f>
        <v>2038</v>
      </c>
      <c r="C2487" s="33" t="s">
        <v>20</v>
      </c>
      <c r="D2487" s="34" t="s">
        <v>1999</v>
      </c>
      <c r="E2487" s="35" t="str">
        <f t="shared" si="575"/>
        <v>PS'!</v>
      </c>
      <c r="F2487" s="34" t="str">
        <f t="shared" si="576"/>
        <v>C:\Users\jaime.benazar\Quorum Business Solutions\Ecopetrol Prometeo - Documents\Planning Space Implementation\3. Analysis &amp; Design\Design\FC22\DRR Jaime\QUIFA-CAJÚA\Cajua\[CAJUA_CF_SEC_New_27-Feb-2024Rev3.xlsx]D-PS'!</v>
      </c>
      <c r="G2487" s="32" t="s">
        <v>115</v>
      </c>
      <c r="H2487" s="33">
        <f t="shared" si="578"/>
        <v>27</v>
      </c>
      <c r="I2487" s="33" t="str">
        <f t="shared" si="577"/>
        <v>='C:\Users\jaime.benazar\Quorum Business Solutions\Ecopetrol Prometeo - Documents\Planning Space Implementation\3. Analysis &amp; Design\Design\FC22\DRR Jaime\QUIFA-CAJÚA\Cajua\[CAJUA_CF_SEC_New_27-Feb-2024Rev3.xlsx]D-PS'!$DC$27</v>
      </c>
      <c r="J2487" s="37" t="s">
        <v>3088</v>
      </c>
    </row>
    <row r="2488" spans="1:10" x14ac:dyDescent="0.25">
      <c r="A2488" s="32" t="s">
        <v>34</v>
      </c>
      <c r="B2488" s="32">
        <f t="shared" si="580"/>
        <v>2039</v>
      </c>
      <c r="C2488" s="33" t="s">
        <v>20</v>
      </c>
      <c r="D2488" s="34" t="s">
        <v>1999</v>
      </c>
      <c r="E2488" s="35" t="str">
        <f t="shared" si="575"/>
        <v>PS'!</v>
      </c>
      <c r="F2488" s="34" t="str">
        <f t="shared" si="576"/>
        <v>C:\Users\jaime.benazar\Quorum Business Solutions\Ecopetrol Prometeo - Documents\Planning Space Implementation\3. Analysis &amp; Design\Design\FC22\DRR Jaime\QUIFA-CAJÚA\Cajua\[CAJUA_CF_SEC_New_27-Feb-2024Rev3.xlsx]D-PS'!</v>
      </c>
      <c r="G2488" s="32" t="s">
        <v>115</v>
      </c>
      <c r="H2488" s="33">
        <f t="shared" si="578"/>
        <v>28</v>
      </c>
      <c r="I2488" s="33" t="str">
        <f t="shared" si="577"/>
        <v>='C:\Users\jaime.benazar\Quorum Business Solutions\Ecopetrol Prometeo - Documents\Planning Space Implementation\3. Analysis &amp; Design\Design\FC22\DRR Jaime\QUIFA-CAJÚA\Cajua\[CAJUA_CF_SEC_New_27-Feb-2024Rev3.xlsx]D-PS'!$DC$28</v>
      </c>
      <c r="J2488" s="37" t="s">
        <v>3089</v>
      </c>
    </row>
    <row r="2489" spans="1:10" x14ac:dyDescent="0.25">
      <c r="A2489" s="32" t="s">
        <v>34</v>
      </c>
      <c r="B2489" s="32">
        <f t="shared" si="580"/>
        <v>2040</v>
      </c>
      <c r="C2489" s="33" t="s">
        <v>20</v>
      </c>
      <c r="D2489" s="34" t="s">
        <v>1999</v>
      </c>
      <c r="E2489" s="35" t="str">
        <f t="shared" si="575"/>
        <v>PS'!</v>
      </c>
      <c r="F2489" s="34" t="str">
        <f t="shared" si="576"/>
        <v>C:\Users\jaime.benazar\Quorum Business Solutions\Ecopetrol Prometeo - Documents\Planning Space Implementation\3. Analysis &amp; Design\Design\FC22\DRR Jaime\QUIFA-CAJÚA\Cajua\[CAJUA_CF_SEC_New_27-Feb-2024Rev3.xlsx]D-PS'!</v>
      </c>
      <c r="G2489" s="32" t="s">
        <v>115</v>
      </c>
      <c r="H2489" s="33">
        <f t="shared" si="578"/>
        <v>29</v>
      </c>
      <c r="I2489" s="33" t="str">
        <f t="shared" si="577"/>
        <v>='C:\Users\jaime.benazar\Quorum Business Solutions\Ecopetrol Prometeo - Documents\Planning Space Implementation\3. Analysis &amp; Design\Design\FC22\DRR Jaime\QUIFA-CAJÚA\Cajua\[CAJUA_CF_SEC_New_27-Feb-2024Rev3.xlsx]D-PS'!$DC$29</v>
      </c>
      <c r="J2489" s="37" t="s">
        <v>3090</v>
      </c>
    </row>
    <row r="2490" spans="1:10" x14ac:dyDescent="0.25">
      <c r="A2490" s="32" t="s">
        <v>34</v>
      </c>
      <c r="B2490" s="32">
        <f>+B2489+1</f>
        <v>2041</v>
      </c>
      <c r="C2490" s="33" t="s">
        <v>20</v>
      </c>
      <c r="D2490" s="34" t="s">
        <v>1999</v>
      </c>
      <c r="E2490" s="35" t="str">
        <f t="shared" si="575"/>
        <v>PS'!</v>
      </c>
      <c r="F2490" s="34" t="str">
        <f t="shared" si="576"/>
        <v>C:\Users\jaime.benazar\Quorum Business Solutions\Ecopetrol Prometeo - Documents\Planning Space Implementation\3. Analysis &amp; Design\Design\FC22\DRR Jaime\QUIFA-CAJÚA\Cajua\[CAJUA_CF_SEC_New_27-Feb-2024Rev3.xlsx]D-PS'!</v>
      </c>
      <c r="G2490" s="32" t="s">
        <v>115</v>
      </c>
      <c r="H2490" s="33">
        <f t="shared" si="578"/>
        <v>30</v>
      </c>
      <c r="I2490" s="33" t="str">
        <f t="shared" si="577"/>
        <v>='C:\Users\jaime.benazar\Quorum Business Solutions\Ecopetrol Prometeo - Documents\Planning Space Implementation\3. Analysis &amp; Design\Design\FC22\DRR Jaime\QUIFA-CAJÚA\Cajua\[CAJUA_CF_SEC_New_27-Feb-2024Rev3.xlsx]D-PS'!$DC$30</v>
      </c>
      <c r="J2490" s="37" t="s">
        <v>3091</v>
      </c>
    </row>
    <row r="2491" spans="1:10" x14ac:dyDescent="0.25">
      <c r="A2491" s="32" t="s">
        <v>34</v>
      </c>
      <c r="B2491" s="32">
        <f t="shared" ref="B2491:B2492" si="581">+B2490+1</f>
        <v>2042</v>
      </c>
      <c r="C2491" s="33" t="s">
        <v>20</v>
      </c>
      <c r="D2491" s="34" t="s">
        <v>1999</v>
      </c>
      <c r="E2491" s="35" t="str">
        <f t="shared" si="575"/>
        <v>PS'!</v>
      </c>
      <c r="F2491" s="34" t="str">
        <f t="shared" si="576"/>
        <v>C:\Users\jaime.benazar\Quorum Business Solutions\Ecopetrol Prometeo - Documents\Planning Space Implementation\3. Analysis &amp; Design\Design\FC22\DRR Jaime\QUIFA-CAJÚA\Cajua\[CAJUA_CF_SEC_New_27-Feb-2024Rev3.xlsx]D-PS'!</v>
      </c>
      <c r="G2491" s="32" t="s">
        <v>115</v>
      </c>
      <c r="H2491" s="33">
        <f t="shared" si="578"/>
        <v>31</v>
      </c>
      <c r="I2491" s="33" t="str">
        <f t="shared" si="577"/>
        <v>='C:\Users\jaime.benazar\Quorum Business Solutions\Ecopetrol Prometeo - Documents\Planning Space Implementation\3. Analysis &amp; Design\Design\FC22\DRR Jaime\QUIFA-CAJÚA\Cajua\[CAJUA_CF_SEC_New_27-Feb-2024Rev3.xlsx]D-PS'!$DC$31</v>
      </c>
      <c r="J2491" s="37" t="s">
        <v>3092</v>
      </c>
    </row>
    <row r="2492" spans="1:10" x14ac:dyDescent="0.25">
      <c r="A2492" s="32" t="s">
        <v>34</v>
      </c>
      <c r="B2492" s="32">
        <f t="shared" si="581"/>
        <v>2043</v>
      </c>
      <c r="C2492" s="33" t="s">
        <v>20</v>
      </c>
      <c r="D2492" s="34" t="s">
        <v>1999</v>
      </c>
      <c r="E2492" s="35" t="str">
        <f t="shared" si="575"/>
        <v>PS'!</v>
      </c>
      <c r="F2492" s="34" t="str">
        <f t="shared" si="576"/>
        <v>C:\Users\jaime.benazar\Quorum Business Solutions\Ecopetrol Prometeo - Documents\Planning Space Implementation\3. Analysis &amp; Design\Design\FC22\DRR Jaime\QUIFA-CAJÚA\Cajua\[CAJUA_CF_SEC_New_27-Feb-2024Rev3.xlsx]D-PS'!</v>
      </c>
      <c r="G2492" s="32" t="s">
        <v>115</v>
      </c>
      <c r="H2492" s="33">
        <f t="shared" si="578"/>
        <v>32</v>
      </c>
      <c r="I2492" s="33" t="str">
        <f t="shared" si="577"/>
        <v>='C:\Users\jaime.benazar\Quorum Business Solutions\Ecopetrol Prometeo - Documents\Planning Space Implementation\3. Analysis &amp; Design\Design\FC22\DRR Jaime\QUIFA-CAJÚA\Cajua\[CAJUA_CF_SEC_New_27-Feb-2024Rev3.xlsx]D-PS'!$DC$32</v>
      </c>
      <c r="J2492" s="37" t="s">
        <v>3093</v>
      </c>
    </row>
    <row r="2493" spans="1:10" x14ac:dyDescent="0.25">
      <c r="A2493" s="32" t="s">
        <v>34</v>
      </c>
      <c r="B2493" s="32">
        <f>+B2492+1</f>
        <v>2044</v>
      </c>
      <c r="C2493" s="33" t="s">
        <v>20</v>
      </c>
      <c r="D2493" s="34" t="s">
        <v>1999</v>
      </c>
      <c r="E2493" s="35" t="str">
        <f t="shared" ref="E2493:E2508" si="582">_xlfn.CONCAT(A2493,"'!")</f>
        <v>PS'!</v>
      </c>
      <c r="F2493" s="34" t="str">
        <f t="shared" ref="F2493:F2508" si="583">_xlfn.CONCAT(D2493:E2493)</f>
        <v>C:\Users\jaime.benazar\Quorum Business Solutions\Ecopetrol Prometeo - Documents\Planning Space Implementation\3. Analysis &amp; Design\Design\FC22\DRR Jaime\QUIFA-CAJÚA\Cajua\[CAJUA_CF_SEC_New_27-Feb-2024Rev3.xlsx]D-PS'!</v>
      </c>
      <c r="G2493" s="32" t="s">
        <v>115</v>
      </c>
      <c r="H2493" s="33">
        <f t="shared" ref="H2493:H2508" si="584">IF(A2493&lt;&gt;A2492,12,H2492+1)</f>
        <v>33</v>
      </c>
      <c r="I2493" s="33" t="str">
        <f t="shared" si="577"/>
        <v>='C:\Users\jaime.benazar\Quorum Business Solutions\Ecopetrol Prometeo - Documents\Planning Space Implementation\3. Analysis &amp; Design\Design\FC22\DRR Jaime\QUIFA-CAJÚA\Cajua\[CAJUA_CF_SEC_New_27-Feb-2024Rev3.xlsx]D-PS'!$DC$33</v>
      </c>
      <c r="J2493" s="37" t="s">
        <v>3094</v>
      </c>
    </row>
    <row r="2494" spans="1:10" x14ac:dyDescent="0.25">
      <c r="A2494" s="32" t="s">
        <v>34</v>
      </c>
      <c r="B2494" s="32">
        <f t="shared" ref="B2494:B2508" si="585">+B2493+1</f>
        <v>2045</v>
      </c>
      <c r="C2494" s="33" t="s">
        <v>20</v>
      </c>
      <c r="D2494" s="34" t="s">
        <v>1999</v>
      </c>
      <c r="E2494" s="35" t="str">
        <f t="shared" si="582"/>
        <v>PS'!</v>
      </c>
      <c r="F2494" s="34" t="str">
        <f t="shared" si="583"/>
        <v>C:\Users\jaime.benazar\Quorum Business Solutions\Ecopetrol Prometeo - Documents\Planning Space Implementation\3. Analysis &amp; Design\Design\FC22\DRR Jaime\QUIFA-CAJÚA\Cajua\[CAJUA_CF_SEC_New_27-Feb-2024Rev3.xlsx]D-PS'!</v>
      </c>
      <c r="G2494" s="32" t="s">
        <v>115</v>
      </c>
      <c r="H2494" s="33">
        <f t="shared" si="584"/>
        <v>34</v>
      </c>
      <c r="I2494" s="33" t="str">
        <f t="shared" si="577"/>
        <v>='C:\Users\jaime.benazar\Quorum Business Solutions\Ecopetrol Prometeo - Documents\Planning Space Implementation\3. Analysis &amp; Design\Design\FC22\DRR Jaime\QUIFA-CAJÚA\Cajua\[CAJUA_CF_SEC_New_27-Feb-2024Rev3.xlsx]D-PS'!$DC$34</v>
      </c>
      <c r="J2494" s="37" t="s">
        <v>3095</v>
      </c>
    </row>
    <row r="2495" spans="1:10" x14ac:dyDescent="0.25">
      <c r="A2495" s="32" t="s">
        <v>34</v>
      </c>
      <c r="B2495" s="32">
        <f t="shared" si="585"/>
        <v>2046</v>
      </c>
      <c r="C2495" s="33" t="s">
        <v>20</v>
      </c>
      <c r="D2495" s="34" t="s">
        <v>1999</v>
      </c>
      <c r="E2495" s="35" t="str">
        <f t="shared" si="582"/>
        <v>PS'!</v>
      </c>
      <c r="F2495" s="34" t="str">
        <f t="shared" si="583"/>
        <v>C:\Users\jaime.benazar\Quorum Business Solutions\Ecopetrol Prometeo - Documents\Planning Space Implementation\3. Analysis &amp; Design\Design\FC22\DRR Jaime\QUIFA-CAJÚA\Cajua\[CAJUA_CF_SEC_New_27-Feb-2024Rev3.xlsx]D-PS'!</v>
      </c>
      <c r="G2495" s="32" t="s">
        <v>115</v>
      </c>
      <c r="H2495" s="33">
        <f t="shared" si="584"/>
        <v>35</v>
      </c>
      <c r="I2495" s="33" t="str">
        <f t="shared" si="577"/>
        <v>='C:\Users\jaime.benazar\Quorum Business Solutions\Ecopetrol Prometeo - Documents\Planning Space Implementation\3. Analysis &amp; Design\Design\FC22\DRR Jaime\QUIFA-CAJÚA\Cajua\[CAJUA_CF_SEC_New_27-Feb-2024Rev3.xlsx]D-PS'!$DC$35</v>
      </c>
      <c r="J2495" s="37" t="s">
        <v>3096</v>
      </c>
    </row>
    <row r="2496" spans="1:10" x14ac:dyDescent="0.25">
      <c r="A2496" s="32" t="s">
        <v>34</v>
      </c>
      <c r="B2496" s="32">
        <f t="shared" si="585"/>
        <v>2047</v>
      </c>
      <c r="C2496" s="33" t="s">
        <v>20</v>
      </c>
      <c r="D2496" s="34" t="s">
        <v>1999</v>
      </c>
      <c r="E2496" s="35" t="str">
        <f t="shared" si="582"/>
        <v>PS'!</v>
      </c>
      <c r="F2496" s="34" t="str">
        <f t="shared" si="583"/>
        <v>C:\Users\jaime.benazar\Quorum Business Solutions\Ecopetrol Prometeo - Documents\Planning Space Implementation\3. Analysis &amp; Design\Design\FC22\DRR Jaime\QUIFA-CAJÚA\Cajua\[CAJUA_CF_SEC_New_27-Feb-2024Rev3.xlsx]D-PS'!</v>
      </c>
      <c r="G2496" s="32" t="s">
        <v>115</v>
      </c>
      <c r="H2496" s="33">
        <f t="shared" si="584"/>
        <v>36</v>
      </c>
      <c r="I2496" s="33" t="str">
        <f t="shared" si="577"/>
        <v>='C:\Users\jaime.benazar\Quorum Business Solutions\Ecopetrol Prometeo - Documents\Planning Space Implementation\3. Analysis &amp; Design\Design\FC22\DRR Jaime\QUIFA-CAJÚA\Cajua\[CAJUA_CF_SEC_New_27-Feb-2024Rev3.xlsx]D-PS'!$DC$36</v>
      </c>
      <c r="J2496" s="37" t="s">
        <v>3097</v>
      </c>
    </row>
    <row r="2497" spans="1:10" x14ac:dyDescent="0.25">
      <c r="A2497" s="32" t="s">
        <v>34</v>
      </c>
      <c r="B2497" s="32">
        <f t="shared" si="585"/>
        <v>2048</v>
      </c>
      <c r="C2497" s="33" t="s">
        <v>20</v>
      </c>
      <c r="D2497" s="34" t="s">
        <v>1999</v>
      </c>
      <c r="E2497" s="35" t="str">
        <f t="shared" si="582"/>
        <v>PS'!</v>
      </c>
      <c r="F2497" s="34" t="str">
        <f t="shared" si="583"/>
        <v>C:\Users\jaime.benazar\Quorum Business Solutions\Ecopetrol Prometeo - Documents\Planning Space Implementation\3. Analysis &amp; Design\Design\FC22\DRR Jaime\QUIFA-CAJÚA\Cajua\[CAJUA_CF_SEC_New_27-Feb-2024Rev3.xlsx]D-PS'!</v>
      </c>
      <c r="G2497" s="32" t="s">
        <v>115</v>
      </c>
      <c r="H2497" s="33">
        <f t="shared" si="584"/>
        <v>37</v>
      </c>
      <c r="I2497" s="33" t="str">
        <f t="shared" si="577"/>
        <v>='C:\Users\jaime.benazar\Quorum Business Solutions\Ecopetrol Prometeo - Documents\Planning Space Implementation\3. Analysis &amp; Design\Design\FC22\DRR Jaime\QUIFA-CAJÚA\Cajua\[CAJUA_CF_SEC_New_27-Feb-2024Rev3.xlsx]D-PS'!$DC$37</v>
      </c>
      <c r="J2497" s="37" t="s">
        <v>3098</v>
      </c>
    </row>
    <row r="2498" spans="1:10" x14ac:dyDescent="0.25">
      <c r="A2498" s="32" t="s">
        <v>34</v>
      </c>
      <c r="B2498" s="32">
        <f t="shared" si="585"/>
        <v>2049</v>
      </c>
      <c r="C2498" s="33" t="s">
        <v>20</v>
      </c>
      <c r="D2498" s="34" t="s">
        <v>1999</v>
      </c>
      <c r="E2498" s="35" t="str">
        <f t="shared" si="582"/>
        <v>PS'!</v>
      </c>
      <c r="F2498" s="34" t="str">
        <f t="shared" si="583"/>
        <v>C:\Users\jaime.benazar\Quorum Business Solutions\Ecopetrol Prometeo - Documents\Planning Space Implementation\3. Analysis &amp; Design\Design\FC22\DRR Jaime\QUIFA-CAJÚA\Cajua\[CAJUA_CF_SEC_New_27-Feb-2024Rev3.xlsx]D-PS'!</v>
      </c>
      <c r="G2498" s="32" t="s">
        <v>115</v>
      </c>
      <c r="H2498" s="33">
        <f t="shared" si="584"/>
        <v>38</v>
      </c>
      <c r="I2498" s="33" t="str">
        <f t="shared" si="577"/>
        <v>='C:\Users\jaime.benazar\Quorum Business Solutions\Ecopetrol Prometeo - Documents\Planning Space Implementation\3. Analysis &amp; Design\Design\FC22\DRR Jaime\QUIFA-CAJÚA\Cajua\[CAJUA_CF_SEC_New_27-Feb-2024Rev3.xlsx]D-PS'!$DC$38</v>
      </c>
      <c r="J2498" s="37" t="s">
        <v>3099</v>
      </c>
    </row>
    <row r="2499" spans="1:10" x14ac:dyDescent="0.25">
      <c r="A2499" s="32" t="s">
        <v>34</v>
      </c>
      <c r="B2499" s="32">
        <f t="shared" si="585"/>
        <v>2050</v>
      </c>
      <c r="C2499" s="33" t="s">
        <v>20</v>
      </c>
      <c r="D2499" s="34" t="s">
        <v>1999</v>
      </c>
      <c r="E2499" s="35" t="str">
        <f t="shared" si="582"/>
        <v>PS'!</v>
      </c>
      <c r="F2499" s="34" t="str">
        <f t="shared" si="583"/>
        <v>C:\Users\jaime.benazar\Quorum Business Solutions\Ecopetrol Prometeo - Documents\Planning Space Implementation\3. Analysis &amp; Design\Design\FC22\DRR Jaime\QUIFA-CAJÚA\Cajua\[CAJUA_CF_SEC_New_27-Feb-2024Rev3.xlsx]D-PS'!</v>
      </c>
      <c r="G2499" s="32" t="s">
        <v>115</v>
      </c>
      <c r="H2499" s="33">
        <f t="shared" si="584"/>
        <v>39</v>
      </c>
      <c r="I2499" s="33" t="str">
        <f t="shared" si="577"/>
        <v>='C:\Users\jaime.benazar\Quorum Business Solutions\Ecopetrol Prometeo - Documents\Planning Space Implementation\3. Analysis &amp; Design\Design\FC22\DRR Jaime\QUIFA-CAJÚA\Cajua\[CAJUA_CF_SEC_New_27-Feb-2024Rev3.xlsx]D-PS'!$DC$39</v>
      </c>
      <c r="J2499" s="37" t="s">
        <v>3100</v>
      </c>
    </row>
    <row r="2500" spans="1:10" x14ac:dyDescent="0.25">
      <c r="A2500" s="32" t="s">
        <v>34</v>
      </c>
      <c r="B2500" s="32">
        <f t="shared" si="585"/>
        <v>2051</v>
      </c>
      <c r="C2500" s="33" t="s">
        <v>20</v>
      </c>
      <c r="D2500" s="34" t="s">
        <v>1999</v>
      </c>
      <c r="E2500" s="35" t="str">
        <f t="shared" si="582"/>
        <v>PS'!</v>
      </c>
      <c r="F2500" s="34" t="str">
        <f t="shared" si="583"/>
        <v>C:\Users\jaime.benazar\Quorum Business Solutions\Ecopetrol Prometeo - Documents\Planning Space Implementation\3. Analysis &amp; Design\Design\FC22\DRR Jaime\QUIFA-CAJÚA\Cajua\[CAJUA_CF_SEC_New_27-Feb-2024Rev3.xlsx]D-PS'!</v>
      </c>
      <c r="G2500" s="32" t="s">
        <v>115</v>
      </c>
      <c r="H2500" s="33">
        <f t="shared" si="584"/>
        <v>40</v>
      </c>
      <c r="I2500" s="33" t="str">
        <f t="shared" si="577"/>
        <v>='C:\Users\jaime.benazar\Quorum Business Solutions\Ecopetrol Prometeo - Documents\Planning Space Implementation\3. Analysis &amp; Design\Design\FC22\DRR Jaime\QUIFA-CAJÚA\Cajua\[CAJUA_CF_SEC_New_27-Feb-2024Rev3.xlsx]D-PS'!$DC$40</v>
      </c>
      <c r="J2500" s="37" t="s">
        <v>3101</v>
      </c>
    </row>
    <row r="2501" spans="1:10" x14ac:dyDescent="0.25">
      <c r="A2501" s="32" t="s">
        <v>34</v>
      </c>
      <c r="B2501" s="32">
        <f t="shared" si="585"/>
        <v>2052</v>
      </c>
      <c r="C2501" s="33" t="s">
        <v>20</v>
      </c>
      <c r="D2501" s="34" t="s">
        <v>1999</v>
      </c>
      <c r="E2501" s="35" t="str">
        <f t="shared" si="582"/>
        <v>PS'!</v>
      </c>
      <c r="F2501" s="34" t="str">
        <f t="shared" si="583"/>
        <v>C:\Users\jaime.benazar\Quorum Business Solutions\Ecopetrol Prometeo - Documents\Planning Space Implementation\3. Analysis &amp; Design\Design\FC22\DRR Jaime\QUIFA-CAJÚA\Cajua\[CAJUA_CF_SEC_New_27-Feb-2024Rev3.xlsx]D-PS'!</v>
      </c>
      <c r="G2501" s="32" t="s">
        <v>115</v>
      </c>
      <c r="H2501" s="33">
        <f t="shared" si="584"/>
        <v>41</v>
      </c>
      <c r="I2501" s="33" t="str">
        <f t="shared" si="577"/>
        <v>='C:\Users\jaime.benazar\Quorum Business Solutions\Ecopetrol Prometeo - Documents\Planning Space Implementation\3. Analysis &amp; Design\Design\FC22\DRR Jaime\QUIFA-CAJÚA\Cajua\[CAJUA_CF_SEC_New_27-Feb-2024Rev3.xlsx]D-PS'!$DC$41</v>
      </c>
      <c r="J2501" s="37" t="s">
        <v>3102</v>
      </c>
    </row>
    <row r="2502" spans="1:10" x14ac:dyDescent="0.25">
      <c r="A2502" s="32" t="s">
        <v>34</v>
      </c>
      <c r="B2502" s="32">
        <f t="shared" si="585"/>
        <v>2053</v>
      </c>
      <c r="C2502" s="33" t="s">
        <v>20</v>
      </c>
      <c r="D2502" s="34" t="s">
        <v>1999</v>
      </c>
      <c r="E2502" s="35" t="str">
        <f t="shared" si="582"/>
        <v>PS'!</v>
      </c>
      <c r="F2502" s="34" t="str">
        <f t="shared" si="583"/>
        <v>C:\Users\jaime.benazar\Quorum Business Solutions\Ecopetrol Prometeo - Documents\Planning Space Implementation\3. Analysis &amp; Design\Design\FC22\DRR Jaime\QUIFA-CAJÚA\Cajua\[CAJUA_CF_SEC_New_27-Feb-2024Rev3.xlsx]D-PS'!</v>
      </c>
      <c r="G2502" s="32" t="s">
        <v>115</v>
      </c>
      <c r="H2502" s="33">
        <f t="shared" si="584"/>
        <v>42</v>
      </c>
      <c r="I2502" s="33" t="str">
        <f t="shared" si="577"/>
        <v>='C:\Users\jaime.benazar\Quorum Business Solutions\Ecopetrol Prometeo - Documents\Planning Space Implementation\3. Analysis &amp; Design\Design\FC22\DRR Jaime\QUIFA-CAJÚA\Cajua\[CAJUA_CF_SEC_New_27-Feb-2024Rev3.xlsx]D-PS'!$DC$42</v>
      </c>
      <c r="J2502" s="37" t="s">
        <v>3103</v>
      </c>
    </row>
    <row r="2503" spans="1:10" x14ac:dyDescent="0.25">
      <c r="A2503" s="32" t="s">
        <v>34</v>
      </c>
      <c r="B2503" s="32">
        <f t="shared" si="585"/>
        <v>2054</v>
      </c>
      <c r="C2503" s="33" t="s">
        <v>20</v>
      </c>
      <c r="D2503" s="34" t="s">
        <v>1999</v>
      </c>
      <c r="E2503" s="35" t="str">
        <f t="shared" si="582"/>
        <v>PS'!</v>
      </c>
      <c r="F2503" s="34" t="str">
        <f t="shared" si="583"/>
        <v>C:\Users\jaime.benazar\Quorum Business Solutions\Ecopetrol Prometeo - Documents\Planning Space Implementation\3. Analysis &amp; Design\Design\FC22\DRR Jaime\QUIFA-CAJÚA\Cajua\[CAJUA_CF_SEC_New_27-Feb-2024Rev3.xlsx]D-PS'!</v>
      </c>
      <c r="G2503" s="32" t="s">
        <v>115</v>
      </c>
      <c r="H2503" s="33">
        <f t="shared" si="584"/>
        <v>43</v>
      </c>
      <c r="I2503" s="33" t="str">
        <f t="shared" si="577"/>
        <v>='C:\Users\jaime.benazar\Quorum Business Solutions\Ecopetrol Prometeo - Documents\Planning Space Implementation\3. Analysis &amp; Design\Design\FC22\DRR Jaime\QUIFA-CAJÚA\Cajua\[CAJUA_CF_SEC_New_27-Feb-2024Rev3.xlsx]D-PS'!$DC$43</v>
      </c>
      <c r="J2503" s="37" t="s">
        <v>3104</v>
      </c>
    </row>
    <row r="2504" spans="1:10" x14ac:dyDescent="0.25">
      <c r="A2504" s="32" t="s">
        <v>34</v>
      </c>
      <c r="B2504" s="32">
        <f t="shared" si="585"/>
        <v>2055</v>
      </c>
      <c r="C2504" s="33" t="s">
        <v>20</v>
      </c>
      <c r="D2504" s="34" t="s">
        <v>1999</v>
      </c>
      <c r="E2504" s="35" t="str">
        <f t="shared" si="582"/>
        <v>PS'!</v>
      </c>
      <c r="F2504" s="34" t="str">
        <f t="shared" si="583"/>
        <v>C:\Users\jaime.benazar\Quorum Business Solutions\Ecopetrol Prometeo - Documents\Planning Space Implementation\3. Analysis &amp; Design\Design\FC22\DRR Jaime\QUIFA-CAJÚA\Cajua\[CAJUA_CF_SEC_New_27-Feb-2024Rev3.xlsx]D-PS'!</v>
      </c>
      <c r="G2504" s="32" t="s">
        <v>115</v>
      </c>
      <c r="H2504" s="33">
        <f t="shared" si="584"/>
        <v>44</v>
      </c>
      <c r="I2504" s="33" t="str">
        <f t="shared" si="577"/>
        <v>='C:\Users\jaime.benazar\Quorum Business Solutions\Ecopetrol Prometeo - Documents\Planning Space Implementation\3. Analysis &amp; Design\Design\FC22\DRR Jaime\QUIFA-CAJÚA\Cajua\[CAJUA_CF_SEC_New_27-Feb-2024Rev3.xlsx]D-PS'!$DC$44</v>
      </c>
      <c r="J2504" s="37" t="s">
        <v>3105</v>
      </c>
    </row>
    <row r="2505" spans="1:10" x14ac:dyDescent="0.25">
      <c r="A2505" s="32" t="s">
        <v>34</v>
      </c>
      <c r="B2505" s="32">
        <f t="shared" si="585"/>
        <v>2056</v>
      </c>
      <c r="C2505" s="33" t="s">
        <v>20</v>
      </c>
      <c r="D2505" s="34" t="s">
        <v>1999</v>
      </c>
      <c r="E2505" s="35" t="str">
        <f t="shared" si="582"/>
        <v>PS'!</v>
      </c>
      <c r="F2505" s="34" t="str">
        <f t="shared" si="583"/>
        <v>C:\Users\jaime.benazar\Quorum Business Solutions\Ecopetrol Prometeo - Documents\Planning Space Implementation\3. Analysis &amp; Design\Design\FC22\DRR Jaime\QUIFA-CAJÚA\Cajua\[CAJUA_CF_SEC_New_27-Feb-2024Rev3.xlsx]D-PS'!</v>
      </c>
      <c r="G2505" s="32" t="s">
        <v>115</v>
      </c>
      <c r="H2505" s="33">
        <f t="shared" si="584"/>
        <v>45</v>
      </c>
      <c r="I2505" s="33" t="str">
        <f t="shared" si="577"/>
        <v>='C:\Users\jaime.benazar\Quorum Business Solutions\Ecopetrol Prometeo - Documents\Planning Space Implementation\3. Analysis &amp; Design\Design\FC22\DRR Jaime\QUIFA-CAJÚA\Cajua\[CAJUA_CF_SEC_New_27-Feb-2024Rev3.xlsx]D-PS'!$DC$45</v>
      </c>
      <c r="J2505" s="37" t="s">
        <v>3106</v>
      </c>
    </row>
    <row r="2506" spans="1:10" x14ac:dyDescent="0.25">
      <c r="A2506" s="32" t="s">
        <v>34</v>
      </c>
      <c r="B2506" s="32">
        <f t="shared" si="585"/>
        <v>2057</v>
      </c>
      <c r="C2506" s="33" t="s">
        <v>20</v>
      </c>
      <c r="D2506" s="34" t="s">
        <v>1999</v>
      </c>
      <c r="E2506" s="35" t="str">
        <f t="shared" si="582"/>
        <v>PS'!</v>
      </c>
      <c r="F2506" s="34" t="str">
        <f t="shared" si="583"/>
        <v>C:\Users\jaime.benazar\Quorum Business Solutions\Ecopetrol Prometeo - Documents\Planning Space Implementation\3. Analysis &amp; Design\Design\FC22\DRR Jaime\QUIFA-CAJÚA\Cajua\[CAJUA_CF_SEC_New_27-Feb-2024Rev3.xlsx]D-PS'!</v>
      </c>
      <c r="G2506" s="32" t="s">
        <v>115</v>
      </c>
      <c r="H2506" s="33">
        <f t="shared" si="584"/>
        <v>46</v>
      </c>
      <c r="I2506" s="33" t="str">
        <f t="shared" si="577"/>
        <v>='C:\Users\jaime.benazar\Quorum Business Solutions\Ecopetrol Prometeo - Documents\Planning Space Implementation\3. Analysis &amp; Design\Design\FC22\DRR Jaime\QUIFA-CAJÚA\Cajua\[CAJUA_CF_SEC_New_27-Feb-2024Rev3.xlsx]D-PS'!$DC$46</v>
      </c>
      <c r="J2506" s="37" t="s">
        <v>3107</v>
      </c>
    </row>
    <row r="2507" spans="1:10" x14ac:dyDescent="0.25">
      <c r="A2507" s="32" t="s">
        <v>34</v>
      </c>
      <c r="B2507" s="32">
        <f t="shared" si="585"/>
        <v>2058</v>
      </c>
      <c r="C2507" s="33" t="s">
        <v>20</v>
      </c>
      <c r="D2507" s="34" t="s">
        <v>1999</v>
      </c>
      <c r="E2507" s="35" t="str">
        <f t="shared" si="582"/>
        <v>PS'!</v>
      </c>
      <c r="F2507" s="34" t="str">
        <f t="shared" si="583"/>
        <v>C:\Users\jaime.benazar\Quorum Business Solutions\Ecopetrol Prometeo - Documents\Planning Space Implementation\3. Analysis &amp; Design\Design\FC22\DRR Jaime\QUIFA-CAJÚA\Cajua\[CAJUA_CF_SEC_New_27-Feb-2024Rev3.xlsx]D-PS'!</v>
      </c>
      <c r="G2507" s="32" t="s">
        <v>115</v>
      </c>
      <c r="H2507" s="33">
        <f t="shared" si="584"/>
        <v>47</v>
      </c>
      <c r="I2507" s="33" t="str">
        <f t="shared" si="577"/>
        <v>='C:\Users\jaime.benazar\Quorum Business Solutions\Ecopetrol Prometeo - Documents\Planning Space Implementation\3. Analysis &amp; Design\Design\FC22\DRR Jaime\QUIFA-CAJÚA\Cajua\[CAJUA_CF_SEC_New_27-Feb-2024Rev3.xlsx]D-PS'!$DC$47</v>
      </c>
      <c r="J2507" s="37" t="s">
        <v>3108</v>
      </c>
    </row>
    <row r="2508" spans="1:10" x14ac:dyDescent="0.25">
      <c r="A2508" s="32" t="s">
        <v>34</v>
      </c>
      <c r="B2508" s="32">
        <f t="shared" si="585"/>
        <v>2059</v>
      </c>
      <c r="C2508" s="33" t="s">
        <v>20</v>
      </c>
      <c r="D2508" s="34" t="s">
        <v>1999</v>
      </c>
      <c r="E2508" s="35" t="str">
        <f t="shared" si="582"/>
        <v>PS'!</v>
      </c>
      <c r="F2508" s="34" t="str">
        <f t="shared" si="583"/>
        <v>C:\Users\jaime.benazar\Quorum Business Solutions\Ecopetrol Prometeo - Documents\Planning Space Implementation\3. Analysis &amp; Design\Design\FC22\DRR Jaime\QUIFA-CAJÚA\Cajua\[CAJUA_CF_SEC_New_27-Feb-2024Rev3.xlsx]D-PS'!</v>
      </c>
      <c r="G2508" s="32" t="s">
        <v>115</v>
      </c>
      <c r="H2508" s="33">
        <f t="shared" si="584"/>
        <v>48</v>
      </c>
      <c r="I2508" s="33" t="str">
        <f t="shared" si="577"/>
        <v>='C:\Users\jaime.benazar\Quorum Business Solutions\Ecopetrol Prometeo - Documents\Planning Space Implementation\3. Analysis &amp; Design\Design\FC22\DRR Jaime\QUIFA-CAJÚA\Cajua\[CAJUA_CF_SEC_New_27-Feb-2024Rev3.xlsx]D-PS'!$DC$48</v>
      </c>
      <c r="J2508" s="37" t="s">
        <v>3109</v>
      </c>
    </row>
    <row r="2509" spans="1:10" x14ac:dyDescent="0.25">
      <c r="A2509" s="32" t="s">
        <v>28</v>
      </c>
      <c r="B2509" s="32"/>
      <c r="C2509" s="33" t="s">
        <v>20</v>
      </c>
      <c r="D2509" s="34"/>
      <c r="E2509" s="35"/>
      <c r="F2509" s="34"/>
      <c r="G2509" s="32"/>
      <c r="H2509" s="33"/>
      <c r="I2509" s="33"/>
      <c r="J2509" s="33"/>
    </row>
    <row r="2510" spans="1:10" x14ac:dyDescent="0.25">
      <c r="A2510" s="32" t="s">
        <v>1</v>
      </c>
      <c r="B2510" s="32">
        <v>2023</v>
      </c>
      <c r="C2510" s="33" t="s">
        <v>23</v>
      </c>
      <c r="D2510" s="34" t="s">
        <v>1999</v>
      </c>
      <c r="E2510" s="35" t="str">
        <f t="shared" ref="E2510:E2530" si="586">_xlfn.CONCAT(A2510,"'!")</f>
        <v>PDP'!</v>
      </c>
      <c r="F2510" s="34" t="str">
        <f t="shared" ref="F2510:F2530" si="587">_xlfn.CONCAT(D2510:E2510)</f>
        <v>C:\Users\jaime.benazar\Quorum Business Solutions\Ecopetrol Prometeo - Documents\Planning Space Implementation\3. Analysis &amp; Design\Design\FC22\DRR Jaime\QUIFA-CAJÚA\Cajua\[CAJUA_CF_SEC_New_27-Feb-2024Rev3.xlsx]D-PDP'!</v>
      </c>
      <c r="G2510" s="32" t="s">
        <v>116</v>
      </c>
      <c r="H2510" s="33">
        <v>12</v>
      </c>
      <c r="I2510" s="33" t="str">
        <f>_xlfn.CONCAT("='",F2510:H2510)</f>
        <v>='C:\Users\jaime.benazar\Quorum Business Solutions\Ecopetrol Prometeo - Documents\Planning Space Implementation\3. Analysis &amp; Design\Design\FC22\DRR Jaime\QUIFA-CAJÚA\Cajua\[CAJUA_CF_SEC_New_27-Feb-2024Rev3.xlsx]D-PDP'!$EA$12</v>
      </c>
      <c r="J2510" s="37" t="s">
        <v>3110</v>
      </c>
    </row>
    <row r="2511" spans="1:10" x14ac:dyDescent="0.25">
      <c r="A2511" s="32" t="s">
        <v>1</v>
      </c>
      <c r="B2511" s="32">
        <f>+B2510+1</f>
        <v>2024</v>
      </c>
      <c r="C2511" s="33" t="s">
        <v>23</v>
      </c>
      <c r="D2511" s="34" t="s">
        <v>1999</v>
      </c>
      <c r="E2511" s="35" t="str">
        <f t="shared" si="586"/>
        <v>PDP'!</v>
      </c>
      <c r="F2511" s="34" t="str">
        <f t="shared" si="587"/>
        <v>C:\Users\jaime.benazar\Quorum Business Solutions\Ecopetrol Prometeo - Documents\Planning Space Implementation\3. Analysis &amp; Design\Design\FC22\DRR Jaime\QUIFA-CAJÚA\Cajua\[CAJUA_CF_SEC_New_27-Feb-2024Rev3.xlsx]D-PDP'!</v>
      </c>
      <c r="G2511" s="32" t="s">
        <v>116</v>
      </c>
      <c r="H2511" s="33">
        <f t="shared" ref="H2511:H2530" si="588">IF(A2511&lt;&gt;A2510,12,H2510+1)</f>
        <v>13</v>
      </c>
      <c r="I2511" s="33" t="str">
        <f t="shared" ref="I2511:I2530" si="589">_xlfn.CONCAT("='",F2511:H2511)</f>
        <v>='C:\Users\jaime.benazar\Quorum Business Solutions\Ecopetrol Prometeo - Documents\Planning Space Implementation\3. Analysis &amp; Design\Design\FC22\DRR Jaime\QUIFA-CAJÚA\Cajua\[CAJUA_CF_SEC_New_27-Feb-2024Rev3.xlsx]D-PDP'!$EA$13</v>
      </c>
      <c r="J2511" s="37" t="s">
        <v>3111</v>
      </c>
    </row>
    <row r="2512" spans="1:10" x14ac:dyDescent="0.25">
      <c r="A2512" s="32" t="s">
        <v>1</v>
      </c>
      <c r="B2512" s="32">
        <f t="shared" ref="B2512:B2523" si="590">+B2511+1</f>
        <v>2025</v>
      </c>
      <c r="C2512" s="33" t="s">
        <v>23</v>
      </c>
      <c r="D2512" s="34" t="s">
        <v>1999</v>
      </c>
      <c r="E2512" s="35" t="str">
        <f t="shared" si="586"/>
        <v>PDP'!</v>
      </c>
      <c r="F2512" s="34" t="str">
        <f t="shared" si="587"/>
        <v>C:\Users\jaime.benazar\Quorum Business Solutions\Ecopetrol Prometeo - Documents\Planning Space Implementation\3. Analysis &amp; Design\Design\FC22\DRR Jaime\QUIFA-CAJÚA\Cajua\[CAJUA_CF_SEC_New_27-Feb-2024Rev3.xlsx]D-PDP'!</v>
      </c>
      <c r="G2512" s="32" t="s">
        <v>116</v>
      </c>
      <c r="H2512" s="33">
        <f t="shared" si="588"/>
        <v>14</v>
      </c>
      <c r="I2512" s="33" t="str">
        <f t="shared" si="589"/>
        <v>='C:\Users\jaime.benazar\Quorum Business Solutions\Ecopetrol Prometeo - Documents\Planning Space Implementation\3. Analysis &amp; Design\Design\FC22\DRR Jaime\QUIFA-CAJÚA\Cajua\[CAJUA_CF_SEC_New_27-Feb-2024Rev3.xlsx]D-PDP'!$EA$14</v>
      </c>
      <c r="J2512" s="37" t="s">
        <v>3112</v>
      </c>
    </row>
    <row r="2513" spans="1:10" x14ac:dyDescent="0.25">
      <c r="A2513" s="32" t="s">
        <v>1</v>
      </c>
      <c r="B2513" s="32">
        <f t="shared" si="590"/>
        <v>2026</v>
      </c>
      <c r="C2513" s="33" t="s">
        <v>23</v>
      </c>
      <c r="D2513" s="34" t="s">
        <v>1999</v>
      </c>
      <c r="E2513" s="35" t="str">
        <f t="shared" si="586"/>
        <v>PDP'!</v>
      </c>
      <c r="F2513" s="34" t="str">
        <f t="shared" si="587"/>
        <v>C:\Users\jaime.benazar\Quorum Business Solutions\Ecopetrol Prometeo - Documents\Planning Space Implementation\3. Analysis &amp; Design\Design\FC22\DRR Jaime\QUIFA-CAJÚA\Cajua\[CAJUA_CF_SEC_New_27-Feb-2024Rev3.xlsx]D-PDP'!</v>
      </c>
      <c r="G2513" s="32" t="s">
        <v>116</v>
      </c>
      <c r="H2513" s="33">
        <f t="shared" si="588"/>
        <v>15</v>
      </c>
      <c r="I2513" s="33" t="str">
        <f t="shared" si="589"/>
        <v>='C:\Users\jaime.benazar\Quorum Business Solutions\Ecopetrol Prometeo - Documents\Planning Space Implementation\3. Analysis &amp; Design\Design\FC22\DRR Jaime\QUIFA-CAJÚA\Cajua\[CAJUA_CF_SEC_New_27-Feb-2024Rev3.xlsx]D-PDP'!$EA$15</v>
      </c>
      <c r="J2513" s="37" t="s">
        <v>3113</v>
      </c>
    </row>
    <row r="2514" spans="1:10" x14ac:dyDescent="0.25">
      <c r="A2514" s="32" t="s">
        <v>1</v>
      </c>
      <c r="B2514" s="32">
        <f t="shared" si="590"/>
        <v>2027</v>
      </c>
      <c r="C2514" s="33" t="s">
        <v>23</v>
      </c>
      <c r="D2514" s="34" t="s">
        <v>1999</v>
      </c>
      <c r="E2514" s="35" t="str">
        <f t="shared" si="586"/>
        <v>PDP'!</v>
      </c>
      <c r="F2514" s="34" t="str">
        <f t="shared" si="587"/>
        <v>C:\Users\jaime.benazar\Quorum Business Solutions\Ecopetrol Prometeo - Documents\Planning Space Implementation\3. Analysis &amp; Design\Design\FC22\DRR Jaime\QUIFA-CAJÚA\Cajua\[CAJUA_CF_SEC_New_27-Feb-2024Rev3.xlsx]D-PDP'!</v>
      </c>
      <c r="G2514" s="32" t="s">
        <v>116</v>
      </c>
      <c r="H2514" s="33">
        <f t="shared" si="588"/>
        <v>16</v>
      </c>
      <c r="I2514" s="33" t="str">
        <f t="shared" si="589"/>
        <v>='C:\Users\jaime.benazar\Quorum Business Solutions\Ecopetrol Prometeo - Documents\Planning Space Implementation\3. Analysis &amp; Design\Design\FC22\DRR Jaime\QUIFA-CAJÚA\Cajua\[CAJUA_CF_SEC_New_27-Feb-2024Rev3.xlsx]D-PDP'!$EA$16</v>
      </c>
      <c r="J2514" s="37" t="s">
        <v>3114</v>
      </c>
    </row>
    <row r="2515" spans="1:10" x14ac:dyDescent="0.25">
      <c r="A2515" s="32" t="s">
        <v>1</v>
      </c>
      <c r="B2515" s="32">
        <f t="shared" si="590"/>
        <v>2028</v>
      </c>
      <c r="C2515" s="33" t="s">
        <v>23</v>
      </c>
      <c r="D2515" s="34" t="s">
        <v>1999</v>
      </c>
      <c r="E2515" s="35" t="str">
        <f t="shared" si="586"/>
        <v>PDP'!</v>
      </c>
      <c r="F2515" s="34" t="str">
        <f t="shared" si="587"/>
        <v>C:\Users\jaime.benazar\Quorum Business Solutions\Ecopetrol Prometeo - Documents\Planning Space Implementation\3. Analysis &amp; Design\Design\FC22\DRR Jaime\QUIFA-CAJÚA\Cajua\[CAJUA_CF_SEC_New_27-Feb-2024Rev3.xlsx]D-PDP'!</v>
      </c>
      <c r="G2515" s="32" t="s">
        <v>116</v>
      </c>
      <c r="H2515" s="33">
        <f t="shared" si="588"/>
        <v>17</v>
      </c>
      <c r="I2515" s="33" t="str">
        <f t="shared" si="589"/>
        <v>='C:\Users\jaime.benazar\Quorum Business Solutions\Ecopetrol Prometeo - Documents\Planning Space Implementation\3. Analysis &amp; Design\Design\FC22\DRR Jaime\QUIFA-CAJÚA\Cajua\[CAJUA_CF_SEC_New_27-Feb-2024Rev3.xlsx]D-PDP'!$EA$17</v>
      </c>
      <c r="J2515" s="37" t="s">
        <v>3115</v>
      </c>
    </row>
    <row r="2516" spans="1:10" x14ac:dyDescent="0.25">
      <c r="A2516" s="32" t="s">
        <v>1</v>
      </c>
      <c r="B2516" s="32">
        <f t="shared" si="590"/>
        <v>2029</v>
      </c>
      <c r="C2516" s="33" t="s">
        <v>23</v>
      </c>
      <c r="D2516" s="34" t="s">
        <v>1999</v>
      </c>
      <c r="E2516" s="35" t="str">
        <f t="shared" si="586"/>
        <v>PDP'!</v>
      </c>
      <c r="F2516" s="34" t="str">
        <f t="shared" si="587"/>
        <v>C:\Users\jaime.benazar\Quorum Business Solutions\Ecopetrol Prometeo - Documents\Planning Space Implementation\3. Analysis &amp; Design\Design\FC22\DRR Jaime\QUIFA-CAJÚA\Cajua\[CAJUA_CF_SEC_New_27-Feb-2024Rev3.xlsx]D-PDP'!</v>
      </c>
      <c r="G2516" s="32" t="s">
        <v>116</v>
      </c>
      <c r="H2516" s="33">
        <f t="shared" si="588"/>
        <v>18</v>
      </c>
      <c r="I2516" s="33" t="str">
        <f t="shared" si="589"/>
        <v>='C:\Users\jaime.benazar\Quorum Business Solutions\Ecopetrol Prometeo - Documents\Planning Space Implementation\3. Analysis &amp; Design\Design\FC22\DRR Jaime\QUIFA-CAJÚA\Cajua\[CAJUA_CF_SEC_New_27-Feb-2024Rev3.xlsx]D-PDP'!$EA$18</v>
      </c>
      <c r="J2516" s="37" t="s">
        <v>3116</v>
      </c>
    </row>
    <row r="2517" spans="1:10" x14ac:dyDescent="0.25">
      <c r="A2517" s="32" t="s">
        <v>1</v>
      </c>
      <c r="B2517" s="32">
        <f t="shared" si="590"/>
        <v>2030</v>
      </c>
      <c r="C2517" s="33" t="s">
        <v>23</v>
      </c>
      <c r="D2517" s="34" t="s">
        <v>1999</v>
      </c>
      <c r="E2517" s="35" t="str">
        <f t="shared" si="586"/>
        <v>PDP'!</v>
      </c>
      <c r="F2517" s="34" t="str">
        <f t="shared" si="587"/>
        <v>C:\Users\jaime.benazar\Quorum Business Solutions\Ecopetrol Prometeo - Documents\Planning Space Implementation\3. Analysis &amp; Design\Design\FC22\DRR Jaime\QUIFA-CAJÚA\Cajua\[CAJUA_CF_SEC_New_27-Feb-2024Rev3.xlsx]D-PDP'!</v>
      </c>
      <c r="G2517" s="32" t="s">
        <v>116</v>
      </c>
      <c r="H2517" s="33">
        <f t="shared" si="588"/>
        <v>19</v>
      </c>
      <c r="I2517" s="33" t="str">
        <f t="shared" si="589"/>
        <v>='C:\Users\jaime.benazar\Quorum Business Solutions\Ecopetrol Prometeo - Documents\Planning Space Implementation\3. Analysis &amp; Design\Design\FC22\DRR Jaime\QUIFA-CAJÚA\Cajua\[CAJUA_CF_SEC_New_27-Feb-2024Rev3.xlsx]D-PDP'!$EA$19</v>
      </c>
      <c r="J2517" s="37" t="s">
        <v>3117</v>
      </c>
    </row>
    <row r="2518" spans="1:10" x14ac:dyDescent="0.25">
      <c r="A2518" s="32" t="s">
        <v>1</v>
      </c>
      <c r="B2518" s="32">
        <f t="shared" si="590"/>
        <v>2031</v>
      </c>
      <c r="C2518" s="33" t="s">
        <v>23</v>
      </c>
      <c r="D2518" s="34" t="s">
        <v>1999</v>
      </c>
      <c r="E2518" s="35" t="str">
        <f t="shared" si="586"/>
        <v>PDP'!</v>
      </c>
      <c r="F2518" s="34" t="str">
        <f t="shared" si="587"/>
        <v>C:\Users\jaime.benazar\Quorum Business Solutions\Ecopetrol Prometeo - Documents\Planning Space Implementation\3. Analysis &amp; Design\Design\FC22\DRR Jaime\QUIFA-CAJÚA\Cajua\[CAJUA_CF_SEC_New_27-Feb-2024Rev3.xlsx]D-PDP'!</v>
      </c>
      <c r="G2518" s="32" t="s">
        <v>116</v>
      </c>
      <c r="H2518" s="33">
        <f t="shared" si="588"/>
        <v>20</v>
      </c>
      <c r="I2518" s="33" t="str">
        <f t="shared" si="589"/>
        <v>='C:\Users\jaime.benazar\Quorum Business Solutions\Ecopetrol Prometeo - Documents\Planning Space Implementation\3. Analysis &amp; Design\Design\FC22\DRR Jaime\QUIFA-CAJÚA\Cajua\[CAJUA_CF_SEC_New_27-Feb-2024Rev3.xlsx]D-PDP'!$EA$20</v>
      </c>
      <c r="J2518" s="37" t="s">
        <v>3118</v>
      </c>
    </row>
    <row r="2519" spans="1:10" x14ac:dyDescent="0.25">
      <c r="A2519" s="32" t="s">
        <v>1</v>
      </c>
      <c r="B2519" s="32">
        <f t="shared" si="590"/>
        <v>2032</v>
      </c>
      <c r="C2519" s="33" t="s">
        <v>23</v>
      </c>
      <c r="D2519" s="34" t="s">
        <v>1999</v>
      </c>
      <c r="E2519" s="35" t="str">
        <f t="shared" si="586"/>
        <v>PDP'!</v>
      </c>
      <c r="F2519" s="34" t="str">
        <f t="shared" si="587"/>
        <v>C:\Users\jaime.benazar\Quorum Business Solutions\Ecopetrol Prometeo - Documents\Planning Space Implementation\3. Analysis &amp; Design\Design\FC22\DRR Jaime\QUIFA-CAJÚA\Cajua\[CAJUA_CF_SEC_New_27-Feb-2024Rev3.xlsx]D-PDP'!</v>
      </c>
      <c r="G2519" s="32" t="s">
        <v>116</v>
      </c>
      <c r="H2519" s="33">
        <f t="shared" si="588"/>
        <v>21</v>
      </c>
      <c r="I2519" s="33" t="str">
        <f t="shared" si="589"/>
        <v>='C:\Users\jaime.benazar\Quorum Business Solutions\Ecopetrol Prometeo - Documents\Planning Space Implementation\3. Analysis &amp; Design\Design\FC22\DRR Jaime\QUIFA-CAJÚA\Cajua\[CAJUA_CF_SEC_New_27-Feb-2024Rev3.xlsx]D-PDP'!$EA$21</v>
      </c>
      <c r="J2519" s="37" t="s">
        <v>3119</v>
      </c>
    </row>
    <row r="2520" spans="1:10" x14ac:dyDescent="0.25">
      <c r="A2520" s="32" t="s">
        <v>1</v>
      </c>
      <c r="B2520" s="32">
        <f t="shared" si="590"/>
        <v>2033</v>
      </c>
      <c r="C2520" s="33" t="s">
        <v>23</v>
      </c>
      <c r="D2520" s="34" t="s">
        <v>1999</v>
      </c>
      <c r="E2520" s="35" t="str">
        <f t="shared" si="586"/>
        <v>PDP'!</v>
      </c>
      <c r="F2520" s="34" t="str">
        <f t="shared" si="587"/>
        <v>C:\Users\jaime.benazar\Quorum Business Solutions\Ecopetrol Prometeo - Documents\Planning Space Implementation\3. Analysis &amp; Design\Design\FC22\DRR Jaime\QUIFA-CAJÚA\Cajua\[CAJUA_CF_SEC_New_27-Feb-2024Rev3.xlsx]D-PDP'!</v>
      </c>
      <c r="G2520" s="32" t="s">
        <v>116</v>
      </c>
      <c r="H2520" s="33">
        <f t="shared" si="588"/>
        <v>22</v>
      </c>
      <c r="I2520" s="33" t="str">
        <f t="shared" si="589"/>
        <v>='C:\Users\jaime.benazar\Quorum Business Solutions\Ecopetrol Prometeo - Documents\Planning Space Implementation\3. Analysis &amp; Design\Design\FC22\DRR Jaime\QUIFA-CAJÚA\Cajua\[CAJUA_CF_SEC_New_27-Feb-2024Rev3.xlsx]D-PDP'!$EA$22</v>
      </c>
      <c r="J2520" s="37" t="s">
        <v>3120</v>
      </c>
    </row>
    <row r="2521" spans="1:10" x14ac:dyDescent="0.25">
      <c r="A2521" s="32" t="s">
        <v>1</v>
      </c>
      <c r="B2521" s="32">
        <f t="shared" si="590"/>
        <v>2034</v>
      </c>
      <c r="C2521" s="33" t="s">
        <v>23</v>
      </c>
      <c r="D2521" s="34" t="s">
        <v>1999</v>
      </c>
      <c r="E2521" s="35" t="str">
        <f t="shared" si="586"/>
        <v>PDP'!</v>
      </c>
      <c r="F2521" s="34" t="str">
        <f t="shared" si="587"/>
        <v>C:\Users\jaime.benazar\Quorum Business Solutions\Ecopetrol Prometeo - Documents\Planning Space Implementation\3. Analysis &amp; Design\Design\FC22\DRR Jaime\QUIFA-CAJÚA\Cajua\[CAJUA_CF_SEC_New_27-Feb-2024Rev3.xlsx]D-PDP'!</v>
      </c>
      <c r="G2521" s="32" t="s">
        <v>116</v>
      </c>
      <c r="H2521" s="33">
        <f t="shared" si="588"/>
        <v>23</v>
      </c>
      <c r="I2521" s="33" t="str">
        <f t="shared" si="589"/>
        <v>='C:\Users\jaime.benazar\Quorum Business Solutions\Ecopetrol Prometeo - Documents\Planning Space Implementation\3. Analysis &amp; Design\Design\FC22\DRR Jaime\QUIFA-CAJÚA\Cajua\[CAJUA_CF_SEC_New_27-Feb-2024Rev3.xlsx]D-PDP'!$EA$23</v>
      </c>
      <c r="J2521" s="37" t="s">
        <v>3121</v>
      </c>
    </row>
    <row r="2522" spans="1:10" x14ac:dyDescent="0.25">
      <c r="A2522" s="32" t="s">
        <v>1</v>
      </c>
      <c r="B2522" s="32">
        <f t="shared" si="590"/>
        <v>2035</v>
      </c>
      <c r="C2522" s="33" t="s">
        <v>23</v>
      </c>
      <c r="D2522" s="34" t="s">
        <v>1999</v>
      </c>
      <c r="E2522" s="35" t="str">
        <f t="shared" si="586"/>
        <v>PDP'!</v>
      </c>
      <c r="F2522" s="34" t="str">
        <f t="shared" si="587"/>
        <v>C:\Users\jaime.benazar\Quorum Business Solutions\Ecopetrol Prometeo - Documents\Planning Space Implementation\3. Analysis &amp; Design\Design\FC22\DRR Jaime\QUIFA-CAJÚA\Cajua\[CAJUA_CF_SEC_New_27-Feb-2024Rev3.xlsx]D-PDP'!</v>
      </c>
      <c r="G2522" s="32" t="s">
        <v>116</v>
      </c>
      <c r="H2522" s="33">
        <f t="shared" si="588"/>
        <v>24</v>
      </c>
      <c r="I2522" s="33" t="str">
        <f t="shared" si="589"/>
        <v>='C:\Users\jaime.benazar\Quorum Business Solutions\Ecopetrol Prometeo - Documents\Planning Space Implementation\3. Analysis &amp; Design\Design\FC22\DRR Jaime\QUIFA-CAJÚA\Cajua\[CAJUA_CF_SEC_New_27-Feb-2024Rev3.xlsx]D-PDP'!$EA$24</v>
      </c>
      <c r="J2522" s="37" t="s">
        <v>3122</v>
      </c>
    </row>
    <row r="2523" spans="1:10" x14ac:dyDescent="0.25">
      <c r="A2523" s="32" t="s">
        <v>1</v>
      </c>
      <c r="B2523" s="32">
        <f t="shared" si="590"/>
        <v>2036</v>
      </c>
      <c r="C2523" s="33" t="s">
        <v>23</v>
      </c>
      <c r="D2523" s="34" t="s">
        <v>1999</v>
      </c>
      <c r="E2523" s="35" t="str">
        <f t="shared" si="586"/>
        <v>PDP'!</v>
      </c>
      <c r="F2523" s="34" t="str">
        <f t="shared" si="587"/>
        <v>C:\Users\jaime.benazar\Quorum Business Solutions\Ecopetrol Prometeo - Documents\Planning Space Implementation\3. Analysis &amp; Design\Design\FC22\DRR Jaime\QUIFA-CAJÚA\Cajua\[CAJUA_CF_SEC_New_27-Feb-2024Rev3.xlsx]D-PDP'!</v>
      </c>
      <c r="G2523" s="32" t="s">
        <v>116</v>
      </c>
      <c r="H2523" s="33">
        <f t="shared" si="588"/>
        <v>25</v>
      </c>
      <c r="I2523" s="33" t="str">
        <f t="shared" si="589"/>
        <v>='C:\Users\jaime.benazar\Quorum Business Solutions\Ecopetrol Prometeo - Documents\Planning Space Implementation\3. Analysis &amp; Design\Design\FC22\DRR Jaime\QUIFA-CAJÚA\Cajua\[CAJUA_CF_SEC_New_27-Feb-2024Rev3.xlsx]D-PDP'!$EA$25</v>
      </c>
      <c r="J2523" s="37" t="s">
        <v>3123</v>
      </c>
    </row>
    <row r="2524" spans="1:10" x14ac:dyDescent="0.25">
      <c r="A2524" s="32" t="s">
        <v>1</v>
      </c>
      <c r="B2524" s="32">
        <f>+B2523+1</f>
        <v>2037</v>
      </c>
      <c r="C2524" s="33" t="s">
        <v>23</v>
      </c>
      <c r="D2524" s="34" t="s">
        <v>1999</v>
      </c>
      <c r="E2524" s="35" t="str">
        <f t="shared" si="586"/>
        <v>PDP'!</v>
      </c>
      <c r="F2524" s="34" t="str">
        <f t="shared" si="587"/>
        <v>C:\Users\jaime.benazar\Quorum Business Solutions\Ecopetrol Prometeo - Documents\Planning Space Implementation\3. Analysis &amp; Design\Design\FC22\DRR Jaime\QUIFA-CAJÚA\Cajua\[CAJUA_CF_SEC_New_27-Feb-2024Rev3.xlsx]D-PDP'!</v>
      </c>
      <c r="G2524" s="32" t="s">
        <v>116</v>
      </c>
      <c r="H2524" s="33">
        <f t="shared" si="588"/>
        <v>26</v>
      </c>
      <c r="I2524" s="33" t="str">
        <f t="shared" si="589"/>
        <v>='C:\Users\jaime.benazar\Quorum Business Solutions\Ecopetrol Prometeo - Documents\Planning Space Implementation\3. Analysis &amp; Design\Design\FC22\DRR Jaime\QUIFA-CAJÚA\Cajua\[CAJUA_CF_SEC_New_27-Feb-2024Rev3.xlsx]D-PDP'!$EA$26</v>
      </c>
      <c r="J2524" s="37" t="s">
        <v>3124</v>
      </c>
    </row>
    <row r="2525" spans="1:10" x14ac:dyDescent="0.25">
      <c r="A2525" s="32" t="s">
        <v>1</v>
      </c>
      <c r="B2525" s="32">
        <f t="shared" ref="B2525:B2527" si="591">+B2524+1</f>
        <v>2038</v>
      </c>
      <c r="C2525" s="33" t="s">
        <v>23</v>
      </c>
      <c r="D2525" s="34" t="s">
        <v>1999</v>
      </c>
      <c r="E2525" s="35" t="str">
        <f t="shared" si="586"/>
        <v>PDP'!</v>
      </c>
      <c r="F2525" s="34" t="str">
        <f t="shared" si="587"/>
        <v>C:\Users\jaime.benazar\Quorum Business Solutions\Ecopetrol Prometeo - Documents\Planning Space Implementation\3. Analysis &amp; Design\Design\FC22\DRR Jaime\QUIFA-CAJÚA\Cajua\[CAJUA_CF_SEC_New_27-Feb-2024Rev3.xlsx]D-PDP'!</v>
      </c>
      <c r="G2525" s="32" t="s">
        <v>116</v>
      </c>
      <c r="H2525" s="33">
        <f t="shared" si="588"/>
        <v>27</v>
      </c>
      <c r="I2525" s="33" t="str">
        <f t="shared" si="589"/>
        <v>='C:\Users\jaime.benazar\Quorum Business Solutions\Ecopetrol Prometeo - Documents\Planning Space Implementation\3. Analysis &amp; Design\Design\FC22\DRR Jaime\QUIFA-CAJÚA\Cajua\[CAJUA_CF_SEC_New_27-Feb-2024Rev3.xlsx]D-PDP'!$EA$27</v>
      </c>
      <c r="J2525" s="37" t="s">
        <v>3125</v>
      </c>
    </row>
    <row r="2526" spans="1:10" x14ac:dyDescent="0.25">
      <c r="A2526" s="32" t="s">
        <v>1</v>
      </c>
      <c r="B2526" s="32">
        <f t="shared" si="591"/>
        <v>2039</v>
      </c>
      <c r="C2526" s="33" t="s">
        <v>23</v>
      </c>
      <c r="D2526" s="34" t="s">
        <v>1999</v>
      </c>
      <c r="E2526" s="35" t="str">
        <f t="shared" si="586"/>
        <v>PDP'!</v>
      </c>
      <c r="F2526" s="34" t="str">
        <f t="shared" si="587"/>
        <v>C:\Users\jaime.benazar\Quorum Business Solutions\Ecopetrol Prometeo - Documents\Planning Space Implementation\3. Analysis &amp; Design\Design\FC22\DRR Jaime\QUIFA-CAJÚA\Cajua\[CAJUA_CF_SEC_New_27-Feb-2024Rev3.xlsx]D-PDP'!</v>
      </c>
      <c r="G2526" s="32" t="s">
        <v>116</v>
      </c>
      <c r="H2526" s="33">
        <f t="shared" si="588"/>
        <v>28</v>
      </c>
      <c r="I2526" s="33" t="str">
        <f t="shared" si="589"/>
        <v>='C:\Users\jaime.benazar\Quorum Business Solutions\Ecopetrol Prometeo - Documents\Planning Space Implementation\3. Analysis &amp; Design\Design\FC22\DRR Jaime\QUIFA-CAJÚA\Cajua\[CAJUA_CF_SEC_New_27-Feb-2024Rev3.xlsx]D-PDP'!$EA$28</v>
      </c>
      <c r="J2526" s="37" t="s">
        <v>3126</v>
      </c>
    </row>
    <row r="2527" spans="1:10" x14ac:dyDescent="0.25">
      <c r="A2527" s="32" t="s">
        <v>1</v>
      </c>
      <c r="B2527" s="32">
        <f t="shared" si="591"/>
        <v>2040</v>
      </c>
      <c r="C2527" s="33" t="s">
        <v>23</v>
      </c>
      <c r="D2527" s="34" t="s">
        <v>1999</v>
      </c>
      <c r="E2527" s="35" t="str">
        <f t="shared" si="586"/>
        <v>PDP'!</v>
      </c>
      <c r="F2527" s="34" t="str">
        <f t="shared" si="587"/>
        <v>C:\Users\jaime.benazar\Quorum Business Solutions\Ecopetrol Prometeo - Documents\Planning Space Implementation\3. Analysis &amp; Design\Design\FC22\DRR Jaime\QUIFA-CAJÚA\Cajua\[CAJUA_CF_SEC_New_27-Feb-2024Rev3.xlsx]D-PDP'!</v>
      </c>
      <c r="G2527" s="32" t="s">
        <v>116</v>
      </c>
      <c r="H2527" s="33">
        <f t="shared" si="588"/>
        <v>29</v>
      </c>
      <c r="I2527" s="33" t="str">
        <f t="shared" si="589"/>
        <v>='C:\Users\jaime.benazar\Quorum Business Solutions\Ecopetrol Prometeo - Documents\Planning Space Implementation\3. Analysis &amp; Design\Design\FC22\DRR Jaime\QUIFA-CAJÚA\Cajua\[CAJUA_CF_SEC_New_27-Feb-2024Rev3.xlsx]D-PDP'!$EA$29</v>
      </c>
      <c r="J2527" s="37" t="s">
        <v>3127</v>
      </c>
    </row>
    <row r="2528" spans="1:10" x14ac:dyDescent="0.25">
      <c r="A2528" s="32" t="s">
        <v>1</v>
      </c>
      <c r="B2528" s="32">
        <f>+B2527+1</f>
        <v>2041</v>
      </c>
      <c r="C2528" s="33" t="s">
        <v>23</v>
      </c>
      <c r="D2528" s="34" t="s">
        <v>1999</v>
      </c>
      <c r="E2528" s="35" t="str">
        <f t="shared" si="586"/>
        <v>PDP'!</v>
      </c>
      <c r="F2528" s="34" t="str">
        <f t="shared" si="587"/>
        <v>C:\Users\jaime.benazar\Quorum Business Solutions\Ecopetrol Prometeo - Documents\Planning Space Implementation\3. Analysis &amp; Design\Design\FC22\DRR Jaime\QUIFA-CAJÚA\Cajua\[CAJUA_CF_SEC_New_27-Feb-2024Rev3.xlsx]D-PDP'!</v>
      </c>
      <c r="G2528" s="32" t="s">
        <v>116</v>
      </c>
      <c r="H2528" s="33">
        <f t="shared" si="588"/>
        <v>30</v>
      </c>
      <c r="I2528" s="33" t="str">
        <f t="shared" si="589"/>
        <v>='C:\Users\jaime.benazar\Quorum Business Solutions\Ecopetrol Prometeo - Documents\Planning Space Implementation\3. Analysis &amp; Design\Design\FC22\DRR Jaime\QUIFA-CAJÚA\Cajua\[CAJUA_CF_SEC_New_27-Feb-2024Rev3.xlsx]D-PDP'!$EA$30</v>
      </c>
      <c r="J2528" s="37" t="s">
        <v>3128</v>
      </c>
    </row>
    <row r="2529" spans="1:10" x14ac:dyDescent="0.25">
      <c r="A2529" s="32" t="s">
        <v>1</v>
      </c>
      <c r="B2529" s="32">
        <f t="shared" ref="B2529:B2530" si="592">+B2528+1</f>
        <v>2042</v>
      </c>
      <c r="C2529" s="33" t="s">
        <v>23</v>
      </c>
      <c r="D2529" s="34" t="s">
        <v>1999</v>
      </c>
      <c r="E2529" s="35" t="str">
        <f t="shared" si="586"/>
        <v>PDP'!</v>
      </c>
      <c r="F2529" s="34" t="str">
        <f t="shared" si="587"/>
        <v>C:\Users\jaime.benazar\Quorum Business Solutions\Ecopetrol Prometeo - Documents\Planning Space Implementation\3. Analysis &amp; Design\Design\FC22\DRR Jaime\QUIFA-CAJÚA\Cajua\[CAJUA_CF_SEC_New_27-Feb-2024Rev3.xlsx]D-PDP'!</v>
      </c>
      <c r="G2529" s="32" t="s">
        <v>116</v>
      </c>
      <c r="H2529" s="33">
        <f t="shared" si="588"/>
        <v>31</v>
      </c>
      <c r="I2529" s="33" t="str">
        <f t="shared" si="589"/>
        <v>='C:\Users\jaime.benazar\Quorum Business Solutions\Ecopetrol Prometeo - Documents\Planning Space Implementation\3. Analysis &amp; Design\Design\FC22\DRR Jaime\QUIFA-CAJÚA\Cajua\[CAJUA_CF_SEC_New_27-Feb-2024Rev3.xlsx]D-PDP'!$EA$31</v>
      </c>
      <c r="J2529" s="37" t="s">
        <v>3129</v>
      </c>
    </row>
    <row r="2530" spans="1:10" x14ac:dyDescent="0.25">
      <c r="A2530" s="32" t="s">
        <v>1</v>
      </c>
      <c r="B2530" s="32">
        <f t="shared" si="592"/>
        <v>2043</v>
      </c>
      <c r="C2530" s="33" t="s">
        <v>23</v>
      </c>
      <c r="D2530" s="34" t="s">
        <v>1999</v>
      </c>
      <c r="E2530" s="35" t="str">
        <f t="shared" si="586"/>
        <v>PDP'!</v>
      </c>
      <c r="F2530" s="34" t="str">
        <f t="shared" si="587"/>
        <v>C:\Users\jaime.benazar\Quorum Business Solutions\Ecopetrol Prometeo - Documents\Planning Space Implementation\3. Analysis &amp; Design\Design\FC22\DRR Jaime\QUIFA-CAJÚA\Cajua\[CAJUA_CF_SEC_New_27-Feb-2024Rev3.xlsx]D-PDP'!</v>
      </c>
      <c r="G2530" s="32" t="s">
        <v>116</v>
      </c>
      <c r="H2530" s="33">
        <f t="shared" si="588"/>
        <v>32</v>
      </c>
      <c r="I2530" s="33" t="str">
        <f t="shared" si="589"/>
        <v>='C:\Users\jaime.benazar\Quorum Business Solutions\Ecopetrol Prometeo - Documents\Planning Space Implementation\3. Analysis &amp; Design\Design\FC22\DRR Jaime\QUIFA-CAJÚA\Cajua\[CAJUA_CF_SEC_New_27-Feb-2024Rev3.xlsx]D-PDP'!$EA$32</v>
      </c>
      <c r="J2530" s="37" t="s">
        <v>3130</v>
      </c>
    </row>
    <row r="2531" spans="1:10" x14ac:dyDescent="0.25">
      <c r="A2531" s="32" t="s">
        <v>1</v>
      </c>
      <c r="B2531" s="32">
        <f>+B2530+1</f>
        <v>2044</v>
      </c>
      <c r="C2531" s="33" t="s">
        <v>23</v>
      </c>
      <c r="D2531" s="34" t="s">
        <v>1999</v>
      </c>
      <c r="E2531" s="35" t="str">
        <f t="shared" ref="E2531:E2546" si="593">_xlfn.CONCAT(A2531,"'!")</f>
        <v>PDP'!</v>
      </c>
      <c r="F2531" s="34" t="str">
        <f t="shared" ref="F2531:F2546" si="594">_xlfn.CONCAT(D2531:E2531)</f>
        <v>C:\Users\jaime.benazar\Quorum Business Solutions\Ecopetrol Prometeo - Documents\Planning Space Implementation\3. Analysis &amp; Design\Design\FC22\DRR Jaime\QUIFA-CAJÚA\Cajua\[CAJUA_CF_SEC_New_27-Feb-2024Rev3.xlsx]D-PDP'!</v>
      </c>
      <c r="G2531" s="32" t="s">
        <v>116</v>
      </c>
      <c r="H2531" s="33">
        <f t="shared" ref="H2531:H2546" si="595">IF(A2531&lt;&gt;A2530,12,H2530+1)</f>
        <v>33</v>
      </c>
      <c r="I2531" s="33" t="str">
        <f t="shared" ref="I2531:I2546" si="596">_xlfn.CONCAT("='",F2531:H2531)</f>
        <v>='C:\Users\jaime.benazar\Quorum Business Solutions\Ecopetrol Prometeo - Documents\Planning Space Implementation\3. Analysis &amp; Design\Design\FC22\DRR Jaime\QUIFA-CAJÚA\Cajua\[CAJUA_CF_SEC_New_27-Feb-2024Rev3.xlsx]D-PDP'!$EA$33</v>
      </c>
      <c r="J2531" s="37" t="s">
        <v>3131</v>
      </c>
    </row>
    <row r="2532" spans="1:10" x14ac:dyDescent="0.25">
      <c r="A2532" s="32" t="s">
        <v>1</v>
      </c>
      <c r="B2532" s="32">
        <f t="shared" ref="B2532:B2546" si="597">+B2531+1</f>
        <v>2045</v>
      </c>
      <c r="C2532" s="33" t="s">
        <v>23</v>
      </c>
      <c r="D2532" s="34" t="s">
        <v>1999</v>
      </c>
      <c r="E2532" s="35" t="str">
        <f t="shared" si="593"/>
        <v>PDP'!</v>
      </c>
      <c r="F2532" s="34" t="str">
        <f t="shared" si="594"/>
        <v>C:\Users\jaime.benazar\Quorum Business Solutions\Ecopetrol Prometeo - Documents\Planning Space Implementation\3. Analysis &amp; Design\Design\FC22\DRR Jaime\QUIFA-CAJÚA\Cajua\[CAJUA_CF_SEC_New_27-Feb-2024Rev3.xlsx]D-PDP'!</v>
      </c>
      <c r="G2532" s="32" t="s">
        <v>116</v>
      </c>
      <c r="H2532" s="33">
        <f t="shared" si="595"/>
        <v>34</v>
      </c>
      <c r="I2532" s="33" t="str">
        <f t="shared" si="596"/>
        <v>='C:\Users\jaime.benazar\Quorum Business Solutions\Ecopetrol Prometeo - Documents\Planning Space Implementation\3. Analysis &amp; Design\Design\FC22\DRR Jaime\QUIFA-CAJÚA\Cajua\[CAJUA_CF_SEC_New_27-Feb-2024Rev3.xlsx]D-PDP'!$EA$34</v>
      </c>
      <c r="J2532" s="37" t="s">
        <v>3132</v>
      </c>
    </row>
    <row r="2533" spans="1:10" x14ac:dyDescent="0.25">
      <c r="A2533" s="32" t="s">
        <v>1</v>
      </c>
      <c r="B2533" s="32">
        <f t="shared" si="597"/>
        <v>2046</v>
      </c>
      <c r="C2533" s="33" t="s">
        <v>23</v>
      </c>
      <c r="D2533" s="34" t="s">
        <v>1999</v>
      </c>
      <c r="E2533" s="35" t="str">
        <f t="shared" si="593"/>
        <v>PDP'!</v>
      </c>
      <c r="F2533" s="34" t="str">
        <f t="shared" si="594"/>
        <v>C:\Users\jaime.benazar\Quorum Business Solutions\Ecopetrol Prometeo - Documents\Planning Space Implementation\3. Analysis &amp; Design\Design\FC22\DRR Jaime\QUIFA-CAJÚA\Cajua\[CAJUA_CF_SEC_New_27-Feb-2024Rev3.xlsx]D-PDP'!</v>
      </c>
      <c r="G2533" s="32" t="s">
        <v>116</v>
      </c>
      <c r="H2533" s="33">
        <f t="shared" si="595"/>
        <v>35</v>
      </c>
      <c r="I2533" s="33" t="str">
        <f t="shared" si="596"/>
        <v>='C:\Users\jaime.benazar\Quorum Business Solutions\Ecopetrol Prometeo - Documents\Planning Space Implementation\3. Analysis &amp; Design\Design\FC22\DRR Jaime\QUIFA-CAJÚA\Cajua\[CAJUA_CF_SEC_New_27-Feb-2024Rev3.xlsx]D-PDP'!$EA$35</v>
      </c>
      <c r="J2533" s="37" t="s">
        <v>3133</v>
      </c>
    </row>
    <row r="2534" spans="1:10" x14ac:dyDescent="0.25">
      <c r="A2534" s="32" t="s">
        <v>1</v>
      </c>
      <c r="B2534" s="32">
        <f t="shared" si="597"/>
        <v>2047</v>
      </c>
      <c r="C2534" s="33" t="s">
        <v>23</v>
      </c>
      <c r="D2534" s="34" t="s">
        <v>1999</v>
      </c>
      <c r="E2534" s="35" t="str">
        <f t="shared" si="593"/>
        <v>PDP'!</v>
      </c>
      <c r="F2534" s="34" t="str">
        <f t="shared" si="594"/>
        <v>C:\Users\jaime.benazar\Quorum Business Solutions\Ecopetrol Prometeo - Documents\Planning Space Implementation\3. Analysis &amp; Design\Design\FC22\DRR Jaime\QUIFA-CAJÚA\Cajua\[CAJUA_CF_SEC_New_27-Feb-2024Rev3.xlsx]D-PDP'!</v>
      </c>
      <c r="G2534" s="32" t="s">
        <v>116</v>
      </c>
      <c r="H2534" s="33">
        <f t="shared" si="595"/>
        <v>36</v>
      </c>
      <c r="I2534" s="33" t="str">
        <f t="shared" si="596"/>
        <v>='C:\Users\jaime.benazar\Quorum Business Solutions\Ecopetrol Prometeo - Documents\Planning Space Implementation\3. Analysis &amp; Design\Design\FC22\DRR Jaime\QUIFA-CAJÚA\Cajua\[CAJUA_CF_SEC_New_27-Feb-2024Rev3.xlsx]D-PDP'!$EA$36</v>
      </c>
      <c r="J2534" s="37" t="s">
        <v>3134</v>
      </c>
    </row>
    <row r="2535" spans="1:10" x14ac:dyDescent="0.25">
      <c r="A2535" s="32" t="s">
        <v>1</v>
      </c>
      <c r="B2535" s="32">
        <f t="shared" si="597"/>
        <v>2048</v>
      </c>
      <c r="C2535" s="33" t="s">
        <v>23</v>
      </c>
      <c r="D2535" s="34" t="s">
        <v>1999</v>
      </c>
      <c r="E2535" s="35" t="str">
        <f t="shared" si="593"/>
        <v>PDP'!</v>
      </c>
      <c r="F2535" s="34" t="str">
        <f t="shared" si="594"/>
        <v>C:\Users\jaime.benazar\Quorum Business Solutions\Ecopetrol Prometeo - Documents\Planning Space Implementation\3. Analysis &amp; Design\Design\FC22\DRR Jaime\QUIFA-CAJÚA\Cajua\[CAJUA_CF_SEC_New_27-Feb-2024Rev3.xlsx]D-PDP'!</v>
      </c>
      <c r="G2535" s="32" t="s">
        <v>116</v>
      </c>
      <c r="H2535" s="33">
        <f t="shared" si="595"/>
        <v>37</v>
      </c>
      <c r="I2535" s="33" t="str">
        <f t="shared" si="596"/>
        <v>='C:\Users\jaime.benazar\Quorum Business Solutions\Ecopetrol Prometeo - Documents\Planning Space Implementation\3. Analysis &amp; Design\Design\FC22\DRR Jaime\QUIFA-CAJÚA\Cajua\[CAJUA_CF_SEC_New_27-Feb-2024Rev3.xlsx]D-PDP'!$EA$37</v>
      </c>
      <c r="J2535" s="37" t="s">
        <v>3135</v>
      </c>
    </row>
    <row r="2536" spans="1:10" x14ac:dyDescent="0.25">
      <c r="A2536" s="32" t="s">
        <v>1</v>
      </c>
      <c r="B2536" s="32">
        <f t="shared" si="597"/>
        <v>2049</v>
      </c>
      <c r="C2536" s="33" t="s">
        <v>23</v>
      </c>
      <c r="D2536" s="34" t="s">
        <v>1999</v>
      </c>
      <c r="E2536" s="35" t="str">
        <f t="shared" si="593"/>
        <v>PDP'!</v>
      </c>
      <c r="F2536" s="34" t="str">
        <f t="shared" si="594"/>
        <v>C:\Users\jaime.benazar\Quorum Business Solutions\Ecopetrol Prometeo - Documents\Planning Space Implementation\3. Analysis &amp; Design\Design\FC22\DRR Jaime\QUIFA-CAJÚA\Cajua\[CAJUA_CF_SEC_New_27-Feb-2024Rev3.xlsx]D-PDP'!</v>
      </c>
      <c r="G2536" s="32" t="s">
        <v>116</v>
      </c>
      <c r="H2536" s="33">
        <f t="shared" si="595"/>
        <v>38</v>
      </c>
      <c r="I2536" s="33" t="str">
        <f t="shared" si="596"/>
        <v>='C:\Users\jaime.benazar\Quorum Business Solutions\Ecopetrol Prometeo - Documents\Planning Space Implementation\3. Analysis &amp; Design\Design\FC22\DRR Jaime\QUIFA-CAJÚA\Cajua\[CAJUA_CF_SEC_New_27-Feb-2024Rev3.xlsx]D-PDP'!$EA$38</v>
      </c>
      <c r="J2536" s="37" t="s">
        <v>3136</v>
      </c>
    </row>
    <row r="2537" spans="1:10" x14ac:dyDescent="0.25">
      <c r="A2537" s="32" t="s">
        <v>1</v>
      </c>
      <c r="B2537" s="32">
        <f t="shared" si="597"/>
        <v>2050</v>
      </c>
      <c r="C2537" s="33" t="s">
        <v>23</v>
      </c>
      <c r="D2537" s="34" t="s">
        <v>1999</v>
      </c>
      <c r="E2537" s="35" t="str">
        <f t="shared" si="593"/>
        <v>PDP'!</v>
      </c>
      <c r="F2537" s="34" t="str">
        <f t="shared" si="594"/>
        <v>C:\Users\jaime.benazar\Quorum Business Solutions\Ecopetrol Prometeo - Documents\Planning Space Implementation\3. Analysis &amp; Design\Design\FC22\DRR Jaime\QUIFA-CAJÚA\Cajua\[CAJUA_CF_SEC_New_27-Feb-2024Rev3.xlsx]D-PDP'!</v>
      </c>
      <c r="G2537" s="32" t="s">
        <v>116</v>
      </c>
      <c r="H2537" s="33">
        <f t="shared" si="595"/>
        <v>39</v>
      </c>
      <c r="I2537" s="33" t="str">
        <f t="shared" si="596"/>
        <v>='C:\Users\jaime.benazar\Quorum Business Solutions\Ecopetrol Prometeo - Documents\Planning Space Implementation\3. Analysis &amp; Design\Design\FC22\DRR Jaime\QUIFA-CAJÚA\Cajua\[CAJUA_CF_SEC_New_27-Feb-2024Rev3.xlsx]D-PDP'!$EA$39</v>
      </c>
      <c r="J2537" s="37" t="s">
        <v>3137</v>
      </c>
    </row>
    <row r="2538" spans="1:10" x14ac:dyDescent="0.25">
      <c r="A2538" s="32" t="s">
        <v>1</v>
      </c>
      <c r="B2538" s="32">
        <f t="shared" si="597"/>
        <v>2051</v>
      </c>
      <c r="C2538" s="33" t="s">
        <v>23</v>
      </c>
      <c r="D2538" s="34" t="s">
        <v>1999</v>
      </c>
      <c r="E2538" s="35" t="str">
        <f t="shared" si="593"/>
        <v>PDP'!</v>
      </c>
      <c r="F2538" s="34" t="str">
        <f t="shared" si="594"/>
        <v>C:\Users\jaime.benazar\Quorum Business Solutions\Ecopetrol Prometeo - Documents\Planning Space Implementation\3. Analysis &amp; Design\Design\FC22\DRR Jaime\QUIFA-CAJÚA\Cajua\[CAJUA_CF_SEC_New_27-Feb-2024Rev3.xlsx]D-PDP'!</v>
      </c>
      <c r="G2538" s="32" t="s">
        <v>116</v>
      </c>
      <c r="H2538" s="33">
        <f t="shared" si="595"/>
        <v>40</v>
      </c>
      <c r="I2538" s="33" t="str">
        <f t="shared" si="596"/>
        <v>='C:\Users\jaime.benazar\Quorum Business Solutions\Ecopetrol Prometeo - Documents\Planning Space Implementation\3. Analysis &amp; Design\Design\FC22\DRR Jaime\QUIFA-CAJÚA\Cajua\[CAJUA_CF_SEC_New_27-Feb-2024Rev3.xlsx]D-PDP'!$EA$40</v>
      </c>
      <c r="J2538" s="37" t="s">
        <v>3138</v>
      </c>
    </row>
    <row r="2539" spans="1:10" x14ac:dyDescent="0.25">
      <c r="A2539" s="32" t="s">
        <v>1</v>
      </c>
      <c r="B2539" s="32">
        <f t="shared" si="597"/>
        <v>2052</v>
      </c>
      <c r="C2539" s="33" t="s">
        <v>23</v>
      </c>
      <c r="D2539" s="34" t="s">
        <v>1999</v>
      </c>
      <c r="E2539" s="35" t="str">
        <f t="shared" si="593"/>
        <v>PDP'!</v>
      </c>
      <c r="F2539" s="34" t="str">
        <f t="shared" si="594"/>
        <v>C:\Users\jaime.benazar\Quorum Business Solutions\Ecopetrol Prometeo - Documents\Planning Space Implementation\3. Analysis &amp; Design\Design\FC22\DRR Jaime\QUIFA-CAJÚA\Cajua\[CAJUA_CF_SEC_New_27-Feb-2024Rev3.xlsx]D-PDP'!</v>
      </c>
      <c r="G2539" s="32" t="s">
        <v>116</v>
      </c>
      <c r="H2539" s="33">
        <f t="shared" si="595"/>
        <v>41</v>
      </c>
      <c r="I2539" s="33" t="str">
        <f t="shared" si="596"/>
        <v>='C:\Users\jaime.benazar\Quorum Business Solutions\Ecopetrol Prometeo - Documents\Planning Space Implementation\3. Analysis &amp; Design\Design\FC22\DRR Jaime\QUIFA-CAJÚA\Cajua\[CAJUA_CF_SEC_New_27-Feb-2024Rev3.xlsx]D-PDP'!$EA$41</v>
      </c>
      <c r="J2539" s="37" t="s">
        <v>3139</v>
      </c>
    </row>
    <row r="2540" spans="1:10" x14ac:dyDescent="0.25">
      <c r="A2540" s="32" t="s">
        <v>1</v>
      </c>
      <c r="B2540" s="32">
        <f t="shared" si="597"/>
        <v>2053</v>
      </c>
      <c r="C2540" s="33" t="s">
        <v>23</v>
      </c>
      <c r="D2540" s="34" t="s">
        <v>1999</v>
      </c>
      <c r="E2540" s="35" t="str">
        <f t="shared" si="593"/>
        <v>PDP'!</v>
      </c>
      <c r="F2540" s="34" t="str">
        <f t="shared" si="594"/>
        <v>C:\Users\jaime.benazar\Quorum Business Solutions\Ecopetrol Prometeo - Documents\Planning Space Implementation\3. Analysis &amp; Design\Design\FC22\DRR Jaime\QUIFA-CAJÚA\Cajua\[CAJUA_CF_SEC_New_27-Feb-2024Rev3.xlsx]D-PDP'!</v>
      </c>
      <c r="G2540" s="32" t="s">
        <v>116</v>
      </c>
      <c r="H2540" s="33">
        <f t="shared" si="595"/>
        <v>42</v>
      </c>
      <c r="I2540" s="33" t="str">
        <f t="shared" si="596"/>
        <v>='C:\Users\jaime.benazar\Quorum Business Solutions\Ecopetrol Prometeo - Documents\Planning Space Implementation\3. Analysis &amp; Design\Design\FC22\DRR Jaime\QUIFA-CAJÚA\Cajua\[CAJUA_CF_SEC_New_27-Feb-2024Rev3.xlsx]D-PDP'!$EA$42</v>
      </c>
      <c r="J2540" s="37" t="s">
        <v>3140</v>
      </c>
    </row>
    <row r="2541" spans="1:10" x14ac:dyDescent="0.25">
      <c r="A2541" s="32" t="s">
        <v>1</v>
      </c>
      <c r="B2541" s="32">
        <f t="shared" si="597"/>
        <v>2054</v>
      </c>
      <c r="C2541" s="33" t="s">
        <v>23</v>
      </c>
      <c r="D2541" s="34" t="s">
        <v>1999</v>
      </c>
      <c r="E2541" s="35" t="str">
        <f t="shared" si="593"/>
        <v>PDP'!</v>
      </c>
      <c r="F2541" s="34" t="str">
        <f t="shared" si="594"/>
        <v>C:\Users\jaime.benazar\Quorum Business Solutions\Ecopetrol Prometeo - Documents\Planning Space Implementation\3. Analysis &amp; Design\Design\FC22\DRR Jaime\QUIFA-CAJÚA\Cajua\[CAJUA_CF_SEC_New_27-Feb-2024Rev3.xlsx]D-PDP'!</v>
      </c>
      <c r="G2541" s="32" t="s">
        <v>116</v>
      </c>
      <c r="H2541" s="33">
        <f t="shared" si="595"/>
        <v>43</v>
      </c>
      <c r="I2541" s="33" t="str">
        <f t="shared" si="596"/>
        <v>='C:\Users\jaime.benazar\Quorum Business Solutions\Ecopetrol Prometeo - Documents\Planning Space Implementation\3. Analysis &amp; Design\Design\FC22\DRR Jaime\QUIFA-CAJÚA\Cajua\[CAJUA_CF_SEC_New_27-Feb-2024Rev3.xlsx]D-PDP'!$EA$43</v>
      </c>
      <c r="J2541" s="37" t="s">
        <v>3141</v>
      </c>
    </row>
    <row r="2542" spans="1:10" x14ac:dyDescent="0.25">
      <c r="A2542" s="32" t="s">
        <v>1</v>
      </c>
      <c r="B2542" s="32">
        <f t="shared" si="597"/>
        <v>2055</v>
      </c>
      <c r="C2542" s="33" t="s">
        <v>23</v>
      </c>
      <c r="D2542" s="34" t="s">
        <v>1999</v>
      </c>
      <c r="E2542" s="35" t="str">
        <f t="shared" si="593"/>
        <v>PDP'!</v>
      </c>
      <c r="F2542" s="34" t="str">
        <f t="shared" si="594"/>
        <v>C:\Users\jaime.benazar\Quorum Business Solutions\Ecopetrol Prometeo - Documents\Planning Space Implementation\3. Analysis &amp; Design\Design\FC22\DRR Jaime\QUIFA-CAJÚA\Cajua\[CAJUA_CF_SEC_New_27-Feb-2024Rev3.xlsx]D-PDP'!</v>
      </c>
      <c r="G2542" s="32" t="s">
        <v>116</v>
      </c>
      <c r="H2542" s="33">
        <f t="shared" si="595"/>
        <v>44</v>
      </c>
      <c r="I2542" s="33" t="str">
        <f t="shared" si="596"/>
        <v>='C:\Users\jaime.benazar\Quorum Business Solutions\Ecopetrol Prometeo - Documents\Planning Space Implementation\3. Analysis &amp; Design\Design\FC22\DRR Jaime\QUIFA-CAJÚA\Cajua\[CAJUA_CF_SEC_New_27-Feb-2024Rev3.xlsx]D-PDP'!$EA$44</v>
      </c>
      <c r="J2542" s="37" t="s">
        <v>3142</v>
      </c>
    </row>
    <row r="2543" spans="1:10" x14ac:dyDescent="0.25">
      <c r="A2543" s="32" t="s">
        <v>1</v>
      </c>
      <c r="B2543" s="32">
        <f t="shared" si="597"/>
        <v>2056</v>
      </c>
      <c r="C2543" s="33" t="s">
        <v>23</v>
      </c>
      <c r="D2543" s="34" t="s">
        <v>1999</v>
      </c>
      <c r="E2543" s="35" t="str">
        <f t="shared" si="593"/>
        <v>PDP'!</v>
      </c>
      <c r="F2543" s="34" t="str">
        <f t="shared" si="594"/>
        <v>C:\Users\jaime.benazar\Quorum Business Solutions\Ecopetrol Prometeo - Documents\Planning Space Implementation\3. Analysis &amp; Design\Design\FC22\DRR Jaime\QUIFA-CAJÚA\Cajua\[CAJUA_CF_SEC_New_27-Feb-2024Rev3.xlsx]D-PDP'!</v>
      </c>
      <c r="G2543" s="32" t="s">
        <v>116</v>
      </c>
      <c r="H2543" s="33">
        <f t="shared" si="595"/>
        <v>45</v>
      </c>
      <c r="I2543" s="33" t="str">
        <f t="shared" si="596"/>
        <v>='C:\Users\jaime.benazar\Quorum Business Solutions\Ecopetrol Prometeo - Documents\Planning Space Implementation\3. Analysis &amp; Design\Design\FC22\DRR Jaime\QUIFA-CAJÚA\Cajua\[CAJUA_CF_SEC_New_27-Feb-2024Rev3.xlsx]D-PDP'!$EA$45</v>
      </c>
      <c r="J2543" s="37" t="s">
        <v>3143</v>
      </c>
    </row>
    <row r="2544" spans="1:10" x14ac:dyDescent="0.25">
      <c r="A2544" s="32" t="s">
        <v>1</v>
      </c>
      <c r="B2544" s="32">
        <f t="shared" si="597"/>
        <v>2057</v>
      </c>
      <c r="C2544" s="33" t="s">
        <v>23</v>
      </c>
      <c r="D2544" s="34" t="s">
        <v>1999</v>
      </c>
      <c r="E2544" s="35" t="str">
        <f t="shared" si="593"/>
        <v>PDP'!</v>
      </c>
      <c r="F2544" s="34" t="str">
        <f t="shared" si="594"/>
        <v>C:\Users\jaime.benazar\Quorum Business Solutions\Ecopetrol Prometeo - Documents\Planning Space Implementation\3. Analysis &amp; Design\Design\FC22\DRR Jaime\QUIFA-CAJÚA\Cajua\[CAJUA_CF_SEC_New_27-Feb-2024Rev3.xlsx]D-PDP'!</v>
      </c>
      <c r="G2544" s="32" t="s">
        <v>116</v>
      </c>
      <c r="H2544" s="33">
        <f t="shared" si="595"/>
        <v>46</v>
      </c>
      <c r="I2544" s="33" t="str">
        <f t="shared" si="596"/>
        <v>='C:\Users\jaime.benazar\Quorum Business Solutions\Ecopetrol Prometeo - Documents\Planning Space Implementation\3. Analysis &amp; Design\Design\FC22\DRR Jaime\QUIFA-CAJÚA\Cajua\[CAJUA_CF_SEC_New_27-Feb-2024Rev3.xlsx]D-PDP'!$EA$46</v>
      </c>
      <c r="J2544" s="37" t="s">
        <v>3144</v>
      </c>
    </row>
    <row r="2545" spans="1:10" x14ac:dyDescent="0.25">
      <c r="A2545" s="32" t="s">
        <v>1</v>
      </c>
      <c r="B2545" s="32">
        <f t="shared" si="597"/>
        <v>2058</v>
      </c>
      <c r="C2545" s="33" t="s">
        <v>23</v>
      </c>
      <c r="D2545" s="34" t="s">
        <v>1999</v>
      </c>
      <c r="E2545" s="35" t="str">
        <f t="shared" si="593"/>
        <v>PDP'!</v>
      </c>
      <c r="F2545" s="34" t="str">
        <f t="shared" si="594"/>
        <v>C:\Users\jaime.benazar\Quorum Business Solutions\Ecopetrol Prometeo - Documents\Planning Space Implementation\3. Analysis &amp; Design\Design\FC22\DRR Jaime\QUIFA-CAJÚA\Cajua\[CAJUA_CF_SEC_New_27-Feb-2024Rev3.xlsx]D-PDP'!</v>
      </c>
      <c r="G2545" s="32" t="s">
        <v>116</v>
      </c>
      <c r="H2545" s="33">
        <f t="shared" si="595"/>
        <v>47</v>
      </c>
      <c r="I2545" s="33" t="str">
        <f t="shared" si="596"/>
        <v>='C:\Users\jaime.benazar\Quorum Business Solutions\Ecopetrol Prometeo - Documents\Planning Space Implementation\3. Analysis &amp; Design\Design\FC22\DRR Jaime\QUIFA-CAJÚA\Cajua\[CAJUA_CF_SEC_New_27-Feb-2024Rev3.xlsx]D-PDP'!$EA$47</v>
      </c>
      <c r="J2545" s="37" t="s">
        <v>3145</v>
      </c>
    </row>
    <row r="2546" spans="1:10" x14ac:dyDescent="0.25">
      <c r="A2546" s="32" t="s">
        <v>1</v>
      </c>
      <c r="B2546" s="32">
        <f t="shared" si="597"/>
        <v>2059</v>
      </c>
      <c r="C2546" s="33" t="s">
        <v>23</v>
      </c>
      <c r="D2546" s="34" t="s">
        <v>1999</v>
      </c>
      <c r="E2546" s="35" t="str">
        <f t="shared" si="593"/>
        <v>PDP'!</v>
      </c>
      <c r="F2546" s="34" t="str">
        <f t="shared" si="594"/>
        <v>C:\Users\jaime.benazar\Quorum Business Solutions\Ecopetrol Prometeo - Documents\Planning Space Implementation\3. Analysis &amp; Design\Design\FC22\DRR Jaime\QUIFA-CAJÚA\Cajua\[CAJUA_CF_SEC_New_27-Feb-2024Rev3.xlsx]D-PDP'!</v>
      </c>
      <c r="G2546" s="32" t="s">
        <v>116</v>
      </c>
      <c r="H2546" s="33">
        <f t="shared" si="595"/>
        <v>48</v>
      </c>
      <c r="I2546" s="33" t="str">
        <f t="shared" si="596"/>
        <v>='C:\Users\jaime.benazar\Quorum Business Solutions\Ecopetrol Prometeo - Documents\Planning Space Implementation\3. Analysis &amp; Design\Design\FC22\DRR Jaime\QUIFA-CAJÚA\Cajua\[CAJUA_CF_SEC_New_27-Feb-2024Rev3.xlsx]D-PDP'!$EA$48</v>
      </c>
      <c r="J2546" s="37" t="s">
        <v>3146</v>
      </c>
    </row>
    <row r="2547" spans="1:10" x14ac:dyDescent="0.25">
      <c r="A2547" s="32" t="s">
        <v>28</v>
      </c>
      <c r="B2547" s="32"/>
      <c r="C2547" s="33" t="s">
        <v>23</v>
      </c>
      <c r="D2547" s="34"/>
      <c r="E2547" s="35"/>
      <c r="F2547" s="34"/>
      <c r="G2547" s="32"/>
      <c r="H2547" s="33"/>
      <c r="I2547" s="33"/>
      <c r="J2547" s="33"/>
    </row>
    <row r="2548" spans="1:10" x14ac:dyDescent="0.25">
      <c r="A2548" s="32" t="s">
        <v>2</v>
      </c>
      <c r="B2548" s="32">
        <v>2023</v>
      </c>
      <c r="C2548" s="33" t="s">
        <v>23</v>
      </c>
      <c r="D2548" s="34" t="s">
        <v>1999</v>
      </c>
      <c r="E2548" s="35" t="str">
        <f t="shared" ref="E2548:E2568" si="598">_xlfn.CONCAT(A2548,"'!")</f>
        <v>PNP'!</v>
      </c>
      <c r="F2548" s="34" t="str">
        <f t="shared" ref="F2548:F2568" si="599">_xlfn.CONCAT(D2548:E2548)</f>
        <v>C:\Users\jaime.benazar\Quorum Business Solutions\Ecopetrol Prometeo - Documents\Planning Space Implementation\3. Analysis &amp; Design\Design\FC22\DRR Jaime\QUIFA-CAJÚA\Cajua\[CAJUA_CF_SEC_New_27-Feb-2024Rev3.xlsx]D-PNP'!</v>
      </c>
      <c r="G2548" s="32" t="s">
        <v>116</v>
      </c>
      <c r="H2548" s="33">
        <v>12</v>
      </c>
      <c r="I2548" s="33" t="str">
        <f t="shared" ref="I2548:I2568" si="600">_xlfn.CONCAT("='",F2548:H2548)</f>
        <v>='C:\Users\jaime.benazar\Quorum Business Solutions\Ecopetrol Prometeo - Documents\Planning Space Implementation\3. Analysis &amp; Design\Design\FC22\DRR Jaime\QUIFA-CAJÚA\Cajua\[CAJUA_CF_SEC_New_27-Feb-2024Rev3.xlsx]D-PNP'!$EA$12</v>
      </c>
      <c r="J2548" s="37" t="s">
        <v>3147</v>
      </c>
    </row>
    <row r="2549" spans="1:10" x14ac:dyDescent="0.25">
      <c r="A2549" s="32" t="s">
        <v>2</v>
      </c>
      <c r="B2549" s="32">
        <f>+B2548+1</f>
        <v>2024</v>
      </c>
      <c r="C2549" s="33" t="s">
        <v>23</v>
      </c>
      <c r="D2549" s="34" t="s">
        <v>1999</v>
      </c>
      <c r="E2549" s="35" t="str">
        <f t="shared" si="598"/>
        <v>PNP'!</v>
      </c>
      <c r="F2549" s="34" t="str">
        <f t="shared" si="599"/>
        <v>C:\Users\jaime.benazar\Quorum Business Solutions\Ecopetrol Prometeo - Documents\Planning Space Implementation\3. Analysis &amp; Design\Design\FC22\DRR Jaime\QUIFA-CAJÚA\Cajua\[CAJUA_CF_SEC_New_27-Feb-2024Rev3.xlsx]D-PNP'!</v>
      </c>
      <c r="G2549" s="32" t="s">
        <v>116</v>
      </c>
      <c r="H2549" s="33">
        <f t="shared" ref="H2549:H2568" si="601">IF(A2549&lt;&gt;A2548,12,H2548+1)</f>
        <v>13</v>
      </c>
      <c r="I2549" s="33" t="str">
        <f t="shared" si="600"/>
        <v>='C:\Users\jaime.benazar\Quorum Business Solutions\Ecopetrol Prometeo - Documents\Planning Space Implementation\3. Analysis &amp; Design\Design\FC22\DRR Jaime\QUIFA-CAJÚA\Cajua\[CAJUA_CF_SEC_New_27-Feb-2024Rev3.xlsx]D-PNP'!$EA$13</v>
      </c>
      <c r="J2549" s="37" t="s">
        <v>3148</v>
      </c>
    </row>
    <row r="2550" spans="1:10" x14ac:dyDescent="0.25">
      <c r="A2550" s="32" t="s">
        <v>2</v>
      </c>
      <c r="B2550" s="32">
        <f t="shared" ref="B2550:B2561" si="602">+B2549+1</f>
        <v>2025</v>
      </c>
      <c r="C2550" s="33" t="s">
        <v>23</v>
      </c>
      <c r="D2550" s="34" t="s">
        <v>1999</v>
      </c>
      <c r="E2550" s="35" t="str">
        <f t="shared" si="598"/>
        <v>PNP'!</v>
      </c>
      <c r="F2550" s="34" t="str">
        <f t="shared" si="599"/>
        <v>C:\Users\jaime.benazar\Quorum Business Solutions\Ecopetrol Prometeo - Documents\Planning Space Implementation\3. Analysis &amp; Design\Design\FC22\DRR Jaime\QUIFA-CAJÚA\Cajua\[CAJUA_CF_SEC_New_27-Feb-2024Rev3.xlsx]D-PNP'!</v>
      </c>
      <c r="G2550" s="32" t="s">
        <v>116</v>
      </c>
      <c r="H2550" s="33">
        <f t="shared" si="601"/>
        <v>14</v>
      </c>
      <c r="I2550" s="33" t="str">
        <f t="shared" si="600"/>
        <v>='C:\Users\jaime.benazar\Quorum Business Solutions\Ecopetrol Prometeo - Documents\Planning Space Implementation\3. Analysis &amp; Design\Design\FC22\DRR Jaime\QUIFA-CAJÚA\Cajua\[CAJUA_CF_SEC_New_27-Feb-2024Rev3.xlsx]D-PNP'!$EA$14</v>
      </c>
      <c r="J2550" s="37" t="s">
        <v>3149</v>
      </c>
    </row>
    <row r="2551" spans="1:10" x14ac:dyDescent="0.25">
      <c r="A2551" s="32" t="s">
        <v>2</v>
      </c>
      <c r="B2551" s="32">
        <f t="shared" si="602"/>
        <v>2026</v>
      </c>
      <c r="C2551" s="33" t="s">
        <v>23</v>
      </c>
      <c r="D2551" s="34" t="s">
        <v>1999</v>
      </c>
      <c r="E2551" s="35" t="str">
        <f t="shared" si="598"/>
        <v>PNP'!</v>
      </c>
      <c r="F2551" s="34" t="str">
        <f t="shared" si="599"/>
        <v>C:\Users\jaime.benazar\Quorum Business Solutions\Ecopetrol Prometeo - Documents\Planning Space Implementation\3. Analysis &amp; Design\Design\FC22\DRR Jaime\QUIFA-CAJÚA\Cajua\[CAJUA_CF_SEC_New_27-Feb-2024Rev3.xlsx]D-PNP'!</v>
      </c>
      <c r="G2551" s="32" t="s">
        <v>116</v>
      </c>
      <c r="H2551" s="33">
        <f t="shared" si="601"/>
        <v>15</v>
      </c>
      <c r="I2551" s="33" t="str">
        <f t="shared" si="600"/>
        <v>='C:\Users\jaime.benazar\Quorum Business Solutions\Ecopetrol Prometeo - Documents\Planning Space Implementation\3. Analysis &amp; Design\Design\FC22\DRR Jaime\QUIFA-CAJÚA\Cajua\[CAJUA_CF_SEC_New_27-Feb-2024Rev3.xlsx]D-PNP'!$EA$15</v>
      </c>
      <c r="J2551" s="37" t="s">
        <v>3150</v>
      </c>
    </row>
    <row r="2552" spans="1:10" x14ac:dyDescent="0.25">
      <c r="A2552" s="32" t="s">
        <v>2</v>
      </c>
      <c r="B2552" s="32">
        <f t="shared" si="602"/>
        <v>2027</v>
      </c>
      <c r="C2552" s="33" t="s">
        <v>23</v>
      </c>
      <c r="D2552" s="34" t="s">
        <v>1999</v>
      </c>
      <c r="E2552" s="35" t="str">
        <f t="shared" si="598"/>
        <v>PNP'!</v>
      </c>
      <c r="F2552" s="34" t="str">
        <f t="shared" si="599"/>
        <v>C:\Users\jaime.benazar\Quorum Business Solutions\Ecopetrol Prometeo - Documents\Planning Space Implementation\3. Analysis &amp; Design\Design\FC22\DRR Jaime\QUIFA-CAJÚA\Cajua\[CAJUA_CF_SEC_New_27-Feb-2024Rev3.xlsx]D-PNP'!</v>
      </c>
      <c r="G2552" s="32" t="s">
        <v>116</v>
      </c>
      <c r="H2552" s="33">
        <f t="shared" si="601"/>
        <v>16</v>
      </c>
      <c r="I2552" s="33" t="str">
        <f t="shared" si="600"/>
        <v>='C:\Users\jaime.benazar\Quorum Business Solutions\Ecopetrol Prometeo - Documents\Planning Space Implementation\3. Analysis &amp; Design\Design\FC22\DRR Jaime\QUIFA-CAJÚA\Cajua\[CAJUA_CF_SEC_New_27-Feb-2024Rev3.xlsx]D-PNP'!$EA$16</v>
      </c>
      <c r="J2552" s="37" t="s">
        <v>3151</v>
      </c>
    </row>
    <row r="2553" spans="1:10" x14ac:dyDescent="0.25">
      <c r="A2553" s="32" t="s">
        <v>2</v>
      </c>
      <c r="B2553" s="32">
        <f t="shared" si="602"/>
        <v>2028</v>
      </c>
      <c r="C2553" s="33" t="s">
        <v>23</v>
      </c>
      <c r="D2553" s="34" t="s">
        <v>1999</v>
      </c>
      <c r="E2553" s="35" t="str">
        <f t="shared" si="598"/>
        <v>PNP'!</v>
      </c>
      <c r="F2553" s="34" t="str">
        <f t="shared" si="599"/>
        <v>C:\Users\jaime.benazar\Quorum Business Solutions\Ecopetrol Prometeo - Documents\Planning Space Implementation\3. Analysis &amp; Design\Design\FC22\DRR Jaime\QUIFA-CAJÚA\Cajua\[CAJUA_CF_SEC_New_27-Feb-2024Rev3.xlsx]D-PNP'!</v>
      </c>
      <c r="G2553" s="32" t="s">
        <v>116</v>
      </c>
      <c r="H2553" s="33">
        <f t="shared" si="601"/>
        <v>17</v>
      </c>
      <c r="I2553" s="33" t="str">
        <f t="shared" si="600"/>
        <v>='C:\Users\jaime.benazar\Quorum Business Solutions\Ecopetrol Prometeo - Documents\Planning Space Implementation\3. Analysis &amp; Design\Design\FC22\DRR Jaime\QUIFA-CAJÚA\Cajua\[CAJUA_CF_SEC_New_27-Feb-2024Rev3.xlsx]D-PNP'!$EA$17</v>
      </c>
      <c r="J2553" s="37" t="s">
        <v>3152</v>
      </c>
    </row>
    <row r="2554" spans="1:10" x14ac:dyDescent="0.25">
      <c r="A2554" s="32" t="s">
        <v>2</v>
      </c>
      <c r="B2554" s="32">
        <f t="shared" si="602"/>
        <v>2029</v>
      </c>
      <c r="C2554" s="33" t="s">
        <v>23</v>
      </c>
      <c r="D2554" s="34" t="s">
        <v>1999</v>
      </c>
      <c r="E2554" s="35" t="str">
        <f t="shared" si="598"/>
        <v>PNP'!</v>
      </c>
      <c r="F2554" s="34" t="str">
        <f t="shared" si="599"/>
        <v>C:\Users\jaime.benazar\Quorum Business Solutions\Ecopetrol Prometeo - Documents\Planning Space Implementation\3. Analysis &amp; Design\Design\FC22\DRR Jaime\QUIFA-CAJÚA\Cajua\[CAJUA_CF_SEC_New_27-Feb-2024Rev3.xlsx]D-PNP'!</v>
      </c>
      <c r="G2554" s="32" t="s">
        <v>116</v>
      </c>
      <c r="H2554" s="33">
        <f t="shared" si="601"/>
        <v>18</v>
      </c>
      <c r="I2554" s="33" t="str">
        <f t="shared" si="600"/>
        <v>='C:\Users\jaime.benazar\Quorum Business Solutions\Ecopetrol Prometeo - Documents\Planning Space Implementation\3. Analysis &amp; Design\Design\FC22\DRR Jaime\QUIFA-CAJÚA\Cajua\[CAJUA_CF_SEC_New_27-Feb-2024Rev3.xlsx]D-PNP'!$EA$18</v>
      </c>
      <c r="J2554" s="37" t="s">
        <v>3153</v>
      </c>
    </row>
    <row r="2555" spans="1:10" x14ac:dyDescent="0.25">
      <c r="A2555" s="32" t="s">
        <v>2</v>
      </c>
      <c r="B2555" s="32">
        <f t="shared" si="602"/>
        <v>2030</v>
      </c>
      <c r="C2555" s="33" t="s">
        <v>23</v>
      </c>
      <c r="D2555" s="34" t="s">
        <v>1999</v>
      </c>
      <c r="E2555" s="35" t="str">
        <f t="shared" si="598"/>
        <v>PNP'!</v>
      </c>
      <c r="F2555" s="34" t="str">
        <f t="shared" si="599"/>
        <v>C:\Users\jaime.benazar\Quorum Business Solutions\Ecopetrol Prometeo - Documents\Planning Space Implementation\3. Analysis &amp; Design\Design\FC22\DRR Jaime\QUIFA-CAJÚA\Cajua\[CAJUA_CF_SEC_New_27-Feb-2024Rev3.xlsx]D-PNP'!</v>
      </c>
      <c r="G2555" s="32" t="s">
        <v>116</v>
      </c>
      <c r="H2555" s="33">
        <f t="shared" si="601"/>
        <v>19</v>
      </c>
      <c r="I2555" s="33" t="str">
        <f t="shared" si="600"/>
        <v>='C:\Users\jaime.benazar\Quorum Business Solutions\Ecopetrol Prometeo - Documents\Planning Space Implementation\3. Analysis &amp; Design\Design\FC22\DRR Jaime\QUIFA-CAJÚA\Cajua\[CAJUA_CF_SEC_New_27-Feb-2024Rev3.xlsx]D-PNP'!$EA$19</v>
      </c>
      <c r="J2555" s="37" t="s">
        <v>3154</v>
      </c>
    </row>
    <row r="2556" spans="1:10" x14ac:dyDescent="0.25">
      <c r="A2556" s="32" t="s">
        <v>2</v>
      </c>
      <c r="B2556" s="32">
        <f t="shared" si="602"/>
        <v>2031</v>
      </c>
      <c r="C2556" s="33" t="s">
        <v>23</v>
      </c>
      <c r="D2556" s="34" t="s">
        <v>1999</v>
      </c>
      <c r="E2556" s="35" t="str">
        <f t="shared" si="598"/>
        <v>PNP'!</v>
      </c>
      <c r="F2556" s="34" t="str">
        <f t="shared" si="599"/>
        <v>C:\Users\jaime.benazar\Quorum Business Solutions\Ecopetrol Prometeo - Documents\Planning Space Implementation\3. Analysis &amp; Design\Design\FC22\DRR Jaime\QUIFA-CAJÚA\Cajua\[CAJUA_CF_SEC_New_27-Feb-2024Rev3.xlsx]D-PNP'!</v>
      </c>
      <c r="G2556" s="32" t="s">
        <v>116</v>
      </c>
      <c r="H2556" s="33">
        <f t="shared" si="601"/>
        <v>20</v>
      </c>
      <c r="I2556" s="33" t="str">
        <f t="shared" si="600"/>
        <v>='C:\Users\jaime.benazar\Quorum Business Solutions\Ecopetrol Prometeo - Documents\Planning Space Implementation\3. Analysis &amp; Design\Design\FC22\DRR Jaime\QUIFA-CAJÚA\Cajua\[CAJUA_CF_SEC_New_27-Feb-2024Rev3.xlsx]D-PNP'!$EA$20</v>
      </c>
      <c r="J2556" s="37" t="s">
        <v>3155</v>
      </c>
    </row>
    <row r="2557" spans="1:10" x14ac:dyDescent="0.25">
      <c r="A2557" s="32" t="s">
        <v>2</v>
      </c>
      <c r="B2557" s="32">
        <f t="shared" si="602"/>
        <v>2032</v>
      </c>
      <c r="C2557" s="33" t="s">
        <v>23</v>
      </c>
      <c r="D2557" s="34" t="s">
        <v>1999</v>
      </c>
      <c r="E2557" s="35" t="str">
        <f t="shared" si="598"/>
        <v>PNP'!</v>
      </c>
      <c r="F2557" s="34" t="str">
        <f t="shared" si="599"/>
        <v>C:\Users\jaime.benazar\Quorum Business Solutions\Ecopetrol Prometeo - Documents\Planning Space Implementation\3. Analysis &amp; Design\Design\FC22\DRR Jaime\QUIFA-CAJÚA\Cajua\[CAJUA_CF_SEC_New_27-Feb-2024Rev3.xlsx]D-PNP'!</v>
      </c>
      <c r="G2557" s="32" t="s">
        <v>116</v>
      </c>
      <c r="H2557" s="33">
        <f t="shared" si="601"/>
        <v>21</v>
      </c>
      <c r="I2557" s="33" t="str">
        <f t="shared" si="600"/>
        <v>='C:\Users\jaime.benazar\Quorum Business Solutions\Ecopetrol Prometeo - Documents\Planning Space Implementation\3. Analysis &amp; Design\Design\FC22\DRR Jaime\QUIFA-CAJÚA\Cajua\[CAJUA_CF_SEC_New_27-Feb-2024Rev3.xlsx]D-PNP'!$EA$21</v>
      </c>
      <c r="J2557" s="37" t="s">
        <v>3156</v>
      </c>
    </row>
    <row r="2558" spans="1:10" x14ac:dyDescent="0.25">
      <c r="A2558" s="32" t="s">
        <v>2</v>
      </c>
      <c r="B2558" s="32">
        <f t="shared" si="602"/>
        <v>2033</v>
      </c>
      <c r="C2558" s="33" t="s">
        <v>23</v>
      </c>
      <c r="D2558" s="34" t="s">
        <v>1999</v>
      </c>
      <c r="E2558" s="35" t="str">
        <f t="shared" si="598"/>
        <v>PNP'!</v>
      </c>
      <c r="F2558" s="34" t="str">
        <f t="shared" si="599"/>
        <v>C:\Users\jaime.benazar\Quorum Business Solutions\Ecopetrol Prometeo - Documents\Planning Space Implementation\3. Analysis &amp; Design\Design\FC22\DRR Jaime\QUIFA-CAJÚA\Cajua\[CAJUA_CF_SEC_New_27-Feb-2024Rev3.xlsx]D-PNP'!</v>
      </c>
      <c r="G2558" s="32" t="s">
        <v>116</v>
      </c>
      <c r="H2558" s="33">
        <f t="shared" si="601"/>
        <v>22</v>
      </c>
      <c r="I2558" s="33" t="str">
        <f t="shared" si="600"/>
        <v>='C:\Users\jaime.benazar\Quorum Business Solutions\Ecopetrol Prometeo - Documents\Planning Space Implementation\3. Analysis &amp; Design\Design\FC22\DRR Jaime\QUIFA-CAJÚA\Cajua\[CAJUA_CF_SEC_New_27-Feb-2024Rev3.xlsx]D-PNP'!$EA$22</v>
      </c>
      <c r="J2558" s="37" t="s">
        <v>3157</v>
      </c>
    </row>
    <row r="2559" spans="1:10" x14ac:dyDescent="0.25">
      <c r="A2559" s="32" t="s">
        <v>2</v>
      </c>
      <c r="B2559" s="32">
        <f t="shared" si="602"/>
        <v>2034</v>
      </c>
      <c r="C2559" s="33" t="s">
        <v>23</v>
      </c>
      <c r="D2559" s="34" t="s">
        <v>1999</v>
      </c>
      <c r="E2559" s="35" t="str">
        <f t="shared" si="598"/>
        <v>PNP'!</v>
      </c>
      <c r="F2559" s="34" t="str">
        <f t="shared" si="599"/>
        <v>C:\Users\jaime.benazar\Quorum Business Solutions\Ecopetrol Prometeo - Documents\Planning Space Implementation\3. Analysis &amp; Design\Design\FC22\DRR Jaime\QUIFA-CAJÚA\Cajua\[CAJUA_CF_SEC_New_27-Feb-2024Rev3.xlsx]D-PNP'!</v>
      </c>
      <c r="G2559" s="32" t="s">
        <v>116</v>
      </c>
      <c r="H2559" s="33">
        <f t="shared" si="601"/>
        <v>23</v>
      </c>
      <c r="I2559" s="33" t="str">
        <f t="shared" si="600"/>
        <v>='C:\Users\jaime.benazar\Quorum Business Solutions\Ecopetrol Prometeo - Documents\Planning Space Implementation\3. Analysis &amp; Design\Design\FC22\DRR Jaime\QUIFA-CAJÚA\Cajua\[CAJUA_CF_SEC_New_27-Feb-2024Rev3.xlsx]D-PNP'!$EA$23</v>
      </c>
      <c r="J2559" s="37" t="s">
        <v>3158</v>
      </c>
    </row>
    <row r="2560" spans="1:10" x14ac:dyDescent="0.25">
      <c r="A2560" s="32" t="s">
        <v>2</v>
      </c>
      <c r="B2560" s="32">
        <f t="shared" si="602"/>
        <v>2035</v>
      </c>
      <c r="C2560" s="33" t="s">
        <v>23</v>
      </c>
      <c r="D2560" s="34" t="s">
        <v>1999</v>
      </c>
      <c r="E2560" s="35" t="str">
        <f t="shared" si="598"/>
        <v>PNP'!</v>
      </c>
      <c r="F2560" s="34" t="str">
        <f t="shared" si="599"/>
        <v>C:\Users\jaime.benazar\Quorum Business Solutions\Ecopetrol Prometeo - Documents\Planning Space Implementation\3. Analysis &amp; Design\Design\FC22\DRR Jaime\QUIFA-CAJÚA\Cajua\[CAJUA_CF_SEC_New_27-Feb-2024Rev3.xlsx]D-PNP'!</v>
      </c>
      <c r="G2560" s="32" t="s">
        <v>116</v>
      </c>
      <c r="H2560" s="33">
        <f t="shared" si="601"/>
        <v>24</v>
      </c>
      <c r="I2560" s="33" t="str">
        <f t="shared" si="600"/>
        <v>='C:\Users\jaime.benazar\Quorum Business Solutions\Ecopetrol Prometeo - Documents\Planning Space Implementation\3. Analysis &amp; Design\Design\FC22\DRR Jaime\QUIFA-CAJÚA\Cajua\[CAJUA_CF_SEC_New_27-Feb-2024Rev3.xlsx]D-PNP'!$EA$24</v>
      </c>
      <c r="J2560" s="37" t="s">
        <v>3159</v>
      </c>
    </row>
    <row r="2561" spans="1:10" x14ac:dyDescent="0.25">
      <c r="A2561" s="32" t="s">
        <v>2</v>
      </c>
      <c r="B2561" s="32">
        <f t="shared" si="602"/>
        <v>2036</v>
      </c>
      <c r="C2561" s="33" t="s">
        <v>23</v>
      </c>
      <c r="D2561" s="34" t="s">
        <v>1999</v>
      </c>
      <c r="E2561" s="35" t="str">
        <f t="shared" si="598"/>
        <v>PNP'!</v>
      </c>
      <c r="F2561" s="34" t="str">
        <f t="shared" si="599"/>
        <v>C:\Users\jaime.benazar\Quorum Business Solutions\Ecopetrol Prometeo - Documents\Planning Space Implementation\3. Analysis &amp; Design\Design\FC22\DRR Jaime\QUIFA-CAJÚA\Cajua\[CAJUA_CF_SEC_New_27-Feb-2024Rev3.xlsx]D-PNP'!</v>
      </c>
      <c r="G2561" s="32" t="s">
        <v>116</v>
      </c>
      <c r="H2561" s="33">
        <f t="shared" si="601"/>
        <v>25</v>
      </c>
      <c r="I2561" s="33" t="str">
        <f t="shared" si="600"/>
        <v>='C:\Users\jaime.benazar\Quorum Business Solutions\Ecopetrol Prometeo - Documents\Planning Space Implementation\3. Analysis &amp; Design\Design\FC22\DRR Jaime\QUIFA-CAJÚA\Cajua\[CAJUA_CF_SEC_New_27-Feb-2024Rev3.xlsx]D-PNP'!$EA$25</v>
      </c>
      <c r="J2561" s="37" t="s">
        <v>3160</v>
      </c>
    </row>
    <row r="2562" spans="1:10" x14ac:dyDescent="0.25">
      <c r="A2562" s="32" t="s">
        <v>2</v>
      </c>
      <c r="B2562" s="32">
        <f>+B2561+1</f>
        <v>2037</v>
      </c>
      <c r="C2562" s="33" t="s">
        <v>23</v>
      </c>
      <c r="D2562" s="34" t="s">
        <v>1999</v>
      </c>
      <c r="E2562" s="35" t="str">
        <f t="shared" si="598"/>
        <v>PNP'!</v>
      </c>
      <c r="F2562" s="34" t="str">
        <f t="shared" si="599"/>
        <v>C:\Users\jaime.benazar\Quorum Business Solutions\Ecopetrol Prometeo - Documents\Planning Space Implementation\3. Analysis &amp; Design\Design\FC22\DRR Jaime\QUIFA-CAJÚA\Cajua\[CAJUA_CF_SEC_New_27-Feb-2024Rev3.xlsx]D-PNP'!</v>
      </c>
      <c r="G2562" s="32" t="s">
        <v>116</v>
      </c>
      <c r="H2562" s="33">
        <f t="shared" si="601"/>
        <v>26</v>
      </c>
      <c r="I2562" s="33" t="str">
        <f t="shared" si="600"/>
        <v>='C:\Users\jaime.benazar\Quorum Business Solutions\Ecopetrol Prometeo - Documents\Planning Space Implementation\3. Analysis &amp; Design\Design\FC22\DRR Jaime\QUIFA-CAJÚA\Cajua\[CAJUA_CF_SEC_New_27-Feb-2024Rev3.xlsx]D-PNP'!$EA$26</v>
      </c>
      <c r="J2562" s="37" t="s">
        <v>3161</v>
      </c>
    </row>
    <row r="2563" spans="1:10" x14ac:dyDescent="0.25">
      <c r="A2563" s="32" t="s">
        <v>2</v>
      </c>
      <c r="B2563" s="32">
        <f t="shared" ref="B2563:B2565" si="603">+B2562+1</f>
        <v>2038</v>
      </c>
      <c r="C2563" s="33" t="s">
        <v>23</v>
      </c>
      <c r="D2563" s="34" t="s">
        <v>1999</v>
      </c>
      <c r="E2563" s="35" t="str">
        <f t="shared" si="598"/>
        <v>PNP'!</v>
      </c>
      <c r="F2563" s="34" t="str">
        <f t="shared" si="599"/>
        <v>C:\Users\jaime.benazar\Quorum Business Solutions\Ecopetrol Prometeo - Documents\Planning Space Implementation\3. Analysis &amp; Design\Design\FC22\DRR Jaime\QUIFA-CAJÚA\Cajua\[CAJUA_CF_SEC_New_27-Feb-2024Rev3.xlsx]D-PNP'!</v>
      </c>
      <c r="G2563" s="32" t="s">
        <v>116</v>
      </c>
      <c r="H2563" s="33">
        <f t="shared" si="601"/>
        <v>27</v>
      </c>
      <c r="I2563" s="33" t="str">
        <f t="shared" si="600"/>
        <v>='C:\Users\jaime.benazar\Quorum Business Solutions\Ecopetrol Prometeo - Documents\Planning Space Implementation\3. Analysis &amp; Design\Design\FC22\DRR Jaime\QUIFA-CAJÚA\Cajua\[CAJUA_CF_SEC_New_27-Feb-2024Rev3.xlsx]D-PNP'!$EA$27</v>
      </c>
      <c r="J2563" s="37" t="s">
        <v>3162</v>
      </c>
    </row>
    <row r="2564" spans="1:10" x14ac:dyDescent="0.25">
      <c r="A2564" s="32" t="s">
        <v>2</v>
      </c>
      <c r="B2564" s="32">
        <f t="shared" si="603"/>
        <v>2039</v>
      </c>
      <c r="C2564" s="33" t="s">
        <v>23</v>
      </c>
      <c r="D2564" s="34" t="s">
        <v>1999</v>
      </c>
      <c r="E2564" s="35" t="str">
        <f t="shared" si="598"/>
        <v>PNP'!</v>
      </c>
      <c r="F2564" s="34" t="str">
        <f t="shared" si="599"/>
        <v>C:\Users\jaime.benazar\Quorum Business Solutions\Ecopetrol Prometeo - Documents\Planning Space Implementation\3. Analysis &amp; Design\Design\FC22\DRR Jaime\QUIFA-CAJÚA\Cajua\[CAJUA_CF_SEC_New_27-Feb-2024Rev3.xlsx]D-PNP'!</v>
      </c>
      <c r="G2564" s="32" t="s">
        <v>116</v>
      </c>
      <c r="H2564" s="33">
        <f t="shared" si="601"/>
        <v>28</v>
      </c>
      <c r="I2564" s="33" t="str">
        <f t="shared" si="600"/>
        <v>='C:\Users\jaime.benazar\Quorum Business Solutions\Ecopetrol Prometeo - Documents\Planning Space Implementation\3. Analysis &amp; Design\Design\FC22\DRR Jaime\QUIFA-CAJÚA\Cajua\[CAJUA_CF_SEC_New_27-Feb-2024Rev3.xlsx]D-PNP'!$EA$28</v>
      </c>
      <c r="J2564" s="37" t="s">
        <v>3163</v>
      </c>
    </row>
    <row r="2565" spans="1:10" x14ac:dyDescent="0.25">
      <c r="A2565" s="32" t="s">
        <v>2</v>
      </c>
      <c r="B2565" s="32">
        <f t="shared" si="603"/>
        <v>2040</v>
      </c>
      <c r="C2565" s="33" t="s">
        <v>23</v>
      </c>
      <c r="D2565" s="34" t="s">
        <v>1999</v>
      </c>
      <c r="E2565" s="35" t="str">
        <f t="shared" si="598"/>
        <v>PNP'!</v>
      </c>
      <c r="F2565" s="34" t="str">
        <f t="shared" si="599"/>
        <v>C:\Users\jaime.benazar\Quorum Business Solutions\Ecopetrol Prometeo - Documents\Planning Space Implementation\3. Analysis &amp; Design\Design\FC22\DRR Jaime\QUIFA-CAJÚA\Cajua\[CAJUA_CF_SEC_New_27-Feb-2024Rev3.xlsx]D-PNP'!</v>
      </c>
      <c r="G2565" s="32" t="s">
        <v>116</v>
      </c>
      <c r="H2565" s="33">
        <f t="shared" si="601"/>
        <v>29</v>
      </c>
      <c r="I2565" s="33" t="str">
        <f t="shared" si="600"/>
        <v>='C:\Users\jaime.benazar\Quorum Business Solutions\Ecopetrol Prometeo - Documents\Planning Space Implementation\3. Analysis &amp; Design\Design\FC22\DRR Jaime\QUIFA-CAJÚA\Cajua\[CAJUA_CF_SEC_New_27-Feb-2024Rev3.xlsx]D-PNP'!$EA$29</v>
      </c>
      <c r="J2565" s="37" t="s">
        <v>3164</v>
      </c>
    </row>
    <row r="2566" spans="1:10" x14ac:dyDescent="0.25">
      <c r="A2566" s="32" t="s">
        <v>2</v>
      </c>
      <c r="B2566" s="32">
        <f>+B2565+1</f>
        <v>2041</v>
      </c>
      <c r="C2566" s="33" t="s">
        <v>23</v>
      </c>
      <c r="D2566" s="34" t="s">
        <v>1999</v>
      </c>
      <c r="E2566" s="35" t="str">
        <f t="shared" si="598"/>
        <v>PNP'!</v>
      </c>
      <c r="F2566" s="34" t="str">
        <f t="shared" si="599"/>
        <v>C:\Users\jaime.benazar\Quorum Business Solutions\Ecopetrol Prometeo - Documents\Planning Space Implementation\3. Analysis &amp; Design\Design\FC22\DRR Jaime\QUIFA-CAJÚA\Cajua\[CAJUA_CF_SEC_New_27-Feb-2024Rev3.xlsx]D-PNP'!</v>
      </c>
      <c r="G2566" s="32" t="s">
        <v>116</v>
      </c>
      <c r="H2566" s="33">
        <f t="shared" si="601"/>
        <v>30</v>
      </c>
      <c r="I2566" s="33" t="str">
        <f t="shared" si="600"/>
        <v>='C:\Users\jaime.benazar\Quorum Business Solutions\Ecopetrol Prometeo - Documents\Planning Space Implementation\3. Analysis &amp; Design\Design\FC22\DRR Jaime\QUIFA-CAJÚA\Cajua\[CAJUA_CF_SEC_New_27-Feb-2024Rev3.xlsx]D-PNP'!$EA$30</v>
      </c>
      <c r="J2566" s="37" t="s">
        <v>3165</v>
      </c>
    </row>
    <row r="2567" spans="1:10" x14ac:dyDescent="0.25">
      <c r="A2567" s="32" t="s">
        <v>2</v>
      </c>
      <c r="B2567" s="32">
        <f t="shared" ref="B2567:B2568" si="604">+B2566+1</f>
        <v>2042</v>
      </c>
      <c r="C2567" s="33" t="s">
        <v>23</v>
      </c>
      <c r="D2567" s="34" t="s">
        <v>1999</v>
      </c>
      <c r="E2567" s="35" t="str">
        <f t="shared" si="598"/>
        <v>PNP'!</v>
      </c>
      <c r="F2567" s="34" t="str">
        <f t="shared" si="599"/>
        <v>C:\Users\jaime.benazar\Quorum Business Solutions\Ecopetrol Prometeo - Documents\Planning Space Implementation\3. Analysis &amp; Design\Design\FC22\DRR Jaime\QUIFA-CAJÚA\Cajua\[CAJUA_CF_SEC_New_27-Feb-2024Rev3.xlsx]D-PNP'!</v>
      </c>
      <c r="G2567" s="32" t="s">
        <v>116</v>
      </c>
      <c r="H2567" s="33">
        <f t="shared" si="601"/>
        <v>31</v>
      </c>
      <c r="I2567" s="33" t="str">
        <f t="shared" si="600"/>
        <v>='C:\Users\jaime.benazar\Quorum Business Solutions\Ecopetrol Prometeo - Documents\Planning Space Implementation\3. Analysis &amp; Design\Design\FC22\DRR Jaime\QUIFA-CAJÚA\Cajua\[CAJUA_CF_SEC_New_27-Feb-2024Rev3.xlsx]D-PNP'!$EA$31</v>
      </c>
      <c r="J2567" s="37" t="s">
        <v>3166</v>
      </c>
    </row>
    <row r="2568" spans="1:10" x14ac:dyDescent="0.25">
      <c r="A2568" s="32" t="s">
        <v>2</v>
      </c>
      <c r="B2568" s="32">
        <f t="shared" si="604"/>
        <v>2043</v>
      </c>
      <c r="C2568" s="33" t="s">
        <v>23</v>
      </c>
      <c r="D2568" s="34" t="s">
        <v>1999</v>
      </c>
      <c r="E2568" s="35" t="str">
        <f t="shared" si="598"/>
        <v>PNP'!</v>
      </c>
      <c r="F2568" s="34" t="str">
        <f t="shared" si="599"/>
        <v>C:\Users\jaime.benazar\Quorum Business Solutions\Ecopetrol Prometeo - Documents\Planning Space Implementation\3. Analysis &amp; Design\Design\FC22\DRR Jaime\QUIFA-CAJÚA\Cajua\[CAJUA_CF_SEC_New_27-Feb-2024Rev3.xlsx]D-PNP'!</v>
      </c>
      <c r="G2568" s="32" t="s">
        <v>116</v>
      </c>
      <c r="H2568" s="33">
        <f t="shared" si="601"/>
        <v>32</v>
      </c>
      <c r="I2568" s="33" t="str">
        <f t="shared" si="600"/>
        <v>='C:\Users\jaime.benazar\Quorum Business Solutions\Ecopetrol Prometeo - Documents\Planning Space Implementation\3. Analysis &amp; Design\Design\FC22\DRR Jaime\QUIFA-CAJÚA\Cajua\[CAJUA_CF_SEC_New_27-Feb-2024Rev3.xlsx]D-PNP'!$EA$32</v>
      </c>
      <c r="J2568" s="37" t="s">
        <v>3167</v>
      </c>
    </row>
    <row r="2569" spans="1:10" x14ac:dyDescent="0.25">
      <c r="A2569" s="32" t="s">
        <v>2</v>
      </c>
      <c r="B2569" s="32">
        <f>+B2568+1</f>
        <v>2044</v>
      </c>
      <c r="C2569" s="33" t="s">
        <v>23</v>
      </c>
      <c r="D2569" s="34" t="s">
        <v>1999</v>
      </c>
      <c r="E2569" s="35" t="str">
        <f t="shared" ref="E2569:E2584" si="605">_xlfn.CONCAT(A2569,"'!")</f>
        <v>PNP'!</v>
      </c>
      <c r="F2569" s="34" t="str">
        <f t="shared" ref="F2569:F2584" si="606">_xlfn.CONCAT(D2569:E2569)</f>
        <v>C:\Users\jaime.benazar\Quorum Business Solutions\Ecopetrol Prometeo - Documents\Planning Space Implementation\3. Analysis &amp; Design\Design\FC22\DRR Jaime\QUIFA-CAJÚA\Cajua\[CAJUA_CF_SEC_New_27-Feb-2024Rev3.xlsx]D-PNP'!</v>
      </c>
      <c r="G2569" s="32" t="s">
        <v>116</v>
      </c>
      <c r="H2569" s="33">
        <f t="shared" ref="H2569:H2584" si="607">IF(A2569&lt;&gt;A2568,12,H2568+1)</f>
        <v>33</v>
      </c>
      <c r="I2569" s="33" t="str">
        <f t="shared" ref="I2569:I2584" si="608">_xlfn.CONCAT("='",F2569:H2569)</f>
        <v>='C:\Users\jaime.benazar\Quorum Business Solutions\Ecopetrol Prometeo - Documents\Planning Space Implementation\3. Analysis &amp; Design\Design\FC22\DRR Jaime\QUIFA-CAJÚA\Cajua\[CAJUA_CF_SEC_New_27-Feb-2024Rev3.xlsx]D-PNP'!$EA$33</v>
      </c>
      <c r="J2569" s="37" t="s">
        <v>3168</v>
      </c>
    </row>
    <row r="2570" spans="1:10" x14ac:dyDescent="0.25">
      <c r="A2570" s="32" t="s">
        <v>2</v>
      </c>
      <c r="B2570" s="32">
        <f t="shared" ref="B2570:B2584" si="609">+B2569+1</f>
        <v>2045</v>
      </c>
      <c r="C2570" s="33" t="s">
        <v>23</v>
      </c>
      <c r="D2570" s="34" t="s">
        <v>1999</v>
      </c>
      <c r="E2570" s="35" t="str">
        <f t="shared" si="605"/>
        <v>PNP'!</v>
      </c>
      <c r="F2570" s="34" t="str">
        <f t="shared" si="606"/>
        <v>C:\Users\jaime.benazar\Quorum Business Solutions\Ecopetrol Prometeo - Documents\Planning Space Implementation\3. Analysis &amp; Design\Design\FC22\DRR Jaime\QUIFA-CAJÚA\Cajua\[CAJUA_CF_SEC_New_27-Feb-2024Rev3.xlsx]D-PNP'!</v>
      </c>
      <c r="G2570" s="32" t="s">
        <v>116</v>
      </c>
      <c r="H2570" s="33">
        <f t="shared" si="607"/>
        <v>34</v>
      </c>
      <c r="I2570" s="33" t="str">
        <f t="shared" si="608"/>
        <v>='C:\Users\jaime.benazar\Quorum Business Solutions\Ecopetrol Prometeo - Documents\Planning Space Implementation\3. Analysis &amp; Design\Design\FC22\DRR Jaime\QUIFA-CAJÚA\Cajua\[CAJUA_CF_SEC_New_27-Feb-2024Rev3.xlsx]D-PNP'!$EA$34</v>
      </c>
      <c r="J2570" s="37" t="s">
        <v>3169</v>
      </c>
    </row>
    <row r="2571" spans="1:10" x14ac:dyDescent="0.25">
      <c r="A2571" s="32" t="s">
        <v>2</v>
      </c>
      <c r="B2571" s="32">
        <f t="shared" si="609"/>
        <v>2046</v>
      </c>
      <c r="C2571" s="33" t="s">
        <v>23</v>
      </c>
      <c r="D2571" s="34" t="s">
        <v>1999</v>
      </c>
      <c r="E2571" s="35" t="str">
        <f t="shared" si="605"/>
        <v>PNP'!</v>
      </c>
      <c r="F2571" s="34" t="str">
        <f t="shared" si="606"/>
        <v>C:\Users\jaime.benazar\Quorum Business Solutions\Ecopetrol Prometeo - Documents\Planning Space Implementation\3. Analysis &amp; Design\Design\FC22\DRR Jaime\QUIFA-CAJÚA\Cajua\[CAJUA_CF_SEC_New_27-Feb-2024Rev3.xlsx]D-PNP'!</v>
      </c>
      <c r="G2571" s="32" t="s">
        <v>116</v>
      </c>
      <c r="H2571" s="33">
        <f t="shared" si="607"/>
        <v>35</v>
      </c>
      <c r="I2571" s="33" t="str">
        <f t="shared" si="608"/>
        <v>='C:\Users\jaime.benazar\Quorum Business Solutions\Ecopetrol Prometeo - Documents\Planning Space Implementation\3. Analysis &amp; Design\Design\FC22\DRR Jaime\QUIFA-CAJÚA\Cajua\[CAJUA_CF_SEC_New_27-Feb-2024Rev3.xlsx]D-PNP'!$EA$35</v>
      </c>
      <c r="J2571" s="37" t="s">
        <v>3170</v>
      </c>
    </row>
    <row r="2572" spans="1:10" x14ac:dyDescent="0.25">
      <c r="A2572" s="32" t="s">
        <v>2</v>
      </c>
      <c r="B2572" s="32">
        <f t="shared" si="609"/>
        <v>2047</v>
      </c>
      <c r="C2572" s="33" t="s">
        <v>23</v>
      </c>
      <c r="D2572" s="34" t="s">
        <v>1999</v>
      </c>
      <c r="E2572" s="35" t="str">
        <f t="shared" si="605"/>
        <v>PNP'!</v>
      </c>
      <c r="F2572" s="34" t="str">
        <f t="shared" si="606"/>
        <v>C:\Users\jaime.benazar\Quorum Business Solutions\Ecopetrol Prometeo - Documents\Planning Space Implementation\3. Analysis &amp; Design\Design\FC22\DRR Jaime\QUIFA-CAJÚA\Cajua\[CAJUA_CF_SEC_New_27-Feb-2024Rev3.xlsx]D-PNP'!</v>
      </c>
      <c r="G2572" s="32" t="s">
        <v>116</v>
      </c>
      <c r="H2572" s="33">
        <f t="shared" si="607"/>
        <v>36</v>
      </c>
      <c r="I2572" s="33" t="str">
        <f t="shared" si="608"/>
        <v>='C:\Users\jaime.benazar\Quorum Business Solutions\Ecopetrol Prometeo - Documents\Planning Space Implementation\3. Analysis &amp; Design\Design\FC22\DRR Jaime\QUIFA-CAJÚA\Cajua\[CAJUA_CF_SEC_New_27-Feb-2024Rev3.xlsx]D-PNP'!$EA$36</v>
      </c>
      <c r="J2572" s="37" t="s">
        <v>3171</v>
      </c>
    </row>
    <row r="2573" spans="1:10" x14ac:dyDescent="0.25">
      <c r="A2573" s="32" t="s">
        <v>2</v>
      </c>
      <c r="B2573" s="32">
        <f t="shared" si="609"/>
        <v>2048</v>
      </c>
      <c r="C2573" s="33" t="s">
        <v>23</v>
      </c>
      <c r="D2573" s="34" t="s">
        <v>1999</v>
      </c>
      <c r="E2573" s="35" t="str">
        <f t="shared" si="605"/>
        <v>PNP'!</v>
      </c>
      <c r="F2573" s="34" t="str">
        <f t="shared" si="606"/>
        <v>C:\Users\jaime.benazar\Quorum Business Solutions\Ecopetrol Prometeo - Documents\Planning Space Implementation\3. Analysis &amp; Design\Design\FC22\DRR Jaime\QUIFA-CAJÚA\Cajua\[CAJUA_CF_SEC_New_27-Feb-2024Rev3.xlsx]D-PNP'!</v>
      </c>
      <c r="G2573" s="32" t="s">
        <v>116</v>
      </c>
      <c r="H2573" s="33">
        <f t="shared" si="607"/>
        <v>37</v>
      </c>
      <c r="I2573" s="33" t="str">
        <f t="shared" si="608"/>
        <v>='C:\Users\jaime.benazar\Quorum Business Solutions\Ecopetrol Prometeo - Documents\Planning Space Implementation\3. Analysis &amp; Design\Design\FC22\DRR Jaime\QUIFA-CAJÚA\Cajua\[CAJUA_CF_SEC_New_27-Feb-2024Rev3.xlsx]D-PNP'!$EA$37</v>
      </c>
      <c r="J2573" s="37" t="s">
        <v>3172</v>
      </c>
    </row>
    <row r="2574" spans="1:10" x14ac:dyDescent="0.25">
      <c r="A2574" s="32" t="s">
        <v>2</v>
      </c>
      <c r="B2574" s="32">
        <f t="shared" si="609"/>
        <v>2049</v>
      </c>
      <c r="C2574" s="33" t="s">
        <v>23</v>
      </c>
      <c r="D2574" s="34" t="s">
        <v>1999</v>
      </c>
      <c r="E2574" s="35" t="str">
        <f t="shared" si="605"/>
        <v>PNP'!</v>
      </c>
      <c r="F2574" s="34" t="str">
        <f t="shared" si="606"/>
        <v>C:\Users\jaime.benazar\Quorum Business Solutions\Ecopetrol Prometeo - Documents\Planning Space Implementation\3. Analysis &amp; Design\Design\FC22\DRR Jaime\QUIFA-CAJÚA\Cajua\[CAJUA_CF_SEC_New_27-Feb-2024Rev3.xlsx]D-PNP'!</v>
      </c>
      <c r="G2574" s="32" t="s">
        <v>116</v>
      </c>
      <c r="H2574" s="33">
        <f t="shared" si="607"/>
        <v>38</v>
      </c>
      <c r="I2574" s="33" t="str">
        <f t="shared" si="608"/>
        <v>='C:\Users\jaime.benazar\Quorum Business Solutions\Ecopetrol Prometeo - Documents\Planning Space Implementation\3. Analysis &amp; Design\Design\FC22\DRR Jaime\QUIFA-CAJÚA\Cajua\[CAJUA_CF_SEC_New_27-Feb-2024Rev3.xlsx]D-PNP'!$EA$38</v>
      </c>
      <c r="J2574" s="37" t="s">
        <v>3173</v>
      </c>
    </row>
    <row r="2575" spans="1:10" x14ac:dyDescent="0.25">
      <c r="A2575" s="32" t="s">
        <v>2</v>
      </c>
      <c r="B2575" s="32">
        <f t="shared" si="609"/>
        <v>2050</v>
      </c>
      <c r="C2575" s="33" t="s">
        <v>23</v>
      </c>
      <c r="D2575" s="34" t="s">
        <v>1999</v>
      </c>
      <c r="E2575" s="35" t="str">
        <f t="shared" si="605"/>
        <v>PNP'!</v>
      </c>
      <c r="F2575" s="34" t="str">
        <f t="shared" si="606"/>
        <v>C:\Users\jaime.benazar\Quorum Business Solutions\Ecopetrol Prometeo - Documents\Planning Space Implementation\3. Analysis &amp; Design\Design\FC22\DRR Jaime\QUIFA-CAJÚA\Cajua\[CAJUA_CF_SEC_New_27-Feb-2024Rev3.xlsx]D-PNP'!</v>
      </c>
      <c r="G2575" s="32" t="s">
        <v>116</v>
      </c>
      <c r="H2575" s="33">
        <f t="shared" si="607"/>
        <v>39</v>
      </c>
      <c r="I2575" s="33" t="str">
        <f t="shared" si="608"/>
        <v>='C:\Users\jaime.benazar\Quorum Business Solutions\Ecopetrol Prometeo - Documents\Planning Space Implementation\3. Analysis &amp; Design\Design\FC22\DRR Jaime\QUIFA-CAJÚA\Cajua\[CAJUA_CF_SEC_New_27-Feb-2024Rev3.xlsx]D-PNP'!$EA$39</v>
      </c>
      <c r="J2575" s="37" t="s">
        <v>3174</v>
      </c>
    </row>
    <row r="2576" spans="1:10" x14ac:dyDescent="0.25">
      <c r="A2576" s="32" t="s">
        <v>2</v>
      </c>
      <c r="B2576" s="32">
        <f t="shared" si="609"/>
        <v>2051</v>
      </c>
      <c r="C2576" s="33" t="s">
        <v>23</v>
      </c>
      <c r="D2576" s="34" t="s">
        <v>1999</v>
      </c>
      <c r="E2576" s="35" t="str">
        <f t="shared" si="605"/>
        <v>PNP'!</v>
      </c>
      <c r="F2576" s="34" t="str">
        <f t="shared" si="606"/>
        <v>C:\Users\jaime.benazar\Quorum Business Solutions\Ecopetrol Prometeo - Documents\Planning Space Implementation\3. Analysis &amp; Design\Design\FC22\DRR Jaime\QUIFA-CAJÚA\Cajua\[CAJUA_CF_SEC_New_27-Feb-2024Rev3.xlsx]D-PNP'!</v>
      </c>
      <c r="G2576" s="32" t="s">
        <v>116</v>
      </c>
      <c r="H2576" s="33">
        <f t="shared" si="607"/>
        <v>40</v>
      </c>
      <c r="I2576" s="33" t="str">
        <f t="shared" si="608"/>
        <v>='C:\Users\jaime.benazar\Quorum Business Solutions\Ecopetrol Prometeo - Documents\Planning Space Implementation\3. Analysis &amp; Design\Design\FC22\DRR Jaime\QUIFA-CAJÚA\Cajua\[CAJUA_CF_SEC_New_27-Feb-2024Rev3.xlsx]D-PNP'!$EA$40</v>
      </c>
      <c r="J2576" s="37" t="s">
        <v>3175</v>
      </c>
    </row>
    <row r="2577" spans="1:10" x14ac:dyDescent="0.25">
      <c r="A2577" s="32" t="s">
        <v>2</v>
      </c>
      <c r="B2577" s="32">
        <f t="shared" si="609"/>
        <v>2052</v>
      </c>
      <c r="C2577" s="33" t="s">
        <v>23</v>
      </c>
      <c r="D2577" s="34" t="s">
        <v>1999</v>
      </c>
      <c r="E2577" s="35" t="str">
        <f t="shared" si="605"/>
        <v>PNP'!</v>
      </c>
      <c r="F2577" s="34" t="str">
        <f t="shared" si="606"/>
        <v>C:\Users\jaime.benazar\Quorum Business Solutions\Ecopetrol Prometeo - Documents\Planning Space Implementation\3. Analysis &amp; Design\Design\FC22\DRR Jaime\QUIFA-CAJÚA\Cajua\[CAJUA_CF_SEC_New_27-Feb-2024Rev3.xlsx]D-PNP'!</v>
      </c>
      <c r="G2577" s="32" t="s">
        <v>116</v>
      </c>
      <c r="H2577" s="33">
        <f t="shared" si="607"/>
        <v>41</v>
      </c>
      <c r="I2577" s="33" t="str">
        <f t="shared" si="608"/>
        <v>='C:\Users\jaime.benazar\Quorum Business Solutions\Ecopetrol Prometeo - Documents\Planning Space Implementation\3. Analysis &amp; Design\Design\FC22\DRR Jaime\QUIFA-CAJÚA\Cajua\[CAJUA_CF_SEC_New_27-Feb-2024Rev3.xlsx]D-PNP'!$EA$41</v>
      </c>
      <c r="J2577" s="37" t="s">
        <v>3176</v>
      </c>
    </row>
    <row r="2578" spans="1:10" x14ac:dyDescent="0.25">
      <c r="A2578" s="32" t="s">
        <v>2</v>
      </c>
      <c r="B2578" s="32">
        <f t="shared" si="609"/>
        <v>2053</v>
      </c>
      <c r="C2578" s="33" t="s">
        <v>23</v>
      </c>
      <c r="D2578" s="34" t="s">
        <v>1999</v>
      </c>
      <c r="E2578" s="35" t="str">
        <f t="shared" si="605"/>
        <v>PNP'!</v>
      </c>
      <c r="F2578" s="34" t="str">
        <f t="shared" si="606"/>
        <v>C:\Users\jaime.benazar\Quorum Business Solutions\Ecopetrol Prometeo - Documents\Planning Space Implementation\3. Analysis &amp; Design\Design\FC22\DRR Jaime\QUIFA-CAJÚA\Cajua\[CAJUA_CF_SEC_New_27-Feb-2024Rev3.xlsx]D-PNP'!</v>
      </c>
      <c r="G2578" s="32" t="s">
        <v>116</v>
      </c>
      <c r="H2578" s="33">
        <f t="shared" si="607"/>
        <v>42</v>
      </c>
      <c r="I2578" s="33" t="str">
        <f t="shared" si="608"/>
        <v>='C:\Users\jaime.benazar\Quorum Business Solutions\Ecopetrol Prometeo - Documents\Planning Space Implementation\3. Analysis &amp; Design\Design\FC22\DRR Jaime\QUIFA-CAJÚA\Cajua\[CAJUA_CF_SEC_New_27-Feb-2024Rev3.xlsx]D-PNP'!$EA$42</v>
      </c>
      <c r="J2578" s="37" t="s">
        <v>3177</v>
      </c>
    </row>
    <row r="2579" spans="1:10" x14ac:dyDescent="0.25">
      <c r="A2579" s="32" t="s">
        <v>2</v>
      </c>
      <c r="B2579" s="32">
        <f t="shared" si="609"/>
        <v>2054</v>
      </c>
      <c r="C2579" s="33" t="s">
        <v>23</v>
      </c>
      <c r="D2579" s="34" t="s">
        <v>1999</v>
      </c>
      <c r="E2579" s="35" t="str">
        <f t="shared" si="605"/>
        <v>PNP'!</v>
      </c>
      <c r="F2579" s="34" t="str">
        <f t="shared" si="606"/>
        <v>C:\Users\jaime.benazar\Quorum Business Solutions\Ecopetrol Prometeo - Documents\Planning Space Implementation\3. Analysis &amp; Design\Design\FC22\DRR Jaime\QUIFA-CAJÚA\Cajua\[CAJUA_CF_SEC_New_27-Feb-2024Rev3.xlsx]D-PNP'!</v>
      </c>
      <c r="G2579" s="32" t="s">
        <v>116</v>
      </c>
      <c r="H2579" s="33">
        <f t="shared" si="607"/>
        <v>43</v>
      </c>
      <c r="I2579" s="33" t="str">
        <f t="shared" si="608"/>
        <v>='C:\Users\jaime.benazar\Quorum Business Solutions\Ecopetrol Prometeo - Documents\Planning Space Implementation\3. Analysis &amp; Design\Design\FC22\DRR Jaime\QUIFA-CAJÚA\Cajua\[CAJUA_CF_SEC_New_27-Feb-2024Rev3.xlsx]D-PNP'!$EA$43</v>
      </c>
      <c r="J2579" s="37" t="s">
        <v>3178</v>
      </c>
    </row>
    <row r="2580" spans="1:10" x14ac:dyDescent="0.25">
      <c r="A2580" s="32" t="s">
        <v>2</v>
      </c>
      <c r="B2580" s="32">
        <f t="shared" si="609"/>
        <v>2055</v>
      </c>
      <c r="C2580" s="33" t="s">
        <v>23</v>
      </c>
      <c r="D2580" s="34" t="s">
        <v>1999</v>
      </c>
      <c r="E2580" s="35" t="str">
        <f t="shared" si="605"/>
        <v>PNP'!</v>
      </c>
      <c r="F2580" s="34" t="str">
        <f t="shared" si="606"/>
        <v>C:\Users\jaime.benazar\Quorum Business Solutions\Ecopetrol Prometeo - Documents\Planning Space Implementation\3. Analysis &amp; Design\Design\FC22\DRR Jaime\QUIFA-CAJÚA\Cajua\[CAJUA_CF_SEC_New_27-Feb-2024Rev3.xlsx]D-PNP'!</v>
      </c>
      <c r="G2580" s="32" t="s">
        <v>116</v>
      </c>
      <c r="H2580" s="33">
        <f t="shared" si="607"/>
        <v>44</v>
      </c>
      <c r="I2580" s="33" t="str">
        <f t="shared" si="608"/>
        <v>='C:\Users\jaime.benazar\Quorum Business Solutions\Ecopetrol Prometeo - Documents\Planning Space Implementation\3. Analysis &amp; Design\Design\FC22\DRR Jaime\QUIFA-CAJÚA\Cajua\[CAJUA_CF_SEC_New_27-Feb-2024Rev3.xlsx]D-PNP'!$EA$44</v>
      </c>
      <c r="J2580" s="37" t="s">
        <v>3179</v>
      </c>
    </row>
    <row r="2581" spans="1:10" x14ac:dyDescent="0.25">
      <c r="A2581" s="32" t="s">
        <v>2</v>
      </c>
      <c r="B2581" s="32">
        <f t="shared" si="609"/>
        <v>2056</v>
      </c>
      <c r="C2581" s="33" t="s">
        <v>23</v>
      </c>
      <c r="D2581" s="34" t="s">
        <v>1999</v>
      </c>
      <c r="E2581" s="35" t="str">
        <f t="shared" si="605"/>
        <v>PNP'!</v>
      </c>
      <c r="F2581" s="34" t="str">
        <f t="shared" si="606"/>
        <v>C:\Users\jaime.benazar\Quorum Business Solutions\Ecopetrol Prometeo - Documents\Planning Space Implementation\3. Analysis &amp; Design\Design\FC22\DRR Jaime\QUIFA-CAJÚA\Cajua\[CAJUA_CF_SEC_New_27-Feb-2024Rev3.xlsx]D-PNP'!</v>
      </c>
      <c r="G2581" s="32" t="s">
        <v>116</v>
      </c>
      <c r="H2581" s="33">
        <f t="shared" si="607"/>
        <v>45</v>
      </c>
      <c r="I2581" s="33" t="str">
        <f t="shared" si="608"/>
        <v>='C:\Users\jaime.benazar\Quorum Business Solutions\Ecopetrol Prometeo - Documents\Planning Space Implementation\3. Analysis &amp; Design\Design\FC22\DRR Jaime\QUIFA-CAJÚA\Cajua\[CAJUA_CF_SEC_New_27-Feb-2024Rev3.xlsx]D-PNP'!$EA$45</v>
      </c>
      <c r="J2581" s="37" t="s">
        <v>3180</v>
      </c>
    </row>
    <row r="2582" spans="1:10" x14ac:dyDescent="0.25">
      <c r="A2582" s="32" t="s">
        <v>2</v>
      </c>
      <c r="B2582" s="32">
        <f t="shared" si="609"/>
        <v>2057</v>
      </c>
      <c r="C2582" s="33" t="s">
        <v>23</v>
      </c>
      <c r="D2582" s="34" t="s">
        <v>1999</v>
      </c>
      <c r="E2582" s="35" t="str">
        <f t="shared" si="605"/>
        <v>PNP'!</v>
      </c>
      <c r="F2582" s="34" t="str">
        <f t="shared" si="606"/>
        <v>C:\Users\jaime.benazar\Quorum Business Solutions\Ecopetrol Prometeo - Documents\Planning Space Implementation\3. Analysis &amp; Design\Design\FC22\DRR Jaime\QUIFA-CAJÚA\Cajua\[CAJUA_CF_SEC_New_27-Feb-2024Rev3.xlsx]D-PNP'!</v>
      </c>
      <c r="G2582" s="32" t="s">
        <v>116</v>
      </c>
      <c r="H2582" s="33">
        <f t="shared" si="607"/>
        <v>46</v>
      </c>
      <c r="I2582" s="33" t="str">
        <f t="shared" si="608"/>
        <v>='C:\Users\jaime.benazar\Quorum Business Solutions\Ecopetrol Prometeo - Documents\Planning Space Implementation\3. Analysis &amp; Design\Design\FC22\DRR Jaime\QUIFA-CAJÚA\Cajua\[CAJUA_CF_SEC_New_27-Feb-2024Rev3.xlsx]D-PNP'!$EA$46</v>
      </c>
      <c r="J2582" s="37" t="s">
        <v>3181</v>
      </c>
    </row>
    <row r="2583" spans="1:10" x14ac:dyDescent="0.25">
      <c r="A2583" s="32" t="s">
        <v>2</v>
      </c>
      <c r="B2583" s="32">
        <f t="shared" si="609"/>
        <v>2058</v>
      </c>
      <c r="C2583" s="33" t="s">
        <v>23</v>
      </c>
      <c r="D2583" s="34" t="s">
        <v>1999</v>
      </c>
      <c r="E2583" s="35" t="str">
        <f t="shared" si="605"/>
        <v>PNP'!</v>
      </c>
      <c r="F2583" s="34" t="str">
        <f t="shared" si="606"/>
        <v>C:\Users\jaime.benazar\Quorum Business Solutions\Ecopetrol Prometeo - Documents\Planning Space Implementation\3. Analysis &amp; Design\Design\FC22\DRR Jaime\QUIFA-CAJÚA\Cajua\[CAJUA_CF_SEC_New_27-Feb-2024Rev3.xlsx]D-PNP'!</v>
      </c>
      <c r="G2583" s="32" t="s">
        <v>116</v>
      </c>
      <c r="H2583" s="33">
        <f t="shared" si="607"/>
        <v>47</v>
      </c>
      <c r="I2583" s="33" t="str">
        <f t="shared" si="608"/>
        <v>='C:\Users\jaime.benazar\Quorum Business Solutions\Ecopetrol Prometeo - Documents\Planning Space Implementation\3. Analysis &amp; Design\Design\FC22\DRR Jaime\QUIFA-CAJÚA\Cajua\[CAJUA_CF_SEC_New_27-Feb-2024Rev3.xlsx]D-PNP'!$EA$47</v>
      </c>
      <c r="J2583" s="37" t="s">
        <v>3182</v>
      </c>
    </row>
    <row r="2584" spans="1:10" x14ac:dyDescent="0.25">
      <c r="A2584" s="32" t="s">
        <v>2</v>
      </c>
      <c r="B2584" s="32">
        <f t="shared" si="609"/>
        <v>2059</v>
      </c>
      <c r="C2584" s="33" t="s">
        <v>23</v>
      </c>
      <c r="D2584" s="34" t="s">
        <v>1999</v>
      </c>
      <c r="E2584" s="35" t="str">
        <f t="shared" si="605"/>
        <v>PNP'!</v>
      </c>
      <c r="F2584" s="34" t="str">
        <f t="shared" si="606"/>
        <v>C:\Users\jaime.benazar\Quorum Business Solutions\Ecopetrol Prometeo - Documents\Planning Space Implementation\3. Analysis &amp; Design\Design\FC22\DRR Jaime\QUIFA-CAJÚA\Cajua\[CAJUA_CF_SEC_New_27-Feb-2024Rev3.xlsx]D-PNP'!</v>
      </c>
      <c r="G2584" s="32" t="s">
        <v>116</v>
      </c>
      <c r="H2584" s="33">
        <f t="shared" si="607"/>
        <v>48</v>
      </c>
      <c r="I2584" s="33" t="str">
        <f t="shared" si="608"/>
        <v>='C:\Users\jaime.benazar\Quorum Business Solutions\Ecopetrol Prometeo - Documents\Planning Space Implementation\3. Analysis &amp; Design\Design\FC22\DRR Jaime\QUIFA-CAJÚA\Cajua\[CAJUA_CF_SEC_New_27-Feb-2024Rev3.xlsx]D-PNP'!$EA$48</v>
      </c>
      <c r="J2584" s="37" t="s">
        <v>3183</v>
      </c>
    </row>
    <row r="2585" spans="1:10" x14ac:dyDescent="0.25">
      <c r="A2585" s="32" t="s">
        <v>28</v>
      </c>
      <c r="B2585" s="32"/>
      <c r="C2585" s="33" t="s">
        <v>23</v>
      </c>
      <c r="D2585" s="34"/>
      <c r="E2585" s="35"/>
      <c r="F2585" s="34"/>
      <c r="G2585" s="32"/>
      <c r="H2585" s="33"/>
      <c r="I2585" s="33"/>
      <c r="J2585" s="33"/>
    </row>
    <row r="2586" spans="1:10" x14ac:dyDescent="0.25">
      <c r="A2586" s="32" t="s">
        <v>3</v>
      </c>
      <c r="B2586" s="32">
        <v>2023</v>
      </c>
      <c r="C2586" s="33" t="s">
        <v>23</v>
      </c>
      <c r="D2586" s="34" t="s">
        <v>1999</v>
      </c>
      <c r="E2586" s="35" t="str">
        <f t="shared" ref="E2586:E2606" si="610">_xlfn.CONCAT(A2586,"'!")</f>
        <v>PND'!</v>
      </c>
      <c r="F2586" s="34" t="str">
        <f t="shared" ref="F2586:F2606" si="611">_xlfn.CONCAT(D2586:E2586)</f>
        <v>C:\Users\jaime.benazar\Quorum Business Solutions\Ecopetrol Prometeo - Documents\Planning Space Implementation\3. Analysis &amp; Design\Design\FC22\DRR Jaime\QUIFA-CAJÚA\Cajua\[CAJUA_CF_SEC_New_27-Feb-2024Rev3.xlsx]D-PND'!</v>
      </c>
      <c r="G2586" s="32" t="s">
        <v>116</v>
      </c>
      <c r="H2586" s="33">
        <v>12</v>
      </c>
      <c r="I2586" s="33" t="str">
        <f t="shared" ref="I2586:I2606" si="612">_xlfn.CONCAT("='",F2586:H2586)</f>
        <v>='C:\Users\jaime.benazar\Quorum Business Solutions\Ecopetrol Prometeo - Documents\Planning Space Implementation\3. Analysis &amp; Design\Design\FC22\DRR Jaime\QUIFA-CAJÚA\Cajua\[CAJUA_CF_SEC_New_27-Feb-2024Rev3.xlsx]D-PND'!$EA$12</v>
      </c>
      <c r="J2586" s="37" t="s">
        <v>3184</v>
      </c>
    </row>
    <row r="2587" spans="1:10" x14ac:dyDescent="0.25">
      <c r="A2587" s="32" t="s">
        <v>3</v>
      </c>
      <c r="B2587" s="32">
        <f>+B2586+1</f>
        <v>2024</v>
      </c>
      <c r="C2587" s="33" t="s">
        <v>23</v>
      </c>
      <c r="D2587" s="34" t="s">
        <v>1999</v>
      </c>
      <c r="E2587" s="35" t="str">
        <f t="shared" si="610"/>
        <v>PND'!</v>
      </c>
      <c r="F2587" s="34" t="str">
        <f t="shared" si="611"/>
        <v>C:\Users\jaime.benazar\Quorum Business Solutions\Ecopetrol Prometeo - Documents\Planning Space Implementation\3. Analysis &amp; Design\Design\FC22\DRR Jaime\QUIFA-CAJÚA\Cajua\[CAJUA_CF_SEC_New_27-Feb-2024Rev3.xlsx]D-PND'!</v>
      </c>
      <c r="G2587" s="32" t="s">
        <v>116</v>
      </c>
      <c r="H2587" s="33">
        <f t="shared" ref="H2587:H2606" si="613">IF(A2587&lt;&gt;A2586,12,H2586+1)</f>
        <v>13</v>
      </c>
      <c r="I2587" s="33" t="str">
        <f t="shared" si="612"/>
        <v>='C:\Users\jaime.benazar\Quorum Business Solutions\Ecopetrol Prometeo - Documents\Planning Space Implementation\3. Analysis &amp; Design\Design\FC22\DRR Jaime\QUIFA-CAJÚA\Cajua\[CAJUA_CF_SEC_New_27-Feb-2024Rev3.xlsx]D-PND'!$EA$13</v>
      </c>
      <c r="J2587" s="37" t="s">
        <v>3185</v>
      </c>
    </row>
    <row r="2588" spans="1:10" x14ac:dyDescent="0.25">
      <c r="A2588" s="32" t="s">
        <v>3</v>
      </c>
      <c r="B2588" s="32">
        <f t="shared" ref="B2588:B2599" si="614">+B2587+1</f>
        <v>2025</v>
      </c>
      <c r="C2588" s="33" t="s">
        <v>23</v>
      </c>
      <c r="D2588" s="34" t="s">
        <v>1999</v>
      </c>
      <c r="E2588" s="35" t="str">
        <f t="shared" si="610"/>
        <v>PND'!</v>
      </c>
      <c r="F2588" s="34" t="str">
        <f t="shared" si="611"/>
        <v>C:\Users\jaime.benazar\Quorum Business Solutions\Ecopetrol Prometeo - Documents\Planning Space Implementation\3. Analysis &amp; Design\Design\FC22\DRR Jaime\QUIFA-CAJÚA\Cajua\[CAJUA_CF_SEC_New_27-Feb-2024Rev3.xlsx]D-PND'!</v>
      </c>
      <c r="G2588" s="32" t="s">
        <v>116</v>
      </c>
      <c r="H2588" s="33">
        <f t="shared" si="613"/>
        <v>14</v>
      </c>
      <c r="I2588" s="33" t="str">
        <f t="shared" si="612"/>
        <v>='C:\Users\jaime.benazar\Quorum Business Solutions\Ecopetrol Prometeo - Documents\Planning Space Implementation\3. Analysis &amp; Design\Design\FC22\DRR Jaime\QUIFA-CAJÚA\Cajua\[CAJUA_CF_SEC_New_27-Feb-2024Rev3.xlsx]D-PND'!$EA$14</v>
      </c>
      <c r="J2588" s="37" t="s">
        <v>3186</v>
      </c>
    </row>
    <row r="2589" spans="1:10" x14ac:dyDescent="0.25">
      <c r="A2589" s="32" t="s">
        <v>3</v>
      </c>
      <c r="B2589" s="32">
        <f t="shared" si="614"/>
        <v>2026</v>
      </c>
      <c r="C2589" s="33" t="s">
        <v>23</v>
      </c>
      <c r="D2589" s="34" t="s">
        <v>1999</v>
      </c>
      <c r="E2589" s="35" t="str">
        <f t="shared" si="610"/>
        <v>PND'!</v>
      </c>
      <c r="F2589" s="34" t="str">
        <f t="shared" si="611"/>
        <v>C:\Users\jaime.benazar\Quorum Business Solutions\Ecopetrol Prometeo - Documents\Planning Space Implementation\3. Analysis &amp; Design\Design\FC22\DRR Jaime\QUIFA-CAJÚA\Cajua\[CAJUA_CF_SEC_New_27-Feb-2024Rev3.xlsx]D-PND'!</v>
      </c>
      <c r="G2589" s="32" t="s">
        <v>116</v>
      </c>
      <c r="H2589" s="33">
        <f t="shared" si="613"/>
        <v>15</v>
      </c>
      <c r="I2589" s="33" t="str">
        <f t="shared" si="612"/>
        <v>='C:\Users\jaime.benazar\Quorum Business Solutions\Ecopetrol Prometeo - Documents\Planning Space Implementation\3. Analysis &amp; Design\Design\FC22\DRR Jaime\QUIFA-CAJÚA\Cajua\[CAJUA_CF_SEC_New_27-Feb-2024Rev3.xlsx]D-PND'!$EA$15</v>
      </c>
      <c r="J2589" s="37" t="s">
        <v>3187</v>
      </c>
    </row>
    <row r="2590" spans="1:10" x14ac:dyDescent="0.25">
      <c r="A2590" s="32" t="s">
        <v>3</v>
      </c>
      <c r="B2590" s="32">
        <f t="shared" si="614"/>
        <v>2027</v>
      </c>
      <c r="C2590" s="33" t="s">
        <v>23</v>
      </c>
      <c r="D2590" s="34" t="s">
        <v>1999</v>
      </c>
      <c r="E2590" s="35" t="str">
        <f t="shared" si="610"/>
        <v>PND'!</v>
      </c>
      <c r="F2590" s="34" t="str">
        <f t="shared" si="611"/>
        <v>C:\Users\jaime.benazar\Quorum Business Solutions\Ecopetrol Prometeo - Documents\Planning Space Implementation\3. Analysis &amp; Design\Design\FC22\DRR Jaime\QUIFA-CAJÚA\Cajua\[CAJUA_CF_SEC_New_27-Feb-2024Rev3.xlsx]D-PND'!</v>
      </c>
      <c r="G2590" s="32" t="s">
        <v>116</v>
      </c>
      <c r="H2590" s="33">
        <f t="shared" si="613"/>
        <v>16</v>
      </c>
      <c r="I2590" s="33" t="str">
        <f t="shared" si="612"/>
        <v>='C:\Users\jaime.benazar\Quorum Business Solutions\Ecopetrol Prometeo - Documents\Planning Space Implementation\3. Analysis &amp; Design\Design\FC22\DRR Jaime\QUIFA-CAJÚA\Cajua\[CAJUA_CF_SEC_New_27-Feb-2024Rev3.xlsx]D-PND'!$EA$16</v>
      </c>
      <c r="J2590" s="37" t="s">
        <v>3188</v>
      </c>
    </row>
    <row r="2591" spans="1:10" x14ac:dyDescent="0.25">
      <c r="A2591" s="32" t="s">
        <v>3</v>
      </c>
      <c r="B2591" s="32">
        <f t="shared" si="614"/>
        <v>2028</v>
      </c>
      <c r="C2591" s="33" t="s">
        <v>23</v>
      </c>
      <c r="D2591" s="34" t="s">
        <v>1999</v>
      </c>
      <c r="E2591" s="35" t="str">
        <f t="shared" si="610"/>
        <v>PND'!</v>
      </c>
      <c r="F2591" s="34" t="str">
        <f t="shared" si="611"/>
        <v>C:\Users\jaime.benazar\Quorum Business Solutions\Ecopetrol Prometeo - Documents\Planning Space Implementation\3. Analysis &amp; Design\Design\FC22\DRR Jaime\QUIFA-CAJÚA\Cajua\[CAJUA_CF_SEC_New_27-Feb-2024Rev3.xlsx]D-PND'!</v>
      </c>
      <c r="G2591" s="32" t="s">
        <v>116</v>
      </c>
      <c r="H2591" s="33">
        <f t="shared" si="613"/>
        <v>17</v>
      </c>
      <c r="I2591" s="33" t="str">
        <f t="shared" si="612"/>
        <v>='C:\Users\jaime.benazar\Quorum Business Solutions\Ecopetrol Prometeo - Documents\Planning Space Implementation\3. Analysis &amp; Design\Design\FC22\DRR Jaime\QUIFA-CAJÚA\Cajua\[CAJUA_CF_SEC_New_27-Feb-2024Rev3.xlsx]D-PND'!$EA$17</v>
      </c>
      <c r="J2591" s="37" t="s">
        <v>3189</v>
      </c>
    </row>
    <row r="2592" spans="1:10" x14ac:dyDescent="0.25">
      <c r="A2592" s="32" t="s">
        <v>3</v>
      </c>
      <c r="B2592" s="32">
        <f t="shared" si="614"/>
        <v>2029</v>
      </c>
      <c r="C2592" s="33" t="s">
        <v>23</v>
      </c>
      <c r="D2592" s="34" t="s">
        <v>1999</v>
      </c>
      <c r="E2592" s="35" t="str">
        <f t="shared" si="610"/>
        <v>PND'!</v>
      </c>
      <c r="F2592" s="34" t="str">
        <f t="shared" si="611"/>
        <v>C:\Users\jaime.benazar\Quorum Business Solutions\Ecopetrol Prometeo - Documents\Planning Space Implementation\3. Analysis &amp; Design\Design\FC22\DRR Jaime\QUIFA-CAJÚA\Cajua\[CAJUA_CF_SEC_New_27-Feb-2024Rev3.xlsx]D-PND'!</v>
      </c>
      <c r="G2592" s="32" t="s">
        <v>116</v>
      </c>
      <c r="H2592" s="33">
        <f t="shared" si="613"/>
        <v>18</v>
      </c>
      <c r="I2592" s="33" t="str">
        <f t="shared" si="612"/>
        <v>='C:\Users\jaime.benazar\Quorum Business Solutions\Ecopetrol Prometeo - Documents\Planning Space Implementation\3. Analysis &amp; Design\Design\FC22\DRR Jaime\QUIFA-CAJÚA\Cajua\[CAJUA_CF_SEC_New_27-Feb-2024Rev3.xlsx]D-PND'!$EA$18</v>
      </c>
      <c r="J2592" s="37" t="s">
        <v>3190</v>
      </c>
    </row>
    <row r="2593" spans="1:10" x14ac:dyDescent="0.25">
      <c r="A2593" s="32" t="s">
        <v>3</v>
      </c>
      <c r="B2593" s="32">
        <f t="shared" si="614"/>
        <v>2030</v>
      </c>
      <c r="C2593" s="33" t="s">
        <v>23</v>
      </c>
      <c r="D2593" s="34" t="s">
        <v>1999</v>
      </c>
      <c r="E2593" s="35" t="str">
        <f t="shared" si="610"/>
        <v>PND'!</v>
      </c>
      <c r="F2593" s="34" t="str">
        <f t="shared" si="611"/>
        <v>C:\Users\jaime.benazar\Quorum Business Solutions\Ecopetrol Prometeo - Documents\Planning Space Implementation\3. Analysis &amp; Design\Design\FC22\DRR Jaime\QUIFA-CAJÚA\Cajua\[CAJUA_CF_SEC_New_27-Feb-2024Rev3.xlsx]D-PND'!</v>
      </c>
      <c r="G2593" s="32" t="s">
        <v>116</v>
      </c>
      <c r="H2593" s="33">
        <f t="shared" si="613"/>
        <v>19</v>
      </c>
      <c r="I2593" s="33" t="str">
        <f t="shared" si="612"/>
        <v>='C:\Users\jaime.benazar\Quorum Business Solutions\Ecopetrol Prometeo - Documents\Planning Space Implementation\3. Analysis &amp; Design\Design\FC22\DRR Jaime\QUIFA-CAJÚA\Cajua\[CAJUA_CF_SEC_New_27-Feb-2024Rev3.xlsx]D-PND'!$EA$19</v>
      </c>
      <c r="J2593" s="37" t="s">
        <v>3191</v>
      </c>
    </row>
    <row r="2594" spans="1:10" x14ac:dyDescent="0.25">
      <c r="A2594" s="32" t="s">
        <v>3</v>
      </c>
      <c r="B2594" s="32">
        <f t="shared" si="614"/>
        <v>2031</v>
      </c>
      <c r="C2594" s="33" t="s">
        <v>23</v>
      </c>
      <c r="D2594" s="34" t="s">
        <v>1999</v>
      </c>
      <c r="E2594" s="35" t="str">
        <f t="shared" si="610"/>
        <v>PND'!</v>
      </c>
      <c r="F2594" s="34" t="str">
        <f t="shared" si="611"/>
        <v>C:\Users\jaime.benazar\Quorum Business Solutions\Ecopetrol Prometeo - Documents\Planning Space Implementation\3. Analysis &amp; Design\Design\FC22\DRR Jaime\QUIFA-CAJÚA\Cajua\[CAJUA_CF_SEC_New_27-Feb-2024Rev3.xlsx]D-PND'!</v>
      </c>
      <c r="G2594" s="32" t="s">
        <v>116</v>
      </c>
      <c r="H2594" s="33">
        <f t="shared" si="613"/>
        <v>20</v>
      </c>
      <c r="I2594" s="33" t="str">
        <f t="shared" si="612"/>
        <v>='C:\Users\jaime.benazar\Quorum Business Solutions\Ecopetrol Prometeo - Documents\Planning Space Implementation\3. Analysis &amp; Design\Design\FC22\DRR Jaime\QUIFA-CAJÚA\Cajua\[CAJUA_CF_SEC_New_27-Feb-2024Rev3.xlsx]D-PND'!$EA$20</v>
      </c>
      <c r="J2594" s="37" t="s">
        <v>3192</v>
      </c>
    </row>
    <row r="2595" spans="1:10" x14ac:dyDescent="0.25">
      <c r="A2595" s="32" t="s">
        <v>3</v>
      </c>
      <c r="B2595" s="32">
        <f t="shared" si="614"/>
        <v>2032</v>
      </c>
      <c r="C2595" s="33" t="s">
        <v>23</v>
      </c>
      <c r="D2595" s="34" t="s">
        <v>1999</v>
      </c>
      <c r="E2595" s="35" t="str">
        <f t="shared" si="610"/>
        <v>PND'!</v>
      </c>
      <c r="F2595" s="34" t="str">
        <f t="shared" si="611"/>
        <v>C:\Users\jaime.benazar\Quorum Business Solutions\Ecopetrol Prometeo - Documents\Planning Space Implementation\3. Analysis &amp; Design\Design\FC22\DRR Jaime\QUIFA-CAJÚA\Cajua\[CAJUA_CF_SEC_New_27-Feb-2024Rev3.xlsx]D-PND'!</v>
      </c>
      <c r="G2595" s="32" t="s">
        <v>116</v>
      </c>
      <c r="H2595" s="33">
        <f t="shared" si="613"/>
        <v>21</v>
      </c>
      <c r="I2595" s="33" t="str">
        <f t="shared" si="612"/>
        <v>='C:\Users\jaime.benazar\Quorum Business Solutions\Ecopetrol Prometeo - Documents\Planning Space Implementation\3. Analysis &amp; Design\Design\FC22\DRR Jaime\QUIFA-CAJÚA\Cajua\[CAJUA_CF_SEC_New_27-Feb-2024Rev3.xlsx]D-PND'!$EA$21</v>
      </c>
      <c r="J2595" s="37" t="s">
        <v>3193</v>
      </c>
    </row>
    <row r="2596" spans="1:10" x14ac:dyDescent="0.25">
      <c r="A2596" s="32" t="s">
        <v>3</v>
      </c>
      <c r="B2596" s="32">
        <f t="shared" si="614"/>
        <v>2033</v>
      </c>
      <c r="C2596" s="33" t="s">
        <v>23</v>
      </c>
      <c r="D2596" s="34" t="s">
        <v>1999</v>
      </c>
      <c r="E2596" s="35" t="str">
        <f t="shared" si="610"/>
        <v>PND'!</v>
      </c>
      <c r="F2596" s="34" t="str">
        <f t="shared" si="611"/>
        <v>C:\Users\jaime.benazar\Quorum Business Solutions\Ecopetrol Prometeo - Documents\Planning Space Implementation\3. Analysis &amp; Design\Design\FC22\DRR Jaime\QUIFA-CAJÚA\Cajua\[CAJUA_CF_SEC_New_27-Feb-2024Rev3.xlsx]D-PND'!</v>
      </c>
      <c r="G2596" s="32" t="s">
        <v>116</v>
      </c>
      <c r="H2596" s="33">
        <f t="shared" si="613"/>
        <v>22</v>
      </c>
      <c r="I2596" s="33" t="str">
        <f t="shared" si="612"/>
        <v>='C:\Users\jaime.benazar\Quorum Business Solutions\Ecopetrol Prometeo - Documents\Planning Space Implementation\3. Analysis &amp; Design\Design\FC22\DRR Jaime\QUIFA-CAJÚA\Cajua\[CAJUA_CF_SEC_New_27-Feb-2024Rev3.xlsx]D-PND'!$EA$22</v>
      </c>
      <c r="J2596" s="37" t="s">
        <v>3194</v>
      </c>
    </row>
    <row r="2597" spans="1:10" x14ac:dyDescent="0.25">
      <c r="A2597" s="32" t="s">
        <v>3</v>
      </c>
      <c r="B2597" s="32">
        <f t="shared" si="614"/>
        <v>2034</v>
      </c>
      <c r="C2597" s="33" t="s">
        <v>23</v>
      </c>
      <c r="D2597" s="34" t="s">
        <v>1999</v>
      </c>
      <c r="E2597" s="35" t="str">
        <f t="shared" si="610"/>
        <v>PND'!</v>
      </c>
      <c r="F2597" s="34" t="str">
        <f t="shared" si="611"/>
        <v>C:\Users\jaime.benazar\Quorum Business Solutions\Ecopetrol Prometeo - Documents\Planning Space Implementation\3. Analysis &amp; Design\Design\FC22\DRR Jaime\QUIFA-CAJÚA\Cajua\[CAJUA_CF_SEC_New_27-Feb-2024Rev3.xlsx]D-PND'!</v>
      </c>
      <c r="G2597" s="32" t="s">
        <v>116</v>
      </c>
      <c r="H2597" s="33">
        <f t="shared" si="613"/>
        <v>23</v>
      </c>
      <c r="I2597" s="33" t="str">
        <f t="shared" si="612"/>
        <v>='C:\Users\jaime.benazar\Quorum Business Solutions\Ecopetrol Prometeo - Documents\Planning Space Implementation\3. Analysis &amp; Design\Design\FC22\DRR Jaime\QUIFA-CAJÚA\Cajua\[CAJUA_CF_SEC_New_27-Feb-2024Rev3.xlsx]D-PND'!$EA$23</v>
      </c>
      <c r="J2597" s="37" t="s">
        <v>3195</v>
      </c>
    </row>
    <row r="2598" spans="1:10" x14ac:dyDescent="0.25">
      <c r="A2598" s="32" t="s">
        <v>3</v>
      </c>
      <c r="B2598" s="32">
        <f t="shared" si="614"/>
        <v>2035</v>
      </c>
      <c r="C2598" s="33" t="s">
        <v>23</v>
      </c>
      <c r="D2598" s="34" t="s">
        <v>1999</v>
      </c>
      <c r="E2598" s="35" t="str">
        <f t="shared" si="610"/>
        <v>PND'!</v>
      </c>
      <c r="F2598" s="34" t="str">
        <f t="shared" si="611"/>
        <v>C:\Users\jaime.benazar\Quorum Business Solutions\Ecopetrol Prometeo - Documents\Planning Space Implementation\3. Analysis &amp; Design\Design\FC22\DRR Jaime\QUIFA-CAJÚA\Cajua\[CAJUA_CF_SEC_New_27-Feb-2024Rev3.xlsx]D-PND'!</v>
      </c>
      <c r="G2598" s="32" t="s">
        <v>116</v>
      </c>
      <c r="H2598" s="33">
        <f t="shared" si="613"/>
        <v>24</v>
      </c>
      <c r="I2598" s="33" t="str">
        <f t="shared" si="612"/>
        <v>='C:\Users\jaime.benazar\Quorum Business Solutions\Ecopetrol Prometeo - Documents\Planning Space Implementation\3. Analysis &amp; Design\Design\FC22\DRR Jaime\QUIFA-CAJÚA\Cajua\[CAJUA_CF_SEC_New_27-Feb-2024Rev3.xlsx]D-PND'!$EA$24</v>
      </c>
      <c r="J2598" s="37" t="s">
        <v>3196</v>
      </c>
    </row>
    <row r="2599" spans="1:10" x14ac:dyDescent="0.25">
      <c r="A2599" s="32" t="s">
        <v>3</v>
      </c>
      <c r="B2599" s="32">
        <f t="shared" si="614"/>
        <v>2036</v>
      </c>
      <c r="C2599" s="33" t="s">
        <v>23</v>
      </c>
      <c r="D2599" s="34" t="s">
        <v>1999</v>
      </c>
      <c r="E2599" s="35" t="str">
        <f t="shared" si="610"/>
        <v>PND'!</v>
      </c>
      <c r="F2599" s="34" t="str">
        <f t="shared" si="611"/>
        <v>C:\Users\jaime.benazar\Quorum Business Solutions\Ecopetrol Prometeo - Documents\Planning Space Implementation\3. Analysis &amp; Design\Design\FC22\DRR Jaime\QUIFA-CAJÚA\Cajua\[CAJUA_CF_SEC_New_27-Feb-2024Rev3.xlsx]D-PND'!</v>
      </c>
      <c r="G2599" s="32" t="s">
        <v>116</v>
      </c>
      <c r="H2599" s="33">
        <f t="shared" si="613"/>
        <v>25</v>
      </c>
      <c r="I2599" s="33" t="str">
        <f t="shared" si="612"/>
        <v>='C:\Users\jaime.benazar\Quorum Business Solutions\Ecopetrol Prometeo - Documents\Planning Space Implementation\3. Analysis &amp; Design\Design\FC22\DRR Jaime\QUIFA-CAJÚA\Cajua\[CAJUA_CF_SEC_New_27-Feb-2024Rev3.xlsx]D-PND'!$EA$25</v>
      </c>
      <c r="J2599" s="37" t="s">
        <v>3197</v>
      </c>
    </row>
    <row r="2600" spans="1:10" x14ac:dyDescent="0.25">
      <c r="A2600" s="32" t="s">
        <v>3</v>
      </c>
      <c r="B2600" s="32">
        <f>+B2599+1</f>
        <v>2037</v>
      </c>
      <c r="C2600" s="33" t="s">
        <v>23</v>
      </c>
      <c r="D2600" s="34" t="s">
        <v>1999</v>
      </c>
      <c r="E2600" s="35" t="str">
        <f t="shared" si="610"/>
        <v>PND'!</v>
      </c>
      <c r="F2600" s="34" t="str">
        <f t="shared" si="611"/>
        <v>C:\Users\jaime.benazar\Quorum Business Solutions\Ecopetrol Prometeo - Documents\Planning Space Implementation\3. Analysis &amp; Design\Design\FC22\DRR Jaime\QUIFA-CAJÚA\Cajua\[CAJUA_CF_SEC_New_27-Feb-2024Rev3.xlsx]D-PND'!</v>
      </c>
      <c r="G2600" s="32" t="s">
        <v>116</v>
      </c>
      <c r="H2600" s="33">
        <f t="shared" si="613"/>
        <v>26</v>
      </c>
      <c r="I2600" s="33" t="str">
        <f t="shared" si="612"/>
        <v>='C:\Users\jaime.benazar\Quorum Business Solutions\Ecopetrol Prometeo - Documents\Planning Space Implementation\3. Analysis &amp; Design\Design\FC22\DRR Jaime\QUIFA-CAJÚA\Cajua\[CAJUA_CF_SEC_New_27-Feb-2024Rev3.xlsx]D-PND'!$EA$26</v>
      </c>
      <c r="J2600" s="37" t="s">
        <v>3198</v>
      </c>
    </row>
    <row r="2601" spans="1:10" x14ac:dyDescent="0.25">
      <c r="A2601" s="32" t="s">
        <v>3</v>
      </c>
      <c r="B2601" s="32">
        <f t="shared" ref="B2601:B2603" si="615">+B2600+1</f>
        <v>2038</v>
      </c>
      <c r="C2601" s="33" t="s">
        <v>23</v>
      </c>
      <c r="D2601" s="34" t="s">
        <v>1999</v>
      </c>
      <c r="E2601" s="35" t="str">
        <f t="shared" si="610"/>
        <v>PND'!</v>
      </c>
      <c r="F2601" s="34" t="str">
        <f t="shared" si="611"/>
        <v>C:\Users\jaime.benazar\Quorum Business Solutions\Ecopetrol Prometeo - Documents\Planning Space Implementation\3. Analysis &amp; Design\Design\FC22\DRR Jaime\QUIFA-CAJÚA\Cajua\[CAJUA_CF_SEC_New_27-Feb-2024Rev3.xlsx]D-PND'!</v>
      </c>
      <c r="G2601" s="32" t="s">
        <v>116</v>
      </c>
      <c r="H2601" s="33">
        <f t="shared" si="613"/>
        <v>27</v>
      </c>
      <c r="I2601" s="33" t="str">
        <f t="shared" si="612"/>
        <v>='C:\Users\jaime.benazar\Quorum Business Solutions\Ecopetrol Prometeo - Documents\Planning Space Implementation\3. Analysis &amp; Design\Design\FC22\DRR Jaime\QUIFA-CAJÚA\Cajua\[CAJUA_CF_SEC_New_27-Feb-2024Rev3.xlsx]D-PND'!$EA$27</v>
      </c>
      <c r="J2601" s="37" t="s">
        <v>3199</v>
      </c>
    </row>
    <row r="2602" spans="1:10" x14ac:dyDescent="0.25">
      <c r="A2602" s="32" t="s">
        <v>3</v>
      </c>
      <c r="B2602" s="32">
        <f t="shared" si="615"/>
        <v>2039</v>
      </c>
      <c r="C2602" s="33" t="s">
        <v>23</v>
      </c>
      <c r="D2602" s="34" t="s">
        <v>1999</v>
      </c>
      <c r="E2602" s="35" t="str">
        <f t="shared" si="610"/>
        <v>PND'!</v>
      </c>
      <c r="F2602" s="34" t="str">
        <f t="shared" si="611"/>
        <v>C:\Users\jaime.benazar\Quorum Business Solutions\Ecopetrol Prometeo - Documents\Planning Space Implementation\3. Analysis &amp; Design\Design\FC22\DRR Jaime\QUIFA-CAJÚA\Cajua\[CAJUA_CF_SEC_New_27-Feb-2024Rev3.xlsx]D-PND'!</v>
      </c>
      <c r="G2602" s="32" t="s">
        <v>116</v>
      </c>
      <c r="H2602" s="33">
        <f t="shared" si="613"/>
        <v>28</v>
      </c>
      <c r="I2602" s="33" t="str">
        <f t="shared" si="612"/>
        <v>='C:\Users\jaime.benazar\Quorum Business Solutions\Ecopetrol Prometeo - Documents\Planning Space Implementation\3. Analysis &amp; Design\Design\FC22\DRR Jaime\QUIFA-CAJÚA\Cajua\[CAJUA_CF_SEC_New_27-Feb-2024Rev3.xlsx]D-PND'!$EA$28</v>
      </c>
      <c r="J2602" s="37" t="s">
        <v>3200</v>
      </c>
    </row>
    <row r="2603" spans="1:10" x14ac:dyDescent="0.25">
      <c r="A2603" s="32" t="s">
        <v>3</v>
      </c>
      <c r="B2603" s="32">
        <f t="shared" si="615"/>
        <v>2040</v>
      </c>
      <c r="C2603" s="33" t="s">
        <v>23</v>
      </c>
      <c r="D2603" s="34" t="s">
        <v>1999</v>
      </c>
      <c r="E2603" s="35" t="str">
        <f t="shared" si="610"/>
        <v>PND'!</v>
      </c>
      <c r="F2603" s="34" t="str">
        <f t="shared" si="611"/>
        <v>C:\Users\jaime.benazar\Quorum Business Solutions\Ecopetrol Prometeo - Documents\Planning Space Implementation\3. Analysis &amp; Design\Design\FC22\DRR Jaime\QUIFA-CAJÚA\Cajua\[CAJUA_CF_SEC_New_27-Feb-2024Rev3.xlsx]D-PND'!</v>
      </c>
      <c r="G2603" s="32" t="s">
        <v>116</v>
      </c>
      <c r="H2603" s="33">
        <f t="shared" si="613"/>
        <v>29</v>
      </c>
      <c r="I2603" s="33" t="str">
        <f t="shared" si="612"/>
        <v>='C:\Users\jaime.benazar\Quorum Business Solutions\Ecopetrol Prometeo - Documents\Planning Space Implementation\3. Analysis &amp; Design\Design\FC22\DRR Jaime\QUIFA-CAJÚA\Cajua\[CAJUA_CF_SEC_New_27-Feb-2024Rev3.xlsx]D-PND'!$EA$29</v>
      </c>
      <c r="J2603" s="37" t="s">
        <v>3201</v>
      </c>
    </row>
    <row r="2604" spans="1:10" x14ac:dyDescent="0.25">
      <c r="A2604" s="32" t="s">
        <v>3</v>
      </c>
      <c r="B2604" s="32">
        <f>+B2603+1</f>
        <v>2041</v>
      </c>
      <c r="C2604" s="33" t="s">
        <v>23</v>
      </c>
      <c r="D2604" s="34" t="s">
        <v>1999</v>
      </c>
      <c r="E2604" s="35" t="str">
        <f t="shared" si="610"/>
        <v>PND'!</v>
      </c>
      <c r="F2604" s="34" t="str">
        <f t="shared" si="611"/>
        <v>C:\Users\jaime.benazar\Quorum Business Solutions\Ecopetrol Prometeo - Documents\Planning Space Implementation\3. Analysis &amp; Design\Design\FC22\DRR Jaime\QUIFA-CAJÚA\Cajua\[CAJUA_CF_SEC_New_27-Feb-2024Rev3.xlsx]D-PND'!</v>
      </c>
      <c r="G2604" s="32" t="s">
        <v>116</v>
      </c>
      <c r="H2604" s="33">
        <f t="shared" si="613"/>
        <v>30</v>
      </c>
      <c r="I2604" s="33" t="str">
        <f t="shared" si="612"/>
        <v>='C:\Users\jaime.benazar\Quorum Business Solutions\Ecopetrol Prometeo - Documents\Planning Space Implementation\3. Analysis &amp; Design\Design\FC22\DRR Jaime\QUIFA-CAJÚA\Cajua\[CAJUA_CF_SEC_New_27-Feb-2024Rev3.xlsx]D-PND'!$EA$30</v>
      </c>
      <c r="J2604" s="37" t="s">
        <v>3202</v>
      </c>
    </row>
    <row r="2605" spans="1:10" x14ac:dyDescent="0.25">
      <c r="A2605" s="32" t="s">
        <v>3</v>
      </c>
      <c r="B2605" s="32">
        <f t="shared" ref="B2605:B2606" si="616">+B2604+1</f>
        <v>2042</v>
      </c>
      <c r="C2605" s="33" t="s">
        <v>23</v>
      </c>
      <c r="D2605" s="34" t="s">
        <v>1999</v>
      </c>
      <c r="E2605" s="35" t="str">
        <f t="shared" si="610"/>
        <v>PND'!</v>
      </c>
      <c r="F2605" s="34" t="str">
        <f t="shared" si="611"/>
        <v>C:\Users\jaime.benazar\Quorum Business Solutions\Ecopetrol Prometeo - Documents\Planning Space Implementation\3. Analysis &amp; Design\Design\FC22\DRR Jaime\QUIFA-CAJÚA\Cajua\[CAJUA_CF_SEC_New_27-Feb-2024Rev3.xlsx]D-PND'!</v>
      </c>
      <c r="G2605" s="32" t="s">
        <v>116</v>
      </c>
      <c r="H2605" s="33">
        <f t="shared" si="613"/>
        <v>31</v>
      </c>
      <c r="I2605" s="33" t="str">
        <f t="shared" si="612"/>
        <v>='C:\Users\jaime.benazar\Quorum Business Solutions\Ecopetrol Prometeo - Documents\Planning Space Implementation\3. Analysis &amp; Design\Design\FC22\DRR Jaime\QUIFA-CAJÚA\Cajua\[CAJUA_CF_SEC_New_27-Feb-2024Rev3.xlsx]D-PND'!$EA$31</v>
      </c>
      <c r="J2605" s="37" t="s">
        <v>3203</v>
      </c>
    </row>
    <row r="2606" spans="1:10" x14ac:dyDescent="0.25">
      <c r="A2606" s="32" t="s">
        <v>3</v>
      </c>
      <c r="B2606" s="32">
        <f t="shared" si="616"/>
        <v>2043</v>
      </c>
      <c r="C2606" s="33" t="s">
        <v>23</v>
      </c>
      <c r="D2606" s="34" t="s">
        <v>1999</v>
      </c>
      <c r="E2606" s="35" t="str">
        <f t="shared" si="610"/>
        <v>PND'!</v>
      </c>
      <c r="F2606" s="34" t="str">
        <f t="shared" si="611"/>
        <v>C:\Users\jaime.benazar\Quorum Business Solutions\Ecopetrol Prometeo - Documents\Planning Space Implementation\3. Analysis &amp; Design\Design\FC22\DRR Jaime\QUIFA-CAJÚA\Cajua\[CAJUA_CF_SEC_New_27-Feb-2024Rev3.xlsx]D-PND'!</v>
      </c>
      <c r="G2606" s="32" t="s">
        <v>116</v>
      </c>
      <c r="H2606" s="33">
        <f t="shared" si="613"/>
        <v>32</v>
      </c>
      <c r="I2606" s="33" t="str">
        <f t="shared" si="612"/>
        <v>='C:\Users\jaime.benazar\Quorum Business Solutions\Ecopetrol Prometeo - Documents\Planning Space Implementation\3. Analysis &amp; Design\Design\FC22\DRR Jaime\QUIFA-CAJÚA\Cajua\[CAJUA_CF_SEC_New_27-Feb-2024Rev3.xlsx]D-PND'!$EA$32</v>
      </c>
      <c r="J2606" s="37" t="s">
        <v>3204</v>
      </c>
    </row>
    <row r="2607" spans="1:10" x14ac:dyDescent="0.25">
      <c r="A2607" s="32" t="s">
        <v>3</v>
      </c>
      <c r="B2607" s="32">
        <f>+B2606+1</f>
        <v>2044</v>
      </c>
      <c r="C2607" s="33" t="s">
        <v>23</v>
      </c>
      <c r="D2607" s="34" t="s">
        <v>1999</v>
      </c>
      <c r="E2607" s="35" t="str">
        <f t="shared" ref="E2607:E2622" si="617">_xlfn.CONCAT(A2607,"'!")</f>
        <v>PND'!</v>
      </c>
      <c r="F2607" s="34" t="str">
        <f t="shared" ref="F2607:F2622" si="618">_xlfn.CONCAT(D2607:E2607)</f>
        <v>C:\Users\jaime.benazar\Quorum Business Solutions\Ecopetrol Prometeo - Documents\Planning Space Implementation\3. Analysis &amp; Design\Design\FC22\DRR Jaime\QUIFA-CAJÚA\Cajua\[CAJUA_CF_SEC_New_27-Feb-2024Rev3.xlsx]D-PND'!</v>
      </c>
      <c r="G2607" s="32" t="s">
        <v>116</v>
      </c>
      <c r="H2607" s="33">
        <f t="shared" ref="H2607:H2622" si="619">IF(A2607&lt;&gt;A2606,12,H2606+1)</f>
        <v>33</v>
      </c>
      <c r="I2607" s="33" t="str">
        <f t="shared" ref="I2607:I2622" si="620">_xlfn.CONCAT("='",F2607:H2607)</f>
        <v>='C:\Users\jaime.benazar\Quorum Business Solutions\Ecopetrol Prometeo - Documents\Planning Space Implementation\3. Analysis &amp; Design\Design\FC22\DRR Jaime\QUIFA-CAJÚA\Cajua\[CAJUA_CF_SEC_New_27-Feb-2024Rev3.xlsx]D-PND'!$EA$33</v>
      </c>
      <c r="J2607" s="37" t="s">
        <v>3205</v>
      </c>
    </row>
    <row r="2608" spans="1:10" x14ac:dyDescent="0.25">
      <c r="A2608" s="32" t="s">
        <v>3</v>
      </c>
      <c r="B2608" s="32">
        <f t="shared" ref="B2608:B2622" si="621">+B2607+1</f>
        <v>2045</v>
      </c>
      <c r="C2608" s="33" t="s">
        <v>23</v>
      </c>
      <c r="D2608" s="34" t="s">
        <v>1999</v>
      </c>
      <c r="E2608" s="35" t="str">
        <f t="shared" si="617"/>
        <v>PND'!</v>
      </c>
      <c r="F2608" s="34" t="str">
        <f t="shared" si="618"/>
        <v>C:\Users\jaime.benazar\Quorum Business Solutions\Ecopetrol Prometeo - Documents\Planning Space Implementation\3. Analysis &amp; Design\Design\FC22\DRR Jaime\QUIFA-CAJÚA\Cajua\[CAJUA_CF_SEC_New_27-Feb-2024Rev3.xlsx]D-PND'!</v>
      </c>
      <c r="G2608" s="32" t="s">
        <v>116</v>
      </c>
      <c r="H2608" s="33">
        <f t="shared" si="619"/>
        <v>34</v>
      </c>
      <c r="I2608" s="33" t="str">
        <f t="shared" si="620"/>
        <v>='C:\Users\jaime.benazar\Quorum Business Solutions\Ecopetrol Prometeo - Documents\Planning Space Implementation\3. Analysis &amp; Design\Design\FC22\DRR Jaime\QUIFA-CAJÚA\Cajua\[CAJUA_CF_SEC_New_27-Feb-2024Rev3.xlsx]D-PND'!$EA$34</v>
      </c>
      <c r="J2608" s="37" t="s">
        <v>3206</v>
      </c>
    </row>
    <row r="2609" spans="1:10" x14ac:dyDescent="0.25">
      <c r="A2609" s="32" t="s">
        <v>3</v>
      </c>
      <c r="B2609" s="32">
        <f t="shared" si="621"/>
        <v>2046</v>
      </c>
      <c r="C2609" s="33" t="s">
        <v>23</v>
      </c>
      <c r="D2609" s="34" t="s">
        <v>1999</v>
      </c>
      <c r="E2609" s="35" t="str">
        <f t="shared" si="617"/>
        <v>PND'!</v>
      </c>
      <c r="F2609" s="34" t="str">
        <f t="shared" si="618"/>
        <v>C:\Users\jaime.benazar\Quorum Business Solutions\Ecopetrol Prometeo - Documents\Planning Space Implementation\3. Analysis &amp; Design\Design\FC22\DRR Jaime\QUIFA-CAJÚA\Cajua\[CAJUA_CF_SEC_New_27-Feb-2024Rev3.xlsx]D-PND'!</v>
      </c>
      <c r="G2609" s="32" t="s">
        <v>116</v>
      </c>
      <c r="H2609" s="33">
        <f t="shared" si="619"/>
        <v>35</v>
      </c>
      <c r="I2609" s="33" t="str">
        <f t="shared" si="620"/>
        <v>='C:\Users\jaime.benazar\Quorum Business Solutions\Ecopetrol Prometeo - Documents\Planning Space Implementation\3. Analysis &amp; Design\Design\FC22\DRR Jaime\QUIFA-CAJÚA\Cajua\[CAJUA_CF_SEC_New_27-Feb-2024Rev3.xlsx]D-PND'!$EA$35</v>
      </c>
      <c r="J2609" s="37" t="s">
        <v>3207</v>
      </c>
    </row>
    <row r="2610" spans="1:10" x14ac:dyDescent="0.25">
      <c r="A2610" s="32" t="s">
        <v>3</v>
      </c>
      <c r="B2610" s="32">
        <f t="shared" si="621"/>
        <v>2047</v>
      </c>
      <c r="C2610" s="33" t="s">
        <v>23</v>
      </c>
      <c r="D2610" s="34" t="s">
        <v>1999</v>
      </c>
      <c r="E2610" s="35" t="str">
        <f t="shared" si="617"/>
        <v>PND'!</v>
      </c>
      <c r="F2610" s="34" t="str">
        <f t="shared" si="618"/>
        <v>C:\Users\jaime.benazar\Quorum Business Solutions\Ecopetrol Prometeo - Documents\Planning Space Implementation\3. Analysis &amp; Design\Design\FC22\DRR Jaime\QUIFA-CAJÚA\Cajua\[CAJUA_CF_SEC_New_27-Feb-2024Rev3.xlsx]D-PND'!</v>
      </c>
      <c r="G2610" s="32" t="s">
        <v>116</v>
      </c>
      <c r="H2610" s="33">
        <f t="shared" si="619"/>
        <v>36</v>
      </c>
      <c r="I2610" s="33" t="str">
        <f t="shared" si="620"/>
        <v>='C:\Users\jaime.benazar\Quorum Business Solutions\Ecopetrol Prometeo - Documents\Planning Space Implementation\3. Analysis &amp; Design\Design\FC22\DRR Jaime\QUIFA-CAJÚA\Cajua\[CAJUA_CF_SEC_New_27-Feb-2024Rev3.xlsx]D-PND'!$EA$36</v>
      </c>
      <c r="J2610" s="37" t="s">
        <v>3208</v>
      </c>
    </row>
    <row r="2611" spans="1:10" x14ac:dyDescent="0.25">
      <c r="A2611" s="32" t="s">
        <v>3</v>
      </c>
      <c r="B2611" s="32">
        <f t="shared" si="621"/>
        <v>2048</v>
      </c>
      <c r="C2611" s="33" t="s">
        <v>23</v>
      </c>
      <c r="D2611" s="34" t="s">
        <v>1999</v>
      </c>
      <c r="E2611" s="35" t="str">
        <f t="shared" si="617"/>
        <v>PND'!</v>
      </c>
      <c r="F2611" s="34" t="str">
        <f t="shared" si="618"/>
        <v>C:\Users\jaime.benazar\Quorum Business Solutions\Ecopetrol Prometeo - Documents\Planning Space Implementation\3. Analysis &amp; Design\Design\FC22\DRR Jaime\QUIFA-CAJÚA\Cajua\[CAJUA_CF_SEC_New_27-Feb-2024Rev3.xlsx]D-PND'!</v>
      </c>
      <c r="G2611" s="32" t="s">
        <v>116</v>
      </c>
      <c r="H2611" s="33">
        <f t="shared" si="619"/>
        <v>37</v>
      </c>
      <c r="I2611" s="33" t="str">
        <f t="shared" si="620"/>
        <v>='C:\Users\jaime.benazar\Quorum Business Solutions\Ecopetrol Prometeo - Documents\Planning Space Implementation\3. Analysis &amp; Design\Design\FC22\DRR Jaime\QUIFA-CAJÚA\Cajua\[CAJUA_CF_SEC_New_27-Feb-2024Rev3.xlsx]D-PND'!$EA$37</v>
      </c>
      <c r="J2611" s="37" t="s">
        <v>3209</v>
      </c>
    </row>
    <row r="2612" spans="1:10" x14ac:dyDescent="0.25">
      <c r="A2612" s="32" t="s">
        <v>3</v>
      </c>
      <c r="B2612" s="32">
        <f t="shared" si="621"/>
        <v>2049</v>
      </c>
      <c r="C2612" s="33" t="s">
        <v>23</v>
      </c>
      <c r="D2612" s="34" t="s">
        <v>1999</v>
      </c>
      <c r="E2612" s="35" t="str">
        <f t="shared" si="617"/>
        <v>PND'!</v>
      </c>
      <c r="F2612" s="34" t="str">
        <f t="shared" si="618"/>
        <v>C:\Users\jaime.benazar\Quorum Business Solutions\Ecopetrol Prometeo - Documents\Planning Space Implementation\3. Analysis &amp; Design\Design\FC22\DRR Jaime\QUIFA-CAJÚA\Cajua\[CAJUA_CF_SEC_New_27-Feb-2024Rev3.xlsx]D-PND'!</v>
      </c>
      <c r="G2612" s="32" t="s">
        <v>116</v>
      </c>
      <c r="H2612" s="33">
        <f t="shared" si="619"/>
        <v>38</v>
      </c>
      <c r="I2612" s="33" t="str">
        <f t="shared" si="620"/>
        <v>='C:\Users\jaime.benazar\Quorum Business Solutions\Ecopetrol Prometeo - Documents\Planning Space Implementation\3. Analysis &amp; Design\Design\FC22\DRR Jaime\QUIFA-CAJÚA\Cajua\[CAJUA_CF_SEC_New_27-Feb-2024Rev3.xlsx]D-PND'!$EA$38</v>
      </c>
      <c r="J2612" s="37" t="s">
        <v>3210</v>
      </c>
    </row>
    <row r="2613" spans="1:10" x14ac:dyDescent="0.25">
      <c r="A2613" s="32" t="s">
        <v>3</v>
      </c>
      <c r="B2613" s="32">
        <f t="shared" si="621"/>
        <v>2050</v>
      </c>
      <c r="C2613" s="33" t="s">
        <v>23</v>
      </c>
      <c r="D2613" s="34" t="s">
        <v>1999</v>
      </c>
      <c r="E2613" s="35" t="str">
        <f t="shared" si="617"/>
        <v>PND'!</v>
      </c>
      <c r="F2613" s="34" t="str">
        <f t="shared" si="618"/>
        <v>C:\Users\jaime.benazar\Quorum Business Solutions\Ecopetrol Prometeo - Documents\Planning Space Implementation\3. Analysis &amp; Design\Design\FC22\DRR Jaime\QUIFA-CAJÚA\Cajua\[CAJUA_CF_SEC_New_27-Feb-2024Rev3.xlsx]D-PND'!</v>
      </c>
      <c r="G2613" s="32" t="s">
        <v>116</v>
      </c>
      <c r="H2613" s="33">
        <f t="shared" si="619"/>
        <v>39</v>
      </c>
      <c r="I2613" s="33" t="str">
        <f t="shared" si="620"/>
        <v>='C:\Users\jaime.benazar\Quorum Business Solutions\Ecopetrol Prometeo - Documents\Planning Space Implementation\3. Analysis &amp; Design\Design\FC22\DRR Jaime\QUIFA-CAJÚA\Cajua\[CAJUA_CF_SEC_New_27-Feb-2024Rev3.xlsx]D-PND'!$EA$39</v>
      </c>
      <c r="J2613" s="37" t="s">
        <v>3211</v>
      </c>
    </row>
    <row r="2614" spans="1:10" x14ac:dyDescent="0.25">
      <c r="A2614" s="32" t="s">
        <v>3</v>
      </c>
      <c r="B2614" s="32">
        <f t="shared" si="621"/>
        <v>2051</v>
      </c>
      <c r="C2614" s="33" t="s">
        <v>23</v>
      </c>
      <c r="D2614" s="34" t="s">
        <v>1999</v>
      </c>
      <c r="E2614" s="35" t="str">
        <f t="shared" si="617"/>
        <v>PND'!</v>
      </c>
      <c r="F2614" s="34" t="str">
        <f t="shared" si="618"/>
        <v>C:\Users\jaime.benazar\Quorum Business Solutions\Ecopetrol Prometeo - Documents\Planning Space Implementation\3. Analysis &amp; Design\Design\FC22\DRR Jaime\QUIFA-CAJÚA\Cajua\[CAJUA_CF_SEC_New_27-Feb-2024Rev3.xlsx]D-PND'!</v>
      </c>
      <c r="G2614" s="32" t="s">
        <v>116</v>
      </c>
      <c r="H2614" s="33">
        <f t="shared" si="619"/>
        <v>40</v>
      </c>
      <c r="I2614" s="33" t="str">
        <f t="shared" si="620"/>
        <v>='C:\Users\jaime.benazar\Quorum Business Solutions\Ecopetrol Prometeo - Documents\Planning Space Implementation\3. Analysis &amp; Design\Design\FC22\DRR Jaime\QUIFA-CAJÚA\Cajua\[CAJUA_CF_SEC_New_27-Feb-2024Rev3.xlsx]D-PND'!$EA$40</v>
      </c>
      <c r="J2614" s="37" t="s">
        <v>3212</v>
      </c>
    </row>
    <row r="2615" spans="1:10" x14ac:dyDescent="0.25">
      <c r="A2615" s="32" t="s">
        <v>3</v>
      </c>
      <c r="B2615" s="32">
        <f t="shared" si="621"/>
        <v>2052</v>
      </c>
      <c r="C2615" s="33" t="s">
        <v>23</v>
      </c>
      <c r="D2615" s="34" t="s">
        <v>1999</v>
      </c>
      <c r="E2615" s="35" t="str">
        <f t="shared" si="617"/>
        <v>PND'!</v>
      </c>
      <c r="F2615" s="34" t="str">
        <f t="shared" si="618"/>
        <v>C:\Users\jaime.benazar\Quorum Business Solutions\Ecopetrol Prometeo - Documents\Planning Space Implementation\3. Analysis &amp; Design\Design\FC22\DRR Jaime\QUIFA-CAJÚA\Cajua\[CAJUA_CF_SEC_New_27-Feb-2024Rev3.xlsx]D-PND'!</v>
      </c>
      <c r="G2615" s="32" t="s">
        <v>116</v>
      </c>
      <c r="H2615" s="33">
        <f t="shared" si="619"/>
        <v>41</v>
      </c>
      <c r="I2615" s="33" t="str">
        <f t="shared" si="620"/>
        <v>='C:\Users\jaime.benazar\Quorum Business Solutions\Ecopetrol Prometeo - Documents\Planning Space Implementation\3. Analysis &amp; Design\Design\FC22\DRR Jaime\QUIFA-CAJÚA\Cajua\[CAJUA_CF_SEC_New_27-Feb-2024Rev3.xlsx]D-PND'!$EA$41</v>
      </c>
      <c r="J2615" s="37" t="s">
        <v>3213</v>
      </c>
    </row>
    <row r="2616" spans="1:10" x14ac:dyDescent="0.25">
      <c r="A2616" s="32" t="s">
        <v>3</v>
      </c>
      <c r="B2616" s="32">
        <f t="shared" si="621"/>
        <v>2053</v>
      </c>
      <c r="C2616" s="33" t="s">
        <v>23</v>
      </c>
      <c r="D2616" s="34" t="s">
        <v>1999</v>
      </c>
      <c r="E2616" s="35" t="str">
        <f t="shared" si="617"/>
        <v>PND'!</v>
      </c>
      <c r="F2616" s="34" t="str">
        <f t="shared" si="618"/>
        <v>C:\Users\jaime.benazar\Quorum Business Solutions\Ecopetrol Prometeo - Documents\Planning Space Implementation\3. Analysis &amp; Design\Design\FC22\DRR Jaime\QUIFA-CAJÚA\Cajua\[CAJUA_CF_SEC_New_27-Feb-2024Rev3.xlsx]D-PND'!</v>
      </c>
      <c r="G2616" s="32" t="s">
        <v>116</v>
      </c>
      <c r="H2616" s="33">
        <f t="shared" si="619"/>
        <v>42</v>
      </c>
      <c r="I2616" s="33" t="str">
        <f t="shared" si="620"/>
        <v>='C:\Users\jaime.benazar\Quorum Business Solutions\Ecopetrol Prometeo - Documents\Planning Space Implementation\3. Analysis &amp; Design\Design\FC22\DRR Jaime\QUIFA-CAJÚA\Cajua\[CAJUA_CF_SEC_New_27-Feb-2024Rev3.xlsx]D-PND'!$EA$42</v>
      </c>
      <c r="J2616" s="37" t="s">
        <v>3214</v>
      </c>
    </row>
    <row r="2617" spans="1:10" x14ac:dyDescent="0.25">
      <c r="A2617" s="32" t="s">
        <v>3</v>
      </c>
      <c r="B2617" s="32">
        <f t="shared" si="621"/>
        <v>2054</v>
      </c>
      <c r="C2617" s="33" t="s">
        <v>23</v>
      </c>
      <c r="D2617" s="34" t="s">
        <v>1999</v>
      </c>
      <c r="E2617" s="35" t="str">
        <f t="shared" si="617"/>
        <v>PND'!</v>
      </c>
      <c r="F2617" s="34" t="str">
        <f t="shared" si="618"/>
        <v>C:\Users\jaime.benazar\Quorum Business Solutions\Ecopetrol Prometeo - Documents\Planning Space Implementation\3. Analysis &amp; Design\Design\FC22\DRR Jaime\QUIFA-CAJÚA\Cajua\[CAJUA_CF_SEC_New_27-Feb-2024Rev3.xlsx]D-PND'!</v>
      </c>
      <c r="G2617" s="32" t="s">
        <v>116</v>
      </c>
      <c r="H2617" s="33">
        <f t="shared" si="619"/>
        <v>43</v>
      </c>
      <c r="I2617" s="33" t="str">
        <f t="shared" si="620"/>
        <v>='C:\Users\jaime.benazar\Quorum Business Solutions\Ecopetrol Prometeo - Documents\Planning Space Implementation\3. Analysis &amp; Design\Design\FC22\DRR Jaime\QUIFA-CAJÚA\Cajua\[CAJUA_CF_SEC_New_27-Feb-2024Rev3.xlsx]D-PND'!$EA$43</v>
      </c>
      <c r="J2617" s="37" t="s">
        <v>3215</v>
      </c>
    </row>
    <row r="2618" spans="1:10" x14ac:dyDescent="0.25">
      <c r="A2618" s="32" t="s">
        <v>3</v>
      </c>
      <c r="B2618" s="32">
        <f t="shared" si="621"/>
        <v>2055</v>
      </c>
      <c r="C2618" s="33" t="s">
        <v>23</v>
      </c>
      <c r="D2618" s="34" t="s">
        <v>1999</v>
      </c>
      <c r="E2618" s="35" t="str">
        <f t="shared" si="617"/>
        <v>PND'!</v>
      </c>
      <c r="F2618" s="34" t="str">
        <f t="shared" si="618"/>
        <v>C:\Users\jaime.benazar\Quorum Business Solutions\Ecopetrol Prometeo - Documents\Planning Space Implementation\3. Analysis &amp; Design\Design\FC22\DRR Jaime\QUIFA-CAJÚA\Cajua\[CAJUA_CF_SEC_New_27-Feb-2024Rev3.xlsx]D-PND'!</v>
      </c>
      <c r="G2618" s="32" t="s">
        <v>116</v>
      </c>
      <c r="H2618" s="33">
        <f t="shared" si="619"/>
        <v>44</v>
      </c>
      <c r="I2618" s="33" t="str">
        <f t="shared" si="620"/>
        <v>='C:\Users\jaime.benazar\Quorum Business Solutions\Ecopetrol Prometeo - Documents\Planning Space Implementation\3. Analysis &amp; Design\Design\FC22\DRR Jaime\QUIFA-CAJÚA\Cajua\[CAJUA_CF_SEC_New_27-Feb-2024Rev3.xlsx]D-PND'!$EA$44</v>
      </c>
      <c r="J2618" s="37" t="s">
        <v>3216</v>
      </c>
    </row>
    <row r="2619" spans="1:10" x14ac:dyDescent="0.25">
      <c r="A2619" s="32" t="s">
        <v>3</v>
      </c>
      <c r="B2619" s="32">
        <f t="shared" si="621"/>
        <v>2056</v>
      </c>
      <c r="C2619" s="33" t="s">
        <v>23</v>
      </c>
      <c r="D2619" s="34" t="s">
        <v>1999</v>
      </c>
      <c r="E2619" s="35" t="str">
        <f t="shared" si="617"/>
        <v>PND'!</v>
      </c>
      <c r="F2619" s="34" t="str">
        <f t="shared" si="618"/>
        <v>C:\Users\jaime.benazar\Quorum Business Solutions\Ecopetrol Prometeo - Documents\Planning Space Implementation\3. Analysis &amp; Design\Design\FC22\DRR Jaime\QUIFA-CAJÚA\Cajua\[CAJUA_CF_SEC_New_27-Feb-2024Rev3.xlsx]D-PND'!</v>
      </c>
      <c r="G2619" s="32" t="s">
        <v>116</v>
      </c>
      <c r="H2619" s="33">
        <f t="shared" si="619"/>
        <v>45</v>
      </c>
      <c r="I2619" s="33" t="str">
        <f t="shared" si="620"/>
        <v>='C:\Users\jaime.benazar\Quorum Business Solutions\Ecopetrol Prometeo - Documents\Planning Space Implementation\3. Analysis &amp; Design\Design\FC22\DRR Jaime\QUIFA-CAJÚA\Cajua\[CAJUA_CF_SEC_New_27-Feb-2024Rev3.xlsx]D-PND'!$EA$45</v>
      </c>
      <c r="J2619" s="37" t="s">
        <v>3217</v>
      </c>
    </row>
    <row r="2620" spans="1:10" x14ac:dyDescent="0.25">
      <c r="A2620" s="32" t="s">
        <v>3</v>
      </c>
      <c r="B2620" s="32">
        <f t="shared" si="621"/>
        <v>2057</v>
      </c>
      <c r="C2620" s="33" t="s">
        <v>23</v>
      </c>
      <c r="D2620" s="34" t="s">
        <v>1999</v>
      </c>
      <c r="E2620" s="35" t="str">
        <f t="shared" si="617"/>
        <v>PND'!</v>
      </c>
      <c r="F2620" s="34" t="str">
        <f t="shared" si="618"/>
        <v>C:\Users\jaime.benazar\Quorum Business Solutions\Ecopetrol Prometeo - Documents\Planning Space Implementation\3. Analysis &amp; Design\Design\FC22\DRR Jaime\QUIFA-CAJÚA\Cajua\[CAJUA_CF_SEC_New_27-Feb-2024Rev3.xlsx]D-PND'!</v>
      </c>
      <c r="G2620" s="32" t="s">
        <v>116</v>
      </c>
      <c r="H2620" s="33">
        <f t="shared" si="619"/>
        <v>46</v>
      </c>
      <c r="I2620" s="33" t="str">
        <f t="shared" si="620"/>
        <v>='C:\Users\jaime.benazar\Quorum Business Solutions\Ecopetrol Prometeo - Documents\Planning Space Implementation\3. Analysis &amp; Design\Design\FC22\DRR Jaime\QUIFA-CAJÚA\Cajua\[CAJUA_CF_SEC_New_27-Feb-2024Rev3.xlsx]D-PND'!$EA$46</v>
      </c>
      <c r="J2620" s="37" t="s">
        <v>3218</v>
      </c>
    </row>
    <row r="2621" spans="1:10" x14ac:dyDescent="0.25">
      <c r="A2621" s="32" t="s">
        <v>3</v>
      </c>
      <c r="B2621" s="32">
        <f t="shared" si="621"/>
        <v>2058</v>
      </c>
      <c r="C2621" s="33" t="s">
        <v>23</v>
      </c>
      <c r="D2621" s="34" t="s">
        <v>1999</v>
      </c>
      <c r="E2621" s="35" t="str">
        <f t="shared" si="617"/>
        <v>PND'!</v>
      </c>
      <c r="F2621" s="34" t="str">
        <f t="shared" si="618"/>
        <v>C:\Users\jaime.benazar\Quorum Business Solutions\Ecopetrol Prometeo - Documents\Planning Space Implementation\3. Analysis &amp; Design\Design\FC22\DRR Jaime\QUIFA-CAJÚA\Cajua\[CAJUA_CF_SEC_New_27-Feb-2024Rev3.xlsx]D-PND'!</v>
      </c>
      <c r="G2621" s="32" t="s">
        <v>116</v>
      </c>
      <c r="H2621" s="33">
        <f t="shared" si="619"/>
        <v>47</v>
      </c>
      <c r="I2621" s="33" t="str">
        <f t="shared" si="620"/>
        <v>='C:\Users\jaime.benazar\Quorum Business Solutions\Ecopetrol Prometeo - Documents\Planning Space Implementation\3. Analysis &amp; Design\Design\FC22\DRR Jaime\QUIFA-CAJÚA\Cajua\[CAJUA_CF_SEC_New_27-Feb-2024Rev3.xlsx]D-PND'!$EA$47</v>
      </c>
      <c r="J2621" s="37" t="s">
        <v>3219</v>
      </c>
    </row>
    <row r="2622" spans="1:10" x14ac:dyDescent="0.25">
      <c r="A2622" s="32" t="s">
        <v>3</v>
      </c>
      <c r="B2622" s="32">
        <f t="shared" si="621"/>
        <v>2059</v>
      </c>
      <c r="C2622" s="33" t="s">
        <v>23</v>
      </c>
      <c r="D2622" s="34" t="s">
        <v>1999</v>
      </c>
      <c r="E2622" s="35" t="str">
        <f t="shared" si="617"/>
        <v>PND'!</v>
      </c>
      <c r="F2622" s="34" t="str">
        <f t="shared" si="618"/>
        <v>C:\Users\jaime.benazar\Quorum Business Solutions\Ecopetrol Prometeo - Documents\Planning Space Implementation\3. Analysis &amp; Design\Design\FC22\DRR Jaime\QUIFA-CAJÚA\Cajua\[CAJUA_CF_SEC_New_27-Feb-2024Rev3.xlsx]D-PND'!</v>
      </c>
      <c r="G2622" s="32" t="s">
        <v>116</v>
      </c>
      <c r="H2622" s="33">
        <f t="shared" si="619"/>
        <v>48</v>
      </c>
      <c r="I2622" s="33" t="str">
        <f t="shared" si="620"/>
        <v>='C:\Users\jaime.benazar\Quorum Business Solutions\Ecopetrol Prometeo - Documents\Planning Space Implementation\3. Analysis &amp; Design\Design\FC22\DRR Jaime\QUIFA-CAJÚA\Cajua\[CAJUA_CF_SEC_New_27-Feb-2024Rev3.xlsx]D-PND'!$EA$48</v>
      </c>
      <c r="J2622" s="37" t="s">
        <v>3220</v>
      </c>
    </row>
    <row r="2623" spans="1:10" x14ac:dyDescent="0.25">
      <c r="A2623" s="32" t="s">
        <v>28</v>
      </c>
      <c r="B2623" s="32"/>
      <c r="C2623" s="33" t="s">
        <v>23</v>
      </c>
      <c r="D2623" s="34"/>
      <c r="E2623" s="35"/>
      <c r="F2623" s="34"/>
      <c r="G2623" s="32"/>
      <c r="H2623" s="33"/>
      <c r="I2623" s="33"/>
      <c r="J2623" s="33"/>
    </row>
    <row r="2624" spans="1:10" x14ac:dyDescent="0.25">
      <c r="A2624" s="32" t="s">
        <v>99</v>
      </c>
      <c r="B2624" s="32">
        <v>2023</v>
      </c>
      <c r="C2624" s="33" t="s">
        <v>23</v>
      </c>
      <c r="D2624" s="34" t="s">
        <v>1999</v>
      </c>
      <c r="E2624" s="35" t="str">
        <f t="shared" ref="E2624:E2644" si="622">_xlfn.CONCAT(A2624,"'!")</f>
        <v>PRBDP'!</v>
      </c>
      <c r="F2624" s="34" t="str">
        <f t="shared" ref="F2624:F2644" si="623">_xlfn.CONCAT(D2624:E2624)</f>
        <v>C:\Users\jaime.benazar\Quorum Business Solutions\Ecopetrol Prometeo - Documents\Planning Space Implementation\3. Analysis &amp; Design\Design\FC22\DRR Jaime\QUIFA-CAJÚA\Cajua\[CAJUA_CF_SEC_New_27-Feb-2024Rev3.xlsx]D-PRBDP'!</v>
      </c>
      <c r="G2624" s="32" t="s">
        <v>116</v>
      </c>
      <c r="H2624" s="33"/>
      <c r="I2624" s="33"/>
      <c r="J2624" s="37"/>
    </row>
    <row r="2625" spans="1:10" x14ac:dyDescent="0.25">
      <c r="A2625" s="32" t="s">
        <v>99</v>
      </c>
      <c r="B2625" s="32">
        <f>+B2624+1</f>
        <v>2024</v>
      </c>
      <c r="C2625" s="33" t="s">
        <v>23</v>
      </c>
      <c r="D2625" s="34" t="s">
        <v>1999</v>
      </c>
      <c r="E2625" s="35" t="str">
        <f t="shared" si="622"/>
        <v>PRBDP'!</v>
      </c>
      <c r="F2625" s="34" t="str">
        <f t="shared" si="623"/>
        <v>C:\Users\jaime.benazar\Quorum Business Solutions\Ecopetrol Prometeo - Documents\Planning Space Implementation\3. Analysis &amp; Design\Design\FC22\DRR Jaime\QUIFA-CAJÚA\Cajua\[CAJUA_CF_SEC_New_27-Feb-2024Rev3.xlsx]D-PRBDP'!</v>
      </c>
      <c r="G2625" s="32" t="s">
        <v>116</v>
      </c>
      <c r="H2625" s="33"/>
      <c r="I2625" s="33"/>
      <c r="J2625" s="37"/>
    </row>
    <row r="2626" spans="1:10" x14ac:dyDescent="0.25">
      <c r="A2626" s="32" t="s">
        <v>99</v>
      </c>
      <c r="B2626" s="32">
        <f t="shared" ref="B2626:B2637" si="624">+B2625+1</f>
        <v>2025</v>
      </c>
      <c r="C2626" s="33" t="s">
        <v>23</v>
      </c>
      <c r="D2626" s="34" t="s">
        <v>1999</v>
      </c>
      <c r="E2626" s="35" t="str">
        <f t="shared" si="622"/>
        <v>PRBDP'!</v>
      </c>
      <c r="F2626" s="34" t="str">
        <f t="shared" si="623"/>
        <v>C:\Users\jaime.benazar\Quorum Business Solutions\Ecopetrol Prometeo - Documents\Planning Space Implementation\3. Analysis &amp; Design\Design\FC22\DRR Jaime\QUIFA-CAJÚA\Cajua\[CAJUA_CF_SEC_New_27-Feb-2024Rev3.xlsx]D-PRBDP'!</v>
      </c>
      <c r="G2626" s="32" t="s">
        <v>116</v>
      </c>
      <c r="H2626" s="33"/>
      <c r="I2626" s="33"/>
      <c r="J2626" s="37"/>
    </row>
    <row r="2627" spans="1:10" x14ac:dyDescent="0.25">
      <c r="A2627" s="32" t="s">
        <v>99</v>
      </c>
      <c r="B2627" s="32">
        <f t="shared" si="624"/>
        <v>2026</v>
      </c>
      <c r="C2627" s="33" t="s">
        <v>23</v>
      </c>
      <c r="D2627" s="34" t="s">
        <v>1999</v>
      </c>
      <c r="E2627" s="35" t="str">
        <f t="shared" si="622"/>
        <v>PRBDP'!</v>
      </c>
      <c r="F2627" s="34" t="str">
        <f t="shared" si="623"/>
        <v>C:\Users\jaime.benazar\Quorum Business Solutions\Ecopetrol Prometeo - Documents\Planning Space Implementation\3. Analysis &amp; Design\Design\FC22\DRR Jaime\QUIFA-CAJÚA\Cajua\[CAJUA_CF_SEC_New_27-Feb-2024Rev3.xlsx]D-PRBDP'!</v>
      </c>
      <c r="G2627" s="32" t="s">
        <v>116</v>
      </c>
      <c r="H2627" s="33"/>
      <c r="I2627" s="33"/>
      <c r="J2627" s="37"/>
    </row>
    <row r="2628" spans="1:10" x14ac:dyDescent="0.25">
      <c r="A2628" s="32" t="s">
        <v>99</v>
      </c>
      <c r="B2628" s="32">
        <f t="shared" si="624"/>
        <v>2027</v>
      </c>
      <c r="C2628" s="33" t="s">
        <v>23</v>
      </c>
      <c r="D2628" s="34" t="s">
        <v>1999</v>
      </c>
      <c r="E2628" s="35" t="str">
        <f t="shared" si="622"/>
        <v>PRBDP'!</v>
      </c>
      <c r="F2628" s="34" t="str">
        <f t="shared" si="623"/>
        <v>C:\Users\jaime.benazar\Quorum Business Solutions\Ecopetrol Prometeo - Documents\Planning Space Implementation\3. Analysis &amp; Design\Design\FC22\DRR Jaime\QUIFA-CAJÚA\Cajua\[CAJUA_CF_SEC_New_27-Feb-2024Rev3.xlsx]D-PRBDP'!</v>
      </c>
      <c r="G2628" s="32" t="s">
        <v>116</v>
      </c>
      <c r="H2628" s="33"/>
      <c r="I2628" s="33"/>
      <c r="J2628" s="37"/>
    </row>
    <row r="2629" spans="1:10" x14ac:dyDescent="0.25">
      <c r="A2629" s="32" t="s">
        <v>99</v>
      </c>
      <c r="B2629" s="32">
        <f t="shared" si="624"/>
        <v>2028</v>
      </c>
      <c r="C2629" s="33" t="s">
        <v>23</v>
      </c>
      <c r="D2629" s="34" t="s">
        <v>1999</v>
      </c>
      <c r="E2629" s="35" t="str">
        <f t="shared" si="622"/>
        <v>PRBDP'!</v>
      </c>
      <c r="F2629" s="34" t="str">
        <f t="shared" si="623"/>
        <v>C:\Users\jaime.benazar\Quorum Business Solutions\Ecopetrol Prometeo - Documents\Planning Space Implementation\3. Analysis &amp; Design\Design\FC22\DRR Jaime\QUIFA-CAJÚA\Cajua\[CAJUA_CF_SEC_New_27-Feb-2024Rev3.xlsx]D-PRBDP'!</v>
      </c>
      <c r="G2629" s="32" t="s">
        <v>116</v>
      </c>
      <c r="H2629" s="33"/>
      <c r="I2629" s="33"/>
      <c r="J2629" s="37"/>
    </row>
    <row r="2630" spans="1:10" x14ac:dyDescent="0.25">
      <c r="A2630" s="32" t="s">
        <v>99</v>
      </c>
      <c r="B2630" s="32">
        <f t="shared" si="624"/>
        <v>2029</v>
      </c>
      <c r="C2630" s="33" t="s">
        <v>23</v>
      </c>
      <c r="D2630" s="34" t="s">
        <v>1999</v>
      </c>
      <c r="E2630" s="35" t="str">
        <f t="shared" si="622"/>
        <v>PRBDP'!</v>
      </c>
      <c r="F2630" s="34" t="str">
        <f t="shared" si="623"/>
        <v>C:\Users\jaime.benazar\Quorum Business Solutions\Ecopetrol Prometeo - Documents\Planning Space Implementation\3. Analysis &amp; Design\Design\FC22\DRR Jaime\QUIFA-CAJÚA\Cajua\[CAJUA_CF_SEC_New_27-Feb-2024Rev3.xlsx]D-PRBDP'!</v>
      </c>
      <c r="G2630" s="32" t="s">
        <v>116</v>
      </c>
      <c r="H2630" s="33"/>
      <c r="I2630" s="33"/>
      <c r="J2630" s="37"/>
    </row>
    <row r="2631" spans="1:10" x14ac:dyDescent="0.25">
      <c r="A2631" s="32" t="s">
        <v>99</v>
      </c>
      <c r="B2631" s="32">
        <f t="shared" si="624"/>
        <v>2030</v>
      </c>
      <c r="C2631" s="33" t="s">
        <v>23</v>
      </c>
      <c r="D2631" s="34" t="s">
        <v>1999</v>
      </c>
      <c r="E2631" s="35" t="str">
        <f t="shared" si="622"/>
        <v>PRBDP'!</v>
      </c>
      <c r="F2631" s="34" t="str">
        <f t="shared" si="623"/>
        <v>C:\Users\jaime.benazar\Quorum Business Solutions\Ecopetrol Prometeo - Documents\Planning Space Implementation\3. Analysis &amp; Design\Design\FC22\DRR Jaime\QUIFA-CAJÚA\Cajua\[CAJUA_CF_SEC_New_27-Feb-2024Rev3.xlsx]D-PRBDP'!</v>
      </c>
      <c r="G2631" s="32" t="s">
        <v>116</v>
      </c>
      <c r="H2631" s="33"/>
      <c r="I2631" s="33"/>
      <c r="J2631" s="37"/>
    </row>
    <row r="2632" spans="1:10" x14ac:dyDescent="0.25">
      <c r="A2632" s="32" t="s">
        <v>99</v>
      </c>
      <c r="B2632" s="32">
        <f t="shared" si="624"/>
        <v>2031</v>
      </c>
      <c r="C2632" s="33" t="s">
        <v>23</v>
      </c>
      <c r="D2632" s="34" t="s">
        <v>1999</v>
      </c>
      <c r="E2632" s="35" t="str">
        <f t="shared" si="622"/>
        <v>PRBDP'!</v>
      </c>
      <c r="F2632" s="34" t="str">
        <f t="shared" si="623"/>
        <v>C:\Users\jaime.benazar\Quorum Business Solutions\Ecopetrol Prometeo - Documents\Planning Space Implementation\3. Analysis &amp; Design\Design\FC22\DRR Jaime\QUIFA-CAJÚA\Cajua\[CAJUA_CF_SEC_New_27-Feb-2024Rev3.xlsx]D-PRBDP'!</v>
      </c>
      <c r="G2632" s="32" t="s">
        <v>116</v>
      </c>
      <c r="H2632" s="33"/>
      <c r="I2632" s="33"/>
      <c r="J2632" s="37"/>
    </row>
    <row r="2633" spans="1:10" x14ac:dyDescent="0.25">
      <c r="A2633" s="32" t="s">
        <v>99</v>
      </c>
      <c r="B2633" s="32">
        <f t="shared" si="624"/>
        <v>2032</v>
      </c>
      <c r="C2633" s="33" t="s">
        <v>23</v>
      </c>
      <c r="D2633" s="34" t="s">
        <v>1999</v>
      </c>
      <c r="E2633" s="35" t="str">
        <f t="shared" si="622"/>
        <v>PRBDP'!</v>
      </c>
      <c r="F2633" s="34" t="str">
        <f t="shared" si="623"/>
        <v>C:\Users\jaime.benazar\Quorum Business Solutions\Ecopetrol Prometeo - Documents\Planning Space Implementation\3. Analysis &amp; Design\Design\FC22\DRR Jaime\QUIFA-CAJÚA\Cajua\[CAJUA_CF_SEC_New_27-Feb-2024Rev3.xlsx]D-PRBDP'!</v>
      </c>
      <c r="G2633" s="32" t="s">
        <v>116</v>
      </c>
      <c r="H2633" s="33"/>
      <c r="I2633" s="33"/>
      <c r="J2633" s="37"/>
    </row>
    <row r="2634" spans="1:10" x14ac:dyDescent="0.25">
      <c r="A2634" s="32" t="s">
        <v>99</v>
      </c>
      <c r="B2634" s="32">
        <f t="shared" si="624"/>
        <v>2033</v>
      </c>
      <c r="C2634" s="33" t="s">
        <v>23</v>
      </c>
      <c r="D2634" s="34" t="s">
        <v>1999</v>
      </c>
      <c r="E2634" s="35" t="str">
        <f t="shared" si="622"/>
        <v>PRBDP'!</v>
      </c>
      <c r="F2634" s="34" t="str">
        <f t="shared" si="623"/>
        <v>C:\Users\jaime.benazar\Quorum Business Solutions\Ecopetrol Prometeo - Documents\Planning Space Implementation\3. Analysis &amp; Design\Design\FC22\DRR Jaime\QUIFA-CAJÚA\Cajua\[CAJUA_CF_SEC_New_27-Feb-2024Rev3.xlsx]D-PRBDP'!</v>
      </c>
      <c r="G2634" s="32" t="s">
        <v>116</v>
      </c>
      <c r="H2634" s="33"/>
      <c r="I2634" s="33"/>
      <c r="J2634" s="37"/>
    </row>
    <row r="2635" spans="1:10" x14ac:dyDescent="0.25">
      <c r="A2635" s="32" t="s">
        <v>99</v>
      </c>
      <c r="B2635" s="32">
        <f t="shared" si="624"/>
        <v>2034</v>
      </c>
      <c r="C2635" s="33" t="s">
        <v>23</v>
      </c>
      <c r="D2635" s="34" t="s">
        <v>1999</v>
      </c>
      <c r="E2635" s="35" t="str">
        <f t="shared" si="622"/>
        <v>PRBDP'!</v>
      </c>
      <c r="F2635" s="34" t="str">
        <f t="shared" si="623"/>
        <v>C:\Users\jaime.benazar\Quorum Business Solutions\Ecopetrol Prometeo - Documents\Planning Space Implementation\3. Analysis &amp; Design\Design\FC22\DRR Jaime\QUIFA-CAJÚA\Cajua\[CAJUA_CF_SEC_New_27-Feb-2024Rev3.xlsx]D-PRBDP'!</v>
      </c>
      <c r="G2635" s="32" t="s">
        <v>116</v>
      </c>
      <c r="H2635" s="33"/>
      <c r="I2635" s="33"/>
      <c r="J2635" s="37"/>
    </row>
    <row r="2636" spans="1:10" x14ac:dyDescent="0.25">
      <c r="A2636" s="32" t="s">
        <v>99</v>
      </c>
      <c r="B2636" s="32">
        <f t="shared" si="624"/>
        <v>2035</v>
      </c>
      <c r="C2636" s="33" t="s">
        <v>23</v>
      </c>
      <c r="D2636" s="34" t="s">
        <v>1999</v>
      </c>
      <c r="E2636" s="35" t="str">
        <f t="shared" si="622"/>
        <v>PRBDP'!</v>
      </c>
      <c r="F2636" s="34" t="str">
        <f t="shared" si="623"/>
        <v>C:\Users\jaime.benazar\Quorum Business Solutions\Ecopetrol Prometeo - Documents\Planning Space Implementation\3. Analysis &amp; Design\Design\FC22\DRR Jaime\QUIFA-CAJÚA\Cajua\[CAJUA_CF_SEC_New_27-Feb-2024Rev3.xlsx]D-PRBDP'!</v>
      </c>
      <c r="G2636" s="32" t="s">
        <v>116</v>
      </c>
      <c r="H2636" s="33"/>
      <c r="I2636" s="33"/>
      <c r="J2636" s="37"/>
    </row>
    <row r="2637" spans="1:10" x14ac:dyDescent="0.25">
      <c r="A2637" s="32" t="s">
        <v>99</v>
      </c>
      <c r="B2637" s="32">
        <f t="shared" si="624"/>
        <v>2036</v>
      </c>
      <c r="C2637" s="33" t="s">
        <v>23</v>
      </c>
      <c r="D2637" s="34" t="s">
        <v>1999</v>
      </c>
      <c r="E2637" s="35" t="str">
        <f t="shared" si="622"/>
        <v>PRBDP'!</v>
      </c>
      <c r="F2637" s="34" t="str">
        <f t="shared" si="623"/>
        <v>C:\Users\jaime.benazar\Quorum Business Solutions\Ecopetrol Prometeo - Documents\Planning Space Implementation\3. Analysis &amp; Design\Design\FC22\DRR Jaime\QUIFA-CAJÚA\Cajua\[CAJUA_CF_SEC_New_27-Feb-2024Rev3.xlsx]D-PRBDP'!</v>
      </c>
      <c r="G2637" s="32" t="s">
        <v>116</v>
      </c>
      <c r="H2637" s="33"/>
      <c r="I2637" s="33"/>
      <c r="J2637" s="37"/>
    </row>
    <row r="2638" spans="1:10" x14ac:dyDescent="0.25">
      <c r="A2638" s="32" t="s">
        <v>99</v>
      </c>
      <c r="B2638" s="32">
        <f>+B2637+1</f>
        <v>2037</v>
      </c>
      <c r="C2638" s="33" t="s">
        <v>23</v>
      </c>
      <c r="D2638" s="34" t="s">
        <v>1999</v>
      </c>
      <c r="E2638" s="35" t="str">
        <f t="shared" si="622"/>
        <v>PRBDP'!</v>
      </c>
      <c r="F2638" s="34" t="str">
        <f t="shared" si="623"/>
        <v>C:\Users\jaime.benazar\Quorum Business Solutions\Ecopetrol Prometeo - Documents\Planning Space Implementation\3. Analysis &amp; Design\Design\FC22\DRR Jaime\QUIFA-CAJÚA\Cajua\[CAJUA_CF_SEC_New_27-Feb-2024Rev3.xlsx]D-PRBDP'!</v>
      </c>
      <c r="G2638" s="32" t="s">
        <v>116</v>
      </c>
      <c r="H2638" s="33"/>
      <c r="I2638" s="33"/>
      <c r="J2638" s="37"/>
    </row>
    <row r="2639" spans="1:10" x14ac:dyDescent="0.25">
      <c r="A2639" s="32" t="s">
        <v>99</v>
      </c>
      <c r="B2639" s="32">
        <f t="shared" ref="B2639:B2641" si="625">+B2638+1</f>
        <v>2038</v>
      </c>
      <c r="C2639" s="33" t="s">
        <v>23</v>
      </c>
      <c r="D2639" s="34" t="s">
        <v>1999</v>
      </c>
      <c r="E2639" s="35" t="str">
        <f t="shared" si="622"/>
        <v>PRBDP'!</v>
      </c>
      <c r="F2639" s="34" t="str">
        <f t="shared" si="623"/>
        <v>C:\Users\jaime.benazar\Quorum Business Solutions\Ecopetrol Prometeo - Documents\Planning Space Implementation\3. Analysis &amp; Design\Design\FC22\DRR Jaime\QUIFA-CAJÚA\Cajua\[CAJUA_CF_SEC_New_27-Feb-2024Rev3.xlsx]D-PRBDP'!</v>
      </c>
      <c r="G2639" s="32" t="s">
        <v>116</v>
      </c>
      <c r="H2639" s="33"/>
      <c r="I2639" s="33"/>
      <c r="J2639" s="37"/>
    </row>
    <row r="2640" spans="1:10" x14ac:dyDescent="0.25">
      <c r="A2640" s="32" t="s">
        <v>99</v>
      </c>
      <c r="B2640" s="32">
        <f t="shared" si="625"/>
        <v>2039</v>
      </c>
      <c r="C2640" s="33" t="s">
        <v>23</v>
      </c>
      <c r="D2640" s="34" t="s">
        <v>1999</v>
      </c>
      <c r="E2640" s="35" t="str">
        <f t="shared" si="622"/>
        <v>PRBDP'!</v>
      </c>
      <c r="F2640" s="34" t="str">
        <f t="shared" si="623"/>
        <v>C:\Users\jaime.benazar\Quorum Business Solutions\Ecopetrol Prometeo - Documents\Planning Space Implementation\3. Analysis &amp; Design\Design\FC22\DRR Jaime\QUIFA-CAJÚA\Cajua\[CAJUA_CF_SEC_New_27-Feb-2024Rev3.xlsx]D-PRBDP'!</v>
      </c>
      <c r="G2640" s="32" t="s">
        <v>116</v>
      </c>
      <c r="H2640" s="33"/>
      <c r="I2640" s="33"/>
      <c r="J2640" s="37"/>
    </row>
    <row r="2641" spans="1:10" x14ac:dyDescent="0.25">
      <c r="A2641" s="32" t="s">
        <v>99</v>
      </c>
      <c r="B2641" s="32">
        <f t="shared" si="625"/>
        <v>2040</v>
      </c>
      <c r="C2641" s="33" t="s">
        <v>23</v>
      </c>
      <c r="D2641" s="34" t="s">
        <v>1999</v>
      </c>
      <c r="E2641" s="35" t="str">
        <f t="shared" si="622"/>
        <v>PRBDP'!</v>
      </c>
      <c r="F2641" s="34" t="str">
        <f t="shared" si="623"/>
        <v>C:\Users\jaime.benazar\Quorum Business Solutions\Ecopetrol Prometeo - Documents\Planning Space Implementation\3. Analysis &amp; Design\Design\FC22\DRR Jaime\QUIFA-CAJÚA\Cajua\[CAJUA_CF_SEC_New_27-Feb-2024Rev3.xlsx]D-PRBDP'!</v>
      </c>
      <c r="G2641" s="32" t="s">
        <v>116</v>
      </c>
      <c r="H2641" s="33"/>
      <c r="I2641" s="33"/>
      <c r="J2641" s="37"/>
    </row>
    <row r="2642" spans="1:10" x14ac:dyDescent="0.25">
      <c r="A2642" s="32" t="s">
        <v>99</v>
      </c>
      <c r="B2642" s="32">
        <f>+B2641+1</f>
        <v>2041</v>
      </c>
      <c r="C2642" s="33" t="s">
        <v>23</v>
      </c>
      <c r="D2642" s="34" t="s">
        <v>1999</v>
      </c>
      <c r="E2642" s="35" t="str">
        <f t="shared" si="622"/>
        <v>PRBDP'!</v>
      </c>
      <c r="F2642" s="34" t="str">
        <f t="shared" si="623"/>
        <v>C:\Users\jaime.benazar\Quorum Business Solutions\Ecopetrol Prometeo - Documents\Planning Space Implementation\3. Analysis &amp; Design\Design\FC22\DRR Jaime\QUIFA-CAJÚA\Cajua\[CAJUA_CF_SEC_New_27-Feb-2024Rev3.xlsx]D-PRBDP'!</v>
      </c>
      <c r="G2642" s="32" t="s">
        <v>116</v>
      </c>
      <c r="H2642" s="33"/>
      <c r="I2642" s="33"/>
      <c r="J2642" s="37"/>
    </row>
    <row r="2643" spans="1:10" x14ac:dyDescent="0.25">
      <c r="A2643" s="32" t="s">
        <v>99</v>
      </c>
      <c r="B2643" s="32">
        <f t="shared" ref="B2643:B2644" si="626">+B2642+1</f>
        <v>2042</v>
      </c>
      <c r="C2643" s="33" t="s">
        <v>23</v>
      </c>
      <c r="D2643" s="34" t="s">
        <v>1999</v>
      </c>
      <c r="E2643" s="35" t="str">
        <f t="shared" si="622"/>
        <v>PRBDP'!</v>
      </c>
      <c r="F2643" s="34" t="str">
        <f t="shared" si="623"/>
        <v>C:\Users\jaime.benazar\Quorum Business Solutions\Ecopetrol Prometeo - Documents\Planning Space Implementation\3. Analysis &amp; Design\Design\FC22\DRR Jaime\QUIFA-CAJÚA\Cajua\[CAJUA_CF_SEC_New_27-Feb-2024Rev3.xlsx]D-PRBDP'!</v>
      </c>
      <c r="G2643" s="32" t="s">
        <v>116</v>
      </c>
      <c r="H2643" s="33"/>
      <c r="I2643" s="33"/>
      <c r="J2643" s="37"/>
    </row>
    <row r="2644" spans="1:10" x14ac:dyDescent="0.25">
      <c r="A2644" s="32" t="s">
        <v>99</v>
      </c>
      <c r="B2644" s="32">
        <f t="shared" si="626"/>
        <v>2043</v>
      </c>
      <c r="C2644" s="33" t="s">
        <v>23</v>
      </c>
      <c r="D2644" s="34" t="s">
        <v>1999</v>
      </c>
      <c r="E2644" s="35" t="str">
        <f t="shared" si="622"/>
        <v>PRBDP'!</v>
      </c>
      <c r="F2644" s="34" t="str">
        <f t="shared" si="623"/>
        <v>C:\Users\jaime.benazar\Quorum Business Solutions\Ecopetrol Prometeo - Documents\Planning Space Implementation\3. Analysis &amp; Design\Design\FC22\DRR Jaime\QUIFA-CAJÚA\Cajua\[CAJUA_CF_SEC_New_27-Feb-2024Rev3.xlsx]D-PRBDP'!</v>
      </c>
      <c r="G2644" s="32" t="s">
        <v>116</v>
      </c>
      <c r="H2644" s="33"/>
      <c r="I2644" s="33"/>
      <c r="J2644" s="37"/>
    </row>
    <row r="2645" spans="1:10" x14ac:dyDescent="0.25">
      <c r="A2645" s="32" t="s">
        <v>99</v>
      </c>
      <c r="B2645" s="32">
        <f>+B2644+1</f>
        <v>2044</v>
      </c>
      <c r="C2645" s="33" t="s">
        <v>23</v>
      </c>
      <c r="D2645" s="34" t="s">
        <v>1999</v>
      </c>
      <c r="E2645" s="35" t="str">
        <f t="shared" ref="E2645:E2660" si="627">_xlfn.CONCAT(A2645,"'!")</f>
        <v>PRBDP'!</v>
      </c>
      <c r="F2645" s="34" t="str">
        <f t="shared" ref="F2645:F2660" si="628">_xlfn.CONCAT(D2645:E2645)</f>
        <v>C:\Users\jaime.benazar\Quorum Business Solutions\Ecopetrol Prometeo - Documents\Planning Space Implementation\3. Analysis &amp; Design\Design\FC22\DRR Jaime\QUIFA-CAJÚA\Cajua\[CAJUA_CF_SEC_New_27-Feb-2024Rev3.xlsx]D-PRBDP'!</v>
      </c>
      <c r="G2645" s="32" t="s">
        <v>116</v>
      </c>
      <c r="H2645" s="33"/>
      <c r="I2645" s="33"/>
      <c r="J2645" s="37"/>
    </row>
    <row r="2646" spans="1:10" x14ac:dyDescent="0.25">
      <c r="A2646" s="32" t="s">
        <v>99</v>
      </c>
      <c r="B2646" s="32">
        <f t="shared" ref="B2646:B2660" si="629">+B2645+1</f>
        <v>2045</v>
      </c>
      <c r="C2646" s="33" t="s">
        <v>23</v>
      </c>
      <c r="D2646" s="34" t="s">
        <v>1999</v>
      </c>
      <c r="E2646" s="35" t="str">
        <f t="shared" si="627"/>
        <v>PRBDP'!</v>
      </c>
      <c r="F2646" s="34" t="str">
        <f t="shared" si="628"/>
        <v>C:\Users\jaime.benazar\Quorum Business Solutions\Ecopetrol Prometeo - Documents\Planning Space Implementation\3. Analysis &amp; Design\Design\FC22\DRR Jaime\QUIFA-CAJÚA\Cajua\[CAJUA_CF_SEC_New_27-Feb-2024Rev3.xlsx]D-PRBDP'!</v>
      </c>
      <c r="G2646" s="32" t="s">
        <v>116</v>
      </c>
      <c r="H2646" s="33"/>
      <c r="I2646" s="33"/>
      <c r="J2646" s="37"/>
    </row>
    <row r="2647" spans="1:10" x14ac:dyDescent="0.25">
      <c r="A2647" s="32" t="s">
        <v>99</v>
      </c>
      <c r="B2647" s="32">
        <f t="shared" si="629"/>
        <v>2046</v>
      </c>
      <c r="C2647" s="33" t="s">
        <v>23</v>
      </c>
      <c r="D2647" s="34" t="s">
        <v>1999</v>
      </c>
      <c r="E2647" s="35" t="str">
        <f t="shared" si="627"/>
        <v>PRBDP'!</v>
      </c>
      <c r="F2647" s="34" t="str">
        <f t="shared" si="628"/>
        <v>C:\Users\jaime.benazar\Quorum Business Solutions\Ecopetrol Prometeo - Documents\Planning Space Implementation\3. Analysis &amp; Design\Design\FC22\DRR Jaime\QUIFA-CAJÚA\Cajua\[CAJUA_CF_SEC_New_27-Feb-2024Rev3.xlsx]D-PRBDP'!</v>
      </c>
      <c r="G2647" s="32" t="s">
        <v>116</v>
      </c>
      <c r="H2647" s="33"/>
      <c r="I2647" s="33"/>
      <c r="J2647" s="37"/>
    </row>
    <row r="2648" spans="1:10" x14ac:dyDescent="0.25">
      <c r="A2648" s="32" t="s">
        <v>99</v>
      </c>
      <c r="B2648" s="32">
        <f t="shared" si="629"/>
        <v>2047</v>
      </c>
      <c r="C2648" s="33" t="s">
        <v>23</v>
      </c>
      <c r="D2648" s="34" t="s">
        <v>1999</v>
      </c>
      <c r="E2648" s="35" t="str">
        <f t="shared" si="627"/>
        <v>PRBDP'!</v>
      </c>
      <c r="F2648" s="34" t="str">
        <f t="shared" si="628"/>
        <v>C:\Users\jaime.benazar\Quorum Business Solutions\Ecopetrol Prometeo - Documents\Planning Space Implementation\3. Analysis &amp; Design\Design\FC22\DRR Jaime\QUIFA-CAJÚA\Cajua\[CAJUA_CF_SEC_New_27-Feb-2024Rev3.xlsx]D-PRBDP'!</v>
      </c>
      <c r="G2648" s="32" t="s">
        <v>116</v>
      </c>
      <c r="H2648" s="33"/>
      <c r="I2648" s="33"/>
      <c r="J2648" s="37"/>
    </row>
    <row r="2649" spans="1:10" x14ac:dyDescent="0.25">
      <c r="A2649" s="32" t="s">
        <v>99</v>
      </c>
      <c r="B2649" s="32">
        <f t="shared" si="629"/>
        <v>2048</v>
      </c>
      <c r="C2649" s="33" t="s">
        <v>23</v>
      </c>
      <c r="D2649" s="34" t="s">
        <v>1999</v>
      </c>
      <c r="E2649" s="35" t="str">
        <f t="shared" si="627"/>
        <v>PRBDP'!</v>
      </c>
      <c r="F2649" s="34" t="str">
        <f t="shared" si="628"/>
        <v>C:\Users\jaime.benazar\Quorum Business Solutions\Ecopetrol Prometeo - Documents\Planning Space Implementation\3. Analysis &amp; Design\Design\FC22\DRR Jaime\QUIFA-CAJÚA\Cajua\[CAJUA_CF_SEC_New_27-Feb-2024Rev3.xlsx]D-PRBDP'!</v>
      </c>
      <c r="G2649" s="32" t="s">
        <v>116</v>
      </c>
      <c r="H2649" s="33"/>
      <c r="I2649" s="33"/>
      <c r="J2649" s="37"/>
    </row>
    <row r="2650" spans="1:10" x14ac:dyDescent="0.25">
      <c r="A2650" s="32" t="s">
        <v>99</v>
      </c>
      <c r="B2650" s="32">
        <f t="shared" si="629"/>
        <v>2049</v>
      </c>
      <c r="C2650" s="33" t="s">
        <v>23</v>
      </c>
      <c r="D2650" s="34" t="s">
        <v>1999</v>
      </c>
      <c r="E2650" s="35" t="str">
        <f t="shared" si="627"/>
        <v>PRBDP'!</v>
      </c>
      <c r="F2650" s="34" t="str">
        <f t="shared" si="628"/>
        <v>C:\Users\jaime.benazar\Quorum Business Solutions\Ecopetrol Prometeo - Documents\Planning Space Implementation\3. Analysis &amp; Design\Design\FC22\DRR Jaime\QUIFA-CAJÚA\Cajua\[CAJUA_CF_SEC_New_27-Feb-2024Rev3.xlsx]D-PRBDP'!</v>
      </c>
      <c r="G2650" s="32" t="s">
        <v>116</v>
      </c>
      <c r="H2650" s="33"/>
      <c r="I2650" s="33"/>
      <c r="J2650" s="37"/>
    </row>
    <row r="2651" spans="1:10" x14ac:dyDescent="0.25">
      <c r="A2651" s="32" t="s">
        <v>99</v>
      </c>
      <c r="B2651" s="32">
        <f t="shared" si="629"/>
        <v>2050</v>
      </c>
      <c r="C2651" s="33" t="s">
        <v>23</v>
      </c>
      <c r="D2651" s="34" t="s">
        <v>1999</v>
      </c>
      <c r="E2651" s="35" t="str">
        <f t="shared" si="627"/>
        <v>PRBDP'!</v>
      </c>
      <c r="F2651" s="34" t="str">
        <f t="shared" si="628"/>
        <v>C:\Users\jaime.benazar\Quorum Business Solutions\Ecopetrol Prometeo - Documents\Planning Space Implementation\3. Analysis &amp; Design\Design\FC22\DRR Jaime\QUIFA-CAJÚA\Cajua\[CAJUA_CF_SEC_New_27-Feb-2024Rev3.xlsx]D-PRBDP'!</v>
      </c>
      <c r="G2651" s="32" t="s">
        <v>116</v>
      </c>
      <c r="H2651" s="33"/>
      <c r="I2651" s="33"/>
      <c r="J2651" s="37"/>
    </row>
    <row r="2652" spans="1:10" x14ac:dyDescent="0.25">
      <c r="A2652" s="32" t="s">
        <v>99</v>
      </c>
      <c r="B2652" s="32">
        <f t="shared" si="629"/>
        <v>2051</v>
      </c>
      <c r="C2652" s="33" t="s">
        <v>23</v>
      </c>
      <c r="D2652" s="34" t="s">
        <v>1999</v>
      </c>
      <c r="E2652" s="35" t="str">
        <f t="shared" si="627"/>
        <v>PRBDP'!</v>
      </c>
      <c r="F2652" s="34" t="str">
        <f t="shared" si="628"/>
        <v>C:\Users\jaime.benazar\Quorum Business Solutions\Ecopetrol Prometeo - Documents\Planning Space Implementation\3. Analysis &amp; Design\Design\FC22\DRR Jaime\QUIFA-CAJÚA\Cajua\[CAJUA_CF_SEC_New_27-Feb-2024Rev3.xlsx]D-PRBDP'!</v>
      </c>
      <c r="G2652" s="32" t="s">
        <v>116</v>
      </c>
      <c r="H2652" s="33"/>
      <c r="I2652" s="33"/>
      <c r="J2652" s="37"/>
    </row>
    <row r="2653" spans="1:10" x14ac:dyDescent="0.25">
      <c r="A2653" s="32" t="s">
        <v>99</v>
      </c>
      <c r="B2653" s="32">
        <f t="shared" si="629"/>
        <v>2052</v>
      </c>
      <c r="C2653" s="33" t="s">
        <v>23</v>
      </c>
      <c r="D2653" s="34" t="s">
        <v>1999</v>
      </c>
      <c r="E2653" s="35" t="str">
        <f t="shared" si="627"/>
        <v>PRBDP'!</v>
      </c>
      <c r="F2653" s="34" t="str">
        <f t="shared" si="628"/>
        <v>C:\Users\jaime.benazar\Quorum Business Solutions\Ecopetrol Prometeo - Documents\Planning Space Implementation\3. Analysis &amp; Design\Design\FC22\DRR Jaime\QUIFA-CAJÚA\Cajua\[CAJUA_CF_SEC_New_27-Feb-2024Rev3.xlsx]D-PRBDP'!</v>
      </c>
      <c r="G2653" s="32" t="s">
        <v>116</v>
      </c>
      <c r="H2653" s="33"/>
      <c r="I2653" s="33"/>
      <c r="J2653" s="37"/>
    </row>
    <row r="2654" spans="1:10" x14ac:dyDescent="0.25">
      <c r="A2654" s="32" t="s">
        <v>99</v>
      </c>
      <c r="B2654" s="32">
        <f t="shared" si="629"/>
        <v>2053</v>
      </c>
      <c r="C2654" s="33" t="s">
        <v>23</v>
      </c>
      <c r="D2654" s="34" t="s">
        <v>1999</v>
      </c>
      <c r="E2654" s="35" t="str">
        <f t="shared" si="627"/>
        <v>PRBDP'!</v>
      </c>
      <c r="F2654" s="34" t="str">
        <f t="shared" si="628"/>
        <v>C:\Users\jaime.benazar\Quorum Business Solutions\Ecopetrol Prometeo - Documents\Planning Space Implementation\3. Analysis &amp; Design\Design\FC22\DRR Jaime\QUIFA-CAJÚA\Cajua\[CAJUA_CF_SEC_New_27-Feb-2024Rev3.xlsx]D-PRBDP'!</v>
      </c>
      <c r="G2654" s="32" t="s">
        <v>116</v>
      </c>
      <c r="H2654" s="33"/>
      <c r="I2654" s="33"/>
      <c r="J2654" s="37"/>
    </row>
    <row r="2655" spans="1:10" x14ac:dyDescent="0.25">
      <c r="A2655" s="32" t="s">
        <v>99</v>
      </c>
      <c r="B2655" s="32">
        <f t="shared" si="629"/>
        <v>2054</v>
      </c>
      <c r="C2655" s="33" t="s">
        <v>23</v>
      </c>
      <c r="D2655" s="34" t="s">
        <v>1999</v>
      </c>
      <c r="E2655" s="35" t="str">
        <f t="shared" si="627"/>
        <v>PRBDP'!</v>
      </c>
      <c r="F2655" s="34" t="str">
        <f t="shared" si="628"/>
        <v>C:\Users\jaime.benazar\Quorum Business Solutions\Ecopetrol Prometeo - Documents\Planning Space Implementation\3. Analysis &amp; Design\Design\FC22\DRR Jaime\QUIFA-CAJÚA\Cajua\[CAJUA_CF_SEC_New_27-Feb-2024Rev3.xlsx]D-PRBDP'!</v>
      </c>
      <c r="G2655" s="32" t="s">
        <v>116</v>
      </c>
      <c r="H2655" s="33"/>
      <c r="I2655" s="33"/>
      <c r="J2655" s="37"/>
    </row>
    <row r="2656" spans="1:10" x14ac:dyDescent="0.25">
      <c r="A2656" s="32" t="s">
        <v>99</v>
      </c>
      <c r="B2656" s="32">
        <f t="shared" si="629"/>
        <v>2055</v>
      </c>
      <c r="C2656" s="33" t="s">
        <v>23</v>
      </c>
      <c r="D2656" s="34" t="s">
        <v>1999</v>
      </c>
      <c r="E2656" s="35" t="str">
        <f t="shared" si="627"/>
        <v>PRBDP'!</v>
      </c>
      <c r="F2656" s="34" t="str">
        <f t="shared" si="628"/>
        <v>C:\Users\jaime.benazar\Quorum Business Solutions\Ecopetrol Prometeo - Documents\Planning Space Implementation\3. Analysis &amp; Design\Design\FC22\DRR Jaime\QUIFA-CAJÚA\Cajua\[CAJUA_CF_SEC_New_27-Feb-2024Rev3.xlsx]D-PRBDP'!</v>
      </c>
      <c r="G2656" s="32" t="s">
        <v>116</v>
      </c>
      <c r="H2656" s="33"/>
      <c r="I2656" s="33"/>
      <c r="J2656" s="37"/>
    </row>
    <row r="2657" spans="1:10" x14ac:dyDescent="0.25">
      <c r="A2657" s="32" t="s">
        <v>99</v>
      </c>
      <c r="B2657" s="32">
        <f t="shared" si="629"/>
        <v>2056</v>
      </c>
      <c r="C2657" s="33" t="s">
        <v>23</v>
      </c>
      <c r="D2657" s="34" t="s">
        <v>1999</v>
      </c>
      <c r="E2657" s="35" t="str">
        <f t="shared" si="627"/>
        <v>PRBDP'!</v>
      </c>
      <c r="F2657" s="34" t="str">
        <f t="shared" si="628"/>
        <v>C:\Users\jaime.benazar\Quorum Business Solutions\Ecopetrol Prometeo - Documents\Planning Space Implementation\3. Analysis &amp; Design\Design\FC22\DRR Jaime\QUIFA-CAJÚA\Cajua\[CAJUA_CF_SEC_New_27-Feb-2024Rev3.xlsx]D-PRBDP'!</v>
      </c>
      <c r="G2657" s="32" t="s">
        <v>116</v>
      </c>
      <c r="H2657" s="33"/>
      <c r="I2657" s="33"/>
      <c r="J2657" s="37"/>
    </row>
    <row r="2658" spans="1:10" x14ac:dyDescent="0.25">
      <c r="A2658" s="32" t="s">
        <v>99</v>
      </c>
      <c r="B2658" s="32">
        <f t="shared" si="629"/>
        <v>2057</v>
      </c>
      <c r="C2658" s="33" t="s">
        <v>23</v>
      </c>
      <c r="D2658" s="34" t="s">
        <v>1999</v>
      </c>
      <c r="E2658" s="35" t="str">
        <f t="shared" si="627"/>
        <v>PRBDP'!</v>
      </c>
      <c r="F2658" s="34" t="str">
        <f t="shared" si="628"/>
        <v>C:\Users\jaime.benazar\Quorum Business Solutions\Ecopetrol Prometeo - Documents\Planning Space Implementation\3. Analysis &amp; Design\Design\FC22\DRR Jaime\QUIFA-CAJÚA\Cajua\[CAJUA_CF_SEC_New_27-Feb-2024Rev3.xlsx]D-PRBDP'!</v>
      </c>
      <c r="G2658" s="32" t="s">
        <v>116</v>
      </c>
      <c r="H2658" s="33"/>
      <c r="I2658" s="33"/>
      <c r="J2658" s="37"/>
    </row>
    <row r="2659" spans="1:10" x14ac:dyDescent="0.25">
      <c r="A2659" s="32" t="s">
        <v>99</v>
      </c>
      <c r="B2659" s="32">
        <f t="shared" si="629"/>
        <v>2058</v>
      </c>
      <c r="C2659" s="33" t="s">
        <v>23</v>
      </c>
      <c r="D2659" s="34" t="s">
        <v>1999</v>
      </c>
      <c r="E2659" s="35" t="str">
        <f t="shared" si="627"/>
        <v>PRBDP'!</v>
      </c>
      <c r="F2659" s="34" t="str">
        <f t="shared" si="628"/>
        <v>C:\Users\jaime.benazar\Quorum Business Solutions\Ecopetrol Prometeo - Documents\Planning Space Implementation\3. Analysis &amp; Design\Design\FC22\DRR Jaime\QUIFA-CAJÚA\Cajua\[CAJUA_CF_SEC_New_27-Feb-2024Rev3.xlsx]D-PRBDP'!</v>
      </c>
      <c r="G2659" s="32" t="s">
        <v>116</v>
      </c>
      <c r="H2659" s="33"/>
      <c r="I2659" s="33"/>
      <c r="J2659" s="37"/>
    </row>
    <row r="2660" spans="1:10" x14ac:dyDescent="0.25">
      <c r="A2660" s="32" t="s">
        <v>99</v>
      </c>
      <c r="B2660" s="32">
        <f t="shared" si="629"/>
        <v>2059</v>
      </c>
      <c r="C2660" s="33" t="s">
        <v>23</v>
      </c>
      <c r="D2660" s="34" t="s">
        <v>1999</v>
      </c>
      <c r="E2660" s="35" t="str">
        <f t="shared" si="627"/>
        <v>PRBDP'!</v>
      </c>
      <c r="F2660" s="34" t="str">
        <f t="shared" si="628"/>
        <v>C:\Users\jaime.benazar\Quorum Business Solutions\Ecopetrol Prometeo - Documents\Planning Space Implementation\3. Analysis &amp; Design\Design\FC22\DRR Jaime\QUIFA-CAJÚA\Cajua\[CAJUA_CF_SEC_New_27-Feb-2024Rev3.xlsx]D-PRBDP'!</v>
      </c>
      <c r="G2660" s="32" t="s">
        <v>116</v>
      </c>
      <c r="H2660" s="33"/>
      <c r="I2660" s="33"/>
      <c r="J2660" s="37"/>
    </row>
    <row r="2661" spans="1:10" x14ac:dyDescent="0.25">
      <c r="A2661" s="32" t="s">
        <v>28</v>
      </c>
      <c r="B2661" s="32"/>
      <c r="C2661" s="33" t="s">
        <v>23</v>
      </c>
      <c r="D2661" s="34"/>
      <c r="E2661" s="35"/>
      <c r="F2661" s="34"/>
      <c r="G2661" s="32"/>
      <c r="H2661" s="33"/>
      <c r="I2661" s="33"/>
      <c r="J2661" s="33"/>
    </row>
    <row r="2662" spans="1:10" x14ac:dyDescent="0.25">
      <c r="A2662" s="32" t="s">
        <v>100</v>
      </c>
      <c r="B2662" s="32">
        <v>2023</v>
      </c>
      <c r="C2662" s="33" t="s">
        <v>23</v>
      </c>
      <c r="D2662" s="34" t="s">
        <v>1999</v>
      </c>
      <c r="E2662" s="35" t="str">
        <f t="shared" ref="E2662:E2682" si="630">_xlfn.CONCAT(A2662,"'!")</f>
        <v>PRBNP'!</v>
      </c>
      <c r="F2662" s="34" t="str">
        <f t="shared" ref="F2662:F2682" si="631">_xlfn.CONCAT(D2662:E2662)</f>
        <v>C:\Users\jaime.benazar\Quorum Business Solutions\Ecopetrol Prometeo - Documents\Planning Space Implementation\3. Analysis &amp; Design\Design\FC22\DRR Jaime\QUIFA-CAJÚA\Cajua\[CAJUA_CF_SEC_New_27-Feb-2024Rev3.xlsx]D-PRBNP'!</v>
      </c>
      <c r="G2662" s="32" t="s">
        <v>116</v>
      </c>
      <c r="H2662" s="33"/>
      <c r="I2662" s="33"/>
      <c r="J2662" s="37"/>
    </row>
    <row r="2663" spans="1:10" x14ac:dyDescent="0.25">
      <c r="A2663" s="32" t="s">
        <v>100</v>
      </c>
      <c r="B2663" s="32">
        <f>+B2662+1</f>
        <v>2024</v>
      </c>
      <c r="C2663" s="33" t="s">
        <v>23</v>
      </c>
      <c r="D2663" s="34" t="s">
        <v>1999</v>
      </c>
      <c r="E2663" s="35" t="str">
        <f t="shared" si="630"/>
        <v>PRBNP'!</v>
      </c>
      <c r="F2663" s="34" t="str">
        <f t="shared" si="631"/>
        <v>C:\Users\jaime.benazar\Quorum Business Solutions\Ecopetrol Prometeo - Documents\Planning Space Implementation\3. Analysis &amp; Design\Design\FC22\DRR Jaime\QUIFA-CAJÚA\Cajua\[CAJUA_CF_SEC_New_27-Feb-2024Rev3.xlsx]D-PRBNP'!</v>
      </c>
      <c r="G2663" s="32" t="s">
        <v>116</v>
      </c>
      <c r="H2663" s="33"/>
      <c r="I2663" s="33"/>
      <c r="J2663" s="37"/>
    </row>
    <row r="2664" spans="1:10" x14ac:dyDescent="0.25">
      <c r="A2664" s="32" t="s">
        <v>100</v>
      </c>
      <c r="B2664" s="32">
        <f t="shared" ref="B2664:B2675" si="632">+B2663+1</f>
        <v>2025</v>
      </c>
      <c r="C2664" s="33" t="s">
        <v>23</v>
      </c>
      <c r="D2664" s="34" t="s">
        <v>1999</v>
      </c>
      <c r="E2664" s="35" t="str">
        <f t="shared" si="630"/>
        <v>PRBNP'!</v>
      </c>
      <c r="F2664" s="34" t="str">
        <f t="shared" si="631"/>
        <v>C:\Users\jaime.benazar\Quorum Business Solutions\Ecopetrol Prometeo - Documents\Planning Space Implementation\3. Analysis &amp; Design\Design\FC22\DRR Jaime\QUIFA-CAJÚA\Cajua\[CAJUA_CF_SEC_New_27-Feb-2024Rev3.xlsx]D-PRBNP'!</v>
      </c>
      <c r="G2664" s="32" t="s">
        <v>116</v>
      </c>
      <c r="H2664" s="33"/>
      <c r="I2664" s="33"/>
      <c r="J2664" s="37"/>
    </row>
    <row r="2665" spans="1:10" x14ac:dyDescent="0.25">
      <c r="A2665" s="32" t="s">
        <v>100</v>
      </c>
      <c r="B2665" s="32">
        <f t="shared" si="632"/>
        <v>2026</v>
      </c>
      <c r="C2665" s="33" t="s">
        <v>23</v>
      </c>
      <c r="D2665" s="34" t="s">
        <v>1999</v>
      </c>
      <c r="E2665" s="35" t="str">
        <f t="shared" si="630"/>
        <v>PRBNP'!</v>
      </c>
      <c r="F2665" s="34" t="str">
        <f t="shared" si="631"/>
        <v>C:\Users\jaime.benazar\Quorum Business Solutions\Ecopetrol Prometeo - Documents\Planning Space Implementation\3. Analysis &amp; Design\Design\FC22\DRR Jaime\QUIFA-CAJÚA\Cajua\[CAJUA_CF_SEC_New_27-Feb-2024Rev3.xlsx]D-PRBNP'!</v>
      </c>
      <c r="G2665" s="32" t="s">
        <v>116</v>
      </c>
      <c r="H2665" s="33"/>
      <c r="I2665" s="33"/>
      <c r="J2665" s="37"/>
    </row>
    <row r="2666" spans="1:10" x14ac:dyDescent="0.25">
      <c r="A2666" s="32" t="s">
        <v>100</v>
      </c>
      <c r="B2666" s="32">
        <f t="shared" si="632"/>
        <v>2027</v>
      </c>
      <c r="C2666" s="33" t="s">
        <v>23</v>
      </c>
      <c r="D2666" s="34" t="s">
        <v>1999</v>
      </c>
      <c r="E2666" s="35" t="str">
        <f t="shared" si="630"/>
        <v>PRBNP'!</v>
      </c>
      <c r="F2666" s="34" t="str">
        <f t="shared" si="631"/>
        <v>C:\Users\jaime.benazar\Quorum Business Solutions\Ecopetrol Prometeo - Documents\Planning Space Implementation\3. Analysis &amp; Design\Design\FC22\DRR Jaime\QUIFA-CAJÚA\Cajua\[CAJUA_CF_SEC_New_27-Feb-2024Rev3.xlsx]D-PRBNP'!</v>
      </c>
      <c r="G2666" s="32" t="s">
        <v>116</v>
      </c>
      <c r="H2666" s="33"/>
      <c r="I2666" s="33"/>
      <c r="J2666" s="37"/>
    </row>
    <row r="2667" spans="1:10" x14ac:dyDescent="0.25">
      <c r="A2667" s="32" t="s">
        <v>100</v>
      </c>
      <c r="B2667" s="32">
        <f t="shared" si="632"/>
        <v>2028</v>
      </c>
      <c r="C2667" s="33" t="s">
        <v>23</v>
      </c>
      <c r="D2667" s="34" t="s">
        <v>1999</v>
      </c>
      <c r="E2667" s="35" t="str">
        <f t="shared" si="630"/>
        <v>PRBNP'!</v>
      </c>
      <c r="F2667" s="34" t="str">
        <f t="shared" si="631"/>
        <v>C:\Users\jaime.benazar\Quorum Business Solutions\Ecopetrol Prometeo - Documents\Planning Space Implementation\3. Analysis &amp; Design\Design\FC22\DRR Jaime\QUIFA-CAJÚA\Cajua\[CAJUA_CF_SEC_New_27-Feb-2024Rev3.xlsx]D-PRBNP'!</v>
      </c>
      <c r="G2667" s="32" t="s">
        <v>116</v>
      </c>
      <c r="H2667" s="33"/>
      <c r="I2667" s="33"/>
      <c r="J2667" s="37"/>
    </row>
    <row r="2668" spans="1:10" x14ac:dyDescent="0.25">
      <c r="A2668" s="32" t="s">
        <v>100</v>
      </c>
      <c r="B2668" s="32">
        <f t="shared" si="632"/>
        <v>2029</v>
      </c>
      <c r="C2668" s="33" t="s">
        <v>23</v>
      </c>
      <c r="D2668" s="34" t="s">
        <v>1999</v>
      </c>
      <c r="E2668" s="35" t="str">
        <f t="shared" si="630"/>
        <v>PRBNP'!</v>
      </c>
      <c r="F2668" s="34" t="str">
        <f t="shared" si="631"/>
        <v>C:\Users\jaime.benazar\Quorum Business Solutions\Ecopetrol Prometeo - Documents\Planning Space Implementation\3. Analysis &amp; Design\Design\FC22\DRR Jaime\QUIFA-CAJÚA\Cajua\[CAJUA_CF_SEC_New_27-Feb-2024Rev3.xlsx]D-PRBNP'!</v>
      </c>
      <c r="G2668" s="32" t="s">
        <v>116</v>
      </c>
      <c r="H2668" s="33"/>
      <c r="I2668" s="33"/>
      <c r="J2668" s="37"/>
    </row>
    <row r="2669" spans="1:10" x14ac:dyDescent="0.25">
      <c r="A2669" s="32" t="s">
        <v>100</v>
      </c>
      <c r="B2669" s="32">
        <f t="shared" si="632"/>
        <v>2030</v>
      </c>
      <c r="C2669" s="33" t="s">
        <v>23</v>
      </c>
      <c r="D2669" s="34" t="s">
        <v>1999</v>
      </c>
      <c r="E2669" s="35" t="str">
        <f t="shared" si="630"/>
        <v>PRBNP'!</v>
      </c>
      <c r="F2669" s="34" t="str">
        <f t="shared" si="631"/>
        <v>C:\Users\jaime.benazar\Quorum Business Solutions\Ecopetrol Prometeo - Documents\Planning Space Implementation\3. Analysis &amp; Design\Design\FC22\DRR Jaime\QUIFA-CAJÚA\Cajua\[CAJUA_CF_SEC_New_27-Feb-2024Rev3.xlsx]D-PRBNP'!</v>
      </c>
      <c r="G2669" s="32" t="s">
        <v>116</v>
      </c>
      <c r="H2669" s="33"/>
      <c r="I2669" s="33"/>
      <c r="J2669" s="37"/>
    </row>
    <row r="2670" spans="1:10" x14ac:dyDescent="0.25">
      <c r="A2670" s="32" t="s">
        <v>100</v>
      </c>
      <c r="B2670" s="32">
        <f t="shared" si="632"/>
        <v>2031</v>
      </c>
      <c r="C2670" s="33" t="s">
        <v>23</v>
      </c>
      <c r="D2670" s="34" t="s">
        <v>1999</v>
      </c>
      <c r="E2670" s="35" t="str">
        <f t="shared" si="630"/>
        <v>PRBNP'!</v>
      </c>
      <c r="F2670" s="34" t="str">
        <f t="shared" si="631"/>
        <v>C:\Users\jaime.benazar\Quorum Business Solutions\Ecopetrol Prometeo - Documents\Planning Space Implementation\3. Analysis &amp; Design\Design\FC22\DRR Jaime\QUIFA-CAJÚA\Cajua\[CAJUA_CF_SEC_New_27-Feb-2024Rev3.xlsx]D-PRBNP'!</v>
      </c>
      <c r="G2670" s="32" t="s">
        <v>116</v>
      </c>
      <c r="H2670" s="33"/>
      <c r="I2670" s="33"/>
      <c r="J2670" s="37"/>
    </row>
    <row r="2671" spans="1:10" x14ac:dyDescent="0.25">
      <c r="A2671" s="32" t="s">
        <v>100</v>
      </c>
      <c r="B2671" s="32">
        <f t="shared" si="632"/>
        <v>2032</v>
      </c>
      <c r="C2671" s="33" t="s">
        <v>23</v>
      </c>
      <c r="D2671" s="34" t="s">
        <v>1999</v>
      </c>
      <c r="E2671" s="35" t="str">
        <f t="shared" si="630"/>
        <v>PRBNP'!</v>
      </c>
      <c r="F2671" s="34" t="str">
        <f t="shared" si="631"/>
        <v>C:\Users\jaime.benazar\Quorum Business Solutions\Ecopetrol Prometeo - Documents\Planning Space Implementation\3. Analysis &amp; Design\Design\FC22\DRR Jaime\QUIFA-CAJÚA\Cajua\[CAJUA_CF_SEC_New_27-Feb-2024Rev3.xlsx]D-PRBNP'!</v>
      </c>
      <c r="G2671" s="32" t="s">
        <v>116</v>
      </c>
      <c r="H2671" s="33"/>
      <c r="I2671" s="33"/>
      <c r="J2671" s="37"/>
    </row>
    <row r="2672" spans="1:10" x14ac:dyDescent="0.25">
      <c r="A2672" s="32" t="s">
        <v>100</v>
      </c>
      <c r="B2672" s="32">
        <f t="shared" si="632"/>
        <v>2033</v>
      </c>
      <c r="C2672" s="33" t="s">
        <v>23</v>
      </c>
      <c r="D2672" s="34" t="s">
        <v>1999</v>
      </c>
      <c r="E2672" s="35" t="str">
        <f t="shared" si="630"/>
        <v>PRBNP'!</v>
      </c>
      <c r="F2672" s="34" t="str">
        <f t="shared" si="631"/>
        <v>C:\Users\jaime.benazar\Quorum Business Solutions\Ecopetrol Prometeo - Documents\Planning Space Implementation\3. Analysis &amp; Design\Design\FC22\DRR Jaime\QUIFA-CAJÚA\Cajua\[CAJUA_CF_SEC_New_27-Feb-2024Rev3.xlsx]D-PRBNP'!</v>
      </c>
      <c r="G2672" s="32" t="s">
        <v>116</v>
      </c>
      <c r="H2672" s="33"/>
      <c r="I2672" s="33"/>
      <c r="J2672" s="37"/>
    </row>
    <row r="2673" spans="1:10" x14ac:dyDescent="0.25">
      <c r="A2673" s="32" t="s">
        <v>100</v>
      </c>
      <c r="B2673" s="32">
        <f t="shared" si="632"/>
        <v>2034</v>
      </c>
      <c r="C2673" s="33" t="s">
        <v>23</v>
      </c>
      <c r="D2673" s="34" t="s">
        <v>1999</v>
      </c>
      <c r="E2673" s="35" t="str">
        <f t="shared" si="630"/>
        <v>PRBNP'!</v>
      </c>
      <c r="F2673" s="34" t="str">
        <f t="shared" si="631"/>
        <v>C:\Users\jaime.benazar\Quorum Business Solutions\Ecopetrol Prometeo - Documents\Planning Space Implementation\3. Analysis &amp; Design\Design\FC22\DRR Jaime\QUIFA-CAJÚA\Cajua\[CAJUA_CF_SEC_New_27-Feb-2024Rev3.xlsx]D-PRBNP'!</v>
      </c>
      <c r="G2673" s="32" t="s">
        <v>116</v>
      </c>
      <c r="H2673" s="33"/>
      <c r="I2673" s="33"/>
      <c r="J2673" s="37"/>
    </row>
    <row r="2674" spans="1:10" x14ac:dyDescent="0.25">
      <c r="A2674" s="32" t="s">
        <v>100</v>
      </c>
      <c r="B2674" s="32">
        <f t="shared" si="632"/>
        <v>2035</v>
      </c>
      <c r="C2674" s="33" t="s">
        <v>23</v>
      </c>
      <c r="D2674" s="34" t="s">
        <v>1999</v>
      </c>
      <c r="E2674" s="35" t="str">
        <f t="shared" si="630"/>
        <v>PRBNP'!</v>
      </c>
      <c r="F2674" s="34" t="str">
        <f t="shared" si="631"/>
        <v>C:\Users\jaime.benazar\Quorum Business Solutions\Ecopetrol Prometeo - Documents\Planning Space Implementation\3. Analysis &amp; Design\Design\FC22\DRR Jaime\QUIFA-CAJÚA\Cajua\[CAJUA_CF_SEC_New_27-Feb-2024Rev3.xlsx]D-PRBNP'!</v>
      </c>
      <c r="G2674" s="32" t="s">
        <v>116</v>
      </c>
      <c r="H2674" s="33"/>
      <c r="I2674" s="33"/>
      <c r="J2674" s="37"/>
    </row>
    <row r="2675" spans="1:10" x14ac:dyDescent="0.25">
      <c r="A2675" s="32" t="s">
        <v>100</v>
      </c>
      <c r="B2675" s="32">
        <f t="shared" si="632"/>
        <v>2036</v>
      </c>
      <c r="C2675" s="33" t="s">
        <v>23</v>
      </c>
      <c r="D2675" s="34" t="s">
        <v>1999</v>
      </c>
      <c r="E2675" s="35" t="str">
        <f t="shared" si="630"/>
        <v>PRBNP'!</v>
      </c>
      <c r="F2675" s="34" t="str">
        <f t="shared" si="631"/>
        <v>C:\Users\jaime.benazar\Quorum Business Solutions\Ecopetrol Prometeo - Documents\Planning Space Implementation\3. Analysis &amp; Design\Design\FC22\DRR Jaime\QUIFA-CAJÚA\Cajua\[CAJUA_CF_SEC_New_27-Feb-2024Rev3.xlsx]D-PRBNP'!</v>
      </c>
      <c r="G2675" s="32" t="s">
        <v>116</v>
      </c>
      <c r="H2675" s="33"/>
      <c r="I2675" s="33"/>
      <c r="J2675" s="37"/>
    </row>
    <row r="2676" spans="1:10" x14ac:dyDescent="0.25">
      <c r="A2676" s="32" t="s">
        <v>100</v>
      </c>
      <c r="B2676" s="32">
        <f>+B2675+1</f>
        <v>2037</v>
      </c>
      <c r="C2676" s="33" t="s">
        <v>23</v>
      </c>
      <c r="D2676" s="34" t="s">
        <v>1999</v>
      </c>
      <c r="E2676" s="35" t="str">
        <f t="shared" si="630"/>
        <v>PRBNP'!</v>
      </c>
      <c r="F2676" s="34" t="str">
        <f t="shared" si="631"/>
        <v>C:\Users\jaime.benazar\Quorum Business Solutions\Ecopetrol Prometeo - Documents\Planning Space Implementation\3. Analysis &amp; Design\Design\FC22\DRR Jaime\QUIFA-CAJÚA\Cajua\[CAJUA_CF_SEC_New_27-Feb-2024Rev3.xlsx]D-PRBNP'!</v>
      </c>
      <c r="G2676" s="32" t="s">
        <v>116</v>
      </c>
      <c r="H2676" s="33"/>
      <c r="I2676" s="33"/>
      <c r="J2676" s="37"/>
    </row>
    <row r="2677" spans="1:10" x14ac:dyDescent="0.25">
      <c r="A2677" s="32" t="s">
        <v>100</v>
      </c>
      <c r="B2677" s="32">
        <f t="shared" ref="B2677:B2679" si="633">+B2676+1</f>
        <v>2038</v>
      </c>
      <c r="C2677" s="33" t="s">
        <v>23</v>
      </c>
      <c r="D2677" s="34" t="s">
        <v>1999</v>
      </c>
      <c r="E2677" s="35" t="str">
        <f t="shared" si="630"/>
        <v>PRBNP'!</v>
      </c>
      <c r="F2677" s="34" t="str">
        <f t="shared" si="631"/>
        <v>C:\Users\jaime.benazar\Quorum Business Solutions\Ecopetrol Prometeo - Documents\Planning Space Implementation\3. Analysis &amp; Design\Design\FC22\DRR Jaime\QUIFA-CAJÚA\Cajua\[CAJUA_CF_SEC_New_27-Feb-2024Rev3.xlsx]D-PRBNP'!</v>
      </c>
      <c r="G2677" s="32" t="s">
        <v>116</v>
      </c>
      <c r="H2677" s="33"/>
      <c r="I2677" s="33"/>
      <c r="J2677" s="37"/>
    </row>
    <row r="2678" spans="1:10" x14ac:dyDescent="0.25">
      <c r="A2678" s="32" t="s">
        <v>100</v>
      </c>
      <c r="B2678" s="32">
        <f t="shared" si="633"/>
        <v>2039</v>
      </c>
      <c r="C2678" s="33" t="s">
        <v>23</v>
      </c>
      <c r="D2678" s="34" t="s">
        <v>1999</v>
      </c>
      <c r="E2678" s="35" t="str">
        <f t="shared" si="630"/>
        <v>PRBNP'!</v>
      </c>
      <c r="F2678" s="34" t="str">
        <f t="shared" si="631"/>
        <v>C:\Users\jaime.benazar\Quorum Business Solutions\Ecopetrol Prometeo - Documents\Planning Space Implementation\3. Analysis &amp; Design\Design\FC22\DRR Jaime\QUIFA-CAJÚA\Cajua\[CAJUA_CF_SEC_New_27-Feb-2024Rev3.xlsx]D-PRBNP'!</v>
      </c>
      <c r="G2678" s="32" t="s">
        <v>116</v>
      </c>
      <c r="H2678" s="33"/>
      <c r="I2678" s="33"/>
      <c r="J2678" s="37"/>
    </row>
    <row r="2679" spans="1:10" x14ac:dyDescent="0.25">
      <c r="A2679" s="32" t="s">
        <v>100</v>
      </c>
      <c r="B2679" s="32">
        <f t="shared" si="633"/>
        <v>2040</v>
      </c>
      <c r="C2679" s="33" t="s">
        <v>23</v>
      </c>
      <c r="D2679" s="34" t="s">
        <v>1999</v>
      </c>
      <c r="E2679" s="35" t="str">
        <f t="shared" si="630"/>
        <v>PRBNP'!</v>
      </c>
      <c r="F2679" s="34" t="str">
        <f t="shared" si="631"/>
        <v>C:\Users\jaime.benazar\Quorum Business Solutions\Ecopetrol Prometeo - Documents\Planning Space Implementation\3. Analysis &amp; Design\Design\FC22\DRR Jaime\QUIFA-CAJÚA\Cajua\[CAJUA_CF_SEC_New_27-Feb-2024Rev3.xlsx]D-PRBNP'!</v>
      </c>
      <c r="G2679" s="32" t="s">
        <v>116</v>
      </c>
      <c r="H2679" s="33"/>
      <c r="I2679" s="33"/>
      <c r="J2679" s="37"/>
    </row>
    <row r="2680" spans="1:10" x14ac:dyDescent="0.25">
      <c r="A2680" s="32" t="s">
        <v>100</v>
      </c>
      <c r="B2680" s="32">
        <f>+B2679+1</f>
        <v>2041</v>
      </c>
      <c r="C2680" s="33" t="s">
        <v>23</v>
      </c>
      <c r="D2680" s="34" t="s">
        <v>1999</v>
      </c>
      <c r="E2680" s="35" t="str">
        <f t="shared" si="630"/>
        <v>PRBNP'!</v>
      </c>
      <c r="F2680" s="34" t="str">
        <f t="shared" si="631"/>
        <v>C:\Users\jaime.benazar\Quorum Business Solutions\Ecopetrol Prometeo - Documents\Planning Space Implementation\3. Analysis &amp; Design\Design\FC22\DRR Jaime\QUIFA-CAJÚA\Cajua\[CAJUA_CF_SEC_New_27-Feb-2024Rev3.xlsx]D-PRBNP'!</v>
      </c>
      <c r="G2680" s="32" t="s">
        <v>116</v>
      </c>
      <c r="H2680" s="33"/>
      <c r="I2680" s="33"/>
      <c r="J2680" s="37"/>
    </row>
    <row r="2681" spans="1:10" x14ac:dyDescent="0.25">
      <c r="A2681" s="32" t="s">
        <v>100</v>
      </c>
      <c r="B2681" s="32">
        <f t="shared" ref="B2681:B2682" si="634">+B2680+1</f>
        <v>2042</v>
      </c>
      <c r="C2681" s="33" t="s">
        <v>23</v>
      </c>
      <c r="D2681" s="34" t="s">
        <v>1999</v>
      </c>
      <c r="E2681" s="35" t="str">
        <f t="shared" si="630"/>
        <v>PRBNP'!</v>
      </c>
      <c r="F2681" s="34" t="str">
        <f t="shared" si="631"/>
        <v>C:\Users\jaime.benazar\Quorum Business Solutions\Ecopetrol Prometeo - Documents\Planning Space Implementation\3. Analysis &amp; Design\Design\FC22\DRR Jaime\QUIFA-CAJÚA\Cajua\[CAJUA_CF_SEC_New_27-Feb-2024Rev3.xlsx]D-PRBNP'!</v>
      </c>
      <c r="G2681" s="32" t="s">
        <v>116</v>
      </c>
      <c r="H2681" s="33"/>
      <c r="I2681" s="33"/>
      <c r="J2681" s="37"/>
    </row>
    <row r="2682" spans="1:10" x14ac:dyDescent="0.25">
      <c r="A2682" s="32" t="s">
        <v>100</v>
      </c>
      <c r="B2682" s="32">
        <f t="shared" si="634"/>
        <v>2043</v>
      </c>
      <c r="C2682" s="33" t="s">
        <v>23</v>
      </c>
      <c r="D2682" s="34" t="s">
        <v>1999</v>
      </c>
      <c r="E2682" s="35" t="str">
        <f t="shared" si="630"/>
        <v>PRBNP'!</v>
      </c>
      <c r="F2682" s="34" t="str">
        <f t="shared" si="631"/>
        <v>C:\Users\jaime.benazar\Quorum Business Solutions\Ecopetrol Prometeo - Documents\Planning Space Implementation\3. Analysis &amp; Design\Design\FC22\DRR Jaime\QUIFA-CAJÚA\Cajua\[CAJUA_CF_SEC_New_27-Feb-2024Rev3.xlsx]D-PRBNP'!</v>
      </c>
      <c r="G2682" s="32" t="s">
        <v>116</v>
      </c>
      <c r="H2682" s="33"/>
      <c r="I2682" s="33"/>
      <c r="J2682" s="37"/>
    </row>
    <row r="2683" spans="1:10" x14ac:dyDescent="0.25">
      <c r="A2683" s="32" t="s">
        <v>100</v>
      </c>
      <c r="B2683" s="32">
        <f>+B2682+1</f>
        <v>2044</v>
      </c>
      <c r="C2683" s="33" t="s">
        <v>23</v>
      </c>
      <c r="D2683" s="34" t="s">
        <v>1999</v>
      </c>
      <c r="E2683" s="35" t="str">
        <f t="shared" ref="E2683:E2698" si="635">_xlfn.CONCAT(A2683,"'!")</f>
        <v>PRBNP'!</v>
      </c>
      <c r="F2683" s="34" t="str">
        <f t="shared" ref="F2683:F2698" si="636">_xlfn.CONCAT(D2683:E2683)</f>
        <v>C:\Users\jaime.benazar\Quorum Business Solutions\Ecopetrol Prometeo - Documents\Planning Space Implementation\3. Analysis &amp; Design\Design\FC22\DRR Jaime\QUIFA-CAJÚA\Cajua\[CAJUA_CF_SEC_New_27-Feb-2024Rev3.xlsx]D-PRBNP'!</v>
      </c>
      <c r="G2683" s="32" t="s">
        <v>116</v>
      </c>
      <c r="H2683" s="33"/>
      <c r="I2683" s="33"/>
      <c r="J2683" s="37"/>
    </row>
    <row r="2684" spans="1:10" x14ac:dyDescent="0.25">
      <c r="A2684" s="32" t="s">
        <v>100</v>
      </c>
      <c r="B2684" s="32">
        <f t="shared" ref="B2684:B2698" si="637">+B2683+1</f>
        <v>2045</v>
      </c>
      <c r="C2684" s="33" t="s">
        <v>23</v>
      </c>
      <c r="D2684" s="34" t="s">
        <v>1999</v>
      </c>
      <c r="E2684" s="35" t="str">
        <f t="shared" si="635"/>
        <v>PRBNP'!</v>
      </c>
      <c r="F2684" s="34" t="str">
        <f t="shared" si="636"/>
        <v>C:\Users\jaime.benazar\Quorum Business Solutions\Ecopetrol Prometeo - Documents\Planning Space Implementation\3. Analysis &amp; Design\Design\FC22\DRR Jaime\QUIFA-CAJÚA\Cajua\[CAJUA_CF_SEC_New_27-Feb-2024Rev3.xlsx]D-PRBNP'!</v>
      </c>
      <c r="G2684" s="32" t="s">
        <v>116</v>
      </c>
      <c r="H2684" s="33"/>
      <c r="I2684" s="33"/>
      <c r="J2684" s="37"/>
    </row>
    <row r="2685" spans="1:10" x14ac:dyDescent="0.25">
      <c r="A2685" s="32" t="s">
        <v>100</v>
      </c>
      <c r="B2685" s="32">
        <f t="shared" si="637"/>
        <v>2046</v>
      </c>
      <c r="C2685" s="33" t="s">
        <v>23</v>
      </c>
      <c r="D2685" s="34" t="s">
        <v>1999</v>
      </c>
      <c r="E2685" s="35" t="str">
        <f t="shared" si="635"/>
        <v>PRBNP'!</v>
      </c>
      <c r="F2685" s="34" t="str">
        <f t="shared" si="636"/>
        <v>C:\Users\jaime.benazar\Quorum Business Solutions\Ecopetrol Prometeo - Documents\Planning Space Implementation\3. Analysis &amp; Design\Design\FC22\DRR Jaime\QUIFA-CAJÚA\Cajua\[CAJUA_CF_SEC_New_27-Feb-2024Rev3.xlsx]D-PRBNP'!</v>
      </c>
      <c r="G2685" s="32" t="s">
        <v>116</v>
      </c>
      <c r="H2685" s="33"/>
      <c r="I2685" s="33"/>
      <c r="J2685" s="37"/>
    </row>
    <row r="2686" spans="1:10" x14ac:dyDescent="0.25">
      <c r="A2686" s="32" t="s">
        <v>100</v>
      </c>
      <c r="B2686" s="32">
        <f t="shared" si="637"/>
        <v>2047</v>
      </c>
      <c r="C2686" s="33" t="s">
        <v>23</v>
      </c>
      <c r="D2686" s="34" t="s">
        <v>1999</v>
      </c>
      <c r="E2686" s="35" t="str">
        <f t="shared" si="635"/>
        <v>PRBNP'!</v>
      </c>
      <c r="F2686" s="34" t="str">
        <f t="shared" si="636"/>
        <v>C:\Users\jaime.benazar\Quorum Business Solutions\Ecopetrol Prometeo - Documents\Planning Space Implementation\3. Analysis &amp; Design\Design\FC22\DRR Jaime\QUIFA-CAJÚA\Cajua\[CAJUA_CF_SEC_New_27-Feb-2024Rev3.xlsx]D-PRBNP'!</v>
      </c>
      <c r="G2686" s="32" t="s">
        <v>116</v>
      </c>
      <c r="H2686" s="33"/>
      <c r="I2686" s="33"/>
      <c r="J2686" s="37"/>
    </row>
    <row r="2687" spans="1:10" x14ac:dyDescent="0.25">
      <c r="A2687" s="32" t="s">
        <v>100</v>
      </c>
      <c r="B2687" s="32">
        <f t="shared" si="637"/>
        <v>2048</v>
      </c>
      <c r="C2687" s="33" t="s">
        <v>23</v>
      </c>
      <c r="D2687" s="34" t="s">
        <v>1999</v>
      </c>
      <c r="E2687" s="35" t="str">
        <f t="shared" si="635"/>
        <v>PRBNP'!</v>
      </c>
      <c r="F2687" s="34" t="str">
        <f t="shared" si="636"/>
        <v>C:\Users\jaime.benazar\Quorum Business Solutions\Ecopetrol Prometeo - Documents\Planning Space Implementation\3. Analysis &amp; Design\Design\FC22\DRR Jaime\QUIFA-CAJÚA\Cajua\[CAJUA_CF_SEC_New_27-Feb-2024Rev3.xlsx]D-PRBNP'!</v>
      </c>
      <c r="G2687" s="32" t="s">
        <v>116</v>
      </c>
      <c r="H2687" s="33"/>
      <c r="I2687" s="33"/>
      <c r="J2687" s="37"/>
    </row>
    <row r="2688" spans="1:10" x14ac:dyDescent="0.25">
      <c r="A2688" s="32" t="s">
        <v>100</v>
      </c>
      <c r="B2688" s="32">
        <f t="shared" si="637"/>
        <v>2049</v>
      </c>
      <c r="C2688" s="33" t="s">
        <v>23</v>
      </c>
      <c r="D2688" s="34" t="s">
        <v>1999</v>
      </c>
      <c r="E2688" s="35" t="str">
        <f t="shared" si="635"/>
        <v>PRBNP'!</v>
      </c>
      <c r="F2688" s="34" t="str">
        <f t="shared" si="636"/>
        <v>C:\Users\jaime.benazar\Quorum Business Solutions\Ecopetrol Prometeo - Documents\Planning Space Implementation\3. Analysis &amp; Design\Design\FC22\DRR Jaime\QUIFA-CAJÚA\Cajua\[CAJUA_CF_SEC_New_27-Feb-2024Rev3.xlsx]D-PRBNP'!</v>
      </c>
      <c r="G2688" s="32" t="s">
        <v>116</v>
      </c>
      <c r="H2688" s="33"/>
      <c r="I2688" s="33"/>
      <c r="J2688" s="37"/>
    </row>
    <row r="2689" spans="1:10" x14ac:dyDescent="0.25">
      <c r="A2689" s="32" t="s">
        <v>100</v>
      </c>
      <c r="B2689" s="32">
        <f t="shared" si="637"/>
        <v>2050</v>
      </c>
      <c r="C2689" s="33" t="s">
        <v>23</v>
      </c>
      <c r="D2689" s="34" t="s">
        <v>1999</v>
      </c>
      <c r="E2689" s="35" t="str">
        <f t="shared" si="635"/>
        <v>PRBNP'!</v>
      </c>
      <c r="F2689" s="34" t="str">
        <f t="shared" si="636"/>
        <v>C:\Users\jaime.benazar\Quorum Business Solutions\Ecopetrol Prometeo - Documents\Planning Space Implementation\3. Analysis &amp; Design\Design\FC22\DRR Jaime\QUIFA-CAJÚA\Cajua\[CAJUA_CF_SEC_New_27-Feb-2024Rev3.xlsx]D-PRBNP'!</v>
      </c>
      <c r="G2689" s="32" t="s">
        <v>116</v>
      </c>
      <c r="H2689" s="33"/>
      <c r="I2689" s="33"/>
      <c r="J2689" s="37"/>
    </row>
    <row r="2690" spans="1:10" x14ac:dyDescent="0.25">
      <c r="A2690" s="32" t="s">
        <v>100</v>
      </c>
      <c r="B2690" s="32">
        <f t="shared" si="637"/>
        <v>2051</v>
      </c>
      <c r="C2690" s="33" t="s">
        <v>23</v>
      </c>
      <c r="D2690" s="34" t="s">
        <v>1999</v>
      </c>
      <c r="E2690" s="35" t="str">
        <f t="shared" si="635"/>
        <v>PRBNP'!</v>
      </c>
      <c r="F2690" s="34" t="str">
        <f t="shared" si="636"/>
        <v>C:\Users\jaime.benazar\Quorum Business Solutions\Ecopetrol Prometeo - Documents\Planning Space Implementation\3. Analysis &amp; Design\Design\FC22\DRR Jaime\QUIFA-CAJÚA\Cajua\[CAJUA_CF_SEC_New_27-Feb-2024Rev3.xlsx]D-PRBNP'!</v>
      </c>
      <c r="G2690" s="32" t="s">
        <v>116</v>
      </c>
      <c r="H2690" s="33"/>
      <c r="I2690" s="33"/>
      <c r="J2690" s="37"/>
    </row>
    <row r="2691" spans="1:10" x14ac:dyDescent="0.25">
      <c r="A2691" s="32" t="s">
        <v>100</v>
      </c>
      <c r="B2691" s="32">
        <f t="shared" si="637"/>
        <v>2052</v>
      </c>
      <c r="C2691" s="33" t="s">
        <v>23</v>
      </c>
      <c r="D2691" s="34" t="s">
        <v>1999</v>
      </c>
      <c r="E2691" s="35" t="str">
        <f t="shared" si="635"/>
        <v>PRBNP'!</v>
      </c>
      <c r="F2691" s="34" t="str">
        <f t="shared" si="636"/>
        <v>C:\Users\jaime.benazar\Quorum Business Solutions\Ecopetrol Prometeo - Documents\Planning Space Implementation\3. Analysis &amp; Design\Design\FC22\DRR Jaime\QUIFA-CAJÚA\Cajua\[CAJUA_CF_SEC_New_27-Feb-2024Rev3.xlsx]D-PRBNP'!</v>
      </c>
      <c r="G2691" s="32" t="s">
        <v>116</v>
      </c>
      <c r="H2691" s="33"/>
      <c r="I2691" s="33"/>
      <c r="J2691" s="37"/>
    </row>
    <row r="2692" spans="1:10" x14ac:dyDescent="0.25">
      <c r="A2692" s="32" t="s">
        <v>100</v>
      </c>
      <c r="B2692" s="32">
        <f t="shared" si="637"/>
        <v>2053</v>
      </c>
      <c r="C2692" s="33" t="s">
        <v>23</v>
      </c>
      <c r="D2692" s="34" t="s">
        <v>1999</v>
      </c>
      <c r="E2692" s="35" t="str">
        <f t="shared" si="635"/>
        <v>PRBNP'!</v>
      </c>
      <c r="F2692" s="34" t="str">
        <f t="shared" si="636"/>
        <v>C:\Users\jaime.benazar\Quorum Business Solutions\Ecopetrol Prometeo - Documents\Planning Space Implementation\3. Analysis &amp; Design\Design\FC22\DRR Jaime\QUIFA-CAJÚA\Cajua\[CAJUA_CF_SEC_New_27-Feb-2024Rev3.xlsx]D-PRBNP'!</v>
      </c>
      <c r="G2692" s="32" t="s">
        <v>116</v>
      </c>
      <c r="H2692" s="33"/>
      <c r="I2692" s="33"/>
      <c r="J2692" s="37"/>
    </row>
    <row r="2693" spans="1:10" x14ac:dyDescent="0.25">
      <c r="A2693" s="32" t="s">
        <v>100</v>
      </c>
      <c r="B2693" s="32">
        <f t="shared" si="637"/>
        <v>2054</v>
      </c>
      <c r="C2693" s="33" t="s">
        <v>23</v>
      </c>
      <c r="D2693" s="34" t="s">
        <v>1999</v>
      </c>
      <c r="E2693" s="35" t="str">
        <f t="shared" si="635"/>
        <v>PRBNP'!</v>
      </c>
      <c r="F2693" s="34" t="str">
        <f t="shared" si="636"/>
        <v>C:\Users\jaime.benazar\Quorum Business Solutions\Ecopetrol Prometeo - Documents\Planning Space Implementation\3. Analysis &amp; Design\Design\FC22\DRR Jaime\QUIFA-CAJÚA\Cajua\[CAJUA_CF_SEC_New_27-Feb-2024Rev3.xlsx]D-PRBNP'!</v>
      </c>
      <c r="G2693" s="32" t="s">
        <v>116</v>
      </c>
      <c r="H2693" s="33"/>
      <c r="I2693" s="33"/>
      <c r="J2693" s="37"/>
    </row>
    <row r="2694" spans="1:10" x14ac:dyDescent="0.25">
      <c r="A2694" s="32" t="s">
        <v>100</v>
      </c>
      <c r="B2694" s="32">
        <f t="shared" si="637"/>
        <v>2055</v>
      </c>
      <c r="C2694" s="33" t="s">
        <v>23</v>
      </c>
      <c r="D2694" s="34" t="s">
        <v>1999</v>
      </c>
      <c r="E2694" s="35" t="str">
        <f t="shared" si="635"/>
        <v>PRBNP'!</v>
      </c>
      <c r="F2694" s="34" t="str">
        <f t="shared" si="636"/>
        <v>C:\Users\jaime.benazar\Quorum Business Solutions\Ecopetrol Prometeo - Documents\Planning Space Implementation\3. Analysis &amp; Design\Design\FC22\DRR Jaime\QUIFA-CAJÚA\Cajua\[CAJUA_CF_SEC_New_27-Feb-2024Rev3.xlsx]D-PRBNP'!</v>
      </c>
      <c r="G2694" s="32" t="s">
        <v>116</v>
      </c>
      <c r="H2694" s="33"/>
      <c r="I2694" s="33"/>
      <c r="J2694" s="37"/>
    </row>
    <row r="2695" spans="1:10" x14ac:dyDescent="0.25">
      <c r="A2695" s="32" t="s">
        <v>100</v>
      </c>
      <c r="B2695" s="32">
        <f t="shared" si="637"/>
        <v>2056</v>
      </c>
      <c r="C2695" s="33" t="s">
        <v>23</v>
      </c>
      <c r="D2695" s="34" t="s">
        <v>1999</v>
      </c>
      <c r="E2695" s="35" t="str">
        <f t="shared" si="635"/>
        <v>PRBNP'!</v>
      </c>
      <c r="F2695" s="34" t="str">
        <f t="shared" si="636"/>
        <v>C:\Users\jaime.benazar\Quorum Business Solutions\Ecopetrol Prometeo - Documents\Planning Space Implementation\3. Analysis &amp; Design\Design\FC22\DRR Jaime\QUIFA-CAJÚA\Cajua\[CAJUA_CF_SEC_New_27-Feb-2024Rev3.xlsx]D-PRBNP'!</v>
      </c>
      <c r="G2695" s="32" t="s">
        <v>116</v>
      </c>
      <c r="H2695" s="33"/>
      <c r="I2695" s="33"/>
      <c r="J2695" s="37"/>
    </row>
    <row r="2696" spans="1:10" x14ac:dyDescent="0.25">
      <c r="A2696" s="32" t="s">
        <v>100</v>
      </c>
      <c r="B2696" s="32">
        <f t="shared" si="637"/>
        <v>2057</v>
      </c>
      <c r="C2696" s="33" t="s">
        <v>23</v>
      </c>
      <c r="D2696" s="34" t="s">
        <v>1999</v>
      </c>
      <c r="E2696" s="35" t="str">
        <f t="shared" si="635"/>
        <v>PRBNP'!</v>
      </c>
      <c r="F2696" s="34" t="str">
        <f t="shared" si="636"/>
        <v>C:\Users\jaime.benazar\Quorum Business Solutions\Ecopetrol Prometeo - Documents\Planning Space Implementation\3. Analysis &amp; Design\Design\FC22\DRR Jaime\QUIFA-CAJÚA\Cajua\[CAJUA_CF_SEC_New_27-Feb-2024Rev3.xlsx]D-PRBNP'!</v>
      </c>
      <c r="G2696" s="32" t="s">
        <v>116</v>
      </c>
      <c r="H2696" s="33"/>
      <c r="I2696" s="33"/>
      <c r="J2696" s="37"/>
    </row>
    <row r="2697" spans="1:10" x14ac:dyDescent="0.25">
      <c r="A2697" s="32" t="s">
        <v>100</v>
      </c>
      <c r="B2697" s="32">
        <f t="shared" si="637"/>
        <v>2058</v>
      </c>
      <c r="C2697" s="33" t="s">
        <v>23</v>
      </c>
      <c r="D2697" s="34" t="s">
        <v>1999</v>
      </c>
      <c r="E2697" s="35" t="str">
        <f t="shared" si="635"/>
        <v>PRBNP'!</v>
      </c>
      <c r="F2697" s="34" t="str">
        <f t="shared" si="636"/>
        <v>C:\Users\jaime.benazar\Quorum Business Solutions\Ecopetrol Prometeo - Documents\Planning Space Implementation\3. Analysis &amp; Design\Design\FC22\DRR Jaime\QUIFA-CAJÚA\Cajua\[CAJUA_CF_SEC_New_27-Feb-2024Rev3.xlsx]D-PRBNP'!</v>
      </c>
      <c r="G2697" s="32" t="s">
        <v>116</v>
      </c>
      <c r="H2697" s="33"/>
      <c r="I2697" s="33"/>
      <c r="J2697" s="37"/>
    </row>
    <row r="2698" spans="1:10" x14ac:dyDescent="0.25">
      <c r="A2698" s="32" t="s">
        <v>100</v>
      </c>
      <c r="B2698" s="32">
        <f t="shared" si="637"/>
        <v>2059</v>
      </c>
      <c r="C2698" s="33" t="s">
        <v>23</v>
      </c>
      <c r="D2698" s="34" t="s">
        <v>1999</v>
      </c>
      <c r="E2698" s="35" t="str">
        <f t="shared" si="635"/>
        <v>PRBNP'!</v>
      </c>
      <c r="F2698" s="34" t="str">
        <f t="shared" si="636"/>
        <v>C:\Users\jaime.benazar\Quorum Business Solutions\Ecopetrol Prometeo - Documents\Planning Space Implementation\3. Analysis &amp; Design\Design\FC22\DRR Jaime\QUIFA-CAJÚA\Cajua\[CAJUA_CF_SEC_New_27-Feb-2024Rev3.xlsx]D-PRBNP'!</v>
      </c>
      <c r="G2698" s="32" t="s">
        <v>116</v>
      </c>
      <c r="H2698" s="33"/>
      <c r="I2698" s="33"/>
      <c r="J2698" s="37"/>
    </row>
    <row r="2699" spans="1:10" x14ac:dyDescent="0.25">
      <c r="A2699" s="32" t="s">
        <v>28</v>
      </c>
      <c r="B2699" s="32"/>
      <c r="C2699" s="33" t="s">
        <v>23</v>
      </c>
      <c r="D2699" s="34"/>
      <c r="E2699" s="35"/>
      <c r="F2699" s="34"/>
      <c r="G2699" s="32"/>
      <c r="H2699" s="33"/>
      <c r="I2699" s="33"/>
      <c r="J2699" s="33"/>
    </row>
    <row r="2700" spans="1:10" x14ac:dyDescent="0.25">
      <c r="A2700" s="32" t="s">
        <v>101</v>
      </c>
      <c r="B2700" s="32">
        <v>2023</v>
      </c>
      <c r="C2700" s="33" t="s">
        <v>23</v>
      </c>
      <c r="D2700" s="34" t="s">
        <v>1999</v>
      </c>
      <c r="E2700" s="35" t="str">
        <f t="shared" ref="E2700:E2720" si="638">_xlfn.CONCAT(A2700,"'!")</f>
        <v>PRBND'!</v>
      </c>
      <c r="F2700" s="34" t="str">
        <f t="shared" ref="F2700:F2720" si="639">_xlfn.CONCAT(D2700:E2700)</f>
        <v>C:\Users\jaime.benazar\Quorum Business Solutions\Ecopetrol Prometeo - Documents\Planning Space Implementation\3. Analysis &amp; Design\Design\FC22\DRR Jaime\QUIFA-CAJÚA\Cajua\[CAJUA_CF_SEC_New_27-Feb-2024Rev3.xlsx]D-PRBND'!</v>
      </c>
      <c r="G2700" s="32" t="s">
        <v>116</v>
      </c>
      <c r="H2700" s="33"/>
      <c r="I2700" s="33"/>
      <c r="J2700" s="37"/>
    </row>
    <row r="2701" spans="1:10" x14ac:dyDescent="0.25">
      <c r="A2701" s="32" t="s">
        <v>101</v>
      </c>
      <c r="B2701" s="32">
        <f>+B2700+1</f>
        <v>2024</v>
      </c>
      <c r="C2701" s="33" t="s">
        <v>23</v>
      </c>
      <c r="D2701" s="34" t="s">
        <v>1999</v>
      </c>
      <c r="E2701" s="35" t="str">
        <f t="shared" si="638"/>
        <v>PRBND'!</v>
      </c>
      <c r="F2701" s="34" t="str">
        <f t="shared" si="639"/>
        <v>C:\Users\jaime.benazar\Quorum Business Solutions\Ecopetrol Prometeo - Documents\Planning Space Implementation\3. Analysis &amp; Design\Design\FC22\DRR Jaime\QUIFA-CAJÚA\Cajua\[CAJUA_CF_SEC_New_27-Feb-2024Rev3.xlsx]D-PRBND'!</v>
      </c>
      <c r="G2701" s="32" t="s">
        <v>116</v>
      </c>
      <c r="H2701" s="33"/>
      <c r="I2701" s="33"/>
      <c r="J2701" s="37"/>
    </row>
    <row r="2702" spans="1:10" x14ac:dyDescent="0.25">
      <c r="A2702" s="32" t="s">
        <v>101</v>
      </c>
      <c r="B2702" s="32">
        <f t="shared" ref="B2702:B2713" si="640">+B2701+1</f>
        <v>2025</v>
      </c>
      <c r="C2702" s="33" t="s">
        <v>23</v>
      </c>
      <c r="D2702" s="34" t="s">
        <v>1999</v>
      </c>
      <c r="E2702" s="35" t="str">
        <f t="shared" si="638"/>
        <v>PRBND'!</v>
      </c>
      <c r="F2702" s="34" t="str">
        <f t="shared" si="639"/>
        <v>C:\Users\jaime.benazar\Quorum Business Solutions\Ecopetrol Prometeo - Documents\Planning Space Implementation\3. Analysis &amp; Design\Design\FC22\DRR Jaime\QUIFA-CAJÚA\Cajua\[CAJUA_CF_SEC_New_27-Feb-2024Rev3.xlsx]D-PRBND'!</v>
      </c>
      <c r="G2702" s="32" t="s">
        <v>116</v>
      </c>
      <c r="H2702" s="33"/>
      <c r="I2702" s="33"/>
      <c r="J2702" s="37"/>
    </row>
    <row r="2703" spans="1:10" x14ac:dyDescent="0.25">
      <c r="A2703" s="32" t="s">
        <v>101</v>
      </c>
      <c r="B2703" s="32">
        <f t="shared" si="640"/>
        <v>2026</v>
      </c>
      <c r="C2703" s="33" t="s">
        <v>23</v>
      </c>
      <c r="D2703" s="34" t="s">
        <v>1999</v>
      </c>
      <c r="E2703" s="35" t="str">
        <f t="shared" si="638"/>
        <v>PRBND'!</v>
      </c>
      <c r="F2703" s="34" t="str">
        <f t="shared" si="639"/>
        <v>C:\Users\jaime.benazar\Quorum Business Solutions\Ecopetrol Prometeo - Documents\Planning Space Implementation\3. Analysis &amp; Design\Design\FC22\DRR Jaime\QUIFA-CAJÚA\Cajua\[CAJUA_CF_SEC_New_27-Feb-2024Rev3.xlsx]D-PRBND'!</v>
      </c>
      <c r="G2703" s="32" t="s">
        <v>116</v>
      </c>
      <c r="H2703" s="33"/>
      <c r="I2703" s="33"/>
      <c r="J2703" s="37"/>
    </row>
    <row r="2704" spans="1:10" x14ac:dyDescent="0.25">
      <c r="A2704" s="32" t="s">
        <v>101</v>
      </c>
      <c r="B2704" s="32">
        <f t="shared" si="640"/>
        <v>2027</v>
      </c>
      <c r="C2704" s="33" t="s">
        <v>23</v>
      </c>
      <c r="D2704" s="34" t="s">
        <v>1999</v>
      </c>
      <c r="E2704" s="35" t="str">
        <f t="shared" si="638"/>
        <v>PRBND'!</v>
      </c>
      <c r="F2704" s="34" t="str">
        <f t="shared" si="639"/>
        <v>C:\Users\jaime.benazar\Quorum Business Solutions\Ecopetrol Prometeo - Documents\Planning Space Implementation\3. Analysis &amp; Design\Design\FC22\DRR Jaime\QUIFA-CAJÚA\Cajua\[CAJUA_CF_SEC_New_27-Feb-2024Rev3.xlsx]D-PRBND'!</v>
      </c>
      <c r="G2704" s="32" t="s">
        <v>116</v>
      </c>
      <c r="H2704" s="33"/>
      <c r="I2704" s="33"/>
      <c r="J2704" s="37"/>
    </row>
    <row r="2705" spans="1:10" x14ac:dyDescent="0.25">
      <c r="A2705" s="32" t="s">
        <v>101</v>
      </c>
      <c r="B2705" s="32">
        <f t="shared" si="640"/>
        <v>2028</v>
      </c>
      <c r="C2705" s="33" t="s">
        <v>23</v>
      </c>
      <c r="D2705" s="34" t="s">
        <v>1999</v>
      </c>
      <c r="E2705" s="35" t="str">
        <f t="shared" si="638"/>
        <v>PRBND'!</v>
      </c>
      <c r="F2705" s="34" t="str">
        <f t="shared" si="639"/>
        <v>C:\Users\jaime.benazar\Quorum Business Solutions\Ecopetrol Prometeo - Documents\Planning Space Implementation\3. Analysis &amp; Design\Design\FC22\DRR Jaime\QUIFA-CAJÚA\Cajua\[CAJUA_CF_SEC_New_27-Feb-2024Rev3.xlsx]D-PRBND'!</v>
      </c>
      <c r="G2705" s="32" t="s">
        <v>116</v>
      </c>
      <c r="H2705" s="33"/>
      <c r="I2705" s="33"/>
      <c r="J2705" s="37"/>
    </row>
    <row r="2706" spans="1:10" x14ac:dyDescent="0.25">
      <c r="A2706" s="32" t="s">
        <v>101</v>
      </c>
      <c r="B2706" s="32">
        <f t="shared" si="640"/>
        <v>2029</v>
      </c>
      <c r="C2706" s="33" t="s">
        <v>23</v>
      </c>
      <c r="D2706" s="34" t="s">
        <v>1999</v>
      </c>
      <c r="E2706" s="35" t="str">
        <f t="shared" si="638"/>
        <v>PRBND'!</v>
      </c>
      <c r="F2706" s="34" t="str">
        <f t="shared" si="639"/>
        <v>C:\Users\jaime.benazar\Quorum Business Solutions\Ecopetrol Prometeo - Documents\Planning Space Implementation\3. Analysis &amp; Design\Design\FC22\DRR Jaime\QUIFA-CAJÚA\Cajua\[CAJUA_CF_SEC_New_27-Feb-2024Rev3.xlsx]D-PRBND'!</v>
      </c>
      <c r="G2706" s="32" t="s">
        <v>116</v>
      </c>
      <c r="H2706" s="33"/>
      <c r="I2706" s="33"/>
      <c r="J2706" s="37"/>
    </row>
    <row r="2707" spans="1:10" x14ac:dyDescent="0.25">
      <c r="A2707" s="32" t="s">
        <v>101</v>
      </c>
      <c r="B2707" s="32">
        <f t="shared" si="640"/>
        <v>2030</v>
      </c>
      <c r="C2707" s="33" t="s">
        <v>23</v>
      </c>
      <c r="D2707" s="34" t="s">
        <v>1999</v>
      </c>
      <c r="E2707" s="35" t="str">
        <f t="shared" si="638"/>
        <v>PRBND'!</v>
      </c>
      <c r="F2707" s="34" t="str">
        <f t="shared" si="639"/>
        <v>C:\Users\jaime.benazar\Quorum Business Solutions\Ecopetrol Prometeo - Documents\Planning Space Implementation\3. Analysis &amp; Design\Design\FC22\DRR Jaime\QUIFA-CAJÚA\Cajua\[CAJUA_CF_SEC_New_27-Feb-2024Rev3.xlsx]D-PRBND'!</v>
      </c>
      <c r="G2707" s="32" t="s">
        <v>116</v>
      </c>
      <c r="H2707" s="33"/>
      <c r="I2707" s="33"/>
      <c r="J2707" s="37"/>
    </row>
    <row r="2708" spans="1:10" x14ac:dyDescent="0.25">
      <c r="A2708" s="32" t="s">
        <v>101</v>
      </c>
      <c r="B2708" s="32">
        <f t="shared" si="640"/>
        <v>2031</v>
      </c>
      <c r="C2708" s="33" t="s">
        <v>23</v>
      </c>
      <c r="D2708" s="34" t="s">
        <v>1999</v>
      </c>
      <c r="E2708" s="35" t="str">
        <f t="shared" si="638"/>
        <v>PRBND'!</v>
      </c>
      <c r="F2708" s="34" t="str">
        <f t="shared" si="639"/>
        <v>C:\Users\jaime.benazar\Quorum Business Solutions\Ecopetrol Prometeo - Documents\Planning Space Implementation\3. Analysis &amp; Design\Design\FC22\DRR Jaime\QUIFA-CAJÚA\Cajua\[CAJUA_CF_SEC_New_27-Feb-2024Rev3.xlsx]D-PRBND'!</v>
      </c>
      <c r="G2708" s="32" t="s">
        <v>116</v>
      </c>
      <c r="H2708" s="33"/>
      <c r="I2708" s="33"/>
      <c r="J2708" s="37"/>
    </row>
    <row r="2709" spans="1:10" x14ac:dyDescent="0.25">
      <c r="A2709" s="32" t="s">
        <v>101</v>
      </c>
      <c r="B2709" s="32">
        <f t="shared" si="640"/>
        <v>2032</v>
      </c>
      <c r="C2709" s="33" t="s">
        <v>23</v>
      </c>
      <c r="D2709" s="34" t="s">
        <v>1999</v>
      </c>
      <c r="E2709" s="35" t="str">
        <f t="shared" si="638"/>
        <v>PRBND'!</v>
      </c>
      <c r="F2709" s="34" t="str">
        <f t="shared" si="639"/>
        <v>C:\Users\jaime.benazar\Quorum Business Solutions\Ecopetrol Prometeo - Documents\Planning Space Implementation\3. Analysis &amp; Design\Design\FC22\DRR Jaime\QUIFA-CAJÚA\Cajua\[CAJUA_CF_SEC_New_27-Feb-2024Rev3.xlsx]D-PRBND'!</v>
      </c>
      <c r="G2709" s="32" t="s">
        <v>116</v>
      </c>
      <c r="H2709" s="33"/>
      <c r="I2709" s="33"/>
      <c r="J2709" s="37"/>
    </row>
    <row r="2710" spans="1:10" x14ac:dyDescent="0.25">
      <c r="A2710" s="32" t="s">
        <v>101</v>
      </c>
      <c r="B2710" s="32">
        <f t="shared" si="640"/>
        <v>2033</v>
      </c>
      <c r="C2710" s="33" t="s">
        <v>23</v>
      </c>
      <c r="D2710" s="34" t="s">
        <v>1999</v>
      </c>
      <c r="E2710" s="35" t="str">
        <f t="shared" si="638"/>
        <v>PRBND'!</v>
      </c>
      <c r="F2710" s="34" t="str">
        <f t="shared" si="639"/>
        <v>C:\Users\jaime.benazar\Quorum Business Solutions\Ecopetrol Prometeo - Documents\Planning Space Implementation\3. Analysis &amp; Design\Design\FC22\DRR Jaime\QUIFA-CAJÚA\Cajua\[CAJUA_CF_SEC_New_27-Feb-2024Rev3.xlsx]D-PRBND'!</v>
      </c>
      <c r="G2710" s="32" t="s">
        <v>116</v>
      </c>
      <c r="H2710" s="33"/>
      <c r="I2710" s="33"/>
      <c r="J2710" s="37"/>
    </row>
    <row r="2711" spans="1:10" x14ac:dyDescent="0.25">
      <c r="A2711" s="32" t="s">
        <v>101</v>
      </c>
      <c r="B2711" s="32">
        <f t="shared" si="640"/>
        <v>2034</v>
      </c>
      <c r="C2711" s="33" t="s">
        <v>23</v>
      </c>
      <c r="D2711" s="34" t="s">
        <v>1999</v>
      </c>
      <c r="E2711" s="35" t="str">
        <f t="shared" si="638"/>
        <v>PRBND'!</v>
      </c>
      <c r="F2711" s="34" t="str">
        <f t="shared" si="639"/>
        <v>C:\Users\jaime.benazar\Quorum Business Solutions\Ecopetrol Prometeo - Documents\Planning Space Implementation\3. Analysis &amp; Design\Design\FC22\DRR Jaime\QUIFA-CAJÚA\Cajua\[CAJUA_CF_SEC_New_27-Feb-2024Rev3.xlsx]D-PRBND'!</v>
      </c>
      <c r="G2711" s="32" t="s">
        <v>116</v>
      </c>
      <c r="H2711" s="33"/>
      <c r="I2711" s="33"/>
      <c r="J2711" s="37"/>
    </row>
    <row r="2712" spans="1:10" x14ac:dyDescent="0.25">
      <c r="A2712" s="32" t="s">
        <v>101</v>
      </c>
      <c r="B2712" s="32">
        <f t="shared" si="640"/>
        <v>2035</v>
      </c>
      <c r="C2712" s="33" t="s">
        <v>23</v>
      </c>
      <c r="D2712" s="34" t="s">
        <v>1999</v>
      </c>
      <c r="E2712" s="35" t="str">
        <f t="shared" si="638"/>
        <v>PRBND'!</v>
      </c>
      <c r="F2712" s="34" t="str">
        <f t="shared" si="639"/>
        <v>C:\Users\jaime.benazar\Quorum Business Solutions\Ecopetrol Prometeo - Documents\Planning Space Implementation\3. Analysis &amp; Design\Design\FC22\DRR Jaime\QUIFA-CAJÚA\Cajua\[CAJUA_CF_SEC_New_27-Feb-2024Rev3.xlsx]D-PRBND'!</v>
      </c>
      <c r="G2712" s="32" t="s">
        <v>116</v>
      </c>
      <c r="H2712" s="33"/>
      <c r="I2712" s="33"/>
      <c r="J2712" s="37"/>
    </row>
    <row r="2713" spans="1:10" x14ac:dyDescent="0.25">
      <c r="A2713" s="32" t="s">
        <v>101</v>
      </c>
      <c r="B2713" s="32">
        <f t="shared" si="640"/>
        <v>2036</v>
      </c>
      <c r="C2713" s="33" t="s">
        <v>23</v>
      </c>
      <c r="D2713" s="34" t="s">
        <v>1999</v>
      </c>
      <c r="E2713" s="35" t="str">
        <f t="shared" si="638"/>
        <v>PRBND'!</v>
      </c>
      <c r="F2713" s="34" t="str">
        <f t="shared" si="639"/>
        <v>C:\Users\jaime.benazar\Quorum Business Solutions\Ecopetrol Prometeo - Documents\Planning Space Implementation\3. Analysis &amp; Design\Design\FC22\DRR Jaime\QUIFA-CAJÚA\Cajua\[CAJUA_CF_SEC_New_27-Feb-2024Rev3.xlsx]D-PRBND'!</v>
      </c>
      <c r="G2713" s="32" t="s">
        <v>116</v>
      </c>
      <c r="H2713" s="33"/>
      <c r="I2713" s="33"/>
      <c r="J2713" s="37"/>
    </row>
    <row r="2714" spans="1:10" x14ac:dyDescent="0.25">
      <c r="A2714" s="32" t="s">
        <v>101</v>
      </c>
      <c r="B2714" s="32">
        <f>+B2713+1</f>
        <v>2037</v>
      </c>
      <c r="C2714" s="33" t="s">
        <v>23</v>
      </c>
      <c r="D2714" s="34" t="s">
        <v>1999</v>
      </c>
      <c r="E2714" s="35" t="str">
        <f t="shared" si="638"/>
        <v>PRBND'!</v>
      </c>
      <c r="F2714" s="34" t="str">
        <f t="shared" si="639"/>
        <v>C:\Users\jaime.benazar\Quorum Business Solutions\Ecopetrol Prometeo - Documents\Planning Space Implementation\3. Analysis &amp; Design\Design\FC22\DRR Jaime\QUIFA-CAJÚA\Cajua\[CAJUA_CF_SEC_New_27-Feb-2024Rev3.xlsx]D-PRBND'!</v>
      </c>
      <c r="G2714" s="32" t="s">
        <v>116</v>
      </c>
      <c r="H2714" s="33"/>
      <c r="I2714" s="33"/>
      <c r="J2714" s="37"/>
    </row>
    <row r="2715" spans="1:10" x14ac:dyDescent="0.25">
      <c r="A2715" s="32" t="s">
        <v>101</v>
      </c>
      <c r="B2715" s="32">
        <f t="shared" ref="B2715:B2717" si="641">+B2714+1</f>
        <v>2038</v>
      </c>
      <c r="C2715" s="33" t="s">
        <v>23</v>
      </c>
      <c r="D2715" s="34" t="s">
        <v>1999</v>
      </c>
      <c r="E2715" s="35" t="str">
        <f t="shared" si="638"/>
        <v>PRBND'!</v>
      </c>
      <c r="F2715" s="34" t="str">
        <f t="shared" si="639"/>
        <v>C:\Users\jaime.benazar\Quorum Business Solutions\Ecopetrol Prometeo - Documents\Planning Space Implementation\3. Analysis &amp; Design\Design\FC22\DRR Jaime\QUIFA-CAJÚA\Cajua\[CAJUA_CF_SEC_New_27-Feb-2024Rev3.xlsx]D-PRBND'!</v>
      </c>
      <c r="G2715" s="32" t="s">
        <v>116</v>
      </c>
      <c r="H2715" s="33"/>
      <c r="I2715" s="33"/>
      <c r="J2715" s="37"/>
    </row>
    <row r="2716" spans="1:10" x14ac:dyDescent="0.25">
      <c r="A2716" s="32" t="s">
        <v>101</v>
      </c>
      <c r="B2716" s="32">
        <f t="shared" si="641"/>
        <v>2039</v>
      </c>
      <c r="C2716" s="33" t="s">
        <v>23</v>
      </c>
      <c r="D2716" s="34" t="s">
        <v>1999</v>
      </c>
      <c r="E2716" s="35" t="str">
        <f t="shared" si="638"/>
        <v>PRBND'!</v>
      </c>
      <c r="F2716" s="34" t="str">
        <f t="shared" si="639"/>
        <v>C:\Users\jaime.benazar\Quorum Business Solutions\Ecopetrol Prometeo - Documents\Planning Space Implementation\3. Analysis &amp; Design\Design\FC22\DRR Jaime\QUIFA-CAJÚA\Cajua\[CAJUA_CF_SEC_New_27-Feb-2024Rev3.xlsx]D-PRBND'!</v>
      </c>
      <c r="G2716" s="32" t="s">
        <v>116</v>
      </c>
      <c r="H2716" s="33"/>
      <c r="I2716" s="33"/>
      <c r="J2716" s="37"/>
    </row>
    <row r="2717" spans="1:10" x14ac:dyDescent="0.25">
      <c r="A2717" s="32" t="s">
        <v>101</v>
      </c>
      <c r="B2717" s="32">
        <f t="shared" si="641"/>
        <v>2040</v>
      </c>
      <c r="C2717" s="33" t="s">
        <v>23</v>
      </c>
      <c r="D2717" s="34" t="s">
        <v>1999</v>
      </c>
      <c r="E2717" s="35" t="str">
        <f t="shared" si="638"/>
        <v>PRBND'!</v>
      </c>
      <c r="F2717" s="34" t="str">
        <f t="shared" si="639"/>
        <v>C:\Users\jaime.benazar\Quorum Business Solutions\Ecopetrol Prometeo - Documents\Planning Space Implementation\3. Analysis &amp; Design\Design\FC22\DRR Jaime\QUIFA-CAJÚA\Cajua\[CAJUA_CF_SEC_New_27-Feb-2024Rev3.xlsx]D-PRBND'!</v>
      </c>
      <c r="G2717" s="32" t="s">
        <v>116</v>
      </c>
      <c r="H2717" s="33"/>
      <c r="I2717" s="33"/>
      <c r="J2717" s="37"/>
    </row>
    <row r="2718" spans="1:10" x14ac:dyDescent="0.25">
      <c r="A2718" s="32" t="s">
        <v>101</v>
      </c>
      <c r="B2718" s="32">
        <f>+B2717+1</f>
        <v>2041</v>
      </c>
      <c r="C2718" s="33" t="s">
        <v>23</v>
      </c>
      <c r="D2718" s="34" t="s">
        <v>1999</v>
      </c>
      <c r="E2718" s="35" t="str">
        <f t="shared" si="638"/>
        <v>PRBND'!</v>
      </c>
      <c r="F2718" s="34" t="str">
        <f t="shared" si="639"/>
        <v>C:\Users\jaime.benazar\Quorum Business Solutions\Ecopetrol Prometeo - Documents\Planning Space Implementation\3. Analysis &amp; Design\Design\FC22\DRR Jaime\QUIFA-CAJÚA\Cajua\[CAJUA_CF_SEC_New_27-Feb-2024Rev3.xlsx]D-PRBND'!</v>
      </c>
      <c r="G2718" s="32" t="s">
        <v>116</v>
      </c>
      <c r="H2718" s="33"/>
      <c r="I2718" s="33"/>
      <c r="J2718" s="37"/>
    </row>
    <row r="2719" spans="1:10" x14ac:dyDescent="0.25">
      <c r="A2719" s="32" t="s">
        <v>101</v>
      </c>
      <c r="B2719" s="32">
        <f t="shared" ref="B2719:B2720" si="642">+B2718+1</f>
        <v>2042</v>
      </c>
      <c r="C2719" s="33" t="s">
        <v>23</v>
      </c>
      <c r="D2719" s="34" t="s">
        <v>1999</v>
      </c>
      <c r="E2719" s="35" t="str">
        <f t="shared" si="638"/>
        <v>PRBND'!</v>
      </c>
      <c r="F2719" s="34" t="str">
        <f t="shared" si="639"/>
        <v>C:\Users\jaime.benazar\Quorum Business Solutions\Ecopetrol Prometeo - Documents\Planning Space Implementation\3. Analysis &amp; Design\Design\FC22\DRR Jaime\QUIFA-CAJÚA\Cajua\[CAJUA_CF_SEC_New_27-Feb-2024Rev3.xlsx]D-PRBND'!</v>
      </c>
      <c r="G2719" s="32" t="s">
        <v>116</v>
      </c>
      <c r="H2719" s="33"/>
      <c r="I2719" s="33"/>
      <c r="J2719" s="37"/>
    </row>
    <row r="2720" spans="1:10" x14ac:dyDescent="0.25">
      <c r="A2720" s="32" t="s">
        <v>101</v>
      </c>
      <c r="B2720" s="32">
        <f t="shared" si="642"/>
        <v>2043</v>
      </c>
      <c r="C2720" s="33" t="s">
        <v>23</v>
      </c>
      <c r="D2720" s="34" t="s">
        <v>1999</v>
      </c>
      <c r="E2720" s="35" t="str">
        <f t="shared" si="638"/>
        <v>PRBND'!</v>
      </c>
      <c r="F2720" s="34" t="str">
        <f t="shared" si="639"/>
        <v>C:\Users\jaime.benazar\Quorum Business Solutions\Ecopetrol Prometeo - Documents\Planning Space Implementation\3. Analysis &amp; Design\Design\FC22\DRR Jaime\QUIFA-CAJÚA\Cajua\[CAJUA_CF_SEC_New_27-Feb-2024Rev3.xlsx]D-PRBND'!</v>
      </c>
      <c r="G2720" s="32" t="s">
        <v>116</v>
      </c>
      <c r="H2720" s="33"/>
      <c r="I2720" s="33"/>
      <c r="J2720" s="37"/>
    </row>
    <row r="2721" spans="1:10" x14ac:dyDescent="0.25">
      <c r="A2721" s="32" t="s">
        <v>101</v>
      </c>
      <c r="B2721" s="32">
        <f>+B2720+1</f>
        <v>2044</v>
      </c>
      <c r="C2721" s="33" t="s">
        <v>23</v>
      </c>
      <c r="D2721" s="34" t="s">
        <v>1999</v>
      </c>
      <c r="E2721" s="35" t="str">
        <f t="shared" ref="E2721:E2736" si="643">_xlfn.CONCAT(A2721,"'!")</f>
        <v>PRBND'!</v>
      </c>
      <c r="F2721" s="34" t="str">
        <f t="shared" ref="F2721:F2736" si="644">_xlfn.CONCAT(D2721:E2721)</f>
        <v>C:\Users\jaime.benazar\Quorum Business Solutions\Ecopetrol Prometeo - Documents\Planning Space Implementation\3. Analysis &amp; Design\Design\FC22\DRR Jaime\QUIFA-CAJÚA\Cajua\[CAJUA_CF_SEC_New_27-Feb-2024Rev3.xlsx]D-PRBND'!</v>
      </c>
      <c r="G2721" s="32" t="s">
        <v>116</v>
      </c>
      <c r="H2721" s="33"/>
      <c r="I2721" s="33"/>
      <c r="J2721" s="37"/>
    </row>
    <row r="2722" spans="1:10" x14ac:dyDescent="0.25">
      <c r="A2722" s="32" t="s">
        <v>101</v>
      </c>
      <c r="B2722" s="32">
        <f t="shared" ref="B2722:B2736" si="645">+B2721+1</f>
        <v>2045</v>
      </c>
      <c r="C2722" s="33" t="s">
        <v>23</v>
      </c>
      <c r="D2722" s="34" t="s">
        <v>1999</v>
      </c>
      <c r="E2722" s="35" t="str">
        <f t="shared" si="643"/>
        <v>PRBND'!</v>
      </c>
      <c r="F2722" s="34" t="str">
        <f t="shared" si="644"/>
        <v>C:\Users\jaime.benazar\Quorum Business Solutions\Ecopetrol Prometeo - Documents\Planning Space Implementation\3. Analysis &amp; Design\Design\FC22\DRR Jaime\QUIFA-CAJÚA\Cajua\[CAJUA_CF_SEC_New_27-Feb-2024Rev3.xlsx]D-PRBND'!</v>
      </c>
      <c r="G2722" s="32" t="s">
        <v>116</v>
      </c>
      <c r="H2722" s="33"/>
      <c r="I2722" s="33"/>
      <c r="J2722" s="37"/>
    </row>
    <row r="2723" spans="1:10" x14ac:dyDescent="0.25">
      <c r="A2723" s="32" t="s">
        <v>101</v>
      </c>
      <c r="B2723" s="32">
        <f t="shared" si="645"/>
        <v>2046</v>
      </c>
      <c r="C2723" s="33" t="s">
        <v>23</v>
      </c>
      <c r="D2723" s="34" t="s">
        <v>1999</v>
      </c>
      <c r="E2723" s="35" t="str">
        <f t="shared" si="643"/>
        <v>PRBND'!</v>
      </c>
      <c r="F2723" s="34" t="str">
        <f t="shared" si="644"/>
        <v>C:\Users\jaime.benazar\Quorum Business Solutions\Ecopetrol Prometeo - Documents\Planning Space Implementation\3. Analysis &amp; Design\Design\FC22\DRR Jaime\QUIFA-CAJÚA\Cajua\[CAJUA_CF_SEC_New_27-Feb-2024Rev3.xlsx]D-PRBND'!</v>
      </c>
      <c r="G2723" s="32" t="s">
        <v>116</v>
      </c>
      <c r="H2723" s="33"/>
      <c r="I2723" s="33"/>
      <c r="J2723" s="37"/>
    </row>
    <row r="2724" spans="1:10" x14ac:dyDescent="0.25">
      <c r="A2724" s="32" t="s">
        <v>101</v>
      </c>
      <c r="B2724" s="32">
        <f t="shared" si="645"/>
        <v>2047</v>
      </c>
      <c r="C2724" s="33" t="s">
        <v>23</v>
      </c>
      <c r="D2724" s="34" t="s">
        <v>1999</v>
      </c>
      <c r="E2724" s="35" t="str">
        <f t="shared" si="643"/>
        <v>PRBND'!</v>
      </c>
      <c r="F2724" s="34" t="str">
        <f t="shared" si="644"/>
        <v>C:\Users\jaime.benazar\Quorum Business Solutions\Ecopetrol Prometeo - Documents\Planning Space Implementation\3. Analysis &amp; Design\Design\FC22\DRR Jaime\QUIFA-CAJÚA\Cajua\[CAJUA_CF_SEC_New_27-Feb-2024Rev3.xlsx]D-PRBND'!</v>
      </c>
      <c r="G2724" s="32" t="s">
        <v>116</v>
      </c>
      <c r="H2724" s="33"/>
      <c r="I2724" s="33"/>
      <c r="J2724" s="37"/>
    </row>
    <row r="2725" spans="1:10" x14ac:dyDescent="0.25">
      <c r="A2725" s="32" t="s">
        <v>101</v>
      </c>
      <c r="B2725" s="32">
        <f t="shared" si="645"/>
        <v>2048</v>
      </c>
      <c r="C2725" s="33" t="s">
        <v>23</v>
      </c>
      <c r="D2725" s="34" t="s">
        <v>1999</v>
      </c>
      <c r="E2725" s="35" t="str">
        <f t="shared" si="643"/>
        <v>PRBND'!</v>
      </c>
      <c r="F2725" s="34" t="str">
        <f t="shared" si="644"/>
        <v>C:\Users\jaime.benazar\Quorum Business Solutions\Ecopetrol Prometeo - Documents\Planning Space Implementation\3. Analysis &amp; Design\Design\FC22\DRR Jaime\QUIFA-CAJÚA\Cajua\[CAJUA_CF_SEC_New_27-Feb-2024Rev3.xlsx]D-PRBND'!</v>
      </c>
      <c r="G2725" s="32" t="s">
        <v>116</v>
      </c>
      <c r="H2725" s="33"/>
      <c r="I2725" s="33"/>
      <c r="J2725" s="37"/>
    </row>
    <row r="2726" spans="1:10" x14ac:dyDescent="0.25">
      <c r="A2726" s="32" t="s">
        <v>101</v>
      </c>
      <c r="B2726" s="32">
        <f t="shared" si="645"/>
        <v>2049</v>
      </c>
      <c r="C2726" s="33" t="s">
        <v>23</v>
      </c>
      <c r="D2726" s="34" t="s">
        <v>1999</v>
      </c>
      <c r="E2726" s="35" t="str">
        <f t="shared" si="643"/>
        <v>PRBND'!</v>
      </c>
      <c r="F2726" s="34" t="str">
        <f t="shared" si="644"/>
        <v>C:\Users\jaime.benazar\Quorum Business Solutions\Ecopetrol Prometeo - Documents\Planning Space Implementation\3. Analysis &amp; Design\Design\FC22\DRR Jaime\QUIFA-CAJÚA\Cajua\[CAJUA_CF_SEC_New_27-Feb-2024Rev3.xlsx]D-PRBND'!</v>
      </c>
      <c r="G2726" s="32" t="s">
        <v>116</v>
      </c>
      <c r="H2726" s="33"/>
      <c r="I2726" s="33"/>
      <c r="J2726" s="37"/>
    </row>
    <row r="2727" spans="1:10" x14ac:dyDescent="0.25">
      <c r="A2727" s="32" t="s">
        <v>101</v>
      </c>
      <c r="B2727" s="32">
        <f t="shared" si="645"/>
        <v>2050</v>
      </c>
      <c r="C2727" s="33" t="s">
        <v>23</v>
      </c>
      <c r="D2727" s="34" t="s">
        <v>1999</v>
      </c>
      <c r="E2727" s="35" t="str">
        <f t="shared" si="643"/>
        <v>PRBND'!</v>
      </c>
      <c r="F2727" s="34" t="str">
        <f t="shared" si="644"/>
        <v>C:\Users\jaime.benazar\Quorum Business Solutions\Ecopetrol Prometeo - Documents\Planning Space Implementation\3. Analysis &amp; Design\Design\FC22\DRR Jaime\QUIFA-CAJÚA\Cajua\[CAJUA_CF_SEC_New_27-Feb-2024Rev3.xlsx]D-PRBND'!</v>
      </c>
      <c r="G2727" s="32" t="s">
        <v>116</v>
      </c>
      <c r="H2727" s="33"/>
      <c r="I2727" s="33"/>
      <c r="J2727" s="37"/>
    </row>
    <row r="2728" spans="1:10" x14ac:dyDescent="0.25">
      <c r="A2728" s="32" t="s">
        <v>101</v>
      </c>
      <c r="B2728" s="32">
        <f t="shared" si="645"/>
        <v>2051</v>
      </c>
      <c r="C2728" s="33" t="s">
        <v>23</v>
      </c>
      <c r="D2728" s="34" t="s">
        <v>1999</v>
      </c>
      <c r="E2728" s="35" t="str">
        <f t="shared" si="643"/>
        <v>PRBND'!</v>
      </c>
      <c r="F2728" s="34" t="str">
        <f t="shared" si="644"/>
        <v>C:\Users\jaime.benazar\Quorum Business Solutions\Ecopetrol Prometeo - Documents\Planning Space Implementation\3. Analysis &amp; Design\Design\FC22\DRR Jaime\QUIFA-CAJÚA\Cajua\[CAJUA_CF_SEC_New_27-Feb-2024Rev3.xlsx]D-PRBND'!</v>
      </c>
      <c r="G2728" s="32" t="s">
        <v>116</v>
      </c>
      <c r="H2728" s="33"/>
      <c r="I2728" s="33"/>
      <c r="J2728" s="37"/>
    </row>
    <row r="2729" spans="1:10" x14ac:dyDescent="0.25">
      <c r="A2729" s="32" t="s">
        <v>101</v>
      </c>
      <c r="B2729" s="32">
        <f t="shared" si="645"/>
        <v>2052</v>
      </c>
      <c r="C2729" s="33" t="s">
        <v>23</v>
      </c>
      <c r="D2729" s="34" t="s">
        <v>1999</v>
      </c>
      <c r="E2729" s="35" t="str">
        <f t="shared" si="643"/>
        <v>PRBND'!</v>
      </c>
      <c r="F2729" s="34" t="str">
        <f t="shared" si="644"/>
        <v>C:\Users\jaime.benazar\Quorum Business Solutions\Ecopetrol Prometeo - Documents\Planning Space Implementation\3. Analysis &amp; Design\Design\FC22\DRR Jaime\QUIFA-CAJÚA\Cajua\[CAJUA_CF_SEC_New_27-Feb-2024Rev3.xlsx]D-PRBND'!</v>
      </c>
      <c r="G2729" s="32" t="s">
        <v>116</v>
      </c>
      <c r="H2729" s="33"/>
      <c r="I2729" s="33"/>
      <c r="J2729" s="37"/>
    </row>
    <row r="2730" spans="1:10" x14ac:dyDescent="0.25">
      <c r="A2730" s="32" t="s">
        <v>101</v>
      </c>
      <c r="B2730" s="32">
        <f t="shared" si="645"/>
        <v>2053</v>
      </c>
      <c r="C2730" s="33" t="s">
        <v>23</v>
      </c>
      <c r="D2730" s="34" t="s">
        <v>1999</v>
      </c>
      <c r="E2730" s="35" t="str">
        <f t="shared" si="643"/>
        <v>PRBND'!</v>
      </c>
      <c r="F2730" s="34" t="str">
        <f t="shared" si="644"/>
        <v>C:\Users\jaime.benazar\Quorum Business Solutions\Ecopetrol Prometeo - Documents\Planning Space Implementation\3. Analysis &amp; Design\Design\FC22\DRR Jaime\QUIFA-CAJÚA\Cajua\[CAJUA_CF_SEC_New_27-Feb-2024Rev3.xlsx]D-PRBND'!</v>
      </c>
      <c r="G2730" s="32" t="s">
        <v>116</v>
      </c>
      <c r="H2730" s="33"/>
      <c r="I2730" s="33"/>
      <c r="J2730" s="37"/>
    </row>
    <row r="2731" spans="1:10" x14ac:dyDescent="0.25">
      <c r="A2731" s="32" t="s">
        <v>101</v>
      </c>
      <c r="B2731" s="32">
        <f t="shared" si="645"/>
        <v>2054</v>
      </c>
      <c r="C2731" s="33" t="s">
        <v>23</v>
      </c>
      <c r="D2731" s="34" t="s">
        <v>1999</v>
      </c>
      <c r="E2731" s="35" t="str">
        <f t="shared" si="643"/>
        <v>PRBND'!</v>
      </c>
      <c r="F2731" s="34" t="str">
        <f t="shared" si="644"/>
        <v>C:\Users\jaime.benazar\Quorum Business Solutions\Ecopetrol Prometeo - Documents\Planning Space Implementation\3. Analysis &amp; Design\Design\FC22\DRR Jaime\QUIFA-CAJÚA\Cajua\[CAJUA_CF_SEC_New_27-Feb-2024Rev3.xlsx]D-PRBND'!</v>
      </c>
      <c r="G2731" s="32" t="s">
        <v>116</v>
      </c>
      <c r="H2731" s="33"/>
      <c r="I2731" s="33"/>
      <c r="J2731" s="37"/>
    </row>
    <row r="2732" spans="1:10" x14ac:dyDescent="0.25">
      <c r="A2732" s="32" t="s">
        <v>101</v>
      </c>
      <c r="B2732" s="32">
        <f t="shared" si="645"/>
        <v>2055</v>
      </c>
      <c r="C2732" s="33" t="s">
        <v>23</v>
      </c>
      <c r="D2732" s="34" t="s">
        <v>1999</v>
      </c>
      <c r="E2732" s="35" t="str">
        <f t="shared" si="643"/>
        <v>PRBND'!</v>
      </c>
      <c r="F2732" s="34" t="str">
        <f t="shared" si="644"/>
        <v>C:\Users\jaime.benazar\Quorum Business Solutions\Ecopetrol Prometeo - Documents\Planning Space Implementation\3. Analysis &amp; Design\Design\FC22\DRR Jaime\QUIFA-CAJÚA\Cajua\[CAJUA_CF_SEC_New_27-Feb-2024Rev3.xlsx]D-PRBND'!</v>
      </c>
      <c r="G2732" s="32" t="s">
        <v>116</v>
      </c>
      <c r="H2732" s="33"/>
      <c r="I2732" s="33"/>
      <c r="J2732" s="37"/>
    </row>
    <row r="2733" spans="1:10" x14ac:dyDescent="0.25">
      <c r="A2733" s="32" t="s">
        <v>101</v>
      </c>
      <c r="B2733" s="32">
        <f t="shared" si="645"/>
        <v>2056</v>
      </c>
      <c r="C2733" s="33" t="s">
        <v>23</v>
      </c>
      <c r="D2733" s="34" t="s">
        <v>1999</v>
      </c>
      <c r="E2733" s="35" t="str">
        <f t="shared" si="643"/>
        <v>PRBND'!</v>
      </c>
      <c r="F2733" s="34" t="str">
        <f t="shared" si="644"/>
        <v>C:\Users\jaime.benazar\Quorum Business Solutions\Ecopetrol Prometeo - Documents\Planning Space Implementation\3. Analysis &amp; Design\Design\FC22\DRR Jaime\QUIFA-CAJÚA\Cajua\[CAJUA_CF_SEC_New_27-Feb-2024Rev3.xlsx]D-PRBND'!</v>
      </c>
      <c r="G2733" s="32" t="s">
        <v>116</v>
      </c>
      <c r="H2733" s="33"/>
      <c r="I2733" s="33"/>
      <c r="J2733" s="37"/>
    </row>
    <row r="2734" spans="1:10" x14ac:dyDescent="0.25">
      <c r="A2734" s="32" t="s">
        <v>101</v>
      </c>
      <c r="B2734" s="32">
        <f t="shared" si="645"/>
        <v>2057</v>
      </c>
      <c r="C2734" s="33" t="s">
        <v>23</v>
      </c>
      <c r="D2734" s="34" t="s">
        <v>1999</v>
      </c>
      <c r="E2734" s="35" t="str">
        <f t="shared" si="643"/>
        <v>PRBND'!</v>
      </c>
      <c r="F2734" s="34" t="str">
        <f t="shared" si="644"/>
        <v>C:\Users\jaime.benazar\Quorum Business Solutions\Ecopetrol Prometeo - Documents\Planning Space Implementation\3. Analysis &amp; Design\Design\FC22\DRR Jaime\QUIFA-CAJÚA\Cajua\[CAJUA_CF_SEC_New_27-Feb-2024Rev3.xlsx]D-PRBND'!</v>
      </c>
      <c r="G2734" s="32" t="s">
        <v>116</v>
      </c>
      <c r="H2734" s="33"/>
      <c r="I2734" s="33"/>
      <c r="J2734" s="37"/>
    </row>
    <row r="2735" spans="1:10" x14ac:dyDescent="0.25">
      <c r="A2735" s="32" t="s">
        <v>101</v>
      </c>
      <c r="B2735" s="32">
        <f t="shared" si="645"/>
        <v>2058</v>
      </c>
      <c r="C2735" s="33" t="s">
        <v>23</v>
      </c>
      <c r="D2735" s="34" t="s">
        <v>1999</v>
      </c>
      <c r="E2735" s="35" t="str">
        <f t="shared" si="643"/>
        <v>PRBND'!</v>
      </c>
      <c r="F2735" s="34" t="str">
        <f t="shared" si="644"/>
        <v>C:\Users\jaime.benazar\Quorum Business Solutions\Ecopetrol Prometeo - Documents\Planning Space Implementation\3. Analysis &amp; Design\Design\FC22\DRR Jaime\QUIFA-CAJÚA\Cajua\[CAJUA_CF_SEC_New_27-Feb-2024Rev3.xlsx]D-PRBND'!</v>
      </c>
      <c r="G2735" s="32" t="s">
        <v>116</v>
      </c>
      <c r="H2735" s="33"/>
      <c r="I2735" s="33"/>
      <c r="J2735" s="37"/>
    </row>
    <row r="2736" spans="1:10" x14ac:dyDescent="0.25">
      <c r="A2736" s="32" t="s">
        <v>101</v>
      </c>
      <c r="B2736" s="32">
        <f t="shared" si="645"/>
        <v>2059</v>
      </c>
      <c r="C2736" s="33" t="s">
        <v>23</v>
      </c>
      <c r="D2736" s="34" t="s">
        <v>1999</v>
      </c>
      <c r="E2736" s="35" t="str">
        <f t="shared" si="643"/>
        <v>PRBND'!</v>
      </c>
      <c r="F2736" s="34" t="str">
        <f t="shared" si="644"/>
        <v>C:\Users\jaime.benazar\Quorum Business Solutions\Ecopetrol Prometeo - Documents\Planning Space Implementation\3. Analysis &amp; Design\Design\FC22\DRR Jaime\QUIFA-CAJÚA\Cajua\[CAJUA_CF_SEC_New_27-Feb-2024Rev3.xlsx]D-PRBND'!</v>
      </c>
      <c r="G2736" s="32" t="s">
        <v>116</v>
      </c>
      <c r="H2736" s="33"/>
      <c r="I2736" s="33"/>
      <c r="J2736" s="37"/>
    </row>
    <row r="2737" spans="1:10" x14ac:dyDescent="0.25">
      <c r="A2737" s="32" t="s">
        <v>28</v>
      </c>
      <c r="B2737" s="32"/>
      <c r="C2737" s="33" t="s">
        <v>23</v>
      </c>
      <c r="D2737" s="34"/>
      <c r="E2737" s="35"/>
      <c r="F2737" s="34"/>
      <c r="G2737" s="32"/>
      <c r="H2737" s="33"/>
      <c r="I2737" s="33"/>
      <c r="J2737" s="33"/>
    </row>
    <row r="2738" spans="1:10" x14ac:dyDescent="0.25">
      <c r="A2738" s="32" t="s">
        <v>4</v>
      </c>
      <c r="B2738" s="32">
        <v>2023</v>
      </c>
      <c r="C2738" s="33" t="s">
        <v>23</v>
      </c>
      <c r="D2738" s="34" t="s">
        <v>1999</v>
      </c>
      <c r="E2738" s="35" t="str">
        <f t="shared" ref="E2738:E2910" si="646">_xlfn.CONCAT(A2738,"'!")</f>
        <v>PRB'!</v>
      </c>
      <c r="F2738" s="34" t="str">
        <f t="shared" ref="F2738:F2910" si="647">_xlfn.CONCAT(D2738:E2738)</f>
        <v>C:\Users\jaime.benazar\Quorum Business Solutions\Ecopetrol Prometeo - Documents\Planning Space Implementation\3. Analysis &amp; Design\Design\FC22\DRR Jaime\QUIFA-CAJÚA\Cajua\[CAJUA_CF_SEC_New_27-Feb-2024Rev3.xlsx]D-PRB'!</v>
      </c>
      <c r="G2738" s="32" t="s">
        <v>116</v>
      </c>
      <c r="H2738" s="33">
        <v>12</v>
      </c>
      <c r="I2738" s="33" t="str">
        <f t="shared" ref="I2738:I2758" si="648">_xlfn.CONCAT("='",F2738:H2738)</f>
        <v>='C:\Users\jaime.benazar\Quorum Business Solutions\Ecopetrol Prometeo - Documents\Planning Space Implementation\3. Analysis &amp; Design\Design\FC22\DRR Jaime\QUIFA-CAJÚA\Cajua\[CAJUA_CF_SEC_New_27-Feb-2024Rev3.xlsx]D-PRB'!$EA$12</v>
      </c>
      <c r="J2738" s="37" t="s">
        <v>3221</v>
      </c>
    </row>
    <row r="2739" spans="1:10" x14ac:dyDescent="0.25">
      <c r="A2739" s="32" t="s">
        <v>4</v>
      </c>
      <c r="B2739" s="32">
        <f>+B2738+1</f>
        <v>2024</v>
      </c>
      <c r="C2739" s="33" t="s">
        <v>23</v>
      </c>
      <c r="D2739" s="34" t="s">
        <v>1999</v>
      </c>
      <c r="E2739" s="35" t="str">
        <f t="shared" si="646"/>
        <v>PRB'!</v>
      </c>
      <c r="F2739" s="34" t="str">
        <f t="shared" si="647"/>
        <v>C:\Users\jaime.benazar\Quorum Business Solutions\Ecopetrol Prometeo - Documents\Planning Space Implementation\3. Analysis &amp; Design\Design\FC22\DRR Jaime\QUIFA-CAJÚA\Cajua\[CAJUA_CF_SEC_New_27-Feb-2024Rev3.xlsx]D-PRB'!</v>
      </c>
      <c r="G2739" s="32" t="s">
        <v>116</v>
      </c>
      <c r="H2739" s="33">
        <f t="shared" ref="H2739:H2758" si="649">IF(A2739&lt;&gt;A2738,12,H2738+1)</f>
        <v>13</v>
      </c>
      <c r="I2739" s="33" t="str">
        <f t="shared" si="648"/>
        <v>='C:\Users\jaime.benazar\Quorum Business Solutions\Ecopetrol Prometeo - Documents\Planning Space Implementation\3. Analysis &amp; Design\Design\FC22\DRR Jaime\QUIFA-CAJÚA\Cajua\[CAJUA_CF_SEC_New_27-Feb-2024Rev3.xlsx]D-PRB'!$EA$13</v>
      </c>
      <c r="J2739" s="37" t="s">
        <v>3222</v>
      </c>
    </row>
    <row r="2740" spans="1:10" x14ac:dyDescent="0.25">
      <c r="A2740" s="32" t="s">
        <v>4</v>
      </c>
      <c r="B2740" s="32">
        <f t="shared" ref="B2740:B2751" si="650">+B2739+1</f>
        <v>2025</v>
      </c>
      <c r="C2740" s="33" t="s">
        <v>23</v>
      </c>
      <c r="D2740" s="34" t="s">
        <v>1999</v>
      </c>
      <c r="E2740" s="35" t="str">
        <f t="shared" si="646"/>
        <v>PRB'!</v>
      </c>
      <c r="F2740" s="34" t="str">
        <f t="shared" si="647"/>
        <v>C:\Users\jaime.benazar\Quorum Business Solutions\Ecopetrol Prometeo - Documents\Planning Space Implementation\3. Analysis &amp; Design\Design\FC22\DRR Jaime\QUIFA-CAJÚA\Cajua\[CAJUA_CF_SEC_New_27-Feb-2024Rev3.xlsx]D-PRB'!</v>
      </c>
      <c r="G2740" s="32" t="s">
        <v>116</v>
      </c>
      <c r="H2740" s="33">
        <f t="shared" si="649"/>
        <v>14</v>
      </c>
      <c r="I2740" s="33" t="str">
        <f t="shared" si="648"/>
        <v>='C:\Users\jaime.benazar\Quorum Business Solutions\Ecopetrol Prometeo - Documents\Planning Space Implementation\3. Analysis &amp; Design\Design\FC22\DRR Jaime\QUIFA-CAJÚA\Cajua\[CAJUA_CF_SEC_New_27-Feb-2024Rev3.xlsx]D-PRB'!$EA$14</v>
      </c>
      <c r="J2740" s="37" t="s">
        <v>3223</v>
      </c>
    </row>
    <row r="2741" spans="1:10" x14ac:dyDescent="0.25">
      <c r="A2741" s="32" t="s">
        <v>4</v>
      </c>
      <c r="B2741" s="32">
        <f t="shared" si="650"/>
        <v>2026</v>
      </c>
      <c r="C2741" s="33" t="s">
        <v>23</v>
      </c>
      <c r="D2741" s="34" t="s">
        <v>1999</v>
      </c>
      <c r="E2741" s="35" t="str">
        <f t="shared" si="646"/>
        <v>PRB'!</v>
      </c>
      <c r="F2741" s="34" t="str">
        <f t="shared" si="647"/>
        <v>C:\Users\jaime.benazar\Quorum Business Solutions\Ecopetrol Prometeo - Documents\Planning Space Implementation\3. Analysis &amp; Design\Design\FC22\DRR Jaime\QUIFA-CAJÚA\Cajua\[CAJUA_CF_SEC_New_27-Feb-2024Rev3.xlsx]D-PRB'!</v>
      </c>
      <c r="G2741" s="32" t="s">
        <v>116</v>
      </c>
      <c r="H2741" s="33">
        <f t="shared" si="649"/>
        <v>15</v>
      </c>
      <c r="I2741" s="33" t="str">
        <f t="shared" si="648"/>
        <v>='C:\Users\jaime.benazar\Quorum Business Solutions\Ecopetrol Prometeo - Documents\Planning Space Implementation\3. Analysis &amp; Design\Design\FC22\DRR Jaime\QUIFA-CAJÚA\Cajua\[CAJUA_CF_SEC_New_27-Feb-2024Rev3.xlsx]D-PRB'!$EA$15</v>
      </c>
      <c r="J2741" s="37" t="s">
        <v>3224</v>
      </c>
    </row>
    <row r="2742" spans="1:10" x14ac:dyDescent="0.25">
      <c r="A2742" s="32" t="s">
        <v>4</v>
      </c>
      <c r="B2742" s="32">
        <f t="shared" si="650"/>
        <v>2027</v>
      </c>
      <c r="C2742" s="33" t="s">
        <v>23</v>
      </c>
      <c r="D2742" s="34" t="s">
        <v>1999</v>
      </c>
      <c r="E2742" s="35" t="str">
        <f t="shared" si="646"/>
        <v>PRB'!</v>
      </c>
      <c r="F2742" s="34" t="str">
        <f t="shared" si="647"/>
        <v>C:\Users\jaime.benazar\Quorum Business Solutions\Ecopetrol Prometeo - Documents\Planning Space Implementation\3. Analysis &amp; Design\Design\FC22\DRR Jaime\QUIFA-CAJÚA\Cajua\[CAJUA_CF_SEC_New_27-Feb-2024Rev3.xlsx]D-PRB'!</v>
      </c>
      <c r="G2742" s="32" t="s">
        <v>116</v>
      </c>
      <c r="H2742" s="33">
        <f t="shared" si="649"/>
        <v>16</v>
      </c>
      <c r="I2742" s="33" t="str">
        <f t="shared" si="648"/>
        <v>='C:\Users\jaime.benazar\Quorum Business Solutions\Ecopetrol Prometeo - Documents\Planning Space Implementation\3. Analysis &amp; Design\Design\FC22\DRR Jaime\QUIFA-CAJÚA\Cajua\[CAJUA_CF_SEC_New_27-Feb-2024Rev3.xlsx]D-PRB'!$EA$16</v>
      </c>
      <c r="J2742" s="37" t="s">
        <v>3225</v>
      </c>
    </row>
    <row r="2743" spans="1:10" x14ac:dyDescent="0.25">
      <c r="A2743" s="32" t="s">
        <v>4</v>
      </c>
      <c r="B2743" s="32">
        <f t="shared" si="650"/>
        <v>2028</v>
      </c>
      <c r="C2743" s="33" t="s">
        <v>23</v>
      </c>
      <c r="D2743" s="34" t="s">
        <v>1999</v>
      </c>
      <c r="E2743" s="35" t="str">
        <f t="shared" si="646"/>
        <v>PRB'!</v>
      </c>
      <c r="F2743" s="34" t="str">
        <f t="shared" si="647"/>
        <v>C:\Users\jaime.benazar\Quorum Business Solutions\Ecopetrol Prometeo - Documents\Planning Space Implementation\3. Analysis &amp; Design\Design\FC22\DRR Jaime\QUIFA-CAJÚA\Cajua\[CAJUA_CF_SEC_New_27-Feb-2024Rev3.xlsx]D-PRB'!</v>
      </c>
      <c r="G2743" s="32" t="s">
        <v>116</v>
      </c>
      <c r="H2743" s="33">
        <f t="shared" si="649"/>
        <v>17</v>
      </c>
      <c r="I2743" s="33" t="str">
        <f t="shared" si="648"/>
        <v>='C:\Users\jaime.benazar\Quorum Business Solutions\Ecopetrol Prometeo - Documents\Planning Space Implementation\3. Analysis &amp; Design\Design\FC22\DRR Jaime\QUIFA-CAJÚA\Cajua\[CAJUA_CF_SEC_New_27-Feb-2024Rev3.xlsx]D-PRB'!$EA$17</v>
      </c>
      <c r="J2743" s="37" t="s">
        <v>3226</v>
      </c>
    </row>
    <row r="2744" spans="1:10" x14ac:dyDescent="0.25">
      <c r="A2744" s="32" t="s">
        <v>4</v>
      </c>
      <c r="B2744" s="32">
        <f t="shared" si="650"/>
        <v>2029</v>
      </c>
      <c r="C2744" s="33" t="s">
        <v>23</v>
      </c>
      <c r="D2744" s="34" t="s">
        <v>1999</v>
      </c>
      <c r="E2744" s="35" t="str">
        <f t="shared" si="646"/>
        <v>PRB'!</v>
      </c>
      <c r="F2744" s="34" t="str">
        <f t="shared" si="647"/>
        <v>C:\Users\jaime.benazar\Quorum Business Solutions\Ecopetrol Prometeo - Documents\Planning Space Implementation\3. Analysis &amp; Design\Design\FC22\DRR Jaime\QUIFA-CAJÚA\Cajua\[CAJUA_CF_SEC_New_27-Feb-2024Rev3.xlsx]D-PRB'!</v>
      </c>
      <c r="G2744" s="32" t="s">
        <v>116</v>
      </c>
      <c r="H2744" s="33">
        <f t="shared" si="649"/>
        <v>18</v>
      </c>
      <c r="I2744" s="33" t="str">
        <f t="shared" si="648"/>
        <v>='C:\Users\jaime.benazar\Quorum Business Solutions\Ecopetrol Prometeo - Documents\Planning Space Implementation\3. Analysis &amp; Design\Design\FC22\DRR Jaime\QUIFA-CAJÚA\Cajua\[CAJUA_CF_SEC_New_27-Feb-2024Rev3.xlsx]D-PRB'!$EA$18</v>
      </c>
      <c r="J2744" s="37" t="s">
        <v>3227</v>
      </c>
    </row>
    <row r="2745" spans="1:10" x14ac:dyDescent="0.25">
      <c r="A2745" s="32" t="s">
        <v>4</v>
      </c>
      <c r="B2745" s="32">
        <f t="shared" si="650"/>
        <v>2030</v>
      </c>
      <c r="C2745" s="33" t="s">
        <v>23</v>
      </c>
      <c r="D2745" s="34" t="s">
        <v>1999</v>
      </c>
      <c r="E2745" s="35" t="str">
        <f t="shared" si="646"/>
        <v>PRB'!</v>
      </c>
      <c r="F2745" s="34" t="str">
        <f t="shared" si="647"/>
        <v>C:\Users\jaime.benazar\Quorum Business Solutions\Ecopetrol Prometeo - Documents\Planning Space Implementation\3. Analysis &amp; Design\Design\FC22\DRR Jaime\QUIFA-CAJÚA\Cajua\[CAJUA_CF_SEC_New_27-Feb-2024Rev3.xlsx]D-PRB'!</v>
      </c>
      <c r="G2745" s="32" t="s">
        <v>116</v>
      </c>
      <c r="H2745" s="33">
        <f t="shared" si="649"/>
        <v>19</v>
      </c>
      <c r="I2745" s="33" t="str">
        <f t="shared" si="648"/>
        <v>='C:\Users\jaime.benazar\Quorum Business Solutions\Ecopetrol Prometeo - Documents\Planning Space Implementation\3. Analysis &amp; Design\Design\FC22\DRR Jaime\QUIFA-CAJÚA\Cajua\[CAJUA_CF_SEC_New_27-Feb-2024Rev3.xlsx]D-PRB'!$EA$19</v>
      </c>
      <c r="J2745" s="37" t="s">
        <v>3228</v>
      </c>
    </row>
    <row r="2746" spans="1:10" x14ac:dyDescent="0.25">
      <c r="A2746" s="32" t="s">
        <v>4</v>
      </c>
      <c r="B2746" s="32">
        <f t="shared" si="650"/>
        <v>2031</v>
      </c>
      <c r="C2746" s="33" t="s">
        <v>23</v>
      </c>
      <c r="D2746" s="34" t="s">
        <v>1999</v>
      </c>
      <c r="E2746" s="35" t="str">
        <f t="shared" si="646"/>
        <v>PRB'!</v>
      </c>
      <c r="F2746" s="34" t="str">
        <f t="shared" si="647"/>
        <v>C:\Users\jaime.benazar\Quorum Business Solutions\Ecopetrol Prometeo - Documents\Planning Space Implementation\3. Analysis &amp; Design\Design\FC22\DRR Jaime\QUIFA-CAJÚA\Cajua\[CAJUA_CF_SEC_New_27-Feb-2024Rev3.xlsx]D-PRB'!</v>
      </c>
      <c r="G2746" s="32" t="s">
        <v>116</v>
      </c>
      <c r="H2746" s="33">
        <f t="shared" si="649"/>
        <v>20</v>
      </c>
      <c r="I2746" s="33" t="str">
        <f t="shared" si="648"/>
        <v>='C:\Users\jaime.benazar\Quorum Business Solutions\Ecopetrol Prometeo - Documents\Planning Space Implementation\3. Analysis &amp; Design\Design\FC22\DRR Jaime\QUIFA-CAJÚA\Cajua\[CAJUA_CF_SEC_New_27-Feb-2024Rev3.xlsx]D-PRB'!$EA$20</v>
      </c>
      <c r="J2746" s="37" t="s">
        <v>3229</v>
      </c>
    </row>
    <row r="2747" spans="1:10" x14ac:dyDescent="0.25">
      <c r="A2747" s="32" t="s">
        <v>4</v>
      </c>
      <c r="B2747" s="32">
        <f t="shared" si="650"/>
        <v>2032</v>
      </c>
      <c r="C2747" s="33" t="s">
        <v>23</v>
      </c>
      <c r="D2747" s="34" t="s">
        <v>1999</v>
      </c>
      <c r="E2747" s="35" t="str">
        <f t="shared" si="646"/>
        <v>PRB'!</v>
      </c>
      <c r="F2747" s="34" t="str">
        <f t="shared" si="647"/>
        <v>C:\Users\jaime.benazar\Quorum Business Solutions\Ecopetrol Prometeo - Documents\Planning Space Implementation\3. Analysis &amp; Design\Design\FC22\DRR Jaime\QUIFA-CAJÚA\Cajua\[CAJUA_CF_SEC_New_27-Feb-2024Rev3.xlsx]D-PRB'!</v>
      </c>
      <c r="G2747" s="32" t="s">
        <v>116</v>
      </c>
      <c r="H2747" s="33">
        <f t="shared" si="649"/>
        <v>21</v>
      </c>
      <c r="I2747" s="33" t="str">
        <f t="shared" si="648"/>
        <v>='C:\Users\jaime.benazar\Quorum Business Solutions\Ecopetrol Prometeo - Documents\Planning Space Implementation\3. Analysis &amp; Design\Design\FC22\DRR Jaime\QUIFA-CAJÚA\Cajua\[CAJUA_CF_SEC_New_27-Feb-2024Rev3.xlsx]D-PRB'!$EA$21</v>
      </c>
      <c r="J2747" s="37" t="s">
        <v>3230</v>
      </c>
    </row>
    <row r="2748" spans="1:10" x14ac:dyDescent="0.25">
      <c r="A2748" s="32" t="s">
        <v>4</v>
      </c>
      <c r="B2748" s="32">
        <f t="shared" si="650"/>
        <v>2033</v>
      </c>
      <c r="C2748" s="33" t="s">
        <v>23</v>
      </c>
      <c r="D2748" s="34" t="s">
        <v>1999</v>
      </c>
      <c r="E2748" s="35" t="str">
        <f t="shared" si="646"/>
        <v>PRB'!</v>
      </c>
      <c r="F2748" s="34" t="str">
        <f t="shared" si="647"/>
        <v>C:\Users\jaime.benazar\Quorum Business Solutions\Ecopetrol Prometeo - Documents\Planning Space Implementation\3. Analysis &amp; Design\Design\FC22\DRR Jaime\QUIFA-CAJÚA\Cajua\[CAJUA_CF_SEC_New_27-Feb-2024Rev3.xlsx]D-PRB'!</v>
      </c>
      <c r="G2748" s="32" t="s">
        <v>116</v>
      </c>
      <c r="H2748" s="33">
        <f t="shared" si="649"/>
        <v>22</v>
      </c>
      <c r="I2748" s="33" t="str">
        <f t="shared" si="648"/>
        <v>='C:\Users\jaime.benazar\Quorum Business Solutions\Ecopetrol Prometeo - Documents\Planning Space Implementation\3. Analysis &amp; Design\Design\FC22\DRR Jaime\QUIFA-CAJÚA\Cajua\[CAJUA_CF_SEC_New_27-Feb-2024Rev3.xlsx]D-PRB'!$EA$22</v>
      </c>
      <c r="J2748" s="37" t="s">
        <v>3231</v>
      </c>
    </row>
    <row r="2749" spans="1:10" x14ac:dyDescent="0.25">
      <c r="A2749" s="32" t="s">
        <v>4</v>
      </c>
      <c r="B2749" s="32">
        <f t="shared" si="650"/>
        <v>2034</v>
      </c>
      <c r="C2749" s="33" t="s">
        <v>23</v>
      </c>
      <c r="D2749" s="34" t="s">
        <v>1999</v>
      </c>
      <c r="E2749" s="35" t="str">
        <f t="shared" si="646"/>
        <v>PRB'!</v>
      </c>
      <c r="F2749" s="34" t="str">
        <f t="shared" si="647"/>
        <v>C:\Users\jaime.benazar\Quorum Business Solutions\Ecopetrol Prometeo - Documents\Planning Space Implementation\3. Analysis &amp; Design\Design\FC22\DRR Jaime\QUIFA-CAJÚA\Cajua\[CAJUA_CF_SEC_New_27-Feb-2024Rev3.xlsx]D-PRB'!</v>
      </c>
      <c r="G2749" s="32" t="s">
        <v>116</v>
      </c>
      <c r="H2749" s="33">
        <f t="shared" si="649"/>
        <v>23</v>
      </c>
      <c r="I2749" s="33" t="str">
        <f t="shared" si="648"/>
        <v>='C:\Users\jaime.benazar\Quorum Business Solutions\Ecopetrol Prometeo - Documents\Planning Space Implementation\3. Analysis &amp; Design\Design\FC22\DRR Jaime\QUIFA-CAJÚA\Cajua\[CAJUA_CF_SEC_New_27-Feb-2024Rev3.xlsx]D-PRB'!$EA$23</v>
      </c>
      <c r="J2749" s="37" t="s">
        <v>3232</v>
      </c>
    </row>
    <row r="2750" spans="1:10" x14ac:dyDescent="0.25">
      <c r="A2750" s="32" t="s">
        <v>4</v>
      </c>
      <c r="B2750" s="32">
        <f t="shared" si="650"/>
        <v>2035</v>
      </c>
      <c r="C2750" s="33" t="s">
        <v>23</v>
      </c>
      <c r="D2750" s="34" t="s">
        <v>1999</v>
      </c>
      <c r="E2750" s="35" t="str">
        <f t="shared" si="646"/>
        <v>PRB'!</v>
      </c>
      <c r="F2750" s="34" t="str">
        <f t="shared" si="647"/>
        <v>C:\Users\jaime.benazar\Quorum Business Solutions\Ecopetrol Prometeo - Documents\Planning Space Implementation\3. Analysis &amp; Design\Design\FC22\DRR Jaime\QUIFA-CAJÚA\Cajua\[CAJUA_CF_SEC_New_27-Feb-2024Rev3.xlsx]D-PRB'!</v>
      </c>
      <c r="G2750" s="32" t="s">
        <v>116</v>
      </c>
      <c r="H2750" s="33">
        <f t="shared" si="649"/>
        <v>24</v>
      </c>
      <c r="I2750" s="33" t="str">
        <f t="shared" si="648"/>
        <v>='C:\Users\jaime.benazar\Quorum Business Solutions\Ecopetrol Prometeo - Documents\Planning Space Implementation\3. Analysis &amp; Design\Design\FC22\DRR Jaime\QUIFA-CAJÚA\Cajua\[CAJUA_CF_SEC_New_27-Feb-2024Rev3.xlsx]D-PRB'!$EA$24</v>
      </c>
      <c r="J2750" s="37" t="s">
        <v>3233</v>
      </c>
    </row>
    <row r="2751" spans="1:10" x14ac:dyDescent="0.25">
      <c r="A2751" s="32" t="s">
        <v>4</v>
      </c>
      <c r="B2751" s="32">
        <f t="shared" si="650"/>
        <v>2036</v>
      </c>
      <c r="C2751" s="33" t="s">
        <v>23</v>
      </c>
      <c r="D2751" s="34" t="s">
        <v>1999</v>
      </c>
      <c r="E2751" s="35" t="str">
        <f t="shared" si="646"/>
        <v>PRB'!</v>
      </c>
      <c r="F2751" s="34" t="str">
        <f t="shared" si="647"/>
        <v>C:\Users\jaime.benazar\Quorum Business Solutions\Ecopetrol Prometeo - Documents\Planning Space Implementation\3. Analysis &amp; Design\Design\FC22\DRR Jaime\QUIFA-CAJÚA\Cajua\[CAJUA_CF_SEC_New_27-Feb-2024Rev3.xlsx]D-PRB'!</v>
      </c>
      <c r="G2751" s="32" t="s">
        <v>116</v>
      </c>
      <c r="H2751" s="33">
        <f t="shared" si="649"/>
        <v>25</v>
      </c>
      <c r="I2751" s="33" t="str">
        <f t="shared" si="648"/>
        <v>='C:\Users\jaime.benazar\Quorum Business Solutions\Ecopetrol Prometeo - Documents\Planning Space Implementation\3. Analysis &amp; Design\Design\FC22\DRR Jaime\QUIFA-CAJÚA\Cajua\[CAJUA_CF_SEC_New_27-Feb-2024Rev3.xlsx]D-PRB'!$EA$25</v>
      </c>
      <c r="J2751" s="37" t="s">
        <v>3234</v>
      </c>
    </row>
    <row r="2752" spans="1:10" x14ac:dyDescent="0.25">
      <c r="A2752" s="32" t="s">
        <v>4</v>
      </c>
      <c r="B2752" s="32">
        <f>+B2751+1</f>
        <v>2037</v>
      </c>
      <c r="C2752" s="33" t="s">
        <v>23</v>
      </c>
      <c r="D2752" s="34" t="s">
        <v>1999</v>
      </c>
      <c r="E2752" s="35" t="str">
        <f t="shared" si="646"/>
        <v>PRB'!</v>
      </c>
      <c r="F2752" s="34" t="str">
        <f t="shared" si="647"/>
        <v>C:\Users\jaime.benazar\Quorum Business Solutions\Ecopetrol Prometeo - Documents\Planning Space Implementation\3. Analysis &amp; Design\Design\FC22\DRR Jaime\QUIFA-CAJÚA\Cajua\[CAJUA_CF_SEC_New_27-Feb-2024Rev3.xlsx]D-PRB'!</v>
      </c>
      <c r="G2752" s="32" t="s">
        <v>116</v>
      </c>
      <c r="H2752" s="33">
        <f t="shared" si="649"/>
        <v>26</v>
      </c>
      <c r="I2752" s="33" t="str">
        <f t="shared" si="648"/>
        <v>='C:\Users\jaime.benazar\Quorum Business Solutions\Ecopetrol Prometeo - Documents\Planning Space Implementation\3. Analysis &amp; Design\Design\FC22\DRR Jaime\QUIFA-CAJÚA\Cajua\[CAJUA_CF_SEC_New_27-Feb-2024Rev3.xlsx]D-PRB'!$EA$26</v>
      </c>
      <c r="J2752" s="37" t="s">
        <v>3235</v>
      </c>
    </row>
    <row r="2753" spans="1:10" x14ac:dyDescent="0.25">
      <c r="A2753" s="32" t="s">
        <v>4</v>
      </c>
      <c r="B2753" s="32">
        <f t="shared" ref="B2753:B2755" si="651">+B2752+1</f>
        <v>2038</v>
      </c>
      <c r="C2753" s="33" t="s">
        <v>23</v>
      </c>
      <c r="D2753" s="34" t="s">
        <v>1999</v>
      </c>
      <c r="E2753" s="35" t="str">
        <f t="shared" si="646"/>
        <v>PRB'!</v>
      </c>
      <c r="F2753" s="34" t="str">
        <f t="shared" si="647"/>
        <v>C:\Users\jaime.benazar\Quorum Business Solutions\Ecopetrol Prometeo - Documents\Planning Space Implementation\3. Analysis &amp; Design\Design\FC22\DRR Jaime\QUIFA-CAJÚA\Cajua\[CAJUA_CF_SEC_New_27-Feb-2024Rev3.xlsx]D-PRB'!</v>
      </c>
      <c r="G2753" s="32" t="s">
        <v>116</v>
      </c>
      <c r="H2753" s="33">
        <f t="shared" si="649"/>
        <v>27</v>
      </c>
      <c r="I2753" s="33" t="str">
        <f t="shared" si="648"/>
        <v>='C:\Users\jaime.benazar\Quorum Business Solutions\Ecopetrol Prometeo - Documents\Planning Space Implementation\3. Analysis &amp; Design\Design\FC22\DRR Jaime\QUIFA-CAJÚA\Cajua\[CAJUA_CF_SEC_New_27-Feb-2024Rev3.xlsx]D-PRB'!$EA$27</v>
      </c>
      <c r="J2753" s="37" t="s">
        <v>3236</v>
      </c>
    </row>
    <row r="2754" spans="1:10" x14ac:dyDescent="0.25">
      <c r="A2754" s="32" t="s">
        <v>4</v>
      </c>
      <c r="B2754" s="32">
        <f t="shared" si="651"/>
        <v>2039</v>
      </c>
      <c r="C2754" s="33" t="s">
        <v>23</v>
      </c>
      <c r="D2754" s="34" t="s">
        <v>1999</v>
      </c>
      <c r="E2754" s="35" t="str">
        <f t="shared" si="646"/>
        <v>PRB'!</v>
      </c>
      <c r="F2754" s="34" t="str">
        <f t="shared" si="647"/>
        <v>C:\Users\jaime.benazar\Quorum Business Solutions\Ecopetrol Prometeo - Documents\Planning Space Implementation\3. Analysis &amp; Design\Design\FC22\DRR Jaime\QUIFA-CAJÚA\Cajua\[CAJUA_CF_SEC_New_27-Feb-2024Rev3.xlsx]D-PRB'!</v>
      </c>
      <c r="G2754" s="32" t="s">
        <v>116</v>
      </c>
      <c r="H2754" s="33">
        <f t="shared" si="649"/>
        <v>28</v>
      </c>
      <c r="I2754" s="33" t="str">
        <f t="shared" si="648"/>
        <v>='C:\Users\jaime.benazar\Quorum Business Solutions\Ecopetrol Prometeo - Documents\Planning Space Implementation\3. Analysis &amp; Design\Design\FC22\DRR Jaime\QUIFA-CAJÚA\Cajua\[CAJUA_CF_SEC_New_27-Feb-2024Rev3.xlsx]D-PRB'!$EA$28</v>
      </c>
      <c r="J2754" s="37" t="s">
        <v>3237</v>
      </c>
    </row>
    <row r="2755" spans="1:10" x14ac:dyDescent="0.25">
      <c r="A2755" s="32" t="s">
        <v>4</v>
      </c>
      <c r="B2755" s="32">
        <f t="shared" si="651"/>
        <v>2040</v>
      </c>
      <c r="C2755" s="33" t="s">
        <v>23</v>
      </c>
      <c r="D2755" s="34" t="s">
        <v>1999</v>
      </c>
      <c r="E2755" s="35" t="str">
        <f t="shared" si="646"/>
        <v>PRB'!</v>
      </c>
      <c r="F2755" s="34" t="str">
        <f t="shared" si="647"/>
        <v>C:\Users\jaime.benazar\Quorum Business Solutions\Ecopetrol Prometeo - Documents\Planning Space Implementation\3. Analysis &amp; Design\Design\FC22\DRR Jaime\QUIFA-CAJÚA\Cajua\[CAJUA_CF_SEC_New_27-Feb-2024Rev3.xlsx]D-PRB'!</v>
      </c>
      <c r="G2755" s="32" t="s">
        <v>116</v>
      </c>
      <c r="H2755" s="33">
        <f t="shared" si="649"/>
        <v>29</v>
      </c>
      <c r="I2755" s="33" t="str">
        <f t="shared" si="648"/>
        <v>='C:\Users\jaime.benazar\Quorum Business Solutions\Ecopetrol Prometeo - Documents\Planning Space Implementation\3. Analysis &amp; Design\Design\FC22\DRR Jaime\QUIFA-CAJÚA\Cajua\[CAJUA_CF_SEC_New_27-Feb-2024Rev3.xlsx]D-PRB'!$EA$29</v>
      </c>
      <c r="J2755" s="37" t="s">
        <v>3238</v>
      </c>
    </row>
    <row r="2756" spans="1:10" x14ac:dyDescent="0.25">
      <c r="A2756" s="32" t="s">
        <v>4</v>
      </c>
      <c r="B2756" s="32">
        <f>+B2755+1</f>
        <v>2041</v>
      </c>
      <c r="C2756" s="33" t="s">
        <v>23</v>
      </c>
      <c r="D2756" s="34" t="s">
        <v>1999</v>
      </c>
      <c r="E2756" s="35" t="str">
        <f t="shared" si="646"/>
        <v>PRB'!</v>
      </c>
      <c r="F2756" s="34" t="str">
        <f t="shared" si="647"/>
        <v>C:\Users\jaime.benazar\Quorum Business Solutions\Ecopetrol Prometeo - Documents\Planning Space Implementation\3. Analysis &amp; Design\Design\FC22\DRR Jaime\QUIFA-CAJÚA\Cajua\[CAJUA_CF_SEC_New_27-Feb-2024Rev3.xlsx]D-PRB'!</v>
      </c>
      <c r="G2756" s="32" t="s">
        <v>116</v>
      </c>
      <c r="H2756" s="33">
        <f t="shared" si="649"/>
        <v>30</v>
      </c>
      <c r="I2756" s="33" t="str">
        <f t="shared" si="648"/>
        <v>='C:\Users\jaime.benazar\Quorum Business Solutions\Ecopetrol Prometeo - Documents\Planning Space Implementation\3. Analysis &amp; Design\Design\FC22\DRR Jaime\QUIFA-CAJÚA\Cajua\[CAJUA_CF_SEC_New_27-Feb-2024Rev3.xlsx]D-PRB'!$EA$30</v>
      </c>
      <c r="J2756" s="37" t="s">
        <v>3239</v>
      </c>
    </row>
    <row r="2757" spans="1:10" x14ac:dyDescent="0.25">
      <c r="A2757" s="32" t="s">
        <v>4</v>
      </c>
      <c r="B2757" s="32">
        <f t="shared" ref="B2757:B2758" si="652">+B2756+1</f>
        <v>2042</v>
      </c>
      <c r="C2757" s="33" t="s">
        <v>23</v>
      </c>
      <c r="D2757" s="34" t="s">
        <v>1999</v>
      </c>
      <c r="E2757" s="35" t="str">
        <f t="shared" si="646"/>
        <v>PRB'!</v>
      </c>
      <c r="F2757" s="34" t="str">
        <f t="shared" si="647"/>
        <v>C:\Users\jaime.benazar\Quorum Business Solutions\Ecopetrol Prometeo - Documents\Planning Space Implementation\3. Analysis &amp; Design\Design\FC22\DRR Jaime\QUIFA-CAJÚA\Cajua\[CAJUA_CF_SEC_New_27-Feb-2024Rev3.xlsx]D-PRB'!</v>
      </c>
      <c r="G2757" s="32" t="s">
        <v>116</v>
      </c>
      <c r="H2757" s="33">
        <f t="shared" si="649"/>
        <v>31</v>
      </c>
      <c r="I2757" s="33" t="str">
        <f t="shared" si="648"/>
        <v>='C:\Users\jaime.benazar\Quorum Business Solutions\Ecopetrol Prometeo - Documents\Planning Space Implementation\3. Analysis &amp; Design\Design\FC22\DRR Jaime\QUIFA-CAJÚA\Cajua\[CAJUA_CF_SEC_New_27-Feb-2024Rev3.xlsx]D-PRB'!$EA$31</v>
      </c>
      <c r="J2757" s="37" t="s">
        <v>3240</v>
      </c>
    </row>
    <row r="2758" spans="1:10" x14ac:dyDescent="0.25">
      <c r="A2758" s="32" t="s">
        <v>4</v>
      </c>
      <c r="B2758" s="32">
        <f t="shared" si="652"/>
        <v>2043</v>
      </c>
      <c r="C2758" s="33" t="s">
        <v>23</v>
      </c>
      <c r="D2758" s="34" t="s">
        <v>1999</v>
      </c>
      <c r="E2758" s="35" t="str">
        <f t="shared" si="646"/>
        <v>PRB'!</v>
      </c>
      <c r="F2758" s="34" t="str">
        <f t="shared" si="647"/>
        <v>C:\Users\jaime.benazar\Quorum Business Solutions\Ecopetrol Prometeo - Documents\Planning Space Implementation\3. Analysis &amp; Design\Design\FC22\DRR Jaime\QUIFA-CAJÚA\Cajua\[CAJUA_CF_SEC_New_27-Feb-2024Rev3.xlsx]D-PRB'!</v>
      </c>
      <c r="G2758" s="32" t="s">
        <v>116</v>
      </c>
      <c r="H2758" s="33">
        <f t="shared" si="649"/>
        <v>32</v>
      </c>
      <c r="I2758" s="33" t="str">
        <f t="shared" si="648"/>
        <v>='C:\Users\jaime.benazar\Quorum Business Solutions\Ecopetrol Prometeo - Documents\Planning Space Implementation\3. Analysis &amp; Design\Design\FC22\DRR Jaime\QUIFA-CAJÚA\Cajua\[CAJUA_CF_SEC_New_27-Feb-2024Rev3.xlsx]D-PRB'!$EA$32</v>
      </c>
      <c r="J2758" s="37" t="s">
        <v>3241</v>
      </c>
    </row>
    <row r="2759" spans="1:10" x14ac:dyDescent="0.25">
      <c r="A2759" s="32" t="s">
        <v>4</v>
      </c>
      <c r="B2759" s="32">
        <f>+B2758+1</f>
        <v>2044</v>
      </c>
      <c r="C2759" s="33" t="s">
        <v>23</v>
      </c>
      <c r="D2759" s="34" t="s">
        <v>1999</v>
      </c>
      <c r="E2759" s="35" t="str">
        <f t="shared" ref="E2759:E2774" si="653">_xlfn.CONCAT(A2759,"'!")</f>
        <v>PRB'!</v>
      </c>
      <c r="F2759" s="34" t="str">
        <f t="shared" ref="F2759:F2774" si="654">_xlfn.CONCAT(D2759:E2759)</f>
        <v>C:\Users\jaime.benazar\Quorum Business Solutions\Ecopetrol Prometeo - Documents\Planning Space Implementation\3. Analysis &amp; Design\Design\FC22\DRR Jaime\QUIFA-CAJÚA\Cajua\[CAJUA_CF_SEC_New_27-Feb-2024Rev3.xlsx]D-PRB'!</v>
      </c>
      <c r="G2759" s="32" t="s">
        <v>116</v>
      </c>
      <c r="H2759" s="33">
        <f t="shared" ref="H2759:H2774" si="655">IF(A2759&lt;&gt;A2758,12,H2758+1)</f>
        <v>33</v>
      </c>
      <c r="I2759" s="33" t="str">
        <f t="shared" ref="I2759:I2774" si="656">_xlfn.CONCAT("='",F2759:H2759)</f>
        <v>='C:\Users\jaime.benazar\Quorum Business Solutions\Ecopetrol Prometeo - Documents\Planning Space Implementation\3. Analysis &amp; Design\Design\FC22\DRR Jaime\QUIFA-CAJÚA\Cajua\[CAJUA_CF_SEC_New_27-Feb-2024Rev3.xlsx]D-PRB'!$EA$33</v>
      </c>
      <c r="J2759" s="37" t="s">
        <v>3242</v>
      </c>
    </row>
    <row r="2760" spans="1:10" x14ac:dyDescent="0.25">
      <c r="A2760" s="32" t="s">
        <v>4</v>
      </c>
      <c r="B2760" s="32">
        <f t="shared" ref="B2760:B2774" si="657">+B2759+1</f>
        <v>2045</v>
      </c>
      <c r="C2760" s="33" t="s">
        <v>23</v>
      </c>
      <c r="D2760" s="34" t="s">
        <v>1999</v>
      </c>
      <c r="E2760" s="35" t="str">
        <f t="shared" si="653"/>
        <v>PRB'!</v>
      </c>
      <c r="F2760" s="34" t="str">
        <f t="shared" si="654"/>
        <v>C:\Users\jaime.benazar\Quorum Business Solutions\Ecopetrol Prometeo - Documents\Planning Space Implementation\3. Analysis &amp; Design\Design\FC22\DRR Jaime\QUIFA-CAJÚA\Cajua\[CAJUA_CF_SEC_New_27-Feb-2024Rev3.xlsx]D-PRB'!</v>
      </c>
      <c r="G2760" s="32" t="s">
        <v>116</v>
      </c>
      <c r="H2760" s="33">
        <f t="shared" si="655"/>
        <v>34</v>
      </c>
      <c r="I2760" s="33" t="str">
        <f t="shared" si="656"/>
        <v>='C:\Users\jaime.benazar\Quorum Business Solutions\Ecopetrol Prometeo - Documents\Planning Space Implementation\3. Analysis &amp; Design\Design\FC22\DRR Jaime\QUIFA-CAJÚA\Cajua\[CAJUA_CF_SEC_New_27-Feb-2024Rev3.xlsx]D-PRB'!$EA$34</v>
      </c>
      <c r="J2760" s="37" t="s">
        <v>3243</v>
      </c>
    </row>
    <row r="2761" spans="1:10" x14ac:dyDescent="0.25">
      <c r="A2761" s="32" t="s">
        <v>4</v>
      </c>
      <c r="B2761" s="32">
        <f t="shared" si="657"/>
        <v>2046</v>
      </c>
      <c r="C2761" s="33" t="s">
        <v>23</v>
      </c>
      <c r="D2761" s="34" t="s">
        <v>1999</v>
      </c>
      <c r="E2761" s="35" t="str">
        <f t="shared" si="653"/>
        <v>PRB'!</v>
      </c>
      <c r="F2761" s="34" t="str">
        <f t="shared" si="654"/>
        <v>C:\Users\jaime.benazar\Quorum Business Solutions\Ecopetrol Prometeo - Documents\Planning Space Implementation\3. Analysis &amp; Design\Design\FC22\DRR Jaime\QUIFA-CAJÚA\Cajua\[CAJUA_CF_SEC_New_27-Feb-2024Rev3.xlsx]D-PRB'!</v>
      </c>
      <c r="G2761" s="32" t="s">
        <v>116</v>
      </c>
      <c r="H2761" s="33">
        <f t="shared" si="655"/>
        <v>35</v>
      </c>
      <c r="I2761" s="33" t="str">
        <f t="shared" si="656"/>
        <v>='C:\Users\jaime.benazar\Quorum Business Solutions\Ecopetrol Prometeo - Documents\Planning Space Implementation\3. Analysis &amp; Design\Design\FC22\DRR Jaime\QUIFA-CAJÚA\Cajua\[CAJUA_CF_SEC_New_27-Feb-2024Rev3.xlsx]D-PRB'!$EA$35</v>
      </c>
      <c r="J2761" s="37" t="s">
        <v>3244</v>
      </c>
    </row>
    <row r="2762" spans="1:10" x14ac:dyDescent="0.25">
      <c r="A2762" s="32" t="s">
        <v>4</v>
      </c>
      <c r="B2762" s="32">
        <f t="shared" si="657"/>
        <v>2047</v>
      </c>
      <c r="C2762" s="33" t="s">
        <v>23</v>
      </c>
      <c r="D2762" s="34" t="s">
        <v>1999</v>
      </c>
      <c r="E2762" s="35" t="str">
        <f t="shared" si="653"/>
        <v>PRB'!</v>
      </c>
      <c r="F2762" s="34" t="str">
        <f t="shared" si="654"/>
        <v>C:\Users\jaime.benazar\Quorum Business Solutions\Ecopetrol Prometeo - Documents\Planning Space Implementation\3. Analysis &amp; Design\Design\FC22\DRR Jaime\QUIFA-CAJÚA\Cajua\[CAJUA_CF_SEC_New_27-Feb-2024Rev3.xlsx]D-PRB'!</v>
      </c>
      <c r="G2762" s="32" t="s">
        <v>116</v>
      </c>
      <c r="H2762" s="33">
        <f t="shared" si="655"/>
        <v>36</v>
      </c>
      <c r="I2762" s="33" t="str">
        <f t="shared" si="656"/>
        <v>='C:\Users\jaime.benazar\Quorum Business Solutions\Ecopetrol Prometeo - Documents\Planning Space Implementation\3. Analysis &amp; Design\Design\FC22\DRR Jaime\QUIFA-CAJÚA\Cajua\[CAJUA_CF_SEC_New_27-Feb-2024Rev3.xlsx]D-PRB'!$EA$36</v>
      </c>
      <c r="J2762" s="37" t="s">
        <v>3245</v>
      </c>
    </row>
    <row r="2763" spans="1:10" x14ac:dyDescent="0.25">
      <c r="A2763" s="32" t="s">
        <v>4</v>
      </c>
      <c r="B2763" s="32">
        <f t="shared" si="657"/>
        <v>2048</v>
      </c>
      <c r="C2763" s="33" t="s">
        <v>23</v>
      </c>
      <c r="D2763" s="34" t="s">
        <v>1999</v>
      </c>
      <c r="E2763" s="35" t="str">
        <f t="shared" si="653"/>
        <v>PRB'!</v>
      </c>
      <c r="F2763" s="34" t="str">
        <f t="shared" si="654"/>
        <v>C:\Users\jaime.benazar\Quorum Business Solutions\Ecopetrol Prometeo - Documents\Planning Space Implementation\3. Analysis &amp; Design\Design\FC22\DRR Jaime\QUIFA-CAJÚA\Cajua\[CAJUA_CF_SEC_New_27-Feb-2024Rev3.xlsx]D-PRB'!</v>
      </c>
      <c r="G2763" s="32" t="s">
        <v>116</v>
      </c>
      <c r="H2763" s="33">
        <f t="shared" si="655"/>
        <v>37</v>
      </c>
      <c r="I2763" s="33" t="str">
        <f t="shared" si="656"/>
        <v>='C:\Users\jaime.benazar\Quorum Business Solutions\Ecopetrol Prometeo - Documents\Planning Space Implementation\3. Analysis &amp; Design\Design\FC22\DRR Jaime\QUIFA-CAJÚA\Cajua\[CAJUA_CF_SEC_New_27-Feb-2024Rev3.xlsx]D-PRB'!$EA$37</v>
      </c>
      <c r="J2763" s="37" t="s">
        <v>3246</v>
      </c>
    </row>
    <row r="2764" spans="1:10" x14ac:dyDescent="0.25">
      <c r="A2764" s="32" t="s">
        <v>4</v>
      </c>
      <c r="B2764" s="32">
        <f t="shared" si="657"/>
        <v>2049</v>
      </c>
      <c r="C2764" s="33" t="s">
        <v>23</v>
      </c>
      <c r="D2764" s="34" t="s">
        <v>1999</v>
      </c>
      <c r="E2764" s="35" t="str">
        <f t="shared" si="653"/>
        <v>PRB'!</v>
      </c>
      <c r="F2764" s="34" t="str">
        <f t="shared" si="654"/>
        <v>C:\Users\jaime.benazar\Quorum Business Solutions\Ecopetrol Prometeo - Documents\Planning Space Implementation\3. Analysis &amp; Design\Design\FC22\DRR Jaime\QUIFA-CAJÚA\Cajua\[CAJUA_CF_SEC_New_27-Feb-2024Rev3.xlsx]D-PRB'!</v>
      </c>
      <c r="G2764" s="32" t="s">
        <v>116</v>
      </c>
      <c r="H2764" s="33">
        <f t="shared" si="655"/>
        <v>38</v>
      </c>
      <c r="I2764" s="33" t="str">
        <f t="shared" si="656"/>
        <v>='C:\Users\jaime.benazar\Quorum Business Solutions\Ecopetrol Prometeo - Documents\Planning Space Implementation\3. Analysis &amp; Design\Design\FC22\DRR Jaime\QUIFA-CAJÚA\Cajua\[CAJUA_CF_SEC_New_27-Feb-2024Rev3.xlsx]D-PRB'!$EA$38</v>
      </c>
      <c r="J2764" s="37" t="s">
        <v>3247</v>
      </c>
    </row>
    <row r="2765" spans="1:10" x14ac:dyDescent="0.25">
      <c r="A2765" s="32" t="s">
        <v>4</v>
      </c>
      <c r="B2765" s="32">
        <f t="shared" si="657"/>
        <v>2050</v>
      </c>
      <c r="C2765" s="33" t="s">
        <v>23</v>
      </c>
      <c r="D2765" s="34" t="s">
        <v>1999</v>
      </c>
      <c r="E2765" s="35" t="str">
        <f t="shared" si="653"/>
        <v>PRB'!</v>
      </c>
      <c r="F2765" s="34" t="str">
        <f t="shared" si="654"/>
        <v>C:\Users\jaime.benazar\Quorum Business Solutions\Ecopetrol Prometeo - Documents\Planning Space Implementation\3. Analysis &amp; Design\Design\FC22\DRR Jaime\QUIFA-CAJÚA\Cajua\[CAJUA_CF_SEC_New_27-Feb-2024Rev3.xlsx]D-PRB'!</v>
      </c>
      <c r="G2765" s="32" t="s">
        <v>116</v>
      </c>
      <c r="H2765" s="33">
        <f t="shared" si="655"/>
        <v>39</v>
      </c>
      <c r="I2765" s="33" t="str">
        <f t="shared" si="656"/>
        <v>='C:\Users\jaime.benazar\Quorum Business Solutions\Ecopetrol Prometeo - Documents\Planning Space Implementation\3. Analysis &amp; Design\Design\FC22\DRR Jaime\QUIFA-CAJÚA\Cajua\[CAJUA_CF_SEC_New_27-Feb-2024Rev3.xlsx]D-PRB'!$EA$39</v>
      </c>
      <c r="J2765" s="37" t="s">
        <v>3248</v>
      </c>
    </row>
    <row r="2766" spans="1:10" x14ac:dyDescent="0.25">
      <c r="A2766" s="32" t="s">
        <v>4</v>
      </c>
      <c r="B2766" s="32">
        <f t="shared" si="657"/>
        <v>2051</v>
      </c>
      <c r="C2766" s="33" t="s">
        <v>23</v>
      </c>
      <c r="D2766" s="34" t="s">
        <v>1999</v>
      </c>
      <c r="E2766" s="35" t="str">
        <f t="shared" si="653"/>
        <v>PRB'!</v>
      </c>
      <c r="F2766" s="34" t="str">
        <f t="shared" si="654"/>
        <v>C:\Users\jaime.benazar\Quorum Business Solutions\Ecopetrol Prometeo - Documents\Planning Space Implementation\3. Analysis &amp; Design\Design\FC22\DRR Jaime\QUIFA-CAJÚA\Cajua\[CAJUA_CF_SEC_New_27-Feb-2024Rev3.xlsx]D-PRB'!</v>
      </c>
      <c r="G2766" s="32" t="s">
        <v>116</v>
      </c>
      <c r="H2766" s="33">
        <f t="shared" si="655"/>
        <v>40</v>
      </c>
      <c r="I2766" s="33" t="str">
        <f t="shared" si="656"/>
        <v>='C:\Users\jaime.benazar\Quorum Business Solutions\Ecopetrol Prometeo - Documents\Planning Space Implementation\3. Analysis &amp; Design\Design\FC22\DRR Jaime\QUIFA-CAJÚA\Cajua\[CAJUA_CF_SEC_New_27-Feb-2024Rev3.xlsx]D-PRB'!$EA$40</v>
      </c>
      <c r="J2766" s="37" t="s">
        <v>3249</v>
      </c>
    </row>
    <row r="2767" spans="1:10" x14ac:dyDescent="0.25">
      <c r="A2767" s="32" t="s">
        <v>4</v>
      </c>
      <c r="B2767" s="32">
        <f t="shared" si="657"/>
        <v>2052</v>
      </c>
      <c r="C2767" s="33" t="s">
        <v>23</v>
      </c>
      <c r="D2767" s="34" t="s">
        <v>1999</v>
      </c>
      <c r="E2767" s="35" t="str">
        <f t="shared" si="653"/>
        <v>PRB'!</v>
      </c>
      <c r="F2767" s="34" t="str">
        <f t="shared" si="654"/>
        <v>C:\Users\jaime.benazar\Quorum Business Solutions\Ecopetrol Prometeo - Documents\Planning Space Implementation\3. Analysis &amp; Design\Design\FC22\DRR Jaime\QUIFA-CAJÚA\Cajua\[CAJUA_CF_SEC_New_27-Feb-2024Rev3.xlsx]D-PRB'!</v>
      </c>
      <c r="G2767" s="32" t="s">
        <v>116</v>
      </c>
      <c r="H2767" s="33">
        <f t="shared" si="655"/>
        <v>41</v>
      </c>
      <c r="I2767" s="33" t="str">
        <f t="shared" si="656"/>
        <v>='C:\Users\jaime.benazar\Quorum Business Solutions\Ecopetrol Prometeo - Documents\Planning Space Implementation\3. Analysis &amp; Design\Design\FC22\DRR Jaime\QUIFA-CAJÚA\Cajua\[CAJUA_CF_SEC_New_27-Feb-2024Rev3.xlsx]D-PRB'!$EA$41</v>
      </c>
      <c r="J2767" s="37" t="s">
        <v>3250</v>
      </c>
    </row>
    <row r="2768" spans="1:10" x14ac:dyDescent="0.25">
      <c r="A2768" s="32" t="s">
        <v>4</v>
      </c>
      <c r="B2768" s="32">
        <f t="shared" si="657"/>
        <v>2053</v>
      </c>
      <c r="C2768" s="33" t="s">
        <v>23</v>
      </c>
      <c r="D2768" s="34" t="s">
        <v>1999</v>
      </c>
      <c r="E2768" s="35" t="str">
        <f t="shared" si="653"/>
        <v>PRB'!</v>
      </c>
      <c r="F2768" s="34" t="str">
        <f t="shared" si="654"/>
        <v>C:\Users\jaime.benazar\Quorum Business Solutions\Ecopetrol Prometeo - Documents\Planning Space Implementation\3. Analysis &amp; Design\Design\FC22\DRR Jaime\QUIFA-CAJÚA\Cajua\[CAJUA_CF_SEC_New_27-Feb-2024Rev3.xlsx]D-PRB'!</v>
      </c>
      <c r="G2768" s="32" t="s">
        <v>116</v>
      </c>
      <c r="H2768" s="33">
        <f t="shared" si="655"/>
        <v>42</v>
      </c>
      <c r="I2768" s="33" t="str">
        <f t="shared" si="656"/>
        <v>='C:\Users\jaime.benazar\Quorum Business Solutions\Ecopetrol Prometeo - Documents\Planning Space Implementation\3. Analysis &amp; Design\Design\FC22\DRR Jaime\QUIFA-CAJÚA\Cajua\[CAJUA_CF_SEC_New_27-Feb-2024Rev3.xlsx]D-PRB'!$EA$42</v>
      </c>
      <c r="J2768" s="37" t="s">
        <v>3251</v>
      </c>
    </row>
    <row r="2769" spans="1:10" x14ac:dyDescent="0.25">
      <c r="A2769" s="32" t="s">
        <v>4</v>
      </c>
      <c r="B2769" s="32">
        <f t="shared" si="657"/>
        <v>2054</v>
      </c>
      <c r="C2769" s="33" t="s">
        <v>23</v>
      </c>
      <c r="D2769" s="34" t="s">
        <v>1999</v>
      </c>
      <c r="E2769" s="35" t="str">
        <f t="shared" si="653"/>
        <v>PRB'!</v>
      </c>
      <c r="F2769" s="34" t="str">
        <f t="shared" si="654"/>
        <v>C:\Users\jaime.benazar\Quorum Business Solutions\Ecopetrol Prometeo - Documents\Planning Space Implementation\3. Analysis &amp; Design\Design\FC22\DRR Jaime\QUIFA-CAJÚA\Cajua\[CAJUA_CF_SEC_New_27-Feb-2024Rev3.xlsx]D-PRB'!</v>
      </c>
      <c r="G2769" s="32" t="s">
        <v>116</v>
      </c>
      <c r="H2769" s="33">
        <f t="shared" si="655"/>
        <v>43</v>
      </c>
      <c r="I2769" s="33" t="str">
        <f t="shared" si="656"/>
        <v>='C:\Users\jaime.benazar\Quorum Business Solutions\Ecopetrol Prometeo - Documents\Planning Space Implementation\3. Analysis &amp; Design\Design\FC22\DRR Jaime\QUIFA-CAJÚA\Cajua\[CAJUA_CF_SEC_New_27-Feb-2024Rev3.xlsx]D-PRB'!$EA$43</v>
      </c>
      <c r="J2769" s="37" t="s">
        <v>3252</v>
      </c>
    </row>
    <row r="2770" spans="1:10" x14ac:dyDescent="0.25">
      <c r="A2770" s="32" t="s">
        <v>4</v>
      </c>
      <c r="B2770" s="32">
        <f t="shared" si="657"/>
        <v>2055</v>
      </c>
      <c r="C2770" s="33" t="s">
        <v>23</v>
      </c>
      <c r="D2770" s="34" t="s">
        <v>1999</v>
      </c>
      <c r="E2770" s="35" t="str">
        <f t="shared" si="653"/>
        <v>PRB'!</v>
      </c>
      <c r="F2770" s="34" t="str">
        <f t="shared" si="654"/>
        <v>C:\Users\jaime.benazar\Quorum Business Solutions\Ecopetrol Prometeo - Documents\Planning Space Implementation\3. Analysis &amp; Design\Design\FC22\DRR Jaime\QUIFA-CAJÚA\Cajua\[CAJUA_CF_SEC_New_27-Feb-2024Rev3.xlsx]D-PRB'!</v>
      </c>
      <c r="G2770" s="32" t="s">
        <v>116</v>
      </c>
      <c r="H2770" s="33">
        <f t="shared" si="655"/>
        <v>44</v>
      </c>
      <c r="I2770" s="33" t="str">
        <f t="shared" si="656"/>
        <v>='C:\Users\jaime.benazar\Quorum Business Solutions\Ecopetrol Prometeo - Documents\Planning Space Implementation\3. Analysis &amp; Design\Design\FC22\DRR Jaime\QUIFA-CAJÚA\Cajua\[CAJUA_CF_SEC_New_27-Feb-2024Rev3.xlsx]D-PRB'!$EA$44</v>
      </c>
      <c r="J2770" s="37" t="s">
        <v>3253</v>
      </c>
    </row>
    <row r="2771" spans="1:10" x14ac:dyDescent="0.25">
      <c r="A2771" s="32" t="s">
        <v>4</v>
      </c>
      <c r="B2771" s="32">
        <f t="shared" si="657"/>
        <v>2056</v>
      </c>
      <c r="C2771" s="33" t="s">
        <v>23</v>
      </c>
      <c r="D2771" s="34" t="s">
        <v>1999</v>
      </c>
      <c r="E2771" s="35" t="str">
        <f t="shared" si="653"/>
        <v>PRB'!</v>
      </c>
      <c r="F2771" s="34" t="str">
        <f t="shared" si="654"/>
        <v>C:\Users\jaime.benazar\Quorum Business Solutions\Ecopetrol Prometeo - Documents\Planning Space Implementation\3. Analysis &amp; Design\Design\FC22\DRR Jaime\QUIFA-CAJÚA\Cajua\[CAJUA_CF_SEC_New_27-Feb-2024Rev3.xlsx]D-PRB'!</v>
      </c>
      <c r="G2771" s="32" t="s">
        <v>116</v>
      </c>
      <c r="H2771" s="33">
        <f t="shared" si="655"/>
        <v>45</v>
      </c>
      <c r="I2771" s="33" t="str">
        <f t="shared" si="656"/>
        <v>='C:\Users\jaime.benazar\Quorum Business Solutions\Ecopetrol Prometeo - Documents\Planning Space Implementation\3. Analysis &amp; Design\Design\FC22\DRR Jaime\QUIFA-CAJÚA\Cajua\[CAJUA_CF_SEC_New_27-Feb-2024Rev3.xlsx]D-PRB'!$EA$45</v>
      </c>
      <c r="J2771" s="37" t="s">
        <v>3254</v>
      </c>
    </row>
    <row r="2772" spans="1:10" x14ac:dyDescent="0.25">
      <c r="A2772" s="32" t="s">
        <v>4</v>
      </c>
      <c r="B2772" s="32">
        <f t="shared" si="657"/>
        <v>2057</v>
      </c>
      <c r="C2772" s="33" t="s">
        <v>23</v>
      </c>
      <c r="D2772" s="34" t="s">
        <v>1999</v>
      </c>
      <c r="E2772" s="35" t="str">
        <f t="shared" si="653"/>
        <v>PRB'!</v>
      </c>
      <c r="F2772" s="34" t="str">
        <f t="shared" si="654"/>
        <v>C:\Users\jaime.benazar\Quorum Business Solutions\Ecopetrol Prometeo - Documents\Planning Space Implementation\3. Analysis &amp; Design\Design\FC22\DRR Jaime\QUIFA-CAJÚA\Cajua\[CAJUA_CF_SEC_New_27-Feb-2024Rev3.xlsx]D-PRB'!</v>
      </c>
      <c r="G2772" s="32" t="s">
        <v>116</v>
      </c>
      <c r="H2772" s="33">
        <f t="shared" si="655"/>
        <v>46</v>
      </c>
      <c r="I2772" s="33" t="str">
        <f t="shared" si="656"/>
        <v>='C:\Users\jaime.benazar\Quorum Business Solutions\Ecopetrol Prometeo - Documents\Planning Space Implementation\3. Analysis &amp; Design\Design\FC22\DRR Jaime\QUIFA-CAJÚA\Cajua\[CAJUA_CF_SEC_New_27-Feb-2024Rev3.xlsx]D-PRB'!$EA$46</v>
      </c>
      <c r="J2772" s="37" t="s">
        <v>3255</v>
      </c>
    </row>
    <row r="2773" spans="1:10" x14ac:dyDescent="0.25">
      <c r="A2773" s="32" t="s">
        <v>4</v>
      </c>
      <c r="B2773" s="32">
        <f t="shared" si="657"/>
        <v>2058</v>
      </c>
      <c r="C2773" s="33" t="s">
        <v>23</v>
      </c>
      <c r="D2773" s="34" t="s">
        <v>1999</v>
      </c>
      <c r="E2773" s="35" t="str">
        <f t="shared" si="653"/>
        <v>PRB'!</v>
      </c>
      <c r="F2773" s="34" t="str">
        <f t="shared" si="654"/>
        <v>C:\Users\jaime.benazar\Quorum Business Solutions\Ecopetrol Prometeo - Documents\Planning Space Implementation\3. Analysis &amp; Design\Design\FC22\DRR Jaime\QUIFA-CAJÚA\Cajua\[CAJUA_CF_SEC_New_27-Feb-2024Rev3.xlsx]D-PRB'!</v>
      </c>
      <c r="G2773" s="32" t="s">
        <v>116</v>
      </c>
      <c r="H2773" s="33">
        <f t="shared" si="655"/>
        <v>47</v>
      </c>
      <c r="I2773" s="33" t="str">
        <f t="shared" si="656"/>
        <v>='C:\Users\jaime.benazar\Quorum Business Solutions\Ecopetrol Prometeo - Documents\Planning Space Implementation\3. Analysis &amp; Design\Design\FC22\DRR Jaime\QUIFA-CAJÚA\Cajua\[CAJUA_CF_SEC_New_27-Feb-2024Rev3.xlsx]D-PRB'!$EA$47</v>
      </c>
      <c r="J2773" s="37" t="s">
        <v>3256</v>
      </c>
    </row>
    <row r="2774" spans="1:10" x14ac:dyDescent="0.25">
      <c r="A2774" s="32" t="s">
        <v>4</v>
      </c>
      <c r="B2774" s="32">
        <f t="shared" si="657"/>
        <v>2059</v>
      </c>
      <c r="C2774" s="33" t="s">
        <v>23</v>
      </c>
      <c r="D2774" s="34" t="s">
        <v>1999</v>
      </c>
      <c r="E2774" s="35" t="str">
        <f t="shared" si="653"/>
        <v>PRB'!</v>
      </c>
      <c r="F2774" s="34" t="str">
        <f t="shared" si="654"/>
        <v>C:\Users\jaime.benazar\Quorum Business Solutions\Ecopetrol Prometeo - Documents\Planning Space Implementation\3. Analysis &amp; Design\Design\FC22\DRR Jaime\QUIFA-CAJÚA\Cajua\[CAJUA_CF_SEC_New_27-Feb-2024Rev3.xlsx]D-PRB'!</v>
      </c>
      <c r="G2774" s="32" t="s">
        <v>116</v>
      </c>
      <c r="H2774" s="33">
        <f t="shared" si="655"/>
        <v>48</v>
      </c>
      <c r="I2774" s="33" t="str">
        <f t="shared" si="656"/>
        <v>='C:\Users\jaime.benazar\Quorum Business Solutions\Ecopetrol Prometeo - Documents\Planning Space Implementation\3. Analysis &amp; Design\Design\FC22\DRR Jaime\QUIFA-CAJÚA\Cajua\[CAJUA_CF_SEC_New_27-Feb-2024Rev3.xlsx]D-PRB'!$EA$48</v>
      </c>
      <c r="J2774" s="37" t="s">
        <v>3257</v>
      </c>
    </row>
    <row r="2775" spans="1:10" x14ac:dyDescent="0.25">
      <c r="A2775" s="32" t="s">
        <v>28</v>
      </c>
      <c r="B2775" s="32"/>
      <c r="C2775" s="33" t="s">
        <v>23</v>
      </c>
      <c r="D2775" s="34"/>
      <c r="E2775" s="35"/>
      <c r="F2775" s="34"/>
      <c r="G2775" s="32"/>
      <c r="H2775" s="33"/>
      <c r="I2775" s="33"/>
      <c r="J2775" s="33"/>
    </row>
    <row r="2776" spans="1:10" x14ac:dyDescent="0.25">
      <c r="A2776" s="32" t="s">
        <v>102</v>
      </c>
      <c r="B2776" s="32">
        <v>2023</v>
      </c>
      <c r="C2776" s="33" t="s">
        <v>23</v>
      </c>
      <c r="D2776" s="34" t="s">
        <v>1999</v>
      </c>
      <c r="E2776" s="35" t="str">
        <f t="shared" ref="E2776:E2796" si="658">_xlfn.CONCAT(A2776,"'!")</f>
        <v>PSDP'!</v>
      </c>
      <c r="F2776" s="34" t="str">
        <f t="shared" ref="F2776:F2796" si="659">_xlfn.CONCAT(D2776:E2776)</f>
        <v>C:\Users\jaime.benazar\Quorum Business Solutions\Ecopetrol Prometeo - Documents\Planning Space Implementation\3. Analysis &amp; Design\Design\FC22\DRR Jaime\QUIFA-CAJÚA\Cajua\[CAJUA_CF_SEC_New_27-Feb-2024Rev3.xlsx]D-PSDP'!</v>
      </c>
      <c r="G2776" s="32" t="s">
        <v>116</v>
      </c>
      <c r="H2776" s="33"/>
      <c r="I2776" s="33"/>
      <c r="J2776" s="37"/>
    </row>
    <row r="2777" spans="1:10" x14ac:dyDescent="0.25">
      <c r="A2777" s="32" t="s">
        <v>102</v>
      </c>
      <c r="B2777" s="32">
        <f>+B2776+1</f>
        <v>2024</v>
      </c>
      <c r="C2777" s="33" t="s">
        <v>23</v>
      </c>
      <c r="D2777" s="34" t="s">
        <v>1999</v>
      </c>
      <c r="E2777" s="35" t="str">
        <f t="shared" si="658"/>
        <v>PSDP'!</v>
      </c>
      <c r="F2777" s="34" t="str">
        <f t="shared" si="659"/>
        <v>C:\Users\jaime.benazar\Quorum Business Solutions\Ecopetrol Prometeo - Documents\Planning Space Implementation\3. Analysis &amp; Design\Design\FC22\DRR Jaime\QUIFA-CAJÚA\Cajua\[CAJUA_CF_SEC_New_27-Feb-2024Rev3.xlsx]D-PSDP'!</v>
      </c>
      <c r="G2777" s="32" t="s">
        <v>116</v>
      </c>
      <c r="H2777" s="33"/>
      <c r="I2777" s="33"/>
      <c r="J2777" s="37"/>
    </row>
    <row r="2778" spans="1:10" x14ac:dyDescent="0.25">
      <c r="A2778" s="32" t="s">
        <v>102</v>
      </c>
      <c r="B2778" s="32">
        <f t="shared" ref="B2778:B2789" si="660">+B2777+1</f>
        <v>2025</v>
      </c>
      <c r="C2778" s="33" t="s">
        <v>23</v>
      </c>
      <c r="D2778" s="34" t="s">
        <v>1999</v>
      </c>
      <c r="E2778" s="35" t="str">
        <f t="shared" si="658"/>
        <v>PSDP'!</v>
      </c>
      <c r="F2778" s="34" t="str">
        <f t="shared" si="659"/>
        <v>C:\Users\jaime.benazar\Quorum Business Solutions\Ecopetrol Prometeo - Documents\Planning Space Implementation\3. Analysis &amp; Design\Design\FC22\DRR Jaime\QUIFA-CAJÚA\Cajua\[CAJUA_CF_SEC_New_27-Feb-2024Rev3.xlsx]D-PSDP'!</v>
      </c>
      <c r="G2778" s="32" t="s">
        <v>116</v>
      </c>
      <c r="H2778" s="33"/>
      <c r="I2778" s="33"/>
      <c r="J2778" s="37"/>
    </row>
    <row r="2779" spans="1:10" x14ac:dyDescent="0.25">
      <c r="A2779" s="32" t="s">
        <v>102</v>
      </c>
      <c r="B2779" s="32">
        <f t="shared" si="660"/>
        <v>2026</v>
      </c>
      <c r="C2779" s="33" t="s">
        <v>23</v>
      </c>
      <c r="D2779" s="34" t="s">
        <v>1999</v>
      </c>
      <c r="E2779" s="35" t="str">
        <f t="shared" si="658"/>
        <v>PSDP'!</v>
      </c>
      <c r="F2779" s="34" t="str">
        <f t="shared" si="659"/>
        <v>C:\Users\jaime.benazar\Quorum Business Solutions\Ecopetrol Prometeo - Documents\Planning Space Implementation\3. Analysis &amp; Design\Design\FC22\DRR Jaime\QUIFA-CAJÚA\Cajua\[CAJUA_CF_SEC_New_27-Feb-2024Rev3.xlsx]D-PSDP'!</v>
      </c>
      <c r="G2779" s="32" t="s">
        <v>116</v>
      </c>
      <c r="H2779" s="33"/>
      <c r="I2779" s="33"/>
      <c r="J2779" s="37"/>
    </row>
    <row r="2780" spans="1:10" x14ac:dyDescent="0.25">
      <c r="A2780" s="32" t="s">
        <v>102</v>
      </c>
      <c r="B2780" s="32">
        <f t="shared" si="660"/>
        <v>2027</v>
      </c>
      <c r="C2780" s="33" t="s">
        <v>23</v>
      </c>
      <c r="D2780" s="34" t="s">
        <v>1999</v>
      </c>
      <c r="E2780" s="35" t="str">
        <f t="shared" si="658"/>
        <v>PSDP'!</v>
      </c>
      <c r="F2780" s="34" t="str">
        <f t="shared" si="659"/>
        <v>C:\Users\jaime.benazar\Quorum Business Solutions\Ecopetrol Prometeo - Documents\Planning Space Implementation\3. Analysis &amp; Design\Design\FC22\DRR Jaime\QUIFA-CAJÚA\Cajua\[CAJUA_CF_SEC_New_27-Feb-2024Rev3.xlsx]D-PSDP'!</v>
      </c>
      <c r="G2780" s="32" t="s">
        <v>116</v>
      </c>
      <c r="H2780" s="33"/>
      <c r="I2780" s="33"/>
      <c r="J2780" s="37"/>
    </row>
    <row r="2781" spans="1:10" x14ac:dyDescent="0.25">
      <c r="A2781" s="32" t="s">
        <v>102</v>
      </c>
      <c r="B2781" s="32">
        <f t="shared" si="660"/>
        <v>2028</v>
      </c>
      <c r="C2781" s="33" t="s">
        <v>23</v>
      </c>
      <c r="D2781" s="34" t="s">
        <v>1999</v>
      </c>
      <c r="E2781" s="35" t="str">
        <f t="shared" si="658"/>
        <v>PSDP'!</v>
      </c>
      <c r="F2781" s="34" t="str">
        <f t="shared" si="659"/>
        <v>C:\Users\jaime.benazar\Quorum Business Solutions\Ecopetrol Prometeo - Documents\Planning Space Implementation\3. Analysis &amp; Design\Design\FC22\DRR Jaime\QUIFA-CAJÚA\Cajua\[CAJUA_CF_SEC_New_27-Feb-2024Rev3.xlsx]D-PSDP'!</v>
      </c>
      <c r="G2781" s="32" t="s">
        <v>116</v>
      </c>
      <c r="H2781" s="33"/>
      <c r="I2781" s="33"/>
      <c r="J2781" s="37"/>
    </row>
    <row r="2782" spans="1:10" x14ac:dyDescent="0.25">
      <c r="A2782" s="32" t="s">
        <v>102</v>
      </c>
      <c r="B2782" s="32">
        <f t="shared" si="660"/>
        <v>2029</v>
      </c>
      <c r="C2782" s="33" t="s">
        <v>23</v>
      </c>
      <c r="D2782" s="34" t="s">
        <v>1999</v>
      </c>
      <c r="E2782" s="35" t="str">
        <f t="shared" si="658"/>
        <v>PSDP'!</v>
      </c>
      <c r="F2782" s="34" t="str">
        <f t="shared" si="659"/>
        <v>C:\Users\jaime.benazar\Quorum Business Solutions\Ecopetrol Prometeo - Documents\Planning Space Implementation\3. Analysis &amp; Design\Design\FC22\DRR Jaime\QUIFA-CAJÚA\Cajua\[CAJUA_CF_SEC_New_27-Feb-2024Rev3.xlsx]D-PSDP'!</v>
      </c>
      <c r="G2782" s="32" t="s">
        <v>116</v>
      </c>
      <c r="H2782" s="33"/>
      <c r="I2782" s="33"/>
      <c r="J2782" s="37"/>
    </row>
    <row r="2783" spans="1:10" x14ac:dyDescent="0.25">
      <c r="A2783" s="32" t="s">
        <v>102</v>
      </c>
      <c r="B2783" s="32">
        <f t="shared" si="660"/>
        <v>2030</v>
      </c>
      <c r="C2783" s="33" t="s">
        <v>23</v>
      </c>
      <c r="D2783" s="34" t="s">
        <v>1999</v>
      </c>
      <c r="E2783" s="35" t="str">
        <f t="shared" si="658"/>
        <v>PSDP'!</v>
      </c>
      <c r="F2783" s="34" t="str">
        <f t="shared" si="659"/>
        <v>C:\Users\jaime.benazar\Quorum Business Solutions\Ecopetrol Prometeo - Documents\Planning Space Implementation\3. Analysis &amp; Design\Design\FC22\DRR Jaime\QUIFA-CAJÚA\Cajua\[CAJUA_CF_SEC_New_27-Feb-2024Rev3.xlsx]D-PSDP'!</v>
      </c>
      <c r="G2783" s="32" t="s">
        <v>116</v>
      </c>
      <c r="H2783" s="33"/>
      <c r="I2783" s="33"/>
      <c r="J2783" s="37"/>
    </row>
    <row r="2784" spans="1:10" x14ac:dyDescent="0.25">
      <c r="A2784" s="32" t="s">
        <v>102</v>
      </c>
      <c r="B2784" s="32">
        <f t="shared" si="660"/>
        <v>2031</v>
      </c>
      <c r="C2784" s="33" t="s">
        <v>23</v>
      </c>
      <c r="D2784" s="34" t="s">
        <v>1999</v>
      </c>
      <c r="E2784" s="35" t="str">
        <f t="shared" si="658"/>
        <v>PSDP'!</v>
      </c>
      <c r="F2784" s="34" t="str">
        <f t="shared" si="659"/>
        <v>C:\Users\jaime.benazar\Quorum Business Solutions\Ecopetrol Prometeo - Documents\Planning Space Implementation\3. Analysis &amp; Design\Design\FC22\DRR Jaime\QUIFA-CAJÚA\Cajua\[CAJUA_CF_SEC_New_27-Feb-2024Rev3.xlsx]D-PSDP'!</v>
      </c>
      <c r="G2784" s="32" t="s">
        <v>116</v>
      </c>
      <c r="H2784" s="33"/>
      <c r="I2784" s="33"/>
      <c r="J2784" s="37"/>
    </row>
    <row r="2785" spans="1:10" x14ac:dyDescent="0.25">
      <c r="A2785" s="32" t="s">
        <v>102</v>
      </c>
      <c r="B2785" s="32">
        <f t="shared" si="660"/>
        <v>2032</v>
      </c>
      <c r="C2785" s="33" t="s">
        <v>23</v>
      </c>
      <c r="D2785" s="34" t="s">
        <v>1999</v>
      </c>
      <c r="E2785" s="35" t="str">
        <f t="shared" si="658"/>
        <v>PSDP'!</v>
      </c>
      <c r="F2785" s="34" t="str">
        <f t="shared" si="659"/>
        <v>C:\Users\jaime.benazar\Quorum Business Solutions\Ecopetrol Prometeo - Documents\Planning Space Implementation\3. Analysis &amp; Design\Design\FC22\DRR Jaime\QUIFA-CAJÚA\Cajua\[CAJUA_CF_SEC_New_27-Feb-2024Rev3.xlsx]D-PSDP'!</v>
      </c>
      <c r="G2785" s="32" t="s">
        <v>116</v>
      </c>
      <c r="H2785" s="33"/>
      <c r="I2785" s="33"/>
      <c r="J2785" s="37"/>
    </row>
    <row r="2786" spans="1:10" x14ac:dyDescent="0.25">
      <c r="A2786" s="32" t="s">
        <v>102</v>
      </c>
      <c r="B2786" s="32">
        <f t="shared" si="660"/>
        <v>2033</v>
      </c>
      <c r="C2786" s="33" t="s">
        <v>23</v>
      </c>
      <c r="D2786" s="34" t="s">
        <v>1999</v>
      </c>
      <c r="E2786" s="35" t="str">
        <f t="shared" si="658"/>
        <v>PSDP'!</v>
      </c>
      <c r="F2786" s="34" t="str">
        <f t="shared" si="659"/>
        <v>C:\Users\jaime.benazar\Quorum Business Solutions\Ecopetrol Prometeo - Documents\Planning Space Implementation\3. Analysis &amp; Design\Design\FC22\DRR Jaime\QUIFA-CAJÚA\Cajua\[CAJUA_CF_SEC_New_27-Feb-2024Rev3.xlsx]D-PSDP'!</v>
      </c>
      <c r="G2786" s="32" t="s">
        <v>116</v>
      </c>
      <c r="H2786" s="33"/>
      <c r="I2786" s="33"/>
      <c r="J2786" s="37"/>
    </row>
    <row r="2787" spans="1:10" x14ac:dyDescent="0.25">
      <c r="A2787" s="32" t="s">
        <v>102</v>
      </c>
      <c r="B2787" s="32">
        <f t="shared" si="660"/>
        <v>2034</v>
      </c>
      <c r="C2787" s="33" t="s">
        <v>23</v>
      </c>
      <c r="D2787" s="34" t="s">
        <v>1999</v>
      </c>
      <c r="E2787" s="35" t="str">
        <f t="shared" si="658"/>
        <v>PSDP'!</v>
      </c>
      <c r="F2787" s="34" t="str">
        <f t="shared" si="659"/>
        <v>C:\Users\jaime.benazar\Quorum Business Solutions\Ecopetrol Prometeo - Documents\Planning Space Implementation\3. Analysis &amp; Design\Design\FC22\DRR Jaime\QUIFA-CAJÚA\Cajua\[CAJUA_CF_SEC_New_27-Feb-2024Rev3.xlsx]D-PSDP'!</v>
      </c>
      <c r="G2787" s="32" t="s">
        <v>116</v>
      </c>
      <c r="H2787" s="33"/>
      <c r="I2787" s="33"/>
      <c r="J2787" s="37"/>
    </row>
    <row r="2788" spans="1:10" x14ac:dyDescent="0.25">
      <c r="A2788" s="32" t="s">
        <v>102</v>
      </c>
      <c r="B2788" s="32">
        <f t="shared" si="660"/>
        <v>2035</v>
      </c>
      <c r="C2788" s="33" t="s">
        <v>23</v>
      </c>
      <c r="D2788" s="34" t="s">
        <v>1999</v>
      </c>
      <c r="E2788" s="35" t="str">
        <f t="shared" si="658"/>
        <v>PSDP'!</v>
      </c>
      <c r="F2788" s="34" t="str">
        <f t="shared" si="659"/>
        <v>C:\Users\jaime.benazar\Quorum Business Solutions\Ecopetrol Prometeo - Documents\Planning Space Implementation\3. Analysis &amp; Design\Design\FC22\DRR Jaime\QUIFA-CAJÚA\Cajua\[CAJUA_CF_SEC_New_27-Feb-2024Rev3.xlsx]D-PSDP'!</v>
      </c>
      <c r="G2788" s="32" t="s">
        <v>116</v>
      </c>
      <c r="H2788" s="33"/>
      <c r="I2788" s="33"/>
      <c r="J2788" s="37"/>
    </row>
    <row r="2789" spans="1:10" x14ac:dyDescent="0.25">
      <c r="A2789" s="32" t="s">
        <v>102</v>
      </c>
      <c r="B2789" s="32">
        <f t="shared" si="660"/>
        <v>2036</v>
      </c>
      <c r="C2789" s="33" t="s">
        <v>23</v>
      </c>
      <c r="D2789" s="34" t="s">
        <v>1999</v>
      </c>
      <c r="E2789" s="35" t="str">
        <f t="shared" si="658"/>
        <v>PSDP'!</v>
      </c>
      <c r="F2789" s="34" t="str">
        <f t="shared" si="659"/>
        <v>C:\Users\jaime.benazar\Quorum Business Solutions\Ecopetrol Prometeo - Documents\Planning Space Implementation\3. Analysis &amp; Design\Design\FC22\DRR Jaime\QUIFA-CAJÚA\Cajua\[CAJUA_CF_SEC_New_27-Feb-2024Rev3.xlsx]D-PSDP'!</v>
      </c>
      <c r="G2789" s="32" t="s">
        <v>116</v>
      </c>
      <c r="H2789" s="33"/>
      <c r="I2789" s="33"/>
      <c r="J2789" s="37"/>
    </row>
    <row r="2790" spans="1:10" x14ac:dyDescent="0.25">
      <c r="A2790" s="32" t="s">
        <v>102</v>
      </c>
      <c r="B2790" s="32">
        <f>+B2789+1</f>
        <v>2037</v>
      </c>
      <c r="C2790" s="33" t="s">
        <v>23</v>
      </c>
      <c r="D2790" s="34" t="s">
        <v>1999</v>
      </c>
      <c r="E2790" s="35" t="str">
        <f t="shared" si="658"/>
        <v>PSDP'!</v>
      </c>
      <c r="F2790" s="34" t="str">
        <f t="shared" si="659"/>
        <v>C:\Users\jaime.benazar\Quorum Business Solutions\Ecopetrol Prometeo - Documents\Planning Space Implementation\3. Analysis &amp; Design\Design\FC22\DRR Jaime\QUIFA-CAJÚA\Cajua\[CAJUA_CF_SEC_New_27-Feb-2024Rev3.xlsx]D-PSDP'!</v>
      </c>
      <c r="G2790" s="32" t="s">
        <v>116</v>
      </c>
      <c r="H2790" s="33"/>
      <c r="I2790" s="33"/>
      <c r="J2790" s="37"/>
    </row>
    <row r="2791" spans="1:10" x14ac:dyDescent="0.25">
      <c r="A2791" s="32" t="s">
        <v>102</v>
      </c>
      <c r="B2791" s="32">
        <f t="shared" ref="B2791:B2793" si="661">+B2790+1</f>
        <v>2038</v>
      </c>
      <c r="C2791" s="33" t="s">
        <v>23</v>
      </c>
      <c r="D2791" s="34" t="s">
        <v>1999</v>
      </c>
      <c r="E2791" s="35" t="str">
        <f t="shared" si="658"/>
        <v>PSDP'!</v>
      </c>
      <c r="F2791" s="34" t="str">
        <f t="shared" si="659"/>
        <v>C:\Users\jaime.benazar\Quorum Business Solutions\Ecopetrol Prometeo - Documents\Planning Space Implementation\3. Analysis &amp; Design\Design\FC22\DRR Jaime\QUIFA-CAJÚA\Cajua\[CAJUA_CF_SEC_New_27-Feb-2024Rev3.xlsx]D-PSDP'!</v>
      </c>
      <c r="G2791" s="32" t="s">
        <v>116</v>
      </c>
      <c r="H2791" s="33"/>
      <c r="I2791" s="33"/>
      <c r="J2791" s="37"/>
    </row>
    <row r="2792" spans="1:10" x14ac:dyDescent="0.25">
      <c r="A2792" s="32" t="s">
        <v>102</v>
      </c>
      <c r="B2792" s="32">
        <f t="shared" si="661"/>
        <v>2039</v>
      </c>
      <c r="C2792" s="33" t="s">
        <v>23</v>
      </c>
      <c r="D2792" s="34" t="s">
        <v>1999</v>
      </c>
      <c r="E2792" s="35" t="str">
        <f t="shared" si="658"/>
        <v>PSDP'!</v>
      </c>
      <c r="F2792" s="34" t="str">
        <f t="shared" si="659"/>
        <v>C:\Users\jaime.benazar\Quorum Business Solutions\Ecopetrol Prometeo - Documents\Planning Space Implementation\3. Analysis &amp; Design\Design\FC22\DRR Jaime\QUIFA-CAJÚA\Cajua\[CAJUA_CF_SEC_New_27-Feb-2024Rev3.xlsx]D-PSDP'!</v>
      </c>
      <c r="G2792" s="32" t="s">
        <v>116</v>
      </c>
      <c r="H2792" s="33"/>
      <c r="I2792" s="33"/>
      <c r="J2792" s="37"/>
    </row>
    <row r="2793" spans="1:10" x14ac:dyDescent="0.25">
      <c r="A2793" s="32" t="s">
        <v>102</v>
      </c>
      <c r="B2793" s="32">
        <f t="shared" si="661"/>
        <v>2040</v>
      </c>
      <c r="C2793" s="33" t="s">
        <v>23</v>
      </c>
      <c r="D2793" s="34" t="s">
        <v>1999</v>
      </c>
      <c r="E2793" s="35" t="str">
        <f t="shared" si="658"/>
        <v>PSDP'!</v>
      </c>
      <c r="F2793" s="34" t="str">
        <f t="shared" si="659"/>
        <v>C:\Users\jaime.benazar\Quorum Business Solutions\Ecopetrol Prometeo - Documents\Planning Space Implementation\3. Analysis &amp; Design\Design\FC22\DRR Jaime\QUIFA-CAJÚA\Cajua\[CAJUA_CF_SEC_New_27-Feb-2024Rev3.xlsx]D-PSDP'!</v>
      </c>
      <c r="G2793" s="32" t="s">
        <v>116</v>
      </c>
      <c r="H2793" s="33"/>
      <c r="I2793" s="33"/>
      <c r="J2793" s="37"/>
    </row>
    <row r="2794" spans="1:10" x14ac:dyDescent="0.25">
      <c r="A2794" s="32" t="s">
        <v>102</v>
      </c>
      <c r="B2794" s="32">
        <f>+B2793+1</f>
        <v>2041</v>
      </c>
      <c r="C2794" s="33" t="s">
        <v>23</v>
      </c>
      <c r="D2794" s="34" t="s">
        <v>1999</v>
      </c>
      <c r="E2794" s="35" t="str">
        <f t="shared" si="658"/>
        <v>PSDP'!</v>
      </c>
      <c r="F2794" s="34" t="str">
        <f t="shared" si="659"/>
        <v>C:\Users\jaime.benazar\Quorum Business Solutions\Ecopetrol Prometeo - Documents\Planning Space Implementation\3. Analysis &amp; Design\Design\FC22\DRR Jaime\QUIFA-CAJÚA\Cajua\[CAJUA_CF_SEC_New_27-Feb-2024Rev3.xlsx]D-PSDP'!</v>
      </c>
      <c r="G2794" s="32" t="s">
        <v>116</v>
      </c>
      <c r="H2794" s="33"/>
      <c r="I2794" s="33"/>
      <c r="J2794" s="37"/>
    </row>
    <row r="2795" spans="1:10" x14ac:dyDescent="0.25">
      <c r="A2795" s="32" t="s">
        <v>102</v>
      </c>
      <c r="B2795" s="32">
        <f t="shared" ref="B2795:B2796" si="662">+B2794+1</f>
        <v>2042</v>
      </c>
      <c r="C2795" s="33" t="s">
        <v>23</v>
      </c>
      <c r="D2795" s="34" t="s">
        <v>1999</v>
      </c>
      <c r="E2795" s="35" t="str">
        <f t="shared" si="658"/>
        <v>PSDP'!</v>
      </c>
      <c r="F2795" s="34" t="str">
        <f t="shared" si="659"/>
        <v>C:\Users\jaime.benazar\Quorum Business Solutions\Ecopetrol Prometeo - Documents\Planning Space Implementation\3. Analysis &amp; Design\Design\FC22\DRR Jaime\QUIFA-CAJÚA\Cajua\[CAJUA_CF_SEC_New_27-Feb-2024Rev3.xlsx]D-PSDP'!</v>
      </c>
      <c r="G2795" s="32" t="s">
        <v>116</v>
      </c>
      <c r="H2795" s="33"/>
      <c r="I2795" s="33"/>
      <c r="J2795" s="37"/>
    </row>
    <row r="2796" spans="1:10" x14ac:dyDescent="0.25">
      <c r="A2796" s="32" t="s">
        <v>102</v>
      </c>
      <c r="B2796" s="32">
        <f t="shared" si="662"/>
        <v>2043</v>
      </c>
      <c r="C2796" s="33" t="s">
        <v>23</v>
      </c>
      <c r="D2796" s="34" t="s">
        <v>1999</v>
      </c>
      <c r="E2796" s="35" t="str">
        <f t="shared" si="658"/>
        <v>PSDP'!</v>
      </c>
      <c r="F2796" s="34" t="str">
        <f t="shared" si="659"/>
        <v>C:\Users\jaime.benazar\Quorum Business Solutions\Ecopetrol Prometeo - Documents\Planning Space Implementation\3. Analysis &amp; Design\Design\FC22\DRR Jaime\QUIFA-CAJÚA\Cajua\[CAJUA_CF_SEC_New_27-Feb-2024Rev3.xlsx]D-PSDP'!</v>
      </c>
      <c r="G2796" s="32" t="s">
        <v>116</v>
      </c>
      <c r="H2796" s="33"/>
      <c r="I2796" s="33"/>
      <c r="J2796" s="37"/>
    </row>
    <row r="2797" spans="1:10" x14ac:dyDescent="0.25">
      <c r="A2797" s="32" t="s">
        <v>102</v>
      </c>
      <c r="B2797" s="32">
        <f>+B2796+1</f>
        <v>2044</v>
      </c>
      <c r="C2797" s="33" t="s">
        <v>23</v>
      </c>
      <c r="D2797" s="34" t="s">
        <v>1999</v>
      </c>
      <c r="E2797" s="35" t="str">
        <f t="shared" ref="E2797:E2812" si="663">_xlfn.CONCAT(A2797,"'!")</f>
        <v>PSDP'!</v>
      </c>
      <c r="F2797" s="34" t="str">
        <f t="shared" ref="F2797:F2812" si="664">_xlfn.CONCAT(D2797:E2797)</f>
        <v>C:\Users\jaime.benazar\Quorum Business Solutions\Ecopetrol Prometeo - Documents\Planning Space Implementation\3. Analysis &amp; Design\Design\FC22\DRR Jaime\QUIFA-CAJÚA\Cajua\[CAJUA_CF_SEC_New_27-Feb-2024Rev3.xlsx]D-PSDP'!</v>
      </c>
      <c r="G2797" s="32" t="s">
        <v>116</v>
      </c>
      <c r="H2797" s="33"/>
      <c r="I2797" s="33"/>
      <c r="J2797" s="37"/>
    </row>
    <row r="2798" spans="1:10" x14ac:dyDescent="0.25">
      <c r="A2798" s="32" t="s">
        <v>102</v>
      </c>
      <c r="B2798" s="32">
        <f t="shared" ref="B2798:B2812" si="665">+B2797+1</f>
        <v>2045</v>
      </c>
      <c r="C2798" s="33" t="s">
        <v>23</v>
      </c>
      <c r="D2798" s="34" t="s">
        <v>1999</v>
      </c>
      <c r="E2798" s="35" t="str">
        <f t="shared" si="663"/>
        <v>PSDP'!</v>
      </c>
      <c r="F2798" s="34" t="str">
        <f t="shared" si="664"/>
        <v>C:\Users\jaime.benazar\Quorum Business Solutions\Ecopetrol Prometeo - Documents\Planning Space Implementation\3. Analysis &amp; Design\Design\FC22\DRR Jaime\QUIFA-CAJÚA\Cajua\[CAJUA_CF_SEC_New_27-Feb-2024Rev3.xlsx]D-PSDP'!</v>
      </c>
      <c r="G2798" s="32" t="s">
        <v>116</v>
      </c>
      <c r="H2798" s="33"/>
      <c r="I2798" s="33"/>
      <c r="J2798" s="37"/>
    </row>
    <row r="2799" spans="1:10" x14ac:dyDescent="0.25">
      <c r="A2799" s="32" t="s">
        <v>102</v>
      </c>
      <c r="B2799" s="32">
        <f t="shared" si="665"/>
        <v>2046</v>
      </c>
      <c r="C2799" s="33" t="s">
        <v>23</v>
      </c>
      <c r="D2799" s="34" t="s">
        <v>1999</v>
      </c>
      <c r="E2799" s="35" t="str">
        <f t="shared" si="663"/>
        <v>PSDP'!</v>
      </c>
      <c r="F2799" s="34" t="str">
        <f t="shared" si="664"/>
        <v>C:\Users\jaime.benazar\Quorum Business Solutions\Ecopetrol Prometeo - Documents\Planning Space Implementation\3. Analysis &amp; Design\Design\FC22\DRR Jaime\QUIFA-CAJÚA\Cajua\[CAJUA_CF_SEC_New_27-Feb-2024Rev3.xlsx]D-PSDP'!</v>
      </c>
      <c r="G2799" s="32" t="s">
        <v>116</v>
      </c>
      <c r="H2799" s="33"/>
      <c r="I2799" s="33"/>
      <c r="J2799" s="37"/>
    </row>
    <row r="2800" spans="1:10" x14ac:dyDescent="0.25">
      <c r="A2800" s="32" t="s">
        <v>102</v>
      </c>
      <c r="B2800" s="32">
        <f t="shared" si="665"/>
        <v>2047</v>
      </c>
      <c r="C2800" s="33" t="s">
        <v>23</v>
      </c>
      <c r="D2800" s="34" t="s">
        <v>1999</v>
      </c>
      <c r="E2800" s="35" t="str">
        <f t="shared" si="663"/>
        <v>PSDP'!</v>
      </c>
      <c r="F2800" s="34" t="str">
        <f t="shared" si="664"/>
        <v>C:\Users\jaime.benazar\Quorum Business Solutions\Ecopetrol Prometeo - Documents\Planning Space Implementation\3. Analysis &amp; Design\Design\FC22\DRR Jaime\QUIFA-CAJÚA\Cajua\[CAJUA_CF_SEC_New_27-Feb-2024Rev3.xlsx]D-PSDP'!</v>
      </c>
      <c r="G2800" s="32" t="s">
        <v>116</v>
      </c>
      <c r="H2800" s="33"/>
      <c r="I2800" s="33"/>
      <c r="J2800" s="37"/>
    </row>
    <row r="2801" spans="1:10" x14ac:dyDescent="0.25">
      <c r="A2801" s="32" t="s">
        <v>102</v>
      </c>
      <c r="B2801" s="32">
        <f t="shared" si="665"/>
        <v>2048</v>
      </c>
      <c r="C2801" s="33" t="s">
        <v>23</v>
      </c>
      <c r="D2801" s="34" t="s">
        <v>1999</v>
      </c>
      <c r="E2801" s="35" t="str">
        <f t="shared" si="663"/>
        <v>PSDP'!</v>
      </c>
      <c r="F2801" s="34" t="str">
        <f t="shared" si="664"/>
        <v>C:\Users\jaime.benazar\Quorum Business Solutions\Ecopetrol Prometeo - Documents\Planning Space Implementation\3. Analysis &amp; Design\Design\FC22\DRR Jaime\QUIFA-CAJÚA\Cajua\[CAJUA_CF_SEC_New_27-Feb-2024Rev3.xlsx]D-PSDP'!</v>
      </c>
      <c r="G2801" s="32" t="s">
        <v>116</v>
      </c>
      <c r="H2801" s="33"/>
      <c r="I2801" s="33"/>
      <c r="J2801" s="37"/>
    </row>
    <row r="2802" spans="1:10" x14ac:dyDescent="0.25">
      <c r="A2802" s="32" t="s">
        <v>102</v>
      </c>
      <c r="B2802" s="32">
        <f t="shared" si="665"/>
        <v>2049</v>
      </c>
      <c r="C2802" s="33" t="s">
        <v>23</v>
      </c>
      <c r="D2802" s="34" t="s">
        <v>1999</v>
      </c>
      <c r="E2802" s="35" t="str">
        <f t="shared" si="663"/>
        <v>PSDP'!</v>
      </c>
      <c r="F2802" s="34" t="str">
        <f t="shared" si="664"/>
        <v>C:\Users\jaime.benazar\Quorum Business Solutions\Ecopetrol Prometeo - Documents\Planning Space Implementation\3. Analysis &amp; Design\Design\FC22\DRR Jaime\QUIFA-CAJÚA\Cajua\[CAJUA_CF_SEC_New_27-Feb-2024Rev3.xlsx]D-PSDP'!</v>
      </c>
      <c r="G2802" s="32" t="s">
        <v>116</v>
      </c>
      <c r="H2802" s="33"/>
      <c r="I2802" s="33"/>
      <c r="J2802" s="37"/>
    </row>
    <row r="2803" spans="1:10" x14ac:dyDescent="0.25">
      <c r="A2803" s="32" t="s">
        <v>102</v>
      </c>
      <c r="B2803" s="32">
        <f t="shared" si="665"/>
        <v>2050</v>
      </c>
      <c r="C2803" s="33" t="s">
        <v>23</v>
      </c>
      <c r="D2803" s="34" t="s">
        <v>1999</v>
      </c>
      <c r="E2803" s="35" t="str">
        <f t="shared" si="663"/>
        <v>PSDP'!</v>
      </c>
      <c r="F2803" s="34" t="str">
        <f t="shared" si="664"/>
        <v>C:\Users\jaime.benazar\Quorum Business Solutions\Ecopetrol Prometeo - Documents\Planning Space Implementation\3. Analysis &amp; Design\Design\FC22\DRR Jaime\QUIFA-CAJÚA\Cajua\[CAJUA_CF_SEC_New_27-Feb-2024Rev3.xlsx]D-PSDP'!</v>
      </c>
      <c r="G2803" s="32" t="s">
        <v>116</v>
      </c>
      <c r="H2803" s="33"/>
      <c r="I2803" s="33"/>
      <c r="J2803" s="37"/>
    </row>
    <row r="2804" spans="1:10" x14ac:dyDescent="0.25">
      <c r="A2804" s="32" t="s">
        <v>102</v>
      </c>
      <c r="B2804" s="32">
        <f t="shared" si="665"/>
        <v>2051</v>
      </c>
      <c r="C2804" s="33" t="s">
        <v>23</v>
      </c>
      <c r="D2804" s="34" t="s">
        <v>1999</v>
      </c>
      <c r="E2804" s="35" t="str">
        <f t="shared" si="663"/>
        <v>PSDP'!</v>
      </c>
      <c r="F2804" s="34" t="str">
        <f t="shared" si="664"/>
        <v>C:\Users\jaime.benazar\Quorum Business Solutions\Ecopetrol Prometeo - Documents\Planning Space Implementation\3. Analysis &amp; Design\Design\FC22\DRR Jaime\QUIFA-CAJÚA\Cajua\[CAJUA_CF_SEC_New_27-Feb-2024Rev3.xlsx]D-PSDP'!</v>
      </c>
      <c r="G2804" s="32" t="s">
        <v>116</v>
      </c>
      <c r="H2804" s="33"/>
      <c r="I2804" s="33"/>
      <c r="J2804" s="37"/>
    </row>
    <row r="2805" spans="1:10" x14ac:dyDescent="0.25">
      <c r="A2805" s="32" t="s">
        <v>102</v>
      </c>
      <c r="B2805" s="32">
        <f t="shared" si="665"/>
        <v>2052</v>
      </c>
      <c r="C2805" s="33" t="s">
        <v>23</v>
      </c>
      <c r="D2805" s="34" t="s">
        <v>1999</v>
      </c>
      <c r="E2805" s="35" t="str">
        <f t="shared" si="663"/>
        <v>PSDP'!</v>
      </c>
      <c r="F2805" s="34" t="str">
        <f t="shared" si="664"/>
        <v>C:\Users\jaime.benazar\Quorum Business Solutions\Ecopetrol Prometeo - Documents\Planning Space Implementation\3. Analysis &amp; Design\Design\FC22\DRR Jaime\QUIFA-CAJÚA\Cajua\[CAJUA_CF_SEC_New_27-Feb-2024Rev3.xlsx]D-PSDP'!</v>
      </c>
      <c r="G2805" s="32" t="s">
        <v>116</v>
      </c>
      <c r="H2805" s="33"/>
      <c r="I2805" s="33"/>
      <c r="J2805" s="37"/>
    </row>
    <row r="2806" spans="1:10" x14ac:dyDescent="0.25">
      <c r="A2806" s="32" t="s">
        <v>102</v>
      </c>
      <c r="B2806" s="32">
        <f t="shared" si="665"/>
        <v>2053</v>
      </c>
      <c r="C2806" s="33" t="s">
        <v>23</v>
      </c>
      <c r="D2806" s="34" t="s">
        <v>1999</v>
      </c>
      <c r="E2806" s="35" t="str">
        <f t="shared" si="663"/>
        <v>PSDP'!</v>
      </c>
      <c r="F2806" s="34" t="str">
        <f t="shared" si="664"/>
        <v>C:\Users\jaime.benazar\Quorum Business Solutions\Ecopetrol Prometeo - Documents\Planning Space Implementation\3. Analysis &amp; Design\Design\FC22\DRR Jaime\QUIFA-CAJÚA\Cajua\[CAJUA_CF_SEC_New_27-Feb-2024Rev3.xlsx]D-PSDP'!</v>
      </c>
      <c r="G2806" s="32" t="s">
        <v>116</v>
      </c>
      <c r="H2806" s="33"/>
      <c r="I2806" s="33"/>
      <c r="J2806" s="37"/>
    </row>
    <row r="2807" spans="1:10" x14ac:dyDescent="0.25">
      <c r="A2807" s="32" t="s">
        <v>102</v>
      </c>
      <c r="B2807" s="32">
        <f t="shared" si="665"/>
        <v>2054</v>
      </c>
      <c r="C2807" s="33" t="s">
        <v>23</v>
      </c>
      <c r="D2807" s="34" t="s">
        <v>1999</v>
      </c>
      <c r="E2807" s="35" t="str">
        <f t="shared" si="663"/>
        <v>PSDP'!</v>
      </c>
      <c r="F2807" s="34" t="str">
        <f t="shared" si="664"/>
        <v>C:\Users\jaime.benazar\Quorum Business Solutions\Ecopetrol Prometeo - Documents\Planning Space Implementation\3. Analysis &amp; Design\Design\FC22\DRR Jaime\QUIFA-CAJÚA\Cajua\[CAJUA_CF_SEC_New_27-Feb-2024Rev3.xlsx]D-PSDP'!</v>
      </c>
      <c r="G2807" s="32" t="s">
        <v>116</v>
      </c>
      <c r="H2807" s="33"/>
      <c r="I2807" s="33"/>
      <c r="J2807" s="37"/>
    </row>
    <row r="2808" spans="1:10" x14ac:dyDescent="0.25">
      <c r="A2808" s="32" t="s">
        <v>102</v>
      </c>
      <c r="B2808" s="32">
        <f t="shared" si="665"/>
        <v>2055</v>
      </c>
      <c r="C2808" s="33" t="s">
        <v>23</v>
      </c>
      <c r="D2808" s="34" t="s">
        <v>1999</v>
      </c>
      <c r="E2808" s="35" t="str">
        <f t="shared" si="663"/>
        <v>PSDP'!</v>
      </c>
      <c r="F2808" s="34" t="str">
        <f t="shared" si="664"/>
        <v>C:\Users\jaime.benazar\Quorum Business Solutions\Ecopetrol Prometeo - Documents\Planning Space Implementation\3. Analysis &amp; Design\Design\FC22\DRR Jaime\QUIFA-CAJÚA\Cajua\[CAJUA_CF_SEC_New_27-Feb-2024Rev3.xlsx]D-PSDP'!</v>
      </c>
      <c r="G2808" s="32" t="s">
        <v>116</v>
      </c>
      <c r="H2808" s="33"/>
      <c r="I2808" s="33"/>
      <c r="J2808" s="37"/>
    </row>
    <row r="2809" spans="1:10" x14ac:dyDescent="0.25">
      <c r="A2809" s="32" t="s">
        <v>102</v>
      </c>
      <c r="B2809" s="32">
        <f t="shared" si="665"/>
        <v>2056</v>
      </c>
      <c r="C2809" s="33" t="s">
        <v>23</v>
      </c>
      <c r="D2809" s="34" t="s">
        <v>1999</v>
      </c>
      <c r="E2809" s="35" t="str">
        <f t="shared" si="663"/>
        <v>PSDP'!</v>
      </c>
      <c r="F2809" s="34" t="str">
        <f t="shared" si="664"/>
        <v>C:\Users\jaime.benazar\Quorum Business Solutions\Ecopetrol Prometeo - Documents\Planning Space Implementation\3. Analysis &amp; Design\Design\FC22\DRR Jaime\QUIFA-CAJÚA\Cajua\[CAJUA_CF_SEC_New_27-Feb-2024Rev3.xlsx]D-PSDP'!</v>
      </c>
      <c r="G2809" s="32" t="s">
        <v>116</v>
      </c>
      <c r="H2809" s="33"/>
      <c r="I2809" s="33"/>
      <c r="J2809" s="37"/>
    </row>
    <row r="2810" spans="1:10" x14ac:dyDescent="0.25">
      <c r="A2810" s="32" t="s">
        <v>102</v>
      </c>
      <c r="B2810" s="32">
        <f t="shared" si="665"/>
        <v>2057</v>
      </c>
      <c r="C2810" s="33" t="s">
        <v>23</v>
      </c>
      <c r="D2810" s="34" t="s">
        <v>1999</v>
      </c>
      <c r="E2810" s="35" t="str">
        <f t="shared" si="663"/>
        <v>PSDP'!</v>
      </c>
      <c r="F2810" s="34" t="str">
        <f t="shared" si="664"/>
        <v>C:\Users\jaime.benazar\Quorum Business Solutions\Ecopetrol Prometeo - Documents\Planning Space Implementation\3. Analysis &amp; Design\Design\FC22\DRR Jaime\QUIFA-CAJÚA\Cajua\[CAJUA_CF_SEC_New_27-Feb-2024Rev3.xlsx]D-PSDP'!</v>
      </c>
      <c r="G2810" s="32" t="s">
        <v>116</v>
      </c>
      <c r="H2810" s="33"/>
      <c r="I2810" s="33"/>
      <c r="J2810" s="37"/>
    </row>
    <row r="2811" spans="1:10" x14ac:dyDescent="0.25">
      <c r="A2811" s="32" t="s">
        <v>102</v>
      </c>
      <c r="B2811" s="32">
        <f t="shared" si="665"/>
        <v>2058</v>
      </c>
      <c r="C2811" s="33" t="s">
        <v>23</v>
      </c>
      <c r="D2811" s="34" t="s">
        <v>1999</v>
      </c>
      <c r="E2811" s="35" t="str">
        <f t="shared" si="663"/>
        <v>PSDP'!</v>
      </c>
      <c r="F2811" s="34" t="str">
        <f t="shared" si="664"/>
        <v>C:\Users\jaime.benazar\Quorum Business Solutions\Ecopetrol Prometeo - Documents\Planning Space Implementation\3. Analysis &amp; Design\Design\FC22\DRR Jaime\QUIFA-CAJÚA\Cajua\[CAJUA_CF_SEC_New_27-Feb-2024Rev3.xlsx]D-PSDP'!</v>
      </c>
      <c r="G2811" s="32" t="s">
        <v>116</v>
      </c>
      <c r="H2811" s="33"/>
      <c r="I2811" s="33"/>
      <c r="J2811" s="37"/>
    </row>
    <row r="2812" spans="1:10" x14ac:dyDescent="0.25">
      <c r="A2812" s="32" t="s">
        <v>102</v>
      </c>
      <c r="B2812" s="32">
        <f t="shared" si="665"/>
        <v>2059</v>
      </c>
      <c r="C2812" s="33" t="s">
        <v>23</v>
      </c>
      <c r="D2812" s="34" t="s">
        <v>1999</v>
      </c>
      <c r="E2812" s="35" t="str">
        <f t="shared" si="663"/>
        <v>PSDP'!</v>
      </c>
      <c r="F2812" s="34" t="str">
        <f t="shared" si="664"/>
        <v>C:\Users\jaime.benazar\Quorum Business Solutions\Ecopetrol Prometeo - Documents\Planning Space Implementation\3. Analysis &amp; Design\Design\FC22\DRR Jaime\QUIFA-CAJÚA\Cajua\[CAJUA_CF_SEC_New_27-Feb-2024Rev3.xlsx]D-PSDP'!</v>
      </c>
      <c r="G2812" s="32" t="s">
        <v>116</v>
      </c>
      <c r="H2812" s="33"/>
      <c r="I2812" s="33"/>
      <c r="J2812" s="37"/>
    </row>
    <row r="2813" spans="1:10" x14ac:dyDescent="0.25">
      <c r="A2813" s="32" t="s">
        <v>28</v>
      </c>
      <c r="B2813" s="32"/>
      <c r="C2813" s="33" t="s">
        <v>23</v>
      </c>
      <c r="D2813" s="34"/>
      <c r="E2813" s="35"/>
      <c r="F2813" s="34"/>
      <c r="G2813" s="32"/>
      <c r="H2813" s="33"/>
      <c r="I2813" s="33"/>
      <c r="J2813" s="33"/>
    </row>
    <row r="2814" spans="1:10" x14ac:dyDescent="0.25">
      <c r="A2814" s="32" t="s">
        <v>103</v>
      </c>
      <c r="B2814" s="32">
        <v>2023</v>
      </c>
      <c r="C2814" s="33" t="s">
        <v>23</v>
      </c>
      <c r="D2814" s="34" t="s">
        <v>1999</v>
      </c>
      <c r="E2814" s="35" t="str">
        <f t="shared" ref="E2814:E2834" si="666">_xlfn.CONCAT(A2814,"'!")</f>
        <v>PSNP'!</v>
      </c>
      <c r="F2814" s="34" t="str">
        <f t="shared" ref="F2814:F2834" si="667">_xlfn.CONCAT(D2814:E2814)</f>
        <v>C:\Users\jaime.benazar\Quorum Business Solutions\Ecopetrol Prometeo - Documents\Planning Space Implementation\3. Analysis &amp; Design\Design\FC22\DRR Jaime\QUIFA-CAJÚA\Cajua\[CAJUA_CF_SEC_New_27-Feb-2024Rev3.xlsx]D-PSNP'!</v>
      </c>
      <c r="G2814" s="32" t="s">
        <v>116</v>
      </c>
      <c r="H2814" s="33"/>
      <c r="I2814" s="33"/>
      <c r="J2814" s="37"/>
    </row>
    <row r="2815" spans="1:10" x14ac:dyDescent="0.25">
      <c r="A2815" s="32" t="s">
        <v>103</v>
      </c>
      <c r="B2815" s="32">
        <f>+B2814+1</f>
        <v>2024</v>
      </c>
      <c r="C2815" s="33" t="s">
        <v>23</v>
      </c>
      <c r="D2815" s="34" t="s">
        <v>1999</v>
      </c>
      <c r="E2815" s="35" t="str">
        <f t="shared" si="666"/>
        <v>PSNP'!</v>
      </c>
      <c r="F2815" s="34" t="str">
        <f t="shared" si="667"/>
        <v>C:\Users\jaime.benazar\Quorum Business Solutions\Ecopetrol Prometeo - Documents\Planning Space Implementation\3. Analysis &amp; Design\Design\FC22\DRR Jaime\QUIFA-CAJÚA\Cajua\[CAJUA_CF_SEC_New_27-Feb-2024Rev3.xlsx]D-PSNP'!</v>
      </c>
      <c r="G2815" s="32" t="s">
        <v>116</v>
      </c>
      <c r="H2815" s="33"/>
      <c r="I2815" s="33"/>
      <c r="J2815" s="37"/>
    </row>
    <row r="2816" spans="1:10" x14ac:dyDescent="0.25">
      <c r="A2816" s="32" t="s">
        <v>103</v>
      </c>
      <c r="B2816" s="32">
        <f t="shared" ref="B2816:B2827" si="668">+B2815+1</f>
        <v>2025</v>
      </c>
      <c r="C2816" s="33" t="s">
        <v>23</v>
      </c>
      <c r="D2816" s="34" t="s">
        <v>1999</v>
      </c>
      <c r="E2816" s="35" t="str">
        <f t="shared" si="666"/>
        <v>PSNP'!</v>
      </c>
      <c r="F2816" s="34" t="str">
        <f t="shared" si="667"/>
        <v>C:\Users\jaime.benazar\Quorum Business Solutions\Ecopetrol Prometeo - Documents\Planning Space Implementation\3. Analysis &amp; Design\Design\FC22\DRR Jaime\QUIFA-CAJÚA\Cajua\[CAJUA_CF_SEC_New_27-Feb-2024Rev3.xlsx]D-PSNP'!</v>
      </c>
      <c r="G2816" s="32" t="s">
        <v>116</v>
      </c>
      <c r="H2816" s="33"/>
      <c r="I2816" s="33"/>
      <c r="J2816" s="37"/>
    </row>
    <row r="2817" spans="1:10" x14ac:dyDescent="0.25">
      <c r="A2817" s="32" t="s">
        <v>103</v>
      </c>
      <c r="B2817" s="32">
        <f t="shared" si="668"/>
        <v>2026</v>
      </c>
      <c r="C2817" s="33" t="s">
        <v>23</v>
      </c>
      <c r="D2817" s="34" t="s">
        <v>1999</v>
      </c>
      <c r="E2817" s="35" t="str">
        <f t="shared" si="666"/>
        <v>PSNP'!</v>
      </c>
      <c r="F2817" s="34" t="str">
        <f t="shared" si="667"/>
        <v>C:\Users\jaime.benazar\Quorum Business Solutions\Ecopetrol Prometeo - Documents\Planning Space Implementation\3. Analysis &amp; Design\Design\FC22\DRR Jaime\QUIFA-CAJÚA\Cajua\[CAJUA_CF_SEC_New_27-Feb-2024Rev3.xlsx]D-PSNP'!</v>
      </c>
      <c r="G2817" s="32" t="s">
        <v>116</v>
      </c>
      <c r="H2817" s="33"/>
      <c r="I2817" s="33"/>
      <c r="J2817" s="37"/>
    </row>
    <row r="2818" spans="1:10" x14ac:dyDescent="0.25">
      <c r="A2818" s="32" t="s">
        <v>103</v>
      </c>
      <c r="B2818" s="32">
        <f t="shared" si="668"/>
        <v>2027</v>
      </c>
      <c r="C2818" s="33" t="s">
        <v>23</v>
      </c>
      <c r="D2818" s="34" t="s">
        <v>1999</v>
      </c>
      <c r="E2818" s="35" t="str">
        <f t="shared" si="666"/>
        <v>PSNP'!</v>
      </c>
      <c r="F2818" s="34" t="str">
        <f t="shared" si="667"/>
        <v>C:\Users\jaime.benazar\Quorum Business Solutions\Ecopetrol Prometeo - Documents\Planning Space Implementation\3. Analysis &amp; Design\Design\FC22\DRR Jaime\QUIFA-CAJÚA\Cajua\[CAJUA_CF_SEC_New_27-Feb-2024Rev3.xlsx]D-PSNP'!</v>
      </c>
      <c r="G2818" s="32" t="s">
        <v>116</v>
      </c>
      <c r="H2818" s="33"/>
      <c r="I2818" s="33"/>
      <c r="J2818" s="37"/>
    </row>
    <row r="2819" spans="1:10" x14ac:dyDescent="0.25">
      <c r="A2819" s="32" t="s">
        <v>103</v>
      </c>
      <c r="B2819" s="32">
        <f t="shared" si="668"/>
        <v>2028</v>
      </c>
      <c r="C2819" s="33" t="s">
        <v>23</v>
      </c>
      <c r="D2819" s="34" t="s">
        <v>1999</v>
      </c>
      <c r="E2819" s="35" t="str">
        <f t="shared" si="666"/>
        <v>PSNP'!</v>
      </c>
      <c r="F2819" s="34" t="str">
        <f t="shared" si="667"/>
        <v>C:\Users\jaime.benazar\Quorum Business Solutions\Ecopetrol Prometeo - Documents\Planning Space Implementation\3. Analysis &amp; Design\Design\FC22\DRR Jaime\QUIFA-CAJÚA\Cajua\[CAJUA_CF_SEC_New_27-Feb-2024Rev3.xlsx]D-PSNP'!</v>
      </c>
      <c r="G2819" s="32" t="s">
        <v>116</v>
      </c>
      <c r="H2819" s="33"/>
      <c r="I2819" s="33"/>
      <c r="J2819" s="37"/>
    </row>
    <row r="2820" spans="1:10" x14ac:dyDescent="0.25">
      <c r="A2820" s="32" t="s">
        <v>103</v>
      </c>
      <c r="B2820" s="32">
        <f t="shared" si="668"/>
        <v>2029</v>
      </c>
      <c r="C2820" s="33" t="s">
        <v>23</v>
      </c>
      <c r="D2820" s="34" t="s">
        <v>1999</v>
      </c>
      <c r="E2820" s="35" t="str">
        <f t="shared" si="666"/>
        <v>PSNP'!</v>
      </c>
      <c r="F2820" s="34" t="str">
        <f t="shared" si="667"/>
        <v>C:\Users\jaime.benazar\Quorum Business Solutions\Ecopetrol Prometeo - Documents\Planning Space Implementation\3. Analysis &amp; Design\Design\FC22\DRR Jaime\QUIFA-CAJÚA\Cajua\[CAJUA_CF_SEC_New_27-Feb-2024Rev3.xlsx]D-PSNP'!</v>
      </c>
      <c r="G2820" s="32" t="s">
        <v>116</v>
      </c>
      <c r="H2820" s="33"/>
      <c r="I2820" s="33"/>
      <c r="J2820" s="37"/>
    </row>
    <row r="2821" spans="1:10" x14ac:dyDescent="0.25">
      <c r="A2821" s="32" t="s">
        <v>103</v>
      </c>
      <c r="B2821" s="32">
        <f t="shared" si="668"/>
        <v>2030</v>
      </c>
      <c r="C2821" s="33" t="s">
        <v>23</v>
      </c>
      <c r="D2821" s="34" t="s">
        <v>1999</v>
      </c>
      <c r="E2821" s="35" t="str">
        <f t="shared" si="666"/>
        <v>PSNP'!</v>
      </c>
      <c r="F2821" s="34" t="str">
        <f t="shared" si="667"/>
        <v>C:\Users\jaime.benazar\Quorum Business Solutions\Ecopetrol Prometeo - Documents\Planning Space Implementation\3. Analysis &amp; Design\Design\FC22\DRR Jaime\QUIFA-CAJÚA\Cajua\[CAJUA_CF_SEC_New_27-Feb-2024Rev3.xlsx]D-PSNP'!</v>
      </c>
      <c r="G2821" s="32" t="s">
        <v>116</v>
      </c>
      <c r="H2821" s="33"/>
      <c r="I2821" s="33"/>
      <c r="J2821" s="37"/>
    </row>
    <row r="2822" spans="1:10" x14ac:dyDescent="0.25">
      <c r="A2822" s="32" t="s">
        <v>103</v>
      </c>
      <c r="B2822" s="32">
        <f t="shared" si="668"/>
        <v>2031</v>
      </c>
      <c r="C2822" s="33" t="s">
        <v>23</v>
      </c>
      <c r="D2822" s="34" t="s">
        <v>1999</v>
      </c>
      <c r="E2822" s="35" t="str">
        <f t="shared" si="666"/>
        <v>PSNP'!</v>
      </c>
      <c r="F2822" s="34" t="str">
        <f t="shared" si="667"/>
        <v>C:\Users\jaime.benazar\Quorum Business Solutions\Ecopetrol Prometeo - Documents\Planning Space Implementation\3. Analysis &amp; Design\Design\FC22\DRR Jaime\QUIFA-CAJÚA\Cajua\[CAJUA_CF_SEC_New_27-Feb-2024Rev3.xlsx]D-PSNP'!</v>
      </c>
      <c r="G2822" s="32" t="s">
        <v>116</v>
      </c>
      <c r="H2822" s="33"/>
      <c r="I2822" s="33"/>
      <c r="J2822" s="37"/>
    </row>
    <row r="2823" spans="1:10" x14ac:dyDescent="0.25">
      <c r="A2823" s="32" t="s">
        <v>103</v>
      </c>
      <c r="B2823" s="32">
        <f t="shared" si="668"/>
        <v>2032</v>
      </c>
      <c r="C2823" s="33" t="s">
        <v>23</v>
      </c>
      <c r="D2823" s="34" t="s">
        <v>1999</v>
      </c>
      <c r="E2823" s="35" t="str">
        <f t="shared" si="666"/>
        <v>PSNP'!</v>
      </c>
      <c r="F2823" s="34" t="str">
        <f t="shared" si="667"/>
        <v>C:\Users\jaime.benazar\Quorum Business Solutions\Ecopetrol Prometeo - Documents\Planning Space Implementation\3. Analysis &amp; Design\Design\FC22\DRR Jaime\QUIFA-CAJÚA\Cajua\[CAJUA_CF_SEC_New_27-Feb-2024Rev3.xlsx]D-PSNP'!</v>
      </c>
      <c r="G2823" s="32" t="s">
        <v>116</v>
      </c>
      <c r="H2823" s="33"/>
      <c r="I2823" s="33"/>
      <c r="J2823" s="37"/>
    </row>
    <row r="2824" spans="1:10" x14ac:dyDescent="0.25">
      <c r="A2824" s="32" t="s">
        <v>103</v>
      </c>
      <c r="B2824" s="32">
        <f t="shared" si="668"/>
        <v>2033</v>
      </c>
      <c r="C2824" s="33" t="s">
        <v>23</v>
      </c>
      <c r="D2824" s="34" t="s">
        <v>1999</v>
      </c>
      <c r="E2824" s="35" t="str">
        <f t="shared" si="666"/>
        <v>PSNP'!</v>
      </c>
      <c r="F2824" s="34" t="str">
        <f t="shared" si="667"/>
        <v>C:\Users\jaime.benazar\Quorum Business Solutions\Ecopetrol Prometeo - Documents\Planning Space Implementation\3. Analysis &amp; Design\Design\FC22\DRR Jaime\QUIFA-CAJÚA\Cajua\[CAJUA_CF_SEC_New_27-Feb-2024Rev3.xlsx]D-PSNP'!</v>
      </c>
      <c r="G2824" s="32" t="s">
        <v>116</v>
      </c>
      <c r="H2824" s="33"/>
      <c r="I2824" s="33"/>
      <c r="J2824" s="37"/>
    </row>
    <row r="2825" spans="1:10" x14ac:dyDescent="0.25">
      <c r="A2825" s="32" t="s">
        <v>103</v>
      </c>
      <c r="B2825" s="32">
        <f t="shared" si="668"/>
        <v>2034</v>
      </c>
      <c r="C2825" s="33" t="s">
        <v>23</v>
      </c>
      <c r="D2825" s="34" t="s">
        <v>1999</v>
      </c>
      <c r="E2825" s="35" t="str">
        <f t="shared" si="666"/>
        <v>PSNP'!</v>
      </c>
      <c r="F2825" s="34" t="str">
        <f t="shared" si="667"/>
        <v>C:\Users\jaime.benazar\Quorum Business Solutions\Ecopetrol Prometeo - Documents\Planning Space Implementation\3. Analysis &amp; Design\Design\FC22\DRR Jaime\QUIFA-CAJÚA\Cajua\[CAJUA_CF_SEC_New_27-Feb-2024Rev3.xlsx]D-PSNP'!</v>
      </c>
      <c r="G2825" s="32" t="s">
        <v>116</v>
      </c>
      <c r="H2825" s="33"/>
      <c r="I2825" s="33"/>
      <c r="J2825" s="37"/>
    </row>
    <row r="2826" spans="1:10" x14ac:dyDescent="0.25">
      <c r="A2826" s="32" t="s">
        <v>103</v>
      </c>
      <c r="B2826" s="32">
        <f t="shared" si="668"/>
        <v>2035</v>
      </c>
      <c r="C2826" s="33" t="s">
        <v>23</v>
      </c>
      <c r="D2826" s="34" t="s">
        <v>1999</v>
      </c>
      <c r="E2826" s="35" t="str">
        <f t="shared" si="666"/>
        <v>PSNP'!</v>
      </c>
      <c r="F2826" s="34" t="str">
        <f t="shared" si="667"/>
        <v>C:\Users\jaime.benazar\Quorum Business Solutions\Ecopetrol Prometeo - Documents\Planning Space Implementation\3. Analysis &amp; Design\Design\FC22\DRR Jaime\QUIFA-CAJÚA\Cajua\[CAJUA_CF_SEC_New_27-Feb-2024Rev3.xlsx]D-PSNP'!</v>
      </c>
      <c r="G2826" s="32" t="s">
        <v>116</v>
      </c>
      <c r="H2826" s="33"/>
      <c r="I2826" s="33"/>
      <c r="J2826" s="37"/>
    </row>
    <row r="2827" spans="1:10" x14ac:dyDescent="0.25">
      <c r="A2827" s="32" t="s">
        <v>103</v>
      </c>
      <c r="B2827" s="32">
        <f t="shared" si="668"/>
        <v>2036</v>
      </c>
      <c r="C2827" s="33" t="s">
        <v>23</v>
      </c>
      <c r="D2827" s="34" t="s">
        <v>1999</v>
      </c>
      <c r="E2827" s="35" t="str">
        <f t="shared" si="666"/>
        <v>PSNP'!</v>
      </c>
      <c r="F2827" s="34" t="str">
        <f t="shared" si="667"/>
        <v>C:\Users\jaime.benazar\Quorum Business Solutions\Ecopetrol Prometeo - Documents\Planning Space Implementation\3. Analysis &amp; Design\Design\FC22\DRR Jaime\QUIFA-CAJÚA\Cajua\[CAJUA_CF_SEC_New_27-Feb-2024Rev3.xlsx]D-PSNP'!</v>
      </c>
      <c r="G2827" s="32" t="s">
        <v>116</v>
      </c>
      <c r="H2827" s="33"/>
      <c r="I2827" s="33"/>
      <c r="J2827" s="37"/>
    </row>
    <row r="2828" spans="1:10" x14ac:dyDescent="0.25">
      <c r="A2828" s="32" t="s">
        <v>103</v>
      </c>
      <c r="B2828" s="32">
        <f>+B2827+1</f>
        <v>2037</v>
      </c>
      <c r="C2828" s="33" t="s">
        <v>23</v>
      </c>
      <c r="D2828" s="34" t="s">
        <v>1999</v>
      </c>
      <c r="E2828" s="35" t="str">
        <f t="shared" si="666"/>
        <v>PSNP'!</v>
      </c>
      <c r="F2828" s="34" t="str">
        <f t="shared" si="667"/>
        <v>C:\Users\jaime.benazar\Quorum Business Solutions\Ecopetrol Prometeo - Documents\Planning Space Implementation\3. Analysis &amp; Design\Design\FC22\DRR Jaime\QUIFA-CAJÚA\Cajua\[CAJUA_CF_SEC_New_27-Feb-2024Rev3.xlsx]D-PSNP'!</v>
      </c>
      <c r="G2828" s="32" t="s">
        <v>116</v>
      </c>
      <c r="H2828" s="33"/>
      <c r="I2828" s="33"/>
      <c r="J2828" s="37"/>
    </row>
    <row r="2829" spans="1:10" x14ac:dyDescent="0.25">
      <c r="A2829" s="32" t="s">
        <v>103</v>
      </c>
      <c r="B2829" s="32">
        <f t="shared" ref="B2829:B2831" si="669">+B2828+1</f>
        <v>2038</v>
      </c>
      <c r="C2829" s="33" t="s">
        <v>23</v>
      </c>
      <c r="D2829" s="34" t="s">
        <v>1999</v>
      </c>
      <c r="E2829" s="35" t="str">
        <f t="shared" si="666"/>
        <v>PSNP'!</v>
      </c>
      <c r="F2829" s="34" t="str">
        <f t="shared" si="667"/>
        <v>C:\Users\jaime.benazar\Quorum Business Solutions\Ecopetrol Prometeo - Documents\Planning Space Implementation\3. Analysis &amp; Design\Design\FC22\DRR Jaime\QUIFA-CAJÚA\Cajua\[CAJUA_CF_SEC_New_27-Feb-2024Rev3.xlsx]D-PSNP'!</v>
      </c>
      <c r="G2829" s="32" t="s">
        <v>116</v>
      </c>
      <c r="H2829" s="33"/>
      <c r="I2829" s="33"/>
      <c r="J2829" s="37"/>
    </row>
    <row r="2830" spans="1:10" x14ac:dyDescent="0.25">
      <c r="A2830" s="32" t="s">
        <v>103</v>
      </c>
      <c r="B2830" s="32">
        <f t="shared" si="669"/>
        <v>2039</v>
      </c>
      <c r="C2830" s="33" t="s">
        <v>23</v>
      </c>
      <c r="D2830" s="34" t="s">
        <v>1999</v>
      </c>
      <c r="E2830" s="35" t="str">
        <f t="shared" si="666"/>
        <v>PSNP'!</v>
      </c>
      <c r="F2830" s="34" t="str">
        <f t="shared" si="667"/>
        <v>C:\Users\jaime.benazar\Quorum Business Solutions\Ecopetrol Prometeo - Documents\Planning Space Implementation\3. Analysis &amp; Design\Design\FC22\DRR Jaime\QUIFA-CAJÚA\Cajua\[CAJUA_CF_SEC_New_27-Feb-2024Rev3.xlsx]D-PSNP'!</v>
      </c>
      <c r="G2830" s="32" t="s">
        <v>116</v>
      </c>
      <c r="H2830" s="33"/>
      <c r="I2830" s="33"/>
      <c r="J2830" s="37"/>
    </row>
    <row r="2831" spans="1:10" x14ac:dyDescent="0.25">
      <c r="A2831" s="32" t="s">
        <v>103</v>
      </c>
      <c r="B2831" s="32">
        <f t="shared" si="669"/>
        <v>2040</v>
      </c>
      <c r="C2831" s="33" t="s">
        <v>23</v>
      </c>
      <c r="D2831" s="34" t="s">
        <v>1999</v>
      </c>
      <c r="E2831" s="35" t="str">
        <f t="shared" si="666"/>
        <v>PSNP'!</v>
      </c>
      <c r="F2831" s="34" t="str">
        <f t="shared" si="667"/>
        <v>C:\Users\jaime.benazar\Quorum Business Solutions\Ecopetrol Prometeo - Documents\Planning Space Implementation\3. Analysis &amp; Design\Design\FC22\DRR Jaime\QUIFA-CAJÚA\Cajua\[CAJUA_CF_SEC_New_27-Feb-2024Rev3.xlsx]D-PSNP'!</v>
      </c>
      <c r="G2831" s="32" t="s">
        <v>116</v>
      </c>
      <c r="H2831" s="33"/>
      <c r="I2831" s="33"/>
      <c r="J2831" s="37"/>
    </row>
    <row r="2832" spans="1:10" x14ac:dyDescent="0.25">
      <c r="A2832" s="32" t="s">
        <v>103</v>
      </c>
      <c r="B2832" s="32">
        <f>+B2831+1</f>
        <v>2041</v>
      </c>
      <c r="C2832" s="33" t="s">
        <v>23</v>
      </c>
      <c r="D2832" s="34" t="s">
        <v>1999</v>
      </c>
      <c r="E2832" s="35" t="str">
        <f t="shared" si="666"/>
        <v>PSNP'!</v>
      </c>
      <c r="F2832" s="34" t="str">
        <f t="shared" si="667"/>
        <v>C:\Users\jaime.benazar\Quorum Business Solutions\Ecopetrol Prometeo - Documents\Planning Space Implementation\3. Analysis &amp; Design\Design\FC22\DRR Jaime\QUIFA-CAJÚA\Cajua\[CAJUA_CF_SEC_New_27-Feb-2024Rev3.xlsx]D-PSNP'!</v>
      </c>
      <c r="G2832" s="32" t="s">
        <v>116</v>
      </c>
      <c r="H2832" s="33"/>
      <c r="I2832" s="33"/>
      <c r="J2832" s="37"/>
    </row>
    <row r="2833" spans="1:10" x14ac:dyDescent="0.25">
      <c r="A2833" s="32" t="s">
        <v>103</v>
      </c>
      <c r="B2833" s="32">
        <f t="shared" ref="B2833:B2834" si="670">+B2832+1</f>
        <v>2042</v>
      </c>
      <c r="C2833" s="33" t="s">
        <v>23</v>
      </c>
      <c r="D2833" s="34" t="s">
        <v>1999</v>
      </c>
      <c r="E2833" s="35" t="str">
        <f t="shared" si="666"/>
        <v>PSNP'!</v>
      </c>
      <c r="F2833" s="34" t="str">
        <f t="shared" si="667"/>
        <v>C:\Users\jaime.benazar\Quorum Business Solutions\Ecopetrol Prometeo - Documents\Planning Space Implementation\3. Analysis &amp; Design\Design\FC22\DRR Jaime\QUIFA-CAJÚA\Cajua\[CAJUA_CF_SEC_New_27-Feb-2024Rev3.xlsx]D-PSNP'!</v>
      </c>
      <c r="G2833" s="32" t="s">
        <v>116</v>
      </c>
      <c r="H2833" s="33"/>
      <c r="I2833" s="33"/>
      <c r="J2833" s="37"/>
    </row>
    <row r="2834" spans="1:10" x14ac:dyDescent="0.25">
      <c r="A2834" s="32" t="s">
        <v>103</v>
      </c>
      <c r="B2834" s="32">
        <f t="shared" si="670"/>
        <v>2043</v>
      </c>
      <c r="C2834" s="33" t="s">
        <v>23</v>
      </c>
      <c r="D2834" s="34" t="s">
        <v>1999</v>
      </c>
      <c r="E2834" s="35" t="str">
        <f t="shared" si="666"/>
        <v>PSNP'!</v>
      </c>
      <c r="F2834" s="34" t="str">
        <f t="shared" si="667"/>
        <v>C:\Users\jaime.benazar\Quorum Business Solutions\Ecopetrol Prometeo - Documents\Planning Space Implementation\3. Analysis &amp; Design\Design\FC22\DRR Jaime\QUIFA-CAJÚA\Cajua\[CAJUA_CF_SEC_New_27-Feb-2024Rev3.xlsx]D-PSNP'!</v>
      </c>
      <c r="G2834" s="32" t="s">
        <v>116</v>
      </c>
      <c r="H2834" s="33"/>
      <c r="I2834" s="33"/>
      <c r="J2834" s="37"/>
    </row>
    <row r="2835" spans="1:10" x14ac:dyDescent="0.25">
      <c r="A2835" s="32" t="s">
        <v>103</v>
      </c>
      <c r="B2835" s="32">
        <f>+B2834+1</f>
        <v>2044</v>
      </c>
      <c r="C2835" s="33" t="s">
        <v>23</v>
      </c>
      <c r="D2835" s="34" t="s">
        <v>1999</v>
      </c>
      <c r="E2835" s="35" t="str">
        <f t="shared" ref="E2835:E2850" si="671">_xlfn.CONCAT(A2835,"'!")</f>
        <v>PSNP'!</v>
      </c>
      <c r="F2835" s="34" t="str">
        <f t="shared" ref="F2835:F2850" si="672">_xlfn.CONCAT(D2835:E2835)</f>
        <v>C:\Users\jaime.benazar\Quorum Business Solutions\Ecopetrol Prometeo - Documents\Planning Space Implementation\3. Analysis &amp; Design\Design\FC22\DRR Jaime\QUIFA-CAJÚA\Cajua\[CAJUA_CF_SEC_New_27-Feb-2024Rev3.xlsx]D-PSNP'!</v>
      </c>
      <c r="G2835" s="32" t="s">
        <v>116</v>
      </c>
      <c r="H2835" s="33"/>
      <c r="I2835" s="33"/>
      <c r="J2835" s="37"/>
    </row>
    <row r="2836" spans="1:10" x14ac:dyDescent="0.25">
      <c r="A2836" s="32" t="s">
        <v>103</v>
      </c>
      <c r="B2836" s="32">
        <f t="shared" ref="B2836:B2850" si="673">+B2835+1</f>
        <v>2045</v>
      </c>
      <c r="C2836" s="33" t="s">
        <v>23</v>
      </c>
      <c r="D2836" s="34" t="s">
        <v>1999</v>
      </c>
      <c r="E2836" s="35" t="str">
        <f t="shared" si="671"/>
        <v>PSNP'!</v>
      </c>
      <c r="F2836" s="34" t="str">
        <f t="shared" si="672"/>
        <v>C:\Users\jaime.benazar\Quorum Business Solutions\Ecopetrol Prometeo - Documents\Planning Space Implementation\3. Analysis &amp; Design\Design\FC22\DRR Jaime\QUIFA-CAJÚA\Cajua\[CAJUA_CF_SEC_New_27-Feb-2024Rev3.xlsx]D-PSNP'!</v>
      </c>
      <c r="G2836" s="32" t="s">
        <v>116</v>
      </c>
      <c r="H2836" s="33"/>
      <c r="I2836" s="33"/>
      <c r="J2836" s="37"/>
    </row>
    <row r="2837" spans="1:10" x14ac:dyDescent="0.25">
      <c r="A2837" s="32" t="s">
        <v>103</v>
      </c>
      <c r="B2837" s="32">
        <f t="shared" si="673"/>
        <v>2046</v>
      </c>
      <c r="C2837" s="33" t="s">
        <v>23</v>
      </c>
      <c r="D2837" s="34" t="s">
        <v>1999</v>
      </c>
      <c r="E2837" s="35" t="str">
        <f t="shared" si="671"/>
        <v>PSNP'!</v>
      </c>
      <c r="F2837" s="34" t="str">
        <f t="shared" si="672"/>
        <v>C:\Users\jaime.benazar\Quorum Business Solutions\Ecopetrol Prometeo - Documents\Planning Space Implementation\3. Analysis &amp; Design\Design\FC22\DRR Jaime\QUIFA-CAJÚA\Cajua\[CAJUA_CF_SEC_New_27-Feb-2024Rev3.xlsx]D-PSNP'!</v>
      </c>
      <c r="G2837" s="32" t="s">
        <v>116</v>
      </c>
      <c r="H2837" s="33"/>
      <c r="I2837" s="33"/>
      <c r="J2837" s="37"/>
    </row>
    <row r="2838" spans="1:10" x14ac:dyDescent="0.25">
      <c r="A2838" s="32" t="s">
        <v>103</v>
      </c>
      <c r="B2838" s="32">
        <f t="shared" si="673"/>
        <v>2047</v>
      </c>
      <c r="C2838" s="33" t="s">
        <v>23</v>
      </c>
      <c r="D2838" s="34" t="s">
        <v>1999</v>
      </c>
      <c r="E2838" s="35" t="str">
        <f t="shared" si="671"/>
        <v>PSNP'!</v>
      </c>
      <c r="F2838" s="34" t="str">
        <f t="shared" si="672"/>
        <v>C:\Users\jaime.benazar\Quorum Business Solutions\Ecopetrol Prometeo - Documents\Planning Space Implementation\3. Analysis &amp; Design\Design\FC22\DRR Jaime\QUIFA-CAJÚA\Cajua\[CAJUA_CF_SEC_New_27-Feb-2024Rev3.xlsx]D-PSNP'!</v>
      </c>
      <c r="G2838" s="32" t="s">
        <v>116</v>
      </c>
      <c r="H2838" s="33"/>
      <c r="I2838" s="33"/>
      <c r="J2838" s="37"/>
    </row>
    <row r="2839" spans="1:10" x14ac:dyDescent="0.25">
      <c r="A2839" s="32" t="s">
        <v>103</v>
      </c>
      <c r="B2839" s="32">
        <f t="shared" si="673"/>
        <v>2048</v>
      </c>
      <c r="C2839" s="33" t="s">
        <v>23</v>
      </c>
      <c r="D2839" s="34" t="s">
        <v>1999</v>
      </c>
      <c r="E2839" s="35" t="str">
        <f t="shared" si="671"/>
        <v>PSNP'!</v>
      </c>
      <c r="F2839" s="34" t="str">
        <f t="shared" si="672"/>
        <v>C:\Users\jaime.benazar\Quorum Business Solutions\Ecopetrol Prometeo - Documents\Planning Space Implementation\3. Analysis &amp; Design\Design\FC22\DRR Jaime\QUIFA-CAJÚA\Cajua\[CAJUA_CF_SEC_New_27-Feb-2024Rev3.xlsx]D-PSNP'!</v>
      </c>
      <c r="G2839" s="32" t="s">
        <v>116</v>
      </c>
      <c r="H2839" s="33"/>
      <c r="I2839" s="33"/>
      <c r="J2839" s="37"/>
    </row>
    <row r="2840" spans="1:10" x14ac:dyDescent="0.25">
      <c r="A2840" s="32" t="s">
        <v>103</v>
      </c>
      <c r="B2840" s="32">
        <f t="shared" si="673"/>
        <v>2049</v>
      </c>
      <c r="C2840" s="33" t="s">
        <v>23</v>
      </c>
      <c r="D2840" s="34" t="s">
        <v>1999</v>
      </c>
      <c r="E2840" s="35" t="str">
        <f t="shared" si="671"/>
        <v>PSNP'!</v>
      </c>
      <c r="F2840" s="34" t="str">
        <f t="shared" si="672"/>
        <v>C:\Users\jaime.benazar\Quorum Business Solutions\Ecopetrol Prometeo - Documents\Planning Space Implementation\3. Analysis &amp; Design\Design\FC22\DRR Jaime\QUIFA-CAJÚA\Cajua\[CAJUA_CF_SEC_New_27-Feb-2024Rev3.xlsx]D-PSNP'!</v>
      </c>
      <c r="G2840" s="32" t="s">
        <v>116</v>
      </c>
      <c r="H2840" s="33"/>
      <c r="I2840" s="33"/>
      <c r="J2840" s="37"/>
    </row>
    <row r="2841" spans="1:10" x14ac:dyDescent="0.25">
      <c r="A2841" s="32" t="s">
        <v>103</v>
      </c>
      <c r="B2841" s="32">
        <f t="shared" si="673"/>
        <v>2050</v>
      </c>
      <c r="C2841" s="33" t="s">
        <v>23</v>
      </c>
      <c r="D2841" s="34" t="s">
        <v>1999</v>
      </c>
      <c r="E2841" s="35" t="str">
        <f t="shared" si="671"/>
        <v>PSNP'!</v>
      </c>
      <c r="F2841" s="34" t="str">
        <f t="shared" si="672"/>
        <v>C:\Users\jaime.benazar\Quorum Business Solutions\Ecopetrol Prometeo - Documents\Planning Space Implementation\3. Analysis &amp; Design\Design\FC22\DRR Jaime\QUIFA-CAJÚA\Cajua\[CAJUA_CF_SEC_New_27-Feb-2024Rev3.xlsx]D-PSNP'!</v>
      </c>
      <c r="G2841" s="32" t="s">
        <v>116</v>
      </c>
      <c r="H2841" s="33"/>
      <c r="I2841" s="33"/>
      <c r="J2841" s="37"/>
    </row>
    <row r="2842" spans="1:10" x14ac:dyDescent="0.25">
      <c r="A2842" s="32" t="s">
        <v>103</v>
      </c>
      <c r="B2842" s="32">
        <f t="shared" si="673"/>
        <v>2051</v>
      </c>
      <c r="C2842" s="33" t="s">
        <v>23</v>
      </c>
      <c r="D2842" s="34" t="s">
        <v>1999</v>
      </c>
      <c r="E2842" s="35" t="str">
        <f t="shared" si="671"/>
        <v>PSNP'!</v>
      </c>
      <c r="F2842" s="34" t="str">
        <f t="shared" si="672"/>
        <v>C:\Users\jaime.benazar\Quorum Business Solutions\Ecopetrol Prometeo - Documents\Planning Space Implementation\3. Analysis &amp; Design\Design\FC22\DRR Jaime\QUIFA-CAJÚA\Cajua\[CAJUA_CF_SEC_New_27-Feb-2024Rev3.xlsx]D-PSNP'!</v>
      </c>
      <c r="G2842" s="32" t="s">
        <v>116</v>
      </c>
      <c r="H2842" s="33"/>
      <c r="I2842" s="33"/>
      <c r="J2842" s="37"/>
    </row>
    <row r="2843" spans="1:10" x14ac:dyDescent="0.25">
      <c r="A2843" s="32" t="s">
        <v>103</v>
      </c>
      <c r="B2843" s="32">
        <f t="shared" si="673"/>
        <v>2052</v>
      </c>
      <c r="C2843" s="33" t="s">
        <v>23</v>
      </c>
      <c r="D2843" s="34" t="s">
        <v>1999</v>
      </c>
      <c r="E2843" s="35" t="str">
        <f t="shared" si="671"/>
        <v>PSNP'!</v>
      </c>
      <c r="F2843" s="34" t="str">
        <f t="shared" si="672"/>
        <v>C:\Users\jaime.benazar\Quorum Business Solutions\Ecopetrol Prometeo - Documents\Planning Space Implementation\3. Analysis &amp; Design\Design\FC22\DRR Jaime\QUIFA-CAJÚA\Cajua\[CAJUA_CF_SEC_New_27-Feb-2024Rev3.xlsx]D-PSNP'!</v>
      </c>
      <c r="G2843" s="32" t="s">
        <v>116</v>
      </c>
      <c r="H2843" s="33"/>
      <c r="I2843" s="33"/>
      <c r="J2843" s="37"/>
    </row>
    <row r="2844" spans="1:10" x14ac:dyDescent="0.25">
      <c r="A2844" s="32" t="s">
        <v>103</v>
      </c>
      <c r="B2844" s="32">
        <f t="shared" si="673"/>
        <v>2053</v>
      </c>
      <c r="C2844" s="33" t="s">
        <v>23</v>
      </c>
      <c r="D2844" s="34" t="s">
        <v>1999</v>
      </c>
      <c r="E2844" s="35" t="str">
        <f t="shared" si="671"/>
        <v>PSNP'!</v>
      </c>
      <c r="F2844" s="34" t="str">
        <f t="shared" si="672"/>
        <v>C:\Users\jaime.benazar\Quorum Business Solutions\Ecopetrol Prometeo - Documents\Planning Space Implementation\3. Analysis &amp; Design\Design\FC22\DRR Jaime\QUIFA-CAJÚA\Cajua\[CAJUA_CF_SEC_New_27-Feb-2024Rev3.xlsx]D-PSNP'!</v>
      </c>
      <c r="G2844" s="32" t="s">
        <v>116</v>
      </c>
      <c r="H2844" s="33"/>
      <c r="I2844" s="33"/>
      <c r="J2844" s="37"/>
    </row>
    <row r="2845" spans="1:10" x14ac:dyDescent="0.25">
      <c r="A2845" s="32" t="s">
        <v>103</v>
      </c>
      <c r="B2845" s="32">
        <f t="shared" si="673"/>
        <v>2054</v>
      </c>
      <c r="C2845" s="33" t="s">
        <v>23</v>
      </c>
      <c r="D2845" s="34" t="s">
        <v>1999</v>
      </c>
      <c r="E2845" s="35" t="str">
        <f t="shared" si="671"/>
        <v>PSNP'!</v>
      </c>
      <c r="F2845" s="34" t="str">
        <f t="shared" si="672"/>
        <v>C:\Users\jaime.benazar\Quorum Business Solutions\Ecopetrol Prometeo - Documents\Planning Space Implementation\3. Analysis &amp; Design\Design\FC22\DRR Jaime\QUIFA-CAJÚA\Cajua\[CAJUA_CF_SEC_New_27-Feb-2024Rev3.xlsx]D-PSNP'!</v>
      </c>
      <c r="G2845" s="32" t="s">
        <v>116</v>
      </c>
      <c r="H2845" s="33"/>
      <c r="I2845" s="33"/>
      <c r="J2845" s="37"/>
    </row>
    <row r="2846" spans="1:10" x14ac:dyDescent="0.25">
      <c r="A2846" s="32" t="s">
        <v>103</v>
      </c>
      <c r="B2846" s="32">
        <f t="shared" si="673"/>
        <v>2055</v>
      </c>
      <c r="C2846" s="33" t="s">
        <v>23</v>
      </c>
      <c r="D2846" s="34" t="s">
        <v>1999</v>
      </c>
      <c r="E2846" s="35" t="str">
        <f t="shared" si="671"/>
        <v>PSNP'!</v>
      </c>
      <c r="F2846" s="34" t="str">
        <f t="shared" si="672"/>
        <v>C:\Users\jaime.benazar\Quorum Business Solutions\Ecopetrol Prometeo - Documents\Planning Space Implementation\3. Analysis &amp; Design\Design\FC22\DRR Jaime\QUIFA-CAJÚA\Cajua\[CAJUA_CF_SEC_New_27-Feb-2024Rev3.xlsx]D-PSNP'!</v>
      </c>
      <c r="G2846" s="32" t="s">
        <v>116</v>
      </c>
      <c r="H2846" s="33"/>
      <c r="I2846" s="33"/>
      <c r="J2846" s="37"/>
    </row>
    <row r="2847" spans="1:10" x14ac:dyDescent="0.25">
      <c r="A2847" s="32" t="s">
        <v>103</v>
      </c>
      <c r="B2847" s="32">
        <f t="shared" si="673"/>
        <v>2056</v>
      </c>
      <c r="C2847" s="33" t="s">
        <v>23</v>
      </c>
      <c r="D2847" s="34" t="s">
        <v>1999</v>
      </c>
      <c r="E2847" s="35" t="str">
        <f t="shared" si="671"/>
        <v>PSNP'!</v>
      </c>
      <c r="F2847" s="34" t="str">
        <f t="shared" si="672"/>
        <v>C:\Users\jaime.benazar\Quorum Business Solutions\Ecopetrol Prometeo - Documents\Planning Space Implementation\3. Analysis &amp; Design\Design\FC22\DRR Jaime\QUIFA-CAJÚA\Cajua\[CAJUA_CF_SEC_New_27-Feb-2024Rev3.xlsx]D-PSNP'!</v>
      </c>
      <c r="G2847" s="32" t="s">
        <v>116</v>
      </c>
      <c r="H2847" s="33"/>
      <c r="I2847" s="33"/>
      <c r="J2847" s="37"/>
    </row>
    <row r="2848" spans="1:10" x14ac:dyDescent="0.25">
      <c r="A2848" s="32" t="s">
        <v>103</v>
      </c>
      <c r="B2848" s="32">
        <f t="shared" si="673"/>
        <v>2057</v>
      </c>
      <c r="C2848" s="33" t="s">
        <v>23</v>
      </c>
      <c r="D2848" s="34" t="s">
        <v>1999</v>
      </c>
      <c r="E2848" s="35" t="str">
        <f t="shared" si="671"/>
        <v>PSNP'!</v>
      </c>
      <c r="F2848" s="34" t="str">
        <f t="shared" si="672"/>
        <v>C:\Users\jaime.benazar\Quorum Business Solutions\Ecopetrol Prometeo - Documents\Planning Space Implementation\3. Analysis &amp; Design\Design\FC22\DRR Jaime\QUIFA-CAJÚA\Cajua\[CAJUA_CF_SEC_New_27-Feb-2024Rev3.xlsx]D-PSNP'!</v>
      </c>
      <c r="G2848" s="32" t="s">
        <v>116</v>
      </c>
      <c r="H2848" s="33"/>
      <c r="I2848" s="33"/>
      <c r="J2848" s="37"/>
    </row>
    <row r="2849" spans="1:10" x14ac:dyDescent="0.25">
      <c r="A2849" s="32" t="s">
        <v>103</v>
      </c>
      <c r="B2849" s="32">
        <f t="shared" si="673"/>
        <v>2058</v>
      </c>
      <c r="C2849" s="33" t="s">
        <v>23</v>
      </c>
      <c r="D2849" s="34" t="s">
        <v>1999</v>
      </c>
      <c r="E2849" s="35" t="str">
        <f t="shared" si="671"/>
        <v>PSNP'!</v>
      </c>
      <c r="F2849" s="34" t="str">
        <f t="shared" si="672"/>
        <v>C:\Users\jaime.benazar\Quorum Business Solutions\Ecopetrol Prometeo - Documents\Planning Space Implementation\3. Analysis &amp; Design\Design\FC22\DRR Jaime\QUIFA-CAJÚA\Cajua\[CAJUA_CF_SEC_New_27-Feb-2024Rev3.xlsx]D-PSNP'!</v>
      </c>
      <c r="G2849" s="32" t="s">
        <v>116</v>
      </c>
      <c r="H2849" s="33"/>
      <c r="I2849" s="33"/>
      <c r="J2849" s="37"/>
    </row>
    <row r="2850" spans="1:10" x14ac:dyDescent="0.25">
      <c r="A2850" s="32" t="s">
        <v>103</v>
      </c>
      <c r="B2850" s="32">
        <f t="shared" si="673"/>
        <v>2059</v>
      </c>
      <c r="C2850" s="33" t="s">
        <v>23</v>
      </c>
      <c r="D2850" s="34" t="s">
        <v>1999</v>
      </c>
      <c r="E2850" s="35" t="str">
        <f t="shared" si="671"/>
        <v>PSNP'!</v>
      </c>
      <c r="F2850" s="34" t="str">
        <f t="shared" si="672"/>
        <v>C:\Users\jaime.benazar\Quorum Business Solutions\Ecopetrol Prometeo - Documents\Planning Space Implementation\3. Analysis &amp; Design\Design\FC22\DRR Jaime\QUIFA-CAJÚA\Cajua\[CAJUA_CF_SEC_New_27-Feb-2024Rev3.xlsx]D-PSNP'!</v>
      </c>
      <c r="G2850" s="32" t="s">
        <v>116</v>
      </c>
      <c r="H2850" s="33"/>
      <c r="I2850" s="33"/>
      <c r="J2850" s="37"/>
    </row>
    <row r="2851" spans="1:10" x14ac:dyDescent="0.25">
      <c r="A2851" s="32" t="s">
        <v>28</v>
      </c>
      <c r="B2851" s="32"/>
      <c r="C2851" s="33" t="s">
        <v>23</v>
      </c>
      <c r="D2851" s="34"/>
      <c r="E2851" s="35"/>
      <c r="F2851" s="34"/>
      <c r="G2851" s="32"/>
      <c r="H2851" s="33"/>
      <c r="I2851" s="33"/>
      <c r="J2851" s="33"/>
    </row>
    <row r="2852" spans="1:10" x14ac:dyDescent="0.25">
      <c r="A2852" s="32" t="s">
        <v>104</v>
      </c>
      <c r="B2852" s="32">
        <v>2023</v>
      </c>
      <c r="C2852" s="33" t="s">
        <v>23</v>
      </c>
      <c r="D2852" s="34" t="s">
        <v>1999</v>
      </c>
      <c r="E2852" s="35" t="str">
        <f t="shared" ref="E2852:E2872" si="674">_xlfn.CONCAT(A2852,"'!")</f>
        <v>PSND'!</v>
      </c>
      <c r="F2852" s="34" t="str">
        <f t="shared" ref="F2852:F2872" si="675">_xlfn.CONCAT(D2852:E2852)</f>
        <v>C:\Users\jaime.benazar\Quorum Business Solutions\Ecopetrol Prometeo - Documents\Planning Space Implementation\3. Analysis &amp; Design\Design\FC22\DRR Jaime\QUIFA-CAJÚA\Cajua\[CAJUA_CF_SEC_New_27-Feb-2024Rev3.xlsx]D-PSND'!</v>
      </c>
      <c r="G2852" s="32" t="s">
        <v>116</v>
      </c>
      <c r="H2852" s="33"/>
      <c r="I2852" s="33"/>
      <c r="J2852" s="37"/>
    </row>
    <row r="2853" spans="1:10" x14ac:dyDescent="0.25">
      <c r="A2853" s="32" t="s">
        <v>104</v>
      </c>
      <c r="B2853" s="32">
        <f>+B2852+1</f>
        <v>2024</v>
      </c>
      <c r="C2853" s="33" t="s">
        <v>23</v>
      </c>
      <c r="D2853" s="34" t="s">
        <v>1999</v>
      </c>
      <c r="E2853" s="35" t="str">
        <f t="shared" si="674"/>
        <v>PSND'!</v>
      </c>
      <c r="F2853" s="34" t="str">
        <f t="shared" si="675"/>
        <v>C:\Users\jaime.benazar\Quorum Business Solutions\Ecopetrol Prometeo - Documents\Planning Space Implementation\3. Analysis &amp; Design\Design\FC22\DRR Jaime\QUIFA-CAJÚA\Cajua\[CAJUA_CF_SEC_New_27-Feb-2024Rev3.xlsx]D-PSND'!</v>
      </c>
      <c r="G2853" s="32" t="s">
        <v>116</v>
      </c>
      <c r="H2853" s="33"/>
      <c r="I2853" s="33"/>
      <c r="J2853" s="37"/>
    </row>
    <row r="2854" spans="1:10" x14ac:dyDescent="0.25">
      <c r="A2854" s="32" t="s">
        <v>104</v>
      </c>
      <c r="B2854" s="32">
        <f t="shared" ref="B2854:B2865" si="676">+B2853+1</f>
        <v>2025</v>
      </c>
      <c r="C2854" s="33" t="s">
        <v>23</v>
      </c>
      <c r="D2854" s="34" t="s">
        <v>1999</v>
      </c>
      <c r="E2854" s="35" t="str">
        <f t="shared" si="674"/>
        <v>PSND'!</v>
      </c>
      <c r="F2854" s="34" t="str">
        <f t="shared" si="675"/>
        <v>C:\Users\jaime.benazar\Quorum Business Solutions\Ecopetrol Prometeo - Documents\Planning Space Implementation\3. Analysis &amp; Design\Design\FC22\DRR Jaime\QUIFA-CAJÚA\Cajua\[CAJUA_CF_SEC_New_27-Feb-2024Rev3.xlsx]D-PSND'!</v>
      </c>
      <c r="G2854" s="32" t="s">
        <v>116</v>
      </c>
      <c r="H2854" s="33"/>
      <c r="I2854" s="33"/>
      <c r="J2854" s="37"/>
    </row>
    <row r="2855" spans="1:10" x14ac:dyDescent="0.25">
      <c r="A2855" s="32" t="s">
        <v>104</v>
      </c>
      <c r="B2855" s="32">
        <f t="shared" si="676"/>
        <v>2026</v>
      </c>
      <c r="C2855" s="33" t="s">
        <v>23</v>
      </c>
      <c r="D2855" s="34" t="s">
        <v>1999</v>
      </c>
      <c r="E2855" s="35" t="str">
        <f t="shared" si="674"/>
        <v>PSND'!</v>
      </c>
      <c r="F2855" s="34" t="str">
        <f t="shared" si="675"/>
        <v>C:\Users\jaime.benazar\Quorum Business Solutions\Ecopetrol Prometeo - Documents\Planning Space Implementation\3. Analysis &amp; Design\Design\FC22\DRR Jaime\QUIFA-CAJÚA\Cajua\[CAJUA_CF_SEC_New_27-Feb-2024Rev3.xlsx]D-PSND'!</v>
      </c>
      <c r="G2855" s="32" t="s">
        <v>116</v>
      </c>
      <c r="H2855" s="33"/>
      <c r="I2855" s="33"/>
      <c r="J2855" s="37"/>
    </row>
    <row r="2856" spans="1:10" x14ac:dyDescent="0.25">
      <c r="A2856" s="32" t="s">
        <v>104</v>
      </c>
      <c r="B2856" s="32">
        <f t="shared" si="676"/>
        <v>2027</v>
      </c>
      <c r="C2856" s="33" t="s">
        <v>23</v>
      </c>
      <c r="D2856" s="34" t="s">
        <v>1999</v>
      </c>
      <c r="E2856" s="35" t="str">
        <f t="shared" si="674"/>
        <v>PSND'!</v>
      </c>
      <c r="F2856" s="34" t="str">
        <f t="shared" si="675"/>
        <v>C:\Users\jaime.benazar\Quorum Business Solutions\Ecopetrol Prometeo - Documents\Planning Space Implementation\3. Analysis &amp; Design\Design\FC22\DRR Jaime\QUIFA-CAJÚA\Cajua\[CAJUA_CF_SEC_New_27-Feb-2024Rev3.xlsx]D-PSND'!</v>
      </c>
      <c r="G2856" s="32" t="s">
        <v>116</v>
      </c>
      <c r="H2856" s="33"/>
      <c r="I2856" s="33"/>
      <c r="J2856" s="37"/>
    </row>
    <row r="2857" spans="1:10" x14ac:dyDescent="0.25">
      <c r="A2857" s="32" t="s">
        <v>104</v>
      </c>
      <c r="B2857" s="32">
        <f t="shared" si="676"/>
        <v>2028</v>
      </c>
      <c r="C2857" s="33" t="s">
        <v>23</v>
      </c>
      <c r="D2857" s="34" t="s">
        <v>1999</v>
      </c>
      <c r="E2857" s="35" t="str">
        <f t="shared" si="674"/>
        <v>PSND'!</v>
      </c>
      <c r="F2857" s="34" t="str">
        <f t="shared" si="675"/>
        <v>C:\Users\jaime.benazar\Quorum Business Solutions\Ecopetrol Prometeo - Documents\Planning Space Implementation\3. Analysis &amp; Design\Design\FC22\DRR Jaime\QUIFA-CAJÚA\Cajua\[CAJUA_CF_SEC_New_27-Feb-2024Rev3.xlsx]D-PSND'!</v>
      </c>
      <c r="G2857" s="32" t="s">
        <v>116</v>
      </c>
      <c r="H2857" s="33"/>
      <c r="I2857" s="33"/>
      <c r="J2857" s="37"/>
    </row>
    <row r="2858" spans="1:10" x14ac:dyDescent="0.25">
      <c r="A2858" s="32" t="s">
        <v>104</v>
      </c>
      <c r="B2858" s="32">
        <f t="shared" si="676"/>
        <v>2029</v>
      </c>
      <c r="C2858" s="33" t="s">
        <v>23</v>
      </c>
      <c r="D2858" s="34" t="s">
        <v>1999</v>
      </c>
      <c r="E2858" s="35" t="str">
        <f t="shared" si="674"/>
        <v>PSND'!</v>
      </c>
      <c r="F2858" s="34" t="str">
        <f t="shared" si="675"/>
        <v>C:\Users\jaime.benazar\Quorum Business Solutions\Ecopetrol Prometeo - Documents\Planning Space Implementation\3. Analysis &amp; Design\Design\FC22\DRR Jaime\QUIFA-CAJÚA\Cajua\[CAJUA_CF_SEC_New_27-Feb-2024Rev3.xlsx]D-PSND'!</v>
      </c>
      <c r="G2858" s="32" t="s">
        <v>116</v>
      </c>
      <c r="H2858" s="33"/>
      <c r="I2858" s="33"/>
      <c r="J2858" s="37"/>
    </row>
    <row r="2859" spans="1:10" x14ac:dyDescent="0.25">
      <c r="A2859" s="32" t="s">
        <v>104</v>
      </c>
      <c r="B2859" s="32">
        <f t="shared" si="676"/>
        <v>2030</v>
      </c>
      <c r="C2859" s="33" t="s">
        <v>23</v>
      </c>
      <c r="D2859" s="34" t="s">
        <v>1999</v>
      </c>
      <c r="E2859" s="35" t="str">
        <f t="shared" si="674"/>
        <v>PSND'!</v>
      </c>
      <c r="F2859" s="34" t="str">
        <f t="shared" si="675"/>
        <v>C:\Users\jaime.benazar\Quorum Business Solutions\Ecopetrol Prometeo - Documents\Planning Space Implementation\3. Analysis &amp; Design\Design\FC22\DRR Jaime\QUIFA-CAJÚA\Cajua\[CAJUA_CF_SEC_New_27-Feb-2024Rev3.xlsx]D-PSND'!</v>
      </c>
      <c r="G2859" s="32" t="s">
        <v>116</v>
      </c>
      <c r="H2859" s="33"/>
      <c r="I2859" s="33"/>
      <c r="J2859" s="37"/>
    </row>
    <row r="2860" spans="1:10" x14ac:dyDescent="0.25">
      <c r="A2860" s="32" t="s">
        <v>104</v>
      </c>
      <c r="B2860" s="32">
        <f t="shared" si="676"/>
        <v>2031</v>
      </c>
      <c r="C2860" s="33" t="s">
        <v>23</v>
      </c>
      <c r="D2860" s="34" t="s">
        <v>1999</v>
      </c>
      <c r="E2860" s="35" t="str">
        <f t="shared" si="674"/>
        <v>PSND'!</v>
      </c>
      <c r="F2860" s="34" t="str">
        <f t="shared" si="675"/>
        <v>C:\Users\jaime.benazar\Quorum Business Solutions\Ecopetrol Prometeo - Documents\Planning Space Implementation\3. Analysis &amp; Design\Design\FC22\DRR Jaime\QUIFA-CAJÚA\Cajua\[CAJUA_CF_SEC_New_27-Feb-2024Rev3.xlsx]D-PSND'!</v>
      </c>
      <c r="G2860" s="32" t="s">
        <v>116</v>
      </c>
      <c r="H2860" s="33"/>
      <c r="I2860" s="33"/>
      <c r="J2860" s="37"/>
    </row>
    <row r="2861" spans="1:10" x14ac:dyDescent="0.25">
      <c r="A2861" s="32" t="s">
        <v>104</v>
      </c>
      <c r="B2861" s="32">
        <f t="shared" si="676"/>
        <v>2032</v>
      </c>
      <c r="C2861" s="33" t="s">
        <v>23</v>
      </c>
      <c r="D2861" s="34" t="s">
        <v>1999</v>
      </c>
      <c r="E2861" s="35" t="str">
        <f t="shared" si="674"/>
        <v>PSND'!</v>
      </c>
      <c r="F2861" s="34" t="str">
        <f t="shared" si="675"/>
        <v>C:\Users\jaime.benazar\Quorum Business Solutions\Ecopetrol Prometeo - Documents\Planning Space Implementation\3. Analysis &amp; Design\Design\FC22\DRR Jaime\QUIFA-CAJÚA\Cajua\[CAJUA_CF_SEC_New_27-Feb-2024Rev3.xlsx]D-PSND'!</v>
      </c>
      <c r="G2861" s="32" t="s">
        <v>116</v>
      </c>
      <c r="H2861" s="33"/>
      <c r="I2861" s="33"/>
      <c r="J2861" s="37"/>
    </row>
    <row r="2862" spans="1:10" x14ac:dyDescent="0.25">
      <c r="A2862" s="32" t="s">
        <v>104</v>
      </c>
      <c r="B2862" s="32">
        <f t="shared" si="676"/>
        <v>2033</v>
      </c>
      <c r="C2862" s="33" t="s">
        <v>23</v>
      </c>
      <c r="D2862" s="34" t="s">
        <v>1999</v>
      </c>
      <c r="E2862" s="35" t="str">
        <f t="shared" si="674"/>
        <v>PSND'!</v>
      </c>
      <c r="F2862" s="34" t="str">
        <f t="shared" si="675"/>
        <v>C:\Users\jaime.benazar\Quorum Business Solutions\Ecopetrol Prometeo - Documents\Planning Space Implementation\3. Analysis &amp; Design\Design\FC22\DRR Jaime\QUIFA-CAJÚA\Cajua\[CAJUA_CF_SEC_New_27-Feb-2024Rev3.xlsx]D-PSND'!</v>
      </c>
      <c r="G2862" s="32" t="s">
        <v>116</v>
      </c>
      <c r="H2862" s="33"/>
      <c r="I2862" s="33"/>
      <c r="J2862" s="37"/>
    </row>
    <row r="2863" spans="1:10" x14ac:dyDescent="0.25">
      <c r="A2863" s="32" t="s">
        <v>104</v>
      </c>
      <c r="B2863" s="32">
        <f t="shared" si="676"/>
        <v>2034</v>
      </c>
      <c r="C2863" s="33" t="s">
        <v>23</v>
      </c>
      <c r="D2863" s="34" t="s">
        <v>1999</v>
      </c>
      <c r="E2863" s="35" t="str">
        <f t="shared" si="674"/>
        <v>PSND'!</v>
      </c>
      <c r="F2863" s="34" t="str">
        <f t="shared" si="675"/>
        <v>C:\Users\jaime.benazar\Quorum Business Solutions\Ecopetrol Prometeo - Documents\Planning Space Implementation\3. Analysis &amp; Design\Design\FC22\DRR Jaime\QUIFA-CAJÚA\Cajua\[CAJUA_CF_SEC_New_27-Feb-2024Rev3.xlsx]D-PSND'!</v>
      </c>
      <c r="G2863" s="32" t="s">
        <v>116</v>
      </c>
      <c r="H2863" s="33"/>
      <c r="I2863" s="33"/>
      <c r="J2863" s="37"/>
    </row>
    <row r="2864" spans="1:10" x14ac:dyDescent="0.25">
      <c r="A2864" s="32" t="s">
        <v>104</v>
      </c>
      <c r="B2864" s="32">
        <f t="shared" si="676"/>
        <v>2035</v>
      </c>
      <c r="C2864" s="33" t="s">
        <v>23</v>
      </c>
      <c r="D2864" s="34" t="s">
        <v>1999</v>
      </c>
      <c r="E2864" s="35" t="str">
        <f t="shared" si="674"/>
        <v>PSND'!</v>
      </c>
      <c r="F2864" s="34" t="str">
        <f t="shared" si="675"/>
        <v>C:\Users\jaime.benazar\Quorum Business Solutions\Ecopetrol Prometeo - Documents\Planning Space Implementation\3. Analysis &amp; Design\Design\FC22\DRR Jaime\QUIFA-CAJÚA\Cajua\[CAJUA_CF_SEC_New_27-Feb-2024Rev3.xlsx]D-PSND'!</v>
      </c>
      <c r="G2864" s="32" t="s">
        <v>116</v>
      </c>
      <c r="H2864" s="33"/>
      <c r="I2864" s="33"/>
      <c r="J2864" s="37"/>
    </row>
    <row r="2865" spans="1:10" x14ac:dyDescent="0.25">
      <c r="A2865" s="32" t="s">
        <v>104</v>
      </c>
      <c r="B2865" s="32">
        <f t="shared" si="676"/>
        <v>2036</v>
      </c>
      <c r="C2865" s="33" t="s">
        <v>23</v>
      </c>
      <c r="D2865" s="34" t="s">
        <v>1999</v>
      </c>
      <c r="E2865" s="35" t="str">
        <f t="shared" si="674"/>
        <v>PSND'!</v>
      </c>
      <c r="F2865" s="34" t="str">
        <f t="shared" si="675"/>
        <v>C:\Users\jaime.benazar\Quorum Business Solutions\Ecopetrol Prometeo - Documents\Planning Space Implementation\3. Analysis &amp; Design\Design\FC22\DRR Jaime\QUIFA-CAJÚA\Cajua\[CAJUA_CF_SEC_New_27-Feb-2024Rev3.xlsx]D-PSND'!</v>
      </c>
      <c r="G2865" s="32" t="s">
        <v>116</v>
      </c>
      <c r="H2865" s="33"/>
      <c r="I2865" s="33"/>
      <c r="J2865" s="37"/>
    </row>
    <row r="2866" spans="1:10" x14ac:dyDescent="0.25">
      <c r="A2866" s="32" t="s">
        <v>104</v>
      </c>
      <c r="B2866" s="32">
        <f>+B2865+1</f>
        <v>2037</v>
      </c>
      <c r="C2866" s="33" t="s">
        <v>23</v>
      </c>
      <c r="D2866" s="34" t="s">
        <v>1999</v>
      </c>
      <c r="E2866" s="35" t="str">
        <f t="shared" si="674"/>
        <v>PSND'!</v>
      </c>
      <c r="F2866" s="34" t="str">
        <f t="shared" si="675"/>
        <v>C:\Users\jaime.benazar\Quorum Business Solutions\Ecopetrol Prometeo - Documents\Planning Space Implementation\3. Analysis &amp; Design\Design\FC22\DRR Jaime\QUIFA-CAJÚA\Cajua\[CAJUA_CF_SEC_New_27-Feb-2024Rev3.xlsx]D-PSND'!</v>
      </c>
      <c r="G2866" s="32" t="s">
        <v>116</v>
      </c>
      <c r="H2866" s="33"/>
      <c r="I2866" s="33"/>
      <c r="J2866" s="37"/>
    </row>
    <row r="2867" spans="1:10" x14ac:dyDescent="0.25">
      <c r="A2867" s="32" t="s">
        <v>104</v>
      </c>
      <c r="B2867" s="32">
        <f t="shared" ref="B2867:B2869" si="677">+B2866+1</f>
        <v>2038</v>
      </c>
      <c r="C2867" s="33" t="s">
        <v>23</v>
      </c>
      <c r="D2867" s="34" t="s">
        <v>1999</v>
      </c>
      <c r="E2867" s="35" t="str">
        <f t="shared" si="674"/>
        <v>PSND'!</v>
      </c>
      <c r="F2867" s="34" t="str">
        <f t="shared" si="675"/>
        <v>C:\Users\jaime.benazar\Quorum Business Solutions\Ecopetrol Prometeo - Documents\Planning Space Implementation\3. Analysis &amp; Design\Design\FC22\DRR Jaime\QUIFA-CAJÚA\Cajua\[CAJUA_CF_SEC_New_27-Feb-2024Rev3.xlsx]D-PSND'!</v>
      </c>
      <c r="G2867" s="32" t="s">
        <v>116</v>
      </c>
      <c r="H2867" s="33"/>
      <c r="I2867" s="33"/>
      <c r="J2867" s="37"/>
    </row>
    <row r="2868" spans="1:10" x14ac:dyDescent="0.25">
      <c r="A2868" s="32" t="s">
        <v>104</v>
      </c>
      <c r="B2868" s="32">
        <f t="shared" si="677"/>
        <v>2039</v>
      </c>
      <c r="C2868" s="33" t="s">
        <v>23</v>
      </c>
      <c r="D2868" s="34" t="s">
        <v>1999</v>
      </c>
      <c r="E2868" s="35" t="str">
        <f t="shared" si="674"/>
        <v>PSND'!</v>
      </c>
      <c r="F2868" s="34" t="str">
        <f t="shared" si="675"/>
        <v>C:\Users\jaime.benazar\Quorum Business Solutions\Ecopetrol Prometeo - Documents\Planning Space Implementation\3. Analysis &amp; Design\Design\FC22\DRR Jaime\QUIFA-CAJÚA\Cajua\[CAJUA_CF_SEC_New_27-Feb-2024Rev3.xlsx]D-PSND'!</v>
      </c>
      <c r="G2868" s="32" t="s">
        <v>116</v>
      </c>
      <c r="H2868" s="33"/>
      <c r="I2868" s="33"/>
      <c r="J2868" s="37"/>
    </row>
    <row r="2869" spans="1:10" x14ac:dyDescent="0.25">
      <c r="A2869" s="32" t="s">
        <v>104</v>
      </c>
      <c r="B2869" s="32">
        <f t="shared" si="677"/>
        <v>2040</v>
      </c>
      <c r="C2869" s="33" t="s">
        <v>23</v>
      </c>
      <c r="D2869" s="34" t="s">
        <v>1999</v>
      </c>
      <c r="E2869" s="35" t="str">
        <f t="shared" si="674"/>
        <v>PSND'!</v>
      </c>
      <c r="F2869" s="34" t="str">
        <f t="shared" si="675"/>
        <v>C:\Users\jaime.benazar\Quorum Business Solutions\Ecopetrol Prometeo - Documents\Planning Space Implementation\3. Analysis &amp; Design\Design\FC22\DRR Jaime\QUIFA-CAJÚA\Cajua\[CAJUA_CF_SEC_New_27-Feb-2024Rev3.xlsx]D-PSND'!</v>
      </c>
      <c r="G2869" s="32" t="s">
        <v>116</v>
      </c>
      <c r="H2869" s="33"/>
      <c r="I2869" s="33"/>
      <c r="J2869" s="37"/>
    </row>
    <row r="2870" spans="1:10" x14ac:dyDescent="0.25">
      <c r="A2870" s="32" t="s">
        <v>104</v>
      </c>
      <c r="B2870" s="32">
        <f>+B2869+1</f>
        <v>2041</v>
      </c>
      <c r="C2870" s="33" t="s">
        <v>23</v>
      </c>
      <c r="D2870" s="34" t="s">
        <v>1999</v>
      </c>
      <c r="E2870" s="35" t="str">
        <f t="shared" si="674"/>
        <v>PSND'!</v>
      </c>
      <c r="F2870" s="34" t="str">
        <f t="shared" si="675"/>
        <v>C:\Users\jaime.benazar\Quorum Business Solutions\Ecopetrol Prometeo - Documents\Planning Space Implementation\3. Analysis &amp; Design\Design\FC22\DRR Jaime\QUIFA-CAJÚA\Cajua\[CAJUA_CF_SEC_New_27-Feb-2024Rev3.xlsx]D-PSND'!</v>
      </c>
      <c r="G2870" s="32" t="s">
        <v>116</v>
      </c>
      <c r="H2870" s="33"/>
      <c r="I2870" s="33"/>
      <c r="J2870" s="37"/>
    </row>
    <row r="2871" spans="1:10" x14ac:dyDescent="0.25">
      <c r="A2871" s="32" t="s">
        <v>104</v>
      </c>
      <c r="B2871" s="32">
        <f t="shared" ref="B2871:B2872" si="678">+B2870+1</f>
        <v>2042</v>
      </c>
      <c r="C2871" s="33" t="s">
        <v>23</v>
      </c>
      <c r="D2871" s="34" t="s">
        <v>1999</v>
      </c>
      <c r="E2871" s="35" t="str">
        <f t="shared" si="674"/>
        <v>PSND'!</v>
      </c>
      <c r="F2871" s="34" t="str">
        <f t="shared" si="675"/>
        <v>C:\Users\jaime.benazar\Quorum Business Solutions\Ecopetrol Prometeo - Documents\Planning Space Implementation\3. Analysis &amp; Design\Design\FC22\DRR Jaime\QUIFA-CAJÚA\Cajua\[CAJUA_CF_SEC_New_27-Feb-2024Rev3.xlsx]D-PSND'!</v>
      </c>
      <c r="G2871" s="32" t="s">
        <v>116</v>
      </c>
      <c r="H2871" s="33"/>
      <c r="I2871" s="33"/>
      <c r="J2871" s="37"/>
    </row>
    <row r="2872" spans="1:10" x14ac:dyDescent="0.25">
      <c r="A2872" s="32" t="s">
        <v>104</v>
      </c>
      <c r="B2872" s="32">
        <f t="shared" si="678"/>
        <v>2043</v>
      </c>
      <c r="C2872" s="33" t="s">
        <v>23</v>
      </c>
      <c r="D2872" s="34" t="s">
        <v>1999</v>
      </c>
      <c r="E2872" s="35" t="str">
        <f t="shared" si="674"/>
        <v>PSND'!</v>
      </c>
      <c r="F2872" s="34" t="str">
        <f t="shared" si="675"/>
        <v>C:\Users\jaime.benazar\Quorum Business Solutions\Ecopetrol Prometeo - Documents\Planning Space Implementation\3. Analysis &amp; Design\Design\FC22\DRR Jaime\QUIFA-CAJÚA\Cajua\[CAJUA_CF_SEC_New_27-Feb-2024Rev3.xlsx]D-PSND'!</v>
      </c>
      <c r="G2872" s="32" t="s">
        <v>116</v>
      </c>
      <c r="H2872" s="33"/>
      <c r="I2872" s="33"/>
      <c r="J2872" s="37"/>
    </row>
    <row r="2873" spans="1:10" x14ac:dyDescent="0.25">
      <c r="A2873" s="32" t="s">
        <v>104</v>
      </c>
      <c r="B2873" s="32">
        <f>+B2872+1</f>
        <v>2044</v>
      </c>
      <c r="C2873" s="33" t="s">
        <v>23</v>
      </c>
      <c r="D2873" s="34" t="s">
        <v>1999</v>
      </c>
      <c r="E2873" s="35" t="str">
        <f t="shared" ref="E2873:E2888" si="679">_xlfn.CONCAT(A2873,"'!")</f>
        <v>PSND'!</v>
      </c>
      <c r="F2873" s="34" t="str">
        <f t="shared" ref="F2873:F2888" si="680">_xlfn.CONCAT(D2873:E2873)</f>
        <v>C:\Users\jaime.benazar\Quorum Business Solutions\Ecopetrol Prometeo - Documents\Planning Space Implementation\3. Analysis &amp; Design\Design\FC22\DRR Jaime\QUIFA-CAJÚA\Cajua\[CAJUA_CF_SEC_New_27-Feb-2024Rev3.xlsx]D-PSND'!</v>
      </c>
      <c r="G2873" s="32" t="s">
        <v>116</v>
      </c>
      <c r="H2873" s="33"/>
      <c r="I2873" s="33"/>
      <c r="J2873" s="37"/>
    </row>
    <row r="2874" spans="1:10" x14ac:dyDescent="0.25">
      <c r="A2874" s="32" t="s">
        <v>104</v>
      </c>
      <c r="B2874" s="32">
        <f t="shared" ref="B2874:B2888" si="681">+B2873+1</f>
        <v>2045</v>
      </c>
      <c r="C2874" s="33" t="s">
        <v>23</v>
      </c>
      <c r="D2874" s="34" t="s">
        <v>1999</v>
      </c>
      <c r="E2874" s="35" t="str">
        <f t="shared" si="679"/>
        <v>PSND'!</v>
      </c>
      <c r="F2874" s="34" t="str">
        <f t="shared" si="680"/>
        <v>C:\Users\jaime.benazar\Quorum Business Solutions\Ecopetrol Prometeo - Documents\Planning Space Implementation\3. Analysis &amp; Design\Design\FC22\DRR Jaime\QUIFA-CAJÚA\Cajua\[CAJUA_CF_SEC_New_27-Feb-2024Rev3.xlsx]D-PSND'!</v>
      </c>
      <c r="G2874" s="32" t="s">
        <v>116</v>
      </c>
      <c r="H2874" s="33"/>
      <c r="I2874" s="33"/>
      <c r="J2874" s="37"/>
    </row>
    <row r="2875" spans="1:10" x14ac:dyDescent="0.25">
      <c r="A2875" s="32" t="s">
        <v>104</v>
      </c>
      <c r="B2875" s="32">
        <f t="shared" si="681"/>
        <v>2046</v>
      </c>
      <c r="C2875" s="33" t="s">
        <v>23</v>
      </c>
      <c r="D2875" s="34" t="s">
        <v>1999</v>
      </c>
      <c r="E2875" s="35" t="str">
        <f t="shared" si="679"/>
        <v>PSND'!</v>
      </c>
      <c r="F2875" s="34" t="str">
        <f t="shared" si="680"/>
        <v>C:\Users\jaime.benazar\Quorum Business Solutions\Ecopetrol Prometeo - Documents\Planning Space Implementation\3. Analysis &amp; Design\Design\FC22\DRR Jaime\QUIFA-CAJÚA\Cajua\[CAJUA_CF_SEC_New_27-Feb-2024Rev3.xlsx]D-PSND'!</v>
      </c>
      <c r="G2875" s="32" t="s">
        <v>116</v>
      </c>
      <c r="H2875" s="33"/>
      <c r="I2875" s="33"/>
      <c r="J2875" s="37"/>
    </row>
    <row r="2876" spans="1:10" x14ac:dyDescent="0.25">
      <c r="A2876" s="32" t="s">
        <v>104</v>
      </c>
      <c r="B2876" s="32">
        <f t="shared" si="681"/>
        <v>2047</v>
      </c>
      <c r="C2876" s="33" t="s">
        <v>23</v>
      </c>
      <c r="D2876" s="34" t="s">
        <v>1999</v>
      </c>
      <c r="E2876" s="35" t="str">
        <f t="shared" si="679"/>
        <v>PSND'!</v>
      </c>
      <c r="F2876" s="34" t="str">
        <f t="shared" si="680"/>
        <v>C:\Users\jaime.benazar\Quorum Business Solutions\Ecopetrol Prometeo - Documents\Planning Space Implementation\3. Analysis &amp; Design\Design\FC22\DRR Jaime\QUIFA-CAJÚA\Cajua\[CAJUA_CF_SEC_New_27-Feb-2024Rev3.xlsx]D-PSND'!</v>
      </c>
      <c r="G2876" s="32" t="s">
        <v>116</v>
      </c>
      <c r="H2876" s="33"/>
      <c r="I2876" s="33"/>
      <c r="J2876" s="37"/>
    </row>
    <row r="2877" spans="1:10" x14ac:dyDescent="0.25">
      <c r="A2877" s="32" t="s">
        <v>104</v>
      </c>
      <c r="B2877" s="32">
        <f t="shared" si="681"/>
        <v>2048</v>
      </c>
      <c r="C2877" s="33" t="s">
        <v>23</v>
      </c>
      <c r="D2877" s="34" t="s">
        <v>1999</v>
      </c>
      <c r="E2877" s="35" t="str">
        <f t="shared" si="679"/>
        <v>PSND'!</v>
      </c>
      <c r="F2877" s="34" t="str">
        <f t="shared" si="680"/>
        <v>C:\Users\jaime.benazar\Quorum Business Solutions\Ecopetrol Prometeo - Documents\Planning Space Implementation\3. Analysis &amp; Design\Design\FC22\DRR Jaime\QUIFA-CAJÚA\Cajua\[CAJUA_CF_SEC_New_27-Feb-2024Rev3.xlsx]D-PSND'!</v>
      </c>
      <c r="G2877" s="32" t="s">
        <v>116</v>
      </c>
      <c r="H2877" s="33"/>
      <c r="I2877" s="33"/>
      <c r="J2877" s="37"/>
    </row>
    <row r="2878" spans="1:10" x14ac:dyDescent="0.25">
      <c r="A2878" s="32" t="s">
        <v>104</v>
      </c>
      <c r="B2878" s="32">
        <f t="shared" si="681"/>
        <v>2049</v>
      </c>
      <c r="C2878" s="33" t="s">
        <v>23</v>
      </c>
      <c r="D2878" s="34" t="s">
        <v>1999</v>
      </c>
      <c r="E2878" s="35" t="str">
        <f t="shared" si="679"/>
        <v>PSND'!</v>
      </c>
      <c r="F2878" s="34" t="str">
        <f t="shared" si="680"/>
        <v>C:\Users\jaime.benazar\Quorum Business Solutions\Ecopetrol Prometeo - Documents\Planning Space Implementation\3. Analysis &amp; Design\Design\FC22\DRR Jaime\QUIFA-CAJÚA\Cajua\[CAJUA_CF_SEC_New_27-Feb-2024Rev3.xlsx]D-PSND'!</v>
      </c>
      <c r="G2878" s="32" t="s">
        <v>116</v>
      </c>
      <c r="H2878" s="33"/>
      <c r="I2878" s="33"/>
      <c r="J2878" s="37"/>
    </row>
    <row r="2879" spans="1:10" x14ac:dyDescent="0.25">
      <c r="A2879" s="32" t="s">
        <v>104</v>
      </c>
      <c r="B2879" s="32">
        <f t="shared" si="681"/>
        <v>2050</v>
      </c>
      <c r="C2879" s="33" t="s">
        <v>23</v>
      </c>
      <c r="D2879" s="34" t="s">
        <v>1999</v>
      </c>
      <c r="E2879" s="35" t="str">
        <f t="shared" si="679"/>
        <v>PSND'!</v>
      </c>
      <c r="F2879" s="34" t="str">
        <f t="shared" si="680"/>
        <v>C:\Users\jaime.benazar\Quorum Business Solutions\Ecopetrol Prometeo - Documents\Planning Space Implementation\3. Analysis &amp; Design\Design\FC22\DRR Jaime\QUIFA-CAJÚA\Cajua\[CAJUA_CF_SEC_New_27-Feb-2024Rev3.xlsx]D-PSND'!</v>
      </c>
      <c r="G2879" s="32" t="s">
        <v>116</v>
      </c>
      <c r="H2879" s="33"/>
      <c r="I2879" s="33"/>
      <c r="J2879" s="37"/>
    </row>
    <row r="2880" spans="1:10" x14ac:dyDescent="0.25">
      <c r="A2880" s="32" t="s">
        <v>104</v>
      </c>
      <c r="B2880" s="32">
        <f t="shared" si="681"/>
        <v>2051</v>
      </c>
      <c r="C2880" s="33" t="s">
        <v>23</v>
      </c>
      <c r="D2880" s="34" t="s">
        <v>1999</v>
      </c>
      <c r="E2880" s="35" t="str">
        <f t="shared" si="679"/>
        <v>PSND'!</v>
      </c>
      <c r="F2880" s="34" t="str">
        <f t="shared" si="680"/>
        <v>C:\Users\jaime.benazar\Quorum Business Solutions\Ecopetrol Prometeo - Documents\Planning Space Implementation\3. Analysis &amp; Design\Design\FC22\DRR Jaime\QUIFA-CAJÚA\Cajua\[CAJUA_CF_SEC_New_27-Feb-2024Rev3.xlsx]D-PSND'!</v>
      </c>
      <c r="G2880" s="32" t="s">
        <v>116</v>
      </c>
      <c r="H2880" s="33"/>
      <c r="I2880" s="33"/>
      <c r="J2880" s="37"/>
    </row>
    <row r="2881" spans="1:10" x14ac:dyDescent="0.25">
      <c r="A2881" s="32" t="s">
        <v>104</v>
      </c>
      <c r="B2881" s="32">
        <f t="shared" si="681"/>
        <v>2052</v>
      </c>
      <c r="C2881" s="33" t="s">
        <v>23</v>
      </c>
      <c r="D2881" s="34" t="s">
        <v>1999</v>
      </c>
      <c r="E2881" s="35" t="str">
        <f t="shared" si="679"/>
        <v>PSND'!</v>
      </c>
      <c r="F2881" s="34" t="str">
        <f t="shared" si="680"/>
        <v>C:\Users\jaime.benazar\Quorum Business Solutions\Ecopetrol Prometeo - Documents\Planning Space Implementation\3. Analysis &amp; Design\Design\FC22\DRR Jaime\QUIFA-CAJÚA\Cajua\[CAJUA_CF_SEC_New_27-Feb-2024Rev3.xlsx]D-PSND'!</v>
      </c>
      <c r="G2881" s="32" t="s">
        <v>116</v>
      </c>
      <c r="H2881" s="33"/>
      <c r="I2881" s="33"/>
      <c r="J2881" s="37"/>
    </row>
    <row r="2882" spans="1:10" x14ac:dyDescent="0.25">
      <c r="A2882" s="32" t="s">
        <v>104</v>
      </c>
      <c r="B2882" s="32">
        <f t="shared" si="681"/>
        <v>2053</v>
      </c>
      <c r="C2882" s="33" t="s">
        <v>23</v>
      </c>
      <c r="D2882" s="34" t="s">
        <v>1999</v>
      </c>
      <c r="E2882" s="35" t="str">
        <f t="shared" si="679"/>
        <v>PSND'!</v>
      </c>
      <c r="F2882" s="34" t="str">
        <f t="shared" si="680"/>
        <v>C:\Users\jaime.benazar\Quorum Business Solutions\Ecopetrol Prometeo - Documents\Planning Space Implementation\3. Analysis &amp; Design\Design\FC22\DRR Jaime\QUIFA-CAJÚA\Cajua\[CAJUA_CF_SEC_New_27-Feb-2024Rev3.xlsx]D-PSND'!</v>
      </c>
      <c r="G2882" s="32" t="s">
        <v>116</v>
      </c>
      <c r="H2882" s="33"/>
      <c r="I2882" s="33"/>
      <c r="J2882" s="37"/>
    </row>
    <row r="2883" spans="1:10" x14ac:dyDescent="0.25">
      <c r="A2883" s="32" t="s">
        <v>104</v>
      </c>
      <c r="B2883" s="32">
        <f t="shared" si="681"/>
        <v>2054</v>
      </c>
      <c r="C2883" s="33" t="s">
        <v>23</v>
      </c>
      <c r="D2883" s="34" t="s">
        <v>1999</v>
      </c>
      <c r="E2883" s="35" t="str">
        <f t="shared" si="679"/>
        <v>PSND'!</v>
      </c>
      <c r="F2883" s="34" t="str">
        <f t="shared" si="680"/>
        <v>C:\Users\jaime.benazar\Quorum Business Solutions\Ecopetrol Prometeo - Documents\Planning Space Implementation\3. Analysis &amp; Design\Design\FC22\DRR Jaime\QUIFA-CAJÚA\Cajua\[CAJUA_CF_SEC_New_27-Feb-2024Rev3.xlsx]D-PSND'!</v>
      </c>
      <c r="G2883" s="32" t="s">
        <v>116</v>
      </c>
      <c r="H2883" s="33"/>
      <c r="I2883" s="33"/>
      <c r="J2883" s="37"/>
    </row>
    <row r="2884" spans="1:10" x14ac:dyDescent="0.25">
      <c r="A2884" s="32" t="s">
        <v>104</v>
      </c>
      <c r="B2884" s="32">
        <f t="shared" si="681"/>
        <v>2055</v>
      </c>
      <c r="C2884" s="33" t="s">
        <v>23</v>
      </c>
      <c r="D2884" s="34" t="s">
        <v>1999</v>
      </c>
      <c r="E2884" s="35" t="str">
        <f t="shared" si="679"/>
        <v>PSND'!</v>
      </c>
      <c r="F2884" s="34" t="str">
        <f t="shared" si="680"/>
        <v>C:\Users\jaime.benazar\Quorum Business Solutions\Ecopetrol Prometeo - Documents\Planning Space Implementation\3. Analysis &amp; Design\Design\FC22\DRR Jaime\QUIFA-CAJÚA\Cajua\[CAJUA_CF_SEC_New_27-Feb-2024Rev3.xlsx]D-PSND'!</v>
      </c>
      <c r="G2884" s="32" t="s">
        <v>116</v>
      </c>
      <c r="H2884" s="33"/>
      <c r="I2884" s="33"/>
      <c r="J2884" s="37"/>
    </row>
    <row r="2885" spans="1:10" x14ac:dyDescent="0.25">
      <c r="A2885" s="32" t="s">
        <v>104</v>
      </c>
      <c r="B2885" s="32">
        <f t="shared" si="681"/>
        <v>2056</v>
      </c>
      <c r="C2885" s="33" t="s">
        <v>23</v>
      </c>
      <c r="D2885" s="34" t="s">
        <v>1999</v>
      </c>
      <c r="E2885" s="35" t="str">
        <f t="shared" si="679"/>
        <v>PSND'!</v>
      </c>
      <c r="F2885" s="34" t="str">
        <f t="shared" si="680"/>
        <v>C:\Users\jaime.benazar\Quorum Business Solutions\Ecopetrol Prometeo - Documents\Planning Space Implementation\3. Analysis &amp; Design\Design\FC22\DRR Jaime\QUIFA-CAJÚA\Cajua\[CAJUA_CF_SEC_New_27-Feb-2024Rev3.xlsx]D-PSND'!</v>
      </c>
      <c r="G2885" s="32" t="s">
        <v>116</v>
      </c>
      <c r="H2885" s="33"/>
      <c r="I2885" s="33"/>
      <c r="J2885" s="37"/>
    </row>
    <row r="2886" spans="1:10" x14ac:dyDescent="0.25">
      <c r="A2886" s="32" t="s">
        <v>104</v>
      </c>
      <c r="B2886" s="32">
        <f t="shared" si="681"/>
        <v>2057</v>
      </c>
      <c r="C2886" s="33" t="s">
        <v>23</v>
      </c>
      <c r="D2886" s="34" t="s">
        <v>1999</v>
      </c>
      <c r="E2886" s="35" t="str">
        <f t="shared" si="679"/>
        <v>PSND'!</v>
      </c>
      <c r="F2886" s="34" t="str">
        <f t="shared" si="680"/>
        <v>C:\Users\jaime.benazar\Quorum Business Solutions\Ecopetrol Prometeo - Documents\Planning Space Implementation\3. Analysis &amp; Design\Design\FC22\DRR Jaime\QUIFA-CAJÚA\Cajua\[CAJUA_CF_SEC_New_27-Feb-2024Rev3.xlsx]D-PSND'!</v>
      </c>
      <c r="G2886" s="32" t="s">
        <v>116</v>
      </c>
      <c r="H2886" s="33"/>
      <c r="I2886" s="33"/>
      <c r="J2886" s="37"/>
    </row>
    <row r="2887" spans="1:10" x14ac:dyDescent="0.25">
      <c r="A2887" s="32" t="s">
        <v>104</v>
      </c>
      <c r="B2887" s="32">
        <f t="shared" si="681"/>
        <v>2058</v>
      </c>
      <c r="C2887" s="33" t="s">
        <v>23</v>
      </c>
      <c r="D2887" s="34" t="s">
        <v>1999</v>
      </c>
      <c r="E2887" s="35" t="str">
        <f t="shared" si="679"/>
        <v>PSND'!</v>
      </c>
      <c r="F2887" s="34" t="str">
        <f t="shared" si="680"/>
        <v>C:\Users\jaime.benazar\Quorum Business Solutions\Ecopetrol Prometeo - Documents\Planning Space Implementation\3. Analysis &amp; Design\Design\FC22\DRR Jaime\QUIFA-CAJÚA\Cajua\[CAJUA_CF_SEC_New_27-Feb-2024Rev3.xlsx]D-PSND'!</v>
      </c>
      <c r="G2887" s="32" t="s">
        <v>116</v>
      </c>
      <c r="H2887" s="33"/>
      <c r="I2887" s="33"/>
      <c r="J2887" s="37"/>
    </row>
    <row r="2888" spans="1:10" x14ac:dyDescent="0.25">
      <c r="A2888" s="32" t="s">
        <v>104</v>
      </c>
      <c r="B2888" s="32">
        <f t="shared" si="681"/>
        <v>2059</v>
      </c>
      <c r="C2888" s="33" t="s">
        <v>23</v>
      </c>
      <c r="D2888" s="34" t="s">
        <v>1999</v>
      </c>
      <c r="E2888" s="35" t="str">
        <f t="shared" si="679"/>
        <v>PSND'!</v>
      </c>
      <c r="F2888" s="34" t="str">
        <f t="shared" si="680"/>
        <v>C:\Users\jaime.benazar\Quorum Business Solutions\Ecopetrol Prometeo - Documents\Planning Space Implementation\3. Analysis &amp; Design\Design\FC22\DRR Jaime\QUIFA-CAJÚA\Cajua\[CAJUA_CF_SEC_New_27-Feb-2024Rev3.xlsx]D-PSND'!</v>
      </c>
      <c r="G2888" s="32" t="s">
        <v>116</v>
      </c>
      <c r="H2888" s="33"/>
      <c r="I2888" s="33"/>
      <c r="J2888" s="37"/>
    </row>
    <row r="2889" spans="1:10" x14ac:dyDescent="0.25">
      <c r="A2889" s="32" t="s">
        <v>28</v>
      </c>
      <c r="B2889" s="32"/>
      <c r="C2889" s="33" t="s">
        <v>23</v>
      </c>
      <c r="D2889" s="34"/>
      <c r="E2889" s="35"/>
      <c r="F2889" s="34"/>
      <c r="G2889" s="32"/>
      <c r="H2889" s="33"/>
      <c r="I2889" s="33"/>
      <c r="J2889" s="33"/>
    </row>
    <row r="2890" spans="1:10" x14ac:dyDescent="0.25">
      <c r="A2890" s="32" t="s">
        <v>34</v>
      </c>
      <c r="B2890" s="32">
        <v>2023</v>
      </c>
      <c r="C2890" s="33" t="s">
        <v>23</v>
      </c>
      <c r="D2890" s="34" t="s">
        <v>1999</v>
      </c>
      <c r="E2890" s="35" t="str">
        <f t="shared" si="646"/>
        <v>PS'!</v>
      </c>
      <c r="F2890" s="34" t="str">
        <f t="shared" si="647"/>
        <v>C:\Users\jaime.benazar\Quorum Business Solutions\Ecopetrol Prometeo - Documents\Planning Space Implementation\3. Analysis &amp; Design\Design\FC22\DRR Jaime\QUIFA-CAJÚA\Cajua\[CAJUA_CF_SEC_New_27-Feb-2024Rev3.xlsx]D-PS'!</v>
      </c>
      <c r="G2890" s="32" t="s">
        <v>116</v>
      </c>
      <c r="H2890" s="33">
        <v>12</v>
      </c>
      <c r="I2890" s="33" t="str">
        <f t="shared" ref="I2890:I2910" si="682">_xlfn.CONCAT("='",F2890:H2890)</f>
        <v>='C:\Users\jaime.benazar\Quorum Business Solutions\Ecopetrol Prometeo - Documents\Planning Space Implementation\3. Analysis &amp; Design\Design\FC22\DRR Jaime\QUIFA-CAJÚA\Cajua\[CAJUA_CF_SEC_New_27-Feb-2024Rev3.xlsx]D-PS'!$EA$12</v>
      </c>
      <c r="J2890" s="33" t="s">
        <v>3258</v>
      </c>
    </row>
    <row r="2891" spans="1:10" x14ac:dyDescent="0.25">
      <c r="A2891" s="32" t="s">
        <v>34</v>
      </c>
      <c r="B2891" s="32">
        <f>+B2890+1</f>
        <v>2024</v>
      </c>
      <c r="C2891" s="33" t="s">
        <v>23</v>
      </c>
      <c r="D2891" s="34" t="s">
        <v>1999</v>
      </c>
      <c r="E2891" s="35" t="str">
        <f t="shared" si="646"/>
        <v>PS'!</v>
      </c>
      <c r="F2891" s="34" t="str">
        <f t="shared" si="647"/>
        <v>C:\Users\jaime.benazar\Quorum Business Solutions\Ecopetrol Prometeo - Documents\Planning Space Implementation\3. Analysis &amp; Design\Design\FC22\DRR Jaime\QUIFA-CAJÚA\Cajua\[CAJUA_CF_SEC_New_27-Feb-2024Rev3.xlsx]D-PS'!</v>
      </c>
      <c r="G2891" s="32" t="s">
        <v>116</v>
      </c>
      <c r="H2891" s="33">
        <f t="shared" ref="H2891:H2910" si="683">IF(A2891&lt;&gt;A2890,12,H2890+1)</f>
        <v>13</v>
      </c>
      <c r="I2891" s="33" t="str">
        <f t="shared" si="682"/>
        <v>='C:\Users\jaime.benazar\Quorum Business Solutions\Ecopetrol Prometeo - Documents\Planning Space Implementation\3. Analysis &amp; Design\Design\FC22\DRR Jaime\QUIFA-CAJÚA\Cajua\[CAJUA_CF_SEC_New_27-Feb-2024Rev3.xlsx]D-PS'!$EA$13</v>
      </c>
      <c r="J2891" s="33" t="s">
        <v>3259</v>
      </c>
    </row>
    <row r="2892" spans="1:10" x14ac:dyDescent="0.25">
      <c r="A2892" s="32" t="s">
        <v>34</v>
      </c>
      <c r="B2892" s="32">
        <f t="shared" ref="B2892:B2903" si="684">+B2891+1</f>
        <v>2025</v>
      </c>
      <c r="C2892" s="33" t="s">
        <v>23</v>
      </c>
      <c r="D2892" s="34" t="s">
        <v>1999</v>
      </c>
      <c r="E2892" s="35" t="str">
        <f t="shared" si="646"/>
        <v>PS'!</v>
      </c>
      <c r="F2892" s="34" t="str">
        <f t="shared" si="647"/>
        <v>C:\Users\jaime.benazar\Quorum Business Solutions\Ecopetrol Prometeo - Documents\Planning Space Implementation\3. Analysis &amp; Design\Design\FC22\DRR Jaime\QUIFA-CAJÚA\Cajua\[CAJUA_CF_SEC_New_27-Feb-2024Rev3.xlsx]D-PS'!</v>
      </c>
      <c r="G2892" s="32" t="s">
        <v>116</v>
      </c>
      <c r="H2892" s="33">
        <f t="shared" si="683"/>
        <v>14</v>
      </c>
      <c r="I2892" s="33" t="str">
        <f t="shared" si="682"/>
        <v>='C:\Users\jaime.benazar\Quorum Business Solutions\Ecopetrol Prometeo - Documents\Planning Space Implementation\3. Analysis &amp; Design\Design\FC22\DRR Jaime\QUIFA-CAJÚA\Cajua\[CAJUA_CF_SEC_New_27-Feb-2024Rev3.xlsx]D-PS'!$EA$14</v>
      </c>
      <c r="J2892" s="33" t="s">
        <v>3260</v>
      </c>
    </row>
    <row r="2893" spans="1:10" x14ac:dyDescent="0.25">
      <c r="A2893" s="32" t="s">
        <v>34</v>
      </c>
      <c r="B2893" s="32">
        <f t="shared" si="684"/>
        <v>2026</v>
      </c>
      <c r="C2893" s="33" t="s">
        <v>23</v>
      </c>
      <c r="D2893" s="34" t="s">
        <v>1999</v>
      </c>
      <c r="E2893" s="35" t="str">
        <f t="shared" si="646"/>
        <v>PS'!</v>
      </c>
      <c r="F2893" s="34" t="str">
        <f t="shared" si="647"/>
        <v>C:\Users\jaime.benazar\Quorum Business Solutions\Ecopetrol Prometeo - Documents\Planning Space Implementation\3. Analysis &amp; Design\Design\FC22\DRR Jaime\QUIFA-CAJÚA\Cajua\[CAJUA_CF_SEC_New_27-Feb-2024Rev3.xlsx]D-PS'!</v>
      </c>
      <c r="G2893" s="32" t="s">
        <v>116</v>
      </c>
      <c r="H2893" s="33">
        <f t="shared" si="683"/>
        <v>15</v>
      </c>
      <c r="I2893" s="33" t="str">
        <f t="shared" si="682"/>
        <v>='C:\Users\jaime.benazar\Quorum Business Solutions\Ecopetrol Prometeo - Documents\Planning Space Implementation\3. Analysis &amp; Design\Design\FC22\DRR Jaime\QUIFA-CAJÚA\Cajua\[CAJUA_CF_SEC_New_27-Feb-2024Rev3.xlsx]D-PS'!$EA$15</v>
      </c>
      <c r="J2893" s="33" t="s">
        <v>3261</v>
      </c>
    </row>
    <row r="2894" spans="1:10" x14ac:dyDescent="0.25">
      <c r="A2894" s="32" t="s">
        <v>34</v>
      </c>
      <c r="B2894" s="32">
        <f t="shared" si="684"/>
        <v>2027</v>
      </c>
      <c r="C2894" s="33" t="s">
        <v>23</v>
      </c>
      <c r="D2894" s="34" t="s">
        <v>1999</v>
      </c>
      <c r="E2894" s="35" t="str">
        <f t="shared" si="646"/>
        <v>PS'!</v>
      </c>
      <c r="F2894" s="34" t="str">
        <f t="shared" si="647"/>
        <v>C:\Users\jaime.benazar\Quorum Business Solutions\Ecopetrol Prometeo - Documents\Planning Space Implementation\3. Analysis &amp; Design\Design\FC22\DRR Jaime\QUIFA-CAJÚA\Cajua\[CAJUA_CF_SEC_New_27-Feb-2024Rev3.xlsx]D-PS'!</v>
      </c>
      <c r="G2894" s="32" t="s">
        <v>116</v>
      </c>
      <c r="H2894" s="33">
        <f t="shared" si="683"/>
        <v>16</v>
      </c>
      <c r="I2894" s="33" t="str">
        <f t="shared" si="682"/>
        <v>='C:\Users\jaime.benazar\Quorum Business Solutions\Ecopetrol Prometeo - Documents\Planning Space Implementation\3. Analysis &amp; Design\Design\FC22\DRR Jaime\QUIFA-CAJÚA\Cajua\[CAJUA_CF_SEC_New_27-Feb-2024Rev3.xlsx]D-PS'!$EA$16</v>
      </c>
      <c r="J2894" s="33" t="s">
        <v>3262</v>
      </c>
    </row>
    <row r="2895" spans="1:10" x14ac:dyDescent="0.25">
      <c r="A2895" s="32" t="s">
        <v>34</v>
      </c>
      <c r="B2895" s="32">
        <f t="shared" si="684"/>
        <v>2028</v>
      </c>
      <c r="C2895" s="33" t="s">
        <v>23</v>
      </c>
      <c r="D2895" s="34" t="s">
        <v>1999</v>
      </c>
      <c r="E2895" s="35" t="str">
        <f t="shared" si="646"/>
        <v>PS'!</v>
      </c>
      <c r="F2895" s="34" t="str">
        <f t="shared" si="647"/>
        <v>C:\Users\jaime.benazar\Quorum Business Solutions\Ecopetrol Prometeo - Documents\Planning Space Implementation\3. Analysis &amp; Design\Design\FC22\DRR Jaime\QUIFA-CAJÚA\Cajua\[CAJUA_CF_SEC_New_27-Feb-2024Rev3.xlsx]D-PS'!</v>
      </c>
      <c r="G2895" s="32" t="s">
        <v>116</v>
      </c>
      <c r="H2895" s="33">
        <f t="shared" si="683"/>
        <v>17</v>
      </c>
      <c r="I2895" s="33" t="str">
        <f t="shared" si="682"/>
        <v>='C:\Users\jaime.benazar\Quorum Business Solutions\Ecopetrol Prometeo - Documents\Planning Space Implementation\3. Analysis &amp; Design\Design\FC22\DRR Jaime\QUIFA-CAJÚA\Cajua\[CAJUA_CF_SEC_New_27-Feb-2024Rev3.xlsx]D-PS'!$EA$17</v>
      </c>
      <c r="J2895" s="33" t="s">
        <v>3263</v>
      </c>
    </row>
    <row r="2896" spans="1:10" x14ac:dyDescent="0.25">
      <c r="A2896" s="32" t="s">
        <v>34</v>
      </c>
      <c r="B2896" s="32">
        <f t="shared" si="684"/>
        <v>2029</v>
      </c>
      <c r="C2896" s="33" t="s">
        <v>23</v>
      </c>
      <c r="D2896" s="34" t="s">
        <v>1999</v>
      </c>
      <c r="E2896" s="35" t="str">
        <f t="shared" si="646"/>
        <v>PS'!</v>
      </c>
      <c r="F2896" s="34" t="str">
        <f t="shared" si="647"/>
        <v>C:\Users\jaime.benazar\Quorum Business Solutions\Ecopetrol Prometeo - Documents\Planning Space Implementation\3. Analysis &amp; Design\Design\FC22\DRR Jaime\QUIFA-CAJÚA\Cajua\[CAJUA_CF_SEC_New_27-Feb-2024Rev3.xlsx]D-PS'!</v>
      </c>
      <c r="G2896" s="32" t="s">
        <v>116</v>
      </c>
      <c r="H2896" s="33">
        <f t="shared" si="683"/>
        <v>18</v>
      </c>
      <c r="I2896" s="33" t="str">
        <f t="shared" si="682"/>
        <v>='C:\Users\jaime.benazar\Quorum Business Solutions\Ecopetrol Prometeo - Documents\Planning Space Implementation\3. Analysis &amp; Design\Design\FC22\DRR Jaime\QUIFA-CAJÚA\Cajua\[CAJUA_CF_SEC_New_27-Feb-2024Rev3.xlsx]D-PS'!$EA$18</v>
      </c>
      <c r="J2896" s="33" t="s">
        <v>3264</v>
      </c>
    </row>
    <row r="2897" spans="1:10" x14ac:dyDescent="0.25">
      <c r="A2897" s="32" t="s">
        <v>34</v>
      </c>
      <c r="B2897" s="32">
        <f t="shared" si="684"/>
        <v>2030</v>
      </c>
      <c r="C2897" s="33" t="s">
        <v>23</v>
      </c>
      <c r="D2897" s="34" t="s">
        <v>1999</v>
      </c>
      <c r="E2897" s="35" t="str">
        <f t="shared" si="646"/>
        <v>PS'!</v>
      </c>
      <c r="F2897" s="34" t="str">
        <f t="shared" si="647"/>
        <v>C:\Users\jaime.benazar\Quorum Business Solutions\Ecopetrol Prometeo - Documents\Planning Space Implementation\3. Analysis &amp; Design\Design\FC22\DRR Jaime\QUIFA-CAJÚA\Cajua\[CAJUA_CF_SEC_New_27-Feb-2024Rev3.xlsx]D-PS'!</v>
      </c>
      <c r="G2897" s="32" t="s">
        <v>116</v>
      </c>
      <c r="H2897" s="33">
        <f t="shared" si="683"/>
        <v>19</v>
      </c>
      <c r="I2897" s="33" t="str">
        <f t="shared" si="682"/>
        <v>='C:\Users\jaime.benazar\Quorum Business Solutions\Ecopetrol Prometeo - Documents\Planning Space Implementation\3. Analysis &amp; Design\Design\FC22\DRR Jaime\QUIFA-CAJÚA\Cajua\[CAJUA_CF_SEC_New_27-Feb-2024Rev3.xlsx]D-PS'!$EA$19</v>
      </c>
      <c r="J2897" s="33" t="s">
        <v>3265</v>
      </c>
    </row>
    <row r="2898" spans="1:10" x14ac:dyDescent="0.25">
      <c r="A2898" s="32" t="s">
        <v>34</v>
      </c>
      <c r="B2898" s="32">
        <f t="shared" si="684"/>
        <v>2031</v>
      </c>
      <c r="C2898" s="33" t="s">
        <v>23</v>
      </c>
      <c r="D2898" s="34" t="s">
        <v>1999</v>
      </c>
      <c r="E2898" s="35" t="str">
        <f t="shared" si="646"/>
        <v>PS'!</v>
      </c>
      <c r="F2898" s="34" t="str">
        <f t="shared" si="647"/>
        <v>C:\Users\jaime.benazar\Quorum Business Solutions\Ecopetrol Prometeo - Documents\Planning Space Implementation\3. Analysis &amp; Design\Design\FC22\DRR Jaime\QUIFA-CAJÚA\Cajua\[CAJUA_CF_SEC_New_27-Feb-2024Rev3.xlsx]D-PS'!</v>
      </c>
      <c r="G2898" s="32" t="s">
        <v>116</v>
      </c>
      <c r="H2898" s="33">
        <f t="shared" si="683"/>
        <v>20</v>
      </c>
      <c r="I2898" s="33" t="str">
        <f t="shared" si="682"/>
        <v>='C:\Users\jaime.benazar\Quorum Business Solutions\Ecopetrol Prometeo - Documents\Planning Space Implementation\3. Analysis &amp; Design\Design\FC22\DRR Jaime\QUIFA-CAJÚA\Cajua\[CAJUA_CF_SEC_New_27-Feb-2024Rev3.xlsx]D-PS'!$EA$20</v>
      </c>
      <c r="J2898" s="33" t="s">
        <v>3266</v>
      </c>
    </row>
    <row r="2899" spans="1:10" x14ac:dyDescent="0.25">
      <c r="A2899" s="32" t="s">
        <v>34</v>
      </c>
      <c r="B2899" s="32">
        <f t="shared" si="684"/>
        <v>2032</v>
      </c>
      <c r="C2899" s="33" t="s">
        <v>23</v>
      </c>
      <c r="D2899" s="34" t="s">
        <v>1999</v>
      </c>
      <c r="E2899" s="35" t="str">
        <f t="shared" si="646"/>
        <v>PS'!</v>
      </c>
      <c r="F2899" s="34" t="str">
        <f t="shared" si="647"/>
        <v>C:\Users\jaime.benazar\Quorum Business Solutions\Ecopetrol Prometeo - Documents\Planning Space Implementation\3. Analysis &amp; Design\Design\FC22\DRR Jaime\QUIFA-CAJÚA\Cajua\[CAJUA_CF_SEC_New_27-Feb-2024Rev3.xlsx]D-PS'!</v>
      </c>
      <c r="G2899" s="32" t="s">
        <v>116</v>
      </c>
      <c r="H2899" s="33">
        <f t="shared" si="683"/>
        <v>21</v>
      </c>
      <c r="I2899" s="33" t="str">
        <f t="shared" si="682"/>
        <v>='C:\Users\jaime.benazar\Quorum Business Solutions\Ecopetrol Prometeo - Documents\Planning Space Implementation\3. Analysis &amp; Design\Design\FC22\DRR Jaime\QUIFA-CAJÚA\Cajua\[CAJUA_CF_SEC_New_27-Feb-2024Rev3.xlsx]D-PS'!$EA$21</v>
      </c>
      <c r="J2899" s="33" t="s">
        <v>3267</v>
      </c>
    </row>
    <row r="2900" spans="1:10" x14ac:dyDescent="0.25">
      <c r="A2900" s="32" t="s">
        <v>34</v>
      </c>
      <c r="B2900" s="32">
        <f t="shared" si="684"/>
        <v>2033</v>
      </c>
      <c r="C2900" s="33" t="s">
        <v>23</v>
      </c>
      <c r="D2900" s="34" t="s">
        <v>1999</v>
      </c>
      <c r="E2900" s="35" t="str">
        <f t="shared" si="646"/>
        <v>PS'!</v>
      </c>
      <c r="F2900" s="34" t="str">
        <f t="shared" si="647"/>
        <v>C:\Users\jaime.benazar\Quorum Business Solutions\Ecopetrol Prometeo - Documents\Planning Space Implementation\3. Analysis &amp; Design\Design\FC22\DRR Jaime\QUIFA-CAJÚA\Cajua\[CAJUA_CF_SEC_New_27-Feb-2024Rev3.xlsx]D-PS'!</v>
      </c>
      <c r="G2900" s="32" t="s">
        <v>116</v>
      </c>
      <c r="H2900" s="33">
        <f t="shared" si="683"/>
        <v>22</v>
      </c>
      <c r="I2900" s="33" t="str">
        <f t="shared" si="682"/>
        <v>='C:\Users\jaime.benazar\Quorum Business Solutions\Ecopetrol Prometeo - Documents\Planning Space Implementation\3. Analysis &amp; Design\Design\FC22\DRR Jaime\QUIFA-CAJÚA\Cajua\[CAJUA_CF_SEC_New_27-Feb-2024Rev3.xlsx]D-PS'!$EA$22</v>
      </c>
      <c r="J2900" s="33" t="s">
        <v>3268</v>
      </c>
    </row>
    <row r="2901" spans="1:10" x14ac:dyDescent="0.25">
      <c r="A2901" s="32" t="s">
        <v>34</v>
      </c>
      <c r="B2901" s="32">
        <f t="shared" si="684"/>
        <v>2034</v>
      </c>
      <c r="C2901" s="33" t="s">
        <v>23</v>
      </c>
      <c r="D2901" s="34" t="s">
        <v>1999</v>
      </c>
      <c r="E2901" s="35" t="str">
        <f t="shared" si="646"/>
        <v>PS'!</v>
      </c>
      <c r="F2901" s="34" t="str">
        <f t="shared" si="647"/>
        <v>C:\Users\jaime.benazar\Quorum Business Solutions\Ecopetrol Prometeo - Documents\Planning Space Implementation\3. Analysis &amp; Design\Design\FC22\DRR Jaime\QUIFA-CAJÚA\Cajua\[CAJUA_CF_SEC_New_27-Feb-2024Rev3.xlsx]D-PS'!</v>
      </c>
      <c r="G2901" s="32" t="s">
        <v>116</v>
      </c>
      <c r="H2901" s="33">
        <f t="shared" si="683"/>
        <v>23</v>
      </c>
      <c r="I2901" s="33" t="str">
        <f t="shared" si="682"/>
        <v>='C:\Users\jaime.benazar\Quorum Business Solutions\Ecopetrol Prometeo - Documents\Planning Space Implementation\3. Analysis &amp; Design\Design\FC22\DRR Jaime\QUIFA-CAJÚA\Cajua\[CAJUA_CF_SEC_New_27-Feb-2024Rev3.xlsx]D-PS'!$EA$23</v>
      </c>
      <c r="J2901" s="33" t="s">
        <v>3269</v>
      </c>
    </row>
    <row r="2902" spans="1:10" x14ac:dyDescent="0.25">
      <c r="A2902" s="32" t="s">
        <v>34</v>
      </c>
      <c r="B2902" s="32">
        <f t="shared" si="684"/>
        <v>2035</v>
      </c>
      <c r="C2902" s="33" t="s">
        <v>23</v>
      </c>
      <c r="D2902" s="34" t="s">
        <v>1999</v>
      </c>
      <c r="E2902" s="35" t="str">
        <f t="shared" si="646"/>
        <v>PS'!</v>
      </c>
      <c r="F2902" s="34" t="str">
        <f t="shared" si="647"/>
        <v>C:\Users\jaime.benazar\Quorum Business Solutions\Ecopetrol Prometeo - Documents\Planning Space Implementation\3. Analysis &amp; Design\Design\FC22\DRR Jaime\QUIFA-CAJÚA\Cajua\[CAJUA_CF_SEC_New_27-Feb-2024Rev3.xlsx]D-PS'!</v>
      </c>
      <c r="G2902" s="32" t="s">
        <v>116</v>
      </c>
      <c r="H2902" s="33">
        <f t="shared" si="683"/>
        <v>24</v>
      </c>
      <c r="I2902" s="33" t="str">
        <f t="shared" si="682"/>
        <v>='C:\Users\jaime.benazar\Quorum Business Solutions\Ecopetrol Prometeo - Documents\Planning Space Implementation\3. Analysis &amp; Design\Design\FC22\DRR Jaime\QUIFA-CAJÚA\Cajua\[CAJUA_CF_SEC_New_27-Feb-2024Rev3.xlsx]D-PS'!$EA$24</v>
      </c>
      <c r="J2902" s="33" t="s">
        <v>3270</v>
      </c>
    </row>
    <row r="2903" spans="1:10" x14ac:dyDescent="0.25">
      <c r="A2903" s="32" t="s">
        <v>34</v>
      </c>
      <c r="B2903" s="32">
        <f t="shared" si="684"/>
        <v>2036</v>
      </c>
      <c r="C2903" s="33" t="s">
        <v>23</v>
      </c>
      <c r="D2903" s="34" t="s">
        <v>1999</v>
      </c>
      <c r="E2903" s="35" t="str">
        <f t="shared" si="646"/>
        <v>PS'!</v>
      </c>
      <c r="F2903" s="34" t="str">
        <f t="shared" si="647"/>
        <v>C:\Users\jaime.benazar\Quorum Business Solutions\Ecopetrol Prometeo - Documents\Planning Space Implementation\3. Analysis &amp; Design\Design\FC22\DRR Jaime\QUIFA-CAJÚA\Cajua\[CAJUA_CF_SEC_New_27-Feb-2024Rev3.xlsx]D-PS'!</v>
      </c>
      <c r="G2903" s="32" t="s">
        <v>116</v>
      </c>
      <c r="H2903" s="33">
        <f t="shared" si="683"/>
        <v>25</v>
      </c>
      <c r="I2903" s="33" t="str">
        <f t="shared" si="682"/>
        <v>='C:\Users\jaime.benazar\Quorum Business Solutions\Ecopetrol Prometeo - Documents\Planning Space Implementation\3. Analysis &amp; Design\Design\FC22\DRR Jaime\QUIFA-CAJÚA\Cajua\[CAJUA_CF_SEC_New_27-Feb-2024Rev3.xlsx]D-PS'!$EA$25</v>
      </c>
      <c r="J2903" s="33" t="s">
        <v>3271</v>
      </c>
    </row>
    <row r="2904" spans="1:10" x14ac:dyDescent="0.25">
      <c r="A2904" s="32" t="s">
        <v>34</v>
      </c>
      <c r="B2904" s="32">
        <f>+B2903+1</f>
        <v>2037</v>
      </c>
      <c r="C2904" s="33" t="s">
        <v>23</v>
      </c>
      <c r="D2904" s="34" t="s">
        <v>1999</v>
      </c>
      <c r="E2904" s="35" t="str">
        <f t="shared" si="646"/>
        <v>PS'!</v>
      </c>
      <c r="F2904" s="34" t="str">
        <f t="shared" si="647"/>
        <v>C:\Users\jaime.benazar\Quorum Business Solutions\Ecopetrol Prometeo - Documents\Planning Space Implementation\3. Analysis &amp; Design\Design\FC22\DRR Jaime\QUIFA-CAJÚA\Cajua\[CAJUA_CF_SEC_New_27-Feb-2024Rev3.xlsx]D-PS'!</v>
      </c>
      <c r="G2904" s="32" t="s">
        <v>116</v>
      </c>
      <c r="H2904" s="33">
        <f t="shared" si="683"/>
        <v>26</v>
      </c>
      <c r="I2904" s="33" t="str">
        <f t="shared" si="682"/>
        <v>='C:\Users\jaime.benazar\Quorum Business Solutions\Ecopetrol Prometeo - Documents\Planning Space Implementation\3. Analysis &amp; Design\Design\FC22\DRR Jaime\QUIFA-CAJÚA\Cajua\[CAJUA_CF_SEC_New_27-Feb-2024Rev3.xlsx]D-PS'!$EA$26</v>
      </c>
      <c r="J2904" s="33" t="s">
        <v>3272</v>
      </c>
    </row>
    <row r="2905" spans="1:10" x14ac:dyDescent="0.25">
      <c r="A2905" s="32" t="s">
        <v>34</v>
      </c>
      <c r="B2905" s="32">
        <f t="shared" ref="B2905:B2907" si="685">+B2904+1</f>
        <v>2038</v>
      </c>
      <c r="C2905" s="33" t="s">
        <v>23</v>
      </c>
      <c r="D2905" s="34" t="s">
        <v>1999</v>
      </c>
      <c r="E2905" s="35" t="str">
        <f t="shared" si="646"/>
        <v>PS'!</v>
      </c>
      <c r="F2905" s="34" t="str">
        <f t="shared" si="647"/>
        <v>C:\Users\jaime.benazar\Quorum Business Solutions\Ecopetrol Prometeo - Documents\Planning Space Implementation\3. Analysis &amp; Design\Design\FC22\DRR Jaime\QUIFA-CAJÚA\Cajua\[CAJUA_CF_SEC_New_27-Feb-2024Rev3.xlsx]D-PS'!</v>
      </c>
      <c r="G2905" s="32" t="s">
        <v>116</v>
      </c>
      <c r="H2905" s="33">
        <f t="shared" si="683"/>
        <v>27</v>
      </c>
      <c r="I2905" s="33" t="str">
        <f t="shared" si="682"/>
        <v>='C:\Users\jaime.benazar\Quorum Business Solutions\Ecopetrol Prometeo - Documents\Planning Space Implementation\3. Analysis &amp; Design\Design\FC22\DRR Jaime\QUIFA-CAJÚA\Cajua\[CAJUA_CF_SEC_New_27-Feb-2024Rev3.xlsx]D-PS'!$EA$27</v>
      </c>
      <c r="J2905" s="33" t="s">
        <v>3273</v>
      </c>
    </row>
    <row r="2906" spans="1:10" x14ac:dyDescent="0.25">
      <c r="A2906" s="32" t="s">
        <v>34</v>
      </c>
      <c r="B2906" s="32">
        <f t="shared" si="685"/>
        <v>2039</v>
      </c>
      <c r="C2906" s="33" t="s">
        <v>23</v>
      </c>
      <c r="D2906" s="34" t="s">
        <v>1999</v>
      </c>
      <c r="E2906" s="35" t="str">
        <f t="shared" si="646"/>
        <v>PS'!</v>
      </c>
      <c r="F2906" s="34" t="str">
        <f t="shared" si="647"/>
        <v>C:\Users\jaime.benazar\Quorum Business Solutions\Ecopetrol Prometeo - Documents\Planning Space Implementation\3. Analysis &amp; Design\Design\FC22\DRR Jaime\QUIFA-CAJÚA\Cajua\[CAJUA_CF_SEC_New_27-Feb-2024Rev3.xlsx]D-PS'!</v>
      </c>
      <c r="G2906" s="32" t="s">
        <v>116</v>
      </c>
      <c r="H2906" s="33">
        <f t="shared" si="683"/>
        <v>28</v>
      </c>
      <c r="I2906" s="33" t="str">
        <f t="shared" si="682"/>
        <v>='C:\Users\jaime.benazar\Quorum Business Solutions\Ecopetrol Prometeo - Documents\Planning Space Implementation\3. Analysis &amp; Design\Design\FC22\DRR Jaime\QUIFA-CAJÚA\Cajua\[CAJUA_CF_SEC_New_27-Feb-2024Rev3.xlsx]D-PS'!$EA$28</v>
      </c>
      <c r="J2906" s="33" t="s">
        <v>3274</v>
      </c>
    </row>
    <row r="2907" spans="1:10" x14ac:dyDescent="0.25">
      <c r="A2907" s="32" t="s">
        <v>34</v>
      </c>
      <c r="B2907" s="32">
        <f t="shared" si="685"/>
        <v>2040</v>
      </c>
      <c r="C2907" s="33" t="s">
        <v>23</v>
      </c>
      <c r="D2907" s="34" t="s">
        <v>1999</v>
      </c>
      <c r="E2907" s="35" t="str">
        <f t="shared" si="646"/>
        <v>PS'!</v>
      </c>
      <c r="F2907" s="34" t="str">
        <f t="shared" si="647"/>
        <v>C:\Users\jaime.benazar\Quorum Business Solutions\Ecopetrol Prometeo - Documents\Planning Space Implementation\3. Analysis &amp; Design\Design\FC22\DRR Jaime\QUIFA-CAJÚA\Cajua\[CAJUA_CF_SEC_New_27-Feb-2024Rev3.xlsx]D-PS'!</v>
      </c>
      <c r="G2907" s="32" t="s">
        <v>116</v>
      </c>
      <c r="H2907" s="33">
        <f t="shared" si="683"/>
        <v>29</v>
      </c>
      <c r="I2907" s="33" t="str">
        <f t="shared" si="682"/>
        <v>='C:\Users\jaime.benazar\Quorum Business Solutions\Ecopetrol Prometeo - Documents\Planning Space Implementation\3. Analysis &amp; Design\Design\FC22\DRR Jaime\QUIFA-CAJÚA\Cajua\[CAJUA_CF_SEC_New_27-Feb-2024Rev3.xlsx]D-PS'!$EA$29</v>
      </c>
      <c r="J2907" s="33" t="s">
        <v>3275</v>
      </c>
    </row>
    <row r="2908" spans="1:10" x14ac:dyDescent="0.25">
      <c r="A2908" s="32" t="s">
        <v>34</v>
      </c>
      <c r="B2908" s="32">
        <f>+B2907+1</f>
        <v>2041</v>
      </c>
      <c r="C2908" s="33" t="s">
        <v>23</v>
      </c>
      <c r="D2908" s="34" t="s">
        <v>1999</v>
      </c>
      <c r="E2908" s="35" t="str">
        <f t="shared" si="646"/>
        <v>PS'!</v>
      </c>
      <c r="F2908" s="34" t="str">
        <f t="shared" si="647"/>
        <v>C:\Users\jaime.benazar\Quorum Business Solutions\Ecopetrol Prometeo - Documents\Planning Space Implementation\3. Analysis &amp; Design\Design\FC22\DRR Jaime\QUIFA-CAJÚA\Cajua\[CAJUA_CF_SEC_New_27-Feb-2024Rev3.xlsx]D-PS'!</v>
      </c>
      <c r="G2908" s="32" t="s">
        <v>116</v>
      </c>
      <c r="H2908" s="33">
        <f t="shared" si="683"/>
        <v>30</v>
      </c>
      <c r="I2908" s="33" t="str">
        <f t="shared" si="682"/>
        <v>='C:\Users\jaime.benazar\Quorum Business Solutions\Ecopetrol Prometeo - Documents\Planning Space Implementation\3. Analysis &amp; Design\Design\FC22\DRR Jaime\QUIFA-CAJÚA\Cajua\[CAJUA_CF_SEC_New_27-Feb-2024Rev3.xlsx]D-PS'!$EA$30</v>
      </c>
      <c r="J2908" s="33" t="s">
        <v>3276</v>
      </c>
    </row>
    <row r="2909" spans="1:10" x14ac:dyDescent="0.25">
      <c r="A2909" s="32" t="s">
        <v>34</v>
      </c>
      <c r="B2909" s="32">
        <f t="shared" ref="B2909:B2910" si="686">+B2908+1</f>
        <v>2042</v>
      </c>
      <c r="C2909" s="33" t="s">
        <v>23</v>
      </c>
      <c r="D2909" s="34" t="s">
        <v>1999</v>
      </c>
      <c r="E2909" s="35" t="str">
        <f t="shared" si="646"/>
        <v>PS'!</v>
      </c>
      <c r="F2909" s="34" t="str">
        <f t="shared" si="647"/>
        <v>C:\Users\jaime.benazar\Quorum Business Solutions\Ecopetrol Prometeo - Documents\Planning Space Implementation\3. Analysis &amp; Design\Design\FC22\DRR Jaime\QUIFA-CAJÚA\Cajua\[CAJUA_CF_SEC_New_27-Feb-2024Rev3.xlsx]D-PS'!</v>
      </c>
      <c r="G2909" s="32" t="s">
        <v>116</v>
      </c>
      <c r="H2909" s="33">
        <f t="shared" si="683"/>
        <v>31</v>
      </c>
      <c r="I2909" s="33" t="str">
        <f t="shared" si="682"/>
        <v>='C:\Users\jaime.benazar\Quorum Business Solutions\Ecopetrol Prometeo - Documents\Planning Space Implementation\3. Analysis &amp; Design\Design\FC22\DRR Jaime\QUIFA-CAJÚA\Cajua\[CAJUA_CF_SEC_New_27-Feb-2024Rev3.xlsx]D-PS'!$EA$31</v>
      </c>
      <c r="J2909" s="33" t="s">
        <v>3277</v>
      </c>
    </row>
    <row r="2910" spans="1:10" x14ac:dyDescent="0.25">
      <c r="A2910" s="32" t="s">
        <v>34</v>
      </c>
      <c r="B2910" s="32">
        <f t="shared" si="686"/>
        <v>2043</v>
      </c>
      <c r="C2910" s="33" t="s">
        <v>23</v>
      </c>
      <c r="D2910" s="34" t="s">
        <v>1999</v>
      </c>
      <c r="E2910" s="35" t="str">
        <f t="shared" si="646"/>
        <v>PS'!</v>
      </c>
      <c r="F2910" s="34" t="str">
        <f t="shared" si="647"/>
        <v>C:\Users\jaime.benazar\Quorum Business Solutions\Ecopetrol Prometeo - Documents\Planning Space Implementation\3. Analysis &amp; Design\Design\FC22\DRR Jaime\QUIFA-CAJÚA\Cajua\[CAJUA_CF_SEC_New_27-Feb-2024Rev3.xlsx]D-PS'!</v>
      </c>
      <c r="G2910" s="32" t="s">
        <v>116</v>
      </c>
      <c r="H2910" s="33">
        <f t="shared" si="683"/>
        <v>32</v>
      </c>
      <c r="I2910" s="33" t="str">
        <f t="shared" si="682"/>
        <v>='C:\Users\jaime.benazar\Quorum Business Solutions\Ecopetrol Prometeo - Documents\Planning Space Implementation\3. Analysis &amp; Design\Design\FC22\DRR Jaime\QUIFA-CAJÚA\Cajua\[CAJUA_CF_SEC_New_27-Feb-2024Rev3.xlsx]D-PS'!$EA$32</v>
      </c>
      <c r="J2910" s="33" t="s">
        <v>3278</v>
      </c>
    </row>
    <row r="2911" spans="1:10" x14ac:dyDescent="0.25">
      <c r="A2911" s="32" t="s">
        <v>34</v>
      </c>
      <c r="B2911" s="32">
        <f>+B2910+1</f>
        <v>2044</v>
      </c>
      <c r="C2911" s="33" t="s">
        <v>23</v>
      </c>
      <c r="D2911" s="34" t="s">
        <v>1999</v>
      </c>
      <c r="E2911" s="35" t="str">
        <f t="shared" ref="E2911:E2926" si="687">_xlfn.CONCAT(A2911,"'!")</f>
        <v>PS'!</v>
      </c>
      <c r="F2911" s="34" t="str">
        <f t="shared" ref="F2911:F2926" si="688">_xlfn.CONCAT(D2911:E2911)</f>
        <v>C:\Users\jaime.benazar\Quorum Business Solutions\Ecopetrol Prometeo - Documents\Planning Space Implementation\3. Analysis &amp; Design\Design\FC22\DRR Jaime\QUIFA-CAJÚA\Cajua\[CAJUA_CF_SEC_New_27-Feb-2024Rev3.xlsx]D-PS'!</v>
      </c>
      <c r="G2911" s="32" t="s">
        <v>116</v>
      </c>
      <c r="H2911" s="33">
        <f t="shared" ref="H2911:H2926" si="689">IF(A2911&lt;&gt;A2910,12,H2910+1)</f>
        <v>33</v>
      </c>
      <c r="I2911" s="33" t="str">
        <f t="shared" ref="I2911:I2926" si="690">_xlfn.CONCAT("='",F2911:H2911)</f>
        <v>='C:\Users\jaime.benazar\Quorum Business Solutions\Ecopetrol Prometeo - Documents\Planning Space Implementation\3. Analysis &amp; Design\Design\FC22\DRR Jaime\QUIFA-CAJÚA\Cajua\[CAJUA_CF_SEC_New_27-Feb-2024Rev3.xlsx]D-PS'!$EA$33</v>
      </c>
      <c r="J2911" s="33" t="s">
        <v>3279</v>
      </c>
    </row>
    <row r="2912" spans="1:10" x14ac:dyDescent="0.25">
      <c r="A2912" s="32" t="s">
        <v>34</v>
      </c>
      <c r="B2912" s="32">
        <f t="shared" ref="B2912:B2926" si="691">+B2911+1</f>
        <v>2045</v>
      </c>
      <c r="C2912" s="33" t="s">
        <v>23</v>
      </c>
      <c r="D2912" s="34" t="s">
        <v>1999</v>
      </c>
      <c r="E2912" s="35" t="str">
        <f t="shared" si="687"/>
        <v>PS'!</v>
      </c>
      <c r="F2912" s="34" t="str">
        <f t="shared" si="688"/>
        <v>C:\Users\jaime.benazar\Quorum Business Solutions\Ecopetrol Prometeo - Documents\Planning Space Implementation\3. Analysis &amp; Design\Design\FC22\DRR Jaime\QUIFA-CAJÚA\Cajua\[CAJUA_CF_SEC_New_27-Feb-2024Rev3.xlsx]D-PS'!</v>
      </c>
      <c r="G2912" s="32" t="s">
        <v>116</v>
      </c>
      <c r="H2912" s="33">
        <f t="shared" si="689"/>
        <v>34</v>
      </c>
      <c r="I2912" s="33" t="str">
        <f t="shared" si="690"/>
        <v>='C:\Users\jaime.benazar\Quorum Business Solutions\Ecopetrol Prometeo - Documents\Planning Space Implementation\3. Analysis &amp; Design\Design\FC22\DRR Jaime\QUIFA-CAJÚA\Cajua\[CAJUA_CF_SEC_New_27-Feb-2024Rev3.xlsx]D-PS'!$EA$34</v>
      </c>
      <c r="J2912" s="33" t="s">
        <v>3280</v>
      </c>
    </row>
    <row r="2913" spans="1:10" x14ac:dyDescent="0.25">
      <c r="A2913" s="32" t="s">
        <v>34</v>
      </c>
      <c r="B2913" s="32">
        <f t="shared" si="691"/>
        <v>2046</v>
      </c>
      <c r="C2913" s="33" t="s">
        <v>23</v>
      </c>
      <c r="D2913" s="34" t="s">
        <v>1999</v>
      </c>
      <c r="E2913" s="35" t="str">
        <f t="shared" si="687"/>
        <v>PS'!</v>
      </c>
      <c r="F2913" s="34" t="str">
        <f t="shared" si="688"/>
        <v>C:\Users\jaime.benazar\Quorum Business Solutions\Ecopetrol Prometeo - Documents\Planning Space Implementation\3. Analysis &amp; Design\Design\FC22\DRR Jaime\QUIFA-CAJÚA\Cajua\[CAJUA_CF_SEC_New_27-Feb-2024Rev3.xlsx]D-PS'!</v>
      </c>
      <c r="G2913" s="32" t="s">
        <v>116</v>
      </c>
      <c r="H2913" s="33">
        <f t="shared" si="689"/>
        <v>35</v>
      </c>
      <c r="I2913" s="33" t="str">
        <f t="shared" si="690"/>
        <v>='C:\Users\jaime.benazar\Quorum Business Solutions\Ecopetrol Prometeo - Documents\Planning Space Implementation\3. Analysis &amp; Design\Design\FC22\DRR Jaime\QUIFA-CAJÚA\Cajua\[CAJUA_CF_SEC_New_27-Feb-2024Rev3.xlsx]D-PS'!$EA$35</v>
      </c>
      <c r="J2913" s="33" t="s">
        <v>3281</v>
      </c>
    </row>
    <row r="2914" spans="1:10" x14ac:dyDescent="0.25">
      <c r="A2914" s="32" t="s">
        <v>34</v>
      </c>
      <c r="B2914" s="32">
        <f t="shared" si="691"/>
        <v>2047</v>
      </c>
      <c r="C2914" s="33" t="s">
        <v>23</v>
      </c>
      <c r="D2914" s="34" t="s">
        <v>1999</v>
      </c>
      <c r="E2914" s="35" t="str">
        <f t="shared" si="687"/>
        <v>PS'!</v>
      </c>
      <c r="F2914" s="34" t="str">
        <f t="shared" si="688"/>
        <v>C:\Users\jaime.benazar\Quorum Business Solutions\Ecopetrol Prometeo - Documents\Planning Space Implementation\3. Analysis &amp; Design\Design\FC22\DRR Jaime\QUIFA-CAJÚA\Cajua\[CAJUA_CF_SEC_New_27-Feb-2024Rev3.xlsx]D-PS'!</v>
      </c>
      <c r="G2914" s="32" t="s">
        <v>116</v>
      </c>
      <c r="H2914" s="33">
        <f t="shared" si="689"/>
        <v>36</v>
      </c>
      <c r="I2914" s="33" t="str">
        <f t="shared" si="690"/>
        <v>='C:\Users\jaime.benazar\Quorum Business Solutions\Ecopetrol Prometeo - Documents\Planning Space Implementation\3. Analysis &amp; Design\Design\FC22\DRR Jaime\QUIFA-CAJÚA\Cajua\[CAJUA_CF_SEC_New_27-Feb-2024Rev3.xlsx]D-PS'!$EA$36</v>
      </c>
      <c r="J2914" s="33" t="s">
        <v>3282</v>
      </c>
    </row>
    <row r="2915" spans="1:10" x14ac:dyDescent="0.25">
      <c r="A2915" s="32" t="s">
        <v>34</v>
      </c>
      <c r="B2915" s="32">
        <f t="shared" si="691"/>
        <v>2048</v>
      </c>
      <c r="C2915" s="33" t="s">
        <v>23</v>
      </c>
      <c r="D2915" s="34" t="s">
        <v>1999</v>
      </c>
      <c r="E2915" s="35" t="str">
        <f t="shared" si="687"/>
        <v>PS'!</v>
      </c>
      <c r="F2915" s="34" t="str">
        <f t="shared" si="688"/>
        <v>C:\Users\jaime.benazar\Quorum Business Solutions\Ecopetrol Prometeo - Documents\Planning Space Implementation\3. Analysis &amp; Design\Design\FC22\DRR Jaime\QUIFA-CAJÚA\Cajua\[CAJUA_CF_SEC_New_27-Feb-2024Rev3.xlsx]D-PS'!</v>
      </c>
      <c r="G2915" s="32" t="s">
        <v>116</v>
      </c>
      <c r="H2915" s="33">
        <f t="shared" si="689"/>
        <v>37</v>
      </c>
      <c r="I2915" s="33" t="str">
        <f t="shared" si="690"/>
        <v>='C:\Users\jaime.benazar\Quorum Business Solutions\Ecopetrol Prometeo - Documents\Planning Space Implementation\3. Analysis &amp; Design\Design\FC22\DRR Jaime\QUIFA-CAJÚA\Cajua\[CAJUA_CF_SEC_New_27-Feb-2024Rev3.xlsx]D-PS'!$EA$37</v>
      </c>
      <c r="J2915" s="33" t="s">
        <v>3283</v>
      </c>
    </row>
    <row r="2916" spans="1:10" x14ac:dyDescent="0.25">
      <c r="A2916" s="32" t="s">
        <v>34</v>
      </c>
      <c r="B2916" s="32">
        <f t="shared" si="691"/>
        <v>2049</v>
      </c>
      <c r="C2916" s="33" t="s">
        <v>23</v>
      </c>
      <c r="D2916" s="34" t="s">
        <v>1999</v>
      </c>
      <c r="E2916" s="35" t="str">
        <f t="shared" si="687"/>
        <v>PS'!</v>
      </c>
      <c r="F2916" s="34" t="str">
        <f t="shared" si="688"/>
        <v>C:\Users\jaime.benazar\Quorum Business Solutions\Ecopetrol Prometeo - Documents\Planning Space Implementation\3. Analysis &amp; Design\Design\FC22\DRR Jaime\QUIFA-CAJÚA\Cajua\[CAJUA_CF_SEC_New_27-Feb-2024Rev3.xlsx]D-PS'!</v>
      </c>
      <c r="G2916" s="32" t="s">
        <v>116</v>
      </c>
      <c r="H2916" s="33">
        <f t="shared" si="689"/>
        <v>38</v>
      </c>
      <c r="I2916" s="33" t="str">
        <f t="shared" si="690"/>
        <v>='C:\Users\jaime.benazar\Quorum Business Solutions\Ecopetrol Prometeo - Documents\Planning Space Implementation\3. Analysis &amp; Design\Design\FC22\DRR Jaime\QUIFA-CAJÚA\Cajua\[CAJUA_CF_SEC_New_27-Feb-2024Rev3.xlsx]D-PS'!$EA$38</v>
      </c>
      <c r="J2916" s="33" t="s">
        <v>3284</v>
      </c>
    </row>
    <row r="2917" spans="1:10" x14ac:dyDescent="0.25">
      <c r="A2917" s="32" t="s">
        <v>34</v>
      </c>
      <c r="B2917" s="32">
        <f t="shared" si="691"/>
        <v>2050</v>
      </c>
      <c r="C2917" s="33" t="s">
        <v>23</v>
      </c>
      <c r="D2917" s="34" t="s">
        <v>1999</v>
      </c>
      <c r="E2917" s="35" t="str">
        <f t="shared" si="687"/>
        <v>PS'!</v>
      </c>
      <c r="F2917" s="34" t="str">
        <f t="shared" si="688"/>
        <v>C:\Users\jaime.benazar\Quorum Business Solutions\Ecopetrol Prometeo - Documents\Planning Space Implementation\3. Analysis &amp; Design\Design\FC22\DRR Jaime\QUIFA-CAJÚA\Cajua\[CAJUA_CF_SEC_New_27-Feb-2024Rev3.xlsx]D-PS'!</v>
      </c>
      <c r="G2917" s="32" t="s">
        <v>116</v>
      </c>
      <c r="H2917" s="33">
        <f t="shared" si="689"/>
        <v>39</v>
      </c>
      <c r="I2917" s="33" t="str">
        <f t="shared" si="690"/>
        <v>='C:\Users\jaime.benazar\Quorum Business Solutions\Ecopetrol Prometeo - Documents\Planning Space Implementation\3. Analysis &amp; Design\Design\FC22\DRR Jaime\QUIFA-CAJÚA\Cajua\[CAJUA_CF_SEC_New_27-Feb-2024Rev3.xlsx]D-PS'!$EA$39</v>
      </c>
      <c r="J2917" s="33" t="s">
        <v>3285</v>
      </c>
    </row>
    <row r="2918" spans="1:10" x14ac:dyDescent="0.25">
      <c r="A2918" s="32" t="s">
        <v>34</v>
      </c>
      <c r="B2918" s="32">
        <f t="shared" si="691"/>
        <v>2051</v>
      </c>
      <c r="C2918" s="33" t="s">
        <v>23</v>
      </c>
      <c r="D2918" s="34" t="s">
        <v>1999</v>
      </c>
      <c r="E2918" s="35" t="str">
        <f t="shared" si="687"/>
        <v>PS'!</v>
      </c>
      <c r="F2918" s="34" t="str">
        <f t="shared" si="688"/>
        <v>C:\Users\jaime.benazar\Quorum Business Solutions\Ecopetrol Prometeo - Documents\Planning Space Implementation\3. Analysis &amp; Design\Design\FC22\DRR Jaime\QUIFA-CAJÚA\Cajua\[CAJUA_CF_SEC_New_27-Feb-2024Rev3.xlsx]D-PS'!</v>
      </c>
      <c r="G2918" s="32" t="s">
        <v>116</v>
      </c>
      <c r="H2918" s="33">
        <f t="shared" si="689"/>
        <v>40</v>
      </c>
      <c r="I2918" s="33" t="str">
        <f t="shared" si="690"/>
        <v>='C:\Users\jaime.benazar\Quorum Business Solutions\Ecopetrol Prometeo - Documents\Planning Space Implementation\3. Analysis &amp; Design\Design\FC22\DRR Jaime\QUIFA-CAJÚA\Cajua\[CAJUA_CF_SEC_New_27-Feb-2024Rev3.xlsx]D-PS'!$EA$40</v>
      </c>
      <c r="J2918" s="33" t="s">
        <v>3286</v>
      </c>
    </row>
    <row r="2919" spans="1:10" x14ac:dyDescent="0.25">
      <c r="A2919" s="32" t="s">
        <v>34</v>
      </c>
      <c r="B2919" s="32">
        <f t="shared" si="691"/>
        <v>2052</v>
      </c>
      <c r="C2919" s="33" t="s">
        <v>23</v>
      </c>
      <c r="D2919" s="34" t="s">
        <v>1999</v>
      </c>
      <c r="E2919" s="35" t="str">
        <f t="shared" si="687"/>
        <v>PS'!</v>
      </c>
      <c r="F2919" s="34" t="str">
        <f t="shared" si="688"/>
        <v>C:\Users\jaime.benazar\Quorum Business Solutions\Ecopetrol Prometeo - Documents\Planning Space Implementation\3. Analysis &amp; Design\Design\FC22\DRR Jaime\QUIFA-CAJÚA\Cajua\[CAJUA_CF_SEC_New_27-Feb-2024Rev3.xlsx]D-PS'!</v>
      </c>
      <c r="G2919" s="32" t="s">
        <v>116</v>
      </c>
      <c r="H2919" s="33">
        <f t="shared" si="689"/>
        <v>41</v>
      </c>
      <c r="I2919" s="33" t="str">
        <f t="shared" si="690"/>
        <v>='C:\Users\jaime.benazar\Quorum Business Solutions\Ecopetrol Prometeo - Documents\Planning Space Implementation\3. Analysis &amp; Design\Design\FC22\DRR Jaime\QUIFA-CAJÚA\Cajua\[CAJUA_CF_SEC_New_27-Feb-2024Rev3.xlsx]D-PS'!$EA$41</v>
      </c>
      <c r="J2919" s="33" t="s">
        <v>3287</v>
      </c>
    </row>
    <row r="2920" spans="1:10" x14ac:dyDescent="0.25">
      <c r="A2920" s="32" t="s">
        <v>34</v>
      </c>
      <c r="B2920" s="32">
        <f t="shared" si="691"/>
        <v>2053</v>
      </c>
      <c r="C2920" s="33" t="s">
        <v>23</v>
      </c>
      <c r="D2920" s="34" t="s">
        <v>1999</v>
      </c>
      <c r="E2920" s="35" t="str">
        <f t="shared" si="687"/>
        <v>PS'!</v>
      </c>
      <c r="F2920" s="34" t="str">
        <f t="shared" si="688"/>
        <v>C:\Users\jaime.benazar\Quorum Business Solutions\Ecopetrol Prometeo - Documents\Planning Space Implementation\3. Analysis &amp; Design\Design\FC22\DRR Jaime\QUIFA-CAJÚA\Cajua\[CAJUA_CF_SEC_New_27-Feb-2024Rev3.xlsx]D-PS'!</v>
      </c>
      <c r="G2920" s="32" t="s">
        <v>116</v>
      </c>
      <c r="H2920" s="33">
        <f t="shared" si="689"/>
        <v>42</v>
      </c>
      <c r="I2920" s="33" t="str">
        <f t="shared" si="690"/>
        <v>='C:\Users\jaime.benazar\Quorum Business Solutions\Ecopetrol Prometeo - Documents\Planning Space Implementation\3. Analysis &amp; Design\Design\FC22\DRR Jaime\QUIFA-CAJÚA\Cajua\[CAJUA_CF_SEC_New_27-Feb-2024Rev3.xlsx]D-PS'!$EA$42</v>
      </c>
      <c r="J2920" s="33" t="s">
        <v>3288</v>
      </c>
    </row>
    <row r="2921" spans="1:10" x14ac:dyDescent="0.25">
      <c r="A2921" s="32" t="s">
        <v>34</v>
      </c>
      <c r="B2921" s="32">
        <f t="shared" si="691"/>
        <v>2054</v>
      </c>
      <c r="C2921" s="33" t="s">
        <v>23</v>
      </c>
      <c r="D2921" s="34" t="s">
        <v>1999</v>
      </c>
      <c r="E2921" s="35" t="str">
        <f t="shared" si="687"/>
        <v>PS'!</v>
      </c>
      <c r="F2921" s="34" t="str">
        <f t="shared" si="688"/>
        <v>C:\Users\jaime.benazar\Quorum Business Solutions\Ecopetrol Prometeo - Documents\Planning Space Implementation\3. Analysis &amp; Design\Design\FC22\DRR Jaime\QUIFA-CAJÚA\Cajua\[CAJUA_CF_SEC_New_27-Feb-2024Rev3.xlsx]D-PS'!</v>
      </c>
      <c r="G2921" s="32" t="s">
        <v>116</v>
      </c>
      <c r="H2921" s="33">
        <f t="shared" si="689"/>
        <v>43</v>
      </c>
      <c r="I2921" s="33" t="str">
        <f t="shared" si="690"/>
        <v>='C:\Users\jaime.benazar\Quorum Business Solutions\Ecopetrol Prometeo - Documents\Planning Space Implementation\3. Analysis &amp; Design\Design\FC22\DRR Jaime\QUIFA-CAJÚA\Cajua\[CAJUA_CF_SEC_New_27-Feb-2024Rev3.xlsx]D-PS'!$EA$43</v>
      </c>
      <c r="J2921" s="33" t="s">
        <v>3289</v>
      </c>
    </row>
    <row r="2922" spans="1:10" x14ac:dyDescent="0.25">
      <c r="A2922" s="32" t="s">
        <v>34</v>
      </c>
      <c r="B2922" s="32">
        <f t="shared" si="691"/>
        <v>2055</v>
      </c>
      <c r="C2922" s="33" t="s">
        <v>23</v>
      </c>
      <c r="D2922" s="34" t="s">
        <v>1999</v>
      </c>
      <c r="E2922" s="35" t="str">
        <f t="shared" si="687"/>
        <v>PS'!</v>
      </c>
      <c r="F2922" s="34" t="str">
        <f t="shared" si="688"/>
        <v>C:\Users\jaime.benazar\Quorum Business Solutions\Ecopetrol Prometeo - Documents\Planning Space Implementation\3. Analysis &amp; Design\Design\FC22\DRR Jaime\QUIFA-CAJÚA\Cajua\[CAJUA_CF_SEC_New_27-Feb-2024Rev3.xlsx]D-PS'!</v>
      </c>
      <c r="G2922" s="32" t="s">
        <v>116</v>
      </c>
      <c r="H2922" s="33">
        <f t="shared" si="689"/>
        <v>44</v>
      </c>
      <c r="I2922" s="33" t="str">
        <f t="shared" si="690"/>
        <v>='C:\Users\jaime.benazar\Quorum Business Solutions\Ecopetrol Prometeo - Documents\Planning Space Implementation\3. Analysis &amp; Design\Design\FC22\DRR Jaime\QUIFA-CAJÚA\Cajua\[CAJUA_CF_SEC_New_27-Feb-2024Rev3.xlsx]D-PS'!$EA$44</v>
      </c>
      <c r="J2922" s="33" t="s">
        <v>3290</v>
      </c>
    </row>
    <row r="2923" spans="1:10" x14ac:dyDescent="0.25">
      <c r="A2923" s="32" t="s">
        <v>34</v>
      </c>
      <c r="B2923" s="32">
        <f t="shared" si="691"/>
        <v>2056</v>
      </c>
      <c r="C2923" s="33" t="s">
        <v>23</v>
      </c>
      <c r="D2923" s="34" t="s">
        <v>1999</v>
      </c>
      <c r="E2923" s="35" t="str">
        <f t="shared" si="687"/>
        <v>PS'!</v>
      </c>
      <c r="F2923" s="34" t="str">
        <f t="shared" si="688"/>
        <v>C:\Users\jaime.benazar\Quorum Business Solutions\Ecopetrol Prometeo - Documents\Planning Space Implementation\3. Analysis &amp; Design\Design\FC22\DRR Jaime\QUIFA-CAJÚA\Cajua\[CAJUA_CF_SEC_New_27-Feb-2024Rev3.xlsx]D-PS'!</v>
      </c>
      <c r="G2923" s="32" t="s">
        <v>116</v>
      </c>
      <c r="H2923" s="33">
        <f t="shared" si="689"/>
        <v>45</v>
      </c>
      <c r="I2923" s="33" t="str">
        <f t="shared" si="690"/>
        <v>='C:\Users\jaime.benazar\Quorum Business Solutions\Ecopetrol Prometeo - Documents\Planning Space Implementation\3. Analysis &amp; Design\Design\FC22\DRR Jaime\QUIFA-CAJÚA\Cajua\[CAJUA_CF_SEC_New_27-Feb-2024Rev3.xlsx]D-PS'!$EA$45</v>
      </c>
      <c r="J2923" s="33" t="s">
        <v>3291</v>
      </c>
    </row>
    <row r="2924" spans="1:10" x14ac:dyDescent="0.25">
      <c r="A2924" s="32" t="s">
        <v>34</v>
      </c>
      <c r="B2924" s="32">
        <f t="shared" si="691"/>
        <v>2057</v>
      </c>
      <c r="C2924" s="33" t="s">
        <v>23</v>
      </c>
      <c r="D2924" s="34" t="s">
        <v>1999</v>
      </c>
      <c r="E2924" s="35" t="str">
        <f t="shared" si="687"/>
        <v>PS'!</v>
      </c>
      <c r="F2924" s="34" t="str">
        <f t="shared" si="688"/>
        <v>C:\Users\jaime.benazar\Quorum Business Solutions\Ecopetrol Prometeo - Documents\Planning Space Implementation\3. Analysis &amp; Design\Design\FC22\DRR Jaime\QUIFA-CAJÚA\Cajua\[CAJUA_CF_SEC_New_27-Feb-2024Rev3.xlsx]D-PS'!</v>
      </c>
      <c r="G2924" s="32" t="s">
        <v>116</v>
      </c>
      <c r="H2924" s="33">
        <f t="shared" si="689"/>
        <v>46</v>
      </c>
      <c r="I2924" s="33" t="str">
        <f t="shared" si="690"/>
        <v>='C:\Users\jaime.benazar\Quorum Business Solutions\Ecopetrol Prometeo - Documents\Planning Space Implementation\3. Analysis &amp; Design\Design\FC22\DRR Jaime\QUIFA-CAJÚA\Cajua\[CAJUA_CF_SEC_New_27-Feb-2024Rev3.xlsx]D-PS'!$EA$46</v>
      </c>
      <c r="J2924" s="33" t="s">
        <v>3292</v>
      </c>
    </row>
    <row r="2925" spans="1:10" x14ac:dyDescent="0.25">
      <c r="A2925" s="32" t="s">
        <v>34</v>
      </c>
      <c r="B2925" s="32">
        <f t="shared" si="691"/>
        <v>2058</v>
      </c>
      <c r="C2925" s="33" t="s">
        <v>23</v>
      </c>
      <c r="D2925" s="34" t="s">
        <v>1999</v>
      </c>
      <c r="E2925" s="35" t="str">
        <f t="shared" si="687"/>
        <v>PS'!</v>
      </c>
      <c r="F2925" s="34" t="str">
        <f t="shared" si="688"/>
        <v>C:\Users\jaime.benazar\Quorum Business Solutions\Ecopetrol Prometeo - Documents\Planning Space Implementation\3. Analysis &amp; Design\Design\FC22\DRR Jaime\QUIFA-CAJÚA\Cajua\[CAJUA_CF_SEC_New_27-Feb-2024Rev3.xlsx]D-PS'!</v>
      </c>
      <c r="G2925" s="32" t="s">
        <v>116</v>
      </c>
      <c r="H2925" s="33">
        <f t="shared" si="689"/>
        <v>47</v>
      </c>
      <c r="I2925" s="33" t="str">
        <f t="shared" si="690"/>
        <v>='C:\Users\jaime.benazar\Quorum Business Solutions\Ecopetrol Prometeo - Documents\Planning Space Implementation\3. Analysis &amp; Design\Design\FC22\DRR Jaime\QUIFA-CAJÚA\Cajua\[CAJUA_CF_SEC_New_27-Feb-2024Rev3.xlsx]D-PS'!$EA$47</v>
      </c>
      <c r="J2925" s="33" t="s">
        <v>3293</v>
      </c>
    </row>
    <row r="2926" spans="1:10" x14ac:dyDescent="0.25">
      <c r="A2926" s="32" t="s">
        <v>34</v>
      </c>
      <c r="B2926" s="32">
        <f t="shared" si="691"/>
        <v>2059</v>
      </c>
      <c r="C2926" s="33" t="s">
        <v>23</v>
      </c>
      <c r="D2926" s="34" t="s">
        <v>1999</v>
      </c>
      <c r="E2926" s="35" t="str">
        <f t="shared" si="687"/>
        <v>PS'!</v>
      </c>
      <c r="F2926" s="34" t="str">
        <f t="shared" si="688"/>
        <v>C:\Users\jaime.benazar\Quorum Business Solutions\Ecopetrol Prometeo - Documents\Planning Space Implementation\3. Analysis &amp; Design\Design\FC22\DRR Jaime\QUIFA-CAJÚA\Cajua\[CAJUA_CF_SEC_New_27-Feb-2024Rev3.xlsx]D-PS'!</v>
      </c>
      <c r="G2926" s="32" t="s">
        <v>116</v>
      </c>
      <c r="H2926" s="33">
        <f t="shared" si="689"/>
        <v>48</v>
      </c>
      <c r="I2926" s="33" t="str">
        <f t="shared" si="690"/>
        <v>='C:\Users\jaime.benazar\Quorum Business Solutions\Ecopetrol Prometeo - Documents\Planning Space Implementation\3. Analysis &amp; Design\Design\FC22\DRR Jaime\QUIFA-CAJÚA\Cajua\[CAJUA_CF_SEC_New_27-Feb-2024Rev3.xlsx]D-PS'!$EA$48</v>
      </c>
      <c r="J2926" s="33" t="s">
        <v>3294</v>
      </c>
    </row>
    <row r="2927" spans="1:10" x14ac:dyDescent="0.25">
      <c r="A2927" s="32" t="s">
        <v>28</v>
      </c>
      <c r="B2927" s="32"/>
      <c r="C2927" s="33" t="s">
        <v>23</v>
      </c>
      <c r="D2927" s="34"/>
      <c r="E2927" s="35"/>
      <c r="F2927" s="34"/>
      <c r="G2927" s="32"/>
      <c r="H2927" s="33"/>
      <c r="I2927" s="33"/>
      <c r="J2927" s="33"/>
    </row>
    <row r="2928" spans="1:10" x14ac:dyDescent="0.25">
      <c r="A2928" s="32" t="s">
        <v>1</v>
      </c>
      <c r="B2928" s="32">
        <v>2023</v>
      </c>
      <c r="C2928" s="33" t="s">
        <v>42</v>
      </c>
      <c r="D2928" s="34" t="s">
        <v>1999</v>
      </c>
      <c r="E2928" s="35" t="str">
        <f>_xlfn.CONCAT(A2928,"'!")</f>
        <v>PDP'!</v>
      </c>
      <c r="F2928" s="34" t="str">
        <f>_xlfn.CONCAT(D2928:E2928)</f>
        <v>C:\Users\jaime.benazar\Quorum Business Solutions\Ecopetrol Prometeo - Documents\Planning Space Implementation\3. Analysis &amp; Design\Design\FC22\DRR Jaime\QUIFA-CAJÚA\Cajua\[CAJUA_CF_SEC_New_27-Feb-2024Rev3.xlsx]D-PDP'!</v>
      </c>
      <c r="G2928" s="32" t="s">
        <v>117</v>
      </c>
      <c r="H2928" s="33">
        <v>12</v>
      </c>
      <c r="I2928" s="33" t="str">
        <f>_xlfn.CONCAT("='",F2928:H2928)</f>
        <v>='C:\Users\jaime.benazar\Quorum Business Solutions\Ecopetrol Prometeo - Documents\Planning Space Implementation\3. Analysis &amp; Design\Design\FC22\DRR Jaime\QUIFA-CAJÚA\Cajua\[CAJUA_CF_SEC_New_27-Feb-2024Rev3.xlsx]D-PDP'!$DT$12</v>
      </c>
      <c r="J2928" s="37" t="s">
        <v>3295</v>
      </c>
    </row>
    <row r="2929" spans="1:10" x14ac:dyDescent="0.25">
      <c r="A2929" s="32" t="s">
        <v>1</v>
      </c>
      <c r="B2929" s="32">
        <f>+B2928+1</f>
        <v>2024</v>
      </c>
      <c r="C2929" s="33" t="s">
        <v>42</v>
      </c>
      <c r="D2929" s="34" t="s">
        <v>1999</v>
      </c>
      <c r="E2929" s="35" t="str">
        <f t="shared" ref="E2929:E3022" si="692">_xlfn.CONCAT(A2929,"'!")</f>
        <v>PDP'!</v>
      </c>
      <c r="F2929" s="34" t="str">
        <f t="shared" ref="F2929:F3022" si="693">_xlfn.CONCAT(D2929:E2929)</f>
        <v>C:\Users\jaime.benazar\Quorum Business Solutions\Ecopetrol Prometeo - Documents\Planning Space Implementation\3. Analysis &amp; Design\Design\FC22\DRR Jaime\QUIFA-CAJÚA\Cajua\[CAJUA_CF_SEC_New_27-Feb-2024Rev3.xlsx]D-PDP'!</v>
      </c>
      <c r="G2929" s="32" t="s">
        <v>117</v>
      </c>
      <c r="H2929" s="33">
        <f t="shared" ref="H2929:H2948" si="694">IF(A2929&lt;&gt;A2928,12,H2928+1)</f>
        <v>13</v>
      </c>
      <c r="I2929" s="33" t="str">
        <f t="shared" ref="I2929:I2948" si="695">_xlfn.CONCAT("='",F2929:H2929)</f>
        <v>='C:\Users\jaime.benazar\Quorum Business Solutions\Ecopetrol Prometeo - Documents\Planning Space Implementation\3. Analysis &amp; Design\Design\FC22\DRR Jaime\QUIFA-CAJÚA\Cajua\[CAJUA_CF_SEC_New_27-Feb-2024Rev3.xlsx]D-PDP'!$DT$13</v>
      </c>
      <c r="J2929" s="37" t="s">
        <v>3296</v>
      </c>
    </row>
    <row r="2930" spans="1:10" x14ac:dyDescent="0.25">
      <c r="A2930" s="32" t="s">
        <v>1</v>
      </c>
      <c r="B2930" s="32">
        <f t="shared" ref="B2930:B2941" si="696">+B2929+1</f>
        <v>2025</v>
      </c>
      <c r="C2930" s="33" t="s">
        <v>42</v>
      </c>
      <c r="D2930" s="34" t="s">
        <v>1999</v>
      </c>
      <c r="E2930" s="35" t="str">
        <f t="shared" si="692"/>
        <v>PDP'!</v>
      </c>
      <c r="F2930" s="34" t="str">
        <f t="shared" si="693"/>
        <v>C:\Users\jaime.benazar\Quorum Business Solutions\Ecopetrol Prometeo - Documents\Planning Space Implementation\3. Analysis &amp; Design\Design\FC22\DRR Jaime\QUIFA-CAJÚA\Cajua\[CAJUA_CF_SEC_New_27-Feb-2024Rev3.xlsx]D-PDP'!</v>
      </c>
      <c r="G2930" s="32" t="s">
        <v>117</v>
      </c>
      <c r="H2930" s="33">
        <f t="shared" si="694"/>
        <v>14</v>
      </c>
      <c r="I2930" s="33" t="str">
        <f t="shared" si="695"/>
        <v>='C:\Users\jaime.benazar\Quorum Business Solutions\Ecopetrol Prometeo - Documents\Planning Space Implementation\3. Analysis &amp; Design\Design\FC22\DRR Jaime\QUIFA-CAJÚA\Cajua\[CAJUA_CF_SEC_New_27-Feb-2024Rev3.xlsx]D-PDP'!$DT$14</v>
      </c>
      <c r="J2930" s="37" t="s">
        <v>3297</v>
      </c>
    </row>
    <row r="2931" spans="1:10" x14ac:dyDescent="0.25">
      <c r="A2931" s="32" t="s">
        <v>1</v>
      </c>
      <c r="B2931" s="32">
        <f t="shared" si="696"/>
        <v>2026</v>
      </c>
      <c r="C2931" s="33" t="s">
        <v>42</v>
      </c>
      <c r="D2931" s="34" t="s">
        <v>1999</v>
      </c>
      <c r="E2931" s="35" t="str">
        <f t="shared" si="692"/>
        <v>PDP'!</v>
      </c>
      <c r="F2931" s="34" t="str">
        <f t="shared" si="693"/>
        <v>C:\Users\jaime.benazar\Quorum Business Solutions\Ecopetrol Prometeo - Documents\Planning Space Implementation\3. Analysis &amp; Design\Design\FC22\DRR Jaime\QUIFA-CAJÚA\Cajua\[CAJUA_CF_SEC_New_27-Feb-2024Rev3.xlsx]D-PDP'!</v>
      </c>
      <c r="G2931" s="32" t="s">
        <v>117</v>
      </c>
      <c r="H2931" s="33">
        <f t="shared" si="694"/>
        <v>15</v>
      </c>
      <c r="I2931" s="33" t="str">
        <f t="shared" si="695"/>
        <v>='C:\Users\jaime.benazar\Quorum Business Solutions\Ecopetrol Prometeo - Documents\Planning Space Implementation\3. Analysis &amp; Design\Design\FC22\DRR Jaime\QUIFA-CAJÚA\Cajua\[CAJUA_CF_SEC_New_27-Feb-2024Rev3.xlsx]D-PDP'!$DT$15</v>
      </c>
      <c r="J2931" s="37" t="s">
        <v>3298</v>
      </c>
    </row>
    <row r="2932" spans="1:10" x14ac:dyDescent="0.25">
      <c r="A2932" s="32" t="s">
        <v>1</v>
      </c>
      <c r="B2932" s="32">
        <f t="shared" si="696"/>
        <v>2027</v>
      </c>
      <c r="C2932" s="33" t="s">
        <v>42</v>
      </c>
      <c r="D2932" s="34" t="s">
        <v>1999</v>
      </c>
      <c r="E2932" s="35" t="str">
        <f t="shared" si="692"/>
        <v>PDP'!</v>
      </c>
      <c r="F2932" s="34" t="str">
        <f t="shared" si="693"/>
        <v>C:\Users\jaime.benazar\Quorum Business Solutions\Ecopetrol Prometeo - Documents\Planning Space Implementation\3. Analysis &amp; Design\Design\FC22\DRR Jaime\QUIFA-CAJÚA\Cajua\[CAJUA_CF_SEC_New_27-Feb-2024Rev3.xlsx]D-PDP'!</v>
      </c>
      <c r="G2932" s="32" t="s">
        <v>117</v>
      </c>
      <c r="H2932" s="33">
        <f t="shared" si="694"/>
        <v>16</v>
      </c>
      <c r="I2932" s="33" t="str">
        <f t="shared" si="695"/>
        <v>='C:\Users\jaime.benazar\Quorum Business Solutions\Ecopetrol Prometeo - Documents\Planning Space Implementation\3. Analysis &amp; Design\Design\FC22\DRR Jaime\QUIFA-CAJÚA\Cajua\[CAJUA_CF_SEC_New_27-Feb-2024Rev3.xlsx]D-PDP'!$DT$16</v>
      </c>
      <c r="J2932" s="37" t="s">
        <v>3299</v>
      </c>
    </row>
    <row r="2933" spans="1:10" x14ac:dyDescent="0.25">
      <c r="A2933" s="32" t="s">
        <v>1</v>
      </c>
      <c r="B2933" s="32">
        <f t="shared" si="696"/>
        <v>2028</v>
      </c>
      <c r="C2933" s="33" t="s">
        <v>42</v>
      </c>
      <c r="D2933" s="34" t="s">
        <v>1999</v>
      </c>
      <c r="E2933" s="35" t="str">
        <f t="shared" si="692"/>
        <v>PDP'!</v>
      </c>
      <c r="F2933" s="34" t="str">
        <f t="shared" si="693"/>
        <v>C:\Users\jaime.benazar\Quorum Business Solutions\Ecopetrol Prometeo - Documents\Planning Space Implementation\3. Analysis &amp; Design\Design\FC22\DRR Jaime\QUIFA-CAJÚA\Cajua\[CAJUA_CF_SEC_New_27-Feb-2024Rev3.xlsx]D-PDP'!</v>
      </c>
      <c r="G2933" s="32" t="s">
        <v>117</v>
      </c>
      <c r="H2933" s="33">
        <f t="shared" si="694"/>
        <v>17</v>
      </c>
      <c r="I2933" s="33" t="str">
        <f t="shared" si="695"/>
        <v>='C:\Users\jaime.benazar\Quorum Business Solutions\Ecopetrol Prometeo - Documents\Planning Space Implementation\3. Analysis &amp; Design\Design\FC22\DRR Jaime\QUIFA-CAJÚA\Cajua\[CAJUA_CF_SEC_New_27-Feb-2024Rev3.xlsx]D-PDP'!$DT$17</v>
      </c>
      <c r="J2933" s="37" t="s">
        <v>3300</v>
      </c>
    </row>
    <row r="2934" spans="1:10" x14ac:dyDescent="0.25">
      <c r="A2934" s="32" t="s">
        <v>1</v>
      </c>
      <c r="B2934" s="32">
        <f t="shared" si="696"/>
        <v>2029</v>
      </c>
      <c r="C2934" s="33" t="s">
        <v>42</v>
      </c>
      <c r="D2934" s="34" t="s">
        <v>1999</v>
      </c>
      <c r="E2934" s="35" t="str">
        <f t="shared" si="692"/>
        <v>PDP'!</v>
      </c>
      <c r="F2934" s="34" t="str">
        <f t="shared" si="693"/>
        <v>C:\Users\jaime.benazar\Quorum Business Solutions\Ecopetrol Prometeo - Documents\Planning Space Implementation\3. Analysis &amp; Design\Design\FC22\DRR Jaime\QUIFA-CAJÚA\Cajua\[CAJUA_CF_SEC_New_27-Feb-2024Rev3.xlsx]D-PDP'!</v>
      </c>
      <c r="G2934" s="32" t="s">
        <v>117</v>
      </c>
      <c r="H2934" s="33">
        <f t="shared" si="694"/>
        <v>18</v>
      </c>
      <c r="I2934" s="33" t="str">
        <f t="shared" si="695"/>
        <v>='C:\Users\jaime.benazar\Quorum Business Solutions\Ecopetrol Prometeo - Documents\Planning Space Implementation\3. Analysis &amp; Design\Design\FC22\DRR Jaime\QUIFA-CAJÚA\Cajua\[CAJUA_CF_SEC_New_27-Feb-2024Rev3.xlsx]D-PDP'!$DT$18</v>
      </c>
      <c r="J2934" s="37" t="s">
        <v>3301</v>
      </c>
    </row>
    <row r="2935" spans="1:10" x14ac:dyDescent="0.25">
      <c r="A2935" s="32" t="s">
        <v>1</v>
      </c>
      <c r="B2935" s="32">
        <f t="shared" si="696"/>
        <v>2030</v>
      </c>
      <c r="C2935" s="33" t="s">
        <v>42</v>
      </c>
      <c r="D2935" s="34" t="s">
        <v>1999</v>
      </c>
      <c r="E2935" s="35" t="str">
        <f t="shared" si="692"/>
        <v>PDP'!</v>
      </c>
      <c r="F2935" s="34" t="str">
        <f t="shared" si="693"/>
        <v>C:\Users\jaime.benazar\Quorum Business Solutions\Ecopetrol Prometeo - Documents\Planning Space Implementation\3. Analysis &amp; Design\Design\FC22\DRR Jaime\QUIFA-CAJÚA\Cajua\[CAJUA_CF_SEC_New_27-Feb-2024Rev3.xlsx]D-PDP'!</v>
      </c>
      <c r="G2935" s="32" t="s">
        <v>117</v>
      </c>
      <c r="H2935" s="33">
        <f t="shared" si="694"/>
        <v>19</v>
      </c>
      <c r="I2935" s="33" t="str">
        <f t="shared" si="695"/>
        <v>='C:\Users\jaime.benazar\Quorum Business Solutions\Ecopetrol Prometeo - Documents\Planning Space Implementation\3. Analysis &amp; Design\Design\FC22\DRR Jaime\QUIFA-CAJÚA\Cajua\[CAJUA_CF_SEC_New_27-Feb-2024Rev3.xlsx]D-PDP'!$DT$19</v>
      </c>
      <c r="J2935" s="37" t="s">
        <v>3302</v>
      </c>
    </row>
    <row r="2936" spans="1:10" x14ac:dyDescent="0.25">
      <c r="A2936" s="32" t="s">
        <v>1</v>
      </c>
      <c r="B2936" s="32">
        <f t="shared" si="696"/>
        <v>2031</v>
      </c>
      <c r="C2936" s="33" t="s">
        <v>42</v>
      </c>
      <c r="D2936" s="34" t="s">
        <v>1999</v>
      </c>
      <c r="E2936" s="35" t="str">
        <f t="shared" si="692"/>
        <v>PDP'!</v>
      </c>
      <c r="F2936" s="34" t="str">
        <f t="shared" si="693"/>
        <v>C:\Users\jaime.benazar\Quorum Business Solutions\Ecopetrol Prometeo - Documents\Planning Space Implementation\3. Analysis &amp; Design\Design\FC22\DRR Jaime\QUIFA-CAJÚA\Cajua\[CAJUA_CF_SEC_New_27-Feb-2024Rev3.xlsx]D-PDP'!</v>
      </c>
      <c r="G2936" s="32" t="s">
        <v>117</v>
      </c>
      <c r="H2936" s="33">
        <f t="shared" si="694"/>
        <v>20</v>
      </c>
      <c r="I2936" s="33" t="str">
        <f t="shared" si="695"/>
        <v>='C:\Users\jaime.benazar\Quorum Business Solutions\Ecopetrol Prometeo - Documents\Planning Space Implementation\3. Analysis &amp; Design\Design\FC22\DRR Jaime\QUIFA-CAJÚA\Cajua\[CAJUA_CF_SEC_New_27-Feb-2024Rev3.xlsx]D-PDP'!$DT$20</v>
      </c>
      <c r="J2936" s="37" t="s">
        <v>3303</v>
      </c>
    </row>
    <row r="2937" spans="1:10" x14ac:dyDescent="0.25">
      <c r="A2937" s="32" t="s">
        <v>1</v>
      </c>
      <c r="B2937" s="32">
        <f t="shared" si="696"/>
        <v>2032</v>
      </c>
      <c r="C2937" s="33" t="s">
        <v>42</v>
      </c>
      <c r="D2937" s="34" t="s">
        <v>1999</v>
      </c>
      <c r="E2937" s="35" t="str">
        <f t="shared" si="692"/>
        <v>PDP'!</v>
      </c>
      <c r="F2937" s="34" t="str">
        <f t="shared" si="693"/>
        <v>C:\Users\jaime.benazar\Quorum Business Solutions\Ecopetrol Prometeo - Documents\Planning Space Implementation\3. Analysis &amp; Design\Design\FC22\DRR Jaime\QUIFA-CAJÚA\Cajua\[CAJUA_CF_SEC_New_27-Feb-2024Rev3.xlsx]D-PDP'!</v>
      </c>
      <c r="G2937" s="32" t="s">
        <v>117</v>
      </c>
      <c r="H2937" s="33">
        <f t="shared" si="694"/>
        <v>21</v>
      </c>
      <c r="I2937" s="33" t="str">
        <f t="shared" si="695"/>
        <v>='C:\Users\jaime.benazar\Quorum Business Solutions\Ecopetrol Prometeo - Documents\Planning Space Implementation\3. Analysis &amp; Design\Design\FC22\DRR Jaime\QUIFA-CAJÚA\Cajua\[CAJUA_CF_SEC_New_27-Feb-2024Rev3.xlsx]D-PDP'!$DT$21</v>
      </c>
      <c r="J2937" s="37" t="s">
        <v>3304</v>
      </c>
    </row>
    <row r="2938" spans="1:10" x14ac:dyDescent="0.25">
      <c r="A2938" s="32" t="s">
        <v>1</v>
      </c>
      <c r="B2938" s="32">
        <f t="shared" si="696"/>
        <v>2033</v>
      </c>
      <c r="C2938" s="33" t="s">
        <v>42</v>
      </c>
      <c r="D2938" s="34" t="s">
        <v>1999</v>
      </c>
      <c r="E2938" s="35" t="str">
        <f t="shared" si="692"/>
        <v>PDP'!</v>
      </c>
      <c r="F2938" s="34" t="str">
        <f t="shared" si="693"/>
        <v>C:\Users\jaime.benazar\Quorum Business Solutions\Ecopetrol Prometeo - Documents\Planning Space Implementation\3. Analysis &amp; Design\Design\FC22\DRR Jaime\QUIFA-CAJÚA\Cajua\[CAJUA_CF_SEC_New_27-Feb-2024Rev3.xlsx]D-PDP'!</v>
      </c>
      <c r="G2938" s="32" t="s">
        <v>117</v>
      </c>
      <c r="H2938" s="33">
        <f t="shared" si="694"/>
        <v>22</v>
      </c>
      <c r="I2938" s="33" t="str">
        <f t="shared" si="695"/>
        <v>='C:\Users\jaime.benazar\Quorum Business Solutions\Ecopetrol Prometeo - Documents\Planning Space Implementation\3. Analysis &amp; Design\Design\FC22\DRR Jaime\QUIFA-CAJÚA\Cajua\[CAJUA_CF_SEC_New_27-Feb-2024Rev3.xlsx]D-PDP'!$DT$22</v>
      </c>
      <c r="J2938" s="37" t="s">
        <v>3305</v>
      </c>
    </row>
    <row r="2939" spans="1:10" x14ac:dyDescent="0.25">
      <c r="A2939" s="32" t="s">
        <v>1</v>
      </c>
      <c r="B2939" s="32">
        <f t="shared" si="696"/>
        <v>2034</v>
      </c>
      <c r="C2939" s="33" t="s">
        <v>42</v>
      </c>
      <c r="D2939" s="34" t="s">
        <v>1999</v>
      </c>
      <c r="E2939" s="35" t="str">
        <f t="shared" si="692"/>
        <v>PDP'!</v>
      </c>
      <c r="F2939" s="34" t="str">
        <f t="shared" si="693"/>
        <v>C:\Users\jaime.benazar\Quorum Business Solutions\Ecopetrol Prometeo - Documents\Planning Space Implementation\3. Analysis &amp; Design\Design\FC22\DRR Jaime\QUIFA-CAJÚA\Cajua\[CAJUA_CF_SEC_New_27-Feb-2024Rev3.xlsx]D-PDP'!</v>
      </c>
      <c r="G2939" s="32" t="s">
        <v>117</v>
      </c>
      <c r="H2939" s="33">
        <f t="shared" si="694"/>
        <v>23</v>
      </c>
      <c r="I2939" s="33" t="str">
        <f t="shared" si="695"/>
        <v>='C:\Users\jaime.benazar\Quorum Business Solutions\Ecopetrol Prometeo - Documents\Planning Space Implementation\3. Analysis &amp; Design\Design\FC22\DRR Jaime\QUIFA-CAJÚA\Cajua\[CAJUA_CF_SEC_New_27-Feb-2024Rev3.xlsx]D-PDP'!$DT$23</v>
      </c>
      <c r="J2939" s="37" t="s">
        <v>3306</v>
      </c>
    </row>
    <row r="2940" spans="1:10" x14ac:dyDescent="0.25">
      <c r="A2940" s="32" t="s">
        <v>1</v>
      </c>
      <c r="B2940" s="32">
        <f t="shared" si="696"/>
        <v>2035</v>
      </c>
      <c r="C2940" s="33" t="s">
        <v>42</v>
      </c>
      <c r="D2940" s="34" t="s">
        <v>1999</v>
      </c>
      <c r="E2940" s="35" t="str">
        <f t="shared" si="692"/>
        <v>PDP'!</v>
      </c>
      <c r="F2940" s="34" t="str">
        <f t="shared" si="693"/>
        <v>C:\Users\jaime.benazar\Quorum Business Solutions\Ecopetrol Prometeo - Documents\Planning Space Implementation\3. Analysis &amp; Design\Design\FC22\DRR Jaime\QUIFA-CAJÚA\Cajua\[CAJUA_CF_SEC_New_27-Feb-2024Rev3.xlsx]D-PDP'!</v>
      </c>
      <c r="G2940" s="32" t="s">
        <v>117</v>
      </c>
      <c r="H2940" s="33">
        <f t="shared" si="694"/>
        <v>24</v>
      </c>
      <c r="I2940" s="33" t="str">
        <f t="shared" si="695"/>
        <v>='C:\Users\jaime.benazar\Quorum Business Solutions\Ecopetrol Prometeo - Documents\Planning Space Implementation\3. Analysis &amp; Design\Design\FC22\DRR Jaime\QUIFA-CAJÚA\Cajua\[CAJUA_CF_SEC_New_27-Feb-2024Rev3.xlsx]D-PDP'!$DT$24</v>
      </c>
      <c r="J2940" s="37" t="s">
        <v>3307</v>
      </c>
    </row>
    <row r="2941" spans="1:10" x14ac:dyDescent="0.25">
      <c r="A2941" s="32" t="s">
        <v>1</v>
      </c>
      <c r="B2941" s="32">
        <f t="shared" si="696"/>
        <v>2036</v>
      </c>
      <c r="C2941" s="33" t="s">
        <v>42</v>
      </c>
      <c r="D2941" s="34" t="s">
        <v>1999</v>
      </c>
      <c r="E2941" s="35" t="str">
        <f t="shared" si="692"/>
        <v>PDP'!</v>
      </c>
      <c r="F2941" s="34" t="str">
        <f t="shared" si="693"/>
        <v>C:\Users\jaime.benazar\Quorum Business Solutions\Ecopetrol Prometeo - Documents\Planning Space Implementation\3. Analysis &amp; Design\Design\FC22\DRR Jaime\QUIFA-CAJÚA\Cajua\[CAJUA_CF_SEC_New_27-Feb-2024Rev3.xlsx]D-PDP'!</v>
      </c>
      <c r="G2941" s="32" t="s">
        <v>117</v>
      </c>
      <c r="H2941" s="33">
        <f t="shared" si="694"/>
        <v>25</v>
      </c>
      <c r="I2941" s="33" t="str">
        <f t="shared" si="695"/>
        <v>='C:\Users\jaime.benazar\Quorum Business Solutions\Ecopetrol Prometeo - Documents\Planning Space Implementation\3. Analysis &amp; Design\Design\FC22\DRR Jaime\QUIFA-CAJÚA\Cajua\[CAJUA_CF_SEC_New_27-Feb-2024Rev3.xlsx]D-PDP'!$DT$25</v>
      </c>
      <c r="J2941" s="37" t="s">
        <v>3308</v>
      </c>
    </row>
    <row r="2942" spans="1:10" x14ac:dyDescent="0.25">
      <c r="A2942" s="32" t="s">
        <v>1</v>
      </c>
      <c r="B2942" s="32">
        <f>+B2941+1</f>
        <v>2037</v>
      </c>
      <c r="C2942" s="33" t="s">
        <v>42</v>
      </c>
      <c r="D2942" s="34" t="s">
        <v>1999</v>
      </c>
      <c r="E2942" s="35" t="str">
        <f t="shared" si="692"/>
        <v>PDP'!</v>
      </c>
      <c r="F2942" s="34" t="str">
        <f t="shared" si="693"/>
        <v>C:\Users\jaime.benazar\Quorum Business Solutions\Ecopetrol Prometeo - Documents\Planning Space Implementation\3. Analysis &amp; Design\Design\FC22\DRR Jaime\QUIFA-CAJÚA\Cajua\[CAJUA_CF_SEC_New_27-Feb-2024Rev3.xlsx]D-PDP'!</v>
      </c>
      <c r="G2942" s="32" t="s">
        <v>117</v>
      </c>
      <c r="H2942" s="33">
        <f t="shared" si="694"/>
        <v>26</v>
      </c>
      <c r="I2942" s="33" t="str">
        <f t="shared" si="695"/>
        <v>='C:\Users\jaime.benazar\Quorum Business Solutions\Ecopetrol Prometeo - Documents\Planning Space Implementation\3. Analysis &amp; Design\Design\FC22\DRR Jaime\QUIFA-CAJÚA\Cajua\[CAJUA_CF_SEC_New_27-Feb-2024Rev3.xlsx]D-PDP'!$DT$26</v>
      </c>
      <c r="J2942" s="37" t="s">
        <v>3309</v>
      </c>
    </row>
    <row r="2943" spans="1:10" x14ac:dyDescent="0.25">
      <c r="A2943" s="32" t="s">
        <v>1</v>
      </c>
      <c r="B2943" s="32">
        <f t="shared" ref="B2943:B2945" si="697">+B2942+1</f>
        <v>2038</v>
      </c>
      <c r="C2943" s="33" t="s">
        <v>42</v>
      </c>
      <c r="D2943" s="34" t="s">
        <v>1999</v>
      </c>
      <c r="E2943" s="35" t="str">
        <f t="shared" si="692"/>
        <v>PDP'!</v>
      </c>
      <c r="F2943" s="34" t="str">
        <f t="shared" si="693"/>
        <v>C:\Users\jaime.benazar\Quorum Business Solutions\Ecopetrol Prometeo - Documents\Planning Space Implementation\3. Analysis &amp; Design\Design\FC22\DRR Jaime\QUIFA-CAJÚA\Cajua\[CAJUA_CF_SEC_New_27-Feb-2024Rev3.xlsx]D-PDP'!</v>
      </c>
      <c r="G2943" s="32" t="s">
        <v>117</v>
      </c>
      <c r="H2943" s="33">
        <f t="shared" si="694"/>
        <v>27</v>
      </c>
      <c r="I2943" s="33" t="str">
        <f t="shared" si="695"/>
        <v>='C:\Users\jaime.benazar\Quorum Business Solutions\Ecopetrol Prometeo - Documents\Planning Space Implementation\3. Analysis &amp; Design\Design\FC22\DRR Jaime\QUIFA-CAJÚA\Cajua\[CAJUA_CF_SEC_New_27-Feb-2024Rev3.xlsx]D-PDP'!$DT$27</v>
      </c>
      <c r="J2943" s="37" t="s">
        <v>3310</v>
      </c>
    </row>
    <row r="2944" spans="1:10" x14ac:dyDescent="0.25">
      <c r="A2944" s="32" t="s">
        <v>1</v>
      </c>
      <c r="B2944" s="32">
        <f t="shared" si="697"/>
        <v>2039</v>
      </c>
      <c r="C2944" s="33" t="s">
        <v>42</v>
      </c>
      <c r="D2944" s="34" t="s">
        <v>1999</v>
      </c>
      <c r="E2944" s="35" t="str">
        <f t="shared" si="692"/>
        <v>PDP'!</v>
      </c>
      <c r="F2944" s="34" t="str">
        <f t="shared" si="693"/>
        <v>C:\Users\jaime.benazar\Quorum Business Solutions\Ecopetrol Prometeo - Documents\Planning Space Implementation\3. Analysis &amp; Design\Design\FC22\DRR Jaime\QUIFA-CAJÚA\Cajua\[CAJUA_CF_SEC_New_27-Feb-2024Rev3.xlsx]D-PDP'!</v>
      </c>
      <c r="G2944" s="32" t="s">
        <v>117</v>
      </c>
      <c r="H2944" s="33">
        <f t="shared" si="694"/>
        <v>28</v>
      </c>
      <c r="I2944" s="33" t="str">
        <f t="shared" si="695"/>
        <v>='C:\Users\jaime.benazar\Quorum Business Solutions\Ecopetrol Prometeo - Documents\Planning Space Implementation\3. Analysis &amp; Design\Design\FC22\DRR Jaime\QUIFA-CAJÚA\Cajua\[CAJUA_CF_SEC_New_27-Feb-2024Rev3.xlsx]D-PDP'!$DT$28</v>
      </c>
      <c r="J2944" s="37" t="s">
        <v>3311</v>
      </c>
    </row>
    <row r="2945" spans="1:10" x14ac:dyDescent="0.25">
      <c r="A2945" s="32" t="s">
        <v>1</v>
      </c>
      <c r="B2945" s="32">
        <f t="shared" si="697"/>
        <v>2040</v>
      </c>
      <c r="C2945" s="33" t="s">
        <v>42</v>
      </c>
      <c r="D2945" s="34" t="s">
        <v>1999</v>
      </c>
      <c r="E2945" s="35" t="str">
        <f t="shared" si="692"/>
        <v>PDP'!</v>
      </c>
      <c r="F2945" s="34" t="str">
        <f t="shared" si="693"/>
        <v>C:\Users\jaime.benazar\Quorum Business Solutions\Ecopetrol Prometeo - Documents\Planning Space Implementation\3. Analysis &amp; Design\Design\FC22\DRR Jaime\QUIFA-CAJÚA\Cajua\[CAJUA_CF_SEC_New_27-Feb-2024Rev3.xlsx]D-PDP'!</v>
      </c>
      <c r="G2945" s="32" t="s">
        <v>117</v>
      </c>
      <c r="H2945" s="33">
        <f t="shared" si="694"/>
        <v>29</v>
      </c>
      <c r="I2945" s="33" t="str">
        <f t="shared" si="695"/>
        <v>='C:\Users\jaime.benazar\Quorum Business Solutions\Ecopetrol Prometeo - Documents\Planning Space Implementation\3. Analysis &amp; Design\Design\FC22\DRR Jaime\QUIFA-CAJÚA\Cajua\[CAJUA_CF_SEC_New_27-Feb-2024Rev3.xlsx]D-PDP'!$DT$29</v>
      </c>
      <c r="J2945" s="37" t="s">
        <v>3312</v>
      </c>
    </row>
    <row r="2946" spans="1:10" x14ac:dyDescent="0.25">
      <c r="A2946" s="32" t="s">
        <v>1</v>
      </c>
      <c r="B2946" s="32">
        <f>+B2945+1</f>
        <v>2041</v>
      </c>
      <c r="C2946" s="33" t="s">
        <v>42</v>
      </c>
      <c r="D2946" s="34" t="s">
        <v>1999</v>
      </c>
      <c r="E2946" s="35" t="str">
        <f t="shared" si="692"/>
        <v>PDP'!</v>
      </c>
      <c r="F2946" s="34" t="str">
        <f t="shared" si="693"/>
        <v>C:\Users\jaime.benazar\Quorum Business Solutions\Ecopetrol Prometeo - Documents\Planning Space Implementation\3. Analysis &amp; Design\Design\FC22\DRR Jaime\QUIFA-CAJÚA\Cajua\[CAJUA_CF_SEC_New_27-Feb-2024Rev3.xlsx]D-PDP'!</v>
      </c>
      <c r="G2946" s="32" t="s">
        <v>117</v>
      </c>
      <c r="H2946" s="33">
        <f t="shared" si="694"/>
        <v>30</v>
      </c>
      <c r="I2946" s="33" t="str">
        <f t="shared" si="695"/>
        <v>='C:\Users\jaime.benazar\Quorum Business Solutions\Ecopetrol Prometeo - Documents\Planning Space Implementation\3. Analysis &amp; Design\Design\FC22\DRR Jaime\QUIFA-CAJÚA\Cajua\[CAJUA_CF_SEC_New_27-Feb-2024Rev3.xlsx]D-PDP'!$DT$30</v>
      </c>
      <c r="J2946" s="37" t="s">
        <v>3313</v>
      </c>
    </row>
    <row r="2947" spans="1:10" x14ac:dyDescent="0.25">
      <c r="A2947" s="32" t="s">
        <v>1</v>
      </c>
      <c r="B2947" s="32">
        <f t="shared" ref="B2947:B2948" si="698">+B2946+1</f>
        <v>2042</v>
      </c>
      <c r="C2947" s="33" t="s">
        <v>42</v>
      </c>
      <c r="D2947" s="34" t="s">
        <v>1999</v>
      </c>
      <c r="E2947" s="35" t="str">
        <f t="shared" si="692"/>
        <v>PDP'!</v>
      </c>
      <c r="F2947" s="34" t="str">
        <f t="shared" si="693"/>
        <v>C:\Users\jaime.benazar\Quorum Business Solutions\Ecopetrol Prometeo - Documents\Planning Space Implementation\3. Analysis &amp; Design\Design\FC22\DRR Jaime\QUIFA-CAJÚA\Cajua\[CAJUA_CF_SEC_New_27-Feb-2024Rev3.xlsx]D-PDP'!</v>
      </c>
      <c r="G2947" s="32" t="s">
        <v>117</v>
      </c>
      <c r="H2947" s="33">
        <f t="shared" si="694"/>
        <v>31</v>
      </c>
      <c r="I2947" s="33" t="str">
        <f t="shared" si="695"/>
        <v>='C:\Users\jaime.benazar\Quorum Business Solutions\Ecopetrol Prometeo - Documents\Planning Space Implementation\3. Analysis &amp; Design\Design\FC22\DRR Jaime\QUIFA-CAJÚA\Cajua\[CAJUA_CF_SEC_New_27-Feb-2024Rev3.xlsx]D-PDP'!$DT$31</v>
      </c>
      <c r="J2947" s="37" t="s">
        <v>3314</v>
      </c>
    </row>
    <row r="2948" spans="1:10" x14ac:dyDescent="0.25">
      <c r="A2948" s="32" t="s">
        <v>1</v>
      </c>
      <c r="B2948" s="32">
        <f t="shared" si="698"/>
        <v>2043</v>
      </c>
      <c r="C2948" s="33" t="s">
        <v>42</v>
      </c>
      <c r="D2948" s="34" t="s">
        <v>1999</v>
      </c>
      <c r="E2948" s="35" t="str">
        <f t="shared" si="692"/>
        <v>PDP'!</v>
      </c>
      <c r="F2948" s="34" t="str">
        <f t="shared" si="693"/>
        <v>C:\Users\jaime.benazar\Quorum Business Solutions\Ecopetrol Prometeo - Documents\Planning Space Implementation\3. Analysis &amp; Design\Design\FC22\DRR Jaime\QUIFA-CAJÚA\Cajua\[CAJUA_CF_SEC_New_27-Feb-2024Rev3.xlsx]D-PDP'!</v>
      </c>
      <c r="G2948" s="32" t="s">
        <v>117</v>
      </c>
      <c r="H2948" s="33">
        <f t="shared" si="694"/>
        <v>32</v>
      </c>
      <c r="I2948" s="33" t="str">
        <f t="shared" si="695"/>
        <v>='C:\Users\jaime.benazar\Quorum Business Solutions\Ecopetrol Prometeo - Documents\Planning Space Implementation\3. Analysis &amp; Design\Design\FC22\DRR Jaime\QUIFA-CAJÚA\Cajua\[CAJUA_CF_SEC_New_27-Feb-2024Rev3.xlsx]D-PDP'!$DT$32</v>
      </c>
      <c r="J2948" s="37" t="s">
        <v>3315</v>
      </c>
    </row>
    <row r="2949" spans="1:10" x14ac:dyDescent="0.25">
      <c r="A2949" s="32" t="s">
        <v>1</v>
      </c>
      <c r="B2949" s="32">
        <f>+B2948+1</f>
        <v>2044</v>
      </c>
      <c r="C2949" s="33" t="s">
        <v>42</v>
      </c>
      <c r="D2949" s="34" t="s">
        <v>1999</v>
      </c>
      <c r="E2949" s="35" t="str">
        <f t="shared" ref="E2949:E2964" si="699">_xlfn.CONCAT(A2949,"'!")</f>
        <v>PDP'!</v>
      </c>
      <c r="F2949" s="34" t="str">
        <f t="shared" ref="F2949:F2964" si="700">_xlfn.CONCAT(D2949:E2949)</f>
        <v>C:\Users\jaime.benazar\Quorum Business Solutions\Ecopetrol Prometeo - Documents\Planning Space Implementation\3. Analysis &amp; Design\Design\FC22\DRR Jaime\QUIFA-CAJÚA\Cajua\[CAJUA_CF_SEC_New_27-Feb-2024Rev3.xlsx]D-PDP'!</v>
      </c>
      <c r="G2949" s="32" t="s">
        <v>117</v>
      </c>
      <c r="H2949" s="33">
        <f t="shared" ref="H2949:H2964" si="701">IF(A2949&lt;&gt;A2948,12,H2948+1)</f>
        <v>33</v>
      </c>
      <c r="I2949" s="33" t="str">
        <f t="shared" ref="I2949:I2964" si="702">_xlfn.CONCAT("='",F2949:H2949)</f>
        <v>='C:\Users\jaime.benazar\Quorum Business Solutions\Ecopetrol Prometeo - Documents\Planning Space Implementation\3. Analysis &amp; Design\Design\FC22\DRR Jaime\QUIFA-CAJÚA\Cajua\[CAJUA_CF_SEC_New_27-Feb-2024Rev3.xlsx]D-PDP'!$DT$33</v>
      </c>
      <c r="J2949" s="37" t="s">
        <v>3316</v>
      </c>
    </row>
    <row r="2950" spans="1:10" x14ac:dyDescent="0.25">
      <c r="A2950" s="32" t="s">
        <v>1</v>
      </c>
      <c r="B2950" s="32">
        <f t="shared" ref="B2950:B2964" si="703">+B2949+1</f>
        <v>2045</v>
      </c>
      <c r="C2950" s="33" t="s">
        <v>42</v>
      </c>
      <c r="D2950" s="34" t="s">
        <v>1999</v>
      </c>
      <c r="E2950" s="35" t="str">
        <f t="shared" si="699"/>
        <v>PDP'!</v>
      </c>
      <c r="F2950" s="34" t="str">
        <f t="shared" si="700"/>
        <v>C:\Users\jaime.benazar\Quorum Business Solutions\Ecopetrol Prometeo - Documents\Planning Space Implementation\3. Analysis &amp; Design\Design\FC22\DRR Jaime\QUIFA-CAJÚA\Cajua\[CAJUA_CF_SEC_New_27-Feb-2024Rev3.xlsx]D-PDP'!</v>
      </c>
      <c r="G2950" s="32" t="s">
        <v>117</v>
      </c>
      <c r="H2950" s="33">
        <f t="shared" si="701"/>
        <v>34</v>
      </c>
      <c r="I2950" s="33" t="str">
        <f t="shared" si="702"/>
        <v>='C:\Users\jaime.benazar\Quorum Business Solutions\Ecopetrol Prometeo - Documents\Planning Space Implementation\3. Analysis &amp; Design\Design\FC22\DRR Jaime\QUIFA-CAJÚA\Cajua\[CAJUA_CF_SEC_New_27-Feb-2024Rev3.xlsx]D-PDP'!$DT$34</v>
      </c>
      <c r="J2950" s="37" t="s">
        <v>3317</v>
      </c>
    </row>
    <row r="2951" spans="1:10" x14ac:dyDescent="0.25">
      <c r="A2951" s="32" t="s">
        <v>1</v>
      </c>
      <c r="B2951" s="32">
        <f t="shared" si="703"/>
        <v>2046</v>
      </c>
      <c r="C2951" s="33" t="s">
        <v>42</v>
      </c>
      <c r="D2951" s="34" t="s">
        <v>1999</v>
      </c>
      <c r="E2951" s="35" t="str">
        <f t="shared" si="699"/>
        <v>PDP'!</v>
      </c>
      <c r="F2951" s="34" t="str">
        <f t="shared" si="700"/>
        <v>C:\Users\jaime.benazar\Quorum Business Solutions\Ecopetrol Prometeo - Documents\Planning Space Implementation\3. Analysis &amp; Design\Design\FC22\DRR Jaime\QUIFA-CAJÚA\Cajua\[CAJUA_CF_SEC_New_27-Feb-2024Rev3.xlsx]D-PDP'!</v>
      </c>
      <c r="G2951" s="32" t="s">
        <v>117</v>
      </c>
      <c r="H2951" s="33">
        <f t="shared" si="701"/>
        <v>35</v>
      </c>
      <c r="I2951" s="33" t="str">
        <f t="shared" si="702"/>
        <v>='C:\Users\jaime.benazar\Quorum Business Solutions\Ecopetrol Prometeo - Documents\Planning Space Implementation\3. Analysis &amp; Design\Design\FC22\DRR Jaime\QUIFA-CAJÚA\Cajua\[CAJUA_CF_SEC_New_27-Feb-2024Rev3.xlsx]D-PDP'!$DT$35</v>
      </c>
      <c r="J2951" s="37" t="s">
        <v>3318</v>
      </c>
    </row>
    <row r="2952" spans="1:10" x14ac:dyDescent="0.25">
      <c r="A2952" s="32" t="s">
        <v>1</v>
      </c>
      <c r="B2952" s="32">
        <f t="shared" si="703"/>
        <v>2047</v>
      </c>
      <c r="C2952" s="33" t="s">
        <v>42</v>
      </c>
      <c r="D2952" s="34" t="s">
        <v>1999</v>
      </c>
      <c r="E2952" s="35" t="str">
        <f t="shared" si="699"/>
        <v>PDP'!</v>
      </c>
      <c r="F2952" s="34" t="str">
        <f t="shared" si="700"/>
        <v>C:\Users\jaime.benazar\Quorum Business Solutions\Ecopetrol Prometeo - Documents\Planning Space Implementation\3. Analysis &amp; Design\Design\FC22\DRR Jaime\QUIFA-CAJÚA\Cajua\[CAJUA_CF_SEC_New_27-Feb-2024Rev3.xlsx]D-PDP'!</v>
      </c>
      <c r="G2952" s="32" t="s">
        <v>117</v>
      </c>
      <c r="H2952" s="33">
        <f t="shared" si="701"/>
        <v>36</v>
      </c>
      <c r="I2952" s="33" t="str">
        <f t="shared" si="702"/>
        <v>='C:\Users\jaime.benazar\Quorum Business Solutions\Ecopetrol Prometeo - Documents\Planning Space Implementation\3. Analysis &amp; Design\Design\FC22\DRR Jaime\QUIFA-CAJÚA\Cajua\[CAJUA_CF_SEC_New_27-Feb-2024Rev3.xlsx]D-PDP'!$DT$36</v>
      </c>
      <c r="J2952" s="37" t="s">
        <v>3319</v>
      </c>
    </row>
    <row r="2953" spans="1:10" x14ac:dyDescent="0.25">
      <c r="A2953" s="32" t="s">
        <v>1</v>
      </c>
      <c r="B2953" s="32">
        <f t="shared" si="703"/>
        <v>2048</v>
      </c>
      <c r="C2953" s="33" t="s">
        <v>42</v>
      </c>
      <c r="D2953" s="34" t="s">
        <v>1999</v>
      </c>
      <c r="E2953" s="35" t="str">
        <f t="shared" si="699"/>
        <v>PDP'!</v>
      </c>
      <c r="F2953" s="34" t="str">
        <f t="shared" si="700"/>
        <v>C:\Users\jaime.benazar\Quorum Business Solutions\Ecopetrol Prometeo - Documents\Planning Space Implementation\3. Analysis &amp; Design\Design\FC22\DRR Jaime\QUIFA-CAJÚA\Cajua\[CAJUA_CF_SEC_New_27-Feb-2024Rev3.xlsx]D-PDP'!</v>
      </c>
      <c r="G2953" s="32" t="s">
        <v>117</v>
      </c>
      <c r="H2953" s="33">
        <f t="shared" si="701"/>
        <v>37</v>
      </c>
      <c r="I2953" s="33" t="str">
        <f t="shared" si="702"/>
        <v>='C:\Users\jaime.benazar\Quorum Business Solutions\Ecopetrol Prometeo - Documents\Planning Space Implementation\3. Analysis &amp; Design\Design\FC22\DRR Jaime\QUIFA-CAJÚA\Cajua\[CAJUA_CF_SEC_New_27-Feb-2024Rev3.xlsx]D-PDP'!$DT$37</v>
      </c>
      <c r="J2953" s="37" t="s">
        <v>3320</v>
      </c>
    </row>
    <row r="2954" spans="1:10" x14ac:dyDescent="0.25">
      <c r="A2954" s="32" t="s">
        <v>1</v>
      </c>
      <c r="B2954" s="32">
        <f t="shared" si="703"/>
        <v>2049</v>
      </c>
      <c r="C2954" s="33" t="s">
        <v>42</v>
      </c>
      <c r="D2954" s="34" t="s">
        <v>1999</v>
      </c>
      <c r="E2954" s="35" t="str">
        <f t="shared" si="699"/>
        <v>PDP'!</v>
      </c>
      <c r="F2954" s="34" t="str">
        <f t="shared" si="700"/>
        <v>C:\Users\jaime.benazar\Quorum Business Solutions\Ecopetrol Prometeo - Documents\Planning Space Implementation\3. Analysis &amp; Design\Design\FC22\DRR Jaime\QUIFA-CAJÚA\Cajua\[CAJUA_CF_SEC_New_27-Feb-2024Rev3.xlsx]D-PDP'!</v>
      </c>
      <c r="G2954" s="32" t="s">
        <v>117</v>
      </c>
      <c r="H2954" s="33">
        <f t="shared" si="701"/>
        <v>38</v>
      </c>
      <c r="I2954" s="33" t="str">
        <f t="shared" si="702"/>
        <v>='C:\Users\jaime.benazar\Quorum Business Solutions\Ecopetrol Prometeo - Documents\Planning Space Implementation\3. Analysis &amp; Design\Design\FC22\DRR Jaime\QUIFA-CAJÚA\Cajua\[CAJUA_CF_SEC_New_27-Feb-2024Rev3.xlsx]D-PDP'!$DT$38</v>
      </c>
      <c r="J2954" s="37" t="s">
        <v>3321</v>
      </c>
    </row>
    <row r="2955" spans="1:10" x14ac:dyDescent="0.25">
      <c r="A2955" s="32" t="s">
        <v>1</v>
      </c>
      <c r="B2955" s="32">
        <f t="shared" si="703"/>
        <v>2050</v>
      </c>
      <c r="C2955" s="33" t="s">
        <v>42</v>
      </c>
      <c r="D2955" s="34" t="s">
        <v>1999</v>
      </c>
      <c r="E2955" s="35" t="str">
        <f t="shared" si="699"/>
        <v>PDP'!</v>
      </c>
      <c r="F2955" s="34" t="str">
        <f t="shared" si="700"/>
        <v>C:\Users\jaime.benazar\Quorum Business Solutions\Ecopetrol Prometeo - Documents\Planning Space Implementation\3. Analysis &amp; Design\Design\FC22\DRR Jaime\QUIFA-CAJÚA\Cajua\[CAJUA_CF_SEC_New_27-Feb-2024Rev3.xlsx]D-PDP'!</v>
      </c>
      <c r="G2955" s="32" t="s">
        <v>117</v>
      </c>
      <c r="H2955" s="33">
        <f t="shared" si="701"/>
        <v>39</v>
      </c>
      <c r="I2955" s="33" t="str">
        <f t="shared" si="702"/>
        <v>='C:\Users\jaime.benazar\Quorum Business Solutions\Ecopetrol Prometeo - Documents\Planning Space Implementation\3. Analysis &amp; Design\Design\FC22\DRR Jaime\QUIFA-CAJÚA\Cajua\[CAJUA_CF_SEC_New_27-Feb-2024Rev3.xlsx]D-PDP'!$DT$39</v>
      </c>
      <c r="J2955" s="37" t="s">
        <v>3322</v>
      </c>
    </row>
    <row r="2956" spans="1:10" x14ac:dyDescent="0.25">
      <c r="A2956" s="32" t="s">
        <v>1</v>
      </c>
      <c r="B2956" s="32">
        <f t="shared" si="703"/>
        <v>2051</v>
      </c>
      <c r="C2956" s="33" t="s">
        <v>42</v>
      </c>
      <c r="D2956" s="34" t="s">
        <v>1999</v>
      </c>
      <c r="E2956" s="35" t="str">
        <f t="shared" si="699"/>
        <v>PDP'!</v>
      </c>
      <c r="F2956" s="34" t="str">
        <f t="shared" si="700"/>
        <v>C:\Users\jaime.benazar\Quorum Business Solutions\Ecopetrol Prometeo - Documents\Planning Space Implementation\3. Analysis &amp; Design\Design\FC22\DRR Jaime\QUIFA-CAJÚA\Cajua\[CAJUA_CF_SEC_New_27-Feb-2024Rev3.xlsx]D-PDP'!</v>
      </c>
      <c r="G2956" s="32" t="s">
        <v>117</v>
      </c>
      <c r="H2956" s="33">
        <f t="shared" si="701"/>
        <v>40</v>
      </c>
      <c r="I2956" s="33" t="str">
        <f t="shared" si="702"/>
        <v>='C:\Users\jaime.benazar\Quorum Business Solutions\Ecopetrol Prometeo - Documents\Planning Space Implementation\3. Analysis &amp; Design\Design\FC22\DRR Jaime\QUIFA-CAJÚA\Cajua\[CAJUA_CF_SEC_New_27-Feb-2024Rev3.xlsx]D-PDP'!$DT$40</v>
      </c>
      <c r="J2956" s="37" t="s">
        <v>3323</v>
      </c>
    </row>
    <row r="2957" spans="1:10" x14ac:dyDescent="0.25">
      <c r="A2957" s="32" t="s">
        <v>1</v>
      </c>
      <c r="B2957" s="32">
        <f t="shared" si="703"/>
        <v>2052</v>
      </c>
      <c r="C2957" s="33" t="s">
        <v>42</v>
      </c>
      <c r="D2957" s="34" t="s">
        <v>1999</v>
      </c>
      <c r="E2957" s="35" t="str">
        <f t="shared" si="699"/>
        <v>PDP'!</v>
      </c>
      <c r="F2957" s="34" t="str">
        <f t="shared" si="700"/>
        <v>C:\Users\jaime.benazar\Quorum Business Solutions\Ecopetrol Prometeo - Documents\Planning Space Implementation\3. Analysis &amp; Design\Design\FC22\DRR Jaime\QUIFA-CAJÚA\Cajua\[CAJUA_CF_SEC_New_27-Feb-2024Rev3.xlsx]D-PDP'!</v>
      </c>
      <c r="G2957" s="32" t="s">
        <v>117</v>
      </c>
      <c r="H2957" s="33">
        <f t="shared" si="701"/>
        <v>41</v>
      </c>
      <c r="I2957" s="33" t="str">
        <f t="shared" si="702"/>
        <v>='C:\Users\jaime.benazar\Quorum Business Solutions\Ecopetrol Prometeo - Documents\Planning Space Implementation\3. Analysis &amp; Design\Design\FC22\DRR Jaime\QUIFA-CAJÚA\Cajua\[CAJUA_CF_SEC_New_27-Feb-2024Rev3.xlsx]D-PDP'!$DT$41</v>
      </c>
      <c r="J2957" s="37" t="s">
        <v>3324</v>
      </c>
    </row>
    <row r="2958" spans="1:10" x14ac:dyDescent="0.25">
      <c r="A2958" s="32" t="s">
        <v>1</v>
      </c>
      <c r="B2958" s="32">
        <f t="shared" si="703"/>
        <v>2053</v>
      </c>
      <c r="C2958" s="33" t="s">
        <v>42</v>
      </c>
      <c r="D2958" s="34" t="s">
        <v>1999</v>
      </c>
      <c r="E2958" s="35" t="str">
        <f t="shared" si="699"/>
        <v>PDP'!</v>
      </c>
      <c r="F2958" s="34" t="str">
        <f t="shared" si="700"/>
        <v>C:\Users\jaime.benazar\Quorum Business Solutions\Ecopetrol Prometeo - Documents\Planning Space Implementation\3. Analysis &amp; Design\Design\FC22\DRR Jaime\QUIFA-CAJÚA\Cajua\[CAJUA_CF_SEC_New_27-Feb-2024Rev3.xlsx]D-PDP'!</v>
      </c>
      <c r="G2958" s="32" t="s">
        <v>117</v>
      </c>
      <c r="H2958" s="33">
        <f t="shared" si="701"/>
        <v>42</v>
      </c>
      <c r="I2958" s="33" t="str">
        <f t="shared" si="702"/>
        <v>='C:\Users\jaime.benazar\Quorum Business Solutions\Ecopetrol Prometeo - Documents\Planning Space Implementation\3. Analysis &amp; Design\Design\FC22\DRR Jaime\QUIFA-CAJÚA\Cajua\[CAJUA_CF_SEC_New_27-Feb-2024Rev3.xlsx]D-PDP'!$DT$42</v>
      </c>
      <c r="J2958" s="37" t="s">
        <v>3325</v>
      </c>
    </row>
    <row r="2959" spans="1:10" x14ac:dyDescent="0.25">
      <c r="A2959" s="32" t="s">
        <v>1</v>
      </c>
      <c r="B2959" s="32">
        <f t="shared" si="703"/>
        <v>2054</v>
      </c>
      <c r="C2959" s="33" t="s">
        <v>42</v>
      </c>
      <c r="D2959" s="34" t="s">
        <v>1999</v>
      </c>
      <c r="E2959" s="35" t="str">
        <f t="shared" si="699"/>
        <v>PDP'!</v>
      </c>
      <c r="F2959" s="34" t="str">
        <f t="shared" si="700"/>
        <v>C:\Users\jaime.benazar\Quorum Business Solutions\Ecopetrol Prometeo - Documents\Planning Space Implementation\3. Analysis &amp; Design\Design\FC22\DRR Jaime\QUIFA-CAJÚA\Cajua\[CAJUA_CF_SEC_New_27-Feb-2024Rev3.xlsx]D-PDP'!</v>
      </c>
      <c r="G2959" s="32" t="s">
        <v>117</v>
      </c>
      <c r="H2959" s="33">
        <f t="shared" si="701"/>
        <v>43</v>
      </c>
      <c r="I2959" s="33" t="str">
        <f t="shared" si="702"/>
        <v>='C:\Users\jaime.benazar\Quorum Business Solutions\Ecopetrol Prometeo - Documents\Planning Space Implementation\3. Analysis &amp; Design\Design\FC22\DRR Jaime\QUIFA-CAJÚA\Cajua\[CAJUA_CF_SEC_New_27-Feb-2024Rev3.xlsx]D-PDP'!$DT$43</v>
      </c>
      <c r="J2959" s="37" t="s">
        <v>3326</v>
      </c>
    </row>
    <row r="2960" spans="1:10" x14ac:dyDescent="0.25">
      <c r="A2960" s="32" t="s">
        <v>1</v>
      </c>
      <c r="B2960" s="32">
        <f t="shared" si="703"/>
        <v>2055</v>
      </c>
      <c r="C2960" s="33" t="s">
        <v>42</v>
      </c>
      <c r="D2960" s="34" t="s">
        <v>1999</v>
      </c>
      <c r="E2960" s="35" t="str">
        <f t="shared" si="699"/>
        <v>PDP'!</v>
      </c>
      <c r="F2960" s="34" t="str">
        <f t="shared" si="700"/>
        <v>C:\Users\jaime.benazar\Quorum Business Solutions\Ecopetrol Prometeo - Documents\Planning Space Implementation\3. Analysis &amp; Design\Design\FC22\DRR Jaime\QUIFA-CAJÚA\Cajua\[CAJUA_CF_SEC_New_27-Feb-2024Rev3.xlsx]D-PDP'!</v>
      </c>
      <c r="G2960" s="32" t="s">
        <v>117</v>
      </c>
      <c r="H2960" s="33">
        <f t="shared" si="701"/>
        <v>44</v>
      </c>
      <c r="I2960" s="33" t="str">
        <f t="shared" si="702"/>
        <v>='C:\Users\jaime.benazar\Quorum Business Solutions\Ecopetrol Prometeo - Documents\Planning Space Implementation\3. Analysis &amp; Design\Design\FC22\DRR Jaime\QUIFA-CAJÚA\Cajua\[CAJUA_CF_SEC_New_27-Feb-2024Rev3.xlsx]D-PDP'!$DT$44</v>
      </c>
      <c r="J2960" s="37" t="s">
        <v>3327</v>
      </c>
    </row>
    <row r="2961" spans="1:10" x14ac:dyDescent="0.25">
      <c r="A2961" s="32" t="s">
        <v>1</v>
      </c>
      <c r="B2961" s="32">
        <f t="shared" si="703"/>
        <v>2056</v>
      </c>
      <c r="C2961" s="33" t="s">
        <v>42</v>
      </c>
      <c r="D2961" s="34" t="s">
        <v>1999</v>
      </c>
      <c r="E2961" s="35" t="str">
        <f t="shared" si="699"/>
        <v>PDP'!</v>
      </c>
      <c r="F2961" s="34" t="str">
        <f t="shared" si="700"/>
        <v>C:\Users\jaime.benazar\Quorum Business Solutions\Ecopetrol Prometeo - Documents\Planning Space Implementation\3. Analysis &amp; Design\Design\FC22\DRR Jaime\QUIFA-CAJÚA\Cajua\[CAJUA_CF_SEC_New_27-Feb-2024Rev3.xlsx]D-PDP'!</v>
      </c>
      <c r="G2961" s="32" t="s">
        <v>117</v>
      </c>
      <c r="H2961" s="33">
        <f t="shared" si="701"/>
        <v>45</v>
      </c>
      <c r="I2961" s="33" t="str">
        <f t="shared" si="702"/>
        <v>='C:\Users\jaime.benazar\Quorum Business Solutions\Ecopetrol Prometeo - Documents\Planning Space Implementation\3. Analysis &amp; Design\Design\FC22\DRR Jaime\QUIFA-CAJÚA\Cajua\[CAJUA_CF_SEC_New_27-Feb-2024Rev3.xlsx]D-PDP'!$DT$45</v>
      </c>
      <c r="J2961" s="37" t="s">
        <v>3328</v>
      </c>
    </row>
    <row r="2962" spans="1:10" x14ac:dyDescent="0.25">
      <c r="A2962" s="32" t="s">
        <v>1</v>
      </c>
      <c r="B2962" s="32">
        <f t="shared" si="703"/>
        <v>2057</v>
      </c>
      <c r="C2962" s="33" t="s">
        <v>42</v>
      </c>
      <c r="D2962" s="34" t="s">
        <v>1999</v>
      </c>
      <c r="E2962" s="35" t="str">
        <f t="shared" si="699"/>
        <v>PDP'!</v>
      </c>
      <c r="F2962" s="34" t="str">
        <f t="shared" si="700"/>
        <v>C:\Users\jaime.benazar\Quorum Business Solutions\Ecopetrol Prometeo - Documents\Planning Space Implementation\3. Analysis &amp; Design\Design\FC22\DRR Jaime\QUIFA-CAJÚA\Cajua\[CAJUA_CF_SEC_New_27-Feb-2024Rev3.xlsx]D-PDP'!</v>
      </c>
      <c r="G2962" s="32" t="s">
        <v>117</v>
      </c>
      <c r="H2962" s="33">
        <f t="shared" si="701"/>
        <v>46</v>
      </c>
      <c r="I2962" s="33" t="str">
        <f t="shared" si="702"/>
        <v>='C:\Users\jaime.benazar\Quorum Business Solutions\Ecopetrol Prometeo - Documents\Planning Space Implementation\3. Analysis &amp; Design\Design\FC22\DRR Jaime\QUIFA-CAJÚA\Cajua\[CAJUA_CF_SEC_New_27-Feb-2024Rev3.xlsx]D-PDP'!$DT$46</v>
      </c>
      <c r="J2962" s="37" t="s">
        <v>3329</v>
      </c>
    </row>
    <row r="2963" spans="1:10" x14ac:dyDescent="0.25">
      <c r="A2963" s="32" t="s">
        <v>1</v>
      </c>
      <c r="B2963" s="32">
        <f t="shared" si="703"/>
        <v>2058</v>
      </c>
      <c r="C2963" s="33" t="s">
        <v>42</v>
      </c>
      <c r="D2963" s="34" t="s">
        <v>1999</v>
      </c>
      <c r="E2963" s="35" t="str">
        <f t="shared" si="699"/>
        <v>PDP'!</v>
      </c>
      <c r="F2963" s="34" t="str">
        <f t="shared" si="700"/>
        <v>C:\Users\jaime.benazar\Quorum Business Solutions\Ecopetrol Prometeo - Documents\Planning Space Implementation\3. Analysis &amp; Design\Design\FC22\DRR Jaime\QUIFA-CAJÚA\Cajua\[CAJUA_CF_SEC_New_27-Feb-2024Rev3.xlsx]D-PDP'!</v>
      </c>
      <c r="G2963" s="32" t="s">
        <v>117</v>
      </c>
      <c r="H2963" s="33">
        <f t="shared" si="701"/>
        <v>47</v>
      </c>
      <c r="I2963" s="33" t="str">
        <f t="shared" si="702"/>
        <v>='C:\Users\jaime.benazar\Quorum Business Solutions\Ecopetrol Prometeo - Documents\Planning Space Implementation\3. Analysis &amp; Design\Design\FC22\DRR Jaime\QUIFA-CAJÚA\Cajua\[CAJUA_CF_SEC_New_27-Feb-2024Rev3.xlsx]D-PDP'!$DT$47</v>
      </c>
      <c r="J2963" s="37" t="s">
        <v>3330</v>
      </c>
    </row>
    <row r="2964" spans="1:10" x14ac:dyDescent="0.25">
      <c r="A2964" s="32" t="s">
        <v>1</v>
      </c>
      <c r="B2964" s="32">
        <f t="shared" si="703"/>
        <v>2059</v>
      </c>
      <c r="C2964" s="33" t="s">
        <v>42</v>
      </c>
      <c r="D2964" s="34" t="s">
        <v>1999</v>
      </c>
      <c r="E2964" s="35" t="str">
        <f t="shared" si="699"/>
        <v>PDP'!</v>
      </c>
      <c r="F2964" s="34" t="str">
        <f t="shared" si="700"/>
        <v>C:\Users\jaime.benazar\Quorum Business Solutions\Ecopetrol Prometeo - Documents\Planning Space Implementation\3. Analysis &amp; Design\Design\FC22\DRR Jaime\QUIFA-CAJÚA\Cajua\[CAJUA_CF_SEC_New_27-Feb-2024Rev3.xlsx]D-PDP'!</v>
      </c>
      <c r="G2964" s="32" t="s">
        <v>117</v>
      </c>
      <c r="H2964" s="33">
        <f t="shared" si="701"/>
        <v>48</v>
      </c>
      <c r="I2964" s="33" t="str">
        <f t="shared" si="702"/>
        <v>='C:\Users\jaime.benazar\Quorum Business Solutions\Ecopetrol Prometeo - Documents\Planning Space Implementation\3. Analysis &amp; Design\Design\FC22\DRR Jaime\QUIFA-CAJÚA\Cajua\[CAJUA_CF_SEC_New_27-Feb-2024Rev3.xlsx]D-PDP'!$DT$48</v>
      </c>
      <c r="J2964" s="37" t="s">
        <v>3331</v>
      </c>
    </row>
    <row r="2965" spans="1:10" x14ac:dyDescent="0.25">
      <c r="A2965" s="32" t="s">
        <v>28</v>
      </c>
      <c r="B2965" s="32"/>
      <c r="C2965" s="33" t="s">
        <v>42</v>
      </c>
      <c r="D2965" s="34"/>
      <c r="E2965" s="35"/>
      <c r="F2965" s="34"/>
      <c r="G2965" s="32"/>
      <c r="H2965" s="33"/>
      <c r="I2965" s="33"/>
      <c r="J2965" s="33"/>
    </row>
    <row r="2966" spans="1:10" x14ac:dyDescent="0.25">
      <c r="A2966" s="32" t="s">
        <v>2</v>
      </c>
      <c r="B2966" s="32">
        <v>2023</v>
      </c>
      <c r="C2966" s="33" t="s">
        <v>42</v>
      </c>
      <c r="D2966" s="34" t="s">
        <v>1999</v>
      </c>
      <c r="E2966" s="35" t="str">
        <f t="shared" si="692"/>
        <v>PNP'!</v>
      </c>
      <c r="F2966" s="34" t="str">
        <f t="shared" si="693"/>
        <v>C:\Users\jaime.benazar\Quorum Business Solutions\Ecopetrol Prometeo - Documents\Planning Space Implementation\3. Analysis &amp; Design\Design\FC22\DRR Jaime\QUIFA-CAJÚA\Cajua\[CAJUA_CF_SEC_New_27-Feb-2024Rev3.xlsx]D-PNP'!</v>
      </c>
      <c r="G2966" s="32" t="s">
        <v>117</v>
      </c>
      <c r="H2966" s="33">
        <v>12</v>
      </c>
      <c r="I2966" s="33" t="str">
        <f t="shared" ref="I2966:I2986" si="704">_xlfn.CONCAT("='",F2966:H2966)</f>
        <v>='C:\Users\jaime.benazar\Quorum Business Solutions\Ecopetrol Prometeo - Documents\Planning Space Implementation\3. Analysis &amp; Design\Design\FC22\DRR Jaime\QUIFA-CAJÚA\Cajua\[CAJUA_CF_SEC_New_27-Feb-2024Rev3.xlsx]D-PNP'!$DT$12</v>
      </c>
      <c r="J2966" s="37" t="s">
        <v>3332</v>
      </c>
    </row>
    <row r="2967" spans="1:10" x14ac:dyDescent="0.25">
      <c r="A2967" s="32" t="s">
        <v>2</v>
      </c>
      <c r="B2967" s="32">
        <f>+B2966+1</f>
        <v>2024</v>
      </c>
      <c r="C2967" s="33" t="s">
        <v>42</v>
      </c>
      <c r="D2967" s="34" t="s">
        <v>1999</v>
      </c>
      <c r="E2967" s="35" t="str">
        <f t="shared" si="692"/>
        <v>PNP'!</v>
      </c>
      <c r="F2967" s="34" t="str">
        <f t="shared" si="693"/>
        <v>C:\Users\jaime.benazar\Quorum Business Solutions\Ecopetrol Prometeo - Documents\Planning Space Implementation\3. Analysis &amp; Design\Design\FC22\DRR Jaime\QUIFA-CAJÚA\Cajua\[CAJUA_CF_SEC_New_27-Feb-2024Rev3.xlsx]D-PNP'!</v>
      </c>
      <c r="G2967" s="32" t="s">
        <v>117</v>
      </c>
      <c r="H2967" s="33">
        <f t="shared" ref="H2967:H2986" si="705">IF(A2967&lt;&gt;A2966,12,H2966+1)</f>
        <v>13</v>
      </c>
      <c r="I2967" s="33" t="str">
        <f t="shared" si="704"/>
        <v>='C:\Users\jaime.benazar\Quorum Business Solutions\Ecopetrol Prometeo - Documents\Planning Space Implementation\3. Analysis &amp; Design\Design\FC22\DRR Jaime\QUIFA-CAJÚA\Cajua\[CAJUA_CF_SEC_New_27-Feb-2024Rev3.xlsx]D-PNP'!$DT$13</v>
      </c>
      <c r="J2967" s="37" t="s">
        <v>3333</v>
      </c>
    </row>
    <row r="2968" spans="1:10" x14ac:dyDescent="0.25">
      <c r="A2968" s="32" t="s">
        <v>2</v>
      </c>
      <c r="B2968" s="32">
        <f t="shared" ref="B2968:B2979" si="706">+B2967+1</f>
        <v>2025</v>
      </c>
      <c r="C2968" s="33" t="s">
        <v>42</v>
      </c>
      <c r="D2968" s="34" t="s">
        <v>1999</v>
      </c>
      <c r="E2968" s="35" t="str">
        <f t="shared" si="692"/>
        <v>PNP'!</v>
      </c>
      <c r="F2968" s="34" t="str">
        <f t="shared" si="693"/>
        <v>C:\Users\jaime.benazar\Quorum Business Solutions\Ecopetrol Prometeo - Documents\Planning Space Implementation\3. Analysis &amp; Design\Design\FC22\DRR Jaime\QUIFA-CAJÚA\Cajua\[CAJUA_CF_SEC_New_27-Feb-2024Rev3.xlsx]D-PNP'!</v>
      </c>
      <c r="G2968" s="32" t="s">
        <v>117</v>
      </c>
      <c r="H2968" s="33">
        <f t="shared" si="705"/>
        <v>14</v>
      </c>
      <c r="I2968" s="33" t="str">
        <f t="shared" si="704"/>
        <v>='C:\Users\jaime.benazar\Quorum Business Solutions\Ecopetrol Prometeo - Documents\Planning Space Implementation\3. Analysis &amp; Design\Design\FC22\DRR Jaime\QUIFA-CAJÚA\Cajua\[CAJUA_CF_SEC_New_27-Feb-2024Rev3.xlsx]D-PNP'!$DT$14</v>
      </c>
      <c r="J2968" s="37" t="s">
        <v>3334</v>
      </c>
    </row>
    <row r="2969" spans="1:10" x14ac:dyDescent="0.25">
      <c r="A2969" s="32" t="s">
        <v>2</v>
      </c>
      <c r="B2969" s="32">
        <f t="shared" si="706"/>
        <v>2026</v>
      </c>
      <c r="C2969" s="33" t="s">
        <v>42</v>
      </c>
      <c r="D2969" s="34" t="s">
        <v>1999</v>
      </c>
      <c r="E2969" s="35" t="str">
        <f t="shared" si="692"/>
        <v>PNP'!</v>
      </c>
      <c r="F2969" s="34" t="str">
        <f t="shared" si="693"/>
        <v>C:\Users\jaime.benazar\Quorum Business Solutions\Ecopetrol Prometeo - Documents\Planning Space Implementation\3. Analysis &amp; Design\Design\FC22\DRR Jaime\QUIFA-CAJÚA\Cajua\[CAJUA_CF_SEC_New_27-Feb-2024Rev3.xlsx]D-PNP'!</v>
      </c>
      <c r="G2969" s="32" t="s">
        <v>117</v>
      </c>
      <c r="H2969" s="33">
        <f t="shared" si="705"/>
        <v>15</v>
      </c>
      <c r="I2969" s="33" t="str">
        <f t="shared" si="704"/>
        <v>='C:\Users\jaime.benazar\Quorum Business Solutions\Ecopetrol Prometeo - Documents\Planning Space Implementation\3. Analysis &amp; Design\Design\FC22\DRR Jaime\QUIFA-CAJÚA\Cajua\[CAJUA_CF_SEC_New_27-Feb-2024Rev3.xlsx]D-PNP'!$DT$15</v>
      </c>
      <c r="J2969" s="37" t="s">
        <v>3335</v>
      </c>
    </row>
    <row r="2970" spans="1:10" x14ac:dyDescent="0.25">
      <c r="A2970" s="32" t="s">
        <v>2</v>
      </c>
      <c r="B2970" s="32">
        <f t="shared" si="706"/>
        <v>2027</v>
      </c>
      <c r="C2970" s="33" t="s">
        <v>42</v>
      </c>
      <c r="D2970" s="34" t="s">
        <v>1999</v>
      </c>
      <c r="E2970" s="35" t="str">
        <f t="shared" si="692"/>
        <v>PNP'!</v>
      </c>
      <c r="F2970" s="34" t="str">
        <f t="shared" si="693"/>
        <v>C:\Users\jaime.benazar\Quorum Business Solutions\Ecopetrol Prometeo - Documents\Planning Space Implementation\3. Analysis &amp; Design\Design\FC22\DRR Jaime\QUIFA-CAJÚA\Cajua\[CAJUA_CF_SEC_New_27-Feb-2024Rev3.xlsx]D-PNP'!</v>
      </c>
      <c r="G2970" s="32" t="s">
        <v>117</v>
      </c>
      <c r="H2970" s="33">
        <f t="shared" si="705"/>
        <v>16</v>
      </c>
      <c r="I2970" s="33" t="str">
        <f t="shared" si="704"/>
        <v>='C:\Users\jaime.benazar\Quorum Business Solutions\Ecopetrol Prometeo - Documents\Planning Space Implementation\3. Analysis &amp; Design\Design\FC22\DRR Jaime\QUIFA-CAJÚA\Cajua\[CAJUA_CF_SEC_New_27-Feb-2024Rev3.xlsx]D-PNP'!$DT$16</v>
      </c>
      <c r="J2970" s="37" t="s">
        <v>3336</v>
      </c>
    </row>
    <row r="2971" spans="1:10" x14ac:dyDescent="0.25">
      <c r="A2971" s="32" t="s">
        <v>2</v>
      </c>
      <c r="B2971" s="32">
        <f t="shared" si="706"/>
        <v>2028</v>
      </c>
      <c r="C2971" s="33" t="s">
        <v>42</v>
      </c>
      <c r="D2971" s="34" t="s">
        <v>1999</v>
      </c>
      <c r="E2971" s="35" t="str">
        <f t="shared" si="692"/>
        <v>PNP'!</v>
      </c>
      <c r="F2971" s="34" t="str">
        <f t="shared" si="693"/>
        <v>C:\Users\jaime.benazar\Quorum Business Solutions\Ecopetrol Prometeo - Documents\Planning Space Implementation\3. Analysis &amp; Design\Design\FC22\DRR Jaime\QUIFA-CAJÚA\Cajua\[CAJUA_CF_SEC_New_27-Feb-2024Rev3.xlsx]D-PNP'!</v>
      </c>
      <c r="G2971" s="32" t="s">
        <v>117</v>
      </c>
      <c r="H2971" s="33">
        <f t="shared" si="705"/>
        <v>17</v>
      </c>
      <c r="I2971" s="33" t="str">
        <f t="shared" si="704"/>
        <v>='C:\Users\jaime.benazar\Quorum Business Solutions\Ecopetrol Prometeo - Documents\Planning Space Implementation\3. Analysis &amp; Design\Design\FC22\DRR Jaime\QUIFA-CAJÚA\Cajua\[CAJUA_CF_SEC_New_27-Feb-2024Rev3.xlsx]D-PNP'!$DT$17</v>
      </c>
      <c r="J2971" s="37" t="s">
        <v>3337</v>
      </c>
    </row>
    <row r="2972" spans="1:10" x14ac:dyDescent="0.25">
      <c r="A2972" s="32" t="s">
        <v>2</v>
      </c>
      <c r="B2972" s="32">
        <f t="shared" si="706"/>
        <v>2029</v>
      </c>
      <c r="C2972" s="33" t="s">
        <v>42</v>
      </c>
      <c r="D2972" s="34" t="s">
        <v>1999</v>
      </c>
      <c r="E2972" s="35" t="str">
        <f t="shared" si="692"/>
        <v>PNP'!</v>
      </c>
      <c r="F2972" s="34" t="str">
        <f t="shared" si="693"/>
        <v>C:\Users\jaime.benazar\Quorum Business Solutions\Ecopetrol Prometeo - Documents\Planning Space Implementation\3. Analysis &amp; Design\Design\FC22\DRR Jaime\QUIFA-CAJÚA\Cajua\[CAJUA_CF_SEC_New_27-Feb-2024Rev3.xlsx]D-PNP'!</v>
      </c>
      <c r="G2972" s="32" t="s">
        <v>117</v>
      </c>
      <c r="H2972" s="33">
        <f t="shared" si="705"/>
        <v>18</v>
      </c>
      <c r="I2972" s="33" t="str">
        <f t="shared" si="704"/>
        <v>='C:\Users\jaime.benazar\Quorum Business Solutions\Ecopetrol Prometeo - Documents\Planning Space Implementation\3. Analysis &amp; Design\Design\FC22\DRR Jaime\QUIFA-CAJÚA\Cajua\[CAJUA_CF_SEC_New_27-Feb-2024Rev3.xlsx]D-PNP'!$DT$18</v>
      </c>
      <c r="J2972" s="37" t="s">
        <v>3338</v>
      </c>
    </row>
    <row r="2973" spans="1:10" x14ac:dyDescent="0.25">
      <c r="A2973" s="32" t="s">
        <v>2</v>
      </c>
      <c r="B2973" s="32">
        <f t="shared" si="706"/>
        <v>2030</v>
      </c>
      <c r="C2973" s="33" t="s">
        <v>42</v>
      </c>
      <c r="D2973" s="34" t="s">
        <v>1999</v>
      </c>
      <c r="E2973" s="35" t="str">
        <f t="shared" si="692"/>
        <v>PNP'!</v>
      </c>
      <c r="F2973" s="34" t="str">
        <f t="shared" si="693"/>
        <v>C:\Users\jaime.benazar\Quorum Business Solutions\Ecopetrol Prometeo - Documents\Planning Space Implementation\3. Analysis &amp; Design\Design\FC22\DRR Jaime\QUIFA-CAJÚA\Cajua\[CAJUA_CF_SEC_New_27-Feb-2024Rev3.xlsx]D-PNP'!</v>
      </c>
      <c r="G2973" s="32" t="s">
        <v>117</v>
      </c>
      <c r="H2973" s="33">
        <f t="shared" si="705"/>
        <v>19</v>
      </c>
      <c r="I2973" s="33" t="str">
        <f t="shared" si="704"/>
        <v>='C:\Users\jaime.benazar\Quorum Business Solutions\Ecopetrol Prometeo - Documents\Planning Space Implementation\3. Analysis &amp; Design\Design\FC22\DRR Jaime\QUIFA-CAJÚA\Cajua\[CAJUA_CF_SEC_New_27-Feb-2024Rev3.xlsx]D-PNP'!$DT$19</v>
      </c>
      <c r="J2973" s="37" t="s">
        <v>3339</v>
      </c>
    </row>
    <row r="2974" spans="1:10" x14ac:dyDescent="0.25">
      <c r="A2974" s="32" t="s">
        <v>2</v>
      </c>
      <c r="B2974" s="32">
        <f t="shared" si="706"/>
        <v>2031</v>
      </c>
      <c r="C2974" s="33" t="s">
        <v>42</v>
      </c>
      <c r="D2974" s="34" t="s">
        <v>1999</v>
      </c>
      <c r="E2974" s="35" t="str">
        <f t="shared" si="692"/>
        <v>PNP'!</v>
      </c>
      <c r="F2974" s="34" t="str">
        <f t="shared" si="693"/>
        <v>C:\Users\jaime.benazar\Quorum Business Solutions\Ecopetrol Prometeo - Documents\Planning Space Implementation\3. Analysis &amp; Design\Design\FC22\DRR Jaime\QUIFA-CAJÚA\Cajua\[CAJUA_CF_SEC_New_27-Feb-2024Rev3.xlsx]D-PNP'!</v>
      </c>
      <c r="G2974" s="32" t="s">
        <v>117</v>
      </c>
      <c r="H2974" s="33">
        <f t="shared" si="705"/>
        <v>20</v>
      </c>
      <c r="I2974" s="33" t="str">
        <f t="shared" si="704"/>
        <v>='C:\Users\jaime.benazar\Quorum Business Solutions\Ecopetrol Prometeo - Documents\Planning Space Implementation\3. Analysis &amp; Design\Design\FC22\DRR Jaime\QUIFA-CAJÚA\Cajua\[CAJUA_CF_SEC_New_27-Feb-2024Rev3.xlsx]D-PNP'!$DT$20</v>
      </c>
      <c r="J2974" s="37" t="s">
        <v>3340</v>
      </c>
    </row>
    <row r="2975" spans="1:10" x14ac:dyDescent="0.25">
      <c r="A2975" s="32" t="s">
        <v>2</v>
      </c>
      <c r="B2975" s="32">
        <f t="shared" si="706"/>
        <v>2032</v>
      </c>
      <c r="C2975" s="33" t="s">
        <v>42</v>
      </c>
      <c r="D2975" s="34" t="s">
        <v>1999</v>
      </c>
      <c r="E2975" s="35" t="str">
        <f t="shared" si="692"/>
        <v>PNP'!</v>
      </c>
      <c r="F2975" s="34" t="str">
        <f t="shared" si="693"/>
        <v>C:\Users\jaime.benazar\Quorum Business Solutions\Ecopetrol Prometeo - Documents\Planning Space Implementation\3. Analysis &amp; Design\Design\FC22\DRR Jaime\QUIFA-CAJÚA\Cajua\[CAJUA_CF_SEC_New_27-Feb-2024Rev3.xlsx]D-PNP'!</v>
      </c>
      <c r="G2975" s="32" t="s">
        <v>117</v>
      </c>
      <c r="H2975" s="33">
        <f t="shared" si="705"/>
        <v>21</v>
      </c>
      <c r="I2975" s="33" t="str">
        <f t="shared" si="704"/>
        <v>='C:\Users\jaime.benazar\Quorum Business Solutions\Ecopetrol Prometeo - Documents\Planning Space Implementation\3. Analysis &amp; Design\Design\FC22\DRR Jaime\QUIFA-CAJÚA\Cajua\[CAJUA_CF_SEC_New_27-Feb-2024Rev3.xlsx]D-PNP'!$DT$21</v>
      </c>
      <c r="J2975" s="37" t="s">
        <v>3341</v>
      </c>
    </row>
    <row r="2976" spans="1:10" x14ac:dyDescent="0.25">
      <c r="A2976" s="32" t="s">
        <v>2</v>
      </c>
      <c r="B2976" s="32">
        <f t="shared" si="706"/>
        <v>2033</v>
      </c>
      <c r="C2976" s="33" t="s">
        <v>42</v>
      </c>
      <c r="D2976" s="34" t="s">
        <v>1999</v>
      </c>
      <c r="E2976" s="35" t="str">
        <f t="shared" si="692"/>
        <v>PNP'!</v>
      </c>
      <c r="F2976" s="34" t="str">
        <f t="shared" si="693"/>
        <v>C:\Users\jaime.benazar\Quorum Business Solutions\Ecopetrol Prometeo - Documents\Planning Space Implementation\3. Analysis &amp; Design\Design\FC22\DRR Jaime\QUIFA-CAJÚA\Cajua\[CAJUA_CF_SEC_New_27-Feb-2024Rev3.xlsx]D-PNP'!</v>
      </c>
      <c r="G2976" s="32" t="s">
        <v>117</v>
      </c>
      <c r="H2976" s="33">
        <f t="shared" si="705"/>
        <v>22</v>
      </c>
      <c r="I2976" s="33" t="str">
        <f t="shared" si="704"/>
        <v>='C:\Users\jaime.benazar\Quorum Business Solutions\Ecopetrol Prometeo - Documents\Planning Space Implementation\3. Analysis &amp; Design\Design\FC22\DRR Jaime\QUIFA-CAJÚA\Cajua\[CAJUA_CF_SEC_New_27-Feb-2024Rev3.xlsx]D-PNP'!$DT$22</v>
      </c>
      <c r="J2976" s="37" t="s">
        <v>3342</v>
      </c>
    </row>
    <row r="2977" spans="1:10" x14ac:dyDescent="0.25">
      <c r="A2977" s="32" t="s">
        <v>2</v>
      </c>
      <c r="B2977" s="32">
        <f t="shared" si="706"/>
        <v>2034</v>
      </c>
      <c r="C2977" s="33" t="s">
        <v>42</v>
      </c>
      <c r="D2977" s="34" t="s">
        <v>1999</v>
      </c>
      <c r="E2977" s="35" t="str">
        <f t="shared" si="692"/>
        <v>PNP'!</v>
      </c>
      <c r="F2977" s="34" t="str">
        <f t="shared" si="693"/>
        <v>C:\Users\jaime.benazar\Quorum Business Solutions\Ecopetrol Prometeo - Documents\Planning Space Implementation\3. Analysis &amp; Design\Design\FC22\DRR Jaime\QUIFA-CAJÚA\Cajua\[CAJUA_CF_SEC_New_27-Feb-2024Rev3.xlsx]D-PNP'!</v>
      </c>
      <c r="G2977" s="32" t="s">
        <v>117</v>
      </c>
      <c r="H2977" s="33">
        <f t="shared" si="705"/>
        <v>23</v>
      </c>
      <c r="I2977" s="33" t="str">
        <f t="shared" si="704"/>
        <v>='C:\Users\jaime.benazar\Quorum Business Solutions\Ecopetrol Prometeo - Documents\Planning Space Implementation\3. Analysis &amp; Design\Design\FC22\DRR Jaime\QUIFA-CAJÚA\Cajua\[CAJUA_CF_SEC_New_27-Feb-2024Rev3.xlsx]D-PNP'!$DT$23</v>
      </c>
      <c r="J2977" s="37" t="s">
        <v>3343</v>
      </c>
    </row>
    <row r="2978" spans="1:10" x14ac:dyDescent="0.25">
      <c r="A2978" s="32" t="s">
        <v>2</v>
      </c>
      <c r="B2978" s="32">
        <f t="shared" si="706"/>
        <v>2035</v>
      </c>
      <c r="C2978" s="33" t="s">
        <v>42</v>
      </c>
      <c r="D2978" s="34" t="s">
        <v>1999</v>
      </c>
      <c r="E2978" s="35" t="str">
        <f t="shared" si="692"/>
        <v>PNP'!</v>
      </c>
      <c r="F2978" s="34" t="str">
        <f t="shared" si="693"/>
        <v>C:\Users\jaime.benazar\Quorum Business Solutions\Ecopetrol Prometeo - Documents\Planning Space Implementation\3. Analysis &amp; Design\Design\FC22\DRR Jaime\QUIFA-CAJÚA\Cajua\[CAJUA_CF_SEC_New_27-Feb-2024Rev3.xlsx]D-PNP'!</v>
      </c>
      <c r="G2978" s="32" t="s">
        <v>117</v>
      </c>
      <c r="H2978" s="33">
        <f t="shared" si="705"/>
        <v>24</v>
      </c>
      <c r="I2978" s="33" t="str">
        <f t="shared" si="704"/>
        <v>='C:\Users\jaime.benazar\Quorum Business Solutions\Ecopetrol Prometeo - Documents\Planning Space Implementation\3. Analysis &amp; Design\Design\FC22\DRR Jaime\QUIFA-CAJÚA\Cajua\[CAJUA_CF_SEC_New_27-Feb-2024Rev3.xlsx]D-PNP'!$DT$24</v>
      </c>
      <c r="J2978" s="37" t="s">
        <v>3344</v>
      </c>
    </row>
    <row r="2979" spans="1:10" x14ac:dyDescent="0.25">
      <c r="A2979" s="32" t="s">
        <v>2</v>
      </c>
      <c r="B2979" s="32">
        <f t="shared" si="706"/>
        <v>2036</v>
      </c>
      <c r="C2979" s="33" t="s">
        <v>42</v>
      </c>
      <c r="D2979" s="34" t="s">
        <v>1999</v>
      </c>
      <c r="E2979" s="35" t="str">
        <f t="shared" si="692"/>
        <v>PNP'!</v>
      </c>
      <c r="F2979" s="34" t="str">
        <f t="shared" si="693"/>
        <v>C:\Users\jaime.benazar\Quorum Business Solutions\Ecopetrol Prometeo - Documents\Planning Space Implementation\3. Analysis &amp; Design\Design\FC22\DRR Jaime\QUIFA-CAJÚA\Cajua\[CAJUA_CF_SEC_New_27-Feb-2024Rev3.xlsx]D-PNP'!</v>
      </c>
      <c r="G2979" s="32" t="s">
        <v>117</v>
      </c>
      <c r="H2979" s="33">
        <f t="shared" si="705"/>
        <v>25</v>
      </c>
      <c r="I2979" s="33" t="str">
        <f t="shared" si="704"/>
        <v>='C:\Users\jaime.benazar\Quorum Business Solutions\Ecopetrol Prometeo - Documents\Planning Space Implementation\3. Analysis &amp; Design\Design\FC22\DRR Jaime\QUIFA-CAJÚA\Cajua\[CAJUA_CF_SEC_New_27-Feb-2024Rev3.xlsx]D-PNP'!$DT$25</v>
      </c>
      <c r="J2979" s="37" t="s">
        <v>3345</v>
      </c>
    </row>
    <row r="2980" spans="1:10" x14ac:dyDescent="0.25">
      <c r="A2980" s="32" t="s">
        <v>2</v>
      </c>
      <c r="B2980" s="32">
        <f>+B2979+1</f>
        <v>2037</v>
      </c>
      <c r="C2980" s="33" t="s">
        <v>42</v>
      </c>
      <c r="D2980" s="34" t="s">
        <v>1999</v>
      </c>
      <c r="E2980" s="35" t="str">
        <f t="shared" si="692"/>
        <v>PNP'!</v>
      </c>
      <c r="F2980" s="34" t="str">
        <f t="shared" si="693"/>
        <v>C:\Users\jaime.benazar\Quorum Business Solutions\Ecopetrol Prometeo - Documents\Planning Space Implementation\3. Analysis &amp; Design\Design\FC22\DRR Jaime\QUIFA-CAJÚA\Cajua\[CAJUA_CF_SEC_New_27-Feb-2024Rev3.xlsx]D-PNP'!</v>
      </c>
      <c r="G2980" s="32" t="s">
        <v>117</v>
      </c>
      <c r="H2980" s="33">
        <f t="shared" si="705"/>
        <v>26</v>
      </c>
      <c r="I2980" s="33" t="str">
        <f t="shared" si="704"/>
        <v>='C:\Users\jaime.benazar\Quorum Business Solutions\Ecopetrol Prometeo - Documents\Planning Space Implementation\3. Analysis &amp; Design\Design\FC22\DRR Jaime\QUIFA-CAJÚA\Cajua\[CAJUA_CF_SEC_New_27-Feb-2024Rev3.xlsx]D-PNP'!$DT$26</v>
      </c>
      <c r="J2980" s="37" t="s">
        <v>3346</v>
      </c>
    </row>
    <row r="2981" spans="1:10" x14ac:dyDescent="0.25">
      <c r="A2981" s="32" t="s">
        <v>2</v>
      </c>
      <c r="B2981" s="32">
        <f t="shared" ref="B2981:B2983" si="707">+B2980+1</f>
        <v>2038</v>
      </c>
      <c r="C2981" s="33" t="s">
        <v>42</v>
      </c>
      <c r="D2981" s="34" t="s">
        <v>1999</v>
      </c>
      <c r="E2981" s="35" t="str">
        <f t="shared" si="692"/>
        <v>PNP'!</v>
      </c>
      <c r="F2981" s="34" t="str">
        <f t="shared" si="693"/>
        <v>C:\Users\jaime.benazar\Quorum Business Solutions\Ecopetrol Prometeo - Documents\Planning Space Implementation\3. Analysis &amp; Design\Design\FC22\DRR Jaime\QUIFA-CAJÚA\Cajua\[CAJUA_CF_SEC_New_27-Feb-2024Rev3.xlsx]D-PNP'!</v>
      </c>
      <c r="G2981" s="32" t="s">
        <v>117</v>
      </c>
      <c r="H2981" s="33">
        <f t="shared" si="705"/>
        <v>27</v>
      </c>
      <c r="I2981" s="33" t="str">
        <f t="shared" si="704"/>
        <v>='C:\Users\jaime.benazar\Quorum Business Solutions\Ecopetrol Prometeo - Documents\Planning Space Implementation\3. Analysis &amp; Design\Design\FC22\DRR Jaime\QUIFA-CAJÚA\Cajua\[CAJUA_CF_SEC_New_27-Feb-2024Rev3.xlsx]D-PNP'!$DT$27</v>
      </c>
      <c r="J2981" s="37" t="s">
        <v>3347</v>
      </c>
    </row>
    <row r="2982" spans="1:10" x14ac:dyDescent="0.25">
      <c r="A2982" s="32" t="s">
        <v>2</v>
      </c>
      <c r="B2982" s="32">
        <f t="shared" si="707"/>
        <v>2039</v>
      </c>
      <c r="C2982" s="33" t="s">
        <v>42</v>
      </c>
      <c r="D2982" s="34" t="s">
        <v>1999</v>
      </c>
      <c r="E2982" s="35" t="str">
        <f t="shared" si="692"/>
        <v>PNP'!</v>
      </c>
      <c r="F2982" s="34" t="str">
        <f t="shared" si="693"/>
        <v>C:\Users\jaime.benazar\Quorum Business Solutions\Ecopetrol Prometeo - Documents\Planning Space Implementation\3. Analysis &amp; Design\Design\FC22\DRR Jaime\QUIFA-CAJÚA\Cajua\[CAJUA_CF_SEC_New_27-Feb-2024Rev3.xlsx]D-PNP'!</v>
      </c>
      <c r="G2982" s="32" t="s">
        <v>117</v>
      </c>
      <c r="H2982" s="33">
        <f t="shared" si="705"/>
        <v>28</v>
      </c>
      <c r="I2982" s="33" t="str">
        <f t="shared" si="704"/>
        <v>='C:\Users\jaime.benazar\Quorum Business Solutions\Ecopetrol Prometeo - Documents\Planning Space Implementation\3. Analysis &amp; Design\Design\FC22\DRR Jaime\QUIFA-CAJÚA\Cajua\[CAJUA_CF_SEC_New_27-Feb-2024Rev3.xlsx]D-PNP'!$DT$28</v>
      </c>
      <c r="J2982" s="37" t="s">
        <v>3348</v>
      </c>
    </row>
    <row r="2983" spans="1:10" x14ac:dyDescent="0.25">
      <c r="A2983" s="32" t="s">
        <v>2</v>
      </c>
      <c r="B2983" s="32">
        <f t="shared" si="707"/>
        <v>2040</v>
      </c>
      <c r="C2983" s="33" t="s">
        <v>42</v>
      </c>
      <c r="D2983" s="34" t="s">
        <v>1999</v>
      </c>
      <c r="E2983" s="35" t="str">
        <f t="shared" si="692"/>
        <v>PNP'!</v>
      </c>
      <c r="F2983" s="34" t="str">
        <f t="shared" si="693"/>
        <v>C:\Users\jaime.benazar\Quorum Business Solutions\Ecopetrol Prometeo - Documents\Planning Space Implementation\3. Analysis &amp; Design\Design\FC22\DRR Jaime\QUIFA-CAJÚA\Cajua\[CAJUA_CF_SEC_New_27-Feb-2024Rev3.xlsx]D-PNP'!</v>
      </c>
      <c r="G2983" s="32" t="s">
        <v>117</v>
      </c>
      <c r="H2983" s="33">
        <f t="shared" si="705"/>
        <v>29</v>
      </c>
      <c r="I2983" s="33" t="str">
        <f t="shared" si="704"/>
        <v>='C:\Users\jaime.benazar\Quorum Business Solutions\Ecopetrol Prometeo - Documents\Planning Space Implementation\3. Analysis &amp; Design\Design\FC22\DRR Jaime\QUIFA-CAJÚA\Cajua\[CAJUA_CF_SEC_New_27-Feb-2024Rev3.xlsx]D-PNP'!$DT$29</v>
      </c>
      <c r="J2983" s="37" t="s">
        <v>3349</v>
      </c>
    </row>
    <row r="2984" spans="1:10" x14ac:dyDescent="0.25">
      <c r="A2984" s="32" t="s">
        <v>2</v>
      </c>
      <c r="B2984" s="32">
        <f>+B2983+1</f>
        <v>2041</v>
      </c>
      <c r="C2984" s="33" t="s">
        <v>42</v>
      </c>
      <c r="D2984" s="34" t="s">
        <v>1999</v>
      </c>
      <c r="E2984" s="35" t="str">
        <f t="shared" si="692"/>
        <v>PNP'!</v>
      </c>
      <c r="F2984" s="34" t="str">
        <f t="shared" si="693"/>
        <v>C:\Users\jaime.benazar\Quorum Business Solutions\Ecopetrol Prometeo - Documents\Planning Space Implementation\3. Analysis &amp; Design\Design\FC22\DRR Jaime\QUIFA-CAJÚA\Cajua\[CAJUA_CF_SEC_New_27-Feb-2024Rev3.xlsx]D-PNP'!</v>
      </c>
      <c r="G2984" s="32" t="s">
        <v>117</v>
      </c>
      <c r="H2984" s="33">
        <f t="shared" si="705"/>
        <v>30</v>
      </c>
      <c r="I2984" s="33" t="str">
        <f t="shared" si="704"/>
        <v>='C:\Users\jaime.benazar\Quorum Business Solutions\Ecopetrol Prometeo - Documents\Planning Space Implementation\3. Analysis &amp; Design\Design\FC22\DRR Jaime\QUIFA-CAJÚA\Cajua\[CAJUA_CF_SEC_New_27-Feb-2024Rev3.xlsx]D-PNP'!$DT$30</v>
      </c>
      <c r="J2984" s="37" t="s">
        <v>3350</v>
      </c>
    </row>
    <row r="2985" spans="1:10" x14ac:dyDescent="0.25">
      <c r="A2985" s="32" t="s">
        <v>2</v>
      </c>
      <c r="B2985" s="32">
        <f t="shared" ref="B2985:B2986" si="708">+B2984+1</f>
        <v>2042</v>
      </c>
      <c r="C2985" s="33" t="s">
        <v>42</v>
      </c>
      <c r="D2985" s="34" t="s">
        <v>1999</v>
      </c>
      <c r="E2985" s="35" t="str">
        <f t="shared" si="692"/>
        <v>PNP'!</v>
      </c>
      <c r="F2985" s="34" t="str">
        <f t="shared" si="693"/>
        <v>C:\Users\jaime.benazar\Quorum Business Solutions\Ecopetrol Prometeo - Documents\Planning Space Implementation\3. Analysis &amp; Design\Design\FC22\DRR Jaime\QUIFA-CAJÚA\Cajua\[CAJUA_CF_SEC_New_27-Feb-2024Rev3.xlsx]D-PNP'!</v>
      </c>
      <c r="G2985" s="32" t="s">
        <v>117</v>
      </c>
      <c r="H2985" s="33">
        <f t="shared" si="705"/>
        <v>31</v>
      </c>
      <c r="I2985" s="33" t="str">
        <f t="shared" si="704"/>
        <v>='C:\Users\jaime.benazar\Quorum Business Solutions\Ecopetrol Prometeo - Documents\Planning Space Implementation\3. Analysis &amp; Design\Design\FC22\DRR Jaime\QUIFA-CAJÚA\Cajua\[CAJUA_CF_SEC_New_27-Feb-2024Rev3.xlsx]D-PNP'!$DT$31</v>
      </c>
      <c r="J2985" s="37" t="s">
        <v>3351</v>
      </c>
    </row>
    <row r="2986" spans="1:10" x14ac:dyDescent="0.25">
      <c r="A2986" s="32" t="s">
        <v>2</v>
      </c>
      <c r="B2986" s="32">
        <f t="shared" si="708"/>
        <v>2043</v>
      </c>
      <c r="C2986" s="33" t="s">
        <v>42</v>
      </c>
      <c r="D2986" s="34" t="s">
        <v>1999</v>
      </c>
      <c r="E2986" s="35" t="str">
        <f t="shared" si="692"/>
        <v>PNP'!</v>
      </c>
      <c r="F2986" s="34" t="str">
        <f t="shared" si="693"/>
        <v>C:\Users\jaime.benazar\Quorum Business Solutions\Ecopetrol Prometeo - Documents\Planning Space Implementation\3. Analysis &amp; Design\Design\FC22\DRR Jaime\QUIFA-CAJÚA\Cajua\[CAJUA_CF_SEC_New_27-Feb-2024Rev3.xlsx]D-PNP'!</v>
      </c>
      <c r="G2986" s="32" t="s">
        <v>117</v>
      </c>
      <c r="H2986" s="33">
        <f t="shared" si="705"/>
        <v>32</v>
      </c>
      <c r="I2986" s="33" t="str">
        <f t="shared" si="704"/>
        <v>='C:\Users\jaime.benazar\Quorum Business Solutions\Ecopetrol Prometeo - Documents\Planning Space Implementation\3. Analysis &amp; Design\Design\FC22\DRR Jaime\QUIFA-CAJÚA\Cajua\[CAJUA_CF_SEC_New_27-Feb-2024Rev3.xlsx]D-PNP'!$DT$32</v>
      </c>
      <c r="J2986" s="37" t="s">
        <v>3352</v>
      </c>
    </row>
    <row r="2987" spans="1:10" x14ac:dyDescent="0.25">
      <c r="A2987" s="32" t="s">
        <v>2</v>
      </c>
      <c r="B2987" s="32">
        <f>+B2986+1</f>
        <v>2044</v>
      </c>
      <c r="C2987" s="33" t="s">
        <v>42</v>
      </c>
      <c r="D2987" s="34" t="s">
        <v>1999</v>
      </c>
      <c r="E2987" s="35" t="str">
        <f t="shared" ref="E2987:E3002" si="709">_xlfn.CONCAT(A2987,"'!")</f>
        <v>PNP'!</v>
      </c>
      <c r="F2987" s="34" t="str">
        <f t="shared" ref="F2987:F3002" si="710">_xlfn.CONCAT(D2987:E2987)</f>
        <v>C:\Users\jaime.benazar\Quorum Business Solutions\Ecopetrol Prometeo - Documents\Planning Space Implementation\3. Analysis &amp; Design\Design\FC22\DRR Jaime\QUIFA-CAJÚA\Cajua\[CAJUA_CF_SEC_New_27-Feb-2024Rev3.xlsx]D-PNP'!</v>
      </c>
      <c r="G2987" s="32" t="s">
        <v>117</v>
      </c>
      <c r="H2987" s="33">
        <f t="shared" ref="H2987:H3002" si="711">IF(A2987&lt;&gt;A2986,12,H2986+1)</f>
        <v>33</v>
      </c>
      <c r="I2987" s="33" t="str">
        <f t="shared" ref="I2987:I3002" si="712">_xlfn.CONCAT("='",F2987:H2987)</f>
        <v>='C:\Users\jaime.benazar\Quorum Business Solutions\Ecopetrol Prometeo - Documents\Planning Space Implementation\3. Analysis &amp; Design\Design\FC22\DRR Jaime\QUIFA-CAJÚA\Cajua\[CAJUA_CF_SEC_New_27-Feb-2024Rev3.xlsx]D-PNP'!$DT$33</v>
      </c>
      <c r="J2987" s="37" t="s">
        <v>3353</v>
      </c>
    </row>
    <row r="2988" spans="1:10" x14ac:dyDescent="0.25">
      <c r="A2988" s="32" t="s">
        <v>2</v>
      </c>
      <c r="B2988" s="32">
        <f t="shared" ref="B2988:B3002" si="713">+B2987+1</f>
        <v>2045</v>
      </c>
      <c r="C2988" s="33" t="s">
        <v>42</v>
      </c>
      <c r="D2988" s="34" t="s">
        <v>1999</v>
      </c>
      <c r="E2988" s="35" t="str">
        <f t="shared" si="709"/>
        <v>PNP'!</v>
      </c>
      <c r="F2988" s="34" t="str">
        <f t="shared" si="710"/>
        <v>C:\Users\jaime.benazar\Quorum Business Solutions\Ecopetrol Prometeo - Documents\Planning Space Implementation\3. Analysis &amp; Design\Design\FC22\DRR Jaime\QUIFA-CAJÚA\Cajua\[CAJUA_CF_SEC_New_27-Feb-2024Rev3.xlsx]D-PNP'!</v>
      </c>
      <c r="G2988" s="32" t="s">
        <v>117</v>
      </c>
      <c r="H2988" s="33">
        <f t="shared" si="711"/>
        <v>34</v>
      </c>
      <c r="I2988" s="33" t="str">
        <f t="shared" si="712"/>
        <v>='C:\Users\jaime.benazar\Quorum Business Solutions\Ecopetrol Prometeo - Documents\Planning Space Implementation\3. Analysis &amp; Design\Design\FC22\DRR Jaime\QUIFA-CAJÚA\Cajua\[CAJUA_CF_SEC_New_27-Feb-2024Rev3.xlsx]D-PNP'!$DT$34</v>
      </c>
      <c r="J2988" s="37" t="s">
        <v>3354</v>
      </c>
    </row>
    <row r="2989" spans="1:10" x14ac:dyDescent="0.25">
      <c r="A2989" s="32" t="s">
        <v>2</v>
      </c>
      <c r="B2989" s="32">
        <f t="shared" si="713"/>
        <v>2046</v>
      </c>
      <c r="C2989" s="33" t="s">
        <v>42</v>
      </c>
      <c r="D2989" s="34" t="s">
        <v>1999</v>
      </c>
      <c r="E2989" s="35" t="str">
        <f t="shared" si="709"/>
        <v>PNP'!</v>
      </c>
      <c r="F2989" s="34" t="str">
        <f t="shared" si="710"/>
        <v>C:\Users\jaime.benazar\Quorum Business Solutions\Ecopetrol Prometeo - Documents\Planning Space Implementation\3. Analysis &amp; Design\Design\FC22\DRR Jaime\QUIFA-CAJÚA\Cajua\[CAJUA_CF_SEC_New_27-Feb-2024Rev3.xlsx]D-PNP'!</v>
      </c>
      <c r="G2989" s="32" t="s">
        <v>117</v>
      </c>
      <c r="H2989" s="33">
        <f t="shared" si="711"/>
        <v>35</v>
      </c>
      <c r="I2989" s="33" t="str">
        <f t="shared" si="712"/>
        <v>='C:\Users\jaime.benazar\Quorum Business Solutions\Ecopetrol Prometeo - Documents\Planning Space Implementation\3. Analysis &amp; Design\Design\FC22\DRR Jaime\QUIFA-CAJÚA\Cajua\[CAJUA_CF_SEC_New_27-Feb-2024Rev3.xlsx]D-PNP'!$DT$35</v>
      </c>
      <c r="J2989" s="37" t="s">
        <v>3355</v>
      </c>
    </row>
    <row r="2990" spans="1:10" x14ac:dyDescent="0.25">
      <c r="A2990" s="32" t="s">
        <v>2</v>
      </c>
      <c r="B2990" s="32">
        <f t="shared" si="713"/>
        <v>2047</v>
      </c>
      <c r="C2990" s="33" t="s">
        <v>42</v>
      </c>
      <c r="D2990" s="34" t="s">
        <v>1999</v>
      </c>
      <c r="E2990" s="35" t="str">
        <f t="shared" si="709"/>
        <v>PNP'!</v>
      </c>
      <c r="F2990" s="34" t="str">
        <f t="shared" si="710"/>
        <v>C:\Users\jaime.benazar\Quorum Business Solutions\Ecopetrol Prometeo - Documents\Planning Space Implementation\3. Analysis &amp; Design\Design\FC22\DRR Jaime\QUIFA-CAJÚA\Cajua\[CAJUA_CF_SEC_New_27-Feb-2024Rev3.xlsx]D-PNP'!</v>
      </c>
      <c r="G2990" s="32" t="s">
        <v>117</v>
      </c>
      <c r="H2990" s="33">
        <f t="shared" si="711"/>
        <v>36</v>
      </c>
      <c r="I2990" s="33" t="str">
        <f t="shared" si="712"/>
        <v>='C:\Users\jaime.benazar\Quorum Business Solutions\Ecopetrol Prometeo - Documents\Planning Space Implementation\3. Analysis &amp; Design\Design\FC22\DRR Jaime\QUIFA-CAJÚA\Cajua\[CAJUA_CF_SEC_New_27-Feb-2024Rev3.xlsx]D-PNP'!$DT$36</v>
      </c>
      <c r="J2990" s="37" t="s">
        <v>3356</v>
      </c>
    </row>
    <row r="2991" spans="1:10" x14ac:dyDescent="0.25">
      <c r="A2991" s="32" t="s">
        <v>2</v>
      </c>
      <c r="B2991" s="32">
        <f t="shared" si="713"/>
        <v>2048</v>
      </c>
      <c r="C2991" s="33" t="s">
        <v>42</v>
      </c>
      <c r="D2991" s="34" t="s">
        <v>1999</v>
      </c>
      <c r="E2991" s="35" t="str">
        <f t="shared" si="709"/>
        <v>PNP'!</v>
      </c>
      <c r="F2991" s="34" t="str">
        <f t="shared" si="710"/>
        <v>C:\Users\jaime.benazar\Quorum Business Solutions\Ecopetrol Prometeo - Documents\Planning Space Implementation\3. Analysis &amp; Design\Design\FC22\DRR Jaime\QUIFA-CAJÚA\Cajua\[CAJUA_CF_SEC_New_27-Feb-2024Rev3.xlsx]D-PNP'!</v>
      </c>
      <c r="G2991" s="32" t="s">
        <v>117</v>
      </c>
      <c r="H2991" s="33">
        <f t="shared" si="711"/>
        <v>37</v>
      </c>
      <c r="I2991" s="33" t="str">
        <f t="shared" si="712"/>
        <v>='C:\Users\jaime.benazar\Quorum Business Solutions\Ecopetrol Prometeo - Documents\Planning Space Implementation\3. Analysis &amp; Design\Design\FC22\DRR Jaime\QUIFA-CAJÚA\Cajua\[CAJUA_CF_SEC_New_27-Feb-2024Rev3.xlsx]D-PNP'!$DT$37</v>
      </c>
      <c r="J2991" s="37" t="s">
        <v>3357</v>
      </c>
    </row>
    <row r="2992" spans="1:10" x14ac:dyDescent="0.25">
      <c r="A2992" s="32" t="s">
        <v>2</v>
      </c>
      <c r="B2992" s="32">
        <f t="shared" si="713"/>
        <v>2049</v>
      </c>
      <c r="C2992" s="33" t="s">
        <v>42</v>
      </c>
      <c r="D2992" s="34" t="s">
        <v>1999</v>
      </c>
      <c r="E2992" s="35" t="str">
        <f t="shared" si="709"/>
        <v>PNP'!</v>
      </c>
      <c r="F2992" s="34" t="str">
        <f t="shared" si="710"/>
        <v>C:\Users\jaime.benazar\Quorum Business Solutions\Ecopetrol Prometeo - Documents\Planning Space Implementation\3. Analysis &amp; Design\Design\FC22\DRR Jaime\QUIFA-CAJÚA\Cajua\[CAJUA_CF_SEC_New_27-Feb-2024Rev3.xlsx]D-PNP'!</v>
      </c>
      <c r="G2992" s="32" t="s">
        <v>117</v>
      </c>
      <c r="H2992" s="33">
        <f t="shared" si="711"/>
        <v>38</v>
      </c>
      <c r="I2992" s="33" t="str">
        <f t="shared" si="712"/>
        <v>='C:\Users\jaime.benazar\Quorum Business Solutions\Ecopetrol Prometeo - Documents\Planning Space Implementation\3. Analysis &amp; Design\Design\FC22\DRR Jaime\QUIFA-CAJÚA\Cajua\[CAJUA_CF_SEC_New_27-Feb-2024Rev3.xlsx]D-PNP'!$DT$38</v>
      </c>
      <c r="J2992" s="37" t="s">
        <v>3358</v>
      </c>
    </row>
    <row r="2993" spans="1:10" x14ac:dyDescent="0.25">
      <c r="A2993" s="32" t="s">
        <v>2</v>
      </c>
      <c r="B2993" s="32">
        <f t="shared" si="713"/>
        <v>2050</v>
      </c>
      <c r="C2993" s="33" t="s">
        <v>42</v>
      </c>
      <c r="D2993" s="34" t="s">
        <v>1999</v>
      </c>
      <c r="E2993" s="35" t="str">
        <f t="shared" si="709"/>
        <v>PNP'!</v>
      </c>
      <c r="F2993" s="34" t="str">
        <f t="shared" si="710"/>
        <v>C:\Users\jaime.benazar\Quorum Business Solutions\Ecopetrol Prometeo - Documents\Planning Space Implementation\3. Analysis &amp; Design\Design\FC22\DRR Jaime\QUIFA-CAJÚA\Cajua\[CAJUA_CF_SEC_New_27-Feb-2024Rev3.xlsx]D-PNP'!</v>
      </c>
      <c r="G2993" s="32" t="s">
        <v>117</v>
      </c>
      <c r="H2993" s="33">
        <f t="shared" si="711"/>
        <v>39</v>
      </c>
      <c r="I2993" s="33" t="str">
        <f t="shared" si="712"/>
        <v>='C:\Users\jaime.benazar\Quorum Business Solutions\Ecopetrol Prometeo - Documents\Planning Space Implementation\3. Analysis &amp; Design\Design\FC22\DRR Jaime\QUIFA-CAJÚA\Cajua\[CAJUA_CF_SEC_New_27-Feb-2024Rev3.xlsx]D-PNP'!$DT$39</v>
      </c>
      <c r="J2993" s="37" t="s">
        <v>3359</v>
      </c>
    </row>
    <row r="2994" spans="1:10" x14ac:dyDescent="0.25">
      <c r="A2994" s="32" t="s">
        <v>2</v>
      </c>
      <c r="B2994" s="32">
        <f t="shared" si="713"/>
        <v>2051</v>
      </c>
      <c r="C2994" s="33" t="s">
        <v>42</v>
      </c>
      <c r="D2994" s="34" t="s">
        <v>1999</v>
      </c>
      <c r="E2994" s="35" t="str">
        <f t="shared" si="709"/>
        <v>PNP'!</v>
      </c>
      <c r="F2994" s="34" t="str">
        <f t="shared" si="710"/>
        <v>C:\Users\jaime.benazar\Quorum Business Solutions\Ecopetrol Prometeo - Documents\Planning Space Implementation\3. Analysis &amp; Design\Design\FC22\DRR Jaime\QUIFA-CAJÚA\Cajua\[CAJUA_CF_SEC_New_27-Feb-2024Rev3.xlsx]D-PNP'!</v>
      </c>
      <c r="G2994" s="32" t="s">
        <v>117</v>
      </c>
      <c r="H2994" s="33">
        <f t="shared" si="711"/>
        <v>40</v>
      </c>
      <c r="I2994" s="33" t="str">
        <f t="shared" si="712"/>
        <v>='C:\Users\jaime.benazar\Quorum Business Solutions\Ecopetrol Prometeo - Documents\Planning Space Implementation\3. Analysis &amp; Design\Design\FC22\DRR Jaime\QUIFA-CAJÚA\Cajua\[CAJUA_CF_SEC_New_27-Feb-2024Rev3.xlsx]D-PNP'!$DT$40</v>
      </c>
      <c r="J2994" s="37" t="s">
        <v>3360</v>
      </c>
    </row>
    <row r="2995" spans="1:10" x14ac:dyDescent="0.25">
      <c r="A2995" s="32" t="s">
        <v>2</v>
      </c>
      <c r="B2995" s="32">
        <f t="shared" si="713"/>
        <v>2052</v>
      </c>
      <c r="C2995" s="33" t="s">
        <v>42</v>
      </c>
      <c r="D2995" s="34" t="s">
        <v>1999</v>
      </c>
      <c r="E2995" s="35" t="str">
        <f t="shared" si="709"/>
        <v>PNP'!</v>
      </c>
      <c r="F2995" s="34" t="str">
        <f t="shared" si="710"/>
        <v>C:\Users\jaime.benazar\Quorum Business Solutions\Ecopetrol Prometeo - Documents\Planning Space Implementation\3. Analysis &amp; Design\Design\FC22\DRR Jaime\QUIFA-CAJÚA\Cajua\[CAJUA_CF_SEC_New_27-Feb-2024Rev3.xlsx]D-PNP'!</v>
      </c>
      <c r="G2995" s="32" t="s">
        <v>117</v>
      </c>
      <c r="H2995" s="33">
        <f t="shared" si="711"/>
        <v>41</v>
      </c>
      <c r="I2995" s="33" t="str">
        <f t="shared" si="712"/>
        <v>='C:\Users\jaime.benazar\Quorum Business Solutions\Ecopetrol Prometeo - Documents\Planning Space Implementation\3. Analysis &amp; Design\Design\FC22\DRR Jaime\QUIFA-CAJÚA\Cajua\[CAJUA_CF_SEC_New_27-Feb-2024Rev3.xlsx]D-PNP'!$DT$41</v>
      </c>
      <c r="J2995" s="37" t="s">
        <v>3361</v>
      </c>
    </row>
    <row r="2996" spans="1:10" x14ac:dyDescent="0.25">
      <c r="A2996" s="32" t="s">
        <v>2</v>
      </c>
      <c r="B2996" s="32">
        <f t="shared" si="713"/>
        <v>2053</v>
      </c>
      <c r="C2996" s="33" t="s">
        <v>42</v>
      </c>
      <c r="D2996" s="34" t="s">
        <v>1999</v>
      </c>
      <c r="E2996" s="35" t="str">
        <f t="shared" si="709"/>
        <v>PNP'!</v>
      </c>
      <c r="F2996" s="34" t="str">
        <f t="shared" si="710"/>
        <v>C:\Users\jaime.benazar\Quorum Business Solutions\Ecopetrol Prometeo - Documents\Planning Space Implementation\3. Analysis &amp; Design\Design\FC22\DRR Jaime\QUIFA-CAJÚA\Cajua\[CAJUA_CF_SEC_New_27-Feb-2024Rev3.xlsx]D-PNP'!</v>
      </c>
      <c r="G2996" s="32" t="s">
        <v>117</v>
      </c>
      <c r="H2996" s="33">
        <f t="shared" si="711"/>
        <v>42</v>
      </c>
      <c r="I2996" s="33" t="str">
        <f t="shared" si="712"/>
        <v>='C:\Users\jaime.benazar\Quorum Business Solutions\Ecopetrol Prometeo - Documents\Planning Space Implementation\3. Analysis &amp; Design\Design\FC22\DRR Jaime\QUIFA-CAJÚA\Cajua\[CAJUA_CF_SEC_New_27-Feb-2024Rev3.xlsx]D-PNP'!$DT$42</v>
      </c>
      <c r="J2996" s="37" t="s">
        <v>3362</v>
      </c>
    </row>
    <row r="2997" spans="1:10" x14ac:dyDescent="0.25">
      <c r="A2997" s="32" t="s">
        <v>2</v>
      </c>
      <c r="B2997" s="32">
        <f t="shared" si="713"/>
        <v>2054</v>
      </c>
      <c r="C2997" s="33" t="s">
        <v>42</v>
      </c>
      <c r="D2997" s="34" t="s">
        <v>1999</v>
      </c>
      <c r="E2997" s="35" t="str">
        <f t="shared" si="709"/>
        <v>PNP'!</v>
      </c>
      <c r="F2997" s="34" t="str">
        <f t="shared" si="710"/>
        <v>C:\Users\jaime.benazar\Quorum Business Solutions\Ecopetrol Prometeo - Documents\Planning Space Implementation\3. Analysis &amp; Design\Design\FC22\DRR Jaime\QUIFA-CAJÚA\Cajua\[CAJUA_CF_SEC_New_27-Feb-2024Rev3.xlsx]D-PNP'!</v>
      </c>
      <c r="G2997" s="32" t="s">
        <v>117</v>
      </c>
      <c r="H2997" s="33">
        <f t="shared" si="711"/>
        <v>43</v>
      </c>
      <c r="I2997" s="33" t="str">
        <f t="shared" si="712"/>
        <v>='C:\Users\jaime.benazar\Quorum Business Solutions\Ecopetrol Prometeo - Documents\Planning Space Implementation\3. Analysis &amp; Design\Design\FC22\DRR Jaime\QUIFA-CAJÚA\Cajua\[CAJUA_CF_SEC_New_27-Feb-2024Rev3.xlsx]D-PNP'!$DT$43</v>
      </c>
      <c r="J2997" s="37" t="s">
        <v>3363</v>
      </c>
    </row>
    <row r="2998" spans="1:10" x14ac:dyDescent="0.25">
      <c r="A2998" s="32" t="s">
        <v>2</v>
      </c>
      <c r="B2998" s="32">
        <f t="shared" si="713"/>
        <v>2055</v>
      </c>
      <c r="C2998" s="33" t="s">
        <v>42</v>
      </c>
      <c r="D2998" s="34" t="s">
        <v>1999</v>
      </c>
      <c r="E2998" s="35" t="str">
        <f t="shared" si="709"/>
        <v>PNP'!</v>
      </c>
      <c r="F2998" s="34" t="str">
        <f t="shared" si="710"/>
        <v>C:\Users\jaime.benazar\Quorum Business Solutions\Ecopetrol Prometeo - Documents\Planning Space Implementation\3. Analysis &amp; Design\Design\FC22\DRR Jaime\QUIFA-CAJÚA\Cajua\[CAJUA_CF_SEC_New_27-Feb-2024Rev3.xlsx]D-PNP'!</v>
      </c>
      <c r="G2998" s="32" t="s">
        <v>117</v>
      </c>
      <c r="H2998" s="33">
        <f t="shared" si="711"/>
        <v>44</v>
      </c>
      <c r="I2998" s="33" t="str">
        <f t="shared" si="712"/>
        <v>='C:\Users\jaime.benazar\Quorum Business Solutions\Ecopetrol Prometeo - Documents\Planning Space Implementation\3. Analysis &amp; Design\Design\FC22\DRR Jaime\QUIFA-CAJÚA\Cajua\[CAJUA_CF_SEC_New_27-Feb-2024Rev3.xlsx]D-PNP'!$DT$44</v>
      </c>
      <c r="J2998" s="37" t="s">
        <v>3364</v>
      </c>
    </row>
    <row r="2999" spans="1:10" x14ac:dyDescent="0.25">
      <c r="A2999" s="32" t="s">
        <v>2</v>
      </c>
      <c r="B2999" s="32">
        <f t="shared" si="713"/>
        <v>2056</v>
      </c>
      <c r="C2999" s="33" t="s">
        <v>42</v>
      </c>
      <c r="D2999" s="34" t="s">
        <v>1999</v>
      </c>
      <c r="E2999" s="35" t="str">
        <f t="shared" si="709"/>
        <v>PNP'!</v>
      </c>
      <c r="F2999" s="34" t="str">
        <f t="shared" si="710"/>
        <v>C:\Users\jaime.benazar\Quorum Business Solutions\Ecopetrol Prometeo - Documents\Planning Space Implementation\3. Analysis &amp; Design\Design\FC22\DRR Jaime\QUIFA-CAJÚA\Cajua\[CAJUA_CF_SEC_New_27-Feb-2024Rev3.xlsx]D-PNP'!</v>
      </c>
      <c r="G2999" s="32" t="s">
        <v>117</v>
      </c>
      <c r="H2999" s="33">
        <f t="shared" si="711"/>
        <v>45</v>
      </c>
      <c r="I2999" s="33" t="str">
        <f t="shared" si="712"/>
        <v>='C:\Users\jaime.benazar\Quorum Business Solutions\Ecopetrol Prometeo - Documents\Planning Space Implementation\3. Analysis &amp; Design\Design\FC22\DRR Jaime\QUIFA-CAJÚA\Cajua\[CAJUA_CF_SEC_New_27-Feb-2024Rev3.xlsx]D-PNP'!$DT$45</v>
      </c>
      <c r="J2999" s="37" t="s">
        <v>3365</v>
      </c>
    </row>
    <row r="3000" spans="1:10" x14ac:dyDescent="0.25">
      <c r="A3000" s="32" t="s">
        <v>2</v>
      </c>
      <c r="B3000" s="32">
        <f t="shared" si="713"/>
        <v>2057</v>
      </c>
      <c r="C3000" s="33" t="s">
        <v>42</v>
      </c>
      <c r="D3000" s="34" t="s">
        <v>1999</v>
      </c>
      <c r="E3000" s="35" t="str">
        <f t="shared" si="709"/>
        <v>PNP'!</v>
      </c>
      <c r="F3000" s="34" t="str">
        <f t="shared" si="710"/>
        <v>C:\Users\jaime.benazar\Quorum Business Solutions\Ecopetrol Prometeo - Documents\Planning Space Implementation\3. Analysis &amp; Design\Design\FC22\DRR Jaime\QUIFA-CAJÚA\Cajua\[CAJUA_CF_SEC_New_27-Feb-2024Rev3.xlsx]D-PNP'!</v>
      </c>
      <c r="G3000" s="32" t="s">
        <v>117</v>
      </c>
      <c r="H3000" s="33">
        <f t="shared" si="711"/>
        <v>46</v>
      </c>
      <c r="I3000" s="33" t="str">
        <f t="shared" si="712"/>
        <v>='C:\Users\jaime.benazar\Quorum Business Solutions\Ecopetrol Prometeo - Documents\Planning Space Implementation\3. Analysis &amp; Design\Design\FC22\DRR Jaime\QUIFA-CAJÚA\Cajua\[CAJUA_CF_SEC_New_27-Feb-2024Rev3.xlsx]D-PNP'!$DT$46</v>
      </c>
      <c r="J3000" s="37" t="s">
        <v>3366</v>
      </c>
    </row>
    <row r="3001" spans="1:10" x14ac:dyDescent="0.25">
      <c r="A3001" s="32" t="s">
        <v>2</v>
      </c>
      <c r="B3001" s="32">
        <f t="shared" si="713"/>
        <v>2058</v>
      </c>
      <c r="C3001" s="33" t="s">
        <v>42</v>
      </c>
      <c r="D3001" s="34" t="s">
        <v>1999</v>
      </c>
      <c r="E3001" s="35" t="str">
        <f t="shared" si="709"/>
        <v>PNP'!</v>
      </c>
      <c r="F3001" s="34" t="str">
        <f t="shared" si="710"/>
        <v>C:\Users\jaime.benazar\Quorum Business Solutions\Ecopetrol Prometeo - Documents\Planning Space Implementation\3. Analysis &amp; Design\Design\FC22\DRR Jaime\QUIFA-CAJÚA\Cajua\[CAJUA_CF_SEC_New_27-Feb-2024Rev3.xlsx]D-PNP'!</v>
      </c>
      <c r="G3001" s="32" t="s">
        <v>117</v>
      </c>
      <c r="H3001" s="33">
        <f t="shared" si="711"/>
        <v>47</v>
      </c>
      <c r="I3001" s="33" t="str">
        <f t="shared" si="712"/>
        <v>='C:\Users\jaime.benazar\Quorum Business Solutions\Ecopetrol Prometeo - Documents\Planning Space Implementation\3. Analysis &amp; Design\Design\FC22\DRR Jaime\QUIFA-CAJÚA\Cajua\[CAJUA_CF_SEC_New_27-Feb-2024Rev3.xlsx]D-PNP'!$DT$47</v>
      </c>
      <c r="J3001" s="37" t="s">
        <v>3367</v>
      </c>
    </row>
    <row r="3002" spans="1:10" x14ac:dyDescent="0.25">
      <c r="A3002" s="32" t="s">
        <v>2</v>
      </c>
      <c r="B3002" s="32">
        <f t="shared" si="713"/>
        <v>2059</v>
      </c>
      <c r="C3002" s="33" t="s">
        <v>42</v>
      </c>
      <c r="D3002" s="34" t="s">
        <v>1999</v>
      </c>
      <c r="E3002" s="35" t="str">
        <f t="shared" si="709"/>
        <v>PNP'!</v>
      </c>
      <c r="F3002" s="34" t="str">
        <f t="shared" si="710"/>
        <v>C:\Users\jaime.benazar\Quorum Business Solutions\Ecopetrol Prometeo - Documents\Planning Space Implementation\3. Analysis &amp; Design\Design\FC22\DRR Jaime\QUIFA-CAJÚA\Cajua\[CAJUA_CF_SEC_New_27-Feb-2024Rev3.xlsx]D-PNP'!</v>
      </c>
      <c r="G3002" s="32" t="s">
        <v>117</v>
      </c>
      <c r="H3002" s="33">
        <f t="shared" si="711"/>
        <v>48</v>
      </c>
      <c r="I3002" s="33" t="str">
        <f t="shared" si="712"/>
        <v>='C:\Users\jaime.benazar\Quorum Business Solutions\Ecopetrol Prometeo - Documents\Planning Space Implementation\3. Analysis &amp; Design\Design\FC22\DRR Jaime\QUIFA-CAJÚA\Cajua\[CAJUA_CF_SEC_New_27-Feb-2024Rev3.xlsx]D-PNP'!$DT$48</v>
      </c>
      <c r="J3002" s="37" t="s">
        <v>3368</v>
      </c>
    </row>
    <row r="3003" spans="1:10" x14ac:dyDescent="0.25">
      <c r="A3003" s="32" t="s">
        <v>28</v>
      </c>
      <c r="B3003" s="32"/>
      <c r="C3003" s="33" t="s">
        <v>42</v>
      </c>
      <c r="D3003" s="34"/>
      <c r="E3003" s="35"/>
      <c r="F3003" s="34"/>
      <c r="G3003" s="32"/>
      <c r="H3003" s="33"/>
      <c r="I3003" s="33"/>
      <c r="J3003" s="33"/>
    </row>
    <row r="3004" spans="1:10" x14ac:dyDescent="0.25">
      <c r="A3004" s="32" t="s">
        <v>3</v>
      </c>
      <c r="B3004" s="32">
        <v>2023</v>
      </c>
      <c r="C3004" s="33" t="s">
        <v>42</v>
      </c>
      <c r="D3004" s="34" t="s">
        <v>1999</v>
      </c>
      <c r="E3004" s="35" t="str">
        <f t="shared" si="692"/>
        <v>PND'!</v>
      </c>
      <c r="F3004" s="34" t="str">
        <f t="shared" si="693"/>
        <v>C:\Users\jaime.benazar\Quorum Business Solutions\Ecopetrol Prometeo - Documents\Planning Space Implementation\3. Analysis &amp; Design\Design\FC22\DRR Jaime\QUIFA-CAJÚA\Cajua\[CAJUA_CF_SEC_New_27-Feb-2024Rev3.xlsx]D-PND'!</v>
      </c>
      <c r="G3004" s="32" t="s">
        <v>117</v>
      </c>
      <c r="H3004" s="33">
        <v>12</v>
      </c>
      <c r="I3004" s="33" t="str">
        <f t="shared" ref="I3004:I3024" si="714">_xlfn.CONCAT("='",F3004:H3004)</f>
        <v>='C:\Users\jaime.benazar\Quorum Business Solutions\Ecopetrol Prometeo - Documents\Planning Space Implementation\3. Analysis &amp; Design\Design\FC22\DRR Jaime\QUIFA-CAJÚA\Cajua\[CAJUA_CF_SEC_New_27-Feb-2024Rev3.xlsx]D-PND'!$DT$12</v>
      </c>
      <c r="J3004" s="37" t="s">
        <v>3369</v>
      </c>
    </row>
    <row r="3005" spans="1:10" x14ac:dyDescent="0.25">
      <c r="A3005" s="32" t="s">
        <v>3</v>
      </c>
      <c r="B3005" s="32">
        <f>+B3004+1</f>
        <v>2024</v>
      </c>
      <c r="C3005" s="33" t="s">
        <v>42</v>
      </c>
      <c r="D3005" s="34" t="s">
        <v>1999</v>
      </c>
      <c r="E3005" s="35" t="str">
        <f t="shared" si="692"/>
        <v>PND'!</v>
      </c>
      <c r="F3005" s="34" t="str">
        <f t="shared" si="693"/>
        <v>C:\Users\jaime.benazar\Quorum Business Solutions\Ecopetrol Prometeo - Documents\Planning Space Implementation\3. Analysis &amp; Design\Design\FC22\DRR Jaime\QUIFA-CAJÚA\Cajua\[CAJUA_CF_SEC_New_27-Feb-2024Rev3.xlsx]D-PND'!</v>
      </c>
      <c r="G3005" s="32" t="s">
        <v>117</v>
      </c>
      <c r="H3005" s="33">
        <f t="shared" ref="H3005:H3024" si="715">IF(A3005&lt;&gt;A3004,12,H3004+1)</f>
        <v>13</v>
      </c>
      <c r="I3005" s="33" t="str">
        <f t="shared" si="714"/>
        <v>='C:\Users\jaime.benazar\Quorum Business Solutions\Ecopetrol Prometeo - Documents\Planning Space Implementation\3. Analysis &amp; Design\Design\FC22\DRR Jaime\QUIFA-CAJÚA\Cajua\[CAJUA_CF_SEC_New_27-Feb-2024Rev3.xlsx]D-PND'!$DT$13</v>
      </c>
      <c r="J3005" s="37" t="s">
        <v>3370</v>
      </c>
    </row>
    <row r="3006" spans="1:10" x14ac:dyDescent="0.25">
      <c r="A3006" s="32" t="s">
        <v>3</v>
      </c>
      <c r="B3006" s="32">
        <f t="shared" ref="B3006:B3017" si="716">+B3005+1</f>
        <v>2025</v>
      </c>
      <c r="C3006" s="33" t="s">
        <v>42</v>
      </c>
      <c r="D3006" s="34" t="s">
        <v>1999</v>
      </c>
      <c r="E3006" s="35" t="str">
        <f t="shared" si="692"/>
        <v>PND'!</v>
      </c>
      <c r="F3006" s="34" t="str">
        <f t="shared" si="693"/>
        <v>C:\Users\jaime.benazar\Quorum Business Solutions\Ecopetrol Prometeo - Documents\Planning Space Implementation\3. Analysis &amp; Design\Design\FC22\DRR Jaime\QUIFA-CAJÚA\Cajua\[CAJUA_CF_SEC_New_27-Feb-2024Rev3.xlsx]D-PND'!</v>
      </c>
      <c r="G3006" s="32" t="s">
        <v>117</v>
      </c>
      <c r="H3006" s="33">
        <f t="shared" si="715"/>
        <v>14</v>
      </c>
      <c r="I3006" s="33" t="str">
        <f t="shared" si="714"/>
        <v>='C:\Users\jaime.benazar\Quorum Business Solutions\Ecopetrol Prometeo - Documents\Planning Space Implementation\3. Analysis &amp; Design\Design\FC22\DRR Jaime\QUIFA-CAJÚA\Cajua\[CAJUA_CF_SEC_New_27-Feb-2024Rev3.xlsx]D-PND'!$DT$14</v>
      </c>
      <c r="J3006" s="37" t="s">
        <v>3371</v>
      </c>
    </row>
    <row r="3007" spans="1:10" x14ac:dyDescent="0.25">
      <c r="A3007" s="32" t="s">
        <v>3</v>
      </c>
      <c r="B3007" s="32">
        <f t="shared" si="716"/>
        <v>2026</v>
      </c>
      <c r="C3007" s="33" t="s">
        <v>42</v>
      </c>
      <c r="D3007" s="34" t="s">
        <v>1999</v>
      </c>
      <c r="E3007" s="35" t="str">
        <f t="shared" si="692"/>
        <v>PND'!</v>
      </c>
      <c r="F3007" s="34" t="str">
        <f t="shared" si="693"/>
        <v>C:\Users\jaime.benazar\Quorum Business Solutions\Ecopetrol Prometeo - Documents\Planning Space Implementation\3. Analysis &amp; Design\Design\FC22\DRR Jaime\QUIFA-CAJÚA\Cajua\[CAJUA_CF_SEC_New_27-Feb-2024Rev3.xlsx]D-PND'!</v>
      </c>
      <c r="G3007" s="32" t="s">
        <v>117</v>
      </c>
      <c r="H3007" s="33">
        <f t="shared" si="715"/>
        <v>15</v>
      </c>
      <c r="I3007" s="33" t="str">
        <f t="shared" si="714"/>
        <v>='C:\Users\jaime.benazar\Quorum Business Solutions\Ecopetrol Prometeo - Documents\Planning Space Implementation\3. Analysis &amp; Design\Design\FC22\DRR Jaime\QUIFA-CAJÚA\Cajua\[CAJUA_CF_SEC_New_27-Feb-2024Rev3.xlsx]D-PND'!$DT$15</v>
      </c>
      <c r="J3007" s="37" t="s">
        <v>3372</v>
      </c>
    </row>
    <row r="3008" spans="1:10" x14ac:dyDescent="0.25">
      <c r="A3008" s="32" t="s">
        <v>3</v>
      </c>
      <c r="B3008" s="32">
        <f t="shared" si="716"/>
        <v>2027</v>
      </c>
      <c r="C3008" s="33" t="s">
        <v>42</v>
      </c>
      <c r="D3008" s="34" t="s">
        <v>1999</v>
      </c>
      <c r="E3008" s="35" t="str">
        <f t="shared" si="692"/>
        <v>PND'!</v>
      </c>
      <c r="F3008" s="34" t="str">
        <f t="shared" si="693"/>
        <v>C:\Users\jaime.benazar\Quorum Business Solutions\Ecopetrol Prometeo - Documents\Planning Space Implementation\3. Analysis &amp; Design\Design\FC22\DRR Jaime\QUIFA-CAJÚA\Cajua\[CAJUA_CF_SEC_New_27-Feb-2024Rev3.xlsx]D-PND'!</v>
      </c>
      <c r="G3008" s="32" t="s">
        <v>117</v>
      </c>
      <c r="H3008" s="33">
        <f t="shared" si="715"/>
        <v>16</v>
      </c>
      <c r="I3008" s="33" t="str">
        <f t="shared" si="714"/>
        <v>='C:\Users\jaime.benazar\Quorum Business Solutions\Ecopetrol Prometeo - Documents\Planning Space Implementation\3. Analysis &amp; Design\Design\FC22\DRR Jaime\QUIFA-CAJÚA\Cajua\[CAJUA_CF_SEC_New_27-Feb-2024Rev3.xlsx]D-PND'!$DT$16</v>
      </c>
      <c r="J3008" s="37" t="s">
        <v>3373</v>
      </c>
    </row>
    <row r="3009" spans="1:10" x14ac:dyDescent="0.25">
      <c r="A3009" s="32" t="s">
        <v>3</v>
      </c>
      <c r="B3009" s="32">
        <f t="shared" si="716"/>
        <v>2028</v>
      </c>
      <c r="C3009" s="33" t="s">
        <v>42</v>
      </c>
      <c r="D3009" s="34" t="s">
        <v>1999</v>
      </c>
      <c r="E3009" s="35" t="str">
        <f t="shared" si="692"/>
        <v>PND'!</v>
      </c>
      <c r="F3009" s="34" t="str">
        <f t="shared" si="693"/>
        <v>C:\Users\jaime.benazar\Quorum Business Solutions\Ecopetrol Prometeo - Documents\Planning Space Implementation\3. Analysis &amp; Design\Design\FC22\DRR Jaime\QUIFA-CAJÚA\Cajua\[CAJUA_CF_SEC_New_27-Feb-2024Rev3.xlsx]D-PND'!</v>
      </c>
      <c r="G3009" s="32" t="s">
        <v>117</v>
      </c>
      <c r="H3009" s="33">
        <f t="shared" si="715"/>
        <v>17</v>
      </c>
      <c r="I3009" s="33" t="str">
        <f t="shared" si="714"/>
        <v>='C:\Users\jaime.benazar\Quorum Business Solutions\Ecopetrol Prometeo - Documents\Planning Space Implementation\3. Analysis &amp; Design\Design\FC22\DRR Jaime\QUIFA-CAJÚA\Cajua\[CAJUA_CF_SEC_New_27-Feb-2024Rev3.xlsx]D-PND'!$DT$17</v>
      </c>
      <c r="J3009" s="37" t="s">
        <v>3374</v>
      </c>
    </row>
    <row r="3010" spans="1:10" x14ac:dyDescent="0.25">
      <c r="A3010" s="32" t="s">
        <v>3</v>
      </c>
      <c r="B3010" s="32">
        <f t="shared" si="716"/>
        <v>2029</v>
      </c>
      <c r="C3010" s="33" t="s">
        <v>42</v>
      </c>
      <c r="D3010" s="34" t="s">
        <v>1999</v>
      </c>
      <c r="E3010" s="35" t="str">
        <f t="shared" si="692"/>
        <v>PND'!</v>
      </c>
      <c r="F3010" s="34" t="str">
        <f t="shared" si="693"/>
        <v>C:\Users\jaime.benazar\Quorum Business Solutions\Ecopetrol Prometeo - Documents\Planning Space Implementation\3. Analysis &amp; Design\Design\FC22\DRR Jaime\QUIFA-CAJÚA\Cajua\[CAJUA_CF_SEC_New_27-Feb-2024Rev3.xlsx]D-PND'!</v>
      </c>
      <c r="G3010" s="32" t="s">
        <v>117</v>
      </c>
      <c r="H3010" s="33">
        <f t="shared" si="715"/>
        <v>18</v>
      </c>
      <c r="I3010" s="33" t="str">
        <f t="shared" si="714"/>
        <v>='C:\Users\jaime.benazar\Quorum Business Solutions\Ecopetrol Prometeo - Documents\Planning Space Implementation\3. Analysis &amp; Design\Design\FC22\DRR Jaime\QUIFA-CAJÚA\Cajua\[CAJUA_CF_SEC_New_27-Feb-2024Rev3.xlsx]D-PND'!$DT$18</v>
      </c>
      <c r="J3010" s="37" t="s">
        <v>3375</v>
      </c>
    </row>
    <row r="3011" spans="1:10" x14ac:dyDescent="0.25">
      <c r="A3011" s="32" t="s">
        <v>3</v>
      </c>
      <c r="B3011" s="32">
        <f t="shared" si="716"/>
        <v>2030</v>
      </c>
      <c r="C3011" s="33" t="s">
        <v>42</v>
      </c>
      <c r="D3011" s="34" t="s">
        <v>1999</v>
      </c>
      <c r="E3011" s="35" t="str">
        <f t="shared" si="692"/>
        <v>PND'!</v>
      </c>
      <c r="F3011" s="34" t="str">
        <f t="shared" si="693"/>
        <v>C:\Users\jaime.benazar\Quorum Business Solutions\Ecopetrol Prometeo - Documents\Planning Space Implementation\3. Analysis &amp; Design\Design\FC22\DRR Jaime\QUIFA-CAJÚA\Cajua\[CAJUA_CF_SEC_New_27-Feb-2024Rev3.xlsx]D-PND'!</v>
      </c>
      <c r="G3011" s="32" t="s">
        <v>117</v>
      </c>
      <c r="H3011" s="33">
        <f t="shared" si="715"/>
        <v>19</v>
      </c>
      <c r="I3011" s="33" t="str">
        <f t="shared" si="714"/>
        <v>='C:\Users\jaime.benazar\Quorum Business Solutions\Ecopetrol Prometeo - Documents\Planning Space Implementation\3. Analysis &amp; Design\Design\FC22\DRR Jaime\QUIFA-CAJÚA\Cajua\[CAJUA_CF_SEC_New_27-Feb-2024Rev3.xlsx]D-PND'!$DT$19</v>
      </c>
      <c r="J3011" s="37" t="s">
        <v>3376</v>
      </c>
    </row>
    <row r="3012" spans="1:10" x14ac:dyDescent="0.25">
      <c r="A3012" s="32" t="s">
        <v>3</v>
      </c>
      <c r="B3012" s="32">
        <f t="shared" si="716"/>
        <v>2031</v>
      </c>
      <c r="C3012" s="33" t="s">
        <v>42</v>
      </c>
      <c r="D3012" s="34" t="s">
        <v>1999</v>
      </c>
      <c r="E3012" s="35" t="str">
        <f t="shared" si="692"/>
        <v>PND'!</v>
      </c>
      <c r="F3012" s="34" t="str">
        <f t="shared" si="693"/>
        <v>C:\Users\jaime.benazar\Quorum Business Solutions\Ecopetrol Prometeo - Documents\Planning Space Implementation\3. Analysis &amp; Design\Design\FC22\DRR Jaime\QUIFA-CAJÚA\Cajua\[CAJUA_CF_SEC_New_27-Feb-2024Rev3.xlsx]D-PND'!</v>
      </c>
      <c r="G3012" s="32" t="s">
        <v>117</v>
      </c>
      <c r="H3012" s="33">
        <f t="shared" si="715"/>
        <v>20</v>
      </c>
      <c r="I3012" s="33" t="str">
        <f t="shared" si="714"/>
        <v>='C:\Users\jaime.benazar\Quorum Business Solutions\Ecopetrol Prometeo - Documents\Planning Space Implementation\3. Analysis &amp; Design\Design\FC22\DRR Jaime\QUIFA-CAJÚA\Cajua\[CAJUA_CF_SEC_New_27-Feb-2024Rev3.xlsx]D-PND'!$DT$20</v>
      </c>
      <c r="J3012" s="37" t="s">
        <v>3377</v>
      </c>
    </row>
    <row r="3013" spans="1:10" x14ac:dyDescent="0.25">
      <c r="A3013" s="32" t="s">
        <v>3</v>
      </c>
      <c r="B3013" s="32">
        <f t="shared" si="716"/>
        <v>2032</v>
      </c>
      <c r="C3013" s="33" t="s">
        <v>42</v>
      </c>
      <c r="D3013" s="34" t="s">
        <v>1999</v>
      </c>
      <c r="E3013" s="35" t="str">
        <f t="shared" si="692"/>
        <v>PND'!</v>
      </c>
      <c r="F3013" s="34" t="str">
        <f t="shared" si="693"/>
        <v>C:\Users\jaime.benazar\Quorum Business Solutions\Ecopetrol Prometeo - Documents\Planning Space Implementation\3. Analysis &amp; Design\Design\FC22\DRR Jaime\QUIFA-CAJÚA\Cajua\[CAJUA_CF_SEC_New_27-Feb-2024Rev3.xlsx]D-PND'!</v>
      </c>
      <c r="G3013" s="32" t="s">
        <v>117</v>
      </c>
      <c r="H3013" s="33">
        <f t="shared" si="715"/>
        <v>21</v>
      </c>
      <c r="I3013" s="33" t="str">
        <f t="shared" si="714"/>
        <v>='C:\Users\jaime.benazar\Quorum Business Solutions\Ecopetrol Prometeo - Documents\Planning Space Implementation\3. Analysis &amp; Design\Design\FC22\DRR Jaime\QUIFA-CAJÚA\Cajua\[CAJUA_CF_SEC_New_27-Feb-2024Rev3.xlsx]D-PND'!$DT$21</v>
      </c>
      <c r="J3013" s="37" t="s">
        <v>3378</v>
      </c>
    </row>
    <row r="3014" spans="1:10" x14ac:dyDescent="0.25">
      <c r="A3014" s="32" t="s">
        <v>3</v>
      </c>
      <c r="B3014" s="32">
        <f t="shared" si="716"/>
        <v>2033</v>
      </c>
      <c r="C3014" s="33" t="s">
        <v>42</v>
      </c>
      <c r="D3014" s="34" t="s">
        <v>1999</v>
      </c>
      <c r="E3014" s="35" t="str">
        <f t="shared" si="692"/>
        <v>PND'!</v>
      </c>
      <c r="F3014" s="34" t="str">
        <f t="shared" si="693"/>
        <v>C:\Users\jaime.benazar\Quorum Business Solutions\Ecopetrol Prometeo - Documents\Planning Space Implementation\3. Analysis &amp; Design\Design\FC22\DRR Jaime\QUIFA-CAJÚA\Cajua\[CAJUA_CF_SEC_New_27-Feb-2024Rev3.xlsx]D-PND'!</v>
      </c>
      <c r="G3014" s="32" t="s">
        <v>117</v>
      </c>
      <c r="H3014" s="33">
        <f t="shared" si="715"/>
        <v>22</v>
      </c>
      <c r="I3014" s="33" t="str">
        <f t="shared" si="714"/>
        <v>='C:\Users\jaime.benazar\Quorum Business Solutions\Ecopetrol Prometeo - Documents\Planning Space Implementation\3. Analysis &amp; Design\Design\FC22\DRR Jaime\QUIFA-CAJÚA\Cajua\[CAJUA_CF_SEC_New_27-Feb-2024Rev3.xlsx]D-PND'!$DT$22</v>
      </c>
      <c r="J3014" s="37" t="s">
        <v>3379</v>
      </c>
    </row>
    <row r="3015" spans="1:10" x14ac:dyDescent="0.25">
      <c r="A3015" s="32" t="s">
        <v>3</v>
      </c>
      <c r="B3015" s="32">
        <f t="shared" si="716"/>
        <v>2034</v>
      </c>
      <c r="C3015" s="33" t="s">
        <v>42</v>
      </c>
      <c r="D3015" s="34" t="s">
        <v>1999</v>
      </c>
      <c r="E3015" s="35" t="str">
        <f t="shared" si="692"/>
        <v>PND'!</v>
      </c>
      <c r="F3015" s="34" t="str">
        <f t="shared" si="693"/>
        <v>C:\Users\jaime.benazar\Quorum Business Solutions\Ecopetrol Prometeo - Documents\Planning Space Implementation\3. Analysis &amp; Design\Design\FC22\DRR Jaime\QUIFA-CAJÚA\Cajua\[CAJUA_CF_SEC_New_27-Feb-2024Rev3.xlsx]D-PND'!</v>
      </c>
      <c r="G3015" s="32" t="s">
        <v>117</v>
      </c>
      <c r="H3015" s="33">
        <f t="shared" si="715"/>
        <v>23</v>
      </c>
      <c r="I3015" s="33" t="str">
        <f t="shared" si="714"/>
        <v>='C:\Users\jaime.benazar\Quorum Business Solutions\Ecopetrol Prometeo - Documents\Planning Space Implementation\3. Analysis &amp; Design\Design\FC22\DRR Jaime\QUIFA-CAJÚA\Cajua\[CAJUA_CF_SEC_New_27-Feb-2024Rev3.xlsx]D-PND'!$DT$23</v>
      </c>
      <c r="J3015" s="37" t="s">
        <v>3380</v>
      </c>
    </row>
    <row r="3016" spans="1:10" x14ac:dyDescent="0.25">
      <c r="A3016" s="32" t="s">
        <v>3</v>
      </c>
      <c r="B3016" s="32">
        <f t="shared" si="716"/>
        <v>2035</v>
      </c>
      <c r="C3016" s="33" t="s">
        <v>42</v>
      </c>
      <c r="D3016" s="34" t="s">
        <v>1999</v>
      </c>
      <c r="E3016" s="35" t="str">
        <f t="shared" si="692"/>
        <v>PND'!</v>
      </c>
      <c r="F3016" s="34" t="str">
        <f t="shared" si="693"/>
        <v>C:\Users\jaime.benazar\Quorum Business Solutions\Ecopetrol Prometeo - Documents\Planning Space Implementation\3. Analysis &amp; Design\Design\FC22\DRR Jaime\QUIFA-CAJÚA\Cajua\[CAJUA_CF_SEC_New_27-Feb-2024Rev3.xlsx]D-PND'!</v>
      </c>
      <c r="G3016" s="32" t="s">
        <v>117</v>
      </c>
      <c r="H3016" s="33">
        <f t="shared" si="715"/>
        <v>24</v>
      </c>
      <c r="I3016" s="33" t="str">
        <f t="shared" si="714"/>
        <v>='C:\Users\jaime.benazar\Quorum Business Solutions\Ecopetrol Prometeo - Documents\Planning Space Implementation\3. Analysis &amp; Design\Design\FC22\DRR Jaime\QUIFA-CAJÚA\Cajua\[CAJUA_CF_SEC_New_27-Feb-2024Rev3.xlsx]D-PND'!$DT$24</v>
      </c>
      <c r="J3016" s="37" t="s">
        <v>3381</v>
      </c>
    </row>
    <row r="3017" spans="1:10" x14ac:dyDescent="0.25">
      <c r="A3017" s="32" t="s">
        <v>3</v>
      </c>
      <c r="B3017" s="32">
        <f t="shared" si="716"/>
        <v>2036</v>
      </c>
      <c r="C3017" s="33" t="s">
        <v>42</v>
      </c>
      <c r="D3017" s="34" t="s">
        <v>1999</v>
      </c>
      <c r="E3017" s="35" t="str">
        <f t="shared" si="692"/>
        <v>PND'!</v>
      </c>
      <c r="F3017" s="34" t="str">
        <f t="shared" si="693"/>
        <v>C:\Users\jaime.benazar\Quorum Business Solutions\Ecopetrol Prometeo - Documents\Planning Space Implementation\3. Analysis &amp; Design\Design\FC22\DRR Jaime\QUIFA-CAJÚA\Cajua\[CAJUA_CF_SEC_New_27-Feb-2024Rev3.xlsx]D-PND'!</v>
      </c>
      <c r="G3017" s="32" t="s">
        <v>117</v>
      </c>
      <c r="H3017" s="33">
        <f t="shared" si="715"/>
        <v>25</v>
      </c>
      <c r="I3017" s="33" t="str">
        <f t="shared" si="714"/>
        <v>='C:\Users\jaime.benazar\Quorum Business Solutions\Ecopetrol Prometeo - Documents\Planning Space Implementation\3. Analysis &amp; Design\Design\FC22\DRR Jaime\QUIFA-CAJÚA\Cajua\[CAJUA_CF_SEC_New_27-Feb-2024Rev3.xlsx]D-PND'!$DT$25</v>
      </c>
      <c r="J3017" s="37" t="s">
        <v>3382</v>
      </c>
    </row>
    <row r="3018" spans="1:10" x14ac:dyDescent="0.25">
      <c r="A3018" s="32" t="s">
        <v>3</v>
      </c>
      <c r="B3018" s="32">
        <f>+B3017+1</f>
        <v>2037</v>
      </c>
      <c r="C3018" s="33" t="s">
        <v>42</v>
      </c>
      <c r="D3018" s="34" t="s">
        <v>1999</v>
      </c>
      <c r="E3018" s="35" t="str">
        <f t="shared" si="692"/>
        <v>PND'!</v>
      </c>
      <c r="F3018" s="34" t="str">
        <f t="shared" si="693"/>
        <v>C:\Users\jaime.benazar\Quorum Business Solutions\Ecopetrol Prometeo - Documents\Planning Space Implementation\3. Analysis &amp; Design\Design\FC22\DRR Jaime\QUIFA-CAJÚA\Cajua\[CAJUA_CF_SEC_New_27-Feb-2024Rev3.xlsx]D-PND'!</v>
      </c>
      <c r="G3018" s="32" t="s">
        <v>117</v>
      </c>
      <c r="H3018" s="33">
        <f t="shared" si="715"/>
        <v>26</v>
      </c>
      <c r="I3018" s="33" t="str">
        <f t="shared" si="714"/>
        <v>='C:\Users\jaime.benazar\Quorum Business Solutions\Ecopetrol Prometeo - Documents\Planning Space Implementation\3. Analysis &amp; Design\Design\FC22\DRR Jaime\QUIFA-CAJÚA\Cajua\[CAJUA_CF_SEC_New_27-Feb-2024Rev3.xlsx]D-PND'!$DT$26</v>
      </c>
      <c r="J3018" s="37" t="s">
        <v>3383</v>
      </c>
    </row>
    <row r="3019" spans="1:10" x14ac:dyDescent="0.25">
      <c r="A3019" s="32" t="s">
        <v>3</v>
      </c>
      <c r="B3019" s="32">
        <f t="shared" ref="B3019:B3021" si="717">+B3018+1</f>
        <v>2038</v>
      </c>
      <c r="C3019" s="33" t="s">
        <v>42</v>
      </c>
      <c r="D3019" s="34" t="s">
        <v>1999</v>
      </c>
      <c r="E3019" s="35" t="str">
        <f t="shared" si="692"/>
        <v>PND'!</v>
      </c>
      <c r="F3019" s="34" t="str">
        <f t="shared" si="693"/>
        <v>C:\Users\jaime.benazar\Quorum Business Solutions\Ecopetrol Prometeo - Documents\Planning Space Implementation\3. Analysis &amp; Design\Design\FC22\DRR Jaime\QUIFA-CAJÚA\Cajua\[CAJUA_CF_SEC_New_27-Feb-2024Rev3.xlsx]D-PND'!</v>
      </c>
      <c r="G3019" s="32" t="s">
        <v>117</v>
      </c>
      <c r="H3019" s="33">
        <f t="shared" si="715"/>
        <v>27</v>
      </c>
      <c r="I3019" s="33" t="str">
        <f t="shared" si="714"/>
        <v>='C:\Users\jaime.benazar\Quorum Business Solutions\Ecopetrol Prometeo - Documents\Planning Space Implementation\3. Analysis &amp; Design\Design\FC22\DRR Jaime\QUIFA-CAJÚA\Cajua\[CAJUA_CF_SEC_New_27-Feb-2024Rev3.xlsx]D-PND'!$DT$27</v>
      </c>
      <c r="J3019" s="37" t="s">
        <v>3384</v>
      </c>
    </row>
    <row r="3020" spans="1:10" x14ac:dyDescent="0.25">
      <c r="A3020" s="32" t="s">
        <v>3</v>
      </c>
      <c r="B3020" s="32">
        <f t="shared" si="717"/>
        <v>2039</v>
      </c>
      <c r="C3020" s="33" t="s">
        <v>42</v>
      </c>
      <c r="D3020" s="34" t="s">
        <v>1999</v>
      </c>
      <c r="E3020" s="35" t="str">
        <f t="shared" si="692"/>
        <v>PND'!</v>
      </c>
      <c r="F3020" s="34" t="str">
        <f t="shared" si="693"/>
        <v>C:\Users\jaime.benazar\Quorum Business Solutions\Ecopetrol Prometeo - Documents\Planning Space Implementation\3. Analysis &amp; Design\Design\FC22\DRR Jaime\QUIFA-CAJÚA\Cajua\[CAJUA_CF_SEC_New_27-Feb-2024Rev3.xlsx]D-PND'!</v>
      </c>
      <c r="G3020" s="32" t="s">
        <v>117</v>
      </c>
      <c r="H3020" s="33">
        <f t="shared" si="715"/>
        <v>28</v>
      </c>
      <c r="I3020" s="33" t="str">
        <f t="shared" si="714"/>
        <v>='C:\Users\jaime.benazar\Quorum Business Solutions\Ecopetrol Prometeo - Documents\Planning Space Implementation\3. Analysis &amp; Design\Design\FC22\DRR Jaime\QUIFA-CAJÚA\Cajua\[CAJUA_CF_SEC_New_27-Feb-2024Rev3.xlsx]D-PND'!$DT$28</v>
      </c>
      <c r="J3020" s="37" t="s">
        <v>3385</v>
      </c>
    </row>
    <row r="3021" spans="1:10" x14ac:dyDescent="0.25">
      <c r="A3021" s="32" t="s">
        <v>3</v>
      </c>
      <c r="B3021" s="32">
        <f t="shared" si="717"/>
        <v>2040</v>
      </c>
      <c r="C3021" s="33" t="s">
        <v>42</v>
      </c>
      <c r="D3021" s="34" t="s">
        <v>1999</v>
      </c>
      <c r="E3021" s="35" t="str">
        <f t="shared" si="692"/>
        <v>PND'!</v>
      </c>
      <c r="F3021" s="34" t="str">
        <f t="shared" si="693"/>
        <v>C:\Users\jaime.benazar\Quorum Business Solutions\Ecopetrol Prometeo - Documents\Planning Space Implementation\3. Analysis &amp; Design\Design\FC22\DRR Jaime\QUIFA-CAJÚA\Cajua\[CAJUA_CF_SEC_New_27-Feb-2024Rev3.xlsx]D-PND'!</v>
      </c>
      <c r="G3021" s="32" t="s">
        <v>117</v>
      </c>
      <c r="H3021" s="33">
        <f t="shared" si="715"/>
        <v>29</v>
      </c>
      <c r="I3021" s="33" t="str">
        <f t="shared" si="714"/>
        <v>='C:\Users\jaime.benazar\Quorum Business Solutions\Ecopetrol Prometeo - Documents\Planning Space Implementation\3. Analysis &amp; Design\Design\FC22\DRR Jaime\QUIFA-CAJÚA\Cajua\[CAJUA_CF_SEC_New_27-Feb-2024Rev3.xlsx]D-PND'!$DT$29</v>
      </c>
      <c r="J3021" s="37" t="s">
        <v>3386</v>
      </c>
    </row>
    <row r="3022" spans="1:10" x14ac:dyDescent="0.25">
      <c r="A3022" s="32" t="s">
        <v>3</v>
      </c>
      <c r="B3022" s="32">
        <f>+B3021+1</f>
        <v>2041</v>
      </c>
      <c r="C3022" s="33" t="s">
        <v>42</v>
      </c>
      <c r="D3022" s="34" t="s">
        <v>1999</v>
      </c>
      <c r="E3022" s="35" t="str">
        <f t="shared" si="692"/>
        <v>PND'!</v>
      </c>
      <c r="F3022" s="34" t="str">
        <f t="shared" si="693"/>
        <v>C:\Users\jaime.benazar\Quorum Business Solutions\Ecopetrol Prometeo - Documents\Planning Space Implementation\3. Analysis &amp; Design\Design\FC22\DRR Jaime\QUIFA-CAJÚA\Cajua\[CAJUA_CF_SEC_New_27-Feb-2024Rev3.xlsx]D-PND'!</v>
      </c>
      <c r="G3022" s="32" t="s">
        <v>117</v>
      </c>
      <c r="H3022" s="33">
        <f t="shared" si="715"/>
        <v>30</v>
      </c>
      <c r="I3022" s="33" t="str">
        <f t="shared" si="714"/>
        <v>='C:\Users\jaime.benazar\Quorum Business Solutions\Ecopetrol Prometeo - Documents\Planning Space Implementation\3. Analysis &amp; Design\Design\FC22\DRR Jaime\QUIFA-CAJÚA\Cajua\[CAJUA_CF_SEC_New_27-Feb-2024Rev3.xlsx]D-PND'!$DT$30</v>
      </c>
      <c r="J3022" s="37" t="s">
        <v>3387</v>
      </c>
    </row>
    <row r="3023" spans="1:10" x14ac:dyDescent="0.25">
      <c r="A3023" s="32" t="s">
        <v>3</v>
      </c>
      <c r="B3023" s="32">
        <f t="shared" ref="B3023:B3024" si="718">+B3022+1</f>
        <v>2042</v>
      </c>
      <c r="C3023" s="33" t="s">
        <v>42</v>
      </c>
      <c r="D3023" s="34" t="s">
        <v>1999</v>
      </c>
      <c r="E3023" s="35" t="str">
        <f t="shared" ref="E3023:E3345" si="719">_xlfn.CONCAT(A3023,"'!")</f>
        <v>PND'!</v>
      </c>
      <c r="F3023" s="34" t="str">
        <f t="shared" ref="F3023:F3328" si="720">_xlfn.CONCAT(D3023:E3023)</f>
        <v>C:\Users\jaime.benazar\Quorum Business Solutions\Ecopetrol Prometeo - Documents\Planning Space Implementation\3. Analysis &amp; Design\Design\FC22\DRR Jaime\QUIFA-CAJÚA\Cajua\[CAJUA_CF_SEC_New_27-Feb-2024Rev3.xlsx]D-PND'!</v>
      </c>
      <c r="G3023" s="32" t="s">
        <v>117</v>
      </c>
      <c r="H3023" s="33">
        <f t="shared" si="715"/>
        <v>31</v>
      </c>
      <c r="I3023" s="33" t="str">
        <f t="shared" si="714"/>
        <v>='C:\Users\jaime.benazar\Quorum Business Solutions\Ecopetrol Prometeo - Documents\Planning Space Implementation\3. Analysis &amp; Design\Design\FC22\DRR Jaime\QUIFA-CAJÚA\Cajua\[CAJUA_CF_SEC_New_27-Feb-2024Rev3.xlsx]D-PND'!$DT$31</v>
      </c>
      <c r="J3023" s="37" t="s">
        <v>3388</v>
      </c>
    </row>
    <row r="3024" spans="1:10" x14ac:dyDescent="0.25">
      <c r="A3024" s="32" t="s">
        <v>3</v>
      </c>
      <c r="B3024" s="32">
        <f t="shared" si="718"/>
        <v>2043</v>
      </c>
      <c r="C3024" s="33" t="s">
        <v>42</v>
      </c>
      <c r="D3024" s="34" t="s">
        <v>1999</v>
      </c>
      <c r="E3024" s="35" t="str">
        <f t="shared" si="719"/>
        <v>PND'!</v>
      </c>
      <c r="F3024" s="34" t="str">
        <f t="shared" si="720"/>
        <v>C:\Users\jaime.benazar\Quorum Business Solutions\Ecopetrol Prometeo - Documents\Planning Space Implementation\3. Analysis &amp; Design\Design\FC22\DRR Jaime\QUIFA-CAJÚA\Cajua\[CAJUA_CF_SEC_New_27-Feb-2024Rev3.xlsx]D-PND'!</v>
      </c>
      <c r="G3024" s="32" t="s">
        <v>117</v>
      </c>
      <c r="H3024" s="33">
        <f t="shared" si="715"/>
        <v>32</v>
      </c>
      <c r="I3024" s="33" t="str">
        <f t="shared" si="714"/>
        <v>='C:\Users\jaime.benazar\Quorum Business Solutions\Ecopetrol Prometeo - Documents\Planning Space Implementation\3. Analysis &amp; Design\Design\FC22\DRR Jaime\QUIFA-CAJÚA\Cajua\[CAJUA_CF_SEC_New_27-Feb-2024Rev3.xlsx]D-PND'!$DT$32</v>
      </c>
      <c r="J3024" s="37" t="s">
        <v>3389</v>
      </c>
    </row>
    <row r="3025" spans="1:10" x14ac:dyDescent="0.25">
      <c r="A3025" s="32" t="s">
        <v>3</v>
      </c>
      <c r="B3025" s="32">
        <f>+B3024+1</f>
        <v>2044</v>
      </c>
      <c r="C3025" s="33" t="s">
        <v>42</v>
      </c>
      <c r="D3025" s="34" t="s">
        <v>1999</v>
      </c>
      <c r="E3025" s="35" t="str">
        <f t="shared" ref="E3025:E3040" si="721">_xlfn.CONCAT(A3025,"'!")</f>
        <v>PND'!</v>
      </c>
      <c r="F3025" s="34" t="str">
        <f t="shared" ref="F3025:F3040" si="722">_xlfn.CONCAT(D3025:E3025)</f>
        <v>C:\Users\jaime.benazar\Quorum Business Solutions\Ecopetrol Prometeo - Documents\Planning Space Implementation\3. Analysis &amp; Design\Design\FC22\DRR Jaime\QUIFA-CAJÚA\Cajua\[CAJUA_CF_SEC_New_27-Feb-2024Rev3.xlsx]D-PND'!</v>
      </c>
      <c r="G3025" s="32" t="s">
        <v>117</v>
      </c>
      <c r="H3025" s="33">
        <f t="shared" ref="H3025:H3040" si="723">IF(A3025&lt;&gt;A3024,12,H3024+1)</f>
        <v>33</v>
      </c>
      <c r="I3025" s="33" t="str">
        <f t="shared" ref="I3025:I3040" si="724">_xlfn.CONCAT("='",F3025:H3025)</f>
        <v>='C:\Users\jaime.benazar\Quorum Business Solutions\Ecopetrol Prometeo - Documents\Planning Space Implementation\3. Analysis &amp; Design\Design\FC22\DRR Jaime\QUIFA-CAJÚA\Cajua\[CAJUA_CF_SEC_New_27-Feb-2024Rev3.xlsx]D-PND'!$DT$33</v>
      </c>
      <c r="J3025" s="37" t="s">
        <v>3390</v>
      </c>
    </row>
    <row r="3026" spans="1:10" x14ac:dyDescent="0.25">
      <c r="A3026" s="32" t="s">
        <v>3</v>
      </c>
      <c r="B3026" s="32">
        <f t="shared" ref="B3026:B3040" si="725">+B3025+1</f>
        <v>2045</v>
      </c>
      <c r="C3026" s="33" t="s">
        <v>42</v>
      </c>
      <c r="D3026" s="34" t="s">
        <v>1999</v>
      </c>
      <c r="E3026" s="35" t="str">
        <f t="shared" si="721"/>
        <v>PND'!</v>
      </c>
      <c r="F3026" s="34" t="str">
        <f t="shared" si="722"/>
        <v>C:\Users\jaime.benazar\Quorum Business Solutions\Ecopetrol Prometeo - Documents\Planning Space Implementation\3. Analysis &amp; Design\Design\FC22\DRR Jaime\QUIFA-CAJÚA\Cajua\[CAJUA_CF_SEC_New_27-Feb-2024Rev3.xlsx]D-PND'!</v>
      </c>
      <c r="G3026" s="32" t="s">
        <v>117</v>
      </c>
      <c r="H3026" s="33">
        <f t="shared" si="723"/>
        <v>34</v>
      </c>
      <c r="I3026" s="33" t="str">
        <f t="shared" si="724"/>
        <v>='C:\Users\jaime.benazar\Quorum Business Solutions\Ecopetrol Prometeo - Documents\Planning Space Implementation\3. Analysis &amp; Design\Design\FC22\DRR Jaime\QUIFA-CAJÚA\Cajua\[CAJUA_CF_SEC_New_27-Feb-2024Rev3.xlsx]D-PND'!$DT$34</v>
      </c>
      <c r="J3026" s="37" t="s">
        <v>3391</v>
      </c>
    </row>
    <row r="3027" spans="1:10" x14ac:dyDescent="0.25">
      <c r="A3027" s="32" t="s">
        <v>3</v>
      </c>
      <c r="B3027" s="32">
        <f t="shared" si="725"/>
        <v>2046</v>
      </c>
      <c r="C3027" s="33" t="s">
        <v>42</v>
      </c>
      <c r="D3027" s="34" t="s">
        <v>1999</v>
      </c>
      <c r="E3027" s="35" t="str">
        <f t="shared" si="721"/>
        <v>PND'!</v>
      </c>
      <c r="F3027" s="34" t="str">
        <f t="shared" si="722"/>
        <v>C:\Users\jaime.benazar\Quorum Business Solutions\Ecopetrol Prometeo - Documents\Planning Space Implementation\3. Analysis &amp; Design\Design\FC22\DRR Jaime\QUIFA-CAJÚA\Cajua\[CAJUA_CF_SEC_New_27-Feb-2024Rev3.xlsx]D-PND'!</v>
      </c>
      <c r="G3027" s="32" t="s">
        <v>117</v>
      </c>
      <c r="H3027" s="33">
        <f t="shared" si="723"/>
        <v>35</v>
      </c>
      <c r="I3027" s="33" t="str">
        <f t="shared" si="724"/>
        <v>='C:\Users\jaime.benazar\Quorum Business Solutions\Ecopetrol Prometeo - Documents\Planning Space Implementation\3. Analysis &amp; Design\Design\FC22\DRR Jaime\QUIFA-CAJÚA\Cajua\[CAJUA_CF_SEC_New_27-Feb-2024Rev3.xlsx]D-PND'!$DT$35</v>
      </c>
      <c r="J3027" s="37" t="s">
        <v>3392</v>
      </c>
    </row>
    <row r="3028" spans="1:10" x14ac:dyDescent="0.25">
      <c r="A3028" s="32" t="s">
        <v>3</v>
      </c>
      <c r="B3028" s="32">
        <f t="shared" si="725"/>
        <v>2047</v>
      </c>
      <c r="C3028" s="33" t="s">
        <v>42</v>
      </c>
      <c r="D3028" s="34" t="s">
        <v>1999</v>
      </c>
      <c r="E3028" s="35" t="str">
        <f t="shared" si="721"/>
        <v>PND'!</v>
      </c>
      <c r="F3028" s="34" t="str">
        <f t="shared" si="722"/>
        <v>C:\Users\jaime.benazar\Quorum Business Solutions\Ecopetrol Prometeo - Documents\Planning Space Implementation\3. Analysis &amp; Design\Design\FC22\DRR Jaime\QUIFA-CAJÚA\Cajua\[CAJUA_CF_SEC_New_27-Feb-2024Rev3.xlsx]D-PND'!</v>
      </c>
      <c r="G3028" s="32" t="s">
        <v>117</v>
      </c>
      <c r="H3028" s="33">
        <f t="shared" si="723"/>
        <v>36</v>
      </c>
      <c r="I3028" s="33" t="str">
        <f t="shared" si="724"/>
        <v>='C:\Users\jaime.benazar\Quorum Business Solutions\Ecopetrol Prometeo - Documents\Planning Space Implementation\3. Analysis &amp; Design\Design\FC22\DRR Jaime\QUIFA-CAJÚA\Cajua\[CAJUA_CF_SEC_New_27-Feb-2024Rev3.xlsx]D-PND'!$DT$36</v>
      </c>
      <c r="J3028" s="37" t="s">
        <v>3393</v>
      </c>
    </row>
    <row r="3029" spans="1:10" x14ac:dyDescent="0.25">
      <c r="A3029" s="32" t="s">
        <v>3</v>
      </c>
      <c r="B3029" s="32">
        <f t="shared" si="725"/>
        <v>2048</v>
      </c>
      <c r="C3029" s="33" t="s">
        <v>42</v>
      </c>
      <c r="D3029" s="34" t="s">
        <v>1999</v>
      </c>
      <c r="E3029" s="35" t="str">
        <f t="shared" si="721"/>
        <v>PND'!</v>
      </c>
      <c r="F3029" s="34" t="str">
        <f t="shared" si="722"/>
        <v>C:\Users\jaime.benazar\Quorum Business Solutions\Ecopetrol Prometeo - Documents\Planning Space Implementation\3. Analysis &amp; Design\Design\FC22\DRR Jaime\QUIFA-CAJÚA\Cajua\[CAJUA_CF_SEC_New_27-Feb-2024Rev3.xlsx]D-PND'!</v>
      </c>
      <c r="G3029" s="32" t="s">
        <v>117</v>
      </c>
      <c r="H3029" s="33">
        <f t="shared" si="723"/>
        <v>37</v>
      </c>
      <c r="I3029" s="33" t="str">
        <f t="shared" si="724"/>
        <v>='C:\Users\jaime.benazar\Quorum Business Solutions\Ecopetrol Prometeo - Documents\Planning Space Implementation\3. Analysis &amp; Design\Design\FC22\DRR Jaime\QUIFA-CAJÚA\Cajua\[CAJUA_CF_SEC_New_27-Feb-2024Rev3.xlsx]D-PND'!$DT$37</v>
      </c>
      <c r="J3029" s="37" t="s">
        <v>3394</v>
      </c>
    </row>
    <row r="3030" spans="1:10" x14ac:dyDescent="0.25">
      <c r="A3030" s="32" t="s">
        <v>3</v>
      </c>
      <c r="B3030" s="32">
        <f t="shared" si="725"/>
        <v>2049</v>
      </c>
      <c r="C3030" s="33" t="s">
        <v>42</v>
      </c>
      <c r="D3030" s="34" t="s">
        <v>1999</v>
      </c>
      <c r="E3030" s="35" t="str">
        <f t="shared" si="721"/>
        <v>PND'!</v>
      </c>
      <c r="F3030" s="34" t="str">
        <f t="shared" si="722"/>
        <v>C:\Users\jaime.benazar\Quorum Business Solutions\Ecopetrol Prometeo - Documents\Planning Space Implementation\3. Analysis &amp; Design\Design\FC22\DRR Jaime\QUIFA-CAJÚA\Cajua\[CAJUA_CF_SEC_New_27-Feb-2024Rev3.xlsx]D-PND'!</v>
      </c>
      <c r="G3030" s="32" t="s">
        <v>117</v>
      </c>
      <c r="H3030" s="33">
        <f t="shared" si="723"/>
        <v>38</v>
      </c>
      <c r="I3030" s="33" t="str">
        <f t="shared" si="724"/>
        <v>='C:\Users\jaime.benazar\Quorum Business Solutions\Ecopetrol Prometeo - Documents\Planning Space Implementation\3. Analysis &amp; Design\Design\FC22\DRR Jaime\QUIFA-CAJÚA\Cajua\[CAJUA_CF_SEC_New_27-Feb-2024Rev3.xlsx]D-PND'!$DT$38</v>
      </c>
      <c r="J3030" s="37" t="s">
        <v>3395</v>
      </c>
    </row>
    <row r="3031" spans="1:10" x14ac:dyDescent="0.25">
      <c r="A3031" s="32" t="s">
        <v>3</v>
      </c>
      <c r="B3031" s="32">
        <f t="shared" si="725"/>
        <v>2050</v>
      </c>
      <c r="C3031" s="33" t="s">
        <v>42</v>
      </c>
      <c r="D3031" s="34" t="s">
        <v>1999</v>
      </c>
      <c r="E3031" s="35" t="str">
        <f t="shared" si="721"/>
        <v>PND'!</v>
      </c>
      <c r="F3031" s="34" t="str">
        <f t="shared" si="722"/>
        <v>C:\Users\jaime.benazar\Quorum Business Solutions\Ecopetrol Prometeo - Documents\Planning Space Implementation\3. Analysis &amp; Design\Design\FC22\DRR Jaime\QUIFA-CAJÚA\Cajua\[CAJUA_CF_SEC_New_27-Feb-2024Rev3.xlsx]D-PND'!</v>
      </c>
      <c r="G3031" s="32" t="s">
        <v>117</v>
      </c>
      <c r="H3031" s="33">
        <f t="shared" si="723"/>
        <v>39</v>
      </c>
      <c r="I3031" s="33" t="str">
        <f t="shared" si="724"/>
        <v>='C:\Users\jaime.benazar\Quorum Business Solutions\Ecopetrol Prometeo - Documents\Planning Space Implementation\3. Analysis &amp; Design\Design\FC22\DRR Jaime\QUIFA-CAJÚA\Cajua\[CAJUA_CF_SEC_New_27-Feb-2024Rev3.xlsx]D-PND'!$DT$39</v>
      </c>
      <c r="J3031" s="37" t="s">
        <v>3396</v>
      </c>
    </row>
    <row r="3032" spans="1:10" x14ac:dyDescent="0.25">
      <c r="A3032" s="32" t="s">
        <v>3</v>
      </c>
      <c r="B3032" s="32">
        <f t="shared" si="725"/>
        <v>2051</v>
      </c>
      <c r="C3032" s="33" t="s">
        <v>42</v>
      </c>
      <c r="D3032" s="34" t="s">
        <v>1999</v>
      </c>
      <c r="E3032" s="35" t="str">
        <f t="shared" si="721"/>
        <v>PND'!</v>
      </c>
      <c r="F3032" s="34" t="str">
        <f t="shared" si="722"/>
        <v>C:\Users\jaime.benazar\Quorum Business Solutions\Ecopetrol Prometeo - Documents\Planning Space Implementation\3. Analysis &amp; Design\Design\FC22\DRR Jaime\QUIFA-CAJÚA\Cajua\[CAJUA_CF_SEC_New_27-Feb-2024Rev3.xlsx]D-PND'!</v>
      </c>
      <c r="G3032" s="32" t="s">
        <v>117</v>
      </c>
      <c r="H3032" s="33">
        <f t="shared" si="723"/>
        <v>40</v>
      </c>
      <c r="I3032" s="33" t="str">
        <f t="shared" si="724"/>
        <v>='C:\Users\jaime.benazar\Quorum Business Solutions\Ecopetrol Prometeo - Documents\Planning Space Implementation\3. Analysis &amp; Design\Design\FC22\DRR Jaime\QUIFA-CAJÚA\Cajua\[CAJUA_CF_SEC_New_27-Feb-2024Rev3.xlsx]D-PND'!$DT$40</v>
      </c>
      <c r="J3032" s="37" t="s">
        <v>3397</v>
      </c>
    </row>
    <row r="3033" spans="1:10" x14ac:dyDescent="0.25">
      <c r="A3033" s="32" t="s">
        <v>3</v>
      </c>
      <c r="B3033" s="32">
        <f t="shared" si="725"/>
        <v>2052</v>
      </c>
      <c r="C3033" s="33" t="s">
        <v>42</v>
      </c>
      <c r="D3033" s="34" t="s">
        <v>1999</v>
      </c>
      <c r="E3033" s="35" t="str">
        <f t="shared" si="721"/>
        <v>PND'!</v>
      </c>
      <c r="F3033" s="34" t="str">
        <f t="shared" si="722"/>
        <v>C:\Users\jaime.benazar\Quorum Business Solutions\Ecopetrol Prometeo - Documents\Planning Space Implementation\3. Analysis &amp; Design\Design\FC22\DRR Jaime\QUIFA-CAJÚA\Cajua\[CAJUA_CF_SEC_New_27-Feb-2024Rev3.xlsx]D-PND'!</v>
      </c>
      <c r="G3033" s="32" t="s">
        <v>117</v>
      </c>
      <c r="H3033" s="33">
        <f t="shared" si="723"/>
        <v>41</v>
      </c>
      <c r="I3033" s="33" t="str">
        <f t="shared" si="724"/>
        <v>='C:\Users\jaime.benazar\Quorum Business Solutions\Ecopetrol Prometeo - Documents\Planning Space Implementation\3. Analysis &amp; Design\Design\FC22\DRR Jaime\QUIFA-CAJÚA\Cajua\[CAJUA_CF_SEC_New_27-Feb-2024Rev3.xlsx]D-PND'!$DT$41</v>
      </c>
      <c r="J3033" s="37" t="s">
        <v>3398</v>
      </c>
    </row>
    <row r="3034" spans="1:10" x14ac:dyDescent="0.25">
      <c r="A3034" s="32" t="s">
        <v>3</v>
      </c>
      <c r="B3034" s="32">
        <f t="shared" si="725"/>
        <v>2053</v>
      </c>
      <c r="C3034" s="33" t="s">
        <v>42</v>
      </c>
      <c r="D3034" s="34" t="s">
        <v>1999</v>
      </c>
      <c r="E3034" s="35" t="str">
        <f t="shared" si="721"/>
        <v>PND'!</v>
      </c>
      <c r="F3034" s="34" t="str">
        <f t="shared" si="722"/>
        <v>C:\Users\jaime.benazar\Quorum Business Solutions\Ecopetrol Prometeo - Documents\Planning Space Implementation\3. Analysis &amp; Design\Design\FC22\DRR Jaime\QUIFA-CAJÚA\Cajua\[CAJUA_CF_SEC_New_27-Feb-2024Rev3.xlsx]D-PND'!</v>
      </c>
      <c r="G3034" s="32" t="s">
        <v>117</v>
      </c>
      <c r="H3034" s="33">
        <f t="shared" si="723"/>
        <v>42</v>
      </c>
      <c r="I3034" s="33" t="str">
        <f t="shared" si="724"/>
        <v>='C:\Users\jaime.benazar\Quorum Business Solutions\Ecopetrol Prometeo - Documents\Planning Space Implementation\3. Analysis &amp; Design\Design\FC22\DRR Jaime\QUIFA-CAJÚA\Cajua\[CAJUA_CF_SEC_New_27-Feb-2024Rev3.xlsx]D-PND'!$DT$42</v>
      </c>
      <c r="J3034" s="37" t="s">
        <v>3399</v>
      </c>
    </row>
    <row r="3035" spans="1:10" x14ac:dyDescent="0.25">
      <c r="A3035" s="32" t="s">
        <v>3</v>
      </c>
      <c r="B3035" s="32">
        <f t="shared" si="725"/>
        <v>2054</v>
      </c>
      <c r="C3035" s="33" t="s">
        <v>42</v>
      </c>
      <c r="D3035" s="34" t="s">
        <v>1999</v>
      </c>
      <c r="E3035" s="35" t="str">
        <f t="shared" si="721"/>
        <v>PND'!</v>
      </c>
      <c r="F3035" s="34" t="str">
        <f t="shared" si="722"/>
        <v>C:\Users\jaime.benazar\Quorum Business Solutions\Ecopetrol Prometeo - Documents\Planning Space Implementation\3. Analysis &amp; Design\Design\FC22\DRR Jaime\QUIFA-CAJÚA\Cajua\[CAJUA_CF_SEC_New_27-Feb-2024Rev3.xlsx]D-PND'!</v>
      </c>
      <c r="G3035" s="32" t="s">
        <v>117</v>
      </c>
      <c r="H3035" s="33">
        <f t="shared" si="723"/>
        <v>43</v>
      </c>
      <c r="I3035" s="33" t="str">
        <f t="shared" si="724"/>
        <v>='C:\Users\jaime.benazar\Quorum Business Solutions\Ecopetrol Prometeo - Documents\Planning Space Implementation\3. Analysis &amp; Design\Design\FC22\DRR Jaime\QUIFA-CAJÚA\Cajua\[CAJUA_CF_SEC_New_27-Feb-2024Rev3.xlsx]D-PND'!$DT$43</v>
      </c>
      <c r="J3035" s="37" t="s">
        <v>3400</v>
      </c>
    </row>
    <row r="3036" spans="1:10" x14ac:dyDescent="0.25">
      <c r="A3036" s="32" t="s">
        <v>3</v>
      </c>
      <c r="B3036" s="32">
        <f t="shared" si="725"/>
        <v>2055</v>
      </c>
      <c r="C3036" s="33" t="s">
        <v>42</v>
      </c>
      <c r="D3036" s="34" t="s">
        <v>1999</v>
      </c>
      <c r="E3036" s="35" t="str">
        <f t="shared" si="721"/>
        <v>PND'!</v>
      </c>
      <c r="F3036" s="34" t="str">
        <f t="shared" si="722"/>
        <v>C:\Users\jaime.benazar\Quorum Business Solutions\Ecopetrol Prometeo - Documents\Planning Space Implementation\3. Analysis &amp; Design\Design\FC22\DRR Jaime\QUIFA-CAJÚA\Cajua\[CAJUA_CF_SEC_New_27-Feb-2024Rev3.xlsx]D-PND'!</v>
      </c>
      <c r="G3036" s="32" t="s">
        <v>117</v>
      </c>
      <c r="H3036" s="33">
        <f t="shared" si="723"/>
        <v>44</v>
      </c>
      <c r="I3036" s="33" t="str">
        <f t="shared" si="724"/>
        <v>='C:\Users\jaime.benazar\Quorum Business Solutions\Ecopetrol Prometeo - Documents\Planning Space Implementation\3. Analysis &amp; Design\Design\FC22\DRR Jaime\QUIFA-CAJÚA\Cajua\[CAJUA_CF_SEC_New_27-Feb-2024Rev3.xlsx]D-PND'!$DT$44</v>
      </c>
      <c r="J3036" s="37" t="s">
        <v>3401</v>
      </c>
    </row>
    <row r="3037" spans="1:10" x14ac:dyDescent="0.25">
      <c r="A3037" s="32" t="s">
        <v>3</v>
      </c>
      <c r="B3037" s="32">
        <f t="shared" si="725"/>
        <v>2056</v>
      </c>
      <c r="C3037" s="33" t="s">
        <v>42</v>
      </c>
      <c r="D3037" s="34" t="s">
        <v>1999</v>
      </c>
      <c r="E3037" s="35" t="str">
        <f t="shared" si="721"/>
        <v>PND'!</v>
      </c>
      <c r="F3037" s="34" t="str">
        <f t="shared" si="722"/>
        <v>C:\Users\jaime.benazar\Quorum Business Solutions\Ecopetrol Prometeo - Documents\Planning Space Implementation\3. Analysis &amp; Design\Design\FC22\DRR Jaime\QUIFA-CAJÚA\Cajua\[CAJUA_CF_SEC_New_27-Feb-2024Rev3.xlsx]D-PND'!</v>
      </c>
      <c r="G3037" s="32" t="s">
        <v>117</v>
      </c>
      <c r="H3037" s="33">
        <f t="shared" si="723"/>
        <v>45</v>
      </c>
      <c r="I3037" s="33" t="str">
        <f t="shared" si="724"/>
        <v>='C:\Users\jaime.benazar\Quorum Business Solutions\Ecopetrol Prometeo - Documents\Planning Space Implementation\3. Analysis &amp; Design\Design\FC22\DRR Jaime\QUIFA-CAJÚA\Cajua\[CAJUA_CF_SEC_New_27-Feb-2024Rev3.xlsx]D-PND'!$DT$45</v>
      </c>
      <c r="J3037" s="37" t="s">
        <v>3402</v>
      </c>
    </row>
    <row r="3038" spans="1:10" x14ac:dyDescent="0.25">
      <c r="A3038" s="32" t="s">
        <v>3</v>
      </c>
      <c r="B3038" s="32">
        <f t="shared" si="725"/>
        <v>2057</v>
      </c>
      <c r="C3038" s="33" t="s">
        <v>42</v>
      </c>
      <c r="D3038" s="34" t="s">
        <v>1999</v>
      </c>
      <c r="E3038" s="35" t="str">
        <f t="shared" si="721"/>
        <v>PND'!</v>
      </c>
      <c r="F3038" s="34" t="str">
        <f t="shared" si="722"/>
        <v>C:\Users\jaime.benazar\Quorum Business Solutions\Ecopetrol Prometeo - Documents\Planning Space Implementation\3. Analysis &amp; Design\Design\FC22\DRR Jaime\QUIFA-CAJÚA\Cajua\[CAJUA_CF_SEC_New_27-Feb-2024Rev3.xlsx]D-PND'!</v>
      </c>
      <c r="G3038" s="32" t="s">
        <v>117</v>
      </c>
      <c r="H3038" s="33">
        <f t="shared" si="723"/>
        <v>46</v>
      </c>
      <c r="I3038" s="33" t="str">
        <f t="shared" si="724"/>
        <v>='C:\Users\jaime.benazar\Quorum Business Solutions\Ecopetrol Prometeo - Documents\Planning Space Implementation\3. Analysis &amp; Design\Design\FC22\DRR Jaime\QUIFA-CAJÚA\Cajua\[CAJUA_CF_SEC_New_27-Feb-2024Rev3.xlsx]D-PND'!$DT$46</v>
      </c>
      <c r="J3038" s="37" t="s">
        <v>3403</v>
      </c>
    </row>
    <row r="3039" spans="1:10" x14ac:dyDescent="0.25">
      <c r="A3039" s="32" t="s">
        <v>3</v>
      </c>
      <c r="B3039" s="32">
        <f t="shared" si="725"/>
        <v>2058</v>
      </c>
      <c r="C3039" s="33" t="s">
        <v>42</v>
      </c>
      <c r="D3039" s="34" t="s">
        <v>1999</v>
      </c>
      <c r="E3039" s="35" t="str">
        <f t="shared" si="721"/>
        <v>PND'!</v>
      </c>
      <c r="F3039" s="34" t="str">
        <f t="shared" si="722"/>
        <v>C:\Users\jaime.benazar\Quorum Business Solutions\Ecopetrol Prometeo - Documents\Planning Space Implementation\3. Analysis &amp; Design\Design\FC22\DRR Jaime\QUIFA-CAJÚA\Cajua\[CAJUA_CF_SEC_New_27-Feb-2024Rev3.xlsx]D-PND'!</v>
      </c>
      <c r="G3039" s="32" t="s">
        <v>117</v>
      </c>
      <c r="H3039" s="33">
        <f t="shared" si="723"/>
        <v>47</v>
      </c>
      <c r="I3039" s="33" t="str">
        <f t="shared" si="724"/>
        <v>='C:\Users\jaime.benazar\Quorum Business Solutions\Ecopetrol Prometeo - Documents\Planning Space Implementation\3. Analysis &amp; Design\Design\FC22\DRR Jaime\QUIFA-CAJÚA\Cajua\[CAJUA_CF_SEC_New_27-Feb-2024Rev3.xlsx]D-PND'!$DT$47</v>
      </c>
      <c r="J3039" s="37" t="s">
        <v>3404</v>
      </c>
    </row>
    <row r="3040" spans="1:10" x14ac:dyDescent="0.25">
      <c r="A3040" s="32" t="s">
        <v>3</v>
      </c>
      <c r="B3040" s="32">
        <f t="shared" si="725"/>
        <v>2059</v>
      </c>
      <c r="C3040" s="33" t="s">
        <v>42</v>
      </c>
      <c r="D3040" s="34" t="s">
        <v>1999</v>
      </c>
      <c r="E3040" s="35" t="str">
        <f t="shared" si="721"/>
        <v>PND'!</v>
      </c>
      <c r="F3040" s="34" t="str">
        <f t="shared" si="722"/>
        <v>C:\Users\jaime.benazar\Quorum Business Solutions\Ecopetrol Prometeo - Documents\Planning Space Implementation\3. Analysis &amp; Design\Design\FC22\DRR Jaime\QUIFA-CAJÚA\Cajua\[CAJUA_CF_SEC_New_27-Feb-2024Rev3.xlsx]D-PND'!</v>
      </c>
      <c r="G3040" s="32" t="s">
        <v>117</v>
      </c>
      <c r="H3040" s="33">
        <f t="shared" si="723"/>
        <v>48</v>
      </c>
      <c r="I3040" s="33" t="str">
        <f t="shared" si="724"/>
        <v>='C:\Users\jaime.benazar\Quorum Business Solutions\Ecopetrol Prometeo - Documents\Planning Space Implementation\3. Analysis &amp; Design\Design\FC22\DRR Jaime\QUIFA-CAJÚA\Cajua\[CAJUA_CF_SEC_New_27-Feb-2024Rev3.xlsx]D-PND'!$DT$48</v>
      </c>
      <c r="J3040" s="37" t="s">
        <v>3405</v>
      </c>
    </row>
    <row r="3041" spans="1:10" x14ac:dyDescent="0.25">
      <c r="A3041" s="32" t="s">
        <v>28</v>
      </c>
      <c r="B3041" s="32"/>
      <c r="C3041" s="33" t="s">
        <v>42</v>
      </c>
      <c r="D3041" s="34"/>
      <c r="E3041" s="35"/>
      <c r="F3041" s="34"/>
      <c r="G3041" s="32"/>
      <c r="H3041" s="33"/>
      <c r="I3041" s="33"/>
      <c r="J3041" s="33"/>
    </row>
    <row r="3042" spans="1:10" x14ac:dyDescent="0.25">
      <c r="A3042" s="32" t="s">
        <v>99</v>
      </c>
      <c r="B3042" s="32">
        <v>2023</v>
      </c>
      <c r="C3042" s="33" t="s">
        <v>42</v>
      </c>
      <c r="D3042" s="34" t="s">
        <v>1999</v>
      </c>
      <c r="E3042" s="35" t="str">
        <f t="shared" ref="E3042:E3062" si="726">_xlfn.CONCAT(A3042,"'!")</f>
        <v>PRBDP'!</v>
      </c>
      <c r="F3042" s="34" t="str">
        <f t="shared" ref="F3042:F3062" si="727">_xlfn.CONCAT(D3042:E3042)</f>
        <v>C:\Users\jaime.benazar\Quorum Business Solutions\Ecopetrol Prometeo - Documents\Planning Space Implementation\3. Analysis &amp; Design\Design\FC22\DRR Jaime\QUIFA-CAJÚA\Cajua\[CAJUA_CF_SEC_New_27-Feb-2024Rev3.xlsx]D-PRBDP'!</v>
      </c>
      <c r="G3042" s="32" t="s">
        <v>117</v>
      </c>
      <c r="H3042" s="33"/>
      <c r="I3042" s="33"/>
      <c r="J3042" s="37"/>
    </row>
    <row r="3043" spans="1:10" x14ac:dyDescent="0.25">
      <c r="A3043" s="32" t="s">
        <v>99</v>
      </c>
      <c r="B3043" s="32">
        <f>+B3042+1</f>
        <v>2024</v>
      </c>
      <c r="C3043" s="33" t="s">
        <v>42</v>
      </c>
      <c r="D3043" s="34" t="s">
        <v>1999</v>
      </c>
      <c r="E3043" s="35" t="str">
        <f t="shared" si="726"/>
        <v>PRBDP'!</v>
      </c>
      <c r="F3043" s="34" t="str">
        <f t="shared" si="727"/>
        <v>C:\Users\jaime.benazar\Quorum Business Solutions\Ecopetrol Prometeo - Documents\Planning Space Implementation\3. Analysis &amp; Design\Design\FC22\DRR Jaime\QUIFA-CAJÚA\Cajua\[CAJUA_CF_SEC_New_27-Feb-2024Rev3.xlsx]D-PRBDP'!</v>
      </c>
      <c r="G3043" s="32" t="s">
        <v>117</v>
      </c>
      <c r="H3043" s="33"/>
      <c r="I3043" s="33"/>
      <c r="J3043" s="37"/>
    </row>
    <row r="3044" spans="1:10" x14ac:dyDescent="0.25">
      <c r="A3044" s="32" t="s">
        <v>99</v>
      </c>
      <c r="B3044" s="32">
        <f t="shared" ref="B3044:B3055" si="728">+B3043+1</f>
        <v>2025</v>
      </c>
      <c r="C3044" s="33" t="s">
        <v>42</v>
      </c>
      <c r="D3044" s="34" t="s">
        <v>1999</v>
      </c>
      <c r="E3044" s="35" t="str">
        <f t="shared" si="726"/>
        <v>PRBDP'!</v>
      </c>
      <c r="F3044" s="34" t="str">
        <f t="shared" si="727"/>
        <v>C:\Users\jaime.benazar\Quorum Business Solutions\Ecopetrol Prometeo - Documents\Planning Space Implementation\3. Analysis &amp; Design\Design\FC22\DRR Jaime\QUIFA-CAJÚA\Cajua\[CAJUA_CF_SEC_New_27-Feb-2024Rev3.xlsx]D-PRBDP'!</v>
      </c>
      <c r="G3044" s="32" t="s">
        <v>117</v>
      </c>
      <c r="H3044" s="33"/>
      <c r="I3044" s="33"/>
      <c r="J3044" s="37"/>
    </row>
    <row r="3045" spans="1:10" x14ac:dyDescent="0.25">
      <c r="A3045" s="32" t="s">
        <v>99</v>
      </c>
      <c r="B3045" s="32">
        <f t="shared" si="728"/>
        <v>2026</v>
      </c>
      <c r="C3045" s="33" t="s">
        <v>42</v>
      </c>
      <c r="D3045" s="34" t="s">
        <v>1999</v>
      </c>
      <c r="E3045" s="35" t="str">
        <f t="shared" si="726"/>
        <v>PRBDP'!</v>
      </c>
      <c r="F3045" s="34" t="str">
        <f t="shared" si="727"/>
        <v>C:\Users\jaime.benazar\Quorum Business Solutions\Ecopetrol Prometeo - Documents\Planning Space Implementation\3. Analysis &amp; Design\Design\FC22\DRR Jaime\QUIFA-CAJÚA\Cajua\[CAJUA_CF_SEC_New_27-Feb-2024Rev3.xlsx]D-PRBDP'!</v>
      </c>
      <c r="G3045" s="32" t="s">
        <v>117</v>
      </c>
      <c r="H3045" s="33"/>
      <c r="I3045" s="33"/>
      <c r="J3045" s="37"/>
    </row>
    <row r="3046" spans="1:10" x14ac:dyDescent="0.25">
      <c r="A3046" s="32" t="s">
        <v>99</v>
      </c>
      <c r="B3046" s="32">
        <f t="shared" si="728"/>
        <v>2027</v>
      </c>
      <c r="C3046" s="33" t="s">
        <v>42</v>
      </c>
      <c r="D3046" s="34" t="s">
        <v>1999</v>
      </c>
      <c r="E3046" s="35" t="str">
        <f t="shared" si="726"/>
        <v>PRBDP'!</v>
      </c>
      <c r="F3046" s="34" t="str">
        <f t="shared" si="727"/>
        <v>C:\Users\jaime.benazar\Quorum Business Solutions\Ecopetrol Prometeo - Documents\Planning Space Implementation\3. Analysis &amp; Design\Design\FC22\DRR Jaime\QUIFA-CAJÚA\Cajua\[CAJUA_CF_SEC_New_27-Feb-2024Rev3.xlsx]D-PRBDP'!</v>
      </c>
      <c r="G3046" s="32" t="s">
        <v>117</v>
      </c>
      <c r="H3046" s="33"/>
      <c r="I3046" s="33"/>
      <c r="J3046" s="37"/>
    </row>
    <row r="3047" spans="1:10" x14ac:dyDescent="0.25">
      <c r="A3047" s="32" t="s">
        <v>99</v>
      </c>
      <c r="B3047" s="32">
        <f t="shared" si="728"/>
        <v>2028</v>
      </c>
      <c r="C3047" s="33" t="s">
        <v>42</v>
      </c>
      <c r="D3047" s="34" t="s">
        <v>1999</v>
      </c>
      <c r="E3047" s="35" t="str">
        <f t="shared" si="726"/>
        <v>PRBDP'!</v>
      </c>
      <c r="F3047" s="34" t="str">
        <f t="shared" si="727"/>
        <v>C:\Users\jaime.benazar\Quorum Business Solutions\Ecopetrol Prometeo - Documents\Planning Space Implementation\3. Analysis &amp; Design\Design\FC22\DRR Jaime\QUIFA-CAJÚA\Cajua\[CAJUA_CF_SEC_New_27-Feb-2024Rev3.xlsx]D-PRBDP'!</v>
      </c>
      <c r="G3047" s="32" t="s">
        <v>117</v>
      </c>
      <c r="H3047" s="33"/>
      <c r="I3047" s="33"/>
      <c r="J3047" s="37"/>
    </row>
    <row r="3048" spans="1:10" x14ac:dyDescent="0.25">
      <c r="A3048" s="32" t="s">
        <v>99</v>
      </c>
      <c r="B3048" s="32">
        <f t="shared" si="728"/>
        <v>2029</v>
      </c>
      <c r="C3048" s="33" t="s">
        <v>42</v>
      </c>
      <c r="D3048" s="34" t="s">
        <v>1999</v>
      </c>
      <c r="E3048" s="35" t="str">
        <f t="shared" si="726"/>
        <v>PRBDP'!</v>
      </c>
      <c r="F3048" s="34" t="str">
        <f t="shared" si="727"/>
        <v>C:\Users\jaime.benazar\Quorum Business Solutions\Ecopetrol Prometeo - Documents\Planning Space Implementation\3. Analysis &amp; Design\Design\FC22\DRR Jaime\QUIFA-CAJÚA\Cajua\[CAJUA_CF_SEC_New_27-Feb-2024Rev3.xlsx]D-PRBDP'!</v>
      </c>
      <c r="G3048" s="32" t="s">
        <v>117</v>
      </c>
      <c r="H3048" s="33"/>
      <c r="I3048" s="33"/>
      <c r="J3048" s="37"/>
    </row>
    <row r="3049" spans="1:10" x14ac:dyDescent="0.25">
      <c r="A3049" s="32" t="s">
        <v>99</v>
      </c>
      <c r="B3049" s="32">
        <f t="shared" si="728"/>
        <v>2030</v>
      </c>
      <c r="C3049" s="33" t="s">
        <v>42</v>
      </c>
      <c r="D3049" s="34" t="s">
        <v>1999</v>
      </c>
      <c r="E3049" s="35" t="str">
        <f t="shared" si="726"/>
        <v>PRBDP'!</v>
      </c>
      <c r="F3049" s="34" t="str">
        <f t="shared" si="727"/>
        <v>C:\Users\jaime.benazar\Quorum Business Solutions\Ecopetrol Prometeo - Documents\Planning Space Implementation\3. Analysis &amp; Design\Design\FC22\DRR Jaime\QUIFA-CAJÚA\Cajua\[CAJUA_CF_SEC_New_27-Feb-2024Rev3.xlsx]D-PRBDP'!</v>
      </c>
      <c r="G3049" s="32" t="s">
        <v>117</v>
      </c>
      <c r="H3049" s="33"/>
      <c r="I3049" s="33"/>
      <c r="J3049" s="37"/>
    </row>
    <row r="3050" spans="1:10" x14ac:dyDescent="0.25">
      <c r="A3050" s="32" t="s">
        <v>99</v>
      </c>
      <c r="B3050" s="32">
        <f t="shared" si="728"/>
        <v>2031</v>
      </c>
      <c r="C3050" s="33" t="s">
        <v>42</v>
      </c>
      <c r="D3050" s="34" t="s">
        <v>1999</v>
      </c>
      <c r="E3050" s="35" t="str">
        <f t="shared" si="726"/>
        <v>PRBDP'!</v>
      </c>
      <c r="F3050" s="34" t="str">
        <f t="shared" si="727"/>
        <v>C:\Users\jaime.benazar\Quorum Business Solutions\Ecopetrol Prometeo - Documents\Planning Space Implementation\3. Analysis &amp; Design\Design\FC22\DRR Jaime\QUIFA-CAJÚA\Cajua\[CAJUA_CF_SEC_New_27-Feb-2024Rev3.xlsx]D-PRBDP'!</v>
      </c>
      <c r="G3050" s="32" t="s">
        <v>117</v>
      </c>
      <c r="H3050" s="33"/>
      <c r="I3050" s="33"/>
      <c r="J3050" s="37"/>
    </row>
    <row r="3051" spans="1:10" x14ac:dyDescent="0.25">
      <c r="A3051" s="32" t="s">
        <v>99</v>
      </c>
      <c r="B3051" s="32">
        <f t="shared" si="728"/>
        <v>2032</v>
      </c>
      <c r="C3051" s="33" t="s">
        <v>42</v>
      </c>
      <c r="D3051" s="34" t="s">
        <v>1999</v>
      </c>
      <c r="E3051" s="35" t="str">
        <f t="shared" si="726"/>
        <v>PRBDP'!</v>
      </c>
      <c r="F3051" s="34" t="str">
        <f t="shared" si="727"/>
        <v>C:\Users\jaime.benazar\Quorum Business Solutions\Ecopetrol Prometeo - Documents\Planning Space Implementation\3. Analysis &amp; Design\Design\FC22\DRR Jaime\QUIFA-CAJÚA\Cajua\[CAJUA_CF_SEC_New_27-Feb-2024Rev3.xlsx]D-PRBDP'!</v>
      </c>
      <c r="G3051" s="32" t="s">
        <v>117</v>
      </c>
      <c r="H3051" s="33"/>
      <c r="I3051" s="33"/>
      <c r="J3051" s="37"/>
    </row>
    <row r="3052" spans="1:10" x14ac:dyDescent="0.25">
      <c r="A3052" s="32" t="s">
        <v>99</v>
      </c>
      <c r="B3052" s="32">
        <f t="shared" si="728"/>
        <v>2033</v>
      </c>
      <c r="C3052" s="33" t="s">
        <v>42</v>
      </c>
      <c r="D3052" s="34" t="s">
        <v>1999</v>
      </c>
      <c r="E3052" s="35" t="str">
        <f t="shared" si="726"/>
        <v>PRBDP'!</v>
      </c>
      <c r="F3052" s="34" t="str">
        <f t="shared" si="727"/>
        <v>C:\Users\jaime.benazar\Quorum Business Solutions\Ecopetrol Prometeo - Documents\Planning Space Implementation\3. Analysis &amp; Design\Design\FC22\DRR Jaime\QUIFA-CAJÚA\Cajua\[CAJUA_CF_SEC_New_27-Feb-2024Rev3.xlsx]D-PRBDP'!</v>
      </c>
      <c r="G3052" s="32" t="s">
        <v>117</v>
      </c>
      <c r="H3052" s="33"/>
      <c r="I3052" s="33"/>
      <c r="J3052" s="37"/>
    </row>
    <row r="3053" spans="1:10" x14ac:dyDescent="0.25">
      <c r="A3053" s="32" t="s">
        <v>99</v>
      </c>
      <c r="B3053" s="32">
        <f t="shared" si="728"/>
        <v>2034</v>
      </c>
      <c r="C3053" s="33" t="s">
        <v>42</v>
      </c>
      <c r="D3053" s="34" t="s">
        <v>1999</v>
      </c>
      <c r="E3053" s="35" t="str">
        <f t="shared" si="726"/>
        <v>PRBDP'!</v>
      </c>
      <c r="F3053" s="34" t="str">
        <f t="shared" si="727"/>
        <v>C:\Users\jaime.benazar\Quorum Business Solutions\Ecopetrol Prometeo - Documents\Planning Space Implementation\3. Analysis &amp; Design\Design\FC22\DRR Jaime\QUIFA-CAJÚA\Cajua\[CAJUA_CF_SEC_New_27-Feb-2024Rev3.xlsx]D-PRBDP'!</v>
      </c>
      <c r="G3053" s="32" t="s">
        <v>117</v>
      </c>
      <c r="H3053" s="33"/>
      <c r="I3053" s="33"/>
      <c r="J3053" s="37"/>
    </row>
    <row r="3054" spans="1:10" x14ac:dyDescent="0.25">
      <c r="A3054" s="32" t="s">
        <v>99</v>
      </c>
      <c r="B3054" s="32">
        <f t="shared" si="728"/>
        <v>2035</v>
      </c>
      <c r="C3054" s="33" t="s">
        <v>42</v>
      </c>
      <c r="D3054" s="34" t="s">
        <v>1999</v>
      </c>
      <c r="E3054" s="35" t="str">
        <f t="shared" si="726"/>
        <v>PRBDP'!</v>
      </c>
      <c r="F3054" s="34" t="str">
        <f t="shared" si="727"/>
        <v>C:\Users\jaime.benazar\Quorum Business Solutions\Ecopetrol Prometeo - Documents\Planning Space Implementation\3. Analysis &amp; Design\Design\FC22\DRR Jaime\QUIFA-CAJÚA\Cajua\[CAJUA_CF_SEC_New_27-Feb-2024Rev3.xlsx]D-PRBDP'!</v>
      </c>
      <c r="G3054" s="32" t="s">
        <v>117</v>
      </c>
      <c r="H3054" s="33"/>
      <c r="I3054" s="33"/>
      <c r="J3054" s="37"/>
    </row>
    <row r="3055" spans="1:10" x14ac:dyDescent="0.25">
      <c r="A3055" s="32" t="s">
        <v>99</v>
      </c>
      <c r="B3055" s="32">
        <f t="shared" si="728"/>
        <v>2036</v>
      </c>
      <c r="C3055" s="33" t="s">
        <v>42</v>
      </c>
      <c r="D3055" s="34" t="s">
        <v>1999</v>
      </c>
      <c r="E3055" s="35" t="str">
        <f t="shared" si="726"/>
        <v>PRBDP'!</v>
      </c>
      <c r="F3055" s="34" t="str">
        <f t="shared" si="727"/>
        <v>C:\Users\jaime.benazar\Quorum Business Solutions\Ecopetrol Prometeo - Documents\Planning Space Implementation\3. Analysis &amp; Design\Design\FC22\DRR Jaime\QUIFA-CAJÚA\Cajua\[CAJUA_CF_SEC_New_27-Feb-2024Rev3.xlsx]D-PRBDP'!</v>
      </c>
      <c r="G3055" s="32" t="s">
        <v>117</v>
      </c>
      <c r="H3055" s="33"/>
      <c r="I3055" s="33"/>
      <c r="J3055" s="37"/>
    </row>
    <row r="3056" spans="1:10" x14ac:dyDescent="0.25">
      <c r="A3056" s="32" t="s">
        <v>99</v>
      </c>
      <c r="B3056" s="32">
        <f>+B3055+1</f>
        <v>2037</v>
      </c>
      <c r="C3056" s="33" t="s">
        <v>42</v>
      </c>
      <c r="D3056" s="34" t="s">
        <v>1999</v>
      </c>
      <c r="E3056" s="35" t="str">
        <f t="shared" si="726"/>
        <v>PRBDP'!</v>
      </c>
      <c r="F3056" s="34" t="str">
        <f t="shared" si="727"/>
        <v>C:\Users\jaime.benazar\Quorum Business Solutions\Ecopetrol Prometeo - Documents\Planning Space Implementation\3. Analysis &amp; Design\Design\FC22\DRR Jaime\QUIFA-CAJÚA\Cajua\[CAJUA_CF_SEC_New_27-Feb-2024Rev3.xlsx]D-PRBDP'!</v>
      </c>
      <c r="G3056" s="32" t="s">
        <v>117</v>
      </c>
      <c r="H3056" s="33"/>
      <c r="I3056" s="33"/>
      <c r="J3056" s="37"/>
    </row>
    <row r="3057" spans="1:10" x14ac:dyDescent="0.25">
      <c r="A3057" s="32" t="s">
        <v>99</v>
      </c>
      <c r="B3057" s="32">
        <f t="shared" ref="B3057:B3059" si="729">+B3056+1</f>
        <v>2038</v>
      </c>
      <c r="C3057" s="33" t="s">
        <v>42</v>
      </c>
      <c r="D3057" s="34" t="s">
        <v>1999</v>
      </c>
      <c r="E3057" s="35" t="str">
        <f t="shared" si="726"/>
        <v>PRBDP'!</v>
      </c>
      <c r="F3057" s="34" t="str">
        <f t="shared" si="727"/>
        <v>C:\Users\jaime.benazar\Quorum Business Solutions\Ecopetrol Prometeo - Documents\Planning Space Implementation\3. Analysis &amp; Design\Design\FC22\DRR Jaime\QUIFA-CAJÚA\Cajua\[CAJUA_CF_SEC_New_27-Feb-2024Rev3.xlsx]D-PRBDP'!</v>
      </c>
      <c r="G3057" s="32" t="s">
        <v>117</v>
      </c>
      <c r="H3057" s="33"/>
      <c r="I3057" s="33"/>
      <c r="J3057" s="37"/>
    </row>
    <row r="3058" spans="1:10" x14ac:dyDescent="0.25">
      <c r="A3058" s="32" t="s">
        <v>99</v>
      </c>
      <c r="B3058" s="32">
        <f t="shared" si="729"/>
        <v>2039</v>
      </c>
      <c r="C3058" s="33" t="s">
        <v>42</v>
      </c>
      <c r="D3058" s="34" t="s">
        <v>1999</v>
      </c>
      <c r="E3058" s="35" t="str">
        <f t="shared" si="726"/>
        <v>PRBDP'!</v>
      </c>
      <c r="F3058" s="34" t="str">
        <f t="shared" si="727"/>
        <v>C:\Users\jaime.benazar\Quorum Business Solutions\Ecopetrol Prometeo - Documents\Planning Space Implementation\3. Analysis &amp; Design\Design\FC22\DRR Jaime\QUIFA-CAJÚA\Cajua\[CAJUA_CF_SEC_New_27-Feb-2024Rev3.xlsx]D-PRBDP'!</v>
      </c>
      <c r="G3058" s="32" t="s">
        <v>117</v>
      </c>
      <c r="H3058" s="33"/>
      <c r="I3058" s="33"/>
      <c r="J3058" s="37"/>
    </row>
    <row r="3059" spans="1:10" x14ac:dyDescent="0.25">
      <c r="A3059" s="32" t="s">
        <v>99</v>
      </c>
      <c r="B3059" s="32">
        <f t="shared" si="729"/>
        <v>2040</v>
      </c>
      <c r="C3059" s="33" t="s">
        <v>42</v>
      </c>
      <c r="D3059" s="34" t="s">
        <v>1999</v>
      </c>
      <c r="E3059" s="35" t="str">
        <f t="shared" si="726"/>
        <v>PRBDP'!</v>
      </c>
      <c r="F3059" s="34" t="str">
        <f t="shared" si="727"/>
        <v>C:\Users\jaime.benazar\Quorum Business Solutions\Ecopetrol Prometeo - Documents\Planning Space Implementation\3. Analysis &amp; Design\Design\FC22\DRR Jaime\QUIFA-CAJÚA\Cajua\[CAJUA_CF_SEC_New_27-Feb-2024Rev3.xlsx]D-PRBDP'!</v>
      </c>
      <c r="G3059" s="32" t="s">
        <v>117</v>
      </c>
      <c r="H3059" s="33"/>
      <c r="I3059" s="33"/>
      <c r="J3059" s="37"/>
    </row>
    <row r="3060" spans="1:10" x14ac:dyDescent="0.25">
      <c r="A3060" s="32" t="s">
        <v>99</v>
      </c>
      <c r="B3060" s="32">
        <f>+B3059+1</f>
        <v>2041</v>
      </c>
      <c r="C3060" s="33" t="s">
        <v>42</v>
      </c>
      <c r="D3060" s="34" t="s">
        <v>1999</v>
      </c>
      <c r="E3060" s="35" t="str">
        <f t="shared" si="726"/>
        <v>PRBDP'!</v>
      </c>
      <c r="F3060" s="34" t="str">
        <f t="shared" si="727"/>
        <v>C:\Users\jaime.benazar\Quorum Business Solutions\Ecopetrol Prometeo - Documents\Planning Space Implementation\3. Analysis &amp; Design\Design\FC22\DRR Jaime\QUIFA-CAJÚA\Cajua\[CAJUA_CF_SEC_New_27-Feb-2024Rev3.xlsx]D-PRBDP'!</v>
      </c>
      <c r="G3060" s="32" t="s">
        <v>117</v>
      </c>
      <c r="H3060" s="33"/>
      <c r="I3060" s="33"/>
      <c r="J3060" s="37"/>
    </row>
    <row r="3061" spans="1:10" x14ac:dyDescent="0.25">
      <c r="A3061" s="32" t="s">
        <v>99</v>
      </c>
      <c r="B3061" s="32">
        <f t="shared" ref="B3061:B3062" si="730">+B3060+1</f>
        <v>2042</v>
      </c>
      <c r="C3061" s="33" t="s">
        <v>42</v>
      </c>
      <c r="D3061" s="34" t="s">
        <v>1999</v>
      </c>
      <c r="E3061" s="35" t="str">
        <f t="shared" si="726"/>
        <v>PRBDP'!</v>
      </c>
      <c r="F3061" s="34" t="str">
        <f t="shared" si="727"/>
        <v>C:\Users\jaime.benazar\Quorum Business Solutions\Ecopetrol Prometeo - Documents\Planning Space Implementation\3. Analysis &amp; Design\Design\FC22\DRR Jaime\QUIFA-CAJÚA\Cajua\[CAJUA_CF_SEC_New_27-Feb-2024Rev3.xlsx]D-PRBDP'!</v>
      </c>
      <c r="G3061" s="32" t="s">
        <v>117</v>
      </c>
      <c r="H3061" s="33"/>
      <c r="I3061" s="33"/>
      <c r="J3061" s="37"/>
    </row>
    <row r="3062" spans="1:10" x14ac:dyDescent="0.25">
      <c r="A3062" s="32" t="s">
        <v>99</v>
      </c>
      <c r="B3062" s="32">
        <f t="shared" si="730"/>
        <v>2043</v>
      </c>
      <c r="C3062" s="33" t="s">
        <v>42</v>
      </c>
      <c r="D3062" s="34" t="s">
        <v>1999</v>
      </c>
      <c r="E3062" s="35" t="str">
        <f t="shared" si="726"/>
        <v>PRBDP'!</v>
      </c>
      <c r="F3062" s="34" t="str">
        <f t="shared" si="727"/>
        <v>C:\Users\jaime.benazar\Quorum Business Solutions\Ecopetrol Prometeo - Documents\Planning Space Implementation\3. Analysis &amp; Design\Design\FC22\DRR Jaime\QUIFA-CAJÚA\Cajua\[CAJUA_CF_SEC_New_27-Feb-2024Rev3.xlsx]D-PRBDP'!</v>
      </c>
      <c r="G3062" s="32" t="s">
        <v>117</v>
      </c>
      <c r="H3062" s="33"/>
      <c r="I3062" s="33"/>
      <c r="J3062" s="37"/>
    </row>
    <row r="3063" spans="1:10" x14ac:dyDescent="0.25">
      <c r="A3063" s="32" t="s">
        <v>99</v>
      </c>
      <c r="B3063" s="32">
        <f>+B3062+1</f>
        <v>2044</v>
      </c>
      <c r="C3063" s="33" t="s">
        <v>42</v>
      </c>
      <c r="D3063" s="34" t="s">
        <v>1999</v>
      </c>
      <c r="E3063" s="35" t="str">
        <f t="shared" ref="E3063:E3078" si="731">_xlfn.CONCAT(A3063,"'!")</f>
        <v>PRBDP'!</v>
      </c>
      <c r="F3063" s="34" t="str">
        <f t="shared" ref="F3063:F3078" si="732">_xlfn.CONCAT(D3063:E3063)</f>
        <v>C:\Users\jaime.benazar\Quorum Business Solutions\Ecopetrol Prometeo - Documents\Planning Space Implementation\3. Analysis &amp; Design\Design\FC22\DRR Jaime\QUIFA-CAJÚA\Cajua\[CAJUA_CF_SEC_New_27-Feb-2024Rev3.xlsx]D-PRBDP'!</v>
      </c>
      <c r="G3063" s="32" t="s">
        <v>117</v>
      </c>
      <c r="H3063" s="33"/>
      <c r="I3063" s="33"/>
      <c r="J3063" s="37"/>
    </row>
    <row r="3064" spans="1:10" x14ac:dyDescent="0.25">
      <c r="A3064" s="32" t="s">
        <v>99</v>
      </c>
      <c r="B3064" s="32">
        <f t="shared" ref="B3064:B3078" si="733">+B3063+1</f>
        <v>2045</v>
      </c>
      <c r="C3064" s="33" t="s">
        <v>42</v>
      </c>
      <c r="D3064" s="34" t="s">
        <v>1999</v>
      </c>
      <c r="E3064" s="35" t="str">
        <f t="shared" si="731"/>
        <v>PRBDP'!</v>
      </c>
      <c r="F3064" s="34" t="str">
        <f t="shared" si="732"/>
        <v>C:\Users\jaime.benazar\Quorum Business Solutions\Ecopetrol Prometeo - Documents\Planning Space Implementation\3. Analysis &amp; Design\Design\FC22\DRR Jaime\QUIFA-CAJÚA\Cajua\[CAJUA_CF_SEC_New_27-Feb-2024Rev3.xlsx]D-PRBDP'!</v>
      </c>
      <c r="G3064" s="32" t="s">
        <v>117</v>
      </c>
      <c r="H3064" s="33"/>
      <c r="I3064" s="33"/>
      <c r="J3064" s="37"/>
    </row>
    <row r="3065" spans="1:10" x14ac:dyDescent="0.25">
      <c r="A3065" s="32" t="s">
        <v>99</v>
      </c>
      <c r="B3065" s="32">
        <f t="shared" si="733"/>
        <v>2046</v>
      </c>
      <c r="C3065" s="33" t="s">
        <v>42</v>
      </c>
      <c r="D3065" s="34" t="s">
        <v>1999</v>
      </c>
      <c r="E3065" s="35" t="str">
        <f t="shared" si="731"/>
        <v>PRBDP'!</v>
      </c>
      <c r="F3065" s="34" t="str">
        <f t="shared" si="732"/>
        <v>C:\Users\jaime.benazar\Quorum Business Solutions\Ecopetrol Prometeo - Documents\Planning Space Implementation\3. Analysis &amp; Design\Design\FC22\DRR Jaime\QUIFA-CAJÚA\Cajua\[CAJUA_CF_SEC_New_27-Feb-2024Rev3.xlsx]D-PRBDP'!</v>
      </c>
      <c r="G3065" s="32" t="s">
        <v>117</v>
      </c>
      <c r="H3065" s="33"/>
      <c r="I3065" s="33"/>
      <c r="J3065" s="37"/>
    </row>
    <row r="3066" spans="1:10" x14ac:dyDescent="0.25">
      <c r="A3066" s="32" t="s">
        <v>99</v>
      </c>
      <c r="B3066" s="32">
        <f t="shared" si="733"/>
        <v>2047</v>
      </c>
      <c r="C3066" s="33" t="s">
        <v>42</v>
      </c>
      <c r="D3066" s="34" t="s">
        <v>1999</v>
      </c>
      <c r="E3066" s="35" t="str">
        <f t="shared" si="731"/>
        <v>PRBDP'!</v>
      </c>
      <c r="F3066" s="34" t="str">
        <f t="shared" si="732"/>
        <v>C:\Users\jaime.benazar\Quorum Business Solutions\Ecopetrol Prometeo - Documents\Planning Space Implementation\3. Analysis &amp; Design\Design\FC22\DRR Jaime\QUIFA-CAJÚA\Cajua\[CAJUA_CF_SEC_New_27-Feb-2024Rev3.xlsx]D-PRBDP'!</v>
      </c>
      <c r="G3066" s="32" t="s">
        <v>117</v>
      </c>
      <c r="H3066" s="33"/>
      <c r="I3066" s="33"/>
      <c r="J3066" s="37"/>
    </row>
    <row r="3067" spans="1:10" x14ac:dyDescent="0.25">
      <c r="A3067" s="32" t="s">
        <v>99</v>
      </c>
      <c r="B3067" s="32">
        <f t="shared" si="733"/>
        <v>2048</v>
      </c>
      <c r="C3067" s="33" t="s">
        <v>42</v>
      </c>
      <c r="D3067" s="34" t="s">
        <v>1999</v>
      </c>
      <c r="E3067" s="35" t="str">
        <f t="shared" si="731"/>
        <v>PRBDP'!</v>
      </c>
      <c r="F3067" s="34" t="str">
        <f t="shared" si="732"/>
        <v>C:\Users\jaime.benazar\Quorum Business Solutions\Ecopetrol Prometeo - Documents\Planning Space Implementation\3. Analysis &amp; Design\Design\FC22\DRR Jaime\QUIFA-CAJÚA\Cajua\[CAJUA_CF_SEC_New_27-Feb-2024Rev3.xlsx]D-PRBDP'!</v>
      </c>
      <c r="G3067" s="32" t="s">
        <v>117</v>
      </c>
      <c r="H3067" s="33"/>
      <c r="I3067" s="33"/>
      <c r="J3067" s="37"/>
    </row>
    <row r="3068" spans="1:10" x14ac:dyDescent="0.25">
      <c r="A3068" s="32" t="s">
        <v>99</v>
      </c>
      <c r="B3068" s="32">
        <f t="shared" si="733"/>
        <v>2049</v>
      </c>
      <c r="C3068" s="33" t="s">
        <v>42</v>
      </c>
      <c r="D3068" s="34" t="s">
        <v>1999</v>
      </c>
      <c r="E3068" s="35" t="str">
        <f t="shared" si="731"/>
        <v>PRBDP'!</v>
      </c>
      <c r="F3068" s="34" t="str">
        <f t="shared" si="732"/>
        <v>C:\Users\jaime.benazar\Quorum Business Solutions\Ecopetrol Prometeo - Documents\Planning Space Implementation\3. Analysis &amp; Design\Design\FC22\DRR Jaime\QUIFA-CAJÚA\Cajua\[CAJUA_CF_SEC_New_27-Feb-2024Rev3.xlsx]D-PRBDP'!</v>
      </c>
      <c r="G3068" s="32" t="s">
        <v>117</v>
      </c>
      <c r="H3068" s="33"/>
      <c r="I3068" s="33"/>
      <c r="J3068" s="37"/>
    </row>
    <row r="3069" spans="1:10" x14ac:dyDescent="0.25">
      <c r="A3069" s="32" t="s">
        <v>99</v>
      </c>
      <c r="B3069" s="32">
        <f t="shared" si="733"/>
        <v>2050</v>
      </c>
      <c r="C3069" s="33" t="s">
        <v>42</v>
      </c>
      <c r="D3069" s="34" t="s">
        <v>1999</v>
      </c>
      <c r="E3069" s="35" t="str">
        <f t="shared" si="731"/>
        <v>PRBDP'!</v>
      </c>
      <c r="F3069" s="34" t="str">
        <f t="shared" si="732"/>
        <v>C:\Users\jaime.benazar\Quorum Business Solutions\Ecopetrol Prometeo - Documents\Planning Space Implementation\3. Analysis &amp; Design\Design\FC22\DRR Jaime\QUIFA-CAJÚA\Cajua\[CAJUA_CF_SEC_New_27-Feb-2024Rev3.xlsx]D-PRBDP'!</v>
      </c>
      <c r="G3069" s="32" t="s">
        <v>117</v>
      </c>
      <c r="H3069" s="33"/>
      <c r="I3069" s="33"/>
      <c r="J3069" s="37"/>
    </row>
    <row r="3070" spans="1:10" x14ac:dyDescent="0.25">
      <c r="A3070" s="32" t="s">
        <v>99</v>
      </c>
      <c r="B3070" s="32">
        <f t="shared" si="733"/>
        <v>2051</v>
      </c>
      <c r="C3070" s="33" t="s">
        <v>42</v>
      </c>
      <c r="D3070" s="34" t="s">
        <v>1999</v>
      </c>
      <c r="E3070" s="35" t="str">
        <f t="shared" si="731"/>
        <v>PRBDP'!</v>
      </c>
      <c r="F3070" s="34" t="str">
        <f t="shared" si="732"/>
        <v>C:\Users\jaime.benazar\Quorum Business Solutions\Ecopetrol Prometeo - Documents\Planning Space Implementation\3. Analysis &amp; Design\Design\FC22\DRR Jaime\QUIFA-CAJÚA\Cajua\[CAJUA_CF_SEC_New_27-Feb-2024Rev3.xlsx]D-PRBDP'!</v>
      </c>
      <c r="G3070" s="32" t="s">
        <v>117</v>
      </c>
      <c r="H3070" s="33"/>
      <c r="I3070" s="33"/>
      <c r="J3070" s="37"/>
    </row>
    <row r="3071" spans="1:10" x14ac:dyDescent="0.25">
      <c r="A3071" s="32" t="s">
        <v>99</v>
      </c>
      <c r="B3071" s="32">
        <f t="shared" si="733"/>
        <v>2052</v>
      </c>
      <c r="C3071" s="33" t="s">
        <v>42</v>
      </c>
      <c r="D3071" s="34" t="s">
        <v>1999</v>
      </c>
      <c r="E3071" s="35" t="str">
        <f t="shared" si="731"/>
        <v>PRBDP'!</v>
      </c>
      <c r="F3071" s="34" t="str">
        <f t="shared" si="732"/>
        <v>C:\Users\jaime.benazar\Quorum Business Solutions\Ecopetrol Prometeo - Documents\Planning Space Implementation\3. Analysis &amp; Design\Design\FC22\DRR Jaime\QUIFA-CAJÚA\Cajua\[CAJUA_CF_SEC_New_27-Feb-2024Rev3.xlsx]D-PRBDP'!</v>
      </c>
      <c r="G3071" s="32" t="s">
        <v>117</v>
      </c>
      <c r="H3071" s="33"/>
      <c r="I3071" s="33"/>
      <c r="J3071" s="37"/>
    </row>
    <row r="3072" spans="1:10" x14ac:dyDescent="0.25">
      <c r="A3072" s="32" t="s">
        <v>99</v>
      </c>
      <c r="B3072" s="32">
        <f t="shared" si="733"/>
        <v>2053</v>
      </c>
      <c r="C3072" s="33" t="s">
        <v>42</v>
      </c>
      <c r="D3072" s="34" t="s">
        <v>1999</v>
      </c>
      <c r="E3072" s="35" t="str">
        <f t="shared" si="731"/>
        <v>PRBDP'!</v>
      </c>
      <c r="F3072" s="34" t="str">
        <f t="shared" si="732"/>
        <v>C:\Users\jaime.benazar\Quorum Business Solutions\Ecopetrol Prometeo - Documents\Planning Space Implementation\3. Analysis &amp; Design\Design\FC22\DRR Jaime\QUIFA-CAJÚA\Cajua\[CAJUA_CF_SEC_New_27-Feb-2024Rev3.xlsx]D-PRBDP'!</v>
      </c>
      <c r="G3072" s="32" t="s">
        <v>117</v>
      </c>
      <c r="H3072" s="33"/>
      <c r="I3072" s="33"/>
      <c r="J3072" s="37"/>
    </row>
    <row r="3073" spans="1:10" x14ac:dyDescent="0.25">
      <c r="A3073" s="32" t="s">
        <v>99</v>
      </c>
      <c r="B3073" s="32">
        <f t="shared" si="733"/>
        <v>2054</v>
      </c>
      <c r="C3073" s="33" t="s">
        <v>42</v>
      </c>
      <c r="D3073" s="34" t="s">
        <v>1999</v>
      </c>
      <c r="E3073" s="35" t="str">
        <f t="shared" si="731"/>
        <v>PRBDP'!</v>
      </c>
      <c r="F3073" s="34" t="str">
        <f t="shared" si="732"/>
        <v>C:\Users\jaime.benazar\Quorum Business Solutions\Ecopetrol Prometeo - Documents\Planning Space Implementation\3. Analysis &amp; Design\Design\FC22\DRR Jaime\QUIFA-CAJÚA\Cajua\[CAJUA_CF_SEC_New_27-Feb-2024Rev3.xlsx]D-PRBDP'!</v>
      </c>
      <c r="G3073" s="32" t="s">
        <v>117</v>
      </c>
      <c r="H3073" s="33"/>
      <c r="I3073" s="33"/>
      <c r="J3073" s="37"/>
    </row>
    <row r="3074" spans="1:10" x14ac:dyDescent="0.25">
      <c r="A3074" s="32" t="s">
        <v>99</v>
      </c>
      <c r="B3074" s="32">
        <f t="shared" si="733"/>
        <v>2055</v>
      </c>
      <c r="C3074" s="33" t="s">
        <v>42</v>
      </c>
      <c r="D3074" s="34" t="s">
        <v>1999</v>
      </c>
      <c r="E3074" s="35" t="str">
        <f t="shared" si="731"/>
        <v>PRBDP'!</v>
      </c>
      <c r="F3074" s="34" t="str">
        <f t="shared" si="732"/>
        <v>C:\Users\jaime.benazar\Quorum Business Solutions\Ecopetrol Prometeo - Documents\Planning Space Implementation\3. Analysis &amp; Design\Design\FC22\DRR Jaime\QUIFA-CAJÚA\Cajua\[CAJUA_CF_SEC_New_27-Feb-2024Rev3.xlsx]D-PRBDP'!</v>
      </c>
      <c r="G3074" s="32" t="s">
        <v>117</v>
      </c>
      <c r="H3074" s="33"/>
      <c r="I3074" s="33"/>
      <c r="J3074" s="37"/>
    </row>
    <row r="3075" spans="1:10" x14ac:dyDescent="0.25">
      <c r="A3075" s="32" t="s">
        <v>99</v>
      </c>
      <c r="B3075" s="32">
        <f t="shared" si="733"/>
        <v>2056</v>
      </c>
      <c r="C3075" s="33" t="s">
        <v>42</v>
      </c>
      <c r="D3075" s="34" t="s">
        <v>1999</v>
      </c>
      <c r="E3075" s="35" t="str">
        <f t="shared" si="731"/>
        <v>PRBDP'!</v>
      </c>
      <c r="F3075" s="34" t="str">
        <f t="shared" si="732"/>
        <v>C:\Users\jaime.benazar\Quorum Business Solutions\Ecopetrol Prometeo - Documents\Planning Space Implementation\3. Analysis &amp; Design\Design\FC22\DRR Jaime\QUIFA-CAJÚA\Cajua\[CAJUA_CF_SEC_New_27-Feb-2024Rev3.xlsx]D-PRBDP'!</v>
      </c>
      <c r="G3075" s="32" t="s">
        <v>117</v>
      </c>
      <c r="H3075" s="33"/>
      <c r="I3075" s="33"/>
      <c r="J3075" s="37"/>
    </row>
    <row r="3076" spans="1:10" x14ac:dyDescent="0.25">
      <c r="A3076" s="32" t="s">
        <v>99</v>
      </c>
      <c r="B3076" s="32">
        <f t="shared" si="733"/>
        <v>2057</v>
      </c>
      <c r="C3076" s="33" t="s">
        <v>42</v>
      </c>
      <c r="D3076" s="34" t="s">
        <v>1999</v>
      </c>
      <c r="E3076" s="35" t="str">
        <f t="shared" si="731"/>
        <v>PRBDP'!</v>
      </c>
      <c r="F3076" s="34" t="str">
        <f t="shared" si="732"/>
        <v>C:\Users\jaime.benazar\Quorum Business Solutions\Ecopetrol Prometeo - Documents\Planning Space Implementation\3. Analysis &amp; Design\Design\FC22\DRR Jaime\QUIFA-CAJÚA\Cajua\[CAJUA_CF_SEC_New_27-Feb-2024Rev3.xlsx]D-PRBDP'!</v>
      </c>
      <c r="G3076" s="32" t="s">
        <v>117</v>
      </c>
      <c r="H3076" s="33"/>
      <c r="I3076" s="33"/>
      <c r="J3076" s="37"/>
    </row>
    <row r="3077" spans="1:10" x14ac:dyDescent="0.25">
      <c r="A3077" s="32" t="s">
        <v>99</v>
      </c>
      <c r="B3077" s="32">
        <f t="shared" si="733"/>
        <v>2058</v>
      </c>
      <c r="C3077" s="33" t="s">
        <v>42</v>
      </c>
      <c r="D3077" s="34" t="s">
        <v>1999</v>
      </c>
      <c r="E3077" s="35" t="str">
        <f t="shared" si="731"/>
        <v>PRBDP'!</v>
      </c>
      <c r="F3077" s="34" t="str">
        <f t="shared" si="732"/>
        <v>C:\Users\jaime.benazar\Quorum Business Solutions\Ecopetrol Prometeo - Documents\Planning Space Implementation\3. Analysis &amp; Design\Design\FC22\DRR Jaime\QUIFA-CAJÚA\Cajua\[CAJUA_CF_SEC_New_27-Feb-2024Rev3.xlsx]D-PRBDP'!</v>
      </c>
      <c r="G3077" s="32" t="s">
        <v>117</v>
      </c>
      <c r="H3077" s="33"/>
      <c r="I3077" s="33"/>
      <c r="J3077" s="37"/>
    </row>
    <row r="3078" spans="1:10" x14ac:dyDescent="0.25">
      <c r="A3078" s="32" t="s">
        <v>99</v>
      </c>
      <c r="B3078" s="32">
        <f t="shared" si="733"/>
        <v>2059</v>
      </c>
      <c r="C3078" s="33" t="s">
        <v>42</v>
      </c>
      <c r="D3078" s="34" t="s">
        <v>1999</v>
      </c>
      <c r="E3078" s="35" t="str">
        <f t="shared" si="731"/>
        <v>PRBDP'!</v>
      </c>
      <c r="F3078" s="34" t="str">
        <f t="shared" si="732"/>
        <v>C:\Users\jaime.benazar\Quorum Business Solutions\Ecopetrol Prometeo - Documents\Planning Space Implementation\3. Analysis &amp; Design\Design\FC22\DRR Jaime\QUIFA-CAJÚA\Cajua\[CAJUA_CF_SEC_New_27-Feb-2024Rev3.xlsx]D-PRBDP'!</v>
      </c>
      <c r="G3078" s="32" t="s">
        <v>117</v>
      </c>
      <c r="H3078" s="33"/>
      <c r="I3078" s="33"/>
      <c r="J3078" s="37"/>
    </row>
    <row r="3079" spans="1:10" x14ac:dyDescent="0.25">
      <c r="A3079" s="32" t="s">
        <v>28</v>
      </c>
      <c r="B3079" s="32"/>
      <c r="C3079" s="33" t="s">
        <v>42</v>
      </c>
      <c r="D3079" s="34"/>
      <c r="E3079" s="35"/>
      <c r="F3079" s="34"/>
      <c r="G3079" s="32"/>
      <c r="H3079" s="33"/>
      <c r="I3079" s="33"/>
      <c r="J3079" s="33"/>
    </row>
    <row r="3080" spans="1:10" x14ac:dyDescent="0.25">
      <c r="A3080" s="32" t="s">
        <v>100</v>
      </c>
      <c r="B3080" s="32">
        <v>2023</v>
      </c>
      <c r="C3080" s="33" t="s">
        <v>42</v>
      </c>
      <c r="D3080" s="34" t="s">
        <v>1999</v>
      </c>
      <c r="E3080" s="35" t="str">
        <f t="shared" ref="E3080:E3100" si="734">_xlfn.CONCAT(A3080,"'!")</f>
        <v>PRBNP'!</v>
      </c>
      <c r="F3080" s="34" t="str">
        <f t="shared" ref="F3080:F3100" si="735">_xlfn.CONCAT(D3080:E3080)</f>
        <v>C:\Users\jaime.benazar\Quorum Business Solutions\Ecopetrol Prometeo - Documents\Planning Space Implementation\3. Analysis &amp; Design\Design\FC22\DRR Jaime\QUIFA-CAJÚA\Cajua\[CAJUA_CF_SEC_New_27-Feb-2024Rev3.xlsx]D-PRBNP'!</v>
      </c>
      <c r="G3080" s="32" t="s">
        <v>117</v>
      </c>
      <c r="H3080" s="33"/>
      <c r="I3080" s="33"/>
      <c r="J3080" s="37"/>
    </row>
    <row r="3081" spans="1:10" x14ac:dyDescent="0.25">
      <c r="A3081" s="32" t="s">
        <v>100</v>
      </c>
      <c r="B3081" s="32">
        <f>+B3080+1</f>
        <v>2024</v>
      </c>
      <c r="C3081" s="33" t="s">
        <v>42</v>
      </c>
      <c r="D3081" s="34" t="s">
        <v>1999</v>
      </c>
      <c r="E3081" s="35" t="str">
        <f t="shared" si="734"/>
        <v>PRBNP'!</v>
      </c>
      <c r="F3081" s="34" t="str">
        <f t="shared" si="735"/>
        <v>C:\Users\jaime.benazar\Quorum Business Solutions\Ecopetrol Prometeo - Documents\Planning Space Implementation\3. Analysis &amp; Design\Design\FC22\DRR Jaime\QUIFA-CAJÚA\Cajua\[CAJUA_CF_SEC_New_27-Feb-2024Rev3.xlsx]D-PRBNP'!</v>
      </c>
      <c r="G3081" s="32" t="s">
        <v>117</v>
      </c>
      <c r="H3081" s="33"/>
      <c r="I3081" s="33"/>
      <c r="J3081" s="37"/>
    </row>
    <row r="3082" spans="1:10" x14ac:dyDescent="0.25">
      <c r="A3082" s="32" t="s">
        <v>100</v>
      </c>
      <c r="B3082" s="32">
        <f t="shared" ref="B3082:B3093" si="736">+B3081+1</f>
        <v>2025</v>
      </c>
      <c r="C3082" s="33" t="s">
        <v>42</v>
      </c>
      <c r="D3082" s="34" t="s">
        <v>1999</v>
      </c>
      <c r="E3082" s="35" t="str">
        <f t="shared" si="734"/>
        <v>PRBNP'!</v>
      </c>
      <c r="F3082" s="34" t="str">
        <f t="shared" si="735"/>
        <v>C:\Users\jaime.benazar\Quorum Business Solutions\Ecopetrol Prometeo - Documents\Planning Space Implementation\3. Analysis &amp; Design\Design\FC22\DRR Jaime\QUIFA-CAJÚA\Cajua\[CAJUA_CF_SEC_New_27-Feb-2024Rev3.xlsx]D-PRBNP'!</v>
      </c>
      <c r="G3082" s="32" t="s">
        <v>117</v>
      </c>
      <c r="H3082" s="33"/>
      <c r="I3082" s="33"/>
      <c r="J3082" s="37"/>
    </row>
    <row r="3083" spans="1:10" x14ac:dyDescent="0.25">
      <c r="A3083" s="32" t="s">
        <v>100</v>
      </c>
      <c r="B3083" s="32">
        <f t="shared" si="736"/>
        <v>2026</v>
      </c>
      <c r="C3083" s="33" t="s">
        <v>42</v>
      </c>
      <c r="D3083" s="34" t="s">
        <v>1999</v>
      </c>
      <c r="E3083" s="35" t="str">
        <f t="shared" si="734"/>
        <v>PRBNP'!</v>
      </c>
      <c r="F3083" s="34" t="str">
        <f t="shared" si="735"/>
        <v>C:\Users\jaime.benazar\Quorum Business Solutions\Ecopetrol Prometeo - Documents\Planning Space Implementation\3. Analysis &amp; Design\Design\FC22\DRR Jaime\QUIFA-CAJÚA\Cajua\[CAJUA_CF_SEC_New_27-Feb-2024Rev3.xlsx]D-PRBNP'!</v>
      </c>
      <c r="G3083" s="32" t="s">
        <v>117</v>
      </c>
      <c r="H3083" s="33"/>
      <c r="I3083" s="33"/>
      <c r="J3083" s="37"/>
    </row>
    <row r="3084" spans="1:10" x14ac:dyDescent="0.25">
      <c r="A3084" s="32" t="s">
        <v>100</v>
      </c>
      <c r="B3084" s="32">
        <f t="shared" si="736"/>
        <v>2027</v>
      </c>
      <c r="C3084" s="33" t="s">
        <v>42</v>
      </c>
      <c r="D3084" s="34" t="s">
        <v>1999</v>
      </c>
      <c r="E3084" s="35" t="str">
        <f t="shared" si="734"/>
        <v>PRBNP'!</v>
      </c>
      <c r="F3084" s="34" t="str">
        <f t="shared" si="735"/>
        <v>C:\Users\jaime.benazar\Quorum Business Solutions\Ecopetrol Prometeo - Documents\Planning Space Implementation\3. Analysis &amp; Design\Design\FC22\DRR Jaime\QUIFA-CAJÚA\Cajua\[CAJUA_CF_SEC_New_27-Feb-2024Rev3.xlsx]D-PRBNP'!</v>
      </c>
      <c r="G3084" s="32" t="s">
        <v>117</v>
      </c>
      <c r="H3084" s="33"/>
      <c r="I3084" s="33"/>
      <c r="J3084" s="37"/>
    </row>
    <row r="3085" spans="1:10" x14ac:dyDescent="0.25">
      <c r="A3085" s="32" t="s">
        <v>100</v>
      </c>
      <c r="B3085" s="32">
        <f t="shared" si="736"/>
        <v>2028</v>
      </c>
      <c r="C3085" s="33" t="s">
        <v>42</v>
      </c>
      <c r="D3085" s="34" t="s">
        <v>1999</v>
      </c>
      <c r="E3085" s="35" t="str">
        <f t="shared" si="734"/>
        <v>PRBNP'!</v>
      </c>
      <c r="F3085" s="34" t="str">
        <f t="shared" si="735"/>
        <v>C:\Users\jaime.benazar\Quorum Business Solutions\Ecopetrol Prometeo - Documents\Planning Space Implementation\3. Analysis &amp; Design\Design\FC22\DRR Jaime\QUIFA-CAJÚA\Cajua\[CAJUA_CF_SEC_New_27-Feb-2024Rev3.xlsx]D-PRBNP'!</v>
      </c>
      <c r="G3085" s="32" t="s">
        <v>117</v>
      </c>
      <c r="H3085" s="33"/>
      <c r="I3085" s="33"/>
      <c r="J3085" s="37"/>
    </row>
    <row r="3086" spans="1:10" x14ac:dyDescent="0.25">
      <c r="A3086" s="32" t="s">
        <v>100</v>
      </c>
      <c r="B3086" s="32">
        <f t="shared" si="736"/>
        <v>2029</v>
      </c>
      <c r="C3086" s="33" t="s">
        <v>42</v>
      </c>
      <c r="D3086" s="34" t="s">
        <v>1999</v>
      </c>
      <c r="E3086" s="35" t="str">
        <f t="shared" si="734"/>
        <v>PRBNP'!</v>
      </c>
      <c r="F3086" s="34" t="str">
        <f t="shared" si="735"/>
        <v>C:\Users\jaime.benazar\Quorum Business Solutions\Ecopetrol Prometeo - Documents\Planning Space Implementation\3. Analysis &amp; Design\Design\FC22\DRR Jaime\QUIFA-CAJÚA\Cajua\[CAJUA_CF_SEC_New_27-Feb-2024Rev3.xlsx]D-PRBNP'!</v>
      </c>
      <c r="G3086" s="32" t="s">
        <v>117</v>
      </c>
      <c r="H3086" s="33"/>
      <c r="I3086" s="33"/>
      <c r="J3086" s="37"/>
    </row>
    <row r="3087" spans="1:10" x14ac:dyDescent="0.25">
      <c r="A3087" s="32" t="s">
        <v>100</v>
      </c>
      <c r="B3087" s="32">
        <f t="shared" si="736"/>
        <v>2030</v>
      </c>
      <c r="C3087" s="33" t="s">
        <v>42</v>
      </c>
      <c r="D3087" s="34" t="s">
        <v>1999</v>
      </c>
      <c r="E3087" s="35" t="str">
        <f t="shared" si="734"/>
        <v>PRBNP'!</v>
      </c>
      <c r="F3087" s="34" t="str">
        <f t="shared" si="735"/>
        <v>C:\Users\jaime.benazar\Quorum Business Solutions\Ecopetrol Prometeo - Documents\Planning Space Implementation\3. Analysis &amp; Design\Design\FC22\DRR Jaime\QUIFA-CAJÚA\Cajua\[CAJUA_CF_SEC_New_27-Feb-2024Rev3.xlsx]D-PRBNP'!</v>
      </c>
      <c r="G3087" s="32" t="s">
        <v>117</v>
      </c>
      <c r="H3087" s="33"/>
      <c r="I3087" s="33"/>
      <c r="J3087" s="37"/>
    </row>
    <row r="3088" spans="1:10" x14ac:dyDescent="0.25">
      <c r="A3088" s="32" t="s">
        <v>100</v>
      </c>
      <c r="B3088" s="32">
        <f t="shared" si="736"/>
        <v>2031</v>
      </c>
      <c r="C3088" s="33" t="s">
        <v>42</v>
      </c>
      <c r="D3088" s="34" t="s">
        <v>1999</v>
      </c>
      <c r="E3088" s="35" t="str">
        <f t="shared" si="734"/>
        <v>PRBNP'!</v>
      </c>
      <c r="F3088" s="34" t="str">
        <f t="shared" si="735"/>
        <v>C:\Users\jaime.benazar\Quorum Business Solutions\Ecopetrol Prometeo - Documents\Planning Space Implementation\3. Analysis &amp; Design\Design\FC22\DRR Jaime\QUIFA-CAJÚA\Cajua\[CAJUA_CF_SEC_New_27-Feb-2024Rev3.xlsx]D-PRBNP'!</v>
      </c>
      <c r="G3088" s="32" t="s">
        <v>117</v>
      </c>
      <c r="H3088" s="33"/>
      <c r="I3088" s="33"/>
      <c r="J3088" s="37"/>
    </row>
    <row r="3089" spans="1:10" x14ac:dyDescent="0.25">
      <c r="A3089" s="32" t="s">
        <v>100</v>
      </c>
      <c r="B3089" s="32">
        <f t="shared" si="736"/>
        <v>2032</v>
      </c>
      <c r="C3089" s="33" t="s">
        <v>42</v>
      </c>
      <c r="D3089" s="34" t="s">
        <v>1999</v>
      </c>
      <c r="E3089" s="35" t="str">
        <f t="shared" si="734"/>
        <v>PRBNP'!</v>
      </c>
      <c r="F3089" s="34" t="str">
        <f t="shared" si="735"/>
        <v>C:\Users\jaime.benazar\Quorum Business Solutions\Ecopetrol Prometeo - Documents\Planning Space Implementation\3. Analysis &amp; Design\Design\FC22\DRR Jaime\QUIFA-CAJÚA\Cajua\[CAJUA_CF_SEC_New_27-Feb-2024Rev3.xlsx]D-PRBNP'!</v>
      </c>
      <c r="G3089" s="32" t="s">
        <v>117</v>
      </c>
      <c r="H3089" s="33"/>
      <c r="I3089" s="33"/>
      <c r="J3089" s="37"/>
    </row>
    <row r="3090" spans="1:10" x14ac:dyDescent="0.25">
      <c r="A3090" s="32" t="s">
        <v>100</v>
      </c>
      <c r="B3090" s="32">
        <f t="shared" si="736"/>
        <v>2033</v>
      </c>
      <c r="C3090" s="33" t="s">
        <v>42</v>
      </c>
      <c r="D3090" s="34" t="s">
        <v>1999</v>
      </c>
      <c r="E3090" s="35" t="str">
        <f t="shared" si="734"/>
        <v>PRBNP'!</v>
      </c>
      <c r="F3090" s="34" t="str">
        <f t="shared" si="735"/>
        <v>C:\Users\jaime.benazar\Quorum Business Solutions\Ecopetrol Prometeo - Documents\Planning Space Implementation\3. Analysis &amp; Design\Design\FC22\DRR Jaime\QUIFA-CAJÚA\Cajua\[CAJUA_CF_SEC_New_27-Feb-2024Rev3.xlsx]D-PRBNP'!</v>
      </c>
      <c r="G3090" s="32" t="s">
        <v>117</v>
      </c>
      <c r="H3090" s="33"/>
      <c r="I3090" s="33"/>
      <c r="J3090" s="37"/>
    </row>
    <row r="3091" spans="1:10" x14ac:dyDescent="0.25">
      <c r="A3091" s="32" t="s">
        <v>100</v>
      </c>
      <c r="B3091" s="32">
        <f t="shared" si="736"/>
        <v>2034</v>
      </c>
      <c r="C3091" s="33" t="s">
        <v>42</v>
      </c>
      <c r="D3091" s="34" t="s">
        <v>1999</v>
      </c>
      <c r="E3091" s="35" t="str">
        <f t="shared" si="734"/>
        <v>PRBNP'!</v>
      </c>
      <c r="F3091" s="34" t="str">
        <f t="shared" si="735"/>
        <v>C:\Users\jaime.benazar\Quorum Business Solutions\Ecopetrol Prometeo - Documents\Planning Space Implementation\3. Analysis &amp; Design\Design\FC22\DRR Jaime\QUIFA-CAJÚA\Cajua\[CAJUA_CF_SEC_New_27-Feb-2024Rev3.xlsx]D-PRBNP'!</v>
      </c>
      <c r="G3091" s="32" t="s">
        <v>117</v>
      </c>
      <c r="H3091" s="33"/>
      <c r="I3091" s="33"/>
      <c r="J3091" s="37"/>
    </row>
    <row r="3092" spans="1:10" x14ac:dyDescent="0.25">
      <c r="A3092" s="32" t="s">
        <v>100</v>
      </c>
      <c r="B3092" s="32">
        <f t="shared" si="736"/>
        <v>2035</v>
      </c>
      <c r="C3092" s="33" t="s">
        <v>42</v>
      </c>
      <c r="D3092" s="34" t="s">
        <v>1999</v>
      </c>
      <c r="E3092" s="35" t="str">
        <f t="shared" si="734"/>
        <v>PRBNP'!</v>
      </c>
      <c r="F3092" s="34" t="str">
        <f t="shared" si="735"/>
        <v>C:\Users\jaime.benazar\Quorum Business Solutions\Ecopetrol Prometeo - Documents\Planning Space Implementation\3. Analysis &amp; Design\Design\FC22\DRR Jaime\QUIFA-CAJÚA\Cajua\[CAJUA_CF_SEC_New_27-Feb-2024Rev3.xlsx]D-PRBNP'!</v>
      </c>
      <c r="G3092" s="32" t="s">
        <v>117</v>
      </c>
      <c r="H3092" s="33"/>
      <c r="I3092" s="33"/>
      <c r="J3092" s="37"/>
    </row>
    <row r="3093" spans="1:10" x14ac:dyDescent="0.25">
      <c r="A3093" s="32" t="s">
        <v>100</v>
      </c>
      <c r="B3093" s="32">
        <f t="shared" si="736"/>
        <v>2036</v>
      </c>
      <c r="C3093" s="33" t="s">
        <v>42</v>
      </c>
      <c r="D3093" s="34" t="s">
        <v>1999</v>
      </c>
      <c r="E3093" s="35" t="str">
        <f t="shared" si="734"/>
        <v>PRBNP'!</v>
      </c>
      <c r="F3093" s="34" t="str">
        <f t="shared" si="735"/>
        <v>C:\Users\jaime.benazar\Quorum Business Solutions\Ecopetrol Prometeo - Documents\Planning Space Implementation\3. Analysis &amp; Design\Design\FC22\DRR Jaime\QUIFA-CAJÚA\Cajua\[CAJUA_CF_SEC_New_27-Feb-2024Rev3.xlsx]D-PRBNP'!</v>
      </c>
      <c r="G3093" s="32" t="s">
        <v>117</v>
      </c>
      <c r="H3093" s="33"/>
      <c r="I3093" s="33"/>
      <c r="J3093" s="37"/>
    </row>
    <row r="3094" spans="1:10" x14ac:dyDescent="0.25">
      <c r="A3094" s="32" t="s">
        <v>100</v>
      </c>
      <c r="B3094" s="32">
        <f>+B3093+1</f>
        <v>2037</v>
      </c>
      <c r="C3094" s="33" t="s">
        <v>42</v>
      </c>
      <c r="D3094" s="34" t="s">
        <v>1999</v>
      </c>
      <c r="E3094" s="35" t="str">
        <f t="shared" si="734"/>
        <v>PRBNP'!</v>
      </c>
      <c r="F3094" s="34" t="str">
        <f t="shared" si="735"/>
        <v>C:\Users\jaime.benazar\Quorum Business Solutions\Ecopetrol Prometeo - Documents\Planning Space Implementation\3. Analysis &amp; Design\Design\FC22\DRR Jaime\QUIFA-CAJÚA\Cajua\[CAJUA_CF_SEC_New_27-Feb-2024Rev3.xlsx]D-PRBNP'!</v>
      </c>
      <c r="G3094" s="32" t="s">
        <v>117</v>
      </c>
      <c r="H3094" s="33"/>
      <c r="I3094" s="33"/>
      <c r="J3094" s="37"/>
    </row>
    <row r="3095" spans="1:10" x14ac:dyDescent="0.25">
      <c r="A3095" s="32" t="s">
        <v>100</v>
      </c>
      <c r="B3095" s="32">
        <f t="shared" ref="B3095:B3097" si="737">+B3094+1</f>
        <v>2038</v>
      </c>
      <c r="C3095" s="33" t="s">
        <v>42</v>
      </c>
      <c r="D3095" s="34" t="s">
        <v>1999</v>
      </c>
      <c r="E3095" s="35" t="str">
        <f t="shared" si="734"/>
        <v>PRBNP'!</v>
      </c>
      <c r="F3095" s="34" t="str">
        <f t="shared" si="735"/>
        <v>C:\Users\jaime.benazar\Quorum Business Solutions\Ecopetrol Prometeo - Documents\Planning Space Implementation\3. Analysis &amp; Design\Design\FC22\DRR Jaime\QUIFA-CAJÚA\Cajua\[CAJUA_CF_SEC_New_27-Feb-2024Rev3.xlsx]D-PRBNP'!</v>
      </c>
      <c r="G3095" s="32" t="s">
        <v>117</v>
      </c>
      <c r="H3095" s="33"/>
      <c r="I3095" s="33"/>
      <c r="J3095" s="37"/>
    </row>
    <row r="3096" spans="1:10" x14ac:dyDescent="0.25">
      <c r="A3096" s="32" t="s">
        <v>100</v>
      </c>
      <c r="B3096" s="32">
        <f t="shared" si="737"/>
        <v>2039</v>
      </c>
      <c r="C3096" s="33" t="s">
        <v>42</v>
      </c>
      <c r="D3096" s="34" t="s">
        <v>1999</v>
      </c>
      <c r="E3096" s="35" t="str">
        <f t="shared" si="734"/>
        <v>PRBNP'!</v>
      </c>
      <c r="F3096" s="34" t="str">
        <f t="shared" si="735"/>
        <v>C:\Users\jaime.benazar\Quorum Business Solutions\Ecopetrol Prometeo - Documents\Planning Space Implementation\3. Analysis &amp; Design\Design\FC22\DRR Jaime\QUIFA-CAJÚA\Cajua\[CAJUA_CF_SEC_New_27-Feb-2024Rev3.xlsx]D-PRBNP'!</v>
      </c>
      <c r="G3096" s="32" t="s">
        <v>117</v>
      </c>
      <c r="H3096" s="33"/>
      <c r="I3096" s="33"/>
      <c r="J3096" s="37"/>
    </row>
    <row r="3097" spans="1:10" x14ac:dyDescent="0.25">
      <c r="A3097" s="32" t="s">
        <v>100</v>
      </c>
      <c r="B3097" s="32">
        <f t="shared" si="737"/>
        <v>2040</v>
      </c>
      <c r="C3097" s="33" t="s">
        <v>42</v>
      </c>
      <c r="D3097" s="34" t="s">
        <v>1999</v>
      </c>
      <c r="E3097" s="35" t="str">
        <f t="shared" si="734"/>
        <v>PRBNP'!</v>
      </c>
      <c r="F3097" s="34" t="str">
        <f t="shared" si="735"/>
        <v>C:\Users\jaime.benazar\Quorum Business Solutions\Ecopetrol Prometeo - Documents\Planning Space Implementation\3. Analysis &amp; Design\Design\FC22\DRR Jaime\QUIFA-CAJÚA\Cajua\[CAJUA_CF_SEC_New_27-Feb-2024Rev3.xlsx]D-PRBNP'!</v>
      </c>
      <c r="G3097" s="32" t="s">
        <v>117</v>
      </c>
      <c r="H3097" s="33"/>
      <c r="I3097" s="33"/>
      <c r="J3097" s="37"/>
    </row>
    <row r="3098" spans="1:10" x14ac:dyDescent="0.25">
      <c r="A3098" s="32" t="s">
        <v>100</v>
      </c>
      <c r="B3098" s="32">
        <f>+B3097+1</f>
        <v>2041</v>
      </c>
      <c r="C3098" s="33" t="s">
        <v>42</v>
      </c>
      <c r="D3098" s="34" t="s">
        <v>1999</v>
      </c>
      <c r="E3098" s="35" t="str">
        <f t="shared" si="734"/>
        <v>PRBNP'!</v>
      </c>
      <c r="F3098" s="34" t="str">
        <f t="shared" si="735"/>
        <v>C:\Users\jaime.benazar\Quorum Business Solutions\Ecopetrol Prometeo - Documents\Planning Space Implementation\3. Analysis &amp; Design\Design\FC22\DRR Jaime\QUIFA-CAJÚA\Cajua\[CAJUA_CF_SEC_New_27-Feb-2024Rev3.xlsx]D-PRBNP'!</v>
      </c>
      <c r="G3098" s="32" t="s">
        <v>117</v>
      </c>
      <c r="H3098" s="33"/>
      <c r="I3098" s="33"/>
      <c r="J3098" s="37"/>
    </row>
    <row r="3099" spans="1:10" x14ac:dyDescent="0.25">
      <c r="A3099" s="32" t="s">
        <v>100</v>
      </c>
      <c r="B3099" s="32">
        <f t="shared" ref="B3099:B3100" si="738">+B3098+1</f>
        <v>2042</v>
      </c>
      <c r="C3099" s="33" t="s">
        <v>42</v>
      </c>
      <c r="D3099" s="34" t="s">
        <v>1999</v>
      </c>
      <c r="E3099" s="35" t="str">
        <f t="shared" si="734"/>
        <v>PRBNP'!</v>
      </c>
      <c r="F3099" s="34" t="str">
        <f t="shared" si="735"/>
        <v>C:\Users\jaime.benazar\Quorum Business Solutions\Ecopetrol Prometeo - Documents\Planning Space Implementation\3. Analysis &amp; Design\Design\FC22\DRR Jaime\QUIFA-CAJÚA\Cajua\[CAJUA_CF_SEC_New_27-Feb-2024Rev3.xlsx]D-PRBNP'!</v>
      </c>
      <c r="G3099" s="32" t="s">
        <v>117</v>
      </c>
      <c r="H3099" s="33"/>
      <c r="I3099" s="33"/>
      <c r="J3099" s="37"/>
    </row>
    <row r="3100" spans="1:10" x14ac:dyDescent="0.25">
      <c r="A3100" s="32" t="s">
        <v>100</v>
      </c>
      <c r="B3100" s="32">
        <f t="shared" si="738"/>
        <v>2043</v>
      </c>
      <c r="C3100" s="33" t="s">
        <v>42</v>
      </c>
      <c r="D3100" s="34" t="s">
        <v>1999</v>
      </c>
      <c r="E3100" s="35" t="str">
        <f t="shared" si="734"/>
        <v>PRBNP'!</v>
      </c>
      <c r="F3100" s="34" t="str">
        <f t="shared" si="735"/>
        <v>C:\Users\jaime.benazar\Quorum Business Solutions\Ecopetrol Prometeo - Documents\Planning Space Implementation\3. Analysis &amp; Design\Design\FC22\DRR Jaime\QUIFA-CAJÚA\Cajua\[CAJUA_CF_SEC_New_27-Feb-2024Rev3.xlsx]D-PRBNP'!</v>
      </c>
      <c r="G3100" s="32" t="s">
        <v>117</v>
      </c>
      <c r="H3100" s="33"/>
      <c r="I3100" s="33"/>
      <c r="J3100" s="37"/>
    </row>
    <row r="3101" spans="1:10" x14ac:dyDescent="0.25">
      <c r="A3101" s="32" t="s">
        <v>100</v>
      </c>
      <c r="B3101" s="32">
        <f>+B3100+1</f>
        <v>2044</v>
      </c>
      <c r="C3101" s="33" t="s">
        <v>42</v>
      </c>
      <c r="D3101" s="34" t="s">
        <v>1999</v>
      </c>
      <c r="E3101" s="35" t="str">
        <f t="shared" ref="E3101:E3116" si="739">_xlfn.CONCAT(A3101,"'!")</f>
        <v>PRBNP'!</v>
      </c>
      <c r="F3101" s="34" t="str">
        <f t="shared" ref="F3101:F3116" si="740">_xlfn.CONCAT(D3101:E3101)</f>
        <v>C:\Users\jaime.benazar\Quorum Business Solutions\Ecopetrol Prometeo - Documents\Planning Space Implementation\3. Analysis &amp; Design\Design\FC22\DRR Jaime\QUIFA-CAJÚA\Cajua\[CAJUA_CF_SEC_New_27-Feb-2024Rev3.xlsx]D-PRBNP'!</v>
      </c>
      <c r="G3101" s="32" t="s">
        <v>117</v>
      </c>
      <c r="H3101" s="33"/>
      <c r="I3101" s="33"/>
      <c r="J3101" s="37"/>
    </row>
    <row r="3102" spans="1:10" x14ac:dyDescent="0.25">
      <c r="A3102" s="32" t="s">
        <v>100</v>
      </c>
      <c r="B3102" s="32">
        <f t="shared" ref="B3102:B3116" si="741">+B3101+1</f>
        <v>2045</v>
      </c>
      <c r="C3102" s="33" t="s">
        <v>42</v>
      </c>
      <c r="D3102" s="34" t="s">
        <v>1999</v>
      </c>
      <c r="E3102" s="35" t="str">
        <f t="shared" si="739"/>
        <v>PRBNP'!</v>
      </c>
      <c r="F3102" s="34" t="str">
        <f t="shared" si="740"/>
        <v>C:\Users\jaime.benazar\Quorum Business Solutions\Ecopetrol Prometeo - Documents\Planning Space Implementation\3. Analysis &amp; Design\Design\FC22\DRR Jaime\QUIFA-CAJÚA\Cajua\[CAJUA_CF_SEC_New_27-Feb-2024Rev3.xlsx]D-PRBNP'!</v>
      </c>
      <c r="G3102" s="32" t="s">
        <v>117</v>
      </c>
      <c r="H3102" s="33"/>
      <c r="I3102" s="33"/>
      <c r="J3102" s="37"/>
    </row>
    <row r="3103" spans="1:10" x14ac:dyDescent="0.25">
      <c r="A3103" s="32" t="s">
        <v>100</v>
      </c>
      <c r="B3103" s="32">
        <f t="shared" si="741"/>
        <v>2046</v>
      </c>
      <c r="C3103" s="33" t="s">
        <v>42</v>
      </c>
      <c r="D3103" s="34" t="s">
        <v>1999</v>
      </c>
      <c r="E3103" s="35" t="str">
        <f t="shared" si="739"/>
        <v>PRBNP'!</v>
      </c>
      <c r="F3103" s="34" t="str">
        <f t="shared" si="740"/>
        <v>C:\Users\jaime.benazar\Quorum Business Solutions\Ecopetrol Prometeo - Documents\Planning Space Implementation\3. Analysis &amp; Design\Design\FC22\DRR Jaime\QUIFA-CAJÚA\Cajua\[CAJUA_CF_SEC_New_27-Feb-2024Rev3.xlsx]D-PRBNP'!</v>
      </c>
      <c r="G3103" s="32" t="s">
        <v>117</v>
      </c>
      <c r="H3103" s="33"/>
      <c r="I3103" s="33"/>
      <c r="J3103" s="37"/>
    </row>
    <row r="3104" spans="1:10" x14ac:dyDescent="0.25">
      <c r="A3104" s="32" t="s">
        <v>100</v>
      </c>
      <c r="B3104" s="32">
        <f t="shared" si="741"/>
        <v>2047</v>
      </c>
      <c r="C3104" s="33" t="s">
        <v>42</v>
      </c>
      <c r="D3104" s="34" t="s">
        <v>1999</v>
      </c>
      <c r="E3104" s="35" t="str">
        <f t="shared" si="739"/>
        <v>PRBNP'!</v>
      </c>
      <c r="F3104" s="34" t="str">
        <f t="shared" si="740"/>
        <v>C:\Users\jaime.benazar\Quorum Business Solutions\Ecopetrol Prometeo - Documents\Planning Space Implementation\3. Analysis &amp; Design\Design\FC22\DRR Jaime\QUIFA-CAJÚA\Cajua\[CAJUA_CF_SEC_New_27-Feb-2024Rev3.xlsx]D-PRBNP'!</v>
      </c>
      <c r="G3104" s="32" t="s">
        <v>117</v>
      </c>
      <c r="H3104" s="33"/>
      <c r="I3104" s="33"/>
      <c r="J3104" s="37"/>
    </row>
    <row r="3105" spans="1:10" x14ac:dyDescent="0.25">
      <c r="A3105" s="32" t="s">
        <v>100</v>
      </c>
      <c r="B3105" s="32">
        <f t="shared" si="741"/>
        <v>2048</v>
      </c>
      <c r="C3105" s="33" t="s">
        <v>42</v>
      </c>
      <c r="D3105" s="34" t="s">
        <v>1999</v>
      </c>
      <c r="E3105" s="35" t="str">
        <f t="shared" si="739"/>
        <v>PRBNP'!</v>
      </c>
      <c r="F3105" s="34" t="str">
        <f t="shared" si="740"/>
        <v>C:\Users\jaime.benazar\Quorum Business Solutions\Ecopetrol Prometeo - Documents\Planning Space Implementation\3. Analysis &amp; Design\Design\FC22\DRR Jaime\QUIFA-CAJÚA\Cajua\[CAJUA_CF_SEC_New_27-Feb-2024Rev3.xlsx]D-PRBNP'!</v>
      </c>
      <c r="G3105" s="32" t="s">
        <v>117</v>
      </c>
      <c r="H3105" s="33"/>
      <c r="I3105" s="33"/>
      <c r="J3105" s="37"/>
    </row>
    <row r="3106" spans="1:10" x14ac:dyDescent="0.25">
      <c r="A3106" s="32" t="s">
        <v>100</v>
      </c>
      <c r="B3106" s="32">
        <f t="shared" si="741"/>
        <v>2049</v>
      </c>
      <c r="C3106" s="33" t="s">
        <v>42</v>
      </c>
      <c r="D3106" s="34" t="s">
        <v>1999</v>
      </c>
      <c r="E3106" s="35" t="str">
        <f t="shared" si="739"/>
        <v>PRBNP'!</v>
      </c>
      <c r="F3106" s="34" t="str">
        <f t="shared" si="740"/>
        <v>C:\Users\jaime.benazar\Quorum Business Solutions\Ecopetrol Prometeo - Documents\Planning Space Implementation\3. Analysis &amp; Design\Design\FC22\DRR Jaime\QUIFA-CAJÚA\Cajua\[CAJUA_CF_SEC_New_27-Feb-2024Rev3.xlsx]D-PRBNP'!</v>
      </c>
      <c r="G3106" s="32" t="s">
        <v>117</v>
      </c>
      <c r="H3106" s="33"/>
      <c r="I3106" s="33"/>
      <c r="J3106" s="37"/>
    </row>
    <row r="3107" spans="1:10" x14ac:dyDescent="0.25">
      <c r="A3107" s="32" t="s">
        <v>100</v>
      </c>
      <c r="B3107" s="32">
        <f t="shared" si="741"/>
        <v>2050</v>
      </c>
      <c r="C3107" s="33" t="s">
        <v>42</v>
      </c>
      <c r="D3107" s="34" t="s">
        <v>1999</v>
      </c>
      <c r="E3107" s="35" t="str">
        <f t="shared" si="739"/>
        <v>PRBNP'!</v>
      </c>
      <c r="F3107" s="34" t="str">
        <f t="shared" si="740"/>
        <v>C:\Users\jaime.benazar\Quorum Business Solutions\Ecopetrol Prometeo - Documents\Planning Space Implementation\3. Analysis &amp; Design\Design\FC22\DRR Jaime\QUIFA-CAJÚA\Cajua\[CAJUA_CF_SEC_New_27-Feb-2024Rev3.xlsx]D-PRBNP'!</v>
      </c>
      <c r="G3107" s="32" t="s">
        <v>117</v>
      </c>
      <c r="H3107" s="33"/>
      <c r="I3107" s="33"/>
      <c r="J3107" s="37"/>
    </row>
    <row r="3108" spans="1:10" x14ac:dyDescent="0.25">
      <c r="A3108" s="32" t="s">
        <v>100</v>
      </c>
      <c r="B3108" s="32">
        <f t="shared" si="741"/>
        <v>2051</v>
      </c>
      <c r="C3108" s="33" t="s">
        <v>42</v>
      </c>
      <c r="D3108" s="34" t="s">
        <v>1999</v>
      </c>
      <c r="E3108" s="35" t="str">
        <f t="shared" si="739"/>
        <v>PRBNP'!</v>
      </c>
      <c r="F3108" s="34" t="str">
        <f t="shared" si="740"/>
        <v>C:\Users\jaime.benazar\Quorum Business Solutions\Ecopetrol Prometeo - Documents\Planning Space Implementation\3. Analysis &amp; Design\Design\FC22\DRR Jaime\QUIFA-CAJÚA\Cajua\[CAJUA_CF_SEC_New_27-Feb-2024Rev3.xlsx]D-PRBNP'!</v>
      </c>
      <c r="G3108" s="32" t="s">
        <v>117</v>
      </c>
      <c r="H3108" s="33"/>
      <c r="I3108" s="33"/>
      <c r="J3108" s="37"/>
    </row>
    <row r="3109" spans="1:10" x14ac:dyDescent="0.25">
      <c r="A3109" s="32" t="s">
        <v>100</v>
      </c>
      <c r="B3109" s="32">
        <f t="shared" si="741"/>
        <v>2052</v>
      </c>
      <c r="C3109" s="33" t="s">
        <v>42</v>
      </c>
      <c r="D3109" s="34" t="s">
        <v>1999</v>
      </c>
      <c r="E3109" s="35" t="str">
        <f t="shared" si="739"/>
        <v>PRBNP'!</v>
      </c>
      <c r="F3109" s="34" t="str">
        <f t="shared" si="740"/>
        <v>C:\Users\jaime.benazar\Quorum Business Solutions\Ecopetrol Prometeo - Documents\Planning Space Implementation\3. Analysis &amp; Design\Design\FC22\DRR Jaime\QUIFA-CAJÚA\Cajua\[CAJUA_CF_SEC_New_27-Feb-2024Rev3.xlsx]D-PRBNP'!</v>
      </c>
      <c r="G3109" s="32" t="s">
        <v>117</v>
      </c>
      <c r="H3109" s="33"/>
      <c r="I3109" s="33"/>
      <c r="J3109" s="37"/>
    </row>
    <row r="3110" spans="1:10" x14ac:dyDescent="0.25">
      <c r="A3110" s="32" t="s">
        <v>100</v>
      </c>
      <c r="B3110" s="32">
        <f t="shared" si="741"/>
        <v>2053</v>
      </c>
      <c r="C3110" s="33" t="s">
        <v>42</v>
      </c>
      <c r="D3110" s="34" t="s">
        <v>1999</v>
      </c>
      <c r="E3110" s="35" t="str">
        <f t="shared" si="739"/>
        <v>PRBNP'!</v>
      </c>
      <c r="F3110" s="34" t="str">
        <f t="shared" si="740"/>
        <v>C:\Users\jaime.benazar\Quorum Business Solutions\Ecopetrol Prometeo - Documents\Planning Space Implementation\3. Analysis &amp; Design\Design\FC22\DRR Jaime\QUIFA-CAJÚA\Cajua\[CAJUA_CF_SEC_New_27-Feb-2024Rev3.xlsx]D-PRBNP'!</v>
      </c>
      <c r="G3110" s="32" t="s">
        <v>117</v>
      </c>
      <c r="H3110" s="33"/>
      <c r="I3110" s="33"/>
      <c r="J3110" s="37"/>
    </row>
    <row r="3111" spans="1:10" x14ac:dyDescent="0.25">
      <c r="A3111" s="32" t="s">
        <v>100</v>
      </c>
      <c r="B3111" s="32">
        <f t="shared" si="741"/>
        <v>2054</v>
      </c>
      <c r="C3111" s="33" t="s">
        <v>42</v>
      </c>
      <c r="D3111" s="34" t="s">
        <v>1999</v>
      </c>
      <c r="E3111" s="35" t="str">
        <f t="shared" si="739"/>
        <v>PRBNP'!</v>
      </c>
      <c r="F3111" s="34" t="str">
        <f t="shared" si="740"/>
        <v>C:\Users\jaime.benazar\Quorum Business Solutions\Ecopetrol Prometeo - Documents\Planning Space Implementation\3. Analysis &amp; Design\Design\FC22\DRR Jaime\QUIFA-CAJÚA\Cajua\[CAJUA_CF_SEC_New_27-Feb-2024Rev3.xlsx]D-PRBNP'!</v>
      </c>
      <c r="G3111" s="32" t="s">
        <v>117</v>
      </c>
      <c r="H3111" s="33"/>
      <c r="I3111" s="33"/>
      <c r="J3111" s="37"/>
    </row>
    <row r="3112" spans="1:10" x14ac:dyDescent="0.25">
      <c r="A3112" s="32" t="s">
        <v>100</v>
      </c>
      <c r="B3112" s="32">
        <f t="shared" si="741"/>
        <v>2055</v>
      </c>
      <c r="C3112" s="33" t="s">
        <v>42</v>
      </c>
      <c r="D3112" s="34" t="s">
        <v>1999</v>
      </c>
      <c r="E3112" s="35" t="str">
        <f t="shared" si="739"/>
        <v>PRBNP'!</v>
      </c>
      <c r="F3112" s="34" t="str">
        <f t="shared" si="740"/>
        <v>C:\Users\jaime.benazar\Quorum Business Solutions\Ecopetrol Prometeo - Documents\Planning Space Implementation\3. Analysis &amp; Design\Design\FC22\DRR Jaime\QUIFA-CAJÚA\Cajua\[CAJUA_CF_SEC_New_27-Feb-2024Rev3.xlsx]D-PRBNP'!</v>
      </c>
      <c r="G3112" s="32" t="s">
        <v>117</v>
      </c>
      <c r="H3112" s="33"/>
      <c r="I3112" s="33"/>
      <c r="J3112" s="37"/>
    </row>
    <row r="3113" spans="1:10" x14ac:dyDescent="0.25">
      <c r="A3113" s="32" t="s">
        <v>100</v>
      </c>
      <c r="B3113" s="32">
        <f t="shared" si="741"/>
        <v>2056</v>
      </c>
      <c r="C3113" s="33" t="s">
        <v>42</v>
      </c>
      <c r="D3113" s="34" t="s">
        <v>1999</v>
      </c>
      <c r="E3113" s="35" t="str">
        <f t="shared" si="739"/>
        <v>PRBNP'!</v>
      </c>
      <c r="F3113" s="34" t="str">
        <f t="shared" si="740"/>
        <v>C:\Users\jaime.benazar\Quorum Business Solutions\Ecopetrol Prometeo - Documents\Planning Space Implementation\3. Analysis &amp; Design\Design\FC22\DRR Jaime\QUIFA-CAJÚA\Cajua\[CAJUA_CF_SEC_New_27-Feb-2024Rev3.xlsx]D-PRBNP'!</v>
      </c>
      <c r="G3113" s="32" t="s">
        <v>117</v>
      </c>
      <c r="H3113" s="33"/>
      <c r="I3113" s="33"/>
      <c r="J3113" s="37"/>
    </row>
    <row r="3114" spans="1:10" x14ac:dyDescent="0.25">
      <c r="A3114" s="32" t="s">
        <v>100</v>
      </c>
      <c r="B3114" s="32">
        <f t="shared" si="741"/>
        <v>2057</v>
      </c>
      <c r="C3114" s="33" t="s">
        <v>42</v>
      </c>
      <c r="D3114" s="34" t="s">
        <v>1999</v>
      </c>
      <c r="E3114" s="35" t="str">
        <f t="shared" si="739"/>
        <v>PRBNP'!</v>
      </c>
      <c r="F3114" s="34" t="str">
        <f t="shared" si="740"/>
        <v>C:\Users\jaime.benazar\Quorum Business Solutions\Ecopetrol Prometeo - Documents\Planning Space Implementation\3. Analysis &amp; Design\Design\FC22\DRR Jaime\QUIFA-CAJÚA\Cajua\[CAJUA_CF_SEC_New_27-Feb-2024Rev3.xlsx]D-PRBNP'!</v>
      </c>
      <c r="G3114" s="32" t="s">
        <v>117</v>
      </c>
      <c r="H3114" s="33"/>
      <c r="I3114" s="33"/>
      <c r="J3114" s="37"/>
    </row>
    <row r="3115" spans="1:10" x14ac:dyDescent="0.25">
      <c r="A3115" s="32" t="s">
        <v>100</v>
      </c>
      <c r="B3115" s="32">
        <f t="shared" si="741"/>
        <v>2058</v>
      </c>
      <c r="C3115" s="33" t="s">
        <v>42</v>
      </c>
      <c r="D3115" s="34" t="s">
        <v>1999</v>
      </c>
      <c r="E3115" s="35" t="str">
        <f t="shared" si="739"/>
        <v>PRBNP'!</v>
      </c>
      <c r="F3115" s="34" t="str">
        <f t="shared" si="740"/>
        <v>C:\Users\jaime.benazar\Quorum Business Solutions\Ecopetrol Prometeo - Documents\Planning Space Implementation\3. Analysis &amp; Design\Design\FC22\DRR Jaime\QUIFA-CAJÚA\Cajua\[CAJUA_CF_SEC_New_27-Feb-2024Rev3.xlsx]D-PRBNP'!</v>
      </c>
      <c r="G3115" s="32" t="s">
        <v>117</v>
      </c>
      <c r="H3115" s="33"/>
      <c r="I3115" s="33"/>
      <c r="J3115" s="37"/>
    </row>
    <row r="3116" spans="1:10" x14ac:dyDescent="0.25">
      <c r="A3116" s="32" t="s">
        <v>100</v>
      </c>
      <c r="B3116" s="32">
        <f t="shared" si="741"/>
        <v>2059</v>
      </c>
      <c r="C3116" s="33" t="s">
        <v>42</v>
      </c>
      <c r="D3116" s="34" t="s">
        <v>1999</v>
      </c>
      <c r="E3116" s="35" t="str">
        <f t="shared" si="739"/>
        <v>PRBNP'!</v>
      </c>
      <c r="F3116" s="34" t="str">
        <f t="shared" si="740"/>
        <v>C:\Users\jaime.benazar\Quorum Business Solutions\Ecopetrol Prometeo - Documents\Planning Space Implementation\3. Analysis &amp; Design\Design\FC22\DRR Jaime\QUIFA-CAJÚA\Cajua\[CAJUA_CF_SEC_New_27-Feb-2024Rev3.xlsx]D-PRBNP'!</v>
      </c>
      <c r="G3116" s="32" t="s">
        <v>117</v>
      </c>
      <c r="H3116" s="33"/>
      <c r="I3116" s="33"/>
      <c r="J3116" s="37"/>
    </row>
    <row r="3117" spans="1:10" x14ac:dyDescent="0.25">
      <c r="A3117" s="32" t="s">
        <v>28</v>
      </c>
      <c r="B3117" s="32"/>
      <c r="C3117" s="33" t="s">
        <v>42</v>
      </c>
      <c r="D3117" s="34"/>
      <c r="E3117" s="35"/>
      <c r="F3117" s="34"/>
      <c r="G3117" s="32"/>
      <c r="H3117" s="33"/>
      <c r="I3117" s="33"/>
      <c r="J3117" s="33"/>
    </row>
    <row r="3118" spans="1:10" x14ac:dyDescent="0.25">
      <c r="A3118" s="32" t="s">
        <v>101</v>
      </c>
      <c r="B3118" s="32">
        <v>2023</v>
      </c>
      <c r="C3118" s="33" t="s">
        <v>42</v>
      </c>
      <c r="D3118" s="34" t="s">
        <v>1999</v>
      </c>
      <c r="E3118" s="35" t="str">
        <f t="shared" ref="E3118:E3138" si="742">_xlfn.CONCAT(A3118,"'!")</f>
        <v>PRBND'!</v>
      </c>
      <c r="F3118" s="34" t="str">
        <f t="shared" ref="F3118:F3138" si="743">_xlfn.CONCAT(D3118:E3118)</f>
        <v>C:\Users\jaime.benazar\Quorum Business Solutions\Ecopetrol Prometeo - Documents\Planning Space Implementation\3. Analysis &amp; Design\Design\FC22\DRR Jaime\QUIFA-CAJÚA\Cajua\[CAJUA_CF_SEC_New_27-Feb-2024Rev3.xlsx]D-PRBND'!</v>
      </c>
      <c r="G3118" s="32" t="s">
        <v>117</v>
      </c>
      <c r="H3118" s="33"/>
      <c r="I3118" s="33"/>
      <c r="J3118" s="37"/>
    </row>
    <row r="3119" spans="1:10" x14ac:dyDescent="0.25">
      <c r="A3119" s="32" t="s">
        <v>101</v>
      </c>
      <c r="B3119" s="32">
        <f>+B3118+1</f>
        <v>2024</v>
      </c>
      <c r="C3119" s="33" t="s">
        <v>42</v>
      </c>
      <c r="D3119" s="34" t="s">
        <v>1999</v>
      </c>
      <c r="E3119" s="35" t="str">
        <f t="shared" si="742"/>
        <v>PRBND'!</v>
      </c>
      <c r="F3119" s="34" t="str">
        <f t="shared" si="743"/>
        <v>C:\Users\jaime.benazar\Quorum Business Solutions\Ecopetrol Prometeo - Documents\Planning Space Implementation\3. Analysis &amp; Design\Design\FC22\DRR Jaime\QUIFA-CAJÚA\Cajua\[CAJUA_CF_SEC_New_27-Feb-2024Rev3.xlsx]D-PRBND'!</v>
      </c>
      <c r="G3119" s="32" t="s">
        <v>117</v>
      </c>
      <c r="H3119" s="33"/>
      <c r="I3119" s="33"/>
      <c r="J3119" s="37"/>
    </row>
    <row r="3120" spans="1:10" x14ac:dyDescent="0.25">
      <c r="A3120" s="32" t="s">
        <v>101</v>
      </c>
      <c r="B3120" s="32">
        <f t="shared" ref="B3120:B3131" si="744">+B3119+1</f>
        <v>2025</v>
      </c>
      <c r="C3120" s="33" t="s">
        <v>42</v>
      </c>
      <c r="D3120" s="34" t="s">
        <v>1999</v>
      </c>
      <c r="E3120" s="35" t="str">
        <f t="shared" si="742"/>
        <v>PRBND'!</v>
      </c>
      <c r="F3120" s="34" t="str">
        <f t="shared" si="743"/>
        <v>C:\Users\jaime.benazar\Quorum Business Solutions\Ecopetrol Prometeo - Documents\Planning Space Implementation\3. Analysis &amp; Design\Design\FC22\DRR Jaime\QUIFA-CAJÚA\Cajua\[CAJUA_CF_SEC_New_27-Feb-2024Rev3.xlsx]D-PRBND'!</v>
      </c>
      <c r="G3120" s="32" t="s">
        <v>117</v>
      </c>
      <c r="H3120" s="33"/>
      <c r="I3120" s="33"/>
      <c r="J3120" s="37"/>
    </row>
    <row r="3121" spans="1:10" x14ac:dyDescent="0.25">
      <c r="A3121" s="32" t="s">
        <v>101</v>
      </c>
      <c r="B3121" s="32">
        <f t="shared" si="744"/>
        <v>2026</v>
      </c>
      <c r="C3121" s="33" t="s">
        <v>42</v>
      </c>
      <c r="D3121" s="34" t="s">
        <v>1999</v>
      </c>
      <c r="E3121" s="35" t="str">
        <f t="shared" si="742"/>
        <v>PRBND'!</v>
      </c>
      <c r="F3121" s="34" t="str">
        <f t="shared" si="743"/>
        <v>C:\Users\jaime.benazar\Quorum Business Solutions\Ecopetrol Prometeo - Documents\Planning Space Implementation\3. Analysis &amp; Design\Design\FC22\DRR Jaime\QUIFA-CAJÚA\Cajua\[CAJUA_CF_SEC_New_27-Feb-2024Rev3.xlsx]D-PRBND'!</v>
      </c>
      <c r="G3121" s="32" t="s">
        <v>117</v>
      </c>
      <c r="H3121" s="33"/>
      <c r="I3121" s="33"/>
      <c r="J3121" s="37"/>
    </row>
    <row r="3122" spans="1:10" x14ac:dyDescent="0.25">
      <c r="A3122" s="32" t="s">
        <v>101</v>
      </c>
      <c r="B3122" s="32">
        <f t="shared" si="744"/>
        <v>2027</v>
      </c>
      <c r="C3122" s="33" t="s">
        <v>42</v>
      </c>
      <c r="D3122" s="34" t="s">
        <v>1999</v>
      </c>
      <c r="E3122" s="35" t="str">
        <f t="shared" si="742"/>
        <v>PRBND'!</v>
      </c>
      <c r="F3122" s="34" t="str">
        <f t="shared" si="743"/>
        <v>C:\Users\jaime.benazar\Quorum Business Solutions\Ecopetrol Prometeo - Documents\Planning Space Implementation\3. Analysis &amp; Design\Design\FC22\DRR Jaime\QUIFA-CAJÚA\Cajua\[CAJUA_CF_SEC_New_27-Feb-2024Rev3.xlsx]D-PRBND'!</v>
      </c>
      <c r="G3122" s="32" t="s">
        <v>117</v>
      </c>
      <c r="H3122" s="33"/>
      <c r="I3122" s="33"/>
      <c r="J3122" s="37"/>
    </row>
    <row r="3123" spans="1:10" x14ac:dyDescent="0.25">
      <c r="A3123" s="32" t="s">
        <v>101</v>
      </c>
      <c r="B3123" s="32">
        <f t="shared" si="744"/>
        <v>2028</v>
      </c>
      <c r="C3123" s="33" t="s">
        <v>42</v>
      </c>
      <c r="D3123" s="34" t="s">
        <v>1999</v>
      </c>
      <c r="E3123" s="35" t="str">
        <f t="shared" si="742"/>
        <v>PRBND'!</v>
      </c>
      <c r="F3123" s="34" t="str">
        <f t="shared" si="743"/>
        <v>C:\Users\jaime.benazar\Quorum Business Solutions\Ecopetrol Prometeo - Documents\Planning Space Implementation\3. Analysis &amp; Design\Design\FC22\DRR Jaime\QUIFA-CAJÚA\Cajua\[CAJUA_CF_SEC_New_27-Feb-2024Rev3.xlsx]D-PRBND'!</v>
      </c>
      <c r="G3123" s="32" t="s">
        <v>117</v>
      </c>
      <c r="H3123" s="33"/>
      <c r="I3123" s="33"/>
      <c r="J3123" s="37"/>
    </row>
    <row r="3124" spans="1:10" x14ac:dyDescent="0.25">
      <c r="A3124" s="32" t="s">
        <v>101</v>
      </c>
      <c r="B3124" s="32">
        <f t="shared" si="744"/>
        <v>2029</v>
      </c>
      <c r="C3124" s="33" t="s">
        <v>42</v>
      </c>
      <c r="D3124" s="34" t="s">
        <v>1999</v>
      </c>
      <c r="E3124" s="35" t="str">
        <f t="shared" si="742"/>
        <v>PRBND'!</v>
      </c>
      <c r="F3124" s="34" t="str">
        <f t="shared" si="743"/>
        <v>C:\Users\jaime.benazar\Quorum Business Solutions\Ecopetrol Prometeo - Documents\Planning Space Implementation\3. Analysis &amp; Design\Design\FC22\DRR Jaime\QUIFA-CAJÚA\Cajua\[CAJUA_CF_SEC_New_27-Feb-2024Rev3.xlsx]D-PRBND'!</v>
      </c>
      <c r="G3124" s="32" t="s">
        <v>117</v>
      </c>
      <c r="H3124" s="33"/>
      <c r="I3124" s="33"/>
      <c r="J3124" s="37"/>
    </row>
    <row r="3125" spans="1:10" x14ac:dyDescent="0.25">
      <c r="A3125" s="32" t="s">
        <v>101</v>
      </c>
      <c r="B3125" s="32">
        <f t="shared" si="744"/>
        <v>2030</v>
      </c>
      <c r="C3125" s="33" t="s">
        <v>42</v>
      </c>
      <c r="D3125" s="34" t="s">
        <v>1999</v>
      </c>
      <c r="E3125" s="35" t="str">
        <f t="shared" si="742"/>
        <v>PRBND'!</v>
      </c>
      <c r="F3125" s="34" t="str">
        <f t="shared" si="743"/>
        <v>C:\Users\jaime.benazar\Quorum Business Solutions\Ecopetrol Prometeo - Documents\Planning Space Implementation\3. Analysis &amp; Design\Design\FC22\DRR Jaime\QUIFA-CAJÚA\Cajua\[CAJUA_CF_SEC_New_27-Feb-2024Rev3.xlsx]D-PRBND'!</v>
      </c>
      <c r="G3125" s="32" t="s">
        <v>117</v>
      </c>
      <c r="H3125" s="33"/>
      <c r="I3125" s="33"/>
      <c r="J3125" s="37"/>
    </row>
    <row r="3126" spans="1:10" x14ac:dyDescent="0.25">
      <c r="A3126" s="32" t="s">
        <v>101</v>
      </c>
      <c r="B3126" s="32">
        <f t="shared" si="744"/>
        <v>2031</v>
      </c>
      <c r="C3126" s="33" t="s">
        <v>42</v>
      </c>
      <c r="D3126" s="34" t="s">
        <v>1999</v>
      </c>
      <c r="E3126" s="35" t="str">
        <f t="shared" si="742"/>
        <v>PRBND'!</v>
      </c>
      <c r="F3126" s="34" t="str">
        <f t="shared" si="743"/>
        <v>C:\Users\jaime.benazar\Quorum Business Solutions\Ecopetrol Prometeo - Documents\Planning Space Implementation\3. Analysis &amp; Design\Design\FC22\DRR Jaime\QUIFA-CAJÚA\Cajua\[CAJUA_CF_SEC_New_27-Feb-2024Rev3.xlsx]D-PRBND'!</v>
      </c>
      <c r="G3126" s="32" t="s">
        <v>117</v>
      </c>
      <c r="H3126" s="33"/>
      <c r="I3126" s="33"/>
      <c r="J3126" s="37"/>
    </row>
    <row r="3127" spans="1:10" x14ac:dyDescent="0.25">
      <c r="A3127" s="32" t="s">
        <v>101</v>
      </c>
      <c r="B3127" s="32">
        <f t="shared" si="744"/>
        <v>2032</v>
      </c>
      <c r="C3127" s="33" t="s">
        <v>42</v>
      </c>
      <c r="D3127" s="34" t="s">
        <v>1999</v>
      </c>
      <c r="E3127" s="35" t="str">
        <f t="shared" si="742"/>
        <v>PRBND'!</v>
      </c>
      <c r="F3127" s="34" t="str">
        <f t="shared" si="743"/>
        <v>C:\Users\jaime.benazar\Quorum Business Solutions\Ecopetrol Prometeo - Documents\Planning Space Implementation\3. Analysis &amp; Design\Design\FC22\DRR Jaime\QUIFA-CAJÚA\Cajua\[CAJUA_CF_SEC_New_27-Feb-2024Rev3.xlsx]D-PRBND'!</v>
      </c>
      <c r="G3127" s="32" t="s">
        <v>117</v>
      </c>
      <c r="H3127" s="33"/>
      <c r="I3127" s="33"/>
      <c r="J3127" s="37"/>
    </row>
    <row r="3128" spans="1:10" x14ac:dyDescent="0.25">
      <c r="A3128" s="32" t="s">
        <v>101</v>
      </c>
      <c r="B3128" s="32">
        <f t="shared" si="744"/>
        <v>2033</v>
      </c>
      <c r="C3128" s="33" t="s">
        <v>42</v>
      </c>
      <c r="D3128" s="34" t="s">
        <v>1999</v>
      </c>
      <c r="E3128" s="35" t="str">
        <f t="shared" si="742"/>
        <v>PRBND'!</v>
      </c>
      <c r="F3128" s="34" t="str">
        <f t="shared" si="743"/>
        <v>C:\Users\jaime.benazar\Quorum Business Solutions\Ecopetrol Prometeo - Documents\Planning Space Implementation\3. Analysis &amp; Design\Design\FC22\DRR Jaime\QUIFA-CAJÚA\Cajua\[CAJUA_CF_SEC_New_27-Feb-2024Rev3.xlsx]D-PRBND'!</v>
      </c>
      <c r="G3128" s="32" t="s">
        <v>117</v>
      </c>
      <c r="H3128" s="33"/>
      <c r="I3128" s="33"/>
      <c r="J3128" s="37"/>
    </row>
    <row r="3129" spans="1:10" x14ac:dyDescent="0.25">
      <c r="A3129" s="32" t="s">
        <v>101</v>
      </c>
      <c r="B3129" s="32">
        <f t="shared" si="744"/>
        <v>2034</v>
      </c>
      <c r="C3129" s="33" t="s">
        <v>42</v>
      </c>
      <c r="D3129" s="34" t="s">
        <v>1999</v>
      </c>
      <c r="E3129" s="35" t="str">
        <f t="shared" si="742"/>
        <v>PRBND'!</v>
      </c>
      <c r="F3129" s="34" t="str">
        <f t="shared" si="743"/>
        <v>C:\Users\jaime.benazar\Quorum Business Solutions\Ecopetrol Prometeo - Documents\Planning Space Implementation\3. Analysis &amp; Design\Design\FC22\DRR Jaime\QUIFA-CAJÚA\Cajua\[CAJUA_CF_SEC_New_27-Feb-2024Rev3.xlsx]D-PRBND'!</v>
      </c>
      <c r="G3129" s="32" t="s">
        <v>117</v>
      </c>
      <c r="H3129" s="33"/>
      <c r="I3129" s="33"/>
      <c r="J3129" s="37"/>
    </row>
    <row r="3130" spans="1:10" x14ac:dyDescent="0.25">
      <c r="A3130" s="32" t="s">
        <v>101</v>
      </c>
      <c r="B3130" s="32">
        <f t="shared" si="744"/>
        <v>2035</v>
      </c>
      <c r="C3130" s="33" t="s">
        <v>42</v>
      </c>
      <c r="D3130" s="34" t="s">
        <v>1999</v>
      </c>
      <c r="E3130" s="35" t="str">
        <f t="shared" si="742"/>
        <v>PRBND'!</v>
      </c>
      <c r="F3130" s="34" t="str">
        <f t="shared" si="743"/>
        <v>C:\Users\jaime.benazar\Quorum Business Solutions\Ecopetrol Prometeo - Documents\Planning Space Implementation\3. Analysis &amp; Design\Design\FC22\DRR Jaime\QUIFA-CAJÚA\Cajua\[CAJUA_CF_SEC_New_27-Feb-2024Rev3.xlsx]D-PRBND'!</v>
      </c>
      <c r="G3130" s="32" t="s">
        <v>117</v>
      </c>
      <c r="H3130" s="33"/>
      <c r="I3130" s="33"/>
      <c r="J3130" s="37"/>
    </row>
    <row r="3131" spans="1:10" x14ac:dyDescent="0.25">
      <c r="A3131" s="32" t="s">
        <v>101</v>
      </c>
      <c r="B3131" s="32">
        <f t="shared" si="744"/>
        <v>2036</v>
      </c>
      <c r="C3131" s="33" t="s">
        <v>42</v>
      </c>
      <c r="D3131" s="34" t="s">
        <v>1999</v>
      </c>
      <c r="E3131" s="35" t="str">
        <f t="shared" si="742"/>
        <v>PRBND'!</v>
      </c>
      <c r="F3131" s="34" t="str">
        <f t="shared" si="743"/>
        <v>C:\Users\jaime.benazar\Quorum Business Solutions\Ecopetrol Prometeo - Documents\Planning Space Implementation\3. Analysis &amp; Design\Design\FC22\DRR Jaime\QUIFA-CAJÚA\Cajua\[CAJUA_CF_SEC_New_27-Feb-2024Rev3.xlsx]D-PRBND'!</v>
      </c>
      <c r="G3131" s="32" t="s">
        <v>117</v>
      </c>
      <c r="H3131" s="33"/>
      <c r="I3131" s="33"/>
      <c r="J3131" s="37"/>
    </row>
    <row r="3132" spans="1:10" x14ac:dyDescent="0.25">
      <c r="A3132" s="32" t="s">
        <v>101</v>
      </c>
      <c r="B3132" s="32">
        <f>+B3131+1</f>
        <v>2037</v>
      </c>
      <c r="C3132" s="33" t="s">
        <v>42</v>
      </c>
      <c r="D3132" s="34" t="s">
        <v>1999</v>
      </c>
      <c r="E3132" s="35" t="str">
        <f t="shared" si="742"/>
        <v>PRBND'!</v>
      </c>
      <c r="F3132" s="34" t="str">
        <f t="shared" si="743"/>
        <v>C:\Users\jaime.benazar\Quorum Business Solutions\Ecopetrol Prometeo - Documents\Planning Space Implementation\3. Analysis &amp; Design\Design\FC22\DRR Jaime\QUIFA-CAJÚA\Cajua\[CAJUA_CF_SEC_New_27-Feb-2024Rev3.xlsx]D-PRBND'!</v>
      </c>
      <c r="G3132" s="32" t="s">
        <v>117</v>
      </c>
      <c r="H3132" s="33"/>
      <c r="I3132" s="33"/>
      <c r="J3132" s="37"/>
    </row>
    <row r="3133" spans="1:10" x14ac:dyDescent="0.25">
      <c r="A3133" s="32" t="s">
        <v>101</v>
      </c>
      <c r="B3133" s="32">
        <f t="shared" ref="B3133:B3135" si="745">+B3132+1</f>
        <v>2038</v>
      </c>
      <c r="C3133" s="33" t="s">
        <v>42</v>
      </c>
      <c r="D3133" s="34" t="s">
        <v>1999</v>
      </c>
      <c r="E3133" s="35" t="str">
        <f t="shared" si="742"/>
        <v>PRBND'!</v>
      </c>
      <c r="F3133" s="34" t="str">
        <f t="shared" si="743"/>
        <v>C:\Users\jaime.benazar\Quorum Business Solutions\Ecopetrol Prometeo - Documents\Planning Space Implementation\3. Analysis &amp; Design\Design\FC22\DRR Jaime\QUIFA-CAJÚA\Cajua\[CAJUA_CF_SEC_New_27-Feb-2024Rev3.xlsx]D-PRBND'!</v>
      </c>
      <c r="G3133" s="32" t="s">
        <v>117</v>
      </c>
      <c r="H3133" s="33"/>
      <c r="I3133" s="33"/>
      <c r="J3133" s="37"/>
    </row>
    <row r="3134" spans="1:10" x14ac:dyDescent="0.25">
      <c r="A3134" s="32" t="s">
        <v>101</v>
      </c>
      <c r="B3134" s="32">
        <f t="shared" si="745"/>
        <v>2039</v>
      </c>
      <c r="C3134" s="33" t="s">
        <v>42</v>
      </c>
      <c r="D3134" s="34" t="s">
        <v>1999</v>
      </c>
      <c r="E3134" s="35" t="str">
        <f t="shared" si="742"/>
        <v>PRBND'!</v>
      </c>
      <c r="F3134" s="34" t="str">
        <f t="shared" si="743"/>
        <v>C:\Users\jaime.benazar\Quorum Business Solutions\Ecopetrol Prometeo - Documents\Planning Space Implementation\3. Analysis &amp; Design\Design\FC22\DRR Jaime\QUIFA-CAJÚA\Cajua\[CAJUA_CF_SEC_New_27-Feb-2024Rev3.xlsx]D-PRBND'!</v>
      </c>
      <c r="G3134" s="32" t="s">
        <v>117</v>
      </c>
      <c r="H3134" s="33"/>
      <c r="I3134" s="33"/>
      <c r="J3134" s="37"/>
    </row>
    <row r="3135" spans="1:10" x14ac:dyDescent="0.25">
      <c r="A3135" s="32" t="s">
        <v>101</v>
      </c>
      <c r="B3135" s="32">
        <f t="shared" si="745"/>
        <v>2040</v>
      </c>
      <c r="C3135" s="33" t="s">
        <v>42</v>
      </c>
      <c r="D3135" s="34" t="s">
        <v>1999</v>
      </c>
      <c r="E3135" s="35" t="str">
        <f t="shared" si="742"/>
        <v>PRBND'!</v>
      </c>
      <c r="F3135" s="34" t="str">
        <f t="shared" si="743"/>
        <v>C:\Users\jaime.benazar\Quorum Business Solutions\Ecopetrol Prometeo - Documents\Planning Space Implementation\3. Analysis &amp; Design\Design\FC22\DRR Jaime\QUIFA-CAJÚA\Cajua\[CAJUA_CF_SEC_New_27-Feb-2024Rev3.xlsx]D-PRBND'!</v>
      </c>
      <c r="G3135" s="32" t="s">
        <v>117</v>
      </c>
      <c r="H3135" s="33"/>
      <c r="I3135" s="33"/>
      <c r="J3135" s="37"/>
    </row>
    <row r="3136" spans="1:10" x14ac:dyDescent="0.25">
      <c r="A3136" s="32" t="s">
        <v>101</v>
      </c>
      <c r="B3136" s="32">
        <f>+B3135+1</f>
        <v>2041</v>
      </c>
      <c r="C3136" s="33" t="s">
        <v>42</v>
      </c>
      <c r="D3136" s="34" t="s">
        <v>1999</v>
      </c>
      <c r="E3136" s="35" t="str">
        <f t="shared" si="742"/>
        <v>PRBND'!</v>
      </c>
      <c r="F3136" s="34" t="str">
        <f t="shared" si="743"/>
        <v>C:\Users\jaime.benazar\Quorum Business Solutions\Ecopetrol Prometeo - Documents\Planning Space Implementation\3. Analysis &amp; Design\Design\FC22\DRR Jaime\QUIFA-CAJÚA\Cajua\[CAJUA_CF_SEC_New_27-Feb-2024Rev3.xlsx]D-PRBND'!</v>
      </c>
      <c r="G3136" s="32" t="s">
        <v>117</v>
      </c>
      <c r="H3136" s="33"/>
      <c r="I3136" s="33"/>
      <c r="J3136" s="37"/>
    </row>
    <row r="3137" spans="1:10" x14ac:dyDescent="0.25">
      <c r="A3137" s="32" t="s">
        <v>101</v>
      </c>
      <c r="B3137" s="32">
        <f t="shared" ref="B3137:B3138" si="746">+B3136+1</f>
        <v>2042</v>
      </c>
      <c r="C3137" s="33" t="s">
        <v>42</v>
      </c>
      <c r="D3137" s="34" t="s">
        <v>1999</v>
      </c>
      <c r="E3137" s="35" t="str">
        <f t="shared" si="742"/>
        <v>PRBND'!</v>
      </c>
      <c r="F3137" s="34" t="str">
        <f t="shared" si="743"/>
        <v>C:\Users\jaime.benazar\Quorum Business Solutions\Ecopetrol Prometeo - Documents\Planning Space Implementation\3. Analysis &amp; Design\Design\FC22\DRR Jaime\QUIFA-CAJÚA\Cajua\[CAJUA_CF_SEC_New_27-Feb-2024Rev3.xlsx]D-PRBND'!</v>
      </c>
      <c r="G3137" s="32" t="s">
        <v>117</v>
      </c>
      <c r="H3137" s="33"/>
      <c r="I3137" s="33"/>
      <c r="J3137" s="37"/>
    </row>
    <row r="3138" spans="1:10" x14ac:dyDescent="0.25">
      <c r="A3138" s="32" t="s">
        <v>101</v>
      </c>
      <c r="B3138" s="32">
        <f t="shared" si="746"/>
        <v>2043</v>
      </c>
      <c r="C3138" s="33" t="s">
        <v>42</v>
      </c>
      <c r="D3138" s="34" t="s">
        <v>1999</v>
      </c>
      <c r="E3138" s="35" t="str">
        <f t="shared" si="742"/>
        <v>PRBND'!</v>
      </c>
      <c r="F3138" s="34" t="str">
        <f t="shared" si="743"/>
        <v>C:\Users\jaime.benazar\Quorum Business Solutions\Ecopetrol Prometeo - Documents\Planning Space Implementation\3. Analysis &amp; Design\Design\FC22\DRR Jaime\QUIFA-CAJÚA\Cajua\[CAJUA_CF_SEC_New_27-Feb-2024Rev3.xlsx]D-PRBND'!</v>
      </c>
      <c r="G3138" s="32" t="s">
        <v>117</v>
      </c>
      <c r="H3138" s="33"/>
      <c r="I3138" s="33"/>
      <c r="J3138" s="37"/>
    </row>
    <row r="3139" spans="1:10" x14ac:dyDescent="0.25">
      <c r="A3139" s="32" t="s">
        <v>101</v>
      </c>
      <c r="B3139" s="32">
        <f>+B3138+1</f>
        <v>2044</v>
      </c>
      <c r="C3139" s="33" t="s">
        <v>42</v>
      </c>
      <c r="D3139" s="34" t="s">
        <v>1999</v>
      </c>
      <c r="E3139" s="35" t="str">
        <f t="shared" ref="E3139:E3154" si="747">_xlfn.CONCAT(A3139,"'!")</f>
        <v>PRBND'!</v>
      </c>
      <c r="F3139" s="34" t="str">
        <f t="shared" ref="F3139:F3154" si="748">_xlfn.CONCAT(D3139:E3139)</f>
        <v>C:\Users\jaime.benazar\Quorum Business Solutions\Ecopetrol Prometeo - Documents\Planning Space Implementation\3. Analysis &amp; Design\Design\FC22\DRR Jaime\QUIFA-CAJÚA\Cajua\[CAJUA_CF_SEC_New_27-Feb-2024Rev3.xlsx]D-PRBND'!</v>
      </c>
      <c r="G3139" s="32" t="s">
        <v>117</v>
      </c>
      <c r="H3139" s="33"/>
      <c r="I3139" s="33"/>
      <c r="J3139" s="37"/>
    </row>
    <row r="3140" spans="1:10" x14ac:dyDescent="0.25">
      <c r="A3140" s="32" t="s">
        <v>101</v>
      </c>
      <c r="B3140" s="32">
        <f t="shared" ref="B3140:B3154" si="749">+B3139+1</f>
        <v>2045</v>
      </c>
      <c r="C3140" s="33" t="s">
        <v>42</v>
      </c>
      <c r="D3140" s="34" t="s">
        <v>1999</v>
      </c>
      <c r="E3140" s="35" t="str">
        <f t="shared" si="747"/>
        <v>PRBND'!</v>
      </c>
      <c r="F3140" s="34" t="str">
        <f t="shared" si="748"/>
        <v>C:\Users\jaime.benazar\Quorum Business Solutions\Ecopetrol Prometeo - Documents\Planning Space Implementation\3. Analysis &amp; Design\Design\FC22\DRR Jaime\QUIFA-CAJÚA\Cajua\[CAJUA_CF_SEC_New_27-Feb-2024Rev3.xlsx]D-PRBND'!</v>
      </c>
      <c r="G3140" s="32" t="s">
        <v>117</v>
      </c>
      <c r="H3140" s="33"/>
      <c r="I3140" s="33"/>
      <c r="J3140" s="37"/>
    </row>
    <row r="3141" spans="1:10" x14ac:dyDescent="0.25">
      <c r="A3141" s="32" t="s">
        <v>101</v>
      </c>
      <c r="B3141" s="32">
        <f t="shared" si="749"/>
        <v>2046</v>
      </c>
      <c r="C3141" s="33" t="s">
        <v>42</v>
      </c>
      <c r="D3141" s="34" t="s">
        <v>1999</v>
      </c>
      <c r="E3141" s="35" t="str">
        <f t="shared" si="747"/>
        <v>PRBND'!</v>
      </c>
      <c r="F3141" s="34" t="str">
        <f t="shared" si="748"/>
        <v>C:\Users\jaime.benazar\Quorum Business Solutions\Ecopetrol Prometeo - Documents\Planning Space Implementation\3. Analysis &amp; Design\Design\FC22\DRR Jaime\QUIFA-CAJÚA\Cajua\[CAJUA_CF_SEC_New_27-Feb-2024Rev3.xlsx]D-PRBND'!</v>
      </c>
      <c r="G3141" s="32" t="s">
        <v>117</v>
      </c>
      <c r="H3141" s="33"/>
      <c r="I3141" s="33"/>
      <c r="J3141" s="37"/>
    </row>
    <row r="3142" spans="1:10" x14ac:dyDescent="0.25">
      <c r="A3142" s="32" t="s">
        <v>101</v>
      </c>
      <c r="B3142" s="32">
        <f t="shared" si="749"/>
        <v>2047</v>
      </c>
      <c r="C3142" s="33" t="s">
        <v>42</v>
      </c>
      <c r="D3142" s="34" t="s">
        <v>1999</v>
      </c>
      <c r="E3142" s="35" t="str">
        <f t="shared" si="747"/>
        <v>PRBND'!</v>
      </c>
      <c r="F3142" s="34" t="str">
        <f t="shared" si="748"/>
        <v>C:\Users\jaime.benazar\Quorum Business Solutions\Ecopetrol Prometeo - Documents\Planning Space Implementation\3. Analysis &amp; Design\Design\FC22\DRR Jaime\QUIFA-CAJÚA\Cajua\[CAJUA_CF_SEC_New_27-Feb-2024Rev3.xlsx]D-PRBND'!</v>
      </c>
      <c r="G3142" s="32" t="s">
        <v>117</v>
      </c>
      <c r="H3142" s="33"/>
      <c r="I3142" s="33"/>
      <c r="J3142" s="37"/>
    </row>
    <row r="3143" spans="1:10" x14ac:dyDescent="0.25">
      <c r="A3143" s="32" t="s">
        <v>101</v>
      </c>
      <c r="B3143" s="32">
        <f t="shared" si="749"/>
        <v>2048</v>
      </c>
      <c r="C3143" s="33" t="s">
        <v>42</v>
      </c>
      <c r="D3143" s="34" t="s">
        <v>1999</v>
      </c>
      <c r="E3143" s="35" t="str">
        <f t="shared" si="747"/>
        <v>PRBND'!</v>
      </c>
      <c r="F3143" s="34" t="str">
        <f t="shared" si="748"/>
        <v>C:\Users\jaime.benazar\Quorum Business Solutions\Ecopetrol Prometeo - Documents\Planning Space Implementation\3. Analysis &amp; Design\Design\FC22\DRR Jaime\QUIFA-CAJÚA\Cajua\[CAJUA_CF_SEC_New_27-Feb-2024Rev3.xlsx]D-PRBND'!</v>
      </c>
      <c r="G3143" s="32" t="s">
        <v>117</v>
      </c>
      <c r="H3143" s="33"/>
      <c r="I3143" s="33"/>
      <c r="J3143" s="37"/>
    </row>
    <row r="3144" spans="1:10" x14ac:dyDescent="0.25">
      <c r="A3144" s="32" t="s">
        <v>101</v>
      </c>
      <c r="B3144" s="32">
        <f t="shared" si="749"/>
        <v>2049</v>
      </c>
      <c r="C3144" s="33" t="s">
        <v>42</v>
      </c>
      <c r="D3144" s="34" t="s">
        <v>1999</v>
      </c>
      <c r="E3144" s="35" t="str">
        <f t="shared" si="747"/>
        <v>PRBND'!</v>
      </c>
      <c r="F3144" s="34" t="str">
        <f t="shared" si="748"/>
        <v>C:\Users\jaime.benazar\Quorum Business Solutions\Ecopetrol Prometeo - Documents\Planning Space Implementation\3. Analysis &amp; Design\Design\FC22\DRR Jaime\QUIFA-CAJÚA\Cajua\[CAJUA_CF_SEC_New_27-Feb-2024Rev3.xlsx]D-PRBND'!</v>
      </c>
      <c r="G3144" s="32" t="s">
        <v>117</v>
      </c>
      <c r="H3144" s="33"/>
      <c r="I3144" s="33"/>
      <c r="J3144" s="37"/>
    </row>
    <row r="3145" spans="1:10" x14ac:dyDescent="0.25">
      <c r="A3145" s="32" t="s">
        <v>101</v>
      </c>
      <c r="B3145" s="32">
        <f t="shared" si="749"/>
        <v>2050</v>
      </c>
      <c r="C3145" s="33" t="s">
        <v>42</v>
      </c>
      <c r="D3145" s="34" t="s">
        <v>1999</v>
      </c>
      <c r="E3145" s="35" t="str">
        <f t="shared" si="747"/>
        <v>PRBND'!</v>
      </c>
      <c r="F3145" s="34" t="str">
        <f t="shared" si="748"/>
        <v>C:\Users\jaime.benazar\Quorum Business Solutions\Ecopetrol Prometeo - Documents\Planning Space Implementation\3. Analysis &amp; Design\Design\FC22\DRR Jaime\QUIFA-CAJÚA\Cajua\[CAJUA_CF_SEC_New_27-Feb-2024Rev3.xlsx]D-PRBND'!</v>
      </c>
      <c r="G3145" s="32" t="s">
        <v>117</v>
      </c>
      <c r="H3145" s="33"/>
      <c r="I3145" s="33"/>
      <c r="J3145" s="37"/>
    </row>
    <row r="3146" spans="1:10" x14ac:dyDescent="0.25">
      <c r="A3146" s="32" t="s">
        <v>101</v>
      </c>
      <c r="B3146" s="32">
        <f t="shared" si="749"/>
        <v>2051</v>
      </c>
      <c r="C3146" s="33" t="s">
        <v>42</v>
      </c>
      <c r="D3146" s="34" t="s">
        <v>1999</v>
      </c>
      <c r="E3146" s="35" t="str">
        <f t="shared" si="747"/>
        <v>PRBND'!</v>
      </c>
      <c r="F3146" s="34" t="str">
        <f t="shared" si="748"/>
        <v>C:\Users\jaime.benazar\Quorum Business Solutions\Ecopetrol Prometeo - Documents\Planning Space Implementation\3. Analysis &amp; Design\Design\FC22\DRR Jaime\QUIFA-CAJÚA\Cajua\[CAJUA_CF_SEC_New_27-Feb-2024Rev3.xlsx]D-PRBND'!</v>
      </c>
      <c r="G3146" s="32" t="s">
        <v>117</v>
      </c>
      <c r="H3146" s="33"/>
      <c r="I3146" s="33"/>
      <c r="J3146" s="37"/>
    </row>
    <row r="3147" spans="1:10" x14ac:dyDescent="0.25">
      <c r="A3147" s="32" t="s">
        <v>101</v>
      </c>
      <c r="B3147" s="32">
        <f t="shared" si="749"/>
        <v>2052</v>
      </c>
      <c r="C3147" s="33" t="s">
        <v>42</v>
      </c>
      <c r="D3147" s="34" t="s">
        <v>1999</v>
      </c>
      <c r="E3147" s="35" t="str">
        <f t="shared" si="747"/>
        <v>PRBND'!</v>
      </c>
      <c r="F3147" s="34" t="str">
        <f t="shared" si="748"/>
        <v>C:\Users\jaime.benazar\Quorum Business Solutions\Ecopetrol Prometeo - Documents\Planning Space Implementation\3. Analysis &amp; Design\Design\FC22\DRR Jaime\QUIFA-CAJÚA\Cajua\[CAJUA_CF_SEC_New_27-Feb-2024Rev3.xlsx]D-PRBND'!</v>
      </c>
      <c r="G3147" s="32" t="s">
        <v>117</v>
      </c>
      <c r="H3147" s="33"/>
      <c r="I3147" s="33"/>
      <c r="J3147" s="37"/>
    </row>
    <row r="3148" spans="1:10" x14ac:dyDescent="0.25">
      <c r="A3148" s="32" t="s">
        <v>101</v>
      </c>
      <c r="B3148" s="32">
        <f t="shared" si="749"/>
        <v>2053</v>
      </c>
      <c r="C3148" s="33" t="s">
        <v>42</v>
      </c>
      <c r="D3148" s="34" t="s">
        <v>1999</v>
      </c>
      <c r="E3148" s="35" t="str">
        <f t="shared" si="747"/>
        <v>PRBND'!</v>
      </c>
      <c r="F3148" s="34" t="str">
        <f t="shared" si="748"/>
        <v>C:\Users\jaime.benazar\Quorum Business Solutions\Ecopetrol Prometeo - Documents\Planning Space Implementation\3. Analysis &amp; Design\Design\FC22\DRR Jaime\QUIFA-CAJÚA\Cajua\[CAJUA_CF_SEC_New_27-Feb-2024Rev3.xlsx]D-PRBND'!</v>
      </c>
      <c r="G3148" s="32" t="s">
        <v>117</v>
      </c>
      <c r="H3148" s="33"/>
      <c r="I3148" s="33"/>
      <c r="J3148" s="37"/>
    </row>
    <row r="3149" spans="1:10" x14ac:dyDescent="0.25">
      <c r="A3149" s="32" t="s">
        <v>101</v>
      </c>
      <c r="B3149" s="32">
        <f t="shared" si="749"/>
        <v>2054</v>
      </c>
      <c r="C3149" s="33" t="s">
        <v>42</v>
      </c>
      <c r="D3149" s="34" t="s">
        <v>1999</v>
      </c>
      <c r="E3149" s="35" t="str">
        <f t="shared" si="747"/>
        <v>PRBND'!</v>
      </c>
      <c r="F3149" s="34" t="str">
        <f t="shared" si="748"/>
        <v>C:\Users\jaime.benazar\Quorum Business Solutions\Ecopetrol Prometeo - Documents\Planning Space Implementation\3. Analysis &amp; Design\Design\FC22\DRR Jaime\QUIFA-CAJÚA\Cajua\[CAJUA_CF_SEC_New_27-Feb-2024Rev3.xlsx]D-PRBND'!</v>
      </c>
      <c r="G3149" s="32" t="s">
        <v>117</v>
      </c>
      <c r="H3149" s="33"/>
      <c r="I3149" s="33"/>
      <c r="J3149" s="37"/>
    </row>
    <row r="3150" spans="1:10" x14ac:dyDescent="0.25">
      <c r="A3150" s="32" t="s">
        <v>101</v>
      </c>
      <c r="B3150" s="32">
        <f t="shared" si="749"/>
        <v>2055</v>
      </c>
      <c r="C3150" s="33" t="s">
        <v>42</v>
      </c>
      <c r="D3150" s="34" t="s">
        <v>1999</v>
      </c>
      <c r="E3150" s="35" t="str">
        <f t="shared" si="747"/>
        <v>PRBND'!</v>
      </c>
      <c r="F3150" s="34" t="str">
        <f t="shared" si="748"/>
        <v>C:\Users\jaime.benazar\Quorum Business Solutions\Ecopetrol Prometeo - Documents\Planning Space Implementation\3. Analysis &amp; Design\Design\FC22\DRR Jaime\QUIFA-CAJÚA\Cajua\[CAJUA_CF_SEC_New_27-Feb-2024Rev3.xlsx]D-PRBND'!</v>
      </c>
      <c r="G3150" s="32" t="s">
        <v>117</v>
      </c>
      <c r="H3150" s="33"/>
      <c r="I3150" s="33"/>
      <c r="J3150" s="37"/>
    </row>
    <row r="3151" spans="1:10" x14ac:dyDescent="0.25">
      <c r="A3151" s="32" t="s">
        <v>101</v>
      </c>
      <c r="B3151" s="32">
        <f t="shared" si="749"/>
        <v>2056</v>
      </c>
      <c r="C3151" s="33" t="s">
        <v>42</v>
      </c>
      <c r="D3151" s="34" t="s">
        <v>1999</v>
      </c>
      <c r="E3151" s="35" t="str">
        <f t="shared" si="747"/>
        <v>PRBND'!</v>
      </c>
      <c r="F3151" s="34" t="str">
        <f t="shared" si="748"/>
        <v>C:\Users\jaime.benazar\Quorum Business Solutions\Ecopetrol Prometeo - Documents\Planning Space Implementation\3. Analysis &amp; Design\Design\FC22\DRR Jaime\QUIFA-CAJÚA\Cajua\[CAJUA_CF_SEC_New_27-Feb-2024Rev3.xlsx]D-PRBND'!</v>
      </c>
      <c r="G3151" s="32" t="s">
        <v>117</v>
      </c>
      <c r="H3151" s="33"/>
      <c r="I3151" s="33"/>
      <c r="J3151" s="37"/>
    </row>
    <row r="3152" spans="1:10" x14ac:dyDescent="0.25">
      <c r="A3152" s="32" t="s">
        <v>101</v>
      </c>
      <c r="B3152" s="32">
        <f t="shared" si="749"/>
        <v>2057</v>
      </c>
      <c r="C3152" s="33" t="s">
        <v>42</v>
      </c>
      <c r="D3152" s="34" t="s">
        <v>1999</v>
      </c>
      <c r="E3152" s="35" t="str">
        <f t="shared" si="747"/>
        <v>PRBND'!</v>
      </c>
      <c r="F3152" s="34" t="str">
        <f t="shared" si="748"/>
        <v>C:\Users\jaime.benazar\Quorum Business Solutions\Ecopetrol Prometeo - Documents\Planning Space Implementation\3. Analysis &amp; Design\Design\FC22\DRR Jaime\QUIFA-CAJÚA\Cajua\[CAJUA_CF_SEC_New_27-Feb-2024Rev3.xlsx]D-PRBND'!</v>
      </c>
      <c r="G3152" s="32" t="s">
        <v>117</v>
      </c>
      <c r="H3152" s="33"/>
      <c r="I3152" s="33"/>
      <c r="J3152" s="37"/>
    </row>
    <row r="3153" spans="1:10" x14ac:dyDescent="0.25">
      <c r="A3153" s="32" t="s">
        <v>101</v>
      </c>
      <c r="B3153" s="32">
        <f t="shared" si="749"/>
        <v>2058</v>
      </c>
      <c r="C3153" s="33" t="s">
        <v>42</v>
      </c>
      <c r="D3153" s="34" t="s">
        <v>1999</v>
      </c>
      <c r="E3153" s="35" t="str">
        <f t="shared" si="747"/>
        <v>PRBND'!</v>
      </c>
      <c r="F3153" s="34" t="str">
        <f t="shared" si="748"/>
        <v>C:\Users\jaime.benazar\Quorum Business Solutions\Ecopetrol Prometeo - Documents\Planning Space Implementation\3. Analysis &amp; Design\Design\FC22\DRR Jaime\QUIFA-CAJÚA\Cajua\[CAJUA_CF_SEC_New_27-Feb-2024Rev3.xlsx]D-PRBND'!</v>
      </c>
      <c r="G3153" s="32" t="s">
        <v>117</v>
      </c>
      <c r="H3153" s="33"/>
      <c r="I3153" s="33"/>
      <c r="J3153" s="37"/>
    </row>
    <row r="3154" spans="1:10" x14ac:dyDescent="0.25">
      <c r="A3154" s="32" t="s">
        <v>101</v>
      </c>
      <c r="B3154" s="32">
        <f t="shared" si="749"/>
        <v>2059</v>
      </c>
      <c r="C3154" s="33" t="s">
        <v>42</v>
      </c>
      <c r="D3154" s="34" t="s">
        <v>1999</v>
      </c>
      <c r="E3154" s="35" t="str">
        <f t="shared" si="747"/>
        <v>PRBND'!</v>
      </c>
      <c r="F3154" s="34" t="str">
        <f t="shared" si="748"/>
        <v>C:\Users\jaime.benazar\Quorum Business Solutions\Ecopetrol Prometeo - Documents\Planning Space Implementation\3. Analysis &amp; Design\Design\FC22\DRR Jaime\QUIFA-CAJÚA\Cajua\[CAJUA_CF_SEC_New_27-Feb-2024Rev3.xlsx]D-PRBND'!</v>
      </c>
      <c r="G3154" s="32" t="s">
        <v>117</v>
      </c>
      <c r="H3154" s="33"/>
      <c r="I3154" s="33"/>
      <c r="J3154" s="37"/>
    </row>
    <row r="3155" spans="1:10" x14ac:dyDescent="0.25">
      <c r="A3155" s="32" t="s">
        <v>28</v>
      </c>
      <c r="B3155" s="32"/>
      <c r="C3155" s="33" t="s">
        <v>42</v>
      </c>
      <c r="D3155" s="34"/>
      <c r="E3155" s="35"/>
      <c r="F3155" s="34"/>
      <c r="G3155" s="32"/>
      <c r="H3155" s="33"/>
      <c r="I3155" s="33"/>
      <c r="J3155" s="33"/>
    </row>
    <row r="3156" spans="1:10" x14ac:dyDescent="0.25">
      <c r="A3156" s="32" t="s">
        <v>4</v>
      </c>
      <c r="B3156" s="32">
        <v>2023</v>
      </c>
      <c r="C3156" s="33" t="s">
        <v>42</v>
      </c>
      <c r="D3156" s="34" t="s">
        <v>1999</v>
      </c>
      <c r="E3156" s="35" t="str">
        <f t="shared" si="719"/>
        <v>PRB'!</v>
      </c>
      <c r="F3156" s="34" t="str">
        <f t="shared" si="720"/>
        <v>C:\Users\jaime.benazar\Quorum Business Solutions\Ecopetrol Prometeo - Documents\Planning Space Implementation\3. Analysis &amp; Design\Design\FC22\DRR Jaime\QUIFA-CAJÚA\Cajua\[CAJUA_CF_SEC_New_27-Feb-2024Rev3.xlsx]D-PRB'!</v>
      </c>
      <c r="G3156" s="32" t="s">
        <v>117</v>
      </c>
      <c r="H3156" s="33">
        <v>12</v>
      </c>
      <c r="I3156" s="33" t="str">
        <f t="shared" ref="I3156:I3176" si="750">_xlfn.CONCAT("='",F3156:H3156)</f>
        <v>='C:\Users\jaime.benazar\Quorum Business Solutions\Ecopetrol Prometeo - Documents\Planning Space Implementation\3. Analysis &amp; Design\Design\FC22\DRR Jaime\QUIFA-CAJÚA\Cajua\[CAJUA_CF_SEC_New_27-Feb-2024Rev3.xlsx]D-PRB'!$DT$12</v>
      </c>
      <c r="J3156" s="37" t="s">
        <v>3406</v>
      </c>
    </row>
    <row r="3157" spans="1:10" x14ac:dyDescent="0.25">
      <c r="A3157" s="32" t="s">
        <v>4</v>
      </c>
      <c r="B3157" s="32">
        <f>+B3156+1</f>
        <v>2024</v>
      </c>
      <c r="C3157" s="33" t="s">
        <v>42</v>
      </c>
      <c r="D3157" s="34" t="s">
        <v>1999</v>
      </c>
      <c r="E3157" s="35" t="str">
        <f t="shared" si="719"/>
        <v>PRB'!</v>
      </c>
      <c r="F3157" s="34" t="str">
        <f t="shared" si="720"/>
        <v>C:\Users\jaime.benazar\Quorum Business Solutions\Ecopetrol Prometeo - Documents\Planning Space Implementation\3. Analysis &amp; Design\Design\FC22\DRR Jaime\QUIFA-CAJÚA\Cajua\[CAJUA_CF_SEC_New_27-Feb-2024Rev3.xlsx]D-PRB'!</v>
      </c>
      <c r="G3157" s="32" t="s">
        <v>117</v>
      </c>
      <c r="H3157" s="33">
        <f t="shared" ref="H3157:H3176" si="751">IF(A3157&lt;&gt;A3156,12,H3156+1)</f>
        <v>13</v>
      </c>
      <c r="I3157" s="33" t="str">
        <f t="shared" si="750"/>
        <v>='C:\Users\jaime.benazar\Quorum Business Solutions\Ecopetrol Prometeo - Documents\Planning Space Implementation\3. Analysis &amp; Design\Design\FC22\DRR Jaime\QUIFA-CAJÚA\Cajua\[CAJUA_CF_SEC_New_27-Feb-2024Rev3.xlsx]D-PRB'!$DT$13</v>
      </c>
      <c r="J3157" s="37" t="s">
        <v>3407</v>
      </c>
    </row>
    <row r="3158" spans="1:10" x14ac:dyDescent="0.25">
      <c r="A3158" s="32" t="s">
        <v>4</v>
      </c>
      <c r="B3158" s="32">
        <f t="shared" ref="B3158:B3169" si="752">+B3157+1</f>
        <v>2025</v>
      </c>
      <c r="C3158" s="33" t="s">
        <v>42</v>
      </c>
      <c r="D3158" s="34" t="s">
        <v>1999</v>
      </c>
      <c r="E3158" s="35" t="str">
        <f t="shared" si="719"/>
        <v>PRB'!</v>
      </c>
      <c r="F3158" s="34" t="str">
        <f t="shared" si="720"/>
        <v>C:\Users\jaime.benazar\Quorum Business Solutions\Ecopetrol Prometeo - Documents\Planning Space Implementation\3. Analysis &amp; Design\Design\FC22\DRR Jaime\QUIFA-CAJÚA\Cajua\[CAJUA_CF_SEC_New_27-Feb-2024Rev3.xlsx]D-PRB'!</v>
      </c>
      <c r="G3158" s="32" t="s">
        <v>117</v>
      </c>
      <c r="H3158" s="33">
        <f t="shared" si="751"/>
        <v>14</v>
      </c>
      <c r="I3158" s="33" t="str">
        <f t="shared" si="750"/>
        <v>='C:\Users\jaime.benazar\Quorum Business Solutions\Ecopetrol Prometeo - Documents\Planning Space Implementation\3. Analysis &amp; Design\Design\FC22\DRR Jaime\QUIFA-CAJÚA\Cajua\[CAJUA_CF_SEC_New_27-Feb-2024Rev3.xlsx]D-PRB'!$DT$14</v>
      </c>
      <c r="J3158" s="37" t="s">
        <v>3408</v>
      </c>
    </row>
    <row r="3159" spans="1:10" x14ac:dyDescent="0.25">
      <c r="A3159" s="32" t="s">
        <v>4</v>
      </c>
      <c r="B3159" s="32">
        <f t="shared" si="752"/>
        <v>2026</v>
      </c>
      <c r="C3159" s="33" t="s">
        <v>42</v>
      </c>
      <c r="D3159" s="34" t="s">
        <v>1999</v>
      </c>
      <c r="E3159" s="35" t="str">
        <f t="shared" si="719"/>
        <v>PRB'!</v>
      </c>
      <c r="F3159" s="34" t="str">
        <f t="shared" si="720"/>
        <v>C:\Users\jaime.benazar\Quorum Business Solutions\Ecopetrol Prometeo - Documents\Planning Space Implementation\3. Analysis &amp; Design\Design\FC22\DRR Jaime\QUIFA-CAJÚA\Cajua\[CAJUA_CF_SEC_New_27-Feb-2024Rev3.xlsx]D-PRB'!</v>
      </c>
      <c r="G3159" s="32" t="s">
        <v>117</v>
      </c>
      <c r="H3159" s="33">
        <f t="shared" si="751"/>
        <v>15</v>
      </c>
      <c r="I3159" s="33" t="str">
        <f t="shared" si="750"/>
        <v>='C:\Users\jaime.benazar\Quorum Business Solutions\Ecopetrol Prometeo - Documents\Planning Space Implementation\3. Analysis &amp; Design\Design\FC22\DRR Jaime\QUIFA-CAJÚA\Cajua\[CAJUA_CF_SEC_New_27-Feb-2024Rev3.xlsx]D-PRB'!$DT$15</v>
      </c>
      <c r="J3159" s="37" t="s">
        <v>3409</v>
      </c>
    </row>
    <row r="3160" spans="1:10" x14ac:dyDescent="0.25">
      <c r="A3160" s="32" t="s">
        <v>4</v>
      </c>
      <c r="B3160" s="32">
        <f t="shared" si="752"/>
        <v>2027</v>
      </c>
      <c r="C3160" s="33" t="s">
        <v>42</v>
      </c>
      <c r="D3160" s="34" t="s">
        <v>1999</v>
      </c>
      <c r="E3160" s="35" t="str">
        <f t="shared" si="719"/>
        <v>PRB'!</v>
      </c>
      <c r="F3160" s="34" t="str">
        <f t="shared" si="720"/>
        <v>C:\Users\jaime.benazar\Quorum Business Solutions\Ecopetrol Prometeo - Documents\Planning Space Implementation\3. Analysis &amp; Design\Design\FC22\DRR Jaime\QUIFA-CAJÚA\Cajua\[CAJUA_CF_SEC_New_27-Feb-2024Rev3.xlsx]D-PRB'!</v>
      </c>
      <c r="G3160" s="32" t="s">
        <v>117</v>
      </c>
      <c r="H3160" s="33">
        <f t="shared" si="751"/>
        <v>16</v>
      </c>
      <c r="I3160" s="33" t="str">
        <f t="shared" si="750"/>
        <v>='C:\Users\jaime.benazar\Quorum Business Solutions\Ecopetrol Prometeo - Documents\Planning Space Implementation\3. Analysis &amp; Design\Design\FC22\DRR Jaime\QUIFA-CAJÚA\Cajua\[CAJUA_CF_SEC_New_27-Feb-2024Rev3.xlsx]D-PRB'!$DT$16</v>
      </c>
      <c r="J3160" s="37" t="s">
        <v>3410</v>
      </c>
    </row>
    <row r="3161" spans="1:10" x14ac:dyDescent="0.25">
      <c r="A3161" s="32" t="s">
        <v>4</v>
      </c>
      <c r="B3161" s="32">
        <f t="shared" si="752"/>
        <v>2028</v>
      </c>
      <c r="C3161" s="33" t="s">
        <v>42</v>
      </c>
      <c r="D3161" s="34" t="s">
        <v>1999</v>
      </c>
      <c r="E3161" s="35" t="str">
        <f t="shared" si="719"/>
        <v>PRB'!</v>
      </c>
      <c r="F3161" s="34" t="str">
        <f t="shared" si="720"/>
        <v>C:\Users\jaime.benazar\Quorum Business Solutions\Ecopetrol Prometeo - Documents\Planning Space Implementation\3. Analysis &amp; Design\Design\FC22\DRR Jaime\QUIFA-CAJÚA\Cajua\[CAJUA_CF_SEC_New_27-Feb-2024Rev3.xlsx]D-PRB'!</v>
      </c>
      <c r="G3161" s="32" t="s">
        <v>117</v>
      </c>
      <c r="H3161" s="33">
        <f t="shared" si="751"/>
        <v>17</v>
      </c>
      <c r="I3161" s="33" t="str">
        <f t="shared" si="750"/>
        <v>='C:\Users\jaime.benazar\Quorum Business Solutions\Ecopetrol Prometeo - Documents\Planning Space Implementation\3. Analysis &amp; Design\Design\FC22\DRR Jaime\QUIFA-CAJÚA\Cajua\[CAJUA_CF_SEC_New_27-Feb-2024Rev3.xlsx]D-PRB'!$DT$17</v>
      </c>
      <c r="J3161" s="37" t="s">
        <v>3411</v>
      </c>
    </row>
    <row r="3162" spans="1:10" x14ac:dyDescent="0.25">
      <c r="A3162" s="32" t="s">
        <v>4</v>
      </c>
      <c r="B3162" s="32">
        <f t="shared" si="752"/>
        <v>2029</v>
      </c>
      <c r="C3162" s="33" t="s">
        <v>42</v>
      </c>
      <c r="D3162" s="34" t="s">
        <v>1999</v>
      </c>
      <c r="E3162" s="35" t="str">
        <f t="shared" si="719"/>
        <v>PRB'!</v>
      </c>
      <c r="F3162" s="34" t="str">
        <f t="shared" si="720"/>
        <v>C:\Users\jaime.benazar\Quorum Business Solutions\Ecopetrol Prometeo - Documents\Planning Space Implementation\3. Analysis &amp; Design\Design\FC22\DRR Jaime\QUIFA-CAJÚA\Cajua\[CAJUA_CF_SEC_New_27-Feb-2024Rev3.xlsx]D-PRB'!</v>
      </c>
      <c r="G3162" s="32" t="s">
        <v>117</v>
      </c>
      <c r="H3162" s="33">
        <f t="shared" si="751"/>
        <v>18</v>
      </c>
      <c r="I3162" s="33" t="str">
        <f t="shared" si="750"/>
        <v>='C:\Users\jaime.benazar\Quorum Business Solutions\Ecopetrol Prometeo - Documents\Planning Space Implementation\3. Analysis &amp; Design\Design\FC22\DRR Jaime\QUIFA-CAJÚA\Cajua\[CAJUA_CF_SEC_New_27-Feb-2024Rev3.xlsx]D-PRB'!$DT$18</v>
      </c>
      <c r="J3162" s="37" t="s">
        <v>3412</v>
      </c>
    </row>
    <row r="3163" spans="1:10" x14ac:dyDescent="0.25">
      <c r="A3163" s="32" t="s">
        <v>4</v>
      </c>
      <c r="B3163" s="32">
        <f t="shared" si="752"/>
        <v>2030</v>
      </c>
      <c r="C3163" s="33" t="s">
        <v>42</v>
      </c>
      <c r="D3163" s="34" t="s">
        <v>1999</v>
      </c>
      <c r="E3163" s="35" t="str">
        <f t="shared" si="719"/>
        <v>PRB'!</v>
      </c>
      <c r="F3163" s="34" t="str">
        <f t="shared" si="720"/>
        <v>C:\Users\jaime.benazar\Quorum Business Solutions\Ecopetrol Prometeo - Documents\Planning Space Implementation\3. Analysis &amp; Design\Design\FC22\DRR Jaime\QUIFA-CAJÚA\Cajua\[CAJUA_CF_SEC_New_27-Feb-2024Rev3.xlsx]D-PRB'!</v>
      </c>
      <c r="G3163" s="32" t="s">
        <v>117</v>
      </c>
      <c r="H3163" s="33">
        <f t="shared" si="751"/>
        <v>19</v>
      </c>
      <c r="I3163" s="33" t="str">
        <f t="shared" si="750"/>
        <v>='C:\Users\jaime.benazar\Quorum Business Solutions\Ecopetrol Prometeo - Documents\Planning Space Implementation\3. Analysis &amp; Design\Design\FC22\DRR Jaime\QUIFA-CAJÚA\Cajua\[CAJUA_CF_SEC_New_27-Feb-2024Rev3.xlsx]D-PRB'!$DT$19</v>
      </c>
      <c r="J3163" s="37" t="s">
        <v>3413</v>
      </c>
    </row>
    <row r="3164" spans="1:10" x14ac:dyDescent="0.25">
      <c r="A3164" s="32" t="s">
        <v>4</v>
      </c>
      <c r="B3164" s="32">
        <f t="shared" si="752"/>
        <v>2031</v>
      </c>
      <c r="C3164" s="33" t="s">
        <v>42</v>
      </c>
      <c r="D3164" s="34" t="s">
        <v>1999</v>
      </c>
      <c r="E3164" s="35" t="str">
        <f t="shared" si="719"/>
        <v>PRB'!</v>
      </c>
      <c r="F3164" s="34" t="str">
        <f t="shared" si="720"/>
        <v>C:\Users\jaime.benazar\Quorum Business Solutions\Ecopetrol Prometeo - Documents\Planning Space Implementation\3. Analysis &amp; Design\Design\FC22\DRR Jaime\QUIFA-CAJÚA\Cajua\[CAJUA_CF_SEC_New_27-Feb-2024Rev3.xlsx]D-PRB'!</v>
      </c>
      <c r="G3164" s="32" t="s">
        <v>117</v>
      </c>
      <c r="H3164" s="33">
        <f t="shared" si="751"/>
        <v>20</v>
      </c>
      <c r="I3164" s="33" t="str">
        <f t="shared" si="750"/>
        <v>='C:\Users\jaime.benazar\Quorum Business Solutions\Ecopetrol Prometeo - Documents\Planning Space Implementation\3. Analysis &amp; Design\Design\FC22\DRR Jaime\QUIFA-CAJÚA\Cajua\[CAJUA_CF_SEC_New_27-Feb-2024Rev3.xlsx]D-PRB'!$DT$20</v>
      </c>
      <c r="J3164" s="37" t="s">
        <v>3414</v>
      </c>
    </row>
    <row r="3165" spans="1:10" x14ac:dyDescent="0.25">
      <c r="A3165" s="32" t="s">
        <v>4</v>
      </c>
      <c r="B3165" s="32">
        <f t="shared" si="752"/>
        <v>2032</v>
      </c>
      <c r="C3165" s="33" t="s">
        <v>42</v>
      </c>
      <c r="D3165" s="34" t="s">
        <v>1999</v>
      </c>
      <c r="E3165" s="35" t="str">
        <f t="shared" si="719"/>
        <v>PRB'!</v>
      </c>
      <c r="F3165" s="34" t="str">
        <f t="shared" si="720"/>
        <v>C:\Users\jaime.benazar\Quorum Business Solutions\Ecopetrol Prometeo - Documents\Planning Space Implementation\3. Analysis &amp; Design\Design\FC22\DRR Jaime\QUIFA-CAJÚA\Cajua\[CAJUA_CF_SEC_New_27-Feb-2024Rev3.xlsx]D-PRB'!</v>
      </c>
      <c r="G3165" s="32" t="s">
        <v>117</v>
      </c>
      <c r="H3165" s="33">
        <f t="shared" si="751"/>
        <v>21</v>
      </c>
      <c r="I3165" s="33" t="str">
        <f t="shared" si="750"/>
        <v>='C:\Users\jaime.benazar\Quorum Business Solutions\Ecopetrol Prometeo - Documents\Planning Space Implementation\3. Analysis &amp; Design\Design\FC22\DRR Jaime\QUIFA-CAJÚA\Cajua\[CAJUA_CF_SEC_New_27-Feb-2024Rev3.xlsx]D-PRB'!$DT$21</v>
      </c>
      <c r="J3165" s="37" t="s">
        <v>3415</v>
      </c>
    </row>
    <row r="3166" spans="1:10" x14ac:dyDescent="0.25">
      <c r="A3166" s="32" t="s">
        <v>4</v>
      </c>
      <c r="B3166" s="32">
        <f t="shared" si="752"/>
        <v>2033</v>
      </c>
      <c r="C3166" s="33" t="s">
        <v>42</v>
      </c>
      <c r="D3166" s="34" t="s">
        <v>1999</v>
      </c>
      <c r="E3166" s="35" t="str">
        <f t="shared" si="719"/>
        <v>PRB'!</v>
      </c>
      <c r="F3166" s="34" t="str">
        <f t="shared" si="720"/>
        <v>C:\Users\jaime.benazar\Quorum Business Solutions\Ecopetrol Prometeo - Documents\Planning Space Implementation\3. Analysis &amp; Design\Design\FC22\DRR Jaime\QUIFA-CAJÚA\Cajua\[CAJUA_CF_SEC_New_27-Feb-2024Rev3.xlsx]D-PRB'!</v>
      </c>
      <c r="G3166" s="32" t="s">
        <v>117</v>
      </c>
      <c r="H3166" s="33">
        <f t="shared" si="751"/>
        <v>22</v>
      </c>
      <c r="I3166" s="33" t="str">
        <f t="shared" si="750"/>
        <v>='C:\Users\jaime.benazar\Quorum Business Solutions\Ecopetrol Prometeo - Documents\Planning Space Implementation\3. Analysis &amp; Design\Design\FC22\DRR Jaime\QUIFA-CAJÚA\Cajua\[CAJUA_CF_SEC_New_27-Feb-2024Rev3.xlsx]D-PRB'!$DT$22</v>
      </c>
      <c r="J3166" s="37" t="s">
        <v>3416</v>
      </c>
    </row>
    <row r="3167" spans="1:10" x14ac:dyDescent="0.25">
      <c r="A3167" s="32" t="s">
        <v>4</v>
      </c>
      <c r="B3167" s="32">
        <f t="shared" si="752"/>
        <v>2034</v>
      </c>
      <c r="C3167" s="33" t="s">
        <v>42</v>
      </c>
      <c r="D3167" s="34" t="s">
        <v>1999</v>
      </c>
      <c r="E3167" s="35" t="str">
        <f t="shared" si="719"/>
        <v>PRB'!</v>
      </c>
      <c r="F3167" s="34" t="str">
        <f t="shared" si="720"/>
        <v>C:\Users\jaime.benazar\Quorum Business Solutions\Ecopetrol Prometeo - Documents\Planning Space Implementation\3. Analysis &amp; Design\Design\FC22\DRR Jaime\QUIFA-CAJÚA\Cajua\[CAJUA_CF_SEC_New_27-Feb-2024Rev3.xlsx]D-PRB'!</v>
      </c>
      <c r="G3167" s="32" t="s">
        <v>117</v>
      </c>
      <c r="H3167" s="33">
        <f t="shared" si="751"/>
        <v>23</v>
      </c>
      <c r="I3167" s="33" t="str">
        <f t="shared" si="750"/>
        <v>='C:\Users\jaime.benazar\Quorum Business Solutions\Ecopetrol Prometeo - Documents\Planning Space Implementation\3. Analysis &amp; Design\Design\FC22\DRR Jaime\QUIFA-CAJÚA\Cajua\[CAJUA_CF_SEC_New_27-Feb-2024Rev3.xlsx]D-PRB'!$DT$23</v>
      </c>
      <c r="J3167" s="37" t="s">
        <v>3417</v>
      </c>
    </row>
    <row r="3168" spans="1:10" x14ac:dyDescent="0.25">
      <c r="A3168" s="32" t="s">
        <v>4</v>
      </c>
      <c r="B3168" s="32">
        <f t="shared" si="752"/>
        <v>2035</v>
      </c>
      <c r="C3168" s="33" t="s">
        <v>42</v>
      </c>
      <c r="D3168" s="34" t="s">
        <v>1999</v>
      </c>
      <c r="E3168" s="35" t="str">
        <f t="shared" si="719"/>
        <v>PRB'!</v>
      </c>
      <c r="F3168" s="34" t="str">
        <f t="shared" si="720"/>
        <v>C:\Users\jaime.benazar\Quorum Business Solutions\Ecopetrol Prometeo - Documents\Planning Space Implementation\3. Analysis &amp; Design\Design\FC22\DRR Jaime\QUIFA-CAJÚA\Cajua\[CAJUA_CF_SEC_New_27-Feb-2024Rev3.xlsx]D-PRB'!</v>
      </c>
      <c r="G3168" s="32" t="s">
        <v>117</v>
      </c>
      <c r="H3168" s="33">
        <f t="shared" si="751"/>
        <v>24</v>
      </c>
      <c r="I3168" s="33" t="str">
        <f t="shared" si="750"/>
        <v>='C:\Users\jaime.benazar\Quorum Business Solutions\Ecopetrol Prometeo - Documents\Planning Space Implementation\3. Analysis &amp; Design\Design\FC22\DRR Jaime\QUIFA-CAJÚA\Cajua\[CAJUA_CF_SEC_New_27-Feb-2024Rev3.xlsx]D-PRB'!$DT$24</v>
      </c>
      <c r="J3168" s="37" t="s">
        <v>3418</v>
      </c>
    </row>
    <row r="3169" spans="1:10" x14ac:dyDescent="0.25">
      <c r="A3169" s="32" t="s">
        <v>4</v>
      </c>
      <c r="B3169" s="32">
        <f t="shared" si="752"/>
        <v>2036</v>
      </c>
      <c r="C3169" s="33" t="s">
        <v>42</v>
      </c>
      <c r="D3169" s="34" t="s">
        <v>1999</v>
      </c>
      <c r="E3169" s="35" t="str">
        <f t="shared" si="719"/>
        <v>PRB'!</v>
      </c>
      <c r="F3169" s="34" t="str">
        <f t="shared" si="720"/>
        <v>C:\Users\jaime.benazar\Quorum Business Solutions\Ecopetrol Prometeo - Documents\Planning Space Implementation\3. Analysis &amp; Design\Design\FC22\DRR Jaime\QUIFA-CAJÚA\Cajua\[CAJUA_CF_SEC_New_27-Feb-2024Rev3.xlsx]D-PRB'!</v>
      </c>
      <c r="G3169" s="32" t="s">
        <v>117</v>
      </c>
      <c r="H3169" s="33">
        <f t="shared" si="751"/>
        <v>25</v>
      </c>
      <c r="I3169" s="33" t="str">
        <f t="shared" si="750"/>
        <v>='C:\Users\jaime.benazar\Quorum Business Solutions\Ecopetrol Prometeo - Documents\Planning Space Implementation\3. Analysis &amp; Design\Design\FC22\DRR Jaime\QUIFA-CAJÚA\Cajua\[CAJUA_CF_SEC_New_27-Feb-2024Rev3.xlsx]D-PRB'!$DT$25</v>
      </c>
      <c r="J3169" s="37" t="s">
        <v>3419</v>
      </c>
    </row>
    <row r="3170" spans="1:10" x14ac:dyDescent="0.25">
      <c r="A3170" s="32" t="s">
        <v>4</v>
      </c>
      <c r="B3170" s="32">
        <f>+B3169+1</f>
        <v>2037</v>
      </c>
      <c r="C3170" s="33" t="s">
        <v>42</v>
      </c>
      <c r="D3170" s="34" t="s">
        <v>1999</v>
      </c>
      <c r="E3170" s="35" t="str">
        <f t="shared" si="719"/>
        <v>PRB'!</v>
      </c>
      <c r="F3170" s="34" t="str">
        <f t="shared" si="720"/>
        <v>C:\Users\jaime.benazar\Quorum Business Solutions\Ecopetrol Prometeo - Documents\Planning Space Implementation\3. Analysis &amp; Design\Design\FC22\DRR Jaime\QUIFA-CAJÚA\Cajua\[CAJUA_CF_SEC_New_27-Feb-2024Rev3.xlsx]D-PRB'!</v>
      </c>
      <c r="G3170" s="32" t="s">
        <v>117</v>
      </c>
      <c r="H3170" s="33">
        <f t="shared" si="751"/>
        <v>26</v>
      </c>
      <c r="I3170" s="33" t="str">
        <f t="shared" si="750"/>
        <v>='C:\Users\jaime.benazar\Quorum Business Solutions\Ecopetrol Prometeo - Documents\Planning Space Implementation\3. Analysis &amp; Design\Design\FC22\DRR Jaime\QUIFA-CAJÚA\Cajua\[CAJUA_CF_SEC_New_27-Feb-2024Rev3.xlsx]D-PRB'!$DT$26</v>
      </c>
      <c r="J3170" s="37" t="s">
        <v>3420</v>
      </c>
    </row>
    <row r="3171" spans="1:10" x14ac:dyDescent="0.25">
      <c r="A3171" s="32" t="s">
        <v>4</v>
      </c>
      <c r="B3171" s="32">
        <f t="shared" ref="B3171:B3173" si="753">+B3170+1</f>
        <v>2038</v>
      </c>
      <c r="C3171" s="33" t="s">
        <v>42</v>
      </c>
      <c r="D3171" s="34" t="s">
        <v>1999</v>
      </c>
      <c r="E3171" s="35" t="str">
        <f t="shared" si="719"/>
        <v>PRB'!</v>
      </c>
      <c r="F3171" s="34" t="str">
        <f t="shared" si="720"/>
        <v>C:\Users\jaime.benazar\Quorum Business Solutions\Ecopetrol Prometeo - Documents\Planning Space Implementation\3. Analysis &amp; Design\Design\FC22\DRR Jaime\QUIFA-CAJÚA\Cajua\[CAJUA_CF_SEC_New_27-Feb-2024Rev3.xlsx]D-PRB'!</v>
      </c>
      <c r="G3171" s="32" t="s">
        <v>117</v>
      </c>
      <c r="H3171" s="33">
        <f t="shared" si="751"/>
        <v>27</v>
      </c>
      <c r="I3171" s="33" t="str">
        <f t="shared" si="750"/>
        <v>='C:\Users\jaime.benazar\Quorum Business Solutions\Ecopetrol Prometeo - Documents\Planning Space Implementation\3. Analysis &amp; Design\Design\FC22\DRR Jaime\QUIFA-CAJÚA\Cajua\[CAJUA_CF_SEC_New_27-Feb-2024Rev3.xlsx]D-PRB'!$DT$27</v>
      </c>
      <c r="J3171" s="37" t="s">
        <v>3421</v>
      </c>
    </row>
    <row r="3172" spans="1:10" x14ac:dyDescent="0.25">
      <c r="A3172" s="32" t="s">
        <v>4</v>
      </c>
      <c r="B3172" s="32">
        <f t="shared" si="753"/>
        <v>2039</v>
      </c>
      <c r="C3172" s="33" t="s">
        <v>42</v>
      </c>
      <c r="D3172" s="34" t="s">
        <v>1999</v>
      </c>
      <c r="E3172" s="35" t="str">
        <f t="shared" si="719"/>
        <v>PRB'!</v>
      </c>
      <c r="F3172" s="34" t="str">
        <f t="shared" si="720"/>
        <v>C:\Users\jaime.benazar\Quorum Business Solutions\Ecopetrol Prometeo - Documents\Planning Space Implementation\3. Analysis &amp; Design\Design\FC22\DRR Jaime\QUIFA-CAJÚA\Cajua\[CAJUA_CF_SEC_New_27-Feb-2024Rev3.xlsx]D-PRB'!</v>
      </c>
      <c r="G3172" s="32" t="s">
        <v>117</v>
      </c>
      <c r="H3172" s="33">
        <f t="shared" si="751"/>
        <v>28</v>
      </c>
      <c r="I3172" s="33" t="str">
        <f t="shared" si="750"/>
        <v>='C:\Users\jaime.benazar\Quorum Business Solutions\Ecopetrol Prometeo - Documents\Planning Space Implementation\3. Analysis &amp; Design\Design\FC22\DRR Jaime\QUIFA-CAJÚA\Cajua\[CAJUA_CF_SEC_New_27-Feb-2024Rev3.xlsx]D-PRB'!$DT$28</v>
      </c>
      <c r="J3172" s="37" t="s">
        <v>3422</v>
      </c>
    </row>
    <row r="3173" spans="1:10" x14ac:dyDescent="0.25">
      <c r="A3173" s="32" t="s">
        <v>4</v>
      </c>
      <c r="B3173" s="32">
        <f t="shared" si="753"/>
        <v>2040</v>
      </c>
      <c r="C3173" s="33" t="s">
        <v>42</v>
      </c>
      <c r="D3173" s="34" t="s">
        <v>1999</v>
      </c>
      <c r="E3173" s="35" t="str">
        <f t="shared" si="719"/>
        <v>PRB'!</v>
      </c>
      <c r="F3173" s="34" t="str">
        <f t="shared" si="720"/>
        <v>C:\Users\jaime.benazar\Quorum Business Solutions\Ecopetrol Prometeo - Documents\Planning Space Implementation\3. Analysis &amp; Design\Design\FC22\DRR Jaime\QUIFA-CAJÚA\Cajua\[CAJUA_CF_SEC_New_27-Feb-2024Rev3.xlsx]D-PRB'!</v>
      </c>
      <c r="G3173" s="32" t="s">
        <v>117</v>
      </c>
      <c r="H3173" s="33">
        <f t="shared" si="751"/>
        <v>29</v>
      </c>
      <c r="I3173" s="33" t="str">
        <f t="shared" si="750"/>
        <v>='C:\Users\jaime.benazar\Quorum Business Solutions\Ecopetrol Prometeo - Documents\Planning Space Implementation\3. Analysis &amp; Design\Design\FC22\DRR Jaime\QUIFA-CAJÚA\Cajua\[CAJUA_CF_SEC_New_27-Feb-2024Rev3.xlsx]D-PRB'!$DT$29</v>
      </c>
      <c r="J3173" s="37" t="s">
        <v>3423</v>
      </c>
    </row>
    <row r="3174" spans="1:10" x14ac:dyDescent="0.25">
      <c r="A3174" s="32" t="s">
        <v>4</v>
      </c>
      <c r="B3174" s="32">
        <f>+B3173+1</f>
        <v>2041</v>
      </c>
      <c r="C3174" s="33" t="s">
        <v>42</v>
      </c>
      <c r="D3174" s="34" t="s">
        <v>1999</v>
      </c>
      <c r="E3174" s="35" t="str">
        <f t="shared" si="719"/>
        <v>PRB'!</v>
      </c>
      <c r="F3174" s="34" t="str">
        <f t="shared" si="720"/>
        <v>C:\Users\jaime.benazar\Quorum Business Solutions\Ecopetrol Prometeo - Documents\Planning Space Implementation\3. Analysis &amp; Design\Design\FC22\DRR Jaime\QUIFA-CAJÚA\Cajua\[CAJUA_CF_SEC_New_27-Feb-2024Rev3.xlsx]D-PRB'!</v>
      </c>
      <c r="G3174" s="32" t="s">
        <v>117</v>
      </c>
      <c r="H3174" s="33">
        <f t="shared" si="751"/>
        <v>30</v>
      </c>
      <c r="I3174" s="33" t="str">
        <f t="shared" si="750"/>
        <v>='C:\Users\jaime.benazar\Quorum Business Solutions\Ecopetrol Prometeo - Documents\Planning Space Implementation\3. Analysis &amp; Design\Design\FC22\DRR Jaime\QUIFA-CAJÚA\Cajua\[CAJUA_CF_SEC_New_27-Feb-2024Rev3.xlsx]D-PRB'!$DT$30</v>
      </c>
      <c r="J3174" s="37" t="s">
        <v>3424</v>
      </c>
    </row>
    <row r="3175" spans="1:10" x14ac:dyDescent="0.25">
      <c r="A3175" s="32" t="s">
        <v>4</v>
      </c>
      <c r="B3175" s="32">
        <f t="shared" ref="B3175:B3176" si="754">+B3174+1</f>
        <v>2042</v>
      </c>
      <c r="C3175" s="33" t="s">
        <v>42</v>
      </c>
      <c r="D3175" s="34" t="s">
        <v>1999</v>
      </c>
      <c r="E3175" s="35" t="str">
        <f t="shared" si="719"/>
        <v>PRB'!</v>
      </c>
      <c r="F3175" s="34" t="str">
        <f t="shared" si="720"/>
        <v>C:\Users\jaime.benazar\Quorum Business Solutions\Ecopetrol Prometeo - Documents\Planning Space Implementation\3. Analysis &amp; Design\Design\FC22\DRR Jaime\QUIFA-CAJÚA\Cajua\[CAJUA_CF_SEC_New_27-Feb-2024Rev3.xlsx]D-PRB'!</v>
      </c>
      <c r="G3175" s="32" t="s">
        <v>117</v>
      </c>
      <c r="H3175" s="33">
        <f t="shared" si="751"/>
        <v>31</v>
      </c>
      <c r="I3175" s="33" t="str">
        <f t="shared" si="750"/>
        <v>='C:\Users\jaime.benazar\Quorum Business Solutions\Ecopetrol Prometeo - Documents\Planning Space Implementation\3. Analysis &amp; Design\Design\FC22\DRR Jaime\QUIFA-CAJÚA\Cajua\[CAJUA_CF_SEC_New_27-Feb-2024Rev3.xlsx]D-PRB'!$DT$31</v>
      </c>
      <c r="J3175" s="37" t="s">
        <v>3425</v>
      </c>
    </row>
    <row r="3176" spans="1:10" x14ac:dyDescent="0.25">
      <c r="A3176" s="32" t="s">
        <v>4</v>
      </c>
      <c r="B3176" s="32">
        <f t="shared" si="754"/>
        <v>2043</v>
      </c>
      <c r="C3176" s="33" t="s">
        <v>42</v>
      </c>
      <c r="D3176" s="34" t="s">
        <v>1999</v>
      </c>
      <c r="E3176" s="35" t="str">
        <f t="shared" si="719"/>
        <v>PRB'!</v>
      </c>
      <c r="F3176" s="34" t="str">
        <f t="shared" si="720"/>
        <v>C:\Users\jaime.benazar\Quorum Business Solutions\Ecopetrol Prometeo - Documents\Planning Space Implementation\3. Analysis &amp; Design\Design\FC22\DRR Jaime\QUIFA-CAJÚA\Cajua\[CAJUA_CF_SEC_New_27-Feb-2024Rev3.xlsx]D-PRB'!</v>
      </c>
      <c r="G3176" s="32" t="s">
        <v>117</v>
      </c>
      <c r="H3176" s="33">
        <f t="shared" si="751"/>
        <v>32</v>
      </c>
      <c r="I3176" s="33" t="str">
        <f t="shared" si="750"/>
        <v>='C:\Users\jaime.benazar\Quorum Business Solutions\Ecopetrol Prometeo - Documents\Planning Space Implementation\3. Analysis &amp; Design\Design\FC22\DRR Jaime\QUIFA-CAJÚA\Cajua\[CAJUA_CF_SEC_New_27-Feb-2024Rev3.xlsx]D-PRB'!$DT$32</v>
      </c>
      <c r="J3176" s="37" t="s">
        <v>3426</v>
      </c>
    </row>
    <row r="3177" spans="1:10" x14ac:dyDescent="0.25">
      <c r="A3177" s="32" t="s">
        <v>4</v>
      </c>
      <c r="B3177" s="32">
        <f>+B3176+1</f>
        <v>2044</v>
      </c>
      <c r="C3177" s="33" t="s">
        <v>42</v>
      </c>
      <c r="D3177" s="34" t="s">
        <v>1999</v>
      </c>
      <c r="E3177" s="35" t="str">
        <f t="shared" ref="E3177:E3192" si="755">_xlfn.CONCAT(A3177,"'!")</f>
        <v>PRB'!</v>
      </c>
      <c r="F3177" s="34" t="str">
        <f t="shared" ref="F3177:F3192" si="756">_xlfn.CONCAT(D3177:E3177)</f>
        <v>C:\Users\jaime.benazar\Quorum Business Solutions\Ecopetrol Prometeo - Documents\Planning Space Implementation\3. Analysis &amp; Design\Design\FC22\DRR Jaime\QUIFA-CAJÚA\Cajua\[CAJUA_CF_SEC_New_27-Feb-2024Rev3.xlsx]D-PRB'!</v>
      </c>
      <c r="G3177" s="32" t="s">
        <v>117</v>
      </c>
      <c r="H3177" s="33">
        <f t="shared" ref="H3177:H3192" si="757">IF(A3177&lt;&gt;A3176,12,H3176+1)</f>
        <v>33</v>
      </c>
      <c r="I3177" s="33" t="str">
        <f t="shared" ref="I3177:I3192" si="758">_xlfn.CONCAT("='",F3177:H3177)</f>
        <v>='C:\Users\jaime.benazar\Quorum Business Solutions\Ecopetrol Prometeo - Documents\Planning Space Implementation\3. Analysis &amp; Design\Design\FC22\DRR Jaime\QUIFA-CAJÚA\Cajua\[CAJUA_CF_SEC_New_27-Feb-2024Rev3.xlsx]D-PRB'!$DT$33</v>
      </c>
      <c r="J3177" s="37" t="s">
        <v>3427</v>
      </c>
    </row>
    <row r="3178" spans="1:10" x14ac:dyDescent="0.25">
      <c r="A3178" s="32" t="s">
        <v>4</v>
      </c>
      <c r="B3178" s="32">
        <f t="shared" ref="B3178:B3192" si="759">+B3177+1</f>
        <v>2045</v>
      </c>
      <c r="C3178" s="33" t="s">
        <v>42</v>
      </c>
      <c r="D3178" s="34" t="s">
        <v>1999</v>
      </c>
      <c r="E3178" s="35" t="str">
        <f t="shared" si="755"/>
        <v>PRB'!</v>
      </c>
      <c r="F3178" s="34" t="str">
        <f t="shared" si="756"/>
        <v>C:\Users\jaime.benazar\Quorum Business Solutions\Ecopetrol Prometeo - Documents\Planning Space Implementation\3. Analysis &amp; Design\Design\FC22\DRR Jaime\QUIFA-CAJÚA\Cajua\[CAJUA_CF_SEC_New_27-Feb-2024Rev3.xlsx]D-PRB'!</v>
      </c>
      <c r="G3178" s="32" t="s">
        <v>117</v>
      </c>
      <c r="H3178" s="33">
        <f t="shared" si="757"/>
        <v>34</v>
      </c>
      <c r="I3178" s="33" t="str">
        <f t="shared" si="758"/>
        <v>='C:\Users\jaime.benazar\Quorum Business Solutions\Ecopetrol Prometeo - Documents\Planning Space Implementation\3. Analysis &amp; Design\Design\FC22\DRR Jaime\QUIFA-CAJÚA\Cajua\[CAJUA_CF_SEC_New_27-Feb-2024Rev3.xlsx]D-PRB'!$DT$34</v>
      </c>
      <c r="J3178" s="37" t="s">
        <v>3428</v>
      </c>
    </row>
    <row r="3179" spans="1:10" x14ac:dyDescent="0.25">
      <c r="A3179" s="32" t="s">
        <v>4</v>
      </c>
      <c r="B3179" s="32">
        <f t="shared" si="759"/>
        <v>2046</v>
      </c>
      <c r="C3179" s="33" t="s">
        <v>42</v>
      </c>
      <c r="D3179" s="34" t="s">
        <v>1999</v>
      </c>
      <c r="E3179" s="35" t="str">
        <f t="shared" si="755"/>
        <v>PRB'!</v>
      </c>
      <c r="F3179" s="34" t="str">
        <f t="shared" si="756"/>
        <v>C:\Users\jaime.benazar\Quorum Business Solutions\Ecopetrol Prometeo - Documents\Planning Space Implementation\3. Analysis &amp; Design\Design\FC22\DRR Jaime\QUIFA-CAJÚA\Cajua\[CAJUA_CF_SEC_New_27-Feb-2024Rev3.xlsx]D-PRB'!</v>
      </c>
      <c r="G3179" s="32" t="s">
        <v>117</v>
      </c>
      <c r="H3179" s="33">
        <f t="shared" si="757"/>
        <v>35</v>
      </c>
      <c r="I3179" s="33" t="str">
        <f t="shared" si="758"/>
        <v>='C:\Users\jaime.benazar\Quorum Business Solutions\Ecopetrol Prometeo - Documents\Planning Space Implementation\3. Analysis &amp; Design\Design\FC22\DRR Jaime\QUIFA-CAJÚA\Cajua\[CAJUA_CF_SEC_New_27-Feb-2024Rev3.xlsx]D-PRB'!$DT$35</v>
      </c>
      <c r="J3179" s="37" t="s">
        <v>3429</v>
      </c>
    </row>
    <row r="3180" spans="1:10" x14ac:dyDescent="0.25">
      <c r="A3180" s="32" t="s">
        <v>4</v>
      </c>
      <c r="B3180" s="32">
        <f t="shared" si="759"/>
        <v>2047</v>
      </c>
      <c r="C3180" s="33" t="s">
        <v>42</v>
      </c>
      <c r="D3180" s="34" t="s">
        <v>1999</v>
      </c>
      <c r="E3180" s="35" t="str">
        <f t="shared" si="755"/>
        <v>PRB'!</v>
      </c>
      <c r="F3180" s="34" t="str">
        <f t="shared" si="756"/>
        <v>C:\Users\jaime.benazar\Quorum Business Solutions\Ecopetrol Prometeo - Documents\Planning Space Implementation\3. Analysis &amp; Design\Design\FC22\DRR Jaime\QUIFA-CAJÚA\Cajua\[CAJUA_CF_SEC_New_27-Feb-2024Rev3.xlsx]D-PRB'!</v>
      </c>
      <c r="G3180" s="32" t="s">
        <v>117</v>
      </c>
      <c r="H3180" s="33">
        <f t="shared" si="757"/>
        <v>36</v>
      </c>
      <c r="I3180" s="33" t="str">
        <f t="shared" si="758"/>
        <v>='C:\Users\jaime.benazar\Quorum Business Solutions\Ecopetrol Prometeo - Documents\Planning Space Implementation\3. Analysis &amp; Design\Design\FC22\DRR Jaime\QUIFA-CAJÚA\Cajua\[CAJUA_CF_SEC_New_27-Feb-2024Rev3.xlsx]D-PRB'!$DT$36</v>
      </c>
      <c r="J3180" s="37" t="s">
        <v>3430</v>
      </c>
    </row>
    <row r="3181" spans="1:10" x14ac:dyDescent="0.25">
      <c r="A3181" s="32" t="s">
        <v>4</v>
      </c>
      <c r="B3181" s="32">
        <f t="shared" si="759"/>
        <v>2048</v>
      </c>
      <c r="C3181" s="33" t="s">
        <v>42</v>
      </c>
      <c r="D3181" s="34" t="s">
        <v>1999</v>
      </c>
      <c r="E3181" s="35" t="str">
        <f t="shared" si="755"/>
        <v>PRB'!</v>
      </c>
      <c r="F3181" s="34" t="str">
        <f t="shared" si="756"/>
        <v>C:\Users\jaime.benazar\Quorum Business Solutions\Ecopetrol Prometeo - Documents\Planning Space Implementation\3. Analysis &amp; Design\Design\FC22\DRR Jaime\QUIFA-CAJÚA\Cajua\[CAJUA_CF_SEC_New_27-Feb-2024Rev3.xlsx]D-PRB'!</v>
      </c>
      <c r="G3181" s="32" t="s">
        <v>117</v>
      </c>
      <c r="H3181" s="33">
        <f t="shared" si="757"/>
        <v>37</v>
      </c>
      <c r="I3181" s="33" t="str">
        <f t="shared" si="758"/>
        <v>='C:\Users\jaime.benazar\Quorum Business Solutions\Ecopetrol Prometeo - Documents\Planning Space Implementation\3. Analysis &amp; Design\Design\FC22\DRR Jaime\QUIFA-CAJÚA\Cajua\[CAJUA_CF_SEC_New_27-Feb-2024Rev3.xlsx]D-PRB'!$DT$37</v>
      </c>
      <c r="J3181" s="37" t="s">
        <v>3431</v>
      </c>
    </row>
    <row r="3182" spans="1:10" x14ac:dyDescent="0.25">
      <c r="A3182" s="32" t="s">
        <v>4</v>
      </c>
      <c r="B3182" s="32">
        <f t="shared" si="759"/>
        <v>2049</v>
      </c>
      <c r="C3182" s="33" t="s">
        <v>42</v>
      </c>
      <c r="D3182" s="34" t="s">
        <v>1999</v>
      </c>
      <c r="E3182" s="35" t="str">
        <f t="shared" si="755"/>
        <v>PRB'!</v>
      </c>
      <c r="F3182" s="34" t="str">
        <f t="shared" si="756"/>
        <v>C:\Users\jaime.benazar\Quorum Business Solutions\Ecopetrol Prometeo - Documents\Planning Space Implementation\3. Analysis &amp; Design\Design\FC22\DRR Jaime\QUIFA-CAJÚA\Cajua\[CAJUA_CF_SEC_New_27-Feb-2024Rev3.xlsx]D-PRB'!</v>
      </c>
      <c r="G3182" s="32" t="s">
        <v>117</v>
      </c>
      <c r="H3182" s="33">
        <f t="shared" si="757"/>
        <v>38</v>
      </c>
      <c r="I3182" s="33" t="str">
        <f t="shared" si="758"/>
        <v>='C:\Users\jaime.benazar\Quorum Business Solutions\Ecopetrol Prometeo - Documents\Planning Space Implementation\3. Analysis &amp; Design\Design\FC22\DRR Jaime\QUIFA-CAJÚA\Cajua\[CAJUA_CF_SEC_New_27-Feb-2024Rev3.xlsx]D-PRB'!$DT$38</v>
      </c>
      <c r="J3182" s="37" t="s">
        <v>3432</v>
      </c>
    </row>
    <row r="3183" spans="1:10" x14ac:dyDescent="0.25">
      <c r="A3183" s="32" t="s">
        <v>4</v>
      </c>
      <c r="B3183" s="32">
        <f t="shared" si="759"/>
        <v>2050</v>
      </c>
      <c r="C3183" s="33" t="s">
        <v>42</v>
      </c>
      <c r="D3183" s="34" t="s">
        <v>1999</v>
      </c>
      <c r="E3183" s="35" t="str">
        <f t="shared" si="755"/>
        <v>PRB'!</v>
      </c>
      <c r="F3183" s="34" t="str">
        <f t="shared" si="756"/>
        <v>C:\Users\jaime.benazar\Quorum Business Solutions\Ecopetrol Prometeo - Documents\Planning Space Implementation\3. Analysis &amp; Design\Design\FC22\DRR Jaime\QUIFA-CAJÚA\Cajua\[CAJUA_CF_SEC_New_27-Feb-2024Rev3.xlsx]D-PRB'!</v>
      </c>
      <c r="G3183" s="32" t="s">
        <v>117</v>
      </c>
      <c r="H3183" s="33">
        <f t="shared" si="757"/>
        <v>39</v>
      </c>
      <c r="I3183" s="33" t="str">
        <f t="shared" si="758"/>
        <v>='C:\Users\jaime.benazar\Quorum Business Solutions\Ecopetrol Prometeo - Documents\Planning Space Implementation\3. Analysis &amp; Design\Design\FC22\DRR Jaime\QUIFA-CAJÚA\Cajua\[CAJUA_CF_SEC_New_27-Feb-2024Rev3.xlsx]D-PRB'!$DT$39</v>
      </c>
      <c r="J3183" s="37" t="s">
        <v>3433</v>
      </c>
    </row>
    <row r="3184" spans="1:10" x14ac:dyDescent="0.25">
      <c r="A3184" s="32" t="s">
        <v>4</v>
      </c>
      <c r="B3184" s="32">
        <f t="shared" si="759"/>
        <v>2051</v>
      </c>
      <c r="C3184" s="33" t="s">
        <v>42</v>
      </c>
      <c r="D3184" s="34" t="s">
        <v>1999</v>
      </c>
      <c r="E3184" s="35" t="str">
        <f t="shared" si="755"/>
        <v>PRB'!</v>
      </c>
      <c r="F3184" s="34" t="str">
        <f t="shared" si="756"/>
        <v>C:\Users\jaime.benazar\Quorum Business Solutions\Ecopetrol Prometeo - Documents\Planning Space Implementation\3. Analysis &amp; Design\Design\FC22\DRR Jaime\QUIFA-CAJÚA\Cajua\[CAJUA_CF_SEC_New_27-Feb-2024Rev3.xlsx]D-PRB'!</v>
      </c>
      <c r="G3184" s="32" t="s">
        <v>117</v>
      </c>
      <c r="H3184" s="33">
        <f t="shared" si="757"/>
        <v>40</v>
      </c>
      <c r="I3184" s="33" t="str">
        <f t="shared" si="758"/>
        <v>='C:\Users\jaime.benazar\Quorum Business Solutions\Ecopetrol Prometeo - Documents\Planning Space Implementation\3. Analysis &amp; Design\Design\FC22\DRR Jaime\QUIFA-CAJÚA\Cajua\[CAJUA_CF_SEC_New_27-Feb-2024Rev3.xlsx]D-PRB'!$DT$40</v>
      </c>
      <c r="J3184" s="37" t="s">
        <v>3434</v>
      </c>
    </row>
    <row r="3185" spans="1:10" x14ac:dyDescent="0.25">
      <c r="A3185" s="32" t="s">
        <v>4</v>
      </c>
      <c r="B3185" s="32">
        <f t="shared" si="759"/>
        <v>2052</v>
      </c>
      <c r="C3185" s="33" t="s">
        <v>42</v>
      </c>
      <c r="D3185" s="34" t="s">
        <v>1999</v>
      </c>
      <c r="E3185" s="35" t="str">
        <f t="shared" si="755"/>
        <v>PRB'!</v>
      </c>
      <c r="F3185" s="34" t="str">
        <f t="shared" si="756"/>
        <v>C:\Users\jaime.benazar\Quorum Business Solutions\Ecopetrol Prometeo - Documents\Planning Space Implementation\3. Analysis &amp; Design\Design\FC22\DRR Jaime\QUIFA-CAJÚA\Cajua\[CAJUA_CF_SEC_New_27-Feb-2024Rev3.xlsx]D-PRB'!</v>
      </c>
      <c r="G3185" s="32" t="s">
        <v>117</v>
      </c>
      <c r="H3185" s="33">
        <f t="shared" si="757"/>
        <v>41</v>
      </c>
      <c r="I3185" s="33" t="str">
        <f t="shared" si="758"/>
        <v>='C:\Users\jaime.benazar\Quorum Business Solutions\Ecopetrol Prometeo - Documents\Planning Space Implementation\3. Analysis &amp; Design\Design\FC22\DRR Jaime\QUIFA-CAJÚA\Cajua\[CAJUA_CF_SEC_New_27-Feb-2024Rev3.xlsx]D-PRB'!$DT$41</v>
      </c>
      <c r="J3185" s="37" t="s">
        <v>3435</v>
      </c>
    </row>
    <row r="3186" spans="1:10" x14ac:dyDescent="0.25">
      <c r="A3186" s="32" t="s">
        <v>4</v>
      </c>
      <c r="B3186" s="32">
        <f t="shared" si="759"/>
        <v>2053</v>
      </c>
      <c r="C3186" s="33" t="s">
        <v>42</v>
      </c>
      <c r="D3186" s="34" t="s">
        <v>1999</v>
      </c>
      <c r="E3186" s="35" t="str">
        <f t="shared" si="755"/>
        <v>PRB'!</v>
      </c>
      <c r="F3186" s="34" t="str">
        <f t="shared" si="756"/>
        <v>C:\Users\jaime.benazar\Quorum Business Solutions\Ecopetrol Prometeo - Documents\Planning Space Implementation\3. Analysis &amp; Design\Design\FC22\DRR Jaime\QUIFA-CAJÚA\Cajua\[CAJUA_CF_SEC_New_27-Feb-2024Rev3.xlsx]D-PRB'!</v>
      </c>
      <c r="G3186" s="32" t="s">
        <v>117</v>
      </c>
      <c r="H3186" s="33">
        <f t="shared" si="757"/>
        <v>42</v>
      </c>
      <c r="I3186" s="33" t="str">
        <f t="shared" si="758"/>
        <v>='C:\Users\jaime.benazar\Quorum Business Solutions\Ecopetrol Prometeo - Documents\Planning Space Implementation\3. Analysis &amp; Design\Design\FC22\DRR Jaime\QUIFA-CAJÚA\Cajua\[CAJUA_CF_SEC_New_27-Feb-2024Rev3.xlsx]D-PRB'!$DT$42</v>
      </c>
      <c r="J3186" s="37" t="s">
        <v>3436</v>
      </c>
    </row>
    <row r="3187" spans="1:10" x14ac:dyDescent="0.25">
      <c r="A3187" s="32" t="s">
        <v>4</v>
      </c>
      <c r="B3187" s="32">
        <f t="shared" si="759"/>
        <v>2054</v>
      </c>
      <c r="C3187" s="33" t="s">
        <v>42</v>
      </c>
      <c r="D3187" s="34" t="s">
        <v>1999</v>
      </c>
      <c r="E3187" s="35" t="str">
        <f t="shared" si="755"/>
        <v>PRB'!</v>
      </c>
      <c r="F3187" s="34" t="str">
        <f t="shared" si="756"/>
        <v>C:\Users\jaime.benazar\Quorum Business Solutions\Ecopetrol Prometeo - Documents\Planning Space Implementation\3. Analysis &amp; Design\Design\FC22\DRR Jaime\QUIFA-CAJÚA\Cajua\[CAJUA_CF_SEC_New_27-Feb-2024Rev3.xlsx]D-PRB'!</v>
      </c>
      <c r="G3187" s="32" t="s">
        <v>117</v>
      </c>
      <c r="H3187" s="33">
        <f t="shared" si="757"/>
        <v>43</v>
      </c>
      <c r="I3187" s="33" t="str">
        <f t="shared" si="758"/>
        <v>='C:\Users\jaime.benazar\Quorum Business Solutions\Ecopetrol Prometeo - Documents\Planning Space Implementation\3. Analysis &amp; Design\Design\FC22\DRR Jaime\QUIFA-CAJÚA\Cajua\[CAJUA_CF_SEC_New_27-Feb-2024Rev3.xlsx]D-PRB'!$DT$43</v>
      </c>
      <c r="J3187" s="37" t="s">
        <v>3437</v>
      </c>
    </row>
    <row r="3188" spans="1:10" x14ac:dyDescent="0.25">
      <c r="A3188" s="32" t="s">
        <v>4</v>
      </c>
      <c r="B3188" s="32">
        <f t="shared" si="759"/>
        <v>2055</v>
      </c>
      <c r="C3188" s="33" t="s">
        <v>42</v>
      </c>
      <c r="D3188" s="34" t="s">
        <v>1999</v>
      </c>
      <c r="E3188" s="35" t="str">
        <f t="shared" si="755"/>
        <v>PRB'!</v>
      </c>
      <c r="F3188" s="34" t="str">
        <f t="shared" si="756"/>
        <v>C:\Users\jaime.benazar\Quorum Business Solutions\Ecopetrol Prometeo - Documents\Planning Space Implementation\3. Analysis &amp; Design\Design\FC22\DRR Jaime\QUIFA-CAJÚA\Cajua\[CAJUA_CF_SEC_New_27-Feb-2024Rev3.xlsx]D-PRB'!</v>
      </c>
      <c r="G3188" s="32" t="s">
        <v>117</v>
      </c>
      <c r="H3188" s="33">
        <f t="shared" si="757"/>
        <v>44</v>
      </c>
      <c r="I3188" s="33" t="str">
        <f t="shared" si="758"/>
        <v>='C:\Users\jaime.benazar\Quorum Business Solutions\Ecopetrol Prometeo - Documents\Planning Space Implementation\3. Analysis &amp; Design\Design\FC22\DRR Jaime\QUIFA-CAJÚA\Cajua\[CAJUA_CF_SEC_New_27-Feb-2024Rev3.xlsx]D-PRB'!$DT$44</v>
      </c>
      <c r="J3188" s="37" t="s">
        <v>3438</v>
      </c>
    </row>
    <row r="3189" spans="1:10" x14ac:dyDescent="0.25">
      <c r="A3189" s="32" t="s">
        <v>4</v>
      </c>
      <c r="B3189" s="32">
        <f t="shared" si="759"/>
        <v>2056</v>
      </c>
      <c r="C3189" s="33" t="s">
        <v>42</v>
      </c>
      <c r="D3189" s="34" t="s">
        <v>1999</v>
      </c>
      <c r="E3189" s="35" t="str">
        <f t="shared" si="755"/>
        <v>PRB'!</v>
      </c>
      <c r="F3189" s="34" t="str">
        <f t="shared" si="756"/>
        <v>C:\Users\jaime.benazar\Quorum Business Solutions\Ecopetrol Prometeo - Documents\Planning Space Implementation\3. Analysis &amp; Design\Design\FC22\DRR Jaime\QUIFA-CAJÚA\Cajua\[CAJUA_CF_SEC_New_27-Feb-2024Rev3.xlsx]D-PRB'!</v>
      </c>
      <c r="G3189" s="32" t="s">
        <v>117</v>
      </c>
      <c r="H3189" s="33">
        <f t="shared" si="757"/>
        <v>45</v>
      </c>
      <c r="I3189" s="33" t="str">
        <f t="shared" si="758"/>
        <v>='C:\Users\jaime.benazar\Quorum Business Solutions\Ecopetrol Prometeo - Documents\Planning Space Implementation\3. Analysis &amp; Design\Design\FC22\DRR Jaime\QUIFA-CAJÚA\Cajua\[CAJUA_CF_SEC_New_27-Feb-2024Rev3.xlsx]D-PRB'!$DT$45</v>
      </c>
      <c r="J3189" s="37" t="s">
        <v>3439</v>
      </c>
    </row>
    <row r="3190" spans="1:10" x14ac:dyDescent="0.25">
      <c r="A3190" s="32" t="s">
        <v>4</v>
      </c>
      <c r="B3190" s="32">
        <f t="shared" si="759"/>
        <v>2057</v>
      </c>
      <c r="C3190" s="33" t="s">
        <v>42</v>
      </c>
      <c r="D3190" s="34" t="s">
        <v>1999</v>
      </c>
      <c r="E3190" s="35" t="str">
        <f t="shared" si="755"/>
        <v>PRB'!</v>
      </c>
      <c r="F3190" s="34" t="str">
        <f t="shared" si="756"/>
        <v>C:\Users\jaime.benazar\Quorum Business Solutions\Ecopetrol Prometeo - Documents\Planning Space Implementation\3. Analysis &amp; Design\Design\FC22\DRR Jaime\QUIFA-CAJÚA\Cajua\[CAJUA_CF_SEC_New_27-Feb-2024Rev3.xlsx]D-PRB'!</v>
      </c>
      <c r="G3190" s="32" t="s">
        <v>117</v>
      </c>
      <c r="H3190" s="33">
        <f t="shared" si="757"/>
        <v>46</v>
      </c>
      <c r="I3190" s="33" t="str">
        <f t="shared" si="758"/>
        <v>='C:\Users\jaime.benazar\Quorum Business Solutions\Ecopetrol Prometeo - Documents\Planning Space Implementation\3. Analysis &amp; Design\Design\FC22\DRR Jaime\QUIFA-CAJÚA\Cajua\[CAJUA_CF_SEC_New_27-Feb-2024Rev3.xlsx]D-PRB'!$DT$46</v>
      </c>
      <c r="J3190" s="37" t="s">
        <v>3440</v>
      </c>
    </row>
    <row r="3191" spans="1:10" x14ac:dyDescent="0.25">
      <c r="A3191" s="32" t="s">
        <v>4</v>
      </c>
      <c r="B3191" s="32">
        <f t="shared" si="759"/>
        <v>2058</v>
      </c>
      <c r="C3191" s="33" t="s">
        <v>42</v>
      </c>
      <c r="D3191" s="34" t="s">
        <v>1999</v>
      </c>
      <c r="E3191" s="35" t="str">
        <f t="shared" si="755"/>
        <v>PRB'!</v>
      </c>
      <c r="F3191" s="34" t="str">
        <f t="shared" si="756"/>
        <v>C:\Users\jaime.benazar\Quorum Business Solutions\Ecopetrol Prometeo - Documents\Planning Space Implementation\3. Analysis &amp; Design\Design\FC22\DRR Jaime\QUIFA-CAJÚA\Cajua\[CAJUA_CF_SEC_New_27-Feb-2024Rev3.xlsx]D-PRB'!</v>
      </c>
      <c r="G3191" s="32" t="s">
        <v>117</v>
      </c>
      <c r="H3191" s="33">
        <f t="shared" si="757"/>
        <v>47</v>
      </c>
      <c r="I3191" s="33" t="str">
        <f t="shared" si="758"/>
        <v>='C:\Users\jaime.benazar\Quorum Business Solutions\Ecopetrol Prometeo - Documents\Planning Space Implementation\3. Analysis &amp; Design\Design\FC22\DRR Jaime\QUIFA-CAJÚA\Cajua\[CAJUA_CF_SEC_New_27-Feb-2024Rev3.xlsx]D-PRB'!$DT$47</v>
      </c>
      <c r="J3191" s="37" t="s">
        <v>3441</v>
      </c>
    </row>
    <row r="3192" spans="1:10" x14ac:dyDescent="0.25">
      <c r="A3192" s="32" t="s">
        <v>4</v>
      </c>
      <c r="B3192" s="32">
        <f t="shared" si="759"/>
        <v>2059</v>
      </c>
      <c r="C3192" s="33" t="s">
        <v>42</v>
      </c>
      <c r="D3192" s="34" t="s">
        <v>1999</v>
      </c>
      <c r="E3192" s="35" t="str">
        <f t="shared" si="755"/>
        <v>PRB'!</v>
      </c>
      <c r="F3192" s="34" t="str">
        <f t="shared" si="756"/>
        <v>C:\Users\jaime.benazar\Quorum Business Solutions\Ecopetrol Prometeo - Documents\Planning Space Implementation\3. Analysis &amp; Design\Design\FC22\DRR Jaime\QUIFA-CAJÚA\Cajua\[CAJUA_CF_SEC_New_27-Feb-2024Rev3.xlsx]D-PRB'!</v>
      </c>
      <c r="G3192" s="32" t="s">
        <v>117</v>
      </c>
      <c r="H3192" s="33">
        <f t="shared" si="757"/>
        <v>48</v>
      </c>
      <c r="I3192" s="33" t="str">
        <f t="shared" si="758"/>
        <v>='C:\Users\jaime.benazar\Quorum Business Solutions\Ecopetrol Prometeo - Documents\Planning Space Implementation\3. Analysis &amp; Design\Design\FC22\DRR Jaime\QUIFA-CAJÚA\Cajua\[CAJUA_CF_SEC_New_27-Feb-2024Rev3.xlsx]D-PRB'!$DT$48</v>
      </c>
      <c r="J3192" s="37" t="s">
        <v>3442</v>
      </c>
    </row>
    <row r="3193" spans="1:10" x14ac:dyDescent="0.25">
      <c r="A3193" s="32" t="s">
        <v>28</v>
      </c>
      <c r="B3193" s="32"/>
      <c r="C3193" s="33" t="s">
        <v>42</v>
      </c>
      <c r="D3193" s="34"/>
      <c r="E3193" s="35"/>
      <c r="F3193" s="34"/>
      <c r="G3193" s="32"/>
      <c r="H3193" s="33"/>
      <c r="I3193" s="33"/>
      <c r="J3193" s="33"/>
    </row>
    <row r="3194" spans="1:10" x14ac:dyDescent="0.25">
      <c r="A3194" s="32" t="s">
        <v>102</v>
      </c>
      <c r="B3194" s="32">
        <v>2023</v>
      </c>
      <c r="C3194" s="33" t="s">
        <v>42</v>
      </c>
      <c r="D3194" s="34" t="s">
        <v>1999</v>
      </c>
      <c r="E3194" s="35" t="str">
        <f t="shared" ref="E3194:E3285" si="760">_xlfn.CONCAT(A3194,"'!")</f>
        <v>PSDP'!</v>
      </c>
      <c r="F3194" s="34" t="str">
        <f t="shared" ref="F3194:F3214" si="761">_xlfn.CONCAT(D3194:E3194)</f>
        <v>C:\Users\jaime.benazar\Quorum Business Solutions\Ecopetrol Prometeo - Documents\Planning Space Implementation\3. Analysis &amp; Design\Design\FC22\DRR Jaime\QUIFA-CAJÚA\Cajua\[CAJUA_CF_SEC_New_27-Feb-2024Rev3.xlsx]D-PSDP'!</v>
      </c>
      <c r="G3194" s="32" t="s">
        <v>117</v>
      </c>
      <c r="H3194" s="33"/>
      <c r="I3194" s="33"/>
      <c r="J3194" s="37"/>
    </row>
    <row r="3195" spans="1:10" x14ac:dyDescent="0.25">
      <c r="A3195" s="32" t="s">
        <v>102</v>
      </c>
      <c r="B3195" s="32">
        <f>+B3194+1</f>
        <v>2024</v>
      </c>
      <c r="C3195" s="33" t="s">
        <v>42</v>
      </c>
      <c r="D3195" s="34" t="s">
        <v>1999</v>
      </c>
      <c r="E3195" s="35" t="str">
        <f t="shared" si="760"/>
        <v>PSDP'!</v>
      </c>
      <c r="F3195" s="34" t="str">
        <f t="shared" si="761"/>
        <v>C:\Users\jaime.benazar\Quorum Business Solutions\Ecopetrol Prometeo - Documents\Planning Space Implementation\3. Analysis &amp; Design\Design\FC22\DRR Jaime\QUIFA-CAJÚA\Cajua\[CAJUA_CF_SEC_New_27-Feb-2024Rev3.xlsx]D-PSDP'!</v>
      </c>
      <c r="G3195" s="32" t="s">
        <v>117</v>
      </c>
      <c r="H3195" s="33"/>
      <c r="I3195" s="33"/>
      <c r="J3195" s="37"/>
    </row>
    <row r="3196" spans="1:10" x14ac:dyDescent="0.25">
      <c r="A3196" s="32" t="s">
        <v>102</v>
      </c>
      <c r="B3196" s="32">
        <f t="shared" ref="B3196:B3207" si="762">+B3195+1</f>
        <v>2025</v>
      </c>
      <c r="C3196" s="33" t="s">
        <v>42</v>
      </c>
      <c r="D3196" s="34" t="s">
        <v>1999</v>
      </c>
      <c r="E3196" s="35" t="str">
        <f t="shared" si="760"/>
        <v>PSDP'!</v>
      </c>
      <c r="F3196" s="34" t="str">
        <f t="shared" si="761"/>
        <v>C:\Users\jaime.benazar\Quorum Business Solutions\Ecopetrol Prometeo - Documents\Planning Space Implementation\3. Analysis &amp; Design\Design\FC22\DRR Jaime\QUIFA-CAJÚA\Cajua\[CAJUA_CF_SEC_New_27-Feb-2024Rev3.xlsx]D-PSDP'!</v>
      </c>
      <c r="G3196" s="32" t="s">
        <v>117</v>
      </c>
      <c r="H3196" s="33"/>
      <c r="I3196" s="33"/>
      <c r="J3196" s="37"/>
    </row>
    <row r="3197" spans="1:10" x14ac:dyDescent="0.25">
      <c r="A3197" s="32" t="s">
        <v>102</v>
      </c>
      <c r="B3197" s="32">
        <f t="shared" si="762"/>
        <v>2026</v>
      </c>
      <c r="C3197" s="33" t="s">
        <v>42</v>
      </c>
      <c r="D3197" s="34" t="s">
        <v>1999</v>
      </c>
      <c r="E3197" s="35" t="str">
        <f t="shared" si="760"/>
        <v>PSDP'!</v>
      </c>
      <c r="F3197" s="34" t="str">
        <f t="shared" si="761"/>
        <v>C:\Users\jaime.benazar\Quorum Business Solutions\Ecopetrol Prometeo - Documents\Planning Space Implementation\3. Analysis &amp; Design\Design\FC22\DRR Jaime\QUIFA-CAJÚA\Cajua\[CAJUA_CF_SEC_New_27-Feb-2024Rev3.xlsx]D-PSDP'!</v>
      </c>
      <c r="G3197" s="32" t="s">
        <v>117</v>
      </c>
      <c r="H3197" s="33"/>
      <c r="I3197" s="33"/>
      <c r="J3197" s="37"/>
    </row>
    <row r="3198" spans="1:10" x14ac:dyDescent="0.25">
      <c r="A3198" s="32" t="s">
        <v>102</v>
      </c>
      <c r="B3198" s="32">
        <f t="shared" si="762"/>
        <v>2027</v>
      </c>
      <c r="C3198" s="33" t="s">
        <v>42</v>
      </c>
      <c r="D3198" s="34" t="s">
        <v>1999</v>
      </c>
      <c r="E3198" s="35" t="str">
        <f t="shared" si="760"/>
        <v>PSDP'!</v>
      </c>
      <c r="F3198" s="34" t="str">
        <f t="shared" si="761"/>
        <v>C:\Users\jaime.benazar\Quorum Business Solutions\Ecopetrol Prometeo - Documents\Planning Space Implementation\3. Analysis &amp; Design\Design\FC22\DRR Jaime\QUIFA-CAJÚA\Cajua\[CAJUA_CF_SEC_New_27-Feb-2024Rev3.xlsx]D-PSDP'!</v>
      </c>
      <c r="G3198" s="32" t="s">
        <v>117</v>
      </c>
      <c r="H3198" s="33"/>
      <c r="I3198" s="33"/>
      <c r="J3198" s="37"/>
    </row>
    <row r="3199" spans="1:10" x14ac:dyDescent="0.25">
      <c r="A3199" s="32" t="s">
        <v>102</v>
      </c>
      <c r="B3199" s="32">
        <f t="shared" si="762"/>
        <v>2028</v>
      </c>
      <c r="C3199" s="33" t="s">
        <v>42</v>
      </c>
      <c r="D3199" s="34" t="s">
        <v>1999</v>
      </c>
      <c r="E3199" s="35" t="str">
        <f t="shared" si="760"/>
        <v>PSDP'!</v>
      </c>
      <c r="F3199" s="34" t="str">
        <f t="shared" si="761"/>
        <v>C:\Users\jaime.benazar\Quorum Business Solutions\Ecopetrol Prometeo - Documents\Planning Space Implementation\3. Analysis &amp; Design\Design\FC22\DRR Jaime\QUIFA-CAJÚA\Cajua\[CAJUA_CF_SEC_New_27-Feb-2024Rev3.xlsx]D-PSDP'!</v>
      </c>
      <c r="G3199" s="32" t="s">
        <v>117</v>
      </c>
      <c r="H3199" s="33"/>
      <c r="I3199" s="33"/>
      <c r="J3199" s="37"/>
    </row>
    <row r="3200" spans="1:10" x14ac:dyDescent="0.25">
      <c r="A3200" s="32" t="s">
        <v>102</v>
      </c>
      <c r="B3200" s="32">
        <f t="shared" si="762"/>
        <v>2029</v>
      </c>
      <c r="C3200" s="33" t="s">
        <v>42</v>
      </c>
      <c r="D3200" s="34" t="s">
        <v>1999</v>
      </c>
      <c r="E3200" s="35" t="str">
        <f t="shared" si="760"/>
        <v>PSDP'!</v>
      </c>
      <c r="F3200" s="34" t="str">
        <f t="shared" si="761"/>
        <v>C:\Users\jaime.benazar\Quorum Business Solutions\Ecopetrol Prometeo - Documents\Planning Space Implementation\3. Analysis &amp; Design\Design\FC22\DRR Jaime\QUIFA-CAJÚA\Cajua\[CAJUA_CF_SEC_New_27-Feb-2024Rev3.xlsx]D-PSDP'!</v>
      </c>
      <c r="G3200" s="32" t="s">
        <v>117</v>
      </c>
      <c r="H3200" s="33"/>
      <c r="I3200" s="33"/>
      <c r="J3200" s="37"/>
    </row>
    <row r="3201" spans="1:10" x14ac:dyDescent="0.25">
      <c r="A3201" s="32" t="s">
        <v>102</v>
      </c>
      <c r="B3201" s="32">
        <f t="shared" si="762"/>
        <v>2030</v>
      </c>
      <c r="C3201" s="33" t="s">
        <v>42</v>
      </c>
      <c r="D3201" s="34" t="s">
        <v>1999</v>
      </c>
      <c r="E3201" s="35" t="str">
        <f t="shared" si="760"/>
        <v>PSDP'!</v>
      </c>
      <c r="F3201" s="34" t="str">
        <f t="shared" si="761"/>
        <v>C:\Users\jaime.benazar\Quorum Business Solutions\Ecopetrol Prometeo - Documents\Planning Space Implementation\3. Analysis &amp; Design\Design\FC22\DRR Jaime\QUIFA-CAJÚA\Cajua\[CAJUA_CF_SEC_New_27-Feb-2024Rev3.xlsx]D-PSDP'!</v>
      </c>
      <c r="G3201" s="32" t="s">
        <v>117</v>
      </c>
      <c r="H3201" s="33"/>
      <c r="I3201" s="33"/>
      <c r="J3201" s="37"/>
    </row>
    <row r="3202" spans="1:10" x14ac:dyDescent="0.25">
      <c r="A3202" s="32" t="s">
        <v>102</v>
      </c>
      <c r="B3202" s="32">
        <f t="shared" si="762"/>
        <v>2031</v>
      </c>
      <c r="C3202" s="33" t="s">
        <v>42</v>
      </c>
      <c r="D3202" s="34" t="s">
        <v>1999</v>
      </c>
      <c r="E3202" s="35" t="str">
        <f t="shared" si="760"/>
        <v>PSDP'!</v>
      </c>
      <c r="F3202" s="34" t="str">
        <f t="shared" si="761"/>
        <v>C:\Users\jaime.benazar\Quorum Business Solutions\Ecopetrol Prometeo - Documents\Planning Space Implementation\3. Analysis &amp; Design\Design\FC22\DRR Jaime\QUIFA-CAJÚA\Cajua\[CAJUA_CF_SEC_New_27-Feb-2024Rev3.xlsx]D-PSDP'!</v>
      </c>
      <c r="G3202" s="32" t="s">
        <v>117</v>
      </c>
      <c r="H3202" s="33"/>
      <c r="I3202" s="33"/>
      <c r="J3202" s="37"/>
    </row>
    <row r="3203" spans="1:10" x14ac:dyDescent="0.25">
      <c r="A3203" s="32" t="s">
        <v>102</v>
      </c>
      <c r="B3203" s="32">
        <f t="shared" si="762"/>
        <v>2032</v>
      </c>
      <c r="C3203" s="33" t="s">
        <v>42</v>
      </c>
      <c r="D3203" s="34" t="s">
        <v>1999</v>
      </c>
      <c r="E3203" s="35" t="str">
        <f t="shared" si="760"/>
        <v>PSDP'!</v>
      </c>
      <c r="F3203" s="34" t="str">
        <f t="shared" si="761"/>
        <v>C:\Users\jaime.benazar\Quorum Business Solutions\Ecopetrol Prometeo - Documents\Planning Space Implementation\3. Analysis &amp; Design\Design\FC22\DRR Jaime\QUIFA-CAJÚA\Cajua\[CAJUA_CF_SEC_New_27-Feb-2024Rev3.xlsx]D-PSDP'!</v>
      </c>
      <c r="G3203" s="32" t="s">
        <v>117</v>
      </c>
      <c r="H3203" s="33"/>
      <c r="I3203" s="33"/>
      <c r="J3203" s="37"/>
    </row>
    <row r="3204" spans="1:10" x14ac:dyDescent="0.25">
      <c r="A3204" s="32" t="s">
        <v>102</v>
      </c>
      <c r="B3204" s="32">
        <f t="shared" si="762"/>
        <v>2033</v>
      </c>
      <c r="C3204" s="33" t="s">
        <v>42</v>
      </c>
      <c r="D3204" s="34" t="s">
        <v>1999</v>
      </c>
      <c r="E3204" s="35" t="str">
        <f t="shared" si="760"/>
        <v>PSDP'!</v>
      </c>
      <c r="F3204" s="34" t="str">
        <f t="shared" si="761"/>
        <v>C:\Users\jaime.benazar\Quorum Business Solutions\Ecopetrol Prometeo - Documents\Planning Space Implementation\3. Analysis &amp; Design\Design\FC22\DRR Jaime\QUIFA-CAJÚA\Cajua\[CAJUA_CF_SEC_New_27-Feb-2024Rev3.xlsx]D-PSDP'!</v>
      </c>
      <c r="G3204" s="32" t="s">
        <v>117</v>
      </c>
      <c r="H3204" s="33"/>
      <c r="I3204" s="33"/>
      <c r="J3204" s="37"/>
    </row>
    <row r="3205" spans="1:10" x14ac:dyDescent="0.25">
      <c r="A3205" s="32" t="s">
        <v>102</v>
      </c>
      <c r="B3205" s="32">
        <f t="shared" si="762"/>
        <v>2034</v>
      </c>
      <c r="C3205" s="33" t="s">
        <v>42</v>
      </c>
      <c r="D3205" s="34" t="s">
        <v>1999</v>
      </c>
      <c r="E3205" s="35" t="str">
        <f t="shared" si="760"/>
        <v>PSDP'!</v>
      </c>
      <c r="F3205" s="34" t="str">
        <f t="shared" si="761"/>
        <v>C:\Users\jaime.benazar\Quorum Business Solutions\Ecopetrol Prometeo - Documents\Planning Space Implementation\3. Analysis &amp; Design\Design\FC22\DRR Jaime\QUIFA-CAJÚA\Cajua\[CAJUA_CF_SEC_New_27-Feb-2024Rev3.xlsx]D-PSDP'!</v>
      </c>
      <c r="G3205" s="32" t="s">
        <v>117</v>
      </c>
      <c r="H3205" s="33"/>
      <c r="I3205" s="33"/>
      <c r="J3205" s="37"/>
    </row>
    <row r="3206" spans="1:10" x14ac:dyDescent="0.25">
      <c r="A3206" s="32" t="s">
        <v>102</v>
      </c>
      <c r="B3206" s="32">
        <f t="shared" si="762"/>
        <v>2035</v>
      </c>
      <c r="C3206" s="33" t="s">
        <v>42</v>
      </c>
      <c r="D3206" s="34" t="s">
        <v>1999</v>
      </c>
      <c r="E3206" s="35" t="str">
        <f t="shared" si="760"/>
        <v>PSDP'!</v>
      </c>
      <c r="F3206" s="34" t="str">
        <f t="shared" si="761"/>
        <v>C:\Users\jaime.benazar\Quorum Business Solutions\Ecopetrol Prometeo - Documents\Planning Space Implementation\3. Analysis &amp; Design\Design\FC22\DRR Jaime\QUIFA-CAJÚA\Cajua\[CAJUA_CF_SEC_New_27-Feb-2024Rev3.xlsx]D-PSDP'!</v>
      </c>
      <c r="G3206" s="32" t="s">
        <v>117</v>
      </c>
      <c r="H3206" s="33"/>
      <c r="I3206" s="33"/>
      <c r="J3206" s="37"/>
    </row>
    <row r="3207" spans="1:10" x14ac:dyDescent="0.25">
      <c r="A3207" s="32" t="s">
        <v>102</v>
      </c>
      <c r="B3207" s="32">
        <f t="shared" si="762"/>
        <v>2036</v>
      </c>
      <c r="C3207" s="33" t="s">
        <v>42</v>
      </c>
      <c r="D3207" s="34" t="s">
        <v>1999</v>
      </c>
      <c r="E3207" s="35" t="str">
        <f t="shared" si="760"/>
        <v>PSDP'!</v>
      </c>
      <c r="F3207" s="34" t="str">
        <f t="shared" si="761"/>
        <v>C:\Users\jaime.benazar\Quorum Business Solutions\Ecopetrol Prometeo - Documents\Planning Space Implementation\3. Analysis &amp; Design\Design\FC22\DRR Jaime\QUIFA-CAJÚA\Cajua\[CAJUA_CF_SEC_New_27-Feb-2024Rev3.xlsx]D-PSDP'!</v>
      </c>
      <c r="G3207" s="32" t="s">
        <v>117</v>
      </c>
      <c r="H3207" s="33"/>
      <c r="I3207" s="33"/>
      <c r="J3207" s="37"/>
    </row>
    <row r="3208" spans="1:10" x14ac:dyDescent="0.25">
      <c r="A3208" s="32" t="s">
        <v>102</v>
      </c>
      <c r="B3208" s="32">
        <f>+B3207+1</f>
        <v>2037</v>
      </c>
      <c r="C3208" s="33" t="s">
        <v>42</v>
      </c>
      <c r="D3208" s="34" t="s">
        <v>1999</v>
      </c>
      <c r="E3208" s="35" t="str">
        <f t="shared" si="760"/>
        <v>PSDP'!</v>
      </c>
      <c r="F3208" s="34" t="str">
        <f t="shared" si="761"/>
        <v>C:\Users\jaime.benazar\Quorum Business Solutions\Ecopetrol Prometeo - Documents\Planning Space Implementation\3. Analysis &amp; Design\Design\FC22\DRR Jaime\QUIFA-CAJÚA\Cajua\[CAJUA_CF_SEC_New_27-Feb-2024Rev3.xlsx]D-PSDP'!</v>
      </c>
      <c r="G3208" s="32" t="s">
        <v>117</v>
      </c>
      <c r="H3208" s="33"/>
      <c r="I3208" s="33"/>
      <c r="J3208" s="37"/>
    </row>
    <row r="3209" spans="1:10" x14ac:dyDescent="0.25">
      <c r="A3209" s="32" t="s">
        <v>102</v>
      </c>
      <c r="B3209" s="32">
        <f t="shared" ref="B3209:B3211" si="763">+B3208+1</f>
        <v>2038</v>
      </c>
      <c r="C3209" s="33" t="s">
        <v>42</v>
      </c>
      <c r="D3209" s="34" t="s">
        <v>1999</v>
      </c>
      <c r="E3209" s="35" t="str">
        <f t="shared" si="760"/>
        <v>PSDP'!</v>
      </c>
      <c r="F3209" s="34" t="str">
        <f t="shared" si="761"/>
        <v>C:\Users\jaime.benazar\Quorum Business Solutions\Ecopetrol Prometeo - Documents\Planning Space Implementation\3. Analysis &amp; Design\Design\FC22\DRR Jaime\QUIFA-CAJÚA\Cajua\[CAJUA_CF_SEC_New_27-Feb-2024Rev3.xlsx]D-PSDP'!</v>
      </c>
      <c r="G3209" s="32" t="s">
        <v>117</v>
      </c>
      <c r="H3209" s="33"/>
      <c r="I3209" s="33"/>
      <c r="J3209" s="37"/>
    </row>
    <row r="3210" spans="1:10" x14ac:dyDescent="0.25">
      <c r="A3210" s="32" t="s">
        <v>102</v>
      </c>
      <c r="B3210" s="32">
        <f t="shared" si="763"/>
        <v>2039</v>
      </c>
      <c r="C3210" s="33" t="s">
        <v>42</v>
      </c>
      <c r="D3210" s="34" t="s">
        <v>1999</v>
      </c>
      <c r="E3210" s="35" t="str">
        <f t="shared" si="760"/>
        <v>PSDP'!</v>
      </c>
      <c r="F3210" s="34" t="str">
        <f t="shared" si="761"/>
        <v>C:\Users\jaime.benazar\Quorum Business Solutions\Ecopetrol Prometeo - Documents\Planning Space Implementation\3. Analysis &amp; Design\Design\FC22\DRR Jaime\QUIFA-CAJÚA\Cajua\[CAJUA_CF_SEC_New_27-Feb-2024Rev3.xlsx]D-PSDP'!</v>
      </c>
      <c r="G3210" s="32" t="s">
        <v>117</v>
      </c>
      <c r="H3210" s="33"/>
      <c r="I3210" s="33"/>
      <c r="J3210" s="37"/>
    </row>
    <row r="3211" spans="1:10" x14ac:dyDescent="0.25">
      <c r="A3211" s="32" t="s">
        <v>102</v>
      </c>
      <c r="B3211" s="32">
        <f t="shared" si="763"/>
        <v>2040</v>
      </c>
      <c r="C3211" s="33" t="s">
        <v>42</v>
      </c>
      <c r="D3211" s="34" t="s">
        <v>1999</v>
      </c>
      <c r="E3211" s="35" t="str">
        <f t="shared" si="760"/>
        <v>PSDP'!</v>
      </c>
      <c r="F3211" s="34" t="str">
        <f t="shared" si="761"/>
        <v>C:\Users\jaime.benazar\Quorum Business Solutions\Ecopetrol Prometeo - Documents\Planning Space Implementation\3. Analysis &amp; Design\Design\FC22\DRR Jaime\QUIFA-CAJÚA\Cajua\[CAJUA_CF_SEC_New_27-Feb-2024Rev3.xlsx]D-PSDP'!</v>
      </c>
      <c r="G3211" s="32" t="s">
        <v>117</v>
      </c>
      <c r="H3211" s="33"/>
      <c r="I3211" s="33"/>
      <c r="J3211" s="37"/>
    </row>
    <row r="3212" spans="1:10" x14ac:dyDescent="0.25">
      <c r="A3212" s="32" t="s">
        <v>102</v>
      </c>
      <c r="B3212" s="32">
        <f>+B3211+1</f>
        <v>2041</v>
      </c>
      <c r="C3212" s="33" t="s">
        <v>42</v>
      </c>
      <c r="D3212" s="34" t="s">
        <v>1999</v>
      </c>
      <c r="E3212" s="35" t="str">
        <f t="shared" si="760"/>
        <v>PSDP'!</v>
      </c>
      <c r="F3212" s="34" t="str">
        <f t="shared" si="761"/>
        <v>C:\Users\jaime.benazar\Quorum Business Solutions\Ecopetrol Prometeo - Documents\Planning Space Implementation\3. Analysis &amp; Design\Design\FC22\DRR Jaime\QUIFA-CAJÚA\Cajua\[CAJUA_CF_SEC_New_27-Feb-2024Rev3.xlsx]D-PSDP'!</v>
      </c>
      <c r="G3212" s="32" t="s">
        <v>117</v>
      </c>
      <c r="H3212" s="33"/>
      <c r="I3212" s="33"/>
      <c r="J3212" s="37"/>
    </row>
    <row r="3213" spans="1:10" x14ac:dyDescent="0.25">
      <c r="A3213" s="32" t="s">
        <v>102</v>
      </c>
      <c r="B3213" s="32">
        <f t="shared" ref="B3213:B3214" si="764">+B3212+1</f>
        <v>2042</v>
      </c>
      <c r="C3213" s="33" t="s">
        <v>42</v>
      </c>
      <c r="D3213" s="34" t="s">
        <v>1999</v>
      </c>
      <c r="E3213" s="35" t="str">
        <f t="shared" si="760"/>
        <v>PSDP'!</v>
      </c>
      <c r="F3213" s="34" t="str">
        <f t="shared" si="761"/>
        <v>C:\Users\jaime.benazar\Quorum Business Solutions\Ecopetrol Prometeo - Documents\Planning Space Implementation\3. Analysis &amp; Design\Design\FC22\DRR Jaime\QUIFA-CAJÚA\Cajua\[CAJUA_CF_SEC_New_27-Feb-2024Rev3.xlsx]D-PSDP'!</v>
      </c>
      <c r="G3213" s="32" t="s">
        <v>117</v>
      </c>
      <c r="H3213" s="33"/>
      <c r="I3213" s="33"/>
      <c r="J3213" s="37"/>
    </row>
    <row r="3214" spans="1:10" x14ac:dyDescent="0.25">
      <c r="A3214" s="32" t="s">
        <v>102</v>
      </c>
      <c r="B3214" s="32">
        <f t="shared" si="764"/>
        <v>2043</v>
      </c>
      <c r="C3214" s="33" t="s">
        <v>42</v>
      </c>
      <c r="D3214" s="34" t="s">
        <v>1999</v>
      </c>
      <c r="E3214" s="35" t="str">
        <f t="shared" si="760"/>
        <v>PSDP'!</v>
      </c>
      <c r="F3214" s="34" t="str">
        <f t="shared" si="761"/>
        <v>C:\Users\jaime.benazar\Quorum Business Solutions\Ecopetrol Prometeo - Documents\Planning Space Implementation\3. Analysis &amp; Design\Design\FC22\DRR Jaime\QUIFA-CAJÚA\Cajua\[CAJUA_CF_SEC_New_27-Feb-2024Rev3.xlsx]D-PSDP'!</v>
      </c>
      <c r="G3214" s="32" t="s">
        <v>117</v>
      </c>
      <c r="H3214" s="33"/>
      <c r="I3214" s="33"/>
      <c r="J3214" s="37"/>
    </row>
    <row r="3215" spans="1:10" x14ac:dyDescent="0.25">
      <c r="A3215" s="32" t="s">
        <v>102</v>
      </c>
      <c r="B3215" s="32">
        <f>+B3214+1</f>
        <v>2044</v>
      </c>
      <c r="C3215" s="33" t="s">
        <v>42</v>
      </c>
      <c r="D3215" s="34" t="s">
        <v>1999</v>
      </c>
      <c r="E3215" s="35" t="str">
        <f t="shared" ref="E3215:E3230" si="765">_xlfn.CONCAT(A3215,"'!")</f>
        <v>PSDP'!</v>
      </c>
      <c r="F3215" s="34" t="str">
        <f t="shared" ref="F3215:F3230" si="766">_xlfn.CONCAT(D3215:E3215)</f>
        <v>C:\Users\jaime.benazar\Quorum Business Solutions\Ecopetrol Prometeo - Documents\Planning Space Implementation\3. Analysis &amp; Design\Design\FC22\DRR Jaime\QUIFA-CAJÚA\Cajua\[CAJUA_CF_SEC_New_27-Feb-2024Rev3.xlsx]D-PSDP'!</v>
      </c>
      <c r="G3215" s="32" t="s">
        <v>117</v>
      </c>
      <c r="H3215" s="33"/>
      <c r="I3215" s="33"/>
      <c r="J3215" s="37"/>
    </row>
    <row r="3216" spans="1:10" x14ac:dyDescent="0.25">
      <c r="A3216" s="32" t="s">
        <v>102</v>
      </c>
      <c r="B3216" s="32">
        <f t="shared" ref="B3216:B3230" si="767">+B3215+1</f>
        <v>2045</v>
      </c>
      <c r="C3216" s="33" t="s">
        <v>42</v>
      </c>
      <c r="D3216" s="34" t="s">
        <v>1999</v>
      </c>
      <c r="E3216" s="35" t="str">
        <f t="shared" si="765"/>
        <v>PSDP'!</v>
      </c>
      <c r="F3216" s="34" t="str">
        <f t="shared" si="766"/>
        <v>C:\Users\jaime.benazar\Quorum Business Solutions\Ecopetrol Prometeo - Documents\Planning Space Implementation\3. Analysis &amp; Design\Design\FC22\DRR Jaime\QUIFA-CAJÚA\Cajua\[CAJUA_CF_SEC_New_27-Feb-2024Rev3.xlsx]D-PSDP'!</v>
      </c>
      <c r="G3216" s="32" t="s">
        <v>117</v>
      </c>
      <c r="H3216" s="33"/>
      <c r="I3216" s="33"/>
      <c r="J3216" s="37"/>
    </row>
    <row r="3217" spans="1:10" x14ac:dyDescent="0.25">
      <c r="A3217" s="32" t="s">
        <v>102</v>
      </c>
      <c r="B3217" s="32">
        <f t="shared" si="767"/>
        <v>2046</v>
      </c>
      <c r="C3217" s="33" t="s">
        <v>42</v>
      </c>
      <c r="D3217" s="34" t="s">
        <v>1999</v>
      </c>
      <c r="E3217" s="35" t="str">
        <f t="shared" si="765"/>
        <v>PSDP'!</v>
      </c>
      <c r="F3217" s="34" t="str">
        <f t="shared" si="766"/>
        <v>C:\Users\jaime.benazar\Quorum Business Solutions\Ecopetrol Prometeo - Documents\Planning Space Implementation\3. Analysis &amp; Design\Design\FC22\DRR Jaime\QUIFA-CAJÚA\Cajua\[CAJUA_CF_SEC_New_27-Feb-2024Rev3.xlsx]D-PSDP'!</v>
      </c>
      <c r="G3217" s="32" t="s">
        <v>117</v>
      </c>
      <c r="H3217" s="33"/>
      <c r="I3217" s="33"/>
      <c r="J3217" s="37"/>
    </row>
    <row r="3218" spans="1:10" x14ac:dyDescent="0.25">
      <c r="A3218" s="32" t="s">
        <v>102</v>
      </c>
      <c r="B3218" s="32">
        <f t="shared" si="767"/>
        <v>2047</v>
      </c>
      <c r="C3218" s="33" t="s">
        <v>42</v>
      </c>
      <c r="D3218" s="34" t="s">
        <v>1999</v>
      </c>
      <c r="E3218" s="35" t="str">
        <f t="shared" si="765"/>
        <v>PSDP'!</v>
      </c>
      <c r="F3218" s="34" t="str">
        <f t="shared" si="766"/>
        <v>C:\Users\jaime.benazar\Quorum Business Solutions\Ecopetrol Prometeo - Documents\Planning Space Implementation\3. Analysis &amp; Design\Design\FC22\DRR Jaime\QUIFA-CAJÚA\Cajua\[CAJUA_CF_SEC_New_27-Feb-2024Rev3.xlsx]D-PSDP'!</v>
      </c>
      <c r="G3218" s="32" t="s">
        <v>117</v>
      </c>
      <c r="H3218" s="33"/>
      <c r="I3218" s="33"/>
      <c r="J3218" s="37"/>
    </row>
    <row r="3219" spans="1:10" x14ac:dyDescent="0.25">
      <c r="A3219" s="32" t="s">
        <v>102</v>
      </c>
      <c r="B3219" s="32">
        <f t="shared" si="767"/>
        <v>2048</v>
      </c>
      <c r="C3219" s="33" t="s">
        <v>42</v>
      </c>
      <c r="D3219" s="34" t="s">
        <v>1999</v>
      </c>
      <c r="E3219" s="35" t="str">
        <f t="shared" si="765"/>
        <v>PSDP'!</v>
      </c>
      <c r="F3219" s="34" t="str">
        <f t="shared" si="766"/>
        <v>C:\Users\jaime.benazar\Quorum Business Solutions\Ecopetrol Prometeo - Documents\Planning Space Implementation\3. Analysis &amp; Design\Design\FC22\DRR Jaime\QUIFA-CAJÚA\Cajua\[CAJUA_CF_SEC_New_27-Feb-2024Rev3.xlsx]D-PSDP'!</v>
      </c>
      <c r="G3219" s="32" t="s">
        <v>117</v>
      </c>
      <c r="H3219" s="33"/>
      <c r="I3219" s="33"/>
      <c r="J3219" s="37"/>
    </row>
    <row r="3220" spans="1:10" x14ac:dyDescent="0.25">
      <c r="A3220" s="32" t="s">
        <v>102</v>
      </c>
      <c r="B3220" s="32">
        <f t="shared" si="767"/>
        <v>2049</v>
      </c>
      <c r="C3220" s="33" t="s">
        <v>42</v>
      </c>
      <c r="D3220" s="34" t="s">
        <v>1999</v>
      </c>
      <c r="E3220" s="35" t="str">
        <f t="shared" si="765"/>
        <v>PSDP'!</v>
      </c>
      <c r="F3220" s="34" t="str">
        <f t="shared" si="766"/>
        <v>C:\Users\jaime.benazar\Quorum Business Solutions\Ecopetrol Prometeo - Documents\Planning Space Implementation\3. Analysis &amp; Design\Design\FC22\DRR Jaime\QUIFA-CAJÚA\Cajua\[CAJUA_CF_SEC_New_27-Feb-2024Rev3.xlsx]D-PSDP'!</v>
      </c>
      <c r="G3220" s="32" t="s">
        <v>117</v>
      </c>
      <c r="H3220" s="33"/>
      <c r="I3220" s="33"/>
      <c r="J3220" s="37"/>
    </row>
    <row r="3221" spans="1:10" x14ac:dyDescent="0.25">
      <c r="A3221" s="32" t="s">
        <v>102</v>
      </c>
      <c r="B3221" s="32">
        <f t="shared" si="767"/>
        <v>2050</v>
      </c>
      <c r="C3221" s="33" t="s">
        <v>42</v>
      </c>
      <c r="D3221" s="34" t="s">
        <v>1999</v>
      </c>
      <c r="E3221" s="35" t="str">
        <f t="shared" si="765"/>
        <v>PSDP'!</v>
      </c>
      <c r="F3221" s="34" t="str">
        <f t="shared" si="766"/>
        <v>C:\Users\jaime.benazar\Quorum Business Solutions\Ecopetrol Prometeo - Documents\Planning Space Implementation\3. Analysis &amp; Design\Design\FC22\DRR Jaime\QUIFA-CAJÚA\Cajua\[CAJUA_CF_SEC_New_27-Feb-2024Rev3.xlsx]D-PSDP'!</v>
      </c>
      <c r="G3221" s="32" t="s">
        <v>117</v>
      </c>
      <c r="H3221" s="33"/>
      <c r="I3221" s="33"/>
      <c r="J3221" s="37"/>
    </row>
    <row r="3222" spans="1:10" x14ac:dyDescent="0.25">
      <c r="A3222" s="32" t="s">
        <v>102</v>
      </c>
      <c r="B3222" s="32">
        <f t="shared" si="767"/>
        <v>2051</v>
      </c>
      <c r="C3222" s="33" t="s">
        <v>42</v>
      </c>
      <c r="D3222" s="34" t="s">
        <v>1999</v>
      </c>
      <c r="E3222" s="35" t="str">
        <f t="shared" si="765"/>
        <v>PSDP'!</v>
      </c>
      <c r="F3222" s="34" t="str">
        <f t="shared" si="766"/>
        <v>C:\Users\jaime.benazar\Quorum Business Solutions\Ecopetrol Prometeo - Documents\Planning Space Implementation\3. Analysis &amp; Design\Design\FC22\DRR Jaime\QUIFA-CAJÚA\Cajua\[CAJUA_CF_SEC_New_27-Feb-2024Rev3.xlsx]D-PSDP'!</v>
      </c>
      <c r="G3222" s="32" t="s">
        <v>117</v>
      </c>
      <c r="H3222" s="33"/>
      <c r="I3222" s="33"/>
      <c r="J3222" s="37"/>
    </row>
    <row r="3223" spans="1:10" x14ac:dyDescent="0.25">
      <c r="A3223" s="32" t="s">
        <v>102</v>
      </c>
      <c r="B3223" s="32">
        <f t="shared" si="767"/>
        <v>2052</v>
      </c>
      <c r="C3223" s="33" t="s">
        <v>42</v>
      </c>
      <c r="D3223" s="34" t="s">
        <v>1999</v>
      </c>
      <c r="E3223" s="35" t="str">
        <f t="shared" si="765"/>
        <v>PSDP'!</v>
      </c>
      <c r="F3223" s="34" t="str">
        <f t="shared" si="766"/>
        <v>C:\Users\jaime.benazar\Quorum Business Solutions\Ecopetrol Prometeo - Documents\Planning Space Implementation\3. Analysis &amp; Design\Design\FC22\DRR Jaime\QUIFA-CAJÚA\Cajua\[CAJUA_CF_SEC_New_27-Feb-2024Rev3.xlsx]D-PSDP'!</v>
      </c>
      <c r="G3223" s="32" t="s">
        <v>117</v>
      </c>
      <c r="H3223" s="33"/>
      <c r="I3223" s="33"/>
      <c r="J3223" s="37"/>
    </row>
    <row r="3224" spans="1:10" x14ac:dyDescent="0.25">
      <c r="A3224" s="32" t="s">
        <v>102</v>
      </c>
      <c r="B3224" s="32">
        <f t="shared" si="767"/>
        <v>2053</v>
      </c>
      <c r="C3224" s="33" t="s">
        <v>42</v>
      </c>
      <c r="D3224" s="34" t="s">
        <v>1999</v>
      </c>
      <c r="E3224" s="35" t="str">
        <f t="shared" si="765"/>
        <v>PSDP'!</v>
      </c>
      <c r="F3224" s="34" t="str">
        <f t="shared" si="766"/>
        <v>C:\Users\jaime.benazar\Quorum Business Solutions\Ecopetrol Prometeo - Documents\Planning Space Implementation\3. Analysis &amp; Design\Design\FC22\DRR Jaime\QUIFA-CAJÚA\Cajua\[CAJUA_CF_SEC_New_27-Feb-2024Rev3.xlsx]D-PSDP'!</v>
      </c>
      <c r="G3224" s="32" t="s">
        <v>117</v>
      </c>
      <c r="H3224" s="33"/>
      <c r="I3224" s="33"/>
      <c r="J3224" s="37"/>
    </row>
    <row r="3225" spans="1:10" x14ac:dyDescent="0.25">
      <c r="A3225" s="32" t="s">
        <v>102</v>
      </c>
      <c r="B3225" s="32">
        <f t="shared" si="767"/>
        <v>2054</v>
      </c>
      <c r="C3225" s="33" t="s">
        <v>42</v>
      </c>
      <c r="D3225" s="34" t="s">
        <v>1999</v>
      </c>
      <c r="E3225" s="35" t="str">
        <f t="shared" si="765"/>
        <v>PSDP'!</v>
      </c>
      <c r="F3225" s="34" t="str">
        <f t="shared" si="766"/>
        <v>C:\Users\jaime.benazar\Quorum Business Solutions\Ecopetrol Prometeo - Documents\Planning Space Implementation\3. Analysis &amp; Design\Design\FC22\DRR Jaime\QUIFA-CAJÚA\Cajua\[CAJUA_CF_SEC_New_27-Feb-2024Rev3.xlsx]D-PSDP'!</v>
      </c>
      <c r="G3225" s="32" t="s">
        <v>117</v>
      </c>
      <c r="H3225" s="33"/>
      <c r="I3225" s="33"/>
      <c r="J3225" s="37"/>
    </row>
    <row r="3226" spans="1:10" x14ac:dyDescent="0.25">
      <c r="A3226" s="32" t="s">
        <v>102</v>
      </c>
      <c r="B3226" s="32">
        <f t="shared" si="767"/>
        <v>2055</v>
      </c>
      <c r="C3226" s="33" t="s">
        <v>42</v>
      </c>
      <c r="D3226" s="34" t="s">
        <v>1999</v>
      </c>
      <c r="E3226" s="35" t="str">
        <f t="shared" si="765"/>
        <v>PSDP'!</v>
      </c>
      <c r="F3226" s="34" t="str">
        <f t="shared" si="766"/>
        <v>C:\Users\jaime.benazar\Quorum Business Solutions\Ecopetrol Prometeo - Documents\Planning Space Implementation\3. Analysis &amp; Design\Design\FC22\DRR Jaime\QUIFA-CAJÚA\Cajua\[CAJUA_CF_SEC_New_27-Feb-2024Rev3.xlsx]D-PSDP'!</v>
      </c>
      <c r="G3226" s="32" t="s">
        <v>117</v>
      </c>
      <c r="H3226" s="33"/>
      <c r="I3226" s="33"/>
      <c r="J3226" s="37"/>
    </row>
    <row r="3227" spans="1:10" x14ac:dyDescent="0.25">
      <c r="A3227" s="32" t="s">
        <v>102</v>
      </c>
      <c r="B3227" s="32">
        <f t="shared" si="767"/>
        <v>2056</v>
      </c>
      <c r="C3227" s="33" t="s">
        <v>42</v>
      </c>
      <c r="D3227" s="34" t="s">
        <v>1999</v>
      </c>
      <c r="E3227" s="35" t="str">
        <f t="shared" si="765"/>
        <v>PSDP'!</v>
      </c>
      <c r="F3227" s="34" t="str">
        <f t="shared" si="766"/>
        <v>C:\Users\jaime.benazar\Quorum Business Solutions\Ecopetrol Prometeo - Documents\Planning Space Implementation\3. Analysis &amp; Design\Design\FC22\DRR Jaime\QUIFA-CAJÚA\Cajua\[CAJUA_CF_SEC_New_27-Feb-2024Rev3.xlsx]D-PSDP'!</v>
      </c>
      <c r="G3227" s="32" t="s">
        <v>117</v>
      </c>
      <c r="H3227" s="33"/>
      <c r="I3227" s="33"/>
      <c r="J3227" s="37"/>
    </row>
    <row r="3228" spans="1:10" x14ac:dyDescent="0.25">
      <c r="A3228" s="32" t="s">
        <v>102</v>
      </c>
      <c r="B3228" s="32">
        <f t="shared" si="767"/>
        <v>2057</v>
      </c>
      <c r="C3228" s="33" t="s">
        <v>42</v>
      </c>
      <c r="D3228" s="34" t="s">
        <v>1999</v>
      </c>
      <c r="E3228" s="35" t="str">
        <f t="shared" si="765"/>
        <v>PSDP'!</v>
      </c>
      <c r="F3228" s="34" t="str">
        <f t="shared" si="766"/>
        <v>C:\Users\jaime.benazar\Quorum Business Solutions\Ecopetrol Prometeo - Documents\Planning Space Implementation\3. Analysis &amp; Design\Design\FC22\DRR Jaime\QUIFA-CAJÚA\Cajua\[CAJUA_CF_SEC_New_27-Feb-2024Rev3.xlsx]D-PSDP'!</v>
      </c>
      <c r="G3228" s="32" t="s">
        <v>117</v>
      </c>
      <c r="H3228" s="33"/>
      <c r="I3228" s="33"/>
      <c r="J3228" s="37"/>
    </row>
    <row r="3229" spans="1:10" x14ac:dyDescent="0.25">
      <c r="A3229" s="32" t="s">
        <v>102</v>
      </c>
      <c r="B3229" s="32">
        <f t="shared" si="767"/>
        <v>2058</v>
      </c>
      <c r="C3229" s="33" t="s">
        <v>42</v>
      </c>
      <c r="D3229" s="34" t="s">
        <v>1999</v>
      </c>
      <c r="E3229" s="35" t="str">
        <f t="shared" si="765"/>
        <v>PSDP'!</v>
      </c>
      <c r="F3229" s="34" t="str">
        <f t="shared" si="766"/>
        <v>C:\Users\jaime.benazar\Quorum Business Solutions\Ecopetrol Prometeo - Documents\Planning Space Implementation\3. Analysis &amp; Design\Design\FC22\DRR Jaime\QUIFA-CAJÚA\Cajua\[CAJUA_CF_SEC_New_27-Feb-2024Rev3.xlsx]D-PSDP'!</v>
      </c>
      <c r="G3229" s="32" t="s">
        <v>117</v>
      </c>
      <c r="H3229" s="33"/>
      <c r="I3229" s="33"/>
      <c r="J3229" s="37"/>
    </row>
    <row r="3230" spans="1:10" x14ac:dyDescent="0.25">
      <c r="A3230" s="32" t="s">
        <v>102</v>
      </c>
      <c r="B3230" s="32">
        <f t="shared" si="767"/>
        <v>2059</v>
      </c>
      <c r="C3230" s="33" t="s">
        <v>42</v>
      </c>
      <c r="D3230" s="34" t="s">
        <v>1999</v>
      </c>
      <c r="E3230" s="35" t="str">
        <f t="shared" si="765"/>
        <v>PSDP'!</v>
      </c>
      <c r="F3230" s="34" t="str">
        <f t="shared" si="766"/>
        <v>C:\Users\jaime.benazar\Quorum Business Solutions\Ecopetrol Prometeo - Documents\Planning Space Implementation\3. Analysis &amp; Design\Design\FC22\DRR Jaime\QUIFA-CAJÚA\Cajua\[CAJUA_CF_SEC_New_27-Feb-2024Rev3.xlsx]D-PSDP'!</v>
      </c>
      <c r="G3230" s="32" t="s">
        <v>117</v>
      </c>
      <c r="H3230" s="33"/>
      <c r="I3230" s="33"/>
      <c r="J3230" s="37"/>
    </row>
    <row r="3231" spans="1:10" x14ac:dyDescent="0.25">
      <c r="A3231" s="32" t="s">
        <v>28</v>
      </c>
      <c r="B3231" s="32"/>
      <c r="C3231" s="33" t="s">
        <v>42</v>
      </c>
      <c r="D3231" s="34"/>
      <c r="E3231" s="32" t="str">
        <f t="shared" si="760"/>
        <v>Total'!</v>
      </c>
      <c r="F3231" s="33"/>
      <c r="G3231" s="32"/>
      <c r="H3231" s="33"/>
      <c r="I3231" s="33"/>
      <c r="J3231" s="33"/>
    </row>
    <row r="3232" spans="1:10" x14ac:dyDescent="0.25">
      <c r="A3232" s="32" t="s">
        <v>103</v>
      </c>
      <c r="B3232" s="32">
        <v>2023</v>
      </c>
      <c r="C3232" s="33" t="s">
        <v>42</v>
      </c>
      <c r="D3232" s="34" t="s">
        <v>1999</v>
      </c>
      <c r="E3232" s="35" t="str">
        <f t="shared" si="760"/>
        <v>PSNP'!</v>
      </c>
      <c r="F3232" s="34" t="str">
        <f t="shared" ref="F3232:F3252" si="768">_xlfn.CONCAT(D3232:E3232)</f>
        <v>C:\Users\jaime.benazar\Quorum Business Solutions\Ecopetrol Prometeo - Documents\Planning Space Implementation\3. Analysis &amp; Design\Design\FC22\DRR Jaime\QUIFA-CAJÚA\Cajua\[CAJUA_CF_SEC_New_27-Feb-2024Rev3.xlsx]D-PSNP'!</v>
      </c>
      <c r="G3232" s="32" t="s">
        <v>117</v>
      </c>
      <c r="H3232" s="33"/>
      <c r="I3232" s="33"/>
      <c r="J3232" s="37"/>
    </row>
    <row r="3233" spans="1:10" x14ac:dyDescent="0.25">
      <c r="A3233" s="32" t="s">
        <v>103</v>
      </c>
      <c r="B3233" s="32">
        <f>+B3232+1</f>
        <v>2024</v>
      </c>
      <c r="C3233" s="33" t="s">
        <v>42</v>
      </c>
      <c r="D3233" s="34" t="s">
        <v>1999</v>
      </c>
      <c r="E3233" s="35" t="str">
        <f t="shared" si="760"/>
        <v>PSNP'!</v>
      </c>
      <c r="F3233" s="34" t="str">
        <f t="shared" si="768"/>
        <v>C:\Users\jaime.benazar\Quorum Business Solutions\Ecopetrol Prometeo - Documents\Planning Space Implementation\3. Analysis &amp; Design\Design\FC22\DRR Jaime\QUIFA-CAJÚA\Cajua\[CAJUA_CF_SEC_New_27-Feb-2024Rev3.xlsx]D-PSNP'!</v>
      </c>
      <c r="G3233" s="32" t="s">
        <v>117</v>
      </c>
      <c r="H3233" s="33"/>
      <c r="I3233" s="33"/>
      <c r="J3233" s="37"/>
    </row>
    <row r="3234" spans="1:10" x14ac:dyDescent="0.25">
      <c r="A3234" s="32" t="s">
        <v>103</v>
      </c>
      <c r="B3234" s="32">
        <f t="shared" ref="B3234:B3245" si="769">+B3233+1</f>
        <v>2025</v>
      </c>
      <c r="C3234" s="33" t="s">
        <v>42</v>
      </c>
      <c r="D3234" s="34" t="s">
        <v>1999</v>
      </c>
      <c r="E3234" s="35" t="str">
        <f t="shared" si="760"/>
        <v>PSNP'!</v>
      </c>
      <c r="F3234" s="34" t="str">
        <f t="shared" si="768"/>
        <v>C:\Users\jaime.benazar\Quorum Business Solutions\Ecopetrol Prometeo - Documents\Planning Space Implementation\3. Analysis &amp; Design\Design\FC22\DRR Jaime\QUIFA-CAJÚA\Cajua\[CAJUA_CF_SEC_New_27-Feb-2024Rev3.xlsx]D-PSNP'!</v>
      </c>
      <c r="G3234" s="32" t="s">
        <v>117</v>
      </c>
      <c r="H3234" s="33"/>
      <c r="I3234" s="33"/>
      <c r="J3234" s="37"/>
    </row>
    <row r="3235" spans="1:10" x14ac:dyDescent="0.25">
      <c r="A3235" s="32" t="s">
        <v>103</v>
      </c>
      <c r="B3235" s="32">
        <f t="shared" si="769"/>
        <v>2026</v>
      </c>
      <c r="C3235" s="33" t="s">
        <v>42</v>
      </c>
      <c r="D3235" s="34" t="s">
        <v>1999</v>
      </c>
      <c r="E3235" s="35" t="str">
        <f t="shared" si="760"/>
        <v>PSNP'!</v>
      </c>
      <c r="F3235" s="34" t="str">
        <f t="shared" si="768"/>
        <v>C:\Users\jaime.benazar\Quorum Business Solutions\Ecopetrol Prometeo - Documents\Planning Space Implementation\3. Analysis &amp; Design\Design\FC22\DRR Jaime\QUIFA-CAJÚA\Cajua\[CAJUA_CF_SEC_New_27-Feb-2024Rev3.xlsx]D-PSNP'!</v>
      </c>
      <c r="G3235" s="32" t="s">
        <v>117</v>
      </c>
      <c r="H3235" s="33"/>
      <c r="I3235" s="33"/>
      <c r="J3235" s="37"/>
    </row>
    <row r="3236" spans="1:10" x14ac:dyDescent="0.25">
      <c r="A3236" s="32" t="s">
        <v>103</v>
      </c>
      <c r="B3236" s="32">
        <f t="shared" si="769"/>
        <v>2027</v>
      </c>
      <c r="C3236" s="33" t="s">
        <v>42</v>
      </c>
      <c r="D3236" s="34" t="s">
        <v>1999</v>
      </c>
      <c r="E3236" s="35" t="str">
        <f t="shared" si="760"/>
        <v>PSNP'!</v>
      </c>
      <c r="F3236" s="34" t="str">
        <f t="shared" si="768"/>
        <v>C:\Users\jaime.benazar\Quorum Business Solutions\Ecopetrol Prometeo - Documents\Planning Space Implementation\3. Analysis &amp; Design\Design\FC22\DRR Jaime\QUIFA-CAJÚA\Cajua\[CAJUA_CF_SEC_New_27-Feb-2024Rev3.xlsx]D-PSNP'!</v>
      </c>
      <c r="G3236" s="32" t="s">
        <v>117</v>
      </c>
      <c r="H3236" s="33"/>
      <c r="I3236" s="33"/>
      <c r="J3236" s="37"/>
    </row>
    <row r="3237" spans="1:10" x14ac:dyDescent="0.25">
      <c r="A3237" s="32" t="s">
        <v>103</v>
      </c>
      <c r="B3237" s="32">
        <f t="shared" si="769"/>
        <v>2028</v>
      </c>
      <c r="C3237" s="33" t="s">
        <v>42</v>
      </c>
      <c r="D3237" s="34" t="s">
        <v>1999</v>
      </c>
      <c r="E3237" s="35" t="str">
        <f t="shared" si="760"/>
        <v>PSNP'!</v>
      </c>
      <c r="F3237" s="34" t="str">
        <f t="shared" si="768"/>
        <v>C:\Users\jaime.benazar\Quorum Business Solutions\Ecopetrol Prometeo - Documents\Planning Space Implementation\3. Analysis &amp; Design\Design\FC22\DRR Jaime\QUIFA-CAJÚA\Cajua\[CAJUA_CF_SEC_New_27-Feb-2024Rev3.xlsx]D-PSNP'!</v>
      </c>
      <c r="G3237" s="32" t="s">
        <v>117</v>
      </c>
      <c r="H3237" s="33"/>
      <c r="I3237" s="33"/>
      <c r="J3237" s="37"/>
    </row>
    <row r="3238" spans="1:10" x14ac:dyDescent="0.25">
      <c r="A3238" s="32" t="s">
        <v>103</v>
      </c>
      <c r="B3238" s="32">
        <f t="shared" si="769"/>
        <v>2029</v>
      </c>
      <c r="C3238" s="33" t="s">
        <v>42</v>
      </c>
      <c r="D3238" s="34" t="s">
        <v>1999</v>
      </c>
      <c r="E3238" s="35" t="str">
        <f t="shared" si="760"/>
        <v>PSNP'!</v>
      </c>
      <c r="F3238" s="34" t="str">
        <f t="shared" si="768"/>
        <v>C:\Users\jaime.benazar\Quorum Business Solutions\Ecopetrol Prometeo - Documents\Planning Space Implementation\3. Analysis &amp; Design\Design\FC22\DRR Jaime\QUIFA-CAJÚA\Cajua\[CAJUA_CF_SEC_New_27-Feb-2024Rev3.xlsx]D-PSNP'!</v>
      </c>
      <c r="G3238" s="32" t="s">
        <v>117</v>
      </c>
      <c r="H3238" s="33"/>
      <c r="I3238" s="33"/>
      <c r="J3238" s="37"/>
    </row>
    <row r="3239" spans="1:10" x14ac:dyDescent="0.25">
      <c r="A3239" s="32" t="s">
        <v>103</v>
      </c>
      <c r="B3239" s="32">
        <f t="shared" si="769"/>
        <v>2030</v>
      </c>
      <c r="C3239" s="33" t="s">
        <v>42</v>
      </c>
      <c r="D3239" s="34" t="s">
        <v>1999</v>
      </c>
      <c r="E3239" s="35" t="str">
        <f t="shared" si="760"/>
        <v>PSNP'!</v>
      </c>
      <c r="F3239" s="34" t="str">
        <f t="shared" si="768"/>
        <v>C:\Users\jaime.benazar\Quorum Business Solutions\Ecopetrol Prometeo - Documents\Planning Space Implementation\3. Analysis &amp; Design\Design\FC22\DRR Jaime\QUIFA-CAJÚA\Cajua\[CAJUA_CF_SEC_New_27-Feb-2024Rev3.xlsx]D-PSNP'!</v>
      </c>
      <c r="G3239" s="32" t="s">
        <v>117</v>
      </c>
      <c r="H3239" s="33"/>
      <c r="I3239" s="33"/>
      <c r="J3239" s="37"/>
    </row>
    <row r="3240" spans="1:10" x14ac:dyDescent="0.25">
      <c r="A3240" s="32" t="s">
        <v>103</v>
      </c>
      <c r="B3240" s="32">
        <f t="shared" si="769"/>
        <v>2031</v>
      </c>
      <c r="C3240" s="33" t="s">
        <v>42</v>
      </c>
      <c r="D3240" s="34" t="s">
        <v>1999</v>
      </c>
      <c r="E3240" s="35" t="str">
        <f t="shared" si="760"/>
        <v>PSNP'!</v>
      </c>
      <c r="F3240" s="34" t="str">
        <f t="shared" si="768"/>
        <v>C:\Users\jaime.benazar\Quorum Business Solutions\Ecopetrol Prometeo - Documents\Planning Space Implementation\3. Analysis &amp; Design\Design\FC22\DRR Jaime\QUIFA-CAJÚA\Cajua\[CAJUA_CF_SEC_New_27-Feb-2024Rev3.xlsx]D-PSNP'!</v>
      </c>
      <c r="G3240" s="32" t="s">
        <v>117</v>
      </c>
      <c r="H3240" s="33"/>
      <c r="I3240" s="33"/>
      <c r="J3240" s="37"/>
    </row>
    <row r="3241" spans="1:10" x14ac:dyDescent="0.25">
      <c r="A3241" s="32" t="s">
        <v>103</v>
      </c>
      <c r="B3241" s="32">
        <f t="shared" si="769"/>
        <v>2032</v>
      </c>
      <c r="C3241" s="33" t="s">
        <v>42</v>
      </c>
      <c r="D3241" s="34" t="s">
        <v>1999</v>
      </c>
      <c r="E3241" s="35" t="str">
        <f t="shared" si="760"/>
        <v>PSNP'!</v>
      </c>
      <c r="F3241" s="34" t="str">
        <f t="shared" si="768"/>
        <v>C:\Users\jaime.benazar\Quorum Business Solutions\Ecopetrol Prometeo - Documents\Planning Space Implementation\3. Analysis &amp; Design\Design\FC22\DRR Jaime\QUIFA-CAJÚA\Cajua\[CAJUA_CF_SEC_New_27-Feb-2024Rev3.xlsx]D-PSNP'!</v>
      </c>
      <c r="G3241" s="32" t="s">
        <v>117</v>
      </c>
      <c r="H3241" s="33"/>
      <c r="I3241" s="33"/>
      <c r="J3241" s="37"/>
    </row>
    <row r="3242" spans="1:10" x14ac:dyDescent="0.25">
      <c r="A3242" s="32" t="s">
        <v>103</v>
      </c>
      <c r="B3242" s="32">
        <f t="shared" si="769"/>
        <v>2033</v>
      </c>
      <c r="C3242" s="33" t="s">
        <v>42</v>
      </c>
      <c r="D3242" s="34" t="s">
        <v>1999</v>
      </c>
      <c r="E3242" s="35" t="str">
        <f t="shared" si="760"/>
        <v>PSNP'!</v>
      </c>
      <c r="F3242" s="34" t="str">
        <f t="shared" si="768"/>
        <v>C:\Users\jaime.benazar\Quorum Business Solutions\Ecopetrol Prometeo - Documents\Planning Space Implementation\3. Analysis &amp; Design\Design\FC22\DRR Jaime\QUIFA-CAJÚA\Cajua\[CAJUA_CF_SEC_New_27-Feb-2024Rev3.xlsx]D-PSNP'!</v>
      </c>
      <c r="G3242" s="32" t="s">
        <v>117</v>
      </c>
      <c r="H3242" s="33"/>
      <c r="I3242" s="33"/>
      <c r="J3242" s="37"/>
    </row>
    <row r="3243" spans="1:10" x14ac:dyDescent="0.25">
      <c r="A3243" s="32" t="s">
        <v>103</v>
      </c>
      <c r="B3243" s="32">
        <f t="shared" si="769"/>
        <v>2034</v>
      </c>
      <c r="C3243" s="33" t="s">
        <v>42</v>
      </c>
      <c r="D3243" s="34" t="s">
        <v>1999</v>
      </c>
      <c r="E3243" s="35" t="str">
        <f t="shared" si="760"/>
        <v>PSNP'!</v>
      </c>
      <c r="F3243" s="34" t="str">
        <f t="shared" si="768"/>
        <v>C:\Users\jaime.benazar\Quorum Business Solutions\Ecopetrol Prometeo - Documents\Planning Space Implementation\3. Analysis &amp; Design\Design\FC22\DRR Jaime\QUIFA-CAJÚA\Cajua\[CAJUA_CF_SEC_New_27-Feb-2024Rev3.xlsx]D-PSNP'!</v>
      </c>
      <c r="G3243" s="32" t="s">
        <v>117</v>
      </c>
      <c r="H3243" s="33"/>
      <c r="I3243" s="33"/>
      <c r="J3243" s="37"/>
    </row>
    <row r="3244" spans="1:10" x14ac:dyDescent="0.25">
      <c r="A3244" s="32" t="s">
        <v>103</v>
      </c>
      <c r="B3244" s="32">
        <f t="shared" si="769"/>
        <v>2035</v>
      </c>
      <c r="C3244" s="33" t="s">
        <v>42</v>
      </c>
      <c r="D3244" s="34" t="s">
        <v>1999</v>
      </c>
      <c r="E3244" s="35" t="str">
        <f t="shared" si="760"/>
        <v>PSNP'!</v>
      </c>
      <c r="F3244" s="34" t="str">
        <f t="shared" si="768"/>
        <v>C:\Users\jaime.benazar\Quorum Business Solutions\Ecopetrol Prometeo - Documents\Planning Space Implementation\3. Analysis &amp; Design\Design\FC22\DRR Jaime\QUIFA-CAJÚA\Cajua\[CAJUA_CF_SEC_New_27-Feb-2024Rev3.xlsx]D-PSNP'!</v>
      </c>
      <c r="G3244" s="32" t="s">
        <v>117</v>
      </c>
      <c r="H3244" s="33"/>
      <c r="I3244" s="33"/>
      <c r="J3244" s="37"/>
    </row>
    <row r="3245" spans="1:10" x14ac:dyDescent="0.25">
      <c r="A3245" s="32" t="s">
        <v>103</v>
      </c>
      <c r="B3245" s="32">
        <f t="shared" si="769"/>
        <v>2036</v>
      </c>
      <c r="C3245" s="33" t="s">
        <v>42</v>
      </c>
      <c r="D3245" s="34" t="s">
        <v>1999</v>
      </c>
      <c r="E3245" s="35" t="str">
        <f t="shared" si="760"/>
        <v>PSNP'!</v>
      </c>
      <c r="F3245" s="34" t="str">
        <f t="shared" si="768"/>
        <v>C:\Users\jaime.benazar\Quorum Business Solutions\Ecopetrol Prometeo - Documents\Planning Space Implementation\3. Analysis &amp; Design\Design\FC22\DRR Jaime\QUIFA-CAJÚA\Cajua\[CAJUA_CF_SEC_New_27-Feb-2024Rev3.xlsx]D-PSNP'!</v>
      </c>
      <c r="G3245" s="32" t="s">
        <v>117</v>
      </c>
      <c r="H3245" s="33"/>
      <c r="I3245" s="33"/>
      <c r="J3245" s="37"/>
    </row>
    <row r="3246" spans="1:10" x14ac:dyDescent="0.25">
      <c r="A3246" s="32" t="s">
        <v>103</v>
      </c>
      <c r="B3246" s="32">
        <f>+B3245+1</f>
        <v>2037</v>
      </c>
      <c r="C3246" s="33" t="s">
        <v>42</v>
      </c>
      <c r="D3246" s="34" t="s">
        <v>1999</v>
      </c>
      <c r="E3246" s="35" t="str">
        <f t="shared" si="760"/>
        <v>PSNP'!</v>
      </c>
      <c r="F3246" s="34" t="str">
        <f t="shared" si="768"/>
        <v>C:\Users\jaime.benazar\Quorum Business Solutions\Ecopetrol Prometeo - Documents\Planning Space Implementation\3. Analysis &amp; Design\Design\FC22\DRR Jaime\QUIFA-CAJÚA\Cajua\[CAJUA_CF_SEC_New_27-Feb-2024Rev3.xlsx]D-PSNP'!</v>
      </c>
      <c r="G3246" s="32" t="s">
        <v>117</v>
      </c>
      <c r="H3246" s="33"/>
      <c r="I3246" s="33"/>
      <c r="J3246" s="37"/>
    </row>
    <row r="3247" spans="1:10" x14ac:dyDescent="0.25">
      <c r="A3247" s="32" t="s">
        <v>103</v>
      </c>
      <c r="B3247" s="32">
        <f t="shared" ref="B3247:B3249" si="770">+B3246+1</f>
        <v>2038</v>
      </c>
      <c r="C3247" s="33" t="s">
        <v>42</v>
      </c>
      <c r="D3247" s="34" t="s">
        <v>1999</v>
      </c>
      <c r="E3247" s="35" t="str">
        <f t="shared" si="760"/>
        <v>PSNP'!</v>
      </c>
      <c r="F3247" s="34" t="str">
        <f t="shared" si="768"/>
        <v>C:\Users\jaime.benazar\Quorum Business Solutions\Ecopetrol Prometeo - Documents\Planning Space Implementation\3. Analysis &amp; Design\Design\FC22\DRR Jaime\QUIFA-CAJÚA\Cajua\[CAJUA_CF_SEC_New_27-Feb-2024Rev3.xlsx]D-PSNP'!</v>
      </c>
      <c r="G3247" s="32" t="s">
        <v>117</v>
      </c>
      <c r="H3247" s="33"/>
      <c r="I3247" s="33"/>
      <c r="J3247" s="37"/>
    </row>
    <row r="3248" spans="1:10" x14ac:dyDescent="0.25">
      <c r="A3248" s="32" t="s">
        <v>103</v>
      </c>
      <c r="B3248" s="32">
        <f t="shared" si="770"/>
        <v>2039</v>
      </c>
      <c r="C3248" s="33" t="s">
        <v>42</v>
      </c>
      <c r="D3248" s="34" t="s">
        <v>1999</v>
      </c>
      <c r="E3248" s="35" t="str">
        <f t="shared" si="760"/>
        <v>PSNP'!</v>
      </c>
      <c r="F3248" s="34" t="str">
        <f t="shared" si="768"/>
        <v>C:\Users\jaime.benazar\Quorum Business Solutions\Ecopetrol Prometeo - Documents\Planning Space Implementation\3. Analysis &amp; Design\Design\FC22\DRR Jaime\QUIFA-CAJÚA\Cajua\[CAJUA_CF_SEC_New_27-Feb-2024Rev3.xlsx]D-PSNP'!</v>
      </c>
      <c r="G3248" s="32" t="s">
        <v>117</v>
      </c>
      <c r="H3248" s="33"/>
      <c r="I3248" s="33"/>
      <c r="J3248" s="37"/>
    </row>
    <row r="3249" spans="1:10" x14ac:dyDescent="0.25">
      <c r="A3249" s="32" t="s">
        <v>103</v>
      </c>
      <c r="B3249" s="32">
        <f t="shared" si="770"/>
        <v>2040</v>
      </c>
      <c r="C3249" s="33" t="s">
        <v>42</v>
      </c>
      <c r="D3249" s="34" t="s">
        <v>1999</v>
      </c>
      <c r="E3249" s="35" t="str">
        <f t="shared" si="760"/>
        <v>PSNP'!</v>
      </c>
      <c r="F3249" s="34" t="str">
        <f t="shared" si="768"/>
        <v>C:\Users\jaime.benazar\Quorum Business Solutions\Ecopetrol Prometeo - Documents\Planning Space Implementation\3. Analysis &amp; Design\Design\FC22\DRR Jaime\QUIFA-CAJÚA\Cajua\[CAJUA_CF_SEC_New_27-Feb-2024Rev3.xlsx]D-PSNP'!</v>
      </c>
      <c r="G3249" s="32" t="s">
        <v>117</v>
      </c>
      <c r="H3249" s="33"/>
      <c r="I3249" s="33"/>
      <c r="J3249" s="37"/>
    </row>
    <row r="3250" spans="1:10" x14ac:dyDescent="0.25">
      <c r="A3250" s="32" t="s">
        <v>103</v>
      </c>
      <c r="B3250" s="32">
        <f>+B3249+1</f>
        <v>2041</v>
      </c>
      <c r="C3250" s="33" t="s">
        <v>42</v>
      </c>
      <c r="D3250" s="34" t="s">
        <v>1999</v>
      </c>
      <c r="E3250" s="35" t="str">
        <f t="shared" si="760"/>
        <v>PSNP'!</v>
      </c>
      <c r="F3250" s="34" t="str">
        <f t="shared" si="768"/>
        <v>C:\Users\jaime.benazar\Quorum Business Solutions\Ecopetrol Prometeo - Documents\Planning Space Implementation\3. Analysis &amp; Design\Design\FC22\DRR Jaime\QUIFA-CAJÚA\Cajua\[CAJUA_CF_SEC_New_27-Feb-2024Rev3.xlsx]D-PSNP'!</v>
      </c>
      <c r="G3250" s="32" t="s">
        <v>117</v>
      </c>
      <c r="H3250" s="33"/>
      <c r="I3250" s="33"/>
      <c r="J3250" s="37"/>
    </row>
    <row r="3251" spans="1:10" x14ac:dyDescent="0.25">
      <c r="A3251" s="32" t="s">
        <v>103</v>
      </c>
      <c r="B3251" s="32">
        <f t="shared" ref="B3251:B3252" si="771">+B3250+1</f>
        <v>2042</v>
      </c>
      <c r="C3251" s="33" t="s">
        <v>42</v>
      </c>
      <c r="D3251" s="34" t="s">
        <v>1999</v>
      </c>
      <c r="E3251" s="35" t="str">
        <f t="shared" si="760"/>
        <v>PSNP'!</v>
      </c>
      <c r="F3251" s="34" t="str">
        <f t="shared" si="768"/>
        <v>C:\Users\jaime.benazar\Quorum Business Solutions\Ecopetrol Prometeo - Documents\Planning Space Implementation\3. Analysis &amp; Design\Design\FC22\DRR Jaime\QUIFA-CAJÚA\Cajua\[CAJUA_CF_SEC_New_27-Feb-2024Rev3.xlsx]D-PSNP'!</v>
      </c>
      <c r="G3251" s="32" t="s">
        <v>117</v>
      </c>
      <c r="H3251" s="33"/>
      <c r="I3251" s="33"/>
      <c r="J3251" s="37"/>
    </row>
    <row r="3252" spans="1:10" x14ac:dyDescent="0.25">
      <c r="A3252" s="32" t="s">
        <v>103</v>
      </c>
      <c r="B3252" s="32">
        <f t="shared" si="771"/>
        <v>2043</v>
      </c>
      <c r="C3252" s="33" t="s">
        <v>42</v>
      </c>
      <c r="D3252" s="34" t="s">
        <v>1999</v>
      </c>
      <c r="E3252" s="35" t="str">
        <f t="shared" si="760"/>
        <v>PSNP'!</v>
      </c>
      <c r="F3252" s="34" t="str">
        <f t="shared" si="768"/>
        <v>C:\Users\jaime.benazar\Quorum Business Solutions\Ecopetrol Prometeo - Documents\Planning Space Implementation\3. Analysis &amp; Design\Design\FC22\DRR Jaime\QUIFA-CAJÚA\Cajua\[CAJUA_CF_SEC_New_27-Feb-2024Rev3.xlsx]D-PSNP'!</v>
      </c>
      <c r="G3252" s="32" t="s">
        <v>117</v>
      </c>
      <c r="H3252" s="33"/>
      <c r="I3252" s="33"/>
      <c r="J3252" s="37"/>
    </row>
    <row r="3253" spans="1:10" x14ac:dyDescent="0.25">
      <c r="A3253" s="32" t="s">
        <v>103</v>
      </c>
      <c r="B3253" s="32">
        <f>+B3252+1</f>
        <v>2044</v>
      </c>
      <c r="C3253" s="33" t="s">
        <v>42</v>
      </c>
      <c r="D3253" s="34" t="s">
        <v>1999</v>
      </c>
      <c r="E3253" s="35" t="str">
        <f t="shared" ref="E3253:E3268" si="772">_xlfn.CONCAT(A3253,"'!")</f>
        <v>PSNP'!</v>
      </c>
      <c r="F3253" s="34" t="str">
        <f t="shared" ref="F3253:F3268" si="773">_xlfn.CONCAT(D3253:E3253)</f>
        <v>C:\Users\jaime.benazar\Quorum Business Solutions\Ecopetrol Prometeo - Documents\Planning Space Implementation\3. Analysis &amp; Design\Design\FC22\DRR Jaime\QUIFA-CAJÚA\Cajua\[CAJUA_CF_SEC_New_27-Feb-2024Rev3.xlsx]D-PSNP'!</v>
      </c>
      <c r="G3253" s="32" t="s">
        <v>117</v>
      </c>
      <c r="H3253" s="33"/>
      <c r="I3253" s="33"/>
      <c r="J3253" s="37"/>
    </row>
    <row r="3254" spans="1:10" x14ac:dyDescent="0.25">
      <c r="A3254" s="32" t="s">
        <v>103</v>
      </c>
      <c r="B3254" s="32">
        <f t="shared" ref="B3254:B3268" si="774">+B3253+1</f>
        <v>2045</v>
      </c>
      <c r="C3254" s="33" t="s">
        <v>42</v>
      </c>
      <c r="D3254" s="34" t="s">
        <v>1999</v>
      </c>
      <c r="E3254" s="35" t="str">
        <f t="shared" si="772"/>
        <v>PSNP'!</v>
      </c>
      <c r="F3254" s="34" t="str">
        <f t="shared" si="773"/>
        <v>C:\Users\jaime.benazar\Quorum Business Solutions\Ecopetrol Prometeo - Documents\Planning Space Implementation\3. Analysis &amp; Design\Design\FC22\DRR Jaime\QUIFA-CAJÚA\Cajua\[CAJUA_CF_SEC_New_27-Feb-2024Rev3.xlsx]D-PSNP'!</v>
      </c>
      <c r="G3254" s="32" t="s">
        <v>117</v>
      </c>
      <c r="H3254" s="33"/>
      <c r="I3254" s="33"/>
      <c r="J3254" s="37"/>
    </row>
    <row r="3255" spans="1:10" x14ac:dyDescent="0.25">
      <c r="A3255" s="32" t="s">
        <v>103</v>
      </c>
      <c r="B3255" s="32">
        <f t="shared" si="774"/>
        <v>2046</v>
      </c>
      <c r="C3255" s="33" t="s">
        <v>42</v>
      </c>
      <c r="D3255" s="34" t="s">
        <v>1999</v>
      </c>
      <c r="E3255" s="35" t="str">
        <f t="shared" si="772"/>
        <v>PSNP'!</v>
      </c>
      <c r="F3255" s="34" t="str">
        <f t="shared" si="773"/>
        <v>C:\Users\jaime.benazar\Quorum Business Solutions\Ecopetrol Prometeo - Documents\Planning Space Implementation\3. Analysis &amp; Design\Design\FC22\DRR Jaime\QUIFA-CAJÚA\Cajua\[CAJUA_CF_SEC_New_27-Feb-2024Rev3.xlsx]D-PSNP'!</v>
      </c>
      <c r="G3255" s="32" t="s">
        <v>117</v>
      </c>
      <c r="H3255" s="33"/>
      <c r="I3255" s="33"/>
      <c r="J3255" s="37"/>
    </row>
    <row r="3256" spans="1:10" x14ac:dyDescent="0.25">
      <c r="A3256" s="32" t="s">
        <v>103</v>
      </c>
      <c r="B3256" s="32">
        <f t="shared" si="774"/>
        <v>2047</v>
      </c>
      <c r="C3256" s="33" t="s">
        <v>42</v>
      </c>
      <c r="D3256" s="34" t="s">
        <v>1999</v>
      </c>
      <c r="E3256" s="35" t="str">
        <f t="shared" si="772"/>
        <v>PSNP'!</v>
      </c>
      <c r="F3256" s="34" t="str">
        <f t="shared" si="773"/>
        <v>C:\Users\jaime.benazar\Quorum Business Solutions\Ecopetrol Prometeo - Documents\Planning Space Implementation\3. Analysis &amp; Design\Design\FC22\DRR Jaime\QUIFA-CAJÚA\Cajua\[CAJUA_CF_SEC_New_27-Feb-2024Rev3.xlsx]D-PSNP'!</v>
      </c>
      <c r="G3256" s="32" t="s">
        <v>117</v>
      </c>
      <c r="H3256" s="33"/>
      <c r="I3256" s="33"/>
      <c r="J3256" s="37"/>
    </row>
    <row r="3257" spans="1:10" x14ac:dyDescent="0.25">
      <c r="A3257" s="32" t="s">
        <v>103</v>
      </c>
      <c r="B3257" s="32">
        <f t="shared" si="774"/>
        <v>2048</v>
      </c>
      <c r="C3257" s="33" t="s">
        <v>42</v>
      </c>
      <c r="D3257" s="34" t="s">
        <v>1999</v>
      </c>
      <c r="E3257" s="35" t="str">
        <f t="shared" si="772"/>
        <v>PSNP'!</v>
      </c>
      <c r="F3257" s="34" t="str">
        <f t="shared" si="773"/>
        <v>C:\Users\jaime.benazar\Quorum Business Solutions\Ecopetrol Prometeo - Documents\Planning Space Implementation\3. Analysis &amp; Design\Design\FC22\DRR Jaime\QUIFA-CAJÚA\Cajua\[CAJUA_CF_SEC_New_27-Feb-2024Rev3.xlsx]D-PSNP'!</v>
      </c>
      <c r="G3257" s="32" t="s">
        <v>117</v>
      </c>
      <c r="H3257" s="33"/>
      <c r="I3257" s="33"/>
      <c r="J3257" s="37"/>
    </row>
    <row r="3258" spans="1:10" x14ac:dyDescent="0.25">
      <c r="A3258" s="32" t="s">
        <v>103</v>
      </c>
      <c r="B3258" s="32">
        <f t="shared" si="774"/>
        <v>2049</v>
      </c>
      <c r="C3258" s="33" t="s">
        <v>42</v>
      </c>
      <c r="D3258" s="34" t="s">
        <v>1999</v>
      </c>
      <c r="E3258" s="35" t="str">
        <f t="shared" si="772"/>
        <v>PSNP'!</v>
      </c>
      <c r="F3258" s="34" t="str">
        <f t="shared" si="773"/>
        <v>C:\Users\jaime.benazar\Quorum Business Solutions\Ecopetrol Prometeo - Documents\Planning Space Implementation\3. Analysis &amp; Design\Design\FC22\DRR Jaime\QUIFA-CAJÚA\Cajua\[CAJUA_CF_SEC_New_27-Feb-2024Rev3.xlsx]D-PSNP'!</v>
      </c>
      <c r="G3258" s="32" t="s">
        <v>117</v>
      </c>
      <c r="H3258" s="33"/>
      <c r="I3258" s="33"/>
      <c r="J3258" s="37"/>
    </row>
    <row r="3259" spans="1:10" x14ac:dyDescent="0.25">
      <c r="A3259" s="32" t="s">
        <v>103</v>
      </c>
      <c r="B3259" s="32">
        <f t="shared" si="774"/>
        <v>2050</v>
      </c>
      <c r="C3259" s="33" t="s">
        <v>42</v>
      </c>
      <c r="D3259" s="34" t="s">
        <v>1999</v>
      </c>
      <c r="E3259" s="35" t="str">
        <f t="shared" si="772"/>
        <v>PSNP'!</v>
      </c>
      <c r="F3259" s="34" t="str">
        <f t="shared" si="773"/>
        <v>C:\Users\jaime.benazar\Quorum Business Solutions\Ecopetrol Prometeo - Documents\Planning Space Implementation\3. Analysis &amp; Design\Design\FC22\DRR Jaime\QUIFA-CAJÚA\Cajua\[CAJUA_CF_SEC_New_27-Feb-2024Rev3.xlsx]D-PSNP'!</v>
      </c>
      <c r="G3259" s="32" t="s">
        <v>117</v>
      </c>
      <c r="H3259" s="33"/>
      <c r="I3259" s="33"/>
      <c r="J3259" s="37"/>
    </row>
    <row r="3260" spans="1:10" x14ac:dyDescent="0.25">
      <c r="A3260" s="32" t="s">
        <v>103</v>
      </c>
      <c r="B3260" s="32">
        <f t="shared" si="774"/>
        <v>2051</v>
      </c>
      <c r="C3260" s="33" t="s">
        <v>42</v>
      </c>
      <c r="D3260" s="34" t="s">
        <v>1999</v>
      </c>
      <c r="E3260" s="35" t="str">
        <f t="shared" si="772"/>
        <v>PSNP'!</v>
      </c>
      <c r="F3260" s="34" t="str">
        <f t="shared" si="773"/>
        <v>C:\Users\jaime.benazar\Quorum Business Solutions\Ecopetrol Prometeo - Documents\Planning Space Implementation\3. Analysis &amp; Design\Design\FC22\DRR Jaime\QUIFA-CAJÚA\Cajua\[CAJUA_CF_SEC_New_27-Feb-2024Rev3.xlsx]D-PSNP'!</v>
      </c>
      <c r="G3260" s="32" t="s">
        <v>117</v>
      </c>
      <c r="H3260" s="33"/>
      <c r="I3260" s="33"/>
      <c r="J3260" s="37"/>
    </row>
    <row r="3261" spans="1:10" x14ac:dyDescent="0.25">
      <c r="A3261" s="32" t="s">
        <v>103</v>
      </c>
      <c r="B3261" s="32">
        <f t="shared" si="774"/>
        <v>2052</v>
      </c>
      <c r="C3261" s="33" t="s">
        <v>42</v>
      </c>
      <c r="D3261" s="34" t="s">
        <v>1999</v>
      </c>
      <c r="E3261" s="35" t="str">
        <f t="shared" si="772"/>
        <v>PSNP'!</v>
      </c>
      <c r="F3261" s="34" t="str">
        <f t="shared" si="773"/>
        <v>C:\Users\jaime.benazar\Quorum Business Solutions\Ecopetrol Prometeo - Documents\Planning Space Implementation\3. Analysis &amp; Design\Design\FC22\DRR Jaime\QUIFA-CAJÚA\Cajua\[CAJUA_CF_SEC_New_27-Feb-2024Rev3.xlsx]D-PSNP'!</v>
      </c>
      <c r="G3261" s="32" t="s">
        <v>117</v>
      </c>
      <c r="H3261" s="33"/>
      <c r="I3261" s="33"/>
      <c r="J3261" s="37"/>
    </row>
    <row r="3262" spans="1:10" x14ac:dyDescent="0.25">
      <c r="A3262" s="32" t="s">
        <v>103</v>
      </c>
      <c r="B3262" s="32">
        <f t="shared" si="774"/>
        <v>2053</v>
      </c>
      <c r="C3262" s="33" t="s">
        <v>42</v>
      </c>
      <c r="D3262" s="34" t="s">
        <v>1999</v>
      </c>
      <c r="E3262" s="35" t="str">
        <f t="shared" si="772"/>
        <v>PSNP'!</v>
      </c>
      <c r="F3262" s="34" t="str">
        <f t="shared" si="773"/>
        <v>C:\Users\jaime.benazar\Quorum Business Solutions\Ecopetrol Prometeo - Documents\Planning Space Implementation\3. Analysis &amp; Design\Design\FC22\DRR Jaime\QUIFA-CAJÚA\Cajua\[CAJUA_CF_SEC_New_27-Feb-2024Rev3.xlsx]D-PSNP'!</v>
      </c>
      <c r="G3262" s="32" t="s">
        <v>117</v>
      </c>
      <c r="H3262" s="33"/>
      <c r="I3262" s="33"/>
      <c r="J3262" s="37"/>
    </row>
    <row r="3263" spans="1:10" x14ac:dyDescent="0.25">
      <c r="A3263" s="32" t="s">
        <v>103</v>
      </c>
      <c r="B3263" s="32">
        <f t="shared" si="774"/>
        <v>2054</v>
      </c>
      <c r="C3263" s="33" t="s">
        <v>42</v>
      </c>
      <c r="D3263" s="34" t="s">
        <v>1999</v>
      </c>
      <c r="E3263" s="35" t="str">
        <f t="shared" si="772"/>
        <v>PSNP'!</v>
      </c>
      <c r="F3263" s="34" t="str">
        <f t="shared" si="773"/>
        <v>C:\Users\jaime.benazar\Quorum Business Solutions\Ecopetrol Prometeo - Documents\Planning Space Implementation\3. Analysis &amp; Design\Design\FC22\DRR Jaime\QUIFA-CAJÚA\Cajua\[CAJUA_CF_SEC_New_27-Feb-2024Rev3.xlsx]D-PSNP'!</v>
      </c>
      <c r="G3263" s="32" t="s">
        <v>117</v>
      </c>
      <c r="H3263" s="33"/>
      <c r="I3263" s="33"/>
      <c r="J3263" s="37"/>
    </row>
    <row r="3264" spans="1:10" x14ac:dyDescent="0.25">
      <c r="A3264" s="32" t="s">
        <v>103</v>
      </c>
      <c r="B3264" s="32">
        <f t="shared" si="774"/>
        <v>2055</v>
      </c>
      <c r="C3264" s="33" t="s">
        <v>42</v>
      </c>
      <c r="D3264" s="34" t="s">
        <v>1999</v>
      </c>
      <c r="E3264" s="35" t="str">
        <f t="shared" si="772"/>
        <v>PSNP'!</v>
      </c>
      <c r="F3264" s="34" t="str">
        <f t="shared" si="773"/>
        <v>C:\Users\jaime.benazar\Quorum Business Solutions\Ecopetrol Prometeo - Documents\Planning Space Implementation\3. Analysis &amp; Design\Design\FC22\DRR Jaime\QUIFA-CAJÚA\Cajua\[CAJUA_CF_SEC_New_27-Feb-2024Rev3.xlsx]D-PSNP'!</v>
      </c>
      <c r="G3264" s="32" t="s">
        <v>117</v>
      </c>
      <c r="H3264" s="33"/>
      <c r="I3264" s="33"/>
      <c r="J3264" s="37"/>
    </row>
    <row r="3265" spans="1:10" x14ac:dyDescent="0.25">
      <c r="A3265" s="32" t="s">
        <v>103</v>
      </c>
      <c r="B3265" s="32">
        <f t="shared" si="774"/>
        <v>2056</v>
      </c>
      <c r="C3265" s="33" t="s">
        <v>42</v>
      </c>
      <c r="D3265" s="34" t="s">
        <v>1999</v>
      </c>
      <c r="E3265" s="35" t="str">
        <f t="shared" si="772"/>
        <v>PSNP'!</v>
      </c>
      <c r="F3265" s="34" t="str">
        <f t="shared" si="773"/>
        <v>C:\Users\jaime.benazar\Quorum Business Solutions\Ecopetrol Prometeo - Documents\Planning Space Implementation\3. Analysis &amp; Design\Design\FC22\DRR Jaime\QUIFA-CAJÚA\Cajua\[CAJUA_CF_SEC_New_27-Feb-2024Rev3.xlsx]D-PSNP'!</v>
      </c>
      <c r="G3265" s="32" t="s">
        <v>117</v>
      </c>
      <c r="H3265" s="33"/>
      <c r="I3265" s="33"/>
      <c r="J3265" s="37"/>
    </row>
    <row r="3266" spans="1:10" x14ac:dyDescent="0.25">
      <c r="A3266" s="32" t="s">
        <v>103</v>
      </c>
      <c r="B3266" s="32">
        <f t="shared" si="774"/>
        <v>2057</v>
      </c>
      <c r="C3266" s="33" t="s">
        <v>42</v>
      </c>
      <c r="D3266" s="34" t="s">
        <v>1999</v>
      </c>
      <c r="E3266" s="35" t="str">
        <f t="shared" si="772"/>
        <v>PSNP'!</v>
      </c>
      <c r="F3266" s="34" t="str">
        <f t="shared" si="773"/>
        <v>C:\Users\jaime.benazar\Quorum Business Solutions\Ecopetrol Prometeo - Documents\Planning Space Implementation\3. Analysis &amp; Design\Design\FC22\DRR Jaime\QUIFA-CAJÚA\Cajua\[CAJUA_CF_SEC_New_27-Feb-2024Rev3.xlsx]D-PSNP'!</v>
      </c>
      <c r="G3266" s="32" t="s">
        <v>117</v>
      </c>
      <c r="H3266" s="33"/>
      <c r="I3266" s="33"/>
      <c r="J3266" s="37"/>
    </row>
    <row r="3267" spans="1:10" x14ac:dyDescent="0.25">
      <c r="A3267" s="32" t="s">
        <v>103</v>
      </c>
      <c r="B3267" s="32">
        <f t="shared" si="774"/>
        <v>2058</v>
      </c>
      <c r="C3267" s="33" t="s">
        <v>42</v>
      </c>
      <c r="D3267" s="34" t="s">
        <v>1999</v>
      </c>
      <c r="E3267" s="35" t="str">
        <f t="shared" si="772"/>
        <v>PSNP'!</v>
      </c>
      <c r="F3267" s="34" t="str">
        <f t="shared" si="773"/>
        <v>C:\Users\jaime.benazar\Quorum Business Solutions\Ecopetrol Prometeo - Documents\Planning Space Implementation\3. Analysis &amp; Design\Design\FC22\DRR Jaime\QUIFA-CAJÚA\Cajua\[CAJUA_CF_SEC_New_27-Feb-2024Rev3.xlsx]D-PSNP'!</v>
      </c>
      <c r="G3267" s="32" t="s">
        <v>117</v>
      </c>
      <c r="H3267" s="33"/>
      <c r="I3267" s="33"/>
      <c r="J3267" s="37"/>
    </row>
    <row r="3268" spans="1:10" x14ac:dyDescent="0.25">
      <c r="A3268" s="32" t="s">
        <v>103</v>
      </c>
      <c r="B3268" s="32">
        <f t="shared" si="774"/>
        <v>2059</v>
      </c>
      <c r="C3268" s="33" t="s">
        <v>42</v>
      </c>
      <c r="D3268" s="34" t="s">
        <v>1999</v>
      </c>
      <c r="E3268" s="35" t="str">
        <f t="shared" si="772"/>
        <v>PSNP'!</v>
      </c>
      <c r="F3268" s="34" t="str">
        <f t="shared" si="773"/>
        <v>C:\Users\jaime.benazar\Quorum Business Solutions\Ecopetrol Prometeo - Documents\Planning Space Implementation\3. Analysis &amp; Design\Design\FC22\DRR Jaime\QUIFA-CAJÚA\Cajua\[CAJUA_CF_SEC_New_27-Feb-2024Rev3.xlsx]D-PSNP'!</v>
      </c>
      <c r="G3268" s="32" t="s">
        <v>117</v>
      </c>
      <c r="H3268" s="33"/>
      <c r="I3268" s="33"/>
      <c r="J3268" s="37"/>
    </row>
    <row r="3269" spans="1:10" x14ac:dyDescent="0.25">
      <c r="A3269" s="32" t="s">
        <v>28</v>
      </c>
      <c r="B3269" s="32"/>
      <c r="C3269" s="33" t="s">
        <v>42</v>
      </c>
      <c r="D3269" s="34"/>
      <c r="E3269" s="32" t="str">
        <f t="shared" si="760"/>
        <v>Total'!</v>
      </c>
      <c r="F3269" s="33"/>
      <c r="G3269" s="32"/>
      <c r="H3269" s="33"/>
      <c r="I3269" s="33"/>
      <c r="J3269" s="33"/>
    </row>
    <row r="3270" spans="1:10" x14ac:dyDescent="0.25">
      <c r="A3270" s="32" t="s">
        <v>104</v>
      </c>
      <c r="B3270" s="32">
        <v>2023</v>
      </c>
      <c r="C3270" s="33" t="s">
        <v>42</v>
      </c>
      <c r="D3270" s="34" t="s">
        <v>1999</v>
      </c>
      <c r="E3270" s="35" t="str">
        <f t="shared" si="760"/>
        <v>PSND'!</v>
      </c>
      <c r="F3270" s="34" t="str">
        <f t="shared" ref="F3270:F3290" si="775">_xlfn.CONCAT(D3270:E3270)</f>
        <v>C:\Users\jaime.benazar\Quorum Business Solutions\Ecopetrol Prometeo - Documents\Planning Space Implementation\3. Analysis &amp; Design\Design\FC22\DRR Jaime\QUIFA-CAJÚA\Cajua\[CAJUA_CF_SEC_New_27-Feb-2024Rev3.xlsx]D-PSND'!</v>
      </c>
      <c r="G3270" s="32" t="s">
        <v>117</v>
      </c>
      <c r="H3270" s="33"/>
      <c r="I3270" s="33"/>
      <c r="J3270" s="37"/>
    </row>
    <row r="3271" spans="1:10" x14ac:dyDescent="0.25">
      <c r="A3271" s="32" t="s">
        <v>104</v>
      </c>
      <c r="B3271" s="32">
        <f>+B3270+1</f>
        <v>2024</v>
      </c>
      <c r="C3271" s="33" t="s">
        <v>42</v>
      </c>
      <c r="D3271" s="34" t="s">
        <v>1999</v>
      </c>
      <c r="E3271" s="35" t="str">
        <f t="shared" si="760"/>
        <v>PSND'!</v>
      </c>
      <c r="F3271" s="34" t="str">
        <f t="shared" si="775"/>
        <v>C:\Users\jaime.benazar\Quorum Business Solutions\Ecopetrol Prometeo - Documents\Planning Space Implementation\3. Analysis &amp; Design\Design\FC22\DRR Jaime\QUIFA-CAJÚA\Cajua\[CAJUA_CF_SEC_New_27-Feb-2024Rev3.xlsx]D-PSND'!</v>
      </c>
      <c r="G3271" s="32" t="s">
        <v>117</v>
      </c>
      <c r="H3271" s="33"/>
      <c r="I3271" s="33"/>
      <c r="J3271" s="37"/>
    </row>
    <row r="3272" spans="1:10" x14ac:dyDescent="0.25">
      <c r="A3272" s="32" t="s">
        <v>104</v>
      </c>
      <c r="B3272" s="32">
        <f t="shared" ref="B3272:B3283" si="776">+B3271+1</f>
        <v>2025</v>
      </c>
      <c r="C3272" s="33" t="s">
        <v>42</v>
      </c>
      <c r="D3272" s="34" t="s">
        <v>1999</v>
      </c>
      <c r="E3272" s="35" t="str">
        <f t="shared" si="760"/>
        <v>PSND'!</v>
      </c>
      <c r="F3272" s="34" t="str">
        <f t="shared" si="775"/>
        <v>C:\Users\jaime.benazar\Quorum Business Solutions\Ecopetrol Prometeo - Documents\Planning Space Implementation\3. Analysis &amp; Design\Design\FC22\DRR Jaime\QUIFA-CAJÚA\Cajua\[CAJUA_CF_SEC_New_27-Feb-2024Rev3.xlsx]D-PSND'!</v>
      </c>
      <c r="G3272" s="32" t="s">
        <v>117</v>
      </c>
      <c r="H3272" s="33"/>
      <c r="I3272" s="33"/>
      <c r="J3272" s="37"/>
    </row>
    <row r="3273" spans="1:10" x14ac:dyDescent="0.25">
      <c r="A3273" s="32" t="s">
        <v>104</v>
      </c>
      <c r="B3273" s="32">
        <f t="shared" si="776"/>
        <v>2026</v>
      </c>
      <c r="C3273" s="33" t="s">
        <v>42</v>
      </c>
      <c r="D3273" s="34" t="s">
        <v>1999</v>
      </c>
      <c r="E3273" s="35" t="str">
        <f t="shared" si="760"/>
        <v>PSND'!</v>
      </c>
      <c r="F3273" s="34" t="str">
        <f t="shared" si="775"/>
        <v>C:\Users\jaime.benazar\Quorum Business Solutions\Ecopetrol Prometeo - Documents\Planning Space Implementation\3. Analysis &amp; Design\Design\FC22\DRR Jaime\QUIFA-CAJÚA\Cajua\[CAJUA_CF_SEC_New_27-Feb-2024Rev3.xlsx]D-PSND'!</v>
      </c>
      <c r="G3273" s="32" t="s">
        <v>117</v>
      </c>
      <c r="H3273" s="33"/>
      <c r="I3273" s="33"/>
      <c r="J3273" s="37"/>
    </row>
    <row r="3274" spans="1:10" x14ac:dyDescent="0.25">
      <c r="A3274" s="32" t="s">
        <v>104</v>
      </c>
      <c r="B3274" s="32">
        <f t="shared" si="776"/>
        <v>2027</v>
      </c>
      <c r="C3274" s="33" t="s">
        <v>42</v>
      </c>
      <c r="D3274" s="34" t="s">
        <v>1999</v>
      </c>
      <c r="E3274" s="35" t="str">
        <f t="shared" si="760"/>
        <v>PSND'!</v>
      </c>
      <c r="F3274" s="34" t="str">
        <f t="shared" si="775"/>
        <v>C:\Users\jaime.benazar\Quorum Business Solutions\Ecopetrol Prometeo - Documents\Planning Space Implementation\3. Analysis &amp; Design\Design\FC22\DRR Jaime\QUIFA-CAJÚA\Cajua\[CAJUA_CF_SEC_New_27-Feb-2024Rev3.xlsx]D-PSND'!</v>
      </c>
      <c r="G3274" s="32" t="s">
        <v>117</v>
      </c>
      <c r="H3274" s="33"/>
      <c r="I3274" s="33"/>
      <c r="J3274" s="37"/>
    </row>
    <row r="3275" spans="1:10" x14ac:dyDescent="0.25">
      <c r="A3275" s="32" t="s">
        <v>104</v>
      </c>
      <c r="B3275" s="32">
        <f t="shared" si="776"/>
        <v>2028</v>
      </c>
      <c r="C3275" s="33" t="s">
        <v>42</v>
      </c>
      <c r="D3275" s="34" t="s">
        <v>1999</v>
      </c>
      <c r="E3275" s="35" t="str">
        <f t="shared" si="760"/>
        <v>PSND'!</v>
      </c>
      <c r="F3275" s="34" t="str">
        <f t="shared" si="775"/>
        <v>C:\Users\jaime.benazar\Quorum Business Solutions\Ecopetrol Prometeo - Documents\Planning Space Implementation\3. Analysis &amp; Design\Design\FC22\DRR Jaime\QUIFA-CAJÚA\Cajua\[CAJUA_CF_SEC_New_27-Feb-2024Rev3.xlsx]D-PSND'!</v>
      </c>
      <c r="G3275" s="32" t="s">
        <v>117</v>
      </c>
      <c r="H3275" s="33"/>
      <c r="I3275" s="33"/>
      <c r="J3275" s="37"/>
    </row>
    <row r="3276" spans="1:10" x14ac:dyDescent="0.25">
      <c r="A3276" s="32" t="s">
        <v>104</v>
      </c>
      <c r="B3276" s="32">
        <f t="shared" si="776"/>
        <v>2029</v>
      </c>
      <c r="C3276" s="33" t="s">
        <v>42</v>
      </c>
      <c r="D3276" s="34" t="s">
        <v>1999</v>
      </c>
      <c r="E3276" s="35" t="str">
        <f t="shared" si="760"/>
        <v>PSND'!</v>
      </c>
      <c r="F3276" s="34" t="str">
        <f t="shared" si="775"/>
        <v>C:\Users\jaime.benazar\Quorum Business Solutions\Ecopetrol Prometeo - Documents\Planning Space Implementation\3. Analysis &amp; Design\Design\FC22\DRR Jaime\QUIFA-CAJÚA\Cajua\[CAJUA_CF_SEC_New_27-Feb-2024Rev3.xlsx]D-PSND'!</v>
      </c>
      <c r="G3276" s="32" t="s">
        <v>117</v>
      </c>
      <c r="H3276" s="33"/>
      <c r="I3276" s="33"/>
      <c r="J3276" s="37"/>
    </row>
    <row r="3277" spans="1:10" x14ac:dyDescent="0.25">
      <c r="A3277" s="32" t="s">
        <v>104</v>
      </c>
      <c r="B3277" s="32">
        <f t="shared" si="776"/>
        <v>2030</v>
      </c>
      <c r="C3277" s="33" t="s">
        <v>42</v>
      </c>
      <c r="D3277" s="34" t="s">
        <v>1999</v>
      </c>
      <c r="E3277" s="35" t="str">
        <f t="shared" si="760"/>
        <v>PSND'!</v>
      </c>
      <c r="F3277" s="34" t="str">
        <f t="shared" si="775"/>
        <v>C:\Users\jaime.benazar\Quorum Business Solutions\Ecopetrol Prometeo - Documents\Planning Space Implementation\3. Analysis &amp; Design\Design\FC22\DRR Jaime\QUIFA-CAJÚA\Cajua\[CAJUA_CF_SEC_New_27-Feb-2024Rev3.xlsx]D-PSND'!</v>
      </c>
      <c r="G3277" s="32" t="s">
        <v>117</v>
      </c>
      <c r="H3277" s="33"/>
      <c r="I3277" s="33"/>
      <c r="J3277" s="37"/>
    </row>
    <row r="3278" spans="1:10" x14ac:dyDescent="0.25">
      <c r="A3278" s="32" t="s">
        <v>104</v>
      </c>
      <c r="B3278" s="32">
        <f t="shared" si="776"/>
        <v>2031</v>
      </c>
      <c r="C3278" s="33" t="s">
        <v>42</v>
      </c>
      <c r="D3278" s="34" t="s">
        <v>1999</v>
      </c>
      <c r="E3278" s="35" t="str">
        <f t="shared" si="760"/>
        <v>PSND'!</v>
      </c>
      <c r="F3278" s="34" t="str">
        <f t="shared" si="775"/>
        <v>C:\Users\jaime.benazar\Quorum Business Solutions\Ecopetrol Prometeo - Documents\Planning Space Implementation\3. Analysis &amp; Design\Design\FC22\DRR Jaime\QUIFA-CAJÚA\Cajua\[CAJUA_CF_SEC_New_27-Feb-2024Rev3.xlsx]D-PSND'!</v>
      </c>
      <c r="G3278" s="32" t="s">
        <v>117</v>
      </c>
      <c r="H3278" s="33"/>
      <c r="I3278" s="33"/>
      <c r="J3278" s="37"/>
    </row>
    <row r="3279" spans="1:10" x14ac:dyDescent="0.25">
      <c r="A3279" s="32" t="s">
        <v>104</v>
      </c>
      <c r="B3279" s="32">
        <f t="shared" si="776"/>
        <v>2032</v>
      </c>
      <c r="C3279" s="33" t="s">
        <v>42</v>
      </c>
      <c r="D3279" s="34" t="s">
        <v>1999</v>
      </c>
      <c r="E3279" s="35" t="str">
        <f t="shared" si="760"/>
        <v>PSND'!</v>
      </c>
      <c r="F3279" s="34" t="str">
        <f t="shared" si="775"/>
        <v>C:\Users\jaime.benazar\Quorum Business Solutions\Ecopetrol Prometeo - Documents\Planning Space Implementation\3. Analysis &amp; Design\Design\FC22\DRR Jaime\QUIFA-CAJÚA\Cajua\[CAJUA_CF_SEC_New_27-Feb-2024Rev3.xlsx]D-PSND'!</v>
      </c>
      <c r="G3279" s="32" t="s">
        <v>117</v>
      </c>
      <c r="H3279" s="33"/>
      <c r="I3279" s="33"/>
      <c r="J3279" s="37"/>
    </row>
    <row r="3280" spans="1:10" x14ac:dyDescent="0.25">
      <c r="A3280" s="32" t="s">
        <v>104</v>
      </c>
      <c r="B3280" s="32">
        <f t="shared" si="776"/>
        <v>2033</v>
      </c>
      <c r="C3280" s="33" t="s">
        <v>42</v>
      </c>
      <c r="D3280" s="34" t="s">
        <v>1999</v>
      </c>
      <c r="E3280" s="35" t="str">
        <f t="shared" si="760"/>
        <v>PSND'!</v>
      </c>
      <c r="F3280" s="34" t="str">
        <f t="shared" si="775"/>
        <v>C:\Users\jaime.benazar\Quorum Business Solutions\Ecopetrol Prometeo - Documents\Planning Space Implementation\3. Analysis &amp; Design\Design\FC22\DRR Jaime\QUIFA-CAJÚA\Cajua\[CAJUA_CF_SEC_New_27-Feb-2024Rev3.xlsx]D-PSND'!</v>
      </c>
      <c r="G3280" s="32" t="s">
        <v>117</v>
      </c>
      <c r="H3280" s="33"/>
      <c r="I3280" s="33"/>
      <c r="J3280" s="37"/>
    </row>
    <row r="3281" spans="1:10" x14ac:dyDescent="0.25">
      <c r="A3281" s="32" t="s">
        <v>104</v>
      </c>
      <c r="B3281" s="32">
        <f t="shared" si="776"/>
        <v>2034</v>
      </c>
      <c r="C3281" s="33" t="s">
        <v>42</v>
      </c>
      <c r="D3281" s="34" t="s">
        <v>1999</v>
      </c>
      <c r="E3281" s="35" t="str">
        <f t="shared" si="760"/>
        <v>PSND'!</v>
      </c>
      <c r="F3281" s="34" t="str">
        <f t="shared" si="775"/>
        <v>C:\Users\jaime.benazar\Quorum Business Solutions\Ecopetrol Prometeo - Documents\Planning Space Implementation\3. Analysis &amp; Design\Design\FC22\DRR Jaime\QUIFA-CAJÚA\Cajua\[CAJUA_CF_SEC_New_27-Feb-2024Rev3.xlsx]D-PSND'!</v>
      </c>
      <c r="G3281" s="32" t="s">
        <v>117</v>
      </c>
      <c r="H3281" s="33"/>
      <c r="I3281" s="33"/>
      <c r="J3281" s="37"/>
    </row>
    <row r="3282" spans="1:10" x14ac:dyDescent="0.25">
      <c r="A3282" s="32" t="s">
        <v>104</v>
      </c>
      <c r="B3282" s="32">
        <f t="shared" si="776"/>
        <v>2035</v>
      </c>
      <c r="C3282" s="33" t="s">
        <v>42</v>
      </c>
      <c r="D3282" s="34" t="s">
        <v>1999</v>
      </c>
      <c r="E3282" s="35" t="str">
        <f t="shared" si="760"/>
        <v>PSND'!</v>
      </c>
      <c r="F3282" s="34" t="str">
        <f t="shared" si="775"/>
        <v>C:\Users\jaime.benazar\Quorum Business Solutions\Ecopetrol Prometeo - Documents\Planning Space Implementation\3. Analysis &amp; Design\Design\FC22\DRR Jaime\QUIFA-CAJÚA\Cajua\[CAJUA_CF_SEC_New_27-Feb-2024Rev3.xlsx]D-PSND'!</v>
      </c>
      <c r="G3282" s="32" t="s">
        <v>117</v>
      </c>
      <c r="H3282" s="33"/>
      <c r="I3282" s="33"/>
      <c r="J3282" s="37"/>
    </row>
    <row r="3283" spans="1:10" x14ac:dyDescent="0.25">
      <c r="A3283" s="32" t="s">
        <v>104</v>
      </c>
      <c r="B3283" s="32">
        <f t="shared" si="776"/>
        <v>2036</v>
      </c>
      <c r="C3283" s="33" t="s">
        <v>42</v>
      </c>
      <c r="D3283" s="34" t="s">
        <v>1999</v>
      </c>
      <c r="E3283" s="35" t="str">
        <f t="shared" si="760"/>
        <v>PSND'!</v>
      </c>
      <c r="F3283" s="34" t="str">
        <f t="shared" si="775"/>
        <v>C:\Users\jaime.benazar\Quorum Business Solutions\Ecopetrol Prometeo - Documents\Planning Space Implementation\3. Analysis &amp; Design\Design\FC22\DRR Jaime\QUIFA-CAJÚA\Cajua\[CAJUA_CF_SEC_New_27-Feb-2024Rev3.xlsx]D-PSND'!</v>
      </c>
      <c r="G3283" s="32" t="s">
        <v>117</v>
      </c>
      <c r="H3283" s="33"/>
      <c r="I3283" s="33"/>
      <c r="J3283" s="37"/>
    </row>
    <row r="3284" spans="1:10" x14ac:dyDescent="0.25">
      <c r="A3284" s="32" t="s">
        <v>104</v>
      </c>
      <c r="B3284" s="32">
        <f>+B3283+1</f>
        <v>2037</v>
      </c>
      <c r="C3284" s="33" t="s">
        <v>42</v>
      </c>
      <c r="D3284" s="34" t="s">
        <v>1999</v>
      </c>
      <c r="E3284" s="35" t="str">
        <f t="shared" si="760"/>
        <v>PSND'!</v>
      </c>
      <c r="F3284" s="34" t="str">
        <f t="shared" si="775"/>
        <v>C:\Users\jaime.benazar\Quorum Business Solutions\Ecopetrol Prometeo - Documents\Planning Space Implementation\3. Analysis &amp; Design\Design\FC22\DRR Jaime\QUIFA-CAJÚA\Cajua\[CAJUA_CF_SEC_New_27-Feb-2024Rev3.xlsx]D-PSND'!</v>
      </c>
      <c r="G3284" s="32" t="s">
        <v>117</v>
      </c>
      <c r="H3284" s="33"/>
      <c r="I3284" s="33"/>
      <c r="J3284" s="37"/>
    </row>
    <row r="3285" spans="1:10" x14ac:dyDescent="0.25">
      <c r="A3285" s="32" t="s">
        <v>104</v>
      </c>
      <c r="B3285" s="32">
        <f t="shared" ref="B3285:B3287" si="777">+B3284+1</f>
        <v>2038</v>
      </c>
      <c r="C3285" s="33" t="s">
        <v>42</v>
      </c>
      <c r="D3285" s="34" t="s">
        <v>1999</v>
      </c>
      <c r="E3285" s="35" t="str">
        <f t="shared" si="760"/>
        <v>PSND'!</v>
      </c>
      <c r="F3285" s="34" t="str">
        <f t="shared" si="775"/>
        <v>C:\Users\jaime.benazar\Quorum Business Solutions\Ecopetrol Prometeo - Documents\Planning Space Implementation\3. Analysis &amp; Design\Design\FC22\DRR Jaime\QUIFA-CAJÚA\Cajua\[CAJUA_CF_SEC_New_27-Feb-2024Rev3.xlsx]D-PSND'!</v>
      </c>
      <c r="G3285" s="32" t="s">
        <v>117</v>
      </c>
      <c r="H3285" s="33"/>
      <c r="I3285" s="33"/>
      <c r="J3285" s="37"/>
    </row>
    <row r="3286" spans="1:10" x14ac:dyDescent="0.25">
      <c r="A3286" s="32" t="s">
        <v>104</v>
      </c>
      <c r="B3286" s="32">
        <f t="shared" si="777"/>
        <v>2039</v>
      </c>
      <c r="C3286" s="33" t="s">
        <v>42</v>
      </c>
      <c r="D3286" s="34" t="s">
        <v>1999</v>
      </c>
      <c r="E3286" s="35" t="str">
        <f t="shared" ref="E3286:E3307" si="778">_xlfn.CONCAT(A3286,"'!")</f>
        <v>PSND'!</v>
      </c>
      <c r="F3286" s="34" t="str">
        <f t="shared" si="775"/>
        <v>C:\Users\jaime.benazar\Quorum Business Solutions\Ecopetrol Prometeo - Documents\Planning Space Implementation\3. Analysis &amp; Design\Design\FC22\DRR Jaime\QUIFA-CAJÚA\Cajua\[CAJUA_CF_SEC_New_27-Feb-2024Rev3.xlsx]D-PSND'!</v>
      </c>
      <c r="G3286" s="32" t="s">
        <v>117</v>
      </c>
      <c r="H3286" s="33"/>
      <c r="I3286" s="33"/>
      <c r="J3286" s="37"/>
    </row>
    <row r="3287" spans="1:10" x14ac:dyDescent="0.25">
      <c r="A3287" s="32" t="s">
        <v>104</v>
      </c>
      <c r="B3287" s="32">
        <f t="shared" si="777"/>
        <v>2040</v>
      </c>
      <c r="C3287" s="33" t="s">
        <v>42</v>
      </c>
      <c r="D3287" s="34" t="s">
        <v>1999</v>
      </c>
      <c r="E3287" s="35" t="str">
        <f t="shared" si="778"/>
        <v>PSND'!</v>
      </c>
      <c r="F3287" s="34" t="str">
        <f t="shared" si="775"/>
        <v>C:\Users\jaime.benazar\Quorum Business Solutions\Ecopetrol Prometeo - Documents\Planning Space Implementation\3. Analysis &amp; Design\Design\FC22\DRR Jaime\QUIFA-CAJÚA\Cajua\[CAJUA_CF_SEC_New_27-Feb-2024Rev3.xlsx]D-PSND'!</v>
      </c>
      <c r="G3287" s="32" t="s">
        <v>117</v>
      </c>
      <c r="H3287" s="33"/>
      <c r="I3287" s="33"/>
      <c r="J3287" s="37"/>
    </row>
    <row r="3288" spans="1:10" x14ac:dyDescent="0.25">
      <c r="A3288" s="32" t="s">
        <v>104</v>
      </c>
      <c r="B3288" s="32">
        <f>+B3287+1</f>
        <v>2041</v>
      </c>
      <c r="C3288" s="33" t="s">
        <v>42</v>
      </c>
      <c r="D3288" s="34" t="s">
        <v>1999</v>
      </c>
      <c r="E3288" s="35" t="str">
        <f t="shared" si="778"/>
        <v>PSND'!</v>
      </c>
      <c r="F3288" s="34" t="str">
        <f t="shared" si="775"/>
        <v>C:\Users\jaime.benazar\Quorum Business Solutions\Ecopetrol Prometeo - Documents\Planning Space Implementation\3. Analysis &amp; Design\Design\FC22\DRR Jaime\QUIFA-CAJÚA\Cajua\[CAJUA_CF_SEC_New_27-Feb-2024Rev3.xlsx]D-PSND'!</v>
      </c>
      <c r="G3288" s="32" t="s">
        <v>117</v>
      </c>
      <c r="H3288" s="33"/>
      <c r="I3288" s="33"/>
      <c r="J3288" s="37"/>
    </row>
    <row r="3289" spans="1:10" x14ac:dyDescent="0.25">
      <c r="A3289" s="32" t="s">
        <v>104</v>
      </c>
      <c r="B3289" s="32">
        <f t="shared" ref="B3289:B3290" si="779">+B3288+1</f>
        <v>2042</v>
      </c>
      <c r="C3289" s="33" t="s">
        <v>42</v>
      </c>
      <c r="D3289" s="34" t="s">
        <v>1999</v>
      </c>
      <c r="E3289" s="35" t="str">
        <f t="shared" si="778"/>
        <v>PSND'!</v>
      </c>
      <c r="F3289" s="34" t="str">
        <f t="shared" si="775"/>
        <v>C:\Users\jaime.benazar\Quorum Business Solutions\Ecopetrol Prometeo - Documents\Planning Space Implementation\3. Analysis &amp; Design\Design\FC22\DRR Jaime\QUIFA-CAJÚA\Cajua\[CAJUA_CF_SEC_New_27-Feb-2024Rev3.xlsx]D-PSND'!</v>
      </c>
      <c r="G3289" s="32" t="s">
        <v>117</v>
      </c>
      <c r="H3289" s="33"/>
      <c r="I3289" s="33"/>
      <c r="J3289" s="37"/>
    </row>
    <row r="3290" spans="1:10" x14ac:dyDescent="0.25">
      <c r="A3290" s="32" t="s">
        <v>104</v>
      </c>
      <c r="B3290" s="32">
        <f t="shared" si="779"/>
        <v>2043</v>
      </c>
      <c r="C3290" s="33" t="s">
        <v>42</v>
      </c>
      <c r="D3290" s="34" t="s">
        <v>1999</v>
      </c>
      <c r="E3290" s="35" t="str">
        <f t="shared" si="778"/>
        <v>PSND'!</v>
      </c>
      <c r="F3290" s="34" t="str">
        <f t="shared" si="775"/>
        <v>C:\Users\jaime.benazar\Quorum Business Solutions\Ecopetrol Prometeo - Documents\Planning Space Implementation\3. Analysis &amp; Design\Design\FC22\DRR Jaime\QUIFA-CAJÚA\Cajua\[CAJUA_CF_SEC_New_27-Feb-2024Rev3.xlsx]D-PSND'!</v>
      </c>
      <c r="G3290" s="32" t="s">
        <v>117</v>
      </c>
      <c r="H3290" s="33"/>
      <c r="I3290" s="33"/>
      <c r="J3290" s="37"/>
    </row>
    <row r="3291" spans="1:10" x14ac:dyDescent="0.25">
      <c r="A3291" s="32" t="s">
        <v>104</v>
      </c>
      <c r="B3291" s="32">
        <f>+B3290+1</f>
        <v>2044</v>
      </c>
      <c r="C3291" s="33" t="s">
        <v>42</v>
      </c>
      <c r="D3291" s="34" t="s">
        <v>1999</v>
      </c>
      <c r="E3291" s="35" t="str">
        <f t="shared" ref="E3291:E3306" si="780">_xlfn.CONCAT(A3291,"'!")</f>
        <v>PSND'!</v>
      </c>
      <c r="F3291" s="34" t="str">
        <f t="shared" ref="F3291:F3306" si="781">_xlfn.CONCAT(D3291:E3291)</f>
        <v>C:\Users\jaime.benazar\Quorum Business Solutions\Ecopetrol Prometeo - Documents\Planning Space Implementation\3. Analysis &amp; Design\Design\FC22\DRR Jaime\QUIFA-CAJÚA\Cajua\[CAJUA_CF_SEC_New_27-Feb-2024Rev3.xlsx]D-PSND'!</v>
      </c>
      <c r="G3291" s="32" t="s">
        <v>117</v>
      </c>
      <c r="H3291" s="33"/>
      <c r="I3291" s="33"/>
      <c r="J3291" s="37"/>
    </row>
    <row r="3292" spans="1:10" x14ac:dyDescent="0.25">
      <c r="A3292" s="32" t="s">
        <v>104</v>
      </c>
      <c r="B3292" s="32">
        <f t="shared" ref="B3292:B3306" si="782">+B3291+1</f>
        <v>2045</v>
      </c>
      <c r="C3292" s="33" t="s">
        <v>42</v>
      </c>
      <c r="D3292" s="34" t="s">
        <v>1999</v>
      </c>
      <c r="E3292" s="35" t="str">
        <f t="shared" si="780"/>
        <v>PSND'!</v>
      </c>
      <c r="F3292" s="34" t="str">
        <f t="shared" si="781"/>
        <v>C:\Users\jaime.benazar\Quorum Business Solutions\Ecopetrol Prometeo - Documents\Planning Space Implementation\3. Analysis &amp; Design\Design\FC22\DRR Jaime\QUIFA-CAJÚA\Cajua\[CAJUA_CF_SEC_New_27-Feb-2024Rev3.xlsx]D-PSND'!</v>
      </c>
      <c r="G3292" s="32" t="s">
        <v>117</v>
      </c>
      <c r="H3292" s="33"/>
      <c r="I3292" s="33"/>
      <c r="J3292" s="37"/>
    </row>
    <row r="3293" spans="1:10" x14ac:dyDescent="0.25">
      <c r="A3293" s="32" t="s">
        <v>104</v>
      </c>
      <c r="B3293" s="32">
        <f t="shared" si="782"/>
        <v>2046</v>
      </c>
      <c r="C3293" s="33" t="s">
        <v>42</v>
      </c>
      <c r="D3293" s="34" t="s">
        <v>1999</v>
      </c>
      <c r="E3293" s="35" t="str">
        <f t="shared" si="780"/>
        <v>PSND'!</v>
      </c>
      <c r="F3293" s="34" t="str">
        <f t="shared" si="781"/>
        <v>C:\Users\jaime.benazar\Quorum Business Solutions\Ecopetrol Prometeo - Documents\Planning Space Implementation\3. Analysis &amp; Design\Design\FC22\DRR Jaime\QUIFA-CAJÚA\Cajua\[CAJUA_CF_SEC_New_27-Feb-2024Rev3.xlsx]D-PSND'!</v>
      </c>
      <c r="G3293" s="32" t="s">
        <v>117</v>
      </c>
      <c r="H3293" s="33"/>
      <c r="I3293" s="33"/>
      <c r="J3293" s="37"/>
    </row>
    <row r="3294" spans="1:10" x14ac:dyDescent="0.25">
      <c r="A3294" s="32" t="s">
        <v>104</v>
      </c>
      <c r="B3294" s="32">
        <f t="shared" si="782"/>
        <v>2047</v>
      </c>
      <c r="C3294" s="33" t="s">
        <v>42</v>
      </c>
      <c r="D3294" s="34" t="s">
        <v>1999</v>
      </c>
      <c r="E3294" s="35" t="str">
        <f t="shared" si="780"/>
        <v>PSND'!</v>
      </c>
      <c r="F3294" s="34" t="str">
        <f t="shared" si="781"/>
        <v>C:\Users\jaime.benazar\Quorum Business Solutions\Ecopetrol Prometeo - Documents\Planning Space Implementation\3. Analysis &amp; Design\Design\FC22\DRR Jaime\QUIFA-CAJÚA\Cajua\[CAJUA_CF_SEC_New_27-Feb-2024Rev3.xlsx]D-PSND'!</v>
      </c>
      <c r="G3294" s="32" t="s">
        <v>117</v>
      </c>
      <c r="H3294" s="33"/>
      <c r="I3294" s="33"/>
      <c r="J3294" s="37"/>
    </row>
    <row r="3295" spans="1:10" x14ac:dyDescent="0.25">
      <c r="A3295" s="32" t="s">
        <v>104</v>
      </c>
      <c r="B3295" s="32">
        <f t="shared" si="782"/>
        <v>2048</v>
      </c>
      <c r="C3295" s="33" t="s">
        <v>42</v>
      </c>
      <c r="D3295" s="34" t="s">
        <v>1999</v>
      </c>
      <c r="E3295" s="35" t="str">
        <f t="shared" si="780"/>
        <v>PSND'!</v>
      </c>
      <c r="F3295" s="34" t="str">
        <f t="shared" si="781"/>
        <v>C:\Users\jaime.benazar\Quorum Business Solutions\Ecopetrol Prometeo - Documents\Planning Space Implementation\3. Analysis &amp; Design\Design\FC22\DRR Jaime\QUIFA-CAJÚA\Cajua\[CAJUA_CF_SEC_New_27-Feb-2024Rev3.xlsx]D-PSND'!</v>
      </c>
      <c r="G3295" s="32" t="s">
        <v>117</v>
      </c>
      <c r="H3295" s="33"/>
      <c r="I3295" s="33"/>
      <c r="J3295" s="37"/>
    </row>
    <row r="3296" spans="1:10" x14ac:dyDescent="0.25">
      <c r="A3296" s="32" t="s">
        <v>104</v>
      </c>
      <c r="B3296" s="32">
        <f t="shared" si="782"/>
        <v>2049</v>
      </c>
      <c r="C3296" s="33" t="s">
        <v>42</v>
      </c>
      <c r="D3296" s="34" t="s">
        <v>1999</v>
      </c>
      <c r="E3296" s="35" t="str">
        <f t="shared" si="780"/>
        <v>PSND'!</v>
      </c>
      <c r="F3296" s="34" t="str">
        <f t="shared" si="781"/>
        <v>C:\Users\jaime.benazar\Quorum Business Solutions\Ecopetrol Prometeo - Documents\Planning Space Implementation\3. Analysis &amp; Design\Design\FC22\DRR Jaime\QUIFA-CAJÚA\Cajua\[CAJUA_CF_SEC_New_27-Feb-2024Rev3.xlsx]D-PSND'!</v>
      </c>
      <c r="G3296" s="32" t="s">
        <v>117</v>
      </c>
      <c r="H3296" s="33"/>
      <c r="I3296" s="33"/>
      <c r="J3296" s="37"/>
    </row>
    <row r="3297" spans="1:10" x14ac:dyDescent="0.25">
      <c r="A3297" s="32" t="s">
        <v>104</v>
      </c>
      <c r="B3297" s="32">
        <f t="shared" si="782"/>
        <v>2050</v>
      </c>
      <c r="C3297" s="33" t="s">
        <v>42</v>
      </c>
      <c r="D3297" s="34" t="s">
        <v>1999</v>
      </c>
      <c r="E3297" s="35" t="str">
        <f t="shared" si="780"/>
        <v>PSND'!</v>
      </c>
      <c r="F3297" s="34" t="str">
        <f t="shared" si="781"/>
        <v>C:\Users\jaime.benazar\Quorum Business Solutions\Ecopetrol Prometeo - Documents\Planning Space Implementation\3. Analysis &amp; Design\Design\FC22\DRR Jaime\QUIFA-CAJÚA\Cajua\[CAJUA_CF_SEC_New_27-Feb-2024Rev3.xlsx]D-PSND'!</v>
      </c>
      <c r="G3297" s="32" t="s">
        <v>117</v>
      </c>
      <c r="H3297" s="33"/>
      <c r="I3297" s="33"/>
      <c r="J3297" s="37"/>
    </row>
    <row r="3298" spans="1:10" x14ac:dyDescent="0.25">
      <c r="A3298" s="32" t="s">
        <v>104</v>
      </c>
      <c r="B3298" s="32">
        <f t="shared" si="782"/>
        <v>2051</v>
      </c>
      <c r="C3298" s="33" t="s">
        <v>42</v>
      </c>
      <c r="D3298" s="34" t="s">
        <v>1999</v>
      </c>
      <c r="E3298" s="35" t="str">
        <f t="shared" si="780"/>
        <v>PSND'!</v>
      </c>
      <c r="F3298" s="34" t="str">
        <f t="shared" si="781"/>
        <v>C:\Users\jaime.benazar\Quorum Business Solutions\Ecopetrol Prometeo - Documents\Planning Space Implementation\3. Analysis &amp; Design\Design\FC22\DRR Jaime\QUIFA-CAJÚA\Cajua\[CAJUA_CF_SEC_New_27-Feb-2024Rev3.xlsx]D-PSND'!</v>
      </c>
      <c r="G3298" s="32" t="s">
        <v>117</v>
      </c>
      <c r="H3298" s="33"/>
      <c r="I3298" s="33"/>
      <c r="J3298" s="37"/>
    </row>
    <row r="3299" spans="1:10" x14ac:dyDescent="0.25">
      <c r="A3299" s="32" t="s">
        <v>104</v>
      </c>
      <c r="B3299" s="32">
        <f t="shared" si="782"/>
        <v>2052</v>
      </c>
      <c r="C3299" s="33" t="s">
        <v>42</v>
      </c>
      <c r="D3299" s="34" t="s">
        <v>1999</v>
      </c>
      <c r="E3299" s="35" t="str">
        <f t="shared" si="780"/>
        <v>PSND'!</v>
      </c>
      <c r="F3299" s="34" t="str">
        <f t="shared" si="781"/>
        <v>C:\Users\jaime.benazar\Quorum Business Solutions\Ecopetrol Prometeo - Documents\Planning Space Implementation\3. Analysis &amp; Design\Design\FC22\DRR Jaime\QUIFA-CAJÚA\Cajua\[CAJUA_CF_SEC_New_27-Feb-2024Rev3.xlsx]D-PSND'!</v>
      </c>
      <c r="G3299" s="32" t="s">
        <v>117</v>
      </c>
      <c r="H3299" s="33"/>
      <c r="I3299" s="33"/>
      <c r="J3299" s="37"/>
    </row>
    <row r="3300" spans="1:10" x14ac:dyDescent="0.25">
      <c r="A3300" s="32" t="s">
        <v>104</v>
      </c>
      <c r="B3300" s="32">
        <f t="shared" si="782"/>
        <v>2053</v>
      </c>
      <c r="C3300" s="33" t="s">
        <v>42</v>
      </c>
      <c r="D3300" s="34" t="s">
        <v>1999</v>
      </c>
      <c r="E3300" s="35" t="str">
        <f t="shared" si="780"/>
        <v>PSND'!</v>
      </c>
      <c r="F3300" s="34" t="str">
        <f t="shared" si="781"/>
        <v>C:\Users\jaime.benazar\Quorum Business Solutions\Ecopetrol Prometeo - Documents\Planning Space Implementation\3. Analysis &amp; Design\Design\FC22\DRR Jaime\QUIFA-CAJÚA\Cajua\[CAJUA_CF_SEC_New_27-Feb-2024Rev3.xlsx]D-PSND'!</v>
      </c>
      <c r="G3300" s="32" t="s">
        <v>117</v>
      </c>
      <c r="H3300" s="33"/>
      <c r="I3300" s="33"/>
      <c r="J3300" s="37"/>
    </row>
    <row r="3301" spans="1:10" x14ac:dyDescent="0.25">
      <c r="A3301" s="32" t="s">
        <v>104</v>
      </c>
      <c r="B3301" s="32">
        <f t="shared" si="782"/>
        <v>2054</v>
      </c>
      <c r="C3301" s="33" t="s">
        <v>42</v>
      </c>
      <c r="D3301" s="34" t="s">
        <v>1999</v>
      </c>
      <c r="E3301" s="35" t="str">
        <f t="shared" si="780"/>
        <v>PSND'!</v>
      </c>
      <c r="F3301" s="34" t="str">
        <f t="shared" si="781"/>
        <v>C:\Users\jaime.benazar\Quorum Business Solutions\Ecopetrol Prometeo - Documents\Planning Space Implementation\3. Analysis &amp; Design\Design\FC22\DRR Jaime\QUIFA-CAJÚA\Cajua\[CAJUA_CF_SEC_New_27-Feb-2024Rev3.xlsx]D-PSND'!</v>
      </c>
      <c r="G3301" s="32" t="s">
        <v>117</v>
      </c>
      <c r="H3301" s="33"/>
      <c r="I3301" s="33"/>
      <c r="J3301" s="37"/>
    </row>
    <row r="3302" spans="1:10" x14ac:dyDescent="0.25">
      <c r="A3302" s="32" t="s">
        <v>104</v>
      </c>
      <c r="B3302" s="32">
        <f t="shared" si="782"/>
        <v>2055</v>
      </c>
      <c r="C3302" s="33" t="s">
        <v>42</v>
      </c>
      <c r="D3302" s="34" t="s">
        <v>1999</v>
      </c>
      <c r="E3302" s="35" t="str">
        <f t="shared" si="780"/>
        <v>PSND'!</v>
      </c>
      <c r="F3302" s="34" t="str">
        <f t="shared" si="781"/>
        <v>C:\Users\jaime.benazar\Quorum Business Solutions\Ecopetrol Prometeo - Documents\Planning Space Implementation\3. Analysis &amp; Design\Design\FC22\DRR Jaime\QUIFA-CAJÚA\Cajua\[CAJUA_CF_SEC_New_27-Feb-2024Rev3.xlsx]D-PSND'!</v>
      </c>
      <c r="G3302" s="32" t="s">
        <v>117</v>
      </c>
      <c r="H3302" s="33"/>
      <c r="I3302" s="33"/>
      <c r="J3302" s="37"/>
    </row>
    <row r="3303" spans="1:10" x14ac:dyDescent="0.25">
      <c r="A3303" s="32" t="s">
        <v>104</v>
      </c>
      <c r="B3303" s="32">
        <f t="shared" si="782"/>
        <v>2056</v>
      </c>
      <c r="C3303" s="33" t="s">
        <v>42</v>
      </c>
      <c r="D3303" s="34" t="s">
        <v>1999</v>
      </c>
      <c r="E3303" s="35" t="str">
        <f t="shared" si="780"/>
        <v>PSND'!</v>
      </c>
      <c r="F3303" s="34" t="str">
        <f t="shared" si="781"/>
        <v>C:\Users\jaime.benazar\Quorum Business Solutions\Ecopetrol Prometeo - Documents\Planning Space Implementation\3. Analysis &amp; Design\Design\FC22\DRR Jaime\QUIFA-CAJÚA\Cajua\[CAJUA_CF_SEC_New_27-Feb-2024Rev3.xlsx]D-PSND'!</v>
      </c>
      <c r="G3303" s="32" t="s">
        <v>117</v>
      </c>
      <c r="H3303" s="33"/>
      <c r="I3303" s="33"/>
      <c r="J3303" s="37"/>
    </row>
    <row r="3304" spans="1:10" x14ac:dyDescent="0.25">
      <c r="A3304" s="32" t="s">
        <v>104</v>
      </c>
      <c r="B3304" s="32">
        <f t="shared" si="782"/>
        <v>2057</v>
      </c>
      <c r="C3304" s="33" t="s">
        <v>42</v>
      </c>
      <c r="D3304" s="34" t="s">
        <v>1999</v>
      </c>
      <c r="E3304" s="35" t="str">
        <f t="shared" si="780"/>
        <v>PSND'!</v>
      </c>
      <c r="F3304" s="34" t="str">
        <f t="shared" si="781"/>
        <v>C:\Users\jaime.benazar\Quorum Business Solutions\Ecopetrol Prometeo - Documents\Planning Space Implementation\3. Analysis &amp; Design\Design\FC22\DRR Jaime\QUIFA-CAJÚA\Cajua\[CAJUA_CF_SEC_New_27-Feb-2024Rev3.xlsx]D-PSND'!</v>
      </c>
      <c r="G3304" s="32" t="s">
        <v>117</v>
      </c>
      <c r="H3304" s="33"/>
      <c r="I3304" s="33"/>
      <c r="J3304" s="37"/>
    </row>
    <row r="3305" spans="1:10" x14ac:dyDescent="0.25">
      <c r="A3305" s="32" t="s">
        <v>104</v>
      </c>
      <c r="B3305" s="32">
        <f t="shared" si="782"/>
        <v>2058</v>
      </c>
      <c r="C3305" s="33" t="s">
        <v>42</v>
      </c>
      <c r="D3305" s="34" t="s">
        <v>1999</v>
      </c>
      <c r="E3305" s="35" t="str">
        <f t="shared" si="780"/>
        <v>PSND'!</v>
      </c>
      <c r="F3305" s="34" t="str">
        <f t="shared" si="781"/>
        <v>C:\Users\jaime.benazar\Quorum Business Solutions\Ecopetrol Prometeo - Documents\Planning Space Implementation\3. Analysis &amp; Design\Design\FC22\DRR Jaime\QUIFA-CAJÚA\Cajua\[CAJUA_CF_SEC_New_27-Feb-2024Rev3.xlsx]D-PSND'!</v>
      </c>
      <c r="G3305" s="32" t="s">
        <v>117</v>
      </c>
      <c r="H3305" s="33"/>
      <c r="I3305" s="33"/>
      <c r="J3305" s="37"/>
    </row>
    <row r="3306" spans="1:10" x14ac:dyDescent="0.25">
      <c r="A3306" s="32" t="s">
        <v>104</v>
      </c>
      <c r="B3306" s="32">
        <f t="shared" si="782"/>
        <v>2059</v>
      </c>
      <c r="C3306" s="33" t="s">
        <v>42</v>
      </c>
      <c r="D3306" s="34" t="s">
        <v>1999</v>
      </c>
      <c r="E3306" s="35" t="str">
        <f t="shared" si="780"/>
        <v>PSND'!</v>
      </c>
      <c r="F3306" s="34" t="str">
        <f t="shared" si="781"/>
        <v>C:\Users\jaime.benazar\Quorum Business Solutions\Ecopetrol Prometeo - Documents\Planning Space Implementation\3. Analysis &amp; Design\Design\FC22\DRR Jaime\QUIFA-CAJÚA\Cajua\[CAJUA_CF_SEC_New_27-Feb-2024Rev3.xlsx]D-PSND'!</v>
      </c>
      <c r="G3306" s="32" t="s">
        <v>117</v>
      </c>
      <c r="H3306" s="33"/>
      <c r="I3306" s="33"/>
      <c r="J3306" s="37"/>
    </row>
    <row r="3307" spans="1:10" x14ac:dyDescent="0.25">
      <c r="A3307" s="32" t="s">
        <v>28</v>
      </c>
      <c r="B3307" s="32"/>
      <c r="C3307" s="33" t="s">
        <v>42</v>
      </c>
      <c r="D3307" s="34"/>
      <c r="E3307" s="32" t="str">
        <f t="shared" si="778"/>
        <v>Total'!</v>
      </c>
      <c r="F3307" s="33"/>
      <c r="G3307" s="32"/>
      <c r="H3307" s="33"/>
      <c r="I3307" s="33"/>
      <c r="J3307" s="33"/>
    </row>
    <row r="3308" spans="1:10" x14ac:dyDescent="0.25">
      <c r="A3308" s="32" t="s">
        <v>34</v>
      </c>
      <c r="B3308" s="32">
        <v>2023</v>
      </c>
      <c r="C3308" s="33" t="s">
        <v>42</v>
      </c>
      <c r="D3308" s="34" t="s">
        <v>1999</v>
      </c>
      <c r="E3308" s="35" t="str">
        <f t="shared" si="719"/>
        <v>PS'!</v>
      </c>
      <c r="F3308" s="34" t="str">
        <f t="shared" si="720"/>
        <v>C:\Users\jaime.benazar\Quorum Business Solutions\Ecopetrol Prometeo - Documents\Planning Space Implementation\3. Analysis &amp; Design\Design\FC22\DRR Jaime\QUIFA-CAJÚA\Cajua\[CAJUA_CF_SEC_New_27-Feb-2024Rev3.xlsx]D-PS'!</v>
      </c>
      <c r="G3308" s="32" t="s">
        <v>117</v>
      </c>
      <c r="H3308" s="33">
        <v>12</v>
      </c>
      <c r="I3308" s="33" t="str">
        <f t="shared" ref="I3308:I3328" si="783">_xlfn.CONCAT("='",F3308:H3308)</f>
        <v>='C:\Users\jaime.benazar\Quorum Business Solutions\Ecopetrol Prometeo - Documents\Planning Space Implementation\3. Analysis &amp; Design\Design\FC22\DRR Jaime\QUIFA-CAJÚA\Cajua\[CAJUA_CF_SEC_New_27-Feb-2024Rev3.xlsx]D-PS'!$DT$12</v>
      </c>
      <c r="J3308" s="37" t="s">
        <v>3443</v>
      </c>
    </row>
    <row r="3309" spans="1:10" x14ac:dyDescent="0.25">
      <c r="A3309" s="32" t="s">
        <v>34</v>
      </c>
      <c r="B3309" s="32">
        <f>+B3308+1</f>
        <v>2024</v>
      </c>
      <c r="C3309" s="33" t="s">
        <v>42</v>
      </c>
      <c r="D3309" s="34" t="s">
        <v>1999</v>
      </c>
      <c r="E3309" s="35" t="str">
        <f t="shared" si="719"/>
        <v>PS'!</v>
      </c>
      <c r="F3309" s="34" t="str">
        <f t="shared" si="720"/>
        <v>C:\Users\jaime.benazar\Quorum Business Solutions\Ecopetrol Prometeo - Documents\Planning Space Implementation\3. Analysis &amp; Design\Design\FC22\DRR Jaime\QUIFA-CAJÚA\Cajua\[CAJUA_CF_SEC_New_27-Feb-2024Rev3.xlsx]D-PS'!</v>
      </c>
      <c r="G3309" s="32" t="s">
        <v>117</v>
      </c>
      <c r="H3309" s="33">
        <f t="shared" ref="H3309:H3328" si="784">IF(A3309&lt;&gt;A3308,12,H3308+1)</f>
        <v>13</v>
      </c>
      <c r="I3309" s="33" t="str">
        <f t="shared" si="783"/>
        <v>='C:\Users\jaime.benazar\Quorum Business Solutions\Ecopetrol Prometeo - Documents\Planning Space Implementation\3. Analysis &amp; Design\Design\FC22\DRR Jaime\QUIFA-CAJÚA\Cajua\[CAJUA_CF_SEC_New_27-Feb-2024Rev3.xlsx]D-PS'!$DT$13</v>
      </c>
      <c r="J3309" s="37" t="s">
        <v>3444</v>
      </c>
    </row>
    <row r="3310" spans="1:10" x14ac:dyDescent="0.25">
      <c r="A3310" s="32" t="s">
        <v>34</v>
      </c>
      <c r="B3310" s="32">
        <f t="shared" ref="B3310:B3321" si="785">+B3309+1</f>
        <v>2025</v>
      </c>
      <c r="C3310" s="33" t="s">
        <v>42</v>
      </c>
      <c r="D3310" s="34" t="s">
        <v>1999</v>
      </c>
      <c r="E3310" s="35" t="str">
        <f t="shared" si="719"/>
        <v>PS'!</v>
      </c>
      <c r="F3310" s="34" t="str">
        <f t="shared" si="720"/>
        <v>C:\Users\jaime.benazar\Quorum Business Solutions\Ecopetrol Prometeo - Documents\Planning Space Implementation\3. Analysis &amp; Design\Design\FC22\DRR Jaime\QUIFA-CAJÚA\Cajua\[CAJUA_CF_SEC_New_27-Feb-2024Rev3.xlsx]D-PS'!</v>
      </c>
      <c r="G3310" s="32" t="s">
        <v>117</v>
      </c>
      <c r="H3310" s="33">
        <f t="shared" si="784"/>
        <v>14</v>
      </c>
      <c r="I3310" s="33" t="str">
        <f t="shared" si="783"/>
        <v>='C:\Users\jaime.benazar\Quorum Business Solutions\Ecopetrol Prometeo - Documents\Planning Space Implementation\3. Analysis &amp; Design\Design\FC22\DRR Jaime\QUIFA-CAJÚA\Cajua\[CAJUA_CF_SEC_New_27-Feb-2024Rev3.xlsx]D-PS'!$DT$14</v>
      </c>
      <c r="J3310" s="37" t="s">
        <v>3445</v>
      </c>
    </row>
    <row r="3311" spans="1:10" x14ac:dyDescent="0.25">
      <c r="A3311" s="32" t="s">
        <v>34</v>
      </c>
      <c r="B3311" s="32">
        <f t="shared" si="785"/>
        <v>2026</v>
      </c>
      <c r="C3311" s="33" t="s">
        <v>42</v>
      </c>
      <c r="D3311" s="34" t="s">
        <v>1999</v>
      </c>
      <c r="E3311" s="35" t="str">
        <f t="shared" si="719"/>
        <v>PS'!</v>
      </c>
      <c r="F3311" s="34" t="str">
        <f t="shared" si="720"/>
        <v>C:\Users\jaime.benazar\Quorum Business Solutions\Ecopetrol Prometeo - Documents\Planning Space Implementation\3. Analysis &amp; Design\Design\FC22\DRR Jaime\QUIFA-CAJÚA\Cajua\[CAJUA_CF_SEC_New_27-Feb-2024Rev3.xlsx]D-PS'!</v>
      </c>
      <c r="G3311" s="32" t="s">
        <v>117</v>
      </c>
      <c r="H3311" s="33">
        <f t="shared" si="784"/>
        <v>15</v>
      </c>
      <c r="I3311" s="33" t="str">
        <f t="shared" si="783"/>
        <v>='C:\Users\jaime.benazar\Quorum Business Solutions\Ecopetrol Prometeo - Documents\Planning Space Implementation\3. Analysis &amp; Design\Design\FC22\DRR Jaime\QUIFA-CAJÚA\Cajua\[CAJUA_CF_SEC_New_27-Feb-2024Rev3.xlsx]D-PS'!$DT$15</v>
      </c>
      <c r="J3311" s="37" t="s">
        <v>3446</v>
      </c>
    </row>
    <row r="3312" spans="1:10" x14ac:dyDescent="0.25">
      <c r="A3312" s="32" t="s">
        <v>34</v>
      </c>
      <c r="B3312" s="32">
        <f t="shared" si="785"/>
        <v>2027</v>
      </c>
      <c r="C3312" s="33" t="s">
        <v>42</v>
      </c>
      <c r="D3312" s="34" t="s">
        <v>1999</v>
      </c>
      <c r="E3312" s="35" t="str">
        <f t="shared" si="719"/>
        <v>PS'!</v>
      </c>
      <c r="F3312" s="34" t="str">
        <f t="shared" si="720"/>
        <v>C:\Users\jaime.benazar\Quorum Business Solutions\Ecopetrol Prometeo - Documents\Planning Space Implementation\3. Analysis &amp; Design\Design\FC22\DRR Jaime\QUIFA-CAJÚA\Cajua\[CAJUA_CF_SEC_New_27-Feb-2024Rev3.xlsx]D-PS'!</v>
      </c>
      <c r="G3312" s="32" t="s">
        <v>117</v>
      </c>
      <c r="H3312" s="33">
        <f t="shared" si="784"/>
        <v>16</v>
      </c>
      <c r="I3312" s="33" t="str">
        <f t="shared" si="783"/>
        <v>='C:\Users\jaime.benazar\Quorum Business Solutions\Ecopetrol Prometeo - Documents\Planning Space Implementation\3. Analysis &amp; Design\Design\FC22\DRR Jaime\QUIFA-CAJÚA\Cajua\[CAJUA_CF_SEC_New_27-Feb-2024Rev3.xlsx]D-PS'!$DT$16</v>
      </c>
      <c r="J3312" s="37" t="s">
        <v>3447</v>
      </c>
    </row>
    <row r="3313" spans="1:10" x14ac:dyDescent="0.25">
      <c r="A3313" s="32" t="s">
        <v>34</v>
      </c>
      <c r="B3313" s="32">
        <f t="shared" si="785"/>
        <v>2028</v>
      </c>
      <c r="C3313" s="33" t="s">
        <v>42</v>
      </c>
      <c r="D3313" s="34" t="s">
        <v>1999</v>
      </c>
      <c r="E3313" s="35" t="str">
        <f t="shared" si="719"/>
        <v>PS'!</v>
      </c>
      <c r="F3313" s="34" t="str">
        <f t="shared" si="720"/>
        <v>C:\Users\jaime.benazar\Quorum Business Solutions\Ecopetrol Prometeo - Documents\Planning Space Implementation\3. Analysis &amp; Design\Design\FC22\DRR Jaime\QUIFA-CAJÚA\Cajua\[CAJUA_CF_SEC_New_27-Feb-2024Rev3.xlsx]D-PS'!</v>
      </c>
      <c r="G3313" s="32" t="s">
        <v>117</v>
      </c>
      <c r="H3313" s="33">
        <f t="shared" si="784"/>
        <v>17</v>
      </c>
      <c r="I3313" s="33" t="str">
        <f t="shared" si="783"/>
        <v>='C:\Users\jaime.benazar\Quorum Business Solutions\Ecopetrol Prometeo - Documents\Planning Space Implementation\3. Analysis &amp; Design\Design\FC22\DRR Jaime\QUIFA-CAJÚA\Cajua\[CAJUA_CF_SEC_New_27-Feb-2024Rev3.xlsx]D-PS'!$DT$17</v>
      </c>
      <c r="J3313" s="37" t="s">
        <v>3448</v>
      </c>
    </row>
    <row r="3314" spans="1:10" x14ac:dyDescent="0.25">
      <c r="A3314" s="32" t="s">
        <v>34</v>
      </c>
      <c r="B3314" s="32">
        <f t="shared" si="785"/>
        <v>2029</v>
      </c>
      <c r="C3314" s="33" t="s">
        <v>42</v>
      </c>
      <c r="D3314" s="34" t="s">
        <v>1999</v>
      </c>
      <c r="E3314" s="35" t="str">
        <f t="shared" si="719"/>
        <v>PS'!</v>
      </c>
      <c r="F3314" s="34" t="str">
        <f t="shared" si="720"/>
        <v>C:\Users\jaime.benazar\Quorum Business Solutions\Ecopetrol Prometeo - Documents\Planning Space Implementation\3. Analysis &amp; Design\Design\FC22\DRR Jaime\QUIFA-CAJÚA\Cajua\[CAJUA_CF_SEC_New_27-Feb-2024Rev3.xlsx]D-PS'!</v>
      </c>
      <c r="G3314" s="32" t="s">
        <v>117</v>
      </c>
      <c r="H3314" s="33">
        <f t="shared" si="784"/>
        <v>18</v>
      </c>
      <c r="I3314" s="33" t="str">
        <f t="shared" si="783"/>
        <v>='C:\Users\jaime.benazar\Quorum Business Solutions\Ecopetrol Prometeo - Documents\Planning Space Implementation\3. Analysis &amp; Design\Design\FC22\DRR Jaime\QUIFA-CAJÚA\Cajua\[CAJUA_CF_SEC_New_27-Feb-2024Rev3.xlsx]D-PS'!$DT$18</v>
      </c>
      <c r="J3314" s="37" t="s">
        <v>3449</v>
      </c>
    </row>
    <row r="3315" spans="1:10" x14ac:dyDescent="0.25">
      <c r="A3315" s="32" t="s">
        <v>34</v>
      </c>
      <c r="B3315" s="32">
        <f t="shared" si="785"/>
        <v>2030</v>
      </c>
      <c r="C3315" s="33" t="s">
        <v>42</v>
      </c>
      <c r="D3315" s="34" t="s">
        <v>1999</v>
      </c>
      <c r="E3315" s="35" t="str">
        <f t="shared" si="719"/>
        <v>PS'!</v>
      </c>
      <c r="F3315" s="34" t="str">
        <f t="shared" si="720"/>
        <v>C:\Users\jaime.benazar\Quorum Business Solutions\Ecopetrol Prometeo - Documents\Planning Space Implementation\3. Analysis &amp; Design\Design\FC22\DRR Jaime\QUIFA-CAJÚA\Cajua\[CAJUA_CF_SEC_New_27-Feb-2024Rev3.xlsx]D-PS'!</v>
      </c>
      <c r="G3315" s="32" t="s">
        <v>117</v>
      </c>
      <c r="H3315" s="33">
        <f t="shared" si="784"/>
        <v>19</v>
      </c>
      <c r="I3315" s="33" t="str">
        <f t="shared" si="783"/>
        <v>='C:\Users\jaime.benazar\Quorum Business Solutions\Ecopetrol Prometeo - Documents\Planning Space Implementation\3. Analysis &amp; Design\Design\FC22\DRR Jaime\QUIFA-CAJÚA\Cajua\[CAJUA_CF_SEC_New_27-Feb-2024Rev3.xlsx]D-PS'!$DT$19</v>
      </c>
      <c r="J3315" s="37" t="s">
        <v>3450</v>
      </c>
    </row>
    <row r="3316" spans="1:10" x14ac:dyDescent="0.25">
      <c r="A3316" s="32" t="s">
        <v>34</v>
      </c>
      <c r="B3316" s="32">
        <f t="shared" si="785"/>
        <v>2031</v>
      </c>
      <c r="C3316" s="33" t="s">
        <v>42</v>
      </c>
      <c r="D3316" s="34" t="s">
        <v>1999</v>
      </c>
      <c r="E3316" s="35" t="str">
        <f t="shared" si="719"/>
        <v>PS'!</v>
      </c>
      <c r="F3316" s="34" t="str">
        <f t="shared" si="720"/>
        <v>C:\Users\jaime.benazar\Quorum Business Solutions\Ecopetrol Prometeo - Documents\Planning Space Implementation\3. Analysis &amp; Design\Design\FC22\DRR Jaime\QUIFA-CAJÚA\Cajua\[CAJUA_CF_SEC_New_27-Feb-2024Rev3.xlsx]D-PS'!</v>
      </c>
      <c r="G3316" s="32" t="s">
        <v>117</v>
      </c>
      <c r="H3316" s="33">
        <f t="shared" si="784"/>
        <v>20</v>
      </c>
      <c r="I3316" s="33" t="str">
        <f t="shared" si="783"/>
        <v>='C:\Users\jaime.benazar\Quorum Business Solutions\Ecopetrol Prometeo - Documents\Planning Space Implementation\3. Analysis &amp; Design\Design\FC22\DRR Jaime\QUIFA-CAJÚA\Cajua\[CAJUA_CF_SEC_New_27-Feb-2024Rev3.xlsx]D-PS'!$DT$20</v>
      </c>
      <c r="J3316" s="37" t="s">
        <v>3451</v>
      </c>
    </row>
    <row r="3317" spans="1:10" x14ac:dyDescent="0.25">
      <c r="A3317" s="32" t="s">
        <v>34</v>
      </c>
      <c r="B3317" s="32">
        <f t="shared" si="785"/>
        <v>2032</v>
      </c>
      <c r="C3317" s="33" t="s">
        <v>42</v>
      </c>
      <c r="D3317" s="34" t="s">
        <v>1999</v>
      </c>
      <c r="E3317" s="35" t="str">
        <f t="shared" si="719"/>
        <v>PS'!</v>
      </c>
      <c r="F3317" s="34" t="str">
        <f t="shared" si="720"/>
        <v>C:\Users\jaime.benazar\Quorum Business Solutions\Ecopetrol Prometeo - Documents\Planning Space Implementation\3. Analysis &amp; Design\Design\FC22\DRR Jaime\QUIFA-CAJÚA\Cajua\[CAJUA_CF_SEC_New_27-Feb-2024Rev3.xlsx]D-PS'!</v>
      </c>
      <c r="G3317" s="32" t="s">
        <v>117</v>
      </c>
      <c r="H3317" s="33">
        <f t="shared" si="784"/>
        <v>21</v>
      </c>
      <c r="I3317" s="33" t="str">
        <f t="shared" si="783"/>
        <v>='C:\Users\jaime.benazar\Quorum Business Solutions\Ecopetrol Prometeo - Documents\Planning Space Implementation\3. Analysis &amp; Design\Design\FC22\DRR Jaime\QUIFA-CAJÚA\Cajua\[CAJUA_CF_SEC_New_27-Feb-2024Rev3.xlsx]D-PS'!$DT$21</v>
      </c>
      <c r="J3317" s="37" t="s">
        <v>3452</v>
      </c>
    </row>
    <row r="3318" spans="1:10" x14ac:dyDescent="0.25">
      <c r="A3318" s="32" t="s">
        <v>34</v>
      </c>
      <c r="B3318" s="32">
        <f t="shared" si="785"/>
        <v>2033</v>
      </c>
      <c r="C3318" s="33" t="s">
        <v>42</v>
      </c>
      <c r="D3318" s="34" t="s">
        <v>1999</v>
      </c>
      <c r="E3318" s="35" t="str">
        <f t="shared" si="719"/>
        <v>PS'!</v>
      </c>
      <c r="F3318" s="34" t="str">
        <f t="shared" si="720"/>
        <v>C:\Users\jaime.benazar\Quorum Business Solutions\Ecopetrol Prometeo - Documents\Planning Space Implementation\3. Analysis &amp; Design\Design\FC22\DRR Jaime\QUIFA-CAJÚA\Cajua\[CAJUA_CF_SEC_New_27-Feb-2024Rev3.xlsx]D-PS'!</v>
      </c>
      <c r="G3318" s="32" t="s">
        <v>117</v>
      </c>
      <c r="H3318" s="33">
        <f t="shared" si="784"/>
        <v>22</v>
      </c>
      <c r="I3318" s="33" t="str">
        <f t="shared" si="783"/>
        <v>='C:\Users\jaime.benazar\Quorum Business Solutions\Ecopetrol Prometeo - Documents\Planning Space Implementation\3. Analysis &amp; Design\Design\FC22\DRR Jaime\QUIFA-CAJÚA\Cajua\[CAJUA_CF_SEC_New_27-Feb-2024Rev3.xlsx]D-PS'!$DT$22</v>
      </c>
      <c r="J3318" s="37" t="s">
        <v>3453</v>
      </c>
    </row>
    <row r="3319" spans="1:10" x14ac:dyDescent="0.25">
      <c r="A3319" s="32" t="s">
        <v>34</v>
      </c>
      <c r="B3319" s="32">
        <f t="shared" si="785"/>
        <v>2034</v>
      </c>
      <c r="C3319" s="33" t="s">
        <v>42</v>
      </c>
      <c r="D3319" s="34" t="s">
        <v>1999</v>
      </c>
      <c r="E3319" s="35" t="str">
        <f t="shared" si="719"/>
        <v>PS'!</v>
      </c>
      <c r="F3319" s="34" t="str">
        <f t="shared" si="720"/>
        <v>C:\Users\jaime.benazar\Quorum Business Solutions\Ecopetrol Prometeo - Documents\Planning Space Implementation\3. Analysis &amp; Design\Design\FC22\DRR Jaime\QUIFA-CAJÚA\Cajua\[CAJUA_CF_SEC_New_27-Feb-2024Rev3.xlsx]D-PS'!</v>
      </c>
      <c r="G3319" s="32" t="s">
        <v>117</v>
      </c>
      <c r="H3319" s="33">
        <f t="shared" si="784"/>
        <v>23</v>
      </c>
      <c r="I3319" s="33" t="str">
        <f t="shared" si="783"/>
        <v>='C:\Users\jaime.benazar\Quorum Business Solutions\Ecopetrol Prometeo - Documents\Planning Space Implementation\3. Analysis &amp; Design\Design\FC22\DRR Jaime\QUIFA-CAJÚA\Cajua\[CAJUA_CF_SEC_New_27-Feb-2024Rev3.xlsx]D-PS'!$DT$23</v>
      </c>
      <c r="J3319" s="37" t="s">
        <v>3454</v>
      </c>
    </row>
    <row r="3320" spans="1:10" x14ac:dyDescent="0.25">
      <c r="A3320" s="32" t="s">
        <v>34</v>
      </c>
      <c r="B3320" s="32">
        <f t="shared" si="785"/>
        <v>2035</v>
      </c>
      <c r="C3320" s="33" t="s">
        <v>42</v>
      </c>
      <c r="D3320" s="34" t="s">
        <v>1999</v>
      </c>
      <c r="E3320" s="35" t="str">
        <f t="shared" si="719"/>
        <v>PS'!</v>
      </c>
      <c r="F3320" s="34" t="str">
        <f t="shared" si="720"/>
        <v>C:\Users\jaime.benazar\Quorum Business Solutions\Ecopetrol Prometeo - Documents\Planning Space Implementation\3. Analysis &amp; Design\Design\FC22\DRR Jaime\QUIFA-CAJÚA\Cajua\[CAJUA_CF_SEC_New_27-Feb-2024Rev3.xlsx]D-PS'!</v>
      </c>
      <c r="G3320" s="32" t="s">
        <v>117</v>
      </c>
      <c r="H3320" s="33">
        <f t="shared" si="784"/>
        <v>24</v>
      </c>
      <c r="I3320" s="33" t="str">
        <f t="shared" si="783"/>
        <v>='C:\Users\jaime.benazar\Quorum Business Solutions\Ecopetrol Prometeo - Documents\Planning Space Implementation\3. Analysis &amp; Design\Design\FC22\DRR Jaime\QUIFA-CAJÚA\Cajua\[CAJUA_CF_SEC_New_27-Feb-2024Rev3.xlsx]D-PS'!$DT$24</v>
      </c>
      <c r="J3320" s="37" t="s">
        <v>3455</v>
      </c>
    </row>
    <row r="3321" spans="1:10" x14ac:dyDescent="0.25">
      <c r="A3321" s="32" t="s">
        <v>34</v>
      </c>
      <c r="B3321" s="32">
        <f t="shared" si="785"/>
        <v>2036</v>
      </c>
      <c r="C3321" s="33" t="s">
        <v>42</v>
      </c>
      <c r="D3321" s="34" t="s">
        <v>1999</v>
      </c>
      <c r="E3321" s="35" t="str">
        <f t="shared" si="719"/>
        <v>PS'!</v>
      </c>
      <c r="F3321" s="34" t="str">
        <f t="shared" si="720"/>
        <v>C:\Users\jaime.benazar\Quorum Business Solutions\Ecopetrol Prometeo - Documents\Planning Space Implementation\3. Analysis &amp; Design\Design\FC22\DRR Jaime\QUIFA-CAJÚA\Cajua\[CAJUA_CF_SEC_New_27-Feb-2024Rev3.xlsx]D-PS'!</v>
      </c>
      <c r="G3321" s="32" t="s">
        <v>117</v>
      </c>
      <c r="H3321" s="33">
        <f t="shared" si="784"/>
        <v>25</v>
      </c>
      <c r="I3321" s="33" t="str">
        <f t="shared" si="783"/>
        <v>='C:\Users\jaime.benazar\Quorum Business Solutions\Ecopetrol Prometeo - Documents\Planning Space Implementation\3. Analysis &amp; Design\Design\FC22\DRR Jaime\QUIFA-CAJÚA\Cajua\[CAJUA_CF_SEC_New_27-Feb-2024Rev3.xlsx]D-PS'!$DT$25</v>
      </c>
      <c r="J3321" s="37" t="s">
        <v>3456</v>
      </c>
    </row>
    <row r="3322" spans="1:10" x14ac:dyDescent="0.25">
      <c r="A3322" s="32" t="s">
        <v>34</v>
      </c>
      <c r="B3322" s="32">
        <f>+B3321+1</f>
        <v>2037</v>
      </c>
      <c r="C3322" s="33" t="s">
        <v>42</v>
      </c>
      <c r="D3322" s="34" t="s">
        <v>1999</v>
      </c>
      <c r="E3322" s="35" t="str">
        <f t="shared" si="719"/>
        <v>PS'!</v>
      </c>
      <c r="F3322" s="34" t="str">
        <f t="shared" si="720"/>
        <v>C:\Users\jaime.benazar\Quorum Business Solutions\Ecopetrol Prometeo - Documents\Planning Space Implementation\3. Analysis &amp; Design\Design\FC22\DRR Jaime\QUIFA-CAJÚA\Cajua\[CAJUA_CF_SEC_New_27-Feb-2024Rev3.xlsx]D-PS'!</v>
      </c>
      <c r="G3322" s="32" t="s">
        <v>117</v>
      </c>
      <c r="H3322" s="33">
        <f t="shared" si="784"/>
        <v>26</v>
      </c>
      <c r="I3322" s="33" t="str">
        <f t="shared" si="783"/>
        <v>='C:\Users\jaime.benazar\Quorum Business Solutions\Ecopetrol Prometeo - Documents\Planning Space Implementation\3. Analysis &amp; Design\Design\FC22\DRR Jaime\QUIFA-CAJÚA\Cajua\[CAJUA_CF_SEC_New_27-Feb-2024Rev3.xlsx]D-PS'!$DT$26</v>
      </c>
      <c r="J3322" s="37" t="s">
        <v>3457</v>
      </c>
    </row>
    <row r="3323" spans="1:10" x14ac:dyDescent="0.25">
      <c r="A3323" s="32" t="s">
        <v>34</v>
      </c>
      <c r="B3323" s="32">
        <f t="shared" ref="B3323:B3325" si="786">+B3322+1</f>
        <v>2038</v>
      </c>
      <c r="C3323" s="33" t="s">
        <v>42</v>
      </c>
      <c r="D3323" s="34" t="s">
        <v>1999</v>
      </c>
      <c r="E3323" s="35" t="str">
        <f t="shared" si="719"/>
        <v>PS'!</v>
      </c>
      <c r="F3323" s="34" t="str">
        <f t="shared" si="720"/>
        <v>C:\Users\jaime.benazar\Quorum Business Solutions\Ecopetrol Prometeo - Documents\Planning Space Implementation\3. Analysis &amp; Design\Design\FC22\DRR Jaime\QUIFA-CAJÚA\Cajua\[CAJUA_CF_SEC_New_27-Feb-2024Rev3.xlsx]D-PS'!</v>
      </c>
      <c r="G3323" s="32" t="s">
        <v>117</v>
      </c>
      <c r="H3323" s="33">
        <f t="shared" si="784"/>
        <v>27</v>
      </c>
      <c r="I3323" s="33" t="str">
        <f t="shared" si="783"/>
        <v>='C:\Users\jaime.benazar\Quorum Business Solutions\Ecopetrol Prometeo - Documents\Planning Space Implementation\3. Analysis &amp; Design\Design\FC22\DRR Jaime\QUIFA-CAJÚA\Cajua\[CAJUA_CF_SEC_New_27-Feb-2024Rev3.xlsx]D-PS'!$DT$27</v>
      </c>
      <c r="J3323" s="37" t="s">
        <v>3458</v>
      </c>
    </row>
    <row r="3324" spans="1:10" x14ac:dyDescent="0.25">
      <c r="A3324" s="32" t="s">
        <v>34</v>
      </c>
      <c r="B3324" s="32">
        <f t="shared" si="786"/>
        <v>2039</v>
      </c>
      <c r="C3324" s="33" t="s">
        <v>42</v>
      </c>
      <c r="D3324" s="34" t="s">
        <v>1999</v>
      </c>
      <c r="E3324" s="35" t="str">
        <f t="shared" si="719"/>
        <v>PS'!</v>
      </c>
      <c r="F3324" s="34" t="str">
        <f t="shared" si="720"/>
        <v>C:\Users\jaime.benazar\Quorum Business Solutions\Ecopetrol Prometeo - Documents\Planning Space Implementation\3. Analysis &amp; Design\Design\FC22\DRR Jaime\QUIFA-CAJÚA\Cajua\[CAJUA_CF_SEC_New_27-Feb-2024Rev3.xlsx]D-PS'!</v>
      </c>
      <c r="G3324" s="32" t="s">
        <v>117</v>
      </c>
      <c r="H3324" s="33">
        <f t="shared" si="784"/>
        <v>28</v>
      </c>
      <c r="I3324" s="33" t="str">
        <f t="shared" si="783"/>
        <v>='C:\Users\jaime.benazar\Quorum Business Solutions\Ecopetrol Prometeo - Documents\Planning Space Implementation\3. Analysis &amp; Design\Design\FC22\DRR Jaime\QUIFA-CAJÚA\Cajua\[CAJUA_CF_SEC_New_27-Feb-2024Rev3.xlsx]D-PS'!$DT$28</v>
      </c>
      <c r="J3324" s="37" t="s">
        <v>3459</v>
      </c>
    </row>
    <row r="3325" spans="1:10" x14ac:dyDescent="0.25">
      <c r="A3325" s="32" t="s">
        <v>34</v>
      </c>
      <c r="B3325" s="32">
        <f t="shared" si="786"/>
        <v>2040</v>
      </c>
      <c r="C3325" s="33" t="s">
        <v>42</v>
      </c>
      <c r="D3325" s="34" t="s">
        <v>1999</v>
      </c>
      <c r="E3325" s="35" t="str">
        <f t="shared" si="719"/>
        <v>PS'!</v>
      </c>
      <c r="F3325" s="34" t="str">
        <f t="shared" si="720"/>
        <v>C:\Users\jaime.benazar\Quorum Business Solutions\Ecopetrol Prometeo - Documents\Planning Space Implementation\3. Analysis &amp; Design\Design\FC22\DRR Jaime\QUIFA-CAJÚA\Cajua\[CAJUA_CF_SEC_New_27-Feb-2024Rev3.xlsx]D-PS'!</v>
      </c>
      <c r="G3325" s="32" t="s">
        <v>117</v>
      </c>
      <c r="H3325" s="33">
        <f t="shared" si="784"/>
        <v>29</v>
      </c>
      <c r="I3325" s="33" t="str">
        <f t="shared" si="783"/>
        <v>='C:\Users\jaime.benazar\Quorum Business Solutions\Ecopetrol Prometeo - Documents\Planning Space Implementation\3. Analysis &amp; Design\Design\FC22\DRR Jaime\QUIFA-CAJÚA\Cajua\[CAJUA_CF_SEC_New_27-Feb-2024Rev3.xlsx]D-PS'!$DT$29</v>
      </c>
      <c r="J3325" s="37" t="s">
        <v>3460</v>
      </c>
    </row>
    <row r="3326" spans="1:10" x14ac:dyDescent="0.25">
      <c r="A3326" s="32" t="s">
        <v>34</v>
      </c>
      <c r="B3326" s="32">
        <f>+B3325+1</f>
        <v>2041</v>
      </c>
      <c r="C3326" s="33" t="s">
        <v>42</v>
      </c>
      <c r="D3326" s="34" t="s">
        <v>1999</v>
      </c>
      <c r="E3326" s="35" t="str">
        <f t="shared" si="719"/>
        <v>PS'!</v>
      </c>
      <c r="F3326" s="34" t="str">
        <f t="shared" si="720"/>
        <v>C:\Users\jaime.benazar\Quorum Business Solutions\Ecopetrol Prometeo - Documents\Planning Space Implementation\3. Analysis &amp; Design\Design\FC22\DRR Jaime\QUIFA-CAJÚA\Cajua\[CAJUA_CF_SEC_New_27-Feb-2024Rev3.xlsx]D-PS'!</v>
      </c>
      <c r="G3326" s="32" t="s">
        <v>117</v>
      </c>
      <c r="H3326" s="33">
        <f t="shared" si="784"/>
        <v>30</v>
      </c>
      <c r="I3326" s="33" t="str">
        <f t="shared" si="783"/>
        <v>='C:\Users\jaime.benazar\Quorum Business Solutions\Ecopetrol Prometeo - Documents\Planning Space Implementation\3. Analysis &amp; Design\Design\FC22\DRR Jaime\QUIFA-CAJÚA\Cajua\[CAJUA_CF_SEC_New_27-Feb-2024Rev3.xlsx]D-PS'!$DT$30</v>
      </c>
      <c r="J3326" s="37" t="s">
        <v>3461</v>
      </c>
    </row>
    <row r="3327" spans="1:10" x14ac:dyDescent="0.25">
      <c r="A3327" s="32" t="s">
        <v>34</v>
      </c>
      <c r="B3327" s="32">
        <f t="shared" ref="B3327:B3328" si="787">+B3326+1</f>
        <v>2042</v>
      </c>
      <c r="C3327" s="33" t="s">
        <v>42</v>
      </c>
      <c r="D3327" s="34" t="s">
        <v>1999</v>
      </c>
      <c r="E3327" s="35" t="str">
        <f t="shared" si="719"/>
        <v>PS'!</v>
      </c>
      <c r="F3327" s="34" t="str">
        <f t="shared" si="720"/>
        <v>C:\Users\jaime.benazar\Quorum Business Solutions\Ecopetrol Prometeo - Documents\Planning Space Implementation\3. Analysis &amp; Design\Design\FC22\DRR Jaime\QUIFA-CAJÚA\Cajua\[CAJUA_CF_SEC_New_27-Feb-2024Rev3.xlsx]D-PS'!</v>
      </c>
      <c r="G3327" s="32" t="s">
        <v>117</v>
      </c>
      <c r="H3327" s="33">
        <f t="shared" si="784"/>
        <v>31</v>
      </c>
      <c r="I3327" s="33" t="str">
        <f t="shared" si="783"/>
        <v>='C:\Users\jaime.benazar\Quorum Business Solutions\Ecopetrol Prometeo - Documents\Planning Space Implementation\3. Analysis &amp; Design\Design\FC22\DRR Jaime\QUIFA-CAJÚA\Cajua\[CAJUA_CF_SEC_New_27-Feb-2024Rev3.xlsx]D-PS'!$DT$31</v>
      </c>
      <c r="J3327" s="37" t="s">
        <v>3462</v>
      </c>
    </row>
    <row r="3328" spans="1:10" x14ac:dyDescent="0.25">
      <c r="A3328" s="32" t="s">
        <v>34</v>
      </c>
      <c r="B3328" s="32">
        <f t="shared" si="787"/>
        <v>2043</v>
      </c>
      <c r="C3328" s="33" t="s">
        <v>42</v>
      </c>
      <c r="D3328" s="34" t="s">
        <v>1999</v>
      </c>
      <c r="E3328" s="35" t="str">
        <f t="shared" si="719"/>
        <v>PS'!</v>
      </c>
      <c r="F3328" s="34" t="str">
        <f t="shared" si="720"/>
        <v>C:\Users\jaime.benazar\Quorum Business Solutions\Ecopetrol Prometeo - Documents\Planning Space Implementation\3. Analysis &amp; Design\Design\FC22\DRR Jaime\QUIFA-CAJÚA\Cajua\[CAJUA_CF_SEC_New_27-Feb-2024Rev3.xlsx]D-PS'!</v>
      </c>
      <c r="G3328" s="32" t="s">
        <v>117</v>
      </c>
      <c r="H3328" s="33">
        <f t="shared" si="784"/>
        <v>32</v>
      </c>
      <c r="I3328" s="33" t="str">
        <f t="shared" si="783"/>
        <v>='C:\Users\jaime.benazar\Quorum Business Solutions\Ecopetrol Prometeo - Documents\Planning Space Implementation\3. Analysis &amp; Design\Design\FC22\DRR Jaime\QUIFA-CAJÚA\Cajua\[CAJUA_CF_SEC_New_27-Feb-2024Rev3.xlsx]D-PS'!$DT$32</v>
      </c>
      <c r="J3328" s="37" t="s">
        <v>3463</v>
      </c>
    </row>
    <row r="3329" spans="1:10" x14ac:dyDescent="0.25">
      <c r="A3329" s="32" t="s">
        <v>34</v>
      </c>
      <c r="B3329" s="32">
        <f>+B3328+1</f>
        <v>2044</v>
      </c>
      <c r="C3329" s="33" t="s">
        <v>42</v>
      </c>
      <c r="D3329" s="34" t="s">
        <v>1999</v>
      </c>
      <c r="E3329" s="35" t="str">
        <f t="shared" ref="E3329:E3344" si="788">_xlfn.CONCAT(A3329,"'!")</f>
        <v>PS'!</v>
      </c>
      <c r="F3329" s="34" t="str">
        <f t="shared" ref="F3329:F3344" si="789">_xlfn.CONCAT(D3329:E3329)</f>
        <v>C:\Users\jaime.benazar\Quorum Business Solutions\Ecopetrol Prometeo - Documents\Planning Space Implementation\3. Analysis &amp; Design\Design\FC22\DRR Jaime\QUIFA-CAJÚA\Cajua\[CAJUA_CF_SEC_New_27-Feb-2024Rev3.xlsx]D-PS'!</v>
      </c>
      <c r="G3329" s="32" t="s">
        <v>117</v>
      </c>
      <c r="H3329" s="33">
        <f t="shared" ref="H3329:H3344" si="790">IF(A3329&lt;&gt;A3328,12,H3328+1)</f>
        <v>33</v>
      </c>
      <c r="I3329" s="33" t="str">
        <f t="shared" ref="I3329:I3344" si="791">_xlfn.CONCAT("='",F3329:H3329)</f>
        <v>='C:\Users\jaime.benazar\Quorum Business Solutions\Ecopetrol Prometeo - Documents\Planning Space Implementation\3. Analysis &amp; Design\Design\FC22\DRR Jaime\QUIFA-CAJÚA\Cajua\[CAJUA_CF_SEC_New_27-Feb-2024Rev3.xlsx]D-PS'!$DT$33</v>
      </c>
      <c r="J3329" s="37" t="s">
        <v>3464</v>
      </c>
    </row>
    <row r="3330" spans="1:10" x14ac:dyDescent="0.25">
      <c r="A3330" s="32" t="s">
        <v>34</v>
      </c>
      <c r="B3330" s="32">
        <f t="shared" ref="B3330:B3344" si="792">+B3329+1</f>
        <v>2045</v>
      </c>
      <c r="C3330" s="33" t="s">
        <v>42</v>
      </c>
      <c r="D3330" s="34" t="s">
        <v>1999</v>
      </c>
      <c r="E3330" s="35" t="str">
        <f t="shared" si="788"/>
        <v>PS'!</v>
      </c>
      <c r="F3330" s="34" t="str">
        <f t="shared" si="789"/>
        <v>C:\Users\jaime.benazar\Quorum Business Solutions\Ecopetrol Prometeo - Documents\Planning Space Implementation\3. Analysis &amp; Design\Design\FC22\DRR Jaime\QUIFA-CAJÚA\Cajua\[CAJUA_CF_SEC_New_27-Feb-2024Rev3.xlsx]D-PS'!</v>
      </c>
      <c r="G3330" s="32" t="s">
        <v>117</v>
      </c>
      <c r="H3330" s="33">
        <f t="shared" si="790"/>
        <v>34</v>
      </c>
      <c r="I3330" s="33" t="str">
        <f t="shared" si="791"/>
        <v>='C:\Users\jaime.benazar\Quorum Business Solutions\Ecopetrol Prometeo - Documents\Planning Space Implementation\3. Analysis &amp; Design\Design\FC22\DRR Jaime\QUIFA-CAJÚA\Cajua\[CAJUA_CF_SEC_New_27-Feb-2024Rev3.xlsx]D-PS'!$DT$34</v>
      </c>
      <c r="J3330" s="37" t="s">
        <v>3465</v>
      </c>
    </row>
    <row r="3331" spans="1:10" x14ac:dyDescent="0.25">
      <c r="A3331" s="32" t="s">
        <v>34</v>
      </c>
      <c r="B3331" s="32">
        <f t="shared" si="792"/>
        <v>2046</v>
      </c>
      <c r="C3331" s="33" t="s">
        <v>42</v>
      </c>
      <c r="D3331" s="34" t="s">
        <v>1999</v>
      </c>
      <c r="E3331" s="35" t="str">
        <f t="shared" si="788"/>
        <v>PS'!</v>
      </c>
      <c r="F3331" s="34" t="str">
        <f t="shared" si="789"/>
        <v>C:\Users\jaime.benazar\Quorum Business Solutions\Ecopetrol Prometeo - Documents\Planning Space Implementation\3. Analysis &amp; Design\Design\FC22\DRR Jaime\QUIFA-CAJÚA\Cajua\[CAJUA_CF_SEC_New_27-Feb-2024Rev3.xlsx]D-PS'!</v>
      </c>
      <c r="G3331" s="32" t="s">
        <v>117</v>
      </c>
      <c r="H3331" s="33">
        <f t="shared" si="790"/>
        <v>35</v>
      </c>
      <c r="I3331" s="33" t="str">
        <f t="shared" si="791"/>
        <v>='C:\Users\jaime.benazar\Quorum Business Solutions\Ecopetrol Prometeo - Documents\Planning Space Implementation\3. Analysis &amp; Design\Design\FC22\DRR Jaime\QUIFA-CAJÚA\Cajua\[CAJUA_CF_SEC_New_27-Feb-2024Rev3.xlsx]D-PS'!$DT$35</v>
      </c>
      <c r="J3331" s="37" t="s">
        <v>3466</v>
      </c>
    </row>
    <row r="3332" spans="1:10" x14ac:dyDescent="0.25">
      <c r="A3332" s="32" t="s">
        <v>34</v>
      </c>
      <c r="B3332" s="32">
        <f t="shared" si="792"/>
        <v>2047</v>
      </c>
      <c r="C3332" s="33" t="s">
        <v>42</v>
      </c>
      <c r="D3332" s="34" t="s">
        <v>1999</v>
      </c>
      <c r="E3332" s="35" t="str">
        <f t="shared" si="788"/>
        <v>PS'!</v>
      </c>
      <c r="F3332" s="34" t="str">
        <f t="shared" si="789"/>
        <v>C:\Users\jaime.benazar\Quorum Business Solutions\Ecopetrol Prometeo - Documents\Planning Space Implementation\3. Analysis &amp; Design\Design\FC22\DRR Jaime\QUIFA-CAJÚA\Cajua\[CAJUA_CF_SEC_New_27-Feb-2024Rev3.xlsx]D-PS'!</v>
      </c>
      <c r="G3332" s="32" t="s">
        <v>117</v>
      </c>
      <c r="H3332" s="33">
        <f t="shared" si="790"/>
        <v>36</v>
      </c>
      <c r="I3332" s="33" t="str">
        <f t="shared" si="791"/>
        <v>='C:\Users\jaime.benazar\Quorum Business Solutions\Ecopetrol Prometeo - Documents\Planning Space Implementation\3. Analysis &amp; Design\Design\FC22\DRR Jaime\QUIFA-CAJÚA\Cajua\[CAJUA_CF_SEC_New_27-Feb-2024Rev3.xlsx]D-PS'!$DT$36</v>
      </c>
      <c r="J3332" s="37" t="s">
        <v>3467</v>
      </c>
    </row>
    <row r="3333" spans="1:10" x14ac:dyDescent="0.25">
      <c r="A3333" s="32" t="s">
        <v>34</v>
      </c>
      <c r="B3333" s="32">
        <f t="shared" si="792"/>
        <v>2048</v>
      </c>
      <c r="C3333" s="33" t="s">
        <v>42</v>
      </c>
      <c r="D3333" s="34" t="s">
        <v>1999</v>
      </c>
      <c r="E3333" s="35" t="str">
        <f t="shared" si="788"/>
        <v>PS'!</v>
      </c>
      <c r="F3333" s="34" t="str">
        <f t="shared" si="789"/>
        <v>C:\Users\jaime.benazar\Quorum Business Solutions\Ecopetrol Prometeo - Documents\Planning Space Implementation\3. Analysis &amp; Design\Design\FC22\DRR Jaime\QUIFA-CAJÚA\Cajua\[CAJUA_CF_SEC_New_27-Feb-2024Rev3.xlsx]D-PS'!</v>
      </c>
      <c r="G3333" s="32" t="s">
        <v>117</v>
      </c>
      <c r="H3333" s="33">
        <f t="shared" si="790"/>
        <v>37</v>
      </c>
      <c r="I3333" s="33" t="str">
        <f t="shared" si="791"/>
        <v>='C:\Users\jaime.benazar\Quorum Business Solutions\Ecopetrol Prometeo - Documents\Planning Space Implementation\3. Analysis &amp; Design\Design\FC22\DRR Jaime\QUIFA-CAJÚA\Cajua\[CAJUA_CF_SEC_New_27-Feb-2024Rev3.xlsx]D-PS'!$DT$37</v>
      </c>
      <c r="J3333" s="37" t="s">
        <v>3468</v>
      </c>
    </row>
    <row r="3334" spans="1:10" x14ac:dyDescent="0.25">
      <c r="A3334" s="32" t="s">
        <v>34</v>
      </c>
      <c r="B3334" s="32">
        <f t="shared" si="792"/>
        <v>2049</v>
      </c>
      <c r="C3334" s="33" t="s">
        <v>42</v>
      </c>
      <c r="D3334" s="34" t="s">
        <v>1999</v>
      </c>
      <c r="E3334" s="35" t="str">
        <f t="shared" si="788"/>
        <v>PS'!</v>
      </c>
      <c r="F3334" s="34" t="str">
        <f t="shared" si="789"/>
        <v>C:\Users\jaime.benazar\Quorum Business Solutions\Ecopetrol Prometeo - Documents\Planning Space Implementation\3. Analysis &amp; Design\Design\FC22\DRR Jaime\QUIFA-CAJÚA\Cajua\[CAJUA_CF_SEC_New_27-Feb-2024Rev3.xlsx]D-PS'!</v>
      </c>
      <c r="G3334" s="32" t="s">
        <v>117</v>
      </c>
      <c r="H3334" s="33">
        <f t="shared" si="790"/>
        <v>38</v>
      </c>
      <c r="I3334" s="33" t="str">
        <f t="shared" si="791"/>
        <v>='C:\Users\jaime.benazar\Quorum Business Solutions\Ecopetrol Prometeo - Documents\Planning Space Implementation\3. Analysis &amp; Design\Design\FC22\DRR Jaime\QUIFA-CAJÚA\Cajua\[CAJUA_CF_SEC_New_27-Feb-2024Rev3.xlsx]D-PS'!$DT$38</v>
      </c>
      <c r="J3334" s="37" t="s">
        <v>3469</v>
      </c>
    </row>
    <row r="3335" spans="1:10" x14ac:dyDescent="0.25">
      <c r="A3335" s="32" t="s">
        <v>34</v>
      </c>
      <c r="B3335" s="32">
        <f t="shared" si="792"/>
        <v>2050</v>
      </c>
      <c r="C3335" s="33" t="s">
        <v>42</v>
      </c>
      <c r="D3335" s="34" t="s">
        <v>1999</v>
      </c>
      <c r="E3335" s="35" t="str">
        <f t="shared" si="788"/>
        <v>PS'!</v>
      </c>
      <c r="F3335" s="34" t="str">
        <f t="shared" si="789"/>
        <v>C:\Users\jaime.benazar\Quorum Business Solutions\Ecopetrol Prometeo - Documents\Planning Space Implementation\3. Analysis &amp; Design\Design\FC22\DRR Jaime\QUIFA-CAJÚA\Cajua\[CAJUA_CF_SEC_New_27-Feb-2024Rev3.xlsx]D-PS'!</v>
      </c>
      <c r="G3335" s="32" t="s">
        <v>117</v>
      </c>
      <c r="H3335" s="33">
        <f t="shared" si="790"/>
        <v>39</v>
      </c>
      <c r="I3335" s="33" t="str">
        <f t="shared" si="791"/>
        <v>='C:\Users\jaime.benazar\Quorum Business Solutions\Ecopetrol Prometeo - Documents\Planning Space Implementation\3. Analysis &amp; Design\Design\FC22\DRR Jaime\QUIFA-CAJÚA\Cajua\[CAJUA_CF_SEC_New_27-Feb-2024Rev3.xlsx]D-PS'!$DT$39</v>
      </c>
      <c r="J3335" s="37" t="s">
        <v>3470</v>
      </c>
    </row>
    <row r="3336" spans="1:10" x14ac:dyDescent="0.25">
      <c r="A3336" s="32" t="s">
        <v>34</v>
      </c>
      <c r="B3336" s="32">
        <f t="shared" si="792"/>
        <v>2051</v>
      </c>
      <c r="C3336" s="33" t="s">
        <v>42</v>
      </c>
      <c r="D3336" s="34" t="s">
        <v>1999</v>
      </c>
      <c r="E3336" s="35" t="str">
        <f t="shared" si="788"/>
        <v>PS'!</v>
      </c>
      <c r="F3336" s="34" t="str">
        <f t="shared" si="789"/>
        <v>C:\Users\jaime.benazar\Quorum Business Solutions\Ecopetrol Prometeo - Documents\Planning Space Implementation\3. Analysis &amp; Design\Design\FC22\DRR Jaime\QUIFA-CAJÚA\Cajua\[CAJUA_CF_SEC_New_27-Feb-2024Rev3.xlsx]D-PS'!</v>
      </c>
      <c r="G3336" s="32" t="s">
        <v>117</v>
      </c>
      <c r="H3336" s="33">
        <f t="shared" si="790"/>
        <v>40</v>
      </c>
      <c r="I3336" s="33" t="str">
        <f t="shared" si="791"/>
        <v>='C:\Users\jaime.benazar\Quorum Business Solutions\Ecopetrol Prometeo - Documents\Planning Space Implementation\3. Analysis &amp; Design\Design\FC22\DRR Jaime\QUIFA-CAJÚA\Cajua\[CAJUA_CF_SEC_New_27-Feb-2024Rev3.xlsx]D-PS'!$DT$40</v>
      </c>
      <c r="J3336" s="37" t="s">
        <v>3471</v>
      </c>
    </row>
    <row r="3337" spans="1:10" x14ac:dyDescent="0.25">
      <c r="A3337" s="32" t="s">
        <v>34</v>
      </c>
      <c r="B3337" s="32">
        <f t="shared" si="792"/>
        <v>2052</v>
      </c>
      <c r="C3337" s="33" t="s">
        <v>42</v>
      </c>
      <c r="D3337" s="34" t="s">
        <v>1999</v>
      </c>
      <c r="E3337" s="35" t="str">
        <f t="shared" si="788"/>
        <v>PS'!</v>
      </c>
      <c r="F3337" s="34" t="str">
        <f t="shared" si="789"/>
        <v>C:\Users\jaime.benazar\Quorum Business Solutions\Ecopetrol Prometeo - Documents\Planning Space Implementation\3. Analysis &amp; Design\Design\FC22\DRR Jaime\QUIFA-CAJÚA\Cajua\[CAJUA_CF_SEC_New_27-Feb-2024Rev3.xlsx]D-PS'!</v>
      </c>
      <c r="G3337" s="32" t="s">
        <v>117</v>
      </c>
      <c r="H3337" s="33">
        <f t="shared" si="790"/>
        <v>41</v>
      </c>
      <c r="I3337" s="33" t="str">
        <f t="shared" si="791"/>
        <v>='C:\Users\jaime.benazar\Quorum Business Solutions\Ecopetrol Prometeo - Documents\Planning Space Implementation\3. Analysis &amp; Design\Design\FC22\DRR Jaime\QUIFA-CAJÚA\Cajua\[CAJUA_CF_SEC_New_27-Feb-2024Rev3.xlsx]D-PS'!$DT$41</v>
      </c>
      <c r="J3337" s="37" t="s">
        <v>3472</v>
      </c>
    </row>
    <row r="3338" spans="1:10" x14ac:dyDescent="0.25">
      <c r="A3338" s="32" t="s">
        <v>34</v>
      </c>
      <c r="B3338" s="32">
        <f t="shared" si="792"/>
        <v>2053</v>
      </c>
      <c r="C3338" s="33" t="s">
        <v>42</v>
      </c>
      <c r="D3338" s="34" t="s">
        <v>1999</v>
      </c>
      <c r="E3338" s="35" t="str">
        <f t="shared" si="788"/>
        <v>PS'!</v>
      </c>
      <c r="F3338" s="34" t="str">
        <f t="shared" si="789"/>
        <v>C:\Users\jaime.benazar\Quorum Business Solutions\Ecopetrol Prometeo - Documents\Planning Space Implementation\3. Analysis &amp; Design\Design\FC22\DRR Jaime\QUIFA-CAJÚA\Cajua\[CAJUA_CF_SEC_New_27-Feb-2024Rev3.xlsx]D-PS'!</v>
      </c>
      <c r="G3338" s="32" t="s">
        <v>117</v>
      </c>
      <c r="H3338" s="33">
        <f t="shared" si="790"/>
        <v>42</v>
      </c>
      <c r="I3338" s="33" t="str">
        <f t="shared" si="791"/>
        <v>='C:\Users\jaime.benazar\Quorum Business Solutions\Ecopetrol Prometeo - Documents\Planning Space Implementation\3. Analysis &amp; Design\Design\FC22\DRR Jaime\QUIFA-CAJÚA\Cajua\[CAJUA_CF_SEC_New_27-Feb-2024Rev3.xlsx]D-PS'!$DT$42</v>
      </c>
      <c r="J3338" s="37" t="s">
        <v>3473</v>
      </c>
    </row>
    <row r="3339" spans="1:10" x14ac:dyDescent="0.25">
      <c r="A3339" s="32" t="s">
        <v>34</v>
      </c>
      <c r="B3339" s="32">
        <f t="shared" si="792"/>
        <v>2054</v>
      </c>
      <c r="C3339" s="33" t="s">
        <v>42</v>
      </c>
      <c r="D3339" s="34" t="s">
        <v>1999</v>
      </c>
      <c r="E3339" s="35" t="str">
        <f t="shared" si="788"/>
        <v>PS'!</v>
      </c>
      <c r="F3339" s="34" t="str">
        <f t="shared" si="789"/>
        <v>C:\Users\jaime.benazar\Quorum Business Solutions\Ecopetrol Prometeo - Documents\Planning Space Implementation\3. Analysis &amp; Design\Design\FC22\DRR Jaime\QUIFA-CAJÚA\Cajua\[CAJUA_CF_SEC_New_27-Feb-2024Rev3.xlsx]D-PS'!</v>
      </c>
      <c r="G3339" s="32" t="s">
        <v>117</v>
      </c>
      <c r="H3339" s="33">
        <f t="shared" si="790"/>
        <v>43</v>
      </c>
      <c r="I3339" s="33" t="str">
        <f t="shared" si="791"/>
        <v>='C:\Users\jaime.benazar\Quorum Business Solutions\Ecopetrol Prometeo - Documents\Planning Space Implementation\3. Analysis &amp; Design\Design\FC22\DRR Jaime\QUIFA-CAJÚA\Cajua\[CAJUA_CF_SEC_New_27-Feb-2024Rev3.xlsx]D-PS'!$DT$43</v>
      </c>
      <c r="J3339" s="37" t="s">
        <v>3474</v>
      </c>
    </row>
    <row r="3340" spans="1:10" x14ac:dyDescent="0.25">
      <c r="A3340" s="32" t="s">
        <v>34</v>
      </c>
      <c r="B3340" s="32">
        <f t="shared" si="792"/>
        <v>2055</v>
      </c>
      <c r="C3340" s="33" t="s">
        <v>42</v>
      </c>
      <c r="D3340" s="34" t="s">
        <v>1999</v>
      </c>
      <c r="E3340" s="35" t="str">
        <f t="shared" si="788"/>
        <v>PS'!</v>
      </c>
      <c r="F3340" s="34" t="str">
        <f t="shared" si="789"/>
        <v>C:\Users\jaime.benazar\Quorum Business Solutions\Ecopetrol Prometeo - Documents\Planning Space Implementation\3. Analysis &amp; Design\Design\FC22\DRR Jaime\QUIFA-CAJÚA\Cajua\[CAJUA_CF_SEC_New_27-Feb-2024Rev3.xlsx]D-PS'!</v>
      </c>
      <c r="G3340" s="32" t="s">
        <v>117</v>
      </c>
      <c r="H3340" s="33">
        <f t="shared" si="790"/>
        <v>44</v>
      </c>
      <c r="I3340" s="33" t="str">
        <f t="shared" si="791"/>
        <v>='C:\Users\jaime.benazar\Quorum Business Solutions\Ecopetrol Prometeo - Documents\Planning Space Implementation\3. Analysis &amp; Design\Design\FC22\DRR Jaime\QUIFA-CAJÚA\Cajua\[CAJUA_CF_SEC_New_27-Feb-2024Rev3.xlsx]D-PS'!$DT$44</v>
      </c>
      <c r="J3340" s="37" t="s">
        <v>3475</v>
      </c>
    </row>
    <row r="3341" spans="1:10" x14ac:dyDescent="0.25">
      <c r="A3341" s="32" t="s">
        <v>34</v>
      </c>
      <c r="B3341" s="32">
        <f t="shared" si="792"/>
        <v>2056</v>
      </c>
      <c r="C3341" s="33" t="s">
        <v>42</v>
      </c>
      <c r="D3341" s="34" t="s">
        <v>1999</v>
      </c>
      <c r="E3341" s="35" t="str">
        <f t="shared" si="788"/>
        <v>PS'!</v>
      </c>
      <c r="F3341" s="34" t="str">
        <f t="shared" si="789"/>
        <v>C:\Users\jaime.benazar\Quorum Business Solutions\Ecopetrol Prometeo - Documents\Planning Space Implementation\3. Analysis &amp; Design\Design\FC22\DRR Jaime\QUIFA-CAJÚA\Cajua\[CAJUA_CF_SEC_New_27-Feb-2024Rev3.xlsx]D-PS'!</v>
      </c>
      <c r="G3341" s="32" t="s">
        <v>117</v>
      </c>
      <c r="H3341" s="33">
        <f t="shared" si="790"/>
        <v>45</v>
      </c>
      <c r="I3341" s="33" t="str">
        <f t="shared" si="791"/>
        <v>='C:\Users\jaime.benazar\Quorum Business Solutions\Ecopetrol Prometeo - Documents\Planning Space Implementation\3. Analysis &amp; Design\Design\FC22\DRR Jaime\QUIFA-CAJÚA\Cajua\[CAJUA_CF_SEC_New_27-Feb-2024Rev3.xlsx]D-PS'!$DT$45</v>
      </c>
      <c r="J3341" s="37" t="s">
        <v>3476</v>
      </c>
    </row>
    <row r="3342" spans="1:10" x14ac:dyDescent="0.25">
      <c r="A3342" s="32" t="s">
        <v>34</v>
      </c>
      <c r="B3342" s="32">
        <f t="shared" si="792"/>
        <v>2057</v>
      </c>
      <c r="C3342" s="33" t="s">
        <v>42</v>
      </c>
      <c r="D3342" s="34" t="s">
        <v>1999</v>
      </c>
      <c r="E3342" s="35" t="str">
        <f t="shared" si="788"/>
        <v>PS'!</v>
      </c>
      <c r="F3342" s="34" t="str">
        <f t="shared" si="789"/>
        <v>C:\Users\jaime.benazar\Quorum Business Solutions\Ecopetrol Prometeo - Documents\Planning Space Implementation\3. Analysis &amp; Design\Design\FC22\DRR Jaime\QUIFA-CAJÚA\Cajua\[CAJUA_CF_SEC_New_27-Feb-2024Rev3.xlsx]D-PS'!</v>
      </c>
      <c r="G3342" s="32" t="s">
        <v>117</v>
      </c>
      <c r="H3342" s="33">
        <f t="shared" si="790"/>
        <v>46</v>
      </c>
      <c r="I3342" s="33" t="str">
        <f t="shared" si="791"/>
        <v>='C:\Users\jaime.benazar\Quorum Business Solutions\Ecopetrol Prometeo - Documents\Planning Space Implementation\3. Analysis &amp; Design\Design\FC22\DRR Jaime\QUIFA-CAJÚA\Cajua\[CAJUA_CF_SEC_New_27-Feb-2024Rev3.xlsx]D-PS'!$DT$46</v>
      </c>
      <c r="J3342" s="37" t="s">
        <v>3477</v>
      </c>
    </row>
    <row r="3343" spans="1:10" x14ac:dyDescent="0.25">
      <c r="A3343" s="32" t="s">
        <v>34</v>
      </c>
      <c r="B3343" s="32">
        <f t="shared" si="792"/>
        <v>2058</v>
      </c>
      <c r="C3343" s="33" t="s">
        <v>42</v>
      </c>
      <c r="D3343" s="34" t="s">
        <v>1999</v>
      </c>
      <c r="E3343" s="35" t="str">
        <f t="shared" si="788"/>
        <v>PS'!</v>
      </c>
      <c r="F3343" s="34" t="str">
        <f t="shared" si="789"/>
        <v>C:\Users\jaime.benazar\Quorum Business Solutions\Ecopetrol Prometeo - Documents\Planning Space Implementation\3. Analysis &amp; Design\Design\FC22\DRR Jaime\QUIFA-CAJÚA\Cajua\[CAJUA_CF_SEC_New_27-Feb-2024Rev3.xlsx]D-PS'!</v>
      </c>
      <c r="G3343" s="32" t="s">
        <v>117</v>
      </c>
      <c r="H3343" s="33">
        <f t="shared" si="790"/>
        <v>47</v>
      </c>
      <c r="I3343" s="33" t="str">
        <f t="shared" si="791"/>
        <v>='C:\Users\jaime.benazar\Quorum Business Solutions\Ecopetrol Prometeo - Documents\Planning Space Implementation\3. Analysis &amp; Design\Design\FC22\DRR Jaime\QUIFA-CAJÚA\Cajua\[CAJUA_CF_SEC_New_27-Feb-2024Rev3.xlsx]D-PS'!$DT$47</v>
      </c>
      <c r="J3343" s="37" t="s">
        <v>3478</v>
      </c>
    </row>
    <row r="3344" spans="1:10" x14ac:dyDescent="0.25">
      <c r="A3344" s="32" t="s">
        <v>34</v>
      </c>
      <c r="B3344" s="32">
        <f t="shared" si="792"/>
        <v>2059</v>
      </c>
      <c r="C3344" s="33" t="s">
        <v>42</v>
      </c>
      <c r="D3344" s="34" t="s">
        <v>1999</v>
      </c>
      <c r="E3344" s="35" t="str">
        <f t="shared" si="788"/>
        <v>PS'!</v>
      </c>
      <c r="F3344" s="34" t="str">
        <f t="shared" si="789"/>
        <v>C:\Users\jaime.benazar\Quorum Business Solutions\Ecopetrol Prometeo - Documents\Planning Space Implementation\3. Analysis &amp; Design\Design\FC22\DRR Jaime\QUIFA-CAJÚA\Cajua\[CAJUA_CF_SEC_New_27-Feb-2024Rev3.xlsx]D-PS'!</v>
      </c>
      <c r="G3344" s="32" t="s">
        <v>117</v>
      </c>
      <c r="H3344" s="33">
        <f t="shared" si="790"/>
        <v>48</v>
      </c>
      <c r="I3344" s="33" t="str">
        <f t="shared" si="791"/>
        <v>='C:\Users\jaime.benazar\Quorum Business Solutions\Ecopetrol Prometeo - Documents\Planning Space Implementation\3. Analysis &amp; Design\Design\FC22\DRR Jaime\QUIFA-CAJÚA\Cajua\[CAJUA_CF_SEC_New_27-Feb-2024Rev3.xlsx]D-PS'!$DT$48</v>
      </c>
      <c r="J3344" s="37" t="s">
        <v>3479</v>
      </c>
    </row>
    <row r="3345" spans="1:10" x14ac:dyDescent="0.25">
      <c r="A3345" s="32" t="s">
        <v>28</v>
      </c>
      <c r="B3345" s="32"/>
      <c r="C3345" s="33" t="s">
        <v>42</v>
      </c>
      <c r="D3345" s="34"/>
      <c r="E3345" s="32" t="str">
        <f t="shared" si="719"/>
        <v>Total'!</v>
      </c>
      <c r="F3345" s="33"/>
      <c r="G3345" s="32"/>
      <c r="H3345" s="33"/>
      <c r="I3345" s="33"/>
      <c r="J3345" s="33"/>
    </row>
    <row r="3346" spans="1:10" x14ac:dyDescent="0.25">
      <c r="A3346" s="32" t="s">
        <v>1</v>
      </c>
      <c r="B3346" s="32">
        <v>2023</v>
      </c>
      <c r="C3346" s="33" t="s">
        <v>49</v>
      </c>
      <c r="D3346" s="34" t="s">
        <v>1999</v>
      </c>
      <c r="E3346" s="35" t="str">
        <f>_xlfn.CONCAT(A3346,"'!")</f>
        <v>PDP'!</v>
      </c>
      <c r="F3346" s="34" t="str">
        <f>_xlfn.CONCAT(D3346:E3346)</f>
        <v>C:\Users\jaime.benazar\Quorum Business Solutions\Ecopetrol Prometeo - Documents\Planning Space Implementation\3. Analysis &amp; Design\Design\FC22\DRR Jaime\QUIFA-CAJÚA\Cajua\[CAJUA_CF_SEC_New_27-Feb-2024Rev3.xlsx]D-PDP'!</v>
      </c>
      <c r="G3346" s="32" t="s">
        <v>111</v>
      </c>
      <c r="H3346" s="33">
        <f>IF(A3346&lt;&gt;A3345,12,H3345+1)</f>
        <v>12</v>
      </c>
      <c r="I3346" s="33" t="str">
        <f t="shared" ref="I3346:I3366" si="793">_xlfn.CONCAT("='",F3346:H3346)</f>
        <v>='C:\Users\jaime.benazar\Quorum Business Solutions\Ecopetrol Prometeo - Documents\Planning Space Implementation\3. Analysis &amp; Design\Design\FC22\DRR Jaime\QUIFA-CAJÚA\Cajua\[CAJUA_CF_SEC_New_27-Feb-2024Rev3.xlsx]D-PDP'!$BE$12</v>
      </c>
      <c r="J3346" s="36" t="s">
        <v>3480</v>
      </c>
    </row>
    <row r="3347" spans="1:10" x14ac:dyDescent="0.25">
      <c r="A3347" s="32" t="s">
        <v>1</v>
      </c>
      <c r="B3347" s="32">
        <f>+B3346+1</f>
        <v>2024</v>
      </c>
      <c r="C3347" s="33" t="s">
        <v>49</v>
      </c>
      <c r="D3347" s="34" t="s">
        <v>1999</v>
      </c>
      <c r="E3347" s="35" t="str">
        <f t="shared" ref="E3347:E3404" si="794">_xlfn.CONCAT(A3347,"'!")</f>
        <v>PDP'!</v>
      </c>
      <c r="F3347" s="34" t="str">
        <f t="shared" ref="F3347:F3366" si="795">_xlfn.CONCAT(D3347:E3347)</f>
        <v>C:\Users\jaime.benazar\Quorum Business Solutions\Ecopetrol Prometeo - Documents\Planning Space Implementation\3. Analysis &amp; Design\Design\FC22\DRR Jaime\QUIFA-CAJÚA\Cajua\[CAJUA_CF_SEC_New_27-Feb-2024Rev3.xlsx]D-PDP'!</v>
      </c>
      <c r="G3347" s="32" t="s">
        <v>111</v>
      </c>
      <c r="H3347" s="33">
        <f>IF(A3347&lt;&gt;A3346,36,H3346+1)</f>
        <v>13</v>
      </c>
      <c r="I3347" s="33" t="str">
        <f t="shared" si="793"/>
        <v>='C:\Users\jaime.benazar\Quorum Business Solutions\Ecopetrol Prometeo - Documents\Planning Space Implementation\3. Analysis &amp; Design\Design\FC22\DRR Jaime\QUIFA-CAJÚA\Cajua\[CAJUA_CF_SEC_New_27-Feb-2024Rev3.xlsx]D-PDP'!$BE$13</v>
      </c>
      <c r="J3347" s="37" t="s">
        <v>3481</v>
      </c>
    </row>
    <row r="3348" spans="1:10" x14ac:dyDescent="0.25">
      <c r="A3348" s="32" t="s">
        <v>1</v>
      </c>
      <c r="B3348" s="32">
        <f t="shared" ref="B3348:B3382" si="796">+B3347+1</f>
        <v>2025</v>
      </c>
      <c r="C3348" s="33" t="s">
        <v>49</v>
      </c>
      <c r="D3348" s="34" t="s">
        <v>1999</v>
      </c>
      <c r="E3348" s="35" t="str">
        <f t="shared" si="794"/>
        <v>PDP'!</v>
      </c>
      <c r="F3348" s="34" t="str">
        <f t="shared" si="795"/>
        <v>C:\Users\jaime.benazar\Quorum Business Solutions\Ecopetrol Prometeo - Documents\Planning Space Implementation\3. Analysis &amp; Design\Design\FC22\DRR Jaime\QUIFA-CAJÚA\Cajua\[CAJUA_CF_SEC_New_27-Feb-2024Rev3.xlsx]D-PDP'!</v>
      </c>
      <c r="G3348" s="32" t="s">
        <v>111</v>
      </c>
      <c r="H3348" s="33">
        <f t="shared" ref="H3348:H3366" si="797">IF(A3348&lt;&gt;A3347,36,H3347+1)</f>
        <v>14</v>
      </c>
      <c r="I3348" s="33" t="str">
        <f t="shared" si="793"/>
        <v>='C:\Users\jaime.benazar\Quorum Business Solutions\Ecopetrol Prometeo - Documents\Planning Space Implementation\3. Analysis &amp; Design\Design\FC22\DRR Jaime\QUIFA-CAJÚA\Cajua\[CAJUA_CF_SEC_New_27-Feb-2024Rev3.xlsx]D-PDP'!$BE$14</v>
      </c>
      <c r="J3348" s="37" t="s">
        <v>3482</v>
      </c>
    </row>
    <row r="3349" spans="1:10" x14ac:dyDescent="0.25">
      <c r="A3349" s="32" t="s">
        <v>1</v>
      </c>
      <c r="B3349" s="32">
        <f t="shared" si="796"/>
        <v>2026</v>
      </c>
      <c r="C3349" s="33" t="s">
        <v>49</v>
      </c>
      <c r="D3349" s="34" t="s">
        <v>1999</v>
      </c>
      <c r="E3349" s="35" t="str">
        <f t="shared" si="794"/>
        <v>PDP'!</v>
      </c>
      <c r="F3349" s="34" t="str">
        <f t="shared" si="795"/>
        <v>C:\Users\jaime.benazar\Quorum Business Solutions\Ecopetrol Prometeo - Documents\Planning Space Implementation\3. Analysis &amp; Design\Design\FC22\DRR Jaime\QUIFA-CAJÚA\Cajua\[CAJUA_CF_SEC_New_27-Feb-2024Rev3.xlsx]D-PDP'!</v>
      </c>
      <c r="G3349" s="32" t="s">
        <v>111</v>
      </c>
      <c r="H3349" s="33">
        <f t="shared" si="797"/>
        <v>15</v>
      </c>
      <c r="I3349" s="33" t="str">
        <f t="shared" si="793"/>
        <v>='C:\Users\jaime.benazar\Quorum Business Solutions\Ecopetrol Prometeo - Documents\Planning Space Implementation\3. Analysis &amp; Design\Design\FC22\DRR Jaime\QUIFA-CAJÚA\Cajua\[CAJUA_CF_SEC_New_27-Feb-2024Rev3.xlsx]D-PDP'!$BE$15</v>
      </c>
      <c r="J3349" s="37" t="s">
        <v>3483</v>
      </c>
    </row>
    <row r="3350" spans="1:10" x14ac:dyDescent="0.25">
      <c r="A3350" s="32" t="s">
        <v>1</v>
      </c>
      <c r="B3350" s="32">
        <f t="shared" si="796"/>
        <v>2027</v>
      </c>
      <c r="C3350" s="33" t="s">
        <v>49</v>
      </c>
      <c r="D3350" s="34" t="s">
        <v>1999</v>
      </c>
      <c r="E3350" s="35" t="str">
        <f t="shared" si="794"/>
        <v>PDP'!</v>
      </c>
      <c r="F3350" s="34" t="str">
        <f t="shared" si="795"/>
        <v>C:\Users\jaime.benazar\Quorum Business Solutions\Ecopetrol Prometeo - Documents\Planning Space Implementation\3. Analysis &amp; Design\Design\FC22\DRR Jaime\QUIFA-CAJÚA\Cajua\[CAJUA_CF_SEC_New_27-Feb-2024Rev3.xlsx]D-PDP'!</v>
      </c>
      <c r="G3350" s="32" t="s">
        <v>111</v>
      </c>
      <c r="H3350" s="33">
        <f t="shared" si="797"/>
        <v>16</v>
      </c>
      <c r="I3350" s="33" t="str">
        <f t="shared" si="793"/>
        <v>='C:\Users\jaime.benazar\Quorum Business Solutions\Ecopetrol Prometeo - Documents\Planning Space Implementation\3. Analysis &amp; Design\Design\FC22\DRR Jaime\QUIFA-CAJÚA\Cajua\[CAJUA_CF_SEC_New_27-Feb-2024Rev3.xlsx]D-PDP'!$BE$16</v>
      </c>
      <c r="J3350" s="37" t="s">
        <v>3484</v>
      </c>
    </row>
    <row r="3351" spans="1:10" x14ac:dyDescent="0.25">
      <c r="A3351" s="32" t="s">
        <v>1</v>
      </c>
      <c r="B3351" s="32">
        <f t="shared" si="796"/>
        <v>2028</v>
      </c>
      <c r="C3351" s="33" t="s">
        <v>49</v>
      </c>
      <c r="D3351" s="34" t="s">
        <v>1999</v>
      </c>
      <c r="E3351" s="35" t="str">
        <f t="shared" si="794"/>
        <v>PDP'!</v>
      </c>
      <c r="F3351" s="34" t="str">
        <f t="shared" si="795"/>
        <v>C:\Users\jaime.benazar\Quorum Business Solutions\Ecopetrol Prometeo - Documents\Planning Space Implementation\3. Analysis &amp; Design\Design\FC22\DRR Jaime\QUIFA-CAJÚA\Cajua\[CAJUA_CF_SEC_New_27-Feb-2024Rev3.xlsx]D-PDP'!</v>
      </c>
      <c r="G3351" s="32" t="s">
        <v>111</v>
      </c>
      <c r="H3351" s="33">
        <f t="shared" si="797"/>
        <v>17</v>
      </c>
      <c r="I3351" s="33" t="str">
        <f t="shared" si="793"/>
        <v>='C:\Users\jaime.benazar\Quorum Business Solutions\Ecopetrol Prometeo - Documents\Planning Space Implementation\3. Analysis &amp; Design\Design\FC22\DRR Jaime\QUIFA-CAJÚA\Cajua\[CAJUA_CF_SEC_New_27-Feb-2024Rev3.xlsx]D-PDP'!$BE$17</v>
      </c>
      <c r="J3351" s="37" t="s">
        <v>3485</v>
      </c>
    </row>
    <row r="3352" spans="1:10" x14ac:dyDescent="0.25">
      <c r="A3352" s="32" t="s">
        <v>1</v>
      </c>
      <c r="B3352" s="32">
        <f t="shared" si="796"/>
        <v>2029</v>
      </c>
      <c r="C3352" s="33" t="s">
        <v>49</v>
      </c>
      <c r="D3352" s="34" t="s">
        <v>1999</v>
      </c>
      <c r="E3352" s="35" t="str">
        <f t="shared" si="794"/>
        <v>PDP'!</v>
      </c>
      <c r="F3352" s="34" t="str">
        <f t="shared" si="795"/>
        <v>C:\Users\jaime.benazar\Quorum Business Solutions\Ecopetrol Prometeo - Documents\Planning Space Implementation\3. Analysis &amp; Design\Design\FC22\DRR Jaime\QUIFA-CAJÚA\Cajua\[CAJUA_CF_SEC_New_27-Feb-2024Rev3.xlsx]D-PDP'!</v>
      </c>
      <c r="G3352" s="32" t="s">
        <v>111</v>
      </c>
      <c r="H3352" s="33">
        <f t="shared" si="797"/>
        <v>18</v>
      </c>
      <c r="I3352" s="33" t="str">
        <f t="shared" si="793"/>
        <v>='C:\Users\jaime.benazar\Quorum Business Solutions\Ecopetrol Prometeo - Documents\Planning Space Implementation\3. Analysis &amp; Design\Design\FC22\DRR Jaime\QUIFA-CAJÚA\Cajua\[CAJUA_CF_SEC_New_27-Feb-2024Rev3.xlsx]D-PDP'!$BE$18</v>
      </c>
      <c r="J3352" s="37" t="s">
        <v>3486</v>
      </c>
    </row>
    <row r="3353" spans="1:10" x14ac:dyDescent="0.25">
      <c r="A3353" s="32" t="s">
        <v>1</v>
      </c>
      <c r="B3353" s="32">
        <f t="shared" si="796"/>
        <v>2030</v>
      </c>
      <c r="C3353" s="33" t="s">
        <v>49</v>
      </c>
      <c r="D3353" s="34" t="s">
        <v>1999</v>
      </c>
      <c r="E3353" s="35" t="str">
        <f t="shared" si="794"/>
        <v>PDP'!</v>
      </c>
      <c r="F3353" s="34" t="str">
        <f t="shared" si="795"/>
        <v>C:\Users\jaime.benazar\Quorum Business Solutions\Ecopetrol Prometeo - Documents\Planning Space Implementation\3. Analysis &amp; Design\Design\FC22\DRR Jaime\QUIFA-CAJÚA\Cajua\[CAJUA_CF_SEC_New_27-Feb-2024Rev3.xlsx]D-PDP'!</v>
      </c>
      <c r="G3353" s="32" t="s">
        <v>111</v>
      </c>
      <c r="H3353" s="33">
        <f t="shared" si="797"/>
        <v>19</v>
      </c>
      <c r="I3353" s="33" t="str">
        <f t="shared" si="793"/>
        <v>='C:\Users\jaime.benazar\Quorum Business Solutions\Ecopetrol Prometeo - Documents\Planning Space Implementation\3. Analysis &amp; Design\Design\FC22\DRR Jaime\QUIFA-CAJÚA\Cajua\[CAJUA_CF_SEC_New_27-Feb-2024Rev3.xlsx]D-PDP'!$BE$19</v>
      </c>
      <c r="J3353" s="37" t="s">
        <v>3487</v>
      </c>
    </row>
    <row r="3354" spans="1:10" x14ac:dyDescent="0.25">
      <c r="A3354" s="32" t="s">
        <v>1</v>
      </c>
      <c r="B3354" s="32">
        <f t="shared" si="796"/>
        <v>2031</v>
      </c>
      <c r="C3354" s="33" t="s">
        <v>49</v>
      </c>
      <c r="D3354" s="34" t="s">
        <v>1999</v>
      </c>
      <c r="E3354" s="35" t="str">
        <f t="shared" si="794"/>
        <v>PDP'!</v>
      </c>
      <c r="F3354" s="34" t="str">
        <f t="shared" si="795"/>
        <v>C:\Users\jaime.benazar\Quorum Business Solutions\Ecopetrol Prometeo - Documents\Planning Space Implementation\3. Analysis &amp; Design\Design\FC22\DRR Jaime\QUIFA-CAJÚA\Cajua\[CAJUA_CF_SEC_New_27-Feb-2024Rev3.xlsx]D-PDP'!</v>
      </c>
      <c r="G3354" s="32" t="s">
        <v>111</v>
      </c>
      <c r="H3354" s="33">
        <f t="shared" si="797"/>
        <v>20</v>
      </c>
      <c r="I3354" s="33" t="str">
        <f t="shared" si="793"/>
        <v>='C:\Users\jaime.benazar\Quorum Business Solutions\Ecopetrol Prometeo - Documents\Planning Space Implementation\3. Analysis &amp; Design\Design\FC22\DRR Jaime\QUIFA-CAJÚA\Cajua\[CAJUA_CF_SEC_New_27-Feb-2024Rev3.xlsx]D-PDP'!$BE$20</v>
      </c>
      <c r="J3354" s="37" t="s">
        <v>3488</v>
      </c>
    </row>
    <row r="3355" spans="1:10" x14ac:dyDescent="0.25">
      <c r="A3355" s="32" t="s">
        <v>1</v>
      </c>
      <c r="B3355" s="32">
        <f t="shared" si="796"/>
        <v>2032</v>
      </c>
      <c r="C3355" s="33" t="s">
        <v>49</v>
      </c>
      <c r="D3355" s="34" t="s">
        <v>1999</v>
      </c>
      <c r="E3355" s="35" t="str">
        <f t="shared" si="794"/>
        <v>PDP'!</v>
      </c>
      <c r="F3355" s="34" t="str">
        <f t="shared" si="795"/>
        <v>C:\Users\jaime.benazar\Quorum Business Solutions\Ecopetrol Prometeo - Documents\Planning Space Implementation\3. Analysis &amp; Design\Design\FC22\DRR Jaime\QUIFA-CAJÚA\Cajua\[CAJUA_CF_SEC_New_27-Feb-2024Rev3.xlsx]D-PDP'!</v>
      </c>
      <c r="G3355" s="32" t="s">
        <v>111</v>
      </c>
      <c r="H3355" s="33">
        <f t="shared" si="797"/>
        <v>21</v>
      </c>
      <c r="I3355" s="33" t="str">
        <f t="shared" si="793"/>
        <v>='C:\Users\jaime.benazar\Quorum Business Solutions\Ecopetrol Prometeo - Documents\Planning Space Implementation\3. Analysis &amp; Design\Design\FC22\DRR Jaime\QUIFA-CAJÚA\Cajua\[CAJUA_CF_SEC_New_27-Feb-2024Rev3.xlsx]D-PDP'!$BE$21</v>
      </c>
      <c r="J3355" s="37" t="s">
        <v>3489</v>
      </c>
    </row>
    <row r="3356" spans="1:10" x14ac:dyDescent="0.25">
      <c r="A3356" s="32" t="s">
        <v>1</v>
      </c>
      <c r="B3356" s="32">
        <f t="shared" si="796"/>
        <v>2033</v>
      </c>
      <c r="C3356" s="33" t="s">
        <v>49</v>
      </c>
      <c r="D3356" s="34" t="s">
        <v>1999</v>
      </c>
      <c r="E3356" s="35" t="str">
        <f t="shared" si="794"/>
        <v>PDP'!</v>
      </c>
      <c r="F3356" s="34" t="str">
        <f t="shared" si="795"/>
        <v>C:\Users\jaime.benazar\Quorum Business Solutions\Ecopetrol Prometeo - Documents\Planning Space Implementation\3. Analysis &amp; Design\Design\FC22\DRR Jaime\QUIFA-CAJÚA\Cajua\[CAJUA_CF_SEC_New_27-Feb-2024Rev3.xlsx]D-PDP'!</v>
      </c>
      <c r="G3356" s="32" t="s">
        <v>111</v>
      </c>
      <c r="H3356" s="33">
        <f t="shared" si="797"/>
        <v>22</v>
      </c>
      <c r="I3356" s="33" t="str">
        <f t="shared" si="793"/>
        <v>='C:\Users\jaime.benazar\Quorum Business Solutions\Ecopetrol Prometeo - Documents\Planning Space Implementation\3. Analysis &amp; Design\Design\FC22\DRR Jaime\QUIFA-CAJÚA\Cajua\[CAJUA_CF_SEC_New_27-Feb-2024Rev3.xlsx]D-PDP'!$BE$22</v>
      </c>
      <c r="J3356" s="37" t="s">
        <v>3490</v>
      </c>
    </row>
    <row r="3357" spans="1:10" x14ac:dyDescent="0.25">
      <c r="A3357" s="32" t="s">
        <v>1</v>
      </c>
      <c r="B3357" s="32">
        <f t="shared" si="796"/>
        <v>2034</v>
      </c>
      <c r="C3357" s="33" t="s">
        <v>49</v>
      </c>
      <c r="D3357" s="34" t="s">
        <v>1999</v>
      </c>
      <c r="E3357" s="35" t="str">
        <f t="shared" si="794"/>
        <v>PDP'!</v>
      </c>
      <c r="F3357" s="34" t="str">
        <f t="shared" si="795"/>
        <v>C:\Users\jaime.benazar\Quorum Business Solutions\Ecopetrol Prometeo - Documents\Planning Space Implementation\3. Analysis &amp; Design\Design\FC22\DRR Jaime\QUIFA-CAJÚA\Cajua\[CAJUA_CF_SEC_New_27-Feb-2024Rev3.xlsx]D-PDP'!</v>
      </c>
      <c r="G3357" s="32" t="s">
        <v>111</v>
      </c>
      <c r="H3357" s="33">
        <f t="shared" si="797"/>
        <v>23</v>
      </c>
      <c r="I3357" s="33" t="str">
        <f t="shared" si="793"/>
        <v>='C:\Users\jaime.benazar\Quorum Business Solutions\Ecopetrol Prometeo - Documents\Planning Space Implementation\3. Analysis &amp; Design\Design\FC22\DRR Jaime\QUIFA-CAJÚA\Cajua\[CAJUA_CF_SEC_New_27-Feb-2024Rev3.xlsx]D-PDP'!$BE$23</v>
      </c>
      <c r="J3357" s="37" t="s">
        <v>3491</v>
      </c>
    </row>
    <row r="3358" spans="1:10" x14ac:dyDescent="0.25">
      <c r="A3358" s="32" t="s">
        <v>1</v>
      </c>
      <c r="B3358" s="32">
        <f t="shared" si="796"/>
        <v>2035</v>
      </c>
      <c r="C3358" s="33" t="s">
        <v>49</v>
      </c>
      <c r="D3358" s="34" t="s">
        <v>1999</v>
      </c>
      <c r="E3358" s="35" t="str">
        <f t="shared" si="794"/>
        <v>PDP'!</v>
      </c>
      <c r="F3358" s="34" t="str">
        <f t="shared" si="795"/>
        <v>C:\Users\jaime.benazar\Quorum Business Solutions\Ecopetrol Prometeo - Documents\Planning Space Implementation\3. Analysis &amp; Design\Design\FC22\DRR Jaime\QUIFA-CAJÚA\Cajua\[CAJUA_CF_SEC_New_27-Feb-2024Rev3.xlsx]D-PDP'!</v>
      </c>
      <c r="G3358" s="32" t="s">
        <v>111</v>
      </c>
      <c r="H3358" s="33">
        <f t="shared" si="797"/>
        <v>24</v>
      </c>
      <c r="I3358" s="33" t="str">
        <f t="shared" si="793"/>
        <v>='C:\Users\jaime.benazar\Quorum Business Solutions\Ecopetrol Prometeo - Documents\Planning Space Implementation\3. Analysis &amp; Design\Design\FC22\DRR Jaime\QUIFA-CAJÚA\Cajua\[CAJUA_CF_SEC_New_27-Feb-2024Rev3.xlsx]D-PDP'!$BE$24</v>
      </c>
      <c r="J3358" s="37" t="s">
        <v>3492</v>
      </c>
    </row>
    <row r="3359" spans="1:10" x14ac:dyDescent="0.25">
      <c r="A3359" s="32" t="s">
        <v>1</v>
      </c>
      <c r="B3359" s="32">
        <f t="shared" si="796"/>
        <v>2036</v>
      </c>
      <c r="C3359" s="33" t="s">
        <v>49</v>
      </c>
      <c r="D3359" s="34" t="s">
        <v>1999</v>
      </c>
      <c r="E3359" s="35" t="str">
        <f t="shared" si="794"/>
        <v>PDP'!</v>
      </c>
      <c r="F3359" s="34" t="str">
        <f t="shared" si="795"/>
        <v>C:\Users\jaime.benazar\Quorum Business Solutions\Ecopetrol Prometeo - Documents\Planning Space Implementation\3. Analysis &amp; Design\Design\FC22\DRR Jaime\QUIFA-CAJÚA\Cajua\[CAJUA_CF_SEC_New_27-Feb-2024Rev3.xlsx]D-PDP'!</v>
      </c>
      <c r="G3359" s="32" t="s">
        <v>111</v>
      </c>
      <c r="H3359" s="33">
        <f t="shared" si="797"/>
        <v>25</v>
      </c>
      <c r="I3359" s="33" t="str">
        <f t="shared" si="793"/>
        <v>='C:\Users\jaime.benazar\Quorum Business Solutions\Ecopetrol Prometeo - Documents\Planning Space Implementation\3. Analysis &amp; Design\Design\FC22\DRR Jaime\QUIFA-CAJÚA\Cajua\[CAJUA_CF_SEC_New_27-Feb-2024Rev3.xlsx]D-PDP'!$BE$25</v>
      </c>
      <c r="J3359" s="37" t="s">
        <v>3493</v>
      </c>
    </row>
    <row r="3360" spans="1:10" x14ac:dyDescent="0.25">
      <c r="A3360" s="32" t="s">
        <v>1</v>
      </c>
      <c r="B3360" s="32">
        <f>+B3359+1</f>
        <v>2037</v>
      </c>
      <c r="C3360" s="33" t="s">
        <v>49</v>
      </c>
      <c r="D3360" s="34" t="s">
        <v>1999</v>
      </c>
      <c r="E3360" s="35" t="str">
        <f t="shared" si="794"/>
        <v>PDP'!</v>
      </c>
      <c r="F3360" s="34" t="str">
        <f t="shared" si="795"/>
        <v>C:\Users\jaime.benazar\Quorum Business Solutions\Ecopetrol Prometeo - Documents\Planning Space Implementation\3. Analysis &amp; Design\Design\FC22\DRR Jaime\QUIFA-CAJÚA\Cajua\[CAJUA_CF_SEC_New_27-Feb-2024Rev3.xlsx]D-PDP'!</v>
      </c>
      <c r="G3360" s="32" t="s">
        <v>111</v>
      </c>
      <c r="H3360" s="33">
        <f t="shared" si="797"/>
        <v>26</v>
      </c>
      <c r="I3360" s="33" t="str">
        <f t="shared" si="793"/>
        <v>='C:\Users\jaime.benazar\Quorum Business Solutions\Ecopetrol Prometeo - Documents\Planning Space Implementation\3. Analysis &amp; Design\Design\FC22\DRR Jaime\QUIFA-CAJÚA\Cajua\[CAJUA_CF_SEC_New_27-Feb-2024Rev3.xlsx]D-PDP'!$BE$26</v>
      </c>
      <c r="J3360" s="37" t="s">
        <v>3494</v>
      </c>
    </row>
    <row r="3361" spans="1:10" x14ac:dyDescent="0.25">
      <c r="A3361" s="32" t="s">
        <v>1</v>
      </c>
      <c r="B3361" s="32">
        <f t="shared" si="796"/>
        <v>2038</v>
      </c>
      <c r="C3361" s="33" t="s">
        <v>49</v>
      </c>
      <c r="D3361" s="34" t="s">
        <v>1999</v>
      </c>
      <c r="E3361" s="35" t="str">
        <f t="shared" si="794"/>
        <v>PDP'!</v>
      </c>
      <c r="F3361" s="34" t="str">
        <f t="shared" si="795"/>
        <v>C:\Users\jaime.benazar\Quorum Business Solutions\Ecopetrol Prometeo - Documents\Planning Space Implementation\3. Analysis &amp; Design\Design\FC22\DRR Jaime\QUIFA-CAJÚA\Cajua\[CAJUA_CF_SEC_New_27-Feb-2024Rev3.xlsx]D-PDP'!</v>
      </c>
      <c r="G3361" s="32" t="s">
        <v>111</v>
      </c>
      <c r="H3361" s="33">
        <f t="shared" si="797"/>
        <v>27</v>
      </c>
      <c r="I3361" s="33" t="str">
        <f t="shared" si="793"/>
        <v>='C:\Users\jaime.benazar\Quorum Business Solutions\Ecopetrol Prometeo - Documents\Planning Space Implementation\3. Analysis &amp; Design\Design\FC22\DRR Jaime\QUIFA-CAJÚA\Cajua\[CAJUA_CF_SEC_New_27-Feb-2024Rev3.xlsx]D-PDP'!$BE$27</v>
      </c>
      <c r="J3361" s="37" t="s">
        <v>3495</v>
      </c>
    </row>
    <row r="3362" spans="1:10" x14ac:dyDescent="0.25">
      <c r="A3362" s="32" t="s">
        <v>1</v>
      </c>
      <c r="B3362" s="32">
        <f t="shared" si="796"/>
        <v>2039</v>
      </c>
      <c r="C3362" s="33" t="s">
        <v>49</v>
      </c>
      <c r="D3362" s="34" t="s">
        <v>1999</v>
      </c>
      <c r="E3362" s="35" t="str">
        <f t="shared" si="794"/>
        <v>PDP'!</v>
      </c>
      <c r="F3362" s="34" t="str">
        <f t="shared" si="795"/>
        <v>C:\Users\jaime.benazar\Quorum Business Solutions\Ecopetrol Prometeo - Documents\Planning Space Implementation\3. Analysis &amp; Design\Design\FC22\DRR Jaime\QUIFA-CAJÚA\Cajua\[CAJUA_CF_SEC_New_27-Feb-2024Rev3.xlsx]D-PDP'!</v>
      </c>
      <c r="G3362" s="32" t="s">
        <v>111</v>
      </c>
      <c r="H3362" s="33">
        <f t="shared" si="797"/>
        <v>28</v>
      </c>
      <c r="I3362" s="33" t="str">
        <f t="shared" si="793"/>
        <v>='C:\Users\jaime.benazar\Quorum Business Solutions\Ecopetrol Prometeo - Documents\Planning Space Implementation\3. Analysis &amp; Design\Design\FC22\DRR Jaime\QUIFA-CAJÚA\Cajua\[CAJUA_CF_SEC_New_27-Feb-2024Rev3.xlsx]D-PDP'!$BE$28</v>
      </c>
      <c r="J3362" s="37" t="s">
        <v>3496</v>
      </c>
    </row>
    <row r="3363" spans="1:10" x14ac:dyDescent="0.25">
      <c r="A3363" s="32" t="s">
        <v>1</v>
      </c>
      <c r="B3363" s="32">
        <f t="shared" si="796"/>
        <v>2040</v>
      </c>
      <c r="C3363" s="33" t="s">
        <v>49</v>
      </c>
      <c r="D3363" s="34" t="s">
        <v>1999</v>
      </c>
      <c r="E3363" s="35" t="str">
        <f t="shared" si="794"/>
        <v>PDP'!</v>
      </c>
      <c r="F3363" s="34" t="str">
        <f t="shared" si="795"/>
        <v>C:\Users\jaime.benazar\Quorum Business Solutions\Ecopetrol Prometeo - Documents\Planning Space Implementation\3. Analysis &amp; Design\Design\FC22\DRR Jaime\QUIFA-CAJÚA\Cajua\[CAJUA_CF_SEC_New_27-Feb-2024Rev3.xlsx]D-PDP'!</v>
      </c>
      <c r="G3363" s="32" t="s">
        <v>111</v>
      </c>
      <c r="H3363" s="33">
        <f t="shared" si="797"/>
        <v>29</v>
      </c>
      <c r="I3363" s="33" t="str">
        <f t="shared" si="793"/>
        <v>='C:\Users\jaime.benazar\Quorum Business Solutions\Ecopetrol Prometeo - Documents\Planning Space Implementation\3. Analysis &amp; Design\Design\FC22\DRR Jaime\QUIFA-CAJÚA\Cajua\[CAJUA_CF_SEC_New_27-Feb-2024Rev3.xlsx]D-PDP'!$BE$29</v>
      </c>
      <c r="J3363" s="37" t="s">
        <v>3497</v>
      </c>
    </row>
    <row r="3364" spans="1:10" x14ac:dyDescent="0.25">
      <c r="A3364" s="32" t="s">
        <v>1</v>
      </c>
      <c r="B3364" s="32">
        <f>+B3363+1</f>
        <v>2041</v>
      </c>
      <c r="C3364" s="33" t="s">
        <v>49</v>
      </c>
      <c r="D3364" s="34" t="s">
        <v>1999</v>
      </c>
      <c r="E3364" s="35" t="str">
        <f t="shared" si="794"/>
        <v>PDP'!</v>
      </c>
      <c r="F3364" s="34" t="str">
        <f t="shared" si="795"/>
        <v>C:\Users\jaime.benazar\Quorum Business Solutions\Ecopetrol Prometeo - Documents\Planning Space Implementation\3. Analysis &amp; Design\Design\FC22\DRR Jaime\QUIFA-CAJÚA\Cajua\[CAJUA_CF_SEC_New_27-Feb-2024Rev3.xlsx]D-PDP'!</v>
      </c>
      <c r="G3364" s="32" t="s">
        <v>111</v>
      </c>
      <c r="H3364" s="33">
        <f t="shared" si="797"/>
        <v>30</v>
      </c>
      <c r="I3364" s="33" t="str">
        <f t="shared" si="793"/>
        <v>='C:\Users\jaime.benazar\Quorum Business Solutions\Ecopetrol Prometeo - Documents\Planning Space Implementation\3. Analysis &amp; Design\Design\FC22\DRR Jaime\QUIFA-CAJÚA\Cajua\[CAJUA_CF_SEC_New_27-Feb-2024Rev3.xlsx]D-PDP'!$BE$30</v>
      </c>
      <c r="J3364" s="37" t="s">
        <v>3498</v>
      </c>
    </row>
    <row r="3365" spans="1:10" x14ac:dyDescent="0.25">
      <c r="A3365" s="32" t="s">
        <v>1</v>
      </c>
      <c r="B3365" s="32">
        <f t="shared" si="796"/>
        <v>2042</v>
      </c>
      <c r="C3365" s="33" t="s">
        <v>49</v>
      </c>
      <c r="D3365" s="34" t="s">
        <v>1999</v>
      </c>
      <c r="E3365" s="35" t="str">
        <f t="shared" si="794"/>
        <v>PDP'!</v>
      </c>
      <c r="F3365" s="34" t="str">
        <f t="shared" si="795"/>
        <v>C:\Users\jaime.benazar\Quorum Business Solutions\Ecopetrol Prometeo - Documents\Planning Space Implementation\3. Analysis &amp; Design\Design\FC22\DRR Jaime\QUIFA-CAJÚA\Cajua\[CAJUA_CF_SEC_New_27-Feb-2024Rev3.xlsx]D-PDP'!</v>
      </c>
      <c r="G3365" s="32" t="s">
        <v>111</v>
      </c>
      <c r="H3365" s="33">
        <f t="shared" si="797"/>
        <v>31</v>
      </c>
      <c r="I3365" s="33" t="str">
        <f t="shared" si="793"/>
        <v>='C:\Users\jaime.benazar\Quorum Business Solutions\Ecopetrol Prometeo - Documents\Planning Space Implementation\3. Analysis &amp; Design\Design\FC22\DRR Jaime\QUIFA-CAJÚA\Cajua\[CAJUA_CF_SEC_New_27-Feb-2024Rev3.xlsx]D-PDP'!$BE$31</v>
      </c>
      <c r="J3365" s="37" t="s">
        <v>3499</v>
      </c>
    </row>
    <row r="3366" spans="1:10" x14ac:dyDescent="0.25">
      <c r="A3366" s="32" t="s">
        <v>1</v>
      </c>
      <c r="B3366" s="32">
        <f t="shared" si="796"/>
        <v>2043</v>
      </c>
      <c r="C3366" s="33" t="s">
        <v>49</v>
      </c>
      <c r="D3366" s="34" t="s">
        <v>1999</v>
      </c>
      <c r="E3366" s="35" t="str">
        <f t="shared" si="794"/>
        <v>PDP'!</v>
      </c>
      <c r="F3366" s="34" t="str">
        <f t="shared" si="795"/>
        <v>C:\Users\jaime.benazar\Quorum Business Solutions\Ecopetrol Prometeo - Documents\Planning Space Implementation\3. Analysis &amp; Design\Design\FC22\DRR Jaime\QUIFA-CAJÚA\Cajua\[CAJUA_CF_SEC_New_27-Feb-2024Rev3.xlsx]D-PDP'!</v>
      </c>
      <c r="G3366" s="32" t="s">
        <v>111</v>
      </c>
      <c r="H3366" s="33">
        <f t="shared" si="797"/>
        <v>32</v>
      </c>
      <c r="I3366" s="33" t="str">
        <f t="shared" si="793"/>
        <v>='C:\Users\jaime.benazar\Quorum Business Solutions\Ecopetrol Prometeo - Documents\Planning Space Implementation\3. Analysis &amp; Design\Design\FC22\DRR Jaime\QUIFA-CAJÚA\Cajua\[CAJUA_CF_SEC_New_27-Feb-2024Rev3.xlsx]D-PDP'!$BE$32</v>
      </c>
      <c r="J3366" s="37" t="s">
        <v>3500</v>
      </c>
    </row>
    <row r="3367" spans="1:10" x14ac:dyDescent="0.25">
      <c r="A3367" s="32" t="s">
        <v>1</v>
      </c>
      <c r="B3367" s="32">
        <f>+B3366+1</f>
        <v>2044</v>
      </c>
      <c r="C3367" s="33" t="s">
        <v>49</v>
      </c>
      <c r="D3367" s="34" t="s">
        <v>1999</v>
      </c>
      <c r="E3367" s="35" t="str">
        <f t="shared" ref="E3367:E3382" si="798">_xlfn.CONCAT(A3367,"'!")</f>
        <v>PDP'!</v>
      </c>
      <c r="F3367" s="34" t="str">
        <f t="shared" ref="F3367:F3382" si="799">_xlfn.CONCAT(D3367:E3367)</f>
        <v>C:\Users\jaime.benazar\Quorum Business Solutions\Ecopetrol Prometeo - Documents\Planning Space Implementation\3. Analysis &amp; Design\Design\FC22\DRR Jaime\QUIFA-CAJÚA\Cajua\[CAJUA_CF_SEC_New_27-Feb-2024Rev3.xlsx]D-PDP'!</v>
      </c>
      <c r="G3367" s="32" t="s">
        <v>111</v>
      </c>
      <c r="H3367" s="33">
        <f t="shared" ref="H3367:H3382" si="800">IF(A3367&lt;&gt;A3366,36,H3366+1)</f>
        <v>33</v>
      </c>
      <c r="I3367" s="33" t="str">
        <f t="shared" ref="I3367:I3382" si="801">_xlfn.CONCAT("='",F3367:H3367)</f>
        <v>='C:\Users\jaime.benazar\Quorum Business Solutions\Ecopetrol Prometeo - Documents\Planning Space Implementation\3. Analysis &amp; Design\Design\FC22\DRR Jaime\QUIFA-CAJÚA\Cajua\[CAJUA_CF_SEC_New_27-Feb-2024Rev3.xlsx]D-PDP'!$BE$33</v>
      </c>
      <c r="J3367" s="37" t="s">
        <v>3501</v>
      </c>
    </row>
    <row r="3368" spans="1:10" x14ac:dyDescent="0.25">
      <c r="A3368" s="32" t="s">
        <v>1</v>
      </c>
      <c r="B3368" s="32">
        <f t="shared" si="796"/>
        <v>2045</v>
      </c>
      <c r="C3368" s="33" t="s">
        <v>49</v>
      </c>
      <c r="D3368" s="34" t="s">
        <v>1999</v>
      </c>
      <c r="E3368" s="35" t="str">
        <f t="shared" si="798"/>
        <v>PDP'!</v>
      </c>
      <c r="F3368" s="34" t="str">
        <f t="shared" si="799"/>
        <v>C:\Users\jaime.benazar\Quorum Business Solutions\Ecopetrol Prometeo - Documents\Planning Space Implementation\3. Analysis &amp; Design\Design\FC22\DRR Jaime\QUIFA-CAJÚA\Cajua\[CAJUA_CF_SEC_New_27-Feb-2024Rev3.xlsx]D-PDP'!</v>
      </c>
      <c r="G3368" s="32" t="s">
        <v>111</v>
      </c>
      <c r="H3368" s="33">
        <f t="shared" si="800"/>
        <v>34</v>
      </c>
      <c r="I3368" s="33" t="str">
        <f t="shared" si="801"/>
        <v>='C:\Users\jaime.benazar\Quorum Business Solutions\Ecopetrol Prometeo - Documents\Planning Space Implementation\3. Analysis &amp; Design\Design\FC22\DRR Jaime\QUIFA-CAJÚA\Cajua\[CAJUA_CF_SEC_New_27-Feb-2024Rev3.xlsx]D-PDP'!$BE$34</v>
      </c>
      <c r="J3368" s="37" t="s">
        <v>3502</v>
      </c>
    </row>
    <row r="3369" spans="1:10" x14ac:dyDescent="0.25">
      <c r="A3369" s="32" t="s">
        <v>1</v>
      </c>
      <c r="B3369" s="32">
        <f t="shared" si="796"/>
        <v>2046</v>
      </c>
      <c r="C3369" s="33" t="s">
        <v>49</v>
      </c>
      <c r="D3369" s="34" t="s">
        <v>1999</v>
      </c>
      <c r="E3369" s="35" t="str">
        <f t="shared" si="798"/>
        <v>PDP'!</v>
      </c>
      <c r="F3369" s="34" t="str">
        <f t="shared" si="799"/>
        <v>C:\Users\jaime.benazar\Quorum Business Solutions\Ecopetrol Prometeo - Documents\Planning Space Implementation\3. Analysis &amp; Design\Design\FC22\DRR Jaime\QUIFA-CAJÚA\Cajua\[CAJUA_CF_SEC_New_27-Feb-2024Rev3.xlsx]D-PDP'!</v>
      </c>
      <c r="G3369" s="32" t="s">
        <v>111</v>
      </c>
      <c r="H3369" s="33">
        <f t="shared" si="800"/>
        <v>35</v>
      </c>
      <c r="I3369" s="33" t="str">
        <f t="shared" si="801"/>
        <v>='C:\Users\jaime.benazar\Quorum Business Solutions\Ecopetrol Prometeo - Documents\Planning Space Implementation\3. Analysis &amp; Design\Design\FC22\DRR Jaime\QUIFA-CAJÚA\Cajua\[CAJUA_CF_SEC_New_27-Feb-2024Rev3.xlsx]D-PDP'!$BE$35</v>
      </c>
      <c r="J3369" s="37" t="s">
        <v>3503</v>
      </c>
    </row>
    <row r="3370" spans="1:10" x14ac:dyDescent="0.25">
      <c r="A3370" s="32" t="s">
        <v>1</v>
      </c>
      <c r="B3370" s="32">
        <f t="shared" si="796"/>
        <v>2047</v>
      </c>
      <c r="C3370" s="33" t="s">
        <v>49</v>
      </c>
      <c r="D3370" s="34" t="s">
        <v>1999</v>
      </c>
      <c r="E3370" s="35" t="str">
        <f t="shared" si="798"/>
        <v>PDP'!</v>
      </c>
      <c r="F3370" s="34" t="str">
        <f t="shared" si="799"/>
        <v>C:\Users\jaime.benazar\Quorum Business Solutions\Ecopetrol Prometeo - Documents\Planning Space Implementation\3. Analysis &amp; Design\Design\FC22\DRR Jaime\QUIFA-CAJÚA\Cajua\[CAJUA_CF_SEC_New_27-Feb-2024Rev3.xlsx]D-PDP'!</v>
      </c>
      <c r="G3370" s="32" t="s">
        <v>111</v>
      </c>
      <c r="H3370" s="33">
        <f t="shared" si="800"/>
        <v>36</v>
      </c>
      <c r="I3370" s="33" t="str">
        <f t="shared" si="801"/>
        <v>='C:\Users\jaime.benazar\Quorum Business Solutions\Ecopetrol Prometeo - Documents\Planning Space Implementation\3. Analysis &amp; Design\Design\FC22\DRR Jaime\QUIFA-CAJÚA\Cajua\[CAJUA_CF_SEC_New_27-Feb-2024Rev3.xlsx]D-PDP'!$BE$36</v>
      </c>
      <c r="J3370" s="37" t="s">
        <v>3504</v>
      </c>
    </row>
    <row r="3371" spans="1:10" x14ac:dyDescent="0.25">
      <c r="A3371" s="32" t="s">
        <v>1</v>
      </c>
      <c r="B3371" s="32">
        <f t="shared" si="796"/>
        <v>2048</v>
      </c>
      <c r="C3371" s="33" t="s">
        <v>49</v>
      </c>
      <c r="D3371" s="34" t="s">
        <v>1999</v>
      </c>
      <c r="E3371" s="35" t="str">
        <f t="shared" si="798"/>
        <v>PDP'!</v>
      </c>
      <c r="F3371" s="34" t="str">
        <f t="shared" si="799"/>
        <v>C:\Users\jaime.benazar\Quorum Business Solutions\Ecopetrol Prometeo - Documents\Planning Space Implementation\3. Analysis &amp; Design\Design\FC22\DRR Jaime\QUIFA-CAJÚA\Cajua\[CAJUA_CF_SEC_New_27-Feb-2024Rev3.xlsx]D-PDP'!</v>
      </c>
      <c r="G3371" s="32" t="s">
        <v>111</v>
      </c>
      <c r="H3371" s="33">
        <f t="shared" si="800"/>
        <v>37</v>
      </c>
      <c r="I3371" s="33" t="str">
        <f t="shared" si="801"/>
        <v>='C:\Users\jaime.benazar\Quorum Business Solutions\Ecopetrol Prometeo - Documents\Planning Space Implementation\3. Analysis &amp; Design\Design\FC22\DRR Jaime\QUIFA-CAJÚA\Cajua\[CAJUA_CF_SEC_New_27-Feb-2024Rev3.xlsx]D-PDP'!$BE$37</v>
      </c>
      <c r="J3371" s="37" t="s">
        <v>3505</v>
      </c>
    </row>
    <row r="3372" spans="1:10" x14ac:dyDescent="0.25">
      <c r="A3372" s="32" t="s">
        <v>1</v>
      </c>
      <c r="B3372" s="32">
        <f t="shared" si="796"/>
        <v>2049</v>
      </c>
      <c r="C3372" s="33" t="s">
        <v>49</v>
      </c>
      <c r="D3372" s="34" t="s">
        <v>1999</v>
      </c>
      <c r="E3372" s="35" t="str">
        <f t="shared" si="798"/>
        <v>PDP'!</v>
      </c>
      <c r="F3372" s="34" t="str">
        <f t="shared" si="799"/>
        <v>C:\Users\jaime.benazar\Quorum Business Solutions\Ecopetrol Prometeo - Documents\Planning Space Implementation\3. Analysis &amp; Design\Design\FC22\DRR Jaime\QUIFA-CAJÚA\Cajua\[CAJUA_CF_SEC_New_27-Feb-2024Rev3.xlsx]D-PDP'!</v>
      </c>
      <c r="G3372" s="32" t="s">
        <v>111</v>
      </c>
      <c r="H3372" s="33">
        <f t="shared" si="800"/>
        <v>38</v>
      </c>
      <c r="I3372" s="33" t="str">
        <f t="shared" si="801"/>
        <v>='C:\Users\jaime.benazar\Quorum Business Solutions\Ecopetrol Prometeo - Documents\Planning Space Implementation\3. Analysis &amp; Design\Design\FC22\DRR Jaime\QUIFA-CAJÚA\Cajua\[CAJUA_CF_SEC_New_27-Feb-2024Rev3.xlsx]D-PDP'!$BE$38</v>
      </c>
      <c r="J3372" s="37" t="s">
        <v>3506</v>
      </c>
    </row>
    <row r="3373" spans="1:10" x14ac:dyDescent="0.25">
      <c r="A3373" s="32" t="s">
        <v>1</v>
      </c>
      <c r="B3373" s="32">
        <f t="shared" si="796"/>
        <v>2050</v>
      </c>
      <c r="C3373" s="33" t="s">
        <v>49</v>
      </c>
      <c r="D3373" s="34" t="s">
        <v>1999</v>
      </c>
      <c r="E3373" s="35" t="str">
        <f t="shared" si="798"/>
        <v>PDP'!</v>
      </c>
      <c r="F3373" s="34" t="str">
        <f t="shared" si="799"/>
        <v>C:\Users\jaime.benazar\Quorum Business Solutions\Ecopetrol Prometeo - Documents\Planning Space Implementation\3. Analysis &amp; Design\Design\FC22\DRR Jaime\QUIFA-CAJÚA\Cajua\[CAJUA_CF_SEC_New_27-Feb-2024Rev3.xlsx]D-PDP'!</v>
      </c>
      <c r="G3373" s="32" t="s">
        <v>111</v>
      </c>
      <c r="H3373" s="33">
        <f t="shared" si="800"/>
        <v>39</v>
      </c>
      <c r="I3373" s="33" t="str">
        <f t="shared" si="801"/>
        <v>='C:\Users\jaime.benazar\Quorum Business Solutions\Ecopetrol Prometeo - Documents\Planning Space Implementation\3. Analysis &amp; Design\Design\FC22\DRR Jaime\QUIFA-CAJÚA\Cajua\[CAJUA_CF_SEC_New_27-Feb-2024Rev3.xlsx]D-PDP'!$BE$39</v>
      </c>
      <c r="J3373" s="37" t="s">
        <v>3507</v>
      </c>
    </row>
    <row r="3374" spans="1:10" x14ac:dyDescent="0.25">
      <c r="A3374" s="32" t="s">
        <v>1</v>
      </c>
      <c r="B3374" s="32">
        <f t="shared" si="796"/>
        <v>2051</v>
      </c>
      <c r="C3374" s="33" t="s">
        <v>49</v>
      </c>
      <c r="D3374" s="34" t="s">
        <v>1999</v>
      </c>
      <c r="E3374" s="35" t="str">
        <f t="shared" si="798"/>
        <v>PDP'!</v>
      </c>
      <c r="F3374" s="34" t="str">
        <f t="shared" si="799"/>
        <v>C:\Users\jaime.benazar\Quorum Business Solutions\Ecopetrol Prometeo - Documents\Planning Space Implementation\3. Analysis &amp; Design\Design\FC22\DRR Jaime\QUIFA-CAJÚA\Cajua\[CAJUA_CF_SEC_New_27-Feb-2024Rev3.xlsx]D-PDP'!</v>
      </c>
      <c r="G3374" s="32" t="s">
        <v>111</v>
      </c>
      <c r="H3374" s="33">
        <f t="shared" si="800"/>
        <v>40</v>
      </c>
      <c r="I3374" s="33" t="str">
        <f t="shared" si="801"/>
        <v>='C:\Users\jaime.benazar\Quorum Business Solutions\Ecopetrol Prometeo - Documents\Planning Space Implementation\3. Analysis &amp; Design\Design\FC22\DRR Jaime\QUIFA-CAJÚA\Cajua\[CAJUA_CF_SEC_New_27-Feb-2024Rev3.xlsx]D-PDP'!$BE$40</v>
      </c>
      <c r="J3374" s="37" t="s">
        <v>3508</v>
      </c>
    </row>
    <row r="3375" spans="1:10" x14ac:dyDescent="0.25">
      <c r="A3375" s="32" t="s">
        <v>1</v>
      </c>
      <c r="B3375" s="32">
        <f t="shared" si="796"/>
        <v>2052</v>
      </c>
      <c r="C3375" s="33" t="s">
        <v>49</v>
      </c>
      <c r="D3375" s="34" t="s">
        <v>1999</v>
      </c>
      <c r="E3375" s="35" t="str">
        <f t="shared" si="798"/>
        <v>PDP'!</v>
      </c>
      <c r="F3375" s="34" t="str">
        <f t="shared" si="799"/>
        <v>C:\Users\jaime.benazar\Quorum Business Solutions\Ecopetrol Prometeo - Documents\Planning Space Implementation\3. Analysis &amp; Design\Design\FC22\DRR Jaime\QUIFA-CAJÚA\Cajua\[CAJUA_CF_SEC_New_27-Feb-2024Rev3.xlsx]D-PDP'!</v>
      </c>
      <c r="G3375" s="32" t="s">
        <v>111</v>
      </c>
      <c r="H3375" s="33">
        <f t="shared" si="800"/>
        <v>41</v>
      </c>
      <c r="I3375" s="33" t="str">
        <f t="shared" si="801"/>
        <v>='C:\Users\jaime.benazar\Quorum Business Solutions\Ecopetrol Prometeo - Documents\Planning Space Implementation\3. Analysis &amp; Design\Design\FC22\DRR Jaime\QUIFA-CAJÚA\Cajua\[CAJUA_CF_SEC_New_27-Feb-2024Rev3.xlsx]D-PDP'!$BE$41</v>
      </c>
      <c r="J3375" s="37" t="s">
        <v>3509</v>
      </c>
    </row>
    <row r="3376" spans="1:10" x14ac:dyDescent="0.25">
      <c r="A3376" s="32" t="s">
        <v>1</v>
      </c>
      <c r="B3376" s="32">
        <f t="shared" si="796"/>
        <v>2053</v>
      </c>
      <c r="C3376" s="33" t="s">
        <v>49</v>
      </c>
      <c r="D3376" s="34" t="s">
        <v>1999</v>
      </c>
      <c r="E3376" s="35" t="str">
        <f t="shared" si="798"/>
        <v>PDP'!</v>
      </c>
      <c r="F3376" s="34" t="str">
        <f t="shared" si="799"/>
        <v>C:\Users\jaime.benazar\Quorum Business Solutions\Ecopetrol Prometeo - Documents\Planning Space Implementation\3. Analysis &amp; Design\Design\FC22\DRR Jaime\QUIFA-CAJÚA\Cajua\[CAJUA_CF_SEC_New_27-Feb-2024Rev3.xlsx]D-PDP'!</v>
      </c>
      <c r="G3376" s="32" t="s">
        <v>111</v>
      </c>
      <c r="H3376" s="33">
        <f t="shared" si="800"/>
        <v>42</v>
      </c>
      <c r="I3376" s="33" t="str">
        <f t="shared" si="801"/>
        <v>='C:\Users\jaime.benazar\Quorum Business Solutions\Ecopetrol Prometeo - Documents\Planning Space Implementation\3. Analysis &amp; Design\Design\FC22\DRR Jaime\QUIFA-CAJÚA\Cajua\[CAJUA_CF_SEC_New_27-Feb-2024Rev3.xlsx]D-PDP'!$BE$42</v>
      </c>
      <c r="J3376" s="37" t="s">
        <v>3510</v>
      </c>
    </row>
    <row r="3377" spans="1:10" x14ac:dyDescent="0.25">
      <c r="A3377" s="32" t="s">
        <v>1</v>
      </c>
      <c r="B3377" s="32">
        <f t="shared" si="796"/>
        <v>2054</v>
      </c>
      <c r="C3377" s="33" t="s">
        <v>49</v>
      </c>
      <c r="D3377" s="34" t="s">
        <v>1999</v>
      </c>
      <c r="E3377" s="35" t="str">
        <f t="shared" si="798"/>
        <v>PDP'!</v>
      </c>
      <c r="F3377" s="34" t="str">
        <f t="shared" si="799"/>
        <v>C:\Users\jaime.benazar\Quorum Business Solutions\Ecopetrol Prometeo - Documents\Planning Space Implementation\3. Analysis &amp; Design\Design\FC22\DRR Jaime\QUIFA-CAJÚA\Cajua\[CAJUA_CF_SEC_New_27-Feb-2024Rev3.xlsx]D-PDP'!</v>
      </c>
      <c r="G3377" s="32" t="s">
        <v>111</v>
      </c>
      <c r="H3377" s="33">
        <f t="shared" si="800"/>
        <v>43</v>
      </c>
      <c r="I3377" s="33" t="str">
        <f t="shared" si="801"/>
        <v>='C:\Users\jaime.benazar\Quorum Business Solutions\Ecopetrol Prometeo - Documents\Planning Space Implementation\3. Analysis &amp; Design\Design\FC22\DRR Jaime\QUIFA-CAJÚA\Cajua\[CAJUA_CF_SEC_New_27-Feb-2024Rev3.xlsx]D-PDP'!$BE$43</v>
      </c>
      <c r="J3377" s="37" t="s">
        <v>3511</v>
      </c>
    </row>
    <row r="3378" spans="1:10" x14ac:dyDescent="0.25">
      <c r="A3378" s="32" t="s">
        <v>1</v>
      </c>
      <c r="B3378" s="32">
        <f t="shared" si="796"/>
        <v>2055</v>
      </c>
      <c r="C3378" s="33" t="s">
        <v>49</v>
      </c>
      <c r="D3378" s="34" t="s">
        <v>1999</v>
      </c>
      <c r="E3378" s="35" t="str">
        <f t="shared" si="798"/>
        <v>PDP'!</v>
      </c>
      <c r="F3378" s="34" t="str">
        <f t="shared" si="799"/>
        <v>C:\Users\jaime.benazar\Quorum Business Solutions\Ecopetrol Prometeo - Documents\Planning Space Implementation\3. Analysis &amp; Design\Design\FC22\DRR Jaime\QUIFA-CAJÚA\Cajua\[CAJUA_CF_SEC_New_27-Feb-2024Rev3.xlsx]D-PDP'!</v>
      </c>
      <c r="G3378" s="32" t="s">
        <v>111</v>
      </c>
      <c r="H3378" s="33">
        <f t="shared" si="800"/>
        <v>44</v>
      </c>
      <c r="I3378" s="33" t="str">
        <f t="shared" si="801"/>
        <v>='C:\Users\jaime.benazar\Quorum Business Solutions\Ecopetrol Prometeo - Documents\Planning Space Implementation\3. Analysis &amp; Design\Design\FC22\DRR Jaime\QUIFA-CAJÚA\Cajua\[CAJUA_CF_SEC_New_27-Feb-2024Rev3.xlsx]D-PDP'!$BE$44</v>
      </c>
      <c r="J3378" s="37" t="s">
        <v>3512</v>
      </c>
    </row>
    <row r="3379" spans="1:10" x14ac:dyDescent="0.25">
      <c r="A3379" s="32" t="s">
        <v>1</v>
      </c>
      <c r="B3379" s="32">
        <f t="shared" si="796"/>
        <v>2056</v>
      </c>
      <c r="C3379" s="33" t="s">
        <v>49</v>
      </c>
      <c r="D3379" s="34" t="s">
        <v>1999</v>
      </c>
      <c r="E3379" s="35" t="str">
        <f t="shared" si="798"/>
        <v>PDP'!</v>
      </c>
      <c r="F3379" s="34" t="str">
        <f t="shared" si="799"/>
        <v>C:\Users\jaime.benazar\Quorum Business Solutions\Ecopetrol Prometeo - Documents\Planning Space Implementation\3. Analysis &amp; Design\Design\FC22\DRR Jaime\QUIFA-CAJÚA\Cajua\[CAJUA_CF_SEC_New_27-Feb-2024Rev3.xlsx]D-PDP'!</v>
      </c>
      <c r="G3379" s="32" t="s">
        <v>111</v>
      </c>
      <c r="H3379" s="33">
        <f t="shared" si="800"/>
        <v>45</v>
      </c>
      <c r="I3379" s="33" t="str">
        <f t="shared" si="801"/>
        <v>='C:\Users\jaime.benazar\Quorum Business Solutions\Ecopetrol Prometeo - Documents\Planning Space Implementation\3. Analysis &amp; Design\Design\FC22\DRR Jaime\QUIFA-CAJÚA\Cajua\[CAJUA_CF_SEC_New_27-Feb-2024Rev3.xlsx]D-PDP'!$BE$45</v>
      </c>
      <c r="J3379" s="37" t="s">
        <v>3513</v>
      </c>
    </row>
    <row r="3380" spans="1:10" x14ac:dyDescent="0.25">
      <c r="A3380" s="32" t="s">
        <v>1</v>
      </c>
      <c r="B3380" s="32">
        <f t="shared" si="796"/>
        <v>2057</v>
      </c>
      <c r="C3380" s="33" t="s">
        <v>49</v>
      </c>
      <c r="D3380" s="34" t="s">
        <v>1999</v>
      </c>
      <c r="E3380" s="35" t="str">
        <f t="shared" si="798"/>
        <v>PDP'!</v>
      </c>
      <c r="F3380" s="34" t="str">
        <f t="shared" si="799"/>
        <v>C:\Users\jaime.benazar\Quorum Business Solutions\Ecopetrol Prometeo - Documents\Planning Space Implementation\3. Analysis &amp; Design\Design\FC22\DRR Jaime\QUIFA-CAJÚA\Cajua\[CAJUA_CF_SEC_New_27-Feb-2024Rev3.xlsx]D-PDP'!</v>
      </c>
      <c r="G3380" s="32" t="s">
        <v>111</v>
      </c>
      <c r="H3380" s="33">
        <f t="shared" si="800"/>
        <v>46</v>
      </c>
      <c r="I3380" s="33" t="str">
        <f t="shared" si="801"/>
        <v>='C:\Users\jaime.benazar\Quorum Business Solutions\Ecopetrol Prometeo - Documents\Planning Space Implementation\3. Analysis &amp; Design\Design\FC22\DRR Jaime\QUIFA-CAJÚA\Cajua\[CAJUA_CF_SEC_New_27-Feb-2024Rev3.xlsx]D-PDP'!$BE$46</v>
      </c>
      <c r="J3380" s="37" t="s">
        <v>3514</v>
      </c>
    </row>
    <row r="3381" spans="1:10" x14ac:dyDescent="0.25">
      <c r="A3381" s="32" t="s">
        <v>1</v>
      </c>
      <c r="B3381" s="32">
        <f t="shared" si="796"/>
        <v>2058</v>
      </c>
      <c r="C3381" s="33" t="s">
        <v>49</v>
      </c>
      <c r="D3381" s="34" t="s">
        <v>1999</v>
      </c>
      <c r="E3381" s="35" t="str">
        <f t="shared" si="798"/>
        <v>PDP'!</v>
      </c>
      <c r="F3381" s="34" t="str">
        <f t="shared" si="799"/>
        <v>C:\Users\jaime.benazar\Quorum Business Solutions\Ecopetrol Prometeo - Documents\Planning Space Implementation\3. Analysis &amp; Design\Design\FC22\DRR Jaime\QUIFA-CAJÚA\Cajua\[CAJUA_CF_SEC_New_27-Feb-2024Rev3.xlsx]D-PDP'!</v>
      </c>
      <c r="G3381" s="32" t="s">
        <v>111</v>
      </c>
      <c r="H3381" s="33">
        <f t="shared" si="800"/>
        <v>47</v>
      </c>
      <c r="I3381" s="33" t="str">
        <f t="shared" si="801"/>
        <v>='C:\Users\jaime.benazar\Quorum Business Solutions\Ecopetrol Prometeo - Documents\Planning Space Implementation\3. Analysis &amp; Design\Design\FC22\DRR Jaime\QUIFA-CAJÚA\Cajua\[CAJUA_CF_SEC_New_27-Feb-2024Rev3.xlsx]D-PDP'!$BE$47</v>
      </c>
      <c r="J3381" s="37" t="s">
        <v>3515</v>
      </c>
    </row>
    <row r="3382" spans="1:10" x14ac:dyDescent="0.25">
      <c r="A3382" s="32" t="s">
        <v>1</v>
      </c>
      <c r="B3382" s="32">
        <f t="shared" si="796"/>
        <v>2059</v>
      </c>
      <c r="C3382" s="33" t="s">
        <v>49</v>
      </c>
      <c r="D3382" s="34" t="s">
        <v>1999</v>
      </c>
      <c r="E3382" s="35" t="str">
        <f t="shared" si="798"/>
        <v>PDP'!</v>
      </c>
      <c r="F3382" s="34" t="str">
        <f t="shared" si="799"/>
        <v>C:\Users\jaime.benazar\Quorum Business Solutions\Ecopetrol Prometeo - Documents\Planning Space Implementation\3. Analysis &amp; Design\Design\FC22\DRR Jaime\QUIFA-CAJÚA\Cajua\[CAJUA_CF_SEC_New_27-Feb-2024Rev3.xlsx]D-PDP'!</v>
      </c>
      <c r="G3382" s="32" t="s">
        <v>111</v>
      </c>
      <c r="H3382" s="33">
        <f t="shared" si="800"/>
        <v>48</v>
      </c>
      <c r="I3382" s="33" t="str">
        <f t="shared" si="801"/>
        <v>='C:\Users\jaime.benazar\Quorum Business Solutions\Ecopetrol Prometeo - Documents\Planning Space Implementation\3. Analysis &amp; Design\Design\FC22\DRR Jaime\QUIFA-CAJÚA\Cajua\[CAJUA_CF_SEC_New_27-Feb-2024Rev3.xlsx]D-PDP'!$BE$48</v>
      </c>
      <c r="J3382" s="37" t="s">
        <v>3516</v>
      </c>
    </row>
    <row r="3383" spans="1:10" x14ac:dyDescent="0.25">
      <c r="A3383" s="32" t="s">
        <v>28</v>
      </c>
      <c r="B3383" s="32"/>
      <c r="C3383" s="33" t="s">
        <v>49</v>
      </c>
      <c r="D3383" s="34"/>
      <c r="E3383" s="35" t="str">
        <f t="shared" si="794"/>
        <v>Total'!</v>
      </c>
      <c r="F3383" s="34"/>
      <c r="G3383" s="32"/>
      <c r="H3383" s="33"/>
      <c r="I3383" s="33"/>
      <c r="J3383" s="33"/>
    </row>
    <row r="3384" spans="1:10" x14ac:dyDescent="0.25">
      <c r="A3384" s="32" t="s">
        <v>2</v>
      </c>
      <c r="B3384" s="32">
        <v>2023</v>
      </c>
      <c r="C3384" s="33" t="s">
        <v>49</v>
      </c>
      <c r="D3384" s="34" t="s">
        <v>1999</v>
      </c>
      <c r="E3384" s="35" t="str">
        <f t="shared" si="794"/>
        <v>PNP'!</v>
      </c>
      <c r="F3384" s="34" t="str">
        <f t="shared" ref="F3384:F3404" si="802">_xlfn.CONCAT(D3384:E3384)</f>
        <v>C:\Users\jaime.benazar\Quorum Business Solutions\Ecopetrol Prometeo - Documents\Planning Space Implementation\3. Analysis &amp; Design\Design\FC22\DRR Jaime\QUIFA-CAJÚA\Cajua\[CAJUA_CF_SEC_New_27-Feb-2024Rev3.xlsx]D-PNP'!</v>
      </c>
      <c r="G3384" s="32" t="s">
        <v>111</v>
      </c>
      <c r="H3384" s="33">
        <f>IF(A3384&lt;&gt;A3368,12,H3368+1)</f>
        <v>12</v>
      </c>
      <c r="I3384" s="33" t="str">
        <f t="shared" ref="I3384:I3404" si="803">_xlfn.CONCAT("='",F3384:H3384)</f>
        <v>='C:\Users\jaime.benazar\Quorum Business Solutions\Ecopetrol Prometeo - Documents\Planning Space Implementation\3. Analysis &amp; Design\Design\FC22\DRR Jaime\QUIFA-CAJÚA\Cajua\[CAJUA_CF_SEC_New_27-Feb-2024Rev3.xlsx]D-PNP'!$BE$12</v>
      </c>
      <c r="J3384" s="37" t="s">
        <v>3517</v>
      </c>
    </row>
    <row r="3385" spans="1:10" x14ac:dyDescent="0.25">
      <c r="A3385" s="32" t="s">
        <v>2</v>
      </c>
      <c r="B3385" s="32">
        <f>+B3384+1</f>
        <v>2024</v>
      </c>
      <c r="C3385" s="33" t="s">
        <v>49</v>
      </c>
      <c r="D3385" s="34" t="s">
        <v>1999</v>
      </c>
      <c r="E3385" s="35" t="str">
        <f t="shared" si="794"/>
        <v>PNP'!</v>
      </c>
      <c r="F3385" s="34" t="str">
        <f t="shared" si="802"/>
        <v>C:\Users\jaime.benazar\Quorum Business Solutions\Ecopetrol Prometeo - Documents\Planning Space Implementation\3. Analysis &amp; Design\Design\FC22\DRR Jaime\QUIFA-CAJÚA\Cajua\[CAJUA_CF_SEC_New_27-Feb-2024Rev3.xlsx]D-PNP'!</v>
      </c>
      <c r="G3385" s="32" t="s">
        <v>111</v>
      </c>
      <c r="H3385" s="33">
        <f t="shared" ref="H3385:H3404" si="804">IF(A3385&lt;&gt;A3384,36,H3384+1)</f>
        <v>13</v>
      </c>
      <c r="I3385" s="33" t="str">
        <f t="shared" si="803"/>
        <v>='C:\Users\jaime.benazar\Quorum Business Solutions\Ecopetrol Prometeo - Documents\Planning Space Implementation\3. Analysis &amp; Design\Design\FC22\DRR Jaime\QUIFA-CAJÚA\Cajua\[CAJUA_CF_SEC_New_27-Feb-2024Rev3.xlsx]D-PNP'!$BE$13</v>
      </c>
      <c r="J3385" s="37" t="s">
        <v>3518</v>
      </c>
    </row>
    <row r="3386" spans="1:10" x14ac:dyDescent="0.25">
      <c r="A3386" s="32" t="s">
        <v>2</v>
      </c>
      <c r="B3386" s="32">
        <f t="shared" ref="B3386:B3397" si="805">+B3385+1</f>
        <v>2025</v>
      </c>
      <c r="C3386" s="33" t="s">
        <v>49</v>
      </c>
      <c r="D3386" s="34" t="s">
        <v>1999</v>
      </c>
      <c r="E3386" s="35" t="str">
        <f t="shared" si="794"/>
        <v>PNP'!</v>
      </c>
      <c r="F3386" s="34" t="str">
        <f t="shared" si="802"/>
        <v>C:\Users\jaime.benazar\Quorum Business Solutions\Ecopetrol Prometeo - Documents\Planning Space Implementation\3. Analysis &amp; Design\Design\FC22\DRR Jaime\QUIFA-CAJÚA\Cajua\[CAJUA_CF_SEC_New_27-Feb-2024Rev3.xlsx]D-PNP'!</v>
      </c>
      <c r="G3386" s="32" t="s">
        <v>111</v>
      </c>
      <c r="H3386" s="33">
        <f t="shared" si="804"/>
        <v>14</v>
      </c>
      <c r="I3386" s="33" t="str">
        <f t="shared" si="803"/>
        <v>='C:\Users\jaime.benazar\Quorum Business Solutions\Ecopetrol Prometeo - Documents\Planning Space Implementation\3. Analysis &amp; Design\Design\FC22\DRR Jaime\QUIFA-CAJÚA\Cajua\[CAJUA_CF_SEC_New_27-Feb-2024Rev3.xlsx]D-PNP'!$BE$14</v>
      </c>
      <c r="J3386" s="37" t="s">
        <v>3519</v>
      </c>
    </row>
    <row r="3387" spans="1:10" x14ac:dyDescent="0.25">
      <c r="A3387" s="32" t="s">
        <v>2</v>
      </c>
      <c r="B3387" s="32">
        <f t="shared" si="805"/>
        <v>2026</v>
      </c>
      <c r="C3387" s="33" t="s">
        <v>49</v>
      </c>
      <c r="D3387" s="34" t="s">
        <v>1999</v>
      </c>
      <c r="E3387" s="35" t="str">
        <f t="shared" si="794"/>
        <v>PNP'!</v>
      </c>
      <c r="F3387" s="34" t="str">
        <f t="shared" si="802"/>
        <v>C:\Users\jaime.benazar\Quorum Business Solutions\Ecopetrol Prometeo - Documents\Planning Space Implementation\3. Analysis &amp; Design\Design\FC22\DRR Jaime\QUIFA-CAJÚA\Cajua\[CAJUA_CF_SEC_New_27-Feb-2024Rev3.xlsx]D-PNP'!</v>
      </c>
      <c r="G3387" s="32" t="s">
        <v>111</v>
      </c>
      <c r="H3387" s="33">
        <f t="shared" si="804"/>
        <v>15</v>
      </c>
      <c r="I3387" s="33" t="str">
        <f t="shared" si="803"/>
        <v>='C:\Users\jaime.benazar\Quorum Business Solutions\Ecopetrol Prometeo - Documents\Planning Space Implementation\3. Analysis &amp; Design\Design\FC22\DRR Jaime\QUIFA-CAJÚA\Cajua\[CAJUA_CF_SEC_New_27-Feb-2024Rev3.xlsx]D-PNP'!$BE$15</v>
      </c>
      <c r="J3387" s="37" t="s">
        <v>3520</v>
      </c>
    </row>
    <row r="3388" spans="1:10" x14ac:dyDescent="0.25">
      <c r="A3388" s="32" t="s">
        <v>2</v>
      </c>
      <c r="B3388" s="32">
        <f t="shared" si="805"/>
        <v>2027</v>
      </c>
      <c r="C3388" s="33" t="s">
        <v>49</v>
      </c>
      <c r="D3388" s="34" t="s">
        <v>1999</v>
      </c>
      <c r="E3388" s="35" t="str">
        <f t="shared" si="794"/>
        <v>PNP'!</v>
      </c>
      <c r="F3388" s="34" t="str">
        <f t="shared" si="802"/>
        <v>C:\Users\jaime.benazar\Quorum Business Solutions\Ecopetrol Prometeo - Documents\Planning Space Implementation\3. Analysis &amp; Design\Design\FC22\DRR Jaime\QUIFA-CAJÚA\Cajua\[CAJUA_CF_SEC_New_27-Feb-2024Rev3.xlsx]D-PNP'!</v>
      </c>
      <c r="G3388" s="32" t="s">
        <v>111</v>
      </c>
      <c r="H3388" s="33">
        <f t="shared" si="804"/>
        <v>16</v>
      </c>
      <c r="I3388" s="33" t="str">
        <f t="shared" si="803"/>
        <v>='C:\Users\jaime.benazar\Quorum Business Solutions\Ecopetrol Prometeo - Documents\Planning Space Implementation\3. Analysis &amp; Design\Design\FC22\DRR Jaime\QUIFA-CAJÚA\Cajua\[CAJUA_CF_SEC_New_27-Feb-2024Rev3.xlsx]D-PNP'!$BE$16</v>
      </c>
      <c r="J3388" s="37" t="s">
        <v>3521</v>
      </c>
    </row>
    <row r="3389" spans="1:10" x14ac:dyDescent="0.25">
      <c r="A3389" s="32" t="s">
        <v>2</v>
      </c>
      <c r="B3389" s="32">
        <f t="shared" si="805"/>
        <v>2028</v>
      </c>
      <c r="C3389" s="33" t="s">
        <v>49</v>
      </c>
      <c r="D3389" s="34" t="s">
        <v>1999</v>
      </c>
      <c r="E3389" s="35" t="str">
        <f t="shared" si="794"/>
        <v>PNP'!</v>
      </c>
      <c r="F3389" s="34" t="str">
        <f t="shared" si="802"/>
        <v>C:\Users\jaime.benazar\Quorum Business Solutions\Ecopetrol Prometeo - Documents\Planning Space Implementation\3. Analysis &amp; Design\Design\FC22\DRR Jaime\QUIFA-CAJÚA\Cajua\[CAJUA_CF_SEC_New_27-Feb-2024Rev3.xlsx]D-PNP'!</v>
      </c>
      <c r="G3389" s="32" t="s">
        <v>111</v>
      </c>
      <c r="H3389" s="33">
        <f t="shared" si="804"/>
        <v>17</v>
      </c>
      <c r="I3389" s="33" t="str">
        <f t="shared" si="803"/>
        <v>='C:\Users\jaime.benazar\Quorum Business Solutions\Ecopetrol Prometeo - Documents\Planning Space Implementation\3. Analysis &amp; Design\Design\FC22\DRR Jaime\QUIFA-CAJÚA\Cajua\[CAJUA_CF_SEC_New_27-Feb-2024Rev3.xlsx]D-PNP'!$BE$17</v>
      </c>
      <c r="J3389" s="37" t="s">
        <v>3522</v>
      </c>
    </row>
    <row r="3390" spans="1:10" x14ac:dyDescent="0.25">
      <c r="A3390" s="32" t="s">
        <v>2</v>
      </c>
      <c r="B3390" s="32">
        <f t="shared" si="805"/>
        <v>2029</v>
      </c>
      <c r="C3390" s="33" t="s">
        <v>49</v>
      </c>
      <c r="D3390" s="34" t="s">
        <v>1999</v>
      </c>
      <c r="E3390" s="35" t="str">
        <f t="shared" si="794"/>
        <v>PNP'!</v>
      </c>
      <c r="F3390" s="34" t="str">
        <f t="shared" si="802"/>
        <v>C:\Users\jaime.benazar\Quorum Business Solutions\Ecopetrol Prometeo - Documents\Planning Space Implementation\3. Analysis &amp; Design\Design\FC22\DRR Jaime\QUIFA-CAJÚA\Cajua\[CAJUA_CF_SEC_New_27-Feb-2024Rev3.xlsx]D-PNP'!</v>
      </c>
      <c r="G3390" s="32" t="s">
        <v>111</v>
      </c>
      <c r="H3390" s="33">
        <f t="shared" si="804"/>
        <v>18</v>
      </c>
      <c r="I3390" s="33" t="str">
        <f t="shared" si="803"/>
        <v>='C:\Users\jaime.benazar\Quorum Business Solutions\Ecopetrol Prometeo - Documents\Planning Space Implementation\3. Analysis &amp; Design\Design\FC22\DRR Jaime\QUIFA-CAJÚA\Cajua\[CAJUA_CF_SEC_New_27-Feb-2024Rev3.xlsx]D-PNP'!$BE$18</v>
      </c>
      <c r="J3390" s="37" t="s">
        <v>3523</v>
      </c>
    </row>
    <row r="3391" spans="1:10" x14ac:dyDescent="0.25">
      <c r="A3391" s="32" t="s">
        <v>2</v>
      </c>
      <c r="B3391" s="32">
        <f t="shared" si="805"/>
        <v>2030</v>
      </c>
      <c r="C3391" s="33" t="s">
        <v>49</v>
      </c>
      <c r="D3391" s="34" t="s">
        <v>1999</v>
      </c>
      <c r="E3391" s="35" t="str">
        <f t="shared" si="794"/>
        <v>PNP'!</v>
      </c>
      <c r="F3391" s="34" t="str">
        <f t="shared" si="802"/>
        <v>C:\Users\jaime.benazar\Quorum Business Solutions\Ecopetrol Prometeo - Documents\Planning Space Implementation\3. Analysis &amp; Design\Design\FC22\DRR Jaime\QUIFA-CAJÚA\Cajua\[CAJUA_CF_SEC_New_27-Feb-2024Rev3.xlsx]D-PNP'!</v>
      </c>
      <c r="G3391" s="32" t="s">
        <v>111</v>
      </c>
      <c r="H3391" s="33">
        <f t="shared" si="804"/>
        <v>19</v>
      </c>
      <c r="I3391" s="33" t="str">
        <f t="shared" si="803"/>
        <v>='C:\Users\jaime.benazar\Quorum Business Solutions\Ecopetrol Prometeo - Documents\Planning Space Implementation\3. Analysis &amp; Design\Design\FC22\DRR Jaime\QUIFA-CAJÚA\Cajua\[CAJUA_CF_SEC_New_27-Feb-2024Rev3.xlsx]D-PNP'!$BE$19</v>
      </c>
      <c r="J3391" s="37" t="s">
        <v>3524</v>
      </c>
    </row>
    <row r="3392" spans="1:10" x14ac:dyDescent="0.25">
      <c r="A3392" s="32" t="s">
        <v>2</v>
      </c>
      <c r="B3392" s="32">
        <f t="shared" si="805"/>
        <v>2031</v>
      </c>
      <c r="C3392" s="33" t="s">
        <v>49</v>
      </c>
      <c r="D3392" s="34" t="s">
        <v>1999</v>
      </c>
      <c r="E3392" s="35" t="str">
        <f t="shared" si="794"/>
        <v>PNP'!</v>
      </c>
      <c r="F3392" s="34" t="str">
        <f t="shared" si="802"/>
        <v>C:\Users\jaime.benazar\Quorum Business Solutions\Ecopetrol Prometeo - Documents\Planning Space Implementation\3. Analysis &amp; Design\Design\FC22\DRR Jaime\QUIFA-CAJÚA\Cajua\[CAJUA_CF_SEC_New_27-Feb-2024Rev3.xlsx]D-PNP'!</v>
      </c>
      <c r="G3392" s="32" t="s">
        <v>111</v>
      </c>
      <c r="H3392" s="33">
        <f t="shared" si="804"/>
        <v>20</v>
      </c>
      <c r="I3392" s="33" t="str">
        <f t="shared" si="803"/>
        <v>='C:\Users\jaime.benazar\Quorum Business Solutions\Ecopetrol Prometeo - Documents\Planning Space Implementation\3. Analysis &amp; Design\Design\FC22\DRR Jaime\QUIFA-CAJÚA\Cajua\[CAJUA_CF_SEC_New_27-Feb-2024Rev3.xlsx]D-PNP'!$BE$20</v>
      </c>
      <c r="J3392" s="37" t="s">
        <v>3525</v>
      </c>
    </row>
    <row r="3393" spans="1:10" x14ac:dyDescent="0.25">
      <c r="A3393" s="32" t="s">
        <v>2</v>
      </c>
      <c r="B3393" s="32">
        <f t="shared" si="805"/>
        <v>2032</v>
      </c>
      <c r="C3393" s="33" t="s">
        <v>49</v>
      </c>
      <c r="D3393" s="34" t="s">
        <v>1999</v>
      </c>
      <c r="E3393" s="35" t="str">
        <f t="shared" si="794"/>
        <v>PNP'!</v>
      </c>
      <c r="F3393" s="34" t="str">
        <f t="shared" si="802"/>
        <v>C:\Users\jaime.benazar\Quorum Business Solutions\Ecopetrol Prometeo - Documents\Planning Space Implementation\3. Analysis &amp; Design\Design\FC22\DRR Jaime\QUIFA-CAJÚA\Cajua\[CAJUA_CF_SEC_New_27-Feb-2024Rev3.xlsx]D-PNP'!</v>
      </c>
      <c r="G3393" s="32" t="s">
        <v>111</v>
      </c>
      <c r="H3393" s="33">
        <f t="shared" si="804"/>
        <v>21</v>
      </c>
      <c r="I3393" s="33" t="str">
        <f t="shared" si="803"/>
        <v>='C:\Users\jaime.benazar\Quorum Business Solutions\Ecopetrol Prometeo - Documents\Planning Space Implementation\3. Analysis &amp; Design\Design\FC22\DRR Jaime\QUIFA-CAJÚA\Cajua\[CAJUA_CF_SEC_New_27-Feb-2024Rev3.xlsx]D-PNP'!$BE$21</v>
      </c>
      <c r="J3393" s="37" t="s">
        <v>3526</v>
      </c>
    </row>
    <row r="3394" spans="1:10" x14ac:dyDescent="0.25">
      <c r="A3394" s="32" t="s">
        <v>2</v>
      </c>
      <c r="B3394" s="32">
        <f t="shared" si="805"/>
        <v>2033</v>
      </c>
      <c r="C3394" s="33" t="s">
        <v>49</v>
      </c>
      <c r="D3394" s="34" t="s">
        <v>1999</v>
      </c>
      <c r="E3394" s="35" t="str">
        <f t="shared" si="794"/>
        <v>PNP'!</v>
      </c>
      <c r="F3394" s="34" t="str">
        <f t="shared" si="802"/>
        <v>C:\Users\jaime.benazar\Quorum Business Solutions\Ecopetrol Prometeo - Documents\Planning Space Implementation\3. Analysis &amp; Design\Design\FC22\DRR Jaime\QUIFA-CAJÚA\Cajua\[CAJUA_CF_SEC_New_27-Feb-2024Rev3.xlsx]D-PNP'!</v>
      </c>
      <c r="G3394" s="32" t="s">
        <v>111</v>
      </c>
      <c r="H3394" s="33">
        <f t="shared" si="804"/>
        <v>22</v>
      </c>
      <c r="I3394" s="33" t="str">
        <f t="shared" si="803"/>
        <v>='C:\Users\jaime.benazar\Quorum Business Solutions\Ecopetrol Prometeo - Documents\Planning Space Implementation\3. Analysis &amp; Design\Design\FC22\DRR Jaime\QUIFA-CAJÚA\Cajua\[CAJUA_CF_SEC_New_27-Feb-2024Rev3.xlsx]D-PNP'!$BE$22</v>
      </c>
      <c r="J3394" s="37" t="s">
        <v>3527</v>
      </c>
    </row>
    <row r="3395" spans="1:10" x14ac:dyDescent="0.25">
      <c r="A3395" s="32" t="s">
        <v>2</v>
      </c>
      <c r="B3395" s="32">
        <f t="shared" si="805"/>
        <v>2034</v>
      </c>
      <c r="C3395" s="33" t="s">
        <v>49</v>
      </c>
      <c r="D3395" s="34" t="s">
        <v>1999</v>
      </c>
      <c r="E3395" s="35" t="str">
        <f t="shared" si="794"/>
        <v>PNP'!</v>
      </c>
      <c r="F3395" s="34" t="str">
        <f t="shared" si="802"/>
        <v>C:\Users\jaime.benazar\Quorum Business Solutions\Ecopetrol Prometeo - Documents\Planning Space Implementation\3. Analysis &amp; Design\Design\FC22\DRR Jaime\QUIFA-CAJÚA\Cajua\[CAJUA_CF_SEC_New_27-Feb-2024Rev3.xlsx]D-PNP'!</v>
      </c>
      <c r="G3395" s="32" t="s">
        <v>111</v>
      </c>
      <c r="H3395" s="33">
        <f t="shared" si="804"/>
        <v>23</v>
      </c>
      <c r="I3395" s="33" t="str">
        <f t="shared" si="803"/>
        <v>='C:\Users\jaime.benazar\Quorum Business Solutions\Ecopetrol Prometeo - Documents\Planning Space Implementation\3. Analysis &amp; Design\Design\FC22\DRR Jaime\QUIFA-CAJÚA\Cajua\[CAJUA_CF_SEC_New_27-Feb-2024Rev3.xlsx]D-PNP'!$BE$23</v>
      </c>
      <c r="J3395" s="37" t="s">
        <v>3528</v>
      </c>
    </row>
    <row r="3396" spans="1:10" x14ac:dyDescent="0.25">
      <c r="A3396" s="32" t="s">
        <v>2</v>
      </c>
      <c r="B3396" s="32">
        <f t="shared" si="805"/>
        <v>2035</v>
      </c>
      <c r="C3396" s="33" t="s">
        <v>49</v>
      </c>
      <c r="D3396" s="34" t="s">
        <v>1999</v>
      </c>
      <c r="E3396" s="35" t="str">
        <f t="shared" si="794"/>
        <v>PNP'!</v>
      </c>
      <c r="F3396" s="34" t="str">
        <f t="shared" si="802"/>
        <v>C:\Users\jaime.benazar\Quorum Business Solutions\Ecopetrol Prometeo - Documents\Planning Space Implementation\3. Analysis &amp; Design\Design\FC22\DRR Jaime\QUIFA-CAJÚA\Cajua\[CAJUA_CF_SEC_New_27-Feb-2024Rev3.xlsx]D-PNP'!</v>
      </c>
      <c r="G3396" s="32" t="s">
        <v>111</v>
      </c>
      <c r="H3396" s="33">
        <f t="shared" si="804"/>
        <v>24</v>
      </c>
      <c r="I3396" s="33" t="str">
        <f t="shared" si="803"/>
        <v>='C:\Users\jaime.benazar\Quorum Business Solutions\Ecopetrol Prometeo - Documents\Planning Space Implementation\3. Analysis &amp; Design\Design\FC22\DRR Jaime\QUIFA-CAJÚA\Cajua\[CAJUA_CF_SEC_New_27-Feb-2024Rev3.xlsx]D-PNP'!$BE$24</v>
      </c>
      <c r="J3396" s="37" t="s">
        <v>3529</v>
      </c>
    </row>
    <row r="3397" spans="1:10" x14ac:dyDescent="0.25">
      <c r="A3397" s="32" t="s">
        <v>2</v>
      </c>
      <c r="B3397" s="32">
        <f t="shared" si="805"/>
        <v>2036</v>
      </c>
      <c r="C3397" s="33" t="s">
        <v>49</v>
      </c>
      <c r="D3397" s="34" t="s">
        <v>1999</v>
      </c>
      <c r="E3397" s="35" t="str">
        <f t="shared" si="794"/>
        <v>PNP'!</v>
      </c>
      <c r="F3397" s="34" t="str">
        <f t="shared" si="802"/>
        <v>C:\Users\jaime.benazar\Quorum Business Solutions\Ecopetrol Prometeo - Documents\Planning Space Implementation\3. Analysis &amp; Design\Design\FC22\DRR Jaime\QUIFA-CAJÚA\Cajua\[CAJUA_CF_SEC_New_27-Feb-2024Rev3.xlsx]D-PNP'!</v>
      </c>
      <c r="G3397" s="32" t="s">
        <v>111</v>
      </c>
      <c r="H3397" s="33">
        <f t="shared" si="804"/>
        <v>25</v>
      </c>
      <c r="I3397" s="33" t="str">
        <f t="shared" si="803"/>
        <v>='C:\Users\jaime.benazar\Quorum Business Solutions\Ecopetrol Prometeo - Documents\Planning Space Implementation\3. Analysis &amp; Design\Design\FC22\DRR Jaime\QUIFA-CAJÚA\Cajua\[CAJUA_CF_SEC_New_27-Feb-2024Rev3.xlsx]D-PNP'!$BE$25</v>
      </c>
      <c r="J3397" s="37" t="s">
        <v>3530</v>
      </c>
    </row>
    <row r="3398" spans="1:10" x14ac:dyDescent="0.25">
      <c r="A3398" s="32" t="s">
        <v>2</v>
      </c>
      <c r="B3398" s="32">
        <f>+B3397+1</f>
        <v>2037</v>
      </c>
      <c r="C3398" s="33" t="s">
        <v>49</v>
      </c>
      <c r="D3398" s="34" t="s">
        <v>1999</v>
      </c>
      <c r="E3398" s="35" t="str">
        <f t="shared" si="794"/>
        <v>PNP'!</v>
      </c>
      <c r="F3398" s="34" t="str">
        <f t="shared" si="802"/>
        <v>C:\Users\jaime.benazar\Quorum Business Solutions\Ecopetrol Prometeo - Documents\Planning Space Implementation\3. Analysis &amp; Design\Design\FC22\DRR Jaime\QUIFA-CAJÚA\Cajua\[CAJUA_CF_SEC_New_27-Feb-2024Rev3.xlsx]D-PNP'!</v>
      </c>
      <c r="G3398" s="32" t="s">
        <v>111</v>
      </c>
      <c r="H3398" s="33">
        <f t="shared" si="804"/>
        <v>26</v>
      </c>
      <c r="I3398" s="33" t="str">
        <f t="shared" si="803"/>
        <v>='C:\Users\jaime.benazar\Quorum Business Solutions\Ecopetrol Prometeo - Documents\Planning Space Implementation\3. Analysis &amp; Design\Design\FC22\DRR Jaime\QUIFA-CAJÚA\Cajua\[CAJUA_CF_SEC_New_27-Feb-2024Rev3.xlsx]D-PNP'!$BE$26</v>
      </c>
      <c r="J3398" s="37" t="s">
        <v>3531</v>
      </c>
    </row>
    <row r="3399" spans="1:10" x14ac:dyDescent="0.25">
      <c r="A3399" s="32" t="s">
        <v>2</v>
      </c>
      <c r="B3399" s="32">
        <f t="shared" ref="B3399:B3401" si="806">+B3398+1</f>
        <v>2038</v>
      </c>
      <c r="C3399" s="33" t="s">
        <v>49</v>
      </c>
      <c r="D3399" s="34" t="s">
        <v>1999</v>
      </c>
      <c r="E3399" s="35" t="str">
        <f t="shared" si="794"/>
        <v>PNP'!</v>
      </c>
      <c r="F3399" s="34" t="str">
        <f t="shared" si="802"/>
        <v>C:\Users\jaime.benazar\Quorum Business Solutions\Ecopetrol Prometeo - Documents\Planning Space Implementation\3. Analysis &amp; Design\Design\FC22\DRR Jaime\QUIFA-CAJÚA\Cajua\[CAJUA_CF_SEC_New_27-Feb-2024Rev3.xlsx]D-PNP'!</v>
      </c>
      <c r="G3399" s="32" t="s">
        <v>111</v>
      </c>
      <c r="H3399" s="33">
        <f t="shared" si="804"/>
        <v>27</v>
      </c>
      <c r="I3399" s="33" t="str">
        <f t="shared" si="803"/>
        <v>='C:\Users\jaime.benazar\Quorum Business Solutions\Ecopetrol Prometeo - Documents\Planning Space Implementation\3. Analysis &amp; Design\Design\FC22\DRR Jaime\QUIFA-CAJÚA\Cajua\[CAJUA_CF_SEC_New_27-Feb-2024Rev3.xlsx]D-PNP'!$BE$27</v>
      </c>
      <c r="J3399" s="37" t="s">
        <v>3532</v>
      </c>
    </row>
    <row r="3400" spans="1:10" x14ac:dyDescent="0.25">
      <c r="A3400" s="32" t="s">
        <v>2</v>
      </c>
      <c r="B3400" s="32">
        <f t="shared" si="806"/>
        <v>2039</v>
      </c>
      <c r="C3400" s="33" t="s">
        <v>49</v>
      </c>
      <c r="D3400" s="34" t="s">
        <v>1999</v>
      </c>
      <c r="E3400" s="35" t="str">
        <f t="shared" si="794"/>
        <v>PNP'!</v>
      </c>
      <c r="F3400" s="34" t="str">
        <f t="shared" si="802"/>
        <v>C:\Users\jaime.benazar\Quorum Business Solutions\Ecopetrol Prometeo - Documents\Planning Space Implementation\3. Analysis &amp; Design\Design\FC22\DRR Jaime\QUIFA-CAJÚA\Cajua\[CAJUA_CF_SEC_New_27-Feb-2024Rev3.xlsx]D-PNP'!</v>
      </c>
      <c r="G3400" s="32" t="s">
        <v>111</v>
      </c>
      <c r="H3400" s="33">
        <f t="shared" si="804"/>
        <v>28</v>
      </c>
      <c r="I3400" s="33" t="str">
        <f t="shared" si="803"/>
        <v>='C:\Users\jaime.benazar\Quorum Business Solutions\Ecopetrol Prometeo - Documents\Planning Space Implementation\3. Analysis &amp; Design\Design\FC22\DRR Jaime\QUIFA-CAJÚA\Cajua\[CAJUA_CF_SEC_New_27-Feb-2024Rev3.xlsx]D-PNP'!$BE$28</v>
      </c>
      <c r="J3400" s="37" t="s">
        <v>3533</v>
      </c>
    </row>
    <row r="3401" spans="1:10" x14ac:dyDescent="0.25">
      <c r="A3401" s="32" t="s">
        <v>2</v>
      </c>
      <c r="B3401" s="32">
        <f t="shared" si="806"/>
        <v>2040</v>
      </c>
      <c r="C3401" s="33" t="s">
        <v>49</v>
      </c>
      <c r="D3401" s="34" t="s">
        <v>1999</v>
      </c>
      <c r="E3401" s="35" t="str">
        <f t="shared" si="794"/>
        <v>PNP'!</v>
      </c>
      <c r="F3401" s="34" t="str">
        <f t="shared" si="802"/>
        <v>C:\Users\jaime.benazar\Quorum Business Solutions\Ecopetrol Prometeo - Documents\Planning Space Implementation\3. Analysis &amp; Design\Design\FC22\DRR Jaime\QUIFA-CAJÚA\Cajua\[CAJUA_CF_SEC_New_27-Feb-2024Rev3.xlsx]D-PNP'!</v>
      </c>
      <c r="G3401" s="32" t="s">
        <v>111</v>
      </c>
      <c r="H3401" s="33">
        <f t="shared" si="804"/>
        <v>29</v>
      </c>
      <c r="I3401" s="33" t="str">
        <f t="shared" si="803"/>
        <v>='C:\Users\jaime.benazar\Quorum Business Solutions\Ecopetrol Prometeo - Documents\Planning Space Implementation\3. Analysis &amp; Design\Design\FC22\DRR Jaime\QUIFA-CAJÚA\Cajua\[CAJUA_CF_SEC_New_27-Feb-2024Rev3.xlsx]D-PNP'!$BE$29</v>
      </c>
      <c r="J3401" s="37" t="s">
        <v>3534</v>
      </c>
    </row>
    <row r="3402" spans="1:10" x14ac:dyDescent="0.25">
      <c r="A3402" s="32" t="s">
        <v>2</v>
      </c>
      <c r="B3402" s="32">
        <f>+B3401+1</f>
        <v>2041</v>
      </c>
      <c r="C3402" s="33" t="s">
        <v>49</v>
      </c>
      <c r="D3402" s="34" t="s">
        <v>1999</v>
      </c>
      <c r="E3402" s="35" t="str">
        <f t="shared" si="794"/>
        <v>PNP'!</v>
      </c>
      <c r="F3402" s="34" t="str">
        <f t="shared" si="802"/>
        <v>C:\Users\jaime.benazar\Quorum Business Solutions\Ecopetrol Prometeo - Documents\Planning Space Implementation\3. Analysis &amp; Design\Design\FC22\DRR Jaime\QUIFA-CAJÚA\Cajua\[CAJUA_CF_SEC_New_27-Feb-2024Rev3.xlsx]D-PNP'!</v>
      </c>
      <c r="G3402" s="32" t="s">
        <v>111</v>
      </c>
      <c r="H3402" s="33">
        <f t="shared" si="804"/>
        <v>30</v>
      </c>
      <c r="I3402" s="33" t="str">
        <f t="shared" si="803"/>
        <v>='C:\Users\jaime.benazar\Quorum Business Solutions\Ecopetrol Prometeo - Documents\Planning Space Implementation\3. Analysis &amp; Design\Design\FC22\DRR Jaime\QUIFA-CAJÚA\Cajua\[CAJUA_CF_SEC_New_27-Feb-2024Rev3.xlsx]D-PNP'!$BE$30</v>
      </c>
      <c r="J3402" s="37" t="s">
        <v>3535</v>
      </c>
    </row>
    <row r="3403" spans="1:10" x14ac:dyDescent="0.25">
      <c r="A3403" s="32" t="s">
        <v>2</v>
      </c>
      <c r="B3403" s="32">
        <f t="shared" ref="B3403:B3404" si="807">+B3402+1</f>
        <v>2042</v>
      </c>
      <c r="C3403" s="33" t="s">
        <v>49</v>
      </c>
      <c r="D3403" s="34" t="s">
        <v>1999</v>
      </c>
      <c r="E3403" s="35" t="str">
        <f t="shared" si="794"/>
        <v>PNP'!</v>
      </c>
      <c r="F3403" s="34" t="str">
        <f t="shared" si="802"/>
        <v>C:\Users\jaime.benazar\Quorum Business Solutions\Ecopetrol Prometeo - Documents\Planning Space Implementation\3. Analysis &amp; Design\Design\FC22\DRR Jaime\QUIFA-CAJÚA\Cajua\[CAJUA_CF_SEC_New_27-Feb-2024Rev3.xlsx]D-PNP'!</v>
      </c>
      <c r="G3403" s="32" t="s">
        <v>111</v>
      </c>
      <c r="H3403" s="33">
        <f t="shared" si="804"/>
        <v>31</v>
      </c>
      <c r="I3403" s="33" t="str">
        <f t="shared" si="803"/>
        <v>='C:\Users\jaime.benazar\Quorum Business Solutions\Ecopetrol Prometeo - Documents\Planning Space Implementation\3. Analysis &amp; Design\Design\FC22\DRR Jaime\QUIFA-CAJÚA\Cajua\[CAJUA_CF_SEC_New_27-Feb-2024Rev3.xlsx]D-PNP'!$BE$31</v>
      </c>
      <c r="J3403" s="37" t="s">
        <v>3536</v>
      </c>
    </row>
    <row r="3404" spans="1:10" x14ac:dyDescent="0.25">
      <c r="A3404" s="32" t="s">
        <v>2</v>
      </c>
      <c r="B3404" s="32">
        <f t="shared" si="807"/>
        <v>2043</v>
      </c>
      <c r="C3404" s="33" t="s">
        <v>49</v>
      </c>
      <c r="D3404" s="34" t="s">
        <v>1999</v>
      </c>
      <c r="E3404" s="35" t="str">
        <f t="shared" si="794"/>
        <v>PNP'!</v>
      </c>
      <c r="F3404" s="34" t="str">
        <f t="shared" si="802"/>
        <v>C:\Users\jaime.benazar\Quorum Business Solutions\Ecopetrol Prometeo - Documents\Planning Space Implementation\3. Analysis &amp; Design\Design\FC22\DRR Jaime\QUIFA-CAJÚA\Cajua\[CAJUA_CF_SEC_New_27-Feb-2024Rev3.xlsx]D-PNP'!</v>
      </c>
      <c r="G3404" s="32" t="s">
        <v>111</v>
      </c>
      <c r="H3404" s="33">
        <f t="shared" si="804"/>
        <v>32</v>
      </c>
      <c r="I3404" s="33" t="str">
        <f t="shared" si="803"/>
        <v>='C:\Users\jaime.benazar\Quorum Business Solutions\Ecopetrol Prometeo - Documents\Planning Space Implementation\3. Analysis &amp; Design\Design\FC22\DRR Jaime\QUIFA-CAJÚA\Cajua\[CAJUA_CF_SEC_New_27-Feb-2024Rev3.xlsx]D-PNP'!$BE$32</v>
      </c>
      <c r="J3404" s="37" t="s">
        <v>3537</v>
      </c>
    </row>
    <row r="3405" spans="1:10" x14ac:dyDescent="0.25">
      <c r="A3405" s="32" t="s">
        <v>2</v>
      </c>
      <c r="B3405" s="32">
        <f>+B3404+1</f>
        <v>2044</v>
      </c>
      <c r="C3405" s="33" t="s">
        <v>49</v>
      </c>
      <c r="D3405" s="34" t="s">
        <v>1999</v>
      </c>
      <c r="E3405" s="35" t="str">
        <f t="shared" ref="E3405:E3420" si="808">_xlfn.CONCAT(A3405,"'!")</f>
        <v>PNP'!</v>
      </c>
      <c r="F3405" s="34" t="str">
        <f t="shared" ref="F3405:F3420" si="809">_xlfn.CONCAT(D3405:E3405)</f>
        <v>C:\Users\jaime.benazar\Quorum Business Solutions\Ecopetrol Prometeo - Documents\Planning Space Implementation\3. Analysis &amp; Design\Design\FC22\DRR Jaime\QUIFA-CAJÚA\Cajua\[CAJUA_CF_SEC_New_27-Feb-2024Rev3.xlsx]D-PNP'!</v>
      </c>
      <c r="G3405" s="32" t="s">
        <v>111</v>
      </c>
      <c r="H3405" s="33">
        <f t="shared" ref="H3405:H3420" si="810">IF(A3405&lt;&gt;A3404,36,H3404+1)</f>
        <v>33</v>
      </c>
      <c r="I3405" s="33" t="str">
        <f t="shared" ref="I3405:I3420" si="811">_xlfn.CONCAT("='",F3405:H3405)</f>
        <v>='C:\Users\jaime.benazar\Quorum Business Solutions\Ecopetrol Prometeo - Documents\Planning Space Implementation\3. Analysis &amp; Design\Design\FC22\DRR Jaime\QUIFA-CAJÚA\Cajua\[CAJUA_CF_SEC_New_27-Feb-2024Rev3.xlsx]D-PNP'!$BE$33</v>
      </c>
      <c r="J3405" s="37" t="s">
        <v>3538</v>
      </c>
    </row>
    <row r="3406" spans="1:10" x14ac:dyDescent="0.25">
      <c r="A3406" s="32" t="s">
        <v>2</v>
      </c>
      <c r="B3406" s="32">
        <f t="shared" ref="B3406:B3420" si="812">+B3405+1</f>
        <v>2045</v>
      </c>
      <c r="C3406" s="33" t="s">
        <v>49</v>
      </c>
      <c r="D3406" s="34" t="s">
        <v>1999</v>
      </c>
      <c r="E3406" s="35" t="str">
        <f t="shared" si="808"/>
        <v>PNP'!</v>
      </c>
      <c r="F3406" s="34" t="str">
        <f t="shared" si="809"/>
        <v>C:\Users\jaime.benazar\Quorum Business Solutions\Ecopetrol Prometeo - Documents\Planning Space Implementation\3. Analysis &amp; Design\Design\FC22\DRR Jaime\QUIFA-CAJÚA\Cajua\[CAJUA_CF_SEC_New_27-Feb-2024Rev3.xlsx]D-PNP'!</v>
      </c>
      <c r="G3406" s="32" t="s">
        <v>111</v>
      </c>
      <c r="H3406" s="33">
        <f t="shared" si="810"/>
        <v>34</v>
      </c>
      <c r="I3406" s="33" t="str">
        <f t="shared" si="811"/>
        <v>='C:\Users\jaime.benazar\Quorum Business Solutions\Ecopetrol Prometeo - Documents\Planning Space Implementation\3. Analysis &amp; Design\Design\FC22\DRR Jaime\QUIFA-CAJÚA\Cajua\[CAJUA_CF_SEC_New_27-Feb-2024Rev3.xlsx]D-PNP'!$BE$34</v>
      </c>
      <c r="J3406" s="37" t="s">
        <v>3539</v>
      </c>
    </row>
    <row r="3407" spans="1:10" x14ac:dyDescent="0.25">
      <c r="A3407" s="32" t="s">
        <v>2</v>
      </c>
      <c r="B3407" s="32">
        <f t="shared" si="812"/>
        <v>2046</v>
      </c>
      <c r="C3407" s="33" t="s">
        <v>49</v>
      </c>
      <c r="D3407" s="34" t="s">
        <v>1999</v>
      </c>
      <c r="E3407" s="35" t="str">
        <f t="shared" si="808"/>
        <v>PNP'!</v>
      </c>
      <c r="F3407" s="34" t="str">
        <f t="shared" si="809"/>
        <v>C:\Users\jaime.benazar\Quorum Business Solutions\Ecopetrol Prometeo - Documents\Planning Space Implementation\3. Analysis &amp; Design\Design\FC22\DRR Jaime\QUIFA-CAJÚA\Cajua\[CAJUA_CF_SEC_New_27-Feb-2024Rev3.xlsx]D-PNP'!</v>
      </c>
      <c r="G3407" s="32" t="s">
        <v>111</v>
      </c>
      <c r="H3407" s="33">
        <f t="shared" si="810"/>
        <v>35</v>
      </c>
      <c r="I3407" s="33" t="str">
        <f t="shared" si="811"/>
        <v>='C:\Users\jaime.benazar\Quorum Business Solutions\Ecopetrol Prometeo - Documents\Planning Space Implementation\3. Analysis &amp; Design\Design\FC22\DRR Jaime\QUIFA-CAJÚA\Cajua\[CAJUA_CF_SEC_New_27-Feb-2024Rev3.xlsx]D-PNP'!$BE$35</v>
      </c>
      <c r="J3407" s="37" t="s">
        <v>3540</v>
      </c>
    </row>
    <row r="3408" spans="1:10" x14ac:dyDescent="0.25">
      <c r="A3408" s="32" t="s">
        <v>2</v>
      </c>
      <c r="B3408" s="32">
        <f t="shared" si="812"/>
        <v>2047</v>
      </c>
      <c r="C3408" s="33" t="s">
        <v>49</v>
      </c>
      <c r="D3408" s="34" t="s">
        <v>1999</v>
      </c>
      <c r="E3408" s="35" t="str">
        <f t="shared" si="808"/>
        <v>PNP'!</v>
      </c>
      <c r="F3408" s="34" t="str">
        <f t="shared" si="809"/>
        <v>C:\Users\jaime.benazar\Quorum Business Solutions\Ecopetrol Prometeo - Documents\Planning Space Implementation\3. Analysis &amp; Design\Design\FC22\DRR Jaime\QUIFA-CAJÚA\Cajua\[CAJUA_CF_SEC_New_27-Feb-2024Rev3.xlsx]D-PNP'!</v>
      </c>
      <c r="G3408" s="32" t="s">
        <v>111</v>
      </c>
      <c r="H3408" s="33">
        <f t="shared" si="810"/>
        <v>36</v>
      </c>
      <c r="I3408" s="33" t="str">
        <f t="shared" si="811"/>
        <v>='C:\Users\jaime.benazar\Quorum Business Solutions\Ecopetrol Prometeo - Documents\Planning Space Implementation\3. Analysis &amp; Design\Design\FC22\DRR Jaime\QUIFA-CAJÚA\Cajua\[CAJUA_CF_SEC_New_27-Feb-2024Rev3.xlsx]D-PNP'!$BE$36</v>
      </c>
      <c r="J3408" s="37" t="s">
        <v>3541</v>
      </c>
    </row>
    <row r="3409" spans="1:10" x14ac:dyDescent="0.25">
      <c r="A3409" s="32" t="s">
        <v>2</v>
      </c>
      <c r="B3409" s="32">
        <f t="shared" si="812"/>
        <v>2048</v>
      </c>
      <c r="C3409" s="33" t="s">
        <v>49</v>
      </c>
      <c r="D3409" s="34" t="s">
        <v>1999</v>
      </c>
      <c r="E3409" s="35" t="str">
        <f t="shared" si="808"/>
        <v>PNP'!</v>
      </c>
      <c r="F3409" s="34" t="str">
        <f t="shared" si="809"/>
        <v>C:\Users\jaime.benazar\Quorum Business Solutions\Ecopetrol Prometeo - Documents\Planning Space Implementation\3. Analysis &amp; Design\Design\FC22\DRR Jaime\QUIFA-CAJÚA\Cajua\[CAJUA_CF_SEC_New_27-Feb-2024Rev3.xlsx]D-PNP'!</v>
      </c>
      <c r="G3409" s="32" t="s">
        <v>111</v>
      </c>
      <c r="H3409" s="33">
        <f t="shared" si="810"/>
        <v>37</v>
      </c>
      <c r="I3409" s="33" t="str">
        <f t="shared" si="811"/>
        <v>='C:\Users\jaime.benazar\Quorum Business Solutions\Ecopetrol Prometeo - Documents\Planning Space Implementation\3. Analysis &amp; Design\Design\FC22\DRR Jaime\QUIFA-CAJÚA\Cajua\[CAJUA_CF_SEC_New_27-Feb-2024Rev3.xlsx]D-PNP'!$BE$37</v>
      </c>
      <c r="J3409" s="37" t="s">
        <v>3542</v>
      </c>
    </row>
    <row r="3410" spans="1:10" x14ac:dyDescent="0.25">
      <c r="A3410" s="32" t="s">
        <v>2</v>
      </c>
      <c r="B3410" s="32">
        <f t="shared" si="812"/>
        <v>2049</v>
      </c>
      <c r="C3410" s="33" t="s">
        <v>49</v>
      </c>
      <c r="D3410" s="34" t="s">
        <v>1999</v>
      </c>
      <c r="E3410" s="35" t="str">
        <f t="shared" si="808"/>
        <v>PNP'!</v>
      </c>
      <c r="F3410" s="34" t="str">
        <f t="shared" si="809"/>
        <v>C:\Users\jaime.benazar\Quorum Business Solutions\Ecopetrol Prometeo - Documents\Planning Space Implementation\3. Analysis &amp; Design\Design\FC22\DRR Jaime\QUIFA-CAJÚA\Cajua\[CAJUA_CF_SEC_New_27-Feb-2024Rev3.xlsx]D-PNP'!</v>
      </c>
      <c r="G3410" s="32" t="s">
        <v>111</v>
      </c>
      <c r="H3410" s="33">
        <f t="shared" si="810"/>
        <v>38</v>
      </c>
      <c r="I3410" s="33" t="str">
        <f t="shared" si="811"/>
        <v>='C:\Users\jaime.benazar\Quorum Business Solutions\Ecopetrol Prometeo - Documents\Planning Space Implementation\3. Analysis &amp; Design\Design\FC22\DRR Jaime\QUIFA-CAJÚA\Cajua\[CAJUA_CF_SEC_New_27-Feb-2024Rev3.xlsx]D-PNP'!$BE$38</v>
      </c>
      <c r="J3410" s="37" t="s">
        <v>3543</v>
      </c>
    </row>
    <row r="3411" spans="1:10" x14ac:dyDescent="0.25">
      <c r="A3411" s="32" t="s">
        <v>2</v>
      </c>
      <c r="B3411" s="32">
        <f t="shared" si="812"/>
        <v>2050</v>
      </c>
      <c r="C3411" s="33" t="s">
        <v>49</v>
      </c>
      <c r="D3411" s="34" t="s">
        <v>1999</v>
      </c>
      <c r="E3411" s="35" t="str">
        <f t="shared" si="808"/>
        <v>PNP'!</v>
      </c>
      <c r="F3411" s="34" t="str">
        <f t="shared" si="809"/>
        <v>C:\Users\jaime.benazar\Quorum Business Solutions\Ecopetrol Prometeo - Documents\Planning Space Implementation\3. Analysis &amp; Design\Design\FC22\DRR Jaime\QUIFA-CAJÚA\Cajua\[CAJUA_CF_SEC_New_27-Feb-2024Rev3.xlsx]D-PNP'!</v>
      </c>
      <c r="G3411" s="32" t="s">
        <v>111</v>
      </c>
      <c r="H3411" s="33">
        <f t="shared" si="810"/>
        <v>39</v>
      </c>
      <c r="I3411" s="33" t="str">
        <f t="shared" si="811"/>
        <v>='C:\Users\jaime.benazar\Quorum Business Solutions\Ecopetrol Prometeo - Documents\Planning Space Implementation\3. Analysis &amp; Design\Design\FC22\DRR Jaime\QUIFA-CAJÚA\Cajua\[CAJUA_CF_SEC_New_27-Feb-2024Rev3.xlsx]D-PNP'!$BE$39</v>
      </c>
      <c r="J3411" s="37" t="s">
        <v>3544</v>
      </c>
    </row>
    <row r="3412" spans="1:10" x14ac:dyDescent="0.25">
      <c r="A3412" s="32" t="s">
        <v>2</v>
      </c>
      <c r="B3412" s="32">
        <f t="shared" si="812"/>
        <v>2051</v>
      </c>
      <c r="C3412" s="33" t="s">
        <v>49</v>
      </c>
      <c r="D3412" s="34" t="s">
        <v>1999</v>
      </c>
      <c r="E3412" s="35" t="str">
        <f t="shared" si="808"/>
        <v>PNP'!</v>
      </c>
      <c r="F3412" s="34" t="str">
        <f t="shared" si="809"/>
        <v>C:\Users\jaime.benazar\Quorum Business Solutions\Ecopetrol Prometeo - Documents\Planning Space Implementation\3. Analysis &amp; Design\Design\FC22\DRR Jaime\QUIFA-CAJÚA\Cajua\[CAJUA_CF_SEC_New_27-Feb-2024Rev3.xlsx]D-PNP'!</v>
      </c>
      <c r="G3412" s="32" t="s">
        <v>111</v>
      </c>
      <c r="H3412" s="33">
        <f t="shared" si="810"/>
        <v>40</v>
      </c>
      <c r="I3412" s="33" t="str">
        <f t="shared" si="811"/>
        <v>='C:\Users\jaime.benazar\Quorum Business Solutions\Ecopetrol Prometeo - Documents\Planning Space Implementation\3. Analysis &amp; Design\Design\FC22\DRR Jaime\QUIFA-CAJÚA\Cajua\[CAJUA_CF_SEC_New_27-Feb-2024Rev3.xlsx]D-PNP'!$BE$40</v>
      </c>
      <c r="J3412" s="37" t="s">
        <v>3545</v>
      </c>
    </row>
    <row r="3413" spans="1:10" x14ac:dyDescent="0.25">
      <c r="A3413" s="32" t="s">
        <v>2</v>
      </c>
      <c r="B3413" s="32">
        <f t="shared" si="812"/>
        <v>2052</v>
      </c>
      <c r="C3413" s="33" t="s">
        <v>49</v>
      </c>
      <c r="D3413" s="34" t="s">
        <v>1999</v>
      </c>
      <c r="E3413" s="35" t="str">
        <f t="shared" si="808"/>
        <v>PNP'!</v>
      </c>
      <c r="F3413" s="34" t="str">
        <f t="shared" si="809"/>
        <v>C:\Users\jaime.benazar\Quorum Business Solutions\Ecopetrol Prometeo - Documents\Planning Space Implementation\3. Analysis &amp; Design\Design\FC22\DRR Jaime\QUIFA-CAJÚA\Cajua\[CAJUA_CF_SEC_New_27-Feb-2024Rev3.xlsx]D-PNP'!</v>
      </c>
      <c r="G3413" s="32" t="s">
        <v>111</v>
      </c>
      <c r="H3413" s="33">
        <f t="shared" si="810"/>
        <v>41</v>
      </c>
      <c r="I3413" s="33" t="str">
        <f t="shared" si="811"/>
        <v>='C:\Users\jaime.benazar\Quorum Business Solutions\Ecopetrol Prometeo - Documents\Planning Space Implementation\3. Analysis &amp; Design\Design\FC22\DRR Jaime\QUIFA-CAJÚA\Cajua\[CAJUA_CF_SEC_New_27-Feb-2024Rev3.xlsx]D-PNP'!$BE$41</v>
      </c>
      <c r="J3413" s="37" t="s">
        <v>3546</v>
      </c>
    </row>
    <row r="3414" spans="1:10" x14ac:dyDescent="0.25">
      <c r="A3414" s="32" t="s">
        <v>2</v>
      </c>
      <c r="B3414" s="32">
        <f t="shared" si="812"/>
        <v>2053</v>
      </c>
      <c r="C3414" s="33" t="s">
        <v>49</v>
      </c>
      <c r="D3414" s="34" t="s">
        <v>1999</v>
      </c>
      <c r="E3414" s="35" t="str">
        <f t="shared" si="808"/>
        <v>PNP'!</v>
      </c>
      <c r="F3414" s="34" t="str">
        <f t="shared" si="809"/>
        <v>C:\Users\jaime.benazar\Quorum Business Solutions\Ecopetrol Prometeo - Documents\Planning Space Implementation\3. Analysis &amp; Design\Design\FC22\DRR Jaime\QUIFA-CAJÚA\Cajua\[CAJUA_CF_SEC_New_27-Feb-2024Rev3.xlsx]D-PNP'!</v>
      </c>
      <c r="G3414" s="32" t="s">
        <v>111</v>
      </c>
      <c r="H3414" s="33">
        <f t="shared" si="810"/>
        <v>42</v>
      </c>
      <c r="I3414" s="33" t="str">
        <f t="shared" si="811"/>
        <v>='C:\Users\jaime.benazar\Quorum Business Solutions\Ecopetrol Prometeo - Documents\Planning Space Implementation\3. Analysis &amp; Design\Design\FC22\DRR Jaime\QUIFA-CAJÚA\Cajua\[CAJUA_CF_SEC_New_27-Feb-2024Rev3.xlsx]D-PNP'!$BE$42</v>
      </c>
      <c r="J3414" s="37" t="s">
        <v>3547</v>
      </c>
    </row>
    <row r="3415" spans="1:10" x14ac:dyDescent="0.25">
      <c r="A3415" s="32" t="s">
        <v>2</v>
      </c>
      <c r="B3415" s="32">
        <f t="shared" si="812"/>
        <v>2054</v>
      </c>
      <c r="C3415" s="33" t="s">
        <v>49</v>
      </c>
      <c r="D3415" s="34" t="s">
        <v>1999</v>
      </c>
      <c r="E3415" s="35" t="str">
        <f t="shared" si="808"/>
        <v>PNP'!</v>
      </c>
      <c r="F3415" s="34" t="str">
        <f t="shared" si="809"/>
        <v>C:\Users\jaime.benazar\Quorum Business Solutions\Ecopetrol Prometeo - Documents\Planning Space Implementation\3. Analysis &amp; Design\Design\FC22\DRR Jaime\QUIFA-CAJÚA\Cajua\[CAJUA_CF_SEC_New_27-Feb-2024Rev3.xlsx]D-PNP'!</v>
      </c>
      <c r="G3415" s="32" t="s">
        <v>111</v>
      </c>
      <c r="H3415" s="33">
        <f t="shared" si="810"/>
        <v>43</v>
      </c>
      <c r="I3415" s="33" t="str">
        <f t="shared" si="811"/>
        <v>='C:\Users\jaime.benazar\Quorum Business Solutions\Ecopetrol Prometeo - Documents\Planning Space Implementation\3. Analysis &amp; Design\Design\FC22\DRR Jaime\QUIFA-CAJÚA\Cajua\[CAJUA_CF_SEC_New_27-Feb-2024Rev3.xlsx]D-PNP'!$BE$43</v>
      </c>
      <c r="J3415" s="37" t="s">
        <v>3548</v>
      </c>
    </row>
    <row r="3416" spans="1:10" x14ac:dyDescent="0.25">
      <c r="A3416" s="32" t="s">
        <v>2</v>
      </c>
      <c r="B3416" s="32">
        <f t="shared" si="812"/>
        <v>2055</v>
      </c>
      <c r="C3416" s="33" t="s">
        <v>49</v>
      </c>
      <c r="D3416" s="34" t="s">
        <v>1999</v>
      </c>
      <c r="E3416" s="35" t="str">
        <f t="shared" si="808"/>
        <v>PNP'!</v>
      </c>
      <c r="F3416" s="34" t="str">
        <f t="shared" si="809"/>
        <v>C:\Users\jaime.benazar\Quorum Business Solutions\Ecopetrol Prometeo - Documents\Planning Space Implementation\3. Analysis &amp; Design\Design\FC22\DRR Jaime\QUIFA-CAJÚA\Cajua\[CAJUA_CF_SEC_New_27-Feb-2024Rev3.xlsx]D-PNP'!</v>
      </c>
      <c r="G3416" s="32" t="s">
        <v>111</v>
      </c>
      <c r="H3416" s="33">
        <f t="shared" si="810"/>
        <v>44</v>
      </c>
      <c r="I3416" s="33" t="str">
        <f t="shared" si="811"/>
        <v>='C:\Users\jaime.benazar\Quorum Business Solutions\Ecopetrol Prometeo - Documents\Planning Space Implementation\3. Analysis &amp; Design\Design\FC22\DRR Jaime\QUIFA-CAJÚA\Cajua\[CAJUA_CF_SEC_New_27-Feb-2024Rev3.xlsx]D-PNP'!$BE$44</v>
      </c>
      <c r="J3416" s="37" t="s">
        <v>3549</v>
      </c>
    </row>
    <row r="3417" spans="1:10" x14ac:dyDescent="0.25">
      <c r="A3417" s="32" t="s">
        <v>2</v>
      </c>
      <c r="B3417" s="32">
        <f t="shared" si="812"/>
        <v>2056</v>
      </c>
      <c r="C3417" s="33" t="s">
        <v>49</v>
      </c>
      <c r="D3417" s="34" t="s">
        <v>1999</v>
      </c>
      <c r="E3417" s="35" t="str">
        <f t="shared" si="808"/>
        <v>PNP'!</v>
      </c>
      <c r="F3417" s="34" t="str">
        <f t="shared" si="809"/>
        <v>C:\Users\jaime.benazar\Quorum Business Solutions\Ecopetrol Prometeo - Documents\Planning Space Implementation\3. Analysis &amp; Design\Design\FC22\DRR Jaime\QUIFA-CAJÚA\Cajua\[CAJUA_CF_SEC_New_27-Feb-2024Rev3.xlsx]D-PNP'!</v>
      </c>
      <c r="G3417" s="32" t="s">
        <v>111</v>
      </c>
      <c r="H3417" s="33">
        <f t="shared" si="810"/>
        <v>45</v>
      </c>
      <c r="I3417" s="33" t="str">
        <f t="shared" si="811"/>
        <v>='C:\Users\jaime.benazar\Quorum Business Solutions\Ecopetrol Prometeo - Documents\Planning Space Implementation\3. Analysis &amp; Design\Design\FC22\DRR Jaime\QUIFA-CAJÚA\Cajua\[CAJUA_CF_SEC_New_27-Feb-2024Rev3.xlsx]D-PNP'!$BE$45</v>
      </c>
      <c r="J3417" s="37" t="s">
        <v>3550</v>
      </c>
    </row>
    <row r="3418" spans="1:10" x14ac:dyDescent="0.25">
      <c r="A3418" s="32" t="s">
        <v>2</v>
      </c>
      <c r="B3418" s="32">
        <f t="shared" si="812"/>
        <v>2057</v>
      </c>
      <c r="C3418" s="33" t="s">
        <v>49</v>
      </c>
      <c r="D3418" s="34" t="s">
        <v>1999</v>
      </c>
      <c r="E3418" s="35" t="str">
        <f t="shared" si="808"/>
        <v>PNP'!</v>
      </c>
      <c r="F3418" s="34" t="str">
        <f t="shared" si="809"/>
        <v>C:\Users\jaime.benazar\Quorum Business Solutions\Ecopetrol Prometeo - Documents\Planning Space Implementation\3. Analysis &amp; Design\Design\FC22\DRR Jaime\QUIFA-CAJÚA\Cajua\[CAJUA_CF_SEC_New_27-Feb-2024Rev3.xlsx]D-PNP'!</v>
      </c>
      <c r="G3418" s="32" t="s">
        <v>111</v>
      </c>
      <c r="H3418" s="33">
        <f t="shared" si="810"/>
        <v>46</v>
      </c>
      <c r="I3418" s="33" t="str">
        <f t="shared" si="811"/>
        <v>='C:\Users\jaime.benazar\Quorum Business Solutions\Ecopetrol Prometeo - Documents\Planning Space Implementation\3. Analysis &amp; Design\Design\FC22\DRR Jaime\QUIFA-CAJÚA\Cajua\[CAJUA_CF_SEC_New_27-Feb-2024Rev3.xlsx]D-PNP'!$BE$46</v>
      </c>
      <c r="J3418" s="37" t="s">
        <v>3551</v>
      </c>
    </row>
    <row r="3419" spans="1:10" x14ac:dyDescent="0.25">
      <c r="A3419" s="32" t="s">
        <v>2</v>
      </c>
      <c r="B3419" s="32">
        <f t="shared" si="812"/>
        <v>2058</v>
      </c>
      <c r="C3419" s="33" t="s">
        <v>49</v>
      </c>
      <c r="D3419" s="34" t="s">
        <v>1999</v>
      </c>
      <c r="E3419" s="35" t="str">
        <f t="shared" si="808"/>
        <v>PNP'!</v>
      </c>
      <c r="F3419" s="34" t="str">
        <f t="shared" si="809"/>
        <v>C:\Users\jaime.benazar\Quorum Business Solutions\Ecopetrol Prometeo - Documents\Planning Space Implementation\3. Analysis &amp; Design\Design\FC22\DRR Jaime\QUIFA-CAJÚA\Cajua\[CAJUA_CF_SEC_New_27-Feb-2024Rev3.xlsx]D-PNP'!</v>
      </c>
      <c r="G3419" s="32" t="s">
        <v>111</v>
      </c>
      <c r="H3419" s="33">
        <f t="shared" si="810"/>
        <v>47</v>
      </c>
      <c r="I3419" s="33" t="str">
        <f t="shared" si="811"/>
        <v>='C:\Users\jaime.benazar\Quorum Business Solutions\Ecopetrol Prometeo - Documents\Planning Space Implementation\3. Analysis &amp; Design\Design\FC22\DRR Jaime\QUIFA-CAJÚA\Cajua\[CAJUA_CF_SEC_New_27-Feb-2024Rev3.xlsx]D-PNP'!$BE$47</v>
      </c>
      <c r="J3419" s="37" t="s">
        <v>3552</v>
      </c>
    </row>
    <row r="3420" spans="1:10" x14ac:dyDescent="0.25">
      <c r="A3420" s="32" t="s">
        <v>2</v>
      </c>
      <c r="B3420" s="32">
        <f t="shared" si="812"/>
        <v>2059</v>
      </c>
      <c r="C3420" s="33" t="s">
        <v>49</v>
      </c>
      <c r="D3420" s="34" t="s">
        <v>1999</v>
      </c>
      <c r="E3420" s="35" t="str">
        <f t="shared" si="808"/>
        <v>PNP'!</v>
      </c>
      <c r="F3420" s="34" t="str">
        <f t="shared" si="809"/>
        <v>C:\Users\jaime.benazar\Quorum Business Solutions\Ecopetrol Prometeo - Documents\Planning Space Implementation\3. Analysis &amp; Design\Design\FC22\DRR Jaime\QUIFA-CAJÚA\Cajua\[CAJUA_CF_SEC_New_27-Feb-2024Rev3.xlsx]D-PNP'!</v>
      </c>
      <c r="G3420" s="32" t="s">
        <v>111</v>
      </c>
      <c r="H3420" s="33">
        <f t="shared" si="810"/>
        <v>48</v>
      </c>
      <c r="I3420" s="33" t="str">
        <f t="shared" si="811"/>
        <v>='C:\Users\jaime.benazar\Quorum Business Solutions\Ecopetrol Prometeo - Documents\Planning Space Implementation\3. Analysis &amp; Design\Design\FC22\DRR Jaime\QUIFA-CAJÚA\Cajua\[CAJUA_CF_SEC_New_27-Feb-2024Rev3.xlsx]D-PNP'!$BE$48</v>
      </c>
      <c r="J3420" s="37" t="s">
        <v>3553</v>
      </c>
    </row>
    <row r="3421" spans="1:10" x14ac:dyDescent="0.25">
      <c r="A3421" s="32" t="s">
        <v>28</v>
      </c>
      <c r="B3421" s="32"/>
      <c r="C3421" s="33" t="s">
        <v>49</v>
      </c>
      <c r="D3421" s="34"/>
      <c r="E3421" s="35"/>
      <c r="F3421" s="34"/>
      <c r="G3421" s="32"/>
      <c r="H3421" s="33"/>
      <c r="I3421" s="33"/>
      <c r="J3421" s="33"/>
    </row>
    <row r="3422" spans="1:10" x14ac:dyDescent="0.25">
      <c r="A3422" s="32" t="s">
        <v>3</v>
      </c>
      <c r="B3422" s="32">
        <v>2023</v>
      </c>
      <c r="C3422" s="33" t="s">
        <v>49</v>
      </c>
      <c r="D3422" s="34" t="s">
        <v>1999</v>
      </c>
      <c r="E3422" s="35" t="str">
        <f t="shared" ref="E3422:E3442" si="813">_xlfn.CONCAT(A3422,"'!")</f>
        <v>PND'!</v>
      </c>
      <c r="F3422" s="34" t="str">
        <f t="shared" ref="F3422:F3442" si="814">_xlfn.CONCAT(D3422:E3422)</f>
        <v>C:\Users\jaime.benazar\Quorum Business Solutions\Ecopetrol Prometeo - Documents\Planning Space Implementation\3. Analysis &amp; Design\Design\FC22\DRR Jaime\QUIFA-CAJÚA\Cajua\[CAJUA_CF_SEC_New_27-Feb-2024Rev3.xlsx]D-PND'!</v>
      </c>
      <c r="G3422" s="32" t="s">
        <v>111</v>
      </c>
      <c r="H3422" s="33">
        <f>IF(A3422&lt;&gt;A3406,12,H3406+1)</f>
        <v>12</v>
      </c>
      <c r="I3422" s="33" t="str">
        <f t="shared" ref="I3422:I3442" si="815">_xlfn.CONCAT("='",F3422:H3422)</f>
        <v>='C:\Users\jaime.benazar\Quorum Business Solutions\Ecopetrol Prometeo - Documents\Planning Space Implementation\3. Analysis &amp; Design\Design\FC22\DRR Jaime\QUIFA-CAJÚA\Cajua\[CAJUA_CF_SEC_New_27-Feb-2024Rev3.xlsx]D-PND'!$BE$12</v>
      </c>
      <c r="J3422" s="37" t="s">
        <v>3554</v>
      </c>
    </row>
    <row r="3423" spans="1:10" x14ac:dyDescent="0.25">
      <c r="A3423" s="32" t="s">
        <v>3</v>
      </c>
      <c r="B3423" s="32">
        <f>+B3422+1</f>
        <v>2024</v>
      </c>
      <c r="C3423" s="33" t="s">
        <v>49</v>
      </c>
      <c r="D3423" s="34" t="s">
        <v>1999</v>
      </c>
      <c r="E3423" s="35" t="str">
        <f t="shared" si="813"/>
        <v>PND'!</v>
      </c>
      <c r="F3423" s="34" t="str">
        <f t="shared" si="814"/>
        <v>C:\Users\jaime.benazar\Quorum Business Solutions\Ecopetrol Prometeo - Documents\Planning Space Implementation\3. Analysis &amp; Design\Design\FC22\DRR Jaime\QUIFA-CAJÚA\Cajua\[CAJUA_CF_SEC_New_27-Feb-2024Rev3.xlsx]D-PND'!</v>
      </c>
      <c r="G3423" s="32" t="s">
        <v>111</v>
      </c>
      <c r="H3423" s="33">
        <f t="shared" ref="H3423:H3442" si="816">IF(A3423&lt;&gt;A3422,36,H3422+1)</f>
        <v>13</v>
      </c>
      <c r="I3423" s="33" t="str">
        <f t="shared" si="815"/>
        <v>='C:\Users\jaime.benazar\Quorum Business Solutions\Ecopetrol Prometeo - Documents\Planning Space Implementation\3. Analysis &amp; Design\Design\FC22\DRR Jaime\QUIFA-CAJÚA\Cajua\[CAJUA_CF_SEC_New_27-Feb-2024Rev3.xlsx]D-PND'!$BE$13</v>
      </c>
      <c r="J3423" s="37" t="s">
        <v>3555</v>
      </c>
    </row>
    <row r="3424" spans="1:10" x14ac:dyDescent="0.25">
      <c r="A3424" s="32" t="s">
        <v>3</v>
      </c>
      <c r="B3424" s="32">
        <f t="shared" ref="B3424:B3435" si="817">+B3423+1</f>
        <v>2025</v>
      </c>
      <c r="C3424" s="33" t="s">
        <v>49</v>
      </c>
      <c r="D3424" s="34" t="s">
        <v>1999</v>
      </c>
      <c r="E3424" s="35" t="str">
        <f t="shared" si="813"/>
        <v>PND'!</v>
      </c>
      <c r="F3424" s="34" t="str">
        <f t="shared" si="814"/>
        <v>C:\Users\jaime.benazar\Quorum Business Solutions\Ecopetrol Prometeo - Documents\Planning Space Implementation\3. Analysis &amp; Design\Design\FC22\DRR Jaime\QUIFA-CAJÚA\Cajua\[CAJUA_CF_SEC_New_27-Feb-2024Rev3.xlsx]D-PND'!</v>
      </c>
      <c r="G3424" s="32" t="s">
        <v>111</v>
      </c>
      <c r="H3424" s="33">
        <f t="shared" si="816"/>
        <v>14</v>
      </c>
      <c r="I3424" s="33" t="str">
        <f t="shared" si="815"/>
        <v>='C:\Users\jaime.benazar\Quorum Business Solutions\Ecopetrol Prometeo - Documents\Planning Space Implementation\3. Analysis &amp; Design\Design\FC22\DRR Jaime\QUIFA-CAJÚA\Cajua\[CAJUA_CF_SEC_New_27-Feb-2024Rev3.xlsx]D-PND'!$BE$14</v>
      </c>
      <c r="J3424" s="37" t="s">
        <v>3556</v>
      </c>
    </row>
    <row r="3425" spans="1:10" x14ac:dyDescent="0.25">
      <c r="A3425" s="32" t="s">
        <v>3</v>
      </c>
      <c r="B3425" s="32">
        <f t="shared" si="817"/>
        <v>2026</v>
      </c>
      <c r="C3425" s="33" t="s">
        <v>49</v>
      </c>
      <c r="D3425" s="34" t="s">
        <v>1999</v>
      </c>
      <c r="E3425" s="35" t="str">
        <f t="shared" si="813"/>
        <v>PND'!</v>
      </c>
      <c r="F3425" s="34" t="str">
        <f t="shared" si="814"/>
        <v>C:\Users\jaime.benazar\Quorum Business Solutions\Ecopetrol Prometeo - Documents\Planning Space Implementation\3. Analysis &amp; Design\Design\FC22\DRR Jaime\QUIFA-CAJÚA\Cajua\[CAJUA_CF_SEC_New_27-Feb-2024Rev3.xlsx]D-PND'!</v>
      </c>
      <c r="G3425" s="32" t="s">
        <v>111</v>
      </c>
      <c r="H3425" s="33">
        <f t="shared" si="816"/>
        <v>15</v>
      </c>
      <c r="I3425" s="33" t="str">
        <f t="shared" si="815"/>
        <v>='C:\Users\jaime.benazar\Quorum Business Solutions\Ecopetrol Prometeo - Documents\Planning Space Implementation\3. Analysis &amp; Design\Design\FC22\DRR Jaime\QUIFA-CAJÚA\Cajua\[CAJUA_CF_SEC_New_27-Feb-2024Rev3.xlsx]D-PND'!$BE$15</v>
      </c>
      <c r="J3425" s="37" t="s">
        <v>3557</v>
      </c>
    </row>
    <row r="3426" spans="1:10" x14ac:dyDescent="0.25">
      <c r="A3426" s="32" t="s">
        <v>3</v>
      </c>
      <c r="B3426" s="32">
        <f t="shared" si="817"/>
        <v>2027</v>
      </c>
      <c r="C3426" s="33" t="s">
        <v>49</v>
      </c>
      <c r="D3426" s="34" t="s">
        <v>1999</v>
      </c>
      <c r="E3426" s="35" t="str">
        <f t="shared" si="813"/>
        <v>PND'!</v>
      </c>
      <c r="F3426" s="34" t="str">
        <f t="shared" si="814"/>
        <v>C:\Users\jaime.benazar\Quorum Business Solutions\Ecopetrol Prometeo - Documents\Planning Space Implementation\3. Analysis &amp; Design\Design\FC22\DRR Jaime\QUIFA-CAJÚA\Cajua\[CAJUA_CF_SEC_New_27-Feb-2024Rev3.xlsx]D-PND'!</v>
      </c>
      <c r="G3426" s="32" t="s">
        <v>111</v>
      </c>
      <c r="H3426" s="33">
        <f t="shared" si="816"/>
        <v>16</v>
      </c>
      <c r="I3426" s="33" t="str">
        <f t="shared" si="815"/>
        <v>='C:\Users\jaime.benazar\Quorum Business Solutions\Ecopetrol Prometeo - Documents\Planning Space Implementation\3. Analysis &amp; Design\Design\FC22\DRR Jaime\QUIFA-CAJÚA\Cajua\[CAJUA_CF_SEC_New_27-Feb-2024Rev3.xlsx]D-PND'!$BE$16</v>
      </c>
      <c r="J3426" s="37" t="s">
        <v>3558</v>
      </c>
    </row>
    <row r="3427" spans="1:10" x14ac:dyDescent="0.25">
      <c r="A3427" s="32" t="s">
        <v>3</v>
      </c>
      <c r="B3427" s="32">
        <f t="shared" si="817"/>
        <v>2028</v>
      </c>
      <c r="C3427" s="33" t="s">
        <v>49</v>
      </c>
      <c r="D3427" s="34" t="s">
        <v>1999</v>
      </c>
      <c r="E3427" s="35" t="str">
        <f t="shared" si="813"/>
        <v>PND'!</v>
      </c>
      <c r="F3427" s="34" t="str">
        <f t="shared" si="814"/>
        <v>C:\Users\jaime.benazar\Quorum Business Solutions\Ecopetrol Prometeo - Documents\Planning Space Implementation\3. Analysis &amp; Design\Design\FC22\DRR Jaime\QUIFA-CAJÚA\Cajua\[CAJUA_CF_SEC_New_27-Feb-2024Rev3.xlsx]D-PND'!</v>
      </c>
      <c r="G3427" s="32" t="s">
        <v>111</v>
      </c>
      <c r="H3427" s="33">
        <f t="shared" si="816"/>
        <v>17</v>
      </c>
      <c r="I3427" s="33" t="str">
        <f t="shared" si="815"/>
        <v>='C:\Users\jaime.benazar\Quorum Business Solutions\Ecopetrol Prometeo - Documents\Planning Space Implementation\3. Analysis &amp; Design\Design\FC22\DRR Jaime\QUIFA-CAJÚA\Cajua\[CAJUA_CF_SEC_New_27-Feb-2024Rev3.xlsx]D-PND'!$BE$17</v>
      </c>
      <c r="J3427" s="37" t="s">
        <v>3559</v>
      </c>
    </row>
    <row r="3428" spans="1:10" x14ac:dyDescent="0.25">
      <c r="A3428" s="32" t="s">
        <v>3</v>
      </c>
      <c r="B3428" s="32">
        <f t="shared" si="817"/>
        <v>2029</v>
      </c>
      <c r="C3428" s="33" t="s">
        <v>49</v>
      </c>
      <c r="D3428" s="34" t="s">
        <v>1999</v>
      </c>
      <c r="E3428" s="35" t="str">
        <f t="shared" si="813"/>
        <v>PND'!</v>
      </c>
      <c r="F3428" s="34" t="str">
        <f t="shared" si="814"/>
        <v>C:\Users\jaime.benazar\Quorum Business Solutions\Ecopetrol Prometeo - Documents\Planning Space Implementation\3. Analysis &amp; Design\Design\FC22\DRR Jaime\QUIFA-CAJÚA\Cajua\[CAJUA_CF_SEC_New_27-Feb-2024Rev3.xlsx]D-PND'!</v>
      </c>
      <c r="G3428" s="32" t="s">
        <v>111</v>
      </c>
      <c r="H3428" s="33">
        <f t="shared" si="816"/>
        <v>18</v>
      </c>
      <c r="I3428" s="33" t="str">
        <f t="shared" si="815"/>
        <v>='C:\Users\jaime.benazar\Quorum Business Solutions\Ecopetrol Prometeo - Documents\Planning Space Implementation\3. Analysis &amp; Design\Design\FC22\DRR Jaime\QUIFA-CAJÚA\Cajua\[CAJUA_CF_SEC_New_27-Feb-2024Rev3.xlsx]D-PND'!$BE$18</v>
      </c>
      <c r="J3428" s="37" t="s">
        <v>3560</v>
      </c>
    </row>
    <row r="3429" spans="1:10" x14ac:dyDescent="0.25">
      <c r="A3429" s="32" t="s">
        <v>3</v>
      </c>
      <c r="B3429" s="32">
        <f t="shared" si="817"/>
        <v>2030</v>
      </c>
      <c r="C3429" s="33" t="s">
        <v>49</v>
      </c>
      <c r="D3429" s="34" t="s">
        <v>1999</v>
      </c>
      <c r="E3429" s="35" t="str">
        <f t="shared" si="813"/>
        <v>PND'!</v>
      </c>
      <c r="F3429" s="34" t="str">
        <f t="shared" si="814"/>
        <v>C:\Users\jaime.benazar\Quorum Business Solutions\Ecopetrol Prometeo - Documents\Planning Space Implementation\3. Analysis &amp; Design\Design\FC22\DRR Jaime\QUIFA-CAJÚA\Cajua\[CAJUA_CF_SEC_New_27-Feb-2024Rev3.xlsx]D-PND'!</v>
      </c>
      <c r="G3429" s="32" t="s">
        <v>111</v>
      </c>
      <c r="H3429" s="33">
        <f t="shared" si="816"/>
        <v>19</v>
      </c>
      <c r="I3429" s="33" t="str">
        <f t="shared" si="815"/>
        <v>='C:\Users\jaime.benazar\Quorum Business Solutions\Ecopetrol Prometeo - Documents\Planning Space Implementation\3. Analysis &amp; Design\Design\FC22\DRR Jaime\QUIFA-CAJÚA\Cajua\[CAJUA_CF_SEC_New_27-Feb-2024Rev3.xlsx]D-PND'!$BE$19</v>
      </c>
      <c r="J3429" s="37" t="s">
        <v>3561</v>
      </c>
    </row>
    <row r="3430" spans="1:10" x14ac:dyDescent="0.25">
      <c r="A3430" s="32" t="s">
        <v>3</v>
      </c>
      <c r="B3430" s="32">
        <f t="shared" si="817"/>
        <v>2031</v>
      </c>
      <c r="C3430" s="33" t="s">
        <v>49</v>
      </c>
      <c r="D3430" s="34" t="s">
        <v>1999</v>
      </c>
      <c r="E3430" s="35" t="str">
        <f t="shared" si="813"/>
        <v>PND'!</v>
      </c>
      <c r="F3430" s="34" t="str">
        <f t="shared" si="814"/>
        <v>C:\Users\jaime.benazar\Quorum Business Solutions\Ecopetrol Prometeo - Documents\Planning Space Implementation\3. Analysis &amp; Design\Design\FC22\DRR Jaime\QUIFA-CAJÚA\Cajua\[CAJUA_CF_SEC_New_27-Feb-2024Rev3.xlsx]D-PND'!</v>
      </c>
      <c r="G3430" s="32" t="s">
        <v>111</v>
      </c>
      <c r="H3430" s="33">
        <f t="shared" si="816"/>
        <v>20</v>
      </c>
      <c r="I3430" s="33" t="str">
        <f t="shared" si="815"/>
        <v>='C:\Users\jaime.benazar\Quorum Business Solutions\Ecopetrol Prometeo - Documents\Planning Space Implementation\3. Analysis &amp; Design\Design\FC22\DRR Jaime\QUIFA-CAJÚA\Cajua\[CAJUA_CF_SEC_New_27-Feb-2024Rev3.xlsx]D-PND'!$BE$20</v>
      </c>
      <c r="J3430" s="37" t="s">
        <v>3562</v>
      </c>
    </row>
    <row r="3431" spans="1:10" x14ac:dyDescent="0.25">
      <c r="A3431" s="32" t="s">
        <v>3</v>
      </c>
      <c r="B3431" s="32">
        <f t="shared" si="817"/>
        <v>2032</v>
      </c>
      <c r="C3431" s="33" t="s">
        <v>49</v>
      </c>
      <c r="D3431" s="34" t="s">
        <v>1999</v>
      </c>
      <c r="E3431" s="35" t="str">
        <f t="shared" si="813"/>
        <v>PND'!</v>
      </c>
      <c r="F3431" s="34" t="str">
        <f t="shared" si="814"/>
        <v>C:\Users\jaime.benazar\Quorum Business Solutions\Ecopetrol Prometeo - Documents\Planning Space Implementation\3. Analysis &amp; Design\Design\FC22\DRR Jaime\QUIFA-CAJÚA\Cajua\[CAJUA_CF_SEC_New_27-Feb-2024Rev3.xlsx]D-PND'!</v>
      </c>
      <c r="G3431" s="32" t="s">
        <v>111</v>
      </c>
      <c r="H3431" s="33">
        <f t="shared" si="816"/>
        <v>21</v>
      </c>
      <c r="I3431" s="33" t="str">
        <f t="shared" si="815"/>
        <v>='C:\Users\jaime.benazar\Quorum Business Solutions\Ecopetrol Prometeo - Documents\Planning Space Implementation\3. Analysis &amp; Design\Design\FC22\DRR Jaime\QUIFA-CAJÚA\Cajua\[CAJUA_CF_SEC_New_27-Feb-2024Rev3.xlsx]D-PND'!$BE$21</v>
      </c>
      <c r="J3431" s="37" t="s">
        <v>3563</v>
      </c>
    </row>
    <row r="3432" spans="1:10" x14ac:dyDescent="0.25">
      <c r="A3432" s="32" t="s">
        <v>3</v>
      </c>
      <c r="B3432" s="32">
        <f t="shared" si="817"/>
        <v>2033</v>
      </c>
      <c r="C3432" s="33" t="s">
        <v>49</v>
      </c>
      <c r="D3432" s="34" t="s">
        <v>1999</v>
      </c>
      <c r="E3432" s="35" t="str">
        <f t="shared" si="813"/>
        <v>PND'!</v>
      </c>
      <c r="F3432" s="34" t="str">
        <f t="shared" si="814"/>
        <v>C:\Users\jaime.benazar\Quorum Business Solutions\Ecopetrol Prometeo - Documents\Planning Space Implementation\3. Analysis &amp; Design\Design\FC22\DRR Jaime\QUIFA-CAJÚA\Cajua\[CAJUA_CF_SEC_New_27-Feb-2024Rev3.xlsx]D-PND'!</v>
      </c>
      <c r="G3432" s="32" t="s">
        <v>111</v>
      </c>
      <c r="H3432" s="33">
        <f t="shared" si="816"/>
        <v>22</v>
      </c>
      <c r="I3432" s="33" t="str">
        <f t="shared" si="815"/>
        <v>='C:\Users\jaime.benazar\Quorum Business Solutions\Ecopetrol Prometeo - Documents\Planning Space Implementation\3. Analysis &amp; Design\Design\FC22\DRR Jaime\QUIFA-CAJÚA\Cajua\[CAJUA_CF_SEC_New_27-Feb-2024Rev3.xlsx]D-PND'!$BE$22</v>
      </c>
      <c r="J3432" s="37" t="s">
        <v>3564</v>
      </c>
    </row>
    <row r="3433" spans="1:10" x14ac:dyDescent="0.25">
      <c r="A3433" s="32" t="s">
        <v>3</v>
      </c>
      <c r="B3433" s="32">
        <f t="shared" si="817"/>
        <v>2034</v>
      </c>
      <c r="C3433" s="33" t="s">
        <v>49</v>
      </c>
      <c r="D3433" s="34" t="s">
        <v>1999</v>
      </c>
      <c r="E3433" s="35" t="str">
        <f t="shared" si="813"/>
        <v>PND'!</v>
      </c>
      <c r="F3433" s="34" t="str">
        <f t="shared" si="814"/>
        <v>C:\Users\jaime.benazar\Quorum Business Solutions\Ecopetrol Prometeo - Documents\Planning Space Implementation\3. Analysis &amp; Design\Design\FC22\DRR Jaime\QUIFA-CAJÚA\Cajua\[CAJUA_CF_SEC_New_27-Feb-2024Rev3.xlsx]D-PND'!</v>
      </c>
      <c r="G3433" s="32" t="s">
        <v>111</v>
      </c>
      <c r="H3433" s="33">
        <f t="shared" si="816"/>
        <v>23</v>
      </c>
      <c r="I3433" s="33" t="str">
        <f t="shared" si="815"/>
        <v>='C:\Users\jaime.benazar\Quorum Business Solutions\Ecopetrol Prometeo - Documents\Planning Space Implementation\3. Analysis &amp; Design\Design\FC22\DRR Jaime\QUIFA-CAJÚA\Cajua\[CAJUA_CF_SEC_New_27-Feb-2024Rev3.xlsx]D-PND'!$BE$23</v>
      </c>
      <c r="J3433" s="37" t="s">
        <v>3565</v>
      </c>
    </row>
    <row r="3434" spans="1:10" x14ac:dyDescent="0.25">
      <c r="A3434" s="32" t="s">
        <v>3</v>
      </c>
      <c r="B3434" s="32">
        <f t="shared" si="817"/>
        <v>2035</v>
      </c>
      <c r="C3434" s="33" t="s">
        <v>49</v>
      </c>
      <c r="D3434" s="34" t="s">
        <v>1999</v>
      </c>
      <c r="E3434" s="35" t="str">
        <f t="shared" si="813"/>
        <v>PND'!</v>
      </c>
      <c r="F3434" s="34" t="str">
        <f t="shared" si="814"/>
        <v>C:\Users\jaime.benazar\Quorum Business Solutions\Ecopetrol Prometeo - Documents\Planning Space Implementation\3. Analysis &amp; Design\Design\FC22\DRR Jaime\QUIFA-CAJÚA\Cajua\[CAJUA_CF_SEC_New_27-Feb-2024Rev3.xlsx]D-PND'!</v>
      </c>
      <c r="G3434" s="32" t="s">
        <v>111</v>
      </c>
      <c r="H3434" s="33">
        <f t="shared" si="816"/>
        <v>24</v>
      </c>
      <c r="I3434" s="33" t="str">
        <f t="shared" si="815"/>
        <v>='C:\Users\jaime.benazar\Quorum Business Solutions\Ecopetrol Prometeo - Documents\Planning Space Implementation\3. Analysis &amp; Design\Design\FC22\DRR Jaime\QUIFA-CAJÚA\Cajua\[CAJUA_CF_SEC_New_27-Feb-2024Rev3.xlsx]D-PND'!$BE$24</v>
      </c>
      <c r="J3434" s="37" t="s">
        <v>3566</v>
      </c>
    </row>
    <row r="3435" spans="1:10" x14ac:dyDescent="0.25">
      <c r="A3435" s="32" t="s">
        <v>3</v>
      </c>
      <c r="B3435" s="32">
        <f t="shared" si="817"/>
        <v>2036</v>
      </c>
      <c r="C3435" s="33" t="s">
        <v>49</v>
      </c>
      <c r="D3435" s="34" t="s">
        <v>1999</v>
      </c>
      <c r="E3435" s="35" t="str">
        <f t="shared" si="813"/>
        <v>PND'!</v>
      </c>
      <c r="F3435" s="34" t="str">
        <f t="shared" si="814"/>
        <v>C:\Users\jaime.benazar\Quorum Business Solutions\Ecopetrol Prometeo - Documents\Planning Space Implementation\3. Analysis &amp; Design\Design\FC22\DRR Jaime\QUIFA-CAJÚA\Cajua\[CAJUA_CF_SEC_New_27-Feb-2024Rev3.xlsx]D-PND'!</v>
      </c>
      <c r="G3435" s="32" t="s">
        <v>111</v>
      </c>
      <c r="H3435" s="33">
        <f t="shared" si="816"/>
        <v>25</v>
      </c>
      <c r="I3435" s="33" t="str">
        <f t="shared" si="815"/>
        <v>='C:\Users\jaime.benazar\Quorum Business Solutions\Ecopetrol Prometeo - Documents\Planning Space Implementation\3. Analysis &amp; Design\Design\FC22\DRR Jaime\QUIFA-CAJÚA\Cajua\[CAJUA_CF_SEC_New_27-Feb-2024Rev3.xlsx]D-PND'!$BE$25</v>
      </c>
      <c r="J3435" s="37" t="s">
        <v>3567</v>
      </c>
    </row>
    <row r="3436" spans="1:10" x14ac:dyDescent="0.25">
      <c r="A3436" s="32" t="s">
        <v>3</v>
      </c>
      <c r="B3436" s="32">
        <f>+B3435+1</f>
        <v>2037</v>
      </c>
      <c r="C3436" s="33" t="s">
        <v>49</v>
      </c>
      <c r="D3436" s="34" t="s">
        <v>1999</v>
      </c>
      <c r="E3436" s="35" t="str">
        <f t="shared" si="813"/>
        <v>PND'!</v>
      </c>
      <c r="F3436" s="34" t="str">
        <f t="shared" si="814"/>
        <v>C:\Users\jaime.benazar\Quorum Business Solutions\Ecopetrol Prometeo - Documents\Planning Space Implementation\3. Analysis &amp; Design\Design\FC22\DRR Jaime\QUIFA-CAJÚA\Cajua\[CAJUA_CF_SEC_New_27-Feb-2024Rev3.xlsx]D-PND'!</v>
      </c>
      <c r="G3436" s="32" t="s">
        <v>111</v>
      </c>
      <c r="H3436" s="33">
        <f t="shared" si="816"/>
        <v>26</v>
      </c>
      <c r="I3436" s="33" t="str">
        <f t="shared" si="815"/>
        <v>='C:\Users\jaime.benazar\Quorum Business Solutions\Ecopetrol Prometeo - Documents\Planning Space Implementation\3. Analysis &amp; Design\Design\FC22\DRR Jaime\QUIFA-CAJÚA\Cajua\[CAJUA_CF_SEC_New_27-Feb-2024Rev3.xlsx]D-PND'!$BE$26</v>
      </c>
      <c r="J3436" s="37" t="s">
        <v>3568</v>
      </c>
    </row>
    <row r="3437" spans="1:10" x14ac:dyDescent="0.25">
      <c r="A3437" s="32" t="s">
        <v>3</v>
      </c>
      <c r="B3437" s="32">
        <f t="shared" ref="B3437:B3439" si="818">+B3436+1</f>
        <v>2038</v>
      </c>
      <c r="C3437" s="33" t="s">
        <v>49</v>
      </c>
      <c r="D3437" s="34" t="s">
        <v>1999</v>
      </c>
      <c r="E3437" s="35" t="str">
        <f t="shared" si="813"/>
        <v>PND'!</v>
      </c>
      <c r="F3437" s="34" t="str">
        <f t="shared" si="814"/>
        <v>C:\Users\jaime.benazar\Quorum Business Solutions\Ecopetrol Prometeo - Documents\Planning Space Implementation\3. Analysis &amp; Design\Design\FC22\DRR Jaime\QUIFA-CAJÚA\Cajua\[CAJUA_CF_SEC_New_27-Feb-2024Rev3.xlsx]D-PND'!</v>
      </c>
      <c r="G3437" s="32" t="s">
        <v>111</v>
      </c>
      <c r="H3437" s="33">
        <f t="shared" si="816"/>
        <v>27</v>
      </c>
      <c r="I3437" s="33" t="str">
        <f t="shared" si="815"/>
        <v>='C:\Users\jaime.benazar\Quorum Business Solutions\Ecopetrol Prometeo - Documents\Planning Space Implementation\3. Analysis &amp; Design\Design\FC22\DRR Jaime\QUIFA-CAJÚA\Cajua\[CAJUA_CF_SEC_New_27-Feb-2024Rev3.xlsx]D-PND'!$BE$27</v>
      </c>
      <c r="J3437" s="37" t="s">
        <v>3569</v>
      </c>
    </row>
    <row r="3438" spans="1:10" x14ac:dyDescent="0.25">
      <c r="A3438" s="32" t="s">
        <v>3</v>
      </c>
      <c r="B3438" s="32">
        <f t="shared" si="818"/>
        <v>2039</v>
      </c>
      <c r="C3438" s="33" t="s">
        <v>49</v>
      </c>
      <c r="D3438" s="34" t="s">
        <v>1999</v>
      </c>
      <c r="E3438" s="35" t="str">
        <f t="shared" si="813"/>
        <v>PND'!</v>
      </c>
      <c r="F3438" s="34" t="str">
        <f t="shared" si="814"/>
        <v>C:\Users\jaime.benazar\Quorum Business Solutions\Ecopetrol Prometeo - Documents\Planning Space Implementation\3. Analysis &amp; Design\Design\FC22\DRR Jaime\QUIFA-CAJÚA\Cajua\[CAJUA_CF_SEC_New_27-Feb-2024Rev3.xlsx]D-PND'!</v>
      </c>
      <c r="G3438" s="32" t="s">
        <v>111</v>
      </c>
      <c r="H3438" s="33">
        <f t="shared" si="816"/>
        <v>28</v>
      </c>
      <c r="I3438" s="33" t="str">
        <f t="shared" si="815"/>
        <v>='C:\Users\jaime.benazar\Quorum Business Solutions\Ecopetrol Prometeo - Documents\Planning Space Implementation\3. Analysis &amp; Design\Design\FC22\DRR Jaime\QUIFA-CAJÚA\Cajua\[CAJUA_CF_SEC_New_27-Feb-2024Rev3.xlsx]D-PND'!$BE$28</v>
      </c>
      <c r="J3438" s="37" t="s">
        <v>3570</v>
      </c>
    </row>
    <row r="3439" spans="1:10" x14ac:dyDescent="0.25">
      <c r="A3439" s="32" t="s">
        <v>3</v>
      </c>
      <c r="B3439" s="32">
        <f t="shared" si="818"/>
        <v>2040</v>
      </c>
      <c r="C3439" s="33" t="s">
        <v>49</v>
      </c>
      <c r="D3439" s="34" t="s">
        <v>1999</v>
      </c>
      <c r="E3439" s="35" t="str">
        <f t="shared" si="813"/>
        <v>PND'!</v>
      </c>
      <c r="F3439" s="34" t="str">
        <f t="shared" si="814"/>
        <v>C:\Users\jaime.benazar\Quorum Business Solutions\Ecopetrol Prometeo - Documents\Planning Space Implementation\3. Analysis &amp; Design\Design\FC22\DRR Jaime\QUIFA-CAJÚA\Cajua\[CAJUA_CF_SEC_New_27-Feb-2024Rev3.xlsx]D-PND'!</v>
      </c>
      <c r="G3439" s="32" t="s">
        <v>111</v>
      </c>
      <c r="H3439" s="33">
        <f t="shared" si="816"/>
        <v>29</v>
      </c>
      <c r="I3439" s="33" t="str">
        <f t="shared" si="815"/>
        <v>='C:\Users\jaime.benazar\Quorum Business Solutions\Ecopetrol Prometeo - Documents\Planning Space Implementation\3. Analysis &amp; Design\Design\FC22\DRR Jaime\QUIFA-CAJÚA\Cajua\[CAJUA_CF_SEC_New_27-Feb-2024Rev3.xlsx]D-PND'!$BE$29</v>
      </c>
      <c r="J3439" s="37" t="s">
        <v>3571</v>
      </c>
    </row>
    <row r="3440" spans="1:10" x14ac:dyDescent="0.25">
      <c r="A3440" s="32" t="s">
        <v>3</v>
      </c>
      <c r="B3440" s="32">
        <f>+B3439+1</f>
        <v>2041</v>
      </c>
      <c r="C3440" s="33" t="s">
        <v>49</v>
      </c>
      <c r="D3440" s="34" t="s">
        <v>1999</v>
      </c>
      <c r="E3440" s="35" t="str">
        <f t="shared" si="813"/>
        <v>PND'!</v>
      </c>
      <c r="F3440" s="34" t="str">
        <f t="shared" si="814"/>
        <v>C:\Users\jaime.benazar\Quorum Business Solutions\Ecopetrol Prometeo - Documents\Planning Space Implementation\3. Analysis &amp; Design\Design\FC22\DRR Jaime\QUIFA-CAJÚA\Cajua\[CAJUA_CF_SEC_New_27-Feb-2024Rev3.xlsx]D-PND'!</v>
      </c>
      <c r="G3440" s="32" t="s">
        <v>111</v>
      </c>
      <c r="H3440" s="33">
        <f t="shared" si="816"/>
        <v>30</v>
      </c>
      <c r="I3440" s="33" t="str">
        <f t="shared" si="815"/>
        <v>='C:\Users\jaime.benazar\Quorum Business Solutions\Ecopetrol Prometeo - Documents\Planning Space Implementation\3. Analysis &amp; Design\Design\FC22\DRR Jaime\QUIFA-CAJÚA\Cajua\[CAJUA_CF_SEC_New_27-Feb-2024Rev3.xlsx]D-PND'!$BE$30</v>
      </c>
      <c r="J3440" s="37" t="s">
        <v>3572</v>
      </c>
    </row>
    <row r="3441" spans="1:10" x14ac:dyDescent="0.25">
      <c r="A3441" s="32" t="s">
        <v>3</v>
      </c>
      <c r="B3441" s="32">
        <f t="shared" ref="B3441:B3442" si="819">+B3440+1</f>
        <v>2042</v>
      </c>
      <c r="C3441" s="33" t="s">
        <v>49</v>
      </c>
      <c r="D3441" s="34" t="s">
        <v>1999</v>
      </c>
      <c r="E3441" s="35" t="str">
        <f t="shared" si="813"/>
        <v>PND'!</v>
      </c>
      <c r="F3441" s="34" t="str">
        <f t="shared" si="814"/>
        <v>C:\Users\jaime.benazar\Quorum Business Solutions\Ecopetrol Prometeo - Documents\Planning Space Implementation\3. Analysis &amp; Design\Design\FC22\DRR Jaime\QUIFA-CAJÚA\Cajua\[CAJUA_CF_SEC_New_27-Feb-2024Rev3.xlsx]D-PND'!</v>
      </c>
      <c r="G3441" s="32" t="s">
        <v>111</v>
      </c>
      <c r="H3441" s="33">
        <f t="shared" si="816"/>
        <v>31</v>
      </c>
      <c r="I3441" s="33" t="str">
        <f t="shared" si="815"/>
        <v>='C:\Users\jaime.benazar\Quorum Business Solutions\Ecopetrol Prometeo - Documents\Planning Space Implementation\3. Analysis &amp; Design\Design\FC22\DRR Jaime\QUIFA-CAJÚA\Cajua\[CAJUA_CF_SEC_New_27-Feb-2024Rev3.xlsx]D-PND'!$BE$31</v>
      </c>
      <c r="J3441" s="37" t="s">
        <v>3573</v>
      </c>
    </row>
    <row r="3442" spans="1:10" x14ac:dyDescent="0.25">
      <c r="A3442" s="32" t="s">
        <v>3</v>
      </c>
      <c r="B3442" s="32">
        <f t="shared" si="819"/>
        <v>2043</v>
      </c>
      <c r="C3442" s="33" t="s">
        <v>49</v>
      </c>
      <c r="D3442" s="34" t="s">
        <v>1999</v>
      </c>
      <c r="E3442" s="35" t="str">
        <f t="shared" si="813"/>
        <v>PND'!</v>
      </c>
      <c r="F3442" s="34" t="str">
        <f t="shared" si="814"/>
        <v>C:\Users\jaime.benazar\Quorum Business Solutions\Ecopetrol Prometeo - Documents\Planning Space Implementation\3. Analysis &amp; Design\Design\FC22\DRR Jaime\QUIFA-CAJÚA\Cajua\[CAJUA_CF_SEC_New_27-Feb-2024Rev3.xlsx]D-PND'!</v>
      </c>
      <c r="G3442" s="32" t="s">
        <v>111</v>
      </c>
      <c r="H3442" s="33">
        <f t="shared" si="816"/>
        <v>32</v>
      </c>
      <c r="I3442" s="33" t="str">
        <f t="shared" si="815"/>
        <v>='C:\Users\jaime.benazar\Quorum Business Solutions\Ecopetrol Prometeo - Documents\Planning Space Implementation\3. Analysis &amp; Design\Design\FC22\DRR Jaime\QUIFA-CAJÚA\Cajua\[CAJUA_CF_SEC_New_27-Feb-2024Rev3.xlsx]D-PND'!$BE$32</v>
      </c>
      <c r="J3442" s="37" t="s">
        <v>3574</v>
      </c>
    </row>
    <row r="3443" spans="1:10" x14ac:dyDescent="0.25">
      <c r="A3443" s="32" t="s">
        <v>3</v>
      </c>
      <c r="B3443" s="32">
        <f>+B3442+1</f>
        <v>2044</v>
      </c>
      <c r="C3443" s="33" t="s">
        <v>49</v>
      </c>
      <c r="D3443" s="34" t="s">
        <v>1999</v>
      </c>
      <c r="E3443" s="35" t="str">
        <f t="shared" ref="E3443:E3458" si="820">_xlfn.CONCAT(A3443,"'!")</f>
        <v>PND'!</v>
      </c>
      <c r="F3443" s="34" t="str">
        <f t="shared" ref="F3443:F3458" si="821">_xlfn.CONCAT(D3443:E3443)</f>
        <v>C:\Users\jaime.benazar\Quorum Business Solutions\Ecopetrol Prometeo - Documents\Planning Space Implementation\3. Analysis &amp; Design\Design\FC22\DRR Jaime\QUIFA-CAJÚA\Cajua\[CAJUA_CF_SEC_New_27-Feb-2024Rev3.xlsx]D-PND'!</v>
      </c>
      <c r="G3443" s="32" t="s">
        <v>111</v>
      </c>
      <c r="H3443" s="33">
        <f t="shared" ref="H3443:H3458" si="822">IF(A3443&lt;&gt;A3442,36,H3442+1)</f>
        <v>33</v>
      </c>
      <c r="I3443" s="33" t="str">
        <f t="shared" ref="I3443:I3496" si="823">_xlfn.CONCAT("='",F3443:H3443)</f>
        <v>='C:\Users\jaime.benazar\Quorum Business Solutions\Ecopetrol Prometeo - Documents\Planning Space Implementation\3. Analysis &amp; Design\Design\FC22\DRR Jaime\QUIFA-CAJÚA\Cajua\[CAJUA_CF_SEC_New_27-Feb-2024Rev3.xlsx]D-PND'!$BE$33</v>
      </c>
      <c r="J3443" s="37" t="s">
        <v>3575</v>
      </c>
    </row>
    <row r="3444" spans="1:10" x14ac:dyDescent="0.25">
      <c r="A3444" s="32" t="s">
        <v>3</v>
      </c>
      <c r="B3444" s="32">
        <f t="shared" ref="B3444:B3458" si="824">+B3443+1</f>
        <v>2045</v>
      </c>
      <c r="C3444" s="33" t="s">
        <v>49</v>
      </c>
      <c r="D3444" s="34" t="s">
        <v>1999</v>
      </c>
      <c r="E3444" s="35" t="str">
        <f t="shared" si="820"/>
        <v>PND'!</v>
      </c>
      <c r="F3444" s="34" t="str">
        <f t="shared" si="821"/>
        <v>C:\Users\jaime.benazar\Quorum Business Solutions\Ecopetrol Prometeo - Documents\Planning Space Implementation\3. Analysis &amp; Design\Design\FC22\DRR Jaime\QUIFA-CAJÚA\Cajua\[CAJUA_CF_SEC_New_27-Feb-2024Rev3.xlsx]D-PND'!</v>
      </c>
      <c r="G3444" s="32" t="s">
        <v>111</v>
      </c>
      <c r="H3444" s="33">
        <f t="shared" si="822"/>
        <v>34</v>
      </c>
      <c r="I3444" s="33" t="str">
        <f t="shared" si="823"/>
        <v>='C:\Users\jaime.benazar\Quorum Business Solutions\Ecopetrol Prometeo - Documents\Planning Space Implementation\3. Analysis &amp; Design\Design\FC22\DRR Jaime\QUIFA-CAJÚA\Cajua\[CAJUA_CF_SEC_New_27-Feb-2024Rev3.xlsx]D-PND'!$BE$34</v>
      </c>
      <c r="J3444" s="37" t="s">
        <v>3576</v>
      </c>
    </row>
    <row r="3445" spans="1:10" x14ac:dyDescent="0.25">
      <c r="A3445" s="32" t="s">
        <v>3</v>
      </c>
      <c r="B3445" s="32">
        <f t="shared" si="824"/>
        <v>2046</v>
      </c>
      <c r="C3445" s="33" t="s">
        <v>49</v>
      </c>
      <c r="D3445" s="34" t="s">
        <v>1999</v>
      </c>
      <c r="E3445" s="35" t="str">
        <f t="shared" si="820"/>
        <v>PND'!</v>
      </c>
      <c r="F3445" s="34" t="str">
        <f t="shared" si="821"/>
        <v>C:\Users\jaime.benazar\Quorum Business Solutions\Ecopetrol Prometeo - Documents\Planning Space Implementation\3. Analysis &amp; Design\Design\FC22\DRR Jaime\QUIFA-CAJÚA\Cajua\[CAJUA_CF_SEC_New_27-Feb-2024Rev3.xlsx]D-PND'!</v>
      </c>
      <c r="G3445" s="32" t="s">
        <v>111</v>
      </c>
      <c r="H3445" s="33">
        <f t="shared" si="822"/>
        <v>35</v>
      </c>
      <c r="I3445" s="33" t="str">
        <f t="shared" si="823"/>
        <v>='C:\Users\jaime.benazar\Quorum Business Solutions\Ecopetrol Prometeo - Documents\Planning Space Implementation\3. Analysis &amp; Design\Design\FC22\DRR Jaime\QUIFA-CAJÚA\Cajua\[CAJUA_CF_SEC_New_27-Feb-2024Rev3.xlsx]D-PND'!$BE$35</v>
      </c>
      <c r="J3445" s="37" t="s">
        <v>3577</v>
      </c>
    </row>
    <row r="3446" spans="1:10" x14ac:dyDescent="0.25">
      <c r="A3446" s="32" t="s">
        <v>3</v>
      </c>
      <c r="B3446" s="32">
        <f t="shared" si="824"/>
        <v>2047</v>
      </c>
      <c r="C3446" s="33" t="s">
        <v>49</v>
      </c>
      <c r="D3446" s="34" t="s">
        <v>1999</v>
      </c>
      <c r="E3446" s="35" t="str">
        <f t="shared" si="820"/>
        <v>PND'!</v>
      </c>
      <c r="F3446" s="34" t="str">
        <f t="shared" si="821"/>
        <v>C:\Users\jaime.benazar\Quorum Business Solutions\Ecopetrol Prometeo - Documents\Planning Space Implementation\3. Analysis &amp; Design\Design\FC22\DRR Jaime\QUIFA-CAJÚA\Cajua\[CAJUA_CF_SEC_New_27-Feb-2024Rev3.xlsx]D-PND'!</v>
      </c>
      <c r="G3446" s="32" t="s">
        <v>111</v>
      </c>
      <c r="H3446" s="33">
        <f t="shared" si="822"/>
        <v>36</v>
      </c>
      <c r="I3446" s="33" t="str">
        <f t="shared" si="823"/>
        <v>='C:\Users\jaime.benazar\Quorum Business Solutions\Ecopetrol Prometeo - Documents\Planning Space Implementation\3. Analysis &amp; Design\Design\FC22\DRR Jaime\QUIFA-CAJÚA\Cajua\[CAJUA_CF_SEC_New_27-Feb-2024Rev3.xlsx]D-PND'!$BE$36</v>
      </c>
      <c r="J3446" s="37" t="s">
        <v>3578</v>
      </c>
    </row>
    <row r="3447" spans="1:10" x14ac:dyDescent="0.25">
      <c r="A3447" s="32" t="s">
        <v>3</v>
      </c>
      <c r="B3447" s="32">
        <f t="shared" si="824"/>
        <v>2048</v>
      </c>
      <c r="C3447" s="33" t="s">
        <v>49</v>
      </c>
      <c r="D3447" s="34" t="s">
        <v>1999</v>
      </c>
      <c r="E3447" s="35" t="str">
        <f t="shared" si="820"/>
        <v>PND'!</v>
      </c>
      <c r="F3447" s="34" t="str">
        <f t="shared" si="821"/>
        <v>C:\Users\jaime.benazar\Quorum Business Solutions\Ecopetrol Prometeo - Documents\Planning Space Implementation\3. Analysis &amp; Design\Design\FC22\DRR Jaime\QUIFA-CAJÚA\Cajua\[CAJUA_CF_SEC_New_27-Feb-2024Rev3.xlsx]D-PND'!</v>
      </c>
      <c r="G3447" s="32" t="s">
        <v>111</v>
      </c>
      <c r="H3447" s="33">
        <f t="shared" si="822"/>
        <v>37</v>
      </c>
      <c r="I3447" s="33" t="str">
        <f t="shared" si="823"/>
        <v>='C:\Users\jaime.benazar\Quorum Business Solutions\Ecopetrol Prometeo - Documents\Planning Space Implementation\3. Analysis &amp; Design\Design\FC22\DRR Jaime\QUIFA-CAJÚA\Cajua\[CAJUA_CF_SEC_New_27-Feb-2024Rev3.xlsx]D-PND'!$BE$37</v>
      </c>
      <c r="J3447" s="37" t="s">
        <v>3579</v>
      </c>
    </row>
    <row r="3448" spans="1:10" x14ac:dyDescent="0.25">
      <c r="A3448" s="32" t="s">
        <v>3</v>
      </c>
      <c r="B3448" s="32">
        <f t="shared" si="824"/>
        <v>2049</v>
      </c>
      <c r="C3448" s="33" t="s">
        <v>49</v>
      </c>
      <c r="D3448" s="34" t="s">
        <v>1999</v>
      </c>
      <c r="E3448" s="35" t="str">
        <f t="shared" si="820"/>
        <v>PND'!</v>
      </c>
      <c r="F3448" s="34" t="str">
        <f t="shared" si="821"/>
        <v>C:\Users\jaime.benazar\Quorum Business Solutions\Ecopetrol Prometeo - Documents\Planning Space Implementation\3. Analysis &amp; Design\Design\FC22\DRR Jaime\QUIFA-CAJÚA\Cajua\[CAJUA_CF_SEC_New_27-Feb-2024Rev3.xlsx]D-PND'!</v>
      </c>
      <c r="G3448" s="32" t="s">
        <v>111</v>
      </c>
      <c r="H3448" s="33">
        <f t="shared" si="822"/>
        <v>38</v>
      </c>
      <c r="I3448" s="33" t="str">
        <f t="shared" si="823"/>
        <v>='C:\Users\jaime.benazar\Quorum Business Solutions\Ecopetrol Prometeo - Documents\Planning Space Implementation\3. Analysis &amp; Design\Design\FC22\DRR Jaime\QUIFA-CAJÚA\Cajua\[CAJUA_CF_SEC_New_27-Feb-2024Rev3.xlsx]D-PND'!$BE$38</v>
      </c>
      <c r="J3448" s="37" t="s">
        <v>3580</v>
      </c>
    </row>
    <row r="3449" spans="1:10" x14ac:dyDescent="0.25">
      <c r="A3449" s="32" t="s">
        <v>3</v>
      </c>
      <c r="B3449" s="32">
        <f t="shared" si="824"/>
        <v>2050</v>
      </c>
      <c r="C3449" s="33" t="s">
        <v>49</v>
      </c>
      <c r="D3449" s="34" t="s">
        <v>1999</v>
      </c>
      <c r="E3449" s="35" t="str">
        <f t="shared" si="820"/>
        <v>PND'!</v>
      </c>
      <c r="F3449" s="34" t="str">
        <f t="shared" si="821"/>
        <v>C:\Users\jaime.benazar\Quorum Business Solutions\Ecopetrol Prometeo - Documents\Planning Space Implementation\3. Analysis &amp; Design\Design\FC22\DRR Jaime\QUIFA-CAJÚA\Cajua\[CAJUA_CF_SEC_New_27-Feb-2024Rev3.xlsx]D-PND'!</v>
      </c>
      <c r="G3449" s="32" t="s">
        <v>111</v>
      </c>
      <c r="H3449" s="33">
        <f t="shared" si="822"/>
        <v>39</v>
      </c>
      <c r="I3449" s="33" t="str">
        <f t="shared" si="823"/>
        <v>='C:\Users\jaime.benazar\Quorum Business Solutions\Ecopetrol Prometeo - Documents\Planning Space Implementation\3. Analysis &amp; Design\Design\FC22\DRR Jaime\QUIFA-CAJÚA\Cajua\[CAJUA_CF_SEC_New_27-Feb-2024Rev3.xlsx]D-PND'!$BE$39</v>
      </c>
      <c r="J3449" s="37" t="s">
        <v>3581</v>
      </c>
    </row>
    <row r="3450" spans="1:10" x14ac:dyDescent="0.25">
      <c r="A3450" s="32" t="s">
        <v>3</v>
      </c>
      <c r="B3450" s="32">
        <f t="shared" si="824"/>
        <v>2051</v>
      </c>
      <c r="C3450" s="33" t="s">
        <v>49</v>
      </c>
      <c r="D3450" s="34" t="s">
        <v>1999</v>
      </c>
      <c r="E3450" s="35" t="str">
        <f t="shared" si="820"/>
        <v>PND'!</v>
      </c>
      <c r="F3450" s="34" t="str">
        <f t="shared" si="821"/>
        <v>C:\Users\jaime.benazar\Quorum Business Solutions\Ecopetrol Prometeo - Documents\Planning Space Implementation\3. Analysis &amp; Design\Design\FC22\DRR Jaime\QUIFA-CAJÚA\Cajua\[CAJUA_CF_SEC_New_27-Feb-2024Rev3.xlsx]D-PND'!</v>
      </c>
      <c r="G3450" s="32" t="s">
        <v>111</v>
      </c>
      <c r="H3450" s="33">
        <f t="shared" si="822"/>
        <v>40</v>
      </c>
      <c r="I3450" s="33" t="str">
        <f t="shared" si="823"/>
        <v>='C:\Users\jaime.benazar\Quorum Business Solutions\Ecopetrol Prometeo - Documents\Planning Space Implementation\3. Analysis &amp; Design\Design\FC22\DRR Jaime\QUIFA-CAJÚA\Cajua\[CAJUA_CF_SEC_New_27-Feb-2024Rev3.xlsx]D-PND'!$BE$40</v>
      </c>
      <c r="J3450" s="37" t="s">
        <v>3582</v>
      </c>
    </row>
    <row r="3451" spans="1:10" x14ac:dyDescent="0.25">
      <c r="A3451" s="32" t="s">
        <v>3</v>
      </c>
      <c r="B3451" s="32">
        <f t="shared" si="824"/>
        <v>2052</v>
      </c>
      <c r="C3451" s="33" t="s">
        <v>49</v>
      </c>
      <c r="D3451" s="34" t="s">
        <v>1999</v>
      </c>
      <c r="E3451" s="35" t="str">
        <f t="shared" si="820"/>
        <v>PND'!</v>
      </c>
      <c r="F3451" s="34" t="str">
        <f t="shared" si="821"/>
        <v>C:\Users\jaime.benazar\Quorum Business Solutions\Ecopetrol Prometeo - Documents\Planning Space Implementation\3. Analysis &amp; Design\Design\FC22\DRR Jaime\QUIFA-CAJÚA\Cajua\[CAJUA_CF_SEC_New_27-Feb-2024Rev3.xlsx]D-PND'!</v>
      </c>
      <c r="G3451" s="32" t="s">
        <v>111</v>
      </c>
      <c r="H3451" s="33">
        <f t="shared" si="822"/>
        <v>41</v>
      </c>
      <c r="I3451" s="33" t="str">
        <f t="shared" si="823"/>
        <v>='C:\Users\jaime.benazar\Quorum Business Solutions\Ecopetrol Prometeo - Documents\Planning Space Implementation\3. Analysis &amp; Design\Design\FC22\DRR Jaime\QUIFA-CAJÚA\Cajua\[CAJUA_CF_SEC_New_27-Feb-2024Rev3.xlsx]D-PND'!$BE$41</v>
      </c>
      <c r="J3451" s="37" t="s">
        <v>3583</v>
      </c>
    </row>
    <row r="3452" spans="1:10" x14ac:dyDescent="0.25">
      <c r="A3452" s="32" t="s">
        <v>3</v>
      </c>
      <c r="B3452" s="32">
        <f t="shared" si="824"/>
        <v>2053</v>
      </c>
      <c r="C3452" s="33" t="s">
        <v>49</v>
      </c>
      <c r="D3452" s="34" t="s">
        <v>1999</v>
      </c>
      <c r="E3452" s="35" t="str">
        <f t="shared" si="820"/>
        <v>PND'!</v>
      </c>
      <c r="F3452" s="34" t="str">
        <f t="shared" si="821"/>
        <v>C:\Users\jaime.benazar\Quorum Business Solutions\Ecopetrol Prometeo - Documents\Planning Space Implementation\3. Analysis &amp; Design\Design\FC22\DRR Jaime\QUIFA-CAJÚA\Cajua\[CAJUA_CF_SEC_New_27-Feb-2024Rev3.xlsx]D-PND'!</v>
      </c>
      <c r="G3452" s="32" t="s">
        <v>111</v>
      </c>
      <c r="H3452" s="33">
        <f t="shared" si="822"/>
        <v>42</v>
      </c>
      <c r="I3452" s="33" t="str">
        <f t="shared" si="823"/>
        <v>='C:\Users\jaime.benazar\Quorum Business Solutions\Ecopetrol Prometeo - Documents\Planning Space Implementation\3. Analysis &amp; Design\Design\FC22\DRR Jaime\QUIFA-CAJÚA\Cajua\[CAJUA_CF_SEC_New_27-Feb-2024Rev3.xlsx]D-PND'!$BE$42</v>
      </c>
      <c r="J3452" s="37" t="s">
        <v>3584</v>
      </c>
    </row>
    <row r="3453" spans="1:10" x14ac:dyDescent="0.25">
      <c r="A3453" s="32" t="s">
        <v>3</v>
      </c>
      <c r="B3453" s="32">
        <f t="shared" si="824"/>
        <v>2054</v>
      </c>
      <c r="C3453" s="33" t="s">
        <v>49</v>
      </c>
      <c r="D3453" s="34" t="s">
        <v>1999</v>
      </c>
      <c r="E3453" s="35" t="str">
        <f t="shared" si="820"/>
        <v>PND'!</v>
      </c>
      <c r="F3453" s="34" t="str">
        <f t="shared" si="821"/>
        <v>C:\Users\jaime.benazar\Quorum Business Solutions\Ecopetrol Prometeo - Documents\Planning Space Implementation\3. Analysis &amp; Design\Design\FC22\DRR Jaime\QUIFA-CAJÚA\Cajua\[CAJUA_CF_SEC_New_27-Feb-2024Rev3.xlsx]D-PND'!</v>
      </c>
      <c r="G3453" s="32" t="s">
        <v>111</v>
      </c>
      <c r="H3453" s="33">
        <f t="shared" si="822"/>
        <v>43</v>
      </c>
      <c r="I3453" s="33" t="str">
        <f t="shared" si="823"/>
        <v>='C:\Users\jaime.benazar\Quorum Business Solutions\Ecopetrol Prometeo - Documents\Planning Space Implementation\3. Analysis &amp; Design\Design\FC22\DRR Jaime\QUIFA-CAJÚA\Cajua\[CAJUA_CF_SEC_New_27-Feb-2024Rev3.xlsx]D-PND'!$BE$43</v>
      </c>
      <c r="J3453" s="37" t="s">
        <v>3585</v>
      </c>
    </row>
    <row r="3454" spans="1:10" x14ac:dyDescent="0.25">
      <c r="A3454" s="32" t="s">
        <v>3</v>
      </c>
      <c r="B3454" s="32">
        <f t="shared" si="824"/>
        <v>2055</v>
      </c>
      <c r="C3454" s="33" t="s">
        <v>49</v>
      </c>
      <c r="D3454" s="34" t="s">
        <v>1999</v>
      </c>
      <c r="E3454" s="35" t="str">
        <f t="shared" si="820"/>
        <v>PND'!</v>
      </c>
      <c r="F3454" s="34" t="str">
        <f t="shared" si="821"/>
        <v>C:\Users\jaime.benazar\Quorum Business Solutions\Ecopetrol Prometeo - Documents\Planning Space Implementation\3. Analysis &amp; Design\Design\FC22\DRR Jaime\QUIFA-CAJÚA\Cajua\[CAJUA_CF_SEC_New_27-Feb-2024Rev3.xlsx]D-PND'!</v>
      </c>
      <c r="G3454" s="32" t="s">
        <v>111</v>
      </c>
      <c r="H3454" s="33">
        <f t="shared" si="822"/>
        <v>44</v>
      </c>
      <c r="I3454" s="33" t="str">
        <f t="shared" si="823"/>
        <v>='C:\Users\jaime.benazar\Quorum Business Solutions\Ecopetrol Prometeo - Documents\Planning Space Implementation\3. Analysis &amp; Design\Design\FC22\DRR Jaime\QUIFA-CAJÚA\Cajua\[CAJUA_CF_SEC_New_27-Feb-2024Rev3.xlsx]D-PND'!$BE$44</v>
      </c>
      <c r="J3454" s="37" t="s">
        <v>3586</v>
      </c>
    </row>
    <row r="3455" spans="1:10" x14ac:dyDescent="0.25">
      <c r="A3455" s="32" t="s">
        <v>3</v>
      </c>
      <c r="B3455" s="32">
        <f t="shared" si="824"/>
        <v>2056</v>
      </c>
      <c r="C3455" s="33" t="s">
        <v>49</v>
      </c>
      <c r="D3455" s="34" t="s">
        <v>1999</v>
      </c>
      <c r="E3455" s="35" t="str">
        <f t="shared" si="820"/>
        <v>PND'!</v>
      </c>
      <c r="F3455" s="34" t="str">
        <f t="shared" si="821"/>
        <v>C:\Users\jaime.benazar\Quorum Business Solutions\Ecopetrol Prometeo - Documents\Planning Space Implementation\3. Analysis &amp; Design\Design\FC22\DRR Jaime\QUIFA-CAJÚA\Cajua\[CAJUA_CF_SEC_New_27-Feb-2024Rev3.xlsx]D-PND'!</v>
      </c>
      <c r="G3455" s="32" t="s">
        <v>111</v>
      </c>
      <c r="H3455" s="33">
        <f t="shared" si="822"/>
        <v>45</v>
      </c>
      <c r="I3455" s="33" t="str">
        <f t="shared" si="823"/>
        <v>='C:\Users\jaime.benazar\Quorum Business Solutions\Ecopetrol Prometeo - Documents\Planning Space Implementation\3. Analysis &amp; Design\Design\FC22\DRR Jaime\QUIFA-CAJÚA\Cajua\[CAJUA_CF_SEC_New_27-Feb-2024Rev3.xlsx]D-PND'!$BE$45</v>
      </c>
      <c r="J3455" s="37" t="s">
        <v>3587</v>
      </c>
    </row>
    <row r="3456" spans="1:10" x14ac:dyDescent="0.25">
      <c r="A3456" s="32" t="s">
        <v>3</v>
      </c>
      <c r="B3456" s="32">
        <f t="shared" si="824"/>
        <v>2057</v>
      </c>
      <c r="C3456" s="33" t="s">
        <v>49</v>
      </c>
      <c r="D3456" s="34" t="s">
        <v>1999</v>
      </c>
      <c r="E3456" s="35" t="str">
        <f t="shared" si="820"/>
        <v>PND'!</v>
      </c>
      <c r="F3456" s="34" t="str">
        <f t="shared" si="821"/>
        <v>C:\Users\jaime.benazar\Quorum Business Solutions\Ecopetrol Prometeo - Documents\Planning Space Implementation\3. Analysis &amp; Design\Design\FC22\DRR Jaime\QUIFA-CAJÚA\Cajua\[CAJUA_CF_SEC_New_27-Feb-2024Rev3.xlsx]D-PND'!</v>
      </c>
      <c r="G3456" s="32" t="s">
        <v>111</v>
      </c>
      <c r="H3456" s="33">
        <f t="shared" si="822"/>
        <v>46</v>
      </c>
      <c r="I3456" s="33" t="str">
        <f t="shared" si="823"/>
        <v>='C:\Users\jaime.benazar\Quorum Business Solutions\Ecopetrol Prometeo - Documents\Planning Space Implementation\3. Analysis &amp; Design\Design\FC22\DRR Jaime\QUIFA-CAJÚA\Cajua\[CAJUA_CF_SEC_New_27-Feb-2024Rev3.xlsx]D-PND'!$BE$46</v>
      </c>
      <c r="J3456" s="37" t="s">
        <v>3588</v>
      </c>
    </row>
    <row r="3457" spans="1:10" x14ac:dyDescent="0.25">
      <c r="A3457" s="32" t="s">
        <v>3</v>
      </c>
      <c r="B3457" s="32">
        <f t="shared" si="824"/>
        <v>2058</v>
      </c>
      <c r="C3457" s="33" t="s">
        <v>49</v>
      </c>
      <c r="D3457" s="34" t="s">
        <v>1999</v>
      </c>
      <c r="E3457" s="35" t="str">
        <f t="shared" si="820"/>
        <v>PND'!</v>
      </c>
      <c r="F3457" s="34" t="str">
        <f t="shared" si="821"/>
        <v>C:\Users\jaime.benazar\Quorum Business Solutions\Ecopetrol Prometeo - Documents\Planning Space Implementation\3. Analysis &amp; Design\Design\FC22\DRR Jaime\QUIFA-CAJÚA\Cajua\[CAJUA_CF_SEC_New_27-Feb-2024Rev3.xlsx]D-PND'!</v>
      </c>
      <c r="G3457" s="32" t="s">
        <v>111</v>
      </c>
      <c r="H3457" s="33">
        <f t="shared" si="822"/>
        <v>47</v>
      </c>
      <c r="I3457" s="33" t="str">
        <f t="shared" si="823"/>
        <v>='C:\Users\jaime.benazar\Quorum Business Solutions\Ecopetrol Prometeo - Documents\Planning Space Implementation\3. Analysis &amp; Design\Design\FC22\DRR Jaime\QUIFA-CAJÚA\Cajua\[CAJUA_CF_SEC_New_27-Feb-2024Rev3.xlsx]D-PND'!$BE$47</v>
      </c>
      <c r="J3457" s="37" t="s">
        <v>3589</v>
      </c>
    </row>
    <row r="3458" spans="1:10" x14ac:dyDescent="0.25">
      <c r="A3458" s="32" t="s">
        <v>3</v>
      </c>
      <c r="B3458" s="32">
        <f t="shared" si="824"/>
        <v>2059</v>
      </c>
      <c r="C3458" s="33" t="s">
        <v>49</v>
      </c>
      <c r="D3458" s="34" t="s">
        <v>1999</v>
      </c>
      <c r="E3458" s="35" t="str">
        <f t="shared" si="820"/>
        <v>PND'!</v>
      </c>
      <c r="F3458" s="34" t="str">
        <f t="shared" si="821"/>
        <v>C:\Users\jaime.benazar\Quorum Business Solutions\Ecopetrol Prometeo - Documents\Planning Space Implementation\3. Analysis &amp; Design\Design\FC22\DRR Jaime\QUIFA-CAJÚA\Cajua\[CAJUA_CF_SEC_New_27-Feb-2024Rev3.xlsx]D-PND'!</v>
      </c>
      <c r="G3458" s="32" t="s">
        <v>111</v>
      </c>
      <c r="H3458" s="33">
        <f t="shared" si="822"/>
        <v>48</v>
      </c>
      <c r="I3458" s="33" t="str">
        <f t="shared" si="823"/>
        <v>='C:\Users\jaime.benazar\Quorum Business Solutions\Ecopetrol Prometeo - Documents\Planning Space Implementation\3. Analysis &amp; Design\Design\FC22\DRR Jaime\QUIFA-CAJÚA\Cajua\[CAJUA_CF_SEC_New_27-Feb-2024Rev3.xlsx]D-PND'!$BE$48</v>
      </c>
      <c r="J3458" s="37" t="s">
        <v>3590</v>
      </c>
    </row>
    <row r="3459" spans="1:10" x14ac:dyDescent="0.25">
      <c r="A3459" s="32" t="s">
        <v>28</v>
      </c>
      <c r="B3459" s="32"/>
      <c r="C3459" s="33" t="s">
        <v>49</v>
      </c>
      <c r="D3459" s="34"/>
      <c r="E3459" s="35"/>
      <c r="F3459" s="34"/>
      <c r="G3459" s="32"/>
      <c r="H3459" s="33"/>
      <c r="I3459" s="33"/>
      <c r="J3459" s="33"/>
    </row>
    <row r="3460" spans="1:10" x14ac:dyDescent="0.25">
      <c r="A3460" s="32" t="s">
        <v>99</v>
      </c>
      <c r="B3460" s="32">
        <v>2023</v>
      </c>
      <c r="C3460" s="33" t="s">
        <v>49</v>
      </c>
      <c r="D3460" s="34" t="s">
        <v>1999</v>
      </c>
      <c r="E3460" s="35" t="str">
        <f t="shared" ref="E3460:E3480" si="825">_xlfn.CONCAT(A3460,"'!")</f>
        <v>PRBDP'!</v>
      </c>
      <c r="F3460" s="34" t="str">
        <f t="shared" ref="F3460:F3480" si="826">_xlfn.CONCAT(D3460:E3460)</f>
        <v>C:\Users\jaime.benazar\Quorum Business Solutions\Ecopetrol Prometeo - Documents\Planning Space Implementation\3. Analysis &amp; Design\Design\FC22\DRR Jaime\QUIFA-CAJÚA\Cajua\[CAJUA_CF_SEC_New_27-Feb-2024Rev3.xlsx]D-PRBDP'!</v>
      </c>
      <c r="G3460" s="32" t="s">
        <v>111</v>
      </c>
      <c r="H3460" s="33">
        <f>IF(A3460&lt;&gt;A3444,12,H3444+1)</f>
        <v>12</v>
      </c>
      <c r="I3460" s="33" t="str">
        <f t="shared" si="823"/>
        <v>='C:\Users\jaime.benazar\Quorum Business Solutions\Ecopetrol Prometeo - Documents\Planning Space Implementation\3. Analysis &amp; Design\Design\FC22\DRR Jaime\QUIFA-CAJÚA\Cajua\[CAJUA_CF_SEC_New_27-Feb-2024Rev3.xlsx]D-PRBDP'!$BE$12</v>
      </c>
      <c r="J3460" s="37" t="s">
        <v>3591</v>
      </c>
    </row>
    <row r="3461" spans="1:10" x14ac:dyDescent="0.25">
      <c r="A3461" s="32" t="s">
        <v>99</v>
      </c>
      <c r="B3461" s="32">
        <f>+B3460+1</f>
        <v>2024</v>
      </c>
      <c r="C3461" s="33" t="s">
        <v>49</v>
      </c>
      <c r="D3461" s="34" t="s">
        <v>1999</v>
      </c>
      <c r="E3461" s="35" t="str">
        <f t="shared" si="825"/>
        <v>PRBDP'!</v>
      </c>
      <c r="F3461" s="34" t="str">
        <f t="shared" si="826"/>
        <v>C:\Users\jaime.benazar\Quorum Business Solutions\Ecopetrol Prometeo - Documents\Planning Space Implementation\3. Analysis &amp; Design\Design\FC22\DRR Jaime\QUIFA-CAJÚA\Cajua\[CAJUA_CF_SEC_New_27-Feb-2024Rev3.xlsx]D-PRBDP'!</v>
      </c>
      <c r="G3461" s="32" t="s">
        <v>111</v>
      </c>
      <c r="H3461" s="33">
        <f t="shared" ref="H3461:H3496" si="827">IF(A3461&lt;&gt;A3460,36,H3460+1)</f>
        <v>13</v>
      </c>
      <c r="I3461" s="33" t="str">
        <f t="shared" si="823"/>
        <v>='C:\Users\jaime.benazar\Quorum Business Solutions\Ecopetrol Prometeo - Documents\Planning Space Implementation\3. Analysis &amp; Design\Design\FC22\DRR Jaime\QUIFA-CAJÚA\Cajua\[CAJUA_CF_SEC_New_27-Feb-2024Rev3.xlsx]D-PRBDP'!$BE$13</v>
      </c>
      <c r="J3461" s="37" t="s">
        <v>3592</v>
      </c>
    </row>
    <row r="3462" spans="1:10" x14ac:dyDescent="0.25">
      <c r="A3462" s="32" t="s">
        <v>99</v>
      </c>
      <c r="B3462" s="32">
        <f t="shared" ref="B3462:B3473" si="828">+B3461+1</f>
        <v>2025</v>
      </c>
      <c r="C3462" s="33" t="s">
        <v>49</v>
      </c>
      <c r="D3462" s="34" t="s">
        <v>1999</v>
      </c>
      <c r="E3462" s="35" t="str">
        <f t="shared" si="825"/>
        <v>PRBDP'!</v>
      </c>
      <c r="F3462" s="34" t="str">
        <f t="shared" si="826"/>
        <v>C:\Users\jaime.benazar\Quorum Business Solutions\Ecopetrol Prometeo - Documents\Planning Space Implementation\3. Analysis &amp; Design\Design\FC22\DRR Jaime\QUIFA-CAJÚA\Cajua\[CAJUA_CF_SEC_New_27-Feb-2024Rev3.xlsx]D-PRBDP'!</v>
      </c>
      <c r="G3462" s="32" t="s">
        <v>111</v>
      </c>
      <c r="H3462" s="33">
        <f t="shared" si="827"/>
        <v>14</v>
      </c>
      <c r="I3462" s="33" t="str">
        <f t="shared" si="823"/>
        <v>='C:\Users\jaime.benazar\Quorum Business Solutions\Ecopetrol Prometeo - Documents\Planning Space Implementation\3. Analysis &amp; Design\Design\FC22\DRR Jaime\QUIFA-CAJÚA\Cajua\[CAJUA_CF_SEC_New_27-Feb-2024Rev3.xlsx]D-PRBDP'!$BE$14</v>
      </c>
      <c r="J3462" s="37" t="s">
        <v>3593</v>
      </c>
    </row>
    <row r="3463" spans="1:10" x14ac:dyDescent="0.25">
      <c r="A3463" s="32" t="s">
        <v>99</v>
      </c>
      <c r="B3463" s="32">
        <f t="shared" si="828"/>
        <v>2026</v>
      </c>
      <c r="C3463" s="33" t="s">
        <v>49</v>
      </c>
      <c r="D3463" s="34" t="s">
        <v>1999</v>
      </c>
      <c r="E3463" s="35" t="str">
        <f t="shared" si="825"/>
        <v>PRBDP'!</v>
      </c>
      <c r="F3463" s="34" t="str">
        <f t="shared" si="826"/>
        <v>C:\Users\jaime.benazar\Quorum Business Solutions\Ecopetrol Prometeo - Documents\Planning Space Implementation\3. Analysis &amp; Design\Design\FC22\DRR Jaime\QUIFA-CAJÚA\Cajua\[CAJUA_CF_SEC_New_27-Feb-2024Rev3.xlsx]D-PRBDP'!</v>
      </c>
      <c r="G3463" s="32" t="s">
        <v>111</v>
      </c>
      <c r="H3463" s="33">
        <f t="shared" si="827"/>
        <v>15</v>
      </c>
      <c r="I3463" s="33" t="str">
        <f t="shared" si="823"/>
        <v>='C:\Users\jaime.benazar\Quorum Business Solutions\Ecopetrol Prometeo - Documents\Planning Space Implementation\3. Analysis &amp; Design\Design\FC22\DRR Jaime\QUIFA-CAJÚA\Cajua\[CAJUA_CF_SEC_New_27-Feb-2024Rev3.xlsx]D-PRBDP'!$BE$15</v>
      </c>
      <c r="J3463" s="37" t="s">
        <v>3594</v>
      </c>
    </row>
    <row r="3464" spans="1:10" x14ac:dyDescent="0.25">
      <c r="A3464" s="32" t="s">
        <v>99</v>
      </c>
      <c r="B3464" s="32">
        <f t="shared" si="828"/>
        <v>2027</v>
      </c>
      <c r="C3464" s="33" t="s">
        <v>49</v>
      </c>
      <c r="D3464" s="34" t="s">
        <v>1999</v>
      </c>
      <c r="E3464" s="35" t="str">
        <f t="shared" si="825"/>
        <v>PRBDP'!</v>
      </c>
      <c r="F3464" s="34" t="str">
        <f t="shared" si="826"/>
        <v>C:\Users\jaime.benazar\Quorum Business Solutions\Ecopetrol Prometeo - Documents\Planning Space Implementation\3. Analysis &amp; Design\Design\FC22\DRR Jaime\QUIFA-CAJÚA\Cajua\[CAJUA_CF_SEC_New_27-Feb-2024Rev3.xlsx]D-PRBDP'!</v>
      </c>
      <c r="G3464" s="32" t="s">
        <v>111</v>
      </c>
      <c r="H3464" s="33">
        <f t="shared" si="827"/>
        <v>16</v>
      </c>
      <c r="I3464" s="33" t="str">
        <f t="shared" si="823"/>
        <v>='C:\Users\jaime.benazar\Quorum Business Solutions\Ecopetrol Prometeo - Documents\Planning Space Implementation\3. Analysis &amp; Design\Design\FC22\DRR Jaime\QUIFA-CAJÚA\Cajua\[CAJUA_CF_SEC_New_27-Feb-2024Rev3.xlsx]D-PRBDP'!$BE$16</v>
      </c>
      <c r="J3464" s="37" t="s">
        <v>3595</v>
      </c>
    </row>
    <row r="3465" spans="1:10" x14ac:dyDescent="0.25">
      <c r="A3465" s="32" t="s">
        <v>99</v>
      </c>
      <c r="B3465" s="32">
        <f t="shared" si="828"/>
        <v>2028</v>
      </c>
      <c r="C3465" s="33" t="s">
        <v>49</v>
      </c>
      <c r="D3465" s="34" t="s">
        <v>1999</v>
      </c>
      <c r="E3465" s="35" t="str">
        <f t="shared" si="825"/>
        <v>PRBDP'!</v>
      </c>
      <c r="F3465" s="34" t="str">
        <f t="shared" si="826"/>
        <v>C:\Users\jaime.benazar\Quorum Business Solutions\Ecopetrol Prometeo - Documents\Planning Space Implementation\3. Analysis &amp; Design\Design\FC22\DRR Jaime\QUIFA-CAJÚA\Cajua\[CAJUA_CF_SEC_New_27-Feb-2024Rev3.xlsx]D-PRBDP'!</v>
      </c>
      <c r="G3465" s="32" t="s">
        <v>111</v>
      </c>
      <c r="H3465" s="33">
        <f t="shared" si="827"/>
        <v>17</v>
      </c>
      <c r="I3465" s="33" t="str">
        <f t="shared" si="823"/>
        <v>='C:\Users\jaime.benazar\Quorum Business Solutions\Ecopetrol Prometeo - Documents\Planning Space Implementation\3. Analysis &amp; Design\Design\FC22\DRR Jaime\QUIFA-CAJÚA\Cajua\[CAJUA_CF_SEC_New_27-Feb-2024Rev3.xlsx]D-PRBDP'!$BE$17</v>
      </c>
      <c r="J3465" s="37" t="s">
        <v>3596</v>
      </c>
    </row>
    <row r="3466" spans="1:10" x14ac:dyDescent="0.25">
      <c r="A3466" s="32" t="s">
        <v>99</v>
      </c>
      <c r="B3466" s="32">
        <f t="shared" si="828"/>
        <v>2029</v>
      </c>
      <c r="C3466" s="33" t="s">
        <v>49</v>
      </c>
      <c r="D3466" s="34" t="s">
        <v>1999</v>
      </c>
      <c r="E3466" s="35" t="str">
        <f t="shared" si="825"/>
        <v>PRBDP'!</v>
      </c>
      <c r="F3466" s="34" t="str">
        <f t="shared" si="826"/>
        <v>C:\Users\jaime.benazar\Quorum Business Solutions\Ecopetrol Prometeo - Documents\Planning Space Implementation\3. Analysis &amp; Design\Design\FC22\DRR Jaime\QUIFA-CAJÚA\Cajua\[CAJUA_CF_SEC_New_27-Feb-2024Rev3.xlsx]D-PRBDP'!</v>
      </c>
      <c r="G3466" s="32" t="s">
        <v>111</v>
      </c>
      <c r="H3466" s="33">
        <f t="shared" si="827"/>
        <v>18</v>
      </c>
      <c r="I3466" s="33" t="str">
        <f t="shared" si="823"/>
        <v>='C:\Users\jaime.benazar\Quorum Business Solutions\Ecopetrol Prometeo - Documents\Planning Space Implementation\3. Analysis &amp; Design\Design\FC22\DRR Jaime\QUIFA-CAJÚA\Cajua\[CAJUA_CF_SEC_New_27-Feb-2024Rev3.xlsx]D-PRBDP'!$BE$18</v>
      </c>
      <c r="J3466" s="37" t="s">
        <v>3597</v>
      </c>
    </row>
    <row r="3467" spans="1:10" x14ac:dyDescent="0.25">
      <c r="A3467" s="32" t="s">
        <v>99</v>
      </c>
      <c r="B3467" s="32">
        <f t="shared" si="828"/>
        <v>2030</v>
      </c>
      <c r="C3467" s="33" t="s">
        <v>49</v>
      </c>
      <c r="D3467" s="34" t="s">
        <v>1999</v>
      </c>
      <c r="E3467" s="35" t="str">
        <f t="shared" si="825"/>
        <v>PRBDP'!</v>
      </c>
      <c r="F3467" s="34" t="str">
        <f t="shared" si="826"/>
        <v>C:\Users\jaime.benazar\Quorum Business Solutions\Ecopetrol Prometeo - Documents\Planning Space Implementation\3. Analysis &amp; Design\Design\FC22\DRR Jaime\QUIFA-CAJÚA\Cajua\[CAJUA_CF_SEC_New_27-Feb-2024Rev3.xlsx]D-PRBDP'!</v>
      </c>
      <c r="G3467" s="32" t="s">
        <v>111</v>
      </c>
      <c r="H3467" s="33">
        <f t="shared" si="827"/>
        <v>19</v>
      </c>
      <c r="I3467" s="33" t="str">
        <f t="shared" si="823"/>
        <v>='C:\Users\jaime.benazar\Quorum Business Solutions\Ecopetrol Prometeo - Documents\Planning Space Implementation\3. Analysis &amp; Design\Design\FC22\DRR Jaime\QUIFA-CAJÚA\Cajua\[CAJUA_CF_SEC_New_27-Feb-2024Rev3.xlsx]D-PRBDP'!$BE$19</v>
      </c>
      <c r="J3467" s="37" t="s">
        <v>3598</v>
      </c>
    </row>
    <row r="3468" spans="1:10" x14ac:dyDescent="0.25">
      <c r="A3468" s="32" t="s">
        <v>99</v>
      </c>
      <c r="B3468" s="32">
        <f t="shared" si="828"/>
        <v>2031</v>
      </c>
      <c r="C3468" s="33" t="s">
        <v>49</v>
      </c>
      <c r="D3468" s="34" t="s">
        <v>1999</v>
      </c>
      <c r="E3468" s="35" t="str">
        <f t="shared" si="825"/>
        <v>PRBDP'!</v>
      </c>
      <c r="F3468" s="34" t="str">
        <f t="shared" si="826"/>
        <v>C:\Users\jaime.benazar\Quorum Business Solutions\Ecopetrol Prometeo - Documents\Planning Space Implementation\3. Analysis &amp; Design\Design\FC22\DRR Jaime\QUIFA-CAJÚA\Cajua\[CAJUA_CF_SEC_New_27-Feb-2024Rev3.xlsx]D-PRBDP'!</v>
      </c>
      <c r="G3468" s="32" t="s">
        <v>111</v>
      </c>
      <c r="H3468" s="33">
        <f t="shared" si="827"/>
        <v>20</v>
      </c>
      <c r="I3468" s="33" t="str">
        <f t="shared" si="823"/>
        <v>='C:\Users\jaime.benazar\Quorum Business Solutions\Ecopetrol Prometeo - Documents\Planning Space Implementation\3. Analysis &amp; Design\Design\FC22\DRR Jaime\QUIFA-CAJÚA\Cajua\[CAJUA_CF_SEC_New_27-Feb-2024Rev3.xlsx]D-PRBDP'!$BE$20</v>
      </c>
      <c r="J3468" s="37" t="s">
        <v>3599</v>
      </c>
    </row>
    <row r="3469" spans="1:10" x14ac:dyDescent="0.25">
      <c r="A3469" s="32" t="s">
        <v>99</v>
      </c>
      <c r="B3469" s="32">
        <f t="shared" si="828"/>
        <v>2032</v>
      </c>
      <c r="C3469" s="33" t="s">
        <v>49</v>
      </c>
      <c r="D3469" s="34" t="s">
        <v>1999</v>
      </c>
      <c r="E3469" s="35" t="str">
        <f t="shared" si="825"/>
        <v>PRBDP'!</v>
      </c>
      <c r="F3469" s="34" t="str">
        <f t="shared" si="826"/>
        <v>C:\Users\jaime.benazar\Quorum Business Solutions\Ecopetrol Prometeo - Documents\Planning Space Implementation\3. Analysis &amp; Design\Design\FC22\DRR Jaime\QUIFA-CAJÚA\Cajua\[CAJUA_CF_SEC_New_27-Feb-2024Rev3.xlsx]D-PRBDP'!</v>
      </c>
      <c r="G3469" s="32" t="s">
        <v>111</v>
      </c>
      <c r="H3469" s="33">
        <f t="shared" si="827"/>
        <v>21</v>
      </c>
      <c r="I3469" s="33" t="str">
        <f t="shared" si="823"/>
        <v>='C:\Users\jaime.benazar\Quorum Business Solutions\Ecopetrol Prometeo - Documents\Planning Space Implementation\3. Analysis &amp; Design\Design\FC22\DRR Jaime\QUIFA-CAJÚA\Cajua\[CAJUA_CF_SEC_New_27-Feb-2024Rev3.xlsx]D-PRBDP'!$BE$21</v>
      </c>
      <c r="J3469" s="37" t="s">
        <v>3600</v>
      </c>
    </row>
    <row r="3470" spans="1:10" x14ac:dyDescent="0.25">
      <c r="A3470" s="32" t="s">
        <v>99</v>
      </c>
      <c r="B3470" s="32">
        <f t="shared" si="828"/>
        <v>2033</v>
      </c>
      <c r="C3470" s="33" t="s">
        <v>49</v>
      </c>
      <c r="D3470" s="34" t="s">
        <v>1999</v>
      </c>
      <c r="E3470" s="35" t="str">
        <f t="shared" si="825"/>
        <v>PRBDP'!</v>
      </c>
      <c r="F3470" s="34" t="str">
        <f t="shared" si="826"/>
        <v>C:\Users\jaime.benazar\Quorum Business Solutions\Ecopetrol Prometeo - Documents\Planning Space Implementation\3. Analysis &amp; Design\Design\FC22\DRR Jaime\QUIFA-CAJÚA\Cajua\[CAJUA_CF_SEC_New_27-Feb-2024Rev3.xlsx]D-PRBDP'!</v>
      </c>
      <c r="G3470" s="32" t="s">
        <v>111</v>
      </c>
      <c r="H3470" s="33">
        <f t="shared" si="827"/>
        <v>22</v>
      </c>
      <c r="I3470" s="33" t="str">
        <f t="shared" si="823"/>
        <v>='C:\Users\jaime.benazar\Quorum Business Solutions\Ecopetrol Prometeo - Documents\Planning Space Implementation\3. Analysis &amp; Design\Design\FC22\DRR Jaime\QUIFA-CAJÚA\Cajua\[CAJUA_CF_SEC_New_27-Feb-2024Rev3.xlsx]D-PRBDP'!$BE$22</v>
      </c>
      <c r="J3470" s="37" t="s">
        <v>3601</v>
      </c>
    </row>
    <row r="3471" spans="1:10" x14ac:dyDescent="0.25">
      <c r="A3471" s="32" t="s">
        <v>99</v>
      </c>
      <c r="B3471" s="32">
        <f t="shared" si="828"/>
        <v>2034</v>
      </c>
      <c r="C3471" s="33" t="s">
        <v>49</v>
      </c>
      <c r="D3471" s="34" t="s">
        <v>1999</v>
      </c>
      <c r="E3471" s="35" t="str">
        <f t="shared" si="825"/>
        <v>PRBDP'!</v>
      </c>
      <c r="F3471" s="34" t="str">
        <f t="shared" si="826"/>
        <v>C:\Users\jaime.benazar\Quorum Business Solutions\Ecopetrol Prometeo - Documents\Planning Space Implementation\3. Analysis &amp; Design\Design\FC22\DRR Jaime\QUIFA-CAJÚA\Cajua\[CAJUA_CF_SEC_New_27-Feb-2024Rev3.xlsx]D-PRBDP'!</v>
      </c>
      <c r="G3471" s="32" t="s">
        <v>111</v>
      </c>
      <c r="H3471" s="33">
        <f t="shared" si="827"/>
        <v>23</v>
      </c>
      <c r="I3471" s="33" t="str">
        <f t="shared" si="823"/>
        <v>='C:\Users\jaime.benazar\Quorum Business Solutions\Ecopetrol Prometeo - Documents\Planning Space Implementation\3. Analysis &amp; Design\Design\FC22\DRR Jaime\QUIFA-CAJÚA\Cajua\[CAJUA_CF_SEC_New_27-Feb-2024Rev3.xlsx]D-PRBDP'!$BE$23</v>
      </c>
      <c r="J3471" s="37" t="s">
        <v>3602</v>
      </c>
    </row>
    <row r="3472" spans="1:10" x14ac:dyDescent="0.25">
      <c r="A3472" s="32" t="s">
        <v>99</v>
      </c>
      <c r="B3472" s="32">
        <f t="shared" si="828"/>
        <v>2035</v>
      </c>
      <c r="C3472" s="33" t="s">
        <v>49</v>
      </c>
      <c r="D3472" s="34" t="s">
        <v>1999</v>
      </c>
      <c r="E3472" s="35" t="str">
        <f t="shared" si="825"/>
        <v>PRBDP'!</v>
      </c>
      <c r="F3472" s="34" t="str">
        <f t="shared" si="826"/>
        <v>C:\Users\jaime.benazar\Quorum Business Solutions\Ecopetrol Prometeo - Documents\Planning Space Implementation\3. Analysis &amp; Design\Design\FC22\DRR Jaime\QUIFA-CAJÚA\Cajua\[CAJUA_CF_SEC_New_27-Feb-2024Rev3.xlsx]D-PRBDP'!</v>
      </c>
      <c r="G3472" s="32" t="s">
        <v>111</v>
      </c>
      <c r="H3472" s="33">
        <f t="shared" si="827"/>
        <v>24</v>
      </c>
      <c r="I3472" s="33" t="str">
        <f t="shared" si="823"/>
        <v>='C:\Users\jaime.benazar\Quorum Business Solutions\Ecopetrol Prometeo - Documents\Planning Space Implementation\3. Analysis &amp; Design\Design\FC22\DRR Jaime\QUIFA-CAJÚA\Cajua\[CAJUA_CF_SEC_New_27-Feb-2024Rev3.xlsx]D-PRBDP'!$BE$24</v>
      </c>
      <c r="J3472" s="37" t="s">
        <v>3603</v>
      </c>
    </row>
    <row r="3473" spans="1:10" x14ac:dyDescent="0.25">
      <c r="A3473" s="32" t="s">
        <v>99</v>
      </c>
      <c r="B3473" s="32">
        <f t="shared" si="828"/>
        <v>2036</v>
      </c>
      <c r="C3473" s="33" t="s">
        <v>49</v>
      </c>
      <c r="D3473" s="34" t="s">
        <v>1999</v>
      </c>
      <c r="E3473" s="35" t="str">
        <f t="shared" si="825"/>
        <v>PRBDP'!</v>
      </c>
      <c r="F3473" s="34" t="str">
        <f t="shared" si="826"/>
        <v>C:\Users\jaime.benazar\Quorum Business Solutions\Ecopetrol Prometeo - Documents\Planning Space Implementation\3. Analysis &amp; Design\Design\FC22\DRR Jaime\QUIFA-CAJÚA\Cajua\[CAJUA_CF_SEC_New_27-Feb-2024Rev3.xlsx]D-PRBDP'!</v>
      </c>
      <c r="G3473" s="32" t="s">
        <v>111</v>
      </c>
      <c r="H3473" s="33">
        <f t="shared" si="827"/>
        <v>25</v>
      </c>
      <c r="I3473" s="33" t="str">
        <f t="shared" si="823"/>
        <v>='C:\Users\jaime.benazar\Quorum Business Solutions\Ecopetrol Prometeo - Documents\Planning Space Implementation\3. Analysis &amp; Design\Design\FC22\DRR Jaime\QUIFA-CAJÚA\Cajua\[CAJUA_CF_SEC_New_27-Feb-2024Rev3.xlsx]D-PRBDP'!$BE$25</v>
      </c>
      <c r="J3473" s="37" t="s">
        <v>3604</v>
      </c>
    </row>
    <row r="3474" spans="1:10" x14ac:dyDescent="0.25">
      <c r="A3474" s="32" t="s">
        <v>99</v>
      </c>
      <c r="B3474" s="32">
        <f>+B3473+1</f>
        <v>2037</v>
      </c>
      <c r="C3474" s="33" t="s">
        <v>49</v>
      </c>
      <c r="D3474" s="34" t="s">
        <v>1999</v>
      </c>
      <c r="E3474" s="35" t="str">
        <f t="shared" si="825"/>
        <v>PRBDP'!</v>
      </c>
      <c r="F3474" s="34" t="str">
        <f t="shared" si="826"/>
        <v>C:\Users\jaime.benazar\Quorum Business Solutions\Ecopetrol Prometeo - Documents\Planning Space Implementation\3. Analysis &amp; Design\Design\FC22\DRR Jaime\QUIFA-CAJÚA\Cajua\[CAJUA_CF_SEC_New_27-Feb-2024Rev3.xlsx]D-PRBDP'!</v>
      </c>
      <c r="G3474" s="32" t="s">
        <v>111</v>
      </c>
      <c r="H3474" s="33">
        <f t="shared" si="827"/>
        <v>26</v>
      </c>
      <c r="I3474" s="33" t="str">
        <f t="shared" si="823"/>
        <v>='C:\Users\jaime.benazar\Quorum Business Solutions\Ecopetrol Prometeo - Documents\Planning Space Implementation\3. Analysis &amp; Design\Design\FC22\DRR Jaime\QUIFA-CAJÚA\Cajua\[CAJUA_CF_SEC_New_27-Feb-2024Rev3.xlsx]D-PRBDP'!$BE$26</v>
      </c>
      <c r="J3474" s="37" t="s">
        <v>3605</v>
      </c>
    </row>
    <row r="3475" spans="1:10" x14ac:dyDescent="0.25">
      <c r="A3475" s="32" t="s">
        <v>99</v>
      </c>
      <c r="B3475" s="32">
        <f t="shared" ref="B3475:B3477" si="829">+B3474+1</f>
        <v>2038</v>
      </c>
      <c r="C3475" s="33" t="s">
        <v>49</v>
      </c>
      <c r="D3475" s="34" t="s">
        <v>1999</v>
      </c>
      <c r="E3475" s="35" t="str">
        <f t="shared" si="825"/>
        <v>PRBDP'!</v>
      </c>
      <c r="F3475" s="34" t="str">
        <f t="shared" si="826"/>
        <v>C:\Users\jaime.benazar\Quorum Business Solutions\Ecopetrol Prometeo - Documents\Planning Space Implementation\3. Analysis &amp; Design\Design\FC22\DRR Jaime\QUIFA-CAJÚA\Cajua\[CAJUA_CF_SEC_New_27-Feb-2024Rev3.xlsx]D-PRBDP'!</v>
      </c>
      <c r="G3475" s="32" t="s">
        <v>111</v>
      </c>
      <c r="H3475" s="33">
        <f t="shared" si="827"/>
        <v>27</v>
      </c>
      <c r="I3475" s="33" t="str">
        <f t="shared" si="823"/>
        <v>='C:\Users\jaime.benazar\Quorum Business Solutions\Ecopetrol Prometeo - Documents\Planning Space Implementation\3. Analysis &amp; Design\Design\FC22\DRR Jaime\QUIFA-CAJÚA\Cajua\[CAJUA_CF_SEC_New_27-Feb-2024Rev3.xlsx]D-PRBDP'!$BE$27</v>
      </c>
      <c r="J3475" s="37" t="s">
        <v>3606</v>
      </c>
    </row>
    <row r="3476" spans="1:10" x14ac:dyDescent="0.25">
      <c r="A3476" s="32" t="s">
        <v>99</v>
      </c>
      <c r="B3476" s="32">
        <f t="shared" si="829"/>
        <v>2039</v>
      </c>
      <c r="C3476" s="33" t="s">
        <v>49</v>
      </c>
      <c r="D3476" s="34" t="s">
        <v>1999</v>
      </c>
      <c r="E3476" s="35" t="str">
        <f t="shared" si="825"/>
        <v>PRBDP'!</v>
      </c>
      <c r="F3476" s="34" t="str">
        <f t="shared" si="826"/>
        <v>C:\Users\jaime.benazar\Quorum Business Solutions\Ecopetrol Prometeo - Documents\Planning Space Implementation\3. Analysis &amp; Design\Design\FC22\DRR Jaime\QUIFA-CAJÚA\Cajua\[CAJUA_CF_SEC_New_27-Feb-2024Rev3.xlsx]D-PRBDP'!</v>
      </c>
      <c r="G3476" s="32" t="s">
        <v>111</v>
      </c>
      <c r="H3476" s="33">
        <f t="shared" si="827"/>
        <v>28</v>
      </c>
      <c r="I3476" s="33" t="str">
        <f t="shared" si="823"/>
        <v>='C:\Users\jaime.benazar\Quorum Business Solutions\Ecopetrol Prometeo - Documents\Planning Space Implementation\3. Analysis &amp; Design\Design\FC22\DRR Jaime\QUIFA-CAJÚA\Cajua\[CAJUA_CF_SEC_New_27-Feb-2024Rev3.xlsx]D-PRBDP'!$BE$28</v>
      </c>
      <c r="J3476" s="37" t="s">
        <v>3607</v>
      </c>
    </row>
    <row r="3477" spans="1:10" x14ac:dyDescent="0.25">
      <c r="A3477" s="32" t="s">
        <v>99</v>
      </c>
      <c r="B3477" s="32">
        <f t="shared" si="829"/>
        <v>2040</v>
      </c>
      <c r="C3477" s="33" t="s">
        <v>49</v>
      </c>
      <c r="D3477" s="34" t="s">
        <v>1999</v>
      </c>
      <c r="E3477" s="35" t="str">
        <f t="shared" si="825"/>
        <v>PRBDP'!</v>
      </c>
      <c r="F3477" s="34" t="str">
        <f t="shared" si="826"/>
        <v>C:\Users\jaime.benazar\Quorum Business Solutions\Ecopetrol Prometeo - Documents\Planning Space Implementation\3. Analysis &amp; Design\Design\FC22\DRR Jaime\QUIFA-CAJÚA\Cajua\[CAJUA_CF_SEC_New_27-Feb-2024Rev3.xlsx]D-PRBDP'!</v>
      </c>
      <c r="G3477" s="32" t="s">
        <v>111</v>
      </c>
      <c r="H3477" s="33">
        <f t="shared" si="827"/>
        <v>29</v>
      </c>
      <c r="I3477" s="33" t="str">
        <f t="shared" si="823"/>
        <v>='C:\Users\jaime.benazar\Quorum Business Solutions\Ecopetrol Prometeo - Documents\Planning Space Implementation\3. Analysis &amp; Design\Design\FC22\DRR Jaime\QUIFA-CAJÚA\Cajua\[CAJUA_CF_SEC_New_27-Feb-2024Rev3.xlsx]D-PRBDP'!$BE$29</v>
      </c>
      <c r="J3477" s="37" t="s">
        <v>3608</v>
      </c>
    </row>
    <row r="3478" spans="1:10" x14ac:dyDescent="0.25">
      <c r="A3478" s="32" t="s">
        <v>99</v>
      </c>
      <c r="B3478" s="32">
        <f>+B3477+1</f>
        <v>2041</v>
      </c>
      <c r="C3478" s="33" t="s">
        <v>49</v>
      </c>
      <c r="D3478" s="34" t="s">
        <v>1999</v>
      </c>
      <c r="E3478" s="35" t="str">
        <f t="shared" si="825"/>
        <v>PRBDP'!</v>
      </c>
      <c r="F3478" s="34" t="str">
        <f t="shared" si="826"/>
        <v>C:\Users\jaime.benazar\Quorum Business Solutions\Ecopetrol Prometeo - Documents\Planning Space Implementation\3. Analysis &amp; Design\Design\FC22\DRR Jaime\QUIFA-CAJÚA\Cajua\[CAJUA_CF_SEC_New_27-Feb-2024Rev3.xlsx]D-PRBDP'!</v>
      </c>
      <c r="G3478" s="32" t="s">
        <v>111</v>
      </c>
      <c r="H3478" s="33">
        <f t="shared" si="827"/>
        <v>30</v>
      </c>
      <c r="I3478" s="33" t="str">
        <f t="shared" si="823"/>
        <v>='C:\Users\jaime.benazar\Quorum Business Solutions\Ecopetrol Prometeo - Documents\Planning Space Implementation\3. Analysis &amp; Design\Design\FC22\DRR Jaime\QUIFA-CAJÚA\Cajua\[CAJUA_CF_SEC_New_27-Feb-2024Rev3.xlsx]D-PRBDP'!$BE$30</v>
      </c>
      <c r="J3478" s="37" t="s">
        <v>3609</v>
      </c>
    </row>
    <row r="3479" spans="1:10" x14ac:dyDescent="0.25">
      <c r="A3479" s="32" t="s">
        <v>99</v>
      </c>
      <c r="B3479" s="32">
        <f t="shared" ref="B3479:B3480" si="830">+B3478+1</f>
        <v>2042</v>
      </c>
      <c r="C3479" s="33" t="s">
        <v>49</v>
      </c>
      <c r="D3479" s="34" t="s">
        <v>1999</v>
      </c>
      <c r="E3479" s="35" t="str">
        <f t="shared" si="825"/>
        <v>PRBDP'!</v>
      </c>
      <c r="F3479" s="34" t="str">
        <f t="shared" si="826"/>
        <v>C:\Users\jaime.benazar\Quorum Business Solutions\Ecopetrol Prometeo - Documents\Planning Space Implementation\3. Analysis &amp; Design\Design\FC22\DRR Jaime\QUIFA-CAJÚA\Cajua\[CAJUA_CF_SEC_New_27-Feb-2024Rev3.xlsx]D-PRBDP'!</v>
      </c>
      <c r="G3479" s="32" t="s">
        <v>111</v>
      </c>
      <c r="H3479" s="33">
        <f t="shared" si="827"/>
        <v>31</v>
      </c>
      <c r="I3479" s="33" t="str">
        <f t="shared" si="823"/>
        <v>='C:\Users\jaime.benazar\Quorum Business Solutions\Ecopetrol Prometeo - Documents\Planning Space Implementation\3. Analysis &amp; Design\Design\FC22\DRR Jaime\QUIFA-CAJÚA\Cajua\[CAJUA_CF_SEC_New_27-Feb-2024Rev3.xlsx]D-PRBDP'!$BE$31</v>
      </c>
      <c r="J3479" s="37" t="s">
        <v>3610</v>
      </c>
    </row>
    <row r="3480" spans="1:10" x14ac:dyDescent="0.25">
      <c r="A3480" s="32" t="s">
        <v>99</v>
      </c>
      <c r="B3480" s="32">
        <f t="shared" si="830"/>
        <v>2043</v>
      </c>
      <c r="C3480" s="33" t="s">
        <v>49</v>
      </c>
      <c r="D3480" s="34" t="s">
        <v>1999</v>
      </c>
      <c r="E3480" s="35" t="str">
        <f t="shared" si="825"/>
        <v>PRBDP'!</v>
      </c>
      <c r="F3480" s="34" t="str">
        <f t="shared" si="826"/>
        <v>C:\Users\jaime.benazar\Quorum Business Solutions\Ecopetrol Prometeo - Documents\Planning Space Implementation\3. Analysis &amp; Design\Design\FC22\DRR Jaime\QUIFA-CAJÚA\Cajua\[CAJUA_CF_SEC_New_27-Feb-2024Rev3.xlsx]D-PRBDP'!</v>
      </c>
      <c r="G3480" s="32" t="s">
        <v>111</v>
      </c>
      <c r="H3480" s="33">
        <f t="shared" si="827"/>
        <v>32</v>
      </c>
      <c r="I3480" s="33" t="str">
        <f t="shared" si="823"/>
        <v>='C:\Users\jaime.benazar\Quorum Business Solutions\Ecopetrol Prometeo - Documents\Planning Space Implementation\3. Analysis &amp; Design\Design\FC22\DRR Jaime\QUIFA-CAJÚA\Cajua\[CAJUA_CF_SEC_New_27-Feb-2024Rev3.xlsx]D-PRBDP'!$BE$32</v>
      </c>
      <c r="J3480" s="37" t="s">
        <v>3611</v>
      </c>
    </row>
    <row r="3481" spans="1:10" x14ac:dyDescent="0.25">
      <c r="A3481" s="32" t="s">
        <v>99</v>
      </c>
      <c r="B3481" s="32">
        <f>+B3480+1</f>
        <v>2044</v>
      </c>
      <c r="C3481" s="33" t="s">
        <v>49</v>
      </c>
      <c r="D3481" s="34" t="s">
        <v>1999</v>
      </c>
      <c r="E3481" s="35" t="str">
        <f t="shared" ref="E3481:E3496" si="831">_xlfn.CONCAT(A3481,"'!")</f>
        <v>PRBDP'!</v>
      </c>
      <c r="F3481" s="34" t="str">
        <f t="shared" ref="F3481:F3496" si="832">_xlfn.CONCAT(D3481:E3481)</f>
        <v>C:\Users\jaime.benazar\Quorum Business Solutions\Ecopetrol Prometeo - Documents\Planning Space Implementation\3. Analysis &amp; Design\Design\FC22\DRR Jaime\QUIFA-CAJÚA\Cajua\[CAJUA_CF_SEC_New_27-Feb-2024Rev3.xlsx]D-PRBDP'!</v>
      </c>
      <c r="G3481" s="32" t="s">
        <v>111</v>
      </c>
      <c r="H3481" s="33">
        <f t="shared" si="827"/>
        <v>33</v>
      </c>
      <c r="I3481" s="33" t="str">
        <f t="shared" si="823"/>
        <v>='C:\Users\jaime.benazar\Quorum Business Solutions\Ecopetrol Prometeo - Documents\Planning Space Implementation\3. Analysis &amp; Design\Design\FC22\DRR Jaime\QUIFA-CAJÚA\Cajua\[CAJUA_CF_SEC_New_27-Feb-2024Rev3.xlsx]D-PRBDP'!$BE$33</v>
      </c>
      <c r="J3481" s="37" t="s">
        <v>3612</v>
      </c>
    </row>
    <row r="3482" spans="1:10" x14ac:dyDescent="0.25">
      <c r="A3482" s="32" t="s">
        <v>99</v>
      </c>
      <c r="B3482" s="32">
        <f t="shared" ref="B3482:B3496" si="833">+B3481+1</f>
        <v>2045</v>
      </c>
      <c r="C3482" s="33" t="s">
        <v>49</v>
      </c>
      <c r="D3482" s="34" t="s">
        <v>1999</v>
      </c>
      <c r="E3482" s="35" t="str">
        <f t="shared" si="831"/>
        <v>PRBDP'!</v>
      </c>
      <c r="F3482" s="34" t="str">
        <f t="shared" si="832"/>
        <v>C:\Users\jaime.benazar\Quorum Business Solutions\Ecopetrol Prometeo - Documents\Planning Space Implementation\3. Analysis &amp; Design\Design\FC22\DRR Jaime\QUIFA-CAJÚA\Cajua\[CAJUA_CF_SEC_New_27-Feb-2024Rev3.xlsx]D-PRBDP'!</v>
      </c>
      <c r="G3482" s="32" t="s">
        <v>111</v>
      </c>
      <c r="H3482" s="33">
        <f t="shared" si="827"/>
        <v>34</v>
      </c>
      <c r="I3482" s="33" t="str">
        <f t="shared" si="823"/>
        <v>='C:\Users\jaime.benazar\Quorum Business Solutions\Ecopetrol Prometeo - Documents\Planning Space Implementation\3. Analysis &amp; Design\Design\FC22\DRR Jaime\QUIFA-CAJÚA\Cajua\[CAJUA_CF_SEC_New_27-Feb-2024Rev3.xlsx]D-PRBDP'!$BE$34</v>
      </c>
      <c r="J3482" s="37" t="s">
        <v>3613</v>
      </c>
    </row>
    <row r="3483" spans="1:10" x14ac:dyDescent="0.25">
      <c r="A3483" s="32" t="s">
        <v>99</v>
      </c>
      <c r="B3483" s="32">
        <f t="shared" si="833"/>
        <v>2046</v>
      </c>
      <c r="C3483" s="33" t="s">
        <v>49</v>
      </c>
      <c r="D3483" s="34" t="s">
        <v>1999</v>
      </c>
      <c r="E3483" s="35" t="str">
        <f t="shared" si="831"/>
        <v>PRBDP'!</v>
      </c>
      <c r="F3483" s="34" t="str">
        <f t="shared" si="832"/>
        <v>C:\Users\jaime.benazar\Quorum Business Solutions\Ecopetrol Prometeo - Documents\Planning Space Implementation\3. Analysis &amp; Design\Design\FC22\DRR Jaime\QUIFA-CAJÚA\Cajua\[CAJUA_CF_SEC_New_27-Feb-2024Rev3.xlsx]D-PRBDP'!</v>
      </c>
      <c r="G3483" s="32" t="s">
        <v>111</v>
      </c>
      <c r="H3483" s="33">
        <f t="shared" si="827"/>
        <v>35</v>
      </c>
      <c r="I3483" s="33" t="str">
        <f t="shared" si="823"/>
        <v>='C:\Users\jaime.benazar\Quorum Business Solutions\Ecopetrol Prometeo - Documents\Planning Space Implementation\3. Analysis &amp; Design\Design\FC22\DRR Jaime\QUIFA-CAJÚA\Cajua\[CAJUA_CF_SEC_New_27-Feb-2024Rev3.xlsx]D-PRBDP'!$BE$35</v>
      </c>
      <c r="J3483" s="37" t="s">
        <v>3614</v>
      </c>
    </row>
    <row r="3484" spans="1:10" x14ac:dyDescent="0.25">
      <c r="A3484" s="32" t="s">
        <v>99</v>
      </c>
      <c r="B3484" s="32">
        <f t="shared" si="833"/>
        <v>2047</v>
      </c>
      <c r="C3484" s="33" t="s">
        <v>49</v>
      </c>
      <c r="D3484" s="34" t="s">
        <v>1999</v>
      </c>
      <c r="E3484" s="35" t="str">
        <f t="shared" si="831"/>
        <v>PRBDP'!</v>
      </c>
      <c r="F3484" s="34" t="str">
        <f t="shared" si="832"/>
        <v>C:\Users\jaime.benazar\Quorum Business Solutions\Ecopetrol Prometeo - Documents\Planning Space Implementation\3. Analysis &amp; Design\Design\FC22\DRR Jaime\QUIFA-CAJÚA\Cajua\[CAJUA_CF_SEC_New_27-Feb-2024Rev3.xlsx]D-PRBDP'!</v>
      </c>
      <c r="G3484" s="32" t="s">
        <v>111</v>
      </c>
      <c r="H3484" s="33">
        <f t="shared" si="827"/>
        <v>36</v>
      </c>
      <c r="I3484" s="33" t="str">
        <f t="shared" si="823"/>
        <v>='C:\Users\jaime.benazar\Quorum Business Solutions\Ecopetrol Prometeo - Documents\Planning Space Implementation\3. Analysis &amp; Design\Design\FC22\DRR Jaime\QUIFA-CAJÚA\Cajua\[CAJUA_CF_SEC_New_27-Feb-2024Rev3.xlsx]D-PRBDP'!$BE$36</v>
      </c>
      <c r="J3484" s="37" t="s">
        <v>3615</v>
      </c>
    </row>
    <row r="3485" spans="1:10" x14ac:dyDescent="0.25">
      <c r="A3485" s="32" t="s">
        <v>99</v>
      </c>
      <c r="B3485" s="32">
        <f t="shared" si="833"/>
        <v>2048</v>
      </c>
      <c r="C3485" s="33" t="s">
        <v>49</v>
      </c>
      <c r="D3485" s="34" t="s">
        <v>1999</v>
      </c>
      <c r="E3485" s="35" t="str">
        <f t="shared" si="831"/>
        <v>PRBDP'!</v>
      </c>
      <c r="F3485" s="34" t="str">
        <f t="shared" si="832"/>
        <v>C:\Users\jaime.benazar\Quorum Business Solutions\Ecopetrol Prometeo - Documents\Planning Space Implementation\3. Analysis &amp; Design\Design\FC22\DRR Jaime\QUIFA-CAJÚA\Cajua\[CAJUA_CF_SEC_New_27-Feb-2024Rev3.xlsx]D-PRBDP'!</v>
      </c>
      <c r="G3485" s="32" t="s">
        <v>111</v>
      </c>
      <c r="H3485" s="33">
        <f t="shared" si="827"/>
        <v>37</v>
      </c>
      <c r="I3485" s="33" t="str">
        <f t="shared" si="823"/>
        <v>='C:\Users\jaime.benazar\Quorum Business Solutions\Ecopetrol Prometeo - Documents\Planning Space Implementation\3. Analysis &amp; Design\Design\FC22\DRR Jaime\QUIFA-CAJÚA\Cajua\[CAJUA_CF_SEC_New_27-Feb-2024Rev3.xlsx]D-PRBDP'!$BE$37</v>
      </c>
      <c r="J3485" s="37" t="s">
        <v>3616</v>
      </c>
    </row>
    <row r="3486" spans="1:10" x14ac:dyDescent="0.25">
      <c r="A3486" s="32" t="s">
        <v>99</v>
      </c>
      <c r="B3486" s="32">
        <f t="shared" si="833"/>
        <v>2049</v>
      </c>
      <c r="C3486" s="33" t="s">
        <v>49</v>
      </c>
      <c r="D3486" s="34" t="s">
        <v>1999</v>
      </c>
      <c r="E3486" s="35" t="str">
        <f t="shared" si="831"/>
        <v>PRBDP'!</v>
      </c>
      <c r="F3486" s="34" t="str">
        <f t="shared" si="832"/>
        <v>C:\Users\jaime.benazar\Quorum Business Solutions\Ecopetrol Prometeo - Documents\Planning Space Implementation\3. Analysis &amp; Design\Design\FC22\DRR Jaime\QUIFA-CAJÚA\Cajua\[CAJUA_CF_SEC_New_27-Feb-2024Rev3.xlsx]D-PRBDP'!</v>
      </c>
      <c r="G3486" s="32" t="s">
        <v>111</v>
      </c>
      <c r="H3486" s="33">
        <f t="shared" si="827"/>
        <v>38</v>
      </c>
      <c r="I3486" s="33" t="str">
        <f t="shared" si="823"/>
        <v>='C:\Users\jaime.benazar\Quorum Business Solutions\Ecopetrol Prometeo - Documents\Planning Space Implementation\3. Analysis &amp; Design\Design\FC22\DRR Jaime\QUIFA-CAJÚA\Cajua\[CAJUA_CF_SEC_New_27-Feb-2024Rev3.xlsx]D-PRBDP'!$BE$38</v>
      </c>
      <c r="J3486" s="37" t="s">
        <v>3617</v>
      </c>
    </row>
    <row r="3487" spans="1:10" x14ac:dyDescent="0.25">
      <c r="A3487" s="32" t="s">
        <v>99</v>
      </c>
      <c r="B3487" s="32">
        <f t="shared" si="833"/>
        <v>2050</v>
      </c>
      <c r="C3487" s="33" t="s">
        <v>49</v>
      </c>
      <c r="D3487" s="34" t="s">
        <v>1999</v>
      </c>
      <c r="E3487" s="35" t="str">
        <f t="shared" si="831"/>
        <v>PRBDP'!</v>
      </c>
      <c r="F3487" s="34" t="str">
        <f t="shared" si="832"/>
        <v>C:\Users\jaime.benazar\Quorum Business Solutions\Ecopetrol Prometeo - Documents\Planning Space Implementation\3. Analysis &amp; Design\Design\FC22\DRR Jaime\QUIFA-CAJÚA\Cajua\[CAJUA_CF_SEC_New_27-Feb-2024Rev3.xlsx]D-PRBDP'!</v>
      </c>
      <c r="G3487" s="32" t="s">
        <v>111</v>
      </c>
      <c r="H3487" s="33">
        <f t="shared" si="827"/>
        <v>39</v>
      </c>
      <c r="I3487" s="33" t="str">
        <f t="shared" si="823"/>
        <v>='C:\Users\jaime.benazar\Quorum Business Solutions\Ecopetrol Prometeo - Documents\Planning Space Implementation\3. Analysis &amp; Design\Design\FC22\DRR Jaime\QUIFA-CAJÚA\Cajua\[CAJUA_CF_SEC_New_27-Feb-2024Rev3.xlsx]D-PRBDP'!$BE$39</v>
      </c>
      <c r="J3487" s="37" t="s">
        <v>3618</v>
      </c>
    </row>
    <row r="3488" spans="1:10" x14ac:dyDescent="0.25">
      <c r="A3488" s="32" t="s">
        <v>99</v>
      </c>
      <c r="B3488" s="32">
        <f t="shared" si="833"/>
        <v>2051</v>
      </c>
      <c r="C3488" s="33" t="s">
        <v>49</v>
      </c>
      <c r="D3488" s="34" t="s">
        <v>1999</v>
      </c>
      <c r="E3488" s="35" t="str">
        <f t="shared" si="831"/>
        <v>PRBDP'!</v>
      </c>
      <c r="F3488" s="34" t="str">
        <f t="shared" si="832"/>
        <v>C:\Users\jaime.benazar\Quorum Business Solutions\Ecopetrol Prometeo - Documents\Planning Space Implementation\3. Analysis &amp; Design\Design\FC22\DRR Jaime\QUIFA-CAJÚA\Cajua\[CAJUA_CF_SEC_New_27-Feb-2024Rev3.xlsx]D-PRBDP'!</v>
      </c>
      <c r="G3488" s="32" t="s">
        <v>111</v>
      </c>
      <c r="H3488" s="33">
        <f t="shared" si="827"/>
        <v>40</v>
      </c>
      <c r="I3488" s="33" t="str">
        <f t="shared" si="823"/>
        <v>='C:\Users\jaime.benazar\Quorum Business Solutions\Ecopetrol Prometeo - Documents\Planning Space Implementation\3. Analysis &amp; Design\Design\FC22\DRR Jaime\QUIFA-CAJÚA\Cajua\[CAJUA_CF_SEC_New_27-Feb-2024Rev3.xlsx]D-PRBDP'!$BE$40</v>
      </c>
      <c r="J3488" s="37" t="s">
        <v>3619</v>
      </c>
    </row>
    <row r="3489" spans="1:10" x14ac:dyDescent="0.25">
      <c r="A3489" s="32" t="s">
        <v>99</v>
      </c>
      <c r="B3489" s="32">
        <f t="shared" si="833"/>
        <v>2052</v>
      </c>
      <c r="C3489" s="33" t="s">
        <v>49</v>
      </c>
      <c r="D3489" s="34" t="s">
        <v>1999</v>
      </c>
      <c r="E3489" s="35" t="str">
        <f t="shared" si="831"/>
        <v>PRBDP'!</v>
      </c>
      <c r="F3489" s="34" t="str">
        <f t="shared" si="832"/>
        <v>C:\Users\jaime.benazar\Quorum Business Solutions\Ecopetrol Prometeo - Documents\Planning Space Implementation\3. Analysis &amp; Design\Design\FC22\DRR Jaime\QUIFA-CAJÚA\Cajua\[CAJUA_CF_SEC_New_27-Feb-2024Rev3.xlsx]D-PRBDP'!</v>
      </c>
      <c r="G3489" s="32" t="s">
        <v>111</v>
      </c>
      <c r="H3489" s="33">
        <f t="shared" si="827"/>
        <v>41</v>
      </c>
      <c r="I3489" s="33" t="str">
        <f t="shared" si="823"/>
        <v>='C:\Users\jaime.benazar\Quorum Business Solutions\Ecopetrol Prometeo - Documents\Planning Space Implementation\3. Analysis &amp; Design\Design\FC22\DRR Jaime\QUIFA-CAJÚA\Cajua\[CAJUA_CF_SEC_New_27-Feb-2024Rev3.xlsx]D-PRBDP'!$BE$41</v>
      </c>
      <c r="J3489" s="37" t="s">
        <v>3620</v>
      </c>
    </row>
    <row r="3490" spans="1:10" x14ac:dyDescent="0.25">
      <c r="A3490" s="32" t="s">
        <v>99</v>
      </c>
      <c r="B3490" s="32">
        <f t="shared" si="833"/>
        <v>2053</v>
      </c>
      <c r="C3490" s="33" t="s">
        <v>49</v>
      </c>
      <c r="D3490" s="34" t="s">
        <v>1999</v>
      </c>
      <c r="E3490" s="35" t="str">
        <f t="shared" si="831"/>
        <v>PRBDP'!</v>
      </c>
      <c r="F3490" s="34" t="str">
        <f t="shared" si="832"/>
        <v>C:\Users\jaime.benazar\Quorum Business Solutions\Ecopetrol Prometeo - Documents\Planning Space Implementation\3. Analysis &amp; Design\Design\FC22\DRR Jaime\QUIFA-CAJÚA\Cajua\[CAJUA_CF_SEC_New_27-Feb-2024Rev3.xlsx]D-PRBDP'!</v>
      </c>
      <c r="G3490" s="32" t="s">
        <v>111</v>
      </c>
      <c r="H3490" s="33">
        <f t="shared" si="827"/>
        <v>42</v>
      </c>
      <c r="I3490" s="33" t="str">
        <f t="shared" si="823"/>
        <v>='C:\Users\jaime.benazar\Quorum Business Solutions\Ecopetrol Prometeo - Documents\Planning Space Implementation\3. Analysis &amp; Design\Design\FC22\DRR Jaime\QUIFA-CAJÚA\Cajua\[CAJUA_CF_SEC_New_27-Feb-2024Rev3.xlsx]D-PRBDP'!$BE$42</v>
      </c>
      <c r="J3490" s="37" t="s">
        <v>3621</v>
      </c>
    </row>
    <row r="3491" spans="1:10" x14ac:dyDescent="0.25">
      <c r="A3491" s="32" t="s">
        <v>99</v>
      </c>
      <c r="B3491" s="32">
        <f t="shared" si="833"/>
        <v>2054</v>
      </c>
      <c r="C3491" s="33" t="s">
        <v>49</v>
      </c>
      <c r="D3491" s="34" t="s">
        <v>1999</v>
      </c>
      <c r="E3491" s="35" t="str">
        <f t="shared" si="831"/>
        <v>PRBDP'!</v>
      </c>
      <c r="F3491" s="34" t="str">
        <f t="shared" si="832"/>
        <v>C:\Users\jaime.benazar\Quorum Business Solutions\Ecopetrol Prometeo - Documents\Planning Space Implementation\3. Analysis &amp; Design\Design\FC22\DRR Jaime\QUIFA-CAJÚA\Cajua\[CAJUA_CF_SEC_New_27-Feb-2024Rev3.xlsx]D-PRBDP'!</v>
      </c>
      <c r="G3491" s="32" t="s">
        <v>111</v>
      </c>
      <c r="H3491" s="33">
        <f t="shared" si="827"/>
        <v>43</v>
      </c>
      <c r="I3491" s="33" t="str">
        <f t="shared" si="823"/>
        <v>='C:\Users\jaime.benazar\Quorum Business Solutions\Ecopetrol Prometeo - Documents\Planning Space Implementation\3. Analysis &amp; Design\Design\FC22\DRR Jaime\QUIFA-CAJÚA\Cajua\[CAJUA_CF_SEC_New_27-Feb-2024Rev3.xlsx]D-PRBDP'!$BE$43</v>
      </c>
      <c r="J3491" s="37" t="s">
        <v>3622</v>
      </c>
    </row>
    <row r="3492" spans="1:10" x14ac:dyDescent="0.25">
      <c r="A3492" s="32" t="s">
        <v>99</v>
      </c>
      <c r="B3492" s="32">
        <f t="shared" si="833"/>
        <v>2055</v>
      </c>
      <c r="C3492" s="33" t="s">
        <v>49</v>
      </c>
      <c r="D3492" s="34" t="s">
        <v>1999</v>
      </c>
      <c r="E3492" s="35" t="str">
        <f t="shared" si="831"/>
        <v>PRBDP'!</v>
      </c>
      <c r="F3492" s="34" t="str">
        <f t="shared" si="832"/>
        <v>C:\Users\jaime.benazar\Quorum Business Solutions\Ecopetrol Prometeo - Documents\Planning Space Implementation\3. Analysis &amp; Design\Design\FC22\DRR Jaime\QUIFA-CAJÚA\Cajua\[CAJUA_CF_SEC_New_27-Feb-2024Rev3.xlsx]D-PRBDP'!</v>
      </c>
      <c r="G3492" s="32" t="s">
        <v>111</v>
      </c>
      <c r="H3492" s="33">
        <f t="shared" si="827"/>
        <v>44</v>
      </c>
      <c r="I3492" s="33" t="str">
        <f t="shared" si="823"/>
        <v>='C:\Users\jaime.benazar\Quorum Business Solutions\Ecopetrol Prometeo - Documents\Planning Space Implementation\3. Analysis &amp; Design\Design\FC22\DRR Jaime\QUIFA-CAJÚA\Cajua\[CAJUA_CF_SEC_New_27-Feb-2024Rev3.xlsx]D-PRBDP'!$BE$44</v>
      </c>
      <c r="J3492" s="37" t="s">
        <v>3623</v>
      </c>
    </row>
    <row r="3493" spans="1:10" x14ac:dyDescent="0.25">
      <c r="A3493" s="32" t="s">
        <v>99</v>
      </c>
      <c r="B3493" s="32">
        <f t="shared" si="833"/>
        <v>2056</v>
      </c>
      <c r="C3493" s="33" t="s">
        <v>49</v>
      </c>
      <c r="D3493" s="34" t="s">
        <v>1999</v>
      </c>
      <c r="E3493" s="35" t="str">
        <f t="shared" si="831"/>
        <v>PRBDP'!</v>
      </c>
      <c r="F3493" s="34" t="str">
        <f t="shared" si="832"/>
        <v>C:\Users\jaime.benazar\Quorum Business Solutions\Ecopetrol Prometeo - Documents\Planning Space Implementation\3. Analysis &amp; Design\Design\FC22\DRR Jaime\QUIFA-CAJÚA\Cajua\[CAJUA_CF_SEC_New_27-Feb-2024Rev3.xlsx]D-PRBDP'!</v>
      </c>
      <c r="G3493" s="32" t="s">
        <v>111</v>
      </c>
      <c r="H3493" s="33">
        <f t="shared" si="827"/>
        <v>45</v>
      </c>
      <c r="I3493" s="33" t="str">
        <f t="shared" si="823"/>
        <v>='C:\Users\jaime.benazar\Quorum Business Solutions\Ecopetrol Prometeo - Documents\Planning Space Implementation\3. Analysis &amp; Design\Design\FC22\DRR Jaime\QUIFA-CAJÚA\Cajua\[CAJUA_CF_SEC_New_27-Feb-2024Rev3.xlsx]D-PRBDP'!$BE$45</v>
      </c>
      <c r="J3493" s="37" t="s">
        <v>3624</v>
      </c>
    </row>
    <row r="3494" spans="1:10" x14ac:dyDescent="0.25">
      <c r="A3494" s="32" t="s">
        <v>99</v>
      </c>
      <c r="B3494" s="32">
        <f t="shared" si="833"/>
        <v>2057</v>
      </c>
      <c r="C3494" s="33" t="s">
        <v>49</v>
      </c>
      <c r="D3494" s="34" t="s">
        <v>1999</v>
      </c>
      <c r="E3494" s="35" t="str">
        <f t="shared" si="831"/>
        <v>PRBDP'!</v>
      </c>
      <c r="F3494" s="34" t="str">
        <f t="shared" si="832"/>
        <v>C:\Users\jaime.benazar\Quorum Business Solutions\Ecopetrol Prometeo - Documents\Planning Space Implementation\3. Analysis &amp; Design\Design\FC22\DRR Jaime\QUIFA-CAJÚA\Cajua\[CAJUA_CF_SEC_New_27-Feb-2024Rev3.xlsx]D-PRBDP'!</v>
      </c>
      <c r="G3494" s="32" t="s">
        <v>111</v>
      </c>
      <c r="H3494" s="33">
        <f t="shared" si="827"/>
        <v>46</v>
      </c>
      <c r="I3494" s="33" t="str">
        <f t="shared" si="823"/>
        <v>='C:\Users\jaime.benazar\Quorum Business Solutions\Ecopetrol Prometeo - Documents\Planning Space Implementation\3. Analysis &amp; Design\Design\FC22\DRR Jaime\QUIFA-CAJÚA\Cajua\[CAJUA_CF_SEC_New_27-Feb-2024Rev3.xlsx]D-PRBDP'!$BE$46</v>
      </c>
      <c r="J3494" s="37" t="s">
        <v>3625</v>
      </c>
    </row>
    <row r="3495" spans="1:10" x14ac:dyDescent="0.25">
      <c r="A3495" s="32" t="s">
        <v>99</v>
      </c>
      <c r="B3495" s="32">
        <f t="shared" si="833"/>
        <v>2058</v>
      </c>
      <c r="C3495" s="33" t="s">
        <v>49</v>
      </c>
      <c r="D3495" s="34" t="s">
        <v>1999</v>
      </c>
      <c r="E3495" s="35" t="str">
        <f t="shared" si="831"/>
        <v>PRBDP'!</v>
      </c>
      <c r="F3495" s="34" t="str">
        <f t="shared" si="832"/>
        <v>C:\Users\jaime.benazar\Quorum Business Solutions\Ecopetrol Prometeo - Documents\Planning Space Implementation\3. Analysis &amp; Design\Design\FC22\DRR Jaime\QUIFA-CAJÚA\Cajua\[CAJUA_CF_SEC_New_27-Feb-2024Rev3.xlsx]D-PRBDP'!</v>
      </c>
      <c r="G3495" s="32" t="s">
        <v>111</v>
      </c>
      <c r="H3495" s="33">
        <f t="shared" si="827"/>
        <v>47</v>
      </c>
      <c r="I3495" s="33" t="str">
        <f t="shared" si="823"/>
        <v>='C:\Users\jaime.benazar\Quorum Business Solutions\Ecopetrol Prometeo - Documents\Planning Space Implementation\3. Analysis &amp; Design\Design\FC22\DRR Jaime\QUIFA-CAJÚA\Cajua\[CAJUA_CF_SEC_New_27-Feb-2024Rev3.xlsx]D-PRBDP'!$BE$47</v>
      </c>
      <c r="J3495" s="37" t="s">
        <v>3626</v>
      </c>
    </row>
    <row r="3496" spans="1:10" x14ac:dyDescent="0.25">
      <c r="A3496" s="32" t="s">
        <v>99</v>
      </c>
      <c r="B3496" s="32">
        <f t="shared" si="833"/>
        <v>2059</v>
      </c>
      <c r="C3496" s="33" t="s">
        <v>49</v>
      </c>
      <c r="D3496" s="34" t="s">
        <v>1999</v>
      </c>
      <c r="E3496" s="35" t="str">
        <f t="shared" si="831"/>
        <v>PRBDP'!</v>
      </c>
      <c r="F3496" s="34" t="str">
        <f t="shared" si="832"/>
        <v>C:\Users\jaime.benazar\Quorum Business Solutions\Ecopetrol Prometeo - Documents\Planning Space Implementation\3. Analysis &amp; Design\Design\FC22\DRR Jaime\QUIFA-CAJÚA\Cajua\[CAJUA_CF_SEC_New_27-Feb-2024Rev3.xlsx]D-PRBDP'!</v>
      </c>
      <c r="G3496" s="32" t="s">
        <v>111</v>
      </c>
      <c r="H3496" s="33">
        <f t="shared" si="827"/>
        <v>48</v>
      </c>
      <c r="I3496" s="33" t="str">
        <f t="shared" si="823"/>
        <v>='C:\Users\jaime.benazar\Quorum Business Solutions\Ecopetrol Prometeo - Documents\Planning Space Implementation\3. Analysis &amp; Design\Design\FC22\DRR Jaime\QUIFA-CAJÚA\Cajua\[CAJUA_CF_SEC_New_27-Feb-2024Rev3.xlsx]D-PRBDP'!$BE$48</v>
      </c>
      <c r="J3496" s="37" t="s">
        <v>3627</v>
      </c>
    </row>
    <row r="3497" spans="1:10" x14ac:dyDescent="0.25">
      <c r="A3497" s="32" t="s">
        <v>28</v>
      </c>
      <c r="B3497" s="32"/>
      <c r="C3497" s="33" t="s">
        <v>49</v>
      </c>
      <c r="D3497" s="34"/>
      <c r="E3497" s="35"/>
      <c r="F3497" s="34"/>
      <c r="G3497" s="32"/>
      <c r="H3497" s="33"/>
      <c r="I3497" s="33"/>
      <c r="J3497" s="36"/>
    </row>
    <row r="3498" spans="1:10" x14ac:dyDescent="0.25">
      <c r="A3498" s="32" t="s">
        <v>100</v>
      </c>
      <c r="B3498" s="32">
        <v>2023</v>
      </c>
      <c r="C3498" s="33" t="s">
        <v>49</v>
      </c>
      <c r="D3498" s="34" t="s">
        <v>1999</v>
      </c>
      <c r="E3498" s="35" t="str">
        <f t="shared" ref="E3498:E3518" si="834">_xlfn.CONCAT(A3498,"'!")</f>
        <v>PRBNP'!</v>
      </c>
      <c r="F3498" s="34" t="str">
        <f t="shared" ref="F3498:F3518" si="835">_xlfn.CONCAT(D3498:E3498)</f>
        <v>C:\Users\jaime.benazar\Quorum Business Solutions\Ecopetrol Prometeo - Documents\Planning Space Implementation\3. Analysis &amp; Design\Design\FC22\DRR Jaime\QUIFA-CAJÚA\Cajua\[CAJUA_CF_SEC_New_27-Feb-2024Rev3.xlsx]D-PRBNP'!</v>
      </c>
      <c r="G3498" s="32" t="s">
        <v>111</v>
      </c>
      <c r="H3498" s="33">
        <f>IF(A3498&lt;&gt;A3482,12,H3482+1)</f>
        <v>12</v>
      </c>
      <c r="I3498" s="33" t="str">
        <f t="shared" ref="I3498:I3534" si="836">_xlfn.CONCAT("='",F3498:H3498)</f>
        <v>='C:\Users\jaime.benazar\Quorum Business Solutions\Ecopetrol Prometeo - Documents\Planning Space Implementation\3. Analysis &amp; Design\Design\FC22\DRR Jaime\QUIFA-CAJÚA\Cajua\[CAJUA_CF_SEC_New_27-Feb-2024Rev3.xlsx]D-PRBNP'!$BE$12</v>
      </c>
      <c r="J3498" s="37" t="s">
        <v>3628</v>
      </c>
    </row>
    <row r="3499" spans="1:10" x14ac:dyDescent="0.25">
      <c r="A3499" s="32" t="s">
        <v>100</v>
      </c>
      <c r="B3499" s="32">
        <f>+B3498+1</f>
        <v>2024</v>
      </c>
      <c r="C3499" s="33" t="s">
        <v>49</v>
      </c>
      <c r="D3499" s="34" t="s">
        <v>1999</v>
      </c>
      <c r="E3499" s="35" t="str">
        <f t="shared" si="834"/>
        <v>PRBNP'!</v>
      </c>
      <c r="F3499" s="34" t="str">
        <f t="shared" si="835"/>
        <v>C:\Users\jaime.benazar\Quorum Business Solutions\Ecopetrol Prometeo - Documents\Planning Space Implementation\3. Analysis &amp; Design\Design\FC22\DRR Jaime\QUIFA-CAJÚA\Cajua\[CAJUA_CF_SEC_New_27-Feb-2024Rev3.xlsx]D-PRBNP'!</v>
      </c>
      <c r="G3499" s="32" t="s">
        <v>111</v>
      </c>
      <c r="H3499" s="33">
        <f t="shared" ref="H3499:H3534" si="837">IF(A3499&lt;&gt;A3498,36,H3498+1)</f>
        <v>13</v>
      </c>
      <c r="I3499" s="33" t="str">
        <f t="shared" si="836"/>
        <v>='C:\Users\jaime.benazar\Quorum Business Solutions\Ecopetrol Prometeo - Documents\Planning Space Implementation\3. Analysis &amp; Design\Design\FC22\DRR Jaime\QUIFA-CAJÚA\Cajua\[CAJUA_CF_SEC_New_27-Feb-2024Rev3.xlsx]D-PRBNP'!$BE$13</v>
      </c>
      <c r="J3499" s="37" t="s">
        <v>3629</v>
      </c>
    </row>
    <row r="3500" spans="1:10" x14ac:dyDescent="0.25">
      <c r="A3500" s="32" t="s">
        <v>100</v>
      </c>
      <c r="B3500" s="32">
        <f t="shared" ref="B3500:B3511" si="838">+B3499+1</f>
        <v>2025</v>
      </c>
      <c r="C3500" s="33" t="s">
        <v>49</v>
      </c>
      <c r="D3500" s="34" t="s">
        <v>1999</v>
      </c>
      <c r="E3500" s="35" t="str">
        <f t="shared" si="834"/>
        <v>PRBNP'!</v>
      </c>
      <c r="F3500" s="34" t="str">
        <f t="shared" si="835"/>
        <v>C:\Users\jaime.benazar\Quorum Business Solutions\Ecopetrol Prometeo - Documents\Planning Space Implementation\3. Analysis &amp; Design\Design\FC22\DRR Jaime\QUIFA-CAJÚA\Cajua\[CAJUA_CF_SEC_New_27-Feb-2024Rev3.xlsx]D-PRBNP'!</v>
      </c>
      <c r="G3500" s="32" t="s">
        <v>111</v>
      </c>
      <c r="H3500" s="33">
        <f t="shared" si="837"/>
        <v>14</v>
      </c>
      <c r="I3500" s="33" t="str">
        <f t="shared" si="836"/>
        <v>='C:\Users\jaime.benazar\Quorum Business Solutions\Ecopetrol Prometeo - Documents\Planning Space Implementation\3. Analysis &amp; Design\Design\FC22\DRR Jaime\QUIFA-CAJÚA\Cajua\[CAJUA_CF_SEC_New_27-Feb-2024Rev3.xlsx]D-PRBNP'!$BE$14</v>
      </c>
      <c r="J3500" s="37" t="s">
        <v>3630</v>
      </c>
    </row>
    <row r="3501" spans="1:10" x14ac:dyDescent="0.25">
      <c r="A3501" s="32" t="s">
        <v>100</v>
      </c>
      <c r="B3501" s="32">
        <f t="shared" si="838"/>
        <v>2026</v>
      </c>
      <c r="C3501" s="33" t="s">
        <v>49</v>
      </c>
      <c r="D3501" s="34" t="s">
        <v>1999</v>
      </c>
      <c r="E3501" s="35" t="str">
        <f t="shared" si="834"/>
        <v>PRBNP'!</v>
      </c>
      <c r="F3501" s="34" t="str">
        <f t="shared" si="835"/>
        <v>C:\Users\jaime.benazar\Quorum Business Solutions\Ecopetrol Prometeo - Documents\Planning Space Implementation\3. Analysis &amp; Design\Design\FC22\DRR Jaime\QUIFA-CAJÚA\Cajua\[CAJUA_CF_SEC_New_27-Feb-2024Rev3.xlsx]D-PRBNP'!</v>
      </c>
      <c r="G3501" s="32" t="s">
        <v>111</v>
      </c>
      <c r="H3501" s="33">
        <f t="shared" si="837"/>
        <v>15</v>
      </c>
      <c r="I3501" s="33" t="str">
        <f t="shared" si="836"/>
        <v>='C:\Users\jaime.benazar\Quorum Business Solutions\Ecopetrol Prometeo - Documents\Planning Space Implementation\3. Analysis &amp; Design\Design\FC22\DRR Jaime\QUIFA-CAJÚA\Cajua\[CAJUA_CF_SEC_New_27-Feb-2024Rev3.xlsx]D-PRBNP'!$BE$15</v>
      </c>
      <c r="J3501" s="37" t="s">
        <v>3631</v>
      </c>
    </row>
    <row r="3502" spans="1:10" x14ac:dyDescent="0.25">
      <c r="A3502" s="32" t="s">
        <v>100</v>
      </c>
      <c r="B3502" s="32">
        <f t="shared" si="838"/>
        <v>2027</v>
      </c>
      <c r="C3502" s="33" t="s">
        <v>49</v>
      </c>
      <c r="D3502" s="34" t="s">
        <v>1999</v>
      </c>
      <c r="E3502" s="35" t="str">
        <f t="shared" si="834"/>
        <v>PRBNP'!</v>
      </c>
      <c r="F3502" s="34" t="str">
        <f t="shared" si="835"/>
        <v>C:\Users\jaime.benazar\Quorum Business Solutions\Ecopetrol Prometeo - Documents\Planning Space Implementation\3. Analysis &amp; Design\Design\FC22\DRR Jaime\QUIFA-CAJÚA\Cajua\[CAJUA_CF_SEC_New_27-Feb-2024Rev3.xlsx]D-PRBNP'!</v>
      </c>
      <c r="G3502" s="32" t="s">
        <v>111</v>
      </c>
      <c r="H3502" s="33">
        <f t="shared" si="837"/>
        <v>16</v>
      </c>
      <c r="I3502" s="33" t="str">
        <f t="shared" si="836"/>
        <v>='C:\Users\jaime.benazar\Quorum Business Solutions\Ecopetrol Prometeo - Documents\Planning Space Implementation\3. Analysis &amp; Design\Design\FC22\DRR Jaime\QUIFA-CAJÚA\Cajua\[CAJUA_CF_SEC_New_27-Feb-2024Rev3.xlsx]D-PRBNP'!$BE$16</v>
      </c>
      <c r="J3502" s="37" t="s">
        <v>3632</v>
      </c>
    </row>
    <row r="3503" spans="1:10" x14ac:dyDescent="0.25">
      <c r="A3503" s="32" t="s">
        <v>100</v>
      </c>
      <c r="B3503" s="32">
        <f t="shared" si="838"/>
        <v>2028</v>
      </c>
      <c r="C3503" s="33" t="s">
        <v>49</v>
      </c>
      <c r="D3503" s="34" t="s">
        <v>1999</v>
      </c>
      <c r="E3503" s="35" t="str">
        <f t="shared" si="834"/>
        <v>PRBNP'!</v>
      </c>
      <c r="F3503" s="34" t="str">
        <f t="shared" si="835"/>
        <v>C:\Users\jaime.benazar\Quorum Business Solutions\Ecopetrol Prometeo - Documents\Planning Space Implementation\3. Analysis &amp; Design\Design\FC22\DRR Jaime\QUIFA-CAJÚA\Cajua\[CAJUA_CF_SEC_New_27-Feb-2024Rev3.xlsx]D-PRBNP'!</v>
      </c>
      <c r="G3503" s="32" t="s">
        <v>111</v>
      </c>
      <c r="H3503" s="33">
        <f t="shared" si="837"/>
        <v>17</v>
      </c>
      <c r="I3503" s="33" t="str">
        <f t="shared" si="836"/>
        <v>='C:\Users\jaime.benazar\Quorum Business Solutions\Ecopetrol Prometeo - Documents\Planning Space Implementation\3. Analysis &amp; Design\Design\FC22\DRR Jaime\QUIFA-CAJÚA\Cajua\[CAJUA_CF_SEC_New_27-Feb-2024Rev3.xlsx]D-PRBNP'!$BE$17</v>
      </c>
      <c r="J3503" s="37" t="s">
        <v>3633</v>
      </c>
    </row>
    <row r="3504" spans="1:10" x14ac:dyDescent="0.25">
      <c r="A3504" s="32" t="s">
        <v>100</v>
      </c>
      <c r="B3504" s="32">
        <f t="shared" si="838"/>
        <v>2029</v>
      </c>
      <c r="C3504" s="33" t="s">
        <v>49</v>
      </c>
      <c r="D3504" s="34" t="s">
        <v>1999</v>
      </c>
      <c r="E3504" s="35" t="str">
        <f t="shared" si="834"/>
        <v>PRBNP'!</v>
      </c>
      <c r="F3504" s="34" t="str">
        <f t="shared" si="835"/>
        <v>C:\Users\jaime.benazar\Quorum Business Solutions\Ecopetrol Prometeo - Documents\Planning Space Implementation\3. Analysis &amp; Design\Design\FC22\DRR Jaime\QUIFA-CAJÚA\Cajua\[CAJUA_CF_SEC_New_27-Feb-2024Rev3.xlsx]D-PRBNP'!</v>
      </c>
      <c r="G3504" s="32" t="s">
        <v>111</v>
      </c>
      <c r="H3504" s="33">
        <f t="shared" si="837"/>
        <v>18</v>
      </c>
      <c r="I3504" s="33" t="str">
        <f t="shared" si="836"/>
        <v>='C:\Users\jaime.benazar\Quorum Business Solutions\Ecopetrol Prometeo - Documents\Planning Space Implementation\3. Analysis &amp; Design\Design\FC22\DRR Jaime\QUIFA-CAJÚA\Cajua\[CAJUA_CF_SEC_New_27-Feb-2024Rev3.xlsx]D-PRBNP'!$BE$18</v>
      </c>
      <c r="J3504" s="37" t="s">
        <v>3634</v>
      </c>
    </row>
    <row r="3505" spans="1:10" x14ac:dyDescent="0.25">
      <c r="A3505" s="32" t="s">
        <v>100</v>
      </c>
      <c r="B3505" s="32">
        <f t="shared" si="838"/>
        <v>2030</v>
      </c>
      <c r="C3505" s="33" t="s">
        <v>49</v>
      </c>
      <c r="D3505" s="34" t="s">
        <v>1999</v>
      </c>
      <c r="E3505" s="35" t="str">
        <f t="shared" si="834"/>
        <v>PRBNP'!</v>
      </c>
      <c r="F3505" s="34" t="str">
        <f t="shared" si="835"/>
        <v>C:\Users\jaime.benazar\Quorum Business Solutions\Ecopetrol Prometeo - Documents\Planning Space Implementation\3. Analysis &amp; Design\Design\FC22\DRR Jaime\QUIFA-CAJÚA\Cajua\[CAJUA_CF_SEC_New_27-Feb-2024Rev3.xlsx]D-PRBNP'!</v>
      </c>
      <c r="G3505" s="32" t="s">
        <v>111</v>
      </c>
      <c r="H3505" s="33">
        <f t="shared" si="837"/>
        <v>19</v>
      </c>
      <c r="I3505" s="33" t="str">
        <f t="shared" si="836"/>
        <v>='C:\Users\jaime.benazar\Quorum Business Solutions\Ecopetrol Prometeo - Documents\Planning Space Implementation\3. Analysis &amp; Design\Design\FC22\DRR Jaime\QUIFA-CAJÚA\Cajua\[CAJUA_CF_SEC_New_27-Feb-2024Rev3.xlsx]D-PRBNP'!$BE$19</v>
      </c>
      <c r="J3505" s="37" t="s">
        <v>3635</v>
      </c>
    </row>
    <row r="3506" spans="1:10" x14ac:dyDescent="0.25">
      <c r="A3506" s="32" t="s">
        <v>100</v>
      </c>
      <c r="B3506" s="32">
        <f t="shared" si="838"/>
        <v>2031</v>
      </c>
      <c r="C3506" s="33" t="s">
        <v>49</v>
      </c>
      <c r="D3506" s="34" t="s">
        <v>1999</v>
      </c>
      <c r="E3506" s="35" t="str">
        <f t="shared" si="834"/>
        <v>PRBNP'!</v>
      </c>
      <c r="F3506" s="34" t="str">
        <f t="shared" si="835"/>
        <v>C:\Users\jaime.benazar\Quorum Business Solutions\Ecopetrol Prometeo - Documents\Planning Space Implementation\3. Analysis &amp; Design\Design\FC22\DRR Jaime\QUIFA-CAJÚA\Cajua\[CAJUA_CF_SEC_New_27-Feb-2024Rev3.xlsx]D-PRBNP'!</v>
      </c>
      <c r="G3506" s="32" t="s">
        <v>111</v>
      </c>
      <c r="H3506" s="33">
        <f t="shared" si="837"/>
        <v>20</v>
      </c>
      <c r="I3506" s="33" t="str">
        <f t="shared" si="836"/>
        <v>='C:\Users\jaime.benazar\Quorum Business Solutions\Ecopetrol Prometeo - Documents\Planning Space Implementation\3. Analysis &amp; Design\Design\FC22\DRR Jaime\QUIFA-CAJÚA\Cajua\[CAJUA_CF_SEC_New_27-Feb-2024Rev3.xlsx]D-PRBNP'!$BE$20</v>
      </c>
      <c r="J3506" s="37" t="s">
        <v>3636</v>
      </c>
    </row>
    <row r="3507" spans="1:10" x14ac:dyDescent="0.25">
      <c r="A3507" s="32" t="s">
        <v>100</v>
      </c>
      <c r="B3507" s="32">
        <f t="shared" si="838"/>
        <v>2032</v>
      </c>
      <c r="C3507" s="33" t="s">
        <v>49</v>
      </c>
      <c r="D3507" s="34" t="s">
        <v>1999</v>
      </c>
      <c r="E3507" s="35" t="str">
        <f t="shared" si="834"/>
        <v>PRBNP'!</v>
      </c>
      <c r="F3507" s="34" t="str">
        <f t="shared" si="835"/>
        <v>C:\Users\jaime.benazar\Quorum Business Solutions\Ecopetrol Prometeo - Documents\Planning Space Implementation\3. Analysis &amp; Design\Design\FC22\DRR Jaime\QUIFA-CAJÚA\Cajua\[CAJUA_CF_SEC_New_27-Feb-2024Rev3.xlsx]D-PRBNP'!</v>
      </c>
      <c r="G3507" s="32" t="s">
        <v>111</v>
      </c>
      <c r="H3507" s="33">
        <f t="shared" si="837"/>
        <v>21</v>
      </c>
      <c r="I3507" s="33" t="str">
        <f t="shared" si="836"/>
        <v>='C:\Users\jaime.benazar\Quorum Business Solutions\Ecopetrol Prometeo - Documents\Planning Space Implementation\3. Analysis &amp; Design\Design\FC22\DRR Jaime\QUIFA-CAJÚA\Cajua\[CAJUA_CF_SEC_New_27-Feb-2024Rev3.xlsx]D-PRBNP'!$BE$21</v>
      </c>
      <c r="J3507" s="37" t="s">
        <v>3637</v>
      </c>
    </row>
    <row r="3508" spans="1:10" x14ac:dyDescent="0.25">
      <c r="A3508" s="32" t="s">
        <v>100</v>
      </c>
      <c r="B3508" s="32">
        <f t="shared" si="838"/>
        <v>2033</v>
      </c>
      <c r="C3508" s="33" t="s">
        <v>49</v>
      </c>
      <c r="D3508" s="34" t="s">
        <v>1999</v>
      </c>
      <c r="E3508" s="35" t="str">
        <f t="shared" si="834"/>
        <v>PRBNP'!</v>
      </c>
      <c r="F3508" s="34" t="str">
        <f t="shared" si="835"/>
        <v>C:\Users\jaime.benazar\Quorum Business Solutions\Ecopetrol Prometeo - Documents\Planning Space Implementation\3. Analysis &amp; Design\Design\FC22\DRR Jaime\QUIFA-CAJÚA\Cajua\[CAJUA_CF_SEC_New_27-Feb-2024Rev3.xlsx]D-PRBNP'!</v>
      </c>
      <c r="G3508" s="32" t="s">
        <v>111</v>
      </c>
      <c r="H3508" s="33">
        <f t="shared" si="837"/>
        <v>22</v>
      </c>
      <c r="I3508" s="33" t="str">
        <f t="shared" si="836"/>
        <v>='C:\Users\jaime.benazar\Quorum Business Solutions\Ecopetrol Prometeo - Documents\Planning Space Implementation\3. Analysis &amp; Design\Design\FC22\DRR Jaime\QUIFA-CAJÚA\Cajua\[CAJUA_CF_SEC_New_27-Feb-2024Rev3.xlsx]D-PRBNP'!$BE$22</v>
      </c>
      <c r="J3508" s="37" t="s">
        <v>3638</v>
      </c>
    </row>
    <row r="3509" spans="1:10" x14ac:dyDescent="0.25">
      <c r="A3509" s="32" t="s">
        <v>100</v>
      </c>
      <c r="B3509" s="32">
        <f t="shared" si="838"/>
        <v>2034</v>
      </c>
      <c r="C3509" s="33" t="s">
        <v>49</v>
      </c>
      <c r="D3509" s="34" t="s">
        <v>1999</v>
      </c>
      <c r="E3509" s="35" t="str">
        <f t="shared" si="834"/>
        <v>PRBNP'!</v>
      </c>
      <c r="F3509" s="34" t="str">
        <f t="shared" si="835"/>
        <v>C:\Users\jaime.benazar\Quorum Business Solutions\Ecopetrol Prometeo - Documents\Planning Space Implementation\3. Analysis &amp; Design\Design\FC22\DRR Jaime\QUIFA-CAJÚA\Cajua\[CAJUA_CF_SEC_New_27-Feb-2024Rev3.xlsx]D-PRBNP'!</v>
      </c>
      <c r="G3509" s="32" t="s">
        <v>111</v>
      </c>
      <c r="H3509" s="33">
        <f t="shared" si="837"/>
        <v>23</v>
      </c>
      <c r="I3509" s="33" t="str">
        <f t="shared" si="836"/>
        <v>='C:\Users\jaime.benazar\Quorum Business Solutions\Ecopetrol Prometeo - Documents\Planning Space Implementation\3. Analysis &amp; Design\Design\FC22\DRR Jaime\QUIFA-CAJÚA\Cajua\[CAJUA_CF_SEC_New_27-Feb-2024Rev3.xlsx]D-PRBNP'!$BE$23</v>
      </c>
      <c r="J3509" s="37" t="s">
        <v>3639</v>
      </c>
    </row>
    <row r="3510" spans="1:10" x14ac:dyDescent="0.25">
      <c r="A3510" s="32" t="s">
        <v>100</v>
      </c>
      <c r="B3510" s="32">
        <f t="shared" si="838"/>
        <v>2035</v>
      </c>
      <c r="C3510" s="33" t="s">
        <v>49</v>
      </c>
      <c r="D3510" s="34" t="s">
        <v>1999</v>
      </c>
      <c r="E3510" s="35" t="str">
        <f t="shared" si="834"/>
        <v>PRBNP'!</v>
      </c>
      <c r="F3510" s="34" t="str">
        <f t="shared" si="835"/>
        <v>C:\Users\jaime.benazar\Quorum Business Solutions\Ecopetrol Prometeo - Documents\Planning Space Implementation\3. Analysis &amp; Design\Design\FC22\DRR Jaime\QUIFA-CAJÚA\Cajua\[CAJUA_CF_SEC_New_27-Feb-2024Rev3.xlsx]D-PRBNP'!</v>
      </c>
      <c r="G3510" s="32" t="s">
        <v>111</v>
      </c>
      <c r="H3510" s="33">
        <f t="shared" si="837"/>
        <v>24</v>
      </c>
      <c r="I3510" s="33" t="str">
        <f t="shared" si="836"/>
        <v>='C:\Users\jaime.benazar\Quorum Business Solutions\Ecopetrol Prometeo - Documents\Planning Space Implementation\3. Analysis &amp; Design\Design\FC22\DRR Jaime\QUIFA-CAJÚA\Cajua\[CAJUA_CF_SEC_New_27-Feb-2024Rev3.xlsx]D-PRBNP'!$BE$24</v>
      </c>
      <c r="J3510" s="37" t="s">
        <v>3640</v>
      </c>
    </row>
    <row r="3511" spans="1:10" x14ac:dyDescent="0.25">
      <c r="A3511" s="32" t="s">
        <v>100</v>
      </c>
      <c r="B3511" s="32">
        <f t="shared" si="838"/>
        <v>2036</v>
      </c>
      <c r="C3511" s="33" t="s">
        <v>49</v>
      </c>
      <c r="D3511" s="34" t="s">
        <v>1999</v>
      </c>
      <c r="E3511" s="35" t="str">
        <f t="shared" si="834"/>
        <v>PRBNP'!</v>
      </c>
      <c r="F3511" s="34" t="str">
        <f t="shared" si="835"/>
        <v>C:\Users\jaime.benazar\Quorum Business Solutions\Ecopetrol Prometeo - Documents\Planning Space Implementation\3. Analysis &amp; Design\Design\FC22\DRR Jaime\QUIFA-CAJÚA\Cajua\[CAJUA_CF_SEC_New_27-Feb-2024Rev3.xlsx]D-PRBNP'!</v>
      </c>
      <c r="G3511" s="32" t="s">
        <v>111</v>
      </c>
      <c r="H3511" s="33">
        <f t="shared" si="837"/>
        <v>25</v>
      </c>
      <c r="I3511" s="33" t="str">
        <f t="shared" si="836"/>
        <v>='C:\Users\jaime.benazar\Quorum Business Solutions\Ecopetrol Prometeo - Documents\Planning Space Implementation\3. Analysis &amp; Design\Design\FC22\DRR Jaime\QUIFA-CAJÚA\Cajua\[CAJUA_CF_SEC_New_27-Feb-2024Rev3.xlsx]D-PRBNP'!$BE$25</v>
      </c>
      <c r="J3511" s="37" t="s">
        <v>3641</v>
      </c>
    </row>
    <row r="3512" spans="1:10" x14ac:dyDescent="0.25">
      <c r="A3512" s="32" t="s">
        <v>100</v>
      </c>
      <c r="B3512" s="32">
        <f>+B3511+1</f>
        <v>2037</v>
      </c>
      <c r="C3512" s="33" t="s">
        <v>49</v>
      </c>
      <c r="D3512" s="34" t="s">
        <v>1999</v>
      </c>
      <c r="E3512" s="35" t="str">
        <f t="shared" si="834"/>
        <v>PRBNP'!</v>
      </c>
      <c r="F3512" s="34" t="str">
        <f t="shared" si="835"/>
        <v>C:\Users\jaime.benazar\Quorum Business Solutions\Ecopetrol Prometeo - Documents\Planning Space Implementation\3. Analysis &amp; Design\Design\FC22\DRR Jaime\QUIFA-CAJÚA\Cajua\[CAJUA_CF_SEC_New_27-Feb-2024Rev3.xlsx]D-PRBNP'!</v>
      </c>
      <c r="G3512" s="32" t="s">
        <v>111</v>
      </c>
      <c r="H3512" s="33">
        <f t="shared" si="837"/>
        <v>26</v>
      </c>
      <c r="I3512" s="33" t="str">
        <f t="shared" si="836"/>
        <v>='C:\Users\jaime.benazar\Quorum Business Solutions\Ecopetrol Prometeo - Documents\Planning Space Implementation\3. Analysis &amp; Design\Design\FC22\DRR Jaime\QUIFA-CAJÚA\Cajua\[CAJUA_CF_SEC_New_27-Feb-2024Rev3.xlsx]D-PRBNP'!$BE$26</v>
      </c>
      <c r="J3512" s="37" t="s">
        <v>3642</v>
      </c>
    </row>
    <row r="3513" spans="1:10" x14ac:dyDescent="0.25">
      <c r="A3513" s="32" t="s">
        <v>100</v>
      </c>
      <c r="B3513" s="32">
        <f t="shared" ref="B3513:B3515" si="839">+B3512+1</f>
        <v>2038</v>
      </c>
      <c r="C3513" s="33" t="s">
        <v>49</v>
      </c>
      <c r="D3513" s="34" t="s">
        <v>1999</v>
      </c>
      <c r="E3513" s="35" t="str">
        <f t="shared" si="834"/>
        <v>PRBNP'!</v>
      </c>
      <c r="F3513" s="34" t="str">
        <f t="shared" si="835"/>
        <v>C:\Users\jaime.benazar\Quorum Business Solutions\Ecopetrol Prometeo - Documents\Planning Space Implementation\3. Analysis &amp; Design\Design\FC22\DRR Jaime\QUIFA-CAJÚA\Cajua\[CAJUA_CF_SEC_New_27-Feb-2024Rev3.xlsx]D-PRBNP'!</v>
      </c>
      <c r="G3513" s="32" t="s">
        <v>111</v>
      </c>
      <c r="H3513" s="33">
        <f t="shared" si="837"/>
        <v>27</v>
      </c>
      <c r="I3513" s="33" t="str">
        <f t="shared" si="836"/>
        <v>='C:\Users\jaime.benazar\Quorum Business Solutions\Ecopetrol Prometeo - Documents\Planning Space Implementation\3. Analysis &amp; Design\Design\FC22\DRR Jaime\QUIFA-CAJÚA\Cajua\[CAJUA_CF_SEC_New_27-Feb-2024Rev3.xlsx]D-PRBNP'!$BE$27</v>
      </c>
      <c r="J3513" s="37" t="s">
        <v>3643</v>
      </c>
    </row>
    <row r="3514" spans="1:10" x14ac:dyDescent="0.25">
      <c r="A3514" s="32" t="s">
        <v>100</v>
      </c>
      <c r="B3514" s="32">
        <f t="shared" si="839"/>
        <v>2039</v>
      </c>
      <c r="C3514" s="33" t="s">
        <v>49</v>
      </c>
      <c r="D3514" s="34" t="s">
        <v>1999</v>
      </c>
      <c r="E3514" s="35" t="str">
        <f t="shared" si="834"/>
        <v>PRBNP'!</v>
      </c>
      <c r="F3514" s="34" t="str">
        <f t="shared" si="835"/>
        <v>C:\Users\jaime.benazar\Quorum Business Solutions\Ecopetrol Prometeo - Documents\Planning Space Implementation\3. Analysis &amp; Design\Design\FC22\DRR Jaime\QUIFA-CAJÚA\Cajua\[CAJUA_CF_SEC_New_27-Feb-2024Rev3.xlsx]D-PRBNP'!</v>
      </c>
      <c r="G3514" s="32" t="s">
        <v>111</v>
      </c>
      <c r="H3514" s="33">
        <f t="shared" si="837"/>
        <v>28</v>
      </c>
      <c r="I3514" s="33" t="str">
        <f t="shared" si="836"/>
        <v>='C:\Users\jaime.benazar\Quorum Business Solutions\Ecopetrol Prometeo - Documents\Planning Space Implementation\3. Analysis &amp; Design\Design\FC22\DRR Jaime\QUIFA-CAJÚA\Cajua\[CAJUA_CF_SEC_New_27-Feb-2024Rev3.xlsx]D-PRBNP'!$BE$28</v>
      </c>
      <c r="J3514" s="37" t="s">
        <v>3644</v>
      </c>
    </row>
    <row r="3515" spans="1:10" x14ac:dyDescent="0.25">
      <c r="A3515" s="32" t="s">
        <v>100</v>
      </c>
      <c r="B3515" s="32">
        <f t="shared" si="839"/>
        <v>2040</v>
      </c>
      <c r="C3515" s="33" t="s">
        <v>49</v>
      </c>
      <c r="D3515" s="34" t="s">
        <v>1999</v>
      </c>
      <c r="E3515" s="35" t="str">
        <f t="shared" si="834"/>
        <v>PRBNP'!</v>
      </c>
      <c r="F3515" s="34" t="str">
        <f t="shared" si="835"/>
        <v>C:\Users\jaime.benazar\Quorum Business Solutions\Ecopetrol Prometeo - Documents\Planning Space Implementation\3. Analysis &amp; Design\Design\FC22\DRR Jaime\QUIFA-CAJÚA\Cajua\[CAJUA_CF_SEC_New_27-Feb-2024Rev3.xlsx]D-PRBNP'!</v>
      </c>
      <c r="G3515" s="32" t="s">
        <v>111</v>
      </c>
      <c r="H3515" s="33">
        <f t="shared" si="837"/>
        <v>29</v>
      </c>
      <c r="I3515" s="33" t="str">
        <f t="shared" si="836"/>
        <v>='C:\Users\jaime.benazar\Quorum Business Solutions\Ecopetrol Prometeo - Documents\Planning Space Implementation\3. Analysis &amp; Design\Design\FC22\DRR Jaime\QUIFA-CAJÚA\Cajua\[CAJUA_CF_SEC_New_27-Feb-2024Rev3.xlsx]D-PRBNP'!$BE$29</v>
      </c>
      <c r="J3515" s="37" t="s">
        <v>3645</v>
      </c>
    </row>
    <row r="3516" spans="1:10" x14ac:dyDescent="0.25">
      <c r="A3516" s="32" t="s">
        <v>100</v>
      </c>
      <c r="B3516" s="32">
        <f>+B3515+1</f>
        <v>2041</v>
      </c>
      <c r="C3516" s="33" t="s">
        <v>49</v>
      </c>
      <c r="D3516" s="34" t="s">
        <v>1999</v>
      </c>
      <c r="E3516" s="35" t="str">
        <f t="shared" si="834"/>
        <v>PRBNP'!</v>
      </c>
      <c r="F3516" s="34" t="str">
        <f t="shared" si="835"/>
        <v>C:\Users\jaime.benazar\Quorum Business Solutions\Ecopetrol Prometeo - Documents\Planning Space Implementation\3. Analysis &amp; Design\Design\FC22\DRR Jaime\QUIFA-CAJÚA\Cajua\[CAJUA_CF_SEC_New_27-Feb-2024Rev3.xlsx]D-PRBNP'!</v>
      </c>
      <c r="G3516" s="32" t="s">
        <v>111</v>
      </c>
      <c r="H3516" s="33">
        <f t="shared" si="837"/>
        <v>30</v>
      </c>
      <c r="I3516" s="33" t="str">
        <f t="shared" si="836"/>
        <v>='C:\Users\jaime.benazar\Quorum Business Solutions\Ecopetrol Prometeo - Documents\Planning Space Implementation\3. Analysis &amp; Design\Design\FC22\DRR Jaime\QUIFA-CAJÚA\Cajua\[CAJUA_CF_SEC_New_27-Feb-2024Rev3.xlsx]D-PRBNP'!$BE$30</v>
      </c>
      <c r="J3516" s="37" t="s">
        <v>3646</v>
      </c>
    </row>
    <row r="3517" spans="1:10" x14ac:dyDescent="0.25">
      <c r="A3517" s="32" t="s">
        <v>100</v>
      </c>
      <c r="B3517" s="32">
        <f t="shared" ref="B3517:B3518" si="840">+B3516+1</f>
        <v>2042</v>
      </c>
      <c r="C3517" s="33" t="s">
        <v>49</v>
      </c>
      <c r="D3517" s="34" t="s">
        <v>1999</v>
      </c>
      <c r="E3517" s="35" t="str">
        <f t="shared" si="834"/>
        <v>PRBNP'!</v>
      </c>
      <c r="F3517" s="34" t="str">
        <f t="shared" si="835"/>
        <v>C:\Users\jaime.benazar\Quorum Business Solutions\Ecopetrol Prometeo - Documents\Planning Space Implementation\3. Analysis &amp; Design\Design\FC22\DRR Jaime\QUIFA-CAJÚA\Cajua\[CAJUA_CF_SEC_New_27-Feb-2024Rev3.xlsx]D-PRBNP'!</v>
      </c>
      <c r="G3517" s="32" t="s">
        <v>111</v>
      </c>
      <c r="H3517" s="33">
        <f t="shared" si="837"/>
        <v>31</v>
      </c>
      <c r="I3517" s="33" t="str">
        <f t="shared" si="836"/>
        <v>='C:\Users\jaime.benazar\Quorum Business Solutions\Ecopetrol Prometeo - Documents\Planning Space Implementation\3. Analysis &amp; Design\Design\FC22\DRR Jaime\QUIFA-CAJÚA\Cajua\[CAJUA_CF_SEC_New_27-Feb-2024Rev3.xlsx]D-PRBNP'!$BE$31</v>
      </c>
      <c r="J3517" s="37" t="s">
        <v>3647</v>
      </c>
    </row>
    <row r="3518" spans="1:10" x14ac:dyDescent="0.25">
      <c r="A3518" s="32" t="s">
        <v>100</v>
      </c>
      <c r="B3518" s="32">
        <f t="shared" si="840"/>
        <v>2043</v>
      </c>
      <c r="C3518" s="33" t="s">
        <v>49</v>
      </c>
      <c r="D3518" s="34" t="s">
        <v>1999</v>
      </c>
      <c r="E3518" s="35" t="str">
        <f t="shared" si="834"/>
        <v>PRBNP'!</v>
      </c>
      <c r="F3518" s="34" t="str">
        <f t="shared" si="835"/>
        <v>C:\Users\jaime.benazar\Quorum Business Solutions\Ecopetrol Prometeo - Documents\Planning Space Implementation\3. Analysis &amp; Design\Design\FC22\DRR Jaime\QUIFA-CAJÚA\Cajua\[CAJUA_CF_SEC_New_27-Feb-2024Rev3.xlsx]D-PRBNP'!</v>
      </c>
      <c r="G3518" s="32" t="s">
        <v>111</v>
      </c>
      <c r="H3518" s="33">
        <f t="shared" si="837"/>
        <v>32</v>
      </c>
      <c r="I3518" s="33" t="str">
        <f t="shared" si="836"/>
        <v>='C:\Users\jaime.benazar\Quorum Business Solutions\Ecopetrol Prometeo - Documents\Planning Space Implementation\3. Analysis &amp; Design\Design\FC22\DRR Jaime\QUIFA-CAJÚA\Cajua\[CAJUA_CF_SEC_New_27-Feb-2024Rev3.xlsx]D-PRBNP'!$BE$32</v>
      </c>
      <c r="J3518" s="37" t="s">
        <v>3648</v>
      </c>
    </row>
    <row r="3519" spans="1:10" x14ac:dyDescent="0.25">
      <c r="A3519" s="32" t="s">
        <v>100</v>
      </c>
      <c r="B3519" s="32">
        <f>+B3518+1</f>
        <v>2044</v>
      </c>
      <c r="C3519" s="33" t="s">
        <v>49</v>
      </c>
      <c r="D3519" s="34" t="s">
        <v>1999</v>
      </c>
      <c r="E3519" s="35" t="str">
        <f t="shared" ref="E3519:E3534" si="841">_xlfn.CONCAT(A3519,"'!")</f>
        <v>PRBNP'!</v>
      </c>
      <c r="F3519" s="34" t="str">
        <f t="shared" ref="F3519:F3534" si="842">_xlfn.CONCAT(D3519:E3519)</f>
        <v>C:\Users\jaime.benazar\Quorum Business Solutions\Ecopetrol Prometeo - Documents\Planning Space Implementation\3. Analysis &amp; Design\Design\FC22\DRR Jaime\QUIFA-CAJÚA\Cajua\[CAJUA_CF_SEC_New_27-Feb-2024Rev3.xlsx]D-PRBNP'!</v>
      </c>
      <c r="G3519" s="32" t="s">
        <v>111</v>
      </c>
      <c r="H3519" s="33">
        <f t="shared" si="837"/>
        <v>33</v>
      </c>
      <c r="I3519" s="33" t="str">
        <f t="shared" si="836"/>
        <v>='C:\Users\jaime.benazar\Quorum Business Solutions\Ecopetrol Prometeo - Documents\Planning Space Implementation\3. Analysis &amp; Design\Design\FC22\DRR Jaime\QUIFA-CAJÚA\Cajua\[CAJUA_CF_SEC_New_27-Feb-2024Rev3.xlsx]D-PRBNP'!$BE$33</v>
      </c>
      <c r="J3519" s="37" t="s">
        <v>3649</v>
      </c>
    </row>
    <row r="3520" spans="1:10" x14ac:dyDescent="0.25">
      <c r="A3520" s="32" t="s">
        <v>100</v>
      </c>
      <c r="B3520" s="32">
        <f t="shared" ref="B3520:B3534" si="843">+B3519+1</f>
        <v>2045</v>
      </c>
      <c r="C3520" s="33" t="s">
        <v>49</v>
      </c>
      <c r="D3520" s="34" t="s">
        <v>1999</v>
      </c>
      <c r="E3520" s="35" t="str">
        <f t="shared" si="841"/>
        <v>PRBNP'!</v>
      </c>
      <c r="F3520" s="34" t="str">
        <f t="shared" si="842"/>
        <v>C:\Users\jaime.benazar\Quorum Business Solutions\Ecopetrol Prometeo - Documents\Planning Space Implementation\3. Analysis &amp; Design\Design\FC22\DRR Jaime\QUIFA-CAJÚA\Cajua\[CAJUA_CF_SEC_New_27-Feb-2024Rev3.xlsx]D-PRBNP'!</v>
      </c>
      <c r="G3520" s="32" t="s">
        <v>111</v>
      </c>
      <c r="H3520" s="33">
        <f t="shared" si="837"/>
        <v>34</v>
      </c>
      <c r="I3520" s="33" t="str">
        <f t="shared" si="836"/>
        <v>='C:\Users\jaime.benazar\Quorum Business Solutions\Ecopetrol Prometeo - Documents\Planning Space Implementation\3. Analysis &amp; Design\Design\FC22\DRR Jaime\QUIFA-CAJÚA\Cajua\[CAJUA_CF_SEC_New_27-Feb-2024Rev3.xlsx]D-PRBNP'!$BE$34</v>
      </c>
      <c r="J3520" s="37" t="s">
        <v>3650</v>
      </c>
    </row>
    <row r="3521" spans="1:10" x14ac:dyDescent="0.25">
      <c r="A3521" s="32" t="s">
        <v>100</v>
      </c>
      <c r="B3521" s="32">
        <f t="shared" si="843"/>
        <v>2046</v>
      </c>
      <c r="C3521" s="33" t="s">
        <v>49</v>
      </c>
      <c r="D3521" s="34" t="s">
        <v>1999</v>
      </c>
      <c r="E3521" s="35" t="str">
        <f t="shared" si="841"/>
        <v>PRBNP'!</v>
      </c>
      <c r="F3521" s="34" t="str">
        <f t="shared" si="842"/>
        <v>C:\Users\jaime.benazar\Quorum Business Solutions\Ecopetrol Prometeo - Documents\Planning Space Implementation\3. Analysis &amp; Design\Design\FC22\DRR Jaime\QUIFA-CAJÚA\Cajua\[CAJUA_CF_SEC_New_27-Feb-2024Rev3.xlsx]D-PRBNP'!</v>
      </c>
      <c r="G3521" s="32" t="s">
        <v>111</v>
      </c>
      <c r="H3521" s="33">
        <f t="shared" si="837"/>
        <v>35</v>
      </c>
      <c r="I3521" s="33" t="str">
        <f t="shared" si="836"/>
        <v>='C:\Users\jaime.benazar\Quorum Business Solutions\Ecopetrol Prometeo - Documents\Planning Space Implementation\3. Analysis &amp; Design\Design\FC22\DRR Jaime\QUIFA-CAJÚA\Cajua\[CAJUA_CF_SEC_New_27-Feb-2024Rev3.xlsx]D-PRBNP'!$BE$35</v>
      </c>
      <c r="J3521" s="37" t="s">
        <v>3651</v>
      </c>
    </row>
    <row r="3522" spans="1:10" x14ac:dyDescent="0.25">
      <c r="A3522" s="32" t="s">
        <v>100</v>
      </c>
      <c r="B3522" s="32">
        <f t="shared" si="843"/>
        <v>2047</v>
      </c>
      <c r="C3522" s="33" t="s">
        <v>49</v>
      </c>
      <c r="D3522" s="34" t="s">
        <v>1999</v>
      </c>
      <c r="E3522" s="35" t="str">
        <f t="shared" si="841"/>
        <v>PRBNP'!</v>
      </c>
      <c r="F3522" s="34" t="str">
        <f t="shared" si="842"/>
        <v>C:\Users\jaime.benazar\Quorum Business Solutions\Ecopetrol Prometeo - Documents\Planning Space Implementation\3. Analysis &amp; Design\Design\FC22\DRR Jaime\QUIFA-CAJÚA\Cajua\[CAJUA_CF_SEC_New_27-Feb-2024Rev3.xlsx]D-PRBNP'!</v>
      </c>
      <c r="G3522" s="32" t="s">
        <v>111</v>
      </c>
      <c r="H3522" s="33">
        <f t="shared" si="837"/>
        <v>36</v>
      </c>
      <c r="I3522" s="33" t="str">
        <f t="shared" si="836"/>
        <v>='C:\Users\jaime.benazar\Quorum Business Solutions\Ecopetrol Prometeo - Documents\Planning Space Implementation\3. Analysis &amp; Design\Design\FC22\DRR Jaime\QUIFA-CAJÚA\Cajua\[CAJUA_CF_SEC_New_27-Feb-2024Rev3.xlsx]D-PRBNP'!$BE$36</v>
      </c>
      <c r="J3522" s="37" t="s">
        <v>3652</v>
      </c>
    </row>
    <row r="3523" spans="1:10" x14ac:dyDescent="0.25">
      <c r="A3523" s="32" t="s">
        <v>100</v>
      </c>
      <c r="B3523" s="32">
        <f t="shared" si="843"/>
        <v>2048</v>
      </c>
      <c r="C3523" s="33" t="s">
        <v>49</v>
      </c>
      <c r="D3523" s="34" t="s">
        <v>1999</v>
      </c>
      <c r="E3523" s="35" t="str">
        <f t="shared" si="841"/>
        <v>PRBNP'!</v>
      </c>
      <c r="F3523" s="34" t="str">
        <f t="shared" si="842"/>
        <v>C:\Users\jaime.benazar\Quorum Business Solutions\Ecopetrol Prometeo - Documents\Planning Space Implementation\3. Analysis &amp; Design\Design\FC22\DRR Jaime\QUIFA-CAJÚA\Cajua\[CAJUA_CF_SEC_New_27-Feb-2024Rev3.xlsx]D-PRBNP'!</v>
      </c>
      <c r="G3523" s="32" t="s">
        <v>111</v>
      </c>
      <c r="H3523" s="33">
        <f t="shared" si="837"/>
        <v>37</v>
      </c>
      <c r="I3523" s="33" t="str">
        <f t="shared" si="836"/>
        <v>='C:\Users\jaime.benazar\Quorum Business Solutions\Ecopetrol Prometeo - Documents\Planning Space Implementation\3. Analysis &amp; Design\Design\FC22\DRR Jaime\QUIFA-CAJÚA\Cajua\[CAJUA_CF_SEC_New_27-Feb-2024Rev3.xlsx]D-PRBNP'!$BE$37</v>
      </c>
      <c r="J3523" s="37" t="s">
        <v>3653</v>
      </c>
    </row>
    <row r="3524" spans="1:10" x14ac:dyDescent="0.25">
      <c r="A3524" s="32" t="s">
        <v>100</v>
      </c>
      <c r="B3524" s="32">
        <f t="shared" si="843"/>
        <v>2049</v>
      </c>
      <c r="C3524" s="33" t="s">
        <v>49</v>
      </c>
      <c r="D3524" s="34" t="s">
        <v>1999</v>
      </c>
      <c r="E3524" s="35" t="str">
        <f t="shared" si="841"/>
        <v>PRBNP'!</v>
      </c>
      <c r="F3524" s="34" t="str">
        <f t="shared" si="842"/>
        <v>C:\Users\jaime.benazar\Quorum Business Solutions\Ecopetrol Prometeo - Documents\Planning Space Implementation\3. Analysis &amp; Design\Design\FC22\DRR Jaime\QUIFA-CAJÚA\Cajua\[CAJUA_CF_SEC_New_27-Feb-2024Rev3.xlsx]D-PRBNP'!</v>
      </c>
      <c r="G3524" s="32" t="s">
        <v>111</v>
      </c>
      <c r="H3524" s="33">
        <f t="shared" si="837"/>
        <v>38</v>
      </c>
      <c r="I3524" s="33" t="str">
        <f t="shared" si="836"/>
        <v>='C:\Users\jaime.benazar\Quorum Business Solutions\Ecopetrol Prometeo - Documents\Planning Space Implementation\3. Analysis &amp; Design\Design\FC22\DRR Jaime\QUIFA-CAJÚA\Cajua\[CAJUA_CF_SEC_New_27-Feb-2024Rev3.xlsx]D-PRBNP'!$BE$38</v>
      </c>
      <c r="J3524" s="37" t="s">
        <v>3654</v>
      </c>
    </row>
    <row r="3525" spans="1:10" x14ac:dyDescent="0.25">
      <c r="A3525" s="32" t="s">
        <v>100</v>
      </c>
      <c r="B3525" s="32">
        <f t="shared" si="843"/>
        <v>2050</v>
      </c>
      <c r="C3525" s="33" t="s">
        <v>49</v>
      </c>
      <c r="D3525" s="34" t="s">
        <v>1999</v>
      </c>
      <c r="E3525" s="35" t="str">
        <f t="shared" si="841"/>
        <v>PRBNP'!</v>
      </c>
      <c r="F3525" s="34" t="str">
        <f t="shared" si="842"/>
        <v>C:\Users\jaime.benazar\Quorum Business Solutions\Ecopetrol Prometeo - Documents\Planning Space Implementation\3. Analysis &amp; Design\Design\FC22\DRR Jaime\QUIFA-CAJÚA\Cajua\[CAJUA_CF_SEC_New_27-Feb-2024Rev3.xlsx]D-PRBNP'!</v>
      </c>
      <c r="G3525" s="32" t="s">
        <v>111</v>
      </c>
      <c r="H3525" s="33">
        <f t="shared" si="837"/>
        <v>39</v>
      </c>
      <c r="I3525" s="33" t="str">
        <f t="shared" si="836"/>
        <v>='C:\Users\jaime.benazar\Quorum Business Solutions\Ecopetrol Prometeo - Documents\Planning Space Implementation\3. Analysis &amp; Design\Design\FC22\DRR Jaime\QUIFA-CAJÚA\Cajua\[CAJUA_CF_SEC_New_27-Feb-2024Rev3.xlsx]D-PRBNP'!$BE$39</v>
      </c>
      <c r="J3525" s="37" t="s">
        <v>3655</v>
      </c>
    </row>
    <row r="3526" spans="1:10" x14ac:dyDescent="0.25">
      <c r="A3526" s="32" t="s">
        <v>100</v>
      </c>
      <c r="B3526" s="32">
        <f t="shared" si="843"/>
        <v>2051</v>
      </c>
      <c r="C3526" s="33" t="s">
        <v>49</v>
      </c>
      <c r="D3526" s="34" t="s">
        <v>1999</v>
      </c>
      <c r="E3526" s="35" t="str">
        <f t="shared" si="841"/>
        <v>PRBNP'!</v>
      </c>
      <c r="F3526" s="34" t="str">
        <f t="shared" si="842"/>
        <v>C:\Users\jaime.benazar\Quorum Business Solutions\Ecopetrol Prometeo - Documents\Planning Space Implementation\3. Analysis &amp; Design\Design\FC22\DRR Jaime\QUIFA-CAJÚA\Cajua\[CAJUA_CF_SEC_New_27-Feb-2024Rev3.xlsx]D-PRBNP'!</v>
      </c>
      <c r="G3526" s="32" t="s">
        <v>111</v>
      </c>
      <c r="H3526" s="33">
        <f t="shared" si="837"/>
        <v>40</v>
      </c>
      <c r="I3526" s="33" t="str">
        <f t="shared" si="836"/>
        <v>='C:\Users\jaime.benazar\Quorum Business Solutions\Ecopetrol Prometeo - Documents\Planning Space Implementation\3. Analysis &amp; Design\Design\FC22\DRR Jaime\QUIFA-CAJÚA\Cajua\[CAJUA_CF_SEC_New_27-Feb-2024Rev3.xlsx]D-PRBNP'!$BE$40</v>
      </c>
      <c r="J3526" s="37" t="s">
        <v>3656</v>
      </c>
    </row>
    <row r="3527" spans="1:10" x14ac:dyDescent="0.25">
      <c r="A3527" s="32" t="s">
        <v>100</v>
      </c>
      <c r="B3527" s="32">
        <f t="shared" si="843"/>
        <v>2052</v>
      </c>
      <c r="C3527" s="33" t="s">
        <v>49</v>
      </c>
      <c r="D3527" s="34" t="s">
        <v>1999</v>
      </c>
      <c r="E3527" s="35" t="str">
        <f t="shared" si="841"/>
        <v>PRBNP'!</v>
      </c>
      <c r="F3527" s="34" t="str">
        <f t="shared" si="842"/>
        <v>C:\Users\jaime.benazar\Quorum Business Solutions\Ecopetrol Prometeo - Documents\Planning Space Implementation\3. Analysis &amp; Design\Design\FC22\DRR Jaime\QUIFA-CAJÚA\Cajua\[CAJUA_CF_SEC_New_27-Feb-2024Rev3.xlsx]D-PRBNP'!</v>
      </c>
      <c r="G3527" s="32" t="s">
        <v>111</v>
      </c>
      <c r="H3527" s="33">
        <f t="shared" si="837"/>
        <v>41</v>
      </c>
      <c r="I3527" s="33" t="str">
        <f t="shared" si="836"/>
        <v>='C:\Users\jaime.benazar\Quorum Business Solutions\Ecopetrol Prometeo - Documents\Planning Space Implementation\3. Analysis &amp; Design\Design\FC22\DRR Jaime\QUIFA-CAJÚA\Cajua\[CAJUA_CF_SEC_New_27-Feb-2024Rev3.xlsx]D-PRBNP'!$BE$41</v>
      </c>
      <c r="J3527" s="37" t="s">
        <v>3657</v>
      </c>
    </row>
    <row r="3528" spans="1:10" x14ac:dyDescent="0.25">
      <c r="A3528" s="32" t="s">
        <v>100</v>
      </c>
      <c r="B3528" s="32">
        <f t="shared" si="843"/>
        <v>2053</v>
      </c>
      <c r="C3528" s="33" t="s">
        <v>49</v>
      </c>
      <c r="D3528" s="34" t="s">
        <v>1999</v>
      </c>
      <c r="E3528" s="35" t="str">
        <f t="shared" si="841"/>
        <v>PRBNP'!</v>
      </c>
      <c r="F3528" s="34" t="str">
        <f t="shared" si="842"/>
        <v>C:\Users\jaime.benazar\Quorum Business Solutions\Ecopetrol Prometeo - Documents\Planning Space Implementation\3. Analysis &amp; Design\Design\FC22\DRR Jaime\QUIFA-CAJÚA\Cajua\[CAJUA_CF_SEC_New_27-Feb-2024Rev3.xlsx]D-PRBNP'!</v>
      </c>
      <c r="G3528" s="32" t="s">
        <v>111</v>
      </c>
      <c r="H3528" s="33">
        <f t="shared" si="837"/>
        <v>42</v>
      </c>
      <c r="I3528" s="33" t="str">
        <f t="shared" si="836"/>
        <v>='C:\Users\jaime.benazar\Quorum Business Solutions\Ecopetrol Prometeo - Documents\Planning Space Implementation\3. Analysis &amp; Design\Design\FC22\DRR Jaime\QUIFA-CAJÚA\Cajua\[CAJUA_CF_SEC_New_27-Feb-2024Rev3.xlsx]D-PRBNP'!$BE$42</v>
      </c>
      <c r="J3528" s="37" t="s">
        <v>3658</v>
      </c>
    </row>
    <row r="3529" spans="1:10" x14ac:dyDescent="0.25">
      <c r="A3529" s="32" t="s">
        <v>100</v>
      </c>
      <c r="B3529" s="32">
        <f t="shared" si="843"/>
        <v>2054</v>
      </c>
      <c r="C3529" s="33" t="s">
        <v>49</v>
      </c>
      <c r="D3529" s="34" t="s">
        <v>1999</v>
      </c>
      <c r="E3529" s="35" t="str">
        <f t="shared" si="841"/>
        <v>PRBNP'!</v>
      </c>
      <c r="F3529" s="34" t="str">
        <f t="shared" si="842"/>
        <v>C:\Users\jaime.benazar\Quorum Business Solutions\Ecopetrol Prometeo - Documents\Planning Space Implementation\3. Analysis &amp; Design\Design\FC22\DRR Jaime\QUIFA-CAJÚA\Cajua\[CAJUA_CF_SEC_New_27-Feb-2024Rev3.xlsx]D-PRBNP'!</v>
      </c>
      <c r="G3529" s="32" t="s">
        <v>111</v>
      </c>
      <c r="H3529" s="33">
        <f t="shared" si="837"/>
        <v>43</v>
      </c>
      <c r="I3529" s="33" t="str">
        <f t="shared" si="836"/>
        <v>='C:\Users\jaime.benazar\Quorum Business Solutions\Ecopetrol Prometeo - Documents\Planning Space Implementation\3. Analysis &amp; Design\Design\FC22\DRR Jaime\QUIFA-CAJÚA\Cajua\[CAJUA_CF_SEC_New_27-Feb-2024Rev3.xlsx]D-PRBNP'!$BE$43</v>
      </c>
      <c r="J3529" s="37" t="s">
        <v>3659</v>
      </c>
    </row>
    <row r="3530" spans="1:10" x14ac:dyDescent="0.25">
      <c r="A3530" s="32" t="s">
        <v>100</v>
      </c>
      <c r="B3530" s="32">
        <f t="shared" si="843"/>
        <v>2055</v>
      </c>
      <c r="C3530" s="33" t="s">
        <v>49</v>
      </c>
      <c r="D3530" s="34" t="s">
        <v>1999</v>
      </c>
      <c r="E3530" s="35" t="str">
        <f t="shared" si="841"/>
        <v>PRBNP'!</v>
      </c>
      <c r="F3530" s="34" t="str">
        <f t="shared" si="842"/>
        <v>C:\Users\jaime.benazar\Quorum Business Solutions\Ecopetrol Prometeo - Documents\Planning Space Implementation\3. Analysis &amp; Design\Design\FC22\DRR Jaime\QUIFA-CAJÚA\Cajua\[CAJUA_CF_SEC_New_27-Feb-2024Rev3.xlsx]D-PRBNP'!</v>
      </c>
      <c r="G3530" s="32" t="s">
        <v>111</v>
      </c>
      <c r="H3530" s="33">
        <f t="shared" si="837"/>
        <v>44</v>
      </c>
      <c r="I3530" s="33" t="str">
        <f t="shared" si="836"/>
        <v>='C:\Users\jaime.benazar\Quorum Business Solutions\Ecopetrol Prometeo - Documents\Planning Space Implementation\3. Analysis &amp; Design\Design\FC22\DRR Jaime\QUIFA-CAJÚA\Cajua\[CAJUA_CF_SEC_New_27-Feb-2024Rev3.xlsx]D-PRBNP'!$BE$44</v>
      </c>
      <c r="J3530" s="37" t="s">
        <v>3660</v>
      </c>
    </row>
    <row r="3531" spans="1:10" x14ac:dyDescent="0.25">
      <c r="A3531" s="32" t="s">
        <v>100</v>
      </c>
      <c r="B3531" s="32">
        <f t="shared" si="843"/>
        <v>2056</v>
      </c>
      <c r="C3531" s="33" t="s">
        <v>49</v>
      </c>
      <c r="D3531" s="34" t="s">
        <v>1999</v>
      </c>
      <c r="E3531" s="35" t="str">
        <f t="shared" si="841"/>
        <v>PRBNP'!</v>
      </c>
      <c r="F3531" s="34" t="str">
        <f t="shared" si="842"/>
        <v>C:\Users\jaime.benazar\Quorum Business Solutions\Ecopetrol Prometeo - Documents\Planning Space Implementation\3. Analysis &amp; Design\Design\FC22\DRR Jaime\QUIFA-CAJÚA\Cajua\[CAJUA_CF_SEC_New_27-Feb-2024Rev3.xlsx]D-PRBNP'!</v>
      </c>
      <c r="G3531" s="32" t="s">
        <v>111</v>
      </c>
      <c r="H3531" s="33">
        <f t="shared" si="837"/>
        <v>45</v>
      </c>
      <c r="I3531" s="33" t="str">
        <f t="shared" si="836"/>
        <v>='C:\Users\jaime.benazar\Quorum Business Solutions\Ecopetrol Prometeo - Documents\Planning Space Implementation\3. Analysis &amp; Design\Design\FC22\DRR Jaime\QUIFA-CAJÚA\Cajua\[CAJUA_CF_SEC_New_27-Feb-2024Rev3.xlsx]D-PRBNP'!$BE$45</v>
      </c>
      <c r="J3531" s="37" t="s">
        <v>3661</v>
      </c>
    </row>
    <row r="3532" spans="1:10" x14ac:dyDescent="0.25">
      <c r="A3532" s="32" t="s">
        <v>100</v>
      </c>
      <c r="B3532" s="32">
        <f t="shared" si="843"/>
        <v>2057</v>
      </c>
      <c r="C3532" s="33" t="s">
        <v>49</v>
      </c>
      <c r="D3532" s="34" t="s">
        <v>1999</v>
      </c>
      <c r="E3532" s="35" t="str">
        <f t="shared" si="841"/>
        <v>PRBNP'!</v>
      </c>
      <c r="F3532" s="34" t="str">
        <f t="shared" si="842"/>
        <v>C:\Users\jaime.benazar\Quorum Business Solutions\Ecopetrol Prometeo - Documents\Planning Space Implementation\3. Analysis &amp; Design\Design\FC22\DRR Jaime\QUIFA-CAJÚA\Cajua\[CAJUA_CF_SEC_New_27-Feb-2024Rev3.xlsx]D-PRBNP'!</v>
      </c>
      <c r="G3532" s="32" t="s">
        <v>111</v>
      </c>
      <c r="H3532" s="33">
        <f t="shared" si="837"/>
        <v>46</v>
      </c>
      <c r="I3532" s="33" t="str">
        <f t="shared" si="836"/>
        <v>='C:\Users\jaime.benazar\Quorum Business Solutions\Ecopetrol Prometeo - Documents\Planning Space Implementation\3. Analysis &amp; Design\Design\FC22\DRR Jaime\QUIFA-CAJÚA\Cajua\[CAJUA_CF_SEC_New_27-Feb-2024Rev3.xlsx]D-PRBNP'!$BE$46</v>
      </c>
      <c r="J3532" s="37" t="s">
        <v>3662</v>
      </c>
    </row>
    <row r="3533" spans="1:10" x14ac:dyDescent="0.25">
      <c r="A3533" s="32" t="s">
        <v>100</v>
      </c>
      <c r="B3533" s="32">
        <f t="shared" si="843"/>
        <v>2058</v>
      </c>
      <c r="C3533" s="33" t="s">
        <v>49</v>
      </c>
      <c r="D3533" s="34" t="s">
        <v>1999</v>
      </c>
      <c r="E3533" s="35" t="str">
        <f t="shared" si="841"/>
        <v>PRBNP'!</v>
      </c>
      <c r="F3533" s="34" t="str">
        <f t="shared" si="842"/>
        <v>C:\Users\jaime.benazar\Quorum Business Solutions\Ecopetrol Prometeo - Documents\Planning Space Implementation\3. Analysis &amp; Design\Design\FC22\DRR Jaime\QUIFA-CAJÚA\Cajua\[CAJUA_CF_SEC_New_27-Feb-2024Rev3.xlsx]D-PRBNP'!</v>
      </c>
      <c r="G3533" s="32" t="s">
        <v>111</v>
      </c>
      <c r="H3533" s="33">
        <f t="shared" si="837"/>
        <v>47</v>
      </c>
      <c r="I3533" s="33" t="str">
        <f t="shared" si="836"/>
        <v>='C:\Users\jaime.benazar\Quorum Business Solutions\Ecopetrol Prometeo - Documents\Planning Space Implementation\3. Analysis &amp; Design\Design\FC22\DRR Jaime\QUIFA-CAJÚA\Cajua\[CAJUA_CF_SEC_New_27-Feb-2024Rev3.xlsx]D-PRBNP'!$BE$47</v>
      </c>
      <c r="J3533" s="37" t="s">
        <v>3663</v>
      </c>
    </row>
    <row r="3534" spans="1:10" x14ac:dyDescent="0.25">
      <c r="A3534" s="32" t="s">
        <v>100</v>
      </c>
      <c r="B3534" s="32">
        <f t="shared" si="843"/>
        <v>2059</v>
      </c>
      <c r="C3534" s="33" t="s">
        <v>49</v>
      </c>
      <c r="D3534" s="34" t="s">
        <v>1999</v>
      </c>
      <c r="E3534" s="35" t="str">
        <f t="shared" si="841"/>
        <v>PRBNP'!</v>
      </c>
      <c r="F3534" s="34" t="str">
        <f t="shared" si="842"/>
        <v>C:\Users\jaime.benazar\Quorum Business Solutions\Ecopetrol Prometeo - Documents\Planning Space Implementation\3. Analysis &amp; Design\Design\FC22\DRR Jaime\QUIFA-CAJÚA\Cajua\[CAJUA_CF_SEC_New_27-Feb-2024Rev3.xlsx]D-PRBNP'!</v>
      </c>
      <c r="G3534" s="32" t="s">
        <v>111</v>
      </c>
      <c r="H3534" s="33">
        <f t="shared" si="837"/>
        <v>48</v>
      </c>
      <c r="I3534" s="33" t="str">
        <f t="shared" si="836"/>
        <v>='C:\Users\jaime.benazar\Quorum Business Solutions\Ecopetrol Prometeo - Documents\Planning Space Implementation\3. Analysis &amp; Design\Design\FC22\DRR Jaime\QUIFA-CAJÚA\Cajua\[CAJUA_CF_SEC_New_27-Feb-2024Rev3.xlsx]D-PRBNP'!$BE$48</v>
      </c>
      <c r="J3534" s="37" t="s">
        <v>3664</v>
      </c>
    </row>
    <row r="3535" spans="1:10" x14ac:dyDescent="0.25">
      <c r="A3535" s="32" t="s">
        <v>28</v>
      </c>
      <c r="B3535" s="32"/>
      <c r="C3535" s="33" t="s">
        <v>49</v>
      </c>
      <c r="D3535" s="34"/>
      <c r="E3535" s="35"/>
      <c r="F3535" s="34"/>
      <c r="G3535" s="32"/>
      <c r="H3535" s="33"/>
      <c r="I3535" s="33"/>
      <c r="J3535" s="36"/>
    </row>
    <row r="3536" spans="1:10" x14ac:dyDescent="0.25">
      <c r="A3536" s="32" t="s">
        <v>101</v>
      </c>
      <c r="B3536" s="32">
        <v>2023</v>
      </c>
      <c r="C3536" s="33" t="s">
        <v>49</v>
      </c>
      <c r="D3536" s="34" t="s">
        <v>1999</v>
      </c>
      <c r="E3536" s="35" t="str">
        <f t="shared" ref="E3536:E3556" si="844">_xlfn.CONCAT(A3536,"'!")</f>
        <v>PRBND'!</v>
      </c>
      <c r="F3536" s="34" t="str">
        <f t="shared" ref="F3536:F3556" si="845">_xlfn.CONCAT(D3536:E3536)</f>
        <v>C:\Users\jaime.benazar\Quorum Business Solutions\Ecopetrol Prometeo - Documents\Planning Space Implementation\3. Analysis &amp; Design\Design\FC22\DRR Jaime\QUIFA-CAJÚA\Cajua\[CAJUA_CF_SEC_New_27-Feb-2024Rev3.xlsx]D-PRBND'!</v>
      </c>
      <c r="G3536" s="32" t="s">
        <v>111</v>
      </c>
      <c r="H3536" s="33">
        <f>IF(A3536&lt;&gt;A3520,12,H3520+1)</f>
        <v>12</v>
      </c>
      <c r="I3536" s="33" t="str">
        <f t="shared" ref="I3536:I3572" si="846">_xlfn.CONCAT("='",F3536:H3536)</f>
        <v>='C:\Users\jaime.benazar\Quorum Business Solutions\Ecopetrol Prometeo - Documents\Planning Space Implementation\3. Analysis &amp; Design\Design\FC22\DRR Jaime\QUIFA-CAJÚA\Cajua\[CAJUA_CF_SEC_New_27-Feb-2024Rev3.xlsx]D-PRBND'!$BE$12</v>
      </c>
      <c r="J3536" s="37" t="s">
        <v>3665</v>
      </c>
    </row>
    <row r="3537" spans="1:10" x14ac:dyDescent="0.25">
      <c r="A3537" s="32" t="s">
        <v>101</v>
      </c>
      <c r="B3537" s="32">
        <f>+B3536+1</f>
        <v>2024</v>
      </c>
      <c r="C3537" s="33" t="s">
        <v>49</v>
      </c>
      <c r="D3537" s="34" t="s">
        <v>1999</v>
      </c>
      <c r="E3537" s="35" t="str">
        <f t="shared" si="844"/>
        <v>PRBND'!</v>
      </c>
      <c r="F3537" s="34" t="str">
        <f t="shared" si="845"/>
        <v>C:\Users\jaime.benazar\Quorum Business Solutions\Ecopetrol Prometeo - Documents\Planning Space Implementation\3. Analysis &amp; Design\Design\FC22\DRR Jaime\QUIFA-CAJÚA\Cajua\[CAJUA_CF_SEC_New_27-Feb-2024Rev3.xlsx]D-PRBND'!</v>
      </c>
      <c r="G3537" s="32" t="s">
        <v>111</v>
      </c>
      <c r="H3537" s="33">
        <f t="shared" ref="H3537:H3572" si="847">IF(A3537&lt;&gt;A3536,36,H3536+1)</f>
        <v>13</v>
      </c>
      <c r="I3537" s="33" t="str">
        <f t="shared" si="846"/>
        <v>='C:\Users\jaime.benazar\Quorum Business Solutions\Ecopetrol Prometeo - Documents\Planning Space Implementation\3. Analysis &amp; Design\Design\FC22\DRR Jaime\QUIFA-CAJÚA\Cajua\[CAJUA_CF_SEC_New_27-Feb-2024Rev3.xlsx]D-PRBND'!$BE$13</v>
      </c>
      <c r="J3537" s="37" t="s">
        <v>3666</v>
      </c>
    </row>
    <row r="3538" spans="1:10" x14ac:dyDescent="0.25">
      <c r="A3538" s="32" t="s">
        <v>101</v>
      </c>
      <c r="B3538" s="32">
        <f t="shared" ref="B3538:B3549" si="848">+B3537+1</f>
        <v>2025</v>
      </c>
      <c r="C3538" s="33" t="s">
        <v>49</v>
      </c>
      <c r="D3538" s="34" t="s">
        <v>1999</v>
      </c>
      <c r="E3538" s="35" t="str">
        <f t="shared" si="844"/>
        <v>PRBND'!</v>
      </c>
      <c r="F3538" s="34" t="str">
        <f t="shared" si="845"/>
        <v>C:\Users\jaime.benazar\Quorum Business Solutions\Ecopetrol Prometeo - Documents\Planning Space Implementation\3. Analysis &amp; Design\Design\FC22\DRR Jaime\QUIFA-CAJÚA\Cajua\[CAJUA_CF_SEC_New_27-Feb-2024Rev3.xlsx]D-PRBND'!</v>
      </c>
      <c r="G3538" s="32" t="s">
        <v>111</v>
      </c>
      <c r="H3538" s="33">
        <f t="shared" si="847"/>
        <v>14</v>
      </c>
      <c r="I3538" s="33" t="str">
        <f t="shared" si="846"/>
        <v>='C:\Users\jaime.benazar\Quorum Business Solutions\Ecopetrol Prometeo - Documents\Planning Space Implementation\3. Analysis &amp; Design\Design\FC22\DRR Jaime\QUIFA-CAJÚA\Cajua\[CAJUA_CF_SEC_New_27-Feb-2024Rev3.xlsx]D-PRBND'!$BE$14</v>
      </c>
      <c r="J3538" s="37" t="s">
        <v>3667</v>
      </c>
    </row>
    <row r="3539" spans="1:10" x14ac:dyDescent="0.25">
      <c r="A3539" s="32" t="s">
        <v>101</v>
      </c>
      <c r="B3539" s="32">
        <f t="shared" si="848"/>
        <v>2026</v>
      </c>
      <c r="C3539" s="33" t="s">
        <v>49</v>
      </c>
      <c r="D3539" s="34" t="s">
        <v>1999</v>
      </c>
      <c r="E3539" s="35" t="str">
        <f t="shared" si="844"/>
        <v>PRBND'!</v>
      </c>
      <c r="F3539" s="34" t="str">
        <f t="shared" si="845"/>
        <v>C:\Users\jaime.benazar\Quorum Business Solutions\Ecopetrol Prometeo - Documents\Planning Space Implementation\3. Analysis &amp; Design\Design\FC22\DRR Jaime\QUIFA-CAJÚA\Cajua\[CAJUA_CF_SEC_New_27-Feb-2024Rev3.xlsx]D-PRBND'!</v>
      </c>
      <c r="G3539" s="32" t="s">
        <v>111</v>
      </c>
      <c r="H3539" s="33">
        <f t="shared" si="847"/>
        <v>15</v>
      </c>
      <c r="I3539" s="33" t="str">
        <f t="shared" si="846"/>
        <v>='C:\Users\jaime.benazar\Quorum Business Solutions\Ecopetrol Prometeo - Documents\Planning Space Implementation\3. Analysis &amp; Design\Design\FC22\DRR Jaime\QUIFA-CAJÚA\Cajua\[CAJUA_CF_SEC_New_27-Feb-2024Rev3.xlsx]D-PRBND'!$BE$15</v>
      </c>
      <c r="J3539" s="37" t="s">
        <v>3668</v>
      </c>
    </row>
    <row r="3540" spans="1:10" x14ac:dyDescent="0.25">
      <c r="A3540" s="32" t="s">
        <v>101</v>
      </c>
      <c r="B3540" s="32">
        <f t="shared" si="848"/>
        <v>2027</v>
      </c>
      <c r="C3540" s="33" t="s">
        <v>49</v>
      </c>
      <c r="D3540" s="34" t="s">
        <v>1999</v>
      </c>
      <c r="E3540" s="35" t="str">
        <f t="shared" si="844"/>
        <v>PRBND'!</v>
      </c>
      <c r="F3540" s="34" t="str">
        <f t="shared" si="845"/>
        <v>C:\Users\jaime.benazar\Quorum Business Solutions\Ecopetrol Prometeo - Documents\Planning Space Implementation\3. Analysis &amp; Design\Design\FC22\DRR Jaime\QUIFA-CAJÚA\Cajua\[CAJUA_CF_SEC_New_27-Feb-2024Rev3.xlsx]D-PRBND'!</v>
      </c>
      <c r="G3540" s="32" t="s">
        <v>111</v>
      </c>
      <c r="H3540" s="33">
        <f t="shared" si="847"/>
        <v>16</v>
      </c>
      <c r="I3540" s="33" t="str">
        <f t="shared" si="846"/>
        <v>='C:\Users\jaime.benazar\Quorum Business Solutions\Ecopetrol Prometeo - Documents\Planning Space Implementation\3. Analysis &amp; Design\Design\FC22\DRR Jaime\QUIFA-CAJÚA\Cajua\[CAJUA_CF_SEC_New_27-Feb-2024Rev3.xlsx]D-PRBND'!$BE$16</v>
      </c>
      <c r="J3540" s="37" t="s">
        <v>3669</v>
      </c>
    </row>
    <row r="3541" spans="1:10" x14ac:dyDescent="0.25">
      <c r="A3541" s="32" t="s">
        <v>101</v>
      </c>
      <c r="B3541" s="32">
        <f t="shared" si="848"/>
        <v>2028</v>
      </c>
      <c r="C3541" s="33" t="s">
        <v>49</v>
      </c>
      <c r="D3541" s="34" t="s">
        <v>1999</v>
      </c>
      <c r="E3541" s="35" t="str">
        <f t="shared" si="844"/>
        <v>PRBND'!</v>
      </c>
      <c r="F3541" s="34" t="str">
        <f t="shared" si="845"/>
        <v>C:\Users\jaime.benazar\Quorum Business Solutions\Ecopetrol Prometeo - Documents\Planning Space Implementation\3. Analysis &amp; Design\Design\FC22\DRR Jaime\QUIFA-CAJÚA\Cajua\[CAJUA_CF_SEC_New_27-Feb-2024Rev3.xlsx]D-PRBND'!</v>
      </c>
      <c r="G3541" s="32" t="s">
        <v>111</v>
      </c>
      <c r="H3541" s="33">
        <f t="shared" si="847"/>
        <v>17</v>
      </c>
      <c r="I3541" s="33" t="str">
        <f t="shared" si="846"/>
        <v>='C:\Users\jaime.benazar\Quorum Business Solutions\Ecopetrol Prometeo - Documents\Planning Space Implementation\3. Analysis &amp; Design\Design\FC22\DRR Jaime\QUIFA-CAJÚA\Cajua\[CAJUA_CF_SEC_New_27-Feb-2024Rev3.xlsx]D-PRBND'!$BE$17</v>
      </c>
      <c r="J3541" s="37" t="s">
        <v>3670</v>
      </c>
    </row>
    <row r="3542" spans="1:10" x14ac:dyDescent="0.25">
      <c r="A3542" s="32" t="s">
        <v>101</v>
      </c>
      <c r="B3542" s="32">
        <f t="shared" si="848"/>
        <v>2029</v>
      </c>
      <c r="C3542" s="33" t="s">
        <v>49</v>
      </c>
      <c r="D3542" s="34" t="s">
        <v>1999</v>
      </c>
      <c r="E3542" s="35" t="str">
        <f t="shared" si="844"/>
        <v>PRBND'!</v>
      </c>
      <c r="F3542" s="34" t="str">
        <f t="shared" si="845"/>
        <v>C:\Users\jaime.benazar\Quorum Business Solutions\Ecopetrol Prometeo - Documents\Planning Space Implementation\3. Analysis &amp; Design\Design\FC22\DRR Jaime\QUIFA-CAJÚA\Cajua\[CAJUA_CF_SEC_New_27-Feb-2024Rev3.xlsx]D-PRBND'!</v>
      </c>
      <c r="G3542" s="32" t="s">
        <v>111</v>
      </c>
      <c r="H3542" s="33">
        <f t="shared" si="847"/>
        <v>18</v>
      </c>
      <c r="I3542" s="33" t="str">
        <f t="shared" si="846"/>
        <v>='C:\Users\jaime.benazar\Quorum Business Solutions\Ecopetrol Prometeo - Documents\Planning Space Implementation\3. Analysis &amp; Design\Design\FC22\DRR Jaime\QUIFA-CAJÚA\Cajua\[CAJUA_CF_SEC_New_27-Feb-2024Rev3.xlsx]D-PRBND'!$BE$18</v>
      </c>
      <c r="J3542" s="37" t="s">
        <v>3671</v>
      </c>
    </row>
    <row r="3543" spans="1:10" x14ac:dyDescent="0.25">
      <c r="A3543" s="32" t="s">
        <v>101</v>
      </c>
      <c r="B3543" s="32">
        <f t="shared" si="848"/>
        <v>2030</v>
      </c>
      <c r="C3543" s="33" t="s">
        <v>49</v>
      </c>
      <c r="D3543" s="34" t="s">
        <v>1999</v>
      </c>
      <c r="E3543" s="35" t="str">
        <f t="shared" si="844"/>
        <v>PRBND'!</v>
      </c>
      <c r="F3543" s="34" t="str">
        <f t="shared" si="845"/>
        <v>C:\Users\jaime.benazar\Quorum Business Solutions\Ecopetrol Prometeo - Documents\Planning Space Implementation\3. Analysis &amp; Design\Design\FC22\DRR Jaime\QUIFA-CAJÚA\Cajua\[CAJUA_CF_SEC_New_27-Feb-2024Rev3.xlsx]D-PRBND'!</v>
      </c>
      <c r="G3543" s="32" t="s">
        <v>111</v>
      </c>
      <c r="H3543" s="33">
        <f t="shared" si="847"/>
        <v>19</v>
      </c>
      <c r="I3543" s="33" t="str">
        <f t="shared" si="846"/>
        <v>='C:\Users\jaime.benazar\Quorum Business Solutions\Ecopetrol Prometeo - Documents\Planning Space Implementation\3. Analysis &amp; Design\Design\FC22\DRR Jaime\QUIFA-CAJÚA\Cajua\[CAJUA_CF_SEC_New_27-Feb-2024Rev3.xlsx]D-PRBND'!$BE$19</v>
      </c>
      <c r="J3543" s="37" t="s">
        <v>3672</v>
      </c>
    </row>
    <row r="3544" spans="1:10" x14ac:dyDescent="0.25">
      <c r="A3544" s="32" t="s">
        <v>101</v>
      </c>
      <c r="B3544" s="32">
        <f t="shared" si="848"/>
        <v>2031</v>
      </c>
      <c r="C3544" s="33" t="s">
        <v>49</v>
      </c>
      <c r="D3544" s="34" t="s">
        <v>1999</v>
      </c>
      <c r="E3544" s="35" t="str">
        <f t="shared" si="844"/>
        <v>PRBND'!</v>
      </c>
      <c r="F3544" s="34" t="str">
        <f t="shared" si="845"/>
        <v>C:\Users\jaime.benazar\Quorum Business Solutions\Ecopetrol Prometeo - Documents\Planning Space Implementation\3. Analysis &amp; Design\Design\FC22\DRR Jaime\QUIFA-CAJÚA\Cajua\[CAJUA_CF_SEC_New_27-Feb-2024Rev3.xlsx]D-PRBND'!</v>
      </c>
      <c r="G3544" s="32" t="s">
        <v>111</v>
      </c>
      <c r="H3544" s="33">
        <f t="shared" si="847"/>
        <v>20</v>
      </c>
      <c r="I3544" s="33" t="str">
        <f t="shared" si="846"/>
        <v>='C:\Users\jaime.benazar\Quorum Business Solutions\Ecopetrol Prometeo - Documents\Planning Space Implementation\3. Analysis &amp; Design\Design\FC22\DRR Jaime\QUIFA-CAJÚA\Cajua\[CAJUA_CF_SEC_New_27-Feb-2024Rev3.xlsx]D-PRBND'!$BE$20</v>
      </c>
      <c r="J3544" s="37" t="s">
        <v>3673</v>
      </c>
    </row>
    <row r="3545" spans="1:10" x14ac:dyDescent="0.25">
      <c r="A3545" s="32" t="s">
        <v>101</v>
      </c>
      <c r="B3545" s="32">
        <f t="shared" si="848"/>
        <v>2032</v>
      </c>
      <c r="C3545" s="33" t="s">
        <v>49</v>
      </c>
      <c r="D3545" s="34" t="s">
        <v>1999</v>
      </c>
      <c r="E3545" s="35" t="str">
        <f t="shared" si="844"/>
        <v>PRBND'!</v>
      </c>
      <c r="F3545" s="34" t="str">
        <f t="shared" si="845"/>
        <v>C:\Users\jaime.benazar\Quorum Business Solutions\Ecopetrol Prometeo - Documents\Planning Space Implementation\3. Analysis &amp; Design\Design\FC22\DRR Jaime\QUIFA-CAJÚA\Cajua\[CAJUA_CF_SEC_New_27-Feb-2024Rev3.xlsx]D-PRBND'!</v>
      </c>
      <c r="G3545" s="32" t="s">
        <v>111</v>
      </c>
      <c r="H3545" s="33">
        <f t="shared" si="847"/>
        <v>21</v>
      </c>
      <c r="I3545" s="33" t="str">
        <f t="shared" si="846"/>
        <v>='C:\Users\jaime.benazar\Quorum Business Solutions\Ecopetrol Prometeo - Documents\Planning Space Implementation\3. Analysis &amp; Design\Design\FC22\DRR Jaime\QUIFA-CAJÚA\Cajua\[CAJUA_CF_SEC_New_27-Feb-2024Rev3.xlsx]D-PRBND'!$BE$21</v>
      </c>
      <c r="J3545" s="37" t="s">
        <v>3674</v>
      </c>
    </row>
    <row r="3546" spans="1:10" x14ac:dyDescent="0.25">
      <c r="A3546" s="32" t="s">
        <v>101</v>
      </c>
      <c r="B3546" s="32">
        <f t="shared" si="848"/>
        <v>2033</v>
      </c>
      <c r="C3546" s="33" t="s">
        <v>49</v>
      </c>
      <c r="D3546" s="34" t="s">
        <v>1999</v>
      </c>
      <c r="E3546" s="35" t="str">
        <f t="shared" si="844"/>
        <v>PRBND'!</v>
      </c>
      <c r="F3546" s="34" t="str">
        <f t="shared" si="845"/>
        <v>C:\Users\jaime.benazar\Quorum Business Solutions\Ecopetrol Prometeo - Documents\Planning Space Implementation\3. Analysis &amp; Design\Design\FC22\DRR Jaime\QUIFA-CAJÚA\Cajua\[CAJUA_CF_SEC_New_27-Feb-2024Rev3.xlsx]D-PRBND'!</v>
      </c>
      <c r="G3546" s="32" t="s">
        <v>111</v>
      </c>
      <c r="H3546" s="33">
        <f t="shared" si="847"/>
        <v>22</v>
      </c>
      <c r="I3546" s="33" t="str">
        <f t="shared" si="846"/>
        <v>='C:\Users\jaime.benazar\Quorum Business Solutions\Ecopetrol Prometeo - Documents\Planning Space Implementation\3. Analysis &amp; Design\Design\FC22\DRR Jaime\QUIFA-CAJÚA\Cajua\[CAJUA_CF_SEC_New_27-Feb-2024Rev3.xlsx]D-PRBND'!$BE$22</v>
      </c>
      <c r="J3546" s="37" t="s">
        <v>3675</v>
      </c>
    </row>
    <row r="3547" spans="1:10" x14ac:dyDescent="0.25">
      <c r="A3547" s="32" t="s">
        <v>101</v>
      </c>
      <c r="B3547" s="32">
        <f t="shared" si="848"/>
        <v>2034</v>
      </c>
      <c r="C3547" s="33" t="s">
        <v>49</v>
      </c>
      <c r="D3547" s="34" t="s">
        <v>1999</v>
      </c>
      <c r="E3547" s="35" t="str">
        <f t="shared" si="844"/>
        <v>PRBND'!</v>
      </c>
      <c r="F3547" s="34" t="str">
        <f t="shared" si="845"/>
        <v>C:\Users\jaime.benazar\Quorum Business Solutions\Ecopetrol Prometeo - Documents\Planning Space Implementation\3. Analysis &amp; Design\Design\FC22\DRR Jaime\QUIFA-CAJÚA\Cajua\[CAJUA_CF_SEC_New_27-Feb-2024Rev3.xlsx]D-PRBND'!</v>
      </c>
      <c r="G3547" s="32" t="s">
        <v>111</v>
      </c>
      <c r="H3547" s="33">
        <f t="shared" si="847"/>
        <v>23</v>
      </c>
      <c r="I3547" s="33" t="str">
        <f t="shared" si="846"/>
        <v>='C:\Users\jaime.benazar\Quorum Business Solutions\Ecopetrol Prometeo - Documents\Planning Space Implementation\3. Analysis &amp; Design\Design\FC22\DRR Jaime\QUIFA-CAJÚA\Cajua\[CAJUA_CF_SEC_New_27-Feb-2024Rev3.xlsx]D-PRBND'!$BE$23</v>
      </c>
      <c r="J3547" s="37" t="s">
        <v>3676</v>
      </c>
    </row>
    <row r="3548" spans="1:10" x14ac:dyDescent="0.25">
      <c r="A3548" s="32" t="s">
        <v>101</v>
      </c>
      <c r="B3548" s="32">
        <f t="shared" si="848"/>
        <v>2035</v>
      </c>
      <c r="C3548" s="33" t="s">
        <v>49</v>
      </c>
      <c r="D3548" s="34" t="s">
        <v>1999</v>
      </c>
      <c r="E3548" s="35" t="str">
        <f t="shared" si="844"/>
        <v>PRBND'!</v>
      </c>
      <c r="F3548" s="34" t="str">
        <f t="shared" si="845"/>
        <v>C:\Users\jaime.benazar\Quorum Business Solutions\Ecopetrol Prometeo - Documents\Planning Space Implementation\3. Analysis &amp; Design\Design\FC22\DRR Jaime\QUIFA-CAJÚA\Cajua\[CAJUA_CF_SEC_New_27-Feb-2024Rev3.xlsx]D-PRBND'!</v>
      </c>
      <c r="G3548" s="32" t="s">
        <v>111</v>
      </c>
      <c r="H3548" s="33">
        <f t="shared" si="847"/>
        <v>24</v>
      </c>
      <c r="I3548" s="33" t="str">
        <f t="shared" si="846"/>
        <v>='C:\Users\jaime.benazar\Quorum Business Solutions\Ecopetrol Prometeo - Documents\Planning Space Implementation\3. Analysis &amp; Design\Design\FC22\DRR Jaime\QUIFA-CAJÚA\Cajua\[CAJUA_CF_SEC_New_27-Feb-2024Rev3.xlsx]D-PRBND'!$BE$24</v>
      </c>
      <c r="J3548" s="37" t="s">
        <v>3677</v>
      </c>
    </row>
    <row r="3549" spans="1:10" x14ac:dyDescent="0.25">
      <c r="A3549" s="32" t="s">
        <v>101</v>
      </c>
      <c r="B3549" s="32">
        <f t="shared" si="848"/>
        <v>2036</v>
      </c>
      <c r="C3549" s="33" t="s">
        <v>49</v>
      </c>
      <c r="D3549" s="34" t="s">
        <v>1999</v>
      </c>
      <c r="E3549" s="35" t="str">
        <f t="shared" si="844"/>
        <v>PRBND'!</v>
      </c>
      <c r="F3549" s="34" t="str">
        <f t="shared" si="845"/>
        <v>C:\Users\jaime.benazar\Quorum Business Solutions\Ecopetrol Prometeo - Documents\Planning Space Implementation\3. Analysis &amp; Design\Design\FC22\DRR Jaime\QUIFA-CAJÚA\Cajua\[CAJUA_CF_SEC_New_27-Feb-2024Rev3.xlsx]D-PRBND'!</v>
      </c>
      <c r="G3549" s="32" t="s">
        <v>111</v>
      </c>
      <c r="H3549" s="33">
        <f t="shared" si="847"/>
        <v>25</v>
      </c>
      <c r="I3549" s="33" t="str">
        <f t="shared" si="846"/>
        <v>='C:\Users\jaime.benazar\Quorum Business Solutions\Ecopetrol Prometeo - Documents\Planning Space Implementation\3. Analysis &amp; Design\Design\FC22\DRR Jaime\QUIFA-CAJÚA\Cajua\[CAJUA_CF_SEC_New_27-Feb-2024Rev3.xlsx]D-PRBND'!$BE$25</v>
      </c>
      <c r="J3549" s="37" t="s">
        <v>3678</v>
      </c>
    </row>
    <row r="3550" spans="1:10" x14ac:dyDescent="0.25">
      <c r="A3550" s="32" t="s">
        <v>101</v>
      </c>
      <c r="B3550" s="32">
        <f>+B3549+1</f>
        <v>2037</v>
      </c>
      <c r="C3550" s="33" t="s">
        <v>49</v>
      </c>
      <c r="D3550" s="34" t="s">
        <v>1999</v>
      </c>
      <c r="E3550" s="35" t="str">
        <f t="shared" si="844"/>
        <v>PRBND'!</v>
      </c>
      <c r="F3550" s="34" t="str">
        <f t="shared" si="845"/>
        <v>C:\Users\jaime.benazar\Quorum Business Solutions\Ecopetrol Prometeo - Documents\Planning Space Implementation\3. Analysis &amp; Design\Design\FC22\DRR Jaime\QUIFA-CAJÚA\Cajua\[CAJUA_CF_SEC_New_27-Feb-2024Rev3.xlsx]D-PRBND'!</v>
      </c>
      <c r="G3550" s="32" t="s">
        <v>111</v>
      </c>
      <c r="H3550" s="33">
        <f t="shared" si="847"/>
        <v>26</v>
      </c>
      <c r="I3550" s="33" t="str">
        <f t="shared" si="846"/>
        <v>='C:\Users\jaime.benazar\Quorum Business Solutions\Ecopetrol Prometeo - Documents\Planning Space Implementation\3. Analysis &amp; Design\Design\FC22\DRR Jaime\QUIFA-CAJÚA\Cajua\[CAJUA_CF_SEC_New_27-Feb-2024Rev3.xlsx]D-PRBND'!$BE$26</v>
      </c>
      <c r="J3550" s="37" t="s">
        <v>3679</v>
      </c>
    </row>
    <row r="3551" spans="1:10" x14ac:dyDescent="0.25">
      <c r="A3551" s="32" t="s">
        <v>101</v>
      </c>
      <c r="B3551" s="32">
        <f t="shared" ref="B3551:B3553" si="849">+B3550+1</f>
        <v>2038</v>
      </c>
      <c r="C3551" s="33" t="s">
        <v>49</v>
      </c>
      <c r="D3551" s="34" t="s">
        <v>1999</v>
      </c>
      <c r="E3551" s="35" t="str">
        <f t="shared" si="844"/>
        <v>PRBND'!</v>
      </c>
      <c r="F3551" s="34" t="str">
        <f t="shared" si="845"/>
        <v>C:\Users\jaime.benazar\Quorum Business Solutions\Ecopetrol Prometeo - Documents\Planning Space Implementation\3. Analysis &amp; Design\Design\FC22\DRR Jaime\QUIFA-CAJÚA\Cajua\[CAJUA_CF_SEC_New_27-Feb-2024Rev3.xlsx]D-PRBND'!</v>
      </c>
      <c r="G3551" s="32" t="s">
        <v>111</v>
      </c>
      <c r="H3551" s="33">
        <f t="shared" si="847"/>
        <v>27</v>
      </c>
      <c r="I3551" s="33" t="str">
        <f t="shared" si="846"/>
        <v>='C:\Users\jaime.benazar\Quorum Business Solutions\Ecopetrol Prometeo - Documents\Planning Space Implementation\3. Analysis &amp; Design\Design\FC22\DRR Jaime\QUIFA-CAJÚA\Cajua\[CAJUA_CF_SEC_New_27-Feb-2024Rev3.xlsx]D-PRBND'!$BE$27</v>
      </c>
      <c r="J3551" s="37" t="s">
        <v>3680</v>
      </c>
    </row>
    <row r="3552" spans="1:10" x14ac:dyDescent="0.25">
      <c r="A3552" s="32" t="s">
        <v>101</v>
      </c>
      <c r="B3552" s="32">
        <f t="shared" si="849"/>
        <v>2039</v>
      </c>
      <c r="C3552" s="33" t="s">
        <v>49</v>
      </c>
      <c r="D3552" s="34" t="s">
        <v>1999</v>
      </c>
      <c r="E3552" s="35" t="str">
        <f t="shared" si="844"/>
        <v>PRBND'!</v>
      </c>
      <c r="F3552" s="34" t="str">
        <f t="shared" si="845"/>
        <v>C:\Users\jaime.benazar\Quorum Business Solutions\Ecopetrol Prometeo - Documents\Planning Space Implementation\3. Analysis &amp; Design\Design\FC22\DRR Jaime\QUIFA-CAJÚA\Cajua\[CAJUA_CF_SEC_New_27-Feb-2024Rev3.xlsx]D-PRBND'!</v>
      </c>
      <c r="G3552" s="32" t="s">
        <v>111</v>
      </c>
      <c r="H3552" s="33">
        <f t="shared" si="847"/>
        <v>28</v>
      </c>
      <c r="I3552" s="33" t="str">
        <f t="shared" si="846"/>
        <v>='C:\Users\jaime.benazar\Quorum Business Solutions\Ecopetrol Prometeo - Documents\Planning Space Implementation\3. Analysis &amp; Design\Design\FC22\DRR Jaime\QUIFA-CAJÚA\Cajua\[CAJUA_CF_SEC_New_27-Feb-2024Rev3.xlsx]D-PRBND'!$BE$28</v>
      </c>
      <c r="J3552" s="37" t="s">
        <v>3681</v>
      </c>
    </row>
    <row r="3553" spans="1:10" x14ac:dyDescent="0.25">
      <c r="A3553" s="32" t="s">
        <v>101</v>
      </c>
      <c r="B3553" s="32">
        <f t="shared" si="849"/>
        <v>2040</v>
      </c>
      <c r="C3553" s="33" t="s">
        <v>49</v>
      </c>
      <c r="D3553" s="34" t="s">
        <v>1999</v>
      </c>
      <c r="E3553" s="35" t="str">
        <f t="shared" si="844"/>
        <v>PRBND'!</v>
      </c>
      <c r="F3553" s="34" t="str">
        <f t="shared" si="845"/>
        <v>C:\Users\jaime.benazar\Quorum Business Solutions\Ecopetrol Prometeo - Documents\Planning Space Implementation\3. Analysis &amp; Design\Design\FC22\DRR Jaime\QUIFA-CAJÚA\Cajua\[CAJUA_CF_SEC_New_27-Feb-2024Rev3.xlsx]D-PRBND'!</v>
      </c>
      <c r="G3553" s="32" t="s">
        <v>111</v>
      </c>
      <c r="H3553" s="33">
        <f t="shared" si="847"/>
        <v>29</v>
      </c>
      <c r="I3553" s="33" t="str">
        <f t="shared" si="846"/>
        <v>='C:\Users\jaime.benazar\Quorum Business Solutions\Ecopetrol Prometeo - Documents\Planning Space Implementation\3. Analysis &amp; Design\Design\FC22\DRR Jaime\QUIFA-CAJÚA\Cajua\[CAJUA_CF_SEC_New_27-Feb-2024Rev3.xlsx]D-PRBND'!$BE$29</v>
      </c>
      <c r="J3553" s="37" t="s">
        <v>3682</v>
      </c>
    </row>
    <row r="3554" spans="1:10" x14ac:dyDescent="0.25">
      <c r="A3554" s="32" t="s">
        <v>101</v>
      </c>
      <c r="B3554" s="32">
        <f>+B3553+1</f>
        <v>2041</v>
      </c>
      <c r="C3554" s="33" t="s">
        <v>49</v>
      </c>
      <c r="D3554" s="34" t="s">
        <v>1999</v>
      </c>
      <c r="E3554" s="35" t="str">
        <f t="shared" si="844"/>
        <v>PRBND'!</v>
      </c>
      <c r="F3554" s="34" t="str">
        <f t="shared" si="845"/>
        <v>C:\Users\jaime.benazar\Quorum Business Solutions\Ecopetrol Prometeo - Documents\Planning Space Implementation\3. Analysis &amp; Design\Design\FC22\DRR Jaime\QUIFA-CAJÚA\Cajua\[CAJUA_CF_SEC_New_27-Feb-2024Rev3.xlsx]D-PRBND'!</v>
      </c>
      <c r="G3554" s="32" t="s">
        <v>111</v>
      </c>
      <c r="H3554" s="33">
        <f t="shared" si="847"/>
        <v>30</v>
      </c>
      <c r="I3554" s="33" t="str">
        <f t="shared" si="846"/>
        <v>='C:\Users\jaime.benazar\Quorum Business Solutions\Ecopetrol Prometeo - Documents\Planning Space Implementation\3. Analysis &amp; Design\Design\FC22\DRR Jaime\QUIFA-CAJÚA\Cajua\[CAJUA_CF_SEC_New_27-Feb-2024Rev3.xlsx]D-PRBND'!$BE$30</v>
      </c>
      <c r="J3554" s="37" t="s">
        <v>3683</v>
      </c>
    </row>
    <row r="3555" spans="1:10" x14ac:dyDescent="0.25">
      <c r="A3555" s="32" t="s">
        <v>101</v>
      </c>
      <c r="B3555" s="32">
        <f t="shared" ref="B3555:B3556" si="850">+B3554+1</f>
        <v>2042</v>
      </c>
      <c r="C3555" s="33" t="s">
        <v>49</v>
      </c>
      <c r="D3555" s="34" t="s">
        <v>1999</v>
      </c>
      <c r="E3555" s="35" t="str">
        <f t="shared" si="844"/>
        <v>PRBND'!</v>
      </c>
      <c r="F3555" s="34" t="str">
        <f t="shared" si="845"/>
        <v>C:\Users\jaime.benazar\Quorum Business Solutions\Ecopetrol Prometeo - Documents\Planning Space Implementation\3. Analysis &amp; Design\Design\FC22\DRR Jaime\QUIFA-CAJÚA\Cajua\[CAJUA_CF_SEC_New_27-Feb-2024Rev3.xlsx]D-PRBND'!</v>
      </c>
      <c r="G3555" s="32" t="s">
        <v>111</v>
      </c>
      <c r="H3555" s="33">
        <f t="shared" si="847"/>
        <v>31</v>
      </c>
      <c r="I3555" s="33" t="str">
        <f t="shared" si="846"/>
        <v>='C:\Users\jaime.benazar\Quorum Business Solutions\Ecopetrol Prometeo - Documents\Planning Space Implementation\3. Analysis &amp; Design\Design\FC22\DRR Jaime\QUIFA-CAJÚA\Cajua\[CAJUA_CF_SEC_New_27-Feb-2024Rev3.xlsx]D-PRBND'!$BE$31</v>
      </c>
      <c r="J3555" s="37" t="s">
        <v>3684</v>
      </c>
    </row>
    <row r="3556" spans="1:10" x14ac:dyDescent="0.25">
      <c r="A3556" s="32" t="s">
        <v>101</v>
      </c>
      <c r="B3556" s="32">
        <f t="shared" si="850"/>
        <v>2043</v>
      </c>
      <c r="C3556" s="33" t="s">
        <v>49</v>
      </c>
      <c r="D3556" s="34" t="s">
        <v>1999</v>
      </c>
      <c r="E3556" s="35" t="str">
        <f t="shared" si="844"/>
        <v>PRBND'!</v>
      </c>
      <c r="F3556" s="34" t="str">
        <f t="shared" si="845"/>
        <v>C:\Users\jaime.benazar\Quorum Business Solutions\Ecopetrol Prometeo - Documents\Planning Space Implementation\3. Analysis &amp; Design\Design\FC22\DRR Jaime\QUIFA-CAJÚA\Cajua\[CAJUA_CF_SEC_New_27-Feb-2024Rev3.xlsx]D-PRBND'!</v>
      </c>
      <c r="G3556" s="32" t="s">
        <v>111</v>
      </c>
      <c r="H3556" s="33">
        <f t="shared" si="847"/>
        <v>32</v>
      </c>
      <c r="I3556" s="33" t="str">
        <f t="shared" si="846"/>
        <v>='C:\Users\jaime.benazar\Quorum Business Solutions\Ecopetrol Prometeo - Documents\Planning Space Implementation\3. Analysis &amp; Design\Design\FC22\DRR Jaime\QUIFA-CAJÚA\Cajua\[CAJUA_CF_SEC_New_27-Feb-2024Rev3.xlsx]D-PRBND'!$BE$32</v>
      </c>
      <c r="J3556" s="37" t="s">
        <v>3685</v>
      </c>
    </row>
    <row r="3557" spans="1:10" x14ac:dyDescent="0.25">
      <c r="A3557" s="32" t="s">
        <v>101</v>
      </c>
      <c r="B3557" s="32">
        <f>+B3556+1</f>
        <v>2044</v>
      </c>
      <c r="C3557" s="33" t="s">
        <v>49</v>
      </c>
      <c r="D3557" s="34" t="s">
        <v>1999</v>
      </c>
      <c r="E3557" s="35" t="str">
        <f t="shared" ref="E3557:E3572" si="851">_xlfn.CONCAT(A3557,"'!")</f>
        <v>PRBND'!</v>
      </c>
      <c r="F3557" s="34" t="str">
        <f t="shared" ref="F3557:F3572" si="852">_xlfn.CONCAT(D3557:E3557)</f>
        <v>C:\Users\jaime.benazar\Quorum Business Solutions\Ecopetrol Prometeo - Documents\Planning Space Implementation\3. Analysis &amp; Design\Design\FC22\DRR Jaime\QUIFA-CAJÚA\Cajua\[CAJUA_CF_SEC_New_27-Feb-2024Rev3.xlsx]D-PRBND'!</v>
      </c>
      <c r="G3557" s="32" t="s">
        <v>111</v>
      </c>
      <c r="H3557" s="33">
        <f t="shared" si="847"/>
        <v>33</v>
      </c>
      <c r="I3557" s="33" t="str">
        <f t="shared" si="846"/>
        <v>='C:\Users\jaime.benazar\Quorum Business Solutions\Ecopetrol Prometeo - Documents\Planning Space Implementation\3. Analysis &amp; Design\Design\FC22\DRR Jaime\QUIFA-CAJÚA\Cajua\[CAJUA_CF_SEC_New_27-Feb-2024Rev3.xlsx]D-PRBND'!$BE$33</v>
      </c>
      <c r="J3557" s="37" t="s">
        <v>3686</v>
      </c>
    </row>
    <row r="3558" spans="1:10" x14ac:dyDescent="0.25">
      <c r="A3558" s="32" t="s">
        <v>101</v>
      </c>
      <c r="B3558" s="32">
        <f t="shared" ref="B3558:B3572" si="853">+B3557+1</f>
        <v>2045</v>
      </c>
      <c r="C3558" s="33" t="s">
        <v>49</v>
      </c>
      <c r="D3558" s="34" t="s">
        <v>1999</v>
      </c>
      <c r="E3558" s="35" t="str">
        <f t="shared" si="851"/>
        <v>PRBND'!</v>
      </c>
      <c r="F3558" s="34" t="str">
        <f t="shared" si="852"/>
        <v>C:\Users\jaime.benazar\Quorum Business Solutions\Ecopetrol Prometeo - Documents\Planning Space Implementation\3. Analysis &amp; Design\Design\FC22\DRR Jaime\QUIFA-CAJÚA\Cajua\[CAJUA_CF_SEC_New_27-Feb-2024Rev3.xlsx]D-PRBND'!</v>
      </c>
      <c r="G3558" s="32" t="s">
        <v>111</v>
      </c>
      <c r="H3558" s="33">
        <f t="shared" si="847"/>
        <v>34</v>
      </c>
      <c r="I3558" s="33" t="str">
        <f t="shared" si="846"/>
        <v>='C:\Users\jaime.benazar\Quorum Business Solutions\Ecopetrol Prometeo - Documents\Planning Space Implementation\3. Analysis &amp; Design\Design\FC22\DRR Jaime\QUIFA-CAJÚA\Cajua\[CAJUA_CF_SEC_New_27-Feb-2024Rev3.xlsx]D-PRBND'!$BE$34</v>
      </c>
      <c r="J3558" s="37" t="s">
        <v>3687</v>
      </c>
    </row>
    <row r="3559" spans="1:10" x14ac:dyDescent="0.25">
      <c r="A3559" s="32" t="s">
        <v>101</v>
      </c>
      <c r="B3559" s="32">
        <f t="shared" si="853"/>
        <v>2046</v>
      </c>
      <c r="C3559" s="33" t="s">
        <v>49</v>
      </c>
      <c r="D3559" s="34" t="s">
        <v>1999</v>
      </c>
      <c r="E3559" s="35" t="str">
        <f t="shared" si="851"/>
        <v>PRBND'!</v>
      </c>
      <c r="F3559" s="34" t="str">
        <f t="shared" si="852"/>
        <v>C:\Users\jaime.benazar\Quorum Business Solutions\Ecopetrol Prometeo - Documents\Planning Space Implementation\3. Analysis &amp; Design\Design\FC22\DRR Jaime\QUIFA-CAJÚA\Cajua\[CAJUA_CF_SEC_New_27-Feb-2024Rev3.xlsx]D-PRBND'!</v>
      </c>
      <c r="G3559" s="32" t="s">
        <v>111</v>
      </c>
      <c r="H3559" s="33">
        <f t="shared" si="847"/>
        <v>35</v>
      </c>
      <c r="I3559" s="33" t="str">
        <f t="shared" si="846"/>
        <v>='C:\Users\jaime.benazar\Quorum Business Solutions\Ecopetrol Prometeo - Documents\Planning Space Implementation\3. Analysis &amp; Design\Design\FC22\DRR Jaime\QUIFA-CAJÚA\Cajua\[CAJUA_CF_SEC_New_27-Feb-2024Rev3.xlsx]D-PRBND'!$BE$35</v>
      </c>
      <c r="J3559" s="37" t="s">
        <v>3688</v>
      </c>
    </row>
    <row r="3560" spans="1:10" x14ac:dyDescent="0.25">
      <c r="A3560" s="32" t="s">
        <v>101</v>
      </c>
      <c r="B3560" s="32">
        <f t="shared" si="853"/>
        <v>2047</v>
      </c>
      <c r="C3560" s="33" t="s">
        <v>49</v>
      </c>
      <c r="D3560" s="34" t="s">
        <v>1999</v>
      </c>
      <c r="E3560" s="35" t="str">
        <f t="shared" si="851"/>
        <v>PRBND'!</v>
      </c>
      <c r="F3560" s="34" t="str">
        <f t="shared" si="852"/>
        <v>C:\Users\jaime.benazar\Quorum Business Solutions\Ecopetrol Prometeo - Documents\Planning Space Implementation\3. Analysis &amp; Design\Design\FC22\DRR Jaime\QUIFA-CAJÚA\Cajua\[CAJUA_CF_SEC_New_27-Feb-2024Rev3.xlsx]D-PRBND'!</v>
      </c>
      <c r="G3560" s="32" t="s">
        <v>111</v>
      </c>
      <c r="H3560" s="33">
        <f t="shared" si="847"/>
        <v>36</v>
      </c>
      <c r="I3560" s="33" t="str">
        <f t="shared" si="846"/>
        <v>='C:\Users\jaime.benazar\Quorum Business Solutions\Ecopetrol Prometeo - Documents\Planning Space Implementation\3. Analysis &amp; Design\Design\FC22\DRR Jaime\QUIFA-CAJÚA\Cajua\[CAJUA_CF_SEC_New_27-Feb-2024Rev3.xlsx]D-PRBND'!$BE$36</v>
      </c>
      <c r="J3560" s="37" t="s">
        <v>3689</v>
      </c>
    </row>
    <row r="3561" spans="1:10" x14ac:dyDescent="0.25">
      <c r="A3561" s="32" t="s">
        <v>101</v>
      </c>
      <c r="B3561" s="32">
        <f t="shared" si="853"/>
        <v>2048</v>
      </c>
      <c r="C3561" s="33" t="s">
        <v>49</v>
      </c>
      <c r="D3561" s="34" t="s">
        <v>1999</v>
      </c>
      <c r="E3561" s="35" t="str">
        <f t="shared" si="851"/>
        <v>PRBND'!</v>
      </c>
      <c r="F3561" s="34" t="str">
        <f t="shared" si="852"/>
        <v>C:\Users\jaime.benazar\Quorum Business Solutions\Ecopetrol Prometeo - Documents\Planning Space Implementation\3. Analysis &amp; Design\Design\FC22\DRR Jaime\QUIFA-CAJÚA\Cajua\[CAJUA_CF_SEC_New_27-Feb-2024Rev3.xlsx]D-PRBND'!</v>
      </c>
      <c r="G3561" s="32" t="s">
        <v>111</v>
      </c>
      <c r="H3561" s="33">
        <f t="shared" si="847"/>
        <v>37</v>
      </c>
      <c r="I3561" s="33" t="str">
        <f t="shared" si="846"/>
        <v>='C:\Users\jaime.benazar\Quorum Business Solutions\Ecopetrol Prometeo - Documents\Planning Space Implementation\3. Analysis &amp; Design\Design\FC22\DRR Jaime\QUIFA-CAJÚA\Cajua\[CAJUA_CF_SEC_New_27-Feb-2024Rev3.xlsx]D-PRBND'!$BE$37</v>
      </c>
      <c r="J3561" s="37" t="s">
        <v>3690</v>
      </c>
    </row>
    <row r="3562" spans="1:10" x14ac:dyDescent="0.25">
      <c r="A3562" s="32" t="s">
        <v>101</v>
      </c>
      <c r="B3562" s="32">
        <f t="shared" si="853"/>
        <v>2049</v>
      </c>
      <c r="C3562" s="33" t="s">
        <v>49</v>
      </c>
      <c r="D3562" s="34" t="s">
        <v>1999</v>
      </c>
      <c r="E3562" s="35" t="str">
        <f t="shared" si="851"/>
        <v>PRBND'!</v>
      </c>
      <c r="F3562" s="34" t="str">
        <f t="shared" si="852"/>
        <v>C:\Users\jaime.benazar\Quorum Business Solutions\Ecopetrol Prometeo - Documents\Planning Space Implementation\3. Analysis &amp; Design\Design\FC22\DRR Jaime\QUIFA-CAJÚA\Cajua\[CAJUA_CF_SEC_New_27-Feb-2024Rev3.xlsx]D-PRBND'!</v>
      </c>
      <c r="G3562" s="32" t="s">
        <v>111</v>
      </c>
      <c r="H3562" s="33">
        <f t="shared" si="847"/>
        <v>38</v>
      </c>
      <c r="I3562" s="33" t="str">
        <f t="shared" si="846"/>
        <v>='C:\Users\jaime.benazar\Quorum Business Solutions\Ecopetrol Prometeo - Documents\Planning Space Implementation\3. Analysis &amp; Design\Design\FC22\DRR Jaime\QUIFA-CAJÚA\Cajua\[CAJUA_CF_SEC_New_27-Feb-2024Rev3.xlsx]D-PRBND'!$BE$38</v>
      </c>
      <c r="J3562" s="37" t="s">
        <v>3691</v>
      </c>
    </row>
    <row r="3563" spans="1:10" x14ac:dyDescent="0.25">
      <c r="A3563" s="32" t="s">
        <v>101</v>
      </c>
      <c r="B3563" s="32">
        <f t="shared" si="853"/>
        <v>2050</v>
      </c>
      <c r="C3563" s="33" t="s">
        <v>49</v>
      </c>
      <c r="D3563" s="34" t="s">
        <v>1999</v>
      </c>
      <c r="E3563" s="35" t="str">
        <f t="shared" si="851"/>
        <v>PRBND'!</v>
      </c>
      <c r="F3563" s="34" t="str">
        <f t="shared" si="852"/>
        <v>C:\Users\jaime.benazar\Quorum Business Solutions\Ecopetrol Prometeo - Documents\Planning Space Implementation\3. Analysis &amp; Design\Design\FC22\DRR Jaime\QUIFA-CAJÚA\Cajua\[CAJUA_CF_SEC_New_27-Feb-2024Rev3.xlsx]D-PRBND'!</v>
      </c>
      <c r="G3563" s="32" t="s">
        <v>111</v>
      </c>
      <c r="H3563" s="33">
        <f t="shared" si="847"/>
        <v>39</v>
      </c>
      <c r="I3563" s="33" t="str">
        <f t="shared" si="846"/>
        <v>='C:\Users\jaime.benazar\Quorum Business Solutions\Ecopetrol Prometeo - Documents\Planning Space Implementation\3. Analysis &amp; Design\Design\FC22\DRR Jaime\QUIFA-CAJÚA\Cajua\[CAJUA_CF_SEC_New_27-Feb-2024Rev3.xlsx]D-PRBND'!$BE$39</v>
      </c>
      <c r="J3563" s="37" t="s">
        <v>3692</v>
      </c>
    </row>
    <row r="3564" spans="1:10" x14ac:dyDescent="0.25">
      <c r="A3564" s="32" t="s">
        <v>101</v>
      </c>
      <c r="B3564" s="32">
        <f t="shared" si="853"/>
        <v>2051</v>
      </c>
      <c r="C3564" s="33" t="s">
        <v>49</v>
      </c>
      <c r="D3564" s="34" t="s">
        <v>1999</v>
      </c>
      <c r="E3564" s="35" t="str">
        <f t="shared" si="851"/>
        <v>PRBND'!</v>
      </c>
      <c r="F3564" s="34" t="str">
        <f t="shared" si="852"/>
        <v>C:\Users\jaime.benazar\Quorum Business Solutions\Ecopetrol Prometeo - Documents\Planning Space Implementation\3. Analysis &amp; Design\Design\FC22\DRR Jaime\QUIFA-CAJÚA\Cajua\[CAJUA_CF_SEC_New_27-Feb-2024Rev3.xlsx]D-PRBND'!</v>
      </c>
      <c r="G3564" s="32" t="s">
        <v>111</v>
      </c>
      <c r="H3564" s="33">
        <f t="shared" si="847"/>
        <v>40</v>
      </c>
      <c r="I3564" s="33" t="str">
        <f t="shared" si="846"/>
        <v>='C:\Users\jaime.benazar\Quorum Business Solutions\Ecopetrol Prometeo - Documents\Planning Space Implementation\3. Analysis &amp; Design\Design\FC22\DRR Jaime\QUIFA-CAJÚA\Cajua\[CAJUA_CF_SEC_New_27-Feb-2024Rev3.xlsx]D-PRBND'!$BE$40</v>
      </c>
      <c r="J3564" s="37" t="s">
        <v>3693</v>
      </c>
    </row>
    <row r="3565" spans="1:10" x14ac:dyDescent="0.25">
      <c r="A3565" s="32" t="s">
        <v>101</v>
      </c>
      <c r="B3565" s="32">
        <f t="shared" si="853"/>
        <v>2052</v>
      </c>
      <c r="C3565" s="33" t="s">
        <v>49</v>
      </c>
      <c r="D3565" s="34" t="s">
        <v>1999</v>
      </c>
      <c r="E3565" s="35" t="str">
        <f t="shared" si="851"/>
        <v>PRBND'!</v>
      </c>
      <c r="F3565" s="34" t="str">
        <f t="shared" si="852"/>
        <v>C:\Users\jaime.benazar\Quorum Business Solutions\Ecopetrol Prometeo - Documents\Planning Space Implementation\3. Analysis &amp; Design\Design\FC22\DRR Jaime\QUIFA-CAJÚA\Cajua\[CAJUA_CF_SEC_New_27-Feb-2024Rev3.xlsx]D-PRBND'!</v>
      </c>
      <c r="G3565" s="32" t="s">
        <v>111</v>
      </c>
      <c r="H3565" s="33">
        <f t="shared" si="847"/>
        <v>41</v>
      </c>
      <c r="I3565" s="33" t="str">
        <f t="shared" si="846"/>
        <v>='C:\Users\jaime.benazar\Quorum Business Solutions\Ecopetrol Prometeo - Documents\Planning Space Implementation\3. Analysis &amp; Design\Design\FC22\DRR Jaime\QUIFA-CAJÚA\Cajua\[CAJUA_CF_SEC_New_27-Feb-2024Rev3.xlsx]D-PRBND'!$BE$41</v>
      </c>
      <c r="J3565" s="37" t="s">
        <v>3694</v>
      </c>
    </row>
    <row r="3566" spans="1:10" x14ac:dyDescent="0.25">
      <c r="A3566" s="32" t="s">
        <v>101</v>
      </c>
      <c r="B3566" s="32">
        <f t="shared" si="853"/>
        <v>2053</v>
      </c>
      <c r="C3566" s="33" t="s">
        <v>49</v>
      </c>
      <c r="D3566" s="34" t="s">
        <v>1999</v>
      </c>
      <c r="E3566" s="35" t="str">
        <f t="shared" si="851"/>
        <v>PRBND'!</v>
      </c>
      <c r="F3566" s="34" t="str">
        <f t="shared" si="852"/>
        <v>C:\Users\jaime.benazar\Quorum Business Solutions\Ecopetrol Prometeo - Documents\Planning Space Implementation\3. Analysis &amp; Design\Design\FC22\DRR Jaime\QUIFA-CAJÚA\Cajua\[CAJUA_CF_SEC_New_27-Feb-2024Rev3.xlsx]D-PRBND'!</v>
      </c>
      <c r="G3566" s="32" t="s">
        <v>111</v>
      </c>
      <c r="H3566" s="33">
        <f t="shared" si="847"/>
        <v>42</v>
      </c>
      <c r="I3566" s="33" t="str">
        <f t="shared" si="846"/>
        <v>='C:\Users\jaime.benazar\Quorum Business Solutions\Ecopetrol Prometeo - Documents\Planning Space Implementation\3. Analysis &amp; Design\Design\FC22\DRR Jaime\QUIFA-CAJÚA\Cajua\[CAJUA_CF_SEC_New_27-Feb-2024Rev3.xlsx]D-PRBND'!$BE$42</v>
      </c>
      <c r="J3566" s="37" t="s">
        <v>3695</v>
      </c>
    </row>
    <row r="3567" spans="1:10" x14ac:dyDescent="0.25">
      <c r="A3567" s="32" t="s">
        <v>101</v>
      </c>
      <c r="B3567" s="32">
        <f t="shared" si="853"/>
        <v>2054</v>
      </c>
      <c r="C3567" s="33" t="s">
        <v>49</v>
      </c>
      <c r="D3567" s="34" t="s">
        <v>1999</v>
      </c>
      <c r="E3567" s="35" t="str">
        <f t="shared" si="851"/>
        <v>PRBND'!</v>
      </c>
      <c r="F3567" s="34" t="str">
        <f t="shared" si="852"/>
        <v>C:\Users\jaime.benazar\Quorum Business Solutions\Ecopetrol Prometeo - Documents\Planning Space Implementation\3. Analysis &amp; Design\Design\FC22\DRR Jaime\QUIFA-CAJÚA\Cajua\[CAJUA_CF_SEC_New_27-Feb-2024Rev3.xlsx]D-PRBND'!</v>
      </c>
      <c r="G3567" s="32" t="s">
        <v>111</v>
      </c>
      <c r="H3567" s="33">
        <f t="shared" si="847"/>
        <v>43</v>
      </c>
      <c r="I3567" s="33" t="str">
        <f t="shared" si="846"/>
        <v>='C:\Users\jaime.benazar\Quorum Business Solutions\Ecopetrol Prometeo - Documents\Planning Space Implementation\3. Analysis &amp; Design\Design\FC22\DRR Jaime\QUIFA-CAJÚA\Cajua\[CAJUA_CF_SEC_New_27-Feb-2024Rev3.xlsx]D-PRBND'!$BE$43</v>
      </c>
      <c r="J3567" s="37" t="s">
        <v>3696</v>
      </c>
    </row>
    <row r="3568" spans="1:10" x14ac:dyDescent="0.25">
      <c r="A3568" s="32" t="s">
        <v>101</v>
      </c>
      <c r="B3568" s="32">
        <f t="shared" si="853"/>
        <v>2055</v>
      </c>
      <c r="C3568" s="33" t="s">
        <v>49</v>
      </c>
      <c r="D3568" s="34" t="s">
        <v>1999</v>
      </c>
      <c r="E3568" s="35" t="str">
        <f t="shared" si="851"/>
        <v>PRBND'!</v>
      </c>
      <c r="F3568" s="34" t="str">
        <f t="shared" si="852"/>
        <v>C:\Users\jaime.benazar\Quorum Business Solutions\Ecopetrol Prometeo - Documents\Planning Space Implementation\3. Analysis &amp; Design\Design\FC22\DRR Jaime\QUIFA-CAJÚA\Cajua\[CAJUA_CF_SEC_New_27-Feb-2024Rev3.xlsx]D-PRBND'!</v>
      </c>
      <c r="G3568" s="32" t="s">
        <v>111</v>
      </c>
      <c r="H3568" s="33">
        <f t="shared" si="847"/>
        <v>44</v>
      </c>
      <c r="I3568" s="33" t="str">
        <f t="shared" si="846"/>
        <v>='C:\Users\jaime.benazar\Quorum Business Solutions\Ecopetrol Prometeo - Documents\Planning Space Implementation\3. Analysis &amp; Design\Design\FC22\DRR Jaime\QUIFA-CAJÚA\Cajua\[CAJUA_CF_SEC_New_27-Feb-2024Rev3.xlsx]D-PRBND'!$BE$44</v>
      </c>
      <c r="J3568" s="37" t="s">
        <v>3697</v>
      </c>
    </row>
    <row r="3569" spans="1:10" x14ac:dyDescent="0.25">
      <c r="A3569" s="32" t="s">
        <v>101</v>
      </c>
      <c r="B3569" s="32">
        <f t="shared" si="853"/>
        <v>2056</v>
      </c>
      <c r="C3569" s="33" t="s">
        <v>49</v>
      </c>
      <c r="D3569" s="34" t="s">
        <v>1999</v>
      </c>
      <c r="E3569" s="35" t="str">
        <f t="shared" si="851"/>
        <v>PRBND'!</v>
      </c>
      <c r="F3569" s="34" t="str">
        <f t="shared" si="852"/>
        <v>C:\Users\jaime.benazar\Quorum Business Solutions\Ecopetrol Prometeo - Documents\Planning Space Implementation\3. Analysis &amp; Design\Design\FC22\DRR Jaime\QUIFA-CAJÚA\Cajua\[CAJUA_CF_SEC_New_27-Feb-2024Rev3.xlsx]D-PRBND'!</v>
      </c>
      <c r="G3569" s="32" t="s">
        <v>111</v>
      </c>
      <c r="H3569" s="33">
        <f t="shared" si="847"/>
        <v>45</v>
      </c>
      <c r="I3569" s="33" t="str">
        <f t="shared" si="846"/>
        <v>='C:\Users\jaime.benazar\Quorum Business Solutions\Ecopetrol Prometeo - Documents\Planning Space Implementation\3. Analysis &amp; Design\Design\FC22\DRR Jaime\QUIFA-CAJÚA\Cajua\[CAJUA_CF_SEC_New_27-Feb-2024Rev3.xlsx]D-PRBND'!$BE$45</v>
      </c>
      <c r="J3569" s="37" t="s">
        <v>3698</v>
      </c>
    </row>
    <row r="3570" spans="1:10" x14ac:dyDescent="0.25">
      <c r="A3570" s="32" t="s">
        <v>101</v>
      </c>
      <c r="B3570" s="32">
        <f t="shared" si="853"/>
        <v>2057</v>
      </c>
      <c r="C3570" s="33" t="s">
        <v>49</v>
      </c>
      <c r="D3570" s="34" t="s">
        <v>1999</v>
      </c>
      <c r="E3570" s="35" t="str">
        <f t="shared" si="851"/>
        <v>PRBND'!</v>
      </c>
      <c r="F3570" s="34" t="str">
        <f t="shared" si="852"/>
        <v>C:\Users\jaime.benazar\Quorum Business Solutions\Ecopetrol Prometeo - Documents\Planning Space Implementation\3. Analysis &amp; Design\Design\FC22\DRR Jaime\QUIFA-CAJÚA\Cajua\[CAJUA_CF_SEC_New_27-Feb-2024Rev3.xlsx]D-PRBND'!</v>
      </c>
      <c r="G3570" s="32" t="s">
        <v>111</v>
      </c>
      <c r="H3570" s="33">
        <f t="shared" si="847"/>
        <v>46</v>
      </c>
      <c r="I3570" s="33" t="str">
        <f t="shared" si="846"/>
        <v>='C:\Users\jaime.benazar\Quorum Business Solutions\Ecopetrol Prometeo - Documents\Planning Space Implementation\3. Analysis &amp; Design\Design\FC22\DRR Jaime\QUIFA-CAJÚA\Cajua\[CAJUA_CF_SEC_New_27-Feb-2024Rev3.xlsx]D-PRBND'!$BE$46</v>
      </c>
      <c r="J3570" s="37" t="s">
        <v>3699</v>
      </c>
    </row>
    <row r="3571" spans="1:10" x14ac:dyDescent="0.25">
      <c r="A3571" s="32" t="s">
        <v>101</v>
      </c>
      <c r="B3571" s="32">
        <f t="shared" si="853"/>
        <v>2058</v>
      </c>
      <c r="C3571" s="33" t="s">
        <v>49</v>
      </c>
      <c r="D3571" s="34" t="s">
        <v>1999</v>
      </c>
      <c r="E3571" s="35" t="str">
        <f t="shared" si="851"/>
        <v>PRBND'!</v>
      </c>
      <c r="F3571" s="34" t="str">
        <f t="shared" si="852"/>
        <v>C:\Users\jaime.benazar\Quorum Business Solutions\Ecopetrol Prometeo - Documents\Planning Space Implementation\3. Analysis &amp; Design\Design\FC22\DRR Jaime\QUIFA-CAJÚA\Cajua\[CAJUA_CF_SEC_New_27-Feb-2024Rev3.xlsx]D-PRBND'!</v>
      </c>
      <c r="G3571" s="32" t="s">
        <v>111</v>
      </c>
      <c r="H3571" s="33">
        <f t="shared" si="847"/>
        <v>47</v>
      </c>
      <c r="I3571" s="33" t="str">
        <f t="shared" si="846"/>
        <v>='C:\Users\jaime.benazar\Quorum Business Solutions\Ecopetrol Prometeo - Documents\Planning Space Implementation\3. Analysis &amp; Design\Design\FC22\DRR Jaime\QUIFA-CAJÚA\Cajua\[CAJUA_CF_SEC_New_27-Feb-2024Rev3.xlsx]D-PRBND'!$BE$47</v>
      </c>
      <c r="J3571" s="37" t="s">
        <v>3700</v>
      </c>
    </row>
    <row r="3572" spans="1:10" x14ac:dyDescent="0.25">
      <c r="A3572" s="32" t="s">
        <v>101</v>
      </c>
      <c r="B3572" s="32">
        <f t="shared" si="853"/>
        <v>2059</v>
      </c>
      <c r="C3572" s="33" t="s">
        <v>49</v>
      </c>
      <c r="D3572" s="34" t="s">
        <v>1999</v>
      </c>
      <c r="E3572" s="35" t="str">
        <f t="shared" si="851"/>
        <v>PRBND'!</v>
      </c>
      <c r="F3572" s="34" t="str">
        <f t="shared" si="852"/>
        <v>C:\Users\jaime.benazar\Quorum Business Solutions\Ecopetrol Prometeo - Documents\Planning Space Implementation\3. Analysis &amp; Design\Design\FC22\DRR Jaime\QUIFA-CAJÚA\Cajua\[CAJUA_CF_SEC_New_27-Feb-2024Rev3.xlsx]D-PRBND'!</v>
      </c>
      <c r="G3572" s="32" t="s">
        <v>111</v>
      </c>
      <c r="H3572" s="33">
        <f t="shared" si="847"/>
        <v>48</v>
      </c>
      <c r="I3572" s="33" t="str">
        <f t="shared" si="846"/>
        <v>='C:\Users\jaime.benazar\Quorum Business Solutions\Ecopetrol Prometeo - Documents\Planning Space Implementation\3. Analysis &amp; Design\Design\FC22\DRR Jaime\QUIFA-CAJÚA\Cajua\[CAJUA_CF_SEC_New_27-Feb-2024Rev3.xlsx]D-PRBND'!$BE$48</v>
      </c>
      <c r="J3572" s="37" t="s">
        <v>3701</v>
      </c>
    </row>
    <row r="3573" spans="1:10" x14ac:dyDescent="0.25">
      <c r="A3573" s="32" t="s">
        <v>28</v>
      </c>
      <c r="B3573" s="32"/>
      <c r="C3573" s="33" t="s">
        <v>49</v>
      </c>
      <c r="D3573" s="34"/>
      <c r="E3573" s="35"/>
      <c r="F3573" s="34"/>
      <c r="G3573" s="32"/>
      <c r="H3573" s="33"/>
      <c r="I3573" s="33"/>
      <c r="J3573" s="36"/>
    </row>
    <row r="3574" spans="1:10" x14ac:dyDescent="0.25">
      <c r="A3574" s="32" t="s">
        <v>4</v>
      </c>
      <c r="B3574" s="32">
        <v>2023</v>
      </c>
      <c r="C3574" s="33" t="s">
        <v>49</v>
      </c>
      <c r="D3574" s="34" t="s">
        <v>1999</v>
      </c>
      <c r="E3574" s="35" t="str">
        <f t="shared" ref="E3574:E3594" si="854">_xlfn.CONCAT(A3574,"'!")</f>
        <v>PRB'!</v>
      </c>
      <c r="F3574" s="34" t="str">
        <f t="shared" ref="F3574:F3594" si="855">_xlfn.CONCAT(D3574:E3574)</f>
        <v>C:\Users\jaime.benazar\Quorum Business Solutions\Ecopetrol Prometeo - Documents\Planning Space Implementation\3. Analysis &amp; Design\Design\FC22\DRR Jaime\QUIFA-CAJÚA\Cajua\[CAJUA_CF_SEC_New_27-Feb-2024Rev3.xlsx]D-PRB'!</v>
      </c>
      <c r="G3574" s="32" t="s">
        <v>111</v>
      </c>
      <c r="H3574" s="33">
        <f>IF(A3574&lt;&gt;A3558,12,H3558+1)</f>
        <v>12</v>
      </c>
      <c r="I3574" s="33" t="str">
        <f t="shared" ref="I3574:I3594" si="856">_xlfn.CONCAT("='",F3574:H3574)</f>
        <v>='C:\Users\jaime.benazar\Quorum Business Solutions\Ecopetrol Prometeo - Documents\Planning Space Implementation\3. Analysis &amp; Design\Design\FC22\DRR Jaime\QUIFA-CAJÚA\Cajua\[CAJUA_CF_SEC_New_27-Feb-2024Rev3.xlsx]D-PRB'!$BE$12</v>
      </c>
      <c r="J3574" s="37" t="s">
        <v>3702</v>
      </c>
    </row>
    <row r="3575" spans="1:10" x14ac:dyDescent="0.25">
      <c r="A3575" s="32" t="s">
        <v>4</v>
      </c>
      <c r="B3575" s="32">
        <f>+B3574+1</f>
        <v>2024</v>
      </c>
      <c r="C3575" s="33" t="s">
        <v>49</v>
      </c>
      <c r="D3575" s="34" t="s">
        <v>1999</v>
      </c>
      <c r="E3575" s="35" t="str">
        <f t="shared" si="854"/>
        <v>PRB'!</v>
      </c>
      <c r="F3575" s="34" t="str">
        <f t="shared" si="855"/>
        <v>C:\Users\jaime.benazar\Quorum Business Solutions\Ecopetrol Prometeo - Documents\Planning Space Implementation\3. Analysis &amp; Design\Design\FC22\DRR Jaime\QUIFA-CAJÚA\Cajua\[CAJUA_CF_SEC_New_27-Feb-2024Rev3.xlsx]D-PRB'!</v>
      </c>
      <c r="G3575" s="32" t="s">
        <v>111</v>
      </c>
      <c r="H3575" s="33">
        <f t="shared" ref="H3575:H3594" si="857">IF(A3575&lt;&gt;A3574,36,H3574+1)</f>
        <v>13</v>
      </c>
      <c r="I3575" s="33" t="str">
        <f t="shared" si="856"/>
        <v>='C:\Users\jaime.benazar\Quorum Business Solutions\Ecopetrol Prometeo - Documents\Planning Space Implementation\3. Analysis &amp; Design\Design\FC22\DRR Jaime\QUIFA-CAJÚA\Cajua\[CAJUA_CF_SEC_New_27-Feb-2024Rev3.xlsx]D-PRB'!$BE$13</v>
      </c>
      <c r="J3575" s="37" t="s">
        <v>3703</v>
      </c>
    </row>
    <row r="3576" spans="1:10" x14ac:dyDescent="0.25">
      <c r="A3576" s="32" t="s">
        <v>4</v>
      </c>
      <c r="B3576" s="32">
        <f t="shared" ref="B3576:B3587" si="858">+B3575+1</f>
        <v>2025</v>
      </c>
      <c r="C3576" s="33" t="s">
        <v>49</v>
      </c>
      <c r="D3576" s="34" t="s">
        <v>1999</v>
      </c>
      <c r="E3576" s="35" t="str">
        <f t="shared" si="854"/>
        <v>PRB'!</v>
      </c>
      <c r="F3576" s="34" t="str">
        <f t="shared" si="855"/>
        <v>C:\Users\jaime.benazar\Quorum Business Solutions\Ecopetrol Prometeo - Documents\Planning Space Implementation\3. Analysis &amp; Design\Design\FC22\DRR Jaime\QUIFA-CAJÚA\Cajua\[CAJUA_CF_SEC_New_27-Feb-2024Rev3.xlsx]D-PRB'!</v>
      </c>
      <c r="G3576" s="32" t="s">
        <v>111</v>
      </c>
      <c r="H3576" s="33">
        <f t="shared" si="857"/>
        <v>14</v>
      </c>
      <c r="I3576" s="33" t="str">
        <f t="shared" si="856"/>
        <v>='C:\Users\jaime.benazar\Quorum Business Solutions\Ecopetrol Prometeo - Documents\Planning Space Implementation\3. Analysis &amp; Design\Design\FC22\DRR Jaime\QUIFA-CAJÚA\Cajua\[CAJUA_CF_SEC_New_27-Feb-2024Rev3.xlsx]D-PRB'!$BE$14</v>
      </c>
      <c r="J3576" s="37" t="s">
        <v>3704</v>
      </c>
    </row>
    <row r="3577" spans="1:10" x14ac:dyDescent="0.25">
      <c r="A3577" s="32" t="s">
        <v>4</v>
      </c>
      <c r="B3577" s="32">
        <f t="shared" si="858"/>
        <v>2026</v>
      </c>
      <c r="C3577" s="33" t="s">
        <v>49</v>
      </c>
      <c r="D3577" s="34" t="s">
        <v>1999</v>
      </c>
      <c r="E3577" s="35" t="str">
        <f t="shared" si="854"/>
        <v>PRB'!</v>
      </c>
      <c r="F3577" s="34" t="str">
        <f t="shared" si="855"/>
        <v>C:\Users\jaime.benazar\Quorum Business Solutions\Ecopetrol Prometeo - Documents\Planning Space Implementation\3. Analysis &amp; Design\Design\FC22\DRR Jaime\QUIFA-CAJÚA\Cajua\[CAJUA_CF_SEC_New_27-Feb-2024Rev3.xlsx]D-PRB'!</v>
      </c>
      <c r="G3577" s="32" t="s">
        <v>111</v>
      </c>
      <c r="H3577" s="33">
        <f t="shared" si="857"/>
        <v>15</v>
      </c>
      <c r="I3577" s="33" t="str">
        <f t="shared" si="856"/>
        <v>='C:\Users\jaime.benazar\Quorum Business Solutions\Ecopetrol Prometeo - Documents\Planning Space Implementation\3. Analysis &amp; Design\Design\FC22\DRR Jaime\QUIFA-CAJÚA\Cajua\[CAJUA_CF_SEC_New_27-Feb-2024Rev3.xlsx]D-PRB'!$BE$15</v>
      </c>
      <c r="J3577" s="37" t="s">
        <v>3705</v>
      </c>
    </row>
    <row r="3578" spans="1:10" x14ac:dyDescent="0.25">
      <c r="A3578" s="32" t="s">
        <v>4</v>
      </c>
      <c r="B3578" s="32">
        <f t="shared" si="858"/>
        <v>2027</v>
      </c>
      <c r="C3578" s="33" t="s">
        <v>49</v>
      </c>
      <c r="D3578" s="34" t="s">
        <v>1999</v>
      </c>
      <c r="E3578" s="35" t="str">
        <f t="shared" si="854"/>
        <v>PRB'!</v>
      </c>
      <c r="F3578" s="34" t="str">
        <f t="shared" si="855"/>
        <v>C:\Users\jaime.benazar\Quorum Business Solutions\Ecopetrol Prometeo - Documents\Planning Space Implementation\3. Analysis &amp; Design\Design\FC22\DRR Jaime\QUIFA-CAJÚA\Cajua\[CAJUA_CF_SEC_New_27-Feb-2024Rev3.xlsx]D-PRB'!</v>
      </c>
      <c r="G3578" s="32" t="s">
        <v>111</v>
      </c>
      <c r="H3578" s="33">
        <f t="shared" si="857"/>
        <v>16</v>
      </c>
      <c r="I3578" s="33" t="str">
        <f t="shared" si="856"/>
        <v>='C:\Users\jaime.benazar\Quorum Business Solutions\Ecopetrol Prometeo - Documents\Planning Space Implementation\3. Analysis &amp; Design\Design\FC22\DRR Jaime\QUIFA-CAJÚA\Cajua\[CAJUA_CF_SEC_New_27-Feb-2024Rev3.xlsx]D-PRB'!$BE$16</v>
      </c>
      <c r="J3578" s="37" t="s">
        <v>3706</v>
      </c>
    </row>
    <row r="3579" spans="1:10" x14ac:dyDescent="0.25">
      <c r="A3579" s="32" t="s">
        <v>4</v>
      </c>
      <c r="B3579" s="32">
        <f t="shared" si="858"/>
        <v>2028</v>
      </c>
      <c r="C3579" s="33" t="s">
        <v>49</v>
      </c>
      <c r="D3579" s="34" t="s">
        <v>1999</v>
      </c>
      <c r="E3579" s="35" t="str">
        <f t="shared" si="854"/>
        <v>PRB'!</v>
      </c>
      <c r="F3579" s="34" t="str">
        <f t="shared" si="855"/>
        <v>C:\Users\jaime.benazar\Quorum Business Solutions\Ecopetrol Prometeo - Documents\Planning Space Implementation\3. Analysis &amp; Design\Design\FC22\DRR Jaime\QUIFA-CAJÚA\Cajua\[CAJUA_CF_SEC_New_27-Feb-2024Rev3.xlsx]D-PRB'!</v>
      </c>
      <c r="G3579" s="32" t="s">
        <v>111</v>
      </c>
      <c r="H3579" s="33">
        <f t="shared" si="857"/>
        <v>17</v>
      </c>
      <c r="I3579" s="33" t="str">
        <f t="shared" si="856"/>
        <v>='C:\Users\jaime.benazar\Quorum Business Solutions\Ecopetrol Prometeo - Documents\Planning Space Implementation\3. Analysis &amp; Design\Design\FC22\DRR Jaime\QUIFA-CAJÚA\Cajua\[CAJUA_CF_SEC_New_27-Feb-2024Rev3.xlsx]D-PRB'!$BE$17</v>
      </c>
      <c r="J3579" s="37" t="s">
        <v>3707</v>
      </c>
    </row>
    <row r="3580" spans="1:10" x14ac:dyDescent="0.25">
      <c r="A3580" s="32" t="s">
        <v>4</v>
      </c>
      <c r="B3580" s="32">
        <f t="shared" si="858"/>
        <v>2029</v>
      </c>
      <c r="C3580" s="33" t="s">
        <v>49</v>
      </c>
      <c r="D3580" s="34" t="s">
        <v>1999</v>
      </c>
      <c r="E3580" s="35" t="str">
        <f t="shared" si="854"/>
        <v>PRB'!</v>
      </c>
      <c r="F3580" s="34" t="str">
        <f t="shared" si="855"/>
        <v>C:\Users\jaime.benazar\Quorum Business Solutions\Ecopetrol Prometeo - Documents\Planning Space Implementation\3. Analysis &amp; Design\Design\FC22\DRR Jaime\QUIFA-CAJÚA\Cajua\[CAJUA_CF_SEC_New_27-Feb-2024Rev3.xlsx]D-PRB'!</v>
      </c>
      <c r="G3580" s="32" t="s">
        <v>111</v>
      </c>
      <c r="H3580" s="33">
        <f t="shared" si="857"/>
        <v>18</v>
      </c>
      <c r="I3580" s="33" t="str">
        <f t="shared" si="856"/>
        <v>='C:\Users\jaime.benazar\Quorum Business Solutions\Ecopetrol Prometeo - Documents\Planning Space Implementation\3. Analysis &amp; Design\Design\FC22\DRR Jaime\QUIFA-CAJÚA\Cajua\[CAJUA_CF_SEC_New_27-Feb-2024Rev3.xlsx]D-PRB'!$BE$18</v>
      </c>
      <c r="J3580" s="37" t="s">
        <v>3708</v>
      </c>
    </row>
    <row r="3581" spans="1:10" x14ac:dyDescent="0.25">
      <c r="A3581" s="32" t="s">
        <v>4</v>
      </c>
      <c r="B3581" s="32">
        <f t="shared" si="858"/>
        <v>2030</v>
      </c>
      <c r="C3581" s="33" t="s">
        <v>49</v>
      </c>
      <c r="D3581" s="34" t="s">
        <v>1999</v>
      </c>
      <c r="E3581" s="35" t="str">
        <f t="shared" si="854"/>
        <v>PRB'!</v>
      </c>
      <c r="F3581" s="34" t="str">
        <f t="shared" si="855"/>
        <v>C:\Users\jaime.benazar\Quorum Business Solutions\Ecopetrol Prometeo - Documents\Planning Space Implementation\3. Analysis &amp; Design\Design\FC22\DRR Jaime\QUIFA-CAJÚA\Cajua\[CAJUA_CF_SEC_New_27-Feb-2024Rev3.xlsx]D-PRB'!</v>
      </c>
      <c r="G3581" s="32" t="s">
        <v>111</v>
      </c>
      <c r="H3581" s="33">
        <f t="shared" si="857"/>
        <v>19</v>
      </c>
      <c r="I3581" s="33" t="str">
        <f t="shared" si="856"/>
        <v>='C:\Users\jaime.benazar\Quorum Business Solutions\Ecopetrol Prometeo - Documents\Planning Space Implementation\3. Analysis &amp; Design\Design\FC22\DRR Jaime\QUIFA-CAJÚA\Cajua\[CAJUA_CF_SEC_New_27-Feb-2024Rev3.xlsx]D-PRB'!$BE$19</v>
      </c>
      <c r="J3581" s="37" t="s">
        <v>3709</v>
      </c>
    </row>
    <row r="3582" spans="1:10" x14ac:dyDescent="0.25">
      <c r="A3582" s="32" t="s">
        <v>4</v>
      </c>
      <c r="B3582" s="32">
        <f t="shared" si="858"/>
        <v>2031</v>
      </c>
      <c r="C3582" s="33" t="s">
        <v>49</v>
      </c>
      <c r="D3582" s="34" t="s">
        <v>1999</v>
      </c>
      <c r="E3582" s="35" t="str">
        <f t="shared" si="854"/>
        <v>PRB'!</v>
      </c>
      <c r="F3582" s="34" t="str">
        <f t="shared" si="855"/>
        <v>C:\Users\jaime.benazar\Quorum Business Solutions\Ecopetrol Prometeo - Documents\Planning Space Implementation\3. Analysis &amp; Design\Design\FC22\DRR Jaime\QUIFA-CAJÚA\Cajua\[CAJUA_CF_SEC_New_27-Feb-2024Rev3.xlsx]D-PRB'!</v>
      </c>
      <c r="G3582" s="32" t="s">
        <v>111</v>
      </c>
      <c r="H3582" s="33">
        <f t="shared" si="857"/>
        <v>20</v>
      </c>
      <c r="I3582" s="33" t="str">
        <f t="shared" si="856"/>
        <v>='C:\Users\jaime.benazar\Quorum Business Solutions\Ecopetrol Prometeo - Documents\Planning Space Implementation\3. Analysis &amp; Design\Design\FC22\DRR Jaime\QUIFA-CAJÚA\Cajua\[CAJUA_CF_SEC_New_27-Feb-2024Rev3.xlsx]D-PRB'!$BE$20</v>
      </c>
      <c r="J3582" s="37" t="s">
        <v>3710</v>
      </c>
    </row>
    <row r="3583" spans="1:10" x14ac:dyDescent="0.25">
      <c r="A3583" s="32" t="s">
        <v>4</v>
      </c>
      <c r="B3583" s="32">
        <f t="shared" si="858"/>
        <v>2032</v>
      </c>
      <c r="C3583" s="33" t="s">
        <v>49</v>
      </c>
      <c r="D3583" s="34" t="s">
        <v>1999</v>
      </c>
      <c r="E3583" s="35" t="str">
        <f t="shared" si="854"/>
        <v>PRB'!</v>
      </c>
      <c r="F3583" s="34" t="str">
        <f t="shared" si="855"/>
        <v>C:\Users\jaime.benazar\Quorum Business Solutions\Ecopetrol Prometeo - Documents\Planning Space Implementation\3. Analysis &amp; Design\Design\FC22\DRR Jaime\QUIFA-CAJÚA\Cajua\[CAJUA_CF_SEC_New_27-Feb-2024Rev3.xlsx]D-PRB'!</v>
      </c>
      <c r="G3583" s="32" t="s">
        <v>111</v>
      </c>
      <c r="H3583" s="33">
        <f t="shared" si="857"/>
        <v>21</v>
      </c>
      <c r="I3583" s="33" t="str">
        <f t="shared" si="856"/>
        <v>='C:\Users\jaime.benazar\Quorum Business Solutions\Ecopetrol Prometeo - Documents\Planning Space Implementation\3. Analysis &amp; Design\Design\FC22\DRR Jaime\QUIFA-CAJÚA\Cajua\[CAJUA_CF_SEC_New_27-Feb-2024Rev3.xlsx]D-PRB'!$BE$21</v>
      </c>
      <c r="J3583" s="37" t="s">
        <v>3711</v>
      </c>
    </row>
    <row r="3584" spans="1:10" x14ac:dyDescent="0.25">
      <c r="A3584" s="32" t="s">
        <v>4</v>
      </c>
      <c r="B3584" s="32">
        <f t="shared" si="858"/>
        <v>2033</v>
      </c>
      <c r="C3584" s="33" t="s">
        <v>49</v>
      </c>
      <c r="D3584" s="34" t="s">
        <v>1999</v>
      </c>
      <c r="E3584" s="35" t="str">
        <f t="shared" si="854"/>
        <v>PRB'!</v>
      </c>
      <c r="F3584" s="34" t="str">
        <f t="shared" si="855"/>
        <v>C:\Users\jaime.benazar\Quorum Business Solutions\Ecopetrol Prometeo - Documents\Planning Space Implementation\3. Analysis &amp; Design\Design\FC22\DRR Jaime\QUIFA-CAJÚA\Cajua\[CAJUA_CF_SEC_New_27-Feb-2024Rev3.xlsx]D-PRB'!</v>
      </c>
      <c r="G3584" s="32" t="s">
        <v>111</v>
      </c>
      <c r="H3584" s="33">
        <f t="shared" si="857"/>
        <v>22</v>
      </c>
      <c r="I3584" s="33" t="str">
        <f t="shared" si="856"/>
        <v>='C:\Users\jaime.benazar\Quorum Business Solutions\Ecopetrol Prometeo - Documents\Planning Space Implementation\3. Analysis &amp; Design\Design\FC22\DRR Jaime\QUIFA-CAJÚA\Cajua\[CAJUA_CF_SEC_New_27-Feb-2024Rev3.xlsx]D-PRB'!$BE$22</v>
      </c>
      <c r="J3584" s="37" t="s">
        <v>3712</v>
      </c>
    </row>
    <row r="3585" spans="1:10" x14ac:dyDescent="0.25">
      <c r="A3585" s="32" t="s">
        <v>4</v>
      </c>
      <c r="B3585" s="32">
        <f t="shared" si="858"/>
        <v>2034</v>
      </c>
      <c r="C3585" s="33" t="s">
        <v>49</v>
      </c>
      <c r="D3585" s="34" t="s">
        <v>1999</v>
      </c>
      <c r="E3585" s="35" t="str">
        <f t="shared" si="854"/>
        <v>PRB'!</v>
      </c>
      <c r="F3585" s="34" t="str">
        <f t="shared" si="855"/>
        <v>C:\Users\jaime.benazar\Quorum Business Solutions\Ecopetrol Prometeo - Documents\Planning Space Implementation\3. Analysis &amp; Design\Design\FC22\DRR Jaime\QUIFA-CAJÚA\Cajua\[CAJUA_CF_SEC_New_27-Feb-2024Rev3.xlsx]D-PRB'!</v>
      </c>
      <c r="G3585" s="32" t="s">
        <v>111</v>
      </c>
      <c r="H3585" s="33">
        <f t="shared" si="857"/>
        <v>23</v>
      </c>
      <c r="I3585" s="33" t="str">
        <f t="shared" si="856"/>
        <v>='C:\Users\jaime.benazar\Quorum Business Solutions\Ecopetrol Prometeo - Documents\Planning Space Implementation\3. Analysis &amp; Design\Design\FC22\DRR Jaime\QUIFA-CAJÚA\Cajua\[CAJUA_CF_SEC_New_27-Feb-2024Rev3.xlsx]D-PRB'!$BE$23</v>
      </c>
      <c r="J3585" s="37" t="s">
        <v>3713</v>
      </c>
    </row>
    <row r="3586" spans="1:10" x14ac:dyDescent="0.25">
      <c r="A3586" s="32" t="s">
        <v>4</v>
      </c>
      <c r="B3586" s="32">
        <f t="shared" si="858"/>
        <v>2035</v>
      </c>
      <c r="C3586" s="33" t="s">
        <v>49</v>
      </c>
      <c r="D3586" s="34" t="s">
        <v>1999</v>
      </c>
      <c r="E3586" s="35" t="str">
        <f t="shared" si="854"/>
        <v>PRB'!</v>
      </c>
      <c r="F3586" s="34" t="str">
        <f t="shared" si="855"/>
        <v>C:\Users\jaime.benazar\Quorum Business Solutions\Ecopetrol Prometeo - Documents\Planning Space Implementation\3. Analysis &amp; Design\Design\FC22\DRR Jaime\QUIFA-CAJÚA\Cajua\[CAJUA_CF_SEC_New_27-Feb-2024Rev3.xlsx]D-PRB'!</v>
      </c>
      <c r="G3586" s="32" t="s">
        <v>111</v>
      </c>
      <c r="H3586" s="33">
        <f t="shared" si="857"/>
        <v>24</v>
      </c>
      <c r="I3586" s="33" t="str">
        <f t="shared" si="856"/>
        <v>='C:\Users\jaime.benazar\Quorum Business Solutions\Ecopetrol Prometeo - Documents\Planning Space Implementation\3. Analysis &amp; Design\Design\FC22\DRR Jaime\QUIFA-CAJÚA\Cajua\[CAJUA_CF_SEC_New_27-Feb-2024Rev3.xlsx]D-PRB'!$BE$24</v>
      </c>
      <c r="J3586" s="37" t="s">
        <v>3714</v>
      </c>
    </row>
    <row r="3587" spans="1:10" x14ac:dyDescent="0.25">
      <c r="A3587" s="32" t="s">
        <v>4</v>
      </c>
      <c r="B3587" s="32">
        <f t="shared" si="858"/>
        <v>2036</v>
      </c>
      <c r="C3587" s="33" t="s">
        <v>49</v>
      </c>
      <c r="D3587" s="34" t="s">
        <v>1999</v>
      </c>
      <c r="E3587" s="35" t="str">
        <f t="shared" si="854"/>
        <v>PRB'!</v>
      </c>
      <c r="F3587" s="34" t="str">
        <f t="shared" si="855"/>
        <v>C:\Users\jaime.benazar\Quorum Business Solutions\Ecopetrol Prometeo - Documents\Planning Space Implementation\3. Analysis &amp; Design\Design\FC22\DRR Jaime\QUIFA-CAJÚA\Cajua\[CAJUA_CF_SEC_New_27-Feb-2024Rev3.xlsx]D-PRB'!</v>
      </c>
      <c r="G3587" s="32" t="s">
        <v>111</v>
      </c>
      <c r="H3587" s="33">
        <f t="shared" si="857"/>
        <v>25</v>
      </c>
      <c r="I3587" s="33" t="str">
        <f t="shared" si="856"/>
        <v>='C:\Users\jaime.benazar\Quorum Business Solutions\Ecopetrol Prometeo - Documents\Planning Space Implementation\3. Analysis &amp; Design\Design\FC22\DRR Jaime\QUIFA-CAJÚA\Cajua\[CAJUA_CF_SEC_New_27-Feb-2024Rev3.xlsx]D-PRB'!$BE$25</v>
      </c>
      <c r="J3587" s="37" t="s">
        <v>3715</v>
      </c>
    </row>
    <row r="3588" spans="1:10" x14ac:dyDescent="0.25">
      <c r="A3588" s="32" t="s">
        <v>4</v>
      </c>
      <c r="B3588" s="32">
        <f>+B3587+1</f>
        <v>2037</v>
      </c>
      <c r="C3588" s="33" t="s">
        <v>49</v>
      </c>
      <c r="D3588" s="34" t="s">
        <v>1999</v>
      </c>
      <c r="E3588" s="35" t="str">
        <f t="shared" si="854"/>
        <v>PRB'!</v>
      </c>
      <c r="F3588" s="34" t="str">
        <f t="shared" si="855"/>
        <v>C:\Users\jaime.benazar\Quorum Business Solutions\Ecopetrol Prometeo - Documents\Planning Space Implementation\3. Analysis &amp; Design\Design\FC22\DRR Jaime\QUIFA-CAJÚA\Cajua\[CAJUA_CF_SEC_New_27-Feb-2024Rev3.xlsx]D-PRB'!</v>
      </c>
      <c r="G3588" s="32" t="s">
        <v>111</v>
      </c>
      <c r="H3588" s="33">
        <f t="shared" si="857"/>
        <v>26</v>
      </c>
      <c r="I3588" s="33" t="str">
        <f t="shared" si="856"/>
        <v>='C:\Users\jaime.benazar\Quorum Business Solutions\Ecopetrol Prometeo - Documents\Planning Space Implementation\3. Analysis &amp; Design\Design\FC22\DRR Jaime\QUIFA-CAJÚA\Cajua\[CAJUA_CF_SEC_New_27-Feb-2024Rev3.xlsx]D-PRB'!$BE$26</v>
      </c>
      <c r="J3588" s="37" t="s">
        <v>3716</v>
      </c>
    </row>
    <row r="3589" spans="1:10" x14ac:dyDescent="0.25">
      <c r="A3589" s="32" t="s">
        <v>4</v>
      </c>
      <c r="B3589" s="32">
        <f t="shared" ref="B3589:B3591" si="859">+B3588+1</f>
        <v>2038</v>
      </c>
      <c r="C3589" s="33" t="s">
        <v>49</v>
      </c>
      <c r="D3589" s="34" t="s">
        <v>1999</v>
      </c>
      <c r="E3589" s="35" t="str">
        <f t="shared" si="854"/>
        <v>PRB'!</v>
      </c>
      <c r="F3589" s="34" t="str">
        <f t="shared" si="855"/>
        <v>C:\Users\jaime.benazar\Quorum Business Solutions\Ecopetrol Prometeo - Documents\Planning Space Implementation\3. Analysis &amp; Design\Design\FC22\DRR Jaime\QUIFA-CAJÚA\Cajua\[CAJUA_CF_SEC_New_27-Feb-2024Rev3.xlsx]D-PRB'!</v>
      </c>
      <c r="G3589" s="32" t="s">
        <v>111</v>
      </c>
      <c r="H3589" s="33">
        <f t="shared" si="857"/>
        <v>27</v>
      </c>
      <c r="I3589" s="33" t="str">
        <f t="shared" si="856"/>
        <v>='C:\Users\jaime.benazar\Quorum Business Solutions\Ecopetrol Prometeo - Documents\Planning Space Implementation\3. Analysis &amp; Design\Design\FC22\DRR Jaime\QUIFA-CAJÚA\Cajua\[CAJUA_CF_SEC_New_27-Feb-2024Rev3.xlsx]D-PRB'!$BE$27</v>
      </c>
      <c r="J3589" s="37" t="s">
        <v>3717</v>
      </c>
    </row>
    <row r="3590" spans="1:10" x14ac:dyDescent="0.25">
      <c r="A3590" s="32" t="s">
        <v>4</v>
      </c>
      <c r="B3590" s="32">
        <f t="shared" si="859"/>
        <v>2039</v>
      </c>
      <c r="C3590" s="33" t="s">
        <v>49</v>
      </c>
      <c r="D3590" s="34" t="s">
        <v>1999</v>
      </c>
      <c r="E3590" s="35" t="str">
        <f t="shared" si="854"/>
        <v>PRB'!</v>
      </c>
      <c r="F3590" s="34" t="str">
        <f t="shared" si="855"/>
        <v>C:\Users\jaime.benazar\Quorum Business Solutions\Ecopetrol Prometeo - Documents\Planning Space Implementation\3. Analysis &amp; Design\Design\FC22\DRR Jaime\QUIFA-CAJÚA\Cajua\[CAJUA_CF_SEC_New_27-Feb-2024Rev3.xlsx]D-PRB'!</v>
      </c>
      <c r="G3590" s="32" t="s">
        <v>111</v>
      </c>
      <c r="H3590" s="33">
        <f t="shared" si="857"/>
        <v>28</v>
      </c>
      <c r="I3590" s="33" t="str">
        <f t="shared" si="856"/>
        <v>='C:\Users\jaime.benazar\Quorum Business Solutions\Ecopetrol Prometeo - Documents\Planning Space Implementation\3. Analysis &amp; Design\Design\FC22\DRR Jaime\QUIFA-CAJÚA\Cajua\[CAJUA_CF_SEC_New_27-Feb-2024Rev3.xlsx]D-PRB'!$BE$28</v>
      </c>
      <c r="J3590" s="37" t="s">
        <v>3718</v>
      </c>
    </row>
    <row r="3591" spans="1:10" x14ac:dyDescent="0.25">
      <c r="A3591" s="32" t="s">
        <v>4</v>
      </c>
      <c r="B3591" s="32">
        <f t="shared" si="859"/>
        <v>2040</v>
      </c>
      <c r="C3591" s="33" t="s">
        <v>49</v>
      </c>
      <c r="D3591" s="34" t="s">
        <v>1999</v>
      </c>
      <c r="E3591" s="35" t="str">
        <f t="shared" si="854"/>
        <v>PRB'!</v>
      </c>
      <c r="F3591" s="34" t="str">
        <f t="shared" si="855"/>
        <v>C:\Users\jaime.benazar\Quorum Business Solutions\Ecopetrol Prometeo - Documents\Planning Space Implementation\3. Analysis &amp; Design\Design\FC22\DRR Jaime\QUIFA-CAJÚA\Cajua\[CAJUA_CF_SEC_New_27-Feb-2024Rev3.xlsx]D-PRB'!</v>
      </c>
      <c r="G3591" s="32" t="s">
        <v>111</v>
      </c>
      <c r="H3591" s="33">
        <f t="shared" si="857"/>
        <v>29</v>
      </c>
      <c r="I3591" s="33" t="str">
        <f t="shared" si="856"/>
        <v>='C:\Users\jaime.benazar\Quorum Business Solutions\Ecopetrol Prometeo - Documents\Planning Space Implementation\3. Analysis &amp; Design\Design\FC22\DRR Jaime\QUIFA-CAJÚA\Cajua\[CAJUA_CF_SEC_New_27-Feb-2024Rev3.xlsx]D-PRB'!$BE$29</v>
      </c>
      <c r="J3591" s="37" t="s">
        <v>3719</v>
      </c>
    </row>
    <row r="3592" spans="1:10" x14ac:dyDescent="0.25">
      <c r="A3592" s="32" t="s">
        <v>4</v>
      </c>
      <c r="B3592" s="32">
        <f>+B3591+1</f>
        <v>2041</v>
      </c>
      <c r="C3592" s="33" t="s">
        <v>49</v>
      </c>
      <c r="D3592" s="34" t="s">
        <v>1999</v>
      </c>
      <c r="E3592" s="35" t="str">
        <f t="shared" si="854"/>
        <v>PRB'!</v>
      </c>
      <c r="F3592" s="34" t="str">
        <f t="shared" si="855"/>
        <v>C:\Users\jaime.benazar\Quorum Business Solutions\Ecopetrol Prometeo - Documents\Planning Space Implementation\3. Analysis &amp; Design\Design\FC22\DRR Jaime\QUIFA-CAJÚA\Cajua\[CAJUA_CF_SEC_New_27-Feb-2024Rev3.xlsx]D-PRB'!</v>
      </c>
      <c r="G3592" s="32" t="s">
        <v>111</v>
      </c>
      <c r="H3592" s="33">
        <f t="shared" si="857"/>
        <v>30</v>
      </c>
      <c r="I3592" s="33" t="str">
        <f t="shared" si="856"/>
        <v>='C:\Users\jaime.benazar\Quorum Business Solutions\Ecopetrol Prometeo - Documents\Planning Space Implementation\3. Analysis &amp; Design\Design\FC22\DRR Jaime\QUIFA-CAJÚA\Cajua\[CAJUA_CF_SEC_New_27-Feb-2024Rev3.xlsx]D-PRB'!$BE$30</v>
      </c>
      <c r="J3592" s="37" t="s">
        <v>3720</v>
      </c>
    </row>
    <row r="3593" spans="1:10" x14ac:dyDescent="0.25">
      <c r="A3593" s="32" t="s">
        <v>4</v>
      </c>
      <c r="B3593" s="32">
        <f t="shared" ref="B3593:B3594" si="860">+B3592+1</f>
        <v>2042</v>
      </c>
      <c r="C3593" s="33" t="s">
        <v>49</v>
      </c>
      <c r="D3593" s="34" t="s">
        <v>1999</v>
      </c>
      <c r="E3593" s="35" t="str">
        <f t="shared" si="854"/>
        <v>PRB'!</v>
      </c>
      <c r="F3593" s="34" t="str">
        <f t="shared" si="855"/>
        <v>C:\Users\jaime.benazar\Quorum Business Solutions\Ecopetrol Prometeo - Documents\Planning Space Implementation\3. Analysis &amp; Design\Design\FC22\DRR Jaime\QUIFA-CAJÚA\Cajua\[CAJUA_CF_SEC_New_27-Feb-2024Rev3.xlsx]D-PRB'!</v>
      </c>
      <c r="G3593" s="32" t="s">
        <v>111</v>
      </c>
      <c r="H3593" s="33">
        <f t="shared" si="857"/>
        <v>31</v>
      </c>
      <c r="I3593" s="33" t="str">
        <f t="shared" si="856"/>
        <v>='C:\Users\jaime.benazar\Quorum Business Solutions\Ecopetrol Prometeo - Documents\Planning Space Implementation\3. Analysis &amp; Design\Design\FC22\DRR Jaime\QUIFA-CAJÚA\Cajua\[CAJUA_CF_SEC_New_27-Feb-2024Rev3.xlsx]D-PRB'!$BE$31</v>
      </c>
      <c r="J3593" s="37" t="s">
        <v>3721</v>
      </c>
    </row>
    <row r="3594" spans="1:10" x14ac:dyDescent="0.25">
      <c r="A3594" s="32" t="s">
        <v>4</v>
      </c>
      <c r="B3594" s="32">
        <f t="shared" si="860"/>
        <v>2043</v>
      </c>
      <c r="C3594" s="33" t="s">
        <v>49</v>
      </c>
      <c r="D3594" s="34" t="s">
        <v>1999</v>
      </c>
      <c r="E3594" s="35" t="str">
        <f t="shared" si="854"/>
        <v>PRB'!</v>
      </c>
      <c r="F3594" s="34" t="str">
        <f t="shared" si="855"/>
        <v>C:\Users\jaime.benazar\Quorum Business Solutions\Ecopetrol Prometeo - Documents\Planning Space Implementation\3. Analysis &amp; Design\Design\FC22\DRR Jaime\QUIFA-CAJÚA\Cajua\[CAJUA_CF_SEC_New_27-Feb-2024Rev3.xlsx]D-PRB'!</v>
      </c>
      <c r="G3594" s="32" t="s">
        <v>111</v>
      </c>
      <c r="H3594" s="33">
        <f t="shared" si="857"/>
        <v>32</v>
      </c>
      <c r="I3594" s="33" t="str">
        <f t="shared" si="856"/>
        <v>='C:\Users\jaime.benazar\Quorum Business Solutions\Ecopetrol Prometeo - Documents\Planning Space Implementation\3. Analysis &amp; Design\Design\FC22\DRR Jaime\QUIFA-CAJÚA\Cajua\[CAJUA_CF_SEC_New_27-Feb-2024Rev3.xlsx]D-PRB'!$BE$32</v>
      </c>
      <c r="J3594" s="37" t="s">
        <v>3722</v>
      </c>
    </row>
    <row r="3595" spans="1:10" x14ac:dyDescent="0.25">
      <c r="A3595" s="32" t="s">
        <v>4</v>
      </c>
      <c r="B3595" s="32">
        <f>+B3594+1</f>
        <v>2044</v>
      </c>
      <c r="C3595" s="33" t="s">
        <v>49</v>
      </c>
      <c r="D3595" s="34" t="s">
        <v>1999</v>
      </c>
      <c r="E3595" s="35" t="str">
        <f t="shared" ref="E3595:E3610" si="861">_xlfn.CONCAT(A3595,"'!")</f>
        <v>PRB'!</v>
      </c>
      <c r="F3595" s="34" t="str">
        <f t="shared" ref="F3595:F3610" si="862">_xlfn.CONCAT(D3595:E3595)</f>
        <v>C:\Users\jaime.benazar\Quorum Business Solutions\Ecopetrol Prometeo - Documents\Planning Space Implementation\3. Analysis &amp; Design\Design\FC22\DRR Jaime\QUIFA-CAJÚA\Cajua\[CAJUA_CF_SEC_New_27-Feb-2024Rev3.xlsx]D-PRB'!</v>
      </c>
      <c r="G3595" s="32" t="s">
        <v>111</v>
      </c>
      <c r="H3595" s="33">
        <f t="shared" ref="H3595:H3610" si="863">IF(A3595&lt;&gt;A3594,36,H3594+1)</f>
        <v>33</v>
      </c>
      <c r="I3595" s="33" t="str">
        <f t="shared" ref="I3595:I3610" si="864">_xlfn.CONCAT("='",F3595:H3595)</f>
        <v>='C:\Users\jaime.benazar\Quorum Business Solutions\Ecopetrol Prometeo - Documents\Planning Space Implementation\3. Analysis &amp; Design\Design\FC22\DRR Jaime\QUIFA-CAJÚA\Cajua\[CAJUA_CF_SEC_New_27-Feb-2024Rev3.xlsx]D-PRB'!$BE$33</v>
      </c>
      <c r="J3595" s="37" t="s">
        <v>3723</v>
      </c>
    </row>
    <row r="3596" spans="1:10" x14ac:dyDescent="0.25">
      <c r="A3596" s="32" t="s">
        <v>4</v>
      </c>
      <c r="B3596" s="32">
        <f t="shared" ref="B3596:B3610" si="865">+B3595+1</f>
        <v>2045</v>
      </c>
      <c r="C3596" s="33" t="s">
        <v>49</v>
      </c>
      <c r="D3596" s="34" t="s">
        <v>1999</v>
      </c>
      <c r="E3596" s="35" t="str">
        <f t="shared" si="861"/>
        <v>PRB'!</v>
      </c>
      <c r="F3596" s="34" t="str">
        <f t="shared" si="862"/>
        <v>C:\Users\jaime.benazar\Quorum Business Solutions\Ecopetrol Prometeo - Documents\Planning Space Implementation\3. Analysis &amp; Design\Design\FC22\DRR Jaime\QUIFA-CAJÚA\Cajua\[CAJUA_CF_SEC_New_27-Feb-2024Rev3.xlsx]D-PRB'!</v>
      </c>
      <c r="G3596" s="32" t="s">
        <v>111</v>
      </c>
      <c r="H3596" s="33">
        <f t="shared" si="863"/>
        <v>34</v>
      </c>
      <c r="I3596" s="33" t="str">
        <f t="shared" si="864"/>
        <v>='C:\Users\jaime.benazar\Quorum Business Solutions\Ecopetrol Prometeo - Documents\Planning Space Implementation\3. Analysis &amp; Design\Design\FC22\DRR Jaime\QUIFA-CAJÚA\Cajua\[CAJUA_CF_SEC_New_27-Feb-2024Rev3.xlsx]D-PRB'!$BE$34</v>
      </c>
      <c r="J3596" s="37" t="s">
        <v>3724</v>
      </c>
    </row>
    <row r="3597" spans="1:10" x14ac:dyDescent="0.25">
      <c r="A3597" s="32" t="s">
        <v>4</v>
      </c>
      <c r="B3597" s="32">
        <f t="shared" si="865"/>
        <v>2046</v>
      </c>
      <c r="C3597" s="33" t="s">
        <v>49</v>
      </c>
      <c r="D3597" s="34" t="s">
        <v>1999</v>
      </c>
      <c r="E3597" s="35" t="str">
        <f t="shared" si="861"/>
        <v>PRB'!</v>
      </c>
      <c r="F3597" s="34" t="str">
        <f t="shared" si="862"/>
        <v>C:\Users\jaime.benazar\Quorum Business Solutions\Ecopetrol Prometeo - Documents\Planning Space Implementation\3. Analysis &amp; Design\Design\FC22\DRR Jaime\QUIFA-CAJÚA\Cajua\[CAJUA_CF_SEC_New_27-Feb-2024Rev3.xlsx]D-PRB'!</v>
      </c>
      <c r="G3597" s="32" t="s">
        <v>111</v>
      </c>
      <c r="H3597" s="33">
        <f t="shared" si="863"/>
        <v>35</v>
      </c>
      <c r="I3597" s="33" t="str">
        <f t="shared" si="864"/>
        <v>='C:\Users\jaime.benazar\Quorum Business Solutions\Ecopetrol Prometeo - Documents\Planning Space Implementation\3. Analysis &amp; Design\Design\FC22\DRR Jaime\QUIFA-CAJÚA\Cajua\[CAJUA_CF_SEC_New_27-Feb-2024Rev3.xlsx]D-PRB'!$BE$35</v>
      </c>
      <c r="J3597" s="37" t="s">
        <v>3725</v>
      </c>
    </row>
    <row r="3598" spans="1:10" x14ac:dyDescent="0.25">
      <c r="A3598" s="32" t="s">
        <v>4</v>
      </c>
      <c r="B3598" s="32">
        <f t="shared" si="865"/>
        <v>2047</v>
      </c>
      <c r="C3598" s="33" t="s">
        <v>49</v>
      </c>
      <c r="D3598" s="34" t="s">
        <v>1999</v>
      </c>
      <c r="E3598" s="35" t="str">
        <f t="shared" si="861"/>
        <v>PRB'!</v>
      </c>
      <c r="F3598" s="34" t="str">
        <f t="shared" si="862"/>
        <v>C:\Users\jaime.benazar\Quorum Business Solutions\Ecopetrol Prometeo - Documents\Planning Space Implementation\3. Analysis &amp; Design\Design\FC22\DRR Jaime\QUIFA-CAJÚA\Cajua\[CAJUA_CF_SEC_New_27-Feb-2024Rev3.xlsx]D-PRB'!</v>
      </c>
      <c r="G3598" s="32" t="s">
        <v>111</v>
      </c>
      <c r="H3598" s="33">
        <f t="shared" si="863"/>
        <v>36</v>
      </c>
      <c r="I3598" s="33" t="str">
        <f t="shared" si="864"/>
        <v>='C:\Users\jaime.benazar\Quorum Business Solutions\Ecopetrol Prometeo - Documents\Planning Space Implementation\3. Analysis &amp; Design\Design\FC22\DRR Jaime\QUIFA-CAJÚA\Cajua\[CAJUA_CF_SEC_New_27-Feb-2024Rev3.xlsx]D-PRB'!$BE$36</v>
      </c>
      <c r="J3598" s="37" t="s">
        <v>3726</v>
      </c>
    </row>
    <row r="3599" spans="1:10" x14ac:dyDescent="0.25">
      <c r="A3599" s="32" t="s">
        <v>4</v>
      </c>
      <c r="B3599" s="32">
        <f t="shared" si="865"/>
        <v>2048</v>
      </c>
      <c r="C3599" s="33" t="s">
        <v>49</v>
      </c>
      <c r="D3599" s="34" t="s">
        <v>1999</v>
      </c>
      <c r="E3599" s="35" t="str">
        <f t="shared" si="861"/>
        <v>PRB'!</v>
      </c>
      <c r="F3599" s="34" t="str">
        <f t="shared" si="862"/>
        <v>C:\Users\jaime.benazar\Quorum Business Solutions\Ecopetrol Prometeo - Documents\Planning Space Implementation\3. Analysis &amp; Design\Design\FC22\DRR Jaime\QUIFA-CAJÚA\Cajua\[CAJUA_CF_SEC_New_27-Feb-2024Rev3.xlsx]D-PRB'!</v>
      </c>
      <c r="G3599" s="32" t="s">
        <v>111</v>
      </c>
      <c r="H3599" s="33">
        <f t="shared" si="863"/>
        <v>37</v>
      </c>
      <c r="I3599" s="33" t="str">
        <f t="shared" si="864"/>
        <v>='C:\Users\jaime.benazar\Quorum Business Solutions\Ecopetrol Prometeo - Documents\Planning Space Implementation\3. Analysis &amp; Design\Design\FC22\DRR Jaime\QUIFA-CAJÚA\Cajua\[CAJUA_CF_SEC_New_27-Feb-2024Rev3.xlsx]D-PRB'!$BE$37</v>
      </c>
      <c r="J3599" s="37" t="s">
        <v>3727</v>
      </c>
    </row>
    <row r="3600" spans="1:10" x14ac:dyDescent="0.25">
      <c r="A3600" s="32" t="s">
        <v>4</v>
      </c>
      <c r="B3600" s="32">
        <f t="shared" si="865"/>
        <v>2049</v>
      </c>
      <c r="C3600" s="33" t="s">
        <v>49</v>
      </c>
      <c r="D3600" s="34" t="s">
        <v>1999</v>
      </c>
      <c r="E3600" s="35" t="str">
        <f t="shared" si="861"/>
        <v>PRB'!</v>
      </c>
      <c r="F3600" s="34" t="str">
        <f t="shared" si="862"/>
        <v>C:\Users\jaime.benazar\Quorum Business Solutions\Ecopetrol Prometeo - Documents\Planning Space Implementation\3. Analysis &amp; Design\Design\FC22\DRR Jaime\QUIFA-CAJÚA\Cajua\[CAJUA_CF_SEC_New_27-Feb-2024Rev3.xlsx]D-PRB'!</v>
      </c>
      <c r="G3600" s="32" t="s">
        <v>111</v>
      </c>
      <c r="H3600" s="33">
        <f t="shared" si="863"/>
        <v>38</v>
      </c>
      <c r="I3600" s="33" t="str">
        <f t="shared" si="864"/>
        <v>='C:\Users\jaime.benazar\Quorum Business Solutions\Ecopetrol Prometeo - Documents\Planning Space Implementation\3. Analysis &amp; Design\Design\FC22\DRR Jaime\QUIFA-CAJÚA\Cajua\[CAJUA_CF_SEC_New_27-Feb-2024Rev3.xlsx]D-PRB'!$BE$38</v>
      </c>
      <c r="J3600" s="37" t="s">
        <v>3728</v>
      </c>
    </row>
    <row r="3601" spans="1:10" x14ac:dyDescent="0.25">
      <c r="A3601" s="32" t="s">
        <v>4</v>
      </c>
      <c r="B3601" s="32">
        <f t="shared" si="865"/>
        <v>2050</v>
      </c>
      <c r="C3601" s="33" t="s">
        <v>49</v>
      </c>
      <c r="D3601" s="34" t="s">
        <v>1999</v>
      </c>
      <c r="E3601" s="35" t="str">
        <f t="shared" si="861"/>
        <v>PRB'!</v>
      </c>
      <c r="F3601" s="34" t="str">
        <f t="shared" si="862"/>
        <v>C:\Users\jaime.benazar\Quorum Business Solutions\Ecopetrol Prometeo - Documents\Planning Space Implementation\3. Analysis &amp; Design\Design\FC22\DRR Jaime\QUIFA-CAJÚA\Cajua\[CAJUA_CF_SEC_New_27-Feb-2024Rev3.xlsx]D-PRB'!</v>
      </c>
      <c r="G3601" s="32" t="s">
        <v>111</v>
      </c>
      <c r="H3601" s="33">
        <f t="shared" si="863"/>
        <v>39</v>
      </c>
      <c r="I3601" s="33" t="str">
        <f t="shared" si="864"/>
        <v>='C:\Users\jaime.benazar\Quorum Business Solutions\Ecopetrol Prometeo - Documents\Planning Space Implementation\3. Analysis &amp; Design\Design\FC22\DRR Jaime\QUIFA-CAJÚA\Cajua\[CAJUA_CF_SEC_New_27-Feb-2024Rev3.xlsx]D-PRB'!$BE$39</v>
      </c>
      <c r="J3601" s="37" t="s">
        <v>3729</v>
      </c>
    </row>
    <row r="3602" spans="1:10" x14ac:dyDescent="0.25">
      <c r="A3602" s="32" t="s">
        <v>4</v>
      </c>
      <c r="B3602" s="32">
        <f t="shared" si="865"/>
        <v>2051</v>
      </c>
      <c r="C3602" s="33" t="s">
        <v>49</v>
      </c>
      <c r="D3602" s="34" t="s">
        <v>1999</v>
      </c>
      <c r="E3602" s="35" t="str">
        <f t="shared" si="861"/>
        <v>PRB'!</v>
      </c>
      <c r="F3602" s="34" t="str">
        <f t="shared" si="862"/>
        <v>C:\Users\jaime.benazar\Quorum Business Solutions\Ecopetrol Prometeo - Documents\Planning Space Implementation\3. Analysis &amp; Design\Design\FC22\DRR Jaime\QUIFA-CAJÚA\Cajua\[CAJUA_CF_SEC_New_27-Feb-2024Rev3.xlsx]D-PRB'!</v>
      </c>
      <c r="G3602" s="32" t="s">
        <v>111</v>
      </c>
      <c r="H3602" s="33">
        <f t="shared" si="863"/>
        <v>40</v>
      </c>
      <c r="I3602" s="33" t="str">
        <f t="shared" si="864"/>
        <v>='C:\Users\jaime.benazar\Quorum Business Solutions\Ecopetrol Prometeo - Documents\Planning Space Implementation\3. Analysis &amp; Design\Design\FC22\DRR Jaime\QUIFA-CAJÚA\Cajua\[CAJUA_CF_SEC_New_27-Feb-2024Rev3.xlsx]D-PRB'!$BE$40</v>
      </c>
      <c r="J3602" s="37" t="s">
        <v>3730</v>
      </c>
    </row>
    <row r="3603" spans="1:10" x14ac:dyDescent="0.25">
      <c r="A3603" s="32" t="s">
        <v>4</v>
      </c>
      <c r="B3603" s="32">
        <f t="shared" si="865"/>
        <v>2052</v>
      </c>
      <c r="C3603" s="33" t="s">
        <v>49</v>
      </c>
      <c r="D3603" s="34" t="s">
        <v>1999</v>
      </c>
      <c r="E3603" s="35" t="str">
        <f t="shared" si="861"/>
        <v>PRB'!</v>
      </c>
      <c r="F3603" s="34" t="str">
        <f t="shared" si="862"/>
        <v>C:\Users\jaime.benazar\Quorum Business Solutions\Ecopetrol Prometeo - Documents\Planning Space Implementation\3. Analysis &amp; Design\Design\FC22\DRR Jaime\QUIFA-CAJÚA\Cajua\[CAJUA_CF_SEC_New_27-Feb-2024Rev3.xlsx]D-PRB'!</v>
      </c>
      <c r="G3603" s="32" t="s">
        <v>111</v>
      </c>
      <c r="H3603" s="33">
        <f t="shared" si="863"/>
        <v>41</v>
      </c>
      <c r="I3603" s="33" t="str">
        <f t="shared" si="864"/>
        <v>='C:\Users\jaime.benazar\Quorum Business Solutions\Ecopetrol Prometeo - Documents\Planning Space Implementation\3. Analysis &amp; Design\Design\FC22\DRR Jaime\QUIFA-CAJÚA\Cajua\[CAJUA_CF_SEC_New_27-Feb-2024Rev3.xlsx]D-PRB'!$BE$41</v>
      </c>
      <c r="J3603" s="37" t="s">
        <v>3731</v>
      </c>
    </row>
    <row r="3604" spans="1:10" x14ac:dyDescent="0.25">
      <c r="A3604" s="32" t="s">
        <v>4</v>
      </c>
      <c r="B3604" s="32">
        <f t="shared" si="865"/>
        <v>2053</v>
      </c>
      <c r="C3604" s="33" t="s">
        <v>49</v>
      </c>
      <c r="D3604" s="34" t="s">
        <v>1999</v>
      </c>
      <c r="E3604" s="35" t="str">
        <f t="shared" si="861"/>
        <v>PRB'!</v>
      </c>
      <c r="F3604" s="34" t="str">
        <f t="shared" si="862"/>
        <v>C:\Users\jaime.benazar\Quorum Business Solutions\Ecopetrol Prometeo - Documents\Planning Space Implementation\3. Analysis &amp; Design\Design\FC22\DRR Jaime\QUIFA-CAJÚA\Cajua\[CAJUA_CF_SEC_New_27-Feb-2024Rev3.xlsx]D-PRB'!</v>
      </c>
      <c r="G3604" s="32" t="s">
        <v>111</v>
      </c>
      <c r="H3604" s="33">
        <f t="shared" si="863"/>
        <v>42</v>
      </c>
      <c r="I3604" s="33" t="str">
        <f t="shared" si="864"/>
        <v>='C:\Users\jaime.benazar\Quorum Business Solutions\Ecopetrol Prometeo - Documents\Planning Space Implementation\3. Analysis &amp; Design\Design\FC22\DRR Jaime\QUIFA-CAJÚA\Cajua\[CAJUA_CF_SEC_New_27-Feb-2024Rev3.xlsx]D-PRB'!$BE$42</v>
      </c>
      <c r="J3604" s="37" t="s">
        <v>3732</v>
      </c>
    </row>
    <row r="3605" spans="1:10" x14ac:dyDescent="0.25">
      <c r="A3605" s="32" t="s">
        <v>4</v>
      </c>
      <c r="B3605" s="32">
        <f t="shared" si="865"/>
        <v>2054</v>
      </c>
      <c r="C3605" s="33" t="s">
        <v>49</v>
      </c>
      <c r="D3605" s="34" t="s">
        <v>1999</v>
      </c>
      <c r="E3605" s="35" t="str">
        <f t="shared" si="861"/>
        <v>PRB'!</v>
      </c>
      <c r="F3605" s="34" t="str">
        <f t="shared" si="862"/>
        <v>C:\Users\jaime.benazar\Quorum Business Solutions\Ecopetrol Prometeo - Documents\Planning Space Implementation\3. Analysis &amp; Design\Design\FC22\DRR Jaime\QUIFA-CAJÚA\Cajua\[CAJUA_CF_SEC_New_27-Feb-2024Rev3.xlsx]D-PRB'!</v>
      </c>
      <c r="G3605" s="32" t="s">
        <v>111</v>
      </c>
      <c r="H3605" s="33">
        <f t="shared" si="863"/>
        <v>43</v>
      </c>
      <c r="I3605" s="33" t="str">
        <f t="shared" si="864"/>
        <v>='C:\Users\jaime.benazar\Quorum Business Solutions\Ecopetrol Prometeo - Documents\Planning Space Implementation\3. Analysis &amp; Design\Design\FC22\DRR Jaime\QUIFA-CAJÚA\Cajua\[CAJUA_CF_SEC_New_27-Feb-2024Rev3.xlsx]D-PRB'!$BE$43</v>
      </c>
      <c r="J3605" s="37" t="s">
        <v>3733</v>
      </c>
    </row>
    <row r="3606" spans="1:10" x14ac:dyDescent="0.25">
      <c r="A3606" s="32" t="s">
        <v>4</v>
      </c>
      <c r="B3606" s="32">
        <f t="shared" si="865"/>
        <v>2055</v>
      </c>
      <c r="C3606" s="33" t="s">
        <v>49</v>
      </c>
      <c r="D3606" s="34" t="s">
        <v>1999</v>
      </c>
      <c r="E3606" s="35" t="str">
        <f t="shared" si="861"/>
        <v>PRB'!</v>
      </c>
      <c r="F3606" s="34" t="str">
        <f t="shared" si="862"/>
        <v>C:\Users\jaime.benazar\Quorum Business Solutions\Ecopetrol Prometeo - Documents\Planning Space Implementation\3. Analysis &amp; Design\Design\FC22\DRR Jaime\QUIFA-CAJÚA\Cajua\[CAJUA_CF_SEC_New_27-Feb-2024Rev3.xlsx]D-PRB'!</v>
      </c>
      <c r="G3606" s="32" t="s">
        <v>111</v>
      </c>
      <c r="H3606" s="33">
        <f t="shared" si="863"/>
        <v>44</v>
      </c>
      <c r="I3606" s="33" t="str">
        <f t="shared" si="864"/>
        <v>='C:\Users\jaime.benazar\Quorum Business Solutions\Ecopetrol Prometeo - Documents\Planning Space Implementation\3. Analysis &amp; Design\Design\FC22\DRR Jaime\QUIFA-CAJÚA\Cajua\[CAJUA_CF_SEC_New_27-Feb-2024Rev3.xlsx]D-PRB'!$BE$44</v>
      </c>
      <c r="J3606" s="37" t="s">
        <v>3734</v>
      </c>
    </row>
    <row r="3607" spans="1:10" x14ac:dyDescent="0.25">
      <c r="A3607" s="32" t="s">
        <v>4</v>
      </c>
      <c r="B3607" s="32">
        <f t="shared" si="865"/>
        <v>2056</v>
      </c>
      <c r="C3607" s="33" t="s">
        <v>49</v>
      </c>
      <c r="D3607" s="34" t="s">
        <v>1999</v>
      </c>
      <c r="E3607" s="35" t="str">
        <f t="shared" si="861"/>
        <v>PRB'!</v>
      </c>
      <c r="F3607" s="34" t="str">
        <f t="shared" si="862"/>
        <v>C:\Users\jaime.benazar\Quorum Business Solutions\Ecopetrol Prometeo - Documents\Planning Space Implementation\3. Analysis &amp; Design\Design\FC22\DRR Jaime\QUIFA-CAJÚA\Cajua\[CAJUA_CF_SEC_New_27-Feb-2024Rev3.xlsx]D-PRB'!</v>
      </c>
      <c r="G3607" s="32" t="s">
        <v>111</v>
      </c>
      <c r="H3607" s="33">
        <f t="shared" si="863"/>
        <v>45</v>
      </c>
      <c r="I3607" s="33" t="str">
        <f t="shared" si="864"/>
        <v>='C:\Users\jaime.benazar\Quorum Business Solutions\Ecopetrol Prometeo - Documents\Planning Space Implementation\3. Analysis &amp; Design\Design\FC22\DRR Jaime\QUIFA-CAJÚA\Cajua\[CAJUA_CF_SEC_New_27-Feb-2024Rev3.xlsx]D-PRB'!$BE$45</v>
      </c>
      <c r="J3607" s="37" t="s">
        <v>3735</v>
      </c>
    </row>
    <row r="3608" spans="1:10" x14ac:dyDescent="0.25">
      <c r="A3608" s="32" t="s">
        <v>4</v>
      </c>
      <c r="B3608" s="32">
        <f t="shared" si="865"/>
        <v>2057</v>
      </c>
      <c r="C3608" s="33" t="s">
        <v>49</v>
      </c>
      <c r="D3608" s="34" t="s">
        <v>1999</v>
      </c>
      <c r="E3608" s="35" t="str">
        <f t="shared" si="861"/>
        <v>PRB'!</v>
      </c>
      <c r="F3608" s="34" t="str">
        <f t="shared" si="862"/>
        <v>C:\Users\jaime.benazar\Quorum Business Solutions\Ecopetrol Prometeo - Documents\Planning Space Implementation\3. Analysis &amp; Design\Design\FC22\DRR Jaime\QUIFA-CAJÚA\Cajua\[CAJUA_CF_SEC_New_27-Feb-2024Rev3.xlsx]D-PRB'!</v>
      </c>
      <c r="G3608" s="32" t="s">
        <v>111</v>
      </c>
      <c r="H3608" s="33">
        <f t="shared" si="863"/>
        <v>46</v>
      </c>
      <c r="I3608" s="33" t="str">
        <f t="shared" si="864"/>
        <v>='C:\Users\jaime.benazar\Quorum Business Solutions\Ecopetrol Prometeo - Documents\Planning Space Implementation\3. Analysis &amp; Design\Design\FC22\DRR Jaime\QUIFA-CAJÚA\Cajua\[CAJUA_CF_SEC_New_27-Feb-2024Rev3.xlsx]D-PRB'!$BE$46</v>
      </c>
      <c r="J3608" s="37" t="s">
        <v>3736</v>
      </c>
    </row>
    <row r="3609" spans="1:10" x14ac:dyDescent="0.25">
      <c r="A3609" s="32" t="s">
        <v>4</v>
      </c>
      <c r="B3609" s="32">
        <f t="shared" si="865"/>
        <v>2058</v>
      </c>
      <c r="C3609" s="33" t="s">
        <v>49</v>
      </c>
      <c r="D3609" s="34" t="s">
        <v>1999</v>
      </c>
      <c r="E3609" s="35" t="str">
        <f t="shared" si="861"/>
        <v>PRB'!</v>
      </c>
      <c r="F3609" s="34" t="str">
        <f t="shared" si="862"/>
        <v>C:\Users\jaime.benazar\Quorum Business Solutions\Ecopetrol Prometeo - Documents\Planning Space Implementation\3. Analysis &amp; Design\Design\FC22\DRR Jaime\QUIFA-CAJÚA\Cajua\[CAJUA_CF_SEC_New_27-Feb-2024Rev3.xlsx]D-PRB'!</v>
      </c>
      <c r="G3609" s="32" t="s">
        <v>111</v>
      </c>
      <c r="H3609" s="33">
        <f t="shared" si="863"/>
        <v>47</v>
      </c>
      <c r="I3609" s="33" t="str">
        <f t="shared" si="864"/>
        <v>='C:\Users\jaime.benazar\Quorum Business Solutions\Ecopetrol Prometeo - Documents\Planning Space Implementation\3. Analysis &amp; Design\Design\FC22\DRR Jaime\QUIFA-CAJÚA\Cajua\[CAJUA_CF_SEC_New_27-Feb-2024Rev3.xlsx]D-PRB'!$BE$47</v>
      </c>
      <c r="J3609" s="37" t="s">
        <v>3737</v>
      </c>
    </row>
    <row r="3610" spans="1:10" x14ac:dyDescent="0.25">
      <c r="A3610" s="32" t="s">
        <v>4</v>
      </c>
      <c r="B3610" s="32">
        <f t="shared" si="865"/>
        <v>2059</v>
      </c>
      <c r="C3610" s="33" t="s">
        <v>49</v>
      </c>
      <c r="D3610" s="34" t="s">
        <v>1999</v>
      </c>
      <c r="E3610" s="35" t="str">
        <f t="shared" si="861"/>
        <v>PRB'!</v>
      </c>
      <c r="F3610" s="34" t="str">
        <f t="shared" si="862"/>
        <v>C:\Users\jaime.benazar\Quorum Business Solutions\Ecopetrol Prometeo - Documents\Planning Space Implementation\3. Analysis &amp; Design\Design\FC22\DRR Jaime\QUIFA-CAJÚA\Cajua\[CAJUA_CF_SEC_New_27-Feb-2024Rev3.xlsx]D-PRB'!</v>
      </c>
      <c r="G3610" s="32" t="s">
        <v>111</v>
      </c>
      <c r="H3610" s="33">
        <f t="shared" si="863"/>
        <v>48</v>
      </c>
      <c r="I3610" s="33" t="str">
        <f t="shared" si="864"/>
        <v>='C:\Users\jaime.benazar\Quorum Business Solutions\Ecopetrol Prometeo - Documents\Planning Space Implementation\3. Analysis &amp; Design\Design\FC22\DRR Jaime\QUIFA-CAJÚA\Cajua\[CAJUA_CF_SEC_New_27-Feb-2024Rev3.xlsx]D-PRB'!$BE$48</v>
      </c>
      <c r="J3610" s="37" t="s">
        <v>3738</v>
      </c>
    </row>
    <row r="3611" spans="1:10" x14ac:dyDescent="0.25">
      <c r="A3611" s="32" t="s">
        <v>28</v>
      </c>
      <c r="B3611" s="32"/>
      <c r="C3611" s="33" t="s">
        <v>49</v>
      </c>
      <c r="D3611" s="34"/>
      <c r="E3611" s="35"/>
      <c r="F3611" s="34"/>
      <c r="G3611" s="32"/>
      <c r="H3611" s="33"/>
      <c r="I3611" s="33"/>
      <c r="J3611" s="33"/>
    </row>
    <row r="3612" spans="1:10" x14ac:dyDescent="0.25">
      <c r="A3612" s="32" t="s">
        <v>102</v>
      </c>
      <c r="B3612" s="32">
        <v>2023</v>
      </c>
      <c r="C3612" s="33" t="s">
        <v>49</v>
      </c>
      <c r="D3612" s="34" t="s">
        <v>1999</v>
      </c>
      <c r="E3612" s="35" t="str">
        <f t="shared" ref="E3612:E3632" si="866">_xlfn.CONCAT(A3612,"'!")</f>
        <v>PSDP'!</v>
      </c>
      <c r="F3612" s="34" t="str">
        <f t="shared" ref="F3612:F3632" si="867">_xlfn.CONCAT(D3612:E3612)</f>
        <v>C:\Users\jaime.benazar\Quorum Business Solutions\Ecopetrol Prometeo - Documents\Planning Space Implementation\3. Analysis &amp; Design\Design\FC22\DRR Jaime\QUIFA-CAJÚA\Cajua\[CAJUA_CF_SEC_New_27-Feb-2024Rev3.xlsx]D-PSDP'!</v>
      </c>
      <c r="G3612" s="32" t="s">
        <v>111</v>
      </c>
      <c r="H3612" s="33">
        <f>IF(A3612&lt;&gt;A3596,12,H3596+1)</f>
        <v>12</v>
      </c>
      <c r="I3612" s="33" t="str">
        <f t="shared" ref="I3612:I3648" si="868">_xlfn.CONCAT("='",F3612:H3612)</f>
        <v>='C:\Users\jaime.benazar\Quorum Business Solutions\Ecopetrol Prometeo - Documents\Planning Space Implementation\3. Analysis &amp; Design\Design\FC22\DRR Jaime\QUIFA-CAJÚA\Cajua\[CAJUA_CF_SEC_New_27-Feb-2024Rev3.xlsx]D-PSDP'!$BE$12</v>
      </c>
      <c r="J3612" s="37" t="s">
        <v>3739</v>
      </c>
    </row>
    <row r="3613" spans="1:10" x14ac:dyDescent="0.25">
      <c r="A3613" s="32" t="s">
        <v>102</v>
      </c>
      <c r="B3613" s="32">
        <f>+B3612+1</f>
        <v>2024</v>
      </c>
      <c r="C3613" s="33" t="s">
        <v>49</v>
      </c>
      <c r="D3613" s="34" t="s">
        <v>1999</v>
      </c>
      <c r="E3613" s="35" t="str">
        <f t="shared" si="866"/>
        <v>PSDP'!</v>
      </c>
      <c r="F3613" s="34" t="str">
        <f t="shared" si="867"/>
        <v>C:\Users\jaime.benazar\Quorum Business Solutions\Ecopetrol Prometeo - Documents\Planning Space Implementation\3. Analysis &amp; Design\Design\FC22\DRR Jaime\QUIFA-CAJÚA\Cajua\[CAJUA_CF_SEC_New_27-Feb-2024Rev3.xlsx]D-PSDP'!</v>
      </c>
      <c r="G3613" s="32" t="s">
        <v>111</v>
      </c>
      <c r="H3613" s="33">
        <f t="shared" ref="H3613:H3648" si="869">IF(A3613&lt;&gt;A3612,36,H3612+1)</f>
        <v>13</v>
      </c>
      <c r="I3613" s="33" t="str">
        <f t="shared" si="868"/>
        <v>='C:\Users\jaime.benazar\Quorum Business Solutions\Ecopetrol Prometeo - Documents\Planning Space Implementation\3. Analysis &amp; Design\Design\FC22\DRR Jaime\QUIFA-CAJÚA\Cajua\[CAJUA_CF_SEC_New_27-Feb-2024Rev3.xlsx]D-PSDP'!$BE$13</v>
      </c>
      <c r="J3613" s="37" t="s">
        <v>3740</v>
      </c>
    </row>
    <row r="3614" spans="1:10" x14ac:dyDescent="0.25">
      <c r="A3614" s="32" t="s">
        <v>102</v>
      </c>
      <c r="B3614" s="32">
        <f t="shared" ref="B3614:B3625" si="870">+B3613+1</f>
        <v>2025</v>
      </c>
      <c r="C3614" s="33" t="s">
        <v>49</v>
      </c>
      <c r="D3614" s="34" t="s">
        <v>1999</v>
      </c>
      <c r="E3614" s="35" t="str">
        <f t="shared" si="866"/>
        <v>PSDP'!</v>
      </c>
      <c r="F3614" s="34" t="str">
        <f t="shared" si="867"/>
        <v>C:\Users\jaime.benazar\Quorum Business Solutions\Ecopetrol Prometeo - Documents\Planning Space Implementation\3. Analysis &amp; Design\Design\FC22\DRR Jaime\QUIFA-CAJÚA\Cajua\[CAJUA_CF_SEC_New_27-Feb-2024Rev3.xlsx]D-PSDP'!</v>
      </c>
      <c r="G3614" s="32" t="s">
        <v>111</v>
      </c>
      <c r="H3614" s="33">
        <f t="shared" si="869"/>
        <v>14</v>
      </c>
      <c r="I3614" s="33" t="str">
        <f t="shared" si="868"/>
        <v>='C:\Users\jaime.benazar\Quorum Business Solutions\Ecopetrol Prometeo - Documents\Planning Space Implementation\3. Analysis &amp; Design\Design\FC22\DRR Jaime\QUIFA-CAJÚA\Cajua\[CAJUA_CF_SEC_New_27-Feb-2024Rev3.xlsx]D-PSDP'!$BE$14</v>
      </c>
      <c r="J3614" s="37" t="s">
        <v>3741</v>
      </c>
    </row>
    <row r="3615" spans="1:10" x14ac:dyDescent="0.25">
      <c r="A3615" s="32" t="s">
        <v>102</v>
      </c>
      <c r="B3615" s="32">
        <f t="shared" si="870"/>
        <v>2026</v>
      </c>
      <c r="C3615" s="33" t="s">
        <v>49</v>
      </c>
      <c r="D3615" s="34" t="s">
        <v>1999</v>
      </c>
      <c r="E3615" s="35" t="str">
        <f t="shared" si="866"/>
        <v>PSDP'!</v>
      </c>
      <c r="F3615" s="34" t="str">
        <f t="shared" si="867"/>
        <v>C:\Users\jaime.benazar\Quorum Business Solutions\Ecopetrol Prometeo - Documents\Planning Space Implementation\3. Analysis &amp; Design\Design\FC22\DRR Jaime\QUIFA-CAJÚA\Cajua\[CAJUA_CF_SEC_New_27-Feb-2024Rev3.xlsx]D-PSDP'!</v>
      </c>
      <c r="G3615" s="32" t="s">
        <v>111</v>
      </c>
      <c r="H3615" s="33">
        <f t="shared" si="869"/>
        <v>15</v>
      </c>
      <c r="I3615" s="33" t="str">
        <f t="shared" si="868"/>
        <v>='C:\Users\jaime.benazar\Quorum Business Solutions\Ecopetrol Prometeo - Documents\Planning Space Implementation\3. Analysis &amp; Design\Design\FC22\DRR Jaime\QUIFA-CAJÚA\Cajua\[CAJUA_CF_SEC_New_27-Feb-2024Rev3.xlsx]D-PSDP'!$BE$15</v>
      </c>
      <c r="J3615" s="37" t="s">
        <v>3742</v>
      </c>
    </row>
    <row r="3616" spans="1:10" x14ac:dyDescent="0.25">
      <c r="A3616" s="32" t="s">
        <v>102</v>
      </c>
      <c r="B3616" s="32">
        <f t="shared" si="870"/>
        <v>2027</v>
      </c>
      <c r="C3616" s="33" t="s">
        <v>49</v>
      </c>
      <c r="D3616" s="34" t="s">
        <v>1999</v>
      </c>
      <c r="E3616" s="35" t="str">
        <f t="shared" si="866"/>
        <v>PSDP'!</v>
      </c>
      <c r="F3616" s="34" t="str">
        <f t="shared" si="867"/>
        <v>C:\Users\jaime.benazar\Quorum Business Solutions\Ecopetrol Prometeo - Documents\Planning Space Implementation\3. Analysis &amp; Design\Design\FC22\DRR Jaime\QUIFA-CAJÚA\Cajua\[CAJUA_CF_SEC_New_27-Feb-2024Rev3.xlsx]D-PSDP'!</v>
      </c>
      <c r="G3616" s="32" t="s">
        <v>111</v>
      </c>
      <c r="H3616" s="33">
        <f t="shared" si="869"/>
        <v>16</v>
      </c>
      <c r="I3616" s="33" t="str">
        <f t="shared" si="868"/>
        <v>='C:\Users\jaime.benazar\Quorum Business Solutions\Ecopetrol Prometeo - Documents\Planning Space Implementation\3. Analysis &amp; Design\Design\FC22\DRR Jaime\QUIFA-CAJÚA\Cajua\[CAJUA_CF_SEC_New_27-Feb-2024Rev3.xlsx]D-PSDP'!$BE$16</v>
      </c>
      <c r="J3616" s="37" t="s">
        <v>3743</v>
      </c>
    </row>
    <row r="3617" spans="1:10" x14ac:dyDescent="0.25">
      <c r="A3617" s="32" t="s">
        <v>102</v>
      </c>
      <c r="B3617" s="32">
        <f t="shared" si="870"/>
        <v>2028</v>
      </c>
      <c r="C3617" s="33" t="s">
        <v>49</v>
      </c>
      <c r="D3617" s="34" t="s">
        <v>1999</v>
      </c>
      <c r="E3617" s="35" t="str">
        <f t="shared" si="866"/>
        <v>PSDP'!</v>
      </c>
      <c r="F3617" s="34" t="str">
        <f t="shared" si="867"/>
        <v>C:\Users\jaime.benazar\Quorum Business Solutions\Ecopetrol Prometeo - Documents\Planning Space Implementation\3. Analysis &amp; Design\Design\FC22\DRR Jaime\QUIFA-CAJÚA\Cajua\[CAJUA_CF_SEC_New_27-Feb-2024Rev3.xlsx]D-PSDP'!</v>
      </c>
      <c r="G3617" s="32" t="s">
        <v>111</v>
      </c>
      <c r="H3617" s="33">
        <f t="shared" si="869"/>
        <v>17</v>
      </c>
      <c r="I3617" s="33" t="str">
        <f t="shared" si="868"/>
        <v>='C:\Users\jaime.benazar\Quorum Business Solutions\Ecopetrol Prometeo - Documents\Planning Space Implementation\3. Analysis &amp; Design\Design\FC22\DRR Jaime\QUIFA-CAJÚA\Cajua\[CAJUA_CF_SEC_New_27-Feb-2024Rev3.xlsx]D-PSDP'!$BE$17</v>
      </c>
      <c r="J3617" s="37" t="s">
        <v>3744</v>
      </c>
    </row>
    <row r="3618" spans="1:10" x14ac:dyDescent="0.25">
      <c r="A3618" s="32" t="s">
        <v>102</v>
      </c>
      <c r="B3618" s="32">
        <f t="shared" si="870"/>
        <v>2029</v>
      </c>
      <c r="C3618" s="33" t="s">
        <v>49</v>
      </c>
      <c r="D3618" s="34" t="s">
        <v>1999</v>
      </c>
      <c r="E3618" s="35" t="str">
        <f t="shared" si="866"/>
        <v>PSDP'!</v>
      </c>
      <c r="F3618" s="34" t="str">
        <f t="shared" si="867"/>
        <v>C:\Users\jaime.benazar\Quorum Business Solutions\Ecopetrol Prometeo - Documents\Planning Space Implementation\3. Analysis &amp; Design\Design\FC22\DRR Jaime\QUIFA-CAJÚA\Cajua\[CAJUA_CF_SEC_New_27-Feb-2024Rev3.xlsx]D-PSDP'!</v>
      </c>
      <c r="G3618" s="32" t="s">
        <v>111</v>
      </c>
      <c r="H3618" s="33">
        <f t="shared" si="869"/>
        <v>18</v>
      </c>
      <c r="I3618" s="33" t="str">
        <f t="shared" si="868"/>
        <v>='C:\Users\jaime.benazar\Quorum Business Solutions\Ecopetrol Prometeo - Documents\Planning Space Implementation\3. Analysis &amp; Design\Design\FC22\DRR Jaime\QUIFA-CAJÚA\Cajua\[CAJUA_CF_SEC_New_27-Feb-2024Rev3.xlsx]D-PSDP'!$BE$18</v>
      </c>
      <c r="J3618" s="37" t="s">
        <v>3745</v>
      </c>
    </row>
    <row r="3619" spans="1:10" x14ac:dyDescent="0.25">
      <c r="A3619" s="32" t="s">
        <v>102</v>
      </c>
      <c r="B3619" s="32">
        <f t="shared" si="870"/>
        <v>2030</v>
      </c>
      <c r="C3619" s="33" t="s">
        <v>49</v>
      </c>
      <c r="D3619" s="34" t="s">
        <v>1999</v>
      </c>
      <c r="E3619" s="35" t="str">
        <f t="shared" si="866"/>
        <v>PSDP'!</v>
      </c>
      <c r="F3619" s="34" t="str">
        <f t="shared" si="867"/>
        <v>C:\Users\jaime.benazar\Quorum Business Solutions\Ecopetrol Prometeo - Documents\Planning Space Implementation\3. Analysis &amp; Design\Design\FC22\DRR Jaime\QUIFA-CAJÚA\Cajua\[CAJUA_CF_SEC_New_27-Feb-2024Rev3.xlsx]D-PSDP'!</v>
      </c>
      <c r="G3619" s="32" t="s">
        <v>111</v>
      </c>
      <c r="H3619" s="33">
        <f t="shared" si="869"/>
        <v>19</v>
      </c>
      <c r="I3619" s="33" t="str">
        <f t="shared" si="868"/>
        <v>='C:\Users\jaime.benazar\Quorum Business Solutions\Ecopetrol Prometeo - Documents\Planning Space Implementation\3. Analysis &amp; Design\Design\FC22\DRR Jaime\QUIFA-CAJÚA\Cajua\[CAJUA_CF_SEC_New_27-Feb-2024Rev3.xlsx]D-PSDP'!$BE$19</v>
      </c>
      <c r="J3619" s="37" t="s">
        <v>3746</v>
      </c>
    </row>
    <row r="3620" spans="1:10" x14ac:dyDescent="0.25">
      <c r="A3620" s="32" t="s">
        <v>102</v>
      </c>
      <c r="B3620" s="32">
        <f t="shared" si="870"/>
        <v>2031</v>
      </c>
      <c r="C3620" s="33" t="s">
        <v>49</v>
      </c>
      <c r="D3620" s="34" t="s">
        <v>1999</v>
      </c>
      <c r="E3620" s="35" t="str">
        <f t="shared" si="866"/>
        <v>PSDP'!</v>
      </c>
      <c r="F3620" s="34" t="str">
        <f t="shared" si="867"/>
        <v>C:\Users\jaime.benazar\Quorum Business Solutions\Ecopetrol Prometeo - Documents\Planning Space Implementation\3. Analysis &amp; Design\Design\FC22\DRR Jaime\QUIFA-CAJÚA\Cajua\[CAJUA_CF_SEC_New_27-Feb-2024Rev3.xlsx]D-PSDP'!</v>
      </c>
      <c r="G3620" s="32" t="s">
        <v>111</v>
      </c>
      <c r="H3620" s="33">
        <f t="shared" si="869"/>
        <v>20</v>
      </c>
      <c r="I3620" s="33" t="str">
        <f t="shared" si="868"/>
        <v>='C:\Users\jaime.benazar\Quorum Business Solutions\Ecopetrol Prometeo - Documents\Planning Space Implementation\3. Analysis &amp; Design\Design\FC22\DRR Jaime\QUIFA-CAJÚA\Cajua\[CAJUA_CF_SEC_New_27-Feb-2024Rev3.xlsx]D-PSDP'!$BE$20</v>
      </c>
      <c r="J3620" s="37" t="s">
        <v>3747</v>
      </c>
    </row>
    <row r="3621" spans="1:10" x14ac:dyDescent="0.25">
      <c r="A3621" s="32" t="s">
        <v>102</v>
      </c>
      <c r="B3621" s="32">
        <f t="shared" si="870"/>
        <v>2032</v>
      </c>
      <c r="C3621" s="33" t="s">
        <v>49</v>
      </c>
      <c r="D3621" s="34" t="s">
        <v>1999</v>
      </c>
      <c r="E3621" s="35" t="str">
        <f t="shared" si="866"/>
        <v>PSDP'!</v>
      </c>
      <c r="F3621" s="34" t="str">
        <f t="shared" si="867"/>
        <v>C:\Users\jaime.benazar\Quorum Business Solutions\Ecopetrol Prometeo - Documents\Planning Space Implementation\3. Analysis &amp; Design\Design\FC22\DRR Jaime\QUIFA-CAJÚA\Cajua\[CAJUA_CF_SEC_New_27-Feb-2024Rev3.xlsx]D-PSDP'!</v>
      </c>
      <c r="G3621" s="32" t="s">
        <v>111</v>
      </c>
      <c r="H3621" s="33">
        <f t="shared" si="869"/>
        <v>21</v>
      </c>
      <c r="I3621" s="33" t="str">
        <f t="shared" si="868"/>
        <v>='C:\Users\jaime.benazar\Quorum Business Solutions\Ecopetrol Prometeo - Documents\Planning Space Implementation\3. Analysis &amp; Design\Design\FC22\DRR Jaime\QUIFA-CAJÚA\Cajua\[CAJUA_CF_SEC_New_27-Feb-2024Rev3.xlsx]D-PSDP'!$BE$21</v>
      </c>
      <c r="J3621" s="37" t="s">
        <v>3748</v>
      </c>
    </row>
    <row r="3622" spans="1:10" x14ac:dyDescent="0.25">
      <c r="A3622" s="32" t="s">
        <v>102</v>
      </c>
      <c r="B3622" s="32">
        <f t="shared" si="870"/>
        <v>2033</v>
      </c>
      <c r="C3622" s="33" t="s">
        <v>49</v>
      </c>
      <c r="D3622" s="34" t="s">
        <v>1999</v>
      </c>
      <c r="E3622" s="35" t="str">
        <f t="shared" si="866"/>
        <v>PSDP'!</v>
      </c>
      <c r="F3622" s="34" t="str">
        <f t="shared" si="867"/>
        <v>C:\Users\jaime.benazar\Quorum Business Solutions\Ecopetrol Prometeo - Documents\Planning Space Implementation\3. Analysis &amp; Design\Design\FC22\DRR Jaime\QUIFA-CAJÚA\Cajua\[CAJUA_CF_SEC_New_27-Feb-2024Rev3.xlsx]D-PSDP'!</v>
      </c>
      <c r="G3622" s="32" t="s">
        <v>111</v>
      </c>
      <c r="H3622" s="33">
        <f t="shared" si="869"/>
        <v>22</v>
      </c>
      <c r="I3622" s="33" t="str">
        <f t="shared" si="868"/>
        <v>='C:\Users\jaime.benazar\Quorum Business Solutions\Ecopetrol Prometeo - Documents\Planning Space Implementation\3. Analysis &amp; Design\Design\FC22\DRR Jaime\QUIFA-CAJÚA\Cajua\[CAJUA_CF_SEC_New_27-Feb-2024Rev3.xlsx]D-PSDP'!$BE$22</v>
      </c>
      <c r="J3622" s="37" t="s">
        <v>3749</v>
      </c>
    </row>
    <row r="3623" spans="1:10" x14ac:dyDescent="0.25">
      <c r="A3623" s="32" t="s">
        <v>102</v>
      </c>
      <c r="B3623" s="32">
        <f t="shared" si="870"/>
        <v>2034</v>
      </c>
      <c r="C3623" s="33" t="s">
        <v>49</v>
      </c>
      <c r="D3623" s="34" t="s">
        <v>1999</v>
      </c>
      <c r="E3623" s="35" t="str">
        <f t="shared" si="866"/>
        <v>PSDP'!</v>
      </c>
      <c r="F3623" s="34" t="str">
        <f t="shared" si="867"/>
        <v>C:\Users\jaime.benazar\Quorum Business Solutions\Ecopetrol Prometeo - Documents\Planning Space Implementation\3. Analysis &amp; Design\Design\FC22\DRR Jaime\QUIFA-CAJÚA\Cajua\[CAJUA_CF_SEC_New_27-Feb-2024Rev3.xlsx]D-PSDP'!</v>
      </c>
      <c r="G3623" s="32" t="s">
        <v>111</v>
      </c>
      <c r="H3623" s="33">
        <f t="shared" si="869"/>
        <v>23</v>
      </c>
      <c r="I3623" s="33" t="str">
        <f t="shared" si="868"/>
        <v>='C:\Users\jaime.benazar\Quorum Business Solutions\Ecopetrol Prometeo - Documents\Planning Space Implementation\3. Analysis &amp; Design\Design\FC22\DRR Jaime\QUIFA-CAJÚA\Cajua\[CAJUA_CF_SEC_New_27-Feb-2024Rev3.xlsx]D-PSDP'!$BE$23</v>
      </c>
      <c r="J3623" s="37" t="s">
        <v>3750</v>
      </c>
    </row>
    <row r="3624" spans="1:10" x14ac:dyDescent="0.25">
      <c r="A3624" s="32" t="s">
        <v>102</v>
      </c>
      <c r="B3624" s="32">
        <f t="shared" si="870"/>
        <v>2035</v>
      </c>
      <c r="C3624" s="33" t="s">
        <v>49</v>
      </c>
      <c r="D3624" s="34" t="s">
        <v>1999</v>
      </c>
      <c r="E3624" s="35" t="str">
        <f t="shared" si="866"/>
        <v>PSDP'!</v>
      </c>
      <c r="F3624" s="34" t="str">
        <f t="shared" si="867"/>
        <v>C:\Users\jaime.benazar\Quorum Business Solutions\Ecopetrol Prometeo - Documents\Planning Space Implementation\3. Analysis &amp; Design\Design\FC22\DRR Jaime\QUIFA-CAJÚA\Cajua\[CAJUA_CF_SEC_New_27-Feb-2024Rev3.xlsx]D-PSDP'!</v>
      </c>
      <c r="G3624" s="32" t="s">
        <v>111</v>
      </c>
      <c r="H3624" s="33">
        <f t="shared" si="869"/>
        <v>24</v>
      </c>
      <c r="I3624" s="33" t="str">
        <f t="shared" si="868"/>
        <v>='C:\Users\jaime.benazar\Quorum Business Solutions\Ecopetrol Prometeo - Documents\Planning Space Implementation\3. Analysis &amp; Design\Design\FC22\DRR Jaime\QUIFA-CAJÚA\Cajua\[CAJUA_CF_SEC_New_27-Feb-2024Rev3.xlsx]D-PSDP'!$BE$24</v>
      </c>
      <c r="J3624" s="37" t="s">
        <v>3751</v>
      </c>
    </row>
    <row r="3625" spans="1:10" x14ac:dyDescent="0.25">
      <c r="A3625" s="32" t="s">
        <v>102</v>
      </c>
      <c r="B3625" s="32">
        <f t="shared" si="870"/>
        <v>2036</v>
      </c>
      <c r="C3625" s="33" t="s">
        <v>49</v>
      </c>
      <c r="D3625" s="34" t="s">
        <v>1999</v>
      </c>
      <c r="E3625" s="35" t="str">
        <f t="shared" si="866"/>
        <v>PSDP'!</v>
      </c>
      <c r="F3625" s="34" t="str">
        <f t="shared" si="867"/>
        <v>C:\Users\jaime.benazar\Quorum Business Solutions\Ecopetrol Prometeo - Documents\Planning Space Implementation\3. Analysis &amp; Design\Design\FC22\DRR Jaime\QUIFA-CAJÚA\Cajua\[CAJUA_CF_SEC_New_27-Feb-2024Rev3.xlsx]D-PSDP'!</v>
      </c>
      <c r="G3625" s="32" t="s">
        <v>111</v>
      </c>
      <c r="H3625" s="33">
        <f t="shared" si="869"/>
        <v>25</v>
      </c>
      <c r="I3625" s="33" t="str">
        <f t="shared" si="868"/>
        <v>='C:\Users\jaime.benazar\Quorum Business Solutions\Ecopetrol Prometeo - Documents\Planning Space Implementation\3. Analysis &amp; Design\Design\FC22\DRR Jaime\QUIFA-CAJÚA\Cajua\[CAJUA_CF_SEC_New_27-Feb-2024Rev3.xlsx]D-PSDP'!$BE$25</v>
      </c>
      <c r="J3625" s="37" t="s">
        <v>3752</v>
      </c>
    </row>
    <row r="3626" spans="1:10" x14ac:dyDescent="0.25">
      <c r="A3626" s="32" t="s">
        <v>102</v>
      </c>
      <c r="B3626" s="32">
        <f>+B3625+1</f>
        <v>2037</v>
      </c>
      <c r="C3626" s="33" t="s">
        <v>49</v>
      </c>
      <c r="D3626" s="34" t="s">
        <v>1999</v>
      </c>
      <c r="E3626" s="35" t="str">
        <f t="shared" si="866"/>
        <v>PSDP'!</v>
      </c>
      <c r="F3626" s="34" t="str">
        <f t="shared" si="867"/>
        <v>C:\Users\jaime.benazar\Quorum Business Solutions\Ecopetrol Prometeo - Documents\Planning Space Implementation\3. Analysis &amp; Design\Design\FC22\DRR Jaime\QUIFA-CAJÚA\Cajua\[CAJUA_CF_SEC_New_27-Feb-2024Rev3.xlsx]D-PSDP'!</v>
      </c>
      <c r="G3626" s="32" t="s">
        <v>111</v>
      </c>
      <c r="H3626" s="33">
        <f t="shared" si="869"/>
        <v>26</v>
      </c>
      <c r="I3626" s="33" t="str">
        <f t="shared" si="868"/>
        <v>='C:\Users\jaime.benazar\Quorum Business Solutions\Ecopetrol Prometeo - Documents\Planning Space Implementation\3. Analysis &amp; Design\Design\FC22\DRR Jaime\QUIFA-CAJÚA\Cajua\[CAJUA_CF_SEC_New_27-Feb-2024Rev3.xlsx]D-PSDP'!$BE$26</v>
      </c>
      <c r="J3626" s="37" t="s">
        <v>3753</v>
      </c>
    </row>
    <row r="3627" spans="1:10" x14ac:dyDescent="0.25">
      <c r="A3627" s="32" t="s">
        <v>102</v>
      </c>
      <c r="B3627" s="32">
        <f t="shared" ref="B3627:B3629" si="871">+B3626+1</f>
        <v>2038</v>
      </c>
      <c r="C3627" s="33" t="s">
        <v>49</v>
      </c>
      <c r="D3627" s="34" t="s">
        <v>1999</v>
      </c>
      <c r="E3627" s="35" t="str">
        <f t="shared" si="866"/>
        <v>PSDP'!</v>
      </c>
      <c r="F3627" s="34" t="str">
        <f t="shared" si="867"/>
        <v>C:\Users\jaime.benazar\Quorum Business Solutions\Ecopetrol Prometeo - Documents\Planning Space Implementation\3. Analysis &amp; Design\Design\FC22\DRR Jaime\QUIFA-CAJÚA\Cajua\[CAJUA_CF_SEC_New_27-Feb-2024Rev3.xlsx]D-PSDP'!</v>
      </c>
      <c r="G3627" s="32" t="s">
        <v>111</v>
      </c>
      <c r="H3627" s="33">
        <f t="shared" si="869"/>
        <v>27</v>
      </c>
      <c r="I3627" s="33" t="str">
        <f t="shared" si="868"/>
        <v>='C:\Users\jaime.benazar\Quorum Business Solutions\Ecopetrol Prometeo - Documents\Planning Space Implementation\3. Analysis &amp; Design\Design\FC22\DRR Jaime\QUIFA-CAJÚA\Cajua\[CAJUA_CF_SEC_New_27-Feb-2024Rev3.xlsx]D-PSDP'!$BE$27</v>
      </c>
      <c r="J3627" s="37" t="s">
        <v>3754</v>
      </c>
    </row>
    <row r="3628" spans="1:10" x14ac:dyDescent="0.25">
      <c r="A3628" s="32" t="s">
        <v>102</v>
      </c>
      <c r="B3628" s="32">
        <f t="shared" si="871"/>
        <v>2039</v>
      </c>
      <c r="C3628" s="33" t="s">
        <v>49</v>
      </c>
      <c r="D3628" s="34" t="s">
        <v>1999</v>
      </c>
      <c r="E3628" s="35" t="str">
        <f t="shared" si="866"/>
        <v>PSDP'!</v>
      </c>
      <c r="F3628" s="34" t="str">
        <f t="shared" si="867"/>
        <v>C:\Users\jaime.benazar\Quorum Business Solutions\Ecopetrol Prometeo - Documents\Planning Space Implementation\3. Analysis &amp; Design\Design\FC22\DRR Jaime\QUIFA-CAJÚA\Cajua\[CAJUA_CF_SEC_New_27-Feb-2024Rev3.xlsx]D-PSDP'!</v>
      </c>
      <c r="G3628" s="32" t="s">
        <v>111</v>
      </c>
      <c r="H3628" s="33">
        <f t="shared" si="869"/>
        <v>28</v>
      </c>
      <c r="I3628" s="33" t="str">
        <f t="shared" si="868"/>
        <v>='C:\Users\jaime.benazar\Quorum Business Solutions\Ecopetrol Prometeo - Documents\Planning Space Implementation\3. Analysis &amp; Design\Design\FC22\DRR Jaime\QUIFA-CAJÚA\Cajua\[CAJUA_CF_SEC_New_27-Feb-2024Rev3.xlsx]D-PSDP'!$BE$28</v>
      </c>
      <c r="J3628" s="37" t="s">
        <v>3755</v>
      </c>
    </row>
    <row r="3629" spans="1:10" x14ac:dyDescent="0.25">
      <c r="A3629" s="32" t="s">
        <v>102</v>
      </c>
      <c r="B3629" s="32">
        <f t="shared" si="871"/>
        <v>2040</v>
      </c>
      <c r="C3629" s="33" t="s">
        <v>49</v>
      </c>
      <c r="D3629" s="34" t="s">
        <v>1999</v>
      </c>
      <c r="E3629" s="35" t="str">
        <f t="shared" si="866"/>
        <v>PSDP'!</v>
      </c>
      <c r="F3629" s="34" t="str">
        <f t="shared" si="867"/>
        <v>C:\Users\jaime.benazar\Quorum Business Solutions\Ecopetrol Prometeo - Documents\Planning Space Implementation\3. Analysis &amp; Design\Design\FC22\DRR Jaime\QUIFA-CAJÚA\Cajua\[CAJUA_CF_SEC_New_27-Feb-2024Rev3.xlsx]D-PSDP'!</v>
      </c>
      <c r="G3629" s="32" t="s">
        <v>111</v>
      </c>
      <c r="H3629" s="33">
        <f t="shared" si="869"/>
        <v>29</v>
      </c>
      <c r="I3629" s="33" t="str">
        <f t="shared" si="868"/>
        <v>='C:\Users\jaime.benazar\Quorum Business Solutions\Ecopetrol Prometeo - Documents\Planning Space Implementation\3. Analysis &amp; Design\Design\FC22\DRR Jaime\QUIFA-CAJÚA\Cajua\[CAJUA_CF_SEC_New_27-Feb-2024Rev3.xlsx]D-PSDP'!$BE$29</v>
      </c>
      <c r="J3629" s="37" t="s">
        <v>3756</v>
      </c>
    </row>
    <row r="3630" spans="1:10" x14ac:dyDescent="0.25">
      <c r="A3630" s="32" t="s">
        <v>102</v>
      </c>
      <c r="B3630" s="32">
        <f>+B3629+1</f>
        <v>2041</v>
      </c>
      <c r="C3630" s="33" t="s">
        <v>49</v>
      </c>
      <c r="D3630" s="34" t="s">
        <v>1999</v>
      </c>
      <c r="E3630" s="35" t="str">
        <f t="shared" si="866"/>
        <v>PSDP'!</v>
      </c>
      <c r="F3630" s="34" t="str">
        <f t="shared" si="867"/>
        <v>C:\Users\jaime.benazar\Quorum Business Solutions\Ecopetrol Prometeo - Documents\Planning Space Implementation\3. Analysis &amp; Design\Design\FC22\DRR Jaime\QUIFA-CAJÚA\Cajua\[CAJUA_CF_SEC_New_27-Feb-2024Rev3.xlsx]D-PSDP'!</v>
      </c>
      <c r="G3630" s="32" t="s">
        <v>111</v>
      </c>
      <c r="H3630" s="33">
        <f t="shared" si="869"/>
        <v>30</v>
      </c>
      <c r="I3630" s="33" t="str">
        <f t="shared" si="868"/>
        <v>='C:\Users\jaime.benazar\Quorum Business Solutions\Ecopetrol Prometeo - Documents\Planning Space Implementation\3. Analysis &amp; Design\Design\FC22\DRR Jaime\QUIFA-CAJÚA\Cajua\[CAJUA_CF_SEC_New_27-Feb-2024Rev3.xlsx]D-PSDP'!$BE$30</v>
      </c>
      <c r="J3630" s="37" t="s">
        <v>3757</v>
      </c>
    </row>
    <row r="3631" spans="1:10" x14ac:dyDescent="0.25">
      <c r="A3631" s="32" t="s">
        <v>102</v>
      </c>
      <c r="B3631" s="32">
        <f t="shared" ref="B3631:B3632" si="872">+B3630+1</f>
        <v>2042</v>
      </c>
      <c r="C3631" s="33" t="s">
        <v>49</v>
      </c>
      <c r="D3631" s="34" t="s">
        <v>1999</v>
      </c>
      <c r="E3631" s="35" t="str">
        <f t="shared" si="866"/>
        <v>PSDP'!</v>
      </c>
      <c r="F3631" s="34" t="str">
        <f t="shared" si="867"/>
        <v>C:\Users\jaime.benazar\Quorum Business Solutions\Ecopetrol Prometeo - Documents\Planning Space Implementation\3. Analysis &amp; Design\Design\FC22\DRR Jaime\QUIFA-CAJÚA\Cajua\[CAJUA_CF_SEC_New_27-Feb-2024Rev3.xlsx]D-PSDP'!</v>
      </c>
      <c r="G3631" s="32" t="s">
        <v>111</v>
      </c>
      <c r="H3631" s="33">
        <f t="shared" si="869"/>
        <v>31</v>
      </c>
      <c r="I3631" s="33" t="str">
        <f t="shared" si="868"/>
        <v>='C:\Users\jaime.benazar\Quorum Business Solutions\Ecopetrol Prometeo - Documents\Planning Space Implementation\3. Analysis &amp; Design\Design\FC22\DRR Jaime\QUIFA-CAJÚA\Cajua\[CAJUA_CF_SEC_New_27-Feb-2024Rev3.xlsx]D-PSDP'!$BE$31</v>
      </c>
      <c r="J3631" s="37" t="s">
        <v>3758</v>
      </c>
    </row>
    <row r="3632" spans="1:10" x14ac:dyDescent="0.25">
      <c r="A3632" s="32" t="s">
        <v>102</v>
      </c>
      <c r="B3632" s="32">
        <f t="shared" si="872"/>
        <v>2043</v>
      </c>
      <c r="C3632" s="33" t="s">
        <v>49</v>
      </c>
      <c r="D3632" s="34" t="s">
        <v>1999</v>
      </c>
      <c r="E3632" s="35" t="str">
        <f t="shared" si="866"/>
        <v>PSDP'!</v>
      </c>
      <c r="F3632" s="34" t="str">
        <f t="shared" si="867"/>
        <v>C:\Users\jaime.benazar\Quorum Business Solutions\Ecopetrol Prometeo - Documents\Planning Space Implementation\3. Analysis &amp; Design\Design\FC22\DRR Jaime\QUIFA-CAJÚA\Cajua\[CAJUA_CF_SEC_New_27-Feb-2024Rev3.xlsx]D-PSDP'!</v>
      </c>
      <c r="G3632" s="32" t="s">
        <v>111</v>
      </c>
      <c r="H3632" s="33">
        <f t="shared" si="869"/>
        <v>32</v>
      </c>
      <c r="I3632" s="33" t="str">
        <f t="shared" si="868"/>
        <v>='C:\Users\jaime.benazar\Quorum Business Solutions\Ecopetrol Prometeo - Documents\Planning Space Implementation\3. Analysis &amp; Design\Design\FC22\DRR Jaime\QUIFA-CAJÚA\Cajua\[CAJUA_CF_SEC_New_27-Feb-2024Rev3.xlsx]D-PSDP'!$BE$32</v>
      </c>
      <c r="J3632" s="37" t="s">
        <v>3759</v>
      </c>
    </row>
    <row r="3633" spans="1:10" x14ac:dyDescent="0.25">
      <c r="A3633" s="32" t="s">
        <v>102</v>
      </c>
      <c r="B3633" s="32">
        <f>+B3632+1</f>
        <v>2044</v>
      </c>
      <c r="C3633" s="33" t="s">
        <v>49</v>
      </c>
      <c r="D3633" s="34" t="s">
        <v>1999</v>
      </c>
      <c r="E3633" s="35" t="str">
        <f t="shared" ref="E3633:E3648" si="873">_xlfn.CONCAT(A3633,"'!")</f>
        <v>PSDP'!</v>
      </c>
      <c r="F3633" s="34" t="str">
        <f t="shared" ref="F3633:F3648" si="874">_xlfn.CONCAT(D3633:E3633)</f>
        <v>C:\Users\jaime.benazar\Quorum Business Solutions\Ecopetrol Prometeo - Documents\Planning Space Implementation\3. Analysis &amp; Design\Design\FC22\DRR Jaime\QUIFA-CAJÚA\Cajua\[CAJUA_CF_SEC_New_27-Feb-2024Rev3.xlsx]D-PSDP'!</v>
      </c>
      <c r="G3633" s="32" t="s">
        <v>111</v>
      </c>
      <c r="H3633" s="33">
        <f t="shared" si="869"/>
        <v>33</v>
      </c>
      <c r="I3633" s="33" t="str">
        <f t="shared" si="868"/>
        <v>='C:\Users\jaime.benazar\Quorum Business Solutions\Ecopetrol Prometeo - Documents\Planning Space Implementation\3. Analysis &amp; Design\Design\FC22\DRR Jaime\QUIFA-CAJÚA\Cajua\[CAJUA_CF_SEC_New_27-Feb-2024Rev3.xlsx]D-PSDP'!$BE$33</v>
      </c>
      <c r="J3633" s="37" t="s">
        <v>3760</v>
      </c>
    </row>
    <row r="3634" spans="1:10" x14ac:dyDescent="0.25">
      <c r="A3634" s="32" t="s">
        <v>102</v>
      </c>
      <c r="B3634" s="32">
        <f t="shared" ref="B3634:B3648" si="875">+B3633+1</f>
        <v>2045</v>
      </c>
      <c r="C3634" s="33" t="s">
        <v>49</v>
      </c>
      <c r="D3634" s="34" t="s">
        <v>1999</v>
      </c>
      <c r="E3634" s="35" t="str">
        <f t="shared" si="873"/>
        <v>PSDP'!</v>
      </c>
      <c r="F3634" s="34" t="str">
        <f t="shared" si="874"/>
        <v>C:\Users\jaime.benazar\Quorum Business Solutions\Ecopetrol Prometeo - Documents\Planning Space Implementation\3. Analysis &amp; Design\Design\FC22\DRR Jaime\QUIFA-CAJÚA\Cajua\[CAJUA_CF_SEC_New_27-Feb-2024Rev3.xlsx]D-PSDP'!</v>
      </c>
      <c r="G3634" s="32" t="s">
        <v>111</v>
      </c>
      <c r="H3634" s="33">
        <f t="shared" si="869"/>
        <v>34</v>
      </c>
      <c r="I3634" s="33" t="str">
        <f t="shared" si="868"/>
        <v>='C:\Users\jaime.benazar\Quorum Business Solutions\Ecopetrol Prometeo - Documents\Planning Space Implementation\3. Analysis &amp; Design\Design\FC22\DRR Jaime\QUIFA-CAJÚA\Cajua\[CAJUA_CF_SEC_New_27-Feb-2024Rev3.xlsx]D-PSDP'!$BE$34</v>
      </c>
      <c r="J3634" s="37" t="s">
        <v>3761</v>
      </c>
    </row>
    <row r="3635" spans="1:10" x14ac:dyDescent="0.25">
      <c r="A3635" s="32" t="s">
        <v>102</v>
      </c>
      <c r="B3635" s="32">
        <f t="shared" si="875"/>
        <v>2046</v>
      </c>
      <c r="C3635" s="33" t="s">
        <v>49</v>
      </c>
      <c r="D3635" s="34" t="s">
        <v>1999</v>
      </c>
      <c r="E3635" s="35" t="str">
        <f t="shared" si="873"/>
        <v>PSDP'!</v>
      </c>
      <c r="F3635" s="34" t="str">
        <f t="shared" si="874"/>
        <v>C:\Users\jaime.benazar\Quorum Business Solutions\Ecopetrol Prometeo - Documents\Planning Space Implementation\3. Analysis &amp; Design\Design\FC22\DRR Jaime\QUIFA-CAJÚA\Cajua\[CAJUA_CF_SEC_New_27-Feb-2024Rev3.xlsx]D-PSDP'!</v>
      </c>
      <c r="G3635" s="32" t="s">
        <v>111</v>
      </c>
      <c r="H3635" s="33">
        <f t="shared" si="869"/>
        <v>35</v>
      </c>
      <c r="I3635" s="33" t="str">
        <f t="shared" si="868"/>
        <v>='C:\Users\jaime.benazar\Quorum Business Solutions\Ecopetrol Prometeo - Documents\Planning Space Implementation\3. Analysis &amp; Design\Design\FC22\DRR Jaime\QUIFA-CAJÚA\Cajua\[CAJUA_CF_SEC_New_27-Feb-2024Rev3.xlsx]D-PSDP'!$BE$35</v>
      </c>
      <c r="J3635" s="37" t="s">
        <v>3762</v>
      </c>
    </row>
    <row r="3636" spans="1:10" x14ac:dyDescent="0.25">
      <c r="A3636" s="32" t="s">
        <v>102</v>
      </c>
      <c r="B3636" s="32">
        <f t="shared" si="875"/>
        <v>2047</v>
      </c>
      <c r="C3636" s="33" t="s">
        <v>49</v>
      </c>
      <c r="D3636" s="34" t="s">
        <v>1999</v>
      </c>
      <c r="E3636" s="35" t="str">
        <f t="shared" si="873"/>
        <v>PSDP'!</v>
      </c>
      <c r="F3636" s="34" t="str">
        <f t="shared" si="874"/>
        <v>C:\Users\jaime.benazar\Quorum Business Solutions\Ecopetrol Prometeo - Documents\Planning Space Implementation\3. Analysis &amp; Design\Design\FC22\DRR Jaime\QUIFA-CAJÚA\Cajua\[CAJUA_CF_SEC_New_27-Feb-2024Rev3.xlsx]D-PSDP'!</v>
      </c>
      <c r="G3636" s="32" t="s">
        <v>111</v>
      </c>
      <c r="H3636" s="33">
        <f t="shared" si="869"/>
        <v>36</v>
      </c>
      <c r="I3636" s="33" t="str">
        <f t="shared" si="868"/>
        <v>='C:\Users\jaime.benazar\Quorum Business Solutions\Ecopetrol Prometeo - Documents\Planning Space Implementation\3. Analysis &amp; Design\Design\FC22\DRR Jaime\QUIFA-CAJÚA\Cajua\[CAJUA_CF_SEC_New_27-Feb-2024Rev3.xlsx]D-PSDP'!$BE$36</v>
      </c>
      <c r="J3636" s="37" t="s">
        <v>3763</v>
      </c>
    </row>
    <row r="3637" spans="1:10" x14ac:dyDescent="0.25">
      <c r="A3637" s="32" t="s">
        <v>102</v>
      </c>
      <c r="B3637" s="32">
        <f t="shared" si="875"/>
        <v>2048</v>
      </c>
      <c r="C3637" s="33" t="s">
        <v>49</v>
      </c>
      <c r="D3637" s="34" t="s">
        <v>1999</v>
      </c>
      <c r="E3637" s="35" t="str">
        <f t="shared" si="873"/>
        <v>PSDP'!</v>
      </c>
      <c r="F3637" s="34" t="str">
        <f t="shared" si="874"/>
        <v>C:\Users\jaime.benazar\Quorum Business Solutions\Ecopetrol Prometeo - Documents\Planning Space Implementation\3. Analysis &amp; Design\Design\FC22\DRR Jaime\QUIFA-CAJÚA\Cajua\[CAJUA_CF_SEC_New_27-Feb-2024Rev3.xlsx]D-PSDP'!</v>
      </c>
      <c r="G3637" s="32" t="s">
        <v>111</v>
      </c>
      <c r="H3637" s="33">
        <f t="shared" si="869"/>
        <v>37</v>
      </c>
      <c r="I3637" s="33" t="str">
        <f t="shared" si="868"/>
        <v>='C:\Users\jaime.benazar\Quorum Business Solutions\Ecopetrol Prometeo - Documents\Planning Space Implementation\3. Analysis &amp; Design\Design\FC22\DRR Jaime\QUIFA-CAJÚA\Cajua\[CAJUA_CF_SEC_New_27-Feb-2024Rev3.xlsx]D-PSDP'!$BE$37</v>
      </c>
      <c r="J3637" s="37" t="s">
        <v>3764</v>
      </c>
    </row>
    <row r="3638" spans="1:10" x14ac:dyDescent="0.25">
      <c r="A3638" s="32" t="s">
        <v>102</v>
      </c>
      <c r="B3638" s="32">
        <f t="shared" si="875"/>
        <v>2049</v>
      </c>
      <c r="C3638" s="33" t="s">
        <v>49</v>
      </c>
      <c r="D3638" s="34" t="s">
        <v>1999</v>
      </c>
      <c r="E3638" s="35" t="str">
        <f t="shared" si="873"/>
        <v>PSDP'!</v>
      </c>
      <c r="F3638" s="34" t="str">
        <f t="shared" si="874"/>
        <v>C:\Users\jaime.benazar\Quorum Business Solutions\Ecopetrol Prometeo - Documents\Planning Space Implementation\3. Analysis &amp; Design\Design\FC22\DRR Jaime\QUIFA-CAJÚA\Cajua\[CAJUA_CF_SEC_New_27-Feb-2024Rev3.xlsx]D-PSDP'!</v>
      </c>
      <c r="G3638" s="32" t="s">
        <v>111</v>
      </c>
      <c r="H3638" s="33">
        <f t="shared" si="869"/>
        <v>38</v>
      </c>
      <c r="I3638" s="33" t="str">
        <f t="shared" si="868"/>
        <v>='C:\Users\jaime.benazar\Quorum Business Solutions\Ecopetrol Prometeo - Documents\Planning Space Implementation\3. Analysis &amp; Design\Design\FC22\DRR Jaime\QUIFA-CAJÚA\Cajua\[CAJUA_CF_SEC_New_27-Feb-2024Rev3.xlsx]D-PSDP'!$BE$38</v>
      </c>
      <c r="J3638" s="37" t="s">
        <v>3765</v>
      </c>
    </row>
    <row r="3639" spans="1:10" x14ac:dyDescent="0.25">
      <c r="A3639" s="32" t="s">
        <v>102</v>
      </c>
      <c r="B3639" s="32">
        <f t="shared" si="875"/>
        <v>2050</v>
      </c>
      <c r="C3639" s="33" t="s">
        <v>49</v>
      </c>
      <c r="D3639" s="34" t="s">
        <v>1999</v>
      </c>
      <c r="E3639" s="35" t="str">
        <f t="shared" si="873"/>
        <v>PSDP'!</v>
      </c>
      <c r="F3639" s="34" t="str">
        <f t="shared" si="874"/>
        <v>C:\Users\jaime.benazar\Quorum Business Solutions\Ecopetrol Prometeo - Documents\Planning Space Implementation\3. Analysis &amp; Design\Design\FC22\DRR Jaime\QUIFA-CAJÚA\Cajua\[CAJUA_CF_SEC_New_27-Feb-2024Rev3.xlsx]D-PSDP'!</v>
      </c>
      <c r="G3639" s="32" t="s">
        <v>111</v>
      </c>
      <c r="H3639" s="33">
        <f t="shared" si="869"/>
        <v>39</v>
      </c>
      <c r="I3639" s="33" t="str">
        <f t="shared" si="868"/>
        <v>='C:\Users\jaime.benazar\Quorum Business Solutions\Ecopetrol Prometeo - Documents\Planning Space Implementation\3. Analysis &amp; Design\Design\FC22\DRR Jaime\QUIFA-CAJÚA\Cajua\[CAJUA_CF_SEC_New_27-Feb-2024Rev3.xlsx]D-PSDP'!$BE$39</v>
      </c>
      <c r="J3639" s="37" t="s">
        <v>3766</v>
      </c>
    </row>
    <row r="3640" spans="1:10" x14ac:dyDescent="0.25">
      <c r="A3640" s="32" t="s">
        <v>102</v>
      </c>
      <c r="B3640" s="32">
        <f t="shared" si="875"/>
        <v>2051</v>
      </c>
      <c r="C3640" s="33" t="s">
        <v>49</v>
      </c>
      <c r="D3640" s="34" t="s">
        <v>1999</v>
      </c>
      <c r="E3640" s="35" t="str">
        <f t="shared" si="873"/>
        <v>PSDP'!</v>
      </c>
      <c r="F3640" s="34" t="str">
        <f t="shared" si="874"/>
        <v>C:\Users\jaime.benazar\Quorum Business Solutions\Ecopetrol Prometeo - Documents\Planning Space Implementation\3. Analysis &amp; Design\Design\FC22\DRR Jaime\QUIFA-CAJÚA\Cajua\[CAJUA_CF_SEC_New_27-Feb-2024Rev3.xlsx]D-PSDP'!</v>
      </c>
      <c r="G3640" s="32" t="s">
        <v>111</v>
      </c>
      <c r="H3640" s="33">
        <f t="shared" si="869"/>
        <v>40</v>
      </c>
      <c r="I3640" s="33" t="str">
        <f t="shared" si="868"/>
        <v>='C:\Users\jaime.benazar\Quorum Business Solutions\Ecopetrol Prometeo - Documents\Planning Space Implementation\3. Analysis &amp; Design\Design\FC22\DRR Jaime\QUIFA-CAJÚA\Cajua\[CAJUA_CF_SEC_New_27-Feb-2024Rev3.xlsx]D-PSDP'!$BE$40</v>
      </c>
      <c r="J3640" s="37" t="s">
        <v>3767</v>
      </c>
    </row>
    <row r="3641" spans="1:10" x14ac:dyDescent="0.25">
      <c r="A3641" s="32" t="s">
        <v>102</v>
      </c>
      <c r="B3641" s="32">
        <f t="shared" si="875"/>
        <v>2052</v>
      </c>
      <c r="C3641" s="33" t="s">
        <v>49</v>
      </c>
      <c r="D3641" s="34" t="s">
        <v>1999</v>
      </c>
      <c r="E3641" s="35" t="str">
        <f t="shared" si="873"/>
        <v>PSDP'!</v>
      </c>
      <c r="F3641" s="34" t="str">
        <f t="shared" si="874"/>
        <v>C:\Users\jaime.benazar\Quorum Business Solutions\Ecopetrol Prometeo - Documents\Planning Space Implementation\3. Analysis &amp; Design\Design\FC22\DRR Jaime\QUIFA-CAJÚA\Cajua\[CAJUA_CF_SEC_New_27-Feb-2024Rev3.xlsx]D-PSDP'!</v>
      </c>
      <c r="G3641" s="32" t="s">
        <v>111</v>
      </c>
      <c r="H3641" s="33">
        <f t="shared" si="869"/>
        <v>41</v>
      </c>
      <c r="I3641" s="33" t="str">
        <f t="shared" si="868"/>
        <v>='C:\Users\jaime.benazar\Quorum Business Solutions\Ecopetrol Prometeo - Documents\Planning Space Implementation\3. Analysis &amp; Design\Design\FC22\DRR Jaime\QUIFA-CAJÚA\Cajua\[CAJUA_CF_SEC_New_27-Feb-2024Rev3.xlsx]D-PSDP'!$BE$41</v>
      </c>
      <c r="J3641" s="37" t="s">
        <v>3768</v>
      </c>
    </row>
    <row r="3642" spans="1:10" x14ac:dyDescent="0.25">
      <c r="A3642" s="32" t="s">
        <v>102</v>
      </c>
      <c r="B3642" s="32">
        <f t="shared" si="875"/>
        <v>2053</v>
      </c>
      <c r="C3642" s="33" t="s">
        <v>49</v>
      </c>
      <c r="D3642" s="34" t="s">
        <v>1999</v>
      </c>
      <c r="E3642" s="35" t="str">
        <f t="shared" si="873"/>
        <v>PSDP'!</v>
      </c>
      <c r="F3642" s="34" t="str">
        <f t="shared" si="874"/>
        <v>C:\Users\jaime.benazar\Quorum Business Solutions\Ecopetrol Prometeo - Documents\Planning Space Implementation\3. Analysis &amp; Design\Design\FC22\DRR Jaime\QUIFA-CAJÚA\Cajua\[CAJUA_CF_SEC_New_27-Feb-2024Rev3.xlsx]D-PSDP'!</v>
      </c>
      <c r="G3642" s="32" t="s">
        <v>111</v>
      </c>
      <c r="H3642" s="33">
        <f t="shared" si="869"/>
        <v>42</v>
      </c>
      <c r="I3642" s="33" t="str">
        <f t="shared" si="868"/>
        <v>='C:\Users\jaime.benazar\Quorum Business Solutions\Ecopetrol Prometeo - Documents\Planning Space Implementation\3. Analysis &amp; Design\Design\FC22\DRR Jaime\QUIFA-CAJÚA\Cajua\[CAJUA_CF_SEC_New_27-Feb-2024Rev3.xlsx]D-PSDP'!$BE$42</v>
      </c>
      <c r="J3642" s="37" t="s">
        <v>3769</v>
      </c>
    </row>
    <row r="3643" spans="1:10" x14ac:dyDescent="0.25">
      <c r="A3643" s="32" t="s">
        <v>102</v>
      </c>
      <c r="B3643" s="32">
        <f t="shared" si="875"/>
        <v>2054</v>
      </c>
      <c r="C3643" s="33" t="s">
        <v>49</v>
      </c>
      <c r="D3643" s="34" t="s">
        <v>1999</v>
      </c>
      <c r="E3643" s="35" t="str">
        <f t="shared" si="873"/>
        <v>PSDP'!</v>
      </c>
      <c r="F3643" s="34" t="str">
        <f t="shared" si="874"/>
        <v>C:\Users\jaime.benazar\Quorum Business Solutions\Ecopetrol Prometeo - Documents\Planning Space Implementation\3. Analysis &amp; Design\Design\FC22\DRR Jaime\QUIFA-CAJÚA\Cajua\[CAJUA_CF_SEC_New_27-Feb-2024Rev3.xlsx]D-PSDP'!</v>
      </c>
      <c r="G3643" s="32" t="s">
        <v>111</v>
      </c>
      <c r="H3643" s="33">
        <f t="shared" si="869"/>
        <v>43</v>
      </c>
      <c r="I3643" s="33" t="str">
        <f t="shared" si="868"/>
        <v>='C:\Users\jaime.benazar\Quorum Business Solutions\Ecopetrol Prometeo - Documents\Planning Space Implementation\3. Analysis &amp; Design\Design\FC22\DRR Jaime\QUIFA-CAJÚA\Cajua\[CAJUA_CF_SEC_New_27-Feb-2024Rev3.xlsx]D-PSDP'!$BE$43</v>
      </c>
      <c r="J3643" s="37" t="s">
        <v>3770</v>
      </c>
    </row>
    <row r="3644" spans="1:10" x14ac:dyDescent="0.25">
      <c r="A3644" s="32" t="s">
        <v>102</v>
      </c>
      <c r="B3644" s="32">
        <f t="shared" si="875"/>
        <v>2055</v>
      </c>
      <c r="C3644" s="33" t="s">
        <v>49</v>
      </c>
      <c r="D3644" s="34" t="s">
        <v>1999</v>
      </c>
      <c r="E3644" s="35" t="str">
        <f t="shared" si="873"/>
        <v>PSDP'!</v>
      </c>
      <c r="F3644" s="34" t="str">
        <f t="shared" si="874"/>
        <v>C:\Users\jaime.benazar\Quorum Business Solutions\Ecopetrol Prometeo - Documents\Planning Space Implementation\3. Analysis &amp; Design\Design\FC22\DRR Jaime\QUIFA-CAJÚA\Cajua\[CAJUA_CF_SEC_New_27-Feb-2024Rev3.xlsx]D-PSDP'!</v>
      </c>
      <c r="G3644" s="32" t="s">
        <v>111</v>
      </c>
      <c r="H3644" s="33">
        <f t="shared" si="869"/>
        <v>44</v>
      </c>
      <c r="I3644" s="33" t="str">
        <f t="shared" si="868"/>
        <v>='C:\Users\jaime.benazar\Quorum Business Solutions\Ecopetrol Prometeo - Documents\Planning Space Implementation\3. Analysis &amp; Design\Design\FC22\DRR Jaime\QUIFA-CAJÚA\Cajua\[CAJUA_CF_SEC_New_27-Feb-2024Rev3.xlsx]D-PSDP'!$BE$44</v>
      </c>
      <c r="J3644" s="37" t="s">
        <v>3771</v>
      </c>
    </row>
    <row r="3645" spans="1:10" x14ac:dyDescent="0.25">
      <c r="A3645" s="32" t="s">
        <v>102</v>
      </c>
      <c r="B3645" s="32">
        <f t="shared" si="875"/>
        <v>2056</v>
      </c>
      <c r="C3645" s="33" t="s">
        <v>49</v>
      </c>
      <c r="D3645" s="34" t="s">
        <v>1999</v>
      </c>
      <c r="E3645" s="35" t="str">
        <f t="shared" si="873"/>
        <v>PSDP'!</v>
      </c>
      <c r="F3645" s="34" t="str">
        <f t="shared" si="874"/>
        <v>C:\Users\jaime.benazar\Quorum Business Solutions\Ecopetrol Prometeo - Documents\Planning Space Implementation\3. Analysis &amp; Design\Design\FC22\DRR Jaime\QUIFA-CAJÚA\Cajua\[CAJUA_CF_SEC_New_27-Feb-2024Rev3.xlsx]D-PSDP'!</v>
      </c>
      <c r="G3645" s="32" t="s">
        <v>111</v>
      </c>
      <c r="H3645" s="33">
        <f t="shared" si="869"/>
        <v>45</v>
      </c>
      <c r="I3645" s="33" t="str">
        <f t="shared" si="868"/>
        <v>='C:\Users\jaime.benazar\Quorum Business Solutions\Ecopetrol Prometeo - Documents\Planning Space Implementation\3. Analysis &amp; Design\Design\FC22\DRR Jaime\QUIFA-CAJÚA\Cajua\[CAJUA_CF_SEC_New_27-Feb-2024Rev3.xlsx]D-PSDP'!$BE$45</v>
      </c>
      <c r="J3645" s="37" t="s">
        <v>3772</v>
      </c>
    </row>
    <row r="3646" spans="1:10" x14ac:dyDescent="0.25">
      <c r="A3646" s="32" t="s">
        <v>102</v>
      </c>
      <c r="B3646" s="32">
        <f t="shared" si="875"/>
        <v>2057</v>
      </c>
      <c r="C3646" s="33" t="s">
        <v>49</v>
      </c>
      <c r="D3646" s="34" t="s">
        <v>1999</v>
      </c>
      <c r="E3646" s="35" t="str">
        <f t="shared" si="873"/>
        <v>PSDP'!</v>
      </c>
      <c r="F3646" s="34" t="str">
        <f t="shared" si="874"/>
        <v>C:\Users\jaime.benazar\Quorum Business Solutions\Ecopetrol Prometeo - Documents\Planning Space Implementation\3. Analysis &amp; Design\Design\FC22\DRR Jaime\QUIFA-CAJÚA\Cajua\[CAJUA_CF_SEC_New_27-Feb-2024Rev3.xlsx]D-PSDP'!</v>
      </c>
      <c r="G3646" s="32" t="s">
        <v>111</v>
      </c>
      <c r="H3646" s="33">
        <f t="shared" si="869"/>
        <v>46</v>
      </c>
      <c r="I3646" s="33" t="str">
        <f t="shared" si="868"/>
        <v>='C:\Users\jaime.benazar\Quorum Business Solutions\Ecopetrol Prometeo - Documents\Planning Space Implementation\3. Analysis &amp; Design\Design\FC22\DRR Jaime\QUIFA-CAJÚA\Cajua\[CAJUA_CF_SEC_New_27-Feb-2024Rev3.xlsx]D-PSDP'!$BE$46</v>
      </c>
      <c r="J3646" s="37" t="s">
        <v>3773</v>
      </c>
    </row>
    <row r="3647" spans="1:10" x14ac:dyDescent="0.25">
      <c r="A3647" s="32" t="s">
        <v>102</v>
      </c>
      <c r="B3647" s="32">
        <f t="shared" si="875"/>
        <v>2058</v>
      </c>
      <c r="C3647" s="33" t="s">
        <v>49</v>
      </c>
      <c r="D3647" s="34" t="s">
        <v>1999</v>
      </c>
      <c r="E3647" s="35" t="str">
        <f t="shared" si="873"/>
        <v>PSDP'!</v>
      </c>
      <c r="F3647" s="34" t="str">
        <f t="shared" si="874"/>
        <v>C:\Users\jaime.benazar\Quorum Business Solutions\Ecopetrol Prometeo - Documents\Planning Space Implementation\3. Analysis &amp; Design\Design\FC22\DRR Jaime\QUIFA-CAJÚA\Cajua\[CAJUA_CF_SEC_New_27-Feb-2024Rev3.xlsx]D-PSDP'!</v>
      </c>
      <c r="G3647" s="32" t="s">
        <v>111</v>
      </c>
      <c r="H3647" s="33">
        <f t="shared" si="869"/>
        <v>47</v>
      </c>
      <c r="I3647" s="33" t="str">
        <f t="shared" si="868"/>
        <v>='C:\Users\jaime.benazar\Quorum Business Solutions\Ecopetrol Prometeo - Documents\Planning Space Implementation\3. Analysis &amp; Design\Design\FC22\DRR Jaime\QUIFA-CAJÚA\Cajua\[CAJUA_CF_SEC_New_27-Feb-2024Rev3.xlsx]D-PSDP'!$BE$47</v>
      </c>
      <c r="J3647" s="37" t="s">
        <v>3774</v>
      </c>
    </row>
    <row r="3648" spans="1:10" x14ac:dyDescent="0.25">
      <c r="A3648" s="32" t="s">
        <v>102</v>
      </c>
      <c r="B3648" s="32">
        <f t="shared" si="875"/>
        <v>2059</v>
      </c>
      <c r="C3648" s="33" t="s">
        <v>49</v>
      </c>
      <c r="D3648" s="34" t="s">
        <v>1999</v>
      </c>
      <c r="E3648" s="35" t="str">
        <f t="shared" si="873"/>
        <v>PSDP'!</v>
      </c>
      <c r="F3648" s="34" t="str">
        <f t="shared" si="874"/>
        <v>C:\Users\jaime.benazar\Quorum Business Solutions\Ecopetrol Prometeo - Documents\Planning Space Implementation\3. Analysis &amp; Design\Design\FC22\DRR Jaime\QUIFA-CAJÚA\Cajua\[CAJUA_CF_SEC_New_27-Feb-2024Rev3.xlsx]D-PSDP'!</v>
      </c>
      <c r="G3648" s="32" t="s">
        <v>111</v>
      </c>
      <c r="H3648" s="33">
        <f t="shared" si="869"/>
        <v>48</v>
      </c>
      <c r="I3648" s="33" t="str">
        <f t="shared" si="868"/>
        <v>='C:\Users\jaime.benazar\Quorum Business Solutions\Ecopetrol Prometeo - Documents\Planning Space Implementation\3. Analysis &amp; Design\Design\FC22\DRR Jaime\QUIFA-CAJÚA\Cajua\[CAJUA_CF_SEC_New_27-Feb-2024Rev3.xlsx]D-PSDP'!$BE$48</v>
      </c>
      <c r="J3648" s="37" t="s">
        <v>3775</v>
      </c>
    </row>
    <row r="3649" spans="1:10" x14ac:dyDescent="0.25">
      <c r="A3649" s="32" t="s">
        <v>28</v>
      </c>
      <c r="B3649" s="32"/>
      <c r="C3649" s="33" t="s">
        <v>49</v>
      </c>
      <c r="D3649" s="34"/>
      <c r="E3649" s="35"/>
      <c r="F3649" s="34"/>
      <c r="G3649" s="32"/>
      <c r="H3649" s="33"/>
      <c r="I3649" s="33"/>
      <c r="J3649" s="36"/>
    </row>
    <row r="3650" spans="1:10" x14ac:dyDescent="0.25">
      <c r="A3650" s="32" t="s">
        <v>103</v>
      </c>
      <c r="B3650" s="32">
        <v>2023</v>
      </c>
      <c r="C3650" s="33" t="s">
        <v>49</v>
      </c>
      <c r="D3650" s="34" t="s">
        <v>1999</v>
      </c>
      <c r="E3650" s="35" t="str">
        <f t="shared" ref="E3650:E3670" si="876">_xlfn.CONCAT(A3650,"'!")</f>
        <v>PSNP'!</v>
      </c>
      <c r="F3650" s="34" t="str">
        <f t="shared" ref="F3650:F3670" si="877">_xlfn.CONCAT(D3650:E3650)</f>
        <v>C:\Users\jaime.benazar\Quorum Business Solutions\Ecopetrol Prometeo - Documents\Planning Space Implementation\3. Analysis &amp; Design\Design\FC22\DRR Jaime\QUIFA-CAJÚA\Cajua\[CAJUA_CF_SEC_New_27-Feb-2024Rev3.xlsx]D-PSNP'!</v>
      </c>
      <c r="G3650" s="32" t="s">
        <v>111</v>
      </c>
      <c r="H3650" s="33">
        <f>IF(A3650&lt;&gt;A3634,12,H3634+1)</f>
        <v>12</v>
      </c>
      <c r="I3650" s="33" t="str">
        <f t="shared" ref="I3650:I3686" si="878">_xlfn.CONCAT("='",F3650:H3650)</f>
        <v>='C:\Users\jaime.benazar\Quorum Business Solutions\Ecopetrol Prometeo - Documents\Planning Space Implementation\3. Analysis &amp; Design\Design\FC22\DRR Jaime\QUIFA-CAJÚA\Cajua\[CAJUA_CF_SEC_New_27-Feb-2024Rev3.xlsx]D-PSNP'!$BE$12</v>
      </c>
      <c r="J3650" s="37" t="s">
        <v>3776</v>
      </c>
    </row>
    <row r="3651" spans="1:10" x14ac:dyDescent="0.25">
      <c r="A3651" s="32" t="s">
        <v>103</v>
      </c>
      <c r="B3651" s="32">
        <f>+B3650+1</f>
        <v>2024</v>
      </c>
      <c r="C3651" s="33" t="s">
        <v>49</v>
      </c>
      <c r="D3651" s="34" t="s">
        <v>1999</v>
      </c>
      <c r="E3651" s="35" t="str">
        <f t="shared" si="876"/>
        <v>PSNP'!</v>
      </c>
      <c r="F3651" s="34" t="str">
        <f t="shared" si="877"/>
        <v>C:\Users\jaime.benazar\Quorum Business Solutions\Ecopetrol Prometeo - Documents\Planning Space Implementation\3. Analysis &amp; Design\Design\FC22\DRR Jaime\QUIFA-CAJÚA\Cajua\[CAJUA_CF_SEC_New_27-Feb-2024Rev3.xlsx]D-PSNP'!</v>
      </c>
      <c r="G3651" s="32" t="s">
        <v>111</v>
      </c>
      <c r="H3651" s="33">
        <f t="shared" ref="H3651:H3686" si="879">IF(A3651&lt;&gt;A3650,36,H3650+1)</f>
        <v>13</v>
      </c>
      <c r="I3651" s="33" t="str">
        <f t="shared" si="878"/>
        <v>='C:\Users\jaime.benazar\Quorum Business Solutions\Ecopetrol Prometeo - Documents\Planning Space Implementation\3. Analysis &amp; Design\Design\FC22\DRR Jaime\QUIFA-CAJÚA\Cajua\[CAJUA_CF_SEC_New_27-Feb-2024Rev3.xlsx]D-PSNP'!$BE$13</v>
      </c>
      <c r="J3651" s="37" t="s">
        <v>3777</v>
      </c>
    </row>
    <row r="3652" spans="1:10" x14ac:dyDescent="0.25">
      <c r="A3652" s="32" t="s">
        <v>103</v>
      </c>
      <c r="B3652" s="32">
        <f t="shared" ref="B3652:B3663" si="880">+B3651+1</f>
        <v>2025</v>
      </c>
      <c r="C3652" s="33" t="s">
        <v>49</v>
      </c>
      <c r="D3652" s="34" t="s">
        <v>1999</v>
      </c>
      <c r="E3652" s="35" t="str">
        <f t="shared" si="876"/>
        <v>PSNP'!</v>
      </c>
      <c r="F3652" s="34" t="str">
        <f t="shared" si="877"/>
        <v>C:\Users\jaime.benazar\Quorum Business Solutions\Ecopetrol Prometeo - Documents\Planning Space Implementation\3. Analysis &amp; Design\Design\FC22\DRR Jaime\QUIFA-CAJÚA\Cajua\[CAJUA_CF_SEC_New_27-Feb-2024Rev3.xlsx]D-PSNP'!</v>
      </c>
      <c r="G3652" s="32" t="s">
        <v>111</v>
      </c>
      <c r="H3652" s="33">
        <f t="shared" si="879"/>
        <v>14</v>
      </c>
      <c r="I3652" s="33" t="str">
        <f t="shared" si="878"/>
        <v>='C:\Users\jaime.benazar\Quorum Business Solutions\Ecopetrol Prometeo - Documents\Planning Space Implementation\3. Analysis &amp; Design\Design\FC22\DRR Jaime\QUIFA-CAJÚA\Cajua\[CAJUA_CF_SEC_New_27-Feb-2024Rev3.xlsx]D-PSNP'!$BE$14</v>
      </c>
      <c r="J3652" s="37" t="s">
        <v>3778</v>
      </c>
    </row>
    <row r="3653" spans="1:10" x14ac:dyDescent="0.25">
      <c r="A3653" s="32" t="s">
        <v>103</v>
      </c>
      <c r="B3653" s="32">
        <f t="shared" si="880"/>
        <v>2026</v>
      </c>
      <c r="C3653" s="33" t="s">
        <v>49</v>
      </c>
      <c r="D3653" s="34" t="s">
        <v>1999</v>
      </c>
      <c r="E3653" s="35" t="str">
        <f t="shared" si="876"/>
        <v>PSNP'!</v>
      </c>
      <c r="F3653" s="34" t="str">
        <f t="shared" si="877"/>
        <v>C:\Users\jaime.benazar\Quorum Business Solutions\Ecopetrol Prometeo - Documents\Planning Space Implementation\3. Analysis &amp; Design\Design\FC22\DRR Jaime\QUIFA-CAJÚA\Cajua\[CAJUA_CF_SEC_New_27-Feb-2024Rev3.xlsx]D-PSNP'!</v>
      </c>
      <c r="G3653" s="32" t="s">
        <v>111</v>
      </c>
      <c r="H3653" s="33">
        <f t="shared" si="879"/>
        <v>15</v>
      </c>
      <c r="I3653" s="33" t="str">
        <f t="shared" si="878"/>
        <v>='C:\Users\jaime.benazar\Quorum Business Solutions\Ecopetrol Prometeo - Documents\Planning Space Implementation\3. Analysis &amp; Design\Design\FC22\DRR Jaime\QUIFA-CAJÚA\Cajua\[CAJUA_CF_SEC_New_27-Feb-2024Rev3.xlsx]D-PSNP'!$BE$15</v>
      </c>
      <c r="J3653" s="37" t="s">
        <v>3779</v>
      </c>
    </row>
    <row r="3654" spans="1:10" x14ac:dyDescent="0.25">
      <c r="A3654" s="32" t="s">
        <v>103</v>
      </c>
      <c r="B3654" s="32">
        <f t="shared" si="880"/>
        <v>2027</v>
      </c>
      <c r="C3654" s="33" t="s">
        <v>49</v>
      </c>
      <c r="D3654" s="34" t="s">
        <v>1999</v>
      </c>
      <c r="E3654" s="35" t="str">
        <f t="shared" si="876"/>
        <v>PSNP'!</v>
      </c>
      <c r="F3654" s="34" t="str">
        <f t="shared" si="877"/>
        <v>C:\Users\jaime.benazar\Quorum Business Solutions\Ecopetrol Prometeo - Documents\Planning Space Implementation\3. Analysis &amp; Design\Design\FC22\DRR Jaime\QUIFA-CAJÚA\Cajua\[CAJUA_CF_SEC_New_27-Feb-2024Rev3.xlsx]D-PSNP'!</v>
      </c>
      <c r="G3654" s="32" t="s">
        <v>111</v>
      </c>
      <c r="H3654" s="33">
        <f t="shared" si="879"/>
        <v>16</v>
      </c>
      <c r="I3654" s="33" t="str">
        <f t="shared" si="878"/>
        <v>='C:\Users\jaime.benazar\Quorum Business Solutions\Ecopetrol Prometeo - Documents\Planning Space Implementation\3. Analysis &amp; Design\Design\FC22\DRR Jaime\QUIFA-CAJÚA\Cajua\[CAJUA_CF_SEC_New_27-Feb-2024Rev3.xlsx]D-PSNP'!$BE$16</v>
      </c>
      <c r="J3654" s="37" t="s">
        <v>3780</v>
      </c>
    </row>
    <row r="3655" spans="1:10" x14ac:dyDescent="0.25">
      <c r="A3655" s="32" t="s">
        <v>103</v>
      </c>
      <c r="B3655" s="32">
        <f t="shared" si="880"/>
        <v>2028</v>
      </c>
      <c r="C3655" s="33" t="s">
        <v>49</v>
      </c>
      <c r="D3655" s="34" t="s">
        <v>1999</v>
      </c>
      <c r="E3655" s="35" t="str">
        <f t="shared" si="876"/>
        <v>PSNP'!</v>
      </c>
      <c r="F3655" s="34" t="str">
        <f t="shared" si="877"/>
        <v>C:\Users\jaime.benazar\Quorum Business Solutions\Ecopetrol Prometeo - Documents\Planning Space Implementation\3. Analysis &amp; Design\Design\FC22\DRR Jaime\QUIFA-CAJÚA\Cajua\[CAJUA_CF_SEC_New_27-Feb-2024Rev3.xlsx]D-PSNP'!</v>
      </c>
      <c r="G3655" s="32" t="s">
        <v>111</v>
      </c>
      <c r="H3655" s="33">
        <f t="shared" si="879"/>
        <v>17</v>
      </c>
      <c r="I3655" s="33" t="str">
        <f t="shared" si="878"/>
        <v>='C:\Users\jaime.benazar\Quorum Business Solutions\Ecopetrol Prometeo - Documents\Planning Space Implementation\3. Analysis &amp; Design\Design\FC22\DRR Jaime\QUIFA-CAJÚA\Cajua\[CAJUA_CF_SEC_New_27-Feb-2024Rev3.xlsx]D-PSNP'!$BE$17</v>
      </c>
      <c r="J3655" s="37" t="s">
        <v>3781</v>
      </c>
    </row>
    <row r="3656" spans="1:10" x14ac:dyDescent="0.25">
      <c r="A3656" s="32" t="s">
        <v>103</v>
      </c>
      <c r="B3656" s="32">
        <f t="shared" si="880"/>
        <v>2029</v>
      </c>
      <c r="C3656" s="33" t="s">
        <v>49</v>
      </c>
      <c r="D3656" s="34" t="s">
        <v>1999</v>
      </c>
      <c r="E3656" s="35" t="str">
        <f t="shared" si="876"/>
        <v>PSNP'!</v>
      </c>
      <c r="F3656" s="34" t="str">
        <f t="shared" si="877"/>
        <v>C:\Users\jaime.benazar\Quorum Business Solutions\Ecopetrol Prometeo - Documents\Planning Space Implementation\3. Analysis &amp; Design\Design\FC22\DRR Jaime\QUIFA-CAJÚA\Cajua\[CAJUA_CF_SEC_New_27-Feb-2024Rev3.xlsx]D-PSNP'!</v>
      </c>
      <c r="G3656" s="32" t="s">
        <v>111</v>
      </c>
      <c r="H3656" s="33">
        <f t="shared" si="879"/>
        <v>18</v>
      </c>
      <c r="I3656" s="33" t="str">
        <f t="shared" si="878"/>
        <v>='C:\Users\jaime.benazar\Quorum Business Solutions\Ecopetrol Prometeo - Documents\Planning Space Implementation\3. Analysis &amp; Design\Design\FC22\DRR Jaime\QUIFA-CAJÚA\Cajua\[CAJUA_CF_SEC_New_27-Feb-2024Rev3.xlsx]D-PSNP'!$BE$18</v>
      </c>
      <c r="J3656" s="37" t="s">
        <v>3782</v>
      </c>
    </row>
    <row r="3657" spans="1:10" x14ac:dyDescent="0.25">
      <c r="A3657" s="32" t="s">
        <v>103</v>
      </c>
      <c r="B3657" s="32">
        <f t="shared" si="880"/>
        <v>2030</v>
      </c>
      <c r="C3657" s="33" t="s">
        <v>49</v>
      </c>
      <c r="D3657" s="34" t="s">
        <v>1999</v>
      </c>
      <c r="E3657" s="35" t="str">
        <f t="shared" si="876"/>
        <v>PSNP'!</v>
      </c>
      <c r="F3657" s="34" t="str">
        <f t="shared" si="877"/>
        <v>C:\Users\jaime.benazar\Quorum Business Solutions\Ecopetrol Prometeo - Documents\Planning Space Implementation\3. Analysis &amp; Design\Design\FC22\DRR Jaime\QUIFA-CAJÚA\Cajua\[CAJUA_CF_SEC_New_27-Feb-2024Rev3.xlsx]D-PSNP'!</v>
      </c>
      <c r="G3657" s="32" t="s">
        <v>111</v>
      </c>
      <c r="H3657" s="33">
        <f t="shared" si="879"/>
        <v>19</v>
      </c>
      <c r="I3657" s="33" t="str">
        <f t="shared" si="878"/>
        <v>='C:\Users\jaime.benazar\Quorum Business Solutions\Ecopetrol Prometeo - Documents\Planning Space Implementation\3. Analysis &amp; Design\Design\FC22\DRR Jaime\QUIFA-CAJÚA\Cajua\[CAJUA_CF_SEC_New_27-Feb-2024Rev3.xlsx]D-PSNP'!$BE$19</v>
      </c>
      <c r="J3657" s="37" t="s">
        <v>3783</v>
      </c>
    </row>
    <row r="3658" spans="1:10" x14ac:dyDescent="0.25">
      <c r="A3658" s="32" t="s">
        <v>103</v>
      </c>
      <c r="B3658" s="32">
        <f t="shared" si="880"/>
        <v>2031</v>
      </c>
      <c r="C3658" s="33" t="s">
        <v>49</v>
      </c>
      <c r="D3658" s="34" t="s">
        <v>1999</v>
      </c>
      <c r="E3658" s="35" t="str">
        <f t="shared" si="876"/>
        <v>PSNP'!</v>
      </c>
      <c r="F3658" s="34" t="str">
        <f t="shared" si="877"/>
        <v>C:\Users\jaime.benazar\Quorum Business Solutions\Ecopetrol Prometeo - Documents\Planning Space Implementation\3. Analysis &amp; Design\Design\FC22\DRR Jaime\QUIFA-CAJÚA\Cajua\[CAJUA_CF_SEC_New_27-Feb-2024Rev3.xlsx]D-PSNP'!</v>
      </c>
      <c r="G3658" s="32" t="s">
        <v>111</v>
      </c>
      <c r="H3658" s="33">
        <f t="shared" si="879"/>
        <v>20</v>
      </c>
      <c r="I3658" s="33" t="str">
        <f t="shared" si="878"/>
        <v>='C:\Users\jaime.benazar\Quorum Business Solutions\Ecopetrol Prometeo - Documents\Planning Space Implementation\3. Analysis &amp; Design\Design\FC22\DRR Jaime\QUIFA-CAJÚA\Cajua\[CAJUA_CF_SEC_New_27-Feb-2024Rev3.xlsx]D-PSNP'!$BE$20</v>
      </c>
      <c r="J3658" s="37" t="s">
        <v>3784</v>
      </c>
    </row>
    <row r="3659" spans="1:10" x14ac:dyDescent="0.25">
      <c r="A3659" s="32" t="s">
        <v>103</v>
      </c>
      <c r="B3659" s="32">
        <f t="shared" si="880"/>
        <v>2032</v>
      </c>
      <c r="C3659" s="33" t="s">
        <v>49</v>
      </c>
      <c r="D3659" s="34" t="s">
        <v>1999</v>
      </c>
      <c r="E3659" s="35" t="str">
        <f t="shared" si="876"/>
        <v>PSNP'!</v>
      </c>
      <c r="F3659" s="34" t="str">
        <f t="shared" si="877"/>
        <v>C:\Users\jaime.benazar\Quorum Business Solutions\Ecopetrol Prometeo - Documents\Planning Space Implementation\3. Analysis &amp; Design\Design\FC22\DRR Jaime\QUIFA-CAJÚA\Cajua\[CAJUA_CF_SEC_New_27-Feb-2024Rev3.xlsx]D-PSNP'!</v>
      </c>
      <c r="G3659" s="32" t="s">
        <v>111</v>
      </c>
      <c r="H3659" s="33">
        <f t="shared" si="879"/>
        <v>21</v>
      </c>
      <c r="I3659" s="33" t="str">
        <f t="shared" si="878"/>
        <v>='C:\Users\jaime.benazar\Quorum Business Solutions\Ecopetrol Prometeo - Documents\Planning Space Implementation\3. Analysis &amp; Design\Design\FC22\DRR Jaime\QUIFA-CAJÚA\Cajua\[CAJUA_CF_SEC_New_27-Feb-2024Rev3.xlsx]D-PSNP'!$BE$21</v>
      </c>
      <c r="J3659" s="37" t="s">
        <v>3785</v>
      </c>
    </row>
    <row r="3660" spans="1:10" x14ac:dyDescent="0.25">
      <c r="A3660" s="32" t="s">
        <v>103</v>
      </c>
      <c r="B3660" s="32">
        <f t="shared" si="880"/>
        <v>2033</v>
      </c>
      <c r="C3660" s="33" t="s">
        <v>49</v>
      </c>
      <c r="D3660" s="34" t="s">
        <v>1999</v>
      </c>
      <c r="E3660" s="35" t="str">
        <f t="shared" si="876"/>
        <v>PSNP'!</v>
      </c>
      <c r="F3660" s="34" t="str">
        <f t="shared" si="877"/>
        <v>C:\Users\jaime.benazar\Quorum Business Solutions\Ecopetrol Prometeo - Documents\Planning Space Implementation\3. Analysis &amp; Design\Design\FC22\DRR Jaime\QUIFA-CAJÚA\Cajua\[CAJUA_CF_SEC_New_27-Feb-2024Rev3.xlsx]D-PSNP'!</v>
      </c>
      <c r="G3660" s="32" t="s">
        <v>111</v>
      </c>
      <c r="H3660" s="33">
        <f t="shared" si="879"/>
        <v>22</v>
      </c>
      <c r="I3660" s="33" t="str">
        <f t="shared" si="878"/>
        <v>='C:\Users\jaime.benazar\Quorum Business Solutions\Ecopetrol Prometeo - Documents\Planning Space Implementation\3. Analysis &amp; Design\Design\FC22\DRR Jaime\QUIFA-CAJÚA\Cajua\[CAJUA_CF_SEC_New_27-Feb-2024Rev3.xlsx]D-PSNP'!$BE$22</v>
      </c>
      <c r="J3660" s="37" t="s">
        <v>3786</v>
      </c>
    </row>
    <row r="3661" spans="1:10" x14ac:dyDescent="0.25">
      <c r="A3661" s="32" t="s">
        <v>103</v>
      </c>
      <c r="B3661" s="32">
        <f t="shared" si="880"/>
        <v>2034</v>
      </c>
      <c r="C3661" s="33" t="s">
        <v>49</v>
      </c>
      <c r="D3661" s="34" t="s">
        <v>1999</v>
      </c>
      <c r="E3661" s="35" t="str">
        <f t="shared" si="876"/>
        <v>PSNP'!</v>
      </c>
      <c r="F3661" s="34" t="str">
        <f t="shared" si="877"/>
        <v>C:\Users\jaime.benazar\Quorum Business Solutions\Ecopetrol Prometeo - Documents\Planning Space Implementation\3. Analysis &amp; Design\Design\FC22\DRR Jaime\QUIFA-CAJÚA\Cajua\[CAJUA_CF_SEC_New_27-Feb-2024Rev3.xlsx]D-PSNP'!</v>
      </c>
      <c r="G3661" s="32" t="s">
        <v>111</v>
      </c>
      <c r="H3661" s="33">
        <f t="shared" si="879"/>
        <v>23</v>
      </c>
      <c r="I3661" s="33" t="str">
        <f t="shared" si="878"/>
        <v>='C:\Users\jaime.benazar\Quorum Business Solutions\Ecopetrol Prometeo - Documents\Planning Space Implementation\3. Analysis &amp; Design\Design\FC22\DRR Jaime\QUIFA-CAJÚA\Cajua\[CAJUA_CF_SEC_New_27-Feb-2024Rev3.xlsx]D-PSNP'!$BE$23</v>
      </c>
      <c r="J3661" s="37" t="s">
        <v>3787</v>
      </c>
    </row>
    <row r="3662" spans="1:10" x14ac:dyDescent="0.25">
      <c r="A3662" s="32" t="s">
        <v>103</v>
      </c>
      <c r="B3662" s="32">
        <f t="shared" si="880"/>
        <v>2035</v>
      </c>
      <c r="C3662" s="33" t="s">
        <v>49</v>
      </c>
      <c r="D3662" s="34" t="s">
        <v>1999</v>
      </c>
      <c r="E3662" s="35" t="str">
        <f t="shared" si="876"/>
        <v>PSNP'!</v>
      </c>
      <c r="F3662" s="34" t="str">
        <f t="shared" si="877"/>
        <v>C:\Users\jaime.benazar\Quorum Business Solutions\Ecopetrol Prometeo - Documents\Planning Space Implementation\3. Analysis &amp; Design\Design\FC22\DRR Jaime\QUIFA-CAJÚA\Cajua\[CAJUA_CF_SEC_New_27-Feb-2024Rev3.xlsx]D-PSNP'!</v>
      </c>
      <c r="G3662" s="32" t="s">
        <v>111</v>
      </c>
      <c r="H3662" s="33">
        <f t="shared" si="879"/>
        <v>24</v>
      </c>
      <c r="I3662" s="33" t="str">
        <f t="shared" si="878"/>
        <v>='C:\Users\jaime.benazar\Quorum Business Solutions\Ecopetrol Prometeo - Documents\Planning Space Implementation\3. Analysis &amp; Design\Design\FC22\DRR Jaime\QUIFA-CAJÚA\Cajua\[CAJUA_CF_SEC_New_27-Feb-2024Rev3.xlsx]D-PSNP'!$BE$24</v>
      </c>
      <c r="J3662" s="37" t="s">
        <v>3788</v>
      </c>
    </row>
    <row r="3663" spans="1:10" x14ac:dyDescent="0.25">
      <c r="A3663" s="32" t="s">
        <v>103</v>
      </c>
      <c r="B3663" s="32">
        <f t="shared" si="880"/>
        <v>2036</v>
      </c>
      <c r="C3663" s="33" t="s">
        <v>49</v>
      </c>
      <c r="D3663" s="34" t="s">
        <v>1999</v>
      </c>
      <c r="E3663" s="35" t="str">
        <f t="shared" si="876"/>
        <v>PSNP'!</v>
      </c>
      <c r="F3663" s="34" t="str">
        <f t="shared" si="877"/>
        <v>C:\Users\jaime.benazar\Quorum Business Solutions\Ecopetrol Prometeo - Documents\Planning Space Implementation\3. Analysis &amp; Design\Design\FC22\DRR Jaime\QUIFA-CAJÚA\Cajua\[CAJUA_CF_SEC_New_27-Feb-2024Rev3.xlsx]D-PSNP'!</v>
      </c>
      <c r="G3663" s="32" t="s">
        <v>111</v>
      </c>
      <c r="H3663" s="33">
        <f t="shared" si="879"/>
        <v>25</v>
      </c>
      <c r="I3663" s="33" t="str">
        <f t="shared" si="878"/>
        <v>='C:\Users\jaime.benazar\Quorum Business Solutions\Ecopetrol Prometeo - Documents\Planning Space Implementation\3. Analysis &amp; Design\Design\FC22\DRR Jaime\QUIFA-CAJÚA\Cajua\[CAJUA_CF_SEC_New_27-Feb-2024Rev3.xlsx]D-PSNP'!$BE$25</v>
      </c>
      <c r="J3663" s="37" t="s">
        <v>3789</v>
      </c>
    </row>
    <row r="3664" spans="1:10" x14ac:dyDescent="0.25">
      <c r="A3664" s="32" t="s">
        <v>103</v>
      </c>
      <c r="B3664" s="32">
        <f>+B3663+1</f>
        <v>2037</v>
      </c>
      <c r="C3664" s="33" t="s">
        <v>49</v>
      </c>
      <c r="D3664" s="34" t="s">
        <v>1999</v>
      </c>
      <c r="E3664" s="35" t="str">
        <f t="shared" si="876"/>
        <v>PSNP'!</v>
      </c>
      <c r="F3664" s="34" t="str">
        <f t="shared" si="877"/>
        <v>C:\Users\jaime.benazar\Quorum Business Solutions\Ecopetrol Prometeo - Documents\Planning Space Implementation\3. Analysis &amp; Design\Design\FC22\DRR Jaime\QUIFA-CAJÚA\Cajua\[CAJUA_CF_SEC_New_27-Feb-2024Rev3.xlsx]D-PSNP'!</v>
      </c>
      <c r="G3664" s="32" t="s">
        <v>111</v>
      </c>
      <c r="H3664" s="33">
        <f t="shared" si="879"/>
        <v>26</v>
      </c>
      <c r="I3664" s="33" t="str">
        <f t="shared" si="878"/>
        <v>='C:\Users\jaime.benazar\Quorum Business Solutions\Ecopetrol Prometeo - Documents\Planning Space Implementation\3. Analysis &amp; Design\Design\FC22\DRR Jaime\QUIFA-CAJÚA\Cajua\[CAJUA_CF_SEC_New_27-Feb-2024Rev3.xlsx]D-PSNP'!$BE$26</v>
      </c>
      <c r="J3664" s="37" t="s">
        <v>3790</v>
      </c>
    </row>
    <row r="3665" spans="1:10" x14ac:dyDescent="0.25">
      <c r="A3665" s="32" t="s">
        <v>103</v>
      </c>
      <c r="B3665" s="32">
        <f t="shared" ref="B3665:B3667" si="881">+B3664+1</f>
        <v>2038</v>
      </c>
      <c r="C3665" s="33" t="s">
        <v>49</v>
      </c>
      <c r="D3665" s="34" t="s">
        <v>1999</v>
      </c>
      <c r="E3665" s="35" t="str">
        <f t="shared" si="876"/>
        <v>PSNP'!</v>
      </c>
      <c r="F3665" s="34" t="str">
        <f t="shared" si="877"/>
        <v>C:\Users\jaime.benazar\Quorum Business Solutions\Ecopetrol Prometeo - Documents\Planning Space Implementation\3. Analysis &amp; Design\Design\FC22\DRR Jaime\QUIFA-CAJÚA\Cajua\[CAJUA_CF_SEC_New_27-Feb-2024Rev3.xlsx]D-PSNP'!</v>
      </c>
      <c r="G3665" s="32" t="s">
        <v>111</v>
      </c>
      <c r="H3665" s="33">
        <f t="shared" si="879"/>
        <v>27</v>
      </c>
      <c r="I3665" s="33" t="str">
        <f t="shared" si="878"/>
        <v>='C:\Users\jaime.benazar\Quorum Business Solutions\Ecopetrol Prometeo - Documents\Planning Space Implementation\3. Analysis &amp; Design\Design\FC22\DRR Jaime\QUIFA-CAJÚA\Cajua\[CAJUA_CF_SEC_New_27-Feb-2024Rev3.xlsx]D-PSNP'!$BE$27</v>
      </c>
      <c r="J3665" s="37" t="s">
        <v>3791</v>
      </c>
    </row>
    <row r="3666" spans="1:10" x14ac:dyDescent="0.25">
      <c r="A3666" s="32" t="s">
        <v>103</v>
      </c>
      <c r="B3666" s="32">
        <f t="shared" si="881"/>
        <v>2039</v>
      </c>
      <c r="C3666" s="33" t="s">
        <v>49</v>
      </c>
      <c r="D3666" s="34" t="s">
        <v>1999</v>
      </c>
      <c r="E3666" s="35" t="str">
        <f t="shared" si="876"/>
        <v>PSNP'!</v>
      </c>
      <c r="F3666" s="34" t="str">
        <f t="shared" si="877"/>
        <v>C:\Users\jaime.benazar\Quorum Business Solutions\Ecopetrol Prometeo - Documents\Planning Space Implementation\3. Analysis &amp; Design\Design\FC22\DRR Jaime\QUIFA-CAJÚA\Cajua\[CAJUA_CF_SEC_New_27-Feb-2024Rev3.xlsx]D-PSNP'!</v>
      </c>
      <c r="G3666" s="32" t="s">
        <v>111</v>
      </c>
      <c r="H3666" s="33">
        <f t="shared" si="879"/>
        <v>28</v>
      </c>
      <c r="I3666" s="33" t="str">
        <f t="shared" si="878"/>
        <v>='C:\Users\jaime.benazar\Quorum Business Solutions\Ecopetrol Prometeo - Documents\Planning Space Implementation\3. Analysis &amp; Design\Design\FC22\DRR Jaime\QUIFA-CAJÚA\Cajua\[CAJUA_CF_SEC_New_27-Feb-2024Rev3.xlsx]D-PSNP'!$BE$28</v>
      </c>
      <c r="J3666" s="37" t="s">
        <v>3792</v>
      </c>
    </row>
    <row r="3667" spans="1:10" x14ac:dyDescent="0.25">
      <c r="A3667" s="32" t="s">
        <v>103</v>
      </c>
      <c r="B3667" s="32">
        <f t="shared" si="881"/>
        <v>2040</v>
      </c>
      <c r="C3667" s="33" t="s">
        <v>49</v>
      </c>
      <c r="D3667" s="34" t="s">
        <v>1999</v>
      </c>
      <c r="E3667" s="35" t="str">
        <f t="shared" si="876"/>
        <v>PSNP'!</v>
      </c>
      <c r="F3667" s="34" t="str">
        <f t="shared" si="877"/>
        <v>C:\Users\jaime.benazar\Quorum Business Solutions\Ecopetrol Prometeo - Documents\Planning Space Implementation\3. Analysis &amp; Design\Design\FC22\DRR Jaime\QUIFA-CAJÚA\Cajua\[CAJUA_CF_SEC_New_27-Feb-2024Rev3.xlsx]D-PSNP'!</v>
      </c>
      <c r="G3667" s="32" t="s">
        <v>111</v>
      </c>
      <c r="H3667" s="33">
        <f t="shared" si="879"/>
        <v>29</v>
      </c>
      <c r="I3667" s="33" t="str">
        <f t="shared" si="878"/>
        <v>='C:\Users\jaime.benazar\Quorum Business Solutions\Ecopetrol Prometeo - Documents\Planning Space Implementation\3. Analysis &amp; Design\Design\FC22\DRR Jaime\QUIFA-CAJÚA\Cajua\[CAJUA_CF_SEC_New_27-Feb-2024Rev3.xlsx]D-PSNP'!$BE$29</v>
      </c>
      <c r="J3667" s="37" t="s">
        <v>3793</v>
      </c>
    </row>
    <row r="3668" spans="1:10" x14ac:dyDescent="0.25">
      <c r="A3668" s="32" t="s">
        <v>103</v>
      </c>
      <c r="B3668" s="32">
        <f>+B3667+1</f>
        <v>2041</v>
      </c>
      <c r="C3668" s="33" t="s">
        <v>49</v>
      </c>
      <c r="D3668" s="34" t="s">
        <v>1999</v>
      </c>
      <c r="E3668" s="35" t="str">
        <f t="shared" si="876"/>
        <v>PSNP'!</v>
      </c>
      <c r="F3668" s="34" t="str">
        <f t="shared" si="877"/>
        <v>C:\Users\jaime.benazar\Quorum Business Solutions\Ecopetrol Prometeo - Documents\Planning Space Implementation\3. Analysis &amp; Design\Design\FC22\DRR Jaime\QUIFA-CAJÚA\Cajua\[CAJUA_CF_SEC_New_27-Feb-2024Rev3.xlsx]D-PSNP'!</v>
      </c>
      <c r="G3668" s="32" t="s">
        <v>111</v>
      </c>
      <c r="H3668" s="33">
        <f t="shared" si="879"/>
        <v>30</v>
      </c>
      <c r="I3668" s="33" t="str">
        <f t="shared" si="878"/>
        <v>='C:\Users\jaime.benazar\Quorum Business Solutions\Ecopetrol Prometeo - Documents\Planning Space Implementation\3. Analysis &amp; Design\Design\FC22\DRR Jaime\QUIFA-CAJÚA\Cajua\[CAJUA_CF_SEC_New_27-Feb-2024Rev3.xlsx]D-PSNP'!$BE$30</v>
      </c>
      <c r="J3668" s="37" t="s">
        <v>3794</v>
      </c>
    </row>
    <row r="3669" spans="1:10" x14ac:dyDescent="0.25">
      <c r="A3669" s="32" t="s">
        <v>103</v>
      </c>
      <c r="B3669" s="32">
        <f t="shared" ref="B3669:B3670" si="882">+B3668+1</f>
        <v>2042</v>
      </c>
      <c r="C3669" s="33" t="s">
        <v>49</v>
      </c>
      <c r="D3669" s="34" t="s">
        <v>1999</v>
      </c>
      <c r="E3669" s="35" t="str">
        <f t="shared" si="876"/>
        <v>PSNP'!</v>
      </c>
      <c r="F3669" s="34" t="str">
        <f t="shared" si="877"/>
        <v>C:\Users\jaime.benazar\Quorum Business Solutions\Ecopetrol Prometeo - Documents\Planning Space Implementation\3. Analysis &amp; Design\Design\FC22\DRR Jaime\QUIFA-CAJÚA\Cajua\[CAJUA_CF_SEC_New_27-Feb-2024Rev3.xlsx]D-PSNP'!</v>
      </c>
      <c r="G3669" s="32" t="s">
        <v>111</v>
      </c>
      <c r="H3669" s="33">
        <f t="shared" si="879"/>
        <v>31</v>
      </c>
      <c r="I3669" s="33" t="str">
        <f t="shared" si="878"/>
        <v>='C:\Users\jaime.benazar\Quorum Business Solutions\Ecopetrol Prometeo - Documents\Planning Space Implementation\3. Analysis &amp; Design\Design\FC22\DRR Jaime\QUIFA-CAJÚA\Cajua\[CAJUA_CF_SEC_New_27-Feb-2024Rev3.xlsx]D-PSNP'!$BE$31</v>
      </c>
      <c r="J3669" s="37" t="s">
        <v>3795</v>
      </c>
    </row>
    <row r="3670" spans="1:10" x14ac:dyDescent="0.25">
      <c r="A3670" s="32" t="s">
        <v>103</v>
      </c>
      <c r="B3670" s="32">
        <f t="shared" si="882"/>
        <v>2043</v>
      </c>
      <c r="C3670" s="33" t="s">
        <v>49</v>
      </c>
      <c r="D3670" s="34" t="s">
        <v>1999</v>
      </c>
      <c r="E3670" s="35" t="str">
        <f t="shared" si="876"/>
        <v>PSNP'!</v>
      </c>
      <c r="F3670" s="34" t="str">
        <f t="shared" si="877"/>
        <v>C:\Users\jaime.benazar\Quorum Business Solutions\Ecopetrol Prometeo - Documents\Planning Space Implementation\3. Analysis &amp; Design\Design\FC22\DRR Jaime\QUIFA-CAJÚA\Cajua\[CAJUA_CF_SEC_New_27-Feb-2024Rev3.xlsx]D-PSNP'!</v>
      </c>
      <c r="G3670" s="32" t="s">
        <v>111</v>
      </c>
      <c r="H3670" s="33">
        <f t="shared" si="879"/>
        <v>32</v>
      </c>
      <c r="I3670" s="33" t="str">
        <f t="shared" si="878"/>
        <v>='C:\Users\jaime.benazar\Quorum Business Solutions\Ecopetrol Prometeo - Documents\Planning Space Implementation\3. Analysis &amp; Design\Design\FC22\DRR Jaime\QUIFA-CAJÚA\Cajua\[CAJUA_CF_SEC_New_27-Feb-2024Rev3.xlsx]D-PSNP'!$BE$32</v>
      </c>
      <c r="J3670" s="37" t="s">
        <v>3796</v>
      </c>
    </row>
    <row r="3671" spans="1:10" x14ac:dyDescent="0.25">
      <c r="A3671" s="32" t="s">
        <v>103</v>
      </c>
      <c r="B3671" s="32">
        <f>+B3670+1</f>
        <v>2044</v>
      </c>
      <c r="C3671" s="33" t="s">
        <v>49</v>
      </c>
      <c r="D3671" s="34" t="s">
        <v>1999</v>
      </c>
      <c r="E3671" s="35" t="str">
        <f t="shared" ref="E3671:E3686" si="883">_xlfn.CONCAT(A3671,"'!")</f>
        <v>PSNP'!</v>
      </c>
      <c r="F3671" s="34" t="str">
        <f t="shared" ref="F3671:F3686" si="884">_xlfn.CONCAT(D3671:E3671)</f>
        <v>C:\Users\jaime.benazar\Quorum Business Solutions\Ecopetrol Prometeo - Documents\Planning Space Implementation\3. Analysis &amp; Design\Design\FC22\DRR Jaime\QUIFA-CAJÚA\Cajua\[CAJUA_CF_SEC_New_27-Feb-2024Rev3.xlsx]D-PSNP'!</v>
      </c>
      <c r="G3671" s="32" t="s">
        <v>111</v>
      </c>
      <c r="H3671" s="33">
        <f t="shared" si="879"/>
        <v>33</v>
      </c>
      <c r="I3671" s="33" t="str">
        <f t="shared" si="878"/>
        <v>='C:\Users\jaime.benazar\Quorum Business Solutions\Ecopetrol Prometeo - Documents\Planning Space Implementation\3. Analysis &amp; Design\Design\FC22\DRR Jaime\QUIFA-CAJÚA\Cajua\[CAJUA_CF_SEC_New_27-Feb-2024Rev3.xlsx]D-PSNP'!$BE$33</v>
      </c>
      <c r="J3671" s="37" t="s">
        <v>3797</v>
      </c>
    </row>
    <row r="3672" spans="1:10" x14ac:dyDescent="0.25">
      <c r="A3672" s="32" t="s">
        <v>103</v>
      </c>
      <c r="B3672" s="32">
        <f t="shared" ref="B3672:B3686" si="885">+B3671+1</f>
        <v>2045</v>
      </c>
      <c r="C3672" s="33" t="s">
        <v>49</v>
      </c>
      <c r="D3672" s="34" t="s">
        <v>1999</v>
      </c>
      <c r="E3672" s="35" t="str">
        <f t="shared" si="883"/>
        <v>PSNP'!</v>
      </c>
      <c r="F3672" s="34" t="str">
        <f t="shared" si="884"/>
        <v>C:\Users\jaime.benazar\Quorum Business Solutions\Ecopetrol Prometeo - Documents\Planning Space Implementation\3. Analysis &amp; Design\Design\FC22\DRR Jaime\QUIFA-CAJÚA\Cajua\[CAJUA_CF_SEC_New_27-Feb-2024Rev3.xlsx]D-PSNP'!</v>
      </c>
      <c r="G3672" s="32" t="s">
        <v>111</v>
      </c>
      <c r="H3672" s="33">
        <f t="shared" si="879"/>
        <v>34</v>
      </c>
      <c r="I3672" s="33" t="str">
        <f t="shared" si="878"/>
        <v>='C:\Users\jaime.benazar\Quorum Business Solutions\Ecopetrol Prometeo - Documents\Planning Space Implementation\3. Analysis &amp; Design\Design\FC22\DRR Jaime\QUIFA-CAJÚA\Cajua\[CAJUA_CF_SEC_New_27-Feb-2024Rev3.xlsx]D-PSNP'!$BE$34</v>
      </c>
      <c r="J3672" s="37" t="s">
        <v>3798</v>
      </c>
    </row>
    <row r="3673" spans="1:10" x14ac:dyDescent="0.25">
      <c r="A3673" s="32" t="s">
        <v>103</v>
      </c>
      <c r="B3673" s="32">
        <f t="shared" si="885"/>
        <v>2046</v>
      </c>
      <c r="C3673" s="33" t="s">
        <v>49</v>
      </c>
      <c r="D3673" s="34" t="s">
        <v>1999</v>
      </c>
      <c r="E3673" s="35" t="str">
        <f t="shared" si="883"/>
        <v>PSNP'!</v>
      </c>
      <c r="F3673" s="34" t="str">
        <f t="shared" si="884"/>
        <v>C:\Users\jaime.benazar\Quorum Business Solutions\Ecopetrol Prometeo - Documents\Planning Space Implementation\3. Analysis &amp; Design\Design\FC22\DRR Jaime\QUIFA-CAJÚA\Cajua\[CAJUA_CF_SEC_New_27-Feb-2024Rev3.xlsx]D-PSNP'!</v>
      </c>
      <c r="G3673" s="32" t="s">
        <v>111</v>
      </c>
      <c r="H3673" s="33">
        <f t="shared" si="879"/>
        <v>35</v>
      </c>
      <c r="I3673" s="33" t="str">
        <f t="shared" si="878"/>
        <v>='C:\Users\jaime.benazar\Quorum Business Solutions\Ecopetrol Prometeo - Documents\Planning Space Implementation\3. Analysis &amp; Design\Design\FC22\DRR Jaime\QUIFA-CAJÚA\Cajua\[CAJUA_CF_SEC_New_27-Feb-2024Rev3.xlsx]D-PSNP'!$BE$35</v>
      </c>
      <c r="J3673" s="37" t="s">
        <v>3799</v>
      </c>
    </row>
    <row r="3674" spans="1:10" x14ac:dyDescent="0.25">
      <c r="A3674" s="32" t="s">
        <v>103</v>
      </c>
      <c r="B3674" s="32">
        <f t="shared" si="885"/>
        <v>2047</v>
      </c>
      <c r="C3674" s="33" t="s">
        <v>49</v>
      </c>
      <c r="D3674" s="34" t="s">
        <v>1999</v>
      </c>
      <c r="E3674" s="35" t="str">
        <f t="shared" si="883"/>
        <v>PSNP'!</v>
      </c>
      <c r="F3674" s="34" t="str">
        <f t="shared" si="884"/>
        <v>C:\Users\jaime.benazar\Quorum Business Solutions\Ecopetrol Prometeo - Documents\Planning Space Implementation\3. Analysis &amp; Design\Design\FC22\DRR Jaime\QUIFA-CAJÚA\Cajua\[CAJUA_CF_SEC_New_27-Feb-2024Rev3.xlsx]D-PSNP'!</v>
      </c>
      <c r="G3674" s="32" t="s">
        <v>111</v>
      </c>
      <c r="H3674" s="33">
        <f t="shared" si="879"/>
        <v>36</v>
      </c>
      <c r="I3674" s="33" t="str">
        <f t="shared" si="878"/>
        <v>='C:\Users\jaime.benazar\Quorum Business Solutions\Ecopetrol Prometeo - Documents\Planning Space Implementation\3. Analysis &amp; Design\Design\FC22\DRR Jaime\QUIFA-CAJÚA\Cajua\[CAJUA_CF_SEC_New_27-Feb-2024Rev3.xlsx]D-PSNP'!$BE$36</v>
      </c>
      <c r="J3674" s="37" t="s">
        <v>3800</v>
      </c>
    </row>
    <row r="3675" spans="1:10" x14ac:dyDescent="0.25">
      <c r="A3675" s="32" t="s">
        <v>103</v>
      </c>
      <c r="B3675" s="32">
        <f t="shared" si="885"/>
        <v>2048</v>
      </c>
      <c r="C3675" s="33" t="s">
        <v>49</v>
      </c>
      <c r="D3675" s="34" t="s">
        <v>1999</v>
      </c>
      <c r="E3675" s="35" t="str">
        <f t="shared" si="883"/>
        <v>PSNP'!</v>
      </c>
      <c r="F3675" s="34" t="str">
        <f t="shared" si="884"/>
        <v>C:\Users\jaime.benazar\Quorum Business Solutions\Ecopetrol Prometeo - Documents\Planning Space Implementation\3. Analysis &amp; Design\Design\FC22\DRR Jaime\QUIFA-CAJÚA\Cajua\[CAJUA_CF_SEC_New_27-Feb-2024Rev3.xlsx]D-PSNP'!</v>
      </c>
      <c r="G3675" s="32" t="s">
        <v>111</v>
      </c>
      <c r="H3675" s="33">
        <f t="shared" si="879"/>
        <v>37</v>
      </c>
      <c r="I3675" s="33" t="str">
        <f t="shared" si="878"/>
        <v>='C:\Users\jaime.benazar\Quorum Business Solutions\Ecopetrol Prometeo - Documents\Planning Space Implementation\3. Analysis &amp; Design\Design\FC22\DRR Jaime\QUIFA-CAJÚA\Cajua\[CAJUA_CF_SEC_New_27-Feb-2024Rev3.xlsx]D-PSNP'!$BE$37</v>
      </c>
      <c r="J3675" s="37" t="s">
        <v>3801</v>
      </c>
    </row>
    <row r="3676" spans="1:10" x14ac:dyDescent="0.25">
      <c r="A3676" s="32" t="s">
        <v>103</v>
      </c>
      <c r="B3676" s="32">
        <f t="shared" si="885"/>
        <v>2049</v>
      </c>
      <c r="C3676" s="33" t="s">
        <v>49</v>
      </c>
      <c r="D3676" s="34" t="s">
        <v>1999</v>
      </c>
      <c r="E3676" s="35" t="str">
        <f t="shared" si="883"/>
        <v>PSNP'!</v>
      </c>
      <c r="F3676" s="34" t="str">
        <f t="shared" si="884"/>
        <v>C:\Users\jaime.benazar\Quorum Business Solutions\Ecopetrol Prometeo - Documents\Planning Space Implementation\3. Analysis &amp; Design\Design\FC22\DRR Jaime\QUIFA-CAJÚA\Cajua\[CAJUA_CF_SEC_New_27-Feb-2024Rev3.xlsx]D-PSNP'!</v>
      </c>
      <c r="G3676" s="32" t="s">
        <v>111</v>
      </c>
      <c r="H3676" s="33">
        <f t="shared" si="879"/>
        <v>38</v>
      </c>
      <c r="I3676" s="33" t="str">
        <f t="shared" si="878"/>
        <v>='C:\Users\jaime.benazar\Quorum Business Solutions\Ecopetrol Prometeo - Documents\Planning Space Implementation\3. Analysis &amp; Design\Design\FC22\DRR Jaime\QUIFA-CAJÚA\Cajua\[CAJUA_CF_SEC_New_27-Feb-2024Rev3.xlsx]D-PSNP'!$BE$38</v>
      </c>
      <c r="J3676" s="37" t="s">
        <v>3802</v>
      </c>
    </row>
    <row r="3677" spans="1:10" x14ac:dyDescent="0.25">
      <c r="A3677" s="32" t="s">
        <v>103</v>
      </c>
      <c r="B3677" s="32">
        <f t="shared" si="885"/>
        <v>2050</v>
      </c>
      <c r="C3677" s="33" t="s">
        <v>49</v>
      </c>
      <c r="D3677" s="34" t="s">
        <v>1999</v>
      </c>
      <c r="E3677" s="35" t="str">
        <f t="shared" si="883"/>
        <v>PSNP'!</v>
      </c>
      <c r="F3677" s="34" t="str">
        <f t="shared" si="884"/>
        <v>C:\Users\jaime.benazar\Quorum Business Solutions\Ecopetrol Prometeo - Documents\Planning Space Implementation\3. Analysis &amp; Design\Design\FC22\DRR Jaime\QUIFA-CAJÚA\Cajua\[CAJUA_CF_SEC_New_27-Feb-2024Rev3.xlsx]D-PSNP'!</v>
      </c>
      <c r="G3677" s="32" t="s">
        <v>111</v>
      </c>
      <c r="H3677" s="33">
        <f t="shared" si="879"/>
        <v>39</v>
      </c>
      <c r="I3677" s="33" t="str">
        <f t="shared" si="878"/>
        <v>='C:\Users\jaime.benazar\Quorum Business Solutions\Ecopetrol Prometeo - Documents\Planning Space Implementation\3. Analysis &amp; Design\Design\FC22\DRR Jaime\QUIFA-CAJÚA\Cajua\[CAJUA_CF_SEC_New_27-Feb-2024Rev3.xlsx]D-PSNP'!$BE$39</v>
      </c>
      <c r="J3677" s="37" t="s">
        <v>3803</v>
      </c>
    </row>
    <row r="3678" spans="1:10" x14ac:dyDescent="0.25">
      <c r="A3678" s="32" t="s">
        <v>103</v>
      </c>
      <c r="B3678" s="32">
        <f t="shared" si="885"/>
        <v>2051</v>
      </c>
      <c r="C3678" s="33" t="s">
        <v>49</v>
      </c>
      <c r="D3678" s="34" t="s">
        <v>1999</v>
      </c>
      <c r="E3678" s="35" t="str">
        <f t="shared" si="883"/>
        <v>PSNP'!</v>
      </c>
      <c r="F3678" s="34" t="str">
        <f t="shared" si="884"/>
        <v>C:\Users\jaime.benazar\Quorum Business Solutions\Ecopetrol Prometeo - Documents\Planning Space Implementation\3. Analysis &amp; Design\Design\FC22\DRR Jaime\QUIFA-CAJÚA\Cajua\[CAJUA_CF_SEC_New_27-Feb-2024Rev3.xlsx]D-PSNP'!</v>
      </c>
      <c r="G3678" s="32" t="s">
        <v>111</v>
      </c>
      <c r="H3678" s="33">
        <f t="shared" si="879"/>
        <v>40</v>
      </c>
      <c r="I3678" s="33" t="str">
        <f t="shared" si="878"/>
        <v>='C:\Users\jaime.benazar\Quorum Business Solutions\Ecopetrol Prometeo - Documents\Planning Space Implementation\3. Analysis &amp; Design\Design\FC22\DRR Jaime\QUIFA-CAJÚA\Cajua\[CAJUA_CF_SEC_New_27-Feb-2024Rev3.xlsx]D-PSNP'!$BE$40</v>
      </c>
      <c r="J3678" s="37" t="s">
        <v>3804</v>
      </c>
    </row>
    <row r="3679" spans="1:10" x14ac:dyDescent="0.25">
      <c r="A3679" s="32" t="s">
        <v>103</v>
      </c>
      <c r="B3679" s="32">
        <f t="shared" si="885"/>
        <v>2052</v>
      </c>
      <c r="C3679" s="33" t="s">
        <v>49</v>
      </c>
      <c r="D3679" s="34" t="s">
        <v>1999</v>
      </c>
      <c r="E3679" s="35" t="str">
        <f t="shared" si="883"/>
        <v>PSNP'!</v>
      </c>
      <c r="F3679" s="34" t="str">
        <f t="shared" si="884"/>
        <v>C:\Users\jaime.benazar\Quorum Business Solutions\Ecopetrol Prometeo - Documents\Planning Space Implementation\3. Analysis &amp; Design\Design\FC22\DRR Jaime\QUIFA-CAJÚA\Cajua\[CAJUA_CF_SEC_New_27-Feb-2024Rev3.xlsx]D-PSNP'!</v>
      </c>
      <c r="G3679" s="32" t="s">
        <v>111</v>
      </c>
      <c r="H3679" s="33">
        <f t="shared" si="879"/>
        <v>41</v>
      </c>
      <c r="I3679" s="33" t="str">
        <f t="shared" si="878"/>
        <v>='C:\Users\jaime.benazar\Quorum Business Solutions\Ecopetrol Prometeo - Documents\Planning Space Implementation\3. Analysis &amp; Design\Design\FC22\DRR Jaime\QUIFA-CAJÚA\Cajua\[CAJUA_CF_SEC_New_27-Feb-2024Rev3.xlsx]D-PSNP'!$BE$41</v>
      </c>
      <c r="J3679" s="37" t="s">
        <v>3805</v>
      </c>
    </row>
    <row r="3680" spans="1:10" x14ac:dyDescent="0.25">
      <c r="A3680" s="32" t="s">
        <v>103</v>
      </c>
      <c r="B3680" s="32">
        <f t="shared" si="885"/>
        <v>2053</v>
      </c>
      <c r="C3680" s="33" t="s">
        <v>49</v>
      </c>
      <c r="D3680" s="34" t="s">
        <v>1999</v>
      </c>
      <c r="E3680" s="35" t="str">
        <f t="shared" si="883"/>
        <v>PSNP'!</v>
      </c>
      <c r="F3680" s="34" t="str">
        <f t="shared" si="884"/>
        <v>C:\Users\jaime.benazar\Quorum Business Solutions\Ecopetrol Prometeo - Documents\Planning Space Implementation\3. Analysis &amp; Design\Design\FC22\DRR Jaime\QUIFA-CAJÚA\Cajua\[CAJUA_CF_SEC_New_27-Feb-2024Rev3.xlsx]D-PSNP'!</v>
      </c>
      <c r="G3680" s="32" t="s">
        <v>111</v>
      </c>
      <c r="H3680" s="33">
        <f t="shared" si="879"/>
        <v>42</v>
      </c>
      <c r="I3680" s="33" t="str">
        <f t="shared" si="878"/>
        <v>='C:\Users\jaime.benazar\Quorum Business Solutions\Ecopetrol Prometeo - Documents\Planning Space Implementation\3. Analysis &amp; Design\Design\FC22\DRR Jaime\QUIFA-CAJÚA\Cajua\[CAJUA_CF_SEC_New_27-Feb-2024Rev3.xlsx]D-PSNP'!$BE$42</v>
      </c>
      <c r="J3680" s="37" t="s">
        <v>3806</v>
      </c>
    </row>
    <row r="3681" spans="1:10" x14ac:dyDescent="0.25">
      <c r="A3681" s="32" t="s">
        <v>103</v>
      </c>
      <c r="B3681" s="32">
        <f t="shared" si="885"/>
        <v>2054</v>
      </c>
      <c r="C3681" s="33" t="s">
        <v>49</v>
      </c>
      <c r="D3681" s="34" t="s">
        <v>1999</v>
      </c>
      <c r="E3681" s="35" t="str">
        <f t="shared" si="883"/>
        <v>PSNP'!</v>
      </c>
      <c r="F3681" s="34" t="str">
        <f t="shared" si="884"/>
        <v>C:\Users\jaime.benazar\Quorum Business Solutions\Ecopetrol Prometeo - Documents\Planning Space Implementation\3. Analysis &amp; Design\Design\FC22\DRR Jaime\QUIFA-CAJÚA\Cajua\[CAJUA_CF_SEC_New_27-Feb-2024Rev3.xlsx]D-PSNP'!</v>
      </c>
      <c r="G3681" s="32" t="s">
        <v>111</v>
      </c>
      <c r="H3681" s="33">
        <f t="shared" si="879"/>
        <v>43</v>
      </c>
      <c r="I3681" s="33" t="str">
        <f t="shared" si="878"/>
        <v>='C:\Users\jaime.benazar\Quorum Business Solutions\Ecopetrol Prometeo - Documents\Planning Space Implementation\3. Analysis &amp; Design\Design\FC22\DRR Jaime\QUIFA-CAJÚA\Cajua\[CAJUA_CF_SEC_New_27-Feb-2024Rev3.xlsx]D-PSNP'!$BE$43</v>
      </c>
      <c r="J3681" s="37" t="s">
        <v>3807</v>
      </c>
    </row>
    <row r="3682" spans="1:10" x14ac:dyDescent="0.25">
      <c r="A3682" s="32" t="s">
        <v>103</v>
      </c>
      <c r="B3682" s="32">
        <f t="shared" si="885"/>
        <v>2055</v>
      </c>
      <c r="C3682" s="33" t="s">
        <v>49</v>
      </c>
      <c r="D3682" s="34" t="s">
        <v>1999</v>
      </c>
      <c r="E3682" s="35" t="str">
        <f t="shared" si="883"/>
        <v>PSNP'!</v>
      </c>
      <c r="F3682" s="34" t="str">
        <f t="shared" si="884"/>
        <v>C:\Users\jaime.benazar\Quorum Business Solutions\Ecopetrol Prometeo - Documents\Planning Space Implementation\3. Analysis &amp; Design\Design\FC22\DRR Jaime\QUIFA-CAJÚA\Cajua\[CAJUA_CF_SEC_New_27-Feb-2024Rev3.xlsx]D-PSNP'!</v>
      </c>
      <c r="G3682" s="32" t="s">
        <v>111</v>
      </c>
      <c r="H3682" s="33">
        <f t="shared" si="879"/>
        <v>44</v>
      </c>
      <c r="I3682" s="33" t="str">
        <f t="shared" si="878"/>
        <v>='C:\Users\jaime.benazar\Quorum Business Solutions\Ecopetrol Prometeo - Documents\Planning Space Implementation\3. Analysis &amp; Design\Design\FC22\DRR Jaime\QUIFA-CAJÚA\Cajua\[CAJUA_CF_SEC_New_27-Feb-2024Rev3.xlsx]D-PSNP'!$BE$44</v>
      </c>
      <c r="J3682" s="37" t="s">
        <v>3808</v>
      </c>
    </row>
    <row r="3683" spans="1:10" x14ac:dyDescent="0.25">
      <c r="A3683" s="32" t="s">
        <v>103</v>
      </c>
      <c r="B3683" s="32">
        <f t="shared" si="885"/>
        <v>2056</v>
      </c>
      <c r="C3683" s="33" t="s">
        <v>49</v>
      </c>
      <c r="D3683" s="34" t="s">
        <v>1999</v>
      </c>
      <c r="E3683" s="35" t="str">
        <f t="shared" si="883"/>
        <v>PSNP'!</v>
      </c>
      <c r="F3683" s="34" t="str">
        <f t="shared" si="884"/>
        <v>C:\Users\jaime.benazar\Quorum Business Solutions\Ecopetrol Prometeo - Documents\Planning Space Implementation\3. Analysis &amp; Design\Design\FC22\DRR Jaime\QUIFA-CAJÚA\Cajua\[CAJUA_CF_SEC_New_27-Feb-2024Rev3.xlsx]D-PSNP'!</v>
      </c>
      <c r="G3683" s="32" t="s">
        <v>111</v>
      </c>
      <c r="H3683" s="33">
        <f t="shared" si="879"/>
        <v>45</v>
      </c>
      <c r="I3683" s="33" t="str">
        <f t="shared" si="878"/>
        <v>='C:\Users\jaime.benazar\Quorum Business Solutions\Ecopetrol Prometeo - Documents\Planning Space Implementation\3. Analysis &amp; Design\Design\FC22\DRR Jaime\QUIFA-CAJÚA\Cajua\[CAJUA_CF_SEC_New_27-Feb-2024Rev3.xlsx]D-PSNP'!$BE$45</v>
      </c>
      <c r="J3683" s="37" t="s">
        <v>3809</v>
      </c>
    </row>
    <row r="3684" spans="1:10" x14ac:dyDescent="0.25">
      <c r="A3684" s="32" t="s">
        <v>103</v>
      </c>
      <c r="B3684" s="32">
        <f t="shared" si="885"/>
        <v>2057</v>
      </c>
      <c r="C3684" s="33" t="s">
        <v>49</v>
      </c>
      <c r="D3684" s="34" t="s">
        <v>1999</v>
      </c>
      <c r="E3684" s="35" t="str">
        <f t="shared" si="883"/>
        <v>PSNP'!</v>
      </c>
      <c r="F3684" s="34" t="str">
        <f t="shared" si="884"/>
        <v>C:\Users\jaime.benazar\Quorum Business Solutions\Ecopetrol Prometeo - Documents\Planning Space Implementation\3. Analysis &amp; Design\Design\FC22\DRR Jaime\QUIFA-CAJÚA\Cajua\[CAJUA_CF_SEC_New_27-Feb-2024Rev3.xlsx]D-PSNP'!</v>
      </c>
      <c r="G3684" s="32" t="s">
        <v>111</v>
      </c>
      <c r="H3684" s="33">
        <f t="shared" si="879"/>
        <v>46</v>
      </c>
      <c r="I3684" s="33" t="str">
        <f t="shared" si="878"/>
        <v>='C:\Users\jaime.benazar\Quorum Business Solutions\Ecopetrol Prometeo - Documents\Planning Space Implementation\3. Analysis &amp; Design\Design\FC22\DRR Jaime\QUIFA-CAJÚA\Cajua\[CAJUA_CF_SEC_New_27-Feb-2024Rev3.xlsx]D-PSNP'!$BE$46</v>
      </c>
      <c r="J3684" s="37" t="s">
        <v>3810</v>
      </c>
    </row>
    <row r="3685" spans="1:10" x14ac:dyDescent="0.25">
      <c r="A3685" s="32" t="s">
        <v>103</v>
      </c>
      <c r="B3685" s="32">
        <f t="shared" si="885"/>
        <v>2058</v>
      </c>
      <c r="C3685" s="33" t="s">
        <v>49</v>
      </c>
      <c r="D3685" s="34" t="s">
        <v>1999</v>
      </c>
      <c r="E3685" s="35" t="str">
        <f t="shared" si="883"/>
        <v>PSNP'!</v>
      </c>
      <c r="F3685" s="34" t="str">
        <f t="shared" si="884"/>
        <v>C:\Users\jaime.benazar\Quorum Business Solutions\Ecopetrol Prometeo - Documents\Planning Space Implementation\3. Analysis &amp; Design\Design\FC22\DRR Jaime\QUIFA-CAJÚA\Cajua\[CAJUA_CF_SEC_New_27-Feb-2024Rev3.xlsx]D-PSNP'!</v>
      </c>
      <c r="G3685" s="32" t="s">
        <v>111</v>
      </c>
      <c r="H3685" s="33">
        <f t="shared" si="879"/>
        <v>47</v>
      </c>
      <c r="I3685" s="33" t="str">
        <f t="shared" si="878"/>
        <v>='C:\Users\jaime.benazar\Quorum Business Solutions\Ecopetrol Prometeo - Documents\Planning Space Implementation\3. Analysis &amp; Design\Design\FC22\DRR Jaime\QUIFA-CAJÚA\Cajua\[CAJUA_CF_SEC_New_27-Feb-2024Rev3.xlsx]D-PSNP'!$BE$47</v>
      </c>
      <c r="J3685" s="37" t="s">
        <v>3811</v>
      </c>
    </row>
    <row r="3686" spans="1:10" x14ac:dyDescent="0.25">
      <c r="A3686" s="32" t="s">
        <v>103</v>
      </c>
      <c r="B3686" s="32">
        <f t="shared" si="885"/>
        <v>2059</v>
      </c>
      <c r="C3686" s="33" t="s">
        <v>49</v>
      </c>
      <c r="D3686" s="34" t="s">
        <v>1999</v>
      </c>
      <c r="E3686" s="35" t="str">
        <f t="shared" si="883"/>
        <v>PSNP'!</v>
      </c>
      <c r="F3686" s="34" t="str">
        <f t="shared" si="884"/>
        <v>C:\Users\jaime.benazar\Quorum Business Solutions\Ecopetrol Prometeo - Documents\Planning Space Implementation\3. Analysis &amp; Design\Design\FC22\DRR Jaime\QUIFA-CAJÚA\Cajua\[CAJUA_CF_SEC_New_27-Feb-2024Rev3.xlsx]D-PSNP'!</v>
      </c>
      <c r="G3686" s="32" t="s">
        <v>111</v>
      </c>
      <c r="H3686" s="33">
        <f t="shared" si="879"/>
        <v>48</v>
      </c>
      <c r="I3686" s="33" t="str">
        <f t="shared" si="878"/>
        <v>='C:\Users\jaime.benazar\Quorum Business Solutions\Ecopetrol Prometeo - Documents\Planning Space Implementation\3. Analysis &amp; Design\Design\FC22\DRR Jaime\QUIFA-CAJÚA\Cajua\[CAJUA_CF_SEC_New_27-Feb-2024Rev3.xlsx]D-PSNP'!$BE$48</v>
      </c>
      <c r="J3686" s="37" t="s">
        <v>3812</v>
      </c>
    </row>
    <row r="3687" spans="1:10" x14ac:dyDescent="0.25">
      <c r="A3687" s="32" t="s">
        <v>28</v>
      </c>
      <c r="B3687" s="32"/>
      <c r="C3687" s="33" t="s">
        <v>49</v>
      </c>
      <c r="D3687" s="34"/>
      <c r="E3687" s="35"/>
      <c r="F3687" s="34"/>
      <c r="G3687" s="32"/>
      <c r="H3687" s="33"/>
      <c r="I3687" s="33"/>
      <c r="J3687" s="36"/>
    </row>
    <row r="3688" spans="1:10" x14ac:dyDescent="0.25">
      <c r="A3688" s="32" t="s">
        <v>104</v>
      </c>
      <c r="B3688" s="32">
        <v>2023</v>
      </c>
      <c r="C3688" s="33" t="s">
        <v>49</v>
      </c>
      <c r="D3688" s="34" t="s">
        <v>1999</v>
      </c>
      <c r="E3688" s="35" t="str">
        <f t="shared" ref="E3688:E3708" si="886">_xlfn.CONCAT(A3688,"'!")</f>
        <v>PSND'!</v>
      </c>
      <c r="F3688" s="34" t="str">
        <f t="shared" ref="F3688:F3708" si="887">_xlfn.CONCAT(D3688:E3688)</f>
        <v>C:\Users\jaime.benazar\Quorum Business Solutions\Ecopetrol Prometeo - Documents\Planning Space Implementation\3. Analysis &amp; Design\Design\FC22\DRR Jaime\QUIFA-CAJÚA\Cajua\[CAJUA_CF_SEC_New_27-Feb-2024Rev3.xlsx]D-PSND'!</v>
      </c>
      <c r="G3688" s="32" t="s">
        <v>111</v>
      </c>
      <c r="H3688" s="33">
        <f>IF(A3688&lt;&gt;A3672,12,H3672+1)</f>
        <v>12</v>
      </c>
      <c r="I3688" s="33" t="str">
        <f t="shared" ref="I3688:I3724" si="888">_xlfn.CONCAT("='",F3688:H3688)</f>
        <v>='C:\Users\jaime.benazar\Quorum Business Solutions\Ecopetrol Prometeo - Documents\Planning Space Implementation\3. Analysis &amp; Design\Design\FC22\DRR Jaime\QUIFA-CAJÚA\Cajua\[CAJUA_CF_SEC_New_27-Feb-2024Rev3.xlsx]D-PSND'!$BE$12</v>
      </c>
      <c r="J3688" s="37" t="s">
        <v>3813</v>
      </c>
    </row>
    <row r="3689" spans="1:10" x14ac:dyDescent="0.25">
      <c r="A3689" s="32" t="s">
        <v>104</v>
      </c>
      <c r="B3689" s="32">
        <f>+B3688+1</f>
        <v>2024</v>
      </c>
      <c r="C3689" s="33" t="s">
        <v>49</v>
      </c>
      <c r="D3689" s="34" t="s">
        <v>1999</v>
      </c>
      <c r="E3689" s="35" t="str">
        <f t="shared" si="886"/>
        <v>PSND'!</v>
      </c>
      <c r="F3689" s="34" t="str">
        <f t="shared" si="887"/>
        <v>C:\Users\jaime.benazar\Quorum Business Solutions\Ecopetrol Prometeo - Documents\Planning Space Implementation\3. Analysis &amp; Design\Design\FC22\DRR Jaime\QUIFA-CAJÚA\Cajua\[CAJUA_CF_SEC_New_27-Feb-2024Rev3.xlsx]D-PSND'!</v>
      </c>
      <c r="G3689" s="32" t="s">
        <v>111</v>
      </c>
      <c r="H3689" s="33">
        <f t="shared" ref="H3689:H3724" si="889">IF(A3689&lt;&gt;A3688,36,H3688+1)</f>
        <v>13</v>
      </c>
      <c r="I3689" s="33" t="str">
        <f t="shared" si="888"/>
        <v>='C:\Users\jaime.benazar\Quorum Business Solutions\Ecopetrol Prometeo - Documents\Planning Space Implementation\3. Analysis &amp; Design\Design\FC22\DRR Jaime\QUIFA-CAJÚA\Cajua\[CAJUA_CF_SEC_New_27-Feb-2024Rev3.xlsx]D-PSND'!$BE$13</v>
      </c>
      <c r="J3689" s="37" t="s">
        <v>3814</v>
      </c>
    </row>
    <row r="3690" spans="1:10" x14ac:dyDescent="0.25">
      <c r="A3690" s="32" t="s">
        <v>104</v>
      </c>
      <c r="B3690" s="32">
        <f t="shared" ref="B3690:B3701" si="890">+B3689+1</f>
        <v>2025</v>
      </c>
      <c r="C3690" s="33" t="s">
        <v>49</v>
      </c>
      <c r="D3690" s="34" t="s">
        <v>1999</v>
      </c>
      <c r="E3690" s="35" t="str">
        <f t="shared" si="886"/>
        <v>PSND'!</v>
      </c>
      <c r="F3690" s="34" t="str">
        <f t="shared" si="887"/>
        <v>C:\Users\jaime.benazar\Quorum Business Solutions\Ecopetrol Prometeo - Documents\Planning Space Implementation\3. Analysis &amp; Design\Design\FC22\DRR Jaime\QUIFA-CAJÚA\Cajua\[CAJUA_CF_SEC_New_27-Feb-2024Rev3.xlsx]D-PSND'!</v>
      </c>
      <c r="G3690" s="32" t="s">
        <v>111</v>
      </c>
      <c r="H3690" s="33">
        <f t="shared" si="889"/>
        <v>14</v>
      </c>
      <c r="I3690" s="33" t="str">
        <f t="shared" si="888"/>
        <v>='C:\Users\jaime.benazar\Quorum Business Solutions\Ecopetrol Prometeo - Documents\Planning Space Implementation\3. Analysis &amp; Design\Design\FC22\DRR Jaime\QUIFA-CAJÚA\Cajua\[CAJUA_CF_SEC_New_27-Feb-2024Rev3.xlsx]D-PSND'!$BE$14</v>
      </c>
      <c r="J3690" s="37" t="s">
        <v>3815</v>
      </c>
    </row>
    <row r="3691" spans="1:10" x14ac:dyDescent="0.25">
      <c r="A3691" s="32" t="s">
        <v>104</v>
      </c>
      <c r="B3691" s="32">
        <f t="shared" si="890"/>
        <v>2026</v>
      </c>
      <c r="C3691" s="33" t="s">
        <v>49</v>
      </c>
      <c r="D3691" s="34" t="s">
        <v>1999</v>
      </c>
      <c r="E3691" s="35" t="str">
        <f t="shared" si="886"/>
        <v>PSND'!</v>
      </c>
      <c r="F3691" s="34" t="str">
        <f t="shared" si="887"/>
        <v>C:\Users\jaime.benazar\Quorum Business Solutions\Ecopetrol Prometeo - Documents\Planning Space Implementation\3. Analysis &amp; Design\Design\FC22\DRR Jaime\QUIFA-CAJÚA\Cajua\[CAJUA_CF_SEC_New_27-Feb-2024Rev3.xlsx]D-PSND'!</v>
      </c>
      <c r="G3691" s="32" t="s">
        <v>111</v>
      </c>
      <c r="H3691" s="33">
        <f t="shared" si="889"/>
        <v>15</v>
      </c>
      <c r="I3691" s="33" t="str">
        <f t="shared" si="888"/>
        <v>='C:\Users\jaime.benazar\Quorum Business Solutions\Ecopetrol Prometeo - Documents\Planning Space Implementation\3. Analysis &amp; Design\Design\FC22\DRR Jaime\QUIFA-CAJÚA\Cajua\[CAJUA_CF_SEC_New_27-Feb-2024Rev3.xlsx]D-PSND'!$BE$15</v>
      </c>
      <c r="J3691" s="37" t="s">
        <v>3816</v>
      </c>
    </row>
    <row r="3692" spans="1:10" x14ac:dyDescent="0.25">
      <c r="A3692" s="32" t="s">
        <v>104</v>
      </c>
      <c r="B3692" s="32">
        <f t="shared" si="890"/>
        <v>2027</v>
      </c>
      <c r="C3692" s="33" t="s">
        <v>49</v>
      </c>
      <c r="D3692" s="34" t="s">
        <v>1999</v>
      </c>
      <c r="E3692" s="35" t="str">
        <f t="shared" si="886"/>
        <v>PSND'!</v>
      </c>
      <c r="F3692" s="34" t="str">
        <f t="shared" si="887"/>
        <v>C:\Users\jaime.benazar\Quorum Business Solutions\Ecopetrol Prometeo - Documents\Planning Space Implementation\3. Analysis &amp; Design\Design\FC22\DRR Jaime\QUIFA-CAJÚA\Cajua\[CAJUA_CF_SEC_New_27-Feb-2024Rev3.xlsx]D-PSND'!</v>
      </c>
      <c r="G3692" s="32" t="s">
        <v>111</v>
      </c>
      <c r="H3692" s="33">
        <f t="shared" si="889"/>
        <v>16</v>
      </c>
      <c r="I3692" s="33" t="str">
        <f t="shared" si="888"/>
        <v>='C:\Users\jaime.benazar\Quorum Business Solutions\Ecopetrol Prometeo - Documents\Planning Space Implementation\3. Analysis &amp; Design\Design\FC22\DRR Jaime\QUIFA-CAJÚA\Cajua\[CAJUA_CF_SEC_New_27-Feb-2024Rev3.xlsx]D-PSND'!$BE$16</v>
      </c>
      <c r="J3692" s="37" t="s">
        <v>3817</v>
      </c>
    </row>
    <row r="3693" spans="1:10" x14ac:dyDescent="0.25">
      <c r="A3693" s="32" t="s">
        <v>104</v>
      </c>
      <c r="B3693" s="32">
        <f t="shared" si="890"/>
        <v>2028</v>
      </c>
      <c r="C3693" s="33" t="s">
        <v>49</v>
      </c>
      <c r="D3693" s="34" t="s">
        <v>1999</v>
      </c>
      <c r="E3693" s="35" t="str">
        <f t="shared" si="886"/>
        <v>PSND'!</v>
      </c>
      <c r="F3693" s="34" t="str">
        <f t="shared" si="887"/>
        <v>C:\Users\jaime.benazar\Quorum Business Solutions\Ecopetrol Prometeo - Documents\Planning Space Implementation\3. Analysis &amp; Design\Design\FC22\DRR Jaime\QUIFA-CAJÚA\Cajua\[CAJUA_CF_SEC_New_27-Feb-2024Rev3.xlsx]D-PSND'!</v>
      </c>
      <c r="G3693" s="32" t="s">
        <v>111</v>
      </c>
      <c r="H3693" s="33">
        <f t="shared" si="889"/>
        <v>17</v>
      </c>
      <c r="I3693" s="33" t="str">
        <f t="shared" si="888"/>
        <v>='C:\Users\jaime.benazar\Quorum Business Solutions\Ecopetrol Prometeo - Documents\Planning Space Implementation\3. Analysis &amp; Design\Design\FC22\DRR Jaime\QUIFA-CAJÚA\Cajua\[CAJUA_CF_SEC_New_27-Feb-2024Rev3.xlsx]D-PSND'!$BE$17</v>
      </c>
      <c r="J3693" s="37" t="s">
        <v>3818</v>
      </c>
    </row>
    <row r="3694" spans="1:10" x14ac:dyDescent="0.25">
      <c r="A3694" s="32" t="s">
        <v>104</v>
      </c>
      <c r="B3694" s="32">
        <f t="shared" si="890"/>
        <v>2029</v>
      </c>
      <c r="C3694" s="33" t="s">
        <v>49</v>
      </c>
      <c r="D3694" s="34" t="s">
        <v>1999</v>
      </c>
      <c r="E3694" s="35" t="str">
        <f t="shared" si="886"/>
        <v>PSND'!</v>
      </c>
      <c r="F3694" s="34" t="str">
        <f t="shared" si="887"/>
        <v>C:\Users\jaime.benazar\Quorum Business Solutions\Ecopetrol Prometeo - Documents\Planning Space Implementation\3. Analysis &amp; Design\Design\FC22\DRR Jaime\QUIFA-CAJÚA\Cajua\[CAJUA_CF_SEC_New_27-Feb-2024Rev3.xlsx]D-PSND'!</v>
      </c>
      <c r="G3694" s="32" t="s">
        <v>111</v>
      </c>
      <c r="H3694" s="33">
        <f t="shared" si="889"/>
        <v>18</v>
      </c>
      <c r="I3694" s="33" t="str">
        <f t="shared" si="888"/>
        <v>='C:\Users\jaime.benazar\Quorum Business Solutions\Ecopetrol Prometeo - Documents\Planning Space Implementation\3. Analysis &amp; Design\Design\FC22\DRR Jaime\QUIFA-CAJÚA\Cajua\[CAJUA_CF_SEC_New_27-Feb-2024Rev3.xlsx]D-PSND'!$BE$18</v>
      </c>
      <c r="J3694" s="37" t="s">
        <v>3819</v>
      </c>
    </row>
    <row r="3695" spans="1:10" x14ac:dyDescent="0.25">
      <c r="A3695" s="32" t="s">
        <v>104</v>
      </c>
      <c r="B3695" s="32">
        <f t="shared" si="890"/>
        <v>2030</v>
      </c>
      <c r="C3695" s="33" t="s">
        <v>49</v>
      </c>
      <c r="D3695" s="34" t="s">
        <v>1999</v>
      </c>
      <c r="E3695" s="35" t="str">
        <f t="shared" si="886"/>
        <v>PSND'!</v>
      </c>
      <c r="F3695" s="34" t="str">
        <f t="shared" si="887"/>
        <v>C:\Users\jaime.benazar\Quorum Business Solutions\Ecopetrol Prometeo - Documents\Planning Space Implementation\3. Analysis &amp; Design\Design\FC22\DRR Jaime\QUIFA-CAJÚA\Cajua\[CAJUA_CF_SEC_New_27-Feb-2024Rev3.xlsx]D-PSND'!</v>
      </c>
      <c r="G3695" s="32" t="s">
        <v>111</v>
      </c>
      <c r="H3695" s="33">
        <f t="shared" si="889"/>
        <v>19</v>
      </c>
      <c r="I3695" s="33" t="str">
        <f t="shared" si="888"/>
        <v>='C:\Users\jaime.benazar\Quorum Business Solutions\Ecopetrol Prometeo - Documents\Planning Space Implementation\3. Analysis &amp; Design\Design\FC22\DRR Jaime\QUIFA-CAJÚA\Cajua\[CAJUA_CF_SEC_New_27-Feb-2024Rev3.xlsx]D-PSND'!$BE$19</v>
      </c>
      <c r="J3695" s="37" t="s">
        <v>3820</v>
      </c>
    </row>
    <row r="3696" spans="1:10" x14ac:dyDescent="0.25">
      <c r="A3696" s="32" t="s">
        <v>104</v>
      </c>
      <c r="B3696" s="32">
        <f t="shared" si="890"/>
        <v>2031</v>
      </c>
      <c r="C3696" s="33" t="s">
        <v>49</v>
      </c>
      <c r="D3696" s="34" t="s">
        <v>1999</v>
      </c>
      <c r="E3696" s="35" t="str">
        <f t="shared" si="886"/>
        <v>PSND'!</v>
      </c>
      <c r="F3696" s="34" t="str">
        <f t="shared" si="887"/>
        <v>C:\Users\jaime.benazar\Quorum Business Solutions\Ecopetrol Prometeo - Documents\Planning Space Implementation\3. Analysis &amp; Design\Design\FC22\DRR Jaime\QUIFA-CAJÚA\Cajua\[CAJUA_CF_SEC_New_27-Feb-2024Rev3.xlsx]D-PSND'!</v>
      </c>
      <c r="G3696" s="32" t="s">
        <v>111</v>
      </c>
      <c r="H3696" s="33">
        <f t="shared" si="889"/>
        <v>20</v>
      </c>
      <c r="I3696" s="33" t="str">
        <f t="shared" si="888"/>
        <v>='C:\Users\jaime.benazar\Quorum Business Solutions\Ecopetrol Prometeo - Documents\Planning Space Implementation\3. Analysis &amp; Design\Design\FC22\DRR Jaime\QUIFA-CAJÚA\Cajua\[CAJUA_CF_SEC_New_27-Feb-2024Rev3.xlsx]D-PSND'!$BE$20</v>
      </c>
      <c r="J3696" s="37" t="s">
        <v>3821</v>
      </c>
    </row>
    <row r="3697" spans="1:10" x14ac:dyDescent="0.25">
      <c r="A3697" s="32" t="s">
        <v>104</v>
      </c>
      <c r="B3697" s="32">
        <f t="shared" si="890"/>
        <v>2032</v>
      </c>
      <c r="C3697" s="33" t="s">
        <v>49</v>
      </c>
      <c r="D3697" s="34" t="s">
        <v>1999</v>
      </c>
      <c r="E3697" s="35" t="str">
        <f t="shared" si="886"/>
        <v>PSND'!</v>
      </c>
      <c r="F3697" s="34" t="str">
        <f t="shared" si="887"/>
        <v>C:\Users\jaime.benazar\Quorum Business Solutions\Ecopetrol Prometeo - Documents\Planning Space Implementation\3. Analysis &amp; Design\Design\FC22\DRR Jaime\QUIFA-CAJÚA\Cajua\[CAJUA_CF_SEC_New_27-Feb-2024Rev3.xlsx]D-PSND'!</v>
      </c>
      <c r="G3697" s="32" t="s">
        <v>111</v>
      </c>
      <c r="H3697" s="33">
        <f t="shared" si="889"/>
        <v>21</v>
      </c>
      <c r="I3697" s="33" t="str">
        <f t="shared" si="888"/>
        <v>='C:\Users\jaime.benazar\Quorum Business Solutions\Ecopetrol Prometeo - Documents\Planning Space Implementation\3. Analysis &amp; Design\Design\FC22\DRR Jaime\QUIFA-CAJÚA\Cajua\[CAJUA_CF_SEC_New_27-Feb-2024Rev3.xlsx]D-PSND'!$BE$21</v>
      </c>
      <c r="J3697" s="37" t="s">
        <v>3822</v>
      </c>
    </row>
    <row r="3698" spans="1:10" x14ac:dyDescent="0.25">
      <c r="A3698" s="32" t="s">
        <v>104</v>
      </c>
      <c r="B3698" s="32">
        <f t="shared" si="890"/>
        <v>2033</v>
      </c>
      <c r="C3698" s="33" t="s">
        <v>49</v>
      </c>
      <c r="D3698" s="34" t="s">
        <v>1999</v>
      </c>
      <c r="E3698" s="35" t="str">
        <f t="shared" si="886"/>
        <v>PSND'!</v>
      </c>
      <c r="F3698" s="34" t="str">
        <f t="shared" si="887"/>
        <v>C:\Users\jaime.benazar\Quorum Business Solutions\Ecopetrol Prometeo - Documents\Planning Space Implementation\3. Analysis &amp; Design\Design\FC22\DRR Jaime\QUIFA-CAJÚA\Cajua\[CAJUA_CF_SEC_New_27-Feb-2024Rev3.xlsx]D-PSND'!</v>
      </c>
      <c r="G3698" s="32" t="s">
        <v>111</v>
      </c>
      <c r="H3698" s="33">
        <f t="shared" si="889"/>
        <v>22</v>
      </c>
      <c r="I3698" s="33" t="str">
        <f t="shared" si="888"/>
        <v>='C:\Users\jaime.benazar\Quorum Business Solutions\Ecopetrol Prometeo - Documents\Planning Space Implementation\3. Analysis &amp; Design\Design\FC22\DRR Jaime\QUIFA-CAJÚA\Cajua\[CAJUA_CF_SEC_New_27-Feb-2024Rev3.xlsx]D-PSND'!$BE$22</v>
      </c>
      <c r="J3698" s="37" t="s">
        <v>3823</v>
      </c>
    </row>
    <row r="3699" spans="1:10" x14ac:dyDescent="0.25">
      <c r="A3699" s="32" t="s">
        <v>104</v>
      </c>
      <c r="B3699" s="32">
        <f t="shared" si="890"/>
        <v>2034</v>
      </c>
      <c r="C3699" s="33" t="s">
        <v>49</v>
      </c>
      <c r="D3699" s="34" t="s">
        <v>1999</v>
      </c>
      <c r="E3699" s="35" t="str">
        <f t="shared" si="886"/>
        <v>PSND'!</v>
      </c>
      <c r="F3699" s="34" t="str">
        <f t="shared" si="887"/>
        <v>C:\Users\jaime.benazar\Quorum Business Solutions\Ecopetrol Prometeo - Documents\Planning Space Implementation\3. Analysis &amp; Design\Design\FC22\DRR Jaime\QUIFA-CAJÚA\Cajua\[CAJUA_CF_SEC_New_27-Feb-2024Rev3.xlsx]D-PSND'!</v>
      </c>
      <c r="G3699" s="32" t="s">
        <v>111</v>
      </c>
      <c r="H3699" s="33">
        <f t="shared" si="889"/>
        <v>23</v>
      </c>
      <c r="I3699" s="33" t="str">
        <f t="shared" si="888"/>
        <v>='C:\Users\jaime.benazar\Quorum Business Solutions\Ecopetrol Prometeo - Documents\Planning Space Implementation\3. Analysis &amp; Design\Design\FC22\DRR Jaime\QUIFA-CAJÚA\Cajua\[CAJUA_CF_SEC_New_27-Feb-2024Rev3.xlsx]D-PSND'!$BE$23</v>
      </c>
      <c r="J3699" s="37" t="s">
        <v>3824</v>
      </c>
    </row>
    <row r="3700" spans="1:10" x14ac:dyDescent="0.25">
      <c r="A3700" s="32" t="s">
        <v>104</v>
      </c>
      <c r="B3700" s="32">
        <f t="shared" si="890"/>
        <v>2035</v>
      </c>
      <c r="C3700" s="33" t="s">
        <v>49</v>
      </c>
      <c r="D3700" s="34" t="s">
        <v>1999</v>
      </c>
      <c r="E3700" s="35" t="str">
        <f t="shared" si="886"/>
        <v>PSND'!</v>
      </c>
      <c r="F3700" s="34" t="str">
        <f t="shared" si="887"/>
        <v>C:\Users\jaime.benazar\Quorum Business Solutions\Ecopetrol Prometeo - Documents\Planning Space Implementation\3. Analysis &amp; Design\Design\FC22\DRR Jaime\QUIFA-CAJÚA\Cajua\[CAJUA_CF_SEC_New_27-Feb-2024Rev3.xlsx]D-PSND'!</v>
      </c>
      <c r="G3700" s="32" t="s">
        <v>111</v>
      </c>
      <c r="H3700" s="33">
        <f t="shared" si="889"/>
        <v>24</v>
      </c>
      <c r="I3700" s="33" t="str">
        <f t="shared" si="888"/>
        <v>='C:\Users\jaime.benazar\Quorum Business Solutions\Ecopetrol Prometeo - Documents\Planning Space Implementation\3. Analysis &amp; Design\Design\FC22\DRR Jaime\QUIFA-CAJÚA\Cajua\[CAJUA_CF_SEC_New_27-Feb-2024Rev3.xlsx]D-PSND'!$BE$24</v>
      </c>
      <c r="J3700" s="37" t="s">
        <v>3825</v>
      </c>
    </row>
    <row r="3701" spans="1:10" x14ac:dyDescent="0.25">
      <c r="A3701" s="32" t="s">
        <v>104</v>
      </c>
      <c r="B3701" s="32">
        <f t="shared" si="890"/>
        <v>2036</v>
      </c>
      <c r="C3701" s="33" t="s">
        <v>49</v>
      </c>
      <c r="D3701" s="34" t="s">
        <v>1999</v>
      </c>
      <c r="E3701" s="35" t="str">
        <f t="shared" si="886"/>
        <v>PSND'!</v>
      </c>
      <c r="F3701" s="34" t="str">
        <f t="shared" si="887"/>
        <v>C:\Users\jaime.benazar\Quorum Business Solutions\Ecopetrol Prometeo - Documents\Planning Space Implementation\3. Analysis &amp; Design\Design\FC22\DRR Jaime\QUIFA-CAJÚA\Cajua\[CAJUA_CF_SEC_New_27-Feb-2024Rev3.xlsx]D-PSND'!</v>
      </c>
      <c r="G3701" s="32" t="s">
        <v>111</v>
      </c>
      <c r="H3701" s="33">
        <f t="shared" si="889"/>
        <v>25</v>
      </c>
      <c r="I3701" s="33" t="str">
        <f t="shared" si="888"/>
        <v>='C:\Users\jaime.benazar\Quorum Business Solutions\Ecopetrol Prometeo - Documents\Planning Space Implementation\3. Analysis &amp; Design\Design\FC22\DRR Jaime\QUIFA-CAJÚA\Cajua\[CAJUA_CF_SEC_New_27-Feb-2024Rev3.xlsx]D-PSND'!$BE$25</v>
      </c>
      <c r="J3701" s="37" t="s">
        <v>3826</v>
      </c>
    </row>
    <row r="3702" spans="1:10" x14ac:dyDescent="0.25">
      <c r="A3702" s="32" t="s">
        <v>104</v>
      </c>
      <c r="B3702" s="32">
        <f>+B3701+1</f>
        <v>2037</v>
      </c>
      <c r="C3702" s="33" t="s">
        <v>49</v>
      </c>
      <c r="D3702" s="34" t="s">
        <v>1999</v>
      </c>
      <c r="E3702" s="35" t="str">
        <f t="shared" si="886"/>
        <v>PSND'!</v>
      </c>
      <c r="F3702" s="34" t="str">
        <f t="shared" si="887"/>
        <v>C:\Users\jaime.benazar\Quorum Business Solutions\Ecopetrol Prometeo - Documents\Planning Space Implementation\3. Analysis &amp; Design\Design\FC22\DRR Jaime\QUIFA-CAJÚA\Cajua\[CAJUA_CF_SEC_New_27-Feb-2024Rev3.xlsx]D-PSND'!</v>
      </c>
      <c r="G3702" s="32" t="s">
        <v>111</v>
      </c>
      <c r="H3702" s="33">
        <f t="shared" si="889"/>
        <v>26</v>
      </c>
      <c r="I3702" s="33" t="str">
        <f t="shared" si="888"/>
        <v>='C:\Users\jaime.benazar\Quorum Business Solutions\Ecopetrol Prometeo - Documents\Planning Space Implementation\3. Analysis &amp; Design\Design\FC22\DRR Jaime\QUIFA-CAJÚA\Cajua\[CAJUA_CF_SEC_New_27-Feb-2024Rev3.xlsx]D-PSND'!$BE$26</v>
      </c>
      <c r="J3702" s="37" t="s">
        <v>3827</v>
      </c>
    </row>
    <row r="3703" spans="1:10" x14ac:dyDescent="0.25">
      <c r="A3703" s="32" t="s">
        <v>104</v>
      </c>
      <c r="B3703" s="32">
        <f t="shared" ref="B3703:B3705" si="891">+B3702+1</f>
        <v>2038</v>
      </c>
      <c r="C3703" s="33" t="s">
        <v>49</v>
      </c>
      <c r="D3703" s="34" t="s">
        <v>1999</v>
      </c>
      <c r="E3703" s="35" t="str">
        <f t="shared" si="886"/>
        <v>PSND'!</v>
      </c>
      <c r="F3703" s="34" t="str">
        <f t="shared" si="887"/>
        <v>C:\Users\jaime.benazar\Quorum Business Solutions\Ecopetrol Prometeo - Documents\Planning Space Implementation\3. Analysis &amp; Design\Design\FC22\DRR Jaime\QUIFA-CAJÚA\Cajua\[CAJUA_CF_SEC_New_27-Feb-2024Rev3.xlsx]D-PSND'!</v>
      </c>
      <c r="G3703" s="32" t="s">
        <v>111</v>
      </c>
      <c r="H3703" s="33">
        <f t="shared" si="889"/>
        <v>27</v>
      </c>
      <c r="I3703" s="33" t="str">
        <f t="shared" si="888"/>
        <v>='C:\Users\jaime.benazar\Quorum Business Solutions\Ecopetrol Prometeo - Documents\Planning Space Implementation\3. Analysis &amp; Design\Design\FC22\DRR Jaime\QUIFA-CAJÚA\Cajua\[CAJUA_CF_SEC_New_27-Feb-2024Rev3.xlsx]D-PSND'!$BE$27</v>
      </c>
      <c r="J3703" s="37" t="s">
        <v>3828</v>
      </c>
    </row>
    <row r="3704" spans="1:10" x14ac:dyDescent="0.25">
      <c r="A3704" s="32" t="s">
        <v>104</v>
      </c>
      <c r="B3704" s="32">
        <f t="shared" si="891"/>
        <v>2039</v>
      </c>
      <c r="C3704" s="33" t="s">
        <v>49</v>
      </c>
      <c r="D3704" s="34" t="s">
        <v>1999</v>
      </c>
      <c r="E3704" s="35" t="str">
        <f t="shared" si="886"/>
        <v>PSND'!</v>
      </c>
      <c r="F3704" s="34" t="str">
        <f t="shared" si="887"/>
        <v>C:\Users\jaime.benazar\Quorum Business Solutions\Ecopetrol Prometeo - Documents\Planning Space Implementation\3. Analysis &amp; Design\Design\FC22\DRR Jaime\QUIFA-CAJÚA\Cajua\[CAJUA_CF_SEC_New_27-Feb-2024Rev3.xlsx]D-PSND'!</v>
      </c>
      <c r="G3704" s="32" t="s">
        <v>111</v>
      </c>
      <c r="H3704" s="33">
        <f t="shared" si="889"/>
        <v>28</v>
      </c>
      <c r="I3704" s="33" t="str">
        <f t="shared" si="888"/>
        <v>='C:\Users\jaime.benazar\Quorum Business Solutions\Ecopetrol Prometeo - Documents\Planning Space Implementation\3. Analysis &amp; Design\Design\FC22\DRR Jaime\QUIFA-CAJÚA\Cajua\[CAJUA_CF_SEC_New_27-Feb-2024Rev3.xlsx]D-PSND'!$BE$28</v>
      </c>
      <c r="J3704" s="37" t="s">
        <v>3829</v>
      </c>
    </row>
    <row r="3705" spans="1:10" x14ac:dyDescent="0.25">
      <c r="A3705" s="32" t="s">
        <v>104</v>
      </c>
      <c r="B3705" s="32">
        <f t="shared" si="891"/>
        <v>2040</v>
      </c>
      <c r="C3705" s="33" t="s">
        <v>49</v>
      </c>
      <c r="D3705" s="34" t="s">
        <v>1999</v>
      </c>
      <c r="E3705" s="35" t="str">
        <f t="shared" si="886"/>
        <v>PSND'!</v>
      </c>
      <c r="F3705" s="34" t="str">
        <f t="shared" si="887"/>
        <v>C:\Users\jaime.benazar\Quorum Business Solutions\Ecopetrol Prometeo - Documents\Planning Space Implementation\3. Analysis &amp; Design\Design\FC22\DRR Jaime\QUIFA-CAJÚA\Cajua\[CAJUA_CF_SEC_New_27-Feb-2024Rev3.xlsx]D-PSND'!</v>
      </c>
      <c r="G3705" s="32" t="s">
        <v>111</v>
      </c>
      <c r="H3705" s="33">
        <f t="shared" si="889"/>
        <v>29</v>
      </c>
      <c r="I3705" s="33" t="str">
        <f t="shared" si="888"/>
        <v>='C:\Users\jaime.benazar\Quorum Business Solutions\Ecopetrol Prometeo - Documents\Planning Space Implementation\3. Analysis &amp; Design\Design\FC22\DRR Jaime\QUIFA-CAJÚA\Cajua\[CAJUA_CF_SEC_New_27-Feb-2024Rev3.xlsx]D-PSND'!$BE$29</v>
      </c>
      <c r="J3705" s="37" t="s">
        <v>3830</v>
      </c>
    </row>
    <row r="3706" spans="1:10" x14ac:dyDescent="0.25">
      <c r="A3706" s="32" t="s">
        <v>104</v>
      </c>
      <c r="B3706" s="32">
        <f>+B3705+1</f>
        <v>2041</v>
      </c>
      <c r="C3706" s="33" t="s">
        <v>49</v>
      </c>
      <c r="D3706" s="34" t="s">
        <v>1999</v>
      </c>
      <c r="E3706" s="35" t="str">
        <f t="shared" si="886"/>
        <v>PSND'!</v>
      </c>
      <c r="F3706" s="34" t="str">
        <f t="shared" si="887"/>
        <v>C:\Users\jaime.benazar\Quorum Business Solutions\Ecopetrol Prometeo - Documents\Planning Space Implementation\3. Analysis &amp; Design\Design\FC22\DRR Jaime\QUIFA-CAJÚA\Cajua\[CAJUA_CF_SEC_New_27-Feb-2024Rev3.xlsx]D-PSND'!</v>
      </c>
      <c r="G3706" s="32" t="s">
        <v>111</v>
      </c>
      <c r="H3706" s="33">
        <f t="shared" si="889"/>
        <v>30</v>
      </c>
      <c r="I3706" s="33" t="str">
        <f t="shared" si="888"/>
        <v>='C:\Users\jaime.benazar\Quorum Business Solutions\Ecopetrol Prometeo - Documents\Planning Space Implementation\3. Analysis &amp; Design\Design\FC22\DRR Jaime\QUIFA-CAJÚA\Cajua\[CAJUA_CF_SEC_New_27-Feb-2024Rev3.xlsx]D-PSND'!$BE$30</v>
      </c>
      <c r="J3706" s="37" t="s">
        <v>3831</v>
      </c>
    </row>
    <row r="3707" spans="1:10" x14ac:dyDescent="0.25">
      <c r="A3707" s="32" t="s">
        <v>104</v>
      </c>
      <c r="B3707" s="32">
        <f t="shared" ref="B3707:B3708" si="892">+B3706+1</f>
        <v>2042</v>
      </c>
      <c r="C3707" s="33" t="s">
        <v>49</v>
      </c>
      <c r="D3707" s="34" t="s">
        <v>1999</v>
      </c>
      <c r="E3707" s="35" t="str">
        <f t="shared" si="886"/>
        <v>PSND'!</v>
      </c>
      <c r="F3707" s="34" t="str">
        <f t="shared" si="887"/>
        <v>C:\Users\jaime.benazar\Quorum Business Solutions\Ecopetrol Prometeo - Documents\Planning Space Implementation\3. Analysis &amp; Design\Design\FC22\DRR Jaime\QUIFA-CAJÚA\Cajua\[CAJUA_CF_SEC_New_27-Feb-2024Rev3.xlsx]D-PSND'!</v>
      </c>
      <c r="G3707" s="32" t="s">
        <v>111</v>
      </c>
      <c r="H3707" s="33">
        <f t="shared" si="889"/>
        <v>31</v>
      </c>
      <c r="I3707" s="33" t="str">
        <f t="shared" si="888"/>
        <v>='C:\Users\jaime.benazar\Quorum Business Solutions\Ecopetrol Prometeo - Documents\Planning Space Implementation\3. Analysis &amp; Design\Design\FC22\DRR Jaime\QUIFA-CAJÚA\Cajua\[CAJUA_CF_SEC_New_27-Feb-2024Rev3.xlsx]D-PSND'!$BE$31</v>
      </c>
      <c r="J3707" s="37" t="s">
        <v>3832</v>
      </c>
    </row>
    <row r="3708" spans="1:10" x14ac:dyDescent="0.25">
      <c r="A3708" s="32" t="s">
        <v>104</v>
      </c>
      <c r="B3708" s="32">
        <f t="shared" si="892"/>
        <v>2043</v>
      </c>
      <c r="C3708" s="33" t="s">
        <v>49</v>
      </c>
      <c r="D3708" s="34" t="s">
        <v>1999</v>
      </c>
      <c r="E3708" s="35" t="str">
        <f t="shared" si="886"/>
        <v>PSND'!</v>
      </c>
      <c r="F3708" s="34" t="str">
        <f t="shared" si="887"/>
        <v>C:\Users\jaime.benazar\Quorum Business Solutions\Ecopetrol Prometeo - Documents\Planning Space Implementation\3. Analysis &amp; Design\Design\FC22\DRR Jaime\QUIFA-CAJÚA\Cajua\[CAJUA_CF_SEC_New_27-Feb-2024Rev3.xlsx]D-PSND'!</v>
      </c>
      <c r="G3708" s="32" t="s">
        <v>111</v>
      </c>
      <c r="H3708" s="33">
        <f t="shared" si="889"/>
        <v>32</v>
      </c>
      <c r="I3708" s="33" t="str">
        <f t="shared" si="888"/>
        <v>='C:\Users\jaime.benazar\Quorum Business Solutions\Ecopetrol Prometeo - Documents\Planning Space Implementation\3. Analysis &amp; Design\Design\FC22\DRR Jaime\QUIFA-CAJÚA\Cajua\[CAJUA_CF_SEC_New_27-Feb-2024Rev3.xlsx]D-PSND'!$BE$32</v>
      </c>
      <c r="J3708" s="37" t="s">
        <v>3833</v>
      </c>
    </row>
    <row r="3709" spans="1:10" x14ac:dyDescent="0.25">
      <c r="A3709" s="32" t="s">
        <v>104</v>
      </c>
      <c r="B3709" s="32">
        <f>+B3708+1</f>
        <v>2044</v>
      </c>
      <c r="C3709" s="33" t="s">
        <v>49</v>
      </c>
      <c r="D3709" s="34" t="s">
        <v>1999</v>
      </c>
      <c r="E3709" s="35" t="str">
        <f t="shared" ref="E3709:E3724" si="893">_xlfn.CONCAT(A3709,"'!")</f>
        <v>PSND'!</v>
      </c>
      <c r="F3709" s="34" t="str">
        <f t="shared" ref="F3709:F3724" si="894">_xlfn.CONCAT(D3709:E3709)</f>
        <v>C:\Users\jaime.benazar\Quorum Business Solutions\Ecopetrol Prometeo - Documents\Planning Space Implementation\3. Analysis &amp; Design\Design\FC22\DRR Jaime\QUIFA-CAJÚA\Cajua\[CAJUA_CF_SEC_New_27-Feb-2024Rev3.xlsx]D-PSND'!</v>
      </c>
      <c r="G3709" s="32" t="s">
        <v>111</v>
      </c>
      <c r="H3709" s="33">
        <f t="shared" si="889"/>
        <v>33</v>
      </c>
      <c r="I3709" s="33" t="str">
        <f t="shared" si="888"/>
        <v>='C:\Users\jaime.benazar\Quorum Business Solutions\Ecopetrol Prometeo - Documents\Planning Space Implementation\3. Analysis &amp; Design\Design\FC22\DRR Jaime\QUIFA-CAJÚA\Cajua\[CAJUA_CF_SEC_New_27-Feb-2024Rev3.xlsx]D-PSND'!$BE$33</v>
      </c>
      <c r="J3709" s="37" t="s">
        <v>3834</v>
      </c>
    </row>
    <row r="3710" spans="1:10" x14ac:dyDescent="0.25">
      <c r="A3710" s="32" t="s">
        <v>104</v>
      </c>
      <c r="B3710" s="32">
        <f t="shared" ref="B3710:B3724" si="895">+B3709+1</f>
        <v>2045</v>
      </c>
      <c r="C3710" s="33" t="s">
        <v>49</v>
      </c>
      <c r="D3710" s="34" t="s">
        <v>1999</v>
      </c>
      <c r="E3710" s="35" t="str">
        <f t="shared" si="893"/>
        <v>PSND'!</v>
      </c>
      <c r="F3710" s="34" t="str">
        <f t="shared" si="894"/>
        <v>C:\Users\jaime.benazar\Quorum Business Solutions\Ecopetrol Prometeo - Documents\Planning Space Implementation\3. Analysis &amp; Design\Design\FC22\DRR Jaime\QUIFA-CAJÚA\Cajua\[CAJUA_CF_SEC_New_27-Feb-2024Rev3.xlsx]D-PSND'!</v>
      </c>
      <c r="G3710" s="32" t="s">
        <v>111</v>
      </c>
      <c r="H3710" s="33">
        <f t="shared" si="889"/>
        <v>34</v>
      </c>
      <c r="I3710" s="33" t="str">
        <f t="shared" si="888"/>
        <v>='C:\Users\jaime.benazar\Quorum Business Solutions\Ecopetrol Prometeo - Documents\Planning Space Implementation\3. Analysis &amp; Design\Design\FC22\DRR Jaime\QUIFA-CAJÚA\Cajua\[CAJUA_CF_SEC_New_27-Feb-2024Rev3.xlsx]D-PSND'!$BE$34</v>
      </c>
      <c r="J3710" s="37" t="s">
        <v>3835</v>
      </c>
    </row>
    <row r="3711" spans="1:10" x14ac:dyDescent="0.25">
      <c r="A3711" s="32" t="s">
        <v>104</v>
      </c>
      <c r="B3711" s="32">
        <f t="shared" si="895"/>
        <v>2046</v>
      </c>
      <c r="C3711" s="33" t="s">
        <v>49</v>
      </c>
      <c r="D3711" s="34" t="s">
        <v>1999</v>
      </c>
      <c r="E3711" s="35" t="str">
        <f t="shared" si="893"/>
        <v>PSND'!</v>
      </c>
      <c r="F3711" s="34" t="str">
        <f t="shared" si="894"/>
        <v>C:\Users\jaime.benazar\Quorum Business Solutions\Ecopetrol Prometeo - Documents\Planning Space Implementation\3. Analysis &amp; Design\Design\FC22\DRR Jaime\QUIFA-CAJÚA\Cajua\[CAJUA_CF_SEC_New_27-Feb-2024Rev3.xlsx]D-PSND'!</v>
      </c>
      <c r="G3711" s="32" t="s">
        <v>111</v>
      </c>
      <c r="H3711" s="33">
        <f t="shared" si="889"/>
        <v>35</v>
      </c>
      <c r="I3711" s="33" t="str">
        <f t="shared" si="888"/>
        <v>='C:\Users\jaime.benazar\Quorum Business Solutions\Ecopetrol Prometeo - Documents\Planning Space Implementation\3. Analysis &amp; Design\Design\FC22\DRR Jaime\QUIFA-CAJÚA\Cajua\[CAJUA_CF_SEC_New_27-Feb-2024Rev3.xlsx]D-PSND'!$BE$35</v>
      </c>
      <c r="J3711" s="37" t="s">
        <v>3836</v>
      </c>
    </row>
    <row r="3712" spans="1:10" x14ac:dyDescent="0.25">
      <c r="A3712" s="32" t="s">
        <v>104</v>
      </c>
      <c r="B3712" s="32">
        <f t="shared" si="895"/>
        <v>2047</v>
      </c>
      <c r="C3712" s="33" t="s">
        <v>49</v>
      </c>
      <c r="D3712" s="34" t="s">
        <v>1999</v>
      </c>
      <c r="E3712" s="35" t="str">
        <f t="shared" si="893"/>
        <v>PSND'!</v>
      </c>
      <c r="F3712" s="34" t="str">
        <f t="shared" si="894"/>
        <v>C:\Users\jaime.benazar\Quorum Business Solutions\Ecopetrol Prometeo - Documents\Planning Space Implementation\3. Analysis &amp; Design\Design\FC22\DRR Jaime\QUIFA-CAJÚA\Cajua\[CAJUA_CF_SEC_New_27-Feb-2024Rev3.xlsx]D-PSND'!</v>
      </c>
      <c r="G3712" s="32" t="s">
        <v>111</v>
      </c>
      <c r="H3712" s="33">
        <f t="shared" si="889"/>
        <v>36</v>
      </c>
      <c r="I3712" s="33" t="str">
        <f t="shared" si="888"/>
        <v>='C:\Users\jaime.benazar\Quorum Business Solutions\Ecopetrol Prometeo - Documents\Planning Space Implementation\3. Analysis &amp; Design\Design\FC22\DRR Jaime\QUIFA-CAJÚA\Cajua\[CAJUA_CF_SEC_New_27-Feb-2024Rev3.xlsx]D-PSND'!$BE$36</v>
      </c>
      <c r="J3712" s="37" t="s">
        <v>3837</v>
      </c>
    </row>
    <row r="3713" spans="1:10" x14ac:dyDescent="0.25">
      <c r="A3713" s="32" t="s">
        <v>104</v>
      </c>
      <c r="B3713" s="32">
        <f t="shared" si="895"/>
        <v>2048</v>
      </c>
      <c r="C3713" s="33" t="s">
        <v>49</v>
      </c>
      <c r="D3713" s="34" t="s">
        <v>1999</v>
      </c>
      <c r="E3713" s="35" t="str">
        <f t="shared" si="893"/>
        <v>PSND'!</v>
      </c>
      <c r="F3713" s="34" t="str">
        <f t="shared" si="894"/>
        <v>C:\Users\jaime.benazar\Quorum Business Solutions\Ecopetrol Prometeo - Documents\Planning Space Implementation\3. Analysis &amp; Design\Design\FC22\DRR Jaime\QUIFA-CAJÚA\Cajua\[CAJUA_CF_SEC_New_27-Feb-2024Rev3.xlsx]D-PSND'!</v>
      </c>
      <c r="G3713" s="32" t="s">
        <v>111</v>
      </c>
      <c r="H3713" s="33">
        <f t="shared" si="889"/>
        <v>37</v>
      </c>
      <c r="I3713" s="33" t="str">
        <f t="shared" si="888"/>
        <v>='C:\Users\jaime.benazar\Quorum Business Solutions\Ecopetrol Prometeo - Documents\Planning Space Implementation\3. Analysis &amp; Design\Design\FC22\DRR Jaime\QUIFA-CAJÚA\Cajua\[CAJUA_CF_SEC_New_27-Feb-2024Rev3.xlsx]D-PSND'!$BE$37</v>
      </c>
      <c r="J3713" s="37" t="s">
        <v>3838</v>
      </c>
    </row>
    <row r="3714" spans="1:10" x14ac:dyDescent="0.25">
      <c r="A3714" s="32" t="s">
        <v>104</v>
      </c>
      <c r="B3714" s="32">
        <f t="shared" si="895"/>
        <v>2049</v>
      </c>
      <c r="C3714" s="33" t="s">
        <v>49</v>
      </c>
      <c r="D3714" s="34" t="s">
        <v>1999</v>
      </c>
      <c r="E3714" s="35" t="str">
        <f t="shared" si="893"/>
        <v>PSND'!</v>
      </c>
      <c r="F3714" s="34" t="str">
        <f t="shared" si="894"/>
        <v>C:\Users\jaime.benazar\Quorum Business Solutions\Ecopetrol Prometeo - Documents\Planning Space Implementation\3. Analysis &amp; Design\Design\FC22\DRR Jaime\QUIFA-CAJÚA\Cajua\[CAJUA_CF_SEC_New_27-Feb-2024Rev3.xlsx]D-PSND'!</v>
      </c>
      <c r="G3714" s="32" t="s">
        <v>111</v>
      </c>
      <c r="H3714" s="33">
        <f t="shared" si="889"/>
        <v>38</v>
      </c>
      <c r="I3714" s="33" t="str">
        <f t="shared" si="888"/>
        <v>='C:\Users\jaime.benazar\Quorum Business Solutions\Ecopetrol Prometeo - Documents\Planning Space Implementation\3. Analysis &amp; Design\Design\FC22\DRR Jaime\QUIFA-CAJÚA\Cajua\[CAJUA_CF_SEC_New_27-Feb-2024Rev3.xlsx]D-PSND'!$BE$38</v>
      </c>
      <c r="J3714" s="37" t="s">
        <v>3839</v>
      </c>
    </row>
    <row r="3715" spans="1:10" x14ac:dyDescent="0.25">
      <c r="A3715" s="32" t="s">
        <v>104</v>
      </c>
      <c r="B3715" s="32">
        <f t="shared" si="895"/>
        <v>2050</v>
      </c>
      <c r="C3715" s="33" t="s">
        <v>49</v>
      </c>
      <c r="D3715" s="34" t="s">
        <v>1999</v>
      </c>
      <c r="E3715" s="35" t="str">
        <f t="shared" si="893"/>
        <v>PSND'!</v>
      </c>
      <c r="F3715" s="34" t="str">
        <f t="shared" si="894"/>
        <v>C:\Users\jaime.benazar\Quorum Business Solutions\Ecopetrol Prometeo - Documents\Planning Space Implementation\3. Analysis &amp; Design\Design\FC22\DRR Jaime\QUIFA-CAJÚA\Cajua\[CAJUA_CF_SEC_New_27-Feb-2024Rev3.xlsx]D-PSND'!</v>
      </c>
      <c r="G3715" s="32" t="s">
        <v>111</v>
      </c>
      <c r="H3715" s="33">
        <f t="shared" si="889"/>
        <v>39</v>
      </c>
      <c r="I3715" s="33" t="str">
        <f t="shared" si="888"/>
        <v>='C:\Users\jaime.benazar\Quorum Business Solutions\Ecopetrol Prometeo - Documents\Planning Space Implementation\3. Analysis &amp; Design\Design\FC22\DRR Jaime\QUIFA-CAJÚA\Cajua\[CAJUA_CF_SEC_New_27-Feb-2024Rev3.xlsx]D-PSND'!$BE$39</v>
      </c>
      <c r="J3715" s="37" t="s">
        <v>3840</v>
      </c>
    </row>
    <row r="3716" spans="1:10" x14ac:dyDescent="0.25">
      <c r="A3716" s="32" t="s">
        <v>104</v>
      </c>
      <c r="B3716" s="32">
        <f t="shared" si="895"/>
        <v>2051</v>
      </c>
      <c r="C3716" s="33" t="s">
        <v>49</v>
      </c>
      <c r="D3716" s="34" t="s">
        <v>1999</v>
      </c>
      <c r="E3716" s="35" t="str">
        <f t="shared" si="893"/>
        <v>PSND'!</v>
      </c>
      <c r="F3716" s="34" t="str">
        <f t="shared" si="894"/>
        <v>C:\Users\jaime.benazar\Quorum Business Solutions\Ecopetrol Prometeo - Documents\Planning Space Implementation\3. Analysis &amp; Design\Design\FC22\DRR Jaime\QUIFA-CAJÚA\Cajua\[CAJUA_CF_SEC_New_27-Feb-2024Rev3.xlsx]D-PSND'!</v>
      </c>
      <c r="G3716" s="32" t="s">
        <v>111</v>
      </c>
      <c r="H3716" s="33">
        <f t="shared" si="889"/>
        <v>40</v>
      </c>
      <c r="I3716" s="33" t="str">
        <f t="shared" si="888"/>
        <v>='C:\Users\jaime.benazar\Quorum Business Solutions\Ecopetrol Prometeo - Documents\Planning Space Implementation\3. Analysis &amp; Design\Design\FC22\DRR Jaime\QUIFA-CAJÚA\Cajua\[CAJUA_CF_SEC_New_27-Feb-2024Rev3.xlsx]D-PSND'!$BE$40</v>
      </c>
      <c r="J3716" s="37" t="s">
        <v>3841</v>
      </c>
    </row>
    <row r="3717" spans="1:10" x14ac:dyDescent="0.25">
      <c r="A3717" s="32" t="s">
        <v>104</v>
      </c>
      <c r="B3717" s="32">
        <f t="shared" si="895"/>
        <v>2052</v>
      </c>
      <c r="C3717" s="33" t="s">
        <v>49</v>
      </c>
      <c r="D3717" s="34" t="s">
        <v>1999</v>
      </c>
      <c r="E3717" s="35" t="str">
        <f t="shared" si="893"/>
        <v>PSND'!</v>
      </c>
      <c r="F3717" s="34" t="str">
        <f t="shared" si="894"/>
        <v>C:\Users\jaime.benazar\Quorum Business Solutions\Ecopetrol Prometeo - Documents\Planning Space Implementation\3. Analysis &amp; Design\Design\FC22\DRR Jaime\QUIFA-CAJÚA\Cajua\[CAJUA_CF_SEC_New_27-Feb-2024Rev3.xlsx]D-PSND'!</v>
      </c>
      <c r="G3717" s="32" t="s">
        <v>111</v>
      </c>
      <c r="H3717" s="33">
        <f t="shared" si="889"/>
        <v>41</v>
      </c>
      <c r="I3717" s="33" t="str">
        <f t="shared" si="888"/>
        <v>='C:\Users\jaime.benazar\Quorum Business Solutions\Ecopetrol Prometeo - Documents\Planning Space Implementation\3. Analysis &amp; Design\Design\FC22\DRR Jaime\QUIFA-CAJÚA\Cajua\[CAJUA_CF_SEC_New_27-Feb-2024Rev3.xlsx]D-PSND'!$BE$41</v>
      </c>
      <c r="J3717" s="37" t="s">
        <v>3842</v>
      </c>
    </row>
    <row r="3718" spans="1:10" x14ac:dyDescent="0.25">
      <c r="A3718" s="32" t="s">
        <v>104</v>
      </c>
      <c r="B3718" s="32">
        <f t="shared" si="895"/>
        <v>2053</v>
      </c>
      <c r="C3718" s="33" t="s">
        <v>49</v>
      </c>
      <c r="D3718" s="34" t="s">
        <v>1999</v>
      </c>
      <c r="E3718" s="35" t="str">
        <f t="shared" si="893"/>
        <v>PSND'!</v>
      </c>
      <c r="F3718" s="34" t="str">
        <f t="shared" si="894"/>
        <v>C:\Users\jaime.benazar\Quorum Business Solutions\Ecopetrol Prometeo - Documents\Planning Space Implementation\3. Analysis &amp; Design\Design\FC22\DRR Jaime\QUIFA-CAJÚA\Cajua\[CAJUA_CF_SEC_New_27-Feb-2024Rev3.xlsx]D-PSND'!</v>
      </c>
      <c r="G3718" s="32" t="s">
        <v>111</v>
      </c>
      <c r="H3718" s="33">
        <f t="shared" si="889"/>
        <v>42</v>
      </c>
      <c r="I3718" s="33" t="str">
        <f t="shared" si="888"/>
        <v>='C:\Users\jaime.benazar\Quorum Business Solutions\Ecopetrol Prometeo - Documents\Planning Space Implementation\3. Analysis &amp; Design\Design\FC22\DRR Jaime\QUIFA-CAJÚA\Cajua\[CAJUA_CF_SEC_New_27-Feb-2024Rev3.xlsx]D-PSND'!$BE$42</v>
      </c>
      <c r="J3718" s="37" t="s">
        <v>3843</v>
      </c>
    </row>
    <row r="3719" spans="1:10" x14ac:dyDescent="0.25">
      <c r="A3719" s="32" t="s">
        <v>104</v>
      </c>
      <c r="B3719" s="32">
        <f t="shared" si="895"/>
        <v>2054</v>
      </c>
      <c r="C3719" s="33" t="s">
        <v>49</v>
      </c>
      <c r="D3719" s="34" t="s">
        <v>1999</v>
      </c>
      <c r="E3719" s="35" t="str">
        <f t="shared" si="893"/>
        <v>PSND'!</v>
      </c>
      <c r="F3719" s="34" t="str">
        <f t="shared" si="894"/>
        <v>C:\Users\jaime.benazar\Quorum Business Solutions\Ecopetrol Prometeo - Documents\Planning Space Implementation\3. Analysis &amp; Design\Design\FC22\DRR Jaime\QUIFA-CAJÚA\Cajua\[CAJUA_CF_SEC_New_27-Feb-2024Rev3.xlsx]D-PSND'!</v>
      </c>
      <c r="G3719" s="32" t="s">
        <v>111</v>
      </c>
      <c r="H3719" s="33">
        <f t="shared" si="889"/>
        <v>43</v>
      </c>
      <c r="I3719" s="33" t="str">
        <f t="shared" si="888"/>
        <v>='C:\Users\jaime.benazar\Quorum Business Solutions\Ecopetrol Prometeo - Documents\Planning Space Implementation\3. Analysis &amp; Design\Design\FC22\DRR Jaime\QUIFA-CAJÚA\Cajua\[CAJUA_CF_SEC_New_27-Feb-2024Rev3.xlsx]D-PSND'!$BE$43</v>
      </c>
      <c r="J3719" s="37" t="s">
        <v>3844</v>
      </c>
    </row>
    <row r="3720" spans="1:10" x14ac:dyDescent="0.25">
      <c r="A3720" s="32" t="s">
        <v>104</v>
      </c>
      <c r="B3720" s="32">
        <f t="shared" si="895"/>
        <v>2055</v>
      </c>
      <c r="C3720" s="33" t="s">
        <v>49</v>
      </c>
      <c r="D3720" s="34" t="s">
        <v>1999</v>
      </c>
      <c r="E3720" s="35" t="str">
        <f t="shared" si="893"/>
        <v>PSND'!</v>
      </c>
      <c r="F3720" s="34" t="str">
        <f t="shared" si="894"/>
        <v>C:\Users\jaime.benazar\Quorum Business Solutions\Ecopetrol Prometeo - Documents\Planning Space Implementation\3. Analysis &amp; Design\Design\FC22\DRR Jaime\QUIFA-CAJÚA\Cajua\[CAJUA_CF_SEC_New_27-Feb-2024Rev3.xlsx]D-PSND'!</v>
      </c>
      <c r="G3720" s="32" t="s">
        <v>111</v>
      </c>
      <c r="H3720" s="33">
        <f t="shared" si="889"/>
        <v>44</v>
      </c>
      <c r="I3720" s="33" t="str">
        <f t="shared" si="888"/>
        <v>='C:\Users\jaime.benazar\Quorum Business Solutions\Ecopetrol Prometeo - Documents\Planning Space Implementation\3. Analysis &amp; Design\Design\FC22\DRR Jaime\QUIFA-CAJÚA\Cajua\[CAJUA_CF_SEC_New_27-Feb-2024Rev3.xlsx]D-PSND'!$BE$44</v>
      </c>
      <c r="J3720" s="37" t="s">
        <v>3845</v>
      </c>
    </row>
    <row r="3721" spans="1:10" x14ac:dyDescent="0.25">
      <c r="A3721" s="32" t="s">
        <v>104</v>
      </c>
      <c r="B3721" s="32">
        <f t="shared" si="895"/>
        <v>2056</v>
      </c>
      <c r="C3721" s="33" t="s">
        <v>49</v>
      </c>
      <c r="D3721" s="34" t="s">
        <v>1999</v>
      </c>
      <c r="E3721" s="35" t="str">
        <f t="shared" si="893"/>
        <v>PSND'!</v>
      </c>
      <c r="F3721" s="34" t="str">
        <f t="shared" si="894"/>
        <v>C:\Users\jaime.benazar\Quorum Business Solutions\Ecopetrol Prometeo - Documents\Planning Space Implementation\3. Analysis &amp; Design\Design\FC22\DRR Jaime\QUIFA-CAJÚA\Cajua\[CAJUA_CF_SEC_New_27-Feb-2024Rev3.xlsx]D-PSND'!</v>
      </c>
      <c r="G3721" s="32" t="s">
        <v>111</v>
      </c>
      <c r="H3721" s="33">
        <f t="shared" si="889"/>
        <v>45</v>
      </c>
      <c r="I3721" s="33" t="str">
        <f t="shared" si="888"/>
        <v>='C:\Users\jaime.benazar\Quorum Business Solutions\Ecopetrol Prometeo - Documents\Planning Space Implementation\3. Analysis &amp; Design\Design\FC22\DRR Jaime\QUIFA-CAJÚA\Cajua\[CAJUA_CF_SEC_New_27-Feb-2024Rev3.xlsx]D-PSND'!$BE$45</v>
      </c>
      <c r="J3721" s="37" t="s">
        <v>3846</v>
      </c>
    </row>
    <row r="3722" spans="1:10" x14ac:dyDescent="0.25">
      <c r="A3722" s="32" t="s">
        <v>104</v>
      </c>
      <c r="B3722" s="32">
        <f t="shared" si="895"/>
        <v>2057</v>
      </c>
      <c r="C3722" s="33" t="s">
        <v>49</v>
      </c>
      <c r="D3722" s="34" t="s">
        <v>1999</v>
      </c>
      <c r="E3722" s="35" t="str">
        <f t="shared" si="893"/>
        <v>PSND'!</v>
      </c>
      <c r="F3722" s="34" t="str">
        <f t="shared" si="894"/>
        <v>C:\Users\jaime.benazar\Quorum Business Solutions\Ecopetrol Prometeo - Documents\Planning Space Implementation\3. Analysis &amp; Design\Design\FC22\DRR Jaime\QUIFA-CAJÚA\Cajua\[CAJUA_CF_SEC_New_27-Feb-2024Rev3.xlsx]D-PSND'!</v>
      </c>
      <c r="G3722" s="32" t="s">
        <v>111</v>
      </c>
      <c r="H3722" s="33">
        <f t="shared" si="889"/>
        <v>46</v>
      </c>
      <c r="I3722" s="33" t="str">
        <f t="shared" si="888"/>
        <v>='C:\Users\jaime.benazar\Quorum Business Solutions\Ecopetrol Prometeo - Documents\Planning Space Implementation\3. Analysis &amp; Design\Design\FC22\DRR Jaime\QUIFA-CAJÚA\Cajua\[CAJUA_CF_SEC_New_27-Feb-2024Rev3.xlsx]D-PSND'!$BE$46</v>
      </c>
      <c r="J3722" s="37" t="s">
        <v>3847</v>
      </c>
    </row>
    <row r="3723" spans="1:10" x14ac:dyDescent="0.25">
      <c r="A3723" s="32" t="s">
        <v>104</v>
      </c>
      <c r="B3723" s="32">
        <f t="shared" si="895"/>
        <v>2058</v>
      </c>
      <c r="C3723" s="33" t="s">
        <v>49</v>
      </c>
      <c r="D3723" s="34" t="s">
        <v>1999</v>
      </c>
      <c r="E3723" s="35" t="str">
        <f t="shared" si="893"/>
        <v>PSND'!</v>
      </c>
      <c r="F3723" s="34" t="str">
        <f t="shared" si="894"/>
        <v>C:\Users\jaime.benazar\Quorum Business Solutions\Ecopetrol Prometeo - Documents\Planning Space Implementation\3. Analysis &amp; Design\Design\FC22\DRR Jaime\QUIFA-CAJÚA\Cajua\[CAJUA_CF_SEC_New_27-Feb-2024Rev3.xlsx]D-PSND'!</v>
      </c>
      <c r="G3723" s="32" t="s">
        <v>111</v>
      </c>
      <c r="H3723" s="33">
        <f t="shared" si="889"/>
        <v>47</v>
      </c>
      <c r="I3723" s="33" t="str">
        <f t="shared" si="888"/>
        <v>='C:\Users\jaime.benazar\Quorum Business Solutions\Ecopetrol Prometeo - Documents\Planning Space Implementation\3. Analysis &amp; Design\Design\FC22\DRR Jaime\QUIFA-CAJÚA\Cajua\[CAJUA_CF_SEC_New_27-Feb-2024Rev3.xlsx]D-PSND'!$BE$47</v>
      </c>
      <c r="J3723" s="37" t="s">
        <v>3848</v>
      </c>
    </row>
    <row r="3724" spans="1:10" x14ac:dyDescent="0.25">
      <c r="A3724" s="32" t="s">
        <v>104</v>
      </c>
      <c r="B3724" s="32">
        <f t="shared" si="895"/>
        <v>2059</v>
      </c>
      <c r="C3724" s="33" t="s">
        <v>49</v>
      </c>
      <c r="D3724" s="34" t="s">
        <v>1999</v>
      </c>
      <c r="E3724" s="35" t="str">
        <f t="shared" si="893"/>
        <v>PSND'!</v>
      </c>
      <c r="F3724" s="34" t="str">
        <f t="shared" si="894"/>
        <v>C:\Users\jaime.benazar\Quorum Business Solutions\Ecopetrol Prometeo - Documents\Planning Space Implementation\3. Analysis &amp; Design\Design\FC22\DRR Jaime\QUIFA-CAJÚA\Cajua\[CAJUA_CF_SEC_New_27-Feb-2024Rev3.xlsx]D-PSND'!</v>
      </c>
      <c r="G3724" s="32" t="s">
        <v>111</v>
      </c>
      <c r="H3724" s="33">
        <f t="shared" si="889"/>
        <v>48</v>
      </c>
      <c r="I3724" s="33" t="str">
        <f t="shared" si="888"/>
        <v>='C:\Users\jaime.benazar\Quorum Business Solutions\Ecopetrol Prometeo - Documents\Planning Space Implementation\3. Analysis &amp; Design\Design\FC22\DRR Jaime\QUIFA-CAJÚA\Cajua\[CAJUA_CF_SEC_New_27-Feb-2024Rev3.xlsx]D-PSND'!$BE$48</v>
      </c>
      <c r="J3724" s="37" t="s">
        <v>3849</v>
      </c>
    </row>
    <row r="3725" spans="1:10" x14ac:dyDescent="0.25">
      <c r="A3725" s="32" t="s">
        <v>28</v>
      </c>
      <c r="B3725" s="32"/>
      <c r="C3725" s="33" t="s">
        <v>49</v>
      </c>
      <c r="D3725" s="34"/>
      <c r="E3725" s="35"/>
      <c r="F3725" s="34"/>
      <c r="G3725" s="32"/>
      <c r="H3725" s="33"/>
      <c r="I3725" s="33"/>
      <c r="J3725" s="36"/>
    </row>
    <row r="3726" spans="1:10" x14ac:dyDescent="0.25">
      <c r="A3726" s="32" t="s">
        <v>34</v>
      </c>
      <c r="B3726" s="32">
        <v>2023</v>
      </c>
      <c r="C3726" s="33" t="s">
        <v>49</v>
      </c>
      <c r="D3726" s="34" t="s">
        <v>1999</v>
      </c>
      <c r="E3726" s="35" t="str">
        <f t="shared" ref="E3726:E3746" si="896">_xlfn.CONCAT(A3726,"'!")</f>
        <v>PS'!</v>
      </c>
      <c r="F3726" s="34" t="str">
        <f t="shared" ref="F3726:F3746" si="897">_xlfn.CONCAT(D3726:E3726)</f>
        <v>C:\Users\jaime.benazar\Quorum Business Solutions\Ecopetrol Prometeo - Documents\Planning Space Implementation\3. Analysis &amp; Design\Design\FC22\DRR Jaime\QUIFA-CAJÚA\Cajua\[CAJUA_CF_SEC_New_27-Feb-2024Rev3.xlsx]D-PS'!</v>
      </c>
      <c r="G3726" s="32" t="s">
        <v>111</v>
      </c>
      <c r="H3726" s="33">
        <f>IF(A3726&lt;&gt;A3710,12,H3710+1)</f>
        <v>12</v>
      </c>
      <c r="I3726" s="33" t="str">
        <f t="shared" ref="I3726:I3746" si="898">_xlfn.CONCAT("='",F3726:H3726)</f>
        <v>='C:\Users\jaime.benazar\Quorum Business Solutions\Ecopetrol Prometeo - Documents\Planning Space Implementation\3. Analysis &amp; Design\Design\FC22\DRR Jaime\QUIFA-CAJÚA\Cajua\[CAJUA_CF_SEC_New_27-Feb-2024Rev3.xlsx]D-PS'!$BE$12</v>
      </c>
      <c r="J3726" s="37" t="s">
        <v>3850</v>
      </c>
    </row>
    <row r="3727" spans="1:10" x14ac:dyDescent="0.25">
      <c r="A3727" s="32" t="s">
        <v>34</v>
      </c>
      <c r="B3727" s="32">
        <f>+B3726+1</f>
        <v>2024</v>
      </c>
      <c r="C3727" s="33" t="s">
        <v>49</v>
      </c>
      <c r="D3727" s="34" t="s">
        <v>1999</v>
      </c>
      <c r="E3727" s="35" t="str">
        <f t="shared" si="896"/>
        <v>PS'!</v>
      </c>
      <c r="F3727" s="34" t="str">
        <f t="shared" si="897"/>
        <v>C:\Users\jaime.benazar\Quorum Business Solutions\Ecopetrol Prometeo - Documents\Planning Space Implementation\3. Analysis &amp; Design\Design\FC22\DRR Jaime\QUIFA-CAJÚA\Cajua\[CAJUA_CF_SEC_New_27-Feb-2024Rev3.xlsx]D-PS'!</v>
      </c>
      <c r="G3727" s="32" t="s">
        <v>111</v>
      </c>
      <c r="H3727" s="33">
        <f t="shared" ref="H3727:H3746" si="899">IF(A3727&lt;&gt;A3726,36,H3726+1)</f>
        <v>13</v>
      </c>
      <c r="I3727" s="33" t="str">
        <f t="shared" si="898"/>
        <v>='C:\Users\jaime.benazar\Quorum Business Solutions\Ecopetrol Prometeo - Documents\Planning Space Implementation\3. Analysis &amp; Design\Design\FC22\DRR Jaime\QUIFA-CAJÚA\Cajua\[CAJUA_CF_SEC_New_27-Feb-2024Rev3.xlsx]D-PS'!$BE$13</v>
      </c>
      <c r="J3727" s="37" t="s">
        <v>3851</v>
      </c>
    </row>
    <row r="3728" spans="1:10" x14ac:dyDescent="0.25">
      <c r="A3728" s="32" t="s">
        <v>34</v>
      </c>
      <c r="B3728" s="32">
        <f t="shared" ref="B3728:B3739" si="900">+B3727+1</f>
        <v>2025</v>
      </c>
      <c r="C3728" s="33" t="s">
        <v>49</v>
      </c>
      <c r="D3728" s="34" t="s">
        <v>1999</v>
      </c>
      <c r="E3728" s="35" t="str">
        <f t="shared" si="896"/>
        <v>PS'!</v>
      </c>
      <c r="F3728" s="34" t="str">
        <f t="shared" si="897"/>
        <v>C:\Users\jaime.benazar\Quorum Business Solutions\Ecopetrol Prometeo - Documents\Planning Space Implementation\3. Analysis &amp; Design\Design\FC22\DRR Jaime\QUIFA-CAJÚA\Cajua\[CAJUA_CF_SEC_New_27-Feb-2024Rev3.xlsx]D-PS'!</v>
      </c>
      <c r="G3728" s="32" t="s">
        <v>111</v>
      </c>
      <c r="H3728" s="33">
        <f t="shared" si="899"/>
        <v>14</v>
      </c>
      <c r="I3728" s="33" t="str">
        <f t="shared" si="898"/>
        <v>='C:\Users\jaime.benazar\Quorum Business Solutions\Ecopetrol Prometeo - Documents\Planning Space Implementation\3. Analysis &amp; Design\Design\FC22\DRR Jaime\QUIFA-CAJÚA\Cajua\[CAJUA_CF_SEC_New_27-Feb-2024Rev3.xlsx]D-PS'!$BE$14</v>
      </c>
      <c r="J3728" s="37" t="s">
        <v>3852</v>
      </c>
    </row>
    <row r="3729" spans="1:10" x14ac:dyDescent="0.25">
      <c r="A3729" s="32" t="s">
        <v>34</v>
      </c>
      <c r="B3729" s="32">
        <f t="shared" si="900"/>
        <v>2026</v>
      </c>
      <c r="C3729" s="33" t="s">
        <v>49</v>
      </c>
      <c r="D3729" s="34" t="s">
        <v>1999</v>
      </c>
      <c r="E3729" s="35" t="str">
        <f t="shared" si="896"/>
        <v>PS'!</v>
      </c>
      <c r="F3729" s="34" t="str">
        <f t="shared" si="897"/>
        <v>C:\Users\jaime.benazar\Quorum Business Solutions\Ecopetrol Prometeo - Documents\Planning Space Implementation\3. Analysis &amp; Design\Design\FC22\DRR Jaime\QUIFA-CAJÚA\Cajua\[CAJUA_CF_SEC_New_27-Feb-2024Rev3.xlsx]D-PS'!</v>
      </c>
      <c r="G3729" s="32" t="s">
        <v>111</v>
      </c>
      <c r="H3729" s="33">
        <f t="shared" si="899"/>
        <v>15</v>
      </c>
      <c r="I3729" s="33" t="str">
        <f t="shared" si="898"/>
        <v>='C:\Users\jaime.benazar\Quorum Business Solutions\Ecopetrol Prometeo - Documents\Planning Space Implementation\3. Analysis &amp; Design\Design\FC22\DRR Jaime\QUIFA-CAJÚA\Cajua\[CAJUA_CF_SEC_New_27-Feb-2024Rev3.xlsx]D-PS'!$BE$15</v>
      </c>
      <c r="J3729" s="37" t="s">
        <v>3853</v>
      </c>
    </row>
    <row r="3730" spans="1:10" x14ac:dyDescent="0.25">
      <c r="A3730" s="32" t="s">
        <v>34</v>
      </c>
      <c r="B3730" s="32">
        <f t="shared" si="900"/>
        <v>2027</v>
      </c>
      <c r="C3730" s="33" t="s">
        <v>49</v>
      </c>
      <c r="D3730" s="34" t="s">
        <v>1999</v>
      </c>
      <c r="E3730" s="35" t="str">
        <f t="shared" si="896"/>
        <v>PS'!</v>
      </c>
      <c r="F3730" s="34" t="str">
        <f t="shared" si="897"/>
        <v>C:\Users\jaime.benazar\Quorum Business Solutions\Ecopetrol Prometeo - Documents\Planning Space Implementation\3. Analysis &amp; Design\Design\FC22\DRR Jaime\QUIFA-CAJÚA\Cajua\[CAJUA_CF_SEC_New_27-Feb-2024Rev3.xlsx]D-PS'!</v>
      </c>
      <c r="G3730" s="32" t="s">
        <v>111</v>
      </c>
      <c r="H3730" s="33">
        <f t="shared" si="899"/>
        <v>16</v>
      </c>
      <c r="I3730" s="33" t="str">
        <f t="shared" si="898"/>
        <v>='C:\Users\jaime.benazar\Quorum Business Solutions\Ecopetrol Prometeo - Documents\Planning Space Implementation\3. Analysis &amp; Design\Design\FC22\DRR Jaime\QUIFA-CAJÚA\Cajua\[CAJUA_CF_SEC_New_27-Feb-2024Rev3.xlsx]D-PS'!$BE$16</v>
      </c>
      <c r="J3730" s="37" t="s">
        <v>3854</v>
      </c>
    </row>
    <row r="3731" spans="1:10" x14ac:dyDescent="0.25">
      <c r="A3731" s="32" t="s">
        <v>34</v>
      </c>
      <c r="B3731" s="32">
        <f t="shared" si="900"/>
        <v>2028</v>
      </c>
      <c r="C3731" s="33" t="s">
        <v>49</v>
      </c>
      <c r="D3731" s="34" t="s">
        <v>1999</v>
      </c>
      <c r="E3731" s="35" t="str">
        <f t="shared" si="896"/>
        <v>PS'!</v>
      </c>
      <c r="F3731" s="34" t="str">
        <f t="shared" si="897"/>
        <v>C:\Users\jaime.benazar\Quorum Business Solutions\Ecopetrol Prometeo - Documents\Planning Space Implementation\3. Analysis &amp; Design\Design\FC22\DRR Jaime\QUIFA-CAJÚA\Cajua\[CAJUA_CF_SEC_New_27-Feb-2024Rev3.xlsx]D-PS'!</v>
      </c>
      <c r="G3731" s="32" t="s">
        <v>111</v>
      </c>
      <c r="H3731" s="33">
        <f t="shared" si="899"/>
        <v>17</v>
      </c>
      <c r="I3731" s="33" t="str">
        <f t="shared" si="898"/>
        <v>='C:\Users\jaime.benazar\Quorum Business Solutions\Ecopetrol Prometeo - Documents\Planning Space Implementation\3. Analysis &amp; Design\Design\FC22\DRR Jaime\QUIFA-CAJÚA\Cajua\[CAJUA_CF_SEC_New_27-Feb-2024Rev3.xlsx]D-PS'!$BE$17</v>
      </c>
      <c r="J3731" s="37" t="s">
        <v>3855</v>
      </c>
    </row>
    <row r="3732" spans="1:10" x14ac:dyDescent="0.25">
      <c r="A3732" s="32" t="s">
        <v>34</v>
      </c>
      <c r="B3732" s="32">
        <f t="shared" si="900"/>
        <v>2029</v>
      </c>
      <c r="C3732" s="33" t="s">
        <v>49</v>
      </c>
      <c r="D3732" s="34" t="s">
        <v>1999</v>
      </c>
      <c r="E3732" s="35" t="str">
        <f t="shared" si="896"/>
        <v>PS'!</v>
      </c>
      <c r="F3732" s="34" t="str">
        <f t="shared" si="897"/>
        <v>C:\Users\jaime.benazar\Quorum Business Solutions\Ecopetrol Prometeo - Documents\Planning Space Implementation\3. Analysis &amp; Design\Design\FC22\DRR Jaime\QUIFA-CAJÚA\Cajua\[CAJUA_CF_SEC_New_27-Feb-2024Rev3.xlsx]D-PS'!</v>
      </c>
      <c r="G3732" s="32" t="s">
        <v>111</v>
      </c>
      <c r="H3732" s="33">
        <f t="shared" si="899"/>
        <v>18</v>
      </c>
      <c r="I3732" s="33" t="str">
        <f t="shared" si="898"/>
        <v>='C:\Users\jaime.benazar\Quorum Business Solutions\Ecopetrol Prometeo - Documents\Planning Space Implementation\3. Analysis &amp; Design\Design\FC22\DRR Jaime\QUIFA-CAJÚA\Cajua\[CAJUA_CF_SEC_New_27-Feb-2024Rev3.xlsx]D-PS'!$BE$18</v>
      </c>
      <c r="J3732" s="37" t="s">
        <v>3856</v>
      </c>
    </row>
    <row r="3733" spans="1:10" x14ac:dyDescent="0.25">
      <c r="A3733" s="32" t="s">
        <v>34</v>
      </c>
      <c r="B3733" s="32">
        <f t="shared" si="900"/>
        <v>2030</v>
      </c>
      <c r="C3733" s="33" t="s">
        <v>49</v>
      </c>
      <c r="D3733" s="34" t="s">
        <v>1999</v>
      </c>
      <c r="E3733" s="35" t="str">
        <f t="shared" si="896"/>
        <v>PS'!</v>
      </c>
      <c r="F3733" s="34" t="str">
        <f t="shared" si="897"/>
        <v>C:\Users\jaime.benazar\Quorum Business Solutions\Ecopetrol Prometeo - Documents\Planning Space Implementation\3. Analysis &amp; Design\Design\FC22\DRR Jaime\QUIFA-CAJÚA\Cajua\[CAJUA_CF_SEC_New_27-Feb-2024Rev3.xlsx]D-PS'!</v>
      </c>
      <c r="G3733" s="32" t="s">
        <v>111</v>
      </c>
      <c r="H3733" s="33">
        <f t="shared" si="899"/>
        <v>19</v>
      </c>
      <c r="I3733" s="33" t="str">
        <f t="shared" si="898"/>
        <v>='C:\Users\jaime.benazar\Quorum Business Solutions\Ecopetrol Prometeo - Documents\Planning Space Implementation\3. Analysis &amp; Design\Design\FC22\DRR Jaime\QUIFA-CAJÚA\Cajua\[CAJUA_CF_SEC_New_27-Feb-2024Rev3.xlsx]D-PS'!$BE$19</v>
      </c>
      <c r="J3733" s="37" t="s">
        <v>3857</v>
      </c>
    </row>
    <row r="3734" spans="1:10" x14ac:dyDescent="0.25">
      <c r="A3734" s="32" t="s">
        <v>34</v>
      </c>
      <c r="B3734" s="32">
        <f t="shared" si="900"/>
        <v>2031</v>
      </c>
      <c r="C3734" s="33" t="s">
        <v>49</v>
      </c>
      <c r="D3734" s="34" t="s">
        <v>1999</v>
      </c>
      <c r="E3734" s="35" t="str">
        <f t="shared" si="896"/>
        <v>PS'!</v>
      </c>
      <c r="F3734" s="34" t="str">
        <f t="shared" si="897"/>
        <v>C:\Users\jaime.benazar\Quorum Business Solutions\Ecopetrol Prometeo - Documents\Planning Space Implementation\3. Analysis &amp; Design\Design\FC22\DRR Jaime\QUIFA-CAJÚA\Cajua\[CAJUA_CF_SEC_New_27-Feb-2024Rev3.xlsx]D-PS'!</v>
      </c>
      <c r="G3734" s="32" t="s">
        <v>111</v>
      </c>
      <c r="H3734" s="33">
        <f t="shared" si="899"/>
        <v>20</v>
      </c>
      <c r="I3734" s="33" t="str">
        <f t="shared" si="898"/>
        <v>='C:\Users\jaime.benazar\Quorum Business Solutions\Ecopetrol Prometeo - Documents\Planning Space Implementation\3. Analysis &amp; Design\Design\FC22\DRR Jaime\QUIFA-CAJÚA\Cajua\[CAJUA_CF_SEC_New_27-Feb-2024Rev3.xlsx]D-PS'!$BE$20</v>
      </c>
      <c r="J3734" s="37" t="s">
        <v>3858</v>
      </c>
    </row>
    <row r="3735" spans="1:10" x14ac:dyDescent="0.25">
      <c r="A3735" s="32" t="s">
        <v>34</v>
      </c>
      <c r="B3735" s="32">
        <f t="shared" si="900"/>
        <v>2032</v>
      </c>
      <c r="C3735" s="33" t="s">
        <v>49</v>
      </c>
      <c r="D3735" s="34" t="s">
        <v>1999</v>
      </c>
      <c r="E3735" s="35" t="str">
        <f t="shared" si="896"/>
        <v>PS'!</v>
      </c>
      <c r="F3735" s="34" t="str">
        <f t="shared" si="897"/>
        <v>C:\Users\jaime.benazar\Quorum Business Solutions\Ecopetrol Prometeo - Documents\Planning Space Implementation\3. Analysis &amp; Design\Design\FC22\DRR Jaime\QUIFA-CAJÚA\Cajua\[CAJUA_CF_SEC_New_27-Feb-2024Rev3.xlsx]D-PS'!</v>
      </c>
      <c r="G3735" s="32" t="s">
        <v>111</v>
      </c>
      <c r="H3735" s="33">
        <f t="shared" si="899"/>
        <v>21</v>
      </c>
      <c r="I3735" s="33" t="str">
        <f t="shared" si="898"/>
        <v>='C:\Users\jaime.benazar\Quorum Business Solutions\Ecopetrol Prometeo - Documents\Planning Space Implementation\3. Analysis &amp; Design\Design\FC22\DRR Jaime\QUIFA-CAJÚA\Cajua\[CAJUA_CF_SEC_New_27-Feb-2024Rev3.xlsx]D-PS'!$BE$21</v>
      </c>
      <c r="J3735" s="37" t="s">
        <v>3859</v>
      </c>
    </row>
    <row r="3736" spans="1:10" x14ac:dyDescent="0.25">
      <c r="A3736" s="32" t="s">
        <v>34</v>
      </c>
      <c r="B3736" s="32">
        <f t="shared" si="900"/>
        <v>2033</v>
      </c>
      <c r="C3736" s="33" t="s">
        <v>49</v>
      </c>
      <c r="D3736" s="34" t="s">
        <v>1999</v>
      </c>
      <c r="E3736" s="35" t="str">
        <f t="shared" si="896"/>
        <v>PS'!</v>
      </c>
      <c r="F3736" s="34" t="str">
        <f t="shared" si="897"/>
        <v>C:\Users\jaime.benazar\Quorum Business Solutions\Ecopetrol Prometeo - Documents\Planning Space Implementation\3. Analysis &amp; Design\Design\FC22\DRR Jaime\QUIFA-CAJÚA\Cajua\[CAJUA_CF_SEC_New_27-Feb-2024Rev3.xlsx]D-PS'!</v>
      </c>
      <c r="G3736" s="32" t="s">
        <v>111</v>
      </c>
      <c r="H3736" s="33">
        <f t="shared" si="899"/>
        <v>22</v>
      </c>
      <c r="I3736" s="33" t="str">
        <f t="shared" si="898"/>
        <v>='C:\Users\jaime.benazar\Quorum Business Solutions\Ecopetrol Prometeo - Documents\Planning Space Implementation\3. Analysis &amp; Design\Design\FC22\DRR Jaime\QUIFA-CAJÚA\Cajua\[CAJUA_CF_SEC_New_27-Feb-2024Rev3.xlsx]D-PS'!$BE$22</v>
      </c>
      <c r="J3736" s="37" t="s">
        <v>3860</v>
      </c>
    </row>
    <row r="3737" spans="1:10" x14ac:dyDescent="0.25">
      <c r="A3737" s="32" t="s">
        <v>34</v>
      </c>
      <c r="B3737" s="32">
        <f t="shared" si="900"/>
        <v>2034</v>
      </c>
      <c r="C3737" s="33" t="s">
        <v>49</v>
      </c>
      <c r="D3737" s="34" t="s">
        <v>1999</v>
      </c>
      <c r="E3737" s="35" t="str">
        <f t="shared" si="896"/>
        <v>PS'!</v>
      </c>
      <c r="F3737" s="34" t="str">
        <f t="shared" si="897"/>
        <v>C:\Users\jaime.benazar\Quorum Business Solutions\Ecopetrol Prometeo - Documents\Planning Space Implementation\3. Analysis &amp; Design\Design\FC22\DRR Jaime\QUIFA-CAJÚA\Cajua\[CAJUA_CF_SEC_New_27-Feb-2024Rev3.xlsx]D-PS'!</v>
      </c>
      <c r="G3737" s="32" t="s">
        <v>111</v>
      </c>
      <c r="H3737" s="33">
        <f t="shared" si="899"/>
        <v>23</v>
      </c>
      <c r="I3737" s="33" t="str">
        <f t="shared" si="898"/>
        <v>='C:\Users\jaime.benazar\Quorum Business Solutions\Ecopetrol Prometeo - Documents\Planning Space Implementation\3. Analysis &amp; Design\Design\FC22\DRR Jaime\QUIFA-CAJÚA\Cajua\[CAJUA_CF_SEC_New_27-Feb-2024Rev3.xlsx]D-PS'!$BE$23</v>
      </c>
      <c r="J3737" s="37" t="s">
        <v>3861</v>
      </c>
    </row>
    <row r="3738" spans="1:10" x14ac:dyDescent="0.25">
      <c r="A3738" s="32" t="s">
        <v>34</v>
      </c>
      <c r="B3738" s="32">
        <f t="shared" si="900"/>
        <v>2035</v>
      </c>
      <c r="C3738" s="33" t="s">
        <v>49</v>
      </c>
      <c r="D3738" s="34" t="s">
        <v>1999</v>
      </c>
      <c r="E3738" s="35" t="str">
        <f t="shared" si="896"/>
        <v>PS'!</v>
      </c>
      <c r="F3738" s="34" t="str">
        <f t="shared" si="897"/>
        <v>C:\Users\jaime.benazar\Quorum Business Solutions\Ecopetrol Prometeo - Documents\Planning Space Implementation\3. Analysis &amp; Design\Design\FC22\DRR Jaime\QUIFA-CAJÚA\Cajua\[CAJUA_CF_SEC_New_27-Feb-2024Rev3.xlsx]D-PS'!</v>
      </c>
      <c r="G3738" s="32" t="s">
        <v>111</v>
      </c>
      <c r="H3738" s="33">
        <f t="shared" si="899"/>
        <v>24</v>
      </c>
      <c r="I3738" s="33" t="str">
        <f t="shared" si="898"/>
        <v>='C:\Users\jaime.benazar\Quorum Business Solutions\Ecopetrol Prometeo - Documents\Planning Space Implementation\3. Analysis &amp; Design\Design\FC22\DRR Jaime\QUIFA-CAJÚA\Cajua\[CAJUA_CF_SEC_New_27-Feb-2024Rev3.xlsx]D-PS'!$BE$24</v>
      </c>
      <c r="J3738" s="37" t="s">
        <v>3862</v>
      </c>
    </row>
    <row r="3739" spans="1:10" x14ac:dyDescent="0.25">
      <c r="A3739" s="32" t="s">
        <v>34</v>
      </c>
      <c r="B3739" s="32">
        <f t="shared" si="900"/>
        <v>2036</v>
      </c>
      <c r="C3739" s="33" t="s">
        <v>49</v>
      </c>
      <c r="D3739" s="34" t="s">
        <v>1999</v>
      </c>
      <c r="E3739" s="35" t="str">
        <f t="shared" si="896"/>
        <v>PS'!</v>
      </c>
      <c r="F3739" s="34" t="str">
        <f t="shared" si="897"/>
        <v>C:\Users\jaime.benazar\Quorum Business Solutions\Ecopetrol Prometeo - Documents\Planning Space Implementation\3. Analysis &amp; Design\Design\FC22\DRR Jaime\QUIFA-CAJÚA\Cajua\[CAJUA_CF_SEC_New_27-Feb-2024Rev3.xlsx]D-PS'!</v>
      </c>
      <c r="G3739" s="32" t="s">
        <v>111</v>
      </c>
      <c r="H3739" s="33">
        <f t="shared" si="899"/>
        <v>25</v>
      </c>
      <c r="I3739" s="33" t="str">
        <f t="shared" si="898"/>
        <v>='C:\Users\jaime.benazar\Quorum Business Solutions\Ecopetrol Prometeo - Documents\Planning Space Implementation\3. Analysis &amp; Design\Design\FC22\DRR Jaime\QUIFA-CAJÚA\Cajua\[CAJUA_CF_SEC_New_27-Feb-2024Rev3.xlsx]D-PS'!$BE$25</v>
      </c>
      <c r="J3739" s="37" t="s">
        <v>3863</v>
      </c>
    </row>
    <row r="3740" spans="1:10" x14ac:dyDescent="0.25">
      <c r="A3740" s="32" t="s">
        <v>34</v>
      </c>
      <c r="B3740" s="32">
        <f>+B3739+1</f>
        <v>2037</v>
      </c>
      <c r="C3740" s="33" t="s">
        <v>49</v>
      </c>
      <c r="D3740" s="34" t="s">
        <v>1999</v>
      </c>
      <c r="E3740" s="35" t="str">
        <f t="shared" si="896"/>
        <v>PS'!</v>
      </c>
      <c r="F3740" s="34" t="str">
        <f t="shared" si="897"/>
        <v>C:\Users\jaime.benazar\Quorum Business Solutions\Ecopetrol Prometeo - Documents\Planning Space Implementation\3. Analysis &amp; Design\Design\FC22\DRR Jaime\QUIFA-CAJÚA\Cajua\[CAJUA_CF_SEC_New_27-Feb-2024Rev3.xlsx]D-PS'!</v>
      </c>
      <c r="G3740" s="32" t="s">
        <v>111</v>
      </c>
      <c r="H3740" s="33">
        <f t="shared" si="899"/>
        <v>26</v>
      </c>
      <c r="I3740" s="33" t="str">
        <f t="shared" si="898"/>
        <v>='C:\Users\jaime.benazar\Quorum Business Solutions\Ecopetrol Prometeo - Documents\Planning Space Implementation\3. Analysis &amp; Design\Design\FC22\DRR Jaime\QUIFA-CAJÚA\Cajua\[CAJUA_CF_SEC_New_27-Feb-2024Rev3.xlsx]D-PS'!$BE$26</v>
      </c>
      <c r="J3740" s="37" t="s">
        <v>3864</v>
      </c>
    </row>
    <row r="3741" spans="1:10" x14ac:dyDescent="0.25">
      <c r="A3741" s="32" t="s">
        <v>34</v>
      </c>
      <c r="B3741" s="32">
        <f t="shared" ref="B3741:B3743" si="901">+B3740+1</f>
        <v>2038</v>
      </c>
      <c r="C3741" s="33" t="s">
        <v>49</v>
      </c>
      <c r="D3741" s="34" t="s">
        <v>1999</v>
      </c>
      <c r="E3741" s="35" t="str">
        <f t="shared" si="896"/>
        <v>PS'!</v>
      </c>
      <c r="F3741" s="34" t="str">
        <f t="shared" si="897"/>
        <v>C:\Users\jaime.benazar\Quorum Business Solutions\Ecopetrol Prometeo - Documents\Planning Space Implementation\3. Analysis &amp; Design\Design\FC22\DRR Jaime\QUIFA-CAJÚA\Cajua\[CAJUA_CF_SEC_New_27-Feb-2024Rev3.xlsx]D-PS'!</v>
      </c>
      <c r="G3741" s="32" t="s">
        <v>111</v>
      </c>
      <c r="H3741" s="33">
        <f t="shared" si="899"/>
        <v>27</v>
      </c>
      <c r="I3741" s="33" t="str">
        <f t="shared" si="898"/>
        <v>='C:\Users\jaime.benazar\Quorum Business Solutions\Ecopetrol Prometeo - Documents\Planning Space Implementation\3. Analysis &amp; Design\Design\FC22\DRR Jaime\QUIFA-CAJÚA\Cajua\[CAJUA_CF_SEC_New_27-Feb-2024Rev3.xlsx]D-PS'!$BE$27</v>
      </c>
      <c r="J3741" s="37" t="s">
        <v>3865</v>
      </c>
    </row>
    <row r="3742" spans="1:10" x14ac:dyDescent="0.25">
      <c r="A3742" s="32" t="s">
        <v>34</v>
      </c>
      <c r="B3742" s="32">
        <f t="shared" si="901"/>
        <v>2039</v>
      </c>
      <c r="C3742" s="33" t="s">
        <v>49</v>
      </c>
      <c r="D3742" s="34" t="s">
        <v>1999</v>
      </c>
      <c r="E3742" s="35" t="str">
        <f t="shared" si="896"/>
        <v>PS'!</v>
      </c>
      <c r="F3742" s="34" t="str">
        <f t="shared" si="897"/>
        <v>C:\Users\jaime.benazar\Quorum Business Solutions\Ecopetrol Prometeo - Documents\Planning Space Implementation\3. Analysis &amp; Design\Design\FC22\DRR Jaime\QUIFA-CAJÚA\Cajua\[CAJUA_CF_SEC_New_27-Feb-2024Rev3.xlsx]D-PS'!</v>
      </c>
      <c r="G3742" s="32" t="s">
        <v>111</v>
      </c>
      <c r="H3742" s="33">
        <f t="shared" si="899"/>
        <v>28</v>
      </c>
      <c r="I3742" s="33" t="str">
        <f t="shared" si="898"/>
        <v>='C:\Users\jaime.benazar\Quorum Business Solutions\Ecopetrol Prometeo - Documents\Planning Space Implementation\3. Analysis &amp; Design\Design\FC22\DRR Jaime\QUIFA-CAJÚA\Cajua\[CAJUA_CF_SEC_New_27-Feb-2024Rev3.xlsx]D-PS'!$BE$28</v>
      </c>
      <c r="J3742" s="37" t="s">
        <v>3866</v>
      </c>
    </row>
    <row r="3743" spans="1:10" x14ac:dyDescent="0.25">
      <c r="A3743" s="32" t="s">
        <v>34</v>
      </c>
      <c r="B3743" s="32">
        <f t="shared" si="901"/>
        <v>2040</v>
      </c>
      <c r="C3743" s="33" t="s">
        <v>49</v>
      </c>
      <c r="D3743" s="34" t="s">
        <v>1999</v>
      </c>
      <c r="E3743" s="35" t="str">
        <f t="shared" si="896"/>
        <v>PS'!</v>
      </c>
      <c r="F3743" s="34" t="str">
        <f t="shared" si="897"/>
        <v>C:\Users\jaime.benazar\Quorum Business Solutions\Ecopetrol Prometeo - Documents\Planning Space Implementation\3. Analysis &amp; Design\Design\FC22\DRR Jaime\QUIFA-CAJÚA\Cajua\[CAJUA_CF_SEC_New_27-Feb-2024Rev3.xlsx]D-PS'!</v>
      </c>
      <c r="G3743" s="32" t="s">
        <v>111</v>
      </c>
      <c r="H3743" s="33">
        <f t="shared" si="899"/>
        <v>29</v>
      </c>
      <c r="I3743" s="33" t="str">
        <f t="shared" si="898"/>
        <v>='C:\Users\jaime.benazar\Quorum Business Solutions\Ecopetrol Prometeo - Documents\Planning Space Implementation\3. Analysis &amp; Design\Design\FC22\DRR Jaime\QUIFA-CAJÚA\Cajua\[CAJUA_CF_SEC_New_27-Feb-2024Rev3.xlsx]D-PS'!$BE$29</v>
      </c>
      <c r="J3743" s="37" t="s">
        <v>3867</v>
      </c>
    </row>
    <row r="3744" spans="1:10" x14ac:dyDescent="0.25">
      <c r="A3744" s="32" t="s">
        <v>34</v>
      </c>
      <c r="B3744" s="32">
        <f>+B3743+1</f>
        <v>2041</v>
      </c>
      <c r="C3744" s="33" t="s">
        <v>49</v>
      </c>
      <c r="D3744" s="34" t="s">
        <v>1999</v>
      </c>
      <c r="E3744" s="35" t="str">
        <f t="shared" si="896"/>
        <v>PS'!</v>
      </c>
      <c r="F3744" s="34" t="str">
        <f t="shared" si="897"/>
        <v>C:\Users\jaime.benazar\Quorum Business Solutions\Ecopetrol Prometeo - Documents\Planning Space Implementation\3. Analysis &amp; Design\Design\FC22\DRR Jaime\QUIFA-CAJÚA\Cajua\[CAJUA_CF_SEC_New_27-Feb-2024Rev3.xlsx]D-PS'!</v>
      </c>
      <c r="G3744" s="32" t="s">
        <v>111</v>
      </c>
      <c r="H3744" s="33">
        <f t="shared" si="899"/>
        <v>30</v>
      </c>
      <c r="I3744" s="33" t="str">
        <f t="shared" si="898"/>
        <v>='C:\Users\jaime.benazar\Quorum Business Solutions\Ecopetrol Prometeo - Documents\Planning Space Implementation\3. Analysis &amp; Design\Design\FC22\DRR Jaime\QUIFA-CAJÚA\Cajua\[CAJUA_CF_SEC_New_27-Feb-2024Rev3.xlsx]D-PS'!$BE$30</v>
      </c>
      <c r="J3744" s="37" t="s">
        <v>3868</v>
      </c>
    </row>
    <row r="3745" spans="1:10" x14ac:dyDescent="0.25">
      <c r="A3745" s="32" t="s">
        <v>34</v>
      </c>
      <c r="B3745" s="32">
        <f t="shared" ref="B3745:B3746" si="902">+B3744+1</f>
        <v>2042</v>
      </c>
      <c r="C3745" s="33" t="s">
        <v>49</v>
      </c>
      <c r="D3745" s="34" t="s">
        <v>1999</v>
      </c>
      <c r="E3745" s="35" t="str">
        <f t="shared" si="896"/>
        <v>PS'!</v>
      </c>
      <c r="F3745" s="34" t="str">
        <f t="shared" si="897"/>
        <v>C:\Users\jaime.benazar\Quorum Business Solutions\Ecopetrol Prometeo - Documents\Planning Space Implementation\3. Analysis &amp; Design\Design\FC22\DRR Jaime\QUIFA-CAJÚA\Cajua\[CAJUA_CF_SEC_New_27-Feb-2024Rev3.xlsx]D-PS'!</v>
      </c>
      <c r="G3745" s="32" t="s">
        <v>111</v>
      </c>
      <c r="H3745" s="33">
        <f t="shared" si="899"/>
        <v>31</v>
      </c>
      <c r="I3745" s="33" t="str">
        <f t="shared" si="898"/>
        <v>='C:\Users\jaime.benazar\Quorum Business Solutions\Ecopetrol Prometeo - Documents\Planning Space Implementation\3. Analysis &amp; Design\Design\FC22\DRR Jaime\QUIFA-CAJÚA\Cajua\[CAJUA_CF_SEC_New_27-Feb-2024Rev3.xlsx]D-PS'!$BE$31</v>
      </c>
      <c r="J3745" s="37" t="s">
        <v>3869</v>
      </c>
    </row>
    <row r="3746" spans="1:10" x14ac:dyDescent="0.25">
      <c r="A3746" s="32" t="s">
        <v>34</v>
      </c>
      <c r="B3746" s="32">
        <f t="shared" si="902"/>
        <v>2043</v>
      </c>
      <c r="C3746" s="33" t="s">
        <v>49</v>
      </c>
      <c r="D3746" s="34" t="s">
        <v>1999</v>
      </c>
      <c r="E3746" s="35" t="str">
        <f t="shared" si="896"/>
        <v>PS'!</v>
      </c>
      <c r="F3746" s="34" t="str">
        <f t="shared" si="897"/>
        <v>C:\Users\jaime.benazar\Quorum Business Solutions\Ecopetrol Prometeo - Documents\Planning Space Implementation\3. Analysis &amp; Design\Design\FC22\DRR Jaime\QUIFA-CAJÚA\Cajua\[CAJUA_CF_SEC_New_27-Feb-2024Rev3.xlsx]D-PS'!</v>
      </c>
      <c r="G3746" s="32" t="s">
        <v>111</v>
      </c>
      <c r="H3746" s="33">
        <f t="shared" si="899"/>
        <v>32</v>
      </c>
      <c r="I3746" s="33" t="str">
        <f t="shared" si="898"/>
        <v>='C:\Users\jaime.benazar\Quorum Business Solutions\Ecopetrol Prometeo - Documents\Planning Space Implementation\3. Analysis &amp; Design\Design\FC22\DRR Jaime\QUIFA-CAJÚA\Cajua\[CAJUA_CF_SEC_New_27-Feb-2024Rev3.xlsx]D-PS'!$BE$32</v>
      </c>
      <c r="J3746" s="37" t="s">
        <v>3870</v>
      </c>
    </row>
    <row r="3747" spans="1:10" x14ac:dyDescent="0.25">
      <c r="A3747" s="32" t="s">
        <v>34</v>
      </c>
      <c r="B3747" s="32">
        <f>+B3746+1</f>
        <v>2044</v>
      </c>
      <c r="C3747" s="33" t="s">
        <v>49</v>
      </c>
      <c r="D3747" s="34" t="s">
        <v>1999</v>
      </c>
      <c r="E3747" s="35" t="str">
        <f t="shared" ref="E3747:E3762" si="903">_xlfn.CONCAT(A3747,"'!")</f>
        <v>PS'!</v>
      </c>
      <c r="F3747" s="34" t="str">
        <f t="shared" ref="F3747:F3762" si="904">_xlfn.CONCAT(D3747:E3747)</f>
        <v>C:\Users\jaime.benazar\Quorum Business Solutions\Ecopetrol Prometeo - Documents\Planning Space Implementation\3. Analysis &amp; Design\Design\FC22\DRR Jaime\QUIFA-CAJÚA\Cajua\[CAJUA_CF_SEC_New_27-Feb-2024Rev3.xlsx]D-PS'!</v>
      </c>
      <c r="G3747" s="32" t="s">
        <v>111</v>
      </c>
      <c r="H3747" s="33">
        <f t="shared" ref="H3747:H3762" si="905">IF(A3747&lt;&gt;A3746,36,H3746+1)</f>
        <v>33</v>
      </c>
      <c r="I3747" s="33" t="str">
        <f t="shared" ref="I3747:I3762" si="906">_xlfn.CONCAT("='",F3747:H3747)</f>
        <v>='C:\Users\jaime.benazar\Quorum Business Solutions\Ecopetrol Prometeo - Documents\Planning Space Implementation\3. Analysis &amp; Design\Design\FC22\DRR Jaime\QUIFA-CAJÚA\Cajua\[CAJUA_CF_SEC_New_27-Feb-2024Rev3.xlsx]D-PS'!$BE$33</v>
      </c>
      <c r="J3747" s="37" t="s">
        <v>3871</v>
      </c>
    </row>
    <row r="3748" spans="1:10" x14ac:dyDescent="0.25">
      <c r="A3748" s="32" t="s">
        <v>34</v>
      </c>
      <c r="B3748" s="32">
        <f t="shared" ref="B3748:B3762" si="907">+B3747+1</f>
        <v>2045</v>
      </c>
      <c r="C3748" s="33" t="s">
        <v>49</v>
      </c>
      <c r="D3748" s="34" t="s">
        <v>1999</v>
      </c>
      <c r="E3748" s="35" t="str">
        <f t="shared" si="903"/>
        <v>PS'!</v>
      </c>
      <c r="F3748" s="34" t="str">
        <f t="shared" si="904"/>
        <v>C:\Users\jaime.benazar\Quorum Business Solutions\Ecopetrol Prometeo - Documents\Planning Space Implementation\3. Analysis &amp; Design\Design\FC22\DRR Jaime\QUIFA-CAJÚA\Cajua\[CAJUA_CF_SEC_New_27-Feb-2024Rev3.xlsx]D-PS'!</v>
      </c>
      <c r="G3748" s="32" t="s">
        <v>111</v>
      </c>
      <c r="H3748" s="33">
        <f t="shared" si="905"/>
        <v>34</v>
      </c>
      <c r="I3748" s="33" t="str">
        <f t="shared" si="906"/>
        <v>='C:\Users\jaime.benazar\Quorum Business Solutions\Ecopetrol Prometeo - Documents\Planning Space Implementation\3. Analysis &amp; Design\Design\FC22\DRR Jaime\QUIFA-CAJÚA\Cajua\[CAJUA_CF_SEC_New_27-Feb-2024Rev3.xlsx]D-PS'!$BE$34</v>
      </c>
      <c r="J3748" s="37" t="s">
        <v>3872</v>
      </c>
    </row>
    <row r="3749" spans="1:10" x14ac:dyDescent="0.25">
      <c r="A3749" s="32" t="s">
        <v>34</v>
      </c>
      <c r="B3749" s="32">
        <f t="shared" si="907"/>
        <v>2046</v>
      </c>
      <c r="C3749" s="33" t="s">
        <v>49</v>
      </c>
      <c r="D3749" s="34" t="s">
        <v>1999</v>
      </c>
      <c r="E3749" s="35" t="str">
        <f t="shared" si="903"/>
        <v>PS'!</v>
      </c>
      <c r="F3749" s="34" t="str">
        <f t="shared" si="904"/>
        <v>C:\Users\jaime.benazar\Quorum Business Solutions\Ecopetrol Prometeo - Documents\Planning Space Implementation\3. Analysis &amp; Design\Design\FC22\DRR Jaime\QUIFA-CAJÚA\Cajua\[CAJUA_CF_SEC_New_27-Feb-2024Rev3.xlsx]D-PS'!</v>
      </c>
      <c r="G3749" s="32" t="s">
        <v>111</v>
      </c>
      <c r="H3749" s="33">
        <f t="shared" si="905"/>
        <v>35</v>
      </c>
      <c r="I3749" s="33" t="str">
        <f t="shared" si="906"/>
        <v>='C:\Users\jaime.benazar\Quorum Business Solutions\Ecopetrol Prometeo - Documents\Planning Space Implementation\3. Analysis &amp; Design\Design\FC22\DRR Jaime\QUIFA-CAJÚA\Cajua\[CAJUA_CF_SEC_New_27-Feb-2024Rev3.xlsx]D-PS'!$BE$35</v>
      </c>
      <c r="J3749" s="37" t="s">
        <v>3873</v>
      </c>
    </row>
    <row r="3750" spans="1:10" x14ac:dyDescent="0.25">
      <c r="A3750" s="32" t="s">
        <v>34</v>
      </c>
      <c r="B3750" s="32">
        <f t="shared" si="907"/>
        <v>2047</v>
      </c>
      <c r="C3750" s="33" t="s">
        <v>49</v>
      </c>
      <c r="D3750" s="34" t="s">
        <v>1999</v>
      </c>
      <c r="E3750" s="35" t="str">
        <f t="shared" si="903"/>
        <v>PS'!</v>
      </c>
      <c r="F3750" s="34" t="str">
        <f t="shared" si="904"/>
        <v>C:\Users\jaime.benazar\Quorum Business Solutions\Ecopetrol Prometeo - Documents\Planning Space Implementation\3. Analysis &amp; Design\Design\FC22\DRR Jaime\QUIFA-CAJÚA\Cajua\[CAJUA_CF_SEC_New_27-Feb-2024Rev3.xlsx]D-PS'!</v>
      </c>
      <c r="G3750" s="32" t="s">
        <v>111</v>
      </c>
      <c r="H3750" s="33">
        <f t="shared" si="905"/>
        <v>36</v>
      </c>
      <c r="I3750" s="33" t="str">
        <f t="shared" si="906"/>
        <v>='C:\Users\jaime.benazar\Quorum Business Solutions\Ecopetrol Prometeo - Documents\Planning Space Implementation\3. Analysis &amp; Design\Design\FC22\DRR Jaime\QUIFA-CAJÚA\Cajua\[CAJUA_CF_SEC_New_27-Feb-2024Rev3.xlsx]D-PS'!$BE$36</v>
      </c>
      <c r="J3750" s="37" t="s">
        <v>3874</v>
      </c>
    </row>
    <row r="3751" spans="1:10" x14ac:dyDescent="0.25">
      <c r="A3751" s="32" t="s">
        <v>34</v>
      </c>
      <c r="B3751" s="32">
        <f t="shared" si="907"/>
        <v>2048</v>
      </c>
      <c r="C3751" s="33" t="s">
        <v>49</v>
      </c>
      <c r="D3751" s="34" t="s">
        <v>1999</v>
      </c>
      <c r="E3751" s="35" t="str">
        <f t="shared" si="903"/>
        <v>PS'!</v>
      </c>
      <c r="F3751" s="34" t="str">
        <f t="shared" si="904"/>
        <v>C:\Users\jaime.benazar\Quorum Business Solutions\Ecopetrol Prometeo - Documents\Planning Space Implementation\3. Analysis &amp; Design\Design\FC22\DRR Jaime\QUIFA-CAJÚA\Cajua\[CAJUA_CF_SEC_New_27-Feb-2024Rev3.xlsx]D-PS'!</v>
      </c>
      <c r="G3751" s="32" t="s">
        <v>111</v>
      </c>
      <c r="H3751" s="33">
        <f t="shared" si="905"/>
        <v>37</v>
      </c>
      <c r="I3751" s="33" t="str">
        <f t="shared" si="906"/>
        <v>='C:\Users\jaime.benazar\Quorum Business Solutions\Ecopetrol Prometeo - Documents\Planning Space Implementation\3. Analysis &amp; Design\Design\FC22\DRR Jaime\QUIFA-CAJÚA\Cajua\[CAJUA_CF_SEC_New_27-Feb-2024Rev3.xlsx]D-PS'!$BE$37</v>
      </c>
      <c r="J3751" s="37" t="s">
        <v>3875</v>
      </c>
    </row>
    <row r="3752" spans="1:10" x14ac:dyDescent="0.25">
      <c r="A3752" s="32" t="s">
        <v>34</v>
      </c>
      <c r="B3752" s="32">
        <f t="shared" si="907"/>
        <v>2049</v>
      </c>
      <c r="C3752" s="33" t="s">
        <v>49</v>
      </c>
      <c r="D3752" s="34" t="s">
        <v>1999</v>
      </c>
      <c r="E3752" s="35" t="str">
        <f t="shared" si="903"/>
        <v>PS'!</v>
      </c>
      <c r="F3752" s="34" t="str">
        <f t="shared" si="904"/>
        <v>C:\Users\jaime.benazar\Quorum Business Solutions\Ecopetrol Prometeo - Documents\Planning Space Implementation\3. Analysis &amp; Design\Design\FC22\DRR Jaime\QUIFA-CAJÚA\Cajua\[CAJUA_CF_SEC_New_27-Feb-2024Rev3.xlsx]D-PS'!</v>
      </c>
      <c r="G3752" s="32" t="s">
        <v>111</v>
      </c>
      <c r="H3752" s="33">
        <f t="shared" si="905"/>
        <v>38</v>
      </c>
      <c r="I3752" s="33" t="str">
        <f t="shared" si="906"/>
        <v>='C:\Users\jaime.benazar\Quorum Business Solutions\Ecopetrol Prometeo - Documents\Planning Space Implementation\3. Analysis &amp; Design\Design\FC22\DRR Jaime\QUIFA-CAJÚA\Cajua\[CAJUA_CF_SEC_New_27-Feb-2024Rev3.xlsx]D-PS'!$BE$38</v>
      </c>
      <c r="J3752" s="37" t="s">
        <v>3876</v>
      </c>
    </row>
    <row r="3753" spans="1:10" x14ac:dyDescent="0.25">
      <c r="A3753" s="32" t="s">
        <v>34</v>
      </c>
      <c r="B3753" s="32">
        <f t="shared" si="907"/>
        <v>2050</v>
      </c>
      <c r="C3753" s="33" t="s">
        <v>49</v>
      </c>
      <c r="D3753" s="34" t="s">
        <v>1999</v>
      </c>
      <c r="E3753" s="35" t="str">
        <f t="shared" si="903"/>
        <v>PS'!</v>
      </c>
      <c r="F3753" s="34" t="str">
        <f t="shared" si="904"/>
        <v>C:\Users\jaime.benazar\Quorum Business Solutions\Ecopetrol Prometeo - Documents\Planning Space Implementation\3. Analysis &amp; Design\Design\FC22\DRR Jaime\QUIFA-CAJÚA\Cajua\[CAJUA_CF_SEC_New_27-Feb-2024Rev3.xlsx]D-PS'!</v>
      </c>
      <c r="G3753" s="32" t="s">
        <v>111</v>
      </c>
      <c r="H3753" s="33">
        <f t="shared" si="905"/>
        <v>39</v>
      </c>
      <c r="I3753" s="33" t="str">
        <f t="shared" si="906"/>
        <v>='C:\Users\jaime.benazar\Quorum Business Solutions\Ecopetrol Prometeo - Documents\Planning Space Implementation\3. Analysis &amp; Design\Design\FC22\DRR Jaime\QUIFA-CAJÚA\Cajua\[CAJUA_CF_SEC_New_27-Feb-2024Rev3.xlsx]D-PS'!$BE$39</v>
      </c>
      <c r="J3753" s="37" t="s">
        <v>3877</v>
      </c>
    </row>
    <row r="3754" spans="1:10" x14ac:dyDescent="0.25">
      <c r="A3754" s="32" t="s">
        <v>34</v>
      </c>
      <c r="B3754" s="32">
        <f t="shared" si="907"/>
        <v>2051</v>
      </c>
      <c r="C3754" s="33" t="s">
        <v>49</v>
      </c>
      <c r="D3754" s="34" t="s">
        <v>1999</v>
      </c>
      <c r="E3754" s="35" t="str">
        <f t="shared" si="903"/>
        <v>PS'!</v>
      </c>
      <c r="F3754" s="34" t="str">
        <f t="shared" si="904"/>
        <v>C:\Users\jaime.benazar\Quorum Business Solutions\Ecopetrol Prometeo - Documents\Planning Space Implementation\3. Analysis &amp; Design\Design\FC22\DRR Jaime\QUIFA-CAJÚA\Cajua\[CAJUA_CF_SEC_New_27-Feb-2024Rev3.xlsx]D-PS'!</v>
      </c>
      <c r="G3754" s="32" t="s">
        <v>111</v>
      </c>
      <c r="H3754" s="33">
        <f t="shared" si="905"/>
        <v>40</v>
      </c>
      <c r="I3754" s="33" t="str">
        <f t="shared" si="906"/>
        <v>='C:\Users\jaime.benazar\Quorum Business Solutions\Ecopetrol Prometeo - Documents\Planning Space Implementation\3. Analysis &amp; Design\Design\FC22\DRR Jaime\QUIFA-CAJÚA\Cajua\[CAJUA_CF_SEC_New_27-Feb-2024Rev3.xlsx]D-PS'!$BE$40</v>
      </c>
      <c r="J3754" s="37" t="s">
        <v>3878</v>
      </c>
    </row>
    <row r="3755" spans="1:10" x14ac:dyDescent="0.25">
      <c r="A3755" s="32" t="s">
        <v>34</v>
      </c>
      <c r="B3755" s="32">
        <f t="shared" si="907"/>
        <v>2052</v>
      </c>
      <c r="C3755" s="33" t="s">
        <v>49</v>
      </c>
      <c r="D3755" s="34" t="s">
        <v>1999</v>
      </c>
      <c r="E3755" s="35" t="str">
        <f t="shared" si="903"/>
        <v>PS'!</v>
      </c>
      <c r="F3755" s="34" t="str">
        <f t="shared" si="904"/>
        <v>C:\Users\jaime.benazar\Quorum Business Solutions\Ecopetrol Prometeo - Documents\Planning Space Implementation\3. Analysis &amp; Design\Design\FC22\DRR Jaime\QUIFA-CAJÚA\Cajua\[CAJUA_CF_SEC_New_27-Feb-2024Rev3.xlsx]D-PS'!</v>
      </c>
      <c r="G3755" s="32" t="s">
        <v>111</v>
      </c>
      <c r="H3755" s="33">
        <f t="shared" si="905"/>
        <v>41</v>
      </c>
      <c r="I3755" s="33" t="str">
        <f t="shared" si="906"/>
        <v>='C:\Users\jaime.benazar\Quorum Business Solutions\Ecopetrol Prometeo - Documents\Planning Space Implementation\3. Analysis &amp; Design\Design\FC22\DRR Jaime\QUIFA-CAJÚA\Cajua\[CAJUA_CF_SEC_New_27-Feb-2024Rev3.xlsx]D-PS'!$BE$41</v>
      </c>
      <c r="J3755" s="37" t="s">
        <v>3879</v>
      </c>
    </row>
    <row r="3756" spans="1:10" x14ac:dyDescent="0.25">
      <c r="A3756" s="32" t="s">
        <v>34</v>
      </c>
      <c r="B3756" s="32">
        <f t="shared" si="907"/>
        <v>2053</v>
      </c>
      <c r="C3756" s="33" t="s">
        <v>49</v>
      </c>
      <c r="D3756" s="34" t="s">
        <v>1999</v>
      </c>
      <c r="E3756" s="35" t="str">
        <f t="shared" si="903"/>
        <v>PS'!</v>
      </c>
      <c r="F3756" s="34" t="str">
        <f t="shared" si="904"/>
        <v>C:\Users\jaime.benazar\Quorum Business Solutions\Ecopetrol Prometeo - Documents\Planning Space Implementation\3. Analysis &amp; Design\Design\FC22\DRR Jaime\QUIFA-CAJÚA\Cajua\[CAJUA_CF_SEC_New_27-Feb-2024Rev3.xlsx]D-PS'!</v>
      </c>
      <c r="G3756" s="32" t="s">
        <v>111</v>
      </c>
      <c r="H3756" s="33">
        <f t="shared" si="905"/>
        <v>42</v>
      </c>
      <c r="I3756" s="33" t="str">
        <f t="shared" si="906"/>
        <v>='C:\Users\jaime.benazar\Quorum Business Solutions\Ecopetrol Prometeo - Documents\Planning Space Implementation\3. Analysis &amp; Design\Design\FC22\DRR Jaime\QUIFA-CAJÚA\Cajua\[CAJUA_CF_SEC_New_27-Feb-2024Rev3.xlsx]D-PS'!$BE$42</v>
      </c>
      <c r="J3756" s="37" t="s">
        <v>3880</v>
      </c>
    </row>
    <row r="3757" spans="1:10" x14ac:dyDescent="0.25">
      <c r="A3757" s="32" t="s">
        <v>34</v>
      </c>
      <c r="B3757" s="32">
        <f t="shared" si="907"/>
        <v>2054</v>
      </c>
      <c r="C3757" s="33" t="s">
        <v>49</v>
      </c>
      <c r="D3757" s="34" t="s">
        <v>1999</v>
      </c>
      <c r="E3757" s="35" t="str">
        <f t="shared" si="903"/>
        <v>PS'!</v>
      </c>
      <c r="F3757" s="34" t="str">
        <f t="shared" si="904"/>
        <v>C:\Users\jaime.benazar\Quorum Business Solutions\Ecopetrol Prometeo - Documents\Planning Space Implementation\3. Analysis &amp; Design\Design\FC22\DRR Jaime\QUIFA-CAJÚA\Cajua\[CAJUA_CF_SEC_New_27-Feb-2024Rev3.xlsx]D-PS'!</v>
      </c>
      <c r="G3757" s="32" t="s">
        <v>111</v>
      </c>
      <c r="H3757" s="33">
        <f t="shared" si="905"/>
        <v>43</v>
      </c>
      <c r="I3757" s="33" t="str">
        <f t="shared" si="906"/>
        <v>='C:\Users\jaime.benazar\Quorum Business Solutions\Ecopetrol Prometeo - Documents\Planning Space Implementation\3. Analysis &amp; Design\Design\FC22\DRR Jaime\QUIFA-CAJÚA\Cajua\[CAJUA_CF_SEC_New_27-Feb-2024Rev3.xlsx]D-PS'!$BE$43</v>
      </c>
      <c r="J3757" s="37" t="s">
        <v>3881</v>
      </c>
    </row>
    <row r="3758" spans="1:10" x14ac:dyDescent="0.25">
      <c r="A3758" s="32" t="s">
        <v>34</v>
      </c>
      <c r="B3758" s="32">
        <f t="shared" si="907"/>
        <v>2055</v>
      </c>
      <c r="C3758" s="33" t="s">
        <v>49</v>
      </c>
      <c r="D3758" s="34" t="s">
        <v>1999</v>
      </c>
      <c r="E3758" s="35" t="str">
        <f t="shared" si="903"/>
        <v>PS'!</v>
      </c>
      <c r="F3758" s="34" t="str">
        <f t="shared" si="904"/>
        <v>C:\Users\jaime.benazar\Quorum Business Solutions\Ecopetrol Prometeo - Documents\Planning Space Implementation\3. Analysis &amp; Design\Design\FC22\DRR Jaime\QUIFA-CAJÚA\Cajua\[CAJUA_CF_SEC_New_27-Feb-2024Rev3.xlsx]D-PS'!</v>
      </c>
      <c r="G3758" s="32" t="s">
        <v>111</v>
      </c>
      <c r="H3758" s="33">
        <f t="shared" si="905"/>
        <v>44</v>
      </c>
      <c r="I3758" s="33" t="str">
        <f t="shared" si="906"/>
        <v>='C:\Users\jaime.benazar\Quorum Business Solutions\Ecopetrol Prometeo - Documents\Planning Space Implementation\3. Analysis &amp; Design\Design\FC22\DRR Jaime\QUIFA-CAJÚA\Cajua\[CAJUA_CF_SEC_New_27-Feb-2024Rev3.xlsx]D-PS'!$BE$44</v>
      </c>
      <c r="J3758" s="37" t="s">
        <v>3882</v>
      </c>
    </row>
    <row r="3759" spans="1:10" x14ac:dyDescent="0.25">
      <c r="A3759" s="32" t="s">
        <v>34</v>
      </c>
      <c r="B3759" s="32">
        <f t="shared" si="907"/>
        <v>2056</v>
      </c>
      <c r="C3759" s="33" t="s">
        <v>49</v>
      </c>
      <c r="D3759" s="34" t="s">
        <v>1999</v>
      </c>
      <c r="E3759" s="35" t="str">
        <f t="shared" si="903"/>
        <v>PS'!</v>
      </c>
      <c r="F3759" s="34" t="str">
        <f t="shared" si="904"/>
        <v>C:\Users\jaime.benazar\Quorum Business Solutions\Ecopetrol Prometeo - Documents\Planning Space Implementation\3. Analysis &amp; Design\Design\FC22\DRR Jaime\QUIFA-CAJÚA\Cajua\[CAJUA_CF_SEC_New_27-Feb-2024Rev3.xlsx]D-PS'!</v>
      </c>
      <c r="G3759" s="32" t="s">
        <v>111</v>
      </c>
      <c r="H3759" s="33">
        <f t="shared" si="905"/>
        <v>45</v>
      </c>
      <c r="I3759" s="33" t="str">
        <f t="shared" si="906"/>
        <v>='C:\Users\jaime.benazar\Quorum Business Solutions\Ecopetrol Prometeo - Documents\Planning Space Implementation\3. Analysis &amp; Design\Design\FC22\DRR Jaime\QUIFA-CAJÚA\Cajua\[CAJUA_CF_SEC_New_27-Feb-2024Rev3.xlsx]D-PS'!$BE$45</v>
      </c>
      <c r="J3759" s="37" t="s">
        <v>3883</v>
      </c>
    </row>
    <row r="3760" spans="1:10" x14ac:dyDescent="0.25">
      <c r="A3760" s="32" t="s">
        <v>34</v>
      </c>
      <c r="B3760" s="32">
        <f t="shared" si="907"/>
        <v>2057</v>
      </c>
      <c r="C3760" s="33" t="s">
        <v>49</v>
      </c>
      <c r="D3760" s="34" t="s">
        <v>1999</v>
      </c>
      <c r="E3760" s="35" t="str">
        <f t="shared" si="903"/>
        <v>PS'!</v>
      </c>
      <c r="F3760" s="34" t="str">
        <f t="shared" si="904"/>
        <v>C:\Users\jaime.benazar\Quorum Business Solutions\Ecopetrol Prometeo - Documents\Planning Space Implementation\3. Analysis &amp; Design\Design\FC22\DRR Jaime\QUIFA-CAJÚA\Cajua\[CAJUA_CF_SEC_New_27-Feb-2024Rev3.xlsx]D-PS'!</v>
      </c>
      <c r="G3760" s="32" t="s">
        <v>111</v>
      </c>
      <c r="H3760" s="33">
        <f t="shared" si="905"/>
        <v>46</v>
      </c>
      <c r="I3760" s="33" t="str">
        <f t="shared" si="906"/>
        <v>='C:\Users\jaime.benazar\Quorum Business Solutions\Ecopetrol Prometeo - Documents\Planning Space Implementation\3. Analysis &amp; Design\Design\FC22\DRR Jaime\QUIFA-CAJÚA\Cajua\[CAJUA_CF_SEC_New_27-Feb-2024Rev3.xlsx]D-PS'!$BE$46</v>
      </c>
      <c r="J3760" s="37" t="s">
        <v>3884</v>
      </c>
    </row>
    <row r="3761" spans="1:10" x14ac:dyDescent="0.25">
      <c r="A3761" s="32" t="s">
        <v>34</v>
      </c>
      <c r="B3761" s="32">
        <f t="shared" si="907"/>
        <v>2058</v>
      </c>
      <c r="C3761" s="33" t="s">
        <v>49</v>
      </c>
      <c r="D3761" s="34" t="s">
        <v>1999</v>
      </c>
      <c r="E3761" s="35" t="str">
        <f t="shared" si="903"/>
        <v>PS'!</v>
      </c>
      <c r="F3761" s="34" t="str">
        <f t="shared" si="904"/>
        <v>C:\Users\jaime.benazar\Quorum Business Solutions\Ecopetrol Prometeo - Documents\Planning Space Implementation\3. Analysis &amp; Design\Design\FC22\DRR Jaime\QUIFA-CAJÚA\Cajua\[CAJUA_CF_SEC_New_27-Feb-2024Rev3.xlsx]D-PS'!</v>
      </c>
      <c r="G3761" s="32" t="s">
        <v>111</v>
      </c>
      <c r="H3761" s="33">
        <f t="shared" si="905"/>
        <v>47</v>
      </c>
      <c r="I3761" s="33" t="str">
        <f t="shared" si="906"/>
        <v>='C:\Users\jaime.benazar\Quorum Business Solutions\Ecopetrol Prometeo - Documents\Planning Space Implementation\3. Analysis &amp; Design\Design\FC22\DRR Jaime\QUIFA-CAJÚA\Cajua\[CAJUA_CF_SEC_New_27-Feb-2024Rev3.xlsx]D-PS'!$BE$47</v>
      </c>
      <c r="J3761" s="37" t="s">
        <v>3885</v>
      </c>
    </row>
    <row r="3762" spans="1:10" x14ac:dyDescent="0.25">
      <c r="A3762" s="32" t="s">
        <v>34</v>
      </c>
      <c r="B3762" s="32">
        <f t="shared" si="907"/>
        <v>2059</v>
      </c>
      <c r="C3762" s="33" t="s">
        <v>49</v>
      </c>
      <c r="D3762" s="34" t="s">
        <v>1999</v>
      </c>
      <c r="E3762" s="35" t="str">
        <f t="shared" si="903"/>
        <v>PS'!</v>
      </c>
      <c r="F3762" s="34" t="str">
        <f t="shared" si="904"/>
        <v>C:\Users\jaime.benazar\Quorum Business Solutions\Ecopetrol Prometeo - Documents\Planning Space Implementation\3. Analysis &amp; Design\Design\FC22\DRR Jaime\QUIFA-CAJÚA\Cajua\[CAJUA_CF_SEC_New_27-Feb-2024Rev3.xlsx]D-PS'!</v>
      </c>
      <c r="G3762" s="32" t="s">
        <v>111</v>
      </c>
      <c r="H3762" s="33">
        <f t="shared" si="905"/>
        <v>48</v>
      </c>
      <c r="I3762" s="33" t="str">
        <f t="shared" si="906"/>
        <v>='C:\Users\jaime.benazar\Quorum Business Solutions\Ecopetrol Prometeo - Documents\Planning Space Implementation\3. Analysis &amp; Design\Design\FC22\DRR Jaime\QUIFA-CAJÚA\Cajua\[CAJUA_CF_SEC_New_27-Feb-2024Rev3.xlsx]D-PS'!$BE$48</v>
      </c>
      <c r="J3762" s="37" t="s">
        <v>3886</v>
      </c>
    </row>
    <row r="3763" spans="1:10" x14ac:dyDescent="0.25">
      <c r="A3763" s="32" t="s">
        <v>28</v>
      </c>
      <c r="B3763" s="32"/>
      <c r="C3763" s="33" t="s">
        <v>49</v>
      </c>
      <c r="D3763" s="34"/>
      <c r="E3763" s="35"/>
      <c r="F3763" s="34"/>
      <c r="G3763" s="32"/>
      <c r="H3763" s="33"/>
      <c r="I3763" s="33"/>
      <c r="J3763" s="33"/>
    </row>
    <row r="3764" spans="1:10" x14ac:dyDescent="0.25">
      <c r="A3764" s="32" t="s">
        <v>1</v>
      </c>
      <c r="B3764" s="32">
        <v>2023</v>
      </c>
      <c r="C3764" s="33" t="s">
        <v>109</v>
      </c>
      <c r="D3764" s="34" t="s">
        <v>1999</v>
      </c>
      <c r="E3764" s="35" t="str">
        <f>_xlfn.CONCAT(A3764,"'!")</f>
        <v>PDP'!</v>
      </c>
      <c r="F3764" s="34" t="str">
        <f>_xlfn.CONCAT(D3764:E3764)</f>
        <v>C:\Users\jaime.benazar\Quorum Business Solutions\Ecopetrol Prometeo - Documents\Planning Space Implementation\3. Analysis &amp; Design\Design\FC22\DRR Jaime\QUIFA-CAJÚA\Cajua\[CAJUA_CF_SEC_New_27-Feb-2024Rev3.xlsx]D-PDP'!</v>
      </c>
      <c r="G3764" s="32" t="s">
        <v>114</v>
      </c>
      <c r="H3764" s="33">
        <v>12</v>
      </c>
      <c r="I3764" s="33" t="str">
        <f>_xlfn.CONCAT("='",F3764:H3764)</f>
        <v>='C:\Users\jaime.benazar\Quorum Business Solutions\Ecopetrol Prometeo - Documents\Planning Space Implementation\3. Analysis &amp; Design\Design\FC22\DRR Jaime\QUIFA-CAJÚA\Cajua\[CAJUA_CF_SEC_New_27-Feb-2024Rev3.xlsx]D-PDP'!$CB$12</v>
      </c>
      <c r="J3764" s="36" t="s">
        <v>3887</v>
      </c>
    </row>
    <row r="3765" spans="1:10" x14ac:dyDescent="0.25">
      <c r="A3765" s="32" t="s">
        <v>1</v>
      </c>
      <c r="B3765" s="32">
        <f>+B3764+1</f>
        <v>2024</v>
      </c>
      <c r="C3765" s="33" t="s">
        <v>109</v>
      </c>
      <c r="D3765" s="34" t="s">
        <v>1999</v>
      </c>
      <c r="E3765" s="35" t="str">
        <f t="shared" ref="E3765:E3822" si="908">_xlfn.CONCAT(A3765,"'!")</f>
        <v>PDP'!</v>
      </c>
      <c r="F3765" s="34" t="str">
        <f t="shared" ref="F3765:F3784" si="909">_xlfn.CONCAT(D3765:E3765)</f>
        <v>C:\Users\jaime.benazar\Quorum Business Solutions\Ecopetrol Prometeo - Documents\Planning Space Implementation\3. Analysis &amp; Design\Design\FC22\DRR Jaime\QUIFA-CAJÚA\Cajua\[CAJUA_CF_SEC_New_27-Feb-2024Rev3.xlsx]D-PDP'!</v>
      </c>
      <c r="G3765" s="32" t="s">
        <v>114</v>
      </c>
      <c r="H3765" s="33">
        <f t="shared" ref="H3765:H3784" si="910">IF(A3765&lt;&gt;A3764,12,H3764+1)</f>
        <v>13</v>
      </c>
      <c r="I3765" s="33" t="str">
        <f t="shared" ref="I3765:I3784" si="911">_xlfn.CONCAT("='",F3765:H3765)</f>
        <v>='C:\Users\jaime.benazar\Quorum Business Solutions\Ecopetrol Prometeo - Documents\Planning Space Implementation\3. Analysis &amp; Design\Design\FC22\DRR Jaime\QUIFA-CAJÚA\Cajua\[CAJUA_CF_SEC_New_27-Feb-2024Rev3.xlsx]D-PDP'!$CB$13</v>
      </c>
      <c r="J3765" s="37" t="s">
        <v>3888</v>
      </c>
    </row>
    <row r="3766" spans="1:10" x14ac:dyDescent="0.25">
      <c r="A3766" s="32" t="s">
        <v>1</v>
      </c>
      <c r="B3766" s="32">
        <f t="shared" ref="B3766:B3800" si="912">+B3765+1</f>
        <v>2025</v>
      </c>
      <c r="C3766" s="33" t="s">
        <v>109</v>
      </c>
      <c r="D3766" s="34" t="s">
        <v>1999</v>
      </c>
      <c r="E3766" s="35" t="str">
        <f t="shared" si="908"/>
        <v>PDP'!</v>
      </c>
      <c r="F3766" s="34" t="str">
        <f t="shared" si="909"/>
        <v>C:\Users\jaime.benazar\Quorum Business Solutions\Ecopetrol Prometeo - Documents\Planning Space Implementation\3. Analysis &amp; Design\Design\FC22\DRR Jaime\QUIFA-CAJÚA\Cajua\[CAJUA_CF_SEC_New_27-Feb-2024Rev3.xlsx]D-PDP'!</v>
      </c>
      <c r="G3766" s="32" t="s">
        <v>114</v>
      </c>
      <c r="H3766" s="33">
        <f t="shared" si="910"/>
        <v>14</v>
      </c>
      <c r="I3766" s="33" t="str">
        <f t="shared" si="911"/>
        <v>='C:\Users\jaime.benazar\Quorum Business Solutions\Ecopetrol Prometeo - Documents\Planning Space Implementation\3. Analysis &amp; Design\Design\FC22\DRR Jaime\QUIFA-CAJÚA\Cajua\[CAJUA_CF_SEC_New_27-Feb-2024Rev3.xlsx]D-PDP'!$CB$14</v>
      </c>
      <c r="J3766" s="37" t="s">
        <v>3889</v>
      </c>
    </row>
    <row r="3767" spans="1:10" x14ac:dyDescent="0.25">
      <c r="A3767" s="32" t="s">
        <v>1</v>
      </c>
      <c r="B3767" s="32">
        <f t="shared" si="912"/>
        <v>2026</v>
      </c>
      <c r="C3767" s="33" t="s">
        <v>109</v>
      </c>
      <c r="D3767" s="34" t="s">
        <v>1999</v>
      </c>
      <c r="E3767" s="35" t="str">
        <f t="shared" si="908"/>
        <v>PDP'!</v>
      </c>
      <c r="F3767" s="34" t="str">
        <f t="shared" si="909"/>
        <v>C:\Users\jaime.benazar\Quorum Business Solutions\Ecopetrol Prometeo - Documents\Planning Space Implementation\3. Analysis &amp; Design\Design\FC22\DRR Jaime\QUIFA-CAJÚA\Cajua\[CAJUA_CF_SEC_New_27-Feb-2024Rev3.xlsx]D-PDP'!</v>
      </c>
      <c r="G3767" s="32" t="s">
        <v>114</v>
      </c>
      <c r="H3767" s="33">
        <f t="shared" si="910"/>
        <v>15</v>
      </c>
      <c r="I3767" s="33" t="str">
        <f t="shared" si="911"/>
        <v>='C:\Users\jaime.benazar\Quorum Business Solutions\Ecopetrol Prometeo - Documents\Planning Space Implementation\3. Analysis &amp; Design\Design\FC22\DRR Jaime\QUIFA-CAJÚA\Cajua\[CAJUA_CF_SEC_New_27-Feb-2024Rev3.xlsx]D-PDP'!$CB$15</v>
      </c>
      <c r="J3767" s="37" t="s">
        <v>3890</v>
      </c>
    </row>
    <row r="3768" spans="1:10" x14ac:dyDescent="0.25">
      <c r="A3768" s="32" t="s">
        <v>1</v>
      </c>
      <c r="B3768" s="32">
        <f t="shared" si="912"/>
        <v>2027</v>
      </c>
      <c r="C3768" s="33" t="s">
        <v>109</v>
      </c>
      <c r="D3768" s="34" t="s">
        <v>1999</v>
      </c>
      <c r="E3768" s="35" t="str">
        <f t="shared" si="908"/>
        <v>PDP'!</v>
      </c>
      <c r="F3768" s="34" t="str">
        <f t="shared" si="909"/>
        <v>C:\Users\jaime.benazar\Quorum Business Solutions\Ecopetrol Prometeo - Documents\Planning Space Implementation\3. Analysis &amp; Design\Design\FC22\DRR Jaime\QUIFA-CAJÚA\Cajua\[CAJUA_CF_SEC_New_27-Feb-2024Rev3.xlsx]D-PDP'!</v>
      </c>
      <c r="G3768" s="32" t="s">
        <v>114</v>
      </c>
      <c r="H3768" s="33">
        <f t="shared" si="910"/>
        <v>16</v>
      </c>
      <c r="I3768" s="33" t="str">
        <f t="shared" si="911"/>
        <v>='C:\Users\jaime.benazar\Quorum Business Solutions\Ecopetrol Prometeo - Documents\Planning Space Implementation\3. Analysis &amp; Design\Design\FC22\DRR Jaime\QUIFA-CAJÚA\Cajua\[CAJUA_CF_SEC_New_27-Feb-2024Rev3.xlsx]D-PDP'!$CB$16</v>
      </c>
      <c r="J3768" s="37" t="s">
        <v>3891</v>
      </c>
    </row>
    <row r="3769" spans="1:10" x14ac:dyDescent="0.25">
      <c r="A3769" s="32" t="s">
        <v>1</v>
      </c>
      <c r="B3769" s="32">
        <f t="shared" si="912"/>
        <v>2028</v>
      </c>
      <c r="C3769" s="33" t="s">
        <v>109</v>
      </c>
      <c r="D3769" s="34" t="s">
        <v>1999</v>
      </c>
      <c r="E3769" s="35" t="str">
        <f t="shared" si="908"/>
        <v>PDP'!</v>
      </c>
      <c r="F3769" s="34" t="str">
        <f t="shared" si="909"/>
        <v>C:\Users\jaime.benazar\Quorum Business Solutions\Ecopetrol Prometeo - Documents\Planning Space Implementation\3. Analysis &amp; Design\Design\FC22\DRR Jaime\QUIFA-CAJÚA\Cajua\[CAJUA_CF_SEC_New_27-Feb-2024Rev3.xlsx]D-PDP'!</v>
      </c>
      <c r="G3769" s="32" t="s">
        <v>114</v>
      </c>
      <c r="H3769" s="33">
        <f t="shared" si="910"/>
        <v>17</v>
      </c>
      <c r="I3769" s="33" t="str">
        <f t="shared" si="911"/>
        <v>='C:\Users\jaime.benazar\Quorum Business Solutions\Ecopetrol Prometeo - Documents\Planning Space Implementation\3. Analysis &amp; Design\Design\FC22\DRR Jaime\QUIFA-CAJÚA\Cajua\[CAJUA_CF_SEC_New_27-Feb-2024Rev3.xlsx]D-PDP'!$CB$17</v>
      </c>
      <c r="J3769" s="37" t="s">
        <v>3892</v>
      </c>
    </row>
    <row r="3770" spans="1:10" x14ac:dyDescent="0.25">
      <c r="A3770" s="32" t="s">
        <v>1</v>
      </c>
      <c r="B3770" s="32">
        <f t="shared" si="912"/>
        <v>2029</v>
      </c>
      <c r="C3770" s="33" t="s">
        <v>109</v>
      </c>
      <c r="D3770" s="34" t="s">
        <v>1999</v>
      </c>
      <c r="E3770" s="35" t="str">
        <f t="shared" si="908"/>
        <v>PDP'!</v>
      </c>
      <c r="F3770" s="34" t="str">
        <f t="shared" si="909"/>
        <v>C:\Users\jaime.benazar\Quorum Business Solutions\Ecopetrol Prometeo - Documents\Planning Space Implementation\3. Analysis &amp; Design\Design\FC22\DRR Jaime\QUIFA-CAJÚA\Cajua\[CAJUA_CF_SEC_New_27-Feb-2024Rev3.xlsx]D-PDP'!</v>
      </c>
      <c r="G3770" s="32" t="s">
        <v>114</v>
      </c>
      <c r="H3770" s="33">
        <f t="shared" si="910"/>
        <v>18</v>
      </c>
      <c r="I3770" s="33" t="str">
        <f t="shared" si="911"/>
        <v>='C:\Users\jaime.benazar\Quorum Business Solutions\Ecopetrol Prometeo - Documents\Planning Space Implementation\3. Analysis &amp; Design\Design\FC22\DRR Jaime\QUIFA-CAJÚA\Cajua\[CAJUA_CF_SEC_New_27-Feb-2024Rev3.xlsx]D-PDP'!$CB$18</v>
      </c>
      <c r="J3770" s="37" t="s">
        <v>3893</v>
      </c>
    </row>
    <row r="3771" spans="1:10" x14ac:dyDescent="0.25">
      <c r="A3771" s="32" t="s">
        <v>1</v>
      </c>
      <c r="B3771" s="32">
        <f t="shared" si="912"/>
        <v>2030</v>
      </c>
      <c r="C3771" s="33" t="s">
        <v>109</v>
      </c>
      <c r="D3771" s="34" t="s">
        <v>1999</v>
      </c>
      <c r="E3771" s="35" t="str">
        <f t="shared" si="908"/>
        <v>PDP'!</v>
      </c>
      <c r="F3771" s="34" t="str">
        <f t="shared" si="909"/>
        <v>C:\Users\jaime.benazar\Quorum Business Solutions\Ecopetrol Prometeo - Documents\Planning Space Implementation\3. Analysis &amp; Design\Design\FC22\DRR Jaime\QUIFA-CAJÚA\Cajua\[CAJUA_CF_SEC_New_27-Feb-2024Rev3.xlsx]D-PDP'!</v>
      </c>
      <c r="G3771" s="32" t="s">
        <v>114</v>
      </c>
      <c r="H3771" s="33">
        <f t="shared" si="910"/>
        <v>19</v>
      </c>
      <c r="I3771" s="33" t="str">
        <f t="shared" si="911"/>
        <v>='C:\Users\jaime.benazar\Quorum Business Solutions\Ecopetrol Prometeo - Documents\Planning Space Implementation\3. Analysis &amp; Design\Design\FC22\DRR Jaime\QUIFA-CAJÚA\Cajua\[CAJUA_CF_SEC_New_27-Feb-2024Rev3.xlsx]D-PDP'!$CB$19</v>
      </c>
      <c r="J3771" s="37" t="s">
        <v>3894</v>
      </c>
    </row>
    <row r="3772" spans="1:10" x14ac:dyDescent="0.25">
      <c r="A3772" s="32" t="s">
        <v>1</v>
      </c>
      <c r="B3772" s="32">
        <f t="shared" si="912"/>
        <v>2031</v>
      </c>
      <c r="C3772" s="33" t="s">
        <v>109</v>
      </c>
      <c r="D3772" s="34" t="s">
        <v>1999</v>
      </c>
      <c r="E3772" s="35" t="str">
        <f t="shared" si="908"/>
        <v>PDP'!</v>
      </c>
      <c r="F3772" s="34" t="str">
        <f t="shared" si="909"/>
        <v>C:\Users\jaime.benazar\Quorum Business Solutions\Ecopetrol Prometeo - Documents\Planning Space Implementation\3. Analysis &amp; Design\Design\FC22\DRR Jaime\QUIFA-CAJÚA\Cajua\[CAJUA_CF_SEC_New_27-Feb-2024Rev3.xlsx]D-PDP'!</v>
      </c>
      <c r="G3772" s="32" t="s">
        <v>114</v>
      </c>
      <c r="H3772" s="33">
        <f t="shared" si="910"/>
        <v>20</v>
      </c>
      <c r="I3772" s="33" t="str">
        <f t="shared" si="911"/>
        <v>='C:\Users\jaime.benazar\Quorum Business Solutions\Ecopetrol Prometeo - Documents\Planning Space Implementation\3. Analysis &amp; Design\Design\FC22\DRR Jaime\QUIFA-CAJÚA\Cajua\[CAJUA_CF_SEC_New_27-Feb-2024Rev3.xlsx]D-PDP'!$CB$20</v>
      </c>
      <c r="J3772" s="37" t="s">
        <v>3895</v>
      </c>
    </row>
    <row r="3773" spans="1:10" x14ac:dyDescent="0.25">
      <c r="A3773" s="32" t="s">
        <v>1</v>
      </c>
      <c r="B3773" s="32">
        <f t="shared" si="912"/>
        <v>2032</v>
      </c>
      <c r="C3773" s="33" t="s">
        <v>109</v>
      </c>
      <c r="D3773" s="34" t="s">
        <v>1999</v>
      </c>
      <c r="E3773" s="35" t="str">
        <f t="shared" si="908"/>
        <v>PDP'!</v>
      </c>
      <c r="F3773" s="34" t="str">
        <f t="shared" si="909"/>
        <v>C:\Users\jaime.benazar\Quorum Business Solutions\Ecopetrol Prometeo - Documents\Planning Space Implementation\3. Analysis &amp; Design\Design\FC22\DRR Jaime\QUIFA-CAJÚA\Cajua\[CAJUA_CF_SEC_New_27-Feb-2024Rev3.xlsx]D-PDP'!</v>
      </c>
      <c r="G3773" s="32" t="s">
        <v>114</v>
      </c>
      <c r="H3773" s="33">
        <f t="shared" si="910"/>
        <v>21</v>
      </c>
      <c r="I3773" s="33" t="str">
        <f t="shared" si="911"/>
        <v>='C:\Users\jaime.benazar\Quorum Business Solutions\Ecopetrol Prometeo - Documents\Planning Space Implementation\3. Analysis &amp; Design\Design\FC22\DRR Jaime\QUIFA-CAJÚA\Cajua\[CAJUA_CF_SEC_New_27-Feb-2024Rev3.xlsx]D-PDP'!$CB$21</v>
      </c>
      <c r="J3773" s="37" t="s">
        <v>3896</v>
      </c>
    </row>
    <row r="3774" spans="1:10" x14ac:dyDescent="0.25">
      <c r="A3774" s="32" t="s">
        <v>1</v>
      </c>
      <c r="B3774" s="32">
        <f t="shared" si="912"/>
        <v>2033</v>
      </c>
      <c r="C3774" s="33" t="s">
        <v>109</v>
      </c>
      <c r="D3774" s="34" t="s">
        <v>1999</v>
      </c>
      <c r="E3774" s="35" t="str">
        <f t="shared" si="908"/>
        <v>PDP'!</v>
      </c>
      <c r="F3774" s="34" t="str">
        <f t="shared" si="909"/>
        <v>C:\Users\jaime.benazar\Quorum Business Solutions\Ecopetrol Prometeo - Documents\Planning Space Implementation\3. Analysis &amp; Design\Design\FC22\DRR Jaime\QUIFA-CAJÚA\Cajua\[CAJUA_CF_SEC_New_27-Feb-2024Rev3.xlsx]D-PDP'!</v>
      </c>
      <c r="G3774" s="32" t="s">
        <v>114</v>
      </c>
      <c r="H3774" s="33">
        <f t="shared" si="910"/>
        <v>22</v>
      </c>
      <c r="I3774" s="33" t="str">
        <f t="shared" si="911"/>
        <v>='C:\Users\jaime.benazar\Quorum Business Solutions\Ecopetrol Prometeo - Documents\Planning Space Implementation\3. Analysis &amp; Design\Design\FC22\DRR Jaime\QUIFA-CAJÚA\Cajua\[CAJUA_CF_SEC_New_27-Feb-2024Rev3.xlsx]D-PDP'!$CB$22</v>
      </c>
      <c r="J3774" s="37" t="s">
        <v>3897</v>
      </c>
    </row>
    <row r="3775" spans="1:10" x14ac:dyDescent="0.25">
      <c r="A3775" s="32" t="s">
        <v>1</v>
      </c>
      <c r="B3775" s="32">
        <f t="shared" si="912"/>
        <v>2034</v>
      </c>
      <c r="C3775" s="33" t="s">
        <v>109</v>
      </c>
      <c r="D3775" s="34" t="s">
        <v>1999</v>
      </c>
      <c r="E3775" s="35" t="str">
        <f t="shared" si="908"/>
        <v>PDP'!</v>
      </c>
      <c r="F3775" s="34" t="str">
        <f t="shared" si="909"/>
        <v>C:\Users\jaime.benazar\Quorum Business Solutions\Ecopetrol Prometeo - Documents\Planning Space Implementation\3. Analysis &amp; Design\Design\FC22\DRR Jaime\QUIFA-CAJÚA\Cajua\[CAJUA_CF_SEC_New_27-Feb-2024Rev3.xlsx]D-PDP'!</v>
      </c>
      <c r="G3775" s="32" t="s">
        <v>114</v>
      </c>
      <c r="H3775" s="33">
        <f t="shared" si="910"/>
        <v>23</v>
      </c>
      <c r="I3775" s="33" t="str">
        <f t="shared" si="911"/>
        <v>='C:\Users\jaime.benazar\Quorum Business Solutions\Ecopetrol Prometeo - Documents\Planning Space Implementation\3. Analysis &amp; Design\Design\FC22\DRR Jaime\QUIFA-CAJÚA\Cajua\[CAJUA_CF_SEC_New_27-Feb-2024Rev3.xlsx]D-PDP'!$CB$23</v>
      </c>
      <c r="J3775" s="37" t="s">
        <v>3898</v>
      </c>
    </row>
    <row r="3776" spans="1:10" x14ac:dyDescent="0.25">
      <c r="A3776" s="32" t="s">
        <v>1</v>
      </c>
      <c r="B3776" s="32">
        <f t="shared" si="912"/>
        <v>2035</v>
      </c>
      <c r="C3776" s="33" t="s">
        <v>109</v>
      </c>
      <c r="D3776" s="34" t="s">
        <v>1999</v>
      </c>
      <c r="E3776" s="35" t="str">
        <f t="shared" si="908"/>
        <v>PDP'!</v>
      </c>
      <c r="F3776" s="34" t="str">
        <f t="shared" si="909"/>
        <v>C:\Users\jaime.benazar\Quorum Business Solutions\Ecopetrol Prometeo - Documents\Planning Space Implementation\3. Analysis &amp; Design\Design\FC22\DRR Jaime\QUIFA-CAJÚA\Cajua\[CAJUA_CF_SEC_New_27-Feb-2024Rev3.xlsx]D-PDP'!</v>
      </c>
      <c r="G3776" s="32" t="s">
        <v>114</v>
      </c>
      <c r="H3776" s="33">
        <f t="shared" si="910"/>
        <v>24</v>
      </c>
      <c r="I3776" s="33" t="str">
        <f t="shared" si="911"/>
        <v>='C:\Users\jaime.benazar\Quorum Business Solutions\Ecopetrol Prometeo - Documents\Planning Space Implementation\3. Analysis &amp; Design\Design\FC22\DRR Jaime\QUIFA-CAJÚA\Cajua\[CAJUA_CF_SEC_New_27-Feb-2024Rev3.xlsx]D-PDP'!$CB$24</v>
      </c>
      <c r="J3776" s="37" t="s">
        <v>3899</v>
      </c>
    </row>
    <row r="3777" spans="1:10" x14ac:dyDescent="0.25">
      <c r="A3777" s="32" t="s">
        <v>1</v>
      </c>
      <c r="B3777" s="32">
        <f t="shared" si="912"/>
        <v>2036</v>
      </c>
      <c r="C3777" s="33" t="s">
        <v>109</v>
      </c>
      <c r="D3777" s="34" t="s">
        <v>1999</v>
      </c>
      <c r="E3777" s="35" t="str">
        <f t="shared" si="908"/>
        <v>PDP'!</v>
      </c>
      <c r="F3777" s="34" t="str">
        <f t="shared" si="909"/>
        <v>C:\Users\jaime.benazar\Quorum Business Solutions\Ecopetrol Prometeo - Documents\Planning Space Implementation\3. Analysis &amp; Design\Design\FC22\DRR Jaime\QUIFA-CAJÚA\Cajua\[CAJUA_CF_SEC_New_27-Feb-2024Rev3.xlsx]D-PDP'!</v>
      </c>
      <c r="G3777" s="32" t="s">
        <v>114</v>
      </c>
      <c r="H3777" s="33">
        <f t="shared" si="910"/>
        <v>25</v>
      </c>
      <c r="I3777" s="33" t="str">
        <f t="shared" si="911"/>
        <v>='C:\Users\jaime.benazar\Quorum Business Solutions\Ecopetrol Prometeo - Documents\Planning Space Implementation\3. Analysis &amp; Design\Design\FC22\DRR Jaime\QUIFA-CAJÚA\Cajua\[CAJUA_CF_SEC_New_27-Feb-2024Rev3.xlsx]D-PDP'!$CB$25</v>
      </c>
      <c r="J3777" s="37" t="s">
        <v>3900</v>
      </c>
    </row>
    <row r="3778" spans="1:10" x14ac:dyDescent="0.25">
      <c r="A3778" s="32" t="s">
        <v>1</v>
      </c>
      <c r="B3778" s="32">
        <f>+B3777+1</f>
        <v>2037</v>
      </c>
      <c r="C3778" s="33" t="s">
        <v>109</v>
      </c>
      <c r="D3778" s="34" t="s">
        <v>1999</v>
      </c>
      <c r="E3778" s="35" t="str">
        <f t="shared" si="908"/>
        <v>PDP'!</v>
      </c>
      <c r="F3778" s="34" t="str">
        <f t="shared" si="909"/>
        <v>C:\Users\jaime.benazar\Quorum Business Solutions\Ecopetrol Prometeo - Documents\Planning Space Implementation\3. Analysis &amp; Design\Design\FC22\DRR Jaime\QUIFA-CAJÚA\Cajua\[CAJUA_CF_SEC_New_27-Feb-2024Rev3.xlsx]D-PDP'!</v>
      </c>
      <c r="G3778" s="32" t="s">
        <v>114</v>
      </c>
      <c r="H3778" s="33">
        <f t="shared" si="910"/>
        <v>26</v>
      </c>
      <c r="I3778" s="33" t="str">
        <f t="shared" si="911"/>
        <v>='C:\Users\jaime.benazar\Quorum Business Solutions\Ecopetrol Prometeo - Documents\Planning Space Implementation\3. Analysis &amp; Design\Design\FC22\DRR Jaime\QUIFA-CAJÚA\Cajua\[CAJUA_CF_SEC_New_27-Feb-2024Rev3.xlsx]D-PDP'!$CB$26</v>
      </c>
      <c r="J3778" s="37" t="s">
        <v>3901</v>
      </c>
    </row>
    <row r="3779" spans="1:10" x14ac:dyDescent="0.25">
      <c r="A3779" s="32" t="s">
        <v>1</v>
      </c>
      <c r="B3779" s="32">
        <f t="shared" si="912"/>
        <v>2038</v>
      </c>
      <c r="C3779" s="33" t="s">
        <v>109</v>
      </c>
      <c r="D3779" s="34" t="s">
        <v>1999</v>
      </c>
      <c r="E3779" s="35" t="str">
        <f t="shared" si="908"/>
        <v>PDP'!</v>
      </c>
      <c r="F3779" s="34" t="str">
        <f t="shared" si="909"/>
        <v>C:\Users\jaime.benazar\Quorum Business Solutions\Ecopetrol Prometeo - Documents\Planning Space Implementation\3. Analysis &amp; Design\Design\FC22\DRR Jaime\QUIFA-CAJÚA\Cajua\[CAJUA_CF_SEC_New_27-Feb-2024Rev3.xlsx]D-PDP'!</v>
      </c>
      <c r="G3779" s="32" t="s">
        <v>114</v>
      </c>
      <c r="H3779" s="33">
        <f t="shared" si="910"/>
        <v>27</v>
      </c>
      <c r="I3779" s="33" t="str">
        <f t="shared" si="911"/>
        <v>='C:\Users\jaime.benazar\Quorum Business Solutions\Ecopetrol Prometeo - Documents\Planning Space Implementation\3. Analysis &amp; Design\Design\FC22\DRR Jaime\QUIFA-CAJÚA\Cajua\[CAJUA_CF_SEC_New_27-Feb-2024Rev3.xlsx]D-PDP'!$CB$27</v>
      </c>
      <c r="J3779" s="37" t="s">
        <v>3902</v>
      </c>
    </row>
    <row r="3780" spans="1:10" x14ac:dyDescent="0.25">
      <c r="A3780" s="32" t="s">
        <v>1</v>
      </c>
      <c r="B3780" s="32">
        <f t="shared" si="912"/>
        <v>2039</v>
      </c>
      <c r="C3780" s="33" t="s">
        <v>109</v>
      </c>
      <c r="D3780" s="34" t="s">
        <v>1999</v>
      </c>
      <c r="E3780" s="35" t="str">
        <f t="shared" si="908"/>
        <v>PDP'!</v>
      </c>
      <c r="F3780" s="34" t="str">
        <f t="shared" si="909"/>
        <v>C:\Users\jaime.benazar\Quorum Business Solutions\Ecopetrol Prometeo - Documents\Planning Space Implementation\3. Analysis &amp; Design\Design\FC22\DRR Jaime\QUIFA-CAJÚA\Cajua\[CAJUA_CF_SEC_New_27-Feb-2024Rev3.xlsx]D-PDP'!</v>
      </c>
      <c r="G3780" s="32" t="s">
        <v>114</v>
      </c>
      <c r="H3780" s="33">
        <f t="shared" si="910"/>
        <v>28</v>
      </c>
      <c r="I3780" s="33" t="str">
        <f t="shared" si="911"/>
        <v>='C:\Users\jaime.benazar\Quorum Business Solutions\Ecopetrol Prometeo - Documents\Planning Space Implementation\3. Analysis &amp; Design\Design\FC22\DRR Jaime\QUIFA-CAJÚA\Cajua\[CAJUA_CF_SEC_New_27-Feb-2024Rev3.xlsx]D-PDP'!$CB$28</v>
      </c>
      <c r="J3780" s="37" t="s">
        <v>3903</v>
      </c>
    </row>
    <row r="3781" spans="1:10" x14ac:dyDescent="0.25">
      <c r="A3781" s="32" t="s">
        <v>1</v>
      </c>
      <c r="B3781" s="32">
        <f t="shared" si="912"/>
        <v>2040</v>
      </c>
      <c r="C3781" s="33" t="s">
        <v>109</v>
      </c>
      <c r="D3781" s="34" t="s">
        <v>1999</v>
      </c>
      <c r="E3781" s="35" t="str">
        <f t="shared" si="908"/>
        <v>PDP'!</v>
      </c>
      <c r="F3781" s="34" t="str">
        <f t="shared" si="909"/>
        <v>C:\Users\jaime.benazar\Quorum Business Solutions\Ecopetrol Prometeo - Documents\Planning Space Implementation\3. Analysis &amp; Design\Design\FC22\DRR Jaime\QUIFA-CAJÚA\Cajua\[CAJUA_CF_SEC_New_27-Feb-2024Rev3.xlsx]D-PDP'!</v>
      </c>
      <c r="G3781" s="32" t="s">
        <v>114</v>
      </c>
      <c r="H3781" s="33">
        <f t="shared" si="910"/>
        <v>29</v>
      </c>
      <c r="I3781" s="33" t="str">
        <f t="shared" si="911"/>
        <v>='C:\Users\jaime.benazar\Quorum Business Solutions\Ecopetrol Prometeo - Documents\Planning Space Implementation\3. Analysis &amp; Design\Design\FC22\DRR Jaime\QUIFA-CAJÚA\Cajua\[CAJUA_CF_SEC_New_27-Feb-2024Rev3.xlsx]D-PDP'!$CB$29</v>
      </c>
      <c r="J3781" s="37" t="s">
        <v>3904</v>
      </c>
    </row>
    <row r="3782" spans="1:10" x14ac:dyDescent="0.25">
      <c r="A3782" s="32" t="s">
        <v>1</v>
      </c>
      <c r="B3782" s="32">
        <f>+B3781+1</f>
        <v>2041</v>
      </c>
      <c r="C3782" s="33" t="s">
        <v>109</v>
      </c>
      <c r="D3782" s="34" t="s">
        <v>1999</v>
      </c>
      <c r="E3782" s="35" t="str">
        <f t="shared" si="908"/>
        <v>PDP'!</v>
      </c>
      <c r="F3782" s="34" t="str">
        <f t="shared" si="909"/>
        <v>C:\Users\jaime.benazar\Quorum Business Solutions\Ecopetrol Prometeo - Documents\Planning Space Implementation\3. Analysis &amp; Design\Design\FC22\DRR Jaime\QUIFA-CAJÚA\Cajua\[CAJUA_CF_SEC_New_27-Feb-2024Rev3.xlsx]D-PDP'!</v>
      </c>
      <c r="G3782" s="32" t="s">
        <v>114</v>
      </c>
      <c r="H3782" s="33">
        <f t="shared" si="910"/>
        <v>30</v>
      </c>
      <c r="I3782" s="33" t="str">
        <f t="shared" si="911"/>
        <v>='C:\Users\jaime.benazar\Quorum Business Solutions\Ecopetrol Prometeo - Documents\Planning Space Implementation\3. Analysis &amp; Design\Design\FC22\DRR Jaime\QUIFA-CAJÚA\Cajua\[CAJUA_CF_SEC_New_27-Feb-2024Rev3.xlsx]D-PDP'!$CB$30</v>
      </c>
      <c r="J3782" s="37" t="s">
        <v>3905</v>
      </c>
    </row>
    <row r="3783" spans="1:10" x14ac:dyDescent="0.25">
      <c r="A3783" s="32" t="s">
        <v>1</v>
      </c>
      <c r="B3783" s="32">
        <f t="shared" si="912"/>
        <v>2042</v>
      </c>
      <c r="C3783" s="33" t="s">
        <v>109</v>
      </c>
      <c r="D3783" s="34" t="s">
        <v>1999</v>
      </c>
      <c r="E3783" s="35" t="str">
        <f t="shared" si="908"/>
        <v>PDP'!</v>
      </c>
      <c r="F3783" s="34" t="str">
        <f t="shared" si="909"/>
        <v>C:\Users\jaime.benazar\Quorum Business Solutions\Ecopetrol Prometeo - Documents\Planning Space Implementation\3. Analysis &amp; Design\Design\FC22\DRR Jaime\QUIFA-CAJÚA\Cajua\[CAJUA_CF_SEC_New_27-Feb-2024Rev3.xlsx]D-PDP'!</v>
      </c>
      <c r="G3783" s="32" t="s">
        <v>114</v>
      </c>
      <c r="H3783" s="33">
        <f t="shared" si="910"/>
        <v>31</v>
      </c>
      <c r="I3783" s="33" t="str">
        <f t="shared" si="911"/>
        <v>='C:\Users\jaime.benazar\Quorum Business Solutions\Ecopetrol Prometeo - Documents\Planning Space Implementation\3. Analysis &amp; Design\Design\FC22\DRR Jaime\QUIFA-CAJÚA\Cajua\[CAJUA_CF_SEC_New_27-Feb-2024Rev3.xlsx]D-PDP'!$CB$31</v>
      </c>
      <c r="J3783" s="37" t="s">
        <v>3906</v>
      </c>
    </row>
    <row r="3784" spans="1:10" x14ac:dyDescent="0.25">
      <c r="A3784" s="32" t="s">
        <v>1</v>
      </c>
      <c r="B3784" s="32">
        <f t="shared" si="912"/>
        <v>2043</v>
      </c>
      <c r="C3784" s="33" t="s">
        <v>109</v>
      </c>
      <c r="D3784" s="34" t="s">
        <v>1999</v>
      </c>
      <c r="E3784" s="35" t="str">
        <f t="shared" si="908"/>
        <v>PDP'!</v>
      </c>
      <c r="F3784" s="34" t="str">
        <f t="shared" si="909"/>
        <v>C:\Users\jaime.benazar\Quorum Business Solutions\Ecopetrol Prometeo - Documents\Planning Space Implementation\3. Analysis &amp; Design\Design\FC22\DRR Jaime\QUIFA-CAJÚA\Cajua\[CAJUA_CF_SEC_New_27-Feb-2024Rev3.xlsx]D-PDP'!</v>
      </c>
      <c r="G3784" s="32" t="s">
        <v>114</v>
      </c>
      <c r="H3784" s="33">
        <f t="shared" si="910"/>
        <v>32</v>
      </c>
      <c r="I3784" s="33" t="str">
        <f t="shared" si="911"/>
        <v>='C:\Users\jaime.benazar\Quorum Business Solutions\Ecopetrol Prometeo - Documents\Planning Space Implementation\3. Analysis &amp; Design\Design\FC22\DRR Jaime\QUIFA-CAJÚA\Cajua\[CAJUA_CF_SEC_New_27-Feb-2024Rev3.xlsx]D-PDP'!$CB$32</v>
      </c>
      <c r="J3784" s="37" t="s">
        <v>3907</v>
      </c>
    </row>
    <row r="3785" spans="1:10" x14ac:dyDescent="0.25">
      <c r="A3785" s="32" t="s">
        <v>1</v>
      </c>
      <c r="B3785" s="32">
        <f>+B3784+1</f>
        <v>2044</v>
      </c>
      <c r="C3785" s="33" t="s">
        <v>109</v>
      </c>
      <c r="D3785" s="34" t="s">
        <v>1999</v>
      </c>
      <c r="E3785" s="35" t="str">
        <f t="shared" ref="E3785:E3800" si="913">_xlfn.CONCAT(A3785,"'!")</f>
        <v>PDP'!</v>
      </c>
      <c r="F3785" s="34" t="str">
        <f t="shared" ref="F3785:F3800" si="914">_xlfn.CONCAT(D3785:E3785)</f>
        <v>C:\Users\jaime.benazar\Quorum Business Solutions\Ecopetrol Prometeo - Documents\Planning Space Implementation\3. Analysis &amp; Design\Design\FC22\DRR Jaime\QUIFA-CAJÚA\Cajua\[CAJUA_CF_SEC_New_27-Feb-2024Rev3.xlsx]D-PDP'!</v>
      </c>
      <c r="G3785" s="32" t="s">
        <v>114</v>
      </c>
      <c r="H3785" s="33">
        <f t="shared" ref="H3785:H3800" si="915">IF(A3785&lt;&gt;A3784,12,H3784+1)</f>
        <v>33</v>
      </c>
      <c r="I3785" s="33" t="str">
        <f t="shared" ref="I3785:I3800" si="916">_xlfn.CONCAT("='",F3785:H3785)</f>
        <v>='C:\Users\jaime.benazar\Quorum Business Solutions\Ecopetrol Prometeo - Documents\Planning Space Implementation\3. Analysis &amp; Design\Design\FC22\DRR Jaime\QUIFA-CAJÚA\Cajua\[CAJUA_CF_SEC_New_27-Feb-2024Rev3.xlsx]D-PDP'!$CB$33</v>
      </c>
      <c r="J3785" s="37" t="s">
        <v>3908</v>
      </c>
    </row>
    <row r="3786" spans="1:10" x14ac:dyDescent="0.25">
      <c r="A3786" s="32" t="s">
        <v>1</v>
      </c>
      <c r="B3786" s="32">
        <f t="shared" si="912"/>
        <v>2045</v>
      </c>
      <c r="C3786" s="33" t="s">
        <v>109</v>
      </c>
      <c r="D3786" s="34" t="s">
        <v>1999</v>
      </c>
      <c r="E3786" s="35" t="str">
        <f t="shared" si="913"/>
        <v>PDP'!</v>
      </c>
      <c r="F3786" s="34" t="str">
        <f t="shared" si="914"/>
        <v>C:\Users\jaime.benazar\Quorum Business Solutions\Ecopetrol Prometeo - Documents\Planning Space Implementation\3. Analysis &amp; Design\Design\FC22\DRR Jaime\QUIFA-CAJÚA\Cajua\[CAJUA_CF_SEC_New_27-Feb-2024Rev3.xlsx]D-PDP'!</v>
      </c>
      <c r="G3786" s="32" t="s">
        <v>114</v>
      </c>
      <c r="H3786" s="33">
        <f t="shared" si="915"/>
        <v>34</v>
      </c>
      <c r="I3786" s="33" t="str">
        <f t="shared" si="916"/>
        <v>='C:\Users\jaime.benazar\Quorum Business Solutions\Ecopetrol Prometeo - Documents\Planning Space Implementation\3. Analysis &amp; Design\Design\FC22\DRR Jaime\QUIFA-CAJÚA\Cajua\[CAJUA_CF_SEC_New_27-Feb-2024Rev3.xlsx]D-PDP'!$CB$34</v>
      </c>
      <c r="J3786" s="37" t="s">
        <v>3909</v>
      </c>
    </row>
    <row r="3787" spans="1:10" x14ac:dyDescent="0.25">
      <c r="A3787" s="32" t="s">
        <v>1</v>
      </c>
      <c r="B3787" s="32">
        <f t="shared" si="912"/>
        <v>2046</v>
      </c>
      <c r="C3787" s="33" t="s">
        <v>109</v>
      </c>
      <c r="D3787" s="34" t="s">
        <v>1999</v>
      </c>
      <c r="E3787" s="35" t="str">
        <f t="shared" si="913"/>
        <v>PDP'!</v>
      </c>
      <c r="F3787" s="34" t="str">
        <f t="shared" si="914"/>
        <v>C:\Users\jaime.benazar\Quorum Business Solutions\Ecopetrol Prometeo - Documents\Planning Space Implementation\3. Analysis &amp; Design\Design\FC22\DRR Jaime\QUIFA-CAJÚA\Cajua\[CAJUA_CF_SEC_New_27-Feb-2024Rev3.xlsx]D-PDP'!</v>
      </c>
      <c r="G3787" s="32" t="s">
        <v>114</v>
      </c>
      <c r="H3787" s="33">
        <f t="shared" si="915"/>
        <v>35</v>
      </c>
      <c r="I3787" s="33" t="str">
        <f t="shared" si="916"/>
        <v>='C:\Users\jaime.benazar\Quorum Business Solutions\Ecopetrol Prometeo - Documents\Planning Space Implementation\3. Analysis &amp; Design\Design\FC22\DRR Jaime\QUIFA-CAJÚA\Cajua\[CAJUA_CF_SEC_New_27-Feb-2024Rev3.xlsx]D-PDP'!$CB$35</v>
      </c>
      <c r="J3787" s="37" t="s">
        <v>3910</v>
      </c>
    </row>
    <row r="3788" spans="1:10" x14ac:dyDescent="0.25">
      <c r="A3788" s="32" t="s">
        <v>1</v>
      </c>
      <c r="B3788" s="32">
        <f t="shared" si="912"/>
        <v>2047</v>
      </c>
      <c r="C3788" s="33" t="s">
        <v>109</v>
      </c>
      <c r="D3788" s="34" t="s">
        <v>1999</v>
      </c>
      <c r="E3788" s="35" t="str">
        <f t="shared" si="913"/>
        <v>PDP'!</v>
      </c>
      <c r="F3788" s="34" t="str">
        <f t="shared" si="914"/>
        <v>C:\Users\jaime.benazar\Quorum Business Solutions\Ecopetrol Prometeo - Documents\Planning Space Implementation\3. Analysis &amp; Design\Design\FC22\DRR Jaime\QUIFA-CAJÚA\Cajua\[CAJUA_CF_SEC_New_27-Feb-2024Rev3.xlsx]D-PDP'!</v>
      </c>
      <c r="G3788" s="32" t="s">
        <v>114</v>
      </c>
      <c r="H3788" s="33">
        <f t="shared" si="915"/>
        <v>36</v>
      </c>
      <c r="I3788" s="33" t="str">
        <f t="shared" si="916"/>
        <v>='C:\Users\jaime.benazar\Quorum Business Solutions\Ecopetrol Prometeo - Documents\Planning Space Implementation\3. Analysis &amp; Design\Design\FC22\DRR Jaime\QUIFA-CAJÚA\Cajua\[CAJUA_CF_SEC_New_27-Feb-2024Rev3.xlsx]D-PDP'!$CB$36</v>
      </c>
      <c r="J3788" s="37" t="s">
        <v>3911</v>
      </c>
    </row>
    <row r="3789" spans="1:10" x14ac:dyDescent="0.25">
      <c r="A3789" s="32" t="s">
        <v>1</v>
      </c>
      <c r="B3789" s="32">
        <f t="shared" si="912"/>
        <v>2048</v>
      </c>
      <c r="C3789" s="33" t="s">
        <v>109</v>
      </c>
      <c r="D3789" s="34" t="s">
        <v>1999</v>
      </c>
      <c r="E3789" s="35" t="str">
        <f t="shared" si="913"/>
        <v>PDP'!</v>
      </c>
      <c r="F3789" s="34" t="str">
        <f t="shared" si="914"/>
        <v>C:\Users\jaime.benazar\Quorum Business Solutions\Ecopetrol Prometeo - Documents\Planning Space Implementation\3. Analysis &amp; Design\Design\FC22\DRR Jaime\QUIFA-CAJÚA\Cajua\[CAJUA_CF_SEC_New_27-Feb-2024Rev3.xlsx]D-PDP'!</v>
      </c>
      <c r="G3789" s="32" t="s">
        <v>114</v>
      </c>
      <c r="H3789" s="33">
        <f t="shared" si="915"/>
        <v>37</v>
      </c>
      <c r="I3789" s="33" t="str">
        <f t="shared" si="916"/>
        <v>='C:\Users\jaime.benazar\Quorum Business Solutions\Ecopetrol Prometeo - Documents\Planning Space Implementation\3. Analysis &amp; Design\Design\FC22\DRR Jaime\QUIFA-CAJÚA\Cajua\[CAJUA_CF_SEC_New_27-Feb-2024Rev3.xlsx]D-PDP'!$CB$37</v>
      </c>
      <c r="J3789" s="37" t="s">
        <v>3912</v>
      </c>
    </row>
    <row r="3790" spans="1:10" x14ac:dyDescent="0.25">
      <c r="A3790" s="32" t="s">
        <v>1</v>
      </c>
      <c r="B3790" s="32">
        <f t="shared" si="912"/>
        <v>2049</v>
      </c>
      <c r="C3790" s="33" t="s">
        <v>109</v>
      </c>
      <c r="D3790" s="34" t="s">
        <v>1999</v>
      </c>
      <c r="E3790" s="35" t="str">
        <f t="shared" si="913"/>
        <v>PDP'!</v>
      </c>
      <c r="F3790" s="34" t="str">
        <f t="shared" si="914"/>
        <v>C:\Users\jaime.benazar\Quorum Business Solutions\Ecopetrol Prometeo - Documents\Planning Space Implementation\3. Analysis &amp; Design\Design\FC22\DRR Jaime\QUIFA-CAJÚA\Cajua\[CAJUA_CF_SEC_New_27-Feb-2024Rev3.xlsx]D-PDP'!</v>
      </c>
      <c r="G3790" s="32" t="s">
        <v>114</v>
      </c>
      <c r="H3790" s="33">
        <f t="shared" si="915"/>
        <v>38</v>
      </c>
      <c r="I3790" s="33" t="str">
        <f t="shared" si="916"/>
        <v>='C:\Users\jaime.benazar\Quorum Business Solutions\Ecopetrol Prometeo - Documents\Planning Space Implementation\3. Analysis &amp; Design\Design\FC22\DRR Jaime\QUIFA-CAJÚA\Cajua\[CAJUA_CF_SEC_New_27-Feb-2024Rev3.xlsx]D-PDP'!$CB$38</v>
      </c>
      <c r="J3790" s="37" t="s">
        <v>3913</v>
      </c>
    </row>
    <row r="3791" spans="1:10" x14ac:dyDescent="0.25">
      <c r="A3791" s="32" t="s">
        <v>1</v>
      </c>
      <c r="B3791" s="32">
        <f t="shared" si="912"/>
        <v>2050</v>
      </c>
      <c r="C3791" s="33" t="s">
        <v>109</v>
      </c>
      <c r="D3791" s="34" t="s">
        <v>1999</v>
      </c>
      <c r="E3791" s="35" t="str">
        <f t="shared" si="913"/>
        <v>PDP'!</v>
      </c>
      <c r="F3791" s="34" t="str">
        <f t="shared" si="914"/>
        <v>C:\Users\jaime.benazar\Quorum Business Solutions\Ecopetrol Prometeo - Documents\Planning Space Implementation\3. Analysis &amp; Design\Design\FC22\DRR Jaime\QUIFA-CAJÚA\Cajua\[CAJUA_CF_SEC_New_27-Feb-2024Rev3.xlsx]D-PDP'!</v>
      </c>
      <c r="G3791" s="32" t="s">
        <v>114</v>
      </c>
      <c r="H3791" s="33">
        <f t="shared" si="915"/>
        <v>39</v>
      </c>
      <c r="I3791" s="33" t="str">
        <f t="shared" si="916"/>
        <v>='C:\Users\jaime.benazar\Quorum Business Solutions\Ecopetrol Prometeo - Documents\Planning Space Implementation\3. Analysis &amp; Design\Design\FC22\DRR Jaime\QUIFA-CAJÚA\Cajua\[CAJUA_CF_SEC_New_27-Feb-2024Rev3.xlsx]D-PDP'!$CB$39</v>
      </c>
      <c r="J3791" s="37" t="s">
        <v>3914</v>
      </c>
    </row>
    <row r="3792" spans="1:10" x14ac:dyDescent="0.25">
      <c r="A3792" s="32" t="s">
        <v>1</v>
      </c>
      <c r="B3792" s="32">
        <f t="shared" si="912"/>
        <v>2051</v>
      </c>
      <c r="C3792" s="33" t="s">
        <v>109</v>
      </c>
      <c r="D3792" s="34" t="s">
        <v>1999</v>
      </c>
      <c r="E3792" s="35" t="str">
        <f t="shared" si="913"/>
        <v>PDP'!</v>
      </c>
      <c r="F3792" s="34" t="str">
        <f t="shared" si="914"/>
        <v>C:\Users\jaime.benazar\Quorum Business Solutions\Ecopetrol Prometeo - Documents\Planning Space Implementation\3. Analysis &amp; Design\Design\FC22\DRR Jaime\QUIFA-CAJÚA\Cajua\[CAJUA_CF_SEC_New_27-Feb-2024Rev3.xlsx]D-PDP'!</v>
      </c>
      <c r="G3792" s="32" t="s">
        <v>114</v>
      </c>
      <c r="H3792" s="33">
        <f t="shared" si="915"/>
        <v>40</v>
      </c>
      <c r="I3792" s="33" t="str">
        <f t="shared" si="916"/>
        <v>='C:\Users\jaime.benazar\Quorum Business Solutions\Ecopetrol Prometeo - Documents\Planning Space Implementation\3. Analysis &amp; Design\Design\FC22\DRR Jaime\QUIFA-CAJÚA\Cajua\[CAJUA_CF_SEC_New_27-Feb-2024Rev3.xlsx]D-PDP'!$CB$40</v>
      </c>
      <c r="J3792" s="37" t="s">
        <v>3915</v>
      </c>
    </row>
    <row r="3793" spans="1:10" x14ac:dyDescent="0.25">
      <c r="A3793" s="32" t="s">
        <v>1</v>
      </c>
      <c r="B3793" s="32">
        <f t="shared" si="912"/>
        <v>2052</v>
      </c>
      <c r="C3793" s="33" t="s">
        <v>109</v>
      </c>
      <c r="D3793" s="34" t="s">
        <v>1999</v>
      </c>
      <c r="E3793" s="35" t="str">
        <f t="shared" si="913"/>
        <v>PDP'!</v>
      </c>
      <c r="F3793" s="34" t="str">
        <f t="shared" si="914"/>
        <v>C:\Users\jaime.benazar\Quorum Business Solutions\Ecopetrol Prometeo - Documents\Planning Space Implementation\3. Analysis &amp; Design\Design\FC22\DRR Jaime\QUIFA-CAJÚA\Cajua\[CAJUA_CF_SEC_New_27-Feb-2024Rev3.xlsx]D-PDP'!</v>
      </c>
      <c r="G3793" s="32" t="s">
        <v>114</v>
      </c>
      <c r="H3793" s="33">
        <f t="shared" si="915"/>
        <v>41</v>
      </c>
      <c r="I3793" s="33" t="str">
        <f t="shared" si="916"/>
        <v>='C:\Users\jaime.benazar\Quorum Business Solutions\Ecopetrol Prometeo - Documents\Planning Space Implementation\3. Analysis &amp; Design\Design\FC22\DRR Jaime\QUIFA-CAJÚA\Cajua\[CAJUA_CF_SEC_New_27-Feb-2024Rev3.xlsx]D-PDP'!$CB$41</v>
      </c>
      <c r="J3793" s="37" t="s">
        <v>3916</v>
      </c>
    </row>
    <row r="3794" spans="1:10" x14ac:dyDescent="0.25">
      <c r="A3794" s="32" t="s">
        <v>1</v>
      </c>
      <c r="B3794" s="32">
        <f t="shared" si="912"/>
        <v>2053</v>
      </c>
      <c r="C3794" s="33" t="s">
        <v>109</v>
      </c>
      <c r="D3794" s="34" t="s">
        <v>1999</v>
      </c>
      <c r="E3794" s="35" t="str">
        <f t="shared" si="913"/>
        <v>PDP'!</v>
      </c>
      <c r="F3794" s="34" t="str">
        <f t="shared" si="914"/>
        <v>C:\Users\jaime.benazar\Quorum Business Solutions\Ecopetrol Prometeo - Documents\Planning Space Implementation\3. Analysis &amp; Design\Design\FC22\DRR Jaime\QUIFA-CAJÚA\Cajua\[CAJUA_CF_SEC_New_27-Feb-2024Rev3.xlsx]D-PDP'!</v>
      </c>
      <c r="G3794" s="32" t="s">
        <v>114</v>
      </c>
      <c r="H3794" s="33">
        <f t="shared" si="915"/>
        <v>42</v>
      </c>
      <c r="I3794" s="33" t="str">
        <f t="shared" si="916"/>
        <v>='C:\Users\jaime.benazar\Quorum Business Solutions\Ecopetrol Prometeo - Documents\Planning Space Implementation\3. Analysis &amp; Design\Design\FC22\DRR Jaime\QUIFA-CAJÚA\Cajua\[CAJUA_CF_SEC_New_27-Feb-2024Rev3.xlsx]D-PDP'!$CB$42</v>
      </c>
      <c r="J3794" s="37" t="s">
        <v>3917</v>
      </c>
    </row>
    <row r="3795" spans="1:10" x14ac:dyDescent="0.25">
      <c r="A3795" s="32" t="s">
        <v>1</v>
      </c>
      <c r="B3795" s="32">
        <f t="shared" si="912"/>
        <v>2054</v>
      </c>
      <c r="C3795" s="33" t="s">
        <v>109</v>
      </c>
      <c r="D3795" s="34" t="s">
        <v>1999</v>
      </c>
      <c r="E3795" s="35" t="str">
        <f t="shared" si="913"/>
        <v>PDP'!</v>
      </c>
      <c r="F3795" s="34" t="str">
        <f t="shared" si="914"/>
        <v>C:\Users\jaime.benazar\Quorum Business Solutions\Ecopetrol Prometeo - Documents\Planning Space Implementation\3. Analysis &amp; Design\Design\FC22\DRR Jaime\QUIFA-CAJÚA\Cajua\[CAJUA_CF_SEC_New_27-Feb-2024Rev3.xlsx]D-PDP'!</v>
      </c>
      <c r="G3795" s="32" t="s">
        <v>114</v>
      </c>
      <c r="H3795" s="33">
        <f t="shared" si="915"/>
        <v>43</v>
      </c>
      <c r="I3795" s="33" t="str">
        <f t="shared" si="916"/>
        <v>='C:\Users\jaime.benazar\Quorum Business Solutions\Ecopetrol Prometeo - Documents\Planning Space Implementation\3. Analysis &amp; Design\Design\FC22\DRR Jaime\QUIFA-CAJÚA\Cajua\[CAJUA_CF_SEC_New_27-Feb-2024Rev3.xlsx]D-PDP'!$CB$43</v>
      </c>
      <c r="J3795" s="37" t="s">
        <v>3918</v>
      </c>
    </row>
    <row r="3796" spans="1:10" x14ac:dyDescent="0.25">
      <c r="A3796" s="32" t="s">
        <v>1</v>
      </c>
      <c r="B3796" s="32">
        <f t="shared" si="912"/>
        <v>2055</v>
      </c>
      <c r="C3796" s="33" t="s">
        <v>109</v>
      </c>
      <c r="D3796" s="34" t="s">
        <v>1999</v>
      </c>
      <c r="E3796" s="35" t="str">
        <f t="shared" si="913"/>
        <v>PDP'!</v>
      </c>
      <c r="F3796" s="34" t="str">
        <f t="shared" si="914"/>
        <v>C:\Users\jaime.benazar\Quorum Business Solutions\Ecopetrol Prometeo - Documents\Planning Space Implementation\3. Analysis &amp; Design\Design\FC22\DRR Jaime\QUIFA-CAJÚA\Cajua\[CAJUA_CF_SEC_New_27-Feb-2024Rev3.xlsx]D-PDP'!</v>
      </c>
      <c r="G3796" s="32" t="s">
        <v>114</v>
      </c>
      <c r="H3796" s="33">
        <f t="shared" si="915"/>
        <v>44</v>
      </c>
      <c r="I3796" s="33" t="str">
        <f t="shared" si="916"/>
        <v>='C:\Users\jaime.benazar\Quorum Business Solutions\Ecopetrol Prometeo - Documents\Planning Space Implementation\3. Analysis &amp; Design\Design\FC22\DRR Jaime\QUIFA-CAJÚA\Cajua\[CAJUA_CF_SEC_New_27-Feb-2024Rev3.xlsx]D-PDP'!$CB$44</v>
      </c>
      <c r="J3796" s="37" t="s">
        <v>3919</v>
      </c>
    </row>
    <row r="3797" spans="1:10" x14ac:dyDescent="0.25">
      <c r="A3797" s="32" t="s">
        <v>1</v>
      </c>
      <c r="B3797" s="32">
        <f t="shared" si="912"/>
        <v>2056</v>
      </c>
      <c r="C3797" s="33" t="s">
        <v>109</v>
      </c>
      <c r="D3797" s="34" t="s">
        <v>1999</v>
      </c>
      <c r="E3797" s="35" t="str">
        <f t="shared" si="913"/>
        <v>PDP'!</v>
      </c>
      <c r="F3797" s="34" t="str">
        <f t="shared" si="914"/>
        <v>C:\Users\jaime.benazar\Quorum Business Solutions\Ecopetrol Prometeo - Documents\Planning Space Implementation\3. Analysis &amp; Design\Design\FC22\DRR Jaime\QUIFA-CAJÚA\Cajua\[CAJUA_CF_SEC_New_27-Feb-2024Rev3.xlsx]D-PDP'!</v>
      </c>
      <c r="G3797" s="32" t="s">
        <v>114</v>
      </c>
      <c r="H3797" s="33">
        <f t="shared" si="915"/>
        <v>45</v>
      </c>
      <c r="I3797" s="33" t="str">
        <f t="shared" si="916"/>
        <v>='C:\Users\jaime.benazar\Quorum Business Solutions\Ecopetrol Prometeo - Documents\Planning Space Implementation\3. Analysis &amp; Design\Design\FC22\DRR Jaime\QUIFA-CAJÚA\Cajua\[CAJUA_CF_SEC_New_27-Feb-2024Rev3.xlsx]D-PDP'!$CB$45</v>
      </c>
      <c r="J3797" s="37" t="s">
        <v>3920</v>
      </c>
    </row>
    <row r="3798" spans="1:10" x14ac:dyDescent="0.25">
      <c r="A3798" s="32" t="s">
        <v>1</v>
      </c>
      <c r="B3798" s="32">
        <f t="shared" si="912"/>
        <v>2057</v>
      </c>
      <c r="C3798" s="33" t="s">
        <v>109</v>
      </c>
      <c r="D3798" s="34" t="s">
        <v>1999</v>
      </c>
      <c r="E3798" s="35" t="str">
        <f t="shared" si="913"/>
        <v>PDP'!</v>
      </c>
      <c r="F3798" s="34" t="str">
        <f t="shared" si="914"/>
        <v>C:\Users\jaime.benazar\Quorum Business Solutions\Ecopetrol Prometeo - Documents\Planning Space Implementation\3. Analysis &amp; Design\Design\FC22\DRR Jaime\QUIFA-CAJÚA\Cajua\[CAJUA_CF_SEC_New_27-Feb-2024Rev3.xlsx]D-PDP'!</v>
      </c>
      <c r="G3798" s="32" t="s">
        <v>114</v>
      </c>
      <c r="H3798" s="33">
        <f t="shared" si="915"/>
        <v>46</v>
      </c>
      <c r="I3798" s="33" t="str">
        <f t="shared" si="916"/>
        <v>='C:\Users\jaime.benazar\Quorum Business Solutions\Ecopetrol Prometeo - Documents\Planning Space Implementation\3. Analysis &amp; Design\Design\FC22\DRR Jaime\QUIFA-CAJÚA\Cajua\[CAJUA_CF_SEC_New_27-Feb-2024Rev3.xlsx]D-PDP'!$CB$46</v>
      </c>
      <c r="J3798" s="37" t="s">
        <v>3921</v>
      </c>
    </row>
    <row r="3799" spans="1:10" x14ac:dyDescent="0.25">
      <c r="A3799" s="32" t="s">
        <v>1</v>
      </c>
      <c r="B3799" s="32">
        <f t="shared" si="912"/>
        <v>2058</v>
      </c>
      <c r="C3799" s="33" t="s">
        <v>109</v>
      </c>
      <c r="D3799" s="34" t="s">
        <v>1999</v>
      </c>
      <c r="E3799" s="35" t="str">
        <f t="shared" si="913"/>
        <v>PDP'!</v>
      </c>
      <c r="F3799" s="34" t="str">
        <f t="shared" si="914"/>
        <v>C:\Users\jaime.benazar\Quorum Business Solutions\Ecopetrol Prometeo - Documents\Planning Space Implementation\3. Analysis &amp; Design\Design\FC22\DRR Jaime\QUIFA-CAJÚA\Cajua\[CAJUA_CF_SEC_New_27-Feb-2024Rev3.xlsx]D-PDP'!</v>
      </c>
      <c r="G3799" s="32" t="s">
        <v>114</v>
      </c>
      <c r="H3799" s="33">
        <f t="shared" si="915"/>
        <v>47</v>
      </c>
      <c r="I3799" s="33" t="str">
        <f t="shared" si="916"/>
        <v>='C:\Users\jaime.benazar\Quorum Business Solutions\Ecopetrol Prometeo - Documents\Planning Space Implementation\3. Analysis &amp; Design\Design\FC22\DRR Jaime\QUIFA-CAJÚA\Cajua\[CAJUA_CF_SEC_New_27-Feb-2024Rev3.xlsx]D-PDP'!$CB$47</v>
      </c>
      <c r="J3799" s="37" t="s">
        <v>3922</v>
      </c>
    </row>
    <row r="3800" spans="1:10" x14ac:dyDescent="0.25">
      <c r="A3800" s="32" t="s">
        <v>1</v>
      </c>
      <c r="B3800" s="32">
        <f t="shared" si="912"/>
        <v>2059</v>
      </c>
      <c r="C3800" s="33" t="s">
        <v>109</v>
      </c>
      <c r="D3800" s="34" t="s">
        <v>1999</v>
      </c>
      <c r="E3800" s="35" t="str">
        <f t="shared" si="913"/>
        <v>PDP'!</v>
      </c>
      <c r="F3800" s="34" t="str">
        <f t="shared" si="914"/>
        <v>C:\Users\jaime.benazar\Quorum Business Solutions\Ecopetrol Prometeo - Documents\Planning Space Implementation\3. Analysis &amp; Design\Design\FC22\DRR Jaime\QUIFA-CAJÚA\Cajua\[CAJUA_CF_SEC_New_27-Feb-2024Rev3.xlsx]D-PDP'!</v>
      </c>
      <c r="G3800" s="32" t="s">
        <v>114</v>
      </c>
      <c r="H3800" s="33">
        <f t="shared" si="915"/>
        <v>48</v>
      </c>
      <c r="I3800" s="33" t="str">
        <f t="shared" si="916"/>
        <v>='C:\Users\jaime.benazar\Quorum Business Solutions\Ecopetrol Prometeo - Documents\Planning Space Implementation\3. Analysis &amp; Design\Design\FC22\DRR Jaime\QUIFA-CAJÚA\Cajua\[CAJUA_CF_SEC_New_27-Feb-2024Rev3.xlsx]D-PDP'!$CB$48</v>
      </c>
      <c r="J3800" s="37" t="s">
        <v>3923</v>
      </c>
    </row>
    <row r="3801" spans="1:10" x14ac:dyDescent="0.25">
      <c r="A3801" s="32" t="s">
        <v>28</v>
      </c>
      <c r="B3801" s="32"/>
      <c r="C3801" s="33" t="s">
        <v>109</v>
      </c>
      <c r="D3801" s="34"/>
      <c r="E3801" s="35" t="str">
        <f t="shared" si="908"/>
        <v>Total'!</v>
      </c>
      <c r="F3801" s="34"/>
      <c r="G3801" s="32"/>
      <c r="H3801" s="33"/>
      <c r="I3801" s="33"/>
      <c r="J3801" s="33"/>
    </row>
    <row r="3802" spans="1:10" x14ac:dyDescent="0.25">
      <c r="A3802" s="32" t="s">
        <v>2</v>
      </c>
      <c r="B3802" s="32">
        <v>2023</v>
      </c>
      <c r="C3802" s="33" t="s">
        <v>109</v>
      </c>
      <c r="D3802" s="34" t="s">
        <v>1999</v>
      </c>
      <c r="E3802" s="35" t="str">
        <f t="shared" si="908"/>
        <v>PNP'!</v>
      </c>
      <c r="F3802" s="34" t="str">
        <f t="shared" ref="F3802:F3822" si="917">_xlfn.CONCAT(D3802:E3802)</f>
        <v>C:\Users\jaime.benazar\Quorum Business Solutions\Ecopetrol Prometeo - Documents\Planning Space Implementation\3. Analysis &amp; Design\Design\FC22\DRR Jaime\QUIFA-CAJÚA\Cajua\[CAJUA_CF_SEC_New_27-Feb-2024Rev3.xlsx]D-PNP'!</v>
      </c>
      <c r="G3802" s="32" t="s">
        <v>114</v>
      </c>
      <c r="H3802" s="33">
        <v>12</v>
      </c>
      <c r="I3802" s="33" t="str">
        <f t="shared" ref="I3802:I3822" si="918">_xlfn.CONCAT("='",F3802:H3802)</f>
        <v>='C:\Users\jaime.benazar\Quorum Business Solutions\Ecopetrol Prometeo - Documents\Planning Space Implementation\3. Analysis &amp; Design\Design\FC22\DRR Jaime\QUIFA-CAJÚA\Cajua\[CAJUA_CF_SEC_New_27-Feb-2024Rev3.xlsx]D-PNP'!$CB$12</v>
      </c>
      <c r="J3802" s="37" t="s">
        <v>3924</v>
      </c>
    </row>
    <row r="3803" spans="1:10" x14ac:dyDescent="0.25">
      <c r="A3803" s="32" t="s">
        <v>2</v>
      </c>
      <c r="B3803" s="32">
        <f>+B3802+1</f>
        <v>2024</v>
      </c>
      <c r="C3803" s="33" t="s">
        <v>109</v>
      </c>
      <c r="D3803" s="34" t="s">
        <v>1999</v>
      </c>
      <c r="E3803" s="35" t="str">
        <f t="shared" si="908"/>
        <v>PNP'!</v>
      </c>
      <c r="F3803" s="34" t="str">
        <f t="shared" si="917"/>
        <v>C:\Users\jaime.benazar\Quorum Business Solutions\Ecopetrol Prometeo - Documents\Planning Space Implementation\3. Analysis &amp; Design\Design\FC22\DRR Jaime\QUIFA-CAJÚA\Cajua\[CAJUA_CF_SEC_New_27-Feb-2024Rev3.xlsx]D-PNP'!</v>
      </c>
      <c r="G3803" s="32" t="s">
        <v>114</v>
      </c>
      <c r="H3803" s="33">
        <f t="shared" ref="H3803:H3822" si="919">IF(A3803&lt;&gt;A3802,12,H3802+1)</f>
        <v>13</v>
      </c>
      <c r="I3803" s="33" t="str">
        <f t="shared" si="918"/>
        <v>='C:\Users\jaime.benazar\Quorum Business Solutions\Ecopetrol Prometeo - Documents\Planning Space Implementation\3. Analysis &amp; Design\Design\FC22\DRR Jaime\QUIFA-CAJÚA\Cajua\[CAJUA_CF_SEC_New_27-Feb-2024Rev3.xlsx]D-PNP'!$CB$13</v>
      </c>
      <c r="J3803" s="37" t="s">
        <v>3925</v>
      </c>
    </row>
    <row r="3804" spans="1:10" x14ac:dyDescent="0.25">
      <c r="A3804" s="32" t="s">
        <v>2</v>
      </c>
      <c r="B3804" s="32">
        <f t="shared" ref="B3804:B3815" si="920">+B3803+1</f>
        <v>2025</v>
      </c>
      <c r="C3804" s="33" t="s">
        <v>109</v>
      </c>
      <c r="D3804" s="34" t="s">
        <v>1999</v>
      </c>
      <c r="E3804" s="35" t="str">
        <f t="shared" si="908"/>
        <v>PNP'!</v>
      </c>
      <c r="F3804" s="34" t="str">
        <f t="shared" si="917"/>
        <v>C:\Users\jaime.benazar\Quorum Business Solutions\Ecopetrol Prometeo - Documents\Planning Space Implementation\3. Analysis &amp; Design\Design\FC22\DRR Jaime\QUIFA-CAJÚA\Cajua\[CAJUA_CF_SEC_New_27-Feb-2024Rev3.xlsx]D-PNP'!</v>
      </c>
      <c r="G3804" s="32" t="s">
        <v>114</v>
      </c>
      <c r="H3804" s="33">
        <f t="shared" si="919"/>
        <v>14</v>
      </c>
      <c r="I3804" s="33" t="str">
        <f t="shared" si="918"/>
        <v>='C:\Users\jaime.benazar\Quorum Business Solutions\Ecopetrol Prometeo - Documents\Planning Space Implementation\3. Analysis &amp; Design\Design\FC22\DRR Jaime\QUIFA-CAJÚA\Cajua\[CAJUA_CF_SEC_New_27-Feb-2024Rev3.xlsx]D-PNP'!$CB$14</v>
      </c>
      <c r="J3804" s="37" t="s">
        <v>3926</v>
      </c>
    </row>
    <row r="3805" spans="1:10" x14ac:dyDescent="0.25">
      <c r="A3805" s="32" t="s">
        <v>2</v>
      </c>
      <c r="B3805" s="32">
        <f t="shared" si="920"/>
        <v>2026</v>
      </c>
      <c r="C3805" s="33" t="s">
        <v>109</v>
      </c>
      <c r="D3805" s="34" t="s">
        <v>1999</v>
      </c>
      <c r="E3805" s="35" t="str">
        <f t="shared" si="908"/>
        <v>PNP'!</v>
      </c>
      <c r="F3805" s="34" t="str">
        <f t="shared" si="917"/>
        <v>C:\Users\jaime.benazar\Quorum Business Solutions\Ecopetrol Prometeo - Documents\Planning Space Implementation\3. Analysis &amp; Design\Design\FC22\DRR Jaime\QUIFA-CAJÚA\Cajua\[CAJUA_CF_SEC_New_27-Feb-2024Rev3.xlsx]D-PNP'!</v>
      </c>
      <c r="G3805" s="32" t="s">
        <v>114</v>
      </c>
      <c r="H3805" s="33">
        <f t="shared" si="919"/>
        <v>15</v>
      </c>
      <c r="I3805" s="33" t="str">
        <f t="shared" si="918"/>
        <v>='C:\Users\jaime.benazar\Quorum Business Solutions\Ecopetrol Prometeo - Documents\Planning Space Implementation\3. Analysis &amp; Design\Design\FC22\DRR Jaime\QUIFA-CAJÚA\Cajua\[CAJUA_CF_SEC_New_27-Feb-2024Rev3.xlsx]D-PNP'!$CB$15</v>
      </c>
      <c r="J3805" s="37" t="s">
        <v>3927</v>
      </c>
    </row>
    <row r="3806" spans="1:10" x14ac:dyDescent="0.25">
      <c r="A3806" s="32" t="s">
        <v>2</v>
      </c>
      <c r="B3806" s="32">
        <f t="shared" si="920"/>
        <v>2027</v>
      </c>
      <c r="C3806" s="33" t="s">
        <v>109</v>
      </c>
      <c r="D3806" s="34" t="s">
        <v>1999</v>
      </c>
      <c r="E3806" s="35" t="str">
        <f t="shared" si="908"/>
        <v>PNP'!</v>
      </c>
      <c r="F3806" s="34" t="str">
        <f t="shared" si="917"/>
        <v>C:\Users\jaime.benazar\Quorum Business Solutions\Ecopetrol Prometeo - Documents\Planning Space Implementation\3. Analysis &amp; Design\Design\FC22\DRR Jaime\QUIFA-CAJÚA\Cajua\[CAJUA_CF_SEC_New_27-Feb-2024Rev3.xlsx]D-PNP'!</v>
      </c>
      <c r="G3806" s="32" t="s">
        <v>114</v>
      </c>
      <c r="H3806" s="33">
        <f t="shared" si="919"/>
        <v>16</v>
      </c>
      <c r="I3806" s="33" t="str">
        <f t="shared" si="918"/>
        <v>='C:\Users\jaime.benazar\Quorum Business Solutions\Ecopetrol Prometeo - Documents\Planning Space Implementation\3. Analysis &amp; Design\Design\FC22\DRR Jaime\QUIFA-CAJÚA\Cajua\[CAJUA_CF_SEC_New_27-Feb-2024Rev3.xlsx]D-PNP'!$CB$16</v>
      </c>
      <c r="J3806" s="37" t="s">
        <v>3928</v>
      </c>
    </row>
    <row r="3807" spans="1:10" x14ac:dyDescent="0.25">
      <c r="A3807" s="32" t="s">
        <v>2</v>
      </c>
      <c r="B3807" s="32">
        <f t="shared" si="920"/>
        <v>2028</v>
      </c>
      <c r="C3807" s="33" t="s">
        <v>109</v>
      </c>
      <c r="D3807" s="34" t="s">
        <v>1999</v>
      </c>
      <c r="E3807" s="35" t="str">
        <f t="shared" si="908"/>
        <v>PNP'!</v>
      </c>
      <c r="F3807" s="34" t="str">
        <f t="shared" si="917"/>
        <v>C:\Users\jaime.benazar\Quorum Business Solutions\Ecopetrol Prometeo - Documents\Planning Space Implementation\3. Analysis &amp; Design\Design\FC22\DRR Jaime\QUIFA-CAJÚA\Cajua\[CAJUA_CF_SEC_New_27-Feb-2024Rev3.xlsx]D-PNP'!</v>
      </c>
      <c r="G3807" s="32" t="s">
        <v>114</v>
      </c>
      <c r="H3807" s="33">
        <f t="shared" si="919"/>
        <v>17</v>
      </c>
      <c r="I3807" s="33" t="str">
        <f t="shared" si="918"/>
        <v>='C:\Users\jaime.benazar\Quorum Business Solutions\Ecopetrol Prometeo - Documents\Planning Space Implementation\3. Analysis &amp; Design\Design\FC22\DRR Jaime\QUIFA-CAJÚA\Cajua\[CAJUA_CF_SEC_New_27-Feb-2024Rev3.xlsx]D-PNP'!$CB$17</v>
      </c>
      <c r="J3807" s="37" t="s">
        <v>3929</v>
      </c>
    </row>
    <row r="3808" spans="1:10" x14ac:dyDescent="0.25">
      <c r="A3808" s="32" t="s">
        <v>2</v>
      </c>
      <c r="B3808" s="32">
        <f t="shared" si="920"/>
        <v>2029</v>
      </c>
      <c r="C3808" s="33" t="s">
        <v>109</v>
      </c>
      <c r="D3808" s="34" t="s">
        <v>1999</v>
      </c>
      <c r="E3808" s="35" t="str">
        <f t="shared" si="908"/>
        <v>PNP'!</v>
      </c>
      <c r="F3808" s="34" t="str">
        <f t="shared" si="917"/>
        <v>C:\Users\jaime.benazar\Quorum Business Solutions\Ecopetrol Prometeo - Documents\Planning Space Implementation\3. Analysis &amp; Design\Design\FC22\DRR Jaime\QUIFA-CAJÚA\Cajua\[CAJUA_CF_SEC_New_27-Feb-2024Rev3.xlsx]D-PNP'!</v>
      </c>
      <c r="G3808" s="32" t="s">
        <v>114</v>
      </c>
      <c r="H3808" s="33">
        <f t="shared" si="919"/>
        <v>18</v>
      </c>
      <c r="I3808" s="33" t="str">
        <f t="shared" si="918"/>
        <v>='C:\Users\jaime.benazar\Quorum Business Solutions\Ecopetrol Prometeo - Documents\Planning Space Implementation\3. Analysis &amp; Design\Design\FC22\DRR Jaime\QUIFA-CAJÚA\Cajua\[CAJUA_CF_SEC_New_27-Feb-2024Rev3.xlsx]D-PNP'!$CB$18</v>
      </c>
      <c r="J3808" s="37" t="s">
        <v>3930</v>
      </c>
    </row>
    <row r="3809" spans="1:10" x14ac:dyDescent="0.25">
      <c r="A3809" s="32" t="s">
        <v>2</v>
      </c>
      <c r="B3809" s="32">
        <f t="shared" si="920"/>
        <v>2030</v>
      </c>
      <c r="C3809" s="33" t="s">
        <v>109</v>
      </c>
      <c r="D3809" s="34" t="s">
        <v>1999</v>
      </c>
      <c r="E3809" s="35" t="str">
        <f t="shared" si="908"/>
        <v>PNP'!</v>
      </c>
      <c r="F3809" s="34" t="str">
        <f t="shared" si="917"/>
        <v>C:\Users\jaime.benazar\Quorum Business Solutions\Ecopetrol Prometeo - Documents\Planning Space Implementation\3. Analysis &amp; Design\Design\FC22\DRR Jaime\QUIFA-CAJÚA\Cajua\[CAJUA_CF_SEC_New_27-Feb-2024Rev3.xlsx]D-PNP'!</v>
      </c>
      <c r="G3809" s="32" t="s">
        <v>114</v>
      </c>
      <c r="H3809" s="33">
        <f t="shared" si="919"/>
        <v>19</v>
      </c>
      <c r="I3809" s="33" t="str">
        <f t="shared" si="918"/>
        <v>='C:\Users\jaime.benazar\Quorum Business Solutions\Ecopetrol Prometeo - Documents\Planning Space Implementation\3. Analysis &amp; Design\Design\FC22\DRR Jaime\QUIFA-CAJÚA\Cajua\[CAJUA_CF_SEC_New_27-Feb-2024Rev3.xlsx]D-PNP'!$CB$19</v>
      </c>
      <c r="J3809" s="37" t="s">
        <v>3931</v>
      </c>
    </row>
    <row r="3810" spans="1:10" x14ac:dyDescent="0.25">
      <c r="A3810" s="32" t="s">
        <v>2</v>
      </c>
      <c r="B3810" s="32">
        <f t="shared" si="920"/>
        <v>2031</v>
      </c>
      <c r="C3810" s="33" t="s">
        <v>109</v>
      </c>
      <c r="D3810" s="34" t="s">
        <v>1999</v>
      </c>
      <c r="E3810" s="35" t="str">
        <f t="shared" si="908"/>
        <v>PNP'!</v>
      </c>
      <c r="F3810" s="34" t="str">
        <f t="shared" si="917"/>
        <v>C:\Users\jaime.benazar\Quorum Business Solutions\Ecopetrol Prometeo - Documents\Planning Space Implementation\3. Analysis &amp; Design\Design\FC22\DRR Jaime\QUIFA-CAJÚA\Cajua\[CAJUA_CF_SEC_New_27-Feb-2024Rev3.xlsx]D-PNP'!</v>
      </c>
      <c r="G3810" s="32" t="s">
        <v>114</v>
      </c>
      <c r="H3810" s="33">
        <f t="shared" si="919"/>
        <v>20</v>
      </c>
      <c r="I3810" s="33" t="str">
        <f t="shared" si="918"/>
        <v>='C:\Users\jaime.benazar\Quorum Business Solutions\Ecopetrol Prometeo - Documents\Planning Space Implementation\3. Analysis &amp; Design\Design\FC22\DRR Jaime\QUIFA-CAJÚA\Cajua\[CAJUA_CF_SEC_New_27-Feb-2024Rev3.xlsx]D-PNP'!$CB$20</v>
      </c>
      <c r="J3810" s="37" t="s">
        <v>3932</v>
      </c>
    </row>
    <row r="3811" spans="1:10" x14ac:dyDescent="0.25">
      <c r="A3811" s="32" t="s">
        <v>2</v>
      </c>
      <c r="B3811" s="32">
        <f t="shared" si="920"/>
        <v>2032</v>
      </c>
      <c r="C3811" s="33" t="s">
        <v>109</v>
      </c>
      <c r="D3811" s="34" t="s">
        <v>1999</v>
      </c>
      <c r="E3811" s="35" t="str">
        <f t="shared" si="908"/>
        <v>PNP'!</v>
      </c>
      <c r="F3811" s="34" t="str">
        <f t="shared" si="917"/>
        <v>C:\Users\jaime.benazar\Quorum Business Solutions\Ecopetrol Prometeo - Documents\Planning Space Implementation\3. Analysis &amp; Design\Design\FC22\DRR Jaime\QUIFA-CAJÚA\Cajua\[CAJUA_CF_SEC_New_27-Feb-2024Rev3.xlsx]D-PNP'!</v>
      </c>
      <c r="G3811" s="32" t="s">
        <v>114</v>
      </c>
      <c r="H3811" s="33">
        <f t="shared" si="919"/>
        <v>21</v>
      </c>
      <c r="I3811" s="33" t="str">
        <f t="shared" si="918"/>
        <v>='C:\Users\jaime.benazar\Quorum Business Solutions\Ecopetrol Prometeo - Documents\Planning Space Implementation\3. Analysis &amp; Design\Design\FC22\DRR Jaime\QUIFA-CAJÚA\Cajua\[CAJUA_CF_SEC_New_27-Feb-2024Rev3.xlsx]D-PNP'!$CB$21</v>
      </c>
      <c r="J3811" s="37" t="s">
        <v>3933</v>
      </c>
    </row>
    <row r="3812" spans="1:10" x14ac:dyDescent="0.25">
      <c r="A3812" s="32" t="s">
        <v>2</v>
      </c>
      <c r="B3812" s="32">
        <f t="shared" si="920"/>
        <v>2033</v>
      </c>
      <c r="C3812" s="33" t="s">
        <v>109</v>
      </c>
      <c r="D3812" s="34" t="s">
        <v>1999</v>
      </c>
      <c r="E3812" s="35" t="str">
        <f t="shared" si="908"/>
        <v>PNP'!</v>
      </c>
      <c r="F3812" s="34" t="str">
        <f t="shared" si="917"/>
        <v>C:\Users\jaime.benazar\Quorum Business Solutions\Ecopetrol Prometeo - Documents\Planning Space Implementation\3. Analysis &amp; Design\Design\FC22\DRR Jaime\QUIFA-CAJÚA\Cajua\[CAJUA_CF_SEC_New_27-Feb-2024Rev3.xlsx]D-PNP'!</v>
      </c>
      <c r="G3812" s="32" t="s">
        <v>114</v>
      </c>
      <c r="H3812" s="33">
        <f t="shared" si="919"/>
        <v>22</v>
      </c>
      <c r="I3812" s="33" t="str">
        <f t="shared" si="918"/>
        <v>='C:\Users\jaime.benazar\Quorum Business Solutions\Ecopetrol Prometeo - Documents\Planning Space Implementation\3. Analysis &amp; Design\Design\FC22\DRR Jaime\QUIFA-CAJÚA\Cajua\[CAJUA_CF_SEC_New_27-Feb-2024Rev3.xlsx]D-PNP'!$CB$22</v>
      </c>
      <c r="J3812" s="37" t="s">
        <v>3934</v>
      </c>
    </row>
    <row r="3813" spans="1:10" x14ac:dyDescent="0.25">
      <c r="A3813" s="32" t="s">
        <v>2</v>
      </c>
      <c r="B3813" s="32">
        <f t="shared" si="920"/>
        <v>2034</v>
      </c>
      <c r="C3813" s="33" t="s">
        <v>109</v>
      </c>
      <c r="D3813" s="34" t="s">
        <v>1999</v>
      </c>
      <c r="E3813" s="35" t="str">
        <f t="shared" si="908"/>
        <v>PNP'!</v>
      </c>
      <c r="F3813" s="34" t="str">
        <f t="shared" si="917"/>
        <v>C:\Users\jaime.benazar\Quorum Business Solutions\Ecopetrol Prometeo - Documents\Planning Space Implementation\3. Analysis &amp; Design\Design\FC22\DRR Jaime\QUIFA-CAJÚA\Cajua\[CAJUA_CF_SEC_New_27-Feb-2024Rev3.xlsx]D-PNP'!</v>
      </c>
      <c r="G3813" s="32" t="s">
        <v>114</v>
      </c>
      <c r="H3813" s="33">
        <f t="shared" si="919"/>
        <v>23</v>
      </c>
      <c r="I3813" s="33" t="str">
        <f t="shared" si="918"/>
        <v>='C:\Users\jaime.benazar\Quorum Business Solutions\Ecopetrol Prometeo - Documents\Planning Space Implementation\3. Analysis &amp; Design\Design\FC22\DRR Jaime\QUIFA-CAJÚA\Cajua\[CAJUA_CF_SEC_New_27-Feb-2024Rev3.xlsx]D-PNP'!$CB$23</v>
      </c>
      <c r="J3813" s="37" t="s">
        <v>3935</v>
      </c>
    </row>
    <row r="3814" spans="1:10" x14ac:dyDescent="0.25">
      <c r="A3814" s="32" t="s">
        <v>2</v>
      </c>
      <c r="B3814" s="32">
        <f t="shared" si="920"/>
        <v>2035</v>
      </c>
      <c r="C3814" s="33" t="s">
        <v>109</v>
      </c>
      <c r="D3814" s="34" t="s">
        <v>1999</v>
      </c>
      <c r="E3814" s="35" t="str">
        <f t="shared" si="908"/>
        <v>PNP'!</v>
      </c>
      <c r="F3814" s="34" t="str">
        <f t="shared" si="917"/>
        <v>C:\Users\jaime.benazar\Quorum Business Solutions\Ecopetrol Prometeo - Documents\Planning Space Implementation\3. Analysis &amp; Design\Design\FC22\DRR Jaime\QUIFA-CAJÚA\Cajua\[CAJUA_CF_SEC_New_27-Feb-2024Rev3.xlsx]D-PNP'!</v>
      </c>
      <c r="G3814" s="32" t="s">
        <v>114</v>
      </c>
      <c r="H3814" s="33">
        <f t="shared" si="919"/>
        <v>24</v>
      </c>
      <c r="I3814" s="33" t="str">
        <f t="shared" si="918"/>
        <v>='C:\Users\jaime.benazar\Quorum Business Solutions\Ecopetrol Prometeo - Documents\Planning Space Implementation\3. Analysis &amp; Design\Design\FC22\DRR Jaime\QUIFA-CAJÚA\Cajua\[CAJUA_CF_SEC_New_27-Feb-2024Rev3.xlsx]D-PNP'!$CB$24</v>
      </c>
      <c r="J3814" s="37" t="s">
        <v>3936</v>
      </c>
    </row>
    <row r="3815" spans="1:10" x14ac:dyDescent="0.25">
      <c r="A3815" s="32" t="s">
        <v>2</v>
      </c>
      <c r="B3815" s="32">
        <f t="shared" si="920"/>
        <v>2036</v>
      </c>
      <c r="C3815" s="33" t="s">
        <v>109</v>
      </c>
      <c r="D3815" s="34" t="s">
        <v>1999</v>
      </c>
      <c r="E3815" s="35" t="str">
        <f t="shared" si="908"/>
        <v>PNP'!</v>
      </c>
      <c r="F3815" s="34" t="str">
        <f t="shared" si="917"/>
        <v>C:\Users\jaime.benazar\Quorum Business Solutions\Ecopetrol Prometeo - Documents\Planning Space Implementation\3. Analysis &amp; Design\Design\FC22\DRR Jaime\QUIFA-CAJÚA\Cajua\[CAJUA_CF_SEC_New_27-Feb-2024Rev3.xlsx]D-PNP'!</v>
      </c>
      <c r="G3815" s="32" t="s">
        <v>114</v>
      </c>
      <c r="H3815" s="33">
        <f t="shared" si="919"/>
        <v>25</v>
      </c>
      <c r="I3815" s="33" t="str">
        <f t="shared" si="918"/>
        <v>='C:\Users\jaime.benazar\Quorum Business Solutions\Ecopetrol Prometeo - Documents\Planning Space Implementation\3. Analysis &amp; Design\Design\FC22\DRR Jaime\QUIFA-CAJÚA\Cajua\[CAJUA_CF_SEC_New_27-Feb-2024Rev3.xlsx]D-PNP'!$CB$25</v>
      </c>
      <c r="J3815" s="37" t="s">
        <v>3937</v>
      </c>
    </row>
    <row r="3816" spans="1:10" x14ac:dyDescent="0.25">
      <c r="A3816" s="32" t="s">
        <v>2</v>
      </c>
      <c r="B3816" s="32">
        <f>+B3815+1</f>
        <v>2037</v>
      </c>
      <c r="C3816" s="33" t="s">
        <v>109</v>
      </c>
      <c r="D3816" s="34" t="s">
        <v>1999</v>
      </c>
      <c r="E3816" s="35" t="str">
        <f t="shared" si="908"/>
        <v>PNP'!</v>
      </c>
      <c r="F3816" s="34" t="str">
        <f t="shared" si="917"/>
        <v>C:\Users\jaime.benazar\Quorum Business Solutions\Ecopetrol Prometeo - Documents\Planning Space Implementation\3. Analysis &amp; Design\Design\FC22\DRR Jaime\QUIFA-CAJÚA\Cajua\[CAJUA_CF_SEC_New_27-Feb-2024Rev3.xlsx]D-PNP'!</v>
      </c>
      <c r="G3816" s="32" t="s">
        <v>114</v>
      </c>
      <c r="H3816" s="33">
        <f t="shared" si="919"/>
        <v>26</v>
      </c>
      <c r="I3816" s="33" t="str">
        <f t="shared" si="918"/>
        <v>='C:\Users\jaime.benazar\Quorum Business Solutions\Ecopetrol Prometeo - Documents\Planning Space Implementation\3. Analysis &amp; Design\Design\FC22\DRR Jaime\QUIFA-CAJÚA\Cajua\[CAJUA_CF_SEC_New_27-Feb-2024Rev3.xlsx]D-PNP'!$CB$26</v>
      </c>
      <c r="J3816" s="37" t="s">
        <v>3938</v>
      </c>
    </row>
    <row r="3817" spans="1:10" x14ac:dyDescent="0.25">
      <c r="A3817" s="32" t="s">
        <v>2</v>
      </c>
      <c r="B3817" s="32">
        <f t="shared" ref="B3817:B3819" si="921">+B3816+1</f>
        <v>2038</v>
      </c>
      <c r="C3817" s="33" t="s">
        <v>109</v>
      </c>
      <c r="D3817" s="34" t="s">
        <v>1999</v>
      </c>
      <c r="E3817" s="35" t="str">
        <f t="shared" si="908"/>
        <v>PNP'!</v>
      </c>
      <c r="F3817" s="34" t="str">
        <f t="shared" si="917"/>
        <v>C:\Users\jaime.benazar\Quorum Business Solutions\Ecopetrol Prometeo - Documents\Planning Space Implementation\3. Analysis &amp; Design\Design\FC22\DRR Jaime\QUIFA-CAJÚA\Cajua\[CAJUA_CF_SEC_New_27-Feb-2024Rev3.xlsx]D-PNP'!</v>
      </c>
      <c r="G3817" s="32" t="s">
        <v>114</v>
      </c>
      <c r="H3817" s="33">
        <f t="shared" si="919"/>
        <v>27</v>
      </c>
      <c r="I3817" s="33" t="str">
        <f t="shared" si="918"/>
        <v>='C:\Users\jaime.benazar\Quorum Business Solutions\Ecopetrol Prometeo - Documents\Planning Space Implementation\3. Analysis &amp; Design\Design\FC22\DRR Jaime\QUIFA-CAJÚA\Cajua\[CAJUA_CF_SEC_New_27-Feb-2024Rev3.xlsx]D-PNP'!$CB$27</v>
      </c>
      <c r="J3817" s="37" t="s">
        <v>3939</v>
      </c>
    </row>
    <row r="3818" spans="1:10" x14ac:dyDescent="0.25">
      <c r="A3818" s="32" t="s">
        <v>2</v>
      </c>
      <c r="B3818" s="32">
        <f t="shared" si="921"/>
        <v>2039</v>
      </c>
      <c r="C3818" s="33" t="s">
        <v>109</v>
      </c>
      <c r="D3818" s="34" t="s">
        <v>1999</v>
      </c>
      <c r="E3818" s="35" t="str">
        <f t="shared" si="908"/>
        <v>PNP'!</v>
      </c>
      <c r="F3818" s="34" t="str">
        <f t="shared" si="917"/>
        <v>C:\Users\jaime.benazar\Quorum Business Solutions\Ecopetrol Prometeo - Documents\Planning Space Implementation\3. Analysis &amp; Design\Design\FC22\DRR Jaime\QUIFA-CAJÚA\Cajua\[CAJUA_CF_SEC_New_27-Feb-2024Rev3.xlsx]D-PNP'!</v>
      </c>
      <c r="G3818" s="32" t="s">
        <v>114</v>
      </c>
      <c r="H3818" s="33">
        <f t="shared" si="919"/>
        <v>28</v>
      </c>
      <c r="I3818" s="33" t="str">
        <f t="shared" si="918"/>
        <v>='C:\Users\jaime.benazar\Quorum Business Solutions\Ecopetrol Prometeo - Documents\Planning Space Implementation\3. Analysis &amp; Design\Design\FC22\DRR Jaime\QUIFA-CAJÚA\Cajua\[CAJUA_CF_SEC_New_27-Feb-2024Rev3.xlsx]D-PNP'!$CB$28</v>
      </c>
      <c r="J3818" s="37" t="s">
        <v>3940</v>
      </c>
    </row>
    <row r="3819" spans="1:10" x14ac:dyDescent="0.25">
      <c r="A3819" s="32" t="s">
        <v>2</v>
      </c>
      <c r="B3819" s="32">
        <f t="shared" si="921"/>
        <v>2040</v>
      </c>
      <c r="C3819" s="33" t="s">
        <v>109</v>
      </c>
      <c r="D3819" s="34" t="s">
        <v>1999</v>
      </c>
      <c r="E3819" s="35" t="str">
        <f t="shared" si="908"/>
        <v>PNP'!</v>
      </c>
      <c r="F3819" s="34" t="str">
        <f t="shared" si="917"/>
        <v>C:\Users\jaime.benazar\Quorum Business Solutions\Ecopetrol Prometeo - Documents\Planning Space Implementation\3. Analysis &amp; Design\Design\FC22\DRR Jaime\QUIFA-CAJÚA\Cajua\[CAJUA_CF_SEC_New_27-Feb-2024Rev3.xlsx]D-PNP'!</v>
      </c>
      <c r="G3819" s="32" t="s">
        <v>114</v>
      </c>
      <c r="H3819" s="33">
        <f t="shared" si="919"/>
        <v>29</v>
      </c>
      <c r="I3819" s="33" t="str">
        <f t="shared" si="918"/>
        <v>='C:\Users\jaime.benazar\Quorum Business Solutions\Ecopetrol Prometeo - Documents\Planning Space Implementation\3. Analysis &amp; Design\Design\FC22\DRR Jaime\QUIFA-CAJÚA\Cajua\[CAJUA_CF_SEC_New_27-Feb-2024Rev3.xlsx]D-PNP'!$CB$29</v>
      </c>
      <c r="J3819" s="37" t="s">
        <v>3941</v>
      </c>
    </row>
    <row r="3820" spans="1:10" x14ac:dyDescent="0.25">
      <c r="A3820" s="32" t="s">
        <v>2</v>
      </c>
      <c r="B3820" s="32">
        <f>+B3819+1</f>
        <v>2041</v>
      </c>
      <c r="C3820" s="33" t="s">
        <v>109</v>
      </c>
      <c r="D3820" s="34" t="s">
        <v>1999</v>
      </c>
      <c r="E3820" s="35" t="str">
        <f t="shared" si="908"/>
        <v>PNP'!</v>
      </c>
      <c r="F3820" s="34" t="str">
        <f t="shared" si="917"/>
        <v>C:\Users\jaime.benazar\Quorum Business Solutions\Ecopetrol Prometeo - Documents\Planning Space Implementation\3. Analysis &amp; Design\Design\FC22\DRR Jaime\QUIFA-CAJÚA\Cajua\[CAJUA_CF_SEC_New_27-Feb-2024Rev3.xlsx]D-PNP'!</v>
      </c>
      <c r="G3820" s="32" t="s">
        <v>114</v>
      </c>
      <c r="H3820" s="33">
        <f t="shared" si="919"/>
        <v>30</v>
      </c>
      <c r="I3820" s="33" t="str">
        <f t="shared" si="918"/>
        <v>='C:\Users\jaime.benazar\Quorum Business Solutions\Ecopetrol Prometeo - Documents\Planning Space Implementation\3. Analysis &amp; Design\Design\FC22\DRR Jaime\QUIFA-CAJÚA\Cajua\[CAJUA_CF_SEC_New_27-Feb-2024Rev3.xlsx]D-PNP'!$CB$30</v>
      </c>
      <c r="J3820" s="37" t="s">
        <v>3942</v>
      </c>
    </row>
    <row r="3821" spans="1:10" x14ac:dyDescent="0.25">
      <c r="A3821" s="32" t="s">
        <v>2</v>
      </c>
      <c r="B3821" s="32">
        <f t="shared" ref="B3821:B3822" si="922">+B3820+1</f>
        <v>2042</v>
      </c>
      <c r="C3821" s="33" t="s">
        <v>109</v>
      </c>
      <c r="D3821" s="34" t="s">
        <v>1999</v>
      </c>
      <c r="E3821" s="35" t="str">
        <f t="shared" si="908"/>
        <v>PNP'!</v>
      </c>
      <c r="F3821" s="34" t="str">
        <f t="shared" si="917"/>
        <v>C:\Users\jaime.benazar\Quorum Business Solutions\Ecopetrol Prometeo - Documents\Planning Space Implementation\3. Analysis &amp; Design\Design\FC22\DRR Jaime\QUIFA-CAJÚA\Cajua\[CAJUA_CF_SEC_New_27-Feb-2024Rev3.xlsx]D-PNP'!</v>
      </c>
      <c r="G3821" s="32" t="s">
        <v>114</v>
      </c>
      <c r="H3821" s="33">
        <f t="shared" si="919"/>
        <v>31</v>
      </c>
      <c r="I3821" s="33" t="str">
        <f t="shared" si="918"/>
        <v>='C:\Users\jaime.benazar\Quorum Business Solutions\Ecopetrol Prometeo - Documents\Planning Space Implementation\3. Analysis &amp; Design\Design\FC22\DRR Jaime\QUIFA-CAJÚA\Cajua\[CAJUA_CF_SEC_New_27-Feb-2024Rev3.xlsx]D-PNP'!$CB$31</v>
      </c>
      <c r="J3821" s="37" t="s">
        <v>3943</v>
      </c>
    </row>
    <row r="3822" spans="1:10" x14ac:dyDescent="0.25">
      <c r="A3822" s="32" t="s">
        <v>2</v>
      </c>
      <c r="B3822" s="32">
        <f t="shared" si="922"/>
        <v>2043</v>
      </c>
      <c r="C3822" s="33" t="s">
        <v>109</v>
      </c>
      <c r="D3822" s="34" t="s">
        <v>1999</v>
      </c>
      <c r="E3822" s="35" t="str">
        <f t="shared" si="908"/>
        <v>PNP'!</v>
      </c>
      <c r="F3822" s="34" t="str">
        <f t="shared" si="917"/>
        <v>C:\Users\jaime.benazar\Quorum Business Solutions\Ecopetrol Prometeo - Documents\Planning Space Implementation\3. Analysis &amp; Design\Design\FC22\DRR Jaime\QUIFA-CAJÚA\Cajua\[CAJUA_CF_SEC_New_27-Feb-2024Rev3.xlsx]D-PNP'!</v>
      </c>
      <c r="G3822" s="32" t="s">
        <v>114</v>
      </c>
      <c r="H3822" s="33">
        <f t="shared" si="919"/>
        <v>32</v>
      </c>
      <c r="I3822" s="33" t="str">
        <f t="shared" si="918"/>
        <v>='C:\Users\jaime.benazar\Quorum Business Solutions\Ecopetrol Prometeo - Documents\Planning Space Implementation\3. Analysis &amp; Design\Design\FC22\DRR Jaime\QUIFA-CAJÚA\Cajua\[CAJUA_CF_SEC_New_27-Feb-2024Rev3.xlsx]D-PNP'!$CB$32</v>
      </c>
      <c r="J3822" s="37" t="s">
        <v>3944</v>
      </c>
    </row>
    <row r="3823" spans="1:10" x14ac:dyDescent="0.25">
      <c r="A3823" s="32" t="s">
        <v>2</v>
      </c>
      <c r="B3823" s="32">
        <f>+B3822+1</f>
        <v>2044</v>
      </c>
      <c r="C3823" s="33" t="s">
        <v>109</v>
      </c>
      <c r="D3823" s="34" t="s">
        <v>1999</v>
      </c>
      <c r="E3823" s="35" t="str">
        <f t="shared" ref="E3823:E3838" si="923">_xlfn.CONCAT(A3823,"'!")</f>
        <v>PNP'!</v>
      </c>
      <c r="F3823" s="34" t="str">
        <f t="shared" ref="F3823:F3838" si="924">_xlfn.CONCAT(D3823:E3823)</f>
        <v>C:\Users\jaime.benazar\Quorum Business Solutions\Ecopetrol Prometeo - Documents\Planning Space Implementation\3. Analysis &amp; Design\Design\FC22\DRR Jaime\QUIFA-CAJÚA\Cajua\[CAJUA_CF_SEC_New_27-Feb-2024Rev3.xlsx]D-PNP'!</v>
      </c>
      <c r="G3823" s="32" t="s">
        <v>114</v>
      </c>
      <c r="H3823" s="33">
        <f t="shared" ref="H3823:H3838" si="925">IF(A3823&lt;&gt;A3822,12,H3822+1)</f>
        <v>33</v>
      </c>
      <c r="I3823" s="33" t="str">
        <f t="shared" ref="I3823:I3838" si="926">_xlfn.CONCAT("='",F3823:H3823)</f>
        <v>='C:\Users\jaime.benazar\Quorum Business Solutions\Ecopetrol Prometeo - Documents\Planning Space Implementation\3. Analysis &amp; Design\Design\FC22\DRR Jaime\QUIFA-CAJÚA\Cajua\[CAJUA_CF_SEC_New_27-Feb-2024Rev3.xlsx]D-PNP'!$CB$33</v>
      </c>
      <c r="J3823" s="37" t="s">
        <v>3945</v>
      </c>
    </row>
    <row r="3824" spans="1:10" x14ac:dyDescent="0.25">
      <c r="A3824" s="32" t="s">
        <v>2</v>
      </c>
      <c r="B3824" s="32">
        <f t="shared" ref="B3824:B3838" si="927">+B3823+1</f>
        <v>2045</v>
      </c>
      <c r="C3824" s="33" t="s">
        <v>109</v>
      </c>
      <c r="D3824" s="34" t="s">
        <v>1999</v>
      </c>
      <c r="E3824" s="35" t="str">
        <f t="shared" si="923"/>
        <v>PNP'!</v>
      </c>
      <c r="F3824" s="34" t="str">
        <f t="shared" si="924"/>
        <v>C:\Users\jaime.benazar\Quorum Business Solutions\Ecopetrol Prometeo - Documents\Planning Space Implementation\3. Analysis &amp; Design\Design\FC22\DRR Jaime\QUIFA-CAJÚA\Cajua\[CAJUA_CF_SEC_New_27-Feb-2024Rev3.xlsx]D-PNP'!</v>
      </c>
      <c r="G3824" s="32" t="s">
        <v>114</v>
      </c>
      <c r="H3824" s="33">
        <f t="shared" si="925"/>
        <v>34</v>
      </c>
      <c r="I3824" s="33" t="str">
        <f t="shared" si="926"/>
        <v>='C:\Users\jaime.benazar\Quorum Business Solutions\Ecopetrol Prometeo - Documents\Planning Space Implementation\3. Analysis &amp; Design\Design\FC22\DRR Jaime\QUIFA-CAJÚA\Cajua\[CAJUA_CF_SEC_New_27-Feb-2024Rev3.xlsx]D-PNP'!$CB$34</v>
      </c>
      <c r="J3824" s="37" t="s">
        <v>3946</v>
      </c>
    </row>
    <row r="3825" spans="1:10" x14ac:dyDescent="0.25">
      <c r="A3825" s="32" t="s">
        <v>2</v>
      </c>
      <c r="B3825" s="32">
        <f t="shared" si="927"/>
        <v>2046</v>
      </c>
      <c r="C3825" s="33" t="s">
        <v>109</v>
      </c>
      <c r="D3825" s="34" t="s">
        <v>1999</v>
      </c>
      <c r="E3825" s="35" t="str">
        <f t="shared" si="923"/>
        <v>PNP'!</v>
      </c>
      <c r="F3825" s="34" t="str">
        <f t="shared" si="924"/>
        <v>C:\Users\jaime.benazar\Quorum Business Solutions\Ecopetrol Prometeo - Documents\Planning Space Implementation\3. Analysis &amp; Design\Design\FC22\DRR Jaime\QUIFA-CAJÚA\Cajua\[CAJUA_CF_SEC_New_27-Feb-2024Rev3.xlsx]D-PNP'!</v>
      </c>
      <c r="G3825" s="32" t="s">
        <v>114</v>
      </c>
      <c r="H3825" s="33">
        <f t="shared" si="925"/>
        <v>35</v>
      </c>
      <c r="I3825" s="33" t="str">
        <f t="shared" si="926"/>
        <v>='C:\Users\jaime.benazar\Quorum Business Solutions\Ecopetrol Prometeo - Documents\Planning Space Implementation\3. Analysis &amp; Design\Design\FC22\DRR Jaime\QUIFA-CAJÚA\Cajua\[CAJUA_CF_SEC_New_27-Feb-2024Rev3.xlsx]D-PNP'!$CB$35</v>
      </c>
      <c r="J3825" s="37" t="s">
        <v>3947</v>
      </c>
    </row>
    <row r="3826" spans="1:10" x14ac:dyDescent="0.25">
      <c r="A3826" s="32" t="s">
        <v>2</v>
      </c>
      <c r="B3826" s="32">
        <f t="shared" si="927"/>
        <v>2047</v>
      </c>
      <c r="C3826" s="33" t="s">
        <v>109</v>
      </c>
      <c r="D3826" s="34" t="s">
        <v>1999</v>
      </c>
      <c r="E3826" s="35" t="str">
        <f t="shared" si="923"/>
        <v>PNP'!</v>
      </c>
      <c r="F3826" s="34" t="str">
        <f t="shared" si="924"/>
        <v>C:\Users\jaime.benazar\Quorum Business Solutions\Ecopetrol Prometeo - Documents\Planning Space Implementation\3. Analysis &amp; Design\Design\FC22\DRR Jaime\QUIFA-CAJÚA\Cajua\[CAJUA_CF_SEC_New_27-Feb-2024Rev3.xlsx]D-PNP'!</v>
      </c>
      <c r="G3826" s="32" t="s">
        <v>114</v>
      </c>
      <c r="H3826" s="33">
        <f t="shared" si="925"/>
        <v>36</v>
      </c>
      <c r="I3826" s="33" t="str">
        <f t="shared" si="926"/>
        <v>='C:\Users\jaime.benazar\Quorum Business Solutions\Ecopetrol Prometeo - Documents\Planning Space Implementation\3. Analysis &amp; Design\Design\FC22\DRR Jaime\QUIFA-CAJÚA\Cajua\[CAJUA_CF_SEC_New_27-Feb-2024Rev3.xlsx]D-PNP'!$CB$36</v>
      </c>
      <c r="J3826" s="37" t="s">
        <v>3948</v>
      </c>
    </row>
    <row r="3827" spans="1:10" x14ac:dyDescent="0.25">
      <c r="A3827" s="32" t="s">
        <v>2</v>
      </c>
      <c r="B3827" s="32">
        <f t="shared" si="927"/>
        <v>2048</v>
      </c>
      <c r="C3827" s="33" t="s">
        <v>109</v>
      </c>
      <c r="D3827" s="34" t="s">
        <v>1999</v>
      </c>
      <c r="E3827" s="35" t="str">
        <f t="shared" si="923"/>
        <v>PNP'!</v>
      </c>
      <c r="F3827" s="34" t="str">
        <f t="shared" si="924"/>
        <v>C:\Users\jaime.benazar\Quorum Business Solutions\Ecopetrol Prometeo - Documents\Planning Space Implementation\3. Analysis &amp; Design\Design\FC22\DRR Jaime\QUIFA-CAJÚA\Cajua\[CAJUA_CF_SEC_New_27-Feb-2024Rev3.xlsx]D-PNP'!</v>
      </c>
      <c r="G3827" s="32" t="s">
        <v>114</v>
      </c>
      <c r="H3827" s="33">
        <f t="shared" si="925"/>
        <v>37</v>
      </c>
      <c r="I3827" s="33" t="str">
        <f t="shared" si="926"/>
        <v>='C:\Users\jaime.benazar\Quorum Business Solutions\Ecopetrol Prometeo - Documents\Planning Space Implementation\3. Analysis &amp; Design\Design\FC22\DRR Jaime\QUIFA-CAJÚA\Cajua\[CAJUA_CF_SEC_New_27-Feb-2024Rev3.xlsx]D-PNP'!$CB$37</v>
      </c>
      <c r="J3827" s="37" t="s">
        <v>3949</v>
      </c>
    </row>
    <row r="3828" spans="1:10" x14ac:dyDescent="0.25">
      <c r="A3828" s="32" t="s">
        <v>2</v>
      </c>
      <c r="B3828" s="32">
        <f t="shared" si="927"/>
        <v>2049</v>
      </c>
      <c r="C3828" s="33" t="s">
        <v>109</v>
      </c>
      <c r="D3828" s="34" t="s">
        <v>1999</v>
      </c>
      <c r="E3828" s="35" t="str">
        <f t="shared" si="923"/>
        <v>PNP'!</v>
      </c>
      <c r="F3828" s="34" t="str">
        <f t="shared" si="924"/>
        <v>C:\Users\jaime.benazar\Quorum Business Solutions\Ecopetrol Prometeo - Documents\Planning Space Implementation\3. Analysis &amp; Design\Design\FC22\DRR Jaime\QUIFA-CAJÚA\Cajua\[CAJUA_CF_SEC_New_27-Feb-2024Rev3.xlsx]D-PNP'!</v>
      </c>
      <c r="G3828" s="32" t="s">
        <v>114</v>
      </c>
      <c r="H3828" s="33">
        <f t="shared" si="925"/>
        <v>38</v>
      </c>
      <c r="I3828" s="33" t="str">
        <f t="shared" si="926"/>
        <v>='C:\Users\jaime.benazar\Quorum Business Solutions\Ecopetrol Prometeo - Documents\Planning Space Implementation\3. Analysis &amp; Design\Design\FC22\DRR Jaime\QUIFA-CAJÚA\Cajua\[CAJUA_CF_SEC_New_27-Feb-2024Rev3.xlsx]D-PNP'!$CB$38</v>
      </c>
      <c r="J3828" s="37" t="s">
        <v>3950</v>
      </c>
    </row>
    <row r="3829" spans="1:10" x14ac:dyDescent="0.25">
      <c r="A3829" s="32" t="s">
        <v>2</v>
      </c>
      <c r="B3829" s="32">
        <f t="shared" si="927"/>
        <v>2050</v>
      </c>
      <c r="C3829" s="33" t="s">
        <v>109</v>
      </c>
      <c r="D3829" s="34" t="s">
        <v>1999</v>
      </c>
      <c r="E3829" s="35" t="str">
        <f t="shared" si="923"/>
        <v>PNP'!</v>
      </c>
      <c r="F3829" s="34" t="str">
        <f t="shared" si="924"/>
        <v>C:\Users\jaime.benazar\Quorum Business Solutions\Ecopetrol Prometeo - Documents\Planning Space Implementation\3. Analysis &amp; Design\Design\FC22\DRR Jaime\QUIFA-CAJÚA\Cajua\[CAJUA_CF_SEC_New_27-Feb-2024Rev3.xlsx]D-PNP'!</v>
      </c>
      <c r="G3829" s="32" t="s">
        <v>114</v>
      </c>
      <c r="H3829" s="33">
        <f t="shared" si="925"/>
        <v>39</v>
      </c>
      <c r="I3829" s="33" t="str">
        <f t="shared" si="926"/>
        <v>='C:\Users\jaime.benazar\Quorum Business Solutions\Ecopetrol Prometeo - Documents\Planning Space Implementation\3. Analysis &amp; Design\Design\FC22\DRR Jaime\QUIFA-CAJÚA\Cajua\[CAJUA_CF_SEC_New_27-Feb-2024Rev3.xlsx]D-PNP'!$CB$39</v>
      </c>
      <c r="J3829" s="37" t="s">
        <v>3951</v>
      </c>
    </row>
    <row r="3830" spans="1:10" x14ac:dyDescent="0.25">
      <c r="A3830" s="32" t="s">
        <v>2</v>
      </c>
      <c r="B3830" s="32">
        <f t="shared" si="927"/>
        <v>2051</v>
      </c>
      <c r="C3830" s="33" t="s">
        <v>109</v>
      </c>
      <c r="D3830" s="34" t="s">
        <v>1999</v>
      </c>
      <c r="E3830" s="35" t="str">
        <f t="shared" si="923"/>
        <v>PNP'!</v>
      </c>
      <c r="F3830" s="34" t="str">
        <f t="shared" si="924"/>
        <v>C:\Users\jaime.benazar\Quorum Business Solutions\Ecopetrol Prometeo - Documents\Planning Space Implementation\3. Analysis &amp; Design\Design\FC22\DRR Jaime\QUIFA-CAJÚA\Cajua\[CAJUA_CF_SEC_New_27-Feb-2024Rev3.xlsx]D-PNP'!</v>
      </c>
      <c r="G3830" s="32" t="s">
        <v>114</v>
      </c>
      <c r="H3830" s="33">
        <f t="shared" si="925"/>
        <v>40</v>
      </c>
      <c r="I3830" s="33" t="str">
        <f t="shared" si="926"/>
        <v>='C:\Users\jaime.benazar\Quorum Business Solutions\Ecopetrol Prometeo - Documents\Planning Space Implementation\3. Analysis &amp; Design\Design\FC22\DRR Jaime\QUIFA-CAJÚA\Cajua\[CAJUA_CF_SEC_New_27-Feb-2024Rev3.xlsx]D-PNP'!$CB$40</v>
      </c>
      <c r="J3830" s="37" t="s">
        <v>3952</v>
      </c>
    </row>
    <row r="3831" spans="1:10" x14ac:dyDescent="0.25">
      <c r="A3831" s="32" t="s">
        <v>2</v>
      </c>
      <c r="B3831" s="32">
        <f t="shared" si="927"/>
        <v>2052</v>
      </c>
      <c r="C3831" s="33" t="s">
        <v>109</v>
      </c>
      <c r="D3831" s="34" t="s">
        <v>1999</v>
      </c>
      <c r="E3831" s="35" t="str">
        <f t="shared" si="923"/>
        <v>PNP'!</v>
      </c>
      <c r="F3831" s="34" t="str">
        <f t="shared" si="924"/>
        <v>C:\Users\jaime.benazar\Quorum Business Solutions\Ecopetrol Prometeo - Documents\Planning Space Implementation\3. Analysis &amp; Design\Design\FC22\DRR Jaime\QUIFA-CAJÚA\Cajua\[CAJUA_CF_SEC_New_27-Feb-2024Rev3.xlsx]D-PNP'!</v>
      </c>
      <c r="G3831" s="32" t="s">
        <v>114</v>
      </c>
      <c r="H3831" s="33">
        <f t="shared" si="925"/>
        <v>41</v>
      </c>
      <c r="I3831" s="33" t="str">
        <f t="shared" si="926"/>
        <v>='C:\Users\jaime.benazar\Quorum Business Solutions\Ecopetrol Prometeo - Documents\Planning Space Implementation\3. Analysis &amp; Design\Design\FC22\DRR Jaime\QUIFA-CAJÚA\Cajua\[CAJUA_CF_SEC_New_27-Feb-2024Rev3.xlsx]D-PNP'!$CB$41</v>
      </c>
      <c r="J3831" s="37" t="s">
        <v>3953</v>
      </c>
    </row>
    <row r="3832" spans="1:10" x14ac:dyDescent="0.25">
      <c r="A3832" s="32" t="s">
        <v>2</v>
      </c>
      <c r="B3832" s="32">
        <f t="shared" si="927"/>
        <v>2053</v>
      </c>
      <c r="C3832" s="33" t="s">
        <v>109</v>
      </c>
      <c r="D3832" s="34" t="s">
        <v>1999</v>
      </c>
      <c r="E3832" s="35" t="str">
        <f t="shared" si="923"/>
        <v>PNP'!</v>
      </c>
      <c r="F3832" s="34" t="str">
        <f t="shared" si="924"/>
        <v>C:\Users\jaime.benazar\Quorum Business Solutions\Ecopetrol Prometeo - Documents\Planning Space Implementation\3. Analysis &amp; Design\Design\FC22\DRR Jaime\QUIFA-CAJÚA\Cajua\[CAJUA_CF_SEC_New_27-Feb-2024Rev3.xlsx]D-PNP'!</v>
      </c>
      <c r="G3832" s="32" t="s">
        <v>114</v>
      </c>
      <c r="H3832" s="33">
        <f t="shared" si="925"/>
        <v>42</v>
      </c>
      <c r="I3832" s="33" t="str">
        <f t="shared" si="926"/>
        <v>='C:\Users\jaime.benazar\Quorum Business Solutions\Ecopetrol Prometeo - Documents\Planning Space Implementation\3. Analysis &amp; Design\Design\FC22\DRR Jaime\QUIFA-CAJÚA\Cajua\[CAJUA_CF_SEC_New_27-Feb-2024Rev3.xlsx]D-PNP'!$CB$42</v>
      </c>
      <c r="J3832" s="37" t="s">
        <v>3954</v>
      </c>
    </row>
    <row r="3833" spans="1:10" x14ac:dyDescent="0.25">
      <c r="A3833" s="32" t="s">
        <v>2</v>
      </c>
      <c r="B3833" s="32">
        <f t="shared" si="927"/>
        <v>2054</v>
      </c>
      <c r="C3833" s="33" t="s">
        <v>109</v>
      </c>
      <c r="D3833" s="34" t="s">
        <v>1999</v>
      </c>
      <c r="E3833" s="35" t="str">
        <f t="shared" si="923"/>
        <v>PNP'!</v>
      </c>
      <c r="F3833" s="34" t="str">
        <f t="shared" si="924"/>
        <v>C:\Users\jaime.benazar\Quorum Business Solutions\Ecopetrol Prometeo - Documents\Planning Space Implementation\3. Analysis &amp; Design\Design\FC22\DRR Jaime\QUIFA-CAJÚA\Cajua\[CAJUA_CF_SEC_New_27-Feb-2024Rev3.xlsx]D-PNP'!</v>
      </c>
      <c r="G3833" s="32" t="s">
        <v>114</v>
      </c>
      <c r="H3833" s="33">
        <f t="shared" si="925"/>
        <v>43</v>
      </c>
      <c r="I3833" s="33" t="str">
        <f t="shared" si="926"/>
        <v>='C:\Users\jaime.benazar\Quorum Business Solutions\Ecopetrol Prometeo - Documents\Planning Space Implementation\3. Analysis &amp; Design\Design\FC22\DRR Jaime\QUIFA-CAJÚA\Cajua\[CAJUA_CF_SEC_New_27-Feb-2024Rev3.xlsx]D-PNP'!$CB$43</v>
      </c>
      <c r="J3833" s="37" t="s">
        <v>3955</v>
      </c>
    </row>
    <row r="3834" spans="1:10" x14ac:dyDescent="0.25">
      <c r="A3834" s="32" t="s">
        <v>2</v>
      </c>
      <c r="B3834" s="32">
        <f t="shared" si="927"/>
        <v>2055</v>
      </c>
      <c r="C3834" s="33" t="s">
        <v>109</v>
      </c>
      <c r="D3834" s="34" t="s">
        <v>1999</v>
      </c>
      <c r="E3834" s="35" t="str">
        <f t="shared" si="923"/>
        <v>PNP'!</v>
      </c>
      <c r="F3834" s="34" t="str">
        <f t="shared" si="924"/>
        <v>C:\Users\jaime.benazar\Quorum Business Solutions\Ecopetrol Prometeo - Documents\Planning Space Implementation\3. Analysis &amp; Design\Design\FC22\DRR Jaime\QUIFA-CAJÚA\Cajua\[CAJUA_CF_SEC_New_27-Feb-2024Rev3.xlsx]D-PNP'!</v>
      </c>
      <c r="G3834" s="32" t="s">
        <v>114</v>
      </c>
      <c r="H3834" s="33">
        <f t="shared" si="925"/>
        <v>44</v>
      </c>
      <c r="I3834" s="33" t="str">
        <f t="shared" si="926"/>
        <v>='C:\Users\jaime.benazar\Quorum Business Solutions\Ecopetrol Prometeo - Documents\Planning Space Implementation\3. Analysis &amp; Design\Design\FC22\DRR Jaime\QUIFA-CAJÚA\Cajua\[CAJUA_CF_SEC_New_27-Feb-2024Rev3.xlsx]D-PNP'!$CB$44</v>
      </c>
      <c r="J3834" s="37" t="s">
        <v>3956</v>
      </c>
    </row>
    <row r="3835" spans="1:10" x14ac:dyDescent="0.25">
      <c r="A3835" s="32" t="s">
        <v>2</v>
      </c>
      <c r="B3835" s="32">
        <f t="shared" si="927"/>
        <v>2056</v>
      </c>
      <c r="C3835" s="33" t="s">
        <v>109</v>
      </c>
      <c r="D3835" s="34" t="s">
        <v>1999</v>
      </c>
      <c r="E3835" s="35" t="str">
        <f t="shared" si="923"/>
        <v>PNP'!</v>
      </c>
      <c r="F3835" s="34" t="str">
        <f t="shared" si="924"/>
        <v>C:\Users\jaime.benazar\Quorum Business Solutions\Ecopetrol Prometeo - Documents\Planning Space Implementation\3. Analysis &amp; Design\Design\FC22\DRR Jaime\QUIFA-CAJÚA\Cajua\[CAJUA_CF_SEC_New_27-Feb-2024Rev3.xlsx]D-PNP'!</v>
      </c>
      <c r="G3835" s="32" t="s">
        <v>114</v>
      </c>
      <c r="H3835" s="33">
        <f t="shared" si="925"/>
        <v>45</v>
      </c>
      <c r="I3835" s="33" t="str">
        <f t="shared" si="926"/>
        <v>='C:\Users\jaime.benazar\Quorum Business Solutions\Ecopetrol Prometeo - Documents\Planning Space Implementation\3. Analysis &amp; Design\Design\FC22\DRR Jaime\QUIFA-CAJÚA\Cajua\[CAJUA_CF_SEC_New_27-Feb-2024Rev3.xlsx]D-PNP'!$CB$45</v>
      </c>
      <c r="J3835" s="37" t="s">
        <v>3957</v>
      </c>
    </row>
    <row r="3836" spans="1:10" x14ac:dyDescent="0.25">
      <c r="A3836" s="32" t="s">
        <v>2</v>
      </c>
      <c r="B3836" s="32">
        <f t="shared" si="927"/>
        <v>2057</v>
      </c>
      <c r="C3836" s="33" t="s">
        <v>109</v>
      </c>
      <c r="D3836" s="34" t="s">
        <v>1999</v>
      </c>
      <c r="E3836" s="35" t="str">
        <f t="shared" si="923"/>
        <v>PNP'!</v>
      </c>
      <c r="F3836" s="34" t="str">
        <f t="shared" si="924"/>
        <v>C:\Users\jaime.benazar\Quorum Business Solutions\Ecopetrol Prometeo - Documents\Planning Space Implementation\3. Analysis &amp; Design\Design\FC22\DRR Jaime\QUIFA-CAJÚA\Cajua\[CAJUA_CF_SEC_New_27-Feb-2024Rev3.xlsx]D-PNP'!</v>
      </c>
      <c r="G3836" s="32" t="s">
        <v>114</v>
      </c>
      <c r="H3836" s="33">
        <f t="shared" si="925"/>
        <v>46</v>
      </c>
      <c r="I3836" s="33" t="str">
        <f t="shared" si="926"/>
        <v>='C:\Users\jaime.benazar\Quorum Business Solutions\Ecopetrol Prometeo - Documents\Planning Space Implementation\3. Analysis &amp; Design\Design\FC22\DRR Jaime\QUIFA-CAJÚA\Cajua\[CAJUA_CF_SEC_New_27-Feb-2024Rev3.xlsx]D-PNP'!$CB$46</v>
      </c>
      <c r="J3836" s="37" t="s">
        <v>3958</v>
      </c>
    </row>
    <row r="3837" spans="1:10" x14ac:dyDescent="0.25">
      <c r="A3837" s="32" t="s">
        <v>2</v>
      </c>
      <c r="B3837" s="32">
        <f t="shared" si="927"/>
        <v>2058</v>
      </c>
      <c r="C3837" s="33" t="s">
        <v>109</v>
      </c>
      <c r="D3837" s="34" t="s">
        <v>1999</v>
      </c>
      <c r="E3837" s="35" t="str">
        <f t="shared" si="923"/>
        <v>PNP'!</v>
      </c>
      <c r="F3837" s="34" t="str">
        <f t="shared" si="924"/>
        <v>C:\Users\jaime.benazar\Quorum Business Solutions\Ecopetrol Prometeo - Documents\Planning Space Implementation\3. Analysis &amp; Design\Design\FC22\DRR Jaime\QUIFA-CAJÚA\Cajua\[CAJUA_CF_SEC_New_27-Feb-2024Rev3.xlsx]D-PNP'!</v>
      </c>
      <c r="G3837" s="32" t="s">
        <v>114</v>
      </c>
      <c r="H3837" s="33">
        <f t="shared" si="925"/>
        <v>47</v>
      </c>
      <c r="I3837" s="33" t="str">
        <f t="shared" si="926"/>
        <v>='C:\Users\jaime.benazar\Quorum Business Solutions\Ecopetrol Prometeo - Documents\Planning Space Implementation\3. Analysis &amp; Design\Design\FC22\DRR Jaime\QUIFA-CAJÚA\Cajua\[CAJUA_CF_SEC_New_27-Feb-2024Rev3.xlsx]D-PNP'!$CB$47</v>
      </c>
      <c r="J3837" s="37" t="s">
        <v>3959</v>
      </c>
    </row>
    <row r="3838" spans="1:10" x14ac:dyDescent="0.25">
      <c r="A3838" s="32" t="s">
        <v>2</v>
      </c>
      <c r="B3838" s="32">
        <f t="shared" si="927"/>
        <v>2059</v>
      </c>
      <c r="C3838" s="33" t="s">
        <v>109</v>
      </c>
      <c r="D3838" s="34" t="s">
        <v>1999</v>
      </c>
      <c r="E3838" s="35" t="str">
        <f t="shared" si="923"/>
        <v>PNP'!</v>
      </c>
      <c r="F3838" s="34" t="str">
        <f t="shared" si="924"/>
        <v>C:\Users\jaime.benazar\Quorum Business Solutions\Ecopetrol Prometeo - Documents\Planning Space Implementation\3. Analysis &amp; Design\Design\FC22\DRR Jaime\QUIFA-CAJÚA\Cajua\[CAJUA_CF_SEC_New_27-Feb-2024Rev3.xlsx]D-PNP'!</v>
      </c>
      <c r="G3838" s="32" t="s">
        <v>114</v>
      </c>
      <c r="H3838" s="33">
        <f t="shared" si="925"/>
        <v>48</v>
      </c>
      <c r="I3838" s="33" t="str">
        <f t="shared" si="926"/>
        <v>='C:\Users\jaime.benazar\Quorum Business Solutions\Ecopetrol Prometeo - Documents\Planning Space Implementation\3. Analysis &amp; Design\Design\FC22\DRR Jaime\QUIFA-CAJÚA\Cajua\[CAJUA_CF_SEC_New_27-Feb-2024Rev3.xlsx]D-PNP'!$CB$48</v>
      </c>
      <c r="J3838" s="37" t="s">
        <v>3960</v>
      </c>
    </row>
    <row r="3839" spans="1:10" x14ac:dyDescent="0.25">
      <c r="A3839" s="32" t="s">
        <v>28</v>
      </c>
      <c r="B3839" s="32"/>
      <c r="C3839" s="33" t="s">
        <v>109</v>
      </c>
      <c r="D3839" s="34"/>
      <c r="E3839" s="35"/>
      <c r="F3839" s="34"/>
      <c r="G3839" s="32"/>
      <c r="H3839" s="33"/>
      <c r="I3839" s="33"/>
      <c r="J3839" s="33"/>
    </row>
    <row r="3840" spans="1:10" x14ac:dyDescent="0.25">
      <c r="A3840" s="32" t="s">
        <v>3</v>
      </c>
      <c r="B3840" s="32">
        <v>2023</v>
      </c>
      <c r="C3840" s="33" t="s">
        <v>109</v>
      </c>
      <c r="D3840" s="34" t="s">
        <v>1999</v>
      </c>
      <c r="E3840" s="35" t="str">
        <f t="shared" ref="E3840:E3860" si="928">_xlfn.CONCAT(A3840,"'!")</f>
        <v>PND'!</v>
      </c>
      <c r="F3840" s="34" t="str">
        <f t="shared" ref="F3840:F3860" si="929">_xlfn.CONCAT(D3840:E3840)</f>
        <v>C:\Users\jaime.benazar\Quorum Business Solutions\Ecopetrol Prometeo - Documents\Planning Space Implementation\3. Analysis &amp; Design\Design\FC22\DRR Jaime\QUIFA-CAJÚA\Cajua\[CAJUA_CF_SEC_New_27-Feb-2024Rev3.xlsx]D-PND'!</v>
      </c>
      <c r="G3840" s="32" t="s">
        <v>114</v>
      </c>
      <c r="H3840" s="33">
        <v>12</v>
      </c>
      <c r="I3840" s="33" t="str">
        <f t="shared" ref="I3840:I3860" si="930">_xlfn.CONCAT("='",F3840:H3840)</f>
        <v>='C:\Users\jaime.benazar\Quorum Business Solutions\Ecopetrol Prometeo - Documents\Planning Space Implementation\3. Analysis &amp; Design\Design\FC22\DRR Jaime\QUIFA-CAJÚA\Cajua\[CAJUA_CF_SEC_New_27-Feb-2024Rev3.xlsx]D-PND'!$CB$12</v>
      </c>
      <c r="J3840" s="37" t="s">
        <v>3961</v>
      </c>
    </row>
    <row r="3841" spans="1:10" x14ac:dyDescent="0.25">
      <c r="A3841" s="32" t="s">
        <v>3</v>
      </c>
      <c r="B3841" s="32">
        <f>+B3840+1</f>
        <v>2024</v>
      </c>
      <c r="C3841" s="33" t="s">
        <v>109</v>
      </c>
      <c r="D3841" s="34" t="s">
        <v>1999</v>
      </c>
      <c r="E3841" s="35" t="str">
        <f t="shared" si="928"/>
        <v>PND'!</v>
      </c>
      <c r="F3841" s="34" t="str">
        <f t="shared" si="929"/>
        <v>C:\Users\jaime.benazar\Quorum Business Solutions\Ecopetrol Prometeo - Documents\Planning Space Implementation\3. Analysis &amp; Design\Design\FC22\DRR Jaime\QUIFA-CAJÚA\Cajua\[CAJUA_CF_SEC_New_27-Feb-2024Rev3.xlsx]D-PND'!</v>
      </c>
      <c r="G3841" s="32" t="s">
        <v>114</v>
      </c>
      <c r="H3841" s="33">
        <f t="shared" ref="H3841:H3860" si="931">IF(A3841&lt;&gt;A3840,12,H3840+1)</f>
        <v>13</v>
      </c>
      <c r="I3841" s="33" t="str">
        <f t="shared" si="930"/>
        <v>='C:\Users\jaime.benazar\Quorum Business Solutions\Ecopetrol Prometeo - Documents\Planning Space Implementation\3. Analysis &amp; Design\Design\FC22\DRR Jaime\QUIFA-CAJÚA\Cajua\[CAJUA_CF_SEC_New_27-Feb-2024Rev3.xlsx]D-PND'!$CB$13</v>
      </c>
      <c r="J3841" s="37" t="s">
        <v>3962</v>
      </c>
    </row>
    <row r="3842" spans="1:10" x14ac:dyDescent="0.25">
      <c r="A3842" s="32" t="s">
        <v>3</v>
      </c>
      <c r="B3842" s="32">
        <f t="shared" ref="B3842:B3853" si="932">+B3841+1</f>
        <v>2025</v>
      </c>
      <c r="C3842" s="33" t="s">
        <v>109</v>
      </c>
      <c r="D3842" s="34" t="s">
        <v>1999</v>
      </c>
      <c r="E3842" s="35" t="str">
        <f t="shared" si="928"/>
        <v>PND'!</v>
      </c>
      <c r="F3842" s="34" t="str">
        <f t="shared" si="929"/>
        <v>C:\Users\jaime.benazar\Quorum Business Solutions\Ecopetrol Prometeo - Documents\Planning Space Implementation\3. Analysis &amp; Design\Design\FC22\DRR Jaime\QUIFA-CAJÚA\Cajua\[CAJUA_CF_SEC_New_27-Feb-2024Rev3.xlsx]D-PND'!</v>
      </c>
      <c r="G3842" s="32" t="s">
        <v>114</v>
      </c>
      <c r="H3842" s="33">
        <f t="shared" si="931"/>
        <v>14</v>
      </c>
      <c r="I3842" s="33" t="str">
        <f t="shared" si="930"/>
        <v>='C:\Users\jaime.benazar\Quorum Business Solutions\Ecopetrol Prometeo - Documents\Planning Space Implementation\3. Analysis &amp; Design\Design\FC22\DRR Jaime\QUIFA-CAJÚA\Cajua\[CAJUA_CF_SEC_New_27-Feb-2024Rev3.xlsx]D-PND'!$CB$14</v>
      </c>
      <c r="J3842" s="37" t="s">
        <v>3963</v>
      </c>
    </row>
    <row r="3843" spans="1:10" x14ac:dyDescent="0.25">
      <c r="A3843" s="32" t="s">
        <v>3</v>
      </c>
      <c r="B3843" s="32">
        <f t="shared" si="932"/>
        <v>2026</v>
      </c>
      <c r="C3843" s="33" t="s">
        <v>109</v>
      </c>
      <c r="D3843" s="34" t="s">
        <v>1999</v>
      </c>
      <c r="E3843" s="35" t="str">
        <f t="shared" si="928"/>
        <v>PND'!</v>
      </c>
      <c r="F3843" s="34" t="str">
        <f t="shared" si="929"/>
        <v>C:\Users\jaime.benazar\Quorum Business Solutions\Ecopetrol Prometeo - Documents\Planning Space Implementation\3. Analysis &amp; Design\Design\FC22\DRR Jaime\QUIFA-CAJÚA\Cajua\[CAJUA_CF_SEC_New_27-Feb-2024Rev3.xlsx]D-PND'!</v>
      </c>
      <c r="G3843" s="32" t="s">
        <v>114</v>
      </c>
      <c r="H3843" s="33">
        <f t="shared" si="931"/>
        <v>15</v>
      </c>
      <c r="I3843" s="33" t="str">
        <f t="shared" si="930"/>
        <v>='C:\Users\jaime.benazar\Quorum Business Solutions\Ecopetrol Prometeo - Documents\Planning Space Implementation\3. Analysis &amp; Design\Design\FC22\DRR Jaime\QUIFA-CAJÚA\Cajua\[CAJUA_CF_SEC_New_27-Feb-2024Rev3.xlsx]D-PND'!$CB$15</v>
      </c>
      <c r="J3843" s="37" t="s">
        <v>3964</v>
      </c>
    </row>
    <row r="3844" spans="1:10" x14ac:dyDescent="0.25">
      <c r="A3844" s="32" t="s">
        <v>3</v>
      </c>
      <c r="B3844" s="32">
        <f t="shared" si="932"/>
        <v>2027</v>
      </c>
      <c r="C3844" s="33" t="s">
        <v>109</v>
      </c>
      <c r="D3844" s="34" t="s">
        <v>1999</v>
      </c>
      <c r="E3844" s="35" t="str">
        <f t="shared" si="928"/>
        <v>PND'!</v>
      </c>
      <c r="F3844" s="34" t="str">
        <f t="shared" si="929"/>
        <v>C:\Users\jaime.benazar\Quorum Business Solutions\Ecopetrol Prometeo - Documents\Planning Space Implementation\3. Analysis &amp; Design\Design\FC22\DRR Jaime\QUIFA-CAJÚA\Cajua\[CAJUA_CF_SEC_New_27-Feb-2024Rev3.xlsx]D-PND'!</v>
      </c>
      <c r="G3844" s="32" t="s">
        <v>114</v>
      </c>
      <c r="H3844" s="33">
        <f t="shared" si="931"/>
        <v>16</v>
      </c>
      <c r="I3844" s="33" t="str">
        <f t="shared" si="930"/>
        <v>='C:\Users\jaime.benazar\Quorum Business Solutions\Ecopetrol Prometeo - Documents\Planning Space Implementation\3. Analysis &amp; Design\Design\FC22\DRR Jaime\QUIFA-CAJÚA\Cajua\[CAJUA_CF_SEC_New_27-Feb-2024Rev3.xlsx]D-PND'!$CB$16</v>
      </c>
      <c r="J3844" s="37" t="s">
        <v>3965</v>
      </c>
    </row>
    <row r="3845" spans="1:10" x14ac:dyDescent="0.25">
      <c r="A3845" s="32" t="s">
        <v>3</v>
      </c>
      <c r="B3845" s="32">
        <f t="shared" si="932"/>
        <v>2028</v>
      </c>
      <c r="C3845" s="33" t="s">
        <v>109</v>
      </c>
      <c r="D3845" s="34" t="s">
        <v>1999</v>
      </c>
      <c r="E3845" s="35" t="str">
        <f t="shared" si="928"/>
        <v>PND'!</v>
      </c>
      <c r="F3845" s="34" t="str">
        <f t="shared" si="929"/>
        <v>C:\Users\jaime.benazar\Quorum Business Solutions\Ecopetrol Prometeo - Documents\Planning Space Implementation\3. Analysis &amp; Design\Design\FC22\DRR Jaime\QUIFA-CAJÚA\Cajua\[CAJUA_CF_SEC_New_27-Feb-2024Rev3.xlsx]D-PND'!</v>
      </c>
      <c r="G3845" s="32" t="s">
        <v>114</v>
      </c>
      <c r="H3845" s="33">
        <f t="shared" si="931"/>
        <v>17</v>
      </c>
      <c r="I3845" s="33" t="str">
        <f t="shared" si="930"/>
        <v>='C:\Users\jaime.benazar\Quorum Business Solutions\Ecopetrol Prometeo - Documents\Planning Space Implementation\3. Analysis &amp; Design\Design\FC22\DRR Jaime\QUIFA-CAJÚA\Cajua\[CAJUA_CF_SEC_New_27-Feb-2024Rev3.xlsx]D-PND'!$CB$17</v>
      </c>
      <c r="J3845" s="37" t="s">
        <v>3966</v>
      </c>
    </row>
    <row r="3846" spans="1:10" x14ac:dyDescent="0.25">
      <c r="A3846" s="32" t="s">
        <v>3</v>
      </c>
      <c r="B3846" s="32">
        <f t="shared" si="932"/>
        <v>2029</v>
      </c>
      <c r="C3846" s="33" t="s">
        <v>109</v>
      </c>
      <c r="D3846" s="34" t="s">
        <v>1999</v>
      </c>
      <c r="E3846" s="35" t="str">
        <f t="shared" si="928"/>
        <v>PND'!</v>
      </c>
      <c r="F3846" s="34" t="str">
        <f t="shared" si="929"/>
        <v>C:\Users\jaime.benazar\Quorum Business Solutions\Ecopetrol Prometeo - Documents\Planning Space Implementation\3. Analysis &amp; Design\Design\FC22\DRR Jaime\QUIFA-CAJÚA\Cajua\[CAJUA_CF_SEC_New_27-Feb-2024Rev3.xlsx]D-PND'!</v>
      </c>
      <c r="G3846" s="32" t="s">
        <v>114</v>
      </c>
      <c r="H3846" s="33">
        <f t="shared" si="931"/>
        <v>18</v>
      </c>
      <c r="I3846" s="33" t="str">
        <f t="shared" si="930"/>
        <v>='C:\Users\jaime.benazar\Quorum Business Solutions\Ecopetrol Prometeo - Documents\Planning Space Implementation\3. Analysis &amp; Design\Design\FC22\DRR Jaime\QUIFA-CAJÚA\Cajua\[CAJUA_CF_SEC_New_27-Feb-2024Rev3.xlsx]D-PND'!$CB$18</v>
      </c>
      <c r="J3846" s="37" t="s">
        <v>3967</v>
      </c>
    </row>
    <row r="3847" spans="1:10" x14ac:dyDescent="0.25">
      <c r="A3847" s="32" t="s">
        <v>3</v>
      </c>
      <c r="B3847" s="32">
        <f t="shared" si="932"/>
        <v>2030</v>
      </c>
      <c r="C3847" s="33" t="s">
        <v>109</v>
      </c>
      <c r="D3847" s="34" t="s">
        <v>1999</v>
      </c>
      <c r="E3847" s="35" t="str">
        <f t="shared" si="928"/>
        <v>PND'!</v>
      </c>
      <c r="F3847" s="34" t="str">
        <f t="shared" si="929"/>
        <v>C:\Users\jaime.benazar\Quorum Business Solutions\Ecopetrol Prometeo - Documents\Planning Space Implementation\3. Analysis &amp; Design\Design\FC22\DRR Jaime\QUIFA-CAJÚA\Cajua\[CAJUA_CF_SEC_New_27-Feb-2024Rev3.xlsx]D-PND'!</v>
      </c>
      <c r="G3847" s="32" t="s">
        <v>114</v>
      </c>
      <c r="H3847" s="33">
        <f t="shared" si="931"/>
        <v>19</v>
      </c>
      <c r="I3847" s="33" t="str">
        <f t="shared" si="930"/>
        <v>='C:\Users\jaime.benazar\Quorum Business Solutions\Ecopetrol Prometeo - Documents\Planning Space Implementation\3. Analysis &amp; Design\Design\FC22\DRR Jaime\QUIFA-CAJÚA\Cajua\[CAJUA_CF_SEC_New_27-Feb-2024Rev3.xlsx]D-PND'!$CB$19</v>
      </c>
      <c r="J3847" s="37" t="s">
        <v>3968</v>
      </c>
    </row>
    <row r="3848" spans="1:10" x14ac:dyDescent="0.25">
      <c r="A3848" s="32" t="s">
        <v>3</v>
      </c>
      <c r="B3848" s="32">
        <f t="shared" si="932"/>
        <v>2031</v>
      </c>
      <c r="C3848" s="33" t="s">
        <v>109</v>
      </c>
      <c r="D3848" s="34" t="s">
        <v>1999</v>
      </c>
      <c r="E3848" s="35" t="str">
        <f t="shared" si="928"/>
        <v>PND'!</v>
      </c>
      <c r="F3848" s="34" t="str">
        <f t="shared" si="929"/>
        <v>C:\Users\jaime.benazar\Quorum Business Solutions\Ecopetrol Prometeo - Documents\Planning Space Implementation\3. Analysis &amp; Design\Design\FC22\DRR Jaime\QUIFA-CAJÚA\Cajua\[CAJUA_CF_SEC_New_27-Feb-2024Rev3.xlsx]D-PND'!</v>
      </c>
      <c r="G3848" s="32" t="s">
        <v>114</v>
      </c>
      <c r="H3848" s="33">
        <f t="shared" si="931"/>
        <v>20</v>
      </c>
      <c r="I3848" s="33" t="str">
        <f t="shared" si="930"/>
        <v>='C:\Users\jaime.benazar\Quorum Business Solutions\Ecopetrol Prometeo - Documents\Planning Space Implementation\3. Analysis &amp; Design\Design\FC22\DRR Jaime\QUIFA-CAJÚA\Cajua\[CAJUA_CF_SEC_New_27-Feb-2024Rev3.xlsx]D-PND'!$CB$20</v>
      </c>
      <c r="J3848" s="37" t="s">
        <v>3969</v>
      </c>
    </row>
    <row r="3849" spans="1:10" x14ac:dyDescent="0.25">
      <c r="A3849" s="32" t="s">
        <v>3</v>
      </c>
      <c r="B3849" s="32">
        <f t="shared" si="932"/>
        <v>2032</v>
      </c>
      <c r="C3849" s="33" t="s">
        <v>109</v>
      </c>
      <c r="D3849" s="34" t="s">
        <v>1999</v>
      </c>
      <c r="E3849" s="35" t="str">
        <f t="shared" si="928"/>
        <v>PND'!</v>
      </c>
      <c r="F3849" s="34" t="str">
        <f t="shared" si="929"/>
        <v>C:\Users\jaime.benazar\Quorum Business Solutions\Ecopetrol Prometeo - Documents\Planning Space Implementation\3. Analysis &amp; Design\Design\FC22\DRR Jaime\QUIFA-CAJÚA\Cajua\[CAJUA_CF_SEC_New_27-Feb-2024Rev3.xlsx]D-PND'!</v>
      </c>
      <c r="G3849" s="32" t="s">
        <v>114</v>
      </c>
      <c r="H3849" s="33">
        <f t="shared" si="931"/>
        <v>21</v>
      </c>
      <c r="I3849" s="33" t="str">
        <f t="shared" si="930"/>
        <v>='C:\Users\jaime.benazar\Quorum Business Solutions\Ecopetrol Prometeo - Documents\Planning Space Implementation\3. Analysis &amp; Design\Design\FC22\DRR Jaime\QUIFA-CAJÚA\Cajua\[CAJUA_CF_SEC_New_27-Feb-2024Rev3.xlsx]D-PND'!$CB$21</v>
      </c>
      <c r="J3849" s="37" t="s">
        <v>3970</v>
      </c>
    </row>
    <row r="3850" spans="1:10" x14ac:dyDescent="0.25">
      <c r="A3850" s="32" t="s">
        <v>3</v>
      </c>
      <c r="B3850" s="32">
        <f t="shared" si="932"/>
        <v>2033</v>
      </c>
      <c r="C3850" s="33" t="s">
        <v>109</v>
      </c>
      <c r="D3850" s="34" t="s">
        <v>1999</v>
      </c>
      <c r="E3850" s="35" t="str">
        <f t="shared" si="928"/>
        <v>PND'!</v>
      </c>
      <c r="F3850" s="34" t="str">
        <f t="shared" si="929"/>
        <v>C:\Users\jaime.benazar\Quorum Business Solutions\Ecopetrol Prometeo - Documents\Planning Space Implementation\3. Analysis &amp; Design\Design\FC22\DRR Jaime\QUIFA-CAJÚA\Cajua\[CAJUA_CF_SEC_New_27-Feb-2024Rev3.xlsx]D-PND'!</v>
      </c>
      <c r="G3850" s="32" t="s">
        <v>114</v>
      </c>
      <c r="H3850" s="33">
        <f t="shared" si="931"/>
        <v>22</v>
      </c>
      <c r="I3850" s="33" t="str">
        <f t="shared" si="930"/>
        <v>='C:\Users\jaime.benazar\Quorum Business Solutions\Ecopetrol Prometeo - Documents\Planning Space Implementation\3. Analysis &amp; Design\Design\FC22\DRR Jaime\QUIFA-CAJÚA\Cajua\[CAJUA_CF_SEC_New_27-Feb-2024Rev3.xlsx]D-PND'!$CB$22</v>
      </c>
      <c r="J3850" s="37" t="s">
        <v>3971</v>
      </c>
    </row>
    <row r="3851" spans="1:10" x14ac:dyDescent="0.25">
      <c r="A3851" s="32" t="s">
        <v>3</v>
      </c>
      <c r="B3851" s="32">
        <f t="shared" si="932"/>
        <v>2034</v>
      </c>
      <c r="C3851" s="33" t="s">
        <v>109</v>
      </c>
      <c r="D3851" s="34" t="s">
        <v>1999</v>
      </c>
      <c r="E3851" s="35" t="str">
        <f t="shared" si="928"/>
        <v>PND'!</v>
      </c>
      <c r="F3851" s="34" t="str">
        <f t="shared" si="929"/>
        <v>C:\Users\jaime.benazar\Quorum Business Solutions\Ecopetrol Prometeo - Documents\Planning Space Implementation\3. Analysis &amp; Design\Design\FC22\DRR Jaime\QUIFA-CAJÚA\Cajua\[CAJUA_CF_SEC_New_27-Feb-2024Rev3.xlsx]D-PND'!</v>
      </c>
      <c r="G3851" s="32" t="s">
        <v>114</v>
      </c>
      <c r="H3851" s="33">
        <f t="shared" si="931"/>
        <v>23</v>
      </c>
      <c r="I3851" s="33" t="str">
        <f t="shared" si="930"/>
        <v>='C:\Users\jaime.benazar\Quorum Business Solutions\Ecopetrol Prometeo - Documents\Planning Space Implementation\3. Analysis &amp; Design\Design\FC22\DRR Jaime\QUIFA-CAJÚA\Cajua\[CAJUA_CF_SEC_New_27-Feb-2024Rev3.xlsx]D-PND'!$CB$23</v>
      </c>
      <c r="J3851" s="37" t="s">
        <v>3972</v>
      </c>
    </row>
    <row r="3852" spans="1:10" x14ac:dyDescent="0.25">
      <c r="A3852" s="32" t="s">
        <v>3</v>
      </c>
      <c r="B3852" s="32">
        <f t="shared" si="932"/>
        <v>2035</v>
      </c>
      <c r="C3852" s="33" t="s">
        <v>109</v>
      </c>
      <c r="D3852" s="34" t="s">
        <v>1999</v>
      </c>
      <c r="E3852" s="35" t="str">
        <f t="shared" si="928"/>
        <v>PND'!</v>
      </c>
      <c r="F3852" s="34" t="str">
        <f t="shared" si="929"/>
        <v>C:\Users\jaime.benazar\Quorum Business Solutions\Ecopetrol Prometeo - Documents\Planning Space Implementation\3. Analysis &amp; Design\Design\FC22\DRR Jaime\QUIFA-CAJÚA\Cajua\[CAJUA_CF_SEC_New_27-Feb-2024Rev3.xlsx]D-PND'!</v>
      </c>
      <c r="G3852" s="32" t="s">
        <v>114</v>
      </c>
      <c r="H3852" s="33">
        <f t="shared" si="931"/>
        <v>24</v>
      </c>
      <c r="I3852" s="33" t="str">
        <f t="shared" si="930"/>
        <v>='C:\Users\jaime.benazar\Quorum Business Solutions\Ecopetrol Prometeo - Documents\Planning Space Implementation\3. Analysis &amp; Design\Design\FC22\DRR Jaime\QUIFA-CAJÚA\Cajua\[CAJUA_CF_SEC_New_27-Feb-2024Rev3.xlsx]D-PND'!$CB$24</v>
      </c>
      <c r="J3852" s="37" t="s">
        <v>3973</v>
      </c>
    </row>
    <row r="3853" spans="1:10" x14ac:dyDescent="0.25">
      <c r="A3853" s="32" t="s">
        <v>3</v>
      </c>
      <c r="B3853" s="32">
        <f t="shared" si="932"/>
        <v>2036</v>
      </c>
      <c r="C3853" s="33" t="s">
        <v>109</v>
      </c>
      <c r="D3853" s="34" t="s">
        <v>1999</v>
      </c>
      <c r="E3853" s="35" t="str">
        <f t="shared" si="928"/>
        <v>PND'!</v>
      </c>
      <c r="F3853" s="34" t="str">
        <f t="shared" si="929"/>
        <v>C:\Users\jaime.benazar\Quorum Business Solutions\Ecopetrol Prometeo - Documents\Planning Space Implementation\3. Analysis &amp; Design\Design\FC22\DRR Jaime\QUIFA-CAJÚA\Cajua\[CAJUA_CF_SEC_New_27-Feb-2024Rev3.xlsx]D-PND'!</v>
      </c>
      <c r="G3853" s="32" t="s">
        <v>114</v>
      </c>
      <c r="H3853" s="33">
        <f t="shared" si="931"/>
        <v>25</v>
      </c>
      <c r="I3853" s="33" t="str">
        <f t="shared" si="930"/>
        <v>='C:\Users\jaime.benazar\Quorum Business Solutions\Ecopetrol Prometeo - Documents\Planning Space Implementation\3. Analysis &amp; Design\Design\FC22\DRR Jaime\QUIFA-CAJÚA\Cajua\[CAJUA_CF_SEC_New_27-Feb-2024Rev3.xlsx]D-PND'!$CB$25</v>
      </c>
      <c r="J3853" s="37" t="s">
        <v>3974</v>
      </c>
    </row>
    <row r="3854" spans="1:10" x14ac:dyDescent="0.25">
      <c r="A3854" s="32" t="s">
        <v>3</v>
      </c>
      <c r="B3854" s="32">
        <f>+B3853+1</f>
        <v>2037</v>
      </c>
      <c r="C3854" s="33" t="s">
        <v>109</v>
      </c>
      <c r="D3854" s="34" t="s">
        <v>1999</v>
      </c>
      <c r="E3854" s="35" t="str">
        <f t="shared" si="928"/>
        <v>PND'!</v>
      </c>
      <c r="F3854" s="34" t="str">
        <f t="shared" si="929"/>
        <v>C:\Users\jaime.benazar\Quorum Business Solutions\Ecopetrol Prometeo - Documents\Planning Space Implementation\3. Analysis &amp; Design\Design\FC22\DRR Jaime\QUIFA-CAJÚA\Cajua\[CAJUA_CF_SEC_New_27-Feb-2024Rev3.xlsx]D-PND'!</v>
      </c>
      <c r="G3854" s="32" t="s">
        <v>114</v>
      </c>
      <c r="H3854" s="33">
        <f t="shared" si="931"/>
        <v>26</v>
      </c>
      <c r="I3854" s="33" t="str">
        <f t="shared" si="930"/>
        <v>='C:\Users\jaime.benazar\Quorum Business Solutions\Ecopetrol Prometeo - Documents\Planning Space Implementation\3. Analysis &amp; Design\Design\FC22\DRR Jaime\QUIFA-CAJÚA\Cajua\[CAJUA_CF_SEC_New_27-Feb-2024Rev3.xlsx]D-PND'!$CB$26</v>
      </c>
      <c r="J3854" s="37" t="s">
        <v>3975</v>
      </c>
    </row>
    <row r="3855" spans="1:10" x14ac:dyDescent="0.25">
      <c r="A3855" s="32" t="s">
        <v>3</v>
      </c>
      <c r="B3855" s="32">
        <f t="shared" ref="B3855:B3857" si="933">+B3854+1</f>
        <v>2038</v>
      </c>
      <c r="C3855" s="33" t="s">
        <v>109</v>
      </c>
      <c r="D3855" s="34" t="s">
        <v>1999</v>
      </c>
      <c r="E3855" s="35" t="str">
        <f t="shared" si="928"/>
        <v>PND'!</v>
      </c>
      <c r="F3855" s="34" t="str">
        <f t="shared" si="929"/>
        <v>C:\Users\jaime.benazar\Quorum Business Solutions\Ecopetrol Prometeo - Documents\Planning Space Implementation\3. Analysis &amp; Design\Design\FC22\DRR Jaime\QUIFA-CAJÚA\Cajua\[CAJUA_CF_SEC_New_27-Feb-2024Rev3.xlsx]D-PND'!</v>
      </c>
      <c r="G3855" s="32" t="s">
        <v>114</v>
      </c>
      <c r="H3855" s="33">
        <f t="shared" si="931"/>
        <v>27</v>
      </c>
      <c r="I3855" s="33" t="str">
        <f t="shared" si="930"/>
        <v>='C:\Users\jaime.benazar\Quorum Business Solutions\Ecopetrol Prometeo - Documents\Planning Space Implementation\3. Analysis &amp; Design\Design\FC22\DRR Jaime\QUIFA-CAJÚA\Cajua\[CAJUA_CF_SEC_New_27-Feb-2024Rev3.xlsx]D-PND'!$CB$27</v>
      </c>
      <c r="J3855" s="37" t="s">
        <v>3976</v>
      </c>
    </row>
    <row r="3856" spans="1:10" x14ac:dyDescent="0.25">
      <c r="A3856" s="32" t="s">
        <v>3</v>
      </c>
      <c r="B3856" s="32">
        <f t="shared" si="933"/>
        <v>2039</v>
      </c>
      <c r="C3856" s="33" t="s">
        <v>109</v>
      </c>
      <c r="D3856" s="34" t="s">
        <v>1999</v>
      </c>
      <c r="E3856" s="35" t="str">
        <f t="shared" si="928"/>
        <v>PND'!</v>
      </c>
      <c r="F3856" s="34" t="str">
        <f t="shared" si="929"/>
        <v>C:\Users\jaime.benazar\Quorum Business Solutions\Ecopetrol Prometeo - Documents\Planning Space Implementation\3. Analysis &amp; Design\Design\FC22\DRR Jaime\QUIFA-CAJÚA\Cajua\[CAJUA_CF_SEC_New_27-Feb-2024Rev3.xlsx]D-PND'!</v>
      </c>
      <c r="G3856" s="32" t="s">
        <v>114</v>
      </c>
      <c r="H3856" s="33">
        <f t="shared" si="931"/>
        <v>28</v>
      </c>
      <c r="I3856" s="33" t="str">
        <f t="shared" si="930"/>
        <v>='C:\Users\jaime.benazar\Quorum Business Solutions\Ecopetrol Prometeo - Documents\Planning Space Implementation\3. Analysis &amp; Design\Design\FC22\DRR Jaime\QUIFA-CAJÚA\Cajua\[CAJUA_CF_SEC_New_27-Feb-2024Rev3.xlsx]D-PND'!$CB$28</v>
      </c>
      <c r="J3856" s="37" t="s">
        <v>3977</v>
      </c>
    </row>
    <row r="3857" spans="1:10" x14ac:dyDescent="0.25">
      <c r="A3857" s="32" t="s">
        <v>3</v>
      </c>
      <c r="B3857" s="32">
        <f t="shared" si="933"/>
        <v>2040</v>
      </c>
      <c r="C3857" s="33" t="s">
        <v>109</v>
      </c>
      <c r="D3857" s="34" t="s">
        <v>1999</v>
      </c>
      <c r="E3857" s="35" t="str">
        <f t="shared" si="928"/>
        <v>PND'!</v>
      </c>
      <c r="F3857" s="34" t="str">
        <f t="shared" si="929"/>
        <v>C:\Users\jaime.benazar\Quorum Business Solutions\Ecopetrol Prometeo - Documents\Planning Space Implementation\3. Analysis &amp; Design\Design\FC22\DRR Jaime\QUIFA-CAJÚA\Cajua\[CAJUA_CF_SEC_New_27-Feb-2024Rev3.xlsx]D-PND'!</v>
      </c>
      <c r="G3857" s="32" t="s">
        <v>114</v>
      </c>
      <c r="H3857" s="33">
        <f t="shared" si="931"/>
        <v>29</v>
      </c>
      <c r="I3857" s="33" t="str">
        <f t="shared" si="930"/>
        <v>='C:\Users\jaime.benazar\Quorum Business Solutions\Ecopetrol Prometeo - Documents\Planning Space Implementation\3. Analysis &amp; Design\Design\FC22\DRR Jaime\QUIFA-CAJÚA\Cajua\[CAJUA_CF_SEC_New_27-Feb-2024Rev3.xlsx]D-PND'!$CB$29</v>
      </c>
      <c r="J3857" s="37" t="s">
        <v>3978</v>
      </c>
    </row>
    <row r="3858" spans="1:10" x14ac:dyDescent="0.25">
      <c r="A3858" s="32" t="s">
        <v>3</v>
      </c>
      <c r="B3858" s="32">
        <f>+B3857+1</f>
        <v>2041</v>
      </c>
      <c r="C3858" s="33" t="s">
        <v>109</v>
      </c>
      <c r="D3858" s="34" t="s">
        <v>1999</v>
      </c>
      <c r="E3858" s="35" t="str">
        <f t="shared" si="928"/>
        <v>PND'!</v>
      </c>
      <c r="F3858" s="34" t="str">
        <f t="shared" si="929"/>
        <v>C:\Users\jaime.benazar\Quorum Business Solutions\Ecopetrol Prometeo - Documents\Planning Space Implementation\3. Analysis &amp; Design\Design\FC22\DRR Jaime\QUIFA-CAJÚA\Cajua\[CAJUA_CF_SEC_New_27-Feb-2024Rev3.xlsx]D-PND'!</v>
      </c>
      <c r="G3858" s="32" t="s">
        <v>114</v>
      </c>
      <c r="H3858" s="33">
        <f t="shared" si="931"/>
        <v>30</v>
      </c>
      <c r="I3858" s="33" t="str">
        <f t="shared" si="930"/>
        <v>='C:\Users\jaime.benazar\Quorum Business Solutions\Ecopetrol Prometeo - Documents\Planning Space Implementation\3. Analysis &amp; Design\Design\FC22\DRR Jaime\QUIFA-CAJÚA\Cajua\[CAJUA_CF_SEC_New_27-Feb-2024Rev3.xlsx]D-PND'!$CB$30</v>
      </c>
      <c r="J3858" s="37" t="s">
        <v>3979</v>
      </c>
    </row>
    <row r="3859" spans="1:10" x14ac:dyDescent="0.25">
      <c r="A3859" s="32" t="s">
        <v>3</v>
      </c>
      <c r="B3859" s="32">
        <f t="shared" ref="B3859:B3860" si="934">+B3858+1</f>
        <v>2042</v>
      </c>
      <c r="C3859" s="33" t="s">
        <v>109</v>
      </c>
      <c r="D3859" s="34" t="s">
        <v>1999</v>
      </c>
      <c r="E3859" s="35" t="str">
        <f t="shared" si="928"/>
        <v>PND'!</v>
      </c>
      <c r="F3859" s="34" t="str">
        <f t="shared" si="929"/>
        <v>C:\Users\jaime.benazar\Quorum Business Solutions\Ecopetrol Prometeo - Documents\Planning Space Implementation\3. Analysis &amp; Design\Design\FC22\DRR Jaime\QUIFA-CAJÚA\Cajua\[CAJUA_CF_SEC_New_27-Feb-2024Rev3.xlsx]D-PND'!</v>
      </c>
      <c r="G3859" s="32" t="s">
        <v>114</v>
      </c>
      <c r="H3859" s="33">
        <f t="shared" si="931"/>
        <v>31</v>
      </c>
      <c r="I3859" s="33" t="str">
        <f t="shared" si="930"/>
        <v>='C:\Users\jaime.benazar\Quorum Business Solutions\Ecopetrol Prometeo - Documents\Planning Space Implementation\3. Analysis &amp; Design\Design\FC22\DRR Jaime\QUIFA-CAJÚA\Cajua\[CAJUA_CF_SEC_New_27-Feb-2024Rev3.xlsx]D-PND'!$CB$31</v>
      </c>
      <c r="J3859" s="37" t="s">
        <v>3980</v>
      </c>
    </row>
    <row r="3860" spans="1:10" x14ac:dyDescent="0.25">
      <c r="A3860" s="32" t="s">
        <v>3</v>
      </c>
      <c r="B3860" s="32">
        <f t="shared" si="934"/>
        <v>2043</v>
      </c>
      <c r="C3860" s="33" t="s">
        <v>109</v>
      </c>
      <c r="D3860" s="34" t="s">
        <v>1999</v>
      </c>
      <c r="E3860" s="35" t="str">
        <f t="shared" si="928"/>
        <v>PND'!</v>
      </c>
      <c r="F3860" s="34" t="str">
        <f t="shared" si="929"/>
        <v>C:\Users\jaime.benazar\Quorum Business Solutions\Ecopetrol Prometeo - Documents\Planning Space Implementation\3. Analysis &amp; Design\Design\FC22\DRR Jaime\QUIFA-CAJÚA\Cajua\[CAJUA_CF_SEC_New_27-Feb-2024Rev3.xlsx]D-PND'!</v>
      </c>
      <c r="G3860" s="32" t="s">
        <v>114</v>
      </c>
      <c r="H3860" s="33">
        <f t="shared" si="931"/>
        <v>32</v>
      </c>
      <c r="I3860" s="33" t="str">
        <f t="shared" si="930"/>
        <v>='C:\Users\jaime.benazar\Quorum Business Solutions\Ecopetrol Prometeo - Documents\Planning Space Implementation\3. Analysis &amp; Design\Design\FC22\DRR Jaime\QUIFA-CAJÚA\Cajua\[CAJUA_CF_SEC_New_27-Feb-2024Rev3.xlsx]D-PND'!$CB$32</v>
      </c>
      <c r="J3860" s="37" t="s">
        <v>3981</v>
      </c>
    </row>
    <row r="3861" spans="1:10" x14ac:dyDescent="0.25">
      <c r="A3861" s="32" t="s">
        <v>3</v>
      </c>
      <c r="B3861" s="32">
        <f>+B3860+1</f>
        <v>2044</v>
      </c>
      <c r="C3861" s="33" t="s">
        <v>109</v>
      </c>
      <c r="D3861" s="34" t="s">
        <v>1999</v>
      </c>
      <c r="E3861" s="35" t="str">
        <f t="shared" ref="E3861:E3876" si="935">_xlfn.CONCAT(A3861,"'!")</f>
        <v>PND'!</v>
      </c>
      <c r="F3861" s="34" t="str">
        <f t="shared" ref="F3861:F3876" si="936">_xlfn.CONCAT(D3861:E3861)</f>
        <v>C:\Users\jaime.benazar\Quorum Business Solutions\Ecopetrol Prometeo - Documents\Planning Space Implementation\3. Analysis &amp; Design\Design\FC22\DRR Jaime\QUIFA-CAJÚA\Cajua\[CAJUA_CF_SEC_New_27-Feb-2024Rev3.xlsx]D-PND'!</v>
      </c>
      <c r="G3861" s="32" t="s">
        <v>114</v>
      </c>
      <c r="H3861" s="33">
        <f t="shared" ref="H3861:H3876" si="937">IF(A3861&lt;&gt;A3860,12,H3860+1)</f>
        <v>33</v>
      </c>
      <c r="I3861" s="33" t="str">
        <f t="shared" ref="I3861:I3876" si="938">_xlfn.CONCAT("='",F3861:H3861)</f>
        <v>='C:\Users\jaime.benazar\Quorum Business Solutions\Ecopetrol Prometeo - Documents\Planning Space Implementation\3. Analysis &amp; Design\Design\FC22\DRR Jaime\QUIFA-CAJÚA\Cajua\[CAJUA_CF_SEC_New_27-Feb-2024Rev3.xlsx]D-PND'!$CB$33</v>
      </c>
      <c r="J3861" s="37" t="s">
        <v>3982</v>
      </c>
    </row>
    <row r="3862" spans="1:10" x14ac:dyDescent="0.25">
      <c r="A3862" s="32" t="s">
        <v>3</v>
      </c>
      <c r="B3862" s="32">
        <f t="shared" ref="B3862:B3876" si="939">+B3861+1</f>
        <v>2045</v>
      </c>
      <c r="C3862" s="33" t="s">
        <v>109</v>
      </c>
      <c r="D3862" s="34" t="s">
        <v>1999</v>
      </c>
      <c r="E3862" s="35" t="str">
        <f t="shared" si="935"/>
        <v>PND'!</v>
      </c>
      <c r="F3862" s="34" t="str">
        <f t="shared" si="936"/>
        <v>C:\Users\jaime.benazar\Quorum Business Solutions\Ecopetrol Prometeo - Documents\Planning Space Implementation\3. Analysis &amp; Design\Design\FC22\DRR Jaime\QUIFA-CAJÚA\Cajua\[CAJUA_CF_SEC_New_27-Feb-2024Rev3.xlsx]D-PND'!</v>
      </c>
      <c r="G3862" s="32" t="s">
        <v>114</v>
      </c>
      <c r="H3862" s="33">
        <f t="shared" si="937"/>
        <v>34</v>
      </c>
      <c r="I3862" s="33" t="str">
        <f t="shared" si="938"/>
        <v>='C:\Users\jaime.benazar\Quorum Business Solutions\Ecopetrol Prometeo - Documents\Planning Space Implementation\3. Analysis &amp; Design\Design\FC22\DRR Jaime\QUIFA-CAJÚA\Cajua\[CAJUA_CF_SEC_New_27-Feb-2024Rev3.xlsx]D-PND'!$CB$34</v>
      </c>
      <c r="J3862" s="37" t="s">
        <v>3983</v>
      </c>
    </row>
    <row r="3863" spans="1:10" x14ac:dyDescent="0.25">
      <c r="A3863" s="32" t="s">
        <v>3</v>
      </c>
      <c r="B3863" s="32">
        <f t="shared" si="939"/>
        <v>2046</v>
      </c>
      <c r="C3863" s="33" t="s">
        <v>109</v>
      </c>
      <c r="D3863" s="34" t="s">
        <v>1999</v>
      </c>
      <c r="E3863" s="35" t="str">
        <f t="shared" si="935"/>
        <v>PND'!</v>
      </c>
      <c r="F3863" s="34" t="str">
        <f t="shared" si="936"/>
        <v>C:\Users\jaime.benazar\Quorum Business Solutions\Ecopetrol Prometeo - Documents\Planning Space Implementation\3. Analysis &amp; Design\Design\FC22\DRR Jaime\QUIFA-CAJÚA\Cajua\[CAJUA_CF_SEC_New_27-Feb-2024Rev3.xlsx]D-PND'!</v>
      </c>
      <c r="G3863" s="32" t="s">
        <v>114</v>
      </c>
      <c r="H3863" s="33">
        <f t="shared" si="937"/>
        <v>35</v>
      </c>
      <c r="I3863" s="33" t="str">
        <f t="shared" si="938"/>
        <v>='C:\Users\jaime.benazar\Quorum Business Solutions\Ecopetrol Prometeo - Documents\Planning Space Implementation\3. Analysis &amp; Design\Design\FC22\DRR Jaime\QUIFA-CAJÚA\Cajua\[CAJUA_CF_SEC_New_27-Feb-2024Rev3.xlsx]D-PND'!$CB$35</v>
      </c>
      <c r="J3863" s="37" t="s">
        <v>3984</v>
      </c>
    </row>
    <row r="3864" spans="1:10" x14ac:dyDescent="0.25">
      <c r="A3864" s="32" t="s">
        <v>3</v>
      </c>
      <c r="B3864" s="32">
        <f t="shared" si="939"/>
        <v>2047</v>
      </c>
      <c r="C3864" s="33" t="s">
        <v>109</v>
      </c>
      <c r="D3864" s="34" t="s">
        <v>1999</v>
      </c>
      <c r="E3864" s="35" t="str">
        <f t="shared" si="935"/>
        <v>PND'!</v>
      </c>
      <c r="F3864" s="34" t="str">
        <f t="shared" si="936"/>
        <v>C:\Users\jaime.benazar\Quorum Business Solutions\Ecopetrol Prometeo - Documents\Planning Space Implementation\3. Analysis &amp; Design\Design\FC22\DRR Jaime\QUIFA-CAJÚA\Cajua\[CAJUA_CF_SEC_New_27-Feb-2024Rev3.xlsx]D-PND'!</v>
      </c>
      <c r="G3864" s="32" t="s">
        <v>114</v>
      </c>
      <c r="H3864" s="33">
        <f t="shared" si="937"/>
        <v>36</v>
      </c>
      <c r="I3864" s="33" t="str">
        <f t="shared" si="938"/>
        <v>='C:\Users\jaime.benazar\Quorum Business Solutions\Ecopetrol Prometeo - Documents\Planning Space Implementation\3. Analysis &amp; Design\Design\FC22\DRR Jaime\QUIFA-CAJÚA\Cajua\[CAJUA_CF_SEC_New_27-Feb-2024Rev3.xlsx]D-PND'!$CB$36</v>
      </c>
      <c r="J3864" s="37" t="s">
        <v>3985</v>
      </c>
    </row>
    <row r="3865" spans="1:10" x14ac:dyDescent="0.25">
      <c r="A3865" s="32" t="s">
        <v>3</v>
      </c>
      <c r="B3865" s="32">
        <f t="shared" si="939"/>
        <v>2048</v>
      </c>
      <c r="C3865" s="33" t="s">
        <v>109</v>
      </c>
      <c r="D3865" s="34" t="s">
        <v>1999</v>
      </c>
      <c r="E3865" s="35" t="str">
        <f t="shared" si="935"/>
        <v>PND'!</v>
      </c>
      <c r="F3865" s="34" t="str">
        <f t="shared" si="936"/>
        <v>C:\Users\jaime.benazar\Quorum Business Solutions\Ecopetrol Prometeo - Documents\Planning Space Implementation\3. Analysis &amp; Design\Design\FC22\DRR Jaime\QUIFA-CAJÚA\Cajua\[CAJUA_CF_SEC_New_27-Feb-2024Rev3.xlsx]D-PND'!</v>
      </c>
      <c r="G3865" s="32" t="s">
        <v>114</v>
      </c>
      <c r="H3865" s="33">
        <f t="shared" si="937"/>
        <v>37</v>
      </c>
      <c r="I3865" s="33" t="str">
        <f t="shared" si="938"/>
        <v>='C:\Users\jaime.benazar\Quorum Business Solutions\Ecopetrol Prometeo - Documents\Planning Space Implementation\3. Analysis &amp; Design\Design\FC22\DRR Jaime\QUIFA-CAJÚA\Cajua\[CAJUA_CF_SEC_New_27-Feb-2024Rev3.xlsx]D-PND'!$CB$37</v>
      </c>
      <c r="J3865" s="37" t="s">
        <v>3986</v>
      </c>
    </row>
    <row r="3866" spans="1:10" x14ac:dyDescent="0.25">
      <c r="A3866" s="32" t="s">
        <v>3</v>
      </c>
      <c r="B3866" s="32">
        <f t="shared" si="939"/>
        <v>2049</v>
      </c>
      <c r="C3866" s="33" t="s">
        <v>109</v>
      </c>
      <c r="D3866" s="34" t="s">
        <v>1999</v>
      </c>
      <c r="E3866" s="35" t="str">
        <f t="shared" si="935"/>
        <v>PND'!</v>
      </c>
      <c r="F3866" s="34" t="str">
        <f t="shared" si="936"/>
        <v>C:\Users\jaime.benazar\Quorum Business Solutions\Ecopetrol Prometeo - Documents\Planning Space Implementation\3. Analysis &amp; Design\Design\FC22\DRR Jaime\QUIFA-CAJÚA\Cajua\[CAJUA_CF_SEC_New_27-Feb-2024Rev3.xlsx]D-PND'!</v>
      </c>
      <c r="G3866" s="32" t="s">
        <v>114</v>
      </c>
      <c r="H3866" s="33">
        <f t="shared" si="937"/>
        <v>38</v>
      </c>
      <c r="I3866" s="33" t="str">
        <f t="shared" si="938"/>
        <v>='C:\Users\jaime.benazar\Quorum Business Solutions\Ecopetrol Prometeo - Documents\Planning Space Implementation\3. Analysis &amp; Design\Design\FC22\DRR Jaime\QUIFA-CAJÚA\Cajua\[CAJUA_CF_SEC_New_27-Feb-2024Rev3.xlsx]D-PND'!$CB$38</v>
      </c>
      <c r="J3866" s="37" t="s">
        <v>3987</v>
      </c>
    </row>
    <row r="3867" spans="1:10" x14ac:dyDescent="0.25">
      <c r="A3867" s="32" t="s">
        <v>3</v>
      </c>
      <c r="B3867" s="32">
        <f t="shared" si="939"/>
        <v>2050</v>
      </c>
      <c r="C3867" s="33" t="s">
        <v>109</v>
      </c>
      <c r="D3867" s="34" t="s">
        <v>1999</v>
      </c>
      <c r="E3867" s="35" t="str">
        <f t="shared" si="935"/>
        <v>PND'!</v>
      </c>
      <c r="F3867" s="34" t="str">
        <f t="shared" si="936"/>
        <v>C:\Users\jaime.benazar\Quorum Business Solutions\Ecopetrol Prometeo - Documents\Planning Space Implementation\3. Analysis &amp; Design\Design\FC22\DRR Jaime\QUIFA-CAJÚA\Cajua\[CAJUA_CF_SEC_New_27-Feb-2024Rev3.xlsx]D-PND'!</v>
      </c>
      <c r="G3867" s="32" t="s">
        <v>114</v>
      </c>
      <c r="H3867" s="33">
        <f t="shared" si="937"/>
        <v>39</v>
      </c>
      <c r="I3867" s="33" t="str">
        <f t="shared" si="938"/>
        <v>='C:\Users\jaime.benazar\Quorum Business Solutions\Ecopetrol Prometeo - Documents\Planning Space Implementation\3. Analysis &amp; Design\Design\FC22\DRR Jaime\QUIFA-CAJÚA\Cajua\[CAJUA_CF_SEC_New_27-Feb-2024Rev3.xlsx]D-PND'!$CB$39</v>
      </c>
      <c r="J3867" s="37" t="s">
        <v>3988</v>
      </c>
    </row>
    <row r="3868" spans="1:10" x14ac:dyDescent="0.25">
      <c r="A3868" s="32" t="s">
        <v>3</v>
      </c>
      <c r="B3868" s="32">
        <f t="shared" si="939"/>
        <v>2051</v>
      </c>
      <c r="C3868" s="33" t="s">
        <v>109</v>
      </c>
      <c r="D3868" s="34" t="s">
        <v>1999</v>
      </c>
      <c r="E3868" s="35" t="str">
        <f t="shared" si="935"/>
        <v>PND'!</v>
      </c>
      <c r="F3868" s="34" t="str">
        <f t="shared" si="936"/>
        <v>C:\Users\jaime.benazar\Quorum Business Solutions\Ecopetrol Prometeo - Documents\Planning Space Implementation\3. Analysis &amp; Design\Design\FC22\DRR Jaime\QUIFA-CAJÚA\Cajua\[CAJUA_CF_SEC_New_27-Feb-2024Rev3.xlsx]D-PND'!</v>
      </c>
      <c r="G3868" s="32" t="s">
        <v>114</v>
      </c>
      <c r="H3868" s="33">
        <f t="shared" si="937"/>
        <v>40</v>
      </c>
      <c r="I3868" s="33" t="str">
        <f t="shared" si="938"/>
        <v>='C:\Users\jaime.benazar\Quorum Business Solutions\Ecopetrol Prometeo - Documents\Planning Space Implementation\3. Analysis &amp; Design\Design\FC22\DRR Jaime\QUIFA-CAJÚA\Cajua\[CAJUA_CF_SEC_New_27-Feb-2024Rev3.xlsx]D-PND'!$CB$40</v>
      </c>
      <c r="J3868" s="37" t="s">
        <v>3989</v>
      </c>
    </row>
    <row r="3869" spans="1:10" x14ac:dyDescent="0.25">
      <c r="A3869" s="32" t="s">
        <v>3</v>
      </c>
      <c r="B3869" s="32">
        <f t="shared" si="939"/>
        <v>2052</v>
      </c>
      <c r="C3869" s="33" t="s">
        <v>109</v>
      </c>
      <c r="D3869" s="34" t="s">
        <v>1999</v>
      </c>
      <c r="E3869" s="35" t="str">
        <f t="shared" si="935"/>
        <v>PND'!</v>
      </c>
      <c r="F3869" s="34" t="str">
        <f t="shared" si="936"/>
        <v>C:\Users\jaime.benazar\Quorum Business Solutions\Ecopetrol Prometeo - Documents\Planning Space Implementation\3. Analysis &amp; Design\Design\FC22\DRR Jaime\QUIFA-CAJÚA\Cajua\[CAJUA_CF_SEC_New_27-Feb-2024Rev3.xlsx]D-PND'!</v>
      </c>
      <c r="G3869" s="32" t="s">
        <v>114</v>
      </c>
      <c r="H3869" s="33">
        <f t="shared" si="937"/>
        <v>41</v>
      </c>
      <c r="I3869" s="33" t="str">
        <f t="shared" si="938"/>
        <v>='C:\Users\jaime.benazar\Quorum Business Solutions\Ecopetrol Prometeo - Documents\Planning Space Implementation\3. Analysis &amp; Design\Design\FC22\DRR Jaime\QUIFA-CAJÚA\Cajua\[CAJUA_CF_SEC_New_27-Feb-2024Rev3.xlsx]D-PND'!$CB$41</v>
      </c>
      <c r="J3869" s="37" t="s">
        <v>3990</v>
      </c>
    </row>
    <row r="3870" spans="1:10" x14ac:dyDescent="0.25">
      <c r="A3870" s="32" t="s">
        <v>3</v>
      </c>
      <c r="B3870" s="32">
        <f t="shared" si="939"/>
        <v>2053</v>
      </c>
      <c r="C3870" s="33" t="s">
        <v>109</v>
      </c>
      <c r="D3870" s="34" t="s">
        <v>1999</v>
      </c>
      <c r="E3870" s="35" t="str">
        <f t="shared" si="935"/>
        <v>PND'!</v>
      </c>
      <c r="F3870" s="34" t="str">
        <f t="shared" si="936"/>
        <v>C:\Users\jaime.benazar\Quorum Business Solutions\Ecopetrol Prometeo - Documents\Planning Space Implementation\3. Analysis &amp; Design\Design\FC22\DRR Jaime\QUIFA-CAJÚA\Cajua\[CAJUA_CF_SEC_New_27-Feb-2024Rev3.xlsx]D-PND'!</v>
      </c>
      <c r="G3870" s="32" t="s">
        <v>114</v>
      </c>
      <c r="H3870" s="33">
        <f t="shared" si="937"/>
        <v>42</v>
      </c>
      <c r="I3870" s="33" t="str">
        <f t="shared" si="938"/>
        <v>='C:\Users\jaime.benazar\Quorum Business Solutions\Ecopetrol Prometeo - Documents\Planning Space Implementation\3. Analysis &amp; Design\Design\FC22\DRR Jaime\QUIFA-CAJÚA\Cajua\[CAJUA_CF_SEC_New_27-Feb-2024Rev3.xlsx]D-PND'!$CB$42</v>
      </c>
      <c r="J3870" s="37" t="s">
        <v>3991</v>
      </c>
    </row>
    <row r="3871" spans="1:10" x14ac:dyDescent="0.25">
      <c r="A3871" s="32" t="s">
        <v>3</v>
      </c>
      <c r="B3871" s="32">
        <f t="shared" si="939"/>
        <v>2054</v>
      </c>
      <c r="C3871" s="33" t="s">
        <v>109</v>
      </c>
      <c r="D3871" s="34" t="s">
        <v>1999</v>
      </c>
      <c r="E3871" s="35" t="str">
        <f t="shared" si="935"/>
        <v>PND'!</v>
      </c>
      <c r="F3871" s="34" t="str">
        <f t="shared" si="936"/>
        <v>C:\Users\jaime.benazar\Quorum Business Solutions\Ecopetrol Prometeo - Documents\Planning Space Implementation\3. Analysis &amp; Design\Design\FC22\DRR Jaime\QUIFA-CAJÚA\Cajua\[CAJUA_CF_SEC_New_27-Feb-2024Rev3.xlsx]D-PND'!</v>
      </c>
      <c r="G3871" s="32" t="s">
        <v>114</v>
      </c>
      <c r="H3871" s="33">
        <f t="shared" si="937"/>
        <v>43</v>
      </c>
      <c r="I3871" s="33" t="str">
        <f t="shared" si="938"/>
        <v>='C:\Users\jaime.benazar\Quorum Business Solutions\Ecopetrol Prometeo - Documents\Planning Space Implementation\3. Analysis &amp; Design\Design\FC22\DRR Jaime\QUIFA-CAJÚA\Cajua\[CAJUA_CF_SEC_New_27-Feb-2024Rev3.xlsx]D-PND'!$CB$43</v>
      </c>
      <c r="J3871" s="37" t="s">
        <v>3992</v>
      </c>
    </row>
    <row r="3872" spans="1:10" x14ac:dyDescent="0.25">
      <c r="A3872" s="32" t="s">
        <v>3</v>
      </c>
      <c r="B3872" s="32">
        <f t="shared" si="939"/>
        <v>2055</v>
      </c>
      <c r="C3872" s="33" t="s">
        <v>109</v>
      </c>
      <c r="D3872" s="34" t="s">
        <v>1999</v>
      </c>
      <c r="E3872" s="35" t="str">
        <f t="shared" si="935"/>
        <v>PND'!</v>
      </c>
      <c r="F3872" s="34" t="str">
        <f t="shared" si="936"/>
        <v>C:\Users\jaime.benazar\Quorum Business Solutions\Ecopetrol Prometeo - Documents\Planning Space Implementation\3. Analysis &amp; Design\Design\FC22\DRR Jaime\QUIFA-CAJÚA\Cajua\[CAJUA_CF_SEC_New_27-Feb-2024Rev3.xlsx]D-PND'!</v>
      </c>
      <c r="G3872" s="32" t="s">
        <v>114</v>
      </c>
      <c r="H3872" s="33">
        <f t="shared" si="937"/>
        <v>44</v>
      </c>
      <c r="I3872" s="33" t="str">
        <f t="shared" si="938"/>
        <v>='C:\Users\jaime.benazar\Quorum Business Solutions\Ecopetrol Prometeo - Documents\Planning Space Implementation\3. Analysis &amp; Design\Design\FC22\DRR Jaime\QUIFA-CAJÚA\Cajua\[CAJUA_CF_SEC_New_27-Feb-2024Rev3.xlsx]D-PND'!$CB$44</v>
      </c>
      <c r="J3872" s="37" t="s">
        <v>3993</v>
      </c>
    </row>
    <row r="3873" spans="1:10" x14ac:dyDescent="0.25">
      <c r="A3873" s="32" t="s">
        <v>3</v>
      </c>
      <c r="B3873" s="32">
        <f t="shared" si="939"/>
        <v>2056</v>
      </c>
      <c r="C3873" s="33" t="s">
        <v>109</v>
      </c>
      <c r="D3873" s="34" t="s">
        <v>1999</v>
      </c>
      <c r="E3873" s="35" t="str">
        <f t="shared" si="935"/>
        <v>PND'!</v>
      </c>
      <c r="F3873" s="34" t="str">
        <f t="shared" si="936"/>
        <v>C:\Users\jaime.benazar\Quorum Business Solutions\Ecopetrol Prometeo - Documents\Planning Space Implementation\3. Analysis &amp; Design\Design\FC22\DRR Jaime\QUIFA-CAJÚA\Cajua\[CAJUA_CF_SEC_New_27-Feb-2024Rev3.xlsx]D-PND'!</v>
      </c>
      <c r="G3873" s="32" t="s">
        <v>114</v>
      </c>
      <c r="H3873" s="33">
        <f t="shared" si="937"/>
        <v>45</v>
      </c>
      <c r="I3873" s="33" t="str">
        <f t="shared" si="938"/>
        <v>='C:\Users\jaime.benazar\Quorum Business Solutions\Ecopetrol Prometeo - Documents\Planning Space Implementation\3. Analysis &amp; Design\Design\FC22\DRR Jaime\QUIFA-CAJÚA\Cajua\[CAJUA_CF_SEC_New_27-Feb-2024Rev3.xlsx]D-PND'!$CB$45</v>
      </c>
      <c r="J3873" s="37" t="s">
        <v>3994</v>
      </c>
    </row>
    <row r="3874" spans="1:10" x14ac:dyDescent="0.25">
      <c r="A3874" s="32" t="s">
        <v>3</v>
      </c>
      <c r="B3874" s="32">
        <f t="shared" si="939"/>
        <v>2057</v>
      </c>
      <c r="C3874" s="33" t="s">
        <v>109</v>
      </c>
      <c r="D3874" s="34" t="s">
        <v>1999</v>
      </c>
      <c r="E3874" s="35" t="str">
        <f t="shared" si="935"/>
        <v>PND'!</v>
      </c>
      <c r="F3874" s="34" t="str">
        <f t="shared" si="936"/>
        <v>C:\Users\jaime.benazar\Quorum Business Solutions\Ecopetrol Prometeo - Documents\Planning Space Implementation\3. Analysis &amp; Design\Design\FC22\DRR Jaime\QUIFA-CAJÚA\Cajua\[CAJUA_CF_SEC_New_27-Feb-2024Rev3.xlsx]D-PND'!</v>
      </c>
      <c r="G3874" s="32" t="s">
        <v>114</v>
      </c>
      <c r="H3874" s="33">
        <f t="shared" si="937"/>
        <v>46</v>
      </c>
      <c r="I3874" s="33" t="str">
        <f t="shared" si="938"/>
        <v>='C:\Users\jaime.benazar\Quorum Business Solutions\Ecopetrol Prometeo - Documents\Planning Space Implementation\3. Analysis &amp; Design\Design\FC22\DRR Jaime\QUIFA-CAJÚA\Cajua\[CAJUA_CF_SEC_New_27-Feb-2024Rev3.xlsx]D-PND'!$CB$46</v>
      </c>
      <c r="J3874" s="37" t="s">
        <v>3995</v>
      </c>
    </row>
    <row r="3875" spans="1:10" x14ac:dyDescent="0.25">
      <c r="A3875" s="32" t="s">
        <v>3</v>
      </c>
      <c r="B3875" s="32">
        <f t="shared" si="939"/>
        <v>2058</v>
      </c>
      <c r="C3875" s="33" t="s">
        <v>109</v>
      </c>
      <c r="D3875" s="34" t="s">
        <v>1999</v>
      </c>
      <c r="E3875" s="35" t="str">
        <f t="shared" si="935"/>
        <v>PND'!</v>
      </c>
      <c r="F3875" s="34" t="str">
        <f t="shared" si="936"/>
        <v>C:\Users\jaime.benazar\Quorum Business Solutions\Ecopetrol Prometeo - Documents\Planning Space Implementation\3. Analysis &amp; Design\Design\FC22\DRR Jaime\QUIFA-CAJÚA\Cajua\[CAJUA_CF_SEC_New_27-Feb-2024Rev3.xlsx]D-PND'!</v>
      </c>
      <c r="G3875" s="32" t="s">
        <v>114</v>
      </c>
      <c r="H3875" s="33">
        <f t="shared" si="937"/>
        <v>47</v>
      </c>
      <c r="I3875" s="33" t="str">
        <f t="shared" si="938"/>
        <v>='C:\Users\jaime.benazar\Quorum Business Solutions\Ecopetrol Prometeo - Documents\Planning Space Implementation\3. Analysis &amp; Design\Design\FC22\DRR Jaime\QUIFA-CAJÚA\Cajua\[CAJUA_CF_SEC_New_27-Feb-2024Rev3.xlsx]D-PND'!$CB$47</v>
      </c>
      <c r="J3875" s="37" t="s">
        <v>3996</v>
      </c>
    </row>
    <row r="3876" spans="1:10" x14ac:dyDescent="0.25">
      <c r="A3876" s="32" t="s">
        <v>3</v>
      </c>
      <c r="B3876" s="32">
        <f t="shared" si="939"/>
        <v>2059</v>
      </c>
      <c r="C3876" s="33" t="s">
        <v>109</v>
      </c>
      <c r="D3876" s="34" t="s">
        <v>1999</v>
      </c>
      <c r="E3876" s="35" t="str">
        <f t="shared" si="935"/>
        <v>PND'!</v>
      </c>
      <c r="F3876" s="34" t="str">
        <f t="shared" si="936"/>
        <v>C:\Users\jaime.benazar\Quorum Business Solutions\Ecopetrol Prometeo - Documents\Planning Space Implementation\3. Analysis &amp; Design\Design\FC22\DRR Jaime\QUIFA-CAJÚA\Cajua\[CAJUA_CF_SEC_New_27-Feb-2024Rev3.xlsx]D-PND'!</v>
      </c>
      <c r="G3876" s="32" t="s">
        <v>114</v>
      </c>
      <c r="H3876" s="33">
        <f t="shared" si="937"/>
        <v>48</v>
      </c>
      <c r="I3876" s="33" t="str">
        <f t="shared" si="938"/>
        <v>='C:\Users\jaime.benazar\Quorum Business Solutions\Ecopetrol Prometeo - Documents\Planning Space Implementation\3. Analysis &amp; Design\Design\FC22\DRR Jaime\QUIFA-CAJÚA\Cajua\[CAJUA_CF_SEC_New_27-Feb-2024Rev3.xlsx]D-PND'!$CB$48</v>
      </c>
      <c r="J3876" s="37" t="s">
        <v>3997</v>
      </c>
    </row>
    <row r="3877" spans="1:10" x14ac:dyDescent="0.25">
      <c r="A3877" s="32" t="s">
        <v>28</v>
      </c>
      <c r="B3877" s="32"/>
      <c r="C3877" s="33" t="s">
        <v>109</v>
      </c>
      <c r="D3877" s="34"/>
      <c r="E3877" s="35"/>
      <c r="F3877" s="34"/>
      <c r="G3877" s="32"/>
      <c r="H3877" s="33"/>
      <c r="I3877" s="33"/>
      <c r="J3877" s="33"/>
    </row>
    <row r="3878" spans="1:10" x14ac:dyDescent="0.25">
      <c r="A3878" s="32" t="s">
        <v>99</v>
      </c>
      <c r="B3878" s="32">
        <v>2023</v>
      </c>
      <c r="C3878" s="33" t="s">
        <v>109</v>
      </c>
      <c r="D3878" s="34" t="s">
        <v>1999</v>
      </c>
      <c r="E3878" s="35" t="str">
        <f t="shared" ref="E3878:E3898" si="940">_xlfn.CONCAT(A3878,"'!")</f>
        <v>PRBDP'!</v>
      </c>
      <c r="F3878" s="34" t="str">
        <f t="shared" ref="F3878:F3898" si="941">_xlfn.CONCAT(D3878:E3878)</f>
        <v>C:\Users\jaime.benazar\Quorum Business Solutions\Ecopetrol Prometeo - Documents\Planning Space Implementation\3. Analysis &amp; Design\Design\FC22\DRR Jaime\QUIFA-CAJÚA\Cajua\[CAJUA_CF_SEC_New_27-Feb-2024Rev3.xlsx]D-PRBDP'!</v>
      </c>
      <c r="G3878" s="32" t="s">
        <v>114</v>
      </c>
      <c r="H3878" s="33"/>
      <c r="I3878" s="33"/>
      <c r="J3878" s="37"/>
    </row>
    <row r="3879" spans="1:10" x14ac:dyDescent="0.25">
      <c r="A3879" s="32" t="s">
        <v>99</v>
      </c>
      <c r="B3879" s="32">
        <f>+B3878+1</f>
        <v>2024</v>
      </c>
      <c r="C3879" s="33" t="s">
        <v>109</v>
      </c>
      <c r="D3879" s="34" t="s">
        <v>1999</v>
      </c>
      <c r="E3879" s="35" t="str">
        <f t="shared" si="940"/>
        <v>PRBDP'!</v>
      </c>
      <c r="F3879" s="34" t="str">
        <f t="shared" si="941"/>
        <v>C:\Users\jaime.benazar\Quorum Business Solutions\Ecopetrol Prometeo - Documents\Planning Space Implementation\3. Analysis &amp; Design\Design\FC22\DRR Jaime\QUIFA-CAJÚA\Cajua\[CAJUA_CF_SEC_New_27-Feb-2024Rev3.xlsx]D-PRBDP'!</v>
      </c>
      <c r="G3879" s="32" t="s">
        <v>114</v>
      </c>
      <c r="H3879" s="33"/>
      <c r="I3879" s="33"/>
      <c r="J3879" s="37"/>
    </row>
    <row r="3880" spans="1:10" x14ac:dyDescent="0.25">
      <c r="A3880" s="32" t="s">
        <v>99</v>
      </c>
      <c r="B3880" s="32">
        <f t="shared" ref="B3880:B3891" si="942">+B3879+1</f>
        <v>2025</v>
      </c>
      <c r="C3880" s="33" t="s">
        <v>109</v>
      </c>
      <c r="D3880" s="34" t="s">
        <v>1999</v>
      </c>
      <c r="E3880" s="35" t="str">
        <f t="shared" si="940"/>
        <v>PRBDP'!</v>
      </c>
      <c r="F3880" s="34" t="str">
        <f t="shared" si="941"/>
        <v>C:\Users\jaime.benazar\Quorum Business Solutions\Ecopetrol Prometeo - Documents\Planning Space Implementation\3. Analysis &amp; Design\Design\FC22\DRR Jaime\QUIFA-CAJÚA\Cajua\[CAJUA_CF_SEC_New_27-Feb-2024Rev3.xlsx]D-PRBDP'!</v>
      </c>
      <c r="G3880" s="32" t="s">
        <v>114</v>
      </c>
      <c r="H3880" s="33"/>
      <c r="I3880" s="33"/>
      <c r="J3880" s="37"/>
    </row>
    <row r="3881" spans="1:10" x14ac:dyDescent="0.25">
      <c r="A3881" s="32" t="s">
        <v>99</v>
      </c>
      <c r="B3881" s="32">
        <f t="shared" si="942"/>
        <v>2026</v>
      </c>
      <c r="C3881" s="33" t="s">
        <v>109</v>
      </c>
      <c r="D3881" s="34" t="s">
        <v>1999</v>
      </c>
      <c r="E3881" s="35" t="str">
        <f t="shared" si="940"/>
        <v>PRBDP'!</v>
      </c>
      <c r="F3881" s="34" t="str">
        <f t="shared" si="941"/>
        <v>C:\Users\jaime.benazar\Quorum Business Solutions\Ecopetrol Prometeo - Documents\Planning Space Implementation\3. Analysis &amp; Design\Design\FC22\DRR Jaime\QUIFA-CAJÚA\Cajua\[CAJUA_CF_SEC_New_27-Feb-2024Rev3.xlsx]D-PRBDP'!</v>
      </c>
      <c r="G3881" s="32" t="s">
        <v>114</v>
      </c>
      <c r="H3881" s="33"/>
      <c r="I3881" s="33"/>
      <c r="J3881" s="37"/>
    </row>
    <row r="3882" spans="1:10" x14ac:dyDescent="0.25">
      <c r="A3882" s="32" t="s">
        <v>99</v>
      </c>
      <c r="B3882" s="32">
        <f t="shared" si="942"/>
        <v>2027</v>
      </c>
      <c r="C3882" s="33" t="s">
        <v>109</v>
      </c>
      <c r="D3882" s="34" t="s">
        <v>1999</v>
      </c>
      <c r="E3882" s="35" t="str">
        <f t="shared" si="940"/>
        <v>PRBDP'!</v>
      </c>
      <c r="F3882" s="34" t="str">
        <f t="shared" si="941"/>
        <v>C:\Users\jaime.benazar\Quorum Business Solutions\Ecopetrol Prometeo - Documents\Planning Space Implementation\3. Analysis &amp; Design\Design\FC22\DRR Jaime\QUIFA-CAJÚA\Cajua\[CAJUA_CF_SEC_New_27-Feb-2024Rev3.xlsx]D-PRBDP'!</v>
      </c>
      <c r="G3882" s="32" t="s">
        <v>114</v>
      </c>
      <c r="H3882" s="33"/>
      <c r="I3882" s="33"/>
      <c r="J3882" s="37"/>
    </row>
    <row r="3883" spans="1:10" x14ac:dyDescent="0.25">
      <c r="A3883" s="32" t="s">
        <v>99</v>
      </c>
      <c r="B3883" s="32">
        <f t="shared" si="942"/>
        <v>2028</v>
      </c>
      <c r="C3883" s="33" t="s">
        <v>109</v>
      </c>
      <c r="D3883" s="34" t="s">
        <v>1999</v>
      </c>
      <c r="E3883" s="35" t="str">
        <f t="shared" si="940"/>
        <v>PRBDP'!</v>
      </c>
      <c r="F3883" s="34" t="str">
        <f t="shared" si="941"/>
        <v>C:\Users\jaime.benazar\Quorum Business Solutions\Ecopetrol Prometeo - Documents\Planning Space Implementation\3. Analysis &amp; Design\Design\FC22\DRR Jaime\QUIFA-CAJÚA\Cajua\[CAJUA_CF_SEC_New_27-Feb-2024Rev3.xlsx]D-PRBDP'!</v>
      </c>
      <c r="G3883" s="32" t="s">
        <v>114</v>
      </c>
      <c r="H3883" s="33"/>
      <c r="I3883" s="33"/>
      <c r="J3883" s="37"/>
    </row>
    <row r="3884" spans="1:10" x14ac:dyDescent="0.25">
      <c r="A3884" s="32" t="s">
        <v>99</v>
      </c>
      <c r="B3884" s="32">
        <f t="shared" si="942"/>
        <v>2029</v>
      </c>
      <c r="C3884" s="33" t="s">
        <v>109</v>
      </c>
      <c r="D3884" s="34" t="s">
        <v>1999</v>
      </c>
      <c r="E3884" s="35" t="str">
        <f t="shared" si="940"/>
        <v>PRBDP'!</v>
      </c>
      <c r="F3884" s="34" t="str">
        <f t="shared" si="941"/>
        <v>C:\Users\jaime.benazar\Quorum Business Solutions\Ecopetrol Prometeo - Documents\Planning Space Implementation\3. Analysis &amp; Design\Design\FC22\DRR Jaime\QUIFA-CAJÚA\Cajua\[CAJUA_CF_SEC_New_27-Feb-2024Rev3.xlsx]D-PRBDP'!</v>
      </c>
      <c r="G3884" s="32" t="s">
        <v>114</v>
      </c>
      <c r="H3884" s="33"/>
      <c r="I3884" s="33"/>
      <c r="J3884" s="37"/>
    </row>
    <row r="3885" spans="1:10" x14ac:dyDescent="0.25">
      <c r="A3885" s="32" t="s">
        <v>99</v>
      </c>
      <c r="B3885" s="32">
        <f t="shared" si="942"/>
        <v>2030</v>
      </c>
      <c r="C3885" s="33" t="s">
        <v>109</v>
      </c>
      <c r="D3885" s="34" t="s">
        <v>1999</v>
      </c>
      <c r="E3885" s="35" t="str">
        <f t="shared" si="940"/>
        <v>PRBDP'!</v>
      </c>
      <c r="F3885" s="34" t="str">
        <f t="shared" si="941"/>
        <v>C:\Users\jaime.benazar\Quorum Business Solutions\Ecopetrol Prometeo - Documents\Planning Space Implementation\3. Analysis &amp; Design\Design\FC22\DRR Jaime\QUIFA-CAJÚA\Cajua\[CAJUA_CF_SEC_New_27-Feb-2024Rev3.xlsx]D-PRBDP'!</v>
      </c>
      <c r="G3885" s="32" t="s">
        <v>114</v>
      </c>
      <c r="H3885" s="33"/>
      <c r="I3885" s="33"/>
      <c r="J3885" s="37"/>
    </row>
    <row r="3886" spans="1:10" x14ac:dyDescent="0.25">
      <c r="A3886" s="32" t="s">
        <v>99</v>
      </c>
      <c r="B3886" s="32">
        <f t="shared" si="942"/>
        <v>2031</v>
      </c>
      <c r="C3886" s="33" t="s">
        <v>109</v>
      </c>
      <c r="D3886" s="34" t="s">
        <v>1999</v>
      </c>
      <c r="E3886" s="35" t="str">
        <f t="shared" si="940"/>
        <v>PRBDP'!</v>
      </c>
      <c r="F3886" s="34" t="str">
        <f t="shared" si="941"/>
        <v>C:\Users\jaime.benazar\Quorum Business Solutions\Ecopetrol Prometeo - Documents\Planning Space Implementation\3. Analysis &amp; Design\Design\FC22\DRR Jaime\QUIFA-CAJÚA\Cajua\[CAJUA_CF_SEC_New_27-Feb-2024Rev3.xlsx]D-PRBDP'!</v>
      </c>
      <c r="G3886" s="32" t="s">
        <v>114</v>
      </c>
      <c r="H3886" s="33"/>
      <c r="I3886" s="33"/>
      <c r="J3886" s="37"/>
    </row>
    <row r="3887" spans="1:10" x14ac:dyDescent="0.25">
      <c r="A3887" s="32" t="s">
        <v>99</v>
      </c>
      <c r="B3887" s="32">
        <f t="shared" si="942"/>
        <v>2032</v>
      </c>
      <c r="C3887" s="33" t="s">
        <v>109</v>
      </c>
      <c r="D3887" s="34" t="s">
        <v>1999</v>
      </c>
      <c r="E3887" s="35" t="str">
        <f t="shared" si="940"/>
        <v>PRBDP'!</v>
      </c>
      <c r="F3887" s="34" t="str">
        <f t="shared" si="941"/>
        <v>C:\Users\jaime.benazar\Quorum Business Solutions\Ecopetrol Prometeo - Documents\Planning Space Implementation\3. Analysis &amp; Design\Design\FC22\DRR Jaime\QUIFA-CAJÚA\Cajua\[CAJUA_CF_SEC_New_27-Feb-2024Rev3.xlsx]D-PRBDP'!</v>
      </c>
      <c r="G3887" s="32" t="s">
        <v>114</v>
      </c>
      <c r="H3887" s="33"/>
      <c r="I3887" s="33"/>
      <c r="J3887" s="37"/>
    </row>
    <row r="3888" spans="1:10" x14ac:dyDescent="0.25">
      <c r="A3888" s="32" t="s">
        <v>99</v>
      </c>
      <c r="B3888" s="32">
        <f t="shared" si="942"/>
        <v>2033</v>
      </c>
      <c r="C3888" s="33" t="s">
        <v>109</v>
      </c>
      <c r="D3888" s="34" t="s">
        <v>1999</v>
      </c>
      <c r="E3888" s="35" t="str">
        <f t="shared" si="940"/>
        <v>PRBDP'!</v>
      </c>
      <c r="F3888" s="34" t="str">
        <f t="shared" si="941"/>
        <v>C:\Users\jaime.benazar\Quorum Business Solutions\Ecopetrol Prometeo - Documents\Planning Space Implementation\3. Analysis &amp; Design\Design\FC22\DRR Jaime\QUIFA-CAJÚA\Cajua\[CAJUA_CF_SEC_New_27-Feb-2024Rev3.xlsx]D-PRBDP'!</v>
      </c>
      <c r="G3888" s="32" t="s">
        <v>114</v>
      </c>
      <c r="H3888" s="33"/>
      <c r="I3888" s="33"/>
      <c r="J3888" s="37"/>
    </row>
    <row r="3889" spans="1:10" x14ac:dyDescent="0.25">
      <c r="A3889" s="32" t="s">
        <v>99</v>
      </c>
      <c r="B3889" s="32">
        <f t="shared" si="942"/>
        <v>2034</v>
      </c>
      <c r="C3889" s="33" t="s">
        <v>109</v>
      </c>
      <c r="D3889" s="34" t="s">
        <v>1999</v>
      </c>
      <c r="E3889" s="35" t="str">
        <f t="shared" si="940"/>
        <v>PRBDP'!</v>
      </c>
      <c r="F3889" s="34" t="str">
        <f t="shared" si="941"/>
        <v>C:\Users\jaime.benazar\Quorum Business Solutions\Ecopetrol Prometeo - Documents\Planning Space Implementation\3. Analysis &amp; Design\Design\FC22\DRR Jaime\QUIFA-CAJÚA\Cajua\[CAJUA_CF_SEC_New_27-Feb-2024Rev3.xlsx]D-PRBDP'!</v>
      </c>
      <c r="G3889" s="32" t="s">
        <v>114</v>
      </c>
      <c r="H3889" s="33"/>
      <c r="I3889" s="33"/>
      <c r="J3889" s="37"/>
    </row>
    <row r="3890" spans="1:10" x14ac:dyDescent="0.25">
      <c r="A3890" s="32" t="s">
        <v>99</v>
      </c>
      <c r="B3890" s="32">
        <f t="shared" si="942"/>
        <v>2035</v>
      </c>
      <c r="C3890" s="33" t="s">
        <v>109</v>
      </c>
      <c r="D3890" s="34" t="s">
        <v>1999</v>
      </c>
      <c r="E3890" s="35" t="str">
        <f t="shared" si="940"/>
        <v>PRBDP'!</v>
      </c>
      <c r="F3890" s="34" t="str">
        <f t="shared" si="941"/>
        <v>C:\Users\jaime.benazar\Quorum Business Solutions\Ecopetrol Prometeo - Documents\Planning Space Implementation\3. Analysis &amp; Design\Design\FC22\DRR Jaime\QUIFA-CAJÚA\Cajua\[CAJUA_CF_SEC_New_27-Feb-2024Rev3.xlsx]D-PRBDP'!</v>
      </c>
      <c r="G3890" s="32" t="s">
        <v>114</v>
      </c>
      <c r="H3890" s="33"/>
      <c r="I3890" s="33"/>
      <c r="J3890" s="37"/>
    </row>
    <row r="3891" spans="1:10" x14ac:dyDescent="0.25">
      <c r="A3891" s="32" t="s">
        <v>99</v>
      </c>
      <c r="B3891" s="32">
        <f t="shared" si="942"/>
        <v>2036</v>
      </c>
      <c r="C3891" s="33" t="s">
        <v>109</v>
      </c>
      <c r="D3891" s="34" t="s">
        <v>1999</v>
      </c>
      <c r="E3891" s="35" t="str">
        <f t="shared" si="940"/>
        <v>PRBDP'!</v>
      </c>
      <c r="F3891" s="34" t="str">
        <f t="shared" si="941"/>
        <v>C:\Users\jaime.benazar\Quorum Business Solutions\Ecopetrol Prometeo - Documents\Planning Space Implementation\3. Analysis &amp; Design\Design\FC22\DRR Jaime\QUIFA-CAJÚA\Cajua\[CAJUA_CF_SEC_New_27-Feb-2024Rev3.xlsx]D-PRBDP'!</v>
      </c>
      <c r="G3891" s="32" t="s">
        <v>114</v>
      </c>
      <c r="H3891" s="33"/>
      <c r="I3891" s="33"/>
      <c r="J3891" s="37"/>
    </row>
    <row r="3892" spans="1:10" x14ac:dyDescent="0.25">
      <c r="A3892" s="32" t="s">
        <v>99</v>
      </c>
      <c r="B3892" s="32">
        <f>+B3891+1</f>
        <v>2037</v>
      </c>
      <c r="C3892" s="33" t="s">
        <v>109</v>
      </c>
      <c r="D3892" s="34" t="s">
        <v>1999</v>
      </c>
      <c r="E3892" s="35" t="str">
        <f t="shared" si="940"/>
        <v>PRBDP'!</v>
      </c>
      <c r="F3892" s="34" t="str">
        <f t="shared" si="941"/>
        <v>C:\Users\jaime.benazar\Quorum Business Solutions\Ecopetrol Prometeo - Documents\Planning Space Implementation\3. Analysis &amp; Design\Design\FC22\DRR Jaime\QUIFA-CAJÚA\Cajua\[CAJUA_CF_SEC_New_27-Feb-2024Rev3.xlsx]D-PRBDP'!</v>
      </c>
      <c r="G3892" s="32" t="s">
        <v>114</v>
      </c>
      <c r="H3892" s="33"/>
      <c r="I3892" s="33"/>
      <c r="J3892" s="37"/>
    </row>
    <row r="3893" spans="1:10" x14ac:dyDescent="0.25">
      <c r="A3893" s="32" t="s">
        <v>99</v>
      </c>
      <c r="B3893" s="32">
        <f t="shared" ref="B3893:B3895" si="943">+B3892+1</f>
        <v>2038</v>
      </c>
      <c r="C3893" s="33" t="s">
        <v>109</v>
      </c>
      <c r="D3893" s="34" t="s">
        <v>1999</v>
      </c>
      <c r="E3893" s="35" t="str">
        <f t="shared" si="940"/>
        <v>PRBDP'!</v>
      </c>
      <c r="F3893" s="34" t="str">
        <f t="shared" si="941"/>
        <v>C:\Users\jaime.benazar\Quorum Business Solutions\Ecopetrol Prometeo - Documents\Planning Space Implementation\3. Analysis &amp; Design\Design\FC22\DRR Jaime\QUIFA-CAJÚA\Cajua\[CAJUA_CF_SEC_New_27-Feb-2024Rev3.xlsx]D-PRBDP'!</v>
      </c>
      <c r="G3893" s="32" t="s">
        <v>114</v>
      </c>
      <c r="H3893" s="33"/>
      <c r="I3893" s="33"/>
      <c r="J3893" s="37"/>
    </row>
    <row r="3894" spans="1:10" x14ac:dyDescent="0.25">
      <c r="A3894" s="32" t="s">
        <v>99</v>
      </c>
      <c r="B3894" s="32">
        <f t="shared" si="943"/>
        <v>2039</v>
      </c>
      <c r="C3894" s="33" t="s">
        <v>109</v>
      </c>
      <c r="D3894" s="34" t="s">
        <v>1999</v>
      </c>
      <c r="E3894" s="35" t="str">
        <f t="shared" si="940"/>
        <v>PRBDP'!</v>
      </c>
      <c r="F3894" s="34" t="str">
        <f t="shared" si="941"/>
        <v>C:\Users\jaime.benazar\Quorum Business Solutions\Ecopetrol Prometeo - Documents\Planning Space Implementation\3. Analysis &amp; Design\Design\FC22\DRR Jaime\QUIFA-CAJÚA\Cajua\[CAJUA_CF_SEC_New_27-Feb-2024Rev3.xlsx]D-PRBDP'!</v>
      </c>
      <c r="G3894" s="32" t="s">
        <v>114</v>
      </c>
      <c r="H3894" s="33"/>
      <c r="I3894" s="33"/>
      <c r="J3894" s="37"/>
    </row>
    <row r="3895" spans="1:10" x14ac:dyDescent="0.25">
      <c r="A3895" s="32" t="s">
        <v>99</v>
      </c>
      <c r="B3895" s="32">
        <f t="shared" si="943"/>
        <v>2040</v>
      </c>
      <c r="C3895" s="33" t="s">
        <v>109</v>
      </c>
      <c r="D3895" s="34" t="s">
        <v>1999</v>
      </c>
      <c r="E3895" s="35" t="str">
        <f t="shared" si="940"/>
        <v>PRBDP'!</v>
      </c>
      <c r="F3895" s="34" t="str">
        <f t="shared" si="941"/>
        <v>C:\Users\jaime.benazar\Quorum Business Solutions\Ecopetrol Prometeo - Documents\Planning Space Implementation\3. Analysis &amp; Design\Design\FC22\DRR Jaime\QUIFA-CAJÚA\Cajua\[CAJUA_CF_SEC_New_27-Feb-2024Rev3.xlsx]D-PRBDP'!</v>
      </c>
      <c r="G3895" s="32" t="s">
        <v>114</v>
      </c>
      <c r="H3895" s="33"/>
      <c r="I3895" s="33"/>
      <c r="J3895" s="37"/>
    </row>
    <row r="3896" spans="1:10" x14ac:dyDescent="0.25">
      <c r="A3896" s="32" t="s">
        <v>99</v>
      </c>
      <c r="B3896" s="32">
        <f>+B3895+1</f>
        <v>2041</v>
      </c>
      <c r="C3896" s="33" t="s">
        <v>109</v>
      </c>
      <c r="D3896" s="34" t="s">
        <v>1999</v>
      </c>
      <c r="E3896" s="35" t="str">
        <f t="shared" si="940"/>
        <v>PRBDP'!</v>
      </c>
      <c r="F3896" s="34" t="str">
        <f t="shared" si="941"/>
        <v>C:\Users\jaime.benazar\Quorum Business Solutions\Ecopetrol Prometeo - Documents\Planning Space Implementation\3. Analysis &amp; Design\Design\FC22\DRR Jaime\QUIFA-CAJÚA\Cajua\[CAJUA_CF_SEC_New_27-Feb-2024Rev3.xlsx]D-PRBDP'!</v>
      </c>
      <c r="G3896" s="32" t="s">
        <v>114</v>
      </c>
      <c r="H3896" s="33"/>
      <c r="I3896" s="33"/>
      <c r="J3896" s="37"/>
    </row>
    <row r="3897" spans="1:10" x14ac:dyDescent="0.25">
      <c r="A3897" s="32" t="s">
        <v>99</v>
      </c>
      <c r="B3897" s="32">
        <f t="shared" ref="B3897:B3898" si="944">+B3896+1</f>
        <v>2042</v>
      </c>
      <c r="C3897" s="33" t="s">
        <v>109</v>
      </c>
      <c r="D3897" s="34" t="s">
        <v>1999</v>
      </c>
      <c r="E3897" s="35" t="str">
        <f t="shared" si="940"/>
        <v>PRBDP'!</v>
      </c>
      <c r="F3897" s="34" t="str">
        <f t="shared" si="941"/>
        <v>C:\Users\jaime.benazar\Quorum Business Solutions\Ecopetrol Prometeo - Documents\Planning Space Implementation\3. Analysis &amp; Design\Design\FC22\DRR Jaime\QUIFA-CAJÚA\Cajua\[CAJUA_CF_SEC_New_27-Feb-2024Rev3.xlsx]D-PRBDP'!</v>
      </c>
      <c r="G3897" s="32" t="s">
        <v>114</v>
      </c>
      <c r="H3897" s="33"/>
      <c r="I3897" s="33"/>
      <c r="J3897" s="37"/>
    </row>
    <row r="3898" spans="1:10" x14ac:dyDescent="0.25">
      <c r="A3898" s="32" t="s">
        <v>99</v>
      </c>
      <c r="B3898" s="32">
        <f t="shared" si="944"/>
        <v>2043</v>
      </c>
      <c r="C3898" s="33" t="s">
        <v>109</v>
      </c>
      <c r="D3898" s="34" t="s">
        <v>1999</v>
      </c>
      <c r="E3898" s="35" t="str">
        <f t="shared" si="940"/>
        <v>PRBDP'!</v>
      </c>
      <c r="F3898" s="34" t="str">
        <f t="shared" si="941"/>
        <v>C:\Users\jaime.benazar\Quorum Business Solutions\Ecopetrol Prometeo - Documents\Planning Space Implementation\3. Analysis &amp; Design\Design\FC22\DRR Jaime\QUIFA-CAJÚA\Cajua\[CAJUA_CF_SEC_New_27-Feb-2024Rev3.xlsx]D-PRBDP'!</v>
      </c>
      <c r="G3898" s="32" t="s">
        <v>114</v>
      </c>
      <c r="H3898" s="33"/>
      <c r="I3898" s="33"/>
      <c r="J3898" s="37"/>
    </row>
    <row r="3899" spans="1:10" x14ac:dyDescent="0.25">
      <c r="A3899" s="32" t="s">
        <v>99</v>
      </c>
      <c r="B3899" s="32">
        <f>+B3898+1</f>
        <v>2044</v>
      </c>
      <c r="C3899" s="33" t="s">
        <v>109</v>
      </c>
      <c r="D3899" s="34" t="s">
        <v>1999</v>
      </c>
      <c r="E3899" s="35" t="str">
        <f t="shared" ref="E3899:E3914" si="945">_xlfn.CONCAT(A3899,"'!")</f>
        <v>PRBDP'!</v>
      </c>
      <c r="F3899" s="34" t="str">
        <f t="shared" ref="F3899:F3914" si="946">_xlfn.CONCAT(D3899:E3899)</f>
        <v>C:\Users\jaime.benazar\Quorum Business Solutions\Ecopetrol Prometeo - Documents\Planning Space Implementation\3. Analysis &amp; Design\Design\FC22\DRR Jaime\QUIFA-CAJÚA\Cajua\[CAJUA_CF_SEC_New_27-Feb-2024Rev3.xlsx]D-PRBDP'!</v>
      </c>
      <c r="G3899" s="32" t="s">
        <v>114</v>
      </c>
      <c r="H3899" s="33"/>
      <c r="I3899" s="33"/>
      <c r="J3899" s="37"/>
    </row>
    <row r="3900" spans="1:10" x14ac:dyDescent="0.25">
      <c r="A3900" s="32" t="s">
        <v>99</v>
      </c>
      <c r="B3900" s="32">
        <f t="shared" ref="B3900:B3914" si="947">+B3899+1</f>
        <v>2045</v>
      </c>
      <c r="C3900" s="33" t="s">
        <v>109</v>
      </c>
      <c r="D3900" s="34" t="s">
        <v>1999</v>
      </c>
      <c r="E3900" s="35" t="str">
        <f t="shared" si="945"/>
        <v>PRBDP'!</v>
      </c>
      <c r="F3900" s="34" t="str">
        <f t="shared" si="946"/>
        <v>C:\Users\jaime.benazar\Quorum Business Solutions\Ecopetrol Prometeo - Documents\Planning Space Implementation\3. Analysis &amp; Design\Design\FC22\DRR Jaime\QUIFA-CAJÚA\Cajua\[CAJUA_CF_SEC_New_27-Feb-2024Rev3.xlsx]D-PRBDP'!</v>
      </c>
      <c r="G3900" s="32" t="s">
        <v>114</v>
      </c>
      <c r="H3900" s="33"/>
      <c r="I3900" s="33"/>
      <c r="J3900" s="37"/>
    </row>
    <row r="3901" spans="1:10" x14ac:dyDescent="0.25">
      <c r="A3901" s="32" t="s">
        <v>99</v>
      </c>
      <c r="B3901" s="32">
        <f t="shared" si="947"/>
        <v>2046</v>
      </c>
      <c r="C3901" s="33" t="s">
        <v>109</v>
      </c>
      <c r="D3901" s="34" t="s">
        <v>1999</v>
      </c>
      <c r="E3901" s="35" t="str">
        <f t="shared" si="945"/>
        <v>PRBDP'!</v>
      </c>
      <c r="F3901" s="34" t="str">
        <f t="shared" si="946"/>
        <v>C:\Users\jaime.benazar\Quorum Business Solutions\Ecopetrol Prometeo - Documents\Planning Space Implementation\3. Analysis &amp; Design\Design\FC22\DRR Jaime\QUIFA-CAJÚA\Cajua\[CAJUA_CF_SEC_New_27-Feb-2024Rev3.xlsx]D-PRBDP'!</v>
      </c>
      <c r="G3901" s="32" t="s">
        <v>114</v>
      </c>
      <c r="H3901" s="33"/>
      <c r="I3901" s="33"/>
      <c r="J3901" s="37"/>
    </row>
    <row r="3902" spans="1:10" x14ac:dyDescent="0.25">
      <c r="A3902" s="32" t="s">
        <v>99</v>
      </c>
      <c r="B3902" s="32">
        <f t="shared" si="947"/>
        <v>2047</v>
      </c>
      <c r="C3902" s="33" t="s">
        <v>109</v>
      </c>
      <c r="D3902" s="34" t="s">
        <v>1999</v>
      </c>
      <c r="E3902" s="35" t="str">
        <f t="shared" si="945"/>
        <v>PRBDP'!</v>
      </c>
      <c r="F3902" s="34" t="str">
        <f t="shared" si="946"/>
        <v>C:\Users\jaime.benazar\Quorum Business Solutions\Ecopetrol Prometeo - Documents\Planning Space Implementation\3. Analysis &amp; Design\Design\FC22\DRR Jaime\QUIFA-CAJÚA\Cajua\[CAJUA_CF_SEC_New_27-Feb-2024Rev3.xlsx]D-PRBDP'!</v>
      </c>
      <c r="G3902" s="32" t="s">
        <v>114</v>
      </c>
      <c r="H3902" s="33"/>
      <c r="I3902" s="33"/>
      <c r="J3902" s="37"/>
    </row>
    <row r="3903" spans="1:10" x14ac:dyDescent="0.25">
      <c r="A3903" s="32" t="s">
        <v>99</v>
      </c>
      <c r="B3903" s="32">
        <f t="shared" si="947"/>
        <v>2048</v>
      </c>
      <c r="C3903" s="33" t="s">
        <v>109</v>
      </c>
      <c r="D3903" s="34" t="s">
        <v>1999</v>
      </c>
      <c r="E3903" s="35" t="str">
        <f t="shared" si="945"/>
        <v>PRBDP'!</v>
      </c>
      <c r="F3903" s="34" t="str">
        <f t="shared" si="946"/>
        <v>C:\Users\jaime.benazar\Quorum Business Solutions\Ecopetrol Prometeo - Documents\Planning Space Implementation\3. Analysis &amp; Design\Design\FC22\DRR Jaime\QUIFA-CAJÚA\Cajua\[CAJUA_CF_SEC_New_27-Feb-2024Rev3.xlsx]D-PRBDP'!</v>
      </c>
      <c r="G3903" s="32" t="s">
        <v>114</v>
      </c>
      <c r="H3903" s="33"/>
      <c r="I3903" s="33"/>
      <c r="J3903" s="37"/>
    </row>
    <row r="3904" spans="1:10" x14ac:dyDescent="0.25">
      <c r="A3904" s="32" t="s">
        <v>99</v>
      </c>
      <c r="B3904" s="32">
        <f t="shared" si="947"/>
        <v>2049</v>
      </c>
      <c r="C3904" s="33" t="s">
        <v>109</v>
      </c>
      <c r="D3904" s="34" t="s">
        <v>1999</v>
      </c>
      <c r="E3904" s="35" t="str">
        <f t="shared" si="945"/>
        <v>PRBDP'!</v>
      </c>
      <c r="F3904" s="34" t="str">
        <f t="shared" si="946"/>
        <v>C:\Users\jaime.benazar\Quorum Business Solutions\Ecopetrol Prometeo - Documents\Planning Space Implementation\3. Analysis &amp; Design\Design\FC22\DRR Jaime\QUIFA-CAJÚA\Cajua\[CAJUA_CF_SEC_New_27-Feb-2024Rev3.xlsx]D-PRBDP'!</v>
      </c>
      <c r="G3904" s="32" t="s">
        <v>114</v>
      </c>
      <c r="H3904" s="33"/>
      <c r="I3904" s="33"/>
      <c r="J3904" s="37"/>
    </row>
    <row r="3905" spans="1:10" x14ac:dyDescent="0.25">
      <c r="A3905" s="32" t="s">
        <v>99</v>
      </c>
      <c r="B3905" s="32">
        <f t="shared" si="947"/>
        <v>2050</v>
      </c>
      <c r="C3905" s="33" t="s">
        <v>109</v>
      </c>
      <c r="D3905" s="34" t="s">
        <v>1999</v>
      </c>
      <c r="E3905" s="35" t="str">
        <f t="shared" si="945"/>
        <v>PRBDP'!</v>
      </c>
      <c r="F3905" s="34" t="str">
        <f t="shared" si="946"/>
        <v>C:\Users\jaime.benazar\Quorum Business Solutions\Ecopetrol Prometeo - Documents\Planning Space Implementation\3. Analysis &amp; Design\Design\FC22\DRR Jaime\QUIFA-CAJÚA\Cajua\[CAJUA_CF_SEC_New_27-Feb-2024Rev3.xlsx]D-PRBDP'!</v>
      </c>
      <c r="G3905" s="32" t="s">
        <v>114</v>
      </c>
      <c r="H3905" s="33"/>
      <c r="I3905" s="33"/>
      <c r="J3905" s="37"/>
    </row>
    <row r="3906" spans="1:10" x14ac:dyDescent="0.25">
      <c r="A3906" s="32" t="s">
        <v>99</v>
      </c>
      <c r="B3906" s="32">
        <f t="shared" si="947"/>
        <v>2051</v>
      </c>
      <c r="C3906" s="33" t="s">
        <v>109</v>
      </c>
      <c r="D3906" s="34" t="s">
        <v>1999</v>
      </c>
      <c r="E3906" s="35" t="str">
        <f t="shared" si="945"/>
        <v>PRBDP'!</v>
      </c>
      <c r="F3906" s="34" t="str">
        <f t="shared" si="946"/>
        <v>C:\Users\jaime.benazar\Quorum Business Solutions\Ecopetrol Prometeo - Documents\Planning Space Implementation\3. Analysis &amp; Design\Design\FC22\DRR Jaime\QUIFA-CAJÚA\Cajua\[CAJUA_CF_SEC_New_27-Feb-2024Rev3.xlsx]D-PRBDP'!</v>
      </c>
      <c r="G3906" s="32" t="s">
        <v>114</v>
      </c>
      <c r="H3906" s="33"/>
      <c r="I3906" s="33"/>
      <c r="J3906" s="37"/>
    </row>
    <row r="3907" spans="1:10" x14ac:dyDescent="0.25">
      <c r="A3907" s="32" t="s">
        <v>99</v>
      </c>
      <c r="B3907" s="32">
        <f t="shared" si="947"/>
        <v>2052</v>
      </c>
      <c r="C3907" s="33" t="s">
        <v>109</v>
      </c>
      <c r="D3907" s="34" t="s">
        <v>1999</v>
      </c>
      <c r="E3907" s="35" t="str">
        <f t="shared" si="945"/>
        <v>PRBDP'!</v>
      </c>
      <c r="F3907" s="34" t="str">
        <f t="shared" si="946"/>
        <v>C:\Users\jaime.benazar\Quorum Business Solutions\Ecopetrol Prometeo - Documents\Planning Space Implementation\3. Analysis &amp; Design\Design\FC22\DRR Jaime\QUIFA-CAJÚA\Cajua\[CAJUA_CF_SEC_New_27-Feb-2024Rev3.xlsx]D-PRBDP'!</v>
      </c>
      <c r="G3907" s="32" t="s">
        <v>114</v>
      </c>
      <c r="H3907" s="33"/>
      <c r="I3907" s="33"/>
      <c r="J3907" s="37"/>
    </row>
    <row r="3908" spans="1:10" x14ac:dyDescent="0.25">
      <c r="A3908" s="32" t="s">
        <v>99</v>
      </c>
      <c r="B3908" s="32">
        <f t="shared" si="947"/>
        <v>2053</v>
      </c>
      <c r="C3908" s="33" t="s">
        <v>109</v>
      </c>
      <c r="D3908" s="34" t="s">
        <v>1999</v>
      </c>
      <c r="E3908" s="35" t="str">
        <f t="shared" si="945"/>
        <v>PRBDP'!</v>
      </c>
      <c r="F3908" s="34" t="str">
        <f t="shared" si="946"/>
        <v>C:\Users\jaime.benazar\Quorum Business Solutions\Ecopetrol Prometeo - Documents\Planning Space Implementation\3. Analysis &amp; Design\Design\FC22\DRR Jaime\QUIFA-CAJÚA\Cajua\[CAJUA_CF_SEC_New_27-Feb-2024Rev3.xlsx]D-PRBDP'!</v>
      </c>
      <c r="G3908" s="32" t="s">
        <v>114</v>
      </c>
      <c r="H3908" s="33"/>
      <c r="I3908" s="33"/>
      <c r="J3908" s="37"/>
    </row>
    <row r="3909" spans="1:10" x14ac:dyDescent="0.25">
      <c r="A3909" s="32" t="s">
        <v>99</v>
      </c>
      <c r="B3909" s="32">
        <f t="shared" si="947"/>
        <v>2054</v>
      </c>
      <c r="C3909" s="33" t="s">
        <v>109</v>
      </c>
      <c r="D3909" s="34" t="s">
        <v>1999</v>
      </c>
      <c r="E3909" s="35" t="str">
        <f t="shared" si="945"/>
        <v>PRBDP'!</v>
      </c>
      <c r="F3909" s="34" t="str">
        <f t="shared" si="946"/>
        <v>C:\Users\jaime.benazar\Quorum Business Solutions\Ecopetrol Prometeo - Documents\Planning Space Implementation\3. Analysis &amp; Design\Design\FC22\DRR Jaime\QUIFA-CAJÚA\Cajua\[CAJUA_CF_SEC_New_27-Feb-2024Rev3.xlsx]D-PRBDP'!</v>
      </c>
      <c r="G3909" s="32" t="s">
        <v>114</v>
      </c>
      <c r="H3909" s="33"/>
      <c r="I3909" s="33"/>
      <c r="J3909" s="37"/>
    </row>
    <row r="3910" spans="1:10" x14ac:dyDescent="0.25">
      <c r="A3910" s="32" t="s">
        <v>99</v>
      </c>
      <c r="B3910" s="32">
        <f t="shared" si="947"/>
        <v>2055</v>
      </c>
      <c r="C3910" s="33" t="s">
        <v>109</v>
      </c>
      <c r="D3910" s="34" t="s">
        <v>1999</v>
      </c>
      <c r="E3910" s="35" t="str">
        <f t="shared" si="945"/>
        <v>PRBDP'!</v>
      </c>
      <c r="F3910" s="34" t="str">
        <f t="shared" si="946"/>
        <v>C:\Users\jaime.benazar\Quorum Business Solutions\Ecopetrol Prometeo - Documents\Planning Space Implementation\3. Analysis &amp; Design\Design\FC22\DRR Jaime\QUIFA-CAJÚA\Cajua\[CAJUA_CF_SEC_New_27-Feb-2024Rev3.xlsx]D-PRBDP'!</v>
      </c>
      <c r="G3910" s="32" t="s">
        <v>114</v>
      </c>
      <c r="H3910" s="33"/>
      <c r="I3910" s="33"/>
      <c r="J3910" s="37"/>
    </row>
    <row r="3911" spans="1:10" x14ac:dyDescent="0.25">
      <c r="A3911" s="32" t="s">
        <v>99</v>
      </c>
      <c r="B3911" s="32">
        <f t="shared" si="947"/>
        <v>2056</v>
      </c>
      <c r="C3911" s="33" t="s">
        <v>109</v>
      </c>
      <c r="D3911" s="34" t="s">
        <v>1999</v>
      </c>
      <c r="E3911" s="35" t="str">
        <f t="shared" si="945"/>
        <v>PRBDP'!</v>
      </c>
      <c r="F3911" s="34" t="str">
        <f t="shared" si="946"/>
        <v>C:\Users\jaime.benazar\Quorum Business Solutions\Ecopetrol Prometeo - Documents\Planning Space Implementation\3. Analysis &amp; Design\Design\FC22\DRR Jaime\QUIFA-CAJÚA\Cajua\[CAJUA_CF_SEC_New_27-Feb-2024Rev3.xlsx]D-PRBDP'!</v>
      </c>
      <c r="G3911" s="32" t="s">
        <v>114</v>
      </c>
      <c r="H3911" s="33"/>
      <c r="I3911" s="33"/>
      <c r="J3911" s="37"/>
    </row>
    <row r="3912" spans="1:10" x14ac:dyDescent="0.25">
      <c r="A3912" s="32" t="s">
        <v>99</v>
      </c>
      <c r="B3912" s="32">
        <f t="shared" si="947"/>
        <v>2057</v>
      </c>
      <c r="C3912" s="33" t="s">
        <v>109</v>
      </c>
      <c r="D3912" s="34" t="s">
        <v>1999</v>
      </c>
      <c r="E3912" s="35" t="str">
        <f t="shared" si="945"/>
        <v>PRBDP'!</v>
      </c>
      <c r="F3912" s="34" t="str">
        <f t="shared" si="946"/>
        <v>C:\Users\jaime.benazar\Quorum Business Solutions\Ecopetrol Prometeo - Documents\Planning Space Implementation\3. Analysis &amp; Design\Design\FC22\DRR Jaime\QUIFA-CAJÚA\Cajua\[CAJUA_CF_SEC_New_27-Feb-2024Rev3.xlsx]D-PRBDP'!</v>
      </c>
      <c r="G3912" s="32" t="s">
        <v>114</v>
      </c>
      <c r="H3912" s="33"/>
      <c r="I3912" s="33"/>
      <c r="J3912" s="37"/>
    </row>
    <row r="3913" spans="1:10" x14ac:dyDescent="0.25">
      <c r="A3913" s="32" t="s">
        <v>99</v>
      </c>
      <c r="B3913" s="32">
        <f t="shared" si="947"/>
        <v>2058</v>
      </c>
      <c r="C3913" s="33" t="s">
        <v>109</v>
      </c>
      <c r="D3913" s="34" t="s">
        <v>1999</v>
      </c>
      <c r="E3913" s="35" t="str">
        <f t="shared" si="945"/>
        <v>PRBDP'!</v>
      </c>
      <c r="F3913" s="34" t="str">
        <f t="shared" si="946"/>
        <v>C:\Users\jaime.benazar\Quorum Business Solutions\Ecopetrol Prometeo - Documents\Planning Space Implementation\3. Analysis &amp; Design\Design\FC22\DRR Jaime\QUIFA-CAJÚA\Cajua\[CAJUA_CF_SEC_New_27-Feb-2024Rev3.xlsx]D-PRBDP'!</v>
      </c>
      <c r="G3913" s="32" t="s">
        <v>114</v>
      </c>
      <c r="H3913" s="33"/>
      <c r="I3913" s="33"/>
      <c r="J3913" s="37"/>
    </row>
    <row r="3914" spans="1:10" x14ac:dyDescent="0.25">
      <c r="A3914" s="32" t="s">
        <v>99</v>
      </c>
      <c r="B3914" s="32">
        <f t="shared" si="947"/>
        <v>2059</v>
      </c>
      <c r="C3914" s="33" t="s">
        <v>109</v>
      </c>
      <c r="D3914" s="34" t="s">
        <v>1999</v>
      </c>
      <c r="E3914" s="35" t="str">
        <f t="shared" si="945"/>
        <v>PRBDP'!</v>
      </c>
      <c r="F3914" s="34" t="str">
        <f t="shared" si="946"/>
        <v>C:\Users\jaime.benazar\Quorum Business Solutions\Ecopetrol Prometeo - Documents\Planning Space Implementation\3. Analysis &amp; Design\Design\FC22\DRR Jaime\QUIFA-CAJÚA\Cajua\[CAJUA_CF_SEC_New_27-Feb-2024Rev3.xlsx]D-PRBDP'!</v>
      </c>
      <c r="G3914" s="32" t="s">
        <v>114</v>
      </c>
      <c r="H3914" s="33"/>
      <c r="I3914" s="33"/>
      <c r="J3914" s="37"/>
    </row>
    <row r="3915" spans="1:10" x14ac:dyDescent="0.25">
      <c r="A3915" s="32" t="s">
        <v>28</v>
      </c>
      <c r="B3915" s="32"/>
      <c r="C3915" s="33" t="s">
        <v>109</v>
      </c>
      <c r="D3915" s="34"/>
      <c r="E3915" s="35"/>
      <c r="F3915" s="34"/>
      <c r="G3915" s="32"/>
      <c r="H3915" s="33"/>
      <c r="I3915" s="33"/>
      <c r="J3915" s="36"/>
    </row>
    <row r="3916" spans="1:10" x14ac:dyDescent="0.25">
      <c r="A3916" s="32" t="s">
        <v>100</v>
      </c>
      <c r="B3916" s="32">
        <v>2023</v>
      </c>
      <c r="C3916" s="33" t="s">
        <v>109</v>
      </c>
      <c r="D3916" s="34" t="s">
        <v>1999</v>
      </c>
      <c r="E3916" s="35" t="str">
        <f t="shared" ref="E3916:E3936" si="948">_xlfn.CONCAT(A3916,"'!")</f>
        <v>PRBNP'!</v>
      </c>
      <c r="F3916" s="34" t="str">
        <f t="shared" ref="F3916:F3936" si="949">_xlfn.CONCAT(D3916:E3916)</f>
        <v>C:\Users\jaime.benazar\Quorum Business Solutions\Ecopetrol Prometeo - Documents\Planning Space Implementation\3. Analysis &amp; Design\Design\FC22\DRR Jaime\QUIFA-CAJÚA\Cajua\[CAJUA_CF_SEC_New_27-Feb-2024Rev3.xlsx]D-PRBNP'!</v>
      </c>
      <c r="G3916" s="32" t="s">
        <v>114</v>
      </c>
      <c r="H3916" s="33"/>
      <c r="I3916" s="33"/>
      <c r="J3916" s="37"/>
    </row>
    <row r="3917" spans="1:10" x14ac:dyDescent="0.25">
      <c r="A3917" s="32" t="s">
        <v>100</v>
      </c>
      <c r="B3917" s="32">
        <f>+B3916+1</f>
        <v>2024</v>
      </c>
      <c r="C3917" s="33" t="s">
        <v>109</v>
      </c>
      <c r="D3917" s="34" t="s">
        <v>1999</v>
      </c>
      <c r="E3917" s="35" t="str">
        <f t="shared" si="948"/>
        <v>PRBNP'!</v>
      </c>
      <c r="F3917" s="34" t="str">
        <f t="shared" si="949"/>
        <v>C:\Users\jaime.benazar\Quorum Business Solutions\Ecopetrol Prometeo - Documents\Planning Space Implementation\3. Analysis &amp; Design\Design\FC22\DRR Jaime\QUIFA-CAJÚA\Cajua\[CAJUA_CF_SEC_New_27-Feb-2024Rev3.xlsx]D-PRBNP'!</v>
      </c>
      <c r="G3917" s="32" t="s">
        <v>114</v>
      </c>
      <c r="H3917" s="33"/>
      <c r="I3917" s="33"/>
      <c r="J3917" s="37"/>
    </row>
    <row r="3918" spans="1:10" x14ac:dyDescent="0.25">
      <c r="A3918" s="32" t="s">
        <v>100</v>
      </c>
      <c r="B3918" s="32">
        <f t="shared" ref="B3918:B3929" si="950">+B3917+1</f>
        <v>2025</v>
      </c>
      <c r="C3918" s="33" t="s">
        <v>109</v>
      </c>
      <c r="D3918" s="34" t="s">
        <v>1999</v>
      </c>
      <c r="E3918" s="35" t="str">
        <f t="shared" si="948"/>
        <v>PRBNP'!</v>
      </c>
      <c r="F3918" s="34" t="str">
        <f t="shared" si="949"/>
        <v>C:\Users\jaime.benazar\Quorum Business Solutions\Ecopetrol Prometeo - Documents\Planning Space Implementation\3. Analysis &amp; Design\Design\FC22\DRR Jaime\QUIFA-CAJÚA\Cajua\[CAJUA_CF_SEC_New_27-Feb-2024Rev3.xlsx]D-PRBNP'!</v>
      </c>
      <c r="G3918" s="32" t="s">
        <v>114</v>
      </c>
      <c r="H3918" s="33"/>
      <c r="I3918" s="33"/>
      <c r="J3918" s="37"/>
    </row>
    <row r="3919" spans="1:10" x14ac:dyDescent="0.25">
      <c r="A3919" s="32" t="s">
        <v>100</v>
      </c>
      <c r="B3919" s="32">
        <f t="shared" si="950"/>
        <v>2026</v>
      </c>
      <c r="C3919" s="33" t="s">
        <v>109</v>
      </c>
      <c r="D3919" s="34" t="s">
        <v>1999</v>
      </c>
      <c r="E3919" s="35" t="str">
        <f t="shared" si="948"/>
        <v>PRBNP'!</v>
      </c>
      <c r="F3919" s="34" t="str">
        <f t="shared" si="949"/>
        <v>C:\Users\jaime.benazar\Quorum Business Solutions\Ecopetrol Prometeo - Documents\Planning Space Implementation\3. Analysis &amp; Design\Design\FC22\DRR Jaime\QUIFA-CAJÚA\Cajua\[CAJUA_CF_SEC_New_27-Feb-2024Rev3.xlsx]D-PRBNP'!</v>
      </c>
      <c r="G3919" s="32" t="s">
        <v>114</v>
      </c>
      <c r="H3919" s="33"/>
      <c r="I3919" s="33"/>
      <c r="J3919" s="37"/>
    </row>
    <row r="3920" spans="1:10" x14ac:dyDescent="0.25">
      <c r="A3920" s="32" t="s">
        <v>100</v>
      </c>
      <c r="B3920" s="32">
        <f t="shared" si="950"/>
        <v>2027</v>
      </c>
      <c r="C3920" s="33" t="s">
        <v>109</v>
      </c>
      <c r="D3920" s="34" t="s">
        <v>1999</v>
      </c>
      <c r="E3920" s="35" t="str">
        <f t="shared" si="948"/>
        <v>PRBNP'!</v>
      </c>
      <c r="F3920" s="34" t="str">
        <f t="shared" si="949"/>
        <v>C:\Users\jaime.benazar\Quorum Business Solutions\Ecopetrol Prometeo - Documents\Planning Space Implementation\3. Analysis &amp; Design\Design\FC22\DRR Jaime\QUIFA-CAJÚA\Cajua\[CAJUA_CF_SEC_New_27-Feb-2024Rev3.xlsx]D-PRBNP'!</v>
      </c>
      <c r="G3920" s="32" t="s">
        <v>114</v>
      </c>
      <c r="H3920" s="33"/>
      <c r="I3920" s="33"/>
      <c r="J3920" s="37"/>
    </row>
    <row r="3921" spans="1:10" x14ac:dyDescent="0.25">
      <c r="A3921" s="32" t="s">
        <v>100</v>
      </c>
      <c r="B3921" s="32">
        <f t="shared" si="950"/>
        <v>2028</v>
      </c>
      <c r="C3921" s="33" t="s">
        <v>109</v>
      </c>
      <c r="D3921" s="34" t="s">
        <v>1999</v>
      </c>
      <c r="E3921" s="35" t="str">
        <f t="shared" si="948"/>
        <v>PRBNP'!</v>
      </c>
      <c r="F3921" s="34" t="str">
        <f t="shared" si="949"/>
        <v>C:\Users\jaime.benazar\Quorum Business Solutions\Ecopetrol Prometeo - Documents\Planning Space Implementation\3. Analysis &amp; Design\Design\FC22\DRR Jaime\QUIFA-CAJÚA\Cajua\[CAJUA_CF_SEC_New_27-Feb-2024Rev3.xlsx]D-PRBNP'!</v>
      </c>
      <c r="G3921" s="32" t="s">
        <v>114</v>
      </c>
      <c r="H3921" s="33"/>
      <c r="I3921" s="33"/>
      <c r="J3921" s="37"/>
    </row>
    <row r="3922" spans="1:10" x14ac:dyDescent="0.25">
      <c r="A3922" s="32" t="s">
        <v>100</v>
      </c>
      <c r="B3922" s="32">
        <f t="shared" si="950"/>
        <v>2029</v>
      </c>
      <c r="C3922" s="33" t="s">
        <v>109</v>
      </c>
      <c r="D3922" s="34" t="s">
        <v>1999</v>
      </c>
      <c r="E3922" s="35" t="str">
        <f t="shared" si="948"/>
        <v>PRBNP'!</v>
      </c>
      <c r="F3922" s="34" t="str">
        <f t="shared" si="949"/>
        <v>C:\Users\jaime.benazar\Quorum Business Solutions\Ecopetrol Prometeo - Documents\Planning Space Implementation\3. Analysis &amp; Design\Design\FC22\DRR Jaime\QUIFA-CAJÚA\Cajua\[CAJUA_CF_SEC_New_27-Feb-2024Rev3.xlsx]D-PRBNP'!</v>
      </c>
      <c r="G3922" s="32" t="s">
        <v>114</v>
      </c>
      <c r="H3922" s="33"/>
      <c r="I3922" s="33"/>
      <c r="J3922" s="37"/>
    </row>
    <row r="3923" spans="1:10" x14ac:dyDescent="0.25">
      <c r="A3923" s="32" t="s">
        <v>100</v>
      </c>
      <c r="B3923" s="32">
        <f t="shared" si="950"/>
        <v>2030</v>
      </c>
      <c r="C3923" s="33" t="s">
        <v>109</v>
      </c>
      <c r="D3923" s="34" t="s">
        <v>1999</v>
      </c>
      <c r="E3923" s="35" t="str">
        <f t="shared" si="948"/>
        <v>PRBNP'!</v>
      </c>
      <c r="F3923" s="34" t="str">
        <f t="shared" si="949"/>
        <v>C:\Users\jaime.benazar\Quorum Business Solutions\Ecopetrol Prometeo - Documents\Planning Space Implementation\3. Analysis &amp; Design\Design\FC22\DRR Jaime\QUIFA-CAJÚA\Cajua\[CAJUA_CF_SEC_New_27-Feb-2024Rev3.xlsx]D-PRBNP'!</v>
      </c>
      <c r="G3923" s="32" t="s">
        <v>114</v>
      </c>
      <c r="H3923" s="33"/>
      <c r="I3923" s="33"/>
      <c r="J3923" s="37"/>
    </row>
    <row r="3924" spans="1:10" x14ac:dyDescent="0.25">
      <c r="A3924" s="32" t="s">
        <v>100</v>
      </c>
      <c r="B3924" s="32">
        <f t="shared" si="950"/>
        <v>2031</v>
      </c>
      <c r="C3924" s="33" t="s">
        <v>109</v>
      </c>
      <c r="D3924" s="34" t="s">
        <v>1999</v>
      </c>
      <c r="E3924" s="35" t="str">
        <f t="shared" si="948"/>
        <v>PRBNP'!</v>
      </c>
      <c r="F3924" s="34" t="str">
        <f t="shared" si="949"/>
        <v>C:\Users\jaime.benazar\Quorum Business Solutions\Ecopetrol Prometeo - Documents\Planning Space Implementation\3. Analysis &amp; Design\Design\FC22\DRR Jaime\QUIFA-CAJÚA\Cajua\[CAJUA_CF_SEC_New_27-Feb-2024Rev3.xlsx]D-PRBNP'!</v>
      </c>
      <c r="G3924" s="32" t="s">
        <v>114</v>
      </c>
      <c r="H3924" s="33"/>
      <c r="I3924" s="33"/>
      <c r="J3924" s="37"/>
    </row>
    <row r="3925" spans="1:10" x14ac:dyDescent="0.25">
      <c r="A3925" s="32" t="s">
        <v>100</v>
      </c>
      <c r="B3925" s="32">
        <f t="shared" si="950"/>
        <v>2032</v>
      </c>
      <c r="C3925" s="33" t="s">
        <v>109</v>
      </c>
      <c r="D3925" s="34" t="s">
        <v>1999</v>
      </c>
      <c r="E3925" s="35" t="str">
        <f t="shared" si="948"/>
        <v>PRBNP'!</v>
      </c>
      <c r="F3925" s="34" t="str">
        <f t="shared" si="949"/>
        <v>C:\Users\jaime.benazar\Quorum Business Solutions\Ecopetrol Prometeo - Documents\Planning Space Implementation\3. Analysis &amp; Design\Design\FC22\DRR Jaime\QUIFA-CAJÚA\Cajua\[CAJUA_CF_SEC_New_27-Feb-2024Rev3.xlsx]D-PRBNP'!</v>
      </c>
      <c r="G3925" s="32" t="s">
        <v>114</v>
      </c>
      <c r="H3925" s="33"/>
      <c r="I3925" s="33"/>
      <c r="J3925" s="37"/>
    </row>
    <row r="3926" spans="1:10" x14ac:dyDescent="0.25">
      <c r="A3926" s="32" t="s">
        <v>100</v>
      </c>
      <c r="B3926" s="32">
        <f t="shared" si="950"/>
        <v>2033</v>
      </c>
      <c r="C3926" s="33" t="s">
        <v>109</v>
      </c>
      <c r="D3926" s="34" t="s">
        <v>1999</v>
      </c>
      <c r="E3926" s="35" t="str">
        <f t="shared" si="948"/>
        <v>PRBNP'!</v>
      </c>
      <c r="F3926" s="34" t="str">
        <f t="shared" si="949"/>
        <v>C:\Users\jaime.benazar\Quorum Business Solutions\Ecopetrol Prometeo - Documents\Planning Space Implementation\3. Analysis &amp; Design\Design\FC22\DRR Jaime\QUIFA-CAJÚA\Cajua\[CAJUA_CF_SEC_New_27-Feb-2024Rev3.xlsx]D-PRBNP'!</v>
      </c>
      <c r="G3926" s="32" t="s">
        <v>114</v>
      </c>
      <c r="H3926" s="33"/>
      <c r="I3926" s="33"/>
      <c r="J3926" s="37"/>
    </row>
    <row r="3927" spans="1:10" x14ac:dyDescent="0.25">
      <c r="A3927" s="32" t="s">
        <v>100</v>
      </c>
      <c r="B3927" s="32">
        <f t="shared" si="950"/>
        <v>2034</v>
      </c>
      <c r="C3927" s="33" t="s">
        <v>109</v>
      </c>
      <c r="D3927" s="34" t="s">
        <v>1999</v>
      </c>
      <c r="E3927" s="35" t="str">
        <f t="shared" si="948"/>
        <v>PRBNP'!</v>
      </c>
      <c r="F3927" s="34" t="str">
        <f t="shared" si="949"/>
        <v>C:\Users\jaime.benazar\Quorum Business Solutions\Ecopetrol Prometeo - Documents\Planning Space Implementation\3. Analysis &amp; Design\Design\FC22\DRR Jaime\QUIFA-CAJÚA\Cajua\[CAJUA_CF_SEC_New_27-Feb-2024Rev3.xlsx]D-PRBNP'!</v>
      </c>
      <c r="G3927" s="32" t="s">
        <v>114</v>
      </c>
      <c r="H3927" s="33"/>
      <c r="I3927" s="33"/>
      <c r="J3927" s="37"/>
    </row>
    <row r="3928" spans="1:10" x14ac:dyDescent="0.25">
      <c r="A3928" s="32" t="s">
        <v>100</v>
      </c>
      <c r="B3928" s="32">
        <f t="shared" si="950"/>
        <v>2035</v>
      </c>
      <c r="C3928" s="33" t="s">
        <v>109</v>
      </c>
      <c r="D3928" s="34" t="s">
        <v>1999</v>
      </c>
      <c r="E3928" s="35" t="str">
        <f t="shared" si="948"/>
        <v>PRBNP'!</v>
      </c>
      <c r="F3928" s="34" t="str">
        <f t="shared" si="949"/>
        <v>C:\Users\jaime.benazar\Quorum Business Solutions\Ecopetrol Prometeo - Documents\Planning Space Implementation\3. Analysis &amp; Design\Design\FC22\DRR Jaime\QUIFA-CAJÚA\Cajua\[CAJUA_CF_SEC_New_27-Feb-2024Rev3.xlsx]D-PRBNP'!</v>
      </c>
      <c r="G3928" s="32" t="s">
        <v>114</v>
      </c>
      <c r="H3928" s="33"/>
      <c r="I3928" s="33"/>
      <c r="J3928" s="37"/>
    </row>
    <row r="3929" spans="1:10" x14ac:dyDescent="0.25">
      <c r="A3929" s="32" t="s">
        <v>100</v>
      </c>
      <c r="B3929" s="32">
        <f t="shared" si="950"/>
        <v>2036</v>
      </c>
      <c r="C3929" s="33" t="s">
        <v>109</v>
      </c>
      <c r="D3929" s="34" t="s">
        <v>1999</v>
      </c>
      <c r="E3929" s="35" t="str">
        <f t="shared" si="948"/>
        <v>PRBNP'!</v>
      </c>
      <c r="F3929" s="34" t="str">
        <f t="shared" si="949"/>
        <v>C:\Users\jaime.benazar\Quorum Business Solutions\Ecopetrol Prometeo - Documents\Planning Space Implementation\3. Analysis &amp; Design\Design\FC22\DRR Jaime\QUIFA-CAJÚA\Cajua\[CAJUA_CF_SEC_New_27-Feb-2024Rev3.xlsx]D-PRBNP'!</v>
      </c>
      <c r="G3929" s="32" t="s">
        <v>114</v>
      </c>
      <c r="H3929" s="33"/>
      <c r="I3929" s="33"/>
      <c r="J3929" s="37"/>
    </row>
    <row r="3930" spans="1:10" x14ac:dyDescent="0.25">
      <c r="A3930" s="32" t="s">
        <v>100</v>
      </c>
      <c r="B3930" s="32">
        <f>+B3929+1</f>
        <v>2037</v>
      </c>
      <c r="C3930" s="33" t="s">
        <v>109</v>
      </c>
      <c r="D3930" s="34" t="s">
        <v>1999</v>
      </c>
      <c r="E3930" s="35" t="str">
        <f t="shared" si="948"/>
        <v>PRBNP'!</v>
      </c>
      <c r="F3930" s="34" t="str">
        <f t="shared" si="949"/>
        <v>C:\Users\jaime.benazar\Quorum Business Solutions\Ecopetrol Prometeo - Documents\Planning Space Implementation\3. Analysis &amp; Design\Design\FC22\DRR Jaime\QUIFA-CAJÚA\Cajua\[CAJUA_CF_SEC_New_27-Feb-2024Rev3.xlsx]D-PRBNP'!</v>
      </c>
      <c r="G3930" s="32" t="s">
        <v>114</v>
      </c>
      <c r="H3930" s="33"/>
      <c r="I3930" s="33"/>
      <c r="J3930" s="37"/>
    </row>
    <row r="3931" spans="1:10" x14ac:dyDescent="0.25">
      <c r="A3931" s="32" t="s">
        <v>100</v>
      </c>
      <c r="B3931" s="32">
        <f t="shared" ref="B3931:B3933" si="951">+B3930+1</f>
        <v>2038</v>
      </c>
      <c r="C3931" s="33" t="s">
        <v>109</v>
      </c>
      <c r="D3931" s="34" t="s">
        <v>1999</v>
      </c>
      <c r="E3931" s="35" t="str">
        <f t="shared" si="948"/>
        <v>PRBNP'!</v>
      </c>
      <c r="F3931" s="34" t="str">
        <f t="shared" si="949"/>
        <v>C:\Users\jaime.benazar\Quorum Business Solutions\Ecopetrol Prometeo - Documents\Planning Space Implementation\3. Analysis &amp; Design\Design\FC22\DRR Jaime\QUIFA-CAJÚA\Cajua\[CAJUA_CF_SEC_New_27-Feb-2024Rev3.xlsx]D-PRBNP'!</v>
      </c>
      <c r="G3931" s="32" t="s">
        <v>114</v>
      </c>
      <c r="H3931" s="33"/>
      <c r="I3931" s="33"/>
      <c r="J3931" s="37"/>
    </row>
    <row r="3932" spans="1:10" x14ac:dyDescent="0.25">
      <c r="A3932" s="32" t="s">
        <v>100</v>
      </c>
      <c r="B3932" s="32">
        <f t="shared" si="951"/>
        <v>2039</v>
      </c>
      <c r="C3932" s="33" t="s">
        <v>109</v>
      </c>
      <c r="D3932" s="34" t="s">
        <v>1999</v>
      </c>
      <c r="E3932" s="35" t="str">
        <f t="shared" si="948"/>
        <v>PRBNP'!</v>
      </c>
      <c r="F3932" s="34" t="str">
        <f t="shared" si="949"/>
        <v>C:\Users\jaime.benazar\Quorum Business Solutions\Ecopetrol Prometeo - Documents\Planning Space Implementation\3. Analysis &amp; Design\Design\FC22\DRR Jaime\QUIFA-CAJÚA\Cajua\[CAJUA_CF_SEC_New_27-Feb-2024Rev3.xlsx]D-PRBNP'!</v>
      </c>
      <c r="G3932" s="32" t="s">
        <v>114</v>
      </c>
      <c r="H3932" s="33"/>
      <c r="I3932" s="33"/>
      <c r="J3932" s="37"/>
    </row>
    <row r="3933" spans="1:10" x14ac:dyDescent="0.25">
      <c r="A3933" s="32" t="s">
        <v>100</v>
      </c>
      <c r="B3933" s="32">
        <f t="shared" si="951"/>
        <v>2040</v>
      </c>
      <c r="C3933" s="33" t="s">
        <v>109</v>
      </c>
      <c r="D3933" s="34" t="s">
        <v>1999</v>
      </c>
      <c r="E3933" s="35" t="str">
        <f t="shared" si="948"/>
        <v>PRBNP'!</v>
      </c>
      <c r="F3933" s="34" t="str">
        <f t="shared" si="949"/>
        <v>C:\Users\jaime.benazar\Quorum Business Solutions\Ecopetrol Prometeo - Documents\Planning Space Implementation\3. Analysis &amp; Design\Design\FC22\DRR Jaime\QUIFA-CAJÚA\Cajua\[CAJUA_CF_SEC_New_27-Feb-2024Rev3.xlsx]D-PRBNP'!</v>
      </c>
      <c r="G3933" s="32" t="s">
        <v>114</v>
      </c>
      <c r="H3933" s="33"/>
      <c r="I3933" s="33"/>
      <c r="J3933" s="37"/>
    </row>
    <row r="3934" spans="1:10" x14ac:dyDescent="0.25">
      <c r="A3934" s="32" t="s">
        <v>100</v>
      </c>
      <c r="B3934" s="32">
        <f>+B3933+1</f>
        <v>2041</v>
      </c>
      <c r="C3934" s="33" t="s">
        <v>109</v>
      </c>
      <c r="D3934" s="34" t="s">
        <v>1999</v>
      </c>
      <c r="E3934" s="35" t="str">
        <f t="shared" si="948"/>
        <v>PRBNP'!</v>
      </c>
      <c r="F3934" s="34" t="str">
        <f t="shared" si="949"/>
        <v>C:\Users\jaime.benazar\Quorum Business Solutions\Ecopetrol Prometeo - Documents\Planning Space Implementation\3. Analysis &amp; Design\Design\FC22\DRR Jaime\QUIFA-CAJÚA\Cajua\[CAJUA_CF_SEC_New_27-Feb-2024Rev3.xlsx]D-PRBNP'!</v>
      </c>
      <c r="G3934" s="32" t="s">
        <v>114</v>
      </c>
      <c r="H3934" s="33"/>
      <c r="I3934" s="33"/>
      <c r="J3934" s="37"/>
    </row>
    <row r="3935" spans="1:10" x14ac:dyDescent="0.25">
      <c r="A3935" s="32" t="s">
        <v>100</v>
      </c>
      <c r="B3935" s="32">
        <f t="shared" ref="B3935:B3936" si="952">+B3934+1</f>
        <v>2042</v>
      </c>
      <c r="C3935" s="33" t="s">
        <v>109</v>
      </c>
      <c r="D3935" s="34" t="s">
        <v>1999</v>
      </c>
      <c r="E3935" s="35" t="str">
        <f t="shared" si="948"/>
        <v>PRBNP'!</v>
      </c>
      <c r="F3935" s="34" t="str">
        <f t="shared" si="949"/>
        <v>C:\Users\jaime.benazar\Quorum Business Solutions\Ecopetrol Prometeo - Documents\Planning Space Implementation\3. Analysis &amp; Design\Design\FC22\DRR Jaime\QUIFA-CAJÚA\Cajua\[CAJUA_CF_SEC_New_27-Feb-2024Rev3.xlsx]D-PRBNP'!</v>
      </c>
      <c r="G3935" s="32" t="s">
        <v>114</v>
      </c>
      <c r="H3935" s="33"/>
      <c r="I3935" s="33"/>
      <c r="J3935" s="37"/>
    </row>
    <row r="3936" spans="1:10" x14ac:dyDescent="0.25">
      <c r="A3936" s="32" t="s">
        <v>100</v>
      </c>
      <c r="B3936" s="32">
        <f t="shared" si="952"/>
        <v>2043</v>
      </c>
      <c r="C3936" s="33" t="s">
        <v>109</v>
      </c>
      <c r="D3936" s="34" t="s">
        <v>1999</v>
      </c>
      <c r="E3936" s="35" t="str">
        <f t="shared" si="948"/>
        <v>PRBNP'!</v>
      </c>
      <c r="F3936" s="34" t="str">
        <f t="shared" si="949"/>
        <v>C:\Users\jaime.benazar\Quorum Business Solutions\Ecopetrol Prometeo - Documents\Planning Space Implementation\3. Analysis &amp; Design\Design\FC22\DRR Jaime\QUIFA-CAJÚA\Cajua\[CAJUA_CF_SEC_New_27-Feb-2024Rev3.xlsx]D-PRBNP'!</v>
      </c>
      <c r="G3936" s="32" t="s">
        <v>114</v>
      </c>
      <c r="H3936" s="33"/>
      <c r="I3936" s="33"/>
      <c r="J3936" s="37"/>
    </row>
    <row r="3937" spans="1:10" x14ac:dyDescent="0.25">
      <c r="A3937" s="32" t="s">
        <v>100</v>
      </c>
      <c r="B3937" s="32">
        <f>+B3936+1</f>
        <v>2044</v>
      </c>
      <c r="C3937" s="33" t="s">
        <v>109</v>
      </c>
      <c r="D3937" s="34" t="s">
        <v>1999</v>
      </c>
      <c r="E3937" s="35" t="str">
        <f t="shared" ref="E3937:E3952" si="953">_xlfn.CONCAT(A3937,"'!")</f>
        <v>PRBNP'!</v>
      </c>
      <c r="F3937" s="34" t="str">
        <f t="shared" ref="F3937:F3952" si="954">_xlfn.CONCAT(D3937:E3937)</f>
        <v>C:\Users\jaime.benazar\Quorum Business Solutions\Ecopetrol Prometeo - Documents\Planning Space Implementation\3. Analysis &amp; Design\Design\FC22\DRR Jaime\QUIFA-CAJÚA\Cajua\[CAJUA_CF_SEC_New_27-Feb-2024Rev3.xlsx]D-PRBNP'!</v>
      </c>
      <c r="G3937" s="32" t="s">
        <v>114</v>
      </c>
      <c r="H3937" s="33"/>
      <c r="I3937" s="33"/>
      <c r="J3937" s="37"/>
    </row>
    <row r="3938" spans="1:10" x14ac:dyDescent="0.25">
      <c r="A3938" s="32" t="s">
        <v>100</v>
      </c>
      <c r="B3938" s="32">
        <f t="shared" ref="B3938:B3952" si="955">+B3937+1</f>
        <v>2045</v>
      </c>
      <c r="C3938" s="33" t="s">
        <v>109</v>
      </c>
      <c r="D3938" s="34" t="s">
        <v>1999</v>
      </c>
      <c r="E3938" s="35" t="str">
        <f t="shared" si="953"/>
        <v>PRBNP'!</v>
      </c>
      <c r="F3938" s="34" t="str">
        <f t="shared" si="954"/>
        <v>C:\Users\jaime.benazar\Quorum Business Solutions\Ecopetrol Prometeo - Documents\Planning Space Implementation\3. Analysis &amp; Design\Design\FC22\DRR Jaime\QUIFA-CAJÚA\Cajua\[CAJUA_CF_SEC_New_27-Feb-2024Rev3.xlsx]D-PRBNP'!</v>
      </c>
      <c r="G3938" s="32" t="s">
        <v>114</v>
      </c>
      <c r="H3938" s="33"/>
      <c r="I3938" s="33"/>
      <c r="J3938" s="37"/>
    </row>
    <row r="3939" spans="1:10" x14ac:dyDescent="0.25">
      <c r="A3939" s="32" t="s">
        <v>100</v>
      </c>
      <c r="B3939" s="32">
        <f t="shared" si="955"/>
        <v>2046</v>
      </c>
      <c r="C3939" s="33" t="s">
        <v>109</v>
      </c>
      <c r="D3939" s="34" t="s">
        <v>1999</v>
      </c>
      <c r="E3939" s="35" t="str">
        <f t="shared" si="953"/>
        <v>PRBNP'!</v>
      </c>
      <c r="F3939" s="34" t="str">
        <f t="shared" si="954"/>
        <v>C:\Users\jaime.benazar\Quorum Business Solutions\Ecopetrol Prometeo - Documents\Planning Space Implementation\3. Analysis &amp; Design\Design\FC22\DRR Jaime\QUIFA-CAJÚA\Cajua\[CAJUA_CF_SEC_New_27-Feb-2024Rev3.xlsx]D-PRBNP'!</v>
      </c>
      <c r="G3939" s="32" t="s">
        <v>114</v>
      </c>
      <c r="H3939" s="33"/>
      <c r="I3939" s="33"/>
      <c r="J3939" s="37"/>
    </row>
    <row r="3940" spans="1:10" x14ac:dyDescent="0.25">
      <c r="A3940" s="32" t="s">
        <v>100</v>
      </c>
      <c r="B3940" s="32">
        <f t="shared" si="955"/>
        <v>2047</v>
      </c>
      <c r="C3940" s="33" t="s">
        <v>109</v>
      </c>
      <c r="D3940" s="34" t="s">
        <v>1999</v>
      </c>
      <c r="E3940" s="35" t="str">
        <f t="shared" si="953"/>
        <v>PRBNP'!</v>
      </c>
      <c r="F3940" s="34" t="str">
        <f t="shared" si="954"/>
        <v>C:\Users\jaime.benazar\Quorum Business Solutions\Ecopetrol Prometeo - Documents\Planning Space Implementation\3. Analysis &amp; Design\Design\FC22\DRR Jaime\QUIFA-CAJÚA\Cajua\[CAJUA_CF_SEC_New_27-Feb-2024Rev3.xlsx]D-PRBNP'!</v>
      </c>
      <c r="G3940" s="32" t="s">
        <v>114</v>
      </c>
      <c r="H3940" s="33"/>
      <c r="I3940" s="33"/>
      <c r="J3940" s="37"/>
    </row>
    <row r="3941" spans="1:10" x14ac:dyDescent="0.25">
      <c r="A3941" s="32" t="s">
        <v>100</v>
      </c>
      <c r="B3941" s="32">
        <f t="shared" si="955"/>
        <v>2048</v>
      </c>
      <c r="C3941" s="33" t="s">
        <v>109</v>
      </c>
      <c r="D3941" s="34" t="s">
        <v>1999</v>
      </c>
      <c r="E3941" s="35" t="str">
        <f t="shared" si="953"/>
        <v>PRBNP'!</v>
      </c>
      <c r="F3941" s="34" t="str">
        <f t="shared" si="954"/>
        <v>C:\Users\jaime.benazar\Quorum Business Solutions\Ecopetrol Prometeo - Documents\Planning Space Implementation\3. Analysis &amp; Design\Design\FC22\DRR Jaime\QUIFA-CAJÚA\Cajua\[CAJUA_CF_SEC_New_27-Feb-2024Rev3.xlsx]D-PRBNP'!</v>
      </c>
      <c r="G3941" s="32" t="s">
        <v>114</v>
      </c>
      <c r="H3941" s="33"/>
      <c r="I3941" s="33"/>
      <c r="J3941" s="37"/>
    </row>
    <row r="3942" spans="1:10" x14ac:dyDescent="0.25">
      <c r="A3942" s="32" t="s">
        <v>100</v>
      </c>
      <c r="B3942" s="32">
        <f t="shared" si="955"/>
        <v>2049</v>
      </c>
      <c r="C3942" s="33" t="s">
        <v>109</v>
      </c>
      <c r="D3942" s="34" t="s">
        <v>1999</v>
      </c>
      <c r="E3942" s="35" t="str">
        <f t="shared" si="953"/>
        <v>PRBNP'!</v>
      </c>
      <c r="F3942" s="34" t="str">
        <f t="shared" si="954"/>
        <v>C:\Users\jaime.benazar\Quorum Business Solutions\Ecopetrol Prometeo - Documents\Planning Space Implementation\3. Analysis &amp; Design\Design\FC22\DRR Jaime\QUIFA-CAJÚA\Cajua\[CAJUA_CF_SEC_New_27-Feb-2024Rev3.xlsx]D-PRBNP'!</v>
      </c>
      <c r="G3942" s="32" t="s">
        <v>114</v>
      </c>
      <c r="H3942" s="33"/>
      <c r="I3942" s="33"/>
      <c r="J3942" s="37"/>
    </row>
    <row r="3943" spans="1:10" x14ac:dyDescent="0.25">
      <c r="A3943" s="32" t="s">
        <v>100</v>
      </c>
      <c r="B3943" s="32">
        <f t="shared" si="955"/>
        <v>2050</v>
      </c>
      <c r="C3943" s="33" t="s">
        <v>109</v>
      </c>
      <c r="D3943" s="34" t="s">
        <v>1999</v>
      </c>
      <c r="E3943" s="35" t="str">
        <f t="shared" si="953"/>
        <v>PRBNP'!</v>
      </c>
      <c r="F3943" s="34" t="str">
        <f t="shared" si="954"/>
        <v>C:\Users\jaime.benazar\Quorum Business Solutions\Ecopetrol Prometeo - Documents\Planning Space Implementation\3. Analysis &amp; Design\Design\FC22\DRR Jaime\QUIFA-CAJÚA\Cajua\[CAJUA_CF_SEC_New_27-Feb-2024Rev3.xlsx]D-PRBNP'!</v>
      </c>
      <c r="G3943" s="32" t="s">
        <v>114</v>
      </c>
      <c r="H3943" s="33"/>
      <c r="I3943" s="33"/>
      <c r="J3943" s="37"/>
    </row>
    <row r="3944" spans="1:10" x14ac:dyDescent="0.25">
      <c r="A3944" s="32" t="s">
        <v>100</v>
      </c>
      <c r="B3944" s="32">
        <f t="shared" si="955"/>
        <v>2051</v>
      </c>
      <c r="C3944" s="33" t="s">
        <v>109</v>
      </c>
      <c r="D3944" s="34" t="s">
        <v>1999</v>
      </c>
      <c r="E3944" s="35" t="str">
        <f t="shared" si="953"/>
        <v>PRBNP'!</v>
      </c>
      <c r="F3944" s="34" t="str">
        <f t="shared" si="954"/>
        <v>C:\Users\jaime.benazar\Quorum Business Solutions\Ecopetrol Prometeo - Documents\Planning Space Implementation\3. Analysis &amp; Design\Design\FC22\DRR Jaime\QUIFA-CAJÚA\Cajua\[CAJUA_CF_SEC_New_27-Feb-2024Rev3.xlsx]D-PRBNP'!</v>
      </c>
      <c r="G3944" s="32" t="s">
        <v>114</v>
      </c>
      <c r="H3944" s="33"/>
      <c r="I3944" s="33"/>
      <c r="J3944" s="37"/>
    </row>
    <row r="3945" spans="1:10" x14ac:dyDescent="0.25">
      <c r="A3945" s="32" t="s">
        <v>100</v>
      </c>
      <c r="B3945" s="32">
        <f t="shared" si="955"/>
        <v>2052</v>
      </c>
      <c r="C3945" s="33" t="s">
        <v>109</v>
      </c>
      <c r="D3945" s="34" t="s">
        <v>1999</v>
      </c>
      <c r="E3945" s="35" t="str">
        <f t="shared" si="953"/>
        <v>PRBNP'!</v>
      </c>
      <c r="F3945" s="34" t="str">
        <f t="shared" si="954"/>
        <v>C:\Users\jaime.benazar\Quorum Business Solutions\Ecopetrol Prometeo - Documents\Planning Space Implementation\3. Analysis &amp; Design\Design\FC22\DRR Jaime\QUIFA-CAJÚA\Cajua\[CAJUA_CF_SEC_New_27-Feb-2024Rev3.xlsx]D-PRBNP'!</v>
      </c>
      <c r="G3945" s="32" t="s">
        <v>114</v>
      </c>
      <c r="H3945" s="33"/>
      <c r="I3945" s="33"/>
      <c r="J3945" s="37"/>
    </row>
    <row r="3946" spans="1:10" x14ac:dyDescent="0.25">
      <c r="A3946" s="32" t="s">
        <v>100</v>
      </c>
      <c r="B3946" s="32">
        <f t="shared" si="955"/>
        <v>2053</v>
      </c>
      <c r="C3946" s="33" t="s">
        <v>109</v>
      </c>
      <c r="D3946" s="34" t="s">
        <v>1999</v>
      </c>
      <c r="E3946" s="35" t="str">
        <f t="shared" si="953"/>
        <v>PRBNP'!</v>
      </c>
      <c r="F3946" s="34" t="str">
        <f t="shared" si="954"/>
        <v>C:\Users\jaime.benazar\Quorum Business Solutions\Ecopetrol Prometeo - Documents\Planning Space Implementation\3. Analysis &amp; Design\Design\FC22\DRR Jaime\QUIFA-CAJÚA\Cajua\[CAJUA_CF_SEC_New_27-Feb-2024Rev3.xlsx]D-PRBNP'!</v>
      </c>
      <c r="G3946" s="32" t="s">
        <v>114</v>
      </c>
      <c r="H3946" s="33"/>
      <c r="I3946" s="33"/>
      <c r="J3946" s="37"/>
    </row>
    <row r="3947" spans="1:10" x14ac:dyDescent="0.25">
      <c r="A3947" s="32" t="s">
        <v>100</v>
      </c>
      <c r="B3947" s="32">
        <f t="shared" si="955"/>
        <v>2054</v>
      </c>
      <c r="C3947" s="33" t="s">
        <v>109</v>
      </c>
      <c r="D3947" s="34" t="s">
        <v>1999</v>
      </c>
      <c r="E3947" s="35" t="str">
        <f t="shared" si="953"/>
        <v>PRBNP'!</v>
      </c>
      <c r="F3947" s="34" t="str">
        <f t="shared" si="954"/>
        <v>C:\Users\jaime.benazar\Quorum Business Solutions\Ecopetrol Prometeo - Documents\Planning Space Implementation\3. Analysis &amp; Design\Design\FC22\DRR Jaime\QUIFA-CAJÚA\Cajua\[CAJUA_CF_SEC_New_27-Feb-2024Rev3.xlsx]D-PRBNP'!</v>
      </c>
      <c r="G3947" s="32" t="s">
        <v>114</v>
      </c>
      <c r="H3947" s="33"/>
      <c r="I3947" s="33"/>
      <c r="J3947" s="37"/>
    </row>
    <row r="3948" spans="1:10" x14ac:dyDescent="0.25">
      <c r="A3948" s="32" t="s">
        <v>100</v>
      </c>
      <c r="B3948" s="32">
        <f t="shared" si="955"/>
        <v>2055</v>
      </c>
      <c r="C3948" s="33" t="s">
        <v>109</v>
      </c>
      <c r="D3948" s="34" t="s">
        <v>1999</v>
      </c>
      <c r="E3948" s="35" t="str">
        <f t="shared" si="953"/>
        <v>PRBNP'!</v>
      </c>
      <c r="F3948" s="34" t="str">
        <f t="shared" si="954"/>
        <v>C:\Users\jaime.benazar\Quorum Business Solutions\Ecopetrol Prometeo - Documents\Planning Space Implementation\3. Analysis &amp; Design\Design\FC22\DRR Jaime\QUIFA-CAJÚA\Cajua\[CAJUA_CF_SEC_New_27-Feb-2024Rev3.xlsx]D-PRBNP'!</v>
      </c>
      <c r="G3948" s="32" t="s">
        <v>114</v>
      </c>
      <c r="H3948" s="33"/>
      <c r="I3948" s="33"/>
      <c r="J3948" s="37"/>
    </row>
    <row r="3949" spans="1:10" x14ac:dyDescent="0.25">
      <c r="A3949" s="32" t="s">
        <v>100</v>
      </c>
      <c r="B3949" s="32">
        <f t="shared" si="955"/>
        <v>2056</v>
      </c>
      <c r="C3949" s="33" t="s">
        <v>109</v>
      </c>
      <c r="D3949" s="34" t="s">
        <v>1999</v>
      </c>
      <c r="E3949" s="35" t="str">
        <f t="shared" si="953"/>
        <v>PRBNP'!</v>
      </c>
      <c r="F3949" s="34" t="str">
        <f t="shared" si="954"/>
        <v>C:\Users\jaime.benazar\Quorum Business Solutions\Ecopetrol Prometeo - Documents\Planning Space Implementation\3. Analysis &amp; Design\Design\FC22\DRR Jaime\QUIFA-CAJÚA\Cajua\[CAJUA_CF_SEC_New_27-Feb-2024Rev3.xlsx]D-PRBNP'!</v>
      </c>
      <c r="G3949" s="32" t="s">
        <v>114</v>
      </c>
      <c r="H3949" s="33"/>
      <c r="I3949" s="33"/>
      <c r="J3949" s="37"/>
    </row>
    <row r="3950" spans="1:10" x14ac:dyDescent="0.25">
      <c r="A3950" s="32" t="s">
        <v>100</v>
      </c>
      <c r="B3950" s="32">
        <f t="shared" si="955"/>
        <v>2057</v>
      </c>
      <c r="C3950" s="33" t="s">
        <v>109</v>
      </c>
      <c r="D3950" s="34" t="s">
        <v>1999</v>
      </c>
      <c r="E3950" s="35" t="str">
        <f t="shared" si="953"/>
        <v>PRBNP'!</v>
      </c>
      <c r="F3950" s="34" t="str">
        <f t="shared" si="954"/>
        <v>C:\Users\jaime.benazar\Quorum Business Solutions\Ecopetrol Prometeo - Documents\Planning Space Implementation\3. Analysis &amp; Design\Design\FC22\DRR Jaime\QUIFA-CAJÚA\Cajua\[CAJUA_CF_SEC_New_27-Feb-2024Rev3.xlsx]D-PRBNP'!</v>
      </c>
      <c r="G3950" s="32" t="s">
        <v>114</v>
      </c>
      <c r="H3950" s="33"/>
      <c r="I3950" s="33"/>
      <c r="J3950" s="37"/>
    </row>
    <row r="3951" spans="1:10" x14ac:dyDescent="0.25">
      <c r="A3951" s="32" t="s">
        <v>100</v>
      </c>
      <c r="B3951" s="32">
        <f t="shared" si="955"/>
        <v>2058</v>
      </c>
      <c r="C3951" s="33" t="s">
        <v>109</v>
      </c>
      <c r="D3951" s="34" t="s">
        <v>1999</v>
      </c>
      <c r="E3951" s="35" t="str">
        <f t="shared" si="953"/>
        <v>PRBNP'!</v>
      </c>
      <c r="F3951" s="34" t="str">
        <f t="shared" si="954"/>
        <v>C:\Users\jaime.benazar\Quorum Business Solutions\Ecopetrol Prometeo - Documents\Planning Space Implementation\3. Analysis &amp; Design\Design\FC22\DRR Jaime\QUIFA-CAJÚA\Cajua\[CAJUA_CF_SEC_New_27-Feb-2024Rev3.xlsx]D-PRBNP'!</v>
      </c>
      <c r="G3951" s="32" t="s">
        <v>114</v>
      </c>
      <c r="H3951" s="33"/>
      <c r="I3951" s="33"/>
      <c r="J3951" s="37"/>
    </row>
    <row r="3952" spans="1:10" x14ac:dyDescent="0.25">
      <c r="A3952" s="32" t="s">
        <v>100</v>
      </c>
      <c r="B3952" s="32">
        <f t="shared" si="955"/>
        <v>2059</v>
      </c>
      <c r="C3952" s="33" t="s">
        <v>109</v>
      </c>
      <c r="D3952" s="34" t="s">
        <v>1999</v>
      </c>
      <c r="E3952" s="35" t="str">
        <f t="shared" si="953"/>
        <v>PRBNP'!</v>
      </c>
      <c r="F3952" s="34" t="str">
        <f t="shared" si="954"/>
        <v>C:\Users\jaime.benazar\Quorum Business Solutions\Ecopetrol Prometeo - Documents\Planning Space Implementation\3. Analysis &amp; Design\Design\FC22\DRR Jaime\QUIFA-CAJÚA\Cajua\[CAJUA_CF_SEC_New_27-Feb-2024Rev3.xlsx]D-PRBNP'!</v>
      </c>
      <c r="G3952" s="32" t="s">
        <v>114</v>
      </c>
      <c r="H3952" s="33"/>
      <c r="I3952" s="33"/>
      <c r="J3952" s="37"/>
    </row>
    <row r="3953" spans="1:10" x14ac:dyDescent="0.25">
      <c r="A3953" s="32" t="s">
        <v>28</v>
      </c>
      <c r="B3953" s="32"/>
      <c r="C3953" s="33" t="s">
        <v>109</v>
      </c>
      <c r="D3953" s="34"/>
      <c r="E3953" s="35"/>
      <c r="F3953" s="34"/>
      <c r="G3953" s="32"/>
      <c r="H3953" s="33"/>
      <c r="I3953" s="33"/>
      <c r="J3953" s="36"/>
    </row>
    <row r="3954" spans="1:10" x14ac:dyDescent="0.25">
      <c r="A3954" s="32" t="s">
        <v>101</v>
      </c>
      <c r="B3954" s="32">
        <v>2023</v>
      </c>
      <c r="C3954" s="33" t="s">
        <v>109</v>
      </c>
      <c r="D3954" s="34" t="s">
        <v>1999</v>
      </c>
      <c r="E3954" s="35" t="str">
        <f t="shared" ref="E3954:E3974" si="956">_xlfn.CONCAT(A3954,"'!")</f>
        <v>PRBND'!</v>
      </c>
      <c r="F3954" s="34" t="str">
        <f t="shared" ref="F3954:F3974" si="957">_xlfn.CONCAT(D3954:E3954)</f>
        <v>C:\Users\jaime.benazar\Quorum Business Solutions\Ecopetrol Prometeo - Documents\Planning Space Implementation\3. Analysis &amp; Design\Design\FC22\DRR Jaime\QUIFA-CAJÚA\Cajua\[CAJUA_CF_SEC_New_27-Feb-2024Rev3.xlsx]D-PRBND'!</v>
      </c>
      <c r="G3954" s="32" t="s">
        <v>114</v>
      </c>
      <c r="H3954" s="33"/>
      <c r="I3954" s="33"/>
      <c r="J3954" s="37"/>
    </row>
    <row r="3955" spans="1:10" x14ac:dyDescent="0.25">
      <c r="A3955" s="32" t="s">
        <v>101</v>
      </c>
      <c r="B3955" s="32">
        <f>+B3954+1</f>
        <v>2024</v>
      </c>
      <c r="C3955" s="33" t="s">
        <v>109</v>
      </c>
      <c r="D3955" s="34" t="s">
        <v>1999</v>
      </c>
      <c r="E3955" s="35" t="str">
        <f t="shared" si="956"/>
        <v>PRBND'!</v>
      </c>
      <c r="F3955" s="34" t="str">
        <f t="shared" si="957"/>
        <v>C:\Users\jaime.benazar\Quorum Business Solutions\Ecopetrol Prometeo - Documents\Planning Space Implementation\3. Analysis &amp; Design\Design\FC22\DRR Jaime\QUIFA-CAJÚA\Cajua\[CAJUA_CF_SEC_New_27-Feb-2024Rev3.xlsx]D-PRBND'!</v>
      </c>
      <c r="G3955" s="32" t="s">
        <v>114</v>
      </c>
      <c r="H3955" s="33"/>
      <c r="I3955" s="33"/>
      <c r="J3955" s="37"/>
    </row>
    <row r="3956" spans="1:10" x14ac:dyDescent="0.25">
      <c r="A3956" s="32" t="s">
        <v>101</v>
      </c>
      <c r="B3956" s="32">
        <f t="shared" ref="B3956:B3967" si="958">+B3955+1</f>
        <v>2025</v>
      </c>
      <c r="C3956" s="33" t="s">
        <v>109</v>
      </c>
      <c r="D3956" s="34" t="s">
        <v>1999</v>
      </c>
      <c r="E3956" s="35" t="str">
        <f t="shared" si="956"/>
        <v>PRBND'!</v>
      </c>
      <c r="F3956" s="34" t="str">
        <f t="shared" si="957"/>
        <v>C:\Users\jaime.benazar\Quorum Business Solutions\Ecopetrol Prometeo - Documents\Planning Space Implementation\3. Analysis &amp; Design\Design\FC22\DRR Jaime\QUIFA-CAJÚA\Cajua\[CAJUA_CF_SEC_New_27-Feb-2024Rev3.xlsx]D-PRBND'!</v>
      </c>
      <c r="G3956" s="32" t="s">
        <v>114</v>
      </c>
      <c r="H3956" s="33"/>
      <c r="I3956" s="33"/>
      <c r="J3956" s="37"/>
    </row>
    <row r="3957" spans="1:10" x14ac:dyDescent="0.25">
      <c r="A3957" s="32" t="s">
        <v>101</v>
      </c>
      <c r="B3957" s="32">
        <f t="shared" si="958"/>
        <v>2026</v>
      </c>
      <c r="C3957" s="33" t="s">
        <v>109</v>
      </c>
      <c r="D3957" s="34" t="s">
        <v>1999</v>
      </c>
      <c r="E3957" s="35" t="str">
        <f t="shared" si="956"/>
        <v>PRBND'!</v>
      </c>
      <c r="F3957" s="34" t="str">
        <f t="shared" si="957"/>
        <v>C:\Users\jaime.benazar\Quorum Business Solutions\Ecopetrol Prometeo - Documents\Planning Space Implementation\3. Analysis &amp; Design\Design\FC22\DRR Jaime\QUIFA-CAJÚA\Cajua\[CAJUA_CF_SEC_New_27-Feb-2024Rev3.xlsx]D-PRBND'!</v>
      </c>
      <c r="G3957" s="32" t="s">
        <v>114</v>
      </c>
      <c r="H3957" s="33"/>
      <c r="I3957" s="33"/>
      <c r="J3957" s="37"/>
    </row>
    <row r="3958" spans="1:10" x14ac:dyDescent="0.25">
      <c r="A3958" s="32" t="s">
        <v>101</v>
      </c>
      <c r="B3958" s="32">
        <f t="shared" si="958"/>
        <v>2027</v>
      </c>
      <c r="C3958" s="33" t="s">
        <v>109</v>
      </c>
      <c r="D3958" s="34" t="s">
        <v>1999</v>
      </c>
      <c r="E3958" s="35" t="str">
        <f t="shared" si="956"/>
        <v>PRBND'!</v>
      </c>
      <c r="F3958" s="34" t="str">
        <f t="shared" si="957"/>
        <v>C:\Users\jaime.benazar\Quorum Business Solutions\Ecopetrol Prometeo - Documents\Planning Space Implementation\3. Analysis &amp; Design\Design\FC22\DRR Jaime\QUIFA-CAJÚA\Cajua\[CAJUA_CF_SEC_New_27-Feb-2024Rev3.xlsx]D-PRBND'!</v>
      </c>
      <c r="G3958" s="32" t="s">
        <v>114</v>
      </c>
      <c r="H3958" s="33"/>
      <c r="I3958" s="33"/>
      <c r="J3958" s="37"/>
    </row>
    <row r="3959" spans="1:10" x14ac:dyDescent="0.25">
      <c r="A3959" s="32" t="s">
        <v>101</v>
      </c>
      <c r="B3959" s="32">
        <f t="shared" si="958"/>
        <v>2028</v>
      </c>
      <c r="C3959" s="33" t="s">
        <v>109</v>
      </c>
      <c r="D3959" s="34" t="s">
        <v>1999</v>
      </c>
      <c r="E3959" s="35" t="str">
        <f t="shared" si="956"/>
        <v>PRBND'!</v>
      </c>
      <c r="F3959" s="34" t="str">
        <f t="shared" si="957"/>
        <v>C:\Users\jaime.benazar\Quorum Business Solutions\Ecopetrol Prometeo - Documents\Planning Space Implementation\3. Analysis &amp; Design\Design\FC22\DRR Jaime\QUIFA-CAJÚA\Cajua\[CAJUA_CF_SEC_New_27-Feb-2024Rev3.xlsx]D-PRBND'!</v>
      </c>
      <c r="G3959" s="32" t="s">
        <v>114</v>
      </c>
      <c r="H3959" s="33"/>
      <c r="I3959" s="33"/>
      <c r="J3959" s="37"/>
    </row>
    <row r="3960" spans="1:10" x14ac:dyDescent="0.25">
      <c r="A3960" s="32" t="s">
        <v>101</v>
      </c>
      <c r="B3960" s="32">
        <f t="shared" si="958"/>
        <v>2029</v>
      </c>
      <c r="C3960" s="33" t="s">
        <v>109</v>
      </c>
      <c r="D3960" s="34" t="s">
        <v>1999</v>
      </c>
      <c r="E3960" s="35" t="str">
        <f t="shared" si="956"/>
        <v>PRBND'!</v>
      </c>
      <c r="F3960" s="34" t="str">
        <f t="shared" si="957"/>
        <v>C:\Users\jaime.benazar\Quorum Business Solutions\Ecopetrol Prometeo - Documents\Planning Space Implementation\3. Analysis &amp; Design\Design\FC22\DRR Jaime\QUIFA-CAJÚA\Cajua\[CAJUA_CF_SEC_New_27-Feb-2024Rev3.xlsx]D-PRBND'!</v>
      </c>
      <c r="G3960" s="32" t="s">
        <v>114</v>
      </c>
      <c r="H3960" s="33"/>
      <c r="I3960" s="33"/>
      <c r="J3960" s="37"/>
    </row>
    <row r="3961" spans="1:10" x14ac:dyDescent="0.25">
      <c r="A3961" s="32" t="s">
        <v>101</v>
      </c>
      <c r="B3961" s="32">
        <f t="shared" si="958"/>
        <v>2030</v>
      </c>
      <c r="C3961" s="33" t="s">
        <v>109</v>
      </c>
      <c r="D3961" s="34" t="s">
        <v>1999</v>
      </c>
      <c r="E3961" s="35" t="str">
        <f t="shared" si="956"/>
        <v>PRBND'!</v>
      </c>
      <c r="F3961" s="34" t="str">
        <f t="shared" si="957"/>
        <v>C:\Users\jaime.benazar\Quorum Business Solutions\Ecopetrol Prometeo - Documents\Planning Space Implementation\3. Analysis &amp; Design\Design\FC22\DRR Jaime\QUIFA-CAJÚA\Cajua\[CAJUA_CF_SEC_New_27-Feb-2024Rev3.xlsx]D-PRBND'!</v>
      </c>
      <c r="G3961" s="32" t="s">
        <v>114</v>
      </c>
      <c r="H3961" s="33"/>
      <c r="I3961" s="33"/>
      <c r="J3961" s="37"/>
    </row>
    <row r="3962" spans="1:10" x14ac:dyDescent="0.25">
      <c r="A3962" s="32" t="s">
        <v>101</v>
      </c>
      <c r="B3962" s="32">
        <f t="shared" si="958"/>
        <v>2031</v>
      </c>
      <c r="C3962" s="33" t="s">
        <v>109</v>
      </c>
      <c r="D3962" s="34" t="s">
        <v>1999</v>
      </c>
      <c r="E3962" s="35" t="str">
        <f t="shared" si="956"/>
        <v>PRBND'!</v>
      </c>
      <c r="F3962" s="34" t="str">
        <f t="shared" si="957"/>
        <v>C:\Users\jaime.benazar\Quorum Business Solutions\Ecopetrol Prometeo - Documents\Planning Space Implementation\3. Analysis &amp; Design\Design\FC22\DRR Jaime\QUIFA-CAJÚA\Cajua\[CAJUA_CF_SEC_New_27-Feb-2024Rev3.xlsx]D-PRBND'!</v>
      </c>
      <c r="G3962" s="32" t="s">
        <v>114</v>
      </c>
      <c r="H3962" s="33"/>
      <c r="I3962" s="33"/>
      <c r="J3962" s="37"/>
    </row>
    <row r="3963" spans="1:10" x14ac:dyDescent="0.25">
      <c r="A3963" s="32" t="s">
        <v>101</v>
      </c>
      <c r="B3963" s="32">
        <f t="shared" si="958"/>
        <v>2032</v>
      </c>
      <c r="C3963" s="33" t="s">
        <v>109</v>
      </c>
      <c r="D3963" s="34" t="s">
        <v>1999</v>
      </c>
      <c r="E3963" s="35" t="str">
        <f t="shared" si="956"/>
        <v>PRBND'!</v>
      </c>
      <c r="F3963" s="34" t="str">
        <f t="shared" si="957"/>
        <v>C:\Users\jaime.benazar\Quorum Business Solutions\Ecopetrol Prometeo - Documents\Planning Space Implementation\3. Analysis &amp; Design\Design\FC22\DRR Jaime\QUIFA-CAJÚA\Cajua\[CAJUA_CF_SEC_New_27-Feb-2024Rev3.xlsx]D-PRBND'!</v>
      </c>
      <c r="G3963" s="32" t="s">
        <v>114</v>
      </c>
      <c r="H3963" s="33"/>
      <c r="I3963" s="33"/>
      <c r="J3963" s="37"/>
    </row>
    <row r="3964" spans="1:10" x14ac:dyDescent="0.25">
      <c r="A3964" s="32" t="s">
        <v>101</v>
      </c>
      <c r="B3964" s="32">
        <f t="shared" si="958"/>
        <v>2033</v>
      </c>
      <c r="C3964" s="33" t="s">
        <v>109</v>
      </c>
      <c r="D3964" s="34" t="s">
        <v>1999</v>
      </c>
      <c r="E3964" s="35" t="str">
        <f t="shared" si="956"/>
        <v>PRBND'!</v>
      </c>
      <c r="F3964" s="34" t="str">
        <f t="shared" si="957"/>
        <v>C:\Users\jaime.benazar\Quorum Business Solutions\Ecopetrol Prometeo - Documents\Planning Space Implementation\3. Analysis &amp; Design\Design\FC22\DRR Jaime\QUIFA-CAJÚA\Cajua\[CAJUA_CF_SEC_New_27-Feb-2024Rev3.xlsx]D-PRBND'!</v>
      </c>
      <c r="G3964" s="32" t="s">
        <v>114</v>
      </c>
      <c r="H3964" s="33"/>
      <c r="I3964" s="33"/>
      <c r="J3964" s="37"/>
    </row>
    <row r="3965" spans="1:10" x14ac:dyDescent="0.25">
      <c r="A3965" s="32" t="s">
        <v>101</v>
      </c>
      <c r="B3965" s="32">
        <f t="shared" si="958"/>
        <v>2034</v>
      </c>
      <c r="C3965" s="33" t="s">
        <v>109</v>
      </c>
      <c r="D3965" s="34" t="s">
        <v>1999</v>
      </c>
      <c r="E3965" s="35" t="str">
        <f t="shared" si="956"/>
        <v>PRBND'!</v>
      </c>
      <c r="F3965" s="34" t="str">
        <f t="shared" si="957"/>
        <v>C:\Users\jaime.benazar\Quorum Business Solutions\Ecopetrol Prometeo - Documents\Planning Space Implementation\3. Analysis &amp; Design\Design\FC22\DRR Jaime\QUIFA-CAJÚA\Cajua\[CAJUA_CF_SEC_New_27-Feb-2024Rev3.xlsx]D-PRBND'!</v>
      </c>
      <c r="G3965" s="32" t="s">
        <v>114</v>
      </c>
      <c r="H3965" s="33"/>
      <c r="I3965" s="33"/>
      <c r="J3965" s="37"/>
    </row>
    <row r="3966" spans="1:10" x14ac:dyDescent="0.25">
      <c r="A3966" s="32" t="s">
        <v>101</v>
      </c>
      <c r="B3966" s="32">
        <f t="shared" si="958"/>
        <v>2035</v>
      </c>
      <c r="C3966" s="33" t="s">
        <v>109</v>
      </c>
      <c r="D3966" s="34" t="s">
        <v>1999</v>
      </c>
      <c r="E3966" s="35" t="str">
        <f t="shared" si="956"/>
        <v>PRBND'!</v>
      </c>
      <c r="F3966" s="34" t="str">
        <f t="shared" si="957"/>
        <v>C:\Users\jaime.benazar\Quorum Business Solutions\Ecopetrol Prometeo - Documents\Planning Space Implementation\3. Analysis &amp; Design\Design\FC22\DRR Jaime\QUIFA-CAJÚA\Cajua\[CAJUA_CF_SEC_New_27-Feb-2024Rev3.xlsx]D-PRBND'!</v>
      </c>
      <c r="G3966" s="32" t="s">
        <v>114</v>
      </c>
      <c r="H3966" s="33"/>
      <c r="I3966" s="33"/>
      <c r="J3966" s="37"/>
    </row>
    <row r="3967" spans="1:10" x14ac:dyDescent="0.25">
      <c r="A3967" s="32" t="s">
        <v>101</v>
      </c>
      <c r="B3967" s="32">
        <f t="shared" si="958"/>
        <v>2036</v>
      </c>
      <c r="C3967" s="33" t="s">
        <v>109</v>
      </c>
      <c r="D3967" s="34" t="s">
        <v>1999</v>
      </c>
      <c r="E3967" s="35" t="str">
        <f t="shared" si="956"/>
        <v>PRBND'!</v>
      </c>
      <c r="F3967" s="34" t="str">
        <f t="shared" si="957"/>
        <v>C:\Users\jaime.benazar\Quorum Business Solutions\Ecopetrol Prometeo - Documents\Planning Space Implementation\3. Analysis &amp; Design\Design\FC22\DRR Jaime\QUIFA-CAJÚA\Cajua\[CAJUA_CF_SEC_New_27-Feb-2024Rev3.xlsx]D-PRBND'!</v>
      </c>
      <c r="G3967" s="32" t="s">
        <v>114</v>
      </c>
      <c r="H3967" s="33"/>
      <c r="I3967" s="33"/>
      <c r="J3967" s="37"/>
    </row>
    <row r="3968" spans="1:10" x14ac:dyDescent="0.25">
      <c r="A3968" s="32" t="s">
        <v>101</v>
      </c>
      <c r="B3968" s="32">
        <f>+B3967+1</f>
        <v>2037</v>
      </c>
      <c r="C3968" s="33" t="s">
        <v>109</v>
      </c>
      <c r="D3968" s="34" t="s">
        <v>1999</v>
      </c>
      <c r="E3968" s="35" t="str">
        <f t="shared" si="956"/>
        <v>PRBND'!</v>
      </c>
      <c r="F3968" s="34" t="str">
        <f t="shared" si="957"/>
        <v>C:\Users\jaime.benazar\Quorum Business Solutions\Ecopetrol Prometeo - Documents\Planning Space Implementation\3. Analysis &amp; Design\Design\FC22\DRR Jaime\QUIFA-CAJÚA\Cajua\[CAJUA_CF_SEC_New_27-Feb-2024Rev3.xlsx]D-PRBND'!</v>
      </c>
      <c r="G3968" s="32" t="s">
        <v>114</v>
      </c>
      <c r="H3968" s="33"/>
      <c r="I3968" s="33"/>
      <c r="J3968" s="37"/>
    </row>
    <row r="3969" spans="1:10" x14ac:dyDescent="0.25">
      <c r="A3969" s="32" t="s">
        <v>101</v>
      </c>
      <c r="B3969" s="32">
        <f t="shared" ref="B3969:B3971" si="959">+B3968+1</f>
        <v>2038</v>
      </c>
      <c r="C3969" s="33" t="s">
        <v>109</v>
      </c>
      <c r="D3969" s="34" t="s">
        <v>1999</v>
      </c>
      <c r="E3969" s="35" t="str">
        <f t="shared" si="956"/>
        <v>PRBND'!</v>
      </c>
      <c r="F3969" s="34" t="str">
        <f t="shared" si="957"/>
        <v>C:\Users\jaime.benazar\Quorum Business Solutions\Ecopetrol Prometeo - Documents\Planning Space Implementation\3. Analysis &amp; Design\Design\FC22\DRR Jaime\QUIFA-CAJÚA\Cajua\[CAJUA_CF_SEC_New_27-Feb-2024Rev3.xlsx]D-PRBND'!</v>
      </c>
      <c r="G3969" s="32" t="s">
        <v>114</v>
      </c>
      <c r="H3969" s="33"/>
      <c r="I3969" s="33"/>
      <c r="J3969" s="37"/>
    </row>
    <row r="3970" spans="1:10" x14ac:dyDescent="0.25">
      <c r="A3970" s="32" t="s">
        <v>101</v>
      </c>
      <c r="B3970" s="32">
        <f t="shared" si="959"/>
        <v>2039</v>
      </c>
      <c r="C3970" s="33" t="s">
        <v>109</v>
      </c>
      <c r="D3970" s="34" t="s">
        <v>1999</v>
      </c>
      <c r="E3970" s="35" t="str">
        <f t="shared" si="956"/>
        <v>PRBND'!</v>
      </c>
      <c r="F3970" s="34" t="str">
        <f t="shared" si="957"/>
        <v>C:\Users\jaime.benazar\Quorum Business Solutions\Ecopetrol Prometeo - Documents\Planning Space Implementation\3. Analysis &amp; Design\Design\FC22\DRR Jaime\QUIFA-CAJÚA\Cajua\[CAJUA_CF_SEC_New_27-Feb-2024Rev3.xlsx]D-PRBND'!</v>
      </c>
      <c r="G3970" s="32" t="s">
        <v>114</v>
      </c>
      <c r="H3970" s="33"/>
      <c r="I3970" s="33"/>
      <c r="J3970" s="37"/>
    </row>
    <row r="3971" spans="1:10" x14ac:dyDescent="0.25">
      <c r="A3971" s="32" t="s">
        <v>101</v>
      </c>
      <c r="B3971" s="32">
        <f t="shared" si="959"/>
        <v>2040</v>
      </c>
      <c r="C3971" s="33" t="s">
        <v>109</v>
      </c>
      <c r="D3971" s="34" t="s">
        <v>1999</v>
      </c>
      <c r="E3971" s="35" t="str">
        <f t="shared" si="956"/>
        <v>PRBND'!</v>
      </c>
      <c r="F3971" s="34" t="str">
        <f t="shared" si="957"/>
        <v>C:\Users\jaime.benazar\Quorum Business Solutions\Ecopetrol Prometeo - Documents\Planning Space Implementation\3. Analysis &amp; Design\Design\FC22\DRR Jaime\QUIFA-CAJÚA\Cajua\[CAJUA_CF_SEC_New_27-Feb-2024Rev3.xlsx]D-PRBND'!</v>
      </c>
      <c r="G3971" s="32" t="s">
        <v>114</v>
      </c>
      <c r="H3971" s="33"/>
      <c r="I3971" s="33"/>
      <c r="J3971" s="37"/>
    </row>
    <row r="3972" spans="1:10" x14ac:dyDescent="0.25">
      <c r="A3972" s="32" t="s">
        <v>101</v>
      </c>
      <c r="B3972" s="32">
        <f>+B3971+1</f>
        <v>2041</v>
      </c>
      <c r="C3972" s="33" t="s">
        <v>109</v>
      </c>
      <c r="D3972" s="34" t="s">
        <v>1999</v>
      </c>
      <c r="E3972" s="35" t="str">
        <f t="shared" si="956"/>
        <v>PRBND'!</v>
      </c>
      <c r="F3972" s="34" t="str">
        <f t="shared" si="957"/>
        <v>C:\Users\jaime.benazar\Quorum Business Solutions\Ecopetrol Prometeo - Documents\Planning Space Implementation\3. Analysis &amp; Design\Design\FC22\DRR Jaime\QUIFA-CAJÚA\Cajua\[CAJUA_CF_SEC_New_27-Feb-2024Rev3.xlsx]D-PRBND'!</v>
      </c>
      <c r="G3972" s="32" t="s">
        <v>114</v>
      </c>
      <c r="H3972" s="33"/>
      <c r="I3972" s="33"/>
      <c r="J3972" s="37"/>
    </row>
    <row r="3973" spans="1:10" x14ac:dyDescent="0.25">
      <c r="A3973" s="32" t="s">
        <v>101</v>
      </c>
      <c r="B3973" s="32">
        <f t="shared" ref="B3973:B3974" si="960">+B3972+1</f>
        <v>2042</v>
      </c>
      <c r="C3973" s="33" t="s">
        <v>109</v>
      </c>
      <c r="D3973" s="34" t="s">
        <v>1999</v>
      </c>
      <c r="E3973" s="35" t="str">
        <f t="shared" si="956"/>
        <v>PRBND'!</v>
      </c>
      <c r="F3973" s="34" t="str">
        <f t="shared" si="957"/>
        <v>C:\Users\jaime.benazar\Quorum Business Solutions\Ecopetrol Prometeo - Documents\Planning Space Implementation\3. Analysis &amp; Design\Design\FC22\DRR Jaime\QUIFA-CAJÚA\Cajua\[CAJUA_CF_SEC_New_27-Feb-2024Rev3.xlsx]D-PRBND'!</v>
      </c>
      <c r="G3973" s="32" t="s">
        <v>114</v>
      </c>
      <c r="H3973" s="33"/>
      <c r="I3973" s="33"/>
      <c r="J3973" s="37"/>
    </row>
    <row r="3974" spans="1:10" x14ac:dyDescent="0.25">
      <c r="A3974" s="32" t="s">
        <v>101</v>
      </c>
      <c r="B3974" s="32">
        <f t="shared" si="960"/>
        <v>2043</v>
      </c>
      <c r="C3974" s="33" t="s">
        <v>109</v>
      </c>
      <c r="D3974" s="34" t="s">
        <v>1999</v>
      </c>
      <c r="E3974" s="35" t="str">
        <f t="shared" si="956"/>
        <v>PRBND'!</v>
      </c>
      <c r="F3974" s="34" t="str">
        <f t="shared" si="957"/>
        <v>C:\Users\jaime.benazar\Quorum Business Solutions\Ecopetrol Prometeo - Documents\Planning Space Implementation\3. Analysis &amp; Design\Design\FC22\DRR Jaime\QUIFA-CAJÚA\Cajua\[CAJUA_CF_SEC_New_27-Feb-2024Rev3.xlsx]D-PRBND'!</v>
      </c>
      <c r="G3974" s="32" t="s">
        <v>114</v>
      </c>
      <c r="H3974" s="33"/>
      <c r="I3974" s="33"/>
      <c r="J3974" s="37"/>
    </row>
    <row r="3975" spans="1:10" x14ac:dyDescent="0.25">
      <c r="A3975" s="32" t="s">
        <v>101</v>
      </c>
      <c r="B3975" s="32">
        <f>+B3974+1</f>
        <v>2044</v>
      </c>
      <c r="C3975" s="33" t="s">
        <v>109</v>
      </c>
      <c r="D3975" s="34" t="s">
        <v>1999</v>
      </c>
      <c r="E3975" s="35" t="str">
        <f t="shared" ref="E3975:E3990" si="961">_xlfn.CONCAT(A3975,"'!")</f>
        <v>PRBND'!</v>
      </c>
      <c r="F3975" s="34" t="str">
        <f t="shared" ref="F3975:F3990" si="962">_xlfn.CONCAT(D3975:E3975)</f>
        <v>C:\Users\jaime.benazar\Quorum Business Solutions\Ecopetrol Prometeo - Documents\Planning Space Implementation\3. Analysis &amp; Design\Design\FC22\DRR Jaime\QUIFA-CAJÚA\Cajua\[CAJUA_CF_SEC_New_27-Feb-2024Rev3.xlsx]D-PRBND'!</v>
      </c>
      <c r="G3975" s="32" t="s">
        <v>114</v>
      </c>
      <c r="H3975" s="33"/>
      <c r="I3975" s="33"/>
      <c r="J3975" s="37"/>
    </row>
    <row r="3976" spans="1:10" x14ac:dyDescent="0.25">
      <c r="A3976" s="32" t="s">
        <v>101</v>
      </c>
      <c r="B3976" s="32">
        <f t="shared" ref="B3976:B3990" si="963">+B3975+1</f>
        <v>2045</v>
      </c>
      <c r="C3976" s="33" t="s">
        <v>109</v>
      </c>
      <c r="D3976" s="34" t="s">
        <v>1999</v>
      </c>
      <c r="E3976" s="35" t="str">
        <f t="shared" si="961"/>
        <v>PRBND'!</v>
      </c>
      <c r="F3976" s="34" t="str">
        <f t="shared" si="962"/>
        <v>C:\Users\jaime.benazar\Quorum Business Solutions\Ecopetrol Prometeo - Documents\Planning Space Implementation\3. Analysis &amp; Design\Design\FC22\DRR Jaime\QUIFA-CAJÚA\Cajua\[CAJUA_CF_SEC_New_27-Feb-2024Rev3.xlsx]D-PRBND'!</v>
      </c>
      <c r="G3976" s="32" t="s">
        <v>114</v>
      </c>
      <c r="H3976" s="33"/>
      <c r="I3976" s="33"/>
      <c r="J3976" s="37"/>
    </row>
    <row r="3977" spans="1:10" x14ac:dyDescent="0.25">
      <c r="A3977" s="32" t="s">
        <v>101</v>
      </c>
      <c r="B3977" s="32">
        <f t="shared" si="963"/>
        <v>2046</v>
      </c>
      <c r="C3977" s="33" t="s">
        <v>109</v>
      </c>
      <c r="D3977" s="34" t="s">
        <v>1999</v>
      </c>
      <c r="E3977" s="35" t="str">
        <f t="shared" si="961"/>
        <v>PRBND'!</v>
      </c>
      <c r="F3977" s="34" t="str">
        <f t="shared" si="962"/>
        <v>C:\Users\jaime.benazar\Quorum Business Solutions\Ecopetrol Prometeo - Documents\Planning Space Implementation\3. Analysis &amp; Design\Design\FC22\DRR Jaime\QUIFA-CAJÚA\Cajua\[CAJUA_CF_SEC_New_27-Feb-2024Rev3.xlsx]D-PRBND'!</v>
      </c>
      <c r="G3977" s="32" t="s">
        <v>114</v>
      </c>
      <c r="H3977" s="33"/>
      <c r="I3977" s="33"/>
      <c r="J3977" s="37"/>
    </row>
    <row r="3978" spans="1:10" x14ac:dyDescent="0.25">
      <c r="A3978" s="32" t="s">
        <v>101</v>
      </c>
      <c r="B3978" s="32">
        <f t="shared" si="963"/>
        <v>2047</v>
      </c>
      <c r="C3978" s="33" t="s">
        <v>109</v>
      </c>
      <c r="D3978" s="34" t="s">
        <v>1999</v>
      </c>
      <c r="E3978" s="35" t="str">
        <f t="shared" si="961"/>
        <v>PRBND'!</v>
      </c>
      <c r="F3978" s="34" t="str">
        <f t="shared" si="962"/>
        <v>C:\Users\jaime.benazar\Quorum Business Solutions\Ecopetrol Prometeo - Documents\Planning Space Implementation\3. Analysis &amp; Design\Design\FC22\DRR Jaime\QUIFA-CAJÚA\Cajua\[CAJUA_CF_SEC_New_27-Feb-2024Rev3.xlsx]D-PRBND'!</v>
      </c>
      <c r="G3978" s="32" t="s">
        <v>114</v>
      </c>
      <c r="H3978" s="33"/>
      <c r="I3978" s="33"/>
      <c r="J3978" s="37"/>
    </row>
    <row r="3979" spans="1:10" x14ac:dyDescent="0.25">
      <c r="A3979" s="32" t="s">
        <v>101</v>
      </c>
      <c r="B3979" s="32">
        <f t="shared" si="963"/>
        <v>2048</v>
      </c>
      <c r="C3979" s="33" t="s">
        <v>109</v>
      </c>
      <c r="D3979" s="34" t="s">
        <v>1999</v>
      </c>
      <c r="E3979" s="35" t="str">
        <f t="shared" si="961"/>
        <v>PRBND'!</v>
      </c>
      <c r="F3979" s="34" t="str">
        <f t="shared" si="962"/>
        <v>C:\Users\jaime.benazar\Quorum Business Solutions\Ecopetrol Prometeo - Documents\Planning Space Implementation\3. Analysis &amp; Design\Design\FC22\DRR Jaime\QUIFA-CAJÚA\Cajua\[CAJUA_CF_SEC_New_27-Feb-2024Rev3.xlsx]D-PRBND'!</v>
      </c>
      <c r="G3979" s="32" t="s">
        <v>114</v>
      </c>
      <c r="H3979" s="33"/>
      <c r="I3979" s="33"/>
      <c r="J3979" s="37"/>
    </row>
    <row r="3980" spans="1:10" x14ac:dyDescent="0.25">
      <c r="A3980" s="32" t="s">
        <v>101</v>
      </c>
      <c r="B3980" s="32">
        <f t="shared" si="963"/>
        <v>2049</v>
      </c>
      <c r="C3980" s="33" t="s">
        <v>109</v>
      </c>
      <c r="D3980" s="34" t="s">
        <v>1999</v>
      </c>
      <c r="E3980" s="35" t="str">
        <f t="shared" si="961"/>
        <v>PRBND'!</v>
      </c>
      <c r="F3980" s="34" t="str">
        <f t="shared" si="962"/>
        <v>C:\Users\jaime.benazar\Quorum Business Solutions\Ecopetrol Prometeo - Documents\Planning Space Implementation\3. Analysis &amp; Design\Design\FC22\DRR Jaime\QUIFA-CAJÚA\Cajua\[CAJUA_CF_SEC_New_27-Feb-2024Rev3.xlsx]D-PRBND'!</v>
      </c>
      <c r="G3980" s="32" t="s">
        <v>114</v>
      </c>
      <c r="H3980" s="33"/>
      <c r="I3980" s="33"/>
      <c r="J3980" s="37"/>
    </row>
    <row r="3981" spans="1:10" x14ac:dyDescent="0.25">
      <c r="A3981" s="32" t="s">
        <v>101</v>
      </c>
      <c r="B3981" s="32">
        <f t="shared" si="963"/>
        <v>2050</v>
      </c>
      <c r="C3981" s="33" t="s">
        <v>109</v>
      </c>
      <c r="D3981" s="34" t="s">
        <v>1999</v>
      </c>
      <c r="E3981" s="35" t="str">
        <f t="shared" si="961"/>
        <v>PRBND'!</v>
      </c>
      <c r="F3981" s="34" t="str">
        <f t="shared" si="962"/>
        <v>C:\Users\jaime.benazar\Quorum Business Solutions\Ecopetrol Prometeo - Documents\Planning Space Implementation\3. Analysis &amp; Design\Design\FC22\DRR Jaime\QUIFA-CAJÚA\Cajua\[CAJUA_CF_SEC_New_27-Feb-2024Rev3.xlsx]D-PRBND'!</v>
      </c>
      <c r="G3981" s="32" t="s">
        <v>114</v>
      </c>
      <c r="H3981" s="33"/>
      <c r="I3981" s="33"/>
      <c r="J3981" s="37"/>
    </row>
    <row r="3982" spans="1:10" x14ac:dyDescent="0.25">
      <c r="A3982" s="32" t="s">
        <v>101</v>
      </c>
      <c r="B3982" s="32">
        <f t="shared" si="963"/>
        <v>2051</v>
      </c>
      <c r="C3982" s="33" t="s">
        <v>109</v>
      </c>
      <c r="D3982" s="34" t="s">
        <v>1999</v>
      </c>
      <c r="E3982" s="35" t="str">
        <f t="shared" si="961"/>
        <v>PRBND'!</v>
      </c>
      <c r="F3982" s="34" t="str">
        <f t="shared" si="962"/>
        <v>C:\Users\jaime.benazar\Quorum Business Solutions\Ecopetrol Prometeo - Documents\Planning Space Implementation\3. Analysis &amp; Design\Design\FC22\DRR Jaime\QUIFA-CAJÚA\Cajua\[CAJUA_CF_SEC_New_27-Feb-2024Rev3.xlsx]D-PRBND'!</v>
      </c>
      <c r="G3982" s="32" t="s">
        <v>114</v>
      </c>
      <c r="H3982" s="33"/>
      <c r="I3982" s="33"/>
      <c r="J3982" s="37"/>
    </row>
    <row r="3983" spans="1:10" x14ac:dyDescent="0.25">
      <c r="A3983" s="32" t="s">
        <v>101</v>
      </c>
      <c r="B3983" s="32">
        <f t="shared" si="963"/>
        <v>2052</v>
      </c>
      <c r="C3983" s="33" t="s">
        <v>109</v>
      </c>
      <c r="D3983" s="34" t="s">
        <v>1999</v>
      </c>
      <c r="E3983" s="35" t="str">
        <f t="shared" si="961"/>
        <v>PRBND'!</v>
      </c>
      <c r="F3983" s="34" t="str">
        <f t="shared" si="962"/>
        <v>C:\Users\jaime.benazar\Quorum Business Solutions\Ecopetrol Prometeo - Documents\Planning Space Implementation\3. Analysis &amp; Design\Design\FC22\DRR Jaime\QUIFA-CAJÚA\Cajua\[CAJUA_CF_SEC_New_27-Feb-2024Rev3.xlsx]D-PRBND'!</v>
      </c>
      <c r="G3983" s="32" t="s">
        <v>114</v>
      </c>
      <c r="H3983" s="33"/>
      <c r="I3983" s="33"/>
      <c r="J3983" s="37"/>
    </row>
    <row r="3984" spans="1:10" x14ac:dyDescent="0.25">
      <c r="A3984" s="32" t="s">
        <v>101</v>
      </c>
      <c r="B3984" s="32">
        <f t="shared" si="963"/>
        <v>2053</v>
      </c>
      <c r="C3984" s="33" t="s">
        <v>109</v>
      </c>
      <c r="D3984" s="34" t="s">
        <v>1999</v>
      </c>
      <c r="E3984" s="35" t="str">
        <f t="shared" si="961"/>
        <v>PRBND'!</v>
      </c>
      <c r="F3984" s="34" t="str">
        <f t="shared" si="962"/>
        <v>C:\Users\jaime.benazar\Quorum Business Solutions\Ecopetrol Prometeo - Documents\Planning Space Implementation\3. Analysis &amp; Design\Design\FC22\DRR Jaime\QUIFA-CAJÚA\Cajua\[CAJUA_CF_SEC_New_27-Feb-2024Rev3.xlsx]D-PRBND'!</v>
      </c>
      <c r="G3984" s="32" t="s">
        <v>114</v>
      </c>
      <c r="H3984" s="33"/>
      <c r="I3984" s="33"/>
      <c r="J3984" s="37"/>
    </row>
    <row r="3985" spans="1:10" x14ac:dyDescent="0.25">
      <c r="A3985" s="32" t="s">
        <v>101</v>
      </c>
      <c r="B3985" s="32">
        <f t="shared" si="963"/>
        <v>2054</v>
      </c>
      <c r="C3985" s="33" t="s">
        <v>109</v>
      </c>
      <c r="D3985" s="34" t="s">
        <v>1999</v>
      </c>
      <c r="E3985" s="35" t="str">
        <f t="shared" si="961"/>
        <v>PRBND'!</v>
      </c>
      <c r="F3985" s="34" t="str">
        <f t="shared" si="962"/>
        <v>C:\Users\jaime.benazar\Quorum Business Solutions\Ecopetrol Prometeo - Documents\Planning Space Implementation\3. Analysis &amp; Design\Design\FC22\DRR Jaime\QUIFA-CAJÚA\Cajua\[CAJUA_CF_SEC_New_27-Feb-2024Rev3.xlsx]D-PRBND'!</v>
      </c>
      <c r="G3985" s="32" t="s">
        <v>114</v>
      </c>
      <c r="H3985" s="33"/>
      <c r="I3985" s="33"/>
      <c r="J3985" s="37"/>
    </row>
    <row r="3986" spans="1:10" x14ac:dyDescent="0.25">
      <c r="A3986" s="32" t="s">
        <v>101</v>
      </c>
      <c r="B3986" s="32">
        <f t="shared" si="963"/>
        <v>2055</v>
      </c>
      <c r="C3986" s="33" t="s">
        <v>109</v>
      </c>
      <c r="D3986" s="34" t="s">
        <v>1999</v>
      </c>
      <c r="E3986" s="35" t="str">
        <f t="shared" si="961"/>
        <v>PRBND'!</v>
      </c>
      <c r="F3986" s="34" t="str">
        <f t="shared" si="962"/>
        <v>C:\Users\jaime.benazar\Quorum Business Solutions\Ecopetrol Prometeo - Documents\Planning Space Implementation\3. Analysis &amp; Design\Design\FC22\DRR Jaime\QUIFA-CAJÚA\Cajua\[CAJUA_CF_SEC_New_27-Feb-2024Rev3.xlsx]D-PRBND'!</v>
      </c>
      <c r="G3986" s="32" t="s">
        <v>114</v>
      </c>
      <c r="H3986" s="33"/>
      <c r="I3986" s="33"/>
      <c r="J3986" s="37"/>
    </row>
    <row r="3987" spans="1:10" x14ac:dyDescent="0.25">
      <c r="A3987" s="32" t="s">
        <v>101</v>
      </c>
      <c r="B3987" s="32">
        <f t="shared" si="963"/>
        <v>2056</v>
      </c>
      <c r="C3987" s="33" t="s">
        <v>109</v>
      </c>
      <c r="D3987" s="34" t="s">
        <v>1999</v>
      </c>
      <c r="E3987" s="35" t="str">
        <f t="shared" si="961"/>
        <v>PRBND'!</v>
      </c>
      <c r="F3987" s="34" t="str">
        <f t="shared" si="962"/>
        <v>C:\Users\jaime.benazar\Quorum Business Solutions\Ecopetrol Prometeo - Documents\Planning Space Implementation\3. Analysis &amp; Design\Design\FC22\DRR Jaime\QUIFA-CAJÚA\Cajua\[CAJUA_CF_SEC_New_27-Feb-2024Rev3.xlsx]D-PRBND'!</v>
      </c>
      <c r="G3987" s="32" t="s">
        <v>114</v>
      </c>
      <c r="H3987" s="33"/>
      <c r="I3987" s="33"/>
      <c r="J3987" s="37"/>
    </row>
    <row r="3988" spans="1:10" x14ac:dyDescent="0.25">
      <c r="A3988" s="32" t="s">
        <v>101</v>
      </c>
      <c r="B3988" s="32">
        <f t="shared" si="963"/>
        <v>2057</v>
      </c>
      <c r="C3988" s="33" t="s">
        <v>109</v>
      </c>
      <c r="D3988" s="34" t="s">
        <v>1999</v>
      </c>
      <c r="E3988" s="35" t="str">
        <f t="shared" si="961"/>
        <v>PRBND'!</v>
      </c>
      <c r="F3988" s="34" t="str">
        <f t="shared" si="962"/>
        <v>C:\Users\jaime.benazar\Quorum Business Solutions\Ecopetrol Prometeo - Documents\Planning Space Implementation\3. Analysis &amp; Design\Design\FC22\DRR Jaime\QUIFA-CAJÚA\Cajua\[CAJUA_CF_SEC_New_27-Feb-2024Rev3.xlsx]D-PRBND'!</v>
      </c>
      <c r="G3988" s="32" t="s">
        <v>114</v>
      </c>
      <c r="H3988" s="33"/>
      <c r="I3988" s="33"/>
      <c r="J3988" s="37"/>
    </row>
    <row r="3989" spans="1:10" x14ac:dyDescent="0.25">
      <c r="A3989" s="32" t="s">
        <v>101</v>
      </c>
      <c r="B3989" s="32">
        <f t="shared" si="963"/>
        <v>2058</v>
      </c>
      <c r="C3989" s="33" t="s">
        <v>109</v>
      </c>
      <c r="D3989" s="34" t="s">
        <v>1999</v>
      </c>
      <c r="E3989" s="35" t="str">
        <f t="shared" si="961"/>
        <v>PRBND'!</v>
      </c>
      <c r="F3989" s="34" t="str">
        <f t="shared" si="962"/>
        <v>C:\Users\jaime.benazar\Quorum Business Solutions\Ecopetrol Prometeo - Documents\Planning Space Implementation\3. Analysis &amp; Design\Design\FC22\DRR Jaime\QUIFA-CAJÚA\Cajua\[CAJUA_CF_SEC_New_27-Feb-2024Rev3.xlsx]D-PRBND'!</v>
      </c>
      <c r="G3989" s="32" t="s">
        <v>114</v>
      </c>
      <c r="H3989" s="33"/>
      <c r="I3989" s="33"/>
      <c r="J3989" s="37"/>
    </row>
    <row r="3990" spans="1:10" x14ac:dyDescent="0.25">
      <c r="A3990" s="32" t="s">
        <v>101</v>
      </c>
      <c r="B3990" s="32">
        <f t="shared" si="963"/>
        <v>2059</v>
      </c>
      <c r="C3990" s="33" t="s">
        <v>109</v>
      </c>
      <c r="D3990" s="34" t="s">
        <v>1999</v>
      </c>
      <c r="E3990" s="35" t="str">
        <f t="shared" si="961"/>
        <v>PRBND'!</v>
      </c>
      <c r="F3990" s="34" t="str">
        <f t="shared" si="962"/>
        <v>C:\Users\jaime.benazar\Quorum Business Solutions\Ecopetrol Prometeo - Documents\Planning Space Implementation\3. Analysis &amp; Design\Design\FC22\DRR Jaime\QUIFA-CAJÚA\Cajua\[CAJUA_CF_SEC_New_27-Feb-2024Rev3.xlsx]D-PRBND'!</v>
      </c>
      <c r="G3990" s="32" t="s">
        <v>114</v>
      </c>
      <c r="H3990" s="33"/>
      <c r="I3990" s="33"/>
      <c r="J3990" s="37"/>
    </row>
    <row r="3991" spans="1:10" x14ac:dyDescent="0.25">
      <c r="A3991" s="32" t="s">
        <v>28</v>
      </c>
      <c r="B3991" s="32"/>
      <c r="C3991" s="33" t="s">
        <v>109</v>
      </c>
      <c r="D3991" s="34"/>
      <c r="E3991" s="35"/>
      <c r="F3991" s="34"/>
      <c r="G3991" s="32"/>
      <c r="H3991" s="33"/>
      <c r="I3991" s="33"/>
      <c r="J3991" s="36"/>
    </row>
    <row r="3992" spans="1:10" x14ac:dyDescent="0.25">
      <c r="A3992" s="32" t="s">
        <v>4</v>
      </c>
      <c r="B3992" s="32">
        <v>2023</v>
      </c>
      <c r="C3992" s="33" t="s">
        <v>109</v>
      </c>
      <c r="D3992" s="34" t="s">
        <v>1999</v>
      </c>
      <c r="E3992" s="35" t="str">
        <f t="shared" ref="E3992:E4012" si="964">_xlfn.CONCAT(A3992,"'!")</f>
        <v>PRB'!</v>
      </c>
      <c r="F3992" s="34" t="str">
        <f t="shared" ref="F3992:F4012" si="965">_xlfn.CONCAT(D3992:E3992)</f>
        <v>C:\Users\jaime.benazar\Quorum Business Solutions\Ecopetrol Prometeo - Documents\Planning Space Implementation\3. Analysis &amp; Design\Design\FC22\DRR Jaime\QUIFA-CAJÚA\Cajua\[CAJUA_CF_SEC_New_27-Feb-2024Rev3.xlsx]D-PRB'!</v>
      </c>
      <c r="G3992" s="32" t="s">
        <v>114</v>
      </c>
      <c r="H3992" s="33">
        <v>12</v>
      </c>
      <c r="I3992" s="33" t="str">
        <f t="shared" ref="I3992:I4012" si="966">_xlfn.CONCAT("='",F3992:H3992)</f>
        <v>='C:\Users\jaime.benazar\Quorum Business Solutions\Ecopetrol Prometeo - Documents\Planning Space Implementation\3. Analysis &amp; Design\Design\FC22\DRR Jaime\QUIFA-CAJÚA\Cajua\[CAJUA_CF_SEC_New_27-Feb-2024Rev3.xlsx]D-PRB'!$CB$12</v>
      </c>
      <c r="J3992" s="37" t="s">
        <v>3998</v>
      </c>
    </row>
    <row r="3993" spans="1:10" x14ac:dyDescent="0.25">
      <c r="A3993" s="32" t="s">
        <v>4</v>
      </c>
      <c r="B3993" s="32">
        <f>+B3992+1</f>
        <v>2024</v>
      </c>
      <c r="C3993" s="33" t="s">
        <v>109</v>
      </c>
      <c r="D3993" s="34" t="s">
        <v>1999</v>
      </c>
      <c r="E3993" s="35" t="str">
        <f t="shared" si="964"/>
        <v>PRB'!</v>
      </c>
      <c r="F3993" s="34" t="str">
        <f t="shared" si="965"/>
        <v>C:\Users\jaime.benazar\Quorum Business Solutions\Ecopetrol Prometeo - Documents\Planning Space Implementation\3. Analysis &amp; Design\Design\FC22\DRR Jaime\QUIFA-CAJÚA\Cajua\[CAJUA_CF_SEC_New_27-Feb-2024Rev3.xlsx]D-PRB'!</v>
      </c>
      <c r="G3993" s="32" t="s">
        <v>114</v>
      </c>
      <c r="H3993" s="33">
        <f t="shared" ref="H3993:H4012" si="967">IF(A3993&lt;&gt;A3992,12,H3992+1)</f>
        <v>13</v>
      </c>
      <c r="I3993" s="33" t="str">
        <f t="shared" si="966"/>
        <v>='C:\Users\jaime.benazar\Quorum Business Solutions\Ecopetrol Prometeo - Documents\Planning Space Implementation\3. Analysis &amp; Design\Design\FC22\DRR Jaime\QUIFA-CAJÚA\Cajua\[CAJUA_CF_SEC_New_27-Feb-2024Rev3.xlsx]D-PRB'!$CB$13</v>
      </c>
      <c r="J3993" s="37" t="s">
        <v>3999</v>
      </c>
    </row>
    <row r="3994" spans="1:10" x14ac:dyDescent="0.25">
      <c r="A3994" s="32" t="s">
        <v>4</v>
      </c>
      <c r="B3994" s="32">
        <f t="shared" ref="B3994:B4005" si="968">+B3993+1</f>
        <v>2025</v>
      </c>
      <c r="C3994" s="33" t="s">
        <v>109</v>
      </c>
      <c r="D3994" s="34" t="s">
        <v>1999</v>
      </c>
      <c r="E3994" s="35" t="str">
        <f t="shared" si="964"/>
        <v>PRB'!</v>
      </c>
      <c r="F3994" s="34" t="str">
        <f t="shared" si="965"/>
        <v>C:\Users\jaime.benazar\Quorum Business Solutions\Ecopetrol Prometeo - Documents\Planning Space Implementation\3. Analysis &amp; Design\Design\FC22\DRR Jaime\QUIFA-CAJÚA\Cajua\[CAJUA_CF_SEC_New_27-Feb-2024Rev3.xlsx]D-PRB'!</v>
      </c>
      <c r="G3994" s="32" t="s">
        <v>114</v>
      </c>
      <c r="H3994" s="33">
        <f t="shared" si="967"/>
        <v>14</v>
      </c>
      <c r="I3994" s="33" t="str">
        <f t="shared" si="966"/>
        <v>='C:\Users\jaime.benazar\Quorum Business Solutions\Ecopetrol Prometeo - Documents\Planning Space Implementation\3. Analysis &amp; Design\Design\FC22\DRR Jaime\QUIFA-CAJÚA\Cajua\[CAJUA_CF_SEC_New_27-Feb-2024Rev3.xlsx]D-PRB'!$CB$14</v>
      </c>
      <c r="J3994" s="37" t="s">
        <v>4000</v>
      </c>
    </row>
    <row r="3995" spans="1:10" x14ac:dyDescent="0.25">
      <c r="A3995" s="32" t="s">
        <v>4</v>
      </c>
      <c r="B3995" s="32">
        <f t="shared" si="968"/>
        <v>2026</v>
      </c>
      <c r="C3995" s="33" t="s">
        <v>109</v>
      </c>
      <c r="D3995" s="34" t="s">
        <v>1999</v>
      </c>
      <c r="E3995" s="35" t="str">
        <f t="shared" si="964"/>
        <v>PRB'!</v>
      </c>
      <c r="F3995" s="34" t="str">
        <f t="shared" si="965"/>
        <v>C:\Users\jaime.benazar\Quorum Business Solutions\Ecopetrol Prometeo - Documents\Planning Space Implementation\3. Analysis &amp; Design\Design\FC22\DRR Jaime\QUIFA-CAJÚA\Cajua\[CAJUA_CF_SEC_New_27-Feb-2024Rev3.xlsx]D-PRB'!</v>
      </c>
      <c r="G3995" s="32" t="s">
        <v>114</v>
      </c>
      <c r="H3995" s="33">
        <f t="shared" si="967"/>
        <v>15</v>
      </c>
      <c r="I3995" s="33" t="str">
        <f t="shared" si="966"/>
        <v>='C:\Users\jaime.benazar\Quorum Business Solutions\Ecopetrol Prometeo - Documents\Planning Space Implementation\3. Analysis &amp; Design\Design\FC22\DRR Jaime\QUIFA-CAJÚA\Cajua\[CAJUA_CF_SEC_New_27-Feb-2024Rev3.xlsx]D-PRB'!$CB$15</v>
      </c>
      <c r="J3995" s="37" t="s">
        <v>4001</v>
      </c>
    </row>
    <row r="3996" spans="1:10" x14ac:dyDescent="0.25">
      <c r="A3996" s="32" t="s">
        <v>4</v>
      </c>
      <c r="B3996" s="32">
        <f t="shared" si="968"/>
        <v>2027</v>
      </c>
      <c r="C3996" s="33" t="s">
        <v>109</v>
      </c>
      <c r="D3996" s="34" t="s">
        <v>1999</v>
      </c>
      <c r="E3996" s="35" t="str">
        <f t="shared" si="964"/>
        <v>PRB'!</v>
      </c>
      <c r="F3996" s="34" t="str">
        <f t="shared" si="965"/>
        <v>C:\Users\jaime.benazar\Quorum Business Solutions\Ecopetrol Prometeo - Documents\Planning Space Implementation\3. Analysis &amp; Design\Design\FC22\DRR Jaime\QUIFA-CAJÚA\Cajua\[CAJUA_CF_SEC_New_27-Feb-2024Rev3.xlsx]D-PRB'!</v>
      </c>
      <c r="G3996" s="32" t="s">
        <v>114</v>
      </c>
      <c r="H3996" s="33">
        <f t="shared" si="967"/>
        <v>16</v>
      </c>
      <c r="I3996" s="33" t="str">
        <f t="shared" si="966"/>
        <v>='C:\Users\jaime.benazar\Quorum Business Solutions\Ecopetrol Prometeo - Documents\Planning Space Implementation\3. Analysis &amp; Design\Design\FC22\DRR Jaime\QUIFA-CAJÚA\Cajua\[CAJUA_CF_SEC_New_27-Feb-2024Rev3.xlsx]D-PRB'!$CB$16</v>
      </c>
      <c r="J3996" s="37" t="s">
        <v>4002</v>
      </c>
    </row>
    <row r="3997" spans="1:10" x14ac:dyDescent="0.25">
      <c r="A3997" s="32" t="s">
        <v>4</v>
      </c>
      <c r="B3997" s="32">
        <f t="shared" si="968"/>
        <v>2028</v>
      </c>
      <c r="C3997" s="33" t="s">
        <v>109</v>
      </c>
      <c r="D3997" s="34" t="s">
        <v>1999</v>
      </c>
      <c r="E3997" s="35" t="str">
        <f t="shared" si="964"/>
        <v>PRB'!</v>
      </c>
      <c r="F3997" s="34" t="str">
        <f t="shared" si="965"/>
        <v>C:\Users\jaime.benazar\Quorum Business Solutions\Ecopetrol Prometeo - Documents\Planning Space Implementation\3. Analysis &amp; Design\Design\FC22\DRR Jaime\QUIFA-CAJÚA\Cajua\[CAJUA_CF_SEC_New_27-Feb-2024Rev3.xlsx]D-PRB'!</v>
      </c>
      <c r="G3997" s="32" t="s">
        <v>114</v>
      </c>
      <c r="H3997" s="33">
        <f t="shared" si="967"/>
        <v>17</v>
      </c>
      <c r="I3997" s="33" t="str">
        <f t="shared" si="966"/>
        <v>='C:\Users\jaime.benazar\Quorum Business Solutions\Ecopetrol Prometeo - Documents\Planning Space Implementation\3. Analysis &amp; Design\Design\FC22\DRR Jaime\QUIFA-CAJÚA\Cajua\[CAJUA_CF_SEC_New_27-Feb-2024Rev3.xlsx]D-PRB'!$CB$17</v>
      </c>
      <c r="J3997" s="37" t="s">
        <v>4003</v>
      </c>
    </row>
    <row r="3998" spans="1:10" x14ac:dyDescent="0.25">
      <c r="A3998" s="32" t="s">
        <v>4</v>
      </c>
      <c r="B3998" s="32">
        <f t="shared" si="968"/>
        <v>2029</v>
      </c>
      <c r="C3998" s="33" t="s">
        <v>109</v>
      </c>
      <c r="D3998" s="34" t="s">
        <v>1999</v>
      </c>
      <c r="E3998" s="35" t="str">
        <f t="shared" si="964"/>
        <v>PRB'!</v>
      </c>
      <c r="F3998" s="34" t="str">
        <f t="shared" si="965"/>
        <v>C:\Users\jaime.benazar\Quorum Business Solutions\Ecopetrol Prometeo - Documents\Planning Space Implementation\3. Analysis &amp; Design\Design\FC22\DRR Jaime\QUIFA-CAJÚA\Cajua\[CAJUA_CF_SEC_New_27-Feb-2024Rev3.xlsx]D-PRB'!</v>
      </c>
      <c r="G3998" s="32" t="s">
        <v>114</v>
      </c>
      <c r="H3998" s="33">
        <f t="shared" si="967"/>
        <v>18</v>
      </c>
      <c r="I3998" s="33" t="str">
        <f t="shared" si="966"/>
        <v>='C:\Users\jaime.benazar\Quorum Business Solutions\Ecopetrol Prometeo - Documents\Planning Space Implementation\3. Analysis &amp; Design\Design\FC22\DRR Jaime\QUIFA-CAJÚA\Cajua\[CAJUA_CF_SEC_New_27-Feb-2024Rev3.xlsx]D-PRB'!$CB$18</v>
      </c>
      <c r="J3998" s="37" t="s">
        <v>4004</v>
      </c>
    </row>
    <row r="3999" spans="1:10" x14ac:dyDescent="0.25">
      <c r="A3999" s="32" t="s">
        <v>4</v>
      </c>
      <c r="B3999" s="32">
        <f t="shared" si="968"/>
        <v>2030</v>
      </c>
      <c r="C3999" s="33" t="s">
        <v>109</v>
      </c>
      <c r="D3999" s="34" t="s">
        <v>1999</v>
      </c>
      <c r="E3999" s="35" t="str">
        <f t="shared" si="964"/>
        <v>PRB'!</v>
      </c>
      <c r="F3999" s="34" t="str">
        <f t="shared" si="965"/>
        <v>C:\Users\jaime.benazar\Quorum Business Solutions\Ecopetrol Prometeo - Documents\Planning Space Implementation\3. Analysis &amp; Design\Design\FC22\DRR Jaime\QUIFA-CAJÚA\Cajua\[CAJUA_CF_SEC_New_27-Feb-2024Rev3.xlsx]D-PRB'!</v>
      </c>
      <c r="G3999" s="32" t="s">
        <v>114</v>
      </c>
      <c r="H3999" s="33">
        <f t="shared" si="967"/>
        <v>19</v>
      </c>
      <c r="I3999" s="33" t="str">
        <f t="shared" si="966"/>
        <v>='C:\Users\jaime.benazar\Quorum Business Solutions\Ecopetrol Prometeo - Documents\Planning Space Implementation\3. Analysis &amp; Design\Design\FC22\DRR Jaime\QUIFA-CAJÚA\Cajua\[CAJUA_CF_SEC_New_27-Feb-2024Rev3.xlsx]D-PRB'!$CB$19</v>
      </c>
      <c r="J3999" s="37" t="s">
        <v>4005</v>
      </c>
    </row>
    <row r="4000" spans="1:10" x14ac:dyDescent="0.25">
      <c r="A4000" s="32" t="s">
        <v>4</v>
      </c>
      <c r="B4000" s="32">
        <f t="shared" si="968"/>
        <v>2031</v>
      </c>
      <c r="C4000" s="33" t="s">
        <v>109</v>
      </c>
      <c r="D4000" s="34" t="s">
        <v>1999</v>
      </c>
      <c r="E4000" s="35" t="str">
        <f t="shared" si="964"/>
        <v>PRB'!</v>
      </c>
      <c r="F4000" s="34" t="str">
        <f t="shared" si="965"/>
        <v>C:\Users\jaime.benazar\Quorum Business Solutions\Ecopetrol Prometeo - Documents\Planning Space Implementation\3. Analysis &amp; Design\Design\FC22\DRR Jaime\QUIFA-CAJÚA\Cajua\[CAJUA_CF_SEC_New_27-Feb-2024Rev3.xlsx]D-PRB'!</v>
      </c>
      <c r="G4000" s="32" t="s">
        <v>114</v>
      </c>
      <c r="H4000" s="33">
        <f t="shared" si="967"/>
        <v>20</v>
      </c>
      <c r="I4000" s="33" t="str">
        <f t="shared" si="966"/>
        <v>='C:\Users\jaime.benazar\Quorum Business Solutions\Ecopetrol Prometeo - Documents\Planning Space Implementation\3. Analysis &amp; Design\Design\FC22\DRR Jaime\QUIFA-CAJÚA\Cajua\[CAJUA_CF_SEC_New_27-Feb-2024Rev3.xlsx]D-PRB'!$CB$20</v>
      </c>
      <c r="J4000" s="37" t="s">
        <v>4006</v>
      </c>
    </row>
    <row r="4001" spans="1:10" x14ac:dyDescent="0.25">
      <c r="A4001" s="32" t="s">
        <v>4</v>
      </c>
      <c r="B4001" s="32">
        <f t="shared" si="968"/>
        <v>2032</v>
      </c>
      <c r="C4001" s="33" t="s">
        <v>109</v>
      </c>
      <c r="D4001" s="34" t="s">
        <v>1999</v>
      </c>
      <c r="E4001" s="35" t="str">
        <f t="shared" si="964"/>
        <v>PRB'!</v>
      </c>
      <c r="F4001" s="34" t="str">
        <f t="shared" si="965"/>
        <v>C:\Users\jaime.benazar\Quorum Business Solutions\Ecopetrol Prometeo - Documents\Planning Space Implementation\3. Analysis &amp; Design\Design\FC22\DRR Jaime\QUIFA-CAJÚA\Cajua\[CAJUA_CF_SEC_New_27-Feb-2024Rev3.xlsx]D-PRB'!</v>
      </c>
      <c r="G4001" s="32" t="s">
        <v>114</v>
      </c>
      <c r="H4001" s="33">
        <f t="shared" si="967"/>
        <v>21</v>
      </c>
      <c r="I4001" s="33" t="str">
        <f t="shared" si="966"/>
        <v>='C:\Users\jaime.benazar\Quorum Business Solutions\Ecopetrol Prometeo - Documents\Planning Space Implementation\3. Analysis &amp; Design\Design\FC22\DRR Jaime\QUIFA-CAJÚA\Cajua\[CAJUA_CF_SEC_New_27-Feb-2024Rev3.xlsx]D-PRB'!$CB$21</v>
      </c>
      <c r="J4001" s="37" t="s">
        <v>4007</v>
      </c>
    </row>
    <row r="4002" spans="1:10" x14ac:dyDescent="0.25">
      <c r="A4002" s="32" t="s">
        <v>4</v>
      </c>
      <c r="B4002" s="32">
        <f t="shared" si="968"/>
        <v>2033</v>
      </c>
      <c r="C4002" s="33" t="s">
        <v>109</v>
      </c>
      <c r="D4002" s="34" t="s">
        <v>1999</v>
      </c>
      <c r="E4002" s="35" t="str">
        <f t="shared" si="964"/>
        <v>PRB'!</v>
      </c>
      <c r="F4002" s="34" t="str">
        <f t="shared" si="965"/>
        <v>C:\Users\jaime.benazar\Quorum Business Solutions\Ecopetrol Prometeo - Documents\Planning Space Implementation\3. Analysis &amp; Design\Design\FC22\DRR Jaime\QUIFA-CAJÚA\Cajua\[CAJUA_CF_SEC_New_27-Feb-2024Rev3.xlsx]D-PRB'!</v>
      </c>
      <c r="G4002" s="32" t="s">
        <v>114</v>
      </c>
      <c r="H4002" s="33">
        <f t="shared" si="967"/>
        <v>22</v>
      </c>
      <c r="I4002" s="33" t="str">
        <f t="shared" si="966"/>
        <v>='C:\Users\jaime.benazar\Quorum Business Solutions\Ecopetrol Prometeo - Documents\Planning Space Implementation\3. Analysis &amp; Design\Design\FC22\DRR Jaime\QUIFA-CAJÚA\Cajua\[CAJUA_CF_SEC_New_27-Feb-2024Rev3.xlsx]D-PRB'!$CB$22</v>
      </c>
      <c r="J4002" s="37" t="s">
        <v>4008</v>
      </c>
    </row>
    <row r="4003" spans="1:10" x14ac:dyDescent="0.25">
      <c r="A4003" s="32" t="s">
        <v>4</v>
      </c>
      <c r="B4003" s="32">
        <f t="shared" si="968"/>
        <v>2034</v>
      </c>
      <c r="C4003" s="33" t="s">
        <v>109</v>
      </c>
      <c r="D4003" s="34" t="s">
        <v>1999</v>
      </c>
      <c r="E4003" s="35" t="str">
        <f t="shared" si="964"/>
        <v>PRB'!</v>
      </c>
      <c r="F4003" s="34" t="str">
        <f t="shared" si="965"/>
        <v>C:\Users\jaime.benazar\Quorum Business Solutions\Ecopetrol Prometeo - Documents\Planning Space Implementation\3. Analysis &amp; Design\Design\FC22\DRR Jaime\QUIFA-CAJÚA\Cajua\[CAJUA_CF_SEC_New_27-Feb-2024Rev3.xlsx]D-PRB'!</v>
      </c>
      <c r="G4003" s="32" t="s">
        <v>114</v>
      </c>
      <c r="H4003" s="33">
        <f t="shared" si="967"/>
        <v>23</v>
      </c>
      <c r="I4003" s="33" t="str">
        <f t="shared" si="966"/>
        <v>='C:\Users\jaime.benazar\Quorum Business Solutions\Ecopetrol Prometeo - Documents\Planning Space Implementation\3. Analysis &amp; Design\Design\FC22\DRR Jaime\QUIFA-CAJÚA\Cajua\[CAJUA_CF_SEC_New_27-Feb-2024Rev3.xlsx]D-PRB'!$CB$23</v>
      </c>
      <c r="J4003" s="37" t="s">
        <v>4009</v>
      </c>
    </row>
    <row r="4004" spans="1:10" x14ac:dyDescent="0.25">
      <c r="A4004" s="32" t="s">
        <v>4</v>
      </c>
      <c r="B4004" s="32">
        <f t="shared" si="968"/>
        <v>2035</v>
      </c>
      <c r="C4004" s="33" t="s">
        <v>109</v>
      </c>
      <c r="D4004" s="34" t="s">
        <v>1999</v>
      </c>
      <c r="E4004" s="35" t="str">
        <f t="shared" si="964"/>
        <v>PRB'!</v>
      </c>
      <c r="F4004" s="34" t="str">
        <f t="shared" si="965"/>
        <v>C:\Users\jaime.benazar\Quorum Business Solutions\Ecopetrol Prometeo - Documents\Planning Space Implementation\3. Analysis &amp; Design\Design\FC22\DRR Jaime\QUIFA-CAJÚA\Cajua\[CAJUA_CF_SEC_New_27-Feb-2024Rev3.xlsx]D-PRB'!</v>
      </c>
      <c r="G4004" s="32" t="s">
        <v>114</v>
      </c>
      <c r="H4004" s="33">
        <f t="shared" si="967"/>
        <v>24</v>
      </c>
      <c r="I4004" s="33" t="str">
        <f t="shared" si="966"/>
        <v>='C:\Users\jaime.benazar\Quorum Business Solutions\Ecopetrol Prometeo - Documents\Planning Space Implementation\3. Analysis &amp; Design\Design\FC22\DRR Jaime\QUIFA-CAJÚA\Cajua\[CAJUA_CF_SEC_New_27-Feb-2024Rev3.xlsx]D-PRB'!$CB$24</v>
      </c>
      <c r="J4004" s="37" t="s">
        <v>4010</v>
      </c>
    </row>
    <row r="4005" spans="1:10" x14ac:dyDescent="0.25">
      <c r="A4005" s="32" t="s">
        <v>4</v>
      </c>
      <c r="B4005" s="32">
        <f t="shared" si="968"/>
        <v>2036</v>
      </c>
      <c r="C4005" s="33" t="s">
        <v>109</v>
      </c>
      <c r="D4005" s="34" t="s">
        <v>1999</v>
      </c>
      <c r="E4005" s="35" t="str">
        <f t="shared" si="964"/>
        <v>PRB'!</v>
      </c>
      <c r="F4005" s="34" t="str">
        <f t="shared" si="965"/>
        <v>C:\Users\jaime.benazar\Quorum Business Solutions\Ecopetrol Prometeo - Documents\Planning Space Implementation\3. Analysis &amp; Design\Design\FC22\DRR Jaime\QUIFA-CAJÚA\Cajua\[CAJUA_CF_SEC_New_27-Feb-2024Rev3.xlsx]D-PRB'!</v>
      </c>
      <c r="G4005" s="32" t="s">
        <v>114</v>
      </c>
      <c r="H4005" s="33">
        <f t="shared" si="967"/>
        <v>25</v>
      </c>
      <c r="I4005" s="33" t="str">
        <f t="shared" si="966"/>
        <v>='C:\Users\jaime.benazar\Quorum Business Solutions\Ecopetrol Prometeo - Documents\Planning Space Implementation\3. Analysis &amp; Design\Design\FC22\DRR Jaime\QUIFA-CAJÚA\Cajua\[CAJUA_CF_SEC_New_27-Feb-2024Rev3.xlsx]D-PRB'!$CB$25</v>
      </c>
      <c r="J4005" s="37" t="s">
        <v>4011</v>
      </c>
    </row>
    <row r="4006" spans="1:10" x14ac:dyDescent="0.25">
      <c r="A4006" s="32" t="s">
        <v>4</v>
      </c>
      <c r="B4006" s="32">
        <f>+B4005+1</f>
        <v>2037</v>
      </c>
      <c r="C4006" s="33" t="s">
        <v>109</v>
      </c>
      <c r="D4006" s="34" t="s">
        <v>1999</v>
      </c>
      <c r="E4006" s="35" t="str">
        <f t="shared" si="964"/>
        <v>PRB'!</v>
      </c>
      <c r="F4006" s="34" t="str">
        <f t="shared" si="965"/>
        <v>C:\Users\jaime.benazar\Quorum Business Solutions\Ecopetrol Prometeo - Documents\Planning Space Implementation\3. Analysis &amp; Design\Design\FC22\DRR Jaime\QUIFA-CAJÚA\Cajua\[CAJUA_CF_SEC_New_27-Feb-2024Rev3.xlsx]D-PRB'!</v>
      </c>
      <c r="G4006" s="32" t="s">
        <v>114</v>
      </c>
      <c r="H4006" s="33">
        <f t="shared" si="967"/>
        <v>26</v>
      </c>
      <c r="I4006" s="33" t="str">
        <f t="shared" si="966"/>
        <v>='C:\Users\jaime.benazar\Quorum Business Solutions\Ecopetrol Prometeo - Documents\Planning Space Implementation\3. Analysis &amp; Design\Design\FC22\DRR Jaime\QUIFA-CAJÚA\Cajua\[CAJUA_CF_SEC_New_27-Feb-2024Rev3.xlsx]D-PRB'!$CB$26</v>
      </c>
      <c r="J4006" s="37" t="s">
        <v>4012</v>
      </c>
    </row>
    <row r="4007" spans="1:10" x14ac:dyDescent="0.25">
      <c r="A4007" s="32" t="s">
        <v>4</v>
      </c>
      <c r="B4007" s="32">
        <f t="shared" ref="B4007:B4009" si="969">+B4006+1</f>
        <v>2038</v>
      </c>
      <c r="C4007" s="33" t="s">
        <v>109</v>
      </c>
      <c r="D4007" s="34" t="s">
        <v>1999</v>
      </c>
      <c r="E4007" s="35" t="str">
        <f t="shared" si="964"/>
        <v>PRB'!</v>
      </c>
      <c r="F4007" s="34" t="str">
        <f t="shared" si="965"/>
        <v>C:\Users\jaime.benazar\Quorum Business Solutions\Ecopetrol Prometeo - Documents\Planning Space Implementation\3. Analysis &amp; Design\Design\FC22\DRR Jaime\QUIFA-CAJÚA\Cajua\[CAJUA_CF_SEC_New_27-Feb-2024Rev3.xlsx]D-PRB'!</v>
      </c>
      <c r="G4007" s="32" t="s">
        <v>114</v>
      </c>
      <c r="H4007" s="33">
        <f t="shared" si="967"/>
        <v>27</v>
      </c>
      <c r="I4007" s="33" t="str">
        <f t="shared" si="966"/>
        <v>='C:\Users\jaime.benazar\Quorum Business Solutions\Ecopetrol Prometeo - Documents\Planning Space Implementation\3. Analysis &amp; Design\Design\FC22\DRR Jaime\QUIFA-CAJÚA\Cajua\[CAJUA_CF_SEC_New_27-Feb-2024Rev3.xlsx]D-PRB'!$CB$27</v>
      </c>
      <c r="J4007" s="37" t="s">
        <v>4013</v>
      </c>
    </row>
    <row r="4008" spans="1:10" x14ac:dyDescent="0.25">
      <c r="A4008" s="32" t="s">
        <v>4</v>
      </c>
      <c r="B4008" s="32">
        <f t="shared" si="969"/>
        <v>2039</v>
      </c>
      <c r="C4008" s="33" t="s">
        <v>109</v>
      </c>
      <c r="D4008" s="34" t="s">
        <v>1999</v>
      </c>
      <c r="E4008" s="35" t="str">
        <f t="shared" si="964"/>
        <v>PRB'!</v>
      </c>
      <c r="F4008" s="34" t="str">
        <f t="shared" si="965"/>
        <v>C:\Users\jaime.benazar\Quorum Business Solutions\Ecopetrol Prometeo - Documents\Planning Space Implementation\3. Analysis &amp; Design\Design\FC22\DRR Jaime\QUIFA-CAJÚA\Cajua\[CAJUA_CF_SEC_New_27-Feb-2024Rev3.xlsx]D-PRB'!</v>
      </c>
      <c r="G4008" s="32" t="s">
        <v>114</v>
      </c>
      <c r="H4008" s="33">
        <f t="shared" si="967"/>
        <v>28</v>
      </c>
      <c r="I4008" s="33" t="str">
        <f t="shared" si="966"/>
        <v>='C:\Users\jaime.benazar\Quorum Business Solutions\Ecopetrol Prometeo - Documents\Planning Space Implementation\3. Analysis &amp; Design\Design\FC22\DRR Jaime\QUIFA-CAJÚA\Cajua\[CAJUA_CF_SEC_New_27-Feb-2024Rev3.xlsx]D-PRB'!$CB$28</v>
      </c>
      <c r="J4008" s="37" t="s">
        <v>4014</v>
      </c>
    </row>
    <row r="4009" spans="1:10" x14ac:dyDescent="0.25">
      <c r="A4009" s="32" t="s">
        <v>4</v>
      </c>
      <c r="B4009" s="32">
        <f t="shared" si="969"/>
        <v>2040</v>
      </c>
      <c r="C4009" s="33" t="s">
        <v>109</v>
      </c>
      <c r="D4009" s="34" t="s">
        <v>1999</v>
      </c>
      <c r="E4009" s="35" t="str">
        <f t="shared" si="964"/>
        <v>PRB'!</v>
      </c>
      <c r="F4009" s="34" t="str">
        <f t="shared" si="965"/>
        <v>C:\Users\jaime.benazar\Quorum Business Solutions\Ecopetrol Prometeo - Documents\Planning Space Implementation\3. Analysis &amp; Design\Design\FC22\DRR Jaime\QUIFA-CAJÚA\Cajua\[CAJUA_CF_SEC_New_27-Feb-2024Rev3.xlsx]D-PRB'!</v>
      </c>
      <c r="G4009" s="32" t="s">
        <v>114</v>
      </c>
      <c r="H4009" s="33">
        <f t="shared" si="967"/>
        <v>29</v>
      </c>
      <c r="I4009" s="33" t="str">
        <f t="shared" si="966"/>
        <v>='C:\Users\jaime.benazar\Quorum Business Solutions\Ecopetrol Prometeo - Documents\Planning Space Implementation\3. Analysis &amp; Design\Design\FC22\DRR Jaime\QUIFA-CAJÚA\Cajua\[CAJUA_CF_SEC_New_27-Feb-2024Rev3.xlsx]D-PRB'!$CB$29</v>
      </c>
      <c r="J4009" s="37" t="s">
        <v>4015</v>
      </c>
    </row>
    <row r="4010" spans="1:10" x14ac:dyDescent="0.25">
      <c r="A4010" s="32" t="s">
        <v>4</v>
      </c>
      <c r="B4010" s="32">
        <f>+B4009+1</f>
        <v>2041</v>
      </c>
      <c r="C4010" s="33" t="s">
        <v>109</v>
      </c>
      <c r="D4010" s="34" t="s">
        <v>1999</v>
      </c>
      <c r="E4010" s="35" t="str">
        <f t="shared" si="964"/>
        <v>PRB'!</v>
      </c>
      <c r="F4010" s="34" t="str">
        <f t="shared" si="965"/>
        <v>C:\Users\jaime.benazar\Quorum Business Solutions\Ecopetrol Prometeo - Documents\Planning Space Implementation\3. Analysis &amp; Design\Design\FC22\DRR Jaime\QUIFA-CAJÚA\Cajua\[CAJUA_CF_SEC_New_27-Feb-2024Rev3.xlsx]D-PRB'!</v>
      </c>
      <c r="G4010" s="32" t="s">
        <v>114</v>
      </c>
      <c r="H4010" s="33">
        <f t="shared" si="967"/>
        <v>30</v>
      </c>
      <c r="I4010" s="33" t="str">
        <f t="shared" si="966"/>
        <v>='C:\Users\jaime.benazar\Quorum Business Solutions\Ecopetrol Prometeo - Documents\Planning Space Implementation\3. Analysis &amp; Design\Design\FC22\DRR Jaime\QUIFA-CAJÚA\Cajua\[CAJUA_CF_SEC_New_27-Feb-2024Rev3.xlsx]D-PRB'!$CB$30</v>
      </c>
      <c r="J4010" s="37" t="s">
        <v>4016</v>
      </c>
    </row>
    <row r="4011" spans="1:10" x14ac:dyDescent="0.25">
      <c r="A4011" s="32" t="s">
        <v>4</v>
      </c>
      <c r="B4011" s="32">
        <f t="shared" ref="B4011:B4012" si="970">+B4010+1</f>
        <v>2042</v>
      </c>
      <c r="C4011" s="33" t="s">
        <v>109</v>
      </c>
      <c r="D4011" s="34" t="s">
        <v>1999</v>
      </c>
      <c r="E4011" s="35" t="str">
        <f t="shared" si="964"/>
        <v>PRB'!</v>
      </c>
      <c r="F4011" s="34" t="str">
        <f t="shared" si="965"/>
        <v>C:\Users\jaime.benazar\Quorum Business Solutions\Ecopetrol Prometeo - Documents\Planning Space Implementation\3. Analysis &amp; Design\Design\FC22\DRR Jaime\QUIFA-CAJÚA\Cajua\[CAJUA_CF_SEC_New_27-Feb-2024Rev3.xlsx]D-PRB'!</v>
      </c>
      <c r="G4011" s="32" t="s">
        <v>114</v>
      </c>
      <c r="H4011" s="33">
        <f t="shared" si="967"/>
        <v>31</v>
      </c>
      <c r="I4011" s="33" t="str">
        <f t="shared" si="966"/>
        <v>='C:\Users\jaime.benazar\Quorum Business Solutions\Ecopetrol Prometeo - Documents\Planning Space Implementation\3. Analysis &amp; Design\Design\FC22\DRR Jaime\QUIFA-CAJÚA\Cajua\[CAJUA_CF_SEC_New_27-Feb-2024Rev3.xlsx]D-PRB'!$CB$31</v>
      </c>
      <c r="J4011" s="37" t="s">
        <v>4017</v>
      </c>
    </row>
    <row r="4012" spans="1:10" x14ac:dyDescent="0.25">
      <c r="A4012" s="32" t="s">
        <v>4</v>
      </c>
      <c r="B4012" s="32">
        <f t="shared" si="970"/>
        <v>2043</v>
      </c>
      <c r="C4012" s="33" t="s">
        <v>109</v>
      </c>
      <c r="D4012" s="34" t="s">
        <v>1999</v>
      </c>
      <c r="E4012" s="35" t="str">
        <f t="shared" si="964"/>
        <v>PRB'!</v>
      </c>
      <c r="F4012" s="34" t="str">
        <f t="shared" si="965"/>
        <v>C:\Users\jaime.benazar\Quorum Business Solutions\Ecopetrol Prometeo - Documents\Planning Space Implementation\3. Analysis &amp; Design\Design\FC22\DRR Jaime\QUIFA-CAJÚA\Cajua\[CAJUA_CF_SEC_New_27-Feb-2024Rev3.xlsx]D-PRB'!</v>
      </c>
      <c r="G4012" s="32" t="s">
        <v>114</v>
      </c>
      <c r="H4012" s="33">
        <f t="shared" si="967"/>
        <v>32</v>
      </c>
      <c r="I4012" s="33" t="str">
        <f t="shared" si="966"/>
        <v>='C:\Users\jaime.benazar\Quorum Business Solutions\Ecopetrol Prometeo - Documents\Planning Space Implementation\3. Analysis &amp; Design\Design\FC22\DRR Jaime\QUIFA-CAJÚA\Cajua\[CAJUA_CF_SEC_New_27-Feb-2024Rev3.xlsx]D-PRB'!$CB$32</v>
      </c>
      <c r="J4012" s="37" t="s">
        <v>4018</v>
      </c>
    </row>
    <row r="4013" spans="1:10" x14ac:dyDescent="0.25">
      <c r="A4013" s="32" t="s">
        <v>4</v>
      </c>
      <c r="B4013" s="32">
        <f>+B4012+1</f>
        <v>2044</v>
      </c>
      <c r="C4013" s="33" t="s">
        <v>109</v>
      </c>
      <c r="D4013" s="34" t="s">
        <v>1999</v>
      </c>
      <c r="E4013" s="35" t="str">
        <f t="shared" ref="E4013:E4028" si="971">_xlfn.CONCAT(A4013,"'!")</f>
        <v>PRB'!</v>
      </c>
      <c r="F4013" s="34" t="str">
        <f t="shared" ref="F4013:F4028" si="972">_xlfn.CONCAT(D4013:E4013)</f>
        <v>C:\Users\jaime.benazar\Quorum Business Solutions\Ecopetrol Prometeo - Documents\Planning Space Implementation\3. Analysis &amp; Design\Design\FC22\DRR Jaime\QUIFA-CAJÚA\Cajua\[CAJUA_CF_SEC_New_27-Feb-2024Rev3.xlsx]D-PRB'!</v>
      </c>
      <c r="G4013" s="32" t="s">
        <v>114</v>
      </c>
      <c r="H4013" s="33">
        <f t="shared" ref="H4013:H4028" si="973">IF(A4013&lt;&gt;A4012,12,H4012+1)</f>
        <v>33</v>
      </c>
      <c r="I4013" s="33" t="str">
        <f t="shared" ref="I4013:I4028" si="974">_xlfn.CONCAT("='",F4013:H4013)</f>
        <v>='C:\Users\jaime.benazar\Quorum Business Solutions\Ecopetrol Prometeo - Documents\Planning Space Implementation\3. Analysis &amp; Design\Design\FC22\DRR Jaime\QUIFA-CAJÚA\Cajua\[CAJUA_CF_SEC_New_27-Feb-2024Rev3.xlsx]D-PRB'!$CB$33</v>
      </c>
      <c r="J4013" s="37" t="s">
        <v>4019</v>
      </c>
    </row>
    <row r="4014" spans="1:10" x14ac:dyDescent="0.25">
      <c r="A4014" s="32" t="s">
        <v>4</v>
      </c>
      <c r="B4014" s="32">
        <f t="shared" ref="B4014:B4028" si="975">+B4013+1</f>
        <v>2045</v>
      </c>
      <c r="C4014" s="33" t="s">
        <v>109</v>
      </c>
      <c r="D4014" s="34" t="s">
        <v>1999</v>
      </c>
      <c r="E4014" s="35" t="str">
        <f t="shared" si="971"/>
        <v>PRB'!</v>
      </c>
      <c r="F4014" s="34" t="str">
        <f t="shared" si="972"/>
        <v>C:\Users\jaime.benazar\Quorum Business Solutions\Ecopetrol Prometeo - Documents\Planning Space Implementation\3. Analysis &amp; Design\Design\FC22\DRR Jaime\QUIFA-CAJÚA\Cajua\[CAJUA_CF_SEC_New_27-Feb-2024Rev3.xlsx]D-PRB'!</v>
      </c>
      <c r="G4014" s="32" t="s">
        <v>114</v>
      </c>
      <c r="H4014" s="33">
        <f t="shared" si="973"/>
        <v>34</v>
      </c>
      <c r="I4014" s="33" t="str">
        <f t="shared" si="974"/>
        <v>='C:\Users\jaime.benazar\Quorum Business Solutions\Ecopetrol Prometeo - Documents\Planning Space Implementation\3. Analysis &amp; Design\Design\FC22\DRR Jaime\QUIFA-CAJÚA\Cajua\[CAJUA_CF_SEC_New_27-Feb-2024Rev3.xlsx]D-PRB'!$CB$34</v>
      </c>
      <c r="J4014" s="37" t="s">
        <v>4020</v>
      </c>
    </row>
    <row r="4015" spans="1:10" x14ac:dyDescent="0.25">
      <c r="A4015" s="32" t="s">
        <v>4</v>
      </c>
      <c r="B4015" s="32">
        <f t="shared" si="975"/>
        <v>2046</v>
      </c>
      <c r="C4015" s="33" t="s">
        <v>109</v>
      </c>
      <c r="D4015" s="34" t="s">
        <v>1999</v>
      </c>
      <c r="E4015" s="35" t="str">
        <f t="shared" si="971"/>
        <v>PRB'!</v>
      </c>
      <c r="F4015" s="34" t="str">
        <f t="shared" si="972"/>
        <v>C:\Users\jaime.benazar\Quorum Business Solutions\Ecopetrol Prometeo - Documents\Planning Space Implementation\3. Analysis &amp; Design\Design\FC22\DRR Jaime\QUIFA-CAJÚA\Cajua\[CAJUA_CF_SEC_New_27-Feb-2024Rev3.xlsx]D-PRB'!</v>
      </c>
      <c r="G4015" s="32" t="s">
        <v>114</v>
      </c>
      <c r="H4015" s="33">
        <f t="shared" si="973"/>
        <v>35</v>
      </c>
      <c r="I4015" s="33" t="str">
        <f t="shared" si="974"/>
        <v>='C:\Users\jaime.benazar\Quorum Business Solutions\Ecopetrol Prometeo - Documents\Planning Space Implementation\3. Analysis &amp; Design\Design\FC22\DRR Jaime\QUIFA-CAJÚA\Cajua\[CAJUA_CF_SEC_New_27-Feb-2024Rev3.xlsx]D-PRB'!$CB$35</v>
      </c>
      <c r="J4015" s="37" t="s">
        <v>4021</v>
      </c>
    </row>
    <row r="4016" spans="1:10" x14ac:dyDescent="0.25">
      <c r="A4016" s="32" t="s">
        <v>4</v>
      </c>
      <c r="B4016" s="32">
        <f t="shared" si="975"/>
        <v>2047</v>
      </c>
      <c r="C4016" s="33" t="s">
        <v>109</v>
      </c>
      <c r="D4016" s="34" t="s">
        <v>1999</v>
      </c>
      <c r="E4016" s="35" t="str">
        <f t="shared" si="971"/>
        <v>PRB'!</v>
      </c>
      <c r="F4016" s="34" t="str">
        <f t="shared" si="972"/>
        <v>C:\Users\jaime.benazar\Quorum Business Solutions\Ecopetrol Prometeo - Documents\Planning Space Implementation\3. Analysis &amp; Design\Design\FC22\DRR Jaime\QUIFA-CAJÚA\Cajua\[CAJUA_CF_SEC_New_27-Feb-2024Rev3.xlsx]D-PRB'!</v>
      </c>
      <c r="G4016" s="32" t="s">
        <v>114</v>
      </c>
      <c r="H4016" s="33">
        <f t="shared" si="973"/>
        <v>36</v>
      </c>
      <c r="I4016" s="33" t="str">
        <f t="shared" si="974"/>
        <v>='C:\Users\jaime.benazar\Quorum Business Solutions\Ecopetrol Prometeo - Documents\Planning Space Implementation\3. Analysis &amp; Design\Design\FC22\DRR Jaime\QUIFA-CAJÚA\Cajua\[CAJUA_CF_SEC_New_27-Feb-2024Rev3.xlsx]D-PRB'!$CB$36</v>
      </c>
      <c r="J4016" s="37" t="s">
        <v>4022</v>
      </c>
    </row>
    <row r="4017" spans="1:10" x14ac:dyDescent="0.25">
      <c r="A4017" s="32" t="s">
        <v>4</v>
      </c>
      <c r="B4017" s="32">
        <f t="shared" si="975"/>
        <v>2048</v>
      </c>
      <c r="C4017" s="33" t="s">
        <v>109</v>
      </c>
      <c r="D4017" s="34" t="s">
        <v>1999</v>
      </c>
      <c r="E4017" s="35" t="str">
        <f t="shared" si="971"/>
        <v>PRB'!</v>
      </c>
      <c r="F4017" s="34" t="str">
        <f t="shared" si="972"/>
        <v>C:\Users\jaime.benazar\Quorum Business Solutions\Ecopetrol Prometeo - Documents\Planning Space Implementation\3. Analysis &amp; Design\Design\FC22\DRR Jaime\QUIFA-CAJÚA\Cajua\[CAJUA_CF_SEC_New_27-Feb-2024Rev3.xlsx]D-PRB'!</v>
      </c>
      <c r="G4017" s="32" t="s">
        <v>114</v>
      </c>
      <c r="H4017" s="33">
        <f t="shared" si="973"/>
        <v>37</v>
      </c>
      <c r="I4017" s="33" t="str">
        <f t="shared" si="974"/>
        <v>='C:\Users\jaime.benazar\Quorum Business Solutions\Ecopetrol Prometeo - Documents\Planning Space Implementation\3. Analysis &amp; Design\Design\FC22\DRR Jaime\QUIFA-CAJÚA\Cajua\[CAJUA_CF_SEC_New_27-Feb-2024Rev3.xlsx]D-PRB'!$CB$37</v>
      </c>
      <c r="J4017" s="37" t="s">
        <v>4023</v>
      </c>
    </row>
    <row r="4018" spans="1:10" x14ac:dyDescent="0.25">
      <c r="A4018" s="32" t="s">
        <v>4</v>
      </c>
      <c r="B4018" s="32">
        <f t="shared" si="975"/>
        <v>2049</v>
      </c>
      <c r="C4018" s="33" t="s">
        <v>109</v>
      </c>
      <c r="D4018" s="34" t="s">
        <v>1999</v>
      </c>
      <c r="E4018" s="35" t="str">
        <f t="shared" si="971"/>
        <v>PRB'!</v>
      </c>
      <c r="F4018" s="34" t="str">
        <f t="shared" si="972"/>
        <v>C:\Users\jaime.benazar\Quorum Business Solutions\Ecopetrol Prometeo - Documents\Planning Space Implementation\3. Analysis &amp; Design\Design\FC22\DRR Jaime\QUIFA-CAJÚA\Cajua\[CAJUA_CF_SEC_New_27-Feb-2024Rev3.xlsx]D-PRB'!</v>
      </c>
      <c r="G4018" s="32" t="s">
        <v>114</v>
      </c>
      <c r="H4018" s="33">
        <f t="shared" si="973"/>
        <v>38</v>
      </c>
      <c r="I4018" s="33" t="str">
        <f t="shared" si="974"/>
        <v>='C:\Users\jaime.benazar\Quorum Business Solutions\Ecopetrol Prometeo - Documents\Planning Space Implementation\3. Analysis &amp; Design\Design\FC22\DRR Jaime\QUIFA-CAJÚA\Cajua\[CAJUA_CF_SEC_New_27-Feb-2024Rev3.xlsx]D-PRB'!$CB$38</v>
      </c>
      <c r="J4018" s="37" t="s">
        <v>4024</v>
      </c>
    </row>
    <row r="4019" spans="1:10" x14ac:dyDescent="0.25">
      <c r="A4019" s="32" t="s">
        <v>4</v>
      </c>
      <c r="B4019" s="32">
        <f t="shared" si="975"/>
        <v>2050</v>
      </c>
      <c r="C4019" s="33" t="s">
        <v>109</v>
      </c>
      <c r="D4019" s="34" t="s">
        <v>1999</v>
      </c>
      <c r="E4019" s="35" t="str">
        <f t="shared" si="971"/>
        <v>PRB'!</v>
      </c>
      <c r="F4019" s="34" t="str">
        <f t="shared" si="972"/>
        <v>C:\Users\jaime.benazar\Quorum Business Solutions\Ecopetrol Prometeo - Documents\Planning Space Implementation\3. Analysis &amp; Design\Design\FC22\DRR Jaime\QUIFA-CAJÚA\Cajua\[CAJUA_CF_SEC_New_27-Feb-2024Rev3.xlsx]D-PRB'!</v>
      </c>
      <c r="G4019" s="32" t="s">
        <v>114</v>
      </c>
      <c r="H4019" s="33">
        <f t="shared" si="973"/>
        <v>39</v>
      </c>
      <c r="I4019" s="33" t="str">
        <f t="shared" si="974"/>
        <v>='C:\Users\jaime.benazar\Quorum Business Solutions\Ecopetrol Prometeo - Documents\Planning Space Implementation\3. Analysis &amp; Design\Design\FC22\DRR Jaime\QUIFA-CAJÚA\Cajua\[CAJUA_CF_SEC_New_27-Feb-2024Rev3.xlsx]D-PRB'!$CB$39</v>
      </c>
      <c r="J4019" s="37" t="s">
        <v>4025</v>
      </c>
    </row>
    <row r="4020" spans="1:10" x14ac:dyDescent="0.25">
      <c r="A4020" s="32" t="s">
        <v>4</v>
      </c>
      <c r="B4020" s="32">
        <f t="shared" si="975"/>
        <v>2051</v>
      </c>
      <c r="C4020" s="33" t="s">
        <v>109</v>
      </c>
      <c r="D4020" s="34" t="s">
        <v>1999</v>
      </c>
      <c r="E4020" s="35" t="str">
        <f t="shared" si="971"/>
        <v>PRB'!</v>
      </c>
      <c r="F4020" s="34" t="str">
        <f t="shared" si="972"/>
        <v>C:\Users\jaime.benazar\Quorum Business Solutions\Ecopetrol Prometeo - Documents\Planning Space Implementation\3. Analysis &amp; Design\Design\FC22\DRR Jaime\QUIFA-CAJÚA\Cajua\[CAJUA_CF_SEC_New_27-Feb-2024Rev3.xlsx]D-PRB'!</v>
      </c>
      <c r="G4020" s="32" t="s">
        <v>114</v>
      </c>
      <c r="H4020" s="33">
        <f t="shared" si="973"/>
        <v>40</v>
      </c>
      <c r="I4020" s="33" t="str">
        <f t="shared" si="974"/>
        <v>='C:\Users\jaime.benazar\Quorum Business Solutions\Ecopetrol Prometeo - Documents\Planning Space Implementation\3. Analysis &amp; Design\Design\FC22\DRR Jaime\QUIFA-CAJÚA\Cajua\[CAJUA_CF_SEC_New_27-Feb-2024Rev3.xlsx]D-PRB'!$CB$40</v>
      </c>
      <c r="J4020" s="37" t="s">
        <v>4026</v>
      </c>
    </row>
    <row r="4021" spans="1:10" x14ac:dyDescent="0.25">
      <c r="A4021" s="32" t="s">
        <v>4</v>
      </c>
      <c r="B4021" s="32">
        <f t="shared" si="975"/>
        <v>2052</v>
      </c>
      <c r="C4021" s="33" t="s">
        <v>109</v>
      </c>
      <c r="D4021" s="34" t="s">
        <v>1999</v>
      </c>
      <c r="E4021" s="35" t="str">
        <f t="shared" si="971"/>
        <v>PRB'!</v>
      </c>
      <c r="F4021" s="34" t="str">
        <f t="shared" si="972"/>
        <v>C:\Users\jaime.benazar\Quorum Business Solutions\Ecopetrol Prometeo - Documents\Planning Space Implementation\3. Analysis &amp; Design\Design\FC22\DRR Jaime\QUIFA-CAJÚA\Cajua\[CAJUA_CF_SEC_New_27-Feb-2024Rev3.xlsx]D-PRB'!</v>
      </c>
      <c r="G4021" s="32" t="s">
        <v>114</v>
      </c>
      <c r="H4021" s="33">
        <f t="shared" si="973"/>
        <v>41</v>
      </c>
      <c r="I4021" s="33" t="str">
        <f t="shared" si="974"/>
        <v>='C:\Users\jaime.benazar\Quorum Business Solutions\Ecopetrol Prometeo - Documents\Planning Space Implementation\3. Analysis &amp; Design\Design\FC22\DRR Jaime\QUIFA-CAJÚA\Cajua\[CAJUA_CF_SEC_New_27-Feb-2024Rev3.xlsx]D-PRB'!$CB$41</v>
      </c>
      <c r="J4021" s="37" t="s">
        <v>4027</v>
      </c>
    </row>
    <row r="4022" spans="1:10" x14ac:dyDescent="0.25">
      <c r="A4022" s="32" t="s">
        <v>4</v>
      </c>
      <c r="B4022" s="32">
        <f t="shared" si="975"/>
        <v>2053</v>
      </c>
      <c r="C4022" s="33" t="s">
        <v>109</v>
      </c>
      <c r="D4022" s="34" t="s">
        <v>1999</v>
      </c>
      <c r="E4022" s="35" t="str">
        <f t="shared" si="971"/>
        <v>PRB'!</v>
      </c>
      <c r="F4022" s="34" t="str">
        <f t="shared" si="972"/>
        <v>C:\Users\jaime.benazar\Quorum Business Solutions\Ecopetrol Prometeo - Documents\Planning Space Implementation\3. Analysis &amp; Design\Design\FC22\DRR Jaime\QUIFA-CAJÚA\Cajua\[CAJUA_CF_SEC_New_27-Feb-2024Rev3.xlsx]D-PRB'!</v>
      </c>
      <c r="G4022" s="32" t="s">
        <v>114</v>
      </c>
      <c r="H4022" s="33">
        <f t="shared" si="973"/>
        <v>42</v>
      </c>
      <c r="I4022" s="33" t="str">
        <f t="shared" si="974"/>
        <v>='C:\Users\jaime.benazar\Quorum Business Solutions\Ecopetrol Prometeo - Documents\Planning Space Implementation\3. Analysis &amp; Design\Design\FC22\DRR Jaime\QUIFA-CAJÚA\Cajua\[CAJUA_CF_SEC_New_27-Feb-2024Rev3.xlsx]D-PRB'!$CB$42</v>
      </c>
      <c r="J4022" s="37" t="s">
        <v>4028</v>
      </c>
    </row>
    <row r="4023" spans="1:10" x14ac:dyDescent="0.25">
      <c r="A4023" s="32" t="s">
        <v>4</v>
      </c>
      <c r="B4023" s="32">
        <f t="shared" si="975"/>
        <v>2054</v>
      </c>
      <c r="C4023" s="33" t="s">
        <v>109</v>
      </c>
      <c r="D4023" s="34" t="s">
        <v>1999</v>
      </c>
      <c r="E4023" s="35" t="str">
        <f t="shared" si="971"/>
        <v>PRB'!</v>
      </c>
      <c r="F4023" s="34" t="str">
        <f t="shared" si="972"/>
        <v>C:\Users\jaime.benazar\Quorum Business Solutions\Ecopetrol Prometeo - Documents\Planning Space Implementation\3. Analysis &amp; Design\Design\FC22\DRR Jaime\QUIFA-CAJÚA\Cajua\[CAJUA_CF_SEC_New_27-Feb-2024Rev3.xlsx]D-PRB'!</v>
      </c>
      <c r="G4023" s="32" t="s">
        <v>114</v>
      </c>
      <c r="H4023" s="33">
        <f t="shared" si="973"/>
        <v>43</v>
      </c>
      <c r="I4023" s="33" t="str">
        <f t="shared" si="974"/>
        <v>='C:\Users\jaime.benazar\Quorum Business Solutions\Ecopetrol Prometeo - Documents\Planning Space Implementation\3. Analysis &amp; Design\Design\FC22\DRR Jaime\QUIFA-CAJÚA\Cajua\[CAJUA_CF_SEC_New_27-Feb-2024Rev3.xlsx]D-PRB'!$CB$43</v>
      </c>
      <c r="J4023" s="37" t="s">
        <v>4029</v>
      </c>
    </row>
    <row r="4024" spans="1:10" x14ac:dyDescent="0.25">
      <c r="A4024" s="32" t="s">
        <v>4</v>
      </c>
      <c r="B4024" s="32">
        <f t="shared" si="975"/>
        <v>2055</v>
      </c>
      <c r="C4024" s="33" t="s">
        <v>109</v>
      </c>
      <c r="D4024" s="34" t="s">
        <v>1999</v>
      </c>
      <c r="E4024" s="35" t="str">
        <f t="shared" si="971"/>
        <v>PRB'!</v>
      </c>
      <c r="F4024" s="34" t="str">
        <f t="shared" si="972"/>
        <v>C:\Users\jaime.benazar\Quorum Business Solutions\Ecopetrol Prometeo - Documents\Planning Space Implementation\3. Analysis &amp; Design\Design\FC22\DRR Jaime\QUIFA-CAJÚA\Cajua\[CAJUA_CF_SEC_New_27-Feb-2024Rev3.xlsx]D-PRB'!</v>
      </c>
      <c r="G4024" s="32" t="s">
        <v>114</v>
      </c>
      <c r="H4024" s="33">
        <f t="shared" si="973"/>
        <v>44</v>
      </c>
      <c r="I4024" s="33" t="str">
        <f t="shared" si="974"/>
        <v>='C:\Users\jaime.benazar\Quorum Business Solutions\Ecopetrol Prometeo - Documents\Planning Space Implementation\3. Analysis &amp; Design\Design\FC22\DRR Jaime\QUIFA-CAJÚA\Cajua\[CAJUA_CF_SEC_New_27-Feb-2024Rev3.xlsx]D-PRB'!$CB$44</v>
      </c>
      <c r="J4024" s="37" t="s">
        <v>4030</v>
      </c>
    </row>
    <row r="4025" spans="1:10" x14ac:dyDescent="0.25">
      <c r="A4025" s="32" t="s">
        <v>4</v>
      </c>
      <c r="B4025" s="32">
        <f t="shared" si="975"/>
        <v>2056</v>
      </c>
      <c r="C4025" s="33" t="s">
        <v>109</v>
      </c>
      <c r="D4025" s="34" t="s">
        <v>1999</v>
      </c>
      <c r="E4025" s="35" t="str">
        <f t="shared" si="971"/>
        <v>PRB'!</v>
      </c>
      <c r="F4025" s="34" t="str">
        <f t="shared" si="972"/>
        <v>C:\Users\jaime.benazar\Quorum Business Solutions\Ecopetrol Prometeo - Documents\Planning Space Implementation\3. Analysis &amp; Design\Design\FC22\DRR Jaime\QUIFA-CAJÚA\Cajua\[CAJUA_CF_SEC_New_27-Feb-2024Rev3.xlsx]D-PRB'!</v>
      </c>
      <c r="G4025" s="32" t="s">
        <v>114</v>
      </c>
      <c r="H4025" s="33">
        <f t="shared" si="973"/>
        <v>45</v>
      </c>
      <c r="I4025" s="33" t="str">
        <f t="shared" si="974"/>
        <v>='C:\Users\jaime.benazar\Quorum Business Solutions\Ecopetrol Prometeo - Documents\Planning Space Implementation\3. Analysis &amp; Design\Design\FC22\DRR Jaime\QUIFA-CAJÚA\Cajua\[CAJUA_CF_SEC_New_27-Feb-2024Rev3.xlsx]D-PRB'!$CB$45</v>
      </c>
      <c r="J4025" s="37" t="s">
        <v>4031</v>
      </c>
    </row>
    <row r="4026" spans="1:10" x14ac:dyDescent="0.25">
      <c r="A4026" s="32" t="s">
        <v>4</v>
      </c>
      <c r="B4026" s="32">
        <f t="shared" si="975"/>
        <v>2057</v>
      </c>
      <c r="C4026" s="33" t="s">
        <v>109</v>
      </c>
      <c r="D4026" s="34" t="s">
        <v>1999</v>
      </c>
      <c r="E4026" s="35" t="str">
        <f t="shared" si="971"/>
        <v>PRB'!</v>
      </c>
      <c r="F4026" s="34" t="str">
        <f t="shared" si="972"/>
        <v>C:\Users\jaime.benazar\Quorum Business Solutions\Ecopetrol Prometeo - Documents\Planning Space Implementation\3. Analysis &amp; Design\Design\FC22\DRR Jaime\QUIFA-CAJÚA\Cajua\[CAJUA_CF_SEC_New_27-Feb-2024Rev3.xlsx]D-PRB'!</v>
      </c>
      <c r="G4026" s="32" t="s">
        <v>114</v>
      </c>
      <c r="H4026" s="33">
        <f t="shared" si="973"/>
        <v>46</v>
      </c>
      <c r="I4026" s="33" t="str">
        <f t="shared" si="974"/>
        <v>='C:\Users\jaime.benazar\Quorum Business Solutions\Ecopetrol Prometeo - Documents\Planning Space Implementation\3. Analysis &amp; Design\Design\FC22\DRR Jaime\QUIFA-CAJÚA\Cajua\[CAJUA_CF_SEC_New_27-Feb-2024Rev3.xlsx]D-PRB'!$CB$46</v>
      </c>
      <c r="J4026" s="37" t="s">
        <v>4032</v>
      </c>
    </row>
    <row r="4027" spans="1:10" x14ac:dyDescent="0.25">
      <c r="A4027" s="32" t="s">
        <v>4</v>
      </c>
      <c r="B4027" s="32">
        <f t="shared" si="975"/>
        <v>2058</v>
      </c>
      <c r="C4027" s="33" t="s">
        <v>109</v>
      </c>
      <c r="D4027" s="34" t="s">
        <v>1999</v>
      </c>
      <c r="E4027" s="35" t="str">
        <f t="shared" si="971"/>
        <v>PRB'!</v>
      </c>
      <c r="F4027" s="34" t="str">
        <f t="shared" si="972"/>
        <v>C:\Users\jaime.benazar\Quorum Business Solutions\Ecopetrol Prometeo - Documents\Planning Space Implementation\3. Analysis &amp; Design\Design\FC22\DRR Jaime\QUIFA-CAJÚA\Cajua\[CAJUA_CF_SEC_New_27-Feb-2024Rev3.xlsx]D-PRB'!</v>
      </c>
      <c r="G4027" s="32" t="s">
        <v>114</v>
      </c>
      <c r="H4027" s="33">
        <f t="shared" si="973"/>
        <v>47</v>
      </c>
      <c r="I4027" s="33" t="str">
        <f t="shared" si="974"/>
        <v>='C:\Users\jaime.benazar\Quorum Business Solutions\Ecopetrol Prometeo - Documents\Planning Space Implementation\3. Analysis &amp; Design\Design\FC22\DRR Jaime\QUIFA-CAJÚA\Cajua\[CAJUA_CF_SEC_New_27-Feb-2024Rev3.xlsx]D-PRB'!$CB$47</v>
      </c>
      <c r="J4027" s="37" t="s">
        <v>4033</v>
      </c>
    </row>
    <row r="4028" spans="1:10" x14ac:dyDescent="0.25">
      <c r="A4028" s="32" t="s">
        <v>4</v>
      </c>
      <c r="B4028" s="32">
        <f t="shared" si="975"/>
        <v>2059</v>
      </c>
      <c r="C4028" s="33" t="s">
        <v>109</v>
      </c>
      <c r="D4028" s="34" t="s">
        <v>1999</v>
      </c>
      <c r="E4028" s="35" t="str">
        <f t="shared" si="971"/>
        <v>PRB'!</v>
      </c>
      <c r="F4028" s="34" t="str">
        <f t="shared" si="972"/>
        <v>C:\Users\jaime.benazar\Quorum Business Solutions\Ecopetrol Prometeo - Documents\Planning Space Implementation\3. Analysis &amp; Design\Design\FC22\DRR Jaime\QUIFA-CAJÚA\Cajua\[CAJUA_CF_SEC_New_27-Feb-2024Rev3.xlsx]D-PRB'!</v>
      </c>
      <c r="G4028" s="32" t="s">
        <v>114</v>
      </c>
      <c r="H4028" s="33">
        <f t="shared" si="973"/>
        <v>48</v>
      </c>
      <c r="I4028" s="33" t="str">
        <f t="shared" si="974"/>
        <v>='C:\Users\jaime.benazar\Quorum Business Solutions\Ecopetrol Prometeo - Documents\Planning Space Implementation\3. Analysis &amp; Design\Design\FC22\DRR Jaime\QUIFA-CAJÚA\Cajua\[CAJUA_CF_SEC_New_27-Feb-2024Rev3.xlsx]D-PRB'!$CB$48</v>
      </c>
      <c r="J4028" s="37" t="s">
        <v>4034</v>
      </c>
    </row>
    <row r="4029" spans="1:10" x14ac:dyDescent="0.25">
      <c r="A4029" s="32" t="s">
        <v>28</v>
      </c>
      <c r="B4029" s="32"/>
      <c r="C4029" s="33" t="s">
        <v>109</v>
      </c>
      <c r="D4029" s="34"/>
      <c r="E4029" s="35"/>
      <c r="F4029" s="34"/>
      <c r="G4029" s="32"/>
      <c r="H4029" s="33"/>
      <c r="I4029" s="33"/>
      <c r="J4029" s="33"/>
    </row>
    <row r="4030" spans="1:10" x14ac:dyDescent="0.25">
      <c r="A4030" s="32" t="s">
        <v>102</v>
      </c>
      <c r="B4030" s="32">
        <v>2023</v>
      </c>
      <c r="C4030" s="33" t="s">
        <v>109</v>
      </c>
      <c r="D4030" s="34" t="s">
        <v>1999</v>
      </c>
      <c r="E4030" s="35" t="str">
        <f t="shared" ref="E4030:E4050" si="976">_xlfn.CONCAT(A4030,"'!")</f>
        <v>PSDP'!</v>
      </c>
      <c r="F4030" s="34" t="str">
        <f t="shared" ref="F4030:F4050" si="977">_xlfn.CONCAT(D4030:E4030)</f>
        <v>C:\Users\jaime.benazar\Quorum Business Solutions\Ecopetrol Prometeo - Documents\Planning Space Implementation\3. Analysis &amp; Design\Design\FC22\DRR Jaime\QUIFA-CAJÚA\Cajua\[CAJUA_CF_SEC_New_27-Feb-2024Rev3.xlsx]D-PSDP'!</v>
      </c>
      <c r="G4030" s="32" t="s">
        <v>114</v>
      </c>
      <c r="H4030" s="33"/>
      <c r="I4030" s="33"/>
      <c r="J4030" s="37"/>
    </row>
    <row r="4031" spans="1:10" x14ac:dyDescent="0.25">
      <c r="A4031" s="32" t="s">
        <v>102</v>
      </c>
      <c r="B4031" s="32">
        <f>+B4030+1</f>
        <v>2024</v>
      </c>
      <c r="C4031" s="33" t="s">
        <v>109</v>
      </c>
      <c r="D4031" s="34" t="s">
        <v>1999</v>
      </c>
      <c r="E4031" s="35" t="str">
        <f t="shared" si="976"/>
        <v>PSDP'!</v>
      </c>
      <c r="F4031" s="34" t="str">
        <f t="shared" si="977"/>
        <v>C:\Users\jaime.benazar\Quorum Business Solutions\Ecopetrol Prometeo - Documents\Planning Space Implementation\3. Analysis &amp; Design\Design\FC22\DRR Jaime\QUIFA-CAJÚA\Cajua\[CAJUA_CF_SEC_New_27-Feb-2024Rev3.xlsx]D-PSDP'!</v>
      </c>
      <c r="G4031" s="32" t="s">
        <v>114</v>
      </c>
      <c r="H4031" s="33"/>
      <c r="I4031" s="33"/>
      <c r="J4031" s="37"/>
    </row>
    <row r="4032" spans="1:10" x14ac:dyDescent="0.25">
      <c r="A4032" s="32" t="s">
        <v>102</v>
      </c>
      <c r="B4032" s="32">
        <f t="shared" ref="B4032:B4043" si="978">+B4031+1</f>
        <v>2025</v>
      </c>
      <c r="C4032" s="33" t="s">
        <v>109</v>
      </c>
      <c r="D4032" s="34" t="s">
        <v>1999</v>
      </c>
      <c r="E4032" s="35" t="str">
        <f t="shared" si="976"/>
        <v>PSDP'!</v>
      </c>
      <c r="F4032" s="34" t="str">
        <f t="shared" si="977"/>
        <v>C:\Users\jaime.benazar\Quorum Business Solutions\Ecopetrol Prometeo - Documents\Planning Space Implementation\3. Analysis &amp; Design\Design\FC22\DRR Jaime\QUIFA-CAJÚA\Cajua\[CAJUA_CF_SEC_New_27-Feb-2024Rev3.xlsx]D-PSDP'!</v>
      </c>
      <c r="G4032" s="32" t="s">
        <v>114</v>
      </c>
      <c r="H4032" s="33"/>
      <c r="I4032" s="33"/>
      <c r="J4032" s="37"/>
    </row>
    <row r="4033" spans="1:10" x14ac:dyDescent="0.25">
      <c r="A4033" s="32" t="s">
        <v>102</v>
      </c>
      <c r="B4033" s="32">
        <f t="shared" si="978"/>
        <v>2026</v>
      </c>
      <c r="C4033" s="33" t="s">
        <v>109</v>
      </c>
      <c r="D4033" s="34" t="s">
        <v>1999</v>
      </c>
      <c r="E4033" s="35" t="str">
        <f t="shared" si="976"/>
        <v>PSDP'!</v>
      </c>
      <c r="F4033" s="34" t="str">
        <f t="shared" si="977"/>
        <v>C:\Users\jaime.benazar\Quorum Business Solutions\Ecopetrol Prometeo - Documents\Planning Space Implementation\3. Analysis &amp; Design\Design\FC22\DRR Jaime\QUIFA-CAJÚA\Cajua\[CAJUA_CF_SEC_New_27-Feb-2024Rev3.xlsx]D-PSDP'!</v>
      </c>
      <c r="G4033" s="32" t="s">
        <v>114</v>
      </c>
      <c r="H4033" s="33"/>
      <c r="I4033" s="33"/>
      <c r="J4033" s="37"/>
    </row>
    <row r="4034" spans="1:10" x14ac:dyDescent="0.25">
      <c r="A4034" s="32" t="s">
        <v>102</v>
      </c>
      <c r="B4034" s="32">
        <f t="shared" si="978"/>
        <v>2027</v>
      </c>
      <c r="C4034" s="33" t="s">
        <v>109</v>
      </c>
      <c r="D4034" s="34" t="s">
        <v>1999</v>
      </c>
      <c r="E4034" s="35" t="str">
        <f t="shared" si="976"/>
        <v>PSDP'!</v>
      </c>
      <c r="F4034" s="34" t="str">
        <f t="shared" si="977"/>
        <v>C:\Users\jaime.benazar\Quorum Business Solutions\Ecopetrol Prometeo - Documents\Planning Space Implementation\3. Analysis &amp; Design\Design\FC22\DRR Jaime\QUIFA-CAJÚA\Cajua\[CAJUA_CF_SEC_New_27-Feb-2024Rev3.xlsx]D-PSDP'!</v>
      </c>
      <c r="G4034" s="32" t="s">
        <v>114</v>
      </c>
      <c r="H4034" s="33"/>
      <c r="I4034" s="33"/>
      <c r="J4034" s="37"/>
    </row>
    <row r="4035" spans="1:10" x14ac:dyDescent="0.25">
      <c r="A4035" s="32" t="s">
        <v>102</v>
      </c>
      <c r="B4035" s="32">
        <f t="shared" si="978"/>
        <v>2028</v>
      </c>
      <c r="C4035" s="33" t="s">
        <v>109</v>
      </c>
      <c r="D4035" s="34" t="s">
        <v>1999</v>
      </c>
      <c r="E4035" s="35" t="str">
        <f t="shared" si="976"/>
        <v>PSDP'!</v>
      </c>
      <c r="F4035" s="34" t="str">
        <f t="shared" si="977"/>
        <v>C:\Users\jaime.benazar\Quorum Business Solutions\Ecopetrol Prometeo - Documents\Planning Space Implementation\3. Analysis &amp; Design\Design\FC22\DRR Jaime\QUIFA-CAJÚA\Cajua\[CAJUA_CF_SEC_New_27-Feb-2024Rev3.xlsx]D-PSDP'!</v>
      </c>
      <c r="G4035" s="32" t="s">
        <v>114</v>
      </c>
      <c r="H4035" s="33"/>
      <c r="I4035" s="33"/>
      <c r="J4035" s="37"/>
    </row>
    <row r="4036" spans="1:10" x14ac:dyDescent="0.25">
      <c r="A4036" s="32" t="s">
        <v>102</v>
      </c>
      <c r="B4036" s="32">
        <f t="shared" si="978"/>
        <v>2029</v>
      </c>
      <c r="C4036" s="33" t="s">
        <v>109</v>
      </c>
      <c r="D4036" s="34" t="s">
        <v>1999</v>
      </c>
      <c r="E4036" s="35" t="str">
        <f t="shared" si="976"/>
        <v>PSDP'!</v>
      </c>
      <c r="F4036" s="34" t="str">
        <f t="shared" si="977"/>
        <v>C:\Users\jaime.benazar\Quorum Business Solutions\Ecopetrol Prometeo - Documents\Planning Space Implementation\3. Analysis &amp; Design\Design\FC22\DRR Jaime\QUIFA-CAJÚA\Cajua\[CAJUA_CF_SEC_New_27-Feb-2024Rev3.xlsx]D-PSDP'!</v>
      </c>
      <c r="G4036" s="32" t="s">
        <v>114</v>
      </c>
      <c r="H4036" s="33"/>
      <c r="I4036" s="33"/>
      <c r="J4036" s="37"/>
    </row>
    <row r="4037" spans="1:10" x14ac:dyDescent="0.25">
      <c r="A4037" s="32" t="s">
        <v>102</v>
      </c>
      <c r="B4037" s="32">
        <f t="shared" si="978"/>
        <v>2030</v>
      </c>
      <c r="C4037" s="33" t="s">
        <v>109</v>
      </c>
      <c r="D4037" s="34" t="s">
        <v>1999</v>
      </c>
      <c r="E4037" s="35" t="str">
        <f t="shared" si="976"/>
        <v>PSDP'!</v>
      </c>
      <c r="F4037" s="34" t="str">
        <f t="shared" si="977"/>
        <v>C:\Users\jaime.benazar\Quorum Business Solutions\Ecopetrol Prometeo - Documents\Planning Space Implementation\3. Analysis &amp; Design\Design\FC22\DRR Jaime\QUIFA-CAJÚA\Cajua\[CAJUA_CF_SEC_New_27-Feb-2024Rev3.xlsx]D-PSDP'!</v>
      </c>
      <c r="G4037" s="32" t="s">
        <v>114</v>
      </c>
      <c r="H4037" s="33"/>
      <c r="I4037" s="33"/>
      <c r="J4037" s="37"/>
    </row>
    <row r="4038" spans="1:10" x14ac:dyDescent="0.25">
      <c r="A4038" s="32" t="s">
        <v>102</v>
      </c>
      <c r="B4038" s="32">
        <f t="shared" si="978"/>
        <v>2031</v>
      </c>
      <c r="C4038" s="33" t="s">
        <v>109</v>
      </c>
      <c r="D4038" s="34" t="s">
        <v>1999</v>
      </c>
      <c r="E4038" s="35" t="str">
        <f t="shared" si="976"/>
        <v>PSDP'!</v>
      </c>
      <c r="F4038" s="34" t="str">
        <f t="shared" si="977"/>
        <v>C:\Users\jaime.benazar\Quorum Business Solutions\Ecopetrol Prometeo - Documents\Planning Space Implementation\3. Analysis &amp; Design\Design\FC22\DRR Jaime\QUIFA-CAJÚA\Cajua\[CAJUA_CF_SEC_New_27-Feb-2024Rev3.xlsx]D-PSDP'!</v>
      </c>
      <c r="G4038" s="32" t="s">
        <v>114</v>
      </c>
      <c r="H4038" s="33"/>
      <c r="I4038" s="33"/>
      <c r="J4038" s="37"/>
    </row>
    <row r="4039" spans="1:10" x14ac:dyDescent="0.25">
      <c r="A4039" s="32" t="s">
        <v>102</v>
      </c>
      <c r="B4039" s="32">
        <f t="shared" si="978"/>
        <v>2032</v>
      </c>
      <c r="C4039" s="33" t="s">
        <v>109</v>
      </c>
      <c r="D4039" s="34" t="s">
        <v>1999</v>
      </c>
      <c r="E4039" s="35" t="str">
        <f t="shared" si="976"/>
        <v>PSDP'!</v>
      </c>
      <c r="F4039" s="34" t="str">
        <f t="shared" si="977"/>
        <v>C:\Users\jaime.benazar\Quorum Business Solutions\Ecopetrol Prometeo - Documents\Planning Space Implementation\3. Analysis &amp; Design\Design\FC22\DRR Jaime\QUIFA-CAJÚA\Cajua\[CAJUA_CF_SEC_New_27-Feb-2024Rev3.xlsx]D-PSDP'!</v>
      </c>
      <c r="G4039" s="32" t="s">
        <v>114</v>
      </c>
      <c r="H4039" s="33"/>
      <c r="I4039" s="33"/>
      <c r="J4039" s="37"/>
    </row>
    <row r="4040" spans="1:10" x14ac:dyDescent="0.25">
      <c r="A4040" s="32" t="s">
        <v>102</v>
      </c>
      <c r="B4040" s="32">
        <f t="shared" si="978"/>
        <v>2033</v>
      </c>
      <c r="C4040" s="33" t="s">
        <v>109</v>
      </c>
      <c r="D4040" s="34" t="s">
        <v>1999</v>
      </c>
      <c r="E4040" s="35" t="str">
        <f t="shared" si="976"/>
        <v>PSDP'!</v>
      </c>
      <c r="F4040" s="34" t="str">
        <f t="shared" si="977"/>
        <v>C:\Users\jaime.benazar\Quorum Business Solutions\Ecopetrol Prometeo - Documents\Planning Space Implementation\3. Analysis &amp; Design\Design\FC22\DRR Jaime\QUIFA-CAJÚA\Cajua\[CAJUA_CF_SEC_New_27-Feb-2024Rev3.xlsx]D-PSDP'!</v>
      </c>
      <c r="G4040" s="32" t="s">
        <v>114</v>
      </c>
      <c r="H4040" s="33"/>
      <c r="I4040" s="33"/>
      <c r="J4040" s="37"/>
    </row>
    <row r="4041" spans="1:10" x14ac:dyDescent="0.25">
      <c r="A4041" s="32" t="s">
        <v>102</v>
      </c>
      <c r="B4041" s="32">
        <f t="shared" si="978"/>
        <v>2034</v>
      </c>
      <c r="C4041" s="33" t="s">
        <v>109</v>
      </c>
      <c r="D4041" s="34" t="s">
        <v>1999</v>
      </c>
      <c r="E4041" s="35" t="str">
        <f t="shared" si="976"/>
        <v>PSDP'!</v>
      </c>
      <c r="F4041" s="34" t="str">
        <f t="shared" si="977"/>
        <v>C:\Users\jaime.benazar\Quorum Business Solutions\Ecopetrol Prometeo - Documents\Planning Space Implementation\3. Analysis &amp; Design\Design\FC22\DRR Jaime\QUIFA-CAJÚA\Cajua\[CAJUA_CF_SEC_New_27-Feb-2024Rev3.xlsx]D-PSDP'!</v>
      </c>
      <c r="G4041" s="32" t="s">
        <v>114</v>
      </c>
      <c r="H4041" s="33"/>
      <c r="I4041" s="33"/>
      <c r="J4041" s="37"/>
    </row>
    <row r="4042" spans="1:10" x14ac:dyDescent="0.25">
      <c r="A4042" s="32" t="s">
        <v>102</v>
      </c>
      <c r="B4042" s="32">
        <f t="shared" si="978"/>
        <v>2035</v>
      </c>
      <c r="C4042" s="33" t="s">
        <v>109</v>
      </c>
      <c r="D4042" s="34" t="s">
        <v>1999</v>
      </c>
      <c r="E4042" s="35" t="str">
        <f t="shared" si="976"/>
        <v>PSDP'!</v>
      </c>
      <c r="F4042" s="34" t="str">
        <f t="shared" si="977"/>
        <v>C:\Users\jaime.benazar\Quorum Business Solutions\Ecopetrol Prometeo - Documents\Planning Space Implementation\3. Analysis &amp; Design\Design\FC22\DRR Jaime\QUIFA-CAJÚA\Cajua\[CAJUA_CF_SEC_New_27-Feb-2024Rev3.xlsx]D-PSDP'!</v>
      </c>
      <c r="G4042" s="32" t="s">
        <v>114</v>
      </c>
      <c r="H4042" s="33"/>
      <c r="I4042" s="33"/>
      <c r="J4042" s="37"/>
    </row>
    <row r="4043" spans="1:10" x14ac:dyDescent="0.25">
      <c r="A4043" s="32" t="s">
        <v>102</v>
      </c>
      <c r="B4043" s="32">
        <f t="shared" si="978"/>
        <v>2036</v>
      </c>
      <c r="C4043" s="33" t="s">
        <v>109</v>
      </c>
      <c r="D4043" s="34" t="s">
        <v>1999</v>
      </c>
      <c r="E4043" s="35" t="str">
        <f t="shared" si="976"/>
        <v>PSDP'!</v>
      </c>
      <c r="F4043" s="34" t="str">
        <f t="shared" si="977"/>
        <v>C:\Users\jaime.benazar\Quorum Business Solutions\Ecopetrol Prometeo - Documents\Planning Space Implementation\3. Analysis &amp; Design\Design\FC22\DRR Jaime\QUIFA-CAJÚA\Cajua\[CAJUA_CF_SEC_New_27-Feb-2024Rev3.xlsx]D-PSDP'!</v>
      </c>
      <c r="G4043" s="32" t="s">
        <v>114</v>
      </c>
      <c r="H4043" s="33"/>
      <c r="I4043" s="33"/>
      <c r="J4043" s="37"/>
    </row>
    <row r="4044" spans="1:10" x14ac:dyDescent="0.25">
      <c r="A4044" s="32" t="s">
        <v>102</v>
      </c>
      <c r="B4044" s="32">
        <f>+B4043+1</f>
        <v>2037</v>
      </c>
      <c r="C4044" s="33" t="s">
        <v>109</v>
      </c>
      <c r="D4044" s="34" t="s">
        <v>1999</v>
      </c>
      <c r="E4044" s="35" t="str">
        <f t="shared" si="976"/>
        <v>PSDP'!</v>
      </c>
      <c r="F4044" s="34" t="str">
        <f t="shared" si="977"/>
        <v>C:\Users\jaime.benazar\Quorum Business Solutions\Ecopetrol Prometeo - Documents\Planning Space Implementation\3. Analysis &amp; Design\Design\FC22\DRR Jaime\QUIFA-CAJÚA\Cajua\[CAJUA_CF_SEC_New_27-Feb-2024Rev3.xlsx]D-PSDP'!</v>
      </c>
      <c r="G4044" s="32" t="s">
        <v>114</v>
      </c>
      <c r="H4044" s="33"/>
      <c r="I4044" s="33"/>
      <c r="J4044" s="37"/>
    </row>
    <row r="4045" spans="1:10" x14ac:dyDescent="0.25">
      <c r="A4045" s="32" t="s">
        <v>102</v>
      </c>
      <c r="B4045" s="32">
        <f t="shared" ref="B4045:B4047" si="979">+B4044+1</f>
        <v>2038</v>
      </c>
      <c r="C4045" s="33" t="s">
        <v>109</v>
      </c>
      <c r="D4045" s="34" t="s">
        <v>1999</v>
      </c>
      <c r="E4045" s="35" t="str">
        <f t="shared" si="976"/>
        <v>PSDP'!</v>
      </c>
      <c r="F4045" s="34" t="str">
        <f t="shared" si="977"/>
        <v>C:\Users\jaime.benazar\Quorum Business Solutions\Ecopetrol Prometeo - Documents\Planning Space Implementation\3. Analysis &amp; Design\Design\FC22\DRR Jaime\QUIFA-CAJÚA\Cajua\[CAJUA_CF_SEC_New_27-Feb-2024Rev3.xlsx]D-PSDP'!</v>
      </c>
      <c r="G4045" s="32" t="s">
        <v>114</v>
      </c>
      <c r="H4045" s="33"/>
      <c r="I4045" s="33"/>
      <c r="J4045" s="37"/>
    </row>
    <row r="4046" spans="1:10" x14ac:dyDescent="0.25">
      <c r="A4046" s="32" t="s">
        <v>102</v>
      </c>
      <c r="B4046" s="32">
        <f t="shared" si="979"/>
        <v>2039</v>
      </c>
      <c r="C4046" s="33" t="s">
        <v>109</v>
      </c>
      <c r="D4046" s="34" t="s">
        <v>1999</v>
      </c>
      <c r="E4046" s="35" t="str">
        <f t="shared" si="976"/>
        <v>PSDP'!</v>
      </c>
      <c r="F4046" s="34" t="str">
        <f t="shared" si="977"/>
        <v>C:\Users\jaime.benazar\Quorum Business Solutions\Ecopetrol Prometeo - Documents\Planning Space Implementation\3. Analysis &amp; Design\Design\FC22\DRR Jaime\QUIFA-CAJÚA\Cajua\[CAJUA_CF_SEC_New_27-Feb-2024Rev3.xlsx]D-PSDP'!</v>
      </c>
      <c r="G4046" s="32" t="s">
        <v>114</v>
      </c>
      <c r="H4046" s="33"/>
      <c r="I4046" s="33"/>
      <c r="J4046" s="37"/>
    </row>
    <row r="4047" spans="1:10" x14ac:dyDescent="0.25">
      <c r="A4047" s="32" t="s">
        <v>102</v>
      </c>
      <c r="B4047" s="32">
        <f t="shared" si="979"/>
        <v>2040</v>
      </c>
      <c r="C4047" s="33" t="s">
        <v>109</v>
      </c>
      <c r="D4047" s="34" t="s">
        <v>1999</v>
      </c>
      <c r="E4047" s="35" t="str">
        <f t="shared" si="976"/>
        <v>PSDP'!</v>
      </c>
      <c r="F4047" s="34" t="str">
        <f t="shared" si="977"/>
        <v>C:\Users\jaime.benazar\Quorum Business Solutions\Ecopetrol Prometeo - Documents\Planning Space Implementation\3. Analysis &amp; Design\Design\FC22\DRR Jaime\QUIFA-CAJÚA\Cajua\[CAJUA_CF_SEC_New_27-Feb-2024Rev3.xlsx]D-PSDP'!</v>
      </c>
      <c r="G4047" s="32" t="s">
        <v>114</v>
      </c>
      <c r="H4047" s="33"/>
      <c r="I4047" s="33"/>
      <c r="J4047" s="37"/>
    </row>
    <row r="4048" spans="1:10" x14ac:dyDescent="0.25">
      <c r="A4048" s="32" t="s">
        <v>102</v>
      </c>
      <c r="B4048" s="32">
        <f>+B4047+1</f>
        <v>2041</v>
      </c>
      <c r="C4048" s="33" t="s">
        <v>109</v>
      </c>
      <c r="D4048" s="34" t="s">
        <v>1999</v>
      </c>
      <c r="E4048" s="35" t="str">
        <f t="shared" si="976"/>
        <v>PSDP'!</v>
      </c>
      <c r="F4048" s="34" t="str">
        <f t="shared" si="977"/>
        <v>C:\Users\jaime.benazar\Quorum Business Solutions\Ecopetrol Prometeo - Documents\Planning Space Implementation\3. Analysis &amp; Design\Design\FC22\DRR Jaime\QUIFA-CAJÚA\Cajua\[CAJUA_CF_SEC_New_27-Feb-2024Rev3.xlsx]D-PSDP'!</v>
      </c>
      <c r="G4048" s="32" t="s">
        <v>114</v>
      </c>
      <c r="H4048" s="33"/>
      <c r="I4048" s="33"/>
      <c r="J4048" s="37"/>
    </row>
    <row r="4049" spans="1:10" x14ac:dyDescent="0.25">
      <c r="A4049" s="32" t="s">
        <v>102</v>
      </c>
      <c r="B4049" s="32">
        <f t="shared" ref="B4049:B4050" si="980">+B4048+1</f>
        <v>2042</v>
      </c>
      <c r="C4049" s="33" t="s">
        <v>109</v>
      </c>
      <c r="D4049" s="34" t="s">
        <v>1999</v>
      </c>
      <c r="E4049" s="35" t="str">
        <f t="shared" si="976"/>
        <v>PSDP'!</v>
      </c>
      <c r="F4049" s="34" t="str">
        <f t="shared" si="977"/>
        <v>C:\Users\jaime.benazar\Quorum Business Solutions\Ecopetrol Prometeo - Documents\Planning Space Implementation\3. Analysis &amp; Design\Design\FC22\DRR Jaime\QUIFA-CAJÚA\Cajua\[CAJUA_CF_SEC_New_27-Feb-2024Rev3.xlsx]D-PSDP'!</v>
      </c>
      <c r="G4049" s="32" t="s">
        <v>114</v>
      </c>
      <c r="H4049" s="33"/>
      <c r="I4049" s="33"/>
      <c r="J4049" s="37"/>
    </row>
    <row r="4050" spans="1:10" x14ac:dyDescent="0.25">
      <c r="A4050" s="32" t="s">
        <v>102</v>
      </c>
      <c r="B4050" s="32">
        <f t="shared" si="980"/>
        <v>2043</v>
      </c>
      <c r="C4050" s="33" t="s">
        <v>109</v>
      </c>
      <c r="D4050" s="34" t="s">
        <v>1999</v>
      </c>
      <c r="E4050" s="35" t="str">
        <f t="shared" si="976"/>
        <v>PSDP'!</v>
      </c>
      <c r="F4050" s="34" t="str">
        <f t="shared" si="977"/>
        <v>C:\Users\jaime.benazar\Quorum Business Solutions\Ecopetrol Prometeo - Documents\Planning Space Implementation\3. Analysis &amp; Design\Design\FC22\DRR Jaime\QUIFA-CAJÚA\Cajua\[CAJUA_CF_SEC_New_27-Feb-2024Rev3.xlsx]D-PSDP'!</v>
      </c>
      <c r="G4050" s="32" t="s">
        <v>114</v>
      </c>
      <c r="H4050" s="33"/>
      <c r="I4050" s="33"/>
      <c r="J4050" s="37"/>
    </row>
    <row r="4051" spans="1:10" x14ac:dyDescent="0.25">
      <c r="A4051" s="32" t="s">
        <v>102</v>
      </c>
      <c r="B4051" s="32">
        <f>+B4050+1</f>
        <v>2044</v>
      </c>
      <c r="C4051" s="33" t="s">
        <v>109</v>
      </c>
      <c r="D4051" s="34" t="s">
        <v>1999</v>
      </c>
      <c r="E4051" s="35" t="str">
        <f t="shared" ref="E4051:E4066" si="981">_xlfn.CONCAT(A4051,"'!")</f>
        <v>PSDP'!</v>
      </c>
      <c r="F4051" s="34" t="str">
        <f t="shared" ref="F4051:F4066" si="982">_xlfn.CONCAT(D4051:E4051)</f>
        <v>C:\Users\jaime.benazar\Quorum Business Solutions\Ecopetrol Prometeo - Documents\Planning Space Implementation\3. Analysis &amp; Design\Design\FC22\DRR Jaime\QUIFA-CAJÚA\Cajua\[CAJUA_CF_SEC_New_27-Feb-2024Rev3.xlsx]D-PSDP'!</v>
      </c>
      <c r="G4051" s="32" t="s">
        <v>114</v>
      </c>
      <c r="H4051" s="33"/>
      <c r="I4051" s="33"/>
      <c r="J4051" s="37"/>
    </row>
    <row r="4052" spans="1:10" x14ac:dyDescent="0.25">
      <c r="A4052" s="32" t="s">
        <v>102</v>
      </c>
      <c r="B4052" s="32">
        <f t="shared" ref="B4052:B4066" si="983">+B4051+1</f>
        <v>2045</v>
      </c>
      <c r="C4052" s="33" t="s">
        <v>109</v>
      </c>
      <c r="D4052" s="34" t="s">
        <v>1999</v>
      </c>
      <c r="E4052" s="35" t="str">
        <f t="shared" si="981"/>
        <v>PSDP'!</v>
      </c>
      <c r="F4052" s="34" t="str">
        <f t="shared" si="982"/>
        <v>C:\Users\jaime.benazar\Quorum Business Solutions\Ecopetrol Prometeo - Documents\Planning Space Implementation\3. Analysis &amp; Design\Design\FC22\DRR Jaime\QUIFA-CAJÚA\Cajua\[CAJUA_CF_SEC_New_27-Feb-2024Rev3.xlsx]D-PSDP'!</v>
      </c>
      <c r="G4052" s="32" t="s">
        <v>114</v>
      </c>
      <c r="H4052" s="33"/>
      <c r="I4052" s="33"/>
      <c r="J4052" s="37"/>
    </row>
    <row r="4053" spans="1:10" x14ac:dyDescent="0.25">
      <c r="A4053" s="32" t="s">
        <v>102</v>
      </c>
      <c r="B4053" s="32">
        <f t="shared" si="983"/>
        <v>2046</v>
      </c>
      <c r="C4053" s="33" t="s">
        <v>109</v>
      </c>
      <c r="D4053" s="34" t="s">
        <v>1999</v>
      </c>
      <c r="E4053" s="35" t="str">
        <f t="shared" si="981"/>
        <v>PSDP'!</v>
      </c>
      <c r="F4053" s="34" t="str">
        <f t="shared" si="982"/>
        <v>C:\Users\jaime.benazar\Quorum Business Solutions\Ecopetrol Prometeo - Documents\Planning Space Implementation\3. Analysis &amp; Design\Design\FC22\DRR Jaime\QUIFA-CAJÚA\Cajua\[CAJUA_CF_SEC_New_27-Feb-2024Rev3.xlsx]D-PSDP'!</v>
      </c>
      <c r="G4053" s="32" t="s">
        <v>114</v>
      </c>
      <c r="H4053" s="33"/>
      <c r="I4053" s="33"/>
      <c r="J4053" s="37"/>
    </row>
    <row r="4054" spans="1:10" x14ac:dyDescent="0.25">
      <c r="A4054" s="32" t="s">
        <v>102</v>
      </c>
      <c r="B4054" s="32">
        <f t="shared" si="983"/>
        <v>2047</v>
      </c>
      <c r="C4054" s="33" t="s">
        <v>109</v>
      </c>
      <c r="D4054" s="34" t="s">
        <v>1999</v>
      </c>
      <c r="E4054" s="35" t="str">
        <f t="shared" si="981"/>
        <v>PSDP'!</v>
      </c>
      <c r="F4054" s="34" t="str">
        <f t="shared" si="982"/>
        <v>C:\Users\jaime.benazar\Quorum Business Solutions\Ecopetrol Prometeo - Documents\Planning Space Implementation\3. Analysis &amp; Design\Design\FC22\DRR Jaime\QUIFA-CAJÚA\Cajua\[CAJUA_CF_SEC_New_27-Feb-2024Rev3.xlsx]D-PSDP'!</v>
      </c>
      <c r="G4054" s="32" t="s">
        <v>114</v>
      </c>
      <c r="H4054" s="33"/>
      <c r="I4054" s="33"/>
      <c r="J4054" s="37"/>
    </row>
    <row r="4055" spans="1:10" x14ac:dyDescent="0.25">
      <c r="A4055" s="32" t="s">
        <v>102</v>
      </c>
      <c r="B4055" s="32">
        <f t="shared" si="983"/>
        <v>2048</v>
      </c>
      <c r="C4055" s="33" t="s">
        <v>109</v>
      </c>
      <c r="D4055" s="34" t="s">
        <v>1999</v>
      </c>
      <c r="E4055" s="35" t="str">
        <f t="shared" si="981"/>
        <v>PSDP'!</v>
      </c>
      <c r="F4055" s="34" t="str">
        <f t="shared" si="982"/>
        <v>C:\Users\jaime.benazar\Quorum Business Solutions\Ecopetrol Prometeo - Documents\Planning Space Implementation\3. Analysis &amp; Design\Design\FC22\DRR Jaime\QUIFA-CAJÚA\Cajua\[CAJUA_CF_SEC_New_27-Feb-2024Rev3.xlsx]D-PSDP'!</v>
      </c>
      <c r="G4055" s="32" t="s">
        <v>114</v>
      </c>
      <c r="H4055" s="33"/>
      <c r="I4055" s="33"/>
      <c r="J4055" s="37"/>
    </row>
    <row r="4056" spans="1:10" x14ac:dyDescent="0.25">
      <c r="A4056" s="32" t="s">
        <v>102</v>
      </c>
      <c r="B4056" s="32">
        <f t="shared" si="983"/>
        <v>2049</v>
      </c>
      <c r="C4056" s="33" t="s">
        <v>109</v>
      </c>
      <c r="D4056" s="34" t="s">
        <v>1999</v>
      </c>
      <c r="E4056" s="35" t="str">
        <f t="shared" si="981"/>
        <v>PSDP'!</v>
      </c>
      <c r="F4056" s="34" t="str">
        <f t="shared" si="982"/>
        <v>C:\Users\jaime.benazar\Quorum Business Solutions\Ecopetrol Prometeo - Documents\Planning Space Implementation\3. Analysis &amp; Design\Design\FC22\DRR Jaime\QUIFA-CAJÚA\Cajua\[CAJUA_CF_SEC_New_27-Feb-2024Rev3.xlsx]D-PSDP'!</v>
      </c>
      <c r="G4056" s="32" t="s">
        <v>114</v>
      </c>
      <c r="H4056" s="33"/>
      <c r="I4056" s="33"/>
      <c r="J4056" s="37"/>
    </row>
    <row r="4057" spans="1:10" x14ac:dyDescent="0.25">
      <c r="A4057" s="32" t="s">
        <v>102</v>
      </c>
      <c r="B4057" s="32">
        <f t="shared" si="983"/>
        <v>2050</v>
      </c>
      <c r="C4057" s="33" t="s">
        <v>109</v>
      </c>
      <c r="D4057" s="34" t="s">
        <v>1999</v>
      </c>
      <c r="E4057" s="35" t="str">
        <f t="shared" si="981"/>
        <v>PSDP'!</v>
      </c>
      <c r="F4057" s="34" t="str">
        <f t="shared" si="982"/>
        <v>C:\Users\jaime.benazar\Quorum Business Solutions\Ecopetrol Prometeo - Documents\Planning Space Implementation\3. Analysis &amp; Design\Design\FC22\DRR Jaime\QUIFA-CAJÚA\Cajua\[CAJUA_CF_SEC_New_27-Feb-2024Rev3.xlsx]D-PSDP'!</v>
      </c>
      <c r="G4057" s="32" t="s">
        <v>114</v>
      </c>
      <c r="H4057" s="33"/>
      <c r="I4057" s="33"/>
      <c r="J4057" s="37"/>
    </row>
    <row r="4058" spans="1:10" x14ac:dyDescent="0.25">
      <c r="A4058" s="32" t="s">
        <v>102</v>
      </c>
      <c r="B4058" s="32">
        <f t="shared" si="983"/>
        <v>2051</v>
      </c>
      <c r="C4058" s="33" t="s">
        <v>109</v>
      </c>
      <c r="D4058" s="34" t="s">
        <v>1999</v>
      </c>
      <c r="E4058" s="35" t="str">
        <f t="shared" si="981"/>
        <v>PSDP'!</v>
      </c>
      <c r="F4058" s="34" t="str">
        <f t="shared" si="982"/>
        <v>C:\Users\jaime.benazar\Quorum Business Solutions\Ecopetrol Prometeo - Documents\Planning Space Implementation\3. Analysis &amp; Design\Design\FC22\DRR Jaime\QUIFA-CAJÚA\Cajua\[CAJUA_CF_SEC_New_27-Feb-2024Rev3.xlsx]D-PSDP'!</v>
      </c>
      <c r="G4058" s="32" t="s">
        <v>114</v>
      </c>
      <c r="H4058" s="33"/>
      <c r="I4058" s="33"/>
      <c r="J4058" s="37"/>
    </row>
    <row r="4059" spans="1:10" x14ac:dyDescent="0.25">
      <c r="A4059" s="32" t="s">
        <v>102</v>
      </c>
      <c r="B4059" s="32">
        <f t="shared" si="983"/>
        <v>2052</v>
      </c>
      <c r="C4059" s="33" t="s">
        <v>109</v>
      </c>
      <c r="D4059" s="34" t="s">
        <v>1999</v>
      </c>
      <c r="E4059" s="35" t="str">
        <f t="shared" si="981"/>
        <v>PSDP'!</v>
      </c>
      <c r="F4059" s="34" t="str">
        <f t="shared" si="982"/>
        <v>C:\Users\jaime.benazar\Quorum Business Solutions\Ecopetrol Prometeo - Documents\Planning Space Implementation\3. Analysis &amp; Design\Design\FC22\DRR Jaime\QUIFA-CAJÚA\Cajua\[CAJUA_CF_SEC_New_27-Feb-2024Rev3.xlsx]D-PSDP'!</v>
      </c>
      <c r="G4059" s="32" t="s">
        <v>114</v>
      </c>
      <c r="H4059" s="33"/>
      <c r="I4059" s="33"/>
      <c r="J4059" s="37"/>
    </row>
    <row r="4060" spans="1:10" x14ac:dyDescent="0.25">
      <c r="A4060" s="32" t="s">
        <v>102</v>
      </c>
      <c r="B4060" s="32">
        <f t="shared" si="983"/>
        <v>2053</v>
      </c>
      <c r="C4060" s="33" t="s">
        <v>109</v>
      </c>
      <c r="D4060" s="34" t="s">
        <v>1999</v>
      </c>
      <c r="E4060" s="35" t="str">
        <f t="shared" si="981"/>
        <v>PSDP'!</v>
      </c>
      <c r="F4060" s="34" t="str">
        <f t="shared" si="982"/>
        <v>C:\Users\jaime.benazar\Quorum Business Solutions\Ecopetrol Prometeo - Documents\Planning Space Implementation\3. Analysis &amp; Design\Design\FC22\DRR Jaime\QUIFA-CAJÚA\Cajua\[CAJUA_CF_SEC_New_27-Feb-2024Rev3.xlsx]D-PSDP'!</v>
      </c>
      <c r="G4060" s="32" t="s">
        <v>114</v>
      </c>
      <c r="H4060" s="33"/>
      <c r="I4060" s="33"/>
      <c r="J4060" s="37"/>
    </row>
    <row r="4061" spans="1:10" x14ac:dyDescent="0.25">
      <c r="A4061" s="32" t="s">
        <v>102</v>
      </c>
      <c r="B4061" s="32">
        <f t="shared" si="983"/>
        <v>2054</v>
      </c>
      <c r="C4061" s="33" t="s">
        <v>109</v>
      </c>
      <c r="D4061" s="34" t="s">
        <v>1999</v>
      </c>
      <c r="E4061" s="35" t="str">
        <f t="shared" si="981"/>
        <v>PSDP'!</v>
      </c>
      <c r="F4061" s="34" t="str">
        <f t="shared" si="982"/>
        <v>C:\Users\jaime.benazar\Quorum Business Solutions\Ecopetrol Prometeo - Documents\Planning Space Implementation\3. Analysis &amp; Design\Design\FC22\DRR Jaime\QUIFA-CAJÚA\Cajua\[CAJUA_CF_SEC_New_27-Feb-2024Rev3.xlsx]D-PSDP'!</v>
      </c>
      <c r="G4061" s="32" t="s">
        <v>114</v>
      </c>
      <c r="H4061" s="33"/>
      <c r="I4061" s="33"/>
      <c r="J4061" s="37"/>
    </row>
    <row r="4062" spans="1:10" x14ac:dyDescent="0.25">
      <c r="A4062" s="32" t="s">
        <v>102</v>
      </c>
      <c r="B4062" s="32">
        <f t="shared" si="983"/>
        <v>2055</v>
      </c>
      <c r="C4062" s="33" t="s">
        <v>109</v>
      </c>
      <c r="D4062" s="34" t="s">
        <v>1999</v>
      </c>
      <c r="E4062" s="35" t="str">
        <f t="shared" si="981"/>
        <v>PSDP'!</v>
      </c>
      <c r="F4062" s="34" t="str">
        <f t="shared" si="982"/>
        <v>C:\Users\jaime.benazar\Quorum Business Solutions\Ecopetrol Prometeo - Documents\Planning Space Implementation\3. Analysis &amp; Design\Design\FC22\DRR Jaime\QUIFA-CAJÚA\Cajua\[CAJUA_CF_SEC_New_27-Feb-2024Rev3.xlsx]D-PSDP'!</v>
      </c>
      <c r="G4062" s="32" t="s">
        <v>114</v>
      </c>
      <c r="H4062" s="33"/>
      <c r="I4062" s="33"/>
      <c r="J4062" s="37"/>
    </row>
    <row r="4063" spans="1:10" x14ac:dyDescent="0.25">
      <c r="A4063" s="32" t="s">
        <v>102</v>
      </c>
      <c r="B4063" s="32">
        <f t="shared" si="983"/>
        <v>2056</v>
      </c>
      <c r="C4063" s="33" t="s">
        <v>109</v>
      </c>
      <c r="D4063" s="34" t="s">
        <v>1999</v>
      </c>
      <c r="E4063" s="35" t="str">
        <f t="shared" si="981"/>
        <v>PSDP'!</v>
      </c>
      <c r="F4063" s="34" t="str">
        <f t="shared" si="982"/>
        <v>C:\Users\jaime.benazar\Quorum Business Solutions\Ecopetrol Prometeo - Documents\Planning Space Implementation\3. Analysis &amp; Design\Design\FC22\DRR Jaime\QUIFA-CAJÚA\Cajua\[CAJUA_CF_SEC_New_27-Feb-2024Rev3.xlsx]D-PSDP'!</v>
      </c>
      <c r="G4063" s="32" t="s">
        <v>114</v>
      </c>
      <c r="H4063" s="33"/>
      <c r="I4063" s="33"/>
      <c r="J4063" s="37"/>
    </row>
    <row r="4064" spans="1:10" x14ac:dyDescent="0.25">
      <c r="A4064" s="32" t="s">
        <v>102</v>
      </c>
      <c r="B4064" s="32">
        <f t="shared" si="983"/>
        <v>2057</v>
      </c>
      <c r="C4064" s="33" t="s">
        <v>109</v>
      </c>
      <c r="D4064" s="34" t="s">
        <v>1999</v>
      </c>
      <c r="E4064" s="35" t="str">
        <f t="shared" si="981"/>
        <v>PSDP'!</v>
      </c>
      <c r="F4064" s="34" t="str">
        <f t="shared" si="982"/>
        <v>C:\Users\jaime.benazar\Quorum Business Solutions\Ecopetrol Prometeo - Documents\Planning Space Implementation\3. Analysis &amp; Design\Design\FC22\DRR Jaime\QUIFA-CAJÚA\Cajua\[CAJUA_CF_SEC_New_27-Feb-2024Rev3.xlsx]D-PSDP'!</v>
      </c>
      <c r="G4064" s="32" t="s">
        <v>114</v>
      </c>
      <c r="H4064" s="33"/>
      <c r="I4064" s="33"/>
      <c r="J4064" s="37"/>
    </row>
    <row r="4065" spans="1:10" x14ac:dyDescent="0.25">
      <c r="A4065" s="32" t="s">
        <v>102</v>
      </c>
      <c r="B4065" s="32">
        <f t="shared" si="983"/>
        <v>2058</v>
      </c>
      <c r="C4065" s="33" t="s">
        <v>109</v>
      </c>
      <c r="D4065" s="34" t="s">
        <v>1999</v>
      </c>
      <c r="E4065" s="35" t="str">
        <f t="shared" si="981"/>
        <v>PSDP'!</v>
      </c>
      <c r="F4065" s="34" t="str">
        <f t="shared" si="982"/>
        <v>C:\Users\jaime.benazar\Quorum Business Solutions\Ecopetrol Prometeo - Documents\Planning Space Implementation\3. Analysis &amp; Design\Design\FC22\DRR Jaime\QUIFA-CAJÚA\Cajua\[CAJUA_CF_SEC_New_27-Feb-2024Rev3.xlsx]D-PSDP'!</v>
      </c>
      <c r="G4065" s="32" t="s">
        <v>114</v>
      </c>
      <c r="H4065" s="33"/>
      <c r="I4065" s="33"/>
      <c r="J4065" s="37"/>
    </row>
    <row r="4066" spans="1:10" x14ac:dyDescent="0.25">
      <c r="A4066" s="32" t="s">
        <v>102</v>
      </c>
      <c r="B4066" s="32">
        <f t="shared" si="983"/>
        <v>2059</v>
      </c>
      <c r="C4066" s="33" t="s">
        <v>109</v>
      </c>
      <c r="D4066" s="34" t="s">
        <v>1999</v>
      </c>
      <c r="E4066" s="35" t="str">
        <f t="shared" si="981"/>
        <v>PSDP'!</v>
      </c>
      <c r="F4066" s="34" t="str">
        <f t="shared" si="982"/>
        <v>C:\Users\jaime.benazar\Quorum Business Solutions\Ecopetrol Prometeo - Documents\Planning Space Implementation\3. Analysis &amp; Design\Design\FC22\DRR Jaime\QUIFA-CAJÚA\Cajua\[CAJUA_CF_SEC_New_27-Feb-2024Rev3.xlsx]D-PSDP'!</v>
      </c>
      <c r="G4066" s="32" t="s">
        <v>114</v>
      </c>
      <c r="H4066" s="33"/>
      <c r="I4066" s="33"/>
      <c r="J4066" s="37"/>
    </row>
    <row r="4067" spans="1:10" x14ac:dyDescent="0.25">
      <c r="A4067" s="32" t="s">
        <v>28</v>
      </c>
      <c r="B4067" s="32"/>
      <c r="C4067" s="33" t="s">
        <v>109</v>
      </c>
      <c r="D4067" s="34"/>
      <c r="E4067" s="35"/>
      <c r="F4067" s="34"/>
      <c r="G4067" s="32"/>
      <c r="H4067" s="33"/>
      <c r="I4067" s="33"/>
      <c r="J4067" s="36"/>
    </row>
    <row r="4068" spans="1:10" x14ac:dyDescent="0.25">
      <c r="A4068" s="32" t="s">
        <v>103</v>
      </c>
      <c r="B4068" s="32">
        <v>2023</v>
      </c>
      <c r="C4068" s="33" t="s">
        <v>109</v>
      </c>
      <c r="D4068" s="34" t="s">
        <v>1999</v>
      </c>
      <c r="E4068" s="35" t="str">
        <f t="shared" ref="E4068:E4088" si="984">_xlfn.CONCAT(A4068,"'!")</f>
        <v>PSNP'!</v>
      </c>
      <c r="F4068" s="34" t="str">
        <f t="shared" ref="F4068:F4088" si="985">_xlfn.CONCAT(D4068:E4068)</f>
        <v>C:\Users\jaime.benazar\Quorum Business Solutions\Ecopetrol Prometeo - Documents\Planning Space Implementation\3. Analysis &amp; Design\Design\FC22\DRR Jaime\QUIFA-CAJÚA\Cajua\[CAJUA_CF_SEC_New_27-Feb-2024Rev3.xlsx]D-PSNP'!</v>
      </c>
      <c r="G4068" s="32" t="s">
        <v>114</v>
      </c>
      <c r="H4068" s="33"/>
      <c r="I4068" s="33"/>
      <c r="J4068" s="37"/>
    </row>
    <row r="4069" spans="1:10" x14ac:dyDescent="0.25">
      <c r="A4069" s="32" t="s">
        <v>103</v>
      </c>
      <c r="B4069" s="32">
        <f>+B4068+1</f>
        <v>2024</v>
      </c>
      <c r="C4069" s="33" t="s">
        <v>109</v>
      </c>
      <c r="D4069" s="34" t="s">
        <v>1999</v>
      </c>
      <c r="E4069" s="35" t="str">
        <f t="shared" si="984"/>
        <v>PSNP'!</v>
      </c>
      <c r="F4069" s="34" t="str">
        <f t="shared" si="985"/>
        <v>C:\Users\jaime.benazar\Quorum Business Solutions\Ecopetrol Prometeo - Documents\Planning Space Implementation\3. Analysis &amp; Design\Design\FC22\DRR Jaime\QUIFA-CAJÚA\Cajua\[CAJUA_CF_SEC_New_27-Feb-2024Rev3.xlsx]D-PSNP'!</v>
      </c>
      <c r="G4069" s="32" t="s">
        <v>114</v>
      </c>
      <c r="H4069" s="33"/>
      <c r="I4069" s="33"/>
      <c r="J4069" s="37"/>
    </row>
    <row r="4070" spans="1:10" x14ac:dyDescent="0.25">
      <c r="A4070" s="32" t="s">
        <v>103</v>
      </c>
      <c r="B4070" s="32">
        <f t="shared" ref="B4070:B4081" si="986">+B4069+1</f>
        <v>2025</v>
      </c>
      <c r="C4070" s="33" t="s">
        <v>109</v>
      </c>
      <c r="D4070" s="34" t="s">
        <v>1999</v>
      </c>
      <c r="E4070" s="35" t="str">
        <f t="shared" si="984"/>
        <v>PSNP'!</v>
      </c>
      <c r="F4070" s="34" t="str">
        <f t="shared" si="985"/>
        <v>C:\Users\jaime.benazar\Quorum Business Solutions\Ecopetrol Prometeo - Documents\Planning Space Implementation\3. Analysis &amp; Design\Design\FC22\DRR Jaime\QUIFA-CAJÚA\Cajua\[CAJUA_CF_SEC_New_27-Feb-2024Rev3.xlsx]D-PSNP'!</v>
      </c>
      <c r="G4070" s="32" t="s">
        <v>114</v>
      </c>
      <c r="H4070" s="33"/>
      <c r="I4070" s="33"/>
      <c r="J4070" s="37"/>
    </row>
    <row r="4071" spans="1:10" x14ac:dyDescent="0.25">
      <c r="A4071" s="32" t="s">
        <v>103</v>
      </c>
      <c r="B4071" s="32">
        <f t="shared" si="986"/>
        <v>2026</v>
      </c>
      <c r="C4071" s="33" t="s">
        <v>109</v>
      </c>
      <c r="D4071" s="34" t="s">
        <v>1999</v>
      </c>
      <c r="E4071" s="35" t="str">
        <f t="shared" si="984"/>
        <v>PSNP'!</v>
      </c>
      <c r="F4071" s="34" t="str">
        <f t="shared" si="985"/>
        <v>C:\Users\jaime.benazar\Quorum Business Solutions\Ecopetrol Prometeo - Documents\Planning Space Implementation\3. Analysis &amp; Design\Design\FC22\DRR Jaime\QUIFA-CAJÚA\Cajua\[CAJUA_CF_SEC_New_27-Feb-2024Rev3.xlsx]D-PSNP'!</v>
      </c>
      <c r="G4071" s="32" t="s">
        <v>114</v>
      </c>
      <c r="H4071" s="33"/>
      <c r="I4071" s="33"/>
      <c r="J4071" s="37"/>
    </row>
    <row r="4072" spans="1:10" x14ac:dyDescent="0.25">
      <c r="A4072" s="32" t="s">
        <v>103</v>
      </c>
      <c r="B4072" s="32">
        <f t="shared" si="986"/>
        <v>2027</v>
      </c>
      <c r="C4072" s="33" t="s">
        <v>109</v>
      </c>
      <c r="D4072" s="34" t="s">
        <v>1999</v>
      </c>
      <c r="E4072" s="35" t="str">
        <f t="shared" si="984"/>
        <v>PSNP'!</v>
      </c>
      <c r="F4072" s="34" t="str">
        <f t="shared" si="985"/>
        <v>C:\Users\jaime.benazar\Quorum Business Solutions\Ecopetrol Prometeo - Documents\Planning Space Implementation\3. Analysis &amp; Design\Design\FC22\DRR Jaime\QUIFA-CAJÚA\Cajua\[CAJUA_CF_SEC_New_27-Feb-2024Rev3.xlsx]D-PSNP'!</v>
      </c>
      <c r="G4072" s="32" t="s">
        <v>114</v>
      </c>
      <c r="H4072" s="33"/>
      <c r="I4072" s="33"/>
      <c r="J4072" s="37"/>
    </row>
    <row r="4073" spans="1:10" x14ac:dyDescent="0.25">
      <c r="A4073" s="32" t="s">
        <v>103</v>
      </c>
      <c r="B4073" s="32">
        <f t="shared" si="986"/>
        <v>2028</v>
      </c>
      <c r="C4073" s="33" t="s">
        <v>109</v>
      </c>
      <c r="D4073" s="34" t="s">
        <v>1999</v>
      </c>
      <c r="E4073" s="35" t="str">
        <f t="shared" si="984"/>
        <v>PSNP'!</v>
      </c>
      <c r="F4073" s="34" t="str">
        <f t="shared" si="985"/>
        <v>C:\Users\jaime.benazar\Quorum Business Solutions\Ecopetrol Prometeo - Documents\Planning Space Implementation\3. Analysis &amp; Design\Design\FC22\DRR Jaime\QUIFA-CAJÚA\Cajua\[CAJUA_CF_SEC_New_27-Feb-2024Rev3.xlsx]D-PSNP'!</v>
      </c>
      <c r="G4073" s="32" t="s">
        <v>114</v>
      </c>
      <c r="H4073" s="33"/>
      <c r="I4073" s="33"/>
      <c r="J4073" s="37"/>
    </row>
    <row r="4074" spans="1:10" x14ac:dyDescent="0.25">
      <c r="A4074" s="32" t="s">
        <v>103</v>
      </c>
      <c r="B4074" s="32">
        <f t="shared" si="986"/>
        <v>2029</v>
      </c>
      <c r="C4074" s="33" t="s">
        <v>109</v>
      </c>
      <c r="D4074" s="34" t="s">
        <v>1999</v>
      </c>
      <c r="E4074" s="35" t="str">
        <f t="shared" si="984"/>
        <v>PSNP'!</v>
      </c>
      <c r="F4074" s="34" t="str">
        <f t="shared" si="985"/>
        <v>C:\Users\jaime.benazar\Quorum Business Solutions\Ecopetrol Prometeo - Documents\Planning Space Implementation\3. Analysis &amp; Design\Design\FC22\DRR Jaime\QUIFA-CAJÚA\Cajua\[CAJUA_CF_SEC_New_27-Feb-2024Rev3.xlsx]D-PSNP'!</v>
      </c>
      <c r="G4074" s="32" t="s">
        <v>114</v>
      </c>
      <c r="H4074" s="33"/>
      <c r="I4074" s="33"/>
      <c r="J4074" s="37"/>
    </row>
    <row r="4075" spans="1:10" x14ac:dyDescent="0.25">
      <c r="A4075" s="32" t="s">
        <v>103</v>
      </c>
      <c r="B4075" s="32">
        <f t="shared" si="986"/>
        <v>2030</v>
      </c>
      <c r="C4075" s="33" t="s">
        <v>109</v>
      </c>
      <c r="D4075" s="34" t="s">
        <v>1999</v>
      </c>
      <c r="E4075" s="35" t="str">
        <f t="shared" si="984"/>
        <v>PSNP'!</v>
      </c>
      <c r="F4075" s="34" t="str">
        <f t="shared" si="985"/>
        <v>C:\Users\jaime.benazar\Quorum Business Solutions\Ecopetrol Prometeo - Documents\Planning Space Implementation\3. Analysis &amp; Design\Design\FC22\DRR Jaime\QUIFA-CAJÚA\Cajua\[CAJUA_CF_SEC_New_27-Feb-2024Rev3.xlsx]D-PSNP'!</v>
      </c>
      <c r="G4075" s="32" t="s">
        <v>114</v>
      </c>
      <c r="H4075" s="33"/>
      <c r="I4075" s="33"/>
      <c r="J4075" s="37"/>
    </row>
    <row r="4076" spans="1:10" x14ac:dyDescent="0.25">
      <c r="A4076" s="32" t="s">
        <v>103</v>
      </c>
      <c r="B4076" s="32">
        <f t="shared" si="986"/>
        <v>2031</v>
      </c>
      <c r="C4076" s="33" t="s">
        <v>109</v>
      </c>
      <c r="D4076" s="34" t="s">
        <v>1999</v>
      </c>
      <c r="E4076" s="35" t="str">
        <f t="shared" si="984"/>
        <v>PSNP'!</v>
      </c>
      <c r="F4076" s="34" t="str">
        <f t="shared" si="985"/>
        <v>C:\Users\jaime.benazar\Quorum Business Solutions\Ecopetrol Prometeo - Documents\Planning Space Implementation\3. Analysis &amp; Design\Design\FC22\DRR Jaime\QUIFA-CAJÚA\Cajua\[CAJUA_CF_SEC_New_27-Feb-2024Rev3.xlsx]D-PSNP'!</v>
      </c>
      <c r="G4076" s="32" t="s">
        <v>114</v>
      </c>
      <c r="H4076" s="33"/>
      <c r="I4076" s="33"/>
      <c r="J4076" s="37"/>
    </row>
    <row r="4077" spans="1:10" x14ac:dyDescent="0.25">
      <c r="A4077" s="32" t="s">
        <v>103</v>
      </c>
      <c r="B4077" s="32">
        <f t="shared" si="986"/>
        <v>2032</v>
      </c>
      <c r="C4077" s="33" t="s">
        <v>109</v>
      </c>
      <c r="D4077" s="34" t="s">
        <v>1999</v>
      </c>
      <c r="E4077" s="35" t="str">
        <f t="shared" si="984"/>
        <v>PSNP'!</v>
      </c>
      <c r="F4077" s="34" t="str">
        <f t="shared" si="985"/>
        <v>C:\Users\jaime.benazar\Quorum Business Solutions\Ecopetrol Prometeo - Documents\Planning Space Implementation\3. Analysis &amp; Design\Design\FC22\DRR Jaime\QUIFA-CAJÚA\Cajua\[CAJUA_CF_SEC_New_27-Feb-2024Rev3.xlsx]D-PSNP'!</v>
      </c>
      <c r="G4077" s="32" t="s">
        <v>114</v>
      </c>
      <c r="H4077" s="33"/>
      <c r="I4077" s="33"/>
      <c r="J4077" s="37"/>
    </row>
    <row r="4078" spans="1:10" x14ac:dyDescent="0.25">
      <c r="A4078" s="32" t="s">
        <v>103</v>
      </c>
      <c r="B4078" s="32">
        <f t="shared" si="986"/>
        <v>2033</v>
      </c>
      <c r="C4078" s="33" t="s">
        <v>109</v>
      </c>
      <c r="D4078" s="34" t="s">
        <v>1999</v>
      </c>
      <c r="E4078" s="35" t="str">
        <f t="shared" si="984"/>
        <v>PSNP'!</v>
      </c>
      <c r="F4078" s="34" t="str">
        <f t="shared" si="985"/>
        <v>C:\Users\jaime.benazar\Quorum Business Solutions\Ecopetrol Prometeo - Documents\Planning Space Implementation\3. Analysis &amp; Design\Design\FC22\DRR Jaime\QUIFA-CAJÚA\Cajua\[CAJUA_CF_SEC_New_27-Feb-2024Rev3.xlsx]D-PSNP'!</v>
      </c>
      <c r="G4078" s="32" t="s">
        <v>114</v>
      </c>
      <c r="H4078" s="33"/>
      <c r="I4078" s="33"/>
      <c r="J4078" s="37"/>
    </row>
    <row r="4079" spans="1:10" x14ac:dyDescent="0.25">
      <c r="A4079" s="32" t="s">
        <v>103</v>
      </c>
      <c r="B4079" s="32">
        <f t="shared" si="986"/>
        <v>2034</v>
      </c>
      <c r="C4079" s="33" t="s">
        <v>109</v>
      </c>
      <c r="D4079" s="34" t="s">
        <v>1999</v>
      </c>
      <c r="E4079" s="35" t="str">
        <f t="shared" si="984"/>
        <v>PSNP'!</v>
      </c>
      <c r="F4079" s="34" t="str">
        <f t="shared" si="985"/>
        <v>C:\Users\jaime.benazar\Quorum Business Solutions\Ecopetrol Prometeo - Documents\Planning Space Implementation\3. Analysis &amp; Design\Design\FC22\DRR Jaime\QUIFA-CAJÚA\Cajua\[CAJUA_CF_SEC_New_27-Feb-2024Rev3.xlsx]D-PSNP'!</v>
      </c>
      <c r="G4079" s="32" t="s">
        <v>114</v>
      </c>
      <c r="H4079" s="33"/>
      <c r="I4079" s="33"/>
      <c r="J4079" s="37"/>
    </row>
    <row r="4080" spans="1:10" x14ac:dyDescent="0.25">
      <c r="A4080" s="32" t="s">
        <v>103</v>
      </c>
      <c r="B4080" s="32">
        <f t="shared" si="986"/>
        <v>2035</v>
      </c>
      <c r="C4080" s="33" t="s">
        <v>109</v>
      </c>
      <c r="D4080" s="34" t="s">
        <v>1999</v>
      </c>
      <c r="E4080" s="35" t="str">
        <f t="shared" si="984"/>
        <v>PSNP'!</v>
      </c>
      <c r="F4080" s="34" t="str">
        <f t="shared" si="985"/>
        <v>C:\Users\jaime.benazar\Quorum Business Solutions\Ecopetrol Prometeo - Documents\Planning Space Implementation\3. Analysis &amp; Design\Design\FC22\DRR Jaime\QUIFA-CAJÚA\Cajua\[CAJUA_CF_SEC_New_27-Feb-2024Rev3.xlsx]D-PSNP'!</v>
      </c>
      <c r="G4080" s="32" t="s">
        <v>114</v>
      </c>
      <c r="H4080" s="33"/>
      <c r="I4080" s="33"/>
      <c r="J4080" s="37"/>
    </row>
    <row r="4081" spans="1:10" x14ac:dyDescent="0.25">
      <c r="A4081" s="32" t="s">
        <v>103</v>
      </c>
      <c r="B4081" s="32">
        <f t="shared" si="986"/>
        <v>2036</v>
      </c>
      <c r="C4081" s="33" t="s">
        <v>109</v>
      </c>
      <c r="D4081" s="34" t="s">
        <v>1999</v>
      </c>
      <c r="E4081" s="35" t="str">
        <f t="shared" si="984"/>
        <v>PSNP'!</v>
      </c>
      <c r="F4081" s="34" t="str">
        <f t="shared" si="985"/>
        <v>C:\Users\jaime.benazar\Quorum Business Solutions\Ecopetrol Prometeo - Documents\Planning Space Implementation\3. Analysis &amp; Design\Design\FC22\DRR Jaime\QUIFA-CAJÚA\Cajua\[CAJUA_CF_SEC_New_27-Feb-2024Rev3.xlsx]D-PSNP'!</v>
      </c>
      <c r="G4081" s="32" t="s">
        <v>114</v>
      </c>
      <c r="H4081" s="33"/>
      <c r="I4081" s="33"/>
      <c r="J4081" s="37"/>
    </row>
    <row r="4082" spans="1:10" x14ac:dyDescent="0.25">
      <c r="A4082" s="32" t="s">
        <v>103</v>
      </c>
      <c r="B4082" s="32">
        <f>+B4081+1</f>
        <v>2037</v>
      </c>
      <c r="C4082" s="33" t="s">
        <v>109</v>
      </c>
      <c r="D4082" s="34" t="s">
        <v>1999</v>
      </c>
      <c r="E4082" s="35" t="str">
        <f t="shared" si="984"/>
        <v>PSNP'!</v>
      </c>
      <c r="F4082" s="34" t="str">
        <f t="shared" si="985"/>
        <v>C:\Users\jaime.benazar\Quorum Business Solutions\Ecopetrol Prometeo - Documents\Planning Space Implementation\3. Analysis &amp; Design\Design\FC22\DRR Jaime\QUIFA-CAJÚA\Cajua\[CAJUA_CF_SEC_New_27-Feb-2024Rev3.xlsx]D-PSNP'!</v>
      </c>
      <c r="G4082" s="32" t="s">
        <v>114</v>
      </c>
      <c r="H4082" s="33"/>
      <c r="I4082" s="33"/>
      <c r="J4082" s="37"/>
    </row>
    <row r="4083" spans="1:10" x14ac:dyDescent="0.25">
      <c r="A4083" s="32" t="s">
        <v>103</v>
      </c>
      <c r="B4083" s="32">
        <f t="shared" ref="B4083:B4085" si="987">+B4082+1</f>
        <v>2038</v>
      </c>
      <c r="C4083" s="33" t="s">
        <v>109</v>
      </c>
      <c r="D4083" s="34" t="s">
        <v>1999</v>
      </c>
      <c r="E4083" s="35" t="str">
        <f t="shared" si="984"/>
        <v>PSNP'!</v>
      </c>
      <c r="F4083" s="34" t="str">
        <f t="shared" si="985"/>
        <v>C:\Users\jaime.benazar\Quorum Business Solutions\Ecopetrol Prometeo - Documents\Planning Space Implementation\3. Analysis &amp; Design\Design\FC22\DRR Jaime\QUIFA-CAJÚA\Cajua\[CAJUA_CF_SEC_New_27-Feb-2024Rev3.xlsx]D-PSNP'!</v>
      </c>
      <c r="G4083" s="32" t="s">
        <v>114</v>
      </c>
      <c r="H4083" s="33"/>
      <c r="I4083" s="33"/>
      <c r="J4083" s="37"/>
    </row>
    <row r="4084" spans="1:10" x14ac:dyDescent="0.25">
      <c r="A4084" s="32" t="s">
        <v>103</v>
      </c>
      <c r="B4084" s="32">
        <f t="shared" si="987"/>
        <v>2039</v>
      </c>
      <c r="C4084" s="33" t="s">
        <v>109</v>
      </c>
      <c r="D4084" s="34" t="s">
        <v>1999</v>
      </c>
      <c r="E4084" s="35" t="str">
        <f t="shared" si="984"/>
        <v>PSNP'!</v>
      </c>
      <c r="F4084" s="34" t="str">
        <f t="shared" si="985"/>
        <v>C:\Users\jaime.benazar\Quorum Business Solutions\Ecopetrol Prometeo - Documents\Planning Space Implementation\3. Analysis &amp; Design\Design\FC22\DRR Jaime\QUIFA-CAJÚA\Cajua\[CAJUA_CF_SEC_New_27-Feb-2024Rev3.xlsx]D-PSNP'!</v>
      </c>
      <c r="G4084" s="32" t="s">
        <v>114</v>
      </c>
      <c r="H4084" s="33"/>
      <c r="I4084" s="33"/>
      <c r="J4084" s="37"/>
    </row>
    <row r="4085" spans="1:10" x14ac:dyDescent="0.25">
      <c r="A4085" s="32" t="s">
        <v>103</v>
      </c>
      <c r="B4085" s="32">
        <f t="shared" si="987"/>
        <v>2040</v>
      </c>
      <c r="C4085" s="33" t="s">
        <v>109</v>
      </c>
      <c r="D4085" s="34" t="s">
        <v>1999</v>
      </c>
      <c r="E4085" s="35" t="str">
        <f t="shared" si="984"/>
        <v>PSNP'!</v>
      </c>
      <c r="F4085" s="34" t="str">
        <f t="shared" si="985"/>
        <v>C:\Users\jaime.benazar\Quorum Business Solutions\Ecopetrol Prometeo - Documents\Planning Space Implementation\3. Analysis &amp; Design\Design\FC22\DRR Jaime\QUIFA-CAJÚA\Cajua\[CAJUA_CF_SEC_New_27-Feb-2024Rev3.xlsx]D-PSNP'!</v>
      </c>
      <c r="G4085" s="32" t="s">
        <v>114</v>
      </c>
      <c r="H4085" s="33"/>
      <c r="I4085" s="33"/>
      <c r="J4085" s="37"/>
    </row>
    <row r="4086" spans="1:10" x14ac:dyDescent="0.25">
      <c r="A4086" s="32" t="s">
        <v>103</v>
      </c>
      <c r="B4086" s="32">
        <f>+B4085+1</f>
        <v>2041</v>
      </c>
      <c r="C4086" s="33" t="s">
        <v>109</v>
      </c>
      <c r="D4086" s="34" t="s">
        <v>1999</v>
      </c>
      <c r="E4086" s="35" t="str">
        <f t="shared" si="984"/>
        <v>PSNP'!</v>
      </c>
      <c r="F4086" s="34" t="str">
        <f t="shared" si="985"/>
        <v>C:\Users\jaime.benazar\Quorum Business Solutions\Ecopetrol Prometeo - Documents\Planning Space Implementation\3. Analysis &amp; Design\Design\FC22\DRR Jaime\QUIFA-CAJÚA\Cajua\[CAJUA_CF_SEC_New_27-Feb-2024Rev3.xlsx]D-PSNP'!</v>
      </c>
      <c r="G4086" s="32" t="s">
        <v>114</v>
      </c>
      <c r="H4086" s="33"/>
      <c r="I4086" s="33"/>
      <c r="J4086" s="37"/>
    </row>
    <row r="4087" spans="1:10" x14ac:dyDescent="0.25">
      <c r="A4087" s="32" t="s">
        <v>103</v>
      </c>
      <c r="B4087" s="32">
        <f t="shared" ref="B4087:B4088" si="988">+B4086+1</f>
        <v>2042</v>
      </c>
      <c r="C4087" s="33" t="s">
        <v>109</v>
      </c>
      <c r="D4087" s="34" t="s">
        <v>1999</v>
      </c>
      <c r="E4087" s="35" t="str">
        <f t="shared" si="984"/>
        <v>PSNP'!</v>
      </c>
      <c r="F4087" s="34" t="str">
        <f t="shared" si="985"/>
        <v>C:\Users\jaime.benazar\Quorum Business Solutions\Ecopetrol Prometeo - Documents\Planning Space Implementation\3. Analysis &amp; Design\Design\FC22\DRR Jaime\QUIFA-CAJÚA\Cajua\[CAJUA_CF_SEC_New_27-Feb-2024Rev3.xlsx]D-PSNP'!</v>
      </c>
      <c r="G4087" s="32" t="s">
        <v>114</v>
      </c>
      <c r="H4087" s="33"/>
      <c r="I4087" s="33"/>
      <c r="J4087" s="37"/>
    </row>
    <row r="4088" spans="1:10" x14ac:dyDescent="0.25">
      <c r="A4088" s="32" t="s">
        <v>103</v>
      </c>
      <c r="B4088" s="32">
        <f t="shared" si="988"/>
        <v>2043</v>
      </c>
      <c r="C4088" s="33" t="s">
        <v>109</v>
      </c>
      <c r="D4088" s="34" t="s">
        <v>1999</v>
      </c>
      <c r="E4088" s="35" t="str">
        <f t="shared" si="984"/>
        <v>PSNP'!</v>
      </c>
      <c r="F4088" s="34" t="str">
        <f t="shared" si="985"/>
        <v>C:\Users\jaime.benazar\Quorum Business Solutions\Ecopetrol Prometeo - Documents\Planning Space Implementation\3. Analysis &amp; Design\Design\FC22\DRR Jaime\QUIFA-CAJÚA\Cajua\[CAJUA_CF_SEC_New_27-Feb-2024Rev3.xlsx]D-PSNP'!</v>
      </c>
      <c r="G4088" s="32" t="s">
        <v>114</v>
      </c>
      <c r="H4088" s="33"/>
      <c r="I4088" s="33"/>
      <c r="J4088" s="37"/>
    </row>
    <row r="4089" spans="1:10" x14ac:dyDescent="0.25">
      <c r="A4089" s="32" t="s">
        <v>103</v>
      </c>
      <c r="B4089" s="32">
        <f>+B4088+1</f>
        <v>2044</v>
      </c>
      <c r="C4089" s="33" t="s">
        <v>109</v>
      </c>
      <c r="D4089" s="34" t="s">
        <v>1999</v>
      </c>
      <c r="E4089" s="35" t="str">
        <f t="shared" ref="E4089:E4104" si="989">_xlfn.CONCAT(A4089,"'!")</f>
        <v>PSNP'!</v>
      </c>
      <c r="F4089" s="34" t="str">
        <f t="shared" ref="F4089:F4104" si="990">_xlfn.CONCAT(D4089:E4089)</f>
        <v>C:\Users\jaime.benazar\Quorum Business Solutions\Ecopetrol Prometeo - Documents\Planning Space Implementation\3. Analysis &amp; Design\Design\FC22\DRR Jaime\QUIFA-CAJÚA\Cajua\[CAJUA_CF_SEC_New_27-Feb-2024Rev3.xlsx]D-PSNP'!</v>
      </c>
      <c r="G4089" s="32" t="s">
        <v>114</v>
      </c>
      <c r="H4089" s="33"/>
      <c r="I4089" s="33"/>
      <c r="J4089" s="37"/>
    </row>
    <row r="4090" spans="1:10" x14ac:dyDescent="0.25">
      <c r="A4090" s="32" t="s">
        <v>103</v>
      </c>
      <c r="B4090" s="32">
        <f t="shared" ref="B4090:B4104" si="991">+B4089+1</f>
        <v>2045</v>
      </c>
      <c r="C4090" s="33" t="s">
        <v>109</v>
      </c>
      <c r="D4090" s="34" t="s">
        <v>1999</v>
      </c>
      <c r="E4090" s="35" t="str">
        <f t="shared" si="989"/>
        <v>PSNP'!</v>
      </c>
      <c r="F4090" s="34" t="str">
        <f t="shared" si="990"/>
        <v>C:\Users\jaime.benazar\Quorum Business Solutions\Ecopetrol Prometeo - Documents\Planning Space Implementation\3. Analysis &amp; Design\Design\FC22\DRR Jaime\QUIFA-CAJÚA\Cajua\[CAJUA_CF_SEC_New_27-Feb-2024Rev3.xlsx]D-PSNP'!</v>
      </c>
      <c r="G4090" s="32" t="s">
        <v>114</v>
      </c>
      <c r="H4090" s="33"/>
      <c r="I4090" s="33"/>
      <c r="J4090" s="37"/>
    </row>
    <row r="4091" spans="1:10" x14ac:dyDescent="0.25">
      <c r="A4091" s="32" t="s">
        <v>103</v>
      </c>
      <c r="B4091" s="32">
        <f t="shared" si="991"/>
        <v>2046</v>
      </c>
      <c r="C4091" s="33" t="s">
        <v>109</v>
      </c>
      <c r="D4091" s="34" t="s">
        <v>1999</v>
      </c>
      <c r="E4091" s="35" t="str">
        <f t="shared" si="989"/>
        <v>PSNP'!</v>
      </c>
      <c r="F4091" s="34" t="str">
        <f t="shared" si="990"/>
        <v>C:\Users\jaime.benazar\Quorum Business Solutions\Ecopetrol Prometeo - Documents\Planning Space Implementation\3. Analysis &amp; Design\Design\FC22\DRR Jaime\QUIFA-CAJÚA\Cajua\[CAJUA_CF_SEC_New_27-Feb-2024Rev3.xlsx]D-PSNP'!</v>
      </c>
      <c r="G4091" s="32" t="s">
        <v>114</v>
      </c>
      <c r="H4091" s="33"/>
      <c r="I4091" s="33"/>
      <c r="J4091" s="37"/>
    </row>
    <row r="4092" spans="1:10" x14ac:dyDescent="0.25">
      <c r="A4092" s="32" t="s">
        <v>103</v>
      </c>
      <c r="B4092" s="32">
        <f t="shared" si="991"/>
        <v>2047</v>
      </c>
      <c r="C4092" s="33" t="s">
        <v>109</v>
      </c>
      <c r="D4092" s="34" t="s">
        <v>1999</v>
      </c>
      <c r="E4092" s="35" t="str">
        <f t="shared" si="989"/>
        <v>PSNP'!</v>
      </c>
      <c r="F4092" s="34" t="str">
        <f t="shared" si="990"/>
        <v>C:\Users\jaime.benazar\Quorum Business Solutions\Ecopetrol Prometeo - Documents\Planning Space Implementation\3. Analysis &amp; Design\Design\FC22\DRR Jaime\QUIFA-CAJÚA\Cajua\[CAJUA_CF_SEC_New_27-Feb-2024Rev3.xlsx]D-PSNP'!</v>
      </c>
      <c r="G4092" s="32" t="s">
        <v>114</v>
      </c>
      <c r="H4092" s="33"/>
      <c r="I4092" s="33"/>
      <c r="J4092" s="37"/>
    </row>
    <row r="4093" spans="1:10" x14ac:dyDescent="0.25">
      <c r="A4093" s="32" t="s">
        <v>103</v>
      </c>
      <c r="B4093" s="32">
        <f t="shared" si="991"/>
        <v>2048</v>
      </c>
      <c r="C4093" s="33" t="s">
        <v>109</v>
      </c>
      <c r="D4093" s="34" t="s">
        <v>1999</v>
      </c>
      <c r="E4093" s="35" t="str">
        <f t="shared" si="989"/>
        <v>PSNP'!</v>
      </c>
      <c r="F4093" s="34" t="str">
        <f t="shared" si="990"/>
        <v>C:\Users\jaime.benazar\Quorum Business Solutions\Ecopetrol Prometeo - Documents\Planning Space Implementation\3. Analysis &amp; Design\Design\FC22\DRR Jaime\QUIFA-CAJÚA\Cajua\[CAJUA_CF_SEC_New_27-Feb-2024Rev3.xlsx]D-PSNP'!</v>
      </c>
      <c r="G4093" s="32" t="s">
        <v>114</v>
      </c>
      <c r="H4093" s="33"/>
      <c r="I4093" s="33"/>
      <c r="J4093" s="37"/>
    </row>
    <row r="4094" spans="1:10" x14ac:dyDescent="0.25">
      <c r="A4094" s="32" t="s">
        <v>103</v>
      </c>
      <c r="B4094" s="32">
        <f t="shared" si="991"/>
        <v>2049</v>
      </c>
      <c r="C4094" s="33" t="s">
        <v>109</v>
      </c>
      <c r="D4094" s="34" t="s">
        <v>1999</v>
      </c>
      <c r="E4094" s="35" t="str">
        <f t="shared" si="989"/>
        <v>PSNP'!</v>
      </c>
      <c r="F4094" s="34" t="str">
        <f t="shared" si="990"/>
        <v>C:\Users\jaime.benazar\Quorum Business Solutions\Ecopetrol Prometeo - Documents\Planning Space Implementation\3. Analysis &amp; Design\Design\FC22\DRR Jaime\QUIFA-CAJÚA\Cajua\[CAJUA_CF_SEC_New_27-Feb-2024Rev3.xlsx]D-PSNP'!</v>
      </c>
      <c r="G4094" s="32" t="s">
        <v>114</v>
      </c>
      <c r="H4094" s="33"/>
      <c r="I4094" s="33"/>
      <c r="J4094" s="37"/>
    </row>
    <row r="4095" spans="1:10" x14ac:dyDescent="0.25">
      <c r="A4095" s="32" t="s">
        <v>103</v>
      </c>
      <c r="B4095" s="32">
        <f t="shared" si="991"/>
        <v>2050</v>
      </c>
      <c r="C4095" s="33" t="s">
        <v>109</v>
      </c>
      <c r="D4095" s="34" t="s">
        <v>1999</v>
      </c>
      <c r="E4095" s="35" t="str">
        <f t="shared" si="989"/>
        <v>PSNP'!</v>
      </c>
      <c r="F4095" s="34" t="str">
        <f t="shared" si="990"/>
        <v>C:\Users\jaime.benazar\Quorum Business Solutions\Ecopetrol Prometeo - Documents\Planning Space Implementation\3. Analysis &amp; Design\Design\FC22\DRR Jaime\QUIFA-CAJÚA\Cajua\[CAJUA_CF_SEC_New_27-Feb-2024Rev3.xlsx]D-PSNP'!</v>
      </c>
      <c r="G4095" s="32" t="s">
        <v>114</v>
      </c>
      <c r="H4095" s="33"/>
      <c r="I4095" s="33"/>
      <c r="J4095" s="37"/>
    </row>
    <row r="4096" spans="1:10" x14ac:dyDescent="0.25">
      <c r="A4096" s="32" t="s">
        <v>103</v>
      </c>
      <c r="B4096" s="32">
        <f t="shared" si="991"/>
        <v>2051</v>
      </c>
      <c r="C4096" s="33" t="s">
        <v>109</v>
      </c>
      <c r="D4096" s="34" t="s">
        <v>1999</v>
      </c>
      <c r="E4096" s="35" t="str">
        <f t="shared" si="989"/>
        <v>PSNP'!</v>
      </c>
      <c r="F4096" s="34" t="str">
        <f t="shared" si="990"/>
        <v>C:\Users\jaime.benazar\Quorum Business Solutions\Ecopetrol Prometeo - Documents\Planning Space Implementation\3. Analysis &amp; Design\Design\FC22\DRR Jaime\QUIFA-CAJÚA\Cajua\[CAJUA_CF_SEC_New_27-Feb-2024Rev3.xlsx]D-PSNP'!</v>
      </c>
      <c r="G4096" s="32" t="s">
        <v>114</v>
      </c>
      <c r="H4096" s="33"/>
      <c r="I4096" s="33"/>
      <c r="J4096" s="37"/>
    </row>
    <row r="4097" spans="1:10" x14ac:dyDescent="0.25">
      <c r="A4097" s="32" t="s">
        <v>103</v>
      </c>
      <c r="B4097" s="32">
        <f t="shared" si="991"/>
        <v>2052</v>
      </c>
      <c r="C4097" s="33" t="s">
        <v>109</v>
      </c>
      <c r="D4097" s="34" t="s">
        <v>1999</v>
      </c>
      <c r="E4097" s="35" t="str">
        <f t="shared" si="989"/>
        <v>PSNP'!</v>
      </c>
      <c r="F4097" s="34" t="str">
        <f t="shared" si="990"/>
        <v>C:\Users\jaime.benazar\Quorum Business Solutions\Ecopetrol Prometeo - Documents\Planning Space Implementation\3. Analysis &amp; Design\Design\FC22\DRR Jaime\QUIFA-CAJÚA\Cajua\[CAJUA_CF_SEC_New_27-Feb-2024Rev3.xlsx]D-PSNP'!</v>
      </c>
      <c r="G4097" s="32" t="s">
        <v>114</v>
      </c>
      <c r="H4097" s="33"/>
      <c r="I4097" s="33"/>
      <c r="J4097" s="37"/>
    </row>
    <row r="4098" spans="1:10" x14ac:dyDescent="0.25">
      <c r="A4098" s="32" t="s">
        <v>103</v>
      </c>
      <c r="B4098" s="32">
        <f t="shared" si="991"/>
        <v>2053</v>
      </c>
      <c r="C4098" s="33" t="s">
        <v>109</v>
      </c>
      <c r="D4098" s="34" t="s">
        <v>1999</v>
      </c>
      <c r="E4098" s="35" t="str">
        <f t="shared" si="989"/>
        <v>PSNP'!</v>
      </c>
      <c r="F4098" s="34" t="str">
        <f t="shared" si="990"/>
        <v>C:\Users\jaime.benazar\Quorum Business Solutions\Ecopetrol Prometeo - Documents\Planning Space Implementation\3. Analysis &amp; Design\Design\FC22\DRR Jaime\QUIFA-CAJÚA\Cajua\[CAJUA_CF_SEC_New_27-Feb-2024Rev3.xlsx]D-PSNP'!</v>
      </c>
      <c r="G4098" s="32" t="s">
        <v>114</v>
      </c>
      <c r="H4098" s="33"/>
      <c r="I4098" s="33"/>
      <c r="J4098" s="37"/>
    </row>
    <row r="4099" spans="1:10" x14ac:dyDescent="0.25">
      <c r="A4099" s="32" t="s">
        <v>103</v>
      </c>
      <c r="B4099" s="32">
        <f t="shared" si="991"/>
        <v>2054</v>
      </c>
      <c r="C4099" s="33" t="s">
        <v>109</v>
      </c>
      <c r="D4099" s="34" t="s">
        <v>1999</v>
      </c>
      <c r="E4099" s="35" t="str">
        <f t="shared" si="989"/>
        <v>PSNP'!</v>
      </c>
      <c r="F4099" s="34" t="str">
        <f t="shared" si="990"/>
        <v>C:\Users\jaime.benazar\Quorum Business Solutions\Ecopetrol Prometeo - Documents\Planning Space Implementation\3. Analysis &amp; Design\Design\FC22\DRR Jaime\QUIFA-CAJÚA\Cajua\[CAJUA_CF_SEC_New_27-Feb-2024Rev3.xlsx]D-PSNP'!</v>
      </c>
      <c r="G4099" s="32" t="s">
        <v>114</v>
      </c>
      <c r="H4099" s="33"/>
      <c r="I4099" s="33"/>
      <c r="J4099" s="37"/>
    </row>
    <row r="4100" spans="1:10" x14ac:dyDescent="0.25">
      <c r="A4100" s="32" t="s">
        <v>103</v>
      </c>
      <c r="B4100" s="32">
        <f t="shared" si="991"/>
        <v>2055</v>
      </c>
      <c r="C4100" s="33" t="s">
        <v>109</v>
      </c>
      <c r="D4100" s="34" t="s">
        <v>1999</v>
      </c>
      <c r="E4100" s="35" t="str">
        <f t="shared" si="989"/>
        <v>PSNP'!</v>
      </c>
      <c r="F4100" s="34" t="str">
        <f t="shared" si="990"/>
        <v>C:\Users\jaime.benazar\Quorum Business Solutions\Ecopetrol Prometeo - Documents\Planning Space Implementation\3. Analysis &amp; Design\Design\FC22\DRR Jaime\QUIFA-CAJÚA\Cajua\[CAJUA_CF_SEC_New_27-Feb-2024Rev3.xlsx]D-PSNP'!</v>
      </c>
      <c r="G4100" s="32" t="s">
        <v>114</v>
      </c>
      <c r="H4100" s="33"/>
      <c r="I4100" s="33"/>
      <c r="J4100" s="37"/>
    </row>
    <row r="4101" spans="1:10" x14ac:dyDescent="0.25">
      <c r="A4101" s="32" t="s">
        <v>103</v>
      </c>
      <c r="B4101" s="32">
        <f t="shared" si="991"/>
        <v>2056</v>
      </c>
      <c r="C4101" s="33" t="s">
        <v>109</v>
      </c>
      <c r="D4101" s="34" t="s">
        <v>1999</v>
      </c>
      <c r="E4101" s="35" t="str">
        <f t="shared" si="989"/>
        <v>PSNP'!</v>
      </c>
      <c r="F4101" s="34" t="str">
        <f t="shared" si="990"/>
        <v>C:\Users\jaime.benazar\Quorum Business Solutions\Ecopetrol Prometeo - Documents\Planning Space Implementation\3. Analysis &amp; Design\Design\FC22\DRR Jaime\QUIFA-CAJÚA\Cajua\[CAJUA_CF_SEC_New_27-Feb-2024Rev3.xlsx]D-PSNP'!</v>
      </c>
      <c r="G4101" s="32" t="s">
        <v>114</v>
      </c>
      <c r="H4101" s="33"/>
      <c r="I4101" s="33"/>
      <c r="J4101" s="37"/>
    </row>
    <row r="4102" spans="1:10" x14ac:dyDescent="0.25">
      <c r="A4102" s="32" t="s">
        <v>103</v>
      </c>
      <c r="B4102" s="32">
        <f t="shared" si="991"/>
        <v>2057</v>
      </c>
      <c r="C4102" s="33" t="s">
        <v>109</v>
      </c>
      <c r="D4102" s="34" t="s">
        <v>1999</v>
      </c>
      <c r="E4102" s="35" t="str">
        <f t="shared" si="989"/>
        <v>PSNP'!</v>
      </c>
      <c r="F4102" s="34" t="str">
        <f t="shared" si="990"/>
        <v>C:\Users\jaime.benazar\Quorum Business Solutions\Ecopetrol Prometeo - Documents\Planning Space Implementation\3. Analysis &amp; Design\Design\FC22\DRR Jaime\QUIFA-CAJÚA\Cajua\[CAJUA_CF_SEC_New_27-Feb-2024Rev3.xlsx]D-PSNP'!</v>
      </c>
      <c r="G4102" s="32" t="s">
        <v>114</v>
      </c>
      <c r="H4102" s="33"/>
      <c r="I4102" s="33"/>
      <c r="J4102" s="37"/>
    </row>
    <row r="4103" spans="1:10" x14ac:dyDescent="0.25">
      <c r="A4103" s="32" t="s">
        <v>103</v>
      </c>
      <c r="B4103" s="32">
        <f t="shared" si="991"/>
        <v>2058</v>
      </c>
      <c r="C4103" s="33" t="s">
        <v>109</v>
      </c>
      <c r="D4103" s="34" t="s">
        <v>1999</v>
      </c>
      <c r="E4103" s="35" t="str">
        <f t="shared" si="989"/>
        <v>PSNP'!</v>
      </c>
      <c r="F4103" s="34" t="str">
        <f t="shared" si="990"/>
        <v>C:\Users\jaime.benazar\Quorum Business Solutions\Ecopetrol Prometeo - Documents\Planning Space Implementation\3. Analysis &amp; Design\Design\FC22\DRR Jaime\QUIFA-CAJÚA\Cajua\[CAJUA_CF_SEC_New_27-Feb-2024Rev3.xlsx]D-PSNP'!</v>
      </c>
      <c r="G4103" s="32" t="s">
        <v>114</v>
      </c>
      <c r="H4103" s="33"/>
      <c r="I4103" s="33"/>
      <c r="J4103" s="37"/>
    </row>
    <row r="4104" spans="1:10" x14ac:dyDescent="0.25">
      <c r="A4104" s="32" t="s">
        <v>103</v>
      </c>
      <c r="B4104" s="32">
        <f t="shared" si="991"/>
        <v>2059</v>
      </c>
      <c r="C4104" s="33" t="s">
        <v>109</v>
      </c>
      <c r="D4104" s="34" t="s">
        <v>1999</v>
      </c>
      <c r="E4104" s="35" t="str">
        <f t="shared" si="989"/>
        <v>PSNP'!</v>
      </c>
      <c r="F4104" s="34" t="str">
        <f t="shared" si="990"/>
        <v>C:\Users\jaime.benazar\Quorum Business Solutions\Ecopetrol Prometeo - Documents\Planning Space Implementation\3. Analysis &amp; Design\Design\FC22\DRR Jaime\QUIFA-CAJÚA\Cajua\[CAJUA_CF_SEC_New_27-Feb-2024Rev3.xlsx]D-PSNP'!</v>
      </c>
      <c r="G4104" s="32" t="s">
        <v>114</v>
      </c>
      <c r="H4104" s="33"/>
      <c r="I4104" s="33"/>
      <c r="J4104" s="37"/>
    </row>
    <row r="4105" spans="1:10" x14ac:dyDescent="0.25">
      <c r="A4105" s="32" t="s">
        <v>28</v>
      </c>
      <c r="B4105" s="32"/>
      <c r="C4105" s="33" t="s">
        <v>109</v>
      </c>
      <c r="D4105" s="34"/>
      <c r="E4105" s="35"/>
      <c r="F4105" s="34"/>
      <c r="G4105" s="32"/>
      <c r="H4105" s="33"/>
      <c r="I4105" s="33"/>
      <c r="J4105" s="36"/>
    </row>
    <row r="4106" spans="1:10" x14ac:dyDescent="0.25">
      <c r="A4106" s="32" t="s">
        <v>104</v>
      </c>
      <c r="B4106" s="32">
        <v>2023</v>
      </c>
      <c r="C4106" s="33" t="s">
        <v>109</v>
      </c>
      <c r="D4106" s="34" t="s">
        <v>1999</v>
      </c>
      <c r="E4106" s="35" t="str">
        <f t="shared" ref="E4106:E4126" si="992">_xlfn.CONCAT(A4106,"'!")</f>
        <v>PSND'!</v>
      </c>
      <c r="F4106" s="34" t="str">
        <f t="shared" ref="F4106:F4126" si="993">_xlfn.CONCAT(D4106:E4106)</f>
        <v>C:\Users\jaime.benazar\Quorum Business Solutions\Ecopetrol Prometeo - Documents\Planning Space Implementation\3. Analysis &amp; Design\Design\FC22\DRR Jaime\QUIFA-CAJÚA\Cajua\[CAJUA_CF_SEC_New_27-Feb-2024Rev3.xlsx]D-PSND'!</v>
      </c>
      <c r="G4106" s="32" t="s">
        <v>114</v>
      </c>
      <c r="H4106" s="33"/>
      <c r="I4106" s="33"/>
      <c r="J4106" s="37"/>
    </row>
    <row r="4107" spans="1:10" x14ac:dyDescent="0.25">
      <c r="A4107" s="32" t="s">
        <v>104</v>
      </c>
      <c r="B4107" s="32">
        <f>+B4106+1</f>
        <v>2024</v>
      </c>
      <c r="C4107" s="33" t="s">
        <v>109</v>
      </c>
      <c r="D4107" s="34" t="s">
        <v>1999</v>
      </c>
      <c r="E4107" s="35" t="str">
        <f t="shared" si="992"/>
        <v>PSND'!</v>
      </c>
      <c r="F4107" s="34" t="str">
        <f t="shared" si="993"/>
        <v>C:\Users\jaime.benazar\Quorum Business Solutions\Ecopetrol Prometeo - Documents\Planning Space Implementation\3. Analysis &amp; Design\Design\FC22\DRR Jaime\QUIFA-CAJÚA\Cajua\[CAJUA_CF_SEC_New_27-Feb-2024Rev3.xlsx]D-PSND'!</v>
      </c>
      <c r="G4107" s="32" t="s">
        <v>114</v>
      </c>
      <c r="H4107" s="33"/>
      <c r="I4107" s="33"/>
      <c r="J4107" s="37"/>
    </row>
    <row r="4108" spans="1:10" x14ac:dyDescent="0.25">
      <c r="A4108" s="32" t="s">
        <v>104</v>
      </c>
      <c r="B4108" s="32">
        <f t="shared" ref="B4108:B4119" si="994">+B4107+1</f>
        <v>2025</v>
      </c>
      <c r="C4108" s="33" t="s">
        <v>109</v>
      </c>
      <c r="D4108" s="34" t="s">
        <v>1999</v>
      </c>
      <c r="E4108" s="35" t="str">
        <f t="shared" si="992"/>
        <v>PSND'!</v>
      </c>
      <c r="F4108" s="34" t="str">
        <f t="shared" si="993"/>
        <v>C:\Users\jaime.benazar\Quorum Business Solutions\Ecopetrol Prometeo - Documents\Planning Space Implementation\3. Analysis &amp; Design\Design\FC22\DRR Jaime\QUIFA-CAJÚA\Cajua\[CAJUA_CF_SEC_New_27-Feb-2024Rev3.xlsx]D-PSND'!</v>
      </c>
      <c r="G4108" s="32" t="s">
        <v>114</v>
      </c>
      <c r="H4108" s="33"/>
      <c r="I4108" s="33"/>
      <c r="J4108" s="37"/>
    </row>
    <row r="4109" spans="1:10" x14ac:dyDescent="0.25">
      <c r="A4109" s="32" t="s">
        <v>104</v>
      </c>
      <c r="B4109" s="32">
        <f t="shared" si="994"/>
        <v>2026</v>
      </c>
      <c r="C4109" s="33" t="s">
        <v>109</v>
      </c>
      <c r="D4109" s="34" t="s">
        <v>1999</v>
      </c>
      <c r="E4109" s="35" t="str">
        <f t="shared" si="992"/>
        <v>PSND'!</v>
      </c>
      <c r="F4109" s="34" t="str">
        <f t="shared" si="993"/>
        <v>C:\Users\jaime.benazar\Quorum Business Solutions\Ecopetrol Prometeo - Documents\Planning Space Implementation\3. Analysis &amp; Design\Design\FC22\DRR Jaime\QUIFA-CAJÚA\Cajua\[CAJUA_CF_SEC_New_27-Feb-2024Rev3.xlsx]D-PSND'!</v>
      </c>
      <c r="G4109" s="32" t="s">
        <v>114</v>
      </c>
      <c r="H4109" s="33"/>
      <c r="I4109" s="33"/>
      <c r="J4109" s="37"/>
    </row>
    <row r="4110" spans="1:10" x14ac:dyDescent="0.25">
      <c r="A4110" s="32" t="s">
        <v>104</v>
      </c>
      <c r="B4110" s="32">
        <f t="shared" si="994"/>
        <v>2027</v>
      </c>
      <c r="C4110" s="33" t="s">
        <v>109</v>
      </c>
      <c r="D4110" s="34" t="s">
        <v>1999</v>
      </c>
      <c r="E4110" s="35" t="str">
        <f t="shared" si="992"/>
        <v>PSND'!</v>
      </c>
      <c r="F4110" s="34" t="str">
        <f t="shared" si="993"/>
        <v>C:\Users\jaime.benazar\Quorum Business Solutions\Ecopetrol Prometeo - Documents\Planning Space Implementation\3. Analysis &amp; Design\Design\FC22\DRR Jaime\QUIFA-CAJÚA\Cajua\[CAJUA_CF_SEC_New_27-Feb-2024Rev3.xlsx]D-PSND'!</v>
      </c>
      <c r="G4110" s="32" t="s">
        <v>114</v>
      </c>
      <c r="H4110" s="33"/>
      <c r="I4110" s="33"/>
      <c r="J4110" s="37"/>
    </row>
    <row r="4111" spans="1:10" x14ac:dyDescent="0.25">
      <c r="A4111" s="32" t="s">
        <v>104</v>
      </c>
      <c r="B4111" s="32">
        <f t="shared" si="994"/>
        <v>2028</v>
      </c>
      <c r="C4111" s="33" t="s">
        <v>109</v>
      </c>
      <c r="D4111" s="34" t="s">
        <v>1999</v>
      </c>
      <c r="E4111" s="35" t="str">
        <f t="shared" si="992"/>
        <v>PSND'!</v>
      </c>
      <c r="F4111" s="34" t="str">
        <f t="shared" si="993"/>
        <v>C:\Users\jaime.benazar\Quorum Business Solutions\Ecopetrol Prometeo - Documents\Planning Space Implementation\3. Analysis &amp; Design\Design\FC22\DRR Jaime\QUIFA-CAJÚA\Cajua\[CAJUA_CF_SEC_New_27-Feb-2024Rev3.xlsx]D-PSND'!</v>
      </c>
      <c r="G4111" s="32" t="s">
        <v>114</v>
      </c>
      <c r="H4111" s="33"/>
      <c r="I4111" s="33"/>
      <c r="J4111" s="37"/>
    </row>
    <row r="4112" spans="1:10" x14ac:dyDescent="0.25">
      <c r="A4112" s="32" t="s">
        <v>104</v>
      </c>
      <c r="B4112" s="32">
        <f t="shared" si="994"/>
        <v>2029</v>
      </c>
      <c r="C4112" s="33" t="s">
        <v>109</v>
      </c>
      <c r="D4112" s="34" t="s">
        <v>1999</v>
      </c>
      <c r="E4112" s="35" t="str">
        <f t="shared" si="992"/>
        <v>PSND'!</v>
      </c>
      <c r="F4112" s="34" t="str">
        <f t="shared" si="993"/>
        <v>C:\Users\jaime.benazar\Quorum Business Solutions\Ecopetrol Prometeo - Documents\Planning Space Implementation\3. Analysis &amp; Design\Design\FC22\DRR Jaime\QUIFA-CAJÚA\Cajua\[CAJUA_CF_SEC_New_27-Feb-2024Rev3.xlsx]D-PSND'!</v>
      </c>
      <c r="G4112" s="32" t="s">
        <v>114</v>
      </c>
      <c r="H4112" s="33"/>
      <c r="I4112" s="33"/>
      <c r="J4112" s="37"/>
    </row>
    <row r="4113" spans="1:10" x14ac:dyDescent="0.25">
      <c r="A4113" s="32" t="s">
        <v>104</v>
      </c>
      <c r="B4113" s="32">
        <f t="shared" si="994"/>
        <v>2030</v>
      </c>
      <c r="C4113" s="33" t="s">
        <v>109</v>
      </c>
      <c r="D4113" s="34" t="s">
        <v>1999</v>
      </c>
      <c r="E4113" s="35" t="str">
        <f t="shared" si="992"/>
        <v>PSND'!</v>
      </c>
      <c r="F4113" s="34" t="str">
        <f t="shared" si="993"/>
        <v>C:\Users\jaime.benazar\Quorum Business Solutions\Ecopetrol Prometeo - Documents\Planning Space Implementation\3. Analysis &amp; Design\Design\FC22\DRR Jaime\QUIFA-CAJÚA\Cajua\[CAJUA_CF_SEC_New_27-Feb-2024Rev3.xlsx]D-PSND'!</v>
      </c>
      <c r="G4113" s="32" t="s">
        <v>114</v>
      </c>
      <c r="H4113" s="33"/>
      <c r="I4113" s="33"/>
      <c r="J4113" s="37"/>
    </row>
    <row r="4114" spans="1:10" x14ac:dyDescent="0.25">
      <c r="A4114" s="32" t="s">
        <v>104</v>
      </c>
      <c r="B4114" s="32">
        <f t="shared" si="994"/>
        <v>2031</v>
      </c>
      <c r="C4114" s="33" t="s">
        <v>109</v>
      </c>
      <c r="D4114" s="34" t="s">
        <v>1999</v>
      </c>
      <c r="E4114" s="35" t="str">
        <f t="shared" si="992"/>
        <v>PSND'!</v>
      </c>
      <c r="F4114" s="34" t="str">
        <f t="shared" si="993"/>
        <v>C:\Users\jaime.benazar\Quorum Business Solutions\Ecopetrol Prometeo - Documents\Planning Space Implementation\3. Analysis &amp; Design\Design\FC22\DRR Jaime\QUIFA-CAJÚA\Cajua\[CAJUA_CF_SEC_New_27-Feb-2024Rev3.xlsx]D-PSND'!</v>
      </c>
      <c r="G4114" s="32" t="s">
        <v>114</v>
      </c>
      <c r="H4114" s="33"/>
      <c r="I4114" s="33"/>
      <c r="J4114" s="37"/>
    </row>
    <row r="4115" spans="1:10" x14ac:dyDescent="0.25">
      <c r="A4115" s="32" t="s">
        <v>104</v>
      </c>
      <c r="B4115" s="32">
        <f t="shared" si="994"/>
        <v>2032</v>
      </c>
      <c r="C4115" s="33" t="s">
        <v>109</v>
      </c>
      <c r="D4115" s="34" t="s">
        <v>1999</v>
      </c>
      <c r="E4115" s="35" t="str">
        <f t="shared" si="992"/>
        <v>PSND'!</v>
      </c>
      <c r="F4115" s="34" t="str">
        <f t="shared" si="993"/>
        <v>C:\Users\jaime.benazar\Quorum Business Solutions\Ecopetrol Prometeo - Documents\Planning Space Implementation\3. Analysis &amp; Design\Design\FC22\DRR Jaime\QUIFA-CAJÚA\Cajua\[CAJUA_CF_SEC_New_27-Feb-2024Rev3.xlsx]D-PSND'!</v>
      </c>
      <c r="G4115" s="32" t="s">
        <v>114</v>
      </c>
      <c r="H4115" s="33"/>
      <c r="I4115" s="33"/>
      <c r="J4115" s="37"/>
    </row>
    <row r="4116" spans="1:10" x14ac:dyDescent="0.25">
      <c r="A4116" s="32" t="s">
        <v>104</v>
      </c>
      <c r="B4116" s="32">
        <f t="shared" si="994"/>
        <v>2033</v>
      </c>
      <c r="C4116" s="33" t="s">
        <v>109</v>
      </c>
      <c r="D4116" s="34" t="s">
        <v>1999</v>
      </c>
      <c r="E4116" s="35" t="str">
        <f t="shared" si="992"/>
        <v>PSND'!</v>
      </c>
      <c r="F4116" s="34" t="str">
        <f t="shared" si="993"/>
        <v>C:\Users\jaime.benazar\Quorum Business Solutions\Ecopetrol Prometeo - Documents\Planning Space Implementation\3. Analysis &amp; Design\Design\FC22\DRR Jaime\QUIFA-CAJÚA\Cajua\[CAJUA_CF_SEC_New_27-Feb-2024Rev3.xlsx]D-PSND'!</v>
      </c>
      <c r="G4116" s="32" t="s">
        <v>114</v>
      </c>
      <c r="H4116" s="33"/>
      <c r="I4116" s="33"/>
      <c r="J4116" s="37"/>
    </row>
    <row r="4117" spans="1:10" x14ac:dyDescent="0.25">
      <c r="A4117" s="32" t="s">
        <v>104</v>
      </c>
      <c r="B4117" s="32">
        <f t="shared" si="994"/>
        <v>2034</v>
      </c>
      <c r="C4117" s="33" t="s">
        <v>109</v>
      </c>
      <c r="D4117" s="34" t="s">
        <v>1999</v>
      </c>
      <c r="E4117" s="35" t="str">
        <f t="shared" si="992"/>
        <v>PSND'!</v>
      </c>
      <c r="F4117" s="34" t="str">
        <f t="shared" si="993"/>
        <v>C:\Users\jaime.benazar\Quorum Business Solutions\Ecopetrol Prometeo - Documents\Planning Space Implementation\3. Analysis &amp; Design\Design\FC22\DRR Jaime\QUIFA-CAJÚA\Cajua\[CAJUA_CF_SEC_New_27-Feb-2024Rev3.xlsx]D-PSND'!</v>
      </c>
      <c r="G4117" s="32" t="s">
        <v>114</v>
      </c>
      <c r="H4117" s="33"/>
      <c r="I4117" s="33"/>
      <c r="J4117" s="37"/>
    </row>
    <row r="4118" spans="1:10" x14ac:dyDescent="0.25">
      <c r="A4118" s="32" t="s">
        <v>104</v>
      </c>
      <c r="B4118" s="32">
        <f t="shared" si="994"/>
        <v>2035</v>
      </c>
      <c r="C4118" s="33" t="s">
        <v>109</v>
      </c>
      <c r="D4118" s="34" t="s">
        <v>1999</v>
      </c>
      <c r="E4118" s="35" t="str">
        <f t="shared" si="992"/>
        <v>PSND'!</v>
      </c>
      <c r="F4118" s="34" t="str">
        <f t="shared" si="993"/>
        <v>C:\Users\jaime.benazar\Quorum Business Solutions\Ecopetrol Prometeo - Documents\Planning Space Implementation\3. Analysis &amp; Design\Design\FC22\DRR Jaime\QUIFA-CAJÚA\Cajua\[CAJUA_CF_SEC_New_27-Feb-2024Rev3.xlsx]D-PSND'!</v>
      </c>
      <c r="G4118" s="32" t="s">
        <v>114</v>
      </c>
      <c r="H4118" s="33"/>
      <c r="I4118" s="33"/>
      <c r="J4118" s="37"/>
    </row>
    <row r="4119" spans="1:10" x14ac:dyDescent="0.25">
      <c r="A4119" s="32" t="s">
        <v>104</v>
      </c>
      <c r="B4119" s="32">
        <f t="shared" si="994"/>
        <v>2036</v>
      </c>
      <c r="C4119" s="33" t="s">
        <v>109</v>
      </c>
      <c r="D4119" s="34" t="s">
        <v>1999</v>
      </c>
      <c r="E4119" s="35" t="str">
        <f t="shared" si="992"/>
        <v>PSND'!</v>
      </c>
      <c r="F4119" s="34" t="str">
        <f t="shared" si="993"/>
        <v>C:\Users\jaime.benazar\Quorum Business Solutions\Ecopetrol Prometeo - Documents\Planning Space Implementation\3. Analysis &amp; Design\Design\FC22\DRR Jaime\QUIFA-CAJÚA\Cajua\[CAJUA_CF_SEC_New_27-Feb-2024Rev3.xlsx]D-PSND'!</v>
      </c>
      <c r="G4119" s="32" t="s">
        <v>114</v>
      </c>
      <c r="H4119" s="33"/>
      <c r="I4119" s="33"/>
      <c r="J4119" s="37"/>
    </row>
    <row r="4120" spans="1:10" x14ac:dyDescent="0.25">
      <c r="A4120" s="32" t="s">
        <v>104</v>
      </c>
      <c r="B4120" s="32">
        <f>+B4119+1</f>
        <v>2037</v>
      </c>
      <c r="C4120" s="33" t="s">
        <v>109</v>
      </c>
      <c r="D4120" s="34" t="s">
        <v>1999</v>
      </c>
      <c r="E4120" s="35" t="str">
        <f t="shared" si="992"/>
        <v>PSND'!</v>
      </c>
      <c r="F4120" s="34" t="str">
        <f t="shared" si="993"/>
        <v>C:\Users\jaime.benazar\Quorum Business Solutions\Ecopetrol Prometeo - Documents\Planning Space Implementation\3. Analysis &amp; Design\Design\FC22\DRR Jaime\QUIFA-CAJÚA\Cajua\[CAJUA_CF_SEC_New_27-Feb-2024Rev3.xlsx]D-PSND'!</v>
      </c>
      <c r="G4120" s="32" t="s">
        <v>114</v>
      </c>
      <c r="H4120" s="33"/>
      <c r="I4120" s="33"/>
      <c r="J4120" s="37"/>
    </row>
    <row r="4121" spans="1:10" x14ac:dyDescent="0.25">
      <c r="A4121" s="32" t="s">
        <v>104</v>
      </c>
      <c r="B4121" s="32">
        <f t="shared" ref="B4121:B4123" si="995">+B4120+1</f>
        <v>2038</v>
      </c>
      <c r="C4121" s="33" t="s">
        <v>109</v>
      </c>
      <c r="D4121" s="34" t="s">
        <v>1999</v>
      </c>
      <c r="E4121" s="35" t="str">
        <f t="shared" si="992"/>
        <v>PSND'!</v>
      </c>
      <c r="F4121" s="34" t="str">
        <f t="shared" si="993"/>
        <v>C:\Users\jaime.benazar\Quorum Business Solutions\Ecopetrol Prometeo - Documents\Planning Space Implementation\3. Analysis &amp; Design\Design\FC22\DRR Jaime\QUIFA-CAJÚA\Cajua\[CAJUA_CF_SEC_New_27-Feb-2024Rev3.xlsx]D-PSND'!</v>
      </c>
      <c r="G4121" s="32" t="s">
        <v>114</v>
      </c>
      <c r="H4121" s="33"/>
      <c r="I4121" s="33"/>
      <c r="J4121" s="37"/>
    </row>
    <row r="4122" spans="1:10" x14ac:dyDescent="0.25">
      <c r="A4122" s="32" t="s">
        <v>104</v>
      </c>
      <c r="B4122" s="32">
        <f t="shared" si="995"/>
        <v>2039</v>
      </c>
      <c r="C4122" s="33" t="s">
        <v>109</v>
      </c>
      <c r="D4122" s="34" t="s">
        <v>1999</v>
      </c>
      <c r="E4122" s="35" t="str">
        <f t="shared" si="992"/>
        <v>PSND'!</v>
      </c>
      <c r="F4122" s="34" t="str">
        <f t="shared" si="993"/>
        <v>C:\Users\jaime.benazar\Quorum Business Solutions\Ecopetrol Prometeo - Documents\Planning Space Implementation\3. Analysis &amp; Design\Design\FC22\DRR Jaime\QUIFA-CAJÚA\Cajua\[CAJUA_CF_SEC_New_27-Feb-2024Rev3.xlsx]D-PSND'!</v>
      </c>
      <c r="G4122" s="32" t="s">
        <v>114</v>
      </c>
      <c r="H4122" s="33"/>
      <c r="I4122" s="33"/>
      <c r="J4122" s="37"/>
    </row>
    <row r="4123" spans="1:10" x14ac:dyDescent="0.25">
      <c r="A4123" s="32" t="s">
        <v>104</v>
      </c>
      <c r="B4123" s="32">
        <f t="shared" si="995"/>
        <v>2040</v>
      </c>
      <c r="C4123" s="33" t="s">
        <v>109</v>
      </c>
      <c r="D4123" s="34" t="s">
        <v>1999</v>
      </c>
      <c r="E4123" s="35" t="str">
        <f t="shared" si="992"/>
        <v>PSND'!</v>
      </c>
      <c r="F4123" s="34" t="str">
        <f t="shared" si="993"/>
        <v>C:\Users\jaime.benazar\Quorum Business Solutions\Ecopetrol Prometeo - Documents\Planning Space Implementation\3. Analysis &amp; Design\Design\FC22\DRR Jaime\QUIFA-CAJÚA\Cajua\[CAJUA_CF_SEC_New_27-Feb-2024Rev3.xlsx]D-PSND'!</v>
      </c>
      <c r="G4123" s="32" t="s">
        <v>114</v>
      </c>
      <c r="H4123" s="33"/>
      <c r="I4123" s="33"/>
      <c r="J4123" s="37"/>
    </row>
    <row r="4124" spans="1:10" x14ac:dyDescent="0.25">
      <c r="A4124" s="32" t="s">
        <v>104</v>
      </c>
      <c r="B4124" s="32">
        <f>+B4123+1</f>
        <v>2041</v>
      </c>
      <c r="C4124" s="33" t="s">
        <v>109</v>
      </c>
      <c r="D4124" s="34" t="s">
        <v>1999</v>
      </c>
      <c r="E4124" s="35" t="str">
        <f t="shared" si="992"/>
        <v>PSND'!</v>
      </c>
      <c r="F4124" s="34" t="str">
        <f t="shared" si="993"/>
        <v>C:\Users\jaime.benazar\Quorum Business Solutions\Ecopetrol Prometeo - Documents\Planning Space Implementation\3. Analysis &amp; Design\Design\FC22\DRR Jaime\QUIFA-CAJÚA\Cajua\[CAJUA_CF_SEC_New_27-Feb-2024Rev3.xlsx]D-PSND'!</v>
      </c>
      <c r="G4124" s="32" t="s">
        <v>114</v>
      </c>
      <c r="H4124" s="33"/>
      <c r="I4124" s="33"/>
      <c r="J4124" s="37"/>
    </row>
    <row r="4125" spans="1:10" x14ac:dyDescent="0.25">
      <c r="A4125" s="32" t="s">
        <v>104</v>
      </c>
      <c r="B4125" s="32">
        <f t="shared" ref="B4125:B4126" si="996">+B4124+1</f>
        <v>2042</v>
      </c>
      <c r="C4125" s="33" t="s">
        <v>109</v>
      </c>
      <c r="D4125" s="34" t="s">
        <v>1999</v>
      </c>
      <c r="E4125" s="35" t="str">
        <f t="shared" si="992"/>
        <v>PSND'!</v>
      </c>
      <c r="F4125" s="34" t="str">
        <f t="shared" si="993"/>
        <v>C:\Users\jaime.benazar\Quorum Business Solutions\Ecopetrol Prometeo - Documents\Planning Space Implementation\3. Analysis &amp; Design\Design\FC22\DRR Jaime\QUIFA-CAJÚA\Cajua\[CAJUA_CF_SEC_New_27-Feb-2024Rev3.xlsx]D-PSND'!</v>
      </c>
      <c r="G4125" s="32" t="s">
        <v>114</v>
      </c>
      <c r="H4125" s="33"/>
      <c r="I4125" s="33"/>
      <c r="J4125" s="37"/>
    </row>
    <row r="4126" spans="1:10" x14ac:dyDescent="0.25">
      <c r="A4126" s="32" t="s">
        <v>104</v>
      </c>
      <c r="B4126" s="32">
        <f t="shared" si="996"/>
        <v>2043</v>
      </c>
      <c r="C4126" s="33" t="s">
        <v>109</v>
      </c>
      <c r="D4126" s="34" t="s">
        <v>1999</v>
      </c>
      <c r="E4126" s="35" t="str">
        <f t="shared" si="992"/>
        <v>PSND'!</v>
      </c>
      <c r="F4126" s="34" t="str">
        <f t="shared" si="993"/>
        <v>C:\Users\jaime.benazar\Quorum Business Solutions\Ecopetrol Prometeo - Documents\Planning Space Implementation\3. Analysis &amp; Design\Design\FC22\DRR Jaime\QUIFA-CAJÚA\Cajua\[CAJUA_CF_SEC_New_27-Feb-2024Rev3.xlsx]D-PSND'!</v>
      </c>
      <c r="G4126" s="32" t="s">
        <v>114</v>
      </c>
      <c r="H4126" s="33"/>
      <c r="I4126" s="33"/>
      <c r="J4126" s="37"/>
    </row>
    <row r="4127" spans="1:10" x14ac:dyDescent="0.25">
      <c r="A4127" s="32" t="s">
        <v>104</v>
      </c>
      <c r="B4127" s="32">
        <f>+B4126+1</f>
        <v>2044</v>
      </c>
      <c r="C4127" s="33" t="s">
        <v>109</v>
      </c>
      <c r="D4127" s="34" t="s">
        <v>1999</v>
      </c>
      <c r="E4127" s="35" t="str">
        <f t="shared" ref="E4127:E4142" si="997">_xlfn.CONCAT(A4127,"'!")</f>
        <v>PSND'!</v>
      </c>
      <c r="F4127" s="34" t="str">
        <f t="shared" ref="F4127:F4142" si="998">_xlfn.CONCAT(D4127:E4127)</f>
        <v>C:\Users\jaime.benazar\Quorum Business Solutions\Ecopetrol Prometeo - Documents\Planning Space Implementation\3. Analysis &amp; Design\Design\FC22\DRR Jaime\QUIFA-CAJÚA\Cajua\[CAJUA_CF_SEC_New_27-Feb-2024Rev3.xlsx]D-PSND'!</v>
      </c>
      <c r="G4127" s="32" t="s">
        <v>114</v>
      </c>
      <c r="H4127" s="33"/>
      <c r="I4127" s="33"/>
      <c r="J4127" s="37"/>
    </row>
    <row r="4128" spans="1:10" x14ac:dyDescent="0.25">
      <c r="A4128" s="32" t="s">
        <v>104</v>
      </c>
      <c r="B4128" s="32">
        <f t="shared" ref="B4128:B4142" si="999">+B4127+1</f>
        <v>2045</v>
      </c>
      <c r="C4128" s="33" t="s">
        <v>109</v>
      </c>
      <c r="D4128" s="34" t="s">
        <v>1999</v>
      </c>
      <c r="E4128" s="35" t="str">
        <f t="shared" si="997"/>
        <v>PSND'!</v>
      </c>
      <c r="F4128" s="34" t="str">
        <f t="shared" si="998"/>
        <v>C:\Users\jaime.benazar\Quorum Business Solutions\Ecopetrol Prometeo - Documents\Planning Space Implementation\3. Analysis &amp; Design\Design\FC22\DRR Jaime\QUIFA-CAJÚA\Cajua\[CAJUA_CF_SEC_New_27-Feb-2024Rev3.xlsx]D-PSND'!</v>
      </c>
      <c r="G4128" s="32" t="s">
        <v>114</v>
      </c>
      <c r="H4128" s="33"/>
      <c r="I4128" s="33"/>
      <c r="J4128" s="37"/>
    </row>
    <row r="4129" spans="1:10" x14ac:dyDescent="0.25">
      <c r="A4129" s="32" t="s">
        <v>104</v>
      </c>
      <c r="B4129" s="32">
        <f t="shared" si="999"/>
        <v>2046</v>
      </c>
      <c r="C4129" s="33" t="s">
        <v>109</v>
      </c>
      <c r="D4129" s="34" t="s">
        <v>1999</v>
      </c>
      <c r="E4129" s="35" t="str">
        <f t="shared" si="997"/>
        <v>PSND'!</v>
      </c>
      <c r="F4129" s="34" t="str">
        <f t="shared" si="998"/>
        <v>C:\Users\jaime.benazar\Quorum Business Solutions\Ecopetrol Prometeo - Documents\Planning Space Implementation\3. Analysis &amp; Design\Design\FC22\DRR Jaime\QUIFA-CAJÚA\Cajua\[CAJUA_CF_SEC_New_27-Feb-2024Rev3.xlsx]D-PSND'!</v>
      </c>
      <c r="G4129" s="32" t="s">
        <v>114</v>
      </c>
      <c r="H4129" s="33"/>
      <c r="I4129" s="33"/>
      <c r="J4129" s="37"/>
    </row>
    <row r="4130" spans="1:10" x14ac:dyDescent="0.25">
      <c r="A4130" s="32" t="s">
        <v>104</v>
      </c>
      <c r="B4130" s="32">
        <f t="shared" si="999"/>
        <v>2047</v>
      </c>
      <c r="C4130" s="33" t="s">
        <v>109</v>
      </c>
      <c r="D4130" s="34" t="s">
        <v>1999</v>
      </c>
      <c r="E4130" s="35" t="str">
        <f t="shared" si="997"/>
        <v>PSND'!</v>
      </c>
      <c r="F4130" s="34" t="str">
        <f t="shared" si="998"/>
        <v>C:\Users\jaime.benazar\Quorum Business Solutions\Ecopetrol Prometeo - Documents\Planning Space Implementation\3. Analysis &amp; Design\Design\FC22\DRR Jaime\QUIFA-CAJÚA\Cajua\[CAJUA_CF_SEC_New_27-Feb-2024Rev3.xlsx]D-PSND'!</v>
      </c>
      <c r="G4130" s="32" t="s">
        <v>114</v>
      </c>
      <c r="H4130" s="33"/>
      <c r="I4130" s="33"/>
      <c r="J4130" s="37"/>
    </row>
    <row r="4131" spans="1:10" x14ac:dyDescent="0.25">
      <c r="A4131" s="32" t="s">
        <v>104</v>
      </c>
      <c r="B4131" s="32">
        <f t="shared" si="999"/>
        <v>2048</v>
      </c>
      <c r="C4131" s="33" t="s">
        <v>109</v>
      </c>
      <c r="D4131" s="34" t="s">
        <v>1999</v>
      </c>
      <c r="E4131" s="35" t="str">
        <f t="shared" si="997"/>
        <v>PSND'!</v>
      </c>
      <c r="F4131" s="34" t="str">
        <f t="shared" si="998"/>
        <v>C:\Users\jaime.benazar\Quorum Business Solutions\Ecopetrol Prometeo - Documents\Planning Space Implementation\3. Analysis &amp; Design\Design\FC22\DRR Jaime\QUIFA-CAJÚA\Cajua\[CAJUA_CF_SEC_New_27-Feb-2024Rev3.xlsx]D-PSND'!</v>
      </c>
      <c r="G4131" s="32" t="s">
        <v>114</v>
      </c>
      <c r="H4131" s="33"/>
      <c r="I4131" s="33"/>
      <c r="J4131" s="37"/>
    </row>
    <row r="4132" spans="1:10" x14ac:dyDescent="0.25">
      <c r="A4132" s="32" t="s">
        <v>104</v>
      </c>
      <c r="B4132" s="32">
        <f t="shared" si="999"/>
        <v>2049</v>
      </c>
      <c r="C4132" s="33" t="s">
        <v>109</v>
      </c>
      <c r="D4132" s="34" t="s">
        <v>1999</v>
      </c>
      <c r="E4132" s="35" t="str">
        <f t="shared" si="997"/>
        <v>PSND'!</v>
      </c>
      <c r="F4132" s="34" t="str">
        <f t="shared" si="998"/>
        <v>C:\Users\jaime.benazar\Quorum Business Solutions\Ecopetrol Prometeo - Documents\Planning Space Implementation\3. Analysis &amp; Design\Design\FC22\DRR Jaime\QUIFA-CAJÚA\Cajua\[CAJUA_CF_SEC_New_27-Feb-2024Rev3.xlsx]D-PSND'!</v>
      </c>
      <c r="G4132" s="32" t="s">
        <v>114</v>
      </c>
      <c r="H4132" s="33"/>
      <c r="I4132" s="33"/>
      <c r="J4132" s="37"/>
    </row>
    <row r="4133" spans="1:10" x14ac:dyDescent="0.25">
      <c r="A4133" s="32" t="s">
        <v>104</v>
      </c>
      <c r="B4133" s="32">
        <f t="shared" si="999"/>
        <v>2050</v>
      </c>
      <c r="C4133" s="33" t="s">
        <v>109</v>
      </c>
      <c r="D4133" s="34" t="s">
        <v>1999</v>
      </c>
      <c r="E4133" s="35" t="str">
        <f t="shared" si="997"/>
        <v>PSND'!</v>
      </c>
      <c r="F4133" s="34" t="str">
        <f t="shared" si="998"/>
        <v>C:\Users\jaime.benazar\Quorum Business Solutions\Ecopetrol Prometeo - Documents\Planning Space Implementation\3. Analysis &amp; Design\Design\FC22\DRR Jaime\QUIFA-CAJÚA\Cajua\[CAJUA_CF_SEC_New_27-Feb-2024Rev3.xlsx]D-PSND'!</v>
      </c>
      <c r="G4133" s="32" t="s">
        <v>114</v>
      </c>
      <c r="H4133" s="33"/>
      <c r="I4133" s="33"/>
      <c r="J4133" s="37"/>
    </row>
    <row r="4134" spans="1:10" x14ac:dyDescent="0.25">
      <c r="A4134" s="32" t="s">
        <v>104</v>
      </c>
      <c r="B4134" s="32">
        <f t="shared" si="999"/>
        <v>2051</v>
      </c>
      <c r="C4134" s="33" t="s">
        <v>109</v>
      </c>
      <c r="D4134" s="34" t="s">
        <v>1999</v>
      </c>
      <c r="E4134" s="35" t="str">
        <f t="shared" si="997"/>
        <v>PSND'!</v>
      </c>
      <c r="F4134" s="34" t="str">
        <f t="shared" si="998"/>
        <v>C:\Users\jaime.benazar\Quorum Business Solutions\Ecopetrol Prometeo - Documents\Planning Space Implementation\3. Analysis &amp; Design\Design\FC22\DRR Jaime\QUIFA-CAJÚA\Cajua\[CAJUA_CF_SEC_New_27-Feb-2024Rev3.xlsx]D-PSND'!</v>
      </c>
      <c r="G4134" s="32" t="s">
        <v>114</v>
      </c>
      <c r="H4134" s="33"/>
      <c r="I4134" s="33"/>
      <c r="J4134" s="37"/>
    </row>
    <row r="4135" spans="1:10" x14ac:dyDescent="0.25">
      <c r="A4135" s="32" t="s">
        <v>104</v>
      </c>
      <c r="B4135" s="32">
        <f t="shared" si="999"/>
        <v>2052</v>
      </c>
      <c r="C4135" s="33" t="s">
        <v>109</v>
      </c>
      <c r="D4135" s="34" t="s">
        <v>1999</v>
      </c>
      <c r="E4135" s="35" t="str">
        <f t="shared" si="997"/>
        <v>PSND'!</v>
      </c>
      <c r="F4135" s="34" t="str">
        <f t="shared" si="998"/>
        <v>C:\Users\jaime.benazar\Quorum Business Solutions\Ecopetrol Prometeo - Documents\Planning Space Implementation\3. Analysis &amp; Design\Design\FC22\DRR Jaime\QUIFA-CAJÚA\Cajua\[CAJUA_CF_SEC_New_27-Feb-2024Rev3.xlsx]D-PSND'!</v>
      </c>
      <c r="G4135" s="32" t="s">
        <v>114</v>
      </c>
      <c r="H4135" s="33"/>
      <c r="I4135" s="33"/>
      <c r="J4135" s="37"/>
    </row>
    <row r="4136" spans="1:10" x14ac:dyDescent="0.25">
      <c r="A4136" s="32" t="s">
        <v>104</v>
      </c>
      <c r="B4136" s="32">
        <f t="shared" si="999"/>
        <v>2053</v>
      </c>
      <c r="C4136" s="33" t="s">
        <v>109</v>
      </c>
      <c r="D4136" s="34" t="s">
        <v>1999</v>
      </c>
      <c r="E4136" s="35" t="str">
        <f t="shared" si="997"/>
        <v>PSND'!</v>
      </c>
      <c r="F4136" s="34" t="str">
        <f t="shared" si="998"/>
        <v>C:\Users\jaime.benazar\Quorum Business Solutions\Ecopetrol Prometeo - Documents\Planning Space Implementation\3. Analysis &amp; Design\Design\FC22\DRR Jaime\QUIFA-CAJÚA\Cajua\[CAJUA_CF_SEC_New_27-Feb-2024Rev3.xlsx]D-PSND'!</v>
      </c>
      <c r="G4136" s="32" t="s">
        <v>114</v>
      </c>
      <c r="H4136" s="33"/>
      <c r="I4136" s="33"/>
      <c r="J4136" s="37"/>
    </row>
    <row r="4137" spans="1:10" x14ac:dyDescent="0.25">
      <c r="A4137" s="32" t="s">
        <v>104</v>
      </c>
      <c r="B4137" s="32">
        <f t="shared" si="999"/>
        <v>2054</v>
      </c>
      <c r="C4137" s="33" t="s">
        <v>109</v>
      </c>
      <c r="D4137" s="34" t="s">
        <v>1999</v>
      </c>
      <c r="E4137" s="35" t="str">
        <f t="shared" si="997"/>
        <v>PSND'!</v>
      </c>
      <c r="F4137" s="34" t="str">
        <f t="shared" si="998"/>
        <v>C:\Users\jaime.benazar\Quorum Business Solutions\Ecopetrol Prometeo - Documents\Planning Space Implementation\3. Analysis &amp; Design\Design\FC22\DRR Jaime\QUIFA-CAJÚA\Cajua\[CAJUA_CF_SEC_New_27-Feb-2024Rev3.xlsx]D-PSND'!</v>
      </c>
      <c r="G4137" s="32" t="s">
        <v>114</v>
      </c>
      <c r="H4137" s="33"/>
      <c r="I4137" s="33"/>
      <c r="J4137" s="37"/>
    </row>
    <row r="4138" spans="1:10" x14ac:dyDescent="0.25">
      <c r="A4138" s="32" t="s">
        <v>104</v>
      </c>
      <c r="B4138" s="32">
        <f t="shared" si="999"/>
        <v>2055</v>
      </c>
      <c r="C4138" s="33" t="s">
        <v>109</v>
      </c>
      <c r="D4138" s="34" t="s">
        <v>1999</v>
      </c>
      <c r="E4138" s="35" t="str">
        <f t="shared" si="997"/>
        <v>PSND'!</v>
      </c>
      <c r="F4138" s="34" t="str">
        <f t="shared" si="998"/>
        <v>C:\Users\jaime.benazar\Quorum Business Solutions\Ecopetrol Prometeo - Documents\Planning Space Implementation\3. Analysis &amp; Design\Design\FC22\DRR Jaime\QUIFA-CAJÚA\Cajua\[CAJUA_CF_SEC_New_27-Feb-2024Rev3.xlsx]D-PSND'!</v>
      </c>
      <c r="G4138" s="32" t="s">
        <v>114</v>
      </c>
      <c r="H4138" s="33"/>
      <c r="I4138" s="33"/>
      <c r="J4138" s="37"/>
    </row>
    <row r="4139" spans="1:10" x14ac:dyDescent="0.25">
      <c r="A4139" s="32" t="s">
        <v>104</v>
      </c>
      <c r="B4139" s="32">
        <f t="shared" si="999"/>
        <v>2056</v>
      </c>
      <c r="C4139" s="33" t="s">
        <v>109</v>
      </c>
      <c r="D4139" s="34" t="s">
        <v>1999</v>
      </c>
      <c r="E4139" s="35" t="str">
        <f t="shared" si="997"/>
        <v>PSND'!</v>
      </c>
      <c r="F4139" s="34" t="str">
        <f t="shared" si="998"/>
        <v>C:\Users\jaime.benazar\Quorum Business Solutions\Ecopetrol Prometeo - Documents\Planning Space Implementation\3. Analysis &amp; Design\Design\FC22\DRR Jaime\QUIFA-CAJÚA\Cajua\[CAJUA_CF_SEC_New_27-Feb-2024Rev3.xlsx]D-PSND'!</v>
      </c>
      <c r="G4139" s="32" t="s">
        <v>114</v>
      </c>
      <c r="H4139" s="33"/>
      <c r="I4139" s="33"/>
      <c r="J4139" s="37"/>
    </row>
    <row r="4140" spans="1:10" x14ac:dyDescent="0.25">
      <c r="A4140" s="32" t="s">
        <v>104</v>
      </c>
      <c r="B4140" s="32">
        <f t="shared" si="999"/>
        <v>2057</v>
      </c>
      <c r="C4140" s="33" t="s">
        <v>109</v>
      </c>
      <c r="D4140" s="34" t="s">
        <v>1999</v>
      </c>
      <c r="E4140" s="35" t="str">
        <f t="shared" si="997"/>
        <v>PSND'!</v>
      </c>
      <c r="F4140" s="34" t="str">
        <f t="shared" si="998"/>
        <v>C:\Users\jaime.benazar\Quorum Business Solutions\Ecopetrol Prometeo - Documents\Planning Space Implementation\3. Analysis &amp; Design\Design\FC22\DRR Jaime\QUIFA-CAJÚA\Cajua\[CAJUA_CF_SEC_New_27-Feb-2024Rev3.xlsx]D-PSND'!</v>
      </c>
      <c r="G4140" s="32" t="s">
        <v>114</v>
      </c>
      <c r="H4140" s="33"/>
      <c r="I4140" s="33"/>
      <c r="J4140" s="37"/>
    </row>
    <row r="4141" spans="1:10" x14ac:dyDescent="0.25">
      <c r="A4141" s="32" t="s">
        <v>104</v>
      </c>
      <c r="B4141" s="32">
        <f t="shared" si="999"/>
        <v>2058</v>
      </c>
      <c r="C4141" s="33" t="s">
        <v>109</v>
      </c>
      <c r="D4141" s="34" t="s">
        <v>1999</v>
      </c>
      <c r="E4141" s="35" t="str">
        <f t="shared" si="997"/>
        <v>PSND'!</v>
      </c>
      <c r="F4141" s="34" t="str">
        <f t="shared" si="998"/>
        <v>C:\Users\jaime.benazar\Quorum Business Solutions\Ecopetrol Prometeo - Documents\Planning Space Implementation\3. Analysis &amp; Design\Design\FC22\DRR Jaime\QUIFA-CAJÚA\Cajua\[CAJUA_CF_SEC_New_27-Feb-2024Rev3.xlsx]D-PSND'!</v>
      </c>
      <c r="G4141" s="32" t="s">
        <v>114</v>
      </c>
      <c r="H4141" s="33"/>
      <c r="I4141" s="33"/>
      <c r="J4141" s="37"/>
    </row>
    <row r="4142" spans="1:10" x14ac:dyDescent="0.25">
      <c r="A4142" s="32" t="s">
        <v>104</v>
      </c>
      <c r="B4142" s="32">
        <f t="shared" si="999"/>
        <v>2059</v>
      </c>
      <c r="C4142" s="33" t="s">
        <v>109</v>
      </c>
      <c r="D4142" s="34" t="s">
        <v>1999</v>
      </c>
      <c r="E4142" s="35" t="str">
        <f t="shared" si="997"/>
        <v>PSND'!</v>
      </c>
      <c r="F4142" s="34" t="str">
        <f t="shared" si="998"/>
        <v>C:\Users\jaime.benazar\Quorum Business Solutions\Ecopetrol Prometeo - Documents\Planning Space Implementation\3. Analysis &amp; Design\Design\FC22\DRR Jaime\QUIFA-CAJÚA\Cajua\[CAJUA_CF_SEC_New_27-Feb-2024Rev3.xlsx]D-PSND'!</v>
      </c>
      <c r="G4142" s="32" t="s">
        <v>114</v>
      </c>
      <c r="H4142" s="33"/>
      <c r="I4142" s="33"/>
      <c r="J4142" s="37"/>
    </row>
    <row r="4143" spans="1:10" x14ac:dyDescent="0.25">
      <c r="A4143" s="32" t="s">
        <v>28</v>
      </c>
      <c r="B4143" s="32"/>
      <c r="C4143" s="33" t="s">
        <v>109</v>
      </c>
      <c r="D4143" s="34"/>
      <c r="E4143" s="35"/>
      <c r="F4143" s="34"/>
      <c r="G4143" s="32"/>
      <c r="H4143" s="33"/>
      <c r="I4143" s="33"/>
      <c r="J4143" s="36"/>
    </row>
    <row r="4144" spans="1:10" x14ac:dyDescent="0.25">
      <c r="A4144" s="32" t="s">
        <v>34</v>
      </c>
      <c r="B4144" s="32">
        <v>2023</v>
      </c>
      <c r="C4144" s="33" t="s">
        <v>109</v>
      </c>
      <c r="D4144" s="34" t="s">
        <v>1999</v>
      </c>
      <c r="E4144" s="35" t="str">
        <f t="shared" ref="E4144:E4182" si="1000">_xlfn.CONCAT(A4144,"'!")</f>
        <v>PS'!</v>
      </c>
      <c r="F4144" s="34" t="str">
        <f t="shared" ref="F4144:F4164" si="1001">_xlfn.CONCAT(D4144:E4144)</f>
        <v>C:\Users\jaime.benazar\Quorum Business Solutions\Ecopetrol Prometeo - Documents\Planning Space Implementation\3. Analysis &amp; Design\Design\FC22\DRR Jaime\QUIFA-CAJÚA\Cajua\[CAJUA_CF_SEC_New_27-Feb-2024Rev3.xlsx]D-PS'!</v>
      </c>
      <c r="G4144" s="32" t="s">
        <v>114</v>
      </c>
      <c r="H4144" s="33">
        <v>12</v>
      </c>
      <c r="I4144" s="33" t="str">
        <f t="shared" ref="I4144:I4164" si="1002">_xlfn.CONCAT("='",F4144:H4144)</f>
        <v>='C:\Users\jaime.benazar\Quorum Business Solutions\Ecopetrol Prometeo - Documents\Planning Space Implementation\3. Analysis &amp; Design\Design\FC22\DRR Jaime\QUIFA-CAJÚA\Cajua\[CAJUA_CF_SEC_New_27-Feb-2024Rev3.xlsx]D-PS'!$CB$12</v>
      </c>
      <c r="J4144" s="37" t="s">
        <v>4035</v>
      </c>
    </row>
    <row r="4145" spans="1:10" x14ac:dyDescent="0.25">
      <c r="A4145" s="32" t="s">
        <v>34</v>
      </c>
      <c r="B4145" s="32">
        <f>+B4144+1</f>
        <v>2024</v>
      </c>
      <c r="C4145" s="33" t="s">
        <v>109</v>
      </c>
      <c r="D4145" s="34" t="s">
        <v>1999</v>
      </c>
      <c r="E4145" s="35" t="str">
        <f t="shared" si="1000"/>
        <v>PS'!</v>
      </c>
      <c r="F4145" s="34" t="str">
        <f t="shared" si="1001"/>
        <v>C:\Users\jaime.benazar\Quorum Business Solutions\Ecopetrol Prometeo - Documents\Planning Space Implementation\3. Analysis &amp; Design\Design\FC22\DRR Jaime\QUIFA-CAJÚA\Cajua\[CAJUA_CF_SEC_New_27-Feb-2024Rev3.xlsx]D-PS'!</v>
      </c>
      <c r="G4145" s="32" t="s">
        <v>114</v>
      </c>
      <c r="H4145" s="33">
        <f t="shared" ref="H4145:H4164" si="1003">IF(A4145&lt;&gt;A4144,12,H4144+1)</f>
        <v>13</v>
      </c>
      <c r="I4145" s="33" t="str">
        <f t="shared" si="1002"/>
        <v>='C:\Users\jaime.benazar\Quorum Business Solutions\Ecopetrol Prometeo - Documents\Planning Space Implementation\3. Analysis &amp; Design\Design\FC22\DRR Jaime\QUIFA-CAJÚA\Cajua\[CAJUA_CF_SEC_New_27-Feb-2024Rev3.xlsx]D-PS'!$CB$13</v>
      </c>
      <c r="J4145" s="37" t="s">
        <v>4036</v>
      </c>
    </row>
    <row r="4146" spans="1:10" x14ac:dyDescent="0.25">
      <c r="A4146" s="32" t="s">
        <v>34</v>
      </c>
      <c r="B4146" s="32">
        <f t="shared" ref="B4146:B4157" si="1004">+B4145+1</f>
        <v>2025</v>
      </c>
      <c r="C4146" s="33" t="s">
        <v>109</v>
      </c>
      <c r="D4146" s="34" t="s">
        <v>1999</v>
      </c>
      <c r="E4146" s="35" t="str">
        <f t="shared" si="1000"/>
        <v>PS'!</v>
      </c>
      <c r="F4146" s="34" t="str">
        <f t="shared" si="1001"/>
        <v>C:\Users\jaime.benazar\Quorum Business Solutions\Ecopetrol Prometeo - Documents\Planning Space Implementation\3. Analysis &amp; Design\Design\FC22\DRR Jaime\QUIFA-CAJÚA\Cajua\[CAJUA_CF_SEC_New_27-Feb-2024Rev3.xlsx]D-PS'!</v>
      </c>
      <c r="G4146" s="32" t="s">
        <v>114</v>
      </c>
      <c r="H4146" s="33">
        <f t="shared" si="1003"/>
        <v>14</v>
      </c>
      <c r="I4146" s="33" t="str">
        <f t="shared" si="1002"/>
        <v>='C:\Users\jaime.benazar\Quorum Business Solutions\Ecopetrol Prometeo - Documents\Planning Space Implementation\3. Analysis &amp; Design\Design\FC22\DRR Jaime\QUIFA-CAJÚA\Cajua\[CAJUA_CF_SEC_New_27-Feb-2024Rev3.xlsx]D-PS'!$CB$14</v>
      </c>
      <c r="J4146" s="37" t="s">
        <v>4037</v>
      </c>
    </row>
    <row r="4147" spans="1:10" x14ac:dyDescent="0.25">
      <c r="A4147" s="32" t="s">
        <v>34</v>
      </c>
      <c r="B4147" s="32">
        <f t="shared" si="1004"/>
        <v>2026</v>
      </c>
      <c r="C4147" s="33" t="s">
        <v>109</v>
      </c>
      <c r="D4147" s="34" t="s">
        <v>1999</v>
      </c>
      <c r="E4147" s="35" t="str">
        <f t="shared" si="1000"/>
        <v>PS'!</v>
      </c>
      <c r="F4147" s="34" t="str">
        <f t="shared" si="1001"/>
        <v>C:\Users\jaime.benazar\Quorum Business Solutions\Ecopetrol Prometeo - Documents\Planning Space Implementation\3. Analysis &amp; Design\Design\FC22\DRR Jaime\QUIFA-CAJÚA\Cajua\[CAJUA_CF_SEC_New_27-Feb-2024Rev3.xlsx]D-PS'!</v>
      </c>
      <c r="G4147" s="32" t="s">
        <v>114</v>
      </c>
      <c r="H4147" s="33">
        <f t="shared" si="1003"/>
        <v>15</v>
      </c>
      <c r="I4147" s="33" t="str">
        <f t="shared" si="1002"/>
        <v>='C:\Users\jaime.benazar\Quorum Business Solutions\Ecopetrol Prometeo - Documents\Planning Space Implementation\3. Analysis &amp; Design\Design\FC22\DRR Jaime\QUIFA-CAJÚA\Cajua\[CAJUA_CF_SEC_New_27-Feb-2024Rev3.xlsx]D-PS'!$CB$15</v>
      </c>
      <c r="J4147" s="37" t="s">
        <v>4038</v>
      </c>
    </row>
    <row r="4148" spans="1:10" x14ac:dyDescent="0.25">
      <c r="A4148" s="32" t="s">
        <v>34</v>
      </c>
      <c r="B4148" s="32">
        <f t="shared" si="1004"/>
        <v>2027</v>
      </c>
      <c r="C4148" s="33" t="s">
        <v>109</v>
      </c>
      <c r="D4148" s="34" t="s">
        <v>1999</v>
      </c>
      <c r="E4148" s="35" t="str">
        <f t="shared" si="1000"/>
        <v>PS'!</v>
      </c>
      <c r="F4148" s="34" t="str">
        <f t="shared" si="1001"/>
        <v>C:\Users\jaime.benazar\Quorum Business Solutions\Ecopetrol Prometeo - Documents\Planning Space Implementation\3. Analysis &amp; Design\Design\FC22\DRR Jaime\QUIFA-CAJÚA\Cajua\[CAJUA_CF_SEC_New_27-Feb-2024Rev3.xlsx]D-PS'!</v>
      </c>
      <c r="G4148" s="32" t="s">
        <v>114</v>
      </c>
      <c r="H4148" s="33">
        <f t="shared" si="1003"/>
        <v>16</v>
      </c>
      <c r="I4148" s="33" t="str">
        <f t="shared" si="1002"/>
        <v>='C:\Users\jaime.benazar\Quorum Business Solutions\Ecopetrol Prometeo - Documents\Planning Space Implementation\3. Analysis &amp; Design\Design\FC22\DRR Jaime\QUIFA-CAJÚA\Cajua\[CAJUA_CF_SEC_New_27-Feb-2024Rev3.xlsx]D-PS'!$CB$16</v>
      </c>
      <c r="J4148" s="37" t="s">
        <v>4039</v>
      </c>
    </row>
    <row r="4149" spans="1:10" x14ac:dyDescent="0.25">
      <c r="A4149" s="32" t="s">
        <v>34</v>
      </c>
      <c r="B4149" s="32">
        <f t="shared" si="1004"/>
        <v>2028</v>
      </c>
      <c r="C4149" s="33" t="s">
        <v>109</v>
      </c>
      <c r="D4149" s="34" t="s">
        <v>1999</v>
      </c>
      <c r="E4149" s="35" t="str">
        <f t="shared" si="1000"/>
        <v>PS'!</v>
      </c>
      <c r="F4149" s="34" t="str">
        <f t="shared" si="1001"/>
        <v>C:\Users\jaime.benazar\Quorum Business Solutions\Ecopetrol Prometeo - Documents\Planning Space Implementation\3. Analysis &amp; Design\Design\FC22\DRR Jaime\QUIFA-CAJÚA\Cajua\[CAJUA_CF_SEC_New_27-Feb-2024Rev3.xlsx]D-PS'!</v>
      </c>
      <c r="G4149" s="32" t="s">
        <v>114</v>
      </c>
      <c r="H4149" s="33">
        <f t="shared" si="1003"/>
        <v>17</v>
      </c>
      <c r="I4149" s="33" t="str">
        <f t="shared" si="1002"/>
        <v>='C:\Users\jaime.benazar\Quorum Business Solutions\Ecopetrol Prometeo - Documents\Planning Space Implementation\3. Analysis &amp; Design\Design\FC22\DRR Jaime\QUIFA-CAJÚA\Cajua\[CAJUA_CF_SEC_New_27-Feb-2024Rev3.xlsx]D-PS'!$CB$17</v>
      </c>
      <c r="J4149" s="37" t="s">
        <v>4040</v>
      </c>
    </row>
    <row r="4150" spans="1:10" x14ac:dyDescent="0.25">
      <c r="A4150" s="32" t="s">
        <v>34</v>
      </c>
      <c r="B4150" s="32">
        <f t="shared" si="1004"/>
        <v>2029</v>
      </c>
      <c r="C4150" s="33" t="s">
        <v>109</v>
      </c>
      <c r="D4150" s="34" t="s">
        <v>1999</v>
      </c>
      <c r="E4150" s="35" t="str">
        <f t="shared" si="1000"/>
        <v>PS'!</v>
      </c>
      <c r="F4150" s="34" t="str">
        <f t="shared" si="1001"/>
        <v>C:\Users\jaime.benazar\Quorum Business Solutions\Ecopetrol Prometeo - Documents\Planning Space Implementation\3. Analysis &amp; Design\Design\FC22\DRR Jaime\QUIFA-CAJÚA\Cajua\[CAJUA_CF_SEC_New_27-Feb-2024Rev3.xlsx]D-PS'!</v>
      </c>
      <c r="G4150" s="32" t="s">
        <v>114</v>
      </c>
      <c r="H4150" s="33">
        <f t="shared" si="1003"/>
        <v>18</v>
      </c>
      <c r="I4150" s="33" t="str">
        <f t="shared" si="1002"/>
        <v>='C:\Users\jaime.benazar\Quorum Business Solutions\Ecopetrol Prometeo - Documents\Planning Space Implementation\3. Analysis &amp; Design\Design\FC22\DRR Jaime\QUIFA-CAJÚA\Cajua\[CAJUA_CF_SEC_New_27-Feb-2024Rev3.xlsx]D-PS'!$CB$18</v>
      </c>
      <c r="J4150" s="37" t="s">
        <v>4041</v>
      </c>
    </row>
    <row r="4151" spans="1:10" x14ac:dyDescent="0.25">
      <c r="A4151" s="32" t="s">
        <v>34</v>
      </c>
      <c r="B4151" s="32">
        <f t="shared" si="1004"/>
        <v>2030</v>
      </c>
      <c r="C4151" s="33" t="s">
        <v>109</v>
      </c>
      <c r="D4151" s="34" t="s">
        <v>1999</v>
      </c>
      <c r="E4151" s="35" t="str">
        <f t="shared" si="1000"/>
        <v>PS'!</v>
      </c>
      <c r="F4151" s="34" t="str">
        <f t="shared" si="1001"/>
        <v>C:\Users\jaime.benazar\Quorum Business Solutions\Ecopetrol Prometeo - Documents\Planning Space Implementation\3. Analysis &amp; Design\Design\FC22\DRR Jaime\QUIFA-CAJÚA\Cajua\[CAJUA_CF_SEC_New_27-Feb-2024Rev3.xlsx]D-PS'!</v>
      </c>
      <c r="G4151" s="32" t="s">
        <v>114</v>
      </c>
      <c r="H4151" s="33">
        <f t="shared" si="1003"/>
        <v>19</v>
      </c>
      <c r="I4151" s="33" t="str">
        <f t="shared" si="1002"/>
        <v>='C:\Users\jaime.benazar\Quorum Business Solutions\Ecopetrol Prometeo - Documents\Planning Space Implementation\3. Analysis &amp; Design\Design\FC22\DRR Jaime\QUIFA-CAJÚA\Cajua\[CAJUA_CF_SEC_New_27-Feb-2024Rev3.xlsx]D-PS'!$CB$19</v>
      </c>
      <c r="J4151" s="37" t="s">
        <v>4042</v>
      </c>
    </row>
    <row r="4152" spans="1:10" x14ac:dyDescent="0.25">
      <c r="A4152" s="32" t="s">
        <v>34</v>
      </c>
      <c r="B4152" s="32">
        <f t="shared" si="1004"/>
        <v>2031</v>
      </c>
      <c r="C4152" s="33" t="s">
        <v>109</v>
      </c>
      <c r="D4152" s="34" t="s">
        <v>1999</v>
      </c>
      <c r="E4152" s="35" t="str">
        <f t="shared" si="1000"/>
        <v>PS'!</v>
      </c>
      <c r="F4152" s="34" t="str">
        <f t="shared" si="1001"/>
        <v>C:\Users\jaime.benazar\Quorum Business Solutions\Ecopetrol Prometeo - Documents\Planning Space Implementation\3. Analysis &amp; Design\Design\FC22\DRR Jaime\QUIFA-CAJÚA\Cajua\[CAJUA_CF_SEC_New_27-Feb-2024Rev3.xlsx]D-PS'!</v>
      </c>
      <c r="G4152" s="32" t="s">
        <v>114</v>
      </c>
      <c r="H4152" s="33">
        <f t="shared" si="1003"/>
        <v>20</v>
      </c>
      <c r="I4152" s="33" t="str">
        <f t="shared" si="1002"/>
        <v>='C:\Users\jaime.benazar\Quorum Business Solutions\Ecopetrol Prometeo - Documents\Planning Space Implementation\3. Analysis &amp; Design\Design\FC22\DRR Jaime\QUIFA-CAJÚA\Cajua\[CAJUA_CF_SEC_New_27-Feb-2024Rev3.xlsx]D-PS'!$CB$20</v>
      </c>
      <c r="J4152" s="37" t="s">
        <v>4043</v>
      </c>
    </row>
    <row r="4153" spans="1:10" x14ac:dyDescent="0.25">
      <c r="A4153" s="32" t="s">
        <v>34</v>
      </c>
      <c r="B4153" s="32">
        <f t="shared" si="1004"/>
        <v>2032</v>
      </c>
      <c r="C4153" s="33" t="s">
        <v>109</v>
      </c>
      <c r="D4153" s="34" t="s">
        <v>1999</v>
      </c>
      <c r="E4153" s="35" t="str">
        <f t="shared" si="1000"/>
        <v>PS'!</v>
      </c>
      <c r="F4153" s="34" t="str">
        <f t="shared" si="1001"/>
        <v>C:\Users\jaime.benazar\Quorum Business Solutions\Ecopetrol Prometeo - Documents\Planning Space Implementation\3. Analysis &amp; Design\Design\FC22\DRR Jaime\QUIFA-CAJÚA\Cajua\[CAJUA_CF_SEC_New_27-Feb-2024Rev3.xlsx]D-PS'!</v>
      </c>
      <c r="G4153" s="32" t="s">
        <v>114</v>
      </c>
      <c r="H4153" s="33">
        <f t="shared" si="1003"/>
        <v>21</v>
      </c>
      <c r="I4153" s="33" t="str">
        <f t="shared" si="1002"/>
        <v>='C:\Users\jaime.benazar\Quorum Business Solutions\Ecopetrol Prometeo - Documents\Planning Space Implementation\3. Analysis &amp; Design\Design\FC22\DRR Jaime\QUIFA-CAJÚA\Cajua\[CAJUA_CF_SEC_New_27-Feb-2024Rev3.xlsx]D-PS'!$CB$21</v>
      </c>
      <c r="J4153" s="37" t="s">
        <v>4044</v>
      </c>
    </row>
    <row r="4154" spans="1:10" x14ac:dyDescent="0.25">
      <c r="A4154" s="32" t="s">
        <v>34</v>
      </c>
      <c r="B4154" s="32">
        <f t="shared" si="1004"/>
        <v>2033</v>
      </c>
      <c r="C4154" s="33" t="s">
        <v>109</v>
      </c>
      <c r="D4154" s="34" t="s">
        <v>1999</v>
      </c>
      <c r="E4154" s="35" t="str">
        <f t="shared" si="1000"/>
        <v>PS'!</v>
      </c>
      <c r="F4154" s="34" t="str">
        <f t="shared" si="1001"/>
        <v>C:\Users\jaime.benazar\Quorum Business Solutions\Ecopetrol Prometeo - Documents\Planning Space Implementation\3. Analysis &amp; Design\Design\FC22\DRR Jaime\QUIFA-CAJÚA\Cajua\[CAJUA_CF_SEC_New_27-Feb-2024Rev3.xlsx]D-PS'!</v>
      </c>
      <c r="G4154" s="32" t="s">
        <v>114</v>
      </c>
      <c r="H4154" s="33">
        <f t="shared" si="1003"/>
        <v>22</v>
      </c>
      <c r="I4154" s="33" t="str">
        <f t="shared" si="1002"/>
        <v>='C:\Users\jaime.benazar\Quorum Business Solutions\Ecopetrol Prometeo - Documents\Planning Space Implementation\3. Analysis &amp; Design\Design\FC22\DRR Jaime\QUIFA-CAJÚA\Cajua\[CAJUA_CF_SEC_New_27-Feb-2024Rev3.xlsx]D-PS'!$CB$22</v>
      </c>
      <c r="J4154" s="37" t="s">
        <v>4045</v>
      </c>
    </row>
    <row r="4155" spans="1:10" x14ac:dyDescent="0.25">
      <c r="A4155" s="32" t="s">
        <v>34</v>
      </c>
      <c r="B4155" s="32">
        <f t="shared" si="1004"/>
        <v>2034</v>
      </c>
      <c r="C4155" s="33" t="s">
        <v>109</v>
      </c>
      <c r="D4155" s="34" t="s">
        <v>1999</v>
      </c>
      <c r="E4155" s="35" t="str">
        <f t="shared" si="1000"/>
        <v>PS'!</v>
      </c>
      <c r="F4155" s="34" t="str">
        <f t="shared" si="1001"/>
        <v>C:\Users\jaime.benazar\Quorum Business Solutions\Ecopetrol Prometeo - Documents\Planning Space Implementation\3. Analysis &amp; Design\Design\FC22\DRR Jaime\QUIFA-CAJÚA\Cajua\[CAJUA_CF_SEC_New_27-Feb-2024Rev3.xlsx]D-PS'!</v>
      </c>
      <c r="G4155" s="32" t="s">
        <v>114</v>
      </c>
      <c r="H4155" s="33">
        <f t="shared" si="1003"/>
        <v>23</v>
      </c>
      <c r="I4155" s="33" t="str">
        <f t="shared" si="1002"/>
        <v>='C:\Users\jaime.benazar\Quorum Business Solutions\Ecopetrol Prometeo - Documents\Planning Space Implementation\3. Analysis &amp; Design\Design\FC22\DRR Jaime\QUIFA-CAJÚA\Cajua\[CAJUA_CF_SEC_New_27-Feb-2024Rev3.xlsx]D-PS'!$CB$23</v>
      </c>
      <c r="J4155" s="37" t="s">
        <v>4046</v>
      </c>
    </row>
    <row r="4156" spans="1:10" x14ac:dyDescent="0.25">
      <c r="A4156" s="32" t="s">
        <v>34</v>
      </c>
      <c r="B4156" s="32">
        <f t="shared" si="1004"/>
        <v>2035</v>
      </c>
      <c r="C4156" s="33" t="s">
        <v>109</v>
      </c>
      <c r="D4156" s="34" t="s">
        <v>1999</v>
      </c>
      <c r="E4156" s="35" t="str">
        <f t="shared" si="1000"/>
        <v>PS'!</v>
      </c>
      <c r="F4156" s="34" t="str">
        <f t="shared" si="1001"/>
        <v>C:\Users\jaime.benazar\Quorum Business Solutions\Ecopetrol Prometeo - Documents\Planning Space Implementation\3. Analysis &amp; Design\Design\FC22\DRR Jaime\QUIFA-CAJÚA\Cajua\[CAJUA_CF_SEC_New_27-Feb-2024Rev3.xlsx]D-PS'!</v>
      </c>
      <c r="G4156" s="32" t="s">
        <v>114</v>
      </c>
      <c r="H4156" s="33">
        <f t="shared" si="1003"/>
        <v>24</v>
      </c>
      <c r="I4156" s="33" t="str">
        <f t="shared" si="1002"/>
        <v>='C:\Users\jaime.benazar\Quorum Business Solutions\Ecopetrol Prometeo - Documents\Planning Space Implementation\3. Analysis &amp; Design\Design\FC22\DRR Jaime\QUIFA-CAJÚA\Cajua\[CAJUA_CF_SEC_New_27-Feb-2024Rev3.xlsx]D-PS'!$CB$24</v>
      </c>
      <c r="J4156" s="37" t="s">
        <v>4047</v>
      </c>
    </row>
    <row r="4157" spans="1:10" x14ac:dyDescent="0.25">
      <c r="A4157" s="32" t="s">
        <v>34</v>
      </c>
      <c r="B4157" s="32">
        <f t="shared" si="1004"/>
        <v>2036</v>
      </c>
      <c r="C4157" s="33" t="s">
        <v>109</v>
      </c>
      <c r="D4157" s="34" t="s">
        <v>1999</v>
      </c>
      <c r="E4157" s="35" t="str">
        <f t="shared" si="1000"/>
        <v>PS'!</v>
      </c>
      <c r="F4157" s="34" t="str">
        <f t="shared" si="1001"/>
        <v>C:\Users\jaime.benazar\Quorum Business Solutions\Ecopetrol Prometeo - Documents\Planning Space Implementation\3. Analysis &amp; Design\Design\FC22\DRR Jaime\QUIFA-CAJÚA\Cajua\[CAJUA_CF_SEC_New_27-Feb-2024Rev3.xlsx]D-PS'!</v>
      </c>
      <c r="G4157" s="32" t="s">
        <v>114</v>
      </c>
      <c r="H4157" s="33">
        <f t="shared" si="1003"/>
        <v>25</v>
      </c>
      <c r="I4157" s="33" t="str">
        <f t="shared" si="1002"/>
        <v>='C:\Users\jaime.benazar\Quorum Business Solutions\Ecopetrol Prometeo - Documents\Planning Space Implementation\3. Analysis &amp; Design\Design\FC22\DRR Jaime\QUIFA-CAJÚA\Cajua\[CAJUA_CF_SEC_New_27-Feb-2024Rev3.xlsx]D-PS'!$CB$25</v>
      </c>
      <c r="J4157" s="37" t="s">
        <v>4048</v>
      </c>
    </row>
    <row r="4158" spans="1:10" x14ac:dyDescent="0.25">
      <c r="A4158" s="32" t="s">
        <v>34</v>
      </c>
      <c r="B4158" s="32">
        <f>+B4157+1</f>
        <v>2037</v>
      </c>
      <c r="C4158" s="33" t="s">
        <v>109</v>
      </c>
      <c r="D4158" s="34" t="s">
        <v>1999</v>
      </c>
      <c r="E4158" s="35" t="str">
        <f t="shared" si="1000"/>
        <v>PS'!</v>
      </c>
      <c r="F4158" s="34" t="str">
        <f t="shared" si="1001"/>
        <v>C:\Users\jaime.benazar\Quorum Business Solutions\Ecopetrol Prometeo - Documents\Planning Space Implementation\3. Analysis &amp; Design\Design\FC22\DRR Jaime\QUIFA-CAJÚA\Cajua\[CAJUA_CF_SEC_New_27-Feb-2024Rev3.xlsx]D-PS'!</v>
      </c>
      <c r="G4158" s="32" t="s">
        <v>114</v>
      </c>
      <c r="H4158" s="33">
        <f t="shared" si="1003"/>
        <v>26</v>
      </c>
      <c r="I4158" s="33" t="str">
        <f t="shared" si="1002"/>
        <v>='C:\Users\jaime.benazar\Quorum Business Solutions\Ecopetrol Prometeo - Documents\Planning Space Implementation\3. Analysis &amp; Design\Design\FC22\DRR Jaime\QUIFA-CAJÚA\Cajua\[CAJUA_CF_SEC_New_27-Feb-2024Rev3.xlsx]D-PS'!$CB$26</v>
      </c>
      <c r="J4158" s="37" t="s">
        <v>4049</v>
      </c>
    </row>
    <row r="4159" spans="1:10" x14ac:dyDescent="0.25">
      <c r="A4159" s="32" t="s">
        <v>34</v>
      </c>
      <c r="B4159" s="32">
        <f t="shared" ref="B4159:B4161" si="1005">+B4158+1</f>
        <v>2038</v>
      </c>
      <c r="C4159" s="33" t="s">
        <v>109</v>
      </c>
      <c r="D4159" s="34" t="s">
        <v>1999</v>
      </c>
      <c r="E4159" s="35" t="str">
        <f t="shared" si="1000"/>
        <v>PS'!</v>
      </c>
      <c r="F4159" s="34" t="str">
        <f t="shared" si="1001"/>
        <v>C:\Users\jaime.benazar\Quorum Business Solutions\Ecopetrol Prometeo - Documents\Planning Space Implementation\3. Analysis &amp; Design\Design\FC22\DRR Jaime\QUIFA-CAJÚA\Cajua\[CAJUA_CF_SEC_New_27-Feb-2024Rev3.xlsx]D-PS'!</v>
      </c>
      <c r="G4159" s="32" t="s">
        <v>114</v>
      </c>
      <c r="H4159" s="33">
        <f t="shared" si="1003"/>
        <v>27</v>
      </c>
      <c r="I4159" s="33" t="str">
        <f t="shared" si="1002"/>
        <v>='C:\Users\jaime.benazar\Quorum Business Solutions\Ecopetrol Prometeo - Documents\Planning Space Implementation\3. Analysis &amp; Design\Design\FC22\DRR Jaime\QUIFA-CAJÚA\Cajua\[CAJUA_CF_SEC_New_27-Feb-2024Rev3.xlsx]D-PS'!$CB$27</v>
      </c>
      <c r="J4159" s="37" t="s">
        <v>4050</v>
      </c>
    </row>
    <row r="4160" spans="1:10" x14ac:dyDescent="0.25">
      <c r="A4160" s="32" t="s">
        <v>34</v>
      </c>
      <c r="B4160" s="32">
        <f t="shared" si="1005"/>
        <v>2039</v>
      </c>
      <c r="C4160" s="33" t="s">
        <v>109</v>
      </c>
      <c r="D4160" s="34" t="s">
        <v>1999</v>
      </c>
      <c r="E4160" s="35" t="str">
        <f t="shared" si="1000"/>
        <v>PS'!</v>
      </c>
      <c r="F4160" s="34" t="str">
        <f t="shared" si="1001"/>
        <v>C:\Users\jaime.benazar\Quorum Business Solutions\Ecopetrol Prometeo - Documents\Planning Space Implementation\3. Analysis &amp; Design\Design\FC22\DRR Jaime\QUIFA-CAJÚA\Cajua\[CAJUA_CF_SEC_New_27-Feb-2024Rev3.xlsx]D-PS'!</v>
      </c>
      <c r="G4160" s="32" t="s">
        <v>114</v>
      </c>
      <c r="H4160" s="33">
        <f t="shared" si="1003"/>
        <v>28</v>
      </c>
      <c r="I4160" s="33" t="str">
        <f t="shared" si="1002"/>
        <v>='C:\Users\jaime.benazar\Quorum Business Solutions\Ecopetrol Prometeo - Documents\Planning Space Implementation\3. Analysis &amp; Design\Design\FC22\DRR Jaime\QUIFA-CAJÚA\Cajua\[CAJUA_CF_SEC_New_27-Feb-2024Rev3.xlsx]D-PS'!$CB$28</v>
      </c>
      <c r="J4160" s="37" t="s">
        <v>4051</v>
      </c>
    </row>
    <row r="4161" spans="1:10" x14ac:dyDescent="0.25">
      <c r="A4161" s="32" t="s">
        <v>34</v>
      </c>
      <c r="B4161" s="32">
        <f t="shared" si="1005"/>
        <v>2040</v>
      </c>
      <c r="C4161" s="33" t="s">
        <v>109</v>
      </c>
      <c r="D4161" s="34" t="s">
        <v>1999</v>
      </c>
      <c r="E4161" s="35" t="str">
        <f t="shared" si="1000"/>
        <v>PS'!</v>
      </c>
      <c r="F4161" s="34" t="str">
        <f t="shared" si="1001"/>
        <v>C:\Users\jaime.benazar\Quorum Business Solutions\Ecopetrol Prometeo - Documents\Planning Space Implementation\3. Analysis &amp; Design\Design\FC22\DRR Jaime\QUIFA-CAJÚA\Cajua\[CAJUA_CF_SEC_New_27-Feb-2024Rev3.xlsx]D-PS'!</v>
      </c>
      <c r="G4161" s="32" t="s">
        <v>114</v>
      </c>
      <c r="H4161" s="33">
        <f t="shared" si="1003"/>
        <v>29</v>
      </c>
      <c r="I4161" s="33" t="str">
        <f t="shared" si="1002"/>
        <v>='C:\Users\jaime.benazar\Quorum Business Solutions\Ecopetrol Prometeo - Documents\Planning Space Implementation\3. Analysis &amp; Design\Design\FC22\DRR Jaime\QUIFA-CAJÚA\Cajua\[CAJUA_CF_SEC_New_27-Feb-2024Rev3.xlsx]D-PS'!$CB$29</v>
      </c>
      <c r="J4161" s="37" t="s">
        <v>4052</v>
      </c>
    </row>
    <row r="4162" spans="1:10" x14ac:dyDescent="0.25">
      <c r="A4162" s="32" t="s">
        <v>34</v>
      </c>
      <c r="B4162" s="32">
        <f>+B4161+1</f>
        <v>2041</v>
      </c>
      <c r="C4162" s="33" t="s">
        <v>109</v>
      </c>
      <c r="D4162" s="34" t="s">
        <v>1999</v>
      </c>
      <c r="E4162" s="35" t="str">
        <f t="shared" si="1000"/>
        <v>PS'!</v>
      </c>
      <c r="F4162" s="34" t="str">
        <f t="shared" si="1001"/>
        <v>C:\Users\jaime.benazar\Quorum Business Solutions\Ecopetrol Prometeo - Documents\Planning Space Implementation\3. Analysis &amp; Design\Design\FC22\DRR Jaime\QUIFA-CAJÚA\Cajua\[CAJUA_CF_SEC_New_27-Feb-2024Rev3.xlsx]D-PS'!</v>
      </c>
      <c r="G4162" s="32" t="s">
        <v>114</v>
      </c>
      <c r="H4162" s="33">
        <f t="shared" si="1003"/>
        <v>30</v>
      </c>
      <c r="I4162" s="33" t="str">
        <f t="shared" si="1002"/>
        <v>='C:\Users\jaime.benazar\Quorum Business Solutions\Ecopetrol Prometeo - Documents\Planning Space Implementation\3. Analysis &amp; Design\Design\FC22\DRR Jaime\QUIFA-CAJÚA\Cajua\[CAJUA_CF_SEC_New_27-Feb-2024Rev3.xlsx]D-PS'!$CB$30</v>
      </c>
      <c r="J4162" s="37" t="s">
        <v>4053</v>
      </c>
    </row>
    <row r="4163" spans="1:10" x14ac:dyDescent="0.25">
      <c r="A4163" s="32" t="s">
        <v>34</v>
      </c>
      <c r="B4163" s="32">
        <f t="shared" ref="B4163:B4164" si="1006">+B4162+1</f>
        <v>2042</v>
      </c>
      <c r="C4163" s="33" t="s">
        <v>109</v>
      </c>
      <c r="D4163" s="34" t="s">
        <v>1999</v>
      </c>
      <c r="E4163" s="35" t="str">
        <f t="shared" si="1000"/>
        <v>PS'!</v>
      </c>
      <c r="F4163" s="34" t="str">
        <f t="shared" si="1001"/>
        <v>C:\Users\jaime.benazar\Quorum Business Solutions\Ecopetrol Prometeo - Documents\Planning Space Implementation\3. Analysis &amp; Design\Design\FC22\DRR Jaime\QUIFA-CAJÚA\Cajua\[CAJUA_CF_SEC_New_27-Feb-2024Rev3.xlsx]D-PS'!</v>
      </c>
      <c r="G4163" s="32" t="s">
        <v>114</v>
      </c>
      <c r="H4163" s="33">
        <f t="shared" si="1003"/>
        <v>31</v>
      </c>
      <c r="I4163" s="33" t="str">
        <f t="shared" si="1002"/>
        <v>='C:\Users\jaime.benazar\Quorum Business Solutions\Ecopetrol Prometeo - Documents\Planning Space Implementation\3. Analysis &amp; Design\Design\FC22\DRR Jaime\QUIFA-CAJÚA\Cajua\[CAJUA_CF_SEC_New_27-Feb-2024Rev3.xlsx]D-PS'!$CB$31</v>
      </c>
      <c r="J4163" s="37" t="s">
        <v>4054</v>
      </c>
    </row>
    <row r="4164" spans="1:10" x14ac:dyDescent="0.25">
      <c r="A4164" s="32" t="s">
        <v>34</v>
      </c>
      <c r="B4164" s="32">
        <f t="shared" si="1006"/>
        <v>2043</v>
      </c>
      <c r="C4164" s="33" t="s">
        <v>109</v>
      </c>
      <c r="D4164" s="34" t="s">
        <v>1999</v>
      </c>
      <c r="E4164" s="35" t="str">
        <f t="shared" si="1000"/>
        <v>PS'!</v>
      </c>
      <c r="F4164" s="34" t="str">
        <f t="shared" si="1001"/>
        <v>C:\Users\jaime.benazar\Quorum Business Solutions\Ecopetrol Prometeo - Documents\Planning Space Implementation\3. Analysis &amp; Design\Design\FC22\DRR Jaime\QUIFA-CAJÚA\Cajua\[CAJUA_CF_SEC_New_27-Feb-2024Rev3.xlsx]D-PS'!</v>
      </c>
      <c r="G4164" s="32" t="s">
        <v>114</v>
      </c>
      <c r="H4164" s="33">
        <f t="shared" si="1003"/>
        <v>32</v>
      </c>
      <c r="I4164" s="33" t="str">
        <f t="shared" si="1002"/>
        <v>='C:\Users\jaime.benazar\Quorum Business Solutions\Ecopetrol Prometeo - Documents\Planning Space Implementation\3. Analysis &amp; Design\Design\FC22\DRR Jaime\QUIFA-CAJÚA\Cajua\[CAJUA_CF_SEC_New_27-Feb-2024Rev3.xlsx]D-PS'!$CB$32</v>
      </c>
      <c r="J4164" s="37" t="s">
        <v>4055</v>
      </c>
    </row>
    <row r="4165" spans="1:10" x14ac:dyDescent="0.25">
      <c r="A4165" s="32" t="s">
        <v>34</v>
      </c>
      <c r="B4165" s="32">
        <f>+B4164+1</f>
        <v>2044</v>
      </c>
      <c r="C4165" s="33" t="s">
        <v>109</v>
      </c>
      <c r="D4165" s="34" t="s">
        <v>1999</v>
      </c>
      <c r="E4165" s="35" t="str">
        <f t="shared" ref="E4165:E4180" si="1007">_xlfn.CONCAT(A4165,"'!")</f>
        <v>PS'!</v>
      </c>
      <c r="F4165" s="34" t="str">
        <f t="shared" ref="F4165:F4180" si="1008">_xlfn.CONCAT(D4165:E4165)</f>
        <v>C:\Users\jaime.benazar\Quorum Business Solutions\Ecopetrol Prometeo - Documents\Planning Space Implementation\3. Analysis &amp; Design\Design\FC22\DRR Jaime\QUIFA-CAJÚA\Cajua\[CAJUA_CF_SEC_New_27-Feb-2024Rev3.xlsx]D-PS'!</v>
      </c>
      <c r="G4165" s="32" t="s">
        <v>114</v>
      </c>
      <c r="H4165" s="33">
        <f t="shared" ref="H4165:H4180" si="1009">IF(A4165&lt;&gt;A4164,12,H4164+1)</f>
        <v>33</v>
      </c>
      <c r="I4165" s="33" t="str">
        <f t="shared" ref="I4165:I4180" si="1010">_xlfn.CONCAT("='",F4165:H4165)</f>
        <v>='C:\Users\jaime.benazar\Quorum Business Solutions\Ecopetrol Prometeo - Documents\Planning Space Implementation\3. Analysis &amp; Design\Design\FC22\DRR Jaime\QUIFA-CAJÚA\Cajua\[CAJUA_CF_SEC_New_27-Feb-2024Rev3.xlsx]D-PS'!$CB$33</v>
      </c>
      <c r="J4165" s="37" t="s">
        <v>4056</v>
      </c>
    </row>
    <row r="4166" spans="1:10" x14ac:dyDescent="0.25">
      <c r="A4166" s="32" t="s">
        <v>34</v>
      </c>
      <c r="B4166" s="32">
        <f t="shared" ref="B4166:B4180" si="1011">+B4165+1</f>
        <v>2045</v>
      </c>
      <c r="C4166" s="33" t="s">
        <v>109</v>
      </c>
      <c r="D4166" s="34" t="s">
        <v>1999</v>
      </c>
      <c r="E4166" s="35" t="str">
        <f t="shared" si="1007"/>
        <v>PS'!</v>
      </c>
      <c r="F4166" s="34" t="str">
        <f t="shared" si="1008"/>
        <v>C:\Users\jaime.benazar\Quorum Business Solutions\Ecopetrol Prometeo - Documents\Planning Space Implementation\3. Analysis &amp; Design\Design\FC22\DRR Jaime\QUIFA-CAJÚA\Cajua\[CAJUA_CF_SEC_New_27-Feb-2024Rev3.xlsx]D-PS'!</v>
      </c>
      <c r="G4166" s="32" t="s">
        <v>114</v>
      </c>
      <c r="H4166" s="33">
        <f t="shared" si="1009"/>
        <v>34</v>
      </c>
      <c r="I4166" s="33" t="str">
        <f t="shared" si="1010"/>
        <v>='C:\Users\jaime.benazar\Quorum Business Solutions\Ecopetrol Prometeo - Documents\Planning Space Implementation\3. Analysis &amp; Design\Design\FC22\DRR Jaime\QUIFA-CAJÚA\Cajua\[CAJUA_CF_SEC_New_27-Feb-2024Rev3.xlsx]D-PS'!$CB$34</v>
      </c>
      <c r="J4166" s="37" t="s">
        <v>4057</v>
      </c>
    </row>
    <row r="4167" spans="1:10" x14ac:dyDescent="0.25">
      <c r="A4167" s="32" t="s">
        <v>34</v>
      </c>
      <c r="B4167" s="32">
        <f t="shared" si="1011"/>
        <v>2046</v>
      </c>
      <c r="C4167" s="33" t="s">
        <v>109</v>
      </c>
      <c r="D4167" s="34" t="s">
        <v>1999</v>
      </c>
      <c r="E4167" s="35" t="str">
        <f t="shared" si="1007"/>
        <v>PS'!</v>
      </c>
      <c r="F4167" s="34" t="str">
        <f t="shared" si="1008"/>
        <v>C:\Users\jaime.benazar\Quorum Business Solutions\Ecopetrol Prometeo - Documents\Planning Space Implementation\3. Analysis &amp; Design\Design\FC22\DRR Jaime\QUIFA-CAJÚA\Cajua\[CAJUA_CF_SEC_New_27-Feb-2024Rev3.xlsx]D-PS'!</v>
      </c>
      <c r="G4167" s="32" t="s">
        <v>114</v>
      </c>
      <c r="H4167" s="33">
        <f t="shared" si="1009"/>
        <v>35</v>
      </c>
      <c r="I4167" s="33" t="str">
        <f t="shared" si="1010"/>
        <v>='C:\Users\jaime.benazar\Quorum Business Solutions\Ecopetrol Prometeo - Documents\Planning Space Implementation\3. Analysis &amp; Design\Design\FC22\DRR Jaime\QUIFA-CAJÚA\Cajua\[CAJUA_CF_SEC_New_27-Feb-2024Rev3.xlsx]D-PS'!$CB$35</v>
      </c>
      <c r="J4167" s="37" t="s">
        <v>4058</v>
      </c>
    </row>
    <row r="4168" spans="1:10" x14ac:dyDescent="0.25">
      <c r="A4168" s="32" t="s">
        <v>34</v>
      </c>
      <c r="B4168" s="32">
        <f t="shared" si="1011"/>
        <v>2047</v>
      </c>
      <c r="C4168" s="33" t="s">
        <v>109</v>
      </c>
      <c r="D4168" s="34" t="s">
        <v>1999</v>
      </c>
      <c r="E4168" s="35" t="str">
        <f t="shared" si="1007"/>
        <v>PS'!</v>
      </c>
      <c r="F4168" s="34" t="str">
        <f t="shared" si="1008"/>
        <v>C:\Users\jaime.benazar\Quorum Business Solutions\Ecopetrol Prometeo - Documents\Planning Space Implementation\3. Analysis &amp; Design\Design\FC22\DRR Jaime\QUIFA-CAJÚA\Cajua\[CAJUA_CF_SEC_New_27-Feb-2024Rev3.xlsx]D-PS'!</v>
      </c>
      <c r="G4168" s="32" t="s">
        <v>114</v>
      </c>
      <c r="H4168" s="33">
        <f t="shared" si="1009"/>
        <v>36</v>
      </c>
      <c r="I4168" s="33" t="str">
        <f t="shared" si="1010"/>
        <v>='C:\Users\jaime.benazar\Quorum Business Solutions\Ecopetrol Prometeo - Documents\Planning Space Implementation\3. Analysis &amp; Design\Design\FC22\DRR Jaime\QUIFA-CAJÚA\Cajua\[CAJUA_CF_SEC_New_27-Feb-2024Rev3.xlsx]D-PS'!$CB$36</v>
      </c>
      <c r="J4168" s="37" t="s">
        <v>4059</v>
      </c>
    </row>
    <row r="4169" spans="1:10" x14ac:dyDescent="0.25">
      <c r="A4169" s="32" t="s">
        <v>34</v>
      </c>
      <c r="B4169" s="32">
        <f t="shared" si="1011"/>
        <v>2048</v>
      </c>
      <c r="C4169" s="33" t="s">
        <v>109</v>
      </c>
      <c r="D4169" s="34" t="s">
        <v>1999</v>
      </c>
      <c r="E4169" s="35" t="str">
        <f t="shared" si="1007"/>
        <v>PS'!</v>
      </c>
      <c r="F4169" s="34" t="str">
        <f t="shared" si="1008"/>
        <v>C:\Users\jaime.benazar\Quorum Business Solutions\Ecopetrol Prometeo - Documents\Planning Space Implementation\3. Analysis &amp; Design\Design\FC22\DRR Jaime\QUIFA-CAJÚA\Cajua\[CAJUA_CF_SEC_New_27-Feb-2024Rev3.xlsx]D-PS'!</v>
      </c>
      <c r="G4169" s="32" t="s">
        <v>114</v>
      </c>
      <c r="H4169" s="33">
        <f t="shared" si="1009"/>
        <v>37</v>
      </c>
      <c r="I4169" s="33" t="str">
        <f t="shared" si="1010"/>
        <v>='C:\Users\jaime.benazar\Quorum Business Solutions\Ecopetrol Prometeo - Documents\Planning Space Implementation\3. Analysis &amp; Design\Design\FC22\DRR Jaime\QUIFA-CAJÚA\Cajua\[CAJUA_CF_SEC_New_27-Feb-2024Rev3.xlsx]D-PS'!$CB$37</v>
      </c>
      <c r="J4169" s="37" t="s">
        <v>4060</v>
      </c>
    </row>
    <row r="4170" spans="1:10" x14ac:dyDescent="0.25">
      <c r="A4170" s="32" t="s">
        <v>34</v>
      </c>
      <c r="B4170" s="32">
        <f t="shared" si="1011"/>
        <v>2049</v>
      </c>
      <c r="C4170" s="33" t="s">
        <v>109</v>
      </c>
      <c r="D4170" s="34" t="s">
        <v>1999</v>
      </c>
      <c r="E4170" s="35" t="str">
        <f t="shared" si="1007"/>
        <v>PS'!</v>
      </c>
      <c r="F4170" s="34" t="str">
        <f t="shared" si="1008"/>
        <v>C:\Users\jaime.benazar\Quorum Business Solutions\Ecopetrol Prometeo - Documents\Planning Space Implementation\3. Analysis &amp; Design\Design\FC22\DRR Jaime\QUIFA-CAJÚA\Cajua\[CAJUA_CF_SEC_New_27-Feb-2024Rev3.xlsx]D-PS'!</v>
      </c>
      <c r="G4170" s="32" t="s">
        <v>114</v>
      </c>
      <c r="H4170" s="33">
        <f t="shared" si="1009"/>
        <v>38</v>
      </c>
      <c r="I4170" s="33" t="str">
        <f t="shared" si="1010"/>
        <v>='C:\Users\jaime.benazar\Quorum Business Solutions\Ecopetrol Prometeo - Documents\Planning Space Implementation\3. Analysis &amp; Design\Design\FC22\DRR Jaime\QUIFA-CAJÚA\Cajua\[CAJUA_CF_SEC_New_27-Feb-2024Rev3.xlsx]D-PS'!$CB$38</v>
      </c>
      <c r="J4170" s="37" t="s">
        <v>4061</v>
      </c>
    </row>
    <row r="4171" spans="1:10" x14ac:dyDescent="0.25">
      <c r="A4171" s="32" t="s">
        <v>34</v>
      </c>
      <c r="B4171" s="32">
        <f t="shared" si="1011"/>
        <v>2050</v>
      </c>
      <c r="C4171" s="33" t="s">
        <v>109</v>
      </c>
      <c r="D4171" s="34" t="s">
        <v>1999</v>
      </c>
      <c r="E4171" s="35" t="str">
        <f t="shared" si="1007"/>
        <v>PS'!</v>
      </c>
      <c r="F4171" s="34" t="str">
        <f t="shared" si="1008"/>
        <v>C:\Users\jaime.benazar\Quorum Business Solutions\Ecopetrol Prometeo - Documents\Planning Space Implementation\3. Analysis &amp; Design\Design\FC22\DRR Jaime\QUIFA-CAJÚA\Cajua\[CAJUA_CF_SEC_New_27-Feb-2024Rev3.xlsx]D-PS'!</v>
      </c>
      <c r="G4171" s="32" t="s">
        <v>114</v>
      </c>
      <c r="H4171" s="33">
        <f t="shared" si="1009"/>
        <v>39</v>
      </c>
      <c r="I4171" s="33" t="str">
        <f t="shared" si="1010"/>
        <v>='C:\Users\jaime.benazar\Quorum Business Solutions\Ecopetrol Prometeo - Documents\Planning Space Implementation\3. Analysis &amp; Design\Design\FC22\DRR Jaime\QUIFA-CAJÚA\Cajua\[CAJUA_CF_SEC_New_27-Feb-2024Rev3.xlsx]D-PS'!$CB$39</v>
      </c>
      <c r="J4171" s="37" t="s">
        <v>4062</v>
      </c>
    </row>
    <row r="4172" spans="1:10" x14ac:dyDescent="0.25">
      <c r="A4172" s="32" t="s">
        <v>34</v>
      </c>
      <c r="B4172" s="32">
        <f t="shared" si="1011"/>
        <v>2051</v>
      </c>
      <c r="C4172" s="33" t="s">
        <v>109</v>
      </c>
      <c r="D4172" s="34" t="s">
        <v>1999</v>
      </c>
      <c r="E4172" s="35" t="str">
        <f t="shared" si="1007"/>
        <v>PS'!</v>
      </c>
      <c r="F4172" s="34" t="str">
        <f t="shared" si="1008"/>
        <v>C:\Users\jaime.benazar\Quorum Business Solutions\Ecopetrol Prometeo - Documents\Planning Space Implementation\3. Analysis &amp; Design\Design\FC22\DRR Jaime\QUIFA-CAJÚA\Cajua\[CAJUA_CF_SEC_New_27-Feb-2024Rev3.xlsx]D-PS'!</v>
      </c>
      <c r="G4172" s="32" t="s">
        <v>114</v>
      </c>
      <c r="H4172" s="33">
        <f t="shared" si="1009"/>
        <v>40</v>
      </c>
      <c r="I4172" s="33" t="str">
        <f t="shared" si="1010"/>
        <v>='C:\Users\jaime.benazar\Quorum Business Solutions\Ecopetrol Prometeo - Documents\Planning Space Implementation\3. Analysis &amp; Design\Design\FC22\DRR Jaime\QUIFA-CAJÚA\Cajua\[CAJUA_CF_SEC_New_27-Feb-2024Rev3.xlsx]D-PS'!$CB$40</v>
      </c>
      <c r="J4172" s="37" t="s">
        <v>4063</v>
      </c>
    </row>
    <row r="4173" spans="1:10" x14ac:dyDescent="0.25">
      <c r="A4173" s="32" t="s">
        <v>34</v>
      </c>
      <c r="B4173" s="32">
        <f t="shared" si="1011"/>
        <v>2052</v>
      </c>
      <c r="C4173" s="33" t="s">
        <v>109</v>
      </c>
      <c r="D4173" s="34" t="s">
        <v>1999</v>
      </c>
      <c r="E4173" s="35" t="str">
        <f t="shared" si="1007"/>
        <v>PS'!</v>
      </c>
      <c r="F4173" s="34" t="str">
        <f t="shared" si="1008"/>
        <v>C:\Users\jaime.benazar\Quorum Business Solutions\Ecopetrol Prometeo - Documents\Planning Space Implementation\3. Analysis &amp; Design\Design\FC22\DRR Jaime\QUIFA-CAJÚA\Cajua\[CAJUA_CF_SEC_New_27-Feb-2024Rev3.xlsx]D-PS'!</v>
      </c>
      <c r="G4173" s="32" t="s">
        <v>114</v>
      </c>
      <c r="H4173" s="33">
        <f t="shared" si="1009"/>
        <v>41</v>
      </c>
      <c r="I4173" s="33" t="str">
        <f t="shared" si="1010"/>
        <v>='C:\Users\jaime.benazar\Quorum Business Solutions\Ecopetrol Prometeo - Documents\Planning Space Implementation\3. Analysis &amp; Design\Design\FC22\DRR Jaime\QUIFA-CAJÚA\Cajua\[CAJUA_CF_SEC_New_27-Feb-2024Rev3.xlsx]D-PS'!$CB$41</v>
      </c>
      <c r="J4173" s="37" t="s">
        <v>4064</v>
      </c>
    </row>
    <row r="4174" spans="1:10" x14ac:dyDescent="0.25">
      <c r="A4174" s="32" t="s">
        <v>34</v>
      </c>
      <c r="B4174" s="32">
        <f t="shared" si="1011"/>
        <v>2053</v>
      </c>
      <c r="C4174" s="33" t="s">
        <v>109</v>
      </c>
      <c r="D4174" s="34" t="s">
        <v>1999</v>
      </c>
      <c r="E4174" s="35" t="str">
        <f t="shared" si="1007"/>
        <v>PS'!</v>
      </c>
      <c r="F4174" s="34" t="str">
        <f t="shared" si="1008"/>
        <v>C:\Users\jaime.benazar\Quorum Business Solutions\Ecopetrol Prometeo - Documents\Planning Space Implementation\3. Analysis &amp; Design\Design\FC22\DRR Jaime\QUIFA-CAJÚA\Cajua\[CAJUA_CF_SEC_New_27-Feb-2024Rev3.xlsx]D-PS'!</v>
      </c>
      <c r="G4174" s="32" t="s">
        <v>114</v>
      </c>
      <c r="H4174" s="33">
        <f t="shared" si="1009"/>
        <v>42</v>
      </c>
      <c r="I4174" s="33" t="str">
        <f t="shared" si="1010"/>
        <v>='C:\Users\jaime.benazar\Quorum Business Solutions\Ecopetrol Prometeo - Documents\Planning Space Implementation\3. Analysis &amp; Design\Design\FC22\DRR Jaime\QUIFA-CAJÚA\Cajua\[CAJUA_CF_SEC_New_27-Feb-2024Rev3.xlsx]D-PS'!$CB$42</v>
      </c>
      <c r="J4174" s="37" t="s">
        <v>4065</v>
      </c>
    </row>
    <row r="4175" spans="1:10" x14ac:dyDescent="0.25">
      <c r="A4175" s="32" t="s">
        <v>34</v>
      </c>
      <c r="B4175" s="32">
        <f t="shared" si="1011"/>
        <v>2054</v>
      </c>
      <c r="C4175" s="33" t="s">
        <v>109</v>
      </c>
      <c r="D4175" s="34" t="s">
        <v>1999</v>
      </c>
      <c r="E4175" s="35" t="str">
        <f t="shared" si="1007"/>
        <v>PS'!</v>
      </c>
      <c r="F4175" s="34" t="str">
        <f t="shared" si="1008"/>
        <v>C:\Users\jaime.benazar\Quorum Business Solutions\Ecopetrol Prometeo - Documents\Planning Space Implementation\3. Analysis &amp; Design\Design\FC22\DRR Jaime\QUIFA-CAJÚA\Cajua\[CAJUA_CF_SEC_New_27-Feb-2024Rev3.xlsx]D-PS'!</v>
      </c>
      <c r="G4175" s="32" t="s">
        <v>114</v>
      </c>
      <c r="H4175" s="33">
        <f t="shared" si="1009"/>
        <v>43</v>
      </c>
      <c r="I4175" s="33" t="str">
        <f t="shared" si="1010"/>
        <v>='C:\Users\jaime.benazar\Quorum Business Solutions\Ecopetrol Prometeo - Documents\Planning Space Implementation\3. Analysis &amp; Design\Design\FC22\DRR Jaime\QUIFA-CAJÚA\Cajua\[CAJUA_CF_SEC_New_27-Feb-2024Rev3.xlsx]D-PS'!$CB$43</v>
      </c>
      <c r="J4175" s="37" t="s">
        <v>4066</v>
      </c>
    </row>
    <row r="4176" spans="1:10" x14ac:dyDescent="0.25">
      <c r="A4176" s="32" t="s">
        <v>34</v>
      </c>
      <c r="B4176" s="32">
        <f t="shared" si="1011"/>
        <v>2055</v>
      </c>
      <c r="C4176" s="33" t="s">
        <v>109</v>
      </c>
      <c r="D4176" s="34" t="s">
        <v>1999</v>
      </c>
      <c r="E4176" s="35" t="str">
        <f t="shared" si="1007"/>
        <v>PS'!</v>
      </c>
      <c r="F4176" s="34" t="str">
        <f t="shared" si="1008"/>
        <v>C:\Users\jaime.benazar\Quorum Business Solutions\Ecopetrol Prometeo - Documents\Planning Space Implementation\3. Analysis &amp; Design\Design\FC22\DRR Jaime\QUIFA-CAJÚA\Cajua\[CAJUA_CF_SEC_New_27-Feb-2024Rev3.xlsx]D-PS'!</v>
      </c>
      <c r="G4176" s="32" t="s">
        <v>114</v>
      </c>
      <c r="H4176" s="33">
        <f t="shared" si="1009"/>
        <v>44</v>
      </c>
      <c r="I4176" s="33" t="str">
        <f t="shared" si="1010"/>
        <v>='C:\Users\jaime.benazar\Quorum Business Solutions\Ecopetrol Prometeo - Documents\Planning Space Implementation\3. Analysis &amp; Design\Design\FC22\DRR Jaime\QUIFA-CAJÚA\Cajua\[CAJUA_CF_SEC_New_27-Feb-2024Rev3.xlsx]D-PS'!$CB$44</v>
      </c>
      <c r="J4176" s="37" t="s">
        <v>4067</v>
      </c>
    </row>
    <row r="4177" spans="1:10" x14ac:dyDescent="0.25">
      <c r="A4177" s="32" t="s">
        <v>34</v>
      </c>
      <c r="B4177" s="32">
        <f t="shared" si="1011"/>
        <v>2056</v>
      </c>
      <c r="C4177" s="33" t="s">
        <v>109</v>
      </c>
      <c r="D4177" s="34" t="s">
        <v>1999</v>
      </c>
      <c r="E4177" s="35" t="str">
        <f t="shared" si="1007"/>
        <v>PS'!</v>
      </c>
      <c r="F4177" s="34" t="str">
        <f t="shared" si="1008"/>
        <v>C:\Users\jaime.benazar\Quorum Business Solutions\Ecopetrol Prometeo - Documents\Planning Space Implementation\3. Analysis &amp; Design\Design\FC22\DRR Jaime\QUIFA-CAJÚA\Cajua\[CAJUA_CF_SEC_New_27-Feb-2024Rev3.xlsx]D-PS'!</v>
      </c>
      <c r="G4177" s="32" t="s">
        <v>114</v>
      </c>
      <c r="H4177" s="33">
        <f t="shared" si="1009"/>
        <v>45</v>
      </c>
      <c r="I4177" s="33" t="str">
        <f t="shared" si="1010"/>
        <v>='C:\Users\jaime.benazar\Quorum Business Solutions\Ecopetrol Prometeo - Documents\Planning Space Implementation\3. Analysis &amp; Design\Design\FC22\DRR Jaime\QUIFA-CAJÚA\Cajua\[CAJUA_CF_SEC_New_27-Feb-2024Rev3.xlsx]D-PS'!$CB$45</v>
      </c>
      <c r="J4177" s="37" t="s">
        <v>4068</v>
      </c>
    </row>
    <row r="4178" spans="1:10" x14ac:dyDescent="0.25">
      <c r="A4178" s="32" t="s">
        <v>34</v>
      </c>
      <c r="B4178" s="32">
        <f t="shared" si="1011"/>
        <v>2057</v>
      </c>
      <c r="C4178" s="33" t="s">
        <v>109</v>
      </c>
      <c r="D4178" s="34" t="s">
        <v>1999</v>
      </c>
      <c r="E4178" s="35" t="str">
        <f t="shared" si="1007"/>
        <v>PS'!</v>
      </c>
      <c r="F4178" s="34" t="str">
        <f t="shared" si="1008"/>
        <v>C:\Users\jaime.benazar\Quorum Business Solutions\Ecopetrol Prometeo - Documents\Planning Space Implementation\3. Analysis &amp; Design\Design\FC22\DRR Jaime\QUIFA-CAJÚA\Cajua\[CAJUA_CF_SEC_New_27-Feb-2024Rev3.xlsx]D-PS'!</v>
      </c>
      <c r="G4178" s="32" t="s">
        <v>114</v>
      </c>
      <c r="H4178" s="33">
        <f t="shared" si="1009"/>
        <v>46</v>
      </c>
      <c r="I4178" s="33" t="str">
        <f t="shared" si="1010"/>
        <v>='C:\Users\jaime.benazar\Quorum Business Solutions\Ecopetrol Prometeo - Documents\Planning Space Implementation\3. Analysis &amp; Design\Design\FC22\DRR Jaime\QUIFA-CAJÚA\Cajua\[CAJUA_CF_SEC_New_27-Feb-2024Rev3.xlsx]D-PS'!$CB$46</v>
      </c>
      <c r="J4178" s="37" t="s">
        <v>4069</v>
      </c>
    </row>
    <row r="4179" spans="1:10" x14ac:dyDescent="0.25">
      <c r="A4179" s="32" t="s">
        <v>34</v>
      </c>
      <c r="B4179" s="32">
        <f t="shared" si="1011"/>
        <v>2058</v>
      </c>
      <c r="C4179" s="33" t="s">
        <v>109</v>
      </c>
      <c r="D4179" s="34" t="s">
        <v>1999</v>
      </c>
      <c r="E4179" s="35" t="str">
        <f t="shared" si="1007"/>
        <v>PS'!</v>
      </c>
      <c r="F4179" s="34" t="str">
        <f t="shared" si="1008"/>
        <v>C:\Users\jaime.benazar\Quorum Business Solutions\Ecopetrol Prometeo - Documents\Planning Space Implementation\3. Analysis &amp; Design\Design\FC22\DRR Jaime\QUIFA-CAJÚA\Cajua\[CAJUA_CF_SEC_New_27-Feb-2024Rev3.xlsx]D-PS'!</v>
      </c>
      <c r="G4179" s="32" t="s">
        <v>114</v>
      </c>
      <c r="H4179" s="33">
        <f t="shared" si="1009"/>
        <v>47</v>
      </c>
      <c r="I4179" s="33" t="str">
        <f t="shared" si="1010"/>
        <v>='C:\Users\jaime.benazar\Quorum Business Solutions\Ecopetrol Prometeo - Documents\Planning Space Implementation\3. Analysis &amp; Design\Design\FC22\DRR Jaime\QUIFA-CAJÚA\Cajua\[CAJUA_CF_SEC_New_27-Feb-2024Rev3.xlsx]D-PS'!$CB$47</v>
      </c>
      <c r="J4179" s="37" t="s">
        <v>4070</v>
      </c>
    </row>
    <row r="4180" spans="1:10" x14ac:dyDescent="0.25">
      <c r="A4180" s="32" t="s">
        <v>34</v>
      </c>
      <c r="B4180" s="32">
        <f t="shared" si="1011"/>
        <v>2059</v>
      </c>
      <c r="C4180" s="33" t="s">
        <v>109</v>
      </c>
      <c r="D4180" s="34" t="s">
        <v>1999</v>
      </c>
      <c r="E4180" s="35" t="str">
        <f t="shared" si="1007"/>
        <v>PS'!</v>
      </c>
      <c r="F4180" s="34" t="str">
        <f t="shared" si="1008"/>
        <v>C:\Users\jaime.benazar\Quorum Business Solutions\Ecopetrol Prometeo - Documents\Planning Space Implementation\3. Analysis &amp; Design\Design\FC22\DRR Jaime\QUIFA-CAJÚA\Cajua\[CAJUA_CF_SEC_New_27-Feb-2024Rev3.xlsx]D-PS'!</v>
      </c>
      <c r="G4180" s="32" t="s">
        <v>114</v>
      </c>
      <c r="H4180" s="33">
        <f t="shared" si="1009"/>
        <v>48</v>
      </c>
      <c r="I4180" s="33" t="str">
        <f t="shared" si="1010"/>
        <v>='C:\Users\jaime.benazar\Quorum Business Solutions\Ecopetrol Prometeo - Documents\Planning Space Implementation\3. Analysis &amp; Design\Design\FC22\DRR Jaime\QUIFA-CAJÚA\Cajua\[CAJUA_CF_SEC_New_27-Feb-2024Rev3.xlsx]D-PS'!$CB$48</v>
      </c>
      <c r="J4180" s="37" t="s">
        <v>4071</v>
      </c>
    </row>
    <row r="4181" spans="1:10" x14ac:dyDescent="0.25">
      <c r="A4181" s="32" t="s">
        <v>28</v>
      </c>
      <c r="B4181" s="32"/>
      <c r="C4181" s="33" t="s">
        <v>109</v>
      </c>
      <c r="D4181" s="34"/>
      <c r="E4181" s="35"/>
      <c r="F4181" s="34"/>
      <c r="G4181" s="32"/>
      <c r="H4181" s="33"/>
      <c r="I4181" s="33"/>
      <c r="J4181" s="33"/>
    </row>
    <row r="4182" spans="1:10" x14ac:dyDescent="0.25">
      <c r="A4182" s="32" t="s">
        <v>120</v>
      </c>
      <c r="B4182" s="32" t="s">
        <v>1</v>
      </c>
      <c r="C4182" s="33" t="s">
        <v>118</v>
      </c>
      <c r="D4182" s="34" t="s">
        <v>1998</v>
      </c>
      <c r="E4182" s="35" t="str">
        <f t="shared" si="1000"/>
        <v>Consolidado'!</v>
      </c>
      <c r="F4182" s="34" t="str">
        <f>_xlfn.CONCAT(D4182:E4182)</f>
        <v>C:\Users\jaime.benazar\Quorum Business Solutions\Ecopetrol Prometeo - Documents\Planning Space Implementation\3. Analysis &amp; Design\Design\FC22\DRR Jaime\QUIFA-CAJÚA\Cajua\[CAJUA_CF_SEC_New_27-Feb-2024Rev3.xlsx]Consolidado'!</v>
      </c>
      <c r="G4182" s="32" t="s">
        <v>122</v>
      </c>
      <c r="H4182" s="33">
        <f t="shared" ref="H4182:H4183" si="1012">IF(A4182&lt;&gt;A4181,12,H4181+1)</f>
        <v>12</v>
      </c>
      <c r="I4182" s="33" t="str">
        <f t="shared" ref="I4182:I4203" si="1013">_xlfn.CONCAT("='",F4182:H4182)</f>
        <v>='C:\Users\jaime.benazar\Quorum Business Solutions\Ecopetrol Prometeo - Documents\Planning Space Implementation\3. Analysis &amp; Design\Design\FC22\DRR Jaime\QUIFA-CAJÚA\Cajua\[CAJUA_CF_SEC_New_27-Feb-2024Rev3.xlsx]Consolidado'!$J$12</v>
      </c>
      <c r="J4182" s="33" t="s">
        <v>4072</v>
      </c>
    </row>
    <row r="4183" spans="1:10" x14ac:dyDescent="0.25">
      <c r="A4183" s="32" t="s">
        <v>120</v>
      </c>
      <c r="B4183" s="32" t="s">
        <v>2</v>
      </c>
      <c r="C4183" s="33" t="s">
        <v>118</v>
      </c>
      <c r="D4183" s="34" t="s">
        <v>1998</v>
      </c>
      <c r="E4183" s="35" t="str">
        <f t="shared" ref="E4183:E4203" si="1014">_xlfn.CONCAT(A4183,"'!")</f>
        <v>Consolidado'!</v>
      </c>
      <c r="F4183" s="34" t="str">
        <f t="shared" ref="F4183:F4203" si="1015">_xlfn.CONCAT(D4183:E4183)</f>
        <v>C:\Users\jaime.benazar\Quorum Business Solutions\Ecopetrol Prometeo - Documents\Planning Space Implementation\3. Analysis &amp; Design\Design\FC22\DRR Jaime\QUIFA-CAJÚA\Cajua\[CAJUA_CF_SEC_New_27-Feb-2024Rev3.xlsx]Consolidado'!</v>
      </c>
      <c r="G4183" s="32" t="s">
        <v>122</v>
      </c>
      <c r="H4183" s="33">
        <f t="shared" si="1012"/>
        <v>13</v>
      </c>
      <c r="I4183" s="33" t="str">
        <f t="shared" si="1013"/>
        <v>='C:\Users\jaime.benazar\Quorum Business Solutions\Ecopetrol Prometeo - Documents\Planning Space Implementation\3. Analysis &amp; Design\Design\FC22\DRR Jaime\QUIFA-CAJÚA\Cajua\[CAJUA_CF_SEC_New_27-Feb-2024Rev3.xlsx]Consolidado'!$J$13</v>
      </c>
      <c r="J4183" s="33" t="s">
        <v>4073</v>
      </c>
    </row>
    <row r="4184" spans="1:10" x14ac:dyDescent="0.25">
      <c r="A4184" s="32" t="s">
        <v>120</v>
      </c>
      <c r="B4184" s="32" t="s">
        <v>3</v>
      </c>
      <c r="C4184" s="33" t="s">
        <v>118</v>
      </c>
      <c r="D4184" s="34" t="s">
        <v>1998</v>
      </c>
      <c r="E4184" s="35" t="str">
        <f t="shared" si="1014"/>
        <v>Consolidado'!</v>
      </c>
      <c r="F4184" s="34" t="str">
        <f t="shared" si="1015"/>
        <v>C:\Users\jaime.benazar\Quorum Business Solutions\Ecopetrol Prometeo - Documents\Planning Space Implementation\3. Analysis &amp; Design\Design\FC22\DRR Jaime\QUIFA-CAJÚA\Cajua\[CAJUA_CF_SEC_New_27-Feb-2024Rev3.xlsx]Consolidado'!</v>
      </c>
      <c r="G4184" s="32" t="s">
        <v>122</v>
      </c>
      <c r="H4184" s="33">
        <v>14</v>
      </c>
      <c r="I4184" s="33" t="str">
        <f t="shared" si="1013"/>
        <v>='C:\Users\jaime.benazar\Quorum Business Solutions\Ecopetrol Prometeo - Documents\Planning Space Implementation\3. Analysis &amp; Design\Design\FC22\DRR Jaime\QUIFA-CAJÚA\Cajua\[CAJUA_CF_SEC_New_27-Feb-2024Rev3.xlsx]Consolidado'!$J$14</v>
      </c>
      <c r="J4184" t="s">
        <v>4074</v>
      </c>
    </row>
    <row r="4185" spans="1:10" x14ac:dyDescent="0.25">
      <c r="A4185" s="32" t="s">
        <v>120</v>
      </c>
      <c r="B4185" s="32" t="s">
        <v>99</v>
      </c>
      <c r="C4185" s="33" t="s">
        <v>118</v>
      </c>
      <c r="D4185" s="34" t="s">
        <v>1998</v>
      </c>
      <c r="E4185" s="35" t="str">
        <f t="shared" si="1014"/>
        <v>Consolidado'!</v>
      </c>
      <c r="F4185" s="34" t="str">
        <f t="shared" si="1015"/>
        <v>C:\Users\jaime.benazar\Quorum Business Solutions\Ecopetrol Prometeo - Documents\Planning Space Implementation\3. Analysis &amp; Design\Design\FC22\DRR Jaime\QUIFA-CAJÚA\Cajua\[CAJUA_CF_SEC_New_27-Feb-2024Rev3.xlsx]Consolidado'!</v>
      </c>
      <c r="G4185" s="32" t="s">
        <v>122</v>
      </c>
      <c r="H4185" s="33">
        <v>17</v>
      </c>
      <c r="I4185" s="33" t="str">
        <f t="shared" si="1013"/>
        <v>='C:\Users\jaime.benazar\Quorum Business Solutions\Ecopetrol Prometeo - Documents\Planning Space Implementation\3. Analysis &amp; Design\Design\FC22\DRR Jaime\QUIFA-CAJÚA\Cajua\[CAJUA_CF_SEC_New_27-Feb-2024Rev3.xlsx]Consolidado'!$J$17</v>
      </c>
      <c r="J4185" t="s">
        <v>4075</v>
      </c>
    </row>
    <row r="4186" spans="1:10" x14ac:dyDescent="0.25">
      <c r="A4186" s="32" t="s">
        <v>120</v>
      </c>
      <c r="B4186" s="32" t="s">
        <v>100</v>
      </c>
      <c r="C4186" s="33" t="s">
        <v>118</v>
      </c>
      <c r="D4186" s="34" t="s">
        <v>1998</v>
      </c>
      <c r="E4186" s="35" t="str">
        <f t="shared" si="1014"/>
        <v>Consolidado'!</v>
      </c>
      <c r="F4186" s="34" t="str">
        <f t="shared" si="1015"/>
        <v>C:\Users\jaime.benazar\Quorum Business Solutions\Ecopetrol Prometeo - Documents\Planning Space Implementation\3. Analysis &amp; Design\Design\FC22\DRR Jaime\QUIFA-CAJÚA\Cajua\[CAJUA_CF_SEC_New_27-Feb-2024Rev3.xlsx]Consolidado'!</v>
      </c>
      <c r="G4186" s="32" t="s">
        <v>122</v>
      </c>
      <c r="H4186" s="33">
        <v>18</v>
      </c>
      <c r="I4186" s="33" t="str">
        <f t="shared" si="1013"/>
        <v>='C:\Users\jaime.benazar\Quorum Business Solutions\Ecopetrol Prometeo - Documents\Planning Space Implementation\3. Analysis &amp; Design\Design\FC22\DRR Jaime\QUIFA-CAJÚA\Cajua\[CAJUA_CF_SEC_New_27-Feb-2024Rev3.xlsx]Consolidado'!$J$18</v>
      </c>
      <c r="J4186" t="s">
        <v>4076</v>
      </c>
    </row>
    <row r="4187" spans="1:10" x14ac:dyDescent="0.25">
      <c r="A4187" s="32" t="s">
        <v>120</v>
      </c>
      <c r="B4187" s="32" t="s">
        <v>101</v>
      </c>
      <c r="C4187" s="33" t="s">
        <v>118</v>
      </c>
      <c r="D4187" s="34" t="s">
        <v>1998</v>
      </c>
      <c r="E4187" s="35" t="str">
        <f t="shared" si="1014"/>
        <v>Consolidado'!</v>
      </c>
      <c r="F4187" s="34" t="str">
        <f t="shared" si="1015"/>
        <v>C:\Users\jaime.benazar\Quorum Business Solutions\Ecopetrol Prometeo - Documents\Planning Space Implementation\3. Analysis &amp; Design\Design\FC22\DRR Jaime\QUIFA-CAJÚA\Cajua\[CAJUA_CF_SEC_New_27-Feb-2024Rev3.xlsx]Consolidado'!</v>
      </c>
      <c r="G4187" s="32" t="s">
        <v>122</v>
      </c>
      <c r="H4187" s="33">
        <v>19</v>
      </c>
      <c r="I4187" s="33" t="str">
        <f t="shared" si="1013"/>
        <v>='C:\Users\jaime.benazar\Quorum Business Solutions\Ecopetrol Prometeo - Documents\Planning Space Implementation\3. Analysis &amp; Design\Design\FC22\DRR Jaime\QUIFA-CAJÚA\Cajua\[CAJUA_CF_SEC_New_27-Feb-2024Rev3.xlsx]Consolidado'!$J$19</v>
      </c>
      <c r="J4187" t="s">
        <v>4077</v>
      </c>
    </row>
    <row r="4188" spans="1:10" x14ac:dyDescent="0.25">
      <c r="A4188" s="32" t="s">
        <v>120</v>
      </c>
      <c r="B4188" s="32" t="s">
        <v>4</v>
      </c>
      <c r="C4188" s="33" t="s">
        <v>118</v>
      </c>
      <c r="D4188" s="34" t="s">
        <v>1998</v>
      </c>
      <c r="E4188" s="35" t="str">
        <f t="shared" si="1014"/>
        <v>Consolidado'!</v>
      </c>
      <c r="F4188" s="34" t="str">
        <f t="shared" si="1015"/>
        <v>C:\Users\jaime.benazar\Quorum Business Solutions\Ecopetrol Prometeo - Documents\Planning Space Implementation\3. Analysis &amp; Design\Design\FC22\DRR Jaime\QUIFA-CAJÚA\Cajua\[CAJUA_CF_SEC_New_27-Feb-2024Rev3.xlsx]Consolidado'!</v>
      </c>
      <c r="G4188" s="32" t="s">
        <v>122</v>
      </c>
      <c r="H4188" s="33">
        <v>20</v>
      </c>
      <c r="I4188" s="33" t="str">
        <f t="shared" si="1013"/>
        <v>='C:\Users\jaime.benazar\Quorum Business Solutions\Ecopetrol Prometeo - Documents\Planning Space Implementation\3. Analysis &amp; Design\Design\FC22\DRR Jaime\QUIFA-CAJÚA\Cajua\[CAJUA_CF_SEC_New_27-Feb-2024Rev3.xlsx]Consolidado'!$J$20</v>
      </c>
      <c r="J4188" t="s">
        <v>4078</v>
      </c>
    </row>
    <row r="4189" spans="1:10" x14ac:dyDescent="0.25">
      <c r="A4189" s="32" t="s">
        <v>120</v>
      </c>
      <c r="B4189" s="32" t="s">
        <v>102</v>
      </c>
      <c r="C4189" s="33" t="s">
        <v>118</v>
      </c>
      <c r="D4189" s="34" t="s">
        <v>1998</v>
      </c>
      <c r="E4189" s="35" t="str">
        <f t="shared" si="1014"/>
        <v>Consolidado'!</v>
      </c>
      <c r="F4189" s="34" t="str">
        <f t="shared" si="1015"/>
        <v>C:\Users\jaime.benazar\Quorum Business Solutions\Ecopetrol Prometeo - Documents\Planning Space Implementation\3. Analysis &amp; Design\Design\FC22\DRR Jaime\QUIFA-CAJÚA\Cajua\[CAJUA_CF_SEC_New_27-Feb-2024Rev3.xlsx]Consolidado'!</v>
      </c>
      <c r="G4189" s="32" t="s">
        <v>122</v>
      </c>
      <c r="H4189" s="33">
        <v>22</v>
      </c>
      <c r="I4189" s="33" t="str">
        <f t="shared" si="1013"/>
        <v>='C:\Users\jaime.benazar\Quorum Business Solutions\Ecopetrol Prometeo - Documents\Planning Space Implementation\3. Analysis &amp; Design\Design\FC22\DRR Jaime\QUIFA-CAJÚA\Cajua\[CAJUA_CF_SEC_New_27-Feb-2024Rev3.xlsx]Consolidado'!$J$22</v>
      </c>
      <c r="J4189" t="s">
        <v>4079</v>
      </c>
    </row>
    <row r="4190" spans="1:10" x14ac:dyDescent="0.25">
      <c r="A4190" s="32" t="s">
        <v>120</v>
      </c>
      <c r="B4190" s="32" t="s">
        <v>103</v>
      </c>
      <c r="C4190" s="33" t="s">
        <v>118</v>
      </c>
      <c r="D4190" s="34" t="s">
        <v>1998</v>
      </c>
      <c r="E4190" s="35" t="str">
        <f t="shared" si="1014"/>
        <v>Consolidado'!</v>
      </c>
      <c r="F4190" s="34" t="str">
        <f t="shared" si="1015"/>
        <v>C:\Users\jaime.benazar\Quorum Business Solutions\Ecopetrol Prometeo - Documents\Planning Space Implementation\3. Analysis &amp; Design\Design\FC22\DRR Jaime\QUIFA-CAJÚA\Cajua\[CAJUA_CF_SEC_New_27-Feb-2024Rev3.xlsx]Consolidado'!</v>
      </c>
      <c r="G4190" s="32" t="s">
        <v>122</v>
      </c>
      <c r="H4190" s="33">
        <v>23</v>
      </c>
      <c r="I4190" s="33" t="str">
        <f t="shared" si="1013"/>
        <v>='C:\Users\jaime.benazar\Quorum Business Solutions\Ecopetrol Prometeo - Documents\Planning Space Implementation\3. Analysis &amp; Design\Design\FC22\DRR Jaime\QUIFA-CAJÚA\Cajua\[CAJUA_CF_SEC_New_27-Feb-2024Rev3.xlsx]Consolidado'!$J$23</v>
      </c>
      <c r="J4190" t="s">
        <v>4080</v>
      </c>
    </row>
    <row r="4191" spans="1:10" x14ac:dyDescent="0.25">
      <c r="A4191" s="32" t="s">
        <v>120</v>
      </c>
      <c r="B4191" s="32" t="s">
        <v>104</v>
      </c>
      <c r="C4191" s="33" t="s">
        <v>118</v>
      </c>
      <c r="D4191" s="34" t="s">
        <v>1998</v>
      </c>
      <c r="E4191" s="35" t="str">
        <f t="shared" si="1014"/>
        <v>Consolidado'!</v>
      </c>
      <c r="F4191" s="34" t="str">
        <f t="shared" si="1015"/>
        <v>C:\Users\jaime.benazar\Quorum Business Solutions\Ecopetrol Prometeo - Documents\Planning Space Implementation\3. Analysis &amp; Design\Design\FC22\DRR Jaime\QUIFA-CAJÚA\Cajua\[CAJUA_CF_SEC_New_27-Feb-2024Rev3.xlsx]Consolidado'!</v>
      </c>
      <c r="G4191" s="32" t="s">
        <v>122</v>
      </c>
      <c r="H4191" s="33">
        <v>24</v>
      </c>
      <c r="I4191" s="33" t="str">
        <f t="shared" si="1013"/>
        <v>='C:\Users\jaime.benazar\Quorum Business Solutions\Ecopetrol Prometeo - Documents\Planning Space Implementation\3. Analysis &amp; Design\Design\FC22\DRR Jaime\QUIFA-CAJÚA\Cajua\[CAJUA_CF_SEC_New_27-Feb-2024Rev3.xlsx]Consolidado'!$J$24</v>
      </c>
      <c r="J4191" t="s">
        <v>4081</v>
      </c>
    </row>
    <row r="4192" spans="1:10" x14ac:dyDescent="0.25">
      <c r="A4192" s="32" t="s">
        <v>120</v>
      </c>
      <c r="B4192" s="32" t="s">
        <v>34</v>
      </c>
      <c r="C4192" s="33" t="s">
        <v>118</v>
      </c>
      <c r="D4192" s="34" t="s">
        <v>1998</v>
      </c>
      <c r="E4192" s="35" t="str">
        <f t="shared" si="1014"/>
        <v>Consolidado'!</v>
      </c>
      <c r="F4192" s="34" t="str">
        <f t="shared" si="1015"/>
        <v>C:\Users\jaime.benazar\Quorum Business Solutions\Ecopetrol Prometeo - Documents\Planning Space Implementation\3. Analysis &amp; Design\Design\FC22\DRR Jaime\QUIFA-CAJÚA\Cajua\[CAJUA_CF_SEC_New_27-Feb-2024Rev3.xlsx]Consolidado'!</v>
      </c>
      <c r="G4192" s="32" t="s">
        <v>122</v>
      </c>
      <c r="H4192" s="33">
        <v>25</v>
      </c>
      <c r="I4192" s="33" t="str">
        <f t="shared" si="1013"/>
        <v>='C:\Users\jaime.benazar\Quorum Business Solutions\Ecopetrol Prometeo - Documents\Planning Space Implementation\3. Analysis &amp; Design\Design\FC22\DRR Jaime\QUIFA-CAJÚA\Cajua\[CAJUA_CF_SEC_New_27-Feb-2024Rev3.xlsx]Consolidado'!$J$25</v>
      </c>
      <c r="J4192" t="s">
        <v>4082</v>
      </c>
    </row>
    <row r="4193" spans="1:10" x14ac:dyDescent="0.25">
      <c r="A4193" s="32" t="s">
        <v>120</v>
      </c>
      <c r="B4193" s="32" t="s">
        <v>1</v>
      </c>
      <c r="C4193" s="33" t="s">
        <v>119</v>
      </c>
      <c r="D4193" s="34" t="s">
        <v>1998</v>
      </c>
      <c r="E4193" s="35" t="str">
        <f t="shared" si="1014"/>
        <v>Consolidado'!</v>
      </c>
      <c r="F4193" s="34" t="str">
        <f t="shared" si="1015"/>
        <v>C:\Users\jaime.benazar\Quorum Business Solutions\Ecopetrol Prometeo - Documents\Planning Space Implementation\3. Analysis &amp; Design\Design\FC22\DRR Jaime\QUIFA-CAJÚA\Cajua\[CAJUA_CF_SEC_New_27-Feb-2024Rev3.xlsx]Consolidado'!</v>
      </c>
      <c r="G4193" s="32" t="s">
        <v>121</v>
      </c>
      <c r="H4193" s="33">
        <f t="shared" ref="H4193:H4194" si="1016">IF(A4193&lt;&gt;A4192,12,H4192+1)</f>
        <v>26</v>
      </c>
      <c r="I4193" s="33" t="str">
        <f t="shared" si="1013"/>
        <v>='C:\Users\jaime.benazar\Quorum Business Solutions\Ecopetrol Prometeo - Documents\Planning Space Implementation\3. Analysis &amp; Design\Design\FC22\DRR Jaime\QUIFA-CAJÚA\Cajua\[CAJUA_CF_SEC_New_27-Feb-2024Rev3.xlsx]Consolidado'!$L$26</v>
      </c>
      <c r="J4193" t="s">
        <v>4083</v>
      </c>
    </row>
    <row r="4194" spans="1:10" x14ac:dyDescent="0.25">
      <c r="A4194" s="32" t="s">
        <v>120</v>
      </c>
      <c r="B4194" s="32" t="s">
        <v>2</v>
      </c>
      <c r="C4194" s="33" t="s">
        <v>119</v>
      </c>
      <c r="D4194" s="34" t="s">
        <v>1998</v>
      </c>
      <c r="E4194" s="35" t="str">
        <f t="shared" si="1014"/>
        <v>Consolidado'!</v>
      </c>
      <c r="F4194" s="34" t="str">
        <f t="shared" si="1015"/>
        <v>C:\Users\jaime.benazar\Quorum Business Solutions\Ecopetrol Prometeo - Documents\Planning Space Implementation\3. Analysis &amp; Design\Design\FC22\DRR Jaime\QUIFA-CAJÚA\Cajua\[CAJUA_CF_SEC_New_27-Feb-2024Rev3.xlsx]Consolidado'!</v>
      </c>
      <c r="G4194" s="32" t="s">
        <v>121</v>
      </c>
      <c r="H4194" s="33">
        <f t="shared" si="1016"/>
        <v>27</v>
      </c>
      <c r="I4194" s="33" t="str">
        <f t="shared" si="1013"/>
        <v>='C:\Users\jaime.benazar\Quorum Business Solutions\Ecopetrol Prometeo - Documents\Planning Space Implementation\3. Analysis &amp; Design\Design\FC22\DRR Jaime\QUIFA-CAJÚA\Cajua\[CAJUA_CF_SEC_New_27-Feb-2024Rev3.xlsx]Consolidado'!$L$27</v>
      </c>
      <c r="J4194" t="s">
        <v>4084</v>
      </c>
    </row>
    <row r="4195" spans="1:10" x14ac:dyDescent="0.25">
      <c r="A4195" s="32" t="s">
        <v>120</v>
      </c>
      <c r="B4195" s="32" t="s">
        <v>3</v>
      </c>
      <c r="C4195" s="33" t="s">
        <v>119</v>
      </c>
      <c r="D4195" s="34" t="s">
        <v>1998</v>
      </c>
      <c r="E4195" s="35" t="str">
        <f t="shared" si="1014"/>
        <v>Consolidado'!</v>
      </c>
      <c r="F4195" s="34" t="str">
        <f t="shared" si="1015"/>
        <v>C:\Users\jaime.benazar\Quorum Business Solutions\Ecopetrol Prometeo - Documents\Planning Space Implementation\3. Analysis &amp; Design\Design\FC22\DRR Jaime\QUIFA-CAJÚA\Cajua\[CAJUA_CF_SEC_New_27-Feb-2024Rev3.xlsx]Consolidado'!</v>
      </c>
      <c r="G4195" s="32" t="s">
        <v>121</v>
      </c>
      <c r="H4195" s="33">
        <v>14</v>
      </c>
      <c r="I4195" s="33" t="str">
        <f t="shared" si="1013"/>
        <v>='C:\Users\jaime.benazar\Quorum Business Solutions\Ecopetrol Prometeo - Documents\Planning Space Implementation\3. Analysis &amp; Design\Design\FC22\DRR Jaime\QUIFA-CAJÚA\Cajua\[CAJUA_CF_SEC_New_27-Feb-2024Rev3.xlsx]Consolidado'!$L$14</v>
      </c>
      <c r="J4195" t="s">
        <v>4085</v>
      </c>
    </row>
    <row r="4196" spans="1:10" x14ac:dyDescent="0.25">
      <c r="A4196" s="32" t="s">
        <v>120</v>
      </c>
      <c r="B4196" s="32" t="s">
        <v>99</v>
      </c>
      <c r="C4196" s="33" t="s">
        <v>119</v>
      </c>
      <c r="D4196" s="34" t="s">
        <v>1998</v>
      </c>
      <c r="E4196" s="35" t="str">
        <f t="shared" si="1014"/>
        <v>Consolidado'!</v>
      </c>
      <c r="F4196" s="34" t="str">
        <f t="shared" si="1015"/>
        <v>C:\Users\jaime.benazar\Quorum Business Solutions\Ecopetrol Prometeo - Documents\Planning Space Implementation\3. Analysis &amp; Design\Design\FC22\DRR Jaime\QUIFA-CAJÚA\Cajua\[CAJUA_CF_SEC_New_27-Feb-2024Rev3.xlsx]Consolidado'!</v>
      </c>
      <c r="G4196" s="32" t="s">
        <v>121</v>
      </c>
      <c r="H4196" s="33">
        <v>17</v>
      </c>
      <c r="I4196" s="33" t="str">
        <f t="shared" si="1013"/>
        <v>='C:\Users\jaime.benazar\Quorum Business Solutions\Ecopetrol Prometeo - Documents\Planning Space Implementation\3. Analysis &amp; Design\Design\FC22\DRR Jaime\QUIFA-CAJÚA\Cajua\[CAJUA_CF_SEC_New_27-Feb-2024Rev3.xlsx]Consolidado'!$L$17</v>
      </c>
      <c r="J4196" t="s">
        <v>4086</v>
      </c>
    </row>
    <row r="4197" spans="1:10" x14ac:dyDescent="0.25">
      <c r="A4197" s="32" t="s">
        <v>120</v>
      </c>
      <c r="B4197" s="32" t="s">
        <v>100</v>
      </c>
      <c r="C4197" s="33" t="s">
        <v>119</v>
      </c>
      <c r="D4197" s="34" t="s">
        <v>1998</v>
      </c>
      <c r="E4197" s="35" t="str">
        <f t="shared" si="1014"/>
        <v>Consolidado'!</v>
      </c>
      <c r="F4197" s="34" t="str">
        <f t="shared" si="1015"/>
        <v>C:\Users\jaime.benazar\Quorum Business Solutions\Ecopetrol Prometeo - Documents\Planning Space Implementation\3. Analysis &amp; Design\Design\FC22\DRR Jaime\QUIFA-CAJÚA\Cajua\[CAJUA_CF_SEC_New_27-Feb-2024Rev3.xlsx]Consolidado'!</v>
      </c>
      <c r="G4197" s="32" t="s">
        <v>121</v>
      </c>
      <c r="H4197" s="33">
        <v>18</v>
      </c>
      <c r="I4197" s="33" t="str">
        <f t="shared" si="1013"/>
        <v>='C:\Users\jaime.benazar\Quorum Business Solutions\Ecopetrol Prometeo - Documents\Planning Space Implementation\3. Analysis &amp; Design\Design\FC22\DRR Jaime\QUIFA-CAJÚA\Cajua\[CAJUA_CF_SEC_New_27-Feb-2024Rev3.xlsx]Consolidado'!$L$18</v>
      </c>
      <c r="J4197" t="s">
        <v>4087</v>
      </c>
    </row>
    <row r="4198" spans="1:10" x14ac:dyDescent="0.25">
      <c r="A4198" s="32" t="s">
        <v>120</v>
      </c>
      <c r="B4198" s="32" t="s">
        <v>101</v>
      </c>
      <c r="C4198" s="33" t="s">
        <v>119</v>
      </c>
      <c r="D4198" s="34" t="s">
        <v>1998</v>
      </c>
      <c r="E4198" s="35" t="str">
        <f t="shared" si="1014"/>
        <v>Consolidado'!</v>
      </c>
      <c r="F4198" s="34" t="str">
        <f t="shared" si="1015"/>
        <v>C:\Users\jaime.benazar\Quorum Business Solutions\Ecopetrol Prometeo - Documents\Planning Space Implementation\3. Analysis &amp; Design\Design\FC22\DRR Jaime\QUIFA-CAJÚA\Cajua\[CAJUA_CF_SEC_New_27-Feb-2024Rev3.xlsx]Consolidado'!</v>
      </c>
      <c r="G4198" s="32" t="s">
        <v>121</v>
      </c>
      <c r="H4198" s="33">
        <v>19</v>
      </c>
      <c r="I4198" s="33" t="str">
        <f t="shared" si="1013"/>
        <v>='C:\Users\jaime.benazar\Quorum Business Solutions\Ecopetrol Prometeo - Documents\Planning Space Implementation\3. Analysis &amp; Design\Design\FC22\DRR Jaime\QUIFA-CAJÚA\Cajua\[CAJUA_CF_SEC_New_27-Feb-2024Rev3.xlsx]Consolidado'!$L$19</v>
      </c>
      <c r="J4198" t="s">
        <v>4088</v>
      </c>
    </row>
    <row r="4199" spans="1:10" x14ac:dyDescent="0.25">
      <c r="A4199" s="32" t="s">
        <v>120</v>
      </c>
      <c r="B4199" s="32" t="s">
        <v>4</v>
      </c>
      <c r="C4199" s="33" t="s">
        <v>119</v>
      </c>
      <c r="D4199" s="34" t="s">
        <v>1998</v>
      </c>
      <c r="E4199" s="35" t="str">
        <f t="shared" si="1014"/>
        <v>Consolidado'!</v>
      </c>
      <c r="F4199" s="34" t="str">
        <f t="shared" si="1015"/>
        <v>C:\Users\jaime.benazar\Quorum Business Solutions\Ecopetrol Prometeo - Documents\Planning Space Implementation\3. Analysis &amp; Design\Design\FC22\DRR Jaime\QUIFA-CAJÚA\Cajua\[CAJUA_CF_SEC_New_27-Feb-2024Rev3.xlsx]Consolidado'!</v>
      </c>
      <c r="G4199" s="32" t="s">
        <v>121</v>
      </c>
      <c r="H4199" s="33">
        <v>20</v>
      </c>
      <c r="I4199" s="33" t="str">
        <f t="shared" si="1013"/>
        <v>='C:\Users\jaime.benazar\Quorum Business Solutions\Ecopetrol Prometeo - Documents\Planning Space Implementation\3. Analysis &amp; Design\Design\FC22\DRR Jaime\QUIFA-CAJÚA\Cajua\[CAJUA_CF_SEC_New_27-Feb-2024Rev3.xlsx]Consolidado'!$L$20</v>
      </c>
      <c r="J4199" t="s">
        <v>4089</v>
      </c>
    </row>
    <row r="4200" spans="1:10" x14ac:dyDescent="0.25">
      <c r="A4200" s="32" t="s">
        <v>120</v>
      </c>
      <c r="B4200" s="32" t="s">
        <v>102</v>
      </c>
      <c r="C4200" s="33" t="s">
        <v>119</v>
      </c>
      <c r="D4200" s="34" t="s">
        <v>1998</v>
      </c>
      <c r="E4200" s="35" t="str">
        <f t="shared" si="1014"/>
        <v>Consolidado'!</v>
      </c>
      <c r="F4200" s="34" t="str">
        <f t="shared" si="1015"/>
        <v>C:\Users\jaime.benazar\Quorum Business Solutions\Ecopetrol Prometeo - Documents\Planning Space Implementation\3. Analysis &amp; Design\Design\FC22\DRR Jaime\QUIFA-CAJÚA\Cajua\[CAJUA_CF_SEC_New_27-Feb-2024Rev3.xlsx]Consolidado'!</v>
      </c>
      <c r="G4200" s="32" t="s">
        <v>121</v>
      </c>
      <c r="H4200" s="33">
        <v>22</v>
      </c>
      <c r="I4200" s="33" t="str">
        <f t="shared" si="1013"/>
        <v>='C:\Users\jaime.benazar\Quorum Business Solutions\Ecopetrol Prometeo - Documents\Planning Space Implementation\3. Analysis &amp; Design\Design\FC22\DRR Jaime\QUIFA-CAJÚA\Cajua\[CAJUA_CF_SEC_New_27-Feb-2024Rev3.xlsx]Consolidado'!$L$22</v>
      </c>
      <c r="J4200" t="s">
        <v>4090</v>
      </c>
    </row>
    <row r="4201" spans="1:10" x14ac:dyDescent="0.25">
      <c r="A4201" s="32" t="s">
        <v>120</v>
      </c>
      <c r="B4201" s="32" t="s">
        <v>103</v>
      </c>
      <c r="C4201" s="33" t="s">
        <v>119</v>
      </c>
      <c r="D4201" s="34" t="s">
        <v>1998</v>
      </c>
      <c r="E4201" s="35" t="str">
        <f t="shared" si="1014"/>
        <v>Consolidado'!</v>
      </c>
      <c r="F4201" s="34" t="str">
        <f t="shared" si="1015"/>
        <v>C:\Users\jaime.benazar\Quorum Business Solutions\Ecopetrol Prometeo - Documents\Planning Space Implementation\3. Analysis &amp; Design\Design\FC22\DRR Jaime\QUIFA-CAJÚA\Cajua\[CAJUA_CF_SEC_New_27-Feb-2024Rev3.xlsx]Consolidado'!</v>
      </c>
      <c r="G4201" s="32" t="s">
        <v>121</v>
      </c>
      <c r="H4201" s="33">
        <v>23</v>
      </c>
      <c r="I4201" s="33" t="str">
        <f t="shared" si="1013"/>
        <v>='C:\Users\jaime.benazar\Quorum Business Solutions\Ecopetrol Prometeo - Documents\Planning Space Implementation\3. Analysis &amp; Design\Design\FC22\DRR Jaime\QUIFA-CAJÚA\Cajua\[CAJUA_CF_SEC_New_27-Feb-2024Rev3.xlsx]Consolidado'!$L$23</v>
      </c>
      <c r="J4201" t="s">
        <v>4091</v>
      </c>
    </row>
    <row r="4202" spans="1:10" x14ac:dyDescent="0.25">
      <c r="A4202" s="32" t="s">
        <v>120</v>
      </c>
      <c r="B4202" s="32" t="s">
        <v>104</v>
      </c>
      <c r="C4202" s="33" t="s">
        <v>119</v>
      </c>
      <c r="D4202" s="34" t="s">
        <v>1998</v>
      </c>
      <c r="E4202" s="35" t="str">
        <f t="shared" si="1014"/>
        <v>Consolidado'!</v>
      </c>
      <c r="F4202" s="34" t="str">
        <f t="shared" si="1015"/>
        <v>C:\Users\jaime.benazar\Quorum Business Solutions\Ecopetrol Prometeo - Documents\Planning Space Implementation\3. Analysis &amp; Design\Design\FC22\DRR Jaime\QUIFA-CAJÚA\Cajua\[CAJUA_CF_SEC_New_27-Feb-2024Rev3.xlsx]Consolidado'!</v>
      </c>
      <c r="G4202" s="32" t="s">
        <v>121</v>
      </c>
      <c r="H4202" s="33">
        <v>24</v>
      </c>
      <c r="I4202" s="33" t="str">
        <f t="shared" si="1013"/>
        <v>='C:\Users\jaime.benazar\Quorum Business Solutions\Ecopetrol Prometeo - Documents\Planning Space Implementation\3. Analysis &amp; Design\Design\FC22\DRR Jaime\QUIFA-CAJÚA\Cajua\[CAJUA_CF_SEC_New_27-Feb-2024Rev3.xlsx]Consolidado'!$L$24</v>
      </c>
      <c r="J4202" t="s">
        <v>4092</v>
      </c>
    </row>
    <row r="4203" spans="1:10" x14ac:dyDescent="0.25">
      <c r="A4203" s="32" t="s">
        <v>120</v>
      </c>
      <c r="B4203" s="32" t="s">
        <v>34</v>
      </c>
      <c r="C4203" s="33" t="s">
        <v>119</v>
      </c>
      <c r="D4203" s="34" t="s">
        <v>1998</v>
      </c>
      <c r="E4203" s="35" t="str">
        <f t="shared" si="1014"/>
        <v>Consolidado'!</v>
      </c>
      <c r="F4203" s="34" t="str">
        <f t="shared" si="1015"/>
        <v>C:\Users\jaime.benazar\Quorum Business Solutions\Ecopetrol Prometeo - Documents\Planning Space Implementation\3. Analysis &amp; Design\Design\FC22\DRR Jaime\QUIFA-CAJÚA\Cajua\[CAJUA_CF_SEC_New_27-Feb-2024Rev3.xlsx]Consolidado'!</v>
      </c>
      <c r="G4203" s="32" t="s">
        <v>121</v>
      </c>
      <c r="H4203" s="33">
        <v>25</v>
      </c>
      <c r="I4203" s="33" t="str">
        <f t="shared" si="1013"/>
        <v>='C:\Users\jaime.benazar\Quorum Business Solutions\Ecopetrol Prometeo - Documents\Planning Space Implementation\3. Analysis &amp; Design\Design\FC22\DRR Jaime\QUIFA-CAJÚA\Cajua\[CAJUA_CF_SEC_New_27-Feb-2024Rev3.xlsx]Consolidado'!$L$25</v>
      </c>
      <c r="J4203" t="s">
        <v>4093</v>
      </c>
    </row>
  </sheetData>
  <autoFilter ref="A1:J4203" xr:uid="{48305698-2E7B-4571-838E-115510612712}"/>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006E2BE7DDEF140A14EA49B3EF14461" ma:contentTypeVersion="18" ma:contentTypeDescription="Create a new document." ma:contentTypeScope="" ma:versionID="8ac02122ceabee326f0fe6b4010b3cd3">
  <xsd:schema xmlns:xsd="http://www.w3.org/2001/XMLSchema" xmlns:xs="http://www.w3.org/2001/XMLSchema" xmlns:p="http://schemas.microsoft.com/office/2006/metadata/properties" xmlns:ns2="6698821d-6e10-4a2b-a74f-0a52b52c4692" xmlns:ns3="cb44db4c-58ef-46ee-8a55-6d05fb8b3f8b" targetNamespace="http://schemas.microsoft.com/office/2006/metadata/properties" ma:root="true" ma:fieldsID="1c80002ebd0e45a76a153e49428d900a" ns2:_="" ns3:_="">
    <xsd:import namespace="6698821d-6e10-4a2b-a74f-0a52b52c4692"/>
    <xsd:import namespace="cb44db4c-58ef-46ee-8a55-6d05fb8b3f8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8821d-6e10-4a2b-a74f-0a52b52c46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349d9a-284b-478a-af45-ecae560eed0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44db4c-58ef-46ee-8a55-6d05fb8b3f8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8050449-45f2-470f-80ff-5b5f87c13052}" ma:internalName="TaxCatchAll" ma:showField="CatchAllData" ma:web="cb44db4c-58ef-46ee-8a55-6d05fb8b3f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cb44db4c-58ef-46ee-8a55-6d05fb8b3f8b" xsi:nil="true"/>
    <lcf76f155ced4ddcb4097134ff3c332f xmlns="6698821d-6e10-4a2b-a74f-0a52b52c469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3F1D485-46B8-41E8-825C-59DDC6F66678}">
  <ds:schemaRefs>
    <ds:schemaRef ds:uri="http://schemas.microsoft.com/sharepoint/v3/contenttype/forms"/>
  </ds:schemaRefs>
</ds:datastoreItem>
</file>

<file path=customXml/itemProps2.xml><?xml version="1.0" encoding="utf-8"?>
<ds:datastoreItem xmlns:ds="http://schemas.openxmlformats.org/officeDocument/2006/customXml" ds:itemID="{3E3B2598-541C-4B59-BE40-111BAE2931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8821d-6e10-4a2b-a74f-0a52b52c4692"/>
    <ds:schemaRef ds:uri="cb44db4c-58ef-46ee-8a55-6d05fb8b3f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7AAAC6-8000-4D73-8DB4-BC334CE35FFE}">
  <ds:schemaRefs>
    <ds:schemaRef ds:uri="http://schemas.microsoft.com/office/2006/metadata/properties"/>
    <ds:schemaRef ds:uri="http://schemas.microsoft.com/office/infopath/2007/PartnerControls"/>
    <ds:schemaRef ds:uri="cb44db4c-58ef-46ee-8a55-6d05fb8b3f8b"/>
    <ds:schemaRef ds:uri="6698821d-6e10-4a2b-a74f-0a52b52c4692"/>
  </ds:schemaRefs>
</ds:datastoreItem>
</file>

<file path=docMetadata/LabelInfo.xml><?xml version="1.0" encoding="utf-8"?>
<clbl:labelList xmlns:clbl="http://schemas.microsoft.com/office/2020/mipLabelMetadata">
  <clbl:label id="{ce68f836-c221-45ef-866b-38cda86b3d5e}" enabled="0" method="" siteId="{ce68f836-c221-45ef-866b-38cda86b3d5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BM</vt:lpstr>
      <vt:lpstr>Semifijos Activo_Anual</vt:lpstr>
      <vt:lpstr>Lista</vt:lpstr>
      <vt:lpstr>Formulas</vt:lpstr>
      <vt:lpstr>FormulasPS</vt:lpstr>
      <vt:lpstr>Reserves_Category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Daniela Manozca Cruz</dc:creator>
  <cp:lastModifiedBy>Juan Perez Ordoñez</cp:lastModifiedBy>
  <dcterms:created xsi:type="dcterms:W3CDTF">2023-11-03T20:09:58Z</dcterms:created>
  <dcterms:modified xsi:type="dcterms:W3CDTF">2024-04-26T21:33:26Z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0x010100B006E2BE7DDEF140A14EA49B3EF14461</vt:lpwstr>
  </property>
  <property fmtid="{D5CDD505-2E9C-101B-9397-08002B2CF9AE}" pid="3" name="MediaServiceImageTags">
    <vt:lpwstr/>
  </property>
</Properties>
</file>